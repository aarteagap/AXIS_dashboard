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ortifrutchile.sharepoint.com/sites/OPEXHUB-HFPE/Documentos compartidos/T2627-EXPORTACIONES/CONTROL DE VIAJES - OPEX/"/>
    </mc:Choice>
  </mc:AlternateContent>
  <xr:revisionPtr revIDLastSave="551" documentId="11_2D1726D3272D2A77ED2A43934847BAB828642002" xr6:coauthVersionLast="47" xr6:coauthVersionMax="47" xr10:uidLastSave="{7CF6447A-F12A-431F-A57F-6D915E0A398C}"/>
  <bookViews>
    <workbookView xWindow="-110" yWindow="-110" windowWidth="19420" windowHeight="11500" activeTab="1" xr2:uid="{00000000-000D-0000-FFFF-FFFF00000000}"/>
  </bookViews>
  <sheets>
    <sheet name="MARÍTIMOS" sheetId="4" r:id="rId1"/>
    <sheet name="CONSOLIDADO 2526" sheetId="2" r:id="rId2"/>
    <sheet name="CONDICIONALES" sheetId="3" r:id="rId3"/>
  </sheets>
  <definedNames>
    <definedName name="BD">#REF!</definedName>
    <definedName name="DatosExternos_1" localSheetId="0" hidden="1">MARÍTIMOS!$A$1:$BQ$437</definedName>
    <definedName name="PRECONSOLIDADO">OLDBD[#All]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0" i="2" l="1"/>
  <c r="C359" i="2"/>
  <c r="AC2" i="2"/>
  <c r="AD2" i="2"/>
  <c r="AE2" i="2"/>
  <c r="AC3" i="2"/>
  <c r="AD3" i="2"/>
  <c r="AE3" i="2"/>
  <c r="AC4" i="2"/>
  <c r="AD4" i="2"/>
  <c r="AE4" i="2"/>
  <c r="AC5" i="2"/>
  <c r="AD5" i="2"/>
  <c r="AE5" i="2"/>
  <c r="AC6" i="2"/>
  <c r="AD6" i="2"/>
  <c r="AE6" i="2"/>
  <c r="AC7" i="2"/>
  <c r="AD7" i="2"/>
  <c r="AE7" i="2"/>
  <c r="AC8" i="2"/>
  <c r="AD8" i="2"/>
  <c r="AE8" i="2"/>
  <c r="AC9" i="2"/>
  <c r="AD9" i="2"/>
  <c r="AE9" i="2"/>
  <c r="AC10" i="2"/>
  <c r="AD10" i="2"/>
  <c r="AE10" i="2"/>
  <c r="AC11" i="2"/>
  <c r="AD11" i="2"/>
  <c r="AE11" i="2"/>
  <c r="AC12" i="2"/>
  <c r="AD12" i="2"/>
  <c r="AE12" i="2"/>
  <c r="AC13" i="2"/>
  <c r="AD13" i="2"/>
  <c r="AE13" i="2"/>
  <c r="AC14" i="2"/>
  <c r="AD14" i="2"/>
  <c r="AE14" i="2"/>
  <c r="AC15" i="2"/>
  <c r="AD15" i="2"/>
  <c r="AE15" i="2"/>
  <c r="AC16" i="2"/>
  <c r="AD16" i="2"/>
  <c r="AE16" i="2"/>
  <c r="AC17" i="2"/>
  <c r="AD17" i="2"/>
  <c r="AE17" i="2"/>
  <c r="AC18" i="2"/>
  <c r="AD18" i="2"/>
  <c r="AE18" i="2"/>
  <c r="AC19" i="2"/>
  <c r="AD19" i="2"/>
  <c r="AE19" i="2"/>
  <c r="AC20" i="2"/>
  <c r="AD20" i="2"/>
  <c r="AE20" i="2"/>
  <c r="AC21" i="2"/>
  <c r="AD21" i="2"/>
  <c r="AE21" i="2"/>
  <c r="AC22" i="2"/>
  <c r="AD22" i="2"/>
  <c r="AE22" i="2"/>
  <c r="AC23" i="2"/>
  <c r="AD23" i="2"/>
  <c r="AE23" i="2"/>
  <c r="AC24" i="2"/>
  <c r="AD24" i="2"/>
  <c r="AE24" i="2"/>
  <c r="AC25" i="2"/>
  <c r="AD25" i="2"/>
  <c r="AE25" i="2"/>
  <c r="AC26" i="2"/>
  <c r="AD26" i="2"/>
  <c r="AE26" i="2"/>
  <c r="AC27" i="2"/>
  <c r="AD27" i="2"/>
  <c r="AE27" i="2"/>
  <c r="AC28" i="2"/>
  <c r="AD28" i="2"/>
  <c r="AE28" i="2"/>
  <c r="AC29" i="2"/>
  <c r="AD29" i="2"/>
  <c r="AE29" i="2"/>
  <c r="AC30" i="2"/>
  <c r="AD30" i="2"/>
  <c r="AE30" i="2"/>
  <c r="AC31" i="2"/>
  <c r="AD31" i="2"/>
  <c r="AE31" i="2"/>
  <c r="AC32" i="2"/>
  <c r="AD32" i="2"/>
  <c r="AE32" i="2"/>
  <c r="AC33" i="2"/>
  <c r="AD33" i="2"/>
  <c r="AE33" i="2"/>
  <c r="AC34" i="2"/>
  <c r="AD34" i="2"/>
  <c r="AE34" i="2"/>
  <c r="AC35" i="2"/>
  <c r="AD35" i="2"/>
  <c r="AE35" i="2"/>
  <c r="AC36" i="2"/>
  <c r="AD36" i="2"/>
  <c r="AE36" i="2"/>
  <c r="AC37" i="2"/>
  <c r="AD37" i="2"/>
  <c r="AE37" i="2"/>
  <c r="AC38" i="2"/>
  <c r="AD38" i="2"/>
  <c r="AE38" i="2"/>
  <c r="AC39" i="2"/>
  <c r="AD39" i="2"/>
  <c r="AE39" i="2"/>
  <c r="AC40" i="2"/>
  <c r="AD40" i="2"/>
  <c r="AE40" i="2"/>
  <c r="AC41" i="2"/>
  <c r="AD41" i="2"/>
  <c r="AE41" i="2"/>
  <c r="AC42" i="2"/>
  <c r="AD42" i="2"/>
  <c r="AE42" i="2"/>
  <c r="AC43" i="2"/>
  <c r="AD43" i="2"/>
  <c r="AE43" i="2"/>
  <c r="AC44" i="2"/>
  <c r="AD44" i="2"/>
  <c r="AE44" i="2"/>
  <c r="AC45" i="2"/>
  <c r="AD45" i="2"/>
  <c r="AE45" i="2"/>
  <c r="AC46" i="2"/>
  <c r="AD46" i="2"/>
  <c r="AE46" i="2"/>
  <c r="AC47" i="2"/>
  <c r="AD47" i="2"/>
  <c r="AE47" i="2"/>
  <c r="AC48" i="2"/>
  <c r="AD48" i="2"/>
  <c r="AE48" i="2"/>
  <c r="AC49" i="2"/>
  <c r="AD49" i="2"/>
  <c r="AE49" i="2"/>
  <c r="AC50" i="2"/>
  <c r="AD50" i="2"/>
  <c r="AE50" i="2"/>
  <c r="AC51" i="2"/>
  <c r="AD51" i="2"/>
  <c r="AE51" i="2"/>
  <c r="AC52" i="2"/>
  <c r="AD52" i="2"/>
  <c r="AE52" i="2"/>
  <c r="AC53" i="2"/>
  <c r="AD53" i="2"/>
  <c r="AE53" i="2"/>
  <c r="AC54" i="2"/>
  <c r="AD54" i="2"/>
  <c r="AE54" i="2"/>
  <c r="AC55" i="2"/>
  <c r="AD55" i="2"/>
  <c r="AE55" i="2"/>
  <c r="AC56" i="2"/>
  <c r="AD56" i="2"/>
  <c r="AE56" i="2"/>
  <c r="AC57" i="2"/>
  <c r="AD57" i="2"/>
  <c r="AE57" i="2"/>
  <c r="AC58" i="2"/>
  <c r="AD58" i="2"/>
  <c r="AE58" i="2"/>
  <c r="AC59" i="2"/>
  <c r="AD59" i="2"/>
  <c r="AE59" i="2"/>
  <c r="AC60" i="2"/>
  <c r="AD60" i="2"/>
  <c r="AE60" i="2"/>
  <c r="AC61" i="2"/>
  <c r="AD61" i="2"/>
  <c r="AE61" i="2"/>
  <c r="AC62" i="2"/>
  <c r="AD62" i="2"/>
  <c r="AE62" i="2"/>
  <c r="AC63" i="2"/>
  <c r="AD63" i="2"/>
  <c r="AE63" i="2"/>
  <c r="AC64" i="2"/>
  <c r="AD64" i="2"/>
  <c r="AE64" i="2"/>
  <c r="AC65" i="2"/>
  <c r="AD65" i="2"/>
  <c r="AE65" i="2"/>
  <c r="AC66" i="2"/>
  <c r="AD66" i="2"/>
  <c r="AE66" i="2"/>
  <c r="AC67" i="2"/>
  <c r="AD67" i="2"/>
  <c r="AE67" i="2"/>
  <c r="AC68" i="2"/>
  <c r="AD68" i="2"/>
  <c r="AE68" i="2"/>
  <c r="AC69" i="2"/>
  <c r="AD69" i="2"/>
  <c r="AE69" i="2"/>
  <c r="AC70" i="2"/>
  <c r="AD70" i="2"/>
  <c r="AE70" i="2"/>
  <c r="AC71" i="2"/>
  <c r="AD71" i="2"/>
  <c r="AE71" i="2"/>
  <c r="AC72" i="2"/>
  <c r="AD72" i="2"/>
  <c r="AE72" i="2"/>
  <c r="AC73" i="2"/>
  <c r="AD73" i="2"/>
  <c r="AE73" i="2"/>
  <c r="AC74" i="2"/>
  <c r="AD74" i="2"/>
  <c r="AE74" i="2"/>
  <c r="AC75" i="2"/>
  <c r="AD75" i="2"/>
  <c r="AE75" i="2"/>
  <c r="AC76" i="2"/>
  <c r="AD76" i="2"/>
  <c r="AE76" i="2"/>
  <c r="AC77" i="2"/>
  <c r="AD77" i="2"/>
  <c r="AE77" i="2"/>
  <c r="AC78" i="2"/>
  <c r="AD78" i="2"/>
  <c r="AE78" i="2"/>
  <c r="AC79" i="2"/>
  <c r="AD79" i="2"/>
  <c r="AE79" i="2"/>
  <c r="AC80" i="2"/>
  <c r="AD80" i="2"/>
  <c r="AE80" i="2"/>
  <c r="AC81" i="2"/>
  <c r="AD81" i="2"/>
  <c r="AE81" i="2"/>
  <c r="AC82" i="2"/>
  <c r="AD82" i="2"/>
  <c r="AE82" i="2"/>
  <c r="AC83" i="2"/>
  <c r="AD83" i="2"/>
  <c r="AE83" i="2"/>
  <c r="AC84" i="2"/>
  <c r="AD84" i="2"/>
  <c r="AE84" i="2"/>
  <c r="AC85" i="2"/>
  <c r="AD85" i="2"/>
  <c r="AE85" i="2"/>
  <c r="AC86" i="2"/>
  <c r="AD86" i="2"/>
  <c r="AE86" i="2"/>
  <c r="AC87" i="2"/>
  <c r="AD87" i="2"/>
  <c r="AE87" i="2"/>
  <c r="AC88" i="2"/>
  <c r="AD88" i="2"/>
  <c r="AE88" i="2"/>
  <c r="AC89" i="2"/>
  <c r="AD89" i="2"/>
  <c r="AE89" i="2"/>
  <c r="AC90" i="2"/>
  <c r="AD90" i="2"/>
  <c r="AE90" i="2"/>
  <c r="AC91" i="2"/>
  <c r="AD91" i="2"/>
  <c r="AE91" i="2"/>
  <c r="AC92" i="2"/>
  <c r="AD92" i="2"/>
  <c r="AE92" i="2"/>
  <c r="AC93" i="2"/>
  <c r="AD93" i="2"/>
  <c r="AE93" i="2"/>
  <c r="AC94" i="2"/>
  <c r="AD94" i="2"/>
  <c r="AE94" i="2"/>
  <c r="AC95" i="2"/>
  <c r="AD95" i="2"/>
  <c r="AE95" i="2"/>
  <c r="AC96" i="2"/>
  <c r="AD96" i="2"/>
  <c r="AE96" i="2"/>
  <c r="AC97" i="2"/>
  <c r="AD97" i="2"/>
  <c r="AE97" i="2"/>
  <c r="AC98" i="2"/>
  <c r="AD98" i="2"/>
  <c r="AE98" i="2"/>
  <c r="AC99" i="2"/>
  <c r="AD99" i="2"/>
  <c r="AE99" i="2"/>
  <c r="AC100" i="2"/>
  <c r="AD100" i="2"/>
  <c r="AE100" i="2"/>
  <c r="AC101" i="2"/>
  <c r="AD101" i="2"/>
  <c r="AE101" i="2"/>
  <c r="AC102" i="2"/>
  <c r="AD102" i="2"/>
  <c r="AE102" i="2"/>
  <c r="AC103" i="2"/>
  <c r="AD103" i="2"/>
  <c r="AE103" i="2"/>
  <c r="AC104" i="2"/>
  <c r="AD104" i="2"/>
  <c r="AE104" i="2"/>
  <c r="AC105" i="2"/>
  <c r="AD105" i="2"/>
  <c r="AE105" i="2"/>
  <c r="AC106" i="2"/>
  <c r="AD106" i="2"/>
  <c r="AE106" i="2"/>
  <c r="AC107" i="2"/>
  <c r="AD107" i="2"/>
  <c r="AE107" i="2"/>
  <c r="AC108" i="2"/>
  <c r="AD108" i="2"/>
  <c r="AE108" i="2"/>
  <c r="AC109" i="2"/>
  <c r="AD109" i="2"/>
  <c r="AE109" i="2"/>
  <c r="AC110" i="2"/>
  <c r="AD110" i="2"/>
  <c r="AE110" i="2"/>
  <c r="AC111" i="2"/>
  <c r="AD111" i="2"/>
  <c r="AE111" i="2"/>
  <c r="AC112" i="2"/>
  <c r="AD112" i="2"/>
  <c r="AE112" i="2"/>
  <c r="AC113" i="2"/>
  <c r="AD113" i="2"/>
  <c r="AE113" i="2"/>
  <c r="AC114" i="2"/>
  <c r="AD114" i="2"/>
  <c r="AE114" i="2"/>
  <c r="AC115" i="2"/>
  <c r="AD115" i="2"/>
  <c r="AE115" i="2"/>
  <c r="AC116" i="2"/>
  <c r="AD116" i="2"/>
  <c r="AE116" i="2"/>
  <c r="AC117" i="2"/>
  <c r="AD117" i="2"/>
  <c r="AE117" i="2"/>
  <c r="AC118" i="2"/>
  <c r="AD118" i="2"/>
  <c r="AE118" i="2"/>
  <c r="AC119" i="2"/>
  <c r="AD119" i="2"/>
  <c r="AE119" i="2"/>
  <c r="AC120" i="2"/>
  <c r="AD120" i="2"/>
  <c r="AE120" i="2"/>
  <c r="AC121" i="2"/>
  <c r="AD121" i="2"/>
  <c r="AE121" i="2"/>
  <c r="AC122" i="2"/>
  <c r="AD122" i="2"/>
  <c r="AE122" i="2"/>
  <c r="AC123" i="2"/>
  <c r="AD123" i="2"/>
  <c r="AE123" i="2"/>
  <c r="AC124" i="2"/>
  <c r="AD124" i="2"/>
  <c r="AE124" i="2"/>
  <c r="AC125" i="2"/>
  <c r="AD125" i="2"/>
  <c r="AE125" i="2"/>
  <c r="AC126" i="2"/>
  <c r="AD126" i="2"/>
  <c r="AE126" i="2"/>
  <c r="AC127" i="2"/>
  <c r="AD127" i="2"/>
  <c r="AE127" i="2"/>
  <c r="AC128" i="2"/>
  <c r="AD128" i="2"/>
  <c r="AE128" i="2"/>
  <c r="AC129" i="2"/>
  <c r="AD129" i="2"/>
  <c r="AE129" i="2"/>
  <c r="AC130" i="2"/>
  <c r="AD130" i="2"/>
  <c r="AE130" i="2"/>
  <c r="AC131" i="2"/>
  <c r="AD131" i="2"/>
  <c r="AE131" i="2"/>
  <c r="AC132" i="2"/>
  <c r="AD132" i="2"/>
  <c r="AE132" i="2"/>
  <c r="AC133" i="2"/>
  <c r="AD133" i="2"/>
  <c r="AE133" i="2"/>
  <c r="AC134" i="2"/>
  <c r="AD134" i="2"/>
  <c r="AE134" i="2"/>
  <c r="AC135" i="2"/>
  <c r="AD135" i="2"/>
  <c r="AE135" i="2"/>
  <c r="AC136" i="2"/>
  <c r="AD136" i="2"/>
  <c r="AE136" i="2"/>
  <c r="AC137" i="2"/>
  <c r="AD137" i="2"/>
  <c r="AE137" i="2"/>
  <c r="AC138" i="2"/>
  <c r="AD138" i="2"/>
  <c r="AE138" i="2"/>
  <c r="AC139" i="2"/>
  <c r="AD139" i="2"/>
  <c r="AE139" i="2"/>
  <c r="AC140" i="2"/>
  <c r="AD140" i="2"/>
  <c r="AE140" i="2"/>
  <c r="AC141" i="2"/>
  <c r="AD141" i="2"/>
  <c r="AE141" i="2"/>
  <c r="AC142" i="2"/>
  <c r="AD142" i="2"/>
  <c r="AE142" i="2"/>
  <c r="AC143" i="2"/>
  <c r="AD143" i="2"/>
  <c r="AE143" i="2"/>
  <c r="AC144" i="2"/>
  <c r="AD144" i="2"/>
  <c r="AE144" i="2"/>
  <c r="AC145" i="2"/>
  <c r="AD145" i="2"/>
  <c r="AE145" i="2"/>
  <c r="AC146" i="2"/>
  <c r="AD146" i="2"/>
  <c r="AE146" i="2"/>
  <c r="AC147" i="2"/>
  <c r="AD147" i="2"/>
  <c r="AE147" i="2"/>
  <c r="AC148" i="2"/>
  <c r="AD148" i="2"/>
  <c r="AE148" i="2"/>
  <c r="AC149" i="2"/>
  <c r="AD149" i="2"/>
  <c r="AE149" i="2"/>
  <c r="AC150" i="2"/>
  <c r="AD150" i="2"/>
  <c r="AE150" i="2"/>
  <c r="AC151" i="2"/>
  <c r="AD151" i="2"/>
  <c r="AE151" i="2"/>
  <c r="AC152" i="2"/>
  <c r="AD152" i="2"/>
  <c r="AE152" i="2"/>
  <c r="AC153" i="2"/>
  <c r="AD153" i="2"/>
  <c r="AE153" i="2"/>
  <c r="AC154" i="2"/>
  <c r="AD154" i="2"/>
  <c r="AE154" i="2"/>
  <c r="AC155" i="2"/>
  <c r="AD155" i="2"/>
  <c r="AE155" i="2"/>
  <c r="AC156" i="2"/>
  <c r="AD156" i="2"/>
  <c r="AE156" i="2"/>
  <c r="AC157" i="2"/>
  <c r="AD157" i="2"/>
  <c r="AE157" i="2"/>
  <c r="AC158" i="2"/>
  <c r="AD158" i="2"/>
  <c r="AE158" i="2"/>
  <c r="AC159" i="2"/>
  <c r="AD159" i="2"/>
  <c r="AE159" i="2"/>
  <c r="AC160" i="2"/>
  <c r="AD160" i="2"/>
  <c r="AE160" i="2"/>
  <c r="AC161" i="2"/>
  <c r="AD161" i="2"/>
  <c r="AE161" i="2"/>
  <c r="AC162" i="2"/>
  <c r="AD162" i="2"/>
  <c r="AE162" i="2"/>
  <c r="AC163" i="2"/>
  <c r="AD163" i="2"/>
  <c r="AE163" i="2"/>
  <c r="AC164" i="2"/>
  <c r="AD164" i="2"/>
  <c r="AE164" i="2"/>
  <c r="AC165" i="2"/>
  <c r="AD165" i="2"/>
  <c r="AE165" i="2"/>
  <c r="AC166" i="2"/>
  <c r="AD166" i="2"/>
  <c r="AE166" i="2"/>
  <c r="AC167" i="2"/>
  <c r="AD167" i="2"/>
  <c r="AE167" i="2"/>
  <c r="AC168" i="2"/>
  <c r="AD168" i="2"/>
  <c r="AE168" i="2"/>
  <c r="AC169" i="2"/>
  <c r="AD169" i="2"/>
  <c r="AE169" i="2"/>
  <c r="AC170" i="2"/>
  <c r="AD170" i="2"/>
  <c r="AE170" i="2"/>
  <c r="AC171" i="2"/>
  <c r="AD171" i="2"/>
  <c r="AE171" i="2"/>
  <c r="AC172" i="2"/>
  <c r="AD172" i="2"/>
  <c r="AE172" i="2"/>
  <c r="AC173" i="2"/>
  <c r="AD173" i="2"/>
  <c r="AE173" i="2"/>
  <c r="AC174" i="2"/>
  <c r="AD174" i="2"/>
  <c r="AE174" i="2"/>
  <c r="AC175" i="2"/>
  <c r="AD175" i="2"/>
  <c r="AE175" i="2"/>
  <c r="AC176" i="2"/>
  <c r="AD176" i="2"/>
  <c r="AE176" i="2"/>
  <c r="AC177" i="2"/>
  <c r="AD177" i="2"/>
  <c r="AE177" i="2"/>
  <c r="AC178" i="2"/>
  <c r="AD178" i="2"/>
  <c r="AE178" i="2"/>
  <c r="AC179" i="2"/>
  <c r="AD179" i="2"/>
  <c r="AE179" i="2"/>
  <c r="AC180" i="2"/>
  <c r="AD180" i="2"/>
  <c r="AE180" i="2"/>
  <c r="AC181" i="2"/>
  <c r="AD181" i="2"/>
  <c r="AE181" i="2"/>
  <c r="AC182" i="2"/>
  <c r="AD182" i="2"/>
  <c r="AE182" i="2"/>
  <c r="AC183" i="2"/>
  <c r="AD183" i="2"/>
  <c r="AE183" i="2"/>
  <c r="AC184" i="2"/>
  <c r="AD184" i="2"/>
  <c r="AE184" i="2"/>
  <c r="AC185" i="2"/>
  <c r="AD185" i="2"/>
  <c r="AE185" i="2"/>
  <c r="AC186" i="2"/>
  <c r="AD186" i="2"/>
  <c r="AE186" i="2"/>
  <c r="AC187" i="2"/>
  <c r="AD187" i="2"/>
  <c r="AE187" i="2"/>
  <c r="AC188" i="2"/>
  <c r="AD188" i="2"/>
  <c r="AE188" i="2"/>
  <c r="AC189" i="2"/>
  <c r="AD189" i="2"/>
  <c r="AE189" i="2"/>
  <c r="AC190" i="2"/>
  <c r="AD190" i="2"/>
  <c r="AE190" i="2"/>
  <c r="AC191" i="2"/>
  <c r="AD191" i="2"/>
  <c r="AE191" i="2"/>
  <c r="AC192" i="2"/>
  <c r="AD192" i="2"/>
  <c r="AE192" i="2"/>
  <c r="AC193" i="2"/>
  <c r="AD193" i="2"/>
  <c r="AE193" i="2"/>
  <c r="AC194" i="2"/>
  <c r="AD194" i="2"/>
  <c r="AE194" i="2"/>
  <c r="AC195" i="2"/>
  <c r="AD195" i="2"/>
  <c r="AE195" i="2"/>
  <c r="AC196" i="2"/>
  <c r="AD196" i="2"/>
  <c r="AE196" i="2"/>
  <c r="AC197" i="2"/>
  <c r="AD197" i="2"/>
  <c r="AE197" i="2"/>
  <c r="AC198" i="2"/>
  <c r="AD198" i="2"/>
  <c r="AE198" i="2"/>
  <c r="AC199" i="2"/>
  <c r="AD199" i="2"/>
  <c r="AE199" i="2"/>
  <c r="AC200" i="2"/>
  <c r="AD200" i="2"/>
  <c r="AE200" i="2"/>
  <c r="AC201" i="2"/>
  <c r="AD201" i="2"/>
  <c r="AE201" i="2"/>
  <c r="AC202" i="2"/>
  <c r="AD202" i="2"/>
  <c r="AE202" i="2"/>
  <c r="AC203" i="2"/>
  <c r="AD203" i="2"/>
  <c r="AE203" i="2"/>
  <c r="AC204" i="2"/>
  <c r="AD204" i="2"/>
  <c r="AE204" i="2"/>
  <c r="AC205" i="2"/>
  <c r="AD205" i="2"/>
  <c r="AE205" i="2"/>
  <c r="AC206" i="2"/>
  <c r="AD206" i="2"/>
  <c r="AE206" i="2"/>
  <c r="AC207" i="2"/>
  <c r="AD207" i="2"/>
  <c r="AE207" i="2"/>
  <c r="AC208" i="2"/>
  <c r="AD208" i="2"/>
  <c r="AE208" i="2"/>
  <c r="AC209" i="2"/>
  <c r="AD209" i="2"/>
  <c r="AE209" i="2"/>
  <c r="AC210" i="2"/>
  <c r="AD210" i="2"/>
  <c r="AE210" i="2"/>
  <c r="AC211" i="2"/>
  <c r="AD211" i="2"/>
  <c r="AE211" i="2"/>
  <c r="AC212" i="2"/>
  <c r="AD212" i="2"/>
  <c r="AE212" i="2"/>
  <c r="AC213" i="2"/>
  <c r="AD213" i="2"/>
  <c r="AE213" i="2"/>
  <c r="AC214" i="2"/>
  <c r="AD214" i="2"/>
  <c r="AE214" i="2"/>
  <c r="AC215" i="2"/>
  <c r="AD215" i="2"/>
  <c r="AE215" i="2"/>
  <c r="AC216" i="2"/>
  <c r="AD216" i="2"/>
  <c r="AE216" i="2"/>
  <c r="AC217" i="2"/>
  <c r="AD217" i="2"/>
  <c r="AE217" i="2"/>
  <c r="AC218" i="2"/>
  <c r="AD218" i="2"/>
  <c r="AE218" i="2"/>
  <c r="AC219" i="2"/>
  <c r="AD219" i="2"/>
  <c r="AE219" i="2"/>
  <c r="AC220" i="2"/>
  <c r="AD220" i="2"/>
  <c r="AE220" i="2"/>
  <c r="AC221" i="2"/>
  <c r="AD221" i="2"/>
  <c r="AE221" i="2"/>
  <c r="AC222" i="2"/>
  <c r="AD222" i="2"/>
  <c r="AE222" i="2"/>
  <c r="AC223" i="2"/>
  <c r="AD223" i="2"/>
  <c r="AE223" i="2"/>
  <c r="AC224" i="2"/>
  <c r="AD224" i="2"/>
  <c r="AE224" i="2"/>
  <c r="AC225" i="2"/>
  <c r="AD225" i="2"/>
  <c r="AE225" i="2"/>
  <c r="AC226" i="2"/>
  <c r="AD226" i="2"/>
  <c r="AE226" i="2"/>
  <c r="AC227" i="2"/>
  <c r="AD227" i="2"/>
  <c r="AE227" i="2"/>
  <c r="AC228" i="2"/>
  <c r="AD228" i="2"/>
  <c r="AE228" i="2"/>
  <c r="AC229" i="2"/>
  <c r="AD229" i="2"/>
  <c r="AE229" i="2"/>
  <c r="AC230" i="2"/>
  <c r="AD230" i="2"/>
  <c r="AE230" i="2"/>
  <c r="AC231" i="2"/>
  <c r="AD231" i="2"/>
  <c r="AE231" i="2"/>
  <c r="AC232" i="2"/>
  <c r="AD232" i="2"/>
  <c r="AE232" i="2"/>
  <c r="AC233" i="2"/>
  <c r="AD233" i="2"/>
  <c r="AE233" i="2"/>
  <c r="AC234" i="2"/>
  <c r="AD234" i="2"/>
  <c r="AE234" i="2"/>
  <c r="AC235" i="2"/>
  <c r="AD235" i="2"/>
  <c r="AE235" i="2"/>
  <c r="AC236" i="2"/>
  <c r="AD236" i="2"/>
  <c r="AE236" i="2"/>
  <c r="AC237" i="2"/>
  <c r="AD237" i="2"/>
  <c r="AE237" i="2"/>
  <c r="AC238" i="2"/>
  <c r="AD238" i="2"/>
  <c r="AE238" i="2"/>
  <c r="AC239" i="2"/>
  <c r="AD239" i="2"/>
  <c r="AE239" i="2"/>
  <c r="AC240" i="2"/>
  <c r="AD240" i="2"/>
  <c r="AE240" i="2"/>
  <c r="AC241" i="2"/>
  <c r="AD241" i="2"/>
  <c r="AE241" i="2"/>
  <c r="AC242" i="2"/>
  <c r="AD242" i="2"/>
  <c r="AE242" i="2"/>
  <c r="AC243" i="2"/>
  <c r="AD243" i="2"/>
  <c r="AE243" i="2"/>
  <c r="AC244" i="2"/>
  <c r="AD244" i="2"/>
  <c r="AE244" i="2"/>
  <c r="AC245" i="2"/>
  <c r="AD245" i="2"/>
  <c r="AE245" i="2"/>
  <c r="AC246" i="2"/>
  <c r="AD246" i="2"/>
  <c r="AE246" i="2"/>
  <c r="AC247" i="2"/>
  <c r="AD247" i="2"/>
  <c r="AE247" i="2"/>
  <c r="AC248" i="2"/>
  <c r="AD248" i="2"/>
  <c r="AE248" i="2"/>
  <c r="AC249" i="2"/>
  <c r="AD249" i="2"/>
  <c r="AE249" i="2"/>
  <c r="AC250" i="2"/>
  <c r="AD250" i="2"/>
  <c r="AE250" i="2"/>
  <c r="AC251" i="2"/>
  <c r="AD251" i="2"/>
  <c r="AE251" i="2"/>
  <c r="AC252" i="2"/>
  <c r="AD252" i="2"/>
  <c r="AE252" i="2"/>
  <c r="AC253" i="2"/>
  <c r="AD253" i="2"/>
  <c r="AE253" i="2"/>
  <c r="AC254" i="2"/>
  <c r="AD254" i="2"/>
  <c r="AE254" i="2"/>
  <c r="AC255" i="2"/>
  <c r="AD255" i="2"/>
  <c r="AE255" i="2"/>
  <c r="AC256" i="2"/>
  <c r="AD256" i="2"/>
  <c r="AE256" i="2"/>
  <c r="AC257" i="2"/>
  <c r="AD257" i="2"/>
  <c r="AE257" i="2"/>
  <c r="AC258" i="2"/>
  <c r="AD258" i="2"/>
  <c r="AE258" i="2"/>
  <c r="AC259" i="2"/>
  <c r="AD259" i="2"/>
  <c r="AE259" i="2"/>
  <c r="AC260" i="2"/>
  <c r="AD260" i="2"/>
  <c r="AE260" i="2"/>
  <c r="AC261" i="2"/>
  <c r="AD261" i="2"/>
  <c r="AE261" i="2"/>
  <c r="AC262" i="2"/>
  <c r="AD262" i="2"/>
  <c r="AE262" i="2"/>
  <c r="AC263" i="2"/>
  <c r="AD263" i="2"/>
  <c r="AE263" i="2"/>
  <c r="AC264" i="2"/>
  <c r="AD264" i="2"/>
  <c r="AE264" i="2"/>
  <c r="AC265" i="2"/>
  <c r="AD265" i="2"/>
  <c r="AE265" i="2"/>
  <c r="AC266" i="2"/>
  <c r="AD266" i="2"/>
  <c r="AE266" i="2"/>
  <c r="AC267" i="2"/>
  <c r="AD267" i="2"/>
  <c r="AE267" i="2"/>
  <c r="AC268" i="2"/>
  <c r="AD268" i="2"/>
  <c r="AE268" i="2"/>
  <c r="AC269" i="2"/>
  <c r="AD269" i="2"/>
  <c r="AE269" i="2"/>
  <c r="AC270" i="2"/>
  <c r="AD270" i="2"/>
  <c r="AE270" i="2"/>
  <c r="AC271" i="2"/>
  <c r="AD271" i="2"/>
  <c r="AE271" i="2"/>
  <c r="AC272" i="2"/>
  <c r="AD272" i="2"/>
  <c r="AE272" i="2"/>
  <c r="AC273" i="2"/>
  <c r="AD273" i="2"/>
  <c r="AE273" i="2"/>
  <c r="AC274" i="2"/>
  <c r="AD274" i="2"/>
  <c r="AE274" i="2"/>
  <c r="AC275" i="2"/>
  <c r="AD275" i="2"/>
  <c r="AE275" i="2"/>
  <c r="AC276" i="2"/>
  <c r="AD276" i="2"/>
  <c r="AE276" i="2"/>
  <c r="AC277" i="2"/>
  <c r="AD277" i="2"/>
  <c r="AE277" i="2"/>
  <c r="AC278" i="2"/>
  <c r="AD278" i="2"/>
  <c r="AE278" i="2"/>
  <c r="AC279" i="2"/>
  <c r="AD279" i="2"/>
  <c r="AE279" i="2"/>
  <c r="AC280" i="2"/>
  <c r="AD280" i="2"/>
  <c r="AE280" i="2"/>
  <c r="AC281" i="2"/>
  <c r="AD281" i="2"/>
  <c r="AE281" i="2"/>
  <c r="AC282" i="2"/>
  <c r="AD282" i="2"/>
  <c r="AE282" i="2"/>
  <c r="AC283" i="2"/>
  <c r="AD283" i="2"/>
  <c r="AE283" i="2"/>
  <c r="AC284" i="2"/>
  <c r="AD284" i="2"/>
  <c r="AE284" i="2"/>
  <c r="AC285" i="2"/>
  <c r="AD285" i="2"/>
  <c r="AE285" i="2"/>
  <c r="AC286" i="2"/>
  <c r="AD286" i="2"/>
  <c r="AE286" i="2"/>
  <c r="AC287" i="2"/>
  <c r="AD287" i="2"/>
  <c r="AE287" i="2"/>
  <c r="AC288" i="2"/>
  <c r="AD288" i="2"/>
  <c r="AE288" i="2"/>
  <c r="AC289" i="2"/>
  <c r="AD289" i="2"/>
  <c r="AE289" i="2"/>
  <c r="AC290" i="2"/>
  <c r="AD290" i="2"/>
  <c r="AE290" i="2"/>
  <c r="AC291" i="2"/>
  <c r="AD291" i="2"/>
  <c r="AE291" i="2"/>
  <c r="AC292" i="2"/>
  <c r="AD292" i="2"/>
  <c r="AE292" i="2"/>
  <c r="AC293" i="2"/>
  <c r="AD293" i="2"/>
  <c r="AE293" i="2"/>
  <c r="AC294" i="2"/>
  <c r="AD294" i="2"/>
  <c r="AE294" i="2"/>
  <c r="AC295" i="2"/>
  <c r="AD295" i="2"/>
  <c r="AE295" i="2"/>
  <c r="AC296" i="2"/>
  <c r="AD296" i="2"/>
  <c r="AE296" i="2"/>
  <c r="AC297" i="2"/>
  <c r="AD297" i="2"/>
  <c r="AE297" i="2"/>
  <c r="AC298" i="2"/>
  <c r="AD298" i="2"/>
  <c r="AE298" i="2"/>
  <c r="AC299" i="2"/>
  <c r="AD299" i="2"/>
  <c r="AE299" i="2"/>
  <c r="AC300" i="2"/>
  <c r="AD300" i="2"/>
  <c r="AE300" i="2"/>
  <c r="AC301" i="2"/>
  <c r="AD301" i="2"/>
  <c r="AE301" i="2"/>
  <c r="AC302" i="2"/>
  <c r="AD302" i="2"/>
  <c r="AE302" i="2"/>
  <c r="AC303" i="2"/>
  <c r="AD303" i="2"/>
  <c r="AE303" i="2"/>
  <c r="AC304" i="2"/>
  <c r="AD304" i="2"/>
  <c r="AE304" i="2"/>
  <c r="AC305" i="2"/>
  <c r="AD305" i="2"/>
  <c r="AE305" i="2"/>
  <c r="AC306" i="2"/>
  <c r="AD306" i="2"/>
  <c r="AE306" i="2"/>
  <c r="AC307" i="2"/>
  <c r="AD307" i="2"/>
  <c r="AE307" i="2"/>
  <c r="AC308" i="2"/>
  <c r="AD308" i="2"/>
  <c r="AE308" i="2"/>
  <c r="AC309" i="2"/>
  <c r="AD309" i="2"/>
  <c r="AE309" i="2"/>
  <c r="AC310" i="2"/>
  <c r="AD310" i="2"/>
  <c r="AE310" i="2"/>
  <c r="AC311" i="2"/>
  <c r="AD311" i="2"/>
  <c r="AE311" i="2"/>
  <c r="AC312" i="2"/>
  <c r="AD312" i="2"/>
  <c r="AE312" i="2"/>
  <c r="AC313" i="2"/>
  <c r="AD313" i="2"/>
  <c r="AE313" i="2"/>
  <c r="AC314" i="2"/>
  <c r="AD314" i="2"/>
  <c r="AE314" i="2"/>
  <c r="AC315" i="2"/>
  <c r="AD315" i="2"/>
  <c r="AE315" i="2"/>
  <c r="AC316" i="2"/>
  <c r="AD316" i="2"/>
  <c r="AE316" i="2"/>
  <c r="AC317" i="2"/>
  <c r="AD317" i="2"/>
  <c r="AE317" i="2"/>
  <c r="AC318" i="2"/>
  <c r="AD318" i="2"/>
  <c r="AE318" i="2"/>
  <c r="AC319" i="2"/>
  <c r="AD319" i="2"/>
  <c r="AE319" i="2"/>
  <c r="AC320" i="2"/>
  <c r="AD320" i="2"/>
  <c r="AE320" i="2"/>
  <c r="AC321" i="2"/>
  <c r="AD321" i="2"/>
  <c r="AE321" i="2"/>
  <c r="AC322" i="2"/>
  <c r="AD322" i="2"/>
  <c r="AE322" i="2"/>
  <c r="AC323" i="2"/>
  <c r="AD323" i="2"/>
  <c r="AE323" i="2"/>
  <c r="AC324" i="2"/>
  <c r="AD324" i="2"/>
  <c r="AE324" i="2"/>
  <c r="AC325" i="2"/>
  <c r="AD325" i="2"/>
  <c r="AE325" i="2"/>
  <c r="AC326" i="2"/>
  <c r="AD326" i="2"/>
  <c r="AE326" i="2"/>
  <c r="AC327" i="2"/>
  <c r="AD327" i="2"/>
  <c r="AE327" i="2"/>
  <c r="AC328" i="2"/>
  <c r="AD328" i="2"/>
  <c r="AE328" i="2"/>
  <c r="AC329" i="2"/>
  <c r="AD329" i="2"/>
  <c r="AE329" i="2"/>
  <c r="AC330" i="2"/>
  <c r="AD330" i="2"/>
  <c r="AE330" i="2"/>
  <c r="AC331" i="2"/>
  <c r="AD331" i="2"/>
  <c r="AE331" i="2"/>
  <c r="AC332" i="2"/>
  <c r="AD332" i="2"/>
  <c r="AE332" i="2"/>
  <c r="AC333" i="2"/>
  <c r="AD333" i="2"/>
  <c r="AE333" i="2"/>
  <c r="AC334" i="2"/>
  <c r="AD334" i="2"/>
  <c r="AE334" i="2"/>
  <c r="AC335" i="2"/>
  <c r="AD335" i="2"/>
  <c r="AE335" i="2"/>
  <c r="AC336" i="2"/>
  <c r="AD336" i="2"/>
  <c r="AE336" i="2"/>
  <c r="AC337" i="2"/>
  <c r="AD337" i="2"/>
  <c r="AE337" i="2"/>
  <c r="AC338" i="2"/>
  <c r="AD338" i="2"/>
  <c r="AE338" i="2"/>
  <c r="AC339" i="2"/>
  <c r="AD339" i="2"/>
  <c r="AE339" i="2"/>
  <c r="AC340" i="2"/>
  <c r="AD340" i="2"/>
  <c r="AE340" i="2"/>
  <c r="AC341" i="2"/>
  <c r="AD341" i="2"/>
  <c r="AE341" i="2"/>
  <c r="AC342" i="2"/>
  <c r="AD342" i="2"/>
  <c r="AE342" i="2"/>
  <c r="AC343" i="2"/>
  <c r="AD343" i="2"/>
  <c r="AE343" i="2"/>
  <c r="AC344" i="2"/>
  <c r="AD344" i="2"/>
  <c r="AE344" i="2"/>
  <c r="AC345" i="2"/>
  <c r="AD345" i="2"/>
  <c r="AE345" i="2"/>
  <c r="AC346" i="2"/>
  <c r="AD346" i="2"/>
  <c r="AE346" i="2"/>
  <c r="AC347" i="2"/>
  <c r="AD347" i="2"/>
  <c r="AE347" i="2"/>
  <c r="AC348" i="2"/>
  <c r="AD348" i="2"/>
  <c r="AE348" i="2"/>
  <c r="AC349" i="2"/>
  <c r="AD349" i="2"/>
  <c r="AE349" i="2"/>
  <c r="AC350" i="2"/>
  <c r="AD350" i="2"/>
  <c r="AE350" i="2"/>
  <c r="AC351" i="2"/>
  <c r="AD351" i="2"/>
  <c r="AE351" i="2"/>
  <c r="AC352" i="2"/>
  <c r="AD352" i="2"/>
  <c r="AE352" i="2"/>
  <c r="AC353" i="2"/>
  <c r="AD353" i="2"/>
  <c r="AE353" i="2"/>
  <c r="AC354" i="2"/>
  <c r="AD354" i="2"/>
  <c r="AE354" i="2"/>
  <c r="AC355" i="2"/>
  <c r="AD355" i="2"/>
  <c r="AE355" i="2"/>
  <c r="AC356" i="2"/>
  <c r="AD356" i="2"/>
  <c r="AE356" i="2"/>
  <c r="AC357" i="2"/>
  <c r="AD357" i="2"/>
  <c r="AE357" i="2"/>
  <c r="AC358" i="2"/>
  <c r="AD358" i="2"/>
  <c r="AE358" i="2"/>
  <c r="AC359" i="2"/>
  <c r="AD359" i="2"/>
  <c r="AE359" i="2"/>
  <c r="AC360" i="2"/>
  <c r="AD360" i="2"/>
  <c r="AE360" i="2"/>
  <c r="AC361" i="2"/>
  <c r="AD361" i="2"/>
  <c r="AE361" i="2"/>
  <c r="AC362" i="2"/>
  <c r="AD362" i="2"/>
  <c r="AE362" i="2"/>
  <c r="AC363" i="2"/>
  <c r="AD363" i="2"/>
  <c r="AE363" i="2"/>
  <c r="AC364" i="2"/>
  <c r="AD364" i="2"/>
  <c r="AE364" i="2"/>
  <c r="AC365" i="2"/>
  <c r="AD365" i="2"/>
  <c r="AE365" i="2"/>
  <c r="AC366" i="2"/>
  <c r="AD366" i="2"/>
  <c r="AE366" i="2"/>
  <c r="AC367" i="2"/>
  <c r="AD367" i="2"/>
  <c r="AE367" i="2"/>
  <c r="AC368" i="2"/>
  <c r="AD368" i="2"/>
  <c r="AE368" i="2"/>
  <c r="AC369" i="2"/>
  <c r="AD369" i="2"/>
  <c r="AE369" i="2"/>
  <c r="AC370" i="2"/>
  <c r="AD370" i="2"/>
  <c r="AE370" i="2"/>
  <c r="AC371" i="2"/>
  <c r="AD371" i="2"/>
  <c r="AE371" i="2"/>
  <c r="AC372" i="2"/>
  <c r="AD372" i="2"/>
  <c r="AE372" i="2"/>
  <c r="AC373" i="2"/>
  <c r="AD373" i="2"/>
  <c r="AE373" i="2"/>
  <c r="AC374" i="2"/>
  <c r="AD374" i="2"/>
  <c r="AE374" i="2"/>
  <c r="AC375" i="2"/>
  <c r="AD375" i="2"/>
  <c r="AE375" i="2"/>
  <c r="AC376" i="2"/>
  <c r="AD376" i="2"/>
  <c r="AE376" i="2"/>
  <c r="AC377" i="2"/>
  <c r="AD377" i="2"/>
  <c r="AE377" i="2"/>
  <c r="AC378" i="2"/>
  <c r="AD378" i="2"/>
  <c r="AE378" i="2"/>
  <c r="AC379" i="2"/>
  <c r="AD379" i="2"/>
  <c r="AE379" i="2"/>
  <c r="AC380" i="2"/>
  <c r="AD380" i="2"/>
  <c r="AE380" i="2"/>
  <c r="AC381" i="2"/>
  <c r="AD381" i="2"/>
  <c r="AE381" i="2"/>
  <c r="AC382" i="2"/>
  <c r="AD382" i="2"/>
  <c r="AE382" i="2"/>
  <c r="AC383" i="2"/>
  <c r="AD383" i="2"/>
  <c r="AE383" i="2"/>
  <c r="AC384" i="2"/>
  <c r="AD384" i="2"/>
  <c r="AE384" i="2"/>
  <c r="AC385" i="2"/>
  <c r="AD385" i="2"/>
  <c r="AE385" i="2"/>
  <c r="AC386" i="2"/>
  <c r="AD386" i="2"/>
  <c r="AE386" i="2"/>
  <c r="AC387" i="2"/>
  <c r="AD387" i="2"/>
  <c r="AE387" i="2"/>
  <c r="AC388" i="2"/>
  <c r="AD388" i="2"/>
  <c r="AE388" i="2"/>
  <c r="AC389" i="2"/>
  <c r="AD389" i="2"/>
  <c r="AE389" i="2"/>
  <c r="AC390" i="2"/>
  <c r="AD390" i="2"/>
  <c r="AE390" i="2"/>
  <c r="AC391" i="2"/>
  <c r="AD391" i="2"/>
  <c r="AE391" i="2"/>
  <c r="AC392" i="2"/>
  <c r="AD392" i="2"/>
  <c r="AE392" i="2"/>
  <c r="AC393" i="2"/>
  <c r="AD393" i="2"/>
  <c r="AE393" i="2"/>
  <c r="AC394" i="2"/>
  <c r="AD394" i="2"/>
  <c r="AE394" i="2"/>
  <c r="AC395" i="2"/>
  <c r="AD395" i="2"/>
  <c r="AE395" i="2"/>
  <c r="AC396" i="2"/>
  <c r="AD396" i="2"/>
  <c r="AE396" i="2"/>
  <c r="AC397" i="2"/>
  <c r="AD397" i="2"/>
  <c r="AE397" i="2"/>
  <c r="AC398" i="2"/>
  <c r="AD398" i="2"/>
  <c r="AE398" i="2"/>
  <c r="AC399" i="2"/>
  <c r="AD399" i="2"/>
  <c r="AE399" i="2"/>
  <c r="AC400" i="2"/>
  <c r="AD400" i="2"/>
  <c r="AE400" i="2"/>
  <c r="AC401" i="2"/>
  <c r="AD401" i="2"/>
  <c r="AE401" i="2"/>
  <c r="AC402" i="2"/>
  <c r="AD402" i="2"/>
  <c r="AE402" i="2"/>
  <c r="AC403" i="2"/>
  <c r="AD403" i="2"/>
  <c r="AE403" i="2"/>
  <c r="AC404" i="2"/>
  <c r="AD404" i="2"/>
  <c r="AE404" i="2"/>
  <c r="AC405" i="2"/>
  <c r="AD405" i="2"/>
  <c r="AE405" i="2"/>
  <c r="AC406" i="2"/>
  <c r="AD406" i="2"/>
  <c r="AE406" i="2"/>
  <c r="AC407" i="2"/>
  <c r="AD407" i="2"/>
  <c r="AE407" i="2"/>
  <c r="AC408" i="2"/>
  <c r="AD408" i="2"/>
  <c r="AE408" i="2"/>
  <c r="AC409" i="2"/>
  <c r="AD409" i="2"/>
  <c r="AE409" i="2"/>
  <c r="AC410" i="2"/>
  <c r="AD410" i="2"/>
  <c r="AE410" i="2"/>
  <c r="AC411" i="2"/>
  <c r="AD411" i="2"/>
  <c r="AE411" i="2"/>
  <c r="AC412" i="2"/>
  <c r="AD412" i="2"/>
  <c r="AE412" i="2"/>
  <c r="AC413" i="2"/>
  <c r="AD413" i="2"/>
  <c r="AE413" i="2"/>
  <c r="AC414" i="2"/>
  <c r="AD414" i="2"/>
  <c r="AE414" i="2"/>
  <c r="AC415" i="2"/>
  <c r="AD415" i="2"/>
  <c r="AE415" i="2"/>
  <c r="AC416" i="2"/>
  <c r="AD416" i="2"/>
  <c r="AE416" i="2"/>
  <c r="AC417" i="2"/>
  <c r="AD417" i="2"/>
  <c r="AE417" i="2"/>
  <c r="AC418" i="2"/>
  <c r="AD418" i="2"/>
  <c r="AE418" i="2"/>
  <c r="AC419" i="2"/>
  <c r="AD419" i="2"/>
  <c r="AE419" i="2"/>
  <c r="AC420" i="2"/>
  <c r="AD420" i="2"/>
  <c r="AE420" i="2"/>
  <c r="AC421" i="2"/>
  <c r="AD421" i="2"/>
  <c r="AE421" i="2"/>
  <c r="AC422" i="2"/>
  <c r="AD422" i="2"/>
  <c r="AE422" i="2"/>
  <c r="AC423" i="2"/>
  <c r="AD423" i="2"/>
  <c r="AE423" i="2"/>
  <c r="AC424" i="2"/>
  <c r="AD424" i="2"/>
  <c r="AE424" i="2"/>
  <c r="AC425" i="2"/>
  <c r="AD425" i="2"/>
  <c r="AE425" i="2"/>
  <c r="AC426" i="2"/>
  <c r="AD426" i="2"/>
  <c r="AE426" i="2"/>
  <c r="AC427" i="2"/>
  <c r="AD427" i="2"/>
  <c r="AE427" i="2"/>
  <c r="AC428" i="2"/>
  <c r="AD428" i="2"/>
  <c r="AE428" i="2"/>
  <c r="AC429" i="2"/>
  <c r="AD429" i="2"/>
  <c r="AE429" i="2"/>
  <c r="AC430" i="2"/>
  <c r="AD430" i="2"/>
  <c r="AE430" i="2"/>
  <c r="AC431" i="2"/>
  <c r="AD431" i="2"/>
  <c r="AE431" i="2"/>
  <c r="AC432" i="2"/>
  <c r="AD432" i="2"/>
  <c r="AE432" i="2"/>
  <c r="AC433" i="2"/>
  <c r="AD433" i="2"/>
  <c r="AE433" i="2"/>
  <c r="AC434" i="2"/>
  <c r="AD434" i="2"/>
  <c r="AE434" i="2"/>
  <c r="AC435" i="2"/>
  <c r="AD435" i="2"/>
  <c r="AE435" i="2"/>
  <c r="AC436" i="2"/>
  <c r="AD436" i="2"/>
  <c r="AE436" i="2"/>
  <c r="AC437" i="2"/>
  <c r="AD437" i="2"/>
  <c r="AE437" i="2"/>
  <c r="AC438" i="2"/>
  <c r="AD438" i="2"/>
  <c r="AE438" i="2"/>
  <c r="AC439" i="2"/>
  <c r="AD439" i="2"/>
  <c r="AE439" i="2"/>
  <c r="AC440" i="2"/>
  <c r="AD440" i="2"/>
  <c r="AE440" i="2"/>
  <c r="AC441" i="2"/>
  <c r="AD441" i="2"/>
  <c r="AE441" i="2"/>
  <c r="AC442" i="2"/>
  <c r="AD442" i="2"/>
  <c r="AE442" i="2"/>
  <c r="AC443" i="2"/>
  <c r="AD443" i="2"/>
  <c r="AE443" i="2"/>
  <c r="AC444" i="2"/>
  <c r="AD444" i="2"/>
  <c r="AE444" i="2"/>
  <c r="AC445" i="2"/>
  <c r="AD445" i="2"/>
  <c r="AE445" i="2"/>
  <c r="AC446" i="2"/>
  <c r="AD446" i="2"/>
  <c r="AE446" i="2"/>
  <c r="AC447" i="2"/>
  <c r="AD447" i="2"/>
  <c r="AE447" i="2"/>
  <c r="AC448" i="2"/>
  <c r="AD448" i="2"/>
  <c r="AE448" i="2"/>
  <c r="AC449" i="2"/>
  <c r="AD449" i="2"/>
  <c r="AE449" i="2"/>
  <c r="AC450" i="2"/>
  <c r="AD450" i="2"/>
  <c r="AE450" i="2"/>
  <c r="AC451" i="2"/>
  <c r="AD451" i="2"/>
  <c r="AE451" i="2"/>
  <c r="AC452" i="2"/>
  <c r="AD452" i="2"/>
  <c r="AE452" i="2"/>
  <c r="AC453" i="2"/>
  <c r="AD453" i="2"/>
  <c r="AE453" i="2"/>
  <c r="AC454" i="2"/>
  <c r="AD454" i="2"/>
  <c r="AE454" i="2"/>
  <c r="AC455" i="2"/>
  <c r="AD455" i="2"/>
  <c r="AE455" i="2"/>
  <c r="AC456" i="2"/>
  <c r="AD456" i="2"/>
  <c r="AE456" i="2"/>
  <c r="AC457" i="2"/>
  <c r="AD457" i="2"/>
  <c r="AE457" i="2"/>
  <c r="AC458" i="2"/>
  <c r="AD458" i="2"/>
  <c r="AE458" i="2"/>
  <c r="AC459" i="2"/>
  <c r="AD459" i="2"/>
  <c r="AE459" i="2"/>
  <c r="AC460" i="2"/>
  <c r="AD460" i="2"/>
  <c r="AE460" i="2"/>
  <c r="AC461" i="2"/>
  <c r="AD461" i="2"/>
  <c r="AE461" i="2"/>
  <c r="AC462" i="2"/>
  <c r="AD462" i="2"/>
  <c r="AE462" i="2"/>
  <c r="AC463" i="2"/>
  <c r="AD463" i="2"/>
  <c r="AE463" i="2"/>
  <c r="AC464" i="2"/>
  <c r="AD464" i="2"/>
  <c r="AE464" i="2"/>
  <c r="AC465" i="2"/>
  <c r="AD465" i="2"/>
  <c r="AE465" i="2"/>
  <c r="AC466" i="2"/>
  <c r="AD466" i="2"/>
  <c r="AE466" i="2"/>
  <c r="AC467" i="2"/>
  <c r="AD467" i="2"/>
  <c r="AE467" i="2"/>
  <c r="AC468" i="2"/>
  <c r="AD468" i="2"/>
  <c r="AE468" i="2"/>
  <c r="AC469" i="2"/>
  <c r="AD469" i="2"/>
  <c r="AE469" i="2"/>
  <c r="AC470" i="2"/>
  <c r="AD470" i="2"/>
  <c r="AE470" i="2"/>
  <c r="AC471" i="2"/>
  <c r="AD471" i="2"/>
  <c r="AE471" i="2"/>
  <c r="AC472" i="2"/>
  <c r="AD472" i="2"/>
  <c r="AE472" i="2"/>
  <c r="AC473" i="2"/>
  <c r="AD473" i="2"/>
  <c r="AE473" i="2"/>
  <c r="AC474" i="2"/>
  <c r="AD474" i="2"/>
  <c r="AE474" i="2"/>
  <c r="AC475" i="2"/>
  <c r="AD475" i="2"/>
  <c r="AE475" i="2"/>
  <c r="AC476" i="2"/>
  <c r="AD476" i="2"/>
  <c r="AE476" i="2"/>
  <c r="AC477" i="2"/>
  <c r="AD477" i="2"/>
  <c r="AE477" i="2"/>
  <c r="AC478" i="2"/>
  <c r="AD478" i="2"/>
  <c r="AE478" i="2"/>
  <c r="AC479" i="2"/>
  <c r="AD479" i="2"/>
  <c r="AE479" i="2"/>
  <c r="AC480" i="2"/>
  <c r="AD480" i="2"/>
  <c r="AE480" i="2"/>
  <c r="AC481" i="2"/>
  <c r="AD481" i="2"/>
  <c r="AE481" i="2"/>
  <c r="AC482" i="2"/>
  <c r="AD482" i="2"/>
  <c r="AE482" i="2"/>
  <c r="AC483" i="2"/>
  <c r="AD483" i="2"/>
  <c r="AE483" i="2"/>
  <c r="AC484" i="2"/>
  <c r="AD484" i="2"/>
  <c r="AE484" i="2"/>
  <c r="AC485" i="2"/>
  <c r="AD485" i="2"/>
  <c r="AE485" i="2"/>
  <c r="AC486" i="2"/>
  <c r="AD486" i="2"/>
  <c r="AE486" i="2"/>
  <c r="AC487" i="2"/>
  <c r="AD487" i="2"/>
  <c r="AE487" i="2"/>
  <c r="AC488" i="2"/>
  <c r="AD488" i="2"/>
  <c r="AE488" i="2"/>
  <c r="AC489" i="2"/>
  <c r="AD489" i="2"/>
  <c r="AE489" i="2"/>
  <c r="AC490" i="2"/>
  <c r="AD490" i="2"/>
  <c r="AE490" i="2"/>
  <c r="AC491" i="2"/>
  <c r="AD491" i="2"/>
  <c r="AE491" i="2"/>
  <c r="AC492" i="2"/>
  <c r="AD492" i="2"/>
  <c r="AE492" i="2"/>
  <c r="AC493" i="2"/>
  <c r="AD493" i="2"/>
  <c r="AE493" i="2"/>
  <c r="AC494" i="2"/>
  <c r="AD494" i="2"/>
  <c r="AE494" i="2"/>
  <c r="AC495" i="2"/>
  <c r="AD495" i="2"/>
  <c r="AE495" i="2"/>
  <c r="AC496" i="2"/>
  <c r="AD496" i="2"/>
  <c r="AE496" i="2"/>
  <c r="AC497" i="2"/>
  <c r="AD497" i="2"/>
  <c r="AE497" i="2"/>
  <c r="AC498" i="2"/>
  <c r="AD498" i="2"/>
  <c r="AE498" i="2"/>
  <c r="AC499" i="2"/>
  <c r="AD499" i="2"/>
  <c r="AE499" i="2"/>
  <c r="AC500" i="2"/>
  <c r="AD500" i="2"/>
  <c r="AE500" i="2"/>
  <c r="AC501" i="2"/>
  <c r="AD501" i="2"/>
  <c r="AE501" i="2"/>
  <c r="AC502" i="2"/>
  <c r="AD502" i="2"/>
  <c r="AE502" i="2"/>
  <c r="AC503" i="2"/>
  <c r="AD503" i="2"/>
  <c r="AE503" i="2"/>
  <c r="AC504" i="2"/>
  <c r="AD504" i="2"/>
  <c r="AE504" i="2"/>
  <c r="AC505" i="2"/>
  <c r="AD505" i="2"/>
  <c r="AE505" i="2"/>
  <c r="AC506" i="2"/>
  <c r="AD506" i="2"/>
  <c r="AE506" i="2"/>
  <c r="AC507" i="2"/>
  <c r="AD507" i="2"/>
  <c r="AE507" i="2"/>
  <c r="AC508" i="2"/>
  <c r="AD508" i="2"/>
  <c r="AE508" i="2"/>
  <c r="AC509" i="2"/>
  <c r="AD509" i="2"/>
  <c r="AE509" i="2"/>
  <c r="AC510" i="2"/>
  <c r="AD510" i="2"/>
  <c r="AE510" i="2"/>
  <c r="AC511" i="2"/>
  <c r="AD511" i="2"/>
  <c r="AE511" i="2"/>
  <c r="AC512" i="2"/>
  <c r="AD512" i="2"/>
  <c r="AE512" i="2"/>
  <c r="AC513" i="2"/>
  <c r="AD513" i="2"/>
  <c r="AE513" i="2"/>
  <c r="AC514" i="2"/>
  <c r="AD514" i="2"/>
  <c r="AE514" i="2"/>
  <c r="AC515" i="2"/>
  <c r="AD515" i="2"/>
  <c r="AE515" i="2"/>
  <c r="AC516" i="2"/>
  <c r="AD516" i="2"/>
  <c r="AE516" i="2"/>
  <c r="AC517" i="2"/>
  <c r="AD517" i="2"/>
  <c r="AE517" i="2"/>
  <c r="AC518" i="2"/>
  <c r="AD518" i="2"/>
  <c r="AE518" i="2"/>
  <c r="AC519" i="2"/>
  <c r="AD519" i="2"/>
  <c r="AE519" i="2"/>
  <c r="AC520" i="2"/>
  <c r="AD520" i="2"/>
  <c r="AE520" i="2"/>
  <c r="AC521" i="2"/>
  <c r="AD521" i="2"/>
  <c r="AE521" i="2"/>
  <c r="AC522" i="2"/>
  <c r="AD522" i="2"/>
  <c r="AE522" i="2"/>
  <c r="AC523" i="2"/>
  <c r="AD523" i="2"/>
  <c r="AE523" i="2"/>
  <c r="AC524" i="2"/>
  <c r="AD524" i="2"/>
  <c r="AE524" i="2"/>
  <c r="AC525" i="2"/>
  <c r="AD525" i="2"/>
  <c r="AE525" i="2"/>
  <c r="AC526" i="2"/>
  <c r="AD526" i="2"/>
  <c r="AE526" i="2"/>
  <c r="AC527" i="2"/>
  <c r="AD527" i="2"/>
  <c r="AE527" i="2"/>
  <c r="AC528" i="2"/>
  <c r="AD528" i="2"/>
  <c r="AE528" i="2"/>
  <c r="AC529" i="2"/>
  <c r="AD529" i="2"/>
  <c r="AE529" i="2"/>
  <c r="AC530" i="2"/>
  <c r="AD530" i="2"/>
  <c r="AE530" i="2"/>
  <c r="AC531" i="2"/>
  <c r="AD531" i="2"/>
  <c r="AE531" i="2"/>
  <c r="AC532" i="2"/>
  <c r="AD532" i="2"/>
  <c r="AE532" i="2"/>
  <c r="AC533" i="2"/>
  <c r="AD533" i="2"/>
  <c r="AE533" i="2"/>
  <c r="AC534" i="2"/>
  <c r="AD534" i="2"/>
  <c r="AE534" i="2"/>
  <c r="AC535" i="2"/>
  <c r="AD535" i="2"/>
  <c r="AE535" i="2"/>
  <c r="AC536" i="2"/>
  <c r="AD536" i="2"/>
  <c r="AE536" i="2"/>
  <c r="AC537" i="2"/>
  <c r="AD537" i="2"/>
  <c r="AE537" i="2"/>
  <c r="AC538" i="2"/>
  <c r="AD538" i="2"/>
  <c r="AE538" i="2"/>
  <c r="AC539" i="2"/>
  <c r="AD539" i="2"/>
  <c r="AE539" i="2"/>
  <c r="AC540" i="2"/>
  <c r="AD540" i="2"/>
  <c r="AE540" i="2"/>
  <c r="AC541" i="2"/>
  <c r="AD541" i="2"/>
  <c r="AE541" i="2"/>
  <c r="AC542" i="2"/>
  <c r="AD542" i="2"/>
  <c r="AE542" i="2"/>
  <c r="AC543" i="2"/>
  <c r="AD543" i="2"/>
  <c r="AE543" i="2"/>
  <c r="AC544" i="2"/>
  <c r="AD544" i="2"/>
  <c r="AE544" i="2"/>
  <c r="AC545" i="2"/>
  <c r="AD545" i="2"/>
  <c r="AE545" i="2"/>
  <c r="AC546" i="2"/>
  <c r="AD546" i="2"/>
  <c r="AE546" i="2"/>
  <c r="AC547" i="2"/>
  <c r="AD547" i="2"/>
  <c r="AE547" i="2"/>
  <c r="AC548" i="2"/>
  <c r="AD548" i="2"/>
  <c r="AE548" i="2"/>
  <c r="AC549" i="2"/>
  <c r="AD549" i="2"/>
  <c r="AE549" i="2"/>
  <c r="AC550" i="2"/>
  <c r="AD550" i="2"/>
  <c r="AE550" i="2"/>
  <c r="AC551" i="2"/>
  <c r="AD551" i="2"/>
  <c r="AE551" i="2"/>
  <c r="AC552" i="2"/>
  <c r="AD552" i="2"/>
  <c r="AE552" i="2"/>
  <c r="AC553" i="2"/>
  <c r="AD553" i="2"/>
  <c r="AE553" i="2"/>
  <c r="AC554" i="2"/>
  <c r="AD554" i="2"/>
  <c r="AE554" i="2"/>
  <c r="AC555" i="2"/>
  <c r="AD555" i="2"/>
  <c r="AE555" i="2"/>
  <c r="AC556" i="2"/>
  <c r="AD556" i="2"/>
  <c r="AE556" i="2"/>
  <c r="AC557" i="2"/>
  <c r="AD557" i="2"/>
  <c r="AE557" i="2"/>
  <c r="AC558" i="2"/>
  <c r="AD558" i="2"/>
  <c r="AE558" i="2"/>
  <c r="AC559" i="2"/>
  <c r="AD559" i="2"/>
  <c r="AE559" i="2"/>
  <c r="AC560" i="2"/>
  <c r="AD560" i="2"/>
  <c r="AE560" i="2"/>
  <c r="AC561" i="2"/>
  <c r="AD561" i="2"/>
  <c r="AE561" i="2"/>
  <c r="AC562" i="2"/>
  <c r="AD562" i="2"/>
  <c r="AE562" i="2"/>
  <c r="AC563" i="2"/>
  <c r="AD563" i="2"/>
  <c r="AE563" i="2"/>
  <c r="AC564" i="2"/>
  <c r="AD564" i="2"/>
  <c r="AE564" i="2"/>
  <c r="AC565" i="2"/>
  <c r="AD565" i="2"/>
  <c r="AE565" i="2"/>
  <c r="AC566" i="2"/>
  <c r="AD566" i="2"/>
  <c r="AE566" i="2"/>
  <c r="AC567" i="2"/>
  <c r="AD567" i="2"/>
  <c r="AE567" i="2"/>
  <c r="AC568" i="2"/>
  <c r="AD568" i="2"/>
  <c r="AE568" i="2"/>
  <c r="AC569" i="2"/>
  <c r="AD569" i="2"/>
  <c r="AE569" i="2"/>
  <c r="AC570" i="2"/>
  <c r="AD570" i="2"/>
  <c r="AE570" i="2"/>
  <c r="AC571" i="2"/>
  <c r="AD571" i="2"/>
  <c r="AE571" i="2"/>
  <c r="AC572" i="2"/>
  <c r="AD572" i="2"/>
  <c r="AE572" i="2"/>
  <c r="AC573" i="2"/>
  <c r="AD573" i="2"/>
  <c r="AE573" i="2"/>
  <c r="AC574" i="2"/>
  <c r="AD574" i="2"/>
  <c r="AE574" i="2"/>
  <c r="AC575" i="2"/>
  <c r="AD575" i="2"/>
  <c r="AE575" i="2"/>
  <c r="AC576" i="2"/>
  <c r="AD576" i="2"/>
  <c r="AE576" i="2"/>
  <c r="AC577" i="2"/>
  <c r="AD577" i="2"/>
  <c r="AE577" i="2"/>
  <c r="AC578" i="2"/>
  <c r="AD578" i="2"/>
  <c r="AE578" i="2"/>
  <c r="AC579" i="2"/>
  <c r="AD579" i="2"/>
  <c r="AE579" i="2"/>
  <c r="AC580" i="2"/>
  <c r="AD580" i="2"/>
  <c r="AE580" i="2"/>
  <c r="AC581" i="2"/>
  <c r="AD581" i="2"/>
  <c r="AE581" i="2"/>
  <c r="AC582" i="2"/>
  <c r="AD582" i="2"/>
  <c r="AE582" i="2"/>
  <c r="AC583" i="2"/>
  <c r="AD583" i="2"/>
  <c r="AE583" i="2"/>
  <c r="AC584" i="2"/>
  <c r="AD584" i="2"/>
  <c r="AE584" i="2"/>
  <c r="AC585" i="2"/>
  <c r="AD585" i="2"/>
  <c r="AE585" i="2"/>
  <c r="AC586" i="2"/>
  <c r="AD586" i="2"/>
  <c r="AE586" i="2"/>
  <c r="AC587" i="2"/>
  <c r="AD587" i="2"/>
  <c r="AE587" i="2"/>
  <c r="AC588" i="2"/>
  <c r="AD588" i="2"/>
  <c r="AE588" i="2"/>
  <c r="AC589" i="2"/>
  <c r="AD589" i="2"/>
  <c r="AE589" i="2"/>
  <c r="AC590" i="2"/>
  <c r="AD590" i="2"/>
  <c r="AE590" i="2"/>
  <c r="AC591" i="2"/>
  <c r="AD591" i="2"/>
  <c r="AE591" i="2"/>
  <c r="AC592" i="2"/>
  <c r="AD592" i="2"/>
  <c r="AE592" i="2"/>
  <c r="AC593" i="2"/>
  <c r="AD593" i="2"/>
  <c r="AE593" i="2"/>
  <c r="AC594" i="2"/>
  <c r="AD594" i="2"/>
  <c r="AE594" i="2"/>
  <c r="AC595" i="2"/>
  <c r="AD595" i="2"/>
  <c r="AE595" i="2"/>
  <c r="AC596" i="2"/>
  <c r="AD596" i="2"/>
  <c r="AE596" i="2"/>
  <c r="AC597" i="2"/>
  <c r="AD597" i="2"/>
  <c r="AE597" i="2"/>
  <c r="AC598" i="2"/>
  <c r="AD598" i="2"/>
  <c r="AE598" i="2"/>
  <c r="AC599" i="2"/>
  <c r="AD599" i="2"/>
  <c r="AE599" i="2"/>
  <c r="AC600" i="2"/>
  <c r="AD600" i="2"/>
  <c r="AE600" i="2"/>
  <c r="AC601" i="2"/>
  <c r="AD601" i="2"/>
  <c r="AE601" i="2"/>
  <c r="AC602" i="2"/>
  <c r="AD602" i="2"/>
  <c r="AE602" i="2"/>
  <c r="AC603" i="2"/>
  <c r="AD603" i="2"/>
  <c r="AE603" i="2"/>
  <c r="AC604" i="2"/>
  <c r="AD604" i="2"/>
  <c r="AE604" i="2"/>
  <c r="AC605" i="2"/>
  <c r="AD605" i="2"/>
  <c r="AE605" i="2"/>
  <c r="AC606" i="2"/>
  <c r="AD606" i="2"/>
  <c r="AE606" i="2"/>
  <c r="AC607" i="2"/>
  <c r="AD607" i="2"/>
  <c r="AE607" i="2"/>
  <c r="AC608" i="2"/>
  <c r="AD608" i="2"/>
  <c r="AE608" i="2"/>
  <c r="AC609" i="2"/>
  <c r="AD609" i="2"/>
  <c r="AE609" i="2"/>
  <c r="AC610" i="2"/>
  <c r="AD610" i="2"/>
  <c r="AE610" i="2"/>
  <c r="AC611" i="2"/>
  <c r="AD611" i="2"/>
  <c r="AE611" i="2"/>
  <c r="AC612" i="2"/>
  <c r="AD612" i="2"/>
  <c r="AE612" i="2"/>
  <c r="AC613" i="2"/>
  <c r="AD613" i="2"/>
  <c r="AE613" i="2"/>
  <c r="AC614" i="2"/>
  <c r="AD614" i="2"/>
  <c r="AE614" i="2"/>
  <c r="AC615" i="2"/>
  <c r="AD615" i="2"/>
  <c r="AE615" i="2"/>
  <c r="AC616" i="2"/>
  <c r="AD616" i="2"/>
  <c r="AE616" i="2"/>
  <c r="AC617" i="2"/>
  <c r="AD617" i="2"/>
  <c r="AE617" i="2"/>
  <c r="AC618" i="2"/>
  <c r="AD618" i="2"/>
  <c r="AE618" i="2"/>
  <c r="AC619" i="2"/>
  <c r="AD619" i="2"/>
  <c r="AE619" i="2"/>
  <c r="AC620" i="2"/>
  <c r="AD620" i="2"/>
  <c r="AE620" i="2"/>
  <c r="AC621" i="2"/>
  <c r="AD621" i="2"/>
  <c r="AE621" i="2"/>
  <c r="AC622" i="2"/>
  <c r="AD622" i="2"/>
  <c r="AE622" i="2"/>
  <c r="AC623" i="2"/>
  <c r="AD623" i="2"/>
  <c r="AE623" i="2"/>
  <c r="AC624" i="2"/>
  <c r="AD624" i="2"/>
  <c r="AE624" i="2"/>
  <c r="AC625" i="2"/>
  <c r="AD625" i="2"/>
  <c r="AE625" i="2"/>
  <c r="AC626" i="2"/>
  <c r="AD626" i="2"/>
  <c r="AE626" i="2"/>
  <c r="AC627" i="2"/>
  <c r="AD627" i="2"/>
  <c r="AE627" i="2"/>
  <c r="AC628" i="2"/>
  <c r="AD628" i="2"/>
  <c r="AE628" i="2"/>
  <c r="AC629" i="2"/>
  <c r="AD629" i="2"/>
  <c r="AE629" i="2"/>
  <c r="AC630" i="2"/>
  <c r="AD630" i="2"/>
  <c r="AE630" i="2"/>
  <c r="AC631" i="2"/>
  <c r="AD631" i="2"/>
  <c r="AE631" i="2"/>
  <c r="AC632" i="2"/>
  <c r="AD632" i="2"/>
  <c r="AE632" i="2"/>
  <c r="AC633" i="2"/>
  <c r="AD633" i="2"/>
  <c r="AE633" i="2"/>
  <c r="AC634" i="2"/>
  <c r="AD634" i="2"/>
  <c r="AE634" i="2"/>
  <c r="AC635" i="2"/>
  <c r="AD635" i="2"/>
  <c r="AE635" i="2"/>
  <c r="AC636" i="2"/>
  <c r="AD636" i="2"/>
  <c r="AE636" i="2"/>
  <c r="AC637" i="2"/>
  <c r="AD637" i="2"/>
  <c r="AE637" i="2"/>
  <c r="AC638" i="2"/>
  <c r="AD638" i="2"/>
  <c r="AE638" i="2"/>
  <c r="AC639" i="2"/>
  <c r="AD639" i="2"/>
  <c r="AE639" i="2"/>
  <c r="AC640" i="2"/>
  <c r="AD640" i="2"/>
  <c r="AE640" i="2"/>
  <c r="AC641" i="2"/>
  <c r="AD641" i="2"/>
  <c r="AE641" i="2"/>
  <c r="AC642" i="2"/>
  <c r="AD642" i="2"/>
  <c r="AE642" i="2"/>
  <c r="AC643" i="2"/>
  <c r="AD643" i="2"/>
  <c r="AE643" i="2"/>
  <c r="AC644" i="2"/>
  <c r="AD644" i="2"/>
  <c r="AE644" i="2"/>
  <c r="AC645" i="2"/>
  <c r="AD645" i="2"/>
  <c r="AE645" i="2"/>
  <c r="AC646" i="2"/>
  <c r="AD646" i="2"/>
  <c r="AE646" i="2"/>
  <c r="AC647" i="2"/>
  <c r="AD647" i="2"/>
  <c r="AE647" i="2"/>
  <c r="AC648" i="2"/>
  <c r="AD648" i="2"/>
  <c r="AE648" i="2"/>
  <c r="AC649" i="2"/>
  <c r="AD649" i="2"/>
  <c r="AE649" i="2"/>
  <c r="AC650" i="2"/>
  <c r="AD650" i="2"/>
  <c r="AE650" i="2"/>
  <c r="AC651" i="2"/>
  <c r="AD651" i="2"/>
  <c r="AE651" i="2"/>
  <c r="AC652" i="2"/>
  <c r="AD652" i="2"/>
  <c r="AE652" i="2"/>
  <c r="AC653" i="2"/>
  <c r="AD653" i="2"/>
  <c r="AE653" i="2"/>
  <c r="AC654" i="2"/>
  <c r="AD654" i="2"/>
  <c r="AE654" i="2"/>
  <c r="AC655" i="2"/>
  <c r="AD655" i="2"/>
  <c r="AE655" i="2"/>
  <c r="AC656" i="2"/>
  <c r="AD656" i="2"/>
  <c r="AE656" i="2"/>
  <c r="AC657" i="2"/>
  <c r="AD657" i="2"/>
  <c r="AE657" i="2"/>
  <c r="AC658" i="2"/>
  <c r="AD658" i="2"/>
  <c r="AE658" i="2"/>
  <c r="AC659" i="2"/>
  <c r="AD659" i="2"/>
  <c r="AE659" i="2"/>
  <c r="AC660" i="2"/>
  <c r="AD660" i="2"/>
  <c r="AE660" i="2"/>
  <c r="AC661" i="2"/>
  <c r="AD661" i="2"/>
  <c r="AE661" i="2"/>
  <c r="AC662" i="2"/>
  <c r="AD662" i="2"/>
  <c r="AE662" i="2"/>
  <c r="AC663" i="2"/>
  <c r="AD663" i="2"/>
  <c r="AE663" i="2"/>
  <c r="AC664" i="2"/>
  <c r="AD664" i="2"/>
  <c r="AE664" i="2"/>
  <c r="AC665" i="2"/>
  <c r="AD665" i="2"/>
  <c r="AE665" i="2"/>
  <c r="AC666" i="2"/>
  <c r="AD666" i="2"/>
  <c r="AE666" i="2"/>
  <c r="AC667" i="2"/>
  <c r="AD667" i="2"/>
  <c r="AE667" i="2"/>
  <c r="AC668" i="2"/>
  <c r="AD668" i="2"/>
  <c r="AE668" i="2"/>
  <c r="AC669" i="2"/>
  <c r="AD669" i="2"/>
  <c r="AE669" i="2"/>
  <c r="AC670" i="2"/>
  <c r="AD670" i="2"/>
  <c r="AE670" i="2"/>
  <c r="AC671" i="2"/>
  <c r="AD671" i="2"/>
  <c r="AE671" i="2"/>
  <c r="AC672" i="2"/>
  <c r="AD672" i="2"/>
  <c r="AE672" i="2"/>
  <c r="AC673" i="2"/>
  <c r="AD673" i="2"/>
  <c r="AE673" i="2"/>
  <c r="AC674" i="2"/>
  <c r="AD674" i="2"/>
  <c r="AE674" i="2"/>
  <c r="AC675" i="2"/>
  <c r="AD675" i="2"/>
  <c r="AE675" i="2"/>
  <c r="AC676" i="2"/>
  <c r="AD676" i="2"/>
  <c r="AE676" i="2"/>
  <c r="AC677" i="2"/>
  <c r="AD677" i="2"/>
  <c r="AE677" i="2"/>
  <c r="AC678" i="2"/>
  <c r="AD678" i="2"/>
  <c r="AE678" i="2"/>
  <c r="AC679" i="2"/>
  <c r="AD679" i="2"/>
  <c r="AE679" i="2"/>
  <c r="AC680" i="2"/>
  <c r="AD680" i="2"/>
  <c r="AE680" i="2"/>
  <c r="AC681" i="2"/>
  <c r="AD681" i="2"/>
  <c r="AE681" i="2"/>
  <c r="AC682" i="2"/>
  <c r="AD682" i="2"/>
  <c r="AE682" i="2"/>
  <c r="AC683" i="2"/>
  <c r="AD683" i="2"/>
  <c r="AE683" i="2"/>
  <c r="AC684" i="2"/>
  <c r="AD684" i="2"/>
  <c r="AE684" i="2"/>
  <c r="AC685" i="2"/>
  <c r="AD685" i="2"/>
  <c r="AE685" i="2"/>
  <c r="AC686" i="2"/>
  <c r="AD686" i="2"/>
  <c r="AE686" i="2"/>
  <c r="AC687" i="2"/>
  <c r="AD687" i="2"/>
  <c r="AE687" i="2"/>
  <c r="AC688" i="2"/>
  <c r="AD688" i="2"/>
  <c r="AE688" i="2"/>
  <c r="AC689" i="2"/>
  <c r="AD689" i="2"/>
  <c r="AE689" i="2"/>
  <c r="AC690" i="2"/>
  <c r="AD690" i="2"/>
  <c r="AE690" i="2"/>
  <c r="AC691" i="2"/>
  <c r="AD691" i="2"/>
  <c r="AE691" i="2"/>
  <c r="AC692" i="2"/>
  <c r="AD692" i="2"/>
  <c r="AE692" i="2"/>
  <c r="AC693" i="2"/>
  <c r="AD693" i="2"/>
  <c r="AE693" i="2"/>
  <c r="AC694" i="2"/>
  <c r="AD694" i="2"/>
  <c r="AE694" i="2"/>
  <c r="AC695" i="2"/>
  <c r="AD695" i="2"/>
  <c r="AE695" i="2"/>
  <c r="AC696" i="2"/>
  <c r="AD696" i="2"/>
  <c r="AE696" i="2"/>
  <c r="AC697" i="2"/>
  <c r="AD697" i="2"/>
  <c r="AE697" i="2"/>
  <c r="AC698" i="2"/>
  <c r="AD698" i="2"/>
  <c r="AE698" i="2"/>
  <c r="AC699" i="2"/>
  <c r="AD699" i="2"/>
  <c r="AE699" i="2"/>
  <c r="AC700" i="2"/>
  <c r="AD700" i="2"/>
  <c r="AE700" i="2"/>
  <c r="AC701" i="2"/>
  <c r="AD701" i="2"/>
  <c r="AE701" i="2"/>
  <c r="AC702" i="2"/>
  <c r="AD702" i="2"/>
  <c r="AE702" i="2"/>
  <c r="AC703" i="2"/>
  <c r="AD703" i="2"/>
  <c r="AE703" i="2"/>
  <c r="AC704" i="2"/>
  <c r="AD704" i="2"/>
  <c r="AE704" i="2"/>
  <c r="AC705" i="2"/>
  <c r="AD705" i="2"/>
  <c r="AE705" i="2"/>
  <c r="AC706" i="2"/>
  <c r="AD706" i="2"/>
  <c r="AE706" i="2"/>
  <c r="AC707" i="2"/>
  <c r="AD707" i="2"/>
  <c r="AE707" i="2"/>
  <c r="AC708" i="2"/>
  <c r="AD708" i="2"/>
  <c r="AE708" i="2"/>
  <c r="AC709" i="2"/>
  <c r="AD709" i="2"/>
  <c r="AE709" i="2"/>
  <c r="AC710" i="2"/>
  <c r="AD710" i="2"/>
  <c r="AE710" i="2"/>
  <c r="AC711" i="2"/>
  <c r="AD711" i="2"/>
  <c r="AE711" i="2"/>
  <c r="AC712" i="2"/>
  <c r="AD712" i="2"/>
  <c r="AE712" i="2"/>
  <c r="AC713" i="2"/>
  <c r="AD713" i="2"/>
  <c r="AE713" i="2"/>
  <c r="AC714" i="2"/>
  <c r="AD714" i="2"/>
  <c r="AE714" i="2"/>
  <c r="AC715" i="2"/>
  <c r="AD715" i="2"/>
  <c r="AE715" i="2"/>
  <c r="AC716" i="2"/>
  <c r="AD716" i="2"/>
  <c r="AE716" i="2"/>
  <c r="AC717" i="2"/>
  <c r="AD717" i="2"/>
  <c r="AE717" i="2"/>
  <c r="AC718" i="2"/>
  <c r="AD718" i="2"/>
  <c r="AE718" i="2"/>
  <c r="AC719" i="2"/>
  <c r="AD719" i="2"/>
  <c r="AE719" i="2"/>
  <c r="AC720" i="2"/>
  <c r="AD720" i="2"/>
  <c r="AE720" i="2"/>
  <c r="AC721" i="2"/>
  <c r="AD721" i="2"/>
  <c r="AE721" i="2"/>
  <c r="AC722" i="2"/>
  <c r="AD722" i="2"/>
  <c r="AE722" i="2"/>
  <c r="AC723" i="2"/>
  <c r="AD723" i="2"/>
  <c r="AE723" i="2"/>
  <c r="AC724" i="2"/>
  <c r="AD724" i="2"/>
  <c r="AE724" i="2"/>
  <c r="AC725" i="2"/>
  <c r="AD725" i="2"/>
  <c r="AE725" i="2"/>
  <c r="AC726" i="2"/>
  <c r="AD726" i="2"/>
  <c r="AE726" i="2"/>
  <c r="AC727" i="2"/>
  <c r="AD727" i="2"/>
  <c r="AE727" i="2"/>
  <c r="AC728" i="2"/>
  <c r="AD728" i="2"/>
  <c r="AE728" i="2"/>
  <c r="AC729" i="2"/>
  <c r="AD729" i="2"/>
  <c r="AE729" i="2"/>
  <c r="AC730" i="2"/>
  <c r="AD730" i="2"/>
  <c r="AE730" i="2"/>
  <c r="AC731" i="2"/>
  <c r="AD731" i="2"/>
  <c r="AE731" i="2"/>
  <c r="AC732" i="2"/>
  <c r="AD732" i="2"/>
  <c r="AE732" i="2"/>
  <c r="AC733" i="2"/>
  <c r="AD733" i="2"/>
  <c r="AE733" i="2"/>
  <c r="AC734" i="2"/>
  <c r="AD734" i="2"/>
  <c r="AE734" i="2"/>
  <c r="AC735" i="2"/>
  <c r="AD735" i="2"/>
  <c r="AE735" i="2"/>
  <c r="AC736" i="2"/>
  <c r="AD736" i="2"/>
  <c r="AE736" i="2"/>
  <c r="AC737" i="2"/>
  <c r="AD737" i="2"/>
  <c r="AE737" i="2"/>
  <c r="AC738" i="2"/>
  <c r="AD738" i="2"/>
  <c r="AE738" i="2"/>
  <c r="AC739" i="2"/>
  <c r="AD739" i="2"/>
  <c r="AE739" i="2"/>
  <c r="AC740" i="2"/>
  <c r="AD740" i="2"/>
  <c r="AE740" i="2"/>
  <c r="AC741" i="2"/>
  <c r="AD741" i="2"/>
  <c r="AE741" i="2"/>
  <c r="AC742" i="2"/>
  <c r="AD742" i="2"/>
  <c r="AE742" i="2"/>
  <c r="AC743" i="2"/>
  <c r="AD743" i="2"/>
  <c r="AE743" i="2"/>
  <c r="AC744" i="2"/>
  <c r="AD744" i="2"/>
  <c r="AE744" i="2"/>
  <c r="AC745" i="2"/>
  <c r="AD745" i="2"/>
  <c r="AE745" i="2"/>
  <c r="AC746" i="2"/>
  <c r="AD746" i="2"/>
  <c r="AE746" i="2"/>
  <c r="AC747" i="2"/>
  <c r="AD747" i="2"/>
  <c r="AE747" i="2"/>
  <c r="AC748" i="2"/>
  <c r="AD748" i="2"/>
  <c r="AE748" i="2"/>
  <c r="AC749" i="2"/>
  <c r="AD749" i="2"/>
  <c r="AE749" i="2"/>
  <c r="AC750" i="2"/>
  <c r="AD750" i="2"/>
  <c r="AE750" i="2"/>
  <c r="AC751" i="2"/>
  <c r="AD751" i="2"/>
  <c r="AE751" i="2"/>
  <c r="AC752" i="2"/>
  <c r="AD752" i="2"/>
  <c r="AE752" i="2"/>
  <c r="AC753" i="2"/>
  <c r="AD753" i="2"/>
  <c r="AE753" i="2"/>
  <c r="AC754" i="2"/>
  <c r="AD754" i="2"/>
  <c r="AE754" i="2"/>
  <c r="AC755" i="2"/>
  <c r="AD755" i="2"/>
  <c r="AE755" i="2"/>
  <c r="AC756" i="2"/>
  <c r="AD756" i="2"/>
  <c r="AE756" i="2"/>
  <c r="AC757" i="2"/>
  <c r="AD757" i="2"/>
  <c r="AE757" i="2"/>
  <c r="AC758" i="2"/>
  <c r="AD758" i="2"/>
  <c r="AE758" i="2"/>
  <c r="AC759" i="2"/>
  <c r="AD759" i="2"/>
  <c r="AE759" i="2"/>
  <c r="AC760" i="2"/>
  <c r="AD760" i="2"/>
  <c r="AE760" i="2"/>
  <c r="AC761" i="2"/>
  <c r="AD761" i="2"/>
  <c r="AE761" i="2"/>
  <c r="AC762" i="2"/>
  <c r="AD762" i="2"/>
  <c r="AE762" i="2"/>
  <c r="AC763" i="2"/>
  <c r="AD763" i="2"/>
  <c r="AE763" i="2"/>
  <c r="AC764" i="2"/>
  <c r="AD764" i="2"/>
  <c r="AE764" i="2"/>
  <c r="AC765" i="2"/>
  <c r="AD765" i="2"/>
  <c r="AE765" i="2"/>
  <c r="AC766" i="2"/>
  <c r="AD766" i="2"/>
  <c r="AE766" i="2"/>
  <c r="AC767" i="2"/>
  <c r="AD767" i="2"/>
  <c r="AE767" i="2"/>
  <c r="AC768" i="2"/>
  <c r="AD768" i="2"/>
  <c r="AE768" i="2"/>
  <c r="AC769" i="2"/>
  <c r="AD769" i="2"/>
  <c r="AE769" i="2"/>
  <c r="AC770" i="2"/>
  <c r="AD770" i="2"/>
  <c r="AE770" i="2"/>
  <c r="AC771" i="2"/>
  <c r="AD771" i="2"/>
  <c r="AE771" i="2"/>
  <c r="AC772" i="2"/>
  <c r="AD772" i="2"/>
  <c r="AE772" i="2"/>
  <c r="AC773" i="2"/>
  <c r="AD773" i="2"/>
  <c r="AE773" i="2"/>
  <c r="AC774" i="2"/>
  <c r="AD774" i="2"/>
  <c r="AE774" i="2"/>
  <c r="AC775" i="2"/>
  <c r="AD775" i="2"/>
  <c r="AE775" i="2"/>
  <c r="AC776" i="2"/>
  <c r="AD776" i="2"/>
  <c r="AE776" i="2"/>
  <c r="AC777" i="2"/>
  <c r="AD777" i="2"/>
  <c r="AE777" i="2"/>
  <c r="AC778" i="2"/>
  <c r="AD778" i="2"/>
  <c r="AE778" i="2"/>
  <c r="AC779" i="2"/>
  <c r="AD779" i="2"/>
  <c r="AE779" i="2"/>
  <c r="AC780" i="2"/>
  <c r="AD780" i="2"/>
  <c r="AE780" i="2"/>
  <c r="AC781" i="2"/>
  <c r="AD781" i="2"/>
  <c r="AE781" i="2"/>
  <c r="AC782" i="2"/>
  <c r="AD782" i="2"/>
  <c r="AE782" i="2"/>
  <c r="AC783" i="2"/>
  <c r="AD783" i="2"/>
  <c r="AE783" i="2"/>
  <c r="AC784" i="2"/>
  <c r="AD784" i="2"/>
  <c r="AE784" i="2"/>
  <c r="AC785" i="2"/>
  <c r="AD785" i="2"/>
  <c r="AE785" i="2"/>
  <c r="AC786" i="2"/>
  <c r="AD786" i="2"/>
  <c r="AE786" i="2"/>
  <c r="AC787" i="2"/>
  <c r="AD787" i="2"/>
  <c r="AE787" i="2"/>
  <c r="AC788" i="2"/>
  <c r="AD788" i="2"/>
  <c r="AE788" i="2"/>
  <c r="AC789" i="2"/>
  <c r="AD789" i="2"/>
  <c r="AE789" i="2"/>
  <c r="AC790" i="2"/>
  <c r="AD790" i="2"/>
  <c r="AE790" i="2"/>
  <c r="AC791" i="2"/>
  <c r="AD791" i="2"/>
  <c r="AE791" i="2"/>
  <c r="AC792" i="2"/>
  <c r="AD792" i="2"/>
  <c r="AE792" i="2"/>
  <c r="AC793" i="2"/>
  <c r="AD793" i="2"/>
  <c r="AE793" i="2"/>
  <c r="AC794" i="2"/>
  <c r="AD794" i="2"/>
  <c r="AE794" i="2"/>
  <c r="AC795" i="2"/>
  <c r="AD795" i="2"/>
  <c r="AE795" i="2"/>
  <c r="AC796" i="2"/>
  <c r="AD796" i="2"/>
  <c r="AE796" i="2"/>
  <c r="AC797" i="2"/>
  <c r="AD797" i="2"/>
  <c r="AE797" i="2"/>
  <c r="AC798" i="2"/>
  <c r="AD798" i="2"/>
  <c r="AE798" i="2"/>
  <c r="AC799" i="2"/>
  <c r="AD799" i="2"/>
  <c r="AE799" i="2"/>
  <c r="AC800" i="2"/>
  <c r="AD800" i="2"/>
  <c r="AE800" i="2"/>
  <c r="AC801" i="2"/>
  <c r="AD801" i="2"/>
  <c r="AE801" i="2"/>
  <c r="AC802" i="2"/>
  <c r="AD802" i="2"/>
  <c r="AE802" i="2"/>
  <c r="AC803" i="2"/>
  <c r="AD803" i="2"/>
  <c r="AE803" i="2"/>
  <c r="AC804" i="2"/>
  <c r="AD804" i="2"/>
  <c r="AE804" i="2"/>
  <c r="AC805" i="2"/>
  <c r="AD805" i="2"/>
  <c r="AE805" i="2"/>
  <c r="AC806" i="2"/>
  <c r="AD806" i="2"/>
  <c r="AE806" i="2"/>
  <c r="AC807" i="2"/>
  <c r="AD807" i="2"/>
  <c r="AE807" i="2"/>
  <c r="AC808" i="2"/>
  <c r="AD808" i="2"/>
  <c r="AE808" i="2"/>
  <c r="AC809" i="2"/>
  <c r="AD809" i="2"/>
  <c r="AE809" i="2"/>
  <c r="AC810" i="2"/>
  <c r="AD810" i="2"/>
  <c r="AE810" i="2"/>
  <c r="AC811" i="2"/>
  <c r="AD811" i="2"/>
  <c r="AE811" i="2"/>
  <c r="AC812" i="2"/>
  <c r="AD812" i="2"/>
  <c r="AE812" i="2"/>
  <c r="AC813" i="2"/>
  <c r="AD813" i="2"/>
  <c r="AE813" i="2"/>
  <c r="AC814" i="2"/>
  <c r="AD814" i="2"/>
  <c r="AE814" i="2"/>
  <c r="AC815" i="2"/>
  <c r="AD815" i="2"/>
  <c r="AE815" i="2"/>
  <c r="AC816" i="2"/>
  <c r="AD816" i="2"/>
  <c r="AE816" i="2"/>
  <c r="AC817" i="2"/>
  <c r="AD817" i="2"/>
  <c r="AE817" i="2"/>
  <c r="AC818" i="2"/>
  <c r="AD818" i="2"/>
  <c r="AE818" i="2"/>
  <c r="AC819" i="2"/>
  <c r="AD819" i="2"/>
  <c r="AE819" i="2"/>
  <c r="AC820" i="2"/>
  <c r="AD820" i="2"/>
  <c r="AE820" i="2"/>
  <c r="AC821" i="2"/>
  <c r="AD821" i="2"/>
  <c r="AE821" i="2"/>
  <c r="AC822" i="2"/>
  <c r="AD822" i="2"/>
  <c r="AE822" i="2"/>
  <c r="AC823" i="2"/>
  <c r="AD823" i="2"/>
  <c r="AE823" i="2"/>
  <c r="AC824" i="2"/>
  <c r="AD824" i="2"/>
  <c r="AE824" i="2"/>
  <c r="AC825" i="2"/>
  <c r="AD825" i="2"/>
  <c r="AE825" i="2"/>
  <c r="AC826" i="2"/>
  <c r="AD826" i="2"/>
  <c r="AE826" i="2"/>
  <c r="AC827" i="2"/>
  <c r="AD827" i="2"/>
  <c r="AE827" i="2"/>
  <c r="AC828" i="2"/>
  <c r="AD828" i="2"/>
  <c r="AE828" i="2"/>
  <c r="AC829" i="2"/>
  <c r="AD829" i="2"/>
  <c r="AE829" i="2"/>
  <c r="AC830" i="2"/>
  <c r="AD830" i="2"/>
  <c r="AE830" i="2"/>
  <c r="AC831" i="2"/>
  <c r="AD831" i="2"/>
  <c r="AE831" i="2"/>
  <c r="AC832" i="2"/>
  <c r="AD832" i="2"/>
  <c r="AE832" i="2"/>
  <c r="AC833" i="2"/>
  <c r="AD833" i="2"/>
  <c r="AE833" i="2"/>
  <c r="AC834" i="2"/>
  <c r="AD834" i="2"/>
  <c r="AE834" i="2"/>
  <c r="AC835" i="2"/>
  <c r="AD835" i="2"/>
  <c r="AE835" i="2"/>
  <c r="AC836" i="2"/>
  <c r="AD836" i="2"/>
  <c r="AE836" i="2"/>
  <c r="AC837" i="2"/>
  <c r="AD837" i="2"/>
  <c r="AE837" i="2"/>
  <c r="AC838" i="2"/>
  <c r="AD838" i="2"/>
  <c r="AE838" i="2"/>
  <c r="AC839" i="2"/>
  <c r="AD839" i="2"/>
  <c r="AE839" i="2"/>
  <c r="AC840" i="2"/>
  <c r="AD840" i="2"/>
  <c r="AE840" i="2"/>
  <c r="AC841" i="2"/>
  <c r="AD841" i="2"/>
  <c r="AE841" i="2"/>
  <c r="AC842" i="2"/>
  <c r="AD842" i="2"/>
  <c r="AE842" i="2"/>
  <c r="AC843" i="2"/>
  <c r="AD843" i="2"/>
  <c r="AE843" i="2"/>
  <c r="AC844" i="2"/>
  <c r="AD844" i="2"/>
  <c r="AE844" i="2"/>
  <c r="AC845" i="2"/>
  <c r="AD845" i="2"/>
  <c r="AE845" i="2"/>
  <c r="AC846" i="2"/>
  <c r="AD846" i="2"/>
  <c r="AE846" i="2"/>
  <c r="AC847" i="2"/>
  <c r="AD847" i="2"/>
  <c r="AE847" i="2"/>
  <c r="AC848" i="2"/>
  <c r="AD848" i="2"/>
  <c r="AE848" i="2"/>
  <c r="AC849" i="2"/>
  <c r="AD849" i="2"/>
  <c r="AE849" i="2"/>
  <c r="AC850" i="2"/>
  <c r="AD850" i="2"/>
  <c r="AE850" i="2"/>
  <c r="AC851" i="2"/>
  <c r="AD851" i="2"/>
  <c r="AE851" i="2"/>
  <c r="AC852" i="2"/>
  <c r="AD852" i="2"/>
  <c r="AE852" i="2"/>
  <c r="AC853" i="2"/>
  <c r="AD853" i="2"/>
  <c r="AE853" i="2"/>
  <c r="AC854" i="2"/>
  <c r="AD854" i="2"/>
  <c r="AE854" i="2"/>
  <c r="AC855" i="2"/>
  <c r="AD855" i="2"/>
  <c r="AE855" i="2"/>
  <c r="AC856" i="2"/>
  <c r="AD856" i="2"/>
  <c r="AE856" i="2"/>
  <c r="AC857" i="2"/>
  <c r="AD857" i="2"/>
  <c r="AE857" i="2"/>
  <c r="AC858" i="2"/>
  <c r="AD858" i="2"/>
  <c r="AE858" i="2"/>
  <c r="AC859" i="2"/>
  <c r="AD859" i="2"/>
  <c r="AE859" i="2"/>
  <c r="AC860" i="2"/>
  <c r="AD860" i="2"/>
  <c r="AE860" i="2"/>
  <c r="AC861" i="2"/>
  <c r="AD861" i="2"/>
  <c r="AE861" i="2"/>
  <c r="AC862" i="2"/>
  <c r="AD862" i="2"/>
  <c r="AE862" i="2"/>
  <c r="AC863" i="2"/>
  <c r="AD863" i="2"/>
  <c r="AE863" i="2"/>
  <c r="AC864" i="2"/>
  <c r="AD864" i="2"/>
  <c r="AE864" i="2"/>
  <c r="AC865" i="2"/>
  <c r="AD865" i="2"/>
  <c r="AE865" i="2"/>
  <c r="AC866" i="2"/>
  <c r="AD866" i="2"/>
  <c r="AE866" i="2"/>
  <c r="AC867" i="2"/>
  <c r="AD867" i="2"/>
  <c r="AE867" i="2"/>
  <c r="AC868" i="2"/>
  <c r="AD868" i="2"/>
  <c r="AE868" i="2"/>
  <c r="AC869" i="2"/>
  <c r="AD869" i="2"/>
  <c r="AE869" i="2"/>
  <c r="AC870" i="2"/>
  <c r="AD870" i="2"/>
  <c r="AE870" i="2"/>
  <c r="AC871" i="2"/>
  <c r="AD871" i="2"/>
  <c r="AE871" i="2"/>
  <c r="AC872" i="2"/>
  <c r="AD872" i="2"/>
  <c r="AE872" i="2"/>
  <c r="AC873" i="2"/>
  <c r="AD873" i="2"/>
  <c r="AE873" i="2"/>
  <c r="AC874" i="2"/>
  <c r="AD874" i="2"/>
  <c r="AE874" i="2"/>
  <c r="AC875" i="2"/>
  <c r="AD875" i="2"/>
  <c r="AE875" i="2"/>
  <c r="AC876" i="2"/>
  <c r="AD876" i="2"/>
  <c r="AE876" i="2"/>
  <c r="AC877" i="2"/>
  <c r="AD877" i="2"/>
  <c r="AE877" i="2"/>
  <c r="AC878" i="2"/>
  <c r="AD878" i="2"/>
  <c r="AE878" i="2"/>
  <c r="AC879" i="2"/>
  <c r="AD879" i="2"/>
  <c r="AE879" i="2"/>
  <c r="AC880" i="2"/>
  <c r="AD880" i="2"/>
  <c r="AE880" i="2"/>
  <c r="AC881" i="2"/>
  <c r="AD881" i="2"/>
  <c r="AE881" i="2"/>
  <c r="AC882" i="2"/>
  <c r="AD882" i="2"/>
  <c r="AE882" i="2"/>
  <c r="AC883" i="2"/>
  <c r="AD883" i="2"/>
  <c r="AE883" i="2"/>
  <c r="AC884" i="2"/>
  <c r="AD884" i="2"/>
  <c r="AE884" i="2"/>
  <c r="AC885" i="2"/>
  <c r="AD885" i="2"/>
  <c r="AE885" i="2"/>
  <c r="AC886" i="2"/>
  <c r="AD886" i="2"/>
  <c r="AE886" i="2"/>
  <c r="AC887" i="2"/>
  <c r="AD887" i="2"/>
  <c r="AE887" i="2"/>
  <c r="AC888" i="2"/>
  <c r="AD888" i="2"/>
  <c r="AE888" i="2"/>
  <c r="AC889" i="2"/>
  <c r="AD889" i="2"/>
  <c r="AE889" i="2"/>
  <c r="AC890" i="2"/>
  <c r="AD890" i="2"/>
  <c r="AE890" i="2"/>
  <c r="AC891" i="2"/>
  <c r="AD891" i="2"/>
  <c r="AE891" i="2"/>
  <c r="AC892" i="2"/>
  <c r="AD892" i="2"/>
  <c r="AE892" i="2"/>
  <c r="AC893" i="2"/>
  <c r="AD893" i="2"/>
  <c r="AE893" i="2"/>
  <c r="AC894" i="2"/>
  <c r="AD894" i="2"/>
  <c r="AE894" i="2"/>
  <c r="AC895" i="2"/>
  <c r="AD895" i="2"/>
  <c r="AE895" i="2"/>
  <c r="AC896" i="2"/>
  <c r="AD896" i="2"/>
  <c r="AE896" i="2"/>
  <c r="AC897" i="2"/>
  <c r="AD897" i="2"/>
  <c r="AE897" i="2"/>
  <c r="AC898" i="2"/>
  <c r="AD898" i="2"/>
  <c r="AE898" i="2"/>
  <c r="AC899" i="2"/>
  <c r="AD899" i="2"/>
  <c r="AE899" i="2"/>
  <c r="AC900" i="2"/>
  <c r="AD900" i="2"/>
  <c r="AE900" i="2"/>
  <c r="AC901" i="2"/>
  <c r="AD901" i="2"/>
  <c r="AE901" i="2"/>
  <c r="AC902" i="2"/>
  <c r="AD902" i="2"/>
  <c r="AE902" i="2"/>
  <c r="AC903" i="2"/>
  <c r="AD903" i="2"/>
  <c r="AE903" i="2"/>
  <c r="AC904" i="2"/>
  <c r="AD904" i="2"/>
  <c r="AE904" i="2"/>
  <c r="AC905" i="2"/>
  <c r="AD905" i="2"/>
  <c r="AE905" i="2"/>
  <c r="AC906" i="2"/>
  <c r="AD906" i="2"/>
  <c r="AE906" i="2"/>
  <c r="AC907" i="2"/>
  <c r="AD907" i="2"/>
  <c r="AE907" i="2"/>
  <c r="AC908" i="2"/>
  <c r="AD908" i="2"/>
  <c r="AE908" i="2"/>
  <c r="AC909" i="2"/>
  <c r="AD909" i="2"/>
  <c r="AE909" i="2"/>
  <c r="AC910" i="2"/>
  <c r="AD910" i="2"/>
  <c r="AE910" i="2"/>
  <c r="AC911" i="2"/>
  <c r="AD911" i="2"/>
  <c r="AE911" i="2"/>
  <c r="AC912" i="2"/>
  <c r="AD912" i="2"/>
  <c r="AE912" i="2"/>
  <c r="AC913" i="2"/>
  <c r="AD913" i="2"/>
  <c r="AE913" i="2"/>
  <c r="AC914" i="2"/>
  <c r="AD914" i="2"/>
  <c r="AE914" i="2"/>
  <c r="AC915" i="2"/>
  <c r="AD915" i="2"/>
  <c r="AE915" i="2"/>
  <c r="AC916" i="2"/>
  <c r="AD916" i="2"/>
  <c r="AE916" i="2"/>
  <c r="AC917" i="2"/>
  <c r="AD917" i="2"/>
  <c r="AE917" i="2"/>
  <c r="AC918" i="2"/>
  <c r="AD918" i="2"/>
  <c r="AE918" i="2"/>
  <c r="AC919" i="2"/>
  <c r="AD919" i="2"/>
  <c r="AE919" i="2"/>
  <c r="AC920" i="2"/>
  <c r="AD920" i="2"/>
  <c r="AE920" i="2"/>
  <c r="AC921" i="2"/>
  <c r="AD921" i="2"/>
  <c r="AE921" i="2"/>
  <c r="AC922" i="2"/>
  <c r="AD922" i="2"/>
  <c r="AE922" i="2"/>
  <c r="AC923" i="2"/>
  <c r="AD923" i="2"/>
  <c r="AE923" i="2"/>
  <c r="AC924" i="2"/>
  <c r="AD924" i="2"/>
  <c r="AE924" i="2"/>
  <c r="AC925" i="2"/>
  <c r="AD925" i="2"/>
  <c r="AE925" i="2"/>
  <c r="AC926" i="2"/>
  <c r="AD926" i="2"/>
  <c r="AE926" i="2"/>
  <c r="AC927" i="2"/>
  <c r="AD927" i="2"/>
  <c r="AE927" i="2"/>
  <c r="AC928" i="2"/>
  <c r="AD928" i="2"/>
  <c r="AE928" i="2"/>
  <c r="AC929" i="2"/>
  <c r="AD929" i="2"/>
  <c r="AE929" i="2"/>
  <c r="AC930" i="2"/>
  <c r="AD930" i="2"/>
  <c r="AE930" i="2"/>
  <c r="AC931" i="2"/>
  <c r="AD931" i="2"/>
  <c r="AE931" i="2"/>
  <c r="AC932" i="2"/>
  <c r="AD932" i="2"/>
  <c r="AE932" i="2"/>
  <c r="AC933" i="2"/>
  <c r="AD933" i="2"/>
  <c r="AE933" i="2"/>
  <c r="AC934" i="2"/>
  <c r="AD934" i="2"/>
  <c r="AE934" i="2"/>
  <c r="AC935" i="2"/>
  <c r="AD935" i="2"/>
  <c r="AE935" i="2"/>
  <c r="AC936" i="2"/>
  <c r="AD936" i="2"/>
  <c r="AE936" i="2"/>
  <c r="AC937" i="2"/>
  <c r="AD937" i="2"/>
  <c r="AE937" i="2"/>
  <c r="AC938" i="2"/>
  <c r="AD938" i="2"/>
  <c r="AE938" i="2"/>
  <c r="AC939" i="2"/>
  <c r="AD939" i="2"/>
  <c r="AE939" i="2"/>
  <c r="AC940" i="2"/>
  <c r="AD940" i="2"/>
  <c r="AE940" i="2"/>
  <c r="AC941" i="2"/>
  <c r="AD941" i="2"/>
  <c r="AE941" i="2"/>
  <c r="AC942" i="2"/>
  <c r="AD942" i="2"/>
  <c r="AE942" i="2"/>
  <c r="AC943" i="2"/>
  <c r="AD943" i="2"/>
  <c r="AE943" i="2"/>
  <c r="AC944" i="2"/>
  <c r="AD944" i="2"/>
  <c r="AE944" i="2"/>
  <c r="AC945" i="2"/>
  <c r="AD945" i="2"/>
  <c r="AE945" i="2"/>
  <c r="AC946" i="2"/>
  <c r="AD946" i="2"/>
  <c r="AE946" i="2"/>
  <c r="AC947" i="2"/>
  <c r="AD947" i="2"/>
  <c r="AE947" i="2"/>
  <c r="AC948" i="2"/>
  <c r="AD948" i="2"/>
  <c r="AE948" i="2"/>
  <c r="AC949" i="2"/>
  <c r="AD949" i="2"/>
  <c r="AE949" i="2"/>
  <c r="AC950" i="2"/>
  <c r="AD950" i="2"/>
  <c r="AE950" i="2"/>
  <c r="AC951" i="2"/>
  <c r="AD951" i="2"/>
  <c r="AE951" i="2"/>
  <c r="AC952" i="2"/>
  <c r="AD952" i="2"/>
  <c r="AE952" i="2"/>
  <c r="AC953" i="2"/>
  <c r="AD953" i="2"/>
  <c r="AE953" i="2"/>
  <c r="AC954" i="2"/>
  <c r="AD954" i="2"/>
  <c r="AE954" i="2"/>
  <c r="AC955" i="2"/>
  <c r="AD955" i="2"/>
  <c r="AE955" i="2"/>
  <c r="AC956" i="2"/>
  <c r="AD956" i="2"/>
  <c r="AE956" i="2"/>
  <c r="AC957" i="2"/>
  <c r="AD957" i="2"/>
  <c r="AE957" i="2"/>
  <c r="AC958" i="2"/>
  <c r="AD958" i="2"/>
  <c r="AE958" i="2"/>
  <c r="AC959" i="2"/>
  <c r="AD959" i="2"/>
  <c r="AE959" i="2"/>
  <c r="AC960" i="2"/>
  <c r="AD960" i="2"/>
  <c r="AE960" i="2"/>
  <c r="AC961" i="2"/>
  <c r="AD961" i="2"/>
  <c r="AE961" i="2"/>
  <c r="AC962" i="2"/>
  <c r="AD962" i="2"/>
  <c r="AE962" i="2"/>
  <c r="AC963" i="2"/>
  <c r="AD963" i="2"/>
  <c r="AE963" i="2"/>
  <c r="AC964" i="2"/>
  <c r="AD964" i="2"/>
  <c r="AE964" i="2"/>
  <c r="AC965" i="2"/>
  <c r="AD965" i="2"/>
  <c r="AE965" i="2"/>
  <c r="AC966" i="2"/>
  <c r="AD966" i="2"/>
  <c r="AE966" i="2"/>
  <c r="AC967" i="2"/>
  <c r="AD967" i="2"/>
  <c r="AE967" i="2"/>
  <c r="AC968" i="2"/>
  <c r="AD968" i="2"/>
  <c r="AE968" i="2"/>
  <c r="AC969" i="2"/>
  <c r="AD969" i="2"/>
  <c r="AE969" i="2"/>
  <c r="AC970" i="2"/>
  <c r="AD970" i="2"/>
  <c r="AE970" i="2"/>
  <c r="AC971" i="2"/>
  <c r="AD971" i="2"/>
  <c r="AE971" i="2"/>
  <c r="AC972" i="2"/>
  <c r="AD972" i="2"/>
  <c r="AE972" i="2"/>
  <c r="AC973" i="2"/>
  <c r="AD973" i="2"/>
  <c r="AE973" i="2"/>
  <c r="AC974" i="2"/>
  <c r="AD974" i="2"/>
  <c r="AE974" i="2"/>
  <c r="AC975" i="2"/>
  <c r="AD975" i="2"/>
  <c r="AE975" i="2"/>
  <c r="AC976" i="2"/>
  <c r="AD976" i="2"/>
  <c r="AE976" i="2"/>
  <c r="AC977" i="2"/>
  <c r="AD977" i="2"/>
  <c r="AE977" i="2"/>
  <c r="AC978" i="2"/>
  <c r="AD978" i="2"/>
  <c r="AE978" i="2"/>
  <c r="AC979" i="2"/>
  <c r="AD979" i="2"/>
  <c r="AE979" i="2"/>
  <c r="AC980" i="2"/>
  <c r="AD980" i="2"/>
  <c r="AE980" i="2"/>
  <c r="AC981" i="2"/>
  <c r="AD981" i="2"/>
  <c r="AE981" i="2"/>
  <c r="AC982" i="2"/>
  <c r="AD982" i="2"/>
  <c r="AE982" i="2"/>
  <c r="AC983" i="2"/>
  <c r="AD983" i="2"/>
  <c r="AE983" i="2"/>
  <c r="AC984" i="2"/>
  <c r="AD984" i="2"/>
  <c r="AE984" i="2"/>
  <c r="AC985" i="2"/>
  <c r="AD985" i="2"/>
  <c r="AE985" i="2"/>
  <c r="AC986" i="2"/>
  <c r="AD986" i="2"/>
  <c r="AE986" i="2"/>
  <c r="AC987" i="2"/>
  <c r="AD987" i="2"/>
  <c r="AE987" i="2"/>
  <c r="AC988" i="2"/>
  <c r="AD988" i="2"/>
  <c r="AE988" i="2"/>
  <c r="AC989" i="2"/>
  <c r="AD989" i="2"/>
  <c r="AE989" i="2"/>
  <c r="AC990" i="2"/>
  <c r="AD990" i="2"/>
  <c r="AE990" i="2"/>
  <c r="AC991" i="2"/>
  <c r="AD991" i="2"/>
  <c r="AE991" i="2"/>
  <c r="AC992" i="2"/>
  <c r="AD992" i="2"/>
  <c r="AE992" i="2"/>
  <c r="AC993" i="2"/>
  <c r="AD993" i="2"/>
  <c r="AE993" i="2"/>
  <c r="AC994" i="2"/>
  <c r="AD994" i="2"/>
  <c r="AE994" i="2"/>
  <c r="AC995" i="2"/>
  <c r="AD995" i="2"/>
  <c r="AE995" i="2"/>
  <c r="AC996" i="2"/>
  <c r="AD996" i="2"/>
  <c r="AE996" i="2"/>
  <c r="AC997" i="2"/>
  <c r="AD997" i="2"/>
  <c r="AE997" i="2"/>
  <c r="AC998" i="2"/>
  <c r="AD998" i="2"/>
  <c r="AE998" i="2"/>
  <c r="AC999" i="2"/>
  <c r="AD999" i="2"/>
  <c r="AE999" i="2"/>
  <c r="AC1000" i="2"/>
  <c r="AD1000" i="2"/>
  <c r="AE1000" i="2"/>
  <c r="AC1001" i="2"/>
  <c r="AD1001" i="2"/>
  <c r="AE1001" i="2"/>
  <c r="AC1002" i="2"/>
  <c r="AD1002" i="2"/>
  <c r="AE1002" i="2"/>
  <c r="AC1003" i="2"/>
  <c r="AD1003" i="2"/>
  <c r="AE1003" i="2"/>
  <c r="AC1004" i="2"/>
  <c r="AD1004" i="2"/>
  <c r="AE1004" i="2"/>
  <c r="AC1005" i="2"/>
  <c r="AD1005" i="2"/>
  <c r="AE1005" i="2"/>
  <c r="AC1006" i="2"/>
  <c r="AD1006" i="2"/>
  <c r="AE1006" i="2"/>
  <c r="AC1007" i="2"/>
  <c r="AD1007" i="2"/>
  <c r="AE1007" i="2"/>
  <c r="AC1008" i="2"/>
  <c r="AD1008" i="2"/>
  <c r="AE1008" i="2"/>
  <c r="AC1009" i="2"/>
  <c r="AD1009" i="2"/>
  <c r="AE1009" i="2"/>
  <c r="AC1010" i="2"/>
  <c r="AD1010" i="2"/>
  <c r="AE1010" i="2"/>
  <c r="AC1011" i="2"/>
  <c r="AD1011" i="2"/>
  <c r="AE1011" i="2"/>
  <c r="AC1012" i="2"/>
  <c r="AD1012" i="2"/>
  <c r="AE1012" i="2"/>
  <c r="AC1013" i="2"/>
  <c r="AD1013" i="2"/>
  <c r="AE1013" i="2"/>
  <c r="AC1014" i="2"/>
  <c r="AD1014" i="2"/>
  <c r="AE1014" i="2"/>
  <c r="AC1015" i="2"/>
  <c r="AD1015" i="2"/>
  <c r="AE1015" i="2"/>
  <c r="AC1016" i="2"/>
  <c r="AD1016" i="2"/>
  <c r="AE1016" i="2"/>
  <c r="AC1017" i="2"/>
  <c r="AD1017" i="2"/>
  <c r="AE1017" i="2"/>
  <c r="AC1018" i="2"/>
  <c r="AD1018" i="2"/>
  <c r="AE1018" i="2"/>
  <c r="AC1019" i="2"/>
  <c r="AD1019" i="2"/>
  <c r="AE1019" i="2"/>
  <c r="AC1020" i="2"/>
  <c r="AD1020" i="2"/>
  <c r="AE1020" i="2"/>
  <c r="AC1021" i="2"/>
  <c r="AD1021" i="2"/>
  <c r="AE1021" i="2"/>
  <c r="AC1022" i="2"/>
  <c r="AD1022" i="2"/>
  <c r="AE1022" i="2"/>
  <c r="AC1023" i="2"/>
  <c r="AD1023" i="2"/>
  <c r="AE1023" i="2"/>
  <c r="AC1024" i="2"/>
  <c r="AD1024" i="2"/>
  <c r="AE1024" i="2"/>
  <c r="AC1025" i="2"/>
  <c r="AD1025" i="2"/>
  <c r="AE1025" i="2"/>
  <c r="AC1026" i="2"/>
  <c r="AD1026" i="2"/>
  <c r="AE1026" i="2"/>
  <c r="AC1027" i="2"/>
  <c r="AD1027" i="2"/>
  <c r="AE1027" i="2"/>
  <c r="AC1028" i="2"/>
  <c r="AD1028" i="2"/>
  <c r="AE1028" i="2"/>
  <c r="AC1029" i="2"/>
  <c r="AD1029" i="2"/>
  <c r="AE1029" i="2"/>
  <c r="AC1030" i="2"/>
  <c r="AD1030" i="2"/>
  <c r="AE1030" i="2"/>
  <c r="AC1031" i="2"/>
  <c r="AD1031" i="2"/>
  <c r="AE1031" i="2"/>
  <c r="AC1032" i="2"/>
  <c r="AD1032" i="2"/>
  <c r="AE1032" i="2"/>
  <c r="AC1033" i="2"/>
  <c r="AD1033" i="2"/>
  <c r="AE1033" i="2"/>
  <c r="AC1034" i="2"/>
  <c r="AD1034" i="2"/>
  <c r="AE1034" i="2"/>
  <c r="AC1035" i="2"/>
  <c r="AD1035" i="2"/>
  <c r="AE1035" i="2"/>
  <c r="AC1036" i="2"/>
  <c r="AD1036" i="2"/>
  <c r="AE1036" i="2"/>
  <c r="AC1037" i="2"/>
  <c r="AD1037" i="2"/>
  <c r="AE1037" i="2"/>
  <c r="AC1038" i="2"/>
  <c r="AD1038" i="2"/>
  <c r="AE1038" i="2"/>
  <c r="AC1039" i="2"/>
  <c r="AD1039" i="2"/>
  <c r="AE1039" i="2"/>
  <c r="AC1040" i="2"/>
  <c r="AD1040" i="2"/>
  <c r="AE1040" i="2"/>
  <c r="AC1041" i="2"/>
  <c r="AD1041" i="2"/>
  <c r="AE1041" i="2"/>
  <c r="AC1042" i="2"/>
  <c r="AD1042" i="2"/>
  <c r="AE1042" i="2"/>
  <c r="AC1043" i="2"/>
  <c r="AD1043" i="2"/>
  <c r="AE1043" i="2"/>
  <c r="AC1044" i="2"/>
  <c r="AD1044" i="2"/>
  <c r="AE1044" i="2"/>
  <c r="AC1045" i="2"/>
  <c r="AD1045" i="2"/>
  <c r="AE1045" i="2"/>
  <c r="AC1046" i="2"/>
  <c r="AD1046" i="2"/>
  <c r="AE1046" i="2"/>
  <c r="AC1047" i="2"/>
  <c r="AD1047" i="2"/>
  <c r="AE1047" i="2"/>
  <c r="AC1048" i="2"/>
  <c r="AD1048" i="2"/>
  <c r="AE1048" i="2"/>
  <c r="AC1049" i="2"/>
  <c r="AD1049" i="2"/>
  <c r="AE1049" i="2"/>
  <c r="AC1050" i="2"/>
  <c r="AD1050" i="2"/>
  <c r="AE1050" i="2"/>
  <c r="AC1051" i="2"/>
  <c r="AD1051" i="2"/>
  <c r="AE1051" i="2"/>
  <c r="AC1052" i="2"/>
  <c r="AD1052" i="2"/>
  <c r="AE1052" i="2"/>
  <c r="AC1053" i="2"/>
  <c r="AD1053" i="2"/>
  <c r="AE1053" i="2"/>
  <c r="AC1054" i="2"/>
  <c r="AD1054" i="2"/>
  <c r="AE1054" i="2"/>
  <c r="AC1055" i="2"/>
  <c r="AD1055" i="2"/>
  <c r="AE1055" i="2"/>
  <c r="AC1056" i="2"/>
  <c r="AD1056" i="2"/>
  <c r="AE1056" i="2"/>
  <c r="AC1057" i="2"/>
  <c r="AD1057" i="2"/>
  <c r="AE1057" i="2"/>
  <c r="AC1058" i="2"/>
  <c r="AD1058" i="2"/>
  <c r="AE1058" i="2"/>
  <c r="AC1059" i="2"/>
  <c r="AD1059" i="2"/>
  <c r="AE1059" i="2"/>
  <c r="AC1060" i="2"/>
  <c r="AD1060" i="2"/>
  <c r="AE1060" i="2"/>
  <c r="AC1061" i="2"/>
  <c r="AD1061" i="2"/>
  <c r="AE1061" i="2"/>
  <c r="AC1062" i="2"/>
  <c r="AD1062" i="2"/>
  <c r="AE1062" i="2"/>
  <c r="AC1063" i="2"/>
  <c r="AD1063" i="2"/>
  <c r="AE1063" i="2"/>
  <c r="AC1064" i="2"/>
  <c r="AD1064" i="2"/>
  <c r="AE1064" i="2"/>
  <c r="AC1065" i="2"/>
  <c r="AD1065" i="2"/>
  <c r="AE1065" i="2"/>
  <c r="AC1066" i="2"/>
  <c r="AD1066" i="2"/>
  <c r="AE1066" i="2"/>
  <c r="AC1067" i="2"/>
  <c r="AD1067" i="2"/>
  <c r="AE1067" i="2"/>
  <c r="AC1068" i="2"/>
  <c r="AD1068" i="2"/>
  <c r="AE1068" i="2"/>
  <c r="AC1069" i="2"/>
  <c r="AD1069" i="2"/>
  <c r="AE1069" i="2"/>
  <c r="AC1070" i="2"/>
  <c r="AD1070" i="2"/>
  <c r="AE1070" i="2"/>
  <c r="AC1071" i="2"/>
  <c r="AD1071" i="2"/>
  <c r="AE1071" i="2"/>
  <c r="AC1072" i="2"/>
  <c r="AD1072" i="2"/>
  <c r="AE1072" i="2"/>
  <c r="AC1073" i="2"/>
  <c r="AD1073" i="2"/>
  <c r="AE1073" i="2"/>
  <c r="AC1074" i="2"/>
  <c r="AD1074" i="2"/>
  <c r="AE1074" i="2"/>
  <c r="AC1075" i="2"/>
  <c r="AD1075" i="2"/>
  <c r="AE1075" i="2"/>
  <c r="AC1076" i="2"/>
  <c r="AD1076" i="2"/>
  <c r="AE1076" i="2"/>
  <c r="AC1077" i="2"/>
  <c r="AD1077" i="2"/>
  <c r="AE1077" i="2"/>
  <c r="AC1078" i="2"/>
  <c r="AD1078" i="2"/>
  <c r="AE1078" i="2"/>
  <c r="AC1079" i="2"/>
  <c r="AD1079" i="2"/>
  <c r="AE1079" i="2"/>
  <c r="AC1080" i="2"/>
  <c r="AD1080" i="2"/>
  <c r="AE1080" i="2"/>
  <c r="AC1081" i="2"/>
  <c r="AD1081" i="2"/>
  <c r="AE1081" i="2"/>
  <c r="AC1082" i="2"/>
  <c r="AD1082" i="2"/>
  <c r="AE1082" i="2"/>
  <c r="AC1083" i="2"/>
  <c r="AD1083" i="2"/>
  <c r="AE1083" i="2"/>
  <c r="AC1084" i="2"/>
  <c r="AD1084" i="2"/>
  <c r="AE1084" i="2"/>
  <c r="AC1085" i="2"/>
  <c r="AD1085" i="2"/>
  <c r="AE1085" i="2"/>
  <c r="AC1086" i="2"/>
  <c r="AD1086" i="2"/>
  <c r="AE1086" i="2"/>
  <c r="AC1087" i="2"/>
  <c r="AD1087" i="2"/>
  <c r="AE1087" i="2"/>
  <c r="AC1088" i="2"/>
  <c r="AD1088" i="2"/>
  <c r="AE1088" i="2"/>
  <c r="AC1089" i="2"/>
  <c r="AD1089" i="2"/>
  <c r="AE1089" i="2"/>
  <c r="AC1090" i="2"/>
  <c r="AD1090" i="2"/>
  <c r="AE1090" i="2"/>
  <c r="AC1091" i="2"/>
  <c r="AD1091" i="2"/>
  <c r="AE1091" i="2"/>
  <c r="AC1092" i="2"/>
  <c r="AD1092" i="2"/>
  <c r="AE1092" i="2"/>
  <c r="AC1093" i="2"/>
  <c r="AD1093" i="2"/>
  <c r="AE1093" i="2"/>
  <c r="AC1094" i="2"/>
  <c r="AD1094" i="2"/>
  <c r="AE1094" i="2"/>
  <c r="AC1095" i="2"/>
  <c r="AD1095" i="2"/>
  <c r="AE1095" i="2"/>
  <c r="AC1096" i="2"/>
  <c r="AD1096" i="2"/>
  <c r="AE1096" i="2"/>
  <c r="AC1097" i="2"/>
  <c r="AD1097" i="2"/>
  <c r="AE1097" i="2"/>
  <c r="AC1098" i="2"/>
  <c r="AD1098" i="2"/>
  <c r="AE1098" i="2"/>
  <c r="AC1099" i="2"/>
  <c r="AD1099" i="2"/>
  <c r="AE1099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AP257" i="2" s="1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K357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X130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BB2" i="2" l="1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BB246" i="2"/>
  <c r="BB247" i="2"/>
  <c r="BB248" i="2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BB261" i="2"/>
  <c r="BB262" i="2"/>
  <c r="BB263" i="2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BB276" i="2"/>
  <c r="BB277" i="2"/>
  <c r="BB278" i="2"/>
  <c r="BB279" i="2"/>
  <c r="BB280" i="2"/>
  <c r="BB281" i="2"/>
  <c r="BB282" i="2"/>
  <c r="BB283" i="2"/>
  <c r="BB284" i="2"/>
  <c r="BB285" i="2"/>
  <c r="BB286" i="2"/>
  <c r="BB287" i="2"/>
  <c r="BB288" i="2"/>
  <c r="BB289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BB306" i="2"/>
  <c r="BB307" i="2"/>
  <c r="BB308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BB321" i="2"/>
  <c r="BB322" i="2"/>
  <c r="BB323" i="2"/>
  <c r="BB324" i="2"/>
  <c r="BB325" i="2"/>
  <c r="BB326" i="2"/>
  <c r="BB327" i="2"/>
  <c r="BB328" i="2"/>
  <c r="BB329" i="2"/>
  <c r="BB330" i="2"/>
  <c r="BB331" i="2"/>
  <c r="BB332" i="2"/>
  <c r="BB333" i="2"/>
  <c r="BB334" i="2"/>
  <c r="BB335" i="2"/>
  <c r="BB336" i="2"/>
  <c r="BB337" i="2"/>
  <c r="BB338" i="2"/>
  <c r="BB339" i="2"/>
  <c r="BB340" i="2"/>
  <c r="BB341" i="2"/>
  <c r="BB342" i="2"/>
  <c r="BB343" i="2"/>
  <c r="BB344" i="2"/>
  <c r="BB345" i="2"/>
  <c r="BB346" i="2"/>
  <c r="BB347" i="2"/>
  <c r="BB348" i="2"/>
  <c r="BB349" i="2"/>
  <c r="BB350" i="2"/>
  <c r="BB351" i="2"/>
  <c r="BB352" i="2"/>
  <c r="BB353" i="2"/>
  <c r="BB354" i="2"/>
  <c r="BB355" i="2"/>
  <c r="BB356" i="2"/>
  <c r="BB357" i="2"/>
  <c r="BB358" i="2"/>
  <c r="BB359" i="2"/>
  <c r="BB360" i="2"/>
  <c r="BB361" i="2"/>
  <c r="BB362" i="2"/>
  <c r="BB363" i="2"/>
  <c r="BB364" i="2"/>
  <c r="BB365" i="2"/>
  <c r="BB366" i="2"/>
  <c r="BB367" i="2"/>
  <c r="BB368" i="2"/>
  <c r="BB369" i="2"/>
  <c r="BB370" i="2"/>
  <c r="BB371" i="2"/>
  <c r="BB372" i="2"/>
  <c r="BB373" i="2"/>
  <c r="BB374" i="2"/>
  <c r="BB375" i="2"/>
  <c r="BB376" i="2"/>
  <c r="BB377" i="2"/>
  <c r="BB378" i="2"/>
  <c r="BB379" i="2"/>
  <c r="BB380" i="2"/>
  <c r="BB381" i="2"/>
  <c r="BB382" i="2"/>
  <c r="BB383" i="2"/>
  <c r="BB384" i="2"/>
  <c r="BB385" i="2"/>
  <c r="BB386" i="2"/>
  <c r="BB387" i="2"/>
  <c r="BB388" i="2"/>
  <c r="BB389" i="2"/>
  <c r="BB390" i="2"/>
  <c r="BB391" i="2"/>
  <c r="BB392" i="2"/>
  <c r="BB393" i="2"/>
  <c r="BB394" i="2"/>
  <c r="BB395" i="2"/>
  <c r="BB396" i="2"/>
  <c r="BB397" i="2"/>
  <c r="BB398" i="2"/>
  <c r="BB399" i="2"/>
  <c r="BB400" i="2"/>
  <c r="BB401" i="2"/>
  <c r="BB402" i="2"/>
  <c r="BB403" i="2"/>
  <c r="BB404" i="2"/>
  <c r="BB405" i="2"/>
  <c r="BB406" i="2"/>
  <c r="BB407" i="2"/>
  <c r="BB408" i="2"/>
  <c r="BB409" i="2"/>
  <c r="BB410" i="2"/>
  <c r="BB411" i="2"/>
  <c r="BB412" i="2"/>
  <c r="BB413" i="2"/>
  <c r="BB414" i="2"/>
  <c r="BB415" i="2"/>
  <c r="BB416" i="2"/>
  <c r="BB417" i="2"/>
  <c r="BB418" i="2"/>
  <c r="BB419" i="2"/>
  <c r="BB420" i="2"/>
  <c r="BB421" i="2"/>
  <c r="BB422" i="2"/>
  <c r="BB423" i="2"/>
  <c r="BB424" i="2"/>
  <c r="BB425" i="2"/>
  <c r="BB426" i="2"/>
  <c r="BB427" i="2"/>
  <c r="BB428" i="2"/>
  <c r="BB429" i="2"/>
  <c r="BB430" i="2"/>
  <c r="BB431" i="2"/>
  <c r="BB432" i="2"/>
  <c r="BB433" i="2"/>
  <c r="BB434" i="2"/>
  <c r="BB435" i="2"/>
  <c r="BB436" i="2"/>
  <c r="BB437" i="2"/>
  <c r="BB438" i="2"/>
  <c r="BB439" i="2"/>
  <c r="BB440" i="2"/>
  <c r="BB441" i="2"/>
  <c r="BB442" i="2"/>
  <c r="BB443" i="2"/>
  <c r="BB444" i="2"/>
  <c r="BB445" i="2"/>
  <c r="BB446" i="2"/>
  <c r="BB447" i="2"/>
  <c r="BB448" i="2"/>
  <c r="BB449" i="2"/>
  <c r="BB450" i="2"/>
  <c r="BB451" i="2"/>
  <c r="BB452" i="2"/>
  <c r="BB453" i="2"/>
  <c r="BB454" i="2"/>
  <c r="BB455" i="2"/>
  <c r="BB456" i="2"/>
  <c r="BB457" i="2"/>
  <c r="BB458" i="2"/>
  <c r="BB459" i="2"/>
  <c r="BB460" i="2"/>
  <c r="BB461" i="2"/>
  <c r="BB462" i="2"/>
  <c r="BB463" i="2"/>
  <c r="BB464" i="2"/>
  <c r="BB465" i="2"/>
  <c r="BB466" i="2"/>
  <c r="BB467" i="2"/>
  <c r="BB468" i="2"/>
  <c r="BB469" i="2"/>
  <c r="BB470" i="2"/>
  <c r="BB471" i="2"/>
  <c r="BB472" i="2"/>
  <c r="BB473" i="2"/>
  <c r="BB474" i="2"/>
  <c r="BB475" i="2"/>
  <c r="BB476" i="2"/>
  <c r="BB477" i="2"/>
  <c r="BB478" i="2"/>
  <c r="BB479" i="2"/>
  <c r="BB480" i="2"/>
  <c r="BB481" i="2"/>
  <c r="BB482" i="2"/>
  <c r="BB483" i="2"/>
  <c r="BB484" i="2"/>
  <c r="BB485" i="2"/>
  <c r="BB486" i="2"/>
  <c r="BB487" i="2"/>
  <c r="BB488" i="2"/>
  <c r="BB489" i="2"/>
  <c r="BB490" i="2"/>
  <c r="BB491" i="2"/>
  <c r="BB492" i="2"/>
  <c r="BB493" i="2"/>
  <c r="BB494" i="2"/>
  <c r="BB495" i="2"/>
  <c r="BB496" i="2"/>
  <c r="BB497" i="2"/>
  <c r="BB498" i="2"/>
  <c r="BB499" i="2"/>
  <c r="BB500" i="2"/>
  <c r="BB501" i="2"/>
  <c r="BB502" i="2"/>
  <c r="BB503" i="2"/>
  <c r="BB504" i="2"/>
  <c r="BB505" i="2"/>
  <c r="BB506" i="2"/>
  <c r="BB507" i="2"/>
  <c r="BB508" i="2"/>
  <c r="BB509" i="2"/>
  <c r="BB510" i="2"/>
  <c r="BB511" i="2"/>
  <c r="BB512" i="2"/>
  <c r="BB513" i="2"/>
  <c r="BB514" i="2"/>
  <c r="BB515" i="2"/>
  <c r="BB516" i="2"/>
  <c r="BB517" i="2"/>
  <c r="BB518" i="2"/>
  <c r="BB519" i="2"/>
  <c r="BB520" i="2"/>
  <c r="BB521" i="2"/>
  <c r="BB522" i="2"/>
  <c r="BB523" i="2"/>
  <c r="BB524" i="2"/>
  <c r="BB525" i="2"/>
  <c r="BB526" i="2"/>
  <c r="BB527" i="2"/>
  <c r="BB528" i="2"/>
  <c r="BB529" i="2"/>
  <c r="BB530" i="2"/>
  <c r="BB531" i="2"/>
  <c r="BB532" i="2"/>
  <c r="BB533" i="2"/>
  <c r="BB534" i="2"/>
  <c r="BB535" i="2"/>
  <c r="BB536" i="2"/>
  <c r="BB537" i="2"/>
  <c r="BB538" i="2"/>
  <c r="BB539" i="2"/>
  <c r="BB540" i="2"/>
  <c r="BB541" i="2"/>
  <c r="BB542" i="2"/>
  <c r="BB543" i="2"/>
  <c r="BB544" i="2"/>
  <c r="BB545" i="2"/>
  <c r="BB546" i="2"/>
  <c r="BB547" i="2"/>
  <c r="BB548" i="2"/>
  <c r="BB549" i="2"/>
  <c r="BB550" i="2"/>
  <c r="BB551" i="2"/>
  <c r="BB552" i="2"/>
  <c r="BB553" i="2"/>
  <c r="BB554" i="2"/>
  <c r="BB555" i="2"/>
  <c r="BB556" i="2"/>
  <c r="BB557" i="2"/>
  <c r="BB558" i="2"/>
  <c r="BB559" i="2"/>
  <c r="BB560" i="2"/>
  <c r="BB561" i="2"/>
  <c r="BB562" i="2"/>
  <c r="BB563" i="2"/>
  <c r="BB564" i="2"/>
  <c r="BB565" i="2"/>
  <c r="BB566" i="2"/>
  <c r="BB567" i="2"/>
  <c r="BB568" i="2"/>
  <c r="BB569" i="2"/>
  <c r="BB570" i="2"/>
  <c r="BB571" i="2"/>
  <c r="BB572" i="2"/>
  <c r="BB573" i="2"/>
  <c r="BB574" i="2"/>
  <c r="BB575" i="2"/>
  <c r="BB576" i="2"/>
  <c r="BB577" i="2"/>
  <c r="BB578" i="2"/>
  <c r="BB579" i="2"/>
  <c r="BB580" i="2"/>
  <c r="BB581" i="2"/>
  <c r="BB582" i="2"/>
  <c r="BB583" i="2"/>
  <c r="BB584" i="2"/>
  <c r="BB585" i="2"/>
  <c r="BB586" i="2"/>
  <c r="BB587" i="2"/>
  <c r="BB588" i="2"/>
  <c r="BB589" i="2"/>
  <c r="BB590" i="2"/>
  <c r="BB591" i="2"/>
  <c r="BB592" i="2"/>
  <c r="BB593" i="2"/>
  <c r="BB594" i="2"/>
  <c r="BB595" i="2"/>
  <c r="BB596" i="2"/>
  <c r="BB597" i="2"/>
  <c r="BB598" i="2"/>
  <c r="BB599" i="2"/>
  <c r="BB600" i="2"/>
  <c r="BB601" i="2"/>
  <c r="BB602" i="2"/>
  <c r="BB603" i="2"/>
  <c r="BB604" i="2"/>
  <c r="BB605" i="2"/>
  <c r="BB606" i="2"/>
  <c r="BB607" i="2"/>
  <c r="BB608" i="2"/>
  <c r="BB609" i="2"/>
  <c r="BB610" i="2"/>
  <c r="BB611" i="2"/>
  <c r="BB612" i="2"/>
  <c r="BB613" i="2"/>
  <c r="BB614" i="2"/>
  <c r="BB615" i="2"/>
  <c r="BB616" i="2"/>
  <c r="BB617" i="2"/>
  <c r="BB618" i="2"/>
  <c r="BB619" i="2"/>
  <c r="BB620" i="2"/>
  <c r="BB621" i="2"/>
  <c r="BB622" i="2"/>
  <c r="BB623" i="2"/>
  <c r="BB624" i="2"/>
  <c r="BB625" i="2"/>
  <c r="BB626" i="2"/>
  <c r="BB627" i="2"/>
  <c r="BB628" i="2"/>
  <c r="BB629" i="2"/>
  <c r="BB630" i="2"/>
  <c r="BB631" i="2"/>
  <c r="BB632" i="2"/>
  <c r="BB633" i="2"/>
  <c r="BB634" i="2"/>
  <c r="BB635" i="2"/>
  <c r="BB636" i="2"/>
  <c r="BB637" i="2"/>
  <c r="BB638" i="2"/>
  <c r="BB639" i="2"/>
  <c r="BB640" i="2"/>
  <c r="BB641" i="2"/>
  <c r="BB642" i="2"/>
  <c r="BB643" i="2"/>
  <c r="BB644" i="2"/>
  <c r="BB645" i="2"/>
  <c r="BB646" i="2"/>
  <c r="BB647" i="2"/>
  <c r="BB648" i="2"/>
  <c r="BB649" i="2"/>
  <c r="BB650" i="2"/>
  <c r="BB651" i="2"/>
  <c r="BB652" i="2"/>
  <c r="BB653" i="2"/>
  <c r="BB654" i="2"/>
  <c r="BB655" i="2"/>
  <c r="BB656" i="2"/>
  <c r="BB657" i="2"/>
  <c r="BB658" i="2"/>
  <c r="BB659" i="2"/>
  <c r="BB660" i="2"/>
  <c r="BB661" i="2"/>
  <c r="BB662" i="2"/>
  <c r="BB663" i="2"/>
  <c r="BB664" i="2"/>
  <c r="BB665" i="2"/>
  <c r="BB666" i="2"/>
  <c r="BB667" i="2"/>
  <c r="BB668" i="2"/>
  <c r="BB669" i="2"/>
  <c r="BB670" i="2"/>
  <c r="BB671" i="2"/>
  <c r="BB672" i="2"/>
  <c r="BB673" i="2"/>
  <c r="BB674" i="2"/>
  <c r="BB675" i="2"/>
  <c r="BB676" i="2"/>
  <c r="BB677" i="2"/>
  <c r="BB678" i="2"/>
  <c r="BB679" i="2"/>
  <c r="BB680" i="2"/>
  <c r="BB681" i="2"/>
  <c r="BB682" i="2"/>
  <c r="BB683" i="2"/>
  <c r="BB684" i="2"/>
  <c r="BB685" i="2"/>
  <c r="BB686" i="2"/>
  <c r="BB687" i="2"/>
  <c r="BB688" i="2"/>
  <c r="BB689" i="2"/>
  <c r="BB690" i="2"/>
  <c r="BB691" i="2"/>
  <c r="BB692" i="2"/>
  <c r="BB693" i="2"/>
  <c r="BB694" i="2"/>
  <c r="BB695" i="2"/>
  <c r="BB696" i="2"/>
  <c r="BB697" i="2"/>
  <c r="BB698" i="2"/>
  <c r="BB699" i="2"/>
  <c r="BB700" i="2"/>
  <c r="BB701" i="2"/>
  <c r="BB702" i="2"/>
  <c r="BB703" i="2"/>
  <c r="BB704" i="2"/>
  <c r="BB705" i="2"/>
  <c r="BB706" i="2"/>
  <c r="BB707" i="2"/>
  <c r="BB708" i="2"/>
  <c r="BB709" i="2"/>
  <c r="BB710" i="2"/>
  <c r="BB711" i="2"/>
  <c r="BB712" i="2"/>
  <c r="BB713" i="2"/>
  <c r="BB714" i="2"/>
  <c r="BB715" i="2"/>
  <c r="BB716" i="2"/>
  <c r="BB717" i="2"/>
  <c r="BB718" i="2"/>
  <c r="BB719" i="2"/>
  <c r="BB720" i="2"/>
  <c r="BB721" i="2"/>
  <c r="BB722" i="2"/>
  <c r="BB723" i="2"/>
  <c r="BB724" i="2"/>
  <c r="BB725" i="2"/>
  <c r="BB726" i="2"/>
  <c r="BB727" i="2"/>
  <c r="BB728" i="2"/>
  <c r="BB729" i="2"/>
  <c r="BB730" i="2"/>
  <c r="BB731" i="2"/>
  <c r="BB732" i="2"/>
  <c r="BB733" i="2"/>
  <c r="BB734" i="2"/>
  <c r="BB735" i="2"/>
  <c r="BB736" i="2"/>
  <c r="BB737" i="2"/>
  <c r="BB738" i="2"/>
  <c r="BB739" i="2"/>
  <c r="BB740" i="2"/>
  <c r="BB741" i="2"/>
  <c r="BB742" i="2"/>
  <c r="BB743" i="2"/>
  <c r="BB744" i="2"/>
  <c r="BB745" i="2"/>
  <c r="BB746" i="2"/>
  <c r="BB747" i="2"/>
  <c r="BB748" i="2"/>
  <c r="BB749" i="2"/>
  <c r="BB750" i="2"/>
  <c r="BB751" i="2"/>
  <c r="BB752" i="2"/>
  <c r="BB753" i="2"/>
  <c r="BB754" i="2"/>
  <c r="BB755" i="2"/>
  <c r="BB756" i="2"/>
  <c r="BB757" i="2"/>
  <c r="BB758" i="2"/>
  <c r="BB759" i="2"/>
  <c r="BB760" i="2"/>
  <c r="BB761" i="2"/>
  <c r="BB762" i="2"/>
  <c r="BB763" i="2"/>
  <c r="BB764" i="2"/>
  <c r="BB765" i="2"/>
  <c r="BB766" i="2"/>
  <c r="BB767" i="2"/>
  <c r="BB768" i="2"/>
  <c r="BB769" i="2"/>
  <c r="BB770" i="2"/>
  <c r="BB771" i="2"/>
  <c r="BB772" i="2"/>
  <c r="BB773" i="2"/>
  <c r="BB774" i="2"/>
  <c r="BB775" i="2"/>
  <c r="BB776" i="2"/>
  <c r="BB777" i="2"/>
  <c r="BB778" i="2"/>
  <c r="BB779" i="2"/>
  <c r="BB780" i="2"/>
  <c r="BB781" i="2"/>
  <c r="BB782" i="2"/>
  <c r="BB783" i="2"/>
  <c r="BB784" i="2"/>
  <c r="BB785" i="2"/>
  <c r="BB786" i="2"/>
  <c r="BB787" i="2"/>
  <c r="BB788" i="2"/>
  <c r="BB789" i="2"/>
  <c r="BB790" i="2"/>
  <c r="BB791" i="2"/>
  <c r="BB792" i="2"/>
  <c r="BB793" i="2"/>
  <c r="BB794" i="2"/>
  <c r="BB795" i="2"/>
  <c r="BB796" i="2"/>
  <c r="BB797" i="2"/>
  <c r="BB798" i="2"/>
  <c r="BB799" i="2"/>
  <c r="BB800" i="2"/>
  <c r="BB801" i="2"/>
  <c r="BB802" i="2"/>
  <c r="BB803" i="2"/>
  <c r="BB804" i="2"/>
  <c r="BB805" i="2"/>
  <c r="BB806" i="2"/>
  <c r="BB807" i="2"/>
  <c r="BB808" i="2"/>
  <c r="BB809" i="2"/>
  <c r="BB810" i="2"/>
  <c r="BB811" i="2"/>
  <c r="BB812" i="2"/>
  <c r="BB813" i="2"/>
  <c r="BB814" i="2"/>
  <c r="BB815" i="2"/>
  <c r="BB816" i="2"/>
  <c r="BB817" i="2"/>
  <c r="BB818" i="2"/>
  <c r="BB819" i="2"/>
  <c r="BB820" i="2"/>
  <c r="BB821" i="2"/>
  <c r="BB822" i="2"/>
  <c r="BB823" i="2"/>
  <c r="BB824" i="2"/>
  <c r="BB825" i="2"/>
  <c r="BB826" i="2"/>
  <c r="BB827" i="2"/>
  <c r="BB828" i="2"/>
  <c r="BB829" i="2"/>
  <c r="BB830" i="2"/>
  <c r="BB831" i="2"/>
  <c r="BB832" i="2"/>
  <c r="BB833" i="2"/>
  <c r="BB834" i="2"/>
  <c r="BB835" i="2"/>
  <c r="BB836" i="2"/>
  <c r="BB837" i="2"/>
  <c r="BB838" i="2"/>
  <c r="BB839" i="2"/>
  <c r="BB840" i="2"/>
  <c r="BB841" i="2"/>
  <c r="BB842" i="2"/>
  <c r="BB843" i="2"/>
  <c r="BB844" i="2"/>
  <c r="BB845" i="2"/>
  <c r="BB846" i="2"/>
  <c r="BB847" i="2"/>
  <c r="BB848" i="2"/>
  <c r="BB849" i="2"/>
  <c r="BB850" i="2"/>
  <c r="BB851" i="2"/>
  <c r="BB852" i="2"/>
  <c r="BB853" i="2"/>
  <c r="BB854" i="2"/>
  <c r="BB855" i="2"/>
  <c r="BB856" i="2"/>
  <c r="BB857" i="2"/>
  <c r="BB858" i="2"/>
  <c r="BB859" i="2"/>
  <c r="BB860" i="2"/>
  <c r="BB861" i="2"/>
  <c r="BB862" i="2"/>
  <c r="BB863" i="2"/>
  <c r="BB864" i="2"/>
  <c r="BB865" i="2"/>
  <c r="BB866" i="2"/>
  <c r="BB867" i="2"/>
  <c r="BB868" i="2"/>
  <c r="BB869" i="2"/>
  <c r="BB870" i="2"/>
  <c r="BB871" i="2"/>
  <c r="BB872" i="2"/>
  <c r="BB873" i="2"/>
  <c r="BB874" i="2"/>
  <c r="BB875" i="2"/>
  <c r="BB876" i="2"/>
  <c r="BB877" i="2"/>
  <c r="BB878" i="2"/>
  <c r="BB879" i="2"/>
  <c r="BB880" i="2"/>
  <c r="BB881" i="2"/>
  <c r="BB882" i="2"/>
  <c r="BB883" i="2"/>
  <c r="BB884" i="2"/>
  <c r="BB885" i="2"/>
  <c r="BB886" i="2"/>
  <c r="BB887" i="2"/>
  <c r="BB888" i="2"/>
  <c r="BB889" i="2"/>
  <c r="BB890" i="2"/>
  <c r="BB891" i="2"/>
  <c r="BB892" i="2"/>
  <c r="BB893" i="2"/>
  <c r="BB894" i="2"/>
  <c r="BB895" i="2"/>
  <c r="BB896" i="2"/>
  <c r="BB897" i="2"/>
  <c r="BB898" i="2"/>
  <c r="BB899" i="2"/>
  <c r="BB900" i="2"/>
  <c r="BB901" i="2"/>
  <c r="BB902" i="2"/>
  <c r="BB903" i="2"/>
  <c r="BB904" i="2"/>
  <c r="BB905" i="2"/>
  <c r="BB906" i="2"/>
  <c r="BB907" i="2"/>
  <c r="BB908" i="2"/>
  <c r="BB909" i="2"/>
  <c r="BB910" i="2"/>
  <c r="BB911" i="2"/>
  <c r="BB912" i="2"/>
  <c r="BB913" i="2"/>
  <c r="BB914" i="2"/>
  <c r="BB915" i="2"/>
  <c r="BB916" i="2"/>
  <c r="BB917" i="2"/>
  <c r="BB918" i="2"/>
  <c r="BB919" i="2"/>
  <c r="BB920" i="2"/>
  <c r="BB921" i="2"/>
  <c r="BB922" i="2"/>
  <c r="BB923" i="2"/>
  <c r="BB924" i="2"/>
  <c r="BB925" i="2"/>
  <c r="BB926" i="2"/>
  <c r="BB927" i="2"/>
  <c r="BB928" i="2"/>
  <c r="BB929" i="2"/>
  <c r="BB930" i="2"/>
  <c r="BB931" i="2"/>
  <c r="BB932" i="2"/>
  <c r="BB933" i="2"/>
  <c r="BB934" i="2"/>
  <c r="BB935" i="2"/>
  <c r="BB936" i="2"/>
  <c r="BB937" i="2"/>
  <c r="BB938" i="2"/>
  <c r="BB939" i="2"/>
  <c r="BB940" i="2"/>
  <c r="BB941" i="2"/>
  <c r="BB942" i="2"/>
  <c r="BB943" i="2"/>
  <c r="BB944" i="2"/>
  <c r="BB945" i="2"/>
  <c r="BB946" i="2"/>
  <c r="BB947" i="2"/>
  <c r="BB948" i="2"/>
  <c r="BB949" i="2"/>
  <c r="BB950" i="2"/>
  <c r="BB951" i="2"/>
  <c r="BB952" i="2"/>
  <c r="BB953" i="2"/>
  <c r="BB954" i="2"/>
  <c r="BB955" i="2"/>
  <c r="BB956" i="2"/>
  <c r="BB957" i="2"/>
  <c r="BB958" i="2"/>
  <c r="BB959" i="2"/>
  <c r="BB960" i="2"/>
  <c r="BB961" i="2"/>
  <c r="BB962" i="2"/>
  <c r="BB963" i="2"/>
  <c r="BB964" i="2"/>
  <c r="BB965" i="2"/>
  <c r="BB966" i="2"/>
  <c r="BB967" i="2"/>
  <c r="BB968" i="2"/>
  <c r="BB969" i="2"/>
  <c r="BB970" i="2"/>
  <c r="BB971" i="2"/>
  <c r="BB972" i="2"/>
  <c r="BB973" i="2"/>
  <c r="BB974" i="2"/>
  <c r="BB975" i="2"/>
  <c r="BB976" i="2"/>
  <c r="BB977" i="2"/>
  <c r="BB978" i="2"/>
  <c r="BB979" i="2"/>
  <c r="BB980" i="2"/>
  <c r="BB981" i="2"/>
  <c r="BB982" i="2"/>
  <c r="BB983" i="2"/>
  <c r="BB984" i="2"/>
  <c r="BB985" i="2"/>
  <c r="BB986" i="2"/>
  <c r="BB987" i="2"/>
  <c r="BB988" i="2"/>
  <c r="BB989" i="2"/>
  <c r="BB990" i="2"/>
  <c r="BB991" i="2"/>
  <c r="BB992" i="2"/>
  <c r="BB993" i="2"/>
  <c r="BB994" i="2"/>
  <c r="BB995" i="2"/>
  <c r="BB996" i="2"/>
  <c r="BB997" i="2"/>
  <c r="BB998" i="2"/>
  <c r="BB999" i="2"/>
  <c r="BB1000" i="2"/>
  <c r="BB1001" i="2"/>
  <c r="BB1002" i="2"/>
  <c r="BB1003" i="2"/>
  <c r="BB1004" i="2"/>
  <c r="BB1005" i="2"/>
  <c r="BB1006" i="2"/>
  <c r="BB1007" i="2"/>
  <c r="BB1008" i="2"/>
  <c r="BB1009" i="2"/>
  <c r="BB1010" i="2"/>
  <c r="BB1011" i="2"/>
  <c r="BB1012" i="2"/>
  <c r="BB1013" i="2"/>
  <c r="BB1014" i="2"/>
  <c r="BB1015" i="2"/>
  <c r="BB1016" i="2"/>
  <c r="BB1017" i="2"/>
  <c r="BB1018" i="2"/>
  <c r="BB1019" i="2"/>
  <c r="BB1020" i="2"/>
  <c r="BB1021" i="2"/>
  <c r="BB1022" i="2"/>
  <c r="BB1023" i="2"/>
  <c r="BB1024" i="2"/>
  <c r="BB1025" i="2"/>
  <c r="BB1026" i="2"/>
  <c r="BB1027" i="2"/>
  <c r="BB1028" i="2"/>
  <c r="BB1029" i="2"/>
  <c r="BB1030" i="2"/>
  <c r="BB1031" i="2"/>
  <c r="BB1032" i="2"/>
  <c r="BB1033" i="2"/>
  <c r="BB1034" i="2"/>
  <c r="BB1035" i="2"/>
  <c r="BB1036" i="2"/>
  <c r="BB1037" i="2"/>
  <c r="BB1038" i="2"/>
  <c r="BB1039" i="2"/>
  <c r="BB1040" i="2"/>
  <c r="BB1041" i="2"/>
  <c r="BB1042" i="2"/>
  <c r="BB1043" i="2"/>
  <c r="BB1044" i="2"/>
  <c r="BB1045" i="2"/>
  <c r="BB1046" i="2"/>
  <c r="BB1047" i="2"/>
  <c r="BB1048" i="2"/>
  <c r="BB1049" i="2"/>
  <c r="BB1050" i="2"/>
  <c r="BB1051" i="2"/>
  <c r="BB1052" i="2"/>
  <c r="BB1053" i="2"/>
  <c r="BB1054" i="2"/>
  <c r="BB1055" i="2"/>
  <c r="BB1056" i="2"/>
  <c r="BB1057" i="2"/>
  <c r="BB1058" i="2"/>
  <c r="BB1059" i="2"/>
  <c r="BB1060" i="2"/>
  <c r="BB1061" i="2"/>
  <c r="BB1062" i="2"/>
  <c r="BB1063" i="2"/>
  <c r="BB1064" i="2"/>
  <c r="BB1065" i="2"/>
  <c r="BB1066" i="2"/>
  <c r="BB1067" i="2"/>
  <c r="BB1068" i="2"/>
  <c r="BB1069" i="2"/>
  <c r="BB1070" i="2"/>
  <c r="BB1071" i="2"/>
  <c r="BB1072" i="2"/>
  <c r="BB1073" i="2"/>
  <c r="BB1074" i="2"/>
  <c r="BB1075" i="2"/>
  <c r="BB1076" i="2"/>
  <c r="BB1077" i="2"/>
  <c r="BB1078" i="2"/>
  <c r="BB1079" i="2"/>
  <c r="BB1080" i="2"/>
  <c r="BB1081" i="2"/>
  <c r="BB1082" i="2"/>
  <c r="BB1083" i="2"/>
  <c r="BB1084" i="2"/>
  <c r="BB1085" i="2"/>
  <c r="BB1086" i="2"/>
  <c r="BB1087" i="2"/>
  <c r="BB1088" i="2"/>
  <c r="BB1089" i="2"/>
  <c r="BB1090" i="2"/>
  <c r="BB1091" i="2"/>
  <c r="BB1092" i="2"/>
  <c r="BB1093" i="2"/>
  <c r="BB1094" i="2"/>
  <c r="BB1095" i="2"/>
  <c r="BB1096" i="2"/>
  <c r="BB1097" i="2"/>
  <c r="BB1098" i="2"/>
  <c r="BB1099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P58" i="2"/>
  <c r="AP131" i="2"/>
  <c r="AP13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9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BE1089" i="2" l="1"/>
  <c r="BE1077" i="2"/>
  <c r="BE1065" i="2"/>
  <c r="BE1053" i="2"/>
  <c r="BE1041" i="2"/>
  <c r="BE1029" i="2"/>
  <c r="BE1017" i="2"/>
  <c r="BE1005" i="2"/>
  <c r="BE993" i="2"/>
  <c r="BE981" i="2"/>
  <c r="BE969" i="2"/>
  <c r="BE957" i="2"/>
  <c r="BE945" i="2"/>
  <c r="BE933" i="2"/>
  <c r="BE921" i="2"/>
  <c r="BE909" i="2"/>
  <c r="BE897" i="2"/>
  <c r="BE885" i="2"/>
  <c r="BE873" i="2"/>
  <c r="BE861" i="2"/>
  <c r="BE849" i="2"/>
  <c r="BE837" i="2"/>
  <c r="BE825" i="2"/>
  <c r="BE813" i="2"/>
  <c r="BE801" i="2"/>
  <c r="BE789" i="2"/>
  <c r="BE777" i="2"/>
  <c r="BE765" i="2"/>
  <c r="BE753" i="2"/>
  <c r="BE741" i="2"/>
  <c r="BE729" i="2"/>
  <c r="BE717" i="2"/>
  <c r="BE705" i="2"/>
  <c r="BE693" i="2"/>
  <c r="BE681" i="2"/>
  <c r="BE669" i="2"/>
  <c r="BE657" i="2"/>
  <c r="BE645" i="2"/>
  <c r="BE633" i="2"/>
  <c r="BE621" i="2"/>
  <c r="BE609" i="2"/>
  <c r="BE597" i="2"/>
  <c r="BE585" i="2"/>
  <c r="BE573" i="2"/>
  <c r="BE561" i="2"/>
  <c r="BE549" i="2"/>
  <c r="BE537" i="2"/>
  <c r="BE525" i="2"/>
  <c r="BE513" i="2"/>
  <c r="BE501" i="2"/>
  <c r="BE489" i="2"/>
  <c r="BE477" i="2"/>
  <c r="BE465" i="2"/>
  <c r="BE453" i="2"/>
  <c r="BE441" i="2"/>
  <c r="BE429" i="2"/>
  <c r="BE417" i="2"/>
  <c r="BE405" i="2"/>
  <c r="BE393" i="2"/>
  <c r="BE381" i="2"/>
  <c r="BE369" i="2"/>
  <c r="BE357" i="2"/>
  <c r="BE345" i="2"/>
  <c r="BE333" i="2"/>
  <c r="BE321" i="2"/>
  <c r="BE309" i="2"/>
  <c r="BE297" i="2"/>
  <c r="BE285" i="2"/>
  <c r="BE274" i="2"/>
  <c r="AQ1091" i="2"/>
  <c r="AQ1079" i="2"/>
  <c r="AQ1067" i="2"/>
  <c r="AQ1055" i="2"/>
  <c r="AQ1043" i="2"/>
  <c r="AQ1031" i="2"/>
  <c r="AQ1019" i="2"/>
  <c r="AQ1007" i="2"/>
  <c r="AQ995" i="2"/>
  <c r="AQ983" i="2"/>
  <c r="AQ971" i="2"/>
  <c r="AQ959" i="2"/>
  <c r="AQ947" i="2"/>
  <c r="AQ935" i="2"/>
  <c r="AQ923" i="2"/>
  <c r="AQ911" i="2"/>
  <c r="AQ899" i="2"/>
  <c r="AQ887" i="2"/>
  <c r="AQ875" i="2"/>
  <c r="AQ863" i="2"/>
  <c r="AQ851" i="2"/>
  <c r="AQ839" i="2"/>
  <c r="AQ827" i="2"/>
  <c r="AQ815" i="2"/>
  <c r="AQ803" i="2"/>
  <c r="AQ791" i="2"/>
  <c r="AQ779" i="2"/>
  <c r="AQ767" i="2"/>
  <c r="AQ755" i="2"/>
  <c r="AQ743" i="2"/>
  <c r="AQ731" i="2"/>
  <c r="AQ719" i="2"/>
  <c r="AQ707" i="2"/>
  <c r="AQ695" i="2"/>
  <c r="AQ683" i="2"/>
  <c r="AQ671" i="2"/>
  <c r="AQ659" i="2"/>
  <c r="AQ647" i="2"/>
  <c r="AQ635" i="2"/>
  <c r="AQ623" i="2"/>
  <c r="AQ611" i="2"/>
  <c r="AQ599" i="2"/>
  <c r="AQ587" i="2"/>
  <c r="AQ575" i="2"/>
  <c r="AQ563" i="2"/>
  <c r="AQ551" i="2"/>
  <c r="AQ539" i="2"/>
  <c r="AQ527" i="2"/>
  <c r="AQ515" i="2"/>
  <c r="AQ503" i="2"/>
  <c r="AQ491" i="2"/>
  <c r="AQ479" i="2"/>
  <c r="AQ467" i="2"/>
  <c r="BE1092" i="2"/>
  <c r="BE1080" i="2"/>
  <c r="BE1068" i="2"/>
  <c r="BE1056" i="2"/>
  <c r="BE1044" i="2"/>
  <c r="BE1032" i="2"/>
  <c r="BE1020" i="2"/>
  <c r="BE1008" i="2"/>
  <c r="BE996" i="2"/>
  <c r="BE984" i="2"/>
  <c r="BE972" i="2"/>
  <c r="BE960" i="2"/>
  <c r="BE948" i="2"/>
  <c r="BE936" i="2"/>
  <c r="BE924" i="2"/>
  <c r="BE912" i="2"/>
  <c r="BE900" i="2"/>
  <c r="BE888" i="2"/>
  <c r="BE876" i="2"/>
  <c r="BE864" i="2"/>
  <c r="BE852" i="2"/>
  <c r="BE840" i="2"/>
  <c r="BE828" i="2"/>
  <c r="BE816" i="2"/>
  <c r="BE804" i="2"/>
  <c r="BE792" i="2"/>
  <c r="BE780" i="2"/>
  <c r="BE768" i="2"/>
  <c r="BE756" i="2"/>
  <c r="BE744" i="2"/>
  <c r="BE732" i="2"/>
  <c r="BE720" i="2"/>
  <c r="BE708" i="2"/>
  <c r="BE696" i="2"/>
  <c r="BE684" i="2"/>
  <c r="BE672" i="2"/>
  <c r="BE660" i="2"/>
  <c r="BE648" i="2"/>
  <c r="BE636" i="2"/>
  <c r="BE624" i="2"/>
  <c r="BE612" i="2"/>
  <c r="BE600" i="2"/>
  <c r="BE588" i="2"/>
  <c r="BE576" i="2"/>
  <c r="BE564" i="2"/>
  <c r="BE552" i="2"/>
  <c r="BE540" i="2"/>
  <c r="BE528" i="2"/>
  <c r="BE516" i="2"/>
  <c r="BE504" i="2"/>
  <c r="BE492" i="2"/>
  <c r="BE480" i="2"/>
  <c r="BE468" i="2"/>
  <c r="BE456" i="2"/>
  <c r="BE444" i="2"/>
  <c r="BE432" i="2"/>
  <c r="BE420" i="2"/>
  <c r="BE408" i="2"/>
  <c r="BE396" i="2"/>
  <c r="BE384" i="2"/>
  <c r="BE372" i="2"/>
  <c r="BE360" i="2"/>
  <c r="BE348" i="2"/>
  <c r="BE336" i="2"/>
  <c r="BE324" i="2"/>
  <c r="BE312" i="2"/>
  <c r="BE300" i="2"/>
  <c r="BE288" i="2"/>
  <c r="BE265" i="2"/>
  <c r="AQ455" i="2"/>
  <c r="AQ443" i="2"/>
  <c r="AQ431" i="2"/>
  <c r="AQ419" i="2"/>
  <c r="AQ407" i="2"/>
  <c r="AQ395" i="2"/>
  <c r="AQ383" i="2"/>
  <c r="AQ371" i="2"/>
  <c r="AQ359" i="2"/>
  <c r="AQ347" i="2"/>
  <c r="AQ335" i="2"/>
  <c r="AQ323" i="2"/>
  <c r="AQ311" i="2"/>
  <c r="AQ299" i="2"/>
  <c r="AQ287" i="2"/>
  <c r="AQ276" i="2"/>
  <c r="BE1090" i="2"/>
  <c r="BE1078" i="2"/>
  <c r="BE1066" i="2"/>
  <c r="BE1054" i="2"/>
  <c r="BE1042" i="2"/>
  <c r="BE1030" i="2"/>
  <c r="BE1018" i="2"/>
  <c r="BE1006" i="2"/>
  <c r="BE994" i="2"/>
  <c r="BE982" i="2"/>
  <c r="BE970" i="2"/>
  <c r="BE958" i="2"/>
  <c r="BE946" i="2"/>
  <c r="BE934" i="2"/>
  <c r="BE922" i="2"/>
  <c r="BE910" i="2"/>
  <c r="BE898" i="2"/>
  <c r="BE886" i="2"/>
  <c r="BE874" i="2"/>
  <c r="BE862" i="2"/>
  <c r="BE850" i="2"/>
  <c r="BE838" i="2"/>
  <c r="BE826" i="2"/>
  <c r="BE814" i="2"/>
  <c r="BE802" i="2"/>
  <c r="BE790" i="2"/>
  <c r="BE778" i="2"/>
  <c r="BE766" i="2"/>
  <c r="BE754" i="2"/>
  <c r="BE742" i="2"/>
  <c r="BE730" i="2"/>
  <c r="BE718" i="2"/>
  <c r="BE706" i="2"/>
  <c r="BE694" i="2"/>
  <c r="BE682" i="2"/>
  <c r="BE670" i="2"/>
  <c r="BE658" i="2"/>
  <c r="BE646" i="2"/>
  <c r="BE634" i="2"/>
  <c r="BE622" i="2"/>
  <c r="BE610" i="2"/>
  <c r="BE598" i="2"/>
  <c r="BE586" i="2"/>
  <c r="BE574" i="2"/>
  <c r="BE562" i="2"/>
  <c r="BE550" i="2"/>
  <c r="BE538" i="2"/>
  <c r="BE526" i="2"/>
  <c r="BE514" i="2"/>
  <c r="BE502" i="2"/>
  <c r="BE490" i="2"/>
  <c r="BE478" i="2"/>
  <c r="BE466" i="2"/>
  <c r="BE454" i="2"/>
  <c r="BE442" i="2"/>
  <c r="BE430" i="2"/>
  <c r="BE418" i="2"/>
  <c r="BE406" i="2"/>
  <c r="BE394" i="2"/>
  <c r="BE382" i="2"/>
  <c r="BE370" i="2"/>
  <c r="BE358" i="2"/>
  <c r="BE346" i="2"/>
  <c r="BE334" i="2"/>
  <c r="BE322" i="2"/>
  <c r="BE310" i="2"/>
  <c r="BE298" i="2"/>
  <c r="BE286" i="2"/>
  <c r="BE275" i="2"/>
  <c r="BD1098" i="2"/>
  <c r="BD1086" i="2"/>
  <c r="BD1074" i="2"/>
  <c r="BD1062" i="2"/>
  <c r="BD1050" i="2"/>
  <c r="BD1038" i="2"/>
  <c r="BD1026" i="2"/>
  <c r="BD1014" i="2"/>
  <c r="BD1002" i="2"/>
  <c r="BD990" i="2"/>
  <c r="BD978" i="2"/>
  <c r="BD966" i="2"/>
  <c r="BD954" i="2"/>
  <c r="BD942" i="2"/>
  <c r="BD930" i="2"/>
  <c r="BD918" i="2"/>
  <c r="BD906" i="2"/>
  <c r="BD894" i="2"/>
  <c r="BD882" i="2"/>
  <c r="BD870" i="2"/>
  <c r="BD858" i="2"/>
  <c r="BD846" i="2"/>
  <c r="BD834" i="2"/>
  <c r="BD822" i="2"/>
  <c r="BD810" i="2"/>
  <c r="BD798" i="2"/>
  <c r="BD786" i="2"/>
  <c r="BD774" i="2"/>
  <c r="BD762" i="2"/>
  <c r="BD750" i="2"/>
  <c r="BD738" i="2"/>
  <c r="BD726" i="2"/>
  <c r="BD714" i="2"/>
  <c r="BD702" i="2"/>
  <c r="BD690" i="2"/>
  <c r="BD678" i="2"/>
  <c r="BD666" i="2"/>
  <c r="BD654" i="2"/>
  <c r="BD642" i="2"/>
  <c r="BD630" i="2"/>
  <c r="BD618" i="2"/>
  <c r="BD606" i="2"/>
  <c r="BD594" i="2"/>
  <c r="BD582" i="2"/>
  <c r="BD570" i="2"/>
  <c r="BD558" i="2"/>
  <c r="BD546" i="2"/>
  <c r="BD534" i="2"/>
  <c r="BD522" i="2"/>
  <c r="BD510" i="2"/>
  <c r="BD498" i="2"/>
  <c r="BD486" i="2"/>
  <c r="BD474" i="2"/>
  <c r="BD462" i="2"/>
  <c r="BD450" i="2"/>
  <c r="BD438" i="2"/>
  <c r="BD426" i="2"/>
  <c r="BD414" i="2"/>
  <c r="BD402" i="2"/>
  <c r="BD390" i="2"/>
  <c r="BD378" i="2"/>
  <c r="BD366" i="2"/>
  <c r="BD354" i="2"/>
  <c r="BD342" i="2"/>
  <c r="BD330" i="2"/>
  <c r="BD318" i="2"/>
  <c r="BD306" i="2"/>
  <c r="BD294" i="2"/>
  <c r="BD282" i="2"/>
  <c r="BD271" i="2"/>
  <c r="AZ1094" i="2"/>
  <c r="AZ1082" i="2"/>
  <c r="AZ1070" i="2"/>
  <c r="AZ1058" i="2"/>
  <c r="AZ1046" i="2"/>
  <c r="AZ1034" i="2"/>
  <c r="BD1097" i="2"/>
  <c r="BD1085" i="2"/>
  <c r="BD1073" i="2"/>
  <c r="BD1061" i="2"/>
  <c r="BD1049" i="2"/>
  <c r="BD1037" i="2"/>
  <c r="BD1025" i="2"/>
  <c r="BD1013" i="2"/>
  <c r="BD1001" i="2"/>
  <c r="BD989" i="2"/>
  <c r="BD977" i="2"/>
  <c r="BD965" i="2"/>
  <c r="BD953" i="2"/>
  <c r="BD941" i="2"/>
  <c r="BD929" i="2"/>
  <c r="BD917" i="2"/>
  <c r="BD905" i="2"/>
  <c r="BD893" i="2"/>
  <c r="BD881" i="2"/>
  <c r="BD869" i="2"/>
  <c r="BD857" i="2"/>
  <c r="BD845" i="2"/>
  <c r="BD833" i="2"/>
  <c r="BD821" i="2"/>
  <c r="BD809" i="2"/>
  <c r="BD797" i="2"/>
  <c r="BD785" i="2"/>
  <c r="BD773" i="2"/>
  <c r="BD761" i="2"/>
  <c r="BD749" i="2"/>
  <c r="BD737" i="2"/>
  <c r="BD725" i="2"/>
  <c r="BD713" i="2"/>
  <c r="BD701" i="2"/>
  <c r="BD689" i="2"/>
  <c r="BD677" i="2"/>
  <c r="BD665" i="2"/>
  <c r="BD653" i="2"/>
  <c r="BD641" i="2"/>
  <c r="BD629" i="2"/>
  <c r="BD617" i="2"/>
  <c r="BD605" i="2"/>
  <c r="BD593" i="2"/>
  <c r="BD581" i="2"/>
  <c r="BD569" i="2"/>
  <c r="BD557" i="2"/>
  <c r="BD545" i="2"/>
  <c r="BD533" i="2"/>
  <c r="BD521" i="2"/>
  <c r="BD509" i="2"/>
  <c r="BD497" i="2"/>
  <c r="BD485" i="2"/>
  <c r="BD473" i="2"/>
  <c r="BD461" i="2"/>
  <c r="BD449" i="2"/>
  <c r="BD437" i="2"/>
  <c r="BD425" i="2"/>
  <c r="BD413" i="2"/>
  <c r="BD401" i="2"/>
  <c r="BD389" i="2"/>
  <c r="BD377" i="2"/>
  <c r="BD365" i="2"/>
  <c r="BD353" i="2"/>
  <c r="BD341" i="2"/>
  <c r="BD329" i="2"/>
  <c r="BD317" i="2"/>
  <c r="BD305" i="2"/>
  <c r="BD293" i="2"/>
  <c r="BD281" i="2"/>
  <c r="BD270" i="2"/>
  <c r="AQ1099" i="2"/>
  <c r="AQ1087" i="2"/>
  <c r="AQ1075" i="2"/>
  <c r="AQ1063" i="2"/>
  <c r="AQ1051" i="2"/>
  <c r="AQ1039" i="2"/>
  <c r="AQ1027" i="2"/>
  <c r="AQ1015" i="2"/>
  <c r="AQ1003" i="2"/>
  <c r="AQ991" i="2"/>
  <c r="AQ979" i="2"/>
  <c r="AQ967" i="2"/>
  <c r="AQ955" i="2"/>
  <c r="AQ943" i="2"/>
  <c r="AQ931" i="2"/>
  <c r="AQ919" i="2"/>
  <c r="AQ907" i="2"/>
  <c r="AQ895" i="2"/>
  <c r="AQ883" i="2"/>
  <c r="AQ871" i="2"/>
  <c r="AQ859" i="2"/>
  <c r="AQ847" i="2"/>
  <c r="AQ835" i="2"/>
  <c r="AQ823" i="2"/>
  <c r="AQ811" i="2"/>
  <c r="AQ799" i="2"/>
  <c r="AQ787" i="2"/>
  <c r="AQ775" i="2"/>
  <c r="AQ763" i="2"/>
  <c r="AQ751" i="2"/>
  <c r="AQ739" i="2"/>
  <c r="AQ727" i="2"/>
  <c r="AQ715" i="2"/>
  <c r="AQ703" i="2"/>
  <c r="AQ691" i="2"/>
  <c r="AQ679" i="2"/>
  <c r="AQ667" i="2"/>
  <c r="AQ655" i="2"/>
  <c r="AQ643" i="2"/>
  <c r="AQ631" i="2"/>
  <c r="AQ619" i="2"/>
  <c r="AQ607" i="2"/>
  <c r="AQ595" i="2"/>
  <c r="AQ583" i="2"/>
  <c r="AQ571" i="2"/>
  <c r="AQ559" i="2"/>
  <c r="AQ547" i="2"/>
  <c r="AQ535" i="2"/>
  <c r="AQ523" i="2"/>
  <c r="AQ511" i="2"/>
  <c r="AQ499" i="2"/>
  <c r="AQ487" i="2"/>
  <c r="AQ475" i="2"/>
  <c r="AQ463" i="2"/>
  <c r="AQ451" i="2"/>
  <c r="BE1091" i="2"/>
  <c r="BE1079" i="2"/>
  <c r="BE1067" i="2"/>
  <c r="BE1055" i="2"/>
  <c r="BE1043" i="2"/>
  <c r="BE1031" i="2"/>
  <c r="BE1019" i="2"/>
  <c r="BE1007" i="2"/>
  <c r="BE995" i="2"/>
  <c r="BE983" i="2"/>
  <c r="BE971" i="2"/>
  <c r="BE959" i="2"/>
  <c r="BE947" i="2"/>
  <c r="BE935" i="2"/>
  <c r="BE923" i="2"/>
  <c r="BE911" i="2"/>
  <c r="BE899" i="2"/>
  <c r="BE887" i="2"/>
  <c r="BE875" i="2"/>
  <c r="BE863" i="2"/>
  <c r="BE851" i="2"/>
  <c r="BE839" i="2"/>
  <c r="BE827" i="2"/>
  <c r="BE815" i="2"/>
  <c r="BE803" i="2"/>
  <c r="BE791" i="2"/>
  <c r="BE779" i="2"/>
  <c r="BE767" i="2"/>
  <c r="BE755" i="2"/>
  <c r="BE743" i="2"/>
  <c r="BE731" i="2"/>
  <c r="BE719" i="2"/>
  <c r="BE707" i="2"/>
  <c r="BE695" i="2"/>
  <c r="BE683" i="2"/>
  <c r="BE671" i="2"/>
  <c r="BE659" i="2"/>
  <c r="BE647" i="2"/>
  <c r="BE635" i="2"/>
  <c r="BE623" i="2"/>
  <c r="BE611" i="2"/>
  <c r="BE599" i="2"/>
  <c r="BE587" i="2"/>
  <c r="BE575" i="2"/>
  <c r="BE563" i="2"/>
  <c r="BE551" i="2"/>
  <c r="BE539" i="2"/>
  <c r="BE527" i="2"/>
  <c r="BE515" i="2"/>
  <c r="BE503" i="2"/>
  <c r="BE491" i="2"/>
  <c r="BE479" i="2"/>
  <c r="BE467" i="2"/>
  <c r="BE455" i="2"/>
  <c r="BE443" i="2"/>
  <c r="BE431" i="2"/>
  <c r="BE419" i="2"/>
  <c r="BE407" i="2"/>
  <c r="BE395" i="2"/>
  <c r="BE383" i="2"/>
  <c r="BE371" i="2"/>
  <c r="BE359" i="2"/>
  <c r="BE347" i="2"/>
  <c r="BE335" i="2"/>
  <c r="BE323" i="2"/>
  <c r="BE311" i="2"/>
  <c r="BE299" i="2"/>
  <c r="BE287" i="2"/>
  <c r="BE276" i="2"/>
  <c r="AZ1093" i="2"/>
  <c r="AZ1081" i="2"/>
  <c r="AZ1069" i="2"/>
  <c r="AZ1057" i="2"/>
  <c r="AZ1045" i="2"/>
  <c r="AZ1033" i="2"/>
  <c r="AZ1021" i="2"/>
  <c r="AQ439" i="2"/>
  <c r="AQ427" i="2"/>
  <c r="AQ415" i="2"/>
  <c r="AQ403" i="2"/>
  <c r="AQ391" i="2"/>
  <c r="AQ379" i="2"/>
  <c r="AQ367" i="2"/>
  <c r="AQ355" i="2"/>
  <c r="AQ343" i="2"/>
  <c r="AQ331" i="2"/>
  <c r="AQ319" i="2"/>
  <c r="AQ307" i="2"/>
  <c r="AQ295" i="2"/>
  <c r="AQ283" i="2"/>
  <c r="AQ272" i="2"/>
  <c r="BE1098" i="2"/>
  <c r="BE1086" i="2"/>
  <c r="BE1074" i="2"/>
  <c r="BE1062" i="2"/>
  <c r="BE1050" i="2"/>
  <c r="BE1038" i="2"/>
  <c r="BE1026" i="2"/>
  <c r="BE1014" i="2"/>
  <c r="BE1002" i="2"/>
  <c r="BE990" i="2"/>
  <c r="BE978" i="2"/>
  <c r="BE966" i="2"/>
  <c r="BE954" i="2"/>
  <c r="BE942" i="2"/>
  <c r="BE930" i="2"/>
  <c r="BE918" i="2"/>
  <c r="BE906" i="2"/>
  <c r="BE894" i="2"/>
  <c r="BE882" i="2"/>
  <c r="BE870" i="2"/>
  <c r="BE858" i="2"/>
  <c r="BE846" i="2"/>
  <c r="BE834" i="2"/>
  <c r="BE822" i="2"/>
  <c r="BE810" i="2"/>
  <c r="BE798" i="2"/>
  <c r="BE786" i="2"/>
  <c r="BE774" i="2"/>
  <c r="BE762" i="2"/>
  <c r="BE750" i="2"/>
  <c r="BE738" i="2"/>
  <c r="BE726" i="2"/>
  <c r="BE714" i="2"/>
  <c r="BE702" i="2"/>
  <c r="BE690" i="2"/>
  <c r="BE678" i="2"/>
  <c r="BE666" i="2"/>
  <c r="BE654" i="2"/>
  <c r="BE642" i="2"/>
  <c r="BE630" i="2"/>
  <c r="BE618" i="2"/>
  <c r="BE606" i="2"/>
  <c r="BE594" i="2"/>
  <c r="BE582" i="2"/>
  <c r="BE570" i="2"/>
  <c r="BE558" i="2"/>
  <c r="BE546" i="2"/>
  <c r="BE534" i="2"/>
  <c r="BE522" i="2"/>
  <c r="BE510" i="2"/>
  <c r="BE498" i="2"/>
  <c r="BE486" i="2"/>
  <c r="BE474" i="2"/>
  <c r="BE462" i="2"/>
  <c r="BE450" i="2"/>
  <c r="BE438" i="2"/>
  <c r="BE426" i="2"/>
  <c r="BE414" i="2"/>
  <c r="BE402" i="2"/>
  <c r="BE390" i="2"/>
  <c r="BE378" i="2"/>
  <c r="BE366" i="2"/>
  <c r="BE354" i="2"/>
  <c r="BE342" i="2"/>
  <c r="BE330" i="2"/>
  <c r="BE318" i="2"/>
  <c r="BE306" i="2"/>
  <c r="BE294" i="2"/>
  <c r="BE282" i="2"/>
  <c r="BE271" i="2"/>
  <c r="AZ1009" i="2"/>
  <c r="AZ997" i="2"/>
  <c r="AZ985" i="2"/>
  <c r="AZ973" i="2"/>
  <c r="AZ961" i="2"/>
  <c r="AZ949" i="2"/>
  <c r="AZ937" i="2"/>
  <c r="AZ925" i="2"/>
  <c r="AZ913" i="2"/>
  <c r="AZ901" i="2"/>
  <c r="AZ889" i="2"/>
  <c r="AZ877" i="2"/>
  <c r="AZ865" i="2"/>
  <c r="AZ853" i="2"/>
  <c r="AZ841" i="2"/>
  <c r="AZ829" i="2"/>
  <c r="AZ817" i="2"/>
  <c r="AZ805" i="2"/>
  <c r="AZ793" i="2"/>
  <c r="AZ781" i="2"/>
  <c r="AZ769" i="2"/>
  <c r="AZ757" i="2"/>
  <c r="AZ745" i="2"/>
  <c r="AZ733" i="2"/>
  <c r="AZ721" i="2"/>
  <c r="AZ709" i="2"/>
  <c r="AZ697" i="2"/>
  <c r="AZ685" i="2"/>
  <c r="AZ673" i="2"/>
  <c r="AZ661" i="2"/>
  <c r="AZ649" i="2"/>
  <c r="AZ637" i="2"/>
  <c r="AZ625" i="2"/>
  <c r="AZ613" i="2"/>
  <c r="AZ601" i="2"/>
  <c r="AZ589" i="2"/>
  <c r="AZ577" i="2"/>
  <c r="AZ565" i="2"/>
  <c r="AZ553" i="2"/>
  <c r="AZ541" i="2"/>
  <c r="AZ529" i="2"/>
  <c r="AZ517" i="2"/>
  <c r="AZ505" i="2"/>
  <c r="AZ493" i="2"/>
  <c r="AZ481" i="2"/>
  <c r="AZ469" i="2"/>
  <c r="AZ457" i="2"/>
  <c r="AZ445" i="2"/>
  <c r="AZ433" i="2"/>
  <c r="AZ421" i="2"/>
  <c r="AZ409" i="2"/>
  <c r="AZ397" i="2"/>
  <c r="AZ385" i="2"/>
  <c r="AZ373" i="2"/>
  <c r="AZ361" i="2"/>
  <c r="AZ349" i="2"/>
  <c r="AZ337" i="2"/>
  <c r="AZ325" i="2"/>
  <c r="AZ313" i="2"/>
  <c r="AZ301" i="2"/>
  <c r="AZ289" i="2"/>
  <c r="AZ277" i="2"/>
  <c r="AZ266" i="2"/>
  <c r="AZ254" i="2"/>
  <c r="AZ242" i="2"/>
  <c r="AZ230" i="2"/>
  <c r="AZ218" i="2"/>
  <c r="AZ206" i="2"/>
  <c r="AZ194" i="2"/>
  <c r="AZ182" i="2"/>
  <c r="AZ170" i="2"/>
  <c r="AZ158" i="2"/>
  <c r="AZ146" i="2"/>
  <c r="AZ134" i="2"/>
  <c r="AZ122" i="2"/>
  <c r="AZ110" i="2"/>
  <c r="AZ98" i="2"/>
  <c r="AZ86" i="2"/>
  <c r="AZ74" i="2"/>
  <c r="AZ62" i="2"/>
  <c r="AZ50" i="2"/>
  <c r="AZ38" i="2"/>
  <c r="AZ26" i="2"/>
  <c r="AZ14" i="2"/>
  <c r="AZ2" i="2"/>
  <c r="BD259" i="2"/>
  <c r="BD247" i="2"/>
  <c r="BD235" i="2"/>
  <c r="BD223" i="2"/>
  <c r="BD211" i="2"/>
  <c r="BD199" i="2"/>
  <c r="BD187" i="2"/>
  <c r="BD175" i="2"/>
  <c r="BD163" i="2"/>
  <c r="BD151" i="2"/>
  <c r="BD139" i="2"/>
  <c r="BD127" i="2"/>
  <c r="BD115" i="2"/>
  <c r="BD103" i="2"/>
  <c r="BD91" i="2"/>
  <c r="BD79" i="2"/>
  <c r="BD67" i="2"/>
  <c r="BD55" i="2"/>
  <c r="BD43" i="2"/>
  <c r="BD31" i="2"/>
  <c r="BD19" i="2"/>
  <c r="BD7" i="2"/>
  <c r="BE253" i="2"/>
  <c r="BE241" i="2"/>
  <c r="BE229" i="2"/>
  <c r="BE217" i="2"/>
  <c r="BE205" i="2"/>
  <c r="BE193" i="2"/>
  <c r="BE181" i="2"/>
  <c r="BE169" i="2"/>
  <c r="BE157" i="2"/>
  <c r="BE145" i="2"/>
  <c r="BE133" i="2"/>
  <c r="BE121" i="2"/>
  <c r="BE109" i="2"/>
  <c r="BE97" i="2"/>
  <c r="BE85" i="2"/>
  <c r="BE73" i="2"/>
  <c r="BE61" i="2"/>
  <c r="BE49" i="2"/>
  <c r="BE37" i="2"/>
  <c r="BE25" i="2"/>
  <c r="BE13" i="2"/>
  <c r="AQ1089" i="2"/>
  <c r="AQ1077" i="2"/>
  <c r="AQ1065" i="2"/>
  <c r="AQ1053" i="2"/>
  <c r="AQ1041" i="2"/>
  <c r="AQ1029" i="2"/>
  <c r="AQ1017" i="2"/>
  <c r="AQ1005" i="2"/>
  <c r="AQ993" i="2"/>
  <c r="AQ981" i="2"/>
  <c r="AQ969" i="2"/>
  <c r="AQ957" i="2"/>
  <c r="AQ945" i="2"/>
  <c r="AQ933" i="2"/>
  <c r="AQ921" i="2"/>
  <c r="AQ909" i="2"/>
  <c r="AQ897" i="2"/>
  <c r="AQ885" i="2"/>
  <c r="AQ873" i="2"/>
  <c r="AQ861" i="2"/>
  <c r="AQ849" i="2"/>
  <c r="AQ837" i="2"/>
  <c r="AQ825" i="2"/>
  <c r="AQ813" i="2"/>
  <c r="AQ801" i="2"/>
  <c r="AQ789" i="2"/>
  <c r="AQ777" i="2"/>
  <c r="AQ765" i="2"/>
  <c r="AQ753" i="2"/>
  <c r="AQ741" i="2"/>
  <c r="AQ729" i="2"/>
  <c r="AQ717" i="2"/>
  <c r="AQ705" i="2"/>
  <c r="AQ693" i="2"/>
  <c r="AQ681" i="2"/>
  <c r="AQ669" i="2"/>
  <c r="AQ657" i="2"/>
  <c r="AQ645" i="2"/>
  <c r="AQ633" i="2"/>
  <c r="AQ621" i="2"/>
  <c r="AQ609" i="2"/>
  <c r="AQ597" i="2"/>
  <c r="AQ585" i="2"/>
  <c r="AQ573" i="2"/>
  <c r="AQ561" i="2"/>
  <c r="AQ549" i="2"/>
  <c r="AQ537" i="2"/>
  <c r="AQ525" i="2"/>
  <c r="AQ513" i="2"/>
  <c r="AQ501" i="2"/>
  <c r="AQ489" i="2"/>
  <c r="AQ477" i="2"/>
  <c r="AQ465" i="2"/>
  <c r="BD961" i="2"/>
  <c r="AQ453" i="2"/>
  <c r="AQ441" i="2"/>
  <c r="AQ429" i="2"/>
  <c r="AQ417" i="2"/>
  <c r="AQ405" i="2"/>
  <c r="AQ393" i="2"/>
  <c r="AQ381" i="2"/>
  <c r="AQ369" i="2"/>
  <c r="AQ357" i="2"/>
  <c r="AQ345" i="2"/>
  <c r="AQ333" i="2"/>
  <c r="AQ321" i="2"/>
  <c r="AQ309" i="2"/>
  <c r="AQ297" i="2"/>
  <c r="AQ285" i="2"/>
  <c r="AQ274" i="2"/>
  <c r="BE1088" i="2"/>
  <c r="BE1076" i="2"/>
  <c r="BE1064" i="2"/>
  <c r="BE1052" i="2"/>
  <c r="BE1040" i="2"/>
  <c r="BE1028" i="2"/>
  <c r="BE1016" i="2"/>
  <c r="BE1004" i="2"/>
  <c r="BE992" i="2"/>
  <c r="BE980" i="2"/>
  <c r="BE968" i="2"/>
  <c r="BE956" i="2"/>
  <c r="BE944" i="2"/>
  <c r="BE932" i="2"/>
  <c r="BE920" i="2"/>
  <c r="BE908" i="2"/>
  <c r="BE896" i="2"/>
  <c r="BE884" i="2"/>
  <c r="BE872" i="2"/>
  <c r="BE860" i="2"/>
  <c r="BE848" i="2"/>
  <c r="BE836" i="2"/>
  <c r="BE824" i="2"/>
  <c r="BE812" i="2"/>
  <c r="BE800" i="2"/>
  <c r="BE788" i="2"/>
  <c r="BE776" i="2"/>
  <c r="BE764" i="2"/>
  <c r="BE752" i="2"/>
  <c r="BE740" i="2"/>
  <c r="BE728" i="2"/>
  <c r="BE716" i="2"/>
  <c r="BE704" i="2"/>
  <c r="BE692" i="2"/>
  <c r="BE680" i="2"/>
  <c r="BE668" i="2"/>
  <c r="BE656" i="2"/>
  <c r="BE644" i="2"/>
  <c r="BE632" i="2"/>
  <c r="BE620" i="2"/>
  <c r="BE608" i="2"/>
  <c r="BE596" i="2"/>
  <c r="BE584" i="2"/>
  <c r="BE572" i="2"/>
  <c r="BE560" i="2"/>
  <c r="BE548" i="2"/>
  <c r="BE536" i="2"/>
  <c r="BE524" i="2"/>
  <c r="BE512" i="2"/>
  <c r="BE500" i="2"/>
  <c r="BE488" i="2"/>
  <c r="BE476" i="2"/>
  <c r="BE464" i="2"/>
  <c r="BE452" i="2"/>
  <c r="BE440" i="2"/>
  <c r="BE428" i="2"/>
  <c r="BE416" i="2"/>
  <c r="BE404" i="2"/>
  <c r="BE392" i="2"/>
  <c r="BE380" i="2"/>
  <c r="BE368" i="2"/>
  <c r="BE356" i="2"/>
  <c r="BE344" i="2"/>
  <c r="BE332" i="2"/>
  <c r="BE320" i="2"/>
  <c r="BE308" i="2"/>
  <c r="BE296" i="2"/>
  <c r="BE284" i="2"/>
  <c r="BE273" i="2"/>
  <c r="BE1099" i="2"/>
  <c r="BE1087" i="2"/>
  <c r="BE1075" i="2"/>
  <c r="BE1063" i="2"/>
  <c r="BE1051" i="2"/>
  <c r="BE1039" i="2"/>
  <c r="BE1027" i="2"/>
  <c r="BE1015" i="2"/>
  <c r="BE1003" i="2"/>
  <c r="BE991" i="2"/>
  <c r="BE979" i="2"/>
  <c r="BE967" i="2"/>
  <c r="BE955" i="2"/>
  <c r="BE943" i="2"/>
  <c r="BE931" i="2"/>
  <c r="BE919" i="2"/>
  <c r="BE907" i="2"/>
  <c r="BE895" i="2"/>
  <c r="BE883" i="2"/>
  <c r="BE871" i="2"/>
  <c r="BE859" i="2"/>
  <c r="BE847" i="2"/>
  <c r="BE835" i="2"/>
  <c r="BE823" i="2"/>
  <c r="BE811" i="2"/>
  <c r="BE799" i="2"/>
  <c r="BE787" i="2"/>
  <c r="BE775" i="2"/>
  <c r="BE763" i="2"/>
  <c r="BE751" i="2"/>
  <c r="BE739" i="2"/>
  <c r="BE727" i="2"/>
  <c r="BE715" i="2"/>
  <c r="BE703" i="2"/>
  <c r="BE691" i="2"/>
  <c r="BE679" i="2"/>
  <c r="BE667" i="2"/>
  <c r="BE655" i="2"/>
  <c r="BE643" i="2"/>
  <c r="BE631" i="2"/>
  <c r="BE619" i="2"/>
  <c r="BE607" i="2"/>
  <c r="BE595" i="2"/>
  <c r="BE583" i="2"/>
  <c r="BE571" i="2"/>
  <c r="BE559" i="2"/>
  <c r="BE547" i="2"/>
  <c r="BE535" i="2"/>
  <c r="BE523" i="2"/>
  <c r="BE511" i="2"/>
  <c r="BE499" i="2"/>
  <c r="BE487" i="2"/>
  <c r="BE475" i="2"/>
  <c r="BE463" i="2"/>
  <c r="BE451" i="2"/>
  <c r="BE439" i="2"/>
  <c r="BE427" i="2"/>
  <c r="BE415" i="2"/>
  <c r="BE403" i="2"/>
  <c r="BE391" i="2"/>
  <c r="BE379" i="2"/>
  <c r="BE367" i="2"/>
  <c r="BE355" i="2"/>
  <c r="BE343" i="2"/>
  <c r="BE331" i="2"/>
  <c r="BE319" i="2"/>
  <c r="BE307" i="2"/>
  <c r="BE295" i="2"/>
  <c r="BE283" i="2"/>
  <c r="BE272" i="2"/>
  <c r="BD258" i="2"/>
  <c r="BD246" i="2"/>
  <c r="BD234" i="2"/>
  <c r="BD222" i="2"/>
  <c r="BD210" i="2"/>
  <c r="BD198" i="2"/>
  <c r="BD186" i="2"/>
  <c r="BD174" i="2"/>
  <c r="BD162" i="2"/>
  <c r="BD150" i="2"/>
  <c r="BD138" i="2"/>
  <c r="BD126" i="2"/>
  <c r="BD114" i="2"/>
  <c r="BD102" i="2"/>
  <c r="BD90" i="2"/>
  <c r="BD78" i="2"/>
  <c r="BD66" i="2"/>
  <c r="BD54" i="2"/>
  <c r="BD42" i="2"/>
  <c r="BD30" i="2"/>
  <c r="BD18" i="2"/>
  <c r="BD6" i="2"/>
  <c r="BE264" i="2"/>
  <c r="BE252" i="2"/>
  <c r="BE240" i="2"/>
  <c r="BE228" i="2"/>
  <c r="BE216" i="2"/>
  <c r="BE204" i="2"/>
  <c r="BE192" i="2"/>
  <c r="BE180" i="2"/>
  <c r="BE168" i="2"/>
  <c r="BE156" i="2"/>
  <c r="BE144" i="2"/>
  <c r="BE132" i="2"/>
  <c r="BE120" i="2"/>
  <c r="BE108" i="2"/>
  <c r="BE96" i="2"/>
  <c r="BE84" i="2"/>
  <c r="BE72" i="2"/>
  <c r="BE60" i="2"/>
  <c r="BE48" i="2"/>
  <c r="BE36" i="2"/>
  <c r="BE24" i="2"/>
  <c r="BE12" i="2"/>
  <c r="BE263" i="2"/>
  <c r="BE251" i="2"/>
  <c r="BE239" i="2"/>
  <c r="BE227" i="2"/>
  <c r="BE215" i="2"/>
  <c r="BE203" i="2"/>
  <c r="BE191" i="2"/>
  <c r="BE179" i="2"/>
  <c r="BE167" i="2"/>
  <c r="BE155" i="2"/>
  <c r="BE143" i="2"/>
  <c r="BE131" i="2"/>
  <c r="BE119" i="2"/>
  <c r="BE107" i="2"/>
  <c r="BE95" i="2"/>
  <c r="BE83" i="2"/>
  <c r="BE71" i="2"/>
  <c r="BE59" i="2"/>
  <c r="BE47" i="2"/>
  <c r="BE35" i="2"/>
  <c r="BE23" i="2"/>
  <c r="BE11" i="2"/>
  <c r="BE262" i="2"/>
  <c r="BE250" i="2"/>
  <c r="BE238" i="2"/>
  <c r="BE226" i="2"/>
  <c r="BE214" i="2"/>
  <c r="BE202" i="2"/>
  <c r="BE190" i="2"/>
  <c r="BE178" i="2"/>
  <c r="BE166" i="2"/>
  <c r="BE154" i="2"/>
  <c r="BE142" i="2"/>
  <c r="BE130" i="2"/>
  <c r="BE118" i="2"/>
  <c r="BE106" i="2"/>
  <c r="BE94" i="2"/>
  <c r="BE82" i="2"/>
  <c r="BE70" i="2"/>
  <c r="BE58" i="2"/>
  <c r="BE46" i="2"/>
  <c r="BE34" i="2"/>
  <c r="BE22" i="2"/>
  <c r="BE10" i="2"/>
  <c r="BE261" i="2"/>
  <c r="BE249" i="2"/>
  <c r="BE237" i="2"/>
  <c r="BE225" i="2"/>
  <c r="BE213" i="2"/>
  <c r="BE201" i="2"/>
  <c r="BE189" i="2"/>
  <c r="BE177" i="2"/>
  <c r="BE165" i="2"/>
  <c r="BE153" i="2"/>
  <c r="BE141" i="2"/>
  <c r="BE129" i="2"/>
  <c r="BE117" i="2"/>
  <c r="BE105" i="2"/>
  <c r="BE93" i="2"/>
  <c r="BE81" i="2"/>
  <c r="BE69" i="2"/>
  <c r="BE57" i="2"/>
  <c r="BE45" i="2"/>
  <c r="BE33" i="2"/>
  <c r="BE21" i="2"/>
  <c r="BE9" i="2"/>
  <c r="BE260" i="2"/>
  <c r="BE248" i="2"/>
  <c r="BE236" i="2"/>
  <c r="BE224" i="2"/>
  <c r="BE212" i="2"/>
  <c r="BE200" i="2"/>
  <c r="BE188" i="2"/>
  <c r="BE176" i="2"/>
  <c r="BE164" i="2"/>
  <c r="BE152" i="2"/>
  <c r="BE140" i="2"/>
  <c r="BE128" i="2"/>
  <c r="BE116" i="2"/>
  <c r="BE104" i="2"/>
  <c r="BE92" i="2"/>
  <c r="BE80" i="2"/>
  <c r="BE68" i="2"/>
  <c r="BE56" i="2"/>
  <c r="BE44" i="2"/>
  <c r="BE32" i="2"/>
  <c r="BE20" i="2"/>
  <c r="BE8" i="2"/>
  <c r="AQ260" i="2"/>
  <c r="AQ248" i="2"/>
  <c r="AQ236" i="2"/>
  <c r="AQ224" i="2"/>
  <c r="AQ212" i="2"/>
  <c r="AQ200" i="2"/>
  <c r="AQ188" i="2"/>
  <c r="BE259" i="2"/>
  <c r="BE247" i="2"/>
  <c r="BE235" i="2"/>
  <c r="BE223" i="2"/>
  <c r="BE211" i="2"/>
  <c r="BE199" i="2"/>
  <c r="BE187" i="2"/>
  <c r="BE175" i="2"/>
  <c r="BE163" i="2"/>
  <c r="BE151" i="2"/>
  <c r="BE139" i="2"/>
  <c r="BE127" i="2"/>
  <c r="BE115" i="2"/>
  <c r="BE103" i="2"/>
  <c r="BE91" i="2"/>
  <c r="BE79" i="2"/>
  <c r="BE67" i="2"/>
  <c r="BE55" i="2"/>
  <c r="BE43" i="2"/>
  <c r="BE31" i="2"/>
  <c r="BE19" i="2"/>
  <c r="BE7" i="2"/>
  <c r="BD1091" i="2"/>
  <c r="BD1079" i="2"/>
  <c r="BD1067" i="2"/>
  <c r="BD1055" i="2"/>
  <c r="BD1043" i="2"/>
  <c r="BD1031" i="2"/>
  <c r="BD1090" i="2"/>
  <c r="BD1078" i="2"/>
  <c r="BD1066" i="2"/>
  <c r="BD1054" i="2"/>
  <c r="BD1042" i="2"/>
  <c r="BD1030" i="2"/>
  <c r="BD1018" i="2"/>
  <c r="BD1006" i="2"/>
  <c r="BD994" i="2"/>
  <c r="BD982" i="2"/>
  <c r="BD970" i="2"/>
  <c r="BD958" i="2"/>
  <c r="BD946" i="2"/>
  <c r="BD934" i="2"/>
  <c r="BD922" i="2"/>
  <c r="BD910" i="2"/>
  <c r="BD898" i="2"/>
  <c r="BD886" i="2"/>
  <c r="BD874" i="2"/>
  <c r="BD862" i="2"/>
  <c r="BD850" i="2"/>
  <c r="BD838" i="2"/>
  <c r="BD826" i="2"/>
  <c r="BD814" i="2"/>
  <c r="BD802" i="2"/>
  <c r="BD790" i="2"/>
  <c r="BD778" i="2"/>
  <c r="BD766" i="2"/>
  <c r="BD754" i="2"/>
  <c r="BD742" i="2"/>
  <c r="BD730" i="2"/>
  <c r="BD718" i="2"/>
  <c r="BD706" i="2"/>
  <c r="BD694" i="2"/>
  <c r="BD682" i="2"/>
  <c r="BD670" i="2"/>
  <c r="BD658" i="2"/>
  <c r="BD646" i="2"/>
  <c r="BD634" i="2"/>
  <c r="BD622" i="2"/>
  <c r="BD610" i="2"/>
  <c r="BD598" i="2"/>
  <c r="BD586" i="2"/>
  <c r="BD574" i="2"/>
  <c r="BD562" i="2"/>
  <c r="BD550" i="2"/>
  <c r="BD538" i="2"/>
  <c r="BD526" i="2"/>
  <c r="BD514" i="2"/>
  <c r="BD502" i="2"/>
  <c r="BD490" i="2"/>
  <c r="BD478" i="2"/>
  <c r="BD466" i="2"/>
  <c r="BD454" i="2"/>
  <c r="BD442" i="2"/>
  <c r="BD430" i="2"/>
  <c r="BD418" i="2"/>
  <c r="BD406" i="2"/>
  <c r="BD394" i="2"/>
  <c r="BD382" i="2"/>
  <c r="BD370" i="2"/>
  <c r="BD358" i="2"/>
  <c r="BD346" i="2"/>
  <c r="BD334" i="2"/>
  <c r="BD322" i="2"/>
  <c r="BD310" i="2"/>
  <c r="BD298" i="2"/>
  <c r="BD286" i="2"/>
  <c r="BD275" i="2"/>
  <c r="BD263" i="2"/>
  <c r="BD251" i="2"/>
  <c r="BD239" i="2"/>
  <c r="BD227" i="2"/>
  <c r="BD215" i="2"/>
  <c r="BD203" i="2"/>
  <c r="BD191" i="2"/>
  <c r="BD179" i="2"/>
  <c r="BD167" i="2"/>
  <c r="BD155" i="2"/>
  <c r="BD143" i="2"/>
  <c r="BD131" i="2"/>
  <c r="BD119" i="2"/>
  <c r="BD107" i="2"/>
  <c r="BD95" i="2"/>
  <c r="BD83" i="2"/>
  <c r="BD71" i="2"/>
  <c r="BD59" i="2"/>
  <c r="BD47" i="2"/>
  <c r="BD35" i="2"/>
  <c r="BD23" i="2"/>
  <c r="BD11" i="2"/>
  <c r="BD1019" i="2"/>
  <c r="BD1007" i="2"/>
  <c r="BD995" i="2"/>
  <c r="BD983" i="2"/>
  <c r="BD971" i="2"/>
  <c r="BD959" i="2"/>
  <c r="BD947" i="2"/>
  <c r="BD935" i="2"/>
  <c r="BD923" i="2"/>
  <c r="BD911" i="2"/>
  <c r="BD899" i="2"/>
  <c r="BD887" i="2"/>
  <c r="BD875" i="2"/>
  <c r="BD863" i="2"/>
  <c r="BD851" i="2"/>
  <c r="BD839" i="2"/>
  <c r="BD827" i="2"/>
  <c r="BD815" i="2"/>
  <c r="BD803" i="2"/>
  <c r="BD791" i="2"/>
  <c r="BD779" i="2"/>
  <c r="BD767" i="2"/>
  <c r="BD755" i="2"/>
  <c r="BD743" i="2"/>
  <c r="BD731" i="2"/>
  <c r="BD719" i="2"/>
  <c r="BD707" i="2"/>
  <c r="BD695" i="2"/>
  <c r="BD683" i="2"/>
  <c r="BD671" i="2"/>
  <c r="BD659" i="2"/>
  <c r="BD647" i="2"/>
  <c r="BD635" i="2"/>
  <c r="BD623" i="2"/>
  <c r="BD611" i="2"/>
  <c r="BD599" i="2"/>
  <c r="BD587" i="2"/>
  <c r="BD575" i="2"/>
  <c r="BD563" i="2"/>
  <c r="BD551" i="2"/>
  <c r="BD539" i="2"/>
  <c r="BD527" i="2"/>
  <c r="BD515" i="2"/>
  <c r="BD503" i="2"/>
  <c r="BD491" i="2"/>
  <c r="BD479" i="2"/>
  <c r="BD467" i="2"/>
  <c r="BD455" i="2"/>
  <c r="BD443" i="2"/>
  <c r="BD431" i="2"/>
  <c r="BD419" i="2"/>
  <c r="BD407" i="2"/>
  <c r="BD395" i="2"/>
  <c r="BD383" i="2"/>
  <c r="BD371" i="2"/>
  <c r="BD359" i="2"/>
  <c r="BD347" i="2"/>
  <c r="BD335" i="2"/>
  <c r="BD323" i="2"/>
  <c r="BD311" i="2"/>
  <c r="BD299" i="2"/>
  <c r="BD287" i="2"/>
  <c r="BD276" i="2"/>
  <c r="BD264" i="2"/>
  <c r="BD252" i="2"/>
  <c r="BD240" i="2"/>
  <c r="BD228" i="2"/>
  <c r="BD216" i="2"/>
  <c r="BD204" i="2"/>
  <c r="BD192" i="2"/>
  <c r="BD180" i="2"/>
  <c r="BD168" i="2"/>
  <c r="BD156" i="2"/>
  <c r="BD144" i="2"/>
  <c r="BD132" i="2"/>
  <c r="BD120" i="2"/>
  <c r="BD108" i="2"/>
  <c r="BD96" i="2"/>
  <c r="BD84" i="2"/>
  <c r="BD72" i="2"/>
  <c r="BD60" i="2"/>
  <c r="BD48" i="2"/>
  <c r="BD36" i="2"/>
  <c r="BD24" i="2"/>
  <c r="BD12" i="2"/>
  <c r="AZ1098" i="2"/>
  <c r="AZ1086" i="2"/>
  <c r="AZ1074" i="2"/>
  <c r="AZ1062" i="2"/>
  <c r="AZ1050" i="2"/>
  <c r="AZ1038" i="2"/>
  <c r="AZ1026" i="2"/>
  <c r="AZ1097" i="2"/>
  <c r="AZ1085" i="2"/>
  <c r="AZ1073" i="2"/>
  <c r="AZ1061" i="2"/>
  <c r="AZ1049" i="2"/>
  <c r="AZ1037" i="2"/>
  <c r="AZ1025" i="2"/>
  <c r="AZ1091" i="2"/>
  <c r="AZ1079" i="2"/>
  <c r="AZ1067" i="2"/>
  <c r="AZ1055" i="2"/>
  <c r="AZ1043" i="2"/>
  <c r="AZ1031" i="2"/>
  <c r="AZ1019" i="2"/>
  <c r="AZ1007" i="2"/>
  <c r="AZ995" i="2"/>
  <c r="AZ983" i="2"/>
  <c r="AZ971" i="2"/>
  <c r="AZ959" i="2"/>
  <c r="AZ947" i="2"/>
  <c r="AZ935" i="2"/>
  <c r="AZ923" i="2"/>
  <c r="AZ911" i="2"/>
  <c r="AZ899" i="2"/>
  <c r="AZ887" i="2"/>
  <c r="AZ875" i="2"/>
  <c r="AZ863" i="2"/>
  <c r="AZ851" i="2"/>
  <c r="AZ839" i="2"/>
  <c r="AZ827" i="2"/>
  <c r="AZ815" i="2"/>
  <c r="AZ803" i="2"/>
  <c r="AZ791" i="2"/>
  <c r="AZ779" i="2"/>
  <c r="AZ767" i="2"/>
  <c r="AZ755" i="2"/>
  <c r="AZ743" i="2"/>
  <c r="AZ731" i="2"/>
  <c r="AZ719" i="2"/>
  <c r="AZ707" i="2"/>
  <c r="AZ695" i="2"/>
  <c r="AZ683" i="2"/>
  <c r="AZ671" i="2"/>
  <c r="AZ659" i="2"/>
  <c r="AZ647" i="2"/>
  <c r="AZ635" i="2"/>
  <c r="AZ623" i="2"/>
  <c r="AZ611" i="2"/>
  <c r="AZ599" i="2"/>
  <c r="AZ587" i="2"/>
  <c r="AZ575" i="2"/>
  <c r="AZ1014" i="2"/>
  <c r="AZ1002" i="2"/>
  <c r="AZ990" i="2"/>
  <c r="AZ978" i="2"/>
  <c r="AZ966" i="2"/>
  <c r="AZ954" i="2"/>
  <c r="AZ942" i="2"/>
  <c r="AZ930" i="2"/>
  <c r="AZ918" i="2"/>
  <c r="AZ906" i="2"/>
  <c r="AZ894" i="2"/>
  <c r="AZ882" i="2"/>
  <c r="AZ870" i="2"/>
  <c r="AZ858" i="2"/>
  <c r="AZ846" i="2"/>
  <c r="AZ834" i="2"/>
  <c r="AZ822" i="2"/>
  <c r="AZ810" i="2"/>
  <c r="AZ798" i="2"/>
  <c r="AZ786" i="2"/>
  <c r="AZ774" i="2"/>
  <c r="AZ762" i="2"/>
  <c r="AZ750" i="2"/>
  <c r="AZ738" i="2"/>
  <c r="AZ726" i="2"/>
  <c r="AZ714" i="2"/>
  <c r="AZ702" i="2"/>
  <c r="AZ690" i="2"/>
  <c r="AZ678" i="2"/>
  <c r="AZ666" i="2"/>
  <c r="AZ654" i="2"/>
  <c r="AZ642" i="2"/>
  <c r="AZ630" i="2"/>
  <c r="AZ618" i="2"/>
  <c r="AZ606" i="2"/>
  <c r="AZ594" i="2"/>
  <c r="AZ582" i="2"/>
  <c r="AZ570" i="2"/>
  <c r="AZ558" i="2"/>
  <c r="AZ546" i="2"/>
  <c r="AZ534" i="2"/>
  <c r="AZ522" i="2"/>
  <c r="AZ510" i="2"/>
  <c r="AZ498" i="2"/>
  <c r="AZ486" i="2"/>
  <c r="AZ474" i="2"/>
  <c r="AZ462" i="2"/>
  <c r="AZ450" i="2"/>
  <c r="AZ438" i="2"/>
  <c r="AZ426" i="2"/>
  <c r="AZ414" i="2"/>
  <c r="AZ402" i="2"/>
  <c r="AZ390" i="2"/>
  <c r="AZ378" i="2"/>
  <c r="AZ366" i="2"/>
  <c r="AZ354" i="2"/>
  <c r="AZ342" i="2"/>
  <c r="AZ330" i="2"/>
  <c r="AZ318" i="2"/>
  <c r="AZ306" i="2"/>
  <c r="AZ294" i="2"/>
  <c r="AZ282" i="2"/>
  <c r="AZ271" i="2"/>
  <c r="AZ259" i="2"/>
  <c r="AZ247" i="2"/>
  <c r="AZ235" i="2"/>
  <c r="AZ223" i="2"/>
  <c r="AZ211" i="2"/>
  <c r="AZ199" i="2"/>
  <c r="AZ187" i="2"/>
  <c r="AZ175" i="2"/>
  <c r="AZ163" i="2"/>
  <c r="AZ151" i="2"/>
  <c r="AZ139" i="2"/>
  <c r="AZ127" i="2"/>
  <c r="AZ115" i="2"/>
  <c r="AZ103" i="2"/>
  <c r="AZ91" i="2"/>
  <c r="AZ79" i="2"/>
  <c r="AZ67" i="2"/>
  <c r="AZ55" i="2"/>
  <c r="AZ43" i="2"/>
  <c r="AZ31" i="2"/>
  <c r="AZ19" i="2"/>
  <c r="AZ7" i="2"/>
  <c r="AZ1013" i="2"/>
  <c r="AZ1001" i="2"/>
  <c r="AZ989" i="2"/>
  <c r="AZ977" i="2"/>
  <c r="AZ965" i="2"/>
  <c r="AZ953" i="2"/>
  <c r="AZ941" i="2"/>
  <c r="AZ929" i="2"/>
  <c r="AZ917" i="2"/>
  <c r="AZ905" i="2"/>
  <c r="AZ893" i="2"/>
  <c r="AZ881" i="2"/>
  <c r="AZ869" i="2"/>
  <c r="AZ857" i="2"/>
  <c r="AZ845" i="2"/>
  <c r="AZ833" i="2"/>
  <c r="AZ821" i="2"/>
  <c r="AZ809" i="2"/>
  <c r="AZ797" i="2"/>
  <c r="AZ785" i="2"/>
  <c r="AZ773" i="2"/>
  <c r="AZ761" i="2"/>
  <c r="AZ749" i="2"/>
  <c r="AZ737" i="2"/>
  <c r="AZ725" i="2"/>
  <c r="AZ713" i="2"/>
  <c r="AZ701" i="2"/>
  <c r="AZ689" i="2"/>
  <c r="AZ677" i="2"/>
  <c r="AZ665" i="2"/>
  <c r="AZ653" i="2"/>
  <c r="AZ641" i="2"/>
  <c r="AZ629" i="2"/>
  <c r="AZ617" i="2"/>
  <c r="AZ605" i="2"/>
  <c r="AZ593" i="2"/>
  <c r="AZ581" i="2"/>
  <c r="AZ569" i="2"/>
  <c r="AZ557" i="2"/>
  <c r="AZ545" i="2"/>
  <c r="AZ533" i="2"/>
  <c r="AZ521" i="2"/>
  <c r="AZ509" i="2"/>
  <c r="AZ497" i="2"/>
  <c r="AZ485" i="2"/>
  <c r="AZ473" i="2"/>
  <c r="AZ461" i="2"/>
  <c r="AZ449" i="2"/>
  <c r="AZ437" i="2"/>
  <c r="AZ425" i="2"/>
  <c r="AZ413" i="2"/>
  <c r="AZ401" i="2"/>
  <c r="AZ389" i="2"/>
  <c r="AZ377" i="2"/>
  <c r="AZ365" i="2"/>
  <c r="AZ353" i="2"/>
  <c r="AZ341" i="2"/>
  <c r="AZ329" i="2"/>
  <c r="AZ317" i="2"/>
  <c r="AZ305" i="2"/>
  <c r="AZ293" i="2"/>
  <c r="AZ281" i="2"/>
  <c r="AZ270" i="2"/>
  <c r="AZ258" i="2"/>
  <c r="AZ246" i="2"/>
  <c r="AZ234" i="2"/>
  <c r="AZ222" i="2"/>
  <c r="AZ210" i="2"/>
  <c r="AZ198" i="2"/>
  <c r="AZ186" i="2"/>
  <c r="AZ174" i="2"/>
  <c r="AZ162" i="2"/>
  <c r="AZ150" i="2"/>
  <c r="AZ138" i="2"/>
  <c r="AZ126" i="2"/>
  <c r="AZ114" i="2"/>
  <c r="AZ102" i="2"/>
  <c r="AZ90" i="2"/>
  <c r="AZ78" i="2"/>
  <c r="AZ66" i="2"/>
  <c r="AZ54" i="2"/>
  <c r="AZ42" i="2"/>
  <c r="AZ30" i="2"/>
  <c r="AZ18" i="2"/>
  <c r="AZ6" i="2"/>
  <c r="BD1060" i="2"/>
  <c r="BD988" i="2"/>
  <c r="BD880" i="2"/>
  <c r="BD796" i="2"/>
  <c r="BD700" i="2"/>
  <c r="BD616" i="2"/>
  <c r="BD544" i="2"/>
  <c r="BD436" i="2"/>
  <c r="BD340" i="2"/>
  <c r="BD257" i="2"/>
  <c r="BD137" i="2"/>
  <c r="BD17" i="2"/>
  <c r="BD1096" i="2"/>
  <c r="BD1012" i="2"/>
  <c r="BD952" i="2"/>
  <c r="BD856" i="2"/>
  <c r="BD784" i="2"/>
  <c r="BD712" i="2"/>
  <c r="BD628" i="2"/>
  <c r="BD556" i="2"/>
  <c r="BD472" i="2"/>
  <c r="BD400" i="2"/>
  <c r="BD316" i="2"/>
  <c r="BD233" i="2"/>
  <c r="BD149" i="2"/>
  <c r="BD65" i="2"/>
  <c r="BD1095" i="2"/>
  <c r="BD1083" i="2"/>
  <c r="BD1071" i="2"/>
  <c r="BD1059" i="2"/>
  <c r="BD1047" i="2"/>
  <c r="BD1035" i="2"/>
  <c r="BD1023" i="2"/>
  <c r="BD1084" i="2"/>
  <c r="BD1000" i="2"/>
  <c r="BD916" i="2"/>
  <c r="BD832" i="2"/>
  <c r="BD748" i="2"/>
  <c r="BD664" i="2"/>
  <c r="BD580" i="2"/>
  <c r="BD496" i="2"/>
  <c r="BD376" i="2"/>
  <c r="BD269" i="2"/>
  <c r="BD185" i="2"/>
  <c r="BD89" i="2"/>
  <c r="BD1094" i="2"/>
  <c r="BD1022" i="2"/>
  <c r="BD974" i="2"/>
  <c r="BD914" i="2"/>
  <c r="BD866" i="2"/>
  <c r="BD818" i="2"/>
  <c r="BD758" i="2"/>
  <c r="BD698" i="2"/>
  <c r="BD650" i="2"/>
  <c r="BD578" i="2"/>
  <c r="BD518" i="2"/>
  <c r="BD458" i="2"/>
  <c r="BD398" i="2"/>
  <c r="BD338" i="2"/>
  <c r="BD278" i="2"/>
  <c r="BD219" i="2"/>
  <c r="BD159" i="2"/>
  <c r="BD75" i="2"/>
  <c r="AZ1090" i="2"/>
  <c r="AZ1078" i="2"/>
  <c r="AZ1066" i="2"/>
  <c r="AZ1054" i="2"/>
  <c r="AZ1042" i="2"/>
  <c r="AZ1030" i="2"/>
  <c r="AZ1018" i="2"/>
  <c r="AZ1006" i="2"/>
  <c r="AZ994" i="2"/>
  <c r="AZ982" i="2"/>
  <c r="AZ970" i="2"/>
  <c r="AZ958" i="2"/>
  <c r="AZ946" i="2"/>
  <c r="AZ934" i="2"/>
  <c r="AZ922" i="2"/>
  <c r="AZ910" i="2"/>
  <c r="AZ898" i="2"/>
  <c r="AZ886" i="2"/>
  <c r="AZ874" i="2"/>
  <c r="AZ862" i="2"/>
  <c r="AZ850" i="2"/>
  <c r="AZ838" i="2"/>
  <c r="AZ826" i="2"/>
  <c r="AZ814" i="2"/>
  <c r="AZ802" i="2"/>
  <c r="AZ790" i="2"/>
  <c r="AZ778" i="2"/>
  <c r="AZ766" i="2"/>
  <c r="AZ754" i="2"/>
  <c r="AZ742" i="2"/>
  <c r="AZ730" i="2"/>
  <c r="AZ718" i="2"/>
  <c r="AZ706" i="2"/>
  <c r="AZ694" i="2"/>
  <c r="AZ682" i="2"/>
  <c r="AZ670" i="2"/>
  <c r="AZ658" i="2"/>
  <c r="AZ646" i="2"/>
  <c r="AZ634" i="2"/>
  <c r="AZ622" i="2"/>
  <c r="AZ610" i="2"/>
  <c r="AZ598" i="2"/>
  <c r="AZ586" i="2"/>
  <c r="AZ574" i="2"/>
  <c r="AZ562" i="2"/>
  <c r="AZ550" i="2"/>
  <c r="AZ538" i="2"/>
  <c r="AZ526" i="2"/>
  <c r="AZ514" i="2"/>
  <c r="AZ502" i="2"/>
  <c r="AZ490" i="2"/>
  <c r="AZ478" i="2"/>
  <c r="AZ466" i="2"/>
  <c r="AZ454" i="2"/>
  <c r="AZ442" i="2"/>
  <c r="AZ430" i="2"/>
  <c r="AZ418" i="2"/>
  <c r="AZ406" i="2"/>
  <c r="AZ394" i="2"/>
  <c r="AZ382" i="2"/>
  <c r="AZ370" i="2"/>
  <c r="AZ358" i="2"/>
  <c r="AZ346" i="2"/>
  <c r="AZ334" i="2"/>
  <c r="AZ322" i="2"/>
  <c r="AZ310" i="2"/>
  <c r="AZ298" i="2"/>
  <c r="AZ286" i="2"/>
  <c r="AZ275" i="2"/>
  <c r="AZ263" i="2"/>
  <c r="AZ251" i="2"/>
  <c r="AZ239" i="2"/>
  <c r="AZ227" i="2"/>
  <c r="AZ215" i="2"/>
  <c r="AZ203" i="2"/>
  <c r="AZ191" i="2"/>
  <c r="AZ179" i="2"/>
  <c r="AZ167" i="2"/>
  <c r="AZ155" i="2"/>
  <c r="AZ143" i="2"/>
  <c r="AZ131" i="2"/>
  <c r="AZ119" i="2"/>
  <c r="AZ107" i="2"/>
  <c r="AZ95" i="2"/>
  <c r="AZ83" i="2"/>
  <c r="AZ71" i="2"/>
  <c r="AZ59" i="2"/>
  <c r="AZ47" i="2"/>
  <c r="AZ35" i="2"/>
  <c r="AZ23" i="2"/>
  <c r="AZ11" i="2"/>
  <c r="AX1099" i="2"/>
  <c r="AX1087" i="2"/>
  <c r="AX1075" i="2"/>
  <c r="AX1063" i="2"/>
  <c r="AX1051" i="2"/>
  <c r="AX1039" i="2"/>
  <c r="AX1027" i="2"/>
  <c r="AX1015" i="2"/>
  <c r="AX1003" i="2"/>
  <c r="AX991" i="2"/>
  <c r="AX979" i="2"/>
  <c r="AX967" i="2"/>
  <c r="AX955" i="2"/>
  <c r="AX943" i="2"/>
  <c r="AX931" i="2"/>
  <c r="AX919" i="2"/>
  <c r="AX907" i="2"/>
  <c r="AX895" i="2"/>
  <c r="AX883" i="2"/>
  <c r="AX871" i="2"/>
  <c r="AX859" i="2"/>
  <c r="AX847" i="2"/>
  <c r="AX835" i="2"/>
  <c r="AX823" i="2"/>
  <c r="AX811" i="2"/>
  <c r="AX799" i="2"/>
  <c r="AX787" i="2"/>
  <c r="AX775" i="2"/>
  <c r="AX763" i="2"/>
  <c r="AX751" i="2"/>
  <c r="AX739" i="2"/>
  <c r="AX727" i="2"/>
  <c r="AX715" i="2"/>
  <c r="AX703" i="2"/>
  <c r="AX691" i="2"/>
  <c r="AX679" i="2"/>
  <c r="AX667" i="2"/>
  <c r="AX655" i="2"/>
  <c r="AX643" i="2"/>
  <c r="AX631" i="2"/>
  <c r="AX619" i="2"/>
  <c r="AX607" i="2"/>
  <c r="AX595" i="2"/>
  <c r="AX583" i="2"/>
  <c r="AX571" i="2"/>
  <c r="AX559" i="2"/>
  <c r="AX547" i="2"/>
  <c r="AX535" i="2"/>
  <c r="AX523" i="2"/>
  <c r="AX511" i="2"/>
  <c r="AX499" i="2"/>
  <c r="AX487" i="2"/>
  <c r="AX475" i="2"/>
  <c r="AX463" i="2"/>
  <c r="AX451" i="2"/>
  <c r="AX439" i="2"/>
  <c r="AX427" i="2"/>
  <c r="AX415" i="2"/>
  <c r="AX403" i="2"/>
  <c r="AX391" i="2"/>
  <c r="AX379" i="2"/>
  <c r="AX367" i="2"/>
  <c r="AX355" i="2"/>
  <c r="AX343" i="2"/>
  <c r="AX331" i="2"/>
  <c r="AX319" i="2"/>
  <c r="AX307" i="2"/>
  <c r="AX295" i="2"/>
  <c r="AX283" i="2"/>
  <c r="AX272" i="2"/>
  <c r="BD1048" i="2"/>
  <c r="BD940" i="2"/>
  <c r="BD868" i="2"/>
  <c r="BD772" i="2"/>
  <c r="BD688" i="2"/>
  <c r="BD604" i="2"/>
  <c r="BD508" i="2"/>
  <c r="BD424" i="2"/>
  <c r="BD352" i="2"/>
  <c r="BD280" i="2"/>
  <c r="BD197" i="2"/>
  <c r="BD125" i="2"/>
  <c r="BD41" i="2"/>
  <c r="BD1046" i="2"/>
  <c r="BD986" i="2"/>
  <c r="BD926" i="2"/>
  <c r="BD854" i="2"/>
  <c r="BD782" i="2"/>
  <c r="BD722" i="2"/>
  <c r="BD662" i="2"/>
  <c r="BD602" i="2"/>
  <c r="BD542" i="2"/>
  <c r="BD482" i="2"/>
  <c r="BD386" i="2"/>
  <c r="BD302" i="2"/>
  <c r="BD243" i="2"/>
  <c r="BD183" i="2"/>
  <c r="BD123" i="2"/>
  <c r="BD39" i="2"/>
  <c r="BE1061" i="2"/>
  <c r="BE989" i="2"/>
  <c r="BE929" i="2"/>
  <c r="BE869" i="2"/>
  <c r="BE809" i="2"/>
  <c r="BE761" i="2"/>
  <c r="BE701" i="2"/>
  <c r="BE653" i="2"/>
  <c r="BE593" i="2"/>
  <c r="BE545" i="2"/>
  <c r="BE485" i="2"/>
  <c r="BE425" i="2"/>
  <c r="BE365" i="2"/>
  <c r="BE305" i="2"/>
  <c r="BE234" i="2"/>
  <c r="BE162" i="2"/>
  <c r="BE90" i="2"/>
  <c r="BE6" i="2"/>
  <c r="BD1036" i="2"/>
  <c r="BD928" i="2"/>
  <c r="BD820" i="2"/>
  <c r="BD736" i="2"/>
  <c r="BD652" i="2"/>
  <c r="BD568" i="2"/>
  <c r="BD484" i="2"/>
  <c r="BD412" i="2"/>
  <c r="BD328" i="2"/>
  <c r="BD245" i="2"/>
  <c r="BD173" i="2"/>
  <c r="BD101" i="2"/>
  <c r="BD5" i="2"/>
  <c r="BD1082" i="2"/>
  <c r="BD1034" i="2"/>
  <c r="BD998" i="2"/>
  <c r="BD938" i="2"/>
  <c r="BD878" i="2"/>
  <c r="BD806" i="2"/>
  <c r="BD734" i="2"/>
  <c r="BD686" i="2"/>
  <c r="BD614" i="2"/>
  <c r="BD566" i="2"/>
  <c r="BD506" i="2"/>
  <c r="BD434" i="2"/>
  <c r="BD374" i="2"/>
  <c r="BD314" i="2"/>
  <c r="BD255" i="2"/>
  <c r="BD195" i="2"/>
  <c r="BD147" i="2"/>
  <c r="BD99" i="2"/>
  <c r="BD27" i="2"/>
  <c r="BE1073" i="2"/>
  <c r="BE1013" i="2"/>
  <c r="BE953" i="2"/>
  <c r="BE893" i="2"/>
  <c r="BE833" i="2"/>
  <c r="BE773" i="2"/>
  <c r="BE725" i="2"/>
  <c r="BE665" i="2"/>
  <c r="BE617" i="2"/>
  <c r="BE569" i="2"/>
  <c r="BE509" i="2"/>
  <c r="BE449" i="2"/>
  <c r="BE401" i="2"/>
  <c r="BE341" i="2"/>
  <c r="BE281" i="2"/>
  <c r="BE198" i="2"/>
  <c r="BE126" i="2"/>
  <c r="BE30" i="2"/>
  <c r="BD1072" i="2"/>
  <c r="BD976" i="2"/>
  <c r="BD904" i="2"/>
  <c r="BD844" i="2"/>
  <c r="BD760" i="2"/>
  <c r="BD676" i="2"/>
  <c r="BD592" i="2"/>
  <c r="BD520" i="2"/>
  <c r="BD460" i="2"/>
  <c r="BD388" i="2"/>
  <c r="BD304" i="2"/>
  <c r="BD221" i="2"/>
  <c r="BD161" i="2"/>
  <c r="BD77" i="2"/>
  <c r="BD29" i="2"/>
  <c r="BD1058" i="2"/>
  <c r="BD950" i="2"/>
  <c r="BD890" i="2"/>
  <c r="BD830" i="2"/>
  <c r="BD770" i="2"/>
  <c r="BD710" i="2"/>
  <c r="BD638" i="2"/>
  <c r="BD554" i="2"/>
  <c r="BD494" i="2"/>
  <c r="BD446" i="2"/>
  <c r="BD410" i="2"/>
  <c r="BD350" i="2"/>
  <c r="BD290" i="2"/>
  <c r="BD231" i="2"/>
  <c r="BD171" i="2"/>
  <c r="BD111" i="2"/>
  <c r="BD63" i="2"/>
  <c r="BD51" i="2"/>
  <c r="BD15" i="2"/>
  <c r="BE1097" i="2"/>
  <c r="BE1049" i="2"/>
  <c r="BE1037" i="2"/>
  <c r="BE1001" i="2"/>
  <c r="BE977" i="2"/>
  <c r="BE941" i="2"/>
  <c r="BE917" i="2"/>
  <c r="BE881" i="2"/>
  <c r="BE857" i="2"/>
  <c r="BE821" i="2"/>
  <c r="BE785" i="2"/>
  <c r="BE749" i="2"/>
  <c r="BE713" i="2"/>
  <c r="BE689" i="2"/>
  <c r="BE641" i="2"/>
  <c r="BE605" i="2"/>
  <c r="BE581" i="2"/>
  <c r="BE533" i="2"/>
  <c r="BE521" i="2"/>
  <c r="BE473" i="2"/>
  <c r="BE461" i="2"/>
  <c r="BE413" i="2"/>
  <c r="BE377" i="2"/>
  <c r="BE353" i="2"/>
  <c r="BE317" i="2"/>
  <c r="BE293" i="2"/>
  <c r="BE270" i="2"/>
  <c r="BE246" i="2"/>
  <c r="BE222" i="2"/>
  <c r="BE210" i="2"/>
  <c r="BE174" i="2"/>
  <c r="BE150" i="2"/>
  <c r="BE138" i="2"/>
  <c r="BE102" i="2"/>
  <c r="BE78" i="2"/>
  <c r="BE66" i="2"/>
  <c r="BE54" i="2"/>
  <c r="BE18" i="2"/>
  <c r="BD1024" i="2"/>
  <c r="BD964" i="2"/>
  <c r="BD892" i="2"/>
  <c r="BD808" i="2"/>
  <c r="BD724" i="2"/>
  <c r="BD640" i="2"/>
  <c r="BD532" i="2"/>
  <c r="BD448" i="2"/>
  <c r="BD364" i="2"/>
  <c r="BD292" i="2"/>
  <c r="BD209" i="2"/>
  <c r="BD113" i="2"/>
  <c r="BD53" i="2"/>
  <c r="BD1070" i="2"/>
  <c r="BD1010" i="2"/>
  <c r="BD962" i="2"/>
  <c r="BD902" i="2"/>
  <c r="BD842" i="2"/>
  <c r="BD794" i="2"/>
  <c r="BD746" i="2"/>
  <c r="BD674" i="2"/>
  <c r="BD626" i="2"/>
  <c r="BD590" i="2"/>
  <c r="BD530" i="2"/>
  <c r="BD470" i="2"/>
  <c r="BD422" i="2"/>
  <c r="BD362" i="2"/>
  <c r="BD326" i="2"/>
  <c r="BD267" i="2"/>
  <c r="BD207" i="2"/>
  <c r="BD135" i="2"/>
  <c r="BD87" i="2"/>
  <c r="BD3" i="2"/>
  <c r="BE1085" i="2"/>
  <c r="BE1025" i="2"/>
  <c r="BE965" i="2"/>
  <c r="BE905" i="2"/>
  <c r="BE845" i="2"/>
  <c r="BE797" i="2"/>
  <c r="BE737" i="2"/>
  <c r="BE677" i="2"/>
  <c r="BE629" i="2"/>
  <c r="BE557" i="2"/>
  <c r="BE497" i="2"/>
  <c r="BE437" i="2"/>
  <c r="BE389" i="2"/>
  <c r="BE329" i="2"/>
  <c r="BE258" i="2"/>
  <c r="BE186" i="2"/>
  <c r="BE114" i="2"/>
  <c r="BE42" i="2"/>
  <c r="AZ1022" i="2"/>
  <c r="BD1011" i="2"/>
  <c r="BD999" i="2"/>
  <c r="BD987" i="2"/>
  <c r="BD975" i="2"/>
  <c r="BD963" i="2"/>
  <c r="BD951" i="2"/>
  <c r="BD939" i="2"/>
  <c r="BD927" i="2"/>
  <c r="BD915" i="2"/>
  <c r="BD903" i="2"/>
  <c r="BD891" i="2"/>
  <c r="BD879" i="2"/>
  <c r="BD867" i="2"/>
  <c r="BD855" i="2"/>
  <c r="BD843" i="2"/>
  <c r="BD831" i="2"/>
  <c r="BD819" i="2"/>
  <c r="BD807" i="2"/>
  <c r="BD795" i="2"/>
  <c r="BD783" i="2"/>
  <c r="BD771" i="2"/>
  <c r="BD759" i="2"/>
  <c r="BD747" i="2"/>
  <c r="BD735" i="2"/>
  <c r="BD723" i="2"/>
  <c r="BD711" i="2"/>
  <c r="BD699" i="2"/>
  <c r="BD687" i="2"/>
  <c r="BD675" i="2"/>
  <c r="BD663" i="2"/>
  <c r="BD651" i="2"/>
  <c r="BD639" i="2"/>
  <c r="BD627" i="2"/>
  <c r="BD615" i="2"/>
  <c r="BD603" i="2"/>
  <c r="BD591" i="2"/>
  <c r="BD579" i="2"/>
  <c r="BD567" i="2"/>
  <c r="BD555" i="2"/>
  <c r="BD543" i="2"/>
  <c r="BD531" i="2"/>
  <c r="BD519" i="2"/>
  <c r="BD507" i="2"/>
  <c r="BD495" i="2"/>
  <c r="BD483" i="2"/>
  <c r="BD471" i="2"/>
  <c r="BD459" i="2"/>
  <c r="BD447" i="2"/>
  <c r="BD435" i="2"/>
  <c r="BD423" i="2"/>
  <c r="BD411" i="2"/>
  <c r="BD399" i="2"/>
  <c r="BD387" i="2"/>
  <c r="BD375" i="2"/>
  <c r="BD363" i="2"/>
  <c r="BD351" i="2"/>
  <c r="BD339" i="2"/>
  <c r="BD327" i="2"/>
  <c r="BD315" i="2"/>
  <c r="BD303" i="2"/>
  <c r="BD291" i="2"/>
  <c r="BD279" i="2"/>
  <c r="BD268" i="2"/>
  <c r="BD256" i="2"/>
  <c r="BD244" i="2"/>
  <c r="BD232" i="2"/>
  <c r="BD220" i="2"/>
  <c r="BD208" i="2"/>
  <c r="BD196" i="2"/>
  <c r="BD184" i="2"/>
  <c r="BD172" i="2"/>
  <c r="BD160" i="2"/>
  <c r="BD148" i="2"/>
  <c r="BD136" i="2"/>
  <c r="BD124" i="2"/>
  <c r="BD112" i="2"/>
  <c r="BD100" i="2"/>
  <c r="BD88" i="2"/>
  <c r="BD76" i="2"/>
  <c r="BD64" i="2"/>
  <c r="BD52" i="2"/>
  <c r="BD40" i="2"/>
  <c r="BD28" i="2"/>
  <c r="BD16" i="2"/>
  <c r="BD4" i="2"/>
  <c r="BD1093" i="2"/>
  <c r="BD1081" i="2"/>
  <c r="BD1069" i="2"/>
  <c r="BD1057" i="2"/>
  <c r="BD1045" i="2"/>
  <c r="BD1033" i="2"/>
  <c r="BD1021" i="2"/>
  <c r="BD1009" i="2"/>
  <c r="BD997" i="2"/>
  <c r="BD985" i="2"/>
  <c r="BD973" i="2"/>
  <c r="BD949" i="2"/>
  <c r="BE1072" i="2"/>
  <c r="BE1036" i="2"/>
  <c r="BE1024" i="2"/>
  <c r="BE988" i="2"/>
  <c r="BE976" i="2"/>
  <c r="BE940" i="2"/>
  <c r="BE916" i="2"/>
  <c r="BE892" i="2"/>
  <c r="BE856" i="2"/>
  <c r="BE832" i="2"/>
  <c r="BE808" i="2"/>
  <c r="BE772" i="2"/>
  <c r="BE760" i="2"/>
  <c r="BE724" i="2"/>
  <c r="BE700" i="2"/>
  <c r="BE676" i="2"/>
  <c r="BE652" i="2"/>
  <c r="BE616" i="2"/>
  <c r="BE592" i="2"/>
  <c r="BE568" i="2"/>
  <c r="BE544" i="2"/>
  <c r="BE520" i="2"/>
  <c r="BE496" i="2"/>
  <c r="BE472" i="2"/>
  <c r="BE460" i="2"/>
  <c r="BE424" i="2"/>
  <c r="BE412" i="2"/>
  <c r="BE376" i="2"/>
  <c r="BE364" i="2"/>
  <c r="BE340" i="2"/>
  <c r="BE316" i="2"/>
  <c r="BE292" i="2"/>
  <c r="BE269" i="2"/>
  <c r="BE245" i="2"/>
  <c r="BE221" i="2"/>
  <c r="BE197" i="2"/>
  <c r="BE173" i="2"/>
  <c r="BE149" i="2"/>
  <c r="BE125" i="2"/>
  <c r="BE113" i="2"/>
  <c r="BE77" i="2"/>
  <c r="BE65" i="2"/>
  <c r="BE41" i="2"/>
  <c r="BE17" i="2"/>
  <c r="BE1096" i="2"/>
  <c r="BE1048" i="2"/>
  <c r="BE1000" i="2"/>
  <c r="BE952" i="2"/>
  <c r="BE904" i="2"/>
  <c r="BE868" i="2"/>
  <c r="BE820" i="2"/>
  <c r="BE784" i="2"/>
  <c r="BE736" i="2"/>
  <c r="BE688" i="2"/>
  <c r="BE640" i="2"/>
  <c r="BE604" i="2"/>
  <c r="BE556" i="2"/>
  <c r="BE508" i="2"/>
  <c r="BE436" i="2"/>
  <c r="BE388" i="2"/>
  <c r="BE328" i="2"/>
  <c r="BE280" i="2"/>
  <c r="BE233" i="2"/>
  <c r="BE185" i="2"/>
  <c r="BE137" i="2"/>
  <c r="BE89" i="2"/>
  <c r="BE29" i="2"/>
  <c r="BE1084" i="2"/>
  <c r="BE1060" i="2"/>
  <c r="BE1012" i="2"/>
  <c r="BE964" i="2"/>
  <c r="BE928" i="2"/>
  <c r="BE880" i="2"/>
  <c r="BE844" i="2"/>
  <c r="BE796" i="2"/>
  <c r="BE748" i="2"/>
  <c r="BE712" i="2"/>
  <c r="BE664" i="2"/>
  <c r="BE628" i="2"/>
  <c r="BE580" i="2"/>
  <c r="BE532" i="2"/>
  <c r="BE484" i="2"/>
  <c r="BE448" i="2"/>
  <c r="BE400" i="2"/>
  <c r="BE352" i="2"/>
  <c r="BE304" i="2"/>
  <c r="BE257" i="2"/>
  <c r="BE209" i="2"/>
  <c r="BE161" i="2"/>
  <c r="BE101" i="2"/>
  <c r="BE53" i="2"/>
  <c r="BE5" i="2"/>
  <c r="BD937" i="2"/>
  <c r="BD925" i="2"/>
  <c r="BD913" i="2"/>
  <c r="BD901" i="2"/>
  <c r="BD889" i="2"/>
  <c r="BD877" i="2"/>
  <c r="BD865" i="2"/>
  <c r="BD853" i="2"/>
  <c r="BD841" i="2"/>
  <c r="BD829" i="2"/>
  <c r="BD817" i="2"/>
  <c r="BD805" i="2"/>
  <c r="BD793" i="2"/>
  <c r="BD781" i="2"/>
  <c r="BD769" i="2"/>
  <c r="BD757" i="2"/>
  <c r="BD745" i="2"/>
  <c r="BD733" i="2"/>
  <c r="BD721" i="2"/>
  <c r="BD709" i="2"/>
  <c r="BD697" i="2"/>
  <c r="BD685" i="2"/>
  <c r="BD673" i="2"/>
  <c r="BD661" i="2"/>
  <c r="BD649" i="2"/>
  <c r="BD637" i="2"/>
  <c r="BD625" i="2"/>
  <c r="BD613" i="2"/>
  <c r="BD601" i="2"/>
  <c r="BD589" i="2"/>
  <c r="BD577" i="2"/>
  <c r="BD565" i="2"/>
  <c r="BD553" i="2"/>
  <c r="BD541" i="2"/>
  <c r="BD529" i="2"/>
  <c r="BD517" i="2"/>
  <c r="BD505" i="2"/>
  <c r="BD493" i="2"/>
  <c r="BD481" i="2"/>
  <c r="BD469" i="2"/>
  <c r="BD457" i="2"/>
  <c r="BD445" i="2"/>
  <c r="BD433" i="2"/>
  <c r="BD421" i="2"/>
  <c r="BD409" i="2"/>
  <c r="BD397" i="2"/>
  <c r="BD385" i="2"/>
  <c r="BD373" i="2"/>
  <c r="BD361" i="2"/>
  <c r="BD349" i="2"/>
  <c r="BD337" i="2"/>
  <c r="BD325" i="2"/>
  <c r="BD313" i="2"/>
  <c r="BD301" i="2"/>
  <c r="BD289" i="2"/>
  <c r="BD277" i="2"/>
  <c r="BD266" i="2"/>
  <c r="BD254" i="2"/>
  <c r="BD242" i="2"/>
  <c r="BD230" i="2"/>
  <c r="BD218" i="2"/>
  <c r="BD206" i="2"/>
  <c r="BD194" i="2"/>
  <c r="BD182" i="2"/>
  <c r="BD170" i="2"/>
  <c r="BD158" i="2"/>
  <c r="BD146" i="2"/>
  <c r="BD134" i="2"/>
  <c r="BD122" i="2"/>
  <c r="BD110" i="2"/>
  <c r="BD98" i="2"/>
  <c r="BD86" i="2"/>
  <c r="BD74" i="2"/>
  <c r="BD62" i="2"/>
  <c r="BD50" i="2"/>
  <c r="BD38" i="2"/>
  <c r="BD26" i="2"/>
  <c r="BD14" i="2"/>
  <c r="BD2" i="2"/>
  <c r="AZ1089" i="2"/>
  <c r="AZ1077" i="2"/>
  <c r="AZ1065" i="2"/>
  <c r="AZ1053" i="2"/>
  <c r="AZ1041" i="2"/>
  <c r="AZ1029" i="2"/>
  <c r="AZ1017" i="2"/>
  <c r="AZ1005" i="2"/>
  <c r="AZ993" i="2"/>
  <c r="AZ981" i="2"/>
  <c r="AZ969" i="2"/>
  <c r="AZ957" i="2"/>
  <c r="AZ945" i="2"/>
  <c r="AZ933" i="2"/>
  <c r="AZ921" i="2"/>
  <c r="AZ909" i="2"/>
  <c r="AZ897" i="2"/>
  <c r="AZ885" i="2"/>
  <c r="AZ873" i="2"/>
  <c r="AZ861" i="2"/>
  <c r="AZ849" i="2"/>
  <c r="AZ837" i="2"/>
  <c r="AZ825" i="2"/>
  <c r="AZ813" i="2"/>
  <c r="AZ801" i="2"/>
  <c r="AZ789" i="2"/>
  <c r="AZ777" i="2"/>
  <c r="AZ765" i="2"/>
  <c r="AZ753" i="2"/>
  <c r="AZ741" i="2"/>
  <c r="AZ729" i="2"/>
  <c r="AZ717" i="2"/>
  <c r="AZ705" i="2"/>
  <c r="AZ693" i="2"/>
  <c r="AZ681" i="2"/>
  <c r="AZ669" i="2"/>
  <c r="AZ657" i="2"/>
  <c r="AZ645" i="2"/>
  <c r="AZ633" i="2"/>
  <c r="AZ621" i="2"/>
  <c r="AZ609" i="2"/>
  <c r="AZ597" i="2"/>
  <c r="AZ585" i="2"/>
  <c r="AZ573" i="2"/>
  <c r="AZ561" i="2"/>
  <c r="AZ549" i="2"/>
  <c r="AZ537" i="2"/>
  <c r="AZ525" i="2"/>
  <c r="AZ513" i="2"/>
  <c r="AZ501" i="2"/>
  <c r="AZ489" i="2"/>
  <c r="AZ477" i="2"/>
  <c r="AZ465" i="2"/>
  <c r="AZ453" i="2"/>
  <c r="AZ441" i="2"/>
  <c r="AZ429" i="2"/>
  <c r="AZ417" i="2"/>
  <c r="AZ405" i="2"/>
  <c r="AZ393" i="2"/>
  <c r="AZ381" i="2"/>
  <c r="AZ369" i="2"/>
  <c r="AZ357" i="2"/>
  <c r="AZ345" i="2"/>
  <c r="AZ333" i="2"/>
  <c r="AZ321" i="2"/>
  <c r="AZ309" i="2"/>
  <c r="AZ297" i="2"/>
  <c r="AZ285" i="2"/>
  <c r="AZ274" i="2"/>
  <c r="AZ262" i="2"/>
  <c r="AZ250" i="2"/>
  <c r="AZ238" i="2"/>
  <c r="AZ226" i="2"/>
  <c r="AZ214" i="2"/>
  <c r="AZ202" i="2"/>
  <c r="AZ190" i="2"/>
  <c r="AZ178" i="2"/>
  <c r="AZ166" i="2"/>
  <c r="AZ154" i="2"/>
  <c r="AZ142" i="2"/>
  <c r="AZ130" i="2"/>
  <c r="AZ118" i="2"/>
  <c r="AZ106" i="2"/>
  <c r="AZ94" i="2"/>
  <c r="AZ82" i="2"/>
  <c r="AZ70" i="2"/>
  <c r="AZ58" i="2"/>
  <c r="AZ46" i="2"/>
  <c r="AZ34" i="2"/>
  <c r="AZ22" i="2"/>
  <c r="AZ10" i="2"/>
  <c r="BD1089" i="2"/>
  <c r="BD1065" i="2"/>
  <c r="BD1041" i="2"/>
  <c r="BD1005" i="2"/>
  <c r="BD969" i="2"/>
  <c r="BD945" i="2"/>
  <c r="BD909" i="2"/>
  <c r="BD885" i="2"/>
  <c r="BD861" i="2"/>
  <c r="BD825" i="2"/>
  <c r="BD801" i="2"/>
  <c r="BD765" i="2"/>
  <c r="BD741" i="2"/>
  <c r="BD717" i="2"/>
  <c r="BD693" i="2"/>
  <c r="BD669" i="2"/>
  <c r="BD633" i="2"/>
  <c r="BD609" i="2"/>
  <c r="BD585" i="2"/>
  <c r="BD549" i="2"/>
  <c r="BD525" i="2"/>
  <c r="BD501" i="2"/>
  <c r="BD465" i="2"/>
  <c r="BD429" i="2"/>
  <c r="BD405" i="2"/>
  <c r="BD369" i="2"/>
  <c r="BD345" i="2"/>
  <c r="BD309" i="2"/>
  <c r="BD285" i="2"/>
  <c r="BD262" i="2"/>
  <c r="BD226" i="2"/>
  <c r="BD202" i="2"/>
  <c r="BD178" i="2"/>
  <c r="BD154" i="2"/>
  <c r="BD130" i="2"/>
  <c r="BD94" i="2"/>
  <c r="BD58" i="2"/>
  <c r="BD22" i="2"/>
  <c r="BE1083" i="2"/>
  <c r="BE1047" i="2"/>
  <c r="BE1011" i="2"/>
  <c r="BE987" i="2"/>
  <c r="BE951" i="2"/>
  <c r="BE915" i="2"/>
  <c r="BE879" i="2"/>
  <c r="BE843" i="2"/>
  <c r="BE819" i="2"/>
  <c r="BE783" i="2"/>
  <c r="BE747" i="2"/>
  <c r="BE723" i="2"/>
  <c r="BE687" i="2"/>
  <c r="BE651" i="2"/>
  <c r="BE615" i="2"/>
  <c r="BE591" i="2"/>
  <c r="BE567" i="2"/>
  <c r="BE531" i="2"/>
  <c r="BE495" i="2"/>
  <c r="BE459" i="2"/>
  <c r="BE423" i="2"/>
  <c r="BE387" i="2"/>
  <c r="BE351" i="2"/>
  <c r="BE315" i="2"/>
  <c r="BE279" i="2"/>
  <c r="BE256" i="2"/>
  <c r="BE220" i="2"/>
  <c r="BE184" i="2"/>
  <c r="BE148" i="2"/>
  <c r="BE124" i="2"/>
  <c r="BE88" i="2"/>
  <c r="BE52" i="2"/>
  <c r="BE16" i="2"/>
  <c r="BD1077" i="2"/>
  <c r="BD1053" i="2"/>
  <c r="BD1029" i="2"/>
  <c r="BD1017" i="2"/>
  <c r="BD993" i="2"/>
  <c r="BD981" i="2"/>
  <c r="BD957" i="2"/>
  <c r="BD933" i="2"/>
  <c r="BD921" i="2"/>
  <c r="BD897" i="2"/>
  <c r="BD873" i="2"/>
  <c r="BD849" i="2"/>
  <c r="BD837" i="2"/>
  <c r="BD813" i="2"/>
  <c r="BD789" i="2"/>
  <c r="BD777" i="2"/>
  <c r="BD753" i="2"/>
  <c r="BD729" i="2"/>
  <c r="BD705" i="2"/>
  <c r="BD681" i="2"/>
  <c r="BD657" i="2"/>
  <c r="BD645" i="2"/>
  <c r="BD621" i="2"/>
  <c r="BD597" i="2"/>
  <c r="BD573" i="2"/>
  <c r="BD561" i="2"/>
  <c r="BD537" i="2"/>
  <c r="BD513" i="2"/>
  <c r="BD489" i="2"/>
  <c r="BD477" i="2"/>
  <c r="BD453" i="2"/>
  <c r="BD441" i="2"/>
  <c r="BD417" i="2"/>
  <c r="BD393" i="2"/>
  <c r="BD381" i="2"/>
  <c r="BD357" i="2"/>
  <c r="BD333" i="2"/>
  <c r="BD321" i="2"/>
  <c r="BD297" i="2"/>
  <c r="BD274" i="2"/>
  <c r="BD250" i="2"/>
  <c r="BD238" i="2"/>
  <c r="BD214" i="2"/>
  <c r="BD190" i="2"/>
  <c r="BD166" i="2"/>
  <c r="BD142" i="2"/>
  <c r="BD118" i="2"/>
  <c r="BD106" i="2"/>
  <c r="BD82" i="2"/>
  <c r="BD70" i="2"/>
  <c r="BD46" i="2"/>
  <c r="BD34" i="2"/>
  <c r="BD10" i="2"/>
  <c r="BE1095" i="2"/>
  <c r="BE1071" i="2"/>
  <c r="BE1059" i="2"/>
  <c r="BE1035" i="2"/>
  <c r="BE1023" i="2"/>
  <c r="BE999" i="2"/>
  <c r="BE975" i="2"/>
  <c r="BE963" i="2"/>
  <c r="BE939" i="2"/>
  <c r="BE927" i="2"/>
  <c r="BE903" i="2"/>
  <c r="BE891" i="2"/>
  <c r="BE867" i="2"/>
  <c r="BE855" i="2"/>
  <c r="BE831" i="2"/>
  <c r="BE807" i="2"/>
  <c r="BE795" i="2"/>
  <c r="BE771" i="2"/>
  <c r="BE759" i="2"/>
  <c r="BE735" i="2"/>
  <c r="BE711" i="2"/>
  <c r="BE699" i="2"/>
  <c r="BE675" i="2"/>
  <c r="BE663" i="2"/>
  <c r="BE639" i="2"/>
  <c r="BE627" i="2"/>
  <c r="BE603" i="2"/>
  <c r="BE579" i="2"/>
  <c r="BE555" i="2"/>
  <c r="BE543" i="2"/>
  <c r="BE519" i="2"/>
  <c r="BE507" i="2"/>
  <c r="BE483" i="2"/>
  <c r="BE471" i="2"/>
  <c r="BE447" i="2"/>
  <c r="BE435" i="2"/>
  <c r="BE411" i="2"/>
  <c r="BE399" i="2"/>
  <c r="BE375" i="2"/>
  <c r="BE363" i="2"/>
  <c r="BE339" i="2"/>
  <c r="BE327" i="2"/>
  <c r="BE303" i="2"/>
  <c r="BE291" i="2"/>
  <c r="BE268" i="2"/>
  <c r="BE244" i="2"/>
  <c r="BE232" i="2"/>
  <c r="BE208" i="2"/>
  <c r="BE196" i="2"/>
  <c r="BE172" i="2"/>
  <c r="BE160" i="2"/>
  <c r="BE136" i="2"/>
  <c r="BE112" i="2"/>
  <c r="BE100" i="2"/>
  <c r="BE76" i="2"/>
  <c r="BE64" i="2"/>
  <c r="BE40" i="2"/>
  <c r="BE28" i="2"/>
  <c r="BE4" i="2"/>
  <c r="BD788" i="2"/>
  <c r="AZ1010" i="2"/>
  <c r="AZ998" i="2"/>
  <c r="AZ986" i="2"/>
  <c r="AZ974" i="2"/>
  <c r="AZ962" i="2"/>
  <c r="AZ950" i="2"/>
  <c r="AZ938" i="2"/>
  <c r="AZ926" i="2"/>
  <c r="AZ914" i="2"/>
  <c r="AZ902" i="2"/>
  <c r="AZ890" i="2"/>
  <c r="AZ878" i="2"/>
  <c r="AZ866" i="2"/>
  <c r="AZ854" i="2"/>
  <c r="AZ842" i="2"/>
  <c r="AZ830" i="2"/>
  <c r="AZ818" i="2"/>
  <c r="AZ806" i="2"/>
  <c r="AZ794" i="2"/>
  <c r="AZ782" i="2"/>
  <c r="AZ770" i="2"/>
  <c r="AZ758" i="2"/>
  <c r="AZ746" i="2"/>
  <c r="AZ734" i="2"/>
  <c r="AZ722" i="2"/>
  <c r="AZ710" i="2"/>
  <c r="AZ698" i="2"/>
  <c r="AZ686" i="2"/>
  <c r="AZ674" i="2"/>
  <c r="AZ662" i="2"/>
  <c r="AZ650" i="2"/>
  <c r="AZ638" i="2"/>
  <c r="AZ626" i="2"/>
  <c r="AZ614" i="2"/>
  <c r="AZ602" i="2"/>
  <c r="AZ590" i="2"/>
  <c r="AZ578" i="2"/>
  <c r="AZ566" i="2"/>
  <c r="AZ554" i="2"/>
  <c r="AZ542" i="2"/>
  <c r="AZ530" i="2"/>
  <c r="AZ518" i="2"/>
  <c r="AZ506" i="2"/>
  <c r="AZ494" i="2"/>
  <c r="AZ482" i="2"/>
  <c r="AZ470" i="2"/>
  <c r="AZ458" i="2"/>
  <c r="AZ446" i="2"/>
  <c r="AZ434" i="2"/>
  <c r="AZ422" i="2"/>
  <c r="AZ410" i="2"/>
  <c r="AZ398" i="2"/>
  <c r="AZ386" i="2"/>
  <c r="AZ374" i="2"/>
  <c r="AZ362" i="2"/>
  <c r="AZ350" i="2"/>
  <c r="AZ338" i="2"/>
  <c r="AZ326" i="2"/>
  <c r="AZ314" i="2"/>
  <c r="AZ302" i="2"/>
  <c r="AZ290" i="2"/>
  <c r="AZ278" i="2"/>
  <c r="AZ267" i="2"/>
  <c r="AZ255" i="2"/>
  <c r="AZ243" i="2"/>
  <c r="AZ231" i="2"/>
  <c r="AZ219" i="2"/>
  <c r="AZ207" i="2"/>
  <c r="AZ195" i="2"/>
  <c r="AZ183" i="2"/>
  <c r="AZ171" i="2"/>
  <c r="AZ159" i="2"/>
  <c r="AZ147" i="2"/>
  <c r="AZ135" i="2"/>
  <c r="AZ123" i="2"/>
  <c r="AZ111" i="2"/>
  <c r="AZ99" i="2"/>
  <c r="AZ87" i="2"/>
  <c r="AZ75" i="2"/>
  <c r="AZ63" i="2"/>
  <c r="AZ51" i="2"/>
  <c r="AZ39" i="2"/>
  <c r="AZ27" i="2"/>
  <c r="AZ15" i="2"/>
  <c r="AZ3" i="2"/>
  <c r="BD1088" i="2"/>
  <c r="BD1076" i="2"/>
  <c r="BD1064" i="2"/>
  <c r="BD1052" i="2"/>
  <c r="BD1040" i="2"/>
  <c r="BD1028" i="2"/>
  <c r="BD1016" i="2"/>
  <c r="BD1004" i="2"/>
  <c r="BD992" i="2"/>
  <c r="BD980" i="2"/>
  <c r="BD968" i="2"/>
  <c r="BD956" i="2"/>
  <c r="BD944" i="2"/>
  <c r="BD932" i="2"/>
  <c r="BD920" i="2"/>
  <c r="BD908" i="2"/>
  <c r="BD896" i="2"/>
  <c r="BD884" i="2"/>
  <c r="BD872" i="2"/>
  <c r="BD860" i="2"/>
  <c r="BD848" i="2"/>
  <c r="BD836" i="2"/>
  <c r="BD824" i="2"/>
  <c r="BD812" i="2"/>
  <c r="BD800" i="2"/>
  <c r="BD1092" i="2"/>
  <c r="BD1080" i="2"/>
  <c r="BD1068" i="2"/>
  <c r="BD1056" i="2"/>
  <c r="BD1044" i="2"/>
  <c r="BD1032" i="2"/>
  <c r="BD1020" i="2"/>
  <c r="BD1008" i="2"/>
  <c r="BD996" i="2"/>
  <c r="BD984" i="2"/>
  <c r="BD972" i="2"/>
  <c r="BD960" i="2"/>
  <c r="BD948" i="2"/>
  <c r="BD936" i="2"/>
  <c r="BD924" i="2"/>
  <c r="BD912" i="2"/>
  <c r="BD900" i="2"/>
  <c r="BD888" i="2"/>
  <c r="BD876" i="2"/>
  <c r="BD864" i="2"/>
  <c r="BD852" i="2"/>
  <c r="BD840" i="2"/>
  <c r="BD828" i="2"/>
  <c r="BD816" i="2"/>
  <c r="BD804" i="2"/>
  <c r="BD792" i="2"/>
  <c r="BD780" i="2"/>
  <c r="BD768" i="2"/>
  <c r="BD756" i="2"/>
  <c r="BD744" i="2"/>
  <c r="BD732" i="2"/>
  <c r="BD720" i="2"/>
  <c r="BD708" i="2"/>
  <c r="BD696" i="2"/>
  <c r="BD684" i="2"/>
  <c r="BD672" i="2"/>
  <c r="BD660" i="2"/>
  <c r="BD648" i="2"/>
  <c r="BD636" i="2"/>
  <c r="BD624" i="2"/>
  <c r="BD612" i="2"/>
  <c r="BD600" i="2"/>
  <c r="BD588" i="2"/>
  <c r="BD576" i="2"/>
  <c r="BD564" i="2"/>
  <c r="BD552" i="2"/>
  <c r="BD540" i="2"/>
  <c r="BD528" i="2"/>
  <c r="BD516" i="2"/>
  <c r="BD504" i="2"/>
  <c r="BD492" i="2"/>
  <c r="BD480" i="2"/>
  <c r="BD468" i="2"/>
  <c r="BD456" i="2"/>
  <c r="BD444" i="2"/>
  <c r="BD432" i="2"/>
  <c r="BD420" i="2"/>
  <c r="BD408" i="2"/>
  <c r="BD396" i="2"/>
  <c r="BD384" i="2"/>
  <c r="BD372" i="2"/>
  <c r="BD360" i="2"/>
  <c r="BD348" i="2"/>
  <c r="BD336" i="2"/>
  <c r="BD324" i="2"/>
  <c r="BD312" i="2"/>
  <c r="BD300" i="2"/>
  <c r="BD288" i="2"/>
  <c r="BD265" i="2"/>
  <c r="BD253" i="2"/>
  <c r="BD241" i="2"/>
  <c r="BD229" i="2"/>
  <c r="BD217" i="2"/>
  <c r="BD205" i="2"/>
  <c r="BD193" i="2"/>
  <c r="BD181" i="2"/>
  <c r="BD169" i="2"/>
  <c r="BD157" i="2"/>
  <c r="BD145" i="2"/>
  <c r="BD133" i="2"/>
  <c r="BD121" i="2"/>
  <c r="BD109" i="2"/>
  <c r="BD97" i="2"/>
  <c r="BD85" i="2"/>
  <c r="BD73" i="2"/>
  <c r="BD61" i="2"/>
  <c r="BD49" i="2"/>
  <c r="BD37" i="2"/>
  <c r="BD25" i="2"/>
  <c r="BD13" i="2"/>
  <c r="AZ1088" i="2"/>
  <c r="AZ1076" i="2"/>
  <c r="AZ1064" i="2"/>
  <c r="AZ1052" i="2"/>
  <c r="AZ1040" i="2"/>
  <c r="AZ1028" i="2"/>
  <c r="BD776" i="2"/>
  <c r="BD764" i="2"/>
  <c r="BD752" i="2"/>
  <c r="BD740" i="2"/>
  <c r="BD728" i="2"/>
  <c r="BD716" i="2"/>
  <c r="BD704" i="2"/>
  <c r="BD692" i="2"/>
  <c r="BD680" i="2"/>
  <c r="BD668" i="2"/>
  <c r="BD656" i="2"/>
  <c r="BD644" i="2"/>
  <c r="BD632" i="2"/>
  <c r="BD620" i="2"/>
  <c r="BD608" i="2"/>
  <c r="BD596" i="2"/>
  <c r="BD584" i="2"/>
  <c r="BD572" i="2"/>
  <c r="BD560" i="2"/>
  <c r="BD548" i="2"/>
  <c r="BD536" i="2"/>
  <c r="BD524" i="2"/>
  <c r="BD512" i="2"/>
  <c r="BD500" i="2"/>
  <c r="BD488" i="2"/>
  <c r="BD476" i="2"/>
  <c r="BD464" i="2"/>
  <c r="BD452" i="2"/>
  <c r="BD440" i="2"/>
  <c r="BD428" i="2"/>
  <c r="BD416" i="2"/>
  <c r="BD404" i="2"/>
  <c r="BD392" i="2"/>
  <c r="BD380" i="2"/>
  <c r="BD368" i="2"/>
  <c r="BD356" i="2"/>
  <c r="BD344" i="2"/>
  <c r="BD332" i="2"/>
  <c r="BD320" i="2"/>
  <c r="BD308" i="2"/>
  <c r="BD296" i="2"/>
  <c r="BD284" i="2"/>
  <c r="BD273" i="2"/>
  <c r="BD261" i="2"/>
  <c r="BD249" i="2"/>
  <c r="BD237" i="2"/>
  <c r="BD225" i="2"/>
  <c r="BD213" i="2"/>
  <c r="BD201" i="2"/>
  <c r="BD189" i="2"/>
  <c r="BD177" i="2"/>
  <c r="BD165" i="2"/>
  <c r="BD153" i="2"/>
  <c r="BD141" i="2"/>
  <c r="BD129" i="2"/>
  <c r="BD117" i="2"/>
  <c r="BD105" i="2"/>
  <c r="BD93" i="2"/>
  <c r="BD81" i="2"/>
  <c r="BD69" i="2"/>
  <c r="BD57" i="2"/>
  <c r="BD45" i="2"/>
  <c r="BD33" i="2"/>
  <c r="BD21" i="2"/>
  <c r="BD9" i="2"/>
  <c r="BE1094" i="2"/>
  <c r="BE1082" i="2"/>
  <c r="BE1070" i="2"/>
  <c r="BE1058" i="2"/>
  <c r="BE1046" i="2"/>
  <c r="BE1034" i="2"/>
  <c r="BE1022" i="2"/>
  <c r="BE1010" i="2"/>
  <c r="BE998" i="2"/>
  <c r="BE986" i="2"/>
  <c r="BE974" i="2"/>
  <c r="BE962" i="2"/>
  <c r="BE950" i="2"/>
  <c r="BE938" i="2"/>
  <c r="BE926" i="2"/>
  <c r="BE914" i="2"/>
  <c r="BE902" i="2"/>
  <c r="BE890" i="2"/>
  <c r="BE878" i="2"/>
  <c r="BE866" i="2"/>
  <c r="BE854" i="2"/>
  <c r="BE842" i="2"/>
  <c r="BE830" i="2"/>
  <c r="BE818" i="2"/>
  <c r="BE806" i="2"/>
  <c r="BE794" i="2"/>
  <c r="BE782" i="2"/>
  <c r="BE770" i="2"/>
  <c r="BE758" i="2"/>
  <c r="BE746" i="2"/>
  <c r="BE734" i="2"/>
  <c r="BE722" i="2"/>
  <c r="BE710" i="2"/>
  <c r="BE698" i="2"/>
  <c r="BE686" i="2"/>
  <c r="BE674" i="2"/>
  <c r="BE662" i="2"/>
  <c r="BE650" i="2"/>
  <c r="BE638" i="2"/>
  <c r="BE626" i="2"/>
  <c r="BE614" i="2"/>
  <c r="BE602" i="2"/>
  <c r="BE590" i="2"/>
  <c r="BE578" i="2"/>
  <c r="BE566" i="2"/>
  <c r="BE554" i="2"/>
  <c r="BE542" i="2"/>
  <c r="BE530" i="2"/>
  <c r="BE518" i="2"/>
  <c r="BE506" i="2"/>
  <c r="BE494" i="2"/>
  <c r="BE482" i="2"/>
  <c r="BE470" i="2"/>
  <c r="BE458" i="2"/>
  <c r="BE446" i="2"/>
  <c r="BE434" i="2"/>
  <c r="BE422" i="2"/>
  <c r="BE410" i="2"/>
  <c r="BE398" i="2"/>
  <c r="BE386" i="2"/>
  <c r="BE374" i="2"/>
  <c r="BE362" i="2"/>
  <c r="BE350" i="2"/>
  <c r="BE338" i="2"/>
  <c r="BE326" i="2"/>
  <c r="BE314" i="2"/>
  <c r="BE302" i="2"/>
  <c r="BE290" i="2"/>
  <c r="BE278" i="2"/>
  <c r="BE267" i="2"/>
  <c r="BE255" i="2"/>
  <c r="BE243" i="2"/>
  <c r="BE231" i="2"/>
  <c r="BE219" i="2"/>
  <c r="BE207" i="2"/>
  <c r="BE195" i="2"/>
  <c r="BE183" i="2"/>
  <c r="BE171" i="2"/>
  <c r="BE159" i="2"/>
  <c r="BE147" i="2"/>
  <c r="BE135" i="2"/>
  <c r="BE123" i="2"/>
  <c r="BE111" i="2"/>
  <c r="BE99" i="2"/>
  <c r="BE87" i="2"/>
  <c r="BE75" i="2"/>
  <c r="BE63" i="2"/>
  <c r="BE51" i="2"/>
  <c r="BE39" i="2"/>
  <c r="BE27" i="2"/>
  <c r="BE15" i="2"/>
  <c r="BE3" i="2"/>
  <c r="AZ1096" i="2"/>
  <c r="AZ1084" i="2"/>
  <c r="AZ1072" i="2"/>
  <c r="AZ1060" i="2"/>
  <c r="AZ1048" i="2"/>
  <c r="AZ1036" i="2"/>
  <c r="AZ1024" i="2"/>
  <c r="AZ1012" i="2"/>
  <c r="AZ1000" i="2"/>
  <c r="AZ988" i="2"/>
  <c r="AZ976" i="2"/>
  <c r="AZ964" i="2"/>
  <c r="AZ952" i="2"/>
  <c r="AZ940" i="2"/>
  <c r="AZ928" i="2"/>
  <c r="AZ916" i="2"/>
  <c r="AZ904" i="2"/>
  <c r="AZ892" i="2"/>
  <c r="AZ880" i="2"/>
  <c r="AZ868" i="2"/>
  <c r="AZ856" i="2"/>
  <c r="AZ844" i="2"/>
  <c r="AZ832" i="2"/>
  <c r="AZ820" i="2"/>
  <c r="AZ808" i="2"/>
  <c r="AZ796" i="2"/>
  <c r="AZ784" i="2"/>
  <c r="AZ772" i="2"/>
  <c r="AZ760" i="2"/>
  <c r="AZ748" i="2"/>
  <c r="AZ736" i="2"/>
  <c r="AZ724" i="2"/>
  <c r="AZ712" i="2"/>
  <c r="AZ700" i="2"/>
  <c r="AZ688" i="2"/>
  <c r="AZ676" i="2"/>
  <c r="AZ664" i="2"/>
  <c r="AZ652" i="2"/>
  <c r="AZ640" i="2"/>
  <c r="AZ628" i="2"/>
  <c r="AZ616" i="2"/>
  <c r="AZ604" i="2"/>
  <c r="AZ592" i="2"/>
  <c r="AZ580" i="2"/>
  <c r="AZ568" i="2"/>
  <c r="AZ556" i="2"/>
  <c r="AZ544" i="2"/>
  <c r="AZ532" i="2"/>
  <c r="AZ520" i="2"/>
  <c r="AZ508" i="2"/>
  <c r="AZ496" i="2"/>
  <c r="AZ484" i="2"/>
  <c r="AZ472" i="2"/>
  <c r="AZ460" i="2"/>
  <c r="AZ448" i="2"/>
  <c r="AZ436" i="2"/>
  <c r="AZ424" i="2"/>
  <c r="AZ412" i="2"/>
  <c r="AZ400" i="2"/>
  <c r="AZ388" i="2"/>
  <c r="AZ376" i="2"/>
  <c r="AZ364" i="2"/>
  <c r="AZ352" i="2"/>
  <c r="AZ340" i="2"/>
  <c r="AZ328" i="2"/>
  <c r="AZ316" i="2"/>
  <c r="AZ304" i="2"/>
  <c r="AZ292" i="2"/>
  <c r="AZ280" i="2"/>
  <c r="AZ269" i="2"/>
  <c r="AZ257" i="2"/>
  <c r="AZ245" i="2"/>
  <c r="AZ233" i="2"/>
  <c r="AZ221" i="2"/>
  <c r="AZ209" i="2"/>
  <c r="AZ197" i="2"/>
  <c r="AZ185" i="2"/>
  <c r="AZ173" i="2"/>
  <c r="AZ161" i="2"/>
  <c r="AZ149" i="2"/>
  <c r="AZ137" i="2"/>
  <c r="AZ125" i="2"/>
  <c r="AZ113" i="2"/>
  <c r="AZ101" i="2"/>
  <c r="AZ89" i="2"/>
  <c r="AZ77" i="2"/>
  <c r="AZ65" i="2"/>
  <c r="AZ53" i="2"/>
  <c r="AZ41" i="2"/>
  <c r="AZ29" i="2"/>
  <c r="AZ17" i="2"/>
  <c r="AZ5" i="2"/>
  <c r="BD1099" i="2"/>
  <c r="BD1087" i="2"/>
  <c r="BD1075" i="2"/>
  <c r="BD1063" i="2"/>
  <c r="BD1051" i="2"/>
  <c r="BD1039" i="2"/>
  <c r="BD1027" i="2"/>
  <c r="BD1015" i="2"/>
  <c r="BD1003" i="2"/>
  <c r="BD991" i="2"/>
  <c r="BD979" i="2"/>
  <c r="BD967" i="2"/>
  <c r="BD955" i="2"/>
  <c r="BD943" i="2"/>
  <c r="BD931" i="2"/>
  <c r="BD919" i="2"/>
  <c r="BD907" i="2"/>
  <c r="BD895" i="2"/>
  <c r="BD883" i="2"/>
  <c r="BD871" i="2"/>
  <c r="BD859" i="2"/>
  <c r="BD847" i="2"/>
  <c r="BD835" i="2"/>
  <c r="BD823" i="2"/>
  <c r="BD811" i="2"/>
  <c r="BD799" i="2"/>
  <c r="BD787" i="2"/>
  <c r="BD775" i="2"/>
  <c r="BD763" i="2"/>
  <c r="BD751" i="2"/>
  <c r="BD739" i="2"/>
  <c r="BD727" i="2"/>
  <c r="BD715" i="2"/>
  <c r="BD703" i="2"/>
  <c r="BD691" i="2"/>
  <c r="BD679" i="2"/>
  <c r="BD667" i="2"/>
  <c r="BD655" i="2"/>
  <c r="BD643" i="2"/>
  <c r="BD631" i="2"/>
  <c r="BD619" i="2"/>
  <c r="BD607" i="2"/>
  <c r="BD595" i="2"/>
  <c r="BD583" i="2"/>
  <c r="BD571" i="2"/>
  <c r="BD559" i="2"/>
  <c r="BD547" i="2"/>
  <c r="BD535" i="2"/>
  <c r="BD523" i="2"/>
  <c r="BD511" i="2"/>
  <c r="BD499" i="2"/>
  <c r="BD487" i="2"/>
  <c r="BD475" i="2"/>
  <c r="BD463" i="2"/>
  <c r="BD451" i="2"/>
  <c r="BD439" i="2"/>
  <c r="BD427" i="2"/>
  <c r="BD415" i="2"/>
  <c r="BD403" i="2"/>
  <c r="BD391" i="2"/>
  <c r="BD379" i="2"/>
  <c r="BD367" i="2"/>
  <c r="BD355" i="2"/>
  <c r="BD343" i="2"/>
  <c r="BD331" i="2"/>
  <c r="BD319" i="2"/>
  <c r="BD307" i="2"/>
  <c r="BD295" i="2"/>
  <c r="BD283" i="2"/>
  <c r="BD272" i="2"/>
  <c r="BD260" i="2"/>
  <c r="BD248" i="2"/>
  <c r="BD236" i="2"/>
  <c r="BD224" i="2"/>
  <c r="BD212" i="2"/>
  <c r="BD200" i="2"/>
  <c r="BD188" i="2"/>
  <c r="BD176" i="2"/>
  <c r="BD164" i="2"/>
  <c r="BD152" i="2"/>
  <c r="BD140" i="2"/>
  <c r="BD128" i="2"/>
  <c r="BD116" i="2"/>
  <c r="BD104" i="2"/>
  <c r="BD92" i="2"/>
  <c r="BD80" i="2"/>
  <c r="BD68" i="2"/>
  <c r="BD56" i="2"/>
  <c r="BD44" i="2"/>
  <c r="BD32" i="2"/>
  <c r="BD20" i="2"/>
  <c r="BD8" i="2"/>
  <c r="AZ1016" i="2"/>
  <c r="AZ1004" i="2"/>
  <c r="AZ992" i="2"/>
  <c r="AZ980" i="2"/>
  <c r="AZ968" i="2"/>
  <c r="AZ956" i="2"/>
  <c r="AZ944" i="2"/>
  <c r="AZ932" i="2"/>
  <c r="AZ920" i="2"/>
  <c r="AZ908" i="2"/>
  <c r="AZ896" i="2"/>
  <c r="AZ884" i="2"/>
  <c r="AZ872" i="2"/>
  <c r="AZ860" i="2"/>
  <c r="AZ848" i="2"/>
  <c r="AZ836" i="2"/>
  <c r="AZ824" i="2"/>
  <c r="AZ812" i="2"/>
  <c r="AZ800" i="2"/>
  <c r="AZ788" i="2"/>
  <c r="AZ776" i="2"/>
  <c r="AZ764" i="2"/>
  <c r="AZ752" i="2"/>
  <c r="AZ740" i="2"/>
  <c r="AZ728" i="2"/>
  <c r="AZ716" i="2"/>
  <c r="AZ704" i="2"/>
  <c r="AZ692" i="2"/>
  <c r="AZ680" i="2"/>
  <c r="AZ668" i="2"/>
  <c r="AZ656" i="2"/>
  <c r="AZ644" i="2"/>
  <c r="AZ632" i="2"/>
  <c r="AZ620" i="2"/>
  <c r="AZ608" i="2"/>
  <c r="AZ596" i="2"/>
  <c r="AZ584" i="2"/>
  <c r="AZ572" i="2"/>
  <c r="AZ560" i="2"/>
  <c r="AZ548" i="2"/>
  <c r="AZ536" i="2"/>
  <c r="AZ524" i="2"/>
  <c r="AZ512" i="2"/>
  <c r="AZ500" i="2"/>
  <c r="AZ488" i="2"/>
  <c r="AZ476" i="2"/>
  <c r="AZ464" i="2"/>
  <c r="AZ452" i="2"/>
  <c r="AZ440" i="2"/>
  <c r="AZ428" i="2"/>
  <c r="AZ416" i="2"/>
  <c r="AZ404" i="2"/>
  <c r="AZ392" i="2"/>
  <c r="AZ380" i="2"/>
  <c r="AZ368" i="2"/>
  <c r="AZ356" i="2"/>
  <c r="AZ344" i="2"/>
  <c r="AZ332" i="2"/>
  <c r="AZ320" i="2"/>
  <c r="AZ308" i="2"/>
  <c r="AZ296" i="2"/>
  <c r="AZ284" i="2"/>
  <c r="AZ273" i="2"/>
  <c r="AZ261" i="2"/>
  <c r="AZ249" i="2"/>
  <c r="AZ237" i="2"/>
  <c r="AZ225" i="2"/>
  <c r="AZ213" i="2"/>
  <c r="AZ201" i="2"/>
  <c r="AZ189" i="2"/>
  <c r="AZ177" i="2"/>
  <c r="AZ165" i="2"/>
  <c r="AZ153" i="2"/>
  <c r="AZ141" i="2"/>
  <c r="AZ129" i="2"/>
  <c r="AZ117" i="2"/>
  <c r="AZ105" i="2"/>
  <c r="AZ93" i="2"/>
  <c r="AZ81" i="2"/>
  <c r="AZ69" i="2"/>
  <c r="AZ57" i="2"/>
  <c r="AZ45" i="2"/>
  <c r="AZ33" i="2"/>
  <c r="AZ21" i="2"/>
  <c r="AZ9" i="2"/>
  <c r="BE1093" i="2"/>
  <c r="BE1081" i="2"/>
  <c r="BE1069" i="2"/>
  <c r="BE1057" i="2"/>
  <c r="BE1045" i="2"/>
  <c r="BE1033" i="2"/>
  <c r="BE1021" i="2"/>
  <c r="BE1009" i="2"/>
  <c r="BE997" i="2"/>
  <c r="BE985" i="2"/>
  <c r="BE973" i="2"/>
  <c r="BE961" i="2"/>
  <c r="BE949" i="2"/>
  <c r="BE937" i="2"/>
  <c r="BE925" i="2"/>
  <c r="BE913" i="2"/>
  <c r="BE901" i="2"/>
  <c r="BE889" i="2"/>
  <c r="BE877" i="2"/>
  <c r="BE865" i="2"/>
  <c r="BE853" i="2"/>
  <c r="BE841" i="2"/>
  <c r="BE829" i="2"/>
  <c r="BE817" i="2"/>
  <c r="BE805" i="2"/>
  <c r="BE793" i="2"/>
  <c r="BE781" i="2"/>
  <c r="BE769" i="2"/>
  <c r="BE757" i="2"/>
  <c r="BE745" i="2"/>
  <c r="BE733" i="2"/>
  <c r="BE721" i="2"/>
  <c r="BE709" i="2"/>
  <c r="BE697" i="2"/>
  <c r="BE685" i="2"/>
  <c r="BE673" i="2"/>
  <c r="BE661" i="2"/>
  <c r="BE649" i="2"/>
  <c r="BE637" i="2"/>
  <c r="BE625" i="2"/>
  <c r="BE613" i="2"/>
  <c r="BE601" i="2"/>
  <c r="BE589" i="2"/>
  <c r="BE577" i="2"/>
  <c r="BE565" i="2"/>
  <c r="BE553" i="2"/>
  <c r="BE541" i="2"/>
  <c r="BE529" i="2"/>
  <c r="BE517" i="2"/>
  <c r="BE505" i="2"/>
  <c r="BE493" i="2"/>
  <c r="BE481" i="2"/>
  <c r="BE469" i="2"/>
  <c r="BE457" i="2"/>
  <c r="BE445" i="2"/>
  <c r="BE433" i="2"/>
  <c r="BE421" i="2"/>
  <c r="BE409" i="2"/>
  <c r="BE397" i="2"/>
  <c r="BE385" i="2"/>
  <c r="BE373" i="2"/>
  <c r="BE361" i="2"/>
  <c r="BE349" i="2"/>
  <c r="BE337" i="2"/>
  <c r="BE325" i="2"/>
  <c r="BE313" i="2"/>
  <c r="BE301" i="2"/>
  <c r="BE289" i="2"/>
  <c r="BE277" i="2"/>
  <c r="BE266" i="2"/>
  <c r="BE254" i="2"/>
  <c r="BE242" i="2"/>
  <c r="BE230" i="2"/>
  <c r="BE218" i="2"/>
  <c r="BE206" i="2"/>
  <c r="BE194" i="2"/>
  <c r="BE182" i="2"/>
  <c r="BE170" i="2"/>
  <c r="BE158" i="2"/>
  <c r="BE146" i="2"/>
  <c r="BE134" i="2"/>
  <c r="BE122" i="2"/>
  <c r="BE110" i="2"/>
  <c r="BE98" i="2"/>
  <c r="BE86" i="2"/>
  <c r="BE74" i="2"/>
  <c r="BE62" i="2"/>
  <c r="BE50" i="2"/>
  <c r="BE38" i="2"/>
  <c r="BE26" i="2"/>
  <c r="BE14" i="2"/>
  <c r="BE2" i="2"/>
  <c r="AQ264" i="2"/>
  <c r="AQ1093" i="2"/>
  <c r="AQ1081" i="2"/>
  <c r="AQ1069" i="2"/>
  <c r="AQ1057" i="2"/>
  <c r="AQ1045" i="2"/>
  <c r="AQ1033" i="2"/>
  <c r="AQ1021" i="2"/>
  <c r="AQ1009" i="2"/>
  <c r="AQ997" i="2"/>
  <c r="AQ985" i="2"/>
  <c r="AQ973" i="2"/>
  <c r="AQ961" i="2"/>
  <c r="AQ949" i="2"/>
  <c r="AQ937" i="2"/>
  <c r="AQ925" i="2"/>
  <c r="AQ913" i="2"/>
  <c r="AQ901" i="2"/>
  <c r="AQ889" i="2"/>
  <c r="AQ877" i="2"/>
  <c r="AQ865" i="2"/>
  <c r="AQ853" i="2"/>
  <c r="AQ841" i="2"/>
  <c r="AQ829" i="2"/>
  <c r="AQ817" i="2"/>
  <c r="AQ805" i="2"/>
  <c r="AQ793" i="2"/>
  <c r="AQ781" i="2"/>
  <c r="AQ769" i="2"/>
  <c r="AQ757" i="2"/>
  <c r="AQ745" i="2"/>
  <c r="AQ733" i="2"/>
  <c r="AQ721" i="2"/>
  <c r="AQ709" i="2"/>
  <c r="AQ697" i="2"/>
  <c r="AQ685" i="2"/>
  <c r="AQ673" i="2"/>
  <c r="AQ661" i="2"/>
  <c r="AQ649" i="2"/>
  <c r="AQ1096" i="2"/>
  <c r="AQ1084" i="2"/>
  <c r="AQ1072" i="2"/>
  <c r="AQ1060" i="2"/>
  <c r="AQ1048" i="2"/>
  <c r="AQ1036" i="2"/>
  <c r="AQ1024" i="2"/>
  <c r="AQ1012" i="2"/>
  <c r="AQ1000" i="2"/>
  <c r="AQ988" i="2"/>
  <c r="AQ976" i="2"/>
  <c r="AQ964" i="2"/>
  <c r="AQ952" i="2"/>
  <c r="AQ940" i="2"/>
  <c r="AQ928" i="2"/>
  <c r="AQ916" i="2"/>
  <c r="AQ904" i="2"/>
  <c r="AQ892" i="2"/>
  <c r="AQ880" i="2"/>
  <c r="AQ868" i="2"/>
  <c r="AQ856" i="2"/>
  <c r="AQ844" i="2"/>
  <c r="AQ832" i="2"/>
  <c r="AQ820" i="2"/>
  <c r="AQ808" i="2"/>
  <c r="AQ796" i="2"/>
  <c r="AQ784" i="2"/>
  <c r="AQ772" i="2"/>
  <c r="AQ760" i="2"/>
  <c r="AQ748" i="2"/>
  <c r="AQ736" i="2"/>
  <c r="AQ724" i="2"/>
  <c r="AQ712" i="2"/>
  <c r="AQ700" i="2"/>
  <c r="AQ688" i="2"/>
  <c r="AQ676" i="2"/>
  <c r="AQ664" i="2"/>
  <c r="AQ652" i="2"/>
  <c r="AQ640" i="2"/>
  <c r="AQ628" i="2"/>
  <c r="AQ616" i="2"/>
  <c r="AQ604" i="2"/>
  <c r="AQ592" i="2"/>
  <c r="AQ580" i="2"/>
  <c r="AQ568" i="2"/>
  <c r="AQ556" i="2"/>
  <c r="AQ544" i="2"/>
  <c r="AQ532" i="2"/>
  <c r="AQ520" i="2"/>
  <c r="AQ508" i="2"/>
  <c r="AQ496" i="2"/>
  <c r="AQ484" i="2"/>
  <c r="AQ472" i="2"/>
  <c r="AQ460" i="2"/>
  <c r="AQ448" i="2"/>
  <c r="AQ436" i="2"/>
  <c r="AQ424" i="2"/>
  <c r="AQ412" i="2"/>
  <c r="AQ400" i="2"/>
  <c r="AQ388" i="2"/>
  <c r="AZ1095" i="2"/>
  <c r="AZ1083" i="2"/>
  <c r="AZ1071" i="2"/>
  <c r="AZ1059" i="2"/>
  <c r="AZ1047" i="2"/>
  <c r="AZ1035" i="2"/>
  <c r="AZ1023" i="2"/>
  <c r="AZ563" i="2"/>
  <c r="AZ551" i="2"/>
  <c r="AZ539" i="2"/>
  <c r="AZ527" i="2"/>
  <c r="AZ515" i="2"/>
  <c r="AZ503" i="2"/>
  <c r="AZ491" i="2"/>
  <c r="AZ479" i="2"/>
  <c r="AZ467" i="2"/>
  <c r="AZ455" i="2"/>
  <c r="AZ443" i="2"/>
  <c r="AZ431" i="2"/>
  <c r="AZ419" i="2"/>
  <c r="AZ407" i="2"/>
  <c r="AZ395" i="2"/>
  <c r="AZ383" i="2"/>
  <c r="AZ371" i="2"/>
  <c r="AZ359" i="2"/>
  <c r="AZ347" i="2"/>
  <c r="AZ335" i="2"/>
  <c r="AZ323" i="2"/>
  <c r="AZ311" i="2"/>
  <c r="AZ299" i="2"/>
  <c r="AZ287" i="2"/>
  <c r="AZ276" i="2"/>
  <c r="AZ264" i="2"/>
  <c r="AZ252" i="2"/>
  <c r="AZ240" i="2"/>
  <c r="AZ228" i="2"/>
  <c r="AZ216" i="2"/>
  <c r="AZ204" i="2"/>
  <c r="AZ192" i="2"/>
  <c r="AZ180" i="2"/>
  <c r="AZ168" i="2"/>
  <c r="AZ156" i="2"/>
  <c r="AZ144" i="2"/>
  <c r="AZ132" i="2"/>
  <c r="AZ120" i="2"/>
  <c r="AZ108" i="2"/>
  <c r="AZ96" i="2"/>
  <c r="AZ84" i="2"/>
  <c r="AZ72" i="2"/>
  <c r="AZ60" i="2"/>
  <c r="AZ48" i="2"/>
  <c r="AZ36" i="2"/>
  <c r="AZ24" i="2"/>
  <c r="AZ12" i="2"/>
  <c r="AZ1011" i="2"/>
  <c r="AZ999" i="2"/>
  <c r="AZ987" i="2"/>
  <c r="AZ975" i="2"/>
  <c r="AZ963" i="2"/>
  <c r="AZ951" i="2"/>
  <c r="AZ939" i="2"/>
  <c r="AZ927" i="2"/>
  <c r="AZ915" i="2"/>
  <c r="AZ903" i="2"/>
  <c r="AZ891" i="2"/>
  <c r="AZ879" i="2"/>
  <c r="AZ867" i="2"/>
  <c r="AZ855" i="2"/>
  <c r="AZ843" i="2"/>
  <c r="AZ831" i="2"/>
  <c r="AZ819" i="2"/>
  <c r="AZ807" i="2"/>
  <c r="AZ795" i="2"/>
  <c r="AZ783" i="2"/>
  <c r="AZ771" i="2"/>
  <c r="AZ759" i="2"/>
  <c r="AZ747" i="2"/>
  <c r="AZ735" i="2"/>
  <c r="AZ723" i="2"/>
  <c r="AZ711" i="2"/>
  <c r="AZ699" i="2"/>
  <c r="AZ687" i="2"/>
  <c r="AZ675" i="2"/>
  <c r="AZ663" i="2"/>
  <c r="AZ651" i="2"/>
  <c r="AZ639" i="2"/>
  <c r="AZ627" i="2"/>
  <c r="AZ615" i="2"/>
  <c r="AZ603" i="2"/>
  <c r="AZ591" i="2"/>
  <c r="AZ579" i="2"/>
  <c r="AZ567" i="2"/>
  <c r="AZ555" i="2"/>
  <c r="AZ543" i="2"/>
  <c r="AZ531" i="2"/>
  <c r="AZ519" i="2"/>
  <c r="AZ507" i="2"/>
  <c r="AZ495" i="2"/>
  <c r="AZ483" i="2"/>
  <c r="AZ471" i="2"/>
  <c r="AZ459" i="2"/>
  <c r="AZ447" i="2"/>
  <c r="AZ435" i="2"/>
  <c r="AZ423" i="2"/>
  <c r="AZ411" i="2"/>
  <c r="AZ399" i="2"/>
  <c r="AZ387" i="2"/>
  <c r="AZ375" i="2"/>
  <c r="AZ363" i="2"/>
  <c r="AZ351" i="2"/>
  <c r="AZ339" i="2"/>
  <c r="AZ327" i="2"/>
  <c r="AZ315" i="2"/>
  <c r="AZ303" i="2"/>
  <c r="AZ291" i="2"/>
  <c r="AZ279" i="2"/>
  <c r="AZ268" i="2"/>
  <c r="AZ256" i="2"/>
  <c r="AZ244" i="2"/>
  <c r="AZ232" i="2"/>
  <c r="AZ220" i="2"/>
  <c r="AZ208" i="2"/>
  <c r="AZ196" i="2"/>
  <c r="AZ184" i="2"/>
  <c r="AZ172" i="2"/>
  <c r="AZ160" i="2"/>
  <c r="AZ148" i="2"/>
  <c r="AZ136" i="2"/>
  <c r="AZ124" i="2"/>
  <c r="AZ112" i="2"/>
  <c r="AZ100" i="2"/>
  <c r="AZ88" i="2"/>
  <c r="AZ76" i="2"/>
  <c r="AZ64" i="2"/>
  <c r="AZ52" i="2"/>
  <c r="AZ40" i="2"/>
  <c r="AZ28" i="2"/>
  <c r="AZ16" i="2"/>
  <c r="AZ4" i="2"/>
  <c r="AQ252" i="2"/>
  <c r="AQ240" i="2"/>
  <c r="AQ228" i="2"/>
  <c r="AQ216" i="2"/>
  <c r="AQ204" i="2"/>
  <c r="AQ192" i="2"/>
  <c r="AQ180" i="2"/>
  <c r="AQ168" i="2"/>
  <c r="AQ156" i="2"/>
  <c r="AQ144" i="2"/>
  <c r="AQ132" i="2"/>
  <c r="AQ120" i="2"/>
  <c r="AQ108" i="2"/>
  <c r="AQ96" i="2"/>
  <c r="AQ84" i="2"/>
  <c r="AQ72" i="2"/>
  <c r="AQ60" i="2"/>
  <c r="AQ48" i="2"/>
  <c r="AQ36" i="2"/>
  <c r="AQ24" i="2"/>
  <c r="AQ12" i="2"/>
  <c r="AQ262" i="2"/>
  <c r="AQ250" i="2"/>
  <c r="AQ238" i="2"/>
  <c r="AQ226" i="2"/>
  <c r="AQ214" i="2"/>
  <c r="AQ202" i="2"/>
  <c r="AQ190" i="2"/>
  <c r="AQ178" i="2"/>
  <c r="AQ166" i="2"/>
  <c r="AQ154" i="2"/>
  <c r="AQ142" i="2"/>
  <c r="AQ130" i="2"/>
  <c r="AQ118" i="2"/>
  <c r="AQ106" i="2"/>
  <c r="AQ94" i="2"/>
  <c r="AQ82" i="2"/>
  <c r="AQ70" i="2"/>
  <c r="AQ58" i="2"/>
  <c r="AQ46" i="2"/>
  <c r="AQ34" i="2"/>
  <c r="AQ22" i="2"/>
  <c r="AQ10" i="2"/>
  <c r="AX260" i="2"/>
  <c r="AX248" i="2"/>
  <c r="AX236" i="2"/>
  <c r="AX224" i="2"/>
  <c r="AX212" i="2"/>
  <c r="AX200" i="2"/>
  <c r="AX188" i="2"/>
  <c r="AX176" i="2"/>
  <c r="AX164" i="2"/>
  <c r="AX152" i="2"/>
  <c r="AX140" i="2"/>
  <c r="AX128" i="2"/>
  <c r="AX116" i="2"/>
  <c r="AX104" i="2"/>
  <c r="AX92" i="2"/>
  <c r="AX80" i="2"/>
  <c r="AX68" i="2"/>
  <c r="AX56" i="2"/>
  <c r="AX44" i="2"/>
  <c r="AX32" i="2"/>
  <c r="AX20" i="2"/>
  <c r="AX8" i="2"/>
  <c r="AQ176" i="2"/>
  <c r="AQ164" i="2"/>
  <c r="AQ152" i="2"/>
  <c r="AQ140" i="2"/>
  <c r="AQ128" i="2"/>
  <c r="AQ116" i="2"/>
  <c r="AQ104" i="2"/>
  <c r="AQ92" i="2"/>
  <c r="AQ80" i="2"/>
  <c r="AQ68" i="2"/>
  <c r="AQ56" i="2"/>
  <c r="AQ44" i="2"/>
  <c r="AQ32" i="2"/>
  <c r="AQ20" i="2"/>
  <c r="AQ8" i="2"/>
  <c r="AY1064" i="2" a="1"/>
  <c r="AY1064" i="2" s="1"/>
  <c r="AO1064" i="2" a="1"/>
  <c r="AO1064" i="2" s="1"/>
  <c r="AN1064" i="2"/>
  <c r="AY932" i="2" a="1"/>
  <c r="AY932" i="2" s="1"/>
  <c r="AO932" i="2" a="1"/>
  <c r="AO932" i="2" s="1"/>
  <c r="AN932" i="2"/>
  <c r="AY824" i="2" a="1"/>
  <c r="AY824" i="2" s="1"/>
  <c r="AO824" i="2" a="1"/>
  <c r="AO824" i="2" s="1"/>
  <c r="AN824" i="2"/>
  <c r="AY764" i="2" a="1"/>
  <c r="AY764" i="2" s="1"/>
  <c r="AO764" i="2" a="1"/>
  <c r="AO764" i="2" s="1"/>
  <c r="AN764" i="2"/>
  <c r="AY668" i="2" a="1"/>
  <c r="AY668" i="2" s="1"/>
  <c r="AO668" i="2" a="1"/>
  <c r="AO668" i="2" s="1"/>
  <c r="AN668" i="2"/>
  <c r="AY620" i="2" a="1"/>
  <c r="AY620" i="2" s="1"/>
  <c r="AO620" i="2" a="1"/>
  <c r="AO620" i="2" s="1"/>
  <c r="AN620" i="2"/>
  <c r="AY536" i="2" a="1"/>
  <c r="AY536" i="2" s="1"/>
  <c r="AN536" i="2"/>
  <c r="AO536" i="2" a="1"/>
  <c r="AO536" i="2" s="1"/>
  <c r="AY464" i="2" a="1"/>
  <c r="AY464" i="2" s="1"/>
  <c r="AO464" i="2" a="1"/>
  <c r="AO464" i="2" s="1"/>
  <c r="AN464" i="2"/>
  <c r="AY344" i="2" a="1"/>
  <c r="AY344" i="2" s="1"/>
  <c r="AN344" i="2"/>
  <c r="AO344" i="2" a="1"/>
  <c r="AO344" i="2" s="1"/>
  <c r="AY225" i="2" a="1"/>
  <c r="AY225" i="2" s="1"/>
  <c r="AO225" i="2" a="1"/>
  <c r="AO225" i="2" s="1"/>
  <c r="AN225" i="2"/>
  <c r="AY165" i="2" a="1"/>
  <c r="AY165" i="2" s="1"/>
  <c r="AN165" i="2"/>
  <c r="AO165" i="2" a="1"/>
  <c r="AO165" i="2" s="1"/>
  <c r="AY45" i="2" a="1"/>
  <c r="AY45" i="2" s="1"/>
  <c r="AO45" i="2" a="1"/>
  <c r="AO45" i="2" s="1"/>
  <c r="AN45" i="2"/>
  <c r="AR280" i="2"/>
  <c r="AT280" i="2" s="1"/>
  <c r="AS280" i="2" a="1"/>
  <c r="AS280" i="2" s="1"/>
  <c r="AW280" i="2" s="1"/>
  <c r="AP280" i="2"/>
  <c r="AY1092" i="2" a="1"/>
  <c r="AY1092" i="2" s="1"/>
  <c r="AO1092" i="2" a="1"/>
  <c r="AO1092" i="2" s="1"/>
  <c r="AN1092" i="2"/>
  <c r="AY1080" i="2" a="1"/>
  <c r="AY1080" i="2" s="1"/>
  <c r="AO1080" i="2" a="1"/>
  <c r="AO1080" i="2" s="1"/>
  <c r="AN1080" i="2"/>
  <c r="AY1068" i="2" a="1"/>
  <c r="AY1068" i="2" s="1"/>
  <c r="AO1068" i="2" a="1"/>
  <c r="AO1068" i="2" s="1"/>
  <c r="AN1068" i="2"/>
  <c r="AY1056" i="2" a="1"/>
  <c r="AY1056" i="2" s="1"/>
  <c r="AN1056" i="2"/>
  <c r="AO1056" i="2" a="1"/>
  <c r="AO1056" i="2" s="1"/>
  <c r="AY1044" i="2" a="1"/>
  <c r="AY1044" i="2" s="1"/>
  <c r="AO1044" i="2" a="1"/>
  <c r="AO1044" i="2" s="1"/>
  <c r="AN1044" i="2"/>
  <c r="AY1032" i="2" a="1"/>
  <c r="AY1032" i="2" s="1"/>
  <c r="AO1032" i="2" a="1"/>
  <c r="AO1032" i="2" s="1"/>
  <c r="AN1032" i="2"/>
  <c r="AY1020" i="2" a="1"/>
  <c r="AY1020" i="2" s="1"/>
  <c r="AO1020" i="2" a="1"/>
  <c r="AO1020" i="2" s="1"/>
  <c r="AN1020" i="2"/>
  <c r="AY1008" i="2" a="1"/>
  <c r="AY1008" i="2" s="1"/>
  <c r="AO1008" i="2" a="1"/>
  <c r="AO1008" i="2" s="1"/>
  <c r="AN1008" i="2"/>
  <c r="AY996" i="2" a="1"/>
  <c r="AY996" i="2" s="1"/>
  <c r="AO996" i="2" a="1"/>
  <c r="AO996" i="2" s="1"/>
  <c r="AN996" i="2"/>
  <c r="AY984" i="2" a="1"/>
  <c r="AY984" i="2" s="1"/>
  <c r="AO984" i="2" a="1"/>
  <c r="AO984" i="2" s="1"/>
  <c r="AN984" i="2"/>
  <c r="AY972" i="2" a="1"/>
  <c r="AY972" i="2" s="1"/>
  <c r="AO972" i="2" a="1"/>
  <c r="AO972" i="2" s="1"/>
  <c r="AN972" i="2"/>
  <c r="AY960" i="2" a="1"/>
  <c r="AY960" i="2" s="1"/>
  <c r="AO960" i="2" a="1"/>
  <c r="AO960" i="2" s="1"/>
  <c r="AN960" i="2"/>
  <c r="AY948" i="2" a="1"/>
  <c r="AY948" i="2" s="1"/>
  <c r="AO948" i="2" a="1"/>
  <c r="AO948" i="2" s="1"/>
  <c r="AN948" i="2"/>
  <c r="AY936" i="2" a="1"/>
  <c r="AY936" i="2" s="1"/>
  <c r="AO936" i="2" a="1"/>
  <c r="AO936" i="2" s="1"/>
  <c r="AN936" i="2"/>
  <c r="AY924" i="2" a="1"/>
  <c r="AY924" i="2" s="1"/>
  <c r="AN924" i="2"/>
  <c r="AO924" i="2" a="1"/>
  <c r="AO924" i="2" s="1"/>
  <c r="AY912" i="2" a="1"/>
  <c r="AY912" i="2" s="1"/>
  <c r="AO912" i="2" a="1"/>
  <c r="AO912" i="2" s="1"/>
  <c r="AN912" i="2"/>
  <c r="AY900" i="2" a="1"/>
  <c r="AY900" i="2" s="1"/>
  <c r="AO900" i="2" a="1"/>
  <c r="AO900" i="2" s="1"/>
  <c r="AN900" i="2"/>
  <c r="AY888" i="2" a="1"/>
  <c r="AY888" i="2" s="1"/>
  <c r="AO888" i="2" a="1"/>
  <c r="AO888" i="2" s="1"/>
  <c r="AN888" i="2"/>
  <c r="AY876" i="2" a="1"/>
  <c r="AY876" i="2" s="1"/>
  <c r="AO876" i="2" a="1"/>
  <c r="AO876" i="2" s="1"/>
  <c r="AN876" i="2"/>
  <c r="AY864" i="2" a="1"/>
  <c r="AY864" i="2" s="1"/>
  <c r="AO864" i="2" a="1"/>
  <c r="AO864" i="2" s="1"/>
  <c r="AN864" i="2"/>
  <c r="AY852" i="2" a="1"/>
  <c r="AY852" i="2" s="1"/>
  <c r="AO852" i="2" a="1"/>
  <c r="AO852" i="2" s="1"/>
  <c r="AN852" i="2"/>
  <c r="AY840" i="2" a="1"/>
  <c r="AY840" i="2" s="1"/>
  <c r="AO840" i="2" a="1"/>
  <c r="AO840" i="2" s="1"/>
  <c r="AN840" i="2"/>
  <c r="AY828" i="2" a="1"/>
  <c r="AY828" i="2" s="1"/>
  <c r="AO828" i="2" a="1"/>
  <c r="AO828" i="2" s="1"/>
  <c r="AN828" i="2"/>
  <c r="AY816" i="2" a="1"/>
  <c r="AY816" i="2" s="1"/>
  <c r="AO816" i="2" a="1"/>
  <c r="AO816" i="2" s="1"/>
  <c r="AN816" i="2"/>
  <c r="AY804" i="2" a="1"/>
  <c r="AY804" i="2" s="1"/>
  <c r="AO804" i="2" a="1"/>
  <c r="AO804" i="2" s="1"/>
  <c r="AN804" i="2"/>
  <c r="AY792" i="2" a="1"/>
  <c r="AY792" i="2" s="1"/>
  <c r="AO792" i="2" a="1"/>
  <c r="AO792" i="2" s="1"/>
  <c r="AN792" i="2"/>
  <c r="AY780" i="2" a="1"/>
  <c r="AY780" i="2" s="1"/>
  <c r="AO780" i="2" a="1"/>
  <c r="AO780" i="2" s="1"/>
  <c r="AN780" i="2"/>
  <c r="AY768" i="2" a="1"/>
  <c r="AY768" i="2" s="1"/>
  <c r="AO768" i="2" a="1"/>
  <c r="AO768" i="2" s="1"/>
  <c r="AN768" i="2"/>
  <c r="AY756" i="2" a="1"/>
  <c r="AY756" i="2" s="1"/>
  <c r="AO756" i="2" a="1"/>
  <c r="AO756" i="2" s="1"/>
  <c r="AN756" i="2"/>
  <c r="AY744" i="2" a="1"/>
  <c r="AY744" i="2" s="1"/>
  <c r="AO744" i="2" a="1"/>
  <c r="AO744" i="2" s="1"/>
  <c r="AN744" i="2"/>
  <c r="AY732" i="2" a="1"/>
  <c r="AY732" i="2" s="1"/>
  <c r="AO732" i="2" a="1"/>
  <c r="AO732" i="2" s="1"/>
  <c r="AN732" i="2"/>
  <c r="AY720" i="2" a="1"/>
  <c r="AY720" i="2" s="1"/>
  <c r="AO720" i="2" a="1"/>
  <c r="AO720" i="2" s="1"/>
  <c r="AN720" i="2"/>
  <c r="AY708" i="2" a="1"/>
  <c r="AY708" i="2" s="1"/>
  <c r="AO708" i="2" a="1"/>
  <c r="AO708" i="2" s="1"/>
  <c r="AN708" i="2"/>
  <c r="AY696" i="2" a="1"/>
  <c r="AY696" i="2" s="1"/>
  <c r="AO696" i="2" a="1"/>
  <c r="AO696" i="2" s="1"/>
  <c r="AN696" i="2"/>
  <c r="AY684" i="2" a="1"/>
  <c r="AY684" i="2" s="1"/>
  <c r="AO684" i="2" a="1"/>
  <c r="AO684" i="2" s="1"/>
  <c r="AN684" i="2"/>
  <c r="AY672" i="2" a="1"/>
  <c r="AY672" i="2" s="1"/>
  <c r="AO672" i="2" a="1"/>
  <c r="AO672" i="2" s="1"/>
  <c r="AN672" i="2"/>
  <c r="AY660" i="2" a="1"/>
  <c r="AY660" i="2" s="1"/>
  <c r="AO660" i="2" a="1"/>
  <c r="AO660" i="2" s="1"/>
  <c r="AN660" i="2"/>
  <c r="AY648" i="2" a="1"/>
  <c r="AY648" i="2" s="1"/>
  <c r="AO648" i="2" a="1"/>
  <c r="AO648" i="2" s="1"/>
  <c r="AN648" i="2"/>
  <c r="AY636" i="2" a="1"/>
  <c r="AY636" i="2" s="1"/>
  <c r="AN636" i="2"/>
  <c r="AO636" i="2" a="1"/>
  <c r="AO636" i="2" s="1"/>
  <c r="AY624" i="2" a="1"/>
  <c r="AY624" i="2" s="1"/>
  <c r="AO624" i="2" a="1"/>
  <c r="AO624" i="2" s="1"/>
  <c r="AN624" i="2"/>
  <c r="AY612" i="2" a="1"/>
  <c r="AY612" i="2" s="1"/>
  <c r="AO612" i="2" a="1"/>
  <c r="AO612" i="2" s="1"/>
  <c r="AN612" i="2"/>
  <c r="AY600" i="2" a="1"/>
  <c r="AY600" i="2" s="1"/>
  <c r="AO600" i="2" a="1"/>
  <c r="AO600" i="2" s="1"/>
  <c r="AN600" i="2"/>
  <c r="AY588" i="2" a="1"/>
  <c r="AY588" i="2" s="1"/>
  <c r="AO588" i="2" a="1"/>
  <c r="AO588" i="2" s="1"/>
  <c r="AN588" i="2"/>
  <c r="AY576" i="2" a="1"/>
  <c r="AY576" i="2" s="1"/>
  <c r="AO576" i="2" a="1"/>
  <c r="AO576" i="2" s="1"/>
  <c r="AN576" i="2"/>
  <c r="AY564" i="2" a="1"/>
  <c r="AY564" i="2" s="1"/>
  <c r="AO564" i="2" a="1"/>
  <c r="AO564" i="2" s="1"/>
  <c r="AN564" i="2"/>
  <c r="AY552" i="2" a="1"/>
  <c r="AY552" i="2" s="1"/>
  <c r="AO552" i="2" a="1"/>
  <c r="AO552" i="2" s="1"/>
  <c r="AN552" i="2"/>
  <c r="AY540" i="2" a="1"/>
  <c r="AY540" i="2" s="1"/>
  <c r="AO540" i="2" a="1"/>
  <c r="AO540" i="2" s="1"/>
  <c r="AN540" i="2"/>
  <c r="AY528" i="2" a="1"/>
  <c r="AY528" i="2" s="1"/>
  <c r="AO528" i="2" a="1"/>
  <c r="AO528" i="2" s="1"/>
  <c r="AN528" i="2"/>
  <c r="AY516" i="2" a="1"/>
  <c r="AY516" i="2" s="1"/>
  <c r="AO516" i="2" a="1"/>
  <c r="AO516" i="2" s="1"/>
  <c r="AN516" i="2"/>
  <c r="AY504" i="2" a="1"/>
  <c r="AY504" i="2" s="1"/>
  <c r="AO504" i="2" a="1"/>
  <c r="AO504" i="2" s="1"/>
  <c r="AN504" i="2"/>
  <c r="AY492" i="2" a="1"/>
  <c r="AY492" i="2" s="1"/>
  <c r="AO492" i="2" a="1"/>
  <c r="AO492" i="2" s="1"/>
  <c r="AN492" i="2"/>
  <c r="AY480" i="2" a="1"/>
  <c r="AY480" i="2" s="1"/>
  <c r="AN480" i="2"/>
  <c r="AO480" i="2" a="1"/>
  <c r="AO480" i="2" s="1"/>
  <c r="AY468" i="2" a="1"/>
  <c r="AY468" i="2" s="1"/>
  <c r="AO468" i="2" a="1"/>
  <c r="AO468" i="2" s="1"/>
  <c r="AN468" i="2"/>
  <c r="AY456" i="2" a="1"/>
  <c r="AY456" i="2" s="1"/>
  <c r="AO456" i="2" a="1"/>
  <c r="AO456" i="2" s="1"/>
  <c r="AN456" i="2"/>
  <c r="AY444" i="2" a="1"/>
  <c r="AY444" i="2" s="1"/>
  <c r="AO444" i="2" a="1"/>
  <c r="AO444" i="2" s="1"/>
  <c r="AN444" i="2"/>
  <c r="AY432" i="2" a="1"/>
  <c r="AY432" i="2" s="1"/>
  <c r="AO432" i="2" a="1"/>
  <c r="AO432" i="2" s="1"/>
  <c r="AN432" i="2"/>
  <c r="AY420" i="2" a="1"/>
  <c r="AY420" i="2" s="1"/>
  <c r="AO420" i="2" a="1"/>
  <c r="AO420" i="2" s="1"/>
  <c r="AN420" i="2"/>
  <c r="AY408" i="2" a="1"/>
  <c r="AY408" i="2" s="1"/>
  <c r="AO408" i="2" a="1"/>
  <c r="AO408" i="2" s="1"/>
  <c r="AN408" i="2"/>
  <c r="AY396" i="2" a="1"/>
  <c r="AY396" i="2" s="1"/>
  <c r="AO396" i="2" a="1"/>
  <c r="AO396" i="2" s="1"/>
  <c r="AN396" i="2"/>
  <c r="AY384" i="2" a="1"/>
  <c r="AY384" i="2" s="1"/>
  <c r="AO384" i="2" a="1"/>
  <c r="AO384" i="2" s="1"/>
  <c r="AN384" i="2"/>
  <c r="AY372" i="2" a="1"/>
  <c r="AY372" i="2" s="1"/>
  <c r="AN372" i="2"/>
  <c r="AO372" i="2" a="1"/>
  <c r="AO372" i="2" s="1"/>
  <c r="AY360" i="2" a="1"/>
  <c r="AY360" i="2" s="1"/>
  <c r="AO360" i="2" a="1"/>
  <c r="AO360" i="2" s="1"/>
  <c r="AN360" i="2"/>
  <c r="AY348" i="2" a="1"/>
  <c r="AY348" i="2" s="1"/>
  <c r="AO348" i="2" a="1"/>
  <c r="AO348" i="2" s="1"/>
  <c r="AN348" i="2"/>
  <c r="AY336" i="2" a="1"/>
  <c r="AY336" i="2" s="1"/>
  <c r="AO336" i="2" a="1"/>
  <c r="AO336" i="2" s="1"/>
  <c r="AN336" i="2"/>
  <c r="AY324" i="2" a="1"/>
  <c r="AY324" i="2" s="1"/>
  <c r="AO324" i="2" a="1"/>
  <c r="AO324" i="2" s="1"/>
  <c r="AN324" i="2"/>
  <c r="AY312" i="2" a="1"/>
  <c r="AY312" i="2" s="1"/>
  <c r="AO312" i="2" a="1"/>
  <c r="AO312" i="2" s="1"/>
  <c r="AN312" i="2"/>
  <c r="AY300" i="2" a="1"/>
  <c r="AY300" i="2" s="1"/>
  <c r="AO300" i="2" a="1"/>
  <c r="AO300" i="2" s="1"/>
  <c r="AN300" i="2"/>
  <c r="AY288" i="2" a="1"/>
  <c r="AY288" i="2" s="1"/>
  <c r="AO288" i="2" a="1"/>
  <c r="AO288" i="2" s="1"/>
  <c r="AN288" i="2"/>
  <c r="AY265" i="2" a="1"/>
  <c r="AY265" i="2" s="1"/>
  <c r="AO265" i="2" a="1"/>
  <c r="AO265" i="2" s="1"/>
  <c r="AN265" i="2"/>
  <c r="AY253" i="2" a="1"/>
  <c r="AY253" i="2" s="1"/>
  <c r="AO253" i="2" a="1"/>
  <c r="AO253" i="2" s="1"/>
  <c r="AN253" i="2"/>
  <c r="AY241" i="2" a="1"/>
  <c r="AY241" i="2" s="1"/>
  <c r="AO241" i="2" a="1"/>
  <c r="AO241" i="2" s="1"/>
  <c r="AN241" i="2"/>
  <c r="AY229" i="2" a="1"/>
  <c r="AY229" i="2" s="1"/>
  <c r="AO229" i="2" a="1"/>
  <c r="AO229" i="2" s="1"/>
  <c r="AN229" i="2"/>
  <c r="AY217" i="2" a="1"/>
  <c r="AY217" i="2" s="1"/>
  <c r="AO217" i="2" a="1"/>
  <c r="AO217" i="2" s="1"/>
  <c r="AN217" i="2"/>
  <c r="AY205" i="2" a="1"/>
  <c r="AY205" i="2" s="1"/>
  <c r="AO205" i="2" a="1"/>
  <c r="AO205" i="2" s="1"/>
  <c r="AN205" i="2"/>
  <c r="AY193" i="2" a="1"/>
  <c r="AY193" i="2" s="1"/>
  <c r="AO193" i="2" a="1"/>
  <c r="AO193" i="2" s="1"/>
  <c r="AN193" i="2"/>
  <c r="AY181" i="2" a="1"/>
  <c r="AY181" i="2" s="1"/>
  <c r="AO181" i="2" a="1"/>
  <c r="AO181" i="2" s="1"/>
  <c r="AN181" i="2"/>
  <c r="AY169" i="2" a="1"/>
  <c r="AY169" i="2" s="1"/>
  <c r="AO169" i="2" a="1"/>
  <c r="AO169" i="2" s="1"/>
  <c r="AN169" i="2"/>
  <c r="AY157" i="2" a="1"/>
  <c r="AY157" i="2" s="1"/>
  <c r="AO157" i="2" a="1"/>
  <c r="AO157" i="2" s="1"/>
  <c r="AN157" i="2"/>
  <c r="AY145" i="2" a="1"/>
  <c r="AY145" i="2" s="1"/>
  <c r="AO145" i="2" a="1"/>
  <c r="AO145" i="2" s="1"/>
  <c r="AN145" i="2"/>
  <c r="AY133" i="2" a="1"/>
  <c r="AY133" i="2" s="1"/>
  <c r="AO133" i="2" a="1"/>
  <c r="AO133" i="2" s="1"/>
  <c r="AN133" i="2"/>
  <c r="AY121" i="2" a="1"/>
  <c r="AY121" i="2" s="1"/>
  <c r="AO121" i="2" a="1"/>
  <c r="AO121" i="2" s="1"/>
  <c r="AN121" i="2"/>
  <c r="AY109" i="2" a="1"/>
  <c r="AY109" i="2" s="1"/>
  <c r="AO109" i="2" a="1"/>
  <c r="AO109" i="2" s="1"/>
  <c r="AN109" i="2"/>
  <c r="AY97" i="2" a="1"/>
  <c r="AY97" i="2" s="1"/>
  <c r="AO97" i="2" a="1"/>
  <c r="AO97" i="2" s="1"/>
  <c r="AN97" i="2"/>
  <c r="AY85" i="2" a="1"/>
  <c r="AY85" i="2" s="1"/>
  <c r="AO85" i="2" a="1"/>
  <c r="AO85" i="2" s="1"/>
  <c r="AN85" i="2"/>
  <c r="AY73" i="2" a="1"/>
  <c r="AY73" i="2" s="1"/>
  <c r="AO73" i="2" a="1"/>
  <c r="AO73" i="2" s="1"/>
  <c r="AN73" i="2"/>
  <c r="AY61" i="2" a="1"/>
  <c r="AY61" i="2" s="1"/>
  <c r="AO61" i="2" a="1"/>
  <c r="AO61" i="2" s="1"/>
  <c r="AN61" i="2"/>
  <c r="AY49" i="2" a="1"/>
  <c r="AY49" i="2" s="1"/>
  <c r="AN49" i="2"/>
  <c r="AO49" i="2" a="1"/>
  <c r="AO49" i="2" s="1"/>
  <c r="AY37" i="2" a="1"/>
  <c r="AY37" i="2" s="1"/>
  <c r="AN37" i="2"/>
  <c r="AO37" i="2" a="1"/>
  <c r="AO37" i="2" s="1"/>
  <c r="AY25" i="2" a="1"/>
  <c r="AY25" i="2" s="1"/>
  <c r="AO25" i="2" a="1"/>
  <c r="AO25" i="2" s="1"/>
  <c r="AN25" i="2"/>
  <c r="AY13" i="2" a="1"/>
  <c r="AY13" i="2" s="1"/>
  <c r="AO13" i="2" a="1"/>
  <c r="AO13" i="2" s="1"/>
  <c r="AN13" i="2"/>
  <c r="AY1076" i="2" a="1"/>
  <c r="AY1076" i="2" s="1"/>
  <c r="AO1076" i="2" a="1"/>
  <c r="AO1076" i="2" s="1"/>
  <c r="AN1076" i="2"/>
  <c r="AY944" i="2" a="1"/>
  <c r="AY944" i="2" s="1"/>
  <c r="AO944" i="2" a="1"/>
  <c r="AO944" i="2" s="1"/>
  <c r="AN944" i="2"/>
  <c r="AY800" i="2" a="1"/>
  <c r="AY800" i="2" s="1"/>
  <c r="AO800" i="2" a="1"/>
  <c r="AO800" i="2" s="1"/>
  <c r="AN800" i="2"/>
  <c r="AY644" i="2" a="1"/>
  <c r="AY644" i="2" s="1"/>
  <c r="AO644" i="2" a="1"/>
  <c r="AO644" i="2" s="1"/>
  <c r="AN644" i="2"/>
  <c r="AY512" i="2" a="1"/>
  <c r="AY512" i="2" s="1"/>
  <c r="AO512" i="2" a="1"/>
  <c r="AO512" i="2" s="1"/>
  <c r="AN512" i="2"/>
  <c r="AY380" i="2" a="1"/>
  <c r="AY380" i="2" s="1"/>
  <c r="AN380" i="2"/>
  <c r="AO380" i="2" a="1"/>
  <c r="AO380" i="2" s="1"/>
  <c r="AY237" i="2" a="1"/>
  <c r="AY237" i="2" s="1"/>
  <c r="AN237" i="2"/>
  <c r="AO237" i="2" a="1"/>
  <c r="AO237" i="2" s="1"/>
  <c r="AY81" i="2" a="1"/>
  <c r="AY81" i="2" s="1"/>
  <c r="AO81" i="2" a="1"/>
  <c r="AO81" i="2" s="1"/>
  <c r="AN81" i="2"/>
  <c r="AS952" i="2" a="1"/>
  <c r="AS952" i="2" s="1"/>
  <c r="AW952" i="2" s="1"/>
  <c r="AR952" i="2"/>
  <c r="AT952" i="2" s="1"/>
  <c r="AP952" i="2"/>
  <c r="AY1091" i="2" a="1"/>
  <c r="AY1091" i="2" s="1"/>
  <c r="AO1091" i="2" a="1"/>
  <c r="AO1091" i="2" s="1"/>
  <c r="AN1091" i="2"/>
  <c r="AY1079" i="2" a="1"/>
  <c r="AY1079" i="2" s="1"/>
  <c r="AO1079" i="2" a="1"/>
  <c r="AO1079" i="2" s="1"/>
  <c r="AN1079" i="2"/>
  <c r="AY1067" i="2" a="1"/>
  <c r="AY1067" i="2" s="1"/>
  <c r="AO1067" i="2" a="1"/>
  <c r="AO1067" i="2" s="1"/>
  <c r="AN1067" i="2"/>
  <c r="AY1055" i="2" a="1"/>
  <c r="AY1055" i="2" s="1"/>
  <c r="AO1055" i="2" a="1"/>
  <c r="AO1055" i="2" s="1"/>
  <c r="AN1055" i="2"/>
  <c r="AY1043" i="2" a="1"/>
  <c r="AY1043" i="2" s="1"/>
  <c r="AO1043" i="2" a="1"/>
  <c r="AO1043" i="2" s="1"/>
  <c r="AN1043" i="2"/>
  <c r="AY1031" i="2" a="1"/>
  <c r="AY1031" i="2" s="1"/>
  <c r="AO1031" i="2" a="1"/>
  <c r="AO1031" i="2" s="1"/>
  <c r="AN1031" i="2"/>
  <c r="AY1019" i="2" a="1"/>
  <c r="AY1019" i="2" s="1"/>
  <c r="AO1019" i="2" a="1"/>
  <c r="AO1019" i="2" s="1"/>
  <c r="AN1019" i="2"/>
  <c r="AY1007" i="2" a="1"/>
  <c r="AY1007" i="2" s="1"/>
  <c r="AO1007" i="2" a="1"/>
  <c r="AO1007" i="2" s="1"/>
  <c r="AN1007" i="2"/>
  <c r="AY995" i="2" a="1"/>
  <c r="AY995" i="2" s="1"/>
  <c r="AO995" i="2" a="1"/>
  <c r="AO995" i="2" s="1"/>
  <c r="AN995" i="2"/>
  <c r="AY983" i="2" a="1"/>
  <c r="AY983" i="2" s="1"/>
  <c r="AO983" i="2" a="1"/>
  <c r="AO983" i="2" s="1"/>
  <c r="AN983" i="2"/>
  <c r="AY971" i="2" a="1"/>
  <c r="AY971" i="2" s="1"/>
  <c r="AO971" i="2" a="1"/>
  <c r="AO971" i="2" s="1"/>
  <c r="AN971" i="2"/>
  <c r="AY959" i="2" a="1"/>
  <c r="AY959" i="2" s="1"/>
  <c r="AO959" i="2" a="1"/>
  <c r="AO959" i="2" s="1"/>
  <c r="AN959" i="2"/>
  <c r="AY947" i="2" a="1"/>
  <c r="AY947" i="2" s="1"/>
  <c r="AO947" i="2" a="1"/>
  <c r="AO947" i="2" s="1"/>
  <c r="AN947" i="2"/>
  <c r="AY935" i="2" a="1"/>
  <c r="AY935" i="2" s="1"/>
  <c r="AO935" i="2" a="1"/>
  <c r="AO935" i="2" s="1"/>
  <c r="AN935" i="2"/>
  <c r="AY923" i="2" a="1"/>
  <c r="AY923" i="2" s="1"/>
  <c r="AO923" i="2" a="1"/>
  <c r="AO923" i="2" s="1"/>
  <c r="AN923" i="2"/>
  <c r="AY911" i="2" a="1"/>
  <c r="AY911" i="2" s="1"/>
  <c r="AO911" i="2" a="1"/>
  <c r="AO911" i="2" s="1"/>
  <c r="AN911" i="2"/>
  <c r="AY899" i="2" a="1"/>
  <c r="AY899" i="2" s="1"/>
  <c r="AO899" i="2" a="1"/>
  <c r="AO899" i="2" s="1"/>
  <c r="AN899" i="2"/>
  <c r="AY887" i="2" a="1"/>
  <c r="AY887" i="2" s="1"/>
  <c r="AO887" i="2" a="1"/>
  <c r="AO887" i="2" s="1"/>
  <c r="AN887" i="2"/>
  <c r="AY875" i="2" a="1"/>
  <c r="AY875" i="2" s="1"/>
  <c r="AO875" i="2" a="1"/>
  <c r="AO875" i="2" s="1"/>
  <c r="AN875" i="2"/>
  <c r="AY863" i="2" a="1"/>
  <c r="AY863" i="2" s="1"/>
  <c r="AO863" i="2" a="1"/>
  <c r="AO863" i="2" s="1"/>
  <c r="AN863" i="2"/>
  <c r="AY851" i="2" a="1"/>
  <c r="AY851" i="2" s="1"/>
  <c r="AO851" i="2" a="1"/>
  <c r="AO851" i="2" s="1"/>
  <c r="AN851" i="2"/>
  <c r="AY839" i="2" a="1"/>
  <c r="AY839" i="2" s="1"/>
  <c r="AO839" i="2" a="1"/>
  <c r="AO839" i="2" s="1"/>
  <c r="AN839" i="2"/>
  <c r="AY827" i="2" a="1"/>
  <c r="AY827" i="2" s="1"/>
  <c r="AO827" i="2" a="1"/>
  <c r="AO827" i="2" s="1"/>
  <c r="AN827" i="2"/>
  <c r="AY815" i="2" a="1"/>
  <c r="AY815" i="2" s="1"/>
  <c r="AO815" i="2" a="1"/>
  <c r="AO815" i="2" s="1"/>
  <c r="AN815" i="2"/>
  <c r="AY803" i="2" a="1"/>
  <c r="AY803" i="2" s="1"/>
  <c r="AO803" i="2" a="1"/>
  <c r="AO803" i="2" s="1"/>
  <c r="AN803" i="2"/>
  <c r="AY791" i="2" a="1"/>
  <c r="AY791" i="2" s="1"/>
  <c r="AO791" i="2" a="1"/>
  <c r="AO791" i="2" s="1"/>
  <c r="AN791" i="2"/>
  <c r="AY779" i="2" a="1"/>
  <c r="AY779" i="2" s="1"/>
  <c r="AO779" i="2" a="1"/>
  <c r="AO779" i="2" s="1"/>
  <c r="AN779" i="2"/>
  <c r="AY767" i="2" a="1"/>
  <c r="AY767" i="2" s="1"/>
  <c r="AO767" i="2" a="1"/>
  <c r="AO767" i="2" s="1"/>
  <c r="AN767" i="2"/>
  <c r="AY755" i="2" a="1"/>
  <c r="AY755" i="2" s="1"/>
  <c r="AO755" i="2" a="1"/>
  <c r="AO755" i="2" s="1"/>
  <c r="AN755" i="2"/>
  <c r="AY743" i="2" a="1"/>
  <c r="AY743" i="2" s="1"/>
  <c r="AO743" i="2" a="1"/>
  <c r="AO743" i="2" s="1"/>
  <c r="AN743" i="2"/>
  <c r="AY731" i="2" a="1"/>
  <c r="AY731" i="2" s="1"/>
  <c r="AO731" i="2" a="1"/>
  <c r="AO731" i="2" s="1"/>
  <c r="AN731" i="2"/>
  <c r="AY719" i="2" a="1"/>
  <c r="AY719" i="2" s="1"/>
  <c r="AO719" i="2" a="1"/>
  <c r="AO719" i="2" s="1"/>
  <c r="AN719" i="2"/>
  <c r="AY707" i="2" a="1"/>
  <c r="AY707" i="2" s="1"/>
  <c r="AO707" i="2" a="1"/>
  <c r="AO707" i="2" s="1"/>
  <c r="AN707" i="2"/>
  <c r="AY695" i="2" a="1"/>
  <c r="AY695" i="2" s="1"/>
  <c r="AO695" i="2" a="1"/>
  <c r="AO695" i="2" s="1"/>
  <c r="AN695" i="2"/>
  <c r="AY683" i="2" a="1"/>
  <c r="AY683" i="2" s="1"/>
  <c r="AO683" i="2" a="1"/>
  <c r="AO683" i="2" s="1"/>
  <c r="AN683" i="2"/>
  <c r="AY671" i="2" a="1"/>
  <c r="AY671" i="2" s="1"/>
  <c r="AO671" i="2" a="1"/>
  <c r="AO671" i="2" s="1"/>
  <c r="AN671" i="2"/>
  <c r="AY659" i="2" a="1"/>
  <c r="AY659" i="2" s="1"/>
  <c r="AO659" i="2" a="1"/>
  <c r="AO659" i="2" s="1"/>
  <c r="AN659" i="2"/>
  <c r="AY647" i="2" a="1"/>
  <c r="AY647" i="2" s="1"/>
  <c r="AO647" i="2" a="1"/>
  <c r="AO647" i="2" s="1"/>
  <c r="AN647" i="2"/>
  <c r="AY635" i="2" a="1"/>
  <c r="AY635" i="2" s="1"/>
  <c r="AO635" i="2" a="1"/>
  <c r="AO635" i="2" s="1"/>
  <c r="AN635" i="2"/>
  <c r="AY623" i="2" a="1"/>
  <c r="AY623" i="2" s="1"/>
  <c r="AO623" i="2" a="1"/>
  <c r="AO623" i="2" s="1"/>
  <c r="AN623" i="2"/>
  <c r="AY611" i="2" a="1"/>
  <c r="AY611" i="2" s="1"/>
  <c r="AO611" i="2" a="1"/>
  <c r="AO611" i="2" s="1"/>
  <c r="AN611" i="2"/>
  <c r="AY599" i="2" a="1"/>
  <c r="AY599" i="2" s="1"/>
  <c r="AO599" i="2" a="1"/>
  <c r="AO599" i="2" s="1"/>
  <c r="AN599" i="2"/>
  <c r="AY587" i="2" a="1"/>
  <c r="AY587" i="2" s="1"/>
  <c r="AO587" i="2" a="1"/>
  <c r="AO587" i="2" s="1"/>
  <c r="AN587" i="2"/>
  <c r="AY575" i="2" a="1"/>
  <c r="AY575" i="2" s="1"/>
  <c r="AO575" i="2" a="1"/>
  <c r="AO575" i="2" s="1"/>
  <c r="AN575" i="2"/>
  <c r="AY563" i="2" a="1"/>
  <c r="AY563" i="2" s="1"/>
  <c r="AO563" i="2" a="1"/>
  <c r="AO563" i="2" s="1"/>
  <c r="AN563" i="2"/>
  <c r="AY551" i="2" a="1"/>
  <c r="AY551" i="2" s="1"/>
  <c r="AO551" i="2" a="1"/>
  <c r="AO551" i="2" s="1"/>
  <c r="AN551" i="2"/>
  <c r="AY539" i="2" a="1"/>
  <c r="AY539" i="2" s="1"/>
  <c r="AO539" i="2" a="1"/>
  <c r="AO539" i="2" s="1"/>
  <c r="AN539" i="2"/>
  <c r="AY527" i="2" a="1"/>
  <c r="AY527" i="2" s="1"/>
  <c r="AO527" i="2" a="1"/>
  <c r="AO527" i="2" s="1"/>
  <c r="AN527" i="2"/>
  <c r="AY515" i="2" a="1"/>
  <c r="AY515" i="2" s="1"/>
  <c r="AO515" i="2" a="1"/>
  <c r="AO515" i="2" s="1"/>
  <c r="AN515" i="2"/>
  <c r="AY503" i="2" a="1"/>
  <c r="AY503" i="2" s="1"/>
  <c r="AO503" i="2" a="1"/>
  <c r="AO503" i="2" s="1"/>
  <c r="AN503" i="2"/>
  <c r="AY491" i="2" a="1"/>
  <c r="AY491" i="2" s="1"/>
  <c r="AO491" i="2" a="1"/>
  <c r="AO491" i="2" s="1"/>
  <c r="AN491" i="2"/>
  <c r="AY479" i="2" a="1"/>
  <c r="AY479" i="2" s="1"/>
  <c r="AO479" i="2" a="1"/>
  <c r="AO479" i="2" s="1"/>
  <c r="AN479" i="2"/>
  <c r="AY467" i="2" a="1"/>
  <c r="AY467" i="2" s="1"/>
  <c r="AO467" i="2" a="1"/>
  <c r="AO467" i="2" s="1"/>
  <c r="AN467" i="2"/>
  <c r="AY455" i="2" a="1"/>
  <c r="AY455" i="2" s="1"/>
  <c r="AO455" i="2" a="1"/>
  <c r="AO455" i="2" s="1"/>
  <c r="AN455" i="2"/>
  <c r="AY443" i="2" a="1"/>
  <c r="AY443" i="2" s="1"/>
  <c r="AO443" i="2" a="1"/>
  <c r="AO443" i="2" s="1"/>
  <c r="AN443" i="2"/>
  <c r="AY431" i="2" a="1"/>
  <c r="AY431" i="2" s="1"/>
  <c r="AO431" i="2" a="1"/>
  <c r="AO431" i="2" s="1"/>
  <c r="AN431" i="2"/>
  <c r="AY419" i="2" a="1"/>
  <c r="AY419" i="2" s="1"/>
  <c r="AO419" i="2" a="1"/>
  <c r="AO419" i="2" s="1"/>
  <c r="AN419" i="2"/>
  <c r="AY407" i="2" a="1"/>
  <c r="AY407" i="2" s="1"/>
  <c r="AO407" i="2" a="1"/>
  <c r="AO407" i="2" s="1"/>
  <c r="AN407" i="2"/>
  <c r="AY395" i="2" a="1"/>
  <c r="AY395" i="2" s="1"/>
  <c r="AO395" i="2" a="1"/>
  <c r="AO395" i="2" s="1"/>
  <c r="AN395" i="2"/>
  <c r="AY383" i="2" a="1"/>
  <c r="AY383" i="2" s="1"/>
  <c r="AO383" i="2" a="1"/>
  <c r="AO383" i="2" s="1"/>
  <c r="AN383" i="2"/>
  <c r="AY371" i="2" a="1"/>
  <c r="AY371" i="2" s="1"/>
  <c r="AO371" i="2" a="1"/>
  <c r="AO371" i="2" s="1"/>
  <c r="AN371" i="2"/>
  <c r="AY359" i="2" a="1"/>
  <c r="AY359" i="2" s="1"/>
  <c r="AO359" i="2" a="1"/>
  <c r="AO359" i="2" s="1"/>
  <c r="AN359" i="2"/>
  <c r="AY347" i="2" a="1"/>
  <c r="AY347" i="2" s="1"/>
  <c r="AO347" i="2" a="1"/>
  <c r="AO347" i="2" s="1"/>
  <c r="AN347" i="2"/>
  <c r="AY335" i="2" a="1"/>
  <c r="AY335" i="2" s="1"/>
  <c r="AO335" i="2" a="1"/>
  <c r="AO335" i="2" s="1"/>
  <c r="AN335" i="2"/>
  <c r="AY323" i="2" a="1"/>
  <c r="AY323" i="2" s="1"/>
  <c r="AO323" i="2" a="1"/>
  <c r="AO323" i="2" s="1"/>
  <c r="AN323" i="2"/>
  <c r="AY311" i="2" a="1"/>
  <c r="AY311" i="2" s="1"/>
  <c r="AO311" i="2" a="1"/>
  <c r="AO311" i="2" s="1"/>
  <c r="AN311" i="2"/>
  <c r="AY299" i="2" a="1"/>
  <c r="AY299" i="2" s="1"/>
  <c r="AO299" i="2" a="1"/>
  <c r="AO299" i="2" s="1"/>
  <c r="AN299" i="2"/>
  <c r="AY287" i="2" a="1"/>
  <c r="AY287" i="2" s="1"/>
  <c r="AO287" i="2" a="1"/>
  <c r="AO287" i="2" s="1"/>
  <c r="AN287" i="2"/>
  <c r="AY276" i="2" a="1"/>
  <c r="AY276" i="2" s="1"/>
  <c r="AO276" i="2" a="1"/>
  <c r="AO276" i="2" s="1"/>
  <c r="AN276" i="2"/>
  <c r="AY264" i="2" a="1"/>
  <c r="AY264" i="2" s="1"/>
  <c r="AO264" i="2" a="1"/>
  <c r="AO264" i="2" s="1"/>
  <c r="AN264" i="2"/>
  <c r="AY252" i="2" a="1"/>
  <c r="AY252" i="2" s="1"/>
  <c r="AO252" i="2" a="1"/>
  <c r="AO252" i="2" s="1"/>
  <c r="AN252" i="2"/>
  <c r="AY240" i="2" a="1"/>
  <c r="AY240" i="2" s="1"/>
  <c r="AN240" i="2"/>
  <c r="AO240" i="2" a="1"/>
  <c r="AO240" i="2" s="1"/>
  <c r="AY228" i="2" a="1"/>
  <c r="AY228" i="2" s="1"/>
  <c r="AO228" i="2" a="1"/>
  <c r="AO228" i="2" s="1"/>
  <c r="AN228" i="2"/>
  <c r="AY216" i="2" a="1"/>
  <c r="AY216" i="2" s="1"/>
  <c r="AO216" i="2" a="1"/>
  <c r="AO216" i="2" s="1"/>
  <c r="AN216" i="2"/>
  <c r="AY204" i="2" a="1"/>
  <c r="AY204" i="2" s="1"/>
  <c r="AO204" i="2" a="1"/>
  <c r="AO204" i="2" s="1"/>
  <c r="AN204" i="2"/>
  <c r="AY192" i="2" a="1"/>
  <c r="AY192" i="2" s="1"/>
  <c r="AO192" i="2" a="1"/>
  <c r="AO192" i="2" s="1"/>
  <c r="AN192" i="2"/>
  <c r="AY180" i="2" a="1"/>
  <c r="AY180" i="2" s="1"/>
  <c r="AO180" i="2" a="1"/>
  <c r="AO180" i="2" s="1"/>
  <c r="AN180" i="2"/>
  <c r="AY168" i="2" a="1"/>
  <c r="AY168" i="2" s="1"/>
  <c r="AO168" i="2" a="1"/>
  <c r="AO168" i="2" s="1"/>
  <c r="AN168" i="2"/>
  <c r="AY156" i="2" a="1"/>
  <c r="AY156" i="2" s="1"/>
  <c r="AO156" i="2" a="1"/>
  <c r="AO156" i="2" s="1"/>
  <c r="AN156" i="2"/>
  <c r="AY144" i="2" a="1"/>
  <c r="AY144" i="2" s="1"/>
  <c r="AO144" i="2" a="1"/>
  <c r="AO144" i="2" s="1"/>
  <c r="AN144" i="2"/>
  <c r="AY132" i="2" a="1"/>
  <c r="AY132" i="2" s="1"/>
  <c r="AO132" i="2" a="1"/>
  <c r="AO132" i="2" s="1"/>
  <c r="AN132" i="2"/>
  <c r="AY120" i="2" a="1"/>
  <c r="AY120" i="2" s="1"/>
  <c r="AO120" i="2" a="1"/>
  <c r="AO120" i="2" s="1"/>
  <c r="AN120" i="2"/>
  <c r="AY108" i="2" a="1"/>
  <c r="AY108" i="2" s="1"/>
  <c r="AO108" i="2" a="1"/>
  <c r="AO108" i="2" s="1"/>
  <c r="AN108" i="2"/>
  <c r="AY96" i="2" a="1"/>
  <c r="AY96" i="2" s="1"/>
  <c r="AO96" i="2" a="1"/>
  <c r="AO96" i="2" s="1"/>
  <c r="AN96" i="2"/>
  <c r="AY84" i="2" a="1"/>
  <c r="AY84" i="2" s="1"/>
  <c r="AO84" i="2" a="1"/>
  <c r="AO84" i="2" s="1"/>
  <c r="AN84" i="2"/>
  <c r="AY72" i="2" a="1"/>
  <c r="AY72" i="2" s="1"/>
  <c r="AO72" i="2" a="1"/>
  <c r="AO72" i="2" s="1"/>
  <c r="AN72" i="2"/>
  <c r="AY60" i="2" a="1"/>
  <c r="AY60" i="2" s="1"/>
  <c r="AO60" i="2" a="1"/>
  <c r="AO60" i="2" s="1"/>
  <c r="AN60" i="2"/>
  <c r="AY48" i="2" a="1"/>
  <c r="AY48" i="2" s="1"/>
  <c r="AO48" i="2" a="1"/>
  <c r="AO48" i="2" s="1"/>
  <c r="AN48" i="2"/>
  <c r="AY36" i="2" a="1"/>
  <c r="AY36" i="2" s="1"/>
  <c r="AO36" i="2" a="1"/>
  <c r="AO36" i="2" s="1"/>
  <c r="AN36" i="2"/>
  <c r="AY24" i="2" a="1"/>
  <c r="AY24" i="2" s="1"/>
  <c r="AO24" i="2" a="1"/>
  <c r="AO24" i="2" s="1"/>
  <c r="AN24" i="2"/>
  <c r="AY12" i="2" a="1"/>
  <c r="AY12" i="2" s="1"/>
  <c r="AO12" i="2" a="1"/>
  <c r="AO12" i="2" s="1"/>
  <c r="AN12" i="2"/>
  <c r="AY1004" i="2" a="1"/>
  <c r="AY1004" i="2" s="1"/>
  <c r="AO1004" i="2" a="1"/>
  <c r="AO1004" i="2" s="1"/>
  <c r="AN1004" i="2"/>
  <c r="AY884" i="2" a="1"/>
  <c r="AY884" i="2" s="1"/>
  <c r="AO884" i="2" a="1"/>
  <c r="AO884" i="2" s="1"/>
  <c r="AN884" i="2"/>
  <c r="AY740" i="2" a="1"/>
  <c r="AY740" i="2" s="1"/>
  <c r="AO740" i="2" a="1"/>
  <c r="AO740" i="2" s="1"/>
  <c r="AN740" i="2"/>
  <c r="AY632" i="2" a="1"/>
  <c r="AY632" i="2" s="1"/>
  <c r="AO632" i="2" a="1"/>
  <c r="AO632" i="2" s="1"/>
  <c r="AN632" i="2"/>
  <c r="AY524" i="2" a="1"/>
  <c r="AY524" i="2" s="1"/>
  <c r="AO524" i="2" a="1"/>
  <c r="AO524" i="2" s="1"/>
  <c r="AN524" i="2"/>
  <c r="AY404" i="2" a="1"/>
  <c r="AY404" i="2" s="1"/>
  <c r="AO404" i="2" a="1"/>
  <c r="AO404" i="2" s="1"/>
  <c r="AN404" i="2"/>
  <c r="AY273" i="2" a="1"/>
  <c r="AY273" i="2" s="1"/>
  <c r="AN273" i="2"/>
  <c r="AO273" i="2" a="1"/>
  <c r="AO273" i="2" s="1"/>
  <c r="AY141" i="2" a="1"/>
  <c r="AY141" i="2" s="1"/>
  <c r="AN141" i="2"/>
  <c r="AO141" i="2" a="1"/>
  <c r="AO141" i="2" s="1"/>
  <c r="AS700" i="2" a="1"/>
  <c r="AS700" i="2" s="1"/>
  <c r="AW700" i="2" s="1"/>
  <c r="AR700" i="2"/>
  <c r="AT700" i="2" s="1"/>
  <c r="AP700" i="2"/>
  <c r="AY1090" i="2" a="1"/>
  <c r="AY1090" i="2" s="1"/>
  <c r="AO1090" i="2" a="1"/>
  <c r="AO1090" i="2" s="1"/>
  <c r="AN1090" i="2"/>
  <c r="AY1078" i="2" a="1"/>
  <c r="AY1078" i="2" s="1"/>
  <c r="AO1078" i="2" a="1"/>
  <c r="AO1078" i="2" s="1"/>
  <c r="AN1078" i="2"/>
  <c r="AY1066" i="2" a="1"/>
  <c r="AY1066" i="2" s="1"/>
  <c r="AN1066" i="2"/>
  <c r="AO1066" i="2" a="1"/>
  <c r="AO1066" i="2" s="1"/>
  <c r="AY1054" i="2" a="1"/>
  <c r="AY1054" i="2" s="1"/>
  <c r="AO1054" i="2" a="1"/>
  <c r="AO1054" i="2" s="1"/>
  <c r="AN1054" i="2"/>
  <c r="AY1042" i="2" a="1"/>
  <c r="AY1042" i="2" s="1"/>
  <c r="AO1042" i="2" a="1"/>
  <c r="AO1042" i="2" s="1"/>
  <c r="AN1042" i="2"/>
  <c r="AY1030" i="2" a="1"/>
  <c r="AY1030" i="2" s="1"/>
  <c r="AO1030" i="2" a="1"/>
  <c r="AO1030" i="2" s="1"/>
  <c r="AN1030" i="2"/>
  <c r="AY1018" i="2" a="1"/>
  <c r="AY1018" i="2" s="1"/>
  <c r="AO1018" i="2" a="1"/>
  <c r="AO1018" i="2" s="1"/>
  <c r="AN1018" i="2"/>
  <c r="AY1006" i="2" a="1"/>
  <c r="AY1006" i="2" s="1"/>
  <c r="AO1006" i="2" a="1"/>
  <c r="AO1006" i="2" s="1"/>
  <c r="AN1006" i="2"/>
  <c r="AY994" i="2" a="1"/>
  <c r="AY994" i="2" s="1"/>
  <c r="AO994" i="2" a="1"/>
  <c r="AO994" i="2" s="1"/>
  <c r="AN994" i="2"/>
  <c r="AY982" i="2" a="1"/>
  <c r="AY982" i="2" s="1"/>
  <c r="AO982" i="2" a="1"/>
  <c r="AO982" i="2" s="1"/>
  <c r="AN982" i="2"/>
  <c r="AY970" i="2" a="1"/>
  <c r="AY970" i="2" s="1"/>
  <c r="AO970" i="2" a="1"/>
  <c r="AO970" i="2" s="1"/>
  <c r="AN970" i="2"/>
  <c r="AY958" i="2" a="1"/>
  <c r="AY958" i="2" s="1"/>
  <c r="AO958" i="2" a="1"/>
  <c r="AO958" i="2" s="1"/>
  <c r="AN958" i="2"/>
  <c r="AY946" i="2" a="1"/>
  <c r="AY946" i="2" s="1"/>
  <c r="AO946" i="2" a="1"/>
  <c r="AO946" i="2" s="1"/>
  <c r="AN946" i="2"/>
  <c r="AY934" i="2" a="1"/>
  <c r="AY934" i="2" s="1"/>
  <c r="AN934" i="2"/>
  <c r="AO934" i="2" a="1"/>
  <c r="AO934" i="2" s="1"/>
  <c r="AY922" i="2" a="1"/>
  <c r="AY922" i="2" s="1"/>
  <c r="AO922" i="2" a="1"/>
  <c r="AO922" i="2" s="1"/>
  <c r="AN922" i="2"/>
  <c r="AY910" i="2" a="1"/>
  <c r="AY910" i="2" s="1"/>
  <c r="AO910" i="2" a="1"/>
  <c r="AO910" i="2" s="1"/>
  <c r="AN910" i="2"/>
  <c r="AY898" i="2" a="1"/>
  <c r="AY898" i="2" s="1"/>
  <c r="AO898" i="2" a="1"/>
  <c r="AO898" i="2" s="1"/>
  <c r="AN898" i="2"/>
  <c r="AY886" i="2" a="1"/>
  <c r="AY886" i="2" s="1"/>
  <c r="AO886" i="2" a="1"/>
  <c r="AO886" i="2" s="1"/>
  <c r="AN886" i="2"/>
  <c r="AY874" i="2" a="1"/>
  <c r="AY874" i="2" s="1"/>
  <c r="AO874" i="2" a="1"/>
  <c r="AO874" i="2" s="1"/>
  <c r="AN874" i="2"/>
  <c r="AY862" i="2" a="1"/>
  <c r="AY862" i="2" s="1"/>
  <c r="AO862" i="2" a="1"/>
  <c r="AO862" i="2" s="1"/>
  <c r="AN862" i="2"/>
  <c r="AY850" i="2" a="1"/>
  <c r="AY850" i="2" s="1"/>
  <c r="AO850" i="2" a="1"/>
  <c r="AO850" i="2" s="1"/>
  <c r="AN850" i="2"/>
  <c r="AY838" i="2" a="1"/>
  <c r="AY838" i="2" s="1"/>
  <c r="AO838" i="2" a="1"/>
  <c r="AO838" i="2" s="1"/>
  <c r="AN838" i="2"/>
  <c r="AY826" i="2" a="1"/>
  <c r="AY826" i="2" s="1"/>
  <c r="AO826" i="2" a="1"/>
  <c r="AO826" i="2" s="1"/>
  <c r="AN826" i="2"/>
  <c r="AY814" i="2" a="1"/>
  <c r="AY814" i="2" s="1"/>
  <c r="AO814" i="2" a="1"/>
  <c r="AO814" i="2" s="1"/>
  <c r="AN814" i="2"/>
  <c r="AY802" i="2" a="1"/>
  <c r="AY802" i="2" s="1"/>
  <c r="AO802" i="2" a="1"/>
  <c r="AO802" i="2" s="1"/>
  <c r="AN802" i="2"/>
  <c r="AY790" i="2" a="1"/>
  <c r="AY790" i="2" s="1"/>
  <c r="AO790" i="2" a="1"/>
  <c r="AO790" i="2" s="1"/>
  <c r="AN790" i="2"/>
  <c r="AY778" i="2" a="1"/>
  <c r="AY778" i="2" s="1"/>
  <c r="AO778" i="2" a="1"/>
  <c r="AO778" i="2" s="1"/>
  <c r="AN778" i="2"/>
  <c r="AY766" i="2" a="1"/>
  <c r="AY766" i="2" s="1"/>
  <c r="AO766" i="2" a="1"/>
  <c r="AO766" i="2" s="1"/>
  <c r="AN766" i="2"/>
  <c r="AY754" i="2" a="1"/>
  <c r="AY754" i="2" s="1"/>
  <c r="AO754" i="2" a="1"/>
  <c r="AO754" i="2" s="1"/>
  <c r="AN754" i="2"/>
  <c r="AY742" i="2" a="1"/>
  <c r="AY742" i="2" s="1"/>
  <c r="AO742" i="2" a="1"/>
  <c r="AO742" i="2" s="1"/>
  <c r="AN742" i="2"/>
  <c r="AY730" i="2" a="1"/>
  <c r="AY730" i="2" s="1"/>
  <c r="AO730" i="2" a="1"/>
  <c r="AO730" i="2" s="1"/>
  <c r="AN730" i="2"/>
  <c r="AY718" i="2" a="1"/>
  <c r="AY718" i="2" s="1"/>
  <c r="AO718" i="2" a="1"/>
  <c r="AO718" i="2" s="1"/>
  <c r="AN718" i="2"/>
  <c r="AY706" i="2" a="1"/>
  <c r="AY706" i="2" s="1"/>
  <c r="AO706" i="2" a="1"/>
  <c r="AO706" i="2" s="1"/>
  <c r="AN706" i="2"/>
  <c r="AY694" i="2" a="1"/>
  <c r="AY694" i="2" s="1"/>
  <c r="AO694" i="2" a="1"/>
  <c r="AO694" i="2" s="1"/>
  <c r="AN694" i="2"/>
  <c r="AY682" i="2" a="1"/>
  <c r="AY682" i="2" s="1"/>
  <c r="AO682" i="2" a="1"/>
  <c r="AO682" i="2" s="1"/>
  <c r="AN682" i="2"/>
  <c r="AY670" i="2" a="1"/>
  <c r="AY670" i="2" s="1"/>
  <c r="AO670" i="2" a="1"/>
  <c r="AO670" i="2" s="1"/>
  <c r="AN670" i="2"/>
  <c r="AY658" i="2" a="1"/>
  <c r="AY658" i="2" s="1"/>
  <c r="AO658" i="2" a="1"/>
  <c r="AO658" i="2" s="1"/>
  <c r="AN658" i="2"/>
  <c r="AY646" i="2" a="1"/>
  <c r="AY646" i="2" s="1"/>
  <c r="AN646" i="2"/>
  <c r="AO646" i="2" a="1"/>
  <c r="AO646" i="2" s="1"/>
  <c r="AY634" i="2" a="1"/>
  <c r="AY634" i="2" s="1"/>
  <c r="AO634" i="2" a="1"/>
  <c r="AO634" i="2" s="1"/>
  <c r="AN634" i="2"/>
  <c r="AY622" i="2" a="1"/>
  <c r="AY622" i="2" s="1"/>
  <c r="AO622" i="2" a="1"/>
  <c r="AO622" i="2" s="1"/>
  <c r="AN622" i="2"/>
  <c r="AY610" i="2" a="1"/>
  <c r="AY610" i="2" s="1"/>
  <c r="AO610" i="2" a="1"/>
  <c r="AO610" i="2" s="1"/>
  <c r="AN610" i="2"/>
  <c r="AY598" i="2" a="1"/>
  <c r="AY598" i="2" s="1"/>
  <c r="AO598" i="2" a="1"/>
  <c r="AO598" i="2" s="1"/>
  <c r="AN598" i="2"/>
  <c r="AY586" i="2" a="1"/>
  <c r="AY586" i="2" s="1"/>
  <c r="AO586" i="2" a="1"/>
  <c r="AO586" i="2" s="1"/>
  <c r="AN586" i="2"/>
  <c r="AY574" i="2" a="1"/>
  <c r="AY574" i="2" s="1"/>
  <c r="AO574" i="2" a="1"/>
  <c r="AO574" i="2" s="1"/>
  <c r="AN574" i="2"/>
  <c r="AY562" i="2" a="1"/>
  <c r="AY562" i="2" s="1"/>
  <c r="AO562" i="2" a="1"/>
  <c r="AO562" i="2" s="1"/>
  <c r="AN562" i="2"/>
  <c r="AY550" i="2" a="1"/>
  <c r="AY550" i="2" s="1"/>
  <c r="AO550" i="2" a="1"/>
  <c r="AO550" i="2" s="1"/>
  <c r="AN550" i="2"/>
  <c r="AY538" i="2" a="1"/>
  <c r="AY538" i="2" s="1"/>
  <c r="AN538" i="2"/>
  <c r="AO538" i="2" a="1"/>
  <c r="AO538" i="2" s="1"/>
  <c r="AY526" i="2" a="1"/>
  <c r="AY526" i="2" s="1"/>
  <c r="AO526" i="2" a="1"/>
  <c r="AO526" i="2" s="1"/>
  <c r="AN526" i="2"/>
  <c r="AY514" i="2" a="1"/>
  <c r="AY514" i="2" s="1"/>
  <c r="AO514" i="2" a="1"/>
  <c r="AO514" i="2" s="1"/>
  <c r="AN514" i="2"/>
  <c r="AY502" i="2" a="1"/>
  <c r="AY502" i="2" s="1"/>
  <c r="AO502" i="2" a="1"/>
  <c r="AO502" i="2" s="1"/>
  <c r="AN502" i="2"/>
  <c r="AY490" i="2" a="1"/>
  <c r="AY490" i="2" s="1"/>
  <c r="AO490" i="2" a="1"/>
  <c r="AO490" i="2" s="1"/>
  <c r="AN490" i="2"/>
  <c r="AY478" i="2" a="1"/>
  <c r="AY478" i="2" s="1"/>
  <c r="AO478" i="2" a="1"/>
  <c r="AO478" i="2" s="1"/>
  <c r="AN478" i="2"/>
  <c r="AY466" i="2" a="1"/>
  <c r="AY466" i="2" s="1"/>
  <c r="AO466" i="2" a="1"/>
  <c r="AO466" i="2" s="1"/>
  <c r="AN466" i="2"/>
  <c r="AY454" i="2" a="1"/>
  <c r="AY454" i="2" s="1"/>
  <c r="AO454" i="2" a="1"/>
  <c r="AO454" i="2" s="1"/>
  <c r="AN454" i="2"/>
  <c r="AY442" i="2" a="1"/>
  <c r="AY442" i="2" s="1"/>
  <c r="AO442" i="2" a="1"/>
  <c r="AO442" i="2" s="1"/>
  <c r="AN442" i="2"/>
  <c r="AY430" i="2" a="1"/>
  <c r="AY430" i="2" s="1"/>
  <c r="AO430" i="2" a="1"/>
  <c r="AO430" i="2" s="1"/>
  <c r="AN430" i="2"/>
  <c r="AY418" i="2" a="1"/>
  <c r="AY418" i="2" s="1"/>
  <c r="AO418" i="2" a="1"/>
  <c r="AO418" i="2" s="1"/>
  <c r="AN418" i="2"/>
  <c r="AY406" i="2" a="1"/>
  <c r="AY406" i="2" s="1"/>
  <c r="AO406" i="2" a="1"/>
  <c r="AO406" i="2" s="1"/>
  <c r="AN406" i="2"/>
  <c r="AY394" i="2" a="1"/>
  <c r="AY394" i="2" s="1"/>
  <c r="AO394" i="2" a="1"/>
  <c r="AO394" i="2" s="1"/>
  <c r="AN394" i="2"/>
  <c r="AY382" i="2" a="1"/>
  <c r="AY382" i="2" s="1"/>
  <c r="AO382" i="2" a="1"/>
  <c r="AO382" i="2" s="1"/>
  <c r="AN382" i="2"/>
  <c r="AY370" i="2" a="1"/>
  <c r="AY370" i="2" s="1"/>
  <c r="AO370" i="2" a="1"/>
  <c r="AO370" i="2" s="1"/>
  <c r="AN370" i="2"/>
  <c r="AY358" i="2" a="1"/>
  <c r="AY358" i="2" s="1"/>
  <c r="AO358" i="2" a="1"/>
  <c r="AO358" i="2" s="1"/>
  <c r="AN358" i="2"/>
  <c r="AY346" i="2" a="1"/>
  <c r="AY346" i="2" s="1"/>
  <c r="AO346" i="2" a="1"/>
  <c r="AO346" i="2" s="1"/>
  <c r="AN346" i="2"/>
  <c r="AY334" i="2" a="1"/>
  <c r="AY334" i="2" s="1"/>
  <c r="AO334" i="2" a="1"/>
  <c r="AO334" i="2" s="1"/>
  <c r="AN334" i="2"/>
  <c r="AY322" i="2" a="1"/>
  <c r="AY322" i="2" s="1"/>
  <c r="AO322" i="2" a="1"/>
  <c r="AO322" i="2" s="1"/>
  <c r="AN322" i="2"/>
  <c r="AY310" i="2" a="1"/>
  <c r="AY310" i="2" s="1"/>
  <c r="AO310" i="2" a="1"/>
  <c r="AO310" i="2" s="1"/>
  <c r="AN310" i="2"/>
  <c r="AY298" i="2" a="1"/>
  <c r="AY298" i="2" s="1"/>
  <c r="AO298" i="2" a="1"/>
  <c r="AO298" i="2" s="1"/>
  <c r="AN298" i="2"/>
  <c r="AY286" i="2" a="1"/>
  <c r="AY286" i="2" s="1"/>
  <c r="AO286" i="2" a="1"/>
  <c r="AO286" i="2" s="1"/>
  <c r="AN286" i="2"/>
  <c r="AY275" i="2" a="1"/>
  <c r="AY275" i="2" s="1"/>
  <c r="AO275" i="2" a="1"/>
  <c r="AO275" i="2" s="1"/>
  <c r="AN275" i="2"/>
  <c r="AY263" i="2" a="1"/>
  <c r="AY263" i="2" s="1"/>
  <c r="AO263" i="2" a="1"/>
  <c r="AO263" i="2" s="1"/>
  <c r="AN263" i="2"/>
  <c r="AY251" i="2" a="1"/>
  <c r="AY251" i="2" s="1"/>
  <c r="AO251" i="2" a="1"/>
  <c r="AO251" i="2" s="1"/>
  <c r="AN251" i="2"/>
  <c r="AY239" i="2" a="1"/>
  <c r="AY239" i="2" s="1"/>
  <c r="AO239" i="2" a="1"/>
  <c r="AO239" i="2" s="1"/>
  <c r="AN239" i="2"/>
  <c r="AY227" i="2" a="1"/>
  <c r="AY227" i="2" s="1"/>
  <c r="AO227" i="2" a="1"/>
  <c r="AO227" i="2" s="1"/>
  <c r="AN227" i="2"/>
  <c r="AY215" i="2" a="1"/>
  <c r="AY215" i="2" s="1"/>
  <c r="AO215" i="2" a="1"/>
  <c r="AO215" i="2" s="1"/>
  <c r="AN215" i="2"/>
  <c r="AY203" i="2" a="1"/>
  <c r="AY203" i="2" s="1"/>
  <c r="AO203" i="2" a="1"/>
  <c r="AO203" i="2" s="1"/>
  <c r="AN203" i="2"/>
  <c r="AY191" i="2" a="1"/>
  <c r="AY191" i="2" s="1"/>
  <c r="AO191" i="2" a="1"/>
  <c r="AO191" i="2" s="1"/>
  <c r="AN191" i="2"/>
  <c r="AY179" i="2" a="1"/>
  <c r="AY179" i="2" s="1"/>
  <c r="AO179" i="2" a="1"/>
  <c r="AO179" i="2" s="1"/>
  <c r="AN179" i="2"/>
  <c r="AY167" i="2" a="1"/>
  <c r="AY167" i="2" s="1"/>
  <c r="AO167" i="2" a="1"/>
  <c r="AO167" i="2" s="1"/>
  <c r="AN167" i="2"/>
  <c r="AY155" i="2" a="1"/>
  <c r="AY155" i="2" s="1"/>
  <c r="AO155" i="2" a="1"/>
  <c r="AO155" i="2" s="1"/>
  <c r="AN155" i="2"/>
  <c r="AY143" i="2" a="1"/>
  <c r="AY143" i="2" s="1"/>
  <c r="AO143" i="2" a="1"/>
  <c r="AO143" i="2" s="1"/>
  <c r="AN143" i="2"/>
  <c r="AY131" i="2" a="1"/>
  <c r="AY131" i="2" s="1"/>
  <c r="AO131" i="2" a="1"/>
  <c r="AO131" i="2" s="1"/>
  <c r="AN131" i="2"/>
  <c r="AY119" i="2" a="1"/>
  <c r="AY119" i="2" s="1"/>
  <c r="AO119" i="2" a="1"/>
  <c r="AO119" i="2" s="1"/>
  <c r="AN119" i="2"/>
  <c r="AY107" i="2" a="1"/>
  <c r="AY107" i="2" s="1"/>
  <c r="AO107" i="2" a="1"/>
  <c r="AO107" i="2" s="1"/>
  <c r="AN107" i="2"/>
  <c r="AY95" i="2" a="1"/>
  <c r="AY95" i="2" s="1"/>
  <c r="AO95" i="2" a="1"/>
  <c r="AO95" i="2" s="1"/>
  <c r="AN95" i="2"/>
  <c r="AY83" i="2" a="1"/>
  <c r="AY83" i="2" s="1"/>
  <c r="AO83" i="2" a="1"/>
  <c r="AO83" i="2" s="1"/>
  <c r="AN83" i="2"/>
  <c r="AY71" i="2" a="1"/>
  <c r="AY71" i="2" s="1"/>
  <c r="AO71" i="2" a="1"/>
  <c r="AO71" i="2" s="1"/>
  <c r="AN71" i="2"/>
  <c r="AY59" i="2" a="1"/>
  <c r="AY59" i="2" s="1"/>
  <c r="AO59" i="2" a="1"/>
  <c r="AO59" i="2" s="1"/>
  <c r="AN59" i="2"/>
  <c r="AY47" i="2" a="1"/>
  <c r="AY47" i="2" s="1"/>
  <c r="AN47" i="2"/>
  <c r="AO47" i="2" a="1"/>
  <c r="AO47" i="2" s="1"/>
  <c r="AY35" i="2" a="1"/>
  <c r="AY35" i="2" s="1"/>
  <c r="AO35" i="2" a="1"/>
  <c r="AO35" i="2" s="1"/>
  <c r="AN35" i="2"/>
  <c r="AY23" i="2" a="1"/>
  <c r="AY23" i="2" s="1"/>
  <c r="AO23" i="2" a="1"/>
  <c r="AO23" i="2" s="1"/>
  <c r="AN23" i="2"/>
  <c r="AY11" i="2" a="1"/>
  <c r="AY11" i="2" s="1"/>
  <c r="AO11" i="2" a="1"/>
  <c r="AO11" i="2" s="1"/>
  <c r="AN11" i="2"/>
  <c r="AY992" i="2" a="1"/>
  <c r="AY992" i="2" s="1"/>
  <c r="AO992" i="2" a="1"/>
  <c r="AO992" i="2" s="1"/>
  <c r="AN992" i="2"/>
  <c r="AY860" i="2" a="1"/>
  <c r="AY860" i="2" s="1"/>
  <c r="AO860" i="2" a="1"/>
  <c r="AO860" i="2" s="1"/>
  <c r="AN860" i="2"/>
  <c r="AY704" i="2" a="1"/>
  <c r="AY704" i="2" s="1"/>
  <c r="AO704" i="2" a="1"/>
  <c r="AO704" i="2" s="1"/>
  <c r="AN704" i="2"/>
  <c r="AY572" i="2" a="1"/>
  <c r="AY572" i="2" s="1"/>
  <c r="AN572" i="2"/>
  <c r="AO572" i="2" a="1"/>
  <c r="AO572" i="2" s="1"/>
  <c r="AY440" i="2" a="1"/>
  <c r="AY440" i="2" s="1"/>
  <c r="AN440" i="2"/>
  <c r="AO440" i="2" a="1"/>
  <c r="AO440" i="2" s="1"/>
  <c r="AY320" i="2" a="1"/>
  <c r="AY320" i="2" s="1"/>
  <c r="AN320" i="2"/>
  <c r="AO320" i="2" a="1"/>
  <c r="AO320" i="2" s="1"/>
  <c r="AY129" i="2" a="1"/>
  <c r="AY129" i="2" s="1"/>
  <c r="AO129" i="2" a="1"/>
  <c r="AO129" i="2" s="1"/>
  <c r="AN129" i="2"/>
  <c r="AS688" i="2" a="1"/>
  <c r="AS688" i="2" s="1"/>
  <c r="AW688" i="2" s="1"/>
  <c r="AR688" i="2"/>
  <c r="AT688" i="2" s="1"/>
  <c r="AP688" i="2"/>
  <c r="AY1089" i="2" a="1"/>
  <c r="AY1089" i="2" s="1"/>
  <c r="AO1089" i="2" a="1"/>
  <c r="AO1089" i="2" s="1"/>
  <c r="AN1089" i="2"/>
  <c r="AY1077" i="2" a="1"/>
  <c r="AY1077" i="2" s="1"/>
  <c r="AO1077" i="2" a="1"/>
  <c r="AO1077" i="2" s="1"/>
  <c r="AN1077" i="2"/>
  <c r="AY1065" i="2" a="1"/>
  <c r="AY1065" i="2" s="1"/>
  <c r="AO1065" i="2" a="1"/>
  <c r="AO1065" i="2" s="1"/>
  <c r="AN1065" i="2"/>
  <c r="AY1053" i="2" a="1"/>
  <c r="AY1053" i="2" s="1"/>
  <c r="AO1053" i="2" a="1"/>
  <c r="AO1053" i="2" s="1"/>
  <c r="AN1053" i="2"/>
  <c r="AY1041" i="2" a="1"/>
  <c r="AY1041" i="2" s="1"/>
  <c r="AO1041" i="2" a="1"/>
  <c r="AO1041" i="2" s="1"/>
  <c r="AN1041" i="2"/>
  <c r="AY1029" i="2" a="1"/>
  <c r="AY1029" i="2" s="1"/>
  <c r="AO1029" i="2" a="1"/>
  <c r="AO1029" i="2" s="1"/>
  <c r="AN1029" i="2"/>
  <c r="AY1017" i="2" a="1"/>
  <c r="AY1017" i="2" s="1"/>
  <c r="AO1017" i="2" a="1"/>
  <c r="AO1017" i="2" s="1"/>
  <c r="AN1017" i="2"/>
  <c r="AY1005" i="2" a="1"/>
  <c r="AY1005" i="2" s="1"/>
  <c r="AO1005" i="2" a="1"/>
  <c r="AO1005" i="2" s="1"/>
  <c r="AN1005" i="2"/>
  <c r="AY993" i="2" a="1"/>
  <c r="AY993" i="2" s="1"/>
  <c r="AO993" i="2" a="1"/>
  <c r="AO993" i="2" s="1"/>
  <c r="AN993" i="2"/>
  <c r="AY981" i="2" a="1"/>
  <c r="AY981" i="2" s="1"/>
  <c r="AO981" i="2" a="1"/>
  <c r="AO981" i="2" s="1"/>
  <c r="AN981" i="2"/>
  <c r="AY969" i="2" a="1"/>
  <c r="AY969" i="2" s="1"/>
  <c r="AO969" i="2" a="1"/>
  <c r="AO969" i="2" s="1"/>
  <c r="AN969" i="2"/>
  <c r="AY957" i="2" a="1"/>
  <c r="AY957" i="2" s="1"/>
  <c r="AO957" i="2" a="1"/>
  <c r="AO957" i="2" s="1"/>
  <c r="AN957" i="2"/>
  <c r="AY945" i="2" a="1"/>
  <c r="AY945" i="2" s="1"/>
  <c r="AO945" i="2" a="1"/>
  <c r="AO945" i="2" s="1"/>
  <c r="AN945" i="2"/>
  <c r="AY933" i="2" a="1"/>
  <c r="AY933" i="2" s="1"/>
  <c r="AO933" i="2" a="1"/>
  <c r="AO933" i="2" s="1"/>
  <c r="AN933" i="2"/>
  <c r="AY921" i="2" a="1"/>
  <c r="AY921" i="2" s="1"/>
  <c r="AO921" i="2" a="1"/>
  <c r="AO921" i="2" s="1"/>
  <c r="AN921" i="2"/>
  <c r="AY909" i="2" a="1"/>
  <c r="AY909" i="2" s="1"/>
  <c r="AO909" i="2" a="1"/>
  <c r="AO909" i="2" s="1"/>
  <c r="AN909" i="2"/>
  <c r="AY897" i="2" a="1"/>
  <c r="AY897" i="2" s="1"/>
  <c r="AO897" i="2" a="1"/>
  <c r="AO897" i="2" s="1"/>
  <c r="AN897" i="2"/>
  <c r="AY885" i="2" a="1"/>
  <c r="AY885" i="2" s="1"/>
  <c r="AO885" i="2" a="1"/>
  <c r="AO885" i="2" s="1"/>
  <c r="AN885" i="2"/>
  <c r="AY873" i="2" a="1"/>
  <c r="AY873" i="2" s="1"/>
  <c r="AO873" i="2" a="1"/>
  <c r="AO873" i="2" s="1"/>
  <c r="AN873" i="2"/>
  <c r="AY861" i="2" a="1"/>
  <c r="AY861" i="2" s="1"/>
  <c r="AO861" i="2" a="1"/>
  <c r="AO861" i="2" s="1"/>
  <c r="AN861" i="2"/>
  <c r="AY849" i="2" a="1"/>
  <c r="AY849" i="2" s="1"/>
  <c r="AO849" i="2" a="1"/>
  <c r="AO849" i="2" s="1"/>
  <c r="AN849" i="2"/>
  <c r="AY837" i="2" a="1"/>
  <c r="AY837" i="2" s="1"/>
  <c r="AO837" i="2" a="1"/>
  <c r="AO837" i="2" s="1"/>
  <c r="AN837" i="2"/>
  <c r="AY825" i="2" a="1"/>
  <c r="AY825" i="2" s="1"/>
  <c r="AO825" i="2" a="1"/>
  <c r="AO825" i="2" s="1"/>
  <c r="AN825" i="2"/>
  <c r="AY813" i="2" a="1"/>
  <c r="AY813" i="2" s="1"/>
  <c r="AO813" i="2" a="1"/>
  <c r="AO813" i="2" s="1"/>
  <c r="AN813" i="2"/>
  <c r="AY801" i="2" a="1"/>
  <c r="AY801" i="2" s="1"/>
  <c r="AO801" i="2" a="1"/>
  <c r="AO801" i="2" s="1"/>
  <c r="AN801" i="2"/>
  <c r="AY789" i="2" a="1"/>
  <c r="AY789" i="2" s="1"/>
  <c r="AO789" i="2" a="1"/>
  <c r="AO789" i="2" s="1"/>
  <c r="AN789" i="2"/>
  <c r="AY777" i="2" a="1"/>
  <c r="AY777" i="2" s="1"/>
  <c r="AO777" i="2" a="1"/>
  <c r="AO777" i="2" s="1"/>
  <c r="AN777" i="2"/>
  <c r="AY765" i="2" a="1"/>
  <c r="AY765" i="2" s="1"/>
  <c r="AO765" i="2" a="1"/>
  <c r="AO765" i="2" s="1"/>
  <c r="AN765" i="2"/>
  <c r="AY753" i="2" a="1"/>
  <c r="AY753" i="2" s="1"/>
  <c r="AO753" i="2" a="1"/>
  <c r="AO753" i="2" s="1"/>
  <c r="AN753" i="2"/>
  <c r="AY741" i="2" a="1"/>
  <c r="AY741" i="2" s="1"/>
  <c r="AO741" i="2" a="1"/>
  <c r="AO741" i="2" s="1"/>
  <c r="AN741" i="2"/>
  <c r="AY729" i="2" a="1"/>
  <c r="AY729" i="2" s="1"/>
  <c r="AO729" i="2" a="1"/>
  <c r="AO729" i="2" s="1"/>
  <c r="AN729" i="2"/>
  <c r="AY717" i="2" a="1"/>
  <c r="AY717" i="2" s="1"/>
  <c r="AO717" i="2" a="1"/>
  <c r="AO717" i="2" s="1"/>
  <c r="AN717" i="2"/>
  <c r="AY705" i="2" a="1"/>
  <c r="AY705" i="2" s="1"/>
  <c r="AO705" i="2" a="1"/>
  <c r="AO705" i="2" s="1"/>
  <c r="AN705" i="2"/>
  <c r="AY693" i="2" a="1"/>
  <c r="AY693" i="2" s="1"/>
  <c r="AO693" i="2" a="1"/>
  <c r="AO693" i="2" s="1"/>
  <c r="AN693" i="2"/>
  <c r="AY681" i="2" a="1"/>
  <c r="AY681" i="2" s="1"/>
  <c r="AO681" i="2" a="1"/>
  <c r="AO681" i="2" s="1"/>
  <c r="AN681" i="2"/>
  <c r="AY669" i="2" a="1"/>
  <c r="AY669" i="2" s="1"/>
  <c r="AO669" i="2" a="1"/>
  <c r="AO669" i="2" s="1"/>
  <c r="AN669" i="2"/>
  <c r="AY657" i="2" a="1"/>
  <c r="AY657" i="2" s="1"/>
  <c r="AO657" i="2" a="1"/>
  <c r="AO657" i="2" s="1"/>
  <c r="AN657" i="2"/>
  <c r="AY645" i="2" a="1"/>
  <c r="AY645" i="2" s="1"/>
  <c r="AO645" i="2" a="1"/>
  <c r="AO645" i="2" s="1"/>
  <c r="AN645" i="2"/>
  <c r="AY633" i="2" a="1"/>
  <c r="AY633" i="2" s="1"/>
  <c r="AO633" i="2" a="1"/>
  <c r="AO633" i="2" s="1"/>
  <c r="AN633" i="2"/>
  <c r="AY621" i="2" a="1"/>
  <c r="AY621" i="2" s="1"/>
  <c r="AO621" i="2" a="1"/>
  <c r="AO621" i="2" s="1"/>
  <c r="AN621" i="2"/>
  <c r="AY609" i="2" a="1"/>
  <c r="AY609" i="2" s="1"/>
  <c r="AO609" i="2" a="1"/>
  <c r="AO609" i="2" s="1"/>
  <c r="AN609" i="2"/>
  <c r="AY597" i="2" a="1"/>
  <c r="AY597" i="2" s="1"/>
  <c r="AO597" i="2" a="1"/>
  <c r="AO597" i="2" s="1"/>
  <c r="AN597" i="2"/>
  <c r="AY585" i="2" a="1"/>
  <c r="AY585" i="2" s="1"/>
  <c r="AO585" i="2" a="1"/>
  <c r="AO585" i="2" s="1"/>
  <c r="AN585" i="2"/>
  <c r="AY573" i="2" a="1"/>
  <c r="AY573" i="2" s="1"/>
  <c r="AO573" i="2" a="1"/>
  <c r="AO573" i="2" s="1"/>
  <c r="AN573" i="2"/>
  <c r="AY561" i="2" a="1"/>
  <c r="AY561" i="2" s="1"/>
  <c r="AO561" i="2" a="1"/>
  <c r="AO561" i="2" s="1"/>
  <c r="AN561" i="2"/>
  <c r="AY549" i="2" a="1"/>
  <c r="AY549" i="2" s="1"/>
  <c r="AO549" i="2" a="1"/>
  <c r="AO549" i="2" s="1"/>
  <c r="AN549" i="2"/>
  <c r="AY537" i="2" a="1"/>
  <c r="AY537" i="2" s="1"/>
  <c r="AO537" i="2" a="1"/>
  <c r="AO537" i="2" s="1"/>
  <c r="AN537" i="2"/>
  <c r="AY525" i="2" a="1"/>
  <c r="AY525" i="2" s="1"/>
  <c r="AO525" i="2" a="1"/>
  <c r="AO525" i="2" s="1"/>
  <c r="AN525" i="2"/>
  <c r="AY513" i="2" a="1"/>
  <c r="AY513" i="2" s="1"/>
  <c r="AO513" i="2" a="1"/>
  <c r="AO513" i="2" s="1"/>
  <c r="AN513" i="2"/>
  <c r="AY501" i="2" a="1"/>
  <c r="AY501" i="2" s="1"/>
  <c r="AO501" i="2" a="1"/>
  <c r="AO501" i="2" s="1"/>
  <c r="AN501" i="2"/>
  <c r="AY489" i="2" a="1"/>
  <c r="AY489" i="2" s="1"/>
  <c r="AO489" i="2" a="1"/>
  <c r="AO489" i="2" s="1"/>
  <c r="AN489" i="2"/>
  <c r="AY477" i="2" a="1"/>
  <c r="AY477" i="2" s="1"/>
  <c r="AO477" i="2" a="1"/>
  <c r="AO477" i="2" s="1"/>
  <c r="AN477" i="2"/>
  <c r="AY465" i="2" a="1"/>
  <c r="AY465" i="2" s="1"/>
  <c r="AO465" i="2" a="1"/>
  <c r="AO465" i="2" s="1"/>
  <c r="AN465" i="2"/>
  <c r="AY453" i="2" a="1"/>
  <c r="AY453" i="2" s="1"/>
  <c r="AO453" i="2" a="1"/>
  <c r="AO453" i="2" s="1"/>
  <c r="AN453" i="2"/>
  <c r="AY441" i="2" a="1"/>
  <c r="AY441" i="2" s="1"/>
  <c r="AO441" i="2" a="1"/>
  <c r="AO441" i="2" s="1"/>
  <c r="AN441" i="2"/>
  <c r="AY429" i="2" a="1"/>
  <c r="AY429" i="2" s="1"/>
  <c r="AO429" i="2" a="1"/>
  <c r="AO429" i="2" s="1"/>
  <c r="AN429" i="2"/>
  <c r="AY417" i="2" a="1"/>
  <c r="AY417" i="2" s="1"/>
  <c r="AO417" i="2" a="1"/>
  <c r="AO417" i="2" s="1"/>
  <c r="AN417" i="2"/>
  <c r="AY405" i="2" a="1"/>
  <c r="AY405" i="2" s="1"/>
  <c r="AO405" i="2" a="1"/>
  <c r="AO405" i="2" s="1"/>
  <c r="AN405" i="2"/>
  <c r="AY393" i="2" a="1"/>
  <c r="AY393" i="2" s="1"/>
  <c r="AO393" i="2" a="1"/>
  <c r="AO393" i="2" s="1"/>
  <c r="AN393" i="2"/>
  <c r="AY381" i="2" a="1"/>
  <c r="AY381" i="2" s="1"/>
  <c r="AN381" i="2"/>
  <c r="AO381" i="2" a="1"/>
  <c r="AO381" i="2" s="1"/>
  <c r="AY369" i="2" a="1"/>
  <c r="AY369" i="2" s="1"/>
  <c r="AO369" i="2" a="1"/>
  <c r="AO369" i="2" s="1"/>
  <c r="AN369" i="2"/>
  <c r="AY357" i="2" a="1"/>
  <c r="AY357" i="2" s="1"/>
  <c r="AO357" i="2" a="1"/>
  <c r="AO357" i="2" s="1"/>
  <c r="AN357" i="2"/>
  <c r="AY345" i="2" a="1"/>
  <c r="AY345" i="2" s="1"/>
  <c r="AO345" i="2" a="1"/>
  <c r="AO345" i="2" s="1"/>
  <c r="AN345" i="2"/>
  <c r="AY333" i="2" a="1"/>
  <c r="AY333" i="2" s="1"/>
  <c r="AO333" i="2" a="1"/>
  <c r="AO333" i="2" s="1"/>
  <c r="AN333" i="2"/>
  <c r="AY321" i="2" a="1"/>
  <c r="AY321" i="2" s="1"/>
  <c r="AO321" i="2" a="1"/>
  <c r="AO321" i="2" s="1"/>
  <c r="AN321" i="2"/>
  <c r="AY309" i="2" a="1"/>
  <c r="AY309" i="2" s="1"/>
  <c r="AO309" i="2" a="1"/>
  <c r="AO309" i="2" s="1"/>
  <c r="AN309" i="2"/>
  <c r="AY297" i="2" a="1"/>
  <c r="AY297" i="2" s="1"/>
  <c r="AO297" i="2" a="1"/>
  <c r="AO297" i="2" s="1"/>
  <c r="AN297" i="2"/>
  <c r="AY285" i="2" a="1"/>
  <c r="AY285" i="2" s="1"/>
  <c r="AO285" i="2" a="1"/>
  <c r="AO285" i="2" s="1"/>
  <c r="AN285" i="2"/>
  <c r="AY274" i="2" a="1"/>
  <c r="AY274" i="2" s="1"/>
  <c r="AO274" i="2" a="1"/>
  <c r="AO274" i="2" s="1"/>
  <c r="AN274" i="2"/>
  <c r="AY262" i="2" a="1"/>
  <c r="AY262" i="2" s="1"/>
  <c r="AO262" i="2" a="1"/>
  <c r="AO262" i="2" s="1"/>
  <c r="AN262" i="2"/>
  <c r="AY250" i="2" a="1"/>
  <c r="AY250" i="2" s="1"/>
  <c r="AN250" i="2"/>
  <c r="AO250" i="2" a="1"/>
  <c r="AO250" i="2" s="1"/>
  <c r="AY238" i="2" a="1"/>
  <c r="AY238" i="2" s="1"/>
  <c r="AO238" i="2" a="1"/>
  <c r="AO238" i="2" s="1"/>
  <c r="AN238" i="2"/>
  <c r="AY226" i="2" a="1"/>
  <c r="AY226" i="2" s="1"/>
  <c r="AO226" i="2" a="1"/>
  <c r="AO226" i="2" s="1"/>
  <c r="AN226" i="2"/>
  <c r="AY214" i="2" a="1"/>
  <c r="AY214" i="2" s="1"/>
  <c r="AO214" i="2" a="1"/>
  <c r="AO214" i="2" s="1"/>
  <c r="AN214" i="2"/>
  <c r="AY202" i="2" a="1"/>
  <c r="AY202" i="2" s="1"/>
  <c r="AO202" i="2" a="1"/>
  <c r="AO202" i="2" s="1"/>
  <c r="AN202" i="2"/>
  <c r="AY190" i="2" a="1"/>
  <c r="AY190" i="2" s="1"/>
  <c r="AO190" i="2" a="1"/>
  <c r="AO190" i="2" s="1"/>
  <c r="AN190" i="2"/>
  <c r="AY178" i="2" a="1"/>
  <c r="AY178" i="2" s="1"/>
  <c r="AO178" i="2" a="1"/>
  <c r="AO178" i="2" s="1"/>
  <c r="AN178" i="2"/>
  <c r="AY166" i="2" a="1"/>
  <c r="AY166" i="2" s="1"/>
  <c r="AN166" i="2"/>
  <c r="AO166" i="2" a="1"/>
  <c r="AO166" i="2" s="1"/>
  <c r="AY154" i="2" a="1"/>
  <c r="AY154" i="2" s="1"/>
  <c r="AO154" i="2" a="1"/>
  <c r="AO154" i="2" s="1"/>
  <c r="AN154" i="2"/>
  <c r="AY142" i="2" a="1"/>
  <c r="AY142" i="2" s="1"/>
  <c r="AO142" i="2" a="1"/>
  <c r="AO142" i="2" s="1"/>
  <c r="AN142" i="2"/>
  <c r="AY130" i="2" a="1"/>
  <c r="AY130" i="2" s="1"/>
  <c r="AO130" i="2" a="1"/>
  <c r="AO130" i="2" s="1"/>
  <c r="AN130" i="2"/>
  <c r="AY118" i="2" a="1"/>
  <c r="AY118" i="2" s="1"/>
  <c r="AO118" i="2" a="1"/>
  <c r="AO118" i="2" s="1"/>
  <c r="AN118" i="2"/>
  <c r="AY106" i="2" a="1"/>
  <c r="AY106" i="2" s="1"/>
  <c r="AO106" i="2" a="1"/>
  <c r="AO106" i="2" s="1"/>
  <c r="AN106" i="2"/>
  <c r="AY94" i="2" a="1"/>
  <c r="AY94" i="2" s="1"/>
  <c r="AO94" i="2" a="1"/>
  <c r="AO94" i="2" s="1"/>
  <c r="AN94" i="2"/>
  <c r="AY82" i="2" a="1"/>
  <c r="AY82" i="2" s="1"/>
  <c r="AO82" i="2" a="1"/>
  <c r="AO82" i="2" s="1"/>
  <c r="AN82" i="2"/>
  <c r="AY70" i="2" a="1"/>
  <c r="AY70" i="2" s="1"/>
  <c r="AO70" i="2" a="1"/>
  <c r="AO70" i="2" s="1"/>
  <c r="AN70" i="2"/>
  <c r="AY58" i="2" a="1"/>
  <c r="AY58" i="2" s="1"/>
  <c r="AO58" i="2" a="1"/>
  <c r="AO58" i="2" s="1"/>
  <c r="AN58" i="2"/>
  <c r="AY46" i="2" a="1"/>
  <c r="AY46" i="2" s="1"/>
  <c r="AN46" i="2"/>
  <c r="AO46" i="2" a="1"/>
  <c r="AO46" i="2" s="1"/>
  <c r="AY34" i="2" a="1"/>
  <c r="AY34" i="2" s="1"/>
  <c r="AO34" i="2" a="1"/>
  <c r="AO34" i="2" s="1"/>
  <c r="AN34" i="2"/>
  <c r="AY22" i="2" a="1"/>
  <c r="AY22" i="2" s="1"/>
  <c r="AO22" i="2" a="1"/>
  <c r="AO22" i="2" s="1"/>
  <c r="AN22" i="2"/>
  <c r="AY10" i="2" a="1"/>
  <c r="AY10" i="2" s="1"/>
  <c r="AN10" i="2"/>
  <c r="AO10" i="2" a="1"/>
  <c r="AO10" i="2" s="1"/>
  <c r="AY1016" i="2" a="1"/>
  <c r="AY1016" i="2" s="1"/>
  <c r="AO1016" i="2" a="1"/>
  <c r="AO1016" i="2" s="1"/>
  <c r="AN1016" i="2"/>
  <c r="AY920" i="2" a="1"/>
  <c r="AY920" i="2" s="1"/>
  <c r="AO920" i="2" a="1"/>
  <c r="AO920" i="2" s="1"/>
  <c r="AN920" i="2"/>
  <c r="AY812" i="2" a="1"/>
  <c r="AY812" i="2" s="1"/>
  <c r="AO812" i="2" a="1"/>
  <c r="AO812" i="2" s="1"/>
  <c r="AN812" i="2"/>
  <c r="AY716" i="2" a="1"/>
  <c r="AY716" i="2" s="1"/>
  <c r="AO716" i="2" a="1"/>
  <c r="AO716" i="2" s="1"/>
  <c r="AN716" i="2"/>
  <c r="AY584" i="2" a="1"/>
  <c r="AY584" i="2" s="1"/>
  <c r="AO584" i="2" a="1"/>
  <c r="AO584" i="2" s="1"/>
  <c r="AN584" i="2"/>
  <c r="AY476" i="2" a="1"/>
  <c r="AY476" i="2" s="1"/>
  <c r="AN476" i="2"/>
  <c r="AO476" i="2" a="1"/>
  <c r="AO476" i="2" s="1"/>
  <c r="AY368" i="2" a="1"/>
  <c r="AY368" i="2" s="1"/>
  <c r="AN368" i="2"/>
  <c r="AO368" i="2" a="1"/>
  <c r="AO368" i="2" s="1"/>
  <c r="AY284" i="2" a="1"/>
  <c r="AY284" i="2" s="1"/>
  <c r="AO284" i="2" a="1"/>
  <c r="AO284" i="2" s="1"/>
  <c r="AN284" i="2"/>
  <c r="AY201" i="2" a="1"/>
  <c r="AY201" i="2" s="1"/>
  <c r="AO201" i="2" a="1"/>
  <c r="AO201" i="2" s="1"/>
  <c r="AN201" i="2"/>
  <c r="AY117" i="2" a="1"/>
  <c r="AY117" i="2" s="1"/>
  <c r="AN117" i="2"/>
  <c r="AO117" i="2" a="1"/>
  <c r="AO117" i="2" s="1"/>
  <c r="AY33" i="2" a="1"/>
  <c r="AY33" i="2" s="1"/>
  <c r="AO33" i="2" a="1"/>
  <c r="AO33" i="2" s="1"/>
  <c r="AN33" i="2"/>
  <c r="AR1096" i="2"/>
  <c r="AT1096" i="2" s="1"/>
  <c r="AS1096" i="2" a="1"/>
  <c r="AS1096" i="2" s="1"/>
  <c r="AW1096" i="2" s="1"/>
  <c r="AP1096" i="2"/>
  <c r="AR1036" i="2"/>
  <c r="AT1036" i="2" s="1"/>
  <c r="AS1036" i="2" a="1"/>
  <c r="AS1036" i="2" s="1"/>
  <c r="AW1036" i="2" s="1"/>
  <c r="AP1036" i="2"/>
  <c r="AS988" i="2" a="1"/>
  <c r="AS988" i="2" s="1"/>
  <c r="AW988" i="2" s="1"/>
  <c r="AR988" i="2"/>
  <c r="AT988" i="2" s="1"/>
  <c r="AP988" i="2"/>
  <c r="AS928" i="2" a="1"/>
  <c r="AS928" i="2" s="1"/>
  <c r="AW928" i="2" s="1"/>
  <c r="AR928" i="2"/>
  <c r="AT928" i="2" s="1"/>
  <c r="AP928" i="2"/>
  <c r="AS880" i="2" a="1"/>
  <c r="AS880" i="2" s="1"/>
  <c r="AW880" i="2" s="1"/>
  <c r="AR880" i="2"/>
  <c r="AT880" i="2" s="1"/>
  <c r="AP880" i="2"/>
  <c r="AR820" i="2"/>
  <c r="AT820" i="2" s="1"/>
  <c r="AS820" i="2" a="1"/>
  <c r="AS820" i="2" s="1"/>
  <c r="AW820" i="2" s="1"/>
  <c r="AP820" i="2"/>
  <c r="AS760" i="2" a="1"/>
  <c r="AS760" i="2" s="1"/>
  <c r="AW760" i="2" s="1"/>
  <c r="AR760" i="2"/>
  <c r="AT760" i="2" s="1"/>
  <c r="AP760" i="2"/>
  <c r="AS712" i="2" a="1"/>
  <c r="AS712" i="2" s="1"/>
  <c r="AW712" i="2" s="1"/>
  <c r="AR712" i="2"/>
  <c r="AT712" i="2" s="1"/>
  <c r="AP712" i="2"/>
  <c r="AR652" i="2"/>
  <c r="AT652" i="2" s="1"/>
  <c r="AS652" i="2" a="1"/>
  <c r="AS652" i="2" s="1"/>
  <c r="AW652" i="2" s="1"/>
  <c r="AP652" i="2"/>
  <c r="AS604" i="2" a="1"/>
  <c r="AS604" i="2" s="1"/>
  <c r="AW604" i="2" s="1"/>
  <c r="AP604" i="2"/>
  <c r="AR604" i="2"/>
  <c r="AT604" i="2" s="1"/>
  <c r="AS568" i="2" a="1"/>
  <c r="AS568" i="2" s="1"/>
  <c r="AW568" i="2" s="1"/>
  <c r="AR568" i="2"/>
  <c r="AT568" i="2" s="1"/>
  <c r="AP568" i="2"/>
  <c r="AS532" i="2" a="1"/>
  <c r="AS532" i="2" s="1"/>
  <c r="AW532" i="2" s="1"/>
  <c r="AR532" i="2"/>
  <c r="AT532" i="2" s="1"/>
  <c r="AP532" i="2"/>
  <c r="AR472" i="2"/>
  <c r="AT472" i="2" s="1"/>
  <c r="AS472" i="2" a="1"/>
  <c r="AS472" i="2" s="1"/>
  <c r="AW472" i="2" s="1"/>
  <c r="AP472" i="2"/>
  <c r="AR448" i="2"/>
  <c r="AT448" i="2" s="1"/>
  <c r="AP448" i="2"/>
  <c r="AS448" i="2" a="1"/>
  <c r="AS448" i="2" s="1"/>
  <c r="AW448" i="2" s="1"/>
  <c r="AS400" i="2" a="1"/>
  <c r="AS400" i="2" s="1"/>
  <c r="AW400" i="2" s="1"/>
  <c r="AR400" i="2"/>
  <c r="AT400" i="2" s="1"/>
  <c r="AP400" i="2"/>
  <c r="AS376" i="2" a="1"/>
  <c r="AS376" i="2" s="1"/>
  <c r="AW376" i="2" s="1"/>
  <c r="AP376" i="2"/>
  <c r="AR376" i="2"/>
  <c r="AT376" i="2" s="1"/>
  <c r="AR328" i="2"/>
  <c r="AT328" i="2" s="1"/>
  <c r="AS328" i="2" a="1"/>
  <c r="AS328" i="2" s="1"/>
  <c r="AW328" i="2" s="1"/>
  <c r="AP328" i="2"/>
  <c r="AS269" i="2" a="1"/>
  <c r="AS269" i="2" s="1"/>
  <c r="AW269" i="2" s="1"/>
  <c r="AP269" i="2"/>
  <c r="AR269" i="2"/>
  <c r="AT269" i="2" s="1"/>
  <c r="AS209" i="2" a="1"/>
  <c r="AS209" i="2" s="1"/>
  <c r="AW209" i="2" s="1"/>
  <c r="AP209" i="2"/>
  <c r="AR209" i="2"/>
  <c r="AT209" i="2" s="1"/>
  <c r="AS161" i="2" a="1"/>
  <c r="AS161" i="2" s="1"/>
  <c r="AW161" i="2" s="1"/>
  <c r="AR161" i="2"/>
  <c r="AT161" i="2" s="1"/>
  <c r="AP161" i="2"/>
  <c r="AR101" i="2"/>
  <c r="AT101" i="2" s="1"/>
  <c r="AP101" i="2"/>
  <c r="AS101" i="2" a="1"/>
  <c r="AS101" i="2" s="1"/>
  <c r="AW101" i="2" s="1"/>
  <c r="AS77" i="2" a="1"/>
  <c r="AS77" i="2" s="1"/>
  <c r="AW77" i="2" s="1"/>
  <c r="AR77" i="2"/>
  <c r="AT77" i="2" s="1"/>
  <c r="AP77" i="2"/>
  <c r="AR29" i="2"/>
  <c r="AT29" i="2" s="1"/>
  <c r="AS29" i="2" a="1"/>
  <c r="AS29" i="2" s="1"/>
  <c r="AW29" i="2" s="1"/>
  <c r="AP29" i="2"/>
  <c r="AU1086" i="2"/>
  <c r="AV1086" i="2"/>
  <c r="AU1050" i="2"/>
  <c r="AV1050" i="2"/>
  <c r="AU1014" i="2"/>
  <c r="AV1014" i="2"/>
  <c r="AU966" i="2"/>
  <c r="AV966" i="2"/>
  <c r="AU930" i="2"/>
  <c r="AV930" i="2"/>
  <c r="AU882" i="2"/>
  <c r="AV882" i="2"/>
  <c r="AU846" i="2"/>
  <c r="AV846" i="2"/>
  <c r="AV810" i="2"/>
  <c r="AU810" i="2"/>
  <c r="AU774" i="2"/>
  <c r="AV774" i="2"/>
  <c r="AV738" i="2"/>
  <c r="AU738" i="2"/>
  <c r="AU702" i="2"/>
  <c r="AV702" i="2"/>
  <c r="AV666" i="2"/>
  <c r="AU666" i="2"/>
  <c r="AU630" i="2"/>
  <c r="AV630" i="2"/>
  <c r="AU582" i="2"/>
  <c r="AV582" i="2"/>
  <c r="AU534" i="2"/>
  <c r="AV534" i="2"/>
  <c r="AV498" i="2"/>
  <c r="AU498" i="2"/>
  <c r="AV462" i="2"/>
  <c r="AU462" i="2"/>
  <c r="AV402" i="2"/>
  <c r="AU402" i="2"/>
  <c r="AU342" i="2"/>
  <c r="AV342" i="2"/>
  <c r="AU271" i="2"/>
  <c r="AV271" i="2"/>
  <c r="AV79" i="2"/>
  <c r="AU79" i="2"/>
  <c r="AY1099" i="2" a="1"/>
  <c r="AY1099" i="2" s="1"/>
  <c r="AO1099" i="2" a="1"/>
  <c r="AO1099" i="2" s="1"/>
  <c r="AN1099" i="2"/>
  <c r="AY1087" i="2" a="1"/>
  <c r="AY1087" i="2" s="1"/>
  <c r="AO1087" i="2" a="1"/>
  <c r="AO1087" i="2" s="1"/>
  <c r="AN1087" i="2"/>
  <c r="AY1075" i="2" a="1"/>
  <c r="AY1075" i="2" s="1"/>
  <c r="AO1075" i="2" a="1"/>
  <c r="AO1075" i="2" s="1"/>
  <c r="AN1075" i="2"/>
  <c r="AY1063" i="2" a="1"/>
  <c r="AY1063" i="2" s="1"/>
  <c r="AO1063" i="2" a="1"/>
  <c r="AO1063" i="2" s="1"/>
  <c r="AN1063" i="2"/>
  <c r="AY1051" i="2" a="1"/>
  <c r="AY1051" i="2" s="1"/>
  <c r="AO1051" i="2" a="1"/>
  <c r="AO1051" i="2" s="1"/>
  <c r="AN1051" i="2"/>
  <c r="AY1039" i="2" a="1"/>
  <c r="AY1039" i="2" s="1"/>
  <c r="AO1039" i="2" a="1"/>
  <c r="AO1039" i="2" s="1"/>
  <c r="AN1039" i="2"/>
  <c r="AY1027" i="2" a="1"/>
  <c r="AY1027" i="2" s="1"/>
  <c r="AO1027" i="2" a="1"/>
  <c r="AO1027" i="2" s="1"/>
  <c r="AN1027" i="2"/>
  <c r="AY1015" i="2" a="1"/>
  <c r="AY1015" i="2" s="1"/>
  <c r="AO1015" i="2" a="1"/>
  <c r="AO1015" i="2" s="1"/>
  <c r="AN1015" i="2"/>
  <c r="AY1003" i="2" a="1"/>
  <c r="AY1003" i="2" s="1"/>
  <c r="AO1003" i="2" a="1"/>
  <c r="AO1003" i="2" s="1"/>
  <c r="AN1003" i="2"/>
  <c r="AY991" i="2" a="1"/>
  <c r="AY991" i="2" s="1"/>
  <c r="AO991" i="2" a="1"/>
  <c r="AO991" i="2" s="1"/>
  <c r="AN991" i="2"/>
  <c r="AY979" i="2" a="1"/>
  <c r="AY979" i="2" s="1"/>
  <c r="AO979" i="2" a="1"/>
  <c r="AO979" i="2" s="1"/>
  <c r="AN979" i="2"/>
  <c r="AY967" i="2" a="1"/>
  <c r="AY967" i="2" s="1"/>
  <c r="AO967" i="2" a="1"/>
  <c r="AO967" i="2" s="1"/>
  <c r="AN967" i="2"/>
  <c r="AY955" i="2" a="1"/>
  <c r="AY955" i="2" s="1"/>
  <c r="AO955" i="2" a="1"/>
  <c r="AO955" i="2" s="1"/>
  <c r="AN955" i="2"/>
  <c r="AY943" i="2" a="1"/>
  <c r="AY943" i="2" s="1"/>
  <c r="AO943" i="2" a="1"/>
  <c r="AO943" i="2" s="1"/>
  <c r="AN943" i="2"/>
  <c r="AY931" i="2" a="1"/>
  <c r="AY931" i="2" s="1"/>
  <c r="AO931" i="2" a="1"/>
  <c r="AO931" i="2" s="1"/>
  <c r="AN931" i="2"/>
  <c r="AY919" i="2" a="1"/>
  <c r="AY919" i="2" s="1"/>
  <c r="AO919" i="2" a="1"/>
  <c r="AO919" i="2" s="1"/>
  <c r="AN919" i="2"/>
  <c r="AY907" i="2" a="1"/>
  <c r="AY907" i="2" s="1"/>
  <c r="AO907" i="2" a="1"/>
  <c r="AO907" i="2" s="1"/>
  <c r="AN907" i="2"/>
  <c r="AY895" i="2" a="1"/>
  <c r="AY895" i="2" s="1"/>
  <c r="AO895" i="2" a="1"/>
  <c r="AO895" i="2" s="1"/>
  <c r="AN895" i="2"/>
  <c r="AY883" i="2" a="1"/>
  <c r="AY883" i="2" s="1"/>
  <c r="AO883" i="2" a="1"/>
  <c r="AO883" i="2" s="1"/>
  <c r="AN883" i="2"/>
  <c r="AY871" i="2" a="1"/>
  <c r="AY871" i="2" s="1"/>
  <c r="AO871" i="2" a="1"/>
  <c r="AO871" i="2" s="1"/>
  <c r="AN871" i="2"/>
  <c r="AY859" i="2" a="1"/>
  <c r="AY859" i="2" s="1"/>
  <c r="AO859" i="2" a="1"/>
  <c r="AO859" i="2" s="1"/>
  <c r="AN859" i="2"/>
  <c r="AY847" i="2" a="1"/>
  <c r="AY847" i="2" s="1"/>
  <c r="AO847" i="2" a="1"/>
  <c r="AO847" i="2" s="1"/>
  <c r="AN847" i="2"/>
  <c r="AY835" i="2" a="1"/>
  <c r="AY835" i="2" s="1"/>
  <c r="AO835" i="2" a="1"/>
  <c r="AO835" i="2" s="1"/>
  <c r="AN835" i="2"/>
  <c r="AY823" i="2" a="1"/>
  <c r="AY823" i="2" s="1"/>
  <c r="AO823" i="2" a="1"/>
  <c r="AO823" i="2" s="1"/>
  <c r="AN823" i="2"/>
  <c r="AY811" i="2" a="1"/>
  <c r="AY811" i="2" s="1"/>
  <c r="AO811" i="2" a="1"/>
  <c r="AO811" i="2" s="1"/>
  <c r="AN811" i="2"/>
  <c r="AY799" i="2" a="1"/>
  <c r="AY799" i="2" s="1"/>
  <c r="AO799" i="2" a="1"/>
  <c r="AO799" i="2" s="1"/>
  <c r="AN799" i="2"/>
  <c r="AY787" i="2" a="1"/>
  <c r="AY787" i="2" s="1"/>
  <c r="AO787" i="2" a="1"/>
  <c r="AO787" i="2" s="1"/>
  <c r="AN787" i="2"/>
  <c r="AY775" i="2" a="1"/>
  <c r="AY775" i="2" s="1"/>
  <c r="AO775" i="2" a="1"/>
  <c r="AO775" i="2" s="1"/>
  <c r="AN775" i="2"/>
  <c r="AY763" i="2" a="1"/>
  <c r="AY763" i="2" s="1"/>
  <c r="AO763" i="2" a="1"/>
  <c r="AO763" i="2" s="1"/>
  <c r="AN763" i="2"/>
  <c r="AY751" i="2" a="1"/>
  <c r="AY751" i="2" s="1"/>
  <c r="AO751" i="2" a="1"/>
  <c r="AO751" i="2" s="1"/>
  <c r="AN751" i="2"/>
  <c r="AY739" i="2" a="1"/>
  <c r="AY739" i="2" s="1"/>
  <c r="AO739" i="2" a="1"/>
  <c r="AO739" i="2" s="1"/>
  <c r="AN739" i="2"/>
  <c r="AY727" i="2" a="1"/>
  <c r="AY727" i="2" s="1"/>
  <c r="AO727" i="2" a="1"/>
  <c r="AO727" i="2" s="1"/>
  <c r="AN727" i="2"/>
  <c r="AY715" i="2" a="1"/>
  <c r="AY715" i="2" s="1"/>
  <c r="AO715" i="2" a="1"/>
  <c r="AO715" i="2" s="1"/>
  <c r="AN715" i="2"/>
  <c r="AY703" i="2" a="1"/>
  <c r="AY703" i="2" s="1"/>
  <c r="AO703" i="2" a="1"/>
  <c r="AO703" i="2" s="1"/>
  <c r="AN703" i="2"/>
  <c r="AY691" i="2" a="1"/>
  <c r="AY691" i="2" s="1"/>
  <c r="AO691" i="2" a="1"/>
  <c r="AO691" i="2" s="1"/>
  <c r="AN691" i="2"/>
  <c r="AY679" i="2" a="1"/>
  <c r="AY679" i="2" s="1"/>
  <c r="AO679" i="2" a="1"/>
  <c r="AO679" i="2" s="1"/>
  <c r="AN679" i="2"/>
  <c r="AY667" i="2" a="1"/>
  <c r="AY667" i="2" s="1"/>
  <c r="AO667" i="2" a="1"/>
  <c r="AO667" i="2" s="1"/>
  <c r="AN667" i="2"/>
  <c r="AY655" i="2" a="1"/>
  <c r="AY655" i="2" s="1"/>
  <c r="AO655" i="2" a="1"/>
  <c r="AO655" i="2" s="1"/>
  <c r="AN655" i="2"/>
  <c r="AY643" i="2" a="1"/>
  <c r="AY643" i="2" s="1"/>
  <c r="AO643" i="2" a="1"/>
  <c r="AO643" i="2" s="1"/>
  <c r="AN643" i="2"/>
  <c r="AY980" i="2" a="1"/>
  <c r="AY980" i="2" s="1"/>
  <c r="AO980" i="2" a="1"/>
  <c r="AO980" i="2" s="1"/>
  <c r="AN980" i="2"/>
  <c r="AY848" i="2" a="1"/>
  <c r="AY848" i="2" s="1"/>
  <c r="AO848" i="2" a="1"/>
  <c r="AO848" i="2" s="1"/>
  <c r="AN848" i="2"/>
  <c r="AY728" i="2" a="1"/>
  <c r="AY728" i="2" s="1"/>
  <c r="AO728" i="2" a="1"/>
  <c r="AO728" i="2" s="1"/>
  <c r="AN728" i="2"/>
  <c r="AY608" i="2" a="1"/>
  <c r="AY608" i="2" s="1"/>
  <c r="AO608" i="2" a="1"/>
  <c r="AO608" i="2" s="1"/>
  <c r="AN608" i="2"/>
  <c r="AY488" i="2" a="1"/>
  <c r="AY488" i="2" s="1"/>
  <c r="AN488" i="2"/>
  <c r="AO488" i="2" a="1"/>
  <c r="AO488" i="2" s="1"/>
  <c r="AY392" i="2" a="1"/>
  <c r="AY392" i="2" s="1"/>
  <c r="AN392" i="2"/>
  <c r="AO392" i="2" a="1"/>
  <c r="AO392" i="2" s="1"/>
  <c r="AY308" i="2" a="1"/>
  <c r="AY308" i="2" s="1"/>
  <c r="AO308" i="2" a="1"/>
  <c r="AO308" i="2" s="1"/>
  <c r="AN308" i="2"/>
  <c r="AY213" i="2" a="1"/>
  <c r="AY213" i="2" s="1"/>
  <c r="AO213" i="2" a="1"/>
  <c r="AO213" i="2" s="1"/>
  <c r="AN213" i="2"/>
  <c r="AY177" i="2" a="1"/>
  <c r="AY177" i="2" s="1"/>
  <c r="AN177" i="2"/>
  <c r="AO177" i="2" a="1"/>
  <c r="AO177" i="2" s="1"/>
  <c r="AY57" i="2" a="1"/>
  <c r="AY57" i="2" s="1"/>
  <c r="AN57" i="2"/>
  <c r="AO57" i="2" a="1"/>
  <c r="AO57" i="2" s="1"/>
  <c r="AY9" i="2" a="1"/>
  <c r="AY9" i="2" s="1"/>
  <c r="AN9" i="2"/>
  <c r="AO9" i="2" a="1"/>
  <c r="AO9" i="2" s="1"/>
  <c r="AS1084" i="2" a="1"/>
  <c r="AS1084" i="2" s="1"/>
  <c r="AW1084" i="2" s="1"/>
  <c r="AR1084" i="2"/>
  <c r="AT1084" i="2" s="1"/>
  <c r="AP1084" i="2"/>
  <c r="AR1012" i="2"/>
  <c r="AT1012" i="2" s="1"/>
  <c r="AS1012" i="2" a="1"/>
  <c r="AS1012" i="2" s="1"/>
  <c r="AW1012" i="2" s="1"/>
  <c r="AP1012" i="2"/>
  <c r="AR916" i="2"/>
  <c r="AT916" i="2" s="1"/>
  <c r="AS916" i="2" a="1"/>
  <c r="AS916" i="2" s="1"/>
  <c r="AW916" i="2" s="1"/>
  <c r="AP916" i="2"/>
  <c r="AS844" i="2" a="1"/>
  <c r="AS844" i="2" s="1"/>
  <c r="AW844" i="2" s="1"/>
  <c r="AR844" i="2"/>
  <c r="AT844" i="2" s="1"/>
  <c r="AP844" i="2"/>
  <c r="AR796" i="2"/>
  <c r="AT796" i="2" s="1"/>
  <c r="AS796" i="2" a="1"/>
  <c r="AS796" i="2" s="1"/>
  <c r="AW796" i="2" s="1"/>
  <c r="AP796" i="2"/>
  <c r="AS736" i="2" a="1"/>
  <c r="AS736" i="2" s="1"/>
  <c r="AW736" i="2" s="1"/>
  <c r="AR736" i="2"/>
  <c r="AT736" i="2" s="1"/>
  <c r="AP736" i="2"/>
  <c r="AS628" i="2" a="1"/>
  <c r="AS628" i="2" s="1"/>
  <c r="AW628" i="2" s="1"/>
  <c r="AR628" i="2"/>
  <c r="AT628" i="2" s="1"/>
  <c r="AP628" i="2"/>
  <c r="AS580" i="2" a="1"/>
  <c r="AS580" i="2" s="1"/>
  <c r="AW580" i="2" s="1"/>
  <c r="AR580" i="2"/>
  <c r="AT580" i="2" s="1"/>
  <c r="AP580" i="2"/>
  <c r="AS520" i="2" a="1"/>
  <c r="AS520" i="2" s="1"/>
  <c r="AW520" i="2" s="1"/>
  <c r="AR520" i="2"/>
  <c r="AT520" i="2" s="1"/>
  <c r="AP520" i="2"/>
  <c r="AR460" i="2"/>
  <c r="AT460" i="2" s="1"/>
  <c r="AS460" i="2" a="1"/>
  <c r="AS460" i="2" s="1"/>
  <c r="AW460" i="2" s="1"/>
  <c r="AP460" i="2"/>
  <c r="AS424" i="2" a="1"/>
  <c r="AS424" i="2" s="1"/>
  <c r="AW424" i="2" s="1"/>
  <c r="AR424" i="2"/>
  <c r="AT424" i="2" s="1"/>
  <c r="AP424" i="2"/>
  <c r="AS364" i="2" a="1"/>
  <c r="AS364" i="2" s="1"/>
  <c r="AW364" i="2" s="1"/>
  <c r="AR364" i="2"/>
  <c r="AT364" i="2" s="1"/>
  <c r="AP364" i="2"/>
  <c r="AS316" i="2" a="1"/>
  <c r="AS316" i="2" s="1"/>
  <c r="AW316" i="2" s="1"/>
  <c r="AR316" i="2"/>
  <c r="AT316" i="2" s="1"/>
  <c r="AP316" i="2"/>
  <c r="AS245" i="2" a="1"/>
  <c r="AS245" i="2" s="1"/>
  <c r="AW245" i="2" s="1"/>
  <c r="AR245" i="2"/>
  <c r="AT245" i="2" s="1"/>
  <c r="AP245" i="2"/>
  <c r="AR185" i="2"/>
  <c r="AT185" i="2" s="1"/>
  <c r="AS185" i="2" a="1"/>
  <c r="AS185" i="2" s="1"/>
  <c r="AW185" i="2" s="1"/>
  <c r="AP185" i="2"/>
  <c r="AS137" i="2" a="1"/>
  <c r="AS137" i="2" s="1"/>
  <c r="AW137" i="2" s="1"/>
  <c r="AR137" i="2"/>
  <c r="AT137" i="2" s="1"/>
  <c r="AP137" i="2"/>
  <c r="AR53" i="2"/>
  <c r="AT53" i="2" s="1"/>
  <c r="AS53" i="2" a="1"/>
  <c r="AS53" i="2" s="1"/>
  <c r="AW53" i="2" s="1"/>
  <c r="AP53" i="2"/>
  <c r="AU906" i="2"/>
  <c r="AV906" i="2"/>
  <c r="AU354" i="2"/>
  <c r="AV354" i="2"/>
  <c r="AV306" i="2"/>
  <c r="AU306" i="2"/>
  <c r="AV235" i="2"/>
  <c r="AU235" i="2"/>
  <c r="AV175" i="2"/>
  <c r="AU175" i="2"/>
  <c r="AV115" i="2"/>
  <c r="AU115" i="2"/>
  <c r="AV31" i="2"/>
  <c r="AU31" i="2"/>
  <c r="AY1098" i="2" a="1"/>
  <c r="AY1098" i="2" s="1"/>
  <c r="AO1098" i="2" a="1"/>
  <c r="AO1098" i="2" s="1"/>
  <c r="AN1098" i="2"/>
  <c r="AY1086" i="2" a="1"/>
  <c r="AY1086" i="2" s="1"/>
  <c r="AO1086" i="2" a="1"/>
  <c r="AO1086" i="2" s="1"/>
  <c r="AN1086" i="2"/>
  <c r="AY1074" i="2" a="1"/>
  <c r="AY1074" i="2" s="1"/>
  <c r="AO1074" i="2" a="1"/>
  <c r="AO1074" i="2" s="1"/>
  <c r="AN1074" i="2"/>
  <c r="AY1062" i="2" a="1"/>
  <c r="AY1062" i="2" s="1"/>
  <c r="AO1062" i="2" a="1"/>
  <c r="AO1062" i="2" s="1"/>
  <c r="AN1062" i="2"/>
  <c r="AY1050" i="2" a="1"/>
  <c r="AY1050" i="2" s="1"/>
  <c r="AO1050" i="2" a="1"/>
  <c r="AO1050" i="2" s="1"/>
  <c r="AN1050" i="2"/>
  <c r="AY1038" i="2" a="1"/>
  <c r="AY1038" i="2" s="1"/>
  <c r="AO1038" i="2" a="1"/>
  <c r="AO1038" i="2" s="1"/>
  <c r="AN1038" i="2"/>
  <c r="AY1026" i="2" a="1"/>
  <c r="AY1026" i="2" s="1"/>
  <c r="AO1026" i="2" a="1"/>
  <c r="AO1026" i="2" s="1"/>
  <c r="AN1026" i="2"/>
  <c r="AY1014" i="2" a="1"/>
  <c r="AY1014" i="2" s="1"/>
  <c r="AO1014" i="2" a="1"/>
  <c r="AO1014" i="2" s="1"/>
  <c r="AN1014" i="2"/>
  <c r="AY1002" i="2" a="1"/>
  <c r="AY1002" i="2" s="1"/>
  <c r="AO1002" i="2" a="1"/>
  <c r="AO1002" i="2" s="1"/>
  <c r="AN1002" i="2"/>
  <c r="AY990" i="2" a="1"/>
  <c r="AY990" i="2" s="1"/>
  <c r="AO990" i="2" a="1"/>
  <c r="AO990" i="2" s="1"/>
  <c r="AN990" i="2"/>
  <c r="AY978" i="2" a="1"/>
  <c r="AY978" i="2" s="1"/>
  <c r="AO978" i="2" a="1"/>
  <c r="AO978" i="2" s="1"/>
  <c r="AN978" i="2"/>
  <c r="AY966" i="2" a="1"/>
  <c r="AY966" i="2" s="1"/>
  <c r="AO966" i="2" a="1"/>
  <c r="AO966" i="2" s="1"/>
  <c r="AN966" i="2"/>
  <c r="AY954" i="2" a="1"/>
  <c r="AY954" i="2" s="1"/>
  <c r="AO954" i="2" a="1"/>
  <c r="AO954" i="2" s="1"/>
  <c r="AN954" i="2"/>
  <c r="AY942" i="2" a="1"/>
  <c r="AY942" i="2" s="1"/>
  <c r="AO942" i="2" a="1"/>
  <c r="AO942" i="2" s="1"/>
  <c r="AN942" i="2"/>
  <c r="AY930" i="2" a="1"/>
  <c r="AY930" i="2" s="1"/>
  <c r="AO930" i="2" a="1"/>
  <c r="AO930" i="2" s="1"/>
  <c r="AN930" i="2"/>
  <c r="AY918" i="2" a="1"/>
  <c r="AY918" i="2" s="1"/>
  <c r="AO918" i="2" a="1"/>
  <c r="AO918" i="2" s="1"/>
  <c r="AN918" i="2"/>
  <c r="AY906" i="2" a="1"/>
  <c r="AY906" i="2" s="1"/>
  <c r="AO906" i="2" a="1"/>
  <c r="AO906" i="2" s="1"/>
  <c r="AN906" i="2"/>
  <c r="AY894" i="2" a="1"/>
  <c r="AY894" i="2" s="1"/>
  <c r="AO894" i="2" a="1"/>
  <c r="AO894" i="2" s="1"/>
  <c r="AN894" i="2"/>
  <c r="AY882" i="2" a="1"/>
  <c r="AY882" i="2" s="1"/>
  <c r="AO882" i="2" a="1"/>
  <c r="AO882" i="2" s="1"/>
  <c r="AN882" i="2"/>
  <c r="AY870" i="2" a="1"/>
  <c r="AY870" i="2" s="1"/>
  <c r="AO870" i="2" a="1"/>
  <c r="AO870" i="2" s="1"/>
  <c r="AN870" i="2"/>
  <c r="AY858" i="2" a="1"/>
  <c r="AY858" i="2" s="1"/>
  <c r="AO858" i="2" a="1"/>
  <c r="AO858" i="2" s="1"/>
  <c r="AN858" i="2"/>
  <c r="AY846" i="2" a="1"/>
  <c r="AY846" i="2" s="1"/>
  <c r="AO846" i="2" a="1"/>
  <c r="AO846" i="2" s="1"/>
  <c r="AN846" i="2"/>
  <c r="AY834" i="2" a="1"/>
  <c r="AY834" i="2" s="1"/>
  <c r="AO834" i="2" a="1"/>
  <c r="AO834" i="2" s="1"/>
  <c r="AN834" i="2"/>
  <c r="AY822" i="2" a="1"/>
  <c r="AY822" i="2" s="1"/>
  <c r="AO822" i="2" a="1"/>
  <c r="AO822" i="2" s="1"/>
  <c r="AN822" i="2"/>
  <c r="AY810" i="2" a="1"/>
  <c r="AY810" i="2" s="1"/>
  <c r="AO810" i="2" a="1"/>
  <c r="AO810" i="2" s="1"/>
  <c r="AN810" i="2"/>
  <c r="AY798" i="2" a="1"/>
  <c r="AY798" i="2" s="1"/>
  <c r="AO798" i="2" a="1"/>
  <c r="AO798" i="2" s="1"/>
  <c r="AN798" i="2"/>
  <c r="AY786" i="2" a="1"/>
  <c r="AY786" i="2" s="1"/>
  <c r="AO786" i="2" a="1"/>
  <c r="AO786" i="2" s="1"/>
  <c r="AN786" i="2"/>
  <c r="AY774" i="2" a="1"/>
  <c r="AY774" i="2" s="1"/>
  <c r="AO774" i="2" a="1"/>
  <c r="AO774" i="2" s="1"/>
  <c r="AN774" i="2"/>
  <c r="AY762" i="2" a="1"/>
  <c r="AY762" i="2" s="1"/>
  <c r="AO762" i="2" a="1"/>
  <c r="AO762" i="2" s="1"/>
  <c r="AN762" i="2"/>
  <c r="AY750" i="2" a="1"/>
  <c r="AY750" i="2" s="1"/>
  <c r="AO750" i="2" a="1"/>
  <c r="AO750" i="2" s="1"/>
  <c r="AN750" i="2"/>
  <c r="AY738" i="2" a="1"/>
  <c r="AY738" i="2" s="1"/>
  <c r="AN738" i="2"/>
  <c r="AO738" i="2" a="1"/>
  <c r="AO738" i="2" s="1"/>
  <c r="AY726" i="2" a="1"/>
  <c r="AY726" i="2" s="1"/>
  <c r="AO726" i="2" a="1"/>
  <c r="AO726" i="2" s="1"/>
  <c r="AN726" i="2"/>
  <c r="AY714" i="2" a="1"/>
  <c r="AY714" i="2" s="1"/>
  <c r="AO714" i="2" a="1"/>
  <c r="AO714" i="2" s="1"/>
  <c r="AN714" i="2"/>
  <c r="AY702" i="2" a="1"/>
  <c r="AY702" i="2" s="1"/>
  <c r="AO702" i="2" a="1"/>
  <c r="AO702" i="2" s="1"/>
  <c r="AN702" i="2"/>
  <c r="AY690" i="2" a="1"/>
  <c r="AY690" i="2" s="1"/>
  <c r="AO690" i="2" a="1"/>
  <c r="AO690" i="2" s="1"/>
  <c r="AN690" i="2"/>
  <c r="AY678" i="2" a="1"/>
  <c r="AY678" i="2" s="1"/>
  <c r="AO678" i="2" a="1"/>
  <c r="AO678" i="2" s="1"/>
  <c r="AN678" i="2"/>
  <c r="AY666" i="2" a="1"/>
  <c r="AY666" i="2" s="1"/>
  <c r="AO666" i="2" a="1"/>
  <c r="AO666" i="2" s="1"/>
  <c r="AN666" i="2"/>
  <c r="AY654" i="2" a="1"/>
  <c r="AY654" i="2" s="1"/>
  <c r="AO654" i="2" a="1"/>
  <c r="AO654" i="2" s="1"/>
  <c r="AN654" i="2"/>
  <c r="AY642" i="2" a="1"/>
  <c r="AY642" i="2" s="1"/>
  <c r="AO642" i="2" a="1"/>
  <c r="AO642" i="2" s="1"/>
  <c r="AN642" i="2"/>
  <c r="AY630" i="2" a="1"/>
  <c r="AY630" i="2" s="1"/>
  <c r="AO630" i="2" a="1"/>
  <c r="AO630" i="2" s="1"/>
  <c r="AN630" i="2"/>
  <c r="AY618" i="2" a="1"/>
  <c r="AY618" i="2" s="1"/>
  <c r="AO618" i="2" a="1"/>
  <c r="AO618" i="2" s="1"/>
  <c r="AN618" i="2"/>
  <c r="AY606" i="2" a="1"/>
  <c r="AY606" i="2" s="1"/>
  <c r="AO606" i="2" a="1"/>
  <c r="AO606" i="2" s="1"/>
  <c r="AN606" i="2"/>
  <c r="AY594" i="2" a="1"/>
  <c r="AY594" i="2" s="1"/>
  <c r="AO594" i="2" a="1"/>
  <c r="AO594" i="2" s="1"/>
  <c r="AN594" i="2"/>
  <c r="AY582" i="2" a="1"/>
  <c r="AY582" i="2" s="1"/>
  <c r="AO582" i="2" a="1"/>
  <c r="AO582" i="2" s="1"/>
  <c r="AN582" i="2"/>
  <c r="AY570" i="2" a="1"/>
  <c r="AY570" i="2" s="1"/>
  <c r="AO570" i="2" a="1"/>
  <c r="AO570" i="2" s="1"/>
  <c r="AN570" i="2"/>
  <c r="AY558" i="2" a="1"/>
  <c r="AY558" i="2" s="1"/>
  <c r="AO558" i="2" a="1"/>
  <c r="AO558" i="2" s="1"/>
  <c r="AN558" i="2"/>
  <c r="AY546" i="2" a="1"/>
  <c r="AY546" i="2" s="1"/>
  <c r="AO546" i="2" a="1"/>
  <c r="AO546" i="2" s="1"/>
  <c r="AN546" i="2"/>
  <c r="AY534" i="2" a="1"/>
  <c r="AY534" i="2" s="1"/>
  <c r="AO534" i="2" a="1"/>
  <c r="AO534" i="2" s="1"/>
  <c r="AN534" i="2"/>
  <c r="AY522" i="2" a="1"/>
  <c r="AY522" i="2" s="1"/>
  <c r="AO522" i="2" a="1"/>
  <c r="AO522" i="2" s="1"/>
  <c r="AN522" i="2"/>
  <c r="AY510" i="2" a="1"/>
  <c r="AY510" i="2" s="1"/>
  <c r="AO510" i="2" a="1"/>
  <c r="AO510" i="2" s="1"/>
  <c r="AN510" i="2"/>
  <c r="AY498" i="2" a="1"/>
  <c r="AY498" i="2" s="1"/>
  <c r="AO498" i="2" a="1"/>
  <c r="AO498" i="2" s="1"/>
  <c r="AN498" i="2"/>
  <c r="AY486" i="2" a="1"/>
  <c r="AY486" i="2" s="1"/>
  <c r="AO486" i="2" a="1"/>
  <c r="AO486" i="2" s="1"/>
  <c r="AN486" i="2"/>
  <c r="AY474" i="2" a="1"/>
  <c r="AY474" i="2" s="1"/>
  <c r="AO474" i="2" a="1"/>
  <c r="AO474" i="2" s="1"/>
  <c r="AN474" i="2"/>
  <c r="AY462" i="2" a="1"/>
  <c r="AY462" i="2" s="1"/>
  <c r="AO462" i="2" a="1"/>
  <c r="AO462" i="2" s="1"/>
  <c r="AN462" i="2"/>
  <c r="AY450" i="2" a="1"/>
  <c r="AY450" i="2" s="1"/>
  <c r="AO450" i="2" a="1"/>
  <c r="AO450" i="2" s="1"/>
  <c r="AN450" i="2"/>
  <c r="AY438" i="2" a="1"/>
  <c r="AY438" i="2" s="1"/>
  <c r="AO438" i="2" a="1"/>
  <c r="AO438" i="2" s="1"/>
  <c r="AN438" i="2"/>
  <c r="AY426" i="2" a="1"/>
  <c r="AY426" i="2" s="1"/>
  <c r="AO426" i="2" a="1"/>
  <c r="AO426" i="2" s="1"/>
  <c r="AN426" i="2"/>
  <c r="AY414" i="2" a="1"/>
  <c r="AY414" i="2" s="1"/>
  <c r="AO414" i="2" a="1"/>
  <c r="AO414" i="2" s="1"/>
  <c r="AN414" i="2"/>
  <c r="AY402" i="2" a="1"/>
  <c r="AY402" i="2" s="1"/>
  <c r="AO402" i="2" a="1"/>
  <c r="AO402" i="2" s="1"/>
  <c r="AN402" i="2"/>
  <c r="AY390" i="2" a="1"/>
  <c r="AY390" i="2" s="1"/>
  <c r="AO390" i="2" a="1"/>
  <c r="AO390" i="2" s="1"/>
  <c r="AN390" i="2"/>
  <c r="AY378" i="2" a="1"/>
  <c r="AY378" i="2" s="1"/>
  <c r="AO378" i="2" a="1"/>
  <c r="AO378" i="2" s="1"/>
  <c r="AN378" i="2"/>
  <c r="AY366" i="2" a="1"/>
  <c r="AY366" i="2" s="1"/>
  <c r="AO366" i="2" a="1"/>
  <c r="AO366" i="2" s="1"/>
  <c r="AN366" i="2"/>
  <c r="AY354" i="2" a="1"/>
  <c r="AY354" i="2" s="1"/>
  <c r="AO354" i="2" a="1"/>
  <c r="AO354" i="2" s="1"/>
  <c r="AN354" i="2"/>
  <c r="AY342" i="2" a="1"/>
  <c r="AY342" i="2" s="1"/>
  <c r="AO342" i="2" a="1"/>
  <c r="AO342" i="2" s="1"/>
  <c r="AN342" i="2"/>
  <c r="AY330" i="2" a="1"/>
  <c r="AY330" i="2" s="1"/>
  <c r="AO330" i="2" a="1"/>
  <c r="AO330" i="2" s="1"/>
  <c r="AN330" i="2"/>
  <c r="AY318" i="2" a="1"/>
  <c r="AY318" i="2" s="1"/>
  <c r="AO318" i="2" a="1"/>
  <c r="AO318" i="2" s="1"/>
  <c r="AN318" i="2"/>
  <c r="AY306" i="2" a="1"/>
  <c r="AY306" i="2" s="1"/>
  <c r="AO306" i="2" a="1"/>
  <c r="AO306" i="2" s="1"/>
  <c r="AN306" i="2"/>
  <c r="AY294" i="2" a="1"/>
  <c r="AY294" i="2" s="1"/>
  <c r="AO294" i="2" a="1"/>
  <c r="AO294" i="2" s="1"/>
  <c r="AN294" i="2"/>
  <c r="AY282" i="2" a="1"/>
  <c r="AY282" i="2" s="1"/>
  <c r="AO282" i="2" a="1"/>
  <c r="AO282" i="2" s="1"/>
  <c r="AN282" i="2"/>
  <c r="AY271" i="2" a="1"/>
  <c r="AY271" i="2" s="1"/>
  <c r="AO271" i="2" a="1"/>
  <c r="AO271" i="2" s="1"/>
  <c r="AN271" i="2"/>
  <c r="AY259" i="2" a="1"/>
  <c r="AY259" i="2" s="1"/>
  <c r="AO259" i="2" a="1"/>
  <c r="AO259" i="2" s="1"/>
  <c r="AN259" i="2"/>
  <c r="AY247" i="2" a="1"/>
  <c r="AY247" i="2" s="1"/>
  <c r="AO247" i="2" a="1"/>
  <c r="AO247" i="2" s="1"/>
  <c r="AN247" i="2"/>
  <c r="AY235" i="2" a="1"/>
  <c r="AY235" i="2" s="1"/>
  <c r="AO235" i="2" a="1"/>
  <c r="AO235" i="2" s="1"/>
  <c r="AN235" i="2"/>
  <c r="AY223" i="2" a="1"/>
  <c r="AY223" i="2" s="1"/>
  <c r="AO223" i="2" a="1"/>
  <c r="AO223" i="2" s="1"/>
  <c r="AN223" i="2"/>
  <c r="AY211" i="2" a="1"/>
  <c r="AY211" i="2" s="1"/>
  <c r="AO211" i="2" a="1"/>
  <c r="AO211" i="2" s="1"/>
  <c r="AN211" i="2"/>
  <c r="AY199" i="2" a="1"/>
  <c r="AY199" i="2" s="1"/>
  <c r="AO199" i="2" a="1"/>
  <c r="AO199" i="2" s="1"/>
  <c r="AN199" i="2"/>
  <c r="AY187" i="2" a="1"/>
  <c r="AY187" i="2" s="1"/>
  <c r="AO187" i="2" a="1"/>
  <c r="AO187" i="2" s="1"/>
  <c r="AN187" i="2"/>
  <c r="AY175" i="2" a="1"/>
  <c r="AY175" i="2" s="1"/>
  <c r="AO175" i="2" a="1"/>
  <c r="AO175" i="2" s="1"/>
  <c r="AN175" i="2"/>
  <c r="AY163" i="2" a="1"/>
  <c r="AY163" i="2" s="1"/>
  <c r="AO163" i="2" a="1"/>
  <c r="AO163" i="2" s="1"/>
  <c r="AN163" i="2"/>
  <c r="AY151" i="2" a="1"/>
  <c r="AY151" i="2" s="1"/>
  <c r="AO151" i="2" a="1"/>
  <c r="AO151" i="2" s="1"/>
  <c r="AN151" i="2"/>
  <c r="AY139" i="2" a="1"/>
  <c r="AY139" i="2" s="1"/>
  <c r="AO139" i="2" a="1"/>
  <c r="AO139" i="2" s="1"/>
  <c r="AN139" i="2"/>
  <c r="AY127" i="2" a="1"/>
  <c r="AY127" i="2" s="1"/>
  <c r="AO127" i="2" a="1"/>
  <c r="AO127" i="2" s="1"/>
  <c r="AN127" i="2"/>
  <c r="AY115" i="2" a="1"/>
  <c r="AY115" i="2" s="1"/>
  <c r="AO115" i="2" a="1"/>
  <c r="AO115" i="2" s="1"/>
  <c r="AN115" i="2"/>
  <c r="AY103" i="2" a="1"/>
  <c r="AY103" i="2" s="1"/>
  <c r="AO103" i="2" a="1"/>
  <c r="AO103" i="2" s="1"/>
  <c r="AN103" i="2"/>
  <c r="AY91" i="2" a="1"/>
  <c r="AY91" i="2" s="1"/>
  <c r="AO91" i="2" a="1"/>
  <c r="AO91" i="2" s="1"/>
  <c r="AN91" i="2"/>
  <c r="AY79" i="2" a="1"/>
  <c r="AY79" i="2" s="1"/>
  <c r="AO79" i="2" a="1"/>
  <c r="AO79" i="2" s="1"/>
  <c r="AN79" i="2"/>
  <c r="AY67" i="2" a="1"/>
  <c r="AY67" i="2" s="1"/>
  <c r="AO67" i="2" a="1"/>
  <c r="AO67" i="2" s="1"/>
  <c r="AN67" i="2"/>
  <c r="AY55" i="2" a="1"/>
  <c r="AY55" i="2" s="1"/>
  <c r="AO55" i="2" a="1"/>
  <c r="AO55" i="2" s="1"/>
  <c r="AN55" i="2"/>
  <c r="AY43" i="2" a="1"/>
  <c r="AY43" i="2" s="1"/>
  <c r="AN43" i="2"/>
  <c r="AO43" i="2" a="1"/>
  <c r="AO43" i="2" s="1"/>
  <c r="AY31" i="2" a="1"/>
  <c r="AY31" i="2" s="1"/>
  <c r="AN31" i="2"/>
  <c r="AO31" i="2" a="1"/>
  <c r="AO31" i="2" s="1"/>
  <c r="AY19" i="2" a="1"/>
  <c r="AY19" i="2" s="1"/>
  <c r="AN19" i="2"/>
  <c r="AO19" i="2" a="1"/>
  <c r="AO19" i="2" s="1"/>
  <c r="AY7" i="2" a="1"/>
  <c r="AY7" i="2" s="1"/>
  <c r="AN7" i="2"/>
  <c r="AO7" i="2" a="1"/>
  <c r="AO7" i="2" s="1"/>
  <c r="AY1088" i="2" a="1"/>
  <c r="AY1088" i="2" s="1"/>
  <c r="AO1088" i="2" a="1"/>
  <c r="AO1088" i="2" s="1"/>
  <c r="AN1088" i="2"/>
  <c r="AY956" i="2" a="1"/>
  <c r="AY956" i="2" s="1"/>
  <c r="AO956" i="2" a="1"/>
  <c r="AO956" i="2" s="1"/>
  <c r="AN956" i="2"/>
  <c r="AY836" i="2" a="1"/>
  <c r="AY836" i="2" s="1"/>
  <c r="AO836" i="2" a="1"/>
  <c r="AO836" i="2" s="1"/>
  <c r="AN836" i="2"/>
  <c r="AY692" i="2" a="1"/>
  <c r="AY692" i="2" s="1"/>
  <c r="AO692" i="2" a="1"/>
  <c r="AO692" i="2" s="1"/>
  <c r="AN692" i="2"/>
  <c r="AY548" i="2" a="1"/>
  <c r="AY548" i="2" s="1"/>
  <c r="AN548" i="2"/>
  <c r="AO548" i="2" a="1"/>
  <c r="AO548" i="2" s="1"/>
  <c r="AY428" i="2" a="1"/>
  <c r="AY428" i="2" s="1"/>
  <c r="AN428" i="2"/>
  <c r="AO428" i="2" a="1"/>
  <c r="AO428" i="2" s="1"/>
  <c r="AY261" i="2" a="1"/>
  <c r="AY261" i="2" s="1"/>
  <c r="AN261" i="2"/>
  <c r="AO261" i="2" a="1"/>
  <c r="AO261" i="2" s="1"/>
  <c r="AY69" i="2" a="1"/>
  <c r="AY69" i="2" s="1"/>
  <c r="AN69" i="2"/>
  <c r="AO69" i="2" a="1"/>
  <c r="AO69" i="2" s="1"/>
  <c r="AS1024" i="2" a="1"/>
  <c r="AS1024" i="2" s="1"/>
  <c r="AW1024" i="2" s="1"/>
  <c r="AR1024" i="2"/>
  <c r="AT1024" i="2" s="1"/>
  <c r="AP1024" i="2"/>
  <c r="AS964" i="2" a="1"/>
  <c r="AS964" i="2" s="1"/>
  <c r="AW964" i="2" s="1"/>
  <c r="AR964" i="2"/>
  <c r="AT964" i="2" s="1"/>
  <c r="AP964" i="2"/>
  <c r="AS892" i="2" a="1"/>
  <c r="AS892" i="2" s="1"/>
  <c r="AW892" i="2" s="1"/>
  <c r="AR892" i="2"/>
  <c r="AT892" i="2" s="1"/>
  <c r="AP892" i="2"/>
  <c r="AS832" i="2" a="1"/>
  <c r="AS832" i="2" s="1"/>
  <c r="AW832" i="2" s="1"/>
  <c r="AR832" i="2"/>
  <c r="AT832" i="2" s="1"/>
  <c r="AP832" i="2"/>
  <c r="AS784" i="2" a="1"/>
  <c r="AS784" i="2" s="1"/>
  <c r="AW784" i="2" s="1"/>
  <c r="AR784" i="2"/>
  <c r="AT784" i="2" s="1"/>
  <c r="AP784" i="2"/>
  <c r="AS748" i="2" a="1"/>
  <c r="AS748" i="2" s="1"/>
  <c r="AW748" i="2" s="1"/>
  <c r="AR748" i="2"/>
  <c r="AT748" i="2" s="1"/>
  <c r="AP748" i="2"/>
  <c r="AS664" i="2" a="1"/>
  <c r="AS664" i="2" s="1"/>
  <c r="AW664" i="2" s="1"/>
  <c r="AR664" i="2"/>
  <c r="AT664" i="2" s="1"/>
  <c r="AP664" i="2"/>
  <c r="AS640" i="2" a="1"/>
  <c r="AS640" i="2" s="1"/>
  <c r="AW640" i="2" s="1"/>
  <c r="AR640" i="2"/>
  <c r="AT640" i="2" s="1"/>
  <c r="AP640" i="2"/>
  <c r="AS592" i="2" a="1"/>
  <c r="AS592" i="2" s="1"/>
  <c r="AW592" i="2" s="1"/>
  <c r="AR592" i="2"/>
  <c r="AT592" i="2" s="1"/>
  <c r="AP592" i="2"/>
  <c r="AR544" i="2"/>
  <c r="AT544" i="2" s="1"/>
  <c r="AS544" i="2" a="1"/>
  <c r="AS544" i="2" s="1"/>
  <c r="AW544" i="2" s="1"/>
  <c r="AP544" i="2"/>
  <c r="AS484" i="2" a="1"/>
  <c r="AS484" i="2" s="1"/>
  <c r="AW484" i="2" s="1"/>
  <c r="AR484" i="2"/>
  <c r="AT484" i="2" s="1"/>
  <c r="AP484" i="2"/>
  <c r="AS436" i="2" a="1"/>
  <c r="AS436" i="2" s="1"/>
  <c r="AW436" i="2" s="1"/>
  <c r="AR436" i="2"/>
  <c r="AT436" i="2" s="1"/>
  <c r="AP436" i="2"/>
  <c r="AS388" i="2" a="1"/>
  <c r="AS388" i="2" s="1"/>
  <c r="AW388" i="2" s="1"/>
  <c r="AR388" i="2"/>
  <c r="AT388" i="2" s="1"/>
  <c r="AP388" i="2"/>
  <c r="AS340" i="2" a="1"/>
  <c r="AS340" i="2" s="1"/>
  <c r="AW340" i="2" s="1"/>
  <c r="AR340" i="2"/>
  <c r="AT340" i="2" s="1"/>
  <c r="AP340" i="2"/>
  <c r="AR304" i="2"/>
  <c r="AT304" i="2" s="1"/>
  <c r="AS304" i="2" a="1"/>
  <c r="AS304" i="2" s="1"/>
  <c r="AW304" i="2" s="1"/>
  <c r="AP304" i="2"/>
  <c r="AS257" i="2" a="1"/>
  <c r="AS257" i="2" s="1"/>
  <c r="AW257" i="2" s="1"/>
  <c r="AR257" i="2"/>
  <c r="AT257" i="2" s="1"/>
  <c r="AS221" i="2" a="1"/>
  <c r="AS221" i="2" s="1"/>
  <c r="AW221" i="2" s="1"/>
  <c r="AR221" i="2"/>
  <c r="AT221" i="2" s="1"/>
  <c r="AP221" i="2"/>
  <c r="AS173" i="2" a="1"/>
  <c r="AS173" i="2" s="1"/>
  <c r="AW173" i="2" s="1"/>
  <c r="AR173" i="2"/>
  <c r="AT173" i="2" s="1"/>
  <c r="AP173" i="2"/>
  <c r="AR125" i="2"/>
  <c r="AT125" i="2" s="1"/>
  <c r="AS125" i="2" a="1"/>
  <c r="AS125" i="2" s="1"/>
  <c r="AW125" i="2" s="1"/>
  <c r="AP125" i="2"/>
  <c r="AS89" i="2" a="1"/>
  <c r="AS89" i="2" s="1"/>
  <c r="AW89" i="2" s="1"/>
  <c r="AP89" i="2"/>
  <c r="AR89" i="2"/>
  <c r="AT89" i="2" s="1"/>
  <c r="AS41" i="2" a="1"/>
  <c r="AS41" i="2" s="1"/>
  <c r="AW41" i="2" s="1"/>
  <c r="AR41" i="2"/>
  <c r="AT41" i="2" s="1"/>
  <c r="AP41" i="2"/>
  <c r="AS5" i="2" a="1"/>
  <c r="AS5" i="2" s="1"/>
  <c r="AW5" i="2" s="1"/>
  <c r="AR5" i="2"/>
  <c r="AT5" i="2" s="1"/>
  <c r="AP5" i="2"/>
  <c r="AU1098" i="2"/>
  <c r="AV1098" i="2"/>
  <c r="AU1062" i="2"/>
  <c r="AV1062" i="2"/>
  <c r="AU1038" i="2"/>
  <c r="AV1038" i="2"/>
  <c r="AU1002" i="2"/>
  <c r="AV1002" i="2"/>
  <c r="AU978" i="2"/>
  <c r="AV978" i="2"/>
  <c r="AU942" i="2"/>
  <c r="AV942" i="2"/>
  <c r="AU894" i="2"/>
  <c r="AV894" i="2"/>
  <c r="AU858" i="2"/>
  <c r="AV858" i="2"/>
  <c r="AV822" i="2"/>
  <c r="AU822" i="2"/>
  <c r="AU786" i="2"/>
  <c r="AV786" i="2"/>
  <c r="AU750" i="2"/>
  <c r="AV750" i="2"/>
  <c r="AV714" i="2"/>
  <c r="AU714" i="2"/>
  <c r="AU678" i="2"/>
  <c r="AV678" i="2"/>
  <c r="AV642" i="2"/>
  <c r="AU642" i="2"/>
  <c r="AU606" i="2"/>
  <c r="AV606" i="2"/>
  <c r="AV570" i="2"/>
  <c r="AU570" i="2"/>
  <c r="AV546" i="2"/>
  <c r="AU546" i="2"/>
  <c r="AU510" i="2"/>
  <c r="AV510" i="2"/>
  <c r="AU486" i="2"/>
  <c r="AV486" i="2"/>
  <c r="AV450" i="2"/>
  <c r="AU450" i="2"/>
  <c r="AV426" i="2"/>
  <c r="AU426" i="2"/>
  <c r="AU390" i="2"/>
  <c r="AV390" i="2"/>
  <c r="AU378" i="2"/>
  <c r="AV378" i="2"/>
  <c r="AU330" i="2"/>
  <c r="AV330" i="2"/>
  <c r="AV294" i="2"/>
  <c r="AU294" i="2"/>
  <c r="AV259" i="2"/>
  <c r="AU259" i="2"/>
  <c r="AU223" i="2"/>
  <c r="AV223" i="2"/>
  <c r="AV199" i="2"/>
  <c r="AU199" i="2"/>
  <c r="AV163" i="2"/>
  <c r="AU163" i="2"/>
  <c r="AV139" i="2"/>
  <c r="AU139" i="2"/>
  <c r="AV103" i="2"/>
  <c r="AU103" i="2"/>
  <c r="AV67" i="2"/>
  <c r="AU67" i="2"/>
  <c r="AV43" i="2"/>
  <c r="AU43" i="2"/>
  <c r="AV7" i="2"/>
  <c r="AU7" i="2"/>
  <c r="AY1028" i="2" a="1"/>
  <c r="AY1028" i="2" s="1"/>
  <c r="AO1028" i="2" a="1"/>
  <c r="AO1028" i="2" s="1"/>
  <c r="AN1028" i="2"/>
  <c r="AY896" i="2" a="1"/>
  <c r="AY896" i="2" s="1"/>
  <c r="AN896" i="2"/>
  <c r="AO896" i="2" a="1"/>
  <c r="AO896" i="2" s="1"/>
  <c r="AY752" i="2" a="1"/>
  <c r="AY752" i="2" s="1"/>
  <c r="AO752" i="2" a="1"/>
  <c r="AO752" i="2" s="1"/>
  <c r="AN752" i="2"/>
  <c r="AY596" i="2" a="1"/>
  <c r="AY596" i="2" s="1"/>
  <c r="AO596" i="2" a="1"/>
  <c r="AO596" i="2" s="1"/>
  <c r="AN596" i="2"/>
  <c r="AY416" i="2" a="1"/>
  <c r="AY416" i="2" s="1"/>
  <c r="AO416" i="2" a="1"/>
  <c r="AO416" i="2" s="1"/>
  <c r="AN416" i="2"/>
  <c r="AY296" i="2" a="1"/>
  <c r="AY296" i="2" s="1"/>
  <c r="AO296" i="2" a="1"/>
  <c r="AO296" i="2" s="1"/>
  <c r="AN296" i="2"/>
  <c r="AY105" i="2" a="1"/>
  <c r="AY105" i="2" s="1"/>
  <c r="AN105" i="2"/>
  <c r="AO105" i="2" a="1"/>
  <c r="AO105" i="2" s="1"/>
  <c r="AS1060" i="2" a="1"/>
  <c r="AS1060" i="2" s="1"/>
  <c r="AW1060" i="2" s="1"/>
  <c r="AR1060" i="2"/>
  <c r="AT1060" i="2" s="1"/>
  <c r="AP1060" i="2"/>
  <c r="AS976" i="2" a="1"/>
  <c r="AS976" i="2" s="1"/>
  <c r="AW976" i="2" s="1"/>
  <c r="AR976" i="2"/>
  <c r="AT976" i="2" s="1"/>
  <c r="AP976" i="2"/>
  <c r="AS868" i="2" a="1"/>
  <c r="AS868" i="2" s="1"/>
  <c r="AW868" i="2" s="1"/>
  <c r="AR868" i="2"/>
  <c r="AT868" i="2" s="1"/>
  <c r="AP868" i="2"/>
  <c r="AS772" i="2" a="1"/>
  <c r="AS772" i="2" s="1"/>
  <c r="AW772" i="2" s="1"/>
  <c r="AR772" i="2"/>
  <c r="AT772" i="2" s="1"/>
  <c r="AP772" i="2"/>
  <c r="AS676" i="2" a="1"/>
  <c r="AS676" i="2" s="1"/>
  <c r="AW676" i="2" s="1"/>
  <c r="AR676" i="2"/>
  <c r="AT676" i="2" s="1"/>
  <c r="AP676" i="2"/>
  <c r="AS616" i="2" a="1"/>
  <c r="AS616" i="2" s="1"/>
  <c r="AW616" i="2" s="1"/>
  <c r="AR616" i="2"/>
  <c r="AT616" i="2" s="1"/>
  <c r="AP616" i="2"/>
  <c r="AR556" i="2"/>
  <c r="AT556" i="2" s="1"/>
  <c r="AS556" i="2" a="1"/>
  <c r="AS556" i="2" s="1"/>
  <c r="AW556" i="2" s="1"/>
  <c r="AP556" i="2"/>
  <c r="AS496" i="2" a="1"/>
  <c r="AS496" i="2" s="1"/>
  <c r="AW496" i="2" s="1"/>
  <c r="AR496" i="2"/>
  <c r="AT496" i="2" s="1"/>
  <c r="AP496" i="2"/>
  <c r="AS412" i="2" a="1"/>
  <c r="AS412" i="2" s="1"/>
  <c r="AW412" i="2" s="1"/>
  <c r="AP412" i="2"/>
  <c r="AR412" i="2"/>
  <c r="AT412" i="2" s="1"/>
  <c r="AR352" i="2"/>
  <c r="AT352" i="2" s="1"/>
  <c r="AS352" i="2" a="1"/>
  <c r="AS352" i="2" s="1"/>
  <c r="AW352" i="2" s="1"/>
  <c r="AP352" i="2"/>
  <c r="AS292" i="2" a="1"/>
  <c r="AS292" i="2" s="1"/>
  <c r="AW292" i="2" s="1"/>
  <c r="AP292" i="2"/>
  <c r="AR292" i="2"/>
  <c r="AT292" i="2" s="1"/>
  <c r="AS233" i="2" a="1"/>
  <c r="AS233" i="2" s="1"/>
  <c r="AW233" i="2" s="1"/>
  <c r="AR233" i="2"/>
  <c r="AT233" i="2" s="1"/>
  <c r="AP233" i="2"/>
  <c r="AS197" i="2" a="1"/>
  <c r="AS197" i="2" s="1"/>
  <c r="AW197" i="2" s="1"/>
  <c r="AR197" i="2"/>
  <c r="AT197" i="2" s="1"/>
  <c r="AP197" i="2"/>
  <c r="AS149" i="2" a="1"/>
  <c r="AS149" i="2" s="1"/>
  <c r="AW149" i="2" s="1"/>
  <c r="AP149" i="2"/>
  <c r="AR149" i="2"/>
  <c r="AT149" i="2" s="1"/>
  <c r="AS113" i="2" a="1"/>
  <c r="AS113" i="2" s="1"/>
  <c r="AW113" i="2" s="1"/>
  <c r="AR113" i="2"/>
  <c r="AT113" i="2" s="1"/>
  <c r="AP113" i="2"/>
  <c r="AS65" i="2" a="1"/>
  <c r="AS65" i="2" s="1"/>
  <c r="AW65" i="2" s="1"/>
  <c r="AR65" i="2"/>
  <c r="AT65" i="2" s="1"/>
  <c r="AP65" i="2"/>
  <c r="AS17" i="2" a="1"/>
  <c r="AS17" i="2" s="1"/>
  <c r="AW17" i="2" s="1"/>
  <c r="AP17" i="2"/>
  <c r="AR17" i="2"/>
  <c r="AT17" i="2" s="1"/>
  <c r="AU1074" i="2"/>
  <c r="AV1074" i="2"/>
  <c r="AU1026" i="2"/>
  <c r="AV1026" i="2"/>
  <c r="AU990" i="2"/>
  <c r="AV990" i="2"/>
  <c r="AU954" i="2"/>
  <c r="AV954" i="2"/>
  <c r="AU918" i="2"/>
  <c r="AV918" i="2"/>
  <c r="AU870" i="2"/>
  <c r="AV870" i="2"/>
  <c r="AU834" i="2"/>
  <c r="AV834" i="2"/>
  <c r="AV798" i="2"/>
  <c r="AU798" i="2"/>
  <c r="AV762" i="2"/>
  <c r="AU762" i="2"/>
  <c r="AU726" i="2"/>
  <c r="AV726" i="2"/>
  <c r="AV690" i="2"/>
  <c r="AU690" i="2"/>
  <c r="AU654" i="2"/>
  <c r="AV654" i="2"/>
  <c r="AV618" i="2"/>
  <c r="AU618" i="2"/>
  <c r="AU594" i="2"/>
  <c r="AV594" i="2"/>
  <c r="AU558" i="2"/>
  <c r="AV558" i="2"/>
  <c r="AV522" i="2"/>
  <c r="AU522" i="2"/>
  <c r="AV474" i="2"/>
  <c r="AU474" i="2"/>
  <c r="AV438" i="2"/>
  <c r="AU438" i="2"/>
  <c r="AV414" i="2"/>
  <c r="AU414" i="2"/>
  <c r="AU366" i="2"/>
  <c r="AV366" i="2"/>
  <c r="AV318" i="2"/>
  <c r="AU318" i="2"/>
  <c r="AV282" i="2"/>
  <c r="AU282" i="2"/>
  <c r="AV247" i="2"/>
  <c r="AU247" i="2"/>
  <c r="AV211" i="2"/>
  <c r="AU211" i="2"/>
  <c r="AV187" i="2"/>
  <c r="AU187" i="2"/>
  <c r="AV151" i="2"/>
  <c r="AU151" i="2"/>
  <c r="AV127" i="2"/>
  <c r="AU127" i="2"/>
  <c r="AV91" i="2"/>
  <c r="AU91" i="2"/>
  <c r="AV55" i="2"/>
  <c r="AU55" i="2"/>
  <c r="AV19" i="2"/>
  <c r="AU19" i="2"/>
  <c r="AY1096" i="2" a="1"/>
  <c r="AY1096" i="2" s="1"/>
  <c r="AO1096" i="2" a="1"/>
  <c r="AO1096" i="2" s="1"/>
  <c r="AN1096" i="2"/>
  <c r="AY1084" i="2" a="1"/>
  <c r="AY1084" i="2" s="1"/>
  <c r="AO1084" i="2" a="1"/>
  <c r="AO1084" i="2" s="1"/>
  <c r="AN1084" i="2"/>
  <c r="AY1072" i="2" a="1"/>
  <c r="AY1072" i="2" s="1"/>
  <c r="AO1072" i="2" a="1"/>
  <c r="AO1072" i="2" s="1"/>
  <c r="AN1072" i="2"/>
  <c r="AY1060" i="2" a="1"/>
  <c r="AY1060" i="2" s="1"/>
  <c r="AO1060" i="2" a="1"/>
  <c r="AO1060" i="2" s="1"/>
  <c r="AN1060" i="2"/>
  <c r="AY1048" i="2" a="1"/>
  <c r="AY1048" i="2" s="1"/>
  <c r="AO1048" i="2" a="1"/>
  <c r="AO1048" i="2" s="1"/>
  <c r="AN1048" i="2"/>
  <c r="AY1036" i="2" a="1"/>
  <c r="AY1036" i="2" s="1"/>
  <c r="AO1036" i="2" a="1"/>
  <c r="AO1036" i="2" s="1"/>
  <c r="AN1036" i="2"/>
  <c r="AY1024" i="2" a="1"/>
  <c r="AY1024" i="2" s="1"/>
  <c r="AO1024" i="2" a="1"/>
  <c r="AO1024" i="2" s="1"/>
  <c r="AN1024" i="2"/>
  <c r="AY1012" i="2" a="1"/>
  <c r="AY1012" i="2" s="1"/>
  <c r="AO1012" i="2" a="1"/>
  <c r="AO1012" i="2" s="1"/>
  <c r="AN1012" i="2"/>
  <c r="AY1000" i="2" a="1"/>
  <c r="AY1000" i="2" s="1"/>
  <c r="AO1000" i="2" a="1"/>
  <c r="AO1000" i="2" s="1"/>
  <c r="AN1000" i="2"/>
  <c r="AY988" i="2" a="1"/>
  <c r="AY988" i="2" s="1"/>
  <c r="AO988" i="2" a="1"/>
  <c r="AO988" i="2" s="1"/>
  <c r="AN988" i="2"/>
  <c r="AY976" i="2" a="1"/>
  <c r="AY976" i="2" s="1"/>
  <c r="AO976" i="2" a="1"/>
  <c r="AO976" i="2" s="1"/>
  <c r="AN976" i="2"/>
  <c r="AY964" i="2" a="1"/>
  <c r="AY964" i="2" s="1"/>
  <c r="AO964" i="2" a="1"/>
  <c r="AO964" i="2" s="1"/>
  <c r="AN964" i="2"/>
  <c r="AY952" i="2" a="1"/>
  <c r="AY952" i="2" s="1"/>
  <c r="AO952" i="2" a="1"/>
  <c r="AO952" i="2" s="1"/>
  <c r="AN952" i="2"/>
  <c r="AY940" i="2" a="1"/>
  <c r="AY940" i="2" s="1"/>
  <c r="AO940" i="2" a="1"/>
  <c r="AO940" i="2" s="1"/>
  <c r="AN940" i="2"/>
  <c r="AY928" i="2" a="1"/>
  <c r="AY928" i="2" s="1"/>
  <c r="AO928" i="2" a="1"/>
  <c r="AO928" i="2" s="1"/>
  <c r="AN928" i="2"/>
  <c r="AY916" i="2" a="1"/>
  <c r="AY916" i="2" s="1"/>
  <c r="AO916" i="2" a="1"/>
  <c r="AO916" i="2" s="1"/>
  <c r="AN916" i="2"/>
  <c r="AY904" i="2" a="1"/>
  <c r="AY904" i="2" s="1"/>
  <c r="AO904" i="2" a="1"/>
  <c r="AO904" i="2" s="1"/>
  <c r="AN904" i="2"/>
  <c r="AY892" i="2" a="1"/>
  <c r="AY892" i="2" s="1"/>
  <c r="AO892" i="2" a="1"/>
  <c r="AO892" i="2" s="1"/>
  <c r="AN892" i="2"/>
  <c r="AY880" i="2" a="1"/>
  <c r="AY880" i="2" s="1"/>
  <c r="AO880" i="2" a="1"/>
  <c r="AO880" i="2" s="1"/>
  <c r="AN880" i="2"/>
  <c r="AY868" i="2" a="1"/>
  <c r="AY868" i="2" s="1"/>
  <c r="AO868" i="2" a="1"/>
  <c r="AO868" i="2" s="1"/>
  <c r="AN868" i="2"/>
  <c r="AY856" i="2" a="1"/>
  <c r="AY856" i="2" s="1"/>
  <c r="AO856" i="2" a="1"/>
  <c r="AO856" i="2" s="1"/>
  <c r="AN856" i="2"/>
  <c r="AY844" i="2" a="1"/>
  <c r="AY844" i="2" s="1"/>
  <c r="AO844" i="2" a="1"/>
  <c r="AO844" i="2" s="1"/>
  <c r="AN844" i="2"/>
  <c r="AY832" i="2" a="1"/>
  <c r="AY832" i="2" s="1"/>
  <c r="AO832" i="2" a="1"/>
  <c r="AO832" i="2" s="1"/>
  <c r="AN832" i="2"/>
  <c r="AY820" i="2" a="1"/>
  <c r="AY820" i="2" s="1"/>
  <c r="AO820" i="2" a="1"/>
  <c r="AO820" i="2" s="1"/>
  <c r="AN820" i="2"/>
  <c r="AY808" i="2" a="1"/>
  <c r="AY808" i="2" s="1"/>
  <c r="AO808" i="2" a="1"/>
  <c r="AO808" i="2" s="1"/>
  <c r="AN808" i="2"/>
  <c r="AY796" i="2" a="1"/>
  <c r="AY796" i="2" s="1"/>
  <c r="AO796" i="2" a="1"/>
  <c r="AO796" i="2" s="1"/>
  <c r="AN796" i="2"/>
  <c r="AY784" i="2" a="1"/>
  <c r="AY784" i="2" s="1"/>
  <c r="AO784" i="2" a="1"/>
  <c r="AO784" i="2" s="1"/>
  <c r="AN784" i="2"/>
  <c r="AY772" i="2" a="1"/>
  <c r="AY772" i="2" s="1"/>
  <c r="AN772" i="2"/>
  <c r="AO772" i="2" a="1"/>
  <c r="AO772" i="2" s="1"/>
  <c r="AY760" i="2" a="1"/>
  <c r="AY760" i="2" s="1"/>
  <c r="AN760" i="2"/>
  <c r="AO760" i="2" a="1"/>
  <c r="AO760" i="2" s="1"/>
  <c r="AY748" i="2" a="1"/>
  <c r="AY748" i="2" s="1"/>
  <c r="AN748" i="2"/>
  <c r="AO748" i="2" a="1"/>
  <c r="AO748" i="2" s="1"/>
  <c r="AY736" i="2" a="1"/>
  <c r="AY736" i="2" s="1"/>
  <c r="AN736" i="2"/>
  <c r="AO736" i="2" a="1"/>
  <c r="AO736" i="2" s="1"/>
  <c r="AY724" i="2" a="1"/>
  <c r="AY724" i="2" s="1"/>
  <c r="AN724" i="2"/>
  <c r="AO724" i="2" a="1"/>
  <c r="AO724" i="2" s="1"/>
  <c r="AY712" i="2" a="1"/>
  <c r="AY712" i="2" s="1"/>
  <c r="AN712" i="2"/>
  <c r="AO712" i="2" a="1"/>
  <c r="AO712" i="2" s="1"/>
  <c r="AY700" i="2" a="1"/>
  <c r="AY700" i="2" s="1"/>
  <c r="AN700" i="2"/>
  <c r="AO700" i="2" a="1"/>
  <c r="AO700" i="2" s="1"/>
  <c r="AY688" i="2" a="1"/>
  <c r="AY688" i="2" s="1"/>
  <c r="AO688" i="2" a="1"/>
  <c r="AO688" i="2" s="1"/>
  <c r="AN688" i="2"/>
  <c r="AY676" i="2" a="1"/>
  <c r="AY676" i="2" s="1"/>
  <c r="AN676" i="2"/>
  <c r="AO676" i="2" a="1"/>
  <c r="AO676" i="2" s="1"/>
  <c r="AY664" i="2" a="1"/>
  <c r="AY664" i="2" s="1"/>
  <c r="AN664" i="2"/>
  <c r="AO664" i="2" a="1"/>
  <c r="AO664" i="2" s="1"/>
  <c r="AY652" i="2" a="1"/>
  <c r="AY652" i="2" s="1"/>
  <c r="AN652" i="2"/>
  <c r="AO652" i="2" a="1"/>
  <c r="AO652" i="2" s="1"/>
  <c r="AY640" i="2" a="1"/>
  <c r="AY640" i="2" s="1"/>
  <c r="AN640" i="2"/>
  <c r="AO640" i="2" a="1"/>
  <c r="AO640" i="2" s="1"/>
  <c r="AY628" i="2" a="1"/>
  <c r="AY628" i="2" s="1"/>
  <c r="AN628" i="2"/>
  <c r="AO628" i="2" a="1"/>
  <c r="AO628" i="2" s="1"/>
  <c r="AY616" i="2" a="1"/>
  <c r="AY616" i="2" s="1"/>
  <c r="AN616" i="2"/>
  <c r="AO616" i="2" a="1"/>
  <c r="AO616" i="2" s="1"/>
  <c r="AY604" i="2" a="1"/>
  <c r="AY604" i="2" s="1"/>
  <c r="AO604" i="2" a="1"/>
  <c r="AO604" i="2" s="1"/>
  <c r="AN604" i="2"/>
  <c r="AY592" i="2" a="1"/>
  <c r="AY592" i="2" s="1"/>
  <c r="AN592" i="2"/>
  <c r="AO592" i="2" a="1"/>
  <c r="AO592" i="2" s="1"/>
  <c r="AY580" i="2" a="1"/>
  <c r="AY580" i="2" s="1"/>
  <c r="AN580" i="2"/>
  <c r="AO580" i="2" a="1"/>
  <c r="AO580" i="2" s="1"/>
  <c r="AY568" i="2" a="1"/>
  <c r="AY568" i="2" s="1"/>
  <c r="AN568" i="2"/>
  <c r="AO568" i="2" a="1"/>
  <c r="AO568" i="2" s="1"/>
  <c r="AY556" i="2" a="1"/>
  <c r="AY556" i="2" s="1"/>
  <c r="AO556" i="2" a="1"/>
  <c r="AO556" i="2" s="1"/>
  <c r="AN556" i="2"/>
  <c r="AY544" i="2" a="1"/>
  <c r="AY544" i="2" s="1"/>
  <c r="AN544" i="2"/>
  <c r="AO544" i="2" a="1"/>
  <c r="AO544" i="2" s="1"/>
  <c r="AY532" i="2" a="1"/>
  <c r="AY532" i="2" s="1"/>
  <c r="AN532" i="2"/>
  <c r="AO532" i="2" a="1"/>
  <c r="AO532" i="2" s="1"/>
  <c r="AY520" i="2" a="1"/>
  <c r="AY520" i="2" s="1"/>
  <c r="AN520" i="2"/>
  <c r="AO520" i="2" a="1"/>
  <c r="AO520" i="2" s="1"/>
  <c r="AY508" i="2" a="1"/>
  <c r="AY508" i="2" s="1"/>
  <c r="AN508" i="2"/>
  <c r="AO508" i="2" a="1"/>
  <c r="AO508" i="2" s="1"/>
  <c r="AY496" i="2" a="1"/>
  <c r="AY496" i="2" s="1"/>
  <c r="AN496" i="2"/>
  <c r="AO496" i="2" a="1"/>
  <c r="AO496" i="2" s="1"/>
  <c r="AY484" i="2" a="1"/>
  <c r="AY484" i="2" s="1"/>
  <c r="AN484" i="2"/>
  <c r="AO484" i="2" a="1"/>
  <c r="AO484" i="2" s="1"/>
  <c r="AY472" i="2" a="1"/>
  <c r="AY472" i="2" s="1"/>
  <c r="AN472" i="2"/>
  <c r="AO472" i="2" a="1"/>
  <c r="AO472" i="2" s="1"/>
  <c r="AY460" i="2" a="1"/>
  <c r="AY460" i="2" s="1"/>
  <c r="AN460" i="2"/>
  <c r="AO460" i="2" a="1"/>
  <c r="AO460" i="2" s="1"/>
  <c r="AY448" i="2" a="1"/>
  <c r="AY448" i="2" s="1"/>
  <c r="AN448" i="2"/>
  <c r="AO448" i="2" a="1"/>
  <c r="AO448" i="2" s="1"/>
  <c r="AY436" i="2" a="1"/>
  <c r="AY436" i="2" s="1"/>
  <c r="AO436" i="2" a="1"/>
  <c r="AO436" i="2" s="1"/>
  <c r="AN436" i="2"/>
  <c r="AY424" i="2" a="1"/>
  <c r="AY424" i="2" s="1"/>
  <c r="AN424" i="2"/>
  <c r="AO424" i="2" a="1"/>
  <c r="AO424" i="2" s="1"/>
  <c r="AY412" i="2" a="1"/>
  <c r="AY412" i="2" s="1"/>
  <c r="AN412" i="2"/>
  <c r="AO412" i="2" a="1"/>
  <c r="AO412" i="2" s="1"/>
  <c r="AY400" i="2" a="1"/>
  <c r="AY400" i="2" s="1"/>
  <c r="AN400" i="2"/>
  <c r="AO400" i="2" a="1"/>
  <c r="AO400" i="2" s="1"/>
  <c r="AY388" i="2" a="1"/>
  <c r="AY388" i="2" s="1"/>
  <c r="AN388" i="2"/>
  <c r="AO388" i="2" a="1"/>
  <c r="AO388" i="2" s="1"/>
  <c r="AY376" i="2" a="1"/>
  <c r="AY376" i="2" s="1"/>
  <c r="AN376" i="2"/>
  <c r="AO376" i="2" a="1"/>
  <c r="AO376" i="2" s="1"/>
  <c r="AY364" i="2" a="1"/>
  <c r="AY364" i="2" s="1"/>
  <c r="AN364" i="2"/>
  <c r="AO364" i="2" a="1"/>
  <c r="AO364" i="2" s="1"/>
  <c r="AY352" i="2" a="1"/>
  <c r="AY352" i="2" s="1"/>
  <c r="AN352" i="2"/>
  <c r="AO352" i="2" a="1"/>
  <c r="AO352" i="2" s="1"/>
  <c r="AY340" i="2" a="1"/>
  <c r="AY340" i="2" s="1"/>
  <c r="AN340" i="2"/>
  <c r="AO340" i="2" a="1"/>
  <c r="AO340" i="2" s="1"/>
  <c r="AY328" i="2" a="1"/>
  <c r="AY328" i="2" s="1"/>
  <c r="AO328" i="2" a="1"/>
  <c r="AO328" i="2" s="1"/>
  <c r="AN328" i="2"/>
  <c r="AY316" i="2" a="1"/>
  <c r="AY316" i="2" s="1"/>
  <c r="AN316" i="2"/>
  <c r="AO316" i="2" a="1"/>
  <c r="AO316" i="2" s="1"/>
  <c r="AY304" i="2" a="1"/>
  <c r="AY304" i="2" s="1"/>
  <c r="AN304" i="2"/>
  <c r="AO304" i="2" a="1"/>
  <c r="AO304" i="2" s="1"/>
  <c r="AY292" i="2" a="1"/>
  <c r="AY292" i="2" s="1"/>
  <c r="AN292" i="2"/>
  <c r="AO292" i="2" a="1"/>
  <c r="AO292" i="2" s="1"/>
  <c r="AY280" i="2" a="1"/>
  <c r="AY280" i="2" s="1"/>
  <c r="AN280" i="2"/>
  <c r="AO280" i="2" a="1"/>
  <c r="AO280" i="2" s="1"/>
  <c r="AY269" i="2" a="1"/>
  <c r="AY269" i="2" s="1"/>
  <c r="AN269" i="2"/>
  <c r="AO269" i="2" a="1"/>
  <c r="AO269" i="2" s="1"/>
  <c r="AY257" i="2" a="1"/>
  <c r="AY257" i="2" s="1"/>
  <c r="AN257" i="2"/>
  <c r="AO257" i="2" a="1"/>
  <c r="AO257" i="2" s="1"/>
  <c r="AY245" i="2" a="1"/>
  <c r="AY245" i="2" s="1"/>
  <c r="AN245" i="2"/>
  <c r="AO245" i="2" a="1"/>
  <c r="AO245" i="2" s="1"/>
  <c r="AY233" i="2" a="1"/>
  <c r="AY233" i="2" s="1"/>
  <c r="AN233" i="2"/>
  <c r="AO233" i="2" a="1"/>
  <c r="AO233" i="2" s="1"/>
  <c r="AY221" i="2" a="1"/>
  <c r="AY221" i="2" s="1"/>
  <c r="AN221" i="2"/>
  <c r="AO221" i="2" a="1"/>
  <c r="AO221" i="2" s="1"/>
  <c r="AY209" i="2" a="1"/>
  <c r="AY209" i="2" s="1"/>
  <c r="AN209" i="2"/>
  <c r="AO209" i="2" a="1"/>
  <c r="AO209" i="2" s="1"/>
  <c r="AY197" i="2" a="1"/>
  <c r="AY197" i="2" s="1"/>
  <c r="AN197" i="2"/>
  <c r="AO197" i="2" a="1"/>
  <c r="AO197" i="2" s="1"/>
  <c r="AY185" i="2" a="1"/>
  <c r="AY185" i="2" s="1"/>
  <c r="AN185" i="2"/>
  <c r="AO185" i="2" a="1"/>
  <c r="AO185" i="2" s="1"/>
  <c r="AY173" i="2" a="1"/>
  <c r="AY173" i="2" s="1"/>
  <c r="AN173" i="2"/>
  <c r="AO173" i="2" a="1"/>
  <c r="AO173" i="2" s="1"/>
  <c r="AY161" i="2" a="1"/>
  <c r="AY161" i="2" s="1"/>
  <c r="AN161" i="2"/>
  <c r="AO161" i="2" a="1"/>
  <c r="AO161" i="2" s="1"/>
  <c r="AY149" i="2" a="1"/>
  <c r="AY149" i="2" s="1"/>
  <c r="AN149" i="2"/>
  <c r="AO149" i="2" a="1"/>
  <c r="AO149" i="2" s="1"/>
  <c r="AY137" i="2" a="1"/>
  <c r="AY137" i="2" s="1"/>
  <c r="AN137" i="2"/>
  <c r="AO137" i="2" a="1"/>
  <c r="AO137" i="2" s="1"/>
  <c r="AY125" i="2" a="1"/>
  <c r="AY125" i="2" s="1"/>
  <c r="AN125" i="2"/>
  <c r="AO125" i="2" a="1"/>
  <c r="AO125" i="2" s="1"/>
  <c r="AY113" i="2" a="1"/>
  <c r="AY113" i="2" s="1"/>
  <c r="AN113" i="2"/>
  <c r="AO113" i="2" a="1"/>
  <c r="AO113" i="2" s="1"/>
  <c r="AY101" i="2" a="1"/>
  <c r="AY101" i="2" s="1"/>
  <c r="AO101" i="2" a="1"/>
  <c r="AO101" i="2" s="1"/>
  <c r="AN101" i="2"/>
  <c r="AY89" i="2" a="1"/>
  <c r="AY89" i="2" s="1"/>
  <c r="AN89" i="2"/>
  <c r="AO89" i="2" a="1"/>
  <c r="AO89" i="2" s="1"/>
  <c r="AY77" i="2" a="1"/>
  <c r="AY77" i="2" s="1"/>
  <c r="AN77" i="2"/>
  <c r="AO77" i="2" a="1"/>
  <c r="AO77" i="2" s="1"/>
  <c r="AY65" i="2" a="1"/>
  <c r="AY65" i="2" s="1"/>
  <c r="AO65" i="2" a="1"/>
  <c r="AO65" i="2" s="1"/>
  <c r="AN65" i="2"/>
  <c r="AY53" i="2" a="1"/>
  <c r="AY53" i="2" s="1"/>
  <c r="AN53" i="2"/>
  <c r="AO53" i="2" a="1"/>
  <c r="AO53" i="2" s="1"/>
  <c r="AY41" i="2" a="1"/>
  <c r="AY41" i="2" s="1"/>
  <c r="AN41" i="2"/>
  <c r="AO41" i="2" a="1"/>
  <c r="AO41" i="2" s="1"/>
  <c r="AY29" i="2" a="1"/>
  <c r="AY29" i="2" s="1"/>
  <c r="AN29" i="2"/>
  <c r="AO29" i="2" a="1"/>
  <c r="AO29" i="2" s="1"/>
  <c r="AY17" i="2" a="1"/>
  <c r="AY17" i="2" s="1"/>
  <c r="AN17" i="2"/>
  <c r="AO17" i="2" a="1"/>
  <c r="AO17" i="2" s="1"/>
  <c r="AY5" i="2" a="1"/>
  <c r="AY5" i="2" s="1"/>
  <c r="AN5" i="2"/>
  <c r="AO5" i="2" a="1"/>
  <c r="AO5" i="2" s="1"/>
  <c r="AS940" i="2" a="1"/>
  <c r="AS940" i="2" s="1"/>
  <c r="AW940" i="2" s="1"/>
  <c r="AR940" i="2"/>
  <c r="AT940" i="2" s="1"/>
  <c r="AP940" i="2"/>
  <c r="AY1095" i="2" a="1"/>
  <c r="AY1095" i="2" s="1"/>
  <c r="AO1095" i="2" a="1"/>
  <c r="AO1095" i="2" s="1"/>
  <c r="AN1095" i="2"/>
  <c r="AY1083" i="2" a="1"/>
  <c r="AY1083" i="2" s="1"/>
  <c r="AO1083" i="2" a="1"/>
  <c r="AO1083" i="2" s="1"/>
  <c r="AN1083" i="2"/>
  <c r="AY1071" i="2" a="1"/>
  <c r="AY1071" i="2" s="1"/>
  <c r="AO1071" i="2" a="1"/>
  <c r="AO1071" i="2" s="1"/>
  <c r="AN1071" i="2"/>
  <c r="AY1059" i="2" a="1"/>
  <c r="AY1059" i="2" s="1"/>
  <c r="AO1059" i="2" a="1"/>
  <c r="AO1059" i="2" s="1"/>
  <c r="AN1059" i="2"/>
  <c r="AY1047" i="2" a="1"/>
  <c r="AY1047" i="2" s="1"/>
  <c r="AO1047" i="2" a="1"/>
  <c r="AO1047" i="2" s="1"/>
  <c r="AN1047" i="2"/>
  <c r="AY1035" i="2" a="1"/>
  <c r="AY1035" i="2" s="1"/>
  <c r="AO1035" i="2" a="1"/>
  <c r="AO1035" i="2" s="1"/>
  <c r="AN1035" i="2"/>
  <c r="AY1023" i="2" a="1"/>
  <c r="AY1023" i="2" s="1"/>
  <c r="AO1023" i="2" a="1"/>
  <c r="AO1023" i="2" s="1"/>
  <c r="AN1023" i="2"/>
  <c r="AY1011" i="2" a="1"/>
  <c r="AY1011" i="2" s="1"/>
  <c r="AO1011" i="2" a="1"/>
  <c r="AO1011" i="2" s="1"/>
  <c r="AN1011" i="2"/>
  <c r="AY999" i="2" a="1"/>
  <c r="AY999" i="2" s="1"/>
  <c r="AO999" i="2" a="1"/>
  <c r="AO999" i="2" s="1"/>
  <c r="AN999" i="2"/>
  <c r="AY987" i="2" a="1"/>
  <c r="AY987" i="2" s="1"/>
  <c r="AO987" i="2" a="1"/>
  <c r="AO987" i="2" s="1"/>
  <c r="AN987" i="2"/>
  <c r="AY975" i="2" a="1"/>
  <c r="AY975" i="2" s="1"/>
  <c r="AO975" i="2" a="1"/>
  <c r="AO975" i="2" s="1"/>
  <c r="AN975" i="2"/>
  <c r="AY963" i="2" a="1"/>
  <c r="AY963" i="2" s="1"/>
  <c r="AO963" i="2" a="1"/>
  <c r="AO963" i="2" s="1"/>
  <c r="AN963" i="2"/>
  <c r="AY951" i="2" a="1"/>
  <c r="AY951" i="2" s="1"/>
  <c r="AO951" i="2" a="1"/>
  <c r="AO951" i="2" s="1"/>
  <c r="AN951" i="2"/>
  <c r="AY939" i="2" a="1"/>
  <c r="AY939" i="2" s="1"/>
  <c r="AO939" i="2" a="1"/>
  <c r="AO939" i="2" s="1"/>
  <c r="AN939" i="2"/>
  <c r="AY927" i="2" a="1"/>
  <c r="AY927" i="2" s="1"/>
  <c r="AO927" i="2" a="1"/>
  <c r="AO927" i="2" s="1"/>
  <c r="AN927" i="2"/>
  <c r="AY915" i="2" a="1"/>
  <c r="AY915" i="2" s="1"/>
  <c r="AO915" i="2" a="1"/>
  <c r="AO915" i="2" s="1"/>
  <c r="AN915" i="2"/>
  <c r="AY903" i="2" a="1"/>
  <c r="AY903" i="2" s="1"/>
  <c r="AO903" i="2" a="1"/>
  <c r="AO903" i="2" s="1"/>
  <c r="AN903" i="2"/>
  <c r="AY891" i="2" a="1"/>
  <c r="AY891" i="2" s="1"/>
  <c r="AO891" i="2" a="1"/>
  <c r="AO891" i="2" s="1"/>
  <c r="AN891" i="2"/>
  <c r="AY879" i="2" a="1"/>
  <c r="AY879" i="2" s="1"/>
  <c r="AO879" i="2" a="1"/>
  <c r="AO879" i="2" s="1"/>
  <c r="AN879" i="2"/>
  <c r="AY867" i="2" a="1"/>
  <c r="AY867" i="2" s="1"/>
  <c r="AO867" i="2" a="1"/>
  <c r="AO867" i="2" s="1"/>
  <c r="AN867" i="2"/>
  <c r="AY855" i="2" a="1"/>
  <c r="AY855" i="2" s="1"/>
  <c r="AO855" i="2" a="1"/>
  <c r="AO855" i="2" s="1"/>
  <c r="AN855" i="2"/>
  <c r="AY843" i="2" a="1"/>
  <c r="AY843" i="2" s="1"/>
  <c r="AO843" i="2" a="1"/>
  <c r="AO843" i="2" s="1"/>
  <c r="AN843" i="2"/>
  <c r="AY831" i="2" a="1"/>
  <c r="AY831" i="2" s="1"/>
  <c r="AO831" i="2" a="1"/>
  <c r="AO831" i="2" s="1"/>
  <c r="AN831" i="2"/>
  <c r="AY819" i="2" a="1"/>
  <c r="AY819" i="2" s="1"/>
  <c r="AO819" i="2" a="1"/>
  <c r="AO819" i="2" s="1"/>
  <c r="AN819" i="2"/>
  <c r="AY807" i="2" a="1"/>
  <c r="AY807" i="2" s="1"/>
  <c r="AO807" i="2" a="1"/>
  <c r="AO807" i="2" s="1"/>
  <c r="AN807" i="2"/>
  <c r="AY795" i="2" a="1"/>
  <c r="AY795" i="2" s="1"/>
  <c r="AO795" i="2" a="1"/>
  <c r="AO795" i="2" s="1"/>
  <c r="AN795" i="2"/>
  <c r="AY783" i="2" a="1"/>
  <c r="AY783" i="2" s="1"/>
  <c r="AO783" i="2" a="1"/>
  <c r="AO783" i="2" s="1"/>
  <c r="AN783" i="2"/>
  <c r="AY771" i="2" a="1"/>
  <c r="AY771" i="2" s="1"/>
  <c r="AO771" i="2" a="1"/>
  <c r="AO771" i="2" s="1"/>
  <c r="AN771" i="2"/>
  <c r="AY759" i="2" a="1"/>
  <c r="AY759" i="2" s="1"/>
  <c r="AO759" i="2" a="1"/>
  <c r="AO759" i="2" s="1"/>
  <c r="AN759" i="2"/>
  <c r="AY747" i="2" a="1"/>
  <c r="AY747" i="2" s="1"/>
  <c r="AO747" i="2" a="1"/>
  <c r="AO747" i="2" s="1"/>
  <c r="AN747" i="2"/>
  <c r="AY735" i="2" a="1"/>
  <c r="AY735" i="2" s="1"/>
  <c r="AO735" i="2" a="1"/>
  <c r="AO735" i="2" s="1"/>
  <c r="AN735" i="2"/>
  <c r="AY723" i="2" a="1"/>
  <c r="AY723" i="2" s="1"/>
  <c r="AO723" i="2" a="1"/>
  <c r="AO723" i="2" s="1"/>
  <c r="AN723" i="2"/>
  <c r="AY711" i="2" a="1"/>
  <c r="AY711" i="2" s="1"/>
  <c r="AO711" i="2" a="1"/>
  <c r="AO711" i="2" s="1"/>
  <c r="AN711" i="2"/>
  <c r="AY699" i="2" a="1"/>
  <c r="AY699" i="2" s="1"/>
  <c r="AO699" i="2" a="1"/>
  <c r="AO699" i="2" s="1"/>
  <c r="AN699" i="2"/>
  <c r="AY687" i="2" a="1"/>
  <c r="AY687" i="2" s="1"/>
  <c r="AO687" i="2" a="1"/>
  <c r="AO687" i="2" s="1"/>
  <c r="AN687" i="2"/>
  <c r="AY675" i="2" a="1"/>
  <c r="AY675" i="2" s="1"/>
  <c r="AO675" i="2" a="1"/>
  <c r="AO675" i="2" s="1"/>
  <c r="AN675" i="2"/>
  <c r="AY663" i="2" a="1"/>
  <c r="AY663" i="2" s="1"/>
  <c r="AO663" i="2" a="1"/>
  <c r="AO663" i="2" s="1"/>
  <c r="AN663" i="2"/>
  <c r="AY651" i="2" a="1"/>
  <c r="AY651" i="2" s="1"/>
  <c r="AO651" i="2" a="1"/>
  <c r="AO651" i="2" s="1"/>
  <c r="AN651" i="2"/>
  <c r="AY639" i="2" a="1"/>
  <c r="AY639" i="2" s="1"/>
  <c r="AO639" i="2" a="1"/>
  <c r="AO639" i="2" s="1"/>
  <c r="AN639" i="2"/>
  <c r="AY627" i="2" a="1"/>
  <c r="AY627" i="2" s="1"/>
  <c r="AO627" i="2" a="1"/>
  <c r="AO627" i="2" s="1"/>
  <c r="AN627" i="2"/>
  <c r="AY615" i="2" a="1"/>
  <c r="AY615" i="2" s="1"/>
  <c r="AO615" i="2" a="1"/>
  <c r="AO615" i="2" s="1"/>
  <c r="AN615" i="2"/>
  <c r="AY603" i="2" a="1"/>
  <c r="AY603" i="2" s="1"/>
  <c r="AO603" i="2" a="1"/>
  <c r="AO603" i="2" s="1"/>
  <c r="AN603" i="2"/>
  <c r="AY591" i="2" a="1"/>
  <c r="AY591" i="2" s="1"/>
  <c r="AO591" i="2" a="1"/>
  <c r="AO591" i="2" s="1"/>
  <c r="AN591" i="2"/>
  <c r="AY579" i="2" a="1"/>
  <c r="AY579" i="2" s="1"/>
  <c r="AO579" i="2" a="1"/>
  <c r="AO579" i="2" s="1"/>
  <c r="AN579" i="2"/>
  <c r="AY567" i="2" a="1"/>
  <c r="AY567" i="2" s="1"/>
  <c r="AO567" i="2" a="1"/>
  <c r="AO567" i="2" s="1"/>
  <c r="AN567" i="2"/>
  <c r="AY555" i="2" a="1"/>
  <c r="AY555" i="2" s="1"/>
  <c r="AO555" i="2" a="1"/>
  <c r="AO555" i="2" s="1"/>
  <c r="AN555" i="2"/>
  <c r="AY543" i="2" a="1"/>
  <c r="AY543" i="2" s="1"/>
  <c r="AO543" i="2" a="1"/>
  <c r="AO543" i="2" s="1"/>
  <c r="AN543" i="2"/>
  <c r="AY531" i="2" a="1"/>
  <c r="AY531" i="2" s="1"/>
  <c r="AO531" i="2" a="1"/>
  <c r="AO531" i="2" s="1"/>
  <c r="AN531" i="2"/>
  <c r="AY519" i="2" a="1"/>
  <c r="AY519" i="2" s="1"/>
  <c r="AO519" i="2" a="1"/>
  <c r="AO519" i="2" s="1"/>
  <c r="AN519" i="2"/>
  <c r="AY507" i="2" a="1"/>
  <c r="AY507" i="2" s="1"/>
  <c r="AO507" i="2" a="1"/>
  <c r="AO507" i="2" s="1"/>
  <c r="AN507" i="2"/>
  <c r="AY495" i="2" a="1"/>
  <c r="AY495" i="2" s="1"/>
  <c r="AO495" i="2" a="1"/>
  <c r="AO495" i="2" s="1"/>
  <c r="AN495" i="2"/>
  <c r="AY483" i="2" a="1"/>
  <c r="AY483" i="2" s="1"/>
  <c r="AO483" i="2" a="1"/>
  <c r="AO483" i="2" s="1"/>
  <c r="AN483" i="2"/>
  <c r="AY471" i="2" a="1"/>
  <c r="AY471" i="2" s="1"/>
  <c r="AO471" i="2" a="1"/>
  <c r="AO471" i="2" s="1"/>
  <c r="AN471" i="2"/>
  <c r="AY459" i="2" a="1"/>
  <c r="AY459" i="2" s="1"/>
  <c r="AO459" i="2" a="1"/>
  <c r="AO459" i="2" s="1"/>
  <c r="AN459" i="2"/>
  <c r="AY447" i="2" a="1"/>
  <c r="AY447" i="2" s="1"/>
  <c r="AO447" i="2" a="1"/>
  <c r="AO447" i="2" s="1"/>
  <c r="AN447" i="2"/>
  <c r="AY435" i="2" a="1"/>
  <c r="AY435" i="2" s="1"/>
  <c r="AO435" i="2" a="1"/>
  <c r="AO435" i="2" s="1"/>
  <c r="AN435" i="2"/>
  <c r="AY423" i="2" a="1"/>
  <c r="AY423" i="2" s="1"/>
  <c r="AO423" i="2" a="1"/>
  <c r="AO423" i="2" s="1"/>
  <c r="AN423" i="2"/>
  <c r="AY411" i="2" a="1"/>
  <c r="AY411" i="2" s="1"/>
  <c r="AO411" i="2" a="1"/>
  <c r="AO411" i="2" s="1"/>
  <c r="AN411" i="2"/>
  <c r="AY399" i="2" a="1"/>
  <c r="AY399" i="2" s="1"/>
  <c r="AO399" i="2" a="1"/>
  <c r="AO399" i="2" s="1"/>
  <c r="AN399" i="2"/>
  <c r="AY387" i="2" a="1"/>
  <c r="AY387" i="2" s="1"/>
  <c r="AO387" i="2" a="1"/>
  <c r="AO387" i="2" s="1"/>
  <c r="AN387" i="2"/>
  <c r="AY375" i="2" a="1"/>
  <c r="AY375" i="2" s="1"/>
  <c r="AO375" i="2" a="1"/>
  <c r="AO375" i="2" s="1"/>
  <c r="AN375" i="2"/>
  <c r="AY363" i="2" a="1"/>
  <c r="AY363" i="2" s="1"/>
  <c r="AO363" i="2" a="1"/>
  <c r="AO363" i="2" s="1"/>
  <c r="AN363" i="2"/>
  <c r="AY351" i="2" a="1"/>
  <c r="AY351" i="2" s="1"/>
  <c r="AO351" i="2" a="1"/>
  <c r="AO351" i="2" s="1"/>
  <c r="AN351" i="2"/>
  <c r="AY339" i="2" a="1"/>
  <c r="AY339" i="2" s="1"/>
  <c r="AO339" i="2" a="1"/>
  <c r="AO339" i="2" s="1"/>
  <c r="AN339" i="2"/>
  <c r="AY327" i="2" a="1"/>
  <c r="AY327" i="2" s="1"/>
  <c r="AO327" i="2" a="1"/>
  <c r="AO327" i="2" s="1"/>
  <c r="AN327" i="2"/>
  <c r="AY315" i="2" a="1"/>
  <c r="AY315" i="2" s="1"/>
  <c r="AO315" i="2" a="1"/>
  <c r="AO315" i="2" s="1"/>
  <c r="AN315" i="2"/>
  <c r="AY303" i="2" a="1"/>
  <c r="AY303" i="2" s="1"/>
  <c r="AO303" i="2" a="1"/>
  <c r="AO303" i="2" s="1"/>
  <c r="AN303" i="2"/>
  <c r="AY291" i="2" a="1"/>
  <c r="AY291" i="2" s="1"/>
  <c r="AN291" i="2"/>
  <c r="AO291" i="2" a="1"/>
  <c r="AO291" i="2" s="1"/>
  <c r="AY279" i="2" a="1"/>
  <c r="AY279" i="2" s="1"/>
  <c r="AO279" i="2" a="1"/>
  <c r="AO279" i="2" s="1"/>
  <c r="AN279" i="2"/>
  <c r="AY268" i="2" a="1"/>
  <c r="AY268" i="2" s="1"/>
  <c r="AO268" i="2" a="1"/>
  <c r="AO268" i="2" s="1"/>
  <c r="AN268" i="2"/>
  <c r="AY256" i="2" a="1"/>
  <c r="AY256" i="2" s="1"/>
  <c r="AO256" i="2" a="1"/>
  <c r="AO256" i="2" s="1"/>
  <c r="AN256" i="2"/>
  <c r="AY244" i="2" a="1"/>
  <c r="AY244" i="2" s="1"/>
  <c r="AO244" i="2" a="1"/>
  <c r="AO244" i="2" s="1"/>
  <c r="AN244" i="2"/>
  <c r="AY232" i="2" a="1"/>
  <c r="AY232" i="2" s="1"/>
  <c r="AO232" i="2" a="1"/>
  <c r="AO232" i="2" s="1"/>
  <c r="AN232" i="2"/>
  <c r="AY220" i="2" a="1"/>
  <c r="AY220" i="2" s="1"/>
  <c r="AO220" i="2" a="1"/>
  <c r="AO220" i="2" s="1"/>
  <c r="AN220" i="2"/>
  <c r="AY208" i="2" a="1"/>
  <c r="AY208" i="2" s="1"/>
  <c r="AO208" i="2" a="1"/>
  <c r="AO208" i="2" s="1"/>
  <c r="AN208" i="2"/>
  <c r="AY196" i="2" a="1"/>
  <c r="AY196" i="2" s="1"/>
  <c r="AO196" i="2" a="1"/>
  <c r="AO196" i="2" s="1"/>
  <c r="AN196" i="2"/>
  <c r="AY184" i="2" a="1"/>
  <c r="AY184" i="2" s="1"/>
  <c r="AO184" i="2" a="1"/>
  <c r="AO184" i="2" s="1"/>
  <c r="AN184" i="2"/>
  <c r="AY172" i="2" a="1"/>
  <c r="AY172" i="2" s="1"/>
  <c r="AO172" i="2" a="1"/>
  <c r="AO172" i="2" s="1"/>
  <c r="AN172" i="2"/>
  <c r="AY160" i="2" a="1"/>
  <c r="AY160" i="2" s="1"/>
  <c r="AO160" i="2" a="1"/>
  <c r="AO160" i="2" s="1"/>
  <c r="AN160" i="2"/>
  <c r="AY148" i="2" a="1"/>
  <c r="AY148" i="2" s="1"/>
  <c r="AO148" i="2" a="1"/>
  <c r="AO148" i="2" s="1"/>
  <c r="AN148" i="2"/>
  <c r="AY136" i="2" a="1"/>
  <c r="AY136" i="2" s="1"/>
  <c r="AO136" i="2" a="1"/>
  <c r="AO136" i="2" s="1"/>
  <c r="AN136" i="2"/>
  <c r="AY124" i="2" a="1"/>
  <c r="AY124" i="2" s="1"/>
  <c r="AO124" i="2" a="1"/>
  <c r="AO124" i="2" s="1"/>
  <c r="AN124" i="2"/>
  <c r="AY112" i="2" a="1"/>
  <c r="AY112" i="2" s="1"/>
  <c r="AO112" i="2" a="1"/>
  <c r="AO112" i="2" s="1"/>
  <c r="AN112" i="2"/>
  <c r="AY100" i="2" a="1"/>
  <c r="AY100" i="2" s="1"/>
  <c r="AO100" i="2" a="1"/>
  <c r="AO100" i="2" s="1"/>
  <c r="AN100" i="2"/>
  <c r="AY88" i="2" a="1"/>
  <c r="AY88" i="2" s="1"/>
  <c r="AO88" i="2" a="1"/>
  <c r="AO88" i="2" s="1"/>
  <c r="AN88" i="2"/>
  <c r="AY76" i="2" a="1"/>
  <c r="AY76" i="2" s="1"/>
  <c r="AN76" i="2"/>
  <c r="AO76" i="2" a="1"/>
  <c r="AO76" i="2" s="1"/>
  <c r="AY64" i="2" a="1"/>
  <c r="AY64" i="2" s="1"/>
  <c r="AO64" i="2" a="1"/>
  <c r="AO64" i="2" s="1"/>
  <c r="AN64" i="2"/>
  <c r="AY52" i="2" a="1"/>
  <c r="AY52" i="2" s="1"/>
  <c r="AO52" i="2" a="1"/>
  <c r="AO52" i="2" s="1"/>
  <c r="AN52" i="2"/>
  <c r="AY40" i="2" a="1"/>
  <c r="AY40" i="2" s="1"/>
  <c r="AN40" i="2"/>
  <c r="AO40" i="2" a="1"/>
  <c r="AO40" i="2" s="1"/>
  <c r="AY28" i="2" a="1"/>
  <c r="AY28" i="2" s="1"/>
  <c r="AO28" i="2" a="1"/>
  <c r="AO28" i="2" s="1"/>
  <c r="AN28" i="2"/>
  <c r="AY16" i="2" a="1"/>
  <c r="AY16" i="2" s="1"/>
  <c r="AO16" i="2" a="1"/>
  <c r="AO16" i="2" s="1"/>
  <c r="AN16" i="2"/>
  <c r="AY4" i="2" a="1"/>
  <c r="AY4" i="2" s="1"/>
  <c r="AO4" i="2" a="1"/>
  <c r="AO4" i="2" s="1"/>
  <c r="AN4" i="2"/>
  <c r="AY1040" i="2" a="1"/>
  <c r="AY1040" i="2" s="1"/>
  <c r="AO1040" i="2" a="1"/>
  <c r="AO1040" i="2" s="1"/>
  <c r="AN1040" i="2"/>
  <c r="AY908" i="2" a="1"/>
  <c r="AY908" i="2" s="1"/>
  <c r="AO908" i="2" a="1"/>
  <c r="AO908" i="2" s="1"/>
  <c r="AN908" i="2"/>
  <c r="AY776" i="2" a="1"/>
  <c r="AY776" i="2" s="1"/>
  <c r="AN776" i="2"/>
  <c r="AO776" i="2" a="1"/>
  <c r="AO776" i="2" s="1"/>
  <c r="AY656" i="2" a="1"/>
  <c r="AY656" i="2" s="1"/>
  <c r="AO656" i="2" a="1"/>
  <c r="AO656" i="2" s="1"/>
  <c r="AN656" i="2"/>
  <c r="AY500" i="2" a="1"/>
  <c r="AY500" i="2" s="1"/>
  <c r="AN500" i="2"/>
  <c r="AO500" i="2" a="1"/>
  <c r="AO500" i="2" s="1"/>
  <c r="AY332" i="2" a="1"/>
  <c r="AY332" i="2" s="1"/>
  <c r="AN332" i="2"/>
  <c r="AO332" i="2" a="1"/>
  <c r="AO332" i="2" s="1"/>
  <c r="AY153" i="2" a="1"/>
  <c r="AY153" i="2" s="1"/>
  <c r="AN153" i="2"/>
  <c r="AO153" i="2" a="1"/>
  <c r="AO153" i="2" s="1"/>
  <c r="AY1094" i="2" a="1"/>
  <c r="AY1094" i="2" s="1"/>
  <c r="AO1094" i="2" a="1"/>
  <c r="AO1094" i="2" s="1"/>
  <c r="AN1094" i="2"/>
  <c r="AY1082" i="2" a="1"/>
  <c r="AY1082" i="2" s="1"/>
  <c r="AO1082" i="2" a="1"/>
  <c r="AO1082" i="2" s="1"/>
  <c r="AN1082" i="2"/>
  <c r="AY1070" i="2" a="1"/>
  <c r="AY1070" i="2" s="1"/>
  <c r="AO1070" i="2" a="1"/>
  <c r="AO1070" i="2" s="1"/>
  <c r="AN1070" i="2"/>
  <c r="AY1058" i="2" a="1"/>
  <c r="AY1058" i="2" s="1"/>
  <c r="AO1058" i="2" a="1"/>
  <c r="AO1058" i="2" s="1"/>
  <c r="AN1058" i="2"/>
  <c r="AY1046" i="2" a="1"/>
  <c r="AY1046" i="2" s="1"/>
  <c r="AO1046" i="2" a="1"/>
  <c r="AO1046" i="2" s="1"/>
  <c r="AN1046" i="2"/>
  <c r="AY1034" i="2" a="1"/>
  <c r="AY1034" i="2" s="1"/>
  <c r="AO1034" i="2" a="1"/>
  <c r="AO1034" i="2" s="1"/>
  <c r="AN1034" i="2"/>
  <c r="AY1022" i="2" a="1"/>
  <c r="AY1022" i="2" s="1"/>
  <c r="AO1022" i="2" a="1"/>
  <c r="AO1022" i="2" s="1"/>
  <c r="AN1022" i="2"/>
  <c r="AY1010" i="2" a="1"/>
  <c r="AY1010" i="2" s="1"/>
  <c r="AO1010" i="2" a="1"/>
  <c r="AO1010" i="2" s="1"/>
  <c r="AN1010" i="2"/>
  <c r="AY998" i="2" a="1"/>
  <c r="AY998" i="2" s="1"/>
  <c r="AO998" i="2" a="1"/>
  <c r="AO998" i="2" s="1"/>
  <c r="AN998" i="2"/>
  <c r="AY986" i="2" a="1"/>
  <c r="AY986" i="2" s="1"/>
  <c r="AO986" i="2" a="1"/>
  <c r="AO986" i="2" s="1"/>
  <c r="AN986" i="2"/>
  <c r="AY974" i="2" a="1"/>
  <c r="AY974" i="2" s="1"/>
  <c r="AO974" i="2" a="1"/>
  <c r="AO974" i="2" s="1"/>
  <c r="AN974" i="2"/>
  <c r="AY962" i="2" a="1"/>
  <c r="AY962" i="2" s="1"/>
  <c r="AO962" i="2" a="1"/>
  <c r="AO962" i="2" s="1"/>
  <c r="AN962" i="2"/>
  <c r="AY950" i="2" a="1"/>
  <c r="AY950" i="2" s="1"/>
  <c r="AO950" i="2" a="1"/>
  <c r="AO950" i="2" s="1"/>
  <c r="AN950" i="2"/>
  <c r="AY938" i="2" a="1"/>
  <c r="AY938" i="2" s="1"/>
  <c r="AO938" i="2" a="1"/>
  <c r="AO938" i="2" s="1"/>
  <c r="AN938" i="2"/>
  <c r="AY926" i="2" a="1"/>
  <c r="AY926" i="2" s="1"/>
  <c r="AO926" i="2" a="1"/>
  <c r="AO926" i="2" s="1"/>
  <c r="AN926" i="2"/>
  <c r="AY914" i="2" a="1"/>
  <c r="AY914" i="2" s="1"/>
  <c r="AO914" i="2" a="1"/>
  <c r="AO914" i="2" s="1"/>
  <c r="AN914" i="2"/>
  <c r="AY902" i="2" a="1"/>
  <c r="AY902" i="2" s="1"/>
  <c r="AO902" i="2" a="1"/>
  <c r="AO902" i="2" s="1"/>
  <c r="AN902" i="2"/>
  <c r="AY890" i="2" a="1"/>
  <c r="AY890" i="2" s="1"/>
  <c r="AO890" i="2" a="1"/>
  <c r="AO890" i="2" s="1"/>
  <c r="AN890" i="2"/>
  <c r="AY878" i="2" a="1"/>
  <c r="AY878" i="2" s="1"/>
  <c r="AO878" i="2" a="1"/>
  <c r="AO878" i="2" s="1"/>
  <c r="AN878" i="2"/>
  <c r="AY866" i="2" a="1"/>
  <c r="AY866" i="2" s="1"/>
  <c r="AO866" i="2" a="1"/>
  <c r="AO866" i="2" s="1"/>
  <c r="AN866" i="2"/>
  <c r="AY854" i="2" a="1"/>
  <c r="AY854" i="2" s="1"/>
  <c r="AO854" i="2" a="1"/>
  <c r="AO854" i="2" s="1"/>
  <c r="AN854" i="2"/>
  <c r="AY842" i="2" a="1"/>
  <c r="AY842" i="2" s="1"/>
  <c r="AO842" i="2" a="1"/>
  <c r="AO842" i="2" s="1"/>
  <c r="AN842" i="2"/>
  <c r="AY830" i="2" a="1"/>
  <c r="AY830" i="2" s="1"/>
  <c r="AO830" i="2" a="1"/>
  <c r="AO830" i="2" s="1"/>
  <c r="AN830" i="2"/>
  <c r="AY818" i="2" a="1"/>
  <c r="AY818" i="2" s="1"/>
  <c r="AO818" i="2" a="1"/>
  <c r="AO818" i="2" s="1"/>
  <c r="AN818" i="2"/>
  <c r="AY806" i="2" a="1"/>
  <c r="AY806" i="2" s="1"/>
  <c r="AO806" i="2" a="1"/>
  <c r="AO806" i="2" s="1"/>
  <c r="AN806" i="2"/>
  <c r="AY794" i="2" a="1"/>
  <c r="AY794" i="2" s="1"/>
  <c r="AO794" i="2" a="1"/>
  <c r="AO794" i="2" s="1"/>
  <c r="AN794" i="2"/>
  <c r="AY782" i="2" a="1"/>
  <c r="AY782" i="2" s="1"/>
  <c r="AO782" i="2" a="1"/>
  <c r="AO782" i="2" s="1"/>
  <c r="AN782" i="2"/>
  <c r="AY770" i="2" a="1"/>
  <c r="AY770" i="2" s="1"/>
  <c r="AO770" i="2" a="1"/>
  <c r="AO770" i="2" s="1"/>
  <c r="AN770" i="2"/>
  <c r="AY758" i="2" a="1"/>
  <c r="AY758" i="2" s="1"/>
  <c r="AO758" i="2" a="1"/>
  <c r="AO758" i="2" s="1"/>
  <c r="AN758" i="2"/>
  <c r="AY746" i="2" a="1"/>
  <c r="AY746" i="2" s="1"/>
  <c r="AO746" i="2" a="1"/>
  <c r="AO746" i="2" s="1"/>
  <c r="AN746" i="2"/>
  <c r="AY734" i="2" a="1"/>
  <c r="AY734" i="2" s="1"/>
  <c r="AO734" i="2" a="1"/>
  <c r="AO734" i="2" s="1"/>
  <c r="AN734" i="2"/>
  <c r="AY722" i="2" a="1"/>
  <c r="AY722" i="2" s="1"/>
  <c r="AO722" i="2" a="1"/>
  <c r="AO722" i="2" s="1"/>
  <c r="AN722" i="2"/>
  <c r="AY710" i="2" a="1"/>
  <c r="AY710" i="2" s="1"/>
  <c r="AO710" i="2" a="1"/>
  <c r="AO710" i="2" s="1"/>
  <c r="AN710" i="2"/>
  <c r="AY698" i="2" a="1"/>
  <c r="AY698" i="2" s="1"/>
  <c r="AO698" i="2" a="1"/>
  <c r="AO698" i="2" s="1"/>
  <c r="AN698" i="2"/>
  <c r="AY686" i="2" a="1"/>
  <c r="AY686" i="2" s="1"/>
  <c r="AO686" i="2" a="1"/>
  <c r="AO686" i="2" s="1"/>
  <c r="AN686" i="2"/>
  <c r="AY674" i="2" a="1"/>
  <c r="AY674" i="2" s="1"/>
  <c r="AO674" i="2" a="1"/>
  <c r="AO674" i="2" s="1"/>
  <c r="AN674" i="2"/>
  <c r="AY662" i="2" a="1"/>
  <c r="AY662" i="2" s="1"/>
  <c r="AO662" i="2" a="1"/>
  <c r="AO662" i="2" s="1"/>
  <c r="AN662" i="2"/>
  <c r="AY650" i="2" a="1"/>
  <c r="AY650" i="2" s="1"/>
  <c r="AO650" i="2" a="1"/>
  <c r="AO650" i="2" s="1"/>
  <c r="AN650" i="2"/>
  <c r="AY638" i="2" a="1"/>
  <c r="AY638" i="2" s="1"/>
  <c r="AO638" i="2" a="1"/>
  <c r="AO638" i="2" s="1"/>
  <c r="AN638" i="2"/>
  <c r="AY626" i="2" a="1"/>
  <c r="AY626" i="2" s="1"/>
  <c r="AO626" i="2" a="1"/>
  <c r="AO626" i="2" s="1"/>
  <c r="AN626" i="2"/>
  <c r="AY614" i="2" a="1"/>
  <c r="AY614" i="2" s="1"/>
  <c r="AO614" i="2" a="1"/>
  <c r="AO614" i="2" s="1"/>
  <c r="AN614" i="2"/>
  <c r="AY602" i="2" a="1"/>
  <c r="AY602" i="2" s="1"/>
  <c r="AO602" i="2" a="1"/>
  <c r="AO602" i="2" s="1"/>
  <c r="AN602" i="2"/>
  <c r="AY590" i="2" a="1"/>
  <c r="AY590" i="2" s="1"/>
  <c r="AO590" i="2" a="1"/>
  <c r="AO590" i="2" s="1"/>
  <c r="AN590" i="2"/>
  <c r="AY578" i="2" a="1"/>
  <c r="AY578" i="2" s="1"/>
  <c r="AO578" i="2" a="1"/>
  <c r="AO578" i="2" s="1"/>
  <c r="AN578" i="2"/>
  <c r="AY566" i="2" a="1"/>
  <c r="AY566" i="2" s="1"/>
  <c r="AO566" i="2" a="1"/>
  <c r="AO566" i="2" s="1"/>
  <c r="AN566" i="2"/>
  <c r="AY554" i="2" a="1"/>
  <c r="AY554" i="2" s="1"/>
  <c r="AO554" i="2" a="1"/>
  <c r="AO554" i="2" s="1"/>
  <c r="AN554" i="2"/>
  <c r="AY542" i="2" a="1"/>
  <c r="AY542" i="2" s="1"/>
  <c r="AO542" i="2" a="1"/>
  <c r="AO542" i="2" s="1"/>
  <c r="AN542" i="2"/>
  <c r="AY530" i="2" a="1"/>
  <c r="AY530" i="2" s="1"/>
  <c r="AO530" i="2" a="1"/>
  <c r="AO530" i="2" s="1"/>
  <c r="AN530" i="2"/>
  <c r="AY518" i="2" a="1"/>
  <c r="AY518" i="2" s="1"/>
  <c r="AO518" i="2" a="1"/>
  <c r="AO518" i="2" s="1"/>
  <c r="AN518" i="2"/>
  <c r="AY506" i="2" a="1"/>
  <c r="AY506" i="2" s="1"/>
  <c r="AO506" i="2" a="1"/>
  <c r="AO506" i="2" s="1"/>
  <c r="AN506" i="2"/>
  <c r="AY494" i="2" a="1"/>
  <c r="AY494" i="2" s="1"/>
  <c r="AO494" i="2" a="1"/>
  <c r="AO494" i="2" s="1"/>
  <c r="AN494" i="2"/>
  <c r="AY482" i="2" a="1"/>
  <c r="AY482" i="2" s="1"/>
  <c r="AO482" i="2" a="1"/>
  <c r="AO482" i="2" s="1"/>
  <c r="AN482" i="2"/>
  <c r="AY470" i="2" a="1"/>
  <c r="AY470" i="2" s="1"/>
  <c r="AO470" i="2" a="1"/>
  <c r="AO470" i="2" s="1"/>
  <c r="AN470" i="2"/>
  <c r="AY458" i="2" a="1"/>
  <c r="AY458" i="2" s="1"/>
  <c r="AO458" i="2" a="1"/>
  <c r="AO458" i="2" s="1"/>
  <c r="AN458" i="2"/>
  <c r="AY446" i="2" a="1"/>
  <c r="AY446" i="2" s="1"/>
  <c r="AO446" i="2" a="1"/>
  <c r="AO446" i="2" s="1"/>
  <c r="AN446" i="2"/>
  <c r="AY434" i="2" a="1"/>
  <c r="AY434" i="2" s="1"/>
  <c r="AO434" i="2" a="1"/>
  <c r="AO434" i="2" s="1"/>
  <c r="AN434" i="2"/>
  <c r="AY422" i="2" a="1"/>
  <c r="AY422" i="2" s="1"/>
  <c r="AO422" i="2" a="1"/>
  <c r="AO422" i="2" s="1"/>
  <c r="AN422" i="2"/>
  <c r="AY410" i="2" a="1"/>
  <c r="AY410" i="2" s="1"/>
  <c r="AO410" i="2" a="1"/>
  <c r="AO410" i="2" s="1"/>
  <c r="AN410" i="2"/>
  <c r="AY398" i="2" a="1"/>
  <c r="AY398" i="2" s="1"/>
  <c r="AO398" i="2" a="1"/>
  <c r="AO398" i="2" s="1"/>
  <c r="AN398" i="2"/>
  <c r="AY386" i="2" a="1"/>
  <c r="AY386" i="2" s="1"/>
  <c r="AO386" i="2" a="1"/>
  <c r="AO386" i="2" s="1"/>
  <c r="AN386" i="2"/>
  <c r="AY374" i="2" a="1"/>
  <c r="AY374" i="2" s="1"/>
  <c r="AO374" i="2" a="1"/>
  <c r="AO374" i="2" s="1"/>
  <c r="AN374" i="2"/>
  <c r="AY362" i="2" a="1"/>
  <c r="AY362" i="2" s="1"/>
  <c r="AO362" i="2" a="1"/>
  <c r="AO362" i="2" s="1"/>
  <c r="AN362" i="2"/>
  <c r="AY350" i="2" a="1"/>
  <c r="AY350" i="2" s="1"/>
  <c r="AO350" i="2" a="1"/>
  <c r="AO350" i="2" s="1"/>
  <c r="AN350" i="2"/>
  <c r="AY338" i="2" a="1"/>
  <c r="AY338" i="2" s="1"/>
  <c r="AO338" i="2" a="1"/>
  <c r="AO338" i="2" s="1"/>
  <c r="AN338" i="2"/>
  <c r="AY326" i="2" a="1"/>
  <c r="AY326" i="2" s="1"/>
  <c r="AO326" i="2" a="1"/>
  <c r="AO326" i="2" s="1"/>
  <c r="AN326" i="2"/>
  <c r="AY314" i="2" a="1"/>
  <c r="AY314" i="2" s="1"/>
  <c r="AO314" i="2" a="1"/>
  <c r="AO314" i="2" s="1"/>
  <c r="AN314" i="2"/>
  <c r="AY302" i="2" a="1"/>
  <c r="AY302" i="2" s="1"/>
  <c r="AO302" i="2" a="1"/>
  <c r="AO302" i="2" s="1"/>
  <c r="AN302" i="2"/>
  <c r="AY290" i="2" a="1"/>
  <c r="AY290" i="2" s="1"/>
  <c r="AO290" i="2" a="1"/>
  <c r="AO290" i="2" s="1"/>
  <c r="AN290" i="2"/>
  <c r="AY278" i="2" a="1"/>
  <c r="AY278" i="2" s="1"/>
  <c r="AO278" i="2" a="1"/>
  <c r="AO278" i="2" s="1"/>
  <c r="AN278" i="2"/>
  <c r="AY267" i="2" a="1"/>
  <c r="AY267" i="2" s="1"/>
  <c r="AO267" i="2" a="1"/>
  <c r="AO267" i="2" s="1"/>
  <c r="AN267" i="2"/>
  <c r="AY255" i="2" a="1"/>
  <c r="AY255" i="2" s="1"/>
  <c r="AO255" i="2" a="1"/>
  <c r="AO255" i="2" s="1"/>
  <c r="AN255" i="2"/>
  <c r="AY243" i="2" a="1"/>
  <c r="AY243" i="2" s="1"/>
  <c r="AO243" i="2" a="1"/>
  <c r="AO243" i="2" s="1"/>
  <c r="AN243" i="2"/>
  <c r="AY231" i="2" a="1"/>
  <c r="AY231" i="2" s="1"/>
  <c r="AO231" i="2" a="1"/>
  <c r="AO231" i="2" s="1"/>
  <c r="AN231" i="2"/>
  <c r="AY219" i="2" a="1"/>
  <c r="AY219" i="2" s="1"/>
  <c r="AO219" i="2" a="1"/>
  <c r="AO219" i="2" s="1"/>
  <c r="AN219" i="2"/>
  <c r="AY207" i="2" a="1"/>
  <c r="AY207" i="2" s="1"/>
  <c r="AO207" i="2" a="1"/>
  <c r="AO207" i="2" s="1"/>
  <c r="AN207" i="2"/>
  <c r="AY195" i="2" a="1"/>
  <c r="AY195" i="2" s="1"/>
  <c r="AO195" i="2" a="1"/>
  <c r="AO195" i="2" s="1"/>
  <c r="AN195" i="2"/>
  <c r="AY183" i="2" a="1"/>
  <c r="AY183" i="2" s="1"/>
  <c r="AO183" i="2" a="1"/>
  <c r="AO183" i="2" s="1"/>
  <c r="AN183" i="2"/>
  <c r="AY171" i="2" a="1"/>
  <c r="AY171" i="2" s="1"/>
  <c r="AO171" i="2" a="1"/>
  <c r="AO171" i="2" s="1"/>
  <c r="AN171" i="2"/>
  <c r="AY159" i="2" a="1"/>
  <c r="AY159" i="2" s="1"/>
  <c r="AO159" i="2" a="1"/>
  <c r="AO159" i="2" s="1"/>
  <c r="AN159" i="2"/>
  <c r="AY147" i="2" a="1"/>
  <c r="AY147" i="2" s="1"/>
  <c r="AO147" i="2" a="1"/>
  <c r="AO147" i="2" s="1"/>
  <c r="AN147" i="2"/>
  <c r="AY135" i="2" a="1"/>
  <c r="AY135" i="2" s="1"/>
  <c r="AN135" i="2"/>
  <c r="AO135" i="2" a="1"/>
  <c r="AO135" i="2" s="1"/>
  <c r="AY123" i="2" a="1"/>
  <c r="AY123" i="2" s="1"/>
  <c r="AO123" i="2" a="1"/>
  <c r="AO123" i="2" s="1"/>
  <c r="AN123" i="2"/>
  <c r="AY111" i="2" a="1"/>
  <c r="AY111" i="2" s="1"/>
  <c r="AO111" i="2" a="1"/>
  <c r="AO111" i="2" s="1"/>
  <c r="AN111" i="2"/>
  <c r="AY99" i="2" a="1"/>
  <c r="AY99" i="2" s="1"/>
  <c r="AO99" i="2" a="1"/>
  <c r="AO99" i="2" s="1"/>
  <c r="AN99" i="2"/>
  <c r="AY87" i="2" a="1"/>
  <c r="AY87" i="2" s="1"/>
  <c r="AO87" i="2" a="1"/>
  <c r="AO87" i="2" s="1"/>
  <c r="AN87" i="2"/>
  <c r="AY75" i="2" a="1"/>
  <c r="AY75" i="2" s="1"/>
  <c r="AO75" i="2" a="1"/>
  <c r="AO75" i="2" s="1"/>
  <c r="AN75" i="2"/>
  <c r="AY63" i="2" a="1"/>
  <c r="AY63" i="2" s="1"/>
  <c r="AO63" i="2" a="1"/>
  <c r="AO63" i="2" s="1"/>
  <c r="AN63" i="2"/>
  <c r="AY51" i="2" a="1"/>
  <c r="AY51" i="2" s="1"/>
  <c r="AO51" i="2" a="1"/>
  <c r="AO51" i="2" s="1"/>
  <c r="AN51" i="2"/>
  <c r="AY39" i="2" a="1"/>
  <c r="AY39" i="2" s="1"/>
  <c r="AN39" i="2"/>
  <c r="AO39" i="2" a="1"/>
  <c r="AO39" i="2" s="1"/>
  <c r="AY27" i="2" a="1"/>
  <c r="AY27" i="2" s="1"/>
  <c r="AO27" i="2" a="1"/>
  <c r="AO27" i="2" s="1"/>
  <c r="AN27" i="2"/>
  <c r="AY15" i="2" a="1"/>
  <c r="AY15" i="2" s="1"/>
  <c r="AN15" i="2"/>
  <c r="AO15" i="2" a="1"/>
  <c r="AO15" i="2" s="1"/>
  <c r="AY3" i="2" a="1"/>
  <c r="AY3" i="2" s="1"/>
  <c r="AO3" i="2" a="1"/>
  <c r="AO3" i="2" s="1"/>
  <c r="AN3" i="2"/>
  <c r="AY1052" i="2" a="1"/>
  <c r="AY1052" i="2" s="1"/>
  <c r="AO1052" i="2" a="1"/>
  <c r="AO1052" i="2" s="1"/>
  <c r="AN1052" i="2"/>
  <c r="AY968" i="2" a="1"/>
  <c r="AY968" i="2" s="1"/>
  <c r="AO968" i="2" a="1"/>
  <c r="AO968" i="2" s="1"/>
  <c r="AN968" i="2"/>
  <c r="AY872" i="2" a="1"/>
  <c r="AY872" i="2" s="1"/>
  <c r="AO872" i="2" a="1"/>
  <c r="AO872" i="2" s="1"/>
  <c r="AN872" i="2"/>
  <c r="AY788" i="2" a="1"/>
  <c r="AY788" i="2" s="1"/>
  <c r="AO788" i="2" a="1"/>
  <c r="AO788" i="2" s="1"/>
  <c r="AN788" i="2"/>
  <c r="AY680" i="2" a="1"/>
  <c r="AY680" i="2" s="1"/>
  <c r="AO680" i="2" a="1"/>
  <c r="AO680" i="2" s="1"/>
  <c r="AN680" i="2"/>
  <c r="AY560" i="2" a="1"/>
  <c r="AY560" i="2" s="1"/>
  <c r="AO560" i="2" a="1"/>
  <c r="AO560" i="2" s="1"/>
  <c r="AN560" i="2"/>
  <c r="AY452" i="2" a="1"/>
  <c r="AY452" i="2" s="1"/>
  <c r="AN452" i="2"/>
  <c r="AO452" i="2" a="1"/>
  <c r="AO452" i="2" s="1"/>
  <c r="AY356" i="2" a="1"/>
  <c r="AY356" i="2" s="1"/>
  <c r="AO356" i="2" a="1"/>
  <c r="AO356" i="2" s="1"/>
  <c r="AN356" i="2"/>
  <c r="AY249" i="2" a="1"/>
  <c r="AY249" i="2" s="1"/>
  <c r="AN249" i="2"/>
  <c r="AO249" i="2" a="1"/>
  <c r="AO249" i="2" s="1"/>
  <c r="AY189" i="2" a="1"/>
  <c r="AY189" i="2" s="1"/>
  <c r="AN189" i="2"/>
  <c r="AO189" i="2" a="1"/>
  <c r="AO189" i="2" s="1"/>
  <c r="AY93" i="2" a="1"/>
  <c r="AY93" i="2" s="1"/>
  <c r="AN93" i="2"/>
  <c r="AO93" i="2" a="1"/>
  <c r="AO93" i="2" s="1"/>
  <c r="AY21" i="2" a="1"/>
  <c r="AY21" i="2" s="1"/>
  <c r="AN21" i="2"/>
  <c r="AO21" i="2" a="1"/>
  <c r="AO21" i="2" s="1"/>
  <c r="AS1072" i="2" a="1"/>
  <c r="AS1072" i="2" s="1"/>
  <c r="AW1072" i="2" s="1"/>
  <c r="AR1072" i="2"/>
  <c r="AT1072" i="2" s="1"/>
  <c r="AP1072" i="2"/>
  <c r="AS1048" i="2" a="1"/>
  <c r="AS1048" i="2" s="1"/>
  <c r="AW1048" i="2" s="1"/>
  <c r="AR1048" i="2"/>
  <c r="AT1048" i="2" s="1"/>
  <c r="AP1048" i="2"/>
  <c r="AS1000" i="2" a="1"/>
  <c r="AS1000" i="2" s="1"/>
  <c r="AW1000" i="2" s="1"/>
  <c r="AR1000" i="2"/>
  <c r="AT1000" i="2" s="1"/>
  <c r="AP1000" i="2"/>
  <c r="AS904" i="2" a="1"/>
  <c r="AS904" i="2" s="1"/>
  <c r="AW904" i="2" s="1"/>
  <c r="AR904" i="2"/>
  <c r="AT904" i="2" s="1"/>
  <c r="AP904" i="2"/>
  <c r="AS856" i="2" a="1"/>
  <c r="AS856" i="2" s="1"/>
  <c r="AW856" i="2" s="1"/>
  <c r="AR856" i="2"/>
  <c r="AT856" i="2" s="1"/>
  <c r="AP856" i="2"/>
  <c r="AS808" i="2" a="1"/>
  <c r="AS808" i="2" s="1"/>
  <c r="AW808" i="2" s="1"/>
  <c r="AR808" i="2"/>
  <c r="AT808" i="2" s="1"/>
  <c r="AP808" i="2"/>
  <c r="AR724" i="2"/>
  <c r="AT724" i="2" s="1"/>
  <c r="AS724" i="2" a="1"/>
  <c r="AS724" i="2" s="1"/>
  <c r="AW724" i="2" s="1"/>
  <c r="AP724" i="2"/>
  <c r="AR508" i="2"/>
  <c r="AT508" i="2" s="1"/>
  <c r="AS508" i="2" a="1"/>
  <c r="AS508" i="2" s="1"/>
  <c r="AW508" i="2" s="1"/>
  <c r="AP508" i="2"/>
  <c r="AY1093" i="2" a="1"/>
  <c r="AY1093" i="2" s="1"/>
  <c r="AO1093" i="2" a="1"/>
  <c r="AO1093" i="2" s="1"/>
  <c r="AN1093" i="2"/>
  <c r="AY1081" i="2" a="1"/>
  <c r="AY1081" i="2" s="1"/>
  <c r="AO1081" i="2" a="1"/>
  <c r="AO1081" i="2" s="1"/>
  <c r="AN1081" i="2"/>
  <c r="AY1069" i="2" a="1"/>
  <c r="AY1069" i="2" s="1"/>
  <c r="AO1069" i="2" a="1"/>
  <c r="AO1069" i="2" s="1"/>
  <c r="AN1069" i="2"/>
  <c r="AY1057" i="2" a="1"/>
  <c r="AY1057" i="2" s="1"/>
  <c r="AO1057" i="2" a="1"/>
  <c r="AO1057" i="2" s="1"/>
  <c r="AN1057" i="2"/>
  <c r="AY1045" i="2" a="1"/>
  <c r="AY1045" i="2" s="1"/>
  <c r="AO1045" i="2" a="1"/>
  <c r="AO1045" i="2" s="1"/>
  <c r="AN1045" i="2"/>
  <c r="AY1033" i="2" a="1"/>
  <c r="AY1033" i="2" s="1"/>
  <c r="AO1033" i="2" a="1"/>
  <c r="AO1033" i="2" s="1"/>
  <c r="AN1033" i="2"/>
  <c r="AY1021" i="2" a="1"/>
  <c r="AY1021" i="2" s="1"/>
  <c r="AO1021" i="2" a="1"/>
  <c r="AO1021" i="2" s="1"/>
  <c r="AN1021" i="2"/>
  <c r="AY1009" i="2" a="1"/>
  <c r="AY1009" i="2" s="1"/>
  <c r="AO1009" i="2" a="1"/>
  <c r="AO1009" i="2" s="1"/>
  <c r="AN1009" i="2"/>
  <c r="AY997" i="2" a="1"/>
  <c r="AY997" i="2" s="1"/>
  <c r="AO997" i="2" a="1"/>
  <c r="AO997" i="2" s="1"/>
  <c r="AN997" i="2"/>
  <c r="AY985" i="2" a="1"/>
  <c r="AY985" i="2" s="1"/>
  <c r="AO985" i="2" a="1"/>
  <c r="AO985" i="2" s="1"/>
  <c r="AN985" i="2"/>
  <c r="AY973" i="2" a="1"/>
  <c r="AY973" i="2" s="1"/>
  <c r="AO973" i="2" a="1"/>
  <c r="AO973" i="2" s="1"/>
  <c r="AN973" i="2"/>
  <c r="AY961" i="2" a="1"/>
  <c r="AY961" i="2" s="1"/>
  <c r="AN961" i="2"/>
  <c r="AO961" i="2" a="1"/>
  <c r="AO961" i="2" s="1"/>
  <c r="AY949" i="2" a="1"/>
  <c r="AY949" i="2" s="1"/>
  <c r="AO949" i="2" a="1"/>
  <c r="AO949" i="2" s="1"/>
  <c r="AN949" i="2"/>
  <c r="AY937" i="2" a="1"/>
  <c r="AY937" i="2" s="1"/>
  <c r="AO937" i="2" a="1"/>
  <c r="AO937" i="2" s="1"/>
  <c r="AN937" i="2"/>
  <c r="AY925" i="2" a="1"/>
  <c r="AY925" i="2" s="1"/>
  <c r="AO925" i="2" a="1"/>
  <c r="AO925" i="2" s="1"/>
  <c r="AN925" i="2"/>
  <c r="AY913" i="2" a="1"/>
  <c r="AY913" i="2" s="1"/>
  <c r="AO913" i="2" a="1"/>
  <c r="AO913" i="2" s="1"/>
  <c r="AN913" i="2"/>
  <c r="AY901" i="2" a="1"/>
  <c r="AY901" i="2" s="1"/>
  <c r="AO901" i="2" a="1"/>
  <c r="AO901" i="2" s="1"/>
  <c r="AN901" i="2"/>
  <c r="AY889" i="2" a="1"/>
  <c r="AY889" i="2" s="1"/>
  <c r="AO889" i="2" a="1"/>
  <c r="AO889" i="2" s="1"/>
  <c r="AN889" i="2"/>
  <c r="AY877" i="2" a="1"/>
  <c r="AY877" i="2" s="1"/>
  <c r="AO877" i="2" a="1"/>
  <c r="AO877" i="2" s="1"/>
  <c r="AN877" i="2"/>
  <c r="AY865" i="2" a="1"/>
  <c r="AY865" i="2" s="1"/>
  <c r="AO865" i="2" a="1"/>
  <c r="AO865" i="2" s="1"/>
  <c r="AN865" i="2"/>
  <c r="AY853" i="2" a="1"/>
  <c r="AY853" i="2" s="1"/>
  <c r="AO853" i="2" a="1"/>
  <c r="AO853" i="2" s="1"/>
  <c r="AN853" i="2"/>
  <c r="AY841" i="2" a="1"/>
  <c r="AY841" i="2" s="1"/>
  <c r="AO841" i="2" a="1"/>
  <c r="AO841" i="2" s="1"/>
  <c r="AN841" i="2"/>
  <c r="AY829" i="2" a="1"/>
  <c r="AY829" i="2" s="1"/>
  <c r="AO829" i="2" a="1"/>
  <c r="AO829" i="2" s="1"/>
  <c r="AN829" i="2"/>
  <c r="AY817" i="2" a="1"/>
  <c r="AY817" i="2" s="1"/>
  <c r="AO817" i="2" a="1"/>
  <c r="AO817" i="2" s="1"/>
  <c r="AN817" i="2"/>
  <c r="AY805" i="2" a="1"/>
  <c r="AY805" i="2" s="1"/>
  <c r="AO805" i="2" a="1"/>
  <c r="AO805" i="2" s="1"/>
  <c r="AN805" i="2"/>
  <c r="AY793" i="2" a="1"/>
  <c r="AY793" i="2" s="1"/>
  <c r="AO793" i="2" a="1"/>
  <c r="AO793" i="2" s="1"/>
  <c r="AN793" i="2"/>
  <c r="AY781" i="2" a="1"/>
  <c r="AY781" i="2" s="1"/>
  <c r="AO781" i="2" a="1"/>
  <c r="AO781" i="2" s="1"/>
  <c r="AN781" i="2"/>
  <c r="AY769" i="2" a="1"/>
  <c r="AY769" i="2" s="1"/>
  <c r="AO769" i="2" a="1"/>
  <c r="AO769" i="2" s="1"/>
  <c r="AN769" i="2"/>
  <c r="AY757" i="2" a="1"/>
  <c r="AY757" i="2" s="1"/>
  <c r="AO757" i="2" a="1"/>
  <c r="AO757" i="2" s="1"/>
  <c r="AN757" i="2"/>
  <c r="AY745" i="2" a="1"/>
  <c r="AY745" i="2" s="1"/>
  <c r="AO745" i="2" a="1"/>
  <c r="AO745" i="2" s="1"/>
  <c r="AN745" i="2"/>
  <c r="AY733" i="2" a="1"/>
  <c r="AY733" i="2" s="1"/>
  <c r="AO733" i="2" a="1"/>
  <c r="AO733" i="2" s="1"/>
  <c r="AN733" i="2"/>
  <c r="AY721" i="2" a="1"/>
  <c r="AY721" i="2" s="1"/>
  <c r="AO721" i="2" a="1"/>
  <c r="AO721" i="2" s="1"/>
  <c r="AN721" i="2"/>
  <c r="AY709" i="2" a="1"/>
  <c r="AY709" i="2" s="1"/>
  <c r="AO709" i="2" a="1"/>
  <c r="AO709" i="2" s="1"/>
  <c r="AN709" i="2"/>
  <c r="AY697" i="2" a="1"/>
  <c r="AY697" i="2" s="1"/>
  <c r="AO697" i="2" a="1"/>
  <c r="AO697" i="2" s="1"/>
  <c r="AN697" i="2"/>
  <c r="AY685" i="2" a="1"/>
  <c r="AY685" i="2" s="1"/>
  <c r="AO685" i="2" a="1"/>
  <c r="AO685" i="2" s="1"/>
  <c r="AN685" i="2"/>
  <c r="AY673" i="2" a="1"/>
  <c r="AY673" i="2" s="1"/>
  <c r="AO673" i="2" a="1"/>
  <c r="AO673" i="2" s="1"/>
  <c r="AN673" i="2"/>
  <c r="AY661" i="2" a="1"/>
  <c r="AY661" i="2" s="1"/>
  <c r="AO661" i="2" a="1"/>
  <c r="AO661" i="2" s="1"/>
  <c r="AN661" i="2"/>
  <c r="AY649" i="2" a="1"/>
  <c r="AY649" i="2" s="1"/>
  <c r="AO649" i="2" a="1"/>
  <c r="AO649" i="2" s="1"/>
  <c r="AN649" i="2"/>
  <c r="AY637" i="2" a="1"/>
  <c r="AY637" i="2" s="1"/>
  <c r="AO637" i="2" a="1"/>
  <c r="AO637" i="2" s="1"/>
  <c r="AN637" i="2"/>
  <c r="AY625" i="2" a="1"/>
  <c r="AY625" i="2" s="1"/>
  <c r="AO625" i="2" a="1"/>
  <c r="AO625" i="2" s="1"/>
  <c r="AN625" i="2"/>
  <c r="AY613" i="2" a="1"/>
  <c r="AY613" i="2" s="1"/>
  <c r="AO613" i="2" a="1"/>
  <c r="AO613" i="2" s="1"/>
  <c r="AN613" i="2"/>
  <c r="AY601" i="2" a="1"/>
  <c r="AY601" i="2" s="1"/>
  <c r="AO601" i="2" a="1"/>
  <c r="AO601" i="2" s="1"/>
  <c r="AN601" i="2"/>
  <c r="AY589" i="2" a="1"/>
  <c r="AY589" i="2" s="1"/>
  <c r="AN589" i="2"/>
  <c r="AO589" i="2" a="1"/>
  <c r="AO589" i="2" s="1"/>
  <c r="AY577" i="2" a="1"/>
  <c r="AY577" i="2" s="1"/>
  <c r="AO577" i="2" a="1"/>
  <c r="AO577" i="2" s="1"/>
  <c r="AN577" i="2"/>
  <c r="AY565" i="2" a="1"/>
  <c r="AY565" i="2" s="1"/>
  <c r="AO565" i="2" a="1"/>
  <c r="AO565" i="2" s="1"/>
  <c r="AN565" i="2"/>
  <c r="AY553" i="2" a="1"/>
  <c r="AY553" i="2" s="1"/>
  <c r="AO553" i="2" a="1"/>
  <c r="AO553" i="2" s="1"/>
  <c r="AN553" i="2"/>
  <c r="AY541" i="2" a="1"/>
  <c r="AY541" i="2" s="1"/>
  <c r="AO541" i="2" a="1"/>
  <c r="AO541" i="2" s="1"/>
  <c r="AN541" i="2"/>
  <c r="AY529" i="2" a="1"/>
  <c r="AY529" i="2" s="1"/>
  <c r="AO529" i="2" a="1"/>
  <c r="AO529" i="2" s="1"/>
  <c r="AN529" i="2"/>
  <c r="AY517" i="2" a="1"/>
  <c r="AY517" i="2" s="1"/>
  <c r="AO517" i="2" a="1"/>
  <c r="AO517" i="2" s="1"/>
  <c r="AN517" i="2"/>
  <c r="AY505" i="2" a="1"/>
  <c r="AY505" i="2" s="1"/>
  <c r="AO505" i="2" a="1"/>
  <c r="AO505" i="2" s="1"/>
  <c r="AN505" i="2"/>
  <c r="AY493" i="2" a="1"/>
  <c r="AY493" i="2" s="1"/>
  <c r="AO493" i="2" a="1"/>
  <c r="AO493" i="2" s="1"/>
  <c r="AN493" i="2"/>
  <c r="AY481" i="2" a="1"/>
  <c r="AY481" i="2" s="1"/>
  <c r="AO481" i="2" a="1"/>
  <c r="AO481" i="2" s="1"/>
  <c r="AN481" i="2"/>
  <c r="AY469" i="2" a="1"/>
  <c r="AY469" i="2" s="1"/>
  <c r="AN469" i="2"/>
  <c r="AO469" i="2" a="1"/>
  <c r="AO469" i="2" s="1"/>
  <c r="AY457" i="2" a="1"/>
  <c r="AY457" i="2" s="1"/>
  <c r="AO457" i="2" a="1"/>
  <c r="AO457" i="2" s="1"/>
  <c r="AN457" i="2"/>
  <c r="AY445" i="2" a="1"/>
  <c r="AY445" i="2" s="1"/>
  <c r="AO445" i="2" a="1"/>
  <c r="AO445" i="2" s="1"/>
  <c r="AN445" i="2"/>
  <c r="AQ637" i="2"/>
  <c r="AQ625" i="2"/>
  <c r="AQ613" i="2"/>
  <c r="AQ601" i="2"/>
  <c r="AQ589" i="2"/>
  <c r="AQ577" i="2"/>
  <c r="AQ565" i="2"/>
  <c r="AQ553" i="2"/>
  <c r="AQ541" i="2"/>
  <c r="AQ529" i="2"/>
  <c r="AQ517" i="2"/>
  <c r="AQ505" i="2"/>
  <c r="AQ493" i="2"/>
  <c r="AQ481" i="2"/>
  <c r="AQ469" i="2"/>
  <c r="AQ457" i="2"/>
  <c r="AQ445" i="2"/>
  <c r="AQ433" i="2"/>
  <c r="AQ421" i="2"/>
  <c r="AQ409" i="2"/>
  <c r="AQ397" i="2"/>
  <c r="AQ385" i="2"/>
  <c r="AQ373" i="2"/>
  <c r="AQ361" i="2"/>
  <c r="AQ349" i="2"/>
  <c r="AQ337" i="2"/>
  <c r="AQ325" i="2"/>
  <c r="AQ313" i="2"/>
  <c r="AQ301" i="2"/>
  <c r="AQ289" i="2"/>
  <c r="AQ277" i="2"/>
  <c r="AQ266" i="2"/>
  <c r="AQ254" i="2"/>
  <c r="AQ242" i="2"/>
  <c r="AQ230" i="2"/>
  <c r="AQ218" i="2"/>
  <c r="AQ206" i="2"/>
  <c r="AQ194" i="2"/>
  <c r="AQ182" i="2"/>
  <c r="AQ170" i="2"/>
  <c r="AQ158" i="2"/>
  <c r="AQ146" i="2"/>
  <c r="AQ134" i="2"/>
  <c r="AQ122" i="2"/>
  <c r="AQ110" i="2"/>
  <c r="AQ98" i="2"/>
  <c r="AQ86" i="2"/>
  <c r="AQ74" i="2"/>
  <c r="AQ62" i="2"/>
  <c r="AQ50" i="2"/>
  <c r="AQ38" i="2"/>
  <c r="AQ26" i="2"/>
  <c r="AQ14" i="2"/>
  <c r="AQ2" i="2"/>
  <c r="AS1088" i="2" a="1"/>
  <c r="AS1088" i="2" s="1"/>
  <c r="AW1088" i="2" s="1"/>
  <c r="AR1088" i="2"/>
  <c r="AT1088" i="2" s="1"/>
  <c r="AP1088" i="2"/>
  <c r="AS1076" i="2" a="1"/>
  <c r="AS1076" i="2" s="1"/>
  <c r="AW1076" i="2" s="1"/>
  <c r="AR1076" i="2"/>
  <c r="AT1076" i="2" s="1"/>
  <c r="AP1076" i="2"/>
  <c r="AR1064" i="2"/>
  <c r="AT1064" i="2" s="1"/>
  <c r="AS1064" i="2" a="1"/>
  <c r="AS1064" i="2" s="1"/>
  <c r="AW1064" i="2" s="1"/>
  <c r="AP1064" i="2"/>
  <c r="AP1052" i="2"/>
  <c r="AS1052" i="2" a="1"/>
  <c r="AS1052" i="2" s="1"/>
  <c r="AW1052" i="2" s="1"/>
  <c r="AR1052" i="2"/>
  <c r="AT1052" i="2" s="1"/>
  <c r="AS1040" i="2" a="1"/>
  <c r="AS1040" i="2" s="1"/>
  <c r="AW1040" i="2" s="1"/>
  <c r="AR1040" i="2"/>
  <c r="AT1040" i="2" s="1"/>
  <c r="AP1040" i="2"/>
  <c r="AS1028" i="2" a="1"/>
  <c r="AS1028" i="2" s="1"/>
  <c r="AW1028" i="2" s="1"/>
  <c r="AR1028" i="2"/>
  <c r="AT1028" i="2" s="1"/>
  <c r="AP1028" i="2"/>
  <c r="AS1016" i="2" a="1"/>
  <c r="AS1016" i="2" s="1"/>
  <c r="AW1016" i="2" s="1"/>
  <c r="AR1016" i="2"/>
  <c r="AT1016" i="2" s="1"/>
  <c r="AP1016" i="2"/>
  <c r="AS1004" i="2" a="1"/>
  <c r="AS1004" i="2" s="1"/>
  <c r="AW1004" i="2" s="1"/>
  <c r="AR1004" i="2"/>
  <c r="AT1004" i="2" s="1"/>
  <c r="AP1004" i="2"/>
  <c r="AR992" i="2"/>
  <c r="AT992" i="2" s="1"/>
  <c r="AS992" i="2" a="1"/>
  <c r="AS992" i="2" s="1"/>
  <c r="AW992" i="2" s="1"/>
  <c r="AP992" i="2"/>
  <c r="AS980" i="2" a="1"/>
  <c r="AS980" i="2" s="1"/>
  <c r="AW980" i="2" s="1"/>
  <c r="AR980" i="2"/>
  <c r="AT980" i="2" s="1"/>
  <c r="AP980" i="2"/>
  <c r="AS968" i="2" a="1"/>
  <c r="AS968" i="2" s="1"/>
  <c r="AW968" i="2" s="1"/>
  <c r="AR968" i="2"/>
  <c r="AT968" i="2" s="1"/>
  <c r="AP968" i="2"/>
  <c r="AS956" i="2" a="1"/>
  <c r="AS956" i="2" s="1"/>
  <c r="AW956" i="2" s="1"/>
  <c r="AR956" i="2"/>
  <c r="AT956" i="2" s="1"/>
  <c r="AP956" i="2"/>
  <c r="AS944" i="2" a="1"/>
  <c r="AS944" i="2" s="1"/>
  <c r="AW944" i="2" s="1"/>
  <c r="AR944" i="2"/>
  <c r="AT944" i="2" s="1"/>
  <c r="AP944" i="2"/>
  <c r="AS932" i="2" a="1"/>
  <c r="AS932" i="2" s="1"/>
  <c r="AW932" i="2" s="1"/>
  <c r="AR932" i="2"/>
  <c r="AT932" i="2" s="1"/>
  <c r="AP932" i="2"/>
  <c r="AS920" i="2" a="1"/>
  <c r="AS920" i="2" s="1"/>
  <c r="AW920" i="2" s="1"/>
  <c r="AR920" i="2"/>
  <c r="AT920" i="2" s="1"/>
  <c r="AP920" i="2"/>
  <c r="AS908" i="2" a="1"/>
  <c r="AS908" i="2" s="1"/>
  <c r="AW908" i="2" s="1"/>
  <c r="AR908" i="2"/>
  <c r="AT908" i="2" s="1"/>
  <c r="AP908" i="2"/>
  <c r="AR896" i="2"/>
  <c r="AT896" i="2" s="1"/>
  <c r="AS896" i="2" a="1"/>
  <c r="AS896" i="2" s="1"/>
  <c r="AW896" i="2" s="1"/>
  <c r="AP896" i="2"/>
  <c r="AS884" i="2" a="1"/>
  <c r="AS884" i="2" s="1"/>
  <c r="AW884" i="2" s="1"/>
  <c r="AR884" i="2"/>
  <c r="AT884" i="2" s="1"/>
  <c r="AP884" i="2"/>
  <c r="AS872" i="2" a="1"/>
  <c r="AS872" i="2" s="1"/>
  <c r="AW872" i="2" s="1"/>
  <c r="AR872" i="2"/>
  <c r="AT872" i="2" s="1"/>
  <c r="AP872" i="2"/>
  <c r="AS860" i="2" a="1"/>
  <c r="AS860" i="2" s="1"/>
  <c r="AW860" i="2" s="1"/>
  <c r="AR860" i="2"/>
  <c r="AT860" i="2" s="1"/>
  <c r="AP860" i="2"/>
  <c r="AS848" i="2" a="1"/>
  <c r="AS848" i="2" s="1"/>
  <c r="AW848" i="2" s="1"/>
  <c r="AR848" i="2"/>
  <c r="AT848" i="2" s="1"/>
  <c r="AP848" i="2"/>
  <c r="AS836" i="2" a="1"/>
  <c r="AS836" i="2" s="1"/>
  <c r="AW836" i="2" s="1"/>
  <c r="AR836" i="2"/>
  <c r="AT836" i="2" s="1"/>
  <c r="AP836" i="2"/>
  <c r="AS824" i="2" a="1"/>
  <c r="AS824" i="2" s="1"/>
  <c r="AW824" i="2" s="1"/>
  <c r="AR824" i="2"/>
  <c r="AT824" i="2" s="1"/>
  <c r="AP824" i="2"/>
  <c r="AS812" i="2" a="1"/>
  <c r="AS812" i="2" s="1"/>
  <c r="AW812" i="2" s="1"/>
  <c r="AR812" i="2"/>
  <c r="AT812" i="2" s="1"/>
  <c r="AP812" i="2"/>
  <c r="AS800" i="2" a="1"/>
  <c r="AS800" i="2" s="1"/>
  <c r="AW800" i="2" s="1"/>
  <c r="AR800" i="2"/>
  <c r="AT800" i="2" s="1"/>
  <c r="AP800" i="2"/>
  <c r="AS788" i="2" a="1"/>
  <c r="AS788" i="2" s="1"/>
  <c r="AW788" i="2" s="1"/>
  <c r="AR788" i="2"/>
  <c r="AT788" i="2" s="1"/>
  <c r="AP788" i="2"/>
  <c r="AR776" i="2"/>
  <c r="AT776" i="2" s="1"/>
  <c r="AS776" i="2" a="1"/>
  <c r="AS776" i="2" s="1"/>
  <c r="AW776" i="2" s="1"/>
  <c r="AP776" i="2"/>
  <c r="AS764" i="2" a="1"/>
  <c r="AS764" i="2" s="1"/>
  <c r="AW764" i="2" s="1"/>
  <c r="AR764" i="2"/>
  <c r="AT764" i="2" s="1"/>
  <c r="AP764" i="2"/>
  <c r="AR752" i="2"/>
  <c r="AT752" i="2" s="1"/>
  <c r="AS752" i="2" a="1"/>
  <c r="AS752" i="2" s="1"/>
  <c r="AW752" i="2" s="1"/>
  <c r="AP752" i="2"/>
  <c r="AS740" i="2" a="1"/>
  <c r="AS740" i="2" s="1"/>
  <c r="AW740" i="2" s="1"/>
  <c r="AR740" i="2"/>
  <c r="AT740" i="2" s="1"/>
  <c r="AP740" i="2"/>
  <c r="AS728" i="2" a="1"/>
  <c r="AS728" i="2" s="1"/>
  <c r="AW728" i="2" s="1"/>
  <c r="AR728" i="2"/>
  <c r="AT728" i="2" s="1"/>
  <c r="AP728" i="2"/>
  <c r="AR716" i="2"/>
  <c r="AT716" i="2" s="1"/>
  <c r="AS716" i="2" a="1"/>
  <c r="AS716" i="2" s="1"/>
  <c r="AW716" i="2" s="1"/>
  <c r="AP716" i="2"/>
  <c r="AS704" i="2" a="1"/>
  <c r="AS704" i="2" s="1"/>
  <c r="AW704" i="2" s="1"/>
  <c r="AR704" i="2"/>
  <c r="AT704" i="2" s="1"/>
  <c r="AP704" i="2"/>
  <c r="AS692" i="2" a="1"/>
  <c r="AS692" i="2" s="1"/>
  <c r="AW692" i="2" s="1"/>
  <c r="AR692" i="2"/>
  <c r="AT692" i="2" s="1"/>
  <c r="AP692" i="2"/>
  <c r="AS680" i="2" a="1"/>
  <c r="AS680" i="2" s="1"/>
  <c r="AW680" i="2" s="1"/>
  <c r="AR680" i="2"/>
  <c r="AT680" i="2" s="1"/>
  <c r="AP680" i="2"/>
  <c r="AS668" i="2" a="1"/>
  <c r="AS668" i="2" s="1"/>
  <c r="AW668" i="2" s="1"/>
  <c r="AR668" i="2"/>
  <c r="AT668" i="2" s="1"/>
  <c r="AP668" i="2"/>
  <c r="AS656" i="2" a="1"/>
  <c r="AS656" i="2" s="1"/>
  <c r="AW656" i="2" s="1"/>
  <c r="AR656" i="2"/>
  <c r="AT656" i="2" s="1"/>
  <c r="AP656" i="2"/>
  <c r="AS644" i="2" a="1"/>
  <c r="AS644" i="2" s="1"/>
  <c r="AW644" i="2" s="1"/>
  <c r="AR644" i="2"/>
  <c r="AT644" i="2" s="1"/>
  <c r="AP644" i="2"/>
  <c r="AR632" i="2"/>
  <c r="AT632" i="2" s="1"/>
  <c r="AS632" i="2" a="1"/>
  <c r="AS632" i="2" s="1"/>
  <c r="AW632" i="2" s="1"/>
  <c r="AP632" i="2"/>
  <c r="AS620" i="2" a="1"/>
  <c r="AS620" i="2" s="1"/>
  <c r="AW620" i="2" s="1"/>
  <c r="AR620" i="2"/>
  <c r="AT620" i="2" s="1"/>
  <c r="AP620" i="2"/>
  <c r="AR608" i="2"/>
  <c r="AT608" i="2" s="1"/>
  <c r="AS608" i="2" a="1"/>
  <c r="AS608" i="2" s="1"/>
  <c r="AW608" i="2" s="1"/>
  <c r="AP608" i="2"/>
  <c r="AR596" i="2"/>
  <c r="AT596" i="2" s="1"/>
  <c r="AS596" i="2" a="1"/>
  <c r="AS596" i="2" s="1"/>
  <c r="AW596" i="2" s="1"/>
  <c r="AP596" i="2"/>
  <c r="AS584" i="2" a="1"/>
  <c r="AS584" i="2" s="1"/>
  <c r="AW584" i="2" s="1"/>
  <c r="AR584" i="2"/>
  <c r="AT584" i="2" s="1"/>
  <c r="AP584" i="2"/>
  <c r="AS572" i="2" a="1"/>
  <c r="AS572" i="2" s="1"/>
  <c r="AW572" i="2" s="1"/>
  <c r="AR572" i="2"/>
  <c r="AT572" i="2" s="1"/>
  <c r="AP572" i="2"/>
  <c r="AS560" i="2" a="1"/>
  <c r="AS560" i="2" s="1"/>
  <c r="AW560" i="2" s="1"/>
  <c r="AR560" i="2"/>
  <c r="AT560" i="2" s="1"/>
  <c r="AP560" i="2"/>
  <c r="AS548" i="2" a="1"/>
  <c r="AS548" i="2" s="1"/>
  <c r="AW548" i="2" s="1"/>
  <c r="AR548" i="2"/>
  <c r="AT548" i="2" s="1"/>
  <c r="AP548" i="2"/>
  <c r="AS536" i="2" a="1"/>
  <c r="AS536" i="2" s="1"/>
  <c r="AW536" i="2" s="1"/>
  <c r="AR536" i="2"/>
  <c r="AT536" i="2" s="1"/>
  <c r="AP536" i="2"/>
  <c r="AS524" i="2" a="1"/>
  <c r="AS524" i="2" s="1"/>
  <c r="AW524" i="2" s="1"/>
  <c r="AR524" i="2"/>
  <c r="AT524" i="2" s="1"/>
  <c r="AP524" i="2"/>
  <c r="AS512" i="2" a="1"/>
  <c r="AS512" i="2" s="1"/>
  <c r="AW512" i="2" s="1"/>
  <c r="AR512" i="2"/>
  <c r="AT512" i="2" s="1"/>
  <c r="AP512" i="2"/>
  <c r="AS500" i="2" a="1"/>
  <c r="AS500" i="2" s="1"/>
  <c r="AW500" i="2" s="1"/>
  <c r="AR500" i="2"/>
  <c r="AT500" i="2" s="1"/>
  <c r="AP500" i="2"/>
  <c r="AR488" i="2"/>
  <c r="AT488" i="2" s="1"/>
  <c r="AS488" i="2" a="1"/>
  <c r="AS488" i="2" s="1"/>
  <c r="AW488" i="2" s="1"/>
  <c r="AP488" i="2"/>
  <c r="AS476" i="2" a="1"/>
  <c r="AS476" i="2" s="1"/>
  <c r="AW476" i="2" s="1"/>
  <c r="AR476" i="2"/>
  <c r="AT476" i="2" s="1"/>
  <c r="AP476" i="2"/>
  <c r="AS464" i="2" a="1"/>
  <c r="AS464" i="2" s="1"/>
  <c r="AW464" i="2" s="1"/>
  <c r="AP464" i="2"/>
  <c r="AR464" i="2"/>
  <c r="AT464" i="2" s="1"/>
  <c r="AS452" i="2" a="1"/>
  <c r="AS452" i="2" s="1"/>
  <c r="AW452" i="2" s="1"/>
  <c r="AR452" i="2"/>
  <c r="AT452" i="2" s="1"/>
  <c r="AP452" i="2"/>
  <c r="AS440" i="2" a="1"/>
  <c r="AS440" i="2" s="1"/>
  <c r="AW440" i="2" s="1"/>
  <c r="AP440" i="2"/>
  <c r="AR440" i="2"/>
  <c r="AT440" i="2" s="1"/>
  <c r="AR428" i="2"/>
  <c r="AT428" i="2" s="1"/>
  <c r="AS428" i="2" a="1"/>
  <c r="AS428" i="2" s="1"/>
  <c r="AW428" i="2" s="1"/>
  <c r="AP428" i="2"/>
  <c r="AR416" i="2"/>
  <c r="AT416" i="2" s="1"/>
  <c r="AS416" i="2" a="1"/>
  <c r="AS416" i="2" s="1"/>
  <c r="AW416" i="2" s="1"/>
  <c r="AP416" i="2"/>
  <c r="AS404" i="2" a="1"/>
  <c r="AS404" i="2" s="1"/>
  <c r="AW404" i="2" s="1"/>
  <c r="AR404" i="2"/>
  <c r="AT404" i="2" s="1"/>
  <c r="AP404" i="2"/>
  <c r="AR392" i="2"/>
  <c r="AT392" i="2" s="1"/>
  <c r="AS392" i="2" a="1"/>
  <c r="AS392" i="2" s="1"/>
  <c r="AW392" i="2" s="1"/>
  <c r="AP392" i="2"/>
  <c r="AR380" i="2"/>
  <c r="AT380" i="2" s="1"/>
  <c r="AS380" i="2" a="1"/>
  <c r="AS380" i="2" s="1"/>
  <c r="AW380" i="2" s="1"/>
  <c r="AP380" i="2"/>
  <c r="AS368" i="2" a="1"/>
  <c r="AS368" i="2" s="1"/>
  <c r="AW368" i="2" s="1"/>
  <c r="AR368" i="2"/>
  <c r="AT368" i="2" s="1"/>
  <c r="AP368" i="2"/>
  <c r="AS356" i="2" a="1"/>
  <c r="AS356" i="2" s="1"/>
  <c r="AW356" i="2" s="1"/>
  <c r="AR356" i="2"/>
  <c r="AT356" i="2" s="1"/>
  <c r="AP356" i="2"/>
  <c r="AS344" i="2" a="1"/>
  <c r="AS344" i="2" s="1"/>
  <c r="AW344" i="2" s="1"/>
  <c r="AR344" i="2"/>
  <c r="AT344" i="2" s="1"/>
  <c r="AP344" i="2"/>
  <c r="AS332" i="2" a="1"/>
  <c r="AS332" i="2" s="1"/>
  <c r="AW332" i="2" s="1"/>
  <c r="AR332" i="2"/>
  <c r="AT332" i="2" s="1"/>
  <c r="AP332" i="2"/>
  <c r="AR320" i="2"/>
  <c r="AT320" i="2" s="1"/>
  <c r="AS320" i="2" a="1"/>
  <c r="AS320" i="2" s="1"/>
  <c r="AW320" i="2" s="1"/>
  <c r="AP320" i="2"/>
  <c r="AS308" i="2" a="1"/>
  <c r="AS308" i="2" s="1"/>
  <c r="AW308" i="2" s="1"/>
  <c r="AR308" i="2"/>
  <c r="AT308" i="2" s="1"/>
  <c r="AP308" i="2"/>
  <c r="AS296" i="2" a="1"/>
  <c r="AS296" i="2" s="1"/>
  <c r="AW296" i="2" s="1"/>
  <c r="AR296" i="2"/>
  <c r="AT296" i="2" s="1"/>
  <c r="AP296" i="2"/>
  <c r="AS284" i="2" a="1"/>
  <c r="AS284" i="2" s="1"/>
  <c r="AW284" i="2" s="1"/>
  <c r="AR284" i="2"/>
  <c r="AT284" i="2" s="1"/>
  <c r="AP284" i="2"/>
  <c r="AS273" i="2" a="1"/>
  <c r="AS273" i="2" s="1"/>
  <c r="AW273" i="2" s="1"/>
  <c r="AR273" i="2"/>
  <c r="AT273" i="2" s="1"/>
  <c r="AP273" i="2"/>
  <c r="AS261" i="2" a="1"/>
  <c r="AS261" i="2" s="1"/>
  <c r="AW261" i="2" s="1"/>
  <c r="AR261" i="2"/>
  <c r="AT261" i="2" s="1"/>
  <c r="AP261" i="2"/>
  <c r="AR249" i="2"/>
  <c r="AT249" i="2" s="1"/>
  <c r="AS249" i="2" a="1"/>
  <c r="AS249" i="2" s="1"/>
  <c r="AW249" i="2" s="1"/>
  <c r="AP249" i="2"/>
  <c r="AS237" i="2" a="1"/>
  <c r="AS237" i="2" s="1"/>
  <c r="AW237" i="2" s="1"/>
  <c r="AR237" i="2"/>
  <c r="AT237" i="2" s="1"/>
  <c r="AP237" i="2"/>
  <c r="AR225" i="2"/>
  <c r="AT225" i="2" s="1"/>
  <c r="AS225" i="2" a="1"/>
  <c r="AS225" i="2" s="1"/>
  <c r="AW225" i="2" s="1"/>
  <c r="AP225" i="2"/>
  <c r="AR213" i="2"/>
  <c r="AT213" i="2" s="1"/>
  <c r="AP213" i="2"/>
  <c r="AS213" i="2" a="1"/>
  <c r="AS213" i="2" s="1"/>
  <c r="AW213" i="2" s="1"/>
  <c r="AS201" i="2" a="1"/>
  <c r="AS201" i="2" s="1"/>
  <c r="AW201" i="2" s="1"/>
  <c r="AR201" i="2"/>
  <c r="AT201" i="2" s="1"/>
  <c r="AP201" i="2"/>
  <c r="AR189" i="2"/>
  <c r="AT189" i="2" s="1"/>
  <c r="AS189" i="2" a="1"/>
  <c r="AS189" i="2" s="1"/>
  <c r="AW189" i="2" s="1"/>
  <c r="AP189" i="2"/>
  <c r="AS177" i="2" a="1"/>
  <c r="AS177" i="2" s="1"/>
  <c r="AW177" i="2" s="1"/>
  <c r="AR177" i="2"/>
  <c r="AT177" i="2" s="1"/>
  <c r="AP177" i="2"/>
  <c r="AR165" i="2"/>
  <c r="AT165" i="2" s="1"/>
  <c r="AS165" i="2" a="1"/>
  <c r="AS165" i="2" s="1"/>
  <c r="AW165" i="2" s="1"/>
  <c r="AP165" i="2"/>
  <c r="AS153" i="2" a="1"/>
  <c r="AS153" i="2" s="1"/>
  <c r="AW153" i="2" s="1"/>
  <c r="AR153" i="2"/>
  <c r="AT153" i="2" s="1"/>
  <c r="AP153" i="2"/>
  <c r="AS141" i="2" a="1"/>
  <c r="AS141" i="2" s="1"/>
  <c r="AW141" i="2" s="1"/>
  <c r="AR141" i="2"/>
  <c r="AT141" i="2" s="1"/>
  <c r="AP141" i="2"/>
  <c r="AR129" i="2"/>
  <c r="AT129" i="2" s="1"/>
  <c r="AS129" i="2" a="1"/>
  <c r="AS129" i="2" s="1"/>
  <c r="AW129" i="2" s="1"/>
  <c r="AP129" i="2"/>
  <c r="AS117" i="2" a="1"/>
  <c r="AS117" i="2" s="1"/>
  <c r="AW117" i="2" s="1"/>
  <c r="AR117" i="2"/>
  <c r="AT117" i="2" s="1"/>
  <c r="AP117" i="2"/>
  <c r="AR105" i="2"/>
  <c r="AT105" i="2" s="1"/>
  <c r="AS105" i="2" a="1"/>
  <c r="AS105" i="2" s="1"/>
  <c r="AW105" i="2" s="1"/>
  <c r="AP105" i="2"/>
  <c r="AS93" i="2" a="1"/>
  <c r="AS93" i="2" s="1"/>
  <c r="AW93" i="2" s="1"/>
  <c r="AR93" i="2"/>
  <c r="AT93" i="2" s="1"/>
  <c r="AP93" i="2"/>
  <c r="AS81" i="2" a="1"/>
  <c r="AS81" i="2" s="1"/>
  <c r="AW81" i="2" s="1"/>
  <c r="AR81" i="2"/>
  <c r="AT81" i="2" s="1"/>
  <c r="AP81" i="2"/>
  <c r="AS69" i="2" a="1"/>
  <c r="AS69" i="2" s="1"/>
  <c r="AW69" i="2" s="1"/>
  <c r="AR69" i="2"/>
  <c r="AT69" i="2" s="1"/>
  <c r="AP69" i="2"/>
  <c r="AR57" i="2"/>
  <c r="AT57" i="2" s="1"/>
  <c r="AS57" i="2" a="1"/>
  <c r="AS57" i="2" s="1"/>
  <c r="AW57" i="2" s="1"/>
  <c r="AP57" i="2"/>
  <c r="AS45" i="2" a="1"/>
  <c r="AS45" i="2" s="1"/>
  <c r="AW45" i="2" s="1"/>
  <c r="AR45" i="2"/>
  <c r="AT45" i="2" s="1"/>
  <c r="AP45" i="2"/>
  <c r="AR33" i="2"/>
  <c r="AT33" i="2" s="1"/>
  <c r="AS33" i="2" a="1"/>
  <c r="AS33" i="2" s="1"/>
  <c r="AW33" i="2" s="1"/>
  <c r="AP33" i="2"/>
  <c r="AS21" i="2" a="1"/>
  <c r="AS21" i="2" s="1"/>
  <c r="AW21" i="2" s="1"/>
  <c r="AR21" i="2"/>
  <c r="AT21" i="2" s="1"/>
  <c r="AP21" i="2"/>
  <c r="AS9" i="2" a="1"/>
  <c r="AS9" i="2" s="1"/>
  <c r="AW9" i="2" s="1"/>
  <c r="AR9" i="2"/>
  <c r="AT9" i="2" s="1"/>
  <c r="AP9" i="2"/>
  <c r="AU1090" i="2"/>
  <c r="AV1090" i="2"/>
  <c r="AU1078" i="2"/>
  <c r="AV1078" i="2"/>
  <c r="AU1066" i="2"/>
  <c r="AV1066" i="2"/>
  <c r="AU1054" i="2"/>
  <c r="AV1054" i="2"/>
  <c r="AU1042" i="2"/>
  <c r="AV1042" i="2"/>
  <c r="AU1030" i="2"/>
  <c r="AV1030" i="2"/>
  <c r="AU1018" i="2"/>
  <c r="AV1018" i="2"/>
  <c r="AU1006" i="2"/>
  <c r="AV1006" i="2"/>
  <c r="AU994" i="2"/>
  <c r="AV994" i="2"/>
  <c r="AU982" i="2"/>
  <c r="AV982" i="2"/>
  <c r="AU970" i="2"/>
  <c r="AV970" i="2"/>
  <c r="AU958" i="2"/>
  <c r="AV958" i="2"/>
  <c r="AU946" i="2"/>
  <c r="AV946" i="2"/>
  <c r="AU934" i="2"/>
  <c r="AV934" i="2"/>
  <c r="AU922" i="2"/>
  <c r="AV922" i="2"/>
  <c r="AU910" i="2"/>
  <c r="AV910" i="2"/>
  <c r="AU898" i="2"/>
  <c r="AV898" i="2"/>
  <c r="AU886" i="2"/>
  <c r="AV886" i="2"/>
  <c r="AU874" i="2"/>
  <c r="AV874" i="2"/>
  <c r="AU862" i="2"/>
  <c r="AV862" i="2"/>
  <c r="AU850" i="2"/>
  <c r="AV850" i="2"/>
  <c r="AU838" i="2"/>
  <c r="AV838" i="2"/>
  <c r="AV826" i="2"/>
  <c r="AU826" i="2"/>
  <c r="AV814" i="2"/>
  <c r="AU814" i="2"/>
  <c r="AV802" i="2"/>
  <c r="AU802" i="2"/>
  <c r="AV790" i="2"/>
  <c r="AU790" i="2"/>
  <c r="AU778" i="2"/>
  <c r="AV778" i="2"/>
  <c r="AV766" i="2"/>
  <c r="AU766" i="2"/>
  <c r="AV754" i="2"/>
  <c r="AU754" i="2"/>
  <c r="AV742" i="2"/>
  <c r="AU742" i="2"/>
  <c r="AV730" i="2"/>
  <c r="AU730" i="2"/>
  <c r="AV718" i="2"/>
  <c r="AU718" i="2"/>
  <c r="AV706" i="2"/>
  <c r="AU706" i="2"/>
  <c r="AV694" i="2"/>
  <c r="AU694" i="2"/>
  <c r="AV682" i="2"/>
  <c r="AU682" i="2"/>
  <c r="AV670" i="2"/>
  <c r="AU670" i="2"/>
  <c r="AV658" i="2"/>
  <c r="AU658" i="2"/>
  <c r="AV646" i="2"/>
  <c r="AU646" i="2"/>
  <c r="AV634" i="2"/>
  <c r="AU634" i="2"/>
  <c r="AU622" i="2"/>
  <c r="AV622" i="2"/>
  <c r="AV610" i="2"/>
  <c r="AU610" i="2"/>
  <c r="AV598" i="2"/>
  <c r="AU598" i="2"/>
  <c r="AV586" i="2"/>
  <c r="AU586" i="2"/>
  <c r="AV574" i="2"/>
  <c r="AU574" i="2"/>
  <c r="AV562" i="2"/>
  <c r="AU562" i="2"/>
  <c r="AV550" i="2"/>
  <c r="AU550" i="2"/>
  <c r="AV538" i="2"/>
  <c r="AU538" i="2"/>
  <c r="AU526" i="2"/>
  <c r="AV526" i="2"/>
  <c r="AV514" i="2"/>
  <c r="AU514" i="2"/>
  <c r="AV502" i="2"/>
  <c r="AU502" i="2"/>
  <c r="AV490" i="2"/>
  <c r="AU490" i="2"/>
  <c r="AV478" i="2"/>
  <c r="AU478" i="2"/>
  <c r="AU466" i="2"/>
  <c r="AV466" i="2"/>
  <c r="AU454" i="2"/>
  <c r="AV454" i="2"/>
  <c r="AV442" i="2"/>
  <c r="AU442" i="2"/>
  <c r="AU430" i="2"/>
  <c r="AV430" i="2"/>
  <c r="AV418" i="2"/>
  <c r="AU418" i="2"/>
  <c r="AV406" i="2"/>
  <c r="AU406" i="2"/>
  <c r="AV394" i="2"/>
  <c r="AU394" i="2"/>
  <c r="AU382" i="2"/>
  <c r="AV382" i="2"/>
  <c r="AU370" i="2"/>
  <c r="AV370" i="2"/>
  <c r="AU358" i="2"/>
  <c r="AV358" i="2"/>
  <c r="AU346" i="2"/>
  <c r="AV346" i="2"/>
  <c r="AV334" i="2"/>
  <c r="AU334" i="2"/>
  <c r="AV322" i="2"/>
  <c r="AU322" i="2"/>
  <c r="AU310" i="2"/>
  <c r="AV310" i="2"/>
  <c r="AU298" i="2"/>
  <c r="AV298" i="2"/>
  <c r="AV286" i="2"/>
  <c r="AU286" i="2"/>
  <c r="AV275" i="2"/>
  <c r="AU275" i="2"/>
  <c r="AV263" i="2"/>
  <c r="AU263" i="2"/>
  <c r="AV251" i="2"/>
  <c r="AU251" i="2"/>
  <c r="AV239" i="2"/>
  <c r="AU239" i="2"/>
  <c r="AV227" i="2"/>
  <c r="AU227" i="2"/>
  <c r="AV215" i="2"/>
  <c r="AU215" i="2"/>
  <c r="AV203" i="2"/>
  <c r="AU203" i="2"/>
  <c r="AV191" i="2"/>
  <c r="AU191" i="2"/>
  <c r="AU179" i="2"/>
  <c r="AV179" i="2"/>
  <c r="AV167" i="2"/>
  <c r="AU167" i="2"/>
  <c r="AU155" i="2"/>
  <c r="AV155" i="2"/>
  <c r="AV143" i="2"/>
  <c r="AU143" i="2"/>
  <c r="AU131" i="2"/>
  <c r="AV131" i="2"/>
  <c r="AV119" i="2"/>
  <c r="AU119" i="2"/>
  <c r="AV107" i="2"/>
  <c r="AU107" i="2"/>
  <c r="AV95" i="2"/>
  <c r="AU95" i="2"/>
  <c r="AV83" i="2"/>
  <c r="AU83" i="2"/>
  <c r="AV71" i="2"/>
  <c r="AU71" i="2"/>
  <c r="AV59" i="2"/>
  <c r="AU59" i="2"/>
  <c r="AV47" i="2"/>
  <c r="AU47" i="2"/>
  <c r="AV35" i="2"/>
  <c r="AU35" i="2"/>
  <c r="AV23" i="2"/>
  <c r="AU23" i="2"/>
  <c r="AV11" i="2"/>
  <c r="AU11" i="2"/>
  <c r="AQ1092" i="2"/>
  <c r="AQ1080" i="2"/>
  <c r="AQ1068" i="2"/>
  <c r="AQ1056" i="2"/>
  <c r="AQ1044" i="2"/>
  <c r="AQ1032" i="2"/>
  <c r="AQ1020" i="2"/>
  <c r="AQ1008" i="2"/>
  <c r="AQ996" i="2"/>
  <c r="AQ984" i="2"/>
  <c r="AQ972" i="2"/>
  <c r="AQ960" i="2"/>
  <c r="AQ948" i="2"/>
  <c r="AQ936" i="2"/>
  <c r="AQ924" i="2"/>
  <c r="AQ912" i="2"/>
  <c r="AQ900" i="2"/>
  <c r="AQ888" i="2"/>
  <c r="AQ876" i="2"/>
  <c r="AQ864" i="2"/>
  <c r="AQ852" i="2"/>
  <c r="AQ840" i="2"/>
  <c r="AQ828" i="2"/>
  <c r="AQ816" i="2"/>
  <c r="AQ804" i="2"/>
  <c r="AQ792" i="2"/>
  <c r="AQ780" i="2"/>
  <c r="AQ768" i="2"/>
  <c r="AQ756" i="2"/>
  <c r="AQ744" i="2"/>
  <c r="AQ732" i="2"/>
  <c r="AQ720" i="2"/>
  <c r="AQ708" i="2"/>
  <c r="AQ696" i="2"/>
  <c r="AQ684" i="2"/>
  <c r="AQ672" i="2"/>
  <c r="AQ660" i="2"/>
  <c r="AQ648" i="2"/>
  <c r="AQ636" i="2"/>
  <c r="AQ624" i="2"/>
  <c r="AQ612" i="2"/>
  <c r="AQ600" i="2"/>
  <c r="AQ588" i="2"/>
  <c r="AQ576" i="2"/>
  <c r="AQ564" i="2"/>
  <c r="AQ552" i="2"/>
  <c r="AQ540" i="2"/>
  <c r="AQ528" i="2"/>
  <c r="AQ516" i="2"/>
  <c r="AQ504" i="2"/>
  <c r="AQ492" i="2"/>
  <c r="AQ480" i="2"/>
  <c r="AQ468" i="2"/>
  <c r="AQ456" i="2"/>
  <c r="AQ444" i="2"/>
  <c r="AQ432" i="2"/>
  <c r="AQ420" i="2"/>
  <c r="AQ408" i="2"/>
  <c r="AQ396" i="2"/>
  <c r="AQ384" i="2"/>
  <c r="AQ372" i="2"/>
  <c r="AQ360" i="2"/>
  <c r="AQ348" i="2"/>
  <c r="AQ336" i="2"/>
  <c r="AQ324" i="2"/>
  <c r="AQ312" i="2"/>
  <c r="AQ300" i="2"/>
  <c r="AQ288" i="2"/>
  <c r="AQ265" i="2"/>
  <c r="AQ253" i="2"/>
  <c r="AQ241" i="2"/>
  <c r="AQ229" i="2"/>
  <c r="AQ217" i="2"/>
  <c r="AQ205" i="2"/>
  <c r="AQ193" i="2"/>
  <c r="AQ181" i="2"/>
  <c r="AQ169" i="2"/>
  <c r="AQ157" i="2"/>
  <c r="AQ145" i="2"/>
  <c r="AQ133" i="2"/>
  <c r="AQ121" i="2"/>
  <c r="AQ109" i="2"/>
  <c r="AQ97" i="2"/>
  <c r="AQ85" i="2"/>
  <c r="AQ73" i="2"/>
  <c r="AQ61" i="2"/>
  <c r="AQ49" i="2"/>
  <c r="AQ37" i="2"/>
  <c r="AQ25" i="2"/>
  <c r="AQ13" i="2"/>
  <c r="AS1099" i="2" a="1"/>
  <c r="AS1099" i="2" s="1"/>
  <c r="AW1099" i="2" s="1"/>
  <c r="AR1099" i="2"/>
  <c r="AT1099" i="2" s="1"/>
  <c r="AP1099" i="2"/>
  <c r="AR1087" i="2"/>
  <c r="AT1087" i="2" s="1"/>
  <c r="AS1087" i="2" a="1"/>
  <c r="AS1087" i="2" s="1"/>
  <c r="AW1087" i="2" s="1"/>
  <c r="AP1087" i="2"/>
  <c r="AS1075" i="2" a="1"/>
  <c r="AS1075" i="2" s="1"/>
  <c r="AW1075" i="2" s="1"/>
  <c r="AR1075" i="2"/>
  <c r="AT1075" i="2" s="1"/>
  <c r="AP1075" i="2"/>
  <c r="AS1063" i="2" a="1"/>
  <c r="AS1063" i="2" s="1"/>
  <c r="AW1063" i="2" s="1"/>
  <c r="AR1063" i="2"/>
  <c r="AT1063" i="2" s="1"/>
  <c r="AP1063" i="2"/>
  <c r="AR1051" i="2"/>
  <c r="AT1051" i="2" s="1"/>
  <c r="AS1051" i="2" a="1"/>
  <c r="AS1051" i="2" s="1"/>
  <c r="AW1051" i="2" s="1"/>
  <c r="AP1051" i="2"/>
  <c r="AR1039" i="2"/>
  <c r="AT1039" i="2" s="1"/>
  <c r="AS1039" i="2" a="1"/>
  <c r="AS1039" i="2" s="1"/>
  <c r="AW1039" i="2" s="1"/>
  <c r="AP1039" i="2"/>
  <c r="AR1027" i="2"/>
  <c r="AT1027" i="2" s="1"/>
  <c r="AS1027" i="2" a="1"/>
  <c r="AS1027" i="2" s="1"/>
  <c r="AW1027" i="2" s="1"/>
  <c r="AP1027" i="2"/>
  <c r="AS1015" i="2" a="1"/>
  <c r="AS1015" i="2" s="1"/>
  <c r="AW1015" i="2" s="1"/>
  <c r="AR1015" i="2"/>
  <c r="AT1015" i="2" s="1"/>
  <c r="AP1015" i="2"/>
  <c r="AS1003" i="2" a="1"/>
  <c r="AS1003" i="2" s="1"/>
  <c r="AW1003" i="2" s="1"/>
  <c r="AR1003" i="2"/>
  <c r="AT1003" i="2" s="1"/>
  <c r="AP1003" i="2"/>
  <c r="AS991" i="2" a="1"/>
  <c r="AS991" i="2" s="1"/>
  <c r="AW991" i="2" s="1"/>
  <c r="AR991" i="2"/>
  <c r="AT991" i="2" s="1"/>
  <c r="AP991" i="2"/>
  <c r="AS979" i="2" a="1"/>
  <c r="AS979" i="2" s="1"/>
  <c r="AW979" i="2" s="1"/>
  <c r="AR979" i="2"/>
  <c r="AT979" i="2" s="1"/>
  <c r="AP979" i="2"/>
  <c r="AS967" i="2" a="1"/>
  <c r="AS967" i="2" s="1"/>
  <c r="AW967" i="2" s="1"/>
  <c r="AR967" i="2"/>
  <c r="AT967" i="2" s="1"/>
  <c r="AP967" i="2"/>
  <c r="AS955" i="2" a="1"/>
  <c r="AS955" i="2" s="1"/>
  <c r="AW955" i="2" s="1"/>
  <c r="AR955" i="2"/>
  <c r="AT955" i="2" s="1"/>
  <c r="AP955" i="2"/>
  <c r="AS943" i="2" a="1"/>
  <c r="AS943" i="2" s="1"/>
  <c r="AW943" i="2" s="1"/>
  <c r="AR943" i="2"/>
  <c r="AT943" i="2" s="1"/>
  <c r="AP943" i="2"/>
  <c r="AR931" i="2"/>
  <c r="AT931" i="2" s="1"/>
  <c r="AS931" i="2" a="1"/>
  <c r="AS931" i="2" s="1"/>
  <c r="AW931" i="2" s="1"/>
  <c r="AP931" i="2"/>
  <c r="AS919" i="2" a="1"/>
  <c r="AS919" i="2" s="1"/>
  <c r="AW919" i="2" s="1"/>
  <c r="AR919" i="2"/>
  <c r="AT919" i="2" s="1"/>
  <c r="AP919" i="2"/>
  <c r="AS907" i="2" a="1"/>
  <c r="AS907" i="2" s="1"/>
  <c r="AW907" i="2" s="1"/>
  <c r="AR907" i="2"/>
  <c r="AT907" i="2" s="1"/>
  <c r="AP907" i="2"/>
  <c r="AS895" i="2" a="1"/>
  <c r="AS895" i="2" s="1"/>
  <c r="AW895" i="2" s="1"/>
  <c r="AR895" i="2"/>
  <c r="AT895" i="2" s="1"/>
  <c r="AP895" i="2"/>
  <c r="AS883" i="2" a="1"/>
  <c r="AS883" i="2" s="1"/>
  <c r="AW883" i="2" s="1"/>
  <c r="AR883" i="2"/>
  <c r="AT883" i="2" s="1"/>
  <c r="AP883" i="2"/>
  <c r="AS871" i="2" a="1"/>
  <c r="AS871" i="2" s="1"/>
  <c r="AW871" i="2" s="1"/>
  <c r="AR871" i="2"/>
  <c r="AT871" i="2" s="1"/>
  <c r="AP871" i="2"/>
  <c r="AS859" i="2" a="1"/>
  <c r="AS859" i="2" s="1"/>
  <c r="AW859" i="2" s="1"/>
  <c r="AR859" i="2"/>
  <c r="AT859" i="2" s="1"/>
  <c r="AP859" i="2"/>
  <c r="AS847" i="2" a="1"/>
  <c r="AS847" i="2" s="1"/>
  <c r="AW847" i="2" s="1"/>
  <c r="AR847" i="2"/>
  <c r="AT847" i="2" s="1"/>
  <c r="AP847" i="2"/>
  <c r="AS835" i="2" a="1"/>
  <c r="AS835" i="2" s="1"/>
  <c r="AW835" i="2" s="1"/>
  <c r="AR835" i="2"/>
  <c r="AT835" i="2" s="1"/>
  <c r="AP835" i="2"/>
  <c r="AR823" i="2"/>
  <c r="AT823" i="2" s="1"/>
  <c r="AS823" i="2" a="1"/>
  <c r="AS823" i="2" s="1"/>
  <c r="AW823" i="2" s="1"/>
  <c r="AP823" i="2"/>
  <c r="AS811" i="2" a="1"/>
  <c r="AS811" i="2" s="1"/>
  <c r="AW811" i="2" s="1"/>
  <c r="AR811" i="2"/>
  <c r="AT811" i="2" s="1"/>
  <c r="AP811" i="2"/>
  <c r="AR799" i="2"/>
  <c r="AT799" i="2" s="1"/>
  <c r="AS799" i="2" a="1"/>
  <c r="AS799" i="2" s="1"/>
  <c r="AW799" i="2" s="1"/>
  <c r="AP799" i="2"/>
  <c r="AS787" i="2" a="1"/>
  <c r="AS787" i="2" s="1"/>
  <c r="AW787" i="2" s="1"/>
  <c r="AR787" i="2"/>
  <c r="AT787" i="2" s="1"/>
  <c r="AP787" i="2"/>
  <c r="AS775" i="2" a="1"/>
  <c r="AS775" i="2" s="1"/>
  <c r="AW775" i="2" s="1"/>
  <c r="AR775" i="2"/>
  <c r="AT775" i="2" s="1"/>
  <c r="AP775" i="2"/>
  <c r="AS763" i="2" a="1"/>
  <c r="AS763" i="2" s="1"/>
  <c r="AW763" i="2" s="1"/>
  <c r="AR763" i="2"/>
  <c r="AT763" i="2" s="1"/>
  <c r="AP763" i="2"/>
  <c r="AS751" i="2" a="1"/>
  <c r="AS751" i="2" s="1"/>
  <c r="AW751" i="2" s="1"/>
  <c r="AR751" i="2"/>
  <c r="AT751" i="2" s="1"/>
  <c r="AP751" i="2"/>
  <c r="AS739" i="2" a="1"/>
  <c r="AS739" i="2" s="1"/>
  <c r="AW739" i="2" s="1"/>
  <c r="AR739" i="2"/>
  <c r="AT739" i="2" s="1"/>
  <c r="AP739" i="2"/>
  <c r="AS727" i="2" a="1"/>
  <c r="AS727" i="2" s="1"/>
  <c r="AW727" i="2" s="1"/>
  <c r="AR727" i="2"/>
  <c r="AT727" i="2" s="1"/>
  <c r="AP727" i="2"/>
  <c r="AR715" i="2"/>
  <c r="AT715" i="2" s="1"/>
  <c r="AS715" i="2" a="1"/>
  <c r="AS715" i="2" s="1"/>
  <c r="AW715" i="2" s="1"/>
  <c r="AP715" i="2"/>
  <c r="AR703" i="2"/>
  <c r="AT703" i="2" s="1"/>
  <c r="AP703" i="2"/>
  <c r="AS703" i="2" a="1"/>
  <c r="AS703" i="2" s="1"/>
  <c r="AW703" i="2" s="1"/>
  <c r="AS691" i="2" a="1"/>
  <c r="AS691" i="2" s="1"/>
  <c r="AW691" i="2" s="1"/>
  <c r="AR691" i="2"/>
  <c r="AT691" i="2" s="1"/>
  <c r="AP691" i="2"/>
  <c r="AS679" i="2" a="1"/>
  <c r="AS679" i="2" s="1"/>
  <c r="AW679" i="2" s="1"/>
  <c r="AR679" i="2"/>
  <c r="AT679" i="2" s="1"/>
  <c r="AP679" i="2"/>
  <c r="AS667" i="2" a="1"/>
  <c r="AS667" i="2" s="1"/>
  <c r="AW667" i="2" s="1"/>
  <c r="AR667" i="2"/>
  <c r="AT667" i="2" s="1"/>
  <c r="AP667" i="2"/>
  <c r="AS655" i="2" a="1"/>
  <c r="AS655" i="2" s="1"/>
  <c r="AW655" i="2" s="1"/>
  <c r="AR655" i="2"/>
  <c r="AT655" i="2" s="1"/>
  <c r="AP655" i="2"/>
  <c r="AS643" i="2" a="1"/>
  <c r="AS643" i="2" s="1"/>
  <c r="AW643" i="2" s="1"/>
  <c r="AR643" i="2"/>
  <c r="AT643" i="2" s="1"/>
  <c r="AP643" i="2"/>
  <c r="AS631" i="2" a="1"/>
  <c r="AS631" i="2" s="1"/>
  <c r="AW631" i="2" s="1"/>
  <c r="AR631" i="2"/>
  <c r="AT631" i="2" s="1"/>
  <c r="AP631" i="2"/>
  <c r="AR619" i="2"/>
  <c r="AT619" i="2" s="1"/>
  <c r="AP619" i="2"/>
  <c r="AS619" i="2" a="1"/>
  <c r="AS619" i="2" s="1"/>
  <c r="AW619" i="2" s="1"/>
  <c r="AS607" i="2" a="1"/>
  <c r="AS607" i="2" s="1"/>
  <c r="AW607" i="2" s="1"/>
  <c r="AR607" i="2"/>
  <c r="AT607" i="2" s="1"/>
  <c r="AP607" i="2"/>
  <c r="AS595" i="2" a="1"/>
  <c r="AS595" i="2" s="1"/>
  <c r="AW595" i="2" s="1"/>
  <c r="AR595" i="2"/>
  <c r="AT595" i="2" s="1"/>
  <c r="AP595" i="2"/>
  <c r="AR583" i="2"/>
  <c r="AT583" i="2" s="1"/>
  <c r="AS583" i="2" a="1"/>
  <c r="AS583" i="2" s="1"/>
  <c r="AW583" i="2" s="1"/>
  <c r="AP583" i="2"/>
  <c r="AS571" i="2" a="1"/>
  <c r="AS571" i="2" s="1"/>
  <c r="AW571" i="2" s="1"/>
  <c r="AR571" i="2"/>
  <c r="AT571" i="2" s="1"/>
  <c r="AP571" i="2"/>
  <c r="AS559" i="2" a="1"/>
  <c r="AS559" i="2" s="1"/>
  <c r="AW559" i="2" s="1"/>
  <c r="AR559" i="2"/>
  <c r="AT559" i="2" s="1"/>
  <c r="AP559" i="2"/>
  <c r="AS547" i="2" a="1"/>
  <c r="AS547" i="2" s="1"/>
  <c r="AW547" i="2" s="1"/>
  <c r="AR547" i="2"/>
  <c r="AT547" i="2" s="1"/>
  <c r="AP547" i="2"/>
  <c r="AS535" i="2" a="1"/>
  <c r="AS535" i="2" s="1"/>
  <c r="AW535" i="2" s="1"/>
  <c r="AR535" i="2"/>
  <c r="AT535" i="2" s="1"/>
  <c r="AP535" i="2"/>
  <c r="AR523" i="2"/>
  <c r="AT523" i="2" s="1"/>
  <c r="AS523" i="2" a="1"/>
  <c r="AS523" i="2" s="1"/>
  <c r="AW523" i="2" s="1"/>
  <c r="AP523" i="2"/>
  <c r="AR511" i="2"/>
  <c r="AT511" i="2" s="1"/>
  <c r="AS511" i="2" a="1"/>
  <c r="AS511" i="2" s="1"/>
  <c r="AW511" i="2" s="1"/>
  <c r="AP511" i="2"/>
  <c r="AS499" i="2" a="1"/>
  <c r="AS499" i="2" s="1"/>
  <c r="AW499" i="2" s="1"/>
  <c r="AR499" i="2"/>
  <c r="AT499" i="2" s="1"/>
  <c r="AP499" i="2"/>
  <c r="AR487" i="2"/>
  <c r="AT487" i="2" s="1"/>
  <c r="AS487" i="2" a="1"/>
  <c r="AS487" i="2" s="1"/>
  <c r="AW487" i="2" s="1"/>
  <c r="AP487" i="2"/>
  <c r="AS475" i="2" a="1"/>
  <c r="AS475" i="2" s="1"/>
  <c r="AW475" i="2" s="1"/>
  <c r="AR475" i="2"/>
  <c r="AT475" i="2" s="1"/>
  <c r="AP475" i="2"/>
  <c r="AS463" i="2" a="1"/>
  <c r="AS463" i="2" s="1"/>
  <c r="AW463" i="2" s="1"/>
  <c r="AR463" i="2"/>
  <c r="AT463" i="2" s="1"/>
  <c r="AP463" i="2"/>
  <c r="AS451" i="2" a="1"/>
  <c r="AS451" i="2" s="1"/>
  <c r="AW451" i="2" s="1"/>
  <c r="AR451" i="2"/>
  <c r="AT451" i="2" s="1"/>
  <c r="AP451" i="2"/>
  <c r="AR439" i="2"/>
  <c r="AT439" i="2" s="1"/>
  <c r="AS439" i="2" a="1"/>
  <c r="AS439" i="2" s="1"/>
  <c r="AW439" i="2" s="1"/>
  <c r="AP439" i="2"/>
  <c r="AS427" i="2" a="1"/>
  <c r="AS427" i="2" s="1"/>
  <c r="AW427" i="2" s="1"/>
  <c r="AR427" i="2"/>
  <c r="AT427" i="2" s="1"/>
  <c r="AP427" i="2"/>
  <c r="AS415" i="2" a="1"/>
  <c r="AS415" i="2" s="1"/>
  <c r="AW415" i="2" s="1"/>
  <c r="AR415" i="2"/>
  <c r="AT415" i="2" s="1"/>
  <c r="AP415" i="2"/>
  <c r="AS403" i="2" a="1"/>
  <c r="AS403" i="2" s="1"/>
  <c r="AW403" i="2" s="1"/>
  <c r="AR403" i="2"/>
  <c r="AT403" i="2" s="1"/>
  <c r="AP403" i="2"/>
  <c r="AS391" i="2" a="1"/>
  <c r="AS391" i="2" s="1"/>
  <c r="AW391" i="2" s="1"/>
  <c r="AR391" i="2"/>
  <c r="AT391" i="2" s="1"/>
  <c r="AP391" i="2"/>
  <c r="AR379" i="2"/>
  <c r="AT379" i="2" s="1"/>
  <c r="AS379" i="2" a="1"/>
  <c r="AS379" i="2" s="1"/>
  <c r="AW379" i="2" s="1"/>
  <c r="AP379" i="2"/>
  <c r="AS367" i="2" a="1"/>
  <c r="AS367" i="2" s="1"/>
  <c r="AW367" i="2" s="1"/>
  <c r="AP367" i="2"/>
  <c r="AR367" i="2"/>
  <c r="AT367" i="2" s="1"/>
  <c r="AR355" i="2"/>
  <c r="AT355" i="2" s="1"/>
  <c r="AS355" i="2" a="1"/>
  <c r="AS355" i="2" s="1"/>
  <c r="AW355" i="2" s="1"/>
  <c r="AP355" i="2"/>
  <c r="AS343" i="2" a="1"/>
  <c r="AS343" i="2" s="1"/>
  <c r="AW343" i="2" s="1"/>
  <c r="AR343" i="2"/>
  <c r="AT343" i="2" s="1"/>
  <c r="AP343" i="2"/>
  <c r="AS331" i="2" a="1"/>
  <c r="AS331" i="2" s="1"/>
  <c r="AW331" i="2" s="1"/>
  <c r="AR331" i="2"/>
  <c r="AT331" i="2" s="1"/>
  <c r="AP331" i="2"/>
  <c r="AS319" i="2" a="1"/>
  <c r="AS319" i="2" s="1"/>
  <c r="AW319" i="2" s="1"/>
  <c r="AR319" i="2"/>
  <c r="AT319" i="2" s="1"/>
  <c r="AP319" i="2"/>
  <c r="AS307" i="2" a="1"/>
  <c r="AS307" i="2" s="1"/>
  <c r="AW307" i="2" s="1"/>
  <c r="AR307" i="2"/>
  <c r="AT307" i="2" s="1"/>
  <c r="AP307" i="2"/>
  <c r="AR295" i="2"/>
  <c r="AT295" i="2" s="1"/>
  <c r="AS295" i="2" a="1"/>
  <c r="AS295" i="2" s="1"/>
  <c r="AW295" i="2" s="1"/>
  <c r="AP295" i="2"/>
  <c r="AS283" i="2" a="1"/>
  <c r="AS283" i="2" s="1"/>
  <c r="AW283" i="2" s="1"/>
  <c r="AR283" i="2"/>
  <c r="AT283" i="2" s="1"/>
  <c r="AP283" i="2"/>
  <c r="AR272" i="2"/>
  <c r="AT272" i="2" s="1"/>
  <c r="AS272" i="2" a="1"/>
  <c r="AS272" i="2" s="1"/>
  <c r="AW272" i="2" s="1"/>
  <c r="AP272" i="2"/>
  <c r="AS260" i="2" a="1"/>
  <c r="AS260" i="2" s="1"/>
  <c r="AW260" i="2" s="1"/>
  <c r="AR260" i="2"/>
  <c r="AT260" i="2" s="1"/>
  <c r="AP260" i="2"/>
  <c r="AS248" i="2" a="1"/>
  <c r="AS248" i="2" s="1"/>
  <c r="AW248" i="2" s="1"/>
  <c r="AR248" i="2"/>
  <c r="AT248" i="2" s="1"/>
  <c r="AP248" i="2"/>
  <c r="AR236" i="2"/>
  <c r="AT236" i="2" s="1"/>
  <c r="AS236" i="2" a="1"/>
  <c r="AS236" i="2" s="1"/>
  <c r="AW236" i="2" s="1"/>
  <c r="AP236" i="2"/>
  <c r="AS224" i="2" a="1"/>
  <c r="AS224" i="2" s="1"/>
  <c r="AW224" i="2" s="1"/>
  <c r="AR224" i="2"/>
  <c r="AT224" i="2" s="1"/>
  <c r="AP224" i="2"/>
  <c r="AS212" i="2" a="1"/>
  <c r="AS212" i="2" s="1"/>
  <c r="AW212" i="2" s="1"/>
  <c r="AR212" i="2"/>
  <c r="AT212" i="2" s="1"/>
  <c r="AP212" i="2"/>
  <c r="AS200" i="2" a="1"/>
  <c r="AS200" i="2" s="1"/>
  <c r="AW200" i="2" s="1"/>
  <c r="AR200" i="2"/>
  <c r="AT200" i="2" s="1"/>
  <c r="AP200" i="2"/>
  <c r="AR188" i="2"/>
  <c r="AT188" i="2" s="1"/>
  <c r="AS188" i="2" a="1"/>
  <c r="AS188" i="2" s="1"/>
  <c r="AW188" i="2" s="1"/>
  <c r="AP188" i="2"/>
  <c r="AS176" i="2" a="1"/>
  <c r="AS176" i="2" s="1"/>
  <c r="AW176" i="2" s="1"/>
  <c r="AR176" i="2"/>
  <c r="AT176" i="2" s="1"/>
  <c r="AP176" i="2"/>
  <c r="AS164" i="2" a="1"/>
  <c r="AS164" i="2" s="1"/>
  <c r="AW164" i="2" s="1"/>
  <c r="AR164" i="2"/>
  <c r="AT164" i="2" s="1"/>
  <c r="AP164" i="2"/>
  <c r="AS152" i="2" a="1"/>
  <c r="AS152" i="2" s="1"/>
  <c r="AW152" i="2" s="1"/>
  <c r="AR152" i="2"/>
  <c r="AT152" i="2" s="1"/>
  <c r="AP152" i="2"/>
  <c r="AS140" i="2" a="1"/>
  <c r="AS140" i="2" s="1"/>
  <c r="AW140" i="2" s="1"/>
  <c r="AR140" i="2"/>
  <c r="AT140" i="2" s="1"/>
  <c r="AP140" i="2"/>
  <c r="AS128" i="2" a="1"/>
  <c r="AS128" i="2" s="1"/>
  <c r="AW128" i="2" s="1"/>
  <c r="AR128" i="2"/>
  <c r="AT128" i="2" s="1"/>
  <c r="AP128" i="2"/>
  <c r="AS116" i="2" a="1"/>
  <c r="AS116" i="2" s="1"/>
  <c r="AW116" i="2" s="1"/>
  <c r="AR116" i="2"/>
  <c r="AT116" i="2" s="1"/>
  <c r="AP116" i="2"/>
  <c r="AS104" i="2" a="1"/>
  <c r="AS104" i="2" s="1"/>
  <c r="AW104" i="2" s="1"/>
  <c r="AR104" i="2"/>
  <c r="AT104" i="2" s="1"/>
  <c r="AP104" i="2"/>
  <c r="AS92" i="2" a="1"/>
  <c r="AS92" i="2" s="1"/>
  <c r="AW92" i="2" s="1"/>
  <c r="AR92" i="2"/>
  <c r="AT92" i="2" s="1"/>
  <c r="AP92" i="2"/>
  <c r="AR80" i="2"/>
  <c r="AT80" i="2" s="1"/>
  <c r="AS80" i="2" a="1"/>
  <c r="AS80" i="2" s="1"/>
  <c r="AW80" i="2" s="1"/>
  <c r="AP80" i="2"/>
  <c r="AS68" i="2" a="1"/>
  <c r="AS68" i="2" s="1"/>
  <c r="AW68" i="2" s="1"/>
  <c r="AR68" i="2"/>
  <c r="AT68" i="2" s="1"/>
  <c r="AP68" i="2"/>
  <c r="AS56" i="2" a="1"/>
  <c r="AS56" i="2" s="1"/>
  <c r="AW56" i="2" s="1"/>
  <c r="AR56" i="2"/>
  <c r="AT56" i="2" s="1"/>
  <c r="AP56" i="2"/>
  <c r="AS44" i="2" a="1"/>
  <c r="AS44" i="2" s="1"/>
  <c r="AW44" i="2" s="1"/>
  <c r="AR44" i="2"/>
  <c r="AT44" i="2" s="1"/>
  <c r="AP44" i="2"/>
  <c r="AS32" i="2" a="1"/>
  <c r="AS32" i="2" s="1"/>
  <c r="AW32" i="2" s="1"/>
  <c r="AR32" i="2"/>
  <c r="AT32" i="2" s="1"/>
  <c r="AP32" i="2"/>
  <c r="AS20" i="2" a="1"/>
  <c r="AS20" i="2" s="1"/>
  <c r="AW20" i="2" s="1"/>
  <c r="AR20" i="2"/>
  <c r="AT20" i="2" s="1"/>
  <c r="AP20" i="2"/>
  <c r="AS8" i="2" a="1"/>
  <c r="AS8" i="2" s="1"/>
  <c r="AW8" i="2" s="1"/>
  <c r="AR8" i="2"/>
  <c r="AT8" i="2" s="1"/>
  <c r="AP8" i="2"/>
  <c r="AV1089" i="2"/>
  <c r="AU1089" i="2"/>
  <c r="AV1077" i="2"/>
  <c r="AU1077" i="2"/>
  <c r="AV1065" i="2"/>
  <c r="AU1065" i="2"/>
  <c r="AV1053" i="2"/>
  <c r="AU1053" i="2"/>
  <c r="AV1041" i="2"/>
  <c r="AU1041" i="2"/>
  <c r="AV1029" i="2"/>
  <c r="AU1029" i="2"/>
  <c r="AV1017" i="2"/>
  <c r="AU1017" i="2"/>
  <c r="AV1005" i="2"/>
  <c r="AU1005" i="2"/>
  <c r="AV993" i="2"/>
  <c r="AU993" i="2"/>
  <c r="AV981" i="2"/>
  <c r="AU981" i="2"/>
  <c r="AV969" i="2"/>
  <c r="AU969" i="2"/>
  <c r="AV957" i="2"/>
  <c r="AU957" i="2"/>
  <c r="AV945" i="2"/>
  <c r="AU945" i="2"/>
  <c r="AV933" i="2"/>
  <c r="AU933" i="2"/>
  <c r="AV921" i="2"/>
  <c r="AU921" i="2"/>
  <c r="AV909" i="2"/>
  <c r="AU909" i="2"/>
  <c r="AV897" i="2"/>
  <c r="AU897" i="2"/>
  <c r="AV885" i="2"/>
  <c r="AU885" i="2"/>
  <c r="AV873" i="2"/>
  <c r="AU873" i="2"/>
  <c r="AV861" i="2"/>
  <c r="AU861" i="2"/>
  <c r="AV849" i="2"/>
  <c r="AU849" i="2"/>
  <c r="AV837" i="2"/>
  <c r="AU837" i="2"/>
  <c r="AV825" i="2"/>
  <c r="AU825" i="2"/>
  <c r="AV813" i="2"/>
  <c r="AU813" i="2"/>
  <c r="AV801" i="2"/>
  <c r="AU801" i="2"/>
  <c r="AV789" i="2"/>
  <c r="AU789" i="2"/>
  <c r="AV777" i="2"/>
  <c r="AU777" i="2"/>
  <c r="AV765" i="2"/>
  <c r="AU765" i="2"/>
  <c r="AV753" i="2"/>
  <c r="AU753" i="2"/>
  <c r="AV741" i="2"/>
  <c r="AU741" i="2"/>
  <c r="AV729" i="2"/>
  <c r="AU729" i="2"/>
  <c r="AV717" i="2"/>
  <c r="AU717" i="2"/>
  <c r="AV705" i="2"/>
  <c r="AU705" i="2"/>
  <c r="AV693" i="2"/>
  <c r="AU693" i="2"/>
  <c r="AV681" i="2"/>
  <c r="AU681" i="2"/>
  <c r="AV669" i="2"/>
  <c r="AU669" i="2"/>
  <c r="AV657" i="2"/>
  <c r="AU657" i="2"/>
  <c r="AV645" i="2"/>
  <c r="AU645" i="2"/>
  <c r="AV633" i="2"/>
  <c r="AU633" i="2"/>
  <c r="AV621" i="2"/>
  <c r="AU621" i="2"/>
  <c r="AV609" i="2"/>
  <c r="AU609" i="2"/>
  <c r="AV597" i="2"/>
  <c r="AU597" i="2"/>
  <c r="AV585" i="2"/>
  <c r="AU585" i="2"/>
  <c r="AV573" i="2"/>
  <c r="AU573" i="2"/>
  <c r="AV561" i="2"/>
  <c r="AU561" i="2"/>
  <c r="AV549" i="2"/>
  <c r="AU549" i="2"/>
  <c r="AV537" i="2"/>
  <c r="AU537" i="2"/>
  <c r="AV525" i="2"/>
  <c r="AU525" i="2"/>
  <c r="AV513" i="2"/>
  <c r="AU513" i="2"/>
  <c r="AV501" i="2"/>
  <c r="AU501" i="2"/>
  <c r="AV489" i="2"/>
  <c r="AU489" i="2"/>
  <c r="AV477" i="2"/>
  <c r="AU477" i="2"/>
  <c r="AV465" i="2"/>
  <c r="AU465" i="2"/>
  <c r="AV453" i="2"/>
  <c r="AU453" i="2"/>
  <c r="AU441" i="2"/>
  <c r="AV441" i="2"/>
  <c r="AV429" i="2"/>
  <c r="AU429" i="2"/>
  <c r="AU417" i="2"/>
  <c r="AV417" i="2"/>
  <c r="AV405" i="2"/>
  <c r="AU405" i="2"/>
  <c r="AV393" i="2"/>
  <c r="AU393" i="2"/>
  <c r="AV381" i="2"/>
  <c r="AU381" i="2"/>
  <c r="AV369" i="2"/>
  <c r="AU369" i="2"/>
  <c r="AV357" i="2"/>
  <c r="AU357" i="2"/>
  <c r="AV345" i="2"/>
  <c r="AU345" i="2"/>
  <c r="AV333" i="2"/>
  <c r="AU333" i="2"/>
  <c r="AV321" i="2"/>
  <c r="AU321" i="2"/>
  <c r="AV309" i="2"/>
  <c r="AU309" i="2"/>
  <c r="AV297" i="2"/>
  <c r="AU297" i="2"/>
  <c r="AV285" i="2"/>
  <c r="AU285" i="2"/>
  <c r="AV274" i="2"/>
  <c r="AU274" i="2"/>
  <c r="AV262" i="2"/>
  <c r="AU262" i="2"/>
  <c r="AV250" i="2"/>
  <c r="AU250" i="2"/>
  <c r="AV238" i="2"/>
  <c r="AU238" i="2"/>
  <c r="AV226" i="2"/>
  <c r="AU226" i="2"/>
  <c r="AU214" i="2"/>
  <c r="AV214" i="2"/>
  <c r="AV202" i="2"/>
  <c r="AU202" i="2"/>
  <c r="AU190" i="2"/>
  <c r="AV190" i="2"/>
  <c r="AV178" i="2"/>
  <c r="AU178" i="2"/>
  <c r="AU166" i="2"/>
  <c r="AV166" i="2"/>
  <c r="AV154" i="2"/>
  <c r="AU154" i="2"/>
  <c r="AV142" i="2"/>
  <c r="AU142" i="2"/>
  <c r="AV130" i="2"/>
  <c r="AU130" i="2"/>
  <c r="AU118" i="2"/>
  <c r="AV118" i="2"/>
  <c r="AV106" i="2"/>
  <c r="AU106" i="2"/>
  <c r="AV94" i="2"/>
  <c r="AU94" i="2"/>
  <c r="AV82" i="2"/>
  <c r="AU82" i="2"/>
  <c r="AV70" i="2"/>
  <c r="AU70" i="2"/>
  <c r="AV58" i="2"/>
  <c r="AU58" i="2"/>
  <c r="AV46" i="2"/>
  <c r="AU46" i="2"/>
  <c r="AV34" i="2"/>
  <c r="AU34" i="2"/>
  <c r="AV22" i="2"/>
  <c r="AU22" i="2"/>
  <c r="AV10" i="2"/>
  <c r="AU10" i="2"/>
  <c r="AS1098" i="2" a="1"/>
  <c r="AS1098" i="2" s="1"/>
  <c r="AW1098" i="2" s="1"/>
  <c r="AR1098" i="2"/>
  <c r="AT1098" i="2" s="1"/>
  <c r="AP1098" i="2"/>
  <c r="AS1086" i="2" a="1"/>
  <c r="AS1086" i="2" s="1"/>
  <c r="AW1086" i="2" s="1"/>
  <c r="AR1086" i="2"/>
  <c r="AT1086" i="2" s="1"/>
  <c r="AP1086" i="2"/>
  <c r="AR1074" i="2"/>
  <c r="AT1074" i="2" s="1"/>
  <c r="AS1074" i="2" a="1"/>
  <c r="AS1074" i="2" s="1"/>
  <c r="AW1074" i="2" s="1"/>
  <c r="AP1074" i="2"/>
  <c r="AS1062" i="2" a="1"/>
  <c r="AS1062" i="2" s="1"/>
  <c r="AW1062" i="2" s="1"/>
  <c r="AR1062" i="2"/>
  <c r="AT1062" i="2" s="1"/>
  <c r="AP1062" i="2"/>
  <c r="AR1050" i="2"/>
  <c r="AT1050" i="2" s="1"/>
  <c r="AS1050" i="2" a="1"/>
  <c r="AS1050" i="2" s="1"/>
  <c r="AW1050" i="2" s="1"/>
  <c r="AP1050" i="2"/>
  <c r="AR1038" i="2"/>
  <c r="AT1038" i="2" s="1"/>
  <c r="AS1038" i="2" a="1"/>
  <c r="AS1038" i="2" s="1"/>
  <c r="AW1038" i="2" s="1"/>
  <c r="AP1038" i="2"/>
  <c r="AR1026" i="2"/>
  <c r="AT1026" i="2" s="1"/>
  <c r="AS1026" i="2" a="1"/>
  <c r="AS1026" i="2" s="1"/>
  <c r="AW1026" i="2" s="1"/>
  <c r="AP1026" i="2"/>
  <c r="AS1014" i="2" a="1"/>
  <c r="AS1014" i="2" s="1"/>
  <c r="AW1014" i="2" s="1"/>
  <c r="AR1014" i="2"/>
  <c r="AT1014" i="2" s="1"/>
  <c r="AP1014" i="2"/>
  <c r="AS1002" i="2" a="1"/>
  <c r="AS1002" i="2" s="1"/>
  <c r="AW1002" i="2" s="1"/>
  <c r="AR1002" i="2"/>
  <c r="AT1002" i="2" s="1"/>
  <c r="AP1002" i="2"/>
  <c r="AS990" i="2" a="1"/>
  <c r="AS990" i="2" s="1"/>
  <c r="AW990" i="2" s="1"/>
  <c r="AR990" i="2"/>
  <c r="AT990" i="2" s="1"/>
  <c r="AP990" i="2"/>
  <c r="AS978" i="2" a="1"/>
  <c r="AS978" i="2" s="1"/>
  <c r="AW978" i="2" s="1"/>
  <c r="AR978" i="2"/>
  <c r="AT978" i="2" s="1"/>
  <c r="AP978" i="2"/>
  <c r="AS966" i="2" a="1"/>
  <c r="AS966" i="2" s="1"/>
  <c r="AW966" i="2" s="1"/>
  <c r="AR966" i="2"/>
  <c r="AT966" i="2" s="1"/>
  <c r="AP966" i="2"/>
  <c r="AS954" i="2" a="1"/>
  <c r="AS954" i="2" s="1"/>
  <c r="AW954" i="2" s="1"/>
  <c r="AR954" i="2"/>
  <c r="AT954" i="2" s="1"/>
  <c r="AP954" i="2"/>
  <c r="AS942" i="2" a="1"/>
  <c r="AS942" i="2" s="1"/>
  <c r="AW942" i="2" s="1"/>
  <c r="AR942" i="2"/>
  <c r="AT942" i="2" s="1"/>
  <c r="AP942" i="2"/>
  <c r="AS930" i="2" a="1"/>
  <c r="AS930" i="2" s="1"/>
  <c r="AW930" i="2" s="1"/>
  <c r="AR930" i="2"/>
  <c r="AT930" i="2" s="1"/>
  <c r="AP930" i="2"/>
  <c r="AS918" i="2" a="1"/>
  <c r="AS918" i="2" s="1"/>
  <c r="AW918" i="2" s="1"/>
  <c r="AR918" i="2"/>
  <c r="AT918" i="2" s="1"/>
  <c r="AP918" i="2"/>
  <c r="AS906" i="2" a="1"/>
  <c r="AS906" i="2" s="1"/>
  <c r="AW906" i="2" s="1"/>
  <c r="AR906" i="2"/>
  <c r="AT906" i="2" s="1"/>
  <c r="AP906" i="2"/>
  <c r="AS894" i="2" a="1"/>
  <c r="AS894" i="2" s="1"/>
  <c r="AW894" i="2" s="1"/>
  <c r="AR894" i="2"/>
  <c r="AT894" i="2" s="1"/>
  <c r="AP894" i="2"/>
  <c r="AS882" i="2" a="1"/>
  <c r="AS882" i="2" s="1"/>
  <c r="AW882" i="2" s="1"/>
  <c r="AR882" i="2"/>
  <c r="AT882" i="2" s="1"/>
  <c r="AP882" i="2"/>
  <c r="AS870" i="2" a="1"/>
  <c r="AS870" i="2" s="1"/>
  <c r="AW870" i="2" s="1"/>
  <c r="AR870" i="2"/>
  <c r="AT870" i="2" s="1"/>
  <c r="AP870" i="2"/>
  <c r="AS858" i="2" a="1"/>
  <c r="AS858" i="2" s="1"/>
  <c r="AW858" i="2" s="1"/>
  <c r="AR858" i="2"/>
  <c r="AT858" i="2" s="1"/>
  <c r="AP858" i="2"/>
  <c r="AS846" i="2" a="1"/>
  <c r="AS846" i="2" s="1"/>
  <c r="AW846" i="2" s="1"/>
  <c r="AR846" i="2"/>
  <c r="AT846" i="2" s="1"/>
  <c r="AP846" i="2"/>
  <c r="AS834" i="2" a="1"/>
  <c r="AS834" i="2" s="1"/>
  <c r="AW834" i="2" s="1"/>
  <c r="AR834" i="2"/>
  <c r="AT834" i="2" s="1"/>
  <c r="AP834" i="2"/>
  <c r="AS822" i="2" a="1"/>
  <c r="AS822" i="2" s="1"/>
  <c r="AW822" i="2" s="1"/>
  <c r="AR822" i="2"/>
  <c r="AT822" i="2" s="1"/>
  <c r="AP822" i="2"/>
  <c r="AS810" i="2" a="1"/>
  <c r="AS810" i="2" s="1"/>
  <c r="AW810" i="2" s="1"/>
  <c r="AR810" i="2"/>
  <c r="AT810" i="2" s="1"/>
  <c r="AP810" i="2"/>
  <c r="AS798" i="2" a="1"/>
  <c r="AS798" i="2" s="1"/>
  <c r="AW798" i="2" s="1"/>
  <c r="AR798" i="2"/>
  <c r="AT798" i="2" s="1"/>
  <c r="AP798" i="2"/>
  <c r="AS786" i="2" a="1"/>
  <c r="AS786" i="2" s="1"/>
  <c r="AW786" i="2" s="1"/>
  <c r="AR786" i="2"/>
  <c r="AT786" i="2" s="1"/>
  <c r="AP786" i="2"/>
  <c r="AS774" i="2" a="1"/>
  <c r="AS774" i="2" s="1"/>
  <c r="AW774" i="2" s="1"/>
  <c r="AR774" i="2"/>
  <c r="AT774" i="2" s="1"/>
  <c r="AP774" i="2"/>
  <c r="AS762" i="2" a="1"/>
  <c r="AS762" i="2" s="1"/>
  <c r="AW762" i="2" s="1"/>
  <c r="AR762" i="2"/>
  <c r="AT762" i="2" s="1"/>
  <c r="AP762" i="2"/>
  <c r="AS750" i="2" a="1"/>
  <c r="AS750" i="2" s="1"/>
  <c r="AW750" i="2" s="1"/>
  <c r="AR750" i="2"/>
  <c r="AT750" i="2" s="1"/>
  <c r="AP750" i="2"/>
  <c r="AS738" i="2" a="1"/>
  <c r="AS738" i="2" s="1"/>
  <c r="AW738" i="2" s="1"/>
  <c r="AR738" i="2"/>
  <c r="AT738" i="2" s="1"/>
  <c r="AP738" i="2"/>
  <c r="AS726" i="2" a="1"/>
  <c r="AS726" i="2" s="1"/>
  <c r="AW726" i="2" s="1"/>
  <c r="AR726" i="2"/>
  <c r="AT726" i="2" s="1"/>
  <c r="AP726" i="2"/>
  <c r="AR714" i="2"/>
  <c r="AT714" i="2" s="1"/>
  <c r="AS714" i="2" a="1"/>
  <c r="AS714" i="2" s="1"/>
  <c r="AW714" i="2" s="1"/>
  <c r="AP714" i="2"/>
  <c r="AS702" i="2" a="1"/>
  <c r="AS702" i="2" s="1"/>
  <c r="AW702" i="2" s="1"/>
  <c r="AR702" i="2"/>
  <c r="AT702" i="2" s="1"/>
  <c r="AP702" i="2"/>
  <c r="AS690" i="2" a="1"/>
  <c r="AS690" i="2" s="1"/>
  <c r="AW690" i="2" s="1"/>
  <c r="AR690" i="2"/>
  <c r="AT690" i="2" s="1"/>
  <c r="AP690" i="2"/>
  <c r="AS678" i="2" a="1"/>
  <c r="AS678" i="2" s="1"/>
  <c r="AW678" i="2" s="1"/>
  <c r="AR678" i="2"/>
  <c r="AT678" i="2" s="1"/>
  <c r="AP678" i="2"/>
  <c r="AR666" i="2"/>
  <c r="AT666" i="2" s="1"/>
  <c r="AS666" i="2" a="1"/>
  <c r="AS666" i="2" s="1"/>
  <c r="AW666" i="2" s="1"/>
  <c r="AP666" i="2"/>
  <c r="AR654" i="2"/>
  <c r="AT654" i="2" s="1"/>
  <c r="AS654" i="2" a="1"/>
  <c r="AS654" i="2" s="1"/>
  <c r="AW654" i="2" s="1"/>
  <c r="AP654" i="2"/>
  <c r="AR642" i="2"/>
  <c r="AT642" i="2" s="1"/>
  <c r="AS642" i="2" a="1"/>
  <c r="AS642" i="2" s="1"/>
  <c r="AW642" i="2" s="1"/>
  <c r="AP642" i="2"/>
  <c r="AS630" i="2" a="1"/>
  <c r="AS630" i="2" s="1"/>
  <c r="AW630" i="2" s="1"/>
  <c r="AR630" i="2"/>
  <c r="AT630" i="2" s="1"/>
  <c r="AP630" i="2"/>
  <c r="AS618" i="2" a="1"/>
  <c r="AS618" i="2" s="1"/>
  <c r="AW618" i="2" s="1"/>
  <c r="AR618" i="2"/>
  <c r="AT618" i="2" s="1"/>
  <c r="AP618" i="2"/>
  <c r="AS606" i="2" a="1"/>
  <c r="AS606" i="2" s="1"/>
  <c r="AW606" i="2" s="1"/>
  <c r="AR606" i="2"/>
  <c r="AT606" i="2" s="1"/>
  <c r="AP606" i="2"/>
  <c r="AS594" i="2" a="1"/>
  <c r="AS594" i="2" s="1"/>
  <c r="AW594" i="2" s="1"/>
  <c r="AR594" i="2"/>
  <c r="AT594" i="2" s="1"/>
  <c r="AP594" i="2"/>
  <c r="AS582" i="2" a="1"/>
  <c r="AS582" i="2" s="1"/>
  <c r="AW582" i="2" s="1"/>
  <c r="AR582" i="2"/>
  <c r="AT582" i="2" s="1"/>
  <c r="AP582" i="2"/>
  <c r="AS570" i="2" a="1"/>
  <c r="AS570" i="2" s="1"/>
  <c r="AW570" i="2" s="1"/>
  <c r="AR570" i="2"/>
  <c r="AT570" i="2" s="1"/>
  <c r="AP570" i="2"/>
  <c r="AS558" i="2" a="1"/>
  <c r="AS558" i="2" s="1"/>
  <c r="AW558" i="2" s="1"/>
  <c r="AR558" i="2"/>
  <c r="AT558" i="2" s="1"/>
  <c r="AP558" i="2"/>
  <c r="AS546" i="2" a="1"/>
  <c r="AS546" i="2" s="1"/>
  <c r="AW546" i="2" s="1"/>
  <c r="AR546" i="2"/>
  <c r="AT546" i="2" s="1"/>
  <c r="AP546" i="2"/>
  <c r="AS534" i="2" a="1"/>
  <c r="AS534" i="2" s="1"/>
  <c r="AW534" i="2" s="1"/>
  <c r="AR534" i="2"/>
  <c r="AT534" i="2" s="1"/>
  <c r="AP534" i="2"/>
  <c r="AS522" i="2" a="1"/>
  <c r="AS522" i="2" s="1"/>
  <c r="AW522" i="2" s="1"/>
  <c r="AR522" i="2"/>
  <c r="AT522" i="2" s="1"/>
  <c r="AP522" i="2"/>
  <c r="AS510" i="2" a="1"/>
  <c r="AS510" i="2" s="1"/>
  <c r="AW510" i="2" s="1"/>
  <c r="AR510" i="2"/>
  <c r="AT510" i="2" s="1"/>
  <c r="AP510" i="2"/>
  <c r="AS498" i="2" a="1"/>
  <c r="AS498" i="2" s="1"/>
  <c r="AW498" i="2" s="1"/>
  <c r="AR498" i="2"/>
  <c r="AT498" i="2" s="1"/>
  <c r="AP498" i="2"/>
  <c r="AS486" i="2" a="1"/>
  <c r="AS486" i="2" s="1"/>
  <c r="AW486" i="2" s="1"/>
  <c r="AR486" i="2"/>
  <c r="AT486" i="2" s="1"/>
  <c r="AP486" i="2"/>
  <c r="AR474" i="2"/>
  <c r="AT474" i="2" s="1"/>
  <c r="AS474" i="2" a="1"/>
  <c r="AS474" i="2" s="1"/>
  <c r="AW474" i="2" s="1"/>
  <c r="AP474" i="2"/>
  <c r="AR462" i="2"/>
  <c r="AT462" i="2" s="1"/>
  <c r="AS462" i="2" a="1"/>
  <c r="AS462" i="2" s="1"/>
  <c r="AW462" i="2" s="1"/>
  <c r="AP462" i="2"/>
  <c r="AS450" i="2" a="1"/>
  <c r="AS450" i="2" s="1"/>
  <c r="AW450" i="2" s="1"/>
  <c r="AR450" i="2"/>
  <c r="AT450" i="2" s="1"/>
  <c r="AP450" i="2"/>
  <c r="AS438" i="2" a="1"/>
  <c r="AS438" i="2" s="1"/>
  <c r="AW438" i="2" s="1"/>
  <c r="AR438" i="2"/>
  <c r="AT438" i="2" s="1"/>
  <c r="AP438" i="2"/>
  <c r="AS426" i="2" a="1"/>
  <c r="AS426" i="2" s="1"/>
  <c r="AW426" i="2" s="1"/>
  <c r="AR426" i="2"/>
  <c r="AT426" i="2" s="1"/>
  <c r="AP426" i="2"/>
  <c r="AS414" i="2" a="1"/>
  <c r="AS414" i="2" s="1"/>
  <c r="AW414" i="2" s="1"/>
  <c r="AR414" i="2"/>
  <c r="AT414" i="2" s="1"/>
  <c r="AP414" i="2"/>
  <c r="AS402" i="2" a="1"/>
  <c r="AS402" i="2" s="1"/>
  <c r="AW402" i="2" s="1"/>
  <c r="AR402" i="2"/>
  <c r="AT402" i="2" s="1"/>
  <c r="AP402" i="2"/>
  <c r="AS390" i="2" a="1"/>
  <c r="AS390" i="2" s="1"/>
  <c r="AW390" i="2" s="1"/>
  <c r="AR390" i="2"/>
  <c r="AT390" i="2" s="1"/>
  <c r="AP390" i="2"/>
  <c r="AS378" i="2" a="1"/>
  <c r="AS378" i="2" s="1"/>
  <c r="AW378" i="2" s="1"/>
  <c r="AR378" i="2"/>
  <c r="AT378" i="2" s="1"/>
  <c r="AP378" i="2"/>
  <c r="AS366" i="2" a="1"/>
  <c r="AS366" i="2" s="1"/>
  <c r="AW366" i="2" s="1"/>
  <c r="AR366" i="2"/>
  <c r="AT366" i="2" s="1"/>
  <c r="AP366" i="2"/>
  <c r="AS354" i="2" a="1"/>
  <c r="AS354" i="2" s="1"/>
  <c r="AW354" i="2" s="1"/>
  <c r="AR354" i="2"/>
  <c r="AT354" i="2" s="1"/>
  <c r="AP354" i="2"/>
  <c r="AS342" i="2" a="1"/>
  <c r="AS342" i="2" s="1"/>
  <c r="AW342" i="2" s="1"/>
  <c r="AR342" i="2"/>
  <c r="AT342" i="2" s="1"/>
  <c r="AP342" i="2"/>
  <c r="AR330" i="2"/>
  <c r="AT330" i="2" s="1"/>
  <c r="AS330" i="2" a="1"/>
  <c r="AS330" i="2" s="1"/>
  <c r="AW330" i="2" s="1"/>
  <c r="AP330" i="2"/>
  <c r="AR318" i="2"/>
  <c r="AT318" i="2" s="1"/>
  <c r="AS318" i="2" a="1"/>
  <c r="AS318" i="2" s="1"/>
  <c r="AW318" i="2" s="1"/>
  <c r="AP318" i="2"/>
  <c r="AR306" i="2"/>
  <c r="AT306" i="2" s="1"/>
  <c r="AS306" i="2" a="1"/>
  <c r="AS306" i="2" s="1"/>
  <c r="AW306" i="2" s="1"/>
  <c r="AP306" i="2"/>
  <c r="AS294" i="2" a="1"/>
  <c r="AS294" i="2" s="1"/>
  <c r="AW294" i="2" s="1"/>
  <c r="AR294" i="2"/>
  <c r="AT294" i="2" s="1"/>
  <c r="AP294" i="2"/>
  <c r="AS282" i="2" a="1"/>
  <c r="AS282" i="2" s="1"/>
  <c r="AW282" i="2" s="1"/>
  <c r="AP282" i="2"/>
  <c r="AR282" i="2"/>
  <c r="AT282" i="2" s="1"/>
  <c r="AS271" i="2" a="1"/>
  <c r="AS271" i="2" s="1"/>
  <c r="AW271" i="2" s="1"/>
  <c r="AR271" i="2"/>
  <c r="AT271" i="2" s="1"/>
  <c r="AP271" i="2"/>
  <c r="AS259" i="2" a="1"/>
  <c r="AS259" i="2" s="1"/>
  <c r="AW259" i="2" s="1"/>
  <c r="AR259" i="2"/>
  <c r="AT259" i="2" s="1"/>
  <c r="AP259" i="2"/>
  <c r="AS247" i="2" a="1"/>
  <c r="AS247" i="2" s="1"/>
  <c r="AW247" i="2" s="1"/>
  <c r="AR247" i="2"/>
  <c r="AT247" i="2" s="1"/>
  <c r="AP247" i="2"/>
  <c r="AS235" i="2" a="1"/>
  <c r="AS235" i="2" s="1"/>
  <c r="AW235" i="2" s="1"/>
  <c r="AR235" i="2"/>
  <c r="AT235" i="2" s="1"/>
  <c r="AP235" i="2"/>
  <c r="AR223" i="2"/>
  <c r="AT223" i="2" s="1"/>
  <c r="AS223" i="2" a="1"/>
  <c r="AS223" i="2" s="1"/>
  <c r="AW223" i="2" s="1"/>
  <c r="AP223" i="2"/>
  <c r="AR211" i="2"/>
  <c r="AT211" i="2" s="1"/>
  <c r="AS211" i="2" a="1"/>
  <c r="AS211" i="2" s="1"/>
  <c r="AW211" i="2" s="1"/>
  <c r="AP211" i="2"/>
  <c r="AR199" i="2"/>
  <c r="AT199" i="2" s="1"/>
  <c r="AS199" i="2" a="1"/>
  <c r="AS199" i="2" s="1"/>
  <c r="AW199" i="2" s="1"/>
  <c r="AP199" i="2"/>
  <c r="AS187" i="2" a="1"/>
  <c r="AS187" i="2" s="1"/>
  <c r="AW187" i="2" s="1"/>
  <c r="AR187" i="2"/>
  <c r="AT187" i="2" s="1"/>
  <c r="AP187" i="2"/>
  <c r="AS175" i="2" a="1"/>
  <c r="AS175" i="2" s="1"/>
  <c r="AW175" i="2" s="1"/>
  <c r="AR175" i="2"/>
  <c r="AT175" i="2" s="1"/>
  <c r="AP175" i="2"/>
  <c r="AS163" i="2" a="1"/>
  <c r="AS163" i="2" s="1"/>
  <c r="AW163" i="2" s="1"/>
  <c r="AR163" i="2"/>
  <c r="AT163" i="2" s="1"/>
  <c r="AP163" i="2"/>
  <c r="AR151" i="2"/>
  <c r="AT151" i="2" s="1"/>
  <c r="AS151" i="2" a="1"/>
  <c r="AS151" i="2" s="1"/>
  <c r="AW151" i="2" s="1"/>
  <c r="AP151" i="2"/>
  <c r="AR139" i="2"/>
  <c r="AT139" i="2" s="1"/>
  <c r="AS139" i="2" a="1"/>
  <c r="AS139" i="2" s="1"/>
  <c r="AW139" i="2" s="1"/>
  <c r="AP139" i="2"/>
  <c r="AS127" i="2" a="1"/>
  <c r="AS127" i="2" s="1"/>
  <c r="AW127" i="2" s="1"/>
  <c r="AR127" i="2"/>
  <c r="AT127" i="2" s="1"/>
  <c r="AP127" i="2"/>
  <c r="AS115" i="2" a="1"/>
  <c r="AS115" i="2" s="1"/>
  <c r="AW115" i="2" s="1"/>
  <c r="AR115" i="2"/>
  <c r="AT115" i="2" s="1"/>
  <c r="AP115" i="2"/>
  <c r="AS103" i="2" a="1"/>
  <c r="AS103" i="2" s="1"/>
  <c r="AW103" i="2" s="1"/>
  <c r="AR103" i="2"/>
  <c r="AT103" i="2" s="1"/>
  <c r="AP103" i="2"/>
  <c r="AR91" i="2"/>
  <c r="AT91" i="2" s="1"/>
  <c r="AS91" i="2" a="1"/>
  <c r="AS91" i="2" s="1"/>
  <c r="AW91" i="2" s="1"/>
  <c r="AP91" i="2"/>
  <c r="AS79" i="2" a="1"/>
  <c r="AS79" i="2" s="1"/>
  <c r="AW79" i="2" s="1"/>
  <c r="AR79" i="2"/>
  <c r="AT79" i="2" s="1"/>
  <c r="AP79" i="2"/>
  <c r="AS67" i="2" a="1"/>
  <c r="AS67" i="2" s="1"/>
  <c r="AW67" i="2" s="1"/>
  <c r="AR67" i="2"/>
  <c r="AT67" i="2" s="1"/>
  <c r="AP67" i="2"/>
  <c r="AS55" i="2" a="1"/>
  <c r="AS55" i="2" s="1"/>
  <c r="AW55" i="2" s="1"/>
  <c r="AR55" i="2"/>
  <c r="AT55" i="2" s="1"/>
  <c r="AP55" i="2"/>
  <c r="AS43" i="2" a="1"/>
  <c r="AS43" i="2" s="1"/>
  <c r="AW43" i="2" s="1"/>
  <c r="AR43" i="2"/>
  <c r="AT43" i="2" s="1"/>
  <c r="AP43" i="2"/>
  <c r="AS31" i="2" a="1"/>
  <c r="AS31" i="2" s="1"/>
  <c r="AW31" i="2" s="1"/>
  <c r="AR31" i="2"/>
  <c r="AT31" i="2" s="1"/>
  <c r="AP31" i="2"/>
  <c r="AR19" i="2"/>
  <c r="AT19" i="2" s="1"/>
  <c r="AS19" i="2" a="1"/>
  <c r="AS19" i="2" s="1"/>
  <c r="AW19" i="2" s="1"/>
  <c r="AP19" i="2"/>
  <c r="AS7" i="2" a="1"/>
  <c r="AS7" i="2" s="1"/>
  <c r="AW7" i="2" s="1"/>
  <c r="AR7" i="2"/>
  <c r="AT7" i="2" s="1"/>
  <c r="AP7" i="2"/>
  <c r="AV1088" i="2"/>
  <c r="AU1088" i="2"/>
  <c r="AV1076" i="2"/>
  <c r="AU1076" i="2"/>
  <c r="AV1064" i="2"/>
  <c r="AU1064" i="2"/>
  <c r="AV1052" i="2"/>
  <c r="AU1052" i="2"/>
  <c r="AV1040" i="2"/>
  <c r="AU1040" i="2"/>
  <c r="AV1028" i="2"/>
  <c r="AU1028" i="2"/>
  <c r="AV1016" i="2"/>
  <c r="AU1016" i="2"/>
  <c r="AV1004" i="2"/>
  <c r="AU1004" i="2"/>
  <c r="AV992" i="2"/>
  <c r="AU992" i="2"/>
  <c r="AV980" i="2"/>
  <c r="AU980" i="2"/>
  <c r="AV968" i="2"/>
  <c r="AU968" i="2"/>
  <c r="AV956" i="2"/>
  <c r="AU956" i="2"/>
  <c r="AV944" i="2"/>
  <c r="AU944" i="2"/>
  <c r="AV932" i="2"/>
  <c r="AU932" i="2"/>
  <c r="AV920" i="2"/>
  <c r="AU920" i="2"/>
  <c r="AV908" i="2"/>
  <c r="AU908" i="2"/>
  <c r="AV896" i="2"/>
  <c r="AU896" i="2"/>
  <c r="AV884" i="2"/>
  <c r="AU884" i="2"/>
  <c r="AU872" i="2"/>
  <c r="AV872" i="2"/>
  <c r="AV860" i="2"/>
  <c r="AU860" i="2"/>
  <c r="AV848" i="2"/>
  <c r="AU848" i="2"/>
  <c r="AV836" i="2"/>
  <c r="AU836" i="2"/>
  <c r="AU824" i="2"/>
  <c r="AV824" i="2"/>
  <c r="AU812" i="2"/>
  <c r="AV812" i="2"/>
  <c r="AU800" i="2"/>
  <c r="AV800" i="2"/>
  <c r="AU788" i="2"/>
  <c r="AV788" i="2"/>
  <c r="AU776" i="2"/>
  <c r="AV776" i="2"/>
  <c r="AU764" i="2"/>
  <c r="AV764" i="2"/>
  <c r="AU752" i="2"/>
  <c r="AV752" i="2"/>
  <c r="AU740" i="2"/>
  <c r="AV740" i="2"/>
  <c r="AU728" i="2"/>
  <c r="AV728" i="2"/>
  <c r="AU716" i="2"/>
  <c r="AV716" i="2"/>
  <c r="AU704" i="2"/>
  <c r="AV704" i="2"/>
  <c r="AU692" i="2"/>
  <c r="AV692" i="2"/>
  <c r="AU680" i="2"/>
  <c r="AV680" i="2"/>
  <c r="AU668" i="2"/>
  <c r="AV668" i="2"/>
  <c r="AU656" i="2"/>
  <c r="AV656" i="2"/>
  <c r="AU644" i="2"/>
  <c r="AV644" i="2"/>
  <c r="AU632" i="2"/>
  <c r="AV632" i="2"/>
  <c r="AU620" i="2"/>
  <c r="AV620" i="2"/>
  <c r="AU608" i="2"/>
  <c r="AV608" i="2"/>
  <c r="AU596" i="2"/>
  <c r="AV596" i="2"/>
  <c r="AU584" i="2"/>
  <c r="AV584" i="2"/>
  <c r="AU572" i="2"/>
  <c r="AV572" i="2"/>
  <c r="AU560" i="2"/>
  <c r="AV560" i="2"/>
  <c r="AU548" i="2"/>
  <c r="AV548" i="2"/>
  <c r="AU536" i="2"/>
  <c r="AV536" i="2"/>
  <c r="AU524" i="2"/>
  <c r="AV524" i="2"/>
  <c r="AU512" i="2"/>
  <c r="AV512" i="2"/>
  <c r="AU500" i="2"/>
  <c r="AV500" i="2"/>
  <c r="AU488" i="2"/>
  <c r="AV488" i="2"/>
  <c r="AU476" i="2"/>
  <c r="AV476" i="2"/>
  <c r="AU464" i="2"/>
  <c r="AV464" i="2"/>
  <c r="AU452" i="2"/>
  <c r="AV452" i="2"/>
  <c r="AV440" i="2"/>
  <c r="AU440" i="2"/>
  <c r="AV428" i="2"/>
  <c r="AU428" i="2"/>
  <c r="AV416" i="2"/>
  <c r="AU416" i="2"/>
  <c r="AV404" i="2"/>
  <c r="AU404" i="2"/>
  <c r="AV392" i="2"/>
  <c r="AU392" i="2"/>
  <c r="AV380" i="2"/>
  <c r="AU380" i="2"/>
  <c r="AV368" i="2"/>
  <c r="AU368" i="2"/>
  <c r="AV356" i="2"/>
  <c r="AU356" i="2"/>
  <c r="AV344" i="2"/>
  <c r="AU344" i="2"/>
  <c r="AV332" i="2"/>
  <c r="AU332" i="2"/>
  <c r="AV320" i="2"/>
  <c r="AU320" i="2"/>
  <c r="AV308" i="2"/>
  <c r="AU308" i="2"/>
  <c r="AU296" i="2"/>
  <c r="AV296" i="2"/>
  <c r="AV284" i="2"/>
  <c r="AU284" i="2"/>
  <c r="AV273" i="2"/>
  <c r="AU273" i="2"/>
  <c r="AV261" i="2"/>
  <c r="AU261" i="2"/>
  <c r="AU249" i="2"/>
  <c r="AV249" i="2"/>
  <c r="AV237" i="2"/>
  <c r="AU237" i="2"/>
  <c r="AV225" i="2"/>
  <c r="AU225" i="2"/>
  <c r="AV213" i="2"/>
  <c r="AU213" i="2"/>
  <c r="AV201" i="2"/>
  <c r="AU201" i="2"/>
  <c r="AV189" i="2"/>
  <c r="AU189" i="2"/>
  <c r="AV177" i="2"/>
  <c r="AU177" i="2"/>
  <c r="AV165" i="2"/>
  <c r="AU165" i="2"/>
  <c r="AV153" i="2"/>
  <c r="AU153" i="2"/>
  <c r="AV141" i="2"/>
  <c r="AU141" i="2"/>
  <c r="AV129" i="2"/>
  <c r="AU129" i="2"/>
  <c r="AV117" i="2"/>
  <c r="AU117" i="2"/>
  <c r="AV105" i="2"/>
  <c r="AU105" i="2"/>
  <c r="AV93" i="2"/>
  <c r="AU93" i="2"/>
  <c r="AV81" i="2"/>
  <c r="AU81" i="2"/>
  <c r="AV69" i="2"/>
  <c r="AU69" i="2"/>
  <c r="AV57" i="2"/>
  <c r="AU57" i="2"/>
  <c r="AV45" i="2"/>
  <c r="AU45" i="2"/>
  <c r="AV33" i="2"/>
  <c r="AU33" i="2"/>
  <c r="AV21" i="2"/>
  <c r="AU21" i="2"/>
  <c r="AV9" i="2"/>
  <c r="AU9" i="2"/>
  <c r="AZ1092" i="2"/>
  <c r="AZ1080" i="2"/>
  <c r="AZ1068" i="2"/>
  <c r="AZ1056" i="2"/>
  <c r="AZ1044" i="2"/>
  <c r="AZ1032" i="2"/>
  <c r="AZ1020" i="2"/>
  <c r="AZ1008" i="2"/>
  <c r="AZ996" i="2"/>
  <c r="AZ984" i="2"/>
  <c r="AZ972" i="2"/>
  <c r="AZ960" i="2"/>
  <c r="AQ1090" i="2"/>
  <c r="AQ1078" i="2"/>
  <c r="AQ1066" i="2"/>
  <c r="AQ1054" i="2"/>
  <c r="AQ1042" i="2"/>
  <c r="AQ1030" i="2"/>
  <c r="AQ1018" i="2"/>
  <c r="AQ1006" i="2"/>
  <c r="AQ994" i="2"/>
  <c r="AQ982" i="2"/>
  <c r="AQ970" i="2"/>
  <c r="AQ958" i="2"/>
  <c r="AQ946" i="2"/>
  <c r="AQ934" i="2"/>
  <c r="AQ922" i="2"/>
  <c r="AQ910" i="2"/>
  <c r="AQ898" i="2"/>
  <c r="AQ886" i="2"/>
  <c r="AQ874" i="2"/>
  <c r="AQ862" i="2"/>
  <c r="AQ850" i="2"/>
  <c r="AQ838" i="2"/>
  <c r="AQ826" i="2"/>
  <c r="AQ814" i="2"/>
  <c r="AQ802" i="2"/>
  <c r="AQ790" i="2"/>
  <c r="AQ778" i="2"/>
  <c r="AQ766" i="2"/>
  <c r="AQ754" i="2"/>
  <c r="AQ742" i="2"/>
  <c r="AQ730" i="2"/>
  <c r="AQ718" i="2"/>
  <c r="AQ706" i="2"/>
  <c r="AQ694" i="2"/>
  <c r="AQ682" i="2"/>
  <c r="AQ670" i="2"/>
  <c r="AQ658" i="2"/>
  <c r="AQ646" i="2"/>
  <c r="AQ634" i="2"/>
  <c r="AQ622" i="2"/>
  <c r="AQ610" i="2"/>
  <c r="AQ598" i="2"/>
  <c r="AQ586" i="2"/>
  <c r="AQ574" i="2"/>
  <c r="AQ562" i="2"/>
  <c r="AQ550" i="2"/>
  <c r="AQ538" i="2"/>
  <c r="AQ526" i="2"/>
  <c r="AQ514" i="2"/>
  <c r="AQ502" i="2"/>
  <c r="AQ490" i="2"/>
  <c r="AQ478" i="2"/>
  <c r="AQ466" i="2"/>
  <c r="AQ454" i="2"/>
  <c r="AQ442" i="2"/>
  <c r="AQ430" i="2"/>
  <c r="AQ418" i="2"/>
  <c r="AQ406" i="2"/>
  <c r="AQ394" i="2"/>
  <c r="AQ382" i="2"/>
  <c r="AQ370" i="2"/>
  <c r="AQ358" i="2"/>
  <c r="AQ346" i="2"/>
  <c r="AQ334" i="2"/>
  <c r="AQ322" i="2"/>
  <c r="AQ310" i="2"/>
  <c r="AQ298" i="2"/>
  <c r="AQ286" i="2"/>
  <c r="AQ275" i="2"/>
  <c r="AQ263" i="2"/>
  <c r="AQ251" i="2"/>
  <c r="AQ239" i="2"/>
  <c r="AQ227" i="2"/>
  <c r="AQ215" i="2"/>
  <c r="AQ203" i="2"/>
  <c r="AQ191" i="2"/>
  <c r="AQ179" i="2"/>
  <c r="AQ167" i="2"/>
  <c r="AQ155" i="2"/>
  <c r="AQ143" i="2"/>
  <c r="AQ131" i="2"/>
  <c r="AQ119" i="2"/>
  <c r="AQ107" i="2"/>
  <c r="AQ95" i="2"/>
  <c r="AQ83" i="2"/>
  <c r="AQ71" i="2"/>
  <c r="AQ59" i="2"/>
  <c r="AQ47" i="2"/>
  <c r="AQ35" i="2"/>
  <c r="AQ23" i="2"/>
  <c r="AQ11" i="2"/>
  <c r="AS1097" i="2" a="1"/>
  <c r="AS1097" i="2" s="1"/>
  <c r="AW1097" i="2" s="1"/>
  <c r="AR1097" i="2"/>
  <c r="AT1097" i="2" s="1"/>
  <c r="AP1097" i="2"/>
  <c r="AS1085" i="2" a="1"/>
  <c r="AS1085" i="2" s="1"/>
  <c r="AW1085" i="2" s="1"/>
  <c r="AR1085" i="2"/>
  <c r="AT1085" i="2" s="1"/>
  <c r="AP1085" i="2"/>
  <c r="AS1073" i="2" a="1"/>
  <c r="AS1073" i="2" s="1"/>
  <c r="AW1073" i="2" s="1"/>
  <c r="AR1073" i="2"/>
  <c r="AT1073" i="2" s="1"/>
  <c r="AP1073" i="2"/>
  <c r="AS1061" i="2" a="1"/>
  <c r="AS1061" i="2" s="1"/>
  <c r="AW1061" i="2" s="1"/>
  <c r="AR1061" i="2"/>
  <c r="AT1061" i="2" s="1"/>
  <c r="AP1061" i="2"/>
  <c r="AS1049" i="2" a="1"/>
  <c r="AS1049" i="2" s="1"/>
  <c r="AW1049" i="2" s="1"/>
  <c r="AR1049" i="2"/>
  <c r="AT1049" i="2" s="1"/>
  <c r="AP1049" i="2"/>
  <c r="AS1037" i="2" a="1"/>
  <c r="AS1037" i="2" s="1"/>
  <c r="AW1037" i="2" s="1"/>
  <c r="AR1037" i="2"/>
  <c r="AT1037" i="2" s="1"/>
  <c r="AP1037" i="2"/>
  <c r="AS1025" i="2" a="1"/>
  <c r="AS1025" i="2" s="1"/>
  <c r="AW1025" i="2" s="1"/>
  <c r="AR1025" i="2"/>
  <c r="AT1025" i="2" s="1"/>
  <c r="AP1025" i="2"/>
  <c r="AS1013" i="2" a="1"/>
  <c r="AS1013" i="2" s="1"/>
  <c r="AW1013" i="2" s="1"/>
  <c r="AR1013" i="2"/>
  <c r="AT1013" i="2" s="1"/>
  <c r="AP1013" i="2"/>
  <c r="AS1001" i="2" a="1"/>
  <c r="AS1001" i="2" s="1"/>
  <c r="AW1001" i="2" s="1"/>
  <c r="AR1001" i="2"/>
  <c r="AT1001" i="2" s="1"/>
  <c r="AP1001" i="2"/>
  <c r="AS989" i="2" a="1"/>
  <c r="AS989" i="2" s="1"/>
  <c r="AW989" i="2" s="1"/>
  <c r="AR989" i="2"/>
  <c r="AT989" i="2" s="1"/>
  <c r="AP989" i="2"/>
  <c r="AS977" i="2" a="1"/>
  <c r="AS977" i="2" s="1"/>
  <c r="AW977" i="2" s="1"/>
  <c r="AR977" i="2"/>
  <c r="AT977" i="2" s="1"/>
  <c r="AP977" i="2"/>
  <c r="AS965" i="2" a="1"/>
  <c r="AS965" i="2" s="1"/>
  <c r="AW965" i="2" s="1"/>
  <c r="AR965" i="2"/>
  <c r="AT965" i="2" s="1"/>
  <c r="AP965" i="2"/>
  <c r="AR953" i="2"/>
  <c r="AT953" i="2" s="1"/>
  <c r="AS953" i="2" a="1"/>
  <c r="AS953" i="2" s="1"/>
  <c r="AW953" i="2" s="1"/>
  <c r="AP953" i="2"/>
  <c r="AS941" i="2" a="1"/>
  <c r="AS941" i="2" s="1"/>
  <c r="AW941" i="2" s="1"/>
  <c r="AR941" i="2"/>
  <c r="AT941" i="2" s="1"/>
  <c r="AP941" i="2"/>
  <c r="AS929" i="2" a="1"/>
  <c r="AS929" i="2" s="1"/>
  <c r="AW929" i="2" s="1"/>
  <c r="AR929" i="2"/>
  <c r="AT929" i="2" s="1"/>
  <c r="AP929" i="2"/>
  <c r="AS917" i="2" a="1"/>
  <c r="AS917" i="2" s="1"/>
  <c r="AW917" i="2" s="1"/>
  <c r="AR917" i="2"/>
  <c r="AT917" i="2" s="1"/>
  <c r="AP917" i="2"/>
  <c r="AS905" i="2" a="1"/>
  <c r="AS905" i="2" s="1"/>
  <c r="AW905" i="2" s="1"/>
  <c r="AR905" i="2"/>
  <c r="AT905" i="2" s="1"/>
  <c r="AP905" i="2"/>
  <c r="AS893" i="2" a="1"/>
  <c r="AS893" i="2" s="1"/>
  <c r="AW893" i="2" s="1"/>
  <c r="AR893" i="2"/>
  <c r="AT893" i="2" s="1"/>
  <c r="AP893" i="2"/>
  <c r="AS881" i="2" a="1"/>
  <c r="AS881" i="2" s="1"/>
  <c r="AW881" i="2" s="1"/>
  <c r="AR881" i="2"/>
  <c r="AT881" i="2" s="1"/>
  <c r="AP881" i="2"/>
  <c r="AS869" i="2" a="1"/>
  <c r="AS869" i="2" s="1"/>
  <c r="AW869" i="2" s="1"/>
  <c r="AR869" i="2"/>
  <c r="AT869" i="2" s="1"/>
  <c r="AP869" i="2"/>
  <c r="AS857" i="2" a="1"/>
  <c r="AS857" i="2" s="1"/>
  <c r="AW857" i="2" s="1"/>
  <c r="AR857" i="2"/>
  <c r="AT857" i="2" s="1"/>
  <c r="AP857" i="2"/>
  <c r="AS845" i="2" a="1"/>
  <c r="AS845" i="2" s="1"/>
  <c r="AW845" i="2" s="1"/>
  <c r="AR845" i="2"/>
  <c r="AT845" i="2" s="1"/>
  <c r="AP845" i="2"/>
  <c r="AS833" i="2" a="1"/>
  <c r="AS833" i="2" s="1"/>
  <c r="AW833" i="2" s="1"/>
  <c r="AR833" i="2"/>
  <c r="AT833" i="2" s="1"/>
  <c r="AP833" i="2"/>
  <c r="AR821" i="2"/>
  <c r="AT821" i="2" s="1"/>
  <c r="AS821" i="2" a="1"/>
  <c r="AS821" i="2" s="1"/>
  <c r="AW821" i="2" s="1"/>
  <c r="AP821" i="2"/>
  <c r="AS809" i="2" a="1"/>
  <c r="AS809" i="2" s="1"/>
  <c r="AW809" i="2" s="1"/>
  <c r="AR809" i="2"/>
  <c r="AT809" i="2" s="1"/>
  <c r="AP809" i="2"/>
  <c r="AS797" i="2" a="1"/>
  <c r="AS797" i="2" s="1"/>
  <c r="AW797" i="2" s="1"/>
  <c r="AR797" i="2"/>
  <c r="AT797" i="2" s="1"/>
  <c r="AP797" i="2"/>
  <c r="AR785" i="2"/>
  <c r="AT785" i="2" s="1"/>
  <c r="AS785" i="2" a="1"/>
  <c r="AS785" i="2" s="1"/>
  <c r="AW785" i="2" s="1"/>
  <c r="AP785" i="2"/>
  <c r="AS773" i="2" a="1"/>
  <c r="AS773" i="2" s="1"/>
  <c r="AW773" i="2" s="1"/>
  <c r="AR773" i="2"/>
  <c r="AT773" i="2" s="1"/>
  <c r="AP773" i="2"/>
  <c r="AS761" i="2" a="1"/>
  <c r="AS761" i="2" s="1"/>
  <c r="AW761" i="2" s="1"/>
  <c r="AR761" i="2"/>
  <c r="AT761" i="2" s="1"/>
  <c r="AP761" i="2"/>
  <c r="AS749" i="2" a="1"/>
  <c r="AS749" i="2" s="1"/>
  <c r="AW749" i="2" s="1"/>
  <c r="AR749" i="2"/>
  <c r="AT749" i="2" s="1"/>
  <c r="AP749" i="2"/>
  <c r="AR737" i="2"/>
  <c r="AT737" i="2" s="1"/>
  <c r="AS737" i="2" a="1"/>
  <c r="AS737" i="2" s="1"/>
  <c r="AW737" i="2" s="1"/>
  <c r="AP737" i="2"/>
  <c r="AS725" i="2" a="1"/>
  <c r="AS725" i="2" s="1"/>
  <c r="AW725" i="2" s="1"/>
  <c r="AR725" i="2"/>
  <c r="AT725" i="2" s="1"/>
  <c r="AP725" i="2"/>
  <c r="AS713" i="2" a="1"/>
  <c r="AS713" i="2" s="1"/>
  <c r="AW713" i="2" s="1"/>
  <c r="AR713" i="2"/>
  <c r="AT713" i="2" s="1"/>
  <c r="AP713" i="2"/>
  <c r="AS701" i="2" a="1"/>
  <c r="AS701" i="2" s="1"/>
  <c r="AW701" i="2" s="1"/>
  <c r="AR701" i="2"/>
  <c r="AT701" i="2" s="1"/>
  <c r="AP701" i="2"/>
  <c r="AR689" i="2"/>
  <c r="AT689" i="2" s="1"/>
  <c r="AS689" i="2" a="1"/>
  <c r="AS689" i="2" s="1"/>
  <c r="AW689" i="2" s="1"/>
  <c r="AP689" i="2"/>
  <c r="AR677" i="2"/>
  <c r="AT677" i="2" s="1"/>
  <c r="AS677" i="2" a="1"/>
  <c r="AS677" i="2" s="1"/>
  <c r="AW677" i="2" s="1"/>
  <c r="AP677" i="2"/>
  <c r="AS665" i="2" a="1"/>
  <c r="AS665" i="2" s="1"/>
  <c r="AW665" i="2" s="1"/>
  <c r="AR665" i="2"/>
  <c r="AT665" i="2" s="1"/>
  <c r="AP665" i="2"/>
  <c r="AS653" i="2" a="1"/>
  <c r="AS653" i="2" s="1"/>
  <c r="AW653" i="2" s="1"/>
  <c r="AR653" i="2"/>
  <c r="AT653" i="2" s="1"/>
  <c r="AP653" i="2"/>
  <c r="AS641" i="2" a="1"/>
  <c r="AS641" i="2" s="1"/>
  <c r="AW641" i="2" s="1"/>
  <c r="AR641" i="2"/>
  <c r="AT641" i="2" s="1"/>
  <c r="AP641" i="2"/>
  <c r="AS629" i="2" a="1"/>
  <c r="AS629" i="2" s="1"/>
  <c r="AW629" i="2" s="1"/>
  <c r="AR629" i="2"/>
  <c r="AT629" i="2" s="1"/>
  <c r="AP629" i="2"/>
  <c r="AR617" i="2"/>
  <c r="AT617" i="2" s="1"/>
  <c r="AS617" i="2" a="1"/>
  <c r="AS617" i="2" s="1"/>
  <c r="AW617" i="2" s="1"/>
  <c r="AP617" i="2"/>
  <c r="AS605" i="2" a="1"/>
  <c r="AS605" i="2" s="1"/>
  <c r="AW605" i="2" s="1"/>
  <c r="AR605" i="2"/>
  <c r="AT605" i="2" s="1"/>
  <c r="AP605" i="2"/>
  <c r="AS593" i="2" a="1"/>
  <c r="AS593" i="2" s="1"/>
  <c r="AW593" i="2" s="1"/>
  <c r="AR593" i="2"/>
  <c r="AT593" i="2" s="1"/>
  <c r="AP593" i="2"/>
  <c r="AS581" i="2" a="1"/>
  <c r="AS581" i="2" s="1"/>
  <c r="AW581" i="2" s="1"/>
  <c r="AR581" i="2"/>
  <c r="AT581" i="2" s="1"/>
  <c r="AP581" i="2"/>
  <c r="AS569" i="2" a="1"/>
  <c r="AS569" i="2" s="1"/>
  <c r="AW569" i="2" s="1"/>
  <c r="AR569" i="2"/>
  <c r="AT569" i="2" s="1"/>
  <c r="AP569" i="2"/>
  <c r="AS557" i="2" a="1"/>
  <c r="AS557" i="2" s="1"/>
  <c r="AW557" i="2" s="1"/>
  <c r="AR557" i="2"/>
  <c r="AT557" i="2" s="1"/>
  <c r="AP557" i="2"/>
  <c r="AS545" i="2" a="1"/>
  <c r="AS545" i="2" s="1"/>
  <c r="AW545" i="2" s="1"/>
  <c r="AR545" i="2"/>
  <c r="AT545" i="2" s="1"/>
  <c r="AP545" i="2"/>
  <c r="AS533" i="2" a="1"/>
  <c r="AS533" i="2" s="1"/>
  <c r="AW533" i="2" s="1"/>
  <c r="AR533" i="2"/>
  <c r="AT533" i="2" s="1"/>
  <c r="AP533" i="2"/>
  <c r="AS521" i="2" a="1"/>
  <c r="AS521" i="2" s="1"/>
  <c r="AW521" i="2" s="1"/>
  <c r="AR521" i="2"/>
  <c r="AT521" i="2" s="1"/>
  <c r="AP521" i="2"/>
  <c r="AR509" i="2"/>
  <c r="AT509" i="2" s="1"/>
  <c r="AS509" i="2" a="1"/>
  <c r="AS509" i="2" s="1"/>
  <c r="AW509" i="2" s="1"/>
  <c r="AP509" i="2"/>
  <c r="AS497" i="2" a="1"/>
  <c r="AS497" i="2" s="1"/>
  <c r="AW497" i="2" s="1"/>
  <c r="AR497" i="2"/>
  <c r="AT497" i="2" s="1"/>
  <c r="AP497" i="2"/>
  <c r="AR485" i="2"/>
  <c r="AT485" i="2" s="1"/>
  <c r="AS485" i="2" a="1"/>
  <c r="AS485" i="2" s="1"/>
  <c r="AW485" i="2" s="1"/>
  <c r="AP485" i="2"/>
  <c r="AS473" i="2" a="1"/>
  <c r="AS473" i="2" s="1"/>
  <c r="AW473" i="2" s="1"/>
  <c r="AR473" i="2"/>
  <c r="AT473" i="2" s="1"/>
  <c r="AP473" i="2"/>
  <c r="AS461" i="2" a="1"/>
  <c r="AS461" i="2" s="1"/>
  <c r="AW461" i="2" s="1"/>
  <c r="AR461" i="2"/>
  <c r="AT461" i="2" s="1"/>
  <c r="AP461" i="2"/>
  <c r="AS449" i="2" a="1"/>
  <c r="AS449" i="2" s="1"/>
  <c r="AW449" i="2" s="1"/>
  <c r="AR449" i="2"/>
  <c r="AT449" i="2" s="1"/>
  <c r="AP449" i="2"/>
  <c r="AS437" i="2" a="1"/>
  <c r="AS437" i="2" s="1"/>
  <c r="AW437" i="2" s="1"/>
  <c r="AR437" i="2"/>
  <c r="AT437" i="2" s="1"/>
  <c r="AP437" i="2"/>
  <c r="AS425" i="2" a="1"/>
  <c r="AS425" i="2" s="1"/>
  <c r="AW425" i="2" s="1"/>
  <c r="AR425" i="2"/>
  <c r="AT425" i="2" s="1"/>
  <c r="AP425" i="2"/>
  <c r="AS413" i="2" a="1"/>
  <c r="AS413" i="2" s="1"/>
  <c r="AW413" i="2" s="1"/>
  <c r="AR413" i="2"/>
  <c r="AT413" i="2" s="1"/>
  <c r="AP413" i="2"/>
  <c r="AS401" i="2" a="1"/>
  <c r="AS401" i="2" s="1"/>
  <c r="AW401" i="2" s="1"/>
  <c r="AR401" i="2"/>
  <c r="AT401" i="2" s="1"/>
  <c r="AP401" i="2"/>
  <c r="AR389" i="2"/>
  <c r="AT389" i="2" s="1"/>
  <c r="AS389" i="2" a="1"/>
  <c r="AS389" i="2" s="1"/>
  <c r="AW389" i="2" s="1"/>
  <c r="AP389" i="2"/>
  <c r="AS377" i="2" a="1"/>
  <c r="AS377" i="2" s="1"/>
  <c r="AW377" i="2" s="1"/>
  <c r="AR377" i="2"/>
  <c r="AT377" i="2" s="1"/>
  <c r="AP377" i="2"/>
  <c r="AS365" i="2" a="1"/>
  <c r="AS365" i="2" s="1"/>
  <c r="AW365" i="2" s="1"/>
  <c r="AR365" i="2"/>
  <c r="AT365" i="2" s="1"/>
  <c r="AP365" i="2"/>
  <c r="AS353" i="2" a="1"/>
  <c r="AS353" i="2" s="1"/>
  <c r="AW353" i="2" s="1"/>
  <c r="AR353" i="2"/>
  <c r="AT353" i="2" s="1"/>
  <c r="AP353" i="2"/>
  <c r="AS341" i="2" a="1"/>
  <c r="AS341" i="2" s="1"/>
  <c r="AW341" i="2" s="1"/>
  <c r="AR341" i="2"/>
  <c r="AT341" i="2" s="1"/>
  <c r="AP341" i="2"/>
  <c r="AS329" i="2" a="1"/>
  <c r="AS329" i="2" s="1"/>
  <c r="AW329" i="2" s="1"/>
  <c r="AR329" i="2"/>
  <c r="AT329" i="2" s="1"/>
  <c r="AP329" i="2"/>
  <c r="AS317" i="2" a="1"/>
  <c r="AS317" i="2" s="1"/>
  <c r="AW317" i="2" s="1"/>
  <c r="AR317" i="2"/>
  <c r="AT317" i="2" s="1"/>
  <c r="AP317" i="2"/>
  <c r="AS305" i="2" a="1"/>
  <c r="AS305" i="2" s="1"/>
  <c r="AW305" i="2" s="1"/>
  <c r="AR305" i="2"/>
  <c r="AT305" i="2" s="1"/>
  <c r="AP305" i="2"/>
  <c r="AS293" i="2" a="1"/>
  <c r="AS293" i="2" s="1"/>
  <c r="AW293" i="2" s="1"/>
  <c r="AR293" i="2"/>
  <c r="AT293" i="2" s="1"/>
  <c r="AP293" i="2"/>
  <c r="AS281" i="2" a="1"/>
  <c r="AS281" i="2" s="1"/>
  <c r="AW281" i="2" s="1"/>
  <c r="AR281" i="2"/>
  <c r="AT281" i="2" s="1"/>
  <c r="AP281" i="2"/>
  <c r="AR270" i="2"/>
  <c r="AT270" i="2" s="1"/>
  <c r="AS270" i="2" a="1"/>
  <c r="AS270" i="2" s="1"/>
  <c r="AW270" i="2" s="1"/>
  <c r="AP270" i="2"/>
  <c r="AR258" i="2"/>
  <c r="AT258" i="2" s="1"/>
  <c r="AS258" i="2" a="1"/>
  <c r="AS258" i="2" s="1"/>
  <c r="AW258" i="2" s="1"/>
  <c r="AP258" i="2"/>
  <c r="AS246" i="2" a="1"/>
  <c r="AS246" i="2" s="1"/>
  <c r="AW246" i="2" s="1"/>
  <c r="AR246" i="2"/>
  <c r="AT246" i="2" s="1"/>
  <c r="AP246" i="2"/>
  <c r="AS234" i="2" a="1"/>
  <c r="AS234" i="2" s="1"/>
  <c r="AW234" i="2" s="1"/>
  <c r="AR234" i="2"/>
  <c r="AT234" i="2" s="1"/>
  <c r="AP234" i="2"/>
  <c r="AR222" i="2"/>
  <c r="AT222" i="2" s="1"/>
  <c r="AS222" i="2" a="1"/>
  <c r="AS222" i="2" s="1"/>
  <c r="AW222" i="2" s="1"/>
  <c r="AP222" i="2"/>
  <c r="AS210" i="2" a="1"/>
  <c r="AS210" i="2" s="1"/>
  <c r="AW210" i="2" s="1"/>
  <c r="AR210" i="2"/>
  <c r="AT210" i="2" s="1"/>
  <c r="AP210" i="2"/>
  <c r="AS198" i="2" a="1"/>
  <c r="AS198" i="2" s="1"/>
  <c r="AW198" i="2" s="1"/>
  <c r="AR198" i="2"/>
  <c r="AT198" i="2" s="1"/>
  <c r="AP198" i="2"/>
  <c r="AS186" i="2" a="1"/>
  <c r="AS186" i="2" s="1"/>
  <c r="AW186" i="2" s="1"/>
  <c r="AR186" i="2"/>
  <c r="AT186" i="2" s="1"/>
  <c r="AP186" i="2"/>
  <c r="AS174" i="2" a="1"/>
  <c r="AS174" i="2" s="1"/>
  <c r="AW174" i="2" s="1"/>
  <c r="AR174" i="2"/>
  <c r="AT174" i="2" s="1"/>
  <c r="AP174" i="2"/>
  <c r="AR162" i="2"/>
  <c r="AT162" i="2" s="1"/>
  <c r="AS162" i="2" a="1"/>
  <c r="AS162" i="2" s="1"/>
  <c r="AW162" i="2" s="1"/>
  <c r="AP162" i="2"/>
  <c r="AS150" i="2" a="1"/>
  <c r="AS150" i="2" s="1"/>
  <c r="AW150" i="2" s="1"/>
  <c r="AR150" i="2"/>
  <c r="AT150" i="2" s="1"/>
  <c r="AP150" i="2"/>
  <c r="AS138" i="2" a="1"/>
  <c r="AS138" i="2" s="1"/>
  <c r="AW138" i="2" s="1"/>
  <c r="AR138" i="2"/>
  <c r="AT138" i="2" s="1"/>
  <c r="AP138" i="2"/>
  <c r="AS126" i="2" a="1"/>
  <c r="AS126" i="2" s="1"/>
  <c r="AW126" i="2" s="1"/>
  <c r="AR126" i="2"/>
  <c r="AT126" i="2" s="1"/>
  <c r="AP126" i="2"/>
  <c r="AR114" i="2"/>
  <c r="AT114" i="2" s="1"/>
  <c r="AS114" i="2" a="1"/>
  <c r="AS114" i="2" s="1"/>
  <c r="AW114" i="2" s="1"/>
  <c r="AP114" i="2"/>
  <c r="AS102" i="2" a="1"/>
  <c r="AS102" i="2" s="1"/>
  <c r="AW102" i="2" s="1"/>
  <c r="AR102" i="2"/>
  <c r="AT102" i="2" s="1"/>
  <c r="AP102" i="2"/>
  <c r="AS90" i="2" a="1"/>
  <c r="AS90" i="2" s="1"/>
  <c r="AW90" i="2" s="1"/>
  <c r="AR90" i="2"/>
  <c r="AT90" i="2" s="1"/>
  <c r="AP90" i="2"/>
  <c r="AS78" i="2" a="1"/>
  <c r="AS78" i="2" s="1"/>
  <c r="AW78" i="2" s="1"/>
  <c r="AR78" i="2"/>
  <c r="AT78" i="2" s="1"/>
  <c r="AP78" i="2"/>
  <c r="AS66" i="2" a="1"/>
  <c r="AS66" i="2" s="1"/>
  <c r="AW66" i="2" s="1"/>
  <c r="AR66" i="2"/>
  <c r="AT66" i="2" s="1"/>
  <c r="AP66" i="2"/>
  <c r="AS54" i="2" a="1"/>
  <c r="AS54" i="2" s="1"/>
  <c r="AW54" i="2" s="1"/>
  <c r="AR54" i="2"/>
  <c r="AT54" i="2" s="1"/>
  <c r="AP54" i="2"/>
  <c r="AS42" i="2" a="1"/>
  <c r="AS42" i="2" s="1"/>
  <c r="AW42" i="2" s="1"/>
  <c r="AP42" i="2"/>
  <c r="AR42" i="2"/>
  <c r="AT42" i="2" s="1"/>
  <c r="AS30" i="2" a="1"/>
  <c r="AS30" i="2" s="1"/>
  <c r="AW30" i="2" s="1"/>
  <c r="AR30" i="2"/>
  <c r="AT30" i="2" s="1"/>
  <c r="AP30" i="2"/>
  <c r="AS18" i="2" a="1"/>
  <c r="AS18" i="2" s="1"/>
  <c r="AW18" i="2" s="1"/>
  <c r="AR18" i="2"/>
  <c r="AT18" i="2" s="1"/>
  <c r="AP18" i="2"/>
  <c r="AS6" i="2" a="1"/>
  <c r="AS6" i="2" s="1"/>
  <c r="AW6" i="2" s="1"/>
  <c r="AR6" i="2"/>
  <c r="AT6" i="2" s="1"/>
  <c r="AP6" i="2"/>
  <c r="AV1099" i="2"/>
  <c r="AU1099" i="2"/>
  <c r="AV1087" i="2"/>
  <c r="AU1087" i="2"/>
  <c r="AV1075" i="2"/>
  <c r="AU1075" i="2"/>
  <c r="AV1063" i="2"/>
  <c r="AU1063" i="2"/>
  <c r="AV1051" i="2"/>
  <c r="AU1051" i="2"/>
  <c r="AV1039" i="2"/>
  <c r="AU1039" i="2"/>
  <c r="AV1027" i="2"/>
  <c r="AU1027" i="2"/>
  <c r="AV1015" i="2"/>
  <c r="AU1015" i="2"/>
  <c r="AV1003" i="2"/>
  <c r="AU1003" i="2"/>
  <c r="AV991" i="2"/>
  <c r="AU991" i="2"/>
  <c r="AV979" i="2"/>
  <c r="AU979" i="2"/>
  <c r="AV967" i="2"/>
  <c r="AU967" i="2"/>
  <c r="AV955" i="2"/>
  <c r="AU955" i="2"/>
  <c r="AV943" i="2"/>
  <c r="AU943" i="2"/>
  <c r="AV931" i="2"/>
  <c r="AU931" i="2"/>
  <c r="AV919" i="2"/>
  <c r="AU919" i="2"/>
  <c r="AV907" i="2"/>
  <c r="AU907" i="2"/>
  <c r="AV895" i="2"/>
  <c r="AU895" i="2"/>
  <c r="AV883" i="2"/>
  <c r="AU883" i="2"/>
  <c r="AV871" i="2"/>
  <c r="AU871" i="2"/>
  <c r="AV859" i="2"/>
  <c r="AU859" i="2"/>
  <c r="AU847" i="2"/>
  <c r="AV847" i="2"/>
  <c r="AV835" i="2"/>
  <c r="AU835" i="2"/>
  <c r="AV823" i="2"/>
  <c r="AU823" i="2"/>
  <c r="AV811" i="2"/>
  <c r="AU811" i="2"/>
  <c r="AV799" i="2"/>
  <c r="AU799" i="2"/>
  <c r="AV787" i="2"/>
  <c r="AU787" i="2"/>
  <c r="AV775" i="2"/>
  <c r="AU775" i="2"/>
  <c r="AV763" i="2"/>
  <c r="AU763" i="2"/>
  <c r="AV751" i="2"/>
  <c r="AU751" i="2"/>
  <c r="AU739" i="2"/>
  <c r="AV739" i="2"/>
  <c r="AV727" i="2"/>
  <c r="AU727" i="2"/>
  <c r="AU715" i="2"/>
  <c r="AV715" i="2"/>
  <c r="AV703" i="2"/>
  <c r="AU703" i="2"/>
  <c r="AU691" i="2"/>
  <c r="AV691" i="2"/>
  <c r="AV679" i="2"/>
  <c r="AU679" i="2"/>
  <c r="AU667" i="2"/>
  <c r="AV667" i="2"/>
  <c r="AV655" i="2"/>
  <c r="AU655" i="2"/>
  <c r="AU643" i="2"/>
  <c r="AV643" i="2"/>
  <c r="AV631" i="2"/>
  <c r="AU631" i="2"/>
  <c r="AU619" i="2"/>
  <c r="AV619" i="2"/>
  <c r="AV607" i="2"/>
  <c r="AU607" i="2"/>
  <c r="AU595" i="2"/>
  <c r="AV595" i="2"/>
  <c r="AV583" i="2"/>
  <c r="AU583" i="2"/>
  <c r="AU571" i="2"/>
  <c r="AV571" i="2"/>
  <c r="AU559" i="2"/>
  <c r="AV559" i="2"/>
  <c r="AU547" i="2"/>
  <c r="AV547" i="2"/>
  <c r="AV535" i="2"/>
  <c r="AU535" i="2"/>
  <c r="AU523" i="2"/>
  <c r="AV523" i="2"/>
  <c r="AV511" i="2"/>
  <c r="AU511" i="2"/>
  <c r="AU499" i="2"/>
  <c r="AV499" i="2"/>
  <c r="AU487" i="2"/>
  <c r="AV487" i="2"/>
  <c r="AV475" i="2"/>
  <c r="AU475" i="2"/>
  <c r="AU463" i="2"/>
  <c r="AV463" i="2"/>
  <c r="AV451" i="2"/>
  <c r="AU451" i="2"/>
  <c r="AV439" i="2"/>
  <c r="AU439" i="2"/>
  <c r="AV427" i="2"/>
  <c r="AU427" i="2"/>
  <c r="AV415" i="2"/>
  <c r="AU415" i="2"/>
  <c r="AV403" i="2"/>
  <c r="AU403" i="2"/>
  <c r="AV391" i="2"/>
  <c r="AU391" i="2"/>
  <c r="AV379" i="2"/>
  <c r="AU379" i="2"/>
  <c r="AV367" i="2"/>
  <c r="AU367" i="2"/>
  <c r="AV355" i="2"/>
  <c r="AU355" i="2"/>
  <c r="AV343" i="2"/>
  <c r="AU343" i="2"/>
  <c r="AV331" i="2"/>
  <c r="AU331" i="2"/>
  <c r="AV319" i="2"/>
  <c r="AU319" i="2"/>
  <c r="AV307" i="2"/>
  <c r="AU307" i="2"/>
  <c r="AV295" i="2"/>
  <c r="AU295" i="2"/>
  <c r="AU283" i="2"/>
  <c r="AV283" i="2"/>
  <c r="AV272" i="2"/>
  <c r="AU272" i="2"/>
  <c r="AV260" i="2"/>
  <c r="AU260" i="2"/>
  <c r="AV248" i="2"/>
  <c r="AU248" i="2"/>
  <c r="AU236" i="2"/>
  <c r="AV236" i="2"/>
  <c r="AV224" i="2"/>
  <c r="AU224" i="2"/>
  <c r="AV212" i="2"/>
  <c r="AU212" i="2"/>
  <c r="AV200" i="2"/>
  <c r="AU200" i="2"/>
  <c r="AV188" i="2"/>
  <c r="AU188" i="2"/>
  <c r="AV176" i="2"/>
  <c r="AU176" i="2"/>
  <c r="AV164" i="2"/>
  <c r="AU164" i="2"/>
  <c r="AV152" i="2"/>
  <c r="AU152" i="2"/>
  <c r="AV140" i="2"/>
  <c r="AU140" i="2"/>
  <c r="AV128" i="2"/>
  <c r="AU128" i="2"/>
  <c r="AV116" i="2"/>
  <c r="AU116" i="2"/>
  <c r="AV104" i="2"/>
  <c r="AU104" i="2"/>
  <c r="AV92" i="2"/>
  <c r="AU92" i="2"/>
  <c r="AV80" i="2"/>
  <c r="AU80" i="2"/>
  <c r="AV68" i="2"/>
  <c r="AU68" i="2"/>
  <c r="AV56" i="2"/>
  <c r="AU56" i="2"/>
  <c r="AV44" i="2"/>
  <c r="AU44" i="2"/>
  <c r="AV32" i="2"/>
  <c r="AU32" i="2"/>
  <c r="AV20" i="2"/>
  <c r="AU20" i="2"/>
  <c r="AU8" i="2"/>
  <c r="AV8" i="2"/>
  <c r="AY631" i="2" a="1"/>
  <c r="AY631" i="2" s="1"/>
  <c r="AO631" i="2" a="1"/>
  <c r="AO631" i="2" s="1"/>
  <c r="AN631" i="2"/>
  <c r="AY619" i="2" a="1"/>
  <c r="AY619" i="2" s="1"/>
  <c r="AO619" i="2" a="1"/>
  <c r="AO619" i="2" s="1"/>
  <c r="AN619" i="2"/>
  <c r="AY607" i="2" a="1"/>
  <c r="AY607" i="2" s="1"/>
  <c r="AN607" i="2"/>
  <c r="AO607" i="2" a="1"/>
  <c r="AO607" i="2" s="1"/>
  <c r="AY595" i="2" a="1"/>
  <c r="AY595" i="2" s="1"/>
  <c r="AO595" i="2" a="1"/>
  <c r="AO595" i="2" s="1"/>
  <c r="AN595" i="2"/>
  <c r="AY583" i="2" a="1"/>
  <c r="AY583" i="2" s="1"/>
  <c r="AO583" i="2" a="1"/>
  <c r="AO583" i="2" s="1"/>
  <c r="AN583" i="2"/>
  <c r="AY571" i="2" a="1"/>
  <c r="AY571" i="2" s="1"/>
  <c r="AO571" i="2" a="1"/>
  <c r="AO571" i="2" s="1"/>
  <c r="AN571" i="2"/>
  <c r="AY559" i="2" a="1"/>
  <c r="AY559" i="2" s="1"/>
  <c r="AO559" i="2" a="1"/>
  <c r="AO559" i="2" s="1"/>
  <c r="AN559" i="2"/>
  <c r="AY547" i="2" a="1"/>
  <c r="AY547" i="2" s="1"/>
  <c r="AO547" i="2" a="1"/>
  <c r="AO547" i="2" s="1"/>
  <c r="AN547" i="2"/>
  <c r="AY535" i="2" a="1"/>
  <c r="AY535" i="2" s="1"/>
  <c r="AO535" i="2" a="1"/>
  <c r="AO535" i="2" s="1"/>
  <c r="AN535" i="2"/>
  <c r="AY523" i="2" a="1"/>
  <c r="AY523" i="2" s="1"/>
  <c r="AO523" i="2" a="1"/>
  <c r="AO523" i="2" s="1"/>
  <c r="AN523" i="2"/>
  <c r="AY511" i="2" a="1"/>
  <c r="AY511" i="2" s="1"/>
  <c r="AO511" i="2" a="1"/>
  <c r="AO511" i="2" s="1"/>
  <c r="AN511" i="2"/>
  <c r="AY499" i="2" a="1"/>
  <c r="AY499" i="2" s="1"/>
  <c r="AN499" i="2"/>
  <c r="AO499" i="2" a="1"/>
  <c r="AO499" i="2" s="1"/>
  <c r="AY487" i="2" a="1"/>
  <c r="AY487" i="2" s="1"/>
  <c r="AO487" i="2" a="1"/>
  <c r="AO487" i="2" s="1"/>
  <c r="AN487" i="2"/>
  <c r="AY475" i="2" a="1"/>
  <c r="AY475" i="2" s="1"/>
  <c r="AO475" i="2" a="1"/>
  <c r="AO475" i="2" s="1"/>
  <c r="AN475" i="2"/>
  <c r="AY463" i="2" a="1"/>
  <c r="AY463" i="2" s="1"/>
  <c r="AO463" i="2" a="1"/>
  <c r="AO463" i="2" s="1"/>
  <c r="AN463" i="2"/>
  <c r="AY451" i="2" a="1"/>
  <c r="AY451" i="2" s="1"/>
  <c r="AO451" i="2" a="1"/>
  <c r="AO451" i="2" s="1"/>
  <c r="AN451" i="2"/>
  <c r="AY439" i="2" a="1"/>
  <c r="AY439" i="2" s="1"/>
  <c r="AO439" i="2" a="1"/>
  <c r="AO439" i="2" s="1"/>
  <c r="AN439" i="2"/>
  <c r="AY427" i="2" a="1"/>
  <c r="AY427" i="2" s="1"/>
  <c r="AO427" i="2" a="1"/>
  <c r="AO427" i="2" s="1"/>
  <c r="AN427" i="2"/>
  <c r="AY415" i="2" a="1"/>
  <c r="AY415" i="2" s="1"/>
  <c r="AO415" i="2" a="1"/>
  <c r="AO415" i="2" s="1"/>
  <c r="AN415" i="2"/>
  <c r="AY403" i="2" a="1"/>
  <c r="AY403" i="2" s="1"/>
  <c r="AO403" i="2" a="1"/>
  <c r="AO403" i="2" s="1"/>
  <c r="AN403" i="2"/>
  <c r="AY391" i="2" a="1"/>
  <c r="AY391" i="2" s="1"/>
  <c r="AN391" i="2"/>
  <c r="AO391" i="2" a="1"/>
  <c r="AO391" i="2" s="1"/>
  <c r="AY379" i="2" a="1"/>
  <c r="AY379" i="2" s="1"/>
  <c r="AO379" i="2" a="1"/>
  <c r="AO379" i="2" s="1"/>
  <c r="AN379" i="2"/>
  <c r="AY367" i="2" a="1"/>
  <c r="AY367" i="2" s="1"/>
  <c r="AO367" i="2" a="1"/>
  <c r="AO367" i="2" s="1"/>
  <c r="AN367" i="2"/>
  <c r="AY355" i="2" a="1"/>
  <c r="AY355" i="2" s="1"/>
  <c r="AO355" i="2" a="1"/>
  <c r="AO355" i="2" s="1"/>
  <c r="AN355" i="2"/>
  <c r="AY343" i="2" a="1"/>
  <c r="AY343" i="2" s="1"/>
  <c r="AO343" i="2" a="1"/>
  <c r="AO343" i="2" s="1"/>
  <c r="AN343" i="2"/>
  <c r="AY331" i="2" a="1"/>
  <c r="AY331" i="2" s="1"/>
  <c r="AO331" i="2" a="1"/>
  <c r="AO331" i="2" s="1"/>
  <c r="AN331" i="2"/>
  <c r="AY319" i="2" a="1"/>
  <c r="AY319" i="2" s="1"/>
  <c r="AO319" i="2" a="1"/>
  <c r="AO319" i="2" s="1"/>
  <c r="AN319" i="2"/>
  <c r="AY307" i="2" a="1"/>
  <c r="AY307" i="2" s="1"/>
  <c r="AO307" i="2" a="1"/>
  <c r="AO307" i="2" s="1"/>
  <c r="AN307" i="2"/>
  <c r="AY295" i="2" a="1"/>
  <c r="AY295" i="2" s="1"/>
  <c r="AO295" i="2" a="1"/>
  <c r="AO295" i="2" s="1"/>
  <c r="AN295" i="2"/>
  <c r="AY283" i="2" a="1"/>
  <c r="AY283" i="2" s="1"/>
  <c r="AO283" i="2" a="1"/>
  <c r="AO283" i="2" s="1"/>
  <c r="AN283" i="2"/>
  <c r="AY272" i="2" a="1"/>
  <c r="AY272" i="2" s="1"/>
  <c r="AO272" i="2" a="1"/>
  <c r="AO272" i="2" s="1"/>
  <c r="AN272" i="2"/>
  <c r="AY260" i="2" a="1"/>
  <c r="AY260" i="2" s="1"/>
  <c r="AO260" i="2" a="1"/>
  <c r="AO260" i="2" s="1"/>
  <c r="AN260" i="2"/>
  <c r="AY248" i="2" a="1"/>
  <c r="AY248" i="2" s="1"/>
  <c r="AO248" i="2" a="1"/>
  <c r="AO248" i="2" s="1"/>
  <c r="AN248" i="2"/>
  <c r="AY236" i="2" a="1"/>
  <c r="AY236" i="2" s="1"/>
  <c r="AO236" i="2" a="1"/>
  <c r="AO236" i="2" s="1"/>
  <c r="AN236" i="2"/>
  <c r="AY224" i="2" a="1"/>
  <c r="AY224" i="2" s="1"/>
  <c r="AO224" i="2" a="1"/>
  <c r="AO224" i="2" s="1"/>
  <c r="AN224" i="2"/>
  <c r="AY212" i="2" a="1"/>
  <c r="AY212" i="2" s="1"/>
  <c r="AO212" i="2" a="1"/>
  <c r="AO212" i="2" s="1"/>
  <c r="AN212" i="2"/>
  <c r="AY200" i="2" a="1"/>
  <c r="AY200" i="2" s="1"/>
  <c r="AO200" i="2" a="1"/>
  <c r="AO200" i="2" s="1"/>
  <c r="AN200" i="2"/>
  <c r="AY188" i="2" a="1"/>
  <c r="AY188" i="2" s="1"/>
  <c r="AO188" i="2" a="1"/>
  <c r="AO188" i="2" s="1"/>
  <c r="AN188" i="2"/>
  <c r="AY176" i="2" a="1"/>
  <c r="AY176" i="2" s="1"/>
  <c r="AN176" i="2"/>
  <c r="AO176" i="2" a="1"/>
  <c r="AO176" i="2" s="1"/>
  <c r="AY164" i="2" a="1"/>
  <c r="AY164" i="2" s="1"/>
  <c r="AO164" i="2" a="1"/>
  <c r="AO164" i="2" s="1"/>
  <c r="AN164" i="2"/>
  <c r="AY152" i="2" a="1"/>
  <c r="AY152" i="2" s="1"/>
  <c r="AO152" i="2" a="1"/>
  <c r="AO152" i="2" s="1"/>
  <c r="AN152" i="2"/>
  <c r="AY140" i="2" a="1"/>
  <c r="AY140" i="2" s="1"/>
  <c r="AO140" i="2" a="1"/>
  <c r="AO140" i="2" s="1"/>
  <c r="AN140" i="2"/>
  <c r="AY128" i="2" a="1"/>
  <c r="AY128" i="2" s="1"/>
  <c r="AO128" i="2" a="1"/>
  <c r="AO128" i="2" s="1"/>
  <c r="AN128" i="2"/>
  <c r="AY116" i="2" a="1"/>
  <c r="AY116" i="2" s="1"/>
  <c r="AO116" i="2" a="1"/>
  <c r="AO116" i="2" s="1"/>
  <c r="AN116" i="2"/>
  <c r="AY104" i="2" a="1"/>
  <c r="AY104" i="2" s="1"/>
  <c r="AO104" i="2" a="1"/>
  <c r="AO104" i="2" s="1"/>
  <c r="AN104" i="2"/>
  <c r="AY92" i="2" a="1"/>
  <c r="AY92" i="2" s="1"/>
  <c r="AO92" i="2" a="1"/>
  <c r="AO92" i="2" s="1"/>
  <c r="AN92" i="2"/>
  <c r="AY80" i="2" a="1"/>
  <c r="AY80" i="2" s="1"/>
  <c r="AO80" i="2" a="1"/>
  <c r="AO80" i="2" s="1"/>
  <c r="AN80" i="2"/>
  <c r="AY68" i="2" a="1"/>
  <c r="AY68" i="2" s="1"/>
  <c r="AO68" i="2" a="1"/>
  <c r="AO68" i="2" s="1"/>
  <c r="AN68" i="2"/>
  <c r="AY56" i="2" a="1"/>
  <c r="AY56" i="2" s="1"/>
  <c r="AN56" i="2"/>
  <c r="AO56" i="2" a="1"/>
  <c r="AO56" i="2" s="1"/>
  <c r="AY44" i="2" a="1"/>
  <c r="AY44" i="2" s="1"/>
  <c r="AO44" i="2" a="1"/>
  <c r="AO44" i="2" s="1"/>
  <c r="AN44" i="2"/>
  <c r="AY32" i="2" a="1"/>
  <c r="AY32" i="2" s="1"/>
  <c r="AN32" i="2"/>
  <c r="AO32" i="2" a="1"/>
  <c r="AO32" i="2" s="1"/>
  <c r="AY20" i="2" a="1"/>
  <c r="AY20" i="2" s="1"/>
  <c r="AN20" i="2"/>
  <c r="AO20" i="2" a="1"/>
  <c r="AO20" i="2" s="1"/>
  <c r="AY8" i="2" a="1"/>
  <c r="AY8" i="2" s="1"/>
  <c r="AN8" i="2"/>
  <c r="AO8" i="2" a="1"/>
  <c r="AO8" i="2" s="1"/>
  <c r="AQ1088" i="2"/>
  <c r="AQ1076" i="2"/>
  <c r="AQ1064" i="2"/>
  <c r="AQ1052" i="2"/>
  <c r="AQ1040" i="2"/>
  <c r="AQ1028" i="2"/>
  <c r="AQ1016" i="2"/>
  <c r="AQ1004" i="2"/>
  <c r="AQ992" i="2"/>
  <c r="AQ980" i="2"/>
  <c r="AQ968" i="2"/>
  <c r="AQ956" i="2"/>
  <c r="AQ944" i="2"/>
  <c r="AQ932" i="2"/>
  <c r="AQ920" i="2"/>
  <c r="AQ908" i="2"/>
  <c r="AQ896" i="2"/>
  <c r="AQ884" i="2"/>
  <c r="AQ872" i="2"/>
  <c r="AQ860" i="2"/>
  <c r="AQ848" i="2"/>
  <c r="AQ836" i="2"/>
  <c r="AQ824" i="2"/>
  <c r="AQ812" i="2"/>
  <c r="AQ800" i="2"/>
  <c r="AQ788" i="2"/>
  <c r="AQ776" i="2"/>
  <c r="AQ764" i="2"/>
  <c r="AQ752" i="2"/>
  <c r="AQ740" i="2"/>
  <c r="AQ728" i="2"/>
  <c r="AQ716" i="2"/>
  <c r="AQ704" i="2"/>
  <c r="AQ692" i="2"/>
  <c r="AQ680" i="2"/>
  <c r="AQ668" i="2"/>
  <c r="AQ656" i="2"/>
  <c r="AQ644" i="2"/>
  <c r="AQ632" i="2"/>
  <c r="AQ620" i="2"/>
  <c r="AQ608" i="2"/>
  <c r="AQ596" i="2"/>
  <c r="AQ584" i="2"/>
  <c r="AQ572" i="2"/>
  <c r="AQ560" i="2"/>
  <c r="AQ548" i="2"/>
  <c r="AQ536" i="2"/>
  <c r="AQ524" i="2"/>
  <c r="AQ512" i="2"/>
  <c r="AQ500" i="2"/>
  <c r="AQ488" i="2"/>
  <c r="AQ476" i="2"/>
  <c r="AQ464" i="2"/>
  <c r="AQ452" i="2"/>
  <c r="AQ440" i="2"/>
  <c r="AQ428" i="2"/>
  <c r="AQ416" i="2"/>
  <c r="AQ404" i="2"/>
  <c r="AQ392" i="2"/>
  <c r="AQ380" i="2"/>
  <c r="AQ368" i="2"/>
  <c r="AQ356" i="2"/>
  <c r="AQ344" i="2"/>
  <c r="AQ332" i="2"/>
  <c r="AQ320" i="2"/>
  <c r="AQ308" i="2"/>
  <c r="AQ296" i="2"/>
  <c r="AQ284" i="2"/>
  <c r="AQ273" i="2"/>
  <c r="AQ261" i="2"/>
  <c r="AQ249" i="2"/>
  <c r="AQ237" i="2"/>
  <c r="AQ225" i="2"/>
  <c r="AQ213" i="2"/>
  <c r="AQ201" i="2"/>
  <c r="AQ189" i="2"/>
  <c r="AQ177" i="2"/>
  <c r="AQ165" i="2"/>
  <c r="AQ153" i="2"/>
  <c r="AQ141" i="2"/>
  <c r="AQ129" i="2"/>
  <c r="AQ117" i="2"/>
  <c r="AQ105" i="2"/>
  <c r="AQ93" i="2"/>
  <c r="AQ81" i="2"/>
  <c r="AQ69" i="2"/>
  <c r="AQ57" i="2"/>
  <c r="AQ45" i="2"/>
  <c r="AQ33" i="2"/>
  <c r="AQ21" i="2"/>
  <c r="AQ9" i="2"/>
  <c r="AS1095" i="2" a="1"/>
  <c r="AS1095" i="2" s="1"/>
  <c r="AW1095" i="2" s="1"/>
  <c r="AR1095" i="2"/>
  <c r="AT1095" i="2" s="1"/>
  <c r="AP1095" i="2"/>
  <c r="AS1083" i="2" a="1"/>
  <c r="AS1083" i="2" s="1"/>
  <c r="AW1083" i="2" s="1"/>
  <c r="AR1083" i="2"/>
  <c r="AT1083" i="2" s="1"/>
  <c r="AP1083" i="2"/>
  <c r="AS1071" i="2" a="1"/>
  <c r="AS1071" i="2" s="1"/>
  <c r="AW1071" i="2" s="1"/>
  <c r="AR1071" i="2"/>
  <c r="AT1071" i="2" s="1"/>
  <c r="AP1071" i="2"/>
  <c r="AS1059" i="2" a="1"/>
  <c r="AS1059" i="2" s="1"/>
  <c r="AW1059" i="2" s="1"/>
  <c r="AR1059" i="2"/>
  <c r="AT1059" i="2" s="1"/>
  <c r="AP1059" i="2"/>
  <c r="AS1047" i="2" a="1"/>
  <c r="AS1047" i="2" s="1"/>
  <c r="AW1047" i="2" s="1"/>
  <c r="AR1047" i="2"/>
  <c r="AT1047" i="2" s="1"/>
  <c r="AP1047" i="2"/>
  <c r="AS1035" i="2" a="1"/>
  <c r="AS1035" i="2" s="1"/>
  <c r="AW1035" i="2" s="1"/>
  <c r="AR1035" i="2"/>
  <c r="AT1035" i="2" s="1"/>
  <c r="AP1035" i="2"/>
  <c r="AR1023" i="2"/>
  <c r="AT1023" i="2" s="1"/>
  <c r="AS1023" i="2" a="1"/>
  <c r="AS1023" i="2" s="1"/>
  <c r="AW1023" i="2" s="1"/>
  <c r="AP1023" i="2"/>
  <c r="AS1011" i="2" a="1"/>
  <c r="AS1011" i="2" s="1"/>
  <c r="AW1011" i="2" s="1"/>
  <c r="AR1011" i="2"/>
  <c r="AT1011" i="2" s="1"/>
  <c r="AP1011" i="2"/>
  <c r="AS999" i="2" a="1"/>
  <c r="AS999" i="2" s="1"/>
  <c r="AW999" i="2" s="1"/>
  <c r="AR999" i="2"/>
  <c r="AT999" i="2" s="1"/>
  <c r="AP999" i="2"/>
  <c r="AS987" i="2" a="1"/>
  <c r="AS987" i="2" s="1"/>
  <c r="AW987" i="2" s="1"/>
  <c r="AR987" i="2"/>
  <c r="AT987" i="2" s="1"/>
  <c r="AP987" i="2"/>
  <c r="AS975" i="2" a="1"/>
  <c r="AS975" i="2" s="1"/>
  <c r="AW975" i="2" s="1"/>
  <c r="AR975" i="2"/>
  <c r="AT975" i="2" s="1"/>
  <c r="AP975" i="2"/>
  <c r="AS963" i="2" a="1"/>
  <c r="AS963" i="2" s="1"/>
  <c r="AW963" i="2" s="1"/>
  <c r="AR963" i="2"/>
  <c r="AT963" i="2" s="1"/>
  <c r="AP963" i="2"/>
  <c r="AS951" i="2" a="1"/>
  <c r="AS951" i="2" s="1"/>
  <c r="AW951" i="2" s="1"/>
  <c r="AR951" i="2"/>
  <c r="AT951" i="2" s="1"/>
  <c r="AP951" i="2"/>
  <c r="AS939" i="2" a="1"/>
  <c r="AS939" i="2" s="1"/>
  <c r="AW939" i="2" s="1"/>
  <c r="AR939" i="2"/>
  <c r="AT939" i="2" s="1"/>
  <c r="AP939" i="2"/>
  <c r="AS927" i="2" a="1"/>
  <c r="AS927" i="2" s="1"/>
  <c r="AW927" i="2" s="1"/>
  <c r="AR927" i="2"/>
  <c r="AT927" i="2" s="1"/>
  <c r="AP927" i="2"/>
  <c r="AS915" i="2" a="1"/>
  <c r="AS915" i="2" s="1"/>
  <c r="AW915" i="2" s="1"/>
  <c r="AR915" i="2"/>
  <c r="AT915" i="2" s="1"/>
  <c r="AP915" i="2"/>
  <c r="AR903" i="2"/>
  <c r="AT903" i="2" s="1"/>
  <c r="AS903" i="2" a="1"/>
  <c r="AS903" i="2" s="1"/>
  <c r="AW903" i="2" s="1"/>
  <c r="AP903" i="2"/>
  <c r="AR891" i="2"/>
  <c r="AT891" i="2" s="1"/>
  <c r="AS891" i="2" a="1"/>
  <c r="AS891" i="2" s="1"/>
  <c r="AW891" i="2" s="1"/>
  <c r="AP891" i="2"/>
  <c r="AS879" i="2" a="1"/>
  <c r="AS879" i="2" s="1"/>
  <c r="AW879" i="2" s="1"/>
  <c r="AR879" i="2"/>
  <c r="AT879" i="2" s="1"/>
  <c r="AP879" i="2"/>
  <c r="AR867" i="2"/>
  <c r="AT867" i="2" s="1"/>
  <c r="AS867" i="2" a="1"/>
  <c r="AS867" i="2" s="1"/>
  <c r="AW867" i="2" s="1"/>
  <c r="AP867" i="2"/>
  <c r="AS855" i="2" a="1"/>
  <c r="AS855" i="2" s="1"/>
  <c r="AW855" i="2" s="1"/>
  <c r="AR855" i="2"/>
  <c r="AT855" i="2" s="1"/>
  <c r="AP855" i="2"/>
  <c r="AS843" i="2" a="1"/>
  <c r="AS843" i="2" s="1"/>
  <c r="AW843" i="2" s="1"/>
  <c r="AR843" i="2"/>
  <c r="AT843" i="2" s="1"/>
  <c r="AP843" i="2"/>
  <c r="AR831" i="2"/>
  <c r="AT831" i="2" s="1"/>
  <c r="AS831" i="2" a="1"/>
  <c r="AS831" i="2" s="1"/>
  <c r="AW831" i="2" s="1"/>
  <c r="AP831" i="2"/>
  <c r="AS819" i="2" a="1"/>
  <c r="AS819" i="2" s="1"/>
  <c r="AW819" i="2" s="1"/>
  <c r="AR819" i="2"/>
  <c r="AT819" i="2" s="1"/>
  <c r="AP819" i="2"/>
  <c r="AS807" i="2" a="1"/>
  <c r="AS807" i="2" s="1"/>
  <c r="AW807" i="2" s="1"/>
  <c r="AR807" i="2"/>
  <c r="AT807" i="2" s="1"/>
  <c r="AP807" i="2"/>
  <c r="AS795" i="2" a="1"/>
  <c r="AS795" i="2" s="1"/>
  <c r="AW795" i="2" s="1"/>
  <c r="AR795" i="2"/>
  <c r="AT795" i="2" s="1"/>
  <c r="AP795" i="2"/>
  <c r="AS783" i="2" a="1"/>
  <c r="AS783" i="2" s="1"/>
  <c r="AW783" i="2" s="1"/>
  <c r="AR783" i="2"/>
  <c r="AT783" i="2" s="1"/>
  <c r="AP783" i="2"/>
  <c r="AS771" i="2" a="1"/>
  <c r="AS771" i="2" s="1"/>
  <c r="AW771" i="2" s="1"/>
  <c r="AR771" i="2"/>
  <c r="AT771" i="2" s="1"/>
  <c r="AP771" i="2"/>
  <c r="AP759" i="2"/>
  <c r="AS759" i="2" a="1"/>
  <c r="AS759" i="2" s="1"/>
  <c r="AW759" i="2" s="1"/>
  <c r="AR759" i="2"/>
  <c r="AT759" i="2" s="1"/>
  <c r="AS747" i="2" a="1"/>
  <c r="AS747" i="2" s="1"/>
  <c r="AW747" i="2" s="1"/>
  <c r="AR747" i="2"/>
  <c r="AT747" i="2" s="1"/>
  <c r="AP747" i="2"/>
  <c r="AS735" i="2" a="1"/>
  <c r="AS735" i="2" s="1"/>
  <c r="AW735" i="2" s="1"/>
  <c r="AR735" i="2"/>
  <c r="AT735" i="2" s="1"/>
  <c r="AP735" i="2"/>
  <c r="AS723" i="2" a="1"/>
  <c r="AS723" i="2" s="1"/>
  <c r="AW723" i="2" s="1"/>
  <c r="AR723" i="2"/>
  <c r="AT723" i="2" s="1"/>
  <c r="AP723" i="2"/>
  <c r="AR711" i="2"/>
  <c r="AT711" i="2" s="1"/>
  <c r="AS711" i="2" a="1"/>
  <c r="AS711" i="2" s="1"/>
  <c r="AW711" i="2" s="1"/>
  <c r="AP711" i="2"/>
  <c r="AR699" i="2"/>
  <c r="AT699" i="2" s="1"/>
  <c r="AS699" i="2" a="1"/>
  <c r="AS699" i="2" s="1"/>
  <c r="AW699" i="2" s="1"/>
  <c r="AP699" i="2"/>
  <c r="AS687" i="2" a="1"/>
  <c r="AS687" i="2" s="1"/>
  <c r="AW687" i="2" s="1"/>
  <c r="AR687" i="2"/>
  <c r="AT687" i="2" s="1"/>
  <c r="AP687" i="2"/>
  <c r="AR675" i="2"/>
  <c r="AT675" i="2" s="1"/>
  <c r="AS675" i="2" a="1"/>
  <c r="AS675" i="2" s="1"/>
  <c r="AW675" i="2" s="1"/>
  <c r="AP675" i="2"/>
  <c r="AS663" i="2" a="1"/>
  <c r="AS663" i="2" s="1"/>
  <c r="AW663" i="2" s="1"/>
  <c r="AR663" i="2"/>
  <c r="AT663" i="2" s="1"/>
  <c r="AP663" i="2"/>
  <c r="AS651" i="2" a="1"/>
  <c r="AS651" i="2" s="1"/>
  <c r="AW651" i="2" s="1"/>
  <c r="AR651" i="2"/>
  <c r="AT651" i="2" s="1"/>
  <c r="AP651" i="2"/>
  <c r="AS639" i="2" a="1"/>
  <c r="AS639" i="2" s="1"/>
  <c r="AW639" i="2" s="1"/>
  <c r="AR639" i="2"/>
  <c r="AT639" i="2" s="1"/>
  <c r="AP639" i="2"/>
  <c r="AR627" i="2"/>
  <c r="AT627" i="2" s="1"/>
  <c r="AS627" i="2" a="1"/>
  <c r="AS627" i="2" s="1"/>
  <c r="AW627" i="2" s="1"/>
  <c r="AP627" i="2"/>
  <c r="AS615" i="2" a="1"/>
  <c r="AS615" i="2" s="1"/>
  <c r="AW615" i="2" s="1"/>
  <c r="AR615" i="2"/>
  <c r="AT615" i="2" s="1"/>
  <c r="AP615" i="2"/>
  <c r="AS603" i="2" a="1"/>
  <c r="AS603" i="2" s="1"/>
  <c r="AW603" i="2" s="1"/>
  <c r="AR603" i="2"/>
  <c r="AT603" i="2" s="1"/>
  <c r="AP603" i="2"/>
  <c r="AS591" i="2" a="1"/>
  <c r="AS591" i="2" s="1"/>
  <c r="AW591" i="2" s="1"/>
  <c r="AR591" i="2"/>
  <c r="AT591" i="2" s="1"/>
  <c r="AP591" i="2"/>
  <c r="AS579" i="2" a="1"/>
  <c r="AS579" i="2" s="1"/>
  <c r="AW579" i="2" s="1"/>
  <c r="AR579" i="2"/>
  <c r="AT579" i="2" s="1"/>
  <c r="AP579" i="2"/>
  <c r="AS567" i="2" a="1"/>
  <c r="AS567" i="2" s="1"/>
  <c r="AW567" i="2" s="1"/>
  <c r="AR567" i="2"/>
  <c r="AT567" i="2" s="1"/>
  <c r="AP567" i="2"/>
  <c r="AS555" i="2" a="1"/>
  <c r="AS555" i="2" s="1"/>
  <c r="AW555" i="2" s="1"/>
  <c r="AR555" i="2"/>
  <c r="AT555" i="2" s="1"/>
  <c r="AP555" i="2"/>
  <c r="AS543" i="2" a="1"/>
  <c r="AS543" i="2" s="1"/>
  <c r="AW543" i="2" s="1"/>
  <c r="AR543" i="2"/>
  <c r="AT543" i="2" s="1"/>
  <c r="AP543" i="2"/>
  <c r="AS531" i="2" a="1"/>
  <c r="AS531" i="2" s="1"/>
  <c r="AW531" i="2" s="1"/>
  <c r="AR531" i="2"/>
  <c r="AT531" i="2" s="1"/>
  <c r="AP531" i="2"/>
  <c r="AR519" i="2"/>
  <c r="AT519" i="2" s="1"/>
  <c r="AS519" i="2" a="1"/>
  <c r="AS519" i="2" s="1"/>
  <c r="AW519" i="2" s="1"/>
  <c r="AP519" i="2"/>
  <c r="AR507" i="2"/>
  <c r="AT507" i="2" s="1"/>
  <c r="AP507" i="2"/>
  <c r="AS507" i="2" a="1"/>
  <c r="AS507" i="2" s="1"/>
  <c r="AW507" i="2" s="1"/>
  <c r="AS495" i="2" a="1"/>
  <c r="AS495" i="2" s="1"/>
  <c r="AW495" i="2" s="1"/>
  <c r="AR495" i="2"/>
  <c r="AT495" i="2" s="1"/>
  <c r="AP495" i="2"/>
  <c r="AS483" i="2" a="1"/>
  <c r="AS483" i="2" s="1"/>
  <c r="AW483" i="2" s="1"/>
  <c r="AP483" i="2"/>
  <c r="AR483" i="2"/>
  <c r="AT483" i="2" s="1"/>
  <c r="AS471" i="2" a="1"/>
  <c r="AS471" i="2" s="1"/>
  <c r="AW471" i="2" s="1"/>
  <c r="AR471" i="2"/>
  <c r="AT471" i="2" s="1"/>
  <c r="AP471" i="2"/>
  <c r="AS459" i="2" a="1"/>
  <c r="AS459" i="2" s="1"/>
  <c r="AW459" i="2" s="1"/>
  <c r="AR459" i="2"/>
  <c r="AT459" i="2" s="1"/>
  <c r="AP459" i="2"/>
  <c r="AR447" i="2"/>
  <c r="AT447" i="2" s="1"/>
  <c r="AS447" i="2" a="1"/>
  <c r="AS447" i="2" s="1"/>
  <c r="AW447" i="2" s="1"/>
  <c r="AP447" i="2"/>
  <c r="AS435" i="2" a="1"/>
  <c r="AS435" i="2" s="1"/>
  <c r="AW435" i="2" s="1"/>
  <c r="AP435" i="2"/>
  <c r="AR435" i="2"/>
  <c r="AT435" i="2" s="1"/>
  <c r="AR423" i="2"/>
  <c r="AT423" i="2" s="1"/>
  <c r="AS423" i="2" a="1"/>
  <c r="AS423" i="2" s="1"/>
  <c r="AW423" i="2" s="1"/>
  <c r="AP423" i="2"/>
  <c r="AS411" i="2" a="1"/>
  <c r="AS411" i="2" s="1"/>
  <c r="AW411" i="2" s="1"/>
  <c r="AR411" i="2"/>
  <c r="AT411" i="2" s="1"/>
  <c r="AP411" i="2"/>
  <c r="AS399" i="2" a="1"/>
  <c r="AS399" i="2" s="1"/>
  <c r="AW399" i="2" s="1"/>
  <c r="AP399" i="2"/>
  <c r="AR399" i="2"/>
  <c r="AT399" i="2" s="1"/>
  <c r="AR387" i="2"/>
  <c r="AT387" i="2" s="1"/>
  <c r="AS387" i="2" a="1"/>
  <c r="AS387" i="2" s="1"/>
  <c r="AW387" i="2" s="1"/>
  <c r="AP387" i="2"/>
  <c r="AS375" i="2" a="1"/>
  <c r="AS375" i="2" s="1"/>
  <c r="AW375" i="2" s="1"/>
  <c r="AR375" i="2"/>
  <c r="AT375" i="2" s="1"/>
  <c r="AP375" i="2"/>
  <c r="AS363" i="2" a="1"/>
  <c r="AS363" i="2" s="1"/>
  <c r="AW363" i="2" s="1"/>
  <c r="AR363" i="2"/>
  <c r="AT363" i="2" s="1"/>
  <c r="AP363" i="2"/>
  <c r="AS351" i="2" a="1"/>
  <c r="AS351" i="2" s="1"/>
  <c r="AW351" i="2" s="1"/>
  <c r="AR351" i="2"/>
  <c r="AT351" i="2" s="1"/>
  <c r="AP351" i="2"/>
  <c r="AR339" i="2"/>
  <c r="AT339" i="2" s="1"/>
  <c r="AP339" i="2"/>
  <c r="AS339" i="2" a="1"/>
  <c r="AS339" i="2" s="1"/>
  <c r="AW339" i="2" s="1"/>
  <c r="AS327" i="2" a="1"/>
  <c r="AS327" i="2" s="1"/>
  <c r="AW327" i="2" s="1"/>
  <c r="AR327" i="2"/>
  <c r="AT327" i="2" s="1"/>
  <c r="AP327" i="2"/>
  <c r="AS315" i="2" a="1"/>
  <c r="AS315" i="2" s="1"/>
  <c r="AW315" i="2" s="1"/>
  <c r="AR315" i="2"/>
  <c r="AT315" i="2" s="1"/>
  <c r="AP315" i="2"/>
  <c r="AS303" i="2" a="1"/>
  <c r="AS303" i="2" s="1"/>
  <c r="AW303" i="2" s="1"/>
  <c r="AR303" i="2"/>
  <c r="AT303" i="2" s="1"/>
  <c r="AP303" i="2"/>
  <c r="AR291" i="2"/>
  <c r="AT291" i="2" s="1"/>
  <c r="AS291" i="2" a="1"/>
  <c r="AS291" i="2" s="1"/>
  <c r="AW291" i="2" s="1"/>
  <c r="AP291" i="2"/>
  <c r="AS279" i="2" a="1"/>
  <c r="AS279" i="2" s="1"/>
  <c r="AW279" i="2" s="1"/>
  <c r="AR279" i="2"/>
  <c r="AT279" i="2" s="1"/>
  <c r="AP279" i="2"/>
  <c r="AS268" i="2" a="1"/>
  <c r="AS268" i="2" s="1"/>
  <c r="AW268" i="2" s="1"/>
  <c r="AR268" i="2"/>
  <c r="AT268" i="2" s="1"/>
  <c r="AP268" i="2"/>
  <c r="AS256" i="2" a="1"/>
  <c r="AS256" i="2" s="1"/>
  <c r="AW256" i="2" s="1"/>
  <c r="AR256" i="2"/>
  <c r="AT256" i="2" s="1"/>
  <c r="AP256" i="2"/>
  <c r="AR244" i="2"/>
  <c r="AT244" i="2" s="1"/>
  <c r="AS244" i="2" a="1"/>
  <c r="AS244" i="2" s="1"/>
  <c r="AW244" i="2" s="1"/>
  <c r="AP244" i="2"/>
  <c r="AS232" i="2" a="1"/>
  <c r="AS232" i="2" s="1"/>
  <c r="AW232" i="2" s="1"/>
  <c r="AR232" i="2"/>
  <c r="AT232" i="2" s="1"/>
  <c r="AP232" i="2"/>
  <c r="AS220" i="2" a="1"/>
  <c r="AS220" i="2" s="1"/>
  <c r="AW220" i="2" s="1"/>
  <c r="AR220" i="2"/>
  <c r="AT220" i="2" s="1"/>
  <c r="AP220" i="2"/>
  <c r="AR208" i="2"/>
  <c r="AT208" i="2" s="1"/>
  <c r="AS208" i="2" a="1"/>
  <c r="AS208" i="2" s="1"/>
  <c r="AW208" i="2" s="1"/>
  <c r="AP208" i="2"/>
  <c r="AS196" i="2" a="1"/>
  <c r="AS196" i="2" s="1"/>
  <c r="AW196" i="2" s="1"/>
  <c r="AR196" i="2"/>
  <c r="AT196" i="2" s="1"/>
  <c r="AP196" i="2"/>
  <c r="AS184" i="2" a="1"/>
  <c r="AS184" i="2" s="1"/>
  <c r="AW184" i="2" s="1"/>
  <c r="AR184" i="2"/>
  <c r="AT184" i="2" s="1"/>
  <c r="AP184" i="2"/>
  <c r="AR172" i="2"/>
  <c r="AT172" i="2" s="1"/>
  <c r="AS172" i="2" a="1"/>
  <c r="AS172" i="2" s="1"/>
  <c r="AW172" i="2" s="1"/>
  <c r="AP172" i="2"/>
  <c r="AS160" i="2" a="1"/>
  <c r="AS160" i="2" s="1"/>
  <c r="AW160" i="2" s="1"/>
  <c r="AR160" i="2"/>
  <c r="AT160" i="2" s="1"/>
  <c r="AP160" i="2"/>
  <c r="AR148" i="2"/>
  <c r="AT148" i="2" s="1"/>
  <c r="AS148" i="2" a="1"/>
  <c r="AS148" i="2" s="1"/>
  <c r="AW148" i="2" s="1"/>
  <c r="AP148" i="2"/>
  <c r="AS136" i="2" a="1"/>
  <c r="AS136" i="2" s="1"/>
  <c r="AW136" i="2" s="1"/>
  <c r="AR136" i="2"/>
  <c r="AT136" i="2" s="1"/>
  <c r="AP136" i="2"/>
  <c r="AS124" i="2" a="1"/>
  <c r="AS124" i="2" s="1"/>
  <c r="AW124" i="2" s="1"/>
  <c r="AR124" i="2"/>
  <c r="AT124" i="2" s="1"/>
  <c r="AP124" i="2"/>
  <c r="AR112" i="2"/>
  <c r="AT112" i="2" s="1"/>
  <c r="AS112" i="2" a="1"/>
  <c r="AS112" i="2" s="1"/>
  <c r="AW112" i="2" s="1"/>
  <c r="AP112" i="2"/>
  <c r="AS100" i="2" a="1"/>
  <c r="AS100" i="2" s="1"/>
  <c r="AW100" i="2" s="1"/>
  <c r="AR100" i="2"/>
  <c r="AT100" i="2" s="1"/>
  <c r="AP100" i="2"/>
  <c r="AR88" i="2"/>
  <c r="AT88" i="2" s="1"/>
  <c r="AS88" i="2" a="1"/>
  <c r="AS88" i="2" s="1"/>
  <c r="AW88" i="2" s="1"/>
  <c r="AP88" i="2"/>
  <c r="AS76" i="2" a="1"/>
  <c r="AS76" i="2" s="1"/>
  <c r="AW76" i="2" s="1"/>
  <c r="AR76" i="2"/>
  <c r="AT76" i="2" s="1"/>
  <c r="AP76" i="2"/>
  <c r="AS64" i="2" a="1"/>
  <c r="AS64" i="2" s="1"/>
  <c r="AW64" i="2" s="1"/>
  <c r="AR64" i="2"/>
  <c r="AT64" i="2" s="1"/>
  <c r="AP64" i="2"/>
  <c r="AS52" i="2" a="1"/>
  <c r="AS52" i="2" s="1"/>
  <c r="AW52" i="2" s="1"/>
  <c r="AR52" i="2"/>
  <c r="AT52" i="2" s="1"/>
  <c r="AP52" i="2"/>
  <c r="AR40" i="2"/>
  <c r="AT40" i="2" s="1"/>
  <c r="AS40" i="2" a="1"/>
  <c r="AS40" i="2" s="1"/>
  <c r="AW40" i="2" s="1"/>
  <c r="AP40" i="2"/>
  <c r="AS28" i="2" a="1"/>
  <c r="AS28" i="2" s="1"/>
  <c r="AW28" i="2" s="1"/>
  <c r="AR28" i="2"/>
  <c r="AT28" i="2" s="1"/>
  <c r="AP28" i="2"/>
  <c r="AR16" i="2"/>
  <c r="AT16" i="2" s="1"/>
  <c r="AP16" i="2"/>
  <c r="AS16" i="2" a="1"/>
  <c r="AS16" i="2" s="1"/>
  <c r="AW16" i="2" s="1"/>
  <c r="AS4" i="2" a="1"/>
  <c r="AS4" i="2" s="1"/>
  <c r="AW4" i="2" s="1"/>
  <c r="AR4" i="2"/>
  <c r="AT4" i="2" s="1"/>
  <c r="AP4" i="2"/>
  <c r="AU1097" i="2"/>
  <c r="AV1097" i="2"/>
  <c r="AU1085" i="2"/>
  <c r="AV1085" i="2"/>
  <c r="AV1073" i="2"/>
  <c r="AU1073" i="2"/>
  <c r="AV1061" i="2"/>
  <c r="AU1061" i="2"/>
  <c r="AV1049" i="2"/>
  <c r="AU1049" i="2"/>
  <c r="AU1037" i="2"/>
  <c r="AV1037" i="2"/>
  <c r="AV1025" i="2"/>
  <c r="AU1025" i="2"/>
  <c r="AV1013" i="2"/>
  <c r="AU1013" i="2"/>
  <c r="AV1001" i="2"/>
  <c r="AU1001" i="2"/>
  <c r="AU989" i="2"/>
  <c r="AV989" i="2"/>
  <c r="AV977" i="2"/>
  <c r="AU977" i="2"/>
  <c r="AV965" i="2"/>
  <c r="AU965" i="2"/>
  <c r="AV953" i="2"/>
  <c r="AU953" i="2"/>
  <c r="AU941" i="2"/>
  <c r="AV941" i="2"/>
  <c r="AV929" i="2"/>
  <c r="AU929" i="2"/>
  <c r="AV917" i="2"/>
  <c r="AU917" i="2"/>
  <c r="AV905" i="2"/>
  <c r="AU905" i="2"/>
  <c r="AU893" i="2"/>
  <c r="AV893" i="2"/>
  <c r="AV881" i="2"/>
  <c r="AU881" i="2"/>
  <c r="AU869" i="2"/>
  <c r="AV869" i="2"/>
  <c r="AV857" i="2"/>
  <c r="AU857" i="2"/>
  <c r="AU845" i="2"/>
  <c r="AV845" i="2"/>
  <c r="AV833" i="2"/>
  <c r="AU833" i="2"/>
  <c r="AU821" i="2"/>
  <c r="AV821" i="2"/>
  <c r="AV809" i="2"/>
  <c r="AU809" i="2"/>
  <c r="AV797" i="2"/>
  <c r="AU797" i="2"/>
  <c r="AV785" i="2"/>
  <c r="AU785" i="2"/>
  <c r="AV773" i="2"/>
  <c r="AU773" i="2"/>
  <c r="AV761" i="2"/>
  <c r="AU761" i="2"/>
  <c r="AV749" i="2"/>
  <c r="AU749" i="2"/>
  <c r="AU737" i="2"/>
  <c r="AV737" i="2"/>
  <c r="AV725" i="2"/>
  <c r="AU725" i="2"/>
  <c r="AU713" i="2"/>
  <c r="AV713" i="2"/>
  <c r="AV701" i="2"/>
  <c r="AU701" i="2"/>
  <c r="AU689" i="2"/>
  <c r="AV689" i="2"/>
  <c r="AV677" i="2"/>
  <c r="AU677" i="2"/>
  <c r="AU665" i="2"/>
  <c r="AV665" i="2"/>
  <c r="AV653" i="2"/>
  <c r="AU653" i="2"/>
  <c r="AU641" i="2"/>
  <c r="AV641" i="2"/>
  <c r="AV629" i="2"/>
  <c r="AU629" i="2"/>
  <c r="AU617" i="2"/>
  <c r="AV617" i="2"/>
  <c r="AV605" i="2"/>
  <c r="AU605" i="2"/>
  <c r="AU593" i="2"/>
  <c r="AV593" i="2"/>
  <c r="AV581" i="2"/>
  <c r="AU581" i="2"/>
  <c r="AU569" i="2"/>
  <c r="AV569" i="2"/>
  <c r="AV557" i="2"/>
  <c r="AU557" i="2"/>
  <c r="AU545" i="2"/>
  <c r="AV545" i="2"/>
  <c r="AU533" i="2"/>
  <c r="AV533" i="2"/>
  <c r="AU521" i="2"/>
  <c r="AV521" i="2"/>
  <c r="AV509" i="2"/>
  <c r="AU509" i="2"/>
  <c r="AV497" i="2"/>
  <c r="AU497" i="2"/>
  <c r="AU485" i="2"/>
  <c r="AV485" i="2"/>
  <c r="AU473" i="2"/>
  <c r="AV473" i="2"/>
  <c r="AV461" i="2"/>
  <c r="AU461" i="2"/>
  <c r="AV449" i="2"/>
  <c r="AU449" i="2"/>
  <c r="AV437" i="2"/>
  <c r="AU437" i="2"/>
  <c r="AV425" i="2"/>
  <c r="AU425" i="2"/>
  <c r="AV413" i="2"/>
  <c r="AU413" i="2"/>
  <c r="AV401" i="2"/>
  <c r="AU401" i="2"/>
  <c r="AV389" i="2"/>
  <c r="AU389" i="2"/>
  <c r="AV377" i="2"/>
  <c r="AU377" i="2"/>
  <c r="AV365" i="2"/>
  <c r="AU365" i="2"/>
  <c r="AV353" i="2"/>
  <c r="AU353" i="2"/>
  <c r="AV341" i="2"/>
  <c r="AU341" i="2"/>
  <c r="AV329" i="2"/>
  <c r="AU329" i="2"/>
  <c r="AV317" i="2"/>
  <c r="AU317" i="2"/>
  <c r="AU305" i="2"/>
  <c r="AV305" i="2"/>
  <c r="AV293" i="2"/>
  <c r="AU293" i="2"/>
  <c r="AV281" i="2"/>
  <c r="AU281" i="2"/>
  <c r="AV270" i="2"/>
  <c r="AU270" i="2"/>
  <c r="AU258" i="2"/>
  <c r="AV258" i="2"/>
  <c r="AV246" i="2"/>
  <c r="AU246" i="2"/>
  <c r="AV234" i="2"/>
  <c r="AU234" i="2"/>
  <c r="AV222" i="2"/>
  <c r="AU222" i="2"/>
  <c r="AV210" i="2"/>
  <c r="AU210" i="2"/>
  <c r="AV198" i="2"/>
  <c r="AU198" i="2"/>
  <c r="AV186" i="2"/>
  <c r="AU186" i="2"/>
  <c r="AV174" i="2"/>
  <c r="AU174" i="2"/>
  <c r="AV162" i="2"/>
  <c r="AU162" i="2"/>
  <c r="AV150" i="2"/>
  <c r="AU150" i="2"/>
  <c r="AV138" i="2"/>
  <c r="AU138" i="2"/>
  <c r="AV126" i="2"/>
  <c r="AU126" i="2"/>
  <c r="AV114" i="2"/>
  <c r="AU114" i="2"/>
  <c r="AV102" i="2"/>
  <c r="AU102" i="2"/>
  <c r="AV90" i="2"/>
  <c r="AU90" i="2"/>
  <c r="AV78" i="2"/>
  <c r="AU78" i="2"/>
  <c r="AV66" i="2"/>
  <c r="AU66" i="2"/>
  <c r="AV54" i="2"/>
  <c r="AU54" i="2"/>
  <c r="AV42" i="2"/>
  <c r="AU42" i="2"/>
  <c r="AV30" i="2"/>
  <c r="AU30" i="2"/>
  <c r="AV18" i="2"/>
  <c r="AU18" i="2"/>
  <c r="AV6" i="2"/>
  <c r="AU6" i="2"/>
  <c r="AS1094" i="2" a="1"/>
  <c r="AS1094" i="2" s="1"/>
  <c r="AW1094" i="2" s="1"/>
  <c r="AR1094" i="2"/>
  <c r="AT1094" i="2" s="1"/>
  <c r="AP1094" i="2"/>
  <c r="AS1082" i="2" a="1"/>
  <c r="AS1082" i="2" s="1"/>
  <c r="AW1082" i="2" s="1"/>
  <c r="AR1082" i="2"/>
  <c r="AT1082" i="2" s="1"/>
  <c r="AP1082" i="2"/>
  <c r="AS1070" i="2" a="1"/>
  <c r="AS1070" i="2" s="1"/>
  <c r="AW1070" i="2" s="1"/>
  <c r="AR1070" i="2"/>
  <c r="AT1070" i="2" s="1"/>
  <c r="AP1070" i="2"/>
  <c r="AS1058" i="2" a="1"/>
  <c r="AS1058" i="2" s="1"/>
  <c r="AW1058" i="2" s="1"/>
  <c r="AR1058" i="2"/>
  <c r="AT1058" i="2" s="1"/>
  <c r="AP1058" i="2"/>
  <c r="AS1046" i="2" a="1"/>
  <c r="AS1046" i="2" s="1"/>
  <c r="AW1046" i="2" s="1"/>
  <c r="AR1046" i="2"/>
  <c r="AT1046" i="2" s="1"/>
  <c r="AP1046" i="2"/>
  <c r="AS1034" i="2" a="1"/>
  <c r="AS1034" i="2" s="1"/>
  <c r="AW1034" i="2" s="1"/>
  <c r="AR1034" i="2"/>
  <c r="AT1034" i="2" s="1"/>
  <c r="AP1034" i="2"/>
  <c r="AS1022" i="2" a="1"/>
  <c r="AS1022" i="2" s="1"/>
  <c r="AW1022" i="2" s="1"/>
  <c r="AR1022" i="2"/>
  <c r="AT1022" i="2" s="1"/>
  <c r="AP1022" i="2"/>
  <c r="AS1010" i="2" a="1"/>
  <c r="AS1010" i="2" s="1"/>
  <c r="AW1010" i="2" s="1"/>
  <c r="AR1010" i="2"/>
  <c r="AT1010" i="2" s="1"/>
  <c r="AP1010" i="2"/>
  <c r="AS998" i="2" a="1"/>
  <c r="AS998" i="2" s="1"/>
  <c r="AW998" i="2" s="1"/>
  <c r="AR998" i="2"/>
  <c r="AT998" i="2" s="1"/>
  <c r="AP998" i="2"/>
  <c r="AR986" i="2"/>
  <c r="AT986" i="2" s="1"/>
  <c r="AS986" i="2" a="1"/>
  <c r="AS986" i="2" s="1"/>
  <c r="AW986" i="2" s="1"/>
  <c r="AP986" i="2"/>
  <c r="AR974" i="2"/>
  <c r="AT974" i="2" s="1"/>
  <c r="AS974" i="2" a="1"/>
  <c r="AS974" i="2" s="1"/>
  <c r="AW974" i="2" s="1"/>
  <c r="AP974" i="2"/>
  <c r="AR962" i="2"/>
  <c r="AT962" i="2" s="1"/>
  <c r="AS962" i="2" a="1"/>
  <c r="AS962" i="2" s="1"/>
  <c r="AW962" i="2" s="1"/>
  <c r="AP962" i="2"/>
  <c r="AS950" i="2" a="1"/>
  <c r="AS950" i="2" s="1"/>
  <c r="AW950" i="2" s="1"/>
  <c r="AR950" i="2"/>
  <c r="AT950" i="2" s="1"/>
  <c r="AP950" i="2"/>
  <c r="AS938" i="2" a="1"/>
  <c r="AS938" i="2" s="1"/>
  <c r="AW938" i="2" s="1"/>
  <c r="AR938" i="2"/>
  <c r="AT938" i="2" s="1"/>
  <c r="AP938" i="2"/>
  <c r="AS926" i="2" a="1"/>
  <c r="AS926" i="2" s="1"/>
  <c r="AW926" i="2" s="1"/>
  <c r="AR926" i="2"/>
  <c r="AT926" i="2" s="1"/>
  <c r="AP926" i="2"/>
  <c r="AS914" i="2" a="1"/>
  <c r="AS914" i="2" s="1"/>
  <c r="AW914" i="2" s="1"/>
  <c r="AR914" i="2"/>
  <c r="AT914" i="2" s="1"/>
  <c r="AP914" i="2"/>
  <c r="AS902" i="2" a="1"/>
  <c r="AS902" i="2" s="1"/>
  <c r="AW902" i="2" s="1"/>
  <c r="AR902" i="2"/>
  <c r="AT902" i="2" s="1"/>
  <c r="AP902" i="2"/>
  <c r="AS890" i="2" a="1"/>
  <c r="AS890" i="2" s="1"/>
  <c r="AW890" i="2" s="1"/>
  <c r="AR890" i="2"/>
  <c r="AT890" i="2" s="1"/>
  <c r="AP890" i="2"/>
  <c r="AS878" i="2" a="1"/>
  <c r="AS878" i="2" s="1"/>
  <c r="AW878" i="2" s="1"/>
  <c r="AR878" i="2"/>
  <c r="AT878" i="2" s="1"/>
  <c r="AP878" i="2"/>
  <c r="AS866" i="2" a="1"/>
  <c r="AS866" i="2" s="1"/>
  <c r="AW866" i="2" s="1"/>
  <c r="AR866" i="2"/>
  <c r="AT866" i="2" s="1"/>
  <c r="AP866" i="2"/>
  <c r="AS854" i="2" a="1"/>
  <c r="AS854" i="2" s="1"/>
  <c r="AW854" i="2" s="1"/>
  <c r="AR854" i="2"/>
  <c r="AT854" i="2" s="1"/>
  <c r="AP854" i="2"/>
  <c r="AS842" i="2" a="1"/>
  <c r="AS842" i="2" s="1"/>
  <c r="AW842" i="2" s="1"/>
  <c r="AR842" i="2"/>
  <c r="AT842" i="2" s="1"/>
  <c r="AP842" i="2"/>
  <c r="AS830" i="2" a="1"/>
  <c r="AS830" i="2" s="1"/>
  <c r="AW830" i="2" s="1"/>
  <c r="AR830" i="2"/>
  <c r="AT830" i="2" s="1"/>
  <c r="AP830" i="2"/>
  <c r="AS818" i="2" a="1"/>
  <c r="AS818" i="2" s="1"/>
  <c r="AW818" i="2" s="1"/>
  <c r="AR818" i="2"/>
  <c r="AT818" i="2" s="1"/>
  <c r="AP818" i="2"/>
  <c r="AS806" i="2" a="1"/>
  <c r="AS806" i="2" s="1"/>
  <c r="AW806" i="2" s="1"/>
  <c r="AR806" i="2"/>
  <c r="AT806" i="2" s="1"/>
  <c r="AP806" i="2"/>
  <c r="AS794" i="2" a="1"/>
  <c r="AS794" i="2" s="1"/>
  <c r="AW794" i="2" s="1"/>
  <c r="AR794" i="2"/>
  <c r="AT794" i="2" s="1"/>
  <c r="AP794" i="2"/>
  <c r="AS782" i="2" a="1"/>
  <c r="AS782" i="2" s="1"/>
  <c r="AW782" i="2" s="1"/>
  <c r="AR782" i="2"/>
  <c r="AT782" i="2" s="1"/>
  <c r="AP782" i="2"/>
  <c r="AS770" i="2" a="1"/>
  <c r="AS770" i="2" s="1"/>
  <c r="AW770" i="2" s="1"/>
  <c r="AR770" i="2"/>
  <c r="AT770" i="2" s="1"/>
  <c r="AP770" i="2"/>
  <c r="AR758" i="2"/>
  <c r="AT758" i="2" s="1"/>
  <c r="AS758" i="2" a="1"/>
  <c r="AS758" i="2" s="1"/>
  <c r="AW758" i="2" s="1"/>
  <c r="AP758" i="2"/>
  <c r="AR746" i="2"/>
  <c r="AT746" i="2" s="1"/>
  <c r="AS746" i="2" a="1"/>
  <c r="AS746" i="2" s="1"/>
  <c r="AW746" i="2" s="1"/>
  <c r="AP746" i="2"/>
  <c r="AS734" i="2" a="1"/>
  <c r="AS734" i="2" s="1"/>
  <c r="AW734" i="2" s="1"/>
  <c r="AR734" i="2"/>
  <c r="AT734" i="2" s="1"/>
  <c r="AP734" i="2"/>
  <c r="AS722" i="2" a="1"/>
  <c r="AS722" i="2" s="1"/>
  <c r="AW722" i="2" s="1"/>
  <c r="AR722" i="2"/>
  <c r="AT722" i="2" s="1"/>
  <c r="AP722" i="2"/>
  <c r="AS710" i="2" a="1"/>
  <c r="AS710" i="2" s="1"/>
  <c r="AW710" i="2" s="1"/>
  <c r="AR710" i="2"/>
  <c r="AT710" i="2" s="1"/>
  <c r="AP710" i="2"/>
  <c r="AR698" i="2"/>
  <c r="AT698" i="2" s="1"/>
  <c r="AS698" i="2" a="1"/>
  <c r="AS698" i="2" s="1"/>
  <c r="AW698" i="2" s="1"/>
  <c r="AP698" i="2"/>
  <c r="AS686" i="2" a="1"/>
  <c r="AS686" i="2" s="1"/>
  <c r="AW686" i="2" s="1"/>
  <c r="AR686" i="2"/>
  <c r="AT686" i="2" s="1"/>
  <c r="AP686" i="2"/>
  <c r="AS674" i="2" a="1"/>
  <c r="AS674" i="2" s="1"/>
  <c r="AW674" i="2" s="1"/>
  <c r="AR674" i="2"/>
  <c r="AT674" i="2" s="1"/>
  <c r="AP674" i="2"/>
  <c r="AR662" i="2"/>
  <c r="AT662" i="2" s="1"/>
  <c r="AS662" i="2" a="1"/>
  <c r="AS662" i="2" s="1"/>
  <c r="AW662" i="2" s="1"/>
  <c r="AP662" i="2"/>
  <c r="AS650" i="2" a="1"/>
  <c r="AS650" i="2" s="1"/>
  <c r="AW650" i="2" s="1"/>
  <c r="AR650" i="2"/>
  <c r="AT650" i="2" s="1"/>
  <c r="AP650" i="2"/>
  <c r="AS638" i="2" a="1"/>
  <c r="AS638" i="2" s="1"/>
  <c r="AW638" i="2" s="1"/>
  <c r="AR638" i="2"/>
  <c r="AT638" i="2" s="1"/>
  <c r="AP638" i="2"/>
  <c r="AR626" i="2"/>
  <c r="AT626" i="2" s="1"/>
  <c r="AS626" i="2" a="1"/>
  <c r="AS626" i="2" s="1"/>
  <c r="AW626" i="2" s="1"/>
  <c r="AP626" i="2"/>
  <c r="AR614" i="2"/>
  <c r="AT614" i="2" s="1"/>
  <c r="AS614" i="2" a="1"/>
  <c r="AS614" i="2" s="1"/>
  <c r="AW614" i="2" s="1"/>
  <c r="AP614" i="2"/>
  <c r="AS602" i="2" a="1"/>
  <c r="AS602" i="2" s="1"/>
  <c r="AW602" i="2" s="1"/>
  <c r="AR602" i="2"/>
  <c r="AT602" i="2" s="1"/>
  <c r="AP602" i="2"/>
  <c r="AS590" i="2" a="1"/>
  <c r="AS590" i="2" s="1"/>
  <c r="AW590" i="2" s="1"/>
  <c r="AR590" i="2"/>
  <c r="AT590" i="2" s="1"/>
  <c r="AP590" i="2"/>
  <c r="AS578" i="2" a="1"/>
  <c r="AS578" i="2" s="1"/>
  <c r="AW578" i="2" s="1"/>
  <c r="AR578" i="2"/>
  <c r="AT578" i="2" s="1"/>
  <c r="AP578" i="2"/>
  <c r="AR566" i="2"/>
  <c r="AT566" i="2" s="1"/>
  <c r="AS566" i="2" a="1"/>
  <c r="AS566" i="2" s="1"/>
  <c r="AW566" i="2" s="1"/>
  <c r="AP566" i="2"/>
  <c r="AR554" i="2"/>
  <c r="AT554" i="2" s="1"/>
  <c r="AS554" i="2" a="1"/>
  <c r="AS554" i="2" s="1"/>
  <c r="AW554" i="2" s="1"/>
  <c r="AP554" i="2"/>
  <c r="AS542" i="2" a="1"/>
  <c r="AS542" i="2" s="1"/>
  <c r="AW542" i="2" s="1"/>
  <c r="AR542" i="2"/>
  <c r="AT542" i="2" s="1"/>
  <c r="AP542" i="2"/>
  <c r="AS530" i="2" a="1"/>
  <c r="AS530" i="2" s="1"/>
  <c r="AW530" i="2" s="1"/>
  <c r="AR530" i="2"/>
  <c r="AT530" i="2" s="1"/>
  <c r="AP530" i="2"/>
  <c r="AS518" i="2" a="1"/>
  <c r="AS518" i="2" s="1"/>
  <c r="AW518" i="2" s="1"/>
  <c r="AR518" i="2"/>
  <c r="AT518" i="2" s="1"/>
  <c r="AP518" i="2"/>
  <c r="AS506" i="2" a="1"/>
  <c r="AS506" i="2" s="1"/>
  <c r="AW506" i="2" s="1"/>
  <c r="AR506" i="2"/>
  <c r="AT506" i="2" s="1"/>
  <c r="AP506" i="2"/>
  <c r="AS494" i="2" a="1"/>
  <c r="AS494" i="2" s="1"/>
  <c r="AW494" i="2" s="1"/>
  <c r="AR494" i="2"/>
  <c r="AT494" i="2" s="1"/>
  <c r="AP494" i="2"/>
  <c r="AS482" i="2" a="1"/>
  <c r="AS482" i="2" s="1"/>
  <c r="AW482" i="2" s="1"/>
  <c r="AP482" i="2"/>
  <c r="AR482" i="2"/>
  <c r="AT482" i="2" s="1"/>
  <c r="AP470" i="2"/>
  <c r="AS470" i="2" a="1"/>
  <c r="AS470" i="2" s="1"/>
  <c r="AW470" i="2" s="1"/>
  <c r="AR470" i="2"/>
  <c r="AT470" i="2" s="1"/>
  <c r="AS458" i="2" a="1"/>
  <c r="AS458" i="2" s="1"/>
  <c r="AW458" i="2" s="1"/>
  <c r="AR458" i="2"/>
  <c r="AT458" i="2" s="1"/>
  <c r="AP458" i="2"/>
  <c r="AS446" i="2" a="1"/>
  <c r="AS446" i="2" s="1"/>
  <c r="AW446" i="2" s="1"/>
  <c r="AR446" i="2"/>
  <c r="AT446" i="2" s="1"/>
  <c r="AP446" i="2"/>
  <c r="AS434" i="2" a="1"/>
  <c r="AS434" i="2" s="1"/>
  <c r="AW434" i="2" s="1"/>
  <c r="AR434" i="2"/>
  <c r="AT434" i="2" s="1"/>
  <c r="AP434" i="2"/>
  <c r="AS422" i="2" a="1"/>
  <c r="AS422" i="2" s="1"/>
  <c r="AW422" i="2" s="1"/>
  <c r="AR422" i="2"/>
  <c r="AT422" i="2" s="1"/>
  <c r="AP422" i="2"/>
  <c r="AR410" i="2"/>
  <c r="AT410" i="2" s="1"/>
  <c r="AS410" i="2" a="1"/>
  <c r="AS410" i="2" s="1"/>
  <c r="AW410" i="2" s="1"/>
  <c r="AP410" i="2"/>
  <c r="AS398" i="2" a="1"/>
  <c r="AS398" i="2" s="1"/>
  <c r="AW398" i="2" s="1"/>
  <c r="AR398" i="2"/>
  <c r="AT398" i="2" s="1"/>
  <c r="AP398" i="2"/>
  <c r="AS386" i="2" a="1"/>
  <c r="AS386" i="2" s="1"/>
  <c r="AW386" i="2" s="1"/>
  <c r="AR386" i="2"/>
  <c r="AT386" i="2" s="1"/>
  <c r="AP386" i="2"/>
  <c r="AR374" i="2"/>
  <c r="AT374" i="2" s="1"/>
  <c r="AS374" i="2" a="1"/>
  <c r="AS374" i="2" s="1"/>
  <c r="AW374" i="2" s="1"/>
  <c r="AP374" i="2"/>
  <c r="AR362" i="2"/>
  <c r="AT362" i="2" s="1"/>
  <c r="AP362" i="2"/>
  <c r="AS362" i="2" a="1"/>
  <c r="AS362" i="2" s="1"/>
  <c r="AW362" i="2" s="1"/>
  <c r="AS350" i="2" a="1"/>
  <c r="AS350" i="2" s="1"/>
  <c r="AW350" i="2" s="1"/>
  <c r="AR350" i="2"/>
  <c r="AT350" i="2" s="1"/>
  <c r="AP350" i="2"/>
  <c r="AS338" i="2" a="1"/>
  <c r="AS338" i="2" s="1"/>
  <c r="AW338" i="2" s="1"/>
  <c r="AR338" i="2"/>
  <c r="AT338" i="2" s="1"/>
  <c r="AP338" i="2"/>
  <c r="AS326" i="2" a="1"/>
  <c r="AS326" i="2" s="1"/>
  <c r="AW326" i="2" s="1"/>
  <c r="AR326" i="2"/>
  <c r="AT326" i="2" s="1"/>
  <c r="AP326" i="2"/>
  <c r="AS314" i="2" a="1"/>
  <c r="AS314" i="2" s="1"/>
  <c r="AW314" i="2" s="1"/>
  <c r="AR314" i="2"/>
  <c r="AT314" i="2" s="1"/>
  <c r="AP314" i="2"/>
  <c r="AS302" i="2" a="1"/>
  <c r="AS302" i="2" s="1"/>
  <c r="AW302" i="2" s="1"/>
  <c r="AR302" i="2"/>
  <c r="AT302" i="2" s="1"/>
  <c r="AP302" i="2"/>
  <c r="AS290" i="2" a="1"/>
  <c r="AS290" i="2" s="1"/>
  <c r="AW290" i="2" s="1"/>
  <c r="AR290" i="2"/>
  <c r="AT290" i="2" s="1"/>
  <c r="AP290" i="2"/>
  <c r="AS278" i="2" a="1"/>
  <c r="AS278" i="2" s="1"/>
  <c r="AW278" i="2" s="1"/>
  <c r="AR278" i="2"/>
  <c r="AT278" i="2" s="1"/>
  <c r="AP278" i="2"/>
  <c r="AR267" i="2"/>
  <c r="AT267" i="2" s="1"/>
  <c r="AS267" i="2" a="1"/>
  <c r="AS267" i="2" s="1"/>
  <c r="AW267" i="2" s="1"/>
  <c r="AP267" i="2"/>
  <c r="AR255" i="2"/>
  <c r="AT255" i="2" s="1"/>
  <c r="AP255" i="2"/>
  <c r="AS255" i="2" a="1"/>
  <c r="AS255" i="2" s="1"/>
  <c r="AW255" i="2" s="1"/>
  <c r="AS243" i="2" a="1"/>
  <c r="AS243" i="2" s="1"/>
  <c r="AW243" i="2" s="1"/>
  <c r="AR243" i="2"/>
  <c r="AT243" i="2" s="1"/>
  <c r="AP243" i="2"/>
  <c r="AS231" i="2" a="1"/>
  <c r="AS231" i="2" s="1"/>
  <c r="AW231" i="2" s="1"/>
  <c r="AR231" i="2"/>
  <c r="AT231" i="2" s="1"/>
  <c r="AP231" i="2"/>
  <c r="AS219" i="2" a="1"/>
  <c r="AS219" i="2" s="1"/>
  <c r="AW219" i="2" s="1"/>
  <c r="AR219" i="2"/>
  <c r="AT219" i="2" s="1"/>
  <c r="AP219" i="2"/>
  <c r="AS207" i="2" a="1"/>
  <c r="AS207" i="2" s="1"/>
  <c r="AW207" i="2" s="1"/>
  <c r="AR207" i="2"/>
  <c r="AT207" i="2" s="1"/>
  <c r="AP207" i="2"/>
  <c r="AS195" i="2" a="1"/>
  <c r="AS195" i="2" s="1"/>
  <c r="AW195" i="2" s="1"/>
  <c r="AR195" i="2"/>
  <c r="AT195" i="2" s="1"/>
  <c r="AP195" i="2"/>
  <c r="AS183" i="2" a="1"/>
  <c r="AS183" i="2" s="1"/>
  <c r="AW183" i="2" s="1"/>
  <c r="AR183" i="2"/>
  <c r="AT183" i="2" s="1"/>
  <c r="AP183" i="2"/>
  <c r="AR171" i="2"/>
  <c r="AT171" i="2" s="1"/>
  <c r="AP171" i="2"/>
  <c r="AS171" i="2" a="1"/>
  <c r="AS171" i="2" s="1"/>
  <c r="AW171" i="2" s="1"/>
  <c r="AS159" i="2" a="1"/>
  <c r="AS159" i="2" s="1"/>
  <c r="AW159" i="2" s="1"/>
  <c r="AR159" i="2"/>
  <c r="AT159" i="2" s="1"/>
  <c r="AP159" i="2"/>
  <c r="AS147" i="2" a="1"/>
  <c r="AS147" i="2" s="1"/>
  <c r="AW147" i="2" s="1"/>
  <c r="AR147" i="2"/>
  <c r="AT147" i="2" s="1"/>
  <c r="AP147" i="2"/>
  <c r="AS135" i="2" a="1"/>
  <c r="AS135" i="2" s="1"/>
  <c r="AW135" i="2" s="1"/>
  <c r="AR135" i="2"/>
  <c r="AT135" i="2" s="1"/>
  <c r="AP135" i="2"/>
  <c r="AS123" i="2" a="1"/>
  <c r="AS123" i="2" s="1"/>
  <c r="AW123" i="2" s="1"/>
  <c r="AR123" i="2"/>
  <c r="AT123" i="2" s="1"/>
  <c r="AP123" i="2"/>
  <c r="AS111" i="2" a="1"/>
  <c r="AS111" i="2" s="1"/>
  <c r="AW111" i="2" s="1"/>
  <c r="AR111" i="2"/>
  <c r="AT111" i="2" s="1"/>
  <c r="AP111" i="2"/>
  <c r="AS99" i="2" a="1"/>
  <c r="AS99" i="2" s="1"/>
  <c r="AW99" i="2" s="1"/>
  <c r="AR99" i="2"/>
  <c r="AT99" i="2" s="1"/>
  <c r="AP99" i="2"/>
  <c r="AS87" i="2" a="1"/>
  <c r="AS87" i="2" s="1"/>
  <c r="AW87" i="2" s="1"/>
  <c r="AR87" i="2"/>
  <c r="AT87" i="2" s="1"/>
  <c r="AP87" i="2"/>
  <c r="AS75" i="2" a="1"/>
  <c r="AS75" i="2" s="1"/>
  <c r="AW75" i="2" s="1"/>
  <c r="AR75" i="2"/>
  <c r="AT75" i="2" s="1"/>
  <c r="AP75" i="2"/>
  <c r="AR63" i="2"/>
  <c r="AT63" i="2" s="1"/>
  <c r="AS63" i="2" a="1"/>
  <c r="AS63" i="2" s="1"/>
  <c r="AW63" i="2" s="1"/>
  <c r="AP63" i="2"/>
  <c r="AS51" i="2" a="1"/>
  <c r="AS51" i="2" s="1"/>
  <c r="AW51" i="2" s="1"/>
  <c r="AR51" i="2"/>
  <c r="AT51" i="2" s="1"/>
  <c r="AP51" i="2"/>
  <c r="AS39" i="2" a="1"/>
  <c r="AS39" i="2" s="1"/>
  <c r="AW39" i="2" s="1"/>
  <c r="AR39" i="2"/>
  <c r="AT39" i="2" s="1"/>
  <c r="AP39" i="2"/>
  <c r="AS27" i="2" a="1"/>
  <c r="AS27" i="2" s="1"/>
  <c r="AW27" i="2" s="1"/>
  <c r="AR27" i="2"/>
  <c r="AT27" i="2" s="1"/>
  <c r="AP27" i="2"/>
  <c r="AS15" i="2" a="1"/>
  <c r="AS15" i="2" s="1"/>
  <c r="AW15" i="2" s="1"/>
  <c r="AR15" i="2"/>
  <c r="AT15" i="2" s="1"/>
  <c r="AP15" i="2"/>
  <c r="AS3" i="2" a="1"/>
  <c r="AS3" i="2" s="1"/>
  <c r="AW3" i="2" s="1"/>
  <c r="AR3" i="2"/>
  <c r="AT3" i="2" s="1"/>
  <c r="AP3" i="2"/>
  <c r="AV1096" i="2"/>
  <c r="AU1096" i="2"/>
  <c r="AV1084" i="2"/>
  <c r="AU1084" i="2"/>
  <c r="AU1072" i="2"/>
  <c r="AV1072" i="2"/>
  <c r="AV1060" i="2"/>
  <c r="AU1060" i="2"/>
  <c r="AV1048" i="2"/>
  <c r="AU1048" i="2"/>
  <c r="AV1036" i="2"/>
  <c r="AU1036" i="2"/>
  <c r="AU1024" i="2"/>
  <c r="AV1024" i="2"/>
  <c r="AV1012" i="2"/>
  <c r="AU1012" i="2"/>
  <c r="AV1000" i="2"/>
  <c r="AU1000" i="2"/>
  <c r="AV988" i="2"/>
  <c r="AU988" i="2"/>
  <c r="AU976" i="2"/>
  <c r="AV976" i="2"/>
  <c r="AV964" i="2"/>
  <c r="AU964" i="2"/>
  <c r="AV952" i="2"/>
  <c r="AU952" i="2"/>
  <c r="AV940" i="2"/>
  <c r="AU940" i="2"/>
  <c r="AU928" i="2"/>
  <c r="AV928" i="2"/>
  <c r="AV916" i="2"/>
  <c r="AU916" i="2"/>
  <c r="AV904" i="2"/>
  <c r="AU904" i="2"/>
  <c r="AV892" i="2"/>
  <c r="AU892" i="2"/>
  <c r="AU880" i="2"/>
  <c r="AV880" i="2"/>
  <c r="AV868" i="2"/>
  <c r="AU868" i="2"/>
  <c r="AV856" i="2"/>
  <c r="AU856" i="2"/>
  <c r="AV844" i="2"/>
  <c r="AU844" i="2"/>
  <c r="AU832" i="2"/>
  <c r="AV832" i="2"/>
  <c r="AU820" i="2"/>
  <c r="AV820" i="2"/>
  <c r="AU808" i="2"/>
  <c r="AV808" i="2"/>
  <c r="AU796" i="2"/>
  <c r="AV796" i="2"/>
  <c r="AU784" i="2"/>
  <c r="AV784" i="2"/>
  <c r="AU772" i="2"/>
  <c r="AV772" i="2"/>
  <c r="AU760" i="2"/>
  <c r="AV760" i="2"/>
  <c r="AU748" i="2"/>
  <c r="AV748" i="2"/>
  <c r="AU736" i="2"/>
  <c r="AV736" i="2"/>
  <c r="AU724" i="2"/>
  <c r="AV724" i="2"/>
  <c r="AU712" i="2"/>
  <c r="AV712" i="2"/>
  <c r="AU700" i="2"/>
  <c r="AV700" i="2"/>
  <c r="AU688" i="2"/>
  <c r="AV688" i="2"/>
  <c r="AU676" i="2"/>
  <c r="AV676" i="2"/>
  <c r="AU664" i="2"/>
  <c r="AV664" i="2"/>
  <c r="AU652" i="2"/>
  <c r="AV652" i="2"/>
  <c r="AU640" i="2"/>
  <c r="AV640" i="2"/>
  <c r="AU628" i="2"/>
  <c r="AV628" i="2"/>
  <c r="AU616" i="2"/>
  <c r="AV616" i="2"/>
  <c r="AU604" i="2"/>
  <c r="AV604" i="2"/>
  <c r="AU592" i="2"/>
  <c r="AV592" i="2"/>
  <c r="AU580" i="2"/>
  <c r="AV580" i="2"/>
  <c r="AU568" i="2"/>
  <c r="AV568" i="2"/>
  <c r="AU556" i="2"/>
  <c r="AV556" i="2"/>
  <c r="AU544" i="2"/>
  <c r="AV544" i="2"/>
  <c r="AU532" i="2"/>
  <c r="AV532" i="2"/>
  <c r="AU520" i="2"/>
  <c r="AV520" i="2"/>
  <c r="AU508" i="2"/>
  <c r="AV508" i="2"/>
  <c r="AU496" i="2"/>
  <c r="AV496" i="2"/>
  <c r="AU484" i="2"/>
  <c r="AV484" i="2"/>
  <c r="AU472" i="2"/>
  <c r="AV472" i="2"/>
  <c r="AU460" i="2"/>
  <c r="AV460" i="2"/>
  <c r="AV448" i="2"/>
  <c r="AU448" i="2"/>
  <c r="AV436" i="2"/>
  <c r="AU436" i="2"/>
  <c r="AV424" i="2"/>
  <c r="AU424" i="2"/>
  <c r="AV412" i="2"/>
  <c r="AU412" i="2"/>
  <c r="AV400" i="2"/>
  <c r="AU400" i="2"/>
  <c r="AV388" i="2"/>
  <c r="AU388" i="2"/>
  <c r="AV376" i="2"/>
  <c r="AU376" i="2"/>
  <c r="AV364" i="2"/>
  <c r="AU364" i="2"/>
  <c r="AV352" i="2"/>
  <c r="AU352" i="2"/>
  <c r="AV340" i="2"/>
  <c r="AU340" i="2"/>
  <c r="AV328" i="2"/>
  <c r="AU328" i="2"/>
  <c r="AV316" i="2"/>
  <c r="AU316" i="2"/>
  <c r="AV304" i="2"/>
  <c r="AU304" i="2"/>
  <c r="AV292" i="2"/>
  <c r="AU292" i="2"/>
  <c r="AU280" i="2"/>
  <c r="AV280" i="2"/>
  <c r="AV269" i="2"/>
  <c r="AU269" i="2"/>
  <c r="AV257" i="2"/>
  <c r="AU257" i="2"/>
  <c r="AV245" i="2"/>
  <c r="AU245" i="2"/>
  <c r="AU233" i="2"/>
  <c r="AV233" i="2"/>
  <c r="AV221" i="2"/>
  <c r="AU221" i="2"/>
  <c r="AV209" i="2"/>
  <c r="AU209" i="2"/>
  <c r="AV197" i="2"/>
  <c r="AU197" i="2"/>
  <c r="AU185" i="2"/>
  <c r="AV185" i="2"/>
  <c r="AV173" i="2"/>
  <c r="AU173" i="2"/>
  <c r="AV161" i="2"/>
  <c r="AU161" i="2"/>
  <c r="AV149" i="2"/>
  <c r="AU149" i="2"/>
  <c r="AU137" i="2"/>
  <c r="AV137" i="2"/>
  <c r="AV125" i="2"/>
  <c r="AU125" i="2"/>
  <c r="AV113" i="2"/>
  <c r="AU113" i="2"/>
  <c r="AV101" i="2"/>
  <c r="AU101" i="2"/>
  <c r="AV89" i="2"/>
  <c r="AU89" i="2"/>
  <c r="AV77" i="2"/>
  <c r="AU77" i="2"/>
  <c r="AV65" i="2"/>
  <c r="AU65" i="2"/>
  <c r="AU53" i="2"/>
  <c r="AV53" i="2"/>
  <c r="AV41" i="2"/>
  <c r="AU41" i="2"/>
  <c r="AV29" i="2"/>
  <c r="AU29" i="2"/>
  <c r="AV17" i="2"/>
  <c r="AU17" i="2"/>
  <c r="AV5" i="2"/>
  <c r="AU5" i="2"/>
  <c r="AY1097" i="2" a="1"/>
  <c r="AY1097" i="2" s="1"/>
  <c r="AO1097" i="2" a="1"/>
  <c r="AO1097" i="2" s="1"/>
  <c r="AN1097" i="2"/>
  <c r="AY1085" i="2" a="1"/>
  <c r="AY1085" i="2" s="1"/>
  <c r="AO1085" i="2" a="1"/>
  <c r="AO1085" i="2" s="1"/>
  <c r="AN1085" i="2"/>
  <c r="AY1073" i="2" a="1"/>
  <c r="AY1073" i="2" s="1"/>
  <c r="AO1073" i="2" a="1"/>
  <c r="AO1073" i="2" s="1"/>
  <c r="AN1073" i="2"/>
  <c r="AY1061" i="2" a="1"/>
  <c r="AY1061" i="2" s="1"/>
  <c r="AO1061" i="2" a="1"/>
  <c r="AO1061" i="2" s="1"/>
  <c r="AN1061" i="2"/>
  <c r="AY1049" i="2" a="1"/>
  <c r="AY1049" i="2" s="1"/>
  <c r="AO1049" i="2" a="1"/>
  <c r="AO1049" i="2" s="1"/>
  <c r="AN1049" i="2"/>
  <c r="AY1037" i="2" a="1"/>
  <c r="AY1037" i="2" s="1"/>
  <c r="AO1037" i="2" a="1"/>
  <c r="AO1037" i="2" s="1"/>
  <c r="AN1037" i="2"/>
  <c r="AY1025" i="2" a="1"/>
  <c r="AY1025" i="2" s="1"/>
  <c r="AO1025" i="2" a="1"/>
  <c r="AO1025" i="2" s="1"/>
  <c r="AN1025" i="2"/>
  <c r="AY1013" i="2" a="1"/>
  <c r="AY1013" i="2" s="1"/>
  <c r="AO1013" i="2" a="1"/>
  <c r="AO1013" i="2" s="1"/>
  <c r="AN1013" i="2"/>
  <c r="AY1001" i="2" a="1"/>
  <c r="AY1001" i="2" s="1"/>
  <c r="AO1001" i="2" a="1"/>
  <c r="AO1001" i="2" s="1"/>
  <c r="AN1001" i="2"/>
  <c r="AY989" i="2" a="1"/>
  <c r="AY989" i="2" s="1"/>
  <c r="AO989" i="2" a="1"/>
  <c r="AO989" i="2" s="1"/>
  <c r="AN989" i="2"/>
  <c r="AY977" i="2" a="1"/>
  <c r="AY977" i="2" s="1"/>
  <c r="AO977" i="2" a="1"/>
  <c r="AO977" i="2" s="1"/>
  <c r="AN977" i="2"/>
  <c r="AY965" i="2" a="1"/>
  <c r="AY965" i="2" s="1"/>
  <c r="AO965" i="2" a="1"/>
  <c r="AO965" i="2" s="1"/>
  <c r="AN965" i="2"/>
  <c r="AY953" i="2" a="1"/>
  <c r="AY953" i="2" s="1"/>
  <c r="AO953" i="2" a="1"/>
  <c r="AO953" i="2" s="1"/>
  <c r="AN953" i="2"/>
  <c r="AY941" i="2" a="1"/>
  <c r="AY941" i="2" s="1"/>
  <c r="AO941" i="2" a="1"/>
  <c r="AO941" i="2" s="1"/>
  <c r="AN941" i="2"/>
  <c r="AY929" i="2" a="1"/>
  <c r="AY929" i="2" s="1"/>
  <c r="AO929" i="2" a="1"/>
  <c r="AO929" i="2" s="1"/>
  <c r="AN929" i="2"/>
  <c r="AY917" i="2" a="1"/>
  <c r="AY917" i="2" s="1"/>
  <c r="AO917" i="2" a="1"/>
  <c r="AO917" i="2" s="1"/>
  <c r="AN917" i="2"/>
  <c r="AY905" i="2" a="1"/>
  <c r="AY905" i="2" s="1"/>
  <c r="AO905" i="2" a="1"/>
  <c r="AO905" i="2" s="1"/>
  <c r="AN905" i="2"/>
  <c r="AY893" i="2" a="1"/>
  <c r="AY893" i="2" s="1"/>
  <c r="AO893" i="2" a="1"/>
  <c r="AO893" i="2" s="1"/>
  <c r="AN893" i="2"/>
  <c r="AY881" i="2" a="1"/>
  <c r="AY881" i="2" s="1"/>
  <c r="AO881" i="2" a="1"/>
  <c r="AO881" i="2" s="1"/>
  <c r="AN881" i="2"/>
  <c r="AY869" i="2" a="1"/>
  <c r="AY869" i="2" s="1"/>
  <c r="AO869" i="2" a="1"/>
  <c r="AO869" i="2" s="1"/>
  <c r="AN869" i="2"/>
  <c r="AY857" i="2" a="1"/>
  <c r="AY857" i="2" s="1"/>
  <c r="AO857" i="2" a="1"/>
  <c r="AO857" i="2" s="1"/>
  <c r="AN857" i="2"/>
  <c r="AY845" i="2" a="1"/>
  <c r="AY845" i="2" s="1"/>
  <c r="AO845" i="2" a="1"/>
  <c r="AO845" i="2" s="1"/>
  <c r="AN845" i="2"/>
  <c r="AY833" i="2" a="1"/>
  <c r="AY833" i="2" s="1"/>
  <c r="AO833" i="2" a="1"/>
  <c r="AO833" i="2" s="1"/>
  <c r="AN833" i="2"/>
  <c r="AY821" i="2" a="1"/>
  <c r="AY821" i="2" s="1"/>
  <c r="AO821" i="2" a="1"/>
  <c r="AO821" i="2" s="1"/>
  <c r="AN821" i="2"/>
  <c r="AY809" i="2" a="1"/>
  <c r="AY809" i="2" s="1"/>
  <c r="AO809" i="2" a="1"/>
  <c r="AO809" i="2" s="1"/>
  <c r="AN809" i="2"/>
  <c r="AY797" i="2" a="1"/>
  <c r="AY797" i="2" s="1"/>
  <c r="AO797" i="2" a="1"/>
  <c r="AO797" i="2" s="1"/>
  <c r="AN797" i="2"/>
  <c r="AY785" i="2" a="1"/>
  <c r="AY785" i="2" s="1"/>
  <c r="AO785" i="2" a="1"/>
  <c r="AO785" i="2" s="1"/>
  <c r="AN785" i="2"/>
  <c r="AY773" i="2" a="1"/>
  <c r="AY773" i="2" s="1"/>
  <c r="AO773" i="2" a="1"/>
  <c r="AO773" i="2" s="1"/>
  <c r="AN773" i="2"/>
  <c r="AY761" i="2" a="1"/>
  <c r="AY761" i="2" s="1"/>
  <c r="AO761" i="2" a="1"/>
  <c r="AO761" i="2" s="1"/>
  <c r="AN761" i="2"/>
  <c r="AY749" i="2" a="1"/>
  <c r="AY749" i="2" s="1"/>
  <c r="AO749" i="2" a="1"/>
  <c r="AO749" i="2" s="1"/>
  <c r="AN749" i="2"/>
  <c r="AY737" i="2" a="1"/>
  <c r="AY737" i="2" s="1"/>
  <c r="AO737" i="2" a="1"/>
  <c r="AO737" i="2" s="1"/>
  <c r="AN737" i="2"/>
  <c r="AY725" i="2" a="1"/>
  <c r="AY725" i="2" s="1"/>
  <c r="AO725" i="2" a="1"/>
  <c r="AO725" i="2" s="1"/>
  <c r="AN725" i="2"/>
  <c r="AY713" i="2" a="1"/>
  <c r="AY713" i="2" s="1"/>
  <c r="AO713" i="2" a="1"/>
  <c r="AO713" i="2" s="1"/>
  <c r="AN713" i="2"/>
  <c r="AY701" i="2" a="1"/>
  <c r="AY701" i="2" s="1"/>
  <c r="AN701" i="2"/>
  <c r="AO701" i="2" a="1"/>
  <c r="AO701" i="2" s="1"/>
  <c r="AY689" i="2" a="1"/>
  <c r="AY689" i="2" s="1"/>
  <c r="AO689" i="2" a="1"/>
  <c r="AO689" i="2" s="1"/>
  <c r="AN689" i="2"/>
  <c r="AY677" i="2" a="1"/>
  <c r="AY677" i="2" s="1"/>
  <c r="AO677" i="2" a="1"/>
  <c r="AO677" i="2" s="1"/>
  <c r="AN677" i="2"/>
  <c r="AY665" i="2" a="1"/>
  <c r="AY665" i="2" s="1"/>
  <c r="AO665" i="2" a="1"/>
  <c r="AO665" i="2" s="1"/>
  <c r="AN665" i="2"/>
  <c r="AY653" i="2" a="1"/>
  <c r="AY653" i="2" s="1"/>
  <c r="AO653" i="2" a="1"/>
  <c r="AO653" i="2" s="1"/>
  <c r="AN653" i="2"/>
  <c r="AY641" i="2" a="1"/>
  <c r="AY641" i="2" s="1"/>
  <c r="AO641" i="2" a="1"/>
  <c r="AO641" i="2" s="1"/>
  <c r="AN641" i="2"/>
  <c r="AY629" i="2" a="1"/>
  <c r="AY629" i="2" s="1"/>
  <c r="AO629" i="2" a="1"/>
  <c r="AO629" i="2" s="1"/>
  <c r="AN629" i="2"/>
  <c r="AY617" i="2" a="1"/>
  <c r="AY617" i="2" s="1"/>
  <c r="AO617" i="2" a="1"/>
  <c r="AO617" i="2" s="1"/>
  <c r="AN617" i="2"/>
  <c r="AY605" i="2" a="1"/>
  <c r="AY605" i="2" s="1"/>
  <c r="AO605" i="2" a="1"/>
  <c r="AO605" i="2" s="1"/>
  <c r="AN605" i="2"/>
  <c r="AY593" i="2" a="1"/>
  <c r="AY593" i="2" s="1"/>
  <c r="AO593" i="2" a="1"/>
  <c r="AO593" i="2" s="1"/>
  <c r="AN593" i="2"/>
  <c r="AY581" i="2" a="1"/>
  <c r="AY581" i="2" s="1"/>
  <c r="AO581" i="2" a="1"/>
  <c r="AO581" i="2" s="1"/>
  <c r="AN581" i="2"/>
  <c r="AY569" i="2" a="1"/>
  <c r="AY569" i="2" s="1"/>
  <c r="AO569" i="2" a="1"/>
  <c r="AO569" i="2" s="1"/>
  <c r="AN569" i="2"/>
  <c r="AY557" i="2" a="1"/>
  <c r="AY557" i="2" s="1"/>
  <c r="AO557" i="2" a="1"/>
  <c r="AO557" i="2" s="1"/>
  <c r="AN557" i="2"/>
  <c r="AY545" i="2" a="1"/>
  <c r="AY545" i="2" s="1"/>
  <c r="AO545" i="2" a="1"/>
  <c r="AO545" i="2" s="1"/>
  <c r="AN545" i="2"/>
  <c r="AY533" i="2" a="1"/>
  <c r="AY533" i="2" s="1"/>
  <c r="AO533" i="2" a="1"/>
  <c r="AO533" i="2" s="1"/>
  <c r="AN533" i="2"/>
  <c r="AY521" i="2" a="1"/>
  <c r="AY521" i="2" s="1"/>
  <c r="AO521" i="2" a="1"/>
  <c r="AO521" i="2" s="1"/>
  <c r="AN521" i="2"/>
  <c r="AY509" i="2" a="1"/>
  <c r="AY509" i="2" s="1"/>
  <c r="AO509" i="2" a="1"/>
  <c r="AO509" i="2" s="1"/>
  <c r="AN509" i="2"/>
  <c r="AY497" i="2" a="1"/>
  <c r="AY497" i="2" s="1"/>
  <c r="AO497" i="2" a="1"/>
  <c r="AO497" i="2" s="1"/>
  <c r="AN497" i="2"/>
  <c r="AY485" i="2" a="1"/>
  <c r="AY485" i="2" s="1"/>
  <c r="AO485" i="2" a="1"/>
  <c r="AO485" i="2" s="1"/>
  <c r="AN485" i="2"/>
  <c r="AY473" i="2" a="1"/>
  <c r="AY473" i="2" s="1"/>
  <c r="AO473" i="2" a="1"/>
  <c r="AO473" i="2" s="1"/>
  <c r="AN473" i="2"/>
  <c r="AY461" i="2" a="1"/>
  <c r="AY461" i="2" s="1"/>
  <c r="AO461" i="2" a="1"/>
  <c r="AO461" i="2" s="1"/>
  <c r="AN461" i="2"/>
  <c r="AY449" i="2" a="1"/>
  <c r="AY449" i="2" s="1"/>
  <c r="AO449" i="2" a="1"/>
  <c r="AO449" i="2" s="1"/>
  <c r="AN449" i="2"/>
  <c r="AY437" i="2" a="1"/>
  <c r="AY437" i="2" s="1"/>
  <c r="AO437" i="2" a="1"/>
  <c r="AO437" i="2" s="1"/>
  <c r="AN437" i="2"/>
  <c r="AY425" i="2" a="1"/>
  <c r="AY425" i="2" s="1"/>
  <c r="AO425" i="2" a="1"/>
  <c r="AO425" i="2" s="1"/>
  <c r="AN425" i="2"/>
  <c r="AY413" i="2" a="1"/>
  <c r="AY413" i="2" s="1"/>
  <c r="AO413" i="2" a="1"/>
  <c r="AO413" i="2" s="1"/>
  <c r="AN413" i="2"/>
  <c r="AY401" i="2" a="1"/>
  <c r="AY401" i="2" s="1"/>
  <c r="AO401" i="2" a="1"/>
  <c r="AO401" i="2" s="1"/>
  <c r="AN401" i="2"/>
  <c r="AY389" i="2" a="1"/>
  <c r="AY389" i="2" s="1"/>
  <c r="AO389" i="2" a="1"/>
  <c r="AO389" i="2" s="1"/>
  <c r="AN389" i="2"/>
  <c r="AY377" i="2" a="1"/>
  <c r="AY377" i="2" s="1"/>
  <c r="AO377" i="2" a="1"/>
  <c r="AO377" i="2" s="1"/>
  <c r="AN377" i="2"/>
  <c r="AY365" i="2" a="1"/>
  <c r="AY365" i="2" s="1"/>
  <c r="AO365" i="2" a="1"/>
  <c r="AO365" i="2" s="1"/>
  <c r="AN365" i="2"/>
  <c r="AY353" i="2" a="1"/>
  <c r="AY353" i="2" s="1"/>
  <c r="AO353" i="2" a="1"/>
  <c r="AO353" i="2" s="1"/>
  <c r="AN353" i="2"/>
  <c r="AY341" i="2" a="1"/>
  <c r="AY341" i="2" s="1"/>
  <c r="AO341" i="2" a="1"/>
  <c r="AO341" i="2" s="1"/>
  <c r="AN341" i="2"/>
  <c r="AY329" i="2" a="1"/>
  <c r="AY329" i="2" s="1"/>
  <c r="AO329" i="2" a="1"/>
  <c r="AO329" i="2" s="1"/>
  <c r="AN329" i="2"/>
  <c r="AY317" i="2" a="1"/>
  <c r="AY317" i="2" s="1"/>
  <c r="AO317" i="2" a="1"/>
  <c r="AO317" i="2" s="1"/>
  <c r="AN317" i="2"/>
  <c r="AY305" i="2" a="1"/>
  <c r="AY305" i="2" s="1"/>
  <c r="AO305" i="2" a="1"/>
  <c r="AO305" i="2" s="1"/>
  <c r="AN305" i="2"/>
  <c r="AY293" i="2" a="1"/>
  <c r="AY293" i="2" s="1"/>
  <c r="AO293" i="2" a="1"/>
  <c r="AO293" i="2" s="1"/>
  <c r="AN293" i="2"/>
  <c r="AY281" i="2" a="1"/>
  <c r="AY281" i="2" s="1"/>
  <c r="AO281" i="2" a="1"/>
  <c r="AO281" i="2" s="1"/>
  <c r="AN281" i="2"/>
  <c r="AY270" i="2" a="1"/>
  <c r="AY270" i="2" s="1"/>
  <c r="AO270" i="2" a="1"/>
  <c r="AO270" i="2" s="1"/>
  <c r="AN270" i="2"/>
  <c r="AY258" i="2" a="1"/>
  <c r="AY258" i="2" s="1"/>
  <c r="AO258" i="2" a="1"/>
  <c r="AO258" i="2" s="1"/>
  <c r="AN258" i="2"/>
  <c r="AY246" i="2" a="1"/>
  <c r="AY246" i="2" s="1"/>
  <c r="AO246" i="2" a="1"/>
  <c r="AO246" i="2" s="1"/>
  <c r="AN246" i="2"/>
  <c r="AY234" i="2" a="1"/>
  <c r="AY234" i="2" s="1"/>
  <c r="AO234" i="2" a="1"/>
  <c r="AO234" i="2" s="1"/>
  <c r="AN234" i="2"/>
  <c r="AY222" i="2" a="1"/>
  <c r="AY222" i="2" s="1"/>
  <c r="AO222" i="2" a="1"/>
  <c r="AO222" i="2" s="1"/>
  <c r="AN222" i="2"/>
  <c r="AY210" i="2" a="1"/>
  <c r="AY210" i="2" s="1"/>
  <c r="AO210" i="2" a="1"/>
  <c r="AO210" i="2" s="1"/>
  <c r="AN210" i="2"/>
  <c r="AY198" i="2" a="1"/>
  <c r="AY198" i="2" s="1"/>
  <c r="AO198" i="2" a="1"/>
  <c r="AO198" i="2" s="1"/>
  <c r="AN198" i="2"/>
  <c r="AY186" i="2" a="1"/>
  <c r="AY186" i="2" s="1"/>
  <c r="AO186" i="2" a="1"/>
  <c r="AO186" i="2" s="1"/>
  <c r="AN186" i="2"/>
  <c r="AY174" i="2" a="1"/>
  <c r="AY174" i="2" s="1"/>
  <c r="AO174" i="2" a="1"/>
  <c r="AO174" i="2" s="1"/>
  <c r="AN174" i="2"/>
  <c r="AY162" i="2" a="1"/>
  <c r="AY162" i="2" s="1"/>
  <c r="AO162" i="2" a="1"/>
  <c r="AO162" i="2" s="1"/>
  <c r="AN162" i="2"/>
  <c r="AY150" i="2" a="1"/>
  <c r="AY150" i="2" s="1"/>
  <c r="AO150" i="2" a="1"/>
  <c r="AO150" i="2" s="1"/>
  <c r="AN150" i="2"/>
  <c r="AY138" i="2" a="1"/>
  <c r="AY138" i="2" s="1"/>
  <c r="AO138" i="2" a="1"/>
  <c r="AO138" i="2" s="1"/>
  <c r="AN138" i="2"/>
  <c r="AY126" i="2" a="1"/>
  <c r="AY126" i="2" s="1"/>
  <c r="AN126" i="2"/>
  <c r="AO126" i="2" a="1"/>
  <c r="AO126" i="2" s="1"/>
  <c r="AY114" i="2" a="1"/>
  <c r="AY114" i="2" s="1"/>
  <c r="AO114" i="2" a="1"/>
  <c r="AO114" i="2" s="1"/>
  <c r="AN114" i="2"/>
  <c r="AY102" i="2" a="1"/>
  <c r="AY102" i="2" s="1"/>
  <c r="AO102" i="2" a="1"/>
  <c r="AO102" i="2" s="1"/>
  <c r="AN102" i="2"/>
  <c r="AY90" i="2" a="1"/>
  <c r="AY90" i="2" s="1"/>
  <c r="AO90" i="2" a="1"/>
  <c r="AO90" i="2" s="1"/>
  <c r="AN90" i="2"/>
  <c r="AY78" i="2" a="1"/>
  <c r="AY78" i="2" s="1"/>
  <c r="AN78" i="2"/>
  <c r="AO78" i="2" a="1"/>
  <c r="AO78" i="2" s="1"/>
  <c r="AY66" i="2" a="1"/>
  <c r="AY66" i="2" s="1"/>
  <c r="AO66" i="2" a="1"/>
  <c r="AO66" i="2" s="1"/>
  <c r="AN66" i="2"/>
  <c r="AY54" i="2" a="1"/>
  <c r="AY54" i="2" s="1"/>
  <c r="AO54" i="2" a="1"/>
  <c r="AO54" i="2" s="1"/>
  <c r="AN54" i="2"/>
  <c r="AY42" i="2" a="1"/>
  <c r="AY42" i="2" s="1"/>
  <c r="AO42" i="2" a="1"/>
  <c r="AO42" i="2" s="1"/>
  <c r="AN42" i="2"/>
  <c r="AY30" i="2" a="1"/>
  <c r="AY30" i="2" s="1"/>
  <c r="AN30" i="2"/>
  <c r="AO30" i="2" a="1"/>
  <c r="AO30" i="2" s="1"/>
  <c r="AY18" i="2" a="1"/>
  <c r="AY18" i="2" s="1"/>
  <c r="AN18" i="2"/>
  <c r="AO18" i="2" a="1"/>
  <c r="AO18" i="2" s="1"/>
  <c r="AY6" i="2" a="1"/>
  <c r="AY6" i="2" s="1"/>
  <c r="AO6" i="2" a="1"/>
  <c r="AO6" i="2" s="1"/>
  <c r="AN6" i="2"/>
  <c r="AQ1098" i="2"/>
  <c r="AQ1086" i="2"/>
  <c r="AQ1074" i="2"/>
  <c r="AQ1062" i="2"/>
  <c r="AQ1050" i="2"/>
  <c r="AQ1038" i="2"/>
  <c r="AQ1026" i="2"/>
  <c r="AQ1014" i="2"/>
  <c r="AQ1002" i="2"/>
  <c r="AQ990" i="2"/>
  <c r="AQ978" i="2"/>
  <c r="AQ966" i="2"/>
  <c r="AQ954" i="2"/>
  <c r="AQ942" i="2"/>
  <c r="AQ930" i="2"/>
  <c r="AQ918" i="2"/>
  <c r="AQ906" i="2"/>
  <c r="AQ894" i="2"/>
  <c r="AQ882" i="2"/>
  <c r="AQ870" i="2"/>
  <c r="AQ858" i="2"/>
  <c r="AQ846" i="2"/>
  <c r="AQ834" i="2"/>
  <c r="AQ822" i="2"/>
  <c r="AQ810" i="2"/>
  <c r="AQ798" i="2"/>
  <c r="AQ786" i="2"/>
  <c r="AQ774" i="2"/>
  <c r="AQ762" i="2"/>
  <c r="AQ750" i="2"/>
  <c r="AQ738" i="2"/>
  <c r="AQ726" i="2"/>
  <c r="AQ714" i="2"/>
  <c r="AQ702" i="2"/>
  <c r="AQ690" i="2"/>
  <c r="AQ678" i="2"/>
  <c r="AQ666" i="2"/>
  <c r="AQ654" i="2"/>
  <c r="AQ642" i="2"/>
  <c r="AQ630" i="2"/>
  <c r="AQ618" i="2"/>
  <c r="AQ606" i="2"/>
  <c r="AQ594" i="2"/>
  <c r="AQ582" i="2"/>
  <c r="AQ570" i="2"/>
  <c r="AQ558" i="2"/>
  <c r="AQ546" i="2"/>
  <c r="AQ534" i="2"/>
  <c r="AQ522" i="2"/>
  <c r="AQ510" i="2"/>
  <c r="AQ498" i="2"/>
  <c r="AQ486" i="2"/>
  <c r="AQ474" i="2"/>
  <c r="AQ462" i="2"/>
  <c r="AQ450" i="2"/>
  <c r="AQ438" i="2"/>
  <c r="AQ426" i="2"/>
  <c r="AQ414" i="2"/>
  <c r="AQ402" i="2"/>
  <c r="AQ390" i="2"/>
  <c r="AQ378" i="2"/>
  <c r="AQ366" i="2"/>
  <c r="AQ354" i="2"/>
  <c r="AQ342" i="2"/>
  <c r="AQ330" i="2"/>
  <c r="AQ318" i="2"/>
  <c r="AQ306" i="2"/>
  <c r="AQ294" i="2"/>
  <c r="AQ282" i="2"/>
  <c r="AQ271" i="2"/>
  <c r="AQ259" i="2"/>
  <c r="AQ247" i="2"/>
  <c r="AQ235" i="2"/>
  <c r="AQ223" i="2"/>
  <c r="AQ211" i="2"/>
  <c r="AQ199" i="2"/>
  <c r="AQ187" i="2"/>
  <c r="AQ175" i="2"/>
  <c r="AQ163" i="2"/>
  <c r="AQ151" i="2"/>
  <c r="AQ139" i="2"/>
  <c r="AQ127" i="2"/>
  <c r="AQ115" i="2"/>
  <c r="AQ103" i="2"/>
  <c r="AQ91" i="2"/>
  <c r="AQ79" i="2"/>
  <c r="AQ67" i="2"/>
  <c r="AQ55" i="2"/>
  <c r="AQ43" i="2"/>
  <c r="AQ31" i="2"/>
  <c r="AQ19" i="2"/>
  <c r="AQ7" i="2"/>
  <c r="AS1093" i="2" a="1"/>
  <c r="AS1093" i="2" s="1"/>
  <c r="AW1093" i="2" s="1"/>
  <c r="AR1093" i="2"/>
  <c r="AT1093" i="2" s="1"/>
  <c r="AP1093" i="2"/>
  <c r="AS1081" i="2" a="1"/>
  <c r="AS1081" i="2" s="1"/>
  <c r="AW1081" i="2" s="1"/>
  <c r="AR1081" i="2"/>
  <c r="AT1081" i="2" s="1"/>
  <c r="AP1081" i="2"/>
  <c r="AS1069" i="2" a="1"/>
  <c r="AS1069" i="2" s="1"/>
  <c r="AW1069" i="2" s="1"/>
  <c r="AR1069" i="2"/>
  <c r="AT1069" i="2" s="1"/>
  <c r="AP1069" i="2"/>
  <c r="AS1057" i="2" a="1"/>
  <c r="AS1057" i="2" s="1"/>
  <c r="AW1057" i="2" s="1"/>
  <c r="AR1057" i="2"/>
  <c r="AT1057" i="2" s="1"/>
  <c r="AP1057" i="2"/>
  <c r="AS1045" i="2" a="1"/>
  <c r="AS1045" i="2" s="1"/>
  <c r="AW1045" i="2" s="1"/>
  <c r="AR1045" i="2"/>
  <c r="AT1045" i="2" s="1"/>
  <c r="AP1045" i="2"/>
  <c r="AS1033" i="2" a="1"/>
  <c r="AS1033" i="2" s="1"/>
  <c r="AW1033" i="2" s="1"/>
  <c r="AR1033" i="2"/>
  <c r="AT1033" i="2" s="1"/>
  <c r="AP1033" i="2"/>
  <c r="AS1021" i="2" a="1"/>
  <c r="AS1021" i="2" s="1"/>
  <c r="AW1021" i="2" s="1"/>
  <c r="AR1021" i="2"/>
  <c r="AT1021" i="2" s="1"/>
  <c r="AP1021" i="2"/>
  <c r="AS1009" i="2" a="1"/>
  <c r="AS1009" i="2" s="1"/>
  <c r="AW1009" i="2" s="1"/>
  <c r="AR1009" i="2"/>
  <c r="AT1009" i="2" s="1"/>
  <c r="AP1009" i="2"/>
  <c r="AR997" i="2"/>
  <c r="AT997" i="2" s="1"/>
  <c r="AS997" i="2" a="1"/>
  <c r="AS997" i="2" s="1"/>
  <c r="AW997" i="2" s="1"/>
  <c r="AP997" i="2"/>
  <c r="AS985" i="2" a="1"/>
  <c r="AS985" i="2" s="1"/>
  <c r="AW985" i="2" s="1"/>
  <c r="AR985" i="2"/>
  <c r="AT985" i="2" s="1"/>
  <c r="AP985" i="2"/>
  <c r="AS973" i="2" a="1"/>
  <c r="AS973" i="2" s="1"/>
  <c r="AW973" i="2" s="1"/>
  <c r="AR973" i="2"/>
  <c r="AT973" i="2" s="1"/>
  <c r="AP973" i="2"/>
  <c r="AS961" i="2" a="1"/>
  <c r="AS961" i="2" s="1"/>
  <c r="AW961" i="2" s="1"/>
  <c r="AR961" i="2"/>
  <c r="AT961" i="2" s="1"/>
  <c r="AP961" i="2"/>
  <c r="AS949" i="2" a="1"/>
  <c r="AS949" i="2" s="1"/>
  <c r="AW949" i="2" s="1"/>
  <c r="AR949" i="2"/>
  <c r="AT949" i="2" s="1"/>
  <c r="AP949" i="2"/>
  <c r="AS937" i="2" a="1"/>
  <c r="AS937" i="2" s="1"/>
  <c r="AW937" i="2" s="1"/>
  <c r="AR937" i="2"/>
  <c r="AT937" i="2" s="1"/>
  <c r="AP937" i="2"/>
  <c r="AS925" i="2" a="1"/>
  <c r="AS925" i="2" s="1"/>
  <c r="AW925" i="2" s="1"/>
  <c r="AR925" i="2"/>
  <c r="AT925" i="2" s="1"/>
  <c r="AP925" i="2"/>
  <c r="AS913" i="2" a="1"/>
  <c r="AS913" i="2" s="1"/>
  <c r="AW913" i="2" s="1"/>
  <c r="AR913" i="2"/>
  <c r="AT913" i="2" s="1"/>
  <c r="AP913" i="2"/>
  <c r="AR901" i="2"/>
  <c r="AT901" i="2" s="1"/>
  <c r="AS901" i="2" a="1"/>
  <c r="AS901" i="2" s="1"/>
  <c r="AW901" i="2" s="1"/>
  <c r="AP901" i="2"/>
  <c r="AS889" i="2" a="1"/>
  <c r="AS889" i="2" s="1"/>
  <c r="AW889" i="2" s="1"/>
  <c r="AR889" i="2"/>
  <c r="AT889" i="2" s="1"/>
  <c r="AP889" i="2"/>
  <c r="AS877" i="2" a="1"/>
  <c r="AS877" i="2" s="1"/>
  <c r="AW877" i="2" s="1"/>
  <c r="AR877" i="2"/>
  <c r="AT877" i="2" s="1"/>
  <c r="AP877" i="2"/>
  <c r="AS865" i="2" a="1"/>
  <c r="AS865" i="2" s="1"/>
  <c r="AW865" i="2" s="1"/>
  <c r="AR865" i="2"/>
  <c r="AT865" i="2" s="1"/>
  <c r="AP865" i="2"/>
  <c r="AR853" i="2"/>
  <c r="AT853" i="2" s="1"/>
  <c r="AS853" i="2" a="1"/>
  <c r="AS853" i="2" s="1"/>
  <c r="AW853" i="2" s="1"/>
  <c r="AP853" i="2"/>
  <c r="AS841" i="2" a="1"/>
  <c r="AS841" i="2" s="1"/>
  <c r="AW841" i="2" s="1"/>
  <c r="AR841" i="2"/>
  <c r="AT841" i="2" s="1"/>
  <c r="AP841" i="2"/>
  <c r="AS829" i="2" a="1"/>
  <c r="AS829" i="2" s="1"/>
  <c r="AW829" i="2" s="1"/>
  <c r="AR829" i="2"/>
  <c r="AT829" i="2" s="1"/>
  <c r="AP829" i="2"/>
  <c r="AR817" i="2"/>
  <c r="AT817" i="2" s="1"/>
  <c r="AS817" i="2" a="1"/>
  <c r="AS817" i="2" s="1"/>
  <c r="AW817" i="2" s="1"/>
  <c r="AP817" i="2"/>
  <c r="AS805" i="2" a="1"/>
  <c r="AS805" i="2" s="1"/>
  <c r="AW805" i="2" s="1"/>
  <c r="AR805" i="2"/>
  <c r="AT805" i="2" s="1"/>
  <c r="AP805" i="2"/>
  <c r="AR793" i="2"/>
  <c r="AT793" i="2" s="1"/>
  <c r="AS793" i="2" a="1"/>
  <c r="AS793" i="2" s="1"/>
  <c r="AW793" i="2" s="1"/>
  <c r="AP793" i="2"/>
  <c r="AS781" i="2" a="1"/>
  <c r="AS781" i="2" s="1"/>
  <c r="AW781" i="2" s="1"/>
  <c r="AR781" i="2"/>
  <c r="AT781" i="2" s="1"/>
  <c r="AP781" i="2"/>
  <c r="AS769" i="2" a="1"/>
  <c r="AS769" i="2" s="1"/>
  <c r="AW769" i="2" s="1"/>
  <c r="AR769" i="2"/>
  <c r="AT769" i="2" s="1"/>
  <c r="AP769" i="2"/>
  <c r="AS757" i="2" a="1"/>
  <c r="AS757" i="2" s="1"/>
  <c r="AW757" i="2" s="1"/>
  <c r="AR757" i="2"/>
  <c r="AT757" i="2" s="1"/>
  <c r="AP757" i="2"/>
  <c r="AS745" i="2" a="1"/>
  <c r="AS745" i="2" s="1"/>
  <c r="AW745" i="2" s="1"/>
  <c r="AR745" i="2"/>
  <c r="AT745" i="2" s="1"/>
  <c r="AP745" i="2"/>
  <c r="AS733" i="2" a="1"/>
  <c r="AS733" i="2" s="1"/>
  <c r="AW733" i="2" s="1"/>
  <c r="AR733" i="2"/>
  <c r="AT733" i="2" s="1"/>
  <c r="AP733" i="2"/>
  <c r="AS721" i="2" a="1"/>
  <c r="AS721" i="2" s="1"/>
  <c r="AW721" i="2" s="1"/>
  <c r="AR721" i="2"/>
  <c r="AT721" i="2" s="1"/>
  <c r="AP721" i="2"/>
  <c r="AS709" i="2" a="1"/>
  <c r="AS709" i="2" s="1"/>
  <c r="AW709" i="2" s="1"/>
  <c r="AR709" i="2"/>
  <c r="AT709" i="2" s="1"/>
  <c r="AP709" i="2"/>
  <c r="AS697" i="2" a="1"/>
  <c r="AS697" i="2" s="1"/>
  <c r="AW697" i="2" s="1"/>
  <c r="AR697" i="2"/>
  <c r="AT697" i="2" s="1"/>
  <c r="AP697" i="2"/>
  <c r="AS685" i="2" a="1"/>
  <c r="AS685" i="2" s="1"/>
  <c r="AW685" i="2" s="1"/>
  <c r="AR685" i="2"/>
  <c r="AT685" i="2" s="1"/>
  <c r="AP685" i="2"/>
  <c r="AS673" i="2" a="1"/>
  <c r="AS673" i="2" s="1"/>
  <c r="AW673" i="2" s="1"/>
  <c r="AR673" i="2"/>
  <c r="AT673" i="2" s="1"/>
  <c r="AP673" i="2"/>
  <c r="AS661" i="2" a="1"/>
  <c r="AS661" i="2" s="1"/>
  <c r="AW661" i="2" s="1"/>
  <c r="AR661" i="2"/>
  <c r="AT661" i="2" s="1"/>
  <c r="AP661" i="2"/>
  <c r="AS649" i="2" a="1"/>
  <c r="AS649" i="2" s="1"/>
  <c r="AW649" i="2" s="1"/>
  <c r="AR649" i="2"/>
  <c r="AT649" i="2" s="1"/>
  <c r="AP649" i="2"/>
  <c r="AS637" i="2" a="1"/>
  <c r="AS637" i="2" s="1"/>
  <c r="AW637" i="2" s="1"/>
  <c r="AP637" i="2"/>
  <c r="AR637" i="2"/>
  <c r="AT637" i="2" s="1"/>
  <c r="AS625" i="2" a="1"/>
  <c r="AS625" i="2" s="1"/>
  <c r="AW625" i="2" s="1"/>
  <c r="AR625" i="2"/>
  <c r="AT625" i="2" s="1"/>
  <c r="AP625" i="2"/>
  <c r="AS613" i="2" a="1"/>
  <c r="AS613" i="2" s="1"/>
  <c r="AW613" i="2" s="1"/>
  <c r="AR613" i="2"/>
  <c r="AT613" i="2" s="1"/>
  <c r="AP613" i="2"/>
  <c r="AR601" i="2"/>
  <c r="AT601" i="2" s="1"/>
  <c r="AP601" i="2"/>
  <c r="AS601" i="2" a="1"/>
  <c r="AS601" i="2" s="1"/>
  <c r="AW601" i="2" s="1"/>
  <c r="AR589" i="2"/>
  <c r="AT589" i="2" s="1"/>
  <c r="AS589" i="2" a="1"/>
  <c r="AS589" i="2" s="1"/>
  <c r="AW589" i="2" s="1"/>
  <c r="AP589" i="2"/>
  <c r="AR577" i="2"/>
  <c r="AT577" i="2" s="1"/>
  <c r="AS577" i="2" a="1"/>
  <c r="AS577" i="2" s="1"/>
  <c r="AW577" i="2" s="1"/>
  <c r="AP577" i="2"/>
  <c r="AS565" i="2" a="1"/>
  <c r="AS565" i="2" s="1"/>
  <c r="AW565" i="2" s="1"/>
  <c r="AR565" i="2"/>
  <c r="AT565" i="2" s="1"/>
  <c r="AP565" i="2"/>
  <c r="AS553" i="2" a="1"/>
  <c r="AS553" i="2" s="1"/>
  <c r="AW553" i="2" s="1"/>
  <c r="AR553" i="2"/>
  <c r="AT553" i="2" s="1"/>
  <c r="AP553" i="2"/>
  <c r="AS541" i="2" a="1"/>
  <c r="AS541" i="2" s="1"/>
  <c r="AW541" i="2" s="1"/>
  <c r="AR541" i="2"/>
  <c r="AT541" i="2" s="1"/>
  <c r="AP541" i="2"/>
  <c r="AR529" i="2"/>
  <c r="AT529" i="2" s="1"/>
  <c r="AS529" i="2" a="1"/>
  <c r="AS529" i="2" s="1"/>
  <c r="AW529" i="2" s="1"/>
  <c r="AP529" i="2"/>
  <c r="AS517" i="2" a="1"/>
  <c r="AS517" i="2" s="1"/>
  <c r="AW517" i="2" s="1"/>
  <c r="AR517" i="2"/>
  <c r="AT517" i="2" s="1"/>
  <c r="AP517" i="2"/>
  <c r="AR505" i="2"/>
  <c r="AT505" i="2" s="1"/>
  <c r="AS505" i="2" a="1"/>
  <c r="AS505" i="2" s="1"/>
  <c r="AW505" i="2" s="1"/>
  <c r="AP505" i="2"/>
  <c r="AS493" i="2" a="1"/>
  <c r="AS493" i="2" s="1"/>
  <c r="AW493" i="2" s="1"/>
  <c r="AR493" i="2"/>
  <c r="AT493" i="2" s="1"/>
  <c r="AP493" i="2"/>
  <c r="AS481" i="2" a="1"/>
  <c r="AS481" i="2" s="1"/>
  <c r="AW481" i="2" s="1"/>
  <c r="AR481" i="2"/>
  <c r="AT481" i="2" s="1"/>
  <c r="AP481" i="2"/>
  <c r="AR469" i="2"/>
  <c r="AT469" i="2" s="1"/>
  <c r="AS469" i="2" a="1"/>
  <c r="AS469" i="2" s="1"/>
  <c r="AW469" i="2" s="1"/>
  <c r="AP469" i="2"/>
  <c r="AS457" i="2" a="1"/>
  <c r="AS457" i="2" s="1"/>
  <c r="AW457" i="2" s="1"/>
  <c r="AR457" i="2"/>
  <c r="AT457" i="2" s="1"/>
  <c r="AP457" i="2"/>
  <c r="AS445" i="2" a="1"/>
  <c r="AS445" i="2" s="1"/>
  <c r="AW445" i="2" s="1"/>
  <c r="AR445" i="2"/>
  <c r="AT445" i="2" s="1"/>
  <c r="AP445" i="2"/>
  <c r="AS433" i="2" a="1"/>
  <c r="AS433" i="2" s="1"/>
  <c r="AW433" i="2" s="1"/>
  <c r="AR433" i="2"/>
  <c r="AT433" i="2" s="1"/>
  <c r="AP433" i="2"/>
  <c r="AS421" i="2" a="1"/>
  <c r="AS421" i="2" s="1"/>
  <c r="AW421" i="2" s="1"/>
  <c r="AR421" i="2"/>
  <c r="AT421" i="2" s="1"/>
  <c r="AP421" i="2"/>
  <c r="AR409" i="2"/>
  <c r="AT409" i="2" s="1"/>
  <c r="AS409" i="2" a="1"/>
  <c r="AS409" i="2" s="1"/>
  <c r="AW409" i="2" s="1"/>
  <c r="AP409" i="2"/>
  <c r="AS397" i="2" a="1"/>
  <c r="AS397" i="2" s="1"/>
  <c r="AW397" i="2" s="1"/>
  <c r="AR397" i="2"/>
  <c r="AT397" i="2" s="1"/>
  <c r="AP397" i="2"/>
  <c r="AS385" i="2" a="1"/>
  <c r="AS385" i="2" s="1"/>
  <c r="AW385" i="2" s="1"/>
  <c r="AP385" i="2"/>
  <c r="AR385" i="2"/>
  <c r="AT385" i="2" s="1"/>
  <c r="AS373" i="2" a="1"/>
  <c r="AS373" i="2" s="1"/>
  <c r="AW373" i="2" s="1"/>
  <c r="AR373" i="2"/>
  <c r="AT373" i="2" s="1"/>
  <c r="AP373" i="2"/>
  <c r="AR361" i="2"/>
  <c r="AT361" i="2" s="1"/>
  <c r="AS361" i="2" a="1"/>
  <c r="AS361" i="2" s="1"/>
  <c r="AW361" i="2" s="1"/>
  <c r="AP361" i="2"/>
  <c r="AS349" i="2" a="1"/>
  <c r="AS349" i="2" s="1"/>
  <c r="AW349" i="2" s="1"/>
  <c r="AR349" i="2"/>
  <c r="AT349" i="2" s="1"/>
  <c r="AP349" i="2"/>
  <c r="AR337" i="2"/>
  <c r="AT337" i="2" s="1"/>
  <c r="AS337" i="2" a="1"/>
  <c r="AS337" i="2" s="1"/>
  <c r="AW337" i="2" s="1"/>
  <c r="AP337" i="2"/>
  <c r="AR325" i="2"/>
  <c r="AT325" i="2" s="1"/>
  <c r="AP325" i="2"/>
  <c r="AS325" i="2" a="1"/>
  <c r="AS325" i="2" s="1"/>
  <c r="AW325" i="2" s="1"/>
  <c r="AS313" i="2" a="1"/>
  <c r="AS313" i="2" s="1"/>
  <c r="AW313" i="2" s="1"/>
  <c r="AR313" i="2"/>
  <c r="AT313" i="2" s="1"/>
  <c r="AP313" i="2"/>
  <c r="AP301" i="2"/>
  <c r="AS301" i="2" a="1"/>
  <c r="AS301" i="2" s="1"/>
  <c r="AW301" i="2" s="1"/>
  <c r="AR301" i="2"/>
  <c r="AT301" i="2" s="1"/>
  <c r="AS289" i="2" a="1"/>
  <c r="AS289" i="2" s="1"/>
  <c r="AW289" i="2" s="1"/>
  <c r="AR289" i="2"/>
  <c r="AT289" i="2" s="1"/>
  <c r="AP289" i="2"/>
  <c r="AS277" i="2" a="1"/>
  <c r="AS277" i="2" s="1"/>
  <c r="AW277" i="2" s="1"/>
  <c r="AP277" i="2"/>
  <c r="AR277" i="2"/>
  <c r="AT277" i="2" s="1"/>
  <c r="AS266" i="2" a="1"/>
  <c r="AS266" i="2" s="1"/>
  <c r="AW266" i="2" s="1"/>
  <c r="AR266" i="2"/>
  <c r="AT266" i="2" s="1"/>
  <c r="AP266" i="2"/>
  <c r="AR254" i="2"/>
  <c r="AT254" i="2" s="1"/>
  <c r="AS254" i="2" a="1"/>
  <c r="AS254" i="2" s="1"/>
  <c r="AW254" i="2" s="1"/>
  <c r="AP254" i="2"/>
  <c r="AS242" i="2" a="1"/>
  <c r="AS242" i="2" s="1"/>
  <c r="AW242" i="2" s="1"/>
  <c r="AR242" i="2"/>
  <c r="AT242" i="2" s="1"/>
  <c r="AP242" i="2"/>
  <c r="AS230" i="2" a="1"/>
  <c r="AS230" i="2" s="1"/>
  <c r="AW230" i="2" s="1"/>
  <c r="AR230" i="2"/>
  <c r="AT230" i="2" s="1"/>
  <c r="AP230" i="2"/>
  <c r="AS218" i="2" a="1"/>
  <c r="AS218" i="2" s="1"/>
  <c r="AW218" i="2" s="1"/>
  <c r="AR218" i="2"/>
  <c r="AT218" i="2" s="1"/>
  <c r="AP218" i="2"/>
  <c r="AR206" i="2"/>
  <c r="AT206" i="2" s="1"/>
  <c r="AS206" i="2" a="1"/>
  <c r="AS206" i="2" s="1"/>
  <c r="AW206" i="2" s="1"/>
  <c r="AP206" i="2"/>
  <c r="AS194" i="2" a="1"/>
  <c r="AS194" i="2" s="1"/>
  <c r="AW194" i="2" s="1"/>
  <c r="AR194" i="2"/>
  <c r="AT194" i="2" s="1"/>
  <c r="AP194" i="2"/>
  <c r="AS182" i="2" a="1"/>
  <c r="AS182" i="2" s="1"/>
  <c r="AW182" i="2" s="1"/>
  <c r="AR182" i="2"/>
  <c r="AT182" i="2" s="1"/>
  <c r="AP182" i="2"/>
  <c r="AS170" i="2" a="1"/>
  <c r="AS170" i="2" s="1"/>
  <c r="AW170" i="2" s="1"/>
  <c r="AR170" i="2"/>
  <c r="AT170" i="2" s="1"/>
  <c r="AP170" i="2"/>
  <c r="AS158" i="2" a="1"/>
  <c r="AS158" i="2" s="1"/>
  <c r="AW158" i="2" s="1"/>
  <c r="AR158" i="2"/>
  <c r="AT158" i="2" s="1"/>
  <c r="AP158" i="2"/>
  <c r="AS146" i="2" a="1"/>
  <c r="AS146" i="2" s="1"/>
  <c r="AW146" i="2" s="1"/>
  <c r="AR146" i="2"/>
  <c r="AT146" i="2" s="1"/>
  <c r="AP146" i="2"/>
  <c r="AS134" i="2" a="1"/>
  <c r="AS134" i="2" s="1"/>
  <c r="AW134" i="2" s="1"/>
  <c r="AR134" i="2"/>
  <c r="AT134" i="2" s="1"/>
  <c r="AP134" i="2"/>
  <c r="AR122" i="2"/>
  <c r="AT122" i="2" s="1"/>
  <c r="AS122" i="2" a="1"/>
  <c r="AS122" i="2" s="1"/>
  <c r="AW122" i="2" s="1"/>
  <c r="AP122" i="2"/>
  <c r="AS110" i="2" a="1"/>
  <c r="AS110" i="2" s="1"/>
  <c r="AW110" i="2" s="1"/>
  <c r="AR110" i="2"/>
  <c r="AT110" i="2" s="1"/>
  <c r="AP110" i="2"/>
  <c r="AS98" i="2" a="1"/>
  <c r="AS98" i="2" s="1"/>
  <c r="AW98" i="2" s="1"/>
  <c r="AR98" i="2"/>
  <c r="AT98" i="2" s="1"/>
  <c r="AP98" i="2"/>
  <c r="AS86" i="2" a="1"/>
  <c r="AS86" i="2" s="1"/>
  <c r="AW86" i="2" s="1"/>
  <c r="AR86" i="2"/>
  <c r="AT86" i="2" s="1"/>
  <c r="AP86" i="2"/>
  <c r="AR74" i="2"/>
  <c r="AT74" i="2" s="1"/>
  <c r="AS74" i="2" a="1"/>
  <c r="AS74" i="2" s="1"/>
  <c r="AW74" i="2" s="1"/>
  <c r="AP74" i="2"/>
  <c r="AS62" i="2" a="1"/>
  <c r="AS62" i="2" s="1"/>
  <c r="AW62" i="2" s="1"/>
  <c r="AR62" i="2"/>
  <c r="AT62" i="2" s="1"/>
  <c r="AP62" i="2"/>
  <c r="AR50" i="2"/>
  <c r="AT50" i="2" s="1"/>
  <c r="AS50" i="2" a="1"/>
  <c r="AS50" i="2" s="1"/>
  <c r="AW50" i="2" s="1"/>
  <c r="AP50" i="2"/>
  <c r="AS38" i="2" a="1"/>
  <c r="AS38" i="2" s="1"/>
  <c r="AW38" i="2" s="1"/>
  <c r="AR38" i="2"/>
  <c r="AT38" i="2" s="1"/>
  <c r="AP38" i="2"/>
  <c r="AS26" i="2" a="1"/>
  <c r="AS26" i="2" s="1"/>
  <c r="AW26" i="2" s="1"/>
  <c r="AR26" i="2"/>
  <c r="AT26" i="2" s="1"/>
  <c r="AP26" i="2"/>
  <c r="AS14" i="2" a="1"/>
  <c r="AS14" i="2" s="1"/>
  <c r="AW14" i="2" s="1"/>
  <c r="AR14" i="2"/>
  <c r="AT14" i="2" s="1"/>
  <c r="AP14" i="2"/>
  <c r="AS2" i="2" a="1"/>
  <c r="AS2" i="2" s="1"/>
  <c r="AW2" i="2" s="1"/>
  <c r="AR2" i="2"/>
  <c r="AT2" i="2" s="1"/>
  <c r="AP2" i="2"/>
  <c r="AV1095" i="2"/>
  <c r="AU1095" i="2"/>
  <c r="AV1083" i="2"/>
  <c r="AU1083" i="2"/>
  <c r="AV1071" i="2"/>
  <c r="AU1071" i="2"/>
  <c r="AU1059" i="2"/>
  <c r="AV1059" i="2"/>
  <c r="AV1047" i="2"/>
  <c r="AU1047" i="2"/>
  <c r="AV1035" i="2"/>
  <c r="AU1035" i="2"/>
  <c r="AV1023" i="2"/>
  <c r="AU1023" i="2"/>
  <c r="AU1011" i="2"/>
  <c r="AV1011" i="2"/>
  <c r="AV999" i="2"/>
  <c r="AU999" i="2"/>
  <c r="AV987" i="2"/>
  <c r="AU987" i="2"/>
  <c r="AV975" i="2"/>
  <c r="AU975" i="2"/>
  <c r="AU963" i="2"/>
  <c r="AV963" i="2"/>
  <c r="AV951" i="2"/>
  <c r="AU951" i="2"/>
  <c r="AV939" i="2"/>
  <c r="AU939" i="2"/>
  <c r="AV927" i="2"/>
  <c r="AU927" i="2"/>
  <c r="AU915" i="2"/>
  <c r="AV915" i="2"/>
  <c r="AV903" i="2"/>
  <c r="AU903" i="2"/>
  <c r="AV891" i="2"/>
  <c r="AU891" i="2"/>
  <c r="AV879" i="2"/>
  <c r="AU879" i="2"/>
  <c r="AU867" i="2"/>
  <c r="AV867" i="2"/>
  <c r="AV855" i="2"/>
  <c r="AU855" i="2"/>
  <c r="AU843" i="2"/>
  <c r="AV843" i="2"/>
  <c r="AV831" i="2"/>
  <c r="AU831" i="2"/>
  <c r="AV819" i="2"/>
  <c r="AU819" i="2"/>
  <c r="AV807" i="2"/>
  <c r="AU807" i="2"/>
  <c r="AV795" i="2"/>
  <c r="AU795" i="2"/>
  <c r="AV783" i="2"/>
  <c r="AU783" i="2"/>
  <c r="AV771" i="2"/>
  <c r="AU771" i="2"/>
  <c r="AV759" i="2"/>
  <c r="AU759" i="2"/>
  <c r="AV747" i="2"/>
  <c r="AU747" i="2"/>
  <c r="AV735" i="2"/>
  <c r="AU735" i="2"/>
  <c r="AV723" i="2"/>
  <c r="AU723" i="2"/>
  <c r="AV711" i="2"/>
  <c r="AU711" i="2"/>
  <c r="AV699" i="2"/>
  <c r="AU699" i="2"/>
  <c r="AV687" i="2"/>
  <c r="AU687" i="2"/>
  <c r="AU675" i="2"/>
  <c r="AV675" i="2"/>
  <c r="AV663" i="2"/>
  <c r="AU663" i="2"/>
  <c r="AV651" i="2"/>
  <c r="AU651" i="2"/>
  <c r="AV639" i="2"/>
  <c r="AU639" i="2"/>
  <c r="AV627" i="2"/>
  <c r="AU627" i="2"/>
  <c r="AV615" i="2"/>
  <c r="AU615" i="2"/>
  <c r="AV603" i="2"/>
  <c r="AU603" i="2"/>
  <c r="AV591" i="2"/>
  <c r="AU591" i="2"/>
  <c r="AV579" i="2"/>
  <c r="AU579" i="2"/>
  <c r="AV567" i="2"/>
  <c r="AU567" i="2"/>
  <c r="AV555" i="2"/>
  <c r="AU555" i="2"/>
  <c r="AV543" i="2"/>
  <c r="AU543" i="2"/>
  <c r="AU531" i="2"/>
  <c r="AV531" i="2"/>
  <c r="AV519" i="2"/>
  <c r="AU519" i="2"/>
  <c r="AV507" i="2"/>
  <c r="AU507" i="2"/>
  <c r="AV495" i="2"/>
  <c r="AU495" i="2"/>
  <c r="AV483" i="2"/>
  <c r="AU483" i="2"/>
  <c r="AV471" i="2"/>
  <c r="AU471" i="2"/>
  <c r="AV459" i="2"/>
  <c r="AU459" i="2"/>
  <c r="AV447" i="2"/>
  <c r="AU447" i="2"/>
  <c r="AV435" i="2"/>
  <c r="AU435" i="2"/>
  <c r="AV423" i="2"/>
  <c r="AU423" i="2"/>
  <c r="AV411" i="2"/>
  <c r="AU411" i="2"/>
  <c r="AV399" i="2"/>
  <c r="AU399" i="2"/>
  <c r="AV387" i="2"/>
  <c r="AU387" i="2"/>
  <c r="AV375" i="2"/>
  <c r="AU375" i="2"/>
  <c r="AV363" i="2"/>
  <c r="AU363" i="2"/>
  <c r="AV351" i="2"/>
  <c r="AU351" i="2"/>
  <c r="AV339" i="2"/>
  <c r="AU339" i="2"/>
  <c r="AV327" i="2"/>
  <c r="AU327" i="2"/>
  <c r="AV315" i="2"/>
  <c r="AU315" i="2"/>
  <c r="AV303" i="2"/>
  <c r="AU303" i="2"/>
  <c r="AV291" i="2"/>
  <c r="AU291" i="2"/>
  <c r="AV279" i="2"/>
  <c r="AU279" i="2"/>
  <c r="AU268" i="2"/>
  <c r="AV268" i="2"/>
  <c r="AV256" i="2"/>
  <c r="AU256" i="2"/>
  <c r="AV244" i="2"/>
  <c r="AU244" i="2"/>
  <c r="AV232" i="2"/>
  <c r="AU232" i="2"/>
  <c r="AU220" i="2"/>
  <c r="AV220" i="2"/>
  <c r="AV208" i="2"/>
  <c r="AU208" i="2"/>
  <c r="AV196" i="2"/>
  <c r="AU196" i="2"/>
  <c r="AV184" i="2"/>
  <c r="AU184" i="2"/>
  <c r="AU172" i="2"/>
  <c r="AV172" i="2"/>
  <c r="AV160" i="2"/>
  <c r="AU160" i="2"/>
  <c r="AV148" i="2"/>
  <c r="AU148" i="2"/>
  <c r="AV136" i="2"/>
  <c r="AU136" i="2"/>
  <c r="AU124" i="2"/>
  <c r="AV124" i="2"/>
  <c r="AV112" i="2"/>
  <c r="AU112" i="2"/>
  <c r="AV100" i="2"/>
  <c r="AU100" i="2"/>
  <c r="AV88" i="2"/>
  <c r="AU88" i="2"/>
  <c r="AV76" i="2"/>
  <c r="AU76" i="2"/>
  <c r="AV64" i="2"/>
  <c r="AU64" i="2"/>
  <c r="AV52" i="2"/>
  <c r="AU52" i="2"/>
  <c r="AV40" i="2"/>
  <c r="AU40" i="2"/>
  <c r="AV28" i="2"/>
  <c r="AU28" i="2"/>
  <c r="AV16" i="2"/>
  <c r="AU16" i="2"/>
  <c r="AV4" i="2"/>
  <c r="AU4" i="2"/>
  <c r="AQ1097" i="2"/>
  <c r="AQ1085" i="2"/>
  <c r="AQ1073" i="2"/>
  <c r="AQ1061" i="2"/>
  <c r="AQ1049" i="2"/>
  <c r="AQ1037" i="2"/>
  <c r="AQ1025" i="2"/>
  <c r="AQ1013" i="2"/>
  <c r="AQ1001" i="2"/>
  <c r="AQ989" i="2"/>
  <c r="AQ977" i="2"/>
  <c r="AQ965" i="2"/>
  <c r="AQ953" i="2"/>
  <c r="AQ941" i="2"/>
  <c r="AQ929" i="2"/>
  <c r="AQ917" i="2"/>
  <c r="AQ905" i="2"/>
  <c r="AQ893" i="2"/>
  <c r="AQ881" i="2"/>
  <c r="AQ869" i="2"/>
  <c r="AQ857" i="2"/>
  <c r="AQ845" i="2"/>
  <c r="AQ833" i="2"/>
  <c r="AQ821" i="2"/>
  <c r="AQ809" i="2"/>
  <c r="AQ797" i="2"/>
  <c r="AQ785" i="2"/>
  <c r="AQ773" i="2"/>
  <c r="AQ761" i="2"/>
  <c r="AQ749" i="2"/>
  <c r="AQ737" i="2"/>
  <c r="AQ725" i="2"/>
  <c r="AQ713" i="2"/>
  <c r="AQ701" i="2"/>
  <c r="AQ689" i="2"/>
  <c r="AQ677" i="2"/>
  <c r="AQ665" i="2"/>
  <c r="AQ653" i="2"/>
  <c r="AQ641" i="2"/>
  <c r="AQ629" i="2"/>
  <c r="AQ617" i="2"/>
  <c r="AQ605" i="2"/>
  <c r="AQ593" i="2"/>
  <c r="AQ581" i="2"/>
  <c r="AQ569" i="2"/>
  <c r="AQ557" i="2"/>
  <c r="AQ545" i="2"/>
  <c r="AQ533" i="2"/>
  <c r="AQ521" i="2"/>
  <c r="AQ509" i="2"/>
  <c r="AQ497" i="2"/>
  <c r="AQ485" i="2"/>
  <c r="AQ473" i="2"/>
  <c r="AQ461" i="2"/>
  <c r="AQ449" i="2"/>
  <c r="AQ437" i="2"/>
  <c r="AQ425" i="2"/>
  <c r="AQ413" i="2"/>
  <c r="AQ401" i="2"/>
  <c r="AQ389" i="2"/>
  <c r="AQ377" i="2"/>
  <c r="AQ365" i="2"/>
  <c r="AQ353" i="2"/>
  <c r="AQ341" i="2"/>
  <c r="AQ329" i="2"/>
  <c r="AQ317" i="2"/>
  <c r="AQ305" i="2"/>
  <c r="AQ293" i="2"/>
  <c r="AQ281" i="2"/>
  <c r="AQ270" i="2"/>
  <c r="AQ258" i="2"/>
  <c r="AQ246" i="2"/>
  <c r="AQ234" i="2"/>
  <c r="AQ222" i="2"/>
  <c r="AQ210" i="2"/>
  <c r="AQ198" i="2"/>
  <c r="AQ186" i="2"/>
  <c r="AQ174" i="2"/>
  <c r="AQ162" i="2"/>
  <c r="AQ150" i="2"/>
  <c r="AQ138" i="2"/>
  <c r="AQ126" i="2"/>
  <c r="AQ114" i="2"/>
  <c r="AQ102" i="2"/>
  <c r="AQ90" i="2"/>
  <c r="AQ78" i="2"/>
  <c r="AQ66" i="2"/>
  <c r="AQ54" i="2"/>
  <c r="AQ42" i="2"/>
  <c r="AQ30" i="2"/>
  <c r="AQ18" i="2"/>
  <c r="AQ6" i="2"/>
  <c r="AS1092" i="2" a="1"/>
  <c r="AS1092" i="2" s="1"/>
  <c r="AW1092" i="2" s="1"/>
  <c r="AR1092" i="2"/>
  <c r="AT1092" i="2" s="1"/>
  <c r="AP1092" i="2"/>
  <c r="AR1080" i="2"/>
  <c r="AT1080" i="2" s="1"/>
  <c r="AS1080" i="2" a="1"/>
  <c r="AS1080" i="2" s="1"/>
  <c r="AW1080" i="2" s="1"/>
  <c r="AP1080" i="2"/>
  <c r="AS1068" i="2" a="1"/>
  <c r="AS1068" i="2" s="1"/>
  <c r="AW1068" i="2" s="1"/>
  <c r="AR1068" i="2"/>
  <c r="AT1068" i="2" s="1"/>
  <c r="AP1068" i="2"/>
  <c r="AR1056" i="2"/>
  <c r="AT1056" i="2" s="1"/>
  <c r="AS1056" i="2" a="1"/>
  <c r="AS1056" i="2" s="1"/>
  <c r="AW1056" i="2" s="1"/>
  <c r="AP1056" i="2"/>
  <c r="AR1044" i="2"/>
  <c r="AT1044" i="2" s="1"/>
  <c r="AS1044" i="2" a="1"/>
  <c r="AS1044" i="2" s="1"/>
  <c r="AW1044" i="2" s="1"/>
  <c r="AP1044" i="2"/>
  <c r="AS1032" i="2" a="1"/>
  <c r="AS1032" i="2" s="1"/>
  <c r="AW1032" i="2" s="1"/>
  <c r="AR1032" i="2"/>
  <c r="AT1032" i="2" s="1"/>
  <c r="AP1032" i="2"/>
  <c r="AS1020" i="2" a="1"/>
  <c r="AS1020" i="2" s="1"/>
  <c r="AW1020" i="2" s="1"/>
  <c r="AR1020" i="2"/>
  <c r="AT1020" i="2" s="1"/>
  <c r="AP1020" i="2"/>
  <c r="AR1008" i="2"/>
  <c r="AT1008" i="2" s="1"/>
  <c r="AS1008" i="2" a="1"/>
  <c r="AS1008" i="2" s="1"/>
  <c r="AW1008" i="2" s="1"/>
  <c r="AP1008" i="2"/>
  <c r="AS996" i="2" a="1"/>
  <c r="AS996" i="2" s="1"/>
  <c r="AW996" i="2" s="1"/>
  <c r="AR996" i="2"/>
  <c r="AT996" i="2" s="1"/>
  <c r="AP996" i="2"/>
  <c r="AS984" i="2" a="1"/>
  <c r="AS984" i="2" s="1"/>
  <c r="AW984" i="2" s="1"/>
  <c r="AR984" i="2"/>
  <c r="AT984" i="2" s="1"/>
  <c r="AP984" i="2"/>
  <c r="AS972" i="2" a="1"/>
  <c r="AS972" i="2" s="1"/>
  <c r="AW972" i="2" s="1"/>
  <c r="AR972" i="2"/>
  <c r="AT972" i="2" s="1"/>
  <c r="AP972" i="2"/>
  <c r="AS960" i="2" a="1"/>
  <c r="AS960" i="2" s="1"/>
  <c r="AW960" i="2" s="1"/>
  <c r="AR960" i="2"/>
  <c r="AT960" i="2" s="1"/>
  <c r="AP960" i="2"/>
  <c r="AS948" i="2" a="1"/>
  <c r="AS948" i="2" s="1"/>
  <c r="AW948" i="2" s="1"/>
  <c r="AR948" i="2"/>
  <c r="AT948" i="2" s="1"/>
  <c r="AP948" i="2"/>
  <c r="AR936" i="2"/>
  <c r="AT936" i="2" s="1"/>
  <c r="AS936" i="2" a="1"/>
  <c r="AS936" i="2" s="1"/>
  <c r="AW936" i="2" s="1"/>
  <c r="AP936" i="2"/>
  <c r="AS924" i="2" a="1"/>
  <c r="AS924" i="2" s="1"/>
  <c r="AW924" i="2" s="1"/>
  <c r="AR924" i="2"/>
  <c r="AT924" i="2" s="1"/>
  <c r="AP924" i="2"/>
  <c r="AS912" i="2" a="1"/>
  <c r="AS912" i="2" s="1"/>
  <c r="AW912" i="2" s="1"/>
  <c r="AR912" i="2"/>
  <c r="AT912" i="2" s="1"/>
  <c r="AP912" i="2"/>
  <c r="AS900" i="2" a="1"/>
  <c r="AS900" i="2" s="1"/>
  <c r="AW900" i="2" s="1"/>
  <c r="AR900" i="2"/>
  <c r="AT900" i="2" s="1"/>
  <c r="AP900" i="2"/>
  <c r="AS888" i="2" a="1"/>
  <c r="AS888" i="2" s="1"/>
  <c r="AW888" i="2" s="1"/>
  <c r="AR888" i="2"/>
  <c r="AT888" i="2" s="1"/>
  <c r="AP888" i="2"/>
  <c r="AS876" i="2" a="1"/>
  <c r="AS876" i="2" s="1"/>
  <c r="AW876" i="2" s="1"/>
  <c r="AR876" i="2"/>
  <c r="AT876" i="2" s="1"/>
  <c r="AP876" i="2"/>
  <c r="AS864" i="2" a="1"/>
  <c r="AS864" i="2" s="1"/>
  <c r="AW864" i="2" s="1"/>
  <c r="AR864" i="2"/>
  <c r="AT864" i="2" s="1"/>
  <c r="AP864" i="2"/>
  <c r="AS852" i="2" a="1"/>
  <c r="AS852" i="2" s="1"/>
  <c r="AW852" i="2" s="1"/>
  <c r="AR852" i="2"/>
  <c r="AT852" i="2" s="1"/>
  <c r="AP852" i="2"/>
  <c r="AS840" i="2" a="1"/>
  <c r="AS840" i="2" s="1"/>
  <c r="AW840" i="2" s="1"/>
  <c r="AR840" i="2"/>
  <c r="AT840" i="2" s="1"/>
  <c r="AP840" i="2"/>
  <c r="AS828" i="2" a="1"/>
  <c r="AS828" i="2" s="1"/>
  <c r="AW828" i="2" s="1"/>
  <c r="AR828" i="2"/>
  <c r="AT828" i="2" s="1"/>
  <c r="AP828" i="2"/>
  <c r="AS816" i="2" a="1"/>
  <c r="AS816" i="2" s="1"/>
  <c r="AW816" i="2" s="1"/>
  <c r="AR816" i="2"/>
  <c r="AT816" i="2" s="1"/>
  <c r="AP816" i="2"/>
  <c r="AS804" i="2" a="1"/>
  <c r="AS804" i="2" s="1"/>
  <c r="AW804" i="2" s="1"/>
  <c r="AR804" i="2"/>
  <c r="AT804" i="2" s="1"/>
  <c r="AP804" i="2"/>
  <c r="AS792" i="2" a="1"/>
  <c r="AS792" i="2" s="1"/>
  <c r="AW792" i="2" s="1"/>
  <c r="AR792" i="2"/>
  <c r="AT792" i="2" s="1"/>
  <c r="AP792" i="2"/>
  <c r="AS780" i="2" a="1"/>
  <c r="AS780" i="2" s="1"/>
  <c r="AW780" i="2" s="1"/>
  <c r="AR780" i="2"/>
  <c r="AT780" i="2" s="1"/>
  <c r="AP780" i="2"/>
  <c r="AS768" i="2" a="1"/>
  <c r="AS768" i="2" s="1"/>
  <c r="AW768" i="2" s="1"/>
  <c r="AR768" i="2"/>
  <c r="AT768" i="2" s="1"/>
  <c r="AP768" i="2"/>
  <c r="AS756" i="2" a="1"/>
  <c r="AS756" i="2" s="1"/>
  <c r="AW756" i="2" s="1"/>
  <c r="AR756" i="2"/>
  <c r="AT756" i="2" s="1"/>
  <c r="AP756" i="2"/>
  <c r="AS744" i="2" a="1"/>
  <c r="AS744" i="2" s="1"/>
  <c r="AW744" i="2" s="1"/>
  <c r="AR744" i="2"/>
  <c r="AT744" i="2" s="1"/>
  <c r="AP744" i="2"/>
  <c r="AS732" i="2" a="1"/>
  <c r="AS732" i="2" s="1"/>
  <c r="AW732" i="2" s="1"/>
  <c r="AR732" i="2"/>
  <c r="AT732" i="2" s="1"/>
  <c r="AP732" i="2"/>
  <c r="AS720" i="2" a="1"/>
  <c r="AS720" i="2" s="1"/>
  <c r="AW720" i="2" s="1"/>
  <c r="AR720" i="2"/>
  <c r="AT720" i="2" s="1"/>
  <c r="AP720" i="2"/>
  <c r="AS708" i="2" a="1"/>
  <c r="AS708" i="2" s="1"/>
  <c r="AW708" i="2" s="1"/>
  <c r="AR708" i="2"/>
  <c r="AT708" i="2" s="1"/>
  <c r="AP708" i="2"/>
  <c r="AS696" i="2" a="1"/>
  <c r="AS696" i="2" s="1"/>
  <c r="AW696" i="2" s="1"/>
  <c r="AR696" i="2"/>
  <c r="AT696" i="2" s="1"/>
  <c r="AP696" i="2"/>
  <c r="AS684" i="2" a="1"/>
  <c r="AS684" i="2" s="1"/>
  <c r="AW684" i="2" s="1"/>
  <c r="AR684" i="2"/>
  <c r="AT684" i="2" s="1"/>
  <c r="AP684" i="2"/>
  <c r="AS672" i="2" a="1"/>
  <c r="AS672" i="2" s="1"/>
  <c r="AW672" i="2" s="1"/>
  <c r="AR672" i="2"/>
  <c r="AT672" i="2" s="1"/>
  <c r="AP672" i="2"/>
  <c r="AS660" i="2" a="1"/>
  <c r="AS660" i="2" s="1"/>
  <c r="AW660" i="2" s="1"/>
  <c r="AR660" i="2"/>
  <c r="AT660" i="2" s="1"/>
  <c r="AP660" i="2"/>
  <c r="AS648" i="2" a="1"/>
  <c r="AS648" i="2" s="1"/>
  <c r="AW648" i="2" s="1"/>
  <c r="AR648" i="2"/>
  <c r="AT648" i="2" s="1"/>
  <c r="AP648" i="2"/>
  <c r="AS636" i="2" a="1"/>
  <c r="AS636" i="2" s="1"/>
  <c r="AW636" i="2" s="1"/>
  <c r="AR636" i="2"/>
  <c r="AT636" i="2" s="1"/>
  <c r="AP636" i="2"/>
  <c r="AS624" i="2" a="1"/>
  <c r="AS624" i="2" s="1"/>
  <c r="AW624" i="2" s="1"/>
  <c r="AR624" i="2"/>
  <c r="AT624" i="2" s="1"/>
  <c r="AP624" i="2"/>
  <c r="AS612" i="2" a="1"/>
  <c r="AS612" i="2" s="1"/>
  <c r="AW612" i="2" s="1"/>
  <c r="AR612" i="2"/>
  <c r="AT612" i="2" s="1"/>
  <c r="AP612" i="2"/>
  <c r="AS600" i="2" a="1"/>
  <c r="AS600" i="2" s="1"/>
  <c r="AW600" i="2" s="1"/>
  <c r="AR600" i="2"/>
  <c r="AT600" i="2" s="1"/>
  <c r="AP600" i="2"/>
  <c r="AS588" i="2" a="1"/>
  <c r="AS588" i="2" s="1"/>
  <c r="AW588" i="2" s="1"/>
  <c r="AR588" i="2"/>
  <c r="AT588" i="2" s="1"/>
  <c r="AP588" i="2"/>
  <c r="AS576" i="2" a="1"/>
  <c r="AS576" i="2" s="1"/>
  <c r="AW576" i="2" s="1"/>
  <c r="AR576" i="2"/>
  <c r="AT576" i="2" s="1"/>
  <c r="AP576" i="2"/>
  <c r="AS564" i="2" a="1"/>
  <c r="AS564" i="2" s="1"/>
  <c r="AW564" i="2" s="1"/>
  <c r="AR564" i="2"/>
  <c r="AT564" i="2" s="1"/>
  <c r="AP564" i="2"/>
  <c r="AS552" i="2" a="1"/>
  <c r="AS552" i="2" s="1"/>
  <c r="AW552" i="2" s="1"/>
  <c r="AR552" i="2"/>
  <c r="AT552" i="2" s="1"/>
  <c r="AP552" i="2"/>
  <c r="AS540" i="2" a="1"/>
  <c r="AS540" i="2" s="1"/>
  <c r="AW540" i="2" s="1"/>
  <c r="AR540" i="2"/>
  <c r="AT540" i="2" s="1"/>
  <c r="AP540" i="2"/>
  <c r="AS528" i="2" a="1"/>
  <c r="AS528" i="2" s="1"/>
  <c r="AW528" i="2" s="1"/>
  <c r="AR528" i="2"/>
  <c r="AT528" i="2" s="1"/>
  <c r="AP528" i="2"/>
  <c r="AS516" i="2" a="1"/>
  <c r="AS516" i="2" s="1"/>
  <c r="AW516" i="2" s="1"/>
  <c r="AR516" i="2"/>
  <c r="AT516" i="2" s="1"/>
  <c r="AP516" i="2"/>
  <c r="AS504" i="2" a="1"/>
  <c r="AS504" i="2" s="1"/>
  <c r="AW504" i="2" s="1"/>
  <c r="AR504" i="2"/>
  <c r="AT504" i="2" s="1"/>
  <c r="AP504" i="2"/>
  <c r="AR492" i="2"/>
  <c r="AT492" i="2" s="1"/>
  <c r="AS492" i="2" a="1"/>
  <c r="AS492" i="2" s="1"/>
  <c r="AW492" i="2" s="1"/>
  <c r="AP492" i="2"/>
  <c r="AR480" i="2"/>
  <c r="AT480" i="2" s="1"/>
  <c r="AS480" i="2" a="1"/>
  <c r="AS480" i="2" s="1"/>
  <c r="AW480" i="2" s="1"/>
  <c r="AP480" i="2"/>
  <c r="AS468" i="2" a="1"/>
  <c r="AS468" i="2" s="1"/>
  <c r="AW468" i="2" s="1"/>
  <c r="AR468" i="2"/>
  <c r="AT468" i="2" s="1"/>
  <c r="AP468" i="2"/>
  <c r="AR456" i="2"/>
  <c r="AT456" i="2" s="1"/>
  <c r="AS456" i="2" a="1"/>
  <c r="AS456" i="2" s="1"/>
  <c r="AW456" i="2" s="1"/>
  <c r="AP456" i="2"/>
  <c r="AP444" i="2"/>
  <c r="AR444" i="2"/>
  <c r="AT444" i="2" s="1"/>
  <c r="AS444" i="2" a="1"/>
  <c r="AS444" i="2" s="1"/>
  <c r="AW444" i="2" s="1"/>
  <c r="AS432" i="2" a="1"/>
  <c r="AS432" i="2" s="1"/>
  <c r="AW432" i="2" s="1"/>
  <c r="AR432" i="2"/>
  <c r="AT432" i="2" s="1"/>
  <c r="AP432" i="2"/>
  <c r="AR420" i="2"/>
  <c r="AT420" i="2" s="1"/>
  <c r="AP420" i="2"/>
  <c r="AS420" i="2" a="1"/>
  <c r="AS420" i="2" s="1"/>
  <c r="AW420" i="2" s="1"/>
  <c r="AS408" i="2" a="1"/>
  <c r="AS408" i="2" s="1"/>
  <c r="AW408" i="2" s="1"/>
  <c r="AR408" i="2"/>
  <c r="AT408" i="2" s="1"/>
  <c r="AP408" i="2"/>
  <c r="AS396" i="2" a="1"/>
  <c r="AS396" i="2" s="1"/>
  <c r="AW396" i="2" s="1"/>
  <c r="AR396" i="2"/>
  <c r="AT396" i="2" s="1"/>
  <c r="AP396" i="2"/>
  <c r="AS384" i="2" a="1"/>
  <c r="AS384" i="2" s="1"/>
  <c r="AW384" i="2" s="1"/>
  <c r="AR384" i="2"/>
  <c r="AT384" i="2" s="1"/>
  <c r="AP384" i="2"/>
  <c r="AS372" i="2" a="1"/>
  <c r="AS372" i="2" s="1"/>
  <c r="AW372" i="2" s="1"/>
  <c r="AR372" i="2"/>
  <c r="AT372" i="2" s="1"/>
  <c r="AP372" i="2"/>
  <c r="AR360" i="2"/>
  <c r="AT360" i="2" s="1"/>
  <c r="AS360" i="2" a="1"/>
  <c r="AS360" i="2" s="1"/>
  <c r="AW360" i="2" s="1"/>
  <c r="AP360" i="2"/>
  <c r="AS348" i="2" a="1"/>
  <c r="AS348" i="2" s="1"/>
  <c r="AW348" i="2" s="1"/>
  <c r="AR348" i="2"/>
  <c r="AT348" i="2" s="1"/>
  <c r="AP348" i="2"/>
  <c r="AS336" i="2" a="1"/>
  <c r="AS336" i="2" s="1"/>
  <c r="AW336" i="2" s="1"/>
  <c r="AR336" i="2"/>
  <c r="AT336" i="2" s="1"/>
  <c r="AP336" i="2"/>
  <c r="AS324" i="2" a="1"/>
  <c r="AS324" i="2" s="1"/>
  <c r="AW324" i="2" s="1"/>
  <c r="AR324" i="2"/>
  <c r="AT324" i="2" s="1"/>
  <c r="AP324" i="2"/>
  <c r="AS312" i="2" a="1"/>
  <c r="AS312" i="2" s="1"/>
  <c r="AW312" i="2" s="1"/>
  <c r="AR312" i="2"/>
  <c r="AT312" i="2" s="1"/>
  <c r="AP312" i="2"/>
  <c r="AS300" i="2" a="1"/>
  <c r="AS300" i="2" s="1"/>
  <c r="AW300" i="2" s="1"/>
  <c r="AR300" i="2"/>
  <c r="AT300" i="2" s="1"/>
  <c r="AP300" i="2"/>
  <c r="AS288" i="2" a="1"/>
  <c r="AS288" i="2" s="1"/>
  <c r="AW288" i="2" s="1"/>
  <c r="AR288" i="2"/>
  <c r="AT288" i="2" s="1"/>
  <c r="AP288" i="2"/>
  <c r="AS265" i="2" a="1"/>
  <c r="AS265" i="2" s="1"/>
  <c r="AW265" i="2" s="1"/>
  <c r="AR265" i="2"/>
  <c r="AT265" i="2" s="1"/>
  <c r="AP265" i="2"/>
  <c r="AS253" i="2" a="1"/>
  <c r="AS253" i="2" s="1"/>
  <c r="AW253" i="2" s="1"/>
  <c r="AR253" i="2"/>
  <c r="AT253" i="2" s="1"/>
  <c r="AP253" i="2"/>
  <c r="AR241" i="2"/>
  <c r="AT241" i="2" s="1"/>
  <c r="AP241" i="2"/>
  <c r="AS241" i="2" a="1"/>
  <c r="AS241" i="2" s="1"/>
  <c r="AW241" i="2" s="1"/>
  <c r="AS229" i="2" a="1"/>
  <c r="AS229" i="2" s="1"/>
  <c r="AW229" i="2" s="1"/>
  <c r="AR229" i="2"/>
  <c r="AT229" i="2" s="1"/>
  <c r="AP229" i="2"/>
  <c r="AS217" i="2" a="1"/>
  <c r="AS217" i="2" s="1"/>
  <c r="AW217" i="2" s="1"/>
  <c r="AR217" i="2"/>
  <c r="AT217" i="2" s="1"/>
  <c r="AP217" i="2"/>
  <c r="AS205" i="2" a="1"/>
  <c r="AS205" i="2" s="1"/>
  <c r="AW205" i="2" s="1"/>
  <c r="AR205" i="2"/>
  <c r="AT205" i="2" s="1"/>
  <c r="AP205" i="2"/>
  <c r="AR193" i="2"/>
  <c r="AT193" i="2" s="1"/>
  <c r="AS193" i="2" a="1"/>
  <c r="AS193" i="2" s="1"/>
  <c r="AW193" i="2" s="1"/>
  <c r="AP193" i="2"/>
  <c r="AS181" i="2" a="1"/>
  <c r="AS181" i="2" s="1"/>
  <c r="AW181" i="2" s="1"/>
  <c r="AR181" i="2"/>
  <c r="AT181" i="2" s="1"/>
  <c r="AP181" i="2"/>
  <c r="AS169" i="2" a="1"/>
  <c r="AS169" i="2" s="1"/>
  <c r="AW169" i="2" s="1"/>
  <c r="AR169" i="2"/>
  <c r="AT169" i="2" s="1"/>
  <c r="AP169" i="2"/>
  <c r="AR157" i="2"/>
  <c r="AT157" i="2" s="1"/>
  <c r="AS157" i="2" a="1"/>
  <c r="AS157" i="2" s="1"/>
  <c r="AW157" i="2" s="1"/>
  <c r="AP157" i="2"/>
  <c r="AS145" i="2" a="1"/>
  <c r="AS145" i="2" s="1"/>
  <c r="AW145" i="2" s="1"/>
  <c r="AR145" i="2"/>
  <c r="AT145" i="2" s="1"/>
  <c r="AP145" i="2"/>
  <c r="AS133" i="2" a="1"/>
  <c r="AS133" i="2" s="1"/>
  <c r="AW133" i="2" s="1"/>
  <c r="AR133" i="2"/>
  <c r="AT133" i="2" s="1"/>
  <c r="AP133" i="2"/>
  <c r="AS121" i="2" a="1"/>
  <c r="AS121" i="2" s="1"/>
  <c r="AW121" i="2" s="1"/>
  <c r="AR121" i="2"/>
  <c r="AT121" i="2" s="1"/>
  <c r="AP121" i="2"/>
  <c r="AS109" i="2" a="1"/>
  <c r="AS109" i="2" s="1"/>
  <c r="AW109" i="2" s="1"/>
  <c r="AR109" i="2"/>
  <c r="AT109" i="2" s="1"/>
  <c r="AP109" i="2"/>
  <c r="AS97" i="2" a="1"/>
  <c r="AS97" i="2" s="1"/>
  <c r="AW97" i="2" s="1"/>
  <c r="AR97" i="2"/>
  <c r="AT97" i="2" s="1"/>
  <c r="AP97" i="2"/>
  <c r="AS85" i="2" a="1"/>
  <c r="AS85" i="2" s="1"/>
  <c r="AW85" i="2" s="1"/>
  <c r="AR85" i="2"/>
  <c r="AT85" i="2" s="1"/>
  <c r="AP85" i="2"/>
  <c r="AS73" i="2" a="1"/>
  <c r="AS73" i="2" s="1"/>
  <c r="AW73" i="2" s="1"/>
  <c r="AR73" i="2"/>
  <c r="AT73" i="2" s="1"/>
  <c r="AP73" i="2"/>
  <c r="AS61" i="2" a="1"/>
  <c r="AS61" i="2" s="1"/>
  <c r="AW61" i="2" s="1"/>
  <c r="AR61" i="2"/>
  <c r="AT61" i="2" s="1"/>
  <c r="AP61" i="2"/>
  <c r="AS49" i="2" a="1"/>
  <c r="AS49" i="2" s="1"/>
  <c r="AW49" i="2" s="1"/>
  <c r="AR49" i="2"/>
  <c r="AT49" i="2" s="1"/>
  <c r="AP49" i="2"/>
  <c r="AS37" i="2" a="1"/>
  <c r="AS37" i="2" s="1"/>
  <c r="AW37" i="2" s="1"/>
  <c r="AR37" i="2"/>
  <c r="AT37" i="2" s="1"/>
  <c r="AP37" i="2"/>
  <c r="AS25" i="2" a="1"/>
  <c r="AS25" i="2" s="1"/>
  <c r="AW25" i="2" s="1"/>
  <c r="AR25" i="2"/>
  <c r="AT25" i="2" s="1"/>
  <c r="AP25" i="2"/>
  <c r="AS13" i="2" a="1"/>
  <c r="AS13" i="2" s="1"/>
  <c r="AW13" i="2" s="1"/>
  <c r="AR13" i="2"/>
  <c r="AT13" i="2" s="1"/>
  <c r="AP13" i="2"/>
  <c r="AU1094" i="2"/>
  <c r="AV1094" i="2"/>
  <c r="AU1082" i="2"/>
  <c r="AV1082" i="2"/>
  <c r="AU1070" i="2"/>
  <c r="AV1070" i="2"/>
  <c r="AU1058" i="2"/>
  <c r="AV1058" i="2"/>
  <c r="AU1046" i="2"/>
  <c r="AV1046" i="2"/>
  <c r="AU1034" i="2"/>
  <c r="AV1034" i="2"/>
  <c r="AU1022" i="2"/>
  <c r="AV1022" i="2"/>
  <c r="AU1010" i="2"/>
  <c r="AV1010" i="2"/>
  <c r="AU998" i="2"/>
  <c r="AV998" i="2"/>
  <c r="AU986" i="2"/>
  <c r="AV986" i="2"/>
  <c r="AU974" i="2"/>
  <c r="AV974" i="2"/>
  <c r="AU962" i="2"/>
  <c r="AV962" i="2"/>
  <c r="AU950" i="2"/>
  <c r="AV950" i="2"/>
  <c r="AU938" i="2"/>
  <c r="AV938" i="2"/>
  <c r="AU926" i="2"/>
  <c r="AV926" i="2"/>
  <c r="AU914" i="2"/>
  <c r="AV914" i="2"/>
  <c r="AU902" i="2"/>
  <c r="AV902" i="2"/>
  <c r="AU890" i="2"/>
  <c r="AV890" i="2"/>
  <c r="AU878" i="2"/>
  <c r="AV878" i="2"/>
  <c r="AU866" i="2"/>
  <c r="AV866" i="2"/>
  <c r="AU854" i="2"/>
  <c r="AV854" i="2"/>
  <c r="AU842" i="2"/>
  <c r="AV842" i="2"/>
  <c r="AV830" i="2"/>
  <c r="AU830" i="2"/>
  <c r="AU818" i="2"/>
  <c r="AV818" i="2"/>
  <c r="AV806" i="2"/>
  <c r="AU806" i="2"/>
  <c r="AU794" i="2"/>
  <c r="AV794" i="2"/>
  <c r="AV782" i="2"/>
  <c r="AU782" i="2"/>
  <c r="AV770" i="2"/>
  <c r="AU770" i="2"/>
  <c r="AV758" i="2"/>
  <c r="AU758" i="2"/>
  <c r="AV746" i="2"/>
  <c r="AU746" i="2"/>
  <c r="AV734" i="2"/>
  <c r="AU734" i="2"/>
  <c r="AV722" i="2"/>
  <c r="AU722" i="2"/>
  <c r="AU710" i="2"/>
  <c r="AV710" i="2"/>
  <c r="AV698" i="2"/>
  <c r="AU698" i="2"/>
  <c r="AV686" i="2"/>
  <c r="AU686" i="2"/>
  <c r="AV674" i="2"/>
  <c r="AU674" i="2"/>
  <c r="AV662" i="2"/>
  <c r="AU662" i="2"/>
  <c r="AV650" i="2"/>
  <c r="AU650" i="2"/>
  <c r="AV638" i="2"/>
  <c r="AU638" i="2"/>
  <c r="AV626" i="2"/>
  <c r="AU626" i="2"/>
  <c r="AU614" i="2"/>
  <c r="AV614" i="2"/>
  <c r="AV602" i="2"/>
  <c r="AU602" i="2"/>
  <c r="AV590" i="2"/>
  <c r="AU590" i="2"/>
  <c r="AV578" i="2"/>
  <c r="AU578" i="2"/>
  <c r="AV566" i="2"/>
  <c r="AU566" i="2"/>
  <c r="AU554" i="2"/>
  <c r="AV554" i="2"/>
  <c r="AV542" i="2"/>
  <c r="AU542" i="2"/>
  <c r="AV530" i="2"/>
  <c r="AU530" i="2"/>
  <c r="AV518" i="2"/>
  <c r="AU518" i="2"/>
  <c r="AV506" i="2"/>
  <c r="AU506" i="2"/>
  <c r="AV494" i="2"/>
  <c r="AU494" i="2"/>
  <c r="AV482" i="2"/>
  <c r="AU482" i="2"/>
  <c r="AV470" i="2"/>
  <c r="AU470" i="2"/>
  <c r="AV458" i="2"/>
  <c r="AU458" i="2"/>
  <c r="AV446" i="2"/>
  <c r="AU446" i="2"/>
  <c r="AV434" i="2"/>
  <c r="AU434" i="2"/>
  <c r="AU422" i="2"/>
  <c r="AV422" i="2"/>
  <c r="AV410" i="2"/>
  <c r="AU410" i="2"/>
  <c r="AV398" i="2"/>
  <c r="AU398" i="2"/>
  <c r="AU386" i="2"/>
  <c r="AV386" i="2"/>
  <c r="AU374" i="2"/>
  <c r="AV374" i="2"/>
  <c r="AU362" i="2"/>
  <c r="AV362" i="2"/>
  <c r="AU350" i="2"/>
  <c r="AV350" i="2"/>
  <c r="AV338" i="2"/>
  <c r="AU338" i="2"/>
  <c r="AV326" i="2"/>
  <c r="AU326" i="2"/>
  <c r="AV314" i="2"/>
  <c r="AU314" i="2"/>
  <c r="AU302" i="2"/>
  <c r="AV302" i="2"/>
  <c r="AV290" i="2"/>
  <c r="AU290" i="2"/>
  <c r="AV278" i="2"/>
  <c r="AU278" i="2"/>
  <c r="AV267" i="2"/>
  <c r="AU267" i="2"/>
  <c r="AU255" i="2"/>
  <c r="AV255" i="2"/>
  <c r="AV243" i="2"/>
  <c r="AU243" i="2"/>
  <c r="AV231" i="2"/>
  <c r="AU231" i="2"/>
  <c r="AV219" i="2"/>
  <c r="AU219" i="2"/>
  <c r="AU207" i="2"/>
  <c r="AV207" i="2"/>
  <c r="AV195" i="2"/>
  <c r="AU195" i="2"/>
  <c r="AV183" i="2"/>
  <c r="AU183" i="2"/>
  <c r="AV171" i="2"/>
  <c r="AU171" i="2"/>
  <c r="AU159" i="2"/>
  <c r="AV159" i="2"/>
  <c r="AV147" i="2"/>
  <c r="AU147" i="2"/>
  <c r="AV135" i="2"/>
  <c r="AU135" i="2"/>
  <c r="AV123" i="2"/>
  <c r="AU123" i="2"/>
  <c r="AU111" i="2"/>
  <c r="AV111" i="2"/>
  <c r="AV99" i="2"/>
  <c r="AU99" i="2"/>
  <c r="AV87" i="2"/>
  <c r="AU87" i="2"/>
  <c r="AV75" i="2"/>
  <c r="AU75" i="2"/>
  <c r="AV63" i="2"/>
  <c r="AU63" i="2"/>
  <c r="AV51" i="2"/>
  <c r="AU51" i="2"/>
  <c r="AV39" i="2"/>
  <c r="AU39" i="2"/>
  <c r="AV27" i="2"/>
  <c r="AU27" i="2"/>
  <c r="AV15" i="2"/>
  <c r="AU15" i="2"/>
  <c r="AV3" i="2"/>
  <c r="AU3" i="2"/>
  <c r="AQ376" i="2"/>
  <c r="AQ364" i="2"/>
  <c r="AQ352" i="2"/>
  <c r="AQ340" i="2"/>
  <c r="AQ328" i="2"/>
  <c r="AQ316" i="2"/>
  <c r="AQ304" i="2"/>
  <c r="AQ292" i="2"/>
  <c r="AQ280" i="2"/>
  <c r="AQ269" i="2"/>
  <c r="AQ257" i="2"/>
  <c r="AQ245" i="2"/>
  <c r="AQ233" i="2"/>
  <c r="AQ221" i="2"/>
  <c r="AQ209" i="2"/>
  <c r="AQ197" i="2"/>
  <c r="AQ185" i="2"/>
  <c r="AQ173" i="2"/>
  <c r="AQ161" i="2"/>
  <c r="AQ149" i="2"/>
  <c r="AQ137" i="2"/>
  <c r="AQ125" i="2"/>
  <c r="AQ113" i="2"/>
  <c r="AQ101" i="2"/>
  <c r="AQ89" i="2"/>
  <c r="AQ77" i="2"/>
  <c r="AQ65" i="2"/>
  <c r="AQ53" i="2"/>
  <c r="AQ41" i="2"/>
  <c r="AQ29" i="2"/>
  <c r="AQ17" i="2"/>
  <c r="AQ5" i="2"/>
  <c r="AS1091" i="2" a="1"/>
  <c r="AS1091" i="2" s="1"/>
  <c r="AW1091" i="2" s="1"/>
  <c r="AR1091" i="2"/>
  <c r="AT1091" i="2" s="1"/>
  <c r="AP1091" i="2"/>
  <c r="AS1079" i="2" a="1"/>
  <c r="AS1079" i="2" s="1"/>
  <c r="AW1079" i="2" s="1"/>
  <c r="AR1079" i="2"/>
  <c r="AT1079" i="2" s="1"/>
  <c r="AP1079" i="2"/>
  <c r="AS1067" i="2" a="1"/>
  <c r="AS1067" i="2" s="1"/>
  <c r="AW1067" i="2" s="1"/>
  <c r="AR1067" i="2"/>
  <c r="AT1067" i="2" s="1"/>
  <c r="AP1067" i="2"/>
  <c r="AS1055" i="2" a="1"/>
  <c r="AS1055" i="2" s="1"/>
  <c r="AW1055" i="2" s="1"/>
  <c r="AR1055" i="2"/>
  <c r="AT1055" i="2" s="1"/>
  <c r="AP1055" i="2"/>
  <c r="AS1043" i="2" a="1"/>
  <c r="AS1043" i="2" s="1"/>
  <c r="AW1043" i="2" s="1"/>
  <c r="AR1043" i="2"/>
  <c r="AT1043" i="2" s="1"/>
  <c r="AP1043" i="2"/>
  <c r="AS1031" i="2" a="1"/>
  <c r="AS1031" i="2" s="1"/>
  <c r="AW1031" i="2" s="1"/>
  <c r="AR1031" i="2"/>
  <c r="AT1031" i="2" s="1"/>
  <c r="AP1031" i="2"/>
  <c r="AS1019" i="2" a="1"/>
  <c r="AS1019" i="2" s="1"/>
  <c r="AW1019" i="2" s="1"/>
  <c r="AR1019" i="2"/>
  <c r="AT1019" i="2" s="1"/>
  <c r="AP1019" i="2"/>
  <c r="AS1007" i="2" a="1"/>
  <c r="AS1007" i="2" s="1"/>
  <c r="AW1007" i="2" s="1"/>
  <c r="AR1007" i="2"/>
  <c r="AT1007" i="2" s="1"/>
  <c r="AP1007" i="2"/>
  <c r="AS995" i="2" a="1"/>
  <c r="AS995" i="2" s="1"/>
  <c r="AW995" i="2" s="1"/>
  <c r="AR995" i="2"/>
  <c r="AT995" i="2" s="1"/>
  <c r="AP995" i="2"/>
  <c r="AS983" i="2" a="1"/>
  <c r="AS983" i="2" s="1"/>
  <c r="AW983" i="2" s="1"/>
  <c r="AR983" i="2"/>
  <c r="AT983" i="2" s="1"/>
  <c r="AP983" i="2"/>
  <c r="AR971" i="2"/>
  <c r="AT971" i="2" s="1"/>
  <c r="AS971" i="2" a="1"/>
  <c r="AS971" i="2" s="1"/>
  <c r="AW971" i="2" s="1"/>
  <c r="AP971" i="2"/>
  <c r="AS959" i="2" a="1"/>
  <c r="AS959" i="2" s="1"/>
  <c r="AW959" i="2" s="1"/>
  <c r="AR959" i="2"/>
  <c r="AT959" i="2" s="1"/>
  <c r="AP959" i="2"/>
  <c r="AR947" i="2"/>
  <c r="AT947" i="2" s="1"/>
  <c r="AS947" i="2" a="1"/>
  <c r="AS947" i="2" s="1"/>
  <c r="AW947" i="2" s="1"/>
  <c r="AP947" i="2"/>
  <c r="AS935" i="2" a="1"/>
  <c r="AS935" i="2" s="1"/>
  <c r="AW935" i="2" s="1"/>
  <c r="AR935" i="2"/>
  <c r="AT935" i="2" s="1"/>
  <c r="AP935" i="2"/>
  <c r="AS923" i="2" a="1"/>
  <c r="AS923" i="2" s="1"/>
  <c r="AW923" i="2" s="1"/>
  <c r="AR923" i="2"/>
  <c r="AT923" i="2" s="1"/>
  <c r="AP923" i="2"/>
  <c r="AR911" i="2"/>
  <c r="AT911" i="2" s="1"/>
  <c r="AS911" i="2" a="1"/>
  <c r="AS911" i="2" s="1"/>
  <c r="AW911" i="2" s="1"/>
  <c r="AP911" i="2"/>
  <c r="AS899" i="2" a="1"/>
  <c r="AS899" i="2" s="1"/>
  <c r="AW899" i="2" s="1"/>
  <c r="AR899" i="2"/>
  <c r="AT899" i="2" s="1"/>
  <c r="AP899" i="2"/>
  <c r="AS887" i="2" a="1"/>
  <c r="AS887" i="2" s="1"/>
  <c r="AW887" i="2" s="1"/>
  <c r="AR887" i="2"/>
  <c r="AT887" i="2" s="1"/>
  <c r="AP887" i="2"/>
  <c r="AS875" i="2" a="1"/>
  <c r="AS875" i="2" s="1"/>
  <c r="AW875" i="2" s="1"/>
  <c r="AR875" i="2"/>
  <c r="AT875" i="2" s="1"/>
  <c r="AP875" i="2"/>
  <c r="AS863" i="2" a="1"/>
  <c r="AS863" i="2" s="1"/>
  <c r="AW863" i="2" s="1"/>
  <c r="AR863" i="2"/>
  <c r="AT863" i="2" s="1"/>
  <c r="AP863" i="2"/>
  <c r="AR851" i="2"/>
  <c r="AT851" i="2" s="1"/>
  <c r="AS851" i="2" a="1"/>
  <c r="AS851" i="2" s="1"/>
  <c r="AW851" i="2" s="1"/>
  <c r="AP851" i="2"/>
  <c r="AR839" i="2"/>
  <c r="AT839" i="2" s="1"/>
  <c r="AS839" i="2" a="1"/>
  <c r="AS839" i="2" s="1"/>
  <c r="AW839" i="2" s="1"/>
  <c r="AP839" i="2"/>
  <c r="AS827" i="2" a="1"/>
  <c r="AS827" i="2" s="1"/>
  <c r="AW827" i="2" s="1"/>
  <c r="AR827" i="2"/>
  <c r="AT827" i="2" s="1"/>
  <c r="AP827" i="2"/>
  <c r="AR815" i="2"/>
  <c r="AT815" i="2" s="1"/>
  <c r="AS815" i="2" a="1"/>
  <c r="AS815" i="2" s="1"/>
  <c r="AW815" i="2" s="1"/>
  <c r="AP815" i="2"/>
  <c r="AR803" i="2"/>
  <c r="AT803" i="2" s="1"/>
  <c r="AS803" i="2" a="1"/>
  <c r="AS803" i="2" s="1"/>
  <c r="AW803" i="2" s="1"/>
  <c r="AP803" i="2"/>
  <c r="AS791" i="2" a="1"/>
  <c r="AS791" i="2" s="1"/>
  <c r="AW791" i="2" s="1"/>
  <c r="AR791" i="2"/>
  <c r="AT791" i="2" s="1"/>
  <c r="AP791" i="2"/>
  <c r="AS779" i="2" a="1"/>
  <c r="AS779" i="2" s="1"/>
  <c r="AW779" i="2" s="1"/>
  <c r="AR779" i="2"/>
  <c r="AT779" i="2" s="1"/>
  <c r="AP779" i="2"/>
  <c r="AR767" i="2"/>
  <c r="AT767" i="2" s="1"/>
  <c r="AS767" i="2" a="1"/>
  <c r="AS767" i="2" s="1"/>
  <c r="AW767" i="2" s="1"/>
  <c r="AP767" i="2"/>
  <c r="AS755" i="2" a="1"/>
  <c r="AS755" i="2" s="1"/>
  <c r="AW755" i="2" s="1"/>
  <c r="AR755" i="2"/>
  <c r="AT755" i="2" s="1"/>
  <c r="AP755" i="2"/>
  <c r="AR743" i="2"/>
  <c r="AT743" i="2" s="1"/>
  <c r="AS743" i="2" a="1"/>
  <c r="AS743" i="2" s="1"/>
  <c r="AW743" i="2" s="1"/>
  <c r="AP743" i="2"/>
  <c r="AS731" i="2" a="1"/>
  <c r="AS731" i="2" s="1"/>
  <c r="AW731" i="2" s="1"/>
  <c r="AP731" i="2"/>
  <c r="AR731" i="2"/>
  <c r="AT731" i="2" s="1"/>
  <c r="AS719" i="2" a="1"/>
  <c r="AS719" i="2" s="1"/>
  <c r="AW719" i="2" s="1"/>
  <c r="AR719" i="2"/>
  <c r="AT719" i="2" s="1"/>
  <c r="AP719" i="2"/>
  <c r="AR707" i="2"/>
  <c r="AT707" i="2" s="1"/>
  <c r="AS707" i="2" a="1"/>
  <c r="AS707" i="2" s="1"/>
  <c r="AW707" i="2" s="1"/>
  <c r="AP707" i="2"/>
  <c r="AS695" i="2" a="1"/>
  <c r="AS695" i="2" s="1"/>
  <c r="AW695" i="2" s="1"/>
  <c r="AR695" i="2"/>
  <c r="AT695" i="2" s="1"/>
  <c r="AP695" i="2"/>
  <c r="AS683" i="2" a="1"/>
  <c r="AS683" i="2" s="1"/>
  <c r="AW683" i="2" s="1"/>
  <c r="AR683" i="2"/>
  <c r="AT683" i="2" s="1"/>
  <c r="AP683" i="2"/>
  <c r="AS671" i="2" a="1"/>
  <c r="AS671" i="2" s="1"/>
  <c r="AW671" i="2" s="1"/>
  <c r="AR671" i="2"/>
  <c r="AT671" i="2" s="1"/>
  <c r="AP671" i="2"/>
  <c r="AS659" i="2" a="1"/>
  <c r="AS659" i="2" s="1"/>
  <c r="AW659" i="2" s="1"/>
  <c r="AR659" i="2"/>
  <c r="AT659" i="2" s="1"/>
  <c r="AP659" i="2"/>
  <c r="AS647" i="2" a="1"/>
  <c r="AS647" i="2" s="1"/>
  <c r="AW647" i="2" s="1"/>
  <c r="AR647" i="2"/>
  <c r="AT647" i="2" s="1"/>
  <c r="AP647" i="2"/>
  <c r="AS635" i="2" a="1"/>
  <c r="AS635" i="2" s="1"/>
  <c r="AW635" i="2" s="1"/>
  <c r="AR635" i="2"/>
  <c r="AT635" i="2" s="1"/>
  <c r="AP635" i="2"/>
  <c r="AS623" i="2" a="1"/>
  <c r="AS623" i="2" s="1"/>
  <c r="AW623" i="2" s="1"/>
  <c r="AR623" i="2"/>
  <c r="AT623" i="2" s="1"/>
  <c r="AP623" i="2"/>
  <c r="AS611" i="2" a="1"/>
  <c r="AS611" i="2" s="1"/>
  <c r="AW611" i="2" s="1"/>
  <c r="AR611" i="2"/>
  <c r="AT611" i="2" s="1"/>
  <c r="AP611" i="2"/>
  <c r="AS599" i="2" a="1"/>
  <c r="AS599" i="2" s="1"/>
  <c r="AW599" i="2" s="1"/>
  <c r="AR599" i="2"/>
  <c r="AT599" i="2" s="1"/>
  <c r="AP599" i="2"/>
  <c r="AS587" i="2" a="1"/>
  <c r="AS587" i="2" s="1"/>
  <c r="AW587" i="2" s="1"/>
  <c r="AR587" i="2"/>
  <c r="AT587" i="2" s="1"/>
  <c r="AP587" i="2"/>
  <c r="AS575" i="2" a="1"/>
  <c r="AS575" i="2" s="1"/>
  <c r="AW575" i="2" s="1"/>
  <c r="AR575" i="2"/>
  <c r="AT575" i="2" s="1"/>
  <c r="AP575" i="2"/>
  <c r="AS563" i="2" a="1"/>
  <c r="AS563" i="2" s="1"/>
  <c r="AW563" i="2" s="1"/>
  <c r="AR563" i="2"/>
  <c r="AT563" i="2" s="1"/>
  <c r="AP563" i="2"/>
  <c r="AS551" i="2" a="1"/>
  <c r="AS551" i="2" s="1"/>
  <c r="AW551" i="2" s="1"/>
  <c r="AR551" i="2"/>
  <c r="AT551" i="2" s="1"/>
  <c r="AP551" i="2"/>
  <c r="AS539" i="2" a="1"/>
  <c r="AS539" i="2" s="1"/>
  <c r="AW539" i="2" s="1"/>
  <c r="AR539" i="2"/>
  <c r="AT539" i="2" s="1"/>
  <c r="AP539" i="2"/>
  <c r="AR527" i="2"/>
  <c r="AT527" i="2" s="1"/>
  <c r="AS527" i="2" a="1"/>
  <c r="AS527" i="2" s="1"/>
  <c r="AW527" i="2" s="1"/>
  <c r="AP527" i="2"/>
  <c r="AS515" i="2" a="1"/>
  <c r="AS515" i="2" s="1"/>
  <c r="AW515" i="2" s="1"/>
  <c r="AR515" i="2"/>
  <c r="AT515" i="2" s="1"/>
  <c r="AP515" i="2"/>
  <c r="AS503" i="2" a="1"/>
  <c r="AS503" i="2" s="1"/>
  <c r="AW503" i="2" s="1"/>
  <c r="AR503" i="2"/>
  <c r="AT503" i="2" s="1"/>
  <c r="AP503" i="2"/>
  <c r="AS491" i="2" a="1"/>
  <c r="AS491" i="2" s="1"/>
  <c r="AW491" i="2" s="1"/>
  <c r="AR491" i="2"/>
  <c r="AT491" i="2" s="1"/>
  <c r="AP491" i="2"/>
  <c r="AS479" i="2" a="1"/>
  <c r="AS479" i="2" s="1"/>
  <c r="AW479" i="2" s="1"/>
  <c r="AR479" i="2"/>
  <c r="AT479" i="2" s="1"/>
  <c r="AP479" i="2"/>
  <c r="AR467" i="2"/>
  <c r="AT467" i="2" s="1"/>
  <c r="AS467" i="2" a="1"/>
  <c r="AS467" i="2" s="1"/>
  <c r="AW467" i="2" s="1"/>
  <c r="AP467" i="2"/>
  <c r="AS455" i="2" a="1"/>
  <c r="AS455" i="2" s="1"/>
  <c r="AW455" i="2" s="1"/>
  <c r="AR455" i="2"/>
  <c r="AT455" i="2" s="1"/>
  <c r="AP455" i="2"/>
  <c r="AR443" i="2"/>
  <c r="AT443" i="2" s="1"/>
  <c r="AS443" i="2" a="1"/>
  <c r="AS443" i="2" s="1"/>
  <c r="AW443" i="2" s="1"/>
  <c r="AP443" i="2"/>
  <c r="AS431" i="2" a="1"/>
  <c r="AS431" i="2" s="1"/>
  <c r="AW431" i="2" s="1"/>
  <c r="AR431" i="2"/>
  <c r="AT431" i="2" s="1"/>
  <c r="AP431" i="2"/>
  <c r="AS419" i="2" a="1"/>
  <c r="AS419" i="2" s="1"/>
  <c r="AW419" i="2" s="1"/>
  <c r="AR419" i="2"/>
  <c r="AT419" i="2" s="1"/>
  <c r="AP419" i="2"/>
  <c r="AR407" i="2"/>
  <c r="AT407" i="2" s="1"/>
  <c r="AP407" i="2"/>
  <c r="AS407" i="2" a="1"/>
  <c r="AS407" i="2" s="1"/>
  <c r="AW407" i="2" s="1"/>
  <c r="AS395" i="2" a="1"/>
  <c r="AS395" i="2" s="1"/>
  <c r="AW395" i="2" s="1"/>
  <c r="AR395" i="2"/>
  <c r="AT395" i="2" s="1"/>
  <c r="AP395" i="2"/>
  <c r="AR383" i="2"/>
  <c r="AT383" i="2" s="1"/>
  <c r="AS383" i="2" a="1"/>
  <c r="AS383" i="2" s="1"/>
  <c r="AW383" i="2" s="1"/>
  <c r="AP383" i="2"/>
  <c r="AS371" i="2" a="1"/>
  <c r="AS371" i="2" s="1"/>
  <c r="AW371" i="2" s="1"/>
  <c r="AR371" i="2"/>
  <c r="AT371" i="2" s="1"/>
  <c r="AP371" i="2"/>
  <c r="AS359" i="2" a="1"/>
  <c r="AS359" i="2" s="1"/>
  <c r="AW359" i="2" s="1"/>
  <c r="AR359" i="2"/>
  <c r="AT359" i="2" s="1"/>
  <c r="AP359" i="2"/>
  <c r="AS347" i="2" a="1"/>
  <c r="AS347" i="2" s="1"/>
  <c r="AW347" i="2" s="1"/>
  <c r="AR347" i="2"/>
  <c r="AT347" i="2" s="1"/>
  <c r="AP347" i="2"/>
  <c r="AS335" i="2" a="1"/>
  <c r="AS335" i="2" s="1"/>
  <c r="AW335" i="2" s="1"/>
  <c r="AR335" i="2"/>
  <c r="AT335" i="2" s="1"/>
  <c r="AP335" i="2"/>
  <c r="AR323" i="2"/>
  <c r="AT323" i="2" s="1"/>
  <c r="AS323" i="2" a="1"/>
  <c r="AS323" i="2" s="1"/>
  <c r="AW323" i="2" s="1"/>
  <c r="AP323" i="2"/>
  <c r="AS311" i="2" a="1"/>
  <c r="AS311" i="2" s="1"/>
  <c r="AW311" i="2" s="1"/>
  <c r="AR311" i="2"/>
  <c r="AT311" i="2" s="1"/>
  <c r="AP311" i="2"/>
  <c r="AS299" i="2" a="1"/>
  <c r="AS299" i="2" s="1"/>
  <c r="AW299" i="2" s="1"/>
  <c r="AR299" i="2"/>
  <c r="AT299" i="2" s="1"/>
  <c r="AP299" i="2"/>
  <c r="AR287" i="2"/>
  <c r="AT287" i="2" s="1"/>
  <c r="AS287" i="2" a="1"/>
  <c r="AS287" i="2" s="1"/>
  <c r="AW287" i="2" s="1"/>
  <c r="AP287" i="2"/>
  <c r="AS276" i="2" a="1"/>
  <c r="AS276" i="2" s="1"/>
  <c r="AW276" i="2" s="1"/>
  <c r="AR276" i="2"/>
  <c r="AT276" i="2" s="1"/>
  <c r="AP276" i="2"/>
  <c r="AS264" i="2" a="1"/>
  <c r="AS264" i="2" s="1"/>
  <c r="AW264" i="2" s="1"/>
  <c r="AR264" i="2"/>
  <c r="AT264" i="2" s="1"/>
  <c r="AP264" i="2"/>
  <c r="AS252" i="2" a="1"/>
  <c r="AS252" i="2" s="1"/>
  <c r="AW252" i="2" s="1"/>
  <c r="AR252" i="2"/>
  <c r="AT252" i="2" s="1"/>
  <c r="AP252" i="2"/>
  <c r="AR240" i="2"/>
  <c r="AT240" i="2" s="1"/>
  <c r="AS240" i="2" a="1"/>
  <c r="AS240" i="2" s="1"/>
  <c r="AW240" i="2" s="1"/>
  <c r="AP240" i="2"/>
  <c r="AS228" i="2" a="1"/>
  <c r="AS228" i="2" s="1"/>
  <c r="AW228" i="2" s="1"/>
  <c r="AR228" i="2"/>
  <c r="AT228" i="2" s="1"/>
  <c r="AP228" i="2"/>
  <c r="AR216" i="2"/>
  <c r="AT216" i="2" s="1"/>
  <c r="AS216" i="2" a="1"/>
  <c r="AS216" i="2" s="1"/>
  <c r="AW216" i="2" s="1"/>
  <c r="AP216" i="2"/>
  <c r="AS204" i="2" a="1"/>
  <c r="AS204" i="2" s="1"/>
  <c r="AW204" i="2" s="1"/>
  <c r="AR204" i="2"/>
  <c r="AT204" i="2" s="1"/>
  <c r="AP204" i="2"/>
  <c r="AS192" i="2" a="1"/>
  <c r="AS192" i="2" s="1"/>
  <c r="AW192" i="2" s="1"/>
  <c r="AR192" i="2"/>
  <c r="AT192" i="2" s="1"/>
  <c r="AP192" i="2"/>
  <c r="AS180" i="2" a="1"/>
  <c r="AS180" i="2" s="1"/>
  <c r="AW180" i="2" s="1"/>
  <c r="AR180" i="2"/>
  <c r="AT180" i="2" s="1"/>
  <c r="AP180" i="2"/>
  <c r="AR168" i="2"/>
  <c r="AT168" i="2" s="1"/>
  <c r="AS168" i="2" a="1"/>
  <c r="AS168" i="2" s="1"/>
  <c r="AW168" i="2" s="1"/>
  <c r="AP168" i="2"/>
  <c r="AR156" i="2"/>
  <c r="AT156" i="2" s="1"/>
  <c r="AS156" i="2" a="1"/>
  <c r="AS156" i="2" s="1"/>
  <c r="AW156" i="2" s="1"/>
  <c r="AP156" i="2"/>
  <c r="AS144" i="2" a="1"/>
  <c r="AS144" i="2" s="1"/>
  <c r="AW144" i="2" s="1"/>
  <c r="AR144" i="2"/>
  <c r="AT144" i="2" s="1"/>
  <c r="AP144" i="2"/>
  <c r="AS132" i="2" a="1"/>
  <c r="AS132" i="2" s="1"/>
  <c r="AW132" i="2" s="1"/>
  <c r="AR132" i="2"/>
  <c r="AT132" i="2" s="1"/>
  <c r="AS120" i="2" a="1"/>
  <c r="AS120" i="2" s="1"/>
  <c r="AW120" i="2" s="1"/>
  <c r="AR120" i="2"/>
  <c r="AT120" i="2" s="1"/>
  <c r="AP120" i="2"/>
  <c r="AR108" i="2"/>
  <c r="AT108" i="2" s="1"/>
  <c r="AS108" i="2" a="1"/>
  <c r="AS108" i="2" s="1"/>
  <c r="AW108" i="2" s="1"/>
  <c r="AP108" i="2"/>
  <c r="AS96" i="2" a="1"/>
  <c r="AS96" i="2" s="1"/>
  <c r="AW96" i="2" s="1"/>
  <c r="AR96" i="2"/>
  <c r="AT96" i="2" s="1"/>
  <c r="AP96" i="2"/>
  <c r="AR84" i="2"/>
  <c r="AT84" i="2" s="1"/>
  <c r="AS84" i="2" a="1"/>
  <c r="AS84" i="2" s="1"/>
  <c r="AW84" i="2" s="1"/>
  <c r="AP84" i="2"/>
  <c r="AS72" i="2" a="1"/>
  <c r="AS72" i="2" s="1"/>
  <c r="AW72" i="2" s="1"/>
  <c r="AR72" i="2"/>
  <c r="AT72" i="2" s="1"/>
  <c r="AP72" i="2"/>
  <c r="AS60" i="2" a="1"/>
  <c r="AS60" i="2" s="1"/>
  <c r="AW60" i="2" s="1"/>
  <c r="AR60" i="2"/>
  <c r="AT60" i="2" s="1"/>
  <c r="AP60" i="2"/>
  <c r="AS48" i="2" a="1"/>
  <c r="AS48" i="2" s="1"/>
  <c r="AW48" i="2" s="1"/>
  <c r="AR48" i="2"/>
  <c r="AT48" i="2" s="1"/>
  <c r="AP48" i="2"/>
  <c r="AR36" i="2"/>
  <c r="AT36" i="2" s="1"/>
  <c r="AS36" i="2" a="1"/>
  <c r="AS36" i="2" s="1"/>
  <c r="AW36" i="2" s="1"/>
  <c r="AP36" i="2"/>
  <c r="AS24" i="2" a="1"/>
  <c r="AS24" i="2" s="1"/>
  <c r="AW24" i="2" s="1"/>
  <c r="AR24" i="2"/>
  <c r="AT24" i="2" s="1"/>
  <c r="AP24" i="2"/>
  <c r="AR12" i="2"/>
  <c r="AT12" i="2" s="1"/>
  <c r="AS12" i="2" a="1"/>
  <c r="AS12" i="2" s="1"/>
  <c r="AW12" i="2" s="1"/>
  <c r="AP12" i="2"/>
  <c r="AV1093" i="2"/>
  <c r="AU1093" i="2"/>
  <c r="AV1081" i="2"/>
  <c r="AU1081" i="2"/>
  <c r="AU1069" i="2"/>
  <c r="AV1069" i="2"/>
  <c r="AV1057" i="2"/>
  <c r="AU1057" i="2"/>
  <c r="AV1045" i="2"/>
  <c r="AU1045" i="2"/>
  <c r="AV1033" i="2"/>
  <c r="AU1033" i="2"/>
  <c r="AU1021" i="2"/>
  <c r="AV1021" i="2"/>
  <c r="AV1009" i="2"/>
  <c r="AU1009" i="2"/>
  <c r="AV997" i="2"/>
  <c r="AU997" i="2"/>
  <c r="AV985" i="2"/>
  <c r="AU985" i="2"/>
  <c r="AU973" i="2"/>
  <c r="AV973" i="2"/>
  <c r="AV961" i="2"/>
  <c r="AU961" i="2"/>
  <c r="AV949" i="2"/>
  <c r="AU949" i="2"/>
  <c r="AV937" i="2"/>
  <c r="AU937" i="2"/>
  <c r="AU925" i="2"/>
  <c r="AV925" i="2"/>
  <c r="AV913" i="2"/>
  <c r="AU913" i="2"/>
  <c r="AV901" i="2"/>
  <c r="AU901" i="2"/>
  <c r="AV889" i="2"/>
  <c r="AU889" i="2"/>
  <c r="AU877" i="2"/>
  <c r="AV877" i="2"/>
  <c r="AV865" i="2"/>
  <c r="AU865" i="2"/>
  <c r="AV853" i="2"/>
  <c r="AU853" i="2"/>
  <c r="AV841" i="2"/>
  <c r="AU841" i="2"/>
  <c r="AU829" i="2"/>
  <c r="AV829" i="2"/>
  <c r="AV817" i="2"/>
  <c r="AU817" i="2"/>
  <c r="AU805" i="2"/>
  <c r="AV805" i="2"/>
  <c r="AV793" i="2"/>
  <c r="AU793" i="2"/>
  <c r="AV781" i="2"/>
  <c r="AU781" i="2"/>
  <c r="AV769" i="2"/>
  <c r="AU769" i="2"/>
  <c r="AU757" i="2"/>
  <c r="AV757" i="2"/>
  <c r="AU745" i="2"/>
  <c r="AV745" i="2"/>
  <c r="AV733" i="2"/>
  <c r="AU733" i="2"/>
  <c r="AV721" i="2"/>
  <c r="AU721" i="2"/>
  <c r="AV709" i="2"/>
  <c r="AU709" i="2"/>
  <c r="AV697" i="2"/>
  <c r="AU697" i="2"/>
  <c r="AV685" i="2"/>
  <c r="AU685" i="2"/>
  <c r="AV673" i="2"/>
  <c r="AU673" i="2"/>
  <c r="AV661" i="2"/>
  <c r="AU661" i="2"/>
  <c r="AU649" i="2"/>
  <c r="AV649" i="2"/>
  <c r="AV637" i="2"/>
  <c r="AU637" i="2"/>
  <c r="AV625" i="2"/>
  <c r="AU625" i="2"/>
  <c r="AV613" i="2"/>
  <c r="AU613" i="2"/>
  <c r="AV601" i="2"/>
  <c r="AU601" i="2"/>
  <c r="AU589" i="2"/>
  <c r="AV589" i="2"/>
  <c r="AV577" i="2"/>
  <c r="AU577" i="2"/>
  <c r="AU565" i="2"/>
  <c r="AV565" i="2"/>
  <c r="AV553" i="2"/>
  <c r="AU553" i="2"/>
  <c r="AV541" i="2"/>
  <c r="AU541" i="2"/>
  <c r="AV529" i="2"/>
  <c r="AU529" i="2"/>
  <c r="AV517" i="2"/>
  <c r="AU517" i="2"/>
  <c r="AV505" i="2"/>
  <c r="AU505" i="2"/>
  <c r="AV493" i="2"/>
  <c r="AU493" i="2"/>
  <c r="AV481" i="2"/>
  <c r="AU481" i="2"/>
  <c r="AV469" i="2"/>
  <c r="AU469" i="2"/>
  <c r="AV457" i="2"/>
  <c r="AU457" i="2"/>
  <c r="AU445" i="2"/>
  <c r="AV445" i="2"/>
  <c r="AV433" i="2"/>
  <c r="AU433" i="2"/>
  <c r="AV421" i="2"/>
  <c r="AU421" i="2"/>
  <c r="AV409" i="2"/>
  <c r="AU409" i="2"/>
  <c r="AV397" i="2"/>
  <c r="AU397" i="2"/>
  <c r="AV385" i="2"/>
  <c r="AU385" i="2"/>
  <c r="AV373" i="2"/>
  <c r="AU373" i="2"/>
  <c r="AV361" i="2"/>
  <c r="AU361" i="2"/>
  <c r="AV349" i="2"/>
  <c r="AU349" i="2"/>
  <c r="AV337" i="2"/>
  <c r="AU337" i="2"/>
  <c r="AV325" i="2"/>
  <c r="AU325" i="2"/>
  <c r="AV313" i="2"/>
  <c r="AU313" i="2"/>
  <c r="AV301" i="2"/>
  <c r="AU301" i="2"/>
  <c r="AU289" i="2"/>
  <c r="AV289" i="2"/>
  <c r="AV277" i="2"/>
  <c r="AU277" i="2"/>
  <c r="AV266" i="2"/>
  <c r="AU266" i="2"/>
  <c r="AV254" i="2"/>
  <c r="AU254" i="2"/>
  <c r="AU242" i="2"/>
  <c r="AV242" i="2"/>
  <c r="AV230" i="2"/>
  <c r="AU230" i="2"/>
  <c r="AV218" i="2"/>
  <c r="AU218" i="2"/>
  <c r="AV206" i="2"/>
  <c r="AU206" i="2"/>
  <c r="AU194" i="2"/>
  <c r="AV194" i="2"/>
  <c r="AV182" i="2"/>
  <c r="AU182" i="2"/>
  <c r="AV170" i="2"/>
  <c r="AU170" i="2"/>
  <c r="AV158" i="2"/>
  <c r="AU158" i="2"/>
  <c r="AU146" i="2"/>
  <c r="AV146" i="2"/>
  <c r="AV134" i="2"/>
  <c r="AU134" i="2"/>
  <c r="AV122" i="2"/>
  <c r="AU122" i="2"/>
  <c r="AV110" i="2"/>
  <c r="AU110" i="2"/>
  <c r="AV98" i="2"/>
  <c r="AU98" i="2"/>
  <c r="AV86" i="2"/>
  <c r="AU86" i="2"/>
  <c r="AV74" i="2"/>
  <c r="AU74" i="2"/>
  <c r="AV62" i="2"/>
  <c r="AU62" i="2"/>
  <c r="AV50" i="2"/>
  <c r="AU50" i="2"/>
  <c r="AV38" i="2"/>
  <c r="AU38" i="2"/>
  <c r="AV26" i="2"/>
  <c r="AU26" i="2"/>
  <c r="AU14" i="2"/>
  <c r="AV14" i="2"/>
  <c r="AU2" i="2"/>
  <c r="AV2" i="2"/>
  <c r="AQ1095" i="2"/>
  <c r="AQ1083" i="2"/>
  <c r="AQ1071" i="2"/>
  <c r="AQ1059" i="2"/>
  <c r="AQ1047" i="2"/>
  <c r="AQ1035" i="2"/>
  <c r="AQ1023" i="2"/>
  <c r="AQ1011" i="2"/>
  <c r="AQ999" i="2"/>
  <c r="AQ987" i="2"/>
  <c r="AQ975" i="2"/>
  <c r="AQ963" i="2"/>
  <c r="AQ951" i="2"/>
  <c r="AQ939" i="2"/>
  <c r="AQ927" i="2"/>
  <c r="AQ915" i="2"/>
  <c r="AQ903" i="2"/>
  <c r="AQ891" i="2"/>
  <c r="AQ879" i="2"/>
  <c r="AQ867" i="2"/>
  <c r="AQ855" i="2"/>
  <c r="AQ843" i="2"/>
  <c r="AQ831" i="2"/>
  <c r="AQ819" i="2"/>
  <c r="AQ807" i="2"/>
  <c r="AQ795" i="2"/>
  <c r="AQ783" i="2"/>
  <c r="AQ771" i="2"/>
  <c r="AQ759" i="2"/>
  <c r="AQ747" i="2"/>
  <c r="AQ735" i="2"/>
  <c r="AQ723" i="2"/>
  <c r="AQ711" i="2"/>
  <c r="AQ699" i="2"/>
  <c r="AQ687" i="2"/>
  <c r="AQ675" i="2"/>
  <c r="AQ663" i="2"/>
  <c r="AQ651" i="2"/>
  <c r="AQ639" i="2"/>
  <c r="AQ627" i="2"/>
  <c r="AQ615" i="2"/>
  <c r="AQ603" i="2"/>
  <c r="AQ591" i="2"/>
  <c r="AQ579" i="2"/>
  <c r="AQ567" i="2"/>
  <c r="AQ555" i="2"/>
  <c r="AQ543" i="2"/>
  <c r="AQ531" i="2"/>
  <c r="AQ519" i="2"/>
  <c r="AQ507" i="2"/>
  <c r="AQ495" i="2"/>
  <c r="AQ483" i="2"/>
  <c r="AQ471" i="2"/>
  <c r="AQ459" i="2"/>
  <c r="AQ447" i="2"/>
  <c r="AQ435" i="2"/>
  <c r="AQ423" i="2"/>
  <c r="AQ411" i="2"/>
  <c r="AQ399" i="2"/>
  <c r="AQ387" i="2"/>
  <c r="AQ375" i="2"/>
  <c r="AQ363" i="2"/>
  <c r="AQ351" i="2"/>
  <c r="AQ339" i="2"/>
  <c r="AQ327" i="2"/>
  <c r="AQ315" i="2"/>
  <c r="AQ303" i="2"/>
  <c r="AQ291" i="2"/>
  <c r="AQ279" i="2"/>
  <c r="AQ268" i="2"/>
  <c r="AQ256" i="2"/>
  <c r="AQ244" i="2"/>
  <c r="AQ232" i="2"/>
  <c r="AQ220" i="2"/>
  <c r="AQ208" i="2"/>
  <c r="AQ196" i="2"/>
  <c r="AQ184" i="2"/>
  <c r="AQ172" i="2"/>
  <c r="AQ160" i="2"/>
  <c r="AQ148" i="2"/>
  <c r="AQ136" i="2"/>
  <c r="AQ124" i="2"/>
  <c r="AQ112" i="2"/>
  <c r="AQ100" i="2"/>
  <c r="AQ88" i="2"/>
  <c r="AQ76" i="2"/>
  <c r="AQ64" i="2"/>
  <c r="AQ52" i="2"/>
  <c r="AQ40" i="2"/>
  <c r="AQ28" i="2"/>
  <c r="AQ16" i="2"/>
  <c r="AQ4" i="2"/>
  <c r="AS1090" i="2" a="1"/>
  <c r="AS1090" i="2" s="1"/>
  <c r="AW1090" i="2" s="1"/>
  <c r="AR1090" i="2"/>
  <c r="AT1090" i="2" s="1"/>
  <c r="AP1090" i="2"/>
  <c r="AS1078" i="2" a="1"/>
  <c r="AS1078" i="2" s="1"/>
  <c r="AW1078" i="2" s="1"/>
  <c r="AR1078" i="2"/>
  <c r="AT1078" i="2" s="1"/>
  <c r="AP1078" i="2"/>
  <c r="AS1066" i="2" a="1"/>
  <c r="AS1066" i="2" s="1"/>
  <c r="AW1066" i="2" s="1"/>
  <c r="AR1066" i="2"/>
  <c r="AT1066" i="2" s="1"/>
  <c r="AP1066" i="2"/>
  <c r="AS1054" i="2" a="1"/>
  <c r="AS1054" i="2" s="1"/>
  <c r="AW1054" i="2" s="1"/>
  <c r="AR1054" i="2"/>
  <c r="AT1054" i="2" s="1"/>
  <c r="AP1054" i="2"/>
  <c r="AR1042" i="2"/>
  <c r="AT1042" i="2" s="1"/>
  <c r="AS1042" i="2" a="1"/>
  <c r="AS1042" i="2" s="1"/>
  <c r="AW1042" i="2" s="1"/>
  <c r="AP1042" i="2"/>
  <c r="AR1030" i="2"/>
  <c r="AT1030" i="2" s="1"/>
  <c r="AS1030" i="2" a="1"/>
  <c r="AS1030" i="2" s="1"/>
  <c r="AW1030" i="2" s="1"/>
  <c r="AP1030" i="2"/>
  <c r="AR1018" i="2"/>
  <c r="AT1018" i="2" s="1"/>
  <c r="AS1018" i="2" a="1"/>
  <c r="AS1018" i="2" s="1"/>
  <c r="AW1018" i="2" s="1"/>
  <c r="AP1018" i="2"/>
  <c r="AS1006" i="2" a="1"/>
  <c r="AS1006" i="2" s="1"/>
  <c r="AW1006" i="2" s="1"/>
  <c r="AR1006" i="2"/>
  <c r="AT1006" i="2" s="1"/>
  <c r="AP1006" i="2"/>
  <c r="AS994" i="2" a="1"/>
  <c r="AS994" i="2" s="1"/>
  <c r="AW994" i="2" s="1"/>
  <c r="AR994" i="2"/>
  <c r="AT994" i="2" s="1"/>
  <c r="AP994" i="2"/>
  <c r="AS982" i="2" a="1"/>
  <c r="AS982" i="2" s="1"/>
  <c r="AW982" i="2" s="1"/>
  <c r="AR982" i="2"/>
  <c r="AT982" i="2" s="1"/>
  <c r="AP982" i="2"/>
  <c r="AS970" i="2" a="1"/>
  <c r="AS970" i="2" s="1"/>
  <c r="AW970" i="2" s="1"/>
  <c r="AR970" i="2"/>
  <c r="AT970" i="2" s="1"/>
  <c r="AP970" i="2"/>
  <c r="AR958" i="2"/>
  <c r="AT958" i="2" s="1"/>
  <c r="AS958" i="2" a="1"/>
  <c r="AS958" i="2" s="1"/>
  <c r="AW958" i="2" s="1"/>
  <c r="AP958" i="2"/>
  <c r="AS946" i="2" a="1"/>
  <c r="AS946" i="2" s="1"/>
  <c r="AW946" i="2" s="1"/>
  <c r="AR946" i="2"/>
  <c r="AT946" i="2" s="1"/>
  <c r="AP946" i="2"/>
  <c r="AR934" i="2"/>
  <c r="AT934" i="2" s="1"/>
  <c r="AS934" i="2" a="1"/>
  <c r="AS934" i="2" s="1"/>
  <c r="AW934" i="2" s="1"/>
  <c r="AP934" i="2"/>
  <c r="AR922" i="2"/>
  <c r="AT922" i="2" s="1"/>
  <c r="AS922" i="2" a="1"/>
  <c r="AS922" i="2" s="1"/>
  <c r="AW922" i="2" s="1"/>
  <c r="AP922" i="2"/>
  <c r="AR910" i="2"/>
  <c r="AT910" i="2" s="1"/>
  <c r="AS910" i="2" a="1"/>
  <c r="AS910" i="2" s="1"/>
  <c r="AW910" i="2" s="1"/>
  <c r="AP910" i="2"/>
  <c r="AS898" i="2" a="1"/>
  <c r="AS898" i="2" s="1"/>
  <c r="AW898" i="2" s="1"/>
  <c r="AR898" i="2"/>
  <c r="AT898" i="2" s="1"/>
  <c r="AP898" i="2"/>
  <c r="AS886" i="2" a="1"/>
  <c r="AS886" i="2" s="1"/>
  <c r="AW886" i="2" s="1"/>
  <c r="AR886" i="2"/>
  <c r="AT886" i="2" s="1"/>
  <c r="AP886" i="2"/>
  <c r="AR874" i="2"/>
  <c r="AT874" i="2" s="1"/>
  <c r="AS874" i="2" a="1"/>
  <c r="AS874" i="2" s="1"/>
  <c r="AW874" i="2" s="1"/>
  <c r="AP874" i="2"/>
  <c r="AS862" i="2" a="1"/>
  <c r="AS862" i="2" s="1"/>
  <c r="AW862" i="2" s="1"/>
  <c r="AR862" i="2"/>
  <c r="AT862" i="2" s="1"/>
  <c r="AP862" i="2"/>
  <c r="AS850" i="2" a="1"/>
  <c r="AS850" i="2" s="1"/>
  <c r="AW850" i="2" s="1"/>
  <c r="AR850" i="2"/>
  <c r="AT850" i="2" s="1"/>
  <c r="AP850" i="2"/>
  <c r="AS838" i="2" a="1"/>
  <c r="AS838" i="2" s="1"/>
  <c r="AW838" i="2" s="1"/>
  <c r="AR838" i="2"/>
  <c r="AT838" i="2" s="1"/>
  <c r="AP838" i="2"/>
  <c r="AS826" i="2" a="1"/>
  <c r="AS826" i="2" s="1"/>
  <c r="AW826" i="2" s="1"/>
  <c r="AR826" i="2"/>
  <c r="AT826" i="2" s="1"/>
  <c r="AP826" i="2"/>
  <c r="AS814" i="2" a="1"/>
  <c r="AS814" i="2" s="1"/>
  <c r="AW814" i="2" s="1"/>
  <c r="AR814" i="2"/>
  <c r="AT814" i="2" s="1"/>
  <c r="AP814" i="2"/>
  <c r="AS802" i="2" a="1"/>
  <c r="AS802" i="2" s="1"/>
  <c r="AW802" i="2" s="1"/>
  <c r="AR802" i="2"/>
  <c r="AT802" i="2" s="1"/>
  <c r="AP802" i="2"/>
  <c r="AS790" i="2" a="1"/>
  <c r="AS790" i="2" s="1"/>
  <c r="AW790" i="2" s="1"/>
  <c r="AR790" i="2"/>
  <c r="AT790" i="2" s="1"/>
  <c r="AP790" i="2"/>
  <c r="AS778" i="2" a="1"/>
  <c r="AS778" i="2" s="1"/>
  <c r="AW778" i="2" s="1"/>
  <c r="AR778" i="2"/>
  <c r="AT778" i="2" s="1"/>
  <c r="AP778" i="2"/>
  <c r="AR766" i="2"/>
  <c r="AT766" i="2" s="1"/>
  <c r="AS766" i="2" a="1"/>
  <c r="AS766" i="2" s="1"/>
  <c r="AW766" i="2" s="1"/>
  <c r="AP766" i="2"/>
  <c r="AS754" i="2" a="1"/>
  <c r="AS754" i="2" s="1"/>
  <c r="AW754" i="2" s="1"/>
  <c r="AR754" i="2"/>
  <c r="AT754" i="2" s="1"/>
  <c r="AP754" i="2"/>
  <c r="AS742" i="2" a="1"/>
  <c r="AS742" i="2" s="1"/>
  <c r="AW742" i="2" s="1"/>
  <c r="AR742" i="2"/>
  <c r="AT742" i="2" s="1"/>
  <c r="AP742" i="2"/>
  <c r="AS730" i="2" a="1"/>
  <c r="AS730" i="2" s="1"/>
  <c r="AW730" i="2" s="1"/>
  <c r="AR730" i="2"/>
  <c r="AT730" i="2" s="1"/>
  <c r="AP730" i="2"/>
  <c r="AS718" i="2" a="1"/>
  <c r="AS718" i="2" s="1"/>
  <c r="AW718" i="2" s="1"/>
  <c r="AR718" i="2"/>
  <c r="AT718" i="2" s="1"/>
  <c r="AP718" i="2"/>
  <c r="AS706" i="2" a="1"/>
  <c r="AS706" i="2" s="1"/>
  <c r="AW706" i="2" s="1"/>
  <c r="AR706" i="2"/>
  <c r="AT706" i="2" s="1"/>
  <c r="AP706" i="2"/>
  <c r="AS694" i="2" a="1"/>
  <c r="AS694" i="2" s="1"/>
  <c r="AW694" i="2" s="1"/>
  <c r="AR694" i="2"/>
  <c r="AT694" i="2" s="1"/>
  <c r="AP694" i="2"/>
  <c r="AS682" i="2" a="1"/>
  <c r="AS682" i="2" s="1"/>
  <c r="AW682" i="2" s="1"/>
  <c r="AR682" i="2"/>
  <c r="AT682" i="2" s="1"/>
  <c r="AP682" i="2"/>
  <c r="AR670" i="2"/>
  <c r="AT670" i="2" s="1"/>
  <c r="AS670" i="2" a="1"/>
  <c r="AS670" i="2" s="1"/>
  <c r="AW670" i="2" s="1"/>
  <c r="AP670" i="2"/>
  <c r="AR658" i="2"/>
  <c r="AT658" i="2" s="1"/>
  <c r="AS658" i="2" a="1"/>
  <c r="AS658" i="2" s="1"/>
  <c r="AW658" i="2" s="1"/>
  <c r="AP658" i="2"/>
  <c r="AS646" i="2" a="1"/>
  <c r="AS646" i="2" s="1"/>
  <c r="AW646" i="2" s="1"/>
  <c r="AR646" i="2"/>
  <c r="AT646" i="2" s="1"/>
  <c r="AP646" i="2"/>
  <c r="AR634" i="2"/>
  <c r="AT634" i="2" s="1"/>
  <c r="AS634" i="2" a="1"/>
  <c r="AS634" i="2" s="1"/>
  <c r="AW634" i="2" s="1"/>
  <c r="AP634" i="2"/>
  <c r="AS622" i="2" a="1"/>
  <c r="AS622" i="2" s="1"/>
  <c r="AW622" i="2" s="1"/>
  <c r="AR622" i="2"/>
  <c r="AT622" i="2" s="1"/>
  <c r="AP622" i="2"/>
  <c r="AS610" i="2" a="1"/>
  <c r="AS610" i="2" s="1"/>
  <c r="AW610" i="2" s="1"/>
  <c r="AR610" i="2"/>
  <c r="AT610" i="2" s="1"/>
  <c r="AP610" i="2"/>
  <c r="AS598" i="2" a="1"/>
  <c r="AS598" i="2" s="1"/>
  <c r="AW598" i="2" s="1"/>
  <c r="AR598" i="2"/>
  <c r="AT598" i="2" s="1"/>
  <c r="AP598" i="2"/>
  <c r="AR586" i="2"/>
  <c r="AT586" i="2" s="1"/>
  <c r="AS586" i="2" a="1"/>
  <c r="AS586" i="2" s="1"/>
  <c r="AW586" i="2" s="1"/>
  <c r="AP586" i="2"/>
  <c r="AR574" i="2"/>
  <c r="AT574" i="2" s="1"/>
  <c r="AS574" i="2" a="1"/>
  <c r="AS574" i="2" s="1"/>
  <c r="AW574" i="2" s="1"/>
  <c r="AP574" i="2"/>
  <c r="AS562" i="2" a="1"/>
  <c r="AS562" i="2" s="1"/>
  <c r="AW562" i="2" s="1"/>
  <c r="AR562" i="2"/>
  <c r="AT562" i="2" s="1"/>
  <c r="AP562" i="2"/>
  <c r="AR550" i="2"/>
  <c r="AT550" i="2" s="1"/>
  <c r="AS550" i="2" a="1"/>
  <c r="AS550" i="2" s="1"/>
  <c r="AW550" i="2" s="1"/>
  <c r="AP550" i="2"/>
  <c r="AS538" i="2" a="1"/>
  <c r="AS538" i="2" s="1"/>
  <c r="AW538" i="2" s="1"/>
  <c r="AR538" i="2"/>
  <c r="AT538" i="2" s="1"/>
  <c r="AP538" i="2"/>
  <c r="AR526" i="2"/>
  <c r="AT526" i="2" s="1"/>
  <c r="AS526" i="2" a="1"/>
  <c r="AS526" i="2" s="1"/>
  <c r="AW526" i="2" s="1"/>
  <c r="AP526" i="2"/>
  <c r="AR514" i="2"/>
  <c r="AT514" i="2" s="1"/>
  <c r="AS514" i="2" a="1"/>
  <c r="AS514" i="2" s="1"/>
  <c r="AW514" i="2" s="1"/>
  <c r="AP514" i="2"/>
  <c r="AS502" i="2" a="1"/>
  <c r="AS502" i="2" s="1"/>
  <c r="AW502" i="2" s="1"/>
  <c r="AR502" i="2"/>
  <c r="AT502" i="2" s="1"/>
  <c r="AP502" i="2"/>
  <c r="AR490" i="2"/>
  <c r="AT490" i="2" s="1"/>
  <c r="AS490" i="2" a="1"/>
  <c r="AS490" i="2" s="1"/>
  <c r="AW490" i="2" s="1"/>
  <c r="AP490" i="2"/>
  <c r="AS478" i="2" a="1"/>
  <c r="AS478" i="2" s="1"/>
  <c r="AW478" i="2" s="1"/>
  <c r="AR478" i="2"/>
  <c r="AT478" i="2" s="1"/>
  <c r="AP478" i="2"/>
  <c r="AS466" i="2" a="1"/>
  <c r="AS466" i="2" s="1"/>
  <c r="AW466" i="2" s="1"/>
  <c r="AR466" i="2"/>
  <c r="AT466" i="2" s="1"/>
  <c r="AP466" i="2"/>
  <c r="AS454" i="2" a="1"/>
  <c r="AS454" i="2" s="1"/>
  <c r="AW454" i="2" s="1"/>
  <c r="AR454" i="2"/>
  <c r="AT454" i="2" s="1"/>
  <c r="AP454" i="2"/>
  <c r="AS442" i="2" a="1"/>
  <c r="AS442" i="2" s="1"/>
  <c r="AW442" i="2" s="1"/>
  <c r="AR442" i="2"/>
  <c r="AT442" i="2" s="1"/>
  <c r="AP442" i="2"/>
  <c r="AR430" i="2"/>
  <c r="AT430" i="2" s="1"/>
  <c r="AS430" i="2" a="1"/>
  <c r="AS430" i="2" s="1"/>
  <c r="AW430" i="2" s="1"/>
  <c r="AP430" i="2"/>
  <c r="AS418" i="2" a="1"/>
  <c r="AS418" i="2" s="1"/>
  <c r="AW418" i="2" s="1"/>
  <c r="AR418" i="2"/>
  <c r="AT418" i="2" s="1"/>
  <c r="AP418" i="2"/>
  <c r="AS406" i="2" a="1"/>
  <c r="AS406" i="2" s="1"/>
  <c r="AW406" i="2" s="1"/>
  <c r="AR406" i="2"/>
  <c r="AT406" i="2" s="1"/>
  <c r="AP406" i="2"/>
  <c r="AR394" i="2"/>
  <c r="AT394" i="2" s="1"/>
  <c r="AP394" i="2"/>
  <c r="AS394" i="2" a="1"/>
  <c r="AS394" i="2" s="1"/>
  <c r="AW394" i="2" s="1"/>
  <c r="AS382" i="2" a="1"/>
  <c r="AS382" i="2" s="1"/>
  <c r="AW382" i="2" s="1"/>
  <c r="AR382" i="2"/>
  <c r="AT382" i="2" s="1"/>
  <c r="AP382" i="2"/>
  <c r="AS370" i="2" a="1"/>
  <c r="AS370" i="2" s="1"/>
  <c r="AW370" i="2" s="1"/>
  <c r="AR370" i="2"/>
  <c r="AT370" i="2" s="1"/>
  <c r="AP370" i="2"/>
  <c r="AS358" i="2" a="1"/>
  <c r="AS358" i="2" s="1"/>
  <c r="AW358" i="2" s="1"/>
  <c r="AR358" i="2"/>
  <c r="AT358" i="2" s="1"/>
  <c r="AP358" i="2"/>
  <c r="AS346" i="2" a="1"/>
  <c r="AS346" i="2" s="1"/>
  <c r="AW346" i="2" s="1"/>
  <c r="AR346" i="2"/>
  <c r="AT346" i="2" s="1"/>
  <c r="AP346" i="2"/>
  <c r="AR334" i="2"/>
  <c r="AT334" i="2" s="1"/>
  <c r="AS334" i="2" a="1"/>
  <c r="AS334" i="2" s="1"/>
  <c r="AW334" i="2" s="1"/>
  <c r="AP334" i="2"/>
  <c r="AS322" i="2" a="1"/>
  <c r="AS322" i="2" s="1"/>
  <c r="AW322" i="2" s="1"/>
  <c r="AR322" i="2"/>
  <c r="AT322" i="2" s="1"/>
  <c r="AP322" i="2"/>
  <c r="AS310" i="2" a="1"/>
  <c r="AS310" i="2" s="1"/>
  <c r="AW310" i="2" s="1"/>
  <c r="AR310" i="2"/>
  <c r="AT310" i="2" s="1"/>
  <c r="AP310" i="2"/>
  <c r="AS298" i="2" a="1"/>
  <c r="AS298" i="2" s="1"/>
  <c r="AW298" i="2" s="1"/>
  <c r="AR298" i="2"/>
  <c r="AT298" i="2" s="1"/>
  <c r="AP298" i="2"/>
  <c r="AS286" i="2" a="1"/>
  <c r="AS286" i="2" s="1"/>
  <c r="AW286" i="2" s="1"/>
  <c r="AR286" i="2"/>
  <c r="AT286" i="2" s="1"/>
  <c r="AP286" i="2"/>
  <c r="AS275" i="2" a="1"/>
  <c r="AS275" i="2" s="1"/>
  <c r="AW275" i="2" s="1"/>
  <c r="AR275" i="2"/>
  <c r="AT275" i="2" s="1"/>
  <c r="AP275" i="2"/>
  <c r="AS263" i="2" a="1"/>
  <c r="AS263" i="2" s="1"/>
  <c r="AW263" i="2" s="1"/>
  <c r="AR263" i="2"/>
  <c r="AT263" i="2" s="1"/>
  <c r="AP263" i="2"/>
  <c r="AS251" i="2" a="1"/>
  <c r="AS251" i="2" s="1"/>
  <c r="AW251" i="2" s="1"/>
  <c r="AR251" i="2"/>
  <c r="AT251" i="2" s="1"/>
  <c r="AP251" i="2"/>
  <c r="AR239" i="2"/>
  <c r="AT239" i="2" s="1"/>
  <c r="AS239" i="2" a="1"/>
  <c r="AS239" i="2" s="1"/>
  <c r="AW239" i="2" s="1"/>
  <c r="AP239" i="2"/>
  <c r="AS227" i="2" a="1"/>
  <c r="AS227" i="2" s="1"/>
  <c r="AW227" i="2" s="1"/>
  <c r="AP227" i="2"/>
  <c r="AR227" i="2"/>
  <c r="AT227" i="2" s="1"/>
  <c r="AS215" i="2" a="1"/>
  <c r="AS215" i="2" s="1"/>
  <c r="AW215" i="2" s="1"/>
  <c r="AR215" i="2"/>
  <c r="AT215" i="2" s="1"/>
  <c r="AP215" i="2"/>
  <c r="AS203" i="2" a="1"/>
  <c r="AS203" i="2" s="1"/>
  <c r="AW203" i="2" s="1"/>
  <c r="AR203" i="2"/>
  <c r="AT203" i="2" s="1"/>
  <c r="AP203" i="2"/>
  <c r="AS191" i="2" a="1"/>
  <c r="AS191" i="2" s="1"/>
  <c r="AW191" i="2" s="1"/>
  <c r="AR191" i="2"/>
  <c r="AT191" i="2" s="1"/>
  <c r="AP191" i="2"/>
  <c r="AR179" i="2"/>
  <c r="AT179" i="2" s="1"/>
  <c r="AS179" i="2" a="1"/>
  <c r="AS179" i="2" s="1"/>
  <c r="AW179" i="2" s="1"/>
  <c r="AP179" i="2"/>
  <c r="AR167" i="2"/>
  <c r="AT167" i="2" s="1"/>
  <c r="AS167" i="2" a="1"/>
  <c r="AS167" i="2" s="1"/>
  <c r="AW167" i="2" s="1"/>
  <c r="AP167" i="2"/>
  <c r="AS155" i="2" a="1"/>
  <c r="AS155" i="2" s="1"/>
  <c r="AW155" i="2" s="1"/>
  <c r="AR155" i="2"/>
  <c r="AT155" i="2" s="1"/>
  <c r="AP155" i="2"/>
  <c r="AS143" i="2" a="1"/>
  <c r="AS143" i="2" s="1"/>
  <c r="AW143" i="2" s="1"/>
  <c r="AR143" i="2"/>
  <c r="AT143" i="2" s="1"/>
  <c r="AP143" i="2"/>
  <c r="AR131" i="2"/>
  <c r="AT131" i="2" s="1"/>
  <c r="AS131" i="2" a="1"/>
  <c r="AS131" i="2" s="1"/>
  <c r="AW131" i="2" s="1"/>
  <c r="AS119" i="2" a="1"/>
  <c r="AS119" i="2" s="1"/>
  <c r="AW119" i="2" s="1"/>
  <c r="AR119" i="2"/>
  <c r="AT119" i="2" s="1"/>
  <c r="AP119" i="2"/>
  <c r="AS107" i="2" a="1"/>
  <c r="AS107" i="2" s="1"/>
  <c r="AW107" i="2" s="1"/>
  <c r="AR107" i="2"/>
  <c r="AT107" i="2" s="1"/>
  <c r="AP107" i="2"/>
  <c r="AS95" i="2" a="1"/>
  <c r="AS95" i="2" s="1"/>
  <c r="AW95" i="2" s="1"/>
  <c r="AR95" i="2"/>
  <c r="AT95" i="2" s="1"/>
  <c r="AP95" i="2"/>
  <c r="AS83" i="2" a="1"/>
  <c r="AS83" i="2" s="1"/>
  <c r="AW83" i="2" s="1"/>
  <c r="AR83" i="2"/>
  <c r="AT83" i="2" s="1"/>
  <c r="AP83" i="2"/>
  <c r="AS71" i="2" a="1"/>
  <c r="AS71" i="2" s="1"/>
  <c r="AW71" i="2" s="1"/>
  <c r="AR71" i="2"/>
  <c r="AT71" i="2" s="1"/>
  <c r="AP71" i="2"/>
  <c r="AS59" i="2" a="1"/>
  <c r="AS59" i="2" s="1"/>
  <c r="AW59" i="2" s="1"/>
  <c r="AR59" i="2"/>
  <c r="AT59" i="2" s="1"/>
  <c r="AP59" i="2"/>
  <c r="AS47" i="2" a="1"/>
  <c r="AS47" i="2" s="1"/>
  <c r="AW47" i="2" s="1"/>
  <c r="AR47" i="2"/>
  <c r="AT47" i="2" s="1"/>
  <c r="AP47" i="2"/>
  <c r="AS35" i="2" a="1"/>
  <c r="AS35" i="2" s="1"/>
  <c r="AW35" i="2" s="1"/>
  <c r="AR35" i="2"/>
  <c r="AT35" i="2" s="1"/>
  <c r="AP35" i="2"/>
  <c r="AS23" i="2" a="1"/>
  <c r="AS23" i="2" s="1"/>
  <c r="AW23" i="2" s="1"/>
  <c r="AR23" i="2"/>
  <c r="AT23" i="2" s="1"/>
  <c r="AP23" i="2"/>
  <c r="AS11" i="2" a="1"/>
  <c r="AS11" i="2" s="1"/>
  <c r="AW11" i="2" s="1"/>
  <c r="AR11" i="2"/>
  <c r="AT11" i="2" s="1"/>
  <c r="AP11" i="2"/>
  <c r="AU1092" i="2"/>
  <c r="AV1092" i="2"/>
  <c r="AV1080" i="2"/>
  <c r="AU1080" i="2"/>
  <c r="AV1068" i="2"/>
  <c r="AU1068" i="2"/>
  <c r="AU1056" i="2"/>
  <c r="AV1056" i="2"/>
  <c r="AV1044" i="2"/>
  <c r="AU1044" i="2"/>
  <c r="AV1032" i="2"/>
  <c r="AU1032" i="2"/>
  <c r="AV1020" i="2"/>
  <c r="AU1020" i="2"/>
  <c r="AU1008" i="2"/>
  <c r="AV1008" i="2"/>
  <c r="AV996" i="2"/>
  <c r="AU996" i="2"/>
  <c r="AV984" i="2"/>
  <c r="AU984" i="2"/>
  <c r="AV972" i="2"/>
  <c r="AU972" i="2"/>
  <c r="AU960" i="2"/>
  <c r="AV960" i="2"/>
  <c r="AV948" i="2"/>
  <c r="AU948" i="2"/>
  <c r="AV936" i="2"/>
  <c r="AU936" i="2"/>
  <c r="AV924" i="2"/>
  <c r="AU924" i="2"/>
  <c r="AU912" i="2"/>
  <c r="AV912" i="2"/>
  <c r="AV900" i="2"/>
  <c r="AU900" i="2"/>
  <c r="AV888" i="2"/>
  <c r="AU888" i="2"/>
  <c r="AU876" i="2"/>
  <c r="AV876" i="2"/>
  <c r="AU864" i="2"/>
  <c r="AV864" i="2"/>
  <c r="AV852" i="2"/>
  <c r="AU852" i="2"/>
  <c r="AV840" i="2"/>
  <c r="AU840" i="2"/>
  <c r="AU828" i="2"/>
  <c r="AV828" i="2"/>
  <c r="AU816" i="2"/>
  <c r="AV816" i="2"/>
  <c r="AU804" i="2"/>
  <c r="AV804" i="2"/>
  <c r="AU792" i="2"/>
  <c r="AV792" i="2"/>
  <c r="AU780" i="2"/>
  <c r="AV780" i="2"/>
  <c r="AU768" i="2"/>
  <c r="AV768" i="2"/>
  <c r="AU756" i="2"/>
  <c r="AV756" i="2"/>
  <c r="AU744" i="2"/>
  <c r="AV744" i="2"/>
  <c r="AU732" i="2"/>
  <c r="AV732" i="2"/>
  <c r="AU720" i="2"/>
  <c r="AV720" i="2"/>
  <c r="AU708" i="2"/>
  <c r="AV708" i="2"/>
  <c r="AU696" i="2"/>
  <c r="AV696" i="2"/>
  <c r="AU684" i="2"/>
  <c r="AV684" i="2"/>
  <c r="AU672" i="2"/>
  <c r="AV672" i="2"/>
  <c r="AU660" i="2"/>
  <c r="AV660" i="2"/>
  <c r="AU648" i="2"/>
  <c r="AV648" i="2"/>
  <c r="AU636" i="2"/>
  <c r="AV636" i="2"/>
  <c r="AU624" i="2"/>
  <c r="AV624" i="2"/>
  <c r="AU612" i="2"/>
  <c r="AV612" i="2"/>
  <c r="AU600" i="2"/>
  <c r="AV600" i="2"/>
  <c r="AU588" i="2"/>
  <c r="AV588" i="2"/>
  <c r="AU576" i="2"/>
  <c r="AV576" i="2"/>
  <c r="AU564" i="2"/>
  <c r="AV564" i="2"/>
  <c r="AU552" i="2"/>
  <c r="AV552" i="2"/>
  <c r="AU540" i="2"/>
  <c r="AV540" i="2"/>
  <c r="AU528" i="2"/>
  <c r="AV528" i="2"/>
  <c r="AU516" i="2"/>
  <c r="AV516" i="2"/>
  <c r="AU504" i="2"/>
  <c r="AV504" i="2"/>
  <c r="AU492" i="2"/>
  <c r="AV492" i="2"/>
  <c r="AU480" i="2"/>
  <c r="AV480" i="2"/>
  <c r="AU468" i="2"/>
  <c r="AV468" i="2"/>
  <c r="AU456" i="2"/>
  <c r="AV456" i="2"/>
  <c r="AU444" i="2"/>
  <c r="AV444" i="2"/>
  <c r="AU432" i="2"/>
  <c r="AV432" i="2"/>
  <c r="AV420" i="2"/>
  <c r="AU420" i="2"/>
  <c r="AV408" i="2"/>
  <c r="AU408" i="2"/>
  <c r="AV396" i="2"/>
  <c r="AU396" i="2"/>
  <c r="AV384" i="2"/>
  <c r="AU384" i="2"/>
  <c r="AV372" i="2"/>
  <c r="AU372" i="2"/>
  <c r="AV360" i="2"/>
  <c r="AU360" i="2"/>
  <c r="AV348" i="2"/>
  <c r="AU348" i="2"/>
  <c r="AV336" i="2"/>
  <c r="AU336" i="2"/>
  <c r="AV324" i="2"/>
  <c r="AU324" i="2"/>
  <c r="AV312" i="2"/>
  <c r="AU312" i="2"/>
  <c r="AV300" i="2"/>
  <c r="AU300" i="2"/>
  <c r="AV288" i="2"/>
  <c r="AU288" i="2"/>
  <c r="AV265" i="2"/>
  <c r="AU265" i="2"/>
  <c r="AV253" i="2"/>
  <c r="AU253" i="2"/>
  <c r="AV241" i="2"/>
  <c r="AU241" i="2"/>
  <c r="AU229" i="2"/>
  <c r="AV229" i="2"/>
  <c r="AV217" i="2"/>
  <c r="AU217" i="2"/>
  <c r="AU205" i="2"/>
  <c r="AV205" i="2"/>
  <c r="AV193" i="2"/>
  <c r="AU193" i="2"/>
  <c r="AV181" i="2"/>
  <c r="AU181" i="2"/>
  <c r="AV169" i="2"/>
  <c r="AU169" i="2"/>
  <c r="AU157" i="2"/>
  <c r="AV157" i="2"/>
  <c r="AV145" i="2"/>
  <c r="AU145" i="2"/>
  <c r="AV133" i="2"/>
  <c r="AU133" i="2"/>
  <c r="AV121" i="2"/>
  <c r="AU121" i="2"/>
  <c r="AU109" i="2"/>
  <c r="AV109" i="2"/>
  <c r="AV97" i="2"/>
  <c r="AU97" i="2"/>
  <c r="AV85" i="2"/>
  <c r="AU85" i="2"/>
  <c r="AV73" i="2"/>
  <c r="AU73" i="2"/>
  <c r="AV61" i="2"/>
  <c r="AU61" i="2"/>
  <c r="AV49" i="2"/>
  <c r="AU49" i="2"/>
  <c r="AU37" i="2"/>
  <c r="AV37" i="2"/>
  <c r="AV25" i="2"/>
  <c r="AU25" i="2"/>
  <c r="AV13" i="2"/>
  <c r="AU13" i="2"/>
  <c r="AY433" i="2" a="1"/>
  <c r="AY433" i="2" s="1"/>
  <c r="AO433" i="2" a="1"/>
  <c r="AO433" i="2" s="1"/>
  <c r="AN433" i="2"/>
  <c r="AY421" i="2" a="1"/>
  <c r="AY421" i="2" s="1"/>
  <c r="AN421" i="2"/>
  <c r="AO421" i="2" a="1"/>
  <c r="AO421" i="2" s="1"/>
  <c r="AY409" i="2" a="1"/>
  <c r="AY409" i="2" s="1"/>
  <c r="AO409" i="2" a="1"/>
  <c r="AO409" i="2" s="1"/>
  <c r="AN409" i="2"/>
  <c r="AY397" i="2" a="1"/>
  <c r="AY397" i="2" s="1"/>
  <c r="AO397" i="2" a="1"/>
  <c r="AO397" i="2" s="1"/>
  <c r="AN397" i="2"/>
  <c r="AY385" i="2" a="1"/>
  <c r="AY385" i="2" s="1"/>
  <c r="AO385" i="2" a="1"/>
  <c r="AO385" i="2" s="1"/>
  <c r="AN385" i="2"/>
  <c r="AY373" i="2" a="1"/>
  <c r="AY373" i="2" s="1"/>
  <c r="AO373" i="2" a="1"/>
  <c r="AO373" i="2" s="1"/>
  <c r="AN373" i="2"/>
  <c r="AY361" i="2" a="1"/>
  <c r="AY361" i="2" s="1"/>
  <c r="AO361" i="2" a="1"/>
  <c r="AO361" i="2" s="1"/>
  <c r="AN361" i="2"/>
  <c r="AY349" i="2" a="1"/>
  <c r="AY349" i="2" s="1"/>
  <c r="AO349" i="2" a="1"/>
  <c r="AO349" i="2" s="1"/>
  <c r="AN349" i="2"/>
  <c r="AY337" i="2" a="1"/>
  <c r="AY337" i="2" s="1"/>
  <c r="AO337" i="2" a="1"/>
  <c r="AO337" i="2" s="1"/>
  <c r="AN337" i="2"/>
  <c r="AY325" i="2" a="1"/>
  <c r="AY325" i="2" s="1"/>
  <c r="AO325" i="2" a="1"/>
  <c r="AO325" i="2" s="1"/>
  <c r="AN325" i="2"/>
  <c r="AY313" i="2" a="1"/>
  <c r="AY313" i="2" s="1"/>
  <c r="AO313" i="2" a="1"/>
  <c r="AO313" i="2" s="1"/>
  <c r="AN313" i="2"/>
  <c r="AY301" i="2" a="1"/>
  <c r="AY301" i="2" s="1"/>
  <c r="AO301" i="2" a="1"/>
  <c r="AO301" i="2" s="1"/>
  <c r="AN301" i="2"/>
  <c r="AY289" i="2" a="1"/>
  <c r="AY289" i="2" s="1"/>
  <c r="AO289" i="2" a="1"/>
  <c r="AO289" i="2" s="1"/>
  <c r="AN289" i="2"/>
  <c r="AY277" i="2" a="1"/>
  <c r="AY277" i="2" s="1"/>
  <c r="AO277" i="2" a="1"/>
  <c r="AO277" i="2" s="1"/>
  <c r="AN277" i="2"/>
  <c r="AY266" i="2" a="1"/>
  <c r="AY266" i="2" s="1"/>
  <c r="AO266" i="2" a="1"/>
  <c r="AO266" i="2" s="1"/>
  <c r="AN266" i="2"/>
  <c r="AY254" i="2" a="1"/>
  <c r="AY254" i="2" s="1"/>
  <c r="AO254" i="2" a="1"/>
  <c r="AO254" i="2" s="1"/>
  <c r="AN254" i="2"/>
  <c r="AY242" i="2" a="1"/>
  <c r="AY242" i="2" s="1"/>
  <c r="AO242" i="2" a="1"/>
  <c r="AO242" i="2" s="1"/>
  <c r="AN242" i="2"/>
  <c r="AY230" i="2" a="1"/>
  <c r="AY230" i="2" s="1"/>
  <c r="AN230" i="2"/>
  <c r="AO230" i="2" a="1"/>
  <c r="AO230" i="2" s="1"/>
  <c r="AY218" i="2" a="1"/>
  <c r="AY218" i="2" s="1"/>
  <c r="AO218" i="2" a="1"/>
  <c r="AO218" i="2" s="1"/>
  <c r="AN218" i="2"/>
  <c r="AY206" i="2" a="1"/>
  <c r="AY206" i="2" s="1"/>
  <c r="AO206" i="2" a="1"/>
  <c r="AO206" i="2" s="1"/>
  <c r="AN206" i="2"/>
  <c r="AY194" i="2" a="1"/>
  <c r="AY194" i="2" s="1"/>
  <c r="AO194" i="2" a="1"/>
  <c r="AO194" i="2" s="1"/>
  <c r="AN194" i="2"/>
  <c r="AY182" i="2" a="1"/>
  <c r="AY182" i="2" s="1"/>
  <c r="AO182" i="2" a="1"/>
  <c r="AO182" i="2" s="1"/>
  <c r="AN182" i="2"/>
  <c r="AY170" i="2" a="1"/>
  <c r="AY170" i="2" s="1"/>
  <c r="AO170" i="2" a="1"/>
  <c r="AO170" i="2" s="1"/>
  <c r="AN170" i="2"/>
  <c r="AY158" i="2" a="1"/>
  <c r="AY158" i="2" s="1"/>
  <c r="AO158" i="2" a="1"/>
  <c r="AO158" i="2" s="1"/>
  <c r="AN158" i="2"/>
  <c r="AY146" i="2" a="1"/>
  <c r="AY146" i="2" s="1"/>
  <c r="AO146" i="2" a="1"/>
  <c r="AO146" i="2" s="1"/>
  <c r="AN146" i="2"/>
  <c r="AY134" i="2" a="1"/>
  <c r="AY134" i="2" s="1"/>
  <c r="AO134" i="2" a="1"/>
  <c r="AO134" i="2" s="1"/>
  <c r="AN134" i="2"/>
  <c r="AY122" i="2" a="1"/>
  <c r="AY122" i="2" s="1"/>
  <c r="AO122" i="2" a="1"/>
  <c r="AO122" i="2" s="1"/>
  <c r="AN122" i="2"/>
  <c r="AY110" i="2" a="1"/>
  <c r="AY110" i="2" s="1"/>
  <c r="AO110" i="2" a="1"/>
  <c r="AO110" i="2" s="1"/>
  <c r="AN110" i="2"/>
  <c r="AY98" i="2" a="1"/>
  <c r="AY98" i="2" s="1"/>
  <c r="AO98" i="2" a="1"/>
  <c r="AO98" i="2" s="1"/>
  <c r="AN98" i="2"/>
  <c r="AY86" i="2" a="1"/>
  <c r="AY86" i="2" s="1"/>
  <c r="AO86" i="2" a="1"/>
  <c r="AO86" i="2" s="1"/>
  <c r="AN86" i="2"/>
  <c r="AY74" i="2" a="1"/>
  <c r="AY74" i="2" s="1"/>
  <c r="AO74" i="2" a="1"/>
  <c r="AO74" i="2" s="1"/>
  <c r="AN74" i="2"/>
  <c r="AY62" i="2" a="1"/>
  <c r="AY62" i="2" s="1"/>
  <c r="AO62" i="2" a="1"/>
  <c r="AO62" i="2" s="1"/>
  <c r="AN62" i="2"/>
  <c r="AY50" i="2" a="1"/>
  <c r="AY50" i="2" s="1"/>
  <c r="AO50" i="2" a="1"/>
  <c r="AO50" i="2" s="1"/>
  <c r="AN50" i="2"/>
  <c r="AY38" i="2" a="1"/>
  <c r="AY38" i="2" s="1"/>
  <c r="AO38" i="2" a="1"/>
  <c r="AO38" i="2" s="1"/>
  <c r="AN38" i="2"/>
  <c r="AY26" i="2" a="1"/>
  <c r="AY26" i="2" s="1"/>
  <c r="AO26" i="2" a="1"/>
  <c r="AO26" i="2" s="1"/>
  <c r="AN26" i="2"/>
  <c r="AY14" i="2" a="1"/>
  <c r="AY14" i="2" s="1"/>
  <c r="AO14" i="2" a="1"/>
  <c r="AO14" i="2" s="1"/>
  <c r="AN14" i="2"/>
  <c r="AY2" i="2" a="1"/>
  <c r="AY2" i="2" s="1"/>
  <c r="AO2" i="2" a="1"/>
  <c r="AO2" i="2" s="1"/>
  <c r="AN2" i="2"/>
  <c r="AQ1094" i="2"/>
  <c r="AQ1082" i="2"/>
  <c r="AQ1070" i="2"/>
  <c r="AQ1058" i="2"/>
  <c r="AQ1046" i="2"/>
  <c r="AQ1034" i="2"/>
  <c r="AQ1022" i="2"/>
  <c r="AQ1010" i="2"/>
  <c r="AQ998" i="2"/>
  <c r="AQ986" i="2"/>
  <c r="AQ974" i="2"/>
  <c r="AQ962" i="2"/>
  <c r="AQ950" i="2"/>
  <c r="AQ938" i="2"/>
  <c r="AQ926" i="2"/>
  <c r="AQ914" i="2"/>
  <c r="AQ902" i="2"/>
  <c r="AQ890" i="2"/>
  <c r="AQ878" i="2"/>
  <c r="AQ866" i="2"/>
  <c r="AQ854" i="2"/>
  <c r="AQ842" i="2"/>
  <c r="AQ830" i="2"/>
  <c r="AQ818" i="2"/>
  <c r="AQ806" i="2"/>
  <c r="AQ794" i="2"/>
  <c r="AQ782" i="2"/>
  <c r="AQ770" i="2"/>
  <c r="AQ758" i="2"/>
  <c r="AQ746" i="2"/>
  <c r="AQ734" i="2"/>
  <c r="AQ722" i="2"/>
  <c r="AQ710" i="2"/>
  <c r="AQ698" i="2"/>
  <c r="AQ686" i="2"/>
  <c r="AQ674" i="2"/>
  <c r="AQ662" i="2"/>
  <c r="AQ650" i="2"/>
  <c r="AQ638" i="2"/>
  <c r="AQ626" i="2"/>
  <c r="AQ614" i="2"/>
  <c r="AQ602" i="2"/>
  <c r="AQ590" i="2"/>
  <c r="AQ578" i="2"/>
  <c r="AQ566" i="2"/>
  <c r="AQ554" i="2"/>
  <c r="AQ542" i="2"/>
  <c r="AQ530" i="2"/>
  <c r="AQ518" i="2"/>
  <c r="AQ506" i="2"/>
  <c r="AQ494" i="2"/>
  <c r="AQ482" i="2"/>
  <c r="AQ470" i="2"/>
  <c r="AQ458" i="2"/>
  <c r="AQ446" i="2"/>
  <c r="AQ434" i="2"/>
  <c r="AQ422" i="2"/>
  <c r="AQ410" i="2"/>
  <c r="AQ398" i="2"/>
  <c r="AQ386" i="2"/>
  <c r="AQ374" i="2"/>
  <c r="AQ362" i="2"/>
  <c r="AQ350" i="2"/>
  <c r="AQ338" i="2"/>
  <c r="AQ326" i="2"/>
  <c r="AQ314" i="2"/>
  <c r="AQ302" i="2"/>
  <c r="AQ290" i="2"/>
  <c r="AQ278" i="2"/>
  <c r="AQ267" i="2"/>
  <c r="AQ255" i="2"/>
  <c r="AQ243" i="2"/>
  <c r="AQ231" i="2"/>
  <c r="AQ219" i="2"/>
  <c r="AQ207" i="2"/>
  <c r="AQ195" i="2"/>
  <c r="AQ183" i="2"/>
  <c r="AQ171" i="2"/>
  <c r="AQ159" i="2"/>
  <c r="AQ147" i="2"/>
  <c r="AQ135" i="2"/>
  <c r="AQ123" i="2"/>
  <c r="AQ111" i="2"/>
  <c r="AQ99" i="2"/>
  <c r="AQ87" i="2"/>
  <c r="AQ75" i="2"/>
  <c r="AQ63" i="2"/>
  <c r="AQ51" i="2"/>
  <c r="AQ39" i="2"/>
  <c r="AQ27" i="2"/>
  <c r="AQ15" i="2"/>
  <c r="AQ3" i="2"/>
  <c r="AS1089" i="2" a="1"/>
  <c r="AS1089" i="2" s="1"/>
  <c r="AW1089" i="2" s="1"/>
  <c r="AR1089" i="2"/>
  <c r="AT1089" i="2" s="1"/>
  <c r="AP1089" i="2"/>
  <c r="AS1077" i="2" a="1"/>
  <c r="AS1077" i="2" s="1"/>
  <c r="AW1077" i="2" s="1"/>
  <c r="AR1077" i="2"/>
  <c r="AT1077" i="2" s="1"/>
  <c r="AP1077" i="2"/>
  <c r="AS1065" i="2" a="1"/>
  <c r="AS1065" i="2" s="1"/>
  <c r="AW1065" i="2" s="1"/>
  <c r="AR1065" i="2"/>
  <c r="AT1065" i="2" s="1"/>
  <c r="AP1065" i="2"/>
  <c r="AS1053" i="2" a="1"/>
  <c r="AS1053" i="2" s="1"/>
  <c r="AW1053" i="2" s="1"/>
  <c r="AR1053" i="2"/>
  <c r="AT1053" i="2" s="1"/>
  <c r="AP1053" i="2"/>
  <c r="AS1041" i="2" a="1"/>
  <c r="AS1041" i="2" s="1"/>
  <c r="AW1041" i="2" s="1"/>
  <c r="AR1041" i="2"/>
  <c r="AT1041" i="2" s="1"/>
  <c r="AP1041" i="2"/>
  <c r="AS1029" i="2" a="1"/>
  <c r="AS1029" i="2" s="1"/>
  <c r="AW1029" i="2" s="1"/>
  <c r="AR1029" i="2"/>
  <c r="AT1029" i="2" s="1"/>
  <c r="AP1029" i="2"/>
  <c r="AS1017" i="2" a="1"/>
  <c r="AS1017" i="2" s="1"/>
  <c r="AW1017" i="2" s="1"/>
  <c r="AR1017" i="2"/>
  <c r="AT1017" i="2" s="1"/>
  <c r="AP1017" i="2"/>
  <c r="AS1005" i="2" a="1"/>
  <c r="AS1005" i="2" s="1"/>
  <c r="AW1005" i="2" s="1"/>
  <c r="AR1005" i="2"/>
  <c r="AT1005" i="2" s="1"/>
  <c r="AP1005" i="2"/>
  <c r="AS993" i="2" a="1"/>
  <c r="AS993" i="2" s="1"/>
  <c r="AW993" i="2" s="1"/>
  <c r="AR993" i="2"/>
  <c r="AT993" i="2" s="1"/>
  <c r="AP993" i="2"/>
  <c r="AS981" i="2" a="1"/>
  <c r="AS981" i="2" s="1"/>
  <c r="AW981" i="2" s="1"/>
  <c r="AR981" i="2"/>
  <c r="AT981" i="2" s="1"/>
  <c r="AP981" i="2"/>
  <c r="AR969" i="2"/>
  <c r="AT969" i="2" s="1"/>
  <c r="AS969" i="2" a="1"/>
  <c r="AS969" i="2" s="1"/>
  <c r="AW969" i="2" s="1"/>
  <c r="AP969" i="2"/>
  <c r="AS957" i="2" a="1"/>
  <c r="AS957" i="2" s="1"/>
  <c r="AW957" i="2" s="1"/>
  <c r="AR957" i="2"/>
  <c r="AT957" i="2" s="1"/>
  <c r="AP957" i="2"/>
  <c r="AS945" i="2" a="1"/>
  <c r="AS945" i="2" s="1"/>
  <c r="AW945" i="2" s="1"/>
  <c r="AR945" i="2"/>
  <c r="AT945" i="2" s="1"/>
  <c r="AP945" i="2"/>
  <c r="AR933" i="2"/>
  <c r="AT933" i="2" s="1"/>
  <c r="AS933" i="2" a="1"/>
  <c r="AS933" i="2" s="1"/>
  <c r="AW933" i="2" s="1"/>
  <c r="AP933" i="2"/>
  <c r="AR921" i="2"/>
  <c r="AT921" i="2" s="1"/>
  <c r="AS921" i="2" a="1"/>
  <c r="AS921" i="2" s="1"/>
  <c r="AW921" i="2" s="1"/>
  <c r="AP921" i="2"/>
  <c r="AS909" i="2" a="1"/>
  <c r="AS909" i="2" s="1"/>
  <c r="AW909" i="2" s="1"/>
  <c r="AR909" i="2"/>
  <c r="AT909" i="2" s="1"/>
  <c r="AP909" i="2"/>
  <c r="AS897" i="2" a="1"/>
  <c r="AS897" i="2" s="1"/>
  <c r="AW897" i="2" s="1"/>
  <c r="AR897" i="2"/>
  <c r="AT897" i="2" s="1"/>
  <c r="AP897" i="2"/>
  <c r="AS885" i="2" a="1"/>
  <c r="AS885" i="2" s="1"/>
  <c r="AW885" i="2" s="1"/>
  <c r="AR885" i="2"/>
  <c r="AT885" i="2" s="1"/>
  <c r="AP885" i="2"/>
  <c r="AS873" i="2" a="1"/>
  <c r="AS873" i="2" s="1"/>
  <c r="AW873" i="2" s="1"/>
  <c r="AR873" i="2"/>
  <c r="AT873" i="2" s="1"/>
  <c r="AP873" i="2"/>
  <c r="AR861" i="2"/>
  <c r="AT861" i="2" s="1"/>
  <c r="AS861" i="2" a="1"/>
  <c r="AS861" i="2" s="1"/>
  <c r="AW861" i="2" s="1"/>
  <c r="AP861" i="2"/>
  <c r="AS849" i="2" a="1"/>
  <c r="AS849" i="2" s="1"/>
  <c r="AW849" i="2" s="1"/>
  <c r="AR849" i="2"/>
  <c r="AT849" i="2" s="1"/>
  <c r="AP849" i="2"/>
  <c r="AS837" i="2" a="1"/>
  <c r="AS837" i="2" s="1"/>
  <c r="AW837" i="2" s="1"/>
  <c r="AR837" i="2"/>
  <c r="AT837" i="2" s="1"/>
  <c r="AP837" i="2"/>
  <c r="AS825" i="2" a="1"/>
  <c r="AS825" i="2" s="1"/>
  <c r="AW825" i="2" s="1"/>
  <c r="AR825" i="2"/>
  <c r="AT825" i="2" s="1"/>
  <c r="AP825" i="2"/>
  <c r="AR813" i="2"/>
  <c r="AT813" i="2" s="1"/>
  <c r="AS813" i="2" a="1"/>
  <c r="AS813" i="2" s="1"/>
  <c r="AW813" i="2" s="1"/>
  <c r="AP813" i="2"/>
  <c r="AS801" i="2" a="1"/>
  <c r="AS801" i="2" s="1"/>
  <c r="AW801" i="2" s="1"/>
  <c r="AR801" i="2"/>
  <c r="AT801" i="2" s="1"/>
  <c r="AP801" i="2"/>
  <c r="AS789" i="2" a="1"/>
  <c r="AS789" i="2" s="1"/>
  <c r="AW789" i="2" s="1"/>
  <c r="AR789" i="2"/>
  <c r="AT789" i="2" s="1"/>
  <c r="AP789" i="2"/>
  <c r="AS777" i="2" a="1"/>
  <c r="AS777" i="2" s="1"/>
  <c r="AW777" i="2" s="1"/>
  <c r="AR777" i="2"/>
  <c r="AT777" i="2" s="1"/>
  <c r="AP777" i="2"/>
  <c r="AS765" i="2" a="1"/>
  <c r="AS765" i="2" s="1"/>
  <c r="AW765" i="2" s="1"/>
  <c r="AR765" i="2"/>
  <c r="AT765" i="2" s="1"/>
  <c r="AP765" i="2"/>
  <c r="AS753" i="2" a="1"/>
  <c r="AS753" i="2" s="1"/>
  <c r="AW753" i="2" s="1"/>
  <c r="AR753" i="2"/>
  <c r="AT753" i="2" s="1"/>
  <c r="AP753" i="2"/>
  <c r="AS741" i="2" a="1"/>
  <c r="AS741" i="2" s="1"/>
  <c r="AW741" i="2" s="1"/>
  <c r="AR741" i="2"/>
  <c r="AT741" i="2" s="1"/>
  <c r="AP741" i="2"/>
  <c r="AR729" i="2"/>
  <c r="AT729" i="2" s="1"/>
  <c r="AS729" i="2" a="1"/>
  <c r="AS729" i="2" s="1"/>
  <c r="AW729" i="2" s="1"/>
  <c r="AP729" i="2"/>
  <c r="AS717" i="2" a="1"/>
  <c r="AS717" i="2" s="1"/>
  <c r="AW717" i="2" s="1"/>
  <c r="AR717" i="2"/>
  <c r="AT717" i="2" s="1"/>
  <c r="AP717" i="2"/>
  <c r="AS705" i="2" a="1"/>
  <c r="AS705" i="2" s="1"/>
  <c r="AW705" i="2" s="1"/>
  <c r="AR705" i="2"/>
  <c r="AT705" i="2" s="1"/>
  <c r="AP705" i="2"/>
  <c r="AS693" i="2" a="1"/>
  <c r="AS693" i="2" s="1"/>
  <c r="AW693" i="2" s="1"/>
  <c r="AR693" i="2"/>
  <c r="AT693" i="2" s="1"/>
  <c r="AP693" i="2"/>
  <c r="AS681" i="2" a="1"/>
  <c r="AS681" i="2" s="1"/>
  <c r="AW681" i="2" s="1"/>
  <c r="AR681" i="2"/>
  <c r="AT681" i="2" s="1"/>
  <c r="AP681" i="2"/>
  <c r="AS669" i="2" a="1"/>
  <c r="AS669" i="2" s="1"/>
  <c r="AW669" i="2" s="1"/>
  <c r="AR669" i="2"/>
  <c r="AT669" i="2" s="1"/>
  <c r="AP669" i="2"/>
  <c r="AS657" i="2" a="1"/>
  <c r="AS657" i="2" s="1"/>
  <c r="AW657" i="2" s="1"/>
  <c r="AR657" i="2"/>
  <c r="AT657" i="2" s="1"/>
  <c r="AP657" i="2"/>
  <c r="AR645" i="2"/>
  <c r="AT645" i="2" s="1"/>
  <c r="AS645" i="2" a="1"/>
  <c r="AS645" i="2" s="1"/>
  <c r="AW645" i="2" s="1"/>
  <c r="AP645" i="2"/>
  <c r="AS633" i="2" a="1"/>
  <c r="AS633" i="2" s="1"/>
  <c r="AW633" i="2" s="1"/>
  <c r="AR633" i="2"/>
  <c r="AT633" i="2" s="1"/>
  <c r="AP633" i="2"/>
  <c r="AS621" i="2" a="1"/>
  <c r="AS621" i="2" s="1"/>
  <c r="AW621" i="2" s="1"/>
  <c r="AR621" i="2"/>
  <c r="AT621" i="2" s="1"/>
  <c r="AP621" i="2"/>
  <c r="AS609" i="2" a="1"/>
  <c r="AS609" i="2" s="1"/>
  <c r="AW609" i="2" s="1"/>
  <c r="AR609" i="2"/>
  <c r="AT609" i="2" s="1"/>
  <c r="AP609" i="2"/>
  <c r="AS597" i="2" a="1"/>
  <c r="AS597" i="2" s="1"/>
  <c r="AW597" i="2" s="1"/>
  <c r="AR597" i="2"/>
  <c r="AT597" i="2" s="1"/>
  <c r="AP597" i="2"/>
  <c r="AR585" i="2"/>
  <c r="AT585" i="2" s="1"/>
  <c r="AS585" i="2" a="1"/>
  <c r="AS585" i="2" s="1"/>
  <c r="AW585" i="2" s="1"/>
  <c r="AP585" i="2"/>
  <c r="AR573" i="2"/>
  <c r="AT573" i="2" s="1"/>
  <c r="AS573" i="2" a="1"/>
  <c r="AS573" i="2" s="1"/>
  <c r="AW573" i="2" s="1"/>
  <c r="AP573" i="2"/>
  <c r="AS561" i="2" a="1"/>
  <c r="AS561" i="2" s="1"/>
  <c r="AW561" i="2" s="1"/>
  <c r="AR561" i="2"/>
  <c r="AT561" i="2" s="1"/>
  <c r="AP561" i="2"/>
  <c r="AS549" i="2" a="1"/>
  <c r="AS549" i="2" s="1"/>
  <c r="AW549" i="2" s="1"/>
  <c r="AR549" i="2"/>
  <c r="AT549" i="2" s="1"/>
  <c r="AP549" i="2"/>
  <c r="AR537" i="2"/>
  <c r="AT537" i="2" s="1"/>
  <c r="AS537" i="2" a="1"/>
  <c r="AS537" i="2" s="1"/>
  <c r="AW537" i="2" s="1"/>
  <c r="AP537" i="2"/>
  <c r="AR525" i="2"/>
  <c r="AT525" i="2" s="1"/>
  <c r="AS525" i="2" a="1"/>
  <c r="AS525" i="2" s="1"/>
  <c r="AW525" i="2" s="1"/>
  <c r="AP525" i="2"/>
  <c r="AS513" i="2" a="1"/>
  <c r="AS513" i="2" s="1"/>
  <c r="AW513" i="2" s="1"/>
  <c r="AR513" i="2"/>
  <c r="AT513" i="2" s="1"/>
  <c r="AP513" i="2"/>
  <c r="AR501" i="2"/>
  <c r="AT501" i="2" s="1"/>
  <c r="AS501" i="2" a="1"/>
  <c r="AS501" i="2" s="1"/>
  <c r="AW501" i="2" s="1"/>
  <c r="AP501" i="2"/>
  <c r="AS489" i="2" a="1"/>
  <c r="AS489" i="2" s="1"/>
  <c r="AW489" i="2" s="1"/>
  <c r="AR489" i="2"/>
  <c r="AT489" i="2" s="1"/>
  <c r="AP489" i="2"/>
  <c r="AS477" i="2" a="1"/>
  <c r="AS477" i="2" s="1"/>
  <c r="AW477" i="2" s="1"/>
  <c r="AR477" i="2"/>
  <c r="AT477" i="2" s="1"/>
  <c r="AP477" i="2"/>
  <c r="AS465" i="2" a="1"/>
  <c r="AS465" i="2" s="1"/>
  <c r="AW465" i="2" s="1"/>
  <c r="AR465" i="2"/>
  <c r="AT465" i="2" s="1"/>
  <c r="AP465" i="2"/>
  <c r="AR453" i="2"/>
  <c r="AT453" i="2" s="1"/>
  <c r="AS453" i="2" a="1"/>
  <c r="AS453" i="2" s="1"/>
  <c r="AW453" i="2" s="1"/>
  <c r="AP453" i="2"/>
  <c r="AS441" i="2" a="1"/>
  <c r="AS441" i="2" s="1"/>
  <c r="AW441" i="2" s="1"/>
  <c r="AR441" i="2"/>
  <c r="AT441" i="2" s="1"/>
  <c r="AP441" i="2"/>
  <c r="AS429" i="2" a="1"/>
  <c r="AS429" i="2" s="1"/>
  <c r="AW429" i="2" s="1"/>
  <c r="AR429" i="2"/>
  <c r="AT429" i="2" s="1"/>
  <c r="AP429" i="2"/>
  <c r="AS417" i="2" a="1"/>
  <c r="AS417" i="2" s="1"/>
  <c r="AW417" i="2" s="1"/>
  <c r="AR417" i="2"/>
  <c r="AT417" i="2" s="1"/>
  <c r="AP417" i="2"/>
  <c r="AS405" i="2" a="1"/>
  <c r="AS405" i="2" s="1"/>
  <c r="AW405" i="2" s="1"/>
  <c r="AR405" i="2"/>
  <c r="AT405" i="2" s="1"/>
  <c r="AP405" i="2"/>
  <c r="AR393" i="2"/>
  <c r="AT393" i="2" s="1"/>
  <c r="AS393" i="2" a="1"/>
  <c r="AS393" i="2" s="1"/>
  <c r="AW393" i="2" s="1"/>
  <c r="AP393" i="2"/>
  <c r="AS381" i="2" a="1"/>
  <c r="AS381" i="2" s="1"/>
  <c r="AW381" i="2" s="1"/>
  <c r="AR381" i="2"/>
  <c r="AT381" i="2" s="1"/>
  <c r="AP381" i="2"/>
  <c r="AS369" i="2" a="1"/>
  <c r="AS369" i="2" s="1"/>
  <c r="AW369" i="2" s="1"/>
  <c r="AR369" i="2"/>
  <c r="AT369" i="2" s="1"/>
  <c r="AP369" i="2"/>
  <c r="AR357" i="2"/>
  <c r="AT357" i="2" s="1"/>
  <c r="AS357" i="2" a="1"/>
  <c r="AS357" i="2" s="1"/>
  <c r="AW357" i="2" s="1"/>
  <c r="AP357" i="2"/>
  <c r="AS345" i="2" a="1"/>
  <c r="AS345" i="2" s="1"/>
  <c r="AW345" i="2" s="1"/>
  <c r="AR345" i="2"/>
  <c r="AT345" i="2" s="1"/>
  <c r="AP345" i="2"/>
  <c r="AS333" i="2" a="1"/>
  <c r="AS333" i="2" s="1"/>
  <c r="AW333" i="2" s="1"/>
  <c r="AR333" i="2"/>
  <c r="AT333" i="2" s="1"/>
  <c r="AP333" i="2"/>
  <c r="AS321" i="2" a="1"/>
  <c r="AS321" i="2" s="1"/>
  <c r="AW321" i="2" s="1"/>
  <c r="AR321" i="2"/>
  <c r="AT321" i="2" s="1"/>
  <c r="AP321" i="2"/>
  <c r="AR309" i="2"/>
  <c r="AT309" i="2" s="1"/>
  <c r="AS309" i="2" a="1"/>
  <c r="AS309" i="2" s="1"/>
  <c r="AW309" i="2" s="1"/>
  <c r="AP309" i="2"/>
  <c r="AS297" i="2" a="1"/>
  <c r="AS297" i="2" s="1"/>
  <c r="AW297" i="2" s="1"/>
  <c r="AR297" i="2"/>
  <c r="AT297" i="2" s="1"/>
  <c r="AP297" i="2"/>
  <c r="AR285" i="2"/>
  <c r="AT285" i="2" s="1"/>
  <c r="AS285" i="2" a="1"/>
  <c r="AS285" i="2" s="1"/>
  <c r="AW285" i="2" s="1"/>
  <c r="AP285" i="2"/>
  <c r="AS274" i="2" a="1"/>
  <c r="AS274" i="2" s="1"/>
  <c r="AW274" i="2" s="1"/>
  <c r="AR274" i="2"/>
  <c r="AT274" i="2" s="1"/>
  <c r="AP274" i="2"/>
  <c r="AS262" i="2" a="1"/>
  <c r="AS262" i="2" s="1"/>
  <c r="AW262" i="2" s="1"/>
  <c r="AR262" i="2"/>
  <c r="AT262" i="2" s="1"/>
  <c r="AP262" i="2"/>
  <c r="AS250" i="2" a="1"/>
  <c r="AS250" i="2" s="1"/>
  <c r="AW250" i="2" s="1"/>
  <c r="AR250" i="2"/>
  <c r="AT250" i="2" s="1"/>
  <c r="AP250" i="2"/>
  <c r="AS238" i="2" a="1"/>
  <c r="AS238" i="2" s="1"/>
  <c r="AW238" i="2" s="1"/>
  <c r="AR238" i="2"/>
  <c r="AT238" i="2" s="1"/>
  <c r="AP238" i="2"/>
  <c r="AS226" i="2" a="1"/>
  <c r="AS226" i="2" s="1"/>
  <c r="AW226" i="2" s="1"/>
  <c r="AR226" i="2"/>
  <c r="AT226" i="2" s="1"/>
  <c r="AP226" i="2"/>
  <c r="AS214" i="2" a="1"/>
  <c r="AS214" i="2" s="1"/>
  <c r="AW214" i="2" s="1"/>
  <c r="AR214" i="2"/>
  <c r="AT214" i="2" s="1"/>
  <c r="AP214" i="2"/>
  <c r="AR202" i="2"/>
  <c r="AT202" i="2" s="1"/>
  <c r="AS202" i="2" a="1"/>
  <c r="AS202" i="2" s="1"/>
  <c r="AW202" i="2" s="1"/>
  <c r="AP202" i="2"/>
  <c r="AS190" i="2" a="1"/>
  <c r="AS190" i="2" s="1"/>
  <c r="AW190" i="2" s="1"/>
  <c r="AR190" i="2"/>
  <c r="AT190" i="2" s="1"/>
  <c r="AP190" i="2"/>
  <c r="AS178" i="2" a="1"/>
  <c r="AS178" i="2" s="1"/>
  <c r="AW178" i="2" s="1"/>
  <c r="AR178" i="2"/>
  <c r="AT178" i="2" s="1"/>
  <c r="AP178" i="2"/>
  <c r="AS166" i="2" a="1"/>
  <c r="AS166" i="2" s="1"/>
  <c r="AW166" i="2" s="1"/>
  <c r="AR166" i="2"/>
  <c r="AT166" i="2" s="1"/>
  <c r="AP166" i="2"/>
  <c r="AS154" i="2" a="1"/>
  <c r="AS154" i="2" s="1"/>
  <c r="AW154" i="2" s="1"/>
  <c r="AR154" i="2"/>
  <c r="AT154" i="2" s="1"/>
  <c r="AP154" i="2"/>
  <c r="AS142" i="2" a="1"/>
  <c r="AS142" i="2" s="1"/>
  <c r="AW142" i="2" s="1"/>
  <c r="AR142" i="2"/>
  <c r="AT142" i="2" s="1"/>
  <c r="AP142" i="2"/>
  <c r="AS130" i="2" a="1"/>
  <c r="AS130" i="2" s="1"/>
  <c r="AW130" i="2" s="1"/>
  <c r="AR130" i="2"/>
  <c r="AT130" i="2" s="1"/>
  <c r="AP130" i="2"/>
  <c r="AS118" i="2" a="1"/>
  <c r="AS118" i="2" s="1"/>
  <c r="AW118" i="2" s="1"/>
  <c r="AP118" i="2"/>
  <c r="AR118" i="2"/>
  <c r="AT118" i="2" s="1"/>
  <c r="AS106" i="2" a="1"/>
  <c r="AS106" i="2" s="1"/>
  <c r="AW106" i="2" s="1"/>
  <c r="AR106" i="2"/>
  <c r="AT106" i="2" s="1"/>
  <c r="AP106" i="2"/>
  <c r="AS94" i="2" a="1"/>
  <c r="AS94" i="2" s="1"/>
  <c r="AW94" i="2" s="1"/>
  <c r="AR94" i="2"/>
  <c r="AT94" i="2" s="1"/>
  <c r="AP94" i="2"/>
  <c r="AS82" i="2" a="1"/>
  <c r="AS82" i="2" s="1"/>
  <c r="AW82" i="2" s="1"/>
  <c r="AR82" i="2"/>
  <c r="AT82" i="2" s="1"/>
  <c r="AP82" i="2"/>
  <c r="AS70" i="2" a="1"/>
  <c r="AS70" i="2" s="1"/>
  <c r="AW70" i="2" s="1"/>
  <c r="AR70" i="2"/>
  <c r="AT70" i="2" s="1"/>
  <c r="AP70" i="2"/>
  <c r="AS58" i="2" a="1"/>
  <c r="AS58" i="2" s="1"/>
  <c r="AW58" i="2" s="1"/>
  <c r="AR58" i="2"/>
  <c r="AT58" i="2" s="1"/>
  <c r="AS46" i="2" a="1"/>
  <c r="AS46" i="2" s="1"/>
  <c r="AW46" i="2" s="1"/>
  <c r="AR46" i="2"/>
  <c r="AT46" i="2" s="1"/>
  <c r="AP46" i="2"/>
  <c r="AS34" i="2" a="1"/>
  <c r="AS34" i="2" s="1"/>
  <c r="AW34" i="2" s="1"/>
  <c r="AR34" i="2"/>
  <c r="AT34" i="2" s="1"/>
  <c r="AP34" i="2"/>
  <c r="AS22" i="2" a="1"/>
  <c r="AS22" i="2" s="1"/>
  <c r="AW22" i="2" s="1"/>
  <c r="AR22" i="2"/>
  <c r="AT22" i="2" s="1"/>
  <c r="AP22" i="2"/>
  <c r="AS10" i="2" a="1"/>
  <c r="AS10" i="2" s="1"/>
  <c r="AW10" i="2" s="1"/>
  <c r="AR10" i="2"/>
  <c r="AT10" i="2" s="1"/>
  <c r="AP10" i="2"/>
  <c r="AV1091" i="2"/>
  <c r="AU1091" i="2"/>
  <c r="AV1079" i="2"/>
  <c r="AU1079" i="2"/>
  <c r="AV1067" i="2"/>
  <c r="AU1067" i="2"/>
  <c r="AV1055" i="2"/>
  <c r="AU1055" i="2"/>
  <c r="AU1043" i="2"/>
  <c r="AV1043" i="2"/>
  <c r="AV1031" i="2"/>
  <c r="AU1031" i="2"/>
  <c r="AV1019" i="2"/>
  <c r="AU1019" i="2"/>
  <c r="AV1007" i="2"/>
  <c r="AU1007" i="2"/>
  <c r="AU995" i="2"/>
  <c r="AV995" i="2"/>
  <c r="AV983" i="2"/>
  <c r="AU983" i="2"/>
  <c r="AV971" i="2"/>
  <c r="AU971" i="2"/>
  <c r="AV959" i="2"/>
  <c r="AU959" i="2"/>
  <c r="AU947" i="2"/>
  <c r="AV947" i="2"/>
  <c r="AV935" i="2"/>
  <c r="AU935" i="2"/>
  <c r="AV923" i="2"/>
  <c r="AU923" i="2"/>
  <c r="AV911" i="2"/>
  <c r="AU911" i="2"/>
  <c r="AU899" i="2"/>
  <c r="AV899" i="2"/>
  <c r="AV887" i="2"/>
  <c r="AU887" i="2"/>
  <c r="AV875" i="2"/>
  <c r="AU875" i="2"/>
  <c r="AU863" i="2"/>
  <c r="AV863" i="2"/>
  <c r="AU851" i="2"/>
  <c r="AV851" i="2"/>
  <c r="AV839" i="2"/>
  <c r="AU839" i="2"/>
  <c r="AV827" i="2"/>
  <c r="AU827" i="2"/>
  <c r="AV815" i="2"/>
  <c r="AU815" i="2"/>
  <c r="AV803" i="2"/>
  <c r="AU803" i="2"/>
  <c r="AV791" i="2"/>
  <c r="AU791" i="2"/>
  <c r="AV779" i="2"/>
  <c r="AU779" i="2"/>
  <c r="AV767" i="2"/>
  <c r="AU767" i="2"/>
  <c r="AV755" i="2"/>
  <c r="AU755" i="2"/>
  <c r="AV743" i="2"/>
  <c r="AU743" i="2"/>
  <c r="AV731" i="2"/>
  <c r="AU731" i="2"/>
  <c r="AV719" i="2"/>
  <c r="AU719" i="2"/>
  <c r="AV707" i="2"/>
  <c r="AU707" i="2"/>
  <c r="AV695" i="2"/>
  <c r="AU695" i="2"/>
  <c r="AV683" i="2"/>
  <c r="AU683" i="2"/>
  <c r="AV671" i="2"/>
  <c r="AU671" i="2"/>
  <c r="AV659" i="2"/>
  <c r="AU659" i="2"/>
  <c r="AV647" i="2"/>
  <c r="AU647" i="2"/>
  <c r="AV635" i="2"/>
  <c r="AU635" i="2"/>
  <c r="AV623" i="2"/>
  <c r="AU623" i="2"/>
  <c r="AV611" i="2"/>
  <c r="AU611" i="2"/>
  <c r="AV599" i="2"/>
  <c r="AU599" i="2"/>
  <c r="AV587" i="2"/>
  <c r="AU587" i="2"/>
  <c r="AV575" i="2"/>
  <c r="AU575" i="2"/>
  <c r="AV563" i="2"/>
  <c r="AU563" i="2"/>
  <c r="AV551" i="2"/>
  <c r="AU551" i="2"/>
  <c r="AV539" i="2"/>
  <c r="AU539" i="2"/>
  <c r="AV527" i="2"/>
  <c r="AU527" i="2"/>
  <c r="AV515" i="2"/>
  <c r="AU515" i="2"/>
  <c r="AV503" i="2"/>
  <c r="AU503" i="2"/>
  <c r="AV491" i="2"/>
  <c r="AU491" i="2"/>
  <c r="AV479" i="2"/>
  <c r="AU479" i="2"/>
  <c r="AV467" i="2"/>
  <c r="AU467" i="2"/>
  <c r="AV455" i="2"/>
  <c r="AU455" i="2"/>
  <c r="AV443" i="2"/>
  <c r="AU443" i="2"/>
  <c r="AV431" i="2"/>
  <c r="AU431" i="2"/>
  <c r="AV419" i="2"/>
  <c r="AU419" i="2"/>
  <c r="AV407" i="2"/>
  <c r="AU407" i="2"/>
  <c r="AV395" i="2"/>
  <c r="AU395" i="2"/>
  <c r="AV383" i="2"/>
  <c r="AU383" i="2"/>
  <c r="AV371" i="2"/>
  <c r="AU371" i="2"/>
  <c r="AV359" i="2"/>
  <c r="AU359" i="2"/>
  <c r="AV347" i="2"/>
  <c r="AU347" i="2"/>
  <c r="AV335" i="2"/>
  <c r="AU335" i="2"/>
  <c r="AV323" i="2"/>
  <c r="AU323" i="2"/>
  <c r="AV311" i="2"/>
  <c r="AU311" i="2"/>
  <c r="AV299" i="2"/>
  <c r="AU299" i="2"/>
  <c r="AV287" i="2"/>
  <c r="AU287" i="2"/>
  <c r="AV276" i="2"/>
  <c r="AU276" i="2"/>
  <c r="AV264" i="2"/>
  <c r="AU264" i="2"/>
  <c r="AV252" i="2"/>
  <c r="AU252" i="2"/>
  <c r="AV240" i="2"/>
  <c r="AU240" i="2"/>
  <c r="AV228" i="2"/>
  <c r="AU228" i="2"/>
  <c r="AV216" i="2"/>
  <c r="AU216" i="2"/>
  <c r="AV204" i="2"/>
  <c r="AU204" i="2"/>
  <c r="AU192" i="2"/>
  <c r="AV192" i="2"/>
  <c r="AV180" i="2"/>
  <c r="AU180" i="2"/>
  <c r="AV168" i="2"/>
  <c r="AU168" i="2"/>
  <c r="AV156" i="2"/>
  <c r="AU156" i="2"/>
  <c r="AU144" i="2"/>
  <c r="AV144" i="2"/>
  <c r="AV132" i="2"/>
  <c r="AU132" i="2"/>
  <c r="AU120" i="2"/>
  <c r="AV120" i="2"/>
  <c r="AV108" i="2"/>
  <c r="AU108" i="2"/>
  <c r="AV96" i="2"/>
  <c r="AU96" i="2"/>
  <c r="AV84" i="2"/>
  <c r="AU84" i="2"/>
  <c r="AV72" i="2"/>
  <c r="AU72" i="2"/>
  <c r="AV60" i="2"/>
  <c r="AU60" i="2"/>
  <c r="AV48" i="2"/>
  <c r="AU48" i="2"/>
  <c r="AV36" i="2"/>
  <c r="AU36" i="2"/>
  <c r="AV24" i="2"/>
  <c r="AU24" i="2"/>
  <c r="AV12" i="2"/>
  <c r="AU12" i="2"/>
  <c r="AX1091" i="2"/>
  <c r="AX1079" i="2"/>
  <c r="AX1067" i="2"/>
  <c r="AX1055" i="2"/>
  <c r="AX1043" i="2"/>
  <c r="AX1031" i="2"/>
  <c r="AX1019" i="2"/>
  <c r="AX1007" i="2"/>
  <c r="AX995" i="2"/>
  <c r="AX983" i="2"/>
  <c r="AX971" i="2"/>
  <c r="AX959" i="2"/>
  <c r="AX947" i="2"/>
  <c r="AX935" i="2"/>
  <c r="AX923" i="2"/>
  <c r="AX911" i="2"/>
  <c r="AX899" i="2"/>
  <c r="AX887" i="2"/>
  <c r="AX875" i="2"/>
  <c r="AX863" i="2"/>
  <c r="AX851" i="2"/>
  <c r="AX839" i="2"/>
  <c r="AX827" i="2"/>
  <c r="AX815" i="2"/>
  <c r="AX803" i="2"/>
  <c r="AX791" i="2"/>
  <c r="AX779" i="2"/>
  <c r="AX767" i="2"/>
  <c r="AX755" i="2"/>
  <c r="AX743" i="2"/>
  <c r="AX731" i="2"/>
  <c r="AX719" i="2"/>
  <c r="AX707" i="2"/>
  <c r="AX695" i="2"/>
  <c r="AX683" i="2"/>
  <c r="AX671" i="2"/>
  <c r="AX659" i="2"/>
  <c r="AX647" i="2"/>
  <c r="AX635" i="2"/>
  <c r="AX623" i="2"/>
  <c r="AX611" i="2"/>
  <c r="AX599" i="2"/>
  <c r="AX587" i="2"/>
  <c r="AX575" i="2"/>
  <c r="AX563" i="2"/>
  <c r="AX551" i="2"/>
  <c r="AX539" i="2"/>
  <c r="AX527" i="2"/>
  <c r="AX515" i="2"/>
  <c r="AX503" i="2"/>
  <c r="AX491" i="2"/>
  <c r="AX479" i="2"/>
  <c r="AX467" i="2"/>
  <c r="AX455" i="2"/>
  <c r="AX443" i="2"/>
  <c r="AX431" i="2"/>
  <c r="AX419" i="2"/>
  <c r="AX407" i="2"/>
  <c r="AX395" i="2"/>
  <c r="AX383" i="2"/>
  <c r="AX371" i="2"/>
  <c r="AX359" i="2"/>
  <c r="AX347" i="2"/>
  <c r="AX335" i="2"/>
  <c r="AX323" i="2"/>
  <c r="AX311" i="2"/>
  <c r="AX299" i="2"/>
  <c r="AX287" i="2"/>
  <c r="AX276" i="2"/>
  <c r="AX264" i="2"/>
  <c r="AX252" i="2"/>
  <c r="AX240" i="2"/>
  <c r="AX228" i="2"/>
  <c r="AX216" i="2"/>
  <c r="AX204" i="2"/>
  <c r="AX192" i="2"/>
  <c r="AX180" i="2"/>
  <c r="AX168" i="2"/>
  <c r="AX156" i="2"/>
  <c r="AX144" i="2"/>
  <c r="AX132" i="2"/>
  <c r="AX120" i="2"/>
  <c r="AX108" i="2"/>
  <c r="AX96" i="2"/>
  <c r="AX84" i="2"/>
  <c r="AX72" i="2"/>
  <c r="AX60" i="2"/>
  <c r="AX48" i="2"/>
  <c r="AX36" i="2"/>
  <c r="AX24" i="2"/>
  <c r="AX12" i="2"/>
  <c r="AX1090" i="2"/>
  <c r="AX1078" i="2"/>
  <c r="AX1066" i="2"/>
  <c r="AX1054" i="2"/>
  <c r="AX1042" i="2"/>
  <c r="AX1030" i="2"/>
  <c r="AX1018" i="2"/>
  <c r="AX1006" i="2"/>
  <c r="AX994" i="2"/>
  <c r="AX982" i="2"/>
  <c r="AX970" i="2"/>
  <c r="AX958" i="2"/>
  <c r="AX946" i="2"/>
  <c r="AX934" i="2"/>
  <c r="AX922" i="2"/>
  <c r="AX910" i="2"/>
  <c r="AX898" i="2"/>
  <c r="AX886" i="2"/>
  <c r="AX874" i="2"/>
  <c r="AX862" i="2"/>
  <c r="AX850" i="2"/>
  <c r="AX838" i="2"/>
  <c r="AX826" i="2"/>
  <c r="AX814" i="2"/>
  <c r="AX802" i="2"/>
  <c r="AX790" i="2"/>
  <c r="AX778" i="2"/>
  <c r="AX766" i="2"/>
  <c r="AX754" i="2"/>
  <c r="AX742" i="2"/>
  <c r="AX730" i="2"/>
  <c r="AX718" i="2"/>
  <c r="AX706" i="2"/>
  <c r="AX694" i="2"/>
  <c r="AX682" i="2"/>
  <c r="AX670" i="2"/>
  <c r="AX658" i="2"/>
  <c r="AX646" i="2"/>
  <c r="AX634" i="2"/>
  <c r="AX622" i="2"/>
  <c r="AX610" i="2"/>
  <c r="AX598" i="2"/>
  <c r="AX586" i="2"/>
  <c r="AX574" i="2"/>
  <c r="AX562" i="2"/>
  <c r="AX550" i="2"/>
  <c r="AX538" i="2"/>
  <c r="AX526" i="2"/>
  <c r="AX514" i="2"/>
  <c r="AX502" i="2"/>
  <c r="AX490" i="2"/>
  <c r="AX478" i="2"/>
  <c r="AX466" i="2"/>
  <c r="AX454" i="2"/>
  <c r="AX442" i="2"/>
  <c r="AX430" i="2"/>
  <c r="AX418" i="2"/>
  <c r="AX406" i="2"/>
  <c r="AX394" i="2"/>
  <c r="AX382" i="2"/>
  <c r="AX370" i="2"/>
  <c r="AX358" i="2"/>
  <c r="AX346" i="2"/>
  <c r="AX334" i="2"/>
  <c r="AX322" i="2"/>
  <c r="AX310" i="2"/>
  <c r="AX298" i="2"/>
  <c r="AX286" i="2"/>
  <c r="AX275" i="2"/>
  <c r="AX263" i="2"/>
  <c r="AX251" i="2"/>
  <c r="AX239" i="2"/>
  <c r="AX227" i="2"/>
  <c r="AX215" i="2"/>
  <c r="AX203" i="2"/>
  <c r="AX191" i="2"/>
  <c r="AX179" i="2"/>
  <c r="AX167" i="2"/>
  <c r="AX155" i="2"/>
  <c r="AX143" i="2"/>
  <c r="AX131" i="2"/>
  <c r="AX119" i="2"/>
  <c r="AX107" i="2"/>
  <c r="AX95" i="2"/>
  <c r="AX83" i="2"/>
  <c r="AX71" i="2"/>
  <c r="AX59" i="2"/>
  <c r="AX47" i="2"/>
  <c r="AX35" i="2"/>
  <c r="AX23" i="2"/>
  <c r="AX11" i="2"/>
  <c r="AZ948" i="2"/>
  <c r="AZ936" i="2"/>
  <c r="AZ924" i="2"/>
  <c r="AZ912" i="2"/>
  <c r="AZ900" i="2"/>
  <c r="AZ888" i="2"/>
  <c r="AZ876" i="2"/>
  <c r="AZ864" i="2"/>
  <c r="AZ852" i="2"/>
  <c r="AZ840" i="2"/>
  <c r="AZ828" i="2"/>
  <c r="AZ816" i="2"/>
  <c r="AZ804" i="2"/>
  <c r="AZ792" i="2"/>
  <c r="AZ780" i="2"/>
  <c r="AZ768" i="2"/>
  <c r="AZ756" i="2"/>
  <c r="AZ744" i="2"/>
  <c r="AZ732" i="2"/>
  <c r="AZ720" i="2"/>
  <c r="AZ708" i="2"/>
  <c r="AZ696" i="2"/>
  <c r="AZ684" i="2"/>
  <c r="AZ672" i="2"/>
  <c r="AZ660" i="2"/>
  <c r="AZ648" i="2"/>
  <c r="AZ636" i="2"/>
  <c r="AZ624" i="2"/>
  <c r="AZ612" i="2"/>
  <c r="AZ600" i="2"/>
  <c r="AZ588" i="2"/>
  <c r="AZ576" i="2"/>
  <c r="AZ564" i="2"/>
  <c r="AZ552" i="2"/>
  <c r="AZ540" i="2"/>
  <c r="AZ528" i="2"/>
  <c r="AZ516" i="2"/>
  <c r="AZ504" i="2"/>
  <c r="AZ492" i="2"/>
  <c r="AZ480" i="2"/>
  <c r="AZ468" i="2"/>
  <c r="AZ456" i="2"/>
  <c r="AZ444" i="2"/>
  <c r="AZ432" i="2"/>
  <c r="AZ420" i="2"/>
  <c r="AZ408" i="2"/>
  <c r="AZ396" i="2"/>
  <c r="AZ384" i="2"/>
  <c r="AZ372" i="2"/>
  <c r="AZ360" i="2"/>
  <c r="AZ348" i="2"/>
  <c r="AZ336" i="2"/>
  <c r="AZ324" i="2"/>
  <c r="AZ312" i="2"/>
  <c r="AZ300" i="2"/>
  <c r="AZ288" i="2"/>
  <c r="AZ265" i="2"/>
  <c r="AZ253" i="2"/>
  <c r="AZ241" i="2"/>
  <c r="AZ229" i="2"/>
  <c r="AZ217" i="2"/>
  <c r="AZ205" i="2"/>
  <c r="AZ193" i="2"/>
  <c r="AZ181" i="2"/>
  <c r="AZ169" i="2"/>
  <c r="AZ157" i="2"/>
  <c r="AZ145" i="2"/>
  <c r="AZ133" i="2"/>
  <c r="AZ121" i="2"/>
  <c r="AZ109" i="2"/>
  <c r="AZ97" i="2"/>
  <c r="AZ85" i="2"/>
  <c r="AZ73" i="2"/>
  <c r="AZ61" i="2"/>
  <c r="AZ49" i="2"/>
  <c r="AZ37" i="2"/>
  <c r="AZ25" i="2"/>
  <c r="AZ13" i="2"/>
  <c r="AX1089" i="2"/>
  <c r="AX1077" i="2"/>
  <c r="AX1065" i="2"/>
  <c r="AX1053" i="2"/>
  <c r="AX1041" i="2"/>
  <c r="AX1029" i="2"/>
  <c r="AX1017" i="2"/>
  <c r="AX1005" i="2"/>
  <c r="AX993" i="2"/>
  <c r="AX981" i="2"/>
  <c r="AX969" i="2"/>
  <c r="AX957" i="2"/>
  <c r="AX945" i="2"/>
  <c r="AX933" i="2"/>
  <c r="AX921" i="2"/>
  <c r="AX909" i="2"/>
  <c r="AX897" i="2"/>
  <c r="AX885" i="2"/>
  <c r="AX873" i="2"/>
  <c r="AX861" i="2"/>
  <c r="AX849" i="2"/>
  <c r="AX837" i="2"/>
  <c r="AX825" i="2"/>
  <c r="AX813" i="2"/>
  <c r="AX801" i="2"/>
  <c r="AX789" i="2"/>
  <c r="AX777" i="2"/>
  <c r="AX765" i="2"/>
  <c r="AX753" i="2"/>
  <c r="AX741" i="2"/>
  <c r="AX729" i="2"/>
  <c r="AX717" i="2"/>
  <c r="AX705" i="2"/>
  <c r="AX693" i="2"/>
  <c r="AX681" i="2"/>
  <c r="AX669" i="2"/>
  <c r="AX657" i="2"/>
  <c r="AX645" i="2"/>
  <c r="AX633" i="2"/>
  <c r="AX621" i="2"/>
  <c r="AX609" i="2"/>
  <c r="AX597" i="2"/>
  <c r="AX585" i="2"/>
  <c r="AX573" i="2"/>
  <c r="AX561" i="2"/>
  <c r="AX549" i="2"/>
  <c r="AX537" i="2"/>
  <c r="AX525" i="2"/>
  <c r="AX513" i="2"/>
  <c r="AX501" i="2"/>
  <c r="AX489" i="2"/>
  <c r="AX477" i="2"/>
  <c r="AX465" i="2"/>
  <c r="AX453" i="2"/>
  <c r="AX441" i="2"/>
  <c r="AX429" i="2"/>
  <c r="AX417" i="2"/>
  <c r="AX405" i="2"/>
  <c r="AX393" i="2"/>
  <c r="AX381" i="2"/>
  <c r="AX369" i="2"/>
  <c r="AX357" i="2"/>
  <c r="AX345" i="2"/>
  <c r="AX333" i="2"/>
  <c r="AX321" i="2"/>
  <c r="AX309" i="2"/>
  <c r="AX297" i="2"/>
  <c r="AX285" i="2"/>
  <c r="AX274" i="2"/>
  <c r="AX262" i="2"/>
  <c r="AX250" i="2"/>
  <c r="AX238" i="2"/>
  <c r="AX226" i="2"/>
  <c r="AX214" i="2"/>
  <c r="AX202" i="2"/>
  <c r="AX190" i="2"/>
  <c r="AX178" i="2"/>
  <c r="AX166" i="2"/>
  <c r="AX154" i="2"/>
  <c r="AX142" i="2"/>
  <c r="AX130" i="2"/>
  <c r="AX118" i="2"/>
  <c r="AX106" i="2"/>
  <c r="AX94" i="2"/>
  <c r="AX82" i="2"/>
  <c r="AX70" i="2"/>
  <c r="AX58" i="2"/>
  <c r="AX46" i="2"/>
  <c r="AX34" i="2"/>
  <c r="AX22" i="2"/>
  <c r="AX10" i="2"/>
  <c r="AX1088" i="2"/>
  <c r="AX1076" i="2"/>
  <c r="AX1064" i="2"/>
  <c r="AX1052" i="2"/>
  <c r="AX1040" i="2"/>
  <c r="AX1028" i="2"/>
  <c r="AX1016" i="2"/>
  <c r="AX1004" i="2"/>
  <c r="AX992" i="2"/>
  <c r="AX980" i="2"/>
  <c r="AX968" i="2"/>
  <c r="AX956" i="2"/>
  <c r="AX944" i="2"/>
  <c r="AX932" i="2"/>
  <c r="AX920" i="2"/>
  <c r="AX908" i="2"/>
  <c r="AX896" i="2"/>
  <c r="AX884" i="2"/>
  <c r="AX872" i="2"/>
  <c r="AX860" i="2"/>
  <c r="AX848" i="2"/>
  <c r="AX836" i="2"/>
  <c r="AX824" i="2"/>
  <c r="AX812" i="2"/>
  <c r="AX800" i="2"/>
  <c r="AX788" i="2"/>
  <c r="AX776" i="2"/>
  <c r="AX764" i="2"/>
  <c r="AX752" i="2"/>
  <c r="AX740" i="2"/>
  <c r="AX728" i="2"/>
  <c r="AX716" i="2"/>
  <c r="AX704" i="2"/>
  <c r="AX692" i="2"/>
  <c r="AX680" i="2"/>
  <c r="AX668" i="2"/>
  <c r="AX656" i="2"/>
  <c r="AX644" i="2"/>
  <c r="AX632" i="2"/>
  <c r="AX620" i="2"/>
  <c r="AX608" i="2"/>
  <c r="AX596" i="2"/>
  <c r="AX584" i="2"/>
  <c r="AX572" i="2"/>
  <c r="AX560" i="2"/>
  <c r="AX548" i="2"/>
  <c r="AX536" i="2"/>
  <c r="AX524" i="2"/>
  <c r="AX512" i="2"/>
  <c r="AX500" i="2"/>
  <c r="AX488" i="2"/>
  <c r="AX476" i="2"/>
  <c r="AX464" i="2"/>
  <c r="AX452" i="2"/>
  <c r="AX440" i="2"/>
  <c r="AX428" i="2"/>
  <c r="AX416" i="2"/>
  <c r="AX404" i="2"/>
  <c r="AX392" i="2"/>
  <c r="AX380" i="2"/>
  <c r="AX368" i="2"/>
  <c r="AX356" i="2"/>
  <c r="AX344" i="2"/>
  <c r="AX332" i="2"/>
  <c r="AX320" i="2"/>
  <c r="AX308" i="2"/>
  <c r="AX296" i="2"/>
  <c r="AX284" i="2"/>
  <c r="AX273" i="2"/>
  <c r="AX261" i="2"/>
  <c r="AX249" i="2"/>
  <c r="AX237" i="2"/>
  <c r="AX225" i="2"/>
  <c r="AX213" i="2"/>
  <c r="AX201" i="2"/>
  <c r="AX189" i="2"/>
  <c r="AX177" i="2"/>
  <c r="AX165" i="2"/>
  <c r="AX153" i="2"/>
  <c r="AX141" i="2"/>
  <c r="AX129" i="2"/>
  <c r="AX117" i="2"/>
  <c r="AX105" i="2"/>
  <c r="AX93" i="2"/>
  <c r="AX81" i="2"/>
  <c r="AX69" i="2"/>
  <c r="AX57" i="2"/>
  <c r="AX45" i="2"/>
  <c r="AX33" i="2"/>
  <c r="AX21" i="2"/>
  <c r="AX9" i="2"/>
  <c r="AX1098" i="2"/>
  <c r="AX1086" i="2"/>
  <c r="AX1074" i="2"/>
  <c r="AX1062" i="2"/>
  <c r="AX1050" i="2"/>
  <c r="AX1038" i="2"/>
  <c r="AX1026" i="2"/>
  <c r="AX1014" i="2"/>
  <c r="AX1002" i="2"/>
  <c r="AX990" i="2"/>
  <c r="AX978" i="2"/>
  <c r="AX966" i="2"/>
  <c r="AX954" i="2"/>
  <c r="AX942" i="2"/>
  <c r="AX930" i="2"/>
  <c r="AX918" i="2"/>
  <c r="AX906" i="2"/>
  <c r="AX894" i="2"/>
  <c r="AX882" i="2"/>
  <c r="AX870" i="2"/>
  <c r="AX858" i="2"/>
  <c r="AX846" i="2"/>
  <c r="AX834" i="2"/>
  <c r="AX822" i="2"/>
  <c r="AX810" i="2"/>
  <c r="AX798" i="2"/>
  <c r="AX786" i="2"/>
  <c r="AX774" i="2"/>
  <c r="AX762" i="2"/>
  <c r="AX750" i="2"/>
  <c r="AX738" i="2"/>
  <c r="AX726" i="2"/>
  <c r="AX714" i="2"/>
  <c r="AX702" i="2"/>
  <c r="AX690" i="2"/>
  <c r="AX678" i="2"/>
  <c r="AX666" i="2"/>
  <c r="AX654" i="2"/>
  <c r="AX642" i="2"/>
  <c r="AX630" i="2"/>
  <c r="AX618" i="2"/>
  <c r="AX606" i="2"/>
  <c r="AX594" i="2"/>
  <c r="AX582" i="2"/>
  <c r="AX570" i="2"/>
  <c r="AX558" i="2"/>
  <c r="AX546" i="2"/>
  <c r="AX534" i="2"/>
  <c r="AX522" i="2"/>
  <c r="AX510" i="2"/>
  <c r="AX498" i="2"/>
  <c r="AX486" i="2"/>
  <c r="AX474" i="2"/>
  <c r="AX462" i="2"/>
  <c r="AX450" i="2"/>
  <c r="AX438" i="2"/>
  <c r="AX426" i="2"/>
  <c r="AX414" i="2"/>
  <c r="AX402" i="2"/>
  <c r="AX390" i="2"/>
  <c r="AX378" i="2"/>
  <c r="AX366" i="2"/>
  <c r="AX354" i="2"/>
  <c r="AX342" i="2"/>
  <c r="AX330" i="2"/>
  <c r="AX318" i="2"/>
  <c r="AX306" i="2"/>
  <c r="AX294" i="2"/>
  <c r="AX282" i="2"/>
  <c r="AX271" i="2"/>
  <c r="AX259" i="2"/>
  <c r="AX247" i="2"/>
  <c r="AX235" i="2"/>
  <c r="AX223" i="2"/>
  <c r="AX211" i="2"/>
  <c r="AX199" i="2"/>
  <c r="AX187" i="2"/>
  <c r="AX175" i="2"/>
  <c r="AX163" i="2"/>
  <c r="AX151" i="2"/>
  <c r="AX139" i="2"/>
  <c r="AX127" i="2"/>
  <c r="AX115" i="2"/>
  <c r="AX103" i="2"/>
  <c r="AX91" i="2"/>
  <c r="AX79" i="2"/>
  <c r="AX67" i="2"/>
  <c r="AX55" i="2"/>
  <c r="AX43" i="2"/>
  <c r="AX31" i="2"/>
  <c r="AX19" i="2"/>
  <c r="AX7" i="2"/>
  <c r="AX1097" i="2"/>
  <c r="AX1085" i="2"/>
  <c r="AX1073" i="2"/>
  <c r="AX1061" i="2"/>
  <c r="AX1049" i="2"/>
  <c r="AX1037" i="2"/>
  <c r="AX1025" i="2"/>
  <c r="AX1013" i="2"/>
  <c r="AX1001" i="2"/>
  <c r="AX989" i="2"/>
  <c r="AX977" i="2"/>
  <c r="AX965" i="2"/>
  <c r="AX953" i="2"/>
  <c r="AX941" i="2"/>
  <c r="AX929" i="2"/>
  <c r="AX917" i="2"/>
  <c r="AX905" i="2"/>
  <c r="AX893" i="2"/>
  <c r="AX881" i="2"/>
  <c r="AX869" i="2"/>
  <c r="AX857" i="2"/>
  <c r="AX845" i="2"/>
  <c r="AX833" i="2"/>
  <c r="AX821" i="2"/>
  <c r="AX809" i="2"/>
  <c r="AX797" i="2"/>
  <c r="AX785" i="2"/>
  <c r="AX773" i="2"/>
  <c r="AX761" i="2"/>
  <c r="AX749" i="2"/>
  <c r="AX737" i="2"/>
  <c r="AX725" i="2"/>
  <c r="AX713" i="2"/>
  <c r="AX701" i="2"/>
  <c r="AX689" i="2"/>
  <c r="AX677" i="2"/>
  <c r="AX665" i="2"/>
  <c r="AX653" i="2"/>
  <c r="AX641" i="2"/>
  <c r="AX629" i="2"/>
  <c r="AX617" i="2"/>
  <c r="AX605" i="2"/>
  <c r="AX593" i="2"/>
  <c r="AX581" i="2"/>
  <c r="AX569" i="2"/>
  <c r="AX557" i="2"/>
  <c r="AX545" i="2"/>
  <c r="AX533" i="2"/>
  <c r="AX521" i="2"/>
  <c r="AX509" i="2"/>
  <c r="AX497" i="2"/>
  <c r="AX485" i="2"/>
  <c r="AX473" i="2"/>
  <c r="AX461" i="2"/>
  <c r="AX449" i="2"/>
  <c r="AX437" i="2"/>
  <c r="AX425" i="2"/>
  <c r="AX413" i="2"/>
  <c r="AX401" i="2"/>
  <c r="AX389" i="2"/>
  <c r="AX377" i="2"/>
  <c r="AX365" i="2"/>
  <c r="AX353" i="2"/>
  <c r="AX341" i="2"/>
  <c r="AX329" i="2"/>
  <c r="AX317" i="2"/>
  <c r="AX305" i="2"/>
  <c r="AX293" i="2"/>
  <c r="AX281" i="2"/>
  <c r="AX270" i="2"/>
  <c r="AX258" i="2"/>
  <c r="AX246" i="2"/>
  <c r="AX234" i="2"/>
  <c r="AX222" i="2"/>
  <c r="AX210" i="2"/>
  <c r="AX198" i="2"/>
  <c r="AX186" i="2"/>
  <c r="AX174" i="2"/>
  <c r="AX162" i="2"/>
  <c r="AX150" i="2"/>
  <c r="AX138" i="2"/>
  <c r="AX126" i="2"/>
  <c r="AX114" i="2"/>
  <c r="AX102" i="2"/>
  <c r="AX90" i="2"/>
  <c r="AX78" i="2"/>
  <c r="AX66" i="2"/>
  <c r="AX54" i="2"/>
  <c r="AX42" i="2"/>
  <c r="AX30" i="2"/>
  <c r="AX18" i="2"/>
  <c r="AX6" i="2"/>
  <c r="AZ1099" i="2"/>
  <c r="AZ1087" i="2"/>
  <c r="AZ1075" i="2"/>
  <c r="AZ1063" i="2"/>
  <c r="AZ1051" i="2"/>
  <c r="AZ1039" i="2"/>
  <c r="AZ1027" i="2"/>
  <c r="AZ1015" i="2"/>
  <c r="AZ1003" i="2"/>
  <c r="AZ991" i="2"/>
  <c r="AZ979" i="2"/>
  <c r="AZ967" i="2"/>
  <c r="AZ955" i="2"/>
  <c r="AZ943" i="2"/>
  <c r="AZ931" i="2"/>
  <c r="AZ919" i="2"/>
  <c r="AZ907" i="2"/>
  <c r="AZ895" i="2"/>
  <c r="AZ883" i="2"/>
  <c r="AZ871" i="2"/>
  <c r="AZ859" i="2"/>
  <c r="AZ847" i="2"/>
  <c r="AZ835" i="2"/>
  <c r="AZ823" i="2"/>
  <c r="AZ811" i="2"/>
  <c r="AZ799" i="2"/>
  <c r="AZ787" i="2"/>
  <c r="AZ775" i="2"/>
  <c r="AZ763" i="2"/>
  <c r="AZ751" i="2"/>
  <c r="AZ739" i="2"/>
  <c r="AZ727" i="2"/>
  <c r="AZ715" i="2"/>
  <c r="AZ703" i="2"/>
  <c r="AZ691" i="2"/>
  <c r="AZ679" i="2"/>
  <c r="AZ667" i="2"/>
  <c r="AZ655" i="2"/>
  <c r="AZ643" i="2"/>
  <c r="AZ631" i="2"/>
  <c r="AZ619" i="2"/>
  <c r="AZ607" i="2"/>
  <c r="AZ595" i="2"/>
  <c r="AZ583" i="2"/>
  <c r="AZ571" i="2"/>
  <c r="AZ559" i="2"/>
  <c r="AZ547" i="2"/>
  <c r="AZ535" i="2"/>
  <c r="AZ523" i="2"/>
  <c r="AZ511" i="2"/>
  <c r="AZ499" i="2"/>
  <c r="AZ487" i="2"/>
  <c r="AZ475" i="2"/>
  <c r="AZ463" i="2"/>
  <c r="AZ451" i="2"/>
  <c r="AZ439" i="2"/>
  <c r="AZ427" i="2"/>
  <c r="AZ415" i="2"/>
  <c r="AZ403" i="2"/>
  <c r="AZ391" i="2"/>
  <c r="AZ379" i="2"/>
  <c r="AZ367" i="2"/>
  <c r="AZ355" i="2"/>
  <c r="AZ343" i="2"/>
  <c r="AZ331" i="2"/>
  <c r="AZ319" i="2"/>
  <c r="AZ307" i="2"/>
  <c r="AZ295" i="2"/>
  <c r="AZ283" i="2"/>
  <c r="AZ272" i="2"/>
  <c r="AZ260" i="2"/>
  <c r="AZ248" i="2"/>
  <c r="AZ236" i="2"/>
  <c r="AZ224" i="2"/>
  <c r="AZ212" i="2"/>
  <c r="AZ200" i="2"/>
  <c r="AZ188" i="2"/>
  <c r="AZ176" i="2"/>
  <c r="AZ164" i="2"/>
  <c r="AZ152" i="2"/>
  <c r="AZ140" i="2"/>
  <c r="AZ128" i="2"/>
  <c r="AZ116" i="2"/>
  <c r="AZ104" i="2"/>
  <c r="AZ92" i="2"/>
  <c r="AZ80" i="2"/>
  <c r="AZ68" i="2"/>
  <c r="AZ56" i="2"/>
  <c r="AZ44" i="2"/>
  <c r="AZ32" i="2"/>
  <c r="AZ20" i="2"/>
  <c r="AZ8" i="2"/>
  <c r="AX1096" i="2"/>
  <c r="AX1084" i="2"/>
  <c r="AX1072" i="2"/>
  <c r="AX1060" i="2"/>
  <c r="AX1048" i="2"/>
  <c r="AX1036" i="2"/>
  <c r="AX1024" i="2"/>
  <c r="AX1012" i="2"/>
  <c r="AX1000" i="2"/>
  <c r="AX988" i="2"/>
  <c r="AX976" i="2"/>
  <c r="AX964" i="2"/>
  <c r="AX952" i="2"/>
  <c r="AX940" i="2"/>
  <c r="AX928" i="2"/>
  <c r="AX916" i="2"/>
  <c r="AX904" i="2"/>
  <c r="AX892" i="2"/>
  <c r="AX880" i="2"/>
  <c r="AX868" i="2"/>
  <c r="AX856" i="2"/>
  <c r="AX844" i="2"/>
  <c r="AX832" i="2"/>
  <c r="AX820" i="2"/>
  <c r="AX808" i="2"/>
  <c r="AX796" i="2"/>
  <c r="AX784" i="2"/>
  <c r="AX772" i="2"/>
  <c r="AX760" i="2"/>
  <c r="AX748" i="2"/>
  <c r="AX736" i="2"/>
  <c r="AX724" i="2"/>
  <c r="AX712" i="2"/>
  <c r="AX700" i="2"/>
  <c r="AX688" i="2"/>
  <c r="AX676" i="2"/>
  <c r="AX664" i="2"/>
  <c r="AX652" i="2"/>
  <c r="AX640" i="2"/>
  <c r="AX628" i="2"/>
  <c r="AX616" i="2"/>
  <c r="AX604" i="2"/>
  <c r="AX592" i="2"/>
  <c r="AX580" i="2"/>
  <c r="AX568" i="2"/>
  <c r="AX556" i="2"/>
  <c r="AX544" i="2"/>
  <c r="AX532" i="2"/>
  <c r="AX520" i="2"/>
  <c r="AX508" i="2"/>
  <c r="AX496" i="2"/>
  <c r="AX484" i="2"/>
  <c r="AX472" i="2"/>
  <c r="AX460" i="2"/>
  <c r="AX448" i="2"/>
  <c r="AX436" i="2"/>
  <c r="AX424" i="2"/>
  <c r="AX412" i="2"/>
  <c r="AX400" i="2"/>
  <c r="AX388" i="2"/>
  <c r="AX376" i="2"/>
  <c r="AX364" i="2"/>
  <c r="AX352" i="2"/>
  <c r="AX340" i="2"/>
  <c r="AX328" i="2"/>
  <c r="AX316" i="2"/>
  <c r="AX304" i="2"/>
  <c r="AX292" i="2"/>
  <c r="AX280" i="2"/>
  <c r="AX269" i="2"/>
  <c r="AX257" i="2"/>
  <c r="AX245" i="2"/>
  <c r="AX233" i="2"/>
  <c r="AX221" i="2"/>
  <c r="AX209" i="2"/>
  <c r="AX197" i="2"/>
  <c r="AX185" i="2"/>
  <c r="AX173" i="2"/>
  <c r="AX161" i="2"/>
  <c r="AX149" i="2"/>
  <c r="AX137" i="2"/>
  <c r="AX125" i="2"/>
  <c r="AX113" i="2"/>
  <c r="AX101" i="2"/>
  <c r="AX89" i="2"/>
  <c r="AX77" i="2"/>
  <c r="AX65" i="2"/>
  <c r="AX53" i="2"/>
  <c r="AX41" i="2"/>
  <c r="AX29" i="2"/>
  <c r="AX17" i="2"/>
  <c r="AX5" i="2"/>
  <c r="AX1095" i="2"/>
  <c r="AX1083" i="2"/>
  <c r="AX1071" i="2"/>
  <c r="AX1059" i="2"/>
  <c r="AX1047" i="2"/>
  <c r="AX1035" i="2"/>
  <c r="AX1023" i="2"/>
  <c r="AX1011" i="2"/>
  <c r="AX999" i="2"/>
  <c r="AX987" i="2"/>
  <c r="AX975" i="2"/>
  <c r="AX963" i="2"/>
  <c r="AX951" i="2"/>
  <c r="AX939" i="2"/>
  <c r="AX927" i="2"/>
  <c r="AX915" i="2"/>
  <c r="AX903" i="2"/>
  <c r="AX891" i="2"/>
  <c r="AX879" i="2"/>
  <c r="AX867" i="2"/>
  <c r="AX855" i="2"/>
  <c r="AX843" i="2"/>
  <c r="AX831" i="2"/>
  <c r="AX819" i="2"/>
  <c r="AX807" i="2"/>
  <c r="AX795" i="2"/>
  <c r="AX783" i="2"/>
  <c r="AX771" i="2"/>
  <c r="AX759" i="2"/>
  <c r="AX747" i="2"/>
  <c r="AX735" i="2"/>
  <c r="AX723" i="2"/>
  <c r="AX711" i="2"/>
  <c r="AX699" i="2"/>
  <c r="AX687" i="2"/>
  <c r="AX675" i="2"/>
  <c r="AX663" i="2"/>
  <c r="AX651" i="2"/>
  <c r="AX639" i="2"/>
  <c r="AX627" i="2"/>
  <c r="AX615" i="2"/>
  <c r="AX603" i="2"/>
  <c r="AX591" i="2"/>
  <c r="AX579" i="2"/>
  <c r="AX567" i="2"/>
  <c r="AX555" i="2"/>
  <c r="AX543" i="2"/>
  <c r="AX531" i="2"/>
  <c r="AX519" i="2"/>
  <c r="AX507" i="2"/>
  <c r="AX495" i="2"/>
  <c r="AX483" i="2"/>
  <c r="AX471" i="2"/>
  <c r="AX459" i="2"/>
  <c r="AX447" i="2"/>
  <c r="AX435" i="2"/>
  <c r="AX423" i="2"/>
  <c r="AX411" i="2"/>
  <c r="AX399" i="2"/>
  <c r="AX387" i="2"/>
  <c r="AX375" i="2"/>
  <c r="AX363" i="2"/>
  <c r="AX351" i="2"/>
  <c r="AX339" i="2"/>
  <c r="AX327" i="2"/>
  <c r="AX315" i="2"/>
  <c r="AX303" i="2"/>
  <c r="AX291" i="2"/>
  <c r="AX279" i="2"/>
  <c r="AX268" i="2"/>
  <c r="AX256" i="2"/>
  <c r="AX244" i="2"/>
  <c r="AX232" i="2"/>
  <c r="AX220" i="2"/>
  <c r="AX208" i="2"/>
  <c r="AX196" i="2"/>
  <c r="AX184" i="2"/>
  <c r="AX172" i="2"/>
  <c r="AX160" i="2"/>
  <c r="AX148" i="2"/>
  <c r="AX136" i="2"/>
  <c r="AX124" i="2"/>
  <c r="AX112" i="2"/>
  <c r="AX100" i="2"/>
  <c r="AX88" i="2"/>
  <c r="AX76" i="2"/>
  <c r="AX64" i="2"/>
  <c r="AX52" i="2"/>
  <c r="AX40" i="2"/>
  <c r="AX28" i="2"/>
  <c r="AX16" i="2"/>
  <c r="AX4" i="2"/>
  <c r="AX1094" i="2"/>
  <c r="AX1082" i="2"/>
  <c r="AX1070" i="2"/>
  <c r="AX1058" i="2"/>
  <c r="AX1046" i="2"/>
  <c r="AX1034" i="2"/>
  <c r="AX1022" i="2"/>
  <c r="AX1010" i="2"/>
  <c r="AX998" i="2"/>
  <c r="AX986" i="2"/>
  <c r="AX974" i="2"/>
  <c r="AX962" i="2"/>
  <c r="AX950" i="2"/>
  <c r="AX938" i="2"/>
  <c r="AX926" i="2"/>
  <c r="AX914" i="2"/>
  <c r="AX902" i="2"/>
  <c r="AX890" i="2"/>
  <c r="AX878" i="2"/>
  <c r="AX866" i="2"/>
  <c r="AX854" i="2"/>
  <c r="AX842" i="2"/>
  <c r="AX830" i="2"/>
  <c r="AX818" i="2"/>
  <c r="AX806" i="2"/>
  <c r="AX794" i="2"/>
  <c r="AX782" i="2"/>
  <c r="AX770" i="2"/>
  <c r="AX758" i="2"/>
  <c r="AX746" i="2"/>
  <c r="AX734" i="2"/>
  <c r="AX722" i="2"/>
  <c r="AX710" i="2"/>
  <c r="AX698" i="2"/>
  <c r="AX686" i="2"/>
  <c r="AX674" i="2"/>
  <c r="AX662" i="2"/>
  <c r="AX650" i="2"/>
  <c r="AX638" i="2"/>
  <c r="AX626" i="2"/>
  <c r="AX614" i="2"/>
  <c r="AX602" i="2"/>
  <c r="AX590" i="2"/>
  <c r="AX578" i="2"/>
  <c r="AX566" i="2"/>
  <c r="AX554" i="2"/>
  <c r="AX542" i="2"/>
  <c r="AX530" i="2"/>
  <c r="AX518" i="2"/>
  <c r="AX506" i="2"/>
  <c r="AX494" i="2"/>
  <c r="AX482" i="2"/>
  <c r="AX470" i="2"/>
  <c r="AX458" i="2"/>
  <c r="AX446" i="2"/>
  <c r="AX434" i="2"/>
  <c r="AX422" i="2"/>
  <c r="AX410" i="2"/>
  <c r="AX398" i="2"/>
  <c r="AX386" i="2"/>
  <c r="AX374" i="2"/>
  <c r="AX362" i="2"/>
  <c r="AX350" i="2"/>
  <c r="AX338" i="2"/>
  <c r="AX326" i="2"/>
  <c r="AX314" i="2"/>
  <c r="AX302" i="2"/>
  <c r="AX290" i="2"/>
  <c r="AX278" i="2"/>
  <c r="AX267" i="2"/>
  <c r="AX255" i="2"/>
  <c r="AX243" i="2"/>
  <c r="AX231" i="2"/>
  <c r="AX219" i="2"/>
  <c r="AX207" i="2"/>
  <c r="AX195" i="2"/>
  <c r="AX183" i="2"/>
  <c r="AX171" i="2"/>
  <c r="AX159" i="2"/>
  <c r="AX147" i="2"/>
  <c r="AX135" i="2"/>
  <c r="AX123" i="2"/>
  <c r="AX111" i="2"/>
  <c r="AX99" i="2"/>
  <c r="AX87" i="2"/>
  <c r="AX75" i="2"/>
  <c r="AX63" i="2"/>
  <c r="AX51" i="2"/>
  <c r="AX39" i="2"/>
  <c r="AX27" i="2"/>
  <c r="AX15" i="2"/>
  <c r="AX3" i="2"/>
  <c r="AX1093" i="2"/>
  <c r="AX1081" i="2"/>
  <c r="AX1069" i="2"/>
  <c r="AX1057" i="2"/>
  <c r="AX1045" i="2"/>
  <c r="AX1033" i="2"/>
  <c r="AX1021" i="2"/>
  <c r="AX1009" i="2"/>
  <c r="AX997" i="2"/>
  <c r="AX985" i="2"/>
  <c r="AX973" i="2"/>
  <c r="AX961" i="2"/>
  <c r="AX949" i="2"/>
  <c r="AX937" i="2"/>
  <c r="AX925" i="2"/>
  <c r="AX913" i="2"/>
  <c r="AX901" i="2"/>
  <c r="AX889" i="2"/>
  <c r="AX877" i="2"/>
  <c r="AX865" i="2"/>
  <c r="AX853" i="2"/>
  <c r="AX841" i="2"/>
  <c r="AX829" i="2"/>
  <c r="AX817" i="2"/>
  <c r="AX805" i="2"/>
  <c r="AX793" i="2"/>
  <c r="AX781" i="2"/>
  <c r="AX769" i="2"/>
  <c r="AX757" i="2"/>
  <c r="AX745" i="2"/>
  <c r="AX733" i="2"/>
  <c r="AX721" i="2"/>
  <c r="AX709" i="2"/>
  <c r="AX697" i="2"/>
  <c r="AX685" i="2"/>
  <c r="AX673" i="2"/>
  <c r="AX661" i="2"/>
  <c r="AX649" i="2"/>
  <c r="AX637" i="2"/>
  <c r="AX625" i="2"/>
  <c r="AX613" i="2"/>
  <c r="AX601" i="2"/>
  <c r="AX589" i="2"/>
  <c r="AX577" i="2"/>
  <c r="AX565" i="2"/>
  <c r="AX553" i="2"/>
  <c r="AX541" i="2"/>
  <c r="AX529" i="2"/>
  <c r="AX517" i="2"/>
  <c r="AX505" i="2"/>
  <c r="AX493" i="2"/>
  <c r="AX481" i="2"/>
  <c r="AX469" i="2"/>
  <c r="AX457" i="2"/>
  <c r="AX445" i="2"/>
  <c r="AX433" i="2"/>
  <c r="AX421" i="2"/>
  <c r="AX409" i="2"/>
  <c r="AX397" i="2"/>
  <c r="AX385" i="2"/>
  <c r="AX373" i="2"/>
  <c r="AX361" i="2"/>
  <c r="AX349" i="2"/>
  <c r="AX337" i="2"/>
  <c r="AX325" i="2"/>
  <c r="AX313" i="2"/>
  <c r="AX301" i="2"/>
  <c r="AX289" i="2"/>
  <c r="AX277" i="2"/>
  <c r="AX266" i="2"/>
  <c r="AX254" i="2"/>
  <c r="AX242" i="2"/>
  <c r="AX230" i="2"/>
  <c r="AX218" i="2"/>
  <c r="AX206" i="2"/>
  <c r="AX194" i="2"/>
  <c r="AX182" i="2"/>
  <c r="AX170" i="2"/>
  <c r="AX158" i="2"/>
  <c r="AX146" i="2"/>
  <c r="AX134" i="2"/>
  <c r="AX122" i="2"/>
  <c r="AX110" i="2"/>
  <c r="AX98" i="2"/>
  <c r="AX86" i="2"/>
  <c r="AX74" i="2"/>
  <c r="AX62" i="2"/>
  <c r="AX50" i="2"/>
  <c r="AX38" i="2"/>
  <c r="AX26" i="2"/>
  <c r="AX14" i="2"/>
  <c r="AX2" i="2"/>
  <c r="AX1092" i="2"/>
  <c r="AX1080" i="2"/>
  <c r="AX1068" i="2"/>
  <c r="AX1056" i="2"/>
  <c r="AX1044" i="2"/>
  <c r="AX1032" i="2"/>
  <c r="AX1020" i="2"/>
  <c r="AX1008" i="2"/>
  <c r="AX996" i="2"/>
  <c r="AX984" i="2"/>
  <c r="AX972" i="2"/>
  <c r="AX960" i="2"/>
  <c r="AX948" i="2"/>
  <c r="AX936" i="2"/>
  <c r="AX924" i="2"/>
  <c r="AX912" i="2"/>
  <c r="AX900" i="2"/>
  <c r="AX888" i="2"/>
  <c r="AX876" i="2"/>
  <c r="AX864" i="2"/>
  <c r="AX852" i="2"/>
  <c r="AX840" i="2"/>
  <c r="AX828" i="2"/>
  <c r="AX816" i="2"/>
  <c r="AX804" i="2"/>
  <c r="AX792" i="2"/>
  <c r="AX780" i="2"/>
  <c r="AX768" i="2"/>
  <c r="AX756" i="2"/>
  <c r="AX744" i="2"/>
  <c r="AX732" i="2"/>
  <c r="AX720" i="2"/>
  <c r="AX708" i="2"/>
  <c r="AX696" i="2"/>
  <c r="AX684" i="2"/>
  <c r="AX672" i="2"/>
  <c r="AX660" i="2"/>
  <c r="AX648" i="2"/>
  <c r="AX636" i="2"/>
  <c r="AX624" i="2"/>
  <c r="AX612" i="2"/>
  <c r="AX600" i="2"/>
  <c r="AX588" i="2"/>
  <c r="AX576" i="2"/>
  <c r="AX564" i="2"/>
  <c r="AX552" i="2"/>
  <c r="AX540" i="2"/>
  <c r="AX528" i="2"/>
  <c r="AX516" i="2"/>
  <c r="AX504" i="2"/>
  <c r="AX492" i="2"/>
  <c r="AX480" i="2"/>
  <c r="AX468" i="2"/>
  <c r="AX456" i="2"/>
  <c r="AX444" i="2"/>
  <c r="AX432" i="2"/>
  <c r="AX420" i="2"/>
  <c r="AX408" i="2"/>
  <c r="AX396" i="2"/>
  <c r="AX384" i="2"/>
  <c r="AX372" i="2"/>
  <c r="AX360" i="2"/>
  <c r="AX348" i="2"/>
  <c r="AX336" i="2"/>
  <c r="AX324" i="2"/>
  <c r="AX312" i="2"/>
  <c r="AX300" i="2"/>
  <c r="AX288" i="2"/>
  <c r="AX265" i="2"/>
  <c r="AX253" i="2"/>
  <c r="AX241" i="2"/>
  <c r="AX229" i="2"/>
  <c r="AX217" i="2"/>
  <c r="AX205" i="2"/>
  <c r="AX193" i="2"/>
  <c r="AX181" i="2"/>
  <c r="AX169" i="2"/>
  <c r="AX157" i="2"/>
  <c r="AX145" i="2"/>
  <c r="AX133" i="2"/>
  <c r="AX121" i="2"/>
  <c r="AX109" i="2"/>
  <c r="AX97" i="2"/>
  <c r="AX85" i="2"/>
  <c r="AX73" i="2"/>
  <c r="AX61" i="2"/>
  <c r="AX49" i="2"/>
  <c r="AX37" i="2"/>
  <c r="AX25" i="2"/>
  <c r="AX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2CA8A-B2E4-40A3-9806-8723D2074096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AC0D88E5-6126-414D-B5BB-4F5D42160E49}" keepAlive="1" interval="60" name="Consulta - MARÍTIMOS" description="Conexión a la consulta 'MARÍTIMOS' en el libro." type="5" refreshedVersion="8" background="1" saveData="1">
    <dbPr connection="Provider=Microsoft.Mashup.OleDb.1;Data Source=$Workbook$;Location=MARÍTIMOS;Extended Properties=&quot;&quot;" command="SELECT * FROM [MARÍTIMOS]"/>
  </connection>
  <connection id="3" xr16:uid="{7F9B56A0-E1E2-4028-87D2-6573E96C9D7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710D586B-BF81-455F-99E3-A7A26F1443D7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8F66CFF2-D225-4141-880E-5886E293745C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<sst xmlns="http://schemas.openxmlformats.org/spreadsheetml/2006/main" count="16186" uniqueCount="2805">
  <si>
    <t>ID</t>
  </si>
  <si>
    <t>pp</t>
  </si>
  <si>
    <t>Sede</t>
  </si>
  <si>
    <t>Instrucción</t>
  </si>
  <si>
    <t>PO</t>
  </si>
  <si>
    <t>Transportista</t>
  </si>
  <si>
    <t>Tercero</t>
  </si>
  <si>
    <t>Razón Social</t>
  </si>
  <si>
    <t>RUC</t>
  </si>
  <si>
    <t>Placa Tracto</t>
  </si>
  <si>
    <t>Placa Carreta</t>
  </si>
  <si>
    <t>Conductor</t>
  </si>
  <si>
    <t>Licencia</t>
  </si>
  <si>
    <t>Telf. Contacto Conductor</t>
  </si>
  <si>
    <t>Puerto retiro</t>
  </si>
  <si>
    <t>Almacén retiro</t>
  </si>
  <si>
    <t>Cita de retiro</t>
  </si>
  <si>
    <t>Llegada a almacén retiro</t>
  </si>
  <si>
    <t>Ingreso Almacén de retiro</t>
  </si>
  <si>
    <t>Atención Almacén de retiro</t>
  </si>
  <si>
    <t>Salida de almacén de retiro</t>
  </si>
  <si>
    <t>Inicio de Ruta</t>
  </si>
  <si>
    <t>Cita - Hora de Posicionamiento</t>
  </si>
  <si>
    <t>Llegada a packing</t>
  </si>
  <si>
    <t>Registro en Packing</t>
  </si>
  <si>
    <t>Ingreso Packing</t>
  </si>
  <si>
    <t>Inicio de Carga</t>
  </si>
  <si>
    <t>Fin de Carga</t>
  </si>
  <si>
    <t>Salida Packing</t>
  </si>
  <si>
    <t>Puerto ingreso</t>
  </si>
  <si>
    <t>Almacén de Ingreso</t>
  </si>
  <si>
    <t>Cita de ingreso</t>
  </si>
  <si>
    <t>Llegada Almacén de Ingreso</t>
  </si>
  <si>
    <t>Ingreso Almacén de Ingreso</t>
  </si>
  <si>
    <t>Atención Almacén de Ingreso</t>
  </si>
  <si>
    <t>Salida Almacén de Ingreso</t>
  </si>
  <si>
    <t>FCL</t>
  </si>
  <si>
    <t>Gate-Out Appointment Compliance</t>
  </si>
  <si>
    <t>Detention at Gate-Out Storage</t>
  </si>
  <si>
    <t>Empty Outbound Time</t>
  </si>
  <si>
    <t>Route Start Delay</t>
  </si>
  <si>
    <t>Packing Appointment Compliance</t>
  </si>
  <si>
    <t>Detention at Packing</t>
  </si>
  <si>
    <t>Pre-Loading Wait Time</t>
  </si>
  <si>
    <t>Check-In Delay</t>
  </si>
  <si>
    <t>Entry Delay</t>
  </si>
  <si>
    <t>Dispatch Delay</t>
  </si>
  <si>
    <t>Full Inbound Time</t>
  </si>
  <si>
    <t>Detention at Gate-In Storage</t>
  </si>
  <si>
    <t>Gate-In Appointment Compliance</t>
  </si>
  <si>
    <t>Comentario</t>
  </si>
  <si>
    <t>Gate out Detention</t>
  </si>
  <si>
    <t>Tiempo de carga</t>
  </si>
  <si>
    <t>Chao</t>
  </si>
  <si>
    <t>RH-0011</t>
  </si>
  <si>
    <t>LIP</t>
  </si>
  <si>
    <t>NO</t>
  </si>
  <si>
    <t xml:space="preserve">LOGISTICA INTERMODAL DEL PERU S.A.C.
</t>
  </si>
  <si>
    <t>BBK-835</t>
  </si>
  <si>
    <t>AKN-992</t>
  </si>
  <si>
    <t>CASTILLO ALVAREZ CESAR HUGO</t>
  </si>
  <si>
    <t>Q25858072</t>
  </si>
  <si>
    <t>BMOU9893760</t>
  </si>
  <si>
    <t>PAITA</t>
  </si>
  <si>
    <t>DPW</t>
  </si>
  <si>
    <t>TPE</t>
  </si>
  <si>
    <t>RH-0014</t>
  </si>
  <si>
    <t>BBG-864</t>
  </si>
  <si>
    <t>AMZ-980</t>
  </si>
  <si>
    <t>CHIROQUE BOCANEGRA NAZARENO</t>
  </si>
  <si>
    <t>Q43200665</t>
  </si>
  <si>
    <t>SZLU9302534</t>
  </si>
  <si>
    <t>RH-0028</t>
  </si>
  <si>
    <t>DIOSES MIRANDA WILLIAM ARTURO</t>
  </si>
  <si>
    <t>B03508313</t>
  </si>
  <si>
    <t>PER9099496A</t>
  </si>
  <si>
    <t>SEKU9424169</t>
  </si>
  <si>
    <t>RH-0015</t>
  </si>
  <si>
    <t>LOGISTICA INTERMODAL DEL PERU S.A.C.</t>
  </si>
  <si>
    <t>AZH-735</t>
  </si>
  <si>
    <t>AXU-994</t>
  </si>
  <si>
    <t>Q09044728</t>
  </si>
  <si>
    <t>FBIU5460286</t>
  </si>
  <si>
    <t>CHANCAY</t>
  </si>
  <si>
    <t>CALLAO</t>
  </si>
  <si>
    <t>Etapas</t>
  </si>
  <si>
    <t>KPI</t>
  </si>
  <si>
    <t>TABLEAU</t>
  </si>
  <si>
    <t>FORMULA</t>
  </si>
  <si>
    <t>LÓGICA DE FORMULA</t>
  </si>
  <si>
    <t>% PERMITIDO DE CUMPLIMIENTO</t>
  </si>
  <si>
    <t>Etapa 1 - Retiro</t>
  </si>
  <si>
    <t>SI</t>
  </si>
  <si>
    <t>Hora de llegada depot - Hora de cita de retiro</t>
  </si>
  <si>
    <t>CALLAO: 
&gt;= 1 HR ANTES DE LA CITA DE RETIRO : ‘ON TIME’
PAITA / CHANCAY / SALAVERRY:
&gt;= 1/2 HR ANTES DE LA CITA DE RETIRO : ‘ON TIME’
SINO, ‘LATE’</t>
  </si>
  <si>
    <t>CALLAO:
PEAK SEASON: 40% / CAMPAÑA BAJA: 20%
OTROS:
PEAK SEASON: 30% / CAMPAÑA BAJA: 10%
1° INSTANCIA: REUNIÓN + PLAN DE MEJORA 
2° INSTANCIA: REDUCCIÓN DE CARGA</t>
  </si>
  <si>
    <t>Hora de salida depot - Hora de ingreso</t>
  </si>
  <si>
    <t>CALLAO: 
&lt;=2 HRS DENTRO DE DEPOT, ESTÁNDAR
&lt;=4 HRS DENTRO DE DEPOT, HIGH
&gt;4 HRS DENTRO DE DEPOT, CRITICAL
PAITA / CHANCAY / SALAVERRY:
&lt;=1 HRS DENTRO DE DEPOT, ESTÁNDAR
&lt;=2 HRS DENTRO DE DEPOT, HIGH
&gt;2 HRS DENTRO DE DEPOT, CRITICAL</t>
  </si>
  <si>
    <t xml:space="preserve">CALLAO
PEAK SEASON: 20% HIGH - CRITICAL 10%
CAMPAÑA BAJA: 10% HIGH - CRITICAL 5%
OTROS:
PEAK SEASON: 25% HIGH - CRITICAL 10%
CAMPAÑA BAJA: 15% HIGH - CRITICAL 5%
</t>
  </si>
  <si>
    <t>Hora de llegada a packing - Hora de inicio de ruta</t>
  </si>
  <si>
    <t xml:space="preserve"> - </t>
  </si>
  <si>
    <t>Hora de inicio de ruta - Salida de terminal</t>
  </si>
  <si>
    <t>Etapa 2 - Packing</t>
  </si>
  <si>
    <t xml:space="preserve">Hora de llegada - Hora de posicionamiento </t>
  </si>
  <si>
    <t>&lt;=HR POSICIONAMIENTO, 'ON TIME'
&lt;=2 HRS DESPUES DE HORA DE POSICIONAMIENTO, ‘LATE’
&gt;2 HRS DESPUES DE HORA DE POSICIONAMIENTO, ‘CRITICAL LATE’</t>
  </si>
  <si>
    <t>PEAK SEASON: 30% HIGH - CRITICAL 10%
CAMPAÑA BAJA: 10% HIGH - CRITICAL 5%</t>
  </si>
  <si>
    <t xml:space="preserve">Hora de inicio carga - Hora llegada </t>
  </si>
  <si>
    <t>SI EL INICIO DE CARGA ES &lt;=3 HRS DESPUES DE HORA DE POSICIONAMIENTO, ‘ON TRACK’, SINO ‘OFF TRACK’</t>
  </si>
  <si>
    <t>PEAK SEASON: 25% OFF TRACK
CAMPAÑA BAJA: 15% OFF TRACK</t>
  </si>
  <si>
    <t>Hora de salida - Hora de posicionamiento</t>
  </si>
  <si>
    <t>SI ESTADÍA DE &lt;=6 HRS’NO DETENTION’
SI ESTADIA ES &lt;= 8 HRS= ‘HIGH DETENTION’
SI ESTADIA ES &gt;8 HRS= ‘CRITICAL DETENTION’</t>
  </si>
  <si>
    <t>PEAK SEASON: 20% HIGH - CRITICAL 10%
CAMPAÑA BAJA: 10% HIGH - CRITICAL 5%</t>
  </si>
  <si>
    <t xml:space="preserve">Hora salida - hora fin de carga </t>
  </si>
  <si>
    <t>SI ‘NO DETENTION’, CON ESTADÍA &lt;= 2 HRS DESPUES DE CARGADO, ‘ON TIME’
SI ‘HIGH DETENTION’ CON ESTADÍA &lt; 2 HRS DESPUES DE CARGADO, ‘HIGH TIME’
SI ES MAS A 2 HRS, CRITICAL DELAY</t>
  </si>
  <si>
    <t>Hora de registro - Hora de llegada</t>
  </si>
  <si>
    <t>Hora de ingreso - Hora de llegada</t>
  </si>
  <si>
    <t>Etapa 3 - Ingreso</t>
  </si>
  <si>
    <t>Hora de salida - Hora de ingreso a puerto</t>
  </si>
  <si>
    <t>Hora de llegada puerto - Hora de cita a puerto</t>
  </si>
  <si>
    <t>Hora de llegada puerto - Hora salida packing</t>
  </si>
  <si>
    <t>Source.Name</t>
  </si>
  <si>
    <t>PP</t>
  </si>
  <si>
    <t>Exportador</t>
  </si>
  <si>
    <t>Vía</t>
  </si>
  <si>
    <t>Fecha de Retiro</t>
  </si>
  <si>
    <t>Fecha de Carga</t>
  </si>
  <si>
    <t>Hora de Carga</t>
  </si>
  <si>
    <t>Hora de Posicionamiento</t>
  </si>
  <si>
    <t>Estatus</t>
  </si>
  <si>
    <t>Instruction</t>
  </si>
  <si>
    <t>N° Orden</t>
  </si>
  <si>
    <t>Tipo de Operación</t>
  </si>
  <si>
    <t>Puerto de Embarque</t>
  </si>
  <si>
    <t>Puerto de Destino</t>
  </si>
  <si>
    <t>Línea</t>
  </si>
  <si>
    <t>Booking|AWB|CRT</t>
  </si>
  <si>
    <t>Contenedor</t>
  </si>
  <si>
    <t>N° EIR</t>
  </si>
  <si>
    <t>Precinto de Línea</t>
  </si>
  <si>
    <t>Operador Logístico</t>
  </si>
  <si>
    <t>Gestor SENASA</t>
  </si>
  <si>
    <t>Agente de Aduanas</t>
  </si>
  <si>
    <t>Tipo de Unidad</t>
  </si>
  <si>
    <t>Número de Contacto</t>
  </si>
  <si>
    <t>Ruta Internacional Terrestre</t>
  </si>
  <si>
    <t>Comentarios SIGMA</t>
  </si>
  <si>
    <t>1er Hito Terrestre</t>
  </si>
  <si>
    <t>2do Hito Terrestre</t>
  </si>
  <si>
    <t>3er Hito Terrestre</t>
  </si>
  <si>
    <t>4to Hito Terrestre</t>
  </si>
  <si>
    <t>Puerto de Retiro</t>
  </si>
  <si>
    <t>Almacén de Retiro</t>
  </si>
  <si>
    <t>Etapa Retiro - Cita</t>
  </si>
  <si>
    <t>Etapa Retiro - Llegada</t>
  </si>
  <si>
    <t>Etapa Retiro - Ingreso</t>
  </si>
  <si>
    <t>Etapa Retiro - Atención</t>
  </si>
  <si>
    <t>Etapa Retiro - Salida</t>
  </si>
  <si>
    <t>Etapa Retiro - Inicio de Ruta</t>
  </si>
  <si>
    <t>Inspección Externa</t>
  </si>
  <si>
    <t>Inspección Interna</t>
  </si>
  <si>
    <t>Etapa Ingreso - Cita</t>
  </si>
  <si>
    <t>Etapa Ingreso - Llegada</t>
  </si>
  <si>
    <t>Etapa Ingreso - Ingeso</t>
  </si>
  <si>
    <t>Etapa Ingreso - Atención</t>
  </si>
  <si>
    <t>Etapa Ingreso - Salida</t>
  </si>
  <si>
    <t>Control de Ruta</t>
  </si>
  <si>
    <t>Ubicación Actual</t>
  </si>
  <si>
    <t>Monitor - Llegada Estimada</t>
  </si>
  <si>
    <t>PEA-F-EX-EXP-002.01 BITÁCORA DE TRAZABILIDAD DE CARGA PARA EXPORTACIÓN.xlsx</t>
  </si>
  <si>
    <t>Hortifrut Perú</t>
  </si>
  <si>
    <t>Marítimo</t>
  </si>
  <si>
    <t>Confirmado</t>
  </si>
  <si>
    <t>RH-0161</t>
  </si>
  <si>
    <t/>
  </si>
  <si>
    <t>Directo</t>
  </si>
  <si>
    <t>Philadelphia</t>
  </si>
  <si>
    <t>Seaboard</t>
  </si>
  <si>
    <t>EGSU5078055</t>
  </si>
  <si>
    <t>00792077</t>
  </si>
  <si>
    <t>NWT</t>
  </si>
  <si>
    <t>SRL</t>
  </si>
  <si>
    <t>LIP Aduanas</t>
  </si>
  <si>
    <t>CITITRANS</t>
  </si>
  <si>
    <t>CHF-936</t>
  </si>
  <si>
    <t>BUR-993</t>
  </si>
  <si>
    <t>CONTENEDOR REFRIGERADO</t>
  </si>
  <si>
    <t>RIVERA GOMERO EDUARDO DE JESUS</t>
  </si>
  <si>
    <t>Q70059354</t>
  </si>
  <si>
    <t>RH-0148</t>
  </si>
  <si>
    <t>751600038408</t>
  </si>
  <si>
    <t>EMCU5518601</t>
  </si>
  <si>
    <t>00792891</t>
  </si>
  <si>
    <t>CHG-726</t>
  </si>
  <si>
    <t>BUO-988</t>
  </si>
  <si>
    <t>Q002665394</t>
  </si>
  <si>
    <t>RH-0147</t>
  </si>
  <si>
    <t>751600038394</t>
  </si>
  <si>
    <t>EMCU5906248</t>
  </si>
  <si>
    <t>00792979</t>
  </si>
  <si>
    <t>BUP-825</t>
  </si>
  <si>
    <t>BFD-973</t>
  </si>
  <si>
    <t>DASAET  SANCHEZ</t>
  </si>
  <si>
    <t>Q003859023</t>
  </si>
  <si>
    <t>RH-0149</t>
  </si>
  <si>
    <t>EMCU5542001</t>
  </si>
  <si>
    <t>00793155</t>
  </si>
  <si>
    <t>CDK-877</t>
  </si>
  <si>
    <t>BRU-989</t>
  </si>
  <si>
    <t>JHON QUERO</t>
  </si>
  <si>
    <t>Q46975722</t>
  </si>
  <si>
    <t>RH-0155</t>
  </si>
  <si>
    <t>OERU4287074</t>
  </si>
  <si>
    <t>00031172</t>
  </si>
  <si>
    <t>32998860</t>
  </si>
  <si>
    <t>CHG-928</t>
  </si>
  <si>
    <t>BUR-982</t>
  </si>
  <si>
    <t>JOSUE PEREZ</t>
  </si>
  <si>
    <t>Q43455666</t>
  </si>
  <si>
    <t>RH-0156</t>
  </si>
  <si>
    <t>FBIU5511043</t>
  </si>
  <si>
    <t>00031170</t>
  </si>
  <si>
    <t>32998715</t>
  </si>
  <si>
    <t>CHG-934</t>
  </si>
  <si>
    <t>BUT-982</t>
  </si>
  <si>
    <t>K80652280</t>
  </si>
  <si>
    <t>RH-0146</t>
  </si>
  <si>
    <t>EMCU5487394</t>
  </si>
  <si>
    <t>00793180</t>
  </si>
  <si>
    <t>CDK-878</t>
  </si>
  <si>
    <t>BRU-978</t>
  </si>
  <si>
    <t>Q002365535</t>
  </si>
  <si>
    <t>RH-0182</t>
  </si>
  <si>
    <t>FBIU5151815</t>
  </si>
  <si>
    <t>22894</t>
  </si>
  <si>
    <t>32972888</t>
  </si>
  <si>
    <t>JAAP- TRANSPORT</t>
  </si>
  <si>
    <t>BRV941</t>
  </si>
  <si>
    <t>BHZ998</t>
  </si>
  <si>
    <t>JUAN CARLOS HUAMAN GABRIEL</t>
  </si>
  <si>
    <t>Q32918076</t>
  </si>
  <si>
    <t>CSPCP</t>
  </si>
  <si>
    <t>RH-0187</t>
  </si>
  <si>
    <t>SUDU8239480</t>
  </si>
  <si>
    <t>MLPE0142261</t>
  </si>
  <si>
    <t>RE TRANSPORTS</t>
  </si>
  <si>
    <t>HENRY VICENTE PRADA</t>
  </si>
  <si>
    <t>Q09483810</t>
  </si>
  <si>
    <t>RH-0238</t>
  </si>
  <si>
    <t>LIMG13501400 </t>
  </si>
  <si>
    <t>OTPU6398799</t>
  </si>
  <si>
    <t>PC212376 - LAAF45368</t>
  </si>
  <si>
    <t>BRV-941</t>
  </si>
  <si>
    <t>BHZ-998</t>
  </si>
  <si>
    <t>CONTRANS</t>
  </si>
  <si>
    <t>RH-0239</t>
  </si>
  <si>
    <t>LIMG13500300</t>
  </si>
  <si>
    <t>ONEU9246239</t>
  </si>
  <si>
    <t>PC205668 - LAAF45306</t>
  </si>
  <si>
    <t>P&amp;M - logistics eirl </t>
  </si>
  <si>
    <t>Q44347234</t>
  </si>
  <si>
    <t>RH-0277</t>
  </si>
  <si>
    <t>OTPU6188004</t>
  </si>
  <si>
    <t>CDK-784</t>
  </si>
  <si>
    <t>BRU-977</t>
  </si>
  <si>
    <t>SANTOS ALEX OSORIO GAMBOA</t>
  </si>
  <si>
    <t>Q70762222</t>
  </si>
  <si>
    <t>RH-0276</t>
  </si>
  <si>
    <t>FBIU5062791</t>
  </si>
  <si>
    <t>RH-0251</t>
  </si>
  <si>
    <t>EMCU5629740</t>
  </si>
  <si>
    <t>-</t>
  </si>
  <si>
    <t>CHE-934</t>
  </si>
  <si>
    <t>BUT-980</t>
  </si>
  <si>
    <t>SANTIAGO ATUNCAR MIGUEL ANGEL</t>
  </si>
  <si>
    <t>Q42089484</t>
  </si>
  <si>
    <t>RH-0267</t>
  </si>
  <si>
    <t>EMCU5915506</t>
  </si>
  <si>
    <t>IMUPESA</t>
  </si>
  <si>
    <t>RH-0322</t>
  </si>
  <si>
    <t>LIMG14339700</t>
  </si>
  <si>
    <t xml:space="preserve">
ONEU9189313</t>
  </si>
  <si>
    <t>D4M901</t>
  </si>
  <si>
    <t>B2E984</t>
  </si>
  <si>
    <t>RH-0323</t>
  </si>
  <si>
    <t>LIMG14340600</t>
  </si>
  <si>
    <t>ONEU9242486</t>
  </si>
  <si>
    <t>BTM813</t>
  </si>
  <si>
    <t>BUF988</t>
  </si>
  <si>
    <t>YONKY YADIR GRANADOS FERMIN</t>
  </si>
  <si>
    <t>Q007099864</t>
  </si>
  <si>
    <t>RH-0365</t>
  </si>
  <si>
    <t>FBIU5729992</t>
  </si>
  <si>
    <t>CDK878</t>
  </si>
  <si>
    <t>BRU978</t>
  </si>
  <si>
    <t>BREDY ANTONIO CRUZ CONTRERAS</t>
  </si>
  <si>
    <t>FARGOLINE</t>
  </si>
  <si>
    <t>RH-0332</t>
  </si>
  <si>
    <t>FBIU5578772</t>
  </si>
  <si>
    <t>BSM843</t>
  </si>
  <si>
    <t>Q09988807</t>
  </si>
  <si>
    <t>RH-0328</t>
  </si>
  <si>
    <t>OERU4811290</t>
  </si>
  <si>
    <t>32999399</t>
  </si>
  <si>
    <t>RH-0433</t>
  </si>
  <si>
    <t>EMCU5662558</t>
  </si>
  <si>
    <t>BTO724</t>
  </si>
  <si>
    <t>BEI989</t>
  </si>
  <si>
    <t>HECTOR MARTINEZ</t>
  </si>
  <si>
    <t>Q002061946</t>
  </si>
  <si>
    <t>RH-0466</t>
  </si>
  <si>
    <t>FBIU5460265</t>
  </si>
  <si>
    <t>BUP791</t>
  </si>
  <si>
    <t>BFC996</t>
  </si>
  <si>
    <t>FROILAN PINTO</t>
  </si>
  <si>
    <t>Q003683238</t>
  </si>
  <si>
    <t>RH-0418</t>
  </si>
  <si>
    <t>OERU4818062</t>
  </si>
  <si>
    <t>32970834</t>
  </si>
  <si>
    <t>P&amp;M LOGISTICS EIRL</t>
  </si>
  <si>
    <t>A4U852</t>
  </si>
  <si>
    <t>C3A991</t>
  </si>
  <si>
    <t>RODRIGO HIDALGO TRUJILLO</t>
  </si>
  <si>
    <t>Q40850319</t>
  </si>
  <si>
    <t>RH-0434</t>
  </si>
  <si>
    <t>EGSU5034036</t>
  </si>
  <si>
    <t>CAR781</t>
  </si>
  <si>
    <t>BNC977</t>
  </si>
  <si>
    <t>JUNIOR PARRA</t>
  </si>
  <si>
    <t>Q005397237</t>
  </si>
  <si>
    <t>RH-0431</t>
  </si>
  <si>
    <t>OERU4382050</t>
  </si>
  <si>
    <t>CAR746</t>
  </si>
  <si>
    <t>BMZ988</t>
  </si>
  <si>
    <t>KENYI EDISON ORTIZ SANTIAGO</t>
  </si>
  <si>
    <t>S71411671</t>
  </si>
  <si>
    <t>RH-0474</t>
  </si>
  <si>
    <t>6462784280</t>
  </si>
  <si>
    <t>FBIU5035292</t>
  </si>
  <si>
    <t>023280</t>
  </si>
  <si>
    <t>BUP825</t>
  </si>
  <si>
    <t>BFD973</t>
  </si>
  <si>
    <t>ANTHONY BRYAN CRUZ CRUZ</t>
  </si>
  <si>
    <t>Q47238249</t>
  </si>
  <si>
    <t>RH-0475</t>
  </si>
  <si>
    <t>6462784420</t>
  </si>
  <si>
    <t>SEKU9354689</t>
  </si>
  <si>
    <t>023278</t>
  </si>
  <si>
    <t>CHG928</t>
  </si>
  <si>
    <t>BUR982</t>
  </si>
  <si>
    <t>JOSUE PEREZ MANCILLA</t>
  </si>
  <si>
    <t>RH-0480</t>
  </si>
  <si>
    <t>751600044424</t>
  </si>
  <si>
    <t>EMCU5415630</t>
  </si>
  <si>
    <t>CHG934</t>
  </si>
  <si>
    <t>BUT982</t>
  </si>
  <si>
    <t>DAVID MOISES UBALDO BONILLA</t>
  </si>
  <si>
    <t>DPWL</t>
  </si>
  <si>
    <t>RH-0481</t>
  </si>
  <si>
    <t>751600044432</t>
  </si>
  <si>
    <t>EMCU5595470</t>
  </si>
  <si>
    <t>HFE Berries</t>
  </si>
  <si>
    <t>Olmos</t>
  </si>
  <si>
    <t>RH-0263</t>
  </si>
  <si>
    <t>Paita</t>
  </si>
  <si>
    <t>PER9156868A</t>
  </si>
  <si>
    <t>CAAU416845-5</t>
  </si>
  <si>
    <t>798491</t>
  </si>
  <si>
    <t>G3888848</t>
  </si>
  <si>
    <t>TRANSPORTES COSTA TRANSPORT EIRL</t>
  </si>
  <si>
    <t>TFY-879</t>
  </si>
  <si>
    <t>JORGE LUIS AZO RUIZ</t>
  </si>
  <si>
    <t>B03874735</t>
  </si>
  <si>
    <t>FIN DE SERVICIO</t>
  </si>
  <si>
    <t>RH-0336</t>
  </si>
  <si>
    <t>Dover</t>
  </si>
  <si>
    <t>Seatrade</t>
  </si>
  <si>
    <t>MBM250067110</t>
  </si>
  <si>
    <t>SEKU936611-8</t>
  </si>
  <si>
    <t xml:space="preserve"> 007233</t>
  </si>
  <si>
    <t>004VA779551</t>
  </si>
  <si>
    <t>MACROMAR</t>
  </si>
  <si>
    <t>RH-0337</t>
  </si>
  <si>
    <t>Vlissingen</t>
  </si>
  <si>
    <t>MBM250068047</t>
  </si>
  <si>
    <t>CAAU403244-8</t>
  </si>
  <si>
    <t>004VA779549</t>
  </si>
  <si>
    <t>T4P-940</t>
  </si>
  <si>
    <t>ARMANDO SAAVEDRA CALDERON</t>
  </si>
  <si>
    <t>B75606898</t>
  </si>
  <si>
    <t>RH-0462</t>
  </si>
  <si>
    <t>Rotterdam</t>
  </si>
  <si>
    <t>Cosco</t>
  </si>
  <si>
    <t>FBIU5755590</t>
  </si>
  <si>
    <t>T3A-807</t>
  </si>
  <si>
    <t>B7Q-991</t>
  </si>
  <si>
    <t>CASTILLO MARTINEZ ALEJANDRO.</t>
  </si>
  <si>
    <t>B02753773</t>
  </si>
  <si>
    <t>RANSA</t>
  </si>
  <si>
    <t>RH-0435</t>
  </si>
  <si>
    <t>MBM250067116</t>
  </si>
  <si>
    <t>FDDU2541348</t>
  </si>
  <si>
    <t>004VA779711</t>
  </si>
  <si>
    <t>AVK-810</t>
  </si>
  <si>
    <t>AMY-977</t>
  </si>
  <si>
    <t>CEVALLOS ASTUDILLO JORGE LUIS</t>
  </si>
  <si>
    <t>B42067818</t>
  </si>
  <si>
    <t>RH-0445</t>
  </si>
  <si>
    <t>Miami</t>
  </si>
  <si>
    <t>PER9174396A</t>
  </si>
  <si>
    <t>BMOU9893117</t>
  </si>
  <si>
    <t>G4086364</t>
  </si>
  <si>
    <t>C3Y-864</t>
  </si>
  <si>
    <t>TNW-982</t>
  </si>
  <si>
    <t>SEGUNDO TEODORO FLOREANO ORDINOLA.</t>
  </si>
  <si>
    <t>C43049791</t>
  </si>
  <si>
    <t>RH-0709</t>
  </si>
  <si>
    <t>PER9174393A</t>
  </si>
  <si>
    <t>TXGU903211-5</t>
  </si>
  <si>
    <t>804390</t>
  </si>
  <si>
    <t>G4086494</t>
  </si>
  <si>
    <t>RH-0482</t>
  </si>
  <si>
    <t>MBM250067121</t>
  </si>
  <si>
    <t>CAIU554986-5</t>
  </si>
  <si>
    <t>004VA779837</t>
  </si>
  <si>
    <t>T4P9-34</t>
  </si>
  <si>
    <t>TPE-989</t>
  </si>
  <si>
    <t>EMILIO FLORES BENITES</t>
  </si>
  <si>
    <t>Q02607474</t>
  </si>
  <si>
    <t>RH-0515</t>
  </si>
  <si>
    <t>SEKU922566-0</t>
  </si>
  <si>
    <t>RH-0489</t>
  </si>
  <si>
    <t>Port hueneme</t>
  </si>
  <si>
    <t>BN81296</t>
  </si>
  <si>
    <t>BMOU933626-1</t>
  </si>
  <si>
    <t>DP03251</t>
  </si>
  <si>
    <t>AVK-737</t>
  </si>
  <si>
    <t>F9S-991</t>
  </si>
  <si>
    <t>NOE VICTORIO NOE GARCIA</t>
  </si>
  <si>
    <t>B42334233</t>
  </si>
  <si>
    <t>RH-0496</t>
  </si>
  <si>
    <t>PER9184445A</t>
  </si>
  <si>
    <t>TXGU902821-8</t>
  </si>
  <si>
    <t>G4085699</t>
  </si>
  <si>
    <t>RH-0518</t>
  </si>
  <si>
    <t xml:space="preserve">PER9193504A </t>
  </si>
  <si>
    <t>SEKU942389-8</t>
  </si>
  <si>
    <t>G4085401</t>
  </si>
  <si>
    <t>T7R-885</t>
  </si>
  <si>
    <t>P1J-974</t>
  </si>
  <si>
    <t>ROBERTO CARLOS AMAYA CHAVARRIA</t>
  </si>
  <si>
    <t>A19255064</t>
  </si>
  <si>
    <t xml:space="preserve">RH-0561 </t>
  </si>
  <si>
    <t>ZIM</t>
  </si>
  <si>
    <t>ZIMULMA826780</t>
  </si>
  <si>
    <t>ZMOU893203-8</t>
  </si>
  <si>
    <t>A4251015103</t>
  </si>
  <si>
    <t>T7R-895</t>
  </si>
  <si>
    <t>F0L-997</t>
  </si>
  <si>
    <t>ISIDRO PACHERRES NAVARRO.</t>
  </si>
  <si>
    <t>RH-0562</t>
  </si>
  <si>
    <t>ZIMULMA00022151</t>
  </si>
  <si>
    <t>GMOU903894-0</t>
  </si>
  <si>
    <t>A4251015104</t>
  </si>
  <si>
    <t>AVK-728</t>
  </si>
  <si>
    <t>RH-0547</t>
  </si>
  <si>
    <t>MBM250067127</t>
  </si>
  <si>
    <t>FDDU2541604</t>
  </si>
  <si>
    <t>004VA780755</t>
  </si>
  <si>
    <t>RH-0552</t>
  </si>
  <si>
    <t>MBM250067122</t>
  </si>
  <si>
    <t>FDDU2541116</t>
  </si>
  <si>
    <t>004VA780690</t>
  </si>
  <si>
    <t>RH-0194</t>
  </si>
  <si>
    <t>PER9150717A</t>
  </si>
  <si>
    <t>SEKU9426198 </t>
  </si>
  <si>
    <t>00795978</t>
  </si>
  <si>
    <t> G3887840</t>
  </si>
  <si>
    <t>Expert Transport</t>
  </si>
  <si>
    <t xml:space="preserve">EXPERT TRANSPORT SAC </t>
  </si>
  <si>
    <t>BYR872</t>
  </si>
  <si>
    <t>A3K983</t>
  </si>
  <si>
    <t>HUMBERTO JESÚS SUAREZ ARGUINZONES</t>
  </si>
  <si>
    <t>B007168026</t>
  </si>
  <si>
    <t>N/A</t>
  </si>
  <si>
    <t>RH-0195</t>
  </si>
  <si>
    <t>PER9150720A</t>
  </si>
  <si>
    <t> CAAU4169317</t>
  </si>
  <si>
    <t>00795873</t>
  </si>
  <si>
    <t> G3887834</t>
  </si>
  <si>
    <t>TJD977</t>
  </si>
  <si>
    <t>MARIO WILMER AVENDAÑO ACHA</t>
  </si>
  <si>
    <t>B46445299</t>
  </si>
  <si>
    <t>RH-0200</t>
  </si>
  <si>
    <t>PER9150723A</t>
  </si>
  <si>
    <t>CAAU4079384</t>
  </si>
  <si>
    <t>00796314</t>
  </si>
  <si>
    <t>G3888223</t>
  </si>
  <si>
    <t>TNQ977</t>
  </si>
  <si>
    <t>FREDERIS JOSE PAVON RUIZ</t>
  </si>
  <si>
    <t>Q005175672</t>
  </si>
  <si>
    <t>RH-0259</t>
  </si>
  <si>
    <t>PER9156768A</t>
  </si>
  <si>
    <t>CAAU4075727</t>
  </si>
  <si>
    <t>00798434</t>
  </si>
  <si>
    <t>G3888850</t>
  </si>
  <si>
    <t>MONTERRICO SRL</t>
  </si>
  <si>
    <t>F8H725</t>
  </si>
  <si>
    <t>TJV974</t>
  </si>
  <si>
    <t>B41866333</t>
  </si>
  <si>
    <t>RH-0268</t>
  </si>
  <si>
    <t>PER9157543A</t>
  </si>
  <si>
    <t>TXGU9028516</t>
  </si>
  <si>
    <t>00798438</t>
  </si>
  <si>
    <t>G3888292</t>
  </si>
  <si>
    <t>RH-0270</t>
  </si>
  <si>
    <t>PER9156800A</t>
  </si>
  <si>
    <t>BEAU9705128</t>
  </si>
  <si>
    <t>00799001</t>
  </si>
  <si>
    <t>G3888808</t>
  </si>
  <si>
    <t>V1B809</t>
  </si>
  <si>
    <t>TKC975</t>
  </si>
  <si>
    <t>GUILLERMO YOSNEY GONZALEZ RUIZ</t>
  </si>
  <si>
    <t>Q005581456</t>
  </si>
  <si>
    <t>RH-0271</t>
  </si>
  <si>
    <t>PER9156797A</t>
  </si>
  <si>
    <t>SEKU9425268</t>
  </si>
  <si>
    <t>00798988</t>
  </si>
  <si>
    <t>G3888804</t>
  </si>
  <si>
    <t>RH-0333</t>
  </si>
  <si>
    <t>MBM250067107</t>
  </si>
  <si>
    <t xml:space="preserve"> SEKU9364162</t>
  </si>
  <si>
    <t>007258</t>
  </si>
  <si>
    <t xml:space="preserve"> 004VA779510</t>
  </si>
  <si>
    <t>C5Z734</t>
  </si>
  <si>
    <t>TJE975</t>
  </si>
  <si>
    <t>LUIS CARLOS LAMAS RUIZ</t>
  </si>
  <si>
    <t>B009531613</t>
  </si>
  <si>
    <t>RH-0334</t>
  </si>
  <si>
    <t>MBM250067108</t>
  </si>
  <si>
    <t>FBIU5312870</t>
  </si>
  <si>
    <t>007122</t>
  </si>
  <si>
    <t>004VA779521</t>
  </si>
  <si>
    <t>RH-0338</t>
  </si>
  <si>
    <t> PER9170849A</t>
  </si>
  <si>
    <t> CAAU4160496</t>
  </si>
  <si>
    <t>00801236</t>
  </si>
  <si>
    <t>G3888539 </t>
  </si>
  <si>
    <t>RH-0339</t>
  </si>
  <si>
    <t>Port Hueneme</t>
  </si>
  <si>
    <t>Del Monte</t>
  </si>
  <si>
    <t>BN80271</t>
  </si>
  <si>
    <t>SEKU9346425 </t>
  </si>
  <si>
    <t>00801288</t>
  </si>
  <si>
    <t>DP03487</t>
  </si>
  <si>
    <t>RH-0340</t>
  </si>
  <si>
    <t>BN80272</t>
  </si>
  <si>
    <t>SEKU9152116</t>
  </si>
  <si>
    <t>00801261</t>
  </si>
  <si>
    <t>DP03079</t>
  </si>
  <si>
    <t>RH-0364</t>
  </si>
  <si>
    <t>PER9173257A</t>
  </si>
  <si>
    <t>SEGU9887071</t>
  </si>
  <si>
    <t>00801349</t>
  </si>
  <si>
    <t>G3888574</t>
  </si>
  <si>
    <t>RH-0347</t>
  </si>
  <si>
    <t>PER9166892A</t>
  </si>
  <si>
    <t>GCXU8016876</t>
  </si>
  <si>
    <t>00801498</t>
  </si>
  <si>
    <t>G4085592</t>
  </si>
  <si>
    <t>RH-0348</t>
  </si>
  <si>
    <t>PER9166893A</t>
  </si>
  <si>
    <t>SEKU9119735</t>
  </si>
  <si>
    <t>00801513</t>
  </si>
  <si>
    <t>G3888872</t>
  </si>
  <si>
    <t>V2N749</t>
  </si>
  <si>
    <t>TNQ999</t>
  </si>
  <si>
    <t>JUAN MIGUAL LAGOS VICHEZ</t>
  </si>
  <si>
    <t>RH-0349</t>
  </si>
  <si>
    <t>PER9166894A</t>
  </si>
  <si>
    <t>CAAU4166909</t>
  </si>
  <si>
    <t>00801492</t>
  </si>
  <si>
    <t>G4085593</t>
  </si>
  <si>
    <t xml:space="preserve">VIRGEN DE LA PUERTA S.R.L.	</t>
  </si>
  <si>
    <t>BPX827</t>
  </si>
  <si>
    <t>TFS985</t>
  </si>
  <si>
    <t>GILBERTO VIVAS LALUPU</t>
  </si>
  <si>
    <t>B03507369</t>
  </si>
  <si>
    <t>RH-0439</t>
  </si>
  <si>
    <t>MBM250067114</t>
  </si>
  <si>
    <t>CAAU4033510</t>
  </si>
  <si>
    <t xml:space="preserve"> 007368</t>
  </si>
  <si>
    <t xml:space="preserve"> 004VA779757</t>
  </si>
  <si>
    <t>RH-0440</t>
  </si>
  <si>
    <t>MBM250067115</t>
  </si>
  <si>
    <t>CAAU4035895</t>
  </si>
  <si>
    <t>007369</t>
  </si>
  <si>
    <t>004VA779754</t>
  </si>
  <si>
    <t>RH-0452</t>
  </si>
  <si>
    <t>PER9174383A</t>
  </si>
  <si>
    <t>SEGU9819502</t>
  </si>
  <si>
    <t>00803312</t>
  </si>
  <si>
    <t>G4085604</t>
  </si>
  <si>
    <t>RH-0453</t>
  </si>
  <si>
    <t>PER9174384A</t>
  </si>
  <si>
    <t>CAAU4160428</t>
  </si>
  <si>
    <t>00803342</t>
  </si>
  <si>
    <t>G4085601</t>
  </si>
  <si>
    <t>RH-0454</t>
  </si>
  <si>
    <t>PER9174385A</t>
  </si>
  <si>
    <t>CAAU4162478</t>
  </si>
  <si>
    <t>00803334</t>
  </si>
  <si>
    <t>G4085608</t>
  </si>
  <si>
    <t>RH-0443</t>
  </si>
  <si>
    <t>PER9174394A</t>
  </si>
  <si>
    <t>CAXU5294637</t>
  </si>
  <si>
    <t>00804067</t>
  </si>
  <si>
    <t>G4086374</t>
  </si>
  <si>
    <t>RH-0444</t>
  </si>
  <si>
    <t>PER9174395A</t>
  </si>
  <si>
    <t>CAAU4166112</t>
  </si>
  <si>
    <t>00804131</t>
  </si>
  <si>
    <t>G4086368</t>
  </si>
  <si>
    <t>RH-0449</t>
  </si>
  <si>
    <t>Network Shipping</t>
  </si>
  <si>
    <t>BN80684</t>
  </si>
  <si>
    <t>BMOU9333940</t>
  </si>
  <si>
    <t>00803944</t>
  </si>
  <si>
    <t>DP03341</t>
  </si>
  <si>
    <t>RH-0450</t>
  </si>
  <si>
    <t>BN80685</t>
  </si>
  <si>
    <t>CAAU4283588</t>
  </si>
  <si>
    <t>00803938</t>
  </si>
  <si>
    <t>DP03350</t>
  </si>
  <si>
    <t>RH-0483</t>
  </si>
  <si>
    <t>MBM250067117</t>
  </si>
  <si>
    <t>BMOU9621741</t>
  </si>
  <si>
    <t>007426</t>
  </si>
  <si>
    <t>004VA779838</t>
  </si>
  <si>
    <t>RH-0501</t>
  </si>
  <si>
    <t>PER9184417A</t>
  </si>
  <si>
    <t>SEKU9375362 </t>
  </si>
  <si>
    <t>G4086314</t>
  </si>
  <si>
    <t>RH-0490</t>
  </si>
  <si>
    <t>BN81290</t>
  </si>
  <si>
    <t>TEMU9491831</t>
  </si>
  <si>
    <t>DP03247</t>
  </si>
  <si>
    <t>RH-0491</t>
  </si>
  <si>
    <t>BN81291</t>
  </si>
  <si>
    <t>TEMU9595796</t>
  </si>
  <si>
    <t>DP03245</t>
  </si>
  <si>
    <t>RH-0506</t>
  </si>
  <si>
    <t>PER9184422A</t>
  </si>
  <si>
    <t>SZLU7011191</t>
  </si>
  <si>
    <t>G4085672</t>
  </si>
  <si>
    <t>RH-0550</t>
  </si>
  <si>
    <t>MBM250067124</t>
  </si>
  <si>
    <t>RH-0006</t>
  </si>
  <si>
    <t>6502210210 </t>
  </si>
  <si>
    <t>OERU4327243</t>
  </si>
  <si>
    <t>AYS-737</t>
  </si>
  <si>
    <t>AZL-997</t>
  </si>
  <si>
    <t>CONTENEDOR REFRIGERADA</t>
  </si>
  <si>
    <t>Q41001873</t>
  </si>
  <si>
    <t>RH-0026</t>
  </si>
  <si>
    <t>EGSU5056740</t>
  </si>
  <si>
    <t>AZH-828</t>
  </si>
  <si>
    <t>AXO-972</t>
  </si>
  <si>
    <t>JARA RAMOS CARLOS AUGUSTO</t>
  </si>
  <si>
    <t>Q45899911</t>
  </si>
  <si>
    <t>TPP</t>
  </si>
  <si>
    <t>RH-0029</t>
  </si>
  <si>
    <t>EMCU5680947</t>
  </si>
  <si>
    <t>CBP-811</t>
  </si>
  <si>
    <t>BTL-997</t>
  </si>
  <si>
    <t>Q45525525</t>
  </si>
  <si>
    <t>RH-0030</t>
  </si>
  <si>
    <t>EMCU5520825</t>
  </si>
  <si>
    <t>RVR AGRO S.R.L.</t>
  </si>
  <si>
    <t>BPQ-810</t>
  </si>
  <si>
    <t>BBR-971</t>
  </si>
  <si>
    <t>ACUÑA JARA ANGEL ADOLFO</t>
  </si>
  <si>
    <t>Q46025749</t>
  </si>
  <si>
    <t>RH-0043</t>
  </si>
  <si>
    <t>FBIU5684901</t>
  </si>
  <si>
    <t>BKI-940</t>
  </si>
  <si>
    <t>AXN-997</t>
  </si>
  <si>
    <t>MALDONADO SANTARIA WILDER</t>
  </si>
  <si>
    <t>E41180232</t>
  </si>
  <si>
    <t>RH-0052</t>
  </si>
  <si>
    <t>OERU4400719</t>
  </si>
  <si>
    <t>BFN-739</t>
  </si>
  <si>
    <t>BVY-973</t>
  </si>
  <si>
    <t>HERNANDEZ REYES HERISERI DAVID</t>
  </si>
  <si>
    <t>Q42930147</t>
  </si>
  <si>
    <t>RH-0045</t>
  </si>
  <si>
    <t>OERU4350074</t>
  </si>
  <si>
    <t>BCA-717</t>
  </si>
  <si>
    <t>ANS-995</t>
  </si>
  <si>
    <t>CARBAJAL PALOMINO YOVANNI</t>
  </si>
  <si>
    <t>Q10429095</t>
  </si>
  <si>
    <t>RH-0046</t>
  </si>
  <si>
    <t>FBIU5576194</t>
  </si>
  <si>
    <t>AZG-916</t>
  </si>
  <si>
    <t>ANV-981</t>
  </si>
  <si>
    <t>PAREDES ALVARADO JOGGER PABLO</t>
  </si>
  <si>
    <t>Q41977758</t>
  </si>
  <si>
    <t>RH-0047</t>
  </si>
  <si>
    <t xml:space="preserve">FBIU5773845	</t>
  </si>
  <si>
    <t>TRANSPORTES CORRECAMINOS DEL PERU S.A.C.</t>
  </si>
  <si>
    <t>BPJ-889</t>
  </si>
  <si>
    <t>C2B-989</t>
  </si>
  <si>
    <t>HUAMANI PALOMINO EDGAR FREDY</t>
  </si>
  <si>
    <t>Q40736385</t>
  </si>
  <si>
    <t>RH-0051</t>
  </si>
  <si>
    <t>OERU4330289</t>
  </si>
  <si>
    <t>BBK-804</t>
  </si>
  <si>
    <t>AMV-976</t>
  </si>
  <si>
    <t>INCHE LOYA GERMAN ALBERTO</t>
  </si>
  <si>
    <t>Q73028995</t>
  </si>
  <si>
    <t>RH-0063</t>
  </si>
  <si>
    <t>LIM600213700</t>
  </si>
  <si>
    <t>PCIU6123677</t>
  </si>
  <si>
    <t>AYO-923</t>
  </si>
  <si>
    <t>ANE-991</t>
  </si>
  <si>
    <t>MATIAS ORTIZ LUIS ANGEL</t>
  </si>
  <si>
    <t>Q41615893</t>
  </si>
  <si>
    <t>RH-0067</t>
  </si>
  <si>
    <t>EMCU5725738</t>
  </si>
  <si>
    <t>TRANSPORTES PEDRO ARELLANO S.A.C.</t>
  </si>
  <si>
    <t>ARC-745</t>
  </si>
  <si>
    <t>C9H-981</t>
  </si>
  <si>
    <t>JAVIER TANTAVILCA EDGAR PEDRO</t>
  </si>
  <si>
    <t>Q10602434</t>
  </si>
  <si>
    <t>RH-0068</t>
  </si>
  <si>
    <t>LIM600222500</t>
  </si>
  <si>
    <t>BEAU9733639</t>
  </si>
  <si>
    <t>BPG-947</t>
  </si>
  <si>
    <t>C3H-979</t>
  </si>
  <si>
    <t>CORREA ROMERO POMER IVAN</t>
  </si>
  <si>
    <t>Q03127382</t>
  </si>
  <si>
    <t>RH-0069</t>
  </si>
  <si>
    <t>LIM600213600</t>
  </si>
  <si>
    <t>FBIU5590090</t>
  </si>
  <si>
    <t>BPH-908</t>
  </si>
  <si>
    <t>C3H-978</t>
  </si>
  <si>
    <t>GUIZADO SAEZ JULIO CESAR</t>
  </si>
  <si>
    <t>Q41447197</t>
  </si>
  <si>
    <t>RH-0070</t>
  </si>
  <si>
    <t>CAAU4046631</t>
  </si>
  <si>
    <t>BKI-808</t>
  </si>
  <si>
    <t>BVZ-973</t>
  </si>
  <si>
    <t>ARCHILA ZURITA NATANAEL DAVID</t>
  </si>
  <si>
    <t>Q003949488</t>
  </si>
  <si>
    <t>RH-0081</t>
  </si>
  <si>
    <t>EMCU5676211</t>
  </si>
  <si>
    <t>BFQ-878</t>
  </si>
  <si>
    <t>AUY-988</t>
  </si>
  <si>
    <t>AHUANARI PEREIRA LUIS ALBERTO</t>
  </si>
  <si>
    <t>Q25701786</t>
  </si>
  <si>
    <t>RH-0086</t>
  </si>
  <si>
    <t>LIM600226800</t>
  </si>
  <si>
    <t>CAAU4072097</t>
  </si>
  <si>
    <t xml:space="preserve">TGD SERVICIOS S.A.C.
</t>
  </si>
  <si>
    <t>ASG-909</t>
  </si>
  <si>
    <t>BES-976</t>
  </si>
  <si>
    <t>QUISPE CHIROQUE MAXIMO</t>
  </si>
  <si>
    <t>F25438671</t>
  </si>
  <si>
    <t>RH-0087</t>
  </si>
  <si>
    <t>LIM600226900</t>
  </si>
  <si>
    <t>FBIU5334483</t>
  </si>
  <si>
    <t>AZH-888</t>
  </si>
  <si>
    <t>ALL-988</t>
  </si>
  <si>
    <t>CANCHARI ROSALES DAVID MARCOS</t>
  </si>
  <si>
    <t>Q09911196</t>
  </si>
  <si>
    <t>RH-0088</t>
  </si>
  <si>
    <t>EMCU5507741</t>
  </si>
  <si>
    <t xml:space="preserve">INVERSIONES CHICHO S.A.C.
</t>
  </si>
  <si>
    <t>AYO-885</t>
  </si>
  <si>
    <t>ALF-998</t>
  </si>
  <si>
    <t>VILLANUEVA ABARCA NESTOR ARISTOBAL</t>
  </si>
  <si>
    <t>Q40222578</t>
  </si>
  <si>
    <t>RH-0089</t>
  </si>
  <si>
    <t>MNBU3923350</t>
  </si>
  <si>
    <t>BPR-716</t>
  </si>
  <si>
    <t>BBS-982</t>
  </si>
  <si>
    <t>SOTELO BRAVO MIGUEL ANGEL</t>
  </si>
  <si>
    <t>R25423621</t>
  </si>
  <si>
    <t>APM</t>
  </si>
  <si>
    <t>RH-0095</t>
  </si>
  <si>
    <t>LIM600227000</t>
  </si>
  <si>
    <t>CAAU4034292</t>
  </si>
  <si>
    <t>CBP-823</t>
  </si>
  <si>
    <t>AKL-987</t>
  </si>
  <si>
    <t>PRADO ALIAGA JOHN ALEX</t>
  </si>
  <si>
    <t>Q40059336</t>
  </si>
  <si>
    <t>RH-0096</t>
  </si>
  <si>
    <t>EMCU5674060</t>
  </si>
  <si>
    <t>BSE-784</t>
  </si>
  <si>
    <t>BDG-979</t>
  </si>
  <si>
    <t>TOSCANO SACCSA RICHARD VICENTE</t>
  </si>
  <si>
    <t>Q10741867</t>
  </si>
  <si>
    <t>RH-0092</t>
  </si>
  <si>
    <t>EMCU5613050</t>
  </si>
  <si>
    <t>BMT-835</t>
  </si>
  <si>
    <t>BVZ-976</t>
  </si>
  <si>
    <t>MORENO ZAPATA FILIBERTO ESTEBAN</t>
  </si>
  <si>
    <t>Q15725771</t>
  </si>
  <si>
    <t>RH-0093</t>
  </si>
  <si>
    <t>EGSU5044693</t>
  </si>
  <si>
    <t>AYR-912</t>
  </si>
  <si>
    <t>AZM-981</t>
  </si>
  <si>
    <t>MONTAÑO DE LA CRUZ JESUS LUCCIANO</t>
  </si>
  <si>
    <t>Q42349043</t>
  </si>
  <si>
    <t>RH-0094</t>
  </si>
  <si>
    <t>EMCU5515201</t>
  </si>
  <si>
    <t>788857</t>
  </si>
  <si>
    <t>TGD SERVICIOS S.A.C.</t>
  </si>
  <si>
    <t>RH-0103</t>
  </si>
  <si>
    <t>LIM600227100</t>
  </si>
  <si>
    <t>FBIU5739877</t>
  </si>
  <si>
    <t>476504</t>
  </si>
  <si>
    <t>EDVAS LOGISTICA S.A.C.</t>
  </si>
  <si>
    <t>C8W-936</t>
  </si>
  <si>
    <t>C2M-991</t>
  </si>
  <si>
    <t>VASQUEZ ROSALES EDWIN VICTOR</t>
  </si>
  <si>
    <t>E31680003</t>
  </si>
  <si>
    <t>RH-0106</t>
  </si>
  <si>
    <t>6506665420</t>
  </si>
  <si>
    <t>OERU4274539</t>
  </si>
  <si>
    <t>AMP-767</t>
  </si>
  <si>
    <t>AZL-971</t>
  </si>
  <si>
    <t>Q32110321</t>
  </si>
  <si>
    <t>RH-0110</t>
  </si>
  <si>
    <t>6506665550</t>
  </si>
  <si>
    <t>FBIU5010186</t>
  </si>
  <si>
    <t>BMD-798</t>
  </si>
  <si>
    <t>AZJ-971</t>
  </si>
  <si>
    <t>RUMICHE FIESTAS MELANIO ANTONIO</t>
  </si>
  <si>
    <t>Q25826470</t>
  </si>
  <si>
    <t>RH-0134</t>
  </si>
  <si>
    <t>FBIU5569678</t>
  </si>
  <si>
    <t>VILLANUEVA JAMJACHI ABEL JESUS</t>
  </si>
  <si>
    <t>AJW-875</t>
  </si>
  <si>
    <t>ADU-980</t>
  </si>
  <si>
    <t>Q25753474</t>
  </si>
  <si>
    <t>RH-0112</t>
  </si>
  <si>
    <t>FSCU5932589</t>
  </si>
  <si>
    <t>CFF-938</t>
  </si>
  <si>
    <t>BSR-989</t>
  </si>
  <si>
    <t>ROMERO BENEDETTI CHRISTIAN MANUEL</t>
  </si>
  <si>
    <t>Q25855908</t>
  </si>
  <si>
    <t>RH-0108</t>
  </si>
  <si>
    <t>BKI-834</t>
  </si>
  <si>
    <t>ALL-979</t>
  </si>
  <si>
    <t>CORDERO SORIANO FELICIANO BARTOLOME</t>
  </si>
  <si>
    <t>Q33348987</t>
  </si>
  <si>
    <t>RH-0113</t>
  </si>
  <si>
    <t>FBIU5793121</t>
  </si>
  <si>
    <t>BKI-894</t>
  </si>
  <si>
    <t>AXN-990</t>
  </si>
  <si>
    <t>VERA SOTO OSCAR</t>
  </si>
  <si>
    <t>E42235469</t>
  </si>
  <si>
    <t>RH-0114</t>
  </si>
  <si>
    <t>FBIU5751044</t>
  </si>
  <si>
    <t>BJW-763</t>
  </si>
  <si>
    <t>AXD-994</t>
  </si>
  <si>
    <t>ZAMBRANO OSORIO WILLIAMS JESUS</t>
  </si>
  <si>
    <t>Q006863428</t>
  </si>
  <si>
    <t>RH-0115</t>
  </si>
  <si>
    <t>FBIU5186920</t>
  </si>
  <si>
    <t>RH-0117</t>
  </si>
  <si>
    <t>FBIU5003994</t>
  </si>
  <si>
    <t>BBG-844</t>
  </si>
  <si>
    <t>AZK-992</t>
  </si>
  <si>
    <t>PAUCCAR QUISPE JOSUE</t>
  </si>
  <si>
    <t>Q44059511</t>
  </si>
  <si>
    <t>RH-0133</t>
  </si>
  <si>
    <t>OERU4284814</t>
  </si>
  <si>
    <t>BFH-947</t>
  </si>
  <si>
    <t>AJP-999</t>
  </si>
  <si>
    <t>NAVARRO VILCATOMA LUIS ENRIQUE</t>
  </si>
  <si>
    <t>F41812149</t>
  </si>
  <si>
    <t>RH-0118</t>
  </si>
  <si>
    <t>LIM600235900</t>
  </si>
  <si>
    <t>CAAU4074567</t>
  </si>
  <si>
    <t>RH-0120</t>
  </si>
  <si>
    <t>FBIU5002410</t>
  </si>
  <si>
    <t>RH-0127</t>
  </si>
  <si>
    <t>PER9134317A</t>
  </si>
  <si>
    <t>SEKU9271162</t>
  </si>
  <si>
    <t>ANB-875</t>
  </si>
  <si>
    <t>TDK-998</t>
  </si>
  <si>
    <t>CALSINA SUCASAIRE JOSE</t>
  </si>
  <si>
    <t>Q10644080</t>
  </si>
  <si>
    <t>RFS</t>
  </si>
  <si>
    <t>RH-0128</t>
  </si>
  <si>
    <t>PER9134357A</t>
  </si>
  <si>
    <t>SEGU9887030</t>
  </si>
  <si>
    <t>JCEP LOGISTIC E.I.R.L.</t>
  </si>
  <si>
    <t>CJB-892</t>
  </si>
  <si>
    <t>B8N-993</t>
  </si>
  <si>
    <t>CERNA ALMANZA MACARIO CAYO</t>
  </si>
  <si>
    <t>Q32730334</t>
  </si>
  <si>
    <t>RH-0235</t>
  </si>
  <si>
    <t>OERU4285127</t>
  </si>
  <si>
    <t>RH-0236</t>
  </si>
  <si>
    <t>OTPU6648331</t>
  </si>
  <si>
    <t>ATZ-998</t>
  </si>
  <si>
    <t>RH-0237</t>
  </si>
  <si>
    <t>OERU4375025</t>
  </si>
  <si>
    <t>BKS-916</t>
  </si>
  <si>
    <t>AZS-995</t>
  </si>
  <si>
    <t>PALOMARES LUIS ALBERTO</t>
  </si>
  <si>
    <t>Q09051460</t>
  </si>
  <si>
    <t>RH-0248</t>
  </si>
  <si>
    <t>EMCU5643687</t>
  </si>
  <si>
    <t>RH-0250</t>
  </si>
  <si>
    <t>FBIU5614458</t>
  </si>
  <si>
    <t>RGM LOGISTICS TRANSPORT S.A.C.</t>
  </si>
  <si>
    <t>BPJ-915</t>
  </si>
  <si>
    <t>BBG-981</t>
  </si>
  <si>
    <t>AQUISE MEDRANO WILBER</t>
  </si>
  <si>
    <t>Q42539956</t>
  </si>
  <si>
    <t>RH-0275</t>
  </si>
  <si>
    <t>OERU4806082</t>
  </si>
  <si>
    <t>RH-0326</t>
  </si>
  <si>
    <t>FBIU5342832</t>
  </si>
  <si>
    <t>RH-0327</t>
  </si>
  <si>
    <t>FBIU5729380</t>
  </si>
  <si>
    <t>RH-0329</t>
  </si>
  <si>
    <t>OERU4362265</t>
  </si>
  <si>
    <t>BENLOB E.I.R.L.</t>
  </si>
  <si>
    <t>RH-0331</t>
  </si>
  <si>
    <t>OERU4811896</t>
  </si>
  <si>
    <t>BPI-717</t>
  </si>
  <si>
    <t>C2C-998</t>
  </si>
  <si>
    <t>CAMASCA CARNICA SIMION</t>
  </si>
  <si>
    <t>Q40419234</t>
  </si>
  <si>
    <t>RH-0420</t>
  </si>
  <si>
    <t>Shanghai</t>
  </si>
  <si>
    <t>OERU4815150</t>
  </si>
  <si>
    <t>Chavimochic</t>
  </si>
  <si>
    <t>POPAYAN DOMINGUEZ OSCAR CANTO</t>
  </si>
  <si>
    <t>RH-0421</t>
  </si>
  <si>
    <t>OERU4817472</t>
  </si>
  <si>
    <t>MANUFACTURAS DE ACERO COMERCIAL E INDUSTRIAL S.A.</t>
  </si>
  <si>
    <t>BYP-947</t>
  </si>
  <si>
    <t>ARW-980</t>
  </si>
  <si>
    <t>CHOQUEHUANCA MARTINEZ CARLOS</t>
  </si>
  <si>
    <t>Q10746212</t>
  </si>
  <si>
    <t>RH-0432</t>
  </si>
  <si>
    <t>San Antonio</t>
  </si>
  <si>
    <t>FBIU5316617</t>
  </si>
  <si>
    <t>RH-0451</t>
  </si>
  <si>
    <t>OERU4250157</t>
  </si>
  <si>
    <t>RVR AGRO S.R.L</t>
  </si>
  <si>
    <t>RH-0472</t>
  </si>
  <si>
    <t>FBIU5743434</t>
  </si>
  <si>
    <t>TRANSPORTES CORRECAMINOS DEL PERU S.A.C</t>
  </si>
  <si>
    <t>RH-0473</t>
  </si>
  <si>
    <t>FBIU5657634</t>
  </si>
  <si>
    <t>RH-0001</t>
  </si>
  <si>
    <t>MBM250067088</t>
  </si>
  <si>
    <t>SEGU9325135</t>
  </si>
  <si>
    <t>0063992</t>
  </si>
  <si>
    <t>004VA779170</t>
  </si>
  <si>
    <t>BMU-724</t>
  </si>
  <si>
    <t>A2G-970</t>
  </si>
  <si>
    <t>ALVA MORALES MARCO ANTONIO</t>
  </si>
  <si>
    <t>Q25566860</t>
  </si>
  <si>
    <t>932 208 104</t>
  </si>
  <si>
    <t>PER9089919A</t>
  </si>
  <si>
    <t>00778762</t>
  </si>
  <si>
    <t>G3885232</t>
  </si>
  <si>
    <t>940 126 735</t>
  </si>
  <si>
    <t>PER9094721A</t>
  </si>
  <si>
    <t>00779063</t>
  </si>
  <si>
    <t>G3885433</t>
  </si>
  <si>
    <t>963 895 385</t>
  </si>
  <si>
    <t>00781558</t>
  </si>
  <si>
    <t>G3886602</t>
  </si>
  <si>
    <t>920 494 359</t>
  </si>
  <si>
    <t>RH-0050</t>
  </si>
  <si>
    <t>MBM250067089</t>
  </si>
  <si>
    <t>CXRU1529150</t>
  </si>
  <si>
    <t>01073074</t>
  </si>
  <si>
    <t>004VA778414</t>
  </si>
  <si>
    <t>RH-0071</t>
  </si>
  <si>
    <t>MBM250067090</t>
  </si>
  <si>
    <t>TCLU1374512</t>
  </si>
  <si>
    <t>00785245</t>
  </si>
  <si>
    <t>CMW2854</t>
  </si>
  <si>
    <t>ASO-911</t>
  </si>
  <si>
    <t>ADF-995</t>
  </si>
  <si>
    <t>HUAYAMA GARCIA FRANK ANTONIO</t>
  </si>
  <si>
    <t>B47436868</t>
  </si>
  <si>
    <t>920 494 111</t>
  </si>
  <si>
    <t>RH-0090</t>
  </si>
  <si>
    <t>MBM250067093</t>
  </si>
  <si>
    <t>TCLU1344415</t>
  </si>
  <si>
    <t>00787681</t>
  </si>
  <si>
    <t>CMW2866</t>
  </si>
  <si>
    <t>BHG-947</t>
  </si>
  <si>
    <t>AZL-985</t>
  </si>
  <si>
    <t>RH-0091</t>
  </si>
  <si>
    <t>MBM250067094</t>
  </si>
  <si>
    <t>CXRU1637508</t>
  </si>
  <si>
    <t>00787677</t>
  </si>
  <si>
    <t>CMW2861</t>
  </si>
  <si>
    <t>963 069 655</t>
  </si>
  <si>
    <t>RH-0122</t>
  </si>
  <si>
    <t>MBM250067096</t>
  </si>
  <si>
    <t>FDDU2545847</t>
  </si>
  <si>
    <t>006954</t>
  </si>
  <si>
    <t>004VA780141</t>
  </si>
  <si>
    <t>AXD-842</t>
  </si>
  <si>
    <t>ATW-991</t>
  </si>
  <si>
    <t>CRUZ GARRO JORGE PORFIRIO</t>
  </si>
  <si>
    <t>D42478220</t>
  </si>
  <si>
    <t>964 069 655</t>
  </si>
  <si>
    <t>RH-0123</t>
  </si>
  <si>
    <t>MBM250067097</t>
  </si>
  <si>
    <t>FDDU2542350</t>
  </si>
  <si>
    <t>006957</t>
  </si>
  <si>
    <t>004VA780102</t>
  </si>
  <si>
    <t>BBH-709</t>
  </si>
  <si>
    <t>AMY-988</t>
  </si>
  <si>
    <t>ANTON JIMENEZ FRANKLYN RANDHOLP</t>
  </si>
  <si>
    <t>B71707591</t>
  </si>
  <si>
    <t>965 069 655</t>
  </si>
  <si>
    <t>RH-0124</t>
  </si>
  <si>
    <t>PER9133087A</t>
  </si>
  <si>
    <t>SZLU5019399</t>
  </si>
  <si>
    <t>00790744</t>
  </si>
  <si>
    <t>G3887747</t>
  </si>
  <si>
    <t>APU-757</t>
  </si>
  <si>
    <t>ARQ-991</t>
  </si>
  <si>
    <t>SANDOVAL RAMOS LUIS</t>
  </si>
  <si>
    <t>Q40848242</t>
  </si>
  <si>
    <t>966 069 655</t>
  </si>
  <si>
    <t>RH-0126</t>
  </si>
  <si>
    <t>PER9133090A</t>
  </si>
  <si>
    <t>SZLU5019892</t>
  </si>
  <si>
    <t>00790745</t>
  </si>
  <si>
    <t>G3887732</t>
  </si>
  <si>
    <t>AYN-818</t>
  </si>
  <si>
    <t>AVY-986</t>
  </si>
  <si>
    <t>CHERO MARRERO EDGAR ALFREDO</t>
  </si>
  <si>
    <t>D19242591</t>
  </si>
  <si>
    <t>967 069 655</t>
  </si>
  <si>
    <t>RH-0125</t>
  </si>
  <si>
    <t>PER9133089A</t>
  </si>
  <si>
    <t>CAAU4163258</t>
  </si>
  <si>
    <t>00791093</t>
  </si>
  <si>
    <t>G3887997</t>
  </si>
  <si>
    <t>968 069 655</t>
  </si>
  <si>
    <t>RH-0151</t>
  </si>
  <si>
    <t>MBM250067099</t>
  </si>
  <si>
    <t>FDDU2543886</t>
  </si>
  <si>
    <t>007010</t>
  </si>
  <si>
    <t>004VA779303</t>
  </si>
  <si>
    <t>BBG-825</t>
  </si>
  <si>
    <t>ANA-974</t>
  </si>
  <si>
    <t>TAVARA SOLIS PAUL MARLON</t>
  </si>
  <si>
    <t>C17625579</t>
  </si>
  <si>
    <t>969 069 655</t>
  </si>
  <si>
    <t>RH-0152</t>
  </si>
  <si>
    <t>MBM250067100</t>
  </si>
  <si>
    <t>SEKU9368609</t>
  </si>
  <si>
    <t>007024</t>
  </si>
  <si>
    <t>004VA779263</t>
  </si>
  <si>
    <t>ASO-792</t>
  </si>
  <si>
    <t>AKA-993</t>
  </si>
  <si>
    <t>MEDINA OLAYA JOSE LUIS</t>
  </si>
  <si>
    <t>B44001820</t>
  </si>
  <si>
    <t>970 069 655</t>
  </si>
  <si>
    <t>RH-0153</t>
  </si>
  <si>
    <t>MBM250067098</t>
  </si>
  <si>
    <t>SEKU9365071</t>
  </si>
  <si>
    <t>007020</t>
  </si>
  <si>
    <t>004VA779262</t>
  </si>
  <si>
    <t>971 069 655</t>
  </si>
  <si>
    <t>RH-0154</t>
  </si>
  <si>
    <t>BN79045</t>
  </si>
  <si>
    <t>TEMU9489109</t>
  </si>
  <si>
    <t>793131</t>
  </si>
  <si>
    <t>DP03003</t>
  </si>
  <si>
    <t>VARGAS BARRIENTOS JESUS GERMAN</t>
  </si>
  <si>
    <t>B72766316</t>
  </si>
  <si>
    <t>954 015 437</t>
  </si>
  <si>
    <t>RH-0164</t>
  </si>
  <si>
    <t>PER9140106A</t>
  </si>
  <si>
    <t>CAAU4079023</t>
  </si>
  <si>
    <t>793124</t>
  </si>
  <si>
    <t>G3887917</t>
  </si>
  <si>
    <t>BFJ-853</t>
  </si>
  <si>
    <t>AZR-979</t>
  </si>
  <si>
    <t>FIESTAS SAAVEDRA AYRTON ALAIN</t>
  </si>
  <si>
    <t>Q46579910</t>
  </si>
  <si>
    <t>972 069 655</t>
  </si>
  <si>
    <t>RH-0159</t>
  </si>
  <si>
    <t>PER9139502A</t>
  </si>
  <si>
    <t>GCXU8016686</t>
  </si>
  <si>
    <t>793101</t>
  </si>
  <si>
    <t>G3887937</t>
  </si>
  <si>
    <t>955 015 437</t>
  </si>
  <si>
    <t>RH-0174</t>
  </si>
  <si>
    <t>PER9144543A</t>
  </si>
  <si>
    <t>CAAU4167628</t>
  </si>
  <si>
    <t>703107</t>
  </si>
  <si>
    <t>G3887939</t>
  </si>
  <si>
    <t>973 069 655</t>
  </si>
  <si>
    <t>RH-0157</t>
  </si>
  <si>
    <t>PER9139505A</t>
  </si>
  <si>
    <t>GCXU8024911</t>
  </si>
  <si>
    <t>793441</t>
  </si>
  <si>
    <t>G3888745</t>
  </si>
  <si>
    <t>TRANSCAR MATHEO SOCIEDAD ANONIMA CERRADA</t>
  </si>
  <si>
    <t>T9I-827</t>
  </si>
  <si>
    <t>TOU-976</t>
  </si>
  <si>
    <t>CRUZ ATO CARLOS DAVID</t>
  </si>
  <si>
    <t>B03681030</t>
  </si>
  <si>
    <t>956 015 437</t>
  </si>
  <si>
    <t>RH-0165</t>
  </si>
  <si>
    <t>PER9140100A</t>
  </si>
  <si>
    <t>GCXU8024172</t>
  </si>
  <si>
    <t>793452</t>
  </si>
  <si>
    <t>G3888750</t>
  </si>
  <si>
    <t>974 069 655</t>
  </si>
  <si>
    <t>RH-0175</t>
  </si>
  <si>
    <t>PER9144522A</t>
  </si>
  <si>
    <t>CAAU4077627</t>
  </si>
  <si>
    <t>793456</t>
  </si>
  <si>
    <t>G3888749</t>
  </si>
  <si>
    <t>TAC-925</t>
  </si>
  <si>
    <t>TOR-980</t>
  </si>
  <si>
    <t>IPANAQUE GARCIA VALENTIN</t>
  </si>
  <si>
    <t>B41789176</t>
  </si>
  <si>
    <t>971 059 655</t>
  </si>
  <si>
    <t>RH-0192</t>
  </si>
  <si>
    <t>MBM250067101</t>
  </si>
  <si>
    <t>FBIU5311770</t>
  </si>
  <si>
    <t>007087</t>
  </si>
  <si>
    <t>004VA779328</t>
  </si>
  <si>
    <t>TRANSPORTES JAAC S.A.C</t>
  </si>
  <si>
    <t>W3M-710</t>
  </si>
  <si>
    <t>TKS-993</t>
  </si>
  <si>
    <t>BARRIENTOS MIÑAN JUAN CHARLIE</t>
  </si>
  <si>
    <t>B46376679</t>
  </si>
  <si>
    <t>954 005 437</t>
  </si>
  <si>
    <t>RH-0190</t>
  </si>
  <si>
    <t>MBM250067103</t>
  </si>
  <si>
    <t>FBIU5312967</t>
  </si>
  <si>
    <t>007089</t>
  </si>
  <si>
    <t xml:space="preserve"> 004VA779326</t>
  </si>
  <si>
    <t>972 000 655</t>
  </si>
  <si>
    <t>975 069 655</t>
  </si>
  <si>
    <t>RH-0191</t>
  </si>
  <si>
    <t>MBM250067102</t>
  </si>
  <si>
    <t>FBIU5312400</t>
  </si>
  <si>
    <t>007107</t>
  </si>
  <si>
    <t>004VA779391</t>
  </si>
  <si>
    <t>LOGISTICS TRANSPORT SOCIEDAD ANONIMA CERRAD</t>
  </si>
  <si>
    <t>D4J-829</t>
  </si>
  <si>
    <t>TPD-978</t>
  </si>
  <si>
    <t>CHIROQUE IMAN JOSE NICOLAS</t>
  </si>
  <si>
    <t>C16578741</t>
  </si>
  <si>
    <t>972 059 655</t>
  </si>
  <si>
    <t>RH-0193</t>
  </si>
  <si>
    <t>BN79531</t>
  </si>
  <si>
    <t>TEMU9595013</t>
  </si>
  <si>
    <t>796236</t>
  </si>
  <si>
    <t>DP03091</t>
  </si>
  <si>
    <t>AYO-892</t>
  </si>
  <si>
    <t>AJO-980</t>
  </si>
  <si>
    <t>AVELLANEDA OTERO RENZO MARTIN</t>
  </si>
  <si>
    <t>B40777868</t>
  </si>
  <si>
    <t>955 005 437</t>
  </si>
  <si>
    <t>RH-0199</t>
  </si>
  <si>
    <t>PER9150722A</t>
  </si>
  <si>
    <t>CAAU4166391</t>
  </si>
  <si>
    <t>796234</t>
  </si>
  <si>
    <t>G3888228</t>
  </si>
  <si>
    <t>973 000 655</t>
  </si>
  <si>
    <t>RH-0203</t>
  </si>
  <si>
    <t>PER9150726A</t>
  </si>
  <si>
    <t>CAAU4087800</t>
  </si>
  <si>
    <t>7962233</t>
  </si>
  <si>
    <t>G3888201</t>
  </si>
  <si>
    <t>976 069 655</t>
  </si>
  <si>
    <t>RH-0204</t>
  </si>
  <si>
    <t>PER9150727A</t>
  </si>
  <si>
    <t>CAAU4168162</t>
  </si>
  <si>
    <t>796592</t>
  </si>
  <si>
    <t>G3888202</t>
  </si>
  <si>
    <t>973 059 655</t>
  </si>
  <si>
    <t>RH-0205</t>
  </si>
  <si>
    <t>PER9150728A</t>
  </si>
  <si>
    <t>CAAU4168244</t>
  </si>
  <si>
    <t>796580</t>
  </si>
  <si>
    <t>G3888737</t>
  </si>
  <si>
    <t>TAD-861</t>
  </si>
  <si>
    <t>T0R-991</t>
  </si>
  <si>
    <t>GIRON CORONADO LUIS HUMBERTO</t>
  </si>
  <si>
    <t>B02838223</t>
  </si>
  <si>
    <t>956 005 437</t>
  </si>
  <si>
    <t>RH-0207</t>
  </si>
  <si>
    <t>PER9150783A</t>
  </si>
  <si>
    <t>CAAU4164022</t>
  </si>
  <si>
    <t>796569</t>
  </si>
  <si>
    <t>G3887908</t>
  </si>
  <si>
    <t>OPERADOR LOGISTICO RIO TINTO SAC</t>
  </si>
  <si>
    <t>B0Z-923</t>
  </si>
  <si>
    <t>TJY-988</t>
  </si>
  <si>
    <t>ZAPATA CHORRES LUIS FERNANDO</t>
  </si>
  <si>
    <t>A03872160</t>
  </si>
  <si>
    <t>974 000 655</t>
  </si>
  <si>
    <t>RH-0264</t>
  </si>
  <si>
    <t>ZIMULMA825956</t>
  </si>
  <si>
    <t>GMOU9023066</t>
  </si>
  <si>
    <t>797107</t>
  </si>
  <si>
    <t>A4261083237</t>
  </si>
  <si>
    <t>977 069 655</t>
  </si>
  <si>
    <t>RH-0252</t>
  </si>
  <si>
    <t>MBM250067104</t>
  </si>
  <si>
    <t>FBIU5309120</t>
  </si>
  <si>
    <t>007199</t>
  </si>
  <si>
    <t>004VA779446</t>
  </si>
  <si>
    <t>974 059 655</t>
  </si>
  <si>
    <t>RH-0253</t>
  </si>
  <si>
    <t>PER9160200A</t>
  </si>
  <si>
    <t>BEAU9705093</t>
  </si>
  <si>
    <t>798399</t>
  </si>
  <si>
    <t>G3888296</t>
  </si>
  <si>
    <t>AYO-798</t>
  </si>
  <si>
    <t>AMW-985</t>
  </si>
  <si>
    <t>CHAVEZ SERRATO WILLIAN</t>
  </si>
  <si>
    <t>B46863156</t>
  </si>
  <si>
    <t>957 105 437</t>
  </si>
  <si>
    <t>RH-0254</t>
  </si>
  <si>
    <t>PER9160213A</t>
  </si>
  <si>
    <t>SEKU9424786</t>
  </si>
  <si>
    <t>798324</t>
  </si>
  <si>
    <t>G3888815</t>
  </si>
  <si>
    <t>AYN-898</t>
  </si>
  <si>
    <t>ANE-979</t>
  </si>
  <si>
    <t>HUERTAS MARCHENA LEONARD HAGLER</t>
  </si>
  <si>
    <t>B45860899</t>
  </si>
  <si>
    <t>975 660 655</t>
  </si>
  <si>
    <t>RH-0255</t>
  </si>
  <si>
    <t>BN79753</t>
  </si>
  <si>
    <t>TEMU9788666</t>
  </si>
  <si>
    <t>797987</t>
  </si>
  <si>
    <t>DP03065</t>
  </si>
  <si>
    <t>978 069 655</t>
  </si>
  <si>
    <t>RH-0256</t>
  </si>
  <si>
    <t>BN79754</t>
  </si>
  <si>
    <t>TEMU9502793</t>
  </si>
  <si>
    <t>798950</t>
  </si>
  <si>
    <t>DP02628</t>
  </si>
  <si>
    <t>TRANSPORTES KALING SOCIEDAD ANONIMA CERRADA</t>
  </si>
  <si>
    <t>TFE-890</t>
  </si>
  <si>
    <t>T0R-993</t>
  </si>
  <si>
    <t>JUAREZ VILLASECA FELIX WALTER</t>
  </si>
  <si>
    <t>B03659725</t>
  </si>
  <si>
    <t>975 059 655</t>
  </si>
  <si>
    <t>RH-0257</t>
  </si>
  <si>
    <t>PER9156769A</t>
  </si>
  <si>
    <t>CAAU4081885</t>
  </si>
  <si>
    <t>798320</t>
  </si>
  <si>
    <t>G3888845</t>
  </si>
  <si>
    <t>958 005 437</t>
  </si>
  <si>
    <t>RH-0258</t>
  </si>
  <si>
    <t>PER9156759A</t>
  </si>
  <si>
    <t>SEKU9422510</t>
  </si>
  <si>
    <t>798443</t>
  </si>
  <si>
    <t>G3888283</t>
  </si>
  <si>
    <t xml:space="preserve">LOGISTICS TRANSPORT SOCIEDAD ANONIMA CERRADA </t>
  </si>
  <si>
    <t>RH-0265</t>
  </si>
  <si>
    <t>MBM250067105</t>
  </si>
  <si>
    <t>FDDU2543021</t>
  </si>
  <si>
    <t>007182</t>
  </si>
  <si>
    <t>004VA779455</t>
  </si>
  <si>
    <t>934 040 127</t>
  </si>
  <si>
    <t>RH-0272</t>
  </si>
  <si>
    <t>MBM250067106</t>
  </si>
  <si>
    <t>FDDU2540655</t>
  </si>
  <si>
    <t>007158</t>
  </si>
  <si>
    <t>004VA779459</t>
  </si>
  <si>
    <t>RH-0282</t>
  </si>
  <si>
    <t>ZIMULMA826222</t>
  </si>
  <si>
    <t>ZMOU8898817</t>
  </si>
  <si>
    <t>A4261083052</t>
  </si>
  <si>
    <t>T0B-919</t>
  </si>
  <si>
    <t>T0U-978</t>
  </si>
  <si>
    <t>ANDRADE SUNCION ALEXANDER GABRIEL</t>
  </si>
  <si>
    <t>B44776623</t>
  </si>
  <si>
    <t>RH-0335</t>
  </si>
  <si>
    <t>MBM250067109</t>
  </si>
  <si>
    <t>CAAU4032108</t>
  </si>
  <si>
    <t>004VA779559</t>
  </si>
  <si>
    <t>RH-0342</t>
  </si>
  <si>
    <t>BN80274</t>
  </si>
  <si>
    <t>SEKU9346404</t>
  </si>
  <si>
    <t>DP03402</t>
  </si>
  <si>
    <t>TAA-825</t>
  </si>
  <si>
    <t>TOR-990</t>
  </si>
  <si>
    <t>PEÑA OLAYA JOSE LUIS</t>
  </si>
  <si>
    <t>959 005 437</t>
  </si>
  <si>
    <t>RH-0343</t>
  </si>
  <si>
    <t>BN80275</t>
  </si>
  <si>
    <t>SEKU9267687</t>
  </si>
  <si>
    <t>DP03406</t>
  </si>
  <si>
    <t>TRANSPORTES Y SERVICIOS UNITED FRIENDS S.A.C.</t>
  </si>
  <si>
    <t>TFC-827</t>
  </si>
  <si>
    <t>BUC-978</t>
  </si>
  <si>
    <t>MOGOLLÓN REYES JUAN CARLOS</t>
  </si>
  <si>
    <t>B02862672</t>
  </si>
  <si>
    <t>RH-0346</t>
  </si>
  <si>
    <t>PER9166891A</t>
  </si>
  <si>
    <t>CAAU4080852</t>
  </si>
  <si>
    <t>G4085599</t>
  </si>
  <si>
    <t>LOGISTICS TRANSPORT SOCIEDAD ANONIMA CERRADA</t>
  </si>
  <si>
    <t>TJZ-980</t>
  </si>
  <si>
    <t>RH-0351</t>
  </si>
  <si>
    <t>PER9166896A</t>
  </si>
  <si>
    <t>SEKU9417025</t>
  </si>
  <si>
    <t xml:space="preserve">	G3888573</t>
  </si>
  <si>
    <t>960 005 437</t>
  </si>
  <si>
    <t>RH-0352</t>
  </si>
  <si>
    <t>PER9166882A</t>
  </si>
  <si>
    <t>FBIU5762666</t>
  </si>
  <si>
    <t>G3888896</t>
  </si>
  <si>
    <t>TPC-988</t>
  </si>
  <si>
    <t>938 894 035</t>
  </si>
  <si>
    <t>RH-0355</t>
  </si>
  <si>
    <t>PER9166846A</t>
  </si>
  <si>
    <t>TXGU9031130</t>
  </si>
  <si>
    <t>G3888575</t>
  </si>
  <si>
    <t>972 796 159</t>
  </si>
  <si>
    <t>RH-0356</t>
  </si>
  <si>
    <t>PER9166847A</t>
  </si>
  <si>
    <t>BMOU9891161</t>
  </si>
  <si>
    <t>G3888524</t>
  </si>
  <si>
    <t>RH-0359</t>
  </si>
  <si>
    <t>PER9166897A</t>
  </si>
  <si>
    <t>SEKU9417750</t>
  </si>
  <si>
    <t>G4085570</t>
  </si>
  <si>
    <t>RH-0360</t>
  </si>
  <si>
    <t>PER9172293A</t>
  </si>
  <si>
    <t>SMLU5475161</t>
  </si>
  <si>
    <t>G3888582</t>
  </si>
  <si>
    <t>GUZMAN MENDOZA FERNANDO</t>
  </si>
  <si>
    <t>Q18202916</t>
  </si>
  <si>
    <t>RH-0361</t>
  </si>
  <si>
    <t>PER9172294A</t>
  </si>
  <si>
    <t>SEKU9424111</t>
  </si>
  <si>
    <t>G3888287</t>
  </si>
  <si>
    <t>RH-0362</t>
  </si>
  <si>
    <t>PER9172295A</t>
  </si>
  <si>
    <t>CAAU4164552</t>
  </si>
  <si>
    <t>G3888589</t>
  </si>
  <si>
    <t>C7K-869</t>
  </si>
  <si>
    <t>TCL-980</t>
  </si>
  <si>
    <t>LITANO PEÑA ANTONY</t>
  </si>
  <si>
    <t>B44791767</t>
  </si>
  <si>
    <t>RH-0363</t>
  </si>
  <si>
    <t>PER9172296A</t>
  </si>
  <si>
    <t>SEKU9119231</t>
  </si>
  <si>
    <t>G3888587</t>
  </si>
  <si>
    <t>908703 885</t>
  </si>
  <si>
    <t>RH-0436</t>
  </si>
  <si>
    <t>MBM250067111</t>
  </si>
  <si>
    <t>SEGU9432426</t>
  </si>
  <si>
    <t>004VA779474</t>
  </si>
  <si>
    <t>T6Q-826</t>
  </si>
  <si>
    <t>TMF-988</t>
  </si>
  <si>
    <t>SAUCEDO FERNANDEZ JAROL JHONNATHAN</t>
  </si>
  <si>
    <t>Q09550755</t>
  </si>
  <si>
    <t>RH-0437</t>
  </si>
  <si>
    <t>MBM250067112</t>
  </si>
  <si>
    <t>CAAU4036084</t>
  </si>
  <si>
    <t>004VA779472</t>
  </si>
  <si>
    <t>RH-0438</t>
  </si>
  <si>
    <t>MBM250067113</t>
  </si>
  <si>
    <t>SEKU9238349</t>
  </si>
  <si>
    <t>004VA779475</t>
  </si>
  <si>
    <t>INVERSIONES LOS ALVARADO GROUP S.A.C</t>
  </si>
  <si>
    <t>ALW-907</t>
  </si>
  <si>
    <t>T0J-999</t>
  </si>
  <si>
    <t>CAMPOS CORDOVA HAMILTON JAIRO</t>
  </si>
  <si>
    <t>B44422939</t>
  </si>
  <si>
    <t>RH-0447</t>
  </si>
  <si>
    <t>BN80682</t>
  </si>
  <si>
    <t>SEKU9262807</t>
  </si>
  <si>
    <t>DP03082</t>
  </si>
  <si>
    <t>C1Q-787</t>
  </si>
  <si>
    <t>TNZ-978</t>
  </si>
  <si>
    <t>ROJAS CURAY EVERT ENRIQUE</t>
  </si>
  <si>
    <t>B41307612</t>
  </si>
  <si>
    <t>946 033 117</t>
  </si>
  <si>
    <t>RH-0448</t>
  </si>
  <si>
    <t>BN80683</t>
  </si>
  <si>
    <t>OTPU6305440</t>
  </si>
  <si>
    <t>DP03077</t>
  </si>
  <si>
    <t>RH-0464</t>
  </si>
  <si>
    <t>BN80681</t>
  </si>
  <si>
    <t>SEKU9159960</t>
  </si>
  <si>
    <t>DP03090</t>
  </si>
  <si>
    <t>AVU-920</t>
  </si>
  <si>
    <t>CORONADO VASQUEZ WILMER</t>
  </si>
  <si>
    <t>B46695518</t>
  </si>
  <si>
    <t>935 550 403</t>
  </si>
  <si>
    <t>RH-0456</t>
  </si>
  <si>
    <t>PER9174387A</t>
  </si>
  <si>
    <t>CAAU4080960</t>
  </si>
  <si>
    <t>G4086387</t>
  </si>
  <si>
    <t>RH-0457</t>
  </si>
  <si>
    <t>PER9174388A</t>
  </si>
  <si>
    <t>SMLU5478366</t>
  </si>
  <si>
    <t>G4085633</t>
  </si>
  <si>
    <t>RH-0460</t>
  </si>
  <si>
    <t>PER9174391A</t>
  </si>
  <si>
    <t>GCXU8017086</t>
  </si>
  <si>
    <t>G4085635</t>
  </si>
  <si>
    <t>RH-0458</t>
  </si>
  <si>
    <t>PER9174389A</t>
  </si>
  <si>
    <t>SEKU9419080</t>
  </si>
  <si>
    <t>G4085644</t>
  </si>
  <si>
    <t>ART-990</t>
  </si>
  <si>
    <t>RH-0461</t>
  </si>
  <si>
    <t>PER9174392A</t>
  </si>
  <si>
    <t>CAAU4162610</t>
  </si>
  <si>
    <t>G4086495</t>
  </si>
  <si>
    <t>MBM250067120</t>
  </si>
  <si>
    <t>BMOU9600841</t>
  </si>
  <si>
    <t>004VA779845</t>
  </si>
  <si>
    <t>RH-0484</t>
  </si>
  <si>
    <t>MBM250067118</t>
  </si>
  <si>
    <t>SEGU9324735</t>
  </si>
  <si>
    <t>004VA779824</t>
  </si>
  <si>
    <t xml:space="preserve">TRANSPORTES JAAC S.A.C.
</t>
  </si>
  <si>
    <t>TJX-986</t>
  </si>
  <si>
    <t>RH-0485</t>
  </si>
  <si>
    <t>MBM250067119</t>
  </si>
  <si>
    <t>CAIU5564108</t>
  </si>
  <si>
    <t>004VA779822</t>
  </si>
  <si>
    <t xml:space="preserve">NEGOCIOS PESQUEROS AARON EIRL
</t>
  </si>
  <si>
    <t>TCH-816</t>
  </si>
  <si>
    <t>TKE-974</t>
  </si>
  <si>
    <t>CARREÑO ROJAS EDHIN</t>
  </si>
  <si>
    <t>B43791221</t>
  </si>
  <si>
    <t>RH-0500</t>
  </si>
  <si>
    <t>PER9184416A</t>
  </si>
  <si>
    <t>CAAU4077186</t>
  </si>
  <si>
    <t>G4086302</t>
  </si>
  <si>
    <t>RH-0492</t>
  </si>
  <si>
    <t>BN81292</t>
  </si>
  <si>
    <t>TEMU9594589</t>
  </si>
  <si>
    <t>DP03255</t>
  </si>
  <si>
    <t>D5H-720</t>
  </si>
  <si>
    <t>M2A-979</t>
  </si>
  <si>
    <t>COLMENAREZ AZUAJE NAUDYS JOSE</t>
  </si>
  <si>
    <t>Q008661101</t>
  </si>
  <si>
    <t>RH-0493</t>
  </si>
  <si>
    <t>BN81293</t>
  </si>
  <si>
    <t>TEMU9591403</t>
  </si>
  <si>
    <t>DP03257</t>
  </si>
  <si>
    <t>TRANSPORTES JAAC S.A.C.</t>
  </si>
  <si>
    <t>RH-0494</t>
  </si>
  <si>
    <t>BN81294</t>
  </si>
  <si>
    <t>TEMU9497824</t>
  </si>
  <si>
    <t>DP03254</t>
  </si>
  <si>
    <t>J.J. PACIFICO INVERSIONES E.I.R.L.</t>
  </si>
  <si>
    <t>BWQ-755</t>
  </si>
  <si>
    <t>TMK-982</t>
  </si>
  <si>
    <t>GUITIERREZ GUITIERREZ MIGUEL ARGENES</t>
  </si>
  <si>
    <t>B43303300</t>
  </si>
  <si>
    <t>RH-0510</t>
  </si>
  <si>
    <t>PER9185427A</t>
  </si>
  <si>
    <t>SEKU9425294</t>
  </si>
  <si>
    <t>G4085403</t>
  </si>
  <si>
    <t>TFH-903</t>
  </si>
  <si>
    <t>ORTIZ MOORE VICENTE VICTOR</t>
  </si>
  <si>
    <t>E32961998</t>
  </si>
  <si>
    <t>RH-0511</t>
  </si>
  <si>
    <t>PER9185428A</t>
  </si>
  <si>
    <t>SZLU5008558</t>
  </si>
  <si>
    <t>G4085452</t>
  </si>
  <si>
    <t>RH-0542</t>
  </si>
  <si>
    <t>Algeciras</t>
  </si>
  <si>
    <t>Maersk</t>
  </si>
  <si>
    <t>MNBU9152081</t>
  </si>
  <si>
    <t xml:space="preserve">PE0165427
</t>
  </si>
  <si>
    <t>RH-0150</t>
  </si>
  <si>
    <t>MNBU0267346</t>
  </si>
  <si>
    <t>13a8024d</t>
  </si>
  <si>
    <t>ML-PE0140844</t>
  </si>
  <si>
    <t>MAERSK</t>
  </si>
  <si>
    <t>MAERK LOGISTIC &amp; SERVICES PERU S.A</t>
  </si>
  <si>
    <t>BTE787</t>
  </si>
  <si>
    <t>ATI981</t>
  </si>
  <si>
    <t>JUANITO HUAMANI / MIGUEL POZO</t>
  </si>
  <si>
    <t>Q41649189 / Q10069791</t>
  </si>
  <si>
    <t>DEMARES</t>
  </si>
  <si>
    <t>RH-0160</t>
  </si>
  <si>
    <t>EMCU5697765</t>
  </si>
  <si>
    <t>792054</t>
  </si>
  <si>
    <t>S/P</t>
  </si>
  <si>
    <t>APC756</t>
  </si>
  <si>
    <t>BEC984</t>
  </si>
  <si>
    <t>LUIS MENDOZA / CESAR GUTIERREZ</t>
  </si>
  <si>
    <t>Q41419684 / Q25719865</t>
  </si>
  <si>
    <t>RH-0141</t>
  </si>
  <si>
    <t>EMCU5622750</t>
  </si>
  <si>
    <t>1277613</t>
  </si>
  <si>
    <t>BTL946</t>
  </si>
  <si>
    <t>D9Z973</t>
  </si>
  <si>
    <t>HERLIN RIVERA / JORGE VERA</t>
  </si>
  <si>
    <t>Q44998824 / Q08155962</t>
  </si>
  <si>
    <t>RH-0142</t>
  </si>
  <si>
    <t>EMCU5588050</t>
  </si>
  <si>
    <t>1277678</t>
  </si>
  <si>
    <t>AJP729</t>
  </si>
  <si>
    <t>BFJ970</t>
  </si>
  <si>
    <t>LUIS VILLANUEVA / ROLANDO TICLIAHUANCA</t>
  </si>
  <si>
    <t>P44024941 / Q42765284</t>
  </si>
  <si>
    <t>RH-0143</t>
  </si>
  <si>
    <t>EMCU5662394</t>
  </si>
  <si>
    <t>1277667</t>
  </si>
  <si>
    <t>PATRICK ERIK ATENCIO/ LUIS MENDOZA</t>
  </si>
  <si>
    <t>Q41655436 / Q41419684</t>
  </si>
  <si>
    <t>RH-0162</t>
  </si>
  <si>
    <t>EMCU5714477</t>
  </si>
  <si>
    <t>793117</t>
  </si>
  <si>
    <t>BTM764</t>
  </si>
  <si>
    <t>BDW976</t>
  </si>
  <si>
    <t>WILDER IBAZETA / REMIGIO FLAVIO</t>
  </si>
  <si>
    <t>E43472986 / E15756744</t>
  </si>
  <si>
    <t>RH-0163</t>
  </si>
  <si>
    <t>EMCU5972466</t>
  </si>
  <si>
    <t>793154</t>
  </si>
  <si>
    <t>BTF751</t>
  </si>
  <si>
    <t>BDV980</t>
  </si>
  <si>
    <t>JOEL  ALAMA / WILMER BAUTISTA</t>
  </si>
  <si>
    <t>Q40411001</t>
  </si>
  <si>
    <t>RH-0179</t>
  </si>
  <si>
    <t>FBIU5663004</t>
  </si>
  <si>
    <t>22890</t>
  </si>
  <si>
    <t>32972884</t>
  </si>
  <si>
    <t>TRANSPORTES ENERGIA LIMPIA S.A.C.</t>
  </si>
  <si>
    <t>ALR-741</t>
  </si>
  <si>
    <t>ATP-984</t>
  </si>
  <si>
    <t>GABINO CORAHUA FRANCO</t>
  </si>
  <si>
    <t>Q42637753</t>
  </si>
  <si>
    <t>RH-0180</t>
  </si>
  <si>
    <t>FBIU5178863</t>
  </si>
  <si>
    <t>22887</t>
  </si>
  <si>
    <t>32972881</t>
  </si>
  <si>
    <t>F4R-748</t>
  </si>
  <si>
    <t>C3O-984</t>
  </si>
  <si>
    <t>Q42085812</t>
  </si>
  <si>
    <t>RH-0181</t>
  </si>
  <si>
    <t>FBIU5627922</t>
  </si>
  <si>
    <t>22895</t>
  </si>
  <si>
    <t>32972889</t>
  </si>
  <si>
    <t>GRUPO ANDIBA S.A.C.</t>
  </si>
  <si>
    <t>BNG736</t>
  </si>
  <si>
    <t>TPQ987</t>
  </si>
  <si>
    <t>E70471871</t>
  </si>
  <si>
    <t>RH-0183</t>
  </si>
  <si>
    <t>EMCU5686014</t>
  </si>
  <si>
    <t>1282629</t>
  </si>
  <si>
    <t>RH-0184</t>
  </si>
  <si>
    <t>EMCU5685091</t>
  </si>
  <si>
    <t>1282568</t>
  </si>
  <si>
    <t>BTM725</t>
  </si>
  <si>
    <t>BDV988</t>
  </si>
  <si>
    <t>RODDY DE LA CRUZ / EMILIO CHIROQUE</t>
  </si>
  <si>
    <t>B48103960 / Q40943334</t>
  </si>
  <si>
    <t>RH-0249</t>
  </si>
  <si>
    <t>MNBU3017382</t>
  </si>
  <si>
    <t>AAC62773</t>
  </si>
  <si>
    <t>BTM788</t>
  </si>
  <si>
    <t>BEC971</t>
  </si>
  <si>
    <t>FERNANDEZ SALAZAR JAIME/ EDMUNDO EDUARDO DIAZ LEON</t>
  </si>
  <si>
    <t>Q46559572 /Q42107613</t>
  </si>
  <si>
    <t>RH-0243</t>
  </si>
  <si>
    <t>EMCU5687453</t>
  </si>
  <si>
    <t>BDU999</t>
  </si>
  <si>
    <t>YEMBER JANAKA TORREJON DAGA/EDMUNDO EDUARDO DIAZ LEON</t>
  </si>
  <si>
    <t>Q40908517/Q42107613</t>
  </si>
  <si>
    <t>RH-0330</t>
  </si>
  <si>
    <t>MNBU0223353</t>
  </si>
  <si>
    <t>PECALDP-2025-b2c1264b</t>
  </si>
  <si>
    <t>MLPE0144124</t>
  </si>
  <si>
    <t>APC791</t>
  </si>
  <si>
    <t>BFI994</t>
  </si>
  <si>
    <t>Q08459779/Q41598703</t>
  </si>
  <si>
    <t>RH-0324</t>
  </si>
  <si>
    <t>FBIU5757865</t>
  </si>
  <si>
    <t>34741</t>
  </si>
  <si>
    <t>32970052</t>
  </si>
  <si>
    <t>HELMER CIRILO HUAMANI HUAMANI/MIGUEL JACINTO POZO LUNA</t>
  </si>
  <si>
    <t>Q44302459/Q10069791</t>
  </si>
  <si>
    <t>RH-0325</t>
  </si>
  <si>
    <t>FBIU5578216</t>
  </si>
  <si>
    <t>34744</t>
  </si>
  <si>
    <t>32999397</t>
  </si>
  <si>
    <t>BTL897</t>
  </si>
  <si>
    <t>BEC970</t>
  </si>
  <si>
    <t>Q20038840/Q44502727</t>
  </si>
  <si>
    <t>RH-0427</t>
  </si>
  <si>
    <t>ALGECIRAS</t>
  </si>
  <si>
    <t>MNBU3190470</t>
  </si>
  <si>
    <t>PECALDP-2025-422db836</t>
  </si>
  <si>
    <t>MLPE0142651</t>
  </si>
  <si>
    <t>BTF807</t>
  </si>
  <si>
    <t>TBR992</t>
  </si>
  <si>
    <t>VICTOR EDUARDO VILLAVICENCIO OBREGON/ ALFREDO AUCCAPURI MIYO</t>
  </si>
  <si>
    <t>Q16023460/Q40993130</t>
  </si>
  <si>
    <t>RH-0428</t>
  </si>
  <si>
    <t>MNBU3860606</t>
  </si>
  <si>
    <t>PECALDP-2025-bd9f80cc</t>
  </si>
  <si>
    <t>MLPE0141293</t>
  </si>
  <si>
    <t>YEMBER JANAKA TORREJON DAGA/ EDMUNDO EDUARDO DIAZ LEON</t>
  </si>
  <si>
    <t>Q40908517/ Q42107613</t>
  </si>
  <si>
    <t>RH-0422</t>
  </si>
  <si>
    <t>COSCO</t>
  </si>
  <si>
    <t>FBIU5459794</t>
  </si>
  <si>
    <t>EIR35369</t>
  </si>
  <si>
    <t>ROADPOWER FRESH LOGISTICS S.A.C.</t>
  </si>
  <si>
    <t>AXV848</t>
  </si>
  <si>
    <t>AJZ987</t>
  </si>
  <si>
    <t>Q41054100</t>
  </si>
  <si>
    <t>RH-0423</t>
  </si>
  <si>
    <t>SEKU9357184</t>
  </si>
  <si>
    <t>EIR35382</t>
  </si>
  <si>
    <t>CITITRANS S.A.C.</t>
  </si>
  <si>
    <t>BWP-883</t>
  </si>
  <si>
    <t>BJU-988</t>
  </si>
  <si>
    <t>ENGELTH JOSE MELENDEZ VILLALOBOS</t>
  </si>
  <si>
    <t>Q002619828</t>
  </si>
  <si>
    <t>RH-0477</t>
  </si>
  <si>
    <t>MNBU3107594</t>
  </si>
  <si>
    <t>PECALDP-2025-8CD95EE7</t>
  </si>
  <si>
    <t>ML-PE0140272</t>
  </si>
  <si>
    <t>MAERSK LOGISTICS &amp; SERVICES PERU S.A.</t>
  </si>
  <si>
    <t>RODDY JAVIER DE LA CRUZ VILLALTA/ ANGEL GABRIEL CLAROS ROMAN</t>
  </si>
  <si>
    <t>RH-0476</t>
  </si>
  <si>
    <t>OERU4362692</t>
  </si>
  <si>
    <t>NRO.023279</t>
  </si>
  <si>
    <t>CHE855</t>
  </si>
  <si>
    <t>BUQ972</t>
  </si>
  <si>
    <t>JIMENEZ ESQUIVEL ESTEBAN PATRICIO</t>
  </si>
  <si>
    <t>Q45141972</t>
  </si>
  <si>
    <t>RH-0543</t>
  </si>
  <si>
    <t>275767030</t>
  </si>
  <si>
    <t>MMAU1209290</t>
  </si>
  <si>
    <t>PECALDP-2026-4e79af0e</t>
  </si>
  <si>
    <t>ML-PE0169648</t>
  </si>
  <si>
    <t>BTF789</t>
  </si>
  <si>
    <t>BDV995</t>
  </si>
  <si>
    <t>Q44292669</t>
  </si>
  <si>
    <t>RH-0144</t>
  </si>
  <si>
    <t>EMCU5749920</t>
  </si>
  <si>
    <t>011LA290301</t>
  </si>
  <si>
    <t>VESL</t>
  </si>
  <si>
    <t>VE SOLUCIONES LOGISTICAS SAC</t>
  </si>
  <si>
    <t>AMQ-980</t>
  </si>
  <si>
    <t>CHAVEZ SAUCEDO SEGUNDO PORFIRIO</t>
  </si>
  <si>
    <t>Q07525965</t>
  </si>
  <si>
    <t>RH-0145</t>
  </si>
  <si>
    <t>EMCU5926413</t>
  </si>
  <si>
    <t>011LA290257</t>
  </si>
  <si>
    <t>AMR-981</t>
  </si>
  <si>
    <t>GALAN CHINCHAY DAVID ROGER</t>
  </si>
  <si>
    <t>E77014924</t>
  </si>
  <si>
    <t>RH-0168</t>
  </si>
  <si>
    <t>EGSU5062439</t>
  </si>
  <si>
    <t>011LA290297</t>
  </si>
  <si>
    <t>AHV-972</t>
  </si>
  <si>
    <t>DANIEL PADILLA DIESTRA</t>
  </si>
  <si>
    <t>Q71081082</t>
  </si>
  <si>
    <t>RH-0188</t>
  </si>
  <si>
    <t>EMCU5699310</t>
  </si>
  <si>
    <t>BYR873</t>
  </si>
  <si>
    <t>AMQ983</t>
  </si>
  <si>
    <t>ESPINOZA GOICOCHEA HUGO</t>
  </si>
  <si>
    <t>Q06595377</t>
  </si>
  <si>
    <t>RH-0189</t>
  </si>
  <si>
    <t>EMCU5474571</t>
  </si>
  <si>
    <t>BYR886</t>
  </si>
  <si>
    <t>AMQ980</t>
  </si>
  <si>
    <t>RH-0208</t>
  </si>
  <si>
    <t>PER9150770A</t>
  </si>
  <si>
    <t>CAAU4163052</t>
  </si>
  <si>
    <t>SML-G3888221</t>
  </si>
  <si>
    <t>AUQ-993</t>
  </si>
  <si>
    <t>EDWIN JESUS ANTON MARIN</t>
  </si>
  <si>
    <t>RH-0209</t>
  </si>
  <si>
    <t>PER9150768A</t>
  </si>
  <si>
    <t>CAAU4079208</t>
  </si>
  <si>
    <t>SML-G3888225</t>
  </si>
  <si>
    <t>AUP-993</t>
  </si>
  <si>
    <t>JOSE ALEJANDRO NUÑEZ VILLEGAS</t>
  </si>
  <si>
    <t>RH-0206</t>
  </si>
  <si>
    <t>PER9150729A</t>
  </si>
  <si>
    <t>CAAU4162288</t>
  </si>
  <si>
    <t>SML-G3888255</t>
  </si>
  <si>
    <t>AUR-970</t>
  </si>
  <si>
    <t>YMMER JOSÉ CALDERON RODRIGUEZ</t>
  </si>
  <si>
    <t>RH-0210</t>
  </si>
  <si>
    <t>PER9150771A</t>
  </si>
  <si>
    <t>TXGU9032157</t>
  </si>
  <si>
    <t>SML-G3888258</t>
  </si>
  <si>
    <t>F5X-983</t>
  </si>
  <si>
    <t>RH-0211</t>
  </si>
  <si>
    <t>PER9150772A</t>
  </si>
  <si>
    <t>CAAU4164275</t>
  </si>
  <si>
    <t>SML-G3888252</t>
  </si>
  <si>
    <t>AUT-994</t>
  </si>
  <si>
    <t>JOSE ALBERTO TROYA GONZALEZ</t>
  </si>
  <si>
    <t>RH-0262</t>
  </si>
  <si>
    <t>SEKU9420564</t>
  </si>
  <si>
    <t>SML-G3888847</t>
  </si>
  <si>
    <t>BFY936</t>
  </si>
  <si>
    <t>AUQ993</t>
  </si>
  <si>
    <t>B006469382</t>
  </si>
  <si>
    <t>PER9160159A</t>
  </si>
  <si>
    <t>TXGU9028455</t>
  </si>
  <si>
    <t>SML-G3888841</t>
  </si>
  <si>
    <t>BAV867</t>
  </si>
  <si>
    <t>F5V-990</t>
  </si>
  <si>
    <t>JESUS ALBERTO ZARRAGA ALVAREZ</t>
  </si>
  <si>
    <t>RH-0278</t>
  </si>
  <si>
    <t>SEKU9359171</t>
  </si>
  <si>
    <t>SML-G32984783</t>
  </si>
  <si>
    <t>BYR765</t>
  </si>
  <si>
    <t>BXM973</t>
  </si>
  <si>
    <t>MEDINA QUISPE MIGUEL ANGEL</t>
  </si>
  <si>
    <t>F42550466</t>
  </si>
  <si>
    <t>RH-0279</t>
  </si>
  <si>
    <t>FBIU5415944</t>
  </si>
  <si>
    <t>SML-G32984781</t>
  </si>
  <si>
    <t>BYR898</t>
  </si>
  <si>
    <t>AHV972</t>
  </si>
  <si>
    <t>RH-0280</t>
  </si>
  <si>
    <t>FBIU5292433</t>
  </si>
  <si>
    <t>SML-G32984782</t>
  </si>
  <si>
    <t>BXN981</t>
  </si>
  <si>
    <t>EDUARD RAMON ROMERO CUBILLAN</t>
  </si>
  <si>
    <t>Q003670158</t>
  </si>
  <si>
    <t>RH-0344</t>
  </si>
  <si>
    <t>SEKU9422037</t>
  </si>
  <si>
    <t>G3888533</t>
  </si>
  <si>
    <t>AYP780</t>
  </si>
  <si>
    <t>Q49028656</t>
  </si>
  <si>
    <t>RH-0345</t>
  </si>
  <si>
    <t>SEKU9119587</t>
  </si>
  <si>
    <t>G3888578</t>
  </si>
  <si>
    <t>BFY932</t>
  </si>
  <si>
    <t>B008200945</t>
  </si>
  <si>
    <t>RH-0353</t>
  </si>
  <si>
    <t>SZLU7011925</t>
  </si>
  <si>
    <t>SML-G4085582</t>
  </si>
  <si>
    <t>RH-0350</t>
  </si>
  <si>
    <t>CAAU4167525</t>
  </si>
  <si>
    <t>SML-G4085595</t>
  </si>
  <si>
    <t>RICHARD CLEY CALDERON RODRIGUEZ</t>
  </si>
  <si>
    <t>B003228182</t>
  </si>
  <si>
    <t>RH-0354</t>
  </si>
  <si>
    <t>SZLU5023193</t>
  </si>
  <si>
    <t>SML-G4085591</t>
  </si>
  <si>
    <t>B005015762</t>
  </si>
  <si>
    <t>RH-0426</t>
  </si>
  <si>
    <t>RH-0455</t>
  </si>
  <si>
    <t>RH-0459</t>
  </si>
  <si>
    <t>RH-0503</t>
  </si>
  <si>
    <t>PER9184419A</t>
  </si>
  <si>
    <t>JHONATAN BANDREZ</t>
  </si>
  <si>
    <t>DAVID UBALDO</t>
  </si>
  <si>
    <t>BREDY CRUZ</t>
  </si>
  <si>
    <t>D4M-901</t>
  </si>
  <si>
    <t>B2E-984</t>
  </si>
  <si>
    <t>C7I-751</t>
  </si>
  <si>
    <t>ALA-984</t>
  </si>
  <si>
    <t>JOSE LUIS APOLINARIO LAUREANO</t>
  </si>
  <si>
    <t>D2O983</t>
  </si>
  <si>
    <t>VICENTE PRADA ALEXANDER</t>
  </si>
  <si>
    <t>A1G-973</t>
  </si>
  <si>
    <t>A8N-987</t>
  </si>
  <si>
    <t>B03570274</t>
  </si>
  <si>
    <t>V4N706</t>
  </si>
  <si>
    <t>D1A797</t>
  </si>
  <si>
    <t>WALTER ENRIQUE QUIROGA RAMIREZ</t>
  </si>
  <si>
    <t>B05642160</t>
  </si>
  <si>
    <t>PIÑAS MERCADO FREDDY ABEL</t>
  </si>
  <si>
    <t>CANO PADILLA ALEJANDRO ROGER</t>
  </si>
  <si>
    <t>RUIZ GARCIA GERARDO HERNAN ALBERTO</t>
  </si>
  <si>
    <t>B44348839</t>
  </si>
  <si>
    <t>CARLOS GRADOS TRINIDAD</t>
  </si>
  <si>
    <t>JOSE ARTURO REYES ROJAS</t>
  </si>
  <si>
    <t>PEDRO ERICO GERONIMO CHACALTANA/  JUAN VILCASTRO ROJAS</t>
  </si>
  <si>
    <t>MARCO ANTONIO CHAVEZ OSCANOA/ANGEL GABRIEL CLAROS ROMAN</t>
  </si>
  <si>
    <t>WALTER CARUAJULCA</t>
  </si>
  <si>
    <t>B48103960</t>
  </si>
  <si>
    <t>JUAN GIL CARPIO</t>
  </si>
  <si>
    <t>BYR800</t>
  </si>
  <si>
    <t>NO APLICA</t>
  </si>
  <si>
    <t>Booking</t>
  </si>
  <si>
    <t>Container</t>
  </si>
  <si>
    <t>Línea Naviera</t>
  </si>
  <si>
    <t>Cititrans</t>
  </si>
  <si>
    <t>Costa Transport</t>
  </si>
  <si>
    <t>RH-0556</t>
  </si>
  <si>
    <t>BN81745</t>
  </si>
  <si>
    <t>RH-0557</t>
  </si>
  <si>
    <t>BN81746</t>
  </si>
  <si>
    <t>RH-0558</t>
  </si>
  <si>
    <t>BN81747 </t>
  </si>
  <si>
    <t>979 248 054</t>
  </si>
  <si>
    <t>Kaohsiung</t>
  </si>
  <si>
    <t>Evergreen</t>
  </si>
  <si>
    <t>952 308 375</t>
  </si>
  <si>
    <t>Shenzhen</t>
  </si>
  <si>
    <t>959 810 609</t>
  </si>
  <si>
    <t>935 772 459</t>
  </si>
  <si>
    <t>933 154 215</t>
  </si>
  <si>
    <t>967 332 808</t>
  </si>
  <si>
    <t>933 329 505</t>
  </si>
  <si>
    <t>933 228 889</t>
  </si>
  <si>
    <t>Maersk Line</t>
  </si>
  <si>
    <t>992 157 075</t>
  </si>
  <si>
    <t>ONE</t>
  </si>
  <si>
    <t>984 114 549</t>
  </si>
  <si>
    <t>933 314 995</t>
  </si>
  <si>
    <t>930 439 301</t>
  </si>
  <si>
    <t>970 999 084</t>
  </si>
  <si>
    <t>933 369 103</t>
  </si>
  <si>
    <t>954 180 173</t>
  </si>
  <si>
    <t>954 122 707</t>
  </si>
  <si>
    <t>959 262 269</t>
  </si>
  <si>
    <t>922 820 624</t>
  </si>
  <si>
    <t>933 313 552</t>
  </si>
  <si>
    <t>906 497 463</t>
  </si>
  <si>
    <t>SEKU9347714</t>
  </si>
  <si>
    <t>DP03239</t>
  </si>
  <si>
    <t>SEKU9206017</t>
  </si>
  <si>
    <t>DP03238</t>
  </si>
  <si>
    <t>T3I-840</t>
  </si>
  <si>
    <t>D5W-991</t>
  </si>
  <si>
    <t>CELIO CASTRO ALVAREZ</t>
  </si>
  <si>
    <t>B03498026</t>
  </si>
  <si>
    <t>TEMU9544905</t>
  </si>
  <si>
    <t>DP03233</t>
  </si>
  <si>
    <t>RH-0563</t>
  </si>
  <si>
    <t>PER9193555A</t>
  </si>
  <si>
    <t>CAAU408318-9</t>
  </si>
  <si>
    <t>G4085291</t>
  </si>
  <si>
    <t>RH-0618</t>
  </si>
  <si>
    <t>ZIMULMA826982</t>
  </si>
  <si>
    <t>HFEB</t>
  </si>
  <si>
    <t>FDDU2542787</t>
  </si>
  <si>
    <t>007570</t>
  </si>
  <si>
    <t>004VA780754</t>
  </si>
  <si>
    <t>RH-0555</t>
  </si>
  <si>
    <t>PER9194106A</t>
  </si>
  <si>
    <t>SEKU9367114</t>
  </si>
  <si>
    <t>G4085828</t>
  </si>
  <si>
    <t>RH-0560</t>
  </si>
  <si>
    <t>BN81743</t>
  </si>
  <si>
    <t>SEKU9262710</t>
  </si>
  <si>
    <t>DP03231</t>
  </si>
  <si>
    <t>RH-0568</t>
  </si>
  <si>
    <t>PER9193557A</t>
  </si>
  <si>
    <t>SEKU9421072</t>
  </si>
  <si>
    <t>G4085821</t>
  </si>
  <si>
    <t>LATAM</t>
  </si>
  <si>
    <t>CHINA</t>
  </si>
  <si>
    <t>PIL</t>
  </si>
  <si>
    <t>P250093</t>
  </si>
  <si>
    <t>MLPE0136740</t>
  </si>
  <si>
    <t>SBM</t>
  </si>
  <si>
    <t>G4007396</t>
  </si>
  <si>
    <t>RH-0424</t>
  </si>
  <si>
    <t>Callao</t>
  </si>
  <si>
    <t>EMCU5665048</t>
  </si>
  <si>
    <t>TGD SERVICIOS S.A.C</t>
  </si>
  <si>
    <t>ABH-924</t>
  </si>
  <si>
    <t>AEB-975</t>
  </si>
  <si>
    <t>QUISPE SAIRE JOSE ROLANDO</t>
  </si>
  <si>
    <t>Q10672718</t>
  </si>
  <si>
    <t>RH-0430</t>
  </si>
  <si>
    <t>OERU4138229</t>
  </si>
  <si>
    <t>BPQ-758</t>
  </si>
  <si>
    <t>BBR-979</t>
  </si>
  <si>
    <t>OCHOA VITELBO JOSE</t>
  </si>
  <si>
    <t>Q004569361</t>
  </si>
  <si>
    <t>RH-0546</t>
  </si>
  <si>
    <t>EMCU5467989</t>
  </si>
  <si>
    <t>CNB-837</t>
  </si>
  <si>
    <t>BZR-976</t>
  </si>
  <si>
    <t>HECTOR JOSEMETERIO MARTINEZ JIMENEZ</t>
  </si>
  <si>
    <t>962 394 123</t>
  </si>
  <si>
    <t>ZMOU885335-0</t>
  </si>
  <si>
    <t>A4251015262</t>
  </si>
  <si>
    <t>RH-0478</t>
  </si>
  <si>
    <t>CHAVIMOCHIC</t>
  </si>
  <si>
    <t>LOZANO RODRIGUEZ PEDRO MARTIN</t>
  </si>
  <si>
    <t>B03468982</t>
  </si>
  <si>
    <t>MACROMAR SAC</t>
  </si>
  <si>
    <t>RH-0579</t>
  </si>
  <si>
    <t>PER9193560A</t>
  </si>
  <si>
    <t>CAAU4164188</t>
  </si>
  <si>
    <t>G4085879</t>
  </si>
  <si>
    <t>RH-0578</t>
  </si>
  <si>
    <t>BN82197</t>
  </si>
  <si>
    <t>TEMU9500614</t>
  </si>
  <si>
    <t>DP03492</t>
  </si>
  <si>
    <t>BPQ-789</t>
  </si>
  <si>
    <t>THK-970</t>
  </si>
  <si>
    <t>CORDOVA OJEDA DANY JOEL</t>
  </si>
  <si>
    <t>Q43207056</t>
  </si>
  <si>
    <t>RH-0569</t>
  </si>
  <si>
    <t>PER9193558A</t>
  </si>
  <si>
    <t>SMLU5478767</t>
  </si>
  <si>
    <t>G4085857</t>
  </si>
  <si>
    <t>T9H-896</t>
  </si>
  <si>
    <t>TNZ-974</t>
  </si>
  <si>
    <t>CESPEDES SAAVEDRA PABLO ARTURO</t>
  </si>
  <si>
    <t>B43072801</t>
  </si>
  <si>
    <t>RH-0570</t>
  </si>
  <si>
    <t>PER9193559A</t>
  </si>
  <si>
    <t>CAAU4166658</t>
  </si>
  <si>
    <t>G4085851</t>
  </si>
  <si>
    <t>RH-0612</t>
  </si>
  <si>
    <t>MBM250067131</t>
  </si>
  <si>
    <t>RH-0602</t>
  </si>
  <si>
    <t>MBM250068050</t>
  </si>
  <si>
    <t>BMOU9652681</t>
  </si>
  <si>
    <t>007720</t>
  </si>
  <si>
    <t>004VA780165</t>
  </si>
  <si>
    <t>MCAU8569929</t>
  </si>
  <si>
    <t>MLPE0143888</t>
  </si>
  <si>
    <t>EMPRESA VENTURE S.A.</t>
  </si>
  <si>
    <t>BFN-795</t>
  </si>
  <si>
    <t>AUA-974</t>
  </si>
  <si>
    <t>PACHERRI VALIENTE OCTAVIO PATRICIO</t>
  </si>
  <si>
    <t>F10157350</t>
  </si>
  <si>
    <t>BEAU9707368</t>
  </si>
  <si>
    <t>T4E915</t>
  </si>
  <si>
    <t>M4D982</t>
  </si>
  <si>
    <t>JOSÉ PAUL MOGOLLÓN ESTRADA</t>
  </si>
  <si>
    <t>RH-0504</t>
  </si>
  <si>
    <t>PER9184420A</t>
  </si>
  <si>
    <t>RH-0505</t>
  </si>
  <si>
    <t>PER9184421A</t>
  </si>
  <si>
    <t>RH-0554</t>
  </si>
  <si>
    <t>PER9194096A</t>
  </si>
  <si>
    <t>RH-0559</t>
  </si>
  <si>
    <t>BN81742</t>
  </si>
  <si>
    <t>RH-0566</t>
  </si>
  <si>
    <t>PER9193553A</t>
  </si>
  <si>
    <t>RH-0565</t>
  </si>
  <si>
    <t>PER9193561A</t>
  </si>
  <si>
    <t>RH-0580</t>
  </si>
  <si>
    <t>RH-0597</t>
  </si>
  <si>
    <t>RH-0599</t>
  </si>
  <si>
    <t>RH-0607</t>
  </si>
  <si>
    <t>RH-0606</t>
  </si>
  <si>
    <t>CAIU5584573</t>
  </si>
  <si>
    <t>004VA780247</t>
  </si>
  <si>
    <t>SEKU9385334</t>
  </si>
  <si>
    <t>SEKU9374556</t>
  </si>
  <si>
    <t>GCXU8016937</t>
  </si>
  <si>
    <t>SEKU9120079</t>
  </si>
  <si>
    <t>CAAU4189078</t>
  </si>
  <si>
    <t>B005147608</t>
  </si>
  <si>
    <t>PO00000051955</t>
  </si>
  <si>
    <t>Gestor Documental</t>
  </si>
  <si>
    <t>Aprobación SIGMA</t>
  </si>
  <si>
    <t>Etapa Despacho - Llegada</t>
  </si>
  <si>
    <t>Etapa Despacho - Registro</t>
  </si>
  <si>
    <t>Etapa Despacho - Inicio de Carga</t>
  </si>
  <si>
    <t>Etapa Despacho - Mitad de Carga</t>
  </si>
  <si>
    <t>Etapa Despacho - Fin de Carga</t>
  </si>
  <si>
    <t>Etapa Despacho - Salida</t>
  </si>
  <si>
    <t>RH-0637</t>
  </si>
  <si>
    <t>751600048306.</t>
  </si>
  <si>
    <t>EMCU5586139</t>
  </si>
  <si>
    <t>BWP741</t>
  </si>
  <si>
    <t>BJV974</t>
  </si>
  <si>
    <t>BELITO QUISPE PABLO</t>
  </si>
  <si>
    <t>Q08874793</t>
  </si>
  <si>
    <t>908 943 241</t>
  </si>
  <si>
    <t>RH-0627</t>
  </si>
  <si>
    <t>751600048268.</t>
  </si>
  <si>
    <t>EGSU5034587</t>
  </si>
  <si>
    <t>CNB837</t>
  </si>
  <si>
    <t>BZR976</t>
  </si>
  <si>
    <t>RH-0595</t>
  </si>
  <si>
    <t>EMCU5527877</t>
  </si>
  <si>
    <t>BUO-938</t>
  </si>
  <si>
    <t>BFC-993</t>
  </si>
  <si>
    <t>PEREZ OROPEZA EYVAR FIDEL</t>
  </si>
  <si>
    <t>Q47639553</t>
  </si>
  <si>
    <t>974 207 058</t>
  </si>
  <si>
    <t>RH-0662</t>
  </si>
  <si>
    <t>MNBU3905742</t>
  </si>
  <si>
    <t>PECALDP-2026-705b5b78</t>
  </si>
  <si>
    <t>MLPE0170500</t>
  </si>
  <si>
    <t>BWP-741</t>
  </si>
  <si>
    <t>PABLO BELITO QUISPE</t>
  </si>
  <si>
    <t>R08874793</t>
  </si>
  <si>
    <t>RH-0658</t>
  </si>
  <si>
    <t>Wah Hai</t>
  </si>
  <si>
    <t>169GA02081</t>
  </si>
  <si>
    <t>OTPU6867330</t>
  </si>
  <si>
    <t>WHA1476230</t>
  </si>
  <si>
    <t>RH-0667</t>
  </si>
  <si>
    <t>Shenzhen (HK)</t>
  </si>
  <si>
    <t>EMCU5672710</t>
  </si>
  <si>
    <t>CHE-822</t>
  </si>
  <si>
    <t>BUQ-973</t>
  </si>
  <si>
    <t>PAZ MORENO LEONARDO</t>
  </si>
  <si>
    <t>Q43063038</t>
  </si>
  <si>
    <t>990 116 425</t>
  </si>
  <si>
    <t>RH-0666</t>
  </si>
  <si>
    <t>169GA02080</t>
  </si>
  <si>
    <t>OTPU6836452</t>
  </si>
  <si>
    <t>WHA1476389</t>
  </si>
  <si>
    <t>BTO-751</t>
  </si>
  <si>
    <t>BEJ-972</t>
  </si>
  <si>
    <t>PERCY ZAVALETA</t>
  </si>
  <si>
    <t>D80565321</t>
  </si>
  <si>
    <t>997 848 060</t>
  </si>
  <si>
    <t>RH-0614</t>
  </si>
  <si>
    <t>BN82229</t>
  </si>
  <si>
    <t>SEKU9198673</t>
  </si>
  <si>
    <t>DP03842</t>
  </si>
  <si>
    <t>B8N-713</t>
  </si>
  <si>
    <t>C0Q-996</t>
  </si>
  <si>
    <t>ALBERTO AURELIO SILVA GRADOS</t>
  </si>
  <si>
    <t>D18162772</t>
  </si>
  <si>
    <t>RH-0615</t>
  </si>
  <si>
    <t>BN82230</t>
  </si>
  <si>
    <t>SEKU9202080</t>
  </si>
  <si>
    <t>DP03841</t>
  </si>
  <si>
    <t>RH-0616</t>
  </si>
  <si>
    <t>BN82231</t>
  </si>
  <si>
    <t>SEKU9203830</t>
  </si>
  <si>
    <t>DP03849</t>
  </si>
  <si>
    <t>RH-0619</t>
  </si>
  <si>
    <t>PER9203949A</t>
  </si>
  <si>
    <t>SEKU9422171</t>
  </si>
  <si>
    <t>G4085274</t>
  </si>
  <si>
    <t>RH-0621</t>
  </si>
  <si>
    <t>PER9203960A</t>
  </si>
  <si>
    <t>CAAU416378-8</t>
  </si>
  <si>
    <t>811837</t>
  </si>
  <si>
    <t>G4085737</t>
  </si>
  <si>
    <t>RH-0651</t>
  </si>
  <si>
    <t>MBM250067138</t>
  </si>
  <si>
    <t>CAIU5578246</t>
  </si>
  <si>
    <t>004VA780292</t>
  </si>
  <si>
    <t>RH-0652</t>
  </si>
  <si>
    <t>MBM250068055</t>
  </si>
  <si>
    <t>CAIU5563797</t>
  </si>
  <si>
    <t>004VA780358</t>
  </si>
  <si>
    <t>RH-0653</t>
  </si>
  <si>
    <t>MBM250067139</t>
  </si>
  <si>
    <t>CAIU5579962</t>
  </si>
  <si>
    <t>004VA780280</t>
  </si>
  <si>
    <t>BBK-732</t>
  </si>
  <si>
    <t>B7Q-992</t>
  </si>
  <si>
    <t>SEGUNDO AUGUSTO NOLE CHIRA</t>
  </si>
  <si>
    <t>B46734350</t>
  </si>
  <si>
    <t>RH-0654</t>
  </si>
  <si>
    <t>BN82783</t>
  </si>
  <si>
    <t>TEMU9789934</t>
  </si>
  <si>
    <t>DP03884</t>
  </si>
  <si>
    <t>T3I-854</t>
  </si>
  <si>
    <t>ORLANDO BAYONA SILUPU</t>
  </si>
  <si>
    <t>B03679060</t>
  </si>
  <si>
    <t>RH-0655</t>
  </si>
  <si>
    <t>BN82784</t>
  </si>
  <si>
    <t>TEMU9792619</t>
  </si>
  <si>
    <t>DP03885</t>
  </si>
  <si>
    <t>RH-0656</t>
  </si>
  <si>
    <t>BN82785</t>
  </si>
  <si>
    <t>TEMU9789045</t>
  </si>
  <si>
    <t>DP03889</t>
  </si>
  <si>
    <t>RH-0657</t>
  </si>
  <si>
    <t>PER9214285A</t>
  </si>
  <si>
    <t> CAAU416655-5</t>
  </si>
  <si>
    <t>G388691-3 </t>
  </si>
  <si>
    <t>RH-0608</t>
  </si>
  <si>
    <t>BN82233</t>
  </si>
  <si>
    <t>SEKU9203419</t>
  </si>
  <si>
    <t>DP03919</t>
  </si>
  <si>
    <t>RH-0626</t>
  </si>
  <si>
    <t>BN82232</t>
  </si>
  <si>
    <t>TEMU9492144</t>
  </si>
  <si>
    <t>DP03907</t>
  </si>
  <si>
    <t>CHAO</t>
  </si>
  <si>
    <t>RH-0613</t>
  </si>
  <si>
    <t>PER9203954A</t>
  </si>
  <si>
    <t>SZLU5018962</t>
  </si>
  <si>
    <t>00811476</t>
  </si>
  <si>
    <t>G4085280</t>
  </si>
  <si>
    <t>RH-0610</t>
  </si>
  <si>
    <t>PER9203919A</t>
  </si>
  <si>
    <t>SZLU5020002</t>
  </si>
  <si>
    <t>00811539</t>
  </si>
  <si>
    <t>G4085273</t>
  </si>
  <si>
    <t>RH-0639</t>
  </si>
  <si>
    <t>PER9211728A</t>
  </si>
  <si>
    <t>BMOU9890416</t>
  </si>
  <si>
    <t>00811545</t>
  </si>
  <si>
    <t>G4085277</t>
  </si>
  <si>
    <t>Z5S732</t>
  </si>
  <si>
    <t>TFD996</t>
  </si>
  <si>
    <t>DANIEL CUOCCI FERNANDEZ</t>
  </si>
  <si>
    <t>B003202620</t>
  </si>
  <si>
    <t>RH-0685</t>
  </si>
  <si>
    <t>PER9214283A</t>
  </si>
  <si>
    <t>SEKU9420610</t>
  </si>
  <si>
    <t>G4085349</t>
  </si>
  <si>
    <t>T2K823</t>
  </si>
  <si>
    <t>TCN982</t>
  </si>
  <si>
    <t>RICARDO ALFARO CABRERA</t>
  </si>
  <si>
    <t>D17980722</t>
  </si>
  <si>
    <t>RH-0676</t>
  </si>
  <si>
    <t>BN82788</t>
  </si>
  <si>
    <t>TEMU9792100</t>
  </si>
  <si>
    <t>DP03877</t>
  </si>
  <si>
    <t>RH-0674</t>
  </si>
  <si>
    <t>PER9214275A</t>
  </si>
  <si>
    <t>SEKU9424180</t>
  </si>
  <si>
    <t>G4085317</t>
  </si>
  <si>
    <t>RH-0680</t>
  </si>
  <si>
    <t>PER9214278A</t>
  </si>
  <si>
    <t>SEKU9424301</t>
  </si>
  <si>
    <t>G4085324</t>
  </si>
  <si>
    <t>798453</t>
  </si>
  <si>
    <t>801820</t>
  </si>
  <si>
    <t>801814</t>
  </si>
  <si>
    <t>800898</t>
  </si>
  <si>
    <t>799982</t>
  </si>
  <si>
    <t>799066</t>
  </si>
  <si>
    <t>800894</t>
  </si>
  <si>
    <t>800866</t>
  </si>
  <si>
    <t>7341</t>
  </si>
  <si>
    <t>7351</t>
  </si>
  <si>
    <t>7350</t>
  </si>
  <si>
    <t>803695</t>
  </si>
  <si>
    <t>803735</t>
  </si>
  <si>
    <t>803714</t>
  </si>
  <si>
    <t>803956</t>
  </si>
  <si>
    <t>803954</t>
  </si>
  <si>
    <t>803953</t>
  </si>
  <si>
    <t>804281</t>
  </si>
  <si>
    <t>804382</t>
  </si>
  <si>
    <t>7439</t>
  </si>
  <si>
    <t>7438</t>
  </si>
  <si>
    <t>7441</t>
  </si>
  <si>
    <t>805912</t>
  </si>
  <si>
    <t>806773</t>
  </si>
  <si>
    <t>806752</t>
  </si>
  <si>
    <t>806828</t>
  </si>
  <si>
    <t>807151</t>
  </si>
  <si>
    <t>807135</t>
  </si>
  <si>
    <t>803995</t>
  </si>
  <si>
    <t>803985</t>
  </si>
  <si>
    <t>803711</t>
  </si>
  <si>
    <t>7593</t>
  </si>
  <si>
    <t>7899</t>
  </si>
  <si>
    <t>7898</t>
  </si>
  <si>
    <t>RH-0598</t>
  </si>
  <si>
    <t>MNBU3570551</t>
  </si>
  <si>
    <t>7888</t>
  </si>
  <si>
    <t>PE0162293</t>
  </si>
  <si>
    <t>INVERSIONES LOS ALVARADO GROUP S.A.C.</t>
  </si>
  <si>
    <t>970 693 376</t>
  </si>
  <si>
    <t>RH-0601</t>
  </si>
  <si>
    <t>MBM250067130</t>
  </si>
  <si>
    <t>BMOU9651710</t>
  </si>
  <si>
    <t>7718</t>
  </si>
  <si>
    <t>004VA780166</t>
  </si>
  <si>
    <t>T0B-923</t>
  </si>
  <si>
    <t>TOU-977</t>
  </si>
  <si>
    <t>MORAN BRAVO JOSE ERNESTO</t>
  </si>
  <si>
    <t>A41600762</t>
  </si>
  <si>
    <t>923 218 633</t>
  </si>
  <si>
    <t>RH-0605</t>
  </si>
  <si>
    <t>MBM250068052</t>
  </si>
  <si>
    <t>CAIU5578610</t>
  </si>
  <si>
    <t>7704</t>
  </si>
  <si>
    <t>004VA780181</t>
  </si>
  <si>
    <t>007704</t>
  </si>
  <si>
    <t>RH-0600</t>
  </si>
  <si>
    <t>MBM250067129</t>
  </si>
  <si>
    <t>BMOU9615311</t>
  </si>
  <si>
    <t>007726</t>
  </si>
  <si>
    <t>004VA780678</t>
  </si>
  <si>
    <t>RH-0603</t>
  </si>
  <si>
    <t>MBM250068051</t>
  </si>
  <si>
    <t>CAIU5563518</t>
  </si>
  <si>
    <t>007727</t>
  </si>
  <si>
    <t>004VA780679</t>
  </si>
  <si>
    <t>D4X-792</t>
  </si>
  <si>
    <t>RH-0611</t>
  </si>
  <si>
    <t>PER9203929A</t>
  </si>
  <si>
    <t>GCXU8024022</t>
  </si>
  <si>
    <t>00811249</t>
  </si>
  <si>
    <t>G4085266</t>
  </si>
  <si>
    <t>JOSE NICOLAS CHIROQUE IMAN</t>
  </si>
  <si>
    <t>RH-0609</t>
  </si>
  <si>
    <t>BN82234</t>
  </si>
  <si>
    <t>OTPU6302251</t>
  </si>
  <si>
    <t>00811492</t>
  </si>
  <si>
    <t>DP03711</t>
  </si>
  <si>
    <t>RH-0631</t>
  </si>
  <si>
    <t>PER9203962A</t>
  </si>
  <si>
    <t>BEAU9706356</t>
  </si>
  <si>
    <t>00811472</t>
  </si>
  <si>
    <t>G4085263</t>
  </si>
  <si>
    <t>920 808 102</t>
  </si>
  <si>
    <t>RH-0604</t>
  </si>
  <si>
    <t>PER9203961A</t>
  </si>
  <si>
    <t>BEAU9712301</t>
  </si>
  <si>
    <t>00811495</t>
  </si>
  <si>
    <t>G4085246</t>
  </si>
  <si>
    <t>IPANAQUE JARAMILLO JOSE ENRIQUE</t>
  </si>
  <si>
    <t>B76804385</t>
  </si>
  <si>
    <t>966 520 613</t>
  </si>
  <si>
    <t>RH-0634</t>
  </si>
  <si>
    <t>PER9211727A</t>
  </si>
  <si>
    <t>BEAU9707579</t>
  </si>
  <si>
    <t>00811735</t>
  </si>
  <si>
    <t>G4085703</t>
  </si>
  <si>
    <t>941 367 356</t>
  </si>
  <si>
    <t>RH-0635</t>
  </si>
  <si>
    <t>PER9211731A</t>
  </si>
  <si>
    <t>SEKU9120422</t>
  </si>
  <si>
    <t>00811754</t>
  </si>
  <si>
    <t>G4085702</t>
  </si>
  <si>
    <t>TFN-825</t>
  </si>
  <si>
    <t>TPC-985</t>
  </si>
  <si>
    <t>HIDALGO ALBURQUEQUE MARLON DANIEL</t>
  </si>
  <si>
    <t>B47740192</t>
  </si>
  <si>
    <t xml:space="preserve">-  </t>
  </si>
  <si>
    <t>RH-0623</t>
  </si>
  <si>
    <t>EMCU5569960</t>
  </si>
  <si>
    <t>N/P</t>
  </si>
  <si>
    <t>BTG701</t>
  </si>
  <si>
    <t>BEC979</t>
  </si>
  <si>
    <t>HUAMANI MONTES JUANITO IRON/ PALOMINO CABRERA AMADEO JESUS</t>
  </si>
  <si>
    <t>Q41649189/Q80105290</t>
  </si>
  <si>
    <t>RH-0628</t>
  </si>
  <si>
    <t>EMCU5931934</t>
  </si>
  <si>
    <t>D0C973</t>
  </si>
  <si>
    <t>HELMER CIRILO HUAMANI HUAMANI/ EDWIN FRANKLIN VILLEGAS BURGOS</t>
  </si>
  <si>
    <t>Q44302459/Q70863668</t>
  </si>
  <si>
    <t>RH-0624</t>
  </si>
  <si>
    <t>EMCU5503387</t>
  </si>
  <si>
    <t>SERVICIOS INTEGRALES METALURGICOS JAIRO E.I.R.L.</t>
  </si>
  <si>
    <t>TCH919</t>
  </si>
  <si>
    <t>TKQ-971</t>
  </si>
  <si>
    <t>DASAET DEL VALLE SÁNCHEZ OSORIO</t>
  </si>
  <si>
    <t>RH-0661</t>
  </si>
  <si>
    <t>EGSU5067702</t>
  </si>
  <si>
    <t>APC754</t>
  </si>
  <si>
    <t>EVER CINDOLFO CRUZ TELLO/NEPTALI RIDER VILLARREAL OSTOS</t>
  </si>
  <si>
    <t>Q10747844 /Q09984974</t>
  </si>
  <si>
    <t>RH-0659</t>
  </si>
  <si>
    <t>EMCU5408332</t>
  </si>
  <si>
    <t>PLATINO TRANSPORT S.A.C.</t>
  </si>
  <si>
    <t>CEX713</t>
  </si>
  <si>
    <t>TPF978</t>
  </si>
  <si>
    <t>GUILLERMO DE JESUS GUERRA MANAURE</t>
  </si>
  <si>
    <t>Q006478056</t>
  </si>
  <si>
    <t>RH-0660</t>
  </si>
  <si>
    <t>EMCU5603241</t>
  </si>
  <si>
    <t>CEX703</t>
  </si>
  <si>
    <t>TPD974</t>
  </si>
  <si>
    <t>ANDRES ADHEMAR LOPEZ YUNCAR</t>
  </si>
  <si>
    <t>Q45476350</t>
  </si>
  <si>
    <t>011LA290328</t>
  </si>
  <si>
    <t>011LA290326</t>
  </si>
  <si>
    <t>RH-0760</t>
  </si>
  <si>
    <t>751600050662   </t>
  </si>
  <si>
    <t>OTPU6212374</t>
  </si>
  <si>
    <t>00G16052</t>
  </si>
  <si>
    <t>BTO-724</t>
  </si>
  <si>
    <t>BEI-989</t>
  </si>
  <si>
    <t>JESUS BORJAS</t>
  </si>
  <si>
    <t>Q004929045</t>
  </si>
  <si>
    <t>927 690 438</t>
  </si>
  <si>
    <t>RH-0761</t>
  </si>
  <si>
    <t>751600050637</t>
  </si>
  <si>
    <t>EMCU5397840</t>
  </si>
  <si>
    <t>00G16043</t>
  </si>
  <si>
    <t>RH-0762</t>
  </si>
  <si>
    <t>EMCU5406900</t>
  </si>
  <si>
    <t>JULIO CESAR GUIZADO SAEZ</t>
  </si>
  <si>
    <t>960 123 825</t>
  </si>
  <si>
    <t>RH-0810</t>
  </si>
  <si>
    <t>LMM0610715</t>
  </si>
  <si>
    <t>CGMU5613543</t>
  </si>
  <si>
    <t>PE0445552</t>
  </si>
  <si>
    <t>BUP-765</t>
  </si>
  <si>
    <t>BRU977</t>
  </si>
  <si>
    <t>PABLO EDUARDO ROSELLO SAAVEDRA</t>
  </si>
  <si>
    <t>Q45122809</t>
  </si>
  <si>
    <t>979 312 270</t>
  </si>
  <si>
    <t>RH-0801</t>
  </si>
  <si>
    <t>RH-0827</t>
  </si>
  <si>
    <t>RH-0831</t>
  </si>
  <si>
    <t>RH-0753</t>
  </si>
  <si>
    <t>MBM250067147</t>
  </si>
  <si>
    <t>CAIU5565300</t>
  </si>
  <si>
    <t>004VA780444</t>
  </si>
  <si>
    <t>RH-0755</t>
  </si>
  <si>
    <t>MBM250067149</t>
  </si>
  <si>
    <t>BMOU9651258</t>
  </si>
  <si>
    <t>004VA780419</t>
  </si>
  <si>
    <t>RH-0756</t>
  </si>
  <si>
    <t>BN83151</t>
  </si>
  <si>
    <t> TEMU9792780</t>
  </si>
  <si>
    <t>DP04057</t>
  </si>
  <si>
    <t>RH-0757</t>
  </si>
  <si>
    <t>BN83152</t>
  </si>
  <si>
    <t>TEMU9488885</t>
  </si>
  <si>
    <t>DP03912</t>
  </si>
  <si>
    <t>T4P-934</t>
  </si>
  <si>
    <t>TMF-989</t>
  </si>
  <si>
    <t>ALFONSO HUMBERTO ASTUDILLO AGUILAR</t>
  </si>
  <si>
    <t>B03591182</t>
  </si>
  <si>
    <t>RH-0758</t>
  </si>
  <si>
    <t>BN83153</t>
  </si>
  <si>
    <t>SEKU9199089</t>
  </si>
  <si>
    <t>DP03937</t>
  </si>
  <si>
    <t>RH-0759</t>
  </si>
  <si>
    <t>PER9222703A</t>
  </si>
  <si>
    <t>CAAU416384-9</t>
  </si>
  <si>
    <t>G3888013</t>
  </si>
  <si>
    <t>D9Q-760</t>
  </si>
  <si>
    <t>RH-0822</t>
  </si>
  <si>
    <t>ZIMULMA827541</t>
  </si>
  <si>
    <t>ZMOU8935295</t>
  </si>
  <si>
    <t>A4261089462</t>
  </si>
  <si>
    <t>ISIDRO PACHERRES NAVARRO</t>
  </si>
  <si>
    <t>RH-0828</t>
  </si>
  <si>
    <t>MBM250067158</t>
  </si>
  <si>
    <t>CAIU5585498</t>
  </si>
  <si>
    <t>CYE1901</t>
  </si>
  <si>
    <t>AHK-822</t>
  </si>
  <si>
    <t>A8N-970</t>
  </si>
  <si>
    <t>JUAN EDSON MORAN SOCOLA</t>
  </si>
  <si>
    <t>B48408632</t>
  </si>
  <si>
    <t>RH-0824</t>
  </si>
  <si>
    <t>MBM250067156</t>
  </si>
  <si>
    <t>CAIU5550697</t>
  </si>
  <si>
    <t>CYE1921</t>
  </si>
  <si>
    <t>RH-0825</t>
  </si>
  <si>
    <t>MBM250067157</t>
  </si>
  <si>
    <t>CAIU5579237</t>
  </si>
  <si>
    <t>CYE1923</t>
  </si>
  <si>
    <t>RH-0823</t>
  </si>
  <si>
    <t>BN83777</t>
  </si>
  <si>
    <t>TEMU9492545</t>
  </si>
  <si>
    <t>DP04030</t>
  </si>
  <si>
    <t>RH-0830</t>
  </si>
  <si>
    <t>PER9234505A</t>
  </si>
  <si>
    <t>TXGU9030468</t>
  </si>
  <si>
    <t>G3888082</t>
  </si>
  <si>
    <t>RH-0768</t>
  </si>
  <si>
    <t>MBM250067142</t>
  </si>
  <si>
    <t xml:space="preserve">CAIU5578689 </t>
  </si>
  <si>
    <t>007961</t>
  </si>
  <si>
    <t>004VA780318</t>
  </si>
  <si>
    <t>RH-0774</t>
  </si>
  <si>
    <t>BN83154</t>
  </si>
  <si>
    <t>GCXU8022061</t>
  </si>
  <si>
    <t>DP03727</t>
  </si>
  <si>
    <t>RH-0779</t>
  </si>
  <si>
    <t>PER9222197A</t>
  </si>
  <si>
    <t>TEMU9593915</t>
  </si>
  <si>
    <t>G3886959</t>
  </si>
  <si>
    <t>RH-0772</t>
  </si>
  <si>
    <t>PER9222179A</t>
  </si>
  <si>
    <t>CTWU1602839</t>
  </si>
  <si>
    <t>G4085778</t>
  </si>
  <si>
    <t>RH-0778</t>
  </si>
  <si>
    <t>PER9222196A</t>
  </si>
  <si>
    <t>G33886978</t>
  </si>
  <si>
    <t>RH-0803</t>
  </si>
  <si>
    <t>MBM250067155</t>
  </si>
  <si>
    <t>BMOU9651896</t>
  </si>
  <si>
    <t>CYE1904</t>
  </si>
  <si>
    <t>RH-0804</t>
  </si>
  <si>
    <t>MBM250067151</t>
  </si>
  <si>
    <t>TEMU9370341</t>
  </si>
  <si>
    <t>004VA780369</t>
  </si>
  <si>
    <t>RH-0815</t>
  </si>
  <si>
    <t>BN83730</t>
  </si>
  <si>
    <t>TEMU9552691</t>
  </si>
  <si>
    <t xml:space="preserve"> DP03945</t>
  </si>
  <si>
    <t>20544424751 </t>
  </si>
  <si>
    <t>RH-0816</t>
  </si>
  <si>
    <t>BN83731</t>
  </si>
  <si>
    <t xml:space="preserve">TEMU9477659 </t>
  </si>
  <si>
    <t xml:space="preserve">DP04036 </t>
  </si>
  <si>
    <t>RH-0819</t>
  </si>
  <si>
    <t>PER9234380A</t>
  </si>
  <si>
    <t xml:space="preserve">SZLU5001527 </t>
  </si>
  <si>
    <t>G4085462</t>
  </si>
  <si>
    <t>BAM822</t>
  </si>
  <si>
    <t>A6P994</t>
  </si>
  <si>
    <t>CESAR AUGUSTO SALCEDO  BONILLA</t>
  </si>
  <si>
    <t>B05642916</t>
  </si>
  <si>
    <t>RH-0672</t>
  </si>
  <si>
    <t>MBM250067137</t>
  </si>
  <si>
    <t>CAIU5577738</t>
  </si>
  <si>
    <t>007841</t>
  </si>
  <si>
    <t>004VA780298</t>
  </si>
  <si>
    <t>923 097 998</t>
  </si>
  <si>
    <t>Cancelado</t>
  </si>
  <si>
    <t>RH-0668</t>
  </si>
  <si>
    <t>MBM250067132</t>
  </si>
  <si>
    <t>901 965 217</t>
  </si>
  <si>
    <t>RH-0665</t>
  </si>
  <si>
    <t>MBM250068054</t>
  </si>
  <si>
    <t>SEGU9444962</t>
  </si>
  <si>
    <t>007837</t>
  </si>
  <si>
    <t>004VA780227</t>
  </si>
  <si>
    <t>RH-0670</t>
  </si>
  <si>
    <t>MBM250067134</t>
  </si>
  <si>
    <t>BMOU9652151</t>
  </si>
  <si>
    <t>007868</t>
  </si>
  <si>
    <t>004VA780275</t>
  </si>
  <si>
    <t>977 252 689</t>
  </si>
  <si>
    <t>RH-0677</t>
  </si>
  <si>
    <t>BN82789</t>
  </si>
  <si>
    <t>TEMU9791926</t>
  </si>
  <si>
    <t>00813925</t>
  </si>
  <si>
    <t>DP03881</t>
  </si>
  <si>
    <t>RH-0678</t>
  </si>
  <si>
    <t>PYC</t>
  </si>
  <si>
    <t>PEUW2638106</t>
  </si>
  <si>
    <t>TEMU9618551</t>
  </si>
  <si>
    <t>007909</t>
  </si>
  <si>
    <t>RH-0683</t>
  </si>
  <si>
    <t>PER9214281A</t>
  </si>
  <si>
    <t xml:space="preserve">	SZLU7013548</t>
  </si>
  <si>
    <t>00814275</t>
  </si>
  <si>
    <t>G3886916</t>
  </si>
  <si>
    <t>T3D-768</t>
  </si>
  <si>
    <t>BMD-986</t>
  </si>
  <si>
    <t>RH-0682</t>
  </si>
  <si>
    <t>PER9214280A</t>
  </si>
  <si>
    <t>CAAU4168100</t>
  </si>
  <si>
    <t>00814266</t>
  </si>
  <si>
    <t>G3886917</t>
  </si>
  <si>
    <t>RH-0752</t>
  </si>
  <si>
    <t>MBM250068059</t>
  </si>
  <si>
    <t>CAIU5564047</t>
  </si>
  <si>
    <t>007964</t>
  </si>
  <si>
    <t>004VA780319</t>
  </si>
  <si>
    <t>RH-0770</t>
  </si>
  <si>
    <t>MBM250067144</t>
  </si>
  <si>
    <t>CAIU5563950</t>
  </si>
  <si>
    <t>007898</t>
  </si>
  <si>
    <t>004VA780426</t>
  </si>
  <si>
    <t>T0Z-870</t>
  </si>
  <si>
    <t>TOR-992</t>
  </si>
  <si>
    <t>JUAREZ PRADO SANTOS</t>
  </si>
  <si>
    <t>Q10512201</t>
  </si>
  <si>
    <t>943567 332</t>
  </si>
  <si>
    <t>RH-0776</t>
  </si>
  <si>
    <t>BN83156</t>
  </si>
  <si>
    <t>TEMU9594104</t>
  </si>
  <si>
    <t>00816219</t>
  </si>
  <si>
    <t>DP04052</t>
  </si>
  <si>
    <t>RH-0777</t>
  </si>
  <si>
    <t>PyC</t>
  </si>
  <si>
    <t>PEUW2639101</t>
  </si>
  <si>
    <t>TEMU9620707</t>
  </si>
  <si>
    <t>008016</t>
  </si>
  <si>
    <t>GWF4640963H</t>
  </si>
  <si>
    <t>RH-0785</t>
  </si>
  <si>
    <t>PER9222203A</t>
  </si>
  <si>
    <t>GCXU8023005</t>
  </si>
  <si>
    <t>00816505</t>
  </si>
  <si>
    <t>G3888070</t>
  </si>
  <si>
    <t>AMP-867</t>
  </si>
  <si>
    <t>AZL-979</t>
  </si>
  <si>
    <t>CRUZ RUIZ LUIS GERARDO</t>
  </si>
  <si>
    <t>Q41057227</t>
  </si>
  <si>
    <t>963 896 326</t>
  </si>
  <si>
    <t>RH-0786</t>
  </si>
  <si>
    <t>PER9222204A</t>
  </si>
  <si>
    <t>BMOU9317873</t>
  </si>
  <si>
    <t>00816449</t>
  </si>
  <si>
    <t>G3888020</t>
  </si>
  <si>
    <t>GUTIERREZ GUTIERREZ MIGUEL ARGENES</t>
  </si>
  <si>
    <t>RH-0826</t>
  </si>
  <si>
    <t>MBM250068060</t>
  </si>
  <si>
    <t>CAIU5578061</t>
  </si>
  <si>
    <t>007499</t>
  </si>
  <si>
    <t>004VA780373</t>
  </si>
  <si>
    <t>AFF-745</t>
  </si>
  <si>
    <t>TQM-978</t>
  </si>
  <si>
    <t>RH-0829</t>
  </si>
  <si>
    <t>MBM250068061</t>
  </si>
  <si>
    <t>CAIU5550402</t>
  </si>
  <si>
    <t>0081824</t>
  </si>
  <si>
    <t>004VA780372</t>
  </si>
  <si>
    <t>JB TRANS SERVICE PERU S.A.C.</t>
  </si>
  <si>
    <t>BHJ-906</t>
  </si>
  <si>
    <t>AUN-977</t>
  </si>
  <si>
    <t>DURAND CHIROQUE RICHARD</t>
  </si>
  <si>
    <t>B40525769</t>
  </si>
  <si>
    <t>RH-0764</t>
  </si>
  <si>
    <t>MNBU4272628</t>
  </si>
  <si>
    <t> PECALDP-2026-2a649395</t>
  </si>
  <si>
    <t>MLPE0170275</t>
  </si>
  <si>
    <t>ALFREDO AUCCAPURI MIYO/ VICTOR EDUARDO VILLAVICENCIO OBREGON</t>
  </si>
  <si>
    <t>Q40993130/ Q16023460</t>
  </si>
  <si>
    <t>RH-0763</t>
  </si>
  <si>
    <t>EMCU5742000</t>
  </si>
  <si>
    <t>JAVTRAN'S PERU S.A.C.</t>
  </si>
  <si>
    <t>B2H866</t>
  </si>
  <si>
    <t>C0Q993</t>
  </si>
  <si>
    <t>IRVIN CHRISTOPHER GARAY MORAN</t>
  </si>
  <si>
    <t>Q46610011</t>
  </si>
  <si>
    <t>RH-0802</t>
  </si>
  <si>
    <t>277118457</t>
  </si>
  <si>
    <t>MNBU3616288</t>
  </si>
  <si>
    <t>PECALDP-2026-a20fd19d</t>
  </si>
  <si>
    <t>ML-PE0183663</t>
  </si>
  <si>
    <t>CEX800</t>
  </si>
  <si>
    <t>TPD985</t>
  </si>
  <si>
    <t>WILLY STARKY AYAUJA VALVERDE</t>
  </si>
  <si>
    <t>Q43485508</t>
  </si>
  <si>
    <t>Maritimo</t>
  </si>
  <si>
    <t>LIM600238900</t>
  </si>
  <si>
    <t>LIM600239200</t>
  </si>
  <si>
    <t>BYS704</t>
  </si>
  <si>
    <t>Talsa</t>
  </si>
  <si>
    <t>BFY931</t>
  </si>
  <si>
    <t>BFY937</t>
  </si>
  <si>
    <t>0.5</t>
  </si>
  <si>
    <t>Hortifrut Perú/Talsa</t>
  </si>
  <si>
    <t>Chancay</t>
  </si>
  <si>
    <t>9166883A</t>
  </si>
  <si>
    <t>9166890A</t>
  </si>
  <si>
    <t>9166841A</t>
  </si>
  <si>
    <t>9166895A</t>
  </si>
  <si>
    <t>onfirmado</t>
  </si>
  <si>
    <t>9166845A</t>
  </si>
  <si>
    <t>PER9174386A</t>
  </si>
  <si>
    <t>SML-G4085521</t>
  </si>
  <si>
    <t>PER9174390A</t>
  </si>
  <si>
    <t>SML-G4085607</t>
  </si>
  <si>
    <t>RAMONA ISOLDA ALVAREZ VALDIVIEZO DE CORONADO</t>
  </si>
  <si>
    <t>B40896761</t>
  </si>
  <si>
    <t>PER9178557A</t>
  </si>
  <si>
    <t>SML-G4085508</t>
  </si>
  <si>
    <t>G4085670</t>
  </si>
  <si>
    <t>G4085677</t>
  </si>
  <si>
    <t>AUP993</t>
  </si>
  <si>
    <t>G4085674</t>
  </si>
  <si>
    <t>SEGU9938332</t>
  </si>
  <si>
    <t>DP03088</t>
  </si>
  <si>
    <t>SEMINARIO TALLEDO LUIS ADRIAN</t>
  </si>
  <si>
    <t>BEI870</t>
  </si>
  <si>
    <t>BPU-987.</t>
  </si>
  <si>
    <t>ÁNGEL MERCEDES CHUNGA OBLEA</t>
  </si>
  <si>
    <t>B47442174.</t>
  </si>
  <si>
    <t>CAAU4076929</t>
  </si>
  <si>
    <t>SML-G4085838</t>
  </si>
  <si>
    <t>MULTITRAC TRANSPORT EIRL</t>
  </si>
  <si>
    <t>A9O813</t>
  </si>
  <si>
    <t>D1Y998</t>
  </si>
  <si>
    <t>ALAN PATRICK CANOVA SANDOVAL</t>
  </si>
  <si>
    <t>B43626000</t>
  </si>
  <si>
    <t>GCXU8023026</t>
  </si>
  <si>
    <t>SML-G4085836</t>
  </si>
  <si>
    <t>C0F854</t>
  </si>
  <si>
    <t>TLX-989</t>
  </si>
  <si>
    <t>JORGE LUIS ATOCHE RIVAS</t>
  </si>
  <si>
    <t>B46528666</t>
  </si>
  <si>
    <t>904 501 994</t>
  </si>
  <si>
    <t>SEKU9419579</t>
  </si>
  <si>
    <t>SML-G4085825</t>
  </si>
  <si>
    <t>PER9202844A </t>
  </si>
  <si>
    <t>TXGU9031192</t>
  </si>
  <si>
    <t>SML-G4085830</t>
  </si>
  <si>
    <t>MNBU9014776</t>
  </si>
  <si>
    <t>ML-PE0143460</t>
  </si>
  <si>
    <t>MBM250067128</t>
  </si>
  <si>
    <t>CXRU1620249</t>
  </si>
  <si>
    <t>004VA780674</t>
  </si>
  <si>
    <t>9203887A</t>
  </si>
  <si>
    <t>BEAU9711347</t>
  </si>
  <si>
    <t>G4085269</t>
  </si>
  <si>
    <t>9203880A</t>
  </si>
  <si>
    <t>EMCU5546938</t>
  </si>
  <si>
    <t>RH-0625</t>
  </si>
  <si>
    <t>BEAU9710802</t>
  </si>
  <si>
    <t>G4085278</t>
  </si>
  <si>
    <t>RH-0671</t>
  </si>
  <si>
    <t>MBM250067135</t>
  </si>
  <si>
    <t>BMOU9651514</t>
  </si>
  <si>
    <t> </t>
  </si>
  <si>
    <t>004VA780294</t>
  </si>
  <si>
    <t>RH-0673</t>
  </si>
  <si>
    <t>MBM250067136</t>
  </si>
  <si>
    <t>CAIU5551055</t>
  </si>
  <si>
    <t>004VA780359</t>
  </si>
  <si>
    <t>RH-0684</t>
  </si>
  <si>
    <t>9214282A</t>
  </si>
  <si>
    <t>SEKU9425376</t>
  </si>
  <si>
    <t>G4085332</t>
  </si>
  <si>
    <t>RH-0686</t>
  </si>
  <si>
    <t>9214284A</t>
  </si>
  <si>
    <t>SEKU9420543</t>
  </si>
  <si>
    <t>G4085335</t>
  </si>
  <si>
    <t>RH-0675</t>
  </si>
  <si>
    <t>9214276A</t>
  </si>
  <si>
    <t>TXGU9032481</t>
  </si>
  <si>
    <t>G4085301</t>
  </si>
  <si>
    <t>C2W847</t>
  </si>
  <si>
    <t>TAD-992</t>
  </si>
  <si>
    <t>ESWIN OSWALDO JIMENEZ FLORES</t>
  </si>
  <si>
    <t>B75168917</t>
  </si>
  <si>
    <t>RH-0767</t>
  </si>
  <si>
    <t>MBM250067141</t>
  </si>
  <si>
    <t>SEGU9286825</t>
  </si>
  <si>
    <t>004VA780449</t>
  </si>
  <si>
    <t>F5X983</t>
  </si>
  <si>
    <t>RH-0771</t>
  </si>
  <si>
    <t>MBM250067145</t>
  </si>
  <si>
    <t>CAIU5549715</t>
  </si>
  <si>
    <t>004VA780439</t>
  </si>
  <si>
    <t>TLX989</t>
  </si>
  <si>
    <t>RH-0775</t>
  </si>
  <si>
    <t>BN83155</t>
  </si>
  <si>
    <t>TEMU9502242</t>
  </si>
  <si>
    <t>23-00083414</t>
  </si>
  <si>
    <t>AUR970</t>
  </si>
  <si>
    <t>RH-0780</t>
  </si>
  <si>
    <t>9222198A</t>
  </si>
  <si>
    <t>CAAU4167823</t>
  </si>
  <si>
    <t>G3886958</t>
  </si>
  <si>
    <t>RH-0773</t>
  </si>
  <si>
    <t>9222182A</t>
  </si>
  <si>
    <t>TXGU9031778</t>
  </si>
  <si>
    <t>G3886993</t>
  </si>
  <si>
    <t>F5V990</t>
  </si>
  <si>
    <t>RH-0781</t>
  </si>
  <si>
    <t>9222199A</t>
  </si>
  <si>
    <t>SC</t>
  </si>
  <si>
    <t>FBIU5351541</t>
  </si>
  <si>
    <t>CDK784</t>
  </si>
  <si>
    <t xml:space="preserve">	
OERU4379822
</t>
  </si>
  <si>
    <t>JORGE MARCIAL SUASNABAR SOTOMAYOR</t>
  </si>
  <si>
    <t>Q45530666</t>
  </si>
  <si>
    <t>941 712 294</t>
  </si>
  <si>
    <t>FBIU5004326</t>
  </si>
  <si>
    <t>PERCY MANUEL ZAVALETA REATEGUI</t>
  </si>
  <si>
    <t>  21/09/2026 20:00</t>
  </si>
  <si>
    <t>  21/09/2026 19:00</t>
  </si>
  <si>
    <t>RH-0833</t>
  </si>
  <si>
    <t>PER9234504A</t>
  </si>
  <si>
    <t>CAAU4077566</t>
  </si>
  <si>
    <t>00817877</t>
  </si>
  <si>
    <t>G3888051</t>
  </si>
  <si>
    <t>RH-0814</t>
  </si>
  <si>
    <t>PEUW2640101</t>
  </si>
  <si>
    <t>TEMU9617196</t>
  </si>
  <si>
    <t>008145</t>
  </si>
  <si>
    <t>CBP5308980R</t>
  </si>
  <si>
    <t>LOPEZ GUERRERO JORGE</t>
  </si>
  <si>
    <t>B41641255</t>
  </si>
  <si>
    <t>RH-0875</t>
  </si>
  <si>
    <t>RH-0838</t>
  </si>
  <si>
    <t>MBM250067163</t>
  </si>
  <si>
    <t>SEGU9241646</t>
  </si>
  <si>
    <t>CYE2047</t>
  </si>
  <si>
    <t>RH-0839</t>
  </si>
  <si>
    <t>MBM250067164</t>
  </si>
  <si>
    <t>CAIU5584980</t>
  </si>
  <si>
    <t>CYE2016</t>
  </si>
  <si>
    <t>RH-0840</t>
  </si>
  <si>
    <t>MBM250067165</t>
  </si>
  <si>
    <t>SEGU9447133</t>
  </si>
  <si>
    <t>CYE2045</t>
  </si>
  <si>
    <t>RH-0841</t>
  </si>
  <si>
    <t>PER9246637A</t>
  </si>
  <si>
    <t>SEKU9118750</t>
  </si>
  <si>
    <t>G4091567</t>
  </si>
  <si>
    <t>CITIADUANAS</t>
  </si>
  <si>
    <t>RH-0842</t>
  </si>
  <si>
    <t>PER9239306A</t>
  </si>
  <si>
    <t>C4U-837</t>
  </si>
  <si>
    <t>A8N-985</t>
  </si>
  <si>
    <t>VICTOR HUGO APOLO JUAREZ.</t>
  </si>
  <si>
    <t>Q06798297</t>
  </si>
  <si>
    <t>RH-0864</t>
  </si>
  <si>
    <t>PER9239310A</t>
  </si>
  <si>
    <t>RH-0876</t>
  </si>
  <si>
    <t>MBM250068063</t>
  </si>
  <si>
    <t>CAIU5552128</t>
  </si>
  <si>
    <t>CYE2048</t>
  </si>
  <si>
    <t>RH-0847</t>
  </si>
  <si>
    <t>MBM250067161</t>
  </si>
  <si>
    <t>TCLU1383598</t>
  </si>
  <si>
    <t>CYE2017</t>
  </si>
  <si>
    <t>RH-0854</t>
  </si>
  <si>
    <t>BN84382</t>
  </si>
  <si>
    <t>BMOU9333468</t>
  </si>
  <si>
    <t>00820688</t>
  </si>
  <si>
    <t>DP04107</t>
  </si>
  <si>
    <t>RH-0861</t>
  </si>
  <si>
    <t>PER9239312A</t>
  </si>
  <si>
    <t xml:space="preserve"> BEAU9705827</t>
  </si>
  <si>
    <t>00820948 </t>
  </si>
  <si>
    <t>G4086567</t>
  </si>
  <si>
    <t>V4M797</t>
  </si>
  <si>
    <t>THN988</t>
  </si>
  <si>
    <t>JHONLEY MOLINA GUTIERREZ</t>
  </si>
  <si>
    <t>B006381203</t>
  </si>
  <si>
    <t>RH-0863</t>
  </si>
  <si>
    <t>PER9239318A</t>
  </si>
  <si>
    <t>GCXU8015186</t>
  </si>
  <si>
    <t xml:space="preserve">00821112 </t>
  </si>
  <si>
    <t xml:space="preserve">G4091570 </t>
  </si>
  <si>
    <t>RH-0821</t>
  </si>
  <si>
    <t>PER9234383A</t>
  </si>
  <si>
    <t>CAAU4166540</t>
  </si>
  <si>
    <t>00818224</t>
  </si>
  <si>
    <t>G3888033</t>
  </si>
  <si>
    <t>RH-0836</t>
  </si>
  <si>
    <t>PER9234396A</t>
  </si>
  <si>
    <t>SEKU9381719</t>
  </si>
  <si>
    <t>00818172</t>
  </si>
  <si>
    <t>G3888039</t>
  </si>
  <si>
    <t>NEGOCIOS PESQUEROS AARON EIRL</t>
  </si>
  <si>
    <t>BCF-925</t>
  </si>
  <si>
    <t>THM-977</t>
  </si>
  <si>
    <t>PEÑA PATIÑO ESGARD</t>
  </si>
  <si>
    <t>B46309013</t>
  </si>
  <si>
    <t>RH-0820</t>
  </si>
  <si>
    <t>PER9234384A</t>
  </si>
  <si>
    <t>CAAU4161614</t>
  </si>
  <si>
    <t>00818384</t>
  </si>
  <si>
    <t>G3888093</t>
  </si>
  <si>
    <t>RH-0843</t>
  </si>
  <si>
    <t>MBM250068064</t>
  </si>
  <si>
    <t>RH-0844</t>
  </si>
  <si>
    <t>MBM250068062</t>
  </si>
  <si>
    <t>RH-0848</t>
  </si>
  <si>
    <t>MBM250067162</t>
  </si>
  <si>
    <t>RH-0859</t>
  </si>
  <si>
    <t>RH-0860</t>
  </si>
  <si>
    <t>RH-0849</t>
  </si>
  <si>
    <t>MNBU0660013</t>
  </si>
  <si>
    <t>PECALDP-2026-fe17e634</t>
  </si>
  <si>
    <t>ML-PE0183031</t>
  </si>
  <si>
    <t>AFD885</t>
  </si>
  <si>
    <t>BCO989</t>
  </si>
  <si>
    <t>PEDRO ROJAS SIFUENTES</t>
  </si>
  <si>
    <t>Q45434847</t>
  </si>
  <si>
    <t>RH-0805</t>
  </si>
  <si>
    <t>MBM250067152</t>
  </si>
  <si>
    <t>BMOU9622840</t>
  </si>
  <si>
    <t>7485ANMP</t>
  </si>
  <si>
    <t>RH-0806</t>
  </si>
  <si>
    <t>MBM250067153</t>
  </si>
  <si>
    <t>CAIU5550064</t>
  </si>
  <si>
    <t>7470ANMP</t>
  </si>
  <si>
    <t>RH-0812</t>
  </si>
  <si>
    <t>9234388A</t>
  </si>
  <si>
    <t>GXCU8017044</t>
  </si>
  <si>
    <t>G3888100</t>
  </si>
  <si>
    <t>RH-0817</t>
  </si>
  <si>
    <t>BN83728</t>
  </si>
  <si>
    <t>TEMU9547416</t>
  </si>
  <si>
    <t>DP04039</t>
  </si>
  <si>
    <t>RH-0818</t>
  </si>
  <si>
    <t>BN83729</t>
  </si>
  <si>
    <t>OTPU6303957</t>
  </si>
  <si>
    <t>DP04027</t>
  </si>
  <si>
    <t>RH-0835</t>
  </si>
  <si>
    <t>OERU4382810</t>
  </si>
  <si>
    <t>BAV768</t>
  </si>
  <si>
    <t>BXL975</t>
  </si>
  <si>
    <t>CORDOVA ENRIQUEZ JESUS ALBERTO</t>
  </si>
  <si>
    <t>Q16010242</t>
  </si>
  <si>
    <t>920 715 809</t>
  </si>
  <si>
    <t xml:space="preserve">CSPCP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</si>
</sst>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hh:mm"/>
    <numFmt numFmtId="165" formatCode="[hh]:mm:ss"/>
    <numFmt numFmtId="166" formatCode="hh:mm:ss;@"/>
    <numFmt numFmtId="167" formatCode="[$-F400]h:mm:ss\ AM/PM"/>
    <numFmt numFmtId="168" formatCode="dd/mm/yyyy;@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JetBrains Mono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F58E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auto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6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165" fontId="3" fillId="6" borderId="4" xfId="0" applyNumberFormat="1" applyFont="1" applyFill="1" applyBorder="1" applyAlignment="1">
      <alignment horizontal="center" vertical="center" wrapText="1"/>
    </xf>
    <xf numFmtId="165" fontId="3" fillId="6" borderId="5" xfId="0" applyNumberFormat="1" applyFont="1" applyFill="1" applyBorder="1" applyAlignment="1">
      <alignment horizontal="center" vertical="center" wrapText="1"/>
    </xf>
    <xf numFmtId="166" fontId="3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5" fontId="1" fillId="11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5" fontId="1" fillId="6" borderId="1" xfId="0" applyNumberFormat="1" applyFont="1" applyFill="1" applyBorder="1" applyAlignment="1">
      <alignment horizontal="center" vertical="center" wrapText="1"/>
    </xf>
    <xf numFmtId="165" fontId="1" fillId="6" borderId="7" xfId="0" applyNumberFormat="1" applyFont="1" applyFill="1" applyBorder="1" applyAlignment="1">
      <alignment horizontal="center" vertical="center" wrapText="1"/>
    </xf>
    <xf numFmtId="165" fontId="1" fillId="13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" fontId="3" fillId="2" borderId="4" xfId="0" applyNumberFormat="1" applyFont="1" applyFill="1" applyBorder="1" applyAlignment="1">
      <alignment horizontal="center" vertical="center" wrapText="1"/>
    </xf>
    <xf numFmtId="167" fontId="4" fillId="8" borderId="1" xfId="0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2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167" fontId="5" fillId="8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/>
    <xf numFmtId="164" fontId="7" fillId="0" borderId="0" xfId="0" applyNumberFormat="1" applyFont="1"/>
    <xf numFmtId="165" fontId="3" fillId="4" borderId="4" xfId="0" applyNumberFormat="1" applyFont="1" applyFill="1" applyBorder="1" applyAlignment="1">
      <alignment horizontal="center" vertical="center" wrapText="1"/>
    </xf>
    <xf numFmtId="165" fontId="3" fillId="5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139">
    <dxf>
      <alignment horizontal="center" vertical="center"/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65" formatCode="[hh]:mm:ss"/>
      <fill>
        <patternFill patternType="solid">
          <fgColor indexed="64"/>
          <bgColor rgb="FF00B05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27" formatCode="d/mm/yyyy\ hh:mm"/>
    </dxf>
    <dxf>
      <numFmt numFmtId="27" formatCode="d/mm/yyyy\ hh:mm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164" formatCode="dd/mm/yyyy\ h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[$-F400]h:mm:ss\ AM/PM"/>
      <alignment horizontal="center" vertical="center" textRotation="0" wrapText="0" indent="0" justifyLastLine="0" shrinkToFit="0" readingOrder="0"/>
    </dxf>
    <dxf>
      <numFmt numFmtId="167" formatCode="[$-F400]h:mm:ss\ AM/PM"/>
      <alignment horizontal="center" vertical="center" textRotation="0" wrapText="0" indent="0" justifyLastLine="0" shrinkToFit="0" readingOrder="0"/>
    </dxf>
    <dxf>
      <numFmt numFmtId="168" formatCode="dd/mm/yyyy;@"/>
      <alignment horizontal="center" vertical="center" textRotation="0" wrapText="0" indent="0" justifyLastLine="0" shrinkToFit="0" readingOrder="0"/>
    </dxf>
    <dxf>
      <numFmt numFmtId="168" formatCode="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7" formatCode="[$-F400]h:mm:ss\ AM/P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7" formatCode="[$-F400]h:mm:ss\ AM/P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5" formatCode="hh:mm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hh]:mm:ss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5" formatCode="[hh]:mm:ss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5" formatCode="[hh]:mm:ss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5" formatCode="[hh]:mm:ss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5" formatCode="[hh]:mm:ss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dd/mm/yyyy\ hh:mm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5" formatCode="[hh]:mm:ss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hh]:mm:ss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5" formatCode="hh:mm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yy\ hh:mm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JetBrains Mono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F44FC6B-2B71-4F5B-801D-D3C82A57C0B1}" autoFormatId="16" applyNumberFormats="0" applyBorderFormats="0" applyFontFormats="0" applyPatternFormats="0" applyAlignmentFormats="0" applyWidthHeightFormats="0">
  <queryTableRefresh nextId="90">
    <queryTableFields count="69">
      <queryTableField id="1" name="Source.Name" tableColumnId="1"/>
      <queryTableField id="2" name="ID" tableColumnId="2"/>
      <queryTableField id="3" name="PP" tableColumnId="3"/>
      <queryTableField id="4" name="Exportador" tableColumnId="4"/>
      <queryTableField id="5" name="Vía" tableColumnId="5"/>
      <queryTableField id="6" name="Fecha de Retiro" tableColumnId="6"/>
      <queryTableField id="7" name="Fecha de Carga" tableColumnId="7"/>
      <queryTableField id="8" name="Hora de Carga" tableColumnId="8"/>
      <queryTableField id="9" name="Hora de Posicionamiento" tableColumnId="9"/>
      <queryTableField id="10" name="Sede" tableColumnId="10"/>
      <queryTableField id="11" name="Estatus" tableColumnId="11"/>
      <queryTableField id="12" name="FCL" tableColumnId="12"/>
      <queryTableField id="13" name="Instruction" tableColumnId="13"/>
      <queryTableField id="14" name="N° Orden" tableColumnId="14"/>
      <queryTableField id="15" name="PO" tableColumnId="15"/>
      <queryTableField id="16" name="Tipo de Operación" tableColumnId="16"/>
      <queryTableField id="17" name="Puerto de Embarque" tableColumnId="17"/>
      <queryTableField id="18" name="Puerto de Destino" tableColumnId="18"/>
      <queryTableField id="19" name="Línea" tableColumnId="19"/>
      <queryTableField id="20" name="Booking|AWB|CRT" tableColumnId="20"/>
      <queryTableField id="21" name="Contenedor" tableColumnId="21"/>
      <queryTableField id="22" name="N° EIR" tableColumnId="22"/>
      <queryTableField id="23" name="Precinto de Línea" tableColumnId="23"/>
      <queryTableField id="24" name="Operador Logístico" tableColumnId="24"/>
      <queryTableField id="74" name="Gestor Documental" tableColumnId="25"/>
      <queryTableField id="26" name="Gestor SENASA" tableColumnId="26"/>
      <queryTableField id="27" name="Agente de Aduanas" tableColumnId="27"/>
      <queryTableField id="28" name="Transportista" tableColumnId="28"/>
      <queryTableField id="29" name="Tercero" tableColumnId="29"/>
      <queryTableField id="70" name="Razón Social" tableColumnId="30"/>
      <queryTableField id="71" name="RUC" tableColumnId="31"/>
      <queryTableField id="32" name="Placa Tracto" tableColumnId="32"/>
      <queryTableField id="33" name="Placa Carreta" tableColumnId="33"/>
      <queryTableField id="34" name="Tipo de Unidad" tableColumnId="34"/>
      <queryTableField id="35" name="Conductor" tableColumnId="35"/>
      <queryTableField id="36" name="Licencia" tableColumnId="36"/>
      <queryTableField id="37" name="Número de Contacto" tableColumnId="37"/>
      <queryTableField id="38" name="Ruta Internacional Terrestre" tableColumnId="38"/>
      <queryTableField id="75" name="Aprobación SIGMA" tableColumnId="39"/>
      <queryTableField id="40" name="Comentarios SIGMA" tableColumnId="40"/>
      <queryTableField id="41" name="1er Hito Terrestre" tableColumnId="41"/>
      <queryTableField id="42" name="2do Hito Terrestre" tableColumnId="42"/>
      <queryTableField id="43" name="3er Hito Terrestre" tableColumnId="43"/>
      <queryTableField id="44" name="4to Hito Terrestre" tableColumnId="44"/>
      <queryTableField id="45" name="Puerto de Retiro" tableColumnId="45"/>
      <queryTableField id="46" name="Almacén de Retiro" tableColumnId="46"/>
      <queryTableField id="47" name="Etapa Retiro - Cita" tableColumnId="47"/>
      <queryTableField id="48" name="Etapa Retiro - Llegada" tableColumnId="48"/>
      <queryTableField id="49" name="Etapa Retiro - Ingreso" tableColumnId="49"/>
      <queryTableField id="50" name="Etapa Retiro - Atención" tableColumnId="50"/>
      <queryTableField id="51" name="Etapa Retiro - Salida" tableColumnId="51"/>
      <queryTableField id="52" name="Etapa Retiro - Inicio de Ruta" tableColumnId="52"/>
      <queryTableField id="76" name="Etapa Despacho - Llegada" tableColumnId="53"/>
      <queryTableField id="77" name="Etapa Despacho - Registro" tableColumnId="54"/>
      <queryTableField id="55" name="Inspección Externa" tableColumnId="55"/>
      <queryTableField id="56" name="Inspección Interna" tableColumnId="56"/>
      <queryTableField id="78" name="Etapa Despacho - Inicio de Carga" tableColumnId="57"/>
      <queryTableField id="79" name="Etapa Despacho - Mitad de Carga" tableColumnId="58"/>
      <queryTableField id="80" name="Etapa Despacho - Fin de Carga" tableColumnId="59"/>
      <queryTableField id="81" name="Etapa Despacho - Salida" tableColumnId="60"/>
      <queryTableField id="61" name="Almacén de Ingreso" tableColumnId="61"/>
      <queryTableField id="62" name="Etapa Ingreso - Cita" tableColumnId="62"/>
      <queryTableField id="63" name="Etapa Ingreso - Llegada" tableColumnId="63"/>
      <queryTableField id="64" name="Etapa Ingreso - Ingeso" tableColumnId="64"/>
      <queryTableField id="65" name="Etapa Ingreso - Atención" tableColumnId="65"/>
      <queryTableField id="66" name="Etapa Ingreso - Salida" tableColumnId="66"/>
      <queryTableField id="67" name="Control de Ruta" tableColumnId="67"/>
      <queryTableField id="68" name="Ubicación Actual" tableColumnId="68"/>
      <queryTableField id="69" name="Monitor - Llegada Estimada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21A9B9-F35C-4E35-A788-18D595E268C8}" name="MARÍTIMOS" displayName="MARÍTIMOS" ref="A1:BQ437" tableType="queryTable" totalsRowShown="0" headerRowDxfId="77">
  <autoFilter ref="A1:BQ437" xr:uid="{AF21A9B9-F35C-4E35-A788-18D595E268C8}"/>
  <tableColumns count="69">
    <tableColumn id="1" xr3:uid="{EE9D394A-7EE9-42A4-831A-31BEC30DD345}" uniqueName="1" name="Source.Name" queryTableFieldId="1" dataDxfId="76"/>
    <tableColumn id="2" xr3:uid="{E6D758AC-F35E-423E-B6CB-8B50A8359B44}" uniqueName="2" name="ID" queryTableFieldId="2" dataDxfId="75"/>
    <tableColumn id="3" xr3:uid="{265FC3FE-66EC-424E-81B4-1484C61C7707}" uniqueName="3" name="PP" queryTableFieldId="3" dataDxfId="74"/>
    <tableColumn id="4" xr3:uid="{D524EDA5-33C5-4E0C-B48A-769E15404A9F}" uniqueName="4" name="Exportador" queryTableFieldId="4" dataDxfId="73"/>
    <tableColumn id="5" xr3:uid="{55C5E872-B7F2-468A-B53E-59F431760941}" uniqueName="5" name="Vía" queryTableFieldId="5" dataDxfId="72"/>
    <tableColumn id="6" xr3:uid="{893A0104-DAAD-4198-A447-D4B5162861FF}" uniqueName="6" name="Fecha de Retiro" queryTableFieldId="6" dataDxfId="71"/>
    <tableColumn id="7" xr3:uid="{5F399ED3-29CD-4473-9860-13E88EBF0EE7}" uniqueName="7" name="Fecha de Carga" queryTableFieldId="7" dataDxfId="70"/>
    <tableColumn id="8" xr3:uid="{D1E4DF2C-CD7C-4B59-9F25-42860CA096BF}" uniqueName="8" name="Hora de Carga" queryTableFieldId="8" dataDxfId="69"/>
    <tableColumn id="9" xr3:uid="{F21DC3F2-0101-4187-80BD-C0A9E3B783F8}" uniqueName="9" name="Hora de Posicionamiento" queryTableFieldId="9" dataDxfId="68"/>
    <tableColumn id="10" xr3:uid="{CA422D84-5FAA-4EE2-AEDE-09883AEC6185}" uniqueName="10" name="Sede" queryTableFieldId="10" dataDxfId="67"/>
    <tableColumn id="11" xr3:uid="{863A7253-EC6C-4680-AD37-E18EB11DA554}" uniqueName="11" name="Estatus" queryTableFieldId="11" dataDxfId="66"/>
    <tableColumn id="12" xr3:uid="{5D95F4EC-7D3E-4A0E-8ACF-1084407A687E}" uniqueName="12" name="FCL" queryTableFieldId="12" dataDxfId="65"/>
    <tableColumn id="13" xr3:uid="{19DD21CE-4706-485B-BFB5-FCECD7B1AB1D}" uniqueName="13" name="Instruction" queryTableFieldId="13" dataDxfId="64"/>
    <tableColumn id="14" xr3:uid="{FF801515-BFF6-4599-9A99-952B5D220FEA}" uniqueName="14" name="N° Orden" queryTableFieldId="14" dataDxfId="63"/>
    <tableColumn id="15" xr3:uid="{2FAD8830-A813-4538-9C8E-2E3DD020A62C}" uniqueName="15" name="PO" queryTableFieldId="15" dataDxfId="62"/>
    <tableColumn id="16" xr3:uid="{0341668C-2086-41D2-BFA2-4243C1D682BB}" uniqueName="16" name="Tipo de Operación" queryTableFieldId="16" dataDxfId="61"/>
    <tableColumn id="17" xr3:uid="{8E649C18-7C79-4B2A-BCD8-B8FAC7288553}" uniqueName="17" name="Puerto de Embarque" queryTableFieldId="17" dataDxfId="60"/>
    <tableColumn id="18" xr3:uid="{A2E6E3CF-E275-44B1-881C-6632D8108DD0}" uniqueName="18" name="Puerto de Destino" queryTableFieldId="18" dataDxfId="59"/>
    <tableColumn id="19" xr3:uid="{A49C21F3-372D-4238-BFD7-69BF8A6FE294}" uniqueName="19" name="Línea" queryTableFieldId="19" dataDxfId="58"/>
    <tableColumn id="20" xr3:uid="{85787640-51BF-460D-8598-DF148C090861}" uniqueName="20" name="Booking|AWB|CRT" queryTableFieldId="20" dataDxfId="57"/>
    <tableColumn id="21" xr3:uid="{A4D94A3A-84ED-474C-AB59-E4DAB7F74775}" uniqueName="21" name="Contenedor" queryTableFieldId="21" dataDxfId="56"/>
    <tableColumn id="22" xr3:uid="{D887506F-2314-44D9-9241-7879194D7199}" uniqueName="22" name="N° EIR" queryTableFieldId="22" dataDxfId="55"/>
    <tableColumn id="23" xr3:uid="{B2E25136-83E4-4DF0-9AD7-4745A85E7FA2}" uniqueName="23" name="Precinto de Línea" queryTableFieldId="23" dataDxfId="54"/>
    <tableColumn id="24" xr3:uid="{523BB0DC-01AF-4107-AA29-3B9FE44404F3}" uniqueName="24" name="Operador Logístico" queryTableFieldId="24" dataDxfId="53"/>
    <tableColumn id="25" xr3:uid="{7AD25D14-46AE-46E3-B871-57D1C61581B6}" uniqueName="25" name="Gestor Documental" queryTableFieldId="74"/>
    <tableColumn id="26" xr3:uid="{A05D914E-CB75-4B83-B7E5-8AE04DFF1B11}" uniqueName="26" name="Gestor SENASA" queryTableFieldId="26" dataDxfId="52"/>
    <tableColumn id="27" xr3:uid="{47213442-F583-4A6D-980A-0C70C950E884}" uniqueName="27" name="Agente de Aduanas" queryTableFieldId="27" dataDxfId="51"/>
    <tableColumn id="28" xr3:uid="{14E83528-D45C-4E7B-8E2C-3D7396DF1565}" uniqueName="28" name="Transportista" queryTableFieldId="28" dataDxfId="50"/>
    <tableColumn id="29" xr3:uid="{4FEAA753-49D9-437F-812C-0C274D5B4614}" uniqueName="29" name="Tercero" queryTableFieldId="29" dataDxfId="49"/>
    <tableColumn id="30" xr3:uid="{4DFA395D-391D-4D68-B9F4-2D75B309E3BE}" uniqueName="30" name="Razón Social" queryTableFieldId="70" dataDxfId="48"/>
    <tableColumn id="31" xr3:uid="{0409AFC5-C14C-44BF-A009-B3CE3687D4EC}" uniqueName="31" name="RUC" queryTableFieldId="71" dataDxfId="47"/>
    <tableColumn id="32" xr3:uid="{BE944DB8-A917-4ECD-A7C8-7E1633ABB75F}" uniqueName="32" name="Placa Tracto" queryTableFieldId="32" dataDxfId="46"/>
    <tableColumn id="33" xr3:uid="{042835B7-39A0-413B-ADBA-21BF499B56CB}" uniqueName="33" name="Placa Carreta" queryTableFieldId="33" dataDxfId="45"/>
    <tableColumn id="34" xr3:uid="{B4A6F900-467C-45D6-8250-FF8E2861F8FA}" uniqueName="34" name="Tipo de Unidad" queryTableFieldId="34" dataDxfId="44"/>
    <tableColumn id="35" xr3:uid="{871228F8-F9A5-44AF-921E-5B97187911AC}" uniqueName="35" name="Conductor" queryTableFieldId="35" dataDxfId="43"/>
    <tableColumn id="36" xr3:uid="{6189792D-E66D-4B55-AF8B-0A5FB329EBCE}" uniqueName="36" name="Licencia" queryTableFieldId="36" dataDxfId="42"/>
    <tableColumn id="37" xr3:uid="{A8FAC661-19B9-4AD4-ACFC-3E52BFC0A01E}" uniqueName="37" name="Número de Contacto" queryTableFieldId="37" dataDxfId="41"/>
    <tableColumn id="38" xr3:uid="{C48B6F3B-4FB4-42D3-886B-4AD28B98B658}" uniqueName="38" name="Ruta Internacional Terrestre" queryTableFieldId="38" dataDxfId="40"/>
    <tableColumn id="39" xr3:uid="{6B35C5D4-D595-4E5C-A22E-A23C8EE293FF}" uniqueName="39" name="Aprobación SIGMA" queryTableFieldId="75" dataDxfId="39"/>
    <tableColumn id="40" xr3:uid="{0AE57D25-9140-410A-8FFF-E6B837617597}" uniqueName="40" name="Comentarios SIGMA" queryTableFieldId="40" dataDxfId="38"/>
    <tableColumn id="41" xr3:uid="{84623639-098B-4900-909A-70A8893A9104}" uniqueName="41" name="1er Hito Terrestre" queryTableFieldId="41" dataDxfId="37"/>
    <tableColumn id="42" xr3:uid="{88B6259F-3FA9-4B70-81CB-E91567866017}" uniqueName="42" name="2do Hito Terrestre" queryTableFieldId="42" dataDxfId="36"/>
    <tableColumn id="43" xr3:uid="{52CC1C4B-0CC6-4D5E-A4D3-AD1AA69745FD}" uniqueName="43" name="3er Hito Terrestre" queryTableFieldId="43" dataDxfId="35"/>
    <tableColumn id="44" xr3:uid="{18C5DA06-82FC-4938-BA73-FC0554911F57}" uniqueName="44" name="4to Hito Terrestre" queryTableFieldId="44" dataDxfId="34"/>
    <tableColumn id="45" xr3:uid="{F56B4083-DC6D-4AFF-954B-C98FCED497B8}" uniqueName="45" name="Puerto de Retiro" queryTableFieldId="45" dataDxfId="33"/>
    <tableColumn id="46" xr3:uid="{44BFACD2-1783-4EB3-92F9-4ACEC3820CB7}" uniqueName="46" name="Almacén de Retiro" queryTableFieldId="46" dataDxfId="32"/>
    <tableColumn id="47" xr3:uid="{0EAF50CC-859C-4B9D-ABF0-8F5433795AF8}" uniqueName="47" name="Etapa Retiro - Cita" queryTableFieldId="47" dataDxfId="31"/>
    <tableColumn id="48" xr3:uid="{DB8F13E4-03E7-4294-AB11-FE156DEF7C6E}" uniqueName="48" name="Etapa Retiro - Llegada" queryTableFieldId="48" dataDxfId="30"/>
    <tableColumn id="49" xr3:uid="{C27F23F2-666D-4857-9E8A-C065ED448E72}" uniqueName="49" name="Etapa Retiro - Ingreso" queryTableFieldId="49" dataDxfId="29"/>
    <tableColumn id="50" xr3:uid="{74CB29D7-9144-4C40-B837-955152FDB655}" uniqueName="50" name="Etapa Retiro - Atención" queryTableFieldId="50" dataDxfId="28"/>
    <tableColumn id="51" xr3:uid="{864F9BEE-6AE9-4AD0-BD5D-1ACE8D42D0C9}" uniqueName="51" name="Etapa Retiro - Salida" queryTableFieldId="51" dataDxfId="27"/>
    <tableColumn id="52" xr3:uid="{1C4183CC-6F2E-4339-9ECE-01E18E12D6F6}" uniqueName="52" name="Etapa Retiro - Inicio de Ruta" queryTableFieldId="52" dataDxfId="26"/>
    <tableColumn id="53" xr3:uid="{588B60BF-4BBD-4327-92D2-8594BE19AFBF}" uniqueName="53" name="Etapa Despacho - Llegada" queryTableFieldId="76" dataDxfId="25"/>
    <tableColumn id="54" xr3:uid="{F05D5FCD-09B4-4CBE-B1F9-D97D4558B9D4}" uniqueName="54" name="Etapa Despacho - Registro" queryTableFieldId="77" dataDxfId="24"/>
    <tableColumn id="55" xr3:uid="{82DB37A9-0B7B-40F1-8D57-5FA0D99CE02A}" uniqueName="55" name="Inspección Externa" queryTableFieldId="55" dataDxfId="23"/>
    <tableColumn id="56" xr3:uid="{D55E124B-F50A-4CF2-BF40-6B53369B26DA}" uniqueName="56" name="Inspección Interna" queryTableFieldId="56" dataDxfId="22"/>
    <tableColumn id="57" xr3:uid="{47CFC338-4F9B-4640-A74C-E665A0722CA0}" uniqueName="57" name="Etapa Despacho - Inicio de Carga" queryTableFieldId="78" dataDxfId="21"/>
    <tableColumn id="58" xr3:uid="{9DB4F116-2FAA-4DDB-83E8-F90C072D7F62}" uniqueName="58" name="Etapa Despacho - Mitad de Carga" queryTableFieldId="79" dataDxfId="20"/>
    <tableColumn id="59" xr3:uid="{711567A2-5880-458D-A163-3229705D77F0}" uniqueName="59" name="Etapa Despacho - Fin de Carga" queryTableFieldId="80" dataDxfId="19"/>
    <tableColumn id="60" xr3:uid="{FFC8D299-DEA6-4DCE-BA91-A2F60BFC027E}" uniqueName="60" name="Etapa Despacho - Salida" queryTableFieldId="81" dataDxfId="18"/>
    <tableColumn id="61" xr3:uid="{8E0C5B39-6031-46A7-944B-2B095ACC9682}" uniqueName="61" name="Almacén de Ingreso" queryTableFieldId="61" dataDxfId="17"/>
    <tableColumn id="62" xr3:uid="{2849F4CA-D254-4E56-8C73-1BE5C38F8CF2}" uniqueName="62" name="Etapa Ingreso - Cita" queryTableFieldId="62" dataDxfId="16"/>
    <tableColumn id="63" xr3:uid="{81DE37FC-1C21-4818-B95F-E808BD08B20C}" uniqueName="63" name="Etapa Ingreso - Llegada" queryTableFieldId="63" dataDxfId="15"/>
    <tableColumn id="64" xr3:uid="{ABA99B46-6362-4CED-8401-28D7F6E7E000}" uniqueName="64" name="Etapa Ingreso - Ingeso" queryTableFieldId="64" dataDxfId="14"/>
    <tableColumn id="65" xr3:uid="{66E840AA-600A-4B22-AC82-EB1D83DEA5B2}" uniqueName="65" name="Etapa Ingreso - Atención" queryTableFieldId="65" dataDxfId="13"/>
    <tableColumn id="66" xr3:uid="{5F2A30D4-55A6-4A49-8756-A7C0D8E6D664}" uniqueName="66" name="Etapa Ingreso - Salida" queryTableFieldId="66" dataDxfId="12"/>
    <tableColumn id="67" xr3:uid="{BC94F402-4955-4632-93E2-99C6CCD9BBF5}" uniqueName="67" name="Control de Ruta" queryTableFieldId="67" dataDxfId="11"/>
    <tableColumn id="68" xr3:uid="{2F7B9C71-E15B-4A4A-BD4B-A113E4386C74}" uniqueName="68" name="Ubicación Actual" queryTableFieldId="68" dataDxfId="10"/>
    <tableColumn id="69" xr3:uid="{2BCAD133-10A3-415E-8958-ECF372766FB1}" uniqueName="69" name="Monitor - Llegada Estimada" queryTableFieldId="69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57F7D-1D1E-4AFA-8044-FFF2F1C932F8}" name="OLDBD" displayName="OLDBD" ref="A1:BE1099" totalsRowShown="0" headerRowDxfId="138" dataDxfId="136" headerRowBorderDxfId="137" tableBorderDxfId="135">
  <autoFilter ref="A1:BE1099" xr:uid="{85357F7D-1D1E-4AFA-8044-FFF2F1C932F8}">
    <filterColumn colId="1">
      <filters>
        <filter val="38"/>
      </filters>
    </filterColumn>
  </autoFilter>
  <tableColumns count="57">
    <tableColumn id="1" xr3:uid="{16788A22-EC83-48F5-B21D-C504D132416F}" name="ID" dataDxfId="134"/>
    <tableColumn id="2" xr3:uid="{CEAA2F4B-B69D-4CE1-8873-625314050F48}" name="pp" dataDxfId="133">
      <calculatedColumnFormula>IFERROR(IF(MARÍTIMOS[[#This Row],[PP]]="","",MARÍTIMOS[[#This Row],[PP]]),"")</calculatedColumnFormula>
    </tableColumn>
    <tableColumn id="3" xr3:uid="{B4443EEE-E028-46F6-A6DB-30CACE4D58AB}" name="Sede" dataDxfId="132">
      <calculatedColumnFormula>IFERROR(IF(MARÍTIMOS[[#This Row],[Sede]]="","",MARÍTIMOS[[#This Row],[Sede]]),"")</calculatedColumnFormula>
    </tableColumn>
    <tableColumn id="4" xr3:uid="{9C436400-9819-4B1B-9B27-C3FE473A8544}" name="Instrucción" dataDxfId="131">
      <calculatedColumnFormula>IFERROR(IF(MARÍTIMOS[[#This Row],[Instruction]]="","",MARÍTIMOS[[#This Row],[Instruction]]),"")</calculatedColumnFormula>
    </tableColumn>
    <tableColumn id="5" xr3:uid="{9BE8B215-CBF3-4673-8EDE-0C134E6A22C5}" name="PO" dataDxfId="130"/>
    <tableColumn id="6" xr3:uid="{19A9407D-81D6-422A-A9BD-98A0DC70E3BC}" name="Transportista" dataDxfId="129">
      <calculatedColumnFormula>IFERROR(IF(MARÍTIMOS[[#This Row],[Transportista]]="","",MARÍTIMOS[[#This Row],[Transportista]]),"")</calculatedColumnFormula>
    </tableColumn>
    <tableColumn id="7" xr3:uid="{86384F02-000E-4CEB-9A91-6BCE93FD0C03}" name="Tercero" dataDxfId="128">
      <calculatedColumnFormula>IFERROR(IF(MARÍTIMOS[[#This Row],[Tercero]]="","",MARÍTIMOS[[#This Row],[Tercero]]),"")</calculatedColumnFormula>
    </tableColumn>
    <tableColumn id="8" xr3:uid="{2697E584-457D-4EAE-BE63-3EAC1F9DD189}" name="Razón Social" dataDxfId="127">
      <calculatedColumnFormula>IFERROR(IF(MARÍTIMOS[[#This Row],[Razón Social]]="","",MARÍTIMOS[[#This Row],[Razón Social]]),"")</calculatedColumnFormula>
    </tableColumn>
    <tableColumn id="9" xr3:uid="{C4D23FCC-C454-4221-89E4-796061F5901E}" name="RUC" dataDxfId="126">
      <calculatedColumnFormula>IFERROR(IF(MARÍTIMOS[[#This Row],[RUC]]="","",MARÍTIMOS[[#This Row],[RUC]]),"")</calculatedColumnFormula>
    </tableColumn>
    <tableColumn id="10" xr3:uid="{64B6C6EA-8D25-4873-B48E-43967D5E19BE}" name="Placa Tracto" dataDxfId="125">
      <calculatedColumnFormula>IFERROR(IF(MARÍTIMOS[[#This Row],[Placa Tracto]]="","",MARÍTIMOS[[#This Row],[Placa Tracto]]),"")</calculatedColumnFormula>
    </tableColumn>
    <tableColumn id="11" xr3:uid="{81D78C3F-7C51-4B36-89C6-E1FC5698CB62}" name="Placa Carreta" dataDxfId="124">
      <calculatedColumnFormula>IFERROR(IF(MARÍTIMOS[[#This Row],[Placa Carreta]]="","",MARÍTIMOS[[#This Row],[Placa Carreta]]),"")</calculatedColumnFormula>
    </tableColumn>
    <tableColumn id="12" xr3:uid="{71F79238-83C2-40B7-9286-A54B377B0BDE}" name="Conductor" dataDxfId="123">
      <calculatedColumnFormula>IFERROR(IF(MARÍTIMOS[[#This Row],[Conductor]]="","",MARÍTIMOS[[#This Row],[Conductor]]),"")</calculatedColumnFormula>
    </tableColumn>
    <tableColumn id="13" xr3:uid="{F42EDA41-E43F-4BE1-87FD-54D21154C468}" name="Licencia" dataDxfId="122">
      <calculatedColumnFormula>IFERROR(IF(MARÍTIMOS[[#This Row],[Licencia]]="","",MARÍTIMOS[[#This Row],[Licencia]]),"")</calculatedColumnFormula>
    </tableColumn>
    <tableColumn id="14" xr3:uid="{538415A1-FEB0-4597-AC46-B987DC0FAA28}" name="Telf. Contacto Conductor" dataDxfId="121">
      <calculatedColumnFormula>IFERROR(IF(MARÍTIMOS[[#This Row],[Número de Contacto]]="","",MARÍTIMOS[[#This Row],[Número de Contacto]]),"")</calculatedColumnFormula>
    </tableColumn>
    <tableColumn id="15" xr3:uid="{9535C939-E4C5-4EA0-BEF0-2BFBC4033415}" name="Booking" dataDxfId="120">
      <calculatedColumnFormula>IFERROR(IF(MARÍTIMOS[[#This Row],[Booking|AWB|CRT]]="","",MARÍTIMOS[[#This Row],[Booking|AWB|CRT]]),"")</calculatedColumnFormula>
    </tableColumn>
    <tableColumn id="16" xr3:uid="{3C231DB2-802C-45C6-A203-E03668039EBE}" name="Container" dataDxfId="119">
      <calculatedColumnFormula>IFERROR(IF(MARÍTIMOS[[#This Row],[Contenedor]]="","",MARÍTIMOS[[#This Row],[Contenedor]]),"")</calculatedColumnFormula>
    </tableColumn>
    <tableColumn id="17" xr3:uid="{5A3985C1-438F-4BB8-9B8D-0500FE236758}" name="Puerto retiro" dataDxfId="118">
      <calculatedColumnFormula>IFERROR(IF(MARÍTIMOS[[#This Row],[Puerto de Retiro]]="","",MARÍTIMOS[[#This Row],[Puerto de Retiro]]),"")</calculatedColumnFormula>
    </tableColumn>
    <tableColumn id="18" xr3:uid="{93C3C2C1-AF8B-49CB-B0A7-B33354857260}" name="Almacén retiro" dataDxfId="117">
      <calculatedColumnFormula>IFERROR(IF(MARÍTIMOS[[#This Row],[Almacén de Retiro]]="","",MARÍTIMOS[[#This Row],[Almacén de Retiro]]),"")</calculatedColumnFormula>
    </tableColumn>
    <tableColumn id="19" xr3:uid="{9E58BD97-6F20-4CDC-B548-8AAD31FA8775}" name="Cita de retiro" dataDxfId="116">
      <calculatedColumnFormula>IFERROR(IF(MARÍTIMOS[[#This Row],[Etapa Retiro - Cita]]="","",MARÍTIMOS[[#This Row],[Etapa Retiro - Cita]]),"")</calculatedColumnFormula>
    </tableColumn>
    <tableColumn id="20" xr3:uid="{5063C62E-9BF6-4393-9D80-F1BB555FA508}" name="Llegada a almacén retiro" dataDxfId="115">
      <calculatedColumnFormula>IFERROR(IF(MARÍTIMOS[[#This Row],[Etapa Retiro - Llegada]]="","",MARÍTIMOS[[#This Row],[Etapa Retiro - Llegada]]),"")</calculatedColumnFormula>
    </tableColumn>
    <tableColumn id="21" xr3:uid="{F02FD3A8-7309-4DE2-ABE7-16B43126C333}" name="Ingreso Almacén de retiro" dataDxfId="114">
      <calculatedColumnFormula>IFERROR(IF(MARÍTIMOS[[#This Row],[Etapa Retiro - Ingreso]]="","",MARÍTIMOS[[#This Row],[Etapa Retiro - Ingreso]]),"")</calculatedColumnFormula>
    </tableColumn>
    <tableColumn id="22" xr3:uid="{C91D06A8-C699-4464-9B06-7CD2ECD6154C}" name="Atención Almacén de retiro" dataDxfId="113">
      <calculatedColumnFormula>IFERROR(IF(MARÍTIMOS[[#This Row],[Etapa Retiro - Atención]]="","",MARÍTIMOS[[#This Row],[Etapa Retiro - Atención]]),"")</calculatedColumnFormula>
    </tableColumn>
    <tableColumn id="23" xr3:uid="{347617F3-C50A-44A3-AAFF-605F3A25C670}" name="Salida de almacén de retiro" dataDxfId="112">
      <calculatedColumnFormula>IFERROR(IF(MARÍTIMOS[[#This Row],[Etapa Retiro - Atención]]="","",MARÍTIMOS[[#This Row],[Etapa Retiro - Atención]]),"")</calculatedColumnFormula>
    </tableColumn>
    <tableColumn id="24" xr3:uid="{76E69146-4526-441A-8716-06DB25B5EB62}" name="Inicio de Ruta" dataDxfId="111">
      <calculatedColumnFormula>IFERROR(IF(MARÍTIMOS[[#This Row],[Etapa Retiro - Inicio de Ruta]]="","",MARÍTIMOS[[#This Row],[Etapa Retiro - Inicio de Ruta]]),"")</calculatedColumnFormula>
    </tableColumn>
    <tableColumn id="25" xr3:uid="{887E24A4-F024-4F0A-8CCA-2299A77F68DB}" name="Cita - Hora de Posicionamiento" dataDxfId="110">
      <calculatedColumnFormula>IFERROR(IF(MARÍTIMOS[[#This Row],[Hora de Posicionamiento]]="","",MARÍTIMOS[[#This Row],[Fecha de Carga]]+MARÍTIMOS[[#This Row],[Hora de Posicionamiento]]),"")</calculatedColumnFormula>
    </tableColumn>
    <tableColumn id="26" xr3:uid="{85516584-8D41-4B17-B874-033E5E94AADE}" name="Llegada a packing" dataDxfId="109">
      <calculatedColumnFormula>IFERROR(IF(MARÍTIMOS[[#This Row],[Etapa Despacho - Llegada]]="","",MARÍTIMOS[[#This Row],[Etapa Despacho - Llegada]]),"")</calculatedColumnFormula>
    </tableColumn>
    <tableColumn id="27" xr3:uid="{B11DFF48-337D-4934-AA6E-857AE69E6801}" name="Registro en Packing" dataDxfId="108">
      <calculatedColumnFormula>IFERROR(IF(MARÍTIMOS[[#This Row],[Etapa Despacho - Registro]]="","",MARÍTIMOS[[#This Row],[Etapa Despacho - Registro]]),"")</calculatedColumnFormula>
    </tableColumn>
    <tableColumn id="28" xr3:uid="{7DF4DC48-E5F1-418D-92D9-784427B916EA}" name="Ingreso Packing" dataDxfId="107">
      <calculatedColumnFormula>IFERROR(IF(MARÍTIMOS[[#This Row],[Inspección Externa]]="","",MARÍTIMOS[[#This Row],[Inspección Externa]]),"")</calculatedColumnFormula>
    </tableColumn>
    <tableColumn id="29" xr3:uid="{2453E4F6-68EC-4CC3-ADE8-6CAA94D05DED}" name="Inicio de Carga" dataDxfId="106">
      <calculatedColumnFormula>IFERROR(IF(MARÍTIMOS[[#This Row],[Etapa Despacho - Inicio de Carga]]="","",MARÍTIMOS[[#This Row],[Etapa Despacho - Inicio de Carga]]),"")</calculatedColumnFormula>
    </tableColumn>
    <tableColumn id="30" xr3:uid="{51958B32-52AA-4204-A312-AD9932CD9392}" name="Fin de Carga" dataDxfId="105">
      <calculatedColumnFormula>IFERROR(IF(MARÍTIMOS[[#This Row],[Etapa Despacho - Mitad de Carga]]="","",MARÍTIMOS[[#This Row],[Etapa Despacho - Mitad de Carga]]),"")</calculatedColumnFormula>
    </tableColumn>
    <tableColumn id="31" xr3:uid="{3DC51BC4-896F-41E3-91A8-A157C7787976}" name="Salida Packing" dataDxfId="104">
      <calculatedColumnFormula>IFERROR(IF(MARÍTIMOS[[#This Row],[Etapa Despacho - Fin de Carga]]="","",MARÍTIMOS[[#This Row],[Etapa Despacho - Fin de Carga]]),"")</calculatedColumnFormula>
    </tableColumn>
    <tableColumn id="32" xr3:uid="{8118993B-7B75-4411-A989-EB9FDE77CA89}" name="Puerto ingreso" dataDxfId="103">
      <calculatedColumnFormula>IFERROR(IF(MARÍTIMOS[[#This Row],[Puerto de Embarque]]="","",MARÍTIMOS[[#This Row],[Puerto de Embarque]]),"")</calculatedColumnFormula>
    </tableColumn>
    <tableColumn id="33" xr3:uid="{63AFCB63-883D-489B-82DA-2D9E934C99CC}" name="Almacén de Ingreso" dataDxfId="102">
      <calculatedColumnFormula>IFERROR(IF(MARÍTIMOS[[#This Row],[Almacén de Ingreso]]="","",MARÍTIMOS[[#This Row],[Almacén de Ingreso]]),"")</calculatedColumnFormula>
    </tableColumn>
    <tableColumn id="34" xr3:uid="{F0C9FE5F-2ACF-4F4F-9137-FB6D440DD247}" name="Cita de ingreso" dataDxfId="101">
      <calculatedColumnFormula>IFERROR(IF(MARÍTIMOS[[#This Row],[Etapa Ingreso - Cita]]="","",MARÍTIMOS[[#This Row],[Etapa Ingreso - Cita]]),"")</calculatedColumnFormula>
    </tableColumn>
    <tableColumn id="35" xr3:uid="{C59BDBF1-2D98-4337-8EBE-FDCF7DA73470}" name="Llegada Almacén de Ingreso" dataDxfId="100">
      <calculatedColumnFormula>IFERROR(IF(MARÍTIMOS[[#This Row],[Etapa Ingreso - Llegada]]="","",MARÍTIMOS[[#This Row],[Etapa Ingreso - Llegada]]),"")</calculatedColumnFormula>
    </tableColumn>
    <tableColumn id="36" xr3:uid="{AECC86A4-C7D7-4CD0-B953-288F232183E1}" name="Ingreso Almacén de Ingreso" dataDxfId="99">
      <calculatedColumnFormula>IFERROR(IF(MARÍTIMOS[[#This Row],[Etapa Ingreso - Ingeso]]="","",MARÍTIMOS[[#This Row],[Etapa Ingreso - Ingeso]]),"")</calculatedColumnFormula>
    </tableColumn>
    <tableColumn id="37" xr3:uid="{62725367-9C62-413A-B814-9B799CC6170D}" name="Atención Almacén de Ingreso" dataDxfId="98">
      <calculatedColumnFormula>IFERROR(IF(MARÍTIMOS[[#This Row],[Etapa Ingreso - Atención]]="","",MARÍTIMOS[[#This Row],[Etapa Ingreso - Atención]]),"")</calculatedColumnFormula>
    </tableColumn>
    <tableColumn id="38" xr3:uid="{D0098F96-8D64-4331-9CD5-CA1C37EE1BD9}" name="Salida Almacén de Ingreso" dataDxfId="97">
      <calculatedColumnFormula>IFERROR(IF(MARÍTIMOS[[#This Row],[Etapa Ingreso - Salida]]="","",MARÍTIMOS[[#This Row],[Etapa Ingreso - Salida]]),"")</calculatedColumnFormula>
    </tableColumn>
    <tableColumn id="39" xr3:uid="{7FD32677-E7E1-4A6F-9FD4-B119BC2AEB9B}" name="FCL" dataDxfId="96">
      <calculatedColumnFormula>IFERROR(IF(MARÍTIMOS[[#This Row],[FCL]]="","",MARÍTIMOS[[#This Row],[FCL]]),"")</calculatedColumnFormula>
    </tableColumn>
    <tableColumn id="40" xr3:uid="{E48343A1-A85B-455A-B42A-E7A0426C59BE}" name="Gate-Out Appointment Compliance" dataDxfId="95">
      <calculatedColumnFormula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calculatedColumnFormula>
    </tableColumn>
    <tableColumn id="41" xr3:uid="{0FACC503-0B9B-47E3-944F-6D1924FBAA9E}" name="Detention at Gate-Out Storage" dataDxfId="94">
      <calculatedColumnFormula array="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calculatedColumnFormula>
    </tableColumn>
    <tableColumn id="42" xr3:uid="{41C5CE2C-5D5E-4E7C-B2A5-0DB018ED157D}" name="Empty Outbound Time" dataDxfId="93">
      <calculatedColumnFormula>IFERROR(OLDBD[[#This Row],[Llegada a packing]]-OLDBD[[#This Row],[Inicio de Ruta]],"")</calculatedColumnFormula>
    </tableColumn>
    <tableColumn id="43" xr3:uid="{F450C7C9-885B-42B7-9DC5-AE42F293D0BB}" name="Route Start Delay" dataDxfId="92">
      <calculatedColumnFormula>IFERROR(OLDBD[[#This Row],[Inicio de Ruta]]-OLDBD[[#This Row],[Salida de almacén de retiro]],"")</calculatedColumnFormula>
    </tableColumn>
    <tableColumn id="44" xr3:uid="{23B08853-AE4A-4474-9943-12EED32A8E29}" name="Packing Appointment Compliance" dataDxfId="91">
      <calculatedColumnFormula>IFERROR(IF((OLDBD[[#This Row],[Llegada a packing]]-OLDBD[[#This Row],[Cita - Hora de Posicionamiento]])&lt;=0,"ON TIME",IF((OLDBD[[#This Row],[Llegada a packing]]-OLDBD[[#This Row],[Cita - Hora de Posicionamiento]])&gt;(2/24),"CRITICAL LATE","LATE")),"")</calculatedColumnFormula>
    </tableColumn>
    <tableColumn id="45" xr3:uid="{4E976F7E-ADFA-42CB-9E4B-72F6B362508F}" name="Detention at Packing" dataDxfId="90">
      <calculatedColumnFormula array="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calculatedColumnFormula>
    </tableColumn>
    <tableColumn id="46" xr3:uid="{F8AE06E9-BDE6-4940-8864-87D13BAA0991}" name="Pre-Loading Wait Time" dataDxfId="89">
      <calculatedColumnFormula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calculatedColumnFormula>
    </tableColumn>
    <tableColumn id="47" xr3:uid="{981063E9-E3A5-4ED0-AA81-8411A8B19568}" name="Check-In Delay" dataDxfId="88">
      <calculatedColumnFormula>IFERROR(OLDBD[[#This Row],[Ingreso Packing]]-OLDBD[[#This Row],[Registro en Packing]],"")</calculatedColumnFormula>
    </tableColumn>
    <tableColumn id="48" xr3:uid="{BE637FD0-D101-48B4-B756-D8CF701CC98A}" name="Entry Delay" dataDxfId="87">
      <calculatedColumnFormula>IFERROR(OLDBD[[#This Row],[Ingreso Packing]]-OLDBD[[#This Row],[Llegada a packing]],"")</calculatedColumnFormula>
    </tableColumn>
    <tableColumn id="49" xr3:uid="{2B855BBE-E9F1-46A9-8523-614924AD4AA1}" name="Dispatch Delay" dataDxfId="86">
      <calculatedColumnFormula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calculatedColumnFormula>
    </tableColumn>
    <tableColumn id="50" xr3:uid="{55943DE1-A36E-47C1-8557-D1A93DB232DC}" name="Full Inbound Time" dataDxfId="85">
      <calculatedColumnFormula>IFERROR(OLDBD[[#This Row],[Llegada Almacén de Ingreso]]-OLDBD[[#This Row],[Salida Packing]],"")</calculatedColumnFormula>
    </tableColumn>
    <tableColumn id="51" xr3:uid="{46DCD155-FF36-4196-B9D6-68910D443FE3}" name="Detention at Gate-In Storage" dataDxfId="84">
      <calculatedColumnFormula array="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calculatedColumnFormula>
    </tableColumn>
    <tableColumn id="52" xr3:uid="{52B4A948-61DB-4B85-AE20-610507892F91}" name="Gate-In Appointment Compliance" dataDxfId="83">
      <calculatedColumnFormula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calculatedColumnFormula>
    </tableColumn>
    <tableColumn id="53" xr3:uid="{6D710742-C233-4574-B632-44827A795F67}" name="Línea Naviera" dataDxfId="82"/>
    <tableColumn id="54" xr3:uid="{3183B140-CD17-4C9A-A4CC-318A07CEE918}" name="Estatus" dataDxfId="81">
      <calculatedColumnFormula>IFERROR(IF(MARÍTIMOS[[#This Row],[Estatus]]="","",MARÍTIMOS[[#This Row],[Estatus]]),"")</calculatedColumnFormula>
    </tableColumn>
    <tableColumn id="55" xr3:uid="{2E89444D-97E3-475A-AB27-4D2D6278224E}" name="Comentario" dataDxfId="80"/>
    <tableColumn id="56" xr3:uid="{03D95D1D-51AA-446A-B322-56F1EC1CD3CE}" name="Gate out Detention" dataDxfId="79">
      <calculatedColumnFormula>IFERROR(OLDBD[[#This Row],[Salida de almacén de retiro]]-OLDBD[[#This Row],[Ingreso Almacén de retiro]],"")</calculatedColumnFormula>
    </tableColumn>
    <tableColumn id="57" xr3:uid="{E3913842-8E71-46A3-ADE3-6C2CD1E651A0}" name="Tiempo de carga" dataDxfId="78">
      <calculatedColumnFormula>IFERROR(OLDBD[[#This Row],[Fin de Carga]]-OLDBD[[#This Row],[Inicio de Carga]],"")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38A607-A504-4E0B-87C3-FC7EC7078323}" name="Tabla1" displayName="Tabla1" ref="A1:F15" totalsRowShown="0" dataDxfId="7" headerRowBorderDxfId="8" tableBorderDxfId="6">
  <autoFilter ref="A1:F15" xr:uid="{00000000-0009-0000-0100-000002000000}"/>
  <tableColumns count="6">
    <tableColumn id="1" xr3:uid="{5004272F-03B6-4050-9B3E-B9BFF5347A37}" name="Etapas" dataDxfId="5"/>
    <tableColumn id="2" xr3:uid="{90012E90-4E42-4E54-8A88-50B3438AFB60}" name="KPI" dataDxfId="4"/>
    <tableColumn id="3" xr3:uid="{83152F32-4D02-478C-94AD-6A46DAFA02AF}" name="TABLEAU" dataDxfId="3"/>
    <tableColumn id="4" xr3:uid="{6A2EF5C3-4705-4C0C-AB8C-75B7D2E4AA48}" name="FORMULA" dataDxfId="2"/>
    <tableColumn id="6" xr3:uid="{6A21168A-B0E8-4C83-87ED-713C4F425FDE}" name="LÓGICA DE FORMULA" dataDxfId="1"/>
    <tableColumn id="7" xr3:uid="{5C8B56C8-2E44-4D6E-BE23-C0A7AA55A088}" name="% PERMITIDO DE CUMPLIMIENT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  <wetp:taskpane dockstate="right" visibility="0" width="525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8AB53E3-1888-42C6-B7C9-CC058A532CF9}">
  <we:reference id="wa200004687" version="1.0.0.3" store="es-ES" storeType="OMEX"/>
  <we:alternateReferences>
    <we:reference id="wa200004687" version="1.0.0.3" store="wa20000468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8659DA33-660A-4F6E-899C-D988E5E48731}">
  <we:reference id="wa104381026" version="1.2.0.0" store="es-HN" storeType="OMEX"/>
  <we:alternateReferences>
    <we:reference id="WA10438102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693B5CCA-BE66-4207-A0DA-7C4BE77CA1E4}">
  <we:reference id="wa104051163" version="1.2.0.3" store="es-HN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BED3-659B-4D6C-9C66-09A5F4CB5B59}">
  <dimension ref="A1:BY437"/>
  <sheetViews>
    <sheetView workbookViewId="0">
      <selection activeCell="D1" sqref="D1"/>
    </sheetView>
  </sheetViews>
  <sheetFormatPr baseColWidth="10" defaultRowHeight="14.5"/>
  <cols>
    <col min="1" max="1" width="73.26953125" bestFit="1" customWidth="1"/>
    <col min="2" max="2" width="7.1796875" style="30" bestFit="1" customWidth="1"/>
    <col min="3" max="3" width="7.54296875" style="30" bestFit="1" customWidth="1"/>
    <col min="4" max="4" width="17.54296875" style="30" bestFit="1" customWidth="1"/>
    <col min="5" max="5" width="8.54296875" style="30" bestFit="1" customWidth="1"/>
    <col min="6" max="6" width="18.26953125" style="48" bestFit="1" customWidth="1"/>
    <col min="7" max="7" width="17.90625" style="48" bestFit="1" customWidth="1"/>
    <col min="8" max="8" width="17.1796875" style="30" bestFit="1" customWidth="1"/>
    <col min="9" max="9" width="26.54296875" style="30" bestFit="1" customWidth="1"/>
    <col min="10" max="10" width="9.36328125" style="30" bestFit="1" customWidth="1"/>
    <col min="11" max="11" width="11.54296875" style="30" bestFit="1" customWidth="1"/>
    <col min="12" max="12" width="8.1796875" style="30" bestFit="1" customWidth="1"/>
    <col min="13" max="13" width="14.54296875" style="30" bestFit="1" customWidth="1"/>
    <col min="14" max="14" width="13.08984375" style="30" bestFit="1" customWidth="1"/>
    <col min="15" max="15" width="7.81640625" style="30" bestFit="1" customWidth="1"/>
    <col min="16" max="16" width="20.7265625" style="30" bestFit="1" customWidth="1"/>
    <col min="17" max="17" width="22.81640625" style="30" bestFit="1" customWidth="1"/>
    <col min="18" max="18" width="20.6328125" style="30" bestFit="1" customWidth="1"/>
    <col min="19" max="19" width="15.453125" style="30" bestFit="1" customWidth="1"/>
    <col min="20" max="20" width="21.26953125" style="30" bestFit="1" customWidth="1"/>
    <col min="21" max="21" width="15.54296875" style="30" bestFit="1" customWidth="1"/>
    <col min="22" max="22" width="22.08984375" style="30" bestFit="1" customWidth="1"/>
    <col min="23" max="23" width="19.7265625" style="30" bestFit="1" customWidth="1"/>
    <col min="24" max="24" width="21.1796875" style="30" bestFit="1" customWidth="1"/>
    <col min="25" max="25" width="19.453125" style="30" bestFit="1" customWidth="1"/>
    <col min="26" max="26" width="17.90625" style="30" bestFit="1" customWidth="1"/>
    <col min="27" max="27" width="21.6328125" style="30" bestFit="1" customWidth="1"/>
    <col min="28" max="28" width="16.6328125" style="30" bestFit="1" customWidth="1"/>
    <col min="29" max="29" width="11.7265625" style="30" bestFit="1" customWidth="1"/>
    <col min="30" max="30" width="50.26953125" style="30" bestFit="1" customWidth="1"/>
    <col min="31" max="31" width="12.26953125" style="30" bestFit="1" customWidth="1"/>
    <col min="32" max="32" width="15.54296875" style="30" bestFit="1" customWidth="1"/>
    <col min="33" max="33" width="16.453125" style="30" bestFit="1" customWidth="1"/>
    <col min="34" max="34" width="25" style="30" bestFit="1" customWidth="1"/>
    <col min="35" max="35" width="63.6328125" style="30" bestFit="1" customWidth="1"/>
    <col min="36" max="36" width="21.453125" style="30" bestFit="1" customWidth="1"/>
    <col min="37" max="37" width="22.90625" style="30" bestFit="1" customWidth="1"/>
    <col min="38" max="38" width="29.1796875" style="30" bestFit="1" customWidth="1"/>
    <col min="39" max="39" width="18.90625" style="30" bestFit="1" customWidth="1"/>
    <col min="40" max="40" width="22.26953125" style="30" bestFit="1" customWidth="1"/>
    <col min="41" max="41" width="20.26953125" style="30" bestFit="1" customWidth="1"/>
    <col min="42" max="42" width="20.81640625" style="30" bestFit="1" customWidth="1"/>
    <col min="43" max="43" width="20.26953125" style="30" bestFit="1" customWidth="1"/>
    <col min="44" max="44" width="20.453125" style="30" bestFit="1" customWidth="1"/>
    <col min="45" max="45" width="19.1796875" style="30" bestFit="1" customWidth="1"/>
    <col min="46" max="46" width="20.7265625" style="30" bestFit="1" customWidth="1"/>
    <col min="47" max="47" width="20.6328125" style="50" bestFit="1" customWidth="1"/>
    <col min="48" max="48" width="23.6328125" style="50" bestFit="1" customWidth="1"/>
    <col min="49" max="49" width="23.54296875" style="50" bestFit="1" customWidth="1"/>
    <col min="50" max="50" width="24.81640625" style="50" bestFit="1" customWidth="1"/>
    <col min="51" max="51" width="22.26953125" style="50" bestFit="1" customWidth="1"/>
    <col min="52" max="52" width="28.81640625" style="50" bestFit="1" customWidth="1"/>
    <col min="53" max="53" width="24.54296875" style="50" bestFit="1" customWidth="1"/>
    <col min="54" max="54" width="25.08984375" style="50" bestFit="1" customWidth="1"/>
    <col min="55" max="55" width="21.1796875" style="50" bestFit="1" customWidth="1"/>
    <col min="56" max="56" width="20.90625" style="50" bestFit="1" customWidth="1"/>
    <col min="57" max="57" width="30.54296875" style="50" bestFit="1" customWidth="1"/>
    <col min="58" max="58" width="31.08984375" style="50" bestFit="1" customWidth="1"/>
    <col min="59" max="59" width="28.54296875" style="50" bestFit="1" customWidth="1"/>
    <col min="60" max="60" width="23.08984375" style="50" bestFit="1" customWidth="1"/>
    <col min="61" max="61" width="21.81640625" style="30" bestFit="1" customWidth="1"/>
    <col min="62" max="62" width="21.7265625" style="30" bestFit="1" customWidth="1"/>
    <col min="63" max="63" width="24.7265625" style="30" bestFit="1" customWidth="1"/>
    <col min="64" max="64" width="23.90625" style="30" bestFit="1" customWidth="1"/>
    <col min="65" max="65" width="26" style="30" bestFit="1" customWidth="1"/>
    <col min="66" max="66" width="23.36328125" style="30" bestFit="1" customWidth="1"/>
    <col min="67" max="67" width="18.54296875" style="30" bestFit="1" customWidth="1"/>
    <col min="68" max="68" width="19.1796875" style="30" bestFit="1" customWidth="1"/>
    <col min="69" max="69" width="28.453125" style="30" bestFit="1" customWidth="1"/>
    <col min="70" max="70" width="21.7265625" style="50" bestFit="1" customWidth="1"/>
    <col min="71" max="71" width="24.7265625" style="50" bestFit="1" customWidth="1"/>
    <col min="72" max="72" width="23.90625" style="50" bestFit="1" customWidth="1"/>
    <col min="73" max="73" width="26" style="50" bestFit="1" customWidth="1"/>
    <col min="74" max="74" width="23.36328125" style="50" bestFit="1" customWidth="1"/>
    <col min="75" max="75" width="18.54296875" style="30" bestFit="1" customWidth="1"/>
    <col min="76" max="76" width="19.1796875" style="30" bestFit="1" customWidth="1"/>
    <col min="77" max="77" width="28.453125" style="30" bestFit="1" customWidth="1"/>
    <col min="78" max="78" width="16.90625" bestFit="1" customWidth="1"/>
    <col min="79" max="79" width="26.1796875" bestFit="1" customWidth="1"/>
  </cols>
  <sheetData>
    <row r="1" spans="1:77">
      <c r="A1" t="s">
        <v>120</v>
      </c>
      <c r="B1" s="30" t="s">
        <v>0</v>
      </c>
      <c r="C1" s="30" t="s">
        <v>121</v>
      </c>
      <c r="D1" s="30" t="s">
        <v>122</v>
      </c>
      <c r="E1" s="30" t="s">
        <v>123</v>
      </c>
      <c r="F1" s="30" t="s">
        <v>124</v>
      </c>
      <c r="G1" s="30" t="s">
        <v>125</v>
      </c>
      <c r="H1" s="30" t="s">
        <v>126</v>
      </c>
      <c r="I1" s="30" t="s">
        <v>127</v>
      </c>
      <c r="J1" s="30" t="s">
        <v>2</v>
      </c>
      <c r="K1" s="30" t="s">
        <v>128</v>
      </c>
      <c r="L1" s="30" t="s">
        <v>36</v>
      </c>
      <c r="M1" s="30" t="s">
        <v>129</v>
      </c>
      <c r="N1" s="30" t="s">
        <v>130</v>
      </c>
      <c r="O1" s="30" t="s">
        <v>4</v>
      </c>
      <c r="P1" s="30" t="s">
        <v>131</v>
      </c>
      <c r="Q1" s="30" t="s">
        <v>132</v>
      </c>
      <c r="R1" s="30" t="s">
        <v>133</v>
      </c>
      <c r="S1" s="30" t="s">
        <v>134</v>
      </c>
      <c r="T1" s="30" t="s">
        <v>135</v>
      </c>
      <c r="U1" s="30" t="s">
        <v>136</v>
      </c>
      <c r="V1" s="30" t="s">
        <v>137</v>
      </c>
      <c r="W1" s="30" t="s">
        <v>138</v>
      </c>
      <c r="X1" s="30" t="s">
        <v>139</v>
      </c>
      <c r="Y1" t="s">
        <v>1980</v>
      </c>
      <c r="Z1" s="30" t="s">
        <v>140</v>
      </c>
      <c r="AA1" s="30" t="s">
        <v>141</v>
      </c>
      <c r="AB1" s="30" t="s">
        <v>5</v>
      </c>
      <c r="AC1" s="30" t="s">
        <v>6</v>
      </c>
      <c r="AD1" s="30" t="s">
        <v>7</v>
      </c>
      <c r="AE1" s="30" t="s">
        <v>8</v>
      </c>
      <c r="AF1" s="30" t="s">
        <v>9</v>
      </c>
      <c r="AG1" s="30" t="s">
        <v>10</v>
      </c>
      <c r="AH1" s="30" t="s">
        <v>142</v>
      </c>
      <c r="AI1" s="30" t="s">
        <v>11</v>
      </c>
      <c r="AJ1" s="30" t="s">
        <v>12</v>
      </c>
      <c r="AK1" s="30" t="s">
        <v>143</v>
      </c>
      <c r="AL1" s="30" t="s">
        <v>144</v>
      </c>
      <c r="AM1" t="s">
        <v>1981</v>
      </c>
      <c r="AN1" s="30" t="s">
        <v>145</v>
      </c>
      <c r="AO1" s="30" t="s">
        <v>146</v>
      </c>
      <c r="AP1" s="30" t="s">
        <v>147</v>
      </c>
      <c r="AQ1" s="30" t="s">
        <v>148</v>
      </c>
      <c r="AR1" s="30" t="s">
        <v>149</v>
      </c>
      <c r="AS1" s="30" t="s">
        <v>150</v>
      </c>
      <c r="AT1" s="30" t="s">
        <v>151</v>
      </c>
      <c r="AU1" s="30" t="s">
        <v>152</v>
      </c>
      <c r="AV1" s="30" t="s">
        <v>153</v>
      </c>
      <c r="AW1" s="30" t="s">
        <v>154</v>
      </c>
      <c r="AX1" s="30" t="s">
        <v>155</v>
      </c>
      <c r="AY1" s="30" t="s">
        <v>156</v>
      </c>
      <c r="AZ1" s="30" t="s">
        <v>157</v>
      </c>
      <c r="BA1" t="s">
        <v>1982</v>
      </c>
      <c r="BB1" t="s">
        <v>1983</v>
      </c>
      <c r="BC1" s="30" t="s">
        <v>158</v>
      </c>
      <c r="BD1" s="30" t="s">
        <v>159</v>
      </c>
      <c r="BE1" t="s">
        <v>1984</v>
      </c>
      <c r="BF1" t="s">
        <v>1985</v>
      </c>
      <c r="BG1" t="s">
        <v>1986</v>
      </c>
      <c r="BH1" t="s">
        <v>1987</v>
      </c>
      <c r="BI1" s="30" t="s">
        <v>30</v>
      </c>
      <c r="BJ1" s="30" t="s">
        <v>160</v>
      </c>
      <c r="BK1" s="30" t="s">
        <v>161</v>
      </c>
      <c r="BL1" s="30" t="s">
        <v>162</v>
      </c>
      <c r="BM1" s="30" t="s">
        <v>163</v>
      </c>
      <c r="BN1" s="30" t="s">
        <v>164</v>
      </c>
      <c r="BO1" s="30" t="s">
        <v>165</v>
      </c>
      <c r="BP1" s="30" t="s">
        <v>166</v>
      </c>
      <c r="BQ1" s="30" t="s">
        <v>167</v>
      </c>
      <c r="BR1"/>
      <c r="BS1"/>
      <c r="BT1"/>
      <c r="BU1"/>
      <c r="BV1"/>
      <c r="BW1"/>
      <c r="BX1"/>
      <c r="BY1"/>
    </row>
    <row r="2" spans="1:77">
      <c r="A2" t="s">
        <v>168</v>
      </c>
      <c r="B2" s="30">
        <v>1</v>
      </c>
      <c r="C2" s="30">
        <v>28</v>
      </c>
      <c r="D2" s="30" t="s">
        <v>169</v>
      </c>
      <c r="E2" s="30" t="s">
        <v>170</v>
      </c>
      <c r="F2" s="48">
        <v>46212</v>
      </c>
      <c r="G2" s="48">
        <v>46213</v>
      </c>
      <c r="H2" s="49">
        <v>0.41666666666666669</v>
      </c>
      <c r="I2" s="49">
        <v>0.33333333333333331</v>
      </c>
      <c r="J2" s="30" t="s">
        <v>53</v>
      </c>
      <c r="K2" s="30" t="s">
        <v>171</v>
      </c>
      <c r="L2" s="30">
        <v>1</v>
      </c>
      <c r="M2" s="30" t="s">
        <v>172</v>
      </c>
      <c r="N2" s="30" t="s">
        <v>173</v>
      </c>
      <c r="O2" s="30" t="s">
        <v>173</v>
      </c>
      <c r="P2" s="30" t="s">
        <v>174</v>
      </c>
      <c r="Q2" s="30" t="s">
        <v>84</v>
      </c>
      <c r="R2" s="30" t="s">
        <v>175</v>
      </c>
      <c r="S2" s="30" t="s">
        <v>176</v>
      </c>
      <c r="T2" s="30">
        <v>751600038530</v>
      </c>
      <c r="U2" s="30" t="s">
        <v>177</v>
      </c>
      <c r="V2" s="30" t="s">
        <v>178</v>
      </c>
      <c r="X2" s="30" t="s">
        <v>179</v>
      </c>
      <c r="Y2" t="s">
        <v>180</v>
      </c>
      <c r="Z2" s="30" t="s">
        <v>180</v>
      </c>
      <c r="AA2" s="30" t="s">
        <v>181</v>
      </c>
      <c r="AB2" s="30" t="s">
        <v>1813</v>
      </c>
      <c r="AC2" s="30" t="s">
        <v>56</v>
      </c>
      <c r="AD2" s="30" t="s">
        <v>182</v>
      </c>
      <c r="AE2" s="30">
        <v>20609553376</v>
      </c>
      <c r="AF2" s="30" t="s">
        <v>183</v>
      </c>
      <c r="AG2" s="30" t="s">
        <v>184</v>
      </c>
      <c r="AH2" s="30" t="s">
        <v>185</v>
      </c>
      <c r="AI2" s="30" t="s">
        <v>186</v>
      </c>
      <c r="AJ2" s="30" t="s">
        <v>187</v>
      </c>
      <c r="AK2" s="30" t="s">
        <v>1821</v>
      </c>
      <c r="AL2" s="30" t="s">
        <v>1809</v>
      </c>
      <c r="AM2"/>
      <c r="AO2" s="30" t="s">
        <v>1809</v>
      </c>
      <c r="AP2" s="30" t="s">
        <v>1809</v>
      </c>
      <c r="AQ2" s="30" t="s">
        <v>1809</v>
      </c>
      <c r="AR2" s="30" t="s">
        <v>1809</v>
      </c>
      <c r="AS2" s="30" t="s">
        <v>84</v>
      </c>
      <c r="AT2" s="30" t="s">
        <v>64</v>
      </c>
      <c r="AU2" s="50">
        <v>46212.541666666664</v>
      </c>
      <c r="AV2" s="50">
        <v>46212.547222222223</v>
      </c>
      <c r="AW2" s="50">
        <v>46212.59097222222</v>
      </c>
      <c r="AX2" s="50">
        <v>46212.621527777781</v>
      </c>
      <c r="AY2" s="50">
        <v>46212.650694444441</v>
      </c>
      <c r="AZ2" s="50">
        <v>46212.650694444441</v>
      </c>
      <c r="BA2" s="51">
        <v>46213.32708333333</v>
      </c>
      <c r="BB2" s="51">
        <v>46213.330555555556</v>
      </c>
      <c r="BC2" s="50">
        <v>46213.361111111109</v>
      </c>
      <c r="BD2" s="50">
        <v>46213.427083333336</v>
      </c>
      <c r="BE2" s="51">
        <v>46213.602777777778</v>
      </c>
      <c r="BF2" s="51">
        <v>46213.612500000003</v>
      </c>
      <c r="BG2" s="51">
        <v>46213.708333333336</v>
      </c>
      <c r="BH2" s="51">
        <v>46213.791666666664</v>
      </c>
      <c r="BI2" s="30" t="s">
        <v>64</v>
      </c>
      <c r="BJ2" s="50">
        <v>46214.5</v>
      </c>
      <c r="BK2" s="50">
        <v>46214.333333333336</v>
      </c>
      <c r="BL2" s="50">
        <v>46214.374305555553</v>
      </c>
      <c r="BM2" s="50">
        <v>46214.378472222219</v>
      </c>
      <c r="BN2" s="50">
        <v>46214.386111111111</v>
      </c>
      <c r="BR2"/>
      <c r="BS2"/>
      <c r="BT2"/>
      <c r="BU2"/>
      <c r="BV2"/>
      <c r="BW2"/>
      <c r="BX2"/>
      <c r="BY2"/>
    </row>
    <row r="3" spans="1:77">
      <c r="A3" t="s">
        <v>168</v>
      </c>
      <c r="B3" s="30">
        <v>2</v>
      </c>
      <c r="C3" s="30">
        <v>28</v>
      </c>
      <c r="D3" s="30" t="s">
        <v>169</v>
      </c>
      <c r="E3" s="30" t="s">
        <v>170</v>
      </c>
      <c r="F3" s="48">
        <v>46214</v>
      </c>
      <c r="G3" s="48">
        <v>46215</v>
      </c>
      <c r="H3" s="49">
        <v>0.58333333333333337</v>
      </c>
      <c r="I3" s="49">
        <v>0.5</v>
      </c>
      <c r="J3" s="30" t="s">
        <v>53</v>
      </c>
      <c r="K3" s="30" t="s">
        <v>171</v>
      </c>
      <c r="L3" s="30">
        <v>1</v>
      </c>
      <c r="M3" s="30" t="s">
        <v>188</v>
      </c>
      <c r="P3" s="30" t="s">
        <v>174</v>
      </c>
      <c r="Q3" s="30" t="s">
        <v>84</v>
      </c>
      <c r="R3" s="30" t="s">
        <v>1822</v>
      </c>
      <c r="S3" s="30" t="s">
        <v>1823</v>
      </c>
      <c r="T3" s="30" t="s">
        <v>189</v>
      </c>
      <c r="U3" s="30" t="s">
        <v>190</v>
      </c>
      <c r="V3" s="30" t="s">
        <v>191</v>
      </c>
      <c r="X3" s="30" t="s">
        <v>179</v>
      </c>
      <c r="Y3" t="s">
        <v>180</v>
      </c>
      <c r="Z3" s="30" t="s">
        <v>180</v>
      </c>
      <c r="AA3" s="30" t="s">
        <v>181</v>
      </c>
      <c r="AB3" s="30" t="s">
        <v>1813</v>
      </c>
      <c r="AC3" s="30" t="s">
        <v>56</v>
      </c>
      <c r="AD3" s="30" t="s">
        <v>182</v>
      </c>
      <c r="AE3" s="30">
        <v>20609553376</v>
      </c>
      <c r="AF3" s="30" t="s">
        <v>192</v>
      </c>
      <c r="AG3" s="30" t="s">
        <v>193</v>
      </c>
      <c r="AH3" s="30" t="s">
        <v>185</v>
      </c>
      <c r="AI3" s="30" t="s">
        <v>1780</v>
      </c>
      <c r="AJ3" s="30" t="s">
        <v>194</v>
      </c>
      <c r="AK3" s="30" t="s">
        <v>1824</v>
      </c>
      <c r="AL3" s="30" t="s">
        <v>1809</v>
      </c>
      <c r="AM3"/>
      <c r="AO3" s="30" t="s">
        <v>1809</v>
      </c>
      <c r="AP3" s="30" t="s">
        <v>1809</v>
      </c>
      <c r="AQ3" s="30" t="s">
        <v>1809</v>
      </c>
      <c r="AR3" s="30" t="s">
        <v>1809</v>
      </c>
      <c r="AS3" s="30" t="s">
        <v>84</v>
      </c>
      <c r="AT3" s="30" t="s">
        <v>64</v>
      </c>
      <c r="AU3" s="50">
        <v>46214.541666666664</v>
      </c>
      <c r="AV3" s="50">
        <v>46214.59097222222</v>
      </c>
      <c r="AW3" s="50">
        <v>46214.613194444442</v>
      </c>
      <c r="AX3" s="50">
        <v>46214.635416666664</v>
      </c>
      <c r="AY3" s="50">
        <v>46214.688888888886</v>
      </c>
      <c r="AZ3" s="50">
        <v>46214.690972222219</v>
      </c>
      <c r="BA3" s="51">
        <v>46215.4375</v>
      </c>
      <c r="BB3" s="51">
        <v>46215.444444444445</v>
      </c>
      <c r="BC3" s="50">
        <v>46215.447916666664</v>
      </c>
      <c r="BD3" s="50">
        <v>46215.6</v>
      </c>
      <c r="BE3" s="51">
        <v>46215.719444444447</v>
      </c>
      <c r="BF3" s="51">
        <v>46215.726388888892</v>
      </c>
      <c r="BG3" s="51">
        <v>46215.775000000001</v>
      </c>
      <c r="BH3" s="51">
        <v>46215.78125</v>
      </c>
      <c r="BI3" s="30" t="s">
        <v>64</v>
      </c>
      <c r="BJ3" s="50">
        <v>46216.5</v>
      </c>
      <c r="BK3" s="50">
        <v>46216.291666666664</v>
      </c>
      <c r="BL3" s="50">
        <v>46216.327777777777</v>
      </c>
      <c r="BM3" s="50">
        <v>46216.331250000003</v>
      </c>
      <c r="BN3" s="50">
        <v>46216.336805555555</v>
      </c>
      <c r="BR3"/>
      <c r="BS3"/>
      <c r="BT3"/>
      <c r="BU3"/>
      <c r="BV3"/>
      <c r="BW3"/>
      <c r="BX3"/>
      <c r="BY3"/>
    </row>
    <row r="4" spans="1:77">
      <c r="A4" t="s">
        <v>168</v>
      </c>
      <c r="B4" s="30">
        <v>3</v>
      </c>
      <c r="C4" s="30">
        <v>28</v>
      </c>
      <c r="D4" s="30" t="s">
        <v>169</v>
      </c>
      <c r="E4" s="30" t="s">
        <v>170</v>
      </c>
      <c r="F4" s="48">
        <v>46214</v>
      </c>
      <c r="G4" s="48">
        <v>46215</v>
      </c>
      <c r="H4" s="49">
        <v>0.58333333333333337</v>
      </c>
      <c r="I4" s="49">
        <v>0.5</v>
      </c>
      <c r="J4" s="30" t="s">
        <v>53</v>
      </c>
      <c r="K4" s="30" t="s">
        <v>171</v>
      </c>
      <c r="L4" s="30">
        <v>1</v>
      </c>
      <c r="M4" s="30" t="s">
        <v>195</v>
      </c>
      <c r="P4" s="30" t="s">
        <v>174</v>
      </c>
      <c r="Q4" s="30" t="s">
        <v>84</v>
      </c>
      <c r="R4" s="30" t="s">
        <v>1825</v>
      </c>
      <c r="S4" s="30" t="s">
        <v>1823</v>
      </c>
      <c r="T4" s="30" t="s">
        <v>196</v>
      </c>
      <c r="U4" s="30" t="s">
        <v>197</v>
      </c>
      <c r="V4" s="30" t="s">
        <v>198</v>
      </c>
      <c r="X4" s="30" t="s">
        <v>179</v>
      </c>
      <c r="Y4" t="s">
        <v>180</v>
      </c>
      <c r="Z4" s="30" t="s">
        <v>180</v>
      </c>
      <c r="AA4" s="30" t="s">
        <v>181</v>
      </c>
      <c r="AB4" s="30" t="s">
        <v>1813</v>
      </c>
      <c r="AC4" s="30" t="s">
        <v>56</v>
      </c>
      <c r="AD4" s="30" t="s">
        <v>182</v>
      </c>
      <c r="AE4" s="30">
        <v>20609553376</v>
      </c>
      <c r="AF4" s="30" t="s">
        <v>199</v>
      </c>
      <c r="AG4" s="30" t="s">
        <v>200</v>
      </c>
      <c r="AH4" s="30" t="s">
        <v>185</v>
      </c>
      <c r="AI4" s="30" t="s">
        <v>201</v>
      </c>
      <c r="AJ4" s="30" t="s">
        <v>202</v>
      </c>
      <c r="AK4" s="30" t="s">
        <v>1826</v>
      </c>
      <c r="AL4" s="30" t="s">
        <v>1809</v>
      </c>
      <c r="AM4"/>
      <c r="AO4" s="30" t="s">
        <v>1809</v>
      </c>
      <c r="AP4" s="30" t="s">
        <v>1809</v>
      </c>
      <c r="AQ4" s="30" t="s">
        <v>1809</v>
      </c>
      <c r="AR4" s="30" t="s">
        <v>1809</v>
      </c>
      <c r="AS4" s="30" t="s">
        <v>84</v>
      </c>
      <c r="AT4" s="30" t="s">
        <v>64</v>
      </c>
      <c r="AU4" s="50">
        <v>46214.541666666664</v>
      </c>
      <c r="AV4" s="50">
        <v>46214.618750000001</v>
      </c>
      <c r="AW4" s="50">
        <v>46214.686111111114</v>
      </c>
      <c r="AX4" s="50">
        <v>46214.729166666664</v>
      </c>
      <c r="AY4" s="50">
        <v>46214.793055555558</v>
      </c>
      <c r="AZ4" s="50">
        <v>46214.795138888891</v>
      </c>
      <c r="BA4" s="51">
        <v>46215.4375</v>
      </c>
      <c r="BB4" s="51">
        <v>46215.444444444445</v>
      </c>
      <c r="BC4" s="50">
        <v>46215.447916666664</v>
      </c>
      <c r="BD4" s="50">
        <v>46215.568055555559</v>
      </c>
      <c r="BE4" s="51">
        <v>46215.632638888892</v>
      </c>
      <c r="BF4" s="51">
        <v>46215.681250000001</v>
      </c>
      <c r="BG4" s="51">
        <v>46215.771527777775</v>
      </c>
      <c r="BH4" s="51">
        <v>46215.78125</v>
      </c>
      <c r="BI4" s="30" t="s">
        <v>64</v>
      </c>
      <c r="BJ4" s="50">
        <v>46216.5</v>
      </c>
      <c r="BK4" s="50">
        <v>46216.304861111108</v>
      </c>
      <c r="BL4" s="50">
        <v>46216.334722222222</v>
      </c>
      <c r="BM4" s="50">
        <v>46216.338194444441</v>
      </c>
      <c r="BN4" s="50">
        <v>46216.344444444447</v>
      </c>
      <c r="BR4"/>
      <c r="BS4"/>
      <c r="BT4"/>
      <c r="BU4"/>
      <c r="BV4"/>
      <c r="BW4"/>
      <c r="BX4"/>
      <c r="BY4"/>
    </row>
    <row r="5" spans="1:77">
      <c r="A5" t="s">
        <v>168</v>
      </c>
      <c r="B5" s="30">
        <v>4</v>
      </c>
      <c r="C5" s="30">
        <v>28</v>
      </c>
      <c r="D5" s="30" t="s">
        <v>169</v>
      </c>
      <c r="E5" s="30" t="s">
        <v>170</v>
      </c>
      <c r="F5" s="48">
        <v>46215</v>
      </c>
      <c r="G5" s="48">
        <v>46216</v>
      </c>
      <c r="H5" s="49">
        <v>0.5</v>
      </c>
      <c r="I5" s="49">
        <v>0.41666666666666669</v>
      </c>
      <c r="J5" s="30" t="s">
        <v>53</v>
      </c>
      <c r="K5" s="30" t="s">
        <v>171</v>
      </c>
      <c r="L5" s="30">
        <v>1</v>
      </c>
      <c r="M5" s="30" t="s">
        <v>203</v>
      </c>
      <c r="P5" s="30" t="s">
        <v>174</v>
      </c>
      <c r="Q5" s="30" t="s">
        <v>84</v>
      </c>
      <c r="R5" s="30" t="s">
        <v>1822</v>
      </c>
      <c r="S5" s="30" t="s">
        <v>1823</v>
      </c>
      <c r="T5" s="30">
        <v>751600038416</v>
      </c>
      <c r="U5" s="30" t="s">
        <v>204</v>
      </c>
      <c r="V5" s="30" t="s">
        <v>205</v>
      </c>
      <c r="X5" s="30" t="s">
        <v>179</v>
      </c>
      <c r="Y5" t="s">
        <v>180</v>
      </c>
      <c r="Z5" s="30" t="s">
        <v>180</v>
      </c>
      <c r="AA5" s="30" t="s">
        <v>181</v>
      </c>
      <c r="AB5" s="30" t="s">
        <v>1813</v>
      </c>
      <c r="AC5" s="30" t="s">
        <v>56</v>
      </c>
      <c r="AD5" s="30" t="s">
        <v>182</v>
      </c>
      <c r="AE5" s="30">
        <v>20609553376</v>
      </c>
      <c r="AF5" s="30" t="s">
        <v>206</v>
      </c>
      <c r="AG5" s="30" t="s">
        <v>207</v>
      </c>
      <c r="AH5" s="30" t="s">
        <v>185</v>
      </c>
      <c r="AI5" s="30" t="s">
        <v>208</v>
      </c>
      <c r="AJ5" s="30" t="s">
        <v>209</v>
      </c>
      <c r="AK5" s="30" t="s">
        <v>1827</v>
      </c>
      <c r="AL5" s="30" t="s">
        <v>1809</v>
      </c>
      <c r="AM5"/>
      <c r="AO5" s="30" t="s">
        <v>1809</v>
      </c>
      <c r="AP5" s="30" t="s">
        <v>1809</v>
      </c>
      <c r="AQ5" s="30" t="s">
        <v>1809</v>
      </c>
      <c r="AR5" s="30" t="s">
        <v>1809</v>
      </c>
      <c r="AS5" s="30" t="s">
        <v>84</v>
      </c>
      <c r="AT5" s="30" t="s">
        <v>64</v>
      </c>
      <c r="AU5" s="50">
        <v>46215.583333333336</v>
      </c>
      <c r="AV5" s="50">
        <v>46215.570833333331</v>
      </c>
      <c r="AW5" s="50">
        <v>46215.686111111114</v>
      </c>
      <c r="AX5" s="50">
        <v>46215.71875</v>
      </c>
      <c r="AY5" s="50">
        <v>46215.777083333334</v>
      </c>
      <c r="AZ5" s="50">
        <v>46215.78402777778</v>
      </c>
      <c r="BA5" s="51">
        <v>46216.35833333333</v>
      </c>
      <c r="BB5" s="51">
        <v>46216.361805555556</v>
      </c>
      <c r="BC5" s="50">
        <v>46216.493750000001</v>
      </c>
      <c r="BD5" s="50">
        <v>46216.570833333331</v>
      </c>
      <c r="BE5" s="51">
        <v>46216.645833333336</v>
      </c>
      <c r="BF5" s="51">
        <v>46216.677083333336</v>
      </c>
      <c r="BG5" s="51">
        <v>46216.749305555553</v>
      </c>
      <c r="BH5" s="51">
        <v>46216.789583333331</v>
      </c>
      <c r="BI5" s="30" t="s">
        <v>64</v>
      </c>
      <c r="BJ5" s="50">
        <v>46217.333333333336</v>
      </c>
      <c r="BK5" s="50">
        <v>46217.272222222222</v>
      </c>
      <c r="BL5" s="50">
        <v>46217.324999999997</v>
      </c>
      <c r="BM5" s="50">
        <v>46217.328472222223</v>
      </c>
      <c r="BN5" s="50">
        <v>46217.336111111108</v>
      </c>
      <c r="BR5"/>
      <c r="BS5"/>
      <c r="BT5"/>
      <c r="BU5"/>
      <c r="BV5"/>
      <c r="BW5"/>
      <c r="BX5"/>
      <c r="BY5"/>
    </row>
    <row r="6" spans="1:77">
      <c r="A6" t="s">
        <v>168</v>
      </c>
      <c r="B6" s="30">
        <v>5</v>
      </c>
      <c r="C6" s="30">
        <v>28</v>
      </c>
      <c r="D6" s="30" t="s">
        <v>169</v>
      </c>
      <c r="E6" s="30" t="s">
        <v>170</v>
      </c>
      <c r="F6" s="48">
        <v>46215</v>
      </c>
      <c r="G6" s="48">
        <v>46216</v>
      </c>
      <c r="H6" s="49">
        <v>0.45833333333333331</v>
      </c>
      <c r="I6" s="49">
        <v>0.375</v>
      </c>
      <c r="J6" s="30" t="s">
        <v>53</v>
      </c>
      <c r="K6" s="30" t="s">
        <v>171</v>
      </c>
      <c r="L6" s="30">
        <v>1</v>
      </c>
      <c r="M6" s="30" t="s">
        <v>210</v>
      </c>
      <c r="P6" s="30" t="s">
        <v>174</v>
      </c>
      <c r="Q6" s="30" t="s">
        <v>84</v>
      </c>
      <c r="R6" s="30" t="s">
        <v>175</v>
      </c>
      <c r="S6" s="30" t="s">
        <v>391</v>
      </c>
      <c r="T6" s="30">
        <v>6507260680</v>
      </c>
      <c r="U6" s="30" t="s">
        <v>211</v>
      </c>
      <c r="V6" s="30" t="s">
        <v>212</v>
      </c>
      <c r="W6" s="30" t="s">
        <v>213</v>
      </c>
      <c r="X6" s="30" t="s">
        <v>179</v>
      </c>
      <c r="Y6" t="s">
        <v>180</v>
      </c>
      <c r="Z6" s="30" t="s">
        <v>180</v>
      </c>
      <c r="AA6" s="30" t="s">
        <v>181</v>
      </c>
      <c r="AB6" s="30" t="s">
        <v>1813</v>
      </c>
      <c r="AC6" s="30" t="s">
        <v>56</v>
      </c>
      <c r="AD6" s="30" t="s">
        <v>182</v>
      </c>
      <c r="AE6" s="30">
        <v>20609553376</v>
      </c>
      <c r="AF6" s="30" t="s">
        <v>214</v>
      </c>
      <c r="AG6" s="30" t="s">
        <v>215</v>
      </c>
      <c r="AH6" s="30" t="s">
        <v>185</v>
      </c>
      <c r="AI6" s="30" t="s">
        <v>216</v>
      </c>
      <c r="AJ6" s="30" t="s">
        <v>217</v>
      </c>
      <c r="AK6" s="30" t="s">
        <v>1828</v>
      </c>
      <c r="AL6" s="30" t="s">
        <v>1809</v>
      </c>
      <c r="AM6"/>
      <c r="AO6" s="30" t="s">
        <v>1809</v>
      </c>
      <c r="AP6" s="30" t="s">
        <v>1809</v>
      </c>
      <c r="AQ6" s="30" t="s">
        <v>1809</v>
      </c>
      <c r="AR6" s="30" t="s">
        <v>1809</v>
      </c>
      <c r="AS6" s="30" t="s">
        <v>84</v>
      </c>
      <c r="AT6" s="30" t="s">
        <v>64</v>
      </c>
      <c r="AU6" s="50">
        <v>46215.583333333336</v>
      </c>
      <c r="AV6" s="50">
        <v>46215.602777777778</v>
      </c>
      <c r="AW6" s="50">
        <v>46215.612500000003</v>
      </c>
      <c r="AX6" s="50">
        <v>46215.625</v>
      </c>
      <c r="AY6" s="50">
        <v>46215.647916666669</v>
      </c>
      <c r="AZ6" s="50">
        <v>46215.654166666667</v>
      </c>
      <c r="BA6" s="51">
        <v>46216.440972222219</v>
      </c>
      <c r="BB6" s="51">
        <v>46216.447916666664</v>
      </c>
      <c r="BC6" s="50">
        <v>46216.459722222222</v>
      </c>
      <c r="BD6" s="50">
        <v>46216.503472222219</v>
      </c>
      <c r="BE6" s="51">
        <v>46216.541666666664</v>
      </c>
      <c r="BF6" s="51">
        <v>46216.56527777778</v>
      </c>
      <c r="BG6" s="51">
        <v>46216.589583333334</v>
      </c>
      <c r="BH6" s="51">
        <v>46216.665972222225</v>
      </c>
      <c r="BI6" s="30" t="s">
        <v>64</v>
      </c>
      <c r="BJ6" s="50">
        <v>46217.333333333336</v>
      </c>
      <c r="BK6" s="50">
        <v>46217.329861111109</v>
      </c>
      <c r="BL6" s="50">
        <v>46217.375694444447</v>
      </c>
      <c r="BM6" s="50">
        <v>46217.379166666666</v>
      </c>
      <c r="BN6" s="50">
        <v>46217.382638888892</v>
      </c>
      <c r="BR6"/>
      <c r="BS6"/>
      <c r="BT6"/>
      <c r="BU6"/>
      <c r="BV6"/>
      <c r="BW6"/>
      <c r="BX6"/>
      <c r="BY6"/>
    </row>
    <row r="7" spans="1:77">
      <c r="A7" t="s">
        <v>168</v>
      </c>
      <c r="B7" s="30">
        <v>6</v>
      </c>
      <c r="C7" s="30">
        <v>28</v>
      </c>
      <c r="D7" s="30" t="s">
        <v>169</v>
      </c>
      <c r="E7" s="30" t="s">
        <v>170</v>
      </c>
      <c r="F7" s="48">
        <v>46215</v>
      </c>
      <c r="G7" s="48">
        <v>46216</v>
      </c>
      <c r="H7" s="49">
        <v>0.45833333333333331</v>
      </c>
      <c r="I7" s="49">
        <v>0.375</v>
      </c>
      <c r="J7" s="30" t="s">
        <v>53</v>
      </c>
      <c r="K7" s="30" t="s">
        <v>171</v>
      </c>
      <c r="L7" s="30">
        <v>1</v>
      </c>
      <c r="M7" s="30" t="s">
        <v>218</v>
      </c>
      <c r="P7" s="30" t="s">
        <v>174</v>
      </c>
      <c r="Q7" s="30" t="s">
        <v>84</v>
      </c>
      <c r="R7" s="30" t="s">
        <v>1825</v>
      </c>
      <c r="S7" s="30" t="s">
        <v>1823</v>
      </c>
      <c r="T7" s="30">
        <v>6507260600</v>
      </c>
      <c r="U7" s="30" t="s">
        <v>219</v>
      </c>
      <c r="V7" s="30" t="s">
        <v>220</v>
      </c>
      <c r="W7" s="30" t="s">
        <v>221</v>
      </c>
      <c r="X7" s="30" t="s">
        <v>179</v>
      </c>
      <c r="Y7" t="s">
        <v>180</v>
      </c>
      <c r="Z7" s="30" t="s">
        <v>180</v>
      </c>
      <c r="AA7" s="30" t="s">
        <v>181</v>
      </c>
      <c r="AB7" s="30" t="s">
        <v>1813</v>
      </c>
      <c r="AC7" s="30" t="s">
        <v>56</v>
      </c>
      <c r="AD7" s="30" t="s">
        <v>182</v>
      </c>
      <c r="AE7" s="30">
        <v>20609553376</v>
      </c>
      <c r="AF7" s="30" t="s">
        <v>222</v>
      </c>
      <c r="AG7" s="30" t="s">
        <v>223</v>
      </c>
      <c r="AH7" s="30" t="s">
        <v>185</v>
      </c>
      <c r="AI7" s="30" t="s">
        <v>1781</v>
      </c>
      <c r="AJ7" s="30" t="s">
        <v>224</v>
      </c>
      <c r="AK7" s="30" t="s">
        <v>1829</v>
      </c>
      <c r="AL7" s="30" t="s">
        <v>1809</v>
      </c>
      <c r="AM7"/>
      <c r="AO7" s="30" t="s">
        <v>1809</v>
      </c>
      <c r="AP7" s="30" t="s">
        <v>1809</v>
      </c>
      <c r="AQ7" s="30" t="s">
        <v>1809</v>
      </c>
      <c r="AR7" s="30" t="s">
        <v>1809</v>
      </c>
      <c r="AS7" s="30" t="s">
        <v>84</v>
      </c>
      <c r="AT7" s="30" t="s">
        <v>64</v>
      </c>
      <c r="AU7" s="50">
        <v>46215.583333333336</v>
      </c>
      <c r="AV7" s="50">
        <v>46215.602083333331</v>
      </c>
      <c r="AW7" s="50">
        <v>46215.607638888891</v>
      </c>
      <c r="AX7" s="50">
        <v>46215.645138888889</v>
      </c>
      <c r="AY7" s="50">
        <v>46215.645138888889</v>
      </c>
      <c r="AZ7" s="50">
        <v>46215.647222222222</v>
      </c>
      <c r="BA7" s="51">
        <v>46216.434027777781</v>
      </c>
      <c r="BB7" s="51">
        <v>46216.4375</v>
      </c>
      <c r="BC7" s="50">
        <v>46216.459722222222</v>
      </c>
      <c r="BD7" s="50">
        <v>46216.488194444442</v>
      </c>
      <c r="BE7" s="51">
        <v>46216.538888888892</v>
      </c>
      <c r="BF7" s="51">
        <v>46216.563888888886</v>
      </c>
      <c r="BG7" s="51">
        <v>46216.584722222222</v>
      </c>
      <c r="BH7" s="51">
        <v>46216.584722222222</v>
      </c>
      <c r="BI7" s="30" t="s">
        <v>64</v>
      </c>
      <c r="BJ7" s="50">
        <v>46217.333333333336</v>
      </c>
      <c r="BK7" s="50">
        <v>46217.303472222222</v>
      </c>
      <c r="BL7" s="50">
        <v>46217.36041666667</v>
      </c>
      <c r="BM7" s="50">
        <v>46217.363888888889</v>
      </c>
      <c r="BN7" s="50">
        <v>46217.375694444447</v>
      </c>
      <c r="BR7"/>
      <c r="BS7"/>
      <c r="BT7"/>
      <c r="BU7"/>
      <c r="BV7"/>
      <c r="BW7"/>
      <c r="BX7"/>
      <c r="BY7"/>
    </row>
    <row r="8" spans="1:77">
      <c r="A8" t="s">
        <v>168</v>
      </c>
      <c r="B8" s="30">
        <v>7</v>
      </c>
      <c r="C8" s="30">
        <v>28</v>
      </c>
      <c r="D8" s="30" t="s">
        <v>169</v>
      </c>
      <c r="E8" s="30" t="s">
        <v>170</v>
      </c>
      <c r="F8" s="48">
        <v>46215</v>
      </c>
      <c r="G8" s="48">
        <v>46216</v>
      </c>
      <c r="H8" s="49">
        <v>0.5</v>
      </c>
      <c r="I8" s="49">
        <v>0.41666666666666669</v>
      </c>
      <c r="J8" s="30" t="s">
        <v>53</v>
      </c>
      <c r="K8" s="30" t="s">
        <v>171</v>
      </c>
      <c r="L8" s="30">
        <v>1</v>
      </c>
      <c r="M8" s="30" t="s">
        <v>225</v>
      </c>
      <c r="P8" s="30" t="s">
        <v>174</v>
      </c>
      <c r="Q8" s="30" t="s">
        <v>84</v>
      </c>
      <c r="R8" s="30" t="s">
        <v>1825</v>
      </c>
      <c r="S8" s="30" t="s">
        <v>1823</v>
      </c>
      <c r="T8" s="30">
        <v>751600038386</v>
      </c>
      <c r="U8" s="30" t="s">
        <v>226</v>
      </c>
      <c r="V8" s="30" t="s">
        <v>227</v>
      </c>
      <c r="X8" s="30" t="s">
        <v>179</v>
      </c>
      <c r="Y8" t="s">
        <v>180</v>
      </c>
      <c r="Z8" s="30" t="s">
        <v>180</v>
      </c>
      <c r="AA8" s="30" t="s">
        <v>181</v>
      </c>
      <c r="AB8" s="30" t="s">
        <v>1813</v>
      </c>
      <c r="AC8" s="30" t="s">
        <v>56</v>
      </c>
      <c r="AD8" s="30" t="s">
        <v>182</v>
      </c>
      <c r="AE8" s="30">
        <v>20609553376</v>
      </c>
      <c r="AF8" s="30" t="s">
        <v>228</v>
      </c>
      <c r="AG8" s="30" t="s">
        <v>229</v>
      </c>
      <c r="AH8" s="30" t="s">
        <v>185</v>
      </c>
      <c r="AI8" s="30" t="s">
        <v>1782</v>
      </c>
      <c r="AJ8" s="30" t="s">
        <v>230</v>
      </c>
      <c r="AK8" s="30" t="s">
        <v>1830</v>
      </c>
      <c r="AL8" s="30" t="s">
        <v>1809</v>
      </c>
      <c r="AM8"/>
      <c r="AO8" s="30" t="s">
        <v>1809</v>
      </c>
      <c r="AP8" s="30" t="s">
        <v>1809</v>
      </c>
      <c r="AQ8" s="30" t="s">
        <v>1809</v>
      </c>
      <c r="AR8" s="30" t="s">
        <v>1809</v>
      </c>
      <c r="AS8" s="30" t="s">
        <v>84</v>
      </c>
      <c r="AT8" s="30" t="s">
        <v>64</v>
      </c>
      <c r="AU8" s="50">
        <v>46215.583333333336</v>
      </c>
      <c r="AV8" s="50">
        <v>46215.697916666664</v>
      </c>
      <c r="AW8" s="50">
        <v>46215.763888888891</v>
      </c>
      <c r="AX8" s="50">
        <v>46215.833333333336</v>
      </c>
      <c r="AY8" s="50">
        <v>46215.887499999997</v>
      </c>
      <c r="AZ8" s="50">
        <v>46215.89166666667</v>
      </c>
      <c r="BA8" s="51">
        <v>46216.51458333333</v>
      </c>
      <c r="BB8" s="51">
        <v>46216.518055555556</v>
      </c>
      <c r="BC8" s="50">
        <v>46216.520138888889</v>
      </c>
      <c r="BD8" s="50">
        <v>46216.615972222222</v>
      </c>
      <c r="BE8" s="51">
        <v>46216.727083333331</v>
      </c>
      <c r="BF8" s="51">
        <v>46216.75</v>
      </c>
      <c r="BG8" s="51">
        <v>46216.774305555555</v>
      </c>
      <c r="BH8" s="51">
        <v>46216.796527777777</v>
      </c>
      <c r="BI8" s="30" t="s">
        <v>64</v>
      </c>
      <c r="BJ8" s="50">
        <v>46217.416666666664</v>
      </c>
      <c r="BK8" s="50">
        <v>46217.512499999997</v>
      </c>
      <c r="BL8" s="50">
        <v>46217.556944444441</v>
      </c>
      <c r="BM8" s="50">
        <v>46217.560416666667</v>
      </c>
      <c r="BN8" s="50">
        <v>46217.568055555559</v>
      </c>
      <c r="BR8"/>
      <c r="BS8"/>
      <c r="BT8"/>
      <c r="BU8"/>
      <c r="BV8"/>
      <c r="BW8"/>
      <c r="BX8"/>
      <c r="BY8"/>
    </row>
    <row r="9" spans="1:77">
      <c r="A9" t="s">
        <v>168</v>
      </c>
      <c r="B9" s="30">
        <v>8</v>
      </c>
      <c r="C9" s="30">
        <v>29</v>
      </c>
      <c r="D9" s="30" t="s">
        <v>169</v>
      </c>
      <c r="E9" s="30" t="s">
        <v>170</v>
      </c>
      <c r="F9" s="48">
        <v>46218</v>
      </c>
      <c r="G9" s="48">
        <v>46219</v>
      </c>
      <c r="H9" s="49">
        <v>0.58333333333333337</v>
      </c>
      <c r="I9" s="49">
        <v>0.5</v>
      </c>
      <c r="J9" s="30" t="s">
        <v>53</v>
      </c>
      <c r="K9" s="30" t="s">
        <v>171</v>
      </c>
      <c r="L9" s="30">
        <v>1</v>
      </c>
      <c r="M9" s="30" t="s">
        <v>231</v>
      </c>
      <c r="P9" s="30" t="s">
        <v>174</v>
      </c>
      <c r="Q9" s="30" t="s">
        <v>83</v>
      </c>
      <c r="R9" s="30" t="s">
        <v>939</v>
      </c>
      <c r="S9" s="30" t="s">
        <v>391</v>
      </c>
      <c r="T9" s="30">
        <v>6508149830</v>
      </c>
      <c r="U9" s="30" t="s">
        <v>232</v>
      </c>
      <c r="V9" s="30" t="s">
        <v>233</v>
      </c>
      <c r="W9" s="30" t="s">
        <v>234</v>
      </c>
      <c r="X9" s="30" t="s">
        <v>179</v>
      </c>
      <c r="Y9" t="s">
        <v>180</v>
      </c>
      <c r="Z9" s="30" t="s">
        <v>180</v>
      </c>
      <c r="AA9" s="30" t="s">
        <v>181</v>
      </c>
      <c r="AB9" s="30" t="s">
        <v>1813</v>
      </c>
      <c r="AC9" s="30" t="s">
        <v>92</v>
      </c>
      <c r="AD9" s="30" t="s">
        <v>235</v>
      </c>
      <c r="AE9" s="30">
        <v>20610002669</v>
      </c>
      <c r="AF9" s="30" t="s">
        <v>236</v>
      </c>
      <c r="AG9" s="30" t="s">
        <v>237</v>
      </c>
      <c r="AH9" s="30" t="s">
        <v>185</v>
      </c>
      <c r="AI9" s="30" t="s">
        <v>238</v>
      </c>
      <c r="AJ9" s="30" t="s">
        <v>239</v>
      </c>
      <c r="AK9" s="30" t="s">
        <v>1831</v>
      </c>
      <c r="AL9" s="30" t="s">
        <v>1809</v>
      </c>
      <c r="AM9"/>
      <c r="AO9" s="30" t="s">
        <v>1809</v>
      </c>
      <c r="AP9" s="30" t="s">
        <v>1809</v>
      </c>
      <c r="AQ9" s="30" t="s">
        <v>1809</v>
      </c>
      <c r="AR9" s="30" t="s">
        <v>1809</v>
      </c>
      <c r="AS9" s="30" t="s">
        <v>83</v>
      </c>
      <c r="AT9" s="30" t="s">
        <v>240</v>
      </c>
      <c r="AU9" s="50">
        <v>46218.75</v>
      </c>
      <c r="AV9" s="50">
        <v>46218.886111111111</v>
      </c>
      <c r="AW9" s="50">
        <v>46218.911805555559</v>
      </c>
      <c r="AX9" s="50">
        <v>46218.916666666664</v>
      </c>
      <c r="AY9" s="50">
        <v>46218.976388888892</v>
      </c>
      <c r="AZ9" s="50">
        <v>46218.977777777778</v>
      </c>
      <c r="BA9" s="51">
        <v>46219.604166666664</v>
      </c>
      <c r="BB9" s="51">
        <v>46219.607638888891</v>
      </c>
      <c r="BC9" s="50">
        <v>46219.611111111109</v>
      </c>
      <c r="BD9" s="50">
        <v>46219.634027777778</v>
      </c>
      <c r="BE9" s="51">
        <v>46219.691666666666</v>
      </c>
      <c r="BF9" s="51">
        <v>46219.707638888889</v>
      </c>
      <c r="BG9" s="51">
        <v>46219.725694444445</v>
      </c>
      <c r="BH9" s="51">
        <v>46219.75</v>
      </c>
      <c r="BI9" s="30" t="s">
        <v>240</v>
      </c>
      <c r="BJ9" s="50">
        <v>46220</v>
      </c>
      <c r="BK9" s="50">
        <v>46220.415277777778</v>
      </c>
      <c r="BL9" s="50">
        <v>46220.422222222223</v>
      </c>
      <c r="BM9" s="50">
        <v>46220.427083333336</v>
      </c>
      <c r="BN9" s="50">
        <v>46220.442361111112</v>
      </c>
      <c r="BR9"/>
      <c r="BS9"/>
      <c r="BT9"/>
      <c r="BU9"/>
      <c r="BV9"/>
      <c r="BW9"/>
      <c r="BX9"/>
      <c r="BY9"/>
    </row>
    <row r="10" spans="1:77">
      <c r="A10" t="s">
        <v>168</v>
      </c>
      <c r="B10" s="30">
        <v>9</v>
      </c>
      <c r="C10" s="30">
        <v>29</v>
      </c>
      <c r="D10" s="30" t="s">
        <v>169</v>
      </c>
      <c r="E10" s="30" t="s">
        <v>170</v>
      </c>
      <c r="F10" s="48">
        <v>46218</v>
      </c>
      <c r="G10" s="48">
        <v>46219</v>
      </c>
      <c r="H10" s="49">
        <v>0.58333333333333337</v>
      </c>
      <c r="I10" s="49">
        <v>0.5</v>
      </c>
      <c r="J10" s="30" t="s">
        <v>53</v>
      </c>
      <c r="K10" s="30" t="s">
        <v>171</v>
      </c>
      <c r="L10" s="30">
        <v>1</v>
      </c>
      <c r="M10" s="30" t="s">
        <v>241</v>
      </c>
      <c r="P10" s="30" t="s">
        <v>174</v>
      </c>
      <c r="Q10" s="30" t="s">
        <v>84</v>
      </c>
      <c r="R10" s="30" t="s">
        <v>1490</v>
      </c>
      <c r="S10" s="30" t="s">
        <v>1832</v>
      </c>
      <c r="T10" s="30">
        <v>274341519</v>
      </c>
      <c r="U10" s="30" t="s">
        <v>242</v>
      </c>
      <c r="W10" s="30" t="s">
        <v>243</v>
      </c>
      <c r="X10" s="30" t="s">
        <v>179</v>
      </c>
      <c r="Y10" t="s">
        <v>180</v>
      </c>
      <c r="Z10" s="30" t="s">
        <v>180</v>
      </c>
      <c r="AA10" s="30" t="s">
        <v>181</v>
      </c>
      <c r="AB10" s="30" t="s">
        <v>1813</v>
      </c>
      <c r="AC10" s="30" t="s">
        <v>92</v>
      </c>
      <c r="AD10" s="30" t="s">
        <v>244</v>
      </c>
      <c r="AE10" s="30">
        <v>20600489535</v>
      </c>
      <c r="AF10" s="30" t="s">
        <v>1783</v>
      </c>
      <c r="AG10" s="30" t="s">
        <v>1784</v>
      </c>
      <c r="AH10" s="30" t="s">
        <v>185</v>
      </c>
      <c r="AI10" s="30" t="s">
        <v>245</v>
      </c>
      <c r="AJ10" s="30" t="s">
        <v>246</v>
      </c>
      <c r="AK10" s="30" t="s">
        <v>1833</v>
      </c>
      <c r="AL10" s="30" t="s">
        <v>1809</v>
      </c>
      <c r="AM10"/>
      <c r="AO10" s="30" t="s">
        <v>1809</v>
      </c>
      <c r="AP10" s="30" t="s">
        <v>1809</v>
      </c>
      <c r="AQ10" s="30" t="s">
        <v>1809</v>
      </c>
      <c r="AR10" s="30" t="s">
        <v>1809</v>
      </c>
      <c r="AS10" s="30" t="s">
        <v>84</v>
      </c>
      <c r="AT10" s="30" t="s">
        <v>64</v>
      </c>
      <c r="AU10" s="50">
        <v>46218.791666666664</v>
      </c>
      <c r="AV10" s="50">
        <v>46218.765972222223</v>
      </c>
      <c r="AW10" s="50">
        <v>46218.8125</v>
      </c>
      <c r="AX10" s="50">
        <v>46218.819444444445</v>
      </c>
      <c r="AY10" s="50">
        <v>46218.830555555556</v>
      </c>
      <c r="AZ10" s="50">
        <v>46218.834027777775</v>
      </c>
      <c r="BA10" s="51">
        <v>46219.609722222223</v>
      </c>
      <c r="BB10" s="51">
        <v>46219.61041666667</v>
      </c>
      <c r="BC10" s="50">
        <v>46219.611111111109</v>
      </c>
      <c r="BD10" s="50">
        <v>46219.625</v>
      </c>
      <c r="BE10" s="51">
        <v>46219.675694444442</v>
      </c>
      <c r="BF10" s="51">
        <v>46219.6875</v>
      </c>
      <c r="BG10" s="51">
        <v>46219.7</v>
      </c>
      <c r="BH10" s="51">
        <v>46219.711805555555</v>
      </c>
      <c r="BI10" s="30" t="s">
        <v>64</v>
      </c>
      <c r="BJ10" s="50">
        <v>46220.583333333336</v>
      </c>
      <c r="BK10" s="50">
        <v>46220.541666666664</v>
      </c>
      <c r="BL10" s="50">
        <v>46220.548611111109</v>
      </c>
      <c r="BM10" s="50">
        <v>46220.556944444441</v>
      </c>
      <c r="BN10" s="50">
        <v>46220.591666666667</v>
      </c>
      <c r="BR10"/>
      <c r="BS10"/>
      <c r="BT10"/>
      <c r="BU10"/>
      <c r="BV10"/>
      <c r="BW10"/>
      <c r="BX10"/>
      <c r="BY10"/>
    </row>
    <row r="11" spans="1:77">
      <c r="A11" t="s">
        <v>168</v>
      </c>
      <c r="B11" s="30">
        <v>10</v>
      </c>
      <c r="C11" s="30">
        <v>30</v>
      </c>
      <c r="D11" s="30" t="s">
        <v>169</v>
      </c>
      <c r="E11" s="30" t="s">
        <v>170</v>
      </c>
      <c r="F11" s="48">
        <v>46225</v>
      </c>
      <c r="G11" s="48">
        <v>46226</v>
      </c>
      <c r="H11" s="49">
        <v>0.625</v>
      </c>
      <c r="I11" s="49">
        <v>0.54166666666666663</v>
      </c>
      <c r="J11" s="30" t="s">
        <v>53</v>
      </c>
      <c r="K11" s="30" t="s">
        <v>171</v>
      </c>
      <c r="L11" s="30">
        <v>1</v>
      </c>
      <c r="M11" s="30" t="s">
        <v>247</v>
      </c>
      <c r="P11" s="30" t="s">
        <v>174</v>
      </c>
      <c r="Q11" s="30" t="s">
        <v>84</v>
      </c>
      <c r="R11" s="30" t="s">
        <v>939</v>
      </c>
      <c r="S11" s="30" t="s">
        <v>1834</v>
      </c>
      <c r="T11" s="30" t="s">
        <v>248</v>
      </c>
      <c r="U11" s="30" t="s">
        <v>249</v>
      </c>
      <c r="V11" s="30">
        <v>485064</v>
      </c>
      <c r="W11" s="30" t="s">
        <v>250</v>
      </c>
      <c r="X11" s="30" t="s">
        <v>179</v>
      </c>
      <c r="Y11" t="s">
        <v>180</v>
      </c>
      <c r="Z11" s="30" t="s">
        <v>180</v>
      </c>
      <c r="AA11" s="30" t="s">
        <v>181</v>
      </c>
      <c r="AB11" s="30" t="s">
        <v>1813</v>
      </c>
      <c r="AC11" s="30" t="s">
        <v>92</v>
      </c>
      <c r="AD11" s="30" t="s">
        <v>235</v>
      </c>
      <c r="AE11" s="30">
        <v>20610002669</v>
      </c>
      <c r="AF11" s="30" t="s">
        <v>251</v>
      </c>
      <c r="AG11" s="30" t="s">
        <v>252</v>
      </c>
      <c r="AH11" s="30" t="s">
        <v>185</v>
      </c>
      <c r="AI11" s="30" t="s">
        <v>238</v>
      </c>
      <c r="AJ11" s="30" t="s">
        <v>239</v>
      </c>
      <c r="AK11" s="30" t="s">
        <v>1831</v>
      </c>
      <c r="AL11" s="30" t="s">
        <v>1809</v>
      </c>
      <c r="AM11"/>
      <c r="AO11" s="30" t="s">
        <v>1809</v>
      </c>
      <c r="AP11" s="30" t="s">
        <v>1809</v>
      </c>
      <c r="AQ11" s="30" t="s">
        <v>1809</v>
      </c>
      <c r="AR11" s="30" t="s">
        <v>1809</v>
      </c>
      <c r="AS11" s="30" t="s">
        <v>84</v>
      </c>
      <c r="AT11" s="30" t="s">
        <v>253</v>
      </c>
      <c r="AU11" s="50">
        <v>46225.666666666664</v>
      </c>
      <c r="AV11" s="50">
        <v>46225.65625</v>
      </c>
      <c r="AW11" s="50">
        <v>46225.691666666666</v>
      </c>
      <c r="AX11" s="50">
        <v>46225.708333333336</v>
      </c>
      <c r="AY11" s="50">
        <v>46225.854166666664</v>
      </c>
      <c r="AZ11" s="50">
        <v>46225.857638888891</v>
      </c>
      <c r="BA11" s="51">
        <v>46226.515972222223</v>
      </c>
      <c r="BB11" s="51">
        <v>46226.519444444442</v>
      </c>
      <c r="BC11" s="50">
        <v>46226.552083333336</v>
      </c>
      <c r="BD11" s="50">
        <v>46226.648611111108</v>
      </c>
      <c r="BE11" s="51">
        <v>46226.70208333333</v>
      </c>
      <c r="BF11" s="51">
        <v>46226.726388888892</v>
      </c>
      <c r="BG11" s="51">
        <v>46226.738194444442</v>
      </c>
      <c r="BH11" s="51">
        <v>46226.748611111114</v>
      </c>
      <c r="BI11" s="30" t="s">
        <v>64</v>
      </c>
      <c r="BJ11" s="50">
        <v>46227.75</v>
      </c>
      <c r="BK11" s="50">
        <v>46227.695138888892</v>
      </c>
      <c r="BL11" s="50">
        <v>46227.720833333333</v>
      </c>
      <c r="BM11" s="50">
        <v>46227.726388888892</v>
      </c>
      <c r="BN11" s="50">
        <v>46227.743055555555</v>
      </c>
      <c r="BR11"/>
      <c r="BS11"/>
      <c r="BT11"/>
      <c r="BU11"/>
      <c r="BV11"/>
      <c r="BW11"/>
      <c r="BX11"/>
      <c r="BY11"/>
    </row>
    <row r="12" spans="1:77">
      <c r="A12" t="s">
        <v>168</v>
      </c>
      <c r="B12" s="30">
        <v>11</v>
      </c>
      <c r="C12" s="30">
        <v>30</v>
      </c>
      <c r="D12" s="30" t="s">
        <v>169</v>
      </c>
      <c r="E12" s="30" t="s">
        <v>170</v>
      </c>
      <c r="F12" s="48">
        <v>46225</v>
      </c>
      <c r="G12" s="48">
        <v>46226</v>
      </c>
      <c r="H12" s="49">
        <v>0.58333333333333337</v>
      </c>
      <c r="I12" s="49">
        <v>0.5</v>
      </c>
      <c r="J12" s="30" t="s">
        <v>53</v>
      </c>
      <c r="K12" s="30" t="s">
        <v>171</v>
      </c>
      <c r="L12" s="30">
        <v>1</v>
      </c>
      <c r="M12" s="30" t="s">
        <v>254</v>
      </c>
      <c r="P12" s="30" t="s">
        <v>174</v>
      </c>
      <c r="Q12" s="30" t="s">
        <v>84</v>
      </c>
      <c r="R12" s="30" t="s">
        <v>939</v>
      </c>
      <c r="S12" s="30" t="s">
        <v>1834</v>
      </c>
      <c r="T12" s="30" t="s">
        <v>255</v>
      </c>
      <c r="U12" s="30" t="s">
        <v>256</v>
      </c>
      <c r="V12" s="30">
        <v>485010</v>
      </c>
      <c r="W12" s="30" t="s">
        <v>257</v>
      </c>
      <c r="X12" s="30" t="s">
        <v>179</v>
      </c>
      <c r="Y12" t="s">
        <v>180</v>
      </c>
      <c r="Z12" s="30" t="s">
        <v>180</v>
      </c>
      <c r="AA12" s="30" t="s">
        <v>181</v>
      </c>
      <c r="AB12" s="30" t="s">
        <v>1813</v>
      </c>
      <c r="AC12" s="30" t="s">
        <v>92</v>
      </c>
      <c r="AD12" s="30" t="s">
        <v>258</v>
      </c>
      <c r="AE12" s="30">
        <v>20609311780</v>
      </c>
      <c r="AF12" s="30" t="s">
        <v>1785</v>
      </c>
      <c r="AG12" s="30" t="s">
        <v>1786</v>
      </c>
      <c r="AH12" s="30" t="s">
        <v>185</v>
      </c>
      <c r="AI12" s="30" t="s">
        <v>1787</v>
      </c>
      <c r="AJ12" s="30" t="s">
        <v>259</v>
      </c>
      <c r="AK12" s="30" t="s">
        <v>1835</v>
      </c>
      <c r="AL12" s="30" t="s">
        <v>1809</v>
      </c>
      <c r="AM12"/>
      <c r="AO12" s="30" t="s">
        <v>1809</v>
      </c>
      <c r="AP12" s="30" t="s">
        <v>1809</v>
      </c>
      <c r="AQ12" s="30" t="s">
        <v>1809</v>
      </c>
      <c r="AR12" s="30" t="s">
        <v>1809</v>
      </c>
      <c r="AS12" s="30" t="s">
        <v>84</v>
      </c>
      <c r="AT12" s="30" t="s">
        <v>253</v>
      </c>
      <c r="AU12" s="50">
        <v>46225.666666666664</v>
      </c>
      <c r="AV12" s="50">
        <v>46225.645833333336</v>
      </c>
      <c r="AW12" s="50">
        <v>46225.666666666664</v>
      </c>
      <c r="AX12" s="50">
        <v>46225.695833333331</v>
      </c>
      <c r="AY12" s="50">
        <v>46225.745833333334</v>
      </c>
      <c r="AZ12" s="50">
        <v>46225.75</v>
      </c>
      <c r="BA12" s="51">
        <v>46226.54791666667</v>
      </c>
      <c r="BB12" s="51">
        <v>46226.551388888889</v>
      </c>
      <c r="BC12" s="50">
        <v>46226.576388888891</v>
      </c>
      <c r="BD12" s="50">
        <v>46226.667361111111</v>
      </c>
      <c r="BE12" s="51">
        <v>46226.713888888888</v>
      </c>
      <c r="BF12" s="51">
        <v>46226.731944444444</v>
      </c>
      <c r="BG12" s="51">
        <v>46226.750694444447</v>
      </c>
      <c r="BH12" s="51">
        <v>46226.768055555556</v>
      </c>
      <c r="BI12" s="30" t="s">
        <v>64</v>
      </c>
      <c r="BJ12" s="50">
        <v>46227.708333333336</v>
      </c>
      <c r="BK12" s="50">
        <v>46227.638888888891</v>
      </c>
      <c r="BL12" s="50">
        <v>46227.690972222219</v>
      </c>
      <c r="BM12" s="50">
        <v>46227.7</v>
      </c>
      <c r="BN12" s="50">
        <v>46230.709722222222</v>
      </c>
      <c r="BR12"/>
      <c r="BS12"/>
      <c r="BT12"/>
      <c r="BU12"/>
      <c r="BV12"/>
      <c r="BW12"/>
      <c r="BX12"/>
      <c r="BY12"/>
    </row>
    <row r="13" spans="1:77">
      <c r="A13" t="s">
        <v>168</v>
      </c>
      <c r="B13" s="30">
        <v>12</v>
      </c>
      <c r="C13" s="30">
        <v>30</v>
      </c>
      <c r="D13" s="30" t="s">
        <v>169</v>
      </c>
      <c r="E13" s="30" t="s">
        <v>170</v>
      </c>
      <c r="F13" s="48">
        <v>46226</v>
      </c>
      <c r="G13" s="48">
        <v>46226</v>
      </c>
      <c r="H13" s="49">
        <v>0.66666666666666663</v>
      </c>
      <c r="I13" s="49">
        <v>0.58333333333333337</v>
      </c>
      <c r="J13" s="30" t="s">
        <v>53</v>
      </c>
      <c r="K13" s="30" t="s">
        <v>171</v>
      </c>
      <c r="L13" s="30">
        <v>1</v>
      </c>
      <c r="M13" s="30" t="s">
        <v>260</v>
      </c>
      <c r="P13" s="30" t="s">
        <v>174</v>
      </c>
      <c r="Q13" s="30" t="s">
        <v>83</v>
      </c>
      <c r="R13" s="30" t="s">
        <v>939</v>
      </c>
      <c r="S13" s="30" t="s">
        <v>391</v>
      </c>
      <c r="T13" s="30">
        <v>6508866520</v>
      </c>
      <c r="U13" s="30" t="s">
        <v>261</v>
      </c>
      <c r="V13" s="30">
        <v>23027</v>
      </c>
      <c r="W13" s="30">
        <v>32984747</v>
      </c>
      <c r="X13" s="30" t="s">
        <v>179</v>
      </c>
      <c r="Y13" t="s">
        <v>180</v>
      </c>
      <c r="Z13" s="30" t="s">
        <v>180</v>
      </c>
      <c r="AA13" s="30" t="s">
        <v>181</v>
      </c>
      <c r="AB13" s="30" t="s">
        <v>1813</v>
      </c>
      <c r="AC13" s="30" t="s">
        <v>56</v>
      </c>
      <c r="AD13" s="30" t="s">
        <v>182</v>
      </c>
      <c r="AE13" s="30">
        <v>20609553376</v>
      </c>
      <c r="AF13" s="30" t="s">
        <v>262</v>
      </c>
      <c r="AG13" s="30" t="s">
        <v>263</v>
      </c>
      <c r="AH13" s="30" t="s">
        <v>185</v>
      </c>
      <c r="AI13" s="30" t="s">
        <v>264</v>
      </c>
      <c r="AJ13" s="30" t="s">
        <v>265</v>
      </c>
      <c r="AK13" s="30" t="s">
        <v>1836</v>
      </c>
      <c r="AL13" s="30" t="s">
        <v>1809</v>
      </c>
      <c r="AM13"/>
      <c r="AO13" s="30" t="s">
        <v>1809</v>
      </c>
      <c r="AP13" s="30" t="s">
        <v>1809</v>
      </c>
      <c r="AQ13" s="30" t="s">
        <v>1809</v>
      </c>
      <c r="AR13" s="30" t="s">
        <v>1809</v>
      </c>
      <c r="AS13" s="30" t="s">
        <v>83</v>
      </c>
      <c r="AT13" s="30" t="s">
        <v>240</v>
      </c>
      <c r="AU13" s="50">
        <v>46226.041666666664</v>
      </c>
      <c r="AV13" s="50">
        <v>46226.027777777781</v>
      </c>
      <c r="AW13" s="50">
        <v>46226.033333333333</v>
      </c>
      <c r="AX13" s="50">
        <v>46226.048611111109</v>
      </c>
      <c r="AY13" s="50">
        <v>46226.09652777778</v>
      </c>
      <c r="AZ13" s="50">
        <v>46226.101388888892</v>
      </c>
      <c r="BA13" s="51">
        <v>46226.59097222222</v>
      </c>
      <c r="BB13" s="51">
        <v>46226.594444444447</v>
      </c>
      <c r="BC13" s="50">
        <v>46226.606944444444</v>
      </c>
      <c r="BD13" s="50">
        <v>46226.665972222225</v>
      </c>
      <c r="BE13" s="51">
        <v>46226.726388888892</v>
      </c>
      <c r="BF13" s="51">
        <v>46226.734027777777</v>
      </c>
      <c r="BG13" s="51">
        <v>46226.741666666669</v>
      </c>
      <c r="BH13" s="51">
        <v>46226.772222222222</v>
      </c>
      <c r="BI13" s="30" t="s">
        <v>240</v>
      </c>
      <c r="BJ13" s="50">
        <v>46227</v>
      </c>
      <c r="BK13" s="50">
        <v>46227.356944444444</v>
      </c>
      <c r="BL13" s="50">
        <v>46227.366666666669</v>
      </c>
      <c r="BM13" s="50">
        <v>46227.376388888886</v>
      </c>
      <c r="BN13" s="50">
        <v>46227.386111111111</v>
      </c>
      <c r="BR13"/>
      <c r="BS13"/>
      <c r="BT13"/>
      <c r="BU13"/>
      <c r="BV13"/>
      <c r="BW13"/>
      <c r="BX13"/>
      <c r="BY13"/>
    </row>
    <row r="14" spans="1:77">
      <c r="A14" t="s">
        <v>168</v>
      </c>
      <c r="B14" s="30">
        <v>13</v>
      </c>
      <c r="C14" s="30">
        <v>30</v>
      </c>
      <c r="D14" s="30" t="s">
        <v>169</v>
      </c>
      <c r="E14" s="30" t="s">
        <v>170</v>
      </c>
      <c r="F14" s="48">
        <v>46226</v>
      </c>
      <c r="G14" s="48">
        <v>46226</v>
      </c>
      <c r="H14" s="49">
        <v>0.66666666666666663</v>
      </c>
      <c r="I14" s="49">
        <v>0.58333333333333337</v>
      </c>
      <c r="J14" s="30" t="s">
        <v>53</v>
      </c>
      <c r="K14" s="30" t="s">
        <v>171</v>
      </c>
      <c r="L14" s="30">
        <v>1</v>
      </c>
      <c r="M14" s="30" t="s">
        <v>266</v>
      </c>
      <c r="P14" s="30" t="s">
        <v>174</v>
      </c>
      <c r="Q14" s="30" t="s">
        <v>83</v>
      </c>
      <c r="R14" s="30" t="s">
        <v>939</v>
      </c>
      <c r="S14" s="30" t="s">
        <v>391</v>
      </c>
      <c r="T14" s="30">
        <v>6508866560</v>
      </c>
      <c r="U14" s="30" t="s">
        <v>267</v>
      </c>
      <c r="V14" s="30">
        <v>23028</v>
      </c>
      <c r="W14" s="30">
        <v>32984748</v>
      </c>
      <c r="X14" s="30" t="s">
        <v>179</v>
      </c>
      <c r="Y14" t="s">
        <v>180</v>
      </c>
      <c r="Z14" s="30" t="s">
        <v>180</v>
      </c>
      <c r="AA14" s="30" t="s">
        <v>181</v>
      </c>
      <c r="AB14" s="30" t="s">
        <v>1813</v>
      </c>
      <c r="AC14" s="30" t="s">
        <v>56</v>
      </c>
      <c r="AD14" s="30" t="s">
        <v>182</v>
      </c>
      <c r="AE14" s="30">
        <v>20609553376</v>
      </c>
      <c r="AF14" s="30" t="s">
        <v>183</v>
      </c>
      <c r="AG14" s="30" t="s">
        <v>184</v>
      </c>
      <c r="AH14" s="30" t="s">
        <v>185</v>
      </c>
      <c r="AI14" s="30" t="s">
        <v>186</v>
      </c>
      <c r="AJ14" s="30" t="s">
        <v>187</v>
      </c>
      <c r="AK14" s="30" t="s">
        <v>1821</v>
      </c>
      <c r="AL14" s="30" t="s">
        <v>1809</v>
      </c>
      <c r="AM14"/>
      <c r="AO14" s="30" t="s">
        <v>1809</v>
      </c>
      <c r="AP14" s="30" t="s">
        <v>1809</v>
      </c>
      <c r="AQ14" s="30" t="s">
        <v>1809</v>
      </c>
      <c r="AR14" s="30" t="s">
        <v>1809</v>
      </c>
      <c r="AS14" s="30" t="s">
        <v>83</v>
      </c>
      <c r="AT14" s="30" t="s">
        <v>240</v>
      </c>
      <c r="AU14" s="50">
        <v>46226.041666666664</v>
      </c>
      <c r="AV14" s="50">
        <v>46226.02847222222</v>
      </c>
      <c r="AW14" s="50">
        <v>46226.033333333333</v>
      </c>
      <c r="AX14" s="50">
        <v>46226.052083333336</v>
      </c>
      <c r="AY14" s="50">
        <v>46226.095833333333</v>
      </c>
      <c r="AZ14" s="50">
        <v>46226.097222222219</v>
      </c>
      <c r="BA14" s="51">
        <v>46226.59097222222</v>
      </c>
      <c r="BB14" s="51">
        <v>46226.595138888886</v>
      </c>
      <c r="BC14" s="50">
        <v>46226.614583333336</v>
      </c>
      <c r="BD14" s="50">
        <v>46226.643055555556</v>
      </c>
      <c r="BE14" s="51">
        <v>46226.677083333336</v>
      </c>
      <c r="BF14" s="51">
        <v>46226.688888888886</v>
      </c>
      <c r="BG14" s="51">
        <v>46226.6875</v>
      </c>
      <c r="BH14" s="51">
        <v>46226.741666666669</v>
      </c>
      <c r="BI14" s="30" t="s">
        <v>240</v>
      </c>
      <c r="BJ14" s="50">
        <v>46227</v>
      </c>
      <c r="BK14" s="50">
        <v>46227.367361111108</v>
      </c>
      <c r="BL14" s="50">
        <v>46227.382638888892</v>
      </c>
      <c r="BM14" s="50">
        <v>46227.386111111111</v>
      </c>
      <c r="BN14" s="50">
        <v>46227.390972222223</v>
      </c>
      <c r="BR14"/>
      <c r="BS14"/>
      <c r="BT14"/>
      <c r="BU14"/>
      <c r="BV14"/>
      <c r="BW14"/>
      <c r="BX14"/>
      <c r="BY14"/>
    </row>
    <row r="15" spans="1:77">
      <c r="A15" t="s">
        <v>168</v>
      </c>
      <c r="B15" s="30">
        <v>14</v>
      </c>
      <c r="C15" s="30">
        <v>30</v>
      </c>
      <c r="D15" s="30" t="s">
        <v>169</v>
      </c>
      <c r="E15" s="30" t="s">
        <v>170</v>
      </c>
      <c r="F15" s="48">
        <v>46229</v>
      </c>
      <c r="G15" s="48">
        <v>46230</v>
      </c>
      <c r="H15" s="49">
        <v>0.58333333333333337</v>
      </c>
      <c r="I15" s="49">
        <v>0.5</v>
      </c>
      <c r="J15" s="30" t="s">
        <v>53</v>
      </c>
      <c r="K15" s="30" t="s">
        <v>171</v>
      </c>
      <c r="L15" s="30">
        <v>1</v>
      </c>
      <c r="M15" s="30" t="s">
        <v>268</v>
      </c>
      <c r="P15" s="30" t="s">
        <v>174</v>
      </c>
      <c r="Q15" s="30" t="s">
        <v>84</v>
      </c>
      <c r="R15" s="30" t="s">
        <v>1822</v>
      </c>
      <c r="S15" s="30" t="s">
        <v>1823</v>
      </c>
      <c r="T15" s="30">
        <v>751600040836</v>
      </c>
      <c r="U15" s="30" t="s">
        <v>269</v>
      </c>
      <c r="W15" s="30" t="s">
        <v>270</v>
      </c>
      <c r="X15" s="30" t="s">
        <v>179</v>
      </c>
      <c r="Y15" t="s">
        <v>180</v>
      </c>
      <c r="Z15" s="30" t="s">
        <v>180</v>
      </c>
      <c r="AA15" s="30" t="s">
        <v>181</v>
      </c>
      <c r="AB15" s="30" t="s">
        <v>1813</v>
      </c>
      <c r="AC15" s="30" t="s">
        <v>56</v>
      </c>
      <c r="AD15" s="30" t="s">
        <v>182</v>
      </c>
      <c r="AE15" s="30">
        <v>20609553376</v>
      </c>
      <c r="AF15" s="30" t="s">
        <v>271</v>
      </c>
      <c r="AG15" s="30" t="s">
        <v>272</v>
      </c>
      <c r="AH15" s="30" t="s">
        <v>185</v>
      </c>
      <c r="AI15" s="30" t="s">
        <v>273</v>
      </c>
      <c r="AJ15" s="30" t="s">
        <v>274</v>
      </c>
      <c r="AK15" s="30" t="s">
        <v>1837</v>
      </c>
      <c r="AL15" s="30" t="s">
        <v>1809</v>
      </c>
      <c r="AM15"/>
      <c r="AO15" s="30" t="s">
        <v>1809</v>
      </c>
      <c r="AP15" s="30" t="s">
        <v>1809</v>
      </c>
      <c r="AQ15" s="30" t="s">
        <v>1809</v>
      </c>
      <c r="AR15" s="30" t="s">
        <v>1809</v>
      </c>
      <c r="AS15" s="30" t="s">
        <v>84</v>
      </c>
      <c r="AT15" s="30" t="s">
        <v>64</v>
      </c>
      <c r="AU15" s="50">
        <v>46229.625</v>
      </c>
      <c r="AV15" s="50">
        <v>46229.636111111111</v>
      </c>
      <c r="AW15" s="50">
        <v>46229.655555555553</v>
      </c>
      <c r="AX15" s="50">
        <v>46229.676388888889</v>
      </c>
      <c r="AY15" s="50">
        <v>46229.714583333334</v>
      </c>
      <c r="AZ15" s="50">
        <v>46229.720833333333</v>
      </c>
      <c r="BA15" s="51">
        <v>46230.517361111109</v>
      </c>
      <c r="BB15" s="51">
        <v>46230.520833333336</v>
      </c>
      <c r="BC15" s="50">
        <v>46230.540277777778</v>
      </c>
      <c r="BD15" s="50">
        <v>46230.572916666664</v>
      </c>
      <c r="BE15" s="51">
        <v>46230.617361111108</v>
      </c>
      <c r="BF15" s="51">
        <v>46230.660416666666</v>
      </c>
      <c r="BG15" s="51">
        <v>46230.705555555556</v>
      </c>
      <c r="BH15" s="51">
        <v>46230.714583333334</v>
      </c>
      <c r="BI15" s="30" t="s">
        <v>64</v>
      </c>
      <c r="BJ15" s="50">
        <v>46231.5</v>
      </c>
      <c r="BK15" s="50">
        <v>46231.486111111109</v>
      </c>
      <c r="BL15" s="50">
        <v>46231.506944444445</v>
      </c>
      <c r="BM15" s="50">
        <v>46231.510416666664</v>
      </c>
      <c r="BN15" s="50">
        <v>46231.515277777777</v>
      </c>
      <c r="BR15"/>
      <c r="BS15"/>
      <c r="BT15"/>
      <c r="BU15"/>
      <c r="BV15"/>
      <c r="BW15"/>
      <c r="BX15"/>
      <c r="BY15"/>
    </row>
    <row r="16" spans="1:77">
      <c r="A16" t="s">
        <v>168</v>
      </c>
      <c r="B16" s="30">
        <v>15</v>
      </c>
      <c r="C16" s="30">
        <v>30</v>
      </c>
      <c r="D16" s="30" t="s">
        <v>169</v>
      </c>
      <c r="E16" s="30" t="s">
        <v>170</v>
      </c>
      <c r="F16" s="48">
        <v>46229</v>
      </c>
      <c r="G16" s="48">
        <v>46230</v>
      </c>
      <c r="H16" s="49">
        <v>0.58333333333333337</v>
      </c>
      <c r="I16" s="49">
        <v>0.5</v>
      </c>
      <c r="J16" s="30" t="s">
        <v>53</v>
      </c>
      <c r="K16" s="30" t="s">
        <v>171</v>
      </c>
      <c r="L16" s="30">
        <v>1</v>
      </c>
      <c r="M16" s="30" t="s">
        <v>275</v>
      </c>
      <c r="P16" s="30" t="s">
        <v>174</v>
      </c>
      <c r="Q16" s="30" t="s">
        <v>84</v>
      </c>
      <c r="R16" s="30" t="s">
        <v>1822</v>
      </c>
      <c r="S16" s="30" t="s">
        <v>1823</v>
      </c>
      <c r="T16" s="30">
        <v>751600040844</v>
      </c>
      <c r="U16" s="30" t="s">
        <v>276</v>
      </c>
      <c r="W16" s="30" t="s">
        <v>270</v>
      </c>
      <c r="X16" s="30" t="s">
        <v>179</v>
      </c>
      <c r="Y16" t="s">
        <v>180</v>
      </c>
      <c r="Z16" s="30" t="s">
        <v>180</v>
      </c>
      <c r="AA16" s="30" t="s">
        <v>181</v>
      </c>
      <c r="AB16" s="30" t="s">
        <v>1813</v>
      </c>
      <c r="AC16" s="30" t="s">
        <v>92</v>
      </c>
      <c r="AD16" s="30" t="s">
        <v>235</v>
      </c>
      <c r="AE16" s="30">
        <v>20610002669</v>
      </c>
      <c r="AF16" s="30" t="s">
        <v>236</v>
      </c>
      <c r="AG16" s="30" t="s">
        <v>237</v>
      </c>
      <c r="AH16" s="30" t="s">
        <v>185</v>
      </c>
      <c r="AI16" s="30" t="s">
        <v>238</v>
      </c>
      <c r="AJ16" s="30" t="s">
        <v>239</v>
      </c>
      <c r="AK16" s="30" t="s">
        <v>1831</v>
      </c>
      <c r="AL16" s="30" t="s">
        <v>1809</v>
      </c>
      <c r="AM16"/>
      <c r="AO16" s="30" t="s">
        <v>1809</v>
      </c>
      <c r="AP16" s="30" t="s">
        <v>1809</v>
      </c>
      <c r="AQ16" s="30" t="s">
        <v>1809</v>
      </c>
      <c r="AR16" s="30" t="s">
        <v>1809</v>
      </c>
      <c r="AS16" s="30" t="s">
        <v>84</v>
      </c>
      <c r="AT16" s="30" t="s">
        <v>277</v>
      </c>
      <c r="AU16" s="50">
        <v>46229.625</v>
      </c>
      <c r="AV16" s="50">
        <v>46229.626388888886</v>
      </c>
      <c r="AW16" s="50">
        <v>46229.669444444444</v>
      </c>
      <c r="AX16" s="50">
        <v>46229.697916666664</v>
      </c>
      <c r="AY16" s="50">
        <v>46229.740972222222</v>
      </c>
      <c r="AZ16" s="50">
        <v>46229.749305555553</v>
      </c>
      <c r="BA16" s="51">
        <v>46230.438888888886</v>
      </c>
      <c r="BB16" s="51">
        <v>46230.442361111112</v>
      </c>
      <c r="BC16" s="50">
        <v>46230.46875</v>
      </c>
      <c r="BD16" s="50">
        <v>46230.634722222225</v>
      </c>
      <c r="BE16" s="51">
        <v>46230.684027777781</v>
      </c>
      <c r="BF16" s="51">
        <v>46230.70208333333</v>
      </c>
      <c r="BG16" s="51">
        <v>46230.744444444441</v>
      </c>
      <c r="BH16" s="51">
        <v>46230.786111111112</v>
      </c>
      <c r="BI16" s="30" t="s">
        <v>64</v>
      </c>
      <c r="BJ16" s="50">
        <v>46231.583333333336</v>
      </c>
      <c r="BK16" s="50">
        <v>46231.583333333336</v>
      </c>
      <c r="BL16" s="50">
        <v>46231.618055555555</v>
      </c>
      <c r="BM16" s="50">
        <v>46231.625</v>
      </c>
      <c r="BN16" s="50">
        <v>46231.636111111111</v>
      </c>
      <c r="BR16"/>
      <c r="BS16"/>
      <c r="BT16"/>
      <c r="BU16"/>
      <c r="BV16"/>
      <c r="BW16"/>
      <c r="BX16"/>
      <c r="BY16"/>
    </row>
    <row r="17" spans="1:77">
      <c r="A17" t="s">
        <v>168</v>
      </c>
      <c r="B17" s="30">
        <v>16</v>
      </c>
      <c r="C17" s="30">
        <v>31</v>
      </c>
      <c r="D17" s="30" t="s">
        <v>169</v>
      </c>
      <c r="E17" s="30" t="s">
        <v>170</v>
      </c>
      <c r="F17" s="48">
        <v>46232</v>
      </c>
      <c r="G17" s="48">
        <v>46233</v>
      </c>
      <c r="H17" s="49">
        <v>0.58333333333333337</v>
      </c>
      <c r="I17" s="49">
        <v>0.5</v>
      </c>
      <c r="J17" s="30" t="s">
        <v>53</v>
      </c>
      <c r="K17" s="30" t="s">
        <v>171</v>
      </c>
      <c r="L17" s="30">
        <v>1</v>
      </c>
      <c r="M17" s="30" t="s">
        <v>278</v>
      </c>
      <c r="P17" s="30" t="s">
        <v>174</v>
      </c>
      <c r="Q17" s="30" t="s">
        <v>84</v>
      </c>
      <c r="R17" s="30" t="s">
        <v>939</v>
      </c>
      <c r="S17" s="30" t="s">
        <v>1834</v>
      </c>
      <c r="T17" s="30" t="s">
        <v>279</v>
      </c>
      <c r="U17" s="30" t="s">
        <v>280</v>
      </c>
      <c r="V17" s="30" t="s">
        <v>270</v>
      </c>
      <c r="X17" s="30" t="s">
        <v>179</v>
      </c>
      <c r="Y17" t="s">
        <v>180</v>
      </c>
      <c r="Z17" s="30" t="s">
        <v>180</v>
      </c>
      <c r="AA17" s="30" t="s">
        <v>181</v>
      </c>
      <c r="AB17" s="30" t="s">
        <v>1813</v>
      </c>
      <c r="AC17" s="30" t="s">
        <v>92</v>
      </c>
      <c r="AD17" s="30" t="s">
        <v>244</v>
      </c>
      <c r="AE17" s="30">
        <v>20600489535</v>
      </c>
      <c r="AF17" s="30" t="s">
        <v>281</v>
      </c>
      <c r="AG17" s="30" t="s">
        <v>282</v>
      </c>
      <c r="AH17" s="30" t="s">
        <v>185</v>
      </c>
      <c r="AI17" s="30" t="s">
        <v>245</v>
      </c>
      <c r="AJ17" s="30" t="s">
        <v>246</v>
      </c>
      <c r="AK17" s="30" t="s">
        <v>1833</v>
      </c>
      <c r="AL17" s="30" t="s">
        <v>1809</v>
      </c>
      <c r="AM17"/>
      <c r="AO17" s="30" t="s">
        <v>1809</v>
      </c>
      <c r="AP17" s="30" t="s">
        <v>1809</v>
      </c>
      <c r="AQ17" s="30" t="s">
        <v>1809</v>
      </c>
      <c r="AR17" s="30" t="s">
        <v>1809</v>
      </c>
      <c r="AS17" s="30" t="s">
        <v>84</v>
      </c>
      <c r="AT17" s="30" t="s">
        <v>253</v>
      </c>
      <c r="AU17" s="50">
        <v>46232.416666666664</v>
      </c>
      <c r="AV17" s="50">
        <v>46232.421527777777</v>
      </c>
      <c r="AW17" s="50">
        <v>46232.424305555556</v>
      </c>
      <c r="AX17" s="50">
        <v>46232.520833333336</v>
      </c>
      <c r="AY17" s="50">
        <v>46232.591666666667</v>
      </c>
      <c r="AZ17" s="50">
        <v>46232.597916666666</v>
      </c>
      <c r="BA17" s="51">
        <v>46233.368750000001</v>
      </c>
      <c r="BB17" s="51">
        <v>46233.37222222222</v>
      </c>
      <c r="BC17" s="50">
        <v>46233.400694444441</v>
      </c>
      <c r="BD17" s="50">
        <v>46233.513194444444</v>
      </c>
      <c r="BE17" s="51">
        <v>46233.629861111112</v>
      </c>
      <c r="BF17" s="51">
        <v>46233.644444444442</v>
      </c>
      <c r="BG17" s="51">
        <v>46233.65902777778</v>
      </c>
      <c r="BH17" s="51">
        <v>46233.703472222223</v>
      </c>
      <c r="BI17" s="30" t="s">
        <v>64</v>
      </c>
      <c r="BJ17" s="50">
        <v>46234.583333333336</v>
      </c>
      <c r="BK17" s="50">
        <v>46234.550694444442</v>
      </c>
      <c r="BL17" s="50">
        <v>46234.619444444441</v>
      </c>
      <c r="BM17" s="50">
        <v>46234.622916666667</v>
      </c>
      <c r="BN17" s="50">
        <v>46234.626388888886</v>
      </c>
      <c r="BR17"/>
      <c r="BS17"/>
      <c r="BT17"/>
      <c r="BU17"/>
      <c r="BV17"/>
      <c r="BW17"/>
      <c r="BX17"/>
      <c r="BY17"/>
    </row>
    <row r="18" spans="1:77">
      <c r="A18" t="s">
        <v>168</v>
      </c>
      <c r="B18" s="30">
        <v>17</v>
      </c>
      <c r="C18" s="30">
        <v>31</v>
      </c>
      <c r="D18" s="30" t="s">
        <v>169</v>
      </c>
      <c r="E18" s="30" t="s">
        <v>170</v>
      </c>
      <c r="F18" s="48">
        <v>46232</v>
      </c>
      <c r="G18" s="48">
        <v>46233</v>
      </c>
      <c r="H18" s="49">
        <v>0.58333333333333337</v>
      </c>
      <c r="I18" s="49">
        <v>0.5</v>
      </c>
      <c r="J18" s="30" t="s">
        <v>53</v>
      </c>
      <c r="K18" s="30" t="s">
        <v>171</v>
      </c>
      <c r="L18" s="30">
        <v>1</v>
      </c>
      <c r="M18" s="30" t="s">
        <v>283</v>
      </c>
      <c r="P18" s="30" t="s">
        <v>174</v>
      </c>
      <c r="Q18" s="30" t="s">
        <v>84</v>
      </c>
      <c r="R18" s="30" t="s">
        <v>939</v>
      </c>
      <c r="S18" s="30" t="s">
        <v>1834</v>
      </c>
      <c r="T18" s="30" t="s">
        <v>284</v>
      </c>
      <c r="U18" s="30" t="s">
        <v>285</v>
      </c>
      <c r="V18" s="30" t="s">
        <v>270</v>
      </c>
      <c r="X18" s="30" t="s">
        <v>179</v>
      </c>
      <c r="Y18" t="s">
        <v>180</v>
      </c>
      <c r="Z18" s="30" t="s">
        <v>180</v>
      </c>
      <c r="AA18" s="30" t="s">
        <v>181</v>
      </c>
      <c r="AB18" s="30" t="s">
        <v>1813</v>
      </c>
      <c r="AC18" s="30" t="s">
        <v>56</v>
      </c>
      <c r="AD18" s="30" t="s">
        <v>182</v>
      </c>
      <c r="AE18" s="30">
        <v>20609553376</v>
      </c>
      <c r="AF18" s="30" t="s">
        <v>286</v>
      </c>
      <c r="AG18" s="30" t="s">
        <v>287</v>
      </c>
      <c r="AH18" s="30" t="s">
        <v>185</v>
      </c>
      <c r="AI18" s="30" t="s">
        <v>288</v>
      </c>
      <c r="AJ18" s="30" t="s">
        <v>289</v>
      </c>
      <c r="AK18" s="30" t="s">
        <v>1838</v>
      </c>
      <c r="AL18" s="30" t="s">
        <v>1809</v>
      </c>
      <c r="AM18"/>
      <c r="AO18" s="30" t="s">
        <v>1809</v>
      </c>
      <c r="AP18" s="30" t="s">
        <v>1809</v>
      </c>
      <c r="AQ18" s="30" t="s">
        <v>1809</v>
      </c>
      <c r="AR18" s="30" t="s">
        <v>1809</v>
      </c>
      <c r="AS18" s="30" t="s">
        <v>84</v>
      </c>
      <c r="AT18" s="30" t="s">
        <v>253</v>
      </c>
      <c r="AU18" s="50">
        <v>46232.416666666664</v>
      </c>
      <c r="AV18" s="50">
        <v>46232.407638888886</v>
      </c>
      <c r="AW18" s="50">
        <v>46232.421527777777</v>
      </c>
      <c r="AX18" s="50">
        <v>46232.513888888891</v>
      </c>
      <c r="AY18" s="50">
        <v>46232.585416666669</v>
      </c>
      <c r="AZ18" s="50">
        <v>46232.629861111112</v>
      </c>
      <c r="BA18" s="51">
        <v>46233.37777777778</v>
      </c>
      <c r="BB18" s="51">
        <v>46233.381249999999</v>
      </c>
      <c r="BC18" s="50">
        <v>46233.399305555555</v>
      </c>
      <c r="BD18" s="50">
        <v>46233.527777777781</v>
      </c>
      <c r="BE18" s="51">
        <v>46233.64166666667</v>
      </c>
      <c r="BF18" s="51">
        <v>46233.686111111114</v>
      </c>
      <c r="BG18" s="51">
        <v>46233.689583333333</v>
      </c>
      <c r="BH18" s="51">
        <v>46233.713194444441</v>
      </c>
      <c r="BI18" s="30" t="s">
        <v>64</v>
      </c>
      <c r="BJ18" s="50">
        <v>46234.125</v>
      </c>
      <c r="BK18" s="50">
        <v>46234.142361111109</v>
      </c>
      <c r="BL18" s="50">
        <v>46234.22152777778</v>
      </c>
      <c r="BM18" s="50">
        <v>46234.224999999999</v>
      </c>
      <c r="BN18" s="50">
        <v>46234.232638888891</v>
      </c>
      <c r="BR18"/>
      <c r="BS18"/>
      <c r="BT18"/>
      <c r="BU18"/>
      <c r="BV18"/>
      <c r="BW18"/>
      <c r="BX18"/>
      <c r="BY18"/>
    </row>
    <row r="19" spans="1:77">
      <c r="A19" t="s">
        <v>168</v>
      </c>
      <c r="B19" s="30">
        <v>18</v>
      </c>
      <c r="C19" s="30">
        <v>31</v>
      </c>
      <c r="D19" s="30" t="s">
        <v>169</v>
      </c>
      <c r="E19" s="30" t="s">
        <v>170</v>
      </c>
      <c r="F19" s="48">
        <v>46235</v>
      </c>
      <c r="G19" s="48">
        <v>46236</v>
      </c>
      <c r="H19" s="49">
        <v>0.66666666666666663</v>
      </c>
      <c r="I19" s="49">
        <v>0.58333333333333337</v>
      </c>
      <c r="J19" s="30" t="s">
        <v>53</v>
      </c>
      <c r="K19" s="30" t="s">
        <v>171</v>
      </c>
      <c r="L19" s="30">
        <v>1</v>
      </c>
      <c r="M19" s="30" t="s">
        <v>290</v>
      </c>
      <c r="P19" s="30" t="s">
        <v>174</v>
      </c>
      <c r="Q19" s="30" t="s">
        <v>84</v>
      </c>
      <c r="R19" s="30" t="s">
        <v>939</v>
      </c>
      <c r="S19" s="30" t="s">
        <v>391</v>
      </c>
      <c r="T19" s="30">
        <v>6509981780</v>
      </c>
      <c r="U19" s="30" t="s">
        <v>291</v>
      </c>
      <c r="V19" s="30" t="s">
        <v>270</v>
      </c>
      <c r="X19" s="30" t="s">
        <v>179</v>
      </c>
      <c r="Y19" t="s">
        <v>180</v>
      </c>
      <c r="Z19" s="30" t="s">
        <v>180</v>
      </c>
      <c r="AA19" s="30" t="s">
        <v>181</v>
      </c>
      <c r="AB19" s="30" t="s">
        <v>1813</v>
      </c>
      <c r="AC19" s="30" t="s">
        <v>56</v>
      </c>
      <c r="AD19" s="30" t="s">
        <v>182</v>
      </c>
      <c r="AE19" s="30">
        <v>20609553376</v>
      </c>
      <c r="AF19" s="30" t="s">
        <v>292</v>
      </c>
      <c r="AG19" s="30" t="s">
        <v>293</v>
      </c>
      <c r="AH19" s="30" t="s">
        <v>185</v>
      </c>
      <c r="AI19" s="30" t="s">
        <v>294</v>
      </c>
      <c r="AJ19" s="30" t="s">
        <v>230</v>
      </c>
      <c r="AK19" s="30" t="s">
        <v>1830</v>
      </c>
      <c r="AL19" s="30" t="s">
        <v>1809</v>
      </c>
      <c r="AM19"/>
      <c r="AO19" s="30" t="s">
        <v>1809</v>
      </c>
      <c r="AP19" s="30" t="s">
        <v>1809</v>
      </c>
      <c r="AQ19" s="30" t="s">
        <v>1809</v>
      </c>
      <c r="AR19" s="30" t="s">
        <v>1809</v>
      </c>
      <c r="AS19" s="30" t="s">
        <v>84</v>
      </c>
      <c r="AT19" s="30" t="s">
        <v>295</v>
      </c>
      <c r="AU19" s="50">
        <v>46235.75</v>
      </c>
      <c r="AV19" s="50">
        <v>46235.708333333336</v>
      </c>
      <c r="AW19" s="50">
        <v>46235.71597222222</v>
      </c>
      <c r="AX19" s="50">
        <v>46235.729166666664</v>
      </c>
      <c r="AY19" s="50">
        <v>46235.754166666666</v>
      </c>
      <c r="AZ19" s="50">
        <v>46235.756249999999</v>
      </c>
      <c r="BA19" s="51">
        <v>46236.425000000003</v>
      </c>
      <c r="BB19" s="51">
        <v>46236.429166666669</v>
      </c>
      <c r="BC19" s="50">
        <v>46236.463888888888</v>
      </c>
      <c r="BD19" s="50">
        <v>46236.560416666667</v>
      </c>
      <c r="BE19" s="51">
        <v>46236.655555555553</v>
      </c>
      <c r="BF19" s="51">
        <v>46236.702777777777</v>
      </c>
      <c r="BG19" s="51">
        <v>46236.708333333336</v>
      </c>
      <c r="BH19" s="51">
        <v>46236.747916666667</v>
      </c>
      <c r="BI19" s="30" t="s">
        <v>240</v>
      </c>
      <c r="BJ19" s="50">
        <v>46237</v>
      </c>
      <c r="BK19" s="50">
        <v>46237.369444444441</v>
      </c>
      <c r="BL19" s="50">
        <v>46237.39166666667</v>
      </c>
      <c r="BM19" s="50">
        <v>46237.394444444442</v>
      </c>
      <c r="BN19" s="50">
        <v>46237.397916666669</v>
      </c>
      <c r="BR19"/>
      <c r="BS19"/>
      <c r="BT19"/>
      <c r="BU19"/>
      <c r="BV19"/>
      <c r="BW19"/>
      <c r="BX19"/>
      <c r="BY19"/>
    </row>
    <row r="20" spans="1:77">
      <c r="A20" t="s">
        <v>168</v>
      </c>
      <c r="B20" s="30">
        <v>19</v>
      </c>
      <c r="C20" s="30">
        <v>31</v>
      </c>
      <c r="D20" s="30" t="s">
        <v>169</v>
      </c>
      <c r="E20" s="30" t="s">
        <v>170</v>
      </c>
      <c r="F20" s="48">
        <v>46235</v>
      </c>
      <c r="G20" s="48">
        <v>46236</v>
      </c>
      <c r="H20" s="49">
        <v>0.58333333333333337</v>
      </c>
      <c r="I20" s="49">
        <v>0.5</v>
      </c>
      <c r="J20" s="30" t="s">
        <v>53</v>
      </c>
      <c r="K20" s="30" t="s">
        <v>171</v>
      </c>
      <c r="L20" s="30">
        <v>1</v>
      </c>
      <c r="M20" s="30" t="s">
        <v>296</v>
      </c>
      <c r="P20" s="30" t="s">
        <v>174</v>
      </c>
      <c r="Q20" s="30" t="s">
        <v>83</v>
      </c>
      <c r="R20" s="30" t="s">
        <v>1822</v>
      </c>
      <c r="S20" s="30" t="s">
        <v>391</v>
      </c>
      <c r="T20" s="30">
        <v>6509439190</v>
      </c>
      <c r="U20" s="30" t="s">
        <v>297</v>
      </c>
      <c r="V20" s="30" t="s">
        <v>270</v>
      </c>
      <c r="X20" s="30" t="s">
        <v>179</v>
      </c>
      <c r="Y20" t="s">
        <v>180</v>
      </c>
      <c r="Z20" s="30" t="s">
        <v>180</v>
      </c>
      <c r="AA20" s="30" t="s">
        <v>181</v>
      </c>
      <c r="AB20" s="30" t="s">
        <v>1813</v>
      </c>
      <c r="AC20" s="30" t="s">
        <v>92</v>
      </c>
      <c r="AD20" s="30" t="s">
        <v>244</v>
      </c>
      <c r="AE20" s="30">
        <v>20600489535</v>
      </c>
      <c r="AF20" s="30" t="s">
        <v>298</v>
      </c>
      <c r="AG20" s="30" t="s">
        <v>1788</v>
      </c>
      <c r="AH20" s="30" t="s">
        <v>185</v>
      </c>
      <c r="AI20" s="30" t="s">
        <v>1789</v>
      </c>
      <c r="AJ20" s="30" t="s">
        <v>299</v>
      </c>
      <c r="AK20" s="30" t="s">
        <v>1839</v>
      </c>
      <c r="AL20" s="30" t="s">
        <v>1809</v>
      </c>
      <c r="AM20"/>
      <c r="AO20" s="30" t="s">
        <v>1809</v>
      </c>
      <c r="AP20" s="30" t="s">
        <v>1809</v>
      </c>
      <c r="AQ20" s="30" t="s">
        <v>1809</v>
      </c>
      <c r="AR20" s="30" t="s">
        <v>1809</v>
      </c>
      <c r="AS20" s="30" t="s">
        <v>83</v>
      </c>
      <c r="AT20" s="30" t="s">
        <v>240</v>
      </c>
      <c r="AU20" s="50">
        <v>46235.75</v>
      </c>
      <c r="AV20" s="50">
        <v>46235.748611111114</v>
      </c>
      <c r="AW20" s="50">
        <v>46235.769444444442</v>
      </c>
      <c r="AX20" s="50">
        <v>46235.833333333336</v>
      </c>
      <c r="AY20" s="50">
        <v>46235.854166666664</v>
      </c>
      <c r="AZ20" s="50">
        <v>46235.875</v>
      </c>
      <c r="BA20" s="51">
        <v>46236.554861111108</v>
      </c>
      <c r="BB20" s="51">
        <v>46236.559027777781</v>
      </c>
      <c r="BC20" s="50">
        <v>46236.589583333334</v>
      </c>
      <c r="BD20" s="50">
        <v>46236.60833333333</v>
      </c>
      <c r="BE20" s="51">
        <v>46236.656944444447</v>
      </c>
      <c r="BF20" s="51">
        <v>46236.672222222223</v>
      </c>
      <c r="BG20" s="51">
        <v>46236.690972222219</v>
      </c>
      <c r="BH20" s="51">
        <v>46236.714583333334</v>
      </c>
      <c r="BI20" s="30" t="s">
        <v>240</v>
      </c>
      <c r="BJ20" s="50">
        <v>46237</v>
      </c>
      <c r="BK20" s="50">
        <v>46237.445833333331</v>
      </c>
      <c r="BL20" s="50">
        <v>46237.454861111109</v>
      </c>
      <c r="BM20" s="50">
        <v>46237.465277777781</v>
      </c>
      <c r="BN20" s="50">
        <v>46237.472916666666</v>
      </c>
      <c r="BR20"/>
      <c r="BS20"/>
      <c r="BT20"/>
      <c r="BU20"/>
      <c r="BV20"/>
      <c r="BW20"/>
      <c r="BX20"/>
      <c r="BY20"/>
    </row>
    <row r="21" spans="1:77">
      <c r="A21" t="s">
        <v>168</v>
      </c>
      <c r="B21" s="30">
        <v>20</v>
      </c>
      <c r="C21" s="30">
        <v>31</v>
      </c>
      <c r="D21" s="30" t="s">
        <v>169</v>
      </c>
      <c r="E21" s="30" t="s">
        <v>170</v>
      </c>
      <c r="F21" s="48">
        <v>46235</v>
      </c>
      <c r="G21" s="48">
        <v>46236</v>
      </c>
      <c r="H21" s="49">
        <v>0.66666666666666663</v>
      </c>
      <c r="I21" s="49">
        <v>0.58333333333333337</v>
      </c>
      <c r="J21" s="30" t="s">
        <v>53</v>
      </c>
      <c r="K21" s="30" t="s">
        <v>171</v>
      </c>
      <c r="L21" s="30">
        <v>1</v>
      </c>
      <c r="M21" s="30" t="s">
        <v>300</v>
      </c>
      <c r="P21" s="30" t="s">
        <v>174</v>
      </c>
      <c r="Q21" s="30" t="s">
        <v>84</v>
      </c>
      <c r="R21" s="30" t="s">
        <v>939</v>
      </c>
      <c r="S21" s="30" t="s">
        <v>391</v>
      </c>
      <c r="T21" s="30">
        <v>6509439110</v>
      </c>
      <c r="U21" s="30" t="s">
        <v>301</v>
      </c>
      <c r="V21" s="30" t="s">
        <v>270</v>
      </c>
      <c r="W21" s="30" t="s">
        <v>302</v>
      </c>
      <c r="X21" s="30" t="s">
        <v>179</v>
      </c>
      <c r="Y21" t="s">
        <v>180</v>
      </c>
      <c r="Z21" s="30" t="s">
        <v>180</v>
      </c>
      <c r="AA21" s="30" t="s">
        <v>181</v>
      </c>
      <c r="AB21" s="30" t="s">
        <v>1813</v>
      </c>
      <c r="AC21" s="30" t="s">
        <v>92</v>
      </c>
      <c r="AD21" s="30" t="s">
        <v>235</v>
      </c>
      <c r="AE21" s="30">
        <v>20610002669</v>
      </c>
      <c r="AF21" s="30" t="s">
        <v>236</v>
      </c>
      <c r="AG21" s="30" t="s">
        <v>237</v>
      </c>
      <c r="AH21" s="30" t="s">
        <v>185</v>
      </c>
      <c r="AI21" s="30" t="s">
        <v>238</v>
      </c>
      <c r="AJ21" s="30" t="s">
        <v>239</v>
      </c>
      <c r="AK21" s="30" t="s">
        <v>1831</v>
      </c>
      <c r="AL21" s="30" t="s">
        <v>1809</v>
      </c>
      <c r="AM21"/>
      <c r="AO21" s="30" t="s">
        <v>1809</v>
      </c>
      <c r="AP21" s="30" t="s">
        <v>1809</v>
      </c>
      <c r="AQ21" s="30" t="s">
        <v>1809</v>
      </c>
      <c r="AR21" s="30" t="s">
        <v>1809</v>
      </c>
      <c r="AS21" s="30" t="s">
        <v>84</v>
      </c>
      <c r="AT21" s="30" t="s">
        <v>295</v>
      </c>
      <c r="AU21" s="50">
        <v>46235.75</v>
      </c>
      <c r="AV21" s="50">
        <v>46235.749305555553</v>
      </c>
      <c r="AW21" s="50">
        <v>46235.769444444442</v>
      </c>
      <c r="AX21" s="50">
        <v>46235.836111111108</v>
      </c>
      <c r="AY21" s="50">
        <v>46235.856944444444</v>
      </c>
      <c r="AZ21" s="50">
        <v>46235.886805555558</v>
      </c>
      <c r="BA21" s="51">
        <v>46236.554861111108</v>
      </c>
      <c r="BB21" s="51">
        <v>46236.559027777781</v>
      </c>
      <c r="BC21" s="50">
        <v>46236.620833333334</v>
      </c>
      <c r="BD21" s="50">
        <v>46236.680555555555</v>
      </c>
      <c r="BE21" s="51">
        <v>46236.73541666667</v>
      </c>
      <c r="BF21" s="51">
        <v>46236.75277777778</v>
      </c>
      <c r="BG21" s="51">
        <v>46236.772916666669</v>
      </c>
      <c r="BH21" s="51">
        <v>46236.899305555555</v>
      </c>
      <c r="BI21" s="30" t="s">
        <v>240</v>
      </c>
      <c r="BJ21" s="50">
        <v>46237</v>
      </c>
      <c r="BK21" s="50">
        <v>46237.436111111114</v>
      </c>
      <c r="BL21" s="50">
        <v>46237.451388888891</v>
      </c>
      <c r="BM21" s="50">
        <v>46237.472222222219</v>
      </c>
      <c r="BN21" s="50">
        <v>46237.493055555555</v>
      </c>
      <c r="BR21"/>
      <c r="BS21"/>
      <c r="BT21"/>
      <c r="BU21"/>
      <c r="BV21"/>
      <c r="BW21"/>
      <c r="BX21"/>
      <c r="BY21"/>
    </row>
    <row r="22" spans="1:77">
      <c r="A22" t="s">
        <v>168</v>
      </c>
      <c r="B22" s="30">
        <v>21</v>
      </c>
      <c r="C22" s="30">
        <v>32</v>
      </c>
      <c r="D22" s="30" t="s">
        <v>169</v>
      </c>
      <c r="E22" s="30" t="s">
        <v>170</v>
      </c>
      <c r="F22" s="48">
        <v>46241</v>
      </c>
      <c r="G22" s="48">
        <v>46242</v>
      </c>
      <c r="H22" s="49">
        <v>0.58333333333333337</v>
      </c>
      <c r="I22" s="49">
        <v>0.5</v>
      </c>
      <c r="J22" s="30" t="s">
        <v>53</v>
      </c>
      <c r="K22" s="30" t="s">
        <v>171</v>
      </c>
      <c r="L22" s="30">
        <v>1</v>
      </c>
      <c r="M22" s="30" t="s">
        <v>303</v>
      </c>
      <c r="P22" s="30" t="s">
        <v>174</v>
      </c>
      <c r="Q22" s="30" t="s">
        <v>84</v>
      </c>
      <c r="R22" s="30" t="s">
        <v>1822</v>
      </c>
      <c r="S22" s="30" t="s">
        <v>1823</v>
      </c>
      <c r="T22" s="30">
        <v>751600043258</v>
      </c>
      <c r="U22" s="30" t="s">
        <v>304</v>
      </c>
      <c r="X22" s="30" t="s">
        <v>179</v>
      </c>
      <c r="Y22" t="s">
        <v>180</v>
      </c>
      <c r="Z22" s="30" t="s">
        <v>180</v>
      </c>
      <c r="AA22" s="30" t="s">
        <v>181</v>
      </c>
      <c r="AB22" s="30" t="s">
        <v>1813</v>
      </c>
      <c r="AC22" s="30" t="s">
        <v>56</v>
      </c>
      <c r="AD22" s="30" t="s">
        <v>182</v>
      </c>
      <c r="AE22" s="30">
        <v>20609553376</v>
      </c>
      <c r="AF22" s="30" t="s">
        <v>305</v>
      </c>
      <c r="AG22" s="30" t="s">
        <v>306</v>
      </c>
      <c r="AH22" s="30" t="s">
        <v>185</v>
      </c>
      <c r="AI22" s="30" t="s">
        <v>307</v>
      </c>
      <c r="AJ22" s="30" t="s">
        <v>308</v>
      </c>
      <c r="AK22" s="30" t="s">
        <v>1840</v>
      </c>
      <c r="AL22" s="30" t="s">
        <v>1809</v>
      </c>
      <c r="AM22"/>
      <c r="AO22" s="30" t="s">
        <v>1809</v>
      </c>
      <c r="AP22" s="30" t="s">
        <v>1809</v>
      </c>
      <c r="AQ22" s="30" t="s">
        <v>1809</v>
      </c>
      <c r="AR22" s="30" t="s">
        <v>1809</v>
      </c>
      <c r="AS22" s="30" t="s">
        <v>84</v>
      </c>
      <c r="AT22" s="30" t="s">
        <v>277</v>
      </c>
      <c r="AU22" s="50">
        <v>46241.75</v>
      </c>
      <c r="AV22" s="50">
        <v>46241.768750000003</v>
      </c>
      <c r="AW22" s="50">
        <v>46242.284722222219</v>
      </c>
      <c r="AX22" s="50">
        <v>46242.3125</v>
      </c>
      <c r="AY22" s="50">
        <v>46242.40347222222</v>
      </c>
      <c r="AZ22" s="50">
        <v>46242.408333333333</v>
      </c>
      <c r="BA22" s="51">
        <v>46243.268750000003</v>
      </c>
      <c r="BB22" s="51">
        <v>46243.277777777781</v>
      </c>
      <c r="BC22" s="50">
        <v>46243.387499999997</v>
      </c>
      <c r="BD22" s="50">
        <v>46243.434027777781</v>
      </c>
      <c r="BE22" s="51">
        <v>46243.467361111114</v>
      </c>
      <c r="BF22" s="51">
        <v>46243.491666666669</v>
      </c>
      <c r="BG22" s="51">
        <v>46243.515972222223</v>
      </c>
      <c r="BH22" s="51">
        <v>46243.568055555559</v>
      </c>
      <c r="BI22" s="30" t="s">
        <v>64</v>
      </c>
      <c r="BJ22" s="50">
        <v>46244.291666666664</v>
      </c>
      <c r="BK22" s="50">
        <v>46244.186111111114</v>
      </c>
      <c r="BL22" s="50">
        <v>46244.234027777777</v>
      </c>
      <c r="BM22" s="50">
        <v>46244.246527777781</v>
      </c>
      <c r="BN22" s="50">
        <v>46244.263888888891</v>
      </c>
      <c r="BR22"/>
      <c r="BS22"/>
      <c r="BT22"/>
      <c r="BU22"/>
      <c r="BV22"/>
      <c r="BW22"/>
      <c r="BX22"/>
      <c r="BY22"/>
    </row>
    <row r="23" spans="1:77">
      <c r="A23" t="s">
        <v>168</v>
      </c>
      <c r="B23" s="30">
        <v>22</v>
      </c>
      <c r="C23" s="30">
        <v>32</v>
      </c>
      <c r="D23" s="30" t="s">
        <v>169</v>
      </c>
      <c r="E23" s="30" t="s">
        <v>170</v>
      </c>
      <c r="F23" s="48">
        <v>46241</v>
      </c>
      <c r="G23" s="48">
        <v>46242</v>
      </c>
      <c r="H23" s="49">
        <v>0.66666666666666663</v>
      </c>
      <c r="I23" s="49">
        <v>0.58333333333333337</v>
      </c>
      <c r="J23" s="30" t="s">
        <v>53</v>
      </c>
      <c r="K23" s="30" t="s">
        <v>171</v>
      </c>
      <c r="L23" s="30">
        <v>1</v>
      </c>
      <c r="M23" s="30" t="s">
        <v>309</v>
      </c>
      <c r="P23" s="30" t="s">
        <v>174</v>
      </c>
      <c r="Q23" s="30" t="s">
        <v>84</v>
      </c>
      <c r="R23" s="30" t="s">
        <v>939</v>
      </c>
      <c r="S23" s="30" t="s">
        <v>391</v>
      </c>
      <c r="T23" s="30">
        <v>6461861150</v>
      </c>
      <c r="U23" s="30" t="s">
        <v>310</v>
      </c>
      <c r="W23" s="30">
        <v>32999394</v>
      </c>
      <c r="X23" s="30" t="s">
        <v>179</v>
      </c>
      <c r="Y23" t="s">
        <v>180</v>
      </c>
      <c r="Z23" s="30" t="s">
        <v>180</v>
      </c>
      <c r="AA23" s="30" t="s">
        <v>181</v>
      </c>
      <c r="AB23" s="30" t="s">
        <v>1813</v>
      </c>
      <c r="AC23" s="30" t="s">
        <v>56</v>
      </c>
      <c r="AD23" s="30" t="s">
        <v>182</v>
      </c>
      <c r="AE23" s="30">
        <v>20609553376</v>
      </c>
      <c r="AF23" s="30" t="s">
        <v>311</v>
      </c>
      <c r="AG23" s="30" t="s">
        <v>312</v>
      </c>
      <c r="AH23" s="30" t="s">
        <v>185</v>
      </c>
      <c r="AI23" s="30" t="s">
        <v>313</v>
      </c>
      <c r="AJ23" s="30" t="s">
        <v>314</v>
      </c>
      <c r="AK23" s="30" t="s">
        <v>1841</v>
      </c>
      <c r="AL23" s="30" t="s">
        <v>1809</v>
      </c>
      <c r="AM23"/>
      <c r="AO23" s="30" t="s">
        <v>1809</v>
      </c>
      <c r="AP23" s="30" t="s">
        <v>1809</v>
      </c>
      <c r="AQ23" s="30" t="s">
        <v>1809</v>
      </c>
      <c r="AR23" s="30" t="s">
        <v>1809</v>
      </c>
      <c r="AS23" s="30" t="s">
        <v>84</v>
      </c>
      <c r="AT23" s="30" t="s">
        <v>295</v>
      </c>
      <c r="AU23" s="50">
        <v>46241.75</v>
      </c>
      <c r="AV23" s="50">
        <v>46241.734722222223</v>
      </c>
      <c r="AW23" s="50">
        <v>46241.754861111112</v>
      </c>
      <c r="AX23" s="50">
        <v>46241.791666666664</v>
      </c>
      <c r="AY23" s="50">
        <v>46241.843055555553</v>
      </c>
      <c r="AZ23" s="50">
        <v>46242.018055555556</v>
      </c>
      <c r="BA23" s="51">
        <v>46242.67291666667</v>
      </c>
      <c r="BB23" s="51">
        <v>46242.677083333336</v>
      </c>
      <c r="BC23" s="50">
        <v>46242.688888888886</v>
      </c>
      <c r="BD23" s="50">
        <v>46242.706250000003</v>
      </c>
      <c r="BE23" s="51">
        <v>46242.746527777781</v>
      </c>
      <c r="BF23" s="51">
        <v>46242.760416666664</v>
      </c>
      <c r="BG23" s="51">
        <v>46242.77847222222</v>
      </c>
      <c r="BH23" s="51">
        <v>46242.824999999997</v>
      </c>
      <c r="BI23" s="30" t="s">
        <v>240</v>
      </c>
      <c r="BJ23" s="50">
        <v>46243.5</v>
      </c>
      <c r="BK23" s="50">
        <v>46243.511111111111</v>
      </c>
      <c r="BL23" s="50">
        <v>46243.521527777775</v>
      </c>
      <c r="BM23" s="50">
        <v>46243.53125</v>
      </c>
      <c r="BN23" s="50">
        <v>46243.541666666664</v>
      </c>
      <c r="BR23"/>
      <c r="BS23"/>
      <c r="BT23"/>
      <c r="BU23"/>
      <c r="BV23"/>
      <c r="BW23"/>
      <c r="BX23"/>
      <c r="BY23"/>
    </row>
    <row r="24" spans="1:77">
      <c r="A24" t="s">
        <v>168</v>
      </c>
      <c r="B24" s="30">
        <v>23</v>
      </c>
      <c r="C24" s="30">
        <v>32</v>
      </c>
      <c r="D24" s="30" t="s">
        <v>169</v>
      </c>
      <c r="E24" s="30" t="s">
        <v>170</v>
      </c>
      <c r="F24" s="48">
        <v>46241</v>
      </c>
      <c r="G24" s="48">
        <v>46242</v>
      </c>
      <c r="H24" s="49">
        <v>0.58333333333333337</v>
      </c>
      <c r="I24" s="49">
        <v>0.5</v>
      </c>
      <c r="J24" s="30" t="s">
        <v>53</v>
      </c>
      <c r="K24" s="30" t="s">
        <v>171</v>
      </c>
      <c r="L24" s="30">
        <v>1</v>
      </c>
      <c r="M24" s="30" t="s">
        <v>315</v>
      </c>
      <c r="P24" s="30" t="s">
        <v>174</v>
      </c>
      <c r="Q24" s="30" t="s">
        <v>84</v>
      </c>
      <c r="R24" s="30" t="s">
        <v>939</v>
      </c>
      <c r="S24" s="30" t="s">
        <v>391</v>
      </c>
      <c r="T24" s="30">
        <v>6461861020</v>
      </c>
      <c r="U24" s="30" t="s">
        <v>316</v>
      </c>
      <c r="W24" s="30" t="s">
        <v>317</v>
      </c>
      <c r="X24" s="30" t="s">
        <v>179</v>
      </c>
      <c r="Y24" t="s">
        <v>180</v>
      </c>
      <c r="Z24" s="30" t="s">
        <v>180</v>
      </c>
      <c r="AA24" s="30" t="s">
        <v>181</v>
      </c>
      <c r="AB24" s="30" t="s">
        <v>1813</v>
      </c>
      <c r="AC24" s="30" t="s">
        <v>92</v>
      </c>
      <c r="AD24" s="30" t="s">
        <v>318</v>
      </c>
      <c r="AE24" s="30">
        <v>20609311780</v>
      </c>
      <c r="AF24" s="30" t="s">
        <v>319</v>
      </c>
      <c r="AG24" s="30" t="s">
        <v>320</v>
      </c>
      <c r="AH24" s="30" t="s">
        <v>185</v>
      </c>
      <c r="AI24" s="30" t="s">
        <v>321</v>
      </c>
      <c r="AJ24" s="30" t="s">
        <v>322</v>
      </c>
      <c r="AK24" s="30" t="s">
        <v>1842</v>
      </c>
      <c r="AL24" s="30" t="s">
        <v>1809</v>
      </c>
      <c r="AM24"/>
      <c r="AO24" s="30" t="s">
        <v>1809</v>
      </c>
      <c r="AP24" s="30" t="s">
        <v>1809</v>
      </c>
      <c r="AQ24" s="30" t="s">
        <v>1809</v>
      </c>
      <c r="AR24" s="30" t="s">
        <v>1809</v>
      </c>
      <c r="AS24" s="30" t="s">
        <v>84</v>
      </c>
      <c r="AT24" s="30" t="s">
        <v>295</v>
      </c>
      <c r="AU24" s="50">
        <v>46241.75</v>
      </c>
      <c r="AV24" s="50">
        <v>46241.763888888891</v>
      </c>
      <c r="AW24" s="50">
        <v>46241.989583333336</v>
      </c>
      <c r="AX24" s="50">
        <v>46242.003472222219</v>
      </c>
      <c r="AY24" s="50">
        <v>46242.024305555555</v>
      </c>
      <c r="AZ24" s="50">
        <v>46242.034722222219</v>
      </c>
      <c r="BA24" s="51">
        <v>46242.54583333333</v>
      </c>
      <c r="BB24" s="51">
        <v>46242.552083333336</v>
      </c>
      <c r="BC24" s="50">
        <v>46242.611111111109</v>
      </c>
      <c r="BD24" s="50">
        <v>46242.637499999997</v>
      </c>
      <c r="BE24" s="51">
        <v>46242.652777777781</v>
      </c>
      <c r="BF24" s="51">
        <v>46242.67083333333</v>
      </c>
      <c r="BG24" s="51">
        <v>46242.730555555558</v>
      </c>
      <c r="BH24" s="51">
        <v>46242.751388888886</v>
      </c>
      <c r="BI24" s="30" t="s">
        <v>240</v>
      </c>
      <c r="BJ24" s="50">
        <v>46243</v>
      </c>
      <c r="BK24" s="50">
        <v>46243.4375</v>
      </c>
      <c r="BL24" s="50">
        <v>46243.517361111109</v>
      </c>
      <c r="BM24" s="50">
        <v>46243.524305555555</v>
      </c>
      <c r="BN24" s="50">
        <v>46243.554166666669</v>
      </c>
      <c r="BR24"/>
      <c r="BS24"/>
      <c r="BT24"/>
      <c r="BU24"/>
      <c r="BV24"/>
      <c r="BW24"/>
      <c r="BX24"/>
      <c r="BY24"/>
    </row>
    <row r="25" spans="1:77">
      <c r="A25" t="s">
        <v>168</v>
      </c>
      <c r="B25" s="30">
        <v>24</v>
      </c>
      <c r="C25" s="30">
        <v>32</v>
      </c>
      <c r="D25" s="30" t="s">
        <v>169</v>
      </c>
      <c r="E25" s="30" t="s">
        <v>170</v>
      </c>
      <c r="F25" s="48">
        <v>46242</v>
      </c>
      <c r="G25" s="48">
        <v>46243</v>
      </c>
      <c r="H25" s="49">
        <v>0.66666666666666663</v>
      </c>
      <c r="I25" s="49">
        <v>0.58333333333333337</v>
      </c>
      <c r="J25" s="30" t="s">
        <v>53</v>
      </c>
      <c r="K25" s="30" t="s">
        <v>171</v>
      </c>
      <c r="L25" s="30">
        <v>1</v>
      </c>
      <c r="M25" s="30" t="s">
        <v>323</v>
      </c>
      <c r="P25" s="30" t="s">
        <v>174</v>
      </c>
      <c r="Q25" s="30" t="s">
        <v>84</v>
      </c>
      <c r="R25" s="30" t="s">
        <v>1825</v>
      </c>
      <c r="S25" s="30" t="s">
        <v>1823</v>
      </c>
      <c r="T25" s="30">
        <v>751600043232</v>
      </c>
      <c r="U25" s="30" t="s">
        <v>324</v>
      </c>
      <c r="X25" s="30" t="s">
        <v>179</v>
      </c>
      <c r="Y25" t="s">
        <v>180</v>
      </c>
      <c r="Z25" s="30" t="s">
        <v>180</v>
      </c>
      <c r="AA25" s="30" t="s">
        <v>181</v>
      </c>
      <c r="AB25" s="30" t="s">
        <v>1813</v>
      </c>
      <c r="AC25" s="30" t="s">
        <v>56</v>
      </c>
      <c r="AD25" s="30" t="s">
        <v>182</v>
      </c>
      <c r="AE25" s="30">
        <v>20609553376</v>
      </c>
      <c r="AF25" s="30" t="s">
        <v>325</v>
      </c>
      <c r="AG25" s="30" t="s">
        <v>326</v>
      </c>
      <c r="AH25" s="30" t="s">
        <v>185</v>
      </c>
      <c r="AI25" s="30" t="s">
        <v>327</v>
      </c>
      <c r="AJ25" s="30" t="s">
        <v>328</v>
      </c>
      <c r="AK25" s="30" t="s">
        <v>1843</v>
      </c>
      <c r="AL25" s="30" t="s">
        <v>1809</v>
      </c>
      <c r="AM25"/>
      <c r="AO25" s="30" t="s">
        <v>1809</v>
      </c>
      <c r="AP25" s="30" t="s">
        <v>1809</v>
      </c>
      <c r="AQ25" s="30" t="s">
        <v>1809</v>
      </c>
      <c r="AR25" s="30" t="s">
        <v>1809</v>
      </c>
      <c r="AS25" s="30" t="s">
        <v>84</v>
      </c>
      <c r="AT25" s="30" t="s">
        <v>277</v>
      </c>
      <c r="AU25" s="50">
        <v>46242.75</v>
      </c>
      <c r="AV25" s="50">
        <v>46242.776388888888</v>
      </c>
      <c r="AW25" s="50">
        <v>46242.818055555559</v>
      </c>
      <c r="AX25" s="50">
        <v>46242.840277777781</v>
      </c>
      <c r="AY25" s="50">
        <v>46243.024305555555</v>
      </c>
      <c r="AZ25" s="50">
        <v>46243.025000000001</v>
      </c>
      <c r="BA25" s="51">
        <v>46243.671527777777</v>
      </c>
      <c r="BB25" s="51">
        <v>46243.677083333336</v>
      </c>
      <c r="BC25" s="50">
        <v>46243.75277777778</v>
      </c>
      <c r="BD25" s="50">
        <v>46243.756944444445</v>
      </c>
      <c r="BE25" s="51">
        <v>46243.765972222223</v>
      </c>
      <c r="BF25" s="51">
        <v>46243.807638888888</v>
      </c>
      <c r="BG25" s="51">
        <v>46243.856944444444</v>
      </c>
      <c r="BH25" s="51">
        <v>46243.881944444445</v>
      </c>
      <c r="BI25" s="30" t="s">
        <v>64</v>
      </c>
      <c r="BJ25" s="50">
        <v>46244.625</v>
      </c>
      <c r="BK25" s="50">
        <v>46244.588194444441</v>
      </c>
      <c r="BL25" s="50">
        <v>46244.672222222223</v>
      </c>
      <c r="BM25" s="50">
        <v>46244.6875</v>
      </c>
      <c r="BN25" s="50">
        <v>46244.70208333333</v>
      </c>
      <c r="BR25"/>
      <c r="BS25"/>
      <c r="BT25"/>
      <c r="BU25"/>
      <c r="BV25"/>
      <c r="BW25"/>
      <c r="BX25"/>
      <c r="BY25"/>
    </row>
    <row r="26" spans="1:77">
      <c r="A26" t="s">
        <v>168</v>
      </c>
      <c r="B26" s="30">
        <v>25</v>
      </c>
      <c r="C26" s="30">
        <v>32</v>
      </c>
      <c r="D26" s="30" t="s">
        <v>169</v>
      </c>
      <c r="E26" s="30" t="s">
        <v>170</v>
      </c>
      <c r="F26" s="48">
        <v>46243</v>
      </c>
      <c r="G26" s="48">
        <v>46244</v>
      </c>
      <c r="H26" s="49">
        <v>0.58333333333333337</v>
      </c>
      <c r="I26" s="49">
        <v>0.5</v>
      </c>
      <c r="J26" s="30" t="s">
        <v>53</v>
      </c>
      <c r="K26" s="30" t="s">
        <v>171</v>
      </c>
      <c r="L26" s="30">
        <v>1</v>
      </c>
      <c r="M26" s="30" t="s">
        <v>329</v>
      </c>
      <c r="P26" s="30" t="s">
        <v>174</v>
      </c>
      <c r="Q26" s="30" t="s">
        <v>84</v>
      </c>
      <c r="R26" s="30" t="s">
        <v>939</v>
      </c>
      <c r="S26" s="30" t="s">
        <v>391</v>
      </c>
      <c r="T26" s="30">
        <v>6462050470</v>
      </c>
      <c r="U26" s="30" t="s">
        <v>330</v>
      </c>
      <c r="V26" s="30" t="s">
        <v>270</v>
      </c>
      <c r="X26" s="30" t="s">
        <v>179</v>
      </c>
      <c r="Y26" t="s">
        <v>180</v>
      </c>
      <c r="Z26" s="30" t="s">
        <v>180</v>
      </c>
      <c r="AA26" s="30" t="s">
        <v>181</v>
      </c>
      <c r="AB26" s="30" t="s">
        <v>1813</v>
      </c>
      <c r="AC26" s="30" t="s">
        <v>56</v>
      </c>
      <c r="AD26" s="30" t="s">
        <v>182</v>
      </c>
      <c r="AE26" s="30">
        <v>20609553376</v>
      </c>
      <c r="AF26" s="30" t="s">
        <v>331</v>
      </c>
      <c r="AG26" s="30" t="s">
        <v>332</v>
      </c>
      <c r="AH26" s="30" t="s">
        <v>185</v>
      </c>
      <c r="AI26" s="30" t="s">
        <v>333</v>
      </c>
      <c r="AJ26" s="30" t="s">
        <v>334</v>
      </c>
      <c r="AK26" s="30" t="s">
        <v>1844</v>
      </c>
      <c r="AL26" s="30" t="s">
        <v>1809</v>
      </c>
      <c r="AM26"/>
      <c r="AO26" s="30" t="s">
        <v>1809</v>
      </c>
      <c r="AP26" s="30" t="s">
        <v>1809</v>
      </c>
      <c r="AQ26" s="30" t="s">
        <v>1809</v>
      </c>
      <c r="AR26" s="30" t="s">
        <v>1809</v>
      </c>
      <c r="AS26" s="30" t="s">
        <v>84</v>
      </c>
      <c r="AT26" s="30" t="s">
        <v>295</v>
      </c>
      <c r="AU26" s="50">
        <v>46243.75</v>
      </c>
      <c r="AV26" s="50">
        <v>46243.79791666667</v>
      </c>
      <c r="AW26" s="50">
        <v>46243.806944444441</v>
      </c>
      <c r="AX26" s="50">
        <v>46243.822916666664</v>
      </c>
      <c r="AY26" s="50">
        <v>46243.839583333334</v>
      </c>
      <c r="AZ26" s="50">
        <v>46243.851388888892</v>
      </c>
      <c r="BA26" s="51">
        <v>46244.599305555559</v>
      </c>
      <c r="BB26" s="51">
        <v>46244.604166666664</v>
      </c>
      <c r="BC26" s="50">
        <v>46244.613194444442</v>
      </c>
      <c r="BD26" s="50">
        <v>46244.624305555553</v>
      </c>
      <c r="BE26" s="51">
        <v>46244.710416666669</v>
      </c>
      <c r="BF26" s="51">
        <v>46244.727777777778</v>
      </c>
      <c r="BG26" s="51">
        <v>46244.749305555553</v>
      </c>
      <c r="BH26" s="51">
        <v>46244.76458333333</v>
      </c>
      <c r="BI26" s="30" t="s">
        <v>240</v>
      </c>
      <c r="BJ26" s="50">
        <v>46245</v>
      </c>
      <c r="BK26" s="50">
        <v>46245.34097222222</v>
      </c>
      <c r="BL26" s="50">
        <v>46245.461805555555</v>
      </c>
      <c r="BM26" s="50">
        <v>46245.472222222219</v>
      </c>
      <c r="BN26" s="50">
        <v>46245.487500000003</v>
      </c>
      <c r="BR26"/>
      <c r="BS26"/>
      <c r="BT26"/>
      <c r="BU26"/>
      <c r="BV26"/>
      <c r="BW26"/>
      <c r="BX26"/>
      <c r="BY26"/>
    </row>
    <row r="27" spans="1:77">
      <c r="A27" t="s">
        <v>168</v>
      </c>
      <c r="B27" s="30">
        <v>26</v>
      </c>
      <c r="C27" s="30">
        <v>33</v>
      </c>
      <c r="D27" s="30" t="s">
        <v>169</v>
      </c>
      <c r="E27" s="30" t="s">
        <v>170</v>
      </c>
      <c r="F27" s="48">
        <v>46246</v>
      </c>
      <c r="G27" s="48">
        <v>46247</v>
      </c>
      <c r="H27" s="49">
        <v>0.58333333333333337</v>
      </c>
      <c r="I27" s="49">
        <v>0.5</v>
      </c>
      <c r="J27" s="30" t="s">
        <v>53</v>
      </c>
      <c r="K27" s="30" t="s">
        <v>171</v>
      </c>
      <c r="L27" s="30">
        <v>1</v>
      </c>
      <c r="M27" s="30" t="s">
        <v>335</v>
      </c>
      <c r="P27" s="30" t="s">
        <v>174</v>
      </c>
      <c r="Q27" s="30" t="s">
        <v>83</v>
      </c>
      <c r="R27" s="30" t="s">
        <v>939</v>
      </c>
      <c r="S27" s="30" t="s">
        <v>391</v>
      </c>
      <c r="T27" s="30" t="s">
        <v>336</v>
      </c>
      <c r="U27" s="30" t="s">
        <v>337</v>
      </c>
      <c r="V27" s="30" t="s">
        <v>338</v>
      </c>
      <c r="X27" s="30" t="s">
        <v>179</v>
      </c>
      <c r="Y27" t="s">
        <v>180</v>
      </c>
      <c r="Z27" s="30" t="s">
        <v>180</v>
      </c>
      <c r="AA27" s="30" t="s">
        <v>181</v>
      </c>
      <c r="AB27" s="30" t="s">
        <v>1813</v>
      </c>
      <c r="AC27" s="30" t="s">
        <v>56</v>
      </c>
      <c r="AD27" s="30" t="s">
        <v>182</v>
      </c>
      <c r="AE27" s="30">
        <v>20609553376</v>
      </c>
      <c r="AF27" s="30" t="s">
        <v>339</v>
      </c>
      <c r="AG27" s="30" t="s">
        <v>340</v>
      </c>
      <c r="AH27" s="30" t="s">
        <v>185</v>
      </c>
      <c r="AI27" s="30" t="s">
        <v>341</v>
      </c>
      <c r="AJ27" s="30" t="s">
        <v>342</v>
      </c>
      <c r="AK27" s="30" t="s">
        <v>1845</v>
      </c>
      <c r="AL27" s="30" t="s">
        <v>1809</v>
      </c>
      <c r="AM27"/>
      <c r="AO27" s="30" t="s">
        <v>1809</v>
      </c>
      <c r="AP27" s="30" t="s">
        <v>1809</v>
      </c>
      <c r="AQ27" s="30" t="s">
        <v>1809</v>
      </c>
      <c r="AR27" s="30" t="s">
        <v>1809</v>
      </c>
      <c r="AS27" s="30" t="s">
        <v>83</v>
      </c>
      <c r="AT27" s="30" t="s">
        <v>240</v>
      </c>
      <c r="AU27" s="50">
        <v>46246.5</v>
      </c>
      <c r="AV27" s="50">
        <v>46246.9</v>
      </c>
      <c r="AW27" s="50">
        <v>46246.927083333336</v>
      </c>
      <c r="AX27" s="50">
        <v>46246.99722222222</v>
      </c>
      <c r="AY27" s="50">
        <v>46247.005555555559</v>
      </c>
      <c r="AZ27" s="50">
        <v>46247.010416666664</v>
      </c>
      <c r="BA27" s="51">
        <v>46247.490972222222</v>
      </c>
      <c r="BB27" s="51">
        <v>46247.49722222222</v>
      </c>
      <c r="BC27" s="50">
        <v>46247.505555555559</v>
      </c>
      <c r="BD27" s="50">
        <v>46247.541666666664</v>
      </c>
      <c r="BE27" s="51">
        <v>46247.6</v>
      </c>
      <c r="BF27" s="51">
        <v>46247.623611111114</v>
      </c>
      <c r="BG27" s="51">
        <v>46247.645833333336</v>
      </c>
      <c r="BH27" s="51">
        <v>46247.65902777778</v>
      </c>
      <c r="BI27" s="30" t="s">
        <v>240</v>
      </c>
      <c r="BJ27" s="50">
        <v>46248</v>
      </c>
      <c r="BK27" s="50">
        <v>46248.392361111109</v>
      </c>
      <c r="BL27" s="50">
        <v>46248.404861111114</v>
      </c>
      <c r="BM27" s="50">
        <v>46248.420138888891</v>
      </c>
      <c r="BN27" s="50">
        <v>46248.425000000003</v>
      </c>
      <c r="BR27"/>
      <c r="BS27"/>
      <c r="BT27"/>
      <c r="BU27"/>
      <c r="BV27"/>
      <c r="BW27"/>
      <c r="BX27"/>
      <c r="BY27"/>
    </row>
    <row r="28" spans="1:77">
      <c r="A28" t="s">
        <v>168</v>
      </c>
      <c r="B28" s="30">
        <v>27</v>
      </c>
      <c r="C28" s="30">
        <v>33</v>
      </c>
      <c r="D28" s="30" t="s">
        <v>169</v>
      </c>
      <c r="E28" s="30" t="s">
        <v>170</v>
      </c>
      <c r="F28" s="48">
        <v>46246</v>
      </c>
      <c r="G28" s="48">
        <v>46247</v>
      </c>
      <c r="H28" s="49">
        <v>0.5</v>
      </c>
      <c r="I28" s="49">
        <v>0.41666666666666669</v>
      </c>
      <c r="J28" s="30" t="s">
        <v>53</v>
      </c>
      <c r="K28" s="30" t="s">
        <v>171</v>
      </c>
      <c r="L28" s="30">
        <v>1</v>
      </c>
      <c r="M28" s="30" t="s">
        <v>343</v>
      </c>
      <c r="P28" s="30" t="s">
        <v>174</v>
      </c>
      <c r="Q28" s="30" t="s">
        <v>83</v>
      </c>
      <c r="R28" s="30" t="s">
        <v>939</v>
      </c>
      <c r="S28" s="30" t="s">
        <v>391</v>
      </c>
      <c r="T28" s="30" t="s">
        <v>344</v>
      </c>
      <c r="U28" s="30" t="s">
        <v>345</v>
      </c>
      <c r="V28" s="30" t="s">
        <v>346</v>
      </c>
      <c r="X28" s="30" t="s">
        <v>179</v>
      </c>
      <c r="Y28" t="s">
        <v>180</v>
      </c>
      <c r="Z28" s="30" t="s">
        <v>180</v>
      </c>
      <c r="AA28" s="30" t="s">
        <v>181</v>
      </c>
      <c r="AB28" s="30" t="s">
        <v>1813</v>
      </c>
      <c r="AC28" s="30" t="s">
        <v>56</v>
      </c>
      <c r="AD28" s="30" t="s">
        <v>182</v>
      </c>
      <c r="AE28" s="30">
        <v>20609553376</v>
      </c>
      <c r="AF28" s="30" t="s">
        <v>347</v>
      </c>
      <c r="AG28" s="30" t="s">
        <v>348</v>
      </c>
      <c r="AH28" s="30" t="s">
        <v>185</v>
      </c>
      <c r="AI28" s="30" t="s">
        <v>349</v>
      </c>
      <c r="AJ28" s="30" t="s">
        <v>217</v>
      </c>
      <c r="AK28" s="30" t="s">
        <v>1828</v>
      </c>
      <c r="AL28" s="30" t="s">
        <v>1809</v>
      </c>
      <c r="AM28"/>
      <c r="AO28" s="30" t="s">
        <v>1809</v>
      </c>
      <c r="AP28" s="30" t="s">
        <v>1809</v>
      </c>
      <c r="AQ28" s="30" t="s">
        <v>1809</v>
      </c>
      <c r="AR28" s="30" t="s">
        <v>1809</v>
      </c>
      <c r="AS28" s="30" t="s">
        <v>83</v>
      </c>
      <c r="AT28" s="30" t="s">
        <v>240</v>
      </c>
      <c r="AU28" s="50">
        <v>46246.5</v>
      </c>
      <c r="AV28" s="50">
        <v>46246.834027777775</v>
      </c>
      <c r="AW28" s="50">
        <v>46246.84375</v>
      </c>
      <c r="AX28" s="50">
        <v>46246.857638888891</v>
      </c>
      <c r="AY28" s="50">
        <v>46246.872916666667</v>
      </c>
      <c r="AZ28" s="50">
        <v>46246.878472222219</v>
      </c>
      <c r="BA28" s="51">
        <v>46247.474999999999</v>
      </c>
      <c r="BB28" s="51">
        <v>46247.482638888891</v>
      </c>
      <c r="BC28" s="50">
        <v>46247.495833333334</v>
      </c>
      <c r="BD28" s="50">
        <v>46247.51458333333</v>
      </c>
      <c r="BE28" s="51">
        <v>46247.555555555555</v>
      </c>
      <c r="BF28" s="51">
        <v>46247.574305555558</v>
      </c>
      <c r="BG28" s="51">
        <v>46247.631944444445</v>
      </c>
      <c r="BH28" s="51">
        <v>46247.640277777777</v>
      </c>
      <c r="BI28" s="30" t="s">
        <v>240</v>
      </c>
      <c r="BJ28" s="50">
        <v>46248</v>
      </c>
      <c r="BK28" s="50">
        <v>46248.140277777777</v>
      </c>
      <c r="BL28" s="50">
        <v>46248.15902777778</v>
      </c>
      <c r="BM28" s="50">
        <v>46248.163194444445</v>
      </c>
      <c r="BN28" s="50">
        <v>46248.169444444444</v>
      </c>
      <c r="BR28"/>
      <c r="BS28"/>
      <c r="BT28"/>
      <c r="BU28"/>
      <c r="BV28"/>
      <c r="BW28"/>
      <c r="BX28"/>
      <c r="BY28"/>
    </row>
    <row r="29" spans="1:77">
      <c r="A29" t="s">
        <v>168</v>
      </c>
      <c r="B29" s="30">
        <v>28</v>
      </c>
      <c r="C29" s="30">
        <v>33</v>
      </c>
      <c r="D29" s="30" t="s">
        <v>169</v>
      </c>
      <c r="E29" s="30" t="s">
        <v>170</v>
      </c>
      <c r="F29" s="48">
        <v>46249</v>
      </c>
      <c r="G29" s="48">
        <v>46250</v>
      </c>
      <c r="H29" s="49">
        <v>0.58333333333333337</v>
      </c>
      <c r="I29" s="49">
        <v>0.5</v>
      </c>
      <c r="J29" s="30" t="s">
        <v>53</v>
      </c>
      <c r="K29" s="30" t="s">
        <v>171</v>
      </c>
      <c r="L29" s="30">
        <v>1</v>
      </c>
      <c r="M29" s="30" t="s">
        <v>350</v>
      </c>
      <c r="P29" s="30" t="s">
        <v>174</v>
      </c>
      <c r="Q29" s="30" t="s">
        <v>84</v>
      </c>
      <c r="R29" s="30" t="s">
        <v>1822</v>
      </c>
      <c r="S29" s="30" t="s">
        <v>1823</v>
      </c>
      <c r="T29" s="30" t="s">
        <v>351</v>
      </c>
      <c r="U29" s="30" t="s">
        <v>352</v>
      </c>
      <c r="V29" s="30" t="s">
        <v>270</v>
      </c>
      <c r="X29" s="30" t="s">
        <v>179</v>
      </c>
      <c r="Y29" t="s">
        <v>180</v>
      </c>
      <c r="Z29" s="30" t="s">
        <v>180</v>
      </c>
      <c r="AA29" s="30" t="s">
        <v>181</v>
      </c>
      <c r="AB29" s="30" t="s">
        <v>1813</v>
      </c>
      <c r="AC29" s="30" t="s">
        <v>56</v>
      </c>
      <c r="AD29" s="30" t="s">
        <v>182</v>
      </c>
      <c r="AE29" s="30">
        <v>20609553376</v>
      </c>
      <c r="AF29" s="30" t="s">
        <v>353</v>
      </c>
      <c r="AG29" s="30" t="s">
        <v>354</v>
      </c>
      <c r="AH29" s="30" t="s">
        <v>185</v>
      </c>
      <c r="AI29" s="30" t="s">
        <v>355</v>
      </c>
      <c r="AJ29" s="30" t="s">
        <v>224</v>
      </c>
      <c r="AK29" s="30" t="s">
        <v>1829</v>
      </c>
      <c r="AL29" s="30" t="s">
        <v>1809</v>
      </c>
      <c r="AM29"/>
      <c r="AO29" s="30" t="s">
        <v>1809</v>
      </c>
      <c r="AP29" s="30" t="s">
        <v>1809</v>
      </c>
      <c r="AQ29" s="30" t="s">
        <v>1809</v>
      </c>
      <c r="AR29" s="30" t="s">
        <v>1809</v>
      </c>
      <c r="AS29" s="30" t="s">
        <v>84</v>
      </c>
      <c r="AT29" s="30" t="s">
        <v>64</v>
      </c>
      <c r="AU29" s="50">
        <v>46249.708333333336</v>
      </c>
      <c r="AV29" s="50">
        <v>46249.760416666664</v>
      </c>
      <c r="AW29" s="50">
        <v>46249.853472222225</v>
      </c>
      <c r="AX29" s="50">
        <v>46249.888888888891</v>
      </c>
      <c r="AY29" s="50">
        <v>46249.925000000003</v>
      </c>
      <c r="AZ29" s="50">
        <v>46249.93472222222</v>
      </c>
      <c r="BA29" s="51">
        <v>46250.588888888888</v>
      </c>
      <c r="BB29" s="51">
        <v>46250.595833333333</v>
      </c>
      <c r="BC29" s="50">
        <v>46250.61041666667</v>
      </c>
      <c r="BD29" s="50">
        <v>46250.652777777781</v>
      </c>
      <c r="BE29" s="51">
        <v>46250.657638888886</v>
      </c>
      <c r="BF29" s="51">
        <v>46250.703472222223</v>
      </c>
      <c r="BG29" s="51">
        <v>46250.75</v>
      </c>
      <c r="BH29" s="51">
        <v>46250.775000000001</v>
      </c>
      <c r="BI29" s="30" t="s">
        <v>64</v>
      </c>
      <c r="BJ29" s="50">
        <v>46251.583333333336</v>
      </c>
      <c r="BK29" s="50">
        <v>46251.661805555559</v>
      </c>
      <c r="BL29" s="50">
        <v>46251.728472222225</v>
      </c>
      <c r="BM29" s="50">
        <v>46251.732638888891</v>
      </c>
      <c r="BN29" s="50">
        <v>46251.738194444442</v>
      </c>
      <c r="BR29"/>
      <c r="BS29"/>
      <c r="BT29"/>
      <c r="BU29"/>
      <c r="BV29"/>
      <c r="BW29"/>
      <c r="BX29"/>
      <c r="BY29"/>
    </row>
    <row r="30" spans="1:77">
      <c r="A30" t="s">
        <v>168</v>
      </c>
      <c r="B30" s="30">
        <v>29</v>
      </c>
      <c r="C30" s="30">
        <v>33</v>
      </c>
      <c r="D30" s="30" t="s">
        <v>169</v>
      </c>
      <c r="E30" s="30" t="s">
        <v>170</v>
      </c>
      <c r="F30" s="48">
        <v>46250</v>
      </c>
      <c r="G30" s="48">
        <v>46251</v>
      </c>
      <c r="H30" s="49">
        <v>0.58333333333333337</v>
      </c>
      <c r="I30" s="49">
        <v>0.5</v>
      </c>
      <c r="J30" s="30" t="s">
        <v>53</v>
      </c>
      <c r="K30" s="30" t="s">
        <v>171</v>
      </c>
      <c r="L30" s="30">
        <v>1</v>
      </c>
      <c r="M30" s="30" t="s">
        <v>357</v>
      </c>
      <c r="P30" s="30" t="s">
        <v>174</v>
      </c>
      <c r="Q30" s="30" t="s">
        <v>84</v>
      </c>
      <c r="R30" s="30" t="s">
        <v>1822</v>
      </c>
      <c r="S30" s="30" t="s">
        <v>1823</v>
      </c>
      <c r="T30" s="30" t="s">
        <v>358</v>
      </c>
      <c r="U30" s="30" t="s">
        <v>359</v>
      </c>
      <c r="V30" s="30" t="s">
        <v>270</v>
      </c>
      <c r="X30" s="30" t="s">
        <v>179</v>
      </c>
      <c r="Y30" t="s">
        <v>180</v>
      </c>
      <c r="Z30" s="30" t="s">
        <v>180</v>
      </c>
      <c r="AA30" s="30" t="s">
        <v>181</v>
      </c>
      <c r="AB30" s="30" t="s">
        <v>1813</v>
      </c>
      <c r="AC30" s="30" t="s">
        <v>92</v>
      </c>
      <c r="AD30" s="30" t="s">
        <v>244</v>
      </c>
      <c r="AE30" s="30">
        <v>20600489535</v>
      </c>
      <c r="AF30" s="30" t="s">
        <v>1783</v>
      </c>
      <c r="AG30" s="30" t="s">
        <v>1784</v>
      </c>
      <c r="AH30" s="30" t="s">
        <v>185</v>
      </c>
      <c r="AI30" s="30" t="s">
        <v>245</v>
      </c>
      <c r="AJ30" s="30" t="s">
        <v>246</v>
      </c>
      <c r="AK30" s="30" t="s">
        <v>1833</v>
      </c>
      <c r="AL30" s="30" t="s">
        <v>1809</v>
      </c>
      <c r="AM30"/>
      <c r="AO30" s="30" t="s">
        <v>1809</v>
      </c>
      <c r="AP30" s="30" t="s">
        <v>1809</v>
      </c>
      <c r="AQ30" s="30" t="s">
        <v>1809</v>
      </c>
      <c r="AR30" s="30" t="s">
        <v>1809</v>
      </c>
      <c r="AS30" s="30" t="s">
        <v>84</v>
      </c>
      <c r="AT30" s="30" t="s">
        <v>64</v>
      </c>
      <c r="AU30" s="50">
        <v>46250</v>
      </c>
      <c r="AV30" s="50">
        <v>46250.680555555555</v>
      </c>
      <c r="AW30" s="50">
        <v>46250.681944444441</v>
      </c>
      <c r="AX30" s="50">
        <v>46250.739583333336</v>
      </c>
      <c r="AY30" s="50">
        <v>46250.744444444441</v>
      </c>
      <c r="AZ30" s="50">
        <v>46250.75</v>
      </c>
      <c r="BA30" s="51">
        <v>46251.518055555556</v>
      </c>
      <c r="BB30" s="51">
        <v>46251.524305555555</v>
      </c>
      <c r="BC30" s="50">
        <v>46251.600694444445</v>
      </c>
      <c r="BD30" s="50">
        <v>46251.647222222222</v>
      </c>
      <c r="BE30" s="51">
        <v>46251.677083333336</v>
      </c>
      <c r="BF30" s="51">
        <v>46251.690972222219</v>
      </c>
      <c r="BG30" s="51">
        <v>46251.704861111109</v>
      </c>
      <c r="BH30" s="51">
        <v>46251.716666666667</v>
      </c>
      <c r="BI30" s="30" t="s">
        <v>64</v>
      </c>
      <c r="BJ30" s="50">
        <v>46252.541666666664</v>
      </c>
      <c r="BK30" s="50">
        <v>46252.518055555556</v>
      </c>
      <c r="BL30" s="50">
        <v>46252.598611111112</v>
      </c>
      <c r="BM30" s="50">
        <v>46252.602777777778</v>
      </c>
      <c r="BN30" s="50">
        <v>46252.605555555558</v>
      </c>
      <c r="BR30"/>
      <c r="BS30"/>
      <c r="BT30"/>
      <c r="BU30"/>
      <c r="BV30"/>
      <c r="BW30"/>
      <c r="BX30"/>
      <c r="BY30"/>
    </row>
    <row r="31" spans="1:77">
      <c r="A31" t="s">
        <v>168</v>
      </c>
      <c r="B31" s="30">
        <v>30</v>
      </c>
      <c r="C31" s="30">
        <v>34</v>
      </c>
      <c r="D31" s="30" t="s">
        <v>169</v>
      </c>
      <c r="E31" s="30" t="s">
        <v>170</v>
      </c>
      <c r="F31" s="48">
        <v>46257</v>
      </c>
      <c r="G31" s="48">
        <v>46258</v>
      </c>
      <c r="H31" s="49">
        <v>0.58333333333333337</v>
      </c>
      <c r="I31" s="49">
        <v>0.5</v>
      </c>
      <c r="J31" s="30" t="s">
        <v>53</v>
      </c>
      <c r="K31" s="30" t="s">
        <v>171</v>
      </c>
      <c r="L31" s="30">
        <v>1</v>
      </c>
      <c r="M31" s="30" t="s">
        <v>1899</v>
      </c>
      <c r="P31" s="30" t="s">
        <v>174</v>
      </c>
      <c r="Q31" s="30" t="s">
        <v>84</v>
      </c>
      <c r="R31" s="30" t="s">
        <v>1825</v>
      </c>
      <c r="S31" s="30" t="s">
        <v>1823</v>
      </c>
      <c r="T31" s="30">
        <v>751600045978</v>
      </c>
      <c r="U31" s="30" t="s">
        <v>1900</v>
      </c>
      <c r="W31" s="30" t="s">
        <v>270</v>
      </c>
      <c r="X31" s="30" t="s">
        <v>179</v>
      </c>
      <c r="Y31" t="s">
        <v>941</v>
      </c>
      <c r="Z31" s="30" t="s">
        <v>180</v>
      </c>
      <c r="AA31" s="30" t="s">
        <v>181</v>
      </c>
      <c r="AB31" s="30" t="s">
        <v>1813</v>
      </c>
      <c r="AC31" s="30" t="s">
        <v>56</v>
      </c>
      <c r="AD31" s="30" t="s">
        <v>182</v>
      </c>
      <c r="AE31" s="30">
        <v>20609553376</v>
      </c>
      <c r="AF31" s="30" t="s">
        <v>1901</v>
      </c>
      <c r="AG31" s="30" t="s">
        <v>1902</v>
      </c>
      <c r="AH31" s="30" t="s">
        <v>185</v>
      </c>
      <c r="AI31" s="30" t="s">
        <v>1903</v>
      </c>
      <c r="AJ31" s="30" t="s">
        <v>308</v>
      </c>
      <c r="AK31" s="30" t="s">
        <v>1904</v>
      </c>
      <c r="AL31" s="30" t="s">
        <v>1809</v>
      </c>
      <c r="AM31"/>
      <c r="AO31" s="30" t="s">
        <v>1809</v>
      </c>
      <c r="AP31" s="30" t="s">
        <v>1809</v>
      </c>
      <c r="AQ31" s="30" t="s">
        <v>1809</v>
      </c>
      <c r="AR31" s="30" t="s">
        <v>1809</v>
      </c>
      <c r="AS31" s="30" t="s">
        <v>84</v>
      </c>
      <c r="AT31" s="30" t="s">
        <v>64</v>
      </c>
      <c r="AU31" s="50">
        <v>46257.583333333336</v>
      </c>
      <c r="AV31" s="50">
        <v>46257.589583333334</v>
      </c>
      <c r="AW31" s="50">
        <v>46257.594444444447</v>
      </c>
      <c r="AX31" s="50">
        <v>46257.655555555553</v>
      </c>
      <c r="AY31" s="50">
        <v>46257.655555555553</v>
      </c>
      <c r="AZ31" s="50">
        <v>46257.65</v>
      </c>
      <c r="BA31" s="51">
        <v>46258.289583333331</v>
      </c>
      <c r="BB31" s="51">
        <v>46258.293055555558</v>
      </c>
      <c r="BC31" s="50">
        <v>46258.354166666664</v>
      </c>
      <c r="BD31" s="50">
        <v>46258.462500000001</v>
      </c>
      <c r="BE31" s="51">
        <v>46258.57708333333</v>
      </c>
      <c r="BF31" s="51">
        <v>46258.583333333336</v>
      </c>
      <c r="BG31" s="51">
        <v>46258.59652777778</v>
      </c>
      <c r="BH31" s="51">
        <v>46258.613888888889</v>
      </c>
      <c r="BI31" s="30" t="s">
        <v>64</v>
      </c>
      <c r="BJ31" s="50">
        <v>46259.370833333334</v>
      </c>
      <c r="BK31" s="50">
        <v>46259.416666666664</v>
      </c>
      <c r="BL31" s="50">
        <v>46259.395833333336</v>
      </c>
      <c r="BM31" s="50">
        <v>46259.401388888888</v>
      </c>
      <c r="BN31" s="50">
        <v>46259.415277777778</v>
      </c>
      <c r="BR31"/>
      <c r="BS31"/>
      <c r="BT31"/>
      <c r="BU31"/>
      <c r="BV31"/>
      <c r="BW31"/>
      <c r="BX31"/>
      <c r="BY31"/>
    </row>
    <row r="32" spans="1:77">
      <c r="A32" t="s">
        <v>168</v>
      </c>
      <c r="B32" s="30">
        <v>31</v>
      </c>
      <c r="C32" s="30">
        <v>35</v>
      </c>
      <c r="D32" s="30" t="s">
        <v>169</v>
      </c>
      <c r="E32" s="30" t="s">
        <v>170</v>
      </c>
      <c r="F32" s="48">
        <v>46263</v>
      </c>
      <c r="G32" s="48">
        <v>46295</v>
      </c>
      <c r="H32" s="49">
        <v>0.66666666666666663</v>
      </c>
      <c r="I32" s="49">
        <v>0.58333333333333337</v>
      </c>
      <c r="J32" s="30" t="s">
        <v>53</v>
      </c>
      <c r="K32" s="30" t="s">
        <v>171</v>
      </c>
      <c r="L32" s="30">
        <v>1</v>
      </c>
      <c r="M32" s="30" t="s">
        <v>1988</v>
      </c>
      <c r="P32" s="30" t="s">
        <v>174</v>
      </c>
      <c r="Q32" s="30" t="s">
        <v>84</v>
      </c>
      <c r="R32" s="30" t="s">
        <v>1825</v>
      </c>
      <c r="S32" s="30" t="s">
        <v>1823</v>
      </c>
      <c r="T32" s="30" t="s">
        <v>1989</v>
      </c>
      <c r="U32" s="30" t="s">
        <v>1990</v>
      </c>
      <c r="V32" s="30">
        <v>1316102</v>
      </c>
      <c r="X32" s="30" t="s">
        <v>179</v>
      </c>
      <c r="Y32" t="s">
        <v>941</v>
      </c>
      <c r="Z32" s="30" t="s">
        <v>180</v>
      </c>
      <c r="AA32" s="30" t="s">
        <v>181</v>
      </c>
      <c r="AB32" s="30" t="s">
        <v>1813</v>
      </c>
      <c r="AC32" s="30" t="s">
        <v>56</v>
      </c>
      <c r="AD32" s="30" t="s">
        <v>182</v>
      </c>
      <c r="AE32" s="30">
        <v>20609553376</v>
      </c>
      <c r="AF32" s="30" t="s">
        <v>1991</v>
      </c>
      <c r="AG32" s="30" t="s">
        <v>1992</v>
      </c>
      <c r="AH32" s="30" t="s">
        <v>185</v>
      </c>
      <c r="AI32" s="30" t="s">
        <v>1993</v>
      </c>
      <c r="AJ32" s="30" t="s">
        <v>1994</v>
      </c>
      <c r="AK32" s="30" t="s">
        <v>1995</v>
      </c>
      <c r="AL32" s="30" t="s">
        <v>1809</v>
      </c>
      <c r="AM32"/>
      <c r="AO32" s="30" t="s">
        <v>1809</v>
      </c>
      <c r="AP32" s="30" t="s">
        <v>1809</v>
      </c>
      <c r="AQ32" s="30" t="s">
        <v>1809</v>
      </c>
      <c r="AR32" s="30" t="s">
        <v>1809</v>
      </c>
      <c r="AS32" s="30" t="s">
        <v>84</v>
      </c>
      <c r="AT32" s="30" t="s">
        <v>277</v>
      </c>
      <c r="AU32" s="50">
        <v>46263.666666666664</v>
      </c>
      <c r="AV32" s="50">
        <v>46263.915277777778</v>
      </c>
      <c r="AW32" s="50">
        <v>46263.92083333333</v>
      </c>
      <c r="AX32" s="50">
        <v>46263.9375</v>
      </c>
      <c r="AY32" s="50">
        <v>46264.033333333333</v>
      </c>
      <c r="AZ32" s="50">
        <v>46264.037499999999</v>
      </c>
      <c r="BA32" s="51">
        <v>46264.586111111108</v>
      </c>
      <c r="BB32" s="51">
        <v>46264.587500000001</v>
      </c>
      <c r="BC32" s="50">
        <v>46264.590277777781</v>
      </c>
      <c r="BD32" s="50">
        <v>46264.600694444445</v>
      </c>
      <c r="BE32" s="51">
        <v>46264.607638888891</v>
      </c>
      <c r="BF32" s="51">
        <v>46264.611111111109</v>
      </c>
      <c r="BG32" s="51">
        <v>46264.616666666669</v>
      </c>
      <c r="BH32" s="51">
        <v>46264.738888888889</v>
      </c>
      <c r="BI32" s="30" t="s">
        <v>64</v>
      </c>
      <c r="BJ32" s="50">
        <v>46265.416666666664</v>
      </c>
      <c r="BK32" s="50">
        <v>46265.513888888891</v>
      </c>
      <c r="BL32" s="50">
        <v>46265.589583333334</v>
      </c>
      <c r="BM32" s="50">
        <v>46265.597222222219</v>
      </c>
      <c r="BN32" s="50">
        <v>46265.62222222222</v>
      </c>
      <c r="BR32"/>
      <c r="BS32"/>
      <c r="BT32"/>
      <c r="BU32"/>
      <c r="BV32"/>
      <c r="BW32"/>
      <c r="BX32"/>
      <c r="BY32"/>
    </row>
    <row r="33" spans="1:77">
      <c r="A33" t="s">
        <v>168</v>
      </c>
      <c r="B33" s="30">
        <v>32</v>
      </c>
      <c r="C33" s="30">
        <v>35</v>
      </c>
      <c r="D33" s="30" t="s">
        <v>169</v>
      </c>
      <c r="E33" s="30" t="s">
        <v>170</v>
      </c>
      <c r="F33" s="48">
        <v>46263</v>
      </c>
      <c r="G33" s="48">
        <v>46264</v>
      </c>
      <c r="H33" s="49">
        <v>0.58333333333333337</v>
      </c>
      <c r="I33" s="49">
        <v>0.5</v>
      </c>
      <c r="J33" s="30" t="s">
        <v>53</v>
      </c>
      <c r="K33" s="30" t="s">
        <v>171</v>
      </c>
      <c r="L33" s="30">
        <v>1</v>
      </c>
      <c r="M33" s="30" t="s">
        <v>1996</v>
      </c>
      <c r="P33" s="30" t="s">
        <v>174</v>
      </c>
      <c r="Q33" s="30" t="s">
        <v>84</v>
      </c>
      <c r="R33" s="30" t="s">
        <v>1825</v>
      </c>
      <c r="S33" s="30" t="s">
        <v>1823</v>
      </c>
      <c r="T33" s="30" t="s">
        <v>1997</v>
      </c>
      <c r="U33" s="30" t="s">
        <v>1998</v>
      </c>
      <c r="V33" s="30">
        <v>1315987</v>
      </c>
      <c r="X33" s="30" t="s">
        <v>179</v>
      </c>
      <c r="Y33" t="s">
        <v>941</v>
      </c>
      <c r="Z33" s="30" t="s">
        <v>180</v>
      </c>
      <c r="AA33" s="30" t="s">
        <v>181</v>
      </c>
      <c r="AB33" s="30" t="s">
        <v>1813</v>
      </c>
      <c r="AC33" s="30" t="s">
        <v>56</v>
      </c>
      <c r="AD33" s="30" t="s">
        <v>182</v>
      </c>
      <c r="AE33" s="30">
        <v>20609553376</v>
      </c>
      <c r="AF33" s="30" t="s">
        <v>1999</v>
      </c>
      <c r="AG33" s="30" t="s">
        <v>2000</v>
      </c>
      <c r="AH33" s="30" t="s">
        <v>185</v>
      </c>
      <c r="AI33" s="30" t="s">
        <v>1903</v>
      </c>
      <c r="AJ33" s="30" t="s">
        <v>308</v>
      </c>
      <c r="AK33" s="30" t="s">
        <v>1904</v>
      </c>
      <c r="AL33" s="30" t="s">
        <v>1809</v>
      </c>
      <c r="AM33"/>
      <c r="AO33" s="30" t="s">
        <v>1809</v>
      </c>
      <c r="AP33" s="30" t="s">
        <v>1809</v>
      </c>
      <c r="AQ33" s="30" t="s">
        <v>1809</v>
      </c>
      <c r="AR33" s="30" t="s">
        <v>1809</v>
      </c>
      <c r="AS33" s="30" t="s">
        <v>84</v>
      </c>
      <c r="AT33" s="30" t="s">
        <v>277</v>
      </c>
      <c r="AU33" s="50">
        <v>46263.666666666664</v>
      </c>
      <c r="AV33" s="50">
        <v>46263.701388888891</v>
      </c>
      <c r="AW33" s="50">
        <v>46263.784722222219</v>
      </c>
      <c r="AX33" s="50">
        <v>46263.805555555555</v>
      </c>
      <c r="AY33" s="50">
        <v>46263.861111111109</v>
      </c>
      <c r="AZ33" s="50">
        <v>46263.863194444442</v>
      </c>
      <c r="BA33" s="51">
        <v>46264.54791666667</v>
      </c>
      <c r="BB33" s="51">
        <v>46264.55</v>
      </c>
      <c r="BC33" s="50">
        <v>46264.559027777781</v>
      </c>
      <c r="BD33" s="50">
        <v>46264.583333333336</v>
      </c>
      <c r="BE33" s="51">
        <v>46264.624305555553</v>
      </c>
      <c r="BF33" s="51">
        <v>46264.642361111109</v>
      </c>
      <c r="BG33" s="51">
        <v>46264.697222222225</v>
      </c>
      <c r="BH33" s="51">
        <v>46264.730555555558</v>
      </c>
      <c r="BI33" s="30" t="s">
        <v>64</v>
      </c>
      <c r="BJ33" s="50">
        <v>46265.5</v>
      </c>
      <c r="BK33" s="50">
        <v>46265.479166666664</v>
      </c>
      <c r="BL33" s="50">
        <v>46265.560416666667</v>
      </c>
      <c r="BM33" s="50">
        <v>46265.583333333336</v>
      </c>
      <c r="BN33" s="50">
        <v>46265.604166666664</v>
      </c>
      <c r="BR33"/>
      <c r="BS33"/>
      <c r="BT33"/>
      <c r="BU33"/>
      <c r="BV33"/>
      <c r="BW33"/>
      <c r="BX33"/>
      <c r="BY33"/>
    </row>
    <row r="34" spans="1:77">
      <c r="A34" t="s">
        <v>168</v>
      </c>
      <c r="B34" s="30">
        <v>33</v>
      </c>
      <c r="C34" s="30">
        <v>35</v>
      </c>
      <c r="D34" s="30" t="s">
        <v>169</v>
      </c>
      <c r="E34" s="30" t="s">
        <v>170</v>
      </c>
      <c r="F34" s="48">
        <v>46264</v>
      </c>
      <c r="G34" s="48">
        <v>46265</v>
      </c>
      <c r="H34" s="49">
        <v>0.58333333333333337</v>
      </c>
      <c r="I34" s="49">
        <v>0.5</v>
      </c>
      <c r="J34" s="30" t="s">
        <v>53</v>
      </c>
      <c r="K34" s="30" t="s">
        <v>171</v>
      </c>
      <c r="L34" s="30">
        <v>1</v>
      </c>
      <c r="M34" s="30" t="s">
        <v>2001</v>
      </c>
      <c r="P34" s="30" t="s">
        <v>174</v>
      </c>
      <c r="Q34" s="30" t="s">
        <v>84</v>
      </c>
      <c r="R34" s="30" t="s">
        <v>1825</v>
      </c>
      <c r="S34" s="30" t="s">
        <v>1823</v>
      </c>
      <c r="T34" s="30">
        <v>751600047679</v>
      </c>
      <c r="U34" s="30" t="s">
        <v>2002</v>
      </c>
      <c r="V34" s="30">
        <v>811544</v>
      </c>
      <c r="X34" s="30" t="s">
        <v>179</v>
      </c>
      <c r="Y34" t="s">
        <v>941</v>
      </c>
      <c r="Z34" s="30" t="s">
        <v>180</v>
      </c>
      <c r="AA34" s="30" t="s">
        <v>181</v>
      </c>
      <c r="AB34" s="30" t="s">
        <v>1813</v>
      </c>
      <c r="AC34" s="30" t="s">
        <v>56</v>
      </c>
      <c r="AD34" s="30" t="s">
        <v>182</v>
      </c>
      <c r="AE34" s="30">
        <v>20609553376</v>
      </c>
      <c r="AF34" s="30" t="s">
        <v>2003</v>
      </c>
      <c r="AG34" s="30" t="s">
        <v>2004</v>
      </c>
      <c r="AH34" s="30" t="s">
        <v>185</v>
      </c>
      <c r="AI34" s="30" t="s">
        <v>2005</v>
      </c>
      <c r="AJ34" s="30" t="s">
        <v>2006</v>
      </c>
      <c r="AK34" s="30" t="s">
        <v>2007</v>
      </c>
      <c r="AL34" s="30" t="s">
        <v>1809</v>
      </c>
      <c r="AM34"/>
      <c r="AO34" s="30" t="s">
        <v>1809</v>
      </c>
      <c r="AP34" s="30" t="s">
        <v>1809</v>
      </c>
      <c r="AQ34" s="30" t="s">
        <v>1809</v>
      </c>
      <c r="AR34" s="30" t="s">
        <v>1809</v>
      </c>
      <c r="AS34" s="30" t="s">
        <v>84</v>
      </c>
      <c r="AT34" s="30" t="s">
        <v>277</v>
      </c>
      <c r="AU34" s="50">
        <v>46264.625</v>
      </c>
      <c r="AV34" s="50">
        <v>46264.666666666664</v>
      </c>
      <c r="AW34" s="50">
        <v>46264.6875</v>
      </c>
      <c r="AX34" s="50">
        <v>46264.715277777781</v>
      </c>
      <c r="AY34" s="50">
        <v>46264.767361111109</v>
      </c>
      <c r="AZ34" s="50">
        <v>46264.768055555556</v>
      </c>
      <c r="BA34" s="51">
        <v>46265.490972222222</v>
      </c>
      <c r="BB34" s="51">
        <v>46265.513888888891</v>
      </c>
      <c r="BC34" s="50">
        <v>46265.534722222219</v>
      </c>
      <c r="BD34" s="50">
        <v>46265.5625</v>
      </c>
      <c r="BE34" s="51">
        <v>46265.65625</v>
      </c>
      <c r="BF34" s="51">
        <v>46265.665972222225</v>
      </c>
      <c r="BG34" s="51">
        <v>46265.692361111112</v>
      </c>
      <c r="BH34" s="51">
        <v>46265.694444444445</v>
      </c>
      <c r="BI34" s="30" t="s">
        <v>64</v>
      </c>
      <c r="BJ34" s="50">
        <v>46266.583333333336</v>
      </c>
      <c r="BK34" s="50">
        <v>46266.477777777778</v>
      </c>
      <c r="BL34" s="50">
        <v>46266.541666666664</v>
      </c>
      <c r="BM34" s="50">
        <v>46266.547222222223</v>
      </c>
      <c r="BN34" s="50">
        <v>46266.557638888888</v>
      </c>
      <c r="BR34"/>
      <c r="BS34"/>
      <c r="BT34"/>
      <c r="BU34"/>
      <c r="BV34"/>
      <c r="BW34"/>
      <c r="BX34"/>
      <c r="BY34"/>
    </row>
    <row r="35" spans="1:77">
      <c r="A35" t="s">
        <v>168</v>
      </c>
      <c r="B35" s="30">
        <v>34</v>
      </c>
      <c r="C35" s="30">
        <v>36</v>
      </c>
      <c r="D35" s="30" t="s">
        <v>169</v>
      </c>
      <c r="E35" s="30" t="s">
        <v>170</v>
      </c>
      <c r="F35" s="48">
        <v>46267</v>
      </c>
      <c r="G35" s="48">
        <v>46268</v>
      </c>
      <c r="H35" s="49">
        <v>0.58333333333333337</v>
      </c>
      <c r="I35" s="49">
        <v>0.5</v>
      </c>
      <c r="J35" s="30" t="s">
        <v>53</v>
      </c>
      <c r="K35" s="30" t="s">
        <v>171</v>
      </c>
      <c r="L35" s="30">
        <v>1</v>
      </c>
      <c r="M35" s="30" t="s">
        <v>2008</v>
      </c>
      <c r="P35" s="30" t="s">
        <v>174</v>
      </c>
      <c r="Q35" s="30" t="s">
        <v>84</v>
      </c>
      <c r="R35" s="30" t="s">
        <v>1825</v>
      </c>
      <c r="S35" s="30" t="s">
        <v>1832</v>
      </c>
      <c r="T35" s="30">
        <v>276447366</v>
      </c>
      <c r="U35" s="30" t="s">
        <v>2009</v>
      </c>
      <c r="V35" s="30" t="s">
        <v>2010</v>
      </c>
      <c r="W35" s="30" t="s">
        <v>2011</v>
      </c>
      <c r="X35" s="30" t="s">
        <v>179</v>
      </c>
      <c r="Y35" t="s">
        <v>180</v>
      </c>
      <c r="Z35" s="30" t="s">
        <v>180</v>
      </c>
      <c r="AA35" s="30" t="s">
        <v>181</v>
      </c>
      <c r="AB35" s="30" t="s">
        <v>1813</v>
      </c>
      <c r="AC35" s="30" t="s">
        <v>56</v>
      </c>
      <c r="AD35" s="30" t="s">
        <v>182</v>
      </c>
      <c r="AE35" s="30">
        <v>20609553376</v>
      </c>
      <c r="AF35" s="30" t="s">
        <v>2012</v>
      </c>
      <c r="AG35" s="30" t="s">
        <v>1992</v>
      </c>
      <c r="AH35" s="30" t="s">
        <v>185</v>
      </c>
      <c r="AI35" s="30" t="s">
        <v>2013</v>
      </c>
      <c r="AJ35" s="30" t="s">
        <v>2014</v>
      </c>
      <c r="AK35" s="30" t="s">
        <v>1995</v>
      </c>
      <c r="AL35" s="30" t="s">
        <v>1809</v>
      </c>
      <c r="AM35"/>
      <c r="AO35" s="30" t="s">
        <v>1809</v>
      </c>
      <c r="AP35" s="30" t="s">
        <v>1809</v>
      </c>
      <c r="AQ35" s="30" t="s">
        <v>1809</v>
      </c>
      <c r="AR35" s="30" t="s">
        <v>1809</v>
      </c>
      <c r="AS35" s="30" t="s">
        <v>84</v>
      </c>
      <c r="AT35" s="30" t="s">
        <v>1504</v>
      </c>
      <c r="AU35" s="50">
        <v>46267.583333333336</v>
      </c>
      <c r="AV35" s="50">
        <v>46267.5625</v>
      </c>
      <c r="AW35" s="50">
        <v>46267.604166666664</v>
      </c>
      <c r="AX35" s="50">
        <v>46267.680555555555</v>
      </c>
      <c r="AY35" s="50">
        <v>46267.688888888886</v>
      </c>
      <c r="AZ35" s="50">
        <v>46267.712500000001</v>
      </c>
      <c r="BA35" s="51">
        <v>46268.480555555558</v>
      </c>
      <c r="BB35" s="51">
        <v>46268.48333333333</v>
      </c>
      <c r="BC35" s="50">
        <v>46268.545138888891</v>
      </c>
      <c r="BD35" s="50">
        <v>46268.555555555555</v>
      </c>
      <c r="BE35" s="51">
        <v>46268.573611111111</v>
      </c>
      <c r="BF35" s="51">
        <v>46268.580555555556</v>
      </c>
      <c r="BG35" s="51">
        <v>46268.59097222222</v>
      </c>
      <c r="BH35" s="51">
        <v>46268.615277777775</v>
      </c>
      <c r="BI35" s="30" t="s">
        <v>787</v>
      </c>
      <c r="BJ35" s="50">
        <v>46269.666666666664</v>
      </c>
      <c r="BK35" s="50">
        <v>46269.614583333336</v>
      </c>
      <c r="BL35" s="50">
        <v>46269.681250000001</v>
      </c>
      <c r="BM35" s="50">
        <v>46269.682638888888</v>
      </c>
      <c r="BN35" s="50">
        <v>46269.689583333333</v>
      </c>
      <c r="BR35"/>
      <c r="BS35"/>
      <c r="BT35"/>
      <c r="BU35"/>
      <c r="BV35"/>
      <c r="BW35"/>
      <c r="BX35"/>
      <c r="BY35"/>
    </row>
    <row r="36" spans="1:77">
      <c r="A36" t="s">
        <v>168</v>
      </c>
      <c r="B36" s="30">
        <v>35</v>
      </c>
      <c r="C36" s="30">
        <v>36</v>
      </c>
      <c r="D36" s="30" t="s">
        <v>169</v>
      </c>
      <c r="E36" s="30" t="s">
        <v>170</v>
      </c>
      <c r="F36" s="48">
        <v>46270</v>
      </c>
      <c r="G36" s="48">
        <v>46271</v>
      </c>
      <c r="H36" s="49">
        <v>0.45833333333333331</v>
      </c>
      <c r="I36" s="49">
        <v>0.375</v>
      </c>
      <c r="J36" s="30" t="s">
        <v>53</v>
      </c>
      <c r="K36" s="30" t="s">
        <v>171</v>
      </c>
      <c r="L36" s="30">
        <v>1</v>
      </c>
      <c r="M36" s="30" t="s">
        <v>2015</v>
      </c>
      <c r="P36" s="30" t="s">
        <v>174</v>
      </c>
      <c r="Q36" s="30" t="s">
        <v>84</v>
      </c>
      <c r="R36" s="30" t="s">
        <v>1825</v>
      </c>
      <c r="S36" s="30" t="s">
        <v>2016</v>
      </c>
      <c r="T36" s="30" t="s">
        <v>2017</v>
      </c>
      <c r="U36" s="30" t="s">
        <v>2018</v>
      </c>
      <c r="V36" s="30">
        <v>1322541</v>
      </c>
      <c r="W36" s="30" t="s">
        <v>2019</v>
      </c>
      <c r="X36" s="30" t="s">
        <v>179</v>
      </c>
      <c r="Y36" t="s">
        <v>941</v>
      </c>
      <c r="Z36" s="30" t="s">
        <v>180</v>
      </c>
      <c r="AA36" s="30" t="s">
        <v>181</v>
      </c>
      <c r="AB36" s="30" t="s">
        <v>1813</v>
      </c>
      <c r="AC36" s="30" t="s">
        <v>92</v>
      </c>
      <c r="AD36" s="30" t="s">
        <v>244</v>
      </c>
      <c r="AE36" s="30">
        <v>20600489535</v>
      </c>
      <c r="AF36" s="30" t="s">
        <v>281</v>
      </c>
      <c r="AG36" s="30" t="s">
        <v>282</v>
      </c>
      <c r="AH36" s="30" t="s">
        <v>185</v>
      </c>
      <c r="AI36" s="30" t="s">
        <v>245</v>
      </c>
      <c r="AJ36" s="30" t="s">
        <v>246</v>
      </c>
      <c r="AK36" s="30">
        <v>992157075</v>
      </c>
      <c r="AL36" s="30" t="s">
        <v>1809</v>
      </c>
      <c r="AM36"/>
      <c r="AO36" s="30" t="s">
        <v>1809</v>
      </c>
      <c r="AP36" s="30" t="s">
        <v>1809</v>
      </c>
      <c r="AQ36" s="30" t="s">
        <v>1809</v>
      </c>
      <c r="AR36" s="30" t="s">
        <v>1809</v>
      </c>
      <c r="AS36" s="30" t="s">
        <v>84</v>
      </c>
      <c r="AT36" s="30" t="s">
        <v>277</v>
      </c>
      <c r="AU36" s="50">
        <v>46270.583333333336</v>
      </c>
      <c r="AV36" s="50">
        <v>46270.60833333333</v>
      </c>
      <c r="AW36" s="50">
        <v>46270.609027777777</v>
      </c>
      <c r="AX36" s="50">
        <v>46270.666666666664</v>
      </c>
      <c r="AY36" s="50">
        <v>46270.829861111109</v>
      </c>
      <c r="AZ36" s="50">
        <v>46270.838888888888</v>
      </c>
      <c r="BA36" s="51">
        <v>46271.580555555556</v>
      </c>
      <c r="BB36" s="51">
        <v>46271.583333333336</v>
      </c>
      <c r="BC36" s="50">
        <v>46271.601388888892</v>
      </c>
      <c r="BD36" s="50">
        <v>46271.625</v>
      </c>
      <c r="BE36" s="51">
        <v>46271.638888888891</v>
      </c>
      <c r="BF36" s="51">
        <v>46271.677083333336</v>
      </c>
      <c r="BG36" s="51">
        <v>46271.708333333336</v>
      </c>
      <c r="BH36" s="51">
        <v>46271.729166666664</v>
      </c>
      <c r="BI36" s="30" t="s">
        <v>64</v>
      </c>
      <c r="BJ36" s="50">
        <v>46272.583333333336</v>
      </c>
      <c r="BK36" s="50">
        <v>46272.534722222219</v>
      </c>
      <c r="BL36" s="50">
        <v>46272.549305555556</v>
      </c>
      <c r="BM36" s="50">
        <v>46272.552083333336</v>
      </c>
      <c r="BN36" s="50">
        <v>46272.558333333334</v>
      </c>
      <c r="BR36"/>
      <c r="BS36"/>
      <c r="BT36"/>
      <c r="BU36"/>
      <c r="BV36"/>
      <c r="BW36"/>
      <c r="BX36"/>
      <c r="BY36"/>
    </row>
    <row r="37" spans="1:77">
      <c r="A37" t="s">
        <v>168</v>
      </c>
      <c r="B37" s="30">
        <v>36</v>
      </c>
      <c r="C37" s="30">
        <v>36</v>
      </c>
      <c r="D37" s="30" t="s">
        <v>169</v>
      </c>
      <c r="E37" s="30" t="s">
        <v>170</v>
      </c>
      <c r="F37" s="48">
        <v>46271</v>
      </c>
      <c r="G37" s="48">
        <v>46272</v>
      </c>
      <c r="H37" s="49">
        <v>0.5</v>
      </c>
      <c r="I37" s="49">
        <v>0.41666666666666669</v>
      </c>
      <c r="J37" s="30" t="s">
        <v>53</v>
      </c>
      <c r="K37" s="30" t="s">
        <v>171</v>
      </c>
      <c r="L37" s="30">
        <v>1</v>
      </c>
      <c r="M37" s="30" t="s">
        <v>2020</v>
      </c>
      <c r="P37" s="30" t="s">
        <v>174</v>
      </c>
      <c r="Q37" s="30" t="s">
        <v>84</v>
      </c>
      <c r="R37" s="30" t="s">
        <v>2021</v>
      </c>
      <c r="S37" s="30" t="s">
        <v>1823</v>
      </c>
      <c r="T37" s="30">
        <v>751600049566</v>
      </c>
      <c r="U37" s="30" t="s">
        <v>2022</v>
      </c>
      <c r="V37" s="30" t="s">
        <v>270</v>
      </c>
      <c r="W37" s="30">
        <v>810966</v>
      </c>
      <c r="X37" s="30" t="s">
        <v>179</v>
      </c>
      <c r="Y37" t="s">
        <v>941</v>
      </c>
      <c r="Z37" s="30" t="s">
        <v>180</v>
      </c>
      <c r="AA37" s="30" t="s">
        <v>181</v>
      </c>
      <c r="AB37" s="30" t="s">
        <v>1813</v>
      </c>
      <c r="AC37" s="30" t="s">
        <v>56</v>
      </c>
      <c r="AD37" s="30" t="s">
        <v>182</v>
      </c>
      <c r="AE37" s="30">
        <v>20609553376</v>
      </c>
      <c r="AF37" s="30" t="s">
        <v>2023</v>
      </c>
      <c r="AG37" s="30" t="s">
        <v>2024</v>
      </c>
      <c r="AH37" s="30" t="s">
        <v>185</v>
      </c>
      <c r="AI37" s="30" t="s">
        <v>2025</v>
      </c>
      <c r="AJ37" s="30" t="s">
        <v>2026</v>
      </c>
      <c r="AK37" s="30" t="s">
        <v>2027</v>
      </c>
      <c r="AL37" s="30" t="s">
        <v>1809</v>
      </c>
      <c r="AM37"/>
      <c r="AO37" s="30" t="s">
        <v>1809</v>
      </c>
      <c r="AP37" s="30" t="s">
        <v>1809</v>
      </c>
      <c r="AQ37" s="30" t="s">
        <v>1809</v>
      </c>
      <c r="AR37" s="30" t="s">
        <v>1809</v>
      </c>
      <c r="AS37" s="30" t="s">
        <v>84</v>
      </c>
      <c r="AT37" s="30" t="s">
        <v>64</v>
      </c>
      <c r="AU37" s="50">
        <v>46271.666666666664</v>
      </c>
      <c r="AV37" s="50">
        <v>46271.723611111112</v>
      </c>
      <c r="AW37" s="50">
        <v>46271.727083333331</v>
      </c>
      <c r="AX37" s="50">
        <v>46271.743055555555</v>
      </c>
      <c r="AY37" s="50">
        <v>46271.777777777781</v>
      </c>
      <c r="AZ37" s="50">
        <v>46271.784722222219</v>
      </c>
      <c r="BA37" s="51">
        <v>46272.397916666669</v>
      </c>
      <c r="BB37" s="51">
        <v>46272.419444444444</v>
      </c>
      <c r="BC37" s="50">
        <v>46272.422222222223</v>
      </c>
      <c r="BD37" s="50">
        <v>46272.458333333336</v>
      </c>
      <c r="BE37" s="51">
        <v>46272.496527777781</v>
      </c>
      <c r="BF37" s="51">
        <v>46272.527777777781</v>
      </c>
      <c r="BG37" s="51">
        <v>46272.563194444447</v>
      </c>
      <c r="BH37" s="51">
        <v>46272.576388888891</v>
      </c>
      <c r="BI37" s="30" t="s">
        <v>64</v>
      </c>
      <c r="BJ37" s="50">
        <v>46273.25</v>
      </c>
      <c r="BK37" s="50">
        <v>46273.159722222219</v>
      </c>
      <c r="BL37" s="50">
        <v>46273.1875</v>
      </c>
      <c r="BM37" s="50">
        <v>46273.188888888886</v>
      </c>
      <c r="BN37" s="50">
        <v>46273.194444444445</v>
      </c>
      <c r="BR37"/>
      <c r="BS37"/>
      <c r="BT37"/>
      <c r="BU37"/>
      <c r="BV37"/>
      <c r="BW37"/>
      <c r="BX37"/>
      <c r="BY37"/>
    </row>
    <row r="38" spans="1:77">
      <c r="A38" t="s">
        <v>168</v>
      </c>
      <c r="B38" s="30">
        <v>37</v>
      </c>
      <c r="C38" s="30">
        <v>36</v>
      </c>
      <c r="D38" s="30" t="s">
        <v>169</v>
      </c>
      <c r="E38" s="30" t="s">
        <v>170</v>
      </c>
      <c r="F38" s="48">
        <v>46271</v>
      </c>
      <c r="G38" s="48">
        <v>46272</v>
      </c>
      <c r="H38" s="49">
        <v>0.58333333333333337</v>
      </c>
      <c r="I38" s="49">
        <v>0.5</v>
      </c>
      <c r="J38" s="30" t="s">
        <v>53</v>
      </c>
      <c r="K38" s="30" t="s">
        <v>171</v>
      </c>
      <c r="L38" s="30">
        <v>1</v>
      </c>
      <c r="M38" s="30" t="s">
        <v>2028</v>
      </c>
      <c r="P38" s="30" t="s">
        <v>174</v>
      </c>
      <c r="Q38" s="30" t="s">
        <v>84</v>
      </c>
      <c r="R38" s="30" t="s">
        <v>1822</v>
      </c>
      <c r="S38" s="30" t="s">
        <v>2016</v>
      </c>
      <c r="T38" s="30" t="s">
        <v>2029</v>
      </c>
      <c r="U38" s="30" t="s">
        <v>2030</v>
      </c>
      <c r="V38" s="30">
        <v>1322937</v>
      </c>
      <c r="W38" s="30" t="s">
        <v>2031</v>
      </c>
      <c r="X38" s="30" t="s">
        <v>179</v>
      </c>
      <c r="Y38" t="s">
        <v>941</v>
      </c>
      <c r="Z38" s="30" t="s">
        <v>180</v>
      </c>
      <c r="AA38" s="30" t="s">
        <v>181</v>
      </c>
      <c r="AB38" s="30" t="s">
        <v>1813</v>
      </c>
      <c r="AC38" s="30" t="s">
        <v>56</v>
      </c>
      <c r="AD38" s="30" t="s">
        <v>182</v>
      </c>
      <c r="AE38" s="30">
        <v>20609553376</v>
      </c>
      <c r="AF38" s="30" t="s">
        <v>2032</v>
      </c>
      <c r="AG38" s="30" t="s">
        <v>2033</v>
      </c>
      <c r="AH38" s="30" t="s">
        <v>185</v>
      </c>
      <c r="AI38" s="30" t="s">
        <v>2034</v>
      </c>
      <c r="AJ38" s="30" t="s">
        <v>2035</v>
      </c>
      <c r="AK38" s="30" t="s">
        <v>2036</v>
      </c>
      <c r="AL38" s="30" t="s">
        <v>1809</v>
      </c>
      <c r="AM38"/>
      <c r="AO38" s="30" t="s">
        <v>1809</v>
      </c>
      <c r="AP38" s="30" t="s">
        <v>1809</v>
      </c>
      <c r="AQ38" s="30" t="s">
        <v>1809</v>
      </c>
      <c r="AR38" s="30" t="s">
        <v>1809</v>
      </c>
      <c r="AS38" s="30" t="s">
        <v>84</v>
      </c>
      <c r="AT38" s="30" t="s">
        <v>277</v>
      </c>
      <c r="AU38" s="50">
        <v>46271.75</v>
      </c>
      <c r="AV38" s="50">
        <v>46271.746527777781</v>
      </c>
      <c r="AW38" s="50">
        <v>46271.777777777781</v>
      </c>
      <c r="AX38" s="50">
        <v>46271.784722222219</v>
      </c>
      <c r="AY38" s="50">
        <v>46271.951388888891</v>
      </c>
      <c r="AZ38" s="50">
        <v>46271.958333333336</v>
      </c>
      <c r="BA38" s="51">
        <v>46272.401388888888</v>
      </c>
      <c r="BB38" s="51">
        <v>46272.425694444442</v>
      </c>
      <c r="BC38" s="50">
        <v>46272.427777777775</v>
      </c>
      <c r="BD38" s="50">
        <v>46272.438194444447</v>
      </c>
      <c r="BE38" s="51">
        <v>46272.529861111114</v>
      </c>
      <c r="BF38" s="51">
        <v>46272.616666666669</v>
      </c>
      <c r="BG38" s="51">
        <v>46272.70416666667</v>
      </c>
      <c r="BH38" s="51">
        <v>46272.767361111109</v>
      </c>
      <c r="BI38" s="30" t="s">
        <v>64</v>
      </c>
      <c r="BJ38" s="50">
        <v>46273.25</v>
      </c>
      <c r="BK38" s="50">
        <v>46273.25277777778</v>
      </c>
      <c r="BL38" s="50">
        <v>46273.313888888886</v>
      </c>
      <c r="BM38" s="50">
        <v>46273.325694444444</v>
      </c>
      <c r="BN38" s="50">
        <v>46273.342361111114</v>
      </c>
      <c r="BR38"/>
      <c r="BS38"/>
      <c r="BT38"/>
      <c r="BU38"/>
      <c r="BV38"/>
      <c r="BW38"/>
      <c r="BX38"/>
      <c r="BY38"/>
    </row>
    <row r="39" spans="1:77">
      <c r="A39" t="s">
        <v>168</v>
      </c>
      <c r="B39" s="30">
        <v>38</v>
      </c>
      <c r="C39" s="30">
        <v>37</v>
      </c>
      <c r="D39" s="30" t="s">
        <v>169</v>
      </c>
      <c r="E39" s="30" t="s">
        <v>170</v>
      </c>
      <c r="F39" s="48">
        <v>46277</v>
      </c>
      <c r="G39" s="48">
        <v>46278</v>
      </c>
      <c r="H39" s="49">
        <v>0.58333333333333337</v>
      </c>
      <c r="I39" s="49">
        <v>0.5</v>
      </c>
      <c r="J39" s="30" t="s">
        <v>53</v>
      </c>
      <c r="K39" s="30" t="s">
        <v>171</v>
      </c>
      <c r="L39" s="30">
        <v>1</v>
      </c>
      <c r="M39" s="30" t="s">
        <v>2291</v>
      </c>
      <c r="P39" s="30" t="s">
        <v>174</v>
      </c>
      <c r="Q39" s="30" t="s">
        <v>84</v>
      </c>
      <c r="R39" s="30" t="s">
        <v>1825</v>
      </c>
      <c r="S39" s="30" t="s">
        <v>1823</v>
      </c>
      <c r="T39" s="30" t="s">
        <v>2292</v>
      </c>
      <c r="U39" s="30" t="s">
        <v>2293</v>
      </c>
      <c r="V39" s="30" t="s">
        <v>2294</v>
      </c>
      <c r="W39" s="30">
        <v>816052</v>
      </c>
      <c r="X39" s="30" t="s">
        <v>179</v>
      </c>
      <c r="Y39" t="s">
        <v>941</v>
      </c>
      <c r="Z39" s="30" t="s">
        <v>180</v>
      </c>
      <c r="AA39" s="30" t="s">
        <v>181</v>
      </c>
      <c r="AB39" s="30" t="s">
        <v>1813</v>
      </c>
      <c r="AC39" s="30" t="s">
        <v>56</v>
      </c>
      <c r="AD39" s="30" t="s">
        <v>182</v>
      </c>
      <c r="AE39" s="30">
        <v>20609553376</v>
      </c>
      <c r="AF39" s="30" t="s">
        <v>2295</v>
      </c>
      <c r="AG39" s="30" t="s">
        <v>2296</v>
      </c>
      <c r="AH39" s="30" t="s">
        <v>185</v>
      </c>
      <c r="AI39" s="30" t="s">
        <v>2297</v>
      </c>
      <c r="AJ39" s="30" t="s">
        <v>2298</v>
      </c>
      <c r="AK39" s="30" t="s">
        <v>2299</v>
      </c>
      <c r="AL39" s="30" t="s">
        <v>1809</v>
      </c>
      <c r="AM39"/>
      <c r="AO39" s="30" t="s">
        <v>1809</v>
      </c>
      <c r="AP39" s="30" t="s">
        <v>1809</v>
      </c>
      <c r="AQ39" s="30" t="s">
        <v>1809</v>
      </c>
      <c r="AR39" s="30" t="s">
        <v>1809</v>
      </c>
      <c r="AS39" s="30" t="s">
        <v>84</v>
      </c>
      <c r="AT39" s="30" t="s">
        <v>64</v>
      </c>
      <c r="AU39" s="50">
        <v>46277.666666666664</v>
      </c>
      <c r="AV39" s="50">
        <v>46277.690972222219</v>
      </c>
      <c r="AW39" s="50">
        <v>46277.697222222225</v>
      </c>
      <c r="AX39" s="50">
        <v>46277.701388888891</v>
      </c>
      <c r="AY39" s="50">
        <v>46277.729861111111</v>
      </c>
      <c r="AZ39" s="50">
        <v>46277.730555555558</v>
      </c>
      <c r="BA39" s="51">
        <v>46278.446527777778</v>
      </c>
      <c r="BB39" s="51">
        <v>46278.458333333336</v>
      </c>
      <c r="BC39" s="50">
        <v>46278.5</v>
      </c>
      <c r="BD39" s="50">
        <v>46278.520833333336</v>
      </c>
      <c r="BE39" s="51">
        <v>46278.666666666664</v>
      </c>
      <c r="BF39" s="51">
        <v>46278.708333333336</v>
      </c>
      <c r="BG39" s="51">
        <v>46278.729166666664</v>
      </c>
      <c r="BH39" s="51">
        <v>46278.738888888889</v>
      </c>
      <c r="BI39" s="30" t="s">
        <v>64</v>
      </c>
      <c r="BJ39" s="50">
        <v>46279.5</v>
      </c>
      <c r="BK39" s="50">
        <v>46279.464583333334</v>
      </c>
      <c r="BL39" s="50">
        <v>46279.522916666669</v>
      </c>
      <c r="BM39" s="50">
        <v>46279.53125</v>
      </c>
      <c r="BN39" s="50">
        <v>46279.551388888889</v>
      </c>
      <c r="BR39"/>
      <c r="BS39"/>
      <c r="BT39"/>
      <c r="BU39"/>
      <c r="BV39"/>
      <c r="BW39"/>
      <c r="BX39"/>
      <c r="BY39"/>
    </row>
    <row r="40" spans="1:77">
      <c r="A40" t="s">
        <v>168</v>
      </c>
      <c r="B40" s="30">
        <v>39</v>
      </c>
      <c r="C40" s="30">
        <v>37</v>
      </c>
      <c r="D40" s="30" t="s">
        <v>169</v>
      </c>
      <c r="E40" s="30" t="s">
        <v>170</v>
      </c>
      <c r="F40" s="48">
        <v>46277</v>
      </c>
      <c r="G40" s="48">
        <v>46278</v>
      </c>
      <c r="H40" s="49">
        <v>0.66666666666666663</v>
      </c>
      <c r="I40" s="49">
        <v>0.58333333333333337</v>
      </c>
      <c r="J40" s="30" t="s">
        <v>53</v>
      </c>
      <c r="K40" s="30" t="s">
        <v>171</v>
      </c>
      <c r="L40" s="30">
        <v>1</v>
      </c>
      <c r="M40" s="30" t="s">
        <v>2300</v>
      </c>
      <c r="P40" s="30" t="s">
        <v>174</v>
      </c>
      <c r="Q40" s="30" t="s">
        <v>84</v>
      </c>
      <c r="R40" s="30" t="s">
        <v>1822</v>
      </c>
      <c r="S40" s="30" t="s">
        <v>1823</v>
      </c>
      <c r="T40" s="30" t="s">
        <v>2301</v>
      </c>
      <c r="U40" s="30" t="s">
        <v>2302</v>
      </c>
      <c r="V40" s="30" t="s">
        <v>2303</v>
      </c>
      <c r="W40" s="30">
        <v>816043</v>
      </c>
      <c r="X40" s="30" t="s">
        <v>179</v>
      </c>
      <c r="Y40" t="s">
        <v>941</v>
      </c>
      <c r="Z40" s="30" t="s">
        <v>180</v>
      </c>
      <c r="AA40" s="30" t="s">
        <v>181</v>
      </c>
      <c r="AB40" s="30" t="s">
        <v>1813</v>
      </c>
      <c r="AC40" s="30" t="s">
        <v>56</v>
      </c>
      <c r="AD40" s="30" t="s">
        <v>182</v>
      </c>
      <c r="AE40" s="30">
        <v>20609553376</v>
      </c>
      <c r="AF40" s="30" t="s">
        <v>2032</v>
      </c>
      <c r="AG40" s="30" t="s">
        <v>2033</v>
      </c>
      <c r="AH40" s="30" t="s">
        <v>185</v>
      </c>
      <c r="AI40" s="30" t="s">
        <v>2034</v>
      </c>
      <c r="AJ40" s="30" t="s">
        <v>2035</v>
      </c>
      <c r="AK40" s="30" t="s">
        <v>2036</v>
      </c>
      <c r="AL40" s="30" t="s">
        <v>1809</v>
      </c>
      <c r="AM40"/>
      <c r="AO40" s="30" t="s">
        <v>1809</v>
      </c>
      <c r="AP40" s="30" t="s">
        <v>1809</v>
      </c>
      <c r="AQ40" s="30" t="s">
        <v>1809</v>
      </c>
      <c r="AR40" s="30" t="s">
        <v>1809</v>
      </c>
      <c r="AS40" s="30" t="s">
        <v>84</v>
      </c>
      <c r="AT40" s="30" t="s">
        <v>64</v>
      </c>
      <c r="AU40" s="50">
        <v>46277.666666666664</v>
      </c>
      <c r="AV40" s="50">
        <v>46277.632638888892</v>
      </c>
      <c r="AW40" s="50">
        <v>46277.640277777777</v>
      </c>
      <c r="AX40" s="50">
        <v>46277.656944444447</v>
      </c>
      <c r="AY40" s="50">
        <v>46277.717361111114</v>
      </c>
      <c r="AZ40" s="50">
        <v>46277.718055555553</v>
      </c>
      <c r="BA40" s="51">
        <v>46278.464583333334</v>
      </c>
      <c r="BB40" s="51">
        <v>46278.46875</v>
      </c>
      <c r="BC40" s="50">
        <v>46278.479166666664</v>
      </c>
      <c r="BD40" s="50">
        <v>46278.541666666664</v>
      </c>
      <c r="BE40" s="51">
        <v>46278.625</v>
      </c>
      <c r="BF40" s="51">
        <v>46278.6875</v>
      </c>
      <c r="BG40" s="51">
        <v>46278.708333333336</v>
      </c>
      <c r="BH40" s="51">
        <v>46278.72152777778</v>
      </c>
      <c r="BI40" s="30" t="s">
        <v>64</v>
      </c>
      <c r="BJ40" s="50">
        <v>46279.583333333336</v>
      </c>
      <c r="BK40" s="50">
        <v>46279.518055555556</v>
      </c>
      <c r="BL40" s="50">
        <v>46279.540277777778</v>
      </c>
      <c r="BM40" s="50">
        <v>46279.54583333333</v>
      </c>
      <c r="BN40" s="50">
        <v>46279.55972222222</v>
      </c>
      <c r="BR40"/>
      <c r="BS40"/>
      <c r="BT40"/>
      <c r="BU40"/>
      <c r="BV40"/>
      <c r="BW40"/>
      <c r="BX40"/>
      <c r="BY40"/>
    </row>
    <row r="41" spans="1:77">
      <c r="A41" t="s">
        <v>168</v>
      </c>
      <c r="B41" s="30">
        <v>40</v>
      </c>
      <c r="C41" s="30">
        <v>37</v>
      </c>
      <c r="D41" s="30" t="s">
        <v>169</v>
      </c>
      <c r="E41" s="30" t="s">
        <v>170</v>
      </c>
      <c r="F41" s="48">
        <v>46278</v>
      </c>
      <c r="G41" s="48">
        <v>46279</v>
      </c>
      <c r="H41" s="49">
        <v>0.58333333333333337</v>
      </c>
      <c r="I41" s="49">
        <v>0.5</v>
      </c>
      <c r="J41" s="30" t="s">
        <v>53</v>
      </c>
      <c r="K41" s="30" t="s">
        <v>171</v>
      </c>
      <c r="L41" s="30">
        <v>1</v>
      </c>
      <c r="M41" s="30" t="s">
        <v>2304</v>
      </c>
      <c r="P41" s="30" t="s">
        <v>174</v>
      </c>
      <c r="Q41" s="30" t="s">
        <v>84</v>
      </c>
      <c r="R41" s="30" t="s">
        <v>1822</v>
      </c>
      <c r="S41" s="30" t="s">
        <v>1823</v>
      </c>
      <c r="T41" s="30">
        <v>751600050653</v>
      </c>
      <c r="U41" s="30" t="s">
        <v>2305</v>
      </c>
      <c r="V41" s="30">
        <v>816193</v>
      </c>
      <c r="X41" s="30" t="s">
        <v>179</v>
      </c>
      <c r="Y41" t="s">
        <v>180</v>
      </c>
      <c r="Z41" s="30" t="s">
        <v>180</v>
      </c>
      <c r="AA41" s="30" t="s">
        <v>181</v>
      </c>
      <c r="AB41" s="30" t="s">
        <v>1813</v>
      </c>
      <c r="AC41" s="30" t="s">
        <v>56</v>
      </c>
      <c r="AD41" s="30" t="s">
        <v>182</v>
      </c>
      <c r="AE41" s="30">
        <v>20609553376</v>
      </c>
      <c r="AF41" s="30" t="s">
        <v>331</v>
      </c>
      <c r="AG41" s="30" t="s">
        <v>332</v>
      </c>
      <c r="AH41" s="30" t="s">
        <v>185</v>
      </c>
      <c r="AI41" s="30" t="s">
        <v>2306</v>
      </c>
      <c r="AJ41" s="30" t="s">
        <v>746</v>
      </c>
      <c r="AK41" s="30" t="s">
        <v>2307</v>
      </c>
      <c r="AL41" s="30" t="s">
        <v>1809</v>
      </c>
      <c r="AM41"/>
      <c r="AO41" s="30" t="s">
        <v>1809</v>
      </c>
      <c r="AP41" s="30" t="s">
        <v>1809</v>
      </c>
      <c r="AQ41" s="30" t="s">
        <v>1809</v>
      </c>
      <c r="AR41" s="30" t="s">
        <v>1809</v>
      </c>
      <c r="AS41" s="30" t="s">
        <v>84</v>
      </c>
      <c r="AT41" s="30" t="s">
        <v>64</v>
      </c>
      <c r="AU41" s="50">
        <v>46278.583333333336</v>
      </c>
      <c r="AV41" s="50">
        <v>46278.561111111114</v>
      </c>
      <c r="AW41" s="50">
        <v>46278.561805555553</v>
      </c>
      <c r="AX41" s="50">
        <v>46278.564583333333</v>
      </c>
      <c r="AY41" s="50">
        <v>46278.65625</v>
      </c>
      <c r="AZ41" s="50">
        <v>46278.769444444442</v>
      </c>
      <c r="BA41" s="51">
        <v>46279.5</v>
      </c>
      <c r="BB41" s="51">
        <v>46279.493750000001</v>
      </c>
      <c r="BC41" s="50">
        <v>46279.541666666664</v>
      </c>
      <c r="BD41" s="50">
        <v>46279.5625</v>
      </c>
      <c r="BE41" s="51">
        <v>46279.666666666664</v>
      </c>
      <c r="BF41" s="51">
        <v>46279.708333333336</v>
      </c>
      <c r="BG41" s="51">
        <v>46279.75</v>
      </c>
      <c r="BH41" s="51">
        <v>46279.774305555555</v>
      </c>
      <c r="BI41" s="30" t="s">
        <v>64</v>
      </c>
      <c r="BJ41" s="50">
        <v>46280.541666666664</v>
      </c>
      <c r="BK41" s="50">
        <v>46280.520833333336</v>
      </c>
      <c r="BL41" s="50">
        <v>46280.6875</v>
      </c>
      <c r="BM41" s="50">
        <v>46280.71875</v>
      </c>
      <c r="BN41" s="50">
        <v>46280.75277777778</v>
      </c>
      <c r="BR41"/>
      <c r="BS41"/>
      <c r="BT41"/>
      <c r="BU41"/>
      <c r="BV41"/>
      <c r="BW41"/>
      <c r="BX41"/>
      <c r="BY41"/>
    </row>
    <row r="42" spans="1:77">
      <c r="A42" t="s">
        <v>168</v>
      </c>
      <c r="B42" s="30">
        <v>41</v>
      </c>
      <c r="C42" s="30">
        <v>38</v>
      </c>
      <c r="D42" s="30" t="s">
        <v>169</v>
      </c>
      <c r="E42" s="30" t="s">
        <v>170</v>
      </c>
      <c r="F42" s="48">
        <v>46282</v>
      </c>
      <c r="G42" s="48">
        <v>46283</v>
      </c>
      <c r="H42" s="49">
        <v>0.5</v>
      </c>
      <c r="I42" s="49">
        <v>0.41666666666666669</v>
      </c>
      <c r="J42" s="30" t="s">
        <v>53</v>
      </c>
      <c r="K42" s="30" t="s">
        <v>171</v>
      </c>
      <c r="L42" s="30">
        <v>1</v>
      </c>
      <c r="M42" s="30" t="s">
        <v>2308</v>
      </c>
      <c r="P42" s="30" t="s">
        <v>174</v>
      </c>
      <c r="Q42" s="30" t="s">
        <v>84</v>
      </c>
      <c r="R42" s="30" t="s">
        <v>390</v>
      </c>
      <c r="S42" s="30" t="s">
        <v>1823</v>
      </c>
      <c r="T42" s="30" t="s">
        <v>2309</v>
      </c>
      <c r="U42" s="30" t="s">
        <v>2310</v>
      </c>
      <c r="V42" s="30">
        <v>1331584</v>
      </c>
      <c r="W42" s="30" t="s">
        <v>2311</v>
      </c>
      <c r="X42" s="30" t="s">
        <v>179</v>
      </c>
      <c r="Y42" t="s">
        <v>180</v>
      </c>
      <c r="Z42" s="30" t="s">
        <v>180</v>
      </c>
      <c r="AA42" s="30" t="s">
        <v>181</v>
      </c>
      <c r="AB42" s="30" t="s">
        <v>1813</v>
      </c>
      <c r="AC42" s="30" t="s">
        <v>56</v>
      </c>
      <c r="AD42" s="30" t="s">
        <v>182</v>
      </c>
      <c r="AE42" s="30">
        <v>20609553376</v>
      </c>
      <c r="AF42" s="30" t="s">
        <v>2312</v>
      </c>
      <c r="AG42" s="30" t="s">
        <v>2313</v>
      </c>
      <c r="AH42" s="30" t="s">
        <v>185</v>
      </c>
      <c r="AI42" s="30" t="s">
        <v>2314</v>
      </c>
      <c r="AJ42" s="30" t="s">
        <v>2315</v>
      </c>
      <c r="AK42" s="30" t="s">
        <v>2316</v>
      </c>
      <c r="AL42" s="30" t="s">
        <v>1809</v>
      </c>
      <c r="AM42"/>
      <c r="AO42" s="30" t="s">
        <v>1809</v>
      </c>
      <c r="AP42" s="30" t="s">
        <v>1809</v>
      </c>
      <c r="AQ42" s="30" t="s">
        <v>1809</v>
      </c>
      <c r="AR42" s="30" t="s">
        <v>1809</v>
      </c>
      <c r="AS42" s="30" t="s">
        <v>84</v>
      </c>
      <c r="AT42" s="30" t="s">
        <v>277</v>
      </c>
      <c r="AU42" s="50">
        <v>46282.583333333336</v>
      </c>
      <c r="AV42" s="50">
        <v>46282.574999999997</v>
      </c>
      <c r="AW42" s="50">
        <v>46282.585416666669</v>
      </c>
      <c r="AX42" s="50">
        <v>46282.591666666667</v>
      </c>
      <c r="AY42" s="50">
        <v>46282.710416666669</v>
      </c>
      <c r="AZ42" s="50">
        <v>46282.713888888888</v>
      </c>
      <c r="BA42" s="51">
        <v>46283.375</v>
      </c>
      <c r="BB42" s="51">
        <v>46283.390277777777</v>
      </c>
      <c r="BC42" s="50">
        <v>46283.399305555555</v>
      </c>
      <c r="BD42" s="50">
        <v>46283.409722222219</v>
      </c>
      <c r="BE42" s="51">
        <v>46283.548611111109</v>
      </c>
      <c r="BF42" s="51">
        <v>46283.548611111109</v>
      </c>
      <c r="BG42" s="51">
        <v>46279.743055555555</v>
      </c>
      <c r="BH42" s="51">
        <v>46283.756249999999</v>
      </c>
      <c r="BI42" s="30" t="s">
        <v>64</v>
      </c>
      <c r="BJ42" s="50">
        <v>46284.636805555558</v>
      </c>
      <c r="BK42" s="50">
        <v>46284.683333333334</v>
      </c>
      <c r="BL42" s="50">
        <v>46279.697916666664</v>
      </c>
      <c r="BM42" s="50">
        <v>46279.708333333336</v>
      </c>
      <c r="BN42" s="50">
        <v>46284.726388888892</v>
      </c>
      <c r="BR42"/>
      <c r="BS42"/>
      <c r="BT42"/>
      <c r="BU42"/>
      <c r="BV42"/>
      <c r="BW42"/>
      <c r="BX42"/>
      <c r="BY42"/>
    </row>
    <row r="43" spans="1:77">
      <c r="A43" t="s">
        <v>168</v>
      </c>
      <c r="C43" s="30">
        <v>38</v>
      </c>
      <c r="D43" s="30" t="s">
        <v>169</v>
      </c>
      <c r="E43" s="30" t="s">
        <v>170</v>
      </c>
      <c r="F43" s="48">
        <v>46286</v>
      </c>
      <c r="G43" s="48">
        <v>46287</v>
      </c>
      <c r="H43" s="49">
        <v>0.66666666666666663</v>
      </c>
      <c r="I43" s="49">
        <v>0.58333333333333337</v>
      </c>
      <c r="J43" s="30" t="s">
        <v>53</v>
      </c>
      <c r="K43" s="30" t="s">
        <v>171</v>
      </c>
      <c r="L43" s="30">
        <v>1</v>
      </c>
      <c r="M43" s="30" t="s">
        <v>2317</v>
      </c>
      <c r="P43" s="30" t="s">
        <v>174</v>
      </c>
      <c r="Q43" s="30" t="s">
        <v>83</v>
      </c>
      <c r="R43" s="30" t="s">
        <v>939</v>
      </c>
      <c r="S43" s="30" t="s">
        <v>391</v>
      </c>
      <c r="T43" s="30">
        <v>6466989870</v>
      </c>
      <c r="U43" s="30" t="s">
        <v>2666</v>
      </c>
      <c r="V43" s="30">
        <v>23424</v>
      </c>
      <c r="W43" s="30">
        <v>32994905</v>
      </c>
      <c r="X43" s="30" t="s">
        <v>179</v>
      </c>
      <c r="Y43" t="s">
        <v>941</v>
      </c>
      <c r="Z43" s="30" t="s">
        <v>180</v>
      </c>
      <c r="AA43" s="30" t="s">
        <v>181</v>
      </c>
      <c r="AB43" s="30" t="s">
        <v>1813</v>
      </c>
      <c r="AC43" s="30" t="s">
        <v>56</v>
      </c>
      <c r="AD43" s="30" t="s">
        <v>182</v>
      </c>
      <c r="AE43" s="30">
        <v>20609553376</v>
      </c>
      <c r="AF43" s="30" t="s">
        <v>2667</v>
      </c>
      <c r="AG43" s="30" t="s">
        <v>2313</v>
      </c>
      <c r="AH43" s="30" t="s">
        <v>185</v>
      </c>
      <c r="AI43" s="30" t="s">
        <v>264</v>
      </c>
      <c r="AJ43" s="30" t="s">
        <v>265</v>
      </c>
      <c r="AK43" s="30" t="s">
        <v>2316</v>
      </c>
      <c r="AL43" s="30" t="s">
        <v>1809</v>
      </c>
      <c r="AM43"/>
      <c r="AS43" s="30" t="s">
        <v>83</v>
      </c>
      <c r="AT43" s="30" t="s">
        <v>240</v>
      </c>
      <c r="AU43" s="50">
        <v>46286.583333333336</v>
      </c>
      <c r="AV43" s="50">
        <v>46286.715277777781</v>
      </c>
      <c r="AW43" s="50">
        <v>46286.716666666667</v>
      </c>
      <c r="AX43" s="50">
        <v>46286.719444444447</v>
      </c>
      <c r="AY43" s="50">
        <v>46286.729166666664</v>
      </c>
      <c r="AZ43" s="50">
        <v>46286.816666666666</v>
      </c>
      <c r="BA43" s="51">
        <v>46287.548611111109</v>
      </c>
      <c r="BB43" s="51">
        <v>46287.5625</v>
      </c>
      <c r="BC43" s="50">
        <v>46287.572916666664</v>
      </c>
      <c r="BD43" s="50">
        <v>46287.590277777781</v>
      </c>
      <c r="BE43" s="51">
        <v>46287.6875</v>
      </c>
      <c r="BF43" s="51">
        <v>46287.704861111109</v>
      </c>
      <c r="BG43" s="51">
        <v>46287.734027777777</v>
      </c>
      <c r="BH43" s="51">
        <v>46287.76458333333</v>
      </c>
      <c r="BI43" s="30" t="s">
        <v>240</v>
      </c>
      <c r="BJ43" s="50">
        <v>46288</v>
      </c>
      <c r="BK43" s="50">
        <v>46288.42083333333</v>
      </c>
      <c r="BL43" s="50">
        <v>46288.461805555555</v>
      </c>
      <c r="BM43" s="50">
        <v>46288.46875</v>
      </c>
      <c r="BN43" s="50">
        <v>46288.478472222225</v>
      </c>
      <c r="BR43"/>
      <c r="BS43"/>
      <c r="BT43"/>
      <c r="BU43"/>
      <c r="BV43"/>
      <c r="BW43"/>
      <c r="BX43"/>
      <c r="BY43"/>
    </row>
    <row r="44" spans="1:77">
      <c r="A44" t="s">
        <v>168</v>
      </c>
      <c r="C44" s="30">
        <v>38</v>
      </c>
      <c r="D44" s="30" t="s">
        <v>169</v>
      </c>
      <c r="E44" s="30" t="s">
        <v>170</v>
      </c>
      <c r="F44" s="48">
        <v>46286</v>
      </c>
      <c r="G44" s="48">
        <v>46287</v>
      </c>
      <c r="H44" s="49">
        <v>0.66666666666666663</v>
      </c>
      <c r="I44" s="49">
        <v>0.58333333333333337</v>
      </c>
      <c r="J44" s="30" t="s">
        <v>53</v>
      </c>
      <c r="K44" s="30" t="s">
        <v>171</v>
      </c>
      <c r="L44" s="30">
        <v>1</v>
      </c>
      <c r="M44" s="30" t="s">
        <v>2319</v>
      </c>
      <c r="P44" s="30" t="s">
        <v>174</v>
      </c>
      <c r="Q44" s="30" t="s">
        <v>83</v>
      </c>
      <c r="R44" s="30" t="s">
        <v>1822</v>
      </c>
      <c r="S44" s="30" t="s">
        <v>391</v>
      </c>
      <c r="T44" s="30">
        <v>6466989840</v>
      </c>
      <c r="U44" s="30" t="s">
        <v>2668</v>
      </c>
      <c r="V44" s="30">
        <v>23425</v>
      </c>
      <c r="W44" s="30">
        <v>32994906</v>
      </c>
      <c r="X44" s="30" t="s">
        <v>179</v>
      </c>
      <c r="Y44" t="s">
        <v>941</v>
      </c>
      <c r="Z44" s="30" t="s">
        <v>180</v>
      </c>
      <c r="AA44" s="30" t="s">
        <v>181</v>
      </c>
      <c r="AB44" s="30" t="s">
        <v>1813</v>
      </c>
      <c r="AC44" s="30" t="s">
        <v>56</v>
      </c>
      <c r="AD44" s="30" t="s">
        <v>182</v>
      </c>
      <c r="AE44" s="30">
        <v>20609553376</v>
      </c>
      <c r="AF44" s="30" t="s">
        <v>347</v>
      </c>
      <c r="AG44" s="30" t="s">
        <v>348</v>
      </c>
      <c r="AH44" s="30" t="s">
        <v>185</v>
      </c>
      <c r="AI44" s="30" t="s">
        <v>2669</v>
      </c>
      <c r="AJ44" s="30" t="s">
        <v>2670</v>
      </c>
      <c r="AK44" s="30" t="s">
        <v>2671</v>
      </c>
      <c r="AL44" s="30" t="s">
        <v>1809</v>
      </c>
      <c r="AM44"/>
      <c r="AS44" s="30" t="s">
        <v>83</v>
      </c>
      <c r="AT44" s="30" t="s">
        <v>240</v>
      </c>
      <c r="AU44" s="50">
        <v>46286.583333333336</v>
      </c>
      <c r="AV44" s="50">
        <v>46286.715277777781</v>
      </c>
      <c r="AW44" s="50">
        <v>46286.716666666667</v>
      </c>
      <c r="AX44" s="50">
        <v>46286.734722222223</v>
      </c>
      <c r="AY44" s="50">
        <v>46286.737500000003</v>
      </c>
      <c r="AZ44" s="50">
        <v>46286.815972222219</v>
      </c>
      <c r="BA44" s="51">
        <v>46287.549305555556</v>
      </c>
      <c r="BB44" s="51">
        <v>46287.5625</v>
      </c>
      <c r="BC44" s="50">
        <v>46287.572916666664</v>
      </c>
      <c r="BD44" s="50">
        <v>46287.597222222219</v>
      </c>
      <c r="BE44" s="51">
        <v>46287.631944444445</v>
      </c>
      <c r="BF44" s="51">
        <v>46287.666666666664</v>
      </c>
      <c r="BG44" s="51">
        <v>46287.68472222222</v>
      </c>
      <c r="BH44" s="51">
        <v>46287.789583333331</v>
      </c>
      <c r="BI44" s="30" t="s">
        <v>240</v>
      </c>
      <c r="BJ44" s="50">
        <v>46288</v>
      </c>
      <c r="BK44" s="50">
        <v>46288.42083333333</v>
      </c>
      <c r="BL44" s="50">
        <v>46288.443749999999</v>
      </c>
      <c r="BM44" s="50">
        <v>46288.447916666664</v>
      </c>
      <c r="BN44" s="50">
        <v>46288.464583333334</v>
      </c>
      <c r="BR44"/>
      <c r="BS44"/>
      <c r="BT44"/>
      <c r="BU44"/>
      <c r="BV44"/>
      <c r="BW44"/>
      <c r="BX44"/>
      <c r="BY44"/>
    </row>
    <row r="45" spans="1:77">
      <c r="A45" t="s">
        <v>168</v>
      </c>
      <c r="C45" s="30">
        <v>38</v>
      </c>
      <c r="D45" s="30" t="s">
        <v>169</v>
      </c>
      <c r="E45" s="30" t="s">
        <v>170</v>
      </c>
      <c r="F45" s="48">
        <v>46286</v>
      </c>
      <c r="G45" s="48">
        <v>46287</v>
      </c>
      <c r="H45" s="49">
        <v>0.66666666666666663</v>
      </c>
      <c r="I45" s="49">
        <v>0.58333333333333337</v>
      </c>
      <c r="J45" s="30" t="s">
        <v>53</v>
      </c>
      <c r="K45" s="30" t="s">
        <v>171</v>
      </c>
      <c r="L45" s="30">
        <v>1</v>
      </c>
      <c r="M45" s="30" t="s">
        <v>2318</v>
      </c>
      <c r="P45" s="30" t="s">
        <v>174</v>
      </c>
      <c r="Q45" s="30" t="s">
        <v>83</v>
      </c>
      <c r="R45" s="30" t="s">
        <v>939</v>
      </c>
      <c r="S45" s="30" t="s">
        <v>391</v>
      </c>
      <c r="T45" s="30">
        <v>6466989890</v>
      </c>
      <c r="U45" s="30" t="s">
        <v>2672</v>
      </c>
      <c r="V45" s="30">
        <v>23428</v>
      </c>
      <c r="W45" s="30">
        <v>32994909</v>
      </c>
      <c r="X45" s="30" t="s">
        <v>179</v>
      </c>
      <c r="Y45" t="s">
        <v>941</v>
      </c>
      <c r="Z45" s="30" t="s">
        <v>180</v>
      </c>
      <c r="AA45" s="30" t="s">
        <v>181</v>
      </c>
      <c r="AB45" s="30" t="s">
        <v>1813</v>
      </c>
      <c r="AC45" s="30" t="s">
        <v>56</v>
      </c>
      <c r="AD45" s="30" t="s">
        <v>182</v>
      </c>
      <c r="AE45" s="30">
        <v>20609553376</v>
      </c>
      <c r="AF45" s="30" t="s">
        <v>2032</v>
      </c>
      <c r="AG45" s="30" t="s">
        <v>2033</v>
      </c>
      <c r="AH45" s="30" t="s">
        <v>185</v>
      </c>
      <c r="AI45" s="30" t="s">
        <v>2673</v>
      </c>
      <c r="AJ45" s="30" t="s">
        <v>2035</v>
      </c>
      <c r="AK45" s="30" t="s">
        <v>2036</v>
      </c>
      <c r="AL45" s="30" t="s">
        <v>1809</v>
      </c>
      <c r="AM45"/>
      <c r="AS45" s="30" t="s">
        <v>83</v>
      </c>
      <c r="AT45" s="30" t="s">
        <v>240</v>
      </c>
      <c r="AU45" s="50">
        <v>46286.583333333336</v>
      </c>
      <c r="AV45" s="50">
        <v>46286.854166666664</v>
      </c>
      <c r="AW45" s="50">
        <v>46286.86041666667</v>
      </c>
      <c r="AX45" s="50">
        <v>46286.87222222222</v>
      </c>
      <c r="AY45" s="50">
        <v>46286.922222222223</v>
      </c>
      <c r="AZ45" s="50">
        <v>46286.923611111109</v>
      </c>
      <c r="BA45" s="51">
        <v>46287.56527777778</v>
      </c>
      <c r="BB45" s="51">
        <v>46287.565972222219</v>
      </c>
      <c r="BC45" s="50">
        <v>46287.576388888891</v>
      </c>
      <c r="BD45" s="50">
        <v>46287.611111111109</v>
      </c>
      <c r="BE45" s="51">
        <v>46287.73541666667</v>
      </c>
      <c r="BF45" s="51">
        <v>46287.756944444445</v>
      </c>
      <c r="BG45" s="51">
        <v>46287.78125</v>
      </c>
      <c r="BH45" s="51">
        <v>46287.795138888891</v>
      </c>
      <c r="BI45" s="30" t="s">
        <v>240</v>
      </c>
      <c r="BJ45" s="50">
        <v>46288</v>
      </c>
      <c r="BK45" s="50">
        <v>46288.407638888886</v>
      </c>
      <c r="BL45" s="50">
        <v>46288.426388888889</v>
      </c>
      <c r="BM45" s="50">
        <v>46288.440972222219</v>
      </c>
      <c r="BN45" s="50">
        <v>46288.463194444441</v>
      </c>
      <c r="BR45"/>
      <c r="BS45"/>
      <c r="BT45"/>
      <c r="BU45"/>
      <c r="BV45"/>
      <c r="BW45"/>
      <c r="BX45"/>
      <c r="BY45"/>
    </row>
    <row r="46" spans="1:77">
      <c r="A46" t="s">
        <v>168</v>
      </c>
      <c r="C46" s="30">
        <v>39</v>
      </c>
      <c r="H46" s="49"/>
      <c r="I46" s="49"/>
      <c r="L46" s="30">
        <v>1</v>
      </c>
      <c r="M46" s="30" t="s">
        <v>2688</v>
      </c>
      <c r="Y46"/>
      <c r="AM46"/>
      <c r="BA46" s="51"/>
      <c r="BB46" s="51"/>
      <c r="BE46" s="51"/>
      <c r="BF46" s="51"/>
      <c r="BG46" s="51"/>
      <c r="BH46" s="51"/>
      <c r="BJ46" s="50"/>
      <c r="BK46" s="50"/>
      <c r="BL46" s="50"/>
      <c r="BM46" s="50"/>
      <c r="BN46" s="50"/>
      <c r="BR46"/>
      <c r="BS46"/>
      <c r="BT46"/>
      <c r="BU46"/>
      <c r="BV46"/>
      <c r="BW46"/>
      <c r="BX46"/>
      <c r="BY46"/>
    </row>
    <row r="47" spans="1:77">
      <c r="A47" t="s">
        <v>168</v>
      </c>
      <c r="B47" s="30">
        <v>1</v>
      </c>
      <c r="C47" s="30">
        <v>30</v>
      </c>
      <c r="D47" s="30" t="s">
        <v>360</v>
      </c>
      <c r="E47" s="30" t="s">
        <v>170</v>
      </c>
      <c r="F47" s="48">
        <v>46227</v>
      </c>
      <c r="G47" s="48">
        <v>46228</v>
      </c>
      <c r="H47" s="49">
        <v>0.41666666666666669</v>
      </c>
      <c r="I47" s="49">
        <v>0.33333333333333331</v>
      </c>
      <c r="J47" s="30" t="s">
        <v>361</v>
      </c>
      <c r="K47" s="30" t="s">
        <v>171</v>
      </c>
      <c r="L47" s="30">
        <v>1</v>
      </c>
      <c r="M47" s="30" t="s">
        <v>362</v>
      </c>
      <c r="N47" s="30" t="s">
        <v>173</v>
      </c>
      <c r="O47" s="30" t="s">
        <v>173</v>
      </c>
      <c r="P47" s="30" t="s">
        <v>174</v>
      </c>
      <c r="Q47" s="30" t="s">
        <v>363</v>
      </c>
      <c r="R47" s="30" t="s">
        <v>175</v>
      </c>
      <c r="S47" s="30" t="s">
        <v>176</v>
      </c>
      <c r="T47" s="30" t="s">
        <v>364</v>
      </c>
      <c r="U47" s="30" t="s">
        <v>365</v>
      </c>
      <c r="V47" s="30" t="s">
        <v>366</v>
      </c>
      <c r="W47" s="30" t="s">
        <v>367</v>
      </c>
      <c r="X47" s="30" t="s">
        <v>179</v>
      </c>
      <c r="Y47" t="s">
        <v>180</v>
      </c>
      <c r="Z47" s="30" t="s">
        <v>180</v>
      </c>
      <c r="AA47" s="30" t="s">
        <v>181</v>
      </c>
      <c r="AB47" s="30" t="s">
        <v>1814</v>
      </c>
      <c r="AC47" s="30" t="s">
        <v>56</v>
      </c>
      <c r="AD47" s="30" t="s">
        <v>368</v>
      </c>
      <c r="AE47" s="30">
        <v>20525373551</v>
      </c>
      <c r="AF47" s="30" t="s">
        <v>369</v>
      </c>
      <c r="AG47" s="30" t="s">
        <v>1790</v>
      </c>
      <c r="AH47" s="30" t="s">
        <v>185</v>
      </c>
      <c r="AI47" s="30" t="s">
        <v>370</v>
      </c>
      <c r="AJ47" s="30" t="s">
        <v>371</v>
      </c>
      <c r="AK47" s="30">
        <v>998231122</v>
      </c>
      <c r="AL47" s="30" t="s">
        <v>1809</v>
      </c>
      <c r="AM47" t="s">
        <v>270</v>
      </c>
      <c r="AN47" s="30" t="s">
        <v>270</v>
      </c>
      <c r="AO47" s="30" t="s">
        <v>1809</v>
      </c>
      <c r="AP47" s="30" t="s">
        <v>1809</v>
      </c>
      <c r="AQ47" s="30" t="s">
        <v>1809</v>
      </c>
      <c r="AR47" s="30" t="s">
        <v>1809</v>
      </c>
      <c r="AS47" s="30" t="s">
        <v>63</v>
      </c>
      <c r="AT47" s="30" t="s">
        <v>64</v>
      </c>
      <c r="AU47" s="50">
        <v>46227.666666666664</v>
      </c>
      <c r="AV47" s="50">
        <v>46227.661805555559</v>
      </c>
      <c r="AW47" s="50">
        <v>46227.692361111112</v>
      </c>
      <c r="AX47" s="50">
        <v>46227.695138888892</v>
      </c>
      <c r="AY47" s="50">
        <v>46227.769444444442</v>
      </c>
      <c r="AZ47" s="50">
        <v>46227.776388888888</v>
      </c>
      <c r="BA47" s="51">
        <v>46228.033333333333</v>
      </c>
      <c r="BB47" s="51">
        <v>46228.302777777775</v>
      </c>
      <c r="BC47" s="50">
        <v>46228.305555555555</v>
      </c>
      <c r="BD47" s="50">
        <v>46228.3125</v>
      </c>
      <c r="BE47" s="51">
        <v>46228.368055555555</v>
      </c>
      <c r="BF47" s="51">
        <v>46228.388888888891</v>
      </c>
      <c r="BG47" s="51">
        <v>46228.414583333331</v>
      </c>
      <c r="BH47" s="51">
        <v>46228.4375</v>
      </c>
      <c r="BI47" s="30" t="s">
        <v>65</v>
      </c>
      <c r="BJ47" s="50">
        <v>46228.708333333336</v>
      </c>
      <c r="BK47" s="50">
        <v>46228.628472222219</v>
      </c>
      <c r="BL47" s="50">
        <v>46228.630555555559</v>
      </c>
      <c r="BM47" s="50">
        <v>46228.630555555559</v>
      </c>
      <c r="BN47" s="50">
        <v>46228.637499999997</v>
      </c>
      <c r="BP47" s="30" t="s">
        <v>372</v>
      </c>
      <c r="BQ47" s="30">
        <v>46228.708333333336</v>
      </c>
      <c r="BR47"/>
      <c r="BS47"/>
      <c r="BT47"/>
      <c r="BU47"/>
      <c r="BV47"/>
      <c r="BW47"/>
      <c r="BX47"/>
      <c r="BY47"/>
    </row>
    <row r="48" spans="1:77">
      <c r="A48" t="s">
        <v>168</v>
      </c>
      <c r="B48" s="30">
        <v>2</v>
      </c>
      <c r="C48" s="30">
        <v>31</v>
      </c>
      <c r="D48" s="30" t="s">
        <v>360</v>
      </c>
      <c r="E48" s="30" t="s">
        <v>170</v>
      </c>
      <c r="F48" s="48">
        <v>46233</v>
      </c>
      <c r="G48" s="48">
        <v>46234</v>
      </c>
      <c r="H48" s="49">
        <v>0.41666666666666669</v>
      </c>
      <c r="I48" s="49">
        <v>0.33333333333333331</v>
      </c>
      <c r="J48" s="30" t="s">
        <v>361</v>
      </c>
      <c r="K48" s="30" t="s">
        <v>171</v>
      </c>
      <c r="L48" s="30">
        <v>1</v>
      </c>
      <c r="M48" s="30" t="s">
        <v>373</v>
      </c>
      <c r="P48" s="30" t="s">
        <v>174</v>
      </c>
      <c r="Q48" s="30" t="s">
        <v>363</v>
      </c>
      <c r="R48" s="30" t="s">
        <v>374</v>
      </c>
      <c r="S48" s="30" t="s">
        <v>375</v>
      </c>
      <c r="T48" s="30" t="s">
        <v>376</v>
      </c>
      <c r="U48" s="30" t="s">
        <v>377</v>
      </c>
      <c r="V48" s="30" t="s">
        <v>378</v>
      </c>
      <c r="W48" s="30" t="s">
        <v>379</v>
      </c>
      <c r="X48" s="30" t="s">
        <v>180</v>
      </c>
      <c r="Y48" t="s">
        <v>180</v>
      </c>
      <c r="Z48" s="30" t="s">
        <v>180</v>
      </c>
      <c r="AA48" s="30" t="s">
        <v>181</v>
      </c>
      <c r="AB48" s="30" t="s">
        <v>1814</v>
      </c>
      <c r="AC48" s="30" t="s">
        <v>56</v>
      </c>
      <c r="AD48" s="30" t="s">
        <v>368</v>
      </c>
      <c r="AE48" s="30">
        <v>20525373551</v>
      </c>
      <c r="AF48" s="30" t="s">
        <v>369</v>
      </c>
      <c r="AG48" s="30" t="s">
        <v>1790</v>
      </c>
      <c r="AH48" s="30" t="s">
        <v>185</v>
      </c>
      <c r="AI48" s="30" t="s">
        <v>370</v>
      </c>
      <c r="AJ48" s="30" t="s">
        <v>371</v>
      </c>
      <c r="AK48" s="30">
        <v>998231122</v>
      </c>
      <c r="AL48" s="30" t="s">
        <v>1809</v>
      </c>
      <c r="AM48" t="s">
        <v>270</v>
      </c>
      <c r="AN48" s="30" t="s">
        <v>270</v>
      </c>
      <c r="AO48" s="30" t="s">
        <v>1809</v>
      </c>
      <c r="AP48" s="30" t="s">
        <v>1809</v>
      </c>
      <c r="AQ48" s="30" t="s">
        <v>1809</v>
      </c>
      <c r="AR48" s="30" t="s">
        <v>1809</v>
      </c>
      <c r="AS48" s="30" t="s">
        <v>63</v>
      </c>
      <c r="AT48" s="30" t="s">
        <v>380</v>
      </c>
      <c r="AU48" s="50">
        <v>46233.708333333336</v>
      </c>
      <c r="AV48" s="50">
        <v>46233.679166666669</v>
      </c>
      <c r="AW48" s="50">
        <v>46233.693055555559</v>
      </c>
      <c r="AX48" s="50">
        <v>46233.693055555559</v>
      </c>
      <c r="AY48" s="50">
        <v>46233.756944444445</v>
      </c>
      <c r="AZ48" s="50">
        <v>46233.774305555555</v>
      </c>
      <c r="BA48" s="51">
        <v>46233.965277777781</v>
      </c>
      <c r="BB48" s="51">
        <v>46234.333333333336</v>
      </c>
      <c r="BC48" s="50">
        <v>46234.345138888886</v>
      </c>
      <c r="BD48" s="50">
        <v>46234.366666666669</v>
      </c>
      <c r="BE48" s="51">
        <v>46234.618055555555</v>
      </c>
      <c r="BF48" s="51">
        <v>46234.625</v>
      </c>
      <c r="BG48" s="51">
        <v>46234.663888888892</v>
      </c>
      <c r="BH48" s="51">
        <v>46234.679166666669</v>
      </c>
      <c r="BI48" s="30" t="s">
        <v>65</v>
      </c>
      <c r="BJ48" s="50">
        <v>46234.916666666664</v>
      </c>
      <c r="BK48" s="50">
        <v>46234.885416666664</v>
      </c>
      <c r="BL48" s="50">
        <v>46234.888888888891</v>
      </c>
      <c r="BM48" s="50">
        <v>46234.894444444442</v>
      </c>
      <c r="BN48" s="50">
        <v>46234.897222222222</v>
      </c>
      <c r="BP48" s="30" t="s">
        <v>372</v>
      </c>
      <c r="BQ48" s="30">
        <v>46234.916666666664</v>
      </c>
      <c r="BR48"/>
      <c r="BS48"/>
      <c r="BT48"/>
      <c r="BU48"/>
      <c r="BV48"/>
      <c r="BW48"/>
      <c r="BX48"/>
      <c r="BY48"/>
    </row>
    <row r="49" spans="1:77">
      <c r="A49" t="s">
        <v>168</v>
      </c>
      <c r="B49" s="30">
        <v>3</v>
      </c>
      <c r="C49" s="30">
        <v>31</v>
      </c>
      <c r="D49" s="30" t="s">
        <v>360</v>
      </c>
      <c r="E49" s="30" t="s">
        <v>170</v>
      </c>
      <c r="F49" s="48">
        <v>46233</v>
      </c>
      <c r="G49" s="48">
        <v>46234</v>
      </c>
      <c r="H49" s="49">
        <v>0.41666666666666669</v>
      </c>
      <c r="I49" s="49">
        <v>0.33333333333333331</v>
      </c>
      <c r="J49" s="30" t="s">
        <v>361</v>
      </c>
      <c r="K49" s="30" t="s">
        <v>171</v>
      </c>
      <c r="L49" s="30">
        <v>1</v>
      </c>
      <c r="M49" s="30" t="s">
        <v>381</v>
      </c>
      <c r="P49" s="30" t="s">
        <v>174</v>
      </c>
      <c r="Q49" s="30" t="s">
        <v>363</v>
      </c>
      <c r="R49" s="30" t="s">
        <v>382</v>
      </c>
      <c r="S49" s="30" t="s">
        <v>375</v>
      </c>
      <c r="T49" s="30" t="s">
        <v>383</v>
      </c>
      <c r="U49" s="30" t="s">
        <v>384</v>
      </c>
      <c r="V49" s="30">
        <v>7286</v>
      </c>
      <c r="W49" s="30" t="s">
        <v>385</v>
      </c>
      <c r="X49" s="30" t="s">
        <v>180</v>
      </c>
      <c r="Y49" t="s">
        <v>180</v>
      </c>
      <c r="Z49" s="30" t="s">
        <v>180</v>
      </c>
      <c r="AA49" s="30" t="s">
        <v>181</v>
      </c>
      <c r="AB49" s="30" t="s">
        <v>1814</v>
      </c>
      <c r="AC49" s="30" t="s">
        <v>56</v>
      </c>
      <c r="AD49" s="30" t="s">
        <v>368</v>
      </c>
      <c r="AE49" s="30">
        <v>20525373551</v>
      </c>
      <c r="AF49" s="30" t="s">
        <v>386</v>
      </c>
      <c r="AG49" s="30" t="s">
        <v>1791</v>
      </c>
      <c r="AH49" s="30" t="s">
        <v>185</v>
      </c>
      <c r="AI49" s="30" t="s">
        <v>387</v>
      </c>
      <c r="AJ49" s="30" t="s">
        <v>388</v>
      </c>
      <c r="AK49" s="30">
        <v>970999799</v>
      </c>
      <c r="AL49" s="30" t="s">
        <v>1809</v>
      </c>
      <c r="AM49" t="s">
        <v>270</v>
      </c>
      <c r="AN49" s="30" t="s">
        <v>270</v>
      </c>
      <c r="AO49" s="30" t="s">
        <v>1809</v>
      </c>
      <c r="AP49" s="30" t="s">
        <v>1809</v>
      </c>
      <c r="AQ49" s="30" t="s">
        <v>1809</v>
      </c>
      <c r="AR49" s="30" t="s">
        <v>1809</v>
      </c>
      <c r="AS49" s="30" t="s">
        <v>63</v>
      </c>
      <c r="AT49" s="30" t="s">
        <v>380</v>
      </c>
      <c r="AU49" s="50">
        <v>46233.708333333336</v>
      </c>
      <c r="AV49" s="50">
        <v>46233.703472222223</v>
      </c>
      <c r="AW49" s="50">
        <v>46233.719444444447</v>
      </c>
      <c r="AX49" s="50">
        <v>46233.719444444447</v>
      </c>
      <c r="AY49" s="50">
        <v>46233.820833333331</v>
      </c>
      <c r="AZ49" s="50">
        <v>46233.827777777777</v>
      </c>
      <c r="BA49" s="51">
        <v>46234.293055555558</v>
      </c>
      <c r="BB49" s="51">
        <v>46234.333333333336</v>
      </c>
      <c r="BC49" s="50">
        <v>46234.351388888892</v>
      </c>
      <c r="BD49" s="50">
        <v>46234.375694444447</v>
      </c>
      <c r="BE49" s="51">
        <v>46234.486111111109</v>
      </c>
      <c r="BF49" s="51">
        <v>46234.5</v>
      </c>
      <c r="BG49" s="51">
        <v>46234.506944444445</v>
      </c>
      <c r="BH49" s="51">
        <v>46234.521527777775</v>
      </c>
      <c r="BI49" s="30" t="s">
        <v>65</v>
      </c>
      <c r="BJ49" s="50">
        <v>46234.791666666664</v>
      </c>
      <c r="BK49" s="50">
        <v>46234.722222222219</v>
      </c>
      <c r="BL49" s="50">
        <v>46234.729166666664</v>
      </c>
      <c r="BM49" s="50">
        <v>46234.743750000001</v>
      </c>
      <c r="BN49" s="50">
        <v>46234.74722222222</v>
      </c>
      <c r="BP49" s="30" t="s">
        <v>372</v>
      </c>
      <c r="BQ49" s="30">
        <v>46234.791666666664</v>
      </c>
      <c r="BR49"/>
      <c r="BS49"/>
      <c r="BT49"/>
      <c r="BU49"/>
      <c r="BV49"/>
      <c r="BW49"/>
      <c r="BX49"/>
      <c r="BY49"/>
    </row>
    <row r="50" spans="1:77">
      <c r="A50" t="s">
        <v>168</v>
      </c>
      <c r="B50" s="30">
        <v>4</v>
      </c>
      <c r="C50" s="30">
        <v>32</v>
      </c>
      <c r="D50" s="30" t="s">
        <v>360</v>
      </c>
      <c r="E50" s="30" t="s">
        <v>170</v>
      </c>
      <c r="F50" s="48">
        <v>46240</v>
      </c>
      <c r="G50" s="48">
        <v>46241</v>
      </c>
      <c r="H50" s="49">
        <v>0.41666666666666669</v>
      </c>
      <c r="I50" s="49">
        <v>0.33333333333333331</v>
      </c>
      <c r="J50" s="30" t="s">
        <v>361</v>
      </c>
      <c r="K50" s="30" t="s">
        <v>171</v>
      </c>
      <c r="L50" s="30">
        <v>1</v>
      </c>
      <c r="M50" s="30" t="s">
        <v>389</v>
      </c>
      <c r="P50" s="30" t="s">
        <v>174</v>
      </c>
      <c r="Q50" s="30" t="s">
        <v>363</v>
      </c>
      <c r="R50" s="30" t="s">
        <v>390</v>
      </c>
      <c r="S50" s="30" t="s">
        <v>391</v>
      </c>
      <c r="T50" s="30">
        <v>6462052060</v>
      </c>
      <c r="U50" s="30" t="s">
        <v>392</v>
      </c>
      <c r="V50" s="30">
        <v>1106548</v>
      </c>
      <c r="W50" s="30">
        <v>32978375</v>
      </c>
      <c r="X50" s="30" t="s">
        <v>179</v>
      </c>
      <c r="Y50" t="s">
        <v>180</v>
      </c>
      <c r="Z50" s="30" t="s">
        <v>180</v>
      </c>
      <c r="AA50" s="30" t="s">
        <v>181</v>
      </c>
      <c r="AB50" s="30" t="s">
        <v>1814</v>
      </c>
      <c r="AC50" s="30" t="s">
        <v>56</v>
      </c>
      <c r="AD50" s="30" t="s">
        <v>368</v>
      </c>
      <c r="AE50" s="30">
        <v>20525373551</v>
      </c>
      <c r="AF50" s="30" t="s">
        <v>393</v>
      </c>
      <c r="AG50" s="30" t="s">
        <v>394</v>
      </c>
      <c r="AH50" s="30" t="s">
        <v>185</v>
      </c>
      <c r="AI50" s="30" t="s">
        <v>395</v>
      </c>
      <c r="AJ50" s="30" t="s">
        <v>396</v>
      </c>
      <c r="AK50" s="30">
        <v>998255542</v>
      </c>
      <c r="AL50" s="30" t="s">
        <v>1809</v>
      </c>
      <c r="AM50" t="s">
        <v>270</v>
      </c>
      <c r="AN50" s="30" t="s">
        <v>270</v>
      </c>
      <c r="AO50" s="30" t="s">
        <v>1809</v>
      </c>
      <c r="AP50" s="30" t="s">
        <v>1809</v>
      </c>
      <c r="AQ50" s="30" t="s">
        <v>1809</v>
      </c>
      <c r="AR50" s="30" t="s">
        <v>1809</v>
      </c>
      <c r="AS50" s="30" t="s">
        <v>63</v>
      </c>
      <c r="AT50" s="30" t="s">
        <v>397</v>
      </c>
      <c r="AU50" s="50">
        <v>46240.375</v>
      </c>
      <c r="AV50" s="50">
        <v>46240.376388888886</v>
      </c>
      <c r="AW50" s="50">
        <v>46240.384722222225</v>
      </c>
      <c r="AX50" s="50">
        <v>46240.384722222225</v>
      </c>
      <c r="AY50" s="50">
        <v>46240.5</v>
      </c>
      <c r="AZ50" s="50">
        <v>46241.144444444442</v>
      </c>
      <c r="BA50" s="51">
        <v>46241.318055555559</v>
      </c>
      <c r="BB50" s="51">
        <v>46241.365277777775</v>
      </c>
      <c r="BC50" s="50">
        <v>46241.365277777775</v>
      </c>
      <c r="BD50" s="50">
        <v>46241.38958333333</v>
      </c>
      <c r="BE50" s="51">
        <v>46241.640277777777</v>
      </c>
      <c r="BF50" s="51">
        <v>46241.666666666664</v>
      </c>
      <c r="BG50" s="51">
        <v>46241.689583333333</v>
      </c>
      <c r="BH50" s="51">
        <v>46241.701388888891</v>
      </c>
      <c r="BI50" s="30" t="s">
        <v>65</v>
      </c>
      <c r="BJ50" s="50">
        <v>46241.958333333336</v>
      </c>
      <c r="BK50" s="50">
        <v>46241.893055555556</v>
      </c>
      <c r="BL50" s="50">
        <v>46241.912499999999</v>
      </c>
      <c r="BM50" s="50">
        <v>46241.916666666664</v>
      </c>
      <c r="BN50" s="50">
        <v>46241.920138888891</v>
      </c>
      <c r="BP50" s="30" t="s">
        <v>372</v>
      </c>
      <c r="BQ50" s="30">
        <v>46241.958333333336</v>
      </c>
      <c r="BR50"/>
      <c r="BS50"/>
      <c r="BT50"/>
      <c r="BU50"/>
      <c r="BV50"/>
      <c r="BW50"/>
      <c r="BX50"/>
      <c r="BY50"/>
    </row>
    <row r="51" spans="1:77">
      <c r="A51" t="s">
        <v>168</v>
      </c>
      <c r="B51" s="30">
        <v>5</v>
      </c>
      <c r="C51" s="30">
        <v>32</v>
      </c>
      <c r="D51" s="30" t="s">
        <v>360</v>
      </c>
      <c r="E51" s="30" t="s">
        <v>170</v>
      </c>
      <c r="F51" s="48">
        <v>46240</v>
      </c>
      <c r="G51" s="48">
        <v>46241</v>
      </c>
      <c r="H51" s="49">
        <v>0.41666666666666669</v>
      </c>
      <c r="I51" s="49">
        <v>0.33333333333333331</v>
      </c>
      <c r="J51" s="30" t="s">
        <v>361</v>
      </c>
      <c r="K51" s="30" t="s">
        <v>171</v>
      </c>
      <c r="L51" s="30">
        <v>1</v>
      </c>
      <c r="M51" s="30" t="s">
        <v>398</v>
      </c>
      <c r="P51" s="30" t="s">
        <v>174</v>
      </c>
      <c r="Q51" s="30" t="s">
        <v>363</v>
      </c>
      <c r="R51" s="30" t="s">
        <v>374</v>
      </c>
      <c r="S51" s="30" t="s">
        <v>176</v>
      </c>
      <c r="T51" s="30" t="s">
        <v>399</v>
      </c>
      <c r="U51" s="30" t="s">
        <v>400</v>
      </c>
      <c r="V51" s="30">
        <v>7366</v>
      </c>
      <c r="W51" s="30" t="s">
        <v>401</v>
      </c>
      <c r="X51" s="30" t="s">
        <v>180</v>
      </c>
      <c r="Y51" t="s">
        <v>180</v>
      </c>
      <c r="Z51" s="30" t="s">
        <v>180</v>
      </c>
      <c r="AA51" s="30" t="s">
        <v>181</v>
      </c>
      <c r="AB51" s="30" t="s">
        <v>1814</v>
      </c>
      <c r="AC51" s="30" t="s">
        <v>56</v>
      </c>
      <c r="AD51" s="30" t="s">
        <v>368</v>
      </c>
      <c r="AE51" s="30">
        <v>20525373551</v>
      </c>
      <c r="AF51" s="30" t="s">
        <v>402</v>
      </c>
      <c r="AG51" s="30" t="s">
        <v>403</v>
      </c>
      <c r="AH51" s="30" t="s">
        <v>185</v>
      </c>
      <c r="AI51" s="30" t="s">
        <v>404</v>
      </c>
      <c r="AJ51" s="30" t="s">
        <v>405</v>
      </c>
      <c r="AK51" s="30">
        <v>998374895</v>
      </c>
      <c r="AL51" s="30" t="s">
        <v>1809</v>
      </c>
      <c r="AM51" t="s">
        <v>270</v>
      </c>
      <c r="AN51" s="30" t="s">
        <v>270</v>
      </c>
      <c r="AO51" s="30" t="s">
        <v>1809</v>
      </c>
      <c r="AP51" s="30" t="s">
        <v>1809</v>
      </c>
      <c r="AQ51" s="30" t="s">
        <v>1809</v>
      </c>
      <c r="AR51" s="30" t="s">
        <v>1809</v>
      </c>
      <c r="AS51" s="30" t="s">
        <v>63</v>
      </c>
      <c r="AT51" s="30" t="s">
        <v>380</v>
      </c>
      <c r="AU51" s="50">
        <v>46240.375</v>
      </c>
      <c r="AV51" s="50">
        <v>46240.366666666669</v>
      </c>
      <c r="AW51" s="50">
        <v>46240.385416666664</v>
      </c>
      <c r="AX51" s="50">
        <v>46240.393750000003</v>
      </c>
      <c r="AY51" s="50">
        <v>46240.436805555553</v>
      </c>
      <c r="AZ51" s="50">
        <v>46241.14166666667</v>
      </c>
      <c r="BA51" s="51">
        <v>46241.306250000001</v>
      </c>
      <c r="BB51" s="51">
        <v>46241.355555555558</v>
      </c>
      <c r="BC51" s="50">
        <v>46241.355555555558</v>
      </c>
      <c r="BD51" s="50">
        <v>46241.370833333334</v>
      </c>
      <c r="BE51" s="51">
        <v>46241.698611111111</v>
      </c>
      <c r="BF51" s="51">
        <v>46241.708333333336</v>
      </c>
      <c r="BG51" s="51">
        <v>46241.709722222222</v>
      </c>
      <c r="BH51" s="51">
        <v>46241.723611111112</v>
      </c>
      <c r="BI51" s="30" t="s">
        <v>65</v>
      </c>
      <c r="BJ51" s="50">
        <v>46241.958333333336</v>
      </c>
      <c r="BK51" s="50">
        <v>46241.913888888892</v>
      </c>
      <c r="BL51" s="50">
        <v>46241.915972222225</v>
      </c>
      <c r="BM51" s="50">
        <v>46241.922222222223</v>
      </c>
      <c r="BN51" s="50">
        <v>46241.929861111108</v>
      </c>
      <c r="BP51" s="30" t="s">
        <v>372</v>
      </c>
      <c r="BQ51" s="30">
        <v>46241.958333333336</v>
      </c>
      <c r="BR51"/>
      <c r="BS51"/>
      <c r="BT51"/>
      <c r="BU51"/>
      <c r="BV51"/>
      <c r="BW51"/>
      <c r="BX51"/>
      <c r="BY51"/>
    </row>
    <row r="52" spans="1:77">
      <c r="A52" t="s">
        <v>168</v>
      </c>
      <c r="B52" s="30">
        <v>6</v>
      </c>
      <c r="C52" s="30">
        <v>32</v>
      </c>
      <c r="D52" s="30" t="s">
        <v>360</v>
      </c>
      <c r="E52" s="30" t="s">
        <v>170</v>
      </c>
      <c r="F52" s="48">
        <v>46243</v>
      </c>
      <c r="G52" s="48">
        <v>46244</v>
      </c>
      <c r="H52" s="49">
        <v>0.58333333333333337</v>
      </c>
      <c r="I52" s="49">
        <v>0.5</v>
      </c>
      <c r="J52" s="30" t="s">
        <v>361</v>
      </c>
      <c r="K52" s="30" t="s">
        <v>171</v>
      </c>
      <c r="L52" s="30">
        <v>1</v>
      </c>
      <c r="M52" s="30" t="s">
        <v>406</v>
      </c>
      <c r="P52" s="30" t="s">
        <v>174</v>
      </c>
      <c r="Q52" s="30" t="s">
        <v>363</v>
      </c>
      <c r="R52" s="30" t="s">
        <v>407</v>
      </c>
      <c r="S52" s="30" t="s">
        <v>176</v>
      </c>
      <c r="T52" s="30" t="s">
        <v>408</v>
      </c>
      <c r="U52" s="30" t="s">
        <v>409</v>
      </c>
      <c r="V52" s="30">
        <v>804109</v>
      </c>
      <c r="W52" s="30" t="s">
        <v>410</v>
      </c>
      <c r="X52" s="30" t="s">
        <v>179</v>
      </c>
      <c r="Y52" t="s">
        <v>180</v>
      </c>
      <c r="Z52" s="30" t="s">
        <v>180</v>
      </c>
      <c r="AA52" s="30" t="s">
        <v>181</v>
      </c>
      <c r="AB52" s="30" t="s">
        <v>1814</v>
      </c>
      <c r="AC52" s="30" t="s">
        <v>56</v>
      </c>
      <c r="AD52" s="30" t="s">
        <v>368</v>
      </c>
      <c r="AE52" s="30">
        <v>20525373551</v>
      </c>
      <c r="AF52" s="30" t="s">
        <v>411</v>
      </c>
      <c r="AG52" s="30" t="s">
        <v>412</v>
      </c>
      <c r="AH52" s="30" t="s">
        <v>185</v>
      </c>
      <c r="AI52" s="30" t="s">
        <v>413</v>
      </c>
      <c r="AJ52" s="30" t="s">
        <v>414</v>
      </c>
      <c r="AK52" s="30">
        <v>996830815</v>
      </c>
      <c r="AL52" s="30" t="s">
        <v>1809</v>
      </c>
      <c r="AM52" t="s">
        <v>270</v>
      </c>
      <c r="AN52" s="30" t="s">
        <v>270</v>
      </c>
      <c r="AO52" s="30" t="s">
        <v>1809</v>
      </c>
      <c r="AP52" s="30" t="s">
        <v>1809</v>
      </c>
      <c r="AQ52" s="30" t="s">
        <v>1809</v>
      </c>
      <c r="AR52" s="30" t="s">
        <v>1809</v>
      </c>
      <c r="AS52" s="30" t="s">
        <v>63</v>
      </c>
      <c r="AT52" s="30" t="s">
        <v>64</v>
      </c>
      <c r="AU52" s="50">
        <v>46243.833333333336</v>
      </c>
      <c r="AV52" s="50">
        <v>46243.840277777781</v>
      </c>
      <c r="AW52" s="50">
        <v>46243.901388888888</v>
      </c>
      <c r="AX52" s="50">
        <v>46243.915972222225</v>
      </c>
      <c r="AZ52" s="50">
        <v>46244.197222222225</v>
      </c>
      <c r="BA52" s="51">
        <v>46244.434027777781</v>
      </c>
      <c r="BB52" s="51">
        <v>46244.4375</v>
      </c>
      <c r="BC52" s="50">
        <v>46244.447222222225</v>
      </c>
      <c r="BD52" s="50">
        <v>46244.464583333334</v>
      </c>
      <c r="BE52" s="51">
        <v>46244.677083333336</v>
      </c>
      <c r="BF52" s="51">
        <v>46244.6875</v>
      </c>
      <c r="BG52" s="51">
        <v>46244.705555555556</v>
      </c>
      <c r="BH52" s="51">
        <v>46244.720833333333</v>
      </c>
      <c r="BI52" s="30" t="s">
        <v>65</v>
      </c>
      <c r="BJ52" s="50">
        <v>46245.041666666664</v>
      </c>
      <c r="BK52" s="50">
        <v>46244.979166666664</v>
      </c>
      <c r="BL52" s="50">
        <v>46244.986111111109</v>
      </c>
      <c r="BM52" s="50">
        <v>46244.989583333336</v>
      </c>
      <c r="BN52" s="50">
        <v>46244.994444444441</v>
      </c>
      <c r="BP52" s="30" t="s">
        <v>372</v>
      </c>
      <c r="BQ52" s="30">
        <v>46245.041666666664</v>
      </c>
      <c r="BR52"/>
      <c r="BS52"/>
      <c r="BT52"/>
      <c r="BU52"/>
      <c r="BV52"/>
      <c r="BW52"/>
      <c r="BX52"/>
      <c r="BY52"/>
    </row>
    <row r="53" spans="1:77">
      <c r="A53" t="s">
        <v>168</v>
      </c>
      <c r="B53" s="30">
        <v>7</v>
      </c>
      <c r="C53" s="30">
        <v>32</v>
      </c>
      <c r="D53" s="30" t="s">
        <v>360</v>
      </c>
      <c r="E53" s="30" t="s">
        <v>170</v>
      </c>
      <c r="F53" s="48">
        <v>46244</v>
      </c>
      <c r="G53" s="48">
        <v>46245</v>
      </c>
      <c r="H53" s="49">
        <v>0.41666666666666669</v>
      </c>
      <c r="I53" s="49">
        <v>0.33333333333333331</v>
      </c>
      <c r="J53" s="30" t="s">
        <v>361</v>
      </c>
      <c r="K53" s="30" t="s">
        <v>171</v>
      </c>
      <c r="L53" s="30">
        <v>1</v>
      </c>
      <c r="M53" s="30" t="s">
        <v>415</v>
      </c>
      <c r="P53" s="30" t="s">
        <v>174</v>
      </c>
      <c r="Q53" s="30" t="s">
        <v>363</v>
      </c>
      <c r="R53" s="30" t="s">
        <v>175</v>
      </c>
      <c r="S53" s="30" t="s">
        <v>176</v>
      </c>
      <c r="T53" s="30" t="s">
        <v>416</v>
      </c>
      <c r="U53" s="30" t="s">
        <v>417</v>
      </c>
      <c r="V53" s="30" t="s">
        <v>418</v>
      </c>
      <c r="W53" s="30" t="s">
        <v>419</v>
      </c>
      <c r="X53" s="30" t="s">
        <v>179</v>
      </c>
      <c r="Y53" t="s">
        <v>180</v>
      </c>
      <c r="Z53" s="30" t="s">
        <v>180</v>
      </c>
      <c r="AA53" s="30" t="s">
        <v>181</v>
      </c>
      <c r="AB53" s="30" t="s">
        <v>1814</v>
      </c>
      <c r="AC53" s="30" t="s">
        <v>56</v>
      </c>
      <c r="AD53" s="30" t="s">
        <v>368</v>
      </c>
      <c r="AE53" s="30">
        <v>20525373551</v>
      </c>
      <c r="AF53" s="30" t="s">
        <v>369</v>
      </c>
      <c r="AG53" s="30" t="s">
        <v>1790</v>
      </c>
      <c r="AH53" s="30" t="s">
        <v>185</v>
      </c>
      <c r="AI53" s="30" t="s">
        <v>370</v>
      </c>
      <c r="AJ53" s="30" t="s">
        <v>371</v>
      </c>
      <c r="AK53" s="30">
        <v>998231122</v>
      </c>
      <c r="AL53" s="30" t="s">
        <v>1809</v>
      </c>
      <c r="AM53" t="s">
        <v>270</v>
      </c>
      <c r="AN53" s="30" t="s">
        <v>270</v>
      </c>
      <c r="AO53" s="30" t="s">
        <v>1809</v>
      </c>
      <c r="AP53" s="30" t="s">
        <v>1809</v>
      </c>
      <c r="AQ53" s="30" t="s">
        <v>1809</v>
      </c>
      <c r="AR53" s="30" t="s">
        <v>1809</v>
      </c>
      <c r="AS53" s="30" t="s">
        <v>63</v>
      </c>
      <c r="AT53" s="30" t="s">
        <v>64</v>
      </c>
      <c r="AU53" s="50">
        <v>46244.625</v>
      </c>
      <c r="AV53" s="50">
        <v>46244.614583333336</v>
      </c>
      <c r="AW53" s="50">
        <v>46244.661111111112</v>
      </c>
      <c r="AX53" s="50">
        <v>46244.67083333333</v>
      </c>
      <c r="AY53" s="50">
        <v>46244.736805555556</v>
      </c>
      <c r="AZ53" s="50">
        <v>46244.818055555559</v>
      </c>
      <c r="BA53" s="51">
        <v>46245.000694444447</v>
      </c>
      <c r="BB53" s="51">
        <v>46245.3</v>
      </c>
      <c r="BC53" s="50">
        <v>46245.304861111108</v>
      </c>
      <c r="BD53" s="50">
        <v>46245.31527777778</v>
      </c>
      <c r="BE53" s="51">
        <v>46245.416666666664</v>
      </c>
      <c r="BF53" s="51">
        <v>46245.458333333336</v>
      </c>
      <c r="BG53" s="51">
        <v>46245.486111111109</v>
      </c>
      <c r="BH53" s="51">
        <v>46245.504861111112</v>
      </c>
      <c r="BI53" s="30" t="s">
        <v>65</v>
      </c>
      <c r="BJ53" s="50">
        <v>46245.75</v>
      </c>
      <c r="BK53" s="50">
        <v>46245.727777777778</v>
      </c>
      <c r="BL53" s="50">
        <v>46245.730555555558</v>
      </c>
      <c r="BM53" s="50">
        <v>46245.734722222223</v>
      </c>
      <c r="BN53" s="50">
        <v>46245.745138888888</v>
      </c>
      <c r="BP53" s="30" t="s">
        <v>372</v>
      </c>
      <c r="BQ53" s="30">
        <v>46245.75</v>
      </c>
      <c r="BR53"/>
      <c r="BS53"/>
      <c r="BT53"/>
      <c r="BU53"/>
      <c r="BV53"/>
      <c r="BW53"/>
      <c r="BX53"/>
      <c r="BY53"/>
    </row>
    <row r="54" spans="1:77">
      <c r="A54" t="s">
        <v>168</v>
      </c>
      <c r="B54" s="30">
        <v>8</v>
      </c>
      <c r="C54" s="30">
        <v>33</v>
      </c>
      <c r="D54" s="30" t="s">
        <v>360</v>
      </c>
      <c r="E54" s="30" t="s">
        <v>170</v>
      </c>
      <c r="F54" s="48">
        <v>46246</v>
      </c>
      <c r="G54" s="48">
        <v>46247</v>
      </c>
      <c r="H54" s="49">
        <v>0.58333333333333337</v>
      </c>
      <c r="I54" s="49">
        <v>0.5</v>
      </c>
      <c r="J54" s="30" t="s">
        <v>361</v>
      </c>
      <c r="K54" s="30" t="s">
        <v>171</v>
      </c>
      <c r="L54" s="30">
        <v>1</v>
      </c>
      <c r="M54" s="30" t="s">
        <v>420</v>
      </c>
      <c r="P54" s="30" t="s">
        <v>174</v>
      </c>
      <c r="Q54" s="30" t="s">
        <v>363</v>
      </c>
      <c r="R54" s="30" t="s">
        <v>374</v>
      </c>
      <c r="S54" s="30" t="s">
        <v>375</v>
      </c>
      <c r="T54" s="30" t="s">
        <v>421</v>
      </c>
      <c r="U54" s="30" t="s">
        <v>422</v>
      </c>
      <c r="V54" s="30">
        <v>7337</v>
      </c>
      <c r="W54" s="30" t="s">
        <v>423</v>
      </c>
      <c r="X54" s="30" t="s">
        <v>180</v>
      </c>
      <c r="Y54" t="s">
        <v>180</v>
      </c>
      <c r="Z54" s="30" t="s">
        <v>180</v>
      </c>
      <c r="AA54" s="30" t="s">
        <v>181</v>
      </c>
      <c r="AB54" s="30" t="s">
        <v>1814</v>
      </c>
      <c r="AC54" s="30" t="s">
        <v>56</v>
      </c>
      <c r="AD54" s="30" t="s">
        <v>368</v>
      </c>
      <c r="AE54" s="30">
        <v>20525373551</v>
      </c>
      <c r="AF54" s="30" t="s">
        <v>424</v>
      </c>
      <c r="AG54" s="30" t="s">
        <v>425</v>
      </c>
      <c r="AH54" s="30" t="s">
        <v>185</v>
      </c>
      <c r="AI54" s="30" t="s">
        <v>426</v>
      </c>
      <c r="AJ54" s="30" t="s">
        <v>427</v>
      </c>
      <c r="AK54" s="30">
        <v>934126470</v>
      </c>
      <c r="AL54" s="30" t="s">
        <v>1809</v>
      </c>
      <c r="AM54" t="s">
        <v>270</v>
      </c>
      <c r="AN54" s="30" t="s">
        <v>270</v>
      </c>
      <c r="AO54" s="30" t="s">
        <v>1809</v>
      </c>
      <c r="AP54" s="30" t="s">
        <v>1809</v>
      </c>
      <c r="AQ54" s="30" t="s">
        <v>1809</v>
      </c>
      <c r="AR54" s="30" t="s">
        <v>1809</v>
      </c>
      <c r="AS54" s="30" t="s">
        <v>63</v>
      </c>
      <c r="AT54" s="30" t="s">
        <v>380</v>
      </c>
      <c r="AU54" s="50">
        <v>46246.75</v>
      </c>
      <c r="AV54" s="50">
        <v>46246.738888888889</v>
      </c>
      <c r="AW54" s="50">
        <v>46246.773611111108</v>
      </c>
      <c r="AX54" s="50">
        <v>46246.789583333331</v>
      </c>
      <c r="AY54" s="50">
        <v>46246.824999999997</v>
      </c>
      <c r="AZ54" s="50">
        <v>46247.213194444441</v>
      </c>
      <c r="BA54" s="51">
        <v>46247.46597222222</v>
      </c>
      <c r="BB54" s="51">
        <v>46247.467361111114</v>
      </c>
      <c r="BC54" s="50">
        <v>46247.47152777778</v>
      </c>
      <c r="BD54" s="50">
        <v>46247.513888888891</v>
      </c>
      <c r="BE54" s="51">
        <v>46247.626388888886</v>
      </c>
      <c r="BF54" s="51">
        <v>46247.640277777777</v>
      </c>
      <c r="BG54" s="51">
        <v>46247.65902777778</v>
      </c>
      <c r="BH54" s="51">
        <v>46247.668055555558</v>
      </c>
      <c r="BI54" s="30" t="s">
        <v>65</v>
      </c>
      <c r="BJ54" s="50">
        <v>46248</v>
      </c>
      <c r="BK54" s="50">
        <v>46247.972916666666</v>
      </c>
      <c r="BL54" s="50">
        <v>46247.972916666666</v>
      </c>
      <c r="BM54" s="50">
        <v>46247.979166666664</v>
      </c>
      <c r="BN54" s="50">
        <v>46247.980555555558</v>
      </c>
      <c r="BP54" s="30" t="s">
        <v>372</v>
      </c>
      <c r="BQ54" s="30">
        <v>46248</v>
      </c>
      <c r="BR54"/>
      <c r="BS54"/>
      <c r="BT54"/>
      <c r="BU54"/>
      <c r="BV54"/>
      <c r="BW54"/>
      <c r="BX54"/>
      <c r="BY54"/>
    </row>
    <row r="55" spans="1:77">
      <c r="A55" t="s">
        <v>168</v>
      </c>
      <c r="B55" s="30">
        <v>9</v>
      </c>
      <c r="C55" s="30">
        <v>33</v>
      </c>
      <c r="D55" s="30" t="s">
        <v>360</v>
      </c>
      <c r="E55" s="30" t="s">
        <v>170</v>
      </c>
      <c r="F55" s="48">
        <v>46247</v>
      </c>
      <c r="G55" s="48">
        <v>46248</v>
      </c>
      <c r="H55" s="49">
        <v>0.41666666666666669</v>
      </c>
      <c r="I55" s="49">
        <v>0.33333333333333331</v>
      </c>
      <c r="J55" s="30" t="s">
        <v>361</v>
      </c>
      <c r="K55" s="30" t="s">
        <v>171</v>
      </c>
      <c r="L55" s="30">
        <v>1</v>
      </c>
      <c r="M55" s="30" t="s">
        <v>428</v>
      </c>
      <c r="P55" s="30" t="s">
        <v>174</v>
      </c>
      <c r="Q55" s="30" t="s">
        <v>363</v>
      </c>
      <c r="R55" s="30" t="s">
        <v>390</v>
      </c>
      <c r="S55" s="30" t="s">
        <v>391</v>
      </c>
      <c r="T55" s="30">
        <v>6462786990</v>
      </c>
      <c r="U55" s="30" t="s">
        <v>429</v>
      </c>
      <c r="V55" s="30">
        <v>1111179</v>
      </c>
      <c r="W55" s="30">
        <v>32978493</v>
      </c>
      <c r="X55" s="30" t="s">
        <v>179</v>
      </c>
      <c r="Y55" t="s">
        <v>180</v>
      </c>
      <c r="Z55" s="30" t="s">
        <v>180</v>
      </c>
      <c r="AA55" s="30" t="s">
        <v>181</v>
      </c>
      <c r="AB55" s="30" t="s">
        <v>1814</v>
      </c>
      <c r="AC55" s="30" t="s">
        <v>56</v>
      </c>
      <c r="AD55" s="30" t="s">
        <v>368</v>
      </c>
      <c r="AE55" s="30">
        <v>20525373551</v>
      </c>
      <c r="AF55" s="30" t="s">
        <v>369</v>
      </c>
      <c r="AG55" s="30" t="s">
        <v>1790</v>
      </c>
      <c r="AH55" s="30" t="s">
        <v>185</v>
      </c>
      <c r="AI55" s="30" t="s">
        <v>370</v>
      </c>
      <c r="AJ55" s="30" t="s">
        <v>371</v>
      </c>
      <c r="AK55" s="30">
        <v>998231122</v>
      </c>
      <c r="AL55" s="30" t="s">
        <v>1809</v>
      </c>
      <c r="AM55" t="s">
        <v>270</v>
      </c>
      <c r="AN55" s="30" t="s">
        <v>270</v>
      </c>
      <c r="AO55" s="30" t="s">
        <v>1809</v>
      </c>
      <c r="AP55" s="30" t="s">
        <v>1809</v>
      </c>
      <c r="AQ55" s="30" t="s">
        <v>1809</v>
      </c>
      <c r="AR55" s="30" t="s">
        <v>1809</v>
      </c>
      <c r="AS55" s="30" t="s">
        <v>63</v>
      </c>
      <c r="AT55" s="30" t="s">
        <v>397</v>
      </c>
      <c r="AU55" s="50">
        <v>46247.666666666664</v>
      </c>
      <c r="AV55" s="50">
        <v>46247.668749999997</v>
      </c>
      <c r="AW55" s="50">
        <v>46247.677777777775</v>
      </c>
      <c r="AX55" s="50">
        <v>46247.720138888886</v>
      </c>
      <c r="AY55" s="50">
        <v>46247.776388888888</v>
      </c>
      <c r="AZ55" s="50">
        <v>46247.788194444445</v>
      </c>
      <c r="BA55" s="51">
        <v>46248.333333333336</v>
      </c>
      <c r="BB55" s="51">
        <v>46247.98333333333</v>
      </c>
      <c r="BC55" s="50">
        <v>46248.293055555558</v>
      </c>
      <c r="BD55" s="50">
        <v>46248.327777777777</v>
      </c>
      <c r="BE55" s="51">
        <v>46248.427083333336</v>
      </c>
      <c r="BF55" s="51">
        <v>46248.44027777778</v>
      </c>
      <c r="BG55" s="51">
        <v>46248.474999999999</v>
      </c>
      <c r="BH55" s="51">
        <v>46248.484722222223</v>
      </c>
      <c r="BI55" s="30" t="s">
        <v>65</v>
      </c>
      <c r="BJ55" s="50">
        <v>46248.75</v>
      </c>
      <c r="BK55" s="50">
        <v>46248.699305555558</v>
      </c>
      <c r="BL55" s="50">
        <v>46248.7</v>
      </c>
      <c r="BM55" s="50">
        <v>46248.703472222223</v>
      </c>
      <c r="BN55" s="50">
        <v>46248.715277777781</v>
      </c>
      <c r="BP55" s="30" t="s">
        <v>372</v>
      </c>
      <c r="BQ55" s="30">
        <v>46248.75</v>
      </c>
      <c r="BR55"/>
      <c r="BS55"/>
      <c r="BT55"/>
      <c r="BU55"/>
      <c r="BV55"/>
      <c r="BW55"/>
      <c r="BX55"/>
      <c r="BY55"/>
    </row>
    <row r="56" spans="1:77">
      <c r="A56" t="s">
        <v>168</v>
      </c>
      <c r="B56" s="30">
        <v>10</v>
      </c>
      <c r="C56" s="30">
        <v>33</v>
      </c>
      <c r="D56" s="30" t="s">
        <v>360</v>
      </c>
      <c r="E56" s="30" t="s">
        <v>170</v>
      </c>
      <c r="F56" s="48">
        <v>46250</v>
      </c>
      <c r="G56" s="48">
        <v>46251</v>
      </c>
      <c r="H56" s="49">
        <v>0.41666666666666669</v>
      </c>
      <c r="I56" s="49">
        <v>0.33333333333333331</v>
      </c>
      <c r="J56" s="30" t="s">
        <v>361</v>
      </c>
      <c r="K56" s="30" t="s">
        <v>171</v>
      </c>
      <c r="L56" s="30">
        <v>1</v>
      </c>
      <c r="M56" s="30" t="s">
        <v>430</v>
      </c>
      <c r="P56" s="30" t="s">
        <v>174</v>
      </c>
      <c r="Q56" s="30" t="s">
        <v>363</v>
      </c>
      <c r="R56" s="30" t="s">
        <v>431</v>
      </c>
      <c r="S56" s="30" t="s">
        <v>623</v>
      </c>
      <c r="T56" s="30" t="s">
        <v>432</v>
      </c>
      <c r="U56" s="30" t="s">
        <v>433</v>
      </c>
      <c r="V56" s="30">
        <v>806949</v>
      </c>
      <c r="W56" s="30" t="s">
        <v>434</v>
      </c>
      <c r="X56" s="30" t="s">
        <v>179</v>
      </c>
      <c r="Y56" t="s">
        <v>180</v>
      </c>
      <c r="Z56" s="30" t="s">
        <v>180</v>
      </c>
      <c r="AA56" s="30" t="s">
        <v>181</v>
      </c>
      <c r="AB56" s="30" t="s">
        <v>1814</v>
      </c>
      <c r="AC56" s="30" t="s">
        <v>56</v>
      </c>
      <c r="AD56" s="30" t="s">
        <v>368</v>
      </c>
      <c r="AE56" s="30">
        <v>20525373551</v>
      </c>
      <c r="AF56" s="30" t="s">
        <v>435</v>
      </c>
      <c r="AG56" s="30" t="s">
        <v>436</v>
      </c>
      <c r="AH56" s="30" t="s">
        <v>185</v>
      </c>
      <c r="AI56" s="30" t="s">
        <v>437</v>
      </c>
      <c r="AJ56" s="30" t="s">
        <v>438</v>
      </c>
      <c r="AK56" s="30">
        <v>998230850</v>
      </c>
      <c r="AL56" s="30" t="s">
        <v>1809</v>
      </c>
      <c r="AM56" t="s">
        <v>270</v>
      </c>
      <c r="AN56" s="30" t="s">
        <v>270</v>
      </c>
      <c r="AO56" s="30" t="s">
        <v>1809</v>
      </c>
      <c r="AP56" s="30" t="s">
        <v>1809</v>
      </c>
      <c r="AQ56" s="30" t="s">
        <v>1809</v>
      </c>
      <c r="AR56" s="30" t="s">
        <v>1809</v>
      </c>
      <c r="AS56" s="30" t="s">
        <v>63</v>
      </c>
      <c r="AT56" s="30" t="s">
        <v>64</v>
      </c>
      <c r="AU56" s="50">
        <v>46250.916666666664</v>
      </c>
      <c r="AV56" s="50">
        <v>46250.928472222222</v>
      </c>
      <c r="AW56" s="50">
        <v>46250.978472222225</v>
      </c>
      <c r="AX56" s="50">
        <v>46250.986111111109</v>
      </c>
      <c r="AY56" s="50">
        <v>46251.031944444447</v>
      </c>
      <c r="AZ56" s="50">
        <v>46251.129861111112</v>
      </c>
      <c r="BA56" s="51">
        <v>46251.333333333336</v>
      </c>
      <c r="BB56" s="51">
        <v>46251.333333333336</v>
      </c>
      <c r="BC56" s="50">
        <v>46251.359027777777</v>
      </c>
      <c r="BD56" s="50">
        <v>46251.364583333336</v>
      </c>
      <c r="BE56" s="51">
        <v>46251.566666666666</v>
      </c>
      <c r="BF56" s="51">
        <v>46251.570833333331</v>
      </c>
      <c r="BG56" s="51">
        <v>46251.591666666667</v>
      </c>
      <c r="BH56" s="51">
        <v>46251.638888888891</v>
      </c>
      <c r="BI56" s="30" t="s">
        <v>65</v>
      </c>
      <c r="BJ56" s="50">
        <v>46251.916666666664</v>
      </c>
      <c r="BK56" s="50">
        <v>46251.857638888891</v>
      </c>
      <c r="BL56" s="50">
        <v>46251.85833333333</v>
      </c>
      <c r="BM56" s="50">
        <v>46251.867361111108</v>
      </c>
      <c r="BN56" s="50">
        <v>46251.871527777781</v>
      </c>
      <c r="BP56" s="30" t="s">
        <v>372</v>
      </c>
      <c r="BQ56" s="30">
        <v>46251.916666666664</v>
      </c>
      <c r="BR56"/>
      <c r="BS56"/>
      <c r="BT56"/>
      <c r="BU56"/>
      <c r="BV56"/>
      <c r="BW56"/>
      <c r="BX56"/>
      <c r="BY56"/>
    </row>
    <row r="57" spans="1:77">
      <c r="A57" t="s">
        <v>168</v>
      </c>
      <c r="B57" s="30">
        <v>11</v>
      </c>
      <c r="C57" s="30">
        <v>33</v>
      </c>
      <c r="D57" s="30" t="s">
        <v>360</v>
      </c>
      <c r="E57" s="30" t="s">
        <v>170</v>
      </c>
      <c r="F57" s="48">
        <v>46250</v>
      </c>
      <c r="G57" s="48">
        <v>46251</v>
      </c>
      <c r="H57" s="49">
        <v>0.41666666666666669</v>
      </c>
      <c r="I57" s="49">
        <v>0.33333333333333331</v>
      </c>
      <c r="J57" s="30" t="s">
        <v>361</v>
      </c>
      <c r="K57" s="30" t="s">
        <v>171</v>
      </c>
      <c r="L57" s="30">
        <v>1</v>
      </c>
      <c r="M57" s="30" t="s">
        <v>439</v>
      </c>
      <c r="P57" s="30" t="s">
        <v>174</v>
      </c>
      <c r="Q57" s="30" t="s">
        <v>363</v>
      </c>
      <c r="R57" s="30" t="s">
        <v>175</v>
      </c>
      <c r="S57" s="30" t="s">
        <v>176</v>
      </c>
      <c r="T57" s="30" t="s">
        <v>440</v>
      </c>
      <c r="U57" s="30" t="s">
        <v>441</v>
      </c>
      <c r="V57" s="30">
        <v>806711</v>
      </c>
      <c r="W57" s="30" t="s">
        <v>442</v>
      </c>
      <c r="X57" s="30" t="s">
        <v>179</v>
      </c>
      <c r="Y57" t="s">
        <v>180</v>
      </c>
      <c r="Z57" s="30" t="s">
        <v>180</v>
      </c>
      <c r="AA57" s="30" t="s">
        <v>181</v>
      </c>
      <c r="AB57" s="30" t="s">
        <v>1814</v>
      </c>
      <c r="AC57" s="30" t="s">
        <v>56</v>
      </c>
      <c r="AD57" s="30" t="s">
        <v>368</v>
      </c>
      <c r="AE57" s="30">
        <v>20525373551</v>
      </c>
      <c r="AF57" s="30" t="s">
        <v>393</v>
      </c>
      <c r="AG57" s="30" t="s">
        <v>394</v>
      </c>
      <c r="AH57" s="30" t="s">
        <v>185</v>
      </c>
      <c r="AI57" s="30" t="s">
        <v>395</v>
      </c>
      <c r="AJ57" s="30" t="s">
        <v>396</v>
      </c>
      <c r="AK57" s="30">
        <v>998255542</v>
      </c>
      <c r="AL57" s="30" t="s">
        <v>1809</v>
      </c>
      <c r="AM57" t="s">
        <v>270</v>
      </c>
      <c r="AN57" s="30" t="s">
        <v>270</v>
      </c>
      <c r="AO57" s="30" t="s">
        <v>1809</v>
      </c>
      <c r="AP57" s="30" t="s">
        <v>1809</v>
      </c>
      <c r="AQ57" s="30" t="s">
        <v>1809</v>
      </c>
      <c r="AR57" s="30" t="s">
        <v>1809</v>
      </c>
      <c r="AS57" s="30" t="s">
        <v>63</v>
      </c>
      <c r="AT57" s="30" t="s">
        <v>64</v>
      </c>
      <c r="AU57" s="50">
        <v>46250.333333333336</v>
      </c>
      <c r="AV57" s="50">
        <v>46250.34097222222</v>
      </c>
      <c r="AW57" s="50">
        <v>46250.347916666666</v>
      </c>
      <c r="AX57" s="50">
        <v>46250.354166666664</v>
      </c>
      <c r="AY57" s="50">
        <v>46250.395833333336</v>
      </c>
      <c r="AZ57" s="50">
        <v>46250.832638888889</v>
      </c>
      <c r="BA57" s="51">
        <v>46251.333333333336</v>
      </c>
      <c r="BB57" s="51">
        <v>46251.00277777778</v>
      </c>
      <c r="BC57" s="50">
        <v>46251.291666666664</v>
      </c>
      <c r="BD57" s="50">
        <v>46251.331944444442</v>
      </c>
      <c r="BE57" s="51">
        <v>46251.55</v>
      </c>
      <c r="BF57" s="51">
        <v>46251.56527777778</v>
      </c>
      <c r="BG57" s="51">
        <v>46251.597222222219</v>
      </c>
      <c r="BH57" s="51">
        <v>46251.643750000003</v>
      </c>
      <c r="BI57" s="30" t="s">
        <v>65</v>
      </c>
      <c r="BJ57" s="50">
        <v>46251.875</v>
      </c>
      <c r="BK57" s="50">
        <v>46251.851388888892</v>
      </c>
      <c r="BL57" s="50">
        <v>46251.857638888891</v>
      </c>
      <c r="BM57" s="50">
        <v>46251.859027777777</v>
      </c>
      <c r="BN57" s="50">
        <v>46251.870138888888</v>
      </c>
      <c r="BP57" s="30" t="s">
        <v>372</v>
      </c>
      <c r="BQ57" s="30">
        <v>46251.875</v>
      </c>
      <c r="BR57"/>
      <c r="BS57"/>
      <c r="BT57"/>
      <c r="BU57"/>
      <c r="BV57"/>
      <c r="BW57"/>
      <c r="BX57"/>
      <c r="BY57"/>
    </row>
    <row r="58" spans="1:77">
      <c r="A58" t="s">
        <v>168</v>
      </c>
      <c r="B58" s="30">
        <v>12</v>
      </c>
      <c r="C58" s="30">
        <v>33</v>
      </c>
      <c r="D58" s="30" t="s">
        <v>360</v>
      </c>
      <c r="E58" s="30" t="s">
        <v>170</v>
      </c>
      <c r="F58" s="48">
        <v>46251</v>
      </c>
      <c r="G58" s="48">
        <v>46252</v>
      </c>
      <c r="H58" s="49">
        <v>0.41666666666666669</v>
      </c>
      <c r="I58" s="49">
        <v>0.33333333333333331</v>
      </c>
      <c r="J58" s="30" t="s">
        <v>361</v>
      </c>
      <c r="K58" s="30" t="s">
        <v>171</v>
      </c>
      <c r="L58" s="30">
        <v>1</v>
      </c>
      <c r="M58" s="30" t="s">
        <v>443</v>
      </c>
      <c r="P58" s="30" t="s">
        <v>174</v>
      </c>
      <c r="Q58" s="30" t="s">
        <v>363</v>
      </c>
      <c r="R58" s="30" t="s">
        <v>175</v>
      </c>
      <c r="S58" s="30" t="s">
        <v>176</v>
      </c>
      <c r="T58" s="30" t="s">
        <v>444</v>
      </c>
      <c r="U58" s="30" t="s">
        <v>445</v>
      </c>
      <c r="V58" s="30">
        <v>807254</v>
      </c>
      <c r="W58" s="30" t="s">
        <v>446</v>
      </c>
      <c r="X58" s="30" t="s">
        <v>179</v>
      </c>
      <c r="Y58" t="s">
        <v>180</v>
      </c>
      <c r="Z58" s="30" t="s">
        <v>180</v>
      </c>
      <c r="AA58" s="30" t="s">
        <v>181</v>
      </c>
      <c r="AB58" s="30" t="s">
        <v>1814</v>
      </c>
      <c r="AC58" s="30" t="s">
        <v>56</v>
      </c>
      <c r="AD58" s="30" t="s">
        <v>368</v>
      </c>
      <c r="AE58" s="30">
        <v>20525373551</v>
      </c>
      <c r="AF58" s="30" t="s">
        <v>447</v>
      </c>
      <c r="AG58" s="30" t="s">
        <v>448</v>
      </c>
      <c r="AH58" s="30" t="s">
        <v>185</v>
      </c>
      <c r="AI58" s="30" t="s">
        <v>449</v>
      </c>
      <c r="AJ58" s="30" t="s">
        <v>450</v>
      </c>
      <c r="AK58" s="30">
        <v>961580382</v>
      </c>
      <c r="AL58" s="30" t="s">
        <v>1809</v>
      </c>
      <c r="AM58" t="s">
        <v>270</v>
      </c>
      <c r="AN58" s="30" t="s">
        <v>270</v>
      </c>
      <c r="AO58" s="30" t="s">
        <v>1809</v>
      </c>
      <c r="AP58" s="30" t="s">
        <v>1809</v>
      </c>
      <c r="AQ58" s="30" t="s">
        <v>1809</v>
      </c>
      <c r="AR58" s="30" t="s">
        <v>1809</v>
      </c>
      <c r="AS58" s="30" t="s">
        <v>63</v>
      </c>
      <c r="AT58" s="30" t="s">
        <v>63</v>
      </c>
      <c r="AU58" s="50">
        <v>46251.708333333336</v>
      </c>
      <c r="AV58" s="50">
        <v>46251.68472222222</v>
      </c>
      <c r="AW58" s="50">
        <v>46251.70208333333</v>
      </c>
      <c r="AX58" s="50">
        <v>46251.706250000003</v>
      </c>
      <c r="AY58" s="50">
        <v>46251.772222222222</v>
      </c>
      <c r="AZ58" s="50">
        <v>46251.818055555559</v>
      </c>
      <c r="BA58" s="51">
        <v>46252.333333333336</v>
      </c>
      <c r="BB58" s="51">
        <v>46252.006249999999</v>
      </c>
      <c r="BC58" s="50">
        <v>46252.319444444445</v>
      </c>
      <c r="BD58" s="50">
        <v>46252.32708333333</v>
      </c>
      <c r="BE58" s="51">
        <v>46252.356249999997</v>
      </c>
      <c r="BF58" s="51">
        <v>46252.40625</v>
      </c>
      <c r="BG58" s="51">
        <v>46252.479166666664</v>
      </c>
      <c r="BH58" s="51">
        <v>46252.507638888892</v>
      </c>
      <c r="BI58" s="30" t="s">
        <v>65</v>
      </c>
      <c r="BJ58" s="50">
        <v>46252.791666666664</v>
      </c>
      <c r="BK58" s="50">
        <v>46252.738888888889</v>
      </c>
      <c r="BL58" s="50">
        <v>46252.740277777775</v>
      </c>
      <c r="BM58" s="50">
        <v>46252.743055555555</v>
      </c>
      <c r="BN58" s="50">
        <v>46252.753472222219</v>
      </c>
      <c r="BP58" s="30" t="s">
        <v>372</v>
      </c>
      <c r="BQ58" s="30">
        <v>46252.791666666664</v>
      </c>
      <c r="BR58"/>
      <c r="BS58"/>
      <c r="BT58"/>
      <c r="BU58"/>
      <c r="BV58"/>
      <c r="BW58"/>
      <c r="BX58"/>
      <c r="BY58"/>
    </row>
    <row r="59" spans="1:77">
      <c r="A59" t="s">
        <v>168</v>
      </c>
      <c r="B59" s="30">
        <v>13</v>
      </c>
      <c r="C59" s="30">
        <v>34</v>
      </c>
      <c r="D59" s="30" t="s">
        <v>360</v>
      </c>
      <c r="E59" s="30" t="s">
        <v>170</v>
      </c>
      <c r="F59" s="48">
        <v>46252</v>
      </c>
      <c r="G59" s="48">
        <v>46253</v>
      </c>
      <c r="H59" s="49">
        <v>0.41666666666666669</v>
      </c>
      <c r="I59" s="49">
        <v>0.33333333333333331</v>
      </c>
      <c r="J59" s="30" t="s">
        <v>361</v>
      </c>
      <c r="K59" s="30" t="s">
        <v>171</v>
      </c>
      <c r="L59" s="30">
        <v>1</v>
      </c>
      <c r="M59" s="30" t="s">
        <v>451</v>
      </c>
      <c r="P59" s="30" t="s">
        <v>174</v>
      </c>
      <c r="Q59" s="30" t="s">
        <v>363</v>
      </c>
      <c r="R59" s="30" t="s">
        <v>175</v>
      </c>
      <c r="S59" s="30" t="s">
        <v>452</v>
      </c>
      <c r="T59" s="30" t="s">
        <v>453</v>
      </c>
      <c r="U59" s="30" t="s">
        <v>454</v>
      </c>
      <c r="V59" s="30">
        <v>7538</v>
      </c>
      <c r="W59" s="30" t="s">
        <v>455</v>
      </c>
      <c r="X59" s="30" t="s">
        <v>179</v>
      </c>
      <c r="Y59" t="s">
        <v>180</v>
      </c>
      <c r="Z59" s="30" t="s">
        <v>180</v>
      </c>
      <c r="AA59" s="30" t="s">
        <v>181</v>
      </c>
      <c r="AB59" s="30" t="s">
        <v>1814</v>
      </c>
      <c r="AC59" s="30" t="s">
        <v>56</v>
      </c>
      <c r="AD59" s="30" t="s">
        <v>368</v>
      </c>
      <c r="AE59" s="30">
        <v>20525373551</v>
      </c>
      <c r="AF59" s="30" t="s">
        <v>456</v>
      </c>
      <c r="AG59" s="30" t="s">
        <v>457</v>
      </c>
      <c r="AH59" s="30" t="s">
        <v>185</v>
      </c>
      <c r="AI59" s="30" t="s">
        <v>458</v>
      </c>
      <c r="AJ59" s="30" t="s">
        <v>1792</v>
      </c>
      <c r="AK59" s="30">
        <v>945247441</v>
      </c>
      <c r="AL59" s="30" t="s">
        <v>1809</v>
      </c>
      <c r="AM59" t="s">
        <v>270</v>
      </c>
      <c r="AN59" s="30" t="s">
        <v>270</v>
      </c>
      <c r="AO59" s="30" t="s">
        <v>1809</v>
      </c>
      <c r="AP59" s="30" t="s">
        <v>1809</v>
      </c>
      <c r="AQ59" s="30" t="s">
        <v>1809</v>
      </c>
      <c r="AR59" s="30" t="s">
        <v>1809</v>
      </c>
      <c r="AS59" s="30" t="s">
        <v>63</v>
      </c>
      <c r="AT59" s="30" t="s">
        <v>380</v>
      </c>
      <c r="AU59" s="50">
        <v>46252.708333333336</v>
      </c>
      <c r="AV59" s="50">
        <v>46252.694444444445</v>
      </c>
      <c r="AW59" s="50">
        <v>46252.722916666666</v>
      </c>
      <c r="AX59" s="50">
        <v>46252.737500000003</v>
      </c>
      <c r="AY59" s="50">
        <v>46252.795138888891</v>
      </c>
      <c r="AZ59" s="50">
        <v>46253.097222222219</v>
      </c>
      <c r="BA59" s="51">
        <v>46253.333333333336</v>
      </c>
      <c r="BB59" s="51">
        <v>46253.298611111109</v>
      </c>
      <c r="BC59" s="50">
        <v>46253.368750000001</v>
      </c>
      <c r="BD59" s="50">
        <v>46253.378472222219</v>
      </c>
      <c r="BE59" s="51">
        <v>46253.652777777781</v>
      </c>
      <c r="BF59" s="51">
        <v>46253.667361111111</v>
      </c>
      <c r="BG59" s="51">
        <v>46253.720833333333</v>
      </c>
      <c r="BH59" s="51">
        <v>46253.736111111109</v>
      </c>
      <c r="BI59" s="30" t="s">
        <v>65</v>
      </c>
      <c r="BJ59" s="50">
        <v>46254.041666666664</v>
      </c>
      <c r="BK59" s="50">
        <v>46254.003472222219</v>
      </c>
      <c r="BL59" s="50">
        <v>46254.01458333333</v>
      </c>
      <c r="BM59" s="50">
        <v>46254.025694444441</v>
      </c>
      <c r="BN59" s="50">
        <v>46254.03125</v>
      </c>
      <c r="BP59" s="30" t="s">
        <v>372</v>
      </c>
      <c r="BQ59" s="30">
        <v>46254.041666666664</v>
      </c>
      <c r="BR59"/>
      <c r="BS59"/>
      <c r="BT59"/>
      <c r="BU59"/>
      <c r="BV59"/>
      <c r="BW59"/>
      <c r="BX59"/>
      <c r="BY59"/>
    </row>
    <row r="60" spans="1:77">
      <c r="A60" t="s">
        <v>168</v>
      </c>
      <c r="B60" s="30">
        <v>14</v>
      </c>
      <c r="C60" s="30">
        <v>34</v>
      </c>
      <c r="D60" s="30" t="s">
        <v>360</v>
      </c>
      <c r="E60" s="30" t="s">
        <v>170</v>
      </c>
      <c r="F60" s="48">
        <v>46252</v>
      </c>
      <c r="G60" s="48">
        <v>46253</v>
      </c>
      <c r="H60" s="49">
        <v>0.41666666666666669</v>
      </c>
      <c r="I60" s="49">
        <v>0.33333333333333331</v>
      </c>
      <c r="J60" s="30" t="s">
        <v>361</v>
      </c>
      <c r="K60" s="30" t="s">
        <v>171</v>
      </c>
      <c r="L60" s="30">
        <v>1</v>
      </c>
      <c r="M60" s="30" t="s">
        <v>459</v>
      </c>
      <c r="P60" s="30" t="s">
        <v>174</v>
      </c>
      <c r="Q60" s="30" t="s">
        <v>363</v>
      </c>
      <c r="R60" s="30" t="s">
        <v>175</v>
      </c>
      <c r="S60" s="30" t="s">
        <v>452</v>
      </c>
      <c r="T60" s="30" t="s">
        <v>460</v>
      </c>
      <c r="U60" s="30" t="s">
        <v>461</v>
      </c>
      <c r="V60" s="30">
        <v>7534</v>
      </c>
      <c r="W60" s="30" t="s">
        <v>462</v>
      </c>
      <c r="X60" s="30" t="s">
        <v>179</v>
      </c>
      <c r="Y60" t="s">
        <v>180</v>
      </c>
      <c r="Z60" s="30" t="s">
        <v>180</v>
      </c>
      <c r="AA60" s="30" t="s">
        <v>181</v>
      </c>
      <c r="AB60" s="30" t="s">
        <v>1814</v>
      </c>
      <c r="AC60" s="30" t="s">
        <v>56</v>
      </c>
      <c r="AD60" s="30" t="s">
        <v>368</v>
      </c>
      <c r="AE60" s="30">
        <v>20525373551</v>
      </c>
      <c r="AF60" s="30" t="s">
        <v>463</v>
      </c>
      <c r="AG60" s="30" t="s">
        <v>436</v>
      </c>
      <c r="AH60" s="30" t="s">
        <v>185</v>
      </c>
      <c r="AI60" s="30" t="s">
        <v>437</v>
      </c>
      <c r="AJ60" s="30" t="s">
        <v>438</v>
      </c>
      <c r="AK60" s="30">
        <v>998230850</v>
      </c>
      <c r="AL60" s="30" t="s">
        <v>1809</v>
      </c>
      <c r="AM60" t="s">
        <v>270</v>
      </c>
      <c r="AN60" s="30" t="s">
        <v>270</v>
      </c>
      <c r="AO60" s="30" t="s">
        <v>1809</v>
      </c>
      <c r="AP60" s="30" t="s">
        <v>1809</v>
      </c>
      <c r="AQ60" s="30" t="s">
        <v>1809</v>
      </c>
      <c r="AR60" s="30" t="s">
        <v>1809</v>
      </c>
      <c r="AS60" s="30" t="s">
        <v>63</v>
      </c>
      <c r="AT60" s="30" t="s">
        <v>380</v>
      </c>
      <c r="AU60" s="50">
        <v>46252.666666666664</v>
      </c>
      <c r="AV60" s="50">
        <v>46252.681250000001</v>
      </c>
      <c r="AW60" s="50">
        <v>46252.681250000001</v>
      </c>
      <c r="AX60" s="50">
        <v>46252.689583333333</v>
      </c>
      <c r="AY60" s="50">
        <v>46252.751388888886</v>
      </c>
      <c r="AZ60" s="50">
        <v>46253.12777777778</v>
      </c>
      <c r="BA60" s="51">
        <v>46253.333333333336</v>
      </c>
      <c r="BB60" s="51">
        <v>46253.329861111109</v>
      </c>
      <c r="BC60" s="50">
        <v>46253.375</v>
      </c>
      <c r="BD60" s="50">
        <v>46253.388888888891</v>
      </c>
      <c r="BE60" s="51">
        <v>46253.645833333336</v>
      </c>
      <c r="BF60" s="51">
        <v>46253.660416666666</v>
      </c>
      <c r="BG60" s="51">
        <v>46253.681944444441</v>
      </c>
      <c r="BH60" s="51">
        <v>46253.716666666667</v>
      </c>
      <c r="BI60" s="30" t="s">
        <v>65</v>
      </c>
      <c r="BJ60" s="50">
        <v>46253.958333333336</v>
      </c>
      <c r="BK60" s="50">
        <v>46253.95</v>
      </c>
      <c r="BL60" s="50">
        <v>46253.953472222223</v>
      </c>
      <c r="BM60" s="50">
        <v>46253.962500000001</v>
      </c>
      <c r="BN60" s="50">
        <v>46253.977777777778</v>
      </c>
      <c r="BP60" s="30" t="s">
        <v>372</v>
      </c>
      <c r="BQ60" s="30">
        <v>46253.958333333336</v>
      </c>
      <c r="BR60"/>
      <c r="BS60"/>
      <c r="BT60"/>
      <c r="BU60"/>
      <c r="BV60"/>
      <c r="BW60"/>
      <c r="BX60"/>
      <c r="BY60"/>
    </row>
    <row r="61" spans="1:77">
      <c r="A61" t="s">
        <v>168</v>
      </c>
      <c r="B61" s="30">
        <v>15</v>
      </c>
      <c r="C61" s="30">
        <v>34</v>
      </c>
      <c r="D61" s="30" t="s">
        <v>360</v>
      </c>
      <c r="E61" s="30" t="s">
        <v>170</v>
      </c>
      <c r="F61" s="48">
        <v>46253</v>
      </c>
      <c r="G61" s="48">
        <v>46254</v>
      </c>
      <c r="H61" s="49">
        <v>0.58333333333333337</v>
      </c>
      <c r="I61" s="49">
        <v>0.5</v>
      </c>
      <c r="J61" s="30" t="s">
        <v>361</v>
      </c>
      <c r="K61" s="30" t="s">
        <v>171</v>
      </c>
      <c r="L61" s="30">
        <v>1</v>
      </c>
      <c r="M61" s="30" t="s">
        <v>464</v>
      </c>
      <c r="P61" s="30" t="s">
        <v>174</v>
      </c>
      <c r="Q61" s="30" t="s">
        <v>363</v>
      </c>
      <c r="R61" s="30" t="s">
        <v>374</v>
      </c>
      <c r="S61" s="30" t="s">
        <v>375</v>
      </c>
      <c r="T61" s="30" t="s">
        <v>465</v>
      </c>
      <c r="U61" s="30" t="s">
        <v>466</v>
      </c>
      <c r="V61" s="30">
        <v>7571</v>
      </c>
      <c r="W61" s="30" t="s">
        <v>467</v>
      </c>
      <c r="X61" s="30" t="s">
        <v>180</v>
      </c>
      <c r="Y61" t="s">
        <v>180</v>
      </c>
      <c r="Z61" s="30" t="s">
        <v>180</v>
      </c>
      <c r="AA61" s="30" t="s">
        <v>181</v>
      </c>
      <c r="AB61" s="30" t="s">
        <v>1814</v>
      </c>
      <c r="AC61" s="30" t="s">
        <v>56</v>
      </c>
      <c r="AD61" s="30" t="s">
        <v>368</v>
      </c>
      <c r="AE61" s="30">
        <v>20525373551</v>
      </c>
      <c r="AF61" s="30" t="s">
        <v>402</v>
      </c>
      <c r="AG61" s="30" t="s">
        <v>403</v>
      </c>
      <c r="AH61" s="30" t="s">
        <v>185</v>
      </c>
      <c r="AI61" s="30" t="s">
        <v>404</v>
      </c>
      <c r="AJ61" s="30" t="s">
        <v>405</v>
      </c>
      <c r="AK61" s="30">
        <v>998374895</v>
      </c>
      <c r="AL61" s="30" t="s">
        <v>1809</v>
      </c>
      <c r="AM61" t="s">
        <v>270</v>
      </c>
      <c r="AN61" s="30" t="s">
        <v>270</v>
      </c>
      <c r="AO61" s="30" t="s">
        <v>1809</v>
      </c>
      <c r="AP61" s="30" t="s">
        <v>1809</v>
      </c>
      <c r="AQ61" s="30" t="s">
        <v>1809</v>
      </c>
      <c r="AR61" s="30" t="s">
        <v>1809</v>
      </c>
      <c r="AS61" s="30" t="s">
        <v>63</v>
      </c>
      <c r="AT61" s="30" t="s">
        <v>380</v>
      </c>
      <c r="AU61" s="50">
        <v>46253.666666666664</v>
      </c>
      <c r="AV61" s="50">
        <v>46253.675000000003</v>
      </c>
      <c r="AW61" s="50">
        <v>46253.705555555556</v>
      </c>
      <c r="AX61" s="50">
        <v>46253.727777777778</v>
      </c>
      <c r="AY61" s="50">
        <v>46253.772916666669</v>
      </c>
      <c r="AZ61" s="50">
        <v>46254.313194444447</v>
      </c>
      <c r="BA61" s="51">
        <v>46254.486111111109</v>
      </c>
      <c r="BB61" s="51">
        <v>46254.489583333336</v>
      </c>
      <c r="BC61" s="50">
        <v>46254.49722222222</v>
      </c>
      <c r="BD61" s="50">
        <v>46254.49722222222</v>
      </c>
      <c r="BE61" s="51">
        <v>46254.652777777781</v>
      </c>
      <c r="BF61" s="51">
        <v>46254.680555555555</v>
      </c>
      <c r="BG61" s="51">
        <v>46254.746527777781</v>
      </c>
      <c r="BH61" s="51">
        <v>46254.779166666667</v>
      </c>
      <c r="BI61" s="30" t="s">
        <v>65</v>
      </c>
      <c r="BJ61" s="50">
        <v>46254.958333333336</v>
      </c>
      <c r="BK61" s="50">
        <v>46254.972222222219</v>
      </c>
      <c r="BL61" s="50">
        <v>46254.975694444445</v>
      </c>
      <c r="BM61" s="50">
        <v>46254.982638888891</v>
      </c>
      <c r="BN61" s="50">
        <v>46254.986111111109</v>
      </c>
      <c r="BP61" s="30" t="s">
        <v>372</v>
      </c>
      <c r="BQ61" s="30">
        <v>46254.958333333336</v>
      </c>
      <c r="BR61"/>
      <c r="BS61"/>
      <c r="BT61"/>
      <c r="BU61"/>
      <c r="BV61"/>
      <c r="BW61"/>
      <c r="BX61"/>
      <c r="BY61"/>
    </row>
    <row r="62" spans="1:77">
      <c r="A62" t="s">
        <v>168</v>
      </c>
      <c r="B62" s="30">
        <v>16</v>
      </c>
      <c r="C62" s="30">
        <v>34</v>
      </c>
      <c r="D62" s="30" t="s">
        <v>360</v>
      </c>
      <c r="E62" s="30" t="s">
        <v>170</v>
      </c>
      <c r="F62" s="48">
        <v>46254</v>
      </c>
      <c r="G62" s="48">
        <v>46255</v>
      </c>
      <c r="H62" s="49">
        <v>0.41666666666666669</v>
      </c>
      <c r="I62" s="49">
        <v>0.33333333333333331</v>
      </c>
      <c r="J62" s="30" t="s">
        <v>361</v>
      </c>
      <c r="K62" s="30" t="s">
        <v>171</v>
      </c>
      <c r="L62" s="30">
        <v>1</v>
      </c>
      <c r="M62" s="30" t="s">
        <v>468</v>
      </c>
      <c r="P62" s="30" t="s">
        <v>174</v>
      </c>
      <c r="Q62" s="30" t="s">
        <v>363</v>
      </c>
      <c r="R62" s="30" t="s">
        <v>374</v>
      </c>
      <c r="S62" s="30" t="s">
        <v>375</v>
      </c>
      <c r="T62" s="30" t="s">
        <v>469</v>
      </c>
      <c r="U62" s="30" t="s">
        <v>470</v>
      </c>
      <c r="V62" s="30">
        <v>7604</v>
      </c>
      <c r="W62" s="30" t="s">
        <v>471</v>
      </c>
      <c r="X62" s="30" t="s">
        <v>180</v>
      </c>
      <c r="Y62" t="s">
        <v>180</v>
      </c>
      <c r="Z62" s="30" t="s">
        <v>180</v>
      </c>
      <c r="AA62" s="30" t="s">
        <v>181</v>
      </c>
      <c r="AB62" s="30" t="s">
        <v>1814</v>
      </c>
      <c r="AC62" s="30" t="s">
        <v>56</v>
      </c>
      <c r="AD62" s="30" t="s">
        <v>368</v>
      </c>
      <c r="AE62" s="30">
        <v>20525373551</v>
      </c>
      <c r="AF62" s="30" t="s">
        <v>463</v>
      </c>
      <c r="AG62" s="30" t="s">
        <v>436</v>
      </c>
      <c r="AH62" s="30" t="s">
        <v>185</v>
      </c>
      <c r="AI62" s="30" t="s">
        <v>437</v>
      </c>
      <c r="AJ62" s="30" t="s">
        <v>438</v>
      </c>
      <c r="AK62" s="30">
        <v>998230850</v>
      </c>
      <c r="AL62" s="30" t="s">
        <v>1809</v>
      </c>
      <c r="AM62" t="s">
        <v>270</v>
      </c>
      <c r="AN62" s="30" t="s">
        <v>270</v>
      </c>
      <c r="AO62" s="30" t="s">
        <v>1809</v>
      </c>
      <c r="AP62" s="30" t="s">
        <v>1809</v>
      </c>
      <c r="AQ62" s="30" t="s">
        <v>1809</v>
      </c>
      <c r="AR62" s="30" t="s">
        <v>1809</v>
      </c>
      <c r="AS62" s="30" t="s">
        <v>63</v>
      </c>
      <c r="AT62" s="30" t="s">
        <v>380</v>
      </c>
      <c r="AU62" s="50">
        <v>46254.666666666664</v>
      </c>
      <c r="AV62" s="50">
        <v>46254.664583333331</v>
      </c>
      <c r="AW62" s="50">
        <v>46254.686805555553</v>
      </c>
      <c r="AX62" s="50">
        <v>46254.698611111111</v>
      </c>
      <c r="AY62" s="50">
        <v>46254.783333333333</v>
      </c>
      <c r="AZ62" s="50">
        <v>46255.138194444444</v>
      </c>
      <c r="BA62" s="51">
        <v>46255.326388888891</v>
      </c>
      <c r="BB62" s="51">
        <v>46255.329861111109</v>
      </c>
      <c r="BC62" s="50">
        <v>46255.336805555555</v>
      </c>
      <c r="BD62" s="50">
        <v>46255.447916666664</v>
      </c>
      <c r="BE62" s="51">
        <v>46255.447916666664</v>
      </c>
      <c r="BF62" s="51">
        <v>46255.461805555555</v>
      </c>
      <c r="BG62" s="51">
        <v>46255.474999999999</v>
      </c>
      <c r="BH62" s="51">
        <v>46255.48333333333</v>
      </c>
      <c r="BI62" s="30" t="s">
        <v>65</v>
      </c>
      <c r="BJ62" s="50">
        <v>46255.75</v>
      </c>
      <c r="BK62" s="50">
        <v>46255.727777777778</v>
      </c>
      <c r="BL62" s="50">
        <v>46255.727777777778</v>
      </c>
      <c r="BM62" s="50">
        <v>46255.73333333333</v>
      </c>
      <c r="BN62" s="50">
        <v>46255.737500000003</v>
      </c>
      <c r="BP62" s="30" t="s">
        <v>372</v>
      </c>
      <c r="BQ62" s="30">
        <v>46255.75</v>
      </c>
      <c r="BR62"/>
      <c r="BS62"/>
      <c r="BT62"/>
      <c r="BU62"/>
      <c r="BV62"/>
      <c r="BW62"/>
      <c r="BX62"/>
      <c r="BY62"/>
    </row>
    <row r="63" spans="1:77">
      <c r="A63" t="s">
        <v>168</v>
      </c>
      <c r="B63" s="30">
        <v>17</v>
      </c>
      <c r="C63" s="30">
        <v>34</v>
      </c>
      <c r="D63" s="30" t="s">
        <v>360</v>
      </c>
      <c r="E63" s="30" t="s">
        <v>170</v>
      </c>
      <c r="F63" s="48">
        <v>46257</v>
      </c>
      <c r="G63" s="48">
        <v>46258</v>
      </c>
      <c r="H63" s="49">
        <v>0.41666666666666669</v>
      </c>
      <c r="I63" s="49">
        <v>0.33333333333333331</v>
      </c>
      <c r="J63" s="30" t="s">
        <v>361</v>
      </c>
      <c r="K63" s="30" t="s">
        <v>171</v>
      </c>
      <c r="L63" s="30">
        <v>1</v>
      </c>
      <c r="M63" s="30" t="s">
        <v>1815</v>
      </c>
      <c r="P63" s="30" t="s">
        <v>174</v>
      </c>
      <c r="Q63" s="30" t="s">
        <v>363</v>
      </c>
      <c r="R63" s="30" t="s">
        <v>431</v>
      </c>
      <c r="S63" s="30" t="s">
        <v>623</v>
      </c>
      <c r="T63" s="30" t="s">
        <v>1816</v>
      </c>
      <c r="U63" s="30" t="s">
        <v>1846</v>
      </c>
      <c r="V63" s="30">
        <v>809477</v>
      </c>
      <c r="W63" s="30" t="s">
        <v>1847</v>
      </c>
      <c r="X63" s="30" t="s">
        <v>179</v>
      </c>
      <c r="Y63" t="s">
        <v>180</v>
      </c>
      <c r="Z63" s="30" t="s">
        <v>180</v>
      </c>
      <c r="AA63" s="30" t="s">
        <v>181</v>
      </c>
      <c r="AB63" s="30" t="s">
        <v>1814</v>
      </c>
      <c r="AC63" s="30" t="s">
        <v>56</v>
      </c>
      <c r="AD63" s="30" t="s">
        <v>368</v>
      </c>
      <c r="AE63" s="30">
        <v>20525373551</v>
      </c>
      <c r="AF63" s="30" t="s">
        <v>369</v>
      </c>
      <c r="AG63" s="30" t="s">
        <v>1790</v>
      </c>
      <c r="AH63" s="30" t="s">
        <v>185</v>
      </c>
      <c r="AI63" s="30" t="s">
        <v>370</v>
      </c>
      <c r="AJ63" s="30" t="s">
        <v>371</v>
      </c>
      <c r="AK63" s="30">
        <v>998231122</v>
      </c>
      <c r="AL63" s="30" t="s">
        <v>1809</v>
      </c>
      <c r="AM63" t="s">
        <v>270</v>
      </c>
      <c r="AN63" s="30" t="s">
        <v>270</v>
      </c>
      <c r="AO63" s="30" t="s">
        <v>1809</v>
      </c>
      <c r="AP63" s="30" t="s">
        <v>1809</v>
      </c>
      <c r="AQ63" s="30" t="s">
        <v>1809</v>
      </c>
      <c r="AR63" s="30" t="s">
        <v>1809</v>
      </c>
      <c r="AS63" s="30" t="s">
        <v>63</v>
      </c>
      <c r="AT63" s="30" t="s">
        <v>64</v>
      </c>
      <c r="AU63" s="50">
        <v>46257.833333333336</v>
      </c>
      <c r="AV63" s="50">
        <v>46257.800694444442</v>
      </c>
      <c r="AW63" s="50">
        <v>46257.856944444444</v>
      </c>
      <c r="AX63" s="50">
        <v>46257.861111111109</v>
      </c>
      <c r="AY63" s="50">
        <v>46257.931250000001</v>
      </c>
      <c r="AZ63" s="50">
        <v>46257.931250000001</v>
      </c>
      <c r="BA63" s="51">
        <v>46258.1</v>
      </c>
      <c r="BB63" s="51">
        <v>46258.348611111112</v>
      </c>
      <c r="BC63" s="50">
        <v>46258.348611111112</v>
      </c>
      <c r="BD63" s="50">
        <v>46258.350694444445</v>
      </c>
      <c r="BE63" s="51">
        <v>46258.479861111111</v>
      </c>
      <c r="BF63" s="51">
        <v>46258.502083333333</v>
      </c>
      <c r="BG63" s="51">
        <v>46258.529861111114</v>
      </c>
      <c r="BH63" s="51">
        <v>46258.569444444445</v>
      </c>
      <c r="BI63" s="30" t="s">
        <v>65</v>
      </c>
      <c r="BJ63" s="50">
        <v>46258.791666666664</v>
      </c>
      <c r="BK63" s="50">
        <v>46258.765972222223</v>
      </c>
      <c r="BL63" s="50">
        <v>46258.765972222223</v>
      </c>
      <c r="BM63" s="50">
        <v>46258.768750000003</v>
      </c>
      <c r="BN63" s="50">
        <v>46258.774305555555</v>
      </c>
      <c r="BP63" s="30" t="s">
        <v>372</v>
      </c>
      <c r="BQ63" s="30">
        <v>46258.791666666664</v>
      </c>
      <c r="BR63"/>
      <c r="BS63"/>
      <c r="BT63"/>
      <c r="BU63"/>
      <c r="BV63"/>
      <c r="BW63"/>
      <c r="BX63"/>
      <c r="BY63"/>
    </row>
    <row r="64" spans="1:77">
      <c r="A64" t="s">
        <v>168</v>
      </c>
      <c r="B64" s="30">
        <v>18</v>
      </c>
      <c r="C64" s="30">
        <v>34</v>
      </c>
      <c r="D64" s="30" t="s">
        <v>360</v>
      </c>
      <c r="E64" s="30" t="s">
        <v>170</v>
      </c>
      <c r="F64" s="48">
        <v>46257</v>
      </c>
      <c r="G64" s="48">
        <v>46258</v>
      </c>
      <c r="H64" s="49">
        <v>0.41666666666666669</v>
      </c>
      <c r="I64" s="49">
        <v>0.33333333333333331</v>
      </c>
      <c r="J64" s="30" t="s">
        <v>361</v>
      </c>
      <c r="K64" s="30" t="s">
        <v>171</v>
      </c>
      <c r="L64" s="30">
        <v>1</v>
      </c>
      <c r="M64" s="30" t="s">
        <v>1817</v>
      </c>
      <c r="P64" s="30" t="s">
        <v>174</v>
      </c>
      <c r="Q64" s="30" t="s">
        <v>363</v>
      </c>
      <c r="R64" s="30" t="s">
        <v>431</v>
      </c>
      <c r="S64" s="30" t="s">
        <v>623</v>
      </c>
      <c r="T64" s="30" t="s">
        <v>1818</v>
      </c>
      <c r="U64" s="30" t="s">
        <v>1848</v>
      </c>
      <c r="V64" s="30">
        <v>809473</v>
      </c>
      <c r="W64" s="30" t="s">
        <v>1849</v>
      </c>
      <c r="X64" s="30" t="s">
        <v>179</v>
      </c>
      <c r="Y64" t="s">
        <v>180</v>
      </c>
      <c r="Z64" s="30" t="s">
        <v>180</v>
      </c>
      <c r="AA64" s="30" t="s">
        <v>181</v>
      </c>
      <c r="AB64" s="30" t="s">
        <v>1814</v>
      </c>
      <c r="AC64" s="30" t="s">
        <v>56</v>
      </c>
      <c r="AD64" s="30" t="s">
        <v>368</v>
      </c>
      <c r="AE64" s="30">
        <v>20525373551</v>
      </c>
      <c r="AF64" s="30" t="s">
        <v>1850</v>
      </c>
      <c r="AG64" s="30" t="s">
        <v>1851</v>
      </c>
      <c r="AH64" s="30" t="s">
        <v>185</v>
      </c>
      <c r="AI64" s="30" t="s">
        <v>1852</v>
      </c>
      <c r="AJ64" s="30" t="s">
        <v>1853</v>
      </c>
      <c r="AK64" s="30">
        <v>958976357</v>
      </c>
      <c r="AL64" s="30" t="s">
        <v>1809</v>
      </c>
      <c r="AM64" t="s">
        <v>270</v>
      </c>
      <c r="AN64" s="30" t="s">
        <v>270</v>
      </c>
      <c r="AO64" s="30" t="s">
        <v>1809</v>
      </c>
      <c r="AP64" s="30" t="s">
        <v>1809</v>
      </c>
      <c r="AQ64" s="30" t="s">
        <v>1809</v>
      </c>
      <c r="AR64" s="30" t="s">
        <v>1809</v>
      </c>
      <c r="AS64" s="30" t="s">
        <v>63</v>
      </c>
      <c r="AT64" s="30" t="s">
        <v>64</v>
      </c>
      <c r="AU64" s="50">
        <v>46257.833333333336</v>
      </c>
      <c r="AV64" s="50">
        <v>46257.813194444447</v>
      </c>
      <c r="AW64" s="50">
        <v>46257.870833333334</v>
      </c>
      <c r="AX64" s="50">
        <v>46257.874305555553</v>
      </c>
      <c r="AY64" s="50">
        <v>46257.911805555559</v>
      </c>
      <c r="AZ64" s="50">
        <v>46258.099305555559</v>
      </c>
      <c r="BA64" s="51">
        <v>46258.285416666666</v>
      </c>
      <c r="BB64" s="51">
        <v>46258.34097222222</v>
      </c>
      <c r="BC64" s="50">
        <v>46258.34097222222</v>
      </c>
      <c r="BD64" s="50">
        <v>46258.343055555553</v>
      </c>
      <c r="BE64" s="51">
        <v>46258.429861111108</v>
      </c>
      <c r="BF64" s="51">
        <v>46258.563194444447</v>
      </c>
      <c r="BG64" s="51">
        <v>46258.660416666666</v>
      </c>
      <c r="BH64" s="51">
        <v>46258.696527777778</v>
      </c>
      <c r="BI64" s="30" t="s">
        <v>65</v>
      </c>
      <c r="BJ64" s="50">
        <v>46259</v>
      </c>
      <c r="BK64" s="50">
        <v>46258.965277777781</v>
      </c>
      <c r="BL64" s="50">
        <v>46258.966666666667</v>
      </c>
      <c r="BM64" s="50">
        <v>46258.970833333333</v>
      </c>
      <c r="BN64" s="50">
        <v>46258.980555555558</v>
      </c>
      <c r="BP64" s="30" t="s">
        <v>372</v>
      </c>
      <c r="BQ64" s="30">
        <v>46259</v>
      </c>
      <c r="BR64"/>
      <c r="BS64"/>
      <c r="BT64"/>
      <c r="BU64"/>
      <c r="BV64"/>
      <c r="BW64"/>
      <c r="BX64"/>
      <c r="BY64"/>
    </row>
    <row r="65" spans="1:77">
      <c r="A65" t="s">
        <v>168</v>
      </c>
      <c r="B65" s="30">
        <v>19</v>
      </c>
      <c r="C65" s="30">
        <v>34</v>
      </c>
      <c r="D65" s="30" t="s">
        <v>360</v>
      </c>
      <c r="E65" s="30" t="s">
        <v>170</v>
      </c>
      <c r="F65" s="48">
        <v>46257</v>
      </c>
      <c r="G65" s="48">
        <v>46258</v>
      </c>
      <c r="H65" s="49">
        <v>0.5</v>
      </c>
      <c r="I65" s="49">
        <v>0.41666666666666669</v>
      </c>
      <c r="J65" s="30" t="s">
        <v>361</v>
      </c>
      <c r="K65" s="30" t="s">
        <v>171</v>
      </c>
      <c r="L65" s="30">
        <v>1</v>
      </c>
      <c r="M65" s="30" t="s">
        <v>1819</v>
      </c>
      <c r="P65" s="30" t="s">
        <v>174</v>
      </c>
      <c r="Q65" s="30" t="s">
        <v>363</v>
      </c>
      <c r="R65" s="30" t="s">
        <v>431</v>
      </c>
      <c r="S65" s="30" t="s">
        <v>623</v>
      </c>
      <c r="T65" s="30" t="s">
        <v>1820</v>
      </c>
      <c r="U65" s="30" t="s">
        <v>1854</v>
      </c>
      <c r="V65" s="30">
        <v>809499</v>
      </c>
      <c r="W65" s="30" t="s">
        <v>1855</v>
      </c>
      <c r="X65" s="30" t="s">
        <v>179</v>
      </c>
      <c r="Y65" t="s">
        <v>180</v>
      </c>
      <c r="Z65" s="30" t="s">
        <v>180</v>
      </c>
      <c r="AA65" s="30" t="s">
        <v>181</v>
      </c>
      <c r="AB65" s="30" t="s">
        <v>1814</v>
      </c>
      <c r="AC65" s="30" t="s">
        <v>56</v>
      </c>
      <c r="AD65" s="30" t="s">
        <v>368</v>
      </c>
      <c r="AE65" s="30">
        <v>20525373551</v>
      </c>
      <c r="AF65" s="30" t="s">
        <v>463</v>
      </c>
      <c r="AG65" s="30" t="s">
        <v>436</v>
      </c>
      <c r="AH65" s="30" t="s">
        <v>185</v>
      </c>
      <c r="AI65" s="30" t="s">
        <v>437</v>
      </c>
      <c r="AJ65" s="30" t="s">
        <v>438</v>
      </c>
      <c r="AK65" s="30">
        <v>998230850</v>
      </c>
      <c r="AL65" s="30" t="s">
        <v>1809</v>
      </c>
      <c r="AM65" t="s">
        <v>270</v>
      </c>
      <c r="AN65" s="30" t="s">
        <v>270</v>
      </c>
      <c r="AO65" s="30" t="s">
        <v>1809</v>
      </c>
      <c r="AP65" s="30" t="s">
        <v>1809</v>
      </c>
      <c r="AQ65" s="30" t="s">
        <v>1809</v>
      </c>
      <c r="AR65" s="30" t="s">
        <v>1809</v>
      </c>
      <c r="AS65" s="30" t="s">
        <v>63</v>
      </c>
      <c r="AT65" s="30" t="s">
        <v>64</v>
      </c>
      <c r="AU65" s="50">
        <v>46257.833333333336</v>
      </c>
      <c r="AV65" s="50">
        <v>46257.84375</v>
      </c>
      <c r="AW65" s="50">
        <v>46257.867361111108</v>
      </c>
      <c r="AX65" s="50">
        <v>46257.873611111114</v>
      </c>
      <c r="AY65" s="50">
        <v>46257.944444444445</v>
      </c>
      <c r="AZ65" s="50">
        <v>46258.136805555558</v>
      </c>
      <c r="BA65" s="51">
        <v>46258.285416666666</v>
      </c>
      <c r="BB65" s="51">
        <v>46258.361111111109</v>
      </c>
      <c r="BC65" s="50">
        <v>46258.375</v>
      </c>
      <c r="BD65" s="50">
        <v>46258.381944444445</v>
      </c>
      <c r="BE65" s="51">
        <v>46258.599305555559</v>
      </c>
      <c r="BF65" s="51">
        <v>46258.615277777775</v>
      </c>
      <c r="BG65" s="51">
        <v>46258.637499999997</v>
      </c>
      <c r="BH65" s="51">
        <v>46258.677777777775</v>
      </c>
      <c r="BI65" s="30" t="s">
        <v>65</v>
      </c>
      <c r="BJ65" s="50">
        <v>46258.916666666664</v>
      </c>
      <c r="BK65" s="50">
        <v>46258.902083333334</v>
      </c>
      <c r="BL65" s="50">
        <v>46258.90347222222</v>
      </c>
      <c r="BM65" s="50">
        <v>46258.920138888891</v>
      </c>
      <c r="BN65" s="50">
        <v>46258.924305555556</v>
      </c>
      <c r="BP65" s="30" t="s">
        <v>372</v>
      </c>
      <c r="BQ65" s="30">
        <v>46258.916666666664</v>
      </c>
      <c r="BR65"/>
      <c r="BS65"/>
      <c r="BT65"/>
      <c r="BU65"/>
      <c r="BV65"/>
      <c r="BW65"/>
      <c r="BX65"/>
      <c r="BY65"/>
    </row>
    <row r="66" spans="1:77">
      <c r="A66" t="s">
        <v>168</v>
      </c>
      <c r="B66" s="30">
        <v>20</v>
      </c>
      <c r="C66" s="30">
        <v>34</v>
      </c>
      <c r="D66" s="30" t="s">
        <v>360</v>
      </c>
      <c r="E66" s="30" t="s">
        <v>170</v>
      </c>
      <c r="F66" s="48">
        <v>46258</v>
      </c>
      <c r="G66" s="48">
        <v>46259</v>
      </c>
      <c r="H66" s="49">
        <v>0.41666666666666669</v>
      </c>
      <c r="I66" s="49">
        <v>0.33333333333333331</v>
      </c>
      <c r="J66" s="30" t="s">
        <v>361</v>
      </c>
      <c r="K66" s="30" t="s">
        <v>171</v>
      </c>
      <c r="L66" s="30">
        <v>1</v>
      </c>
      <c r="M66" s="30" t="s">
        <v>1856</v>
      </c>
      <c r="P66" s="30" t="s">
        <v>174</v>
      </c>
      <c r="Q66" s="30" t="s">
        <v>363</v>
      </c>
      <c r="R66" s="30" t="s">
        <v>175</v>
      </c>
      <c r="S66" s="30" t="s">
        <v>176</v>
      </c>
      <c r="T66" s="30" t="s">
        <v>1857</v>
      </c>
      <c r="U66" s="30" t="s">
        <v>1858</v>
      </c>
      <c r="V66" s="30">
        <v>809700</v>
      </c>
      <c r="W66" s="30" t="s">
        <v>1859</v>
      </c>
      <c r="X66" s="30" t="s">
        <v>179</v>
      </c>
      <c r="Y66" t="s">
        <v>180</v>
      </c>
      <c r="Z66" s="30" t="s">
        <v>180</v>
      </c>
      <c r="AA66" s="30" t="s">
        <v>181</v>
      </c>
      <c r="AB66" s="30" t="s">
        <v>1814</v>
      </c>
      <c r="AC66" s="30" t="s">
        <v>56</v>
      </c>
      <c r="AD66" s="30" t="s">
        <v>368</v>
      </c>
      <c r="AE66" s="30">
        <v>20525373551</v>
      </c>
      <c r="AF66" s="30" t="s">
        <v>386</v>
      </c>
      <c r="AG66" s="30" t="s">
        <v>1791</v>
      </c>
      <c r="AH66" s="30" t="s">
        <v>185</v>
      </c>
      <c r="AI66" s="30" t="s">
        <v>387</v>
      </c>
      <c r="AJ66" s="30" t="s">
        <v>388</v>
      </c>
      <c r="AK66" s="30">
        <v>929327939</v>
      </c>
      <c r="AL66" s="30" t="s">
        <v>1809</v>
      </c>
      <c r="AM66" t="s">
        <v>270</v>
      </c>
      <c r="AN66" s="30" t="s">
        <v>270</v>
      </c>
      <c r="AO66" s="30" t="s">
        <v>1809</v>
      </c>
      <c r="AP66" s="30" t="s">
        <v>1809</v>
      </c>
      <c r="AQ66" s="30" t="s">
        <v>1809</v>
      </c>
      <c r="AR66" s="30" t="s">
        <v>1809</v>
      </c>
      <c r="AS66" s="30" t="s">
        <v>63</v>
      </c>
      <c r="AT66" s="30" t="s">
        <v>64</v>
      </c>
      <c r="AU66" s="50">
        <v>46258.583333333336</v>
      </c>
      <c r="AV66" s="50">
        <v>46258.572222222225</v>
      </c>
      <c r="AW66" s="50">
        <v>46258.628472222219</v>
      </c>
      <c r="AX66" s="50">
        <v>46258.640972222223</v>
      </c>
      <c r="AY66" s="50">
        <v>46258.695138888892</v>
      </c>
      <c r="AZ66" s="50">
        <v>46258.708333333336</v>
      </c>
      <c r="BA66" s="51">
        <v>46258.902777777781</v>
      </c>
      <c r="BB66" s="51">
        <v>46259.404166666667</v>
      </c>
      <c r="BC66" s="50">
        <v>46259.406944444447</v>
      </c>
      <c r="BD66" s="50">
        <v>46259.412499999999</v>
      </c>
      <c r="BE66" s="51">
        <v>46259.520833333336</v>
      </c>
      <c r="BF66" s="51">
        <v>46259.53125</v>
      </c>
      <c r="BG66" s="51">
        <v>46259.547222222223</v>
      </c>
      <c r="BH66" s="51">
        <v>46259.579861111109</v>
      </c>
      <c r="BI66" s="30" t="s">
        <v>65</v>
      </c>
      <c r="BJ66" s="50">
        <v>46259.833333333336</v>
      </c>
      <c r="BK66" s="50">
        <v>46259.793749999997</v>
      </c>
      <c r="BL66" s="50">
        <v>46259.796527777777</v>
      </c>
      <c r="BM66" s="50">
        <v>46259.805555555555</v>
      </c>
      <c r="BN66" s="50">
        <v>46259.811805555553</v>
      </c>
      <c r="BP66" s="30" t="s">
        <v>372</v>
      </c>
      <c r="BQ66" s="30">
        <v>46259.833333333336</v>
      </c>
      <c r="BR66"/>
      <c r="BS66"/>
      <c r="BT66"/>
      <c r="BU66"/>
      <c r="BV66"/>
      <c r="BW66"/>
      <c r="BX66"/>
      <c r="BY66"/>
    </row>
    <row r="67" spans="1:77">
      <c r="A67" t="s">
        <v>168</v>
      </c>
      <c r="B67" s="30">
        <v>21</v>
      </c>
      <c r="C67" s="30">
        <v>35</v>
      </c>
      <c r="D67" s="30" t="s">
        <v>360</v>
      </c>
      <c r="E67" s="30" t="s">
        <v>170</v>
      </c>
      <c r="F67" s="48">
        <v>46259</v>
      </c>
      <c r="G67" s="48">
        <v>46260</v>
      </c>
      <c r="H67" s="49">
        <v>0.41666666666666669</v>
      </c>
      <c r="I67" s="49">
        <v>0.33333333333333331</v>
      </c>
      <c r="J67" s="30" t="s">
        <v>361</v>
      </c>
      <c r="K67" s="30" t="s">
        <v>171</v>
      </c>
      <c r="L67" s="30">
        <v>1</v>
      </c>
      <c r="M67" s="30" t="s">
        <v>1860</v>
      </c>
      <c r="P67" s="30" t="s">
        <v>174</v>
      </c>
      <c r="Q67" s="30" t="s">
        <v>363</v>
      </c>
      <c r="R67" s="30" t="s">
        <v>175</v>
      </c>
      <c r="S67" s="30" t="s">
        <v>452</v>
      </c>
      <c r="T67" s="30" t="s">
        <v>1861</v>
      </c>
      <c r="U67" s="30" t="s">
        <v>1905</v>
      </c>
      <c r="V67" s="30">
        <v>7679</v>
      </c>
      <c r="W67" s="30" t="s">
        <v>1906</v>
      </c>
      <c r="X67" s="30" t="s">
        <v>179</v>
      </c>
      <c r="Y67" t="s">
        <v>180</v>
      </c>
      <c r="Z67" s="30" t="s">
        <v>1862</v>
      </c>
      <c r="AA67" s="30" t="s">
        <v>181</v>
      </c>
      <c r="AB67" s="30" t="s">
        <v>1814</v>
      </c>
      <c r="AC67" s="30" t="s">
        <v>56</v>
      </c>
      <c r="AD67" s="30" t="s">
        <v>368</v>
      </c>
      <c r="AE67" s="30">
        <v>20525373551</v>
      </c>
      <c r="AF67" s="30" t="s">
        <v>369</v>
      </c>
      <c r="AG67" s="30" t="s">
        <v>1790</v>
      </c>
      <c r="AH67" s="30" t="s">
        <v>185</v>
      </c>
      <c r="AI67" s="30" t="s">
        <v>370</v>
      </c>
      <c r="AJ67" s="30" t="s">
        <v>371</v>
      </c>
      <c r="AK67" s="30">
        <v>998231122</v>
      </c>
      <c r="AL67" s="30" t="s">
        <v>1809</v>
      </c>
      <c r="AM67" t="s">
        <v>270</v>
      </c>
      <c r="AN67" s="30" t="s">
        <v>270</v>
      </c>
      <c r="AO67" s="30" t="s">
        <v>1809</v>
      </c>
      <c r="AP67" s="30" t="s">
        <v>1809</v>
      </c>
      <c r="AQ67" s="30" t="s">
        <v>1809</v>
      </c>
      <c r="AR67" s="30" t="s">
        <v>1809</v>
      </c>
      <c r="AS67" s="30" t="s">
        <v>63</v>
      </c>
      <c r="AT67" s="30" t="s">
        <v>380</v>
      </c>
      <c r="AU67" s="50">
        <v>46259.75</v>
      </c>
      <c r="AV67" s="50">
        <v>46259.73541666667</v>
      </c>
      <c r="AW67" s="50">
        <v>46259.704861111109</v>
      </c>
      <c r="AX67" s="50">
        <v>46259.833333333336</v>
      </c>
      <c r="AY67" s="50">
        <v>46259.865972222222</v>
      </c>
      <c r="AZ67" s="50">
        <v>46259.865972222222</v>
      </c>
      <c r="BA67" s="51">
        <v>46260.053472222222</v>
      </c>
      <c r="BB67" s="51">
        <v>46260.318055555559</v>
      </c>
      <c r="BC67" s="50">
        <v>46260.319444444445</v>
      </c>
      <c r="BD67" s="50">
        <v>46260.322916666664</v>
      </c>
      <c r="BE67" s="51">
        <v>46260.445138888892</v>
      </c>
      <c r="BF67" s="51">
        <v>46260.476388888892</v>
      </c>
      <c r="BG67" s="51">
        <v>46260.509722222225</v>
      </c>
      <c r="BH67" s="51">
        <v>46260.534722222219</v>
      </c>
      <c r="BI67" s="30" t="s">
        <v>65</v>
      </c>
      <c r="BJ67" s="50">
        <v>46260.791666666664</v>
      </c>
      <c r="BK67" s="50">
        <v>46260.728472222225</v>
      </c>
      <c r="BL67" s="50">
        <v>46260.729166666664</v>
      </c>
      <c r="BM67" s="50">
        <v>46260.731249999997</v>
      </c>
      <c r="BN67" s="50">
        <v>46260.740277777775</v>
      </c>
      <c r="BP67" s="30" t="s">
        <v>372</v>
      </c>
      <c r="BQ67" s="30">
        <v>46260.791666666664</v>
      </c>
      <c r="BR67"/>
      <c r="BS67"/>
      <c r="BT67"/>
      <c r="BU67"/>
      <c r="BV67"/>
      <c r="BW67"/>
      <c r="BX67"/>
      <c r="BY67"/>
    </row>
    <row r="68" spans="1:77">
      <c r="A68" t="s">
        <v>168</v>
      </c>
      <c r="B68" s="30">
        <v>22</v>
      </c>
      <c r="C68" s="30">
        <v>35</v>
      </c>
      <c r="D68" s="30" t="s">
        <v>360</v>
      </c>
      <c r="E68" s="30" t="s">
        <v>170</v>
      </c>
      <c r="F68" s="48">
        <v>46261</v>
      </c>
      <c r="G68" s="48">
        <v>46262</v>
      </c>
      <c r="H68" s="49">
        <v>0.41666666666666669</v>
      </c>
      <c r="I68" s="49">
        <v>0.33333333333333331</v>
      </c>
      <c r="J68" s="30" t="s">
        <v>361</v>
      </c>
      <c r="K68" s="30" t="s">
        <v>171</v>
      </c>
      <c r="L68" s="30">
        <v>1</v>
      </c>
      <c r="M68" s="30" t="s">
        <v>1936</v>
      </c>
      <c r="P68" s="30" t="s">
        <v>174</v>
      </c>
      <c r="Q68" s="30" t="s">
        <v>363</v>
      </c>
      <c r="R68" s="30" t="s">
        <v>374</v>
      </c>
      <c r="S68" s="30" t="s">
        <v>375</v>
      </c>
      <c r="T68" s="30" t="s">
        <v>1937</v>
      </c>
      <c r="U68" s="30" t="s">
        <v>1971</v>
      </c>
      <c r="V68" s="30">
        <v>7739</v>
      </c>
      <c r="W68" s="30" t="s">
        <v>1972</v>
      </c>
      <c r="X68" s="30" t="s">
        <v>180</v>
      </c>
      <c r="Y68" t="s">
        <v>180</v>
      </c>
      <c r="Z68" s="30" t="s">
        <v>1862</v>
      </c>
      <c r="AA68" s="30" t="s">
        <v>181</v>
      </c>
      <c r="AB68" s="30" t="s">
        <v>1814</v>
      </c>
      <c r="AC68" s="30" t="s">
        <v>56</v>
      </c>
      <c r="AD68" s="30" t="s">
        <v>368</v>
      </c>
      <c r="AE68" s="30">
        <v>20525373551</v>
      </c>
      <c r="AF68" s="30" t="s">
        <v>393</v>
      </c>
      <c r="AG68" s="30" t="s">
        <v>394</v>
      </c>
      <c r="AH68" s="30" t="s">
        <v>185</v>
      </c>
      <c r="AI68" s="30" t="s">
        <v>395</v>
      </c>
      <c r="AJ68" s="30" t="s">
        <v>396</v>
      </c>
      <c r="AK68" s="30">
        <v>998255542</v>
      </c>
      <c r="AL68" s="30" t="s">
        <v>1809</v>
      </c>
      <c r="AM68" t="s">
        <v>270</v>
      </c>
      <c r="AN68" s="30" t="s">
        <v>270</v>
      </c>
      <c r="AO68" s="30" t="s">
        <v>1809</v>
      </c>
      <c r="AP68" s="30" t="s">
        <v>1809</v>
      </c>
      <c r="AQ68" s="30" t="s">
        <v>1809</v>
      </c>
      <c r="AR68" s="30" t="s">
        <v>1809</v>
      </c>
      <c r="AS68" s="30" t="s">
        <v>63</v>
      </c>
      <c r="AT68" s="30" t="s">
        <v>380</v>
      </c>
      <c r="AU68" s="50">
        <v>46261.666666666664</v>
      </c>
      <c r="AV68" s="50">
        <v>46261.662499999999</v>
      </c>
      <c r="AW68" s="50">
        <v>46261.699305555558</v>
      </c>
      <c r="AX68" s="50">
        <v>46261.740972222222</v>
      </c>
      <c r="AY68" s="50">
        <v>46261.793749999997</v>
      </c>
      <c r="AZ68" s="50">
        <v>46261.885416666664</v>
      </c>
      <c r="BA68" s="51">
        <v>46262.083333333336</v>
      </c>
      <c r="BB68" s="51">
        <v>46262.347222222219</v>
      </c>
      <c r="BC68" s="50">
        <v>46262.350694444445</v>
      </c>
      <c r="BD68" s="50">
        <v>46262.354166666664</v>
      </c>
      <c r="BE68" s="51">
        <v>46262.481249999997</v>
      </c>
      <c r="BF68" s="51">
        <v>46262.489583333336</v>
      </c>
      <c r="BG68" s="51">
        <v>46262.497916666667</v>
      </c>
      <c r="BH68" s="51">
        <v>46262.606944444444</v>
      </c>
      <c r="BI68" s="30" t="s">
        <v>65</v>
      </c>
      <c r="BJ68" s="50">
        <v>46262.875</v>
      </c>
      <c r="BK68" s="50">
        <v>46262.815972222219</v>
      </c>
      <c r="BL68" s="50">
        <v>46262.833333333336</v>
      </c>
      <c r="BM68" s="50">
        <v>46262.838194444441</v>
      </c>
      <c r="BN68" s="50">
        <v>46262.842361111114</v>
      </c>
      <c r="BP68" s="30" t="s">
        <v>372</v>
      </c>
      <c r="BQ68" s="30">
        <v>46262.875</v>
      </c>
      <c r="BR68"/>
      <c r="BS68"/>
      <c r="BT68"/>
      <c r="BU68"/>
      <c r="BV68"/>
      <c r="BW68"/>
      <c r="BX68"/>
      <c r="BY68"/>
    </row>
    <row r="69" spans="1:77">
      <c r="A69" t="s">
        <v>168</v>
      </c>
      <c r="B69" s="30">
        <v>23</v>
      </c>
      <c r="C69" s="30">
        <v>35</v>
      </c>
      <c r="D69" s="30" t="s">
        <v>360</v>
      </c>
      <c r="E69" s="30" t="s">
        <v>170</v>
      </c>
      <c r="F69" s="48">
        <v>46264</v>
      </c>
      <c r="G69" s="48">
        <v>46265</v>
      </c>
      <c r="H69" s="49">
        <v>0.41666666666666669</v>
      </c>
      <c r="I69" s="49">
        <v>0.33333333333333331</v>
      </c>
      <c r="J69" s="30" t="s">
        <v>361</v>
      </c>
      <c r="K69" s="30" t="s">
        <v>171</v>
      </c>
      <c r="L69" s="30">
        <v>1</v>
      </c>
      <c r="M69" s="30" t="s">
        <v>2037</v>
      </c>
      <c r="P69" s="30" t="s">
        <v>174</v>
      </c>
      <c r="Q69" s="30" t="s">
        <v>363</v>
      </c>
      <c r="R69" s="30" t="s">
        <v>431</v>
      </c>
      <c r="S69" s="30" t="s">
        <v>623</v>
      </c>
      <c r="T69" s="30" t="s">
        <v>2038</v>
      </c>
      <c r="U69" s="30" t="s">
        <v>2039</v>
      </c>
      <c r="V69" s="30">
        <v>811583</v>
      </c>
      <c r="W69" s="30" t="s">
        <v>2040</v>
      </c>
      <c r="X69" s="30" t="s">
        <v>179</v>
      </c>
      <c r="Y69" t="s">
        <v>180</v>
      </c>
      <c r="Z69" s="30" t="s">
        <v>1862</v>
      </c>
      <c r="AA69" s="30" t="s">
        <v>181</v>
      </c>
      <c r="AB69" s="30" t="s">
        <v>1814</v>
      </c>
      <c r="AC69" s="30" t="s">
        <v>56</v>
      </c>
      <c r="AD69" s="30" t="s">
        <v>368</v>
      </c>
      <c r="AE69" s="30">
        <v>20525373551</v>
      </c>
      <c r="AF69" s="30" t="s">
        <v>2041</v>
      </c>
      <c r="AG69" s="30" t="s">
        <v>2042</v>
      </c>
      <c r="AH69" s="30" t="s">
        <v>185</v>
      </c>
      <c r="AI69" s="30" t="s">
        <v>2043</v>
      </c>
      <c r="AJ69" s="30" t="s">
        <v>2044</v>
      </c>
      <c r="AK69" s="30">
        <v>982380644</v>
      </c>
      <c r="AL69" s="30" t="s">
        <v>1809</v>
      </c>
      <c r="AM69" t="s">
        <v>270</v>
      </c>
      <c r="AN69" s="30" t="s">
        <v>270</v>
      </c>
      <c r="AO69" s="30" t="s">
        <v>1809</v>
      </c>
      <c r="AP69" s="30" t="s">
        <v>1809</v>
      </c>
      <c r="AQ69" s="30" t="s">
        <v>1809</v>
      </c>
      <c r="AR69" s="30" t="s">
        <v>1809</v>
      </c>
      <c r="AS69" s="30" t="s">
        <v>63</v>
      </c>
      <c r="AT69" s="30" t="s">
        <v>64</v>
      </c>
      <c r="AU69" s="50">
        <v>46264.833333333336</v>
      </c>
      <c r="AV69" s="50">
        <v>46264.831944444442</v>
      </c>
      <c r="AW69" s="50">
        <v>46264.847222222219</v>
      </c>
      <c r="AX69" s="50">
        <v>46264.854861111111</v>
      </c>
      <c r="AY69" s="50">
        <v>46264.898611111108</v>
      </c>
      <c r="AZ69" s="50">
        <v>46264.898611111108</v>
      </c>
      <c r="BA69" s="51">
        <v>46265.144444444442</v>
      </c>
      <c r="BB69" s="51">
        <v>46265.322916666664</v>
      </c>
      <c r="BC69" s="50">
        <v>46265.324999999997</v>
      </c>
      <c r="BD69" s="50">
        <v>46265.347222222219</v>
      </c>
      <c r="BE69" s="51">
        <v>46265.387499999997</v>
      </c>
      <c r="BF69" s="51">
        <v>46265.459027777775</v>
      </c>
      <c r="BG69" s="51">
        <v>46265.482638888891</v>
      </c>
      <c r="BH69" s="51">
        <v>46265.525000000001</v>
      </c>
      <c r="BI69" s="30" t="s">
        <v>65</v>
      </c>
      <c r="BJ69" s="50">
        <v>46265.75</v>
      </c>
      <c r="BK69" s="50">
        <v>46265.729166666664</v>
      </c>
      <c r="BL69" s="50">
        <v>46265.729166666664</v>
      </c>
      <c r="BM69" s="50">
        <v>46265.736805555556</v>
      </c>
      <c r="BN69" s="50">
        <v>46265.748611111114</v>
      </c>
      <c r="BP69" s="30" t="s">
        <v>372</v>
      </c>
      <c r="BQ69" s="30">
        <v>46265.75</v>
      </c>
      <c r="BR69"/>
      <c r="BS69"/>
      <c r="BT69"/>
      <c r="BU69"/>
      <c r="BV69"/>
      <c r="BW69"/>
      <c r="BX69"/>
      <c r="BY69"/>
    </row>
    <row r="70" spans="1:77">
      <c r="A70" t="s">
        <v>168</v>
      </c>
      <c r="B70" s="30">
        <v>24</v>
      </c>
      <c r="C70" s="30">
        <v>35</v>
      </c>
      <c r="D70" s="30" t="s">
        <v>360</v>
      </c>
      <c r="E70" s="30" t="s">
        <v>170</v>
      </c>
      <c r="F70" s="48">
        <v>46264</v>
      </c>
      <c r="G70" s="48">
        <v>46265</v>
      </c>
      <c r="H70" s="49">
        <v>0.41666666666666669</v>
      </c>
      <c r="I70" s="49">
        <v>0.33333333333333331</v>
      </c>
      <c r="J70" s="30" t="s">
        <v>361</v>
      </c>
      <c r="K70" s="30" t="s">
        <v>171</v>
      </c>
      <c r="L70" s="30">
        <v>1</v>
      </c>
      <c r="M70" s="30" t="s">
        <v>2045</v>
      </c>
      <c r="P70" s="30" t="s">
        <v>174</v>
      </c>
      <c r="Q70" s="30" t="s">
        <v>363</v>
      </c>
      <c r="R70" s="30" t="s">
        <v>431</v>
      </c>
      <c r="S70" s="30" t="s">
        <v>623</v>
      </c>
      <c r="T70" s="30" t="s">
        <v>2046</v>
      </c>
      <c r="U70" s="30" t="s">
        <v>2047</v>
      </c>
      <c r="V70" s="30">
        <v>811601</v>
      </c>
      <c r="W70" s="30" t="s">
        <v>2048</v>
      </c>
      <c r="X70" s="30" t="s">
        <v>179</v>
      </c>
      <c r="Y70" t="s">
        <v>180</v>
      </c>
      <c r="Z70" s="30" t="s">
        <v>1862</v>
      </c>
      <c r="AA70" s="30" t="s">
        <v>181</v>
      </c>
      <c r="AB70" s="30" t="s">
        <v>1814</v>
      </c>
      <c r="AC70" s="30" t="s">
        <v>56</v>
      </c>
      <c r="AD70" s="30" t="s">
        <v>368</v>
      </c>
      <c r="AE70" s="30">
        <v>20525373551</v>
      </c>
      <c r="AF70" s="30" t="s">
        <v>1850</v>
      </c>
      <c r="AG70" s="30" t="s">
        <v>1851</v>
      </c>
      <c r="AH70" s="30" t="s">
        <v>185</v>
      </c>
      <c r="AI70" s="30" t="s">
        <v>1852</v>
      </c>
      <c r="AJ70" s="30" t="s">
        <v>1853</v>
      </c>
      <c r="AK70" s="30">
        <v>958976357</v>
      </c>
      <c r="AL70" s="30" t="s">
        <v>1809</v>
      </c>
      <c r="AM70" t="s">
        <v>270</v>
      </c>
      <c r="AN70" s="30" t="s">
        <v>270</v>
      </c>
      <c r="AO70" s="30" t="s">
        <v>1809</v>
      </c>
      <c r="AP70" s="30" t="s">
        <v>1809</v>
      </c>
      <c r="AQ70" s="30" t="s">
        <v>1809</v>
      </c>
      <c r="AR70" s="30" t="s">
        <v>1809</v>
      </c>
      <c r="AS70" s="30" t="s">
        <v>63</v>
      </c>
      <c r="AT70" s="30" t="s">
        <v>64</v>
      </c>
      <c r="AU70" s="50">
        <v>46264.833333333336</v>
      </c>
      <c r="AV70" s="50">
        <v>46264.811805555553</v>
      </c>
      <c r="AW70" s="50">
        <v>46264.848611111112</v>
      </c>
      <c r="AX70" s="50">
        <v>46264.854166666664</v>
      </c>
      <c r="AY70" s="50">
        <v>46264.895138888889</v>
      </c>
      <c r="AZ70" s="50">
        <v>46265.09375</v>
      </c>
      <c r="BA70" s="51">
        <v>46265.279861111114</v>
      </c>
      <c r="BB70" s="51">
        <v>46265.354166666664</v>
      </c>
      <c r="BC70" s="50">
        <v>46265.356944444444</v>
      </c>
      <c r="BD70" s="50">
        <v>46265.381944444445</v>
      </c>
      <c r="BE70" s="51">
        <v>46265.477083333331</v>
      </c>
      <c r="BF70" s="51">
        <v>46265.488194444442</v>
      </c>
      <c r="BG70" s="51">
        <v>46265.51458333333</v>
      </c>
      <c r="BH70" s="51">
        <v>46265.552777777775</v>
      </c>
      <c r="BI70" s="30" t="s">
        <v>65</v>
      </c>
      <c r="BJ70" s="50">
        <v>46265.833333333336</v>
      </c>
      <c r="BK70" s="50">
        <v>46265.752083333333</v>
      </c>
      <c r="BL70" s="50">
        <v>46265.753472222219</v>
      </c>
      <c r="BM70" s="50">
        <v>46265.759722222225</v>
      </c>
      <c r="BN70" s="50">
        <v>46265.769444444442</v>
      </c>
      <c r="BP70" s="30" t="s">
        <v>372</v>
      </c>
      <c r="BQ70" s="30">
        <v>46265.833333333336</v>
      </c>
      <c r="BR70"/>
      <c r="BS70"/>
      <c r="BT70"/>
      <c r="BU70"/>
      <c r="BV70"/>
      <c r="BW70"/>
      <c r="BX70"/>
      <c r="BY70"/>
    </row>
    <row r="71" spans="1:77">
      <c r="A71" t="s">
        <v>168</v>
      </c>
      <c r="B71" s="30">
        <v>25</v>
      </c>
      <c r="C71" s="30">
        <v>35</v>
      </c>
      <c r="D71" s="30" t="s">
        <v>360</v>
      </c>
      <c r="E71" s="30" t="s">
        <v>170</v>
      </c>
      <c r="F71" s="48">
        <v>46264</v>
      </c>
      <c r="G71" s="48">
        <v>46265</v>
      </c>
      <c r="H71" s="49">
        <v>0.5</v>
      </c>
      <c r="I71" s="49">
        <v>0.41666666666666669</v>
      </c>
      <c r="J71" s="30" t="s">
        <v>361</v>
      </c>
      <c r="K71" s="30" t="s">
        <v>171</v>
      </c>
      <c r="L71" s="30">
        <v>1</v>
      </c>
      <c r="M71" s="30" t="s">
        <v>2049</v>
      </c>
      <c r="P71" s="30" t="s">
        <v>174</v>
      </c>
      <c r="Q71" s="30" t="s">
        <v>363</v>
      </c>
      <c r="R71" s="30" t="s">
        <v>431</v>
      </c>
      <c r="S71" s="30" t="s">
        <v>623</v>
      </c>
      <c r="T71" s="30" t="s">
        <v>2050</v>
      </c>
      <c r="U71" s="30" t="s">
        <v>2051</v>
      </c>
      <c r="V71" s="30">
        <v>811585</v>
      </c>
      <c r="W71" s="30" t="s">
        <v>2052</v>
      </c>
      <c r="X71" s="30" t="s">
        <v>179</v>
      </c>
      <c r="Y71" t="s">
        <v>180</v>
      </c>
      <c r="Z71" s="30" t="s">
        <v>1862</v>
      </c>
      <c r="AA71" s="30" t="s">
        <v>181</v>
      </c>
      <c r="AB71" s="30" t="s">
        <v>1814</v>
      </c>
      <c r="AC71" s="30" t="s">
        <v>56</v>
      </c>
      <c r="AD71" s="30" t="s">
        <v>368</v>
      </c>
      <c r="AE71" s="30">
        <v>20525373551</v>
      </c>
      <c r="AF71" s="30" t="s">
        <v>463</v>
      </c>
      <c r="AG71" s="30" t="s">
        <v>436</v>
      </c>
      <c r="AH71" s="30" t="s">
        <v>185</v>
      </c>
      <c r="AI71" s="30" t="s">
        <v>437</v>
      </c>
      <c r="AJ71" s="30" t="s">
        <v>438</v>
      </c>
      <c r="AK71" s="30">
        <v>998230850</v>
      </c>
      <c r="AL71" s="30" t="s">
        <v>1809</v>
      </c>
      <c r="AM71" t="s">
        <v>270</v>
      </c>
      <c r="AN71" s="30" t="s">
        <v>270</v>
      </c>
      <c r="AO71" s="30" t="s">
        <v>1809</v>
      </c>
      <c r="AP71" s="30" t="s">
        <v>1809</v>
      </c>
      <c r="AQ71" s="30" t="s">
        <v>1809</v>
      </c>
      <c r="AR71" s="30" t="s">
        <v>1809</v>
      </c>
      <c r="AS71" s="30" t="s">
        <v>63</v>
      </c>
      <c r="AT71" s="30" t="s">
        <v>64</v>
      </c>
      <c r="AU71" s="50">
        <v>46264.833333333336</v>
      </c>
      <c r="AV71" s="50">
        <v>46264.856249999997</v>
      </c>
      <c r="AW71" s="50">
        <v>46264.861111111109</v>
      </c>
      <c r="AX71" s="50">
        <v>46264.876388888886</v>
      </c>
      <c r="AY71" s="50">
        <v>46264.941666666666</v>
      </c>
      <c r="AZ71" s="50">
        <v>46265.218055555553</v>
      </c>
      <c r="BA71" s="51">
        <v>46265.398611111108</v>
      </c>
      <c r="BB71" s="51">
        <v>46265.401388888888</v>
      </c>
      <c r="BC71" s="50">
        <v>46265.429166666669</v>
      </c>
      <c r="BD71" s="50">
        <v>46265.430555555555</v>
      </c>
      <c r="BE71" s="51">
        <v>46265.538194444445</v>
      </c>
      <c r="BF71" s="51">
        <v>46265.548611111109</v>
      </c>
      <c r="BG71" s="51">
        <v>46265.569444444445</v>
      </c>
      <c r="BH71" s="51">
        <v>46265.601388888892</v>
      </c>
      <c r="BI71" s="30" t="s">
        <v>65</v>
      </c>
      <c r="BJ71" s="50">
        <v>46265.916666666664</v>
      </c>
      <c r="BK71" s="50">
        <v>46265.838888888888</v>
      </c>
      <c r="BL71" s="50">
        <v>46265.838888888888</v>
      </c>
      <c r="BM71" s="50">
        <v>46265.847916666666</v>
      </c>
      <c r="BN71" s="50">
        <v>46265.854861111111</v>
      </c>
      <c r="BP71" s="30" t="s">
        <v>372</v>
      </c>
      <c r="BQ71" s="30">
        <v>46265.916666666664</v>
      </c>
      <c r="BR71"/>
      <c r="BS71"/>
      <c r="BT71"/>
      <c r="BU71"/>
      <c r="BV71"/>
      <c r="BW71"/>
      <c r="BX71"/>
      <c r="BY71"/>
    </row>
    <row r="72" spans="1:77">
      <c r="A72" t="s">
        <v>168</v>
      </c>
      <c r="B72" s="30">
        <v>26</v>
      </c>
      <c r="C72" s="30">
        <v>35</v>
      </c>
      <c r="D72" s="30" t="s">
        <v>360</v>
      </c>
      <c r="E72" s="30" t="s">
        <v>170</v>
      </c>
      <c r="F72" s="48">
        <v>46264</v>
      </c>
      <c r="G72" s="48">
        <v>46265</v>
      </c>
      <c r="H72" s="49">
        <v>0.58333333333333337</v>
      </c>
      <c r="I72" s="49">
        <v>0.5</v>
      </c>
      <c r="J72" s="30" t="s">
        <v>361</v>
      </c>
      <c r="K72" s="30" t="s">
        <v>171</v>
      </c>
      <c r="L72" s="30">
        <v>1</v>
      </c>
      <c r="M72" s="30" t="s">
        <v>2053</v>
      </c>
      <c r="P72" s="30" t="s">
        <v>174</v>
      </c>
      <c r="Q72" s="30" t="s">
        <v>363</v>
      </c>
      <c r="R72" s="30" t="s">
        <v>175</v>
      </c>
      <c r="S72" s="30" t="s">
        <v>176</v>
      </c>
      <c r="T72" s="30" t="s">
        <v>2054</v>
      </c>
      <c r="U72" s="30" t="s">
        <v>2055</v>
      </c>
      <c r="V72" s="30">
        <v>811451</v>
      </c>
      <c r="W72" s="30" t="s">
        <v>2056</v>
      </c>
      <c r="X72" s="30" t="s">
        <v>179</v>
      </c>
      <c r="Y72" t="s">
        <v>180</v>
      </c>
      <c r="Z72" s="30" t="s">
        <v>1862</v>
      </c>
      <c r="AA72" s="30" t="s">
        <v>181</v>
      </c>
      <c r="AB72" s="30" t="s">
        <v>1814</v>
      </c>
      <c r="AC72" s="30" t="s">
        <v>56</v>
      </c>
      <c r="AD72" s="30" t="s">
        <v>368</v>
      </c>
      <c r="AE72" s="30">
        <v>20525373551</v>
      </c>
      <c r="AF72" s="30" t="s">
        <v>402</v>
      </c>
      <c r="AG72" s="30" t="s">
        <v>403</v>
      </c>
      <c r="AH72" s="30" t="s">
        <v>185</v>
      </c>
      <c r="AI72" s="30" t="s">
        <v>404</v>
      </c>
      <c r="AJ72" s="30" t="s">
        <v>405</v>
      </c>
      <c r="AK72" s="30">
        <v>998374895</v>
      </c>
      <c r="AL72" s="30" t="s">
        <v>1809</v>
      </c>
      <c r="AM72" t="s">
        <v>270</v>
      </c>
      <c r="AN72" s="30" t="s">
        <v>270</v>
      </c>
      <c r="AO72" s="30" t="s">
        <v>1809</v>
      </c>
      <c r="AP72" s="30" t="s">
        <v>1809</v>
      </c>
      <c r="AQ72" s="30" t="s">
        <v>1809</v>
      </c>
      <c r="AR72" s="30" t="s">
        <v>1809</v>
      </c>
      <c r="AS72" s="30" t="s">
        <v>63</v>
      </c>
      <c r="AT72" s="30" t="s">
        <v>64</v>
      </c>
      <c r="AU72" s="50">
        <v>46264.375</v>
      </c>
      <c r="AV72" s="50">
        <v>46264.39166666667</v>
      </c>
      <c r="AW72" s="50">
        <v>46264.405555555553</v>
      </c>
      <c r="AX72" s="50">
        <v>46264.411805555559</v>
      </c>
      <c r="AY72" s="50">
        <v>46264.45</v>
      </c>
      <c r="AZ72" s="50">
        <v>46265.309027777781</v>
      </c>
      <c r="BA72" s="51">
        <v>46265.477777777778</v>
      </c>
      <c r="BB72" s="51">
        <v>46265.482638888891</v>
      </c>
      <c r="BC72" s="50">
        <v>46265.513888888891</v>
      </c>
      <c r="BD72" s="50">
        <v>46265.540277777778</v>
      </c>
      <c r="BE72" s="51">
        <v>46265.62777777778</v>
      </c>
      <c r="BF72" s="51">
        <v>46265.63958333333</v>
      </c>
      <c r="BG72" s="51">
        <v>46265.656944444447</v>
      </c>
      <c r="BH72" s="51">
        <v>46265.7</v>
      </c>
      <c r="BI72" s="30" t="s">
        <v>65</v>
      </c>
      <c r="BJ72" s="50">
        <v>46265.916666666664</v>
      </c>
      <c r="BK72" s="50">
        <v>46265.879166666666</v>
      </c>
      <c r="BL72" s="50">
        <v>46265.886111111111</v>
      </c>
      <c r="BM72" s="50">
        <v>46265.893055555556</v>
      </c>
      <c r="BN72" s="50">
        <v>46265.895833333336</v>
      </c>
      <c r="BP72" s="30" t="s">
        <v>372</v>
      </c>
      <c r="BQ72" s="30">
        <v>46265.916666666664</v>
      </c>
      <c r="BR72"/>
      <c r="BS72"/>
      <c r="BT72"/>
      <c r="BU72"/>
      <c r="BV72"/>
      <c r="BW72"/>
      <c r="BX72"/>
      <c r="BY72"/>
    </row>
    <row r="73" spans="1:77">
      <c r="A73" t="s">
        <v>168</v>
      </c>
      <c r="B73" s="30">
        <v>27</v>
      </c>
      <c r="C73" s="30">
        <v>35</v>
      </c>
      <c r="D73" s="30" t="s">
        <v>360</v>
      </c>
      <c r="E73" s="30" t="s">
        <v>170</v>
      </c>
      <c r="F73" s="48">
        <v>46265</v>
      </c>
      <c r="G73" s="48">
        <v>46266</v>
      </c>
      <c r="H73" s="49">
        <v>0.41666666666666669</v>
      </c>
      <c r="I73" s="49">
        <v>0.33333333333333331</v>
      </c>
      <c r="J73" s="30" t="s">
        <v>361</v>
      </c>
      <c r="K73" s="30" t="s">
        <v>171</v>
      </c>
      <c r="L73" s="30">
        <v>1</v>
      </c>
      <c r="M73" s="30" t="s">
        <v>2057</v>
      </c>
      <c r="P73" s="30" t="s">
        <v>174</v>
      </c>
      <c r="Q73" s="30" t="s">
        <v>363</v>
      </c>
      <c r="R73" s="30" t="s">
        <v>175</v>
      </c>
      <c r="S73" s="30" t="s">
        <v>176</v>
      </c>
      <c r="T73" s="30" t="s">
        <v>2058</v>
      </c>
      <c r="U73" s="30" t="s">
        <v>2059</v>
      </c>
      <c r="V73" s="30" t="s">
        <v>2060</v>
      </c>
      <c r="W73" s="30" t="s">
        <v>2061</v>
      </c>
      <c r="X73" s="30" t="s">
        <v>179</v>
      </c>
      <c r="Y73" t="s">
        <v>180</v>
      </c>
      <c r="Z73" s="30" t="s">
        <v>1862</v>
      </c>
      <c r="AA73" s="30" t="s">
        <v>181</v>
      </c>
      <c r="AB73" s="30" t="s">
        <v>1814</v>
      </c>
      <c r="AC73" s="30" t="s">
        <v>56</v>
      </c>
      <c r="AD73" s="30" t="s">
        <v>368</v>
      </c>
      <c r="AE73" s="30">
        <v>20525373551</v>
      </c>
      <c r="AF73" s="30" t="s">
        <v>386</v>
      </c>
      <c r="AG73" s="30" t="s">
        <v>1791</v>
      </c>
      <c r="AH73" s="30" t="s">
        <v>185</v>
      </c>
      <c r="AI73" s="30" t="s">
        <v>395</v>
      </c>
      <c r="AJ73" s="30" t="s">
        <v>396</v>
      </c>
      <c r="AK73" s="30">
        <v>998255542</v>
      </c>
      <c r="AL73" s="30" t="s">
        <v>1809</v>
      </c>
      <c r="AM73" t="s">
        <v>270</v>
      </c>
      <c r="AN73" s="30" t="s">
        <v>270</v>
      </c>
      <c r="AO73" s="30" t="s">
        <v>1809</v>
      </c>
      <c r="AP73" s="30" t="s">
        <v>1809</v>
      </c>
      <c r="AQ73" s="30" t="s">
        <v>1809</v>
      </c>
      <c r="AR73" s="30" t="s">
        <v>1809</v>
      </c>
      <c r="AS73" s="30" t="s">
        <v>63</v>
      </c>
      <c r="AT73" s="30" t="s">
        <v>64</v>
      </c>
      <c r="AU73" s="50">
        <v>46265.625</v>
      </c>
      <c r="AV73" s="50">
        <v>46265.645833333336</v>
      </c>
      <c r="AW73" s="50">
        <v>46265.673611111109</v>
      </c>
      <c r="AX73" s="50">
        <v>46265.673611111109</v>
      </c>
      <c r="AY73" s="50">
        <v>46265.711805555555</v>
      </c>
      <c r="AZ73" s="50">
        <v>46265.847222222219</v>
      </c>
      <c r="BA73" s="51">
        <v>46266.0625</v>
      </c>
      <c r="BB73" s="51">
        <v>46266.336805555555</v>
      </c>
      <c r="BC73" s="50">
        <v>46266.341666666667</v>
      </c>
      <c r="BD73" s="50">
        <v>46266.345833333333</v>
      </c>
      <c r="BE73" s="51">
        <v>46266.441666666666</v>
      </c>
      <c r="BF73" s="51">
        <v>46266.450694444444</v>
      </c>
      <c r="BG73" s="51">
        <v>46266.476388888892</v>
      </c>
      <c r="BH73" s="51">
        <v>46266.504166666666</v>
      </c>
      <c r="BI73" s="30" t="s">
        <v>65</v>
      </c>
      <c r="BJ73" s="50">
        <v>46266.791666666664</v>
      </c>
      <c r="BK73" s="50">
        <v>46266.734027777777</v>
      </c>
      <c r="BL73" s="50">
        <v>46266.75</v>
      </c>
      <c r="BM73" s="50">
        <v>46266.75277777778</v>
      </c>
      <c r="BN73" s="50">
        <v>46266.760416666664</v>
      </c>
      <c r="BP73" s="30" t="s">
        <v>372</v>
      </c>
      <c r="BQ73" s="30">
        <v>46266.791666666664</v>
      </c>
      <c r="BR73"/>
      <c r="BS73"/>
      <c r="BT73"/>
      <c r="BU73"/>
      <c r="BV73"/>
      <c r="BW73"/>
      <c r="BX73"/>
      <c r="BY73"/>
    </row>
    <row r="74" spans="1:77">
      <c r="A74" t="s">
        <v>168</v>
      </c>
      <c r="B74" s="30">
        <v>28</v>
      </c>
      <c r="C74" s="30">
        <v>36</v>
      </c>
      <c r="D74" s="30" t="s">
        <v>360</v>
      </c>
      <c r="E74" s="30" t="s">
        <v>170</v>
      </c>
      <c r="F74" s="48">
        <v>46267</v>
      </c>
      <c r="G74" s="48">
        <v>46268</v>
      </c>
      <c r="H74" s="49">
        <v>0.58333333333333337</v>
      </c>
      <c r="I74" s="49">
        <v>0.5</v>
      </c>
      <c r="J74" s="30" t="s">
        <v>361</v>
      </c>
      <c r="K74" s="30" t="s">
        <v>171</v>
      </c>
      <c r="L74" s="30">
        <v>1</v>
      </c>
      <c r="M74" s="30" t="s">
        <v>2062</v>
      </c>
      <c r="P74" s="30" t="s">
        <v>174</v>
      </c>
      <c r="Q74" s="30" t="s">
        <v>363</v>
      </c>
      <c r="R74" s="30" t="s">
        <v>374</v>
      </c>
      <c r="S74" s="30" t="s">
        <v>375</v>
      </c>
      <c r="T74" s="30" t="s">
        <v>2063</v>
      </c>
      <c r="U74" s="30" t="s">
        <v>2064</v>
      </c>
      <c r="V74" s="30">
        <v>7525</v>
      </c>
      <c r="W74" s="30" t="s">
        <v>2065</v>
      </c>
      <c r="X74" s="30" t="s">
        <v>180</v>
      </c>
      <c r="Y74" t="s">
        <v>180</v>
      </c>
      <c r="Z74" s="30" t="s">
        <v>1862</v>
      </c>
      <c r="AA74" s="30" t="s">
        <v>181</v>
      </c>
      <c r="AB74" s="30" t="s">
        <v>1814</v>
      </c>
      <c r="AC74" s="30" t="s">
        <v>56</v>
      </c>
      <c r="AD74" s="30" t="s">
        <v>368</v>
      </c>
      <c r="AE74" s="30">
        <v>20525373551</v>
      </c>
      <c r="AF74" s="30" t="s">
        <v>402</v>
      </c>
      <c r="AG74" s="30" t="s">
        <v>403</v>
      </c>
      <c r="AH74" s="30" t="s">
        <v>185</v>
      </c>
      <c r="AI74" s="30" t="s">
        <v>404</v>
      </c>
      <c r="AJ74" s="30" t="s">
        <v>405</v>
      </c>
      <c r="AK74" s="30">
        <v>998374895</v>
      </c>
      <c r="AL74" s="30" t="s">
        <v>1809</v>
      </c>
      <c r="AM74" t="s">
        <v>270</v>
      </c>
      <c r="AN74" s="30" t="s">
        <v>270</v>
      </c>
      <c r="AO74" s="30" t="s">
        <v>1809</v>
      </c>
      <c r="AP74" s="30" t="s">
        <v>1809</v>
      </c>
      <c r="AQ74" s="30" t="s">
        <v>1809</v>
      </c>
      <c r="AR74" s="30" t="s">
        <v>1809</v>
      </c>
      <c r="AS74" s="30" t="s">
        <v>63</v>
      </c>
      <c r="AT74" s="30" t="s">
        <v>380</v>
      </c>
      <c r="AU74" s="50">
        <v>46267.708333333336</v>
      </c>
      <c r="AV74" s="50">
        <v>46267.688194444447</v>
      </c>
      <c r="AW74" s="50">
        <v>46267.701388888891</v>
      </c>
      <c r="AX74" s="50">
        <v>46267.708333333336</v>
      </c>
      <c r="AY74" s="50">
        <v>46267.763888888891</v>
      </c>
      <c r="AZ74" s="50">
        <v>46268.324305555558</v>
      </c>
      <c r="BA74" s="51">
        <v>46268.487500000003</v>
      </c>
      <c r="BB74" s="51">
        <v>46268.491666666669</v>
      </c>
      <c r="BC74" s="50">
        <v>46268.511111111111</v>
      </c>
      <c r="BD74" s="50">
        <v>46268.605555555558</v>
      </c>
      <c r="BE74" s="51">
        <v>46268.64166666667</v>
      </c>
      <c r="BF74" s="51">
        <v>46268.65347222222</v>
      </c>
      <c r="BG74" s="51">
        <v>46268.662499999999</v>
      </c>
      <c r="BH74" s="51">
        <v>46268.686805555553</v>
      </c>
      <c r="BI74" s="30" t="s">
        <v>65</v>
      </c>
      <c r="BJ74" s="50">
        <v>46268.916666666664</v>
      </c>
      <c r="BK74" s="50">
        <v>46268.868055555555</v>
      </c>
      <c r="BL74" s="50">
        <v>46268.875694444447</v>
      </c>
      <c r="BM74" s="50">
        <v>46268.90902777778</v>
      </c>
      <c r="BN74" s="50">
        <v>46268.911805555559</v>
      </c>
      <c r="BP74" s="30" t="s">
        <v>372</v>
      </c>
      <c r="BQ74" s="30">
        <v>46268.916666666664</v>
      </c>
      <c r="BR74"/>
      <c r="BS74"/>
      <c r="BT74"/>
      <c r="BU74"/>
      <c r="BV74"/>
      <c r="BW74"/>
      <c r="BX74"/>
      <c r="BY74"/>
    </row>
    <row r="75" spans="1:77">
      <c r="A75" t="s">
        <v>168</v>
      </c>
      <c r="B75" s="30">
        <v>29</v>
      </c>
      <c r="C75" s="30">
        <v>36</v>
      </c>
      <c r="D75" s="30" t="s">
        <v>360</v>
      </c>
      <c r="E75" s="30" t="s">
        <v>170</v>
      </c>
      <c r="F75" s="48">
        <v>46268</v>
      </c>
      <c r="G75" s="48">
        <v>46269</v>
      </c>
      <c r="H75" s="49">
        <v>0.41666666666666669</v>
      </c>
      <c r="I75" s="49">
        <v>0.33333333333333331</v>
      </c>
      <c r="J75" s="30" t="s">
        <v>361</v>
      </c>
      <c r="K75" s="30" t="s">
        <v>171</v>
      </c>
      <c r="L75" s="30">
        <v>1</v>
      </c>
      <c r="M75" s="30" t="s">
        <v>2066</v>
      </c>
      <c r="P75" s="30" t="s">
        <v>174</v>
      </c>
      <c r="Q75" s="30" t="s">
        <v>363</v>
      </c>
      <c r="R75" s="30" t="s">
        <v>382</v>
      </c>
      <c r="S75" s="30" t="s">
        <v>375</v>
      </c>
      <c r="T75" s="30" t="s">
        <v>2067</v>
      </c>
      <c r="U75" s="30" t="s">
        <v>2068</v>
      </c>
      <c r="V75" s="30">
        <v>7612</v>
      </c>
      <c r="W75" s="30" t="s">
        <v>2069</v>
      </c>
      <c r="X75" s="30" t="s">
        <v>180</v>
      </c>
      <c r="Y75" t="s">
        <v>180</v>
      </c>
      <c r="Z75" s="30" t="s">
        <v>1862</v>
      </c>
      <c r="AA75" s="30" t="s">
        <v>181</v>
      </c>
      <c r="AB75" s="30" t="s">
        <v>1814</v>
      </c>
      <c r="AC75" s="30" t="s">
        <v>56</v>
      </c>
      <c r="AD75" s="30" t="s">
        <v>368</v>
      </c>
      <c r="AE75" s="30">
        <v>20525373551</v>
      </c>
      <c r="AF75" s="30" t="s">
        <v>411</v>
      </c>
      <c r="AG75" s="30" t="s">
        <v>412</v>
      </c>
      <c r="AH75" s="30" t="s">
        <v>185</v>
      </c>
      <c r="AI75" s="30" t="s">
        <v>413</v>
      </c>
      <c r="AJ75" s="30" t="s">
        <v>414</v>
      </c>
      <c r="AK75" s="30">
        <v>996830815</v>
      </c>
      <c r="AL75" s="30" t="s">
        <v>1809</v>
      </c>
      <c r="AM75" t="s">
        <v>270</v>
      </c>
      <c r="AN75" s="30" t="s">
        <v>270</v>
      </c>
      <c r="AO75" s="30" t="s">
        <v>1809</v>
      </c>
      <c r="AP75" s="30" t="s">
        <v>1809</v>
      </c>
      <c r="AQ75" s="30" t="s">
        <v>1809</v>
      </c>
      <c r="AR75" s="30" t="s">
        <v>1809</v>
      </c>
      <c r="AS75" s="30" t="s">
        <v>63</v>
      </c>
      <c r="AT75" s="30" t="s">
        <v>380</v>
      </c>
      <c r="AU75" s="50">
        <v>46268.75</v>
      </c>
      <c r="AV75" s="50">
        <v>46268.722222222219</v>
      </c>
      <c r="AW75" s="50">
        <v>46268.731249999997</v>
      </c>
      <c r="AX75" s="50">
        <v>46268.745138888888</v>
      </c>
      <c r="AY75" s="50">
        <v>46268.857638888891</v>
      </c>
      <c r="AZ75" s="50">
        <v>46269.111805555556</v>
      </c>
      <c r="BA75" s="51">
        <v>46269.317361111112</v>
      </c>
      <c r="BB75" s="51">
        <v>46269.319444444445</v>
      </c>
      <c r="BC75" s="50">
        <v>46269.347916666666</v>
      </c>
      <c r="BD75" s="50">
        <v>46269.365277777775</v>
      </c>
      <c r="BE75" s="51">
        <v>46269.493055555555</v>
      </c>
      <c r="BF75" s="51">
        <v>46269.515972222223</v>
      </c>
      <c r="BG75" s="51">
        <v>46269.533333333333</v>
      </c>
      <c r="BH75" s="51">
        <v>46269.540277777778</v>
      </c>
      <c r="BI75" s="30" t="s">
        <v>65</v>
      </c>
      <c r="BJ75" s="50">
        <v>46269.791666666664</v>
      </c>
      <c r="BK75" s="50">
        <v>46269.783333333333</v>
      </c>
      <c r="BL75" s="50">
        <v>46269.785416666666</v>
      </c>
      <c r="BM75" s="50">
        <v>46269.798611111109</v>
      </c>
      <c r="BN75" s="50">
        <v>46269.804166666669</v>
      </c>
      <c r="BP75" s="30" t="s">
        <v>372</v>
      </c>
      <c r="BQ75" s="30">
        <v>46269.791666666664</v>
      </c>
      <c r="BR75"/>
      <c r="BS75"/>
      <c r="BT75"/>
      <c r="BU75"/>
      <c r="BV75"/>
      <c r="BW75"/>
      <c r="BX75"/>
      <c r="BY75"/>
    </row>
    <row r="76" spans="1:77">
      <c r="A76" t="s">
        <v>168</v>
      </c>
      <c r="B76" s="30">
        <v>30</v>
      </c>
      <c r="C76" s="30">
        <v>36</v>
      </c>
      <c r="D76" s="30" t="s">
        <v>360</v>
      </c>
      <c r="E76" s="30" t="s">
        <v>170</v>
      </c>
      <c r="F76" s="48">
        <v>46268</v>
      </c>
      <c r="G76" s="48">
        <v>46269</v>
      </c>
      <c r="H76" s="49">
        <v>0.41666666666666669</v>
      </c>
      <c r="I76" s="49">
        <v>0.33333333333333331</v>
      </c>
      <c r="J76" s="30" t="s">
        <v>361</v>
      </c>
      <c r="K76" s="30" t="s">
        <v>171</v>
      </c>
      <c r="L76" s="30">
        <v>1</v>
      </c>
      <c r="M76" s="30" t="s">
        <v>2070</v>
      </c>
      <c r="P76" s="30" t="s">
        <v>174</v>
      </c>
      <c r="Q76" s="30" t="s">
        <v>363</v>
      </c>
      <c r="R76" s="30" t="s">
        <v>374</v>
      </c>
      <c r="S76" s="30" t="s">
        <v>375</v>
      </c>
      <c r="T76" s="30" t="s">
        <v>2071</v>
      </c>
      <c r="U76" s="30" t="s">
        <v>2072</v>
      </c>
      <c r="V76" s="30">
        <v>7613</v>
      </c>
      <c r="W76" s="30" t="s">
        <v>2073</v>
      </c>
      <c r="X76" s="30" t="s">
        <v>180</v>
      </c>
      <c r="Y76" t="s">
        <v>180</v>
      </c>
      <c r="Z76" s="30" t="s">
        <v>1862</v>
      </c>
      <c r="AA76" s="30" t="s">
        <v>181</v>
      </c>
      <c r="AB76" s="30" t="s">
        <v>1814</v>
      </c>
      <c r="AC76" s="30" t="s">
        <v>56</v>
      </c>
      <c r="AD76" s="30" t="s">
        <v>368</v>
      </c>
      <c r="AE76" s="30">
        <v>20525373551</v>
      </c>
      <c r="AF76" s="30" t="s">
        <v>2074</v>
      </c>
      <c r="AG76" s="30" t="s">
        <v>2075</v>
      </c>
      <c r="AH76" s="30" t="s">
        <v>185</v>
      </c>
      <c r="AI76" s="30" t="s">
        <v>2076</v>
      </c>
      <c r="AJ76" s="30" t="s">
        <v>2077</v>
      </c>
      <c r="AK76" s="30">
        <v>981486067</v>
      </c>
      <c r="AL76" s="30" t="s">
        <v>1809</v>
      </c>
      <c r="AM76" t="s">
        <v>270</v>
      </c>
      <c r="AN76" s="30" t="s">
        <v>270</v>
      </c>
      <c r="AO76" s="30" t="s">
        <v>1809</v>
      </c>
      <c r="AP76" s="30" t="s">
        <v>1809</v>
      </c>
      <c r="AQ76" s="30" t="s">
        <v>1809</v>
      </c>
      <c r="AR76" s="30" t="s">
        <v>1809</v>
      </c>
      <c r="AS76" s="30" t="s">
        <v>63</v>
      </c>
      <c r="AT76" s="30" t="s">
        <v>380</v>
      </c>
      <c r="AU76" s="50">
        <v>46268.75</v>
      </c>
      <c r="AV76" s="50">
        <v>46268.722222222219</v>
      </c>
      <c r="AW76" s="50">
        <v>46268.73333333333</v>
      </c>
      <c r="AX76" s="50">
        <v>46268.745833333334</v>
      </c>
      <c r="AY76" s="50">
        <v>46268.843055555553</v>
      </c>
      <c r="AZ76" s="50">
        <v>46269.112500000003</v>
      </c>
      <c r="BA76" s="51">
        <v>46269.285416666666</v>
      </c>
      <c r="BB76" s="51">
        <v>46269.291666666664</v>
      </c>
      <c r="BC76" s="50">
        <v>46269.341666666667</v>
      </c>
      <c r="BD76" s="50">
        <v>46269.361111111109</v>
      </c>
      <c r="BE76" s="51">
        <v>46269.484722222223</v>
      </c>
      <c r="BF76" s="51">
        <v>46269.488194444442</v>
      </c>
      <c r="BG76" s="51">
        <v>46269.5</v>
      </c>
      <c r="BH76" s="51">
        <v>46269.540972222225</v>
      </c>
      <c r="BI76" s="30" t="s">
        <v>65</v>
      </c>
      <c r="BJ76" s="50">
        <v>46269.75</v>
      </c>
      <c r="BK76" s="50">
        <v>46269.722222222219</v>
      </c>
      <c r="BL76" s="50">
        <v>46269.729861111111</v>
      </c>
      <c r="BM76" s="50">
        <v>46269.730555555558</v>
      </c>
      <c r="BN76" s="50">
        <v>46269.73333333333</v>
      </c>
      <c r="BP76" s="30" t="s">
        <v>372</v>
      </c>
      <c r="BQ76" s="30">
        <v>46269.75</v>
      </c>
      <c r="BR76"/>
      <c r="BS76"/>
      <c r="BT76"/>
      <c r="BU76"/>
      <c r="BV76"/>
      <c r="BW76"/>
      <c r="BX76"/>
      <c r="BY76"/>
    </row>
    <row r="77" spans="1:77">
      <c r="A77" t="s">
        <v>168</v>
      </c>
      <c r="B77" s="30">
        <v>31</v>
      </c>
      <c r="C77" s="30">
        <v>36</v>
      </c>
      <c r="D77" s="30" t="s">
        <v>360</v>
      </c>
      <c r="E77" s="30" t="s">
        <v>170</v>
      </c>
      <c r="F77" s="48">
        <v>46271</v>
      </c>
      <c r="G77" s="48">
        <v>46272</v>
      </c>
      <c r="H77" s="49">
        <v>0.41666666666666669</v>
      </c>
      <c r="I77" s="49">
        <v>0.33333333333333331</v>
      </c>
      <c r="J77" s="30" t="s">
        <v>361</v>
      </c>
      <c r="K77" s="30" t="s">
        <v>171</v>
      </c>
      <c r="L77" s="30">
        <v>1</v>
      </c>
      <c r="M77" s="30" t="s">
        <v>2078</v>
      </c>
      <c r="P77" s="30" t="s">
        <v>174</v>
      </c>
      <c r="Q77" s="30" t="s">
        <v>363</v>
      </c>
      <c r="R77" s="30" t="s">
        <v>431</v>
      </c>
      <c r="S77" s="30" t="s">
        <v>623</v>
      </c>
      <c r="T77" s="30" t="s">
        <v>2079</v>
      </c>
      <c r="U77" s="30" t="s">
        <v>2080</v>
      </c>
      <c r="V77" s="30">
        <v>814052</v>
      </c>
      <c r="W77" s="30" t="s">
        <v>2081</v>
      </c>
      <c r="X77" s="30" t="s">
        <v>179</v>
      </c>
      <c r="Y77" t="s">
        <v>180</v>
      </c>
      <c r="Z77" s="30" t="s">
        <v>1862</v>
      </c>
      <c r="AA77" s="30" t="s">
        <v>181</v>
      </c>
      <c r="AB77" s="30" t="s">
        <v>1814</v>
      </c>
      <c r="AC77" s="30" t="s">
        <v>56</v>
      </c>
      <c r="AD77" s="30" t="s">
        <v>368</v>
      </c>
      <c r="AE77" s="30">
        <v>20525373551</v>
      </c>
      <c r="AF77" s="30" t="s">
        <v>2082</v>
      </c>
      <c r="AG77" s="30" t="s">
        <v>448</v>
      </c>
      <c r="AH77" s="30" t="s">
        <v>185</v>
      </c>
      <c r="AI77" s="30" t="s">
        <v>2083</v>
      </c>
      <c r="AJ77" s="30" t="s">
        <v>2084</v>
      </c>
      <c r="AK77" s="30">
        <v>915175272</v>
      </c>
      <c r="AL77" s="30" t="s">
        <v>1809</v>
      </c>
      <c r="AM77" t="s">
        <v>270</v>
      </c>
      <c r="AN77" s="30" t="s">
        <v>270</v>
      </c>
      <c r="AO77" s="30" t="s">
        <v>1809</v>
      </c>
      <c r="AP77" s="30" t="s">
        <v>1809</v>
      </c>
      <c r="AQ77" s="30" t="s">
        <v>1809</v>
      </c>
      <c r="AR77" s="30" t="s">
        <v>1809</v>
      </c>
      <c r="AS77" s="30" t="s">
        <v>63</v>
      </c>
      <c r="AT77" s="30" t="s">
        <v>64</v>
      </c>
      <c r="AU77" s="50">
        <v>46271.833333333336</v>
      </c>
      <c r="AV77" s="50">
        <v>46271.879861111112</v>
      </c>
      <c r="AW77" s="50">
        <v>46271.901388888888</v>
      </c>
      <c r="AX77" s="50">
        <v>46271.904166666667</v>
      </c>
      <c r="AY77" s="50">
        <v>46271.979166666664</v>
      </c>
      <c r="AZ77" s="50">
        <v>46272.102083333331</v>
      </c>
      <c r="BA77" s="51">
        <v>46272.308333333334</v>
      </c>
      <c r="BB77" s="51">
        <v>46272.333333333336</v>
      </c>
      <c r="BC77" s="50">
        <v>46272.337500000001</v>
      </c>
      <c r="BD77" s="50">
        <v>46272.40625</v>
      </c>
      <c r="BE77" s="51">
        <v>46272.543749999997</v>
      </c>
      <c r="BF77" s="51">
        <v>46272.563888888886</v>
      </c>
      <c r="BG77" s="51">
        <v>46272.595833333333</v>
      </c>
      <c r="BH77" s="51">
        <v>46272.618055555555</v>
      </c>
      <c r="BI77" s="30" t="s">
        <v>65</v>
      </c>
      <c r="BJ77" s="50">
        <v>46272.833333333336</v>
      </c>
      <c r="BK77" s="50">
        <v>46272.85833333333</v>
      </c>
      <c r="BL77" s="50">
        <v>46272.861805555556</v>
      </c>
      <c r="BM77" s="50">
        <v>46272.871527777781</v>
      </c>
      <c r="BN77" s="50">
        <v>46272.833333333336</v>
      </c>
      <c r="BP77" s="30" t="s">
        <v>372</v>
      </c>
      <c r="BQ77" s="30">
        <v>46272.833333333336</v>
      </c>
      <c r="BR77"/>
      <c r="BS77"/>
      <c r="BT77"/>
      <c r="BU77"/>
      <c r="BV77"/>
      <c r="BW77"/>
      <c r="BX77"/>
      <c r="BY77"/>
    </row>
    <row r="78" spans="1:77">
      <c r="A78" t="s">
        <v>168</v>
      </c>
      <c r="B78" s="30">
        <v>32</v>
      </c>
      <c r="C78" s="30">
        <v>36</v>
      </c>
      <c r="D78" s="30" t="s">
        <v>360</v>
      </c>
      <c r="E78" s="30" t="s">
        <v>170</v>
      </c>
      <c r="F78" s="48">
        <v>46271</v>
      </c>
      <c r="G78" s="48">
        <v>46272</v>
      </c>
      <c r="H78" s="49">
        <v>0.5</v>
      </c>
      <c r="I78" s="49">
        <v>0.41666666666666669</v>
      </c>
      <c r="J78" s="30" t="s">
        <v>361</v>
      </c>
      <c r="K78" s="30" t="s">
        <v>171</v>
      </c>
      <c r="L78" s="30">
        <v>1</v>
      </c>
      <c r="M78" s="30" t="s">
        <v>2085</v>
      </c>
      <c r="P78" s="30" t="s">
        <v>174</v>
      </c>
      <c r="Q78" s="30" t="s">
        <v>363</v>
      </c>
      <c r="R78" s="30" t="s">
        <v>431</v>
      </c>
      <c r="S78" s="30" t="s">
        <v>623</v>
      </c>
      <c r="T78" s="30" t="s">
        <v>2086</v>
      </c>
      <c r="U78" s="30" t="s">
        <v>2087</v>
      </c>
      <c r="V78" s="30">
        <v>814030</v>
      </c>
      <c r="W78" s="30" t="s">
        <v>2088</v>
      </c>
      <c r="X78" s="30" t="s">
        <v>179</v>
      </c>
      <c r="Y78" t="s">
        <v>180</v>
      </c>
      <c r="Z78" s="30" t="s">
        <v>1862</v>
      </c>
      <c r="AA78" s="30" t="s">
        <v>181</v>
      </c>
      <c r="AB78" s="30" t="s">
        <v>1814</v>
      </c>
      <c r="AC78" s="30" t="s">
        <v>56</v>
      </c>
      <c r="AD78" s="30" t="s">
        <v>368</v>
      </c>
      <c r="AE78" s="30">
        <v>20525373551</v>
      </c>
      <c r="AF78" s="30" t="s">
        <v>1850</v>
      </c>
      <c r="AG78" s="30" t="s">
        <v>1851</v>
      </c>
      <c r="AH78" s="30" t="s">
        <v>185</v>
      </c>
      <c r="AI78" s="30" t="s">
        <v>1852</v>
      </c>
      <c r="AJ78" s="30" t="s">
        <v>1853</v>
      </c>
      <c r="AK78" s="30">
        <v>958976357</v>
      </c>
      <c r="AL78" s="30" t="s">
        <v>1809</v>
      </c>
      <c r="AM78" t="s">
        <v>270</v>
      </c>
      <c r="AN78" s="30" t="s">
        <v>270</v>
      </c>
      <c r="AO78" s="30" t="s">
        <v>1809</v>
      </c>
      <c r="AP78" s="30" t="s">
        <v>1809</v>
      </c>
      <c r="AQ78" s="30" t="s">
        <v>1809</v>
      </c>
      <c r="AR78" s="30" t="s">
        <v>1809</v>
      </c>
      <c r="AS78" s="30" t="s">
        <v>63</v>
      </c>
      <c r="AT78" s="30" t="s">
        <v>64</v>
      </c>
      <c r="AU78" s="50">
        <v>46271.833333333336</v>
      </c>
      <c r="AV78" s="50">
        <v>46271.828472222223</v>
      </c>
      <c r="AW78" s="50">
        <v>46271.883333333331</v>
      </c>
      <c r="AX78" s="50">
        <v>46271.884722222225</v>
      </c>
      <c r="AY78" s="50">
        <v>46271.925000000003</v>
      </c>
      <c r="AZ78" s="50">
        <v>46272.101388888892</v>
      </c>
      <c r="BA78" s="51">
        <v>46272.275694444441</v>
      </c>
      <c r="BB78" s="51">
        <v>46272.291666666664</v>
      </c>
      <c r="BC78" s="50">
        <v>46272.32916666667</v>
      </c>
      <c r="BD78" s="50">
        <v>46272.350694444445</v>
      </c>
      <c r="BE78" s="51">
        <v>46272.527777777781</v>
      </c>
      <c r="BF78" s="51">
        <v>46272.543749999997</v>
      </c>
      <c r="BG78" s="51">
        <v>46272.569444444445</v>
      </c>
      <c r="BH78" s="51">
        <v>46272.630555555559</v>
      </c>
      <c r="BI78" s="30" t="s">
        <v>65</v>
      </c>
      <c r="BJ78" s="50">
        <v>46272.833333333336</v>
      </c>
      <c r="BK78" s="50">
        <v>46272.820138888892</v>
      </c>
      <c r="BL78" s="50">
        <v>46272.823611111111</v>
      </c>
      <c r="BM78" s="50">
        <v>46272.829861111109</v>
      </c>
      <c r="BN78" s="50">
        <v>46272.875</v>
      </c>
      <c r="BP78" s="30" t="s">
        <v>372</v>
      </c>
      <c r="BQ78" s="30">
        <v>46272.833333333336</v>
      </c>
      <c r="BR78"/>
      <c r="BS78"/>
      <c r="BT78"/>
      <c r="BU78"/>
      <c r="BV78"/>
      <c r="BW78"/>
      <c r="BX78"/>
      <c r="BY78"/>
    </row>
    <row r="79" spans="1:77">
      <c r="A79" t="s">
        <v>168</v>
      </c>
      <c r="B79" s="30">
        <v>33</v>
      </c>
      <c r="C79" s="30">
        <v>36</v>
      </c>
      <c r="D79" s="30" t="s">
        <v>360</v>
      </c>
      <c r="E79" s="30" t="s">
        <v>170</v>
      </c>
      <c r="F79" s="48">
        <v>46271</v>
      </c>
      <c r="G79" s="48">
        <v>46272</v>
      </c>
      <c r="H79" s="49">
        <v>0.58333333333333337</v>
      </c>
      <c r="I79" s="49">
        <v>0.5</v>
      </c>
      <c r="J79" s="30" t="s">
        <v>361</v>
      </c>
      <c r="K79" s="30" t="s">
        <v>171</v>
      </c>
      <c r="L79" s="30">
        <v>1</v>
      </c>
      <c r="M79" s="30" t="s">
        <v>2089</v>
      </c>
      <c r="P79" s="30" t="s">
        <v>174</v>
      </c>
      <c r="Q79" s="30" t="s">
        <v>363</v>
      </c>
      <c r="R79" s="30" t="s">
        <v>431</v>
      </c>
      <c r="S79" s="30" t="s">
        <v>623</v>
      </c>
      <c r="T79" s="30" t="s">
        <v>2090</v>
      </c>
      <c r="U79" s="30" t="s">
        <v>2091</v>
      </c>
      <c r="V79" s="30">
        <v>814035</v>
      </c>
      <c r="W79" s="30" t="s">
        <v>2092</v>
      </c>
      <c r="X79" s="30" t="s">
        <v>179</v>
      </c>
      <c r="Y79" t="s">
        <v>180</v>
      </c>
      <c r="Z79" s="30" t="s">
        <v>1862</v>
      </c>
      <c r="AA79" s="30" t="s">
        <v>181</v>
      </c>
      <c r="AB79" s="30" t="s">
        <v>1814</v>
      </c>
      <c r="AC79" s="30" t="s">
        <v>56</v>
      </c>
      <c r="AD79" s="30" t="s">
        <v>368</v>
      </c>
      <c r="AE79" s="30">
        <v>20525373551</v>
      </c>
      <c r="AF79" s="30" t="s">
        <v>463</v>
      </c>
      <c r="AG79" s="30" t="s">
        <v>436</v>
      </c>
      <c r="AH79" s="30" t="s">
        <v>185</v>
      </c>
      <c r="AI79" s="30" t="s">
        <v>437</v>
      </c>
      <c r="AJ79" s="30" t="s">
        <v>438</v>
      </c>
      <c r="AK79" s="30">
        <v>998230850</v>
      </c>
      <c r="AL79" s="30" t="s">
        <v>1809</v>
      </c>
      <c r="AM79" t="s">
        <v>270</v>
      </c>
      <c r="AN79" s="30" t="s">
        <v>270</v>
      </c>
      <c r="AO79" s="30" t="s">
        <v>1809</v>
      </c>
      <c r="AP79" s="30" t="s">
        <v>1809</v>
      </c>
      <c r="AQ79" s="30" t="s">
        <v>1809</v>
      </c>
      <c r="AR79" s="30" t="s">
        <v>1809</v>
      </c>
      <c r="AS79" s="30" t="s">
        <v>63</v>
      </c>
      <c r="AT79" s="30" t="s">
        <v>64</v>
      </c>
      <c r="AU79" s="50">
        <v>46271.833333333336</v>
      </c>
      <c r="AV79" s="50">
        <v>46271.857638888891</v>
      </c>
      <c r="AW79" s="50">
        <v>46271.875694444447</v>
      </c>
      <c r="AX79" s="50">
        <v>46271.885416666664</v>
      </c>
      <c r="AY79" s="50">
        <v>46271.952777777777</v>
      </c>
      <c r="AZ79" s="50">
        <v>46272.217361111114</v>
      </c>
      <c r="BA79" s="51">
        <v>46272.423611111109</v>
      </c>
      <c r="BB79" s="51">
        <v>46272.429861111108</v>
      </c>
      <c r="BC79" s="50">
        <v>46272.436111111114</v>
      </c>
      <c r="BD79" s="50">
        <v>46272.447916666664</v>
      </c>
      <c r="BE79" s="51">
        <v>46272.625</v>
      </c>
      <c r="BF79" s="51">
        <v>46272.633333333331</v>
      </c>
      <c r="BG79" s="51">
        <v>46272.650694444441</v>
      </c>
      <c r="BH79" s="51">
        <v>46272.662499999999</v>
      </c>
      <c r="BI79" s="30" t="s">
        <v>65</v>
      </c>
      <c r="BJ79" s="50">
        <v>46272.916666666664</v>
      </c>
      <c r="BK79" s="50">
        <v>46272.902083333334</v>
      </c>
      <c r="BL79" s="50">
        <v>46272.902777777781</v>
      </c>
      <c r="BM79" s="50">
        <v>46272.907638888886</v>
      </c>
      <c r="BN79" s="50">
        <v>46272.912499999999</v>
      </c>
      <c r="BP79" s="30" t="s">
        <v>372</v>
      </c>
      <c r="BQ79" s="30">
        <v>46272.916666666664</v>
      </c>
      <c r="BR79"/>
      <c r="BS79"/>
      <c r="BT79"/>
      <c r="BU79"/>
      <c r="BV79"/>
      <c r="BW79"/>
      <c r="BX79"/>
      <c r="BY79"/>
    </row>
    <row r="80" spans="1:77">
      <c r="A80" t="s">
        <v>168</v>
      </c>
      <c r="B80" s="30">
        <v>34</v>
      </c>
      <c r="C80" s="30">
        <v>36</v>
      </c>
      <c r="D80" s="30" t="s">
        <v>360</v>
      </c>
      <c r="E80" s="30" t="s">
        <v>170</v>
      </c>
      <c r="F80" s="48">
        <v>46272</v>
      </c>
      <c r="G80" s="48">
        <v>46273</v>
      </c>
      <c r="H80" s="49">
        <v>0.41666666666666669</v>
      </c>
      <c r="I80" s="49">
        <v>0.33333333333333331</v>
      </c>
      <c r="J80" s="30" t="s">
        <v>361</v>
      </c>
      <c r="K80" s="30" t="s">
        <v>171</v>
      </c>
      <c r="L80" s="30">
        <v>1</v>
      </c>
      <c r="M80" s="30" t="s">
        <v>2093</v>
      </c>
      <c r="P80" s="30" t="s">
        <v>174</v>
      </c>
      <c r="Q80" s="30" t="s">
        <v>363</v>
      </c>
      <c r="R80" s="30" t="s">
        <v>175</v>
      </c>
      <c r="S80" s="30" t="s">
        <v>176</v>
      </c>
      <c r="T80" s="30" t="s">
        <v>2094</v>
      </c>
      <c r="U80" s="30" t="s">
        <v>2095</v>
      </c>
      <c r="V80" s="30">
        <v>814323</v>
      </c>
      <c r="W80" s="30" t="s">
        <v>2096</v>
      </c>
      <c r="X80" s="30" t="s">
        <v>179</v>
      </c>
      <c r="Y80" t="s">
        <v>180</v>
      </c>
      <c r="Z80" s="30" t="s">
        <v>1862</v>
      </c>
      <c r="AA80" s="30" t="s">
        <v>181</v>
      </c>
      <c r="AB80" s="30" t="s">
        <v>1814</v>
      </c>
      <c r="AC80" s="30" t="s">
        <v>56</v>
      </c>
      <c r="AD80" s="30" t="s">
        <v>368</v>
      </c>
      <c r="AE80" s="30">
        <v>20525373551</v>
      </c>
      <c r="AF80" s="30" t="s">
        <v>393</v>
      </c>
      <c r="AG80" s="30" t="s">
        <v>394</v>
      </c>
      <c r="AH80" s="30" t="s">
        <v>185</v>
      </c>
      <c r="AI80" s="30" t="s">
        <v>395</v>
      </c>
      <c r="AJ80" s="30" t="s">
        <v>396</v>
      </c>
      <c r="AK80" s="30">
        <v>998255542</v>
      </c>
      <c r="AL80" s="30" t="s">
        <v>1809</v>
      </c>
      <c r="AM80" t="s">
        <v>270</v>
      </c>
      <c r="AN80" s="30" t="s">
        <v>270</v>
      </c>
      <c r="AO80" s="30" t="s">
        <v>1809</v>
      </c>
      <c r="AP80" s="30" t="s">
        <v>1809</v>
      </c>
      <c r="AQ80" s="30" t="s">
        <v>1809</v>
      </c>
      <c r="AR80" s="30" t="s">
        <v>1809</v>
      </c>
      <c r="AS80" s="30" t="s">
        <v>63</v>
      </c>
      <c r="AT80" s="30" t="s">
        <v>64</v>
      </c>
      <c r="AU80" s="50">
        <v>46272.625</v>
      </c>
      <c r="AV80" s="50">
        <v>46272.616666666669</v>
      </c>
      <c r="AW80" s="50">
        <v>46272.635416666664</v>
      </c>
      <c r="AX80" s="50">
        <v>46272.64166666667</v>
      </c>
      <c r="AY80" s="50">
        <v>46272.692361111112</v>
      </c>
      <c r="AZ80" s="50">
        <v>46273.102777777778</v>
      </c>
      <c r="BA80" s="51">
        <v>46273.308333333334</v>
      </c>
      <c r="BB80" s="51">
        <v>46273.3125</v>
      </c>
      <c r="BC80" s="50">
        <v>46273.350694444445</v>
      </c>
      <c r="BD80" s="50">
        <v>46273.357638888891</v>
      </c>
      <c r="BE80" s="51">
        <v>46273.510416666664</v>
      </c>
      <c r="BF80" s="51">
        <v>46273.520833333336</v>
      </c>
      <c r="BG80" s="51">
        <v>46273.53125</v>
      </c>
      <c r="BH80" s="51">
        <v>46273.553472222222</v>
      </c>
      <c r="BI80" s="30" t="s">
        <v>65</v>
      </c>
      <c r="BJ80" s="50">
        <v>46273.833333333336</v>
      </c>
      <c r="BK80" s="50">
        <v>46273.777777777781</v>
      </c>
      <c r="BL80" s="50">
        <v>46273.779166666667</v>
      </c>
      <c r="BM80" s="50">
        <v>46273.781944444447</v>
      </c>
      <c r="BN80" s="50">
        <v>46273.785416666666</v>
      </c>
      <c r="BP80" s="30" t="s">
        <v>372</v>
      </c>
      <c r="BQ80" s="30">
        <v>46272.833333333336</v>
      </c>
      <c r="BR80"/>
      <c r="BS80"/>
      <c r="BT80"/>
      <c r="BU80"/>
      <c r="BV80"/>
      <c r="BW80"/>
      <c r="BX80"/>
      <c r="BY80"/>
    </row>
    <row r="81" spans="1:77">
      <c r="A81" t="s">
        <v>168</v>
      </c>
      <c r="B81" s="30">
        <v>35</v>
      </c>
      <c r="C81" s="30">
        <v>37</v>
      </c>
      <c r="D81" s="30" t="s">
        <v>360</v>
      </c>
      <c r="E81" s="30" t="s">
        <v>170</v>
      </c>
      <c r="F81" s="48">
        <v>46274</v>
      </c>
      <c r="G81" s="48">
        <v>46275</v>
      </c>
      <c r="H81" s="49">
        <v>0.58333333333333337</v>
      </c>
      <c r="I81" s="49">
        <v>0.5</v>
      </c>
      <c r="J81" s="30" t="s">
        <v>361</v>
      </c>
      <c r="K81" s="30" t="s">
        <v>171</v>
      </c>
      <c r="L81" s="30">
        <v>1</v>
      </c>
      <c r="M81" s="30" t="s">
        <v>2320</v>
      </c>
      <c r="P81" s="30" t="s">
        <v>174</v>
      </c>
      <c r="Q81" s="30" t="s">
        <v>363</v>
      </c>
      <c r="R81" s="30" t="s">
        <v>374</v>
      </c>
      <c r="S81" s="30" t="s">
        <v>375</v>
      </c>
      <c r="T81" s="30" t="s">
        <v>2321</v>
      </c>
      <c r="U81" s="30" t="s">
        <v>2322</v>
      </c>
      <c r="V81" s="30">
        <v>7979</v>
      </c>
      <c r="W81" s="30" t="s">
        <v>2323</v>
      </c>
      <c r="X81" s="30" t="s">
        <v>180</v>
      </c>
      <c r="Y81" t="s">
        <v>180</v>
      </c>
      <c r="Z81" s="30" t="s">
        <v>1862</v>
      </c>
      <c r="AA81" s="30" t="s">
        <v>181</v>
      </c>
      <c r="AB81" s="30" t="s">
        <v>1814</v>
      </c>
      <c r="AC81" s="30" t="s">
        <v>56</v>
      </c>
      <c r="AD81" s="30" t="s">
        <v>368</v>
      </c>
      <c r="AE81" s="30">
        <v>20525373551</v>
      </c>
      <c r="AF81" s="30" t="s">
        <v>369</v>
      </c>
      <c r="AG81" s="30" t="s">
        <v>1790</v>
      </c>
      <c r="AH81" s="30" t="s">
        <v>185</v>
      </c>
      <c r="AI81" s="30" t="s">
        <v>370</v>
      </c>
      <c r="AJ81" s="30" t="s">
        <v>371</v>
      </c>
      <c r="AK81" s="30">
        <v>998231122</v>
      </c>
      <c r="AL81" s="30" t="s">
        <v>1809</v>
      </c>
      <c r="AM81" t="s">
        <v>270</v>
      </c>
      <c r="AN81" s="30" t="s">
        <v>270</v>
      </c>
      <c r="AO81" s="30" t="s">
        <v>1809</v>
      </c>
      <c r="AP81" s="30" t="s">
        <v>1809</v>
      </c>
      <c r="AQ81" s="30" t="s">
        <v>1809</v>
      </c>
      <c r="AR81" s="30" t="s">
        <v>1809</v>
      </c>
      <c r="AS81" s="30" t="s">
        <v>63</v>
      </c>
      <c r="AT81" s="30" t="s">
        <v>380</v>
      </c>
      <c r="AU81" s="50">
        <v>46274.875</v>
      </c>
      <c r="AV81" s="50">
        <v>46274.855555555558</v>
      </c>
      <c r="AW81" s="50">
        <v>46274.875</v>
      </c>
      <c r="AX81" s="50">
        <v>46274.875</v>
      </c>
      <c r="AY81" s="50">
        <v>46274.961805555555</v>
      </c>
      <c r="AZ81" s="50">
        <v>46275.207638888889</v>
      </c>
      <c r="BA81" s="51">
        <v>46275.388888888891</v>
      </c>
      <c r="BB81" s="51">
        <v>46275.393055555556</v>
      </c>
      <c r="BC81" s="50">
        <v>46275.429166666669</v>
      </c>
      <c r="BD81" s="50">
        <v>46275.429166666669</v>
      </c>
      <c r="BE81" s="51">
        <v>46275.701388888891</v>
      </c>
      <c r="BF81" s="51">
        <v>46275.701388888891</v>
      </c>
      <c r="BG81" s="51">
        <v>46275.743055555555</v>
      </c>
      <c r="BH81" s="51">
        <v>46275.784722222219</v>
      </c>
      <c r="BI81" s="30" t="s">
        <v>65</v>
      </c>
      <c r="BJ81" s="50">
        <v>46276.041666666664</v>
      </c>
      <c r="BK81" s="50">
        <v>46275.989583333336</v>
      </c>
      <c r="BL81" s="50">
        <v>46275.989583333336</v>
      </c>
      <c r="BM81" s="50">
        <v>46275.996527777781</v>
      </c>
      <c r="BN81" s="50">
        <v>46276.001388888886</v>
      </c>
      <c r="BP81" s="30" t="s">
        <v>372</v>
      </c>
      <c r="BQ81" s="30">
        <v>46276.041666666664</v>
      </c>
      <c r="BR81"/>
      <c r="BS81"/>
      <c r="BT81"/>
      <c r="BU81"/>
      <c r="BV81"/>
      <c r="BW81"/>
      <c r="BX81"/>
      <c r="BY81"/>
    </row>
    <row r="82" spans="1:77">
      <c r="A82" t="s">
        <v>168</v>
      </c>
      <c r="B82" s="30">
        <v>36</v>
      </c>
      <c r="C82" s="30">
        <v>37</v>
      </c>
      <c r="D82" s="30" t="s">
        <v>360</v>
      </c>
      <c r="E82" s="30" t="s">
        <v>170</v>
      </c>
      <c r="F82" s="48">
        <v>46275</v>
      </c>
      <c r="G82" s="48">
        <v>46276</v>
      </c>
      <c r="H82" s="49">
        <v>0.45833333333333331</v>
      </c>
      <c r="I82" s="49">
        <v>0.375</v>
      </c>
      <c r="J82" s="30" t="s">
        <v>361</v>
      </c>
      <c r="K82" s="30" t="s">
        <v>171</v>
      </c>
      <c r="L82" s="30">
        <v>1</v>
      </c>
      <c r="M82" s="30" t="s">
        <v>2324</v>
      </c>
      <c r="P82" s="30" t="s">
        <v>174</v>
      </c>
      <c r="Q82" s="30" t="s">
        <v>363</v>
      </c>
      <c r="R82" s="30" t="s">
        <v>374</v>
      </c>
      <c r="S82" s="30" t="s">
        <v>375</v>
      </c>
      <c r="T82" s="30" t="s">
        <v>2325</v>
      </c>
      <c r="U82" s="30" t="s">
        <v>2326</v>
      </c>
      <c r="V82" s="30">
        <v>7894</v>
      </c>
      <c r="W82" s="30" t="s">
        <v>2327</v>
      </c>
      <c r="X82" s="30" t="s">
        <v>180</v>
      </c>
      <c r="Y82" t="s">
        <v>180</v>
      </c>
      <c r="Z82" s="30" t="s">
        <v>1862</v>
      </c>
      <c r="AA82" s="30" t="s">
        <v>181</v>
      </c>
      <c r="AB82" s="30" t="s">
        <v>1814</v>
      </c>
      <c r="AC82" s="30" t="s">
        <v>56</v>
      </c>
      <c r="AD82" s="30" t="s">
        <v>368</v>
      </c>
      <c r="AE82" s="30">
        <v>20525373551</v>
      </c>
      <c r="AF82" s="30" t="s">
        <v>463</v>
      </c>
      <c r="AG82" s="30" t="s">
        <v>436</v>
      </c>
      <c r="AH82" s="30" t="s">
        <v>185</v>
      </c>
      <c r="AI82" s="30" t="s">
        <v>437</v>
      </c>
      <c r="AJ82" s="30" t="s">
        <v>438</v>
      </c>
      <c r="AK82" s="30">
        <v>998230850</v>
      </c>
      <c r="AL82" s="30" t="s">
        <v>1809</v>
      </c>
      <c r="AM82" t="s">
        <v>270</v>
      </c>
      <c r="AN82" s="30" t="s">
        <v>270</v>
      </c>
      <c r="AO82" s="30" t="s">
        <v>1809</v>
      </c>
      <c r="AP82" s="30" t="s">
        <v>1809</v>
      </c>
      <c r="AQ82" s="30" t="s">
        <v>1809</v>
      </c>
      <c r="AR82" s="30" t="s">
        <v>1809</v>
      </c>
      <c r="AS82" s="30" t="s">
        <v>63</v>
      </c>
      <c r="AT82" s="30" t="s">
        <v>380</v>
      </c>
      <c r="AU82" s="50">
        <v>46275.875</v>
      </c>
      <c r="AV82" s="50">
        <v>46275.875</v>
      </c>
      <c r="AW82" s="50">
        <v>46275.888888888891</v>
      </c>
      <c r="AX82" s="50">
        <v>46275.905555555553</v>
      </c>
      <c r="AY82" s="50">
        <v>46276.052083333336</v>
      </c>
      <c r="AZ82" s="50">
        <v>46276.17083333333</v>
      </c>
      <c r="BA82" s="51">
        <v>46276.375</v>
      </c>
      <c r="BB82" s="51">
        <v>46276.40625</v>
      </c>
      <c r="BC82" s="50">
        <v>46276.416666666664</v>
      </c>
      <c r="BD82" s="50">
        <v>46276.427083333336</v>
      </c>
      <c r="BE82" s="51">
        <v>46276.479166666664</v>
      </c>
      <c r="BF82" s="51">
        <v>46276.490277777775</v>
      </c>
      <c r="BG82" s="51">
        <v>46276.5</v>
      </c>
      <c r="BH82" s="51">
        <v>46276.527777777781</v>
      </c>
      <c r="BI82" s="30" t="s">
        <v>65</v>
      </c>
      <c r="BJ82" s="50">
        <v>46276.791666666664</v>
      </c>
      <c r="BK82" s="50">
        <v>46276.777777777781</v>
      </c>
      <c r="BL82" s="50">
        <v>46276.77847222222</v>
      </c>
      <c r="BM82" s="50">
        <v>46276.784722222219</v>
      </c>
      <c r="BN82" s="50">
        <v>46276.790277777778</v>
      </c>
      <c r="BP82" s="30" t="s">
        <v>372</v>
      </c>
      <c r="BQ82" s="30">
        <v>46276.791666666664</v>
      </c>
      <c r="BR82"/>
      <c r="BS82"/>
      <c r="BT82"/>
      <c r="BU82"/>
      <c r="BV82"/>
      <c r="BW82"/>
      <c r="BX82"/>
      <c r="BY82"/>
    </row>
    <row r="83" spans="1:77">
      <c r="A83" t="s">
        <v>168</v>
      </c>
      <c r="B83" s="30">
        <v>37</v>
      </c>
      <c r="C83" s="30">
        <v>37</v>
      </c>
      <c r="D83" s="30" t="s">
        <v>360</v>
      </c>
      <c r="E83" s="30" t="s">
        <v>170</v>
      </c>
      <c r="F83" s="48">
        <v>46278</v>
      </c>
      <c r="G83" s="48">
        <v>46279</v>
      </c>
      <c r="H83" s="49">
        <v>0.41666666666666669</v>
      </c>
      <c r="I83" s="49">
        <v>0.33333333333333331</v>
      </c>
      <c r="J83" s="30" t="s">
        <v>361</v>
      </c>
      <c r="K83" s="30" t="s">
        <v>171</v>
      </c>
      <c r="L83" s="30">
        <v>1</v>
      </c>
      <c r="M83" s="30" t="s">
        <v>2328</v>
      </c>
      <c r="P83" s="30" t="s">
        <v>174</v>
      </c>
      <c r="Q83" s="30" t="s">
        <v>363</v>
      </c>
      <c r="R83" s="30" t="s">
        <v>431</v>
      </c>
      <c r="S83" s="30" t="s">
        <v>623</v>
      </c>
      <c r="T83" s="30" t="s">
        <v>2329</v>
      </c>
      <c r="U83" s="30" t="s">
        <v>2330</v>
      </c>
      <c r="V83" s="30">
        <v>816260</v>
      </c>
      <c r="W83" s="30" t="s">
        <v>2331</v>
      </c>
      <c r="X83" s="30" t="s">
        <v>179</v>
      </c>
      <c r="Y83" t="s">
        <v>180</v>
      </c>
      <c r="Z83" s="30" t="s">
        <v>1862</v>
      </c>
      <c r="AA83" s="30" t="s">
        <v>181</v>
      </c>
      <c r="AB83" s="30" t="s">
        <v>1814</v>
      </c>
      <c r="AC83" s="30" t="s">
        <v>56</v>
      </c>
      <c r="AD83" s="30" t="s">
        <v>368</v>
      </c>
      <c r="AE83" s="30">
        <v>20525373551</v>
      </c>
      <c r="AF83" s="30" t="s">
        <v>369</v>
      </c>
      <c r="AG83" s="30" t="s">
        <v>1790</v>
      </c>
      <c r="AH83" s="30" t="s">
        <v>185</v>
      </c>
      <c r="AI83" s="30" t="s">
        <v>370</v>
      </c>
      <c r="AJ83" s="30" t="s">
        <v>371</v>
      </c>
      <c r="AK83" s="30">
        <v>998231122</v>
      </c>
      <c r="AL83" s="30" t="s">
        <v>1809</v>
      </c>
      <c r="AM83" t="s">
        <v>270</v>
      </c>
      <c r="AN83" s="30" t="s">
        <v>270</v>
      </c>
      <c r="AO83" s="30" t="s">
        <v>1809</v>
      </c>
      <c r="AP83" s="30" t="s">
        <v>1809</v>
      </c>
      <c r="AQ83" s="30" t="s">
        <v>1809</v>
      </c>
      <c r="AR83" s="30" t="s">
        <v>1809</v>
      </c>
      <c r="AS83" s="30" t="s">
        <v>63</v>
      </c>
      <c r="AT83" s="30" t="s">
        <v>64</v>
      </c>
      <c r="AU83" s="50">
        <v>46278.75</v>
      </c>
      <c r="AV83" s="50">
        <v>46278.71875</v>
      </c>
      <c r="AW83" s="50">
        <v>46278.729166666664</v>
      </c>
      <c r="AX83" s="50">
        <v>46278.729166666664</v>
      </c>
      <c r="AY83" s="50">
        <v>46278.774305555555</v>
      </c>
      <c r="AZ83" s="50">
        <v>46278.775000000001</v>
      </c>
      <c r="BA83" s="51">
        <v>46278.954861111109</v>
      </c>
      <c r="BB83" s="51">
        <v>46279.319444444445</v>
      </c>
      <c r="BC83" s="50">
        <v>46279.327777777777</v>
      </c>
      <c r="BD83" s="50">
        <v>46279.348611111112</v>
      </c>
      <c r="BE83" s="51">
        <v>46279.423611111109</v>
      </c>
      <c r="BF83" s="51">
        <v>46279.51666666667</v>
      </c>
      <c r="BG83" s="51">
        <v>46279.51666666667</v>
      </c>
      <c r="BH83" s="51">
        <v>46279.548611111109</v>
      </c>
      <c r="BI83" s="30" t="s">
        <v>65</v>
      </c>
      <c r="BJ83" s="50">
        <v>46279.791666666664</v>
      </c>
      <c r="BK83" s="50">
        <v>46279.752083333333</v>
      </c>
      <c r="BL83" s="50">
        <v>46279.753472222219</v>
      </c>
      <c r="BM83" s="50">
        <v>46279.753472222219</v>
      </c>
      <c r="BN83" s="50">
        <v>46279.76458333333</v>
      </c>
      <c r="BP83" s="30" t="s">
        <v>372</v>
      </c>
      <c r="BQ83" s="30">
        <v>46279.791666666664</v>
      </c>
      <c r="BR83"/>
      <c r="BS83"/>
      <c r="BT83"/>
      <c r="BU83"/>
      <c r="BV83"/>
      <c r="BW83"/>
      <c r="BX83"/>
      <c r="BY83"/>
    </row>
    <row r="84" spans="1:77">
      <c r="A84" t="s">
        <v>168</v>
      </c>
      <c r="B84" s="30">
        <v>38</v>
      </c>
      <c r="C84" s="30">
        <v>37</v>
      </c>
      <c r="D84" s="30" t="s">
        <v>360</v>
      </c>
      <c r="E84" s="30" t="s">
        <v>170</v>
      </c>
      <c r="F84" s="48">
        <v>46278</v>
      </c>
      <c r="G84" s="48">
        <v>46279</v>
      </c>
      <c r="H84" s="49">
        <v>0.41666666666666669</v>
      </c>
      <c r="I84" s="49">
        <v>0.33333333333333331</v>
      </c>
      <c r="J84" s="30" t="s">
        <v>361</v>
      </c>
      <c r="K84" s="30" t="s">
        <v>171</v>
      </c>
      <c r="L84" s="30">
        <v>1</v>
      </c>
      <c r="M84" s="30" t="s">
        <v>2332</v>
      </c>
      <c r="P84" s="30" t="s">
        <v>174</v>
      </c>
      <c r="Q84" s="30" t="s">
        <v>363</v>
      </c>
      <c r="R84" s="30" t="s">
        <v>431</v>
      </c>
      <c r="S84" s="30" t="s">
        <v>623</v>
      </c>
      <c r="T84" s="30" t="s">
        <v>2333</v>
      </c>
      <c r="U84" s="30" t="s">
        <v>2334</v>
      </c>
      <c r="V84" s="30">
        <v>816156</v>
      </c>
      <c r="W84" s="30" t="s">
        <v>2335</v>
      </c>
      <c r="X84" s="30" t="s">
        <v>179</v>
      </c>
      <c r="Y84" t="s">
        <v>180</v>
      </c>
      <c r="Z84" s="30" t="s">
        <v>1862</v>
      </c>
      <c r="AA84" s="30" t="s">
        <v>181</v>
      </c>
      <c r="AB84" s="30" t="s">
        <v>1814</v>
      </c>
      <c r="AC84" s="30" t="s">
        <v>56</v>
      </c>
      <c r="AD84" s="30" t="s">
        <v>368</v>
      </c>
      <c r="AE84" s="30">
        <v>20525373551</v>
      </c>
      <c r="AF84" s="30" t="s">
        <v>2336</v>
      </c>
      <c r="AG84" s="30" t="s">
        <v>2337</v>
      </c>
      <c r="AH84" s="30" t="s">
        <v>185</v>
      </c>
      <c r="AI84" s="30" t="s">
        <v>2338</v>
      </c>
      <c r="AJ84" s="30" t="s">
        <v>2339</v>
      </c>
      <c r="AK84" s="30">
        <v>922425697</v>
      </c>
      <c r="AL84" s="30" t="s">
        <v>1809</v>
      </c>
      <c r="AM84" t="s">
        <v>270</v>
      </c>
      <c r="AN84" s="30" t="s">
        <v>270</v>
      </c>
      <c r="AO84" s="30" t="s">
        <v>1809</v>
      </c>
      <c r="AP84" s="30" t="s">
        <v>1809</v>
      </c>
      <c r="AQ84" s="30" t="s">
        <v>1809</v>
      </c>
      <c r="AR84" s="30" t="s">
        <v>1809</v>
      </c>
      <c r="AS84" s="30" t="s">
        <v>63</v>
      </c>
      <c r="AT84" s="30" t="s">
        <v>64</v>
      </c>
      <c r="AU84" s="50">
        <v>46278.375</v>
      </c>
      <c r="AV84" s="50">
        <v>46278.388888888891</v>
      </c>
      <c r="AW84" s="50">
        <v>46278.390972222223</v>
      </c>
      <c r="AX84" s="50">
        <v>46278.427083333336</v>
      </c>
      <c r="AY84" s="50">
        <v>46278.484027777777</v>
      </c>
      <c r="AZ84" s="50">
        <v>46278.772222222222</v>
      </c>
      <c r="BA84" s="51">
        <v>46278.954861111109</v>
      </c>
      <c r="BB84" s="51">
        <v>46279.333333333336</v>
      </c>
      <c r="BC84" s="50">
        <v>46279.344444444447</v>
      </c>
      <c r="BD84" s="50">
        <v>46279.361111111109</v>
      </c>
      <c r="BE84" s="51">
        <v>46279.420138888891</v>
      </c>
      <c r="BF84" s="51">
        <v>46279.480555555558</v>
      </c>
      <c r="BG84" s="51">
        <v>46279.517361111109</v>
      </c>
      <c r="BH84" s="51">
        <v>46279.561111111114</v>
      </c>
      <c r="BI84" s="30" t="s">
        <v>65</v>
      </c>
      <c r="BJ84" s="50">
        <v>46279.791666666664</v>
      </c>
      <c r="BK84" s="50">
        <v>46279.76458333333</v>
      </c>
      <c r="BL84" s="50">
        <v>46279.765972222223</v>
      </c>
      <c r="BM84" s="50">
        <v>46279.765972222223</v>
      </c>
      <c r="BN84" s="50">
        <v>46279.779166666667</v>
      </c>
      <c r="BP84" s="30" t="s">
        <v>372</v>
      </c>
      <c r="BQ84" s="30">
        <v>46279.791666666664</v>
      </c>
      <c r="BR84"/>
      <c r="BS84"/>
      <c r="BT84"/>
      <c r="BU84"/>
      <c r="BV84"/>
      <c r="BW84"/>
      <c r="BX84"/>
      <c r="BY84"/>
    </row>
    <row r="85" spans="1:77">
      <c r="A85" t="s">
        <v>168</v>
      </c>
      <c r="B85" s="30">
        <v>39</v>
      </c>
      <c r="C85" s="30">
        <v>37</v>
      </c>
      <c r="D85" s="30" t="s">
        <v>360</v>
      </c>
      <c r="E85" s="30" t="s">
        <v>170</v>
      </c>
      <c r="F85" s="48">
        <v>46278</v>
      </c>
      <c r="G85" s="48">
        <v>46279</v>
      </c>
      <c r="H85" s="49">
        <v>0.5</v>
      </c>
      <c r="I85" s="49">
        <v>0.41666666666666669</v>
      </c>
      <c r="J85" s="30" t="s">
        <v>361</v>
      </c>
      <c r="K85" s="30" t="s">
        <v>171</v>
      </c>
      <c r="L85" s="30">
        <v>1</v>
      </c>
      <c r="M85" s="30" t="s">
        <v>2340</v>
      </c>
      <c r="P85" s="30" t="s">
        <v>174</v>
      </c>
      <c r="Q85" s="30" t="s">
        <v>363</v>
      </c>
      <c r="R85" s="30" t="s">
        <v>431</v>
      </c>
      <c r="S85" s="30" t="s">
        <v>623</v>
      </c>
      <c r="T85" s="30" t="s">
        <v>2341</v>
      </c>
      <c r="U85" s="30" t="s">
        <v>2342</v>
      </c>
      <c r="V85" s="30">
        <v>816293</v>
      </c>
      <c r="W85" s="30" t="s">
        <v>2343</v>
      </c>
      <c r="X85" s="30" t="s">
        <v>179</v>
      </c>
      <c r="Y85" t="s">
        <v>180</v>
      </c>
      <c r="Z85" s="30" t="s">
        <v>1862</v>
      </c>
      <c r="AA85" s="30" t="s">
        <v>181</v>
      </c>
      <c r="AB85" s="30" t="s">
        <v>1814</v>
      </c>
      <c r="AC85" s="30" t="s">
        <v>56</v>
      </c>
      <c r="AD85" s="30" t="s">
        <v>368</v>
      </c>
      <c r="AE85" s="30">
        <v>20525373551</v>
      </c>
      <c r="AF85" s="30" t="s">
        <v>411</v>
      </c>
      <c r="AG85" s="30" t="s">
        <v>412</v>
      </c>
      <c r="AH85" s="30" t="s">
        <v>185</v>
      </c>
      <c r="AI85" s="30" t="s">
        <v>413</v>
      </c>
      <c r="AJ85" s="30" t="s">
        <v>414</v>
      </c>
      <c r="AK85" s="30">
        <v>996830815</v>
      </c>
      <c r="AL85" s="30" t="s">
        <v>1809</v>
      </c>
      <c r="AM85" t="s">
        <v>270</v>
      </c>
      <c r="AN85" s="30" t="s">
        <v>270</v>
      </c>
      <c r="AO85" s="30" t="s">
        <v>1809</v>
      </c>
      <c r="AP85" s="30" t="s">
        <v>1809</v>
      </c>
      <c r="AQ85" s="30" t="s">
        <v>1809</v>
      </c>
      <c r="AR85" s="30" t="s">
        <v>1809</v>
      </c>
      <c r="AS85" s="30" t="s">
        <v>63</v>
      </c>
      <c r="AT85" s="30" t="s">
        <v>64</v>
      </c>
      <c r="AU85" s="50">
        <v>46278.833333333336</v>
      </c>
      <c r="AV85" s="50">
        <v>46278.840277777781</v>
      </c>
      <c r="AW85" s="50">
        <v>46278.854166666664</v>
      </c>
      <c r="AX85" s="50">
        <v>46278.854166666664</v>
      </c>
      <c r="AY85" s="50">
        <v>46278.940972222219</v>
      </c>
      <c r="AZ85" s="50">
        <v>46279.166666666664</v>
      </c>
      <c r="BA85" s="51">
        <v>46279.399305555555</v>
      </c>
      <c r="BB85" s="51">
        <v>46279.402777777781</v>
      </c>
      <c r="BC85" s="50">
        <v>46279.405555555553</v>
      </c>
      <c r="BD85" s="50">
        <v>46279.427083333336</v>
      </c>
      <c r="BE85" s="51">
        <v>46279.55</v>
      </c>
      <c r="BF85" s="51">
        <v>46279.606249999997</v>
      </c>
      <c r="BG85" s="51">
        <v>46279.59375</v>
      </c>
      <c r="BH85" s="51">
        <v>46279.630555555559</v>
      </c>
      <c r="BI85" s="30" t="s">
        <v>65</v>
      </c>
      <c r="BJ85" s="50">
        <v>46279.875</v>
      </c>
      <c r="BK85" s="50">
        <v>46279.857638888891</v>
      </c>
      <c r="BL85" s="50">
        <v>46279.865277777775</v>
      </c>
      <c r="BM85" s="50">
        <v>46279.895833333336</v>
      </c>
      <c r="BN85" s="50">
        <v>46279.90347222222</v>
      </c>
      <c r="BP85" s="30" t="s">
        <v>372</v>
      </c>
      <c r="BQ85" s="30">
        <v>46279.875</v>
      </c>
      <c r="BR85"/>
      <c r="BS85"/>
      <c r="BT85"/>
      <c r="BU85"/>
      <c r="BV85"/>
      <c r="BW85"/>
      <c r="BX85"/>
      <c r="BY85"/>
    </row>
    <row r="86" spans="1:77">
      <c r="A86" t="s">
        <v>168</v>
      </c>
      <c r="B86" s="30">
        <v>40</v>
      </c>
      <c r="C86" s="30">
        <v>37</v>
      </c>
      <c r="D86" s="30" t="s">
        <v>360</v>
      </c>
      <c r="E86" s="30" t="s">
        <v>170</v>
      </c>
      <c r="F86" s="48">
        <v>46279</v>
      </c>
      <c r="G86" s="48">
        <v>46280</v>
      </c>
      <c r="H86" s="49">
        <v>0.41666666666666669</v>
      </c>
      <c r="I86" s="49">
        <v>0.33333333333333331</v>
      </c>
      <c r="J86" s="30" t="s">
        <v>361</v>
      </c>
      <c r="K86" s="30" t="s">
        <v>171</v>
      </c>
      <c r="L86" s="30">
        <v>1</v>
      </c>
      <c r="M86" s="30" t="s">
        <v>2344</v>
      </c>
      <c r="P86" s="30" t="s">
        <v>174</v>
      </c>
      <c r="Q86" s="30" t="s">
        <v>363</v>
      </c>
      <c r="R86" s="30" t="s">
        <v>175</v>
      </c>
      <c r="S86" s="30" t="s">
        <v>176</v>
      </c>
      <c r="T86" s="30" t="s">
        <v>2345</v>
      </c>
      <c r="U86" s="30" t="s">
        <v>2346</v>
      </c>
      <c r="V86" s="30">
        <v>816376</v>
      </c>
      <c r="W86" s="30" t="s">
        <v>2347</v>
      </c>
      <c r="X86" s="30" t="s">
        <v>179</v>
      </c>
      <c r="Y86" t="s">
        <v>180</v>
      </c>
      <c r="Z86" s="30" t="s">
        <v>1862</v>
      </c>
      <c r="AA86" s="30" t="s">
        <v>181</v>
      </c>
      <c r="AB86" s="30" t="s">
        <v>1814</v>
      </c>
      <c r="AC86" s="30" t="s">
        <v>56</v>
      </c>
      <c r="AD86" s="30" t="s">
        <v>368</v>
      </c>
      <c r="AE86" s="30">
        <v>20525373551</v>
      </c>
      <c r="AF86" s="30" t="s">
        <v>2348</v>
      </c>
      <c r="AG86" s="30" t="s">
        <v>425</v>
      </c>
      <c r="AH86" s="30" t="s">
        <v>185</v>
      </c>
      <c r="AI86" s="30" t="s">
        <v>449</v>
      </c>
      <c r="AJ86" s="30" t="s">
        <v>450</v>
      </c>
      <c r="AK86" s="30">
        <v>961580382</v>
      </c>
      <c r="AL86" s="30" t="s">
        <v>1809</v>
      </c>
      <c r="AM86" t="s">
        <v>270</v>
      </c>
      <c r="AN86" s="30" t="s">
        <v>270</v>
      </c>
      <c r="AO86" s="30" t="s">
        <v>1809</v>
      </c>
      <c r="AP86" s="30" t="s">
        <v>1809</v>
      </c>
      <c r="AQ86" s="30" t="s">
        <v>1809</v>
      </c>
      <c r="AR86" s="30" t="s">
        <v>1809</v>
      </c>
      <c r="AS86" s="30" t="s">
        <v>63</v>
      </c>
      <c r="AT86" s="30" t="s">
        <v>64</v>
      </c>
      <c r="AU86" s="50">
        <v>46279.375</v>
      </c>
      <c r="AV86" s="50">
        <v>46279.373611111114</v>
      </c>
      <c r="AW86" s="50">
        <v>46279.385416666664</v>
      </c>
      <c r="AX86" s="50">
        <v>46279.390277777777</v>
      </c>
      <c r="AY86" s="50">
        <v>46279.441666666666</v>
      </c>
      <c r="AZ86" s="50">
        <v>46280.069444444445</v>
      </c>
      <c r="BA86" s="51">
        <v>46280.261805555558</v>
      </c>
      <c r="BB86" s="51">
        <v>46280.334027777775</v>
      </c>
      <c r="BC86" s="50">
        <v>46280.34097222222</v>
      </c>
      <c r="BD86" s="50">
        <v>46280.402083333334</v>
      </c>
      <c r="BE86" s="51">
        <v>46280.464583333334</v>
      </c>
      <c r="BF86" s="51">
        <v>46280.472916666666</v>
      </c>
      <c r="BG86" s="51">
        <v>46280.487500000003</v>
      </c>
      <c r="BH86" s="51">
        <v>46280.51666666667</v>
      </c>
      <c r="BI86" s="30" t="s">
        <v>65</v>
      </c>
      <c r="BJ86" s="50">
        <v>46280.791666666664</v>
      </c>
      <c r="BK86" s="50">
        <v>46280.740277777775</v>
      </c>
      <c r="BL86" s="50">
        <v>46280.742361111108</v>
      </c>
      <c r="BM86" s="50">
        <v>46280.74722222222</v>
      </c>
      <c r="BN86" s="50">
        <v>46280.756944444445</v>
      </c>
      <c r="BP86" s="30" t="s">
        <v>372</v>
      </c>
      <c r="BQ86" s="30">
        <v>46280.791666666664</v>
      </c>
      <c r="BR86"/>
      <c r="BS86"/>
      <c r="BT86"/>
      <c r="BU86"/>
      <c r="BV86"/>
      <c r="BW86"/>
      <c r="BX86"/>
      <c r="BY86"/>
    </row>
    <row r="87" spans="1:77">
      <c r="A87" t="s">
        <v>168</v>
      </c>
      <c r="B87" s="30">
        <v>41</v>
      </c>
      <c r="C87" s="30">
        <v>38</v>
      </c>
      <c r="D87" s="30" t="s">
        <v>360</v>
      </c>
      <c r="E87" s="30" t="s">
        <v>170</v>
      </c>
      <c r="F87" s="48">
        <v>46280</v>
      </c>
      <c r="G87" s="48">
        <v>46281</v>
      </c>
      <c r="H87" s="49">
        <v>0.58333333333333337</v>
      </c>
      <c r="I87" s="49">
        <v>0.5</v>
      </c>
      <c r="J87" s="30" t="s">
        <v>361</v>
      </c>
      <c r="K87" s="30" t="s">
        <v>171</v>
      </c>
      <c r="L87" s="30">
        <v>1</v>
      </c>
      <c r="M87" s="30" t="s">
        <v>2349</v>
      </c>
      <c r="P87" s="30" t="s">
        <v>174</v>
      </c>
      <c r="Q87" s="30" t="s">
        <v>363</v>
      </c>
      <c r="R87" s="30" t="s">
        <v>175</v>
      </c>
      <c r="S87" s="30" t="s">
        <v>452</v>
      </c>
      <c r="T87" s="30" t="s">
        <v>2350</v>
      </c>
      <c r="U87" s="30" t="s">
        <v>2351</v>
      </c>
      <c r="V87" s="30">
        <v>816865</v>
      </c>
      <c r="W87" s="30" t="s">
        <v>2352</v>
      </c>
      <c r="X87" s="30" t="s">
        <v>179</v>
      </c>
      <c r="Y87" t="s">
        <v>180</v>
      </c>
      <c r="Z87" s="30" t="s">
        <v>1862</v>
      </c>
      <c r="AA87" s="30" t="s">
        <v>181</v>
      </c>
      <c r="AB87" s="30" t="s">
        <v>1814</v>
      </c>
      <c r="AC87" s="30" t="s">
        <v>56</v>
      </c>
      <c r="AD87" s="30" t="s">
        <v>368</v>
      </c>
      <c r="AE87" s="30">
        <v>20525373551</v>
      </c>
      <c r="AF87" s="30" t="s">
        <v>456</v>
      </c>
      <c r="AG87" s="30" t="s">
        <v>457</v>
      </c>
      <c r="AH87" s="30" t="s">
        <v>185</v>
      </c>
      <c r="AI87" s="30" t="s">
        <v>2353</v>
      </c>
      <c r="AJ87" s="30" t="s">
        <v>1792</v>
      </c>
      <c r="AK87" s="30">
        <v>945247441</v>
      </c>
      <c r="AL87" s="30" t="s">
        <v>1809</v>
      </c>
      <c r="AM87" t="s">
        <v>270</v>
      </c>
      <c r="AN87" s="30" t="s">
        <v>270</v>
      </c>
      <c r="AO87" s="30" t="s">
        <v>1809</v>
      </c>
      <c r="AP87" s="30" t="s">
        <v>1809</v>
      </c>
      <c r="AQ87" s="30" t="s">
        <v>1809</v>
      </c>
      <c r="AR87" s="30" t="s">
        <v>1809</v>
      </c>
      <c r="AS87" s="30" t="s">
        <v>63</v>
      </c>
      <c r="AT87" s="30" t="s">
        <v>64</v>
      </c>
      <c r="AU87" s="50">
        <v>46280.75</v>
      </c>
      <c r="AV87" s="50">
        <v>46280.736111111109</v>
      </c>
      <c r="AW87" s="50">
        <v>46280.747916666667</v>
      </c>
      <c r="AX87" s="50">
        <v>46280.759722222225</v>
      </c>
      <c r="AY87" s="50">
        <v>46280.790972222225</v>
      </c>
      <c r="AZ87" s="50">
        <v>46281.09375</v>
      </c>
      <c r="BA87" s="51">
        <v>46281.290972222225</v>
      </c>
      <c r="BB87" s="51">
        <v>46281.295138888891</v>
      </c>
      <c r="BC87" s="50">
        <v>46281.344444444447</v>
      </c>
      <c r="BD87" s="50">
        <v>46281.350694444445</v>
      </c>
      <c r="BE87" s="51">
        <v>46281.540277777778</v>
      </c>
      <c r="BF87" s="51">
        <v>46281.571527777778</v>
      </c>
      <c r="BG87" s="51">
        <v>46281.62222222222</v>
      </c>
      <c r="BH87" s="51">
        <v>46281.684027777781</v>
      </c>
      <c r="BI87" s="30" t="s">
        <v>65</v>
      </c>
      <c r="BJ87" s="50">
        <v>46281.958333333336</v>
      </c>
      <c r="BK87" s="50">
        <v>46281.939583333333</v>
      </c>
      <c r="BL87" s="50">
        <v>46281.945833333331</v>
      </c>
      <c r="BM87" s="50">
        <v>46281.947916666664</v>
      </c>
      <c r="BN87" s="50">
        <v>46281.952777777777</v>
      </c>
      <c r="BP87" s="30" t="s">
        <v>372</v>
      </c>
      <c r="BQ87" s="30">
        <v>46281.958333333336</v>
      </c>
      <c r="BR87"/>
      <c r="BS87"/>
      <c r="BT87"/>
      <c r="BU87"/>
      <c r="BV87"/>
      <c r="BW87"/>
      <c r="BX87"/>
      <c r="BY87"/>
    </row>
    <row r="88" spans="1:77">
      <c r="A88" t="s">
        <v>168</v>
      </c>
      <c r="B88" s="30">
        <v>42</v>
      </c>
      <c r="C88" s="30">
        <v>38</v>
      </c>
      <c r="D88" s="30" t="s">
        <v>360</v>
      </c>
      <c r="E88" s="30" t="s">
        <v>170</v>
      </c>
      <c r="F88" s="48">
        <v>46281</v>
      </c>
      <c r="G88" s="48">
        <v>46282</v>
      </c>
      <c r="H88" s="49">
        <v>0.58333333333333337</v>
      </c>
      <c r="I88" s="49">
        <v>0.5</v>
      </c>
      <c r="J88" s="30" t="s">
        <v>361</v>
      </c>
      <c r="K88" s="30" t="s">
        <v>171</v>
      </c>
      <c r="L88" s="30">
        <v>1</v>
      </c>
      <c r="M88" s="30" t="s">
        <v>2354</v>
      </c>
      <c r="P88" s="30" t="s">
        <v>174</v>
      </c>
      <c r="Q88" s="30" t="s">
        <v>363</v>
      </c>
      <c r="R88" s="30" t="s">
        <v>374</v>
      </c>
      <c r="S88" s="30" t="s">
        <v>375</v>
      </c>
      <c r="T88" s="30" t="s">
        <v>2355</v>
      </c>
      <c r="U88" s="30" t="s">
        <v>2356</v>
      </c>
      <c r="V88" s="30">
        <v>8009</v>
      </c>
      <c r="W88" s="30" t="s">
        <v>2357</v>
      </c>
      <c r="X88" s="30" t="s">
        <v>180</v>
      </c>
      <c r="Y88" t="s">
        <v>180</v>
      </c>
      <c r="Z88" s="30" t="s">
        <v>1862</v>
      </c>
      <c r="AA88" s="30" t="s">
        <v>181</v>
      </c>
      <c r="AB88" s="30" t="s">
        <v>1814</v>
      </c>
      <c r="AC88" s="30" t="s">
        <v>56</v>
      </c>
      <c r="AD88" s="30" t="s">
        <v>368</v>
      </c>
      <c r="AE88" s="30">
        <v>20525373551</v>
      </c>
      <c r="AF88" s="30" t="s">
        <v>2358</v>
      </c>
      <c r="AG88" s="30" t="s">
        <v>2359</v>
      </c>
      <c r="AH88" s="30" t="s">
        <v>185</v>
      </c>
      <c r="AI88" s="30" t="s">
        <v>2360</v>
      </c>
      <c r="AJ88" s="30" t="s">
        <v>2361</v>
      </c>
      <c r="AK88" s="30">
        <v>948099235</v>
      </c>
      <c r="AL88" s="30" t="s">
        <v>1809</v>
      </c>
      <c r="AM88" t="s">
        <v>270</v>
      </c>
      <c r="AN88" s="30" t="s">
        <v>270</v>
      </c>
      <c r="AO88" s="30" t="s">
        <v>1809</v>
      </c>
      <c r="AP88" s="30" t="s">
        <v>1809</v>
      </c>
      <c r="AQ88" s="30" t="s">
        <v>1809</v>
      </c>
      <c r="AR88" s="30" t="s">
        <v>1809</v>
      </c>
      <c r="AS88" s="30" t="s">
        <v>63</v>
      </c>
      <c r="AT88" s="30" t="s">
        <v>380</v>
      </c>
      <c r="AU88" s="50">
        <v>46281.875</v>
      </c>
      <c r="AV88" s="50">
        <v>46281.844444444447</v>
      </c>
      <c r="AW88" s="50">
        <v>46281.856944444444</v>
      </c>
      <c r="AX88" s="50">
        <v>46281.862500000003</v>
      </c>
      <c r="AY88" s="50">
        <v>46281.943749999999</v>
      </c>
      <c r="AZ88" s="50">
        <v>46282.265277777777</v>
      </c>
      <c r="BA88" s="51">
        <v>46282.455555555556</v>
      </c>
      <c r="BB88" s="51">
        <v>46282.459722222222</v>
      </c>
      <c r="BC88" s="50">
        <v>46282.463194444441</v>
      </c>
      <c r="BD88" s="50">
        <v>46282.481944444444</v>
      </c>
      <c r="BE88" s="51">
        <v>46282.655555555553</v>
      </c>
      <c r="BF88" s="51">
        <v>46282.65347222222</v>
      </c>
      <c r="BG88" s="51">
        <v>46282.665972222225</v>
      </c>
      <c r="BH88" s="51">
        <v>46282.710416666669</v>
      </c>
      <c r="BI88" s="30" t="s">
        <v>65</v>
      </c>
      <c r="BJ88" s="50">
        <v>46283.083333333336</v>
      </c>
      <c r="BK88" s="50">
        <v>46283.039583333331</v>
      </c>
      <c r="BL88" s="50">
        <v>46283.039583333331</v>
      </c>
      <c r="BM88" s="50">
        <v>46283.048611111109</v>
      </c>
      <c r="BN88" s="50">
        <v>46283.052083333336</v>
      </c>
      <c r="BP88" s="30" t="s">
        <v>372</v>
      </c>
      <c r="BQ88" s="30">
        <v>46283.083333333336</v>
      </c>
      <c r="BR88"/>
      <c r="BS88"/>
      <c r="BT88"/>
      <c r="BU88"/>
      <c r="BV88"/>
      <c r="BW88"/>
      <c r="BX88"/>
      <c r="BY88"/>
    </row>
    <row r="89" spans="1:77">
      <c r="A89" t="s">
        <v>168</v>
      </c>
      <c r="B89" s="30">
        <v>43</v>
      </c>
      <c r="C89" s="30">
        <v>38</v>
      </c>
      <c r="D89" s="30" t="s">
        <v>360</v>
      </c>
      <c r="E89" s="30" t="s">
        <v>170</v>
      </c>
      <c r="F89" s="48">
        <v>46282</v>
      </c>
      <c r="G89" s="48">
        <v>46283</v>
      </c>
      <c r="H89" s="49">
        <v>0.41666666666666669</v>
      </c>
      <c r="I89" s="49">
        <v>0.33333333333333331</v>
      </c>
      <c r="J89" s="30" t="s">
        <v>361</v>
      </c>
      <c r="K89" s="30" t="s">
        <v>171</v>
      </c>
      <c r="L89" s="30">
        <v>1</v>
      </c>
      <c r="M89" s="30" t="s">
        <v>2362</v>
      </c>
      <c r="P89" s="30" t="s">
        <v>174</v>
      </c>
      <c r="Q89" s="30" t="s">
        <v>363</v>
      </c>
      <c r="R89" s="30" t="s">
        <v>374</v>
      </c>
      <c r="S89" s="30" t="s">
        <v>375</v>
      </c>
      <c r="T89" s="30" t="s">
        <v>2363</v>
      </c>
      <c r="U89" s="30" t="s">
        <v>2364</v>
      </c>
      <c r="V89" s="30">
        <v>8130</v>
      </c>
      <c r="W89" s="30" t="s">
        <v>2365</v>
      </c>
      <c r="X89" s="30" t="s">
        <v>180</v>
      </c>
      <c r="Y89" t="s">
        <v>180</v>
      </c>
      <c r="Z89" s="30" t="s">
        <v>1862</v>
      </c>
      <c r="AA89" s="30" t="s">
        <v>181</v>
      </c>
      <c r="AB89" s="30" t="s">
        <v>1814</v>
      </c>
      <c r="AC89" s="30" t="s">
        <v>56</v>
      </c>
      <c r="AD89" s="30" t="s">
        <v>368</v>
      </c>
      <c r="AE89" s="30">
        <v>20525373551</v>
      </c>
      <c r="AF89" s="30" t="s">
        <v>369</v>
      </c>
      <c r="AG89" s="30" t="s">
        <v>1790</v>
      </c>
      <c r="AH89" s="30" t="s">
        <v>185</v>
      </c>
      <c r="AI89" s="30" t="s">
        <v>370</v>
      </c>
      <c r="AJ89" s="30" t="s">
        <v>371</v>
      </c>
      <c r="AK89" s="30">
        <v>998231122</v>
      </c>
      <c r="AL89" s="30" t="s">
        <v>1809</v>
      </c>
      <c r="AM89" t="s">
        <v>270</v>
      </c>
      <c r="AN89" s="30" t="s">
        <v>270</v>
      </c>
      <c r="AO89" s="30" t="s">
        <v>1809</v>
      </c>
      <c r="AP89" s="30" t="s">
        <v>1809</v>
      </c>
      <c r="AQ89" s="30" t="s">
        <v>1809</v>
      </c>
      <c r="AR89" s="30" t="s">
        <v>1809</v>
      </c>
      <c r="AS89" s="30" t="s">
        <v>63</v>
      </c>
      <c r="AT89" s="30" t="s">
        <v>380</v>
      </c>
      <c r="AU89" s="50">
        <v>46282.875</v>
      </c>
      <c r="AV89" s="50">
        <v>46282.868750000001</v>
      </c>
      <c r="AW89" s="50">
        <v>46282.875694444447</v>
      </c>
      <c r="AX89" s="50">
        <v>46282.880555555559</v>
      </c>
      <c r="AY89" s="50">
        <v>46282.942361111112</v>
      </c>
      <c r="AZ89" s="50">
        <v>46283.180555555555</v>
      </c>
      <c r="BA89" s="51">
        <v>46283.361111111109</v>
      </c>
      <c r="BB89" s="51">
        <v>46283.364583333336</v>
      </c>
      <c r="BC89" s="50">
        <v>46283.402777777781</v>
      </c>
      <c r="BD89" s="50">
        <v>46283.414583333331</v>
      </c>
      <c r="BE89" s="51">
        <v>46283.481249999997</v>
      </c>
      <c r="BF89" s="51">
        <v>46283.486111111109</v>
      </c>
      <c r="BG89" s="51">
        <v>46283.495833333334</v>
      </c>
      <c r="BH89" s="51">
        <v>46283.544444444444</v>
      </c>
      <c r="BI89" s="30" t="s">
        <v>65</v>
      </c>
      <c r="BJ89" s="50">
        <v>46283.791666666664</v>
      </c>
      <c r="BK89" s="50">
        <v>46283.745833333334</v>
      </c>
      <c r="BL89" s="50">
        <v>46283.745833333334</v>
      </c>
      <c r="BM89" s="50">
        <v>46283.74722222222</v>
      </c>
      <c r="BN89" s="50">
        <v>46283.754861111112</v>
      </c>
      <c r="BP89" s="30" t="s">
        <v>372</v>
      </c>
      <c r="BQ89" s="30">
        <v>46283.791666666664</v>
      </c>
      <c r="BR89"/>
      <c r="BS89"/>
      <c r="BT89"/>
      <c r="BU89"/>
      <c r="BV89"/>
      <c r="BW89"/>
      <c r="BX89"/>
      <c r="BY89"/>
    </row>
    <row r="90" spans="1:77">
      <c r="A90" t="s">
        <v>168</v>
      </c>
      <c r="B90" s="30">
        <v>44</v>
      </c>
      <c r="C90" s="30">
        <v>38</v>
      </c>
      <c r="D90" s="30" t="s">
        <v>360</v>
      </c>
      <c r="E90" s="30" t="s">
        <v>170</v>
      </c>
      <c r="F90" s="48">
        <v>46282</v>
      </c>
      <c r="G90" s="48">
        <v>46283</v>
      </c>
      <c r="H90" s="49">
        <v>0.41666666666666669</v>
      </c>
      <c r="I90" s="49">
        <v>0.33333333333333331</v>
      </c>
      <c r="J90" s="30" t="s">
        <v>361</v>
      </c>
      <c r="K90" s="30" t="s">
        <v>171</v>
      </c>
      <c r="L90" s="30">
        <v>1</v>
      </c>
      <c r="M90" s="30" t="s">
        <v>2366</v>
      </c>
      <c r="P90" s="30" t="s">
        <v>174</v>
      </c>
      <c r="Q90" s="30" t="s">
        <v>363</v>
      </c>
      <c r="R90" s="30" t="s">
        <v>374</v>
      </c>
      <c r="S90" s="30" t="s">
        <v>375</v>
      </c>
      <c r="T90" s="30" t="s">
        <v>2367</v>
      </c>
      <c r="U90" s="30" t="s">
        <v>2368</v>
      </c>
      <c r="V90" s="30">
        <v>8131</v>
      </c>
      <c r="W90" s="30" t="s">
        <v>2369</v>
      </c>
      <c r="X90" s="30" t="s">
        <v>180</v>
      </c>
      <c r="Y90" t="s">
        <v>180</v>
      </c>
      <c r="Z90" s="30" t="s">
        <v>1862</v>
      </c>
      <c r="AA90" s="30" t="s">
        <v>181</v>
      </c>
      <c r="AB90" s="30" t="s">
        <v>1814</v>
      </c>
      <c r="AC90" s="30" t="s">
        <v>56</v>
      </c>
      <c r="AD90" s="30" t="s">
        <v>368</v>
      </c>
      <c r="AE90" s="30">
        <v>20525373551</v>
      </c>
      <c r="AF90" s="30" t="s">
        <v>2074</v>
      </c>
      <c r="AG90" s="30" t="s">
        <v>2075</v>
      </c>
      <c r="AH90" s="30" t="s">
        <v>185</v>
      </c>
      <c r="AI90" s="30" t="s">
        <v>2076</v>
      </c>
      <c r="AJ90" s="30" t="s">
        <v>2077</v>
      </c>
      <c r="AK90" s="30">
        <v>981486067</v>
      </c>
      <c r="AL90" s="30" t="s">
        <v>1809</v>
      </c>
      <c r="AM90" t="s">
        <v>270</v>
      </c>
      <c r="AN90" s="30" t="s">
        <v>270</v>
      </c>
      <c r="AO90" s="30" t="s">
        <v>1809</v>
      </c>
      <c r="AP90" s="30" t="s">
        <v>1809</v>
      </c>
      <c r="AQ90" s="30" t="s">
        <v>1809</v>
      </c>
      <c r="AR90" s="30" t="s">
        <v>1809</v>
      </c>
      <c r="AS90" s="30" t="s">
        <v>63</v>
      </c>
      <c r="AT90" s="30" t="s">
        <v>380</v>
      </c>
      <c r="AU90" s="50">
        <v>46282.875</v>
      </c>
      <c r="AV90" s="50">
        <v>46282.877083333333</v>
      </c>
      <c r="AW90" s="50">
        <v>46282.884722222225</v>
      </c>
      <c r="AX90" s="50">
        <v>46282.888888888891</v>
      </c>
      <c r="AY90" s="50">
        <v>46282.945138888892</v>
      </c>
      <c r="AZ90" s="50">
        <v>46283.134027777778</v>
      </c>
      <c r="BA90" s="51">
        <v>46283.303472222222</v>
      </c>
      <c r="BB90" s="51">
        <v>46283.309027777781</v>
      </c>
      <c r="BC90" s="50">
        <v>46283.379166666666</v>
      </c>
      <c r="BD90" s="50">
        <v>46283.388888888891</v>
      </c>
      <c r="BE90" s="51">
        <v>46283.466666666667</v>
      </c>
      <c r="BF90" s="51">
        <v>46283.472916666666</v>
      </c>
      <c r="BG90" s="51">
        <v>46283.481249999997</v>
      </c>
      <c r="BH90" s="51">
        <v>46283.53402777778</v>
      </c>
      <c r="BI90" s="30" t="s">
        <v>65</v>
      </c>
      <c r="BJ90" s="50">
        <v>46283.791666666664</v>
      </c>
      <c r="BK90" s="50">
        <v>46283.73333333333</v>
      </c>
      <c r="BL90" s="50">
        <v>46283.73541666667</v>
      </c>
      <c r="BM90" s="50">
        <v>46283.749305555553</v>
      </c>
      <c r="BN90" s="50">
        <v>46283.75277777778</v>
      </c>
      <c r="BP90" s="30" t="s">
        <v>372</v>
      </c>
      <c r="BQ90" s="30">
        <v>46283.791666666664</v>
      </c>
      <c r="BR90"/>
      <c r="BS90"/>
      <c r="BT90"/>
      <c r="BU90"/>
      <c r="BV90"/>
      <c r="BW90"/>
      <c r="BX90"/>
      <c r="BY90"/>
    </row>
    <row r="91" spans="1:77">
      <c r="A91" t="s">
        <v>168</v>
      </c>
      <c r="B91" s="30">
        <v>45</v>
      </c>
      <c r="C91" s="30">
        <v>38</v>
      </c>
      <c r="D91" s="30" t="s">
        <v>360</v>
      </c>
      <c r="E91" s="30" t="s">
        <v>170</v>
      </c>
      <c r="F91" s="48">
        <v>46285</v>
      </c>
      <c r="G91" s="48">
        <v>46286</v>
      </c>
      <c r="H91" s="49">
        <v>0.41666666666666669</v>
      </c>
      <c r="I91" s="49">
        <v>0.33333333333333331</v>
      </c>
      <c r="J91" s="30" t="s">
        <v>361</v>
      </c>
      <c r="K91" s="30" t="s">
        <v>171</v>
      </c>
      <c r="L91" s="30">
        <v>1</v>
      </c>
      <c r="M91" s="30" t="s">
        <v>2370</v>
      </c>
      <c r="P91" s="30" t="s">
        <v>174</v>
      </c>
      <c r="Q91" s="30" t="s">
        <v>363</v>
      </c>
      <c r="R91" s="30" t="s">
        <v>431</v>
      </c>
      <c r="S91" s="30" t="s">
        <v>623</v>
      </c>
      <c r="T91" s="30" t="s">
        <v>2371</v>
      </c>
      <c r="U91" s="30" t="s">
        <v>2372</v>
      </c>
      <c r="V91" s="30">
        <v>818451</v>
      </c>
      <c r="W91" s="30" t="s">
        <v>2373</v>
      </c>
      <c r="X91" s="30" t="s">
        <v>64</v>
      </c>
      <c r="Y91" t="s">
        <v>180</v>
      </c>
      <c r="Z91" s="30" t="s">
        <v>1862</v>
      </c>
      <c r="AA91" s="30" t="s">
        <v>181</v>
      </c>
      <c r="AB91" s="30" t="s">
        <v>1814</v>
      </c>
      <c r="AC91" s="30" t="s">
        <v>56</v>
      </c>
      <c r="AD91" s="30" t="s">
        <v>368</v>
      </c>
      <c r="AE91" s="30">
        <v>20525373551</v>
      </c>
      <c r="AF91" s="30" t="s">
        <v>463</v>
      </c>
      <c r="AG91" s="30" t="s">
        <v>436</v>
      </c>
      <c r="AH91" s="30" t="s">
        <v>185</v>
      </c>
      <c r="AI91" s="30" t="s">
        <v>437</v>
      </c>
      <c r="AJ91" s="30" t="s">
        <v>438</v>
      </c>
      <c r="AK91" s="30">
        <v>998230850</v>
      </c>
      <c r="AL91" s="30" t="s">
        <v>1809</v>
      </c>
      <c r="AM91" t="s">
        <v>270</v>
      </c>
      <c r="AN91" s="30" t="s">
        <v>270</v>
      </c>
      <c r="AO91" s="30" t="s">
        <v>1809</v>
      </c>
      <c r="AP91" s="30" t="s">
        <v>1809</v>
      </c>
      <c r="AQ91" s="30" t="s">
        <v>1809</v>
      </c>
      <c r="AR91" s="30" t="s">
        <v>1809</v>
      </c>
      <c r="AS91" s="30" t="s">
        <v>63</v>
      </c>
      <c r="AT91" s="30" t="s">
        <v>64</v>
      </c>
      <c r="AU91" s="50">
        <v>46285.833333333336</v>
      </c>
      <c r="AV91" s="50">
        <v>46285.864583333336</v>
      </c>
      <c r="AW91" s="50">
        <v>46285.869444444441</v>
      </c>
      <c r="AX91" s="50">
        <v>46285.888194444444</v>
      </c>
      <c r="AY91" s="50">
        <v>46285.927777777775</v>
      </c>
      <c r="AZ91" s="50">
        <v>46286.133333333331</v>
      </c>
      <c r="BA91" s="51">
        <v>46286.326388888891</v>
      </c>
      <c r="BB91" s="51">
        <v>46286.356249999997</v>
      </c>
      <c r="BC91" s="50">
        <v>46286.364583333336</v>
      </c>
      <c r="BD91" s="50">
        <v>46286.371527777781</v>
      </c>
      <c r="BE91" s="51">
        <v>46286.5</v>
      </c>
      <c r="BF91" s="51">
        <v>46286.513888888891</v>
      </c>
      <c r="BG91" s="51">
        <v>46286.527777777781</v>
      </c>
      <c r="BH91" s="51">
        <v>46286.569444444445</v>
      </c>
      <c r="BI91" s="30" t="s">
        <v>65</v>
      </c>
      <c r="BJ91" s="50">
        <v>46286.833333333336</v>
      </c>
      <c r="BK91" s="50">
        <v>46286.78402777778</v>
      </c>
      <c r="BL91" s="50">
        <v>46286.78402777778</v>
      </c>
      <c r="BM91" s="50">
        <v>46286.791666666664</v>
      </c>
      <c r="BN91" s="50">
        <v>46286.8</v>
      </c>
      <c r="BP91" s="30" t="s">
        <v>372</v>
      </c>
      <c r="BQ91" s="30" t="s">
        <v>2674</v>
      </c>
      <c r="BR91"/>
      <c r="BS91"/>
      <c r="BT91"/>
      <c r="BU91"/>
      <c r="BV91"/>
      <c r="BW91"/>
      <c r="BX91"/>
      <c r="BY91"/>
    </row>
    <row r="92" spans="1:77">
      <c r="A92" t="s">
        <v>168</v>
      </c>
      <c r="B92" s="30">
        <v>46</v>
      </c>
      <c r="C92" s="30">
        <v>38</v>
      </c>
      <c r="D92" s="30" t="s">
        <v>360</v>
      </c>
      <c r="E92" s="30" t="s">
        <v>170</v>
      </c>
      <c r="F92" s="48">
        <v>46285</v>
      </c>
      <c r="G92" s="48">
        <v>46286</v>
      </c>
      <c r="H92" s="49">
        <v>0.41666666666666669</v>
      </c>
      <c r="I92" s="49">
        <v>0.33333333333333331</v>
      </c>
      <c r="J92" s="30" t="s">
        <v>361</v>
      </c>
      <c r="K92" s="30" t="s">
        <v>171</v>
      </c>
      <c r="L92" s="30">
        <v>1</v>
      </c>
      <c r="M92" s="30" t="s">
        <v>2374</v>
      </c>
      <c r="P92" s="30" t="s">
        <v>174</v>
      </c>
      <c r="Q92" s="30" t="s">
        <v>363</v>
      </c>
      <c r="R92" s="30" t="s">
        <v>175</v>
      </c>
      <c r="S92" s="30" t="s">
        <v>176</v>
      </c>
      <c r="T92" s="30" t="s">
        <v>2375</v>
      </c>
      <c r="U92" s="30" t="s">
        <v>2376</v>
      </c>
      <c r="V92" s="30">
        <v>818350</v>
      </c>
      <c r="W92" s="30" t="s">
        <v>2377</v>
      </c>
      <c r="X92" s="30" t="s">
        <v>64</v>
      </c>
      <c r="Y92" t="s">
        <v>180</v>
      </c>
      <c r="Z92" s="30" t="s">
        <v>1862</v>
      </c>
      <c r="AA92" s="30" t="s">
        <v>181</v>
      </c>
      <c r="AB92" s="30" t="s">
        <v>1814</v>
      </c>
      <c r="AC92" s="30" t="s">
        <v>56</v>
      </c>
      <c r="AD92" s="30" t="s">
        <v>368</v>
      </c>
      <c r="AE92" s="30">
        <v>20525373551</v>
      </c>
      <c r="AF92" s="30" t="s">
        <v>393</v>
      </c>
      <c r="AG92" s="30" t="s">
        <v>394</v>
      </c>
      <c r="AH92" s="30" t="s">
        <v>185</v>
      </c>
      <c r="AI92" s="30" t="s">
        <v>395</v>
      </c>
      <c r="AJ92" s="30" t="s">
        <v>396</v>
      </c>
      <c r="AK92" s="30">
        <v>998255542</v>
      </c>
      <c r="AL92" s="30" t="s">
        <v>1809</v>
      </c>
      <c r="AM92" t="s">
        <v>270</v>
      </c>
      <c r="AN92" s="30" t="s">
        <v>270</v>
      </c>
      <c r="AO92" s="30" t="s">
        <v>1809</v>
      </c>
      <c r="AP92" s="30" t="s">
        <v>1809</v>
      </c>
      <c r="AQ92" s="30" t="s">
        <v>1809</v>
      </c>
      <c r="AR92" s="30" t="s">
        <v>1809</v>
      </c>
      <c r="AS92" s="30" t="s">
        <v>63</v>
      </c>
      <c r="AT92" s="30" t="s">
        <v>64</v>
      </c>
      <c r="AU92" s="50">
        <v>46285.333333333336</v>
      </c>
      <c r="AV92" s="50">
        <v>46285.365277777775</v>
      </c>
      <c r="AW92" s="50">
        <v>46285.370138888888</v>
      </c>
      <c r="AX92" s="50">
        <v>46285.375</v>
      </c>
      <c r="AY92" s="50">
        <v>46285.414583333331</v>
      </c>
      <c r="AZ92" s="50">
        <v>46286.126388888886</v>
      </c>
      <c r="BA92" s="51">
        <v>46286.313888888886</v>
      </c>
      <c r="BB92" s="51">
        <v>46286.333333333336</v>
      </c>
      <c r="BC92" s="50">
        <v>46286.34375</v>
      </c>
      <c r="BD92" s="50">
        <v>46286.350694444445</v>
      </c>
      <c r="BE92" s="51">
        <v>46286.458333333336</v>
      </c>
      <c r="BF92" s="51">
        <v>46286.5</v>
      </c>
      <c r="BG92" s="51">
        <v>46286.523611111108</v>
      </c>
      <c r="BH92" s="51">
        <v>46286.582638888889</v>
      </c>
      <c r="BI92" s="30" t="s">
        <v>65</v>
      </c>
      <c r="BJ92" s="50">
        <v>46286.791666666664</v>
      </c>
      <c r="BK92" s="50">
        <v>46286.770833333336</v>
      </c>
      <c r="BL92" s="50">
        <v>46286.776388888888</v>
      </c>
      <c r="BM92" s="50">
        <v>46286.779861111114</v>
      </c>
      <c r="BN92" s="50">
        <v>46286.783333333333</v>
      </c>
      <c r="BP92" s="30" t="s">
        <v>372</v>
      </c>
      <c r="BQ92" s="30" t="s">
        <v>2675</v>
      </c>
      <c r="BR92"/>
      <c r="BS92"/>
      <c r="BT92"/>
      <c r="BU92"/>
      <c r="BV92"/>
      <c r="BW92"/>
      <c r="BX92"/>
      <c r="BY92"/>
    </row>
    <row r="93" spans="1:77">
      <c r="A93" t="s">
        <v>168</v>
      </c>
      <c r="B93" s="30">
        <v>47</v>
      </c>
      <c r="C93" s="30">
        <v>39</v>
      </c>
      <c r="D93" s="30" t="s">
        <v>360</v>
      </c>
      <c r="E93" s="30" t="s">
        <v>170</v>
      </c>
      <c r="F93" s="48">
        <v>46288</v>
      </c>
      <c r="G93" s="48">
        <v>46289</v>
      </c>
      <c r="H93" s="49">
        <v>0.58333333333333337</v>
      </c>
      <c r="I93" s="49">
        <v>0.5</v>
      </c>
      <c r="J93" s="30" t="s">
        <v>361</v>
      </c>
      <c r="K93" s="30" t="s">
        <v>171</v>
      </c>
      <c r="L93" s="30">
        <v>1</v>
      </c>
      <c r="M93" s="30" t="s">
        <v>2689</v>
      </c>
      <c r="P93" s="30" t="s">
        <v>174</v>
      </c>
      <c r="Q93" s="30" t="s">
        <v>363</v>
      </c>
      <c r="R93" s="30" t="s">
        <v>374</v>
      </c>
      <c r="S93" s="30" t="s">
        <v>375</v>
      </c>
      <c r="T93" s="30" t="s">
        <v>2690</v>
      </c>
      <c r="U93" s="30" t="s">
        <v>2691</v>
      </c>
      <c r="V93" s="30">
        <v>8213</v>
      </c>
      <c r="W93" s="30" t="s">
        <v>2692</v>
      </c>
      <c r="X93" s="30" t="s">
        <v>180</v>
      </c>
      <c r="Y93" t="s">
        <v>180</v>
      </c>
      <c r="Z93" s="30" t="s">
        <v>1862</v>
      </c>
      <c r="AA93" s="30" t="s">
        <v>181</v>
      </c>
      <c r="AB93" s="30" t="s">
        <v>1814</v>
      </c>
      <c r="AC93" s="30" t="s">
        <v>56</v>
      </c>
      <c r="AD93" s="30" t="s">
        <v>368</v>
      </c>
      <c r="AE93" s="30">
        <v>20525373551</v>
      </c>
      <c r="AF93" s="30" t="s">
        <v>402</v>
      </c>
      <c r="AG93" s="30" t="s">
        <v>403</v>
      </c>
      <c r="AH93" s="30" t="s">
        <v>185</v>
      </c>
      <c r="AI93" s="30" t="s">
        <v>404</v>
      </c>
      <c r="AJ93" s="30" t="s">
        <v>405</v>
      </c>
      <c r="AK93" s="30">
        <v>998374895</v>
      </c>
      <c r="AL93" s="30" t="s">
        <v>1809</v>
      </c>
      <c r="AM93" t="s">
        <v>270</v>
      </c>
      <c r="AN93" s="30" t="s">
        <v>270</v>
      </c>
      <c r="AO93" s="30" t="s">
        <v>1809</v>
      </c>
      <c r="AP93" s="30" t="s">
        <v>1809</v>
      </c>
      <c r="AQ93" s="30" t="s">
        <v>1809</v>
      </c>
      <c r="AR93" s="30" t="s">
        <v>1809</v>
      </c>
      <c r="AS93" s="30" t="s">
        <v>63</v>
      </c>
      <c r="AT93" s="30" t="s">
        <v>64</v>
      </c>
      <c r="AU93" s="50">
        <v>46288.875</v>
      </c>
      <c r="AV93" s="50">
        <v>46288.845833333333</v>
      </c>
      <c r="AW93" s="50">
        <v>46288.872916666667</v>
      </c>
      <c r="AX93" s="50">
        <v>46288.887499999997</v>
      </c>
      <c r="AY93" s="50">
        <v>46289.003472222219</v>
      </c>
      <c r="AZ93" s="50">
        <v>46289.308333333334</v>
      </c>
      <c r="BA93" s="51">
        <v>46289.48333333333</v>
      </c>
      <c r="BB93" s="51">
        <v>46289.495833333334</v>
      </c>
      <c r="BC93" s="50">
        <v>46289.5</v>
      </c>
      <c r="BD93" s="50">
        <v>46289.57916666667</v>
      </c>
      <c r="BE93" s="51">
        <v>46289.597916666666</v>
      </c>
      <c r="BF93" s="51">
        <v>46289.604166666664</v>
      </c>
      <c r="BG93" s="51">
        <v>46289.612500000003</v>
      </c>
      <c r="BH93" s="51">
        <v>46289.659722222219</v>
      </c>
      <c r="BI93" s="30" t="s">
        <v>65</v>
      </c>
      <c r="BJ93" s="50">
        <v>46289.875</v>
      </c>
      <c r="BK93" s="50">
        <v>46289.847222222219</v>
      </c>
      <c r="BL93" s="50">
        <v>46289.85</v>
      </c>
      <c r="BM93" s="50">
        <v>46289.869444444441</v>
      </c>
      <c r="BN93" s="50">
        <v>46289.875</v>
      </c>
      <c r="BP93" s="30" t="s">
        <v>372</v>
      </c>
      <c r="BQ93" s="30">
        <v>46289.875</v>
      </c>
      <c r="BR93"/>
      <c r="BS93"/>
      <c r="BT93"/>
      <c r="BU93"/>
      <c r="BV93"/>
      <c r="BW93"/>
      <c r="BX93"/>
      <c r="BY93"/>
    </row>
    <row r="94" spans="1:77">
      <c r="A94" t="s">
        <v>168</v>
      </c>
      <c r="B94" s="30">
        <v>48</v>
      </c>
      <c r="C94" s="30">
        <v>39</v>
      </c>
      <c r="D94" s="30" t="s">
        <v>360</v>
      </c>
      <c r="E94" s="30" t="s">
        <v>170</v>
      </c>
      <c r="F94" s="48">
        <v>46289</v>
      </c>
      <c r="G94" s="48">
        <v>46290</v>
      </c>
      <c r="H94" s="49">
        <v>0.41666666666666669</v>
      </c>
      <c r="I94" s="49">
        <v>0.33333333333333331</v>
      </c>
      <c r="J94" s="30" t="s">
        <v>361</v>
      </c>
      <c r="K94" s="30" t="s">
        <v>171</v>
      </c>
      <c r="L94" s="30">
        <v>1</v>
      </c>
      <c r="M94" s="30" t="s">
        <v>2693</v>
      </c>
      <c r="P94" s="30" t="s">
        <v>174</v>
      </c>
      <c r="Q94" s="30" t="s">
        <v>363</v>
      </c>
      <c r="R94" s="30" t="s">
        <v>374</v>
      </c>
      <c r="S94" s="30" t="s">
        <v>375</v>
      </c>
      <c r="T94" s="30" t="s">
        <v>2694</v>
      </c>
      <c r="U94" s="30" t="s">
        <v>2695</v>
      </c>
      <c r="V94" s="30">
        <v>8225</v>
      </c>
      <c r="W94" s="30" t="s">
        <v>2696</v>
      </c>
      <c r="X94" s="30" t="s">
        <v>180</v>
      </c>
      <c r="Y94" t="s">
        <v>180</v>
      </c>
      <c r="Z94" s="30" t="s">
        <v>1862</v>
      </c>
      <c r="AA94" s="30" t="s">
        <v>181</v>
      </c>
      <c r="AB94" s="30" t="s">
        <v>1814</v>
      </c>
      <c r="AC94" s="30" t="s">
        <v>56</v>
      </c>
      <c r="AD94" s="30" t="s">
        <v>368</v>
      </c>
      <c r="AE94" s="30">
        <v>20525373551</v>
      </c>
      <c r="AF94" s="30" t="s">
        <v>447</v>
      </c>
      <c r="AG94" s="30" t="s">
        <v>448</v>
      </c>
      <c r="AH94" s="30" t="s">
        <v>185</v>
      </c>
      <c r="AI94" s="30" t="s">
        <v>449</v>
      </c>
      <c r="AJ94" s="30" t="s">
        <v>450</v>
      </c>
      <c r="AK94" s="30">
        <v>961580382</v>
      </c>
      <c r="AL94" s="30" t="s">
        <v>1809</v>
      </c>
      <c r="AM94" t="s">
        <v>270</v>
      </c>
      <c r="AN94" s="30" t="s">
        <v>270</v>
      </c>
      <c r="AO94" s="30" t="s">
        <v>1809</v>
      </c>
      <c r="AP94" s="30" t="s">
        <v>1809</v>
      </c>
      <c r="AQ94" s="30" t="s">
        <v>1809</v>
      </c>
      <c r="AR94" s="30" t="s">
        <v>1809</v>
      </c>
      <c r="AS94" s="30" t="s">
        <v>63</v>
      </c>
      <c r="AT94" s="30" t="s">
        <v>64</v>
      </c>
      <c r="AU94" s="50">
        <v>46289.583333333336</v>
      </c>
      <c r="AV94" s="50">
        <v>46289.548611111109</v>
      </c>
      <c r="AW94" s="50">
        <v>46289.605555555558</v>
      </c>
      <c r="AX94" s="50">
        <v>46289.607638888891</v>
      </c>
      <c r="AY94" s="50">
        <v>46289.706944444442</v>
      </c>
      <c r="AZ94" s="50">
        <v>46290.125</v>
      </c>
      <c r="BA94" s="51">
        <v>46290.32708333333</v>
      </c>
      <c r="BB94" s="51">
        <v>46290.329861111109</v>
      </c>
      <c r="BC94" s="50">
        <v>46290.34375</v>
      </c>
      <c r="BD94" s="50">
        <v>46290.362500000003</v>
      </c>
      <c r="BE94" s="51">
        <v>46290.430555555555</v>
      </c>
      <c r="BF94" s="51">
        <v>46290.513888888891</v>
      </c>
      <c r="BG94" s="51">
        <v>46290.561111111114</v>
      </c>
      <c r="BH94" s="51">
        <v>46290.589583333334</v>
      </c>
      <c r="BI94" s="30" t="s">
        <v>65</v>
      </c>
      <c r="BJ94" s="50">
        <v>46290.875</v>
      </c>
      <c r="BK94" s="50">
        <v>46290.818749999999</v>
      </c>
      <c r="BL94" s="50">
        <v>46290.826388888891</v>
      </c>
      <c r="BM94" s="50">
        <v>46290.826388888891</v>
      </c>
      <c r="BN94" s="50">
        <v>46290.836111111108</v>
      </c>
      <c r="BP94" s="30" t="s">
        <v>372</v>
      </c>
      <c r="BQ94" s="30">
        <v>46290.875</v>
      </c>
      <c r="BR94"/>
      <c r="BS94"/>
      <c r="BT94"/>
      <c r="BU94"/>
      <c r="BV94"/>
      <c r="BW94"/>
      <c r="BX94"/>
      <c r="BY94"/>
    </row>
    <row r="95" spans="1:77">
      <c r="A95" t="s">
        <v>168</v>
      </c>
      <c r="B95" s="30">
        <v>49</v>
      </c>
      <c r="C95" s="30">
        <v>39</v>
      </c>
      <c r="D95" s="30" t="s">
        <v>360</v>
      </c>
      <c r="E95" s="30" t="s">
        <v>170</v>
      </c>
      <c r="F95" s="48">
        <v>46289</v>
      </c>
      <c r="G95" s="48">
        <v>46290</v>
      </c>
      <c r="H95" s="49">
        <v>0.41666666666666669</v>
      </c>
      <c r="I95" s="49">
        <v>0.33333333333333331</v>
      </c>
      <c r="J95" s="30" t="s">
        <v>361</v>
      </c>
      <c r="K95" s="30" t="s">
        <v>171</v>
      </c>
      <c r="L95" s="30">
        <v>1</v>
      </c>
      <c r="M95" s="30" t="s">
        <v>2697</v>
      </c>
      <c r="P95" s="30" t="s">
        <v>174</v>
      </c>
      <c r="Q95" s="30" t="s">
        <v>363</v>
      </c>
      <c r="R95" s="30" t="s">
        <v>374</v>
      </c>
      <c r="S95" s="30" t="s">
        <v>375</v>
      </c>
      <c r="T95" s="30" t="s">
        <v>2698</v>
      </c>
      <c r="U95" s="30" t="s">
        <v>2699</v>
      </c>
      <c r="V95" s="30">
        <v>8217</v>
      </c>
      <c r="W95" s="30" t="s">
        <v>2700</v>
      </c>
      <c r="X95" s="30" t="s">
        <v>180</v>
      </c>
      <c r="Y95" t="s">
        <v>180</v>
      </c>
      <c r="Z95" s="30" t="s">
        <v>1862</v>
      </c>
      <c r="AA95" s="30" t="s">
        <v>181</v>
      </c>
      <c r="AB95" s="30" t="s">
        <v>1814</v>
      </c>
      <c r="AC95" s="30" t="s">
        <v>56</v>
      </c>
      <c r="AD95" s="30" t="s">
        <v>368</v>
      </c>
      <c r="AE95" s="30">
        <v>20525373551</v>
      </c>
      <c r="AF95" s="30" t="s">
        <v>463</v>
      </c>
      <c r="AG95" s="30" t="s">
        <v>436</v>
      </c>
      <c r="AH95" s="30" t="s">
        <v>185</v>
      </c>
      <c r="AI95" s="30" t="s">
        <v>437</v>
      </c>
      <c r="AJ95" s="30" t="s">
        <v>438</v>
      </c>
      <c r="AK95" s="30">
        <v>998230850</v>
      </c>
      <c r="AL95" s="30" t="s">
        <v>1809</v>
      </c>
      <c r="AM95" t="s">
        <v>270</v>
      </c>
      <c r="AN95" s="30" t="s">
        <v>270</v>
      </c>
      <c r="AO95" s="30" t="s">
        <v>1809</v>
      </c>
      <c r="AP95" s="30" t="s">
        <v>1809</v>
      </c>
      <c r="AQ95" s="30" t="s">
        <v>1809</v>
      </c>
      <c r="AR95" s="30" t="s">
        <v>1809</v>
      </c>
      <c r="AS95" s="30" t="s">
        <v>63</v>
      </c>
      <c r="AT95" s="30" t="s">
        <v>64</v>
      </c>
      <c r="AU95" s="50">
        <v>46289.416666666664</v>
      </c>
      <c r="AV95" s="50">
        <v>46289.43472222222</v>
      </c>
      <c r="AW95" s="50">
        <v>46289.441666666666</v>
      </c>
      <c r="AX95" s="50">
        <v>46289.460416666669</v>
      </c>
      <c r="AY95" s="50">
        <v>46289.513888888891</v>
      </c>
      <c r="AZ95" s="50">
        <v>46290.125</v>
      </c>
      <c r="BA95" s="51">
        <v>46290.327777777777</v>
      </c>
      <c r="BB95" s="51">
        <v>46290.331944444442</v>
      </c>
      <c r="BC95" s="50">
        <v>46290.348611111112</v>
      </c>
      <c r="BD95" s="50">
        <v>46290.395833333336</v>
      </c>
      <c r="BE95" s="51">
        <v>46290.520833333336</v>
      </c>
      <c r="BF95" s="51">
        <v>46290.541666666664</v>
      </c>
      <c r="BG95" s="51">
        <v>46290.5625</v>
      </c>
      <c r="BH95" s="51">
        <v>46290.59652777778</v>
      </c>
      <c r="BI95" s="30" t="s">
        <v>65</v>
      </c>
      <c r="BJ95" s="50">
        <v>46290.875</v>
      </c>
      <c r="BK95" s="50">
        <v>46290.81527777778</v>
      </c>
      <c r="BL95" s="50">
        <v>46290.825694444444</v>
      </c>
      <c r="BM95" s="50">
        <v>46290.828472222223</v>
      </c>
      <c r="BN95" s="50">
        <v>46290.835416666669</v>
      </c>
      <c r="BP95" s="30" t="s">
        <v>372</v>
      </c>
      <c r="BQ95" s="30">
        <v>46290.875</v>
      </c>
      <c r="BR95"/>
      <c r="BS95"/>
      <c r="BT95"/>
      <c r="BU95"/>
      <c r="BV95"/>
      <c r="BW95"/>
      <c r="BX95"/>
      <c r="BY95"/>
    </row>
    <row r="96" spans="1:77">
      <c r="A96" t="s">
        <v>168</v>
      </c>
      <c r="B96" s="30">
        <v>50</v>
      </c>
      <c r="C96" s="30">
        <v>39</v>
      </c>
      <c r="D96" s="30" t="s">
        <v>360</v>
      </c>
      <c r="E96" s="30" t="s">
        <v>170</v>
      </c>
      <c r="F96" s="48">
        <v>46292</v>
      </c>
      <c r="G96" s="48">
        <v>46293</v>
      </c>
      <c r="H96" s="49">
        <v>0.58333333333333337</v>
      </c>
      <c r="I96" s="49">
        <v>0.5</v>
      </c>
      <c r="J96" s="30" t="s">
        <v>361</v>
      </c>
      <c r="K96" s="30" t="s">
        <v>171</v>
      </c>
      <c r="L96" s="30">
        <v>1</v>
      </c>
      <c r="M96" s="30" t="s">
        <v>2701</v>
      </c>
      <c r="P96" s="30" t="s">
        <v>174</v>
      </c>
      <c r="Q96" s="30" t="s">
        <v>363</v>
      </c>
      <c r="R96" s="30" t="s">
        <v>175</v>
      </c>
      <c r="S96" s="30" t="s">
        <v>176</v>
      </c>
      <c r="T96" s="30" t="s">
        <v>2702</v>
      </c>
      <c r="U96" s="30" t="s">
        <v>2703</v>
      </c>
      <c r="V96" s="30">
        <v>821005</v>
      </c>
      <c r="W96" s="30" t="s">
        <v>2704</v>
      </c>
      <c r="X96" s="30" t="s">
        <v>64</v>
      </c>
      <c r="Y96" t="s">
        <v>180</v>
      </c>
      <c r="Z96" s="30" t="s">
        <v>1862</v>
      </c>
      <c r="AA96" s="30" t="s">
        <v>2705</v>
      </c>
      <c r="AB96" s="30" t="s">
        <v>1814</v>
      </c>
      <c r="AC96" s="30" t="s">
        <v>56</v>
      </c>
      <c r="AD96" s="30" t="s">
        <v>368</v>
      </c>
      <c r="AE96" s="30">
        <v>20525373551</v>
      </c>
      <c r="AF96" s="30" t="s">
        <v>463</v>
      </c>
      <c r="AG96" s="30" t="s">
        <v>436</v>
      </c>
      <c r="AH96" s="30" t="s">
        <v>185</v>
      </c>
      <c r="AI96" s="30" t="s">
        <v>437</v>
      </c>
      <c r="AJ96" s="30" t="s">
        <v>438</v>
      </c>
      <c r="AK96" s="30">
        <v>998230850</v>
      </c>
      <c r="AL96" s="30" t="s">
        <v>1809</v>
      </c>
      <c r="AM96" t="s">
        <v>270</v>
      </c>
      <c r="AN96" s="30" t="s">
        <v>270</v>
      </c>
      <c r="AO96" s="30" t="s">
        <v>1809</v>
      </c>
      <c r="AP96" s="30" t="s">
        <v>1809</v>
      </c>
      <c r="AQ96" s="30" t="s">
        <v>1809</v>
      </c>
      <c r="AR96" s="30" t="s">
        <v>1809</v>
      </c>
      <c r="AS96" s="30" t="s">
        <v>63</v>
      </c>
      <c r="AT96" s="30" t="s">
        <v>64</v>
      </c>
      <c r="AU96" s="50">
        <v>46292.833333333336</v>
      </c>
      <c r="AV96" s="50">
        <v>46292.85833333333</v>
      </c>
      <c r="AW96" s="50">
        <v>46292.893055555556</v>
      </c>
      <c r="AX96" s="50">
        <v>46292.916666666664</v>
      </c>
      <c r="AY96" s="50">
        <v>46292.969444444447</v>
      </c>
      <c r="AZ96" s="50">
        <v>46293.220138888886</v>
      </c>
      <c r="BA96" s="51">
        <v>46293.430555555555</v>
      </c>
      <c r="BB96" s="51">
        <v>46293.444444444445</v>
      </c>
      <c r="BC96" s="50">
        <v>46293.447916666664</v>
      </c>
      <c r="BD96" s="50">
        <v>46293.454861111109</v>
      </c>
      <c r="BE96" s="51">
        <v>46293.708333333336</v>
      </c>
      <c r="BF96" s="51">
        <v>46293.725694444445</v>
      </c>
      <c r="BG96" s="51">
        <v>46293.745833333334</v>
      </c>
      <c r="BH96" s="51">
        <v>46293.78402777778</v>
      </c>
      <c r="BI96" s="30" t="s">
        <v>65</v>
      </c>
      <c r="BJ96" s="50">
        <v>46294.041666666664</v>
      </c>
      <c r="BK96" s="50">
        <v>46293.997916666667</v>
      </c>
      <c r="BL96" s="50">
        <v>46294.003472222219</v>
      </c>
      <c r="BM96" s="50">
        <v>46294.006249999999</v>
      </c>
      <c r="BN96" s="50">
        <v>46294.010416666664</v>
      </c>
      <c r="BP96" s="30" t="s">
        <v>372</v>
      </c>
      <c r="BQ96" s="30">
        <v>46294.041666666664</v>
      </c>
      <c r="BR96"/>
      <c r="BS96"/>
      <c r="BT96"/>
      <c r="BU96"/>
      <c r="BV96"/>
      <c r="BW96"/>
      <c r="BX96"/>
      <c r="BY96"/>
    </row>
    <row r="97" spans="1:77">
      <c r="A97" t="s">
        <v>168</v>
      </c>
      <c r="B97" s="30">
        <v>51</v>
      </c>
      <c r="C97" s="30">
        <v>39</v>
      </c>
      <c r="D97" s="30" t="s">
        <v>360</v>
      </c>
      <c r="E97" s="30" t="s">
        <v>170</v>
      </c>
      <c r="F97" s="48">
        <v>46293</v>
      </c>
      <c r="G97" s="48">
        <v>46294</v>
      </c>
      <c r="H97" s="49">
        <v>0.41666666666666669</v>
      </c>
      <c r="I97" s="49">
        <v>0.33333333333333331</v>
      </c>
      <c r="J97" s="30" t="s">
        <v>361</v>
      </c>
      <c r="K97" s="30" t="s">
        <v>171</v>
      </c>
      <c r="L97" s="30">
        <v>1</v>
      </c>
      <c r="M97" s="30" t="s">
        <v>2706</v>
      </c>
      <c r="P97" s="30" t="s">
        <v>174</v>
      </c>
      <c r="Q97" s="30" t="s">
        <v>363</v>
      </c>
      <c r="R97" s="30" t="s">
        <v>175</v>
      </c>
      <c r="S97" s="30" t="s">
        <v>176</v>
      </c>
      <c r="T97" s="30" t="s">
        <v>2707</v>
      </c>
      <c r="X97" s="30" t="s">
        <v>64</v>
      </c>
      <c r="Y97" t="s">
        <v>180</v>
      </c>
      <c r="Z97" s="30" t="s">
        <v>1862</v>
      </c>
      <c r="AA97" s="30" t="s">
        <v>2705</v>
      </c>
      <c r="AB97" s="30" t="s">
        <v>1814</v>
      </c>
      <c r="AC97" s="30" t="s">
        <v>56</v>
      </c>
      <c r="AD97" s="30" t="s">
        <v>368</v>
      </c>
      <c r="AE97" s="30">
        <v>20525373551</v>
      </c>
      <c r="AF97" s="30" t="s">
        <v>2708</v>
      </c>
      <c r="AG97" s="30" t="s">
        <v>2709</v>
      </c>
      <c r="AH97" s="30" t="s">
        <v>185</v>
      </c>
      <c r="AI97" s="30" t="s">
        <v>2710</v>
      </c>
      <c r="AJ97" s="30" t="s">
        <v>2711</v>
      </c>
      <c r="AK97" s="30">
        <v>907017275</v>
      </c>
      <c r="AL97" s="30" t="s">
        <v>1809</v>
      </c>
      <c r="AM97" t="s">
        <v>270</v>
      </c>
      <c r="AN97" s="30" t="s">
        <v>270</v>
      </c>
      <c r="AO97" s="30" t="s">
        <v>1809</v>
      </c>
      <c r="AP97" s="30" t="s">
        <v>1809</v>
      </c>
      <c r="AQ97" s="30" t="s">
        <v>1809</v>
      </c>
      <c r="AR97" s="30" t="s">
        <v>1809</v>
      </c>
      <c r="AS97" s="30" t="s">
        <v>63</v>
      </c>
      <c r="AT97" s="30" t="s">
        <v>64</v>
      </c>
      <c r="AU97" s="50">
        <v>46293.708333333336</v>
      </c>
      <c r="AV97" s="50">
        <v>46293.732638888891</v>
      </c>
      <c r="AW97" s="50">
        <v>46293.738888888889</v>
      </c>
      <c r="AX97" s="50">
        <v>46293.75277777778</v>
      </c>
      <c r="AY97" s="50">
        <v>46293.78402777778</v>
      </c>
      <c r="AZ97" s="50">
        <v>46294.113194444442</v>
      </c>
      <c r="BA97" s="51">
        <v>46294.284722222219</v>
      </c>
      <c r="BB97" s="51">
        <v>46294.291666666664</v>
      </c>
      <c r="BC97" s="50">
        <v>46294.323611111111</v>
      </c>
      <c r="BD97" s="50">
        <v>46294.334722222222</v>
      </c>
      <c r="BE97" s="51"/>
      <c r="BF97" s="51"/>
      <c r="BG97" s="51"/>
      <c r="BH97" s="51"/>
      <c r="BI97" s="30" t="s">
        <v>65</v>
      </c>
      <c r="BJ97" s="50"/>
      <c r="BK97" s="50"/>
      <c r="BL97" s="50"/>
      <c r="BM97" s="50"/>
      <c r="BN97" s="50"/>
      <c r="BR97"/>
      <c r="BS97"/>
      <c r="BT97"/>
      <c r="BU97"/>
      <c r="BV97"/>
      <c r="BW97"/>
      <c r="BX97"/>
      <c r="BY97"/>
    </row>
    <row r="98" spans="1:77">
      <c r="A98" t="s">
        <v>168</v>
      </c>
      <c r="B98" s="30">
        <v>52</v>
      </c>
      <c r="C98" s="30">
        <v>39</v>
      </c>
      <c r="D98" s="30" t="s">
        <v>360</v>
      </c>
      <c r="E98" s="30" t="s">
        <v>170</v>
      </c>
      <c r="F98" s="48">
        <v>46293</v>
      </c>
      <c r="G98" s="48">
        <v>46294</v>
      </c>
      <c r="H98" s="49">
        <v>0.41666666666666669</v>
      </c>
      <c r="I98" s="49">
        <v>0.33333333333333331</v>
      </c>
      <c r="J98" s="30" t="s">
        <v>361</v>
      </c>
      <c r="K98" s="30" t="s">
        <v>171</v>
      </c>
      <c r="L98" s="30">
        <v>1</v>
      </c>
      <c r="M98" s="30" t="s">
        <v>2712</v>
      </c>
      <c r="P98" s="30" t="s">
        <v>174</v>
      </c>
      <c r="Q98" s="30" t="s">
        <v>363</v>
      </c>
      <c r="R98" s="30" t="s">
        <v>175</v>
      </c>
      <c r="S98" s="30" t="s">
        <v>176</v>
      </c>
      <c r="T98" s="30" t="s">
        <v>2713</v>
      </c>
      <c r="X98" s="30" t="s">
        <v>64</v>
      </c>
      <c r="Y98" t="s">
        <v>180</v>
      </c>
      <c r="Z98" s="30" t="s">
        <v>1862</v>
      </c>
      <c r="AA98" s="30" t="s">
        <v>2705</v>
      </c>
      <c r="AB98" s="30" t="s">
        <v>1814</v>
      </c>
      <c r="AC98" s="30" t="s">
        <v>56</v>
      </c>
      <c r="AD98" s="30" t="s">
        <v>368</v>
      </c>
      <c r="AE98" s="30">
        <v>20525373551</v>
      </c>
      <c r="AF98" s="30" t="s">
        <v>1850</v>
      </c>
      <c r="AG98" s="30" t="s">
        <v>1851</v>
      </c>
      <c r="AH98" s="30" t="s">
        <v>185</v>
      </c>
      <c r="AI98" s="30" t="s">
        <v>1852</v>
      </c>
      <c r="AJ98" s="30" t="s">
        <v>1853</v>
      </c>
      <c r="AK98" s="30">
        <v>958976357</v>
      </c>
      <c r="AL98" s="30" t="s">
        <v>1809</v>
      </c>
      <c r="AM98" t="s">
        <v>270</v>
      </c>
      <c r="AN98" s="30" t="s">
        <v>270</v>
      </c>
      <c r="AO98" s="30" t="s">
        <v>1809</v>
      </c>
      <c r="AP98" s="30" t="s">
        <v>1809</v>
      </c>
      <c r="AQ98" s="30" t="s">
        <v>1809</v>
      </c>
      <c r="AR98" s="30" t="s">
        <v>1809</v>
      </c>
      <c r="AS98" s="30" t="s">
        <v>63</v>
      </c>
      <c r="AT98" s="30" t="s">
        <v>64</v>
      </c>
      <c r="AU98" s="50">
        <v>46293.708333333336</v>
      </c>
      <c r="AV98" s="50">
        <v>46293.730555555558</v>
      </c>
      <c r="AW98" s="50">
        <v>46293.740972222222</v>
      </c>
      <c r="AX98" s="50">
        <v>46293.756944444445</v>
      </c>
      <c r="AY98" s="50">
        <v>46293.781944444447</v>
      </c>
      <c r="AZ98" s="50">
        <v>46294.102083333331</v>
      </c>
      <c r="BA98" s="51">
        <v>46294.280555555553</v>
      </c>
      <c r="BB98" s="51">
        <v>46294.284722222219</v>
      </c>
      <c r="BC98" s="50">
        <v>46294.314583333333</v>
      </c>
      <c r="BD98" s="50">
        <v>46294.324305555558</v>
      </c>
      <c r="BE98" s="51"/>
      <c r="BF98" s="51"/>
      <c r="BG98" s="51"/>
      <c r="BH98" s="51"/>
      <c r="BI98" s="30" t="s">
        <v>65</v>
      </c>
      <c r="BJ98" s="50"/>
      <c r="BK98" s="50"/>
      <c r="BL98" s="50"/>
      <c r="BM98" s="50"/>
      <c r="BN98" s="50"/>
      <c r="BR98"/>
      <c r="BS98"/>
      <c r="BT98"/>
      <c r="BU98"/>
      <c r="BV98"/>
      <c r="BW98"/>
      <c r="BX98"/>
      <c r="BY98"/>
    </row>
    <row r="99" spans="1:77">
      <c r="A99" t="s">
        <v>168</v>
      </c>
      <c r="B99" s="30">
        <v>1</v>
      </c>
      <c r="C99" s="30">
        <v>29</v>
      </c>
      <c r="D99" s="30" t="s">
        <v>169</v>
      </c>
      <c r="E99" s="30" t="s">
        <v>170</v>
      </c>
      <c r="G99" s="48">
        <v>46221</v>
      </c>
      <c r="H99" s="49"/>
      <c r="I99" s="49">
        <v>0.5</v>
      </c>
      <c r="J99" s="30" t="s">
        <v>53</v>
      </c>
      <c r="K99" s="30" t="s">
        <v>171</v>
      </c>
      <c r="L99" s="30">
        <v>1</v>
      </c>
      <c r="M99" s="30" t="s">
        <v>472</v>
      </c>
      <c r="P99" s="30" t="s">
        <v>174</v>
      </c>
      <c r="Q99" s="30" t="s">
        <v>363</v>
      </c>
      <c r="R99" s="30" t="s">
        <v>175</v>
      </c>
      <c r="S99" s="30" t="s">
        <v>176</v>
      </c>
      <c r="T99" s="30" t="s">
        <v>473</v>
      </c>
      <c r="U99" s="30" t="s">
        <v>474</v>
      </c>
      <c r="V99" s="30" t="s">
        <v>475</v>
      </c>
      <c r="W99" s="30" t="s">
        <v>476</v>
      </c>
      <c r="X99" s="30" t="s">
        <v>179</v>
      </c>
      <c r="Y99"/>
      <c r="AA99" s="30" t="s">
        <v>181</v>
      </c>
      <c r="AB99" s="30" t="s">
        <v>477</v>
      </c>
      <c r="AC99" s="30" t="s">
        <v>56</v>
      </c>
      <c r="AD99" s="30" t="s">
        <v>478</v>
      </c>
      <c r="AE99" s="30">
        <v>20544424751</v>
      </c>
      <c r="AF99" s="30" t="s">
        <v>479</v>
      </c>
      <c r="AG99" s="30" t="s">
        <v>480</v>
      </c>
      <c r="AH99" s="30" t="s">
        <v>185</v>
      </c>
      <c r="AI99" s="30" t="s">
        <v>481</v>
      </c>
      <c r="AJ99" s="30" t="s">
        <v>482</v>
      </c>
      <c r="AK99" s="30">
        <v>934270711</v>
      </c>
      <c r="AL99" s="30" t="s">
        <v>483</v>
      </c>
      <c r="AM99" t="s">
        <v>483</v>
      </c>
      <c r="AN99" s="30" t="s">
        <v>483</v>
      </c>
      <c r="AO99" s="30" t="s">
        <v>483</v>
      </c>
      <c r="AP99" s="30" t="s">
        <v>483</v>
      </c>
      <c r="AQ99" s="30" t="s">
        <v>483</v>
      </c>
      <c r="AR99" s="30" t="s">
        <v>483</v>
      </c>
      <c r="AS99" s="30" t="s">
        <v>63</v>
      </c>
      <c r="AT99" s="30" t="s">
        <v>64</v>
      </c>
      <c r="AU99" s="50">
        <v>46221.5</v>
      </c>
      <c r="AV99" s="50">
        <v>46221.477777777778</v>
      </c>
      <c r="AW99" s="50">
        <v>46221.502083333333</v>
      </c>
      <c r="AX99" s="50">
        <v>46221.513888888891</v>
      </c>
      <c r="AY99" s="50">
        <v>46221.576388888891</v>
      </c>
      <c r="AZ99" s="50">
        <v>46221.589583333334</v>
      </c>
      <c r="BA99" s="51"/>
      <c r="BB99" s="51"/>
      <c r="BC99" s="50">
        <v>46222.416666666664</v>
      </c>
      <c r="BD99" s="50">
        <v>46222.392361111109</v>
      </c>
      <c r="BE99" s="51"/>
      <c r="BF99" s="51"/>
      <c r="BG99" s="51"/>
      <c r="BH99" s="51">
        <v>46222.868055555555</v>
      </c>
      <c r="BI99" s="30" t="s">
        <v>65</v>
      </c>
      <c r="BJ99" s="50">
        <v>46223.708333333336</v>
      </c>
      <c r="BK99" s="50">
        <v>46223.648611111108</v>
      </c>
      <c r="BL99" s="50">
        <v>46223.65625</v>
      </c>
      <c r="BM99" s="50">
        <v>46223.658333333333</v>
      </c>
      <c r="BN99" s="50">
        <v>46223.661805555559</v>
      </c>
      <c r="BR99"/>
      <c r="BS99"/>
      <c r="BT99"/>
      <c r="BU99"/>
      <c r="BV99"/>
      <c r="BW99"/>
      <c r="BX99"/>
      <c r="BY99"/>
    </row>
    <row r="100" spans="1:77">
      <c r="A100" t="s">
        <v>168</v>
      </c>
      <c r="B100" s="30">
        <v>2</v>
      </c>
      <c r="C100" s="30">
        <v>29</v>
      </c>
      <c r="D100" s="30" t="s">
        <v>169</v>
      </c>
      <c r="E100" s="30" t="s">
        <v>170</v>
      </c>
      <c r="G100" s="48">
        <v>46221</v>
      </c>
      <c r="H100" s="49"/>
      <c r="I100" s="49">
        <v>0.5</v>
      </c>
      <c r="J100" s="30" t="s">
        <v>53</v>
      </c>
      <c r="K100" s="30" t="s">
        <v>171</v>
      </c>
      <c r="L100" s="30">
        <v>1</v>
      </c>
      <c r="M100" s="30" t="s">
        <v>484</v>
      </c>
      <c r="P100" s="30" t="s">
        <v>174</v>
      </c>
      <c r="Q100" s="30" t="s">
        <v>363</v>
      </c>
      <c r="R100" s="30" t="s">
        <v>175</v>
      </c>
      <c r="S100" s="30" t="s">
        <v>176</v>
      </c>
      <c r="T100" s="30" t="s">
        <v>485</v>
      </c>
      <c r="U100" s="30" t="s">
        <v>486</v>
      </c>
      <c r="V100" s="30" t="s">
        <v>487</v>
      </c>
      <c r="W100" s="30" t="s">
        <v>488</v>
      </c>
      <c r="X100" s="30" t="s">
        <v>179</v>
      </c>
      <c r="Y100"/>
      <c r="AA100" s="30" t="s">
        <v>181</v>
      </c>
      <c r="AB100" s="30" t="s">
        <v>477</v>
      </c>
      <c r="AC100" s="30" t="s">
        <v>56</v>
      </c>
      <c r="AD100" s="30" t="s">
        <v>478</v>
      </c>
      <c r="AE100" s="30">
        <v>20544424751</v>
      </c>
      <c r="AF100" s="30" t="s">
        <v>1793</v>
      </c>
      <c r="AG100" s="30" t="s">
        <v>489</v>
      </c>
      <c r="AH100" s="30" t="s">
        <v>185</v>
      </c>
      <c r="AI100" s="30" t="s">
        <v>490</v>
      </c>
      <c r="AJ100" s="30" t="s">
        <v>491</v>
      </c>
      <c r="AK100" s="30">
        <v>946500525</v>
      </c>
      <c r="AL100" s="30" t="s">
        <v>483</v>
      </c>
      <c r="AM100" t="s">
        <v>483</v>
      </c>
      <c r="AN100" s="30" t="s">
        <v>483</v>
      </c>
      <c r="AO100" s="30" t="s">
        <v>483</v>
      </c>
      <c r="AP100" s="30" t="s">
        <v>483</v>
      </c>
      <c r="AQ100" s="30" t="s">
        <v>483</v>
      </c>
      <c r="AR100" s="30" t="s">
        <v>483</v>
      </c>
      <c r="AS100" s="30" t="s">
        <v>63</v>
      </c>
      <c r="AT100" s="30" t="s">
        <v>64</v>
      </c>
      <c r="AU100" s="50">
        <v>46221.5</v>
      </c>
      <c r="AV100" s="50">
        <v>46221.48333333333</v>
      </c>
      <c r="AW100" s="50">
        <v>46221.488194444442</v>
      </c>
      <c r="AX100" s="50">
        <v>46221.495138888888</v>
      </c>
      <c r="AY100" s="50">
        <v>46221.571527777778</v>
      </c>
      <c r="AZ100" s="50">
        <v>46221.589583333334</v>
      </c>
      <c r="BA100" s="51"/>
      <c r="BB100" s="51"/>
      <c r="BC100" s="50">
        <v>46222.423611111109</v>
      </c>
      <c r="BD100" s="50">
        <v>46222.392361111109</v>
      </c>
      <c r="BE100" s="51"/>
      <c r="BF100" s="51"/>
      <c r="BG100" s="51"/>
      <c r="BH100" s="51">
        <v>46222.890277777777</v>
      </c>
      <c r="BI100" s="30" t="s">
        <v>65</v>
      </c>
      <c r="BJ100" s="50">
        <v>46223.708333333336</v>
      </c>
      <c r="BK100" s="50">
        <v>46223.646527777775</v>
      </c>
      <c r="BL100" s="50">
        <v>46223.654166666667</v>
      </c>
      <c r="BM100" s="50">
        <v>46223.655555555553</v>
      </c>
      <c r="BN100" s="50">
        <v>46223.663194444445</v>
      </c>
      <c r="BR100"/>
      <c r="BS100"/>
      <c r="BT100"/>
      <c r="BU100"/>
      <c r="BV100"/>
      <c r="BW100"/>
      <c r="BX100"/>
      <c r="BY100"/>
    </row>
    <row r="101" spans="1:77">
      <c r="A101" t="s">
        <v>168</v>
      </c>
      <c r="B101" s="30">
        <v>3</v>
      </c>
      <c r="C101" s="30">
        <v>29</v>
      </c>
      <c r="D101" s="30" t="s">
        <v>169</v>
      </c>
      <c r="E101" s="30" t="s">
        <v>170</v>
      </c>
      <c r="G101" s="48">
        <v>46222</v>
      </c>
      <c r="H101" s="49"/>
      <c r="I101" s="49">
        <v>0.5</v>
      </c>
      <c r="J101" s="30" t="s">
        <v>53</v>
      </c>
      <c r="K101" s="30" t="s">
        <v>171</v>
      </c>
      <c r="L101" s="30">
        <v>1</v>
      </c>
      <c r="M101" s="30" t="s">
        <v>492</v>
      </c>
      <c r="P101" s="30" t="s">
        <v>174</v>
      </c>
      <c r="Q101" s="30" t="s">
        <v>363</v>
      </c>
      <c r="R101" s="30" t="s">
        <v>175</v>
      </c>
      <c r="S101" s="30" t="s">
        <v>176</v>
      </c>
      <c r="T101" s="30" t="s">
        <v>493</v>
      </c>
      <c r="U101" s="30" t="s">
        <v>494</v>
      </c>
      <c r="V101" s="30" t="s">
        <v>495</v>
      </c>
      <c r="W101" s="30" t="s">
        <v>496</v>
      </c>
      <c r="X101" s="30" t="s">
        <v>179</v>
      </c>
      <c r="Y101"/>
      <c r="AA101" s="30" t="s">
        <v>181</v>
      </c>
      <c r="AB101" s="30" t="s">
        <v>477</v>
      </c>
      <c r="AC101" s="30" t="s">
        <v>56</v>
      </c>
      <c r="AD101" s="30" t="s">
        <v>478</v>
      </c>
      <c r="AE101" s="30">
        <v>20544424751</v>
      </c>
      <c r="AF101" s="30" t="s">
        <v>1794</v>
      </c>
      <c r="AG101" s="30" t="s">
        <v>497</v>
      </c>
      <c r="AH101" s="30" t="s">
        <v>185</v>
      </c>
      <c r="AI101" s="30" t="s">
        <v>498</v>
      </c>
      <c r="AJ101" s="30" t="s">
        <v>499</v>
      </c>
      <c r="AK101" s="30">
        <v>904556157</v>
      </c>
      <c r="AL101" s="30" t="s">
        <v>483</v>
      </c>
      <c r="AM101" t="s">
        <v>483</v>
      </c>
      <c r="AN101" s="30" t="s">
        <v>483</v>
      </c>
      <c r="AO101" s="30" t="s">
        <v>483</v>
      </c>
      <c r="AP101" s="30" t="s">
        <v>483</v>
      </c>
      <c r="AQ101" s="30" t="s">
        <v>483</v>
      </c>
      <c r="AR101" s="30" t="s">
        <v>483</v>
      </c>
      <c r="AS101" s="30" t="s">
        <v>63</v>
      </c>
      <c r="AT101" s="30" t="s">
        <v>64</v>
      </c>
      <c r="AU101" s="50">
        <v>46222.666666666664</v>
      </c>
      <c r="AV101" s="50">
        <v>46222.673611111109</v>
      </c>
      <c r="AW101" s="50">
        <v>46222.695138888892</v>
      </c>
      <c r="AX101" s="50">
        <v>46222.697916666664</v>
      </c>
      <c r="AY101" s="50">
        <v>46222.833333333336</v>
      </c>
      <c r="AZ101" s="50">
        <v>46222.854166666664</v>
      </c>
      <c r="BA101" s="51"/>
      <c r="BB101" s="51"/>
      <c r="BC101" s="50">
        <v>46223.51666666667</v>
      </c>
      <c r="BD101" s="50">
        <v>46223.5</v>
      </c>
      <c r="BE101" s="51"/>
      <c r="BF101" s="51"/>
      <c r="BG101" s="51"/>
      <c r="BH101" s="51">
        <v>46223.686111111114</v>
      </c>
      <c r="BI101" s="30" t="s">
        <v>65</v>
      </c>
      <c r="BJ101" s="50">
        <v>46224.458333333336</v>
      </c>
      <c r="BK101" s="50">
        <v>46224.422222222223</v>
      </c>
      <c r="BL101" s="50">
        <v>46224.425694444442</v>
      </c>
      <c r="BM101" s="50">
        <v>46224.427083333336</v>
      </c>
      <c r="BN101" s="50">
        <v>46224.433333333334</v>
      </c>
      <c r="BR101"/>
      <c r="BS101"/>
      <c r="BT101"/>
      <c r="BU101"/>
      <c r="BV101"/>
      <c r="BW101"/>
      <c r="BX101"/>
      <c r="BY101"/>
    </row>
    <row r="102" spans="1:77">
      <c r="A102" t="s">
        <v>168</v>
      </c>
      <c r="B102" s="30">
        <v>4</v>
      </c>
      <c r="C102" s="30">
        <v>30</v>
      </c>
      <c r="D102" s="30" t="s">
        <v>169</v>
      </c>
      <c r="E102" s="30" t="s">
        <v>170</v>
      </c>
      <c r="G102" s="48">
        <v>46227</v>
      </c>
      <c r="H102" s="49"/>
      <c r="I102" s="49">
        <v>0.5</v>
      </c>
      <c r="J102" s="30" t="s">
        <v>53</v>
      </c>
      <c r="K102" s="30" t="s">
        <v>171</v>
      </c>
      <c r="L102" s="30">
        <v>1</v>
      </c>
      <c r="M102" s="30" t="s">
        <v>500</v>
      </c>
      <c r="P102" s="30" t="s">
        <v>174</v>
      </c>
      <c r="Q102" s="30" t="s">
        <v>363</v>
      </c>
      <c r="R102" s="30" t="s">
        <v>175</v>
      </c>
      <c r="S102" s="30" t="s">
        <v>176</v>
      </c>
      <c r="T102" s="30" t="s">
        <v>501</v>
      </c>
      <c r="U102" s="30" t="s">
        <v>502</v>
      </c>
      <c r="V102" s="30" t="s">
        <v>503</v>
      </c>
      <c r="W102" s="30" t="s">
        <v>504</v>
      </c>
      <c r="X102" s="30" t="s">
        <v>179</v>
      </c>
      <c r="Y102"/>
      <c r="AA102" s="30" t="s">
        <v>181</v>
      </c>
      <c r="AB102" s="30" t="s">
        <v>477</v>
      </c>
      <c r="AC102" s="30" t="s">
        <v>92</v>
      </c>
      <c r="AD102" s="30" t="s">
        <v>505</v>
      </c>
      <c r="AE102" s="30">
        <v>20525799027</v>
      </c>
      <c r="AF102" s="30" t="s">
        <v>506</v>
      </c>
      <c r="AG102" s="30" t="s">
        <v>507</v>
      </c>
      <c r="AH102" s="30" t="s">
        <v>185</v>
      </c>
      <c r="AI102" s="30" t="s">
        <v>1795</v>
      </c>
      <c r="AJ102" s="30" t="s">
        <v>508</v>
      </c>
      <c r="AK102" s="30">
        <v>921570545</v>
      </c>
      <c r="AL102" s="30" t="s">
        <v>483</v>
      </c>
      <c r="AM102" t="s">
        <v>483</v>
      </c>
      <c r="AN102" s="30" t="s">
        <v>483</v>
      </c>
      <c r="AO102" s="30" t="s">
        <v>483</v>
      </c>
      <c r="AP102" s="30" t="s">
        <v>483</v>
      </c>
      <c r="AQ102" s="30" t="s">
        <v>483</v>
      </c>
      <c r="AR102" s="30" t="s">
        <v>483</v>
      </c>
      <c r="AS102" s="30" t="s">
        <v>63</v>
      </c>
      <c r="AT102" s="30" t="s">
        <v>64</v>
      </c>
      <c r="AU102" s="50">
        <v>46227.625</v>
      </c>
      <c r="AV102" s="50">
        <v>46227.508333333331</v>
      </c>
      <c r="AW102" s="50">
        <v>46227.645138888889</v>
      </c>
      <c r="AX102" s="50">
        <v>46227.654166666667</v>
      </c>
      <c r="AY102" s="50">
        <v>46227.654166666667</v>
      </c>
      <c r="AZ102" s="50">
        <v>46227.763888888891</v>
      </c>
      <c r="BA102" s="51"/>
      <c r="BB102" s="51"/>
      <c r="BC102" s="50">
        <v>46228.5625</v>
      </c>
      <c r="BD102" s="50">
        <v>46228.541666666664</v>
      </c>
      <c r="BE102" s="51"/>
      <c r="BF102" s="51"/>
      <c r="BG102" s="51"/>
      <c r="BH102" s="51">
        <v>46228.707638888889</v>
      </c>
      <c r="BI102" s="30" t="s">
        <v>65</v>
      </c>
      <c r="BJ102" s="50">
        <v>46229.5</v>
      </c>
      <c r="BK102" s="50">
        <v>46229.444444444445</v>
      </c>
      <c r="BL102" s="50">
        <v>46229.445833333331</v>
      </c>
      <c r="BM102" s="50">
        <v>46229.447916666664</v>
      </c>
      <c r="BN102" s="50">
        <v>46229.451388888891</v>
      </c>
      <c r="BR102"/>
      <c r="BS102"/>
      <c r="BT102"/>
      <c r="BU102"/>
      <c r="BV102"/>
      <c r="BW102"/>
      <c r="BX102"/>
      <c r="BY102"/>
    </row>
    <row r="103" spans="1:77">
      <c r="A103" t="s">
        <v>168</v>
      </c>
      <c r="B103" s="30">
        <v>5</v>
      </c>
      <c r="C103" s="30">
        <v>30</v>
      </c>
      <c r="D103" s="30" t="s">
        <v>169</v>
      </c>
      <c r="E103" s="30" t="s">
        <v>170</v>
      </c>
      <c r="G103" s="48">
        <v>46227</v>
      </c>
      <c r="H103" s="49"/>
      <c r="I103" s="49">
        <v>0.33333333333333331</v>
      </c>
      <c r="J103" s="30" t="s">
        <v>53</v>
      </c>
      <c r="K103" s="30" t="s">
        <v>171</v>
      </c>
      <c r="L103" s="30">
        <v>1</v>
      </c>
      <c r="M103" s="30" t="s">
        <v>509</v>
      </c>
      <c r="P103" s="30" t="s">
        <v>174</v>
      </c>
      <c r="Q103" s="30" t="s">
        <v>363</v>
      </c>
      <c r="R103" s="30" t="s">
        <v>175</v>
      </c>
      <c r="S103" s="30" t="s">
        <v>176</v>
      </c>
      <c r="T103" s="30" t="s">
        <v>510</v>
      </c>
      <c r="U103" s="30" t="s">
        <v>511</v>
      </c>
      <c r="V103" s="30" t="s">
        <v>512</v>
      </c>
      <c r="W103" s="30" t="s">
        <v>513</v>
      </c>
      <c r="X103" s="30" t="s">
        <v>179</v>
      </c>
      <c r="Y103"/>
      <c r="AA103" s="30" t="s">
        <v>181</v>
      </c>
      <c r="AB103" s="30" t="s">
        <v>477</v>
      </c>
      <c r="AC103" s="30" t="s">
        <v>56</v>
      </c>
      <c r="AD103" s="30" t="s">
        <v>478</v>
      </c>
      <c r="AE103" s="30">
        <v>20544424751</v>
      </c>
      <c r="AF103" s="30" t="s">
        <v>1794</v>
      </c>
      <c r="AG103" s="30" t="s">
        <v>497</v>
      </c>
      <c r="AH103" s="30" t="s">
        <v>185</v>
      </c>
      <c r="AI103" s="30" t="s">
        <v>498</v>
      </c>
      <c r="AJ103" s="30" t="s">
        <v>499</v>
      </c>
      <c r="AK103" s="30">
        <v>904556157</v>
      </c>
      <c r="AL103" s="30" t="s">
        <v>483</v>
      </c>
      <c r="AM103" t="s">
        <v>483</v>
      </c>
      <c r="AN103" s="30" t="s">
        <v>483</v>
      </c>
      <c r="AO103" s="30" t="s">
        <v>483</v>
      </c>
      <c r="AP103" s="30" t="s">
        <v>483</v>
      </c>
      <c r="AQ103" s="30" t="s">
        <v>483</v>
      </c>
      <c r="AR103" s="30" t="s">
        <v>483</v>
      </c>
      <c r="AS103" s="30" t="s">
        <v>63</v>
      </c>
      <c r="AT103" s="30" t="s">
        <v>64</v>
      </c>
      <c r="AU103" s="50">
        <v>46227.5</v>
      </c>
      <c r="AV103" s="50">
        <v>46227.62777777778</v>
      </c>
      <c r="AW103" s="50">
        <v>46227.647222222222</v>
      </c>
      <c r="AX103" s="50">
        <v>46227.652777777781</v>
      </c>
      <c r="AY103" s="50">
        <v>46227.686111111114</v>
      </c>
      <c r="AZ103" s="50">
        <v>46227.724305555559</v>
      </c>
      <c r="BA103" s="51"/>
      <c r="BB103" s="51"/>
      <c r="BC103" s="50">
        <v>46228.423611111109</v>
      </c>
      <c r="BD103" s="50">
        <v>46228.388888888891</v>
      </c>
      <c r="BE103" s="51"/>
      <c r="BF103" s="51"/>
      <c r="BG103" s="51"/>
      <c r="BH103" s="51">
        <v>46228.720138888886</v>
      </c>
      <c r="BI103" s="30" t="s">
        <v>65</v>
      </c>
      <c r="BJ103" s="50">
        <v>46229.5</v>
      </c>
      <c r="BK103" s="50">
        <v>46229.505555555559</v>
      </c>
      <c r="BL103" s="50">
        <v>46229.506944444445</v>
      </c>
      <c r="BM103" s="50">
        <v>46229.510416666664</v>
      </c>
      <c r="BN103" s="50">
        <v>46229.513888888891</v>
      </c>
      <c r="BR103"/>
      <c r="BS103"/>
      <c r="BT103"/>
      <c r="BU103"/>
      <c r="BV103"/>
      <c r="BW103"/>
      <c r="BX103"/>
      <c r="BY103"/>
    </row>
    <row r="104" spans="1:77">
      <c r="A104" t="s">
        <v>168</v>
      </c>
      <c r="B104" s="30">
        <v>6</v>
      </c>
      <c r="C104" s="30">
        <v>30</v>
      </c>
      <c r="D104" s="30" t="s">
        <v>169</v>
      </c>
      <c r="E104" s="30" t="s">
        <v>170</v>
      </c>
      <c r="G104" s="48">
        <v>46228</v>
      </c>
      <c r="H104" s="49"/>
      <c r="I104" s="49">
        <v>0.66666666666666663</v>
      </c>
      <c r="J104" s="30" t="s">
        <v>53</v>
      </c>
      <c r="K104" s="30" t="s">
        <v>171</v>
      </c>
      <c r="L104" s="30">
        <v>1</v>
      </c>
      <c r="M104" s="30" t="s">
        <v>514</v>
      </c>
      <c r="P104" s="30" t="s">
        <v>174</v>
      </c>
      <c r="Q104" s="30" t="s">
        <v>363</v>
      </c>
      <c r="R104" s="30" t="s">
        <v>175</v>
      </c>
      <c r="S104" s="30" t="s">
        <v>176</v>
      </c>
      <c r="T104" s="30" t="s">
        <v>515</v>
      </c>
      <c r="U104" s="30" t="s">
        <v>516</v>
      </c>
      <c r="V104" s="30" t="s">
        <v>517</v>
      </c>
      <c r="W104" s="30" t="s">
        <v>518</v>
      </c>
      <c r="X104" s="30" t="s">
        <v>179</v>
      </c>
      <c r="Y104"/>
      <c r="AA104" s="30" t="s">
        <v>181</v>
      </c>
      <c r="AB104" s="30" t="s">
        <v>477</v>
      </c>
      <c r="AC104" s="30" t="s">
        <v>56</v>
      </c>
      <c r="AD104" s="30" t="s">
        <v>478</v>
      </c>
      <c r="AE104" s="30">
        <v>20544424751</v>
      </c>
      <c r="AF104" s="30" t="s">
        <v>519</v>
      </c>
      <c r="AG104" s="30" t="s">
        <v>520</v>
      </c>
      <c r="AH104" s="30" t="s">
        <v>185</v>
      </c>
      <c r="AI104" s="30" t="s">
        <v>521</v>
      </c>
      <c r="AJ104" s="30" t="s">
        <v>522</v>
      </c>
      <c r="AK104" s="30">
        <v>914472332</v>
      </c>
      <c r="AL104" s="30" t="s">
        <v>483</v>
      </c>
      <c r="AM104" t="s">
        <v>483</v>
      </c>
      <c r="AN104" s="30" t="s">
        <v>483</v>
      </c>
      <c r="AO104" s="30" t="s">
        <v>483</v>
      </c>
      <c r="AP104" s="30" t="s">
        <v>483</v>
      </c>
      <c r="AQ104" s="30" t="s">
        <v>483</v>
      </c>
      <c r="AR104" s="30" t="s">
        <v>483</v>
      </c>
      <c r="AS104" s="30" t="s">
        <v>63</v>
      </c>
      <c r="AT104" s="30" t="s">
        <v>64</v>
      </c>
      <c r="AU104" s="50">
        <v>46228.5</v>
      </c>
      <c r="AV104" s="50">
        <v>46228.479166666664</v>
      </c>
      <c r="AW104" s="50">
        <v>46228.494444444441</v>
      </c>
      <c r="AX104" s="50">
        <v>46228.49722222222</v>
      </c>
      <c r="AY104" s="50">
        <v>46228.606249999997</v>
      </c>
      <c r="AZ104" s="50">
        <v>46229.670138888891</v>
      </c>
      <c r="BA104" s="51"/>
      <c r="BB104" s="51"/>
      <c r="BC104" s="50">
        <v>46230.291666666664</v>
      </c>
      <c r="BD104" s="50">
        <v>46230.270833333336</v>
      </c>
      <c r="BE104" s="51"/>
      <c r="BF104" s="51"/>
      <c r="BG104" s="51"/>
      <c r="BH104" s="51">
        <v>46230.811111111114</v>
      </c>
      <c r="BI104" s="30" t="s">
        <v>65</v>
      </c>
      <c r="BJ104" s="50">
        <v>46231.583333333336</v>
      </c>
      <c r="BK104" s="50">
        <v>46231.564583333333</v>
      </c>
      <c r="BL104" s="50">
        <v>46231.565972222219</v>
      </c>
      <c r="BM104" s="50">
        <v>46231.569444444445</v>
      </c>
      <c r="BN104" s="50">
        <v>46231.570833333331</v>
      </c>
      <c r="BR104"/>
      <c r="BS104"/>
      <c r="BT104"/>
      <c r="BU104"/>
      <c r="BV104"/>
      <c r="BW104"/>
      <c r="BX104"/>
      <c r="BY104"/>
    </row>
    <row r="105" spans="1:77">
      <c r="A105" t="s">
        <v>168</v>
      </c>
      <c r="B105" s="30">
        <v>7</v>
      </c>
      <c r="C105" s="30">
        <v>30</v>
      </c>
      <c r="D105" s="30" t="s">
        <v>169</v>
      </c>
      <c r="E105" s="30" t="s">
        <v>170</v>
      </c>
      <c r="G105" s="48">
        <v>46228</v>
      </c>
      <c r="H105" s="49"/>
      <c r="I105" s="49">
        <v>0.66666666666666663</v>
      </c>
      <c r="J105" s="30" t="s">
        <v>53</v>
      </c>
      <c r="K105" s="30" t="s">
        <v>171</v>
      </c>
      <c r="L105" s="30">
        <v>1</v>
      </c>
      <c r="M105" s="30" t="s">
        <v>514</v>
      </c>
      <c r="P105" s="30" t="s">
        <v>174</v>
      </c>
      <c r="Q105" s="30" t="s">
        <v>363</v>
      </c>
      <c r="R105" s="30" t="s">
        <v>175</v>
      </c>
      <c r="S105" s="30" t="s">
        <v>176</v>
      </c>
      <c r="T105" s="30" t="s">
        <v>515</v>
      </c>
      <c r="U105" s="30" t="s">
        <v>516</v>
      </c>
      <c r="V105" s="30" t="s">
        <v>517</v>
      </c>
      <c r="W105" s="30" t="s">
        <v>518</v>
      </c>
      <c r="X105" s="30" t="s">
        <v>179</v>
      </c>
      <c r="Y105"/>
      <c r="AA105" s="30" t="s">
        <v>181</v>
      </c>
      <c r="AB105" s="30" t="s">
        <v>477</v>
      </c>
      <c r="AC105" s="30" t="s">
        <v>56</v>
      </c>
      <c r="AD105" s="30" t="s">
        <v>478</v>
      </c>
      <c r="AE105" s="30">
        <v>20544424751</v>
      </c>
      <c r="AF105" s="30" t="s">
        <v>519</v>
      </c>
      <c r="AG105" s="30" t="s">
        <v>520</v>
      </c>
      <c r="AH105" s="30" t="s">
        <v>185</v>
      </c>
      <c r="AI105" s="30" t="s">
        <v>521</v>
      </c>
      <c r="AJ105" s="30" t="s">
        <v>522</v>
      </c>
      <c r="AK105" s="30">
        <v>914472332</v>
      </c>
      <c r="AL105" s="30" t="s">
        <v>483</v>
      </c>
      <c r="AM105" t="s">
        <v>483</v>
      </c>
      <c r="AN105" s="30" t="s">
        <v>483</v>
      </c>
      <c r="AO105" s="30" t="s">
        <v>483</v>
      </c>
      <c r="AP105" s="30" t="s">
        <v>483</v>
      </c>
      <c r="AQ105" s="30" t="s">
        <v>483</v>
      </c>
      <c r="AR105" s="30" t="s">
        <v>483</v>
      </c>
      <c r="AS105" s="30" t="s">
        <v>63</v>
      </c>
      <c r="AT105" s="30" t="s">
        <v>64</v>
      </c>
      <c r="AU105" s="50">
        <v>46228.5</v>
      </c>
      <c r="AV105" s="50">
        <v>46228.479166666664</v>
      </c>
      <c r="AW105" s="50">
        <v>46228.494444444441</v>
      </c>
      <c r="AX105" s="50">
        <v>46228.49722222222</v>
      </c>
      <c r="AY105" s="50">
        <v>46228.606249999997</v>
      </c>
      <c r="AZ105" s="50">
        <v>46229.670138888891</v>
      </c>
      <c r="BA105" s="51"/>
      <c r="BB105" s="51"/>
      <c r="BC105" s="50">
        <v>46230.291666666664</v>
      </c>
      <c r="BD105" s="50">
        <v>46230.270833333336</v>
      </c>
      <c r="BE105" s="51"/>
      <c r="BF105" s="51"/>
      <c r="BG105" s="51"/>
      <c r="BH105" s="51">
        <v>46230.811111111114</v>
      </c>
      <c r="BI105" s="30" t="s">
        <v>65</v>
      </c>
      <c r="BJ105" s="50">
        <v>46231.583333333336</v>
      </c>
      <c r="BK105" s="50">
        <v>46231.564583333333</v>
      </c>
      <c r="BL105" s="50">
        <v>46231.565972222219</v>
      </c>
      <c r="BM105" s="50">
        <v>46231.569444444445</v>
      </c>
      <c r="BN105" s="50">
        <v>46231.570833333331</v>
      </c>
      <c r="BR105"/>
      <c r="BS105"/>
      <c r="BT105"/>
      <c r="BU105"/>
      <c r="BV105"/>
      <c r="BW105"/>
      <c r="BX105"/>
      <c r="BY105"/>
    </row>
    <row r="106" spans="1:77">
      <c r="A106" t="s">
        <v>168</v>
      </c>
      <c r="B106" s="30">
        <v>8</v>
      </c>
      <c r="C106" s="30">
        <v>30</v>
      </c>
      <c r="D106" s="30" t="s">
        <v>169</v>
      </c>
      <c r="E106" s="30" t="s">
        <v>170</v>
      </c>
      <c r="G106" s="48">
        <v>46228</v>
      </c>
      <c r="H106" s="49"/>
      <c r="I106" s="49">
        <v>0.33333333333333331</v>
      </c>
      <c r="J106" s="30" t="s">
        <v>53</v>
      </c>
      <c r="K106" s="30" t="s">
        <v>171</v>
      </c>
      <c r="L106" s="30">
        <v>1</v>
      </c>
      <c r="M106" s="30" t="s">
        <v>523</v>
      </c>
      <c r="P106" s="30" t="s">
        <v>174</v>
      </c>
      <c r="Q106" s="30" t="s">
        <v>363</v>
      </c>
      <c r="R106" s="30" t="s">
        <v>175</v>
      </c>
      <c r="S106" s="30" t="s">
        <v>176</v>
      </c>
      <c r="T106" s="30" t="s">
        <v>524</v>
      </c>
      <c r="U106" s="30" t="s">
        <v>525</v>
      </c>
      <c r="V106" s="30" t="s">
        <v>526</v>
      </c>
      <c r="W106" s="30" t="s">
        <v>527</v>
      </c>
      <c r="X106" s="30" t="s">
        <v>179</v>
      </c>
      <c r="Y106"/>
      <c r="AA106" s="30" t="s">
        <v>181</v>
      </c>
      <c r="AB106" s="30" t="s">
        <v>477</v>
      </c>
      <c r="AC106" s="30" t="s">
        <v>56</v>
      </c>
      <c r="AD106" s="30" t="s">
        <v>478</v>
      </c>
      <c r="AE106" s="30">
        <v>20544424751</v>
      </c>
      <c r="AF106" s="30" t="s">
        <v>479</v>
      </c>
      <c r="AG106" s="30" t="s">
        <v>480</v>
      </c>
      <c r="AH106" s="30" t="s">
        <v>185</v>
      </c>
      <c r="AI106" s="30" t="s">
        <v>481</v>
      </c>
      <c r="AJ106" s="30" t="s">
        <v>482</v>
      </c>
      <c r="AK106" s="30">
        <v>934270711</v>
      </c>
      <c r="AL106" s="30" t="s">
        <v>483</v>
      </c>
      <c r="AM106" t="s">
        <v>483</v>
      </c>
      <c r="AN106" s="30" t="s">
        <v>483</v>
      </c>
      <c r="AO106" s="30" t="s">
        <v>483</v>
      </c>
      <c r="AP106" s="30" t="s">
        <v>483</v>
      </c>
      <c r="AQ106" s="30" t="s">
        <v>483</v>
      </c>
      <c r="AR106" s="30" t="s">
        <v>483</v>
      </c>
      <c r="AS106" s="30" t="s">
        <v>63</v>
      </c>
      <c r="AT106" s="30" t="s">
        <v>64</v>
      </c>
      <c r="AU106" s="50">
        <v>46228.5</v>
      </c>
      <c r="AV106" s="50">
        <v>46228.48333333333</v>
      </c>
      <c r="AW106" s="50">
        <v>46228.504166666666</v>
      </c>
      <c r="AX106" s="50">
        <v>46228.510416666664</v>
      </c>
      <c r="AY106" s="50">
        <v>46228.618750000001</v>
      </c>
      <c r="AZ106" s="50">
        <v>46229.543055555558</v>
      </c>
      <c r="BA106" s="51"/>
      <c r="BB106" s="51"/>
      <c r="BC106" s="50">
        <v>46230.352083333331</v>
      </c>
      <c r="BD106" s="50">
        <v>46230.333333333336</v>
      </c>
      <c r="BE106" s="51"/>
      <c r="BF106" s="51"/>
      <c r="BG106" s="51"/>
      <c r="BH106" s="51">
        <v>46230.710416666669</v>
      </c>
      <c r="BI106" s="30" t="s">
        <v>65</v>
      </c>
      <c r="BJ106" s="50">
        <v>46231.458333333336</v>
      </c>
      <c r="BK106" s="50">
        <v>46231.416666666664</v>
      </c>
      <c r="BL106" s="50">
        <v>46231.425000000003</v>
      </c>
      <c r="BM106" s="50">
        <v>46231.428472222222</v>
      </c>
      <c r="BN106" s="50">
        <v>46231.436111111114</v>
      </c>
      <c r="BR106"/>
      <c r="BS106"/>
      <c r="BT106"/>
      <c r="BU106"/>
      <c r="BV106"/>
      <c r="BW106"/>
      <c r="BX106"/>
      <c r="BY106"/>
    </row>
    <row r="107" spans="1:77">
      <c r="A107" t="s">
        <v>168</v>
      </c>
      <c r="B107" s="30">
        <v>9</v>
      </c>
      <c r="C107" s="30">
        <v>31</v>
      </c>
      <c r="D107" s="30" t="s">
        <v>169</v>
      </c>
      <c r="E107" s="30" t="s">
        <v>170</v>
      </c>
      <c r="G107" s="48">
        <v>46232</v>
      </c>
      <c r="H107" s="49"/>
      <c r="I107" s="49">
        <v>0.58333333333333337</v>
      </c>
      <c r="J107" s="30" t="s">
        <v>53</v>
      </c>
      <c r="K107" s="30" t="s">
        <v>171</v>
      </c>
      <c r="L107" s="30">
        <v>1</v>
      </c>
      <c r="M107" s="30" t="s">
        <v>528</v>
      </c>
      <c r="P107" s="30" t="s">
        <v>174</v>
      </c>
      <c r="Q107" s="30" t="s">
        <v>363</v>
      </c>
      <c r="R107" s="30" t="s">
        <v>374</v>
      </c>
      <c r="S107" s="30" t="s">
        <v>176</v>
      </c>
      <c r="T107" s="30" t="s">
        <v>529</v>
      </c>
      <c r="U107" s="30" t="s">
        <v>530</v>
      </c>
      <c r="V107" s="30" t="s">
        <v>531</v>
      </c>
      <c r="W107" s="30" t="s">
        <v>532</v>
      </c>
      <c r="X107" s="30" t="s">
        <v>180</v>
      </c>
      <c r="Y107"/>
      <c r="AA107" s="30" t="s">
        <v>181</v>
      </c>
      <c r="AB107" s="30" t="s">
        <v>477</v>
      </c>
      <c r="AC107" s="30" t="s">
        <v>56</v>
      </c>
      <c r="AD107" s="30" t="s">
        <v>478</v>
      </c>
      <c r="AE107" s="30">
        <v>20544424751</v>
      </c>
      <c r="AF107" s="30" t="s">
        <v>533</v>
      </c>
      <c r="AG107" s="30" t="s">
        <v>534</v>
      </c>
      <c r="AH107" s="30" t="s">
        <v>185</v>
      </c>
      <c r="AI107" s="30" t="s">
        <v>535</v>
      </c>
      <c r="AJ107" s="30" t="s">
        <v>536</v>
      </c>
      <c r="AK107" s="30">
        <v>986078320</v>
      </c>
      <c r="AL107" s="30" t="s">
        <v>483</v>
      </c>
      <c r="AM107" t="s">
        <v>483</v>
      </c>
      <c r="AN107" s="30" t="s">
        <v>483</v>
      </c>
      <c r="AO107" s="30" t="s">
        <v>483</v>
      </c>
      <c r="AP107" s="30" t="s">
        <v>483</v>
      </c>
      <c r="AQ107" s="30" t="s">
        <v>483</v>
      </c>
      <c r="AR107" s="30" t="s">
        <v>483</v>
      </c>
      <c r="AS107" s="30" t="s">
        <v>63</v>
      </c>
      <c r="AT107" s="30" t="s">
        <v>380</v>
      </c>
      <c r="AU107" s="50">
        <v>46232.680555555555</v>
      </c>
      <c r="AV107" s="50">
        <v>46232.683333333334</v>
      </c>
      <c r="AW107" s="50">
        <v>46232.695833333331</v>
      </c>
      <c r="AX107" s="50">
        <v>46232.697222222225</v>
      </c>
      <c r="AY107" s="50">
        <v>46232.754861111112</v>
      </c>
      <c r="AZ107" s="50">
        <v>46232.769444444442</v>
      </c>
      <c r="BA107" s="51"/>
      <c r="BB107" s="51"/>
      <c r="BC107" s="50">
        <v>46233.536111111112</v>
      </c>
      <c r="BD107" s="50">
        <v>46233.522222222222</v>
      </c>
      <c r="BE107" s="51"/>
      <c r="BF107" s="51"/>
      <c r="BG107" s="51"/>
      <c r="BH107" s="51">
        <v>46233.643750000003</v>
      </c>
      <c r="BI107" s="30" t="s">
        <v>65</v>
      </c>
      <c r="BJ107" s="50">
        <v>46234.416666666664</v>
      </c>
      <c r="BK107" s="50">
        <v>46234.430555555555</v>
      </c>
      <c r="BL107" s="50">
        <v>46234.4375</v>
      </c>
      <c r="BM107" s="50">
        <v>46234.440972222219</v>
      </c>
      <c r="BN107" s="50">
        <v>46234.447916666664</v>
      </c>
      <c r="BR107"/>
      <c r="BS107"/>
      <c r="BT107"/>
      <c r="BU107"/>
      <c r="BV107"/>
      <c r="BW107"/>
      <c r="BX107"/>
      <c r="BY107"/>
    </row>
    <row r="108" spans="1:77">
      <c r="A108" t="s">
        <v>168</v>
      </c>
      <c r="B108" s="30">
        <v>10</v>
      </c>
      <c r="C108" s="30">
        <v>31</v>
      </c>
      <c r="D108" s="30" t="s">
        <v>169</v>
      </c>
      <c r="E108" s="30" t="s">
        <v>170</v>
      </c>
      <c r="G108" s="48">
        <v>46233</v>
      </c>
      <c r="H108" s="49"/>
      <c r="I108" s="49">
        <v>0.33333333333333331</v>
      </c>
      <c r="J108" s="30" t="s">
        <v>53</v>
      </c>
      <c r="K108" s="30" t="s">
        <v>171</v>
      </c>
      <c r="L108" s="30">
        <v>1</v>
      </c>
      <c r="M108" s="30" t="s">
        <v>537</v>
      </c>
      <c r="P108" s="30" t="s">
        <v>174</v>
      </c>
      <c r="Q108" s="30" t="s">
        <v>363</v>
      </c>
      <c r="R108" s="30" t="s">
        <v>374</v>
      </c>
      <c r="S108" s="30" t="s">
        <v>176</v>
      </c>
      <c r="T108" s="30" t="s">
        <v>538</v>
      </c>
      <c r="U108" s="30" t="s">
        <v>539</v>
      </c>
      <c r="V108" s="30" t="s">
        <v>540</v>
      </c>
      <c r="W108" s="30" t="s">
        <v>541</v>
      </c>
      <c r="X108" s="30" t="s">
        <v>180</v>
      </c>
      <c r="Y108"/>
      <c r="AA108" s="30" t="s">
        <v>181</v>
      </c>
      <c r="AB108" s="30" t="s">
        <v>477</v>
      </c>
      <c r="AC108" s="30" t="s">
        <v>56</v>
      </c>
      <c r="AD108" s="30" t="s">
        <v>478</v>
      </c>
      <c r="AE108" s="30">
        <v>20544424751</v>
      </c>
      <c r="AF108" s="30" t="s">
        <v>519</v>
      </c>
      <c r="AG108" s="30" t="s">
        <v>520</v>
      </c>
      <c r="AH108" s="30" t="s">
        <v>185</v>
      </c>
      <c r="AI108" s="30" t="s">
        <v>521</v>
      </c>
      <c r="AJ108" s="30" t="s">
        <v>522</v>
      </c>
      <c r="AK108" s="30">
        <v>914472332</v>
      </c>
      <c r="AL108" s="30" t="s">
        <v>483</v>
      </c>
      <c r="AM108" t="s">
        <v>483</v>
      </c>
      <c r="AN108" s="30" t="s">
        <v>483</v>
      </c>
      <c r="AO108" s="30" t="s">
        <v>483</v>
      </c>
      <c r="AP108" s="30" t="s">
        <v>483</v>
      </c>
      <c r="AQ108" s="30" t="s">
        <v>483</v>
      </c>
      <c r="AR108" s="30" t="s">
        <v>483</v>
      </c>
      <c r="AS108" s="30" t="s">
        <v>63</v>
      </c>
      <c r="AT108" s="30" t="s">
        <v>380</v>
      </c>
      <c r="AU108" s="50">
        <v>46233.458333333336</v>
      </c>
      <c r="AV108" s="50">
        <v>46233.478472222225</v>
      </c>
      <c r="AW108" s="50">
        <v>46233.494444444441</v>
      </c>
      <c r="AX108" s="50">
        <v>46233.503472222219</v>
      </c>
      <c r="AY108" s="50">
        <v>46233.548611111109</v>
      </c>
      <c r="AZ108" s="50">
        <v>46233.593055555553</v>
      </c>
      <c r="BA108" s="51"/>
      <c r="BB108" s="51"/>
      <c r="BC108" s="50">
        <v>46234.366666666669</v>
      </c>
      <c r="BD108" s="50">
        <v>46234.333333333336</v>
      </c>
      <c r="BE108" s="51"/>
      <c r="BF108" s="51"/>
      <c r="BG108" s="51"/>
      <c r="BH108" s="51">
        <v>46234.605555555558</v>
      </c>
      <c r="BI108" s="30" t="s">
        <v>65</v>
      </c>
      <c r="BJ108" s="50">
        <v>46235.458333333336</v>
      </c>
      <c r="BK108" s="50">
        <v>46235.386805555558</v>
      </c>
      <c r="BL108" s="50">
        <v>46235.390972222223</v>
      </c>
      <c r="BM108" s="50">
        <v>46235.397222222222</v>
      </c>
      <c r="BN108" s="50">
        <v>46235.40625</v>
      </c>
      <c r="BR108"/>
      <c r="BS108"/>
      <c r="BT108"/>
      <c r="BU108"/>
      <c r="BV108"/>
      <c r="BW108"/>
      <c r="BX108"/>
      <c r="BY108"/>
    </row>
    <row r="109" spans="1:77">
      <c r="A109" t="s">
        <v>168</v>
      </c>
      <c r="B109" s="30">
        <v>11</v>
      </c>
      <c r="C109" s="30">
        <v>31</v>
      </c>
      <c r="D109" s="30" t="s">
        <v>169</v>
      </c>
      <c r="E109" s="30" t="s">
        <v>170</v>
      </c>
      <c r="G109" s="48">
        <v>46235</v>
      </c>
      <c r="H109" s="49"/>
      <c r="I109" s="49">
        <v>0.58333333333333337</v>
      </c>
      <c r="J109" s="30" t="s">
        <v>53</v>
      </c>
      <c r="K109" s="30" t="s">
        <v>171</v>
      </c>
      <c r="L109" s="30">
        <v>1</v>
      </c>
      <c r="M109" s="30" t="s">
        <v>542</v>
      </c>
      <c r="P109" s="30" t="s">
        <v>174</v>
      </c>
      <c r="Q109" s="30" t="s">
        <v>363</v>
      </c>
      <c r="R109" s="30" t="s">
        <v>407</v>
      </c>
      <c r="S109" s="30" t="s">
        <v>176</v>
      </c>
      <c r="T109" s="30" t="s">
        <v>543</v>
      </c>
      <c r="U109" s="30" t="s">
        <v>544</v>
      </c>
      <c r="V109" s="30" t="s">
        <v>545</v>
      </c>
      <c r="W109" s="30" t="s">
        <v>546</v>
      </c>
      <c r="X109" s="30" t="s">
        <v>179</v>
      </c>
      <c r="Y109"/>
      <c r="AA109" s="30" t="s">
        <v>181</v>
      </c>
      <c r="AB109" s="30" t="s">
        <v>477</v>
      </c>
      <c r="AC109" s="30" t="s">
        <v>56</v>
      </c>
      <c r="AD109" s="30" t="s">
        <v>478</v>
      </c>
      <c r="AE109" s="30">
        <v>20544424751</v>
      </c>
      <c r="AF109" s="30" t="s">
        <v>479</v>
      </c>
      <c r="AG109" s="30" t="s">
        <v>480</v>
      </c>
      <c r="AH109" s="30" t="s">
        <v>185</v>
      </c>
      <c r="AI109" s="30" t="s">
        <v>481</v>
      </c>
      <c r="AJ109" s="30" t="s">
        <v>482</v>
      </c>
      <c r="AK109" s="30">
        <v>934270711</v>
      </c>
      <c r="AL109" s="30" t="s">
        <v>483</v>
      </c>
      <c r="AM109" t="s">
        <v>483</v>
      </c>
      <c r="AN109" s="30" t="s">
        <v>483</v>
      </c>
      <c r="AO109" s="30" t="s">
        <v>483</v>
      </c>
      <c r="AP109" s="30" t="s">
        <v>483</v>
      </c>
      <c r="AQ109" s="30" t="s">
        <v>483</v>
      </c>
      <c r="AR109" s="30" t="s">
        <v>483</v>
      </c>
      <c r="AS109" s="30" t="s">
        <v>63</v>
      </c>
      <c r="AT109" s="30" t="s">
        <v>64</v>
      </c>
      <c r="AU109" s="50">
        <v>46235.5</v>
      </c>
      <c r="AV109" s="50">
        <v>46235.478472222225</v>
      </c>
      <c r="AW109" s="50">
        <v>46235.498611111114</v>
      </c>
      <c r="AX109" s="50">
        <v>46235.51666666667</v>
      </c>
      <c r="AY109" s="50">
        <v>46235.532638888886</v>
      </c>
      <c r="AZ109" s="50">
        <v>46235.75</v>
      </c>
      <c r="BA109" s="51"/>
      <c r="BB109" s="51"/>
      <c r="BC109" s="50">
        <v>46236.579861111109</v>
      </c>
      <c r="BD109" s="50">
        <v>46236.541666666664</v>
      </c>
      <c r="BE109" s="51"/>
      <c r="BF109" s="51"/>
      <c r="BG109" s="51"/>
      <c r="BH109" s="51">
        <v>46236.914583333331</v>
      </c>
      <c r="BI109" s="30" t="s">
        <v>65</v>
      </c>
      <c r="BJ109" s="50">
        <v>46237.791666666664</v>
      </c>
      <c r="BK109" s="50">
        <v>46237.75</v>
      </c>
      <c r="BL109" s="50">
        <v>46237.752083333333</v>
      </c>
      <c r="BM109" s="50">
        <v>46237.760416666664</v>
      </c>
      <c r="BN109" s="50">
        <v>46237.774305555555</v>
      </c>
      <c r="BR109"/>
      <c r="BS109"/>
      <c r="BT109"/>
      <c r="BU109"/>
      <c r="BV109"/>
      <c r="BW109"/>
      <c r="BX109"/>
      <c r="BY109"/>
    </row>
    <row r="110" spans="1:77">
      <c r="A110" t="s">
        <v>168</v>
      </c>
      <c r="B110" s="30">
        <v>12</v>
      </c>
      <c r="C110" s="30">
        <v>31</v>
      </c>
      <c r="D110" s="30" t="s">
        <v>169</v>
      </c>
      <c r="E110" s="30" t="s">
        <v>170</v>
      </c>
      <c r="G110" s="48">
        <v>46235</v>
      </c>
      <c r="H110" s="49"/>
      <c r="I110" s="49">
        <v>0.58333333333333337</v>
      </c>
      <c r="J110" s="30" t="s">
        <v>53</v>
      </c>
      <c r="K110" s="30" t="s">
        <v>171</v>
      </c>
      <c r="L110" s="30">
        <v>1</v>
      </c>
      <c r="M110" s="30" t="s">
        <v>547</v>
      </c>
      <c r="P110" s="30" t="s">
        <v>174</v>
      </c>
      <c r="Q110" s="30" t="s">
        <v>363</v>
      </c>
      <c r="R110" s="30" t="s">
        <v>548</v>
      </c>
      <c r="S110" s="30" t="s">
        <v>549</v>
      </c>
      <c r="T110" s="30" t="s">
        <v>550</v>
      </c>
      <c r="U110" s="30" t="s">
        <v>551</v>
      </c>
      <c r="V110" s="30" t="s">
        <v>552</v>
      </c>
      <c r="W110" s="30" t="s">
        <v>553</v>
      </c>
      <c r="X110" s="30" t="s">
        <v>179</v>
      </c>
      <c r="Y110"/>
      <c r="AA110" s="30" t="s">
        <v>181</v>
      </c>
      <c r="AB110" s="30" t="s">
        <v>477</v>
      </c>
      <c r="AC110" s="30" t="s">
        <v>56</v>
      </c>
      <c r="AD110" s="30" t="s">
        <v>478</v>
      </c>
      <c r="AE110" s="30">
        <v>20544424751</v>
      </c>
      <c r="AF110" s="30" t="s">
        <v>1794</v>
      </c>
      <c r="AG110" s="30" t="s">
        <v>497</v>
      </c>
      <c r="AH110" s="30" t="s">
        <v>185</v>
      </c>
      <c r="AI110" s="30" t="s">
        <v>498</v>
      </c>
      <c r="AJ110" s="30" t="s">
        <v>499</v>
      </c>
      <c r="AK110" s="30">
        <v>904556157</v>
      </c>
      <c r="AL110" s="30" t="s">
        <v>483</v>
      </c>
      <c r="AM110" t="s">
        <v>483</v>
      </c>
      <c r="AN110" s="30" t="s">
        <v>483</v>
      </c>
      <c r="AO110" s="30" t="s">
        <v>483</v>
      </c>
      <c r="AP110" s="30" t="s">
        <v>483</v>
      </c>
      <c r="AQ110" s="30" t="s">
        <v>483</v>
      </c>
      <c r="AR110" s="30" t="s">
        <v>483</v>
      </c>
      <c r="AS110" s="30" t="s">
        <v>63</v>
      </c>
      <c r="AT110" s="30" t="s">
        <v>64</v>
      </c>
      <c r="AU110" s="50">
        <v>46235.5</v>
      </c>
      <c r="AV110" s="50">
        <v>46235.46875</v>
      </c>
      <c r="AW110" s="50">
        <v>46235.600694444445</v>
      </c>
      <c r="AX110" s="50">
        <v>46235.628472222219</v>
      </c>
      <c r="AY110" s="50">
        <v>46235.714583333334</v>
      </c>
      <c r="AZ110" s="50">
        <v>46235.736111111109</v>
      </c>
      <c r="BA110" s="51"/>
      <c r="BB110" s="51"/>
      <c r="BC110" s="50">
        <v>46236.620833333334</v>
      </c>
      <c r="BD110" s="50">
        <v>46236.583333333336</v>
      </c>
      <c r="BE110" s="51"/>
      <c r="BF110" s="51"/>
      <c r="BG110" s="51"/>
      <c r="BH110" s="51">
        <v>46236.914583333331</v>
      </c>
      <c r="BI110" s="30" t="s">
        <v>65</v>
      </c>
      <c r="BJ110" s="50">
        <v>46237.791666666664</v>
      </c>
      <c r="BK110" s="50">
        <v>46237.755555555559</v>
      </c>
      <c r="BL110" s="50">
        <v>46237.757638888892</v>
      </c>
      <c r="BM110" s="50">
        <v>46237.765972222223</v>
      </c>
      <c r="BN110" s="50">
        <v>46237.775694444441</v>
      </c>
      <c r="BR110"/>
      <c r="BS110"/>
      <c r="BT110"/>
      <c r="BU110"/>
      <c r="BV110"/>
      <c r="BW110"/>
      <c r="BX110"/>
      <c r="BY110"/>
    </row>
    <row r="111" spans="1:77">
      <c r="A111" t="s">
        <v>168</v>
      </c>
      <c r="B111" s="30">
        <v>13</v>
      </c>
      <c r="C111" s="30">
        <v>31</v>
      </c>
      <c r="D111" s="30" t="s">
        <v>169</v>
      </c>
      <c r="E111" s="30" t="s">
        <v>170</v>
      </c>
      <c r="G111" s="48">
        <v>46235</v>
      </c>
      <c r="H111" s="49"/>
      <c r="I111" s="49">
        <v>0.58333333333333337</v>
      </c>
      <c r="J111" s="30" t="s">
        <v>53</v>
      </c>
      <c r="K111" s="30" t="s">
        <v>171</v>
      </c>
      <c r="L111" s="30">
        <v>1</v>
      </c>
      <c r="M111" s="30" t="s">
        <v>554</v>
      </c>
      <c r="P111" s="30" t="s">
        <v>174</v>
      </c>
      <c r="Q111" s="30" t="s">
        <v>363</v>
      </c>
      <c r="R111" s="30" t="s">
        <v>548</v>
      </c>
      <c r="S111" s="30" t="s">
        <v>549</v>
      </c>
      <c r="T111" s="30" t="s">
        <v>555</v>
      </c>
      <c r="U111" s="30" t="s">
        <v>556</v>
      </c>
      <c r="V111" s="30" t="s">
        <v>557</v>
      </c>
      <c r="W111" s="30" t="s">
        <v>558</v>
      </c>
      <c r="X111" s="30" t="s">
        <v>179</v>
      </c>
      <c r="Y111"/>
      <c r="AA111" s="30" t="s">
        <v>181</v>
      </c>
      <c r="AB111" s="30" t="s">
        <v>477</v>
      </c>
      <c r="AC111" s="30" t="s">
        <v>56</v>
      </c>
      <c r="AD111" s="30" t="s">
        <v>478</v>
      </c>
      <c r="AE111" s="30">
        <v>20544424751</v>
      </c>
      <c r="AF111" s="30" t="s">
        <v>519</v>
      </c>
      <c r="AG111" s="30" t="s">
        <v>520</v>
      </c>
      <c r="AH111" s="30" t="s">
        <v>185</v>
      </c>
      <c r="AI111" s="30" t="s">
        <v>521</v>
      </c>
      <c r="AJ111" s="30" t="s">
        <v>522</v>
      </c>
      <c r="AK111" s="30">
        <v>914472332</v>
      </c>
      <c r="AL111" s="30" t="s">
        <v>483</v>
      </c>
      <c r="AM111" t="s">
        <v>483</v>
      </c>
      <c r="AN111" s="30" t="s">
        <v>483</v>
      </c>
      <c r="AO111" s="30" t="s">
        <v>483</v>
      </c>
      <c r="AP111" s="30" t="s">
        <v>483</v>
      </c>
      <c r="AQ111" s="30" t="s">
        <v>483</v>
      </c>
      <c r="AR111" s="30" t="s">
        <v>483</v>
      </c>
      <c r="AS111" s="30" t="s">
        <v>63</v>
      </c>
      <c r="AT111" s="30" t="s">
        <v>64</v>
      </c>
      <c r="AU111" s="50">
        <v>46235.5</v>
      </c>
      <c r="AV111" s="50">
        <v>46235.513888888891</v>
      </c>
      <c r="AW111" s="50">
        <v>46235.602083333331</v>
      </c>
      <c r="AX111" s="50">
        <v>46235.640277777777</v>
      </c>
      <c r="AY111" s="50">
        <v>46235.647916666669</v>
      </c>
      <c r="AZ111" s="50">
        <v>46235.739583333336</v>
      </c>
      <c r="BA111" s="51"/>
      <c r="BB111" s="51"/>
      <c r="BC111" s="50">
        <v>46236.657638888886</v>
      </c>
      <c r="BD111" s="50">
        <v>46236.625</v>
      </c>
      <c r="BE111" s="51"/>
      <c r="BF111" s="51"/>
      <c r="BG111" s="51"/>
      <c r="BH111" s="51">
        <v>46236.914583333331</v>
      </c>
      <c r="BI111" s="30" t="s">
        <v>65</v>
      </c>
      <c r="BJ111" s="50">
        <v>46237.791666666664</v>
      </c>
      <c r="BK111" s="50">
        <v>46237.755555555559</v>
      </c>
      <c r="BL111" s="50">
        <v>46237.758333333331</v>
      </c>
      <c r="BM111" s="50">
        <v>46237.763888888891</v>
      </c>
      <c r="BN111" s="50">
        <v>46237.775000000001</v>
      </c>
      <c r="BR111"/>
      <c r="BS111"/>
      <c r="BT111"/>
      <c r="BU111"/>
      <c r="BV111"/>
      <c r="BW111"/>
      <c r="BX111"/>
      <c r="BY111"/>
    </row>
    <row r="112" spans="1:77">
      <c r="A112" t="s">
        <v>168</v>
      </c>
      <c r="B112" s="30">
        <v>14</v>
      </c>
      <c r="C112" s="30">
        <v>31</v>
      </c>
      <c r="D112" s="30" t="s">
        <v>169</v>
      </c>
      <c r="E112" s="30" t="s">
        <v>170</v>
      </c>
      <c r="G112" s="48">
        <v>46235</v>
      </c>
      <c r="H112" s="49"/>
      <c r="I112" s="49">
        <v>0.66666666666666663</v>
      </c>
      <c r="J112" s="30" t="s">
        <v>53</v>
      </c>
      <c r="K112" s="30" t="s">
        <v>171</v>
      </c>
      <c r="L112" s="30">
        <v>1</v>
      </c>
      <c r="M112" s="30" t="s">
        <v>559</v>
      </c>
      <c r="P112" s="30" t="s">
        <v>174</v>
      </c>
      <c r="Q112" s="30" t="s">
        <v>363</v>
      </c>
      <c r="R112" s="30" t="s">
        <v>407</v>
      </c>
      <c r="S112" s="30" t="s">
        <v>176</v>
      </c>
      <c r="T112" s="30" t="s">
        <v>560</v>
      </c>
      <c r="U112" s="30" t="s">
        <v>561</v>
      </c>
      <c r="V112" s="30" t="s">
        <v>562</v>
      </c>
      <c r="W112" s="30" t="s">
        <v>563</v>
      </c>
      <c r="X112" s="30" t="s">
        <v>179</v>
      </c>
      <c r="Y112"/>
      <c r="AA112" s="30" t="s">
        <v>181</v>
      </c>
      <c r="AB112" s="30" t="s">
        <v>477</v>
      </c>
      <c r="AC112" s="30" t="s">
        <v>56</v>
      </c>
      <c r="AD112" s="30" t="s">
        <v>478</v>
      </c>
      <c r="AE112" s="30">
        <v>20544424751</v>
      </c>
      <c r="AF112" s="30" t="s">
        <v>533</v>
      </c>
      <c r="AG112" s="30" t="s">
        <v>534</v>
      </c>
      <c r="AH112" s="30" t="s">
        <v>185</v>
      </c>
      <c r="AI112" s="30" t="s">
        <v>535</v>
      </c>
      <c r="AJ112" s="30" t="s">
        <v>536</v>
      </c>
      <c r="AK112" s="30">
        <v>986078320</v>
      </c>
      <c r="AL112" s="30" t="s">
        <v>483</v>
      </c>
      <c r="AM112" t="s">
        <v>483</v>
      </c>
      <c r="AN112" s="30" t="s">
        <v>483</v>
      </c>
      <c r="AO112" s="30" t="s">
        <v>483</v>
      </c>
      <c r="AP112" s="30" t="s">
        <v>483</v>
      </c>
      <c r="AQ112" s="30" t="s">
        <v>483</v>
      </c>
      <c r="AR112" s="30" t="s">
        <v>483</v>
      </c>
      <c r="AS112" s="30" t="s">
        <v>63</v>
      </c>
      <c r="AT112" s="30" t="s">
        <v>64</v>
      </c>
      <c r="AU112" s="50">
        <v>46235.708333333336</v>
      </c>
      <c r="AV112" s="50">
        <v>46235.70416666667</v>
      </c>
      <c r="AW112" s="50">
        <v>46235.715277777781</v>
      </c>
      <c r="AX112" s="50">
        <v>46235.71875</v>
      </c>
      <c r="AY112" s="50">
        <v>46235.767361111109</v>
      </c>
      <c r="AZ112" s="50">
        <v>46235.78402777778</v>
      </c>
      <c r="BA112" s="51"/>
      <c r="BB112" s="51"/>
      <c r="BC112" s="50">
        <v>46236.611111111109</v>
      </c>
      <c r="BD112" s="50">
        <v>46236.583333333336</v>
      </c>
      <c r="BE112" s="51"/>
      <c r="BF112" s="51"/>
      <c r="BG112" s="51"/>
      <c r="BH112" s="51">
        <v>46236.914583333331</v>
      </c>
      <c r="BI112" s="30" t="s">
        <v>65</v>
      </c>
      <c r="BJ112" s="50">
        <v>46237.791666666664</v>
      </c>
      <c r="BK112" s="50">
        <v>46237.754861111112</v>
      </c>
      <c r="BL112" s="50">
        <v>46237.757638888892</v>
      </c>
      <c r="BM112" s="50">
        <v>46237.765972222223</v>
      </c>
      <c r="BN112" s="50">
        <v>46237.775000000001</v>
      </c>
      <c r="BR112"/>
      <c r="BS112"/>
      <c r="BT112"/>
      <c r="BU112"/>
      <c r="BV112"/>
      <c r="BW112"/>
      <c r="BX112"/>
      <c r="BY112"/>
    </row>
    <row r="113" spans="1:77">
      <c r="A113" t="s">
        <v>168</v>
      </c>
      <c r="B113" s="30">
        <v>15</v>
      </c>
      <c r="C113" s="30">
        <v>31</v>
      </c>
      <c r="D113" s="30" t="s">
        <v>169</v>
      </c>
      <c r="E113" s="30" t="s">
        <v>170</v>
      </c>
      <c r="G113" s="48">
        <v>46236</v>
      </c>
      <c r="H113" s="49"/>
      <c r="I113" s="49">
        <v>0.58333333333333337</v>
      </c>
      <c r="J113" s="30" t="s">
        <v>53</v>
      </c>
      <c r="K113" s="30" t="s">
        <v>171</v>
      </c>
      <c r="L113" s="30">
        <v>0.5</v>
      </c>
      <c r="M113" s="30" t="s">
        <v>564</v>
      </c>
      <c r="P113" s="30" t="s">
        <v>174</v>
      </c>
      <c r="Q113" s="30" t="s">
        <v>363</v>
      </c>
      <c r="R113" s="30" t="s">
        <v>175</v>
      </c>
      <c r="S113" s="30" t="s">
        <v>176</v>
      </c>
      <c r="T113" s="30" t="s">
        <v>565</v>
      </c>
      <c r="U113" s="30" t="s">
        <v>566</v>
      </c>
      <c r="V113" s="30" t="s">
        <v>567</v>
      </c>
      <c r="W113" s="30" t="s">
        <v>568</v>
      </c>
      <c r="X113" s="30" t="s">
        <v>179</v>
      </c>
      <c r="Y113"/>
      <c r="AA113" s="30" t="s">
        <v>181</v>
      </c>
      <c r="AB113" s="30" t="s">
        <v>477</v>
      </c>
      <c r="AC113" s="30" t="s">
        <v>56</v>
      </c>
      <c r="AD113" s="30" t="s">
        <v>478</v>
      </c>
      <c r="AE113" s="30">
        <v>20544424751</v>
      </c>
      <c r="AF113" s="30" t="s">
        <v>1793</v>
      </c>
      <c r="AG113" s="30" t="s">
        <v>489</v>
      </c>
      <c r="AH113" s="30" t="s">
        <v>185</v>
      </c>
      <c r="AI113" s="30" t="s">
        <v>490</v>
      </c>
      <c r="AJ113" s="30" t="s">
        <v>491</v>
      </c>
      <c r="AK113" s="30">
        <v>946500525</v>
      </c>
      <c r="AL113" s="30" t="s">
        <v>483</v>
      </c>
      <c r="AM113" t="s">
        <v>483</v>
      </c>
      <c r="AN113" s="30" t="s">
        <v>483</v>
      </c>
      <c r="AO113" s="30" t="s">
        <v>483</v>
      </c>
      <c r="AP113" s="30" t="s">
        <v>483</v>
      </c>
      <c r="AQ113" s="30" t="s">
        <v>483</v>
      </c>
      <c r="AR113" s="30" t="s">
        <v>483</v>
      </c>
      <c r="AS113" s="30" t="s">
        <v>63</v>
      </c>
      <c r="AT113" s="30" t="s">
        <v>64</v>
      </c>
      <c r="AU113" s="50">
        <v>46236.416666666664</v>
      </c>
      <c r="AV113" s="50">
        <v>46236.423611111109</v>
      </c>
      <c r="AW113" s="50">
        <v>46236.444444444445</v>
      </c>
      <c r="AX113" s="50">
        <v>46236.493055555555</v>
      </c>
      <c r="AY113" s="50">
        <v>46236.500694444447</v>
      </c>
      <c r="AZ113" s="50">
        <v>46236.576388888891</v>
      </c>
      <c r="BA113" s="51"/>
      <c r="BB113" s="51"/>
      <c r="BC113" s="50">
        <v>46237.565972222219</v>
      </c>
      <c r="BD113" s="50">
        <v>46237.541666666664</v>
      </c>
      <c r="BE113" s="51"/>
      <c r="BF113" s="51"/>
      <c r="BG113" s="51"/>
      <c r="BH113" s="51">
        <v>46237.779861111114</v>
      </c>
      <c r="BI113" s="30" t="s">
        <v>65</v>
      </c>
      <c r="BJ113" s="50">
        <v>46238.583333333336</v>
      </c>
      <c r="BK113" s="50">
        <v>46238.550694444442</v>
      </c>
      <c r="BL113" s="50">
        <v>46238.560416666667</v>
      </c>
      <c r="BM113" s="50">
        <v>46238.570138888892</v>
      </c>
      <c r="BN113" s="50">
        <v>46238.572222222225</v>
      </c>
      <c r="BR113"/>
      <c r="BS113"/>
      <c r="BT113"/>
      <c r="BU113"/>
      <c r="BV113"/>
      <c r="BW113"/>
      <c r="BX113"/>
      <c r="BY113"/>
    </row>
    <row r="114" spans="1:77">
      <c r="A114" t="s">
        <v>168</v>
      </c>
      <c r="B114" s="30">
        <v>16</v>
      </c>
      <c r="C114" s="30">
        <v>31</v>
      </c>
      <c r="D114" s="30" t="s">
        <v>169</v>
      </c>
      <c r="E114" s="30" t="s">
        <v>170</v>
      </c>
      <c r="G114" s="48">
        <v>46236</v>
      </c>
      <c r="H114" s="49"/>
      <c r="I114" s="49">
        <v>0.58333333333333337</v>
      </c>
      <c r="J114" s="30" t="s">
        <v>53</v>
      </c>
      <c r="K114" s="30" t="s">
        <v>171</v>
      </c>
      <c r="L114" s="30">
        <v>0.5</v>
      </c>
      <c r="M114" s="30" t="s">
        <v>564</v>
      </c>
      <c r="P114" s="30" t="s">
        <v>174</v>
      </c>
      <c r="Q114" s="30" t="s">
        <v>363</v>
      </c>
      <c r="R114" s="30" t="s">
        <v>175</v>
      </c>
      <c r="S114" s="30" t="s">
        <v>176</v>
      </c>
      <c r="T114" s="30" t="s">
        <v>565</v>
      </c>
      <c r="U114" s="30" t="s">
        <v>566</v>
      </c>
      <c r="V114" s="30" t="s">
        <v>567</v>
      </c>
      <c r="W114" s="30" t="s">
        <v>568</v>
      </c>
      <c r="X114" s="30" t="s">
        <v>179</v>
      </c>
      <c r="Y114"/>
      <c r="AA114" s="30" t="s">
        <v>181</v>
      </c>
      <c r="AB114" s="30" t="s">
        <v>477</v>
      </c>
      <c r="AC114" s="30" t="s">
        <v>56</v>
      </c>
      <c r="AD114" s="30" t="s">
        <v>478</v>
      </c>
      <c r="AE114" s="30">
        <v>20544424751</v>
      </c>
      <c r="AF114" s="30" t="s">
        <v>1793</v>
      </c>
      <c r="AG114" s="30" t="s">
        <v>489</v>
      </c>
      <c r="AH114" s="30" t="s">
        <v>185</v>
      </c>
      <c r="AI114" s="30" t="s">
        <v>490</v>
      </c>
      <c r="AJ114" s="30" t="s">
        <v>491</v>
      </c>
      <c r="AK114" s="30">
        <v>946500525</v>
      </c>
      <c r="AL114" s="30" t="s">
        <v>483</v>
      </c>
      <c r="AM114" t="s">
        <v>483</v>
      </c>
      <c r="AN114" s="30" t="s">
        <v>483</v>
      </c>
      <c r="AO114" s="30" t="s">
        <v>483</v>
      </c>
      <c r="AP114" s="30" t="s">
        <v>483</v>
      </c>
      <c r="AQ114" s="30" t="s">
        <v>483</v>
      </c>
      <c r="AR114" s="30" t="s">
        <v>483</v>
      </c>
      <c r="AS114" s="30" t="s">
        <v>63</v>
      </c>
      <c r="AT114" s="30" t="s">
        <v>64</v>
      </c>
      <c r="AU114" s="50">
        <v>46236.416666666664</v>
      </c>
      <c r="AV114" s="50">
        <v>46236.423611111109</v>
      </c>
      <c r="AW114" s="50">
        <v>46236.444444444445</v>
      </c>
      <c r="AX114" s="50">
        <v>46236.493055555555</v>
      </c>
      <c r="AY114" s="50">
        <v>46236.500694444447</v>
      </c>
      <c r="AZ114" s="50">
        <v>46236.576388888891</v>
      </c>
      <c r="BA114" s="51"/>
      <c r="BB114" s="51"/>
      <c r="BC114" s="50">
        <v>46237.565972222219</v>
      </c>
      <c r="BD114" s="50">
        <v>46237.541666666664</v>
      </c>
      <c r="BE114" s="51"/>
      <c r="BF114" s="51"/>
      <c r="BG114" s="51"/>
      <c r="BH114" s="51">
        <v>46237.779861111114</v>
      </c>
      <c r="BI114" s="30" t="s">
        <v>65</v>
      </c>
      <c r="BJ114" s="50">
        <v>46238.583333333336</v>
      </c>
      <c r="BK114" s="50">
        <v>46238.550694444442</v>
      </c>
      <c r="BL114" s="50">
        <v>46238.560416666667</v>
      </c>
      <c r="BM114" s="50">
        <v>46238.570138888892</v>
      </c>
      <c r="BN114" s="50">
        <v>46238.572222222225</v>
      </c>
      <c r="BR114"/>
      <c r="BS114"/>
      <c r="BT114"/>
      <c r="BU114"/>
      <c r="BV114"/>
      <c r="BW114"/>
      <c r="BX114"/>
      <c r="BY114"/>
    </row>
    <row r="115" spans="1:77">
      <c r="A115" t="s">
        <v>168</v>
      </c>
      <c r="B115" s="30">
        <v>17</v>
      </c>
      <c r="C115" s="30">
        <v>31</v>
      </c>
      <c r="D115" s="30" t="s">
        <v>169</v>
      </c>
      <c r="E115" s="30" t="s">
        <v>170</v>
      </c>
      <c r="G115" s="48">
        <v>46236</v>
      </c>
      <c r="H115" s="49"/>
      <c r="I115" s="49">
        <v>0.58333333333333337</v>
      </c>
      <c r="J115" s="30" t="s">
        <v>53</v>
      </c>
      <c r="K115" s="30" t="s">
        <v>171</v>
      </c>
      <c r="L115" s="30">
        <v>1</v>
      </c>
      <c r="M115" s="30" t="s">
        <v>569</v>
      </c>
      <c r="P115" s="30" t="s">
        <v>174</v>
      </c>
      <c r="Q115" s="30" t="s">
        <v>363</v>
      </c>
      <c r="R115" s="30" t="s">
        <v>175</v>
      </c>
      <c r="S115" s="30" t="s">
        <v>176</v>
      </c>
      <c r="T115" s="30" t="s">
        <v>570</v>
      </c>
      <c r="U115" s="30" t="s">
        <v>571</v>
      </c>
      <c r="V115" s="30" t="s">
        <v>572</v>
      </c>
      <c r="W115" s="30" t="s">
        <v>573</v>
      </c>
      <c r="X115" s="30" t="s">
        <v>179</v>
      </c>
      <c r="Y115"/>
      <c r="AA115" s="30" t="s">
        <v>181</v>
      </c>
      <c r="AB115" s="30" t="s">
        <v>477</v>
      </c>
      <c r="AC115" s="30" t="s">
        <v>56</v>
      </c>
      <c r="AD115" s="30" t="s">
        <v>478</v>
      </c>
      <c r="AE115" s="30">
        <v>20544424751</v>
      </c>
      <c r="AF115" s="30" t="s">
        <v>574</v>
      </c>
      <c r="AG115" s="30" t="s">
        <v>575</v>
      </c>
      <c r="AH115" s="30" t="s">
        <v>185</v>
      </c>
      <c r="AI115" s="30" t="s">
        <v>576</v>
      </c>
      <c r="AJ115" s="30" t="s">
        <v>1796</v>
      </c>
      <c r="AK115" s="30">
        <v>952268872</v>
      </c>
      <c r="AL115" s="30" t="s">
        <v>483</v>
      </c>
      <c r="AM115" t="s">
        <v>483</v>
      </c>
      <c r="AN115" s="30" t="s">
        <v>483</v>
      </c>
      <c r="AO115" s="30" t="s">
        <v>483</v>
      </c>
      <c r="AP115" s="30" t="s">
        <v>483</v>
      </c>
      <c r="AQ115" s="30" t="s">
        <v>483</v>
      </c>
      <c r="AR115" s="30" t="s">
        <v>483</v>
      </c>
      <c r="AS115" s="30" t="s">
        <v>63</v>
      </c>
      <c r="AT115" s="30" t="s">
        <v>64</v>
      </c>
      <c r="AU115" s="50">
        <v>46236.5</v>
      </c>
      <c r="AV115" s="50">
        <v>46236.444444444445</v>
      </c>
      <c r="AW115" s="50">
        <v>46236.513888888891</v>
      </c>
      <c r="AX115" s="50">
        <v>46236.518055555556</v>
      </c>
      <c r="AY115" s="50">
        <v>46236.601388888892</v>
      </c>
      <c r="AZ115" s="50">
        <v>46236.604861111111</v>
      </c>
      <c r="BA115" s="51"/>
      <c r="BB115" s="51"/>
      <c r="BC115" s="50">
        <v>46237.567361111112</v>
      </c>
      <c r="BD115" s="50">
        <v>46237.541666666664</v>
      </c>
      <c r="BE115" s="51"/>
      <c r="BF115" s="51"/>
      <c r="BG115" s="51"/>
      <c r="BH115" s="51">
        <v>46237.813888888886</v>
      </c>
      <c r="BI115" s="30" t="s">
        <v>65</v>
      </c>
      <c r="BJ115" s="50">
        <v>46238.625</v>
      </c>
      <c r="BK115" s="50">
        <v>46238.555555555555</v>
      </c>
      <c r="BL115" s="50">
        <v>46238.563194444447</v>
      </c>
      <c r="BM115" s="50">
        <v>46238.572222222225</v>
      </c>
      <c r="BN115" s="50">
        <v>46238.575694444444</v>
      </c>
      <c r="BR115"/>
      <c r="BS115"/>
      <c r="BT115"/>
      <c r="BU115"/>
      <c r="BV115"/>
      <c r="BW115"/>
      <c r="BX115"/>
      <c r="BY115"/>
    </row>
    <row r="116" spans="1:77">
      <c r="A116" t="s">
        <v>168</v>
      </c>
      <c r="B116" s="30">
        <v>18</v>
      </c>
      <c r="C116" s="30">
        <v>31</v>
      </c>
      <c r="D116" s="30" t="s">
        <v>169</v>
      </c>
      <c r="E116" s="30" t="s">
        <v>170</v>
      </c>
      <c r="G116" s="48">
        <v>46236</v>
      </c>
      <c r="H116" s="49"/>
      <c r="I116" s="49">
        <v>0.58333333333333337</v>
      </c>
      <c r="J116" s="30" t="s">
        <v>53</v>
      </c>
      <c r="K116" s="30" t="s">
        <v>171</v>
      </c>
      <c r="L116" s="30">
        <v>1</v>
      </c>
      <c r="M116" s="30" t="s">
        <v>577</v>
      </c>
      <c r="P116" s="30" t="s">
        <v>174</v>
      </c>
      <c r="Q116" s="30" t="s">
        <v>363</v>
      </c>
      <c r="R116" s="30" t="s">
        <v>175</v>
      </c>
      <c r="S116" s="30" t="s">
        <v>176</v>
      </c>
      <c r="T116" s="30" t="s">
        <v>578</v>
      </c>
      <c r="U116" s="30" t="s">
        <v>579</v>
      </c>
      <c r="V116" s="30" t="s">
        <v>580</v>
      </c>
      <c r="W116" s="30" t="s">
        <v>581</v>
      </c>
      <c r="X116" s="30" t="s">
        <v>179</v>
      </c>
      <c r="Y116"/>
      <c r="AA116" s="30" t="s">
        <v>181</v>
      </c>
      <c r="AB116" s="30" t="s">
        <v>477</v>
      </c>
      <c r="AC116" s="30" t="s">
        <v>92</v>
      </c>
      <c r="AD116" s="30" t="s">
        <v>582</v>
      </c>
      <c r="AE116" s="30">
        <v>20481610495</v>
      </c>
      <c r="AF116" s="30" t="s">
        <v>583</v>
      </c>
      <c r="AG116" s="30" t="s">
        <v>584</v>
      </c>
      <c r="AH116" s="30" t="s">
        <v>185</v>
      </c>
      <c r="AI116" s="30" t="s">
        <v>585</v>
      </c>
      <c r="AJ116" s="30" t="s">
        <v>586</v>
      </c>
      <c r="AK116" s="30">
        <v>970458084</v>
      </c>
      <c r="AL116" s="30" t="s">
        <v>483</v>
      </c>
      <c r="AM116" t="s">
        <v>483</v>
      </c>
      <c r="AN116" s="30" t="s">
        <v>483</v>
      </c>
      <c r="AO116" s="30" t="s">
        <v>483</v>
      </c>
      <c r="AP116" s="30" t="s">
        <v>483</v>
      </c>
      <c r="AQ116" s="30" t="s">
        <v>483</v>
      </c>
      <c r="AR116" s="30" t="s">
        <v>483</v>
      </c>
      <c r="AS116" s="30" t="s">
        <v>63</v>
      </c>
      <c r="AT116" s="30" t="s">
        <v>64</v>
      </c>
      <c r="AU116" s="50">
        <v>46236.416666666664</v>
      </c>
      <c r="AV116" s="50">
        <v>46236.418055555558</v>
      </c>
      <c r="AW116" s="50">
        <v>46236.513888888891</v>
      </c>
      <c r="AX116" s="50">
        <v>46236.5625</v>
      </c>
      <c r="AY116" s="50">
        <v>46236.490277777775</v>
      </c>
      <c r="AZ116" s="50">
        <v>46236.806944444441</v>
      </c>
      <c r="BA116" s="51"/>
      <c r="BB116" s="51"/>
      <c r="BC116" s="50">
        <v>46237.568749999999</v>
      </c>
      <c r="BD116" s="50">
        <v>46237.541666666664</v>
      </c>
      <c r="BE116" s="51"/>
      <c r="BF116" s="51"/>
      <c r="BG116" s="51"/>
      <c r="BH116" s="51">
        <v>46237.821527777778</v>
      </c>
      <c r="BI116" s="30" t="s">
        <v>65</v>
      </c>
      <c r="BJ116" s="50">
        <v>46238.458333333336</v>
      </c>
      <c r="BK116" s="50">
        <v>46238.474999999999</v>
      </c>
      <c r="BL116" s="50">
        <v>46238.479861111111</v>
      </c>
      <c r="BM116" s="50">
        <v>46238.484027777777</v>
      </c>
      <c r="BN116" s="50">
        <v>46238.492361111108</v>
      </c>
      <c r="BR116"/>
      <c r="BS116"/>
      <c r="BT116"/>
      <c r="BU116"/>
      <c r="BV116"/>
      <c r="BW116"/>
      <c r="BX116"/>
      <c r="BY116"/>
    </row>
    <row r="117" spans="1:77">
      <c r="A117" t="s">
        <v>168</v>
      </c>
      <c r="B117" s="30">
        <v>19</v>
      </c>
      <c r="C117" s="30">
        <v>32</v>
      </c>
      <c r="D117" s="30" t="s">
        <v>169</v>
      </c>
      <c r="E117" s="30" t="s">
        <v>170</v>
      </c>
      <c r="G117" s="48">
        <v>46240</v>
      </c>
      <c r="H117" s="49"/>
      <c r="I117" s="49">
        <v>0.33333333333333331</v>
      </c>
      <c r="J117" s="30" t="s">
        <v>53</v>
      </c>
      <c r="K117" s="30" t="s">
        <v>171</v>
      </c>
      <c r="L117" s="30">
        <v>1</v>
      </c>
      <c r="M117" s="30" t="s">
        <v>587</v>
      </c>
      <c r="P117" s="30" t="s">
        <v>174</v>
      </c>
      <c r="Q117" s="30" t="s">
        <v>363</v>
      </c>
      <c r="R117" s="30" t="s">
        <v>374</v>
      </c>
      <c r="S117" s="30" t="s">
        <v>375</v>
      </c>
      <c r="T117" s="30" t="s">
        <v>588</v>
      </c>
      <c r="U117" s="30" t="s">
        <v>589</v>
      </c>
      <c r="V117" s="30" t="s">
        <v>590</v>
      </c>
      <c r="W117" s="30" t="s">
        <v>591</v>
      </c>
      <c r="X117" s="30" t="s">
        <v>180</v>
      </c>
      <c r="Y117"/>
      <c r="AA117" s="30" t="s">
        <v>181</v>
      </c>
      <c r="AB117" s="30" t="s">
        <v>477</v>
      </c>
      <c r="AC117" s="30" t="s">
        <v>56</v>
      </c>
      <c r="AD117" s="30" t="s">
        <v>478</v>
      </c>
      <c r="AE117" s="30">
        <v>20544424751</v>
      </c>
      <c r="AF117" s="30" t="s">
        <v>533</v>
      </c>
      <c r="AG117" s="30" t="s">
        <v>534</v>
      </c>
      <c r="AH117" s="30" t="s">
        <v>185</v>
      </c>
      <c r="AI117" s="30" t="s">
        <v>535</v>
      </c>
      <c r="AJ117" s="30" t="s">
        <v>536</v>
      </c>
      <c r="AK117" s="30">
        <v>986078320</v>
      </c>
      <c r="AL117" s="30" t="s">
        <v>483</v>
      </c>
      <c r="AM117" t="s">
        <v>483</v>
      </c>
      <c r="AN117" s="30" t="s">
        <v>483</v>
      </c>
      <c r="AO117" s="30" t="s">
        <v>483</v>
      </c>
      <c r="AP117" s="30" t="s">
        <v>483</v>
      </c>
      <c r="AQ117" s="30" t="s">
        <v>483</v>
      </c>
      <c r="AR117" s="30" t="s">
        <v>483</v>
      </c>
      <c r="AS117" s="30" t="s">
        <v>63</v>
      </c>
      <c r="AT117" s="30" t="s">
        <v>380</v>
      </c>
      <c r="AU117" s="50">
        <v>46240.416666666664</v>
      </c>
      <c r="AV117" s="50">
        <v>46240.393750000003</v>
      </c>
      <c r="AW117" s="50">
        <v>46240.404861111114</v>
      </c>
      <c r="AX117" s="50">
        <v>46240.409722222219</v>
      </c>
      <c r="AY117" s="50">
        <v>46240.503472222219</v>
      </c>
      <c r="AZ117" s="50">
        <v>46240.642361111109</v>
      </c>
      <c r="BA117" s="51"/>
      <c r="BB117" s="51"/>
      <c r="BC117" s="50">
        <v>46241.357638888891</v>
      </c>
      <c r="BD117" s="50">
        <v>46241.333333333336</v>
      </c>
      <c r="BE117" s="51"/>
      <c r="BF117" s="51"/>
      <c r="BG117" s="51"/>
      <c r="BH117" s="51">
        <v>46241.534722222219</v>
      </c>
      <c r="BI117" s="30" t="s">
        <v>65</v>
      </c>
      <c r="BJ117" s="50">
        <v>46242.333333333336</v>
      </c>
      <c r="BK117" s="50">
        <v>46242.363194444442</v>
      </c>
      <c r="BL117" s="50">
        <v>46242.365972222222</v>
      </c>
      <c r="BM117" s="50">
        <v>46242.368055555555</v>
      </c>
      <c r="BN117" s="50">
        <v>46242.37777777778</v>
      </c>
      <c r="BR117"/>
      <c r="BS117"/>
      <c r="BT117"/>
      <c r="BU117"/>
      <c r="BV117"/>
      <c r="BW117"/>
      <c r="BX117"/>
      <c r="BY117"/>
    </row>
    <row r="118" spans="1:77">
      <c r="A118" t="s">
        <v>168</v>
      </c>
      <c r="B118" s="30">
        <v>20</v>
      </c>
      <c r="C118" s="30">
        <v>32</v>
      </c>
      <c r="D118" s="30" t="s">
        <v>169</v>
      </c>
      <c r="E118" s="30" t="s">
        <v>170</v>
      </c>
      <c r="G118" s="48">
        <v>46240</v>
      </c>
      <c r="H118" s="49"/>
      <c r="I118" s="49">
        <v>0.41666666666666669</v>
      </c>
      <c r="J118" s="30" t="s">
        <v>53</v>
      </c>
      <c r="K118" s="30" t="s">
        <v>171</v>
      </c>
      <c r="L118" s="30">
        <v>1</v>
      </c>
      <c r="M118" s="30" t="s">
        <v>592</v>
      </c>
      <c r="P118" s="30" t="s">
        <v>174</v>
      </c>
      <c r="Q118" s="30" t="s">
        <v>363</v>
      </c>
      <c r="R118" s="30" t="s">
        <v>374</v>
      </c>
      <c r="S118" s="30" t="s">
        <v>375</v>
      </c>
      <c r="T118" s="30" t="s">
        <v>593</v>
      </c>
      <c r="U118" s="30" t="s">
        <v>594</v>
      </c>
      <c r="V118" s="30" t="s">
        <v>595</v>
      </c>
      <c r="W118" s="30" t="s">
        <v>596</v>
      </c>
      <c r="X118" s="30" t="s">
        <v>180</v>
      </c>
      <c r="Y118"/>
      <c r="AA118" s="30" t="s">
        <v>181</v>
      </c>
      <c r="AB118" s="30" t="s">
        <v>477</v>
      </c>
      <c r="AC118" s="30" t="s">
        <v>56</v>
      </c>
      <c r="AD118" s="30" t="s">
        <v>478</v>
      </c>
      <c r="AE118" s="30">
        <v>20544424751</v>
      </c>
      <c r="AF118" s="30" t="s">
        <v>479</v>
      </c>
      <c r="AG118" s="30" t="s">
        <v>480</v>
      </c>
      <c r="AH118" s="30" t="s">
        <v>185</v>
      </c>
      <c r="AI118" s="30" t="s">
        <v>481</v>
      </c>
      <c r="AJ118" s="30" t="s">
        <v>482</v>
      </c>
      <c r="AK118" s="30">
        <v>934270711</v>
      </c>
      <c r="AL118" s="30" t="s">
        <v>483</v>
      </c>
      <c r="AM118" t="s">
        <v>483</v>
      </c>
      <c r="AN118" s="30" t="s">
        <v>483</v>
      </c>
      <c r="AO118" s="30" t="s">
        <v>483</v>
      </c>
      <c r="AP118" s="30" t="s">
        <v>483</v>
      </c>
      <c r="AQ118" s="30" t="s">
        <v>483</v>
      </c>
      <c r="AR118" s="30" t="s">
        <v>483</v>
      </c>
      <c r="AS118" s="30" t="s">
        <v>63</v>
      </c>
      <c r="AT118" s="30" t="s">
        <v>380</v>
      </c>
      <c r="AU118" s="50">
        <v>46240.416666666664</v>
      </c>
      <c r="AV118" s="50">
        <v>46240.393750000003</v>
      </c>
      <c r="AW118" s="50">
        <v>46240.405555555553</v>
      </c>
      <c r="AX118" s="50">
        <v>46240.411111111112</v>
      </c>
      <c r="AY118" s="50">
        <v>46240.51458333333</v>
      </c>
      <c r="AZ118" s="50">
        <v>46240.642361111109</v>
      </c>
      <c r="BA118" s="51"/>
      <c r="BB118" s="51"/>
      <c r="BC118" s="50">
        <v>46241.373611111114</v>
      </c>
      <c r="BD118" s="50">
        <v>46241.354166666664</v>
      </c>
      <c r="BE118" s="51"/>
      <c r="BF118" s="51"/>
      <c r="BG118" s="51"/>
      <c r="BH118" s="51">
        <v>46241.534722222219</v>
      </c>
      <c r="BI118" s="30" t="s">
        <v>65</v>
      </c>
      <c r="BJ118" s="50">
        <v>46242.375</v>
      </c>
      <c r="BK118" s="50">
        <v>46242.364583333336</v>
      </c>
      <c r="BL118" s="50">
        <v>46242.366666666669</v>
      </c>
      <c r="BM118" s="50">
        <v>46242.369444444441</v>
      </c>
      <c r="BN118" s="50">
        <v>46242.378472222219</v>
      </c>
      <c r="BR118"/>
      <c r="BS118"/>
      <c r="BT118"/>
      <c r="BU118"/>
      <c r="BV118"/>
      <c r="BW118"/>
      <c r="BX118"/>
      <c r="BY118"/>
    </row>
    <row r="119" spans="1:77">
      <c r="A119" t="s">
        <v>168</v>
      </c>
      <c r="B119" s="30">
        <v>21</v>
      </c>
      <c r="C119" s="30">
        <v>32</v>
      </c>
      <c r="D119" s="30" t="s">
        <v>169</v>
      </c>
      <c r="E119" s="30" t="s">
        <v>170</v>
      </c>
      <c r="G119" s="48">
        <v>46241</v>
      </c>
      <c r="H119" s="49"/>
      <c r="I119" s="49">
        <v>0.41666666666666669</v>
      </c>
      <c r="J119" s="30" t="s">
        <v>53</v>
      </c>
      <c r="K119" s="30" t="s">
        <v>171</v>
      </c>
      <c r="L119" s="30">
        <v>1</v>
      </c>
      <c r="M119" s="30" t="s">
        <v>597</v>
      </c>
      <c r="P119" s="30" t="s">
        <v>174</v>
      </c>
      <c r="Q119" s="30" t="s">
        <v>363</v>
      </c>
      <c r="R119" s="30" t="s">
        <v>175</v>
      </c>
      <c r="S119" s="30" t="s">
        <v>176</v>
      </c>
      <c r="T119" s="30" t="s">
        <v>598</v>
      </c>
      <c r="U119" s="30" t="s">
        <v>599</v>
      </c>
      <c r="V119" s="30" t="s">
        <v>600</v>
      </c>
      <c r="W119" s="30" t="s">
        <v>601</v>
      </c>
      <c r="X119" s="30" t="s">
        <v>179</v>
      </c>
      <c r="Y119"/>
      <c r="AA119" s="30" t="s">
        <v>181</v>
      </c>
      <c r="AB119" s="30" t="s">
        <v>477</v>
      </c>
      <c r="AC119" s="30" t="s">
        <v>56</v>
      </c>
      <c r="AD119" s="30" t="s">
        <v>478</v>
      </c>
      <c r="AE119" s="30">
        <v>20544424751</v>
      </c>
      <c r="AF119" s="30" t="s">
        <v>1793</v>
      </c>
      <c r="AG119" s="30" t="s">
        <v>489</v>
      </c>
      <c r="AH119" s="30" t="s">
        <v>185</v>
      </c>
      <c r="AI119" s="30" t="s">
        <v>490</v>
      </c>
      <c r="AJ119" s="30" t="s">
        <v>491</v>
      </c>
      <c r="AK119" s="30">
        <v>946500525</v>
      </c>
      <c r="AL119" s="30" t="s">
        <v>483</v>
      </c>
      <c r="AM119" t="s">
        <v>483</v>
      </c>
      <c r="AN119" s="30" t="s">
        <v>483</v>
      </c>
      <c r="AO119" s="30" t="s">
        <v>483</v>
      </c>
      <c r="AP119" s="30" t="s">
        <v>483</v>
      </c>
      <c r="AQ119" s="30" t="s">
        <v>483</v>
      </c>
      <c r="AR119" s="30" t="s">
        <v>483</v>
      </c>
      <c r="AS119" s="30" t="s">
        <v>63</v>
      </c>
      <c r="AT119" s="30" t="s">
        <v>64</v>
      </c>
      <c r="AU119" s="50">
        <v>46241.625</v>
      </c>
      <c r="AV119" s="50">
        <v>46241.60833333333</v>
      </c>
      <c r="AW119" s="50">
        <v>46241.638194444444</v>
      </c>
      <c r="AX119" s="50">
        <v>46241.646527777775</v>
      </c>
      <c r="AY119" s="50">
        <v>46241.69027777778</v>
      </c>
      <c r="AZ119" s="50">
        <v>46241.709027777775</v>
      </c>
      <c r="BA119" s="51"/>
      <c r="BB119" s="51"/>
      <c r="BC119" s="50">
        <v>46242.484027777777</v>
      </c>
      <c r="BD119" s="50">
        <v>46242.458333333336</v>
      </c>
      <c r="BE119" s="51"/>
      <c r="BF119" s="51"/>
      <c r="BG119" s="51"/>
      <c r="BH119" s="51">
        <v>46242.938194444447</v>
      </c>
      <c r="BI119" s="30" t="s">
        <v>65</v>
      </c>
      <c r="BJ119" s="50">
        <v>46243.708333333336</v>
      </c>
      <c r="BK119" s="50">
        <v>46243.666666666664</v>
      </c>
      <c r="BL119" s="50">
        <v>46243.668055555558</v>
      </c>
      <c r="BM119" s="50">
        <v>46243.673611111109</v>
      </c>
      <c r="BN119" s="50">
        <v>46243.680555555555</v>
      </c>
      <c r="BR119"/>
      <c r="BS119"/>
      <c r="BT119"/>
      <c r="BU119"/>
      <c r="BV119"/>
      <c r="BW119"/>
      <c r="BX119"/>
      <c r="BY119"/>
    </row>
    <row r="120" spans="1:77">
      <c r="A120" t="s">
        <v>168</v>
      </c>
      <c r="B120" s="30">
        <v>22</v>
      </c>
      <c r="C120" s="30">
        <v>32</v>
      </c>
      <c r="D120" s="30" t="s">
        <v>169</v>
      </c>
      <c r="E120" s="30" t="s">
        <v>170</v>
      </c>
      <c r="G120" s="48">
        <v>46241</v>
      </c>
      <c r="H120" s="49"/>
      <c r="I120" s="49">
        <v>0.41666666666666669</v>
      </c>
      <c r="J120" s="30" t="s">
        <v>53</v>
      </c>
      <c r="K120" s="30" t="s">
        <v>171</v>
      </c>
      <c r="L120" s="30">
        <v>1</v>
      </c>
      <c r="M120" s="30" t="s">
        <v>602</v>
      </c>
      <c r="P120" s="30" t="s">
        <v>174</v>
      </c>
      <c r="Q120" s="30" t="s">
        <v>363</v>
      </c>
      <c r="R120" s="30" t="s">
        <v>175</v>
      </c>
      <c r="S120" s="30" t="s">
        <v>176</v>
      </c>
      <c r="T120" s="30" t="s">
        <v>603</v>
      </c>
      <c r="U120" s="30" t="s">
        <v>604</v>
      </c>
      <c r="V120" s="30" t="s">
        <v>605</v>
      </c>
      <c r="W120" s="30" t="s">
        <v>606</v>
      </c>
      <c r="X120" s="30" t="s">
        <v>179</v>
      </c>
      <c r="Y120"/>
      <c r="AA120" s="30" t="s">
        <v>181</v>
      </c>
      <c r="AB120" s="30" t="s">
        <v>477</v>
      </c>
      <c r="AC120" s="30" t="s">
        <v>56</v>
      </c>
      <c r="AD120" s="30" t="s">
        <v>478</v>
      </c>
      <c r="AE120" s="30">
        <v>20544424751</v>
      </c>
      <c r="AF120" s="30" t="s">
        <v>1794</v>
      </c>
      <c r="AG120" s="30" t="s">
        <v>497</v>
      </c>
      <c r="AH120" s="30" t="s">
        <v>185</v>
      </c>
      <c r="AI120" s="30" t="s">
        <v>498</v>
      </c>
      <c r="AJ120" s="30" t="s">
        <v>499</v>
      </c>
      <c r="AK120" s="30">
        <v>904556157</v>
      </c>
      <c r="AL120" s="30" t="s">
        <v>483</v>
      </c>
      <c r="AM120" t="s">
        <v>483</v>
      </c>
      <c r="AN120" s="30" t="s">
        <v>483</v>
      </c>
      <c r="AO120" s="30" t="s">
        <v>483</v>
      </c>
      <c r="AP120" s="30" t="s">
        <v>483</v>
      </c>
      <c r="AQ120" s="30" t="s">
        <v>483</v>
      </c>
      <c r="AR120" s="30" t="s">
        <v>483</v>
      </c>
      <c r="AS120" s="30" t="s">
        <v>63</v>
      </c>
      <c r="AT120" s="30" t="s">
        <v>64</v>
      </c>
      <c r="AU120" s="50">
        <v>46241.625</v>
      </c>
      <c r="AV120" s="50">
        <v>46241.611111111109</v>
      </c>
      <c r="AW120" s="50">
        <v>46241.638888888891</v>
      </c>
      <c r="AX120" s="50">
        <v>46241.662499999999</v>
      </c>
      <c r="AY120" s="50">
        <v>46241.743750000001</v>
      </c>
      <c r="AZ120" s="50">
        <v>46241.765972222223</v>
      </c>
      <c r="BA120" s="51"/>
      <c r="BB120" s="51"/>
      <c r="BC120" s="50">
        <v>46242.584027777775</v>
      </c>
      <c r="BD120" s="50">
        <v>46242.563194444447</v>
      </c>
      <c r="BE120" s="51"/>
      <c r="BF120" s="51"/>
      <c r="BG120" s="51"/>
      <c r="BH120" s="51">
        <v>46242.930555555555</v>
      </c>
      <c r="BI120" s="30" t="s">
        <v>65</v>
      </c>
      <c r="BJ120" s="50">
        <v>46243.708333333336</v>
      </c>
      <c r="BK120" s="50">
        <v>46243.664583333331</v>
      </c>
      <c r="BL120" s="50">
        <v>46243.666666666664</v>
      </c>
      <c r="BM120" s="50">
        <v>46243.672222222223</v>
      </c>
      <c r="BN120" s="50">
        <v>46243.679166666669</v>
      </c>
      <c r="BR120"/>
      <c r="BS120"/>
      <c r="BT120"/>
      <c r="BU120"/>
      <c r="BV120"/>
      <c r="BW120"/>
      <c r="BX120"/>
      <c r="BY120"/>
    </row>
    <row r="121" spans="1:77">
      <c r="A121" t="s">
        <v>168</v>
      </c>
      <c r="B121" s="30">
        <v>23</v>
      </c>
      <c r="C121" s="30">
        <v>32</v>
      </c>
      <c r="D121" s="30" t="s">
        <v>169</v>
      </c>
      <c r="E121" s="30" t="s">
        <v>170</v>
      </c>
      <c r="G121" s="48">
        <v>46241</v>
      </c>
      <c r="H121" s="49"/>
      <c r="I121" s="49">
        <v>0.5</v>
      </c>
      <c r="J121" s="30" t="s">
        <v>53</v>
      </c>
      <c r="K121" s="30" t="s">
        <v>171</v>
      </c>
      <c r="L121" s="30">
        <v>1</v>
      </c>
      <c r="M121" s="30" t="s">
        <v>607</v>
      </c>
      <c r="P121" s="30" t="s">
        <v>174</v>
      </c>
      <c r="Q121" s="30" t="s">
        <v>363</v>
      </c>
      <c r="R121" s="30" t="s">
        <v>175</v>
      </c>
      <c r="S121" s="30" t="s">
        <v>176</v>
      </c>
      <c r="T121" s="30" t="s">
        <v>608</v>
      </c>
      <c r="U121" s="30" t="s">
        <v>609</v>
      </c>
      <c r="V121" s="30" t="s">
        <v>610</v>
      </c>
      <c r="W121" s="30" t="s">
        <v>611</v>
      </c>
      <c r="X121" s="30" t="s">
        <v>179</v>
      </c>
      <c r="Y121"/>
      <c r="AA121" s="30" t="s">
        <v>181</v>
      </c>
      <c r="AB121" s="30" t="s">
        <v>477</v>
      </c>
      <c r="AC121" s="30" t="s">
        <v>56</v>
      </c>
      <c r="AD121" s="30" t="s">
        <v>478</v>
      </c>
      <c r="AE121" s="30">
        <v>20544424751</v>
      </c>
      <c r="AF121" s="30" t="s">
        <v>519</v>
      </c>
      <c r="AG121" s="30" t="s">
        <v>520</v>
      </c>
      <c r="AH121" s="30" t="s">
        <v>185</v>
      </c>
      <c r="AI121" s="30" t="s">
        <v>521</v>
      </c>
      <c r="AJ121" s="30" t="s">
        <v>522</v>
      </c>
      <c r="AK121" s="30">
        <v>914472332</v>
      </c>
      <c r="AL121" s="30" t="s">
        <v>483</v>
      </c>
      <c r="AM121" t="s">
        <v>483</v>
      </c>
      <c r="AN121" s="30" t="s">
        <v>483</v>
      </c>
      <c r="AO121" s="30" t="s">
        <v>483</v>
      </c>
      <c r="AP121" s="30" t="s">
        <v>483</v>
      </c>
      <c r="AQ121" s="30" t="s">
        <v>483</v>
      </c>
      <c r="AR121" s="30" t="s">
        <v>483</v>
      </c>
      <c r="AS121" s="30" t="s">
        <v>63</v>
      </c>
      <c r="AT121" s="30" t="s">
        <v>64</v>
      </c>
      <c r="AU121" s="50">
        <v>46241.625</v>
      </c>
      <c r="AV121" s="50">
        <v>46241.611111111109</v>
      </c>
      <c r="AW121" s="50">
        <v>46241.636111111111</v>
      </c>
      <c r="AX121" s="50">
        <v>46241.637499999997</v>
      </c>
      <c r="AY121" s="50">
        <v>46241.743750000001</v>
      </c>
      <c r="AZ121" s="50">
        <v>46241.765972222223</v>
      </c>
      <c r="BA121" s="51"/>
      <c r="BB121" s="51"/>
      <c r="BC121" s="50">
        <v>46242.623611111114</v>
      </c>
      <c r="BD121" s="50">
        <v>46242.609722222223</v>
      </c>
      <c r="BE121" s="51"/>
      <c r="BF121" s="51"/>
      <c r="BG121" s="51"/>
      <c r="BH121" s="51">
        <v>46242.930555555555</v>
      </c>
      <c r="BI121" s="30" t="s">
        <v>65</v>
      </c>
      <c r="BJ121" s="50">
        <v>46243.708333333336</v>
      </c>
      <c r="BK121" s="50">
        <v>46243.659722222219</v>
      </c>
      <c r="BL121" s="50">
        <v>46243.664583333331</v>
      </c>
      <c r="BM121" s="50">
        <v>46243.67083333333</v>
      </c>
      <c r="BN121" s="50">
        <v>46243.677083333336</v>
      </c>
      <c r="BR121"/>
      <c r="BS121"/>
      <c r="BT121"/>
      <c r="BU121"/>
      <c r="BV121"/>
      <c r="BW121"/>
      <c r="BX121"/>
      <c r="BY121"/>
    </row>
    <row r="122" spans="1:77">
      <c r="A122" t="s">
        <v>168</v>
      </c>
      <c r="B122" s="30">
        <v>24</v>
      </c>
      <c r="C122" s="30">
        <v>32</v>
      </c>
      <c r="D122" s="30" t="s">
        <v>169</v>
      </c>
      <c r="E122" s="30" t="s">
        <v>170</v>
      </c>
      <c r="G122" s="48">
        <v>46243</v>
      </c>
      <c r="H122" s="49"/>
      <c r="I122" s="49">
        <v>0.41666666666666669</v>
      </c>
      <c r="J122" s="30" t="s">
        <v>53</v>
      </c>
      <c r="K122" s="30" t="s">
        <v>171</v>
      </c>
      <c r="L122" s="30">
        <v>1</v>
      </c>
      <c r="M122" s="30" t="s">
        <v>612</v>
      </c>
      <c r="P122" s="30" t="s">
        <v>174</v>
      </c>
      <c r="Q122" s="30" t="s">
        <v>363</v>
      </c>
      <c r="R122" s="30" t="s">
        <v>407</v>
      </c>
      <c r="S122" s="30" t="s">
        <v>176</v>
      </c>
      <c r="T122" s="30" t="s">
        <v>613</v>
      </c>
      <c r="U122" s="30" t="s">
        <v>614</v>
      </c>
      <c r="V122" s="30" t="s">
        <v>615</v>
      </c>
      <c r="W122" s="30" t="s">
        <v>616</v>
      </c>
      <c r="X122" s="30" t="s">
        <v>179</v>
      </c>
      <c r="Y122"/>
      <c r="AA122" s="30" t="s">
        <v>181</v>
      </c>
      <c r="AB122" s="30" t="s">
        <v>477</v>
      </c>
      <c r="AC122" s="30" t="s">
        <v>56</v>
      </c>
      <c r="AD122" s="30" t="s">
        <v>478</v>
      </c>
      <c r="AE122" s="30">
        <v>20544424751</v>
      </c>
      <c r="AF122" s="30" t="s">
        <v>1793</v>
      </c>
      <c r="AG122" s="30" t="s">
        <v>489</v>
      </c>
      <c r="AH122" s="30" t="s">
        <v>185</v>
      </c>
      <c r="AI122" s="30" t="s">
        <v>490</v>
      </c>
      <c r="AJ122" s="30" t="s">
        <v>491</v>
      </c>
      <c r="AK122" s="30">
        <v>946500525</v>
      </c>
      <c r="AL122" s="30" t="s">
        <v>483</v>
      </c>
      <c r="AM122" t="s">
        <v>483</v>
      </c>
      <c r="AN122" s="30" t="s">
        <v>483</v>
      </c>
      <c r="AO122" s="30" t="s">
        <v>483</v>
      </c>
      <c r="AP122" s="30" t="s">
        <v>483</v>
      </c>
      <c r="AQ122" s="30" t="s">
        <v>483</v>
      </c>
      <c r="AR122" s="30" t="s">
        <v>483</v>
      </c>
      <c r="AS122" s="30" t="s">
        <v>63</v>
      </c>
      <c r="AT122" s="30" t="s">
        <v>64</v>
      </c>
      <c r="AU122" s="50">
        <v>46243.708333333336</v>
      </c>
      <c r="AV122" s="50">
        <v>46243.717361111114</v>
      </c>
      <c r="AW122" s="50">
        <v>46243.759722222225</v>
      </c>
      <c r="AX122" s="50">
        <v>46243.768750000003</v>
      </c>
      <c r="AY122" s="50">
        <v>46243.880555555559</v>
      </c>
      <c r="AZ122" s="50">
        <v>46243.902777777781</v>
      </c>
      <c r="BA122" s="51"/>
      <c r="BB122" s="51"/>
      <c r="BC122" s="50">
        <v>46244.753472222219</v>
      </c>
      <c r="BD122" s="50">
        <v>46244.732638888891</v>
      </c>
      <c r="BE122" s="51"/>
      <c r="BF122" s="51"/>
      <c r="BG122" s="51"/>
      <c r="BH122" s="51">
        <v>46244.841666666667</v>
      </c>
      <c r="BI122" s="30" t="s">
        <v>65</v>
      </c>
      <c r="BJ122" s="50">
        <v>46245.708333333336</v>
      </c>
      <c r="BK122" s="50">
        <v>46245.671527777777</v>
      </c>
      <c r="BL122" s="50">
        <v>46245.673611111109</v>
      </c>
      <c r="BM122" s="50">
        <v>46245.680555555555</v>
      </c>
      <c r="BN122" s="50">
        <v>46245.708333333336</v>
      </c>
      <c r="BR122"/>
      <c r="BS122"/>
      <c r="BT122"/>
      <c r="BU122"/>
      <c r="BV122"/>
      <c r="BW122"/>
      <c r="BX122"/>
      <c r="BY122"/>
    </row>
    <row r="123" spans="1:77">
      <c r="A123" t="s">
        <v>168</v>
      </c>
      <c r="B123" s="30">
        <v>25</v>
      </c>
      <c r="C123" s="30">
        <v>32</v>
      </c>
      <c r="D123" s="30" t="s">
        <v>169</v>
      </c>
      <c r="E123" s="30" t="s">
        <v>170</v>
      </c>
      <c r="G123" s="48">
        <v>46243</v>
      </c>
      <c r="H123" s="49"/>
      <c r="I123" s="49">
        <v>0.5</v>
      </c>
      <c r="J123" s="30" t="s">
        <v>53</v>
      </c>
      <c r="K123" s="30" t="s">
        <v>171</v>
      </c>
      <c r="L123" s="30">
        <v>1</v>
      </c>
      <c r="M123" s="30" t="s">
        <v>617</v>
      </c>
      <c r="P123" s="30" t="s">
        <v>174</v>
      </c>
      <c r="Q123" s="30" t="s">
        <v>363</v>
      </c>
      <c r="R123" s="30" t="s">
        <v>407</v>
      </c>
      <c r="S123" s="30" t="s">
        <v>176</v>
      </c>
      <c r="T123" s="30" t="s">
        <v>618</v>
      </c>
      <c r="U123" s="30" t="s">
        <v>619</v>
      </c>
      <c r="V123" s="30" t="s">
        <v>620</v>
      </c>
      <c r="W123" s="30" t="s">
        <v>621</v>
      </c>
      <c r="X123" s="30" t="s">
        <v>179</v>
      </c>
      <c r="Y123"/>
      <c r="AA123" s="30" t="s">
        <v>181</v>
      </c>
      <c r="AB123" s="30" t="s">
        <v>477</v>
      </c>
      <c r="AC123" s="30" t="s">
        <v>56</v>
      </c>
      <c r="AD123" s="30" t="s">
        <v>478</v>
      </c>
      <c r="AE123" s="30">
        <v>20544424751</v>
      </c>
      <c r="AF123" s="30" t="s">
        <v>1794</v>
      </c>
      <c r="AG123" s="30" t="s">
        <v>497</v>
      </c>
      <c r="AH123" s="30" t="s">
        <v>185</v>
      </c>
      <c r="AI123" s="30" t="s">
        <v>498</v>
      </c>
      <c r="AJ123" s="30" t="s">
        <v>499</v>
      </c>
      <c r="AK123" s="30">
        <v>904556157</v>
      </c>
      <c r="AL123" s="30" t="s">
        <v>483</v>
      </c>
      <c r="AM123" t="s">
        <v>483</v>
      </c>
      <c r="AN123" s="30" t="s">
        <v>483</v>
      </c>
      <c r="AO123" s="30" t="s">
        <v>483</v>
      </c>
      <c r="AP123" s="30" t="s">
        <v>483</v>
      </c>
      <c r="AQ123" s="30" t="s">
        <v>483</v>
      </c>
      <c r="AR123" s="30" t="s">
        <v>483</v>
      </c>
      <c r="AS123" s="30" t="s">
        <v>63</v>
      </c>
      <c r="AT123" s="30" t="s">
        <v>64</v>
      </c>
      <c r="AU123" s="50">
        <v>46243.833333333336</v>
      </c>
      <c r="AV123" s="50">
        <v>46243.822916666664</v>
      </c>
      <c r="AW123" s="50">
        <v>46243.909722222219</v>
      </c>
      <c r="AX123" s="50">
        <v>46243.910416666666</v>
      </c>
      <c r="AY123" s="50">
        <v>46243.961805555555</v>
      </c>
      <c r="AZ123" s="50">
        <v>46243.981944444444</v>
      </c>
      <c r="BA123" s="51"/>
      <c r="BB123" s="51"/>
      <c r="BC123" s="50">
        <v>46244.737500000003</v>
      </c>
      <c r="BD123" s="50">
        <v>46244.708333333336</v>
      </c>
      <c r="BE123" s="51"/>
      <c r="BF123" s="51"/>
      <c r="BG123" s="51"/>
      <c r="BH123" s="51">
        <v>46244.835416666669</v>
      </c>
      <c r="BI123" s="30" t="s">
        <v>65</v>
      </c>
      <c r="BJ123" s="50">
        <v>46245.666666666664</v>
      </c>
      <c r="BK123" s="50">
        <v>46245.659722222219</v>
      </c>
      <c r="BL123" s="50">
        <v>46245.662499999999</v>
      </c>
      <c r="BM123" s="50">
        <v>46245.669444444444</v>
      </c>
      <c r="BN123" s="50">
        <v>46245.677083333336</v>
      </c>
      <c r="BR123"/>
      <c r="BS123"/>
      <c r="BT123"/>
      <c r="BU123"/>
      <c r="BV123"/>
      <c r="BW123"/>
      <c r="BX123"/>
      <c r="BY123"/>
    </row>
    <row r="124" spans="1:77">
      <c r="A124" t="s">
        <v>168</v>
      </c>
      <c r="B124" s="30">
        <v>26</v>
      </c>
      <c r="C124" s="30">
        <v>32</v>
      </c>
      <c r="D124" s="30" t="s">
        <v>169</v>
      </c>
      <c r="E124" s="30" t="s">
        <v>170</v>
      </c>
      <c r="G124" s="48">
        <v>46243</v>
      </c>
      <c r="H124" s="49"/>
      <c r="I124" s="49">
        <v>0.33333333333333331</v>
      </c>
      <c r="J124" s="30" t="s">
        <v>53</v>
      </c>
      <c r="K124" s="30" t="s">
        <v>171</v>
      </c>
      <c r="L124" s="30">
        <v>1</v>
      </c>
      <c r="M124" s="30" t="s">
        <v>622</v>
      </c>
      <c r="P124" s="30" t="s">
        <v>174</v>
      </c>
      <c r="Q124" s="30" t="s">
        <v>363</v>
      </c>
      <c r="R124" s="30" t="s">
        <v>548</v>
      </c>
      <c r="S124" s="30" t="s">
        <v>623</v>
      </c>
      <c r="T124" s="30" t="s">
        <v>624</v>
      </c>
      <c r="U124" s="30" t="s">
        <v>625</v>
      </c>
      <c r="V124" s="30" t="s">
        <v>626</v>
      </c>
      <c r="W124" s="30" t="s">
        <v>627</v>
      </c>
      <c r="X124" s="30" t="s">
        <v>179</v>
      </c>
      <c r="Y124"/>
      <c r="AA124" s="30" t="s">
        <v>181</v>
      </c>
      <c r="AB124" s="30" t="s">
        <v>477</v>
      </c>
      <c r="AC124" s="30" t="s">
        <v>56</v>
      </c>
      <c r="AD124" s="30" t="s">
        <v>478</v>
      </c>
      <c r="AE124" s="30">
        <v>20544424751</v>
      </c>
      <c r="AF124" s="30" t="s">
        <v>574</v>
      </c>
      <c r="AG124" s="30" t="s">
        <v>575</v>
      </c>
      <c r="AH124" s="30" t="s">
        <v>185</v>
      </c>
      <c r="AI124" s="30" t="s">
        <v>576</v>
      </c>
      <c r="AJ124" s="30" t="s">
        <v>1796</v>
      </c>
      <c r="AK124" s="30">
        <v>952268872</v>
      </c>
      <c r="AL124" s="30" t="s">
        <v>483</v>
      </c>
      <c r="AM124" t="s">
        <v>483</v>
      </c>
      <c r="AN124" s="30" t="s">
        <v>483</v>
      </c>
      <c r="AO124" s="30" t="s">
        <v>483</v>
      </c>
      <c r="AP124" s="30" t="s">
        <v>483</v>
      </c>
      <c r="AQ124" s="30" t="s">
        <v>483</v>
      </c>
      <c r="AR124" s="30" t="s">
        <v>483</v>
      </c>
      <c r="AS124" s="30" t="s">
        <v>63</v>
      </c>
      <c r="AT124" s="30" t="s">
        <v>64</v>
      </c>
      <c r="AU124" s="50">
        <v>46243.416666666664</v>
      </c>
      <c r="AV124" s="50">
        <v>46243.418749999997</v>
      </c>
      <c r="AW124" s="50">
        <v>46243.433333333334</v>
      </c>
      <c r="AX124" s="50">
        <v>46243.465277777781</v>
      </c>
      <c r="AY124" s="50">
        <v>46243.498611111114</v>
      </c>
      <c r="AZ124" s="50">
        <v>46243.501388888886</v>
      </c>
      <c r="BA124" s="51"/>
      <c r="BB124" s="51"/>
      <c r="BC124" s="50">
        <v>46244.347222222219</v>
      </c>
      <c r="BD124" s="50">
        <v>46244.319444444445</v>
      </c>
      <c r="BE124" s="51"/>
      <c r="BF124" s="51"/>
      <c r="BG124" s="51"/>
      <c r="BH124" s="51">
        <v>46244.534722222219</v>
      </c>
      <c r="BI124" s="30" t="s">
        <v>65</v>
      </c>
      <c r="BJ124" s="50">
        <v>46245.416666666664</v>
      </c>
      <c r="BK124" s="50">
        <v>46245.373611111114</v>
      </c>
      <c r="BL124" s="50">
        <v>46245.376388888886</v>
      </c>
      <c r="BM124" s="50">
        <v>46245.384027777778</v>
      </c>
      <c r="BN124" s="50">
        <v>46245.388888888891</v>
      </c>
      <c r="BR124"/>
      <c r="BS124"/>
      <c r="BT124"/>
      <c r="BU124"/>
      <c r="BV124"/>
      <c r="BW124"/>
      <c r="BX124"/>
      <c r="BY124"/>
    </row>
    <row r="125" spans="1:77">
      <c r="A125" t="s">
        <v>168</v>
      </c>
      <c r="B125" s="30">
        <v>27</v>
      </c>
      <c r="C125" s="30">
        <v>32</v>
      </c>
      <c r="D125" s="30" t="s">
        <v>169</v>
      </c>
      <c r="E125" s="30" t="s">
        <v>170</v>
      </c>
      <c r="G125" s="48">
        <v>46243</v>
      </c>
      <c r="H125" s="49"/>
      <c r="I125" s="49">
        <v>0.33333333333333331</v>
      </c>
      <c r="J125" s="30" t="s">
        <v>53</v>
      </c>
      <c r="K125" s="30" t="s">
        <v>171</v>
      </c>
      <c r="L125" s="30">
        <v>1</v>
      </c>
      <c r="M125" s="30" t="s">
        <v>628</v>
      </c>
      <c r="P125" s="30" t="s">
        <v>174</v>
      </c>
      <c r="Q125" s="30" t="s">
        <v>363</v>
      </c>
      <c r="R125" s="30" t="s">
        <v>548</v>
      </c>
      <c r="S125" s="30" t="s">
        <v>623</v>
      </c>
      <c r="T125" s="30" t="s">
        <v>629</v>
      </c>
      <c r="U125" s="30" t="s">
        <v>630</v>
      </c>
      <c r="V125" s="30" t="s">
        <v>631</v>
      </c>
      <c r="W125" s="30" t="s">
        <v>632</v>
      </c>
      <c r="X125" s="30" t="s">
        <v>179</v>
      </c>
      <c r="Y125"/>
      <c r="AA125" s="30" t="s">
        <v>181</v>
      </c>
      <c r="AB125" s="30" t="s">
        <v>477</v>
      </c>
      <c r="AC125" s="30" t="s">
        <v>56</v>
      </c>
      <c r="AD125" s="30" t="s">
        <v>478</v>
      </c>
      <c r="AE125" s="30">
        <v>20544424751</v>
      </c>
      <c r="AF125" s="30" t="s">
        <v>533</v>
      </c>
      <c r="AG125" s="30" t="s">
        <v>534</v>
      </c>
      <c r="AH125" s="30" t="s">
        <v>185</v>
      </c>
      <c r="AI125" s="30" t="s">
        <v>535</v>
      </c>
      <c r="AJ125" s="30" t="s">
        <v>536</v>
      </c>
      <c r="AK125" s="30">
        <v>986078320</v>
      </c>
      <c r="AL125" s="30" t="s">
        <v>483</v>
      </c>
      <c r="AM125" t="s">
        <v>483</v>
      </c>
      <c r="AN125" s="30" t="s">
        <v>483</v>
      </c>
      <c r="AO125" s="30" t="s">
        <v>483</v>
      </c>
      <c r="AP125" s="30" t="s">
        <v>483</v>
      </c>
      <c r="AQ125" s="30" t="s">
        <v>483</v>
      </c>
      <c r="AR125" s="30" t="s">
        <v>483</v>
      </c>
      <c r="AS125" s="30" t="s">
        <v>63</v>
      </c>
      <c r="AT125" s="30" t="s">
        <v>64</v>
      </c>
      <c r="AU125" s="50">
        <v>46243.416666666664</v>
      </c>
      <c r="AV125" s="50">
        <v>46243.413194444445</v>
      </c>
      <c r="AW125" s="50">
        <v>46243.431944444441</v>
      </c>
      <c r="AX125" s="50">
        <v>46243.451388888891</v>
      </c>
      <c r="AY125" s="50">
        <v>46243.493750000001</v>
      </c>
      <c r="AZ125" s="50">
        <v>46243.501388888886</v>
      </c>
      <c r="BA125" s="51"/>
      <c r="BB125" s="51"/>
      <c r="BC125" s="50">
        <v>46244.386111111111</v>
      </c>
      <c r="BD125" s="50">
        <v>46244.354166666664</v>
      </c>
      <c r="BE125" s="51"/>
      <c r="BF125" s="51"/>
      <c r="BG125" s="51"/>
      <c r="BH125" s="51">
        <v>46244.548611111109</v>
      </c>
      <c r="BI125" s="30" t="s">
        <v>65</v>
      </c>
      <c r="BJ125" s="50">
        <v>46245.416666666664</v>
      </c>
      <c r="BK125" s="50">
        <v>46245.385416666664</v>
      </c>
      <c r="BL125" s="50">
        <v>46245.388888888891</v>
      </c>
      <c r="BM125" s="50">
        <v>46245.394444444442</v>
      </c>
      <c r="BN125" s="50">
        <v>46245.40625</v>
      </c>
      <c r="BR125"/>
      <c r="BS125"/>
      <c r="BT125"/>
      <c r="BU125"/>
      <c r="BV125"/>
      <c r="BW125"/>
      <c r="BX125"/>
      <c r="BY125"/>
    </row>
    <row r="126" spans="1:77">
      <c r="A126" t="s">
        <v>168</v>
      </c>
      <c r="B126" s="30">
        <v>28</v>
      </c>
      <c r="C126" s="30">
        <v>33</v>
      </c>
      <c r="D126" s="30" t="s">
        <v>169</v>
      </c>
      <c r="E126" s="30" t="s">
        <v>170</v>
      </c>
      <c r="G126" s="48">
        <v>46246</v>
      </c>
      <c r="H126" s="49"/>
      <c r="I126" s="49">
        <v>0.54166666666666663</v>
      </c>
      <c r="J126" s="30" t="s">
        <v>53</v>
      </c>
      <c r="K126" s="30" t="s">
        <v>171</v>
      </c>
      <c r="L126" s="30">
        <v>1</v>
      </c>
      <c r="M126" s="30" t="s">
        <v>633</v>
      </c>
      <c r="P126" s="30" t="s">
        <v>174</v>
      </c>
      <c r="Q126" s="30" t="s">
        <v>363</v>
      </c>
      <c r="R126" s="30" t="s">
        <v>374</v>
      </c>
      <c r="S126" s="30" t="s">
        <v>375</v>
      </c>
      <c r="T126" s="30" t="s">
        <v>634</v>
      </c>
      <c r="U126" s="30" t="s">
        <v>635</v>
      </c>
      <c r="V126" s="30" t="s">
        <v>636</v>
      </c>
      <c r="W126" s="30" t="s">
        <v>637</v>
      </c>
      <c r="X126" s="30" t="s">
        <v>180</v>
      </c>
      <c r="Y126"/>
      <c r="AA126" s="30" t="s">
        <v>181</v>
      </c>
      <c r="AB126" s="30" t="s">
        <v>477</v>
      </c>
      <c r="AC126" s="30" t="s">
        <v>56</v>
      </c>
      <c r="AD126" s="30" t="s">
        <v>478</v>
      </c>
      <c r="AE126" s="30">
        <v>20544424751</v>
      </c>
      <c r="AF126" s="30" t="s">
        <v>1794</v>
      </c>
      <c r="AG126" s="30" t="s">
        <v>497</v>
      </c>
      <c r="AH126" s="30" t="s">
        <v>185</v>
      </c>
      <c r="AI126" s="30" t="s">
        <v>498</v>
      </c>
      <c r="AJ126" s="30" t="s">
        <v>499</v>
      </c>
      <c r="AK126" s="30">
        <v>904556157</v>
      </c>
      <c r="AL126" s="30" t="s">
        <v>483</v>
      </c>
      <c r="AM126" t="s">
        <v>483</v>
      </c>
      <c r="AN126" s="30" t="s">
        <v>483</v>
      </c>
      <c r="AO126" s="30" t="s">
        <v>483</v>
      </c>
      <c r="AP126" s="30" t="s">
        <v>483</v>
      </c>
      <c r="AQ126" s="30" t="s">
        <v>483</v>
      </c>
      <c r="AR126" s="30" t="s">
        <v>483</v>
      </c>
      <c r="AS126" s="30" t="s">
        <v>63</v>
      </c>
      <c r="AT126" s="30" t="s">
        <v>380</v>
      </c>
      <c r="AU126" s="50">
        <v>46246.666666666664</v>
      </c>
      <c r="AV126" s="50">
        <v>46246.688194444447</v>
      </c>
      <c r="AW126" s="50">
        <v>46246.731249999997</v>
      </c>
      <c r="AX126" s="50">
        <v>46246.736111111109</v>
      </c>
      <c r="AY126" s="50">
        <v>46246.783333333333</v>
      </c>
      <c r="AZ126" s="50">
        <v>46246.813888888886</v>
      </c>
      <c r="BA126" s="51"/>
      <c r="BB126" s="51"/>
      <c r="BC126" s="50">
        <v>46247.591666666667</v>
      </c>
      <c r="BD126" s="50">
        <v>46247.598611111112</v>
      </c>
      <c r="BE126" s="51"/>
      <c r="BF126" s="51"/>
      <c r="BG126" s="51"/>
      <c r="BH126" s="51">
        <v>46247.670138888891</v>
      </c>
      <c r="BI126" s="30" t="s">
        <v>65</v>
      </c>
      <c r="BJ126" s="50">
        <v>46248.5</v>
      </c>
      <c r="BK126" s="50">
        <v>46248.464583333334</v>
      </c>
      <c r="BL126" s="50">
        <v>46248.46875</v>
      </c>
      <c r="BM126" s="50">
        <v>46248.470833333333</v>
      </c>
      <c r="BN126" s="50">
        <v>46248.478472222225</v>
      </c>
      <c r="BR126"/>
      <c r="BS126"/>
      <c r="BT126"/>
      <c r="BU126"/>
      <c r="BV126"/>
      <c r="BW126"/>
      <c r="BX126"/>
      <c r="BY126"/>
    </row>
    <row r="127" spans="1:77">
      <c r="A127" t="s">
        <v>168</v>
      </c>
      <c r="B127" s="30">
        <v>29</v>
      </c>
      <c r="C127" s="30">
        <v>33</v>
      </c>
      <c r="D127" s="30" t="s">
        <v>169</v>
      </c>
      <c r="E127" s="30" t="s">
        <v>170</v>
      </c>
      <c r="G127" s="48">
        <v>46248</v>
      </c>
      <c r="H127" s="49"/>
      <c r="I127" s="49">
        <v>0.58333333333333337</v>
      </c>
      <c r="J127" s="30" t="s">
        <v>53</v>
      </c>
      <c r="K127" s="30" t="s">
        <v>171</v>
      </c>
      <c r="L127" s="30">
        <v>1</v>
      </c>
      <c r="M127" s="30" t="s">
        <v>638</v>
      </c>
      <c r="P127" s="30" t="s">
        <v>174</v>
      </c>
      <c r="Q127" s="30" t="s">
        <v>363</v>
      </c>
      <c r="R127" s="30" t="s">
        <v>175</v>
      </c>
      <c r="S127" s="30" t="s">
        <v>176</v>
      </c>
      <c r="T127" s="30" t="s">
        <v>639</v>
      </c>
      <c r="U127" s="30" t="s">
        <v>640</v>
      </c>
      <c r="V127" s="30">
        <v>806082</v>
      </c>
      <c r="W127" s="30" t="s">
        <v>641</v>
      </c>
      <c r="X127" s="30" t="s">
        <v>179</v>
      </c>
      <c r="Y127"/>
      <c r="AA127" s="30" t="s">
        <v>181</v>
      </c>
      <c r="AB127" s="30" t="s">
        <v>477</v>
      </c>
      <c r="AC127" s="30" t="s">
        <v>56</v>
      </c>
      <c r="AD127" s="30" t="s">
        <v>478</v>
      </c>
      <c r="AE127" s="30">
        <v>20544424751</v>
      </c>
      <c r="AF127" s="30" t="s">
        <v>533</v>
      </c>
      <c r="AG127" s="30" t="s">
        <v>534</v>
      </c>
      <c r="AH127" s="30" t="s">
        <v>185</v>
      </c>
      <c r="AI127" s="30" t="s">
        <v>535</v>
      </c>
      <c r="AJ127" s="30" t="s">
        <v>536</v>
      </c>
      <c r="AK127" s="30">
        <v>986078320</v>
      </c>
      <c r="AL127" s="30" t="s">
        <v>483</v>
      </c>
      <c r="AM127" t="s">
        <v>483</v>
      </c>
      <c r="AN127" s="30" t="s">
        <v>483</v>
      </c>
      <c r="AO127" s="30" t="s">
        <v>483</v>
      </c>
      <c r="AP127" s="30" t="s">
        <v>483</v>
      </c>
      <c r="AQ127" s="30" t="s">
        <v>483</v>
      </c>
      <c r="AR127" s="30" t="s">
        <v>483</v>
      </c>
      <c r="AS127" s="30" t="s">
        <v>63</v>
      </c>
      <c r="AT127" s="30" t="s">
        <v>64</v>
      </c>
      <c r="AU127" s="50">
        <v>46248.625</v>
      </c>
      <c r="AV127" s="50">
        <v>46244.631944444445</v>
      </c>
      <c r="AW127" s="50">
        <v>46248.634027777778</v>
      </c>
      <c r="AX127" s="50">
        <v>46248.671527777777</v>
      </c>
      <c r="AY127" s="50">
        <v>46248.808333333334</v>
      </c>
      <c r="AZ127" s="50">
        <v>46248.824999999997</v>
      </c>
      <c r="BA127" s="51"/>
      <c r="BB127" s="51"/>
      <c r="BC127" s="50">
        <v>46249.547222222223</v>
      </c>
      <c r="BD127" s="50">
        <v>46249.607638888891</v>
      </c>
      <c r="BE127" s="51"/>
      <c r="BF127" s="51"/>
      <c r="BG127" s="51"/>
      <c r="BH127" s="51">
        <v>46249.709722222222</v>
      </c>
      <c r="BI127" s="30" t="s">
        <v>65</v>
      </c>
      <c r="BJ127" s="50">
        <v>46250.5</v>
      </c>
      <c r="BK127" s="50">
        <v>46250.45208333333</v>
      </c>
      <c r="BL127" s="50">
        <v>46250.456250000003</v>
      </c>
      <c r="BM127" s="50">
        <v>46250.458333333336</v>
      </c>
      <c r="BN127" s="50">
        <v>46250.463194444441</v>
      </c>
      <c r="BR127"/>
      <c r="BS127"/>
      <c r="BT127"/>
      <c r="BU127"/>
      <c r="BV127"/>
      <c r="BW127"/>
      <c r="BX127"/>
      <c r="BY127"/>
    </row>
    <row r="128" spans="1:77">
      <c r="A128" t="s">
        <v>168</v>
      </c>
      <c r="B128" s="30">
        <v>30</v>
      </c>
      <c r="C128" s="30">
        <v>33</v>
      </c>
      <c r="D128" s="30" t="s">
        <v>169</v>
      </c>
      <c r="E128" s="30" t="s">
        <v>170</v>
      </c>
      <c r="G128" s="48">
        <v>46249</v>
      </c>
      <c r="H128" s="49"/>
      <c r="I128" s="49">
        <v>0.58333333333333337</v>
      </c>
      <c r="J128" s="30" t="s">
        <v>53</v>
      </c>
      <c r="K128" s="30" t="s">
        <v>171</v>
      </c>
      <c r="L128" s="30">
        <v>1</v>
      </c>
      <c r="M128" s="30" t="s">
        <v>642</v>
      </c>
      <c r="P128" s="30" t="s">
        <v>174</v>
      </c>
      <c r="Q128" s="30" t="s">
        <v>363</v>
      </c>
      <c r="R128" s="30" t="s">
        <v>548</v>
      </c>
      <c r="S128" s="30" t="s">
        <v>623</v>
      </c>
      <c r="T128" s="30" t="s">
        <v>643</v>
      </c>
      <c r="U128" s="30" t="s">
        <v>644</v>
      </c>
      <c r="V128" s="30">
        <v>806551</v>
      </c>
      <c r="W128" s="30" t="s">
        <v>645</v>
      </c>
      <c r="X128" s="30" t="s">
        <v>179</v>
      </c>
      <c r="Y128"/>
      <c r="AA128" s="30" t="s">
        <v>181</v>
      </c>
      <c r="AB128" s="30" t="s">
        <v>477</v>
      </c>
      <c r="AC128" s="30" t="s">
        <v>56</v>
      </c>
      <c r="AD128" s="30" t="s">
        <v>478</v>
      </c>
      <c r="AE128" s="30">
        <v>20544424751</v>
      </c>
      <c r="AF128" s="30" t="s">
        <v>479</v>
      </c>
      <c r="AG128" s="30" t="s">
        <v>480</v>
      </c>
      <c r="AH128" s="30" t="s">
        <v>185</v>
      </c>
      <c r="AI128" s="30" t="s">
        <v>481</v>
      </c>
      <c r="AJ128" s="30" t="s">
        <v>482</v>
      </c>
      <c r="AK128" s="30">
        <v>934270711</v>
      </c>
      <c r="AL128" s="30" t="s">
        <v>483</v>
      </c>
      <c r="AM128" t="s">
        <v>483</v>
      </c>
      <c r="AN128" s="30" t="s">
        <v>483</v>
      </c>
      <c r="AO128" s="30" t="s">
        <v>483</v>
      </c>
      <c r="AP128" s="30" t="s">
        <v>483</v>
      </c>
      <c r="AQ128" s="30" t="s">
        <v>483</v>
      </c>
      <c r="AR128" s="30" t="s">
        <v>483</v>
      </c>
      <c r="AS128" s="30" t="s">
        <v>63</v>
      </c>
      <c r="AT128" s="30" t="s">
        <v>64</v>
      </c>
      <c r="AU128" s="50">
        <v>46249.625</v>
      </c>
      <c r="AV128" s="50">
        <v>46249.613888888889</v>
      </c>
      <c r="AW128" s="50">
        <v>46249.673611111109</v>
      </c>
      <c r="AX128" s="50">
        <v>46249.677777777775</v>
      </c>
      <c r="AY128" s="50">
        <v>46249.776388888888</v>
      </c>
      <c r="AZ128" s="50">
        <v>46249.802083333336</v>
      </c>
      <c r="BA128" s="51"/>
      <c r="BB128" s="51"/>
      <c r="BC128" s="50">
        <v>46250.583333333336</v>
      </c>
      <c r="BD128" s="50">
        <v>46250.604166666664</v>
      </c>
      <c r="BE128" s="51"/>
      <c r="BF128" s="51"/>
      <c r="BG128" s="51"/>
      <c r="BH128" s="51">
        <v>46250.755555555559</v>
      </c>
      <c r="BI128" s="30" t="s">
        <v>65</v>
      </c>
      <c r="BJ128" s="50">
        <v>46251.625</v>
      </c>
      <c r="BK128" s="50">
        <v>46251.615972222222</v>
      </c>
      <c r="BL128" s="50">
        <v>46251.619444444441</v>
      </c>
      <c r="BM128" s="50">
        <v>46251.626388888886</v>
      </c>
      <c r="BN128" s="50">
        <v>46251.626388888886</v>
      </c>
      <c r="BR128"/>
      <c r="BS128"/>
      <c r="BT128"/>
      <c r="BU128"/>
      <c r="BV128"/>
      <c r="BW128"/>
      <c r="BX128"/>
      <c r="BY128"/>
    </row>
    <row r="129" spans="1:77">
      <c r="A129" t="s">
        <v>168</v>
      </c>
      <c r="B129" s="30">
        <v>31</v>
      </c>
      <c r="C129" s="30">
        <v>33</v>
      </c>
      <c r="D129" s="30" t="s">
        <v>169</v>
      </c>
      <c r="E129" s="30" t="s">
        <v>170</v>
      </c>
      <c r="G129" s="48">
        <v>46249</v>
      </c>
      <c r="H129" s="49"/>
      <c r="I129" s="49">
        <v>0.58333333333333337</v>
      </c>
      <c r="J129" s="30" t="s">
        <v>53</v>
      </c>
      <c r="K129" s="30" t="s">
        <v>171</v>
      </c>
      <c r="L129" s="30">
        <v>1</v>
      </c>
      <c r="M129" s="30" t="s">
        <v>646</v>
      </c>
      <c r="P129" s="30" t="s">
        <v>174</v>
      </c>
      <c r="Q129" s="30" t="s">
        <v>363</v>
      </c>
      <c r="R129" s="30" t="s">
        <v>548</v>
      </c>
      <c r="S129" s="30" t="s">
        <v>623</v>
      </c>
      <c r="T129" s="30" t="s">
        <v>647</v>
      </c>
      <c r="U129" s="30" t="s">
        <v>648</v>
      </c>
      <c r="V129" s="30">
        <v>806510</v>
      </c>
      <c r="W129" s="30" t="s">
        <v>649</v>
      </c>
      <c r="X129" s="30" t="s">
        <v>179</v>
      </c>
      <c r="Y129"/>
      <c r="AA129" s="30" t="s">
        <v>181</v>
      </c>
      <c r="AB129" s="30" t="s">
        <v>477</v>
      </c>
      <c r="AC129" s="30" t="s">
        <v>56</v>
      </c>
      <c r="AD129" s="30" t="s">
        <v>478</v>
      </c>
      <c r="AE129" s="30">
        <v>20544424751</v>
      </c>
      <c r="AF129" s="30" t="s">
        <v>519</v>
      </c>
      <c r="AG129" s="30" t="s">
        <v>520</v>
      </c>
      <c r="AH129" s="30" t="s">
        <v>185</v>
      </c>
      <c r="AI129" s="30" t="s">
        <v>521</v>
      </c>
      <c r="AJ129" s="30" t="s">
        <v>522</v>
      </c>
      <c r="AK129" s="30">
        <v>914472332</v>
      </c>
      <c r="AL129" s="30" t="s">
        <v>483</v>
      </c>
      <c r="AM129" t="s">
        <v>483</v>
      </c>
      <c r="AN129" s="30" t="s">
        <v>483</v>
      </c>
      <c r="AO129" s="30" t="s">
        <v>483</v>
      </c>
      <c r="AP129" s="30" t="s">
        <v>483</v>
      </c>
      <c r="AQ129" s="30" t="s">
        <v>483</v>
      </c>
      <c r="AR129" s="30" t="s">
        <v>483</v>
      </c>
      <c r="AS129" s="30" t="s">
        <v>63</v>
      </c>
      <c r="AT129" s="30" t="s">
        <v>64</v>
      </c>
      <c r="AU129" s="50">
        <v>46249.625</v>
      </c>
      <c r="AV129" s="50">
        <v>46249.640277777777</v>
      </c>
      <c r="AW129" s="50">
        <v>46249.697916666664</v>
      </c>
      <c r="AX129" s="50">
        <v>46249.700694444444</v>
      </c>
      <c r="AY129" s="50">
        <v>46249.791666666664</v>
      </c>
      <c r="AZ129" s="50">
        <v>46249.805555555555</v>
      </c>
      <c r="BA129" s="51"/>
      <c r="BB129" s="51"/>
      <c r="BC129" s="50">
        <v>46250.590277777781</v>
      </c>
      <c r="BD129" s="50">
        <v>46250.611111111109</v>
      </c>
      <c r="BE129" s="51"/>
      <c r="BF129" s="51"/>
      <c r="BG129" s="51"/>
      <c r="BH129" s="51">
        <v>46250.785416666666</v>
      </c>
      <c r="BI129" s="30" t="s">
        <v>65</v>
      </c>
      <c r="BJ129" s="50">
        <v>46251.625</v>
      </c>
      <c r="BK129" s="50">
        <v>46251.609722222223</v>
      </c>
      <c r="BL129" s="50">
        <v>46251.612500000003</v>
      </c>
      <c r="BM129" s="50">
        <v>46251.622916666667</v>
      </c>
      <c r="BN129" s="50">
        <v>46251.622916666667</v>
      </c>
      <c r="BR129"/>
      <c r="BS129"/>
      <c r="BT129"/>
      <c r="BU129"/>
      <c r="BV129"/>
      <c r="BW129"/>
      <c r="BX129"/>
      <c r="BY129"/>
    </row>
    <row r="130" spans="1:77">
      <c r="A130" t="s">
        <v>168</v>
      </c>
      <c r="B130" s="30">
        <v>32</v>
      </c>
      <c r="C130" s="30">
        <v>33</v>
      </c>
      <c r="D130" s="30" t="s">
        <v>169</v>
      </c>
      <c r="E130" s="30" t="s">
        <v>170</v>
      </c>
      <c r="G130" s="48">
        <v>46250</v>
      </c>
      <c r="H130" s="49"/>
      <c r="I130" s="49">
        <v>0.58333333333333337</v>
      </c>
      <c r="J130" s="30" t="s">
        <v>53</v>
      </c>
      <c r="K130" s="30" t="s">
        <v>171</v>
      </c>
      <c r="L130" s="30">
        <v>1</v>
      </c>
      <c r="M130" s="30" t="s">
        <v>650</v>
      </c>
      <c r="P130" s="30" t="s">
        <v>174</v>
      </c>
      <c r="Q130" s="30" t="s">
        <v>363</v>
      </c>
      <c r="R130" s="30" t="s">
        <v>175</v>
      </c>
      <c r="S130" s="30" t="s">
        <v>176</v>
      </c>
      <c r="T130" s="30" t="s">
        <v>651</v>
      </c>
      <c r="U130" s="30" t="s">
        <v>652</v>
      </c>
      <c r="V130" s="30">
        <v>806848</v>
      </c>
      <c r="W130" s="30" t="s">
        <v>653</v>
      </c>
      <c r="X130" s="30" t="s">
        <v>179</v>
      </c>
      <c r="Y130"/>
      <c r="AA130" s="30" t="s">
        <v>181</v>
      </c>
      <c r="AB130" s="30" t="s">
        <v>477</v>
      </c>
      <c r="AC130" s="30" t="s">
        <v>56</v>
      </c>
      <c r="AD130" s="30" t="s">
        <v>478</v>
      </c>
      <c r="AE130" s="30">
        <v>20544424751</v>
      </c>
      <c r="AF130" s="30" t="s">
        <v>533</v>
      </c>
      <c r="AG130" s="30" t="s">
        <v>534</v>
      </c>
      <c r="AH130" s="30" t="s">
        <v>185</v>
      </c>
      <c r="AI130" s="30" t="s">
        <v>535</v>
      </c>
      <c r="AJ130" s="30" t="s">
        <v>536</v>
      </c>
      <c r="AK130" s="30">
        <v>986078320</v>
      </c>
      <c r="AL130" s="30" t="s">
        <v>483</v>
      </c>
      <c r="AM130" t="s">
        <v>483</v>
      </c>
      <c r="AN130" s="30" t="s">
        <v>483</v>
      </c>
      <c r="AO130" s="30" t="s">
        <v>483</v>
      </c>
      <c r="AP130" s="30" t="s">
        <v>483</v>
      </c>
      <c r="AQ130" s="30" t="s">
        <v>483</v>
      </c>
      <c r="AR130" s="30" t="s">
        <v>483</v>
      </c>
      <c r="AS130" s="30" t="s">
        <v>63</v>
      </c>
      <c r="AT130" s="30" t="s">
        <v>64</v>
      </c>
      <c r="AU130" s="50">
        <v>46250.666666666664</v>
      </c>
      <c r="AV130" s="50">
        <v>46250.689583333333</v>
      </c>
      <c r="AW130" s="50">
        <v>46250.694444444445</v>
      </c>
      <c r="AX130" s="50">
        <v>46250.705555555556</v>
      </c>
      <c r="AY130" s="50">
        <v>46250.820138888892</v>
      </c>
      <c r="AZ130" s="50">
        <v>46250.845138888886</v>
      </c>
      <c r="BA130" s="51"/>
      <c r="BB130" s="51"/>
      <c r="BC130" s="50">
        <v>46251.621527777781</v>
      </c>
      <c r="BD130" s="50">
        <v>46251.607638888891</v>
      </c>
      <c r="BE130" s="51"/>
      <c r="BF130" s="51"/>
      <c r="BG130" s="51"/>
      <c r="BH130" s="51">
        <v>46251.603472222225</v>
      </c>
      <c r="BI130" s="30" t="s">
        <v>65</v>
      </c>
      <c r="BJ130" s="50">
        <v>46252.541666666664</v>
      </c>
      <c r="BK130" s="50">
        <v>46252.529166666667</v>
      </c>
      <c r="BL130" s="50">
        <v>46252.534722222219</v>
      </c>
      <c r="BM130" s="50">
        <v>46252.536805555559</v>
      </c>
      <c r="BN130" s="50">
        <v>46252.539583333331</v>
      </c>
      <c r="BR130"/>
      <c r="BS130"/>
      <c r="BT130"/>
      <c r="BU130"/>
      <c r="BV130"/>
      <c r="BW130"/>
      <c r="BX130"/>
      <c r="BY130"/>
    </row>
    <row r="131" spans="1:77">
      <c r="A131" t="s">
        <v>168</v>
      </c>
      <c r="B131" s="30">
        <v>33</v>
      </c>
      <c r="C131" s="30">
        <v>34</v>
      </c>
      <c r="D131" s="30" t="s">
        <v>169</v>
      </c>
      <c r="E131" s="30" t="s">
        <v>170</v>
      </c>
      <c r="G131" s="48">
        <v>46253</v>
      </c>
      <c r="H131" s="49"/>
      <c r="I131" s="49">
        <v>0.58333333333333337</v>
      </c>
      <c r="J131" s="30" t="s">
        <v>53</v>
      </c>
      <c r="K131" s="30" t="s">
        <v>171</v>
      </c>
      <c r="L131" s="30">
        <v>1</v>
      </c>
      <c r="M131" s="30" t="s">
        <v>654</v>
      </c>
      <c r="P131" s="30" t="s">
        <v>174</v>
      </c>
      <c r="Q131" s="30" t="s">
        <v>363</v>
      </c>
      <c r="R131" s="30" t="s">
        <v>374</v>
      </c>
      <c r="S131" s="30" t="s">
        <v>375</v>
      </c>
      <c r="T131" s="30" t="s">
        <v>655</v>
      </c>
      <c r="U131" s="30" t="s">
        <v>1863</v>
      </c>
      <c r="V131" s="30" t="s">
        <v>1864</v>
      </c>
      <c r="W131" s="30" t="s">
        <v>1865</v>
      </c>
      <c r="X131" s="30" t="s">
        <v>180</v>
      </c>
      <c r="Y131"/>
      <c r="AA131" s="30" t="s">
        <v>181</v>
      </c>
      <c r="AB131" s="30" t="s">
        <v>477</v>
      </c>
      <c r="AC131" s="30" t="s">
        <v>56</v>
      </c>
      <c r="AD131" s="30" t="s">
        <v>478</v>
      </c>
      <c r="AE131" s="30">
        <v>20544424751</v>
      </c>
      <c r="AF131" s="30" t="s">
        <v>519</v>
      </c>
      <c r="AG131" s="30" t="s">
        <v>520</v>
      </c>
      <c r="AH131" s="30" t="s">
        <v>185</v>
      </c>
      <c r="AI131" s="30" t="s">
        <v>521</v>
      </c>
      <c r="AJ131" s="30" t="s">
        <v>522</v>
      </c>
      <c r="AK131" s="30">
        <v>914472332</v>
      </c>
      <c r="AL131" s="30" t="s">
        <v>483</v>
      </c>
      <c r="AM131" t="s">
        <v>483</v>
      </c>
      <c r="AN131" s="30" t="s">
        <v>483</v>
      </c>
      <c r="AO131" s="30" t="s">
        <v>483</v>
      </c>
      <c r="AP131" s="30" t="s">
        <v>483</v>
      </c>
      <c r="AQ131" s="30" t="s">
        <v>483</v>
      </c>
      <c r="AR131" s="30" t="s">
        <v>483</v>
      </c>
      <c r="AS131" s="30" t="s">
        <v>63</v>
      </c>
      <c r="AT131" s="30" t="s">
        <v>380</v>
      </c>
      <c r="AU131" s="50">
        <v>46253.666666666664</v>
      </c>
      <c r="AV131" s="50">
        <v>46253.659722222219</v>
      </c>
      <c r="AW131" s="50">
        <v>46253.706250000003</v>
      </c>
      <c r="AX131" s="50">
        <v>46253.725694444445</v>
      </c>
      <c r="AY131" s="50">
        <v>46253.763888888891</v>
      </c>
      <c r="AZ131" s="50">
        <v>46254.656944444447</v>
      </c>
      <c r="BA131" s="51"/>
      <c r="BB131" s="51"/>
      <c r="BC131" s="50">
        <v>46255.131944444445</v>
      </c>
      <c r="BD131" s="50">
        <v>46255.135416666664</v>
      </c>
      <c r="BE131" s="51"/>
      <c r="BF131" s="51"/>
      <c r="BG131" s="51"/>
      <c r="BH131" s="51">
        <v>46255.181944444441</v>
      </c>
      <c r="BI131" s="30" t="s">
        <v>65</v>
      </c>
      <c r="BJ131" s="50">
        <v>46255.916666666664</v>
      </c>
      <c r="BK131" s="50">
        <v>46255.888888888891</v>
      </c>
      <c r="BL131" s="50">
        <v>46255.895138888889</v>
      </c>
      <c r="BM131" s="50">
        <v>46255.899305555555</v>
      </c>
      <c r="BN131" s="50">
        <v>46255.904166666667</v>
      </c>
      <c r="BR131"/>
      <c r="BS131"/>
      <c r="BT131"/>
      <c r="BU131"/>
      <c r="BV131"/>
      <c r="BW131"/>
      <c r="BX131"/>
      <c r="BY131"/>
    </row>
    <row r="132" spans="1:77">
      <c r="A132" t="s">
        <v>168</v>
      </c>
      <c r="B132" s="30">
        <v>34</v>
      </c>
      <c r="C132" s="30">
        <v>34</v>
      </c>
      <c r="D132" s="30" t="s">
        <v>169</v>
      </c>
      <c r="E132" s="30" t="s">
        <v>170</v>
      </c>
      <c r="G132" s="48">
        <v>46257</v>
      </c>
      <c r="H132" s="49"/>
      <c r="I132" s="49">
        <v>0.58333333333333337</v>
      </c>
      <c r="J132" s="30" t="s">
        <v>53</v>
      </c>
      <c r="K132" s="30" t="s">
        <v>171</v>
      </c>
      <c r="L132" s="30">
        <v>1</v>
      </c>
      <c r="M132" s="30" t="s">
        <v>1866</v>
      </c>
      <c r="P132" s="30" t="s">
        <v>174</v>
      </c>
      <c r="Q132" s="30" t="s">
        <v>363</v>
      </c>
      <c r="R132" s="30" t="s">
        <v>407</v>
      </c>
      <c r="S132" s="30" t="s">
        <v>176</v>
      </c>
      <c r="T132" s="30" t="s">
        <v>1867</v>
      </c>
      <c r="U132" s="30" t="s">
        <v>1868</v>
      </c>
      <c r="V132" s="30">
        <v>809396</v>
      </c>
      <c r="W132" s="30" t="s">
        <v>1869</v>
      </c>
      <c r="X132" s="30" t="s">
        <v>179</v>
      </c>
      <c r="Y132"/>
      <c r="AA132" s="30" t="s">
        <v>181</v>
      </c>
      <c r="AB132" s="30" t="s">
        <v>477</v>
      </c>
      <c r="AC132" s="30" t="s">
        <v>56</v>
      </c>
      <c r="AD132" s="30" t="s">
        <v>478</v>
      </c>
      <c r="AE132" s="30">
        <v>20544424751</v>
      </c>
      <c r="AF132" s="30" t="s">
        <v>479</v>
      </c>
      <c r="AG132" s="30" t="s">
        <v>480</v>
      </c>
      <c r="AH132" s="30" t="s">
        <v>185</v>
      </c>
      <c r="AI132" s="30" t="s">
        <v>481</v>
      </c>
      <c r="AJ132" s="30" t="s">
        <v>482</v>
      </c>
      <c r="AK132" s="30">
        <v>934270711</v>
      </c>
      <c r="AL132" s="30" t="s">
        <v>483</v>
      </c>
      <c r="AM132" t="s">
        <v>483</v>
      </c>
      <c r="AN132" s="30" t="s">
        <v>483</v>
      </c>
      <c r="AO132" s="30" t="s">
        <v>483</v>
      </c>
      <c r="AP132" s="30" t="s">
        <v>483</v>
      </c>
      <c r="AQ132" s="30" t="s">
        <v>483</v>
      </c>
      <c r="AR132" s="30" t="s">
        <v>483</v>
      </c>
      <c r="AS132" s="30" t="s">
        <v>63</v>
      </c>
      <c r="AT132" s="30" t="s">
        <v>64</v>
      </c>
      <c r="AU132" s="50">
        <v>46257.625</v>
      </c>
      <c r="AV132" s="50">
        <v>46257.618055555555</v>
      </c>
      <c r="AW132" s="50">
        <v>46257.621527777781</v>
      </c>
      <c r="AX132" s="50">
        <v>46257.630555555559</v>
      </c>
      <c r="AY132" s="50">
        <v>46257.660416666666</v>
      </c>
      <c r="AZ132" s="50">
        <v>46257.670138888891</v>
      </c>
      <c r="BA132" s="51"/>
      <c r="BB132" s="51"/>
      <c r="BC132" s="50">
        <v>46258.5</v>
      </c>
      <c r="BD132" s="50">
        <v>46258.520833333336</v>
      </c>
      <c r="BE132" s="51"/>
      <c r="BF132" s="51"/>
      <c r="BG132" s="51"/>
      <c r="BH132" s="51">
        <v>46258.7</v>
      </c>
      <c r="BI132" s="30" t="s">
        <v>65</v>
      </c>
      <c r="BJ132" s="50">
        <v>46259.583333333336</v>
      </c>
      <c r="BK132" s="50">
        <v>46259.534722222219</v>
      </c>
      <c r="BL132" s="50">
        <v>46259.547222222223</v>
      </c>
      <c r="BM132" s="50">
        <v>46259.548611111109</v>
      </c>
      <c r="BN132" s="50">
        <v>46259.556944444441</v>
      </c>
      <c r="BR132"/>
      <c r="BS132"/>
      <c r="BT132"/>
      <c r="BU132"/>
      <c r="BV132"/>
      <c r="BW132"/>
      <c r="BX132"/>
      <c r="BY132"/>
    </row>
    <row r="133" spans="1:77">
      <c r="A133" t="s">
        <v>168</v>
      </c>
      <c r="B133" s="30">
        <v>35</v>
      </c>
      <c r="C133" s="30">
        <v>34</v>
      </c>
      <c r="D133" s="30" t="s">
        <v>169</v>
      </c>
      <c r="E133" s="30" t="s">
        <v>170</v>
      </c>
      <c r="G133" s="48">
        <v>46257</v>
      </c>
      <c r="H133" s="49"/>
      <c r="I133" s="49">
        <v>0.58333333333333337</v>
      </c>
      <c r="J133" s="30" t="s">
        <v>53</v>
      </c>
      <c r="K133" s="30" t="s">
        <v>171</v>
      </c>
      <c r="L133" s="30">
        <v>1</v>
      </c>
      <c r="M133" s="30" t="s">
        <v>1870</v>
      </c>
      <c r="P133" s="30" t="s">
        <v>174</v>
      </c>
      <c r="Q133" s="30" t="s">
        <v>363</v>
      </c>
      <c r="R133" s="30" t="s">
        <v>548</v>
      </c>
      <c r="S133" s="30" t="s">
        <v>623</v>
      </c>
      <c r="T133" s="30" t="s">
        <v>1871</v>
      </c>
      <c r="U133" s="30" t="s">
        <v>1872</v>
      </c>
      <c r="V133" s="30">
        <v>809460</v>
      </c>
      <c r="W133" s="30" t="s">
        <v>1873</v>
      </c>
      <c r="X133" s="30" t="s">
        <v>179</v>
      </c>
      <c r="Y133"/>
      <c r="AA133" s="30" t="s">
        <v>181</v>
      </c>
      <c r="AB133" s="30" t="s">
        <v>477</v>
      </c>
      <c r="AC133" s="30" t="s">
        <v>56</v>
      </c>
      <c r="AD133" s="30" t="s">
        <v>478</v>
      </c>
      <c r="AE133" s="30">
        <v>20544424751</v>
      </c>
      <c r="AF133" s="30" t="s">
        <v>1793</v>
      </c>
      <c r="AG133" s="30" t="s">
        <v>489</v>
      </c>
      <c r="AH133" s="30" t="s">
        <v>185</v>
      </c>
      <c r="AI133" s="30" t="s">
        <v>490</v>
      </c>
      <c r="AJ133" s="30" t="s">
        <v>491</v>
      </c>
      <c r="AK133" s="30">
        <v>946500525</v>
      </c>
      <c r="AL133" s="30" t="s">
        <v>483</v>
      </c>
      <c r="AM133" t="s">
        <v>483</v>
      </c>
      <c r="AN133" s="30" t="s">
        <v>483</v>
      </c>
      <c r="AO133" s="30" t="s">
        <v>483</v>
      </c>
      <c r="AP133" s="30" t="s">
        <v>483</v>
      </c>
      <c r="AQ133" s="30" t="s">
        <v>483</v>
      </c>
      <c r="AR133" s="30" t="s">
        <v>483</v>
      </c>
      <c r="AS133" s="30" t="s">
        <v>63</v>
      </c>
      <c r="AT133" s="30" t="s">
        <v>64</v>
      </c>
      <c r="AU133" s="50">
        <v>46257.625</v>
      </c>
      <c r="AV133" s="50">
        <v>46257.621527777781</v>
      </c>
      <c r="AW133" s="50">
        <v>46257.625</v>
      </c>
      <c r="AX133" s="50">
        <v>46257.633333333331</v>
      </c>
      <c r="AY133" s="50">
        <v>46257.697916666664</v>
      </c>
      <c r="AZ133" s="50">
        <v>46257.722222222219</v>
      </c>
      <c r="BA133" s="51"/>
      <c r="BB133" s="51"/>
      <c r="BC133" s="50">
        <v>46258.513888888891</v>
      </c>
      <c r="BD133" s="50">
        <v>46258.52847222222</v>
      </c>
      <c r="BE133" s="51"/>
      <c r="BF133" s="51"/>
      <c r="BG133" s="51"/>
      <c r="BH133" s="51">
        <v>46258.70208333333</v>
      </c>
      <c r="BI133" s="30" t="s">
        <v>65</v>
      </c>
      <c r="BJ133" s="50">
        <v>46259.583333333336</v>
      </c>
      <c r="BK133" s="50">
        <v>46259.555555555555</v>
      </c>
      <c r="BL133" s="50">
        <v>46259.558333333334</v>
      </c>
      <c r="BM133" s="50">
        <v>46259.561111111114</v>
      </c>
      <c r="BN133" s="50">
        <v>46259.568055555559</v>
      </c>
      <c r="BR133"/>
      <c r="BS133"/>
      <c r="BT133"/>
      <c r="BU133"/>
      <c r="BV133"/>
      <c r="BW133"/>
      <c r="BX133"/>
      <c r="BY133"/>
    </row>
    <row r="134" spans="1:77">
      <c r="A134" t="s">
        <v>168</v>
      </c>
      <c r="B134" s="30">
        <v>36</v>
      </c>
      <c r="C134" s="30">
        <v>34</v>
      </c>
      <c r="D134" s="30" t="s">
        <v>169</v>
      </c>
      <c r="E134" s="30" t="s">
        <v>170</v>
      </c>
      <c r="G134" s="48">
        <v>46257</v>
      </c>
      <c r="H134" s="49"/>
      <c r="I134" s="49">
        <v>0.58333333333333337</v>
      </c>
      <c r="J134" s="30" t="s">
        <v>53</v>
      </c>
      <c r="K134" s="30" t="s">
        <v>171</v>
      </c>
      <c r="L134" s="30">
        <v>1</v>
      </c>
      <c r="M134" s="30" t="s">
        <v>1874</v>
      </c>
      <c r="P134" s="30" t="s">
        <v>174</v>
      </c>
      <c r="Q134" s="30" t="s">
        <v>363</v>
      </c>
      <c r="R134" s="30" t="s">
        <v>175</v>
      </c>
      <c r="S134" s="30" t="s">
        <v>176</v>
      </c>
      <c r="T134" s="30" t="s">
        <v>1875</v>
      </c>
      <c r="U134" s="30" t="s">
        <v>1876</v>
      </c>
      <c r="V134" s="30">
        <v>809420</v>
      </c>
      <c r="W134" s="30" t="s">
        <v>1877</v>
      </c>
      <c r="X134" s="30" t="s">
        <v>179</v>
      </c>
      <c r="Y134"/>
      <c r="AA134" s="30" t="s">
        <v>181</v>
      </c>
      <c r="AB134" s="30" t="s">
        <v>477</v>
      </c>
      <c r="AC134" s="30" t="s">
        <v>56</v>
      </c>
      <c r="AD134" s="30" t="s">
        <v>478</v>
      </c>
      <c r="AE134" s="30">
        <v>20544424751</v>
      </c>
      <c r="AF134" s="30" t="s">
        <v>533</v>
      </c>
      <c r="AG134" s="30" t="s">
        <v>534</v>
      </c>
      <c r="AH134" s="30" t="s">
        <v>185</v>
      </c>
      <c r="AI134" s="30" t="s">
        <v>535</v>
      </c>
      <c r="AJ134" s="30" t="s">
        <v>536</v>
      </c>
      <c r="AK134" s="30">
        <v>986078320</v>
      </c>
      <c r="AL134" s="30" t="s">
        <v>483</v>
      </c>
      <c r="AM134" t="s">
        <v>483</v>
      </c>
      <c r="AN134" s="30" t="s">
        <v>483</v>
      </c>
      <c r="AO134" s="30" t="s">
        <v>483</v>
      </c>
      <c r="AP134" s="30" t="s">
        <v>483</v>
      </c>
      <c r="AQ134" s="30" t="s">
        <v>483</v>
      </c>
      <c r="AR134" s="30" t="s">
        <v>483</v>
      </c>
      <c r="AS134" s="30" t="s">
        <v>63</v>
      </c>
      <c r="AT134" s="30" t="s">
        <v>64</v>
      </c>
      <c r="AU134" s="50">
        <v>46257.625</v>
      </c>
      <c r="AV134" s="50">
        <v>46257.672222222223</v>
      </c>
      <c r="AW134" s="50">
        <v>46257.678472222222</v>
      </c>
      <c r="AX134" s="50">
        <v>46257.683333333334</v>
      </c>
      <c r="AY134" s="50">
        <v>46257.734027777777</v>
      </c>
      <c r="AZ134" s="50">
        <v>46257.736805555556</v>
      </c>
      <c r="BA134" s="51"/>
      <c r="BB134" s="51"/>
      <c r="BC134" s="50">
        <v>46258.513888888891</v>
      </c>
      <c r="BD134" s="50">
        <v>46258.535416666666</v>
      </c>
      <c r="BE134" s="51"/>
      <c r="BF134" s="51"/>
      <c r="BG134" s="51"/>
      <c r="BH134" s="51">
        <v>46258.693055555559</v>
      </c>
      <c r="BI134" s="30" t="s">
        <v>65</v>
      </c>
      <c r="BJ134" s="50">
        <v>46259.5</v>
      </c>
      <c r="BK134" s="50">
        <v>46259.486111111109</v>
      </c>
      <c r="BL134" s="50">
        <v>46259.493055555555</v>
      </c>
      <c r="BM134" s="50">
        <v>46259.494444444441</v>
      </c>
      <c r="BN134" s="50">
        <v>46259.499305555553</v>
      </c>
      <c r="BR134"/>
      <c r="BS134"/>
      <c r="BT134"/>
      <c r="BU134"/>
      <c r="BV134"/>
      <c r="BW134"/>
      <c r="BX134"/>
      <c r="BY134"/>
    </row>
    <row r="135" spans="1:77">
      <c r="A135" t="s">
        <v>168</v>
      </c>
      <c r="B135" s="30">
        <v>37</v>
      </c>
      <c r="C135" s="30">
        <v>35</v>
      </c>
      <c r="D135" s="30" t="s">
        <v>169</v>
      </c>
      <c r="E135" s="30" t="s">
        <v>170</v>
      </c>
      <c r="G135" s="48">
        <v>46261</v>
      </c>
      <c r="H135" s="49"/>
      <c r="I135" s="49">
        <v>0.58333333333333337</v>
      </c>
      <c r="J135" s="30" t="s">
        <v>53</v>
      </c>
      <c r="K135" s="30" t="s">
        <v>171</v>
      </c>
      <c r="L135" s="30">
        <v>1</v>
      </c>
      <c r="M135" s="30" t="s">
        <v>1938</v>
      </c>
      <c r="P135" s="30" t="s">
        <v>174</v>
      </c>
      <c r="Q135" s="30" t="s">
        <v>363</v>
      </c>
      <c r="R135" s="30" t="s">
        <v>382</v>
      </c>
      <c r="S135" s="30" t="s">
        <v>375</v>
      </c>
      <c r="T135" s="30" t="s">
        <v>1939</v>
      </c>
      <c r="U135" s="30" t="s">
        <v>1940</v>
      </c>
      <c r="V135" s="30" t="s">
        <v>1941</v>
      </c>
      <c r="W135" s="30" t="s">
        <v>1942</v>
      </c>
      <c r="X135" s="30" t="s">
        <v>180</v>
      </c>
      <c r="Y135"/>
      <c r="AA135" s="30" t="s">
        <v>181</v>
      </c>
      <c r="AB135" s="30" t="s">
        <v>477</v>
      </c>
      <c r="AC135" s="30" t="s">
        <v>56</v>
      </c>
      <c r="AD135" s="30" t="s">
        <v>478</v>
      </c>
      <c r="AE135" s="30">
        <v>20544424751</v>
      </c>
      <c r="AF135" s="30" t="s">
        <v>533</v>
      </c>
      <c r="AG135" s="30" t="s">
        <v>534</v>
      </c>
      <c r="AH135" s="30" t="s">
        <v>185</v>
      </c>
      <c r="AI135" s="30" t="s">
        <v>535</v>
      </c>
      <c r="AJ135" s="30" t="s">
        <v>536</v>
      </c>
      <c r="AK135" s="30">
        <v>986078320</v>
      </c>
      <c r="AL135" s="30" t="s">
        <v>483</v>
      </c>
      <c r="AM135" t="s">
        <v>483</v>
      </c>
      <c r="AN135" s="30" t="s">
        <v>483</v>
      </c>
      <c r="AO135" s="30" t="s">
        <v>483</v>
      </c>
      <c r="AP135" s="30" t="s">
        <v>483</v>
      </c>
      <c r="AQ135" s="30" t="s">
        <v>483</v>
      </c>
      <c r="AR135" s="30" t="s">
        <v>483</v>
      </c>
      <c r="AS135" s="30" t="s">
        <v>63</v>
      </c>
      <c r="AT135" s="30" t="s">
        <v>380</v>
      </c>
      <c r="AU135" s="50">
        <v>46260.875</v>
      </c>
      <c r="AV135" s="50">
        <v>46260.87222222222</v>
      </c>
      <c r="AW135" s="50">
        <v>46260.9</v>
      </c>
      <c r="AX135" s="50">
        <v>46260.905555555553</v>
      </c>
      <c r="AY135" s="50">
        <v>46261.017361111109</v>
      </c>
      <c r="AZ135" s="50">
        <v>46261.706944444442</v>
      </c>
      <c r="BA135" s="51"/>
      <c r="BB135" s="51"/>
      <c r="BC135" s="50">
        <v>46262.42083333333</v>
      </c>
      <c r="BD135" s="50">
        <v>46262.4375</v>
      </c>
      <c r="BE135" s="51"/>
      <c r="BF135" s="51"/>
      <c r="BG135" s="51"/>
      <c r="BH135" s="51">
        <v>46262.62222222222</v>
      </c>
      <c r="BI135" s="30" t="s">
        <v>65</v>
      </c>
      <c r="BJ135" s="50">
        <v>46263.5</v>
      </c>
      <c r="BK135" s="50">
        <v>46263.443749999999</v>
      </c>
      <c r="BL135" s="50">
        <v>46263.445833333331</v>
      </c>
      <c r="BM135" s="50">
        <v>46263.447916666664</v>
      </c>
      <c r="BN135" s="50">
        <v>46263.470833333333</v>
      </c>
      <c r="BR135"/>
      <c r="BS135"/>
      <c r="BT135"/>
      <c r="BU135"/>
      <c r="BV135"/>
      <c r="BW135"/>
      <c r="BX135"/>
      <c r="BY135"/>
    </row>
    <row r="136" spans="1:77">
      <c r="A136" t="s">
        <v>168</v>
      </c>
      <c r="B136" s="30">
        <v>38</v>
      </c>
      <c r="C136" s="30">
        <v>35</v>
      </c>
      <c r="D136" s="30" t="s">
        <v>169</v>
      </c>
      <c r="E136" s="30" t="s">
        <v>170</v>
      </c>
      <c r="G136" s="48">
        <v>46263</v>
      </c>
      <c r="H136" s="49"/>
      <c r="I136" s="49">
        <v>0.58333333333333337</v>
      </c>
      <c r="J136" s="30" t="s">
        <v>53</v>
      </c>
      <c r="K136" s="30" t="s">
        <v>171</v>
      </c>
      <c r="L136" s="30">
        <v>1</v>
      </c>
      <c r="M136" s="30" t="s">
        <v>2097</v>
      </c>
      <c r="P136" s="30" t="s">
        <v>174</v>
      </c>
      <c r="Q136" s="30" t="s">
        <v>363</v>
      </c>
      <c r="R136" s="30" t="s">
        <v>548</v>
      </c>
      <c r="S136" s="30" t="s">
        <v>623</v>
      </c>
      <c r="T136" s="30" t="s">
        <v>2098</v>
      </c>
      <c r="U136" s="30" t="s">
        <v>2099</v>
      </c>
      <c r="V136" s="30">
        <v>811215</v>
      </c>
      <c r="W136" s="30" t="s">
        <v>2100</v>
      </c>
      <c r="X136" s="30" t="s">
        <v>179</v>
      </c>
      <c r="Y136"/>
      <c r="AA136" s="30" t="s">
        <v>181</v>
      </c>
      <c r="AB136" s="30" t="s">
        <v>477</v>
      </c>
      <c r="AC136" s="30" t="s">
        <v>56</v>
      </c>
      <c r="AD136" s="30" t="s">
        <v>478</v>
      </c>
      <c r="AE136" s="30">
        <v>20544424751</v>
      </c>
      <c r="AF136" s="30" t="s">
        <v>479</v>
      </c>
      <c r="AG136" s="30" t="s">
        <v>480</v>
      </c>
      <c r="AH136" s="30" t="s">
        <v>185</v>
      </c>
      <c r="AI136" s="30" t="s">
        <v>481</v>
      </c>
      <c r="AJ136" s="30" t="s">
        <v>482</v>
      </c>
      <c r="AK136" s="30">
        <v>934270711</v>
      </c>
      <c r="AL136" s="30" t="s">
        <v>483</v>
      </c>
      <c r="AM136" t="s">
        <v>483</v>
      </c>
      <c r="AN136" s="30" t="s">
        <v>483</v>
      </c>
      <c r="AO136" s="30" t="s">
        <v>483</v>
      </c>
      <c r="AP136" s="30" t="s">
        <v>483</v>
      </c>
      <c r="AQ136" s="30" t="s">
        <v>483</v>
      </c>
      <c r="AR136" s="30" t="s">
        <v>483</v>
      </c>
      <c r="AS136" s="30" t="s">
        <v>63</v>
      </c>
      <c r="AT136" s="30" t="s">
        <v>64</v>
      </c>
      <c r="AU136" s="50">
        <v>46263.416666666664</v>
      </c>
      <c r="AV136" s="50">
        <v>46263.409722222219</v>
      </c>
      <c r="AW136" s="50">
        <v>46263.416666666664</v>
      </c>
      <c r="AX136" s="50">
        <v>46263.426388888889</v>
      </c>
      <c r="AY136" s="50">
        <v>46263.454861111109</v>
      </c>
      <c r="AZ136" s="50">
        <v>46263.728472222225</v>
      </c>
      <c r="BA136" s="51"/>
      <c r="BB136" s="51"/>
      <c r="BC136" s="50">
        <v>46264.635416666664</v>
      </c>
      <c r="BD136" s="50">
        <v>46264.65625</v>
      </c>
      <c r="BE136" s="51"/>
      <c r="BF136" s="51"/>
      <c r="BG136" s="51"/>
      <c r="BH136" s="51">
        <v>46264.74722222222</v>
      </c>
      <c r="BI136" s="30" t="s">
        <v>65</v>
      </c>
      <c r="BJ136" s="50">
        <v>46265.625</v>
      </c>
      <c r="BK136" s="50">
        <v>46265.559027777781</v>
      </c>
      <c r="BL136" s="50">
        <v>46265.5625</v>
      </c>
      <c r="BM136" s="50">
        <v>46265.569444444445</v>
      </c>
      <c r="BN136" s="50">
        <v>46265.573611111111</v>
      </c>
      <c r="BR136"/>
      <c r="BS136"/>
      <c r="BT136"/>
      <c r="BU136"/>
      <c r="BV136"/>
      <c r="BW136"/>
      <c r="BX136"/>
      <c r="BY136"/>
    </row>
    <row r="137" spans="1:77">
      <c r="A137" t="s">
        <v>168</v>
      </c>
      <c r="B137" s="30">
        <v>39</v>
      </c>
      <c r="C137" s="30">
        <v>35</v>
      </c>
      <c r="D137" s="30" t="s">
        <v>169</v>
      </c>
      <c r="E137" s="30" t="s">
        <v>170</v>
      </c>
      <c r="G137" s="48">
        <v>46263</v>
      </c>
      <c r="H137" s="49"/>
      <c r="I137" s="49">
        <v>0.58333333333333337</v>
      </c>
      <c r="J137" s="30" t="s">
        <v>53</v>
      </c>
      <c r="K137" s="30" t="s">
        <v>171</v>
      </c>
      <c r="L137" s="30">
        <v>1</v>
      </c>
      <c r="M137" s="30" t="s">
        <v>2101</v>
      </c>
      <c r="P137" s="30" t="s">
        <v>174</v>
      </c>
      <c r="Q137" s="30" t="s">
        <v>363</v>
      </c>
      <c r="R137" s="30" t="s">
        <v>548</v>
      </c>
      <c r="S137" s="30" t="s">
        <v>623</v>
      </c>
      <c r="T137" s="30" t="s">
        <v>2102</v>
      </c>
      <c r="U137" s="30" t="s">
        <v>2103</v>
      </c>
      <c r="V137" s="30">
        <v>811331</v>
      </c>
      <c r="W137" s="30" t="s">
        <v>2104</v>
      </c>
      <c r="X137" s="30" t="s">
        <v>179</v>
      </c>
      <c r="Y137"/>
      <c r="AA137" s="30" t="s">
        <v>181</v>
      </c>
      <c r="AB137" s="30" t="s">
        <v>477</v>
      </c>
      <c r="AC137" s="30" t="s">
        <v>56</v>
      </c>
      <c r="AD137" s="30" t="s">
        <v>478</v>
      </c>
      <c r="AE137" s="30">
        <v>20544424751</v>
      </c>
      <c r="AF137" s="30" t="s">
        <v>533</v>
      </c>
      <c r="AG137" s="30" t="s">
        <v>534</v>
      </c>
      <c r="AH137" s="30" t="s">
        <v>185</v>
      </c>
      <c r="AI137" s="30" t="s">
        <v>535</v>
      </c>
      <c r="AJ137" s="30" t="s">
        <v>536</v>
      </c>
      <c r="AK137" s="30">
        <v>986078320</v>
      </c>
      <c r="AL137" s="30" t="s">
        <v>483</v>
      </c>
      <c r="AM137" t="s">
        <v>483</v>
      </c>
      <c r="AN137" s="30" t="s">
        <v>483</v>
      </c>
      <c r="AO137" s="30" t="s">
        <v>483</v>
      </c>
      <c r="AP137" s="30" t="s">
        <v>483</v>
      </c>
      <c r="AQ137" s="30" t="s">
        <v>483</v>
      </c>
      <c r="AR137" s="30" t="s">
        <v>483</v>
      </c>
      <c r="AS137" s="30" t="s">
        <v>63</v>
      </c>
      <c r="AT137" s="30" t="s">
        <v>64</v>
      </c>
      <c r="AU137" s="50">
        <v>46263.625</v>
      </c>
      <c r="AV137" s="50">
        <v>46263.6875</v>
      </c>
      <c r="AW137" s="50">
        <v>46263.691666666666</v>
      </c>
      <c r="AX137" s="50">
        <v>46263.694444444445</v>
      </c>
      <c r="AY137" s="50">
        <v>46263.729166666664</v>
      </c>
      <c r="AZ137" s="50">
        <v>46264.125</v>
      </c>
      <c r="BA137" s="51"/>
      <c r="BB137" s="51"/>
      <c r="BC137" s="50">
        <v>46264.75</v>
      </c>
      <c r="BD137" s="50">
        <v>46264.770833333336</v>
      </c>
      <c r="BE137" s="51"/>
      <c r="BF137" s="51"/>
      <c r="BG137" s="51"/>
      <c r="BH137" s="51">
        <v>46264.814583333333</v>
      </c>
      <c r="BI137" s="30" t="s">
        <v>65</v>
      </c>
      <c r="BJ137" s="50">
        <v>46265.666666666664</v>
      </c>
      <c r="BK137" s="50">
        <v>46265.680555555555</v>
      </c>
      <c r="BL137" s="50">
        <v>46265.691666666666</v>
      </c>
      <c r="BM137" s="50">
        <v>46265.698611111111</v>
      </c>
      <c r="BN137" s="50">
        <v>46265.70416666667</v>
      </c>
      <c r="BR137"/>
      <c r="BS137"/>
      <c r="BT137"/>
      <c r="BU137"/>
      <c r="BV137"/>
      <c r="BW137"/>
      <c r="BX137"/>
      <c r="BY137"/>
    </row>
    <row r="138" spans="1:77">
      <c r="A138" t="s">
        <v>168</v>
      </c>
      <c r="B138" s="30">
        <v>40</v>
      </c>
      <c r="C138" s="30">
        <v>35</v>
      </c>
      <c r="D138" s="30" t="s">
        <v>169</v>
      </c>
      <c r="E138" s="30" t="s">
        <v>170</v>
      </c>
      <c r="G138" s="48">
        <v>46264</v>
      </c>
      <c r="H138" s="49"/>
      <c r="I138" s="49">
        <v>0.375</v>
      </c>
      <c r="J138" s="30" t="s">
        <v>2105</v>
      </c>
      <c r="K138" s="30" t="s">
        <v>171</v>
      </c>
      <c r="L138" s="30">
        <v>1</v>
      </c>
      <c r="M138" s="30" t="s">
        <v>2106</v>
      </c>
      <c r="P138" s="30" t="s">
        <v>174</v>
      </c>
      <c r="Q138" s="30" t="s">
        <v>363</v>
      </c>
      <c r="R138" s="30" t="s">
        <v>175</v>
      </c>
      <c r="S138" s="30" t="s">
        <v>176</v>
      </c>
      <c r="T138" s="30" t="s">
        <v>2107</v>
      </c>
      <c r="U138" s="30" t="s">
        <v>2108</v>
      </c>
      <c r="V138" s="30" t="s">
        <v>2109</v>
      </c>
      <c r="W138" s="30" t="s">
        <v>2110</v>
      </c>
      <c r="X138" s="30" t="s">
        <v>179</v>
      </c>
      <c r="Y138"/>
      <c r="AA138" s="30" t="s">
        <v>181</v>
      </c>
      <c r="AB138" s="30" t="s">
        <v>477</v>
      </c>
      <c r="AC138" s="30" t="s">
        <v>56</v>
      </c>
      <c r="AD138" s="30" t="s">
        <v>478</v>
      </c>
      <c r="AE138" s="30">
        <v>20544424751</v>
      </c>
      <c r="AF138" s="30" t="s">
        <v>1794</v>
      </c>
      <c r="AG138" s="30" t="s">
        <v>497</v>
      </c>
      <c r="AH138" s="30" t="s">
        <v>185</v>
      </c>
      <c r="AI138" s="30" t="s">
        <v>498</v>
      </c>
      <c r="AJ138" s="30" t="s">
        <v>499</v>
      </c>
      <c r="AK138" s="30">
        <v>946500525</v>
      </c>
      <c r="AL138" s="30" t="s">
        <v>483</v>
      </c>
      <c r="AM138" t="s">
        <v>483</v>
      </c>
      <c r="AN138" s="30" t="s">
        <v>483</v>
      </c>
      <c r="AO138" s="30" t="s">
        <v>483</v>
      </c>
      <c r="AP138" s="30" t="s">
        <v>483</v>
      </c>
      <c r="AQ138" s="30" t="s">
        <v>483</v>
      </c>
      <c r="AR138" s="30" t="s">
        <v>483</v>
      </c>
      <c r="AS138" s="30" t="s">
        <v>63</v>
      </c>
      <c r="AT138" s="30" t="s">
        <v>64</v>
      </c>
      <c r="AU138" s="50">
        <v>46264.458333333336</v>
      </c>
      <c r="AV138" s="50">
        <v>46264.463888888888</v>
      </c>
      <c r="AW138" s="50">
        <v>46264.493055555555</v>
      </c>
      <c r="AX138" s="50">
        <v>46264.519444444442</v>
      </c>
      <c r="AY138" s="50">
        <v>46264.551388888889</v>
      </c>
      <c r="AZ138" s="50">
        <v>46264.559027777781</v>
      </c>
      <c r="BA138" s="51"/>
      <c r="BB138" s="51"/>
      <c r="BC138" s="50">
        <v>46265.388888888891</v>
      </c>
      <c r="BD138" s="50">
        <v>46265.414583333331</v>
      </c>
      <c r="BE138" s="51"/>
      <c r="BF138" s="51"/>
      <c r="BG138" s="51"/>
      <c r="BH138" s="51">
        <v>46265.529166666667</v>
      </c>
      <c r="BI138" s="30" t="s">
        <v>65</v>
      </c>
      <c r="BJ138" s="50">
        <v>46266.375</v>
      </c>
      <c r="BK138" s="50">
        <v>46266.329861111109</v>
      </c>
      <c r="BL138" s="50">
        <v>46266.335416666669</v>
      </c>
      <c r="BM138" s="50">
        <v>46266.34097222222</v>
      </c>
      <c r="BN138" s="50"/>
      <c r="BR138"/>
      <c r="BS138"/>
      <c r="BT138"/>
      <c r="BU138"/>
      <c r="BV138"/>
      <c r="BW138"/>
      <c r="BX138"/>
      <c r="BY138"/>
    </row>
    <row r="139" spans="1:77">
      <c r="A139" t="s">
        <v>168</v>
      </c>
      <c r="B139" s="30">
        <v>41</v>
      </c>
      <c r="C139" s="30">
        <v>35</v>
      </c>
      <c r="D139" s="30" t="s">
        <v>169</v>
      </c>
      <c r="E139" s="30" t="s">
        <v>170</v>
      </c>
      <c r="G139" s="48">
        <v>46264</v>
      </c>
      <c r="H139" s="49"/>
      <c r="I139" s="49">
        <v>0.58333333333333337</v>
      </c>
      <c r="J139" s="30" t="s">
        <v>2105</v>
      </c>
      <c r="K139" s="30" t="s">
        <v>171</v>
      </c>
      <c r="L139" s="30">
        <v>1</v>
      </c>
      <c r="M139" s="30" t="s">
        <v>2111</v>
      </c>
      <c r="P139" s="30" t="s">
        <v>174</v>
      </c>
      <c r="Q139" s="30" t="s">
        <v>363</v>
      </c>
      <c r="R139" s="30" t="s">
        <v>175</v>
      </c>
      <c r="S139" s="30" t="s">
        <v>176</v>
      </c>
      <c r="T139" s="30" t="s">
        <v>2112</v>
      </c>
      <c r="U139" s="30" t="s">
        <v>2113</v>
      </c>
      <c r="V139" s="30" t="s">
        <v>2114</v>
      </c>
      <c r="W139" s="30" t="s">
        <v>2115</v>
      </c>
      <c r="X139" s="30" t="s">
        <v>179</v>
      </c>
      <c r="Y139"/>
      <c r="AA139" s="30" t="s">
        <v>181</v>
      </c>
      <c r="AB139" s="30" t="s">
        <v>477</v>
      </c>
      <c r="AC139" s="30" t="s">
        <v>56</v>
      </c>
      <c r="AD139" s="30" t="s">
        <v>478</v>
      </c>
      <c r="AE139" s="30">
        <v>20544424751</v>
      </c>
      <c r="AF139" s="30" t="s">
        <v>1793</v>
      </c>
      <c r="AG139" s="30" t="s">
        <v>489</v>
      </c>
      <c r="AH139" s="30" t="s">
        <v>185</v>
      </c>
      <c r="AI139" s="30" t="s">
        <v>490</v>
      </c>
      <c r="AJ139" s="30" t="s">
        <v>491</v>
      </c>
      <c r="AK139" s="30">
        <v>904556157</v>
      </c>
      <c r="AL139" s="30" t="s">
        <v>483</v>
      </c>
      <c r="AM139" t="s">
        <v>483</v>
      </c>
      <c r="AN139" s="30" t="s">
        <v>483</v>
      </c>
      <c r="AO139" s="30" t="s">
        <v>483</v>
      </c>
      <c r="AP139" s="30" t="s">
        <v>483</v>
      </c>
      <c r="AQ139" s="30" t="s">
        <v>483</v>
      </c>
      <c r="AR139" s="30" t="s">
        <v>483</v>
      </c>
      <c r="AS139" s="30" t="s">
        <v>63</v>
      </c>
      <c r="AT139" s="30" t="s">
        <v>64</v>
      </c>
      <c r="AU139" s="50">
        <v>46264.625</v>
      </c>
      <c r="AV139" s="50">
        <v>46264.64166666667</v>
      </c>
      <c r="AW139" s="50">
        <v>46264.652083333334</v>
      </c>
      <c r="AX139" s="50">
        <v>46264.662499999999</v>
      </c>
      <c r="AY139" s="50">
        <v>46264.694444444445</v>
      </c>
      <c r="AZ139" s="50">
        <v>46264.704861111109</v>
      </c>
      <c r="BA139" s="51"/>
      <c r="BB139" s="51"/>
      <c r="BC139" s="50">
        <v>46265.592361111114</v>
      </c>
      <c r="BD139" s="50">
        <v>46265.615972222222</v>
      </c>
      <c r="BE139" s="51"/>
      <c r="BF139" s="51"/>
      <c r="BG139" s="51"/>
      <c r="BH139" s="51">
        <v>46265.715277777781</v>
      </c>
      <c r="BI139" s="30" t="s">
        <v>65</v>
      </c>
      <c r="BJ139" s="50">
        <v>46266.583333333336</v>
      </c>
      <c r="BK139" s="50">
        <v>46266.51666666667</v>
      </c>
      <c r="BL139" s="50">
        <v>46266.518055555556</v>
      </c>
      <c r="BM139" s="50">
        <v>46266.527083333334</v>
      </c>
      <c r="BN139" s="50">
        <v>46266.53125</v>
      </c>
      <c r="BR139"/>
      <c r="BS139"/>
      <c r="BT139"/>
      <c r="BU139"/>
      <c r="BV139"/>
      <c r="BW139"/>
      <c r="BX139"/>
      <c r="BY139"/>
    </row>
    <row r="140" spans="1:77">
      <c r="A140" t="s">
        <v>168</v>
      </c>
      <c r="B140" s="30">
        <v>42</v>
      </c>
      <c r="C140" s="30">
        <v>35</v>
      </c>
      <c r="D140" s="30" t="s">
        <v>169</v>
      </c>
      <c r="E140" s="30" t="s">
        <v>170</v>
      </c>
      <c r="G140" s="48">
        <v>46264</v>
      </c>
      <c r="H140" s="49"/>
      <c r="I140" s="49">
        <v>0.66666666666666663</v>
      </c>
      <c r="J140" s="30" t="s">
        <v>2105</v>
      </c>
      <c r="K140" s="30" t="s">
        <v>171</v>
      </c>
      <c r="L140" s="30">
        <v>1</v>
      </c>
      <c r="M140" s="30" t="s">
        <v>2116</v>
      </c>
      <c r="P140" s="30" t="s">
        <v>174</v>
      </c>
      <c r="Q140" s="30" t="s">
        <v>363</v>
      </c>
      <c r="R140" s="30" t="s">
        <v>175</v>
      </c>
      <c r="S140" s="30" t="s">
        <v>176</v>
      </c>
      <c r="T140" s="30" t="s">
        <v>2117</v>
      </c>
      <c r="U140" s="30" t="s">
        <v>2118</v>
      </c>
      <c r="V140" s="30" t="s">
        <v>2119</v>
      </c>
      <c r="W140" s="30" t="s">
        <v>2120</v>
      </c>
      <c r="X140" s="30" t="s">
        <v>179</v>
      </c>
      <c r="Y140"/>
      <c r="AA140" s="30" t="s">
        <v>181</v>
      </c>
      <c r="AB140" s="30" t="s">
        <v>477</v>
      </c>
      <c r="AC140" s="30" t="s">
        <v>56</v>
      </c>
      <c r="AD140" s="30" t="s">
        <v>478</v>
      </c>
      <c r="AE140" s="30">
        <v>20544424751</v>
      </c>
      <c r="AF140" s="30" t="s">
        <v>2121</v>
      </c>
      <c r="AG140" s="30" t="s">
        <v>2122</v>
      </c>
      <c r="AH140" s="30" t="s">
        <v>185</v>
      </c>
      <c r="AI140" s="30" t="s">
        <v>2123</v>
      </c>
      <c r="AJ140" s="30" t="s">
        <v>2124</v>
      </c>
      <c r="AK140" s="30">
        <v>916329861</v>
      </c>
      <c r="AL140" s="30" t="s">
        <v>483</v>
      </c>
      <c r="AM140" t="s">
        <v>483</v>
      </c>
      <c r="AN140" s="30" t="s">
        <v>483</v>
      </c>
      <c r="AO140" s="30" t="s">
        <v>483</v>
      </c>
      <c r="AP140" s="30" t="s">
        <v>483</v>
      </c>
      <c r="AQ140" s="30" t="s">
        <v>483</v>
      </c>
      <c r="AR140" s="30" t="s">
        <v>483</v>
      </c>
      <c r="AS140" s="30" t="s">
        <v>63</v>
      </c>
      <c r="AT140" s="30" t="s">
        <v>64</v>
      </c>
      <c r="AU140" s="50">
        <v>46264.666666666664</v>
      </c>
      <c r="AV140" s="50">
        <v>46264.663194444445</v>
      </c>
      <c r="AW140" s="50">
        <v>46264.677777777775</v>
      </c>
      <c r="AX140" s="50">
        <v>46264.686111111114</v>
      </c>
      <c r="AY140" s="50">
        <v>46264.719444444447</v>
      </c>
      <c r="AZ140" s="50">
        <v>46264.779166666667</v>
      </c>
      <c r="BA140" s="51"/>
      <c r="BB140" s="51"/>
      <c r="BC140" s="50">
        <v>46265.574999999997</v>
      </c>
      <c r="BD140" s="50">
        <v>46265.588888888888</v>
      </c>
      <c r="BE140" s="51"/>
      <c r="BF140" s="51"/>
      <c r="BG140" s="51"/>
      <c r="BH140" s="51">
        <v>46265.709722222222</v>
      </c>
      <c r="BI140" s="30" t="s">
        <v>65</v>
      </c>
      <c r="BJ140" s="50">
        <v>46266.541666666664</v>
      </c>
      <c r="BK140" s="50">
        <v>46266.525694444441</v>
      </c>
      <c r="BL140" s="50">
        <v>46266.53125</v>
      </c>
      <c r="BM140" s="50">
        <v>46266.540972222225</v>
      </c>
      <c r="BN140" s="50">
        <v>46266.54583333333</v>
      </c>
      <c r="BR140"/>
      <c r="BS140"/>
      <c r="BT140"/>
      <c r="BU140"/>
      <c r="BV140"/>
      <c r="BW140"/>
      <c r="BX140"/>
      <c r="BY140"/>
    </row>
    <row r="141" spans="1:77">
      <c r="A141" t="s">
        <v>168</v>
      </c>
      <c r="B141" s="30">
        <v>43</v>
      </c>
      <c r="C141" s="30">
        <v>36</v>
      </c>
      <c r="D141" s="30" t="s">
        <v>169</v>
      </c>
      <c r="E141" s="30" t="s">
        <v>170</v>
      </c>
      <c r="G141" s="48">
        <v>46270</v>
      </c>
      <c r="H141" s="49"/>
      <c r="I141" s="49">
        <v>0.5</v>
      </c>
      <c r="J141" s="30" t="s">
        <v>53</v>
      </c>
      <c r="K141" s="30" t="s">
        <v>171</v>
      </c>
      <c r="L141" s="30">
        <v>1</v>
      </c>
      <c r="M141" s="30" t="s">
        <v>2125</v>
      </c>
      <c r="P141" s="30" t="s">
        <v>174</v>
      </c>
      <c r="Q141" s="30" t="s">
        <v>363</v>
      </c>
      <c r="R141" s="30" t="s">
        <v>175</v>
      </c>
      <c r="S141" s="30" t="s">
        <v>176</v>
      </c>
      <c r="T141" s="30" t="s">
        <v>2126</v>
      </c>
      <c r="U141" s="30" t="s">
        <v>2127</v>
      </c>
      <c r="V141" s="30">
        <v>813703</v>
      </c>
      <c r="W141" s="30" t="s">
        <v>2128</v>
      </c>
      <c r="X141" s="30" t="s">
        <v>179</v>
      </c>
      <c r="Y141"/>
      <c r="AA141" s="30" t="s">
        <v>181</v>
      </c>
      <c r="AB141" s="30" t="s">
        <v>477</v>
      </c>
      <c r="AC141" s="30" t="s">
        <v>56</v>
      </c>
      <c r="AD141" s="30" t="s">
        <v>478</v>
      </c>
      <c r="AE141" s="30">
        <v>20544424751</v>
      </c>
      <c r="AF141" s="30" t="s">
        <v>2129</v>
      </c>
      <c r="AG141" s="30" t="s">
        <v>2130</v>
      </c>
      <c r="AH141" s="30" t="s">
        <v>185</v>
      </c>
      <c r="AI141" s="30" t="s">
        <v>2131</v>
      </c>
      <c r="AJ141" s="30" t="s">
        <v>2132</v>
      </c>
      <c r="AK141" s="30">
        <v>952032140</v>
      </c>
      <c r="AL141" s="30" t="s">
        <v>483</v>
      </c>
      <c r="AM141" t="s">
        <v>483</v>
      </c>
      <c r="AN141" s="30" t="s">
        <v>483</v>
      </c>
      <c r="AO141" s="30" t="s">
        <v>483</v>
      </c>
      <c r="AP141" s="30" t="s">
        <v>483</v>
      </c>
      <c r="AQ141" s="30" t="s">
        <v>483</v>
      </c>
      <c r="AR141" s="30" t="s">
        <v>483</v>
      </c>
      <c r="AS141" s="30" t="s">
        <v>63</v>
      </c>
      <c r="AT141" s="30" t="s">
        <v>64</v>
      </c>
      <c r="AU141" s="50">
        <v>46270.458333333336</v>
      </c>
      <c r="AV141" s="50">
        <v>46270.481249999997</v>
      </c>
      <c r="AW141" s="50">
        <v>46270.513194444444</v>
      </c>
      <c r="AX141" s="50">
        <v>46270.520833333336</v>
      </c>
      <c r="AY141" s="50">
        <v>46270.589583333334</v>
      </c>
      <c r="AZ141" s="50">
        <v>46270.597916666666</v>
      </c>
      <c r="BA141" s="51"/>
      <c r="BB141" s="51"/>
      <c r="BC141" s="50">
        <v>46271.46875</v>
      </c>
      <c r="BD141" s="50">
        <v>46271.478472222225</v>
      </c>
      <c r="BE141" s="51"/>
      <c r="BF141" s="51"/>
      <c r="BG141" s="51"/>
      <c r="BH141" s="51">
        <v>46271.738194444442</v>
      </c>
      <c r="BI141" s="30" t="s">
        <v>65</v>
      </c>
      <c r="BJ141" s="50">
        <v>46272.583333333336</v>
      </c>
      <c r="BK141" s="50">
        <v>46272.545138888891</v>
      </c>
      <c r="BL141" s="50">
        <v>46272.548611111109</v>
      </c>
      <c r="BM141" s="50">
        <v>46272.553472222222</v>
      </c>
      <c r="BN141" s="50">
        <v>46272.5625</v>
      </c>
      <c r="BR141"/>
      <c r="BS141"/>
      <c r="BT141"/>
      <c r="BU141"/>
      <c r="BV141"/>
      <c r="BW141"/>
      <c r="BX141"/>
      <c r="BY141"/>
    </row>
    <row r="142" spans="1:77">
      <c r="A142" t="s">
        <v>168</v>
      </c>
      <c r="B142" s="30">
        <v>44</v>
      </c>
      <c r="C142" s="30">
        <v>36</v>
      </c>
      <c r="D142" s="30" t="s">
        <v>169</v>
      </c>
      <c r="E142" s="30" t="s">
        <v>170</v>
      </c>
      <c r="G142" s="48">
        <v>46270</v>
      </c>
      <c r="H142" s="49"/>
      <c r="I142" s="49">
        <v>0.58333333333333337</v>
      </c>
      <c r="J142" s="30" t="s">
        <v>53</v>
      </c>
      <c r="K142" s="30" t="s">
        <v>171</v>
      </c>
      <c r="L142" s="30">
        <v>1</v>
      </c>
      <c r="M142" s="30" t="s">
        <v>2133</v>
      </c>
      <c r="P142" s="30" t="s">
        <v>174</v>
      </c>
      <c r="Q142" s="30" t="s">
        <v>363</v>
      </c>
      <c r="R142" s="30" t="s">
        <v>548</v>
      </c>
      <c r="S142" s="30" t="s">
        <v>623</v>
      </c>
      <c r="T142" s="30" t="s">
        <v>2134</v>
      </c>
      <c r="U142" s="30" t="s">
        <v>2135</v>
      </c>
      <c r="V142" s="30">
        <v>813786</v>
      </c>
      <c r="W142" s="30" t="s">
        <v>2136</v>
      </c>
      <c r="X142" s="30" t="s">
        <v>179</v>
      </c>
      <c r="Y142"/>
      <c r="AA142" s="30" t="s">
        <v>181</v>
      </c>
      <c r="AB142" s="30" t="s">
        <v>477</v>
      </c>
      <c r="AC142" s="30" t="s">
        <v>56</v>
      </c>
      <c r="AD142" s="30" t="s">
        <v>478</v>
      </c>
      <c r="AE142" s="30">
        <v>20544424751</v>
      </c>
      <c r="AF142" s="30" t="s">
        <v>1794</v>
      </c>
      <c r="AG142" s="30" t="s">
        <v>497</v>
      </c>
      <c r="AH142" s="30" t="s">
        <v>185</v>
      </c>
      <c r="AI142" s="30" t="s">
        <v>498</v>
      </c>
      <c r="AJ142" s="30" t="s">
        <v>499</v>
      </c>
      <c r="AK142" s="30">
        <v>946500525</v>
      </c>
      <c r="AL142" s="30" t="s">
        <v>483</v>
      </c>
      <c r="AM142" t="s">
        <v>483</v>
      </c>
      <c r="AN142" s="30" t="s">
        <v>483</v>
      </c>
      <c r="AO142" s="30" t="s">
        <v>483</v>
      </c>
      <c r="AP142" s="30" t="s">
        <v>483</v>
      </c>
      <c r="AQ142" s="30" t="s">
        <v>483</v>
      </c>
      <c r="AR142" s="30" t="s">
        <v>483</v>
      </c>
      <c r="AS142" s="30" t="s">
        <v>63</v>
      </c>
      <c r="AT142" s="30" t="s">
        <v>64</v>
      </c>
      <c r="AU142" s="50">
        <v>46270.666666666664</v>
      </c>
      <c r="AV142" s="50">
        <v>46270.690972222219</v>
      </c>
      <c r="AW142" s="50">
        <v>46270.699305555558</v>
      </c>
      <c r="AX142" s="50">
        <v>46270.730555555558</v>
      </c>
      <c r="AY142" s="50">
        <v>46270.754166666666</v>
      </c>
      <c r="AZ142" s="50">
        <v>46270.786805555559</v>
      </c>
      <c r="BA142" s="51"/>
      <c r="BB142" s="51"/>
      <c r="BC142" s="50">
        <v>46271.540277777778</v>
      </c>
      <c r="BD142" s="50">
        <v>46271.122916666667</v>
      </c>
      <c r="BE142" s="51"/>
      <c r="BF142" s="51"/>
      <c r="BG142" s="51"/>
      <c r="BH142" s="51">
        <v>46271.77847222222</v>
      </c>
      <c r="BI142" s="30" t="s">
        <v>65</v>
      </c>
      <c r="BJ142" s="50">
        <v>46272.625</v>
      </c>
      <c r="BK142" s="50">
        <v>46272.595833333333</v>
      </c>
      <c r="BL142" s="50">
        <v>46272.595833333333</v>
      </c>
      <c r="BM142" s="50">
        <v>46272.602083333331</v>
      </c>
      <c r="BN142" s="50">
        <v>46272.606944444444</v>
      </c>
      <c r="BR142"/>
      <c r="BS142"/>
      <c r="BT142"/>
      <c r="BU142"/>
      <c r="BV142"/>
      <c r="BW142"/>
      <c r="BX142"/>
      <c r="BY142"/>
    </row>
    <row r="143" spans="1:77">
      <c r="A143" t="s">
        <v>168</v>
      </c>
      <c r="B143" s="30">
        <v>45</v>
      </c>
      <c r="C143" s="30">
        <v>36</v>
      </c>
      <c r="D143" s="30" t="s">
        <v>169</v>
      </c>
      <c r="E143" s="30" t="s">
        <v>170</v>
      </c>
      <c r="G143" s="48">
        <v>46271</v>
      </c>
      <c r="H143" s="49"/>
      <c r="I143" s="49">
        <v>0.5</v>
      </c>
      <c r="J143" s="30" t="s">
        <v>53</v>
      </c>
      <c r="K143" s="30" t="s">
        <v>171</v>
      </c>
      <c r="L143" s="30">
        <v>1</v>
      </c>
      <c r="M143" s="30" t="s">
        <v>2137</v>
      </c>
      <c r="P143" s="30" t="s">
        <v>174</v>
      </c>
      <c r="Q143" s="30" t="s">
        <v>363</v>
      </c>
      <c r="R143" s="30" t="s">
        <v>407</v>
      </c>
      <c r="S143" s="30" t="s">
        <v>176</v>
      </c>
      <c r="T143" s="30" t="s">
        <v>2138</v>
      </c>
      <c r="U143" s="30" t="s">
        <v>2139</v>
      </c>
      <c r="V143" s="30">
        <v>813957</v>
      </c>
      <c r="W143" s="30" t="s">
        <v>2140</v>
      </c>
      <c r="X143" s="30" t="s">
        <v>179</v>
      </c>
      <c r="Y143"/>
      <c r="AA143" s="30" t="s">
        <v>181</v>
      </c>
      <c r="AB143" s="30" t="s">
        <v>477</v>
      </c>
      <c r="AC143" s="30" t="s">
        <v>56</v>
      </c>
      <c r="AD143" s="30" t="s">
        <v>478</v>
      </c>
      <c r="AE143" s="30">
        <v>20544424751</v>
      </c>
      <c r="AF143" s="30" t="s">
        <v>2121</v>
      </c>
      <c r="AG143" s="30" t="s">
        <v>2122</v>
      </c>
      <c r="AH143" s="30" t="s">
        <v>185</v>
      </c>
      <c r="AI143" s="30" t="s">
        <v>2123</v>
      </c>
      <c r="AJ143" s="30" t="s">
        <v>2124</v>
      </c>
      <c r="AK143" s="30">
        <v>916329861</v>
      </c>
      <c r="AL143" s="30" t="s">
        <v>483</v>
      </c>
      <c r="AM143" t="s">
        <v>483</v>
      </c>
      <c r="AN143" s="30" t="s">
        <v>483</v>
      </c>
      <c r="AO143" s="30" t="s">
        <v>483</v>
      </c>
      <c r="AP143" s="30" t="s">
        <v>483</v>
      </c>
      <c r="AQ143" s="30" t="s">
        <v>483</v>
      </c>
      <c r="AR143" s="30" t="s">
        <v>483</v>
      </c>
      <c r="AS143" s="30" t="s">
        <v>63</v>
      </c>
      <c r="AT143" s="30" t="s">
        <v>64</v>
      </c>
      <c r="AU143" s="50">
        <v>46271.666666666664</v>
      </c>
      <c r="AV143" s="50">
        <v>46271.670138888891</v>
      </c>
      <c r="AW143" s="50">
        <v>46271.673611111109</v>
      </c>
      <c r="AX143" s="50">
        <v>46271.684027777781</v>
      </c>
      <c r="AY143" s="50">
        <v>46271.727083333331</v>
      </c>
      <c r="AZ143" s="50">
        <v>46271.73333333333</v>
      </c>
      <c r="BA143" s="51"/>
      <c r="BB143" s="51"/>
      <c r="BC143" s="50">
        <v>46272.527777777781</v>
      </c>
      <c r="BD143" s="50">
        <v>46272.540972222225</v>
      </c>
      <c r="BE143" s="51"/>
      <c r="BF143" s="51"/>
      <c r="BG143" s="51"/>
      <c r="BH143" s="51">
        <v>46272.655555555553</v>
      </c>
      <c r="BI143" s="30" t="s">
        <v>65</v>
      </c>
      <c r="BJ143" s="50">
        <v>46273.541666666664</v>
      </c>
      <c r="BK143" s="50">
        <v>46273.519444444442</v>
      </c>
      <c r="BL143" s="50">
        <v>46273.523611111108</v>
      </c>
      <c r="BM143" s="50">
        <v>46273.530555555553</v>
      </c>
      <c r="BN143" s="50">
        <v>46273.537499999999</v>
      </c>
      <c r="BR143"/>
      <c r="BS143"/>
      <c r="BT143"/>
      <c r="BU143"/>
      <c r="BV143"/>
      <c r="BW143"/>
      <c r="BX143"/>
      <c r="BY143"/>
    </row>
    <row r="144" spans="1:77">
      <c r="A144" t="s">
        <v>168</v>
      </c>
      <c r="B144" s="30">
        <v>46</v>
      </c>
      <c r="C144" s="30">
        <v>36</v>
      </c>
      <c r="D144" s="30" t="s">
        <v>169</v>
      </c>
      <c r="E144" s="30" t="s">
        <v>170</v>
      </c>
      <c r="G144" s="48">
        <v>46271</v>
      </c>
      <c r="H144" s="49"/>
      <c r="I144" s="49">
        <v>0.58333333333333337</v>
      </c>
      <c r="J144" s="30" t="s">
        <v>53</v>
      </c>
      <c r="K144" s="30" t="s">
        <v>171</v>
      </c>
      <c r="L144" s="30">
        <v>1</v>
      </c>
      <c r="M144" s="30" t="s">
        <v>2141</v>
      </c>
      <c r="P144" s="30" t="s">
        <v>174</v>
      </c>
      <c r="Q144" s="30" t="s">
        <v>363</v>
      </c>
      <c r="R144" s="30" t="s">
        <v>175</v>
      </c>
      <c r="S144" s="30" t="s">
        <v>176</v>
      </c>
      <c r="T144" s="30" t="s">
        <v>2142</v>
      </c>
      <c r="U144" s="30" t="s">
        <v>2143</v>
      </c>
      <c r="V144" s="30">
        <v>813954</v>
      </c>
      <c r="W144" s="30" t="s">
        <v>2144</v>
      </c>
      <c r="X144" s="30" t="s">
        <v>179</v>
      </c>
      <c r="Y144"/>
      <c r="AA144" s="30" t="s">
        <v>181</v>
      </c>
      <c r="AB144" s="30" t="s">
        <v>477</v>
      </c>
      <c r="AC144" s="30" t="s">
        <v>56</v>
      </c>
      <c r="AD144" s="30" t="s">
        <v>478</v>
      </c>
      <c r="AE144" s="30">
        <v>20544424751</v>
      </c>
      <c r="AF144" s="30" t="s">
        <v>533</v>
      </c>
      <c r="AG144" s="30" t="s">
        <v>534</v>
      </c>
      <c r="AH144" s="30" t="s">
        <v>185</v>
      </c>
      <c r="AI144" s="30" t="s">
        <v>535</v>
      </c>
      <c r="AJ144" s="30" t="s">
        <v>536</v>
      </c>
      <c r="AK144" s="30">
        <v>986078320</v>
      </c>
      <c r="AL144" s="30" t="s">
        <v>483</v>
      </c>
      <c r="AM144" t="s">
        <v>483</v>
      </c>
      <c r="AN144" s="30" t="s">
        <v>483</v>
      </c>
      <c r="AO144" s="30" t="s">
        <v>483</v>
      </c>
      <c r="AP144" s="30" t="s">
        <v>483</v>
      </c>
      <c r="AQ144" s="30" t="s">
        <v>483</v>
      </c>
      <c r="AR144" s="30" t="s">
        <v>483</v>
      </c>
      <c r="AS144" s="30" t="s">
        <v>63</v>
      </c>
      <c r="AT144" s="30" t="s">
        <v>64</v>
      </c>
      <c r="AU144" s="50">
        <v>46271.666666666664</v>
      </c>
      <c r="AV144" s="50">
        <v>46271.666666666664</v>
      </c>
      <c r="AW144" s="50">
        <v>46271.67291666667</v>
      </c>
      <c r="AX144" s="50">
        <v>46271.678472222222</v>
      </c>
      <c r="AY144" s="50">
        <v>46271.720833333333</v>
      </c>
      <c r="AZ144" s="50">
        <v>46271.73333333333</v>
      </c>
      <c r="BA144" s="51"/>
      <c r="BB144" s="51"/>
      <c r="BC144" s="50">
        <v>46272.533333333333</v>
      </c>
      <c r="BD144" s="50">
        <v>46272.546527777777</v>
      </c>
      <c r="BE144" s="51"/>
      <c r="BF144" s="51"/>
      <c r="BG144" s="51"/>
      <c r="BH144" s="51">
        <v>46272.665277777778</v>
      </c>
      <c r="BI144" s="30" t="s">
        <v>65</v>
      </c>
      <c r="BJ144" s="50">
        <v>46273.541666666664</v>
      </c>
      <c r="BK144" s="50">
        <v>46273.568749999999</v>
      </c>
      <c r="BL144" s="50">
        <v>46273.571527777778</v>
      </c>
      <c r="BM144" s="50">
        <v>46273.574999999997</v>
      </c>
      <c r="BN144" s="50">
        <v>46273.589583333334</v>
      </c>
      <c r="BR144"/>
      <c r="BS144"/>
      <c r="BT144"/>
      <c r="BU144"/>
      <c r="BV144"/>
      <c r="BW144"/>
      <c r="BX144"/>
      <c r="BY144"/>
    </row>
    <row r="145" spans="1:77">
      <c r="A145" t="s">
        <v>168</v>
      </c>
      <c r="B145" s="30">
        <v>47</v>
      </c>
      <c r="C145" s="30">
        <v>37</v>
      </c>
      <c r="D145" s="30" t="s">
        <v>169</v>
      </c>
      <c r="E145" s="30" t="s">
        <v>170</v>
      </c>
      <c r="G145" s="48">
        <v>46274</v>
      </c>
      <c r="H145" s="49"/>
      <c r="I145" s="49">
        <v>0.625</v>
      </c>
      <c r="J145" s="30" t="s">
        <v>53</v>
      </c>
      <c r="K145" s="30" t="s">
        <v>171</v>
      </c>
      <c r="L145" s="30">
        <v>1</v>
      </c>
      <c r="M145" s="30" t="s">
        <v>2378</v>
      </c>
      <c r="P145" s="30" t="s">
        <v>174</v>
      </c>
      <c r="Q145" s="30" t="s">
        <v>363</v>
      </c>
      <c r="R145" s="30" t="s">
        <v>374</v>
      </c>
      <c r="S145" s="30" t="s">
        <v>375</v>
      </c>
      <c r="T145" s="30" t="s">
        <v>2379</v>
      </c>
      <c r="U145" s="30" t="s">
        <v>2380</v>
      </c>
      <c r="V145" s="30" t="s">
        <v>2381</v>
      </c>
      <c r="W145" s="30" t="s">
        <v>2382</v>
      </c>
      <c r="X145" s="30" t="s">
        <v>180</v>
      </c>
      <c r="Y145"/>
      <c r="AA145" s="30" t="s">
        <v>181</v>
      </c>
      <c r="AB145" s="30" t="s">
        <v>477</v>
      </c>
      <c r="AC145" s="30" t="s">
        <v>56</v>
      </c>
      <c r="AD145" s="30" t="s">
        <v>478</v>
      </c>
      <c r="AE145" s="30">
        <v>20544424751</v>
      </c>
      <c r="AF145" s="30" t="s">
        <v>519</v>
      </c>
      <c r="AG145" s="30" t="s">
        <v>520</v>
      </c>
      <c r="AH145" s="30" t="s">
        <v>185</v>
      </c>
      <c r="AI145" s="30" t="s">
        <v>521</v>
      </c>
      <c r="AJ145" s="30" t="s">
        <v>522</v>
      </c>
      <c r="AK145" s="30">
        <v>914472332</v>
      </c>
      <c r="AL145" s="30" t="s">
        <v>483</v>
      </c>
      <c r="AM145" t="s">
        <v>483</v>
      </c>
      <c r="AN145" s="30" t="s">
        <v>483</v>
      </c>
      <c r="AO145" s="30" t="s">
        <v>483</v>
      </c>
      <c r="AP145" s="30" t="s">
        <v>483</v>
      </c>
      <c r="AQ145" s="30" t="s">
        <v>483</v>
      </c>
      <c r="AR145" s="30" t="s">
        <v>483</v>
      </c>
      <c r="AS145" s="30" t="s">
        <v>63</v>
      </c>
      <c r="AT145" s="30" t="s">
        <v>380</v>
      </c>
      <c r="AU145" s="50">
        <v>46274.583333333336</v>
      </c>
      <c r="AV145" s="50">
        <v>46274.594444444447</v>
      </c>
      <c r="AW145" s="50">
        <v>46274.59652777778</v>
      </c>
      <c r="AX145" s="50">
        <v>46274.606249999997</v>
      </c>
      <c r="AY145" s="50">
        <v>46274.693749999999</v>
      </c>
      <c r="AZ145" s="50">
        <v>46274.706944444442</v>
      </c>
      <c r="BA145" s="51"/>
      <c r="BB145" s="51"/>
      <c r="BC145" s="50">
        <v>46275.718055555553</v>
      </c>
      <c r="BD145" s="50">
        <v>46275.739583333336</v>
      </c>
      <c r="BE145" s="51"/>
      <c r="BF145" s="51"/>
      <c r="BG145" s="51"/>
      <c r="BH145" s="51">
        <v>46275.833333333336</v>
      </c>
      <c r="BI145" s="30" t="s">
        <v>65</v>
      </c>
      <c r="BJ145" s="50">
        <v>46276.666666666664</v>
      </c>
      <c r="BK145" s="50">
        <v>46276.666666666664</v>
      </c>
      <c r="BL145" s="50">
        <v>46276.583333333336</v>
      </c>
      <c r="BM145" s="50">
        <v>46276.654861111114</v>
      </c>
      <c r="BN145" s="50">
        <v>46276.661111111112</v>
      </c>
      <c r="BR145"/>
      <c r="BS145"/>
      <c r="BT145"/>
      <c r="BU145"/>
      <c r="BV145"/>
      <c r="BW145"/>
      <c r="BX145"/>
      <c r="BY145"/>
    </row>
    <row r="146" spans="1:77">
      <c r="A146" t="s">
        <v>168</v>
      </c>
      <c r="B146" s="30">
        <v>48</v>
      </c>
      <c r="C146" s="30">
        <v>37</v>
      </c>
      <c r="D146" s="30" t="s">
        <v>169</v>
      </c>
      <c r="E146" s="30" t="s">
        <v>170</v>
      </c>
      <c r="F146" s="48">
        <v>46277</v>
      </c>
      <c r="G146" s="48">
        <v>46278</v>
      </c>
      <c r="H146" s="49"/>
      <c r="I146" s="49">
        <v>0.58333333333333337</v>
      </c>
      <c r="J146" s="30" t="s">
        <v>53</v>
      </c>
      <c r="K146" s="30" t="s">
        <v>171</v>
      </c>
      <c r="L146" s="30">
        <v>1</v>
      </c>
      <c r="M146" s="30" t="s">
        <v>2383</v>
      </c>
      <c r="P146" s="30" t="s">
        <v>174</v>
      </c>
      <c r="Q146" s="30" t="s">
        <v>363</v>
      </c>
      <c r="R146" s="30" t="s">
        <v>548</v>
      </c>
      <c r="S146" s="30" t="s">
        <v>623</v>
      </c>
      <c r="T146" s="30" t="s">
        <v>2384</v>
      </c>
      <c r="U146" s="30" t="s">
        <v>2385</v>
      </c>
      <c r="V146" s="30">
        <v>815970</v>
      </c>
      <c r="W146" s="30" t="s">
        <v>2386</v>
      </c>
      <c r="X146" s="30" t="s">
        <v>179</v>
      </c>
      <c r="Y146"/>
      <c r="AA146" s="30" t="s">
        <v>181</v>
      </c>
      <c r="AB146" s="30" t="s">
        <v>477</v>
      </c>
      <c r="AC146" s="30" t="s">
        <v>56</v>
      </c>
      <c r="AD146" s="30" t="s">
        <v>478</v>
      </c>
      <c r="AE146" s="30">
        <v>20544424751</v>
      </c>
      <c r="AF146" s="30" t="s">
        <v>1793</v>
      </c>
      <c r="AG146" s="30" t="s">
        <v>489</v>
      </c>
      <c r="AH146" s="30" t="s">
        <v>185</v>
      </c>
      <c r="AI146" s="30" t="s">
        <v>490</v>
      </c>
      <c r="AJ146" s="30" t="s">
        <v>491</v>
      </c>
      <c r="AK146" s="30">
        <v>904556157</v>
      </c>
      <c r="AL146" s="30" t="s">
        <v>483</v>
      </c>
      <c r="AM146" t="s">
        <v>483</v>
      </c>
      <c r="AN146" s="30" t="s">
        <v>483</v>
      </c>
      <c r="AO146" s="30" t="s">
        <v>483</v>
      </c>
      <c r="AP146" s="30" t="s">
        <v>483</v>
      </c>
      <c r="AQ146" s="30" t="s">
        <v>483</v>
      </c>
      <c r="AR146" s="30" t="s">
        <v>483</v>
      </c>
      <c r="AS146" s="30" t="s">
        <v>63</v>
      </c>
      <c r="AT146" s="30" t="s">
        <v>64</v>
      </c>
      <c r="AU146" s="50">
        <v>46277.458333333336</v>
      </c>
      <c r="AV146" s="50">
        <v>46277.453472222223</v>
      </c>
      <c r="AW146" s="50">
        <v>46277.493055555555</v>
      </c>
      <c r="AX146" s="50">
        <v>46277.499305555553</v>
      </c>
      <c r="AY146" s="50">
        <v>46277.544444444444</v>
      </c>
      <c r="AZ146" s="50">
        <v>46277.551388888889</v>
      </c>
      <c r="BA146" s="51"/>
      <c r="BB146" s="51"/>
      <c r="BC146" s="50">
        <v>46278.597222222219</v>
      </c>
      <c r="BD146" s="50">
        <v>46278.597222222219</v>
      </c>
      <c r="BE146" s="51"/>
      <c r="BF146" s="51"/>
      <c r="BG146" s="51"/>
      <c r="BH146" s="51">
        <v>46278.781944444447</v>
      </c>
      <c r="BI146" s="30" t="s">
        <v>65</v>
      </c>
      <c r="BJ146" s="50">
        <v>46279.625</v>
      </c>
      <c r="BK146" s="50">
        <v>46279.574999999997</v>
      </c>
      <c r="BL146" s="50">
        <v>46279.578472222223</v>
      </c>
      <c r="BM146" s="50">
        <v>46279.579861111109</v>
      </c>
      <c r="BN146" s="50">
        <v>46279.589583333334</v>
      </c>
      <c r="BR146"/>
      <c r="BS146"/>
      <c r="BT146"/>
      <c r="BU146"/>
      <c r="BV146"/>
      <c r="BW146"/>
      <c r="BX146"/>
      <c r="BY146"/>
    </row>
    <row r="147" spans="1:77">
      <c r="A147" t="s">
        <v>168</v>
      </c>
      <c r="B147" s="30">
        <v>49</v>
      </c>
      <c r="C147" s="30">
        <v>37</v>
      </c>
      <c r="D147" s="30" t="s">
        <v>169</v>
      </c>
      <c r="E147" s="30" t="s">
        <v>170</v>
      </c>
      <c r="F147" s="48">
        <v>46277</v>
      </c>
      <c r="G147" s="48">
        <v>46278</v>
      </c>
      <c r="H147" s="49"/>
      <c r="I147" s="49">
        <v>0.58333333333333337</v>
      </c>
      <c r="J147" s="30" t="s">
        <v>53</v>
      </c>
      <c r="K147" s="30" t="s">
        <v>171</v>
      </c>
      <c r="L147" s="30">
        <v>1</v>
      </c>
      <c r="M147" s="30" t="s">
        <v>2387</v>
      </c>
      <c r="P147" s="30" t="s">
        <v>174</v>
      </c>
      <c r="Q147" s="30" t="s">
        <v>363</v>
      </c>
      <c r="R147" s="30" t="s">
        <v>175</v>
      </c>
      <c r="S147" s="30" t="s">
        <v>176</v>
      </c>
      <c r="T147" s="30" t="s">
        <v>2388</v>
      </c>
      <c r="U147" s="30" t="s">
        <v>2389</v>
      </c>
      <c r="V147" s="30">
        <v>8116000</v>
      </c>
      <c r="W147" s="30" t="s">
        <v>2390</v>
      </c>
      <c r="X147" s="30" t="s">
        <v>179</v>
      </c>
      <c r="Y147"/>
      <c r="AA147" s="30" t="s">
        <v>181</v>
      </c>
      <c r="AB147" s="30" t="s">
        <v>477</v>
      </c>
      <c r="AC147" s="30" t="s">
        <v>56</v>
      </c>
      <c r="AD147" s="30" t="s">
        <v>478</v>
      </c>
      <c r="AE147" s="30">
        <v>20544424751</v>
      </c>
      <c r="AF147" s="30" t="s">
        <v>1794</v>
      </c>
      <c r="AG147" s="30" t="s">
        <v>497</v>
      </c>
      <c r="AH147" s="30" t="s">
        <v>185</v>
      </c>
      <c r="AI147" s="30" t="s">
        <v>498</v>
      </c>
      <c r="AJ147" s="30" t="s">
        <v>499</v>
      </c>
      <c r="AK147" s="30">
        <v>946500525</v>
      </c>
      <c r="AL147" s="30" t="s">
        <v>483</v>
      </c>
      <c r="AM147" t="s">
        <v>483</v>
      </c>
      <c r="AN147" s="30" t="s">
        <v>483</v>
      </c>
      <c r="AO147" s="30" t="s">
        <v>483</v>
      </c>
      <c r="AP147" s="30" t="s">
        <v>483</v>
      </c>
      <c r="AQ147" s="30" t="s">
        <v>483</v>
      </c>
      <c r="AR147" s="30" t="s">
        <v>483</v>
      </c>
      <c r="AS147" s="30" t="s">
        <v>63</v>
      </c>
      <c r="AT147" s="30" t="s">
        <v>64</v>
      </c>
      <c r="AU147" s="50">
        <v>46277.458333333336</v>
      </c>
      <c r="AV147" s="50">
        <v>46277.493055555555</v>
      </c>
      <c r="AW147" s="50">
        <v>46277.499305555553</v>
      </c>
      <c r="AX147" s="50">
        <v>46277.503472222219</v>
      </c>
      <c r="AY147" s="50">
        <v>46277.604166666664</v>
      </c>
      <c r="AZ147" s="50">
        <v>46277.729166666664</v>
      </c>
      <c r="BA147" s="51"/>
      <c r="BB147" s="51"/>
      <c r="BC147" s="50">
        <v>46278.59097222222</v>
      </c>
      <c r="BD147" s="50">
        <v>46278.59097222222</v>
      </c>
      <c r="BE147" s="51"/>
      <c r="BF147" s="51"/>
      <c r="BG147" s="51"/>
      <c r="BH147" s="51">
        <v>46278.770138888889</v>
      </c>
      <c r="BI147" s="30" t="s">
        <v>65</v>
      </c>
      <c r="BJ147" s="50">
        <v>46279.625</v>
      </c>
      <c r="BK147" s="50">
        <v>46279.574999999997</v>
      </c>
      <c r="BL147" s="50">
        <v>46279.57708333333</v>
      </c>
      <c r="BM147" s="50">
        <v>46279.579861111109</v>
      </c>
      <c r="BN147" s="50">
        <v>46279.585416666669</v>
      </c>
      <c r="BR147"/>
      <c r="BS147"/>
      <c r="BT147"/>
      <c r="BU147"/>
      <c r="BV147"/>
      <c r="BW147"/>
      <c r="BX147"/>
      <c r="BY147"/>
    </row>
    <row r="148" spans="1:77">
      <c r="A148" t="s">
        <v>168</v>
      </c>
      <c r="B148" s="30">
        <v>50</v>
      </c>
      <c r="C148" s="30">
        <v>37</v>
      </c>
      <c r="D148" s="30" t="s">
        <v>169</v>
      </c>
      <c r="E148" s="30" t="s">
        <v>170</v>
      </c>
      <c r="F148" s="48">
        <v>46266</v>
      </c>
      <c r="G148" s="48">
        <v>46279</v>
      </c>
      <c r="H148" s="49"/>
      <c r="I148" s="49">
        <v>0.58333333333333337</v>
      </c>
      <c r="J148" s="30" t="s">
        <v>53</v>
      </c>
      <c r="K148" s="30" t="s">
        <v>171</v>
      </c>
      <c r="L148" s="30">
        <v>1</v>
      </c>
      <c r="M148" s="30" t="s">
        <v>2391</v>
      </c>
      <c r="P148" s="30" t="s">
        <v>174</v>
      </c>
      <c r="Q148" s="30" t="s">
        <v>363</v>
      </c>
      <c r="R148" s="30" t="s">
        <v>407</v>
      </c>
      <c r="S148" s="30" t="s">
        <v>176</v>
      </c>
      <c r="T148" s="30" t="s">
        <v>2392</v>
      </c>
      <c r="U148" s="30" t="s">
        <v>2393</v>
      </c>
      <c r="V148" s="30">
        <v>816230</v>
      </c>
      <c r="W148" s="30" t="s">
        <v>2394</v>
      </c>
      <c r="X148" s="30" t="s">
        <v>179</v>
      </c>
      <c r="Y148"/>
      <c r="AA148" s="30" t="s">
        <v>181</v>
      </c>
      <c r="AB148" s="30" t="s">
        <v>477</v>
      </c>
      <c r="AC148" s="30" t="s">
        <v>56</v>
      </c>
      <c r="AD148" s="30" t="s">
        <v>478</v>
      </c>
      <c r="AE148" s="30">
        <v>20544424751</v>
      </c>
      <c r="AF148" s="30" t="s">
        <v>479</v>
      </c>
      <c r="AG148" s="30" t="s">
        <v>480</v>
      </c>
      <c r="AH148" s="30" t="s">
        <v>185</v>
      </c>
      <c r="AI148" s="30" t="s">
        <v>521</v>
      </c>
      <c r="AJ148" s="30" t="s">
        <v>522</v>
      </c>
      <c r="AK148" s="30">
        <v>914472332</v>
      </c>
      <c r="AL148" s="30" t="s">
        <v>483</v>
      </c>
      <c r="AM148" t="s">
        <v>483</v>
      </c>
      <c r="AN148" s="30" t="s">
        <v>483</v>
      </c>
      <c r="AO148" s="30" t="s">
        <v>483</v>
      </c>
      <c r="AP148" s="30" t="s">
        <v>483</v>
      </c>
      <c r="AQ148" s="30" t="s">
        <v>483</v>
      </c>
      <c r="AR148" s="30" t="s">
        <v>483</v>
      </c>
      <c r="AS148" s="30" t="s">
        <v>63</v>
      </c>
      <c r="AT148" s="30" t="s">
        <v>64</v>
      </c>
      <c r="AU148" s="50">
        <v>46278.666666666664</v>
      </c>
      <c r="AV148" s="50">
        <v>46278.652083333334</v>
      </c>
      <c r="AW148" s="50">
        <v>46278.680555555555</v>
      </c>
      <c r="AX148" s="50">
        <v>46278.683333333334</v>
      </c>
      <c r="AY148" s="50">
        <v>46278.741666666669</v>
      </c>
      <c r="AZ148" s="50">
        <v>46278.75</v>
      </c>
      <c r="BA148" s="51"/>
      <c r="BB148" s="51"/>
      <c r="BC148" s="50">
        <v>46279.615277777775</v>
      </c>
      <c r="BD148" s="50">
        <v>46279.629166666666</v>
      </c>
      <c r="BE148" s="51"/>
      <c r="BF148" s="51"/>
      <c r="BG148" s="51"/>
      <c r="BH148" s="51">
        <v>46279.760416666664</v>
      </c>
      <c r="BI148" s="30" t="s">
        <v>65</v>
      </c>
      <c r="BJ148" s="50">
        <v>46280.625</v>
      </c>
      <c r="BK148" s="50">
        <v>46280.552083333336</v>
      </c>
      <c r="BL148" s="50">
        <v>46280.554861111108</v>
      </c>
      <c r="BM148" s="50">
        <v>46280.559027777781</v>
      </c>
      <c r="BN148" s="50">
        <v>46280.577777777777</v>
      </c>
      <c r="BR148"/>
      <c r="BS148"/>
      <c r="BT148"/>
      <c r="BU148"/>
      <c r="BV148"/>
      <c r="BW148"/>
      <c r="BX148"/>
      <c r="BY148"/>
    </row>
    <row r="149" spans="1:77">
      <c r="A149" t="s">
        <v>168</v>
      </c>
      <c r="B149" s="30">
        <v>51</v>
      </c>
      <c r="C149" s="30">
        <v>37</v>
      </c>
      <c r="D149" s="30" t="s">
        <v>169</v>
      </c>
      <c r="E149" s="30" t="s">
        <v>170</v>
      </c>
      <c r="F149" s="48">
        <v>46278</v>
      </c>
      <c r="G149" s="48">
        <v>46279</v>
      </c>
      <c r="H149" s="49"/>
      <c r="I149" s="49">
        <v>0.58333333333333337</v>
      </c>
      <c r="J149" s="30" t="s">
        <v>53</v>
      </c>
      <c r="K149" s="30" t="s">
        <v>171</v>
      </c>
      <c r="L149" s="30">
        <v>1</v>
      </c>
      <c r="M149" s="30" t="s">
        <v>2395</v>
      </c>
      <c r="P149" s="30" t="s">
        <v>174</v>
      </c>
      <c r="Q149" s="30" t="s">
        <v>363</v>
      </c>
      <c r="R149" s="30" t="s">
        <v>175</v>
      </c>
      <c r="S149" s="30" t="s">
        <v>176</v>
      </c>
      <c r="T149" s="30" t="s">
        <v>2396</v>
      </c>
      <c r="U149" s="30" t="s">
        <v>1241</v>
      </c>
      <c r="V149" s="30">
        <v>816237</v>
      </c>
      <c r="W149" s="30" t="s">
        <v>2397</v>
      </c>
      <c r="X149" s="30" t="s">
        <v>179</v>
      </c>
      <c r="Y149"/>
      <c r="AA149" s="30" t="s">
        <v>181</v>
      </c>
      <c r="AB149" s="30" t="s">
        <v>477</v>
      </c>
      <c r="AC149" s="30" t="s">
        <v>56</v>
      </c>
      <c r="AD149" s="30" t="s">
        <v>478</v>
      </c>
      <c r="AE149" s="30">
        <v>20544424751</v>
      </c>
      <c r="AF149" s="30" t="s">
        <v>519</v>
      </c>
      <c r="AG149" s="30" t="s">
        <v>520</v>
      </c>
      <c r="AH149" s="30" t="s">
        <v>185</v>
      </c>
      <c r="AI149" s="30" t="s">
        <v>481</v>
      </c>
      <c r="AJ149" s="30" t="s">
        <v>482</v>
      </c>
      <c r="AK149" s="30">
        <v>934270711</v>
      </c>
      <c r="AL149" s="30" t="s">
        <v>483</v>
      </c>
      <c r="AM149" t="s">
        <v>483</v>
      </c>
      <c r="AN149" s="30" t="s">
        <v>483</v>
      </c>
      <c r="AO149" s="30" t="s">
        <v>483</v>
      </c>
      <c r="AP149" s="30" t="s">
        <v>483</v>
      </c>
      <c r="AQ149" s="30" t="s">
        <v>483</v>
      </c>
      <c r="AR149" s="30" t="s">
        <v>483</v>
      </c>
      <c r="AS149" s="30" t="s">
        <v>63</v>
      </c>
      <c r="AT149" s="30" t="s">
        <v>64</v>
      </c>
      <c r="AU149" s="50">
        <v>46278.666666666664</v>
      </c>
      <c r="AV149" s="50">
        <v>46278.658333333333</v>
      </c>
      <c r="AW149" s="50">
        <v>46278.6875</v>
      </c>
      <c r="AX149" s="50">
        <v>46278.690972222219</v>
      </c>
      <c r="AY149" s="50">
        <v>46278.729861111111</v>
      </c>
      <c r="AZ149" s="50">
        <v>46278.75</v>
      </c>
      <c r="BA149" s="51"/>
      <c r="BB149" s="51"/>
      <c r="BC149" s="50">
        <v>46279.60833333333</v>
      </c>
      <c r="BD149" s="50">
        <v>46279.619444444441</v>
      </c>
      <c r="BE149" s="51"/>
      <c r="BF149" s="51"/>
      <c r="BG149" s="51"/>
      <c r="BH149" s="51">
        <v>46279.76666666667</v>
      </c>
      <c r="BI149" s="30" t="s">
        <v>65</v>
      </c>
      <c r="BJ149" s="50">
        <v>46280.625</v>
      </c>
      <c r="BK149" s="50">
        <v>46280.551388888889</v>
      </c>
      <c r="BL149" s="50">
        <v>46280.554861111108</v>
      </c>
      <c r="BM149" s="50">
        <v>46280.559027777781</v>
      </c>
      <c r="BN149" s="50">
        <v>46280.565972222219</v>
      </c>
      <c r="BR149"/>
      <c r="BS149"/>
      <c r="BT149"/>
      <c r="BU149"/>
      <c r="BV149"/>
      <c r="BW149"/>
      <c r="BX149"/>
      <c r="BY149"/>
    </row>
    <row r="150" spans="1:77">
      <c r="A150" t="s">
        <v>168</v>
      </c>
      <c r="B150" s="30">
        <v>52</v>
      </c>
      <c r="C150" s="30">
        <v>38</v>
      </c>
      <c r="D150" s="30" t="s">
        <v>169</v>
      </c>
      <c r="E150" s="30" t="s">
        <v>170</v>
      </c>
      <c r="F150" s="48">
        <v>46281</v>
      </c>
      <c r="G150" s="48">
        <v>46282</v>
      </c>
      <c r="H150" s="49"/>
      <c r="I150" s="49">
        <v>0.5</v>
      </c>
      <c r="J150" s="30" t="s">
        <v>53</v>
      </c>
      <c r="K150" s="30" t="s">
        <v>171</v>
      </c>
      <c r="L150" s="30">
        <v>1</v>
      </c>
      <c r="M150" s="30" t="s">
        <v>2398</v>
      </c>
      <c r="P150" s="30" t="s">
        <v>174</v>
      </c>
      <c r="Q150" s="30" t="s">
        <v>363</v>
      </c>
      <c r="R150" s="30" t="s">
        <v>374</v>
      </c>
      <c r="S150" s="30" t="s">
        <v>375</v>
      </c>
      <c r="T150" s="30" t="s">
        <v>2399</v>
      </c>
      <c r="U150" s="30" t="s">
        <v>2400</v>
      </c>
      <c r="V150" s="30">
        <v>8103</v>
      </c>
      <c r="W150" s="30" t="s">
        <v>2401</v>
      </c>
      <c r="X150" s="30" t="s">
        <v>180</v>
      </c>
      <c r="Y150"/>
      <c r="AA150" s="30" t="s">
        <v>181</v>
      </c>
      <c r="AB150" s="30" t="s">
        <v>477</v>
      </c>
      <c r="AC150" s="30" t="s">
        <v>56</v>
      </c>
      <c r="AD150" s="30" t="s">
        <v>478</v>
      </c>
      <c r="AE150" s="30">
        <v>20544424751</v>
      </c>
      <c r="AF150" s="30" t="s">
        <v>2121</v>
      </c>
      <c r="AG150" s="30" t="s">
        <v>2122</v>
      </c>
      <c r="AH150" s="30" t="s">
        <v>185</v>
      </c>
      <c r="AI150" s="30" t="s">
        <v>2123</v>
      </c>
      <c r="AJ150" s="30" t="s">
        <v>2124</v>
      </c>
      <c r="AK150" s="30">
        <v>916329861</v>
      </c>
      <c r="AL150" s="30" t="s">
        <v>483</v>
      </c>
      <c r="AM150" t="s">
        <v>483</v>
      </c>
      <c r="AN150" s="30" t="s">
        <v>483</v>
      </c>
      <c r="AO150" s="30" t="s">
        <v>483</v>
      </c>
      <c r="AP150" s="30" t="s">
        <v>483</v>
      </c>
      <c r="AQ150" s="30" t="s">
        <v>483</v>
      </c>
      <c r="AR150" s="30" t="s">
        <v>483</v>
      </c>
      <c r="AS150" s="30" t="s">
        <v>63</v>
      </c>
      <c r="AT150" s="30" t="s">
        <v>380</v>
      </c>
      <c r="AU150" s="50">
        <v>46281.833333333336</v>
      </c>
      <c r="AV150" s="50">
        <v>46281.925000000003</v>
      </c>
      <c r="AW150" s="50">
        <v>46281.929166666669</v>
      </c>
      <c r="AX150" s="50">
        <v>46281.931944444441</v>
      </c>
      <c r="AY150" s="50">
        <v>46281.992361111108</v>
      </c>
      <c r="AZ150" s="50">
        <v>46282.03402777778</v>
      </c>
      <c r="BA150" s="51"/>
      <c r="BB150" s="51"/>
      <c r="BC150" s="50">
        <v>46282.714641203704</v>
      </c>
      <c r="BD150" s="50">
        <v>46282.74658564815</v>
      </c>
      <c r="BE150" s="51"/>
      <c r="BF150" s="51"/>
      <c r="BG150" s="51"/>
      <c r="BH150" s="51">
        <v>46282.805555555555</v>
      </c>
      <c r="BI150" s="30" t="s">
        <v>65</v>
      </c>
      <c r="BJ150" s="50">
        <v>46283.541666666664</v>
      </c>
      <c r="BK150" s="50">
        <v>46283.547222222223</v>
      </c>
      <c r="BL150" s="50">
        <v>46283.550694444442</v>
      </c>
      <c r="BM150" s="50">
        <v>46283.553472222222</v>
      </c>
      <c r="BN150" s="50">
        <v>46283.556250000001</v>
      </c>
      <c r="BR150"/>
      <c r="BS150"/>
      <c r="BT150"/>
      <c r="BU150"/>
      <c r="BV150"/>
      <c r="BW150"/>
      <c r="BX150"/>
      <c r="BY150"/>
    </row>
    <row r="151" spans="1:77">
      <c r="A151" t="s">
        <v>168</v>
      </c>
      <c r="B151" s="30">
        <v>53</v>
      </c>
      <c r="C151" s="30">
        <v>38</v>
      </c>
      <c r="D151" s="30" t="s">
        <v>169</v>
      </c>
      <c r="E151" s="30" t="s">
        <v>170</v>
      </c>
      <c r="F151" s="48">
        <v>46281</v>
      </c>
      <c r="G151" s="48">
        <v>46283</v>
      </c>
      <c r="H151" s="49"/>
      <c r="I151" s="49">
        <v>0.5</v>
      </c>
      <c r="J151" s="30" t="s">
        <v>53</v>
      </c>
      <c r="K151" s="30" t="s">
        <v>171</v>
      </c>
      <c r="L151" s="30">
        <v>1</v>
      </c>
      <c r="M151" s="30" t="s">
        <v>2402</v>
      </c>
      <c r="P151" s="30" t="s">
        <v>174</v>
      </c>
      <c r="Q151" s="30" t="s">
        <v>363</v>
      </c>
      <c r="R151" s="30" t="s">
        <v>374</v>
      </c>
      <c r="S151" s="30" t="s">
        <v>375</v>
      </c>
      <c r="T151" s="30" t="s">
        <v>2403</v>
      </c>
      <c r="U151" s="30" t="s">
        <v>2404</v>
      </c>
      <c r="V151" s="30">
        <v>8092</v>
      </c>
      <c r="W151" s="30" t="s">
        <v>2405</v>
      </c>
      <c r="X151" s="30" t="s">
        <v>180</v>
      </c>
      <c r="Y151"/>
      <c r="AA151" s="30" t="s">
        <v>181</v>
      </c>
      <c r="AB151" s="30" t="s">
        <v>477</v>
      </c>
      <c r="AC151" s="30" t="s">
        <v>56</v>
      </c>
      <c r="AD151" s="30" t="s">
        <v>478</v>
      </c>
      <c r="AE151" s="30">
        <v>20544424751</v>
      </c>
      <c r="AF151" s="30" t="s">
        <v>519</v>
      </c>
      <c r="AG151" s="30" t="s">
        <v>520</v>
      </c>
      <c r="AH151" s="30" t="s">
        <v>185</v>
      </c>
      <c r="AI151" s="30" t="s">
        <v>521</v>
      </c>
      <c r="AJ151" s="30" t="s">
        <v>522</v>
      </c>
      <c r="AK151" s="30">
        <v>914472332</v>
      </c>
      <c r="AL151" s="30" t="s">
        <v>483</v>
      </c>
      <c r="AM151" t="s">
        <v>483</v>
      </c>
      <c r="AN151" s="30" t="s">
        <v>483</v>
      </c>
      <c r="AO151" s="30" t="s">
        <v>483</v>
      </c>
      <c r="AP151" s="30" t="s">
        <v>483</v>
      </c>
      <c r="AQ151" s="30" t="s">
        <v>483</v>
      </c>
      <c r="AR151" s="30" t="s">
        <v>483</v>
      </c>
      <c r="AS151" s="30" t="s">
        <v>63</v>
      </c>
      <c r="AT151" s="30" t="s">
        <v>380</v>
      </c>
      <c r="AU151" s="50">
        <v>46281.625</v>
      </c>
      <c r="AV151" s="50">
        <v>46281.627083333333</v>
      </c>
      <c r="AW151" s="50">
        <v>46280.631249999999</v>
      </c>
      <c r="AX151" s="50">
        <v>46280.63958333333</v>
      </c>
      <c r="AZ151" s="50">
        <v>46282.686111111114</v>
      </c>
      <c r="BA151" s="51"/>
      <c r="BB151" s="51"/>
      <c r="BC151" s="50">
        <v>46283.493750000001</v>
      </c>
      <c r="BD151" s="50">
        <v>46283.558333333334</v>
      </c>
      <c r="BE151" s="51"/>
      <c r="BF151" s="51"/>
      <c r="BG151" s="51"/>
      <c r="BH151" s="51">
        <v>46283.643750000003</v>
      </c>
      <c r="BI151" s="30" t="s">
        <v>65</v>
      </c>
      <c r="BJ151" s="50">
        <v>46284.416666666664</v>
      </c>
      <c r="BK151" s="50">
        <v>46284.43472222222</v>
      </c>
      <c r="BL151" s="50">
        <v>46284.440972222219</v>
      </c>
      <c r="BM151" s="50">
        <v>46284.443055555559</v>
      </c>
      <c r="BN151" s="50">
        <v>46284.45</v>
      </c>
      <c r="BR151"/>
      <c r="BS151"/>
      <c r="BT151"/>
      <c r="BU151"/>
      <c r="BV151"/>
      <c r="BW151"/>
      <c r="BX151"/>
      <c r="BY151"/>
    </row>
    <row r="152" spans="1:77">
      <c r="A152" t="s">
        <v>168</v>
      </c>
      <c r="B152" s="30">
        <v>54</v>
      </c>
      <c r="C152" s="30">
        <v>38</v>
      </c>
      <c r="D152" s="30" t="s">
        <v>169</v>
      </c>
      <c r="E152" s="30" t="s">
        <v>170</v>
      </c>
      <c r="F152" s="48">
        <v>46284</v>
      </c>
      <c r="G152" s="48">
        <v>46285</v>
      </c>
      <c r="H152" s="49"/>
      <c r="I152" s="49">
        <v>0.625</v>
      </c>
      <c r="J152" s="30" t="s">
        <v>53</v>
      </c>
      <c r="K152" s="30" t="s">
        <v>171</v>
      </c>
      <c r="L152" s="30">
        <v>1</v>
      </c>
      <c r="M152" s="30" t="s">
        <v>2406</v>
      </c>
      <c r="P152" s="30" t="s">
        <v>174</v>
      </c>
      <c r="Q152" s="30" t="s">
        <v>363</v>
      </c>
      <c r="R152" s="30" t="s">
        <v>548</v>
      </c>
      <c r="S152" s="30" t="s">
        <v>623</v>
      </c>
      <c r="T152" s="30" t="s">
        <v>2407</v>
      </c>
      <c r="U152" s="30" t="s">
        <v>2408</v>
      </c>
      <c r="V152" s="30">
        <v>818208</v>
      </c>
      <c r="W152" s="30" t="s">
        <v>2409</v>
      </c>
      <c r="X152" s="30" t="s">
        <v>179</v>
      </c>
      <c r="Y152"/>
      <c r="AA152" s="30" t="s">
        <v>181</v>
      </c>
      <c r="AB152" s="30" t="s">
        <v>477</v>
      </c>
      <c r="AC152" s="30" t="s">
        <v>56</v>
      </c>
      <c r="AD152" s="30" t="s">
        <v>478</v>
      </c>
      <c r="AE152" s="30" t="s">
        <v>2410</v>
      </c>
      <c r="AF152" s="30" t="s">
        <v>479</v>
      </c>
      <c r="AG152" s="30" t="s">
        <v>480</v>
      </c>
      <c r="AH152" s="30" t="s">
        <v>185</v>
      </c>
      <c r="AI152" s="30" t="s">
        <v>481</v>
      </c>
      <c r="AJ152" s="30" t="s">
        <v>482</v>
      </c>
      <c r="AK152" s="30">
        <v>934270711</v>
      </c>
      <c r="AL152" s="30" t="s">
        <v>483</v>
      </c>
      <c r="AM152" t="s">
        <v>483</v>
      </c>
      <c r="AN152" s="30" t="s">
        <v>483</v>
      </c>
      <c r="AO152" s="30" t="s">
        <v>483</v>
      </c>
      <c r="AP152" s="30" t="s">
        <v>483</v>
      </c>
      <c r="AQ152" s="30" t="s">
        <v>483</v>
      </c>
      <c r="AR152" s="30" t="s">
        <v>483</v>
      </c>
      <c r="AS152" s="30" t="s">
        <v>63</v>
      </c>
      <c r="AT152" s="30" t="s">
        <v>64</v>
      </c>
      <c r="AU152" s="50">
        <v>46284.5</v>
      </c>
      <c r="AV152" s="50">
        <v>46284.510416666664</v>
      </c>
      <c r="AW152" s="50">
        <v>46284.517361111109</v>
      </c>
      <c r="AX152" s="50">
        <v>46284.515277777777</v>
      </c>
      <c r="AY152" s="50">
        <v>46284.575694444444</v>
      </c>
      <c r="AZ152" s="50">
        <v>46284.809027777781</v>
      </c>
      <c r="BA152" s="51"/>
      <c r="BB152" s="51"/>
      <c r="BC152" s="50">
        <v>46285.571527777778</v>
      </c>
      <c r="BD152" s="50">
        <v>46285.589583333334</v>
      </c>
      <c r="BE152" s="51"/>
      <c r="BF152" s="51"/>
      <c r="BG152" s="51"/>
      <c r="BH152" s="51">
        <v>46285.810416666667</v>
      </c>
      <c r="BI152" s="30" t="s">
        <v>65</v>
      </c>
      <c r="BJ152" s="50">
        <v>46286.666666666664</v>
      </c>
      <c r="BK152" s="50">
        <v>46286.605555555558</v>
      </c>
      <c r="BL152" s="50">
        <v>46286.60833333333</v>
      </c>
      <c r="BM152" s="50">
        <v>46286.611111111109</v>
      </c>
      <c r="BN152" s="50">
        <v>46286.615277777775</v>
      </c>
      <c r="BR152"/>
      <c r="BS152"/>
      <c r="BT152"/>
      <c r="BU152"/>
      <c r="BV152"/>
      <c r="BW152"/>
      <c r="BX152"/>
      <c r="BY152"/>
    </row>
    <row r="153" spans="1:77">
      <c r="A153" t="s">
        <v>168</v>
      </c>
      <c r="B153" s="30">
        <v>55</v>
      </c>
      <c r="C153" s="30">
        <v>38</v>
      </c>
      <c r="D153" s="30" t="s">
        <v>169</v>
      </c>
      <c r="E153" s="30" t="s">
        <v>170</v>
      </c>
      <c r="F153" s="48">
        <v>46284</v>
      </c>
      <c r="G153" s="48">
        <v>46285</v>
      </c>
      <c r="H153" s="49"/>
      <c r="I153" s="49">
        <v>0.625</v>
      </c>
      <c r="J153" s="30" t="s">
        <v>53</v>
      </c>
      <c r="K153" s="30" t="s">
        <v>171</v>
      </c>
      <c r="L153" s="30">
        <v>1</v>
      </c>
      <c r="M153" s="30" t="s">
        <v>2411</v>
      </c>
      <c r="P153" s="30" t="s">
        <v>174</v>
      </c>
      <c r="Q153" s="30" t="s">
        <v>363</v>
      </c>
      <c r="R153" s="30" t="s">
        <v>548</v>
      </c>
      <c r="S153" s="30" t="s">
        <v>623</v>
      </c>
      <c r="T153" s="30" t="s">
        <v>2412</v>
      </c>
      <c r="U153" s="30" t="s">
        <v>2413</v>
      </c>
      <c r="V153" s="30">
        <v>818242</v>
      </c>
      <c r="W153" s="30" t="s">
        <v>2414</v>
      </c>
      <c r="X153" s="30" t="s">
        <v>179</v>
      </c>
      <c r="Y153"/>
      <c r="AA153" s="30" t="s">
        <v>181</v>
      </c>
      <c r="AB153" s="30" t="s">
        <v>477</v>
      </c>
      <c r="AC153" s="30" t="s">
        <v>56</v>
      </c>
      <c r="AD153" s="30" t="s">
        <v>478</v>
      </c>
      <c r="AE153" s="30">
        <v>20544424751</v>
      </c>
      <c r="AF153" s="30" t="s">
        <v>1794</v>
      </c>
      <c r="AG153" s="30" t="s">
        <v>497</v>
      </c>
      <c r="AH153" s="30" t="s">
        <v>185</v>
      </c>
      <c r="AI153" s="30" t="s">
        <v>498</v>
      </c>
      <c r="AJ153" s="30" t="s">
        <v>499</v>
      </c>
      <c r="AK153" s="30">
        <v>946500525</v>
      </c>
      <c r="AL153" s="30" t="s">
        <v>483</v>
      </c>
      <c r="AM153" t="s">
        <v>483</v>
      </c>
      <c r="AN153" s="30" t="s">
        <v>483</v>
      </c>
      <c r="AO153" s="30" t="s">
        <v>483</v>
      </c>
      <c r="AP153" s="30" t="s">
        <v>483</v>
      </c>
      <c r="AQ153" s="30" t="s">
        <v>483</v>
      </c>
      <c r="AR153" s="30" t="s">
        <v>483</v>
      </c>
      <c r="AS153" s="30" t="s">
        <v>63</v>
      </c>
      <c r="AT153" s="30" t="s">
        <v>64</v>
      </c>
      <c r="AU153" s="50">
        <v>46284.5</v>
      </c>
      <c r="AV153" s="50">
        <v>46284.531944444447</v>
      </c>
      <c r="AW153" s="50">
        <v>46284.623611111114</v>
      </c>
      <c r="AX153" s="50">
        <v>46284.567361111112</v>
      </c>
      <c r="AY153" s="50">
        <v>46284.677777777775</v>
      </c>
      <c r="AZ153" s="50">
        <v>46284.820833333331</v>
      </c>
      <c r="BA153" s="51"/>
      <c r="BB153" s="51"/>
      <c r="BC153" s="50">
        <v>46285.60833333333</v>
      </c>
      <c r="BD153" s="50">
        <v>46285.609027777777</v>
      </c>
      <c r="BE153" s="51"/>
      <c r="BF153" s="51"/>
      <c r="BG153" s="51"/>
      <c r="BH153" s="51">
        <v>46285.811111111114</v>
      </c>
      <c r="BI153" s="30" t="s">
        <v>65</v>
      </c>
      <c r="BJ153" s="50">
        <v>46286.666666666664</v>
      </c>
      <c r="BK153" s="50">
        <v>46286.605555555558</v>
      </c>
      <c r="BL153" s="50">
        <v>46286.61041666667</v>
      </c>
      <c r="BM153" s="50">
        <v>46286.613888888889</v>
      </c>
      <c r="BN153" s="50">
        <v>46286.617361111108</v>
      </c>
      <c r="BR153"/>
      <c r="BS153"/>
      <c r="BT153"/>
      <c r="BU153"/>
      <c r="BV153"/>
      <c r="BW153"/>
      <c r="BX153"/>
      <c r="BY153"/>
    </row>
    <row r="154" spans="1:77">
      <c r="A154" t="s">
        <v>168</v>
      </c>
      <c r="B154" s="30">
        <v>56</v>
      </c>
      <c r="C154" s="30">
        <v>38</v>
      </c>
      <c r="D154" s="30" t="s">
        <v>169</v>
      </c>
      <c r="E154" s="30" t="s">
        <v>170</v>
      </c>
      <c r="F154" s="48">
        <v>46286</v>
      </c>
      <c r="G154" s="48">
        <v>46287</v>
      </c>
      <c r="H154" s="49"/>
      <c r="I154" s="49">
        <v>0.33333333333333331</v>
      </c>
      <c r="J154" s="30" t="s">
        <v>53</v>
      </c>
      <c r="K154" s="30" t="s">
        <v>171</v>
      </c>
      <c r="L154" s="30">
        <v>1</v>
      </c>
      <c r="M154" s="30" t="s">
        <v>2415</v>
      </c>
      <c r="P154" s="30" t="s">
        <v>174</v>
      </c>
      <c r="Q154" s="30" t="s">
        <v>363</v>
      </c>
      <c r="R154" s="30" t="s">
        <v>175</v>
      </c>
      <c r="S154" s="30" t="s">
        <v>176</v>
      </c>
      <c r="T154" s="30" t="s">
        <v>2416</v>
      </c>
      <c r="U154" s="30" t="s">
        <v>2417</v>
      </c>
      <c r="V154" s="30">
        <v>818613</v>
      </c>
      <c r="W154" s="30" t="s">
        <v>2418</v>
      </c>
      <c r="X154" s="30" t="s">
        <v>179</v>
      </c>
      <c r="Y154"/>
      <c r="AA154" s="30" t="s">
        <v>181</v>
      </c>
      <c r="AB154" s="30" t="s">
        <v>477</v>
      </c>
      <c r="AC154" s="30" t="s">
        <v>56</v>
      </c>
      <c r="AD154" s="30" t="s">
        <v>505</v>
      </c>
      <c r="AE154" s="30">
        <v>20525799027</v>
      </c>
      <c r="AF154" s="30" t="s">
        <v>2419</v>
      </c>
      <c r="AG154" s="30" t="s">
        <v>2420</v>
      </c>
      <c r="AH154" s="30" t="s">
        <v>185</v>
      </c>
      <c r="AI154" s="30" t="s">
        <v>2421</v>
      </c>
      <c r="AJ154" s="30" t="s">
        <v>2422</v>
      </c>
      <c r="AK154" s="30">
        <v>952308502</v>
      </c>
      <c r="AL154" s="30" t="s">
        <v>483</v>
      </c>
      <c r="AM154" t="s">
        <v>483</v>
      </c>
      <c r="AN154" s="30" t="s">
        <v>483</v>
      </c>
      <c r="AO154" s="30" t="s">
        <v>483</v>
      </c>
      <c r="AP154" s="30" t="s">
        <v>483</v>
      </c>
      <c r="AQ154" s="30" t="s">
        <v>483</v>
      </c>
      <c r="AR154" s="30" t="s">
        <v>483</v>
      </c>
      <c r="AS154" s="30" t="s">
        <v>63</v>
      </c>
      <c r="AT154" s="30" t="s">
        <v>64</v>
      </c>
      <c r="AU154" s="50">
        <v>46286.416666666664</v>
      </c>
      <c r="AV154" s="50">
        <v>46286.422222222223</v>
      </c>
      <c r="AW154" s="50">
        <v>46286.425694444442</v>
      </c>
      <c r="AX154" s="50">
        <v>46286.431944444441</v>
      </c>
      <c r="AY154" s="50">
        <v>46286.46597222222</v>
      </c>
      <c r="AZ154" s="50">
        <v>46286.557638888888</v>
      </c>
      <c r="BA154" s="51"/>
      <c r="BB154" s="51"/>
      <c r="BC154" s="50">
        <v>46287.350694444445</v>
      </c>
      <c r="BD154" s="50">
        <v>46287.354166666664</v>
      </c>
      <c r="BE154" s="51"/>
      <c r="BF154" s="51"/>
      <c r="BG154" s="51"/>
      <c r="BH154" s="51">
        <v>46287.541666666664</v>
      </c>
      <c r="BI154" s="30" t="s">
        <v>65</v>
      </c>
      <c r="BJ154" s="50">
        <v>46288.375</v>
      </c>
      <c r="BK154" s="50">
        <v>46288.311111111114</v>
      </c>
      <c r="BL154" s="50">
        <v>46288.313888888886</v>
      </c>
      <c r="BM154" s="50">
        <v>46288.315972222219</v>
      </c>
      <c r="BN154" s="50">
        <v>46288.322916666664</v>
      </c>
      <c r="BR154"/>
      <c r="BS154"/>
      <c r="BT154"/>
      <c r="BU154"/>
      <c r="BV154"/>
      <c r="BW154"/>
      <c r="BX154"/>
      <c r="BY154"/>
    </row>
    <row r="155" spans="1:77">
      <c r="A155" t="s">
        <v>168</v>
      </c>
      <c r="B155" s="30">
        <v>57</v>
      </c>
      <c r="C155" s="30">
        <v>39</v>
      </c>
      <c r="D155" s="30" t="s">
        <v>169</v>
      </c>
      <c r="E155" s="30" t="s">
        <v>170</v>
      </c>
      <c r="F155" s="48">
        <v>46289</v>
      </c>
      <c r="G155" s="48">
        <v>46290</v>
      </c>
      <c r="H155" s="49"/>
      <c r="I155" s="49">
        <v>0.33333333333333331</v>
      </c>
      <c r="J155" s="30" t="s">
        <v>53</v>
      </c>
      <c r="K155" s="30" t="s">
        <v>171</v>
      </c>
      <c r="L155" s="30">
        <v>1</v>
      </c>
      <c r="M155" s="30" t="s">
        <v>2714</v>
      </c>
      <c r="P155" s="30" t="s">
        <v>174</v>
      </c>
      <c r="Q155" s="30" t="s">
        <v>363</v>
      </c>
      <c r="R155" s="30" t="s">
        <v>382</v>
      </c>
      <c r="S155" s="30" t="s">
        <v>375</v>
      </c>
      <c r="T155" s="30" t="s">
        <v>2715</v>
      </c>
      <c r="U155" s="30" t="s">
        <v>2716</v>
      </c>
      <c r="V155" s="30">
        <v>8220</v>
      </c>
      <c r="W155" s="30" t="s">
        <v>2717</v>
      </c>
      <c r="X155" s="30" t="s">
        <v>180</v>
      </c>
      <c r="Y155"/>
      <c r="AA155" s="30" t="s">
        <v>181</v>
      </c>
      <c r="AB155" s="30" t="s">
        <v>477</v>
      </c>
      <c r="AC155" s="30" t="s">
        <v>56</v>
      </c>
      <c r="AD155" s="30" t="s">
        <v>478</v>
      </c>
      <c r="AE155" s="30">
        <v>20544424751</v>
      </c>
      <c r="AF155" s="30" t="s">
        <v>2129</v>
      </c>
      <c r="AG155" s="30" t="s">
        <v>2130</v>
      </c>
      <c r="AH155" s="30" t="s">
        <v>185</v>
      </c>
      <c r="AI155" s="30" t="s">
        <v>2131</v>
      </c>
      <c r="AJ155" s="30" t="s">
        <v>2132</v>
      </c>
      <c r="AK155" s="30">
        <v>952032140</v>
      </c>
      <c r="AL155" s="30" t="s">
        <v>483</v>
      </c>
      <c r="AM155" t="s">
        <v>483</v>
      </c>
      <c r="AN155" s="30" t="s">
        <v>483</v>
      </c>
      <c r="AO155" s="30" t="s">
        <v>483</v>
      </c>
      <c r="AP155" s="30" t="s">
        <v>483</v>
      </c>
      <c r="AQ155" s="30" t="s">
        <v>483</v>
      </c>
      <c r="AR155" s="30" t="s">
        <v>483</v>
      </c>
      <c r="AS155" s="30" t="s">
        <v>63</v>
      </c>
      <c r="AT155" s="30" t="s">
        <v>380</v>
      </c>
      <c r="AU155" s="50">
        <v>46289.5</v>
      </c>
      <c r="AV155" s="50">
        <v>46289.474999999999</v>
      </c>
      <c r="AW155" s="50">
        <v>46289.486805555556</v>
      </c>
      <c r="AX155" s="50">
        <v>46289.500694444447</v>
      </c>
      <c r="AY155" s="50">
        <v>46289.576388888891</v>
      </c>
      <c r="AZ155" s="50">
        <v>46289.581944444442</v>
      </c>
      <c r="BA155" s="51"/>
      <c r="BB155" s="51"/>
      <c r="BC155" s="50">
        <v>46290.392361111109</v>
      </c>
      <c r="BD155" s="50">
        <v>46290.393750000003</v>
      </c>
      <c r="BE155" s="51"/>
      <c r="BF155" s="51"/>
      <c r="BG155" s="51"/>
      <c r="BH155" s="51">
        <v>46290.555555555555</v>
      </c>
      <c r="BI155" s="30" t="s">
        <v>65</v>
      </c>
      <c r="BJ155" s="50">
        <v>46291.375</v>
      </c>
      <c r="BK155" s="50">
        <v>46291.352777777778</v>
      </c>
      <c r="BL155" s="50">
        <v>46291.355555555558</v>
      </c>
      <c r="BM155" s="50">
        <v>46291.359027777777</v>
      </c>
      <c r="BN155" s="50">
        <v>46291.363194444442</v>
      </c>
      <c r="BR155"/>
      <c r="BS155"/>
      <c r="BT155"/>
      <c r="BU155"/>
      <c r="BV155"/>
      <c r="BW155"/>
      <c r="BX155"/>
      <c r="BY155"/>
    </row>
    <row r="156" spans="1:77">
      <c r="A156" t="s">
        <v>168</v>
      </c>
      <c r="B156" s="30">
        <v>58</v>
      </c>
      <c r="C156" s="30">
        <v>39</v>
      </c>
      <c r="D156" s="30" t="s">
        <v>169</v>
      </c>
      <c r="E156" s="30" t="s">
        <v>170</v>
      </c>
      <c r="F156" s="48">
        <v>46289</v>
      </c>
      <c r="G156" s="48">
        <v>46290</v>
      </c>
      <c r="H156" s="49"/>
      <c r="I156" s="49">
        <v>0.33333333333333331</v>
      </c>
      <c r="J156" s="30" t="s">
        <v>53</v>
      </c>
      <c r="K156" s="30" t="s">
        <v>171</v>
      </c>
      <c r="L156" s="30">
        <v>1</v>
      </c>
      <c r="M156" s="30" t="s">
        <v>2718</v>
      </c>
      <c r="P156" s="30" t="s">
        <v>174</v>
      </c>
      <c r="Q156" s="30" t="s">
        <v>363</v>
      </c>
      <c r="R156" s="30" t="s">
        <v>374</v>
      </c>
      <c r="S156" s="30" t="s">
        <v>375</v>
      </c>
      <c r="T156" s="30" t="s">
        <v>2719</v>
      </c>
      <c r="U156" s="30" t="s">
        <v>2720</v>
      </c>
      <c r="V156" s="30">
        <v>7614</v>
      </c>
      <c r="W156" s="30" t="s">
        <v>2721</v>
      </c>
      <c r="X156" s="30" t="s">
        <v>180</v>
      </c>
      <c r="Y156"/>
      <c r="AA156" s="30" t="s">
        <v>181</v>
      </c>
      <c r="AB156" s="30" t="s">
        <v>477</v>
      </c>
      <c r="AC156" s="30" t="s">
        <v>56</v>
      </c>
      <c r="AD156" s="30" t="s">
        <v>478</v>
      </c>
      <c r="AE156" s="30">
        <v>20544424751</v>
      </c>
      <c r="AF156" s="30" t="s">
        <v>479</v>
      </c>
      <c r="AG156" s="30" t="s">
        <v>480</v>
      </c>
      <c r="AH156" s="30" t="s">
        <v>185</v>
      </c>
      <c r="AI156" s="30" t="s">
        <v>481</v>
      </c>
      <c r="AJ156" s="30" t="s">
        <v>482</v>
      </c>
      <c r="AK156" s="30">
        <v>934270711</v>
      </c>
      <c r="AL156" s="30" t="s">
        <v>483</v>
      </c>
      <c r="AM156" t="s">
        <v>483</v>
      </c>
      <c r="AN156" s="30" t="s">
        <v>483</v>
      </c>
      <c r="AO156" s="30" t="s">
        <v>483</v>
      </c>
      <c r="AP156" s="30" t="s">
        <v>483</v>
      </c>
      <c r="AQ156" s="30" t="s">
        <v>483</v>
      </c>
      <c r="AR156" s="30" t="s">
        <v>483</v>
      </c>
      <c r="AS156" s="30" t="s">
        <v>63</v>
      </c>
      <c r="AT156" s="30" t="s">
        <v>380</v>
      </c>
      <c r="AU156" s="50">
        <v>46289.5</v>
      </c>
      <c r="AV156" s="50">
        <v>46289.495138888888</v>
      </c>
      <c r="AW156" s="50">
        <v>46289.49722222222</v>
      </c>
      <c r="AX156" s="50">
        <v>46289.508333333331</v>
      </c>
      <c r="AY156" s="50">
        <v>46289.686111111114</v>
      </c>
      <c r="AZ156" s="50">
        <v>46289.729166666664</v>
      </c>
      <c r="BA156" s="51"/>
      <c r="BB156" s="51"/>
      <c r="BC156" s="50">
        <v>46290.489583333336</v>
      </c>
      <c r="BD156" s="50">
        <v>46290.532638888886</v>
      </c>
      <c r="BE156" s="51"/>
      <c r="BF156" s="51"/>
      <c r="BG156" s="51"/>
      <c r="BH156" s="51">
        <v>46290.611111111109</v>
      </c>
      <c r="BI156" s="30" t="s">
        <v>65</v>
      </c>
      <c r="BJ156" s="50">
        <v>46291.458333333336</v>
      </c>
      <c r="BK156" s="50">
        <v>46291.429861111108</v>
      </c>
      <c r="BL156" s="50">
        <v>46291.431944444441</v>
      </c>
      <c r="BM156" s="50">
        <v>46291.436805555553</v>
      </c>
      <c r="BN156" s="50">
        <v>46291.439583333333</v>
      </c>
      <c r="BR156"/>
      <c r="BS156"/>
      <c r="BT156"/>
      <c r="BU156"/>
      <c r="BV156"/>
      <c r="BW156"/>
      <c r="BX156"/>
      <c r="BY156"/>
    </row>
    <row r="157" spans="1:77">
      <c r="A157" t="s">
        <v>168</v>
      </c>
      <c r="B157" s="30">
        <v>59</v>
      </c>
      <c r="C157" s="30">
        <v>39</v>
      </c>
      <c r="D157" s="30" t="s">
        <v>169</v>
      </c>
      <c r="E157" s="30" t="s">
        <v>170</v>
      </c>
      <c r="F157" s="48">
        <v>46291</v>
      </c>
      <c r="G157" s="48">
        <v>46292</v>
      </c>
      <c r="H157" s="49"/>
      <c r="I157" s="49">
        <v>0.41666666666666669</v>
      </c>
      <c r="J157" s="30" t="s">
        <v>53</v>
      </c>
      <c r="K157" s="30" t="s">
        <v>171</v>
      </c>
      <c r="L157" s="30">
        <v>1</v>
      </c>
      <c r="M157" s="30" t="s">
        <v>2722</v>
      </c>
      <c r="P157" s="30" t="s">
        <v>174</v>
      </c>
      <c r="Q157" s="30" t="s">
        <v>363</v>
      </c>
      <c r="R157" s="30" t="s">
        <v>548</v>
      </c>
      <c r="S157" s="30" t="s">
        <v>623</v>
      </c>
      <c r="T157" s="30" t="s">
        <v>2723</v>
      </c>
      <c r="U157" s="30" t="s">
        <v>2724</v>
      </c>
      <c r="V157" s="30" t="s">
        <v>2725</v>
      </c>
      <c r="W157" s="30" t="s">
        <v>2726</v>
      </c>
      <c r="X157" s="30" t="s">
        <v>179</v>
      </c>
      <c r="Y157"/>
      <c r="AA157" s="30" t="s">
        <v>181</v>
      </c>
      <c r="AB157" s="30" t="s">
        <v>477</v>
      </c>
      <c r="AC157" s="30" t="s">
        <v>56</v>
      </c>
      <c r="AD157" s="30" t="s">
        <v>478</v>
      </c>
      <c r="AE157" s="30">
        <v>20544424751</v>
      </c>
      <c r="AF157" s="30" t="s">
        <v>519</v>
      </c>
      <c r="AG157" s="30" t="s">
        <v>520</v>
      </c>
      <c r="AH157" s="30" t="s">
        <v>185</v>
      </c>
      <c r="AI157" s="30" t="s">
        <v>521</v>
      </c>
      <c r="AJ157" s="30" t="s">
        <v>522</v>
      </c>
      <c r="AK157" s="30">
        <v>914472332</v>
      </c>
      <c r="AL157" s="30" t="s">
        <v>483</v>
      </c>
      <c r="AM157" t="s">
        <v>483</v>
      </c>
      <c r="AN157" s="30" t="s">
        <v>483</v>
      </c>
      <c r="AO157" s="30" t="s">
        <v>483</v>
      </c>
      <c r="AP157" s="30" t="s">
        <v>483</v>
      </c>
      <c r="AQ157" s="30" t="s">
        <v>483</v>
      </c>
      <c r="AR157" s="30" t="s">
        <v>483</v>
      </c>
      <c r="AS157" s="30" t="s">
        <v>63</v>
      </c>
      <c r="AT157" s="30" t="s">
        <v>64</v>
      </c>
      <c r="AU157" s="50">
        <v>46291.458333333336</v>
      </c>
      <c r="AV157" s="50">
        <v>46291.470138888886</v>
      </c>
      <c r="AW157" s="50">
        <v>46291.484722222223</v>
      </c>
      <c r="AX157" s="50">
        <v>46291.491666666669</v>
      </c>
      <c r="AY157" s="50">
        <v>46291.532638888886</v>
      </c>
      <c r="AZ157" s="50">
        <v>46291.666666666664</v>
      </c>
      <c r="BA157" s="51"/>
      <c r="BB157" s="51"/>
      <c r="BC157" s="50">
        <v>46292.454861111109</v>
      </c>
      <c r="BD157" s="50">
        <v>46292.470833333333</v>
      </c>
      <c r="BE157" s="51"/>
      <c r="BF157" s="51"/>
      <c r="BG157" s="51"/>
      <c r="BH157" s="51">
        <v>46292.651388888888</v>
      </c>
      <c r="BI157" s="30" t="s">
        <v>65</v>
      </c>
      <c r="BJ157" s="50">
        <v>46293.5</v>
      </c>
      <c r="BK157" s="50">
        <v>46293.424305555556</v>
      </c>
      <c r="BL157" s="50">
        <v>46293.430555555555</v>
      </c>
      <c r="BM157" s="50">
        <v>46293.432638888888</v>
      </c>
      <c r="BN157" s="50">
        <v>46293.435416666667</v>
      </c>
      <c r="BR157"/>
      <c r="BS157"/>
      <c r="BT157"/>
      <c r="BU157"/>
      <c r="BV157"/>
      <c r="BW157"/>
      <c r="BX157"/>
      <c r="BY157"/>
    </row>
    <row r="158" spans="1:77">
      <c r="A158" t="s">
        <v>168</v>
      </c>
      <c r="B158" s="30">
        <v>60</v>
      </c>
      <c r="C158" s="30">
        <v>39</v>
      </c>
      <c r="D158" s="30" t="s">
        <v>169</v>
      </c>
      <c r="E158" s="30" t="s">
        <v>170</v>
      </c>
      <c r="F158" s="48">
        <v>46292</v>
      </c>
      <c r="G158" s="48">
        <v>46293</v>
      </c>
      <c r="H158" s="49"/>
      <c r="I158" s="49">
        <v>0.66666666666666663</v>
      </c>
      <c r="J158" s="30" t="s">
        <v>53</v>
      </c>
      <c r="K158" s="30" t="s">
        <v>171</v>
      </c>
      <c r="L158" s="30">
        <v>1</v>
      </c>
      <c r="M158" s="30" t="s">
        <v>2727</v>
      </c>
      <c r="P158" s="30" t="s">
        <v>174</v>
      </c>
      <c r="Q158" s="30" t="s">
        <v>363</v>
      </c>
      <c r="R158" s="30" t="s">
        <v>175</v>
      </c>
      <c r="S158" s="30" t="s">
        <v>176</v>
      </c>
      <c r="T158" s="30" t="s">
        <v>2728</v>
      </c>
      <c r="U158" s="30" t="s">
        <v>2729</v>
      </c>
      <c r="V158" s="30" t="s">
        <v>2730</v>
      </c>
      <c r="W158" s="30" t="s">
        <v>2731</v>
      </c>
      <c r="X158" s="30" t="s">
        <v>179</v>
      </c>
      <c r="Y158"/>
      <c r="AA158" s="30" t="s">
        <v>181</v>
      </c>
      <c r="AB158" s="30" t="s">
        <v>477</v>
      </c>
      <c r="AC158" s="30" t="s">
        <v>56</v>
      </c>
      <c r="AD158" s="30" t="s">
        <v>478</v>
      </c>
      <c r="AE158" s="30">
        <v>20544424751</v>
      </c>
      <c r="AF158" s="30" t="s">
        <v>2732</v>
      </c>
      <c r="AG158" s="30" t="s">
        <v>2733</v>
      </c>
      <c r="AH158" s="30" t="s">
        <v>185</v>
      </c>
      <c r="AI158" s="30" t="s">
        <v>2734</v>
      </c>
      <c r="AJ158" s="30" t="s">
        <v>2735</v>
      </c>
      <c r="AK158" s="30">
        <v>959221690</v>
      </c>
      <c r="AM158"/>
      <c r="AS158" s="30" t="s">
        <v>63</v>
      </c>
      <c r="AT158" s="30" t="s">
        <v>64</v>
      </c>
      <c r="AU158" s="50">
        <v>46292.666666666664</v>
      </c>
      <c r="AV158" s="50">
        <v>46292.661805555559</v>
      </c>
      <c r="AW158" s="50">
        <v>46292.686805555553</v>
      </c>
      <c r="AX158" s="50">
        <v>46292.697916666664</v>
      </c>
      <c r="AY158" s="50">
        <v>46292.726388888892</v>
      </c>
      <c r="AZ158" s="50">
        <v>46292.744444444441</v>
      </c>
      <c r="BA158" s="51"/>
      <c r="BB158" s="51"/>
      <c r="BC158" s="50">
        <v>46293.604166666664</v>
      </c>
      <c r="BD158" s="50">
        <v>46293.617361111108</v>
      </c>
      <c r="BE158" s="51"/>
      <c r="BF158" s="51"/>
      <c r="BG158" s="51"/>
      <c r="BH158" s="51">
        <v>46293.724305555559</v>
      </c>
      <c r="BI158" s="30" t="s">
        <v>65</v>
      </c>
      <c r="BJ158" s="50"/>
      <c r="BK158" s="50"/>
      <c r="BL158" s="50"/>
      <c r="BM158" s="50"/>
      <c r="BN158" s="50"/>
      <c r="BR158"/>
      <c r="BS158"/>
      <c r="BT158"/>
      <c r="BU158"/>
      <c r="BV158"/>
      <c r="BW158"/>
      <c r="BX158"/>
      <c r="BY158"/>
    </row>
    <row r="159" spans="1:77">
      <c r="A159" t="s">
        <v>168</v>
      </c>
      <c r="B159" s="30">
        <v>61</v>
      </c>
      <c r="C159" s="30">
        <v>39</v>
      </c>
      <c r="D159" s="30" t="s">
        <v>169</v>
      </c>
      <c r="E159" s="30" t="s">
        <v>170</v>
      </c>
      <c r="F159" s="48">
        <v>46293</v>
      </c>
      <c r="G159" s="48">
        <v>46294</v>
      </c>
      <c r="H159" s="49"/>
      <c r="I159" s="49">
        <v>0.33333333333333331</v>
      </c>
      <c r="J159" s="30" t="s">
        <v>53</v>
      </c>
      <c r="K159" s="30" t="s">
        <v>171</v>
      </c>
      <c r="L159" s="30">
        <v>1</v>
      </c>
      <c r="M159" s="30" t="s">
        <v>2736</v>
      </c>
      <c r="P159" s="30" t="s">
        <v>174</v>
      </c>
      <c r="Q159" s="30" t="s">
        <v>363</v>
      </c>
      <c r="R159" s="30" t="s">
        <v>175</v>
      </c>
      <c r="S159" s="30" t="s">
        <v>176</v>
      </c>
      <c r="T159" s="30" t="s">
        <v>2737</v>
      </c>
      <c r="U159" s="30" t="s">
        <v>2738</v>
      </c>
      <c r="V159" s="30" t="s">
        <v>2739</v>
      </c>
      <c r="W159" s="30" t="s">
        <v>2740</v>
      </c>
      <c r="X159" s="30" t="s">
        <v>179</v>
      </c>
      <c r="Y159"/>
      <c r="AA159" s="30" t="s">
        <v>181</v>
      </c>
      <c r="AB159" s="30" t="s">
        <v>477</v>
      </c>
      <c r="AC159" s="30" t="s">
        <v>56</v>
      </c>
      <c r="AD159" s="30" t="s">
        <v>478</v>
      </c>
      <c r="AE159" s="30">
        <v>20544424751</v>
      </c>
      <c r="AF159" s="30" t="s">
        <v>1794</v>
      </c>
      <c r="AG159" s="30" t="s">
        <v>497</v>
      </c>
      <c r="AH159" s="30" t="s">
        <v>185</v>
      </c>
      <c r="AI159" s="30" t="s">
        <v>498</v>
      </c>
      <c r="AJ159" s="30" t="s">
        <v>499</v>
      </c>
      <c r="AK159" s="30">
        <v>946500525</v>
      </c>
      <c r="AL159" s="30" t="s">
        <v>483</v>
      </c>
      <c r="AM159" t="s">
        <v>483</v>
      </c>
      <c r="AN159" s="30" t="s">
        <v>483</v>
      </c>
      <c r="AO159" s="30" t="s">
        <v>483</v>
      </c>
      <c r="AP159" s="30" t="s">
        <v>483</v>
      </c>
      <c r="AQ159" s="30" t="s">
        <v>483</v>
      </c>
      <c r="AR159" s="30" t="s">
        <v>483</v>
      </c>
      <c r="AS159" s="30" t="s">
        <v>63</v>
      </c>
      <c r="AT159" s="30" t="s">
        <v>64</v>
      </c>
      <c r="AU159" s="50">
        <v>46293.375</v>
      </c>
      <c r="AV159" s="50">
        <v>46293.345138888886</v>
      </c>
      <c r="AW159" s="50">
        <v>46293.370833333334</v>
      </c>
      <c r="AX159" s="50">
        <v>46293.376388888886</v>
      </c>
      <c r="AY159" s="50">
        <v>46293.420138888891</v>
      </c>
      <c r="AZ159" s="50">
        <v>46293.583333333336</v>
      </c>
      <c r="BA159" s="51"/>
      <c r="BB159" s="51"/>
      <c r="BE159" s="51"/>
      <c r="BF159" s="51"/>
      <c r="BG159" s="51"/>
      <c r="BH159" s="51"/>
      <c r="BJ159" s="50"/>
      <c r="BK159" s="50"/>
      <c r="BL159" s="50"/>
      <c r="BM159" s="50"/>
      <c r="BN159" s="50"/>
      <c r="BR159"/>
      <c r="BS159"/>
      <c r="BT159"/>
      <c r="BU159"/>
      <c r="BV159"/>
      <c r="BW159"/>
      <c r="BX159"/>
      <c r="BY159"/>
    </row>
    <row r="160" spans="1:77">
      <c r="A160" t="s">
        <v>168</v>
      </c>
      <c r="B160" s="30">
        <v>1</v>
      </c>
      <c r="C160" s="30">
        <v>21</v>
      </c>
      <c r="D160" s="30" t="s">
        <v>169</v>
      </c>
      <c r="E160" s="30" t="s">
        <v>170</v>
      </c>
      <c r="F160" s="48">
        <v>45802</v>
      </c>
      <c r="G160" s="48">
        <v>46168</v>
      </c>
      <c r="H160" s="49">
        <v>0.41666666666666669</v>
      </c>
      <c r="I160" s="49">
        <v>0.33333333333333331</v>
      </c>
      <c r="J160" s="30" t="s">
        <v>53</v>
      </c>
      <c r="K160" s="30" t="s">
        <v>171</v>
      </c>
      <c r="L160" s="30">
        <v>1</v>
      </c>
      <c r="M160" s="30" t="s">
        <v>656</v>
      </c>
      <c r="N160" s="30" t="s">
        <v>173</v>
      </c>
      <c r="O160" s="30" t="s">
        <v>173</v>
      </c>
      <c r="P160" s="30" t="s">
        <v>174</v>
      </c>
      <c r="Q160" s="30" t="s">
        <v>83</v>
      </c>
      <c r="T160" s="30" t="s">
        <v>657</v>
      </c>
      <c r="U160" s="30" t="s">
        <v>658</v>
      </c>
      <c r="W160" s="30" t="s">
        <v>977</v>
      </c>
      <c r="Y160"/>
      <c r="Z160" s="30" t="s">
        <v>180</v>
      </c>
      <c r="AA160" s="30" t="s">
        <v>181</v>
      </c>
      <c r="AB160" s="30" t="s">
        <v>55</v>
      </c>
      <c r="AC160" s="30" t="s">
        <v>92</v>
      </c>
      <c r="AD160" s="30" t="s">
        <v>78</v>
      </c>
      <c r="AE160" s="30">
        <v>20513040718</v>
      </c>
      <c r="AF160" s="30" t="s">
        <v>659</v>
      </c>
      <c r="AG160" s="30" t="s">
        <v>660</v>
      </c>
      <c r="AH160" s="30" t="s">
        <v>661</v>
      </c>
      <c r="AI160" s="30" t="s">
        <v>1797</v>
      </c>
      <c r="AJ160" s="30" t="s">
        <v>662</v>
      </c>
      <c r="AL160" s="30" t="s">
        <v>483</v>
      </c>
      <c r="AM160" t="s">
        <v>270</v>
      </c>
      <c r="AN160" s="30" t="s">
        <v>270</v>
      </c>
      <c r="AO160" s="30" t="s">
        <v>483</v>
      </c>
      <c r="AP160" s="30" t="s">
        <v>483</v>
      </c>
      <c r="AQ160" s="30" t="s">
        <v>483</v>
      </c>
      <c r="AR160" s="30" t="s">
        <v>483</v>
      </c>
      <c r="AS160" s="30" t="s">
        <v>83</v>
      </c>
      <c r="AT160" s="30" t="s">
        <v>240</v>
      </c>
      <c r="AU160" s="50">
        <v>46167.416666666664</v>
      </c>
      <c r="AV160" s="50">
        <v>46167.552777777775</v>
      </c>
      <c r="AW160" s="50">
        <v>46167.720138888886</v>
      </c>
      <c r="AX160" s="50">
        <v>46167.770833333336</v>
      </c>
      <c r="AY160" s="50">
        <v>46167.850694444445</v>
      </c>
      <c r="AZ160" s="50">
        <v>46167.916666666664</v>
      </c>
      <c r="BA160" s="51">
        <v>46168.597222222219</v>
      </c>
      <c r="BB160" s="51">
        <v>46169.583333333336</v>
      </c>
      <c r="BC160" s="50">
        <v>46168.607638888891</v>
      </c>
      <c r="BD160" s="50">
        <v>46168.609722222223</v>
      </c>
      <c r="BE160" s="51">
        <v>46168.611111111109</v>
      </c>
      <c r="BF160" s="51">
        <v>46168.677083333336</v>
      </c>
      <c r="BG160" s="51">
        <v>46168.694444444445</v>
      </c>
      <c r="BH160" s="51">
        <v>46168.722222222219</v>
      </c>
      <c r="BI160" s="30" t="s">
        <v>64</v>
      </c>
      <c r="BJ160" s="50">
        <v>46169.541666666664</v>
      </c>
      <c r="BK160" s="50">
        <v>46169.581944444442</v>
      </c>
      <c r="BL160" s="50">
        <v>46169.582638888889</v>
      </c>
      <c r="BM160" s="50">
        <v>46169.569444444445</v>
      </c>
      <c r="BN160" s="50">
        <v>46169.595138888886</v>
      </c>
      <c r="BR160"/>
      <c r="BS160"/>
      <c r="BT160"/>
      <c r="BU160"/>
      <c r="BV160"/>
      <c r="BW160"/>
      <c r="BX160"/>
      <c r="BY160"/>
    </row>
    <row r="161" spans="1:77">
      <c r="A161" t="s">
        <v>168</v>
      </c>
      <c r="B161" s="30">
        <v>2</v>
      </c>
      <c r="C161" s="30">
        <v>22</v>
      </c>
      <c r="D161" s="30" t="s">
        <v>169</v>
      </c>
      <c r="E161" s="30" t="s">
        <v>170</v>
      </c>
      <c r="F161" s="48">
        <v>46174</v>
      </c>
      <c r="G161" s="48">
        <v>46175</v>
      </c>
      <c r="H161" s="49">
        <v>0.58333333333333337</v>
      </c>
      <c r="I161" s="49">
        <v>0.5</v>
      </c>
      <c r="J161" s="30" t="s">
        <v>53</v>
      </c>
      <c r="K161" s="30" t="s">
        <v>171</v>
      </c>
      <c r="L161" s="30">
        <v>1</v>
      </c>
      <c r="M161" s="30" t="s">
        <v>77</v>
      </c>
      <c r="P161" s="30" t="s">
        <v>174</v>
      </c>
      <c r="Q161" s="30" t="s">
        <v>84</v>
      </c>
      <c r="T161" s="30">
        <v>6503163460</v>
      </c>
      <c r="U161" s="30" t="s">
        <v>82</v>
      </c>
      <c r="V161" s="30">
        <v>2113</v>
      </c>
      <c r="W161" s="30">
        <v>32997767</v>
      </c>
      <c r="Y161"/>
      <c r="Z161" s="30" t="s">
        <v>180</v>
      </c>
      <c r="AA161" s="30" t="s">
        <v>181</v>
      </c>
      <c r="AB161" s="30" t="s">
        <v>55</v>
      </c>
      <c r="AC161" s="30" t="s">
        <v>92</v>
      </c>
      <c r="AD161" s="30" t="s">
        <v>78</v>
      </c>
      <c r="AE161" s="30">
        <v>20513040718</v>
      </c>
      <c r="AF161" s="30" t="s">
        <v>79</v>
      </c>
      <c r="AG161" s="30" t="s">
        <v>80</v>
      </c>
      <c r="AH161" s="30" t="s">
        <v>661</v>
      </c>
      <c r="AI161" s="30" t="s">
        <v>1798</v>
      </c>
      <c r="AJ161" s="30" t="s">
        <v>81</v>
      </c>
      <c r="AL161" s="30" t="s">
        <v>483</v>
      </c>
      <c r="AM161" t="s">
        <v>270</v>
      </c>
      <c r="AN161" s="30" t="s">
        <v>270</v>
      </c>
      <c r="AO161" s="30" t="s">
        <v>483</v>
      </c>
      <c r="AP161" s="30" t="s">
        <v>483</v>
      </c>
      <c r="AQ161" s="30" t="s">
        <v>483</v>
      </c>
      <c r="AR161" s="30" t="s">
        <v>483</v>
      </c>
      <c r="AS161" s="30" t="s">
        <v>84</v>
      </c>
      <c r="AT161" s="30" t="s">
        <v>240</v>
      </c>
      <c r="AU161" s="50">
        <v>46174.541666666664</v>
      </c>
      <c r="AV161" s="50">
        <v>46174.680555555555</v>
      </c>
      <c r="AW161" s="50">
        <v>46174.694444444445</v>
      </c>
      <c r="AX161" s="50">
        <v>46174.704861111109</v>
      </c>
      <c r="AY161" s="50">
        <v>46174.767361111109</v>
      </c>
      <c r="AZ161" s="50">
        <v>46174.791666666664</v>
      </c>
      <c r="BA161" s="51">
        <v>46175.425694444442</v>
      </c>
      <c r="BB161" s="51">
        <v>46176.041666666664</v>
      </c>
      <c r="BC161" s="50">
        <v>46175.604166666664</v>
      </c>
      <c r="BD161" s="50">
        <v>46175.607638888891</v>
      </c>
      <c r="BE161" s="51">
        <v>46175.618055555555</v>
      </c>
      <c r="BF161" s="51">
        <v>46175.620138888888</v>
      </c>
      <c r="BG161" s="51">
        <v>46175.638888888891</v>
      </c>
      <c r="BH161" s="51">
        <v>46175.586805555555</v>
      </c>
      <c r="BI161" s="30" t="s">
        <v>240</v>
      </c>
      <c r="BJ161" s="50">
        <v>46176</v>
      </c>
      <c r="BK161" s="50">
        <v>46176.032638888886</v>
      </c>
      <c r="BL161" s="50">
        <v>46176.048611111109</v>
      </c>
      <c r="BM161" s="50">
        <v>46176.0625</v>
      </c>
      <c r="BN161" s="50">
        <v>46176.65625</v>
      </c>
      <c r="BR161"/>
      <c r="BS161"/>
      <c r="BT161"/>
      <c r="BU161"/>
      <c r="BV161"/>
      <c r="BW161"/>
      <c r="BX161"/>
      <c r="BY161"/>
    </row>
    <row r="162" spans="1:77">
      <c r="A162" t="s">
        <v>168</v>
      </c>
      <c r="B162" s="30">
        <v>3</v>
      </c>
      <c r="C162" s="30">
        <v>23</v>
      </c>
      <c r="D162" s="30" t="s">
        <v>169</v>
      </c>
      <c r="E162" s="30" t="s">
        <v>170</v>
      </c>
      <c r="F162" s="48">
        <v>46180</v>
      </c>
      <c r="G162" s="48">
        <v>46181</v>
      </c>
      <c r="H162" s="49">
        <v>0.5</v>
      </c>
      <c r="I162" s="49">
        <v>0.41666666666666669</v>
      </c>
      <c r="J162" s="30" t="s">
        <v>53</v>
      </c>
      <c r="K162" s="30" t="s">
        <v>171</v>
      </c>
      <c r="L162" s="30">
        <v>1</v>
      </c>
      <c r="M162" s="30" t="s">
        <v>663</v>
      </c>
      <c r="P162" s="30" t="s">
        <v>174</v>
      </c>
      <c r="Q162" s="30" t="s">
        <v>84</v>
      </c>
      <c r="R162" s="30" t="s">
        <v>951</v>
      </c>
      <c r="S162" s="30" t="s">
        <v>1878</v>
      </c>
      <c r="T162" s="30">
        <v>751600031888</v>
      </c>
      <c r="U162" s="30" t="s">
        <v>664</v>
      </c>
      <c r="V162" s="30">
        <v>3001889</v>
      </c>
      <c r="Y162" t="s">
        <v>179</v>
      </c>
      <c r="Z162" s="30" t="s">
        <v>180</v>
      </c>
      <c r="AA162" s="30" t="s">
        <v>181</v>
      </c>
      <c r="AB162" s="30" t="s">
        <v>55</v>
      </c>
      <c r="AC162" s="30" t="s">
        <v>92</v>
      </c>
      <c r="AD162" s="30" t="s">
        <v>78</v>
      </c>
      <c r="AE162" s="30">
        <v>20513040718</v>
      </c>
      <c r="AF162" s="30" t="s">
        <v>665</v>
      </c>
      <c r="AG162" s="30" t="s">
        <v>666</v>
      </c>
      <c r="AH162" s="30" t="s">
        <v>661</v>
      </c>
      <c r="AI162" s="30" t="s">
        <v>667</v>
      </c>
      <c r="AJ162" s="30" t="s">
        <v>668</v>
      </c>
      <c r="AL162" s="30" t="s">
        <v>483</v>
      </c>
      <c r="AM162" t="s">
        <v>270</v>
      </c>
      <c r="AN162" s="30" t="s">
        <v>270</v>
      </c>
      <c r="AO162" s="30" t="s">
        <v>483</v>
      </c>
      <c r="AP162" s="30" t="s">
        <v>483</v>
      </c>
      <c r="AQ162" s="30" t="s">
        <v>483</v>
      </c>
      <c r="AR162" s="30" t="s">
        <v>483</v>
      </c>
      <c r="AS162" s="30" t="s">
        <v>84</v>
      </c>
      <c r="AT162" s="30" t="s">
        <v>669</v>
      </c>
      <c r="AU162" s="50">
        <v>46180.833333333336</v>
      </c>
      <c r="AV162" s="50">
        <v>46180.85</v>
      </c>
      <c r="AW162" s="50">
        <v>46180.854166666664</v>
      </c>
      <c r="AX162" s="50">
        <v>46180.856249999997</v>
      </c>
      <c r="AY162" s="50">
        <v>46180.915277777778</v>
      </c>
      <c r="AZ162" s="50">
        <v>46180.916666666664</v>
      </c>
      <c r="BA162" s="51">
        <v>46181.458333333336</v>
      </c>
      <c r="BB162" s="51">
        <v>46182.208333333336</v>
      </c>
      <c r="BC162" s="50">
        <v>46181.481249999997</v>
      </c>
      <c r="BD162" s="50">
        <v>46181.486111111109</v>
      </c>
      <c r="BE162" s="51">
        <v>46181.5</v>
      </c>
      <c r="BF162" s="51">
        <v>46181.665277777778</v>
      </c>
      <c r="BG162" s="51">
        <v>46181.680555555555</v>
      </c>
      <c r="BH162" s="51">
        <v>46181.713888888888</v>
      </c>
      <c r="BI162" s="30" t="s">
        <v>64</v>
      </c>
      <c r="BJ162" s="50">
        <v>46182.166666666664</v>
      </c>
      <c r="BK162" s="50">
        <v>46182.206250000003</v>
      </c>
      <c r="BL162" s="50">
        <v>46182.208333333336</v>
      </c>
      <c r="BM162" s="50">
        <v>46182.246527777781</v>
      </c>
      <c r="BN162" s="50">
        <v>46182.258333333331</v>
      </c>
      <c r="BR162"/>
      <c r="BS162"/>
      <c r="BT162"/>
      <c r="BU162"/>
      <c r="BV162"/>
      <c r="BW162"/>
      <c r="BX162"/>
      <c r="BY162"/>
    </row>
    <row r="163" spans="1:77">
      <c r="A163" t="s">
        <v>168</v>
      </c>
      <c r="B163" s="30">
        <v>4</v>
      </c>
      <c r="C163" s="30">
        <v>23</v>
      </c>
      <c r="D163" s="30" t="s">
        <v>169</v>
      </c>
      <c r="E163" s="30" t="s">
        <v>170</v>
      </c>
      <c r="F163" s="48">
        <v>46180</v>
      </c>
      <c r="G163" s="48">
        <v>46181</v>
      </c>
      <c r="H163" s="49">
        <v>0.5</v>
      </c>
      <c r="I163" s="49">
        <v>0.41666666666666669</v>
      </c>
      <c r="J163" s="30" t="s">
        <v>53</v>
      </c>
      <c r="K163" s="30" t="s">
        <v>171</v>
      </c>
      <c r="L163" s="30">
        <v>1</v>
      </c>
      <c r="M163" s="30" t="s">
        <v>670</v>
      </c>
      <c r="P163" s="30" t="s">
        <v>174</v>
      </c>
      <c r="Q163" s="30" t="s">
        <v>84</v>
      </c>
      <c r="R163" s="30" t="s">
        <v>1825</v>
      </c>
      <c r="S163" s="30" t="s">
        <v>1879</v>
      </c>
      <c r="T163" s="30">
        <v>751600031896</v>
      </c>
      <c r="U163" s="30" t="s">
        <v>671</v>
      </c>
      <c r="V163" s="30">
        <v>3301889</v>
      </c>
      <c r="Y163" t="s">
        <v>179</v>
      </c>
      <c r="Z163" s="30" t="s">
        <v>180</v>
      </c>
      <c r="AA163" s="30" t="s">
        <v>181</v>
      </c>
      <c r="AB163" s="30" t="s">
        <v>55</v>
      </c>
      <c r="AC163" s="30" t="s">
        <v>92</v>
      </c>
      <c r="AD163" s="30" t="s">
        <v>78</v>
      </c>
      <c r="AE163" s="30">
        <v>20513040718</v>
      </c>
      <c r="AF163" s="30" t="s">
        <v>672</v>
      </c>
      <c r="AG163" s="30" t="s">
        <v>673</v>
      </c>
      <c r="AH163" s="30" t="s">
        <v>661</v>
      </c>
      <c r="AI163" s="30" t="s">
        <v>1799</v>
      </c>
      <c r="AJ163" s="30" t="s">
        <v>674</v>
      </c>
      <c r="AL163" s="30" t="s">
        <v>483</v>
      </c>
      <c r="AM163" t="s">
        <v>270</v>
      </c>
      <c r="AN163" s="30" t="s">
        <v>270</v>
      </c>
      <c r="AO163" s="30" t="s">
        <v>483</v>
      </c>
      <c r="AP163" s="30" t="s">
        <v>483</v>
      </c>
      <c r="AQ163" s="30" t="s">
        <v>483</v>
      </c>
      <c r="AR163" s="30" t="s">
        <v>483</v>
      </c>
      <c r="AS163" s="30" t="s">
        <v>84</v>
      </c>
      <c r="AT163" s="30" t="s">
        <v>669</v>
      </c>
      <c r="AU163" s="50">
        <v>46180.833333333336</v>
      </c>
      <c r="AV163" s="50">
        <v>46180.861805555556</v>
      </c>
      <c r="AW163" s="50">
        <v>46180.871527777781</v>
      </c>
      <c r="AX163" s="50">
        <v>46180.866666666669</v>
      </c>
      <c r="AY163" s="50">
        <v>46180.941666666666</v>
      </c>
      <c r="AZ163" s="50">
        <v>46180.954861111109</v>
      </c>
      <c r="BA163" s="51">
        <v>46181.548611111109</v>
      </c>
      <c r="BB163" s="51">
        <v>46182.4375</v>
      </c>
      <c r="BC163" s="50">
        <v>46181.556250000001</v>
      </c>
      <c r="BD163" s="50">
        <v>46181.560416666667</v>
      </c>
      <c r="BE163" s="51">
        <v>46181.625</v>
      </c>
      <c r="BF163" s="51">
        <v>46181.731944444444</v>
      </c>
      <c r="BG163" s="51">
        <v>46181.75</v>
      </c>
      <c r="BH163" s="51">
        <v>46181.773611111108</v>
      </c>
      <c r="BI163" s="30" t="s">
        <v>64</v>
      </c>
      <c r="BJ163" s="50">
        <v>46182.416666666664</v>
      </c>
      <c r="BK163" s="50">
        <v>46182.427777777775</v>
      </c>
      <c r="BL163" s="50">
        <v>46182.4375</v>
      </c>
      <c r="BM163" s="50">
        <v>46182.550694444442</v>
      </c>
      <c r="BN163" s="50">
        <v>46182.55972222222</v>
      </c>
      <c r="BR163"/>
      <c r="BS163"/>
      <c r="BT163"/>
      <c r="BU163"/>
      <c r="BV163"/>
      <c r="BW163"/>
      <c r="BX163"/>
      <c r="BY163"/>
    </row>
    <row r="164" spans="1:77">
      <c r="A164" t="s">
        <v>168</v>
      </c>
      <c r="B164" s="30">
        <v>5</v>
      </c>
      <c r="C164" s="30">
        <v>23</v>
      </c>
      <c r="D164" s="30" t="s">
        <v>169</v>
      </c>
      <c r="E164" s="30" t="s">
        <v>170</v>
      </c>
      <c r="F164" s="48">
        <v>46180</v>
      </c>
      <c r="G164" s="48">
        <v>46181</v>
      </c>
      <c r="H164" s="49">
        <v>0.625</v>
      </c>
      <c r="I164" s="49">
        <v>0.54166666666666663</v>
      </c>
      <c r="J164" s="30" t="s">
        <v>53</v>
      </c>
      <c r="K164" s="30" t="s">
        <v>171</v>
      </c>
      <c r="L164" s="30">
        <v>1</v>
      </c>
      <c r="M164" s="30" t="s">
        <v>675</v>
      </c>
      <c r="P164" s="30" t="s">
        <v>174</v>
      </c>
      <c r="Q164" s="30" t="s">
        <v>84</v>
      </c>
      <c r="R164" s="30" t="s">
        <v>1825</v>
      </c>
      <c r="S164" s="30" t="s">
        <v>1879</v>
      </c>
      <c r="T164" s="30">
        <v>751600032272</v>
      </c>
      <c r="U164" s="30" t="s">
        <v>676</v>
      </c>
      <c r="V164" s="30">
        <v>3301906</v>
      </c>
      <c r="Y164"/>
      <c r="Z164" s="30" t="s">
        <v>180</v>
      </c>
      <c r="AA164" s="30" t="s">
        <v>181</v>
      </c>
      <c r="AB164" s="30" t="s">
        <v>55</v>
      </c>
      <c r="AC164" s="30" t="s">
        <v>56</v>
      </c>
      <c r="AD164" s="30" t="s">
        <v>677</v>
      </c>
      <c r="AE164" s="30">
        <v>20535747424</v>
      </c>
      <c r="AF164" s="30" t="s">
        <v>678</v>
      </c>
      <c r="AG164" s="30" t="s">
        <v>679</v>
      </c>
      <c r="AH164" s="30" t="s">
        <v>661</v>
      </c>
      <c r="AI164" s="30" t="s">
        <v>680</v>
      </c>
      <c r="AJ164" s="30" t="s">
        <v>681</v>
      </c>
      <c r="AL164" s="30" t="s">
        <v>483</v>
      </c>
      <c r="AM164" t="s">
        <v>270</v>
      </c>
      <c r="AN164" s="30" t="s">
        <v>270</v>
      </c>
      <c r="AO164" s="30" t="s">
        <v>483</v>
      </c>
      <c r="AP164" s="30" t="s">
        <v>483</v>
      </c>
      <c r="AQ164" s="30" t="s">
        <v>483</v>
      </c>
      <c r="AR164" s="30" t="s">
        <v>483</v>
      </c>
      <c r="AS164" s="30" t="s">
        <v>84</v>
      </c>
      <c r="AT164" s="30" t="s">
        <v>669</v>
      </c>
      <c r="AU164" s="50">
        <v>46180.833333333336</v>
      </c>
      <c r="AV164" s="50">
        <v>46180.873611111114</v>
      </c>
      <c r="AW164" s="50">
        <v>46180.895833333336</v>
      </c>
      <c r="AX164" s="50">
        <v>46180.944444444445</v>
      </c>
      <c r="AY164" s="50">
        <v>46180.962500000001</v>
      </c>
      <c r="AZ164" s="50">
        <v>46180.996527777781</v>
      </c>
      <c r="BA164" s="51">
        <v>46181.625</v>
      </c>
      <c r="BB164" s="51">
        <v>46182.486111111109</v>
      </c>
      <c r="BC164" s="50">
        <v>46181.636805555558</v>
      </c>
      <c r="BD164" s="50">
        <v>46181.642361111109</v>
      </c>
      <c r="BE164" s="51">
        <v>46181.6875</v>
      </c>
      <c r="BF164" s="51">
        <v>46181.758333333331</v>
      </c>
      <c r="BG164" s="51">
        <v>46181.777777777781</v>
      </c>
      <c r="BH164" s="51">
        <v>46181.820833333331</v>
      </c>
      <c r="BI164" s="30" t="s">
        <v>64</v>
      </c>
      <c r="BJ164" s="50">
        <v>46182.458333333336</v>
      </c>
      <c r="BK164" s="50">
        <v>46182.479861111111</v>
      </c>
      <c r="BL164" s="50">
        <v>46182.5</v>
      </c>
      <c r="BM164" s="50">
        <v>46182.708333333336</v>
      </c>
      <c r="BN164" s="50">
        <v>46182.726388888892</v>
      </c>
      <c r="BR164"/>
      <c r="BS164"/>
      <c r="BT164"/>
      <c r="BU164"/>
      <c r="BV164"/>
      <c r="BW164"/>
      <c r="BX164"/>
      <c r="BY164"/>
    </row>
    <row r="165" spans="1:77">
      <c r="A165" t="s">
        <v>168</v>
      </c>
      <c r="B165" s="30">
        <v>6</v>
      </c>
      <c r="C165" s="30">
        <v>24</v>
      </c>
      <c r="D165" s="30" t="s">
        <v>169</v>
      </c>
      <c r="E165" s="30" t="s">
        <v>170</v>
      </c>
      <c r="F165" s="48">
        <v>46188</v>
      </c>
      <c r="G165" s="48">
        <v>46189</v>
      </c>
      <c r="H165" s="49">
        <v>0.66666666666666663</v>
      </c>
      <c r="I165" s="49">
        <v>0.58333333333333337</v>
      </c>
      <c r="J165" s="30" t="s">
        <v>53</v>
      </c>
      <c r="K165" s="30" t="s">
        <v>171</v>
      </c>
      <c r="L165" s="30">
        <v>1</v>
      </c>
      <c r="M165" s="30" t="s">
        <v>682</v>
      </c>
      <c r="P165" s="30" t="s">
        <v>174</v>
      </c>
      <c r="Q165" s="30" t="s">
        <v>83</v>
      </c>
      <c r="R165" s="30" t="s">
        <v>939</v>
      </c>
      <c r="S165" s="30" t="s">
        <v>391</v>
      </c>
      <c r="T165" s="30">
        <v>6503617890</v>
      </c>
      <c r="U165" s="30" t="s">
        <v>683</v>
      </c>
      <c r="V165" s="30">
        <v>784232</v>
      </c>
      <c r="W165" s="30">
        <v>29215397</v>
      </c>
      <c r="Y165" t="s">
        <v>179</v>
      </c>
      <c r="Z165" s="30" t="s">
        <v>180</v>
      </c>
      <c r="AA165" s="30" t="s">
        <v>181</v>
      </c>
      <c r="AB165" s="30" t="s">
        <v>55</v>
      </c>
      <c r="AC165" s="30" t="s">
        <v>56</v>
      </c>
      <c r="AD165" s="30" t="s">
        <v>78</v>
      </c>
      <c r="AE165" s="30">
        <v>20513040718</v>
      </c>
      <c r="AF165" s="30" t="s">
        <v>684</v>
      </c>
      <c r="AG165" s="30" t="s">
        <v>685</v>
      </c>
      <c r="AH165" s="30" t="s">
        <v>661</v>
      </c>
      <c r="AI165" s="30" t="s">
        <v>686</v>
      </c>
      <c r="AJ165" s="30" t="s">
        <v>687</v>
      </c>
      <c r="AL165" s="30" t="s">
        <v>483</v>
      </c>
      <c r="AM165" t="s">
        <v>270</v>
      </c>
      <c r="AN165" s="30" t="s">
        <v>270</v>
      </c>
      <c r="AO165" s="30" t="s">
        <v>483</v>
      </c>
      <c r="AP165" s="30" t="s">
        <v>483</v>
      </c>
      <c r="AQ165" s="30" t="s">
        <v>483</v>
      </c>
      <c r="AR165" s="30" t="s">
        <v>483</v>
      </c>
      <c r="AS165" s="30" t="s">
        <v>83</v>
      </c>
      <c r="AT165" s="30" t="s">
        <v>64</v>
      </c>
      <c r="AU165" s="50">
        <v>46188.5</v>
      </c>
      <c r="AV165" s="50">
        <v>46188.481249999997</v>
      </c>
      <c r="AW165" s="50">
        <v>46188.486805555556</v>
      </c>
      <c r="AX165" s="50">
        <v>46188.84375</v>
      </c>
      <c r="AY165" s="50">
        <v>46188.852777777778</v>
      </c>
      <c r="AZ165" s="50">
        <v>46188.916666666664</v>
      </c>
      <c r="BA165" s="51">
        <v>46189.666666666664</v>
      </c>
      <c r="BB165" s="51">
        <v>46190.083333333336</v>
      </c>
      <c r="BC165" s="50">
        <v>46189.549305555556</v>
      </c>
      <c r="BD165" s="50">
        <v>46189.555555555555</v>
      </c>
      <c r="BE165" s="51">
        <v>46189.59097222222</v>
      </c>
      <c r="BF165" s="51">
        <v>46189.65</v>
      </c>
      <c r="BG165" s="51">
        <v>46189.666666666664</v>
      </c>
      <c r="BH165" s="51">
        <v>46189.732638888891</v>
      </c>
      <c r="BI165" s="30" t="s">
        <v>240</v>
      </c>
      <c r="BJ165" s="50">
        <v>46190.416666666664</v>
      </c>
      <c r="BK165" s="50">
        <v>46190.076388888891</v>
      </c>
      <c r="BL165" s="50">
        <v>46190.077777777777</v>
      </c>
      <c r="BM165" s="50">
        <v>46190.09652777778</v>
      </c>
      <c r="BN165" s="50">
        <v>46190.111805555556</v>
      </c>
      <c r="BR165"/>
      <c r="BS165"/>
      <c r="BT165"/>
      <c r="BU165"/>
      <c r="BV165"/>
      <c r="BW165"/>
      <c r="BX165"/>
      <c r="BY165"/>
    </row>
    <row r="166" spans="1:77">
      <c r="A166" t="s">
        <v>168</v>
      </c>
      <c r="B166" s="30">
        <v>8</v>
      </c>
      <c r="C166" s="30">
        <v>24</v>
      </c>
      <c r="D166" s="30" t="s">
        <v>169</v>
      </c>
      <c r="E166" s="30" t="s">
        <v>170</v>
      </c>
      <c r="F166" s="48">
        <v>46189</v>
      </c>
      <c r="G166" s="48">
        <v>46190</v>
      </c>
      <c r="H166" s="49">
        <v>0.54166666666666663</v>
      </c>
      <c r="I166" s="49">
        <v>0.45833333333333331</v>
      </c>
      <c r="J166" s="30" t="s">
        <v>53</v>
      </c>
      <c r="K166" s="30" t="s">
        <v>171</v>
      </c>
      <c r="L166" s="30">
        <v>1</v>
      </c>
      <c r="M166" s="30" t="s">
        <v>694</v>
      </c>
      <c r="P166" s="30" t="s">
        <v>174</v>
      </c>
      <c r="Q166" s="30" t="s">
        <v>83</v>
      </c>
      <c r="R166" s="30" t="s">
        <v>1822</v>
      </c>
      <c r="S166" s="30" t="s">
        <v>391</v>
      </c>
      <c r="T166" s="30">
        <v>6504302800</v>
      </c>
      <c r="U166" s="30" t="s">
        <v>695</v>
      </c>
      <c r="V166" s="30">
        <v>22612</v>
      </c>
      <c r="W166" s="30">
        <v>33001585</v>
      </c>
      <c r="Y166" t="s">
        <v>179</v>
      </c>
      <c r="Z166" s="30" t="s">
        <v>180</v>
      </c>
      <c r="AA166" s="30" t="s">
        <v>181</v>
      </c>
      <c r="AB166" s="30" t="s">
        <v>55</v>
      </c>
      <c r="AC166" s="30" t="s">
        <v>56</v>
      </c>
      <c r="AD166" s="30" t="s">
        <v>78</v>
      </c>
      <c r="AE166" s="30">
        <v>20513040718</v>
      </c>
      <c r="AF166" s="30" t="s">
        <v>696</v>
      </c>
      <c r="AG166" s="30" t="s">
        <v>697</v>
      </c>
      <c r="AH166" s="30" t="s">
        <v>661</v>
      </c>
      <c r="AI166" s="30" t="s">
        <v>698</v>
      </c>
      <c r="AJ166" s="30" t="s">
        <v>699</v>
      </c>
      <c r="AL166" s="30" t="s">
        <v>483</v>
      </c>
      <c r="AM166" t="s">
        <v>270</v>
      </c>
      <c r="AN166" s="30" t="s">
        <v>270</v>
      </c>
      <c r="AO166" s="30" t="s">
        <v>483</v>
      </c>
      <c r="AP166" s="30" t="s">
        <v>483</v>
      </c>
      <c r="AQ166" s="30" t="s">
        <v>483</v>
      </c>
      <c r="AR166" s="30" t="s">
        <v>483</v>
      </c>
      <c r="AS166" s="30" t="s">
        <v>83</v>
      </c>
      <c r="AT166" s="30" t="s">
        <v>240</v>
      </c>
      <c r="AU166" s="50">
        <v>46189.541666666664</v>
      </c>
      <c r="AV166" s="50">
        <v>46189.573611111111</v>
      </c>
      <c r="AW166" s="50">
        <v>46189.574305555558</v>
      </c>
      <c r="AX166" s="50">
        <v>46189.625</v>
      </c>
      <c r="AY166" s="50">
        <v>46189.668055555558</v>
      </c>
      <c r="AZ166" s="50">
        <v>46189.6875</v>
      </c>
      <c r="BA166" s="51">
        <v>46190.361111111109</v>
      </c>
      <c r="BB166" s="51">
        <v>46193.125</v>
      </c>
      <c r="BC166" s="50">
        <v>46190.430555555555</v>
      </c>
      <c r="BD166" s="50">
        <v>46190.440972222219</v>
      </c>
      <c r="BE166" s="51">
        <v>46190.472222222219</v>
      </c>
      <c r="BF166" s="51">
        <v>46190.626388888886</v>
      </c>
      <c r="BG166" s="51">
        <v>46190.64166666667</v>
      </c>
      <c r="BH166" s="51">
        <v>46190.683333333334</v>
      </c>
      <c r="BI166" s="30" t="s">
        <v>240</v>
      </c>
      <c r="BJ166" s="50">
        <v>46191.125</v>
      </c>
      <c r="BK166" s="50">
        <v>46191.043055555558</v>
      </c>
      <c r="BL166" s="50">
        <v>46191.04583333333</v>
      </c>
      <c r="BM166" s="50">
        <v>46191.061805555553</v>
      </c>
      <c r="BN166" s="50">
        <v>46191.078472222223</v>
      </c>
      <c r="BR166"/>
      <c r="BS166"/>
      <c r="BT166"/>
      <c r="BU166"/>
      <c r="BV166"/>
      <c r="BW166"/>
      <c r="BX166"/>
      <c r="BY166"/>
    </row>
    <row r="167" spans="1:77">
      <c r="A167" t="s">
        <v>168</v>
      </c>
      <c r="B167" s="30">
        <v>9</v>
      </c>
      <c r="C167" s="30">
        <v>24</v>
      </c>
      <c r="D167" s="30" t="s">
        <v>169</v>
      </c>
      <c r="E167" s="30" t="s">
        <v>170</v>
      </c>
      <c r="F167" s="48">
        <v>46189</v>
      </c>
      <c r="G167" s="48">
        <v>46190</v>
      </c>
      <c r="H167" s="49">
        <v>0.625</v>
      </c>
      <c r="I167" s="49">
        <v>0.54166666666666663</v>
      </c>
      <c r="J167" s="30" t="s">
        <v>53</v>
      </c>
      <c r="K167" s="30" t="s">
        <v>171</v>
      </c>
      <c r="L167" s="30">
        <v>1</v>
      </c>
      <c r="M167" s="30" t="s">
        <v>700</v>
      </c>
      <c r="P167" s="30" t="s">
        <v>174</v>
      </c>
      <c r="Q167" s="30" t="s">
        <v>84</v>
      </c>
      <c r="R167" s="30" t="s">
        <v>939</v>
      </c>
      <c r="S167" s="30" t="s">
        <v>391</v>
      </c>
      <c r="T167" s="30">
        <v>6504302190</v>
      </c>
      <c r="U167" s="30" t="s">
        <v>701</v>
      </c>
      <c r="V167" s="30">
        <v>784433</v>
      </c>
      <c r="W167" s="30">
        <v>29215387</v>
      </c>
      <c r="Y167" t="s">
        <v>179</v>
      </c>
      <c r="Z167" s="30" t="s">
        <v>180</v>
      </c>
      <c r="AA167" s="30" t="s">
        <v>181</v>
      </c>
      <c r="AB167" s="30" t="s">
        <v>55</v>
      </c>
      <c r="AC167" s="30" t="s">
        <v>56</v>
      </c>
      <c r="AD167" s="30" t="s">
        <v>78</v>
      </c>
      <c r="AE167" s="30">
        <v>20513040718</v>
      </c>
      <c r="AF167" s="30" t="s">
        <v>702</v>
      </c>
      <c r="AG167" s="30" t="s">
        <v>703</v>
      </c>
      <c r="AH167" s="30" t="s">
        <v>661</v>
      </c>
      <c r="AI167" s="30" t="s">
        <v>704</v>
      </c>
      <c r="AJ167" s="30" t="s">
        <v>705</v>
      </c>
      <c r="AL167" s="30" t="s">
        <v>483</v>
      </c>
      <c r="AM167" t="s">
        <v>270</v>
      </c>
      <c r="AN167" s="30" t="s">
        <v>270</v>
      </c>
      <c r="AO167" s="30" t="s">
        <v>483</v>
      </c>
      <c r="AP167" s="30" t="s">
        <v>483</v>
      </c>
      <c r="AQ167" s="30" t="s">
        <v>483</v>
      </c>
      <c r="AR167" s="30" t="s">
        <v>483</v>
      </c>
      <c r="AS167" s="30" t="s">
        <v>84</v>
      </c>
      <c r="AT167" s="30" t="s">
        <v>64</v>
      </c>
      <c r="AU167" s="50">
        <v>46189.541666666664</v>
      </c>
      <c r="AV167" s="50">
        <v>46189.59097222222</v>
      </c>
      <c r="AW167" s="50">
        <v>46189.613194444442</v>
      </c>
      <c r="AX167" s="50">
        <v>46189.9</v>
      </c>
      <c r="AY167" s="50">
        <v>46189.941666666666</v>
      </c>
      <c r="AZ167" s="50">
        <v>46190.178472222222</v>
      </c>
      <c r="BA167" s="51">
        <v>46190.556250000001</v>
      </c>
      <c r="BB167" s="51">
        <v>46191.541666666664</v>
      </c>
      <c r="BC167" s="50">
        <v>46190.577777777777</v>
      </c>
      <c r="BD167" s="50">
        <v>46190.585416666669</v>
      </c>
      <c r="BE167" s="51">
        <v>46190.619444444441</v>
      </c>
      <c r="BF167" s="51">
        <v>46190.76666666667</v>
      </c>
      <c r="BG167" s="51">
        <v>46190.786805555559</v>
      </c>
      <c r="BH167" s="51">
        <v>46190.828472222223</v>
      </c>
      <c r="BI167" s="30" t="s">
        <v>240</v>
      </c>
      <c r="BJ167" s="50">
        <v>46191.041666666664</v>
      </c>
      <c r="BK167" s="50">
        <v>46191.538194444445</v>
      </c>
      <c r="BL167" s="50">
        <v>46191.547222222223</v>
      </c>
      <c r="BM167" s="50">
        <v>46191.561805555553</v>
      </c>
      <c r="BN167" s="50">
        <v>46191.579861111109</v>
      </c>
      <c r="BR167"/>
      <c r="BS167"/>
      <c r="BT167"/>
      <c r="BU167"/>
      <c r="BV167"/>
      <c r="BW167"/>
      <c r="BX167"/>
      <c r="BY167"/>
    </row>
    <row r="168" spans="1:77">
      <c r="A168" t="s">
        <v>168</v>
      </c>
      <c r="B168" s="30">
        <v>10</v>
      </c>
      <c r="C168" s="30">
        <v>24</v>
      </c>
      <c r="D168" s="30" t="s">
        <v>169</v>
      </c>
      <c r="E168" s="30" t="s">
        <v>170</v>
      </c>
      <c r="F168" s="48">
        <v>46189</v>
      </c>
      <c r="G168" s="48">
        <v>46190</v>
      </c>
      <c r="H168" s="49">
        <v>0.66666666666666663</v>
      </c>
      <c r="I168" s="49">
        <v>0.58333333333333337</v>
      </c>
      <c r="J168" s="30" t="s">
        <v>53</v>
      </c>
      <c r="K168" s="30" t="s">
        <v>171</v>
      </c>
      <c r="L168" s="30">
        <v>1</v>
      </c>
      <c r="M168" s="30" t="s">
        <v>706</v>
      </c>
      <c r="P168" s="30" t="s">
        <v>174</v>
      </c>
      <c r="Q168" s="30" t="s">
        <v>84</v>
      </c>
      <c r="R168" s="30" t="s">
        <v>939</v>
      </c>
      <c r="S168" s="30" t="s">
        <v>391</v>
      </c>
      <c r="T168" s="30">
        <v>6504302340</v>
      </c>
      <c r="U168" s="30" t="s">
        <v>707</v>
      </c>
      <c r="V168" s="30">
        <v>784553</v>
      </c>
      <c r="Y168" t="s">
        <v>179</v>
      </c>
      <c r="Z168" s="30" t="s">
        <v>180</v>
      </c>
      <c r="AA168" s="30" t="s">
        <v>181</v>
      </c>
      <c r="AB168" s="30" t="s">
        <v>55</v>
      </c>
      <c r="AC168" s="30" t="s">
        <v>92</v>
      </c>
      <c r="AD168" s="30" t="s">
        <v>708</v>
      </c>
      <c r="AE168" s="30">
        <v>20609163632</v>
      </c>
      <c r="AF168" s="30" t="s">
        <v>709</v>
      </c>
      <c r="AG168" s="30" t="s">
        <v>710</v>
      </c>
      <c r="AH168" s="30" t="s">
        <v>661</v>
      </c>
      <c r="AI168" s="30" t="s">
        <v>711</v>
      </c>
      <c r="AJ168" s="30" t="s">
        <v>712</v>
      </c>
      <c r="AL168" s="30" t="s">
        <v>483</v>
      </c>
      <c r="AM168" t="s">
        <v>270</v>
      </c>
      <c r="AN168" s="30" t="s">
        <v>270</v>
      </c>
      <c r="AO168" s="30" t="s">
        <v>483</v>
      </c>
      <c r="AP168" s="30" t="s">
        <v>483</v>
      </c>
      <c r="AQ168" s="30" t="s">
        <v>483</v>
      </c>
      <c r="AR168" s="30" t="s">
        <v>483</v>
      </c>
      <c r="AS168" s="30" t="s">
        <v>84</v>
      </c>
      <c r="AT168" s="30" t="s">
        <v>64</v>
      </c>
      <c r="AU168" s="50">
        <v>46189.541666666664</v>
      </c>
      <c r="AV168" s="50">
        <v>46189.577777777777</v>
      </c>
      <c r="AW168" s="50">
        <v>46189.613194444442</v>
      </c>
      <c r="AX168" s="50">
        <v>46189.912499999999</v>
      </c>
      <c r="AY168" s="50">
        <v>46189.95416666667</v>
      </c>
      <c r="AZ168" s="50">
        <v>46190.031944444447</v>
      </c>
      <c r="BA168" s="51">
        <v>46190.421527777777</v>
      </c>
      <c r="BB168" s="51">
        <v>46191.069444444445</v>
      </c>
      <c r="BC168" s="50">
        <v>46190.445833333331</v>
      </c>
      <c r="BD168" s="50">
        <v>46190.459027777775</v>
      </c>
      <c r="BE168" s="51">
        <v>46190.487500000003</v>
      </c>
      <c r="BF168" s="51">
        <v>46190.632638888892</v>
      </c>
      <c r="BG168" s="51">
        <v>46190.65</v>
      </c>
      <c r="BH168" s="51">
        <v>46190.691666666666</v>
      </c>
      <c r="BI168" s="30" t="s">
        <v>240</v>
      </c>
      <c r="BJ168" s="50">
        <v>46191.291666666664</v>
      </c>
      <c r="BK168" s="50">
        <v>46191.061805555553</v>
      </c>
      <c r="BL168" s="50">
        <v>46191.06527777778</v>
      </c>
      <c r="BM168" s="50">
        <v>46191.077777777777</v>
      </c>
      <c r="BN168" s="50">
        <v>46191.09097222222</v>
      </c>
      <c r="BR168"/>
      <c r="BS168"/>
      <c r="BT168"/>
      <c r="BU168"/>
      <c r="BV168"/>
      <c r="BW168"/>
      <c r="BX168"/>
      <c r="BY168"/>
    </row>
    <row r="169" spans="1:77">
      <c r="A169" t="s">
        <v>168</v>
      </c>
      <c r="B169" s="30">
        <v>11</v>
      </c>
      <c r="C169" s="30">
        <v>24</v>
      </c>
      <c r="D169" s="30" t="s">
        <v>169</v>
      </c>
      <c r="E169" s="30" t="s">
        <v>170</v>
      </c>
      <c r="F169" s="48">
        <v>46189</v>
      </c>
      <c r="G169" s="48">
        <v>46190</v>
      </c>
      <c r="H169" s="49">
        <v>0.66666666666666663</v>
      </c>
      <c r="I169" s="49">
        <v>0.58333333333333337</v>
      </c>
      <c r="J169" s="30" t="s">
        <v>53</v>
      </c>
      <c r="K169" s="30" t="s">
        <v>171</v>
      </c>
      <c r="L169" s="30">
        <v>1</v>
      </c>
      <c r="M169" s="30" t="s">
        <v>713</v>
      </c>
      <c r="P169" s="30" t="s">
        <v>174</v>
      </c>
      <c r="Q169" s="30" t="s">
        <v>84</v>
      </c>
      <c r="R169" s="30" t="s">
        <v>939</v>
      </c>
      <c r="S169" s="30" t="s">
        <v>391</v>
      </c>
      <c r="T169" s="30">
        <v>6504302490</v>
      </c>
      <c r="U169" s="30" t="s">
        <v>714</v>
      </c>
      <c r="W169" s="30">
        <v>29215386</v>
      </c>
      <c r="Y169" t="s">
        <v>179</v>
      </c>
      <c r="Z169" s="30" t="s">
        <v>180</v>
      </c>
      <c r="AA169" s="30" t="s">
        <v>181</v>
      </c>
      <c r="AB169" s="30" t="s">
        <v>55</v>
      </c>
      <c r="AC169" s="30" t="s">
        <v>56</v>
      </c>
      <c r="AD169" s="30" t="s">
        <v>78</v>
      </c>
      <c r="AE169" s="30">
        <v>20513040718</v>
      </c>
      <c r="AF169" s="30" t="s">
        <v>715</v>
      </c>
      <c r="AG169" s="30" t="s">
        <v>716</v>
      </c>
      <c r="AH169" s="30" t="s">
        <v>661</v>
      </c>
      <c r="AI169" s="30" t="s">
        <v>717</v>
      </c>
      <c r="AJ169" s="30" t="s">
        <v>718</v>
      </c>
      <c r="AL169" s="30" t="s">
        <v>483</v>
      </c>
      <c r="AM169" t="s">
        <v>270</v>
      </c>
      <c r="AN169" s="30" t="s">
        <v>270</v>
      </c>
      <c r="AO169" s="30" t="s">
        <v>483</v>
      </c>
      <c r="AP169" s="30" t="s">
        <v>483</v>
      </c>
      <c r="AQ169" s="30" t="s">
        <v>483</v>
      </c>
      <c r="AR169" s="30" t="s">
        <v>483</v>
      </c>
      <c r="AS169" s="30" t="s">
        <v>84</v>
      </c>
      <c r="AT169" s="30" t="s">
        <v>64</v>
      </c>
      <c r="AU169" s="50">
        <v>46188.541666666664</v>
      </c>
      <c r="AV169" s="50">
        <v>46189.456250000003</v>
      </c>
      <c r="AW169" s="50">
        <v>46189.566666666666</v>
      </c>
      <c r="AX169" s="50">
        <v>46189.902083333334</v>
      </c>
      <c r="AY169" s="50">
        <v>46189.943749999999</v>
      </c>
      <c r="AZ169" s="50">
        <v>46190.025694444441</v>
      </c>
      <c r="BA169" s="51">
        <v>46190.493750000001</v>
      </c>
      <c r="BB169" s="51">
        <v>46191.541666666664</v>
      </c>
      <c r="BC169" s="50">
        <v>46190.522916666669</v>
      </c>
      <c r="BD169" s="50">
        <v>46190.529861111114</v>
      </c>
      <c r="BE169" s="51">
        <v>46190.564583333333</v>
      </c>
      <c r="BF169" s="51">
        <v>46190.781944444447</v>
      </c>
      <c r="BG169" s="51">
        <v>46190.795138888891</v>
      </c>
      <c r="BH169" s="51">
        <v>46190.836805555555</v>
      </c>
      <c r="BI169" s="30" t="s">
        <v>240</v>
      </c>
      <c r="BJ169" s="50">
        <v>46191.541666666664</v>
      </c>
      <c r="BK169" s="50">
        <v>46191.493055555555</v>
      </c>
      <c r="BL169" s="50">
        <v>46191.49722222222</v>
      </c>
      <c r="BM169" s="50">
        <v>46191.522222222222</v>
      </c>
      <c r="BN169" s="50">
        <v>46191.537499999999</v>
      </c>
      <c r="BR169"/>
      <c r="BS169"/>
      <c r="BT169"/>
      <c r="BU169"/>
      <c r="BV169"/>
      <c r="BW169"/>
      <c r="BX169"/>
      <c r="BY169"/>
    </row>
    <row r="170" spans="1:77">
      <c r="A170" t="s">
        <v>168</v>
      </c>
      <c r="B170" s="30">
        <v>7</v>
      </c>
      <c r="C170" s="30">
        <v>24</v>
      </c>
      <c r="D170" s="30" t="s">
        <v>169</v>
      </c>
      <c r="E170" s="30" t="s">
        <v>170</v>
      </c>
      <c r="F170" s="48">
        <v>46188</v>
      </c>
      <c r="G170" s="48">
        <v>46189</v>
      </c>
      <c r="H170" s="49">
        <v>0.66666666666666663</v>
      </c>
      <c r="I170" s="49">
        <v>0.58333333333333337</v>
      </c>
      <c r="J170" s="30" t="s">
        <v>53</v>
      </c>
      <c r="K170" s="30" t="s">
        <v>171</v>
      </c>
      <c r="L170" s="30">
        <v>1</v>
      </c>
      <c r="M170" s="30" t="s">
        <v>688</v>
      </c>
      <c r="P170" s="30" t="s">
        <v>174</v>
      </c>
      <c r="Q170" s="30" t="s">
        <v>83</v>
      </c>
      <c r="R170" s="30" t="s">
        <v>939</v>
      </c>
      <c r="S170" s="30" t="s">
        <v>391</v>
      </c>
      <c r="T170" s="30">
        <v>6504759580</v>
      </c>
      <c r="U170" s="30" t="s">
        <v>689</v>
      </c>
      <c r="V170" s="30">
        <v>22576</v>
      </c>
      <c r="W170" s="30">
        <v>33001549</v>
      </c>
      <c r="Y170" t="s">
        <v>179</v>
      </c>
      <c r="Z170" s="30" t="s">
        <v>180</v>
      </c>
      <c r="AA170" s="30" t="s">
        <v>181</v>
      </c>
      <c r="AB170" s="30" t="s">
        <v>55</v>
      </c>
      <c r="AC170" s="30" t="s">
        <v>56</v>
      </c>
      <c r="AD170" s="30" t="s">
        <v>78</v>
      </c>
      <c r="AE170" s="30">
        <v>20513040718</v>
      </c>
      <c r="AF170" s="30" t="s">
        <v>690</v>
      </c>
      <c r="AG170" s="30" t="s">
        <v>691</v>
      </c>
      <c r="AH170" s="30" t="s">
        <v>661</v>
      </c>
      <c r="AI170" s="30" t="s">
        <v>692</v>
      </c>
      <c r="AJ170" s="30" t="s">
        <v>693</v>
      </c>
      <c r="AL170" s="30" t="s">
        <v>483</v>
      </c>
      <c r="AM170" t="s">
        <v>270</v>
      </c>
      <c r="AN170" s="30" t="s">
        <v>270</v>
      </c>
      <c r="AO170" s="30" t="s">
        <v>483</v>
      </c>
      <c r="AP170" s="30" t="s">
        <v>483</v>
      </c>
      <c r="AQ170" s="30" t="s">
        <v>483</v>
      </c>
      <c r="AR170" s="30" t="s">
        <v>483</v>
      </c>
      <c r="AS170" s="30" t="s">
        <v>83</v>
      </c>
      <c r="AT170" s="30" t="s">
        <v>240</v>
      </c>
      <c r="AU170" s="50">
        <v>46188.541666666664</v>
      </c>
      <c r="AV170" s="50">
        <v>46188.549305555556</v>
      </c>
      <c r="AW170" s="50">
        <v>46188.552083333336</v>
      </c>
      <c r="AX170" s="50">
        <v>46188.604166666664</v>
      </c>
      <c r="AY170" s="50">
        <v>46188.618750000001</v>
      </c>
      <c r="AZ170" s="50">
        <v>46188.958333333336</v>
      </c>
      <c r="BA170" s="51">
        <v>46189.583333333336</v>
      </c>
      <c r="BB170" s="51">
        <v>46190.416666666664</v>
      </c>
      <c r="BC170" s="50">
        <v>46189.486111111109</v>
      </c>
      <c r="BD170" s="50">
        <v>46189.494444444441</v>
      </c>
      <c r="BE170" s="51">
        <v>46189.527777777781</v>
      </c>
      <c r="BF170" s="51">
        <v>46189.690972222219</v>
      </c>
      <c r="BG170" s="51">
        <v>46189.708333333336</v>
      </c>
      <c r="BH170" s="51">
        <v>46189.759027777778</v>
      </c>
      <c r="BI170" s="30" t="s">
        <v>240</v>
      </c>
      <c r="BJ170" s="50">
        <v>46190.208333333336</v>
      </c>
      <c r="BK170" s="50">
        <v>46190.400694444441</v>
      </c>
      <c r="BL170" s="50">
        <v>46190.538888888892</v>
      </c>
      <c r="BM170" s="50">
        <v>46190.558333333334</v>
      </c>
      <c r="BN170" s="50">
        <v>46190.570833333331</v>
      </c>
      <c r="BR170"/>
      <c r="BS170"/>
      <c r="BT170"/>
      <c r="BU170"/>
      <c r="BV170"/>
      <c r="BW170"/>
      <c r="BX170"/>
      <c r="BY170"/>
    </row>
    <row r="171" spans="1:77">
      <c r="A171" t="s">
        <v>168</v>
      </c>
      <c r="B171" s="30">
        <v>12</v>
      </c>
      <c r="C171" s="30">
        <v>25</v>
      </c>
      <c r="D171" s="30" t="s">
        <v>169</v>
      </c>
      <c r="E171" s="30" t="s">
        <v>170</v>
      </c>
      <c r="F171" s="48">
        <v>46192</v>
      </c>
      <c r="G171" s="48">
        <v>46193</v>
      </c>
      <c r="H171" s="49">
        <v>0.6875</v>
      </c>
      <c r="I171" s="49">
        <v>0.60416666666666663</v>
      </c>
      <c r="J171" s="30" t="s">
        <v>53</v>
      </c>
      <c r="K171" s="30" t="s">
        <v>171</v>
      </c>
      <c r="L171" s="30">
        <v>1</v>
      </c>
      <c r="M171" s="30" t="s">
        <v>719</v>
      </c>
      <c r="P171" s="30" t="s">
        <v>174</v>
      </c>
      <c r="Q171" s="30" t="s">
        <v>84</v>
      </c>
      <c r="R171" s="30" t="s">
        <v>1825</v>
      </c>
      <c r="S171" s="30" t="s">
        <v>1880</v>
      </c>
      <c r="T171" s="30" t="s">
        <v>720</v>
      </c>
      <c r="U171" s="30" t="s">
        <v>721</v>
      </c>
      <c r="V171" s="30">
        <v>786000</v>
      </c>
      <c r="Y171" t="s">
        <v>179</v>
      </c>
      <c r="Z171" s="30" t="s">
        <v>180</v>
      </c>
      <c r="AA171" s="30" t="s">
        <v>181</v>
      </c>
      <c r="AB171" s="30" t="s">
        <v>55</v>
      </c>
      <c r="AC171" s="30" t="s">
        <v>56</v>
      </c>
      <c r="AD171" s="30" t="s">
        <v>78</v>
      </c>
      <c r="AE171" s="30">
        <v>20513040718</v>
      </c>
      <c r="AF171" s="30" t="s">
        <v>722</v>
      </c>
      <c r="AG171" s="30" t="s">
        <v>723</v>
      </c>
      <c r="AH171" s="30" t="s">
        <v>661</v>
      </c>
      <c r="AI171" s="30" t="s">
        <v>724</v>
      </c>
      <c r="AJ171" s="30" t="s">
        <v>725</v>
      </c>
      <c r="AL171" s="30" t="s">
        <v>483</v>
      </c>
      <c r="AM171" t="s">
        <v>270</v>
      </c>
      <c r="AN171" s="30" t="s">
        <v>270</v>
      </c>
      <c r="AO171" s="30" t="s">
        <v>483</v>
      </c>
      <c r="AP171" s="30" t="s">
        <v>483</v>
      </c>
      <c r="AQ171" s="30" t="s">
        <v>483</v>
      </c>
      <c r="AR171" s="30" t="s">
        <v>483</v>
      </c>
      <c r="AS171" s="30" t="s">
        <v>84</v>
      </c>
      <c r="AT171" s="30" t="s">
        <v>64</v>
      </c>
      <c r="AU171" s="50">
        <v>46192.708333333336</v>
      </c>
      <c r="AV171" s="50">
        <v>46192.743750000001</v>
      </c>
      <c r="AW171" s="50">
        <v>46192.762499999997</v>
      </c>
      <c r="AX171" s="50">
        <v>46192.868055555555</v>
      </c>
      <c r="AY171" s="50">
        <v>46192.872916666667</v>
      </c>
      <c r="AZ171" s="50">
        <v>46192.875</v>
      </c>
      <c r="BA171" s="51">
        <v>46193.597222222219</v>
      </c>
      <c r="BB171" s="51">
        <v>46193.75</v>
      </c>
      <c r="BC171" s="50">
        <v>46193.611111111109</v>
      </c>
      <c r="BD171" s="50">
        <v>46193.616666666669</v>
      </c>
      <c r="BE171" s="51">
        <v>46193.625</v>
      </c>
      <c r="BF171" s="51">
        <v>46193.773611111108</v>
      </c>
      <c r="BG171" s="51">
        <v>46193.791666666664</v>
      </c>
      <c r="BH171" s="51">
        <v>46193.8</v>
      </c>
      <c r="BI171" s="30" t="s">
        <v>64</v>
      </c>
      <c r="BJ171" s="50">
        <v>46194.708333333336</v>
      </c>
      <c r="BK171" s="50">
        <v>46194.743750000001</v>
      </c>
      <c r="BL171" s="50">
        <v>46194.762499999997</v>
      </c>
      <c r="BM171" s="50">
        <v>46194.872916666667</v>
      </c>
      <c r="BN171" s="50">
        <v>46194.872916666667</v>
      </c>
      <c r="BR171"/>
      <c r="BS171"/>
      <c r="BT171"/>
      <c r="BU171"/>
      <c r="BV171"/>
      <c r="BW171"/>
      <c r="BX171"/>
      <c r="BY171"/>
    </row>
    <row r="172" spans="1:77">
      <c r="A172" t="s">
        <v>168</v>
      </c>
      <c r="B172" s="30">
        <v>13</v>
      </c>
      <c r="C172" s="30">
        <v>25</v>
      </c>
      <c r="D172" s="30" t="s">
        <v>169</v>
      </c>
      <c r="E172" s="30" t="s">
        <v>170</v>
      </c>
      <c r="F172" s="48">
        <v>46194</v>
      </c>
      <c r="G172" s="48">
        <v>46195</v>
      </c>
      <c r="H172" s="49">
        <v>0.72916666666666663</v>
      </c>
      <c r="I172" s="49">
        <v>0.64583333333333337</v>
      </c>
      <c r="J172" s="30" t="s">
        <v>53</v>
      </c>
      <c r="K172" s="30" t="s">
        <v>171</v>
      </c>
      <c r="L172" s="30">
        <v>1</v>
      </c>
      <c r="M172" s="30" t="s">
        <v>726</v>
      </c>
      <c r="P172" s="30" t="s">
        <v>174</v>
      </c>
      <c r="Q172" s="30" t="s">
        <v>84</v>
      </c>
      <c r="R172" s="30" t="s">
        <v>1825</v>
      </c>
      <c r="S172" s="30" t="s">
        <v>1823</v>
      </c>
      <c r="T172" s="30">
        <v>751600033678</v>
      </c>
      <c r="U172" s="30" t="s">
        <v>727</v>
      </c>
      <c r="V172" s="30">
        <v>3310096</v>
      </c>
      <c r="Y172" t="s">
        <v>179</v>
      </c>
      <c r="Z172" s="30" t="s">
        <v>180</v>
      </c>
      <c r="AA172" s="30" t="s">
        <v>181</v>
      </c>
      <c r="AB172" s="30" t="s">
        <v>55</v>
      </c>
      <c r="AC172" s="30" t="s">
        <v>92</v>
      </c>
      <c r="AD172" s="30" t="s">
        <v>728</v>
      </c>
      <c r="AE172" s="30">
        <v>20102178140</v>
      </c>
      <c r="AF172" s="30" t="s">
        <v>729</v>
      </c>
      <c r="AG172" s="30" t="s">
        <v>730</v>
      </c>
      <c r="AH172" s="30" t="s">
        <v>661</v>
      </c>
      <c r="AI172" s="30" t="s">
        <v>731</v>
      </c>
      <c r="AJ172" s="30" t="s">
        <v>732</v>
      </c>
      <c r="AL172" s="30" t="s">
        <v>483</v>
      </c>
      <c r="AM172" t="s">
        <v>270</v>
      </c>
      <c r="AN172" s="30" t="s">
        <v>270</v>
      </c>
      <c r="AO172" s="30" t="s">
        <v>483</v>
      </c>
      <c r="AP172" s="30" t="s">
        <v>483</v>
      </c>
      <c r="AQ172" s="30" t="s">
        <v>483</v>
      </c>
      <c r="AR172" s="30" t="s">
        <v>483</v>
      </c>
      <c r="AS172" s="30" t="s">
        <v>84</v>
      </c>
      <c r="AT172" s="30" t="s">
        <v>669</v>
      </c>
      <c r="AU172" s="50">
        <v>46193.916666666664</v>
      </c>
      <c r="AV172" s="50">
        <v>46193.955555555556</v>
      </c>
      <c r="AW172" s="50">
        <v>46193.981249999997</v>
      </c>
      <c r="AX172" s="50">
        <v>46193.958333333336</v>
      </c>
      <c r="AY172" s="50">
        <v>46194.022916666669</v>
      </c>
      <c r="AZ172" s="50">
        <v>46194.041666666664</v>
      </c>
      <c r="BA172" s="51">
        <v>46195.503472222219</v>
      </c>
      <c r="BB172" s="51">
        <v>46196.402777777781</v>
      </c>
      <c r="BC172" s="50">
        <v>46195.510416666664</v>
      </c>
      <c r="BD172" s="50">
        <v>46195.515277777777</v>
      </c>
      <c r="BE172" s="51">
        <v>46195.520833333336</v>
      </c>
      <c r="BF172" s="51">
        <v>46198.432638888888</v>
      </c>
      <c r="BG172" s="51">
        <v>46198.453472222223</v>
      </c>
      <c r="BH172" s="51">
        <v>46195.717361111114</v>
      </c>
      <c r="BI172" s="30" t="s">
        <v>64</v>
      </c>
      <c r="BJ172" s="50">
        <v>46196.375</v>
      </c>
      <c r="BK172" s="50">
        <v>46196.386111111111</v>
      </c>
      <c r="BL172" s="50">
        <v>46196.486805555556</v>
      </c>
      <c r="BM172" s="50">
        <v>46196.496527777781</v>
      </c>
      <c r="BN172" s="50">
        <v>46196.49722222222</v>
      </c>
      <c r="BR172"/>
      <c r="BS172"/>
      <c r="BT172"/>
      <c r="BU172"/>
      <c r="BV172"/>
      <c r="BW172"/>
      <c r="BX172"/>
      <c r="BY172"/>
    </row>
    <row r="173" spans="1:77">
      <c r="A173" t="s">
        <v>168</v>
      </c>
      <c r="B173" s="30">
        <v>14</v>
      </c>
      <c r="C173" s="30">
        <v>25</v>
      </c>
      <c r="D173" s="30" t="s">
        <v>169</v>
      </c>
      <c r="E173" s="30" t="s">
        <v>170</v>
      </c>
      <c r="F173" s="48">
        <v>46193</v>
      </c>
      <c r="G173" s="48">
        <v>46195</v>
      </c>
      <c r="H173" s="49">
        <v>0.6875</v>
      </c>
      <c r="I173" s="49">
        <v>0.60416666666666663</v>
      </c>
      <c r="J173" s="30" t="s">
        <v>53</v>
      </c>
      <c r="K173" s="30" t="s">
        <v>171</v>
      </c>
      <c r="L173" s="30">
        <v>1</v>
      </c>
      <c r="M173" s="30" t="s">
        <v>733</v>
      </c>
      <c r="P173" s="30" t="s">
        <v>174</v>
      </c>
      <c r="Q173" s="30" t="s">
        <v>84</v>
      </c>
      <c r="R173" s="30" t="s">
        <v>1825</v>
      </c>
      <c r="S173" s="30" t="s">
        <v>1880</v>
      </c>
      <c r="T173" s="30" t="s">
        <v>734</v>
      </c>
      <c r="U173" s="30" t="s">
        <v>735</v>
      </c>
      <c r="Y173" t="s">
        <v>179</v>
      </c>
      <c r="Z173" s="30" t="s">
        <v>180</v>
      </c>
      <c r="AA173" s="30" t="s">
        <v>181</v>
      </c>
      <c r="AB173" s="30" t="s">
        <v>55</v>
      </c>
      <c r="AC173" s="30" t="s">
        <v>92</v>
      </c>
      <c r="AD173" s="30" t="s">
        <v>78</v>
      </c>
      <c r="AE173" s="30">
        <v>20513040718</v>
      </c>
      <c r="AF173" s="30" t="s">
        <v>736</v>
      </c>
      <c r="AG173" s="30" t="s">
        <v>737</v>
      </c>
      <c r="AH173" s="30" t="s">
        <v>661</v>
      </c>
      <c r="AI173" s="30" t="s">
        <v>738</v>
      </c>
      <c r="AJ173" s="30" t="s">
        <v>739</v>
      </c>
      <c r="AL173" s="30" t="s">
        <v>483</v>
      </c>
      <c r="AM173" t="s">
        <v>270</v>
      </c>
      <c r="AN173" s="30" t="s">
        <v>270</v>
      </c>
      <c r="AO173" s="30" t="s">
        <v>483</v>
      </c>
      <c r="AP173" s="30" t="s">
        <v>483</v>
      </c>
      <c r="AQ173" s="30" t="s">
        <v>483</v>
      </c>
      <c r="AR173" s="30" t="s">
        <v>483</v>
      </c>
      <c r="AS173" s="30" t="s">
        <v>84</v>
      </c>
      <c r="AT173" s="30" t="s">
        <v>253</v>
      </c>
      <c r="AU173" s="50">
        <v>46194.5</v>
      </c>
      <c r="AV173" s="50">
        <v>46194.529861111114</v>
      </c>
      <c r="AW173" s="50">
        <v>46194.541666666664</v>
      </c>
      <c r="AX173" s="50">
        <v>46194.569444444445</v>
      </c>
      <c r="AY173" s="50">
        <v>46194.568749999999</v>
      </c>
      <c r="AZ173" s="50">
        <v>46194.75</v>
      </c>
      <c r="BA173" s="51">
        <v>46195.484027777777</v>
      </c>
      <c r="BB173" s="51">
        <v>46212.166666666664</v>
      </c>
      <c r="BC173" s="50">
        <v>46195.489583333336</v>
      </c>
      <c r="BD173" s="50">
        <v>46195.496527777781</v>
      </c>
      <c r="BE173" s="51">
        <v>46195.5</v>
      </c>
      <c r="BF173" s="51">
        <v>46195.665277777778</v>
      </c>
      <c r="BG173" s="51">
        <v>46195.680555555555</v>
      </c>
      <c r="BH173" s="51">
        <v>46195.691666666666</v>
      </c>
      <c r="BI173" s="30" t="s">
        <v>64</v>
      </c>
      <c r="BJ173" s="50">
        <v>46196.083333333336</v>
      </c>
      <c r="BK173" s="50">
        <v>46196.127083333333</v>
      </c>
      <c r="BL173" s="50">
        <v>46196.166666666664</v>
      </c>
      <c r="BM173" s="50">
        <v>46196.172222222223</v>
      </c>
      <c r="BN173" s="50">
        <v>46196.177777777775</v>
      </c>
      <c r="BR173"/>
      <c r="BS173"/>
      <c r="BT173"/>
      <c r="BU173"/>
      <c r="BV173"/>
      <c r="BW173"/>
      <c r="BX173"/>
      <c r="BY173"/>
    </row>
    <row r="174" spans="1:77">
      <c r="A174" t="s">
        <v>168</v>
      </c>
      <c r="B174" s="30">
        <v>15</v>
      </c>
      <c r="C174" s="30">
        <v>25</v>
      </c>
      <c r="D174" s="30" t="s">
        <v>169</v>
      </c>
      <c r="E174" s="30" t="s">
        <v>170</v>
      </c>
      <c r="F174" s="48">
        <v>46194</v>
      </c>
      <c r="G174" s="48">
        <v>46195</v>
      </c>
      <c r="H174" s="49">
        <v>0.5625</v>
      </c>
      <c r="I174" s="49">
        <v>0.47916666666666669</v>
      </c>
      <c r="J174" s="30" t="s">
        <v>53</v>
      </c>
      <c r="K174" s="30" t="s">
        <v>171</v>
      </c>
      <c r="L174" s="30">
        <v>1</v>
      </c>
      <c r="M174" s="30" t="s">
        <v>740</v>
      </c>
      <c r="P174" s="30" t="s">
        <v>174</v>
      </c>
      <c r="Q174" s="30" t="s">
        <v>84</v>
      </c>
      <c r="R174" s="30" t="s">
        <v>1822</v>
      </c>
      <c r="S174" s="30" t="s">
        <v>1880</v>
      </c>
      <c r="T174" s="30" t="s">
        <v>741</v>
      </c>
      <c r="U174" s="30" t="s">
        <v>742</v>
      </c>
      <c r="V174" s="30">
        <v>786406</v>
      </c>
      <c r="W174" s="30" t="s">
        <v>1881</v>
      </c>
      <c r="Y174" t="s">
        <v>179</v>
      </c>
      <c r="Z174" s="30" t="s">
        <v>180</v>
      </c>
      <c r="AA174" s="30" t="s">
        <v>181</v>
      </c>
      <c r="AB174" s="30" t="s">
        <v>55</v>
      </c>
      <c r="AC174" s="30" t="s">
        <v>92</v>
      </c>
      <c r="AD174" s="30" t="s">
        <v>78</v>
      </c>
      <c r="AE174" s="30">
        <v>20513040718</v>
      </c>
      <c r="AF174" s="30" t="s">
        <v>743</v>
      </c>
      <c r="AG174" s="30" t="s">
        <v>744</v>
      </c>
      <c r="AH174" s="30" t="s">
        <v>661</v>
      </c>
      <c r="AI174" s="30" t="s">
        <v>745</v>
      </c>
      <c r="AJ174" s="30" t="s">
        <v>746</v>
      </c>
      <c r="AL174" s="30" t="s">
        <v>483</v>
      </c>
      <c r="AM174" t="s">
        <v>270</v>
      </c>
      <c r="AN174" s="30" t="s">
        <v>270</v>
      </c>
      <c r="AO174" s="30" t="s">
        <v>483</v>
      </c>
      <c r="AP174" s="30" t="s">
        <v>483</v>
      </c>
      <c r="AQ174" s="30" t="s">
        <v>483</v>
      </c>
      <c r="AR174" s="30" t="s">
        <v>483</v>
      </c>
      <c r="AS174" s="30" t="s">
        <v>84</v>
      </c>
      <c r="AT174" s="30" t="s">
        <v>253</v>
      </c>
      <c r="AU174" s="50">
        <v>46194.5</v>
      </c>
      <c r="AV174" s="50">
        <v>46194.564583333333</v>
      </c>
      <c r="AW174" s="50">
        <v>46194.569444444445</v>
      </c>
      <c r="AX174" s="50">
        <v>46194.638888888891</v>
      </c>
      <c r="AY174" s="50">
        <v>46194.647222222222</v>
      </c>
      <c r="AZ174" s="50">
        <v>46194.763888888891</v>
      </c>
      <c r="BA174" s="51">
        <v>46195.540972222225</v>
      </c>
      <c r="BB174" s="51">
        <v>46196.458333333336</v>
      </c>
      <c r="BC174" s="50">
        <v>46195.541666666664</v>
      </c>
      <c r="BD174" s="50">
        <v>46195.556944444441</v>
      </c>
      <c r="BE174" s="51">
        <v>46195.680555555555</v>
      </c>
      <c r="BF174" s="51">
        <v>46195.720138888886</v>
      </c>
      <c r="BG174" s="51">
        <v>46195.736111111109</v>
      </c>
      <c r="BH174" s="51">
        <v>46195.763194444444</v>
      </c>
      <c r="BI174" s="30" t="s">
        <v>64</v>
      </c>
      <c r="BJ174" s="50">
        <v>46196.416666666664</v>
      </c>
      <c r="BK174" s="50">
        <v>46196.493055555555</v>
      </c>
      <c r="BL174" s="50">
        <v>46196.5</v>
      </c>
      <c r="BM174" s="50">
        <v>46196.503472222219</v>
      </c>
      <c r="BN174" s="50">
        <v>46196.507638888892</v>
      </c>
      <c r="BR174"/>
      <c r="BS174"/>
      <c r="BT174"/>
      <c r="BU174"/>
      <c r="BV174"/>
      <c r="BW174"/>
      <c r="BX174"/>
      <c r="BY174"/>
    </row>
    <row r="175" spans="1:77">
      <c r="A175" t="s">
        <v>168</v>
      </c>
      <c r="B175" s="30">
        <v>16</v>
      </c>
      <c r="C175" s="30">
        <v>25</v>
      </c>
      <c r="D175" s="30" t="s">
        <v>169</v>
      </c>
      <c r="E175" s="30" t="s">
        <v>170</v>
      </c>
      <c r="F175" s="48">
        <v>46194</v>
      </c>
      <c r="G175" s="48">
        <v>46195</v>
      </c>
      <c r="H175" s="49">
        <v>0.6875</v>
      </c>
      <c r="I175" s="49">
        <v>0.60416666666666663</v>
      </c>
      <c r="J175" s="30" t="s">
        <v>53</v>
      </c>
      <c r="K175" s="30" t="s">
        <v>171</v>
      </c>
      <c r="L175" s="30">
        <v>1</v>
      </c>
      <c r="M175" s="30" t="s">
        <v>747</v>
      </c>
      <c r="P175" s="30" t="s">
        <v>174</v>
      </c>
      <c r="Q175" s="30" t="s">
        <v>83</v>
      </c>
      <c r="R175" s="30" t="s">
        <v>951</v>
      </c>
      <c r="S175" s="30" t="s">
        <v>391</v>
      </c>
      <c r="T175" s="30">
        <v>6504934840</v>
      </c>
      <c r="U175" s="30" t="s">
        <v>748</v>
      </c>
      <c r="V175" s="30">
        <v>22657</v>
      </c>
      <c r="W175" s="30">
        <v>33001632</v>
      </c>
      <c r="Y175" t="s">
        <v>179</v>
      </c>
      <c r="Z175" s="30" t="s">
        <v>180</v>
      </c>
      <c r="AA175" s="30" t="s">
        <v>181</v>
      </c>
      <c r="AB175" s="30" t="s">
        <v>55</v>
      </c>
      <c r="AC175" s="30" t="s">
        <v>56</v>
      </c>
      <c r="AD175" s="30" t="s">
        <v>78</v>
      </c>
      <c r="AE175" s="30">
        <v>20513040718</v>
      </c>
      <c r="AF175" s="30" t="s">
        <v>749</v>
      </c>
      <c r="AG175" s="30" t="s">
        <v>750</v>
      </c>
      <c r="AH175" s="30" t="s">
        <v>661</v>
      </c>
      <c r="AI175" s="30" t="s">
        <v>751</v>
      </c>
      <c r="AJ175" s="30" t="s">
        <v>752</v>
      </c>
      <c r="AL175" s="30" t="s">
        <v>483</v>
      </c>
      <c r="AM175" t="s">
        <v>270</v>
      </c>
      <c r="AN175" s="30" t="s">
        <v>270</v>
      </c>
      <c r="AO175" s="30" t="s">
        <v>483</v>
      </c>
      <c r="AP175" s="30" t="s">
        <v>483</v>
      </c>
      <c r="AQ175" s="30" t="s">
        <v>483</v>
      </c>
      <c r="AR175" s="30" t="s">
        <v>483</v>
      </c>
      <c r="AS175" s="30" t="s">
        <v>83</v>
      </c>
      <c r="AT175" s="30" t="s">
        <v>240</v>
      </c>
      <c r="AU175" s="50">
        <v>46194.625</v>
      </c>
      <c r="AV175" s="50">
        <v>46194.681944444441</v>
      </c>
      <c r="AW175" s="50">
        <v>46194.694444444445</v>
      </c>
      <c r="AX175" s="50">
        <v>46194.75</v>
      </c>
      <c r="AY175" s="50">
        <v>46194.775000000001</v>
      </c>
      <c r="AZ175" s="50">
        <v>46194.784722222219</v>
      </c>
      <c r="BA175" s="51">
        <v>46195.45416666667</v>
      </c>
      <c r="BB175" s="51">
        <v>46196.125</v>
      </c>
      <c r="BC175" s="50">
        <v>46195.5625</v>
      </c>
      <c r="BD175" s="50">
        <v>46195.564583333333</v>
      </c>
      <c r="BE175" s="51">
        <v>46195.569444444445</v>
      </c>
      <c r="BF175" s="51">
        <v>46195.64166666667</v>
      </c>
      <c r="BG175" s="51">
        <v>46195.659722222219</v>
      </c>
      <c r="BH175" s="51">
        <v>46195.690972222219</v>
      </c>
      <c r="BI175" s="30" t="s">
        <v>240</v>
      </c>
      <c r="BJ175" s="50">
        <v>46196.083333333336</v>
      </c>
      <c r="BK175" s="50">
        <v>46196.107638888891</v>
      </c>
      <c r="BL175" s="50">
        <v>46196.083333333336</v>
      </c>
      <c r="BM175" s="50">
        <v>46196.708333333336</v>
      </c>
      <c r="BN175" s="50">
        <v>46196.731944444444</v>
      </c>
      <c r="BR175"/>
      <c r="BS175"/>
      <c r="BT175"/>
      <c r="BU175"/>
      <c r="BV175"/>
      <c r="BW175"/>
      <c r="BX175"/>
      <c r="BY175"/>
    </row>
    <row r="176" spans="1:77">
      <c r="A176" t="s">
        <v>168</v>
      </c>
      <c r="B176" s="30">
        <v>17</v>
      </c>
      <c r="C176" s="30">
        <v>25</v>
      </c>
      <c r="D176" s="30" t="s">
        <v>169</v>
      </c>
      <c r="E176" s="30" t="s">
        <v>170</v>
      </c>
      <c r="F176" s="48">
        <v>374910</v>
      </c>
      <c r="G176" s="48">
        <v>46193</v>
      </c>
      <c r="H176" s="49">
        <v>0.72916666666666663</v>
      </c>
      <c r="I176" s="49">
        <v>0.64583333333333337</v>
      </c>
      <c r="J176" s="30" t="s">
        <v>53</v>
      </c>
      <c r="K176" s="30" t="s">
        <v>171</v>
      </c>
      <c r="L176" s="30">
        <v>1</v>
      </c>
      <c r="M176" s="30" t="s">
        <v>753</v>
      </c>
      <c r="P176" s="30" t="s">
        <v>174</v>
      </c>
      <c r="Q176" s="30" t="s">
        <v>84</v>
      </c>
      <c r="R176" s="30" t="s">
        <v>1825</v>
      </c>
      <c r="S176" s="30" t="s">
        <v>1880</v>
      </c>
      <c r="T176" s="30">
        <v>751600033652</v>
      </c>
      <c r="U176" s="30" t="s">
        <v>754</v>
      </c>
      <c r="V176" s="30">
        <v>3309660</v>
      </c>
      <c r="Y176" t="s">
        <v>179</v>
      </c>
      <c r="Z176" s="30" t="s">
        <v>180</v>
      </c>
      <c r="AA176" s="30" t="s">
        <v>181</v>
      </c>
      <c r="AB176" s="30" t="s">
        <v>55</v>
      </c>
      <c r="AC176" s="30" t="s">
        <v>56</v>
      </c>
      <c r="AD176" s="30" t="s">
        <v>78</v>
      </c>
      <c r="AE176" s="30">
        <v>20513040718</v>
      </c>
      <c r="AF176" s="30" t="s">
        <v>755</v>
      </c>
      <c r="AG176" s="30" t="s">
        <v>756</v>
      </c>
      <c r="AH176" s="30" t="s">
        <v>661</v>
      </c>
      <c r="AI176" s="30" t="s">
        <v>757</v>
      </c>
      <c r="AJ176" s="30" t="s">
        <v>758</v>
      </c>
      <c r="AL176" s="30" t="s">
        <v>483</v>
      </c>
      <c r="AM176" t="s">
        <v>270</v>
      </c>
      <c r="AN176" s="30" t="s">
        <v>270</v>
      </c>
      <c r="AO176" s="30" t="s">
        <v>483</v>
      </c>
      <c r="AP176" s="30" t="s">
        <v>483</v>
      </c>
      <c r="AQ176" s="30" t="s">
        <v>483</v>
      </c>
      <c r="AR176" s="30" t="s">
        <v>483</v>
      </c>
      <c r="AS176" s="30" t="s">
        <v>84</v>
      </c>
      <c r="AT176" s="30" t="s">
        <v>669</v>
      </c>
      <c r="AU176" s="50">
        <v>46192.583333333336</v>
      </c>
      <c r="AV176" s="50">
        <v>46192.601388888892</v>
      </c>
      <c r="AW176" s="50">
        <v>46192.625</v>
      </c>
      <c r="AX176" s="50">
        <v>46192.680555555555</v>
      </c>
      <c r="AY176" s="50">
        <v>46192.700694444444</v>
      </c>
      <c r="AZ176" s="50">
        <v>46192.722222222219</v>
      </c>
      <c r="BA176" s="51">
        <v>46193.541666666664</v>
      </c>
      <c r="BB176" s="51">
        <v>46194.4375</v>
      </c>
      <c r="BC176" s="50">
        <v>46193.555555555555</v>
      </c>
      <c r="BD176" s="50">
        <v>46193.55972222222</v>
      </c>
      <c r="BE176" s="51">
        <v>46193.569444444445</v>
      </c>
      <c r="BF176" s="51">
        <v>46193.756944444445</v>
      </c>
      <c r="BG176" s="51">
        <v>46193.777777777781</v>
      </c>
      <c r="BH176" s="51">
        <v>46193.793055555558</v>
      </c>
      <c r="BI176" s="30" t="s">
        <v>64</v>
      </c>
      <c r="BJ176" s="50">
        <v>46194.375</v>
      </c>
      <c r="BK176" s="50">
        <v>46194.416666666664</v>
      </c>
      <c r="BL176" s="50">
        <v>46194.488888888889</v>
      </c>
      <c r="BM176" s="50">
        <v>46194.5</v>
      </c>
      <c r="BN176" s="50">
        <v>46194.509027777778</v>
      </c>
      <c r="BR176"/>
      <c r="BS176"/>
      <c r="BT176"/>
      <c r="BU176"/>
      <c r="BV176"/>
      <c r="BW176"/>
      <c r="BX176"/>
      <c r="BY176"/>
    </row>
    <row r="177" spans="1:77">
      <c r="A177" t="s">
        <v>168</v>
      </c>
      <c r="B177" s="30">
        <v>18</v>
      </c>
      <c r="C177" s="30">
        <v>26</v>
      </c>
      <c r="D177" s="30" t="s">
        <v>169</v>
      </c>
      <c r="E177" s="30" t="s">
        <v>170</v>
      </c>
      <c r="F177" s="48">
        <v>46199</v>
      </c>
      <c r="G177" s="48">
        <v>46200</v>
      </c>
      <c r="H177" s="49">
        <v>0.64583333333333337</v>
      </c>
      <c r="I177" s="49">
        <v>0.5625</v>
      </c>
      <c r="J177" s="30" t="s">
        <v>53</v>
      </c>
      <c r="K177" s="30" t="s">
        <v>171</v>
      </c>
      <c r="L177" s="30">
        <v>1</v>
      </c>
      <c r="M177" s="30" t="s">
        <v>759</v>
      </c>
      <c r="P177" s="30" t="s">
        <v>174</v>
      </c>
      <c r="Q177" s="30" t="s">
        <v>84</v>
      </c>
      <c r="R177" s="30" t="s">
        <v>1825</v>
      </c>
      <c r="S177" s="30" t="s">
        <v>1880</v>
      </c>
      <c r="T177" s="30" t="s">
        <v>760</v>
      </c>
      <c r="U177" s="30" t="s">
        <v>761</v>
      </c>
      <c r="V177" s="30">
        <v>475821</v>
      </c>
      <c r="Y177" t="s">
        <v>179</v>
      </c>
      <c r="Z177" s="30" t="s">
        <v>180</v>
      </c>
      <c r="AA177" s="30" t="s">
        <v>181</v>
      </c>
      <c r="AB177" s="30" t="s">
        <v>55</v>
      </c>
      <c r="AC177" s="30" t="s">
        <v>92</v>
      </c>
      <c r="AD177" s="30" t="s">
        <v>762</v>
      </c>
      <c r="AE177" s="30">
        <v>20614404460</v>
      </c>
      <c r="AF177" s="30" t="s">
        <v>763</v>
      </c>
      <c r="AG177" s="30" t="s">
        <v>764</v>
      </c>
      <c r="AH177" s="30" t="s">
        <v>661</v>
      </c>
      <c r="AI177" s="30" t="s">
        <v>765</v>
      </c>
      <c r="AJ177" s="30" t="s">
        <v>766</v>
      </c>
      <c r="AL177" s="30" t="s">
        <v>483</v>
      </c>
      <c r="AM177" t="s">
        <v>270</v>
      </c>
      <c r="AN177" s="30" t="s">
        <v>270</v>
      </c>
      <c r="AO177" s="30" t="s">
        <v>483</v>
      </c>
      <c r="AP177" s="30" t="s">
        <v>483</v>
      </c>
      <c r="AQ177" s="30" t="s">
        <v>483</v>
      </c>
      <c r="AR177" s="30" t="s">
        <v>483</v>
      </c>
      <c r="AS177" s="30" t="s">
        <v>84</v>
      </c>
      <c r="AT177" s="30" t="s">
        <v>253</v>
      </c>
      <c r="AU177" s="50">
        <v>46199.625</v>
      </c>
      <c r="AV177" s="50">
        <v>46199.645833333336</v>
      </c>
      <c r="AW177" s="50">
        <v>46199.727083333331</v>
      </c>
      <c r="AX177" s="50">
        <v>46199.708333333336</v>
      </c>
      <c r="AY177" s="50">
        <v>46199.727083333331</v>
      </c>
      <c r="AZ177" s="50">
        <v>46199.796527777777</v>
      </c>
      <c r="BA177" s="51">
        <v>46200.458333333336</v>
      </c>
      <c r="BB177" s="51">
        <v>46199.652777777781</v>
      </c>
      <c r="BC177" s="50">
        <v>46200.479861111111</v>
      </c>
      <c r="BD177" s="50">
        <v>46200.481944444444</v>
      </c>
      <c r="BE177" s="51">
        <v>46200.458333333336</v>
      </c>
      <c r="BF177" s="51">
        <v>46200.731944444444</v>
      </c>
      <c r="BG177" s="51">
        <v>46200.75</v>
      </c>
      <c r="BH177" s="51">
        <v>46200.767361111109</v>
      </c>
      <c r="BI177" s="30" t="s">
        <v>253</v>
      </c>
      <c r="BJ177" s="50">
        <v>46199.625</v>
      </c>
      <c r="BK177" s="50">
        <v>46199.645833333336</v>
      </c>
      <c r="BL177" s="50">
        <v>46199.666666666664</v>
      </c>
      <c r="BM177" s="50">
        <v>46199.680555555555</v>
      </c>
      <c r="BN177" s="50">
        <v>46199.727083333331</v>
      </c>
      <c r="BR177"/>
      <c r="BS177"/>
      <c r="BT177"/>
      <c r="BU177"/>
      <c r="BV177"/>
      <c r="BW177"/>
      <c r="BX177"/>
      <c r="BY177"/>
    </row>
    <row r="178" spans="1:77">
      <c r="A178" t="s">
        <v>168</v>
      </c>
      <c r="B178" s="30">
        <v>19</v>
      </c>
      <c r="C178" s="30">
        <v>26</v>
      </c>
      <c r="D178" s="30" t="s">
        <v>169</v>
      </c>
      <c r="E178" s="30" t="s">
        <v>170</v>
      </c>
      <c r="F178" s="48">
        <v>46199</v>
      </c>
      <c r="G178" s="48">
        <v>46200</v>
      </c>
      <c r="H178" s="49">
        <v>0.6875</v>
      </c>
      <c r="I178" s="49">
        <v>0.60416666666666663</v>
      </c>
      <c r="J178" s="30" t="s">
        <v>53</v>
      </c>
      <c r="K178" s="30" t="s">
        <v>171</v>
      </c>
      <c r="L178" s="30">
        <v>1</v>
      </c>
      <c r="M178" s="30" t="s">
        <v>767</v>
      </c>
      <c r="P178" s="30" t="s">
        <v>174</v>
      </c>
      <c r="Q178" s="30" t="s">
        <v>83</v>
      </c>
      <c r="R178" s="30" t="s">
        <v>1825</v>
      </c>
      <c r="S178" s="30" t="s">
        <v>1880</v>
      </c>
      <c r="T178" s="30" t="s">
        <v>768</v>
      </c>
      <c r="U178" s="30" t="s">
        <v>769</v>
      </c>
      <c r="V178" s="30">
        <v>475775</v>
      </c>
      <c r="Y178" t="s">
        <v>179</v>
      </c>
      <c r="Z178" s="30" t="s">
        <v>180</v>
      </c>
      <c r="AA178" s="30" t="s">
        <v>181</v>
      </c>
      <c r="AB178" s="30" t="s">
        <v>55</v>
      </c>
      <c r="AC178" s="30" t="s">
        <v>56</v>
      </c>
      <c r="AD178" s="30" t="s">
        <v>78</v>
      </c>
      <c r="AE178" s="30">
        <v>20513040718</v>
      </c>
      <c r="AF178" s="30" t="s">
        <v>770</v>
      </c>
      <c r="AG178" s="30" t="s">
        <v>771</v>
      </c>
      <c r="AH178" s="30" t="s">
        <v>661</v>
      </c>
      <c r="AI178" s="30" t="s">
        <v>772</v>
      </c>
      <c r="AJ178" s="30" t="s">
        <v>773</v>
      </c>
      <c r="AL178" s="30" t="s">
        <v>483</v>
      </c>
      <c r="AM178" t="s">
        <v>270</v>
      </c>
      <c r="AN178" s="30" t="s">
        <v>270</v>
      </c>
      <c r="AO178" s="30" t="s">
        <v>483</v>
      </c>
      <c r="AP178" s="30" t="s">
        <v>483</v>
      </c>
      <c r="AQ178" s="30" t="s">
        <v>483</v>
      </c>
      <c r="AR178" s="30" t="s">
        <v>483</v>
      </c>
      <c r="AS178" s="30" t="s">
        <v>83</v>
      </c>
      <c r="AT178" s="30" t="s">
        <v>253</v>
      </c>
      <c r="AU178" s="50">
        <v>46199.541666666664</v>
      </c>
      <c r="AV178" s="50">
        <v>46199.556250000001</v>
      </c>
      <c r="AW178" s="50">
        <v>46199.633333333331</v>
      </c>
      <c r="AX178" s="50">
        <v>46199.625</v>
      </c>
      <c r="AY178" s="50">
        <v>46199.633333333331</v>
      </c>
      <c r="AZ178" s="50">
        <v>46199.833333333336</v>
      </c>
      <c r="BA178" s="51">
        <v>46200.375</v>
      </c>
      <c r="BB178" s="51">
        <v>46199.5625</v>
      </c>
      <c r="BC178" s="50">
        <v>46200.379166666666</v>
      </c>
      <c r="BD178" s="50">
        <v>46200.381944444445</v>
      </c>
      <c r="BE178" s="51">
        <v>46200.375</v>
      </c>
      <c r="BF178" s="51">
        <v>46200.729166666664</v>
      </c>
      <c r="BG178" s="51">
        <v>46200.75</v>
      </c>
      <c r="BH178" s="51">
        <v>46200.777083333334</v>
      </c>
      <c r="BI178" s="30" t="s">
        <v>253</v>
      </c>
      <c r="BJ178" s="50">
        <v>46199.541666666664</v>
      </c>
      <c r="BK178" s="50">
        <v>46199.556250000001</v>
      </c>
      <c r="BL178" s="50">
        <v>46199.597916666666</v>
      </c>
      <c r="BM178" s="50">
        <v>46199.574305555558</v>
      </c>
      <c r="BN178" s="50">
        <v>46199.633333333331</v>
      </c>
      <c r="BR178"/>
      <c r="BS178"/>
      <c r="BT178"/>
      <c r="BU178"/>
      <c r="BV178"/>
      <c r="BW178"/>
      <c r="BX178"/>
      <c r="BY178"/>
    </row>
    <row r="179" spans="1:77">
      <c r="A179" t="s">
        <v>168</v>
      </c>
      <c r="B179" s="30">
        <v>20</v>
      </c>
      <c r="C179" s="30">
        <v>26</v>
      </c>
      <c r="D179" s="30" t="s">
        <v>169</v>
      </c>
      <c r="E179" s="30" t="s">
        <v>170</v>
      </c>
      <c r="F179" s="48">
        <v>46199</v>
      </c>
      <c r="G179" s="48">
        <v>46200</v>
      </c>
      <c r="H179" s="49">
        <v>0.72916666666666663</v>
      </c>
      <c r="I179" s="49">
        <v>0.64583333333333337</v>
      </c>
      <c r="J179" s="30" t="s">
        <v>53</v>
      </c>
      <c r="K179" s="30" t="s">
        <v>171</v>
      </c>
      <c r="L179" s="30">
        <v>1</v>
      </c>
      <c r="M179" s="30" t="s">
        <v>774</v>
      </c>
      <c r="P179" s="30" t="s">
        <v>174</v>
      </c>
      <c r="Q179" s="30" t="s">
        <v>83</v>
      </c>
      <c r="R179" s="30" t="s">
        <v>1825</v>
      </c>
      <c r="S179" s="30" t="s">
        <v>1823</v>
      </c>
      <c r="T179" s="30">
        <v>751600035743</v>
      </c>
      <c r="U179" s="30" t="s">
        <v>775</v>
      </c>
      <c r="V179" s="30">
        <v>788134</v>
      </c>
      <c r="Y179" t="s">
        <v>179</v>
      </c>
      <c r="Z179" s="30" t="s">
        <v>180</v>
      </c>
      <c r="AA179" s="30" t="s">
        <v>181</v>
      </c>
      <c r="AB179" s="30" t="s">
        <v>55</v>
      </c>
      <c r="AC179" s="30" t="s">
        <v>92</v>
      </c>
      <c r="AD179" s="30" t="s">
        <v>776</v>
      </c>
      <c r="AE179" s="30">
        <v>20544360842</v>
      </c>
      <c r="AF179" s="30" t="s">
        <v>777</v>
      </c>
      <c r="AG179" s="30" t="s">
        <v>778</v>
      </c>
      <c r="AH179" s="30" t="s">
        <v>661</v>
      </c>
      <c r="AI179" s="30" t="s">
        <v>779</v>
      </c>
      <c r="AJ179" s="30" t="s">
        <v>780</v>
      </c>
      <c r="AL179" s="30" t="s">
        <v>483</v>
      </c>
      <c r="AM179" t="s">
        <v>270</v>
      </c>
      <c r="AN179" s="30" t="s">
        <v>270</v>
      </c>
      <c r="AO179" s="30" t="s">
        <v>483</v>
      </c>
      <c r="AP179" s="30" t="s">
        <v>483</v>
      </c>
      <c r="AQ179" s="30" t="s">
        <v>483</v>
      </c>
      <c r="AR179" s="30" t="s">
        <v>483</v>
      </c>
      <c r="AS179" s="30" t="s">
        <v>83</v>
      </c>
      <c r="AT179" s="30" t="s">
        <v>277</v>
      </c>
      <c r="AU179" s="50">
        <v>46199.541666666664</v>
      </c>
      <c r="AV179" s="50">
        <v>46199.560416666667</v>
      </c>
      <c r="AW179" s="50">
        <v>46199.681944444441</v>
      </c>
      <c r="AX179" s="50">
        <v>46199.666666666664</v>
      </c>
      <c r="AY179" s="50">
        <v>46199.681944444441</v>
      </c>
      <c r="AZ179" s="50">
        <v>46199.916666666664</v>
      </c>
      <c r="BA179" s="51">
        <v>46200.458333333336</v>
      </c>
      <c r="BB179" s="51">
        <v>46199.569444444445</v>
      </c>
      <c r="BC179" s="50">
        <v>46200.481249999997</v>
      </c>
      <c r="BD179" s="50">
        <v>46200.484027777777</v>
      </c>
      <c r="BE179" s="51">
        <v>46200.458333333336</v>
      </c>
      <c r="BF179" s="51">
        <v>46200.730555555558</v>
      </c>
      <c r="BG179" s="51">
        <v>46200.75</v>
      </c>
      <c r="BH179" s="51">
        <v>46200.754166666666</v>
      </c>
      <c r="BI179" s="30" t="s">
        <v>277</v>
      </c>
      <c r="BJ179" s="50">
        <v>46199.541666666664</v>
      </c>
      <c r="BK179" s="50">
        <v>46199.560416666667</v>
      </c>
      <c r="BL179" s="50">
        <v>46199.643750000003</v>
      </c>
      <c r="BM179" s="50">
        <v>46199.63958333333</v>
      </c>
      <c r="BN179" s="50">
        <v>46199.681944444441</v>
      </c>
      <c r="BR179"/>
      <c r="BS179"/>
      <c r="BT179"/>
      <c r="BU179"/>
      <c r="BV179"/>
      <c r="BW179"/>
      <c r="BX179"/>
      <c r="BY179"/>
    </row>
    <row r="180" spans="1:77">
      <c r="A180" t="s">
        <v>168</v>
      </c>
      <c r="B180" s="30">
        <v>21</v>
      </c>
      <c r="C180" s="30">
        <v>26</v>
      </c>
      <c r="D180" s="30" t="s">
        <v>169</v>
      </c>
      <c r="E180" s="30" t="s">
        <v>170</v>
      </c>
      <c r="F180" s="48">
        <v>46197</v>
      </c>
      <c r="G180" s="48">
        <v>46198</v>
      </c>
      <c r="H180" s="49">
        <v>0.625</v>
      </c>
      <c r="I180" s="49">
        <v>0.54166666666666663</v>
      </c>
      <c r="J180" s="30" t="s">
        <v>53</v>
      </c>
      <c r="K180" s="30" t="s">
        <v>171</v>
      </c>
      <c r="L180" s="30">
        <v>1</v>
      </c>
      <c r="M180" s="30" t="s">
        <v>781</v>
      </c>
      <c r="P180" s="30" t="s">
        <v>174</v>
      </c>
      <c r="Q180" s="30" t="s">
        <v>84</v>
      </c>
      <c r="R180" s="30" t="s">
        <v>1613</v>
      </c>
      <c r="S180" s="30" t="s">
        <v>1498</v>
      </c>
      <c r="T180" s="30">
        <v>272562256</v>
      </c>
      <c r="U180" s="30" t="s">
        <v>782</v>
      </c>
      <c r="V180" s="30">
        <v>56846</v>
      </c>
      <c r="W180" s="30" t="s">
        <v>1882</v>
      </c>
      <c r="Y180" t="s">
        <v>180</v>
      </c>
      <c r="Z180" s="30" t="s">
        <v>180</v>
      </c>
      <c r="AA180" s="30" t="s">
        <v>181</v>
      </c>
      <c r="AB180" s="30" t="s">
        <v>55</v>
      </c>
      <c r="AC180" s="30" t="s">
        <v>56</v>
      </c>
      <c r="AD180" s="30" t="s">
        <v>78</v>
      </c>
      <c r="AE180" s="30">
        <v>20513040718</v>
      </c>
      <c r="AF180" s="30" t="s">
        <v>783</v>
      </c>
      <c r="AG180" s="30" t="s">
        <v>784</v>
      </c>
      <c r="AH180" s="30" t="s">
        <v>661</v>
      </c>
      <c r="AI180" s="30" t="s">
        <v>785</v>
      </c>
      <c r="AJ180" s="30" t="s">
        <v>786</v>
      </c>
      <c r="AL180" s="30" t="s">
        <v>483</v>
      </c>
      <c r="AM180" t="s">
        <v>270</v>
      </c>
      <c r="AN180" s="30" t="s">
        <v>270</v>
      </c>
      <c r="AO180" s="30" t="s">
        <v>483</v>
      </c>
      <c r="AP180" s="30" t="s">
        <v>483</v>
      </c>
      <c r="AQ180" s="30" t="s">
        <v>483</v>
      </c>
      <c r="AR180" s="30" t="s">
        <v>483</v>
      </c>
      <c r="AS180" s="30" t="s">
        <v>84</v>
      </c>
      <c r="AT180" s="30" t="s">
        <v>64</v>
      </c>
      <c r="AU180" s="50">
        <v>0.83333333333333337</v>
      </c>
      <c r="AV180" s="50">
        <v>0.85763888888888884</v>
      </c>
      <c r="AW180" s="50">
        <v>46197.994444444441</v>
      </c>
      <c r="AX180" s="50">
        <v>46198</v>
      </c>
      <c r="AY180" s="50">
        <v>46198.020138888889</v>
      </c>
      <c r="AZ180" s="50">
        <v>46198.125</v>
      </c>
      <c r="BA180" s="51">
        <v>46198.583333333336</v>
      </c>
      <c r="BB180" s="51">
        <v>46199.354166666664</v>
      </c>
      <c r="BC180" s="50">
        <v>46198.586111111108</v>
      </c>
      <c r="BD180" s="50">
        <v>46198.589583333334</v>
      </c>
      <c r="BE180" s="51">
        <v>46198.625</v>
      </c>
      <c r="BF180" s="51">
        <v>46198.696527777778</v>
      </c>
      <c r="BG180" s="51">
        <v>46198.708333333336</v>
      </c>
      <c r="BH180" s="51">
        <v>46198.752083333333</v>
      </c>
      <c r="BI180" s="30" t="s">
        <v>787</v>
      </c>
      <c r="BJ180" s="50">
        <v>46199.333333333336</v>
      </c>
      <c r="BK180" s="50">
        <v>46199.347916666666</v>
      </c>
      <c r="BL180" s="50">
        <v>46199.405555555553</v>
      </c>
      <c r="BM180" s="50">
        <v>46199.416666666664</v>
      </c>
      <c r="BN180" s="50">
        <v>46199.422222222223</v>
      </c>
      <c r="BR180"/>
      <c r="BS180"/>
      <c r="BT180"/>
      <c r="BU180"/>
      <c r="BV180"/>
      <c r="BW180"/>
      <c r="BX180"/>
      <c r="BY180"/>
    </row>
    <row r="181" spans="1:77">
      <c r="A181" t="s">
        <v>168</v>
      </c>
      <c r="B181" s="30">
        <v>24</v>
      </c>
      <c r="C181" s="30">
        <v>26</v>
      </c>
      <c r="D181" s="30" t="s">
        <v>169</v>
      </c>
      <c r="E181" s="30" t="s">
        <v>170</v>
      </c>
      <c r="F181" s="48">
        <v>46200</v>
      </c>
      <c r="G181" s="48">
        <v>46201</v>
      </c>
      <c r="H181" s="49">
        <v>0.72916666666666663</v>
      </c>
      <c r="I181" s="49">
        <v>0.64583333333333337</v>
      </c>
      <c r="J181" s="30" t="s">
        <v>53</v>
      </c>
      <c r="K181" s="30" t="s">
        <v>171</v>
      </c>
      <c r="L181" s="30">
        <v>1</v>
      </c>
      <c r="M181" s="30" t="s">
        <v>801</v>
      </c>
      <c r="P181" s="30" t="s">
        <v>174</v>
      </c>
      <c r="Q181" s="30" t="s">
        <v>84</v>
      </c>
      <c r="R181" s="30" t="s">
        <v>1822</v>
      </c>
      <c r="S181" s="30" t="s">
        <v>1823</v>
      </c>
      <c r="T181" s="30">
        <v>751600035778</v>
      </c>
      <c r="U181" s="30" t="s">
        <v>802</v>
      </c>
      <c r="V181" s="30">
        <v>788636</v>
      </c>
      <c r="Y181" t="s">
        <v>179</v>
      </c>
      <c r="Z181" s="30" t="s">
        <v>180</v>
      </c>
      <c r="AA181" s="30" t="s">
        <v>181</v>
      </c>
      <c r="AB181" s="30" t="s">
        <v>55</v>
      </c>
      <c r="AC181" s="30" t="s">
        <v>56</v>
      </c>
      <c r="AD181" s="30" t="s">
        <v>78</v>
      </c>
      <c r="AE181" s="30">
        <v>20513040718</v>
      </c>
      <c r="AF181" s="30" t="s">
        <v>803</v>
      </c>
      <c r="AG181" s="30" t="s">
        <v>804</v>
      </c>
      <c r="AH181" s="30" t="s">
        <v>661</v>
      </c>
      <c r="AI181" s="30" t="s">
        <v>805</v>
      </c>
      <c r="AJ181" s="30" t="s">
        <v>806</v>
      </c>
      <c r="AL181" s="30" t="s">
        <v>483</v>
      </c>
      <c r="AM181" t="s">
        <v>270</v>
      </c>
      <c r="AN181" s="30" t="s">
        <v>270</v>
      </c>
      <c r="AO181" s="30" t="s">
        <v>483</v>
      </c>
      <c r="AP181" s="30" t="s">
        <v>483</v>
      </c>
      <c r="AQ181" s="30" t="s">
        <v>483</v>
      </c>
      <c r="AR181" s="30" t="s">
        <v>483</v>
      </c>
      <c r="AS181" s="30" t="s">
        <v>84</v>
      </c>
      <c r="AT181" s="30" t="s">
        <v>64</v>
      </c>
      <c r="AU181" s="50">
        <v>46200.541666666664</v>
      </c>
      <c r="AV181" s="50">
        <v>46200.556944444441</v>
      </c>
      <c r="AW181" s="50">
        <v>46200.574999999997</v>
      </c>
      <c r="AX181" s="50">
        <v>46200.625</v>
      </c>
      <c r="AY181" s="50">
        <v>46200.625694444447</v>
      </c>
      <c r="AZ181" s="50">
        <v>46200.708333333336</v>
      </c>
      <c r="BA181" s="51">
        <v>46201.583333333336</v>
      </c>
      <c r="BB181" s="51">
        <v>46202.583333333336</v>
      </c>
      <c r="BC181" s="50">
        <v>46201.590277777781</v>
      </c>
      <c r="BD181" s="50">
        <v>46201.595833333333</v>
      </c>
      <c r="BE181" s="51">
        <v>46201.625</v>
      </c>
      <c r="BF181" s="51">
        <v>46201.820138888892</v>
      </c>
      <c r="BG181" s="51">
        <v>46201.833333333336</v>
      </c>
      <c r="BH181" s="51">
        <v>46201.863888888889</v>
      </c>
      <c r="BI181" s="30" t="s">
        <v>64</v>
      </c>
      <c r="BJ181" s="50">
        <v>46202.541666666664</v>
      </c>
      <c r="BK181" s="50">
        <v>46202.577777777777</v>
      </c>
      <c r="BL181" s="50">
        <v>46202.583333333336</v>
      </c>
      <c r="BM181" s="50">
        <v>46202.604861111111</v>
      </c>
      <c r="BN181" s="50">
        <v>46202.618750000001</v>
      </c>
      <c r="BR181"/>
      <c r="BS181"/>
      <c r="BT181"/>
      <c r="BU181"/>
      <c r="BV181"/>
      <c r="BW181"/>
      <c r="BX181"/>
      <c r="BY181"/>
    </row>
    <row r="182" spans="1:77">
      <c r="A182" t="s">
        <v>168</v>
      </c>
      <c r="B182" s="30">
        <v>25</v>
      </c>
      <c r="C182" s="30">
        <v>26</v>
      </c>
      <c r="D182" s="30" t="s">
        <v>169</v>
      </c>
      <c r="E182" s="30" t="s">
        <v>170</v>
      </c>
      <c r="F182" s="48">
        <v>46200</v>
      </c>
      <c r="G182" s="48">
        <v>46201</v>
      </c>
      <c r="H182" s="49">
        <v>0.77083333333333337</v>
      </c>
      <c r="I182" s="49">
        <v>0.6875</v>
      </c>
      <c r="J182" s="30" t="s">
        <v>53</v>
      </c>
      <c r="K182" s="30" t="s">
        <v>171</v>
      </c>
      <c r="L182" s="30">
        <v>1</v>
      </c>
      <c r="M182" s="30" t="s">
        <v>807</v>
      </c>
      <c r="P182" s="30" t="s">
        <v>174</v>
      </c>
      <c r="Q182" s="30" t="s">
        <v>84</v>
      </c>
      <c r="R182" s="30" t="s">
        <v>1825</v>
      </c>
      <c r="S182" s="30" t="s">
        <v>1823</v>
      </c>
      <c r="T182" s="30">
        <v>751600035752</v>
      </c>
      <c r="U182" s="30" t="s">
        <v>808</v>
      </c>
      <c r="V182" s="30">
        <v>788677</v>
      </c>
      <c r="Y182" t="s">
        <v>179</v>
      </c>
      <c r="Z182" s="30" t="s">
        <v>180</v>
      </c>
      <c r="AA182" s="30" t="s">
        <v>181</v>
      </c>
      <c r="AB182" s="30" t="s">
        <v>55</v>
      </c>
      <c r="AC182" s="30" t="s">
        <v>56</v>
      </c>
      <c r="AD182" s="30" t="s">
        <v>78</v>
      </c>
      <c r="AE182" s="30">
        <v>20513040718</v>
      </c>
      <c r="AF182" s="30" t="s">
        <v>809</v>
      </c>
      <c r="AG182" s="30" t="s">
        <v>810</v>
      </c>
      <c r="AH182" s="30" t="s">
        <v>661</v>
      </c>
      <c r="AI182" s="30" t="s">
        <v>811</v>
      </c>
      <c r="AJ182" s="30" t="s">
        <v>812</v>
      </c>
      <c r="AL182" s="30" t="s">
        <v>483</v>
      </c>
      <c r="AM182" t="s">
        <v>270</v>
      </c>
      <c r="AN182" s="30" t="s">
        <v>270</v>
      </c>
      <c r="AO182" s="30" t="s">
        <v>483</v>
      </c>
      <c r="AP182" s="30" t="s">
        <v>483</v>
      </c>
      <c r="AQ182" s="30" t="s">
        <v>483</v>
      </c>
      <c r="AR182" s="30" t="s">
        <v>483</v>
      </c>
      <c r="AS182" s="30" t="s">
        <v>84</v>
      </c>
      <c r="AT182" s="30" t="s">
        <v>64</v>
      </c>
      <c r="AU182" s="50">
        <v>46200.625</v>
      </c>
      <c r="AV182" s="50">
        <v>46200.638888888891</v>
      </c>
      <c r="AW182" s="50">
        <v>46200.642361111109</v>
      </c>
      <c r="AX182" s="50">
        <v>46200.697916666664</v>
      </c>
      <c r="AY182" s="50">
        <v>46200.724305555559</v>
      </c>
      <c r="AZ182" s="50">
        <v>46200.75</v>
      </c>
      <c r="BA182" s="51">
        <v>46201.625</v>
      </c>
      <c r="BB182" s="51">
        <v>46202.569444444445</v>
      </c>
      <c r="BC182" s="50">
        <v>46201.638888888891</v>
      </c>
      <c r="BD182" s="50">
        <v>46201.646527777775</v>
      </c>
      <c r="BE182" s="51">
        <v>46201.680555555555</v>
      </c>
      <c r="BF182" s="51">
        <v>46201.773611111108</v>
      </c>
      <c r="BG182" s="51">
        <v>46201.791666666664</v>
      </c>
      <c r="BH182" s="51">
        <v>46201.809027777781</v>
      </c>
      <c r="BI182" s="30" t="s">
        <v>64</v>
      </c>
      <c r="BJ182" s="50">
        <v>46202.541666666664</v>
      </c>
      <c r="BK182" s="50">
        <v>46202.560416666667</v>
      </c>
      <c r="BL182" s="50">
        <v>46202.541666666664</v>
      </c>
      <c r="BM182" s="50">
        <v>46202.583333333336</v>
      </c>
      <c r="BN182" s="50">
        <v>46202.588888888888</v>
      </c>
      <c r="BR182"/>
      <c r="BS182"/>
      <c r="BT182"/>
      <c r="BU182"/>
      <c r="BV182"/>
      <c r="BW182"/>
      <c r="BX182"/>
      <c r="BY182"/>
    </row>
    <row r="183" spans="1:77">
      <c r="A183" t="s">
        <v>168</v>
      </c>
      <c r="B183" s="30">
        <v>26</v>
      </c>
      <c r="C183" s="30">
        <v>26</v>
      </c>
      <c r="D183" s="30" t="s">
        <v>169</v>
      </c>
      <c r="E183" s="30" t="s">
        <v>170</v>
      </c>
      <c r="F183" s="48">
        <v>46201</v>
      </c>
      <c r="G183" s="48">
        <v>46202</v>
      </c>
      <c r="H183" s="49">
        <v>0.64583333333333337</v>
      </c>
      <c r="I183" s="49">
        <v>0.5625</v>
      </c>
      <c r="J183" s="30" t="s">
        <v>53</v>
      </c>
      <c r="K183" s="30" t="s">
        <v>171</v>
      </c>
      <c r="L183" s="30">
        <v>1</v>
      </c>
      <c r="M183" s="30" t="s">
        <v>813</v>
      </c>
      <c r="P183" s="30" t="s">
        <v>174</v>
      </c>
      <c r="Q183" s="30" t="s">
        <v>84</v>
      </c>
      <c r="R183" s="30" t="s">
        <v>1822</v>
      </c>
      <c r="S183" s="30" t="s">
        <v>1823</v>
      </c>
      <c r="T183" s="30">
        <v>751600035760</v>
      </c>
      <c r="U183" s="30" t="s">
        <v>814</v>
      </c>
      <c r="V183" s="30" t="s">
        <v>815</v>
      </c>
      <c r="Y183" t="s">
        <v>179</v>
      </c>
      <c r="Z183" s="30" t="s">
        <v>180</v>
      </c>
      <c r="AA183" s="30" t="s">
        <v>181</v>
      </c>
      <c r="AB183" s="30" t="s">
        <v>55</v>
      </c>
      <c r="AC183" s="30" t="s">
        <v>92</v>
      </c>
      <c r="AD183" s="30" t="s">
        <v>816</v>
      </c>
      <c r="AE183" s="30">
        <v>20614404460</v>
      </c>
      <c r="AF183" s="30" t="s">
        <v>763</v>
      </c>
      <c r="AG183" s="30" t="s">
        <v>764</v>
      </c>
      <c r="AH183" s="30" t="s">
        <v>661</v>
      </c>
      <c r="AI183" s="30" t="s">
        <v>765</v>
      </c>
      <c r="AJ183" s="30" t="s">
        <v>766</v>
      </c>
      <c r="AL183" s="30" t="s">
        <v>483</v>
      </c>
      <c r="AM183" t="s">
        <v>270</v>
      </c>
      <c r="AN183" s="30" t="s">
        <v>270</v>
      </c>
      <c r="AO183" s="30" t="s">
        <v>483</v>
      </c>
      <c r="AP183" s="30" t="s">
        <v>483</v>
      </c>
      <c r="AQ183" s="30" t="s">
        <v>483</v>
      </c>
      <c r="AR183" s="30" t="s">
        <v>483</v>
      </c>
      <c r="AS183" s="30" t="s">
        <v>84</v>
      </c>
      <c r="AT183" s="30" t="s">
        <v>64</v>
      </c>
      <c r="AU183" s="50">
        <v>46201.416666666664</v>
      </c>
      <c r="AV183" s="50">
        <v>46201.421527777777</v>
      </c>
      <c r="AW183" s="50">
        <v>46201.439583333333</v>
      </c>
      <c r="AX183" s="50">
        <v>46201.458333333336</v>
      </c>
      <c r="AY183" s="50">
        <v>46201.497916666667</v>
      </c>
      <c r="AZ183" s="50">
        <v>46201.708333333336</v>
      </c>
      <c r="BA183" s="51">
        <v>46202.458333333336</v>
      </c>
      <c r="BB183" s="51">
        <v>46203.236111111109</v>
      </c>
      <c r="BC183" s="50">
        <v>46202.49722222222</v>
      </c>
      <c r="BD183" s="50">
        <v>46202.504166666666</v>
      </c>
      <c r="BE183" s="51">
        <v>46202.5625</v>
      </c>
      <c r="BF183" s="51">
        <v>46202.652777777781</v>
      </c>
      <c r="BG183" s="51">
        <v>46202.666666666664</v>
      </c>
      <c r="BH183" s="51">
        <v>46202.6875</v>
      </c>
      <c r="BI183" s="30" t="s">
        <v>64</v>
      </c>
      <c r="BJ183" s="50">
        <v>46203.208333333336</v>
      </c>
      <c r="BK183" s="50">
        <v>46203.220833333333</v>
      </c>
      <c r="BL183" s="50">
        <v>46203.236111111109</v>
      </c>
      <c r="BM183" s="50">
        <v>46203.283333333333</v>
      </c>
      <c r="BN183" s="50">
        <v>46203.293055555558</v>
      </c>
      <c r="BR183"/>
      <c r="BS183"/>
      <c r="BT183"/>
      <c r="BU183"/>
      <c r="BV183"/>
      <c r="BW183"/>
      <c r="BX183"/>
      <c r="BY183"/>
    </row>
    <row r="184" spans="1:77">
      <c r="A184" t="s">
        <v>168</v>
      </c>
      <c r="B184" s="30">
        <v>22</v>
      </c>
      <c r="C184" s="30">
        <v>26</v>
      </c>
      <c r="D184" s="30" t="s">
        <v>169</v>
      </c>
      <c r="E184" s="30" t="s">
        <v>170</v>
      </c>
      <c r="F184" s="48">
        <v>46200</v>
      </c>
      <c r="G184" s="48">
        <v>46201</v>
      </c>
      <c r="H184" s="49">
        <v>0.64583333333333337</v>
      </c>
      <c r="I184" s="49">
        <v>0.5625</v>
      </c>
      <c r="J184" s="30" t="s">
        <v>53</v>
      </c>
      <c r="K184" s="30" t="s">
        <v>171</v>
      </c>
      <c r="L184" s="30">
        <v>1</v>
      </c>
      <c r="M184" s="30" t="s">
        <v>788</v>
      </c>
      <c r="P184" s="30" t="s">
        <v>174</v>
      </c>
      <c r="Q184" s="30" t="s">
        <v>84</v>
      </c>
      <c r="R184" s="30" t="s">
        <v>1825</v>
      </c>
      <c r="S184" s="30" t="s">
        <v>1880</v>
      </c>
      <c r="T184" s="30" t="s">
        <v>789</v>
      </c>
      <c r="U184" s="30" t="s">
        <v>790</v>
      </c>
      <c r="V184" s="30">
        <v>476200</v>
      </c>
      <c r="Y184" t="s">
        <v>179</v>
      </c>
      <c r="Z184" s="30" t="s">
        <v>180</v>
      </c>
      <c r="AA184" s="30" t="s">
        <v>181</v>
      </c>
      <c r="AB184" s="30" t="s">
        <v>55</v>
      </c>
      <c r="AC184" s="30" t="s">
        <v>56</v>
      </c>
      <c r="AD184" s="30" t="s">
        <v>78</v>
      </c>
      <c r="AE184" s="30">
        <v>20513040718</v>
      </c>
      <c r="AF184" s="30" t="s">
        <v>791</v>
      </c>
      <c r="AG184" s="30" t="s">
        <v>792</v>
      </c>
      <c r="AH184" s="30" t="s">
        <v>661</v>
      </c>
      <c r="AI184" s="30" t="s">
        <v>793</v>
      </c>
      <c r="AJ184" s="30" t="s">
        <v>794</v>
      </c>
      <c r="AL184" s="30" t="s">
        <v>483</v>
      </c>
      <c r="AM184" t="s">
        <v>270</v>
      </c>
      <c r="AN184" s="30" t="s">
        <v>270</v>
      </c>
      <c r="AO184" s="30" t="s">
        <v>483</v>
      </c>
      <c r="AP184" s="30" t="s">
        <v>483</v>
      </c>
      <c r="AQ184" s="30" t="s">
        <v>483</v>
      </c>
      <c r="AR184" s="30" t="s">
        <v>483</v>
      </c>
      <c r="AS184" s="30" t="s">
        <v>84</v>
      </c>
      <c r="AT184" s="30" t="s">
        <v>380</v>
      </c>
      <c r="AU184" s="50">
        <v>46200.5</v>
      </c>
      <c r="AV184" s="50">
        <v>46200.536111111112</v>
      </c>
      <c r="AW184" s="50">
        <v>46200.581944444442</v>
      </c>
      <c r="AX184" s="50">
        <v>46200.611111111109</v>
      </c>
      <c r="AY184" s="50">
        <v>46200.619444444441</v>
      </c>
      <c r="AZ184" s="50">
        <v>46200.75</v>
      </c>
      <c r="BA184" s="51">
        <v>46201.416666666664</v>
      </c>
      <c r="BB184" s="51">
        <v>46202.604166666664</v>
      </c>
      <c r="BC184" s="50">
        <v>46201.4375</v>
      </c>
      <c r="BD184" s="50">
        <v>46201.441666666666</v>
      </c>
      <c r="BE184" s="51">
        <v>46201.458333333336</v>
      </c>
      <c r="BF184" s="51">
        <v>46201.734722222223</v>
      </c>
      <c r="BG184" s="51">
        <v>46201.75</v>
      </c>
      <c r="BH184" s="51">
        <v>46201.818749999999</v>
      </c>
      <c r="BI184" s="30" t="s">
        <v>64</v>
      </c>
      <c r="BJ184" s="50">
        <v>46202.583333333336</v>
      </c>
      <c r="BK184" s="50">
        <v>46202.602083333331</v>
      </c>
      <c r="BL184" s="50">
        <v>46202.625</v>
      </c>
      <c r="BM184" s="50">
        <v>46202.659722222219</v>
      </c>
      <c r="BN184" s="50">
        <v>46202.659722222219</v>
      </c>
      <c r="BR184"/>
      <c r="BS184"/>
      <c r="BT184"/>
      <c r="BU184"/>
      <c r="BV184"/>
      <c r="BW184"/>
      <c r="BX184"/>
      <c r="BY184"/>
    </row>
    <row r="185" spans="1:77">
      <c r="A185" t="s">
        <v>168</v>
      </c>
      <c r="B185" s="30">
        <v>23</v>
      </c>
      <c r="C185" s="30">
        <v>26</v>
      </c>
      <c r="D185" s="30" t="s">
        <v>169</v>
      </c>
      <c r="E185" s="30" t="s">
        <v>170</v>
      </c>
      <c r="F185" s="48">
        <v>46200</v>
      </c>
      <c r="G185" s="48">
        <v>46201</v>
      </c>
      <c r="H185" s="49">
        <v>0.6875</v>
      </c>
      <c r="I185" s="49">
        <v>0.60416666666666663</v>
      </c>
      <c r="J185" s="30" t="s">
        <v>53</v>
      </c>
      <c r="K185" s="30" t="s">
        <v>171</v>
      </c>
      <c r="L185" s="30">
        <v>1</v>
      </c>
      <c r="M185" s="30" t="s">
        <v>795</v>
      </c>
      <c r="P185" s="30" t="s">
        <v>174</v>
      </c>
      <c r="Q185" s="30" t="s">
        <v>84</v>
      </c>
      <c r="R185" s="30" t="s">
        <v>1825</v>
      </c>
      <c r="S185" s="30" t="s">
        <v>1823</v>
      </c>
      <c r="T185" s="30">
        <v>751600035719</v>
      </c>
      <c r="U185" s="30" t="s">
        <v>796</v>
      </c>
      <c r="V185" s="30">
        <v>788639</v>
      </c>
      <c r="Y185" t="s">
        <v>179</v>
      </c>
      <c r="Z185" s="30" t="s">
        <v>180</v>
      </c>
      <c r="AA185" s="30" t="s">
        <v>181</v>
      </c>
      <c r="AB185" s="30" t="s">
        <v>55</v>
      </c>
      <c r="AC185" s="30" t="s">
        <v>56</v>
      </c>
      <c r="AD185" s="30" t="s">
        <v>78</v>
      </c>
      <c r="AE185" s="30">
        <v>20513040718</v>
      </c>
      <c r="AF185" s="30" t="s">
        <v>797</v>
      </c>
      <c r="AG185" s="30" t="s">
        <v>798</v>
      </c>
      <c r="AH185" s="30" t="s">
        <v>661</v>
      </c>
      <c r="AI185" s="30" t="s">
        <v>799</v>
      </c>
      <c r="AJ185" s="30" t="s">
        <v>800</v>
      </c>
      <c r="AL185" s="30" t="s">
        <v>483</v>
      </c>
      <c r="AM185" t="s">
        <v>270</v>
      </c>
      <c r="AN185" s="30" t="s">
        <v>270</v>
      </c>
      <c r="AO185" s="30" t="s">
        <v>483</v>
      </c>
      <c r="AP185" s="30" t="s">
        <v>483</v>
      </c>
      <c r="AQ185" s="30" t="s">
        <v>483</v>
      </c>
      <c r="AR185" s="30" t="s">
        <v>483</v>
      </c>
      <c r="AS185" s="30" t="s">
        <v>84</v>
      </c>
      <c r="AT185" s="30" t="s">
        <v>64</v>
      </c>
      <c r="AU185" s="50">
        <v>46200.583333333336</v>
      </c>
      <c r="AV185" s="50">
        <v>46200.583333333336</v>
      </c>
      <c r="AW185" s="50">
        <v>46200.586805555555</v>
      </c>
      <c r="AX185" s="50">
        <v>46200.633333333331</v>
      </c>
      <c r="AY185" s="50">
        <v>46200.634027777778</v>
      </c>
      <c r="AZ185" s="50">
        <v>46200.666666666664</v>
      </c>
      <c r="BA185" s="51">
        <v>46201.416666666664</v>
      </c>
      <c r="BB185" s="51">
        <v>46202.527777777781</v>
      </c>
      <c r="BC185" s="50">
        <v>46201.430555555555</v>
      </c>
      <c r="BD185" s="50">
        <v>46201.44027777778</v>
      </c>
      <c r="BE185" s="51">
        <v>46201.486111111109</v>
      </c>
      <c r="BF185" s="51">
        <v>46201.73333333333</v>
      </c>
      <c r="BG185" s="51">
        <v>46201.75</v>
      </c>
      <c r="BH185" s="51">
        <v>46201.763194444444</v>
      </c>
      <c r="BI185" s="30" t="s">
        <v>64</v>
      </c>
      <c r="BJ185" s="50">
        <v>46202.5</v>
      </c>
      <c r="BK185" s="50">
        <v>46202.517361111109</v>
      </c>
      <c r="BL185" s="50">
        <v>46202.5</v>
      </c>
      <c r="BM185" s="50">
        <v>46202.541666666664</v>
      </c>
      <c r="BN185" s="50">
        <v>46202.554166666669</v>
      </c>
      <c r="BR185"/>
      <c r="BS185"/>
      <c r="BT185"/>
      <c r="BU185"/>
      <c r="BV185"/>
      <c r="BW185"/>
      <c r="BX185"/>
      <c r="BY185"/>
    </row>
    <row r="186" spans="1:77">
      <c r="A186" t="s">
        <v>168</v>
      </c>
      <c r="B186" s="30">
        <v>27</v>
      </c>
      <c r="C186" s="30">
        <v>26</v>
      </c>
      <c r="D186" s="30" t="s">
        <v>169</v>
      </c>
      <c r="E186" s="30" t="s">
        <v>170</v>
      </c>
      <c r="F186" s="48">
        <v>46201</v>
      </c>
      <c r="G186" s="48">
        <v>46202</v>
      </c>
      <c r="H186" s="49">
        <v>0.6875</v>
      </c>
      <c r="I186" s="49">
        <v>0.60416666666666663</v>
      </c>
      <c r="J186" s="30" t="s">
        <v>53</v>
      </c>
      <c r="K186" s="30" t="s">
        <v>171</v>
      </c>
      <c r="L186" s="30">
        <v>1</v>
      </c>
      <c r="M186" s="30" t="s">
        <v>817</v>
      </c>
      <c r="P186" s="30" t="s">
        <v>174</v>
      </c>
      <c r="Q186" s="30" t="s">
        <v>84</v>
      </c>
      <c r="R186" s="30" t="s">
        <v>1825</v>
      </c>
      <c r="S186" s="30" t="s">
        <v>1880</v>
      </c>
      <c r="T186" s="30" t="s">
        <v>818</v>
      </c>
      <c r="U186" s="30" t="s">
        <v>819</v>
      </c>
      <c r="V186" s="30" t="s">
        <v>820</v>
      </c>
      <c r="Y186" t="s">
        <v>179</v>
      </c>
      <c r="Z186" s="30" t="s">
        <v>180</v>
      </c>
      <c r="AA186" s="30" t="s">
        <v>181</v>
      </c>
      <c r="AB186" s="30" t="s">
        <v>55</v>
      </c>
      <c r="AC186" s="30" t="s">
        <v>92</v>
      </c>
      <c r="AD186" s="30" t="s">
        <v>821</v>
      </c>
      <c r="AE186" s="30">
        <v>20614258153</v>
      </c>
      <c r="AF186" s="30" t="s">
        <v>822</v>
      </c>
      <c r="AG186" s="30" t="s">
        <v>823</v>
      </c>
      <c r="AH186" s="30" t="s">
        <v>661</v>
      </c>
      <c r="AI186" s="30" t="s">
        <v>824</v>
      </c>
      <c r="AJ186" s="30" t="s">
        <v>825</v>
      </c>
      <c r="AL186" s="30" t="s">
        <v>483</v>
      </c>
      <c r="AM186" t="s">
        <v>270</v>
      </c>
      <c r="AN186" s="30" t="s">
        <v>270</v>
      </c>
      <c r="AO186" s="30" t="s">
        <v>483</v>
      </c>
      <c r="AP186" s="30" t="s">
        <v>483</v>
      </c>
      <c r="AQ186" s="30" t="s">
        <v>483</v>
      </c>
      <c r="AR186" s="30" t="s">
        <v>483</v>
      </c>
      <c r="AS186" s="30" t="s">
        <v>84</v>
      </c>
      <c r="AT186" s="30" t="s">
        <v>253</v>
      </c>
      <c r="AU186" s="50">
        <v>46201.541666666664</v>
      </c>
      <c r="AV186" s="50">
        <v>46201.565972222219</v>
      </c>
      <c r="AW186" s="50">
        <v>46201.569444444445</v>
      </c>
      <c r="AY186" s="50">
        <v>46201.668749999997</v>
      </c>
      <c r="AZ186" s="50">
        <v>46201.75</v>
      </c>
      <c r="BA186" s="51">
        <v>46202.541666666664</v>
      </c>
      <c r="BB186" s="51">
        <v>46203.277777777781</v>
      </c>
      <c r="BC186" s="50">
        <v>46202.560416666667</v>
      </c>
      <c r="BD186" s="50">
        <v>46202.565972222219</v>
      </c>
      <c r="BE186" s="51">
        <v>46202.583333333336</v>
      </c>
      <c r="BF186" s="51">
        <v>46202.675000000003</v>
      </c>
      <c r="BG186" s="51">
        <v>46202.6875</v>
      </c>
      <c r="BH186" s="51">
        <v>46202.708333333336</v>
      </c>
      <c r="BI186" s="30" t="s">
        <v>64</v>
      </c>
      <c r="BJ186" s="50">
        <v>46203.25</v>
      </c>
      <c r="BK186" s="50">
        <v>46203.263888888891</v>
      </c>
      <c r="BL186" s="50">
        <v>46203.270833333336</v>
      </c>
      <c r="BM186" s="50">
        <v>46203.321527777778</v>
      </c>
      <c r="BN186" s="50">
        <v>46203.336805555555</v>
      </c>
      <c r="BR186"/>
      <c r="BS186"/>
      <c r="BT186"/>
      <c r="BU186"/>
      <c r="BV186"/>
      <c r="BW186"/>
      <c r="BX186"/>
      <c r="BY186"/>
    </row>
    <row r="187" spans="1:77">
      <c r="A187" t="s">
        <v>168</v>
      </c>
      <c r="B187" s="30">
        <v>28</v>
      </c>
      <c r="C187" s="30">
        <v>27</v>
      </c>
      <c r="D187" s="30" t="s">
        <v>169</v>
      </c>
      <c r="E187" s="30" t="s">
        <v>170</v>
      </c>
      <c r="F187" s="48">
        <v>46205</v>
      </c>
      <c r="G187" s="48">
        <v>46206</v>
      </c>
      <c r="H187" s="49">
        <v>9.166666666666666E-2</v>
      </c>
      <c r="I187" s="49"/>
      <c r="J187" s="30" t="s">
        <v>53</v>
      </c>
      <c r="K187" s="30" t="s">
        <v>171</v>
      </c>
      <c r="L187" s="30">
        <v>1</v>
      </c>
      <c r="M187" s="30" t="s">
        <v>826</v>
      </c>
      <c r="P187" s="30" t="s">
        <v>174</v>
      </c>
      <c r="Q187" s="30" t="s">
        <v>84</v>
      </c>
      <c r="R187" s="30" t="s">
        <v>939</v>
      </c>
      <c r="S187" s="30" t="s">
        <v>391</v>
      </c>
      <c r="T187" s="30" t="s">
        <v>827</v>
      </c>
      <c r="U187" s="30" t="s">
        <v>828</v>
      </c>
      <c r="V187" s="30">
        <v>22731</v>
      </c>
      <c r="W187" s="30">
        <v>32972718</v>
      </c>
      <c r="Y187" t="s">
        <v>179</v>
      </c>
      <c r="Z187" s="30" t="s">
        <v>180</v>
      </c>
      <c r="AA187" s="30" t="s">
        <v>181</v>
      </c>
      <c r="AB187" s="30" t="s">
        <v>55</v>
      </c>
      <c r="AC187" s="30" t="s">
        <v>56</v>
      </c>
      <c r="AD187" s="30" t="s">
        <v>78</v>
      </c>
      <c r="AE187" s="30">
        <v>20513040718</v>
      </c>
      <c r="AF187" s="30" t="s">
        <v>829</v>
      </c>
      <c r="AG187" s="30" t="s">
        <v>830</v>
      </c>
      <c r="AH187" s="30" t="s">
        <v>661</v>
      </c>
      <c r="AI187" s="30" t="s">
        <v>942</v>
      </c>
      <c r="AJ187" s="30" t="s">
        <v>831</v>
      </c>
      <c r="AL187" s="30" t="s">
        <v>483</v>
      </c>
      <c r="AM187" t="s">
        <v>270</v>
      </c>
      <c r="AN187" s="30" t="s">
        <v>270</v>
      </c>
      <c r="AO187" s="30" t="s">
        <v>483</v>
      </c>
      <c r="AP187" s="30" t="s">
        <v>483</v>
      </c>
      <c r="AQ187" s="30" t="s">
        <v>483</v>
      </c>
      <c r="AR187" s="30" t="s">
        <v>483</v>
      </c>
      <c r="AS187" s="30" t="s">
        <v>84</v>
      </c>
      <c r="AT187" s="30" t="s">
        <v>240</v>
      </c>
      <c r="AU187" s="50">
        <v>46205.625</v>
      </c>
      <c r="AV187" s="50">
        <v>46205.603472222225</v>
      </c>
      <c r="AW187" s="50">
        <v>46205.604861111111</v>
      </c>
      <c r="AX187" s="50">
        <v>46205.649305555555</v>
      </c>
      <c r="AY187" s="50">
        <v>46205.696527777778</v>
      </c>
      <c r="AZ187" s="50">
        <v>46205.75</v>
      </c>
      <c r="BA187" s="51">
        <v>46206.416666666664</v>
      </c>
      <c r="BB187" s="51">
        <v>46206.666666666664</v>
      </c>
      <c r="BC187" s="50">
        <v>46206.450694444444</v>
      </c>
      <c r="BD187" s="50">
        <v>46206.455555555556</v>
      </c>
      <c r="BE187" s="51">
        <v>46206.493055555555</v>
      </c>
      <c r="BF187" s="51">
        <v>46206.714583333334</v>
      </c>
      <c r="BG187" s="51">
        <v>46206.729166666664</v>
      </c>
      <c r="BH187" s="51">
        <v>46206.787499999999</v>
      </c>
      <c r="BI187" s="30" t="s">
        <v>240</v>
      </c>
      <c r="BJ187" s="50">
        <v>46207.333333333336</v>
      </c>
      <c r="BK187" s="50">
        <v>46207.35833333333</v>
      </c>
      <c r="BL187" s="50">
        <v>46207.359722222223</v>
      </c>
      <c r="BM187" s="50">
        <v>46207.388888888891</v>
      </c>
      <c r="BN187" s="50">
        <v>46207.40347222222</v>
      </c>
      <c r="BR187"/>
      <c r="BS187"/>
      <c r="BT187"/>
      <c r="BU187"/>
      <c r="BV187"/>
      <c r="BW187"/>
      <c r="BX187"/>
      <c r="BY187"/>
    </row>
    <row r="188" spans="1:77">
      <c r="A188" t="s">
        <v>168</v>
      </c>
      <c r="B188" s="30">
        <v>32</v>
      </c>
      <c r="C188" s="30">
        <v>27</v>
      </c>
      <c r="D188" s="30" t="s">
        <v>169</v>
      </c>
      <c r="E188" s="30" t="s">
        <v>170</v>
      </c>
      <c r="F188" s="48">
        <v>46206</v>
      </c>
      <c r="G188" s="48">
        <v>46207</v>
      </c>
      <c r="H188" s="49">
        <v>9.166666666666666E-2</v>
      </c>
      <c r="I188" s="49"/>
      <c r="J188" s="30" t="s">
        <v>53</v>
      </c>
      <c r="K188" s="30" t="s">
        <v>171</v>
      </c>
      <c r="L188" s="30">
        <v>1</v>
      </c>
      <c r="M188" s="30" t="s">
        <v>851</v>
      </c>
      <c r="P188" s="30" t="s">
        <v>174</v>
      </c>
      <c r="Q188" s="30" t="s">
        <v>83</v>
      </c>
      <c r="R188" s="30" t="s">
        <v>939</v>
      </c>
      <c r="S188" s="30" t="s">
        <v>391</v>
      </c>
      <c r="T188" s="30">
        <v>6506665460</v>
      </c>
      <c r="U188" s="30">
        <v>6506665460</v>
      </c>
      <c r="V188" s="30">
        <v>22756</v>
      </c>
      <c r="W188" s="30">
        <v>32972743</v>
      </c>
      <c r="Y188" t="s">
        <v>179</v>
      </c>
      <c r="Z188" s="30" t="s">
        <v>180</v>
      </c>
      <c r="AA188" s="30" t="s">
        <v>181</v>
      </c>
      <c r="AB188" s="30" t="s">
        <v>55</v>
      </c>
      <c r="AC188" s="30" t="s">
        <v>56</v>
      </c>
      <c r="AD188" s="30" t="s">
        <v>78</v>
      </c>
      <c r="AE188" s="30">
        <v>20513040718</v>
      </c>
      <c r="AF188" s="30" t="s">
        <v>852</v>
      </c>
      <c r="AG188" s="30" t="s">
        <v>853</v>
      </c>
      <c r="AH188" s="30" t="s">
        <v>661</v>
      </c>
      <c r="AI188" s="30" t="s">
        <v>854</v>
      </c>
      <c r="AJ188" s="30" t="s">
        <v>855</v>
      </c>
      <c r="AL188" s="30" t="s">
        <v>483</v>
      </c>
      <c r="AM188" t="s">
        <v>270</v>
      </c>
      <c r="AN188" s="30" t="s">
        <v>270</v>
      </c>
      <c r="AO188" s="30" t="s">
        <v>483</v>
      </c>
      <c r="AP188" s="30" t="s">
        <v>483</v>
      </c>
      <c r="AQ188" s="30" t="s">
        <v>483</v>
      </c>
      <c r="AR188" s="30" t="s">
        <v>483</v>
      </c>
      <c r="AS188" s="30" t="s">
        <v>83</v>
      </c>
      <c r="AT188" s="30" t="s">
        <v>240</v>
      </c>
      <c r="AU188" s="50">
        <v>46206.541666666664</v>
      </c>
      <c r="AV188" s="50">
        <v>46206.626388888886</v>
      </c>
      <c r="AW188" s="50">
        <v>46206.62777777778</v>
      </c>
      <c r="AX188" s="50">
        <v>46206.708333333336</v>
      </c>
      <c r="AY188" s="50">
        <v>46206.730555555558</v>
      </c>
      <c r="AZ188" s="50">
        <v>46206.791666666664</v>
      </c>
      <c r="BA188" s="51">
        <v>46207.416666666664</v>
      </c>
      <c r="BB188" s="51">
        <v>46207.430555555555</v>
      </c>
      <c r="BC188" s="50">
        <v>46207.45</v>
      </c>
      <c r="BD188" s="50">
        <v>46207.456944444442</v>
      </c>
      <c r="BE188" s="51">
        <v>46207.5</v>
      </c>
      <c r="BF188" s="51">
        <v>46207.73541666667</v>
      </c>
      <c r="BG188" s="51">
        <v>46207.75</v>
      </c>
      <c r="BH188" s="51">
        <v>46207.767361111109</v>
      </c>
      <c r="BI188" s="30" t="s">
        <v>240</v>
      </c>
      <c r="BJ188" s="50">
        <v>46208.375</v>
      </c>
      <c r="BK188" s="50">
        <v>46208.401388888888</v>
      </c>
      <c r="BL188" s="50">
        <v>46208.420138888891</v>
      </c>
      <c r="BM188" s="50">
        <v>46208.416666666664</v>
      </c>
      <c r="BN188" s="50">
        <v>46208.440972222219</v>
      </c>
      <c r="BR188"/>
      <c r="BS188"/>
      <c r="BT188"/>
      <c r="BU188"/>
      <c r="BV188"/>
      <c r="BW188"/>
      <c r="BX188"/>
      <c r="BY188"/>
    </row>
    <row r="189" spans="1:77">
      <c r="A189" t="s">
        <v>168</v>
      </c>
      <c r="B189" s="30">
        <v>29</v>
      </c>
      <c r="C189" s="30">
        <v>27</v>
      </c>
      <c r="D189" s="30" t="s">
        <v>169</v>
      </c>
      <c r="E189" s="30" t="s">
        <v>170</v>
      </c>
      <c r="F189" s="48">
        <v>46207</v>
      </c>
      <c r="G189" s="48">
        <v>46208</v>
      </c>
      <c r="H189" s="49">
        <v>9.166666666666666E-2</v>
      </c>
      <c r="I189" s="49"/>
      <c r="J189" s="30" t="s">
        <v>53</v>
      </c>
      <c r="K189" s="30" t="s">
        <v>171</v>
      </c>
      <c r="L189" s="30">
        <v>1</v>
      </c>
      <c r="M189" s="30" t="s">
        <v>832</v>
      </c>
      <c r="P189" s="30" t="s">
        <v>174</v>
      </c>
      <c r="Q189" s="30" t="s">
        <v>83</v>
      </c>
      <c r="R189" s="30" t="s">
        <v>939</v>
      </c>
      <c r="S189" s="30" t="s">
        <v>391</v>
      </c>
      <c r="T189" s="30" t="s">
        <v>833</v>
      </c>
      <c r="U189" s="30" t="s">
        <v>834</v>
      </c>
      <c r="V189" s="30">
        <v>22778</v>
      </c>
      <c r="W189" s="30">
        <v>32972767</v>
      </c>
      <c r="Y189" t="s">
        <v>179</v>
      </c>
      <c r="Z189" s="30" t="s">
        <v>180</v>
      </c>
      <c r="AA189" s="30" t="s">
        <v>181</v>
      </c>
      <c r="AB189" s="30" t="s">
        <v>55</v>
      </c>
      <c r="AC189" s="30" t="s">
        <v>56</v>
      </c>
      <c r="AD189" s="30" t="s">
        <v>78</v>
      </c>
      <c r="AE189" s="30">
        <v>20513040718</v>
      </c>
      <c r="AF189" s="30" t="s">
        <v>835</v>
      </c>
      <c r="AG189" s="30" t="s">
        <v>836</v>
      </c>
      <c r="AH189" s="30" t="s">
        <v>661</v>
      </c>
      <c r="AI189" s="30" t="s">
        <v>837</v>
      </c>
      <c r="AJ189" s="30" t="s">
        <v>838</v>
      </c>
      <c r="AL189" s="30" t="s">
        <v>483</v>
      </c>
      <c r="AM189" t="s">
        <v>270</v>
      </c>
      <c r="AN189" s="30" t="s">
        <v>270</v>
      </c>
      <c r="AO189" s="30" t="s">
        <v>483</v>
      </c>
      <c r="AP189" s="30" t="s">
        <v>483</v>
      </c>
      <c r="AQ189" s="30" t="s">
        <v>483</v>
      </c>
      <c r="AR189" s="30" t="s">
        <v>483</v>
      </c>
      <c r="AS189" s="30" t="s">
        <v>83</v>
      </c>
      <c r="AT189" s="30" t="s">
        <v>240</v>
      </c>
      <c r="AU189" s="50">
        <v>46207.583333333336</v>
      </c>
      <c r="AV189" s="50">
        <v>46207.611805555556</v>
      </c>
      <c r="AW189" s="50">
        <v>46207.613194444442</v>
      </c>
      <c r="AX189" s="50">
        <v>46207.666666666664</v>
      </c>
      <c r="AY189" s="50">
        <v>46207.695833333331</v>
      </c>
      <c r="AZ189" s="50">
        <v>46207.75</v>
      </c>
      <c r="BA189" s="51">
        <v>46208.375</v>
      </c>
      <c r="BB189" s="51">
        <v>46208.405555555553</v>
      </c>
      <c r="BC189" s="50">
        <v>46208.444444444445</v>
      </c>
      <c r="BD189" s="50">
        <v>46208.452777777777</v>
      </c>
      <c r="BE189" s="51">
        <v>46208.520833333336</v>
      </c>
      <c r="BF189" s="51">
        <v>46208.65347222222</v>
      </c>
      <c r="BG189" s="51">
        <v>46208.666666666664</v>
      </c>
      <c r="BH189" s="51">
        <v>46208.702777777777</v>
      </c>
      <c r="BI189" s="30" t="s">
        <v>240</v>
      </c>
      <c r="BJ189" s="50">
        <v>46209.333333333336</v>
      </c>
      <c r="BK189" s="50">
        <v>46209.364583333336</v>
      </c>
      <c r="BL189" s="50">
        <v>46209.365972222222</v>
      </c>
      <c r="BM189" s="50">
        <v>46209.375</v>
      </c>
      <c r="BN189" s="50">
        <v>46209.40625</v>
      </c>
      <c r="BR189"/>
      <c r="BS189"/>
      <c r="BT189"/>
      <c r="BU189"/>
      <c r="BV189"/>
      <c r="BW189"/>
      <c r="BX189"/>
      <c r="BY189"/>
    </row>
    <row r="190" spans="1:77">
      <c r="A190" t="s">
        <v>168</v>
      </c>
      <c r="B190" s="30">
        <v>31</v>
      </c>
      <c r="C190" s="30">
        <v>27</v>
      </c>
      <c r="D190" s="30" t="s">
        <v>169</v>
      </c>
      <c r="E190" s="30" t="s">
        <v>170</v>
      </c>
      <c r="F190" s="48">
        <v>46204</v>
      </c>
      <c r="G190" s="48">
        <v>46205</v>
      </c>
      <c r="H190" s="49">
        <v>9.166666666666666E-2</v>
      </c>
      <c r="I190" s="49"/>
      <c r="J190" s="30" t="s">
        <v>53</v>
      </c>
      <c r="K190" s="30" t="s">
        <v>171</v>
      </c>
      <c r="L190" s="30">
        <v>1</v>
      </c>
      <c r="M190" s="30" t="s">
        <v>845</v>
      </c>
      <c r="P190" s="30" t="s">
        <v>174</v>
      </c>
      <c r="Q190" s="30" t="s">
        <v>83</v>
      </c>
      <c r="R190" s="30" t="s">
        <v>939</v>
      </c>
      <c r="S190" s="30" t="s">
        <v>391</v>
      </c>
      <c r="T190" s="30">
        <v>6506666080</v>
      </c>
      <c r="U190" s="30" t="s">
        <v>846</v>
      </c>
      <c r="V190" s="30">
        <v>22724</v>
      </c>
      <c r="W190" s="30">
        <v>33001700</v>
      </c>
      <c r="Y190" t="s">
        <v>179</v>
      </c>
      <c r="Z190" s="30" t="s">
        <v>180</v>
      </c>
      <c r="AA190" s="30" t="s">
        <v>181</v>
      </c>
      <c r="AB190" s="30" t="s">
        <v>55</v>
      </c>
      <c r="AC190" s="30" t="s">
        <v>56</v>
      </c>
      <c r="AD190" s="30" t="s">
        <v>78</v>
      </c>
      <c r="AE190" s="30">
        <v>20513040718</v>
      </c>
      <c r="AF190" s="30" t="s">
        <v>847</v>
      </c>
      <c r="AG190" s="30" t="s">
        <v>848</v>
      </c>
      <c r="AH190" s="30" t="s">
        <v>661</v>
      </c>
      <c r="AI190" s="30" t="s">
        <v>849</v>
      </c>
      <c r="AJ190" s="30" t="s">
        <v>850</v>
      </c>
      <c r="AL190" s="30" t="s">
        <v>483</v>
      </c>
      <c r="AM190" t="s">
        <v>270</v>
      </c>
      <c r="AN190" s="30" t="s">
        <v>270</v>
      </c>
      <c r="AO190" s="30" t="s">
        <v>483</v>
      </c>
      <c r="AP190" s="30" t="s">
        <v>483</v>
      </c>
      <c r="AQ190" s="30" t="s">
        <v>483</v>
      </c>
      <c r="AR190" s="30" t="s">
        <v>483</v>
      </c>
      <c r="AS190" s="30" t="s">
        <v>83</v>
      </c>
      <c r="AT190" s="30" t="s">
        <v>240</v>
      </c>
      <c r="AU190" s="50">
        <v>46204.708333333336</v>
      </c>
      <c r="AV190" s="50">
        <v>46204.711805555555</v>
      </c>
      <c r="AW190" s="50">
        <v>46204.713888888888</v>
      </c>
      <c r="AX190" s="50">
        <v>46204.791666666664</v>
      </c>
      <c r="AY190" s="50">
        <v>46204.807638888888</v>
      </c>
      <c r="AZ190" s="50">
        <v>46204.875</v>
      </c>
      <c r="BA190" s="51">
        <v>46205.375</v>
      </c>
      <c r="BB190" s="51">
        <v>46205.388888888891</v>
      </c>
      <c r="BC190" s="50">
        <v>46205.415972222225</v>
      </c>
      <c r="BD190" s="50">
        <v>46205.42291666667</v>
      </c>
      <c r="BE190" s="51">
        <v>46205.430555555555</v>
      </c>
      <c r="BF190" s="51">
        <v>46205.612500000003</v>
      </c>
      <c r="BG190" s="51">
        <v>46205.625</v>
      </c>
      <c r="BH190" s="51">
        <v>46205.646527777775</v>
      </c>
      <c r="BI190" s="30" t="s">
        <v>240</v>
      </c>
      <c r="BJ190" s="50">
        <v>46206.333333333336</v>
      </c>
      <c r="BK190" s="50">
        <v>46206.343055555553</v>
      </c>
      <c r="BL190" s="50">
        <v>46206.536111111112</v>
      </c>
      <c r="BM190" s="50">
        <v>46206.541666666664</v>
      </c>
      <c r="BN190" s="50">
        <v>46206.558333333334</v>
      </c>
      <c r="BR190"/>
      <c r="BS190"/>
      <c r="BT190"/>
      <c r="BU190"/>
      <c r="BV190"/>
      <c r="BW190"/>
      <c r="BX190"/>
      <c r="BY190"/>
    </row>
    <row r="191" spans="1:77">
      <c r="A191" t="s">
        <v>168</v>
      </c>
      <c r="B191" s="30">
        <v>33</v>
      </c>
      <c r="C191" s="30">
        <v>27</v>
      </c>
      <c r="D191" s="30" t="s">
        <v>169</v>
      </c>
      <c r="E191" s="30" t="s">
        <v>170</v>
      </c>
      <c r="F191" s="48">
        <v>46205</v>
      </c>
      <c r="G191" s="48">
        <v>46208</v>
      </c>
      <c r="H191" s="49">
        <v>0.5</v>
      </c>
      <c r="I191" s="49">
        <v>0.41666666666666669</v>
      </c>
      <c r="J191" s="30" t="s">
        <v>53</v>
      </c>
      <c r="K191" s="30" t="s">
        <v>171</v>
      </c>
      <c r="L191" s="30">
        <v>1</v>
      </c>
      <c r="M191" s="30" t="s">
        <v>856</v>
      </c>
      <c r="P191" s="30" t="s">
        <v>174</v>
      </c>
      <c r="Q191" s="30" t="s">
        <v>83</v>
      </c>
      <c r="R191" s="30" t="s">
        <v>939</v>
      </c>
      <c r="S191" s="30" t="s">
        <v>391</v>
      </c>
      <c r="T191" s="30">
        <v>6506665840</v>
      </c>
      <c r="U191" s="30" t="s">
        <v>857</v>
      </c>
      <c r="V191" s="30">
        <v>22733</v>
      </c>
      <c r="W191" s="30">
        <v>32972721</v>
      </c>
      <c r="Y191" t="s">
        <v>179</v>
      </c>
      <c r="Z191" s="30" t="s">
        <v>180</v>
      </c>
      <c r="AA191" s="30" t="s">
        <v>181</v>
      </c>
      <c r="AB191" s="30" t="s">
        <v>55</v>
      </c>
      <c r="AC191" s="30" t="s">
        <v>56</v>
      </c>
      <c r="AD191" s="30" t="s">
        <v>78</v>
      </c>
      <c r="AE191" s="30">
        <v>20513040718</v>
      </c>
      <c r="AF191" s="30" t="s">
        <v>858</v>
      </c>
      <c r="AG191" s="30" t="s">
        <v>859</v>
      </c>
      <c r="AH191" s="30" t="s">
        <v>661</v>
      </c>
      <c r="AI191" s="30" t="s">
        <v>860</v>
      </c>
      <c r="AJ191" s="30" t="s">
        <v>861</v>
      </c>
      <c r="AL191" s="30" t="s">
        <v>483</v>
      </c>
      <c r="AM191" t="s">
        <v>270</v>
      </c>
      <c r="AN191" s="30" t="s">
        <v>270</v>
      </c>
      <c r="AO191" s="30" t="s">
        <v>483</v>
      </c>
      <c r="AP191" s="30" t="s">
        <v>483</v>
      </c>
      <c r="AQ191" s="30" t="s">
        <v>483</v>
      </c>
      <c r="AR191" s="30" t="s">
        <v>483</v>
      </c>
      <c r="AS191" s="30" t="s">
        <v>83</v>
      </c>
      <c r="AT191" s="30" t="s">
        <v>240</v>
      </c>
      <c r="AU191" s="50">
        <v>46205.75</v>
      </c>
      <c r="AV191" s="50">
        <v>46205.650694444441</v>
      </c>
      <c r="AW191" s="50">
        <v>46205.666666666664</v>
      </c>
      <c r="AX191" s="50">
        <v>46205.739583333336</v>
      </c>
      <c r="AY191" s="50">
        <v>46205.75</v>
      </c>
      <c r="AZ191" s="50">
        <v>46205.875</v>
      </c>
      <c r="BA191" s="51">
        <v>46206.447222222225</v>
      </c>
      <c r="BB191" s="51">
        <v>46206.458333333336</v>
      </c>
      <c r="BC191" s="50">
        <v>46206.520833333336</v>
      </c>
      <c r="BD191" s="50">
        <v>46206.525000000001</v>
      </c>
      <c r="BE191" s="51">
        <v>46206.5625</v>
      </c>
      <c r="BF191" s="51">
        <v>46208.651388888888</v>
      </c>
      <c r="BG191" s="51">
        <v>46208.666666666664</v>
      </c>
      <c r="BH191" s="51">
        <v>46208.678472222222</v>
      </c>
      <c r="BI191" s="30" t="s">
        <v>240</v>
      </c>
      <c r="BJ191" s="50">
        <v>46209.041666666664</v>
      </c>
      <c r="BK191" s="50">
        <v>46209.070138888892</v>
      </c>
      <c r="BL191" s="50">
        <v>46209.074305555558</v>
      </c>
      <c r="BM191" s="50">
        <v>46209.083333333336</v>
      </c>
      <c r="BN191" s="50">
        <v>46209.109027777777</v>
      </c>
      <c r="BR191"/>
      <c r="BS191"/>
      <c r="BT191"/>
      <c r="BU191"/>
      <c r="BV191"/>
      <c r="BW191"/>
      <c r="BX191"/>
      <c r="BY191"/>
    </row>
    <row r="192" spans="1:77">
      <c r="A192" t="s">
        <v>168</v>
      </c>
      <c r="B192" s="30">
        <v>34</v>
      </c>
      <c r="C192" s="30">
        <v>27</v>
      </c>
      <c r="D192" s="30" t="s">
        <v>169</v>
      </c>
      <c r="E192" s="30" t="s">
        <v>170</v>
      </c>
      <c r="F192" s="48">
        <v>46206</v>
      </c>
      <c r="G192" s="48">
        <v>46207</v>
      </c>
      <c r="H192" s="49">
        <v>9.166666666666666E-2</v>
      </c>
      <c r="I192" s="49"/>
      <c r="J192" s="30" t="s">
        <v>53</v>
      </c>
      <c r="K192" s="30" t="s">
        <v>171</v>
      </c>
      <c r="L192" s="30">
        <v>1</v>
      </c>
      <c r="M192" s="30" t="s">
        <v>862</v>
      </c>
      <c r="P192" s="30" t="s">
        <v>174</v>
      </c>
      <c r="Q192" s="30" t="s">
        <v>83</v>
      </c>
      <c r="R192" s="30" t="s">
        <v>939</v>
      </c>
      <c r="S192" s="30" t="s">
        <v>391</v>
      </c>
      <c r="T192" s="30">
        <v>6506666350</v>
      </c>
      <c r="U192" s="30" t="s">
        <v>863</v>
      </c>
      <c r="V192" s="30">
        <v>22759</v>
      </c>
      <c r="Y192" t="s">
        <v>179</v>
      </c>
      <c r="Z192" s="30" t="s">
        <v>180</v>
      </c>
      <c r="AA192" s="30" t="s">
        <v>181</v>
      </c>
      <c r="AB192" s="30" t="s">
        <v>55</v>
      </c>
      <c r="AC192" s="30" t="s">
        <v>56</v>
      </c>
      <c r="AD192" s="30" t="s">
        <v>78</v>
      </c>
      <c r="AE192" s="30">
        <v>20513040718</v>
      </c>
      <c r="AF192" s="30" t="s">
        <v>864</v>
      </c>
      <c r="AG192" s="30" t="s">
        <v>865</v>
      </c>
      <c r="AH192" s="30" t="s">
        <v>661</v>
      </c>
      <c r="AI192" s="30" t="s">
        <v>866</v>
      </c>
      <c r="AJ192" s="30" t="s">
        <v>867</v>
      </c>
      <c r="AL192" s="30" t="s">
        <v>483</v>
      </c>
      <c r="AM192" t="s">
        <v>270</v>
      </c>
      <c r="AN192" s="30" t="s">
        <v>270</v>
      </c>
      <c r="AO192" s="30" t="s">
        <v>483</v>
      </c>
      <c r="AP192" s="30" t="s">
        <v>483</v>
      </c>
      <c r="AQ192" s="30" t="s">
        <v>483</v>
      </c>
      <c r="AR192" s="30" t="s">
        <v>483</v>
      </c>
      <c r="AS192" s="30" t="s">
        <v>83</v>
      </c>
      <c r="AT192" s="30" t="s">
        <v>240</v>
      </c>
      <c r="AU192" s="50">
        <v>46206.625</v>
      </c>
      <c r="AV192" s="50">
        <v>46206.666666666664</v>
      </c>
      <c r="AW192" s="50">
        <v>46206.675000000003</v>
      </c>
      <c r="AX192" s="50">
        <v>46206.708333333336</v>
      </c>
      <c r="AY192" s="50">
        <v>46206.740972222222</v>
      </c>
      <c r="AZ192" s="50">
        <v>46206.791666666664</v>
      </c>
      <c r="BA192" s="51">
        <v>46207.458333333336</v>
      </c>
      <c r="BB192" s="51">
        <v>46207.472222222219</v>
      </c>
      <c r="BC192" s="50">
        <v>46207.49722222222</v>
      </c>
      <c r="BD192" s="50">
        <v>46207.503472222219</v>
      </c>
      <c r="BE192" s="51">
        <v>46207.541666666664</v>
      </c>
      <c r="BF192" s="51">
        <v>46207.737500000003</v>
      </c>
      <c r="BG192" s="51">
        <v>46207.75</v>
      </c>
      <c r="BH192" s="51">
        <v>46207.761805555558</v>
      </c>
      <c r="BI192" s="30" t="s">
        <v>240</v>
      </c>
      <c r="BJ192" s="50">
        <v>46208.541666666664</v>
      </c>
      <c r="BK192" s="50">
        <v>46208.572222222225</v>
      </c>
      <c r="BL192" s="50">
        <v>46208.588888888888</v>
      </c>
      <c r="BM192" s="50">
        <v>46208.583333333336</v>
      </c>
      <c r="BN192" s="50">
        <v>46208.605555555558</v>
      </c>
      <c r="BR192"/>
      <c r="BS192"/>
      <c r="BT192"/>
      <c r="BU192"/>
      <c r="BV192"/>
      <c r="BW192"/>
      <c r="BX192"/>
      <c r="BY192"/>
    </row>
    <row r="193" spans="1:77">
      <c r="A193" t="s">
        <v>168</v>
      </c>
      <c r="B193" s="30">
        <v>35</v>
      </c>
      <c r="C193" s="30">
        <v>27</v>
      </c>
      <c r="D193" s="30" t="s">
        <v>169</v>
      </c>
      <c r="E193" s="30" t="s">
        <v>170</v>
      </c>
      <c r="F193" s="48">
        <v>46207</v>
      </c>
      <c r="G193" s="48">
        <v>46206</v>
      </c>
      <c r="H193" s="49">
        <v>9.166666666666666E-2</v>
      </c>
      <c r="I193" s="49"/>
      <c r="J193" s="30" t="s">
        <v>53</v>
      </c>
      <c r="K193" s="30" t="s">
        <v>171</v>
      </c>
      <c r="L193" s="30">
        <v>1</v>
      </c>
      <c r="M193" s="30" t="s">
        <v>868</v>
      </c>
      <c r="P193" s="30" t="s">
        <v>174</v>
      </c>
      <c r="Q193" s="30" t="s">
        <v>83</v>
      </c>
      <c r="R193" s="30" t="s">
        <v>939</v>
      </c>
      <c r="S193" s="30" t="s">
        <v>391</v>
      </c>
      <c r="T193" s="30">
        <v>6506666380</v>
      </c>
      <c r="U193" s="30" t="s">
        <v>869</v>
      </c>
      <c r="V193" s="30">
        <v>22754</v>
      </c>
      <c r="W193" s="30">
        <v>32972745</v>
      </c>
      <c r="Y193" t="s">
        <v>179</v>
      </c>
      <c r="Z193" s="30" t="s">
        <v>180</v>
      </c>
      <c r="AA193" s="30" t="s">
        <v>181</v>
      </c>
      <c r="AB193" s="30" t="s">
        <v>55</v>
      </c>
      <c r="AC193" s="30" t="s">
        <v>56</v>
      </c>
      <c r="AD193" s="30" t="s">
        <v>78</v>
      </c>
      <c r="AE193" s="30">
        <v>20513040718</v>
      </c>
      <c r="AF193" s="30" t="s">
        <v>696</v>
      </c>
      <c r="AG193" s="30" t="s">
        <v>697</v>
      </c>
      <c r="AH193" s="30" t="s">
        <v>661</v>
      </c>
      <c r="AI193" s="30" t="s">
        <v>698</v>
      </c>
      <c r="AJ193" s="30" t="s">
        <v>699</v>
      </c>
      <c r="AL193" s="30" t="s">
        <v>483</v>
      </c>
      <c r="AM193" t="s">
        <v>270</v>
      </c>
      <c r="AN193" s="30" t="s">
        <v>270</v>
      </c>
      <c r="AO193" s="30" t="s">
        <v>483</v>
      </c>
      <c r="AP193" s="30" t="s">
        <v>483</v>
      </c>
      <c r="AQ193" s="30" t="s">
        <v>483</v>
      </c>
      <c r="AR193" s="30" t="s">
        <v>483</v>
      </c>
      <c r="AS193" s="30" t="s">
        <v>83</v>
      </c>
      <c r="AT193" s="30" t="s">
        <v>240</v>
      </c>
      <c r="AU193" s="50">
        <v>46206.541666666664</v>
      </c>
      <c r="AV193" s="50">
        <v>46206.548611111109</v>
      </c>
      <c r="AW193" s="50">
        <v>46206.552083333336</v>
      </c>
      <c r="AX193" s="50">
        <v>46206.583333333336</v>
      </c>
      <c r="AY193" s="50">
        <v>46206.618055555555</v>
      </c>
      <c r="AZ193" s="50">
        <v>46206.833333333336</v>
      </c>
      <c r="BA193" s="51">
        <v>46207.375</v>
      </c>
      <c r="BB193" s="51">
        <v>46207.388888888891</v>
      </c>
      <c r="BC193" s="50">
        <v>46207.386805555558</v>
      </c>
      <c r="BD193" s="50">
        <v>46207.395833333336</v>
      </c>
      <c r="BE193" s="51">
        <v>46207.458333333336</v>
      </c>
      <c r="BF193" s="51">
        <v>46208.606944444444</v>
      </c>
      <c r="BG193" s="51">
        <v>46208.625</v>
      </c>
      <c r="BH193" s="51">
        <v>46208.664583333331</v>
      </c>
      <c r="BI193" s="30" t="s">
        <v>240</v>
      </c>
      <c r="BJ193" s="50">
        <v>46209.166666666664</v>
      </c>
      <c r="BK193" s="50">
        <v>46209.2</v>
      </c>
      <c r="BL193" s="50">
        <v>46209.201388888891</v>
      </c>
      <c r="BM193" s="50">
        <v>46209.208333333336</v>
      </c>
      <c r="BN193" s="50">
        <v>46209.236111111109</v>
      </c>
      <c r="BR193"/>
      <c r="BS193"/>
      <c r="BT193"/>
      <c r="BU193"/>
      <c r="BV193"/>
      <c r="BW193"/>
      <c r="BX193"/>
      <c r="BY193"/>
    </row>
    <row r="194" spans="1:77">
      <c r="A194" t="s">
        <v>168</v>
      </c>
      <c r="B194" s="30">
        <v>36</v>
      </c>
      <c r="C194" s="30">
        <v>27</v>
      </c>
      <c r="D194" s="30" t="s">
        <v>169</v>
      </c>
      <c r="E194" s="30" t="s">
        <v>170</v>
      </c>
      <c r="F194" s="48">
        <v>46206</v>
      </c>
      <c r="G194" s="48">
        <v>46207</v>
      </c>
      <c r="H194" s="49">
        <v>0.45833333333333331</v>
      </c>
      <c r="I194" s="49">
        <v>0.375</v>
      </c>
      <c r="J194" s="30" t="s">
        <v>53</v>
      </c>
      <c r="K194" s="30" t="s">
        <v>171</v>
      </c>
      <c r="L194" s="30">
        <v>1</v>
      </c>
      <c r="M194" s="30" t="s">
        <v>870</v>
      </c>
      <c r="P194" s="30" t="s">
        <v>174</v>
      </c>
      <c r="Q194" s="30" t="s">
        <v>83</v>
      </c>
      <c r="R194" s="30" t="s">
        <v>1822</v>
      </c>
      <c r="S194" s="30" t="s">
        <v>391</v>
      </c>
      <c r="T194" s="30">
        <v>6506666540</v>
      </c>
      <c r="U194" s="30" t="s">
        <v>871</v>
      </c>
      <c r="V194" s="30">
        <v>22762</v>
      </c>
      <c r="Y194" t="s">
        <v>179</v>
      </c>
      <c r="Z194" s="30" t="s">
        <v>180</v>
      </c>
      <c r="AA194" s="30" t="s">
        <v>181</v>
      </c>
      <c r="AB194" s="30" t="s">
        <v>55</v>
      </c>
      <c r="AC194" s="30" t="s">
        <v>56</v>
      </c>
      <c r="AD194" s="30" t="s">
        <v>78</v>
      </c>
      <c r="AE194" s="30">
        <v>20513040718</v>
      </c>
      <c r="AF194" s="30" t="s">
        <v>872</v>
      </c>
      <c r="AG194" s="30" t="s">
        <v>873</v>
      </c>
      <c r="AH194" s="30" t="s">
        <v>661</v>
      </c>
      <c r="AI194" s="30" t="s">
        <v>874</v>
      </c>
      <c r="AJ194" s="30" t="s">
        <v>875</v>
      </c>
      <c r="AL194" s="30" t="s">
        <v>483</v>
      </c>
      <c r="AM194" t="s">
        <v>270</v>
      </c>
      <c r="AN194" s="30" t="s">
        <v>270</v>
      </c>
      <c r="AO194" s="30" t="s">
        <v>483</v>
      </c>
      <c r="AP194" s="30" t="s">
        <v>483</v>
      </c>
      <c r="AQ194" s="30" t="s">
        <v>483</v>
      </c>
      <c r="AR194" s="30" t="s">
        <v>483</v>
      </c>
      <c r="AS194" s="30" t="s">
        <v>83</v>
      </c>
      <c r="AT194" s="30" t="s">
        <v>240</v>
      </c>
      <c r="AU194" s="50">
        <v>46206.666666666664</v>
      </c>
      <c r="AV194" s="50">
        <v>46206.693055555559</v>
      </c>
      <c r="AW194" s="50">
        <v>46206.694444444445</v>
      </c>
      <c r="AX194" s="50">
        <v>46206.791666666664</v>
      </c>
      <c r="AY194" s="50">
        <v>46206.820138888892</v>
      </c>
      <c r="AZ194" s="50">
        <v>46206.875</v>
      </c>
      <c r="BA194" s="51">
        <v>46207.375</v>
      </c>
      <c r="BB194" s="51">
        <v>46207.395833333336</v>
      </c>
      <c r="BC194" s="50">
        <v>46207.375694444447</v>
      </c>
      <c r="BD194" s="50">
        <v>46207.383333333331</v>
      </c>
      <c r="BE194" s="51">
        <v>46207.4375</v>
      </c>
      <c r="BF194" s="51">
        <v>46207.78125</v>
      </c>
      <c r="BG194" s="51">
        <v>46207.791666666664</v>
      </c>
      <c r="BH194" s="51">
        <v>46207.81527777778</v>
      </c>
      <c r="BI194" s="30" t="s">
        <v>240</v>
      </c>
      <c r="BJ194" s="50">
        <v>46208.166666666664</v>
      </c>
      <c r="BK194" s="50">
        <v>46208.193055555559</v>
      </c>
      <c r="BL194" s="50">
        <v>46208.20208333333</v>
      </c>
      <c r="BM194" s="50">
        <v>46208.208333333336</v>
      </c>
      <c r="BN194" s="50">
        <v>46208.229861111111</v>
      </c>
      <c r="BR194"/>
      <c r="BS194"/>
      <c r="BT194"/>
      <c r="BU194"/>
      <c r="BV194"/>
      <c r="BW194"/>
      <c r="BX194"/>
      <c r="BY194"/>
    </row>
    <row r="195" spans="1:77">
      <c r="A195" t="s">
        <v>168</v>
      </c>
      <c r="B195" s="30">
        <v>38</v>
      </c>
      <c r="C195" s="30">
        <v>27</v>
      </c>
      <c r="D195" s="30" t="s">
        <v>169</v>
      </c>
      <c r="E195" s="30" t="s">
        <v>170</v>
      </c>
      <c r="F195" s="48">
        <v>46208</v>
      </c>
      <c r="G195" s="48">
        <v>46209</v>
      </c>
      <c r="H195" s="49">
        <v>0.5</v>
      </c>
      <c r="I195" s="49">
        <v>0.41666666666666669</v>
      </c>
      <c r="J195" s="30" t="s">
        <v>53</v>
      </c>
      <c r="K195" s="30" t="s">
        <v>171</v>
      </c>
      <c r="L195" s="30">
        <v>1</v>
      </c>
      <c r="M195" s="30" t="s">
        <v>882</v>
      </c>
      <c r="P195" s="30" t="s">
        <v>174</v>
      </c>
      <c r="Q195" s="30" t="s">
        <v>84</v>
      </c>
      <c r="R195" s="30" t="s">
        <v>1822</v>
      </c>
      <c r="S195" s="30" t="s">
        <v>1880</v>
      </c>
      <c r="T195" s="30" t="s">
        <v>883</v>
      </c>
      <c r="U195" s="30" t="s">
        <v>884</v>
      </c>
      <c r="V195" s="30">
        <v>478391</v>
      </c>
      <c r="Y195" t="s">
        <v>179</v>
      </c>
      <c r="Z195" s="30" t="s">
        <v>180</v>
      </c>
      <c r="AA195" s="30" t="s">
        <v>181</v>
      </c>
      <c r="AB195" s="30" t="s">
        <v>55</v>
      </c>
      <c r="AC195" s="30" t="s">
        <v>56</v>
      </c>
      <c r="AD195" s="30" t="s">
        <v>78</v>
      </c>
      <c r="AE195" s="30">
        <v>20513040718</v>
      </c>
      <c r="AF195" s="30" t="s">
        <v>878</v>
      </c>
      <c r="AG195" s="30" t="s">
        <v>879</v>
      </c>
      <c r="AH195" s="30" t="s">
        <v>661</v>
      </c>
      <c r="AI195" s="30" t="s">
        <v>880</v>
      </c>
      <c r="AJ195" s="30" t="s">
        <v>881</v>
      </c>
      <c r="AL195" s="30" t="s">
        <v>483</v>
      </c>
      <c r="AM195" t="s">
        <v>270</v>
      </c>
      <c r="AN195" s="30" t="s">
        <v>270</v>
      </c>
      <c r="AO195" s="30" t="s">
        <v>483</v>
      </c>
      <c r="AP195" s="30" t="s">
        <v>483</v>
      </c>
      <c r="AQ195" s="30" t="s">
        <v>483</v>
      </c>
      <c r="AR195" s="30" t="s">
        <v>483</v>
      </c>
      <c r="AS195" s="30" t="s">
        <v>84</v>
      </c>
      <c r="AT195" s="30" t="s">
        <v>253</v>
      </c>
      <c r="AU195" s="50">
        <v>46208.625</v>
      </c>
      <c r="AV195" s="50">
        <v>46208.663194444445</v>
      </c>
      <c r="AW195" s="50">
        <v>46208.676388888889</v>
      </c>
      <c r="AX195" s="50">
        <v>46208.75</v>
      </c>
      <c r="AY195" s="50">
        <v>46208.753472222219</v>
      </c>
      <c r="AZ195" s="50">
        <v>46208.833333333336</v>
      </c>
      <c r="BA195" s="51">
        <v>46209.518055555556</v>
      </c>
      <c r="BB195" s="51">
        <v>46209.5</v>
      </c>
      <c r="BC195" s="50">
        <v>46209.520833333336</v>
      </c>
      <c r="BD195" s="50">
        <v>46209.523611111108</v>
      </c>
      <c r="BE195" s="51">
        <v>46209.569444444445</v>
      </c>
      <c r="BF195" s="51">
        <v>46209.654166666667</v>
      </c>
      <c r="BG195" s="51">
        <v>46209.666666666664</v>
      </c>
      <c r="BH195" s="51">
        <v>46209.69027777778</v>
      </c>
      <c r="BI195" s="30" t="s">
        <v>64</v>
      </c>
      <c r="BJ195" s="50">
        <v>46210.541666666664</v>
      </c>
      <c r="BK195" s="50">
        <v>46210.544444444444</v>
      </c>
      <c r="BL195" s="50">
        <v>46210.591666666667</v>
      </c>
      <c r="BM195" s="50">
        <v>46210.583333333336</v>
      </c>
      <c r="BN195" s="50">
        <v>46210.602083333331</v>
      </c>
      <c r="BR195"/>
      <c r="BS195"/>
      <c r="BT195"/>
      <c r="BU195"/>
      <c r="BV195"/>
      <c r="BW195"/>
      <c r="BX195"/>
      <c r="BY195"/>
    </row>
    <row r="196" spans="1:77">
      <c r="A196" t="s">
        <v>168</v>
      </c>
      <c r="B196" s="30">
        <v>39</v>
      </c>
      <c r="C196" s="30">
        <v>27</v>
      </c>
      <c r="D196" s="30" t="s">
        <v>169</v>
      </c>
      <c r="E196" s="30" t="s">
        <v>170</v>
      </c>
      <c r="F196" s="48">
        <v>46208</v>
      </c>
      <c r="G196" s="48">
        <v>46209</v>
      </c>
      <c r="H196" s="49">
        <v>0.58333333333333337</v>
      </c>
      <c r="I196" s="49">
        <v>0.5</v>
      </c>
      <c r="J196" s="30" t="s">
        <v>53</v>
      </c>
      <c r="K196" s="30" t="s">
        <v>171</v>
      </c>
      <c r="L196" s="30">
        <v>1</v>
      </c>
      <c r="M196" s="30" t="s">
        <v>885</v>
      </c>
      <c r="P196" s="30" t="s">
        <v>174</v>
      </c>
      <c r="Q196" s="30" t="s">
        <v>83</v>
      </c>
      <c r="R196" s="30" t="s">
        <v>951</v>
      </c>
      <c r="S196" s="30" t="s">
        <v>391</v>
      </c>
      <c r="T196" s="30">
        <v>6506666730</v>
      </c>
      <c r="U196" s="30" t="s">
        <v>886</v>
      </c>
      <c r="V196" s="30">
        <v>22789</v>
      </c>
      <c r="Y196" t="s">
        <v>179</v>
      </c>
      <c r="Z196" s="30" t="s">
        <v>180</v>
      </c>
      <c r="AA196" s="30" t="s">
        <v>181</v>
      </c>
      <c r="AB196" s="30" t="s">
        <v>55</v>
      </c>
      <c r="AC196" s="30" t="s">
        <v>56</v>
      </c>
      <c r="AD196" s="30" t="s">
        <v>78</v>
      </c>
      <c r="AE196" s="30">
        <v>20513040718</v>
      </c>
      <c r="AF196" s="30" t="s">
        <v>709</v>
      </c>
      <c r="AG196" s="30" t="s">
        <v>710</v>
      </c>
      <c r="AH196" s="30" t="s">
        <v>661</v>
      </c>
      <c r="AI196" s="30" t="s">
        <v>711</v>
      </c>
      <c r="AJ196" s="30" t="s">
        <v>712</v>
      </c>
      <c r="AL196" s="30" t="s">
        <v>483</v>
      </c>
      <c r="AM196" t="s">
        <v>270</v>
      </c>
      <c r="AN196" s="30" t="s">
        <v>270</v>
      </c>
      <c r="AO196" s="30" t="s">
        <v>483</v>
      </c>
      <c r="AP196" s="30" t="s">
        <v>483</v>
      </c>
      <c r="AQ196" s="30" t="s">
        <v>483</v>
      </c>
      <c r="AR196" s="30" t="s">
        <v>483</v>
      </c>
      <c r="AS196" s="30" t="s">
        <v>83</v>
      </c>
      <c r="AT196" s="30" t="s">
        <v>240</v>
      </c>
      <c r="AU196" s="50">
        <v>46208.708333333336</v>
      </c>
      <c r="AV196" s="50">
        <v>46208.861805555556</v>
      </c>
      <c r="AW196" s="50">
        <v>46208.869444444441</v>
      </c>
      <c r="AX196" s="50">
        <v>46208.916666666664</v>
      </c>
      <c r="AY196" s="50">
        <v>46208.938194444447</v>
      </c>
      <c r="AZ196" s="50">
        <v>46208.979166666664</v>
      </c>
      <c r="BA196" s="51">
        <v>46209.478472222225</v>
      </c>
      <c r="BB196" s="51">
        <v>46209.486111111109</v>
      </c>
      <c r="BC196" s="50">
        <v>46209.583333333336</v>
      </c>
      <c r="BD196" s="50">
        <v>46209.590277777781</v>
      </c>
      <c r="BE196" s="51">
        <v>46209.625</v>
      </c>
      <c r="BF196" s="51">
        <v>46209.696527777778</v>
      </c>
      <c r="BG196" s="51">
        <v>46209.708333333336</v>
      </c>
      <c r="BH196" s="51">
        <v>46209.732638888891</v>
      </c>
      <c r="BI196" s="30" t="s">
        <v>64</v>
      </c>
      <c r="BJ196" s="50">
        <v>46210.166666666664</v>
      </c>
      <c r="BK196" s="50">
        <v>46210.174305555556</v>
      </c>
      <c r="BL196" s="50">
        <v>46210.204861111109</v>
      </c>
      <c r="BM196" s="50">
        <v>46210.604166666664</v>
      </c>
      <c r="BN196" s="50">
        <v>46210.620833333334</v>
      </c>
      <c r="BR196"/>
      <c r="BS196"/>
      <c r="BT196"/>
      <c r="BU196"/>
      <c r="BV196"/>
      <c r="BW196"/>
      <c r="BX196"/>
      <c r="BY196"/>
    </row>
    <row r="197" spans="1:77">
      <c r="A197" t="s">
        <v>168</v>
      </c>
      <c r="B197" s="30">
        <v>40</v>
      </c>
      <c r="C197" s="30">
        <v>27</v>
      </c>
      <c r="D197" s="30" t="s">
        <v>169</v>
      </c>
      <c r="E197" s="30" t="s">
        <v>170</v>
      </c>
      <c r="F197" s="48">
        <v>46205</v>
      </c>
      <c r="G197" s="48">
        <v>46206</v>
      </c>
      <c r="H197" s="49">
        <v>0.66666666666666663</v>
      </c>
      <c r="I197" s="49">
        <v>0.58333333333333337</v>
      </c>
      <c r="J197" s="30" t="s">
        <v>53</v>
      </c>
      <c r="K197" s="30" t="s">
        <v>171</v>
      </c>
      <c r="L197" s="30">
        <v>1</v>
      </c>
      <c r="M197" s="30" t="s">
        <v>887</v>
      </c>
      <c r="P197" s="30" t="s">
        <v>174</v>
      </c>
      <c r="Q197" s="30" t="s">
        <v>84</v>
      </c>
      <c r="R197" s="30" t="s">
        <v>175</v>
      </c>
      <c r="S197" s="30" t="s">
        <v>1883</v>
      </c>
      <c r="T197" s="30" t="s">
        <v>888</v>
      </c>
      <c r="U197" s="30" t="s">
        <v>889</v>
      </c>
      <c r="V197" s="30">
        <v>393974</v>
      </c>
      <c r="W197" s="30" t="s">
        <v>1884</v>
      </c>
      <c r="Y197" t="s">
        <v>941</v>
      </c>
      <c r="Z197" s="30" t="s">
        <v>180</v>
      </c>
      <c r="AA197" s="30" t="s">
        <v>181</v>
      </c>
      <c r="AB197" s="30" t="s">
        <v>55</v>
      </c>
      <c r="AC197" s="30" t="s">
        <v>92</v>
      </c>
      <c r="AD197" s="30" t="s">
        <v>762</v>
      </c>
      <c r="AE197" s="30">
        <v>20614404460</v>
      </c>
      <c r="AF197" s="30" t="s">
        <v>890</v>
      </c>
      <c r="AG197" s="30" t="s">
        <v>891</v>
      </c>
      <c r="AH197" s="30" t="s">
        <v>661</v>
      </c>
      <c r="AI197" s="30" t="s">
        <v>892</v>
      </c>
      <c r="AJ197" s="30" t="s">
        <v>893</v>
      </c>
      <c r="AL197" s="30" t="s">
        <v>483</v>
      </c>
      <c r="AM197" t="s">
        <v>270</v>
      </c>
      <c r="AN197" s="30" t="s">
        <v>270</v>
      </c>
      <c r="AO197" s="30" t="s">
        <v>483</v>
      </c>
      <c r="AP197" s="30" t="s">
        <v>483</v>
      </c>
      <c r="AQ197" s="30" t="s">
        <v>483</v>
      </c>
      <c r="AR197" s="30" t="s">
        <v>483</v>
      </c>
      <c r="AS197" s="30" t="s">
        <v>84</v>
      </c>
      <c r="AT197" s="30" t="s">
        <v>894</v>
      </c>
      <c r="AU197" s="50">
        <v>46205.541666666664</v>
      </c>
      <c r="AV197" s="50">
        <v>46205.559027777781</v>
      </c>
      <c r="AW197" s="50">
        <v>46205.599305555559</v>
      </c>
      <c r="AX197" s="50">
        <v>46205.625</v>
      </c>
      <c r="AY197" s="50">
        <v>46205.636805555558</v>
      </c>
      <c r="AZ197" s="50">
        <v>46205.666666666664</v>
      </c>
      <c r="BA197" s="51">
        <v>46206.444444444445</v>
      </c>
      <c r="BB197" s="51">
        <v>46206.454861111109</v>
      </c>
      <c r="BC197" s="50">
        <v>46206.5</v>
      </c>
      <c r="BD197" s="50">
        <v>46206.509027777778</v>
      </c>
      <c r="BE197" s="51">
        <v>46206.583333333336</v>
      </c>
      <c r="BF197" s="51">
        <v>46206.736111111109</v>
      </c>
      <c r="BG197" s="51">
        <v>46206.75</v>
      </c>
      <c r="BH197" s="51">
        <v>46206.776388888888</v>
      </c>
      <c r="BI197" s="30" t="s">
        <v>64</v>
      </c>
      <c r="BJ197" s="50">
        <v>46207.583333333336</v>
      </c>
      <c r="BK197" s="50">
        <v>46207.584027777775</v>
      </c>
      <c r="BL197" s="50">
        <v>46207.675694444442</v>
      </c>
      <c r="BM197" s="50">
        <v>46207.666666666664</v>
      </c>
      <c r="BN197" s="50">
        <v>46207.681250000001</v>
      </c>
      <c r="BR197"/>
      <c r="BS197"/>
      <c r="BT197"/>
      <c r="BU197"/>
      <c r="BV197"/>
      <c r="BW197"/>
      <c r="BX197"/>
      <c r="BY197"/>
    </row>
    <row r="198" spans="1:77">
      <c r="A198" t="s">
        <v>168</v>
      </c>
      <c r="B198" s="30">
        <v>41</v>
      </c>
      <c r="C198" s="30">
        <v>27</v>
      </c>
      <c r="D198" s="30" t="s">
        <v>169</v>
      </c>
      <c r="E198" s="30" t="s">
        <v>170</v>
      </c>
      <c r="F198" s="48">
        <v>46205</v>
      </c>
      <c r="G198" s="48">
        <v>46206</v>
      </c>
      <c r="H198" s="49">
        <v>0.70833333333333337</v>
      </c>
      <c r="I198" s="49">
        <v>0.625</v>
      </c>
      <c r="J198" s="30" t="s">
        <v>53</v>
      </c>
      <c r="K198" s="30" t="s">
        <v>171</v>
      </c>
      <c r="L198" s="30">
        <v>1</v>
      </c>
      <c r="M198" s="30" t="s">
        <v>895</v>
      </c>
      <c r="P198" s="30" t="s">
        <v>174</v>
      </c>
      <c r="Q198" s="30" t="s">
        <v>84</v>
      </c>
      <c r="R198" s="30" t="s">
        <v>175</v>
      </c>
      <c r="S198" s="30" t="s">
        <v>1883</v>
      </c>
      <c r="T198" s="30" t="s">
        <v>896</v>
      </c>
      <c r="U198" s="30" t="s">
        <v>897</v>
      </c>
      <c r="V198" s="30">
        <v>3940</v>
      </c>
      <c r="Y198" t="s">
        <v>941</v>
      </c>
      <c r="Z198" s="30" t="s">
        <v>180</v>
      </c>
      <c r="AA198" s="30" t="s">
        <v>181</v>
      </c>
      <c r="AB198" s="30" t="s">
        <v>55</v>
      </c>
      <c r="AC198" s="30" t="s">
        <v>92</v>
      </c>
      <c r="AD198" s="30" t="s">
        <v>898</v>
      </c>
      <c r="AE198" s="30">
        <v>20609718561</v>
      </c>
      <c r="AF198" s="30" t="s">
        <v>899</v>
      </c>
      <c r="AG198" s="30" t="s">
        <v>900</v>
      </c>
      <c r="AH198" s="30" t="s">
        <v>661</v>
      </c>
      <c r="AI198" s="30" t="s">
        <v>901</v>
      </c>
      <c r="AJ198" s="30" t="s">
        <v>902</v>
      </c>
      <c r="AL198" s="30" t="s">
        <v>483</v>
      </c>
      <c r="AM198" t="s">
        <v>270</v>
      </c>
      <c r="AN198" s="30" t="s">
        <v>270</v>
      </c>
      <c r="AO198" s="30" t="s">
        <v>483</v>
      </c>
      <c r="AP198" s="30" t="s">
        <v>483</v>
      </c>
      <c r="AQ198" s="30" t="s">
        <v>483</v>
      </c>
      <c r="AR198" s="30" t="s">
        <v>483</v>
      </c>
      <c r="AS198" s="30" t="s">
        <v>84</v>
      </c>
      <c r="AT198" s="30" t="s">
        <v>894</v>
      </c>
      <c r="AU198" s="50">
        <v>46205.625</v>
      </c>
      <c r="AV198" s="50">
        <v>46205.618055555555</v>
      </c>
      <c r="AW198" s="50">
        <v>46205.625</v>
      </c>
      <c r="AX198" s="50">
        <v>46205.75</v>
      </c>
      <c r="AY198" s="50">
        <v>46205.788888888892</v>
      </c>
      <c r="AZ198" s="50">
        <v>46205.833333333336</v>
      </c>
      <c r="BA198" s="51">
        <v>46206.425694444442</v>
      </c>
      <c r="BB198" s="51">
        <v>46206.454861111109</v>
      </c>
      <c r="BE198" s="51">
        <v>46206.625</v>
      </c>
      <c r="BF198" s="51">
        <v>46206.730555555558</v>
      </c>
      <c r="BG198" s="51">
        <v>46206.75</v>
      </c>
      <c r="BH198" s="51">
        <v>46206.774305555555</v>
      </c>
      <c r="BI198" s="30" t="s">
        <v>64</v>
      </c>
      <c r="BJ198" s="50">
        <v>46207.416666666664</v>
      </c>
      <c r="BK198" s="50">
        <v>46207.448611111111</v>
      </c>
      <c r="BL198" s="50">
        <v>46207.498611111114</v>
      </c>
      <c r="BM198" s="50">
        <v>46207.5</v>
      </c>
      <c r="BN198" s="50">
        <v>46207.506944444445</v>
      </c>
      <c r="BR198"/>
      <c r="BS198"/>
      <c r="BT198"/>
      <c r="BU198"/>
      <c r="BV198"/>
      <c r="BW198"/>
      <c r="BX198"/>
      <c r="BY198"/>
    </row>
    <row r="199" spans="1:77">
      <c r="A199" t="s">
        <v>168</v>
      </c>
      <c r="B199" s="30">
        <v>37</v>
      </c>
      <c r="C199" s="30">
        <v>27</v>
      </c>
      <c r="D199" s="30" t="s">
        <v>169</v>
      </c>
      <c r="E199" s="30" t="s">
        <v>170</v>
      </c>
      <c r="F199" s="48">
        <v>46206</v>
      </c>
      <c r="G199" s="48">
        <v>46207</v>
      </c>
      <c r="H199" s="49">
        <v>0.70833333333333337</v>
      </c>
      <c r="I199" s="49">
        <v>0.625</v>
      </c>
      <c r="J199" s="30" t="s">
        <v>53</v>
      </c>
      <c r="K199" s="30" t="s">
        <v>171</v>
      </c>
      <c r="L199" s="30">
        <v>1</v>
      </c>
      <c r="M199" s="30" t="s">
        <v>876</v>
      </c>
      <c r="P199" s="30" t="s">
        <v>174</v>
      </c>
      <c r="Q199" s="30" t="s">
        <v>83</v>
      </c>
      <c r="R199" s="30" t="s">
        <v>1822</v>
      </c>
      <c r="S199" s="30" t="s">
        <v>391</v>
      </c>
      <c r="T199" s="30">
        <v>6506964600</v>
      </c>
      <c r="U199" s="30" t="s">
        <v>877</v>
      </c>
      <c r="V199" s="30">
        <v>22766</v>
      </c>
      <c r="Y199" t="s">
        <v>179</v>
      </c>
      <c r="Z199" s="30" t="s">
        <v>180</v>
      </c>
      <c r="AA199" s="30" t="s">
        <v>181</v>
      </c>
      <c r="AB199" s="30" t="s">
        <v>55</v>
      </c>
      <c r="AC199" s="30" t="s">
        <v>56</v>
      </c>
      <c r="AD199" s="30" t="s">
        <v>78</v>
      </c>
      <c r="AE199" s="30">
        <v>20513040718</v>
      </c>
      <c r="AF199" s="30" t="s">
        <v>878</v>
      </c>
      <c r="AG199" s="30" t="s">
        <v>879</v>
      </c>
      <c r="AH199" s="30" t="s">
        <v>661</v>
      </c>
      <c r="AI199" s="30" t="s">
        <v>880</v>
      </c>
      <c r="AJ199" s="30" t="s">
        <v>881</v>
      </c>
      <c r="AL199" s="30" t="s">
        <v>483</v>
      </c>
      <c r="AM199" t="s">
        <v>270</v>
      </c>
      <c r="AN199" s="30" t="s">
        <v>270</v>
      </c>
      <c r="AO199" s="30" t="s">
        <v>483</v>
      </c>
      <c r="AP199" s="30" t="s">
        <v>483</v>
      </c>
      <c r="AQ199" s="30" t="s">
        <v>483</v>
      </c>
      <c r="AR199" s="30" t="s">
        <v>483</v>
      </c>
      <c r="AS199" s="30" t="s">
        <v>83</v>
      </c>
      <c r="AT199" s="30" t="s">
        <v>240</v>
      </c>
      <c r="AU199" s="50">
        <v>46206.791666666664</v>
      </c>
      <c r="AV199" s="50">
        <v>46206.806944444441</v>
      </c>
      <c r="AW199" s="50">
        <v>46206.8125</v>
      </c>
      <c r="AX199" s="50">
        <v>46206.916666666664</v>
      </c>
      <c r="AY199" s="50">
        <v>46206.921527777777</v>
      </c>
      <c r="AZ199" s="50">
        <v>46206.916666666664</v>
      </c>
      <c r="BA199" s="51">
        <v>46207.625</v>
      </c>
      <c r="BB199" s="51">
        <v>46207.652777777781</v>
      </c>
      <c r="BC199" s="50">
        <v>46207.665277777778</v>
      </c>
      <c r="BD199" s="50">
        <v>46207.665277777778</v>
      </c>
      <c r="BE199" s="51">
        <v>46207.666666666664</v>
      </c>
      <c r="BF199" s="51">
        <v>46207.820138888892</v>
      </c>
      <c r="BG199" s="51">
        <v>46207.833333333336</v>
      </c>
      <c r="BH199" s="51">
        <v>46207.871527777781</v>
      </c>
      <c r="BI199" s="30" t="s">
        <v>240</v>
      </c>
      <c r="BJ199" s="50">
        <v>46208.416666666664</v>
      </c>
      <c r="BK199" s="50">
        <v>46208.418055555558</v>
      </c>
      <c r="BL199" s="50">
        <v>46208.510416666664</v>
      </c>
      <c r="BM199" s="50">
        <v>46208.5</v>
      </c>
      <c r="BN199" s="50">
        <v>46208.53125</v>
      </c>
      <c r="BR199"/>
      <c r="BS199"/>
      <c r="BT199"/>
      <c r="BU199"/>
      <c r="BV199"/>
      <c r="BW199"/>
      <c r="BX199"/>
      <c r="BY199"/>
    </row>
    <row r="200" spans="1:77">
      <c r="A200" t="s">
        <v>168</v>
      </c>
      <c r="B200" s="30">
        <v>30</v>
      </c>
      <c r="C200" s="30">
        <v>27</v>
      </c>
      <c r="D200" s="30" t="s">
        <v>169</v>
      </c>
      <c r="E200" s="30" t="s">
        <v>170</v>
      </c>
      <c r="F200" s="48">
        <v>46207</v>
      </c>
      <c r="G200" s="48">
        <v>46208</v>
      </c>
      <c r="H200" s="49">
        <v>0.58333333333333337</v>
      </c>
      <c r="I200" s="49">
        <v>0.5</v>
      </c>
      <c r="J200" s="30" t="s">
        <v>53</v>
      </c>
      <c r="K200" s="30" t="s">
        <v>171</v>
      </c>
      <c r="L200" s="30">
        <v>1</v>
      </c>
      <c r="M200" s="30" t="s">
        <v>839</v>
      </c>
      <c r="P200" s="30" t="s">
        <v>174</v>
      </c>
      <c r="Q200" s="30" t="s">
        <v>83</v>
      </c>
      <c r="R200" s="30" t="s">
        <v>939</v>
      </c>
      <c r="S200" s="30" t="s">
        <v>391</v>
      </c>
      <c r="T200" s="30">
        <v>6506666550</v>
      </c>
      <c r="U200" s="30" t="s">
        <v>840</v>
      </c>
      <c r="V200" s="30">
        <v>22779</v>
      </c>
      <c r="Y200" t="s">
        <v>179</v>
      </c>
      <c r="Z200" s="30" t="s">
        <v>180</v>
      </c>
      <c r="AA200" s="30" t="s">
        <v>181</v>
      </c>
      <c r="AB200" s="30" t="s">
        <v>55</v>
      </c>
      <c r="AC200" s="30" t="s">
        <v>92</v>
      </c>
      <c r="AD200" s="30" t="s">
        <v>841</v>
      </c>
      <c r="AE200" s="30">
        <v>10257534745</v>
      </c>
      <c r="AF200" s="30" t="s">
        <v>842</v>
      </c>
      <c r="AG200" s="30" t="s">
        <v>843</v>
      </c>
      <c r="AH200" s="30" t="s">
        <v>661</v>
      </c>
      <c r="AI200" s="30" t="s">
        <v>841</v>
      </c>
      <c r="AJ200" s="30" t="s">
        <v>844</v>
      </c>
      <c r="AL200" s="30" t="s">
        <v>483</v>
      </c>
      <c r="AM200" t="s">
        <v>270</v>
      </c>
      <c r="AN200" s="30" t="s">
        <v>270</v>
      </c>
      <c r="AO200" s="30" t="s">
        <v>483</v>
      </c>
      <c r="AP200" s="30" t="s">
        <v>483</v>
      </c>
      <c r="AQ200" s="30" t="s">
        <v>483</v>
      </c>
      <c r="AR200" s="30" t="s">
        <v>483</v>
      </c>
      <c r="AS200" s="30" t="s">
        <v>83</v>
      </c>
      <c r="AT200" s="30" t="s">
        <v>240</v>
      </c>
      <c r="AU200" s="50">
        <v>46207.583333333336</v>
      </c>
      <c r="AV200" s="50">
        <v>46207.604166666664</v>
      </c>
      <c r="AW200" s="50">
        <v>46207.615972222222</v>
      </c>
      <c r="AX200" s="50">
        <v>46207.708333333336</v>
      </c>
      <c r="AY200" s="50">
        <v>46207.71597222222</v>
      </c>
      <c r="AZ200" s="50">
        <v>46207.791666666664</v>
      </c>
      <c r="BA200" s="51">
        <v>46208.458333333336</v>
      </c>
      <c r="BB200" s="51">
        <v>46208.490277777775</v>
      </c>
      <c r="BC200" s="50">
        <v>46208.541666666664</v>
      </c>
      <c r="BD200" s="50">
        <v>46208.55</v>
      </c>
      <c r="BE200" s="51">
        <v>46208.583333333336</v>
      </c>
      <c r="BF200" s="51">
        <v>46208.654861111114</v>
      </c>
      <c r="BG200" s="51">
        <v>46208.666666666664</v>
      </c>
      <c r="BH200" s="51">
        <v>46208.674305555556</v>
      </c>
      <c r="BI200" s="30" t="s">
        <v>240</v>
      </c>
      <c r="BJ200" s="50">
        <v>46209.375</v>
      </c>
      <c r="BK200" s="50">
        <v>46209.383333333331</v>
      </c>
      <c r="BL200" s="50">
        <v>46209.385416666664</v>
      </c>
      <c r="BM200" s="50">
        <v>46209.375</v>
      </c>
      <c r="BN200" s="50">
        <v>46209.401388888888</v>
      </c>
      <c r="BR200"/>
      <c r="BS200"/>
      <c r="BT200"/>
      <c r="BU200"/>
      <c r="BV200"/>
      <c r="BW200"/>
      <c r="BX200"/>
      <c r="BY200"/>
    </row>
    <row r="201" spans="1:77">
      <c r="A201" t="s">
        <v>168</v>
      </c>
      <c r="B201" s="30">
        <v>42</v>
      </c>
      <c r="C201" s="30">
        <v>30</v>
      </c>
      <c r="D201" s="30" t="s">
        <v>169</v>
      </c>
      <c r="E201" s="30" t="s">
        <v>170</v>
      </c>
      <c r="F201" s="48">
        <v>46224</v>
      </c>
      <c r="G201" s="48">
        <v>46225</v>
      </c>
      <c r="H201" s="49">
        <v>0.58333333333333337</v>
      </c>
      <c r="I201" s="49">
        <v>0.5</v>
      </c>
      <c r="J201" s="30" t="s">
        <v>53</v>
      </c>
      <c r="K201" s="30" t="s">
        <v>171</v>
      </c>
      <c r="L201" s="30">
        <v>1</v>
      </c>
      <c r="M201" s="30" t="s">
        <v>903</v>
      </c>
      <c r="P201" s="30" t="s">
        <v>174</v>
      </c>
      <c r="Q201" s="30" t="s">
        <v>83</v>
      </c>
      <c r="R201" s="30" t="s">
        <v>939</v>
      </c>
      <c r="S201" s="30" t="s">
        <v>391</v>
      </c>
      <c r="T201" s="30">
        <v>6508577320</v>
      </c>
      <c r="U201" s="30" t="s">
        <v>904</v>
      </c>
      <c r="V201" s="30">
        <v>22997</v>
      </c>
      <c r="X201" s="30" t="s">
        <v>179</v>
      </c>
      <c r="Y201" t="s">
        <v>180</v>
      </c>
      <c r="Z201" s="30" t="s">
        <v>180</v>
      </c>
      <c r="AA201" s="30" t="s">
        <v>181</v>
      </c>
      <c r="AB201" s="30" t="s">
        <v>55</v>
      </c>
      <c r="AC201" s="30" t="s">
        <v>56</v>
      </c>
      <c r="AD201" s="30" t="s">
        <v>78</v>
      </c>
      <c r="AE201" s="30">
        <v>20513040718</v>
      </c>
      <c r="AF201" s="30" t="s">
        <v>770</v>
      </c>
      <c r="AG201" s="30" t="s">
        <v>771</v>
      </c>
      <c r="AH201" s="30" t="s">
        <v>661</v>
      </c>
      <c r="AI201" s="30" t="s">
        <v>772</v>
      </c>
      <c r="AJ201" s="30" t="s">
        <v>773</v>
      </c>
      <c r="AL201" s="30" t="s">
        <v>483</v>
      </c>
      <c r="AM201" t="s">
        <v>270</v>
      </c>
      <c r="AN201" s="30" t="s">
        <v>270</v>
      </c>
      <c r="AO201" s="30" t="s">
        <v>483</v>
      </c>
      <c r="AP201" s="30" t="s">
        <v>483</v>
      </c>
      <c r="AQ201" s="30" t="s">
        <v>483</v>
      </c>
      <c r="AR201" s="30" t="s">
        <v>483</v>
      </c>
      <c r="AS201" s="30" t="s">
        <v>83</v>
      </c>
      <c r="AT201" s="30" t="s">
        <v>240</v>
      </c>
      <c r="AU201" s="50">
        <v>46224.75</v>
      </c>
      <c r="AV201" s="50">
        <v>46224.84375</v>
      </c>
      <c r="AW201" s="50">
        <v>46224.854166666664</v>
      </c>
      <c r="AX201" s="50">
        <v>46224.879166666666</v>
      </c>
      <c r="AY201" s="50">
        <v>46224.927083333336</v>
      </c>
      <c r="AZ201" s="50">
        <v>46225.958333333336</v>
      </c>
      <c r="BA201" s="51">
        <v>46225.518750000003</v>
      </c>
      <c r="BB201" s="51">
        <v>46225.527777777781</v>
      </c>
      <c r="BE201" s="51"/>
      <c r="BF201" s="51"/>
      <c r="BG201" s="51"/>
      <c r="BH201" s="51">
        <v>46225.728472222225</v>
      </c>
      <c r="BI201" s="30" t="s">
        <v>240</v>
      </c>
      <c r="BJ201" s="50">
        <v>46226.333333333336</v>
      </c>
      <c r="BK201" s="50">
        <v>46226.342361111114</v>
      </c>
      <c r="BL201" s="50">
        <v>46226.34375</v>
      </c>
      <c r="BM201" s="50">
        <v>46226.35833333333</v>
      </c>
      <c r="BN201" s="50">
        <v>46226.372916666667</v>
      </c>
      <c r="BR201"/>
      <c r="BS201"/>
      <c r="BT201"/>
      <c r="BU201"/>
      <c r="BV201"/>
      <c r="BW201"/>
      <c r="BX201"/>
      <c r="BY201"/>
    </row>
    <row r="202" spans="1:77">
      <c r="A202" t="s">
        <v>168</v>
      </c>
      <c r="B202" s="30">
        <v>43</v>
      </c>
      <c r="C202" s="30">
        <v>30</v>
      </c>
      <c r="D202" s="30" t="s">
        <v>169</v>
      </c>
      <c r="E202" s="30" t="s">
        <v>170</v>
      </c>
      <c r="F202" s="48">
        <v>46224</v>
      </c>
      <c r="G202" s="48">
        <v>46225</v>
      </c>
      <c r="H202" s="49">
        <v>0.58333333333333337</v>
      </c>
      <c r="I202" s="49">
        <v>0.5</v>
      </c>
      <c r="J202" s="30" t="s">
        <v>53</v>
      </c>
      <c r="K202" s="30" t="s">
        <v>171</v>
      </c>
      <c r="L202" s="30">
        <v>1</v>
      </c>
      <c r="M202" s="30" t="s">
        <v>905</v>
      </c>
      <c r="P202" s="30" t="s">
        <v>174</v>
      </c>
      <c r="Q202" s="30" t="s">
        <v>83</v>
      </c>
      <c r="R202" s="30" t="s">
        <v>939</v>
      </c>
      <c r="S202" s="30" t="s">
        <v>391</v>
      </c>
      <c r="T202" s="30">
        <v>6508706620</v>
      </c>
      <c r="U202" s="30" t="s">
        <v>906</v>
      </c>
      <c r="V202" s="30">
        <v>22998</v>
      </c>
      <c r="X202" s="30" t="s">
        <v>179</v>
      </c>
      <c r="Y202" t="s">
        <v>180</v>
      </c>
      <c r="Z202" s="30" t="s">
        <v>180</v>
      </c>
      <c r="AA202" s="30" t="s">
        <v>181</v>
      </c>
      <c r="AB202" s="30" t="s">
        <v>55</v>
      </c>
      <c r="AC202" s="30" t="s">
        <v>56</v>
      </c>
      <c r="AD202" s="30" t="s">
        <v>78</v>
      </c>
      <c r="AE202" s="30">
        <v>20513040718</v>
      </c>
      <c r="AF202" s="30" t="s">
        <v>878</v>
      </c>
      <c r="AG202" s="30" t="s">
        <v>907</v>
      </c>
      <c r="AH202" s="30" t="s">
        <v>661</v>
      </c>
      <c r="AI202" s="30" t="s">
        <v>880</v>
      </c>
      <c r="AJ202" s="30" t="s">
        <v>881</v>
      </c>
      <c r="AL202" s="30" t="s">
        <v>483</v>
      </c>
      <c r="AM202" t="s">
        <v>270</v>
      </c>
      <c r="AN202" s="30" t="s">
        <v>270</v>
      </c>
      <c r="AO202" s="30" t="s">
        <v>483</v>
      </c>
      <c r="AP202" s="30" t="s">
        <v>483</v>
      </c>
      <c r="AQ202" s="30" t="s">
        <v>483</v>
      </c>
      <c r="AR202" s="30" t="s">
        <v>483</v>
      </c>
      <c r="AS202" s="30" t="s">
        <v>83</v>
      </c>
      <c r="AT202" s="30" t="s">
        <v>240</v>
      </c>
      <c r="AU202" s="50">
        <v>46224.75</v>
      </c>
      <c r="AV202" s="50">
        <v>46224.84375</v>
      </c>
      <c r="AW202" s="50">
        <v>46224.849305555559</v>
      </c>
      <c r="AX202" s="50">
        <v>46224.878472222219</v>
      </c>
      <c r="AY202" s="50">
        <v>46224.934027777781</v>
      </c>
      <c r="AZ202" s="50">
        <v>46225.958333333336</v>
      </c>
      <c r="BA202" s="51">
        <v>46225.521527777775</v>
      </c>
      <c r="BB202" s="51">
        <v>46225.53125</v>
      </c>
      <c r="BC202" s="50">
        <v>46225.563194444447</v>
      </c>
      <c r="BD202" s="50">
        <v>46225.56527777778</v>
      </c>
      <c r="BE202" s="51">
        <v>46225.569444444445</v>
      </c>
      <c r="BF202" s="51">
        <v>46225.725694444445</v>
      </c>
      <c r="BG202" s="51">
        <v>46225.741666666669</v>
      </c>
      <c r="BH202" s="51">
        <v>46225.754166666666</v>
      </c>
      <c r="BI202" s="30" t="s">
        <v>240</v>
      </c>
      <c r="BJ202" s="50">
        <v>46226.333333333336</v>
      </c>
      <c r="BK202" s="50">
        <v>46226.350694444445</v>
      </c>
      <c r="BL202" s="50">
        <v>46226.352083333331</v>
      </c>
      <c r="BM202" s="50">
        <v>46226.356944444444</v>
      </c>
      <c r="BN202" s="50">
        <v>46226.375694444447</v>
      </c>
      <c r="BR202"/>
      <c r="BS202"/>
      <c r="BT202"/>
      <c r="BU202"/>
      <c r="BV202"/>
      <c r="BW202"/>
      <c r="BX202"/>
      <c r="BY202"/>
    </row>
    <row r="203" spans="1:77">
      <c r="A203" t="s">
        <v>168</v>
      </c>
      <c r="B203" s="30">
        <v>44</v>
      </c>
      <c r="C203" s="30">
        <v>30</v>
      </c>
      <c r="D203" s="30" t="s">
        <v>169</v>
      </c>
      <c r="E203" s="30" t="s">
        <v>170</v>
      </c>
      <c r="F203" s="48">
        <v>46224</v>
      </c>
      <c r="G203" s="48">
        <v>46225</v>
      </c>
      <c r="H203" s="49">
        <v>0.58333333333333337</v>
      </c>
      <c r="I203" s="49">
        <v>0.5</v>
      </c>
      <c r="J203" s="30" t="s">
        <v>53</v>
      </c>
      <c r="K203" s="30" t="s">
        <v>171</v>
      </c>
      <c r="L203" s="30">
        <v>1</v>
      </c>
      <c r="M203" s="30" t="s">
        <v>908</v>
      </c>
      <c r="P203" s="30" t="s">
        <v>174</v>
      </c>
      <c r="Q203" s="30" t="s">
        <v>83</v>
      </c>
      <c r="R203" s="30" t="s">
        <v>939</v>
      </c>
      <c r="S203" s="30" t="s">
        <v>391</v>
      </c>
      <c r="T203" s="30">
        <v>6508707680</v>
      </c>
      <c r="U203" s="30" t="s">
        <v>909</v>
      </c>
      <c r="V203" s="30">
        <v>23008</v>
      </c>
      <c r="X203" s="30" t="s">
        <v>179</v>
      </c>
      <c r="Y203" t="s">
        <v>180</v>
      </c>
      <c r="Z203" s="30" t="s">
        <v>180</v>
      </c>
      <c r="AA203" s="30" t="s">
        <v>181</v>
      </c>
      <c r="AB203" s="30" t="s">
        <v>55</v>
      </c>
      <c r="AC203" s="30" t="s">
        <v>56</v>
      </c>
      <c r="AD203" s="30" t="s">
        <v>78</v>
      </c>
      <c r="AE203" s="30">
        <v>20513040718</v>
      </c>
      <c r="AF203" s="30" t="s">
        <v>910</v>
      </c>
      <c r="AG203" s="30" t="s">
        <v>911</v>
      </c>
      <c r="AH203" s="30" t="s">
        <v>661</v>
      </c>
      <c r="AI203" s="30" t="s">
        <v>912</v>
      </c>
      <c r="AJ203" s="30" t="s">
        <v>913</v>
      </c>
      <c r="AL203" s="30" t="s">
        <v>483</v>
      </c>
      <c r="AM203" t="s">
        <v>270</v>
      </c>
      <c r="AN203" s="30" t="s">
        <v>270</v>
      </c>
      <c r="AO203" s="30" t="s">
        <v>483</v>
      </c>
      <c r="AP203" s="30" t="s">
        <v>483</v>
      </c>
      <c r="AQ203" s="30" t="s">
        <v>483</v>
      </c>
      <c r="AR203" s="30" t="s">
        <v>483</v>
      </c>
      <c r="AS203" s="30" t="s">
        <v>83</v>
      </c>
      <c r="AT203" s="30" t="s">
        <v>240</v>
      </c>
      <c r="AU203" s="50">
        <v>46224.791666666664</v>
      </c>
      <c r="AV203" s="50">
        <v>46224.840277777781</v>
      </c>
      <c r="AW203" s="50">
        <v>46224.842361111114</v>
      </c>
      <c r="AX203" s="50">
        <v>46224.979166666664</v>
      </c>
      <c r="AY203" s="50">
        <v>46225.090277777781</v>
      </c>
      <c r="AZ203" s="50">
        <v>46225.125</v>
      </c>
      <c r="BA203" s="51">
        <v>46225.518750000003</v>
      </c>
      <c r="BB203" s="51">
        <v>46225.527777777781</v>
      </c>
      <c r="BC203" s="50">
        <v>46225.55</v>
      </c>
      <c r="BD203" s="50">
        <v>46225.552083333336</v>
      </c>
      <c r="BE203" s="51">
        <v>46225.556944444441</v>
      </c>
      <c r="BF203" s="51">
        <v>46225.6875</v>
      </c>
      <c r="BG203" s="51">
        <v>46225.702777777777</v>
      </c>
      <c r="BH203" s="51">
        <v>46225.729166666664</v>
      </c>
      <c r="BI203" s="30" t="s">
        <v>240</v>
      </c>
      <c r="BJ203" s="50">
        <v>46226.333333333336</v>
      </c>
      <c r="BK203" s="50">
        <v>46226.342361111114</v>
      </c>
      <c r="BL203" s="50">
        <v>46226.34375</v>
      </c>
      <c r="BM203" s="50">
        <v>46226.354861111111</v>
      </c>
      <c r="BN203" s="50">
        <v>46226.370138888888</v>
      </c>
      <c r="BR203"/>
      <c r="BS203"/>
      <c r="BT203"/>
      <c r="BU203"/>
      <c r="BV203"/>
      <c r="BW203"/>
      <c r="BX203"/>
      <c r="BY203"/>
    </row>
    <row r="204" spans="1:77">
      <c r="A204" t="s">
        <v>168</v>
      </c>
      <c r="B204" s="30">
        <v>45</v>
      </c>
      <c r="C204" s="30">
        <v>30</v>
      </c>
      <c r="D204" s="30" t="s">
        <v>169</v>
      </c>
      <c r="E204" s="30" t="s">
        <v>170</v>
      </c>
      <c r="F204" s="48">
        <v>46229</v>
      </c>
      <c r="G204" s="48">
        <v>46230</v>
      </c>
      <c r="H204" s="49">
        <v>0.58333333333333337</v>
      </c>
      <c r="I204" s="49">
        <v>0.5</v>
      </c>
      <c r="J204" s="30" t="s">
        <v>53</v>
      </c>
      <c r="K204" s="30" t="s">
        <v>171</v>
      </c>
      <c r="L204" s="30">
        <v>1</v>
      </c>
      <c r="M204" s="30" t="s">
        <v>914</v>
      </c>
      <c r="P204" s="30" t="s">
        <v>174</v>
      </c>
      <c r="Q204" s="30" t="s">
        <v>84</v>
      </c>
      <c r="R204" s="30" t="s">
        <v>1825</v>
      </c>
      <c r="S204" s="30" t="s">
        <v>1823</v>
      </c>
      <c r="T204" s="30">
        <v>751600040984</v>
      </c>
      <c r="U204" s="30" t="s">
        <v>915</v>
      </c>
      <c r="V204" s="30">
        <v>799363</v>
      </c>
      <c r="X204" s="30" t="s">
        <v>179</v>
      </c>
      <c r="Y204" t="s">
        <v>180</v>
      </c>
      <c r="Z204" s="30" t="s">
        <v>180</v>
      </c>
      <c r="AA204" s="30" t="s">
        <v>181</v>
      </c>
      <c r="AB204" s="30" t="s">
        <v>55</v>
      </c>
      <c r="AC204" s="30" t="s">
        <v>56</v>
      </c>
      <c r="AD204" s="30" t="s">
        <v>78</v>
      </c>
      <c r="AE204" s="30">
        <v>20513040718</v>
      </c>
      <c r="AF204" s="30" t="s">
        <v>684</v>
      </c>
      <c r="AG204" s="30" t="s">
        <v>685</v>
      </c>
      <c r="AH204" s="30" t="s">
        <v>661</v>
      </c>
      <c r="AI204" s="30" t="s">
        <v>686</v>
      </c>
      <c r="AJ204" s="30" t="s">
        <v>687</v>
      </c>
      <c r="AL204" s="30" t="s">
        <v>483</v>
      </c>
      <c r="AM204" t="s">
        <v>270</v>
      </c>
      <c r="AN204" s="30" t="s">
        <v>270</v>
      </c>
      <c r="AO204" s="30" t="s">
        <v>483</v>
      </c>
      <c r="AP204" s="30" t="s">
        <v>483</v>
      </c>
      <c r="AQ204" s="30" t="s">
        <v>483</v>
      </c>
      <c r="AR204" s="30" t="s">
        <v>483</v>
      </c>
      <c r="AS204" s="30" t="s">
        <v>84</v>
      </c>
      <c r="AT204" s="30" t="s">
        <v>277</v>
      </c>
      <c r="AU204" s="50">
        <v>46229.666666666664</v>
      </c>
      <c r="AV204" s="50">
        <v>46229.621527777781</v>
      </c>
      <c r="AW204" s="50">
        <v>46229.62222222222</v>
      </c>
      <c r="AX204" s="50">
        <v>46229.631944444445</v>
      </c>
      <c r="AY204" s="50">
        <v>46229.669444444444</v>
      </c>
      <c r="AZ204" s="50">
        <v>46229.708333333336</v>
      </c>
      <c r="BA204" s="51">
        <v>46230.59652777778</v>
      </c>
      <c r="BB204" s="51">
        <v>46230.618055555555</v>
      </c>
      <c r="BC204" s="50">
        <v>46230.633333333331</v>
      </c>
      <c r="BD204" s="50">
        <v>46230.636111111111</v>
      </c>
      <c r="BE204" s="51">
        <v>46230.64166666667</v>
      </c>
      <c r="BF204" s="51">
        <v>46230.737500000003</v>
      </c>
      <c r="BG204" s="51">
        <v>46230.751388888886</v>
      </c>
      <c r="BH204" s="51">
        <v>46230.763888888891</v>
      </c>
      <c r="BI204" s="30" t="s">
        <v>64</v>
      </c>
      <c r="BJ204" s="50">
        <v>46231.333333333336</v>
      </c>
      <c r="BK204" s="50">
        <v>46231.34375</v>
      </c>
      <c r="BL204" s="50">
        <v>46231.379166666666</v>
      </c>
      <c r="BM204" s="50">
        <v>46231.402083333334</v>
      </c>
      <c r="BN204" s="50">
        <v>46231.417361111111</v>
      </c>
      <c r="BR204"/>
      <c r="BS204"/>
      <c r="BT204"/>
      <c r="BU204"/>
      <c r="BV204"/>
      <c r="BW204"/>
      <c r="BX204"/>
      <c r="BY204"/>
    </row>
    <row r="205" spans="1:77">
      <c r="A205" t="s">
        <v>168</v>
      </c>
      <c r="B205" s="30">
        <v>46</v>
      </c>
      <c r="C205" s="30">
        <v>30</v>
      </c>
      <c r="D205" s="30" t="s">
        <v>169</v>
      </c>
      <c r="E205" s="30" t="s">
        <v>170</v>
      </c>
      <c r="F205" s="48">
        <v>46229</v>
      </c>
      <c r="G205" s="48">
        <v>46230</v>
      </c>
      <c r="H205" s="49">
        <v>0.58333333333333337</v>
      </c>
      <c r="I205" s="49">
        <v>0.5</v>
      </c>
      <c r="J205" s="30" t="s">
        <v>53</v>
      </c>
      <c r="K205" s="30" t="s">
        <v>171</v>
      </c>
      <c r="L205" s="30">
        <v>1</v>
      </c>
      <c r="M205" s="30" t="s">
        <v>916</v>
      </c>
      <c r="P205" s="30" t="s">
        <v>174</v>
      </c>
      <c r="Q205" s="30" t="s">
        <v>83</v>
      </c>
      <c r="R205" s="30" t="s">
        <v>951</v>
      </c>
      <c r="S205" s="30" t="s">
        <v>391</v>
      </c>
      <c r="T205" s="30">
        <v>6508710280</v>
      </c>
      <c r="U205" s="30" t="s">
        <v>917</v>
      </c>
      <c r="V205" s="30">
        <v>23075</v>
      </c>
      <c r="X205" s="30" t="s">
        <v>179</v>
      </c>
      <c r="Y205" t="s">
        <v>180</v>
      </c>
      <c r="Z205" s="30" t="s">
        <v>180</v>
      </c>
      <c r="AA205" s="30" t="s">
        <v>181</v>
      </c>
      <c r="AB205" s="30" t="s">
        <v>55</v>
      </c>
      <c r="AC205" s="30" t="s">
        <v>92</v>
      </c>
      <c r="AD205" s="30" t="s">
        <v>918</v>
      </c>
      <c r="AE205" s="30">
        <v>20607131610</v>
      </c>
      <c r="AF205" s="30" t="s">
        <v>919</v>
      </c>
      <c r="AG205" s="30" t="s">
        <v>920</v>
      </c>
      <c r="AH205" s="30" t="s">
        <v>661</v>
      </c>
      <c r="AI205" s="30" t="s">
        <v>921</v>
      </c>
      <c r="AJ205" s="30" t="s">
        <v>922</v>
      </c>
      <c r="AL205" s="30" t="s">
        <v>483</v>
      </c>
      <c r="AM205" t="s">
        <v>270</v>
      </c>
      <c r="AN205" s="30" t="s">
        <v>270</v>
      </c>
      <c r="AO205" s="30" t="s">
        <v>483</v>
      </c>
      <c r="AP205" s="30" t="s">
        <v>483</v>
      </c>
      <c r="AQ205" s="30" t="s">
        <v>483</v>
      </c>
      <c r="AR205" s="30" t="s">
        <v>483</v>
      </c>
      <c r="AS205" s="30" t="s">
        <v>83</v>
      </c>
      <c r="AT205" s="30" t="s">
        <v>240</v>
      </c>
      <c r="AU205" s="50">
        <v>46229.875</v>
      </c>
      <c r="AV205" s="50">
        <v>46229.803472222222</v>
      </c>
      <c r="AW205" s="50">
        <v>46229.842361111114</v>
      </c>
      <c r="AX205" s="50">
        <v>46229.847916666666</v>
      </c>
      <c r="AY205" s="50">
        <v>46229.900694444441</v>
      </c>
      <c r="AZ205" s="50">
        <v>46229.958333333336</v>
      </c>
      <c r="BA205" s="51">
        <v>46230.515972222223</v>
      </c>
      <c r="BB205" s="51">
        <v>46230.520833333336</v>
      </c>
      <c r="BC205" s="50">
        <v>46230.530555555553</v>
      </c>
      <c r="BD205" s="50">
        <v>46230.530555555553</v>
      </c>
      <c r="BE205" s="51">
        <v>46230.536111111112</v>
      </c>
      <c r="BF205" s="51">
        <v>46230.668749999997</v>
      </c>
      <c r="BG205" s="51">
        <v>46230.682638888888</v>
      </c>
      <c r="BH205" s="51">
        <v>46230.697222222225</v>
      </c>
      <c r="BI205" s="30" t="s">
        <v>240</v>
      </c>
      <c r="BJ205" s="50">
        <v>46231.166666666664</v>
      </c>
      <c r="BK205" s="50">
        <v>46231.197222222225</v>
      </c>
      <c r="BL205" s="50">
        <v>46231.268750000003</v>
      </c>
      <c r="BM205" s="50">
        <v>46231.379861111112</v>
      </c>
      <c r="BN205" s="50">
        <v>46231.39166666667</v>
      </c>
      <c r="BR205"/>
      <c r="BS205"/>
      <c r="BT205"/>
      <c r="BU205"/>
      <c r="BV205"/>
      <c r="BW205"/>
      <c r="BX205"/>
      <c r="BY205"/>
    </row>
    <row r="206" spans="1:77">
      <c r="A206" t="s">
        <v>168</v>
      </c>
      <c r="B206" s="30">
        <v>47</v>
      </c>
      <c r="C206" s="30">
        <v>30</v>
      </c>
      <c r="D206" s="30" t="s">
        <v>169</v>
      </c>
      <c r="E206" s="30" t="s">
        <v>170</v>
      </c>
      <c r="F206" s="48">
        <v>46224</v>
      </c>
      <c r="G206" s="48">
        <v>46225</v>
      </c>
      <c r="H206" s="49">
        <v>0.66666666666666663</v>
      </c>
      <c r="I206" s="49">
        <v>0.58333333333333337</v>
      </c>
      <c r="J206" s="30" t="s">
        <v>53</v>
      </c>
      <c r="K206" s="30" t="s">
        <v>171</v>
      </c>
      <c r="L206" s="30">
        <v>1</v>
      </c>
      <c r="M206" s="30" t="s">
        <v>923</v>
      </c>
      <c r="P206" s="30" t="s">
        <v>174</v>
      </c>
      <c r="Q206" s="30" t="s">
        <v>83</v>
      </c>
      <c r="R206" s="30" t="s">
        <v>939</v>
      </c>
      <c r="S206" s="30" t="s">
        <v>391</v>
      </c>
      <c r="T206" s="30">
        <v>6508866570</v>
      </c>
      <c r="U206" s="30" t="s">
        <v>924</v>
      </c>
      <c r="V206" s="30">
        <v>23005</v>
      </c>
      <c r="Y206" t="s">
        <v>179</v>
      </c>
      <c r="Z206" s="30" t="s">
        <v>180</v>
      </c>
      <c r="AA206" s="30" t="s">
        <v>181</v>
      </c>
      <c r="AB206" s="30" t="s">
        <v>55</v>
      </c>
      <c r="AC206" s="30" t="s">
        <v>56</v>
      </c>
      <c r="AD206" s="30" t="s">
        <v>78</v>
      </c>
      <c r="AE206" s="30">
        <v>20513040718</v>
      </c>
      <c r="AF206" s="30" t="s">
        <v>696</v>
      </c>
      <c r="AG206" s="30" t="s">
        <v>697</v>
      </c>
      <c r="AH206" s="30" t="s">
        <v>661</v>
      </c>
      <c r="AI206" s="30" t="s">
        <v>698</v>
      </c>
      <c r="AJ206" s="30" t="s">
        <v>699</v>
      </c>
      <c r="AL206" s="30" t="s">
        <v>483</v>
      </c>
      <c r="AM206" t="s">
        <v>270</v>
      </c>
      <c r="AN206" s="30" t="s">
        <v>270</v>
      </c>
      <c r="AO206" s="30" t="s">
        <v>483</v>
      </c>
      <c r="AP206" s="30" t="s">
        <v>483</v>
      </c>
      <c r="AQ206" s="30" t="s">
        <v>483</v>
      </c>
      <c r="AR206" s="30" t="s">
        <v>483</v>
      </c>
      <c r="AS206" s="30" t="s">
        <v>83</v>
      </c>
      <c r="AT206" s="30" t="s">
        <v>240</v>
      </c>
      <c r="AU206" s="50">
        <v>46224.833333333336</v>
      </c>
      <c r="AV206" s="50">
        <v>46224.923611111109</v>
      </c>
      <c r="AW206" s="50">
        <v>46224.927083333336</v>
      </c>
      <c r="AX206" s="50">
        <v>46224.958333333336</v>
      </c>
      <c r="AY206" s="50">
        <v>46225.020833333336</v>
      </c>
      <c r="AZ206" s="50">
        <v>46225.0625</v>
      </c>
      <c r="BA206" s="51">
        <v>46225.60833333333</v>
      </c>
      <c r="BB206" s="51">
        <v>46225.614583333336</v>
      </c>
      <c r="BC206" s="50">
        <v>46225.620138888888</v>
      </c>
      <c r="BD206" s="50">
        <v>46225.622916666667</v>
      </c>
      <c r="BE206" s="51">
        <v>46225.62777777778</v>
      </c>
      <c r="BF206" s="51">
        <v>46225.75</v>
      </c>
      <c r="BG206" s="51">
        <v>46225.760416666664</v>
      </c>
      <c r="BH206" s="51">
        <v>46225.771527777775</v>
      </c>
      <c r="BI206" s="30" t="s">
        <v>240</v>
      </c>
      <c r="BJ206" s="50">
        <v>46226.791666666664</v>
      </c>
      <c r="BK206" s="50">
        <v>46226.82916666667</v>
      </c>
      <c r="BL206" s="50">
        <v>46226.838888888888</v>
      </c>
      <c r="BM206" s="50">
        <v>46226.847222222219</v>
      </c>
      <c r="BN206" s="50">
        <v>46226.868750000001</v>
      </c>
      <c r="BR206"/>
      <c r="BS206"/>
      <c r="BT206"/>
      <c r="BU206"/>
      <c r="BV206"/>
      <c r="BW206"/>
      <c r="BX206"/>
      <c r="BY206"/>
    </row>
    <row r="207" spans="1:77">
      <c r="A207" t="s">
        <v>168</v>
      </c>
      <c r="B207" s="30">
        <v>48</v>
      </c>
      <c r="C207" s="30">
        <v>31</v>
      </c>
      <c r="D207" s="30" t="s">
        <v>169</v>
      </c>
      <c r="E207" s="30" t="s">
        <v>170</v>
      </c>
      <c r="F207" s="48">
        <v>46235</v>
      </c>
      <c r="G207" s="48">
        <v>46236</v>
      </c>
      <c r="H207" s="49">
        <v>0.58333333333333337</v>
      </c>
      <c r="I207" s="49">
        <v>0.5</v>
      </c>
      <c r="J207" s="30" t="s">
        <v>53</v>
      </c>
      <c r="K207" s="30" t="s">
        <v>171</v>
      </c>
      <c r="L207" s="30">
        <v>1</v>
      </c>
      <c r="M207" s="30" t="s">
        <v>925</v>
      </c>
      <c r="P207" s="30" t="s">
        <v>174</v>
      </c>
      <c r="Q207" s="30" t="s">
        <v>84</v>
      </c>
      <c r="R207" s="30" t="s">
        <v>939</v>
      </c>
      <c r="S207" s="30" t="s">
        <v>391</v>
      </c>
      <c r="T207" s="30">
        <v>6509439080</v>
      </c>
      <c r="U207" s="30" t="s">
        <v>926</v>
      </c>
      <c r="V207" s="30">
        <v>34742</v>
      </c>
      <c r="W207" s="30">
        <v>32999398</v>
      </c>
      <c r="X207" s="30" t="s">
        <v>179</v>
      </c>
      <c r="Y207" t="s">
        <v>941</v>
      </c>
      <c r="Z207" s="30" t="s">
        <v>180</v>
      </c>
      <c r="AA207" s="30" t="s">
        <v>181</v>
      </c>
      <c r="AB207" s="30" t="s">
        <v>55</v>
      </c>
      <c r="AC207" s="30" t="s">
        <v>56</v>
      </c>
      <c r="AD207" s="30" t="s">
        <v>78</v>
      </c>
      <c r="AE207" s="30">
        <v>20513040718</v>
      </c>
      <c r="AF207" s="30" t="s">
        <v>722</v>
      </c>
      <c r="AG207" s="30" t="s">
        <v>723</v>
      </c>
      <c r="AH207" s="30" t="s">
        <v>661</v>
      </c>
      <c r="AI207" s="30" t="s">
        <v>724</v>
      </c>
      <c r="AJ207" s="30" t="s">
        <v>725</v>
      </c>
      <c r="AL207" s="30" t="s">
        <v>483</v>
      </c>
      <c r="AM207" t="s">
        <v>270</v>
      </c>
      <c r="AN207" s="30" t="s">
        <v>270</v>
      </c>
      <c r="AO207" s="30" t="s">
        <v>483</v>
      </c>
      <c r="AP207" s="30" t="s">
        <v>483</v>
      </c>
      <c r="AQ207" s="30" t="s">
        <v>483</v>
      </c>
      <c r="AR207" s="30" t="s">
        <v>483</v>
      </c>
      <c r="AS207" s="30" t="s">
        <v>84</v>
      </c>
      <c r="AT207" s="30" t="s">
        <v>295</v>
      </c>
      <c r="AU207" s="50">
        <v>46235.666666666664</v>
      </c>
      <c r="AV207" s="50">
        <v>46235.729166666664</v>
      </c>
      <c r="AW207" s="50">
        <v>46235.75277777778</v>
      </c>
      <c r="AX207" s="50">
        <v>46235.758333333331</v>
      </c>
      <c r="AY207" s="50">
        <v>46235.854861111111</v>
      </c>
      <c r="AZ207" s="50">
        <v>46235.887499999997</v>
      </c>
      <c r="BA207" s="51">
        <v>46236.48333333333</v>
      </c>
      <c r="BB207" s="51">
        <v>46236.490277777775</v>
      </c>
      <c r="BC207" s="50">
        <v>46236.5</v>
      </c>
      <c r="BD207" s="50">
        <v>46236.504166666666</v>
      </c>
      <c r="BE207" s="51">
        <v>46236.511805555558</v>
      </c>
      <c r="BF207" s="51">
        <v>46236.702777777777</v>
      </c>
      <c r="BG207" s="51">
        <v>46236.674305555556</v>
      </c>
      <c r="BH207" s="51">
        <v>46236.700694444444</v>
      </c>
      <c r="BI207" s="30" t="s">
        <v>240</v>
      </c>
      <c r="BJ207" s="50">
        <v>46237.083333333336</v>
      </c>
      <c r="BK207" s="50">
        <v>46237.106249999997</v>
      </c>
      <c r="BL207" s="50">
        <v>46237.125</v>
      </c>
      <c r="BM207" s="50">
        <v>46237.134722222225</v>
      </c>
      <c r="BN207" s="50">
        <v>46237.15</v>
      </c>
      <c r="BR207"/>
      <c r="BS207"/>
      <c r="BT207"/>
      <c r="BU207"/>
      <c r="BV207"/>
      <c r="BW207"/>
      <c r="BX207"/>
      <c r="BY207"/>
    </row>
    <row r="208" spans="1:77">
      <c r="A208" t="s">
        <v>168</v>
      </c>
      <c r="B208" s="30">
        <v>49</v>
      </c>
      <c r="C208" s="30">
        <v>31</v>
      </c>
      <c r="D208" s="30" t="s">
        <v>169</v>
      </c>
      <c r="E208" s="30" t="s">
        <v>170</v>
      </c>
      <c r="F208" s="48">
        <v>46235</v>
      </c>
      <c r="G208" s="48">
        <v>46236</v>
      </c>
      <c r="H208" s="49">
        <v>0.66666666666666663</v>
      </c>
      <c r="I208" s="49">
        <v>0.58333333333333337</v>
      </c>
      <c r="J208" s="30" t="s">
        <v>53</v>
      </c>
      <c r="K208" s="30" t="s">
        <v>171</v>
      </c>
      <c r="L208" s="30">
        <v>1</v>
      </c>
      <c r="M208" s="30" t="s">
        <v>927</v>
      </c>
      <c r="P208" s="30" t="s">
        <v>174</v>
      </c>
      <c r="Q208" s="30" t="s">
        <v>84</v>
      </c>
      <c r="R208" s="30" t="s">
        <v>939</v>
      </c>
      <c r="S208" s="30" t="s">
        <v>391</v>
      </c>
      <c r="T208" s="30">
        <v>6509439040</v>
      </c>
      <c r="U208" s="30" t="s">
        <v>928</v>
      </c>
      <c r="W208" s="30">
        <v>32970059</v>
      </c>
      <c r="X208" s="30" t="s">
        <v>179</v>
      </c>
      <c r="Y208" t="s">
        <v>941</v>
      </c>
      <c r="Z208" s="30" t="s">
        <v>180</v>
      </c>
      <c r="AA208" s="30" t="s">
        <v>181</v>
      </c>
      <c r="AB208" s="30" t="s">
        <v>55</v>
      </c>
      <c r="AC208" s="30" t="s">
        <v>56</v>
      </c>
      <c r="AD208" s="30" t="s">
        <v>78</v>
      </c>
      <c r="AE208" s="30">
        <v>20513040718</v>
      </c>
      <c r="AF208" s="30" t="s">
        <v>58</v>
      </c>
      <c r="AG208" s="30" t="s">
        <v>59</v>
      </c>
      <c r="AH208" s="30" t="s">
        <v>661</v>
      </c>
      <c r="AI208" s="30" t="s">
        <v>60</v>
      </c>
      <c r="AJ208" s="30" t="s">
        <v>61</v>
      </c>
      <c r="AL208" s="30" t="s">
        <v>483</v>
      </c>
      <c r="AM208" t="s">
        <v>270</v>
      </c>
      <c r="AN208" s="30" t="s">
        <v>270</v>
      </c>
      <c r="AO208" s="30" t="s">
        <v>483</v>
      </c>
      <c r="AP208" s="30" t="s">
        <v>483</v>
      </c>
      <c r="AQ208" s="30" t="s">
        <v>483</v>
      </c>
      <c r="AR208" s="30" t="s">
        <v>483</v>
      </c>
      <c r="AS208" s="30" t="s">
        <v>84</v>
      </c>
      <c r="AT208" s="30" t="s">
        <v>295</v>
      </c>
      <c r="AU208" s="50">
        <v>46235.666666666664</v>
      </c>
      <c r="AV208" s="50">
        <v>46235.67083333333</v>
      </c>
      <c r="AW208" s="50">
        <v>46235.686111111114</v>
      </c>
      <c r="AX208" s="50">
        <v>46235.698611111111</v>
      </c>
      <c r="AY208" s="50">
        <v>46235.718055555553</v>
      </c>
      <c r="AZ208" s="50">
        <v>46235.980555555558</v>
      </c>
      <c r="BA208" s="51">
        <v>46236.542361111111</v>
      </c>
      <c r="BB208" s="51">
        <v>46236.545138888891</v>
      </c>
      <c r="BC208" s="50">
        <v>46236.548611111109</v>
      </c>
      <c r="BD208" s="50">
        <v>46236.550694444442</v>
      </c>
      <c r="BE208" s="51">
        <v>46236.553472222222</v>
      </c>
      <c r="BF208" s="51">
        <v>46236.541666666664</v>
      </c>
      <c r="BG208" s="51">
        <v>46236.553472222222</v>
      </c>
      <c r="BH208" s="51">
        <v>46236.708333333336</v>
      </c>
      <c r="BI208" s="30" t="s">
        <v>240</v>
      </c>
      <c r="BJ208" s="50">
        <v>46237.291666666664</v>
      </c>
      <c r="BK208" s="50">
        <v>46237.324999999997</v>
      </c>
      <c r="BL208" s="50">
        <v>46237.34652777778</v>
      </c>
      <c r="BM208" s="50">
        <v>46237.350694444445</v>
      </c>
      <c r="BN208" s="50">
        <v>46237.361111111109</v>
      </c>
      <c r="BR208"/>
      <c r="BS208"/>
      <c r="BT208"/>
      <c r="BU208"/>
      <c r="BV208"/>
      <c r="BW208"/>
      <c r="BX208"/>
      <c r="BY208"/>
    </row>
    <row r="209" spans="1:77">
      <c r="A209" t="s">
        <v>168</v>
      </c>
      <c r="B209" s="30">
        <v>50</v>
      </c>
      <c r="C209" s="30">
        <v>31</v>
      </c>
      <c r="D209" s="30" t="s">
        <v>169</v>
      </c>
      <c r="E209" s="30" t="s">
        <v>170</v>
      </c>
      <c r="F209" s="48">
        <v>46236</v>
      </c>
      <c r="G209" s="48">
        <v>46237</v>
      </c>
      <c r="H209" s="49">
        <v>0.58333333333333337</v>
      </c>
      <c r="I209" s="49">
        <v>0.5</v>
      </c>
      <c r="J209" s="30" t="s">
        <v>53</v>
      </c>
      <c r="K209" s="30" t="s">
        <v>171</v>
      </c>
      <c r="L209" s="30">
        <v>1</v>
      </c>
      <c r="M209" s="30" t="s">
        <v>929</v>
      </c>
      <c r="P209" s="30" t="s">
        <v>174</v>
      </c>
      <c r="Q209" s="30" t="s">
        <v>84</v>
      </c>
      <c r="R209" s="30" t="s">
        <v>939</v>
      </c>
      <c r="S209" s="30" t="s">
        <v>391</v>
      </c>
      <c r="T209" s="30">
        <v>6509980950</v>
      </c>
      <c r="U209" s="30" t="s">
        <v>930</v>
      </c>
      <c r="V209" s="30">
        <v>34750</v>
      </c>
      <c r="W209" s="30">
        <v>32999387</v>
      </c>
      <c r="X209" s="30" t="s">
        <v>179</v>
      </c>
      <c r="Y209" t="s">
        <v>941</v>
      </c>
      <c r="Z209" s="30" t="s">
        <v>180</v>
      </c>
      <c r="AA209" s="30" t="s">
        <v>181</v>
      </c>
      <c r="AB209" s="30" t="s">
        <v>55</v>
      </c>
      <c r="AC209" s="30" t="s">
        <v>92</v>
      </c>
      <c r="AD209" s="30" t="s">
        <v>931</v>
      </c>
      <c r="AE209" s="30">
        <v>20608586238</v>
      </c>
      <c r="AF209" s="30" t="s">
        <v>835</v>
      </c>
      <c r="AG209" s="30" t="s">
        <v>836</v>
      </c>
      <c r="AH209" s="30" t="s">
        <v>661</v>
      </c>
      <c r="AI209" s="30" t="s">
        <v>837</v>
      </c>
      <c r="AJ209" s="30" t="s">
        <v>838</v>
      </c>
      <c r="AL209" s="30" t="s">
        <v>483</v>
      </c>
      <c r="AM209" t="s">
        <v>270</v>
      </c>
      <c r="AN209" s="30" t="s">
        <v>270</v>
      </c>
      <c r="AO209" s="30" t="s">
        <v>483</v>
      </c>
      <c r="AP209" s="30" t="s">
        <v>483</v>
      </c>
      <c r="AQ209" s="30" t="s">
        <v>483</v>
      </c>
      <c r="AR209" s="30" t="s">
        <v>483</v>
      </c>
      <c r="AS209" s="30" t="s">
        <v>84</v>
      </c>
      <c r="AT209" s="30" t="s">
        <v>295</v>
      </c>
      <c r="AU209" s="50">
        <v>46236.625</v>
      </c>
      <c r="AV209" s="50">
        <v>46236.664583333331</v>
      </c>
      <c r="AW209" s="50">
        <v>46236.667361111111</v>
      </c>
      <c r="AX209" s="50">
        <v>46236.720138888886</v>
      </c>
      <c r="AY209" s="50">
        <v>46236.732638888891</v>
      </c>
      <c r="AZ209" s="50">
        <v>46236.845833333333</v>
      </c>
      <c r="BA209" s="51">
        <v>46237.486111111109</v>
      </c>
      <c r="BB209" s="51">
        <v>46237.5</v>
      </c>
      <c r="BC209" s="50">
        <v>46237.513194444444</v>
      </c>
      <c r="BD209" s="50">
        <v>46237.513194444444</v>
      </c>
      <c r="BE209" s="51">
        <v>46237.555555555555</v>
      </c>
      <c r="BF209" s="51">
        <v>46237.658333333333</v>
      </c>
      <c r="BG209" s="51">
        <v>46237.67083333333</v>
      </c>
      <c r="BH209" s="51">
        <v>46237.689583333333</v>
      </c>
      <c r="BI209" s="30" t="s">
        <v>240</v>
      </c>
      <c r="BJ209" s="50">
        <v>46238.375</v>
      </c>
      <c r="BK209" s="50">
        <v>46238.377083333333</v>
      </c>
      <c r="BL209" s="50">
        <v>46238.390972222223</v>
      </c>
      <c r="BM209" s="50">
        <v>46238.393055555556</v>
      </c>
      <c r="BN209" s="50">
        <v>46238.431944444441</v>
      </c>
      <c r="BR209"/>
      <c r="BS209"/>
      <c r="BT209"/>
      <c r="BU209"/>
      <c r="BV209"/>
      <c r="BW209"/>
      <c r="BX209"/>
      <c r="BY209"/>
    </row>
    <row r="210" spans="1:77">
      <c r="A210" t="s">
        <v>168</v>
      </c>
      <c r="B210" s="30">
        <v>51</v>
      </c>
      <c r="C210" s="30">
        <v>31</v>
      </c>
      <c r="D210" s="30" t="s">
        <v>169</v>
      </c>
      <c r="E210" s="30" t="s">
        <v>170</v>
      </c>
      <c r="F210" s="48">
        <v>46235</v>
      </c>
      <c r="G210" s="48">
        <v>46237</v>
      </c>
      <c r="H210" s="49">
        <v>0.58333333333333337</v>
      </c>
      <c r="I210" s="49">
        <v>0.5</v>
      </c>
      <c r="J210" s="30" t="s">
        <v>53</v>
      </c>
      <c r="K210" s="30" t="s">
        <v>171</v>
      </c>
      <c r="L210" s="30">
        <v>1</v>
      </c>
      <c r="M210" s="30" t="s">
        <v>932</v>
      </c>
      <c r="P210" s="30" t="s">
        <v>174</v>
      </c>
      <c r="Q210" s="30" t="s">
        <v>84</v>
      </c>
      <c r="R210" s="30" t="s">
        <v>1822</v>
      </c>
      <c r="S210" s="30" t="s">
        <v>391</v>
      </c>
      <c r="T210" s="30">
        <v>6509439060</v>
      </c>
      <c r="U210" s="30" t="s">
        <v>933</v>
      </c>
      <c r="W210" s="30">
        <v>32969906</v>
      </c>
      <c r="X210" s="30" t="s">
        <v>179</v>
      </c>
      <c r="Y210" t="s">
        <v>941</v>
      </c>
      <c r="Z210" s="30" t="s">
        <v>180</v>
      </c>
      <c r="AA210" s="30" t="s">
        <v>181</v>
      </c>
      <c r="AB210" s="30" t="s">
        <v>55</v>
      </c>
      <c r="AC210" s="30" t="s">
        <v>92</v>
      </c>
      <c r="AD210" s="30" t="s">
        <v>708</v>
      </c>
      <c r="AE210" s="30">
        <v>20609163632</v>
      </c>
      <c r="AF210" s="30" t="s">
        <v>934</v>
      </c>
      <c r="AG210" s="30" t="s">
        <v>935</v>
      </c>
      <c r="AH210" s="30" t="s">
        <v>661</v>
      </c>
      <c r="AI210" s="30" t="s">
        <v>936</v>
      </c>
      <c r="AJ210" s="30" t="s">
        <v>937</v>
      </c>
      <c r="AL210" s="30" t="s">
        <v>483</v>
      </c>
      <c r="AM210" t="s">
        <v>270</v>
      </c>
      <c r="AN210" s="30" t="s">
        <v>270</v>
      </c>
      <c r="AO210" s="30" t="s">
        <v>483</v>
      </c>
      <c r="AP210" s="30" t="s">
        <v>483</v>
      </c>
      <c r="AQ210" s="30" t="s">
        <v>483</v>
      </c>
      <c r="AR210" s="30" t="s">
        <v>483</v>
      </c>
      <c r="AS210" s="30" t="s">
        <v>84</v>
      </c>
      <c r="AT210" s="30" t="s">
        <v>295</v>
      </c>
      <c r="AU210" s="50">
        <v>46235.666666666664</v>
      </c>
      <c r="AV210" s="50">
        <v>46235.640972222223</v>
      </c>
      <c r="AW210" s="50">
        <v>46235.674305555556</v>
      </c>
      <c r="AX210" s="50">
        <v>46235.677777777775</v>
      </c>
      <c r="AY210" s="50">
        <v>46235.708333333336</v>
      </c>
      <c r="AZ210" s="50">
        <v>46236.694444444445</v>
      </c>
      <c r="BA210" s="51">
        <v>46237.467361111114</v>
      </c>
      <c r="BB210" s="51">
        <v>46237.469444444447</v>
      </c>
      <c r="BC210" s="50">
        <v>46237.472222222219</v>
      </c>
      <c r="BD210" s="50">
        <v>46237.473611111112</v>
      </c>
      <c r="BE210" s="51">
        <v>46237.474999999999</v>
      </c>
      <c r="BF210" s="51">
        <v>46237.654861111114</v>
      </c>
      <c r="BG210" s="51">
        <v>46237.668749999997</v>
      </c>
      <c r="BH210" s="51">
        <v>46237.686111111114</v>
      </c>
      <c r="BI210" s="30" t="s">
        <v>240</v>
      </c>
      <c r="BJ210" s="50">
        <v>46238.333333333336</v>
      </c>
      <c r="BK210" s="50">
        <v>46238.370833333334</v>
      </c>
      <c r="BL210" s="50">
        <v>46238.382638888892</v>
      </c>
      <c r="BM210" s="50">
        <v>46238.388194444444</v>
      </c>
      <c r="BN210" s="50">
        <v>46238.407638888886</v>
      </c>
      <c r="BR210"/>
      <c r="BS210"/>
      <c r="BT210"/>
      <c r="BU210"/>
      <c r="BV210"/>
      <c r="BW210"/>
      <c r="BX210"/>
      <c r="BY210"/>
    </row>
    <row r="211" spans="1:77">
      <c r="A211" t="s">
        <v>168</v>
      </c>
      <c r="B211" s="30">
        <v>52</v>
      </c>
      <c r="C211" s="30">
        <v>32</v>
      </c>
      <c r="D211" s="30" t="s">
        <v>169</v>
      </c>
      <c r="E211" s="30" t="s">
        <v>170</v>
      </c>
      <c r="F211" s="48">
        <v>46242</v>
      </c>
      <c r="G211" s="48">
        <v>46243</v>
      </c>
      <c r="H211" s="49">
        <v>0.66666666666666663</v>
      </c>
      <c r="I211" s="49">
        <v>0.58333333333333337</v>
      </c>
      <c r="J211" s="30" t="s">
        <v>53</v>
      </c>
      <c r="K211" s="30" t="s">
        <v>171</v>
      </c>
      <c r="L211" s="30">
        <v>1</v>
      </c>
      <c r="M211" s="30" t="s">
        <v>938</v>
      </c>
      <c r="P211" s="30" t="s">
        <v>174</v>
      </c>
      <c r="Q211" s="30" t="s">
        <v>83</v>
      </c>
      <c r="R211" s="30" t="s">
        <v>939</v>
      </c>
      <c r="S211" s="30" t="s">
        <v>391</v>
      </c>
      <c r="T211" s="30">
        <v>6461847420</v>
      </c>
      <c r="U211" s="30" t="s">
        <v>940</v>
      </c>
      <c r="W211" s="30">
        <v>32970833</v>
      </c>
      <c r="X211" s="30" t="s">
        <v>179</v>
      </c>
      <c r="Y211" t="s">
        <v>941</v>
      </c>
      <c r="Z211" s="30" t="s">
        <v>180</v>
      </c>
      <c r="AA211" s="30" t="s">
        <v>181</v>
      </c>
      <c r="AB211" s="30" t="s">
        <v>55</v>
      </c>
      <c r="AC211" s="30" t="s">
        <v>56</v>
      </c>
      <c r="AD211" s="30" t="s">
        <v>78</v>
      </c>
      <c r="AE211" s="30">
        <v>20513040718</v>
      </c>
      <c r="AF211" s="30" t="s">
        <v>829</v>
      </c>
      <c r="AG211" s="30" t="s">
        <v>830</v>
      </c>
      <c r="AH211" s="30" t="s">
        <v>661</v>
      </c>
      <c r="AI211" s="30" t="s">
        <v>942</v>
      </c>
      <c r="AJ211" s="30" t="s">
        <v>831</v>
      </c>
      <c r="AL211" s="30" t="s">
        <v>483</v>
      </c>
      <c r="AM211" t="s">
        <v>270</v>
      </c>
      <c r="AN211" s="30" t="s">
        <v>270</v>
      </c>
      <c r="AO211" s="30" t="s">
        <v>483</v>
      </c>
      <c r="AP211" s="30" t="s">
        <v>483</v>
      </c>
      <c r="AQ211" s="30" t="s">
        <v>483</v>
      </c>
      <c r="AR211" s="30" t="s">
        <v>483</v>
      </c>
      <c r="AS211" s="30" t="s">
        <v>84</v>
      </c>
      <c r="AT211" s="30" t="s">
        <v>295</v>
      </c>
      <c r="AU211" s="50">
        <v>46242.541666666664</v>
      </c>
      <c r="AV211" s="50">
        <v>46242.565972222219</v>
      </c>
      <c r="AW211" s="50">
        <v>46242.585416666669</v>
      </c>
      <c r="AX211" s="50">
        <v>46242.609722222223</v>
      </c>
      <c r="AY211" s="50">
        <v>46242.64166666667</v>
      </c>
      <c r="AZ211" s="50">
        <v>46243.011111111111</v>
      </c>
      <c r="BA211" s="51">
        <v>46243.533333333333</v>
      </c>
      <c r="BB211" s="51">
        <v>46243.677083333336</v>
      </c>
      <c r="BC211" s="50">
        <v>46243.680555555555</v>
      </c>
      <c r="BD211" s="50">
        <v>46243.684027777781</v>
      </c>
      <c r="BE211" s="51">
        <v>46243.689583333333</v>
      </c>
      <c r="BF211" s="51">
        <v>46243.767361111109</v>
      </c>
      <c r="BG211" s="51">
        <v>46243.783333333333</v>
      </c>
      <c r="BH211" s="51">
        <v>46243.823611111111</v>
      </c>
      <c r="BI211" s="30" t="s">
        <v>240</v>
      </c>
      <c r="BJ211" s="50">
        <v>46244.416666666664</v>
      </c>
      <c r="BK211" s="50">
        <v>46244.42083333333</v>
      </c>
      <c r="BL211" s="50">
        <v>46244.422222222223</v>
      </c>
      <c r="BM211" s="50">
        <v>46244.442361111112</v>
      </c>
      <c r="BN211" s="50">
        <v>46244.463194444441</v>
      </c>
      <c r="BR211"/>
      <c r="BS211"/>
      <c r="BT211"/>
      <c r="BU211"/>
      <c r="BV211"/>
      <c r="BW211"/>
      <c r="BX211"/>
      <c r="BY211"/>
    </row>
    <row r="212" spans="1:77">
      <c r="A212" t="s">
        <v>168</v>
      </c>
      <c r="B212" s="30">
        <v>53</v>
      </c>
      <c r="C212" s="30">
        <v>32</v>
      </c>
      <c r="D212" s="30" t="s">
        <v>169</v>
      </c>
      <c r="E212" s="30" t="s">
        <v>170</v>
      </c>
      <c r="F212" s="48">
        <v>46242</v>
      </c>
      <c r="G212" s="48">
        <v>46243</v>
      </c>
      <c r="H212" s="49">
        <v>0.66666666666666663</v>
      </c>
      <c r="I212" s="49">
        <v>0.58333333333333337</v>
      </c>
      <c r="J212" s="30" t="s">
        <v>53</v>
      </c>
      <c r="K212" s="30" t="s">
        <v>171</v>
      </c>
      <c r="L212" s="30">
        <v>1</v>
      </c>
      <c r="M212" s="30" t="s">
        <v>943</v>
      </c>
      <c r="P212" s="30" t="s">
        <v>174</v>
      </c>
      <c r="Q212" s="30" t="s">
        <v>83</v>
      </c>
      <c r="R212" s="30" t="s">
        <v>939</v>
      </c>
      <c r="S212" s="30" t="s">
        <v>391</v>
      </c>
      <c r="T212" s="30">
        <v>6461847540</v>
      </c>
      <c r="U212" s="30" t="s">
        <v>944</v>
      </c>
      <c r="W212" s="30">
        <v>32970748</v>
      </c>
      <c r="X212" s="30" t="s">
        <v>179</v>
      </c>
      <c r="Y212" t="s">
        <v>941</v>
      </c>
      <c r="Z212" s="30" t="s">
        <v>180</v>
      </c>
      <c r="AA212" s="30" t="s">
        <v>181</v>
      </c>
      <c r="AB212" s="30" t="s">
        <v>55</v>
      </c>
      <c r="AC212" s="30" t="s">
        <v>56</v>
      </c>
      <c r="AD212" s="30" t="s">
        <v>945</v>
      </c>
      <c r="AE212" s="30">
        <v>20100727359</v>
      </c>
      <c r="AF212" s="30" t="s">
        <v>946</v>
      </c>
      <c r="AG212" s="30" t="s">
        <v>947</v>
      </c>
      <c r="AH212" s="30" t="s">
        <v>661</v>
      </c>
      <c r="AI212" s="30" t="s">
        <v>948</v>
      </c>
      <c r="AJ212" s="30" t="s">
        <v>949</v>
      </c>
      <c r="AL212" s="30" t="s">
        <v>483</v>
      </c>
      <c r="AM212" t="s">
        <v>270</v>
      </c>
      <c r="AN212" s="30" t="s">
        <v>270</v>
      </c>
      <c r="AO212" s="30" t="s">
        <v>483</v>
      </c>
      <c r="AP212" s="30" t="s">
        <v>483</v>
      </c>
      <c r="AQ212" s="30" t="s">
        <v>483</v>
      </c>
      <c r="AR212" s="30" t="s">
        <v>483</v>
      </c>
      <c r="AS212" s="30" t="s">
        <v>84</v>
      </c>
      <c r="AT212" s="30" t="s">
        <v>295</v>
      </c>
      <c r="AU212" s="50">
        <v>46242.541666666664</v>
      </c>
      <c r="AV212" s="50">
        <v>46242.6</v>
      </c>
      <c r="AW212" s="50">
        <v>46242.604166666664</v>
      </c>
      <c r="AX212" s="50">
        <v>46242.65347222222</v>
      </c>
      <c r="AY212" s="50">
        <v>46242.675000000003</v>
      </c>
      <c r="AZ212" s="50">
        <v>46242.675000000003</v>
      </c>
      <c r="BA212" s="51">
        <v>46243.54791666667</v>
      </c>
      <c r="BB212" s="51">
        <v>46243.75</v>
      </c>
      <c r="BC212" s="50">
        <v>46243.756944444445</v>
      </c>
      <c r="BD212" s="50">
        <v>46243.759722222225</v>
      </c>
      <c r="BE212" s="51">
        <v>46243.763888888891</v>
      </c>
      <c r="BF212" s="51">
        <v>46243.822916666664</v>
      </c>
      <c r="BG212" s="51">
        <v>46243.838888888888</v>
      </c>
      <c r="BH212" s="51">
        <v>46243.854166666664</v>
      </c>
      <c r="BI212" s="30" t="s">
        <v>240</v>
      </c>
      <c r="BJ212" s="50">
        <v>46244.5</v>
      </c>
      <c r="BK212" s="50">
        <v>46244.5</v>
      </c>
      <c r="BL212" s="50">
        <v>46244.503472222219</v>
      </c>
      <c r="BM212" s="50">
        <v>46244.527777777781</v>
      </c>
      <c r="BN212" s="50">
        <v>46244.542361111111</v>
      </c>
      <c r="BR212"/>
      <c r="BS212"/>
      <c r="BT212"/>
      <c r="BU212"/>
      <c r="BV212"/>
      <c r="BW212"/>
      <c r="BX212"/>
      <c r="BY212"/>
    </row>
    <row r="213" spans="1:77">
      <c r="A213" t="s">
        <v>168</v>
      </c>
      <c r="B213" s="30">
        <v>56</v>
      </c>
      <c r="C213" s="30">
        <v>32</v>
      </c>
      <c r="D213" s="30" t="s">
        <v>169</v>
      </c>
      <c r="E213" s="30" t="s">
        <v>170</v>
      </c>
      <c r="F213" s="48">
        <v>46243</v>
      </c>
      <c r="G213" s="48">
        <v>46244</v>
      </c>
      <c r="H213" s="49">
        <v>0.58333333333333337</v>
      </c>
      <c r="I213" s="49">
        <v>0.5</v>
      </c>
      <c r="J213" s="30" t="s">
        <v>53</v>
      </c>
      <c r="K213" s="30" t="s">
        <v>171</v>
      </c>
      <c r="L213" s="30">
        <v>1</v>
      </c>
      <c r="M213" s="30" t="s">
        <v>1885</v>
      </c>
      <c r="P213" s="30" t="s">
        <v>174</v>
      </c>
      <c r="Q213" s="30" t="s">
        <v>1886</v>
      </c>
      <c r="R213" s="30" t="s">
        <v>1825</v>
      </c>
      <c r="S213" s="30" t="s">
        <v>1823</v>
      </c>
      <c r="T213" s="30">
        <v>751600043223</v>
      </c>
      <c r="U213" s="30" t="s">
        <v>1887</v>
      </c>
      <c r="X213" s="30" t="s">
        <v>180</v>
      </c>
      <c r="Y213" t="s">
        <v>180</v>
      </c>
      <c r="Z213" s="30" t="s">
        <v>180</v>
      </c>
      <c r="AA213" s="30" t="s">
        <v>181</v>
      </c>
      <c r="AB213" s="30" t="s">
        <v>55</v>
      </c>
      <c r="AC213" s="30" t="s">
        <v>56</v>
      </c>
      <c r="AD213" s="30" t="s">
        <v>1888</v>
      </c>
      <c r="AE213" s="30">
        <v>20614404460</v>
      </c>
      <c r="AF213" s="30" t="s">
        <v>1889</v>
      </c>
      <c r="AG213" s="30" t="s">
        <v>1890</v>
      </c>
      <c r="AH213" s="30" t="s">
        <v>661</v>
      </c>
      <c r="AI213" s="30" t="s">
        <v>1891</v>
      </c>
      <c r="AJ213" s="30" t="s">
        <v>1892</v>
      </c>
      <c r="AL213" s="30" t="s">
        <v>483</v>
      </c>
      <c r="AM213"/>
      <c r="AO213" s="30" t="s">
        <v>483</v>
      </c>
      <c r="AP213" s="30" t="s">
        <v>483</v>
      </c>
      <c r="AQ213" s="30" t="s">
        <v>483</v>
      </c>
      <c r="AR213" s="30" t="s">
        <v>483</v>
      </c>
      <c r="AS213" s="30" t="s">
        <v>84</v>
      </c>
      <c r="AT213" s="30" t="s">
        <v>277</v>
      </c>
      <c r="AU213" s="50">
        <v>46243.833333333336</v>
      </c>
      <c r="AV213" s="50">
        <v>46243.651388888888</v>
      </c>
      <c r="AW213" s="50">
        <v>46243.663888888892</v>
      </c>
      <c r="AX213" s="50">
        <v>46243.675694444442</v>
      </c>
      <c r="AY213" s="50">
        <v>46243.753472222219</v>
      </c>
      <c r="AZ213" s="50">
        <v>46243.777083333334</v>
      </c>
      <c r="BA213" s="51">
        <v>46244.423611111109</v>
      </c>
      <c r="BB213" s="51">
        <v>46244.4375</v>
      </c>
      <c r="BC213" s="50">
        <v>46244.443055555559</v>
      </c>
      <c r="BD213" s="50">
        <v>46244.446527777778</v>
      </c>
      <c r="BE213" s="51">
        <v>46244.451388888891</v>
      </c>
      <c r="BF213" s="51">
        <v>46244.621527777781</v>
      </c>
      <c r="BG213" s="51">
        <v>46244.637499999997</v>
      </c>
      <c r="BH213" s="51">
        <v>46244.652777777781</v>
      </c>
      <c r="BI213" s="30" t="s">
        <v>64</v>
      </c>
      <c r="BJ213" s="50">
        <v>46245.375</v>
      </c>
      <c r="BK213" s="50">
        <v>46245.089583333334</v>
      </c>
      <c r="BL213" s="50">
        <v>46245.363888888889</v>
      </c>
      <c r="BM213" s="50">
        <v>46245.368750000001</v>
      </c>
      <c r="BN213" s="50">
        <v>46245.395138888889</v>
      </c>
      <c r="BR213"/>
      <c r="BS213"/>
      <c r="BT213"/>
      <c r="BU213"/>
      <c r="BV213"/>
      <c r="BW213"/>
      <c r="BX213"/>
      <c r="BY213"/>
    </row>
    <row r="214" spans="1:77">
      <c r="A214" t="s">
        <v>168</v>
      </c>
      <c r="B214" s="30">
        <v>57</v>
      </c>
      <c r="C214" s="30">
        <v>32</v>
      </c>
      <c r="D214" s="30" t="s">
        <v>169</v>
      </c>
      <c r="E214" s="30" t="s">
        <v>170</v>
      </c>
      <c r="F214" s="48">
        <v>46240</v>
      </c>
      <c r="G214" s="48">
        <v>46241</v>
      </c>
      <c r="H214" s="49">
        <v>0.58333333333333337</v>
      </c>
      <c r="I214" s="49">
        <v>0.5</v>
      </c>
      <c r="J214" s="30" t="s">
        <v>53</v>
      </c>
      <c r="K214" s="30" t="s">
        <v>171</v>
      </c>
      <c r="L214" s="30">
        <v>1</v>
      </c>
      <c r="M214" s="30" t="s">
        <v>1893</v>
      </c>
      <c r="P214" s="30" t="s">
        <v>174</v>
      </c>
      <c r="Q214" s="30" t="s">
        <v>1886</v>
      </c>
      <c r="R214" s="30" t="s">
        <v>390</v>
      </c>
      <c r="S214" s="30" t="s">
        <v>391</v>
      </c>
      <c r="T214" s="30">
        <v>6461853960</v>
      </c>
      <c r="U214" s="30" t="s">
        <v>1894</v>
      </c>
      <c r="W214" s="30">
        <v>32999374</v>
      </c>
      <c r="X214" s="30" t="s">
        <v>179</v>
      </c>
      <c r="Y214" t="s">
        <v>941</v>
      </c>
      <c r="Z214" s="30" t="s">
        <v>180</v>
      </c>
      <c r="AA214" s="30" t="s">
        <v>181</v>
      </c>
      <c r="AB214" s="30" t="s">
        <v>55</v>
      </c>
      <c r="AC214" s="30" t="s">
        <v>56</v>
      </c>
      <c r="AD214" s="30" t="s">
        <v>955</v>
      </c>
      <c r="AE214" s="30">
        <v>20535747424</v>
      </c>
      <c r="AF214" s="30" t="s">
        <v>1895</v>
      </c>
      <c r="AG214" s="30" t="s">
        <v>1896</v>
      </c>
      <c r="AH214" s="30" t="s">
        <v>661</v>
      </c>
      <c r="AI214" s="30" t="s">
        <v>1897</v>
      </c>
      <c r="AJ214" s="30" t="s">
        <v>1898</v>
      </c>
      <c r="AL214" s="30" t="s">
        <v>483</v>
      </c>
      <c r="AM214"/>
      <c r="AO214" s="30" t="s">
        <v>483</v>
      </c>
      <c r="AP214" s="30" t="s">
        <v>483</v>
      </c>
      <c r="AQ214" s="30" t="s">
        <v>483</v>
      </c>
      <c r="AR214" s="30" t="s">
        <v>483</v>
      </c>
      <c r="AS214" s="30" t="s">
        <v>84</v>
      </c>
      <c r="AT214" s="30" t="s">
        <v>295</v>
      </c>
      <c r="AU214" s="50">
        <v>46241.625</v>
      </c>
      <c r="AV214" s="50">
        <v>46241.720138888886</v>
      </c>
      <c r="AW214" s="50">
        <v>46241.728472222225</v>
      </c>
      <c r="AX214" s="50">
        <v>46241.763888888891</v>
      </c>
      <c r="AY214" s="50">
        <v>46241.805555555555</v>
      </c>
      <c r="AZ214" s="50">
        <v>46242.181944444441</v>
      </c>
      <c r="BA214" s="51">
        <v>46242.581250000003</v>
      </c>
      <c r="BB214" s="51">
        <v>46242.635416666664</v>
      </c>
      <c r="BC214" s="50">
        <v>46242.64166666667</v>
      </c>
      <c r="BD214" s="50">
        <v>46242.645833333336</v>
      </c>
      <c r="BE214" s="51">
        <v>46242.673611111109</v>
      </c>
      <c r="BF214" s="51">
        <v>46242.729166666664</v>
      </c>
      <c r="BG214" s="51">
        <v>46242.74722222222</v>
      </c>
      <c r="BH214" s="51">
        <v>46242.756249999999</v>
      </c>
      <c r="BI214" s="30" t="s">
        <v>64</v>
      </c>
      <c r="BJ214" s="50">
        <v>46243.583333333336</v>
      </c>
      <c r="BK214" s="50">
        <v>46243.57708333333</v>
      </c>
      <c r="BL214" s="50">
        <v>46243.618750000001</v>
      </c>
      <c r="BM214" s="50">
        <v>46243.645833333336</v>
      </c>
      <c r="BN214" s="50">
        <v>46243.659722222219</v>
      </c>
      <c r="BR214"/>
      <c r="BS214"/>
      <c r="BT214"/>
      <c r="BU214"/>
      <c r="BV214"/>
      <c r="BW214"/>
      <c r="BX214"/>
      <c r="BY214"/>
    </row>
    <row r="215" spans="1:77">
      <c r="A215" t="s">
        <v>168</v>
      </c>
      <c r="B215" s="30">
        <v>54</v>
      </c>
      <c r="C215" s="30">
        <v>32</v>
      </c>
      <c r="D215" s="30" t="s">
        <v>169</v>
      </c>
      <c r="E215" s="30" t="s">
        <v>170</v>
      </c>
      <c r="F215" s="48">
        <v>46243</v>
      </c>
      <c r="G215" s="48">
        <v>46244</v>
      </c>
      <c r="H215" s="49">
        <v>0.58333333333333337</v>
      </c>
      <c r="I215" s="49">
        <v>0.5</v>
      </c>
      <c r="J215" s="30" t="s">
        <v>53</v>
      </c>
      <c r="K215" s="30" t="s">
        <v>171</v>
      </c>
      <c r="L215" s="30">
        <v>1</v>
      </c>
      <c r="M215" s="30" t="s">
        <v>950</v>
      </c>
      <c r="P215" s="30" t="s">
        <v>174</v>
      </c>
      <c r="Q215" s="30" t="s">
        <v>84</v>
      </c>
      <c r="R215" s="30" t="s">
        <v>951</v>
      </c>
      <c r="S215" s="30" t="s">
        <v>391</v>
      </c>
      <c r="T215" s="30">
        <v>6461853430</v>
      </c>
      <c r="U215" s="30" t="s">
        <v>952</v>
      </c>
      <c r="W215" s="30">
        <v>32970741</v>
      </c>
      <c r="X215" s="30" t="s">
        <v>179</v>
      </c>
      <c r="Y215" t="s">
        <v>180</v>
      </c>
      <c r="Z215" s="30" t="s">
        <v>180</v>
      </c>
      <c r="AA215" s="30" t="s">
        <v>181</v>
      </c>
      <c r="AB215" s="30" t="s">
        <v>55</v>
      </c>
      <c r="AC215" s="30" t="s">
        <v>56</v>
      </c>
      <c r="AD215" s="30" t="s">
        <v>931</v>
      </c>
      <c r="AE215" s="30">
        <v>20608586238</v>
      </c>
      <c r="AF215" s="30" t="s">
        <v>835</v>
      </c>
      <c r="AG215" s="30" t="s">
        <v>836</v>
      </c>
      <c r="AH215" s="30" t="s">
        <v>661</v>
      </c>
      <c r="AI215" s="30" t="s">
        <v>837</v>
      </c>
      <c r="AJ215" s="30" t="s">
        <v>838</v>
      </c>
      <c r="AL215" s="30" t="s">
        <v>483</v>
      </c>
      <c r="AM215" t="s">
        <v>270</v>
      </c>
      <c r="AN215" s="30" t="s">
        <v>270</v>
      </c>
      <c r="AO215" s="30" t="s">
        <v>483</v>
      </c>
      <c r="AP215" s="30" t="s">
        <v>483</v>
      </c>
      <c r="AQ215" s="30" t="s">
        <v>483</v>
      </c>
      <c r="AR215" s="30" t="s">
        <v>483</v>
      </c>
      <c r="AS215" s="30" t="s">
        <v>84</v>
      </c>
      <c r="AT215" s="30" t="s">
        <v>295</v>
      </c>
      <c r="AU215" s="50">
        <v>46243.666666666664</v>
      </c>
      <c r="AV215" s="50">
        <v>46243.722222222219</v>
      </c>
      <c r="AW215" s="50">
        <v>46243.729166666664</v>
      </c>
      <c r="AX215" s="50">
        <v>46243.732638888891</v>
      </c>
      <c r="AY215" s="50">
        <v>46243.799305555556</v>
      </c>
      <c r="AZ215" s="50">
        <v>46244.111805555556</v>
      </c>
      <c r="BA215" s="51">
        <v>46244.537499999999</v>
      </c>
      <c r="BB215" s="51">
        <v>46244.548611111109</v>
      </c>
      <c r="BC215" s="50">
        <v>46244.555555555555</v>
      </c>
      <c r="BD215" s="50">
        <v>46244.557638888888</v>
      </c>
      <c r="BE215" s="51">
        <v>46244.561111111114</v>
      </c>
      <c r="BF215" s="51">
        <v>46244.729166666664</v>
      </c>
      <c r="BG215" s="51">
        <v>46244.746527777781</v>
      </c>
      <c r="BH215" s="51">
        <v>46244.791666666664</v>
      </c>
      <c r="BI215" s="30" t="s">
        <v>64</v>
      </c>
      <c r="BJ215" s="50">
        <v>46245.541666666664</v>
      </c>
      <c r="BK215" s="50">
        <v>46245.520138888889</v>
      </c>
      <c r="BL215" s="50">
        <v>46245.521527777775</v>
      </c>
      <c r="BM215" s="50">
        <v>46245.636111111111</v>
      </c>
      <c r="BN215" s="50">
        <v>46245.665277777778</v>
      </c>
      <c r="BR215"/>
      <c r="BS215"/>
      <c r="BT215"/>
      <c r="BU215"/>
      <c r="BV215"/>
      <c r="BW215"/>
      <c r="BX215"/>
      <c r="BY215"/>
    </row>
    <row r="216" spans="1:77">
      <c r="A216" t="s">
        <v>168</v>
      </c>
      <c r="B216" s="30">
        <v>55</v>
      </c>
      <c r="C216" s="30">
        <v>32</v>
      </c>
      <c r="D216" s="30" t="s">
        <v>169</v>
      </c>
      <c r="E216" s="30" t="s">
        <v>170</v>
      </c>
      <c r="F216" s="48">
        <v>46243</v>
      </c>
      <c r="G216" s="48">
        <v>46244</v>
      </c>
      <c r="H216" s="49">
        <v>0.58333333333333337</v>
      </c>
      <c r="I216" s="49">
        <v>0.5</v>
      </c>
      <c r="J216" s="30" t="s">
        <v>53</v>
      </c>
      <c r="K216" s="30" t="s">
        <v>171</v>
      </c>
      <c r="L216" s="30">
        <v>1</v>
      </c>
      <c r="M216" s="30" t="s">
        <v>953</v>
      </c>
      <c r="P216" s="30" t="s">
        <v>174</v>
      </c>
      <c r="Q216" s="30" t="s">
        <v>83</v>
      </c>
      <c r="R216" s="30" t="s">
        <v>939</v>
      </c>
      <c r="S216" s="30" t="s">
        <v>391</v>
      </c>
      <c r="T216" s="30">
        <v>6462050480</v>
      </c>
      <c r="U216" s="30" t="s">
        <v>954</v>
      </c>
      <c r="W216" s="30">
        <v>32970750</v>
      </c>
      <c r="X216" s="30" t="s">
        <v>179</v>
      </c>
      <c r="Y216" t="s">
        <v>941</v>
      </c>
      <c r="Z216" s="30" t="s">
        <v>180</v>
      </c>
      <c r="AA216" s="30" t="s">
        <v>181</v>
      </c>
      <c r="AB216" s="30" t="s">
        <v>55</v>
      </c>
      <c r="AC216" s="30" t="s">
        <v>56</v>
      </c>
      <c r="AD216" s="30" t="s">
        <v>955</v>
      </c>
      <c r="AE216" s="30">
        <v>20535747424</v>
      </c>
      <c r="AF216" s="30" t="s">
        <v>783</v>
      </c>
      <c r="AG216" s="30" t="s">
        <v>784</v>
      </c>
      <c r="AH216" s="30" t="s">
        <v>661</v>
      </c>
      <c r="AI216" s="30" t="s">
        <v>785</v>
      </c>
      <c r="AJ216" s="30" t="s">
        <v>786</v>
      </c>
      <c r="AL216" s="30" t="s">
        <v>483</v>
      </c>
      <c r="AM216" t="s">
        <v>270</v>
      </c>
      <c r="AN216" s="30" t="s">
        <v>270</v>
      </c>
      <c r="AO216" s="30" t="s">
        <v>483</v>
      </c>
      <c r="AP216" s="30" t="s">
        <v>483</v>
      </c>
      <c r="AQ216" s="30" t="s">
        <v>483</v>
      </c>
      <c r="AR216" s="30" t="s">
        <v>483</v>
      </c>
      <c r="AS216" s="30" t="s">
        <v>84</v>
      </c>
      <c r="AT216" s="30" t="s">
        <v>295</v>
      </c>
      <c r="AU216" s="50">
        <v>46243.666666666664</v>
      </c>
      <c r="AV216" s="50">
        <v>46243.734027777777</v>
      </c>
      <c r="AW216" s="50">
        <v>46243.739583333336</v>
      </c>
      <c r="AX216" s="50">
        <v>46243.793055555558</v>
      </c>
      <c r="AY216" s="50">
        <v>46243.806944444441</v>
      </c>
      <c r="AZ216" s="50">
        <v>46244.111805555556</v>
      </c>
      <c r="BA216" s="51">
        <v>46244.429166666669</v>
      </c>
      <c r="BB216" s="51">
        <v>46244.458333333336</v>
      </c>
      <c r="BC216" s="50">
        <v>46244.462500000001</v>
      </c>
      <c r="BD216" s="50">
        <v>46244.465277777781</v>
      </c>
      <c r="BE216" s="51">
        <v>46244.47152777778</v>
      </c>
      <c r="BF216" s="51">
        <v>46244.78125</v>
      </c>
      <c r="BG216" s="51">
        <v>46244.754166666666</v>
      </c>
      <c r="BH216" s="51">
        <v>46244.776388888888</v>
      </c>
      <c r="BI216" s="30" t="s">
        <v>240</v>
      </c>
      <c r="BJ216" s="50">
        <v>46245.541666666664</v>
      </c>
      <c r="BK216" s="50">
        <v>46245.518750000003</v>
      </c>
      <c r="BL216" s="50">
        <v>46245.520833333336</v>
      </c>
      <c r="BM216" s="50">
        <v>46245.541666666664</v>
      </c>
      <c r="BN216" s="50">
        <v>46245.554166666669</v>
      </c>
      <c r="BR216"/>
      <c r="BS216"/>
      <c r="BT216"/>
      <c r="BU216"/>
      <c r="BV216"/>
      <c r="BW216"/>
      <c r="BX216"/>
      <c r="BY216"/>
    </row>
    <row r="217" spans="1:77">
      <c r="A217" t="s">
        <v>168</v>
      </c>
      <c r="B217" s="30">
        <v>58</v>
      </c>
      <c r="C217" s="30">
        <v>33</v>
      </c>
      <c r="D217" s="30" t="s">
        <v>169</v>
      </c>
      <c r="E217" s="30" t="s">
        <v>170</v>
      </c>
      <c r="F217" s="48">
        <v>46245</v>
      </c>
      <c r="G217" s="48">
        <v>46246</v>
      </c>
      <c r="H217" s="49">
        <v>0.58333333333333337</v>
      </c>
      <c r="I217" s="49">
        <v>0.5</v>
      </c>
      <c r="J217" s="30" t="s">
        <v>53</v>
      </c>
      <c r="K217" s="30" t="s">
        <v>171</v>
      </c>
      <c r="L217" s="30">
        <v>1</v>
      </c>
      <c r="M217" s="30" t="s">
        <v>956</v>
      </c>
      <c r="P217" s="30" t="s">
        <v>174</v>
      </c>
      <c r="Q217" s="30" t="s">
        <v>83</v>
      </c>
      <c r="R217" s="30" t="s">
        <v>939</v>
      </c>
      <c r="S217" s="30" t="s">
        <v>391</v>
      </c>
      <c r="T217" s="30">
        <v>6462784790</v>
      </c>
      <c r="U217" s="30" t="s">
        <v>957</v>
      </c>
      <c r="W217" s="30">
        <v>32975603</v>
      </c>
      <c r="X217" s="30" t="s">
        <v>179</v>
      </c>
      <c r="Y217" t="s">
        <v>179</v>
      </c>
      <c r="Z217" s="30" t="s">
        <v>180</v>
      </c>
      <c r="AA217" s="30" t="s">
        <v>181</v>
      </c>
      <c r="AB217" s="30" t="s">
        <v>55</v>
      </c>
      <c r="AC217" s="30" t="s">
        <v>56</v>
      </c>
      <c r="AD217" s="30" t="s">
        <v>958</v>
      </c>
      <c r="AE217" s="30">
        <v>20609163632</v>
      </c>
      <c r="AF217" s="30" t="s">
        <v>709</v>
      </c>
      <c r="AG217" s="30" t="s">
        <v>710</v>
      </c>
      <c r="AH217" s="30" t="s">
        <v>661</v>
      </c>
      <c r="AI217" s="30" t="s">
        <v>711</v>
      </c>
      <c r="AJ217" s="30" t="s">
        <v>712</v>
      </c>
      <c r="AL217" s="30" t="s">
        <v>483</v>
      </c>
      <c r="AM217" t="s">
        <v>270</v>
      </c>
      <c r="AN217" s="30" t="s">
        <v>270</v>
      </c>
      <c r="AO217" s="30" t="s">
        <v>483</v>
      </c>
      <c r="AP217" s="30" t="s">
        <v>483</v>
      </c>
      <c r="AQ217" s="30" t="s">
        <v>483</v>
      </c>
      <c r="AR217" s="30" t="s">
        <v>483</v>
      </c>
      <c r="AS217" s="30" t="s">
        <v>83</v>
      </c>
      <c r="AT217" s="30" t="s">
        <v>240</v>
      </c>
      <c r="AU217" s="50">
        <v>46245.708333333336</v>
      </c>
      <c r="AV217" s="50">
        <v>46245.752083333333</v>
      </c>
      <c r="AW217" s="50">
        <v>46245.759722222225</v>
      </c>
      <c r="AX217" s="50">
        <v>46245.786111111112</v>
      </c>
      <c r="AY217" s="50">
        <v>46245.832638888889</v>
      </c>
      <c r="AZ217" s="50">
        <v>46246.066666666666</v>
      </c>
      <c r="BA217" s="51">
        <v>46246.458333333336</v>
      </c>
      <c r="BB217" s="51">
        <v>46246.482638888891</v>
      </c>
      <c r="BC217" s="50">
        <v>46246.490972222222</v>
      </c>
      <c r="BD217" s="50">
        <v>46246.493055555555</v>
      </c>
      <c r="BE217" s="51">
        <v>46246.497916666667</v>
      </c>
      <c r="BF217" s="51">
        <v>46246.652777777781</v>
      </c>
      <c r="BG217" s="51">
        <v>46246.666666666664</v>
      </c>
      <c r="BH217" s="51">
        <v>46246.677777777775</v>
      </c>
      <c r="BI217" s="30" t="s">
        <v>240</v>
      </c>
      <c r="BJ217" s="50">
        <v>46247.375</v>
      </c>
      <c r="BK217" s="50">
        <v>46247.361111111109</v>
      </c>
      <c r="BL217" s="50">
        <v>46247.362500000003</v>
      </c>
      <c r="BM217" s="50">
        <v>46247.377083333333</v>
      </c>
      <c r="BN217" s="50">
        <v>46247.394444444442</v>
      </c>
      <c r="BR217"/>
      <c r="BS217"/>
      <c r="BT217"/>
      <c r="BU217"/>
      <c r="BV217"/>
      <c r="BW217"/>
      <c r="BX217"/>
      <c r="BY217"/>
    </row>
    <row r="218" spans="1:77">
      <c r="A218" t="s">
        <v>168</v>
      </c>
      <c r="B218" s="30">
        <v>59</v>
      </c>
      <c r="C218" s="30">
        <v>33</v>
      </c>
      <c r="D218" s="30" t="s">
        <v>169</v>
      </c>
      <c r="E218" s="30" t="s">
        <v>170</v>
      </c>
      <c r="F218" s="48">
        <v>46245</v>
      </c>
      <c r="G218" s="48">
        <v>46246</v>
      </c>
      <c r="H218" s="49">
        <v>0.66666666666666663</v>
      </c>
      <c r="I218" s="49">
        <v>0.58333333333333337</v>
      </c>
      <c r="J218" s="30" t="s">
        <v>53</v>
      </c>
      <c r="K218" s="30" t="s">
        <v>171</v>
      </c>
      <c r="L218" s="30">
        <v>1</v>
      </c>
      <c r="M218" s="30" t="s">
        <v>959</v>
      </c>
      <c r="P218" s="30" t="s">
        <v>174</v>
      </c>
      <c r="Q218" s="30" t="s">
        <v>83</v>
      </c>
      <c r="R218" s="30" t="s">
        <v>939</v>
      </c>
      <c r="S218" s="30" t="s">
        <v>391</v>
      </c>
      <c r="T218" s="30">
        <v>6462784530</v>
      </c>
      <c r="U218" s="30" t="s">
        <v>960</v>
      </c>
      <c r="W218" s="30">
        <v>32975600</v>
      </c>
      <c r="X218" s="30" t="s">
        <v>179</v>
      </c>
      <c r="Y218" t="s">
        <v>179</v>
      </c>
      <c r="Z218" s="30" t="s">
        <v>180</v>
      </c>
      <c r="AA218" s="30" t="s">
        <v>181</v>
      </c>
      <c r="AB218" s="30" t="s">
        <v>55</v>
      </c>
      <c r="AC218" s="30" t="s">
        <v>56</v>
      </c>
      <c r="AD218" s="30" t="s">
        <v>78</v>
      </c>
      <c r="AE218" s="30">
        <v>20513040718</v>
      </c>
      <c r="AF218" s="30" t="s">
        <v>829</v>
      </c>
      <c r="AG218" s="30" t="s">
        <v>830</v>
      </c>
      <c r="AH218" s="30" t="s">
        <v>661</v>
      </c>
      <c r="AI218" s="30" t="s">
        <v>942</v>
      </c>
      <c r="AJ218" s="30" t="s">
        <v>831</v>
      </c>
      <c r="AL218" s="30" t="s">
        <v>483</v>
      </c>
      <c r="AM218" t="s">
        <v>270</v>
      </c>
      <c r="AN218" s="30" t="s">
        <v>270</v>
      </c>
      <c r="AO218" s="30" t="s">
        <v>483</v>
      </c>
      <c r="AP218" s="30" t="s">
        <v>483</v>
      </c>
      <c r="AQ218" s="30" t="s">
        <v>483</v>
      </c>
      <c r="AR218" s="30" t="s">
        <v>483</v>
      </c>
      <c r="AS218" s="30" t="s">
        <v>83</v>
      </c>
      <c r="AT218" s="30" t="s">
        <v>240</v>
      </c>
      <c r="AU218" s="50">
        <v>46245.708333333336</v>
      </c>
      <c r="AV218" s="50">
        <v>46245.722222222219</v>
      </c>
      <c r="AW218" s="50">
        <v>46245.749305555553</v>
      </c>
      <c r="AX218" s="50">
        <v>46245.753472222219</v>
      </c>
      <c r="AY218" s="50">
        <v>46245.811111111114</v>
      </c>
      <c r="AZ218" s="50">
        <v>46245.8125</v>
      </c>
      <c r="BA218" s="51">
        <v>46246.470833333333</v>
      </c>
      <c r="BB218" s="51">
        <v>46246.474999999999</v>
      </c>
      <c r="BC218" s="50">
        <v>46246.476388888892</v>
      </c>
      <c r="BD218" s="50">
        <v>46246.477777777778</v>
      </c>
      <c r="BE218" s="51">
        <v>46246.479166666664</v>
      </c>
      <c r="BF218" s="51">
        <v>46246.666666666664</v>
      </c>
      <c r="BG218" s="51">
        <v>46246.679166666669</v>
      </c>
      <c r="BH218" s="51">
        <v>46246.694444444445</v>
      </c>
      <c r="BI218" s="30" t="s">
        <v>240</v>
      </c>
      <c r="BJ218" s="50">
        <v>46247.375</v>
      </c>
      <c r="BK218" s="50">
        <v>46247.36041666667</v>
      </c>
      <c r="BL218" s="50">
        <v>46247.400694444441</v>
      </c>
      <c r="BM218" s="50">
        <v>46247.57916666667</v>
      </c>
      <c r="BN218" s="50">
        <v>46247.61041666667</v>
      </c>
      <c r="BR218"/>
      <c r="BS218"/>
      <c r="BT218"/>
      <c r="BU218"/>
      <c r="BV218"/>
      <c r="BW218"/>
      <c r="BX218"/>
      <c r="BY218"/>
    </row>
    <row r="219" spans="1:77">
      <c r="A219" t="s">
        <v>168</v>
      </c>
      <c r="B219" s="30">
        <v>60</v>
      </c>
      <c r="C219" s="30">
        <v>33</v>
      </c>
      <c r="D219" s="30" t="s">
        <v>169</v>
      </c>
      <c r="E219" s="30" t="s">
        <v>170</v>
      </c>
      <c r="F219" s="48">
        <v>46247</v>
      </c>
      <c r="G219" s="48">
        <v>46249</v>
      </c>
      <c r="H219" s="49">
        <v>0.45833333333333331</v>
      </c>
      <c r="I219" s="49">
        <v>0.375</v>
      </c>
      <c r="J219" s="30" t="s">
        <v>53</v>
      </c>
      <c r="K219" s="30" t="s">
        <v>171</v>
      </c>
      <c r="L219" s="30">
        <v>1</v>
      </c>
      <c r="M219" s="30" t="s">
        <v>1907</v>
      </c>
      <c r="P219" s="30" t="s">
        <v>174</v>
      </c>
      <c r="Q219" s="30" t="s">
        <v>84</v>
      </c>
      <c r="R219" s="30" t="s">
        <v>1490</v>
      </c>
      <c r="S219" s="30" t="s">
        <v>1832</v>
      </c>
      <c r="T219" s="30">
        <v>275501308</v>
      </c>
      <c r="U219" s="30" t="s">
        <v>1943</v>
      </c>
      <c r="W219" s="30" t="s">
        <v>1944</v>
      </c>
      <c r="X219" s="30" t="s">
        <v>179</v>
      </c>
      <c r="Y219" t="s">
        <v>180</v>
      </c>
      <c r="Z219" s="30" t="s">
        <v>180</v>
      </c>
      <c r="AA219" s="30" t="s">
        <v>181</v>
      </c>
      <c r="AB219" s="30" t="s">
        <v>55</v>
      </c>
      <c r="AC219" s="30" t="s">
        <v>92</v>
      </c>
      <c r="AD219" s="30" t="s">
        <v>1945</v>
      </c>
      <c r="AE219" s="30">
        <v>20166522375</v>
      </c>
      <c r="AF219" s="30" t="s">
        <v>1946</v>
      </c>
      <c r="AG219" s="30" t="s">
        <v>1947</v>
      </c>
      <c r="AH219" s="30" t="s">
        <v>661</v>
      </c>
      <c r="AI219" s="30" t="s">
        <v>1948</v>
      </c>
      <c r="AJ219" s="30" t="s">
        <v>1949</v>
      </c>
      <c r="AL219" s="30" t="s">
        <v>483</v>
      </c>
      <c r="AM219" t="s">
        <v>270</v>
      </c>
      <c r="AN219" s="30" t="s">
        <v>270</v>
      </c>
      <c r="AO219" s="30" t="s">
        <v>483</v>
      </c>
      <c r="AP219" s="30" t="s">
        <v>483</v>
      </c>
      <c r="AQ219" s="30" t="s">
        <v>483</v>
      </c>
      <c r="AR219" s="30" t="s">
        <v>483</v>
      </c>
      <c r="AS219" s="30" t="s">
        <v>84</v>
      </c>
      <c r="AT219" s="30" t="s">
        <v>1498</v>
      </c>
      <c r="AU219" s="50">
        <v>46247.75</v>
      </c>
      <c r="AV219" s="50">
        <v>46247.212500000001</v>
      </c>
      <c r="AW219" s="50">
        <v>46247.436111111114</v>
      </c>
      <c r="AX219" s="50">
        <v>46247.454861111109</v>
      </c>
      <c r="AY219" s="50">
        <v>46247.467361111114</v>
      </c>
      <c r="AZ219" s="50">
        <v>46247.495833333334</v>
      </c>
      <c r="BA219" s="51">
        <v>46248.01666666667</v>
      </c>
      <c r="BB219" s="51">
        <v>46248.26666666667</v>
      </c>
      <c r="BC219" s="50">
        <v>46248.270833333336</v>
      </c>
      <c r="BD219" s="50">
        <v>46248.273611111108</v>
      </c>
      <c r="BE219" s="51">
        <v>46248.284722222219</v>
      </c>
      <c r="BF219" s="51">
        <v>46248.388888888891</v>
      </c>
      <c r="BG219" s="51">
        <v>46248.404861111114</v>
      </c>
      <c r="BH219" s="51">
        <v>46248.420138888891</v>
      </c>
      <c r="BI219" s="30" t="s">
        <v>787</v>
      </c>
      <c r="BJ219" s="50">
        <v>46249.041666666664</v>
      </c>
      <c r="BK219" s="50">
        <v>46249.018750000003</v>
      </c>
      <c r="BL219" s="50">
        <v>46249.0625</v>
      </c>
      <c r="BM219" s="50">
        <v>46249.075694444444</v>
      </c>
      <c r="BN219" s="50">
        <v>46249.092361111114</v>
      </c>
      <c r="BR219"/>
      <c r="BS219"/>
      <c r="BT219"/>
      <c r="BU219"/>
      <c r="BV219"/>
      <c r="BW219"/>
      <c r="BX219"/>
      <c r="BY219"/>
    </row>
    <row r="220" spans="1:77">
      <c r="A220" t="s">
        <v>168</v>
      </c>
      <c r="B220" s="30">
        <v>1</v>
      </c>
      <c r="C220" s="30">
        <v>22</v>
      </c>
      <c r="D220" s="30" t="s">
        <v>169</v>
      </c>
      <c r="E220" s="30" t="s">
        <v>170</v>
      </c>
      <c r="F220" s="48">
        <v>46168</v>
      </c>
      <c r="G220" s="48">
        <v>46169</v>
      </c>
      <c r="H220" s="49">
        <v>0.41666666666666669</v>
      </c>
      <c r="I220" s="49">
        <v>0.33333333333333331</v>
      </c>
      <c r="J220" s="30" t="s">
        <v>53</v>
      </c>
      <c r="K220" s="30" t="s">
        <v>171</v>
      </c>
      <c r="L220" s="30">
        <v>1</v>
      </c>
      <c r="M220" s="30" t="s">
        <v>961</v>
      </c>
      <c r="N220" s="30" t="s">
        <v>173</v>
      </c>
      <c r="O220" s="30" t="s">
        <v>173</v>
      </c>
      <c r="P220" s="30" t="s">
        <v>174</v>
      </c>
      <c r="Q220" s="30" t="s">
        <v>363</v>
      </c>
      <c r="R220" s="30" t="s">
        <v>175</v>
      </c>
      <c r="S220" s="30" t="s">
        <v>375</v>
      </c>
      <c r="T220" s="30" t="s">
        <v>962</v>
      </c>
      <c r="U220" s="30" t="s">
        <v>963</v>
      </c>
      <c r="V220" s="30" t="s">
        <v>964</v>
      </c>
      <c r="W220" s="30" t="s">
        <v>965</v>
      </c>
      <c r="X220" s="30" t="s">
        <v>180</v>
      </c>
      <c r="Y220" t="s">
        <v>180</v>
      </c>
      <c r="Z220" s="30" t="s">
        <v>180</v>
      </c>
      <c r="AA220" s="30" t="s">
        <v>181</v>
      </c>
      <c r="AB220" s="30" t="s">
        <v>55</v>
      </c>
      <c r="AC220" s="30" t="s">
        <v>56</v>
      </c>
      <c r="AD220" s="30" t="s">
        <v>57</v>
      </c>
      <c r="AE220" s="30">
        <v>20513040718</v>
      </c>
      <c r="AF220" s="30" t="s">
        <v>966</v>
      </c>
      <c r="AG220" s="30" t="s">
        <v>967</v>
      </c>
      <c r="AH220" s="30" t="s">
        <v>185</v>
      </c>
      <c r="AI220" s="30" t="s">
        <v>968</v>
      </c>
      <c r="AJ220" s="30" t="s">
        <v>969</v>
      </c>
      <c r="AK220" s="30" t="s">
        <v>970</v>
      </c>
      <c r="AL220" s="30" t="s">
        <v>483</v>
      </c>
      <c r="AM220" t="s">
        <v>270</v>
      </c>
      <c r="AN220" s="30" t="s">
        <v>270</v>
      </c>
      <c r="AO220" s="30" t="s">
        <v>483</v>
      </c>
      <c r="AP220" s="30" t="s">
        <v>483</v>
      </c>
      <c r="AQ220" s="30" t="s">
        <v>483</v>
      </c>
      <c r="AR220" s="30" t="s">
        <v>483</v>
      </c>
      <c r="AS220" s="30" t="s">
        <v>63</v>
      </c>
      <c r="AT220" s="30" t="s">
        <v>380</v>
      </c>
      <c r="AU220" s="50">
        <v>46168.916666666664</v>
      </c>
      <c r="AV220" s="50">
        <v>46168.947916666664</v>
      </c>
      <c r="AW220" s="50">
        <v>46168.957638888889</v>
      </c>
      <c r="AX220" s="50">
        <v>46168.965277777781</v>
      </c>
      <c r="AY220" s="50">
        <v>46169.011111111111</v>
      </c>
      <c r="AZ220" s="50">
        <v>46169.052777777775</v>
      </c>
      <c r="BA220" s="51">
        <v>46169.647222222222</v>
      </c>
      <c r="BB220" s="51">
        <v>46169.648611111108</v>
      </c>
      <c r="BC220" s="50">
        <v>46169.654166666667</v>
      </c>
      <c r="BD220" s="50">
        <v>46169.659722222219</v>
      </c>
      <c r="BE220" s="51">
        <v>46169.661111111112</v>
      </c>
      <c r="BF220" s="51">
        <v>46169.671527777777</v>
      </c>
      <c r="BG220" s="51">
        <v>46171.631249999999</v>
      </c>
      <c r="BH220" s="51">
        <v>46171.638194444444</v>
      </c>
      <c r="BI220" s="30" t="s">
        <v>65</v>
      </c>
      <c r="BJ220" s="50">
        <v>46172.458333333336</v>
      </c>
      <c r="BK220" s="50">
        <v>46172.493055555555</v>
      </c>
      <c r="BL220" s="50">
        <v>46172.506249999999</v>
      </c>
      <c r="BM220" s="50">
        <v>46172.512499999997</v>
      </c>
      <c r="BN220" s="50">
        <v>46172.519444444442</v>
      </c>
      <c r="BR220"/>
      <c r="BS220"/>
      <c r="BT220"/>
      <c r="BU220"/>
      <c r="BV220"/>
      <c r="BW220"/>
      <c r="BX220"/>
      <c r="BY220"/>
    </row>
    <row r="221" spans="1:77">
      <c r="A221" t="s">
        <v>168</v>
      </c>
      <c r="B221" s="30">
        <v>2</v>
      </c>
      <c r="C221" s="30">
        <v>22</v>
      </c>
      <c r="D221" s="30" t="s">
        <v>169</v>
      </c>
      <c r="E221" s="30" t="s">
        <v>170</v>
      </c>
      <c r="F221" s="48">
        <v>46173</v>
      </c>
      <c r="G221" s="48">
        <v>46174</v>
      </c>
      <c r="H221" s="49">
        <v>0.625</v>
      </c>
      <c r="I221" s="49">
        <v>0.54166666666666663</v>
      </c>
      <c r="J221" s="30" t="s">
        <v>53</v>
      </c>
      <c r="K221" s="30" t="s">
        <v>171</v>
      </c>
      <c r="L221" s="30">
        <v>1</v>
      </c>
      <c r="M221" s="30" t="s">
        <v>54</v>
      </c>
      <c r="P221" s="30" t="s">
        <v>174</v>
      </c>
      <c r="Q221" s="30" t="s">
        <v>363</v>
      </c>
      <c r="R221" s="30" t="s">
        <v>175</v>
      </c>
      <c r="S221" s="30" t="s">
        <v>176</v>
      </c>
      <c r="T221" s="30" t="s">
        <v>971</v>
      </c>
      <c r="U221" s="30" t="s">
        <v>62</v>
      </c>
      <c r="V221" s="30" t="s">
        <v>972</v>
      </c>
      <c r="W221" s="30" t="s">
        <v>973</v>
      </c>
      <c r="X221" s="30" t="s">
        <v>179</v>
      </c>
      <c r="Y221" t="s">
        <v>179</v>
      </c>
      <c r="Z221" s="30" t="s">
        <v>1908</v>
      </c>
      <c r="AA221" s="30" t="s">
        <v>181</v>
      </c>
      <c r="AB221" s="30" t="s">
        <v>55</v>
      </c>
      <c r="AC221" s="30" t="s">
        <v>56</v>
      </c>
      <c r="AD221" s="30" t="s">
        <v>57</v>
      </c>
      <c r="AE221" s="30">
        <v>20513040718</v>
      </c>
      <c r="AF221" s="30" t="s">
        <v>58</v>
      </c>
      <c r="AG221" s="30" t="s">
        <v>59</v>
      </c>
      <c r="AH221" s="30" t="s">
        <v>185</v>
      </c>
      <c r="AI221" s="30" t="s">
        <v>60</v>
      </c>
      <c r="AJ221" s="30" t="s">
        <v>61</v>
      </c>
      <c r="AK221" s="30" t="s">
        <v>974</v>
      </c>
      <c r="AL221" s="30" t="s">
        <v>483</v>
      </c>
      <c r="AM221" t="s">
        <v>270</v>
      </c>
      <c r="AN221" s="30" t="s">
        <v>270</v>
      </c>
      <c r="AO221" s="30" t="s">
        <v>483</v>
      </c>
      <c r="AP221" s="30" t="s">
        <v>483</v>
      </c>
      <c r="AQ221" s="30" t="s">
        <v>483</v>
      </c>
      <c r="AR221" s="30" t="s">
        <v>483</v>
      </c>
      <c r="AS221" s="30" t="s">
        <v>63</v>
      </c>
      <c r="AT221" s="30" t="s">
        <v>64</v>
      </c>
      <c r="AU221" s="50">
        <v>46173.583333333336</v>
      </c>
      <c r="AV221" s="50">
        <v>46173.594444444447</v>
      </c>
      <c r="AW221" s="50">
        <v>46173.611111111109</v>
      </c>
      <c r="AX221" s="50">
        <v>46173.615277777775</v>
      </c>
      <c r="AY221" s="50">
        <v>46173.668055555558</v>
      </c>
      <c r="AZ221" s="50">
        <v>46173.709722222222</v>
      </c>
      <c r="BA221" s="51">
        <v>46174.594444444447</v>
      </c>
      <c r="BB221" s="51">
        <v>46174.595833333333</v>
      </c>
      <c r="BC221" s="50">
        <v>46174.607638888891</v>
      </c>
      <c r="BD221" s="50">
        <v>46174.615277777775</v>
      </c>
      <c r="BE221" s="51">
        <v>46174.680555555555</v>
      </c>
      <c r="BF221" s="51">
        <v>46174.690972222219</v>
      </c>
      <c r="BG221" s="51">
        <v>46174.712500000001</v>
      </c>
      <c r="BH221" s="51">
        <v>46174.799305555556</v>
      </c>
      <c r="BI221" s="30" t="s">
        <v>65</v>
      </c>
      <c r="BJ221" s="50">
        <v>46175.5</v>
      </c>
      <c r="BK221" s="50">
        <v>46175.491666666669</v>
      </c>
      <c r="BL221" s="50">
        <v>46175.494444444441</v>
      </c>
      <c r="BM221" s="50">
        <v>46175.497916666667</v>
      </c>
      <c r="BN221" s="50">
        <v>46175.505555555559</v>
      </c>
      <c r="BR221"/>
      <c r="BS221"/>
      <c r="BT221"/>
      <c r="BU221"/>
      <c r="BV221"/>
      <c r="BW221"/>
      <c r="BX221"/>
      <c r="BY221"/>
    </row>
    <row r="222" spans="1:77">
      <c r="A222" t="s">
        <v>168</v>
      </c>
      <c r="B222" s="30">
        <v>3</v>
      </c>
      <c r="C222" s="30">
        <v>22</v>
      </c>
      <c r="D222" s="30" t="s">
        <v>169</v>
      </c>
      <c r="E222" s="30" t="s">
        <v>170</v>
      </c>
      <c r="F222" s="48">
        <v>46174</v>
      </c>
      <c r="G222" s="48">
        <v>46175</v>
      </c>
      <c r="H222" s="49">
        <v>0.41666666666666669</v>
      </c>
      <c r="I222" s="49">
        <v>0.33333333333333331</v>
      </c>
      <c r="J222" s="30" t="s">
        <v>53</v>
      </c>
      <c r="K222" s="30" t="s">
        <v>171</v>
      </c>
      <c r="L222" s="30">
        <v>1</v>
      </c>
      <c r="M222" s="30" t="s">
        <v>66</v>
      </c>
      <c r="P222" s="30" t="s">
        <v>174</v>
      </c>
      <c r="Q222" s="30" t="s">
        <v>363</v>
      </c>
      <c r="R222" s="30" t="s">
        <v>175</v>
      </c>
      <c r="S222" s="30" t="s">
        <v>176</v>
      </c>
      <c r="T222" s="30" t="s">
        <v>975</v>
      </c>
      <c r="U222" s="30" t="s">
        <v>71</v>
      </c>
      <c r="V222" s="30" t="s">
        <v>976</v>
      </c>
      <c r="W222" s="30" t="s">
        <v>977</v>
      </c>
      <c r="X222" s="30" t="s">
        <v>179</v>
      </c>
      <c r="Y222" t="s">
        <v>1908</v>
      </c>
      <c r="Z222" s="30" t="s">
        <v>1908</v>
      </c>
      <c r="AA222" s="30" t="s">
        <v>181</v>
      </c>
      <c r="AB222" s="30" t="s">
        <v>55</v>
      </c>
      <c r="AC222" s="30" t="s">
        <v>56</v>
      </c>
      <c r="AD222" s="30" t="s">
        <v>57</v>
      </c>
      <c r="AE222" s="30">
        <v>20513040718</v>
      </c>
      <c r="AF222" s="30" t="s">
        <v>67</v>
      </c>
      <c r="AG222" s="30" t="s">
        <v>68</v>
      </c>
      <c r="AH222" s="30" t="s">
        <v>185</v>
      </c>
      <c r="AI222" s="30" t="s">
        <v>69</v>
      </c>
      <c r="AJ222" s="30" t="s">
        <v>70</v>
      </c>
      <c r="AK222" s="30" t="s">
        <v>978</v>
      </c>
      <c r="AL222" s="30" t="s">
        <v>483</v>
      </c>
      <c r="AM222" t="s">
        <v>270</v>
      </c>
      <c r="AN222" s="30" t="s">
        <v>270</v>
      </c>
      <c r="AO222" s="30" t="s">
        <v>483</v>
      </c>
      <c r="AP222" s="30" t="s">
        <v>483</v>
      </c>
      <c r="AQ222" s="30" t="s">
        <v>483</v>
      </c>
      <c r="AR222" s="30" t="s">
        <v>483</v>
      </c>
      <c r="AS222" s="30" t="s">
        <v>63</v>
      </c>
      <c r="AT222" s="30" t="s">
        <v>64</v>
      </c>
      <c r="AU222" s="50">
        <v>46174.5</v>
      </c>
      <c r="AV222" s="50">
        <v>46174.517361111109</v>
      </c>
      <c r="AW222" s="50">
        <v>46174.521527777775</v>
      </c>
      <c r="AX222" s="50">
        <v>46174.52847222222</v>
      </c>
      <c r="AY222" s="50">
        <v>46174.569444444445</v>
      </c>
      <c r="AZ222" s="50">
        <v>46174.611111111109</v>
      </c>
      <c r="BA222" s="51">
        <v>46175.40625</v>
      </c>
      <c r="BB222" s="51">
        <v>46175.406944444447</v>
      </c>
      <c r="BC222" s="50">
        <v>46175.417361111111</v>
      </c>
      <c r="BD222" s="50">
        <v>46175.421527777777</v>
      </c>
      <c r="BE222" s="51">
        <v>46175.541666666664</v>
      </c>
      <c r="BF222" s="51">
        <v>46175.552083333336</v>
      </c>
      <c r="BG222" s="51">
        <v>46175.556250000001</v>
      </c>
      <c r="BH222" s="51">
        <v>46175.604861111111</v>
      </c>
      <c r="BI222" s="30" t="s">
        <v>65</v>
      </c>
      <c r="BJ222" s="50">
        <v>46176.416666666664</v>
      </c>
      <c r="BK222" s="50">
        <v>46176.418055555558</v>
      </c>
      <c r="BL222" s="50">
        <v>46176.42083333333</v>
      </c>
      <c r="BM222" s="50">
        <v>46176.424305555556</v>
      </c>
      <c r="BN222" s="50">
        <v>46176.441666666666</v>
      </c>
      <c r="BR222"/>
      <c r="BS222"/>
      <c r="BT222"/>
      <c r="BU222"/>
      <c r="BV222"/>
      <c r="BW222"/>
      <c r="BX222"/>
      <c r="BY222"/>
    </row>
    <row r="223" spans="1:77">
      <c r="A223" t="s">
        <v>168</v>
      </c>
      <c r="B223" s="30">
        <v>4</v>
      </c>
      <c r="C223" s="30">
        <v>23</v>
      </c>
      <c r="D223" s="30" t="s">
        <v>169</v>
      </c>
      <c r="E223" s="30" t="s">
        <v>170</v>
      </c>
      <c r="F223" s="48">
        <v>46181</v>
      </c>
      <c r="G223" s="48">
        <v>46182</v>
      </c>
      <c r="H223" s="49">
        <v>0.41666666666666669</v>
      </c>
      <c r="I223" s="49">
        <v>0.33333333333333331</v>
      </c>
      <c r="J223" s="30" t="s">
        <v>53</v>
      </c>
      <c r="K223" s="30" t="s">
        <v>171</v>
      </c>
      <c r="L223" s="30">
        <v>1</v>
      </c>
      <c r="M223" s="30" t="s">
        <v>72</v>
      </c>
      <c r="P223" s="30" t="s">
        <v>174</v>
      </c>
      <c r="Q223" s="30" t="s">
        <v>363</v>
      </c>
      <c r="R223" s="30" t="s">
        <v>175</v>
      </c>
      <c r="S223" s="30" t="s">
        <v>176</v>
      </c>
      <c r="T223" s="30" t="s">
        <v>75</v>
      </c>
      <c r="U223" s="30" t="s">
        <v>76</v>
      </c>
      <c r="V223" s="30" t="s">
        <v>979</v>
      </c>
      <c r="W223" s="30" t="s">
        <v>980</v>
      </c>
      <c r="X223" s="30" t="s">
        <v>179</v>
      </c>
      <c r="Y223" t="s">
        <v>1908</v>
      </c>
      <c r="Z223" s="30" t="s">
        <v>180</v>
      </c>
      <c r="AA223" s="30" t="s">
        <v>181</v>
      </c>
      <c r="AB223" s="30" t="s">
        <v>55</v>
      </c>
      <c r="AC223" s="30" t="s">
        <v>56</v>
      </c>
      <c r="AD223" s="30" t="s">
        <v>57</v>
      </c>
      <c r="AE223" s="30">
        <v>20513040718</v>
      </c>
      <c r="AF223" s="30" t="s">
        <v>67</v>
      </c>
      <c r="AG223" s="30" t="s">
        <v>68</v>
      </c>
      <c r="AH223" s="30" t="s">
        <v>185</v>
      </c>
      <c r="AI223" s="30" t="s">
        <v>73</v>
      </c>
      <c r="AJ223" s="30" t="s">
        <v>74</v>
      </c>
      <c r="AK223" s="30" t="s">
        <v>981</v>
      </c>
      <c r="AL223" s="30" t="s">
        <v>483</v>
      </c>
      <c r="AM223" t="s">
        <v>270</v>
      </c>
      <c r="AN223" s="30" t="s">
        <v>270</v>
      </c>
      <c r="AO223" s="30" t="s">
        <v>483</v>
      </c>
      <c r="AP223" s="30" t="s">
        <v>483</v>
      </c>
      <c r="AQ223" s="30" t="s">
        <v>483</v>
      </c>
      <c r="AR223" s="30" t="s">
        <v>483</v>
      </c>
      <c r="AS223" s="30" t="s">
        <v>63</v>
      </c>
      <c r="AT223" s="30" t="s">
        <v>64</v>
      </c>
      <c r="AU223" s="50">
        <v>46181.5</v>
      </c>
      <c r="AV223" s="50">
        <v>46181.513194444444</v>
      </c>
      <c r="AW223" s="50">
        <v>46181.614583333336</v>
      </c>
      <c r="AX223" s="50">
        <v>46181.621527777781</v>
      </c>
      <c r="AY223" s="50">
        <v>46181.677083333336</v>
      </c>
      <c r="AZ223" s="50">
        <v>46181.71875</v>
      </c>
      <c r="BA223" s="51">
        <v>46182.432638888888</v>
      </c>
      <c r="BB223" s="51">
        <v>46182.433333333334</v>
      </c>
      <c r="BC223" s="50">
        <v>46182.439583333333</v>
      </c>
      <c r="BD223" s="50">
        <v>46182.443749999999</v>
      </c>
      <c r="BE223" s="51">
        <v>46182.446527777778</v>
      </c>
      <c r="BF223" s="51">
        <v>46182.456944444442</v>
      </c>
      <c r="BG223" s="51">
        <v>46182.59652777778</v>
      </c>
      <c r="BH223" s="51">
        <v>46182.603472222225</v>
      </c>
      <c r="BI223" s="30" t="s">
        <v>65</v>
      </c>
      <c r="BJ223" s="50">
        <v>46183.333333333336</v>
      </c>
      <c r="BK223" s="50">
        <v>46183.345138888886</v>
      </c>
      <c r="BL223" s="50">
        <v>46183.351388888892</v>
      </c>
      <c r="BM223" s="50">
        <v>46183.35833333333</v>
      </c>
      <c r="BN223" s="50">
        <v>46183.361111111109</v>
      </c>
      <c r="BR223"/>
      <c r="BS223"/>
      <c r="BT223"/>
      <c r="BU223"/>
      <c r="BV223"/>
      <c r="BW223"/>
      <c r="BX223"/>
      <c r="BY223"/>
    </row>
    <row r="224" spans="1:77">
      <c r="A224" t="s">
        <v>168</v>
      </c>
      <c r="B224" s="30">
        <v>5</v>
      </c>
      <c r="C224" s="30">
        <v>24</v>
      </c>
      <c r="D224" s="30" t="s">
        <v>169</v>
      </c>
      <c r="E224" s="30" t="s">
        <v>170</v>
      </c>
      <c r="F224" s="48">
        <v>46183</v>
      </c>
      <c r="G224" s="48">
        <v>46184</v>
      </c>
      <c r="H224" s="49">
        <v>0.41666666666666669</v>
      </c>
      <c r="I224" s="49">
        <v>0.33333333333333331</v>
      </c>
      <c r="J224" s="30" t="s">
        <v>53</v>
      </c>
      <c r="K224" s="30" t="s">
        <v>171</v>
      </c>
      <c r="L224" s="30">
        <v>1</v>
      </c>
      <c r="M224" s="30" t="s">
        <v>982</v>
      </c>
      <c r="P224" s="30" t="s">
        <v>174</v>
      </c>
      <c r="Q224" s="30" t="s">
        <v>363</v>
      </c>
      <c r="R224" s="30" t="s">
        <v>374</v>
      </c>
      <c r="S224" s="30" t="s">
        <v>375</v>
      </c>
      <c r="T224" s="30" t="s">
        <v>983</v>
      </c>
      <c r="U224" s="30" t="s">
        <v>984</v>
      </c>
      <c r="V224" s="30" t="s">
        <v>985</v>
      </c>
      <c r="W224" s="30" t="s">
        <v>986</v>
      </c>
      <c r="X224" s="30" t="s">
        <v>180</v>
      </c>
      <c r="Y224" t="s">
        <v>180</v>
      </c>
      <c r="Z224" s="30" t="s">
        <v>180</v>
      </c>
      <c r="AA224" s="30" t="s">
        <v>181</v>
      </c>
      <c r="AB224" s="30" t="s">
        <v>55</v>
      </c>
      <c r="AC224" s="30" t="s">
        <v>56</v>
      </c>
      <c r="AD224" s="30" t="s">
        <v>57</v>
      </c>
      <c r="AE224" s="30">
        <v>20513040718</v>
      </c>
      <c r="AF224" s="30" t="s">
        <v>67</v>
      </c>
      <c r="AG224" s="30" t="s">
        <v>68</v>
      </c>
      <c r="AH224" s="30" t="s">
        <v>185</v>
      </c>
      <c r="AI224" s="30" t="s">
        <v>73</v>
      </c>
      <c r="AJ224" s="30" t="s">
        <v>74</v>
      </c>
      <c r="AK224" s="30" t="s">
        <v>981</v>
      </c>
      <c r="AL224" s="30" t="s">
        <v>483</v>
      </c>
      <c r="AM224" t="s">
        <v>270</v>
      </c>
      <c r="AN224" s="30" t="s">
        <v>270</v>
      </c>
      <c r="AO224" s="30" t="s">
        <v>483</v>
      </c>
      <c r="AP224" s="30" t="s">
        <v>483</v>
      </c>
      <c r="AQ224" s="30" t="s">
        <v>483</v>
      </c>
      <c r="AR224" s="30" t="s">
        <v>483</v>
      </c>
      <c r="AS224" s="30" t="s">
        <v>63</v>
      </c>
      <c r="AT224" s="30" t="s">
        <v>380</v>
      </c>
      <c r="AU224" s="50">
        <v>46183.666666666664</v>
      </c>
      <c r="AV224" s="50">
        <v>46183.7</v>
      </c>
      <c r="AW224" s="50">
        <v>46183.708333333336</v>
      </c>
      <c r="AX224" s="50">
        <v>46183.715277777781</v>
      </c>
      <c r="AY224" s="50">
        <v>46183.777777777781</v>
      </c>
      <c r="AZ224" s="50">
        <v>46183.819444444445</v>
      </c>
      <c r="BA224" s="51">
        <v>46184.51666666667</v>
      </c>
      <c r="BB224" s="51">
        <v>46184.519444444442</v>
      </c>
      <c r="BC224" s="50">
        <v>46184.520833333336</v>
      </c>
      <c r="BD224" s="50">
        <v>46184.525000000001</v>
      </c>
      <c r="BE224" s="51">
        <v>46184.523611111108</v>
      </c>
      <c r="BF224" s="51">
        <v>46184.53402777778</v>
      </c>
      <c r="BG224" s="51">
        <v>46185.55</v>
      </c>
      <c r="BH224" s="51">
        <v>46185.554166666669</v>
      </c>
      <c r="BI224" s="30" t="s">
        <v>65</v>
      </c>
      <c r="BJ224" s="50">
        <v>46186.375</v>
      </c>
      <c r="BK224" s="50">
        <v>46186.361111111109</v>
      </c>
      <c r="BL224" s="50">
        <v>46186.366666666669</v>
      </c>
      <c r="BM224" s="50">
        <v>46186.368055555555</v>
      </c>
      <c r="BN224" s="50">
        <v>46186.371527777781</v>
      </c>
      <c r="BR224"/>
      <c r="BS224"/>
      <c r="BT224"/>
      <c r="BU224"/>
      <c r="BV224"/>
      <c r="BW224"/>
      <c r="BX224"/>
      <c r="BY224"/>
    </row>
    <row r="225" spans="1:77">
      <c r="A225" t="s">
        <v>168</v>
      </c>
      <c r="B225" s="30">
        <v>6</v>
      </c>
      <c r="C225" s="30">
        <v>25</v>
      </c>
      <c r="D225" s="30" t="s">
        <v>169</v>
      </c>
      <c r="E225" s="30" t="s">
        <v>170</v>
      </c>
      <c r="F225" s="48">
        <v>46191</v>
      </c>
      <c r="G225" s="48">
        <v>46192</v>
      </c>
      <c r="H225" s="49">
        <v>0.41666666666666669</v>
      </c>
      <c r="I225" s="49">
        <v>0.33333333333333331</v>
      </c>
      <c r="J225" s="30" t="s">
        <v>53</v>
      </c>
      <c r="K225" s="30" t="s">
        <v>171</v>
      </c>
      <c r="L225" s="30">
        <v>1</v>
      </c>
      <c r="M225" s="30" t="s">
        <v>987</v>
      </c>
      <c r="P225" s="30" t="s">
        <v>174</v>
      </c>
      <c r="Q225" s="30" t="s">
        <v>363</v>
      </c>
      <c r="R225" s="30" t="s">
        <v>374</v>
      </c>
      <c r="S225" s="30" t="s">
        <v>375</v>
      </c>
      <c r="T225" s="30" t="s">
        <v>988</v>
      </c>
      <c r="U225" s="30" t="s">
        <v>989</v>
      </c>
      <c r="V225" s="30" t="s">
        <v>990</v>
      </c>
      <c r="W225" s="30" t="s">
        <v>991</v>
      </c>
      <c r="X225" s="30" t="s">
        <v>180</v>
      </c>
      <c r="Y225" t="s">
        <v>180</v>
      </c>
      <c r="Z225" s="30" t="s">
        <v>180</v>
      </c>
      <c r="AA225" s="30" t="s">
        <v>181</v>
      </c>
      <c r="AB225" s="30" t="s">
        <v>55</v>
      </c>
      <c r="AC225" s="30" t="s">
        <v>56</v>
      </c>
      <c r="AD225" s="30" t="s">
        <v>57</v>
      </c>
      <c r="AE225" s="30">
        <v>20513040718</v>
      </c>
      <c r="AF225" s="30" t="s">
        <v>992</v>
      </c>
      <c r="AG225" s="30" t="s">
        <v>993</v>
      </c>
      <c r="AH225" s="30" t="s">
        <v>185</v>
      </c>
      <c r="AI225" s="30" t="s">
        <v>994</v>
      </c>
      <c r="AJ225" s="30" t="s">
        <v>995</v>
      </c>
      <c r="AK225" s="30" t="s">
        <v>996</v>
      </c>
      <c r="AL225" s="30" t="s">
        <v>483</v>
      </c>
      <c r="AM225" t="s">
        <v>270</v>
      </c>
      <c r="AN225" s="30" t="s">
        <v>270</v>
      </c>
      <c r="AO225" s="30" t="s">
        <v>483</v>
      </c>
      <c r="AP225" s="30" t="s">
        <v>483</v>
      </c>
      <c r="AQ225" s="30" t="s">
        <v>483</v>
      </c>
      <c r="AR225" s="30" t="s">
        <v>483</v>
      </c>
      <c r="AS225" s="30" t="s">
        <v>63</v>
      </c>
      <c r="AT225" s="30" t="s">
        <v>64</v>
      </c>
      <c r="AU225" s="50">
        <v>46191.458333333336</v>
      </c>
      <c r="AV225" s="50">
        <v>46191.491666666669</v>
      </c>
      <c r="AW225" s="50">
        <v>46191.495138888888</v>
      </c>
      <c r="AX225" s="50">
        <v>46191.5</v>
      </c>
      <c r="AY225" s="50">
        <v>46191.592361111114</v>
      </c>
      <c r="AZ225" s="50">
        <v>46191.634027777778</v>
      </c>
      <c r="BA225" s="51">
        <v>46192.333333333336</v>
      </c>
      <c r="BB225" s="51">
        <v>46192.340277777781</v>
      </c>
      <c r="BC225" s="50">
        <v>46192.347222222219</v>
      </c>
      <c r="BD225" s="50">
        <v>46192.351388888892</v>
      </c>
      <c r="BE225" s="51">
        <v>46192.354166666664</v>
      </c>
      <c r="BF225" s="51">
        <v>46192.364583333336</v>
      </c>
      <c r="BG225" s="51">
        <v>46192.658333333333</v>
      </c>
      <c r="BH225" s="51">
        <v>46192.665277777778</v>
      </c>
      <c r="BI225" s="30" t="s">
        <v>65</v>
      </c>
      <c r="BJ225" s="50">
        <v>46193.333333333336</v>
      </c>
      <c r="BK225" s="50">
        <v>46193.351388888892</v>
      </c>
      <c r="BL225" s="50">
        <v>46193.361111111109</v>
      </c>
      <c r="BM225" s="50">
        <v>46193.362500000003</v>
      </c>
      <c r="BN225" s="50">
        <v>46193.368055555555</v>
      </c>
      <c r="BR225"/>
      <c r="BS225"/>
      <c r="BT225"/>
      <c r="BU225"/>
      <c r="BV225"/>
      <c r="BW225"/>
      <c r="BX225"/>
      <c r="BY225"/>
    </row>
    <row r="226" spans="1:77">
      <c r="A226" t="s">
        <v>168</v>
      </c>
      <c r="B226" s="30">
        <v>7</v>
      </c>
      <c r="C226" s="30">
        <v>26</v>
      </c>
      <c r="D226" s="30" t="s">
        <v>169</v>
      </c>
      <c r="E226" s="30" t="s">
        <v>170</v>
      </c>
      <c r="F226" s="48">
        <v>46198</v>
      </c>
      <c r="G226" s="48">
        <v>46199</v>
      </c>
      <c r="H226" s="49">
        <v>0.41666666666666669</v>
      </c>
      <c r="I226" s="49">
        <v>0.33333333333333331</v>
      </c>
      <c r="J226" s="30" t="s">
        <v>53</v>
      </c>
      <c r="K226" s="30" t="s">
        <v>171</v>
      </c>
      <c r="L226" s="30">
        <v>1</v>
      </c>
      <c r="M226" s="30" t="s">
        <v>997</v>
      </c>
      <c r="P226" s="30" t="s">
        <v>174</v>
      </c>
      <c r="Q226" s="30" t="s">
        <v>363</v>
      </c>
      <c r="R226" s="30" t="s">
        <v>374</v>
      </c>
      <c r="S226" s="30" t="s">
        <v>375</v>
      </c>
      <c r="T226" s="30" t="s">
        <v>998</v>
      </c>
      <c r="U226" s="30" t="s">
        <v>999</v>
      </c>
      <c r="V226" s="30" t="s">
        <v>1000</v>
      </c>
      <c r="W226" s="30" t="s">
        <v>1001</v>
      </c>
      <c r="X226" s="30" t="s">
        <v>180</v>
      </c>
      <c r="Y226" t="s">
        <v>180</v>
      </c>
      <c r="Z226" s="30" t="s">
        <v>180</v>
      </c>
      <c r="AA226" s="30" t="s">
        <v>181</v>
      </c>
      <c r="AB226" s="30" t="s">
        <v>55</v>
      </c>
      <c r="AC226" s="30" t="s">
        <v>56</v>
      </c>
      <c r="AD226" s="30" t="s">
        <v>57</v>
      </c>
      <c r="AE226" s="30">
        <v>20513040718</v>
      </c>
      <c r="AF226" s="30" t="s">
        <v>1002</v>
      </c>
      <c r="AG226" s="30" t="s">
        <v>1003</v>
      </c>
      <c r="AH226" s="30" t="s">
        <v>185</v>
      </c>
      <c r="AI226" s="30" t="s">
        <v>69</v>
      </c>
      <c r="AJ226" s="30" t="s">
        <v>70</v>
      </c>
      <c r="AK226" s="30" t="s">
        <v>978</v>
      </c>
      <c r="AL226" s="30" t="s">
        <v>483</v>
      </c>
      <c r="AM226" t="s">
        <v>270</v>
      </c>
      <c r="AN226" s="30" t="s">
        <v>270</v>
      </c>
      <c r="AO226" s="30" t="s">
        <v>483</v>
      </c>
      <c r="AP226" s="30" t="s">
        <v>483</v>
      </c>
      <c r="AQ226" s="30" t="s">
        <v>483</v>
      </c>
      <c r="AR226" s="30" t="s">
        <v>483</v>
      </c>
      <c r="AS226" s="30" t="s">
        <v>63</v>
      </c>
      <c r="AT226" s="30" t="s">
        <v>380</v>
      </c>
      <c r="AU226" s="50">
        <v>46198.458333333336</v>
      </c>
      <c r="AV226" s="50">
        <v>46198.456944444442</v>
      </c>
      <c r="AW226" s="50">
        <v>46198.458333333336</v>
      </c>
      <c r="AX226" s="50">
        <v>46198.463194444441</v>
      </c>
      <c r="AY226" s="50">
        <v>46198.532638888886</v>
      </c>
      <c r="AZ226" s="50">
        <v>46198.576388888891</v>
      </c>
      <c r="BA226" s="51">
        <v>46199.351388888892</v>
      </c>
      <c r="BB226" s="51">
        <v>46199.354166666664</v>
      </c>
      <c r="BC226" s="50">
        <v>46199.479166666664</v>
      </c>
      <c r="BD226" s="50">
        <v>46199.48333333333</v>
      </c>
      <c r="BE226" s="51">
        <v>46199.5</v>
      </c>
      <c r="BF226" s="51">
        <v>46199.510416666664</v>
      </c>
      <c r="BG226" s="51">
        <v>46199.555555555555</v>
      </c>
      <c r="BH226" s="51">
        <v>46199.557638888888</v>
      </c>
      <c r="BI226" s="30" t="s">
        <v>65</v>
      </c>
      <c r="BJ226" s="50">
        <v>46200.291666666664</v>
      </c>
      <c r="BK226" s="50">
        <v>46200.262499999997</v>
      </c>
      <c r="BL226" s="50">
        <v>46200.263888888891</v>
      </c>
      <c r="BM226" s="50">
        <v>46200.267361111109</v>
      </c>
      <c r="BN226" s="50">
        <v>46200.272916666669</v>
      </c>
      <c r="BR226"/>
      <c r="BS226"/>
      <c r="BT226"/>
      <c r="BU226"/>
      <c r="BV226"/>
      <c r="BW226"/>
      <c r="BX226"/>
      <c r="BY226"/>
    </row>
    <row r="227" spans="1:77">
      <c r="A227" t="s">
        <v>168</v>
      </c>
      <c r="B227" s="30">
        <v>8</v>
      </c>
      <c r="C227" s="30">
        <v>27</v>
      </c>
      <c r="D227" s="30" t="s">
        <v>169</v>
      </c>
      <c r="E227" s="30" t="s">
        <v>170</v>
      </c>
      <c r="F227" s="48">
        <v>46198</v>
      </c>
      <c r="G227" s="48">
        <v>46199</v>
      </c>
      <c r="H227" s="49">
        <v>0.41666666666666669</v>
      </c>
      <c r="I227" s="49">
        <v>0.33333333333333331</v>
      </c>
      <c r="J227" s="30" t="s">
        <v>53</v>
      </c>
      <c r="K227" s="30" t="s">
        <v>171</v>
      </c>
      <c r="L227" s="30">
        <v>1</v>
      </c>
      <c r="M227" s="30" t="s">
        <v>1004</v>
      </c>
      <c r="P227" s="30" t="s">
        <v>174</v>
      </c>
      <c r="Q227" s="30" t="s">
        <v>363</v>
      </c>
      <c r="R227" s="30" t="s">
        <v>374</v>
      </c>
      <c r="S227" s="30" t="s">
        <v>375</v>
      </c>
      <c r="T227" s="30" t="s">
        <v>1005</v>
      </c>
      <c r="U227" s="30" t="s">
        <v>1006</v>
      </c>
      <c r="V227" s="30" t="s">
        <v>1007</v>
      </c>
      <c r="W227" s="30" t="s">
        <v>1008</v>
      </c>
      <c r="X227" s="30" t="s">
        <v>180</v>
      </c>
      <c r="Y227" t="s">
        <v>180</v>
      </c>
      <c r="Z227" s="30" t="s">
        <v>180</v>
      </c>
      <c r="AA227" s="30" t="s">
        <v>181</v>
      </c>
      <c r="AB227" s="30" t="s">
        <v>55</v>
      </c>
      <c r="AC227" s="30" t="s">
        <v>56</v>
      </c>
      <c r="AD227" s="30" t="s">
        <v>57</v>
      </c>
      <c r="AE227" s="30">
        <v>20513040718</v>
      </c>
      <c r="AF227" s="30" t="s">
        <v>992</v>
      </c>
      <c r="AG227" s="30" t="s">
        <v>993</v>
      </c>
      <c r="AH227" s="30" t="s">
        <v>185</v>
      </c>
      <c r="AI227" s="30" t="s">
        <v>994</v>
      </c>
      <c r="AJ227" s="30" t="s">
        <v>995</v>
      </c>
      <c r="AK227" s="30" t="s">
        <v>1009</v>
      </c>
      <c r="AL227" s="30" t="s">
        <v>483</v>
      </c>
      <c r="AM227" t="s">
        <v>270</v>
      </c>
      <c r="AN227" s="30" t="s">
        <v>270</v>
      </c>
      <c r="AO227" s="30" t="s">
        <v>483</v>
      </c>
      <c r="AP227" s="30" t="s">
        <v>483</v>
      </c>
      <c r="AQ227" s="30" t="s">
        <v>483</v>
      </c>
      <c r="AR227" s="30" t="s">
        <v>483</v>
      </c>
      <c r="AS227" s="30" t="s">
        <v>63</v>
      </c>
      <c r="AT227" s="30" t="s">
        <v>380</v>
      </c>
      <c r="AU227" s="50">
        <v>46198.458333333336</v>
      </c>
      <c r="AV227" s="50">
        <v>46198.445138888892</v>
      </c>
      <c r="AW227" s="50">
        <v>46198.45416666667</v>
      </c>
      <c r="AX227" s="50">
        <v>46198.481944444444</v>
      </c>
      <c r="AY227" s="50">
        <v>46198.513888888891</v>
      </c>
      <c r="AZ227" s="50">
        <v>46198.555555555555</v>
      </c>
      <c r="BA227" s="51">
        <v>46199.31527777778</v>
      </c>
      <c r="BB227" s="51">
        <v>46199.318055555559</v>
      </c>
      <c r="BC227" s="50">
        <v>46199.604166666664</v>
      </c>
      <c r="BD227" s="50">
        <v>46199.60833333333</v>
      </c>
      <c r="BE227" s="51">
        <v>46199.645833333336</v>
      </c>
      <c r="BF227" s="51">
        <v>46199.65625</v>
      </c>
      <c r="BG227" s="51">
        <v>46199.690972222219</v>
      </c>
      <c r="BH227" s="51">
        <v>46199.694444444445</v>
      </c>
      <c r="BI227" s="30" t="s">
        <v>65</v>
      </c>
      <c r="BJ227" s="50">
        <v>46200.25</v>
      </c>
      <c r="BK227" s="50">
        <v>46200.222916666666</v>
      </c>
      <c r="BL227" s="50">
        <v>46200.227083333331</v>
      </c>
      <c r="BM227" s="50">
        <v>46200.229166666664</v>
      </c>
      <c r="BN227" s="50">
        <v>46200.239583333336</v>
      </c>
      <c r="BR227"/>
      <c r="BS227"/>
      <c r="BT227"/>
      <c r="BU227"/>
      <c r="BV227"/>
      <c r="BW227"/>
      <c r="BX227"/>
      <c r="BY227"/>
    </row>
    <row r="228" spans="1:77">
      <c r="A228" t="s">
        <v>168</v>
      </c>
      <c r="B228" s="30">
        <v>9</v>
      </c>
      <c r="C228" s="30">
        <v>27</v>
      </c>
      <c r="D228" s="30" t="s">
        <v>169</v>
      </c>
      <c r="E228" s="30" t="s">
        <v>170</v>
      </c>
      <c r="F228" s="48">
        <v>46205</v>
      </c>
      <c r="G228" s="48">
        <v>46206</v>
      </c>
      <c r="H228" s="49">
        <v>0.41666666666666669</v>
      </c>
      <c r="I228" s="49">
        <v>0.33333333333333331</v>
      </c>
      <c r="J228" s="30" t="s">
        <v>53</v>
      </c>
      <c r="K228" s="30" t="s">
        <v>171</v>
      </c>
      <c r="L228" s="30">
        <v>1</v>
      </c>
      <c r="M228" s="30" t="s">
        <v>1010</v>
      </c>
      <c r="P228" s="30" t="s">
        <v>174</v>
      </c>
      <c r="Q228" s="30" t="s">
        <v>363</v>
      </c>
      <c r="R228" s="30" t="s">
        <v>374</v>
      </c>
      <c r="S228" s="30" t="s">
        <v>375</v>
      </c>
      <c r="T228" s="30" t="s">
        <v>1011</v>
      </c>
      <c r="U228" s="30" t="s">
        <v>1012</v>
      </c>
      <c r="V228" s="30" t="s">
        <v>1013</v>
      </c>
      <c r="W228" s="30" t="s">
        <v>1014</v>
      </c>
      <c r="X228" s="30" t="s">
        <v>180</v>
      </c>
      <c r="Y228" t="s">
        <v>180</v>
      </c>
      <c r="Z228" s="30" t="s">
        <v>180</v>
      </c>
      <c r="AA228" s="30" t="s">
        <v>181</v>
      </c>
      <c r="AB228" s="30" t="s">
        <v>55</v>
      </c>
      <c r="AC228" s="30" t="s">
        <v>56</v>
      </c>
      <c r="AD228" s="30" t="s">
        <v>57</v>
      </c>
      <c r="AE228" s="30">
        <v>20513040718</v>
      </c>
      <c r="AF228" s="30" t="s">
        <v>1015</v>
      </c>
      <c r="AG228" s="30" t="s">
        <v>1016</v>
      </c>
      <c r="AH228" s="30" t="s">
        <v>185</v>
      </c>
      <c r="AI228" s="30" t="s">
        <v>1017</v>
      </c>
      <c r="AJ228" s="30" t="s">
        <v>1018</v>
      </c>
      <c r="AK228" s="30" t="s">
        <v>1019</v>
      </c>
      <c r="AL228" s="30" t="s">
        <v>483</v>
      </c>
      <c r="AM228" t="s">
        <v>270</v>
      </c>
      <c r="AN228" s="30" t="s">
        <v>270</v>
      </c>
      <c r="AO228" s="30" t="s">
        <v>483</v>
      </c>
      <c r="AP228" s="30" t="s">
        <v>483</v>
      </c>
      <c r="AQ228" s="30" t="s">
        <v>483</v>
      </c>
      <c r="AR228" s="30" t="s">
        <v>483</v>
      </c>
      <c r="AS228" s="30" t="s">
        <v>63</v>
      </c>
      <c r="AT228" s="30" t="s">
        <v>380</v>
      </c>
      <c r="AU228" s="50">
        <v>46205.458333333336</v>
      </c>
      <c r="AV228" s="50">
        <v>46205.495833333334</v>
      </c>
      <c r="AW228" s="50">
        <v>46205.513194444444</v>
      </c>
      <c r="AX228" s="50">
        <v>46205.520833333336</v>
      </c>
      <c r="AY228" s="50">
        <v>46205.595833333333</v>
      </c>
      <c r="AZ228" s="50">
        <v>46205.637499999997</v>
      </c>
      <c r="BA228" s="51">
        <v>46206.375</v>
      </c>
      <c r="BB228" s="51">
        <v>46206.381944444445</v>
      </c>
      <c r="BC228" s="50">
        <v>46206.395833333336</v>
      </c>
      <c r="BD228" s="50">
        <v>46206.400000000001</v>
      </c>
      <c r="BE228" s="51">
        <v>46206.4375</v>
      </c>
      <c r="BF228" s="51">
        <v>46206.447916666664</v>
      </c>
      <c r="BG228" s="51">
        <v>46206.566666666666</v>
      </c>
      <c r="BH228" s="51">
        <v>46206.573611111111</v>
      </c>
      <c r="BI228" s="30" t="s">
        <v>65</v>
      </c>
      <c r="BJ228" s="50">
        <v>46207.291666666664</v>
      </c>
      <c r="BK228" s="50">
        <v>46207.294444444444</v>
      </c>
      <c r="BL228" s="50">
        <v>46207.299305555556</v>
      </c>
      <c r="BM228" s="50">
        <v>46207.306250000001</v>
      </c>
      <c r="BN228" s="50">
        <v>46207.304166666669</v>
      </c>
      <c r="BR228"/>
      <c r="BS228"/>
      <c r="BT228"/>
      <c r="BU228"/>
      <c r="BV228"/>
      <c r="BW228"/>
      <c r="BX228"/>
      <c r="BY228"/>
    </row>
    <row r="229" spans="1:77">
      <c r="A229" t="s">
        <v>168</v>
      </c>
      <c r="B229" s="30">
        <v>10</v>
      </c>
      <c r="C229" s="30">
        <v>27</v>
      </c>
      <c r="D229" s="30" t="s">
        <v>169</v>
      </c>
      <c r="E229" s="30" t="s">
        <v>170</v>
      </c>
      <c r="F229" s="48">
        <v>46205</v>
      </c>
      <c r="G229" s="48">
        <v>46206</v>
      </c>
      <c r="H229" s="49">
        <v>0.58333333333333337</v>
      </c>
      <c r="I229" s="49">
        <v>0.5</v>
      </c>
      <c r="J229" s="30" t="s">
        <v>53</v>
      </c>
      <c r="K229" s="30" t="s">
        <v>171</v>
      </c>
      <c r="L229" s="30">
        <v>1</v>
      </c>
      <c r="M229" s="30" t="s">
        <v>1020</v>
      </c>
      <c r="P229" s="30" t="s">
        <v>174</v>
      </c>
      <c r="Q229" s="30" t="s">
        <v>363</v>
      </c>
      <c r="R229" s="30" t="s">
        <v>374</v>
      </c>
      <c r="S229" s="30" t="s">
        <v>375</v>
      </c>
      <c r="T229" s="30" t="s">
        <v>1021</v>
      </c>
      <c r="U229" s="30" t="s">
        <v>1022</v>
      </c>
      <c r="V229" s="30" t="s">
        <v>1023</v>
      </c>
      <c r="W229" s="30" t="s">
        <v>1024</v>
      </c>
      <c r="X229" s="30" t="s">
        <v>180</v>
      </c>
      <c r="Y229" t="s">
        <v>180</v>
      </c>
      <c r="Z229" s="30" t="s">
        <v>180</v>
      </c>
      <c r="AA229" s="30" t="s">
        <v>181</v>
      </c>
      <c r="AB229" s="30" t="s">
        <v>55</v>
      </c>
      <c r="AC229" s="30" t="s">
        <v>56</v>
      </c>
      <c r="AD229" s="30" t="s">
        <v>57</v>
      </c>
      <c r="AE229" s="30">
        <v>20513040718</v>
      </c>
      <c r="AF229" s="30" t="s">
        <v>1025</v>
      </c>
      <c r="AG229" s="30" t="s">
        <v>1026</v>
      </c>
      <c r="AH229" s="30" t="s">
        <v>185</v>
      </c>
      <c r="AI229" s="30" t="s">
        <v>1027</v>
      </c>
      <c r="AJ229" s="30" t="s">
        <v>1028</v>
      </c>
      <c r="AK229" s="30" t="s">
        <v>1029</v>
      </c>
      <c r="AL229" s="30" t="s">
        <v>483</v>
      </c>
      <c r="AM229" t="s">
        <v>270</v>
      </c>
      <c r="AN229" s="30" t="s">
        <v>270</v>
      </c>
      <c r="AO229" s="30" t="s">
        <v>483</v>
      </c>
      <c r="AP229" s="30" t="s">
        <v>483</v>
      </c>
      <c r="AQ229" s="30" t="s">
        <v>483</v>
      </c>
      <c r="AR229" s="30" t="s">
        <v>483</v>
      </c>
      <c r="AS229" s="30" t="s">
        <v>63</v>
      </c>
      <c r="AT229" s="30" t="s">
        <v>380</v>
      </c>
      <c r="AU229" s="50">
        <v>46205.541666666664</v>
      </c>
      <c r="AV229" s="50">
        <v>46205.565972222219</v>
      </c>
      <c r="AW229" s="50">
        <v>46205.598611111112</v>
      </c>
      <c r="AX229" s="50">
        <v>46205.605555555558</v>
      </c>
      <c r="AY229" s="50">
        <v>46205.661111111112</v>
      </c>
      <c r="AZ229" s="50">
        <v>46205.708333333336</v>
      </c>
      <c r="BA229" s="51">
        <v>46206.375</v>
      </c>
      <c r="BB229" s="51">
        <v>46206.381944444445</v>
      </c>
      <c r="BC229" s="50">
        <v>46206.395833333336</v>
      </c>
      <c r="BD229" s="50">
        <v>46206.400000000001</v>
      </c>
      <c r="BE229" s="51">
        <v>46206.4375</v>
      </c>
      <c r="BF229" s="51">
        <v>46206.447916666664</v>
      </c>
      <c r="BG229" s="51">
        <v>46206.659722222219</v>
      </c>
      <c r="BH229" s="51">
        <v>46206.671527777777</v>
      </c>
      <c r="BI229" s="30" t="s">
        <v>65</v>
      </c>
      <c r="BJ229" s="50">
        <v>46207.375</v>
      </c>
      <c r="BK229" s="50">
        <v>46207.402777777781</v>
      </c>
      <c r="BL229" s="50">
        <v>46207.42083333333</v>
      </c>
      <c r="BM229" s="50">
        <v>46207.427777777775</v>
      </c>
      <c r="BN229" s="50">
        <v>46207.446527777778</v>
      </c>
      <c r="BR229"/>
      <c r="BS229"/>
      <c r="BT229"/>
      <c r="BU229"/>
      <c r="BV229"/>
      <c r="BW229"/>
      <c r="BX229"/>
      <c r="BY229"/>
    </row>
    <row r="230" spans="1:77">
      <c r="A230" t="s">
        <v>168</v>
      </c>
      <c r="B230" s="30">
        <v>11</v>
      </c>
      <c r="C230" s="30">
        <v>27</v>
      </c>
      <c r="D230" s="30" t="s">
        <v>169</v>
      </c>
      <c r="E230" s="30" t="s">
        <v>170</v>
      </c>
      <c r="F230" s="48">
        <v>46208</v>
      </c>
      <c r="G230" s="48">
        <v>46209</v>
      </c>
      <c r="H230" s="49">
        <v>0.41666666666666669</v>
      </c>
      <c r="I230" s="49">
        <v>0.33333333333333331</v>
      </c>
      <c r="J230" s="30" t="s">
        <v>53</v>
      </c>
      <c r="K230" s="30" t="s">
        <v>171</v>
      </c>
      <c r="L230" s="30">
        <v>1</v>
      </c>
      <c r="M230" s="30" t="s">
        <v>1030</v>
      </c>
      <c r="P230" s="30" t="s">
        <v>174</v>
      </c>
      <c r="Q230" s="30" t="s">
        <v>363</v>
      </c>
      <c r="R230" s="30" t="s">
        <v>175</v>
      </c>
      <c r="S230" s="30" t="s">
        <v>176</v>
      </c>
      <c r="T230" s="30" t="s">
        <v>1031</v>
      </c>
      <c r="U230" s="30" t="s">
        <v>1032</v>
      </c>
      <c r="V230" s="30" t="s">
        <v>1033</v>
      </c>
      <c r="W230" s="30" t="s">
        <v>1034</v>
      </c>
      <c r="X230" s="30" t="s">
        <v>179</v>
      </c>
      <c r="Y230" t="s">
        <v>1908</v>
      </c>
      <c r="Z230" s="30" t="s">
        <v>180</v>
      </c>
      <c r="AA230" s="30" t="s">
        <v>181</v>
      </c>
      <c r="AB230" s="30" t="s">
        <v>55</v>
      </c>
      <c r="AC230" s="30" t="s">
        <v>56</v>
      </c>
      <c r="AD230" s="30" t="s">
        <v>57</v>
      </c>
      <c r="AE230" s="30">
        <v>20513040718</v>
      </c>
      <c r="AF230" s="30" t="s">
        <v>1035</v>
      </c>
      <c r="AG230" s="30" t="s">
        <v>1036</v>
      </c>
      <c r="AH230" s="30" t="s">
        <v>185</v>
      </c>
      <c r="AI230" s="30" t="s">
        <v>1037</v>
      </c>
      <c r="AJ230" s="30" t="s">
        <v>1038</v>
      </c>
      <c r="AK230" s="30" t="s">
        <v>1039</v>
      </c>
      <c r="AL230" s="30" t="s">
        <v>483</v>
      </c>
      <c r="AM230" t="s">
        <v>270</v>
      </c>
      <c r="AN230" s="30" t="s">
        <v>270</v>
      </c>
      <c r="AO230" s="30" t="s">
        <v>483</v>
      </c>
      <c r="AP230" s="30" t="s">
        <v>483</v>
      </c>
      <c r="AQ230" s="30" t="s">
        <v>483</v>
      </c>
      <c r="AR230" s="30" t="s">
        <v>483</v>
      </c>
      <c r="AS230" s="30" t="s">
        <v>63</v>
      </c>
      <c r="AT230" s="30" t="s">
        <v>380</v>
      </c>
      <c r="AU230" s="50">
        <v>46208.416666666664</v>
      </c>
      <c r="AV230" s="50">
        <v>46208.430555555555</v>
      </c>
      <c r="AW230" s="50">
        <v>46208.492361111108</v>
      </c>
      <c r="AX230" s="50">
        <v>46208.499305555553</v>
      </c>
      <c r="AY230" s="50">
        <v>46208.549305555556</v>
      </c>
      <c r="AZ230" s="50">
        <v>46208.59097222222</v>
      </c>
      <c r="BA230" s="51">
        <v>46209.448611111111</v>
      </c>
      <c r="BB230" s="51">
        <v>46209.455555555556</v>
      </c>
      <c r="BC230" s="50">
        <v>46209.469444444447</v>
      </c>
      <c r="BD230" s="50">
        <v>46209.473611111112</v>
      </c>
      <c r="BE230" s="51">
        <v>46209.511111111111</v>
      </c>
      <c r="BF230" s="51">
        <v>46209.521527777775</v>
      </c>
      <c r="BG230" s="51">
        <v>46209.75</v>
      </c>
      <c r="BH230" s="51">
        <v>46209.768055555556</v>
      </c>
      <c r="BI230" s="30" t="s">
        <v>65</v>
      </c>
      <c r="BJ230" s="50">
        <v>46210.458333333336</v>
      </c>
      <c r="BK230" s="50">
        <v>46210.46597222222</v>
      </c>
      <c r="BL230" s="50">
        <v>46210.469444444447</v>
      </c>
      <c r="BM230" s="50">
        <v>46210.472222222219</v>
      </c>
      <c r="BN230" s="50">
        <v>46210.474305555559</v>
      </c>
      <c r="BR230"/>
      <c r="BS230"/>
      <c r="BT230"/>
      <c r="BU230"/>
      <c r="BV230"/>
      <c r="BW230"/>
      <c r="BX230"/>
      <c r="BY230"/>
    </row>
    <row r="231" spans="1:77">
      <c r="A231" t="s">
        <v>168</v>
      </c>
      <c r="B231" s="30">
        <v>12</v>
      </c>
      <c r="C231" s="30">
        <v>27</v>
      </c>
      <c r="D231" s="30" t="s">
        <v>169</v>
      </c>
      <c r="E231" s="30" t="s">
        <v>170</v>
      </c>
      <c r="F231" s="48">
        <v>46208</v>
      </c>
      <c r="G231" s="48">
        <v>46209</v>
      </c>
      <c r="H231" s="49">
        <v>0.41666666666666669</v>
      </c>
      <c r="I231" s="49">
        <v>0.33333333333333331</v>
      </c>
      <c r="J231" s="30" t="s">
        <v>53</v>
      </c>
      <c r="K231" s="30" t="s">
        <v>171</v>
      </c>
      <c r="L231" s="30">
        <v>1</v>
      </c>
      <c r="M231" s="30" t="s">
        <v>1040</v>
      </c>
      <c r="P231" s="30" t="s">
        <v>174</v>
      </c>
      <c r="Q231" s="30" t="s">
        <v>363</v>
      </c>
      <c r="R231" s="30" t="s">
        <v>175</v>
      </c>
      <c r="S231" s="30" t="s">
        <v>176</v>
      </c>
      <c r="T231" s="30" t="s">
        <v>1041</v>
      </c>
      <c r="U231" s="30" t="s">
        <v>1042</v>
      </c>
      <c r="V231" s="30" t="s">
        <v>1043</v>
      </c>
      <c r="W231" s="30" t="s">
        <v>1044</v>
      </c>
      <c r="X231" s="30" t="s">
        <v>179</v>
      </c>
      <c r="Y231" t="s">
        <v>1908</v>
      </c>
      <c r="Z231" s="30" t="s">
        <v>180</v>
      </c>
      <c r="AA231" s="30" t="s">
        <v>181</v>
      </c>
      <c r="AB231" s="30" t="s">
        <v>55</v>
      </c>
      <c r="AC231" s="30" t="s">
        <v>56</v>
      </c>
      <c r="AD231" s="30" t="s">
        <v>57</v>
      </c>
      <c r="AE231" s="30">
        <v>20513040718</v>
      </c>
      <c r="AF231" s="30" t="s">
        <v>1045</v>
      </c>
      <c r="AG231" s="30" t="s">
        <v>1046</v>
      </c>
      <c r="AH231" s="30" t="s">
        <v>185</v>
      </c>
      <c r="AI231" s="30" t="s">
        <v>1047</v>
      </c>
      <c r="AJ231" s="30" t="s">
        <v>1048</v>
      </c>
      <c r="AK231" s="30" t="s">
        <v>1049</v>
      </c>
      <c r="AL231" s="30" t="s">
        <v>483</v>
      </c>
      <c r="AM231" t="s">
        <v>270</v>
      </c>
      <c r="AN231" s="30" t="s">
        <v>270</v>
      </c>
      <c r="AO231" s="30" t="s">
        <v>483</v>
      </c>
      <c r="AP231" s="30" t="s">
        <v>483</v>
      </c>
      <c r="AQ231" s="30" t="s">
        <v>483</v>
      </c>
      <c r="AR231" s="30" t="s">
        <v>483</v>
      </c>
      <c r="AS231" s="30" t="s">
        <v>63</v>
      </c>
      <c r="AT231" s="30" t="s">
        <v>380</v>
      </c>
      <c r="AU231" s="50">
        <v>46208.416666666664</v>
      </c>
      <c r="AV231" s="50">
        <v>46208.452777777777</v>
      </c>
      <c r="AW231" s="50">
        <v>46208.520138888889</v>
      </c>
      <c r="AX231" s="50">
        <v>46208.527083333334</v>
      </c>
      <c r="AY231" s="50">
        <v>46208.54791666667</v>
      </c>
      <c r="AZ231" s="50">
        <v>46208.589583333334</v>
      </c>
      <c r="BA231" s="51">
        <v>46209.448611111111</v>
      </c>
      <c r="BB231" s="51">
        <v>46209.455555555556</v>
      </c>
      <c r="BC231" s="50">
        <v>46209.469444444447</v>
      </c>
      <c r="BD231" s="50">
        <v>46209.473611111112</v>
      </c>
      <c r="BE231" s="51">
        <v>46209.511111111111</v>
      </c>
      <c r="BF231" s="51">
        <v>46209.521527777775</v>
      </c>
      <c r="BG231" s="51">
        <v>46209.729166666664</v>
      </c>
      <c r="BH231" s="51">
        <v>46209.747916666667</v>
      </c>
      <c r="BI231" s="30" t="s">
        <v>65</v>
      </c>
      <c r="BJ231" s="50">
        <v>46210.458333333336</v>
      </c>
      <c r="BK231" s="50">
        <v>46210.479166666664</v>
      </c>
      <c r="BL231" s="50">
        <v>46210.48541666667</v>
      </c>
      <c r="BM231" s="50">
        <v>46210.489583333336</v>
      </c>
      <c r="BN231" s="50">
        <v>46210.496527777781</v>
      </c>
      <c r="BR231"/>
      <c r="BS231"/>
      <c r="BT231"/>
      <c r="BU231"/>
      <c r="BV231"/>
      <c r="BW231"/>
      <c r="BX231"/>
      <c r="BY231"/>
    </row>
    <row r="232" spans="1:77">
      <c r="A232" t="s">
        <v>168</v>
      </c>
      <c r="B232" s="30">
        <v>13</v>
      </c>
      <c r="C232" s="30">
        <v>27</v>
      </c>
      <c r="D232" s="30" t="s">
        <v>169</v>
      </c>
      <c r="E232" s="30" t="s">
        <v>170</v>
      </c>
      <c r="F232" s="48">
        <v>46209</v>
      </c>
      <c r="G232" s="48">
        <v>46210</v>
      </c>
      <c r="H232" s="49">
        <v>0.41666666666666669</v>
      </c>
      <c r="I232" s="49">
        <v>0.33333333333333331</v>
      </c>
      <c r="J232" s="30" t="s">
        <v>53</v>
      </c>
      <c r="K232" s="30" t="s">
        <v>171</v>
      </c>
      <c r="L232" s="30">
        <v>1</v>
      </c>
      <c r="M232" s="30" t="s">
        <v>1050</v>
      </c>
      <c r="P232" s="30" t="s">
        <v>174</v>
      </c>
      <c r="Q232" s="30" t="s">
        <v>363</v>
      </c>
      <c r="R232" s="30" t="s">
        <v>175</v>
      </c>
      <c r="S232" s="30" t="s">
        <v>176</v>
      </c>
      <c r="T232" s="30" t="s">
        <v>1051</v>
      </c>
      <c r="U232" s="30" t="s">
        <v>1052</v>
      </c>
      <c r="V232" s="30" t="s">
        <v>1053</v>
      </c>
      <c r="W232" s="30" t="s">
        <v>1054</v>
      </c>
      <c r="X232" s="30" t="s">
        <v>179</v>
      </c>
      <c r="Y232" t="s">
        <v>1908</v>
      </c>
      <c r="Z232" s="30" t="s">
        <v>180</v>
      </c>
      <c r="AA232" s="30" t="s">
        <v>181</v>
      </c>
      <c r="AB232" s="30" t="s">
        <v>55</v>
      </c>
      <c r="AC232" s="30" t="s">
        <v>56</v>
      </c>
      <c r="AD232" s="30" t="s">
        <v>57</v>
      </c>
      <c r="AE232" s="30">
        <v>20513040718</v>
      </c>
      <c r="AF232" s="30" t="s">
        <v>67</v>
      </c>
      <c r="AG232" s="30" t="s">
        <v>68</v>
      </c>
      <c r="AH232" s="30" t="s">
        <v>185</v>
      </c>
      <c r="AI232" s="30" t="s">
        <v>73</v>
      </c>
      <c r="AJ232" s="30" t="s">
        <v>74</v>
      </c>
      <c r="AK232" s="30" t="s">
        <v>1055</v>
      </c>
      <c r="AL232" s="30" t="s">
        <v>483</v>
      </c>
      <c r="AM232" t="s">
        <v>270</v>
      </c>
      <c r="AN232" s="30" t="s">
        <v>270</v>
      </c>
      <c r="AO232" s="30" t="s">
        <v>483</v>
      </c>
      <c r="AP232" s="30" t="s">
        <v>483</v>
      </c>
      <c r="AQ232" s="30" t="s">
        <v>483</v>
      </c>
      <c r="AR232" s="30" t="s">
        <v>483</v>
      </c>
      <c r="AS232" s="30" t="s">
        <v>63</v>
      </c>
      <c r="AT232" s="30" t="s">
        <v>380</v>
      </c>
      <c r="AU232" s="50">
        <v>46209.458333333336</v>
      </c>
      <c r="AV232" s="50">
        <v>46209.475694444445</v>
      </c>
      <c r="AW232" s="50">
        <v>46209.503472222219</v>
      </c>
      <c r="AX232" s="50">
        <v>46209.517361111109</v>
      </c>
      <c r="AY232" s="50">
        <v>46209.654861111114</v>
      </c>
      <c r="AZ232" s="50">
        <v>46209.696527777778</v>
      </c>
      <c r="BA232" s="51">
        <v>46210.395833333336</v>
      </c>
      <c r="BB232" s="51">
        <v>46210.402777777781</v>
      </c>
      <c r="BC232" s="50">
        <v>46210.416666666664</v>
      </c>
      <c r="BD232" s="50">
        <v>46210.42083333333</v>
      </c>
      <c r="BE232" s="51">
        <v>46210.458333333336</v>
      </c>
      <c r="BF232" s="51">
        <v>46210.46875</v>
      </c>
      <c r="BG232" s="51">
        <v>46210.583333333336</v>
      </c>
      <c r="BH232" s="51">
        <v>46210.609027777777</v>
      </c>
      <c r="BI232" s="30" t="s">
        <v>65</v>
      </c>
      <c r="BJ232" s="50">
        <v>46211.458333333336</v>
      </c>
      <c r="BK232" s="50">
        <v>46211.463888888888</v>
      </c>
      <c r="BL232" s="50">
        <v>46211.469444444447</v>
      </c>
      <c r="BM232" s="50">
        <v>46211.47152777778</v>
      </c>
      <c r="BN232" s="50">
        <v>46211.473611111112</v>
      </c>
      <c r="BR232"/>
      <c r="BS232"/>
      <c r="BT232"/>
      <c r="BU232"/>
      <c r="BV232"/>
      <c r="BW232"/>
      <c r="BX232"/>
      <c r="BY232"/>
    </row>
    <row r="233" spans="1:77">
      <c r="A233" t="s">
        <v>168</v>
      </c>
      <c r="B233" s="30">
        <v>14</v>
      </c>
      <c r="C233" s="30">
        <v>28</v>
      </c>
      <c r="D233" s="30" t="s">
        <v>169</v>
      </c>
      <c r="E233" s="30" t="s">
        <v>170</v>
      </c>
      <c r="F233" s="48">
        <v>46211</v>
      </c>
      <c r="G233" s="48">
        <v>46212</v>
      </c>
      <c r="H233" s="49">
        <v>0.41666666666666669</v>
      </c>
      <c r="I233" s="49">
        <v>0.33333333333333331</v>
      </c>
      <c r="J233" s="30" t="s">
        <v>53</v>
      </c>
      <c r="K233" s="30" t="s">
        <v>171</v>
      </c>
      <c r="L233" s="30">
        <v>1</v>
      </c>
      <c r="M233" s="30" t="s">
        <v>1056</v>
      </c>
      <c r="P233" s="30" t="s">
        <v>174</v>
      </c>
      <c r="Q233" s="30" t="s">
        <v>363</v>
      </c>
      <c r="R233" s="30" t="s">
        <v>374</v>
      </c>
      <c r="S233" s="30" t="s">
        <v>375</v>
      </c>
      <c r="T233" s="30" t="s">
        <v>1057</v>
      </c>
      <c r="U233" s="30" t="s">
        <v>1058</v>
      </c>
      <c r="V233" s="30" t="s">
        <v>1059</v>
      </c>
      <c r="W233" s="30" t="s">
        <v>1060</v>
      </c>
      <c r="X233" s="30" t="s">
        <v>180</v>
      </c>
      <c r="Y233" t="s">
        <v>180</v>
      </c>
      <c r="Z233" s="30" t="s">
        <v>180</v>
      </c>
      <c r="AA233" s="30" t="s">
        <v>181</v>
      </c>
      <c r="AB233" s="30" t="s">
        <v>55</v>
      </c>
      <c r="AC233" s="30" t="s">
        <v>56</v>
      </c>
      <c r="AD233" s="30" t="s">
        <v>78</v>
      </c>
      <c r="AE233" s="30">
        <v>20513040718</v>
      </c>
      <c r="AF233" s="30" t="s">
        <v>1061</v>
      </c>
      <c r="AG233" s="30" t="s">
        <v>1062</v>
      </c>
      <c r="AH233" s="30" t="s">
        <v>185</v>
      </c>
      <c r="AI233" s="30" t="s">
        <v>1063</v>
      </c>
      <c r="AJ233" s="30" t="s">
        <v>1064</v>
      </c>
      <c r="AK233" s="30" t="s">
        <v>1065</v>
      </c>
      <c r="AL233" s="30" t="s">
        <v>483</v>
      </c>
      <c r="AM233" t="s">
        <v>270</v>
      </c>
      <c r="AN233" s="30" t="s">
        <v>270</v>
      </c>
      <c r="AO233" s="30" t="s">
        <v>483</v>
      </c>
      <c r="AP233" s="30" t="s">
        <v>483</v>
      </c>
      <c r="AQ233" s="30" t="s">
        <v>483</v>
      </c>
      <c r="AR233" s="30" t="s">
        <v>483</v>
      </c>
      <c r="AS233" s="30" t="s">
        <v>63</v>
      </c>
      <c r="AT233" s="30" t="s">
        <v>380</v>
      </c>
      <c r="AU233" s="50">
        <v>46211.541666666664</v>
      </c>
      <c r="AV233" s="50">
        <v>46211.546527777777</v>
      </c>
      <c r="AW233" s="50">
        <v>46211.605555555558</v>
      </c>
      <c r="AX233" s="50">
        <v>46211.625</v>
      </c>
      <c r="AY233" s="50">
        <v>46211.638888888891</v>
      </c>
      <c r="AZ233" s="50">
        <v>46211.680555555555</v>
      </c>
      <c r="BA233" s="51">
        <v>46212.359722222223</v>
      </c>
      <c r="BB233" s="51">
        <v>46212.368055555555</v>
      </c>
      <c r="BC233" s="50">
        <v>46212.381944444445</v>
      </c>
      <c r="BD233" s="50">
        <v>46212.386111111111</v>
      </c>
      <c r="BE233" s="51">
        <v>46212.423611111109</v>
      </c>
      <c r="BF233" s="51">
        <v>46212.434027777781</v>
      </c>
      <c r="BG233" s="51">
        <v>46212.604166666664</v>
      </c>
      <c r="BH233" s="51">
        <v>46212.619444444441</v>
      </c>
      <c r="BI233" s="30" t="s">
        <v>65</v>
      </c>
      <c r="BJ233" s="50">
        <v>46213.416666666664</v>
      </c>
      <c r="BK233" s="50">
        <v>46213.436805555553</v>
      </c>
      <c r="BL233" s="50">
        <v>46213.445833333331</v>
      </c>
      <c r="BM233" s="50">
        <v>46213.489583333336</v>
      </c>
      <c r="BN233" s="50">
        <v>46213.492361111108</v>
      </c>
      <c r="BR233"/>
      <c r="BS233"/>
      <c r="BT233"/>
      <c r="BU233"/>
      <c r="BV233"/>
      <c r="BW233"/>
      <c r="BX233"/>
      <c r="BY233"/>
    </row>
    <row r="234" spans="1:77">
      <c r="A234" t="s">
        <v>168</v>
      </c>
      <c r="B234" s="30">
        <v>15</v>
      </c>
      <c r="C234" s="30">
        <v>28</v>
      </c>
      <c r="D234" s="30" t="s">
        <v>169</v>
      </c>
      <c r="E234" s="30" t="s">
        <v>170</v>
      </c>
      <c r="F234" s="48">
        <v>46211</v>
      </c>
      <c r="G234" s="48">
        <v>46213</v>
      </c>
      <c r="H234" s="49">
        <v>0.41666666666666669</v>
      </c>
      <c r="I234" s="49">
        <v>0.33333333333333331</v>
      </c>
      <c r="J234" s="30" t="s">
        <v>53</v>
      </c>
      <c r="K234" s="30" t="s">
        <v>171</v>
      </c>
      <c r="L234" s="30">
        <v>1</v>
      </c>
      <c r="M234" s="30" t="s">
        <v>1066</v>
      </c>
      <c r="P234" s="30" t="s">
        <v>174</v>
      </c>
      <c r="Q234" s="30" t="s">
        <v>363</v>
      </c>
      <c r="R234" s="30" t="s">
        <v>374</v>
      </c>
      <c r="S234" s="30" t="s">
        <v>375</v>
      </c>
      <c r="T234" s="30" t="s">
        <v>1067</v>
      </c>
      <c r="U234" s="30" t="s">
        <v>1068</v>
      </c>
      <c r="V234" s="30" t="s">
        <v>1069</v>
      </c>
      <c r="W234" s="30" t="s">
        <v>1070</v>
      </c>
      <c r="X234" s="30" t="s">
        <v>180</v>
      </c>
      <c r="Y234" t="s">
        <v>180</v>
      </c>
      <c r="Z234" s="30" t="s">
        <v>180</v>
      </c>
      <c r="AA234" s="30" t="s">
        <v>181</v>
      </c>
      <c r="AB234" s="30" t="s">
        <v>55</v>
      </c>
      <c r="AC234" s="30" t="s">
        <v>56</v>
      </c>
      <c r="AD234" s="30" t="s">
        <v>78</v>
      </c>
      <c r="AE234" s="30">
        <v>20513040718</v>
      </c>
      <c r="AF234" s="30" t="s">
        <v>1071</v>
      </c>
      <c r="AG234" s="30" t="s">
        <v>1072</v>
      </c>
      <c r="AH234" s="30" t="s">
        <v>185</v>
      </c>
      <c r="AI234" s="30" t="s">
        <v>1073</v>
      </c>
      <c r="AJ234" s="30" t="s">
        <v>1074</v>
      </c>
      <c r="AK234" s="30" t="s">
        <v>1075</v>
      </c>
      <c r="AL234" s="30" t="s">
        <v>483</v>
      </c>
      <c r="AM234" t="s">
        <v>270</v>
      </c>
      <c r="AN234" s="30" t="s">
        <v>270</v>
      </c>
      <c r="AO234" s="30" t="s">
        <v>483</v>
      </c>
      <c r="AP234" s="30" t="s">
        <v>483</v>
      </c>
      <c r="AQ234" s="30" t="s">
        <v>483</v>
      </c>
      <c r="AR234" s="30" t="s">
        <v>483</v>
      </c>
      <c r="AS234" s="30" t="s">
        <v>63</v>
      </c>
      <c r="AT234" s="30" t="s">
        <v>380</v>
      </c>
      <c r="AU234" s="50">
        <v>46211.791666666664</v>
      </c>
      <c r="AV234" s="50">
        <v>46211.792361111111</v>
      </c>
      <c r="AW234" s="50">
        <v>46211.810416666667</v>
      </c>
      <c r="AX234" s="50">
        <v>46211.833333333336</v>
      </c>
      <c r="AY234" s="50">
        <v>46211.869444444441</v>
      </c>
      <c r="AZ234" s="50">
        <v>46211.875</v>
      </c>
      <c r="BA234" s="51">
        <v>46213.193749999999</v>
      </c>
      <c r="BB234" s="51">
        <v>46213.201388888891</v>
      </c>
      <c r="BC234" s="50">
        <v>46213.215277777781</v>
      </c>
      <c r="BD234" s="50">
        <v>46213.219444444447</v>
      </c>
      <c r="BE234" s="51">
        <v>46213.256944444445</v>
      </c>
      <c r="BF234" s="51">
        <v>46213.267361111109</v>
      </c>
      <c r="BG234" s="51">
        <v>46213.5</v>
      </c>
      <c r="BH234" s="51">
        <v>46213.525694444441</v>
      </c>
      <c r="BI234" s="30" t="s">
        <v>65</v>
      </c>
      <c r="BJ234" s="50">
        <v>46214.333333333336</v>
      </c>
      <c r="BK234" s="50">
        <v>46214.334722222222</v>
      </c>
      <c r="BL234" s="50">
        <v>46214.343055555553</v>
      </c>
      <c r="BM234" s="50">
        <v>46214.333333333336</v>
      </c>
      <c r="BN234" s="50">
        <v>46214.350694444445</v>
      </c>
      <c r="BR234"/>
      <c r="BS234"/>
      <c r="BT234"/>
      <c r="BU234"/>
      <c r="BV234"/>
      <c r="BW234"/>
      <c r="BX234"/>
      <c r="BY234"/>
    </row>
    <row r="235" spans="1:77">
      <c r="A235" t="s">
        <v>168</v>
      </c>
      <c r="B235" s="30">
        <v>16</v>
      </c>
      <c r="C235" s="30">
        <v>28</v>
      </c>
      <c r="D235" s="30" t="s">
        <v>360</v>
      </c>
      <c r="E235" s="30" t="s">
        <v>170</v>
      </c>
      <c r="F235" s="48">
        <v>46211</v>
      </c>
      <c r="G235" s="48">
        <v>46212</v>
      </c>
      <c r="H235" s="49">
        <v>0.41666666666666669</v>
      </c>
      <c r="I235" s="49">
        <v>0.33333333333333331</v>
      </c>
      <c r="J235" s="30" t="s">
        <v>361</v>
      </c>
      <c r="K235" s="30" t="s">
        <v>171</v>
      </c>
      <c r="L235" s="30">
        <v>1</v>
      </c>
      <c r="M235" s="30" t="s">
        <v>1076</v>
      </c>
      <c r="P235" s="30" t="s">
        <v>174</v>
      </c>
      <c r="Q235" s="30" t="s">
        <v>363</v>
      </c>
      <c r="R235" s="30" t="s">
        <v>374</v>
      </c>
      <c r="S235" s="30" t="s">
        <v>375</v>
      </c>
      <c r="T235" s="30" t="s">
        <v>1077</v>
      </c>
      <c r="U235" s="30" t="s">
        <v>1078</v>
      </c>
      <c r="V235" s="30" t="s">
        <v>1079</v>
      </c>
      <c r="W235" s="30" t="s">
        <v>1080</v>
      </c>
      <c r="X235" s="30" t="s">
        <v>180</v>
      </c>
      <c r="Y235" t="s">
        <v>180</v>
      </c>
      <c r="Z235" s="30" t="s">
        <v>180</v>
      </c>
      <c r="AA235" s="30" t="s">
        <v>181</v>
      </c>
      <c r="AB235" s="30" t="s">
        <v>55</v>
      </c>
      <c r="AC235" s="30" t="s">
        <v>56</v>
      </c>
      <c r="AD235" s="30" t="s">
        <v>78</v>
      </c>
      <c r="AE235" s="30">
        <v>20513040718</v>
      </c>
      <c r="AF235" s="30" t="s">
        <v>992</v>
      </c>
      <c r="AG235" s="30" t="s">
        <v>993</v>
      </c>
      <c r="AH235" s="30" t="s">
        <v>185</v>
      </c>
      <c r="AI235" s="30" t="s">
        <v>60</v>
      </c>
      <c r="AJ235" s="30" t="s">
        <v>61</v>
      </c>
      <c r="AK235" s="30" t="s">
        <v>1081</v>
      </c>
      <c r="AL235" s="30" t="s">
        <v>483</v>
      </c>
      <c r="AM235" t="s">
        <v>270</v>
      </c>
      <c r="AN235" s="30" t="s">
        <v>270</v>
      </c>
      <c r="AO235" s="30" t="s">
        <v>483</v>
      </c>
      <c r="AP235" s="30" t="s">
        <v>483</v>
      </c>
      <c r="AQ235" s="30" t="s">
        <v>483</v>
      </c>
      <c r="AR235" s="30" t="s">
        <v>483</v>
      </c>
      <c r="AS235" s="30" t="s">
        <v>63</v>
      </c>
      <c r="AT235" s="30" t="s">
        <v>380</v>
      </c>
      <c r="AU235" s="50">
        <v>46211.666666666664</v>
      </c>
      <c r="AV235" s="50">
        <v>46211.70416666667</v>
      </c>
      <c r="AW235" s="50">
        <v>46211.729166666664</v>
      </c>
      <c r="AX235" s="50">
        <v>46211.75</v>
      </c>
      <c r="AY235" s="50">
        <v>46211.793749999997</v>
      </c>
      <c r="AZ235" s="50">
        <v>46211.833333333336</v>
      </c>
      <c r="BA235" s="51">
        <v>46212.385416666664</v>
      </c>
      <c r="BB235" s="51">
        <v>46212.392361111109</v>
      </c>
      <c r="BC235" s="50">
        <v>46212.40625</v>
      </c>
      <c r="BD235" s="50">
        <v>46212.410416666666</v>
      </c>
      <c r="BE235" s="51">
        <v>46212.447916666664</v>
      </c>
      <c r="BF235" s="51">
        <v>46212.458333333336</v>
      </c>
      <c r="BG235" s="51">
        <v>46213.625</v>
      </c>
      <c r="BH235" s="51">
        <v>46213.645833333336</v>
      </c>
      <c r="BI235" s="30" t="s">
        <v>65</v>
      </c>
      <c r="BJ235" s="50">
        <v>46214.375</v>
      </c>
      <c r="BK235" s="50">
        <v>46214.38958333333</v>
      </c>
      <c r="BL235" s="50">
        <v>46214.394444444442</v>
      </c>
      <c r="BM235" s="50">
        <v>46214.399305555555</v>
      </c>
      <c r="BN235" s="50">
        <v>46214.40347222222</v>
      </c>
      <c r="BR235"/>
      <c r="BS235"/>
      <c r="BT235"/>
      <c r="BU235"/>
      <c r="BV235"/>
      <c r="BW235"/>
      <c r="BX235"/>
      <c r="BY235"/>
    </row>
    <row r="236" spans="1:77">
      <c r="A236" t="s">
        <v>168</v>
      </c>
      <c r="B236" s="30">
        <v>17</v>
      </c>
      <c r="C236" s="30">
        <v>28</v>
      </c>
      <c r="D236" s="30" t="s">
        <v>169</v>
      </c>
      <c r="E236" s="30" t="s">
        <v>170</v>
      </c>
      <c r="F236" s="48">
        <v>46215</v>
      </c>
      <c r="G236" s="48">
        <v>46216</v>
      </c>
      <c r="H236" s="49">
        <v>0.41666666666666669</v>
      </c>
      <c r="I236" s="49">
        <v>0.33333333333333331</v>
      </c>
      <c r="J236" s="30" t="s">
        <v>53</v>
      </c>
      <c r="K236" s="30" t="s">
        <v>171</v>
      </c>
      <c r="L236" s="30">
        <v>1</v>
      </c>
      <c r="M236" s="30" t="s">
        <v>1082</v>
      </c>
      <c r="P236" s="30" t="s">
        <v>174</v>
      </c>
      <c r="Q236" s="30" t="s">
        <v>363</v>
      </c>
      <c r="R236" s="30" t="s">
        <v>548</v>
      </c>
      <c r="S236" s="30" t="s">
        <v>623</v>
      </c>
      <c r="T236" s="30" t="s">
        <v>1083</v>
      </c>
      <c r="U236" s="30" t="s">
        <v>1084</v>
      </c>
      <c r="V236" s="30" t="s">
        <v>1085</v>
      </c>
      <c r="W236" s="30" t="s">
        <v>1086</v>
      </c>
      <c r="X236" s="30" t="s">
        <v>179</v>
      </c>
      <c r="Y236" t="s">
        <v>1908</v>
      </c>
      <c r="Z236" s="30" t="s">
        <v>180</v>
      </c>
      <c r="AA236" s="30" t="s">
        <v>181</v>
      </c>
      <c r="AB236" s="30" t="s">
        <v>55</v>
      </c>
      <c r="AC236" s="30" t="s">
        <v>56</v>
      </c>
      <c r="AD236" s="30" t="s">
        <v>57</v>
      </c>
      <c r="AE236" s="30">
        <v>20513040718</v>
      </c>
      <c r="AF236" s="30" t="s">
        <v>665</v>
      </c>
      <c r="AG236" s="30" t="s">
        <v>666</v>
      </c>
      <c r="AH236" s="30" t="s">
        <v>185</v>
      </c>
      <c r="AI236" s="30" t="s">
        <v>1087</v>
      </c>
      <c r="AJ236" s="30" t="s">
        <v>1088</v>
      </c>
      <c r="AK236" s="30" t="s">
        <v>1089</v>
      </c>
      <c r="AL236" s="30" t="s">
        <v>483</v>
      </c>
      <c r="AM236" t="s">
        <v>270</v>
      </c>
      <c r="AN236" s="30" t="s">
        <v>270</v>
      </c>
      <c r="AO236" s="30" t="s">
        <v>483</v>
      </c>
      <c r="AP236" s="30" t="s">
        <v>483</v>
      </c>
      <c r="AQ236" s="30" t="s">
        <v>483</v>
      </c>
      <c r="AR236" s="30" t="s">
        <v>483</v>
      </c>
      <c r="AS236" s="30" t="s">
        <v>63</v>
      </c>
      <c r="AT236" s="30" t="s">
        <v>64</v>
      </c>
      <c r="AU236" s="50">
        <v>46215.625</v>
      </c>
      <c r="AV236" s="50">
        <v>46215.633333333331</v>
      </c>
      <c r="AW236" s="50">
        <v>46215.673611111109</v>
      </c>
      <c r="AX236" s="50">
        <v>46215.694444444445</v>
      </c>
      <c r="AY236" s="50">
        <v>46215.729861111111</v>
      </c>
      <c r="AZ236" s="50">
        <v>46215.770833333336</v>
      </c>
      <c r="BA236" s="51">
        <v>46216.454861111109</v>
      </c>
      <c r="BB236" s="51">
        <v>46216.458333333336</v>
      </c>
      <c r="BC236" s="50">
        <v>46216.479166666664</v>
      </c>
      <c r="BD236" s="50">
        <v>46216.48333333333</v>
      </c>
      <c r="BE236" s="51">
        <v>46216.520833333336</v>
      </c>
      <c r="BF236" s="51">
        <v>46216.53125</v>
      </c>
      <c r="BG236" s="51">
        <v>46216.854166666664</v>
      </c>
      <c r="BH236" s="51">
        <v>46216.877083333333</v>
      </c>
      <c r="BI236" s="30" t="s">
        <v>65</v>
      </c>
      <c r="BJ236" s="50">
        <v>46217.583333333336</v>
      </c>
      <c r="BK236" s="50">
        <v>46217.593055555553</v>
      </c>
      <c r="BL236" s="50">
        <v>46217.59652777778</v>
      </c>
      <c r="BM236" s="50">
        <v>46217.604166666664</v>
      </c>
      <c r="BN236" s="50">
        <v>46217.625694444447</v>
      </c>
      <c r="BR236"/>
      <c r="BS236"/>
      <c r="BT236"/>
      <c r="BU236"/>
      <c r="BV236"/>
      <c r="BW236"/>
      <c r="BX236"/>
      <c r="BY236"/>
    </row>
    <row r="237" spans="1:77">
      <c r="A237" t="s">
        <v>168</v>
      </c>
      <c r="B237" s="30">
        <v>18</v>
      </c>
      <c r="C237" s="30">
        <v>28</v>
      </c>
      <c r="D237" s="30" t="s">
        <v>169</v>
      </c>
      <c r="E237" s="30" t="s">
        <v>170</v>
      </c>
      <c r="F237" s="48">
        <v>46215</v>
      </c>
      <c r="G237" s="48">
        <v>46216</v>
      </c>
      <c r="H237" s="49">
        <v>0.41666666666666669</v>
      </c>
      <c r="I237" s="49">
        <v>0.33333333333333331</v>
      </c>
      <c r="J237" s="30" t="s">
        <v>53</v>
      </c>
      <c r="K237" s="30" t="s">
        <v>171</v>
      </c>
      <c r="L237" s="30">
        <v>1</v>
      </c>
      <c r="M237" s="30" t="s">
        <v>1090</v>
      </c>
      <c r="P237" s="30" t="s">
        <v>174</v>
      </c>
      <c r="Q237" s="30" t="s">
        <v>363</v>
      </c>
      <c r="R237" s="30" t="s">
        <v>175</v>
      </c>
      <c r="S237" s="30" t="s">
        <v>176</v>
      </c>
      <c r="T237" s="30" t="s">
        <v>1091</v>
      </c>
      <c r="U237" s="30" t="s">
        <v>1092</v>
      </c>
      <c r="V237" s="30" t="s">
        <v>1093</v>
      </c>
      <c r="W237" s="30" t="s">
        <v>1094</v>
      </c>
      <c r="X237" s="30" t="s">
        <v>179</v>
      </c>
      <c r="Y237" t="s">
        <v>1908</v>
      </c>
      <c r="Z237" s="30" t="s">
        <v>180</v>
      </c>
      <c r="AA237" s="30" t="s">
        <v>181</v>
      </c>
      <c r="AB237" s="30" t="s">
        <v>55</v>
      </c>
      <c r="AC237" s="30" t="s">
        <v>56</v>
      </c>
      <c r="AD237" s="30" t="s">
        <v>57</v>
      </c>
      <c r="AE237" s="30">
        <v>20513040718</v>
      </c>
      <c r="AF237" s="30" t="s">
        <v>1095</v>
      </c>
      <c r="AG237" s="30" t="s">
        <v>1096</v>
      </c>
      <c r="AH237" s="30" t="s">
        <v>185</v>
      </c>
      <c r="AI237" s="30" t="s">
        <v>1097</v>
      </c>
      <c r="AJ237" s="30" t="s">
        <v>1098</v>
      </c>
      <c r="AK237" s="30" t="s">
        <v>1099</v>
      </c>
      <c r="AL237" s="30" t="s">
        <v>483</v>
      </c>
      <c r="AM237" t="s">
        <v>270</v>
      </c>
      <c r="AN237" s="30" t="s">
        <v>270</v>
      </c>
      <c r="AO237" s="30" t="s">
        <v>483</v>
      </c>
      <c r="AP237" s="30" t="s">
        <v>483</v>
      </c>
      <c r="AQ237" s="30" t="s">
        <v>483</v>
      </c>
      <c r="AR237" s="30" t="s">
        <v>483</v>
      </c>
      <c r="AS237" s="30" t="s">
        <v>63</v>
      </c>
      <c r="AT237" s="30" t="s">
        <v>64</v>
      </c>
      <c r="AV237" s="50">
        <v>46215.564583333333</v>
      </c>
      <c r="AW237" s="50">
        <v>46215.620138888888</v>
      </c>
      <c r="AX237" s="50">
        <v>46215.638888888891</v>
      </c>
      <c r="AY237" s="50">
        <v>46215.661805555559</v>
      </c>
      <c r="AZ237" s="50">
        <v>46215.708333333336</v>
      </c>
      <c r="BA237" s="51">
        <v>46216.561111111114</v>
      </c>
      <c r="BB237" s="51">
        <v>46216.565972222219</v>
      </c>
      <c r="BC237" s="50">
        <v>46216.583333333336</v>
      </c>
      <c r="BD237" s="50">
        <v>46216.587500000001</v>
      </c>
      <c r="BE237" s="51">
        <v>46216.625</v>
      </c>
      <c r="BF237" s="51">
        <v>46216.635416666664</v>
      </c>
      <c r="BG237" s="51">
        <v>46216.864583333336</v>
      </c>
      <c r="BH237" s="51">
        <v>46216.883333333331</v>
      </c>
      <c r="BI237" s="30" t="s">
        <v>65</v>
      </c>
      <c r="BJ237" s="50">
        <v>46217.541666666664</v>
      </c>
      <c r="BK237" s="50">
        <v>46217.581944444442</v>
      </c>
      <c r="BL237" s="50">
        <v>46217.584027777775</v>
      </c>
      <c r="BM237" s="50">
        <v>46217.590277777781</v>
      </c>
      <c r="BN237" s="50">
        <v>46217.597916666666</v>
      </c>
      <c r="BR237"/>
      <c r="BS237"/>
      <c r="BT237"/>
      <c r="BU237"/>
      <c r="BV237"/>
      <c r="BW237"/>
      <c r="BX237"/>
      <c r="BY237"/>
    </row>
    <row r="238" spans="1:77">
      <c r="A238" t="s">
        <v>168</v>
      </c>
      <c r="B238" s="30">
        <v>19</v>
      </c>
      <c r="C238" s="30">
        <v>28</v>
      </c>
      <c r="D238" s="30" t="s">
        <v>169</v>
      </c>
      <c r="E238" s="30" t="s">
        <v>170</v>
      </c>
      <c r="F238" s="48">
        <v>46215</v>
      </c>
      <c r="G238" s="48">
        <v>46216</v>
      </c>
      <c r="H238" s="49">
        <v>0.41666666666666669</v>
      </c>
      <c r="I238" s="49">
        <v>0.33333333333333331</v>
      </c>
      <c r="J238" s="30" t="s">
        <v>53</v>
      </c>
      <c r="K238" s="30" t="s">
        <v>171</v>
      </c>
      <c r="L238" s="30">
        <v>1</v>
      </c>
      <c r="M238" s="30" t="s">
        <v>1100</v>
      </c>
      <c r="P238" s="30" t="s">
        <v>174</v>
      </c>
      <c r="Q238" s="30" t="s">
        <v>363</v>
      </c>
      <c r="R238" s="30" t="s">
        <v>175</v>
      </c>
      <c r="S238" s="30" t="s">
        <v>176</v>
      </c>
      <c r="T238" s="30" t="s">
        <v>1101</v>
      </c>
      <c r="U238" s="30" t="s">
        <v>1102</v>
      </c>
      <c r="V238" s="30" t="s">
        <v>1103</v>
      </c>
      <c r="W238" s="30" t="s">
        <v>1104</v>
      </c>
      <c r="X238" s="30" t="s">
        <v>179</v>
      </c>
      <c r="Y238" t="s">
        <v>1908</v>
      </c>
      <c r="Z238" s="30" t="s">
        <v>180</v>
      </c>
      <c r="AA238" s="30" t="s">
        <v>181</v>
      </c>
      <c r="AB238" s="30" t="s">
        <v>55</v>
      </c>
      <c r="AC238" s="30" t="s">
        <v>56</v>
      </c>
      <c r="AD238" s="30" t="s">
        <v>57</v>
      </c>
      <c r="AE238" s="30">
        <v>20513040718</v>
      </c>
      <c r="AF238" s="30" t="s">
        <v>67</v>
      </c>
      <c r="AG238" s="30" t="s">
        <v>68</v>
      </c>
      <c r="AH238" s="30" t="s">
        <v>185</v>
      </c>
      <c r="AI238" s="30" t="s">
        <v>73</v>
      </c>
      <c r="AJ238" s="30" t="s">
        <v>74</v>
      </c>
      <c r="AK238" s="30" t="s">
        <v>1105</v>
      </c>
      <c r="AL238" s="30" t="s">
        <v>483</v>
      </c>
      <c r="AM238" t="s">
        <v>270</v>
      </c>
      <c r="AN238" s="30" t="s">
        <v>270</v>
      </c>
      <c r="AO238" s="30" t="s">
        <v>483</v>
      </c>
      <c r="AP238" s="30" t="s">
        <v>483</v>
      </c>
      <c r="AQ238" s="30" t="s">
        <v>483</v>
      </c>
      <c r="AR238" s="30" t="s">
        <v>483</v>
      </c>
      <c r="AS238" s="30" t="s">
        <v>63</v>
      </c>
      <c r="AT238" s="30" t="s">
        <v>64</v>
      </c>
      <c r="AU238" s="50">
        <v>46215.5</v>
      </c>
      <c r="AV238" s="50">
        <v>46215.518750000003</v>
      </c>
      <c r="AW238" s="50">
        <v>46215.525000000001</v>
      </c>
      <c r="AX238" s="50">
        <v>46215.541666666664</v>
      </c>
      <c r="AY238" s="50">
        <v>46215.59097222222</v>
      </c>
      <c r="AZ238" s="50">
        <v>46215.625</v>
      </c>
      <c r="BA238" s="51">
        <v>46216.440972222219</v>
      </c>
      <c r="BB238" s="51">
        <v>46216.444444444445</v>
      </c>
      <c r="BC238" s="50">
        <v>46216.458333333336</v>
      </c>
      <c r="BD238" s="50">
        <v>46216.462500000001</v>
      </c>
      <c r="BE238" s="51">
        <v>46216.5</v>
      </c>
      <c r="BF238" s="51">
        <v>46216.510416666664</v>
      </c>
      <c r="BG238" s="51">
        <v>46216.854166666664</v>
      </c>
      <c r="BH238" s="51">
        <v>46216.87777777778</v>
      </c>
      <c r="BI238" s="30" t="s">
        <v>65</v>
      </c>
      <c r="BJ238" s="50">
        <v>46217.583333333336</v>
      </c>
      <c r="BK238" s="50">
        <v>46217.618055555555</v>
      </c>
      <c r="BL238" s="50">
        <v>46217.623611111114</v>
      </c>
      <c r="BM238" s="50">
        <v>46217.628472222219</v>
      </c>
      <c r="BN238" s="50">
        <v>46217.65</v>
      </c>
      <c r="BR238"/>
      <c r="BS238"/>
      <c r="BT238"/>
      <c r="BU238"/>
      <c r="BV238"/>
      <c r="BW238"/>
      <c r="BX238"/>
      <c r="BY238"/>
    </row>
    <row r="239" spans="1:77">
      <c r="A239" t="s">
        <v>168</v>
      </c>
      <c r="B239" s="30">
        <v>20</v>
      </c>
      <c r="C239" s="30">
        <v>28</v>
      </c>
      <c r="D239" s="30" t="s">
        <v>169</v>
      </c>
      <c r="E239" s="30" t="s">
        <v>170</v>
      </c>
      <c r="F239" s="48">
        <v>46215</v>
      </c>
      <c r="G239" s="48">
        <v>46216</v>
      </c>
      <c r="H239" s="49">
        <v>0.41666666666666669</v>
      </c>
      <c r="I239" s="49">
        <v>0.33333333333333331</v>
      </c>
      <c r="J239" s="30" t="s">
        <v>53</v>
      </c>
      <c r="K239" s="30" t="s">
        <v>171</v>
      </c>
      <c r="L239" s="30">
        <v>1</v>
      </c>
      <c r="M239" s="30" t="s">
        <v>1106</v>
      </c>
      <c r="P239" s="30" t="s">
        <v>174</v>
      </c>
      <c r="Q239" s="30" t="s">
        <v>363</v>
      </c>
      <c r="R239" s="30" t="s">
        <v>175</v>
      </c>
      <c r="S239" s="30" t="s">
        <v>176</v>
      </c>
      <c r="T239" s="30" t="s">
        <v>1107</v>
      </c>
      <c r="U239" s="30" t="s">
        <v>1108</v>
      </c>
      <c r="V239" s="30" t="s">
        <v>1109</v>
      </c>
      <c r="W239" s="30" t="s">
        <v>1110</v>
      </c>
      <c r="X239" s="30" t="s">
        <v>179</v>
      </c>
      <c r="Y239" t="s">
        <v>1908</v>
      </c>
      <c r="Z239" s="30" t="s">
        <v>180</v>
      </c>
      <c r="AA239" s="30" t="s">
        <v>181</v>
      </c>
      <c r="AB239" s="30" t="s">
        <v>55</v>
      </c>
      <c r="AC239" s="30" t="s">
        <v>56</v>
      </c>
      <c r="AD239" s="30" t="s">
        <v>57</v>
      </c>
      <c r="AE239" s="30">
        <v>20513040718</v>
      </c>
      <c r="AF239" s="30" t="s">
        <v>1071</v>
      </c>
      <c r="AG239" s="30" t="s">
        <v>1072</v>
      </c>
      <c r="AH239" s="30" t="s">
        <v>185</v>
      </c>
      <c r="AI239" s="30" t="s">
        <v>1073</v>
      </c>
      <c r="AJ239" s="30" t="s">
        <v>1074</v>
      </c>
      <c r="AK239" s="30" t="s">
        <v>1111</v>
      </c>
      <c r="AL239" s="30" t="s">
        <v>483</v>
      </c>
      <c r="AM239" t="s">
        <v>270</v>
      </c>
      <c r="AN239" s="30" t="s">
        <v>270</v>
      </c>
      <c r="AO239" s="30" t="s">
        <v>483</v>
      </c>
      <c r="AP239" s="30" t="s">
        <v>483</v>
      </c>
      <c r="AQ239" s="30" t="s">
        <v>483</v>
      </c>
      <c r="AR239" s="30" t="s">
        <v>483</v>
      </c>
      <c r="AS239" s="30" t="s">
        <v>63</v>
      </c>
      <c r="AT239" s="30" t="s">
        <v>64</v>
      </c>
      <c r="AU239" s="50">
        <v>46215.583333333336</v>
      </c>
      <c r="AV239" s="50">
        <v>46215.607638888891</v>
      </c>
      <c r="AW239" s="50">
        <v>46215.616666666669</v>
      </c>
      <c r="AX239" s="50">
        <v>46215.635416666664</v>
      </c>
      <c r="AY239" s="50">
        <v>46215.65625</v>
      </c>
      <c r="AZ239" s="50">
        <v>46215.697916666664</v>
      </c>
      <c r="BA239" s="51">
        <v>46216.4375</v>
      </c>
      <c r="BB239" s="51">
        <v>46216.444444444445</v>
      </c>
      <c r="BC239" s="50">
        <v>46216.413888888892</v>
      </c>
      <c r="BD239" s="50">
        <v>46216.418055555558</v>
      </c>
      <c r="BE239" s="51">
        <v>46216.458333333336</v>
      </c>
      <c r="BF239" s="51">
        <v>46216.46875</v>
      </c>
      <c r="BG239" s="51">
        <v>46216.875</v>
      </c>
      <c r="BH239" s="51">
        <v>46216.898611111108</v>
      </c>
      <c r="BI239" s="30" t="s">
        <v>65</v>
      </c>
      <c r="BJ239" s="50">
        <v>46217.708333333336</v>
      </c>
      <c r="BK239" s="50">
        <v>46217.73333333333</v>
      </c>
      <c r="BL239" s="50">
        <v>46217.736111111109</v>
      </c>
      <c r="BM239" s="50">
        <v>46217.743055555555</v>
      </c>
      <c r="BN239" s="50">
        <v>46217.75</v>
      </c>
      <c r="BR239"/>
      <c r="BS239"/>
      <c r="BT239"/>
      <c r="BU239"/>
      <c r="BV239"/>
      <c r="BW239"/>
      <c r="BX239"/>
      <c r="BY239"/>
    </row>
    <row r="240" spans="1:77">
      <c r="A240" t="s">
        <v>168</v>
      </c>
      <c r="B240" s="30">
        <v>21</v>
      </c>
      <c r="C240" s="30">
        <v>28</v>
      </c>
      <c r="D240" s="30" t="s">
        <v>169</v>
      </c>
      <c r="E240" s="30" t="s">
        <v>170</v>
      </c>
      <c r="F240" s="48">
        <v>46216</v>
      </c>
      <c r="G240" s="48">
        <v>46217</v>
      </c>
      <c r="H240" s="49">
        <v>0.41666666666666669</v>
      </c>
      <c r="I240" s="49">
        <v>0.33333333333333331</v>
      </c>
      <c r="J240" s="30" t="s">
        <v>53</v>
      </c>
      <c r="K240" s="30" t="s">
        <v>171</v>
      </c>
      <c r="L240" s="30">
        <v>1</v>
      </c>
      <c r="M240" s="30" t="s">
        <v>1112</v>
      </c>
      <c r="P240" s="30" t="s">
        <v>174</v>
      </c>
      <c r="Q240" s="30" t="s">
        <v>363</v>
      </c>
      <c r="R240" s="30" t="s">
        <v>175</v>
      </c>
      <c r="S240" s="30" t="s">
        <v>176</v>
      </c>
      <c r="T240" s="30" t="s">
        <v>1113</v>
      </c>
      <c r="U240" s="30" t="s">
        <v>1114</v>
      </c>
      <c r="V240" s="30" t="s">
        <v>1115</v>
      </c>
      <c r="W240" s="30" t="s">
        <v>1116</v>
      </c>
      <c r="X240" s="30" t="s">
        <v>179</v>
      </c>
      <c r="Y240" t="s">
        <v>1908</v>
      </c>
      <c r="Z240" s="30" t="s">
        <v>180</v>
      </c>
      <c r="AA240" s="30" t="s">
        <v>181</v>
      </c>
      <c r="AB240" s="30" t="s">
        <v>55</v>
      </c>
      <c r="AC240" s="30" t="s">
        <v>92</v>
      </c>
      <c r="AD240" s="30" t="s">
        <v>1117</v>
      </c>
      <c r="AE240" s="30">
        <v>20612886921</v>
      </c>
      <c r="AF240" s="30" t="s">
        <v>1118</v>
      </c>
      <c r="AG240" s="30" t="s">
        <v>1119</v>
      </c>
      <c r="AH240" s="30" t="s">
        <v>185</v>
      </c>
      <c r="AI240" s="30" t="s">
        <v>1120</v>
      </c>
      <c r="AJ240" s="30" t="s">
        <v>1121</v>
      </c>
      <c r="AK240" s="30" t="s">
        <v>1122</v>
      </c>
      <c r="AL240" s="30" t="s">
        <v>483</v>
      </c>
      <c r="AM240" t="s">
        <v>270</v>
      </c>
      <c r="AN240" s="30" t="s">
        <v>270</v>
      </c>
      <c r="AO240" s="30" t="s">
        <v>483</v>
      </c>
      <c r="AP240" s="30" t="s">
        <v>483</v>
      </c>
      <c r="AQ240" s="30" t="s">
        <v>483</v>
      </c>
      <c r="AR240" s="30" t="s">
        <v>483</v>
      </c>
      <c r="AS240" s="30" t="s">
        <v>63</v>
      </c>
      <c r="AT240" s="30" t="s">
        <v>64</v>
      </c>
      <c r="AU240" s="50">
        <v>46216.458333333336</v>
      </c>
      <c r="AV240" s="50">
        <v>46216.470138888886</v>
      </c>
      <c r="AW240" s="50">
        <v>46216.473611111112</v>
      </c>
      <c r="AX240" s="50">
        <v>46216.5</v>
      </c>
      <c r="AY240" s="50">
        <v>46216.515277777777</v>
      </c>
      <c r="AZ240" s="50">
        <v>46216.556944444441</v>
      </c>
      <c r="BA240" s="51">
        <v>46217.341666666667</v>
      </c>
      <c r="BB240" s="51">
        <v>46217.34375</v>
      </c>
      <c r="BC240" s="50">
        <v>46217.364583333336</v>
      </c>
      <c r="BD240" s="50">
        <v>46217.368750000001</v>
      </c>
      <c r="BE240" s="51">
        <v>46217.40625</v>
      </c>
      <c r="BF240" s="51">
        <v>46217.416666666664</v>
      </c>
      <c r="BG240" s="51">
        <v>46217.5625</v>
      </c>
      <c r="BH240" s="51">
        <v>46217.585416666669</v>
      </c>
      <c r="BI240" s="30" t="s">
        <v>65</v>
      </c>
      <c r="BJ240" s="50">
        <v>46218.208333333336</v>
      </c>
      <c r="BK240" s="50">
        <v>46218.228472222225</v>
      </c>
      <c r="BL240" s="50">
        <v>46218.234027777777</v>
      </c>
      <c r="BM240" s="50">
        <v>46218.237500000003</v>
      </c>
      <c r="BN240" s="50">
        <v>46218.240972222222</v>
      </c>
      <c r="BR240"/>
      <c r="BS240"/>
      <c r="BT240"/>
      <c r="BU240"/>
      <c r="BV240"/>
      <c r="BW240"/>
      <c r="BX240"/>
      <c r="BY240"/>
    </row>
    <row r="241" spans="1:77">
      <c r="A241" t="s">
        <v>168</v>
      </c>
      <c r="B241" s="30">
        <v>22</v>
      </c>
      <c r="C241" s="30">
        <v>28</v>
      </c>
      <c r="D241" s="30" t="s">
        <v>169</v>
      </c>
      <c r="E241" s="30" t="s">
        <v>170</v>
      </c>
      <c r="F241" s="48">
        <v>46216</v>
      </c>
      <c r="G241" s="48">
        <v>46217</v>
      </c>
      <c r="H241" s="49">
        <v>0.41666666666666669</v>
      </c>
      <c r="I241" s="49">
        <v>0.33333333333333331</v>
      </c>
      <c r="J241" s="30" t="s">
        <v>53</v>
      </c>
      <c r="K241" s="30" t="s">
        <v>171</v>
      </c>
      <c r="L241" s="30">
        <v>1</v>
      </c>
      <c r="M241" s="30" t="s">
        <v>1123</v>
      </c>
      <c r="P241" s="30" t="s">
        <v>174</v>
      </c>
      <c r="Q241" s="30" t="s">
        <v>363</v>
      </c>
      <c r="R241" s="30" t="s">
        <v>175</v>
      </c>
      <c r="S241" s="30" t="s">
        <v>176</v>
      </c>
      <c r="T241" s="30" t="s">
        <v>1124</v>
      </c>
      <c r="U241" s="30" t="s">
        <v>1125</v>
      </c>
      <c r="V241" s="30" t="s">
        <v>1126</v>
      </c>
      <c r="W241" s="30" t="s">
        <v>1127</v>
      </c>
      <c r="X241" s="30" t="s">
        <v>179</v>
      </c>
      <c r="Y241" t="s">
        <v>1908</v>
      </c>
      <c r="Z241" s="30" t="s">
        <v>180</v>
      </c>
      <c r="AA241" s="30" t="s">
        <v>181</v>
      </c>
      <c r="AB241" s="30" t="s">
        <v>55</v>
      </c>
      <c r="AC241" s="30" t="s">
        <v>56</v>
      </c>
      <c r="AD241" s="30" t="s">
        <v>57</v>
      </c>
      <c r="AE241" s="30">
        <v>20513040718</v>
      </c>
      <c r="AF241" s="30" t="s">
        <v>1035</v>
      </c>
      <c r="AG241" s="30" t="s">
        <v>1036</v>
      </c>
      <c r="AH241" s="30" t="s">
        <v>185</v>
      </c>
      <c r="AI241" s="30" t="s">
        <v>1037</v>
      </c>
      <c r="AJ241" s="30" t="s">
        <v>1038</v>
      </c>
      <c r="AK241" s="30" t="s">
        <v>1128</v>
      </c>
      <c r="AL241" s="30" t="s">
        <v>483</v>
      </c>
      <c r="AM241" t="s">
        <v>270</v>
      </c>
      <c r="AN241" s="30" t="s">
        <v>270</v>
      </c>
      <c r="AO241" s="30" t="s">
        <v>483</v>
      </c>
      <c r="AP241" s="30" t="s">
        <v>483</v>
      </c>
      <c r="AQ241" s="30" t="s">
        <v>483</v>
      </c>
      <c r="AR241" s="30" t="s">
        <v>483</v>
      </c>
      <c r="AS241" s="30" t="s">
        <v>63</v>
      </c>
      <c r="AT241" s="30" t="s">
        <v>64</v>
      </c>
      <c r="AU241" s="50">
        <v>46216.458333333336</v>
      </c>
      <c r="AV241" s="50">
        <v>46216.486111111109</v>
      </c>
      <c r="AW241" s="50">
        <v>46216.491666666669</v>
      </c>
      <c r="AX241" s="50">
        <v>46216.510416666664</v>
      </c>
      <c r="AY241" s="50">
        <v>46216.529861111114</v>
      </c>
      <c r="AZ241" s="50">
        <v>46216.571527777778</v>
      </c>
      <c r="BA241" s="51">
        <v>46217.411111111112</v>
      </c>
      <c r="BB241" s="51">
        <v>46217.413194444445</v>
      </c>
      <c r="BC241" s="50">
        <v>46217.4375</v>
      </c>
      <c r="BD241" s="50">
        <v>46217.441666666666</v>
      </c>
      <c r="BE241" s="51">
        <v>46217.479166666664</v>
      </c>
      <c r="BF241" s="51">
        <v>46217.489583333336</v>
      </c>
      <c r="BG241" s="51">
        <v>46217.5625</v>
      </c>
      <c r="BH241" s="51">
        <v>46217.584027777775</v>
      </c>
      <c r="BI241" s="30" t="s">
        <v>65</v>
      </c>
      <c r="BJ241" s="50">
        <v>46218.333333333336</v>
      </c>
      <c r="BK241" s="50">
        <v>46218.34097222222</v>
      </c>
      <c r="BL241" s="50">
        <v>46218.344444444447</v>
      </c>
      <c r="BM241" s="50">
        <v>46218.347222222219</v>
      </c>
      <c r="BN241" s="50">
        <v>46218.354861111111</v>
      </c>
      <c r="BR241"/>
      <c r="BS241"/>
      <c r="BT241"/>
      <c r="BU241"/>
      <c r="BV241"/>
      <c r="BW241"/>
      <c r="BX241"/>
      <c r="BY241"/>
    </row>
    <row r="242" spans="1:77">
      <c r="A242" t="s">
        <v>168</v>
      </c>
      <c r="B242" s="30">
        <v>23</v>
      </c>
      <c r="C242" s="30">
        <v>28</v>
      </c>
      <c r="D242" s="30" t="s">
        <v>169</v>
      </c>
      <c r="E242" s="30" t="s">
        <v>170</v>
      </c>
      <c r="F242" s="48">
        <v>46216</v>
      </c>
      <c r="G242" s="48">
        <v>46217</v>
      </c>
      <c r="H242" s="49">
        <v>0.41666666666666669</v>
      </c>
      <c r="I242" s="49">
        <v>0.33333333333333331</v>
      </c>
      <c r="J242" s="30" t="s">
        <v>53</v>
      </c>
      <c r="K242" s="30" t="s">
        <v>171</v>
      </c>
      <c r="L242" s="30">
        <v>1</v>
      </c>
      <c r="M242" s="30" t="s">
        <v>1129</v>
      </c>
      <c r="P242" s="30" t="s">
        <v>174</v>
      </c>
      <c r="Q242" s="30" t="s">
        <v>363</v>
      </c>
      <c r="R242" s="30" t="s">
        <v>175</v>
      </c>
      <c r="S242" s="30" t="s">
        <v>176</v>
      </c>
      <c r="T242" s="30" t="s">
        <v>1130</v>
      </c>
      <c r="U242" s="30" t="s">
        <v>1131</v>
      </c>
      <c r="V242" s="30" t="s">
        <v>1132</v>
      </c>
      <c r="W242" s="30" t="s">
        <v>1133</v>
      </c>
      <c r="X242" s="30" t="s">
        <v>179</v>
      </c>
      <c r="Y242" t="s">
        <v>1908</v>
      </c>
      <c r="Z242" s="30" t="s">
        <v>180</v>
      </c>
      <c r="AA242" s="30" t="s">
        <v>181</v>
      </c>
      <c r="AB242" s="30" t="s">
        <v>55</v>
      </c>
      <c r="AC242" s="30" t="s">
        <v>92</v>
      </c>
      <c r="AD242" s="30" t="s">
        <v>1117</v>
      </c>
      <c r="AE242" s="30">
        <v>20612886921</v>
      </c>
      <c r="AF242" s="30" t="s">
        <v>1134</v>
      </c>
      <c r="AG242" s="30" t="s">
        <v>1135</v>
      </c>
      <c r="AH242" s="30" t="s">
        <v>185</v>
      </c>
      <c r="AI242" s="30" t="s">
        <v>1136</v>
      </c>
      <c r="AJ242" s="30" t="s">
        <v>1137</v>
      </c>
      <c r="AK242" s="30" t="s">
        <v>1138</v>
      </c>
      <c r="AL242" s="30" t="s">
        <v>483</v>
      </c>
      <c r="AM242" t="s">
        <v>270</v>
      </c>
      <c r="AN242" s="30" t="s">
        <v>270</v>
      </c>
      <c r="AO242" s="30" t="s">
        <v>483</v>
      </c>
      <c r="AP242" s="30" t="s">
        <v>483</v>
      </c>
      <c r="AQ242" s="30" t="s">
        <v>483</v>
      </c>
      <c r="AR242" s="30" t="s">
        <v>483</v>
      </c>
      <c r="AS242" s="30" t="s">
        <v>63</v>
      </c>
      <c r="AT242" s="30" t="s">
        <v>64</v>
      </c>
      <c r="AU242" s="50">
        <v>46216.375</v>
      </c>
      <c r="AV242" s="50">
        <v>46216.4</v>
      </c>
      <c r="AW242" s="50">
        <v>46216.419444444444</v>
      </c>
      <c r="AX242" s="50">
        <v>46216.4375</v>
      </c>
      <c r="AY242" s="50">
        <v>46216.520138888889</v>
      </c>
      <c r="AZ242" s="50">
        <v>46216.5625</v>
      </c>
      <c r="BA242" s="51">
        <v>46217.340277777781</v>
      </c>
      <c r="BB242" s="51">
        <v>46217.34375</v>
      </c>
      <c r="BC242" s="50">
        <v>46217.364583333336</v>
      </c>
      <c r="BD242" s="50">
        <v>46217.368750000001</v>
      </c>
      <c r="BE242" s="51">
        <v>46217.40625</v>
      </c>
      <c r="BF242" s="51">
        <v>46217.416666666664</v>
      </c>
      <c r="BG242" s="51">
        <v>46217.541666666664</v>
      </c>
      <c r="BH242" s="51">
        <v>46217.566666666666</v>
      </c>
      <c r="BI242" s="30" t="s">
        <v>65</v>
      </c>
      <c r="BJ242" s="50">
        <v>46218.166666666664</v>
      </c>
      <c r="BK242" s="50">
        <v>46218.195833333331</v>
      </c>
      <c r="BL242" s="50">
        <v>46218.199305555558</v>
      </c>
      <c r="BM242" s="50">
        <v>46218.201388888891</v>
      </c>
      <c r="BN242" s="50">
        <v>46218.226388888892</v>
      </c>
      <c r="BR242"/>
      <c r="BS242"/>
      <c r="BT242"/>
      <c r="BU242"/>
      <c r="BV242"/>
      <c r="BW242"/>
      <c r="BX242"/>
      <c r="BY242"/>
    </row>
    <row r="243" spans="1:77">
      <c r="A243" t="s">
        <v>168</v>
      </c>
      <c r="B243" s="30">
        <v>24</v>
      </c>
      <c r="C243" s="30">
        <v>29</v>
      </c>
      <c r="D243" s="30" t="s">
        <v>169</v>
      </c>
      <c r="E243" s="30" t="s">
        <v>170</v>
      </c>
      <c r="F243" s="48">
        <v>46218</v>
      </c>
      <c r="G243" s="48">
        <v>46219</v>
      </c>
      <c r="H243" s="49">
        <v>0.41666666666666669</v>
      </c>
      <c r="I243" s="49">
        <v>0.33333333333333331</v>
      </c>
      <c r="J243" s="30" t="s">
        <v>53</v>
      </c>
      <c r="K243" s="30" t="s">
        <v>171</v>
      </c>
      <c r="L243" s="30">
        <v>1</v>
      </c>
      <c r="M243" s="30" t="s">
        <v>1139</v>
      </c>
      <c r="P243" s="30" t="s">
        <v>174</v>
      </c>
      <c r="Q243" s="30" t="s">
        <v>363</v>
      </c>
      <c r="R243" s="30" t="s">
        <v>374</v>
      </c>
      <c r="S243" s="30" t="s">
        <v>375</v>
      </c>
      <c r="T243" s="30" t="s">
        <v>1140</v>
      </c>
      <c r="U243" s="30" t="s">
        <v>1141</v>
      </c>
      <c r="V243" s="30" t="s">
        <v>1142</v>
      </c>
      <c r="W243" s="30" t="s">
        <v>1143</v>
      </c>
      <c r="X243" s="30" t="s">
        <v>180</v>
      </c>
      <c r="Y243" t="s">
        <v>180</v>
      </c>
      <c r="Z243" s="30" t="s">
        <v>180</v>
      </c>
      <c r="AA243" s="30" t="s">
        <v>181</v>
      </c>
      <c r="AB243" s="30" t="s">
        <v>55</v>
      </c>
      <c r="AC243" s="30" t="s">
        <v>92</v>
      </c>
      <c r="AD243" s="30" t="s">
        <v>1144</v>
      </c>
      <c r="AE243" s="30">
        <v>20601962102</v>
      </c>
      <c r="AF243" s="30" t="s">
        <v>1145</v>
      </c>
      <c r="AG243" s="30" t="s">
        <v>1146</v>
      </c>
      <c r="AH243" s="30" t="s">
        <v>185</v>
      </c>
      <c r="AI243" s="30" t="s">
        <v>1147</v>
      </c>
      <c r="AJ243" s="30" t="s">
        <v>1148</v>
      </c>
      <c r="AK243" s="30" t="s">
        <v>1149</v>
      </c>
      <c r="AL243" s="30" t="s">
        <v>483</v>
      </c>
      <c r="AM243" t="s">
        <v>270</v>
      </c>
      <c r="AN243" s="30" t="s">
        <v>270</v>
      </c>
      <c r="AO243" s="30" t="s">
        <v>483</v>
      </c>
      <c r="AP243" s="30" t="s">
        <v>483</v>
      </c>
      <c r="AQ243" s="30" t="s">
        <v>483</v>
      </c>
      <c r="AR243" s="30" t="s">
        <v>483</v>
      </c>
      <c r="AS243" s="30" t="s">
        <v>63</v>
      </c>
      <c r="AT243" s="30" t="s">
        <v>64</v>
      </c>
      <c r="AU243" s="50">
        <v>46218.625</v>
      </c>
      <c r="AV243" s="50">
        <v>46218.640972222223</v>
      </c>
      <c r="AW243" s="50">
        <v>46218.675000000003</v>
      </c>
      <c r="AX243" s="50">
        <v>46218.681944444441</v>
      </c>
      <c r="AY243" s="50">
        <v>46218.770833333336</v>
      </c>
      <c r="AZ243" s="50">
        <v>46218.8125</v>
      </c>
      <c r="BA243" s="51">
        <v>46219.448611111111</v>
      </c>
      <c r="BB243" s="51">
        <v>46219.455555555556</v>
      </c>
      <c r="BC243" s="50">
        <v>46219.462500000001</v>
      </c>
      <c r="BD243" s="50">
        <v>46219.466666666667</v>
      </c>
      <c r="BE243" s="51">
        <v>46219.48333333333</v>
      </c>
      <c r="BF243" s="51">
        <v>46219.493750000001</v>
      </c>
      <c r="BG243" s="51">
        <v>46220.506944444445</v>
      </c>
      <c r="BH243" s="51">
        <v>46220.513888888891</v>
      </c>
      <c r="BI243" s="30" t="s">
        <v>65</v>
      </c>
      <c r="BJ243" s="50">
        <v>46221.041666666664</v>
      </c>
      <c r="BK243" s="50">
        <v>46221.083333333336</v>
      </c>
      <c r="BL243" s="50">
        <v>46221.092361111114</v>
      </c>
      <c r="BM243" s="50">
        <v>46221.095833333333</v>
      </c>
      <c r="BN243" s="50">
        <v>46221.102777777778</v>
      </c>
      <c r="BR243"/>
      <c r="BS243"/>
      <c r="BT243"/>
      <c r="BU243"/>
      <c r="BV243"/>
      <c r="BW243"/>
      <c r="BX243"/>
      <c r="BY243"/>
    </row>
    <row r="244" spans="1:77">
      <c r="A244" t="s">
        <v>168</v>
      </c>
      <c r="B244" s="30">
        <v>25</v>
      </c>
      <c r="C244" s="30">
        <v>29</v>
      </c>
      <c r="D244" s="30" t="s">
        <v>169</v>
      </c>
      <c r="E244" s="30" t="s">
        <v>170</v>
      </c>
      <c r="F244" s="48">
        <v>46218</v>
      </c>
      <c r="G244" s="48">
        <v>46219</v>
      </c>
      <c r="H244" s="49">
        <v>0.58333333333333337</v>
      </c>
      <c r="I244" s="49">
        <v>0.5</v>
      </c>
      <c r="J244" s="30" t="s">
        <v>53</v>
      </c>
      <c r="K244" s="30" t="s">
        <v>171</v>
      </c>
      <c r="L244" s="30">
        <v>0.5</v>
      </c>
      <c r="M244" s="30" t="s">
        <v>1150</v>
      </c>
      <c r="P244" s="30" t="s">
        <v>174</v>
      </c>
      <c r="Q244" s="30" t="s">
        <v>363</v>
      </c>
      <c r="R244" s="30" t="s">
        <v>374</v>
      </c>
      <c r="S244" s="30" t="s">
        <v>375</v>
      </c>
      <c r="T244" s="30" t="s">
        <v>1151</v>
      </c>
      <c r="U244" s="30" t="s">
        <v>1152</v>
      </c>
      <c r="V244" s="30" t="s">
        <v>1153</v>
      </c>
      <c r="W244" s="30" t="s">
        <v>1154</v>
      </c>
      <c r="X244" s="30" t="s">
        <v>180</v>
      </c>
      <c r="Y244" t="s">
        <v>180</v>
      </c>
      <c r="Z244" s="30" t="s">
        <v>180</v>
      </c>
      <c r="AA244" s="30" t="s">
        <v>181</v>
      </c>
      <c r="AB244" s="30" t="s">
        <v>55</v>
      </c>
      <c r="AC244" s="30" t="s">
        <v>56</v>
      </c>
      <c r="AD244" s="30" t="s">
        <v>57</v>
      </c>
      <c r="AE244" s="30">
        <v>20513040718</v>
      </c>
      <c r="AF244" s="30" t="s">
        <v>1035</v>
      </c>
      <c r="AG244" s="30" t="s">
        <v>1036</v>
      </c>
      <c r="AH244" s="30" t="s">
        <v>185</v>
      </c>
      <c r="AI244" s="30" t="s">
        <v>1037</v>
      </c>
      <c r="AJ244" s="30" t="s">
        <v>1038</v>
      </c>
      <c r="AK244" s="30" t="s">
        <v>1155</v>
      </c>
      <c r="AL244" s="30" t="s">
        <v>483</v>
      </c>
      <c r="AM244" t="s">
        <v>270</v>
      </c>
      <c r="AN244" s="30" t="s">
        <v>270</v>
      </c>
      <c r="AO244" s="30" t="s">
        <v>483</v>
      </c>
      <c r="AP244" s="30" t="s">
        <v>483</v>
      </c>
      <c r="AQ244" s="30" t="s">
        <v>483</v>
      </c>
      <c r="AR244" s="30" t="s">
        <v>483</v>
      </c>
      <c r="AS244" s="30" t="s">
        <v>63</v>
      </c>
      <c r="AT244" s="30" t="s">
        <v>380</v>
      </c>
      <c r="AU244" s="50">
        <v>46218.666666666664</v>
      </c>
      <c r="AV244" s="50">
        <v>46218.683333333334</v>
      </c>
      <c r="AW244" s="50">
        <v>46218.724305555559</v>
      </c>
      <c r="AX244" s="50">
        <v>46218.731249999997</v>
      </c>
      <c r="AY244" s="50">
        <v>46218.797222222223</v>
      </c>
      <c r="AZ244" s="50">
        <v>46218.838888888888</v>
      </c>
      <c r="BA244" s="51">
        <v>46219.523611111108</v>
      </c>
      <c r="BB244" s="51">
        <v>46219.524305555555</v>
      </c>
      <c r="BC244" s="50">
        <v>46219.621527777781</v>
      </c>
      <c r="BD244" s="50">
        <v>46219.625694444447</v>
      </c>
      <c r="BE244" s="51">
        <v>46219.634027777778</v>
      </c>
      <c r="BF244" s="51">
        <v>46219.644444444442</v>
      </c>
      <c r="BG244" s="51">
        <v>46219.686111111114</v>
      </c>
      <c r="BH244" s="51">
        <v>46219.73541666667</v>
      </c>
      <c r="BI244" s="30" t="s">
        <v>65</v>
      </c>
      <c r="BJ244" s="50">
        <v>46220.791666666664</v>
      </c>
      <c r="BK244" s="50">
        <v>46220.829861111109</v>
      </c>
      <c r="BL244" s="50">
        <v>46220.834722222222</v>
      </c>
      <c r="BM244" s="50">
        <v>46220.841666666667</v>
      </c>
      <c r="BN244" s="50">
        <v>46220.851388888892</v>
      </c>
      <c r="BR244"/>
      <c r="BS244"/>
      <c r="BT244"/>
      <c r="BU244"/>
      <c r="BV244"/>
      <c r="BW244"/>
      <c r="BX244"/>
      <c r="BY244"/>
    </row>
    <row r="245" spans="1:77">
      <c r="A245" t="s">
        <v>168</v>
      </c>
      <c r="B245" s="30">
        <v>26</v>
      </c>
      <c r="C245" s="30">
        <v>29</v>
      </c>
      <c r="D245" s="30" t="s">
        <v>360</v>
      </c>
      <c r="E245" s="30" t="s">
        <v>170</v>
      </c>
      <c r="F245" s="48">
        <v>46218</v>
      </c>
      <c r="G245" s="48">
        <v>46220</v>
      </c>
      <c r="H245" s="49">
        <v>0.41666666666666669</v>
      </c>
      <c r="I245" s="49">
        <v>0.33333333333333331</v>
      </c>
      <c r="J245" s="30" t="s">
        <v>361</v>
      </c>
      <c r="K245" s="30" t="s">
        <v>171</v>
      </c>
      <c r="L245" s="30">
        <v>0.5</v>
      </c>
      <c r="M245" s="30" t="s">
        <v>1150</v>
      </c>
      <c r="P245" s="30" t="s">
        <v>174</v>
      </c>
      <c r="Q245" s="30" t="s">
        <v>363</v>
      </c>
      <c r="R245" s="30" t="s">
        <v>374</v>
      </c>
      <c r="S245" s="30" t="s">
        <v>375</v>
      </c>
      <c r="T245" s="30" t="s">
        <v>1151</v>
      </c>
      <c r="U245" s="30" t="s">
        <v>1152</v>
      </c>
      <c r="V245" s="30" t="s">
        <v>1153</v>
      </c>
      <c r="W245" s="30" t="s">
        <v>1154</v>
      </c>
      <c r="X245" s="30" t="s">
        <v>180</v>
      </c>
      <c r="Y245" t="s">
        <v>180</v>
      </c>
      <c r="Z245" s="30" t="s">
        <v>180</v>
      </c>
      <c r="AA245" s="30" t="s">
        <v>181</v>
      </c>
      <c r="AB245" s="30" t="s">
        <v>55</v>
      </c>
      <c r="AC245" s="30" t="s">
        <v>56</v>
      </c>
      <c r="AD245" s="30" t="s">
        <v>57</v>
      </c>
      <c r="AE245" s="30">
        <v>20513040718</v>
      </c>
      <c r="AF245" s="30" t="s">
        <v>1035</v>
      </c>
      <c r="AG245" s="30" t="s">
        <v>1036</v>
      </c>
      <c r="AH245" s="30" t="s">
        <v>185</v>
      </c>
      <c r="AI245" s="30" t="s">
        <v>1037</v>
      </c>
      <c r="AJ245" s="30" t="s">
        <v>1038</v>
      </c>
      <c r="AK245" s="30" t="s">
        <v>1156</v>
      </c>
      <c r="AL245" s="30" t="s">
        <v>483</v>
      </c>
      <c r="AM245" t="s">
        <v>270</v>
      </c>
      <c r="AN245" s="30" t="s">
        <v>270</v>
      </c>
      <c r="AO245" s="30" t="s">
        <v>483</v>
      </c>
      <c r="AP245" s="30" t="s">
        <v>483</v>
      </c>
      <c r="AQ245" s="30" t="s">
        <v>483</v>
      </c>
      <c r="AR245" s="30" t="s">
        <v>483</v>
      </c>
      <c r="AS245" s="30" t="s">
        <v>63</v>
      </c>
      <c r="AT245" s="30" t="s">
        <v>380</v>
      </c>
      <c r="AU245" s="50">
        <v>46218.666666666664</v>
      </c>
      <c r="AV245" s="50">
        <v>46218.683333333334</v>
      </c>
      <c r="AW245" s="50">
        <v>46218.724305555559</v>
      </c>
      <c r="AX245" s="50">
        <v>46218.731249999997</v>
      </c>
      <c r="AY245" s="50">
        <v>46218.797222222223</v>
      </c>
      <c r="AZ245" s="50">
        <v>46218.838888888888</v>
      </c>
      <c r="BA245" s="51">
        <v>46220.507638888892</v>
      </c>
      <c r="BB245" s="51">
        <v>46220.507638888892</v>
      </c>
      <c r="BC245" s="50">
        <v>46220.53125</v>
      </c>
      <c r="BD245" s="50">
        <v>46220.535416666666</v>
      </c>
      <c r="BE245" s="51">
        <v>46220.552777777775</v>
      </c>
      <c r="BF245" s="51">
        <v>46220.563194444447</v>
      </c>
      <c r="BG245" s="51">
        <v>46220.576388888891</v>
      </c>
      <c r="BH245" s="51">
        <v>46220.588194444441</v>
      </c>
      <c r="BI245" s="30" t="s">
        <v>65</v>
      </c>
      <c r="BJ245" s="50">
        <v>46220.791666666664</v>
      </c>
      <c r="BK245" s="50">
        <v>46220.829861111109</v>
      </c>
      <c r="BL245" s="50">
        <v>46220.834722222222</v>
      </c>
      <c r="BM245" s="50">
        <v>46220.841666666667</v>
      </c>
      <c r="BN245" s="50">
        <v>46220.851388888892</v>
      </c>
      <c r="BR245"/>
      <c r="BS245"/>
      <c r="BT245"/>
      <c r="BU245"/>
      <c r="BV245"/>
      <c r="BW245"/>
      <c r="BX245"/>
      <c r="BY245"/>
    </row>
    <row r="246" spans="1:77">
      <c r="A246" t="s">
        <v>168</v>
      </c>
      <c r="B246" s="30">
        <v>27</v>
      </c>
      <c r="C246" s="30">
        <v>29</v>
      </c>
      <c r="D246" s="30" t="s">
        <v>169</v>
      </c>
      <c r="E246" s="30" t="s">
        <v>170</v>
      </c>
      <c r="F246" s="48">
        <v>46219</v>
      </c>
      <c r="G246" s="48">
        <v>46220</v>
      </c>
      <c r="H246" s="49">
        <v>0.41666666666666669</v>
      </c>
      <c r="I246" s="49">
        <v>0.33333333333333331</v>
      </c>
      <c r="J246" s="30" t="s">
        <v>53</v>
      </c>
      <c r="K246" s="30" t="s">
        <v>171</v>
      </c>
      <c r="L246" s="30">
        <v>1</v>
      </c>
      <c r="M246" s="30" t="s">
        <v>1157</v>
      </c>
      <c r="P246" s="30" t="s">
        <v>174</v>
      </c>
      <c r="Q246" s="30" t="s">
        <v>363</v>
      </c>
      <c r="R246" s="30" t="s">
        <v>374</v>
      </c>
      <c r="S246" s="30" t="s">
        <v>375</v>
      </c>
      <c r="T246" s="30" t="s">
        <v>1158</v>
      </c>
      <c r="U246" s="30" t="s">
        <v>1159</v>
      </c>
      <c r="V246" s="30" t="s">
        <v>1160</v>
      </c>
      <c r="W246" s="30" t="s">
        <v>1161</v>
      </c>
      <c r="X246" s="30" t="s">
        <v>180</v>
      </c>
      <c r="Y246" t="s">
        <v>180</v>
      </c>
      <c r="Z246" s="30" t="s">
        <v>180</v>
      </c>
      <c r="AA246" s="30" t="s">
        <v>181</v>
      </c>
      <c r="AB246" s="30" t="s">
        <v>55</v>
      </c>
      <c r="AC246" s="30" t="s">
        <v>92</v>
      </c>
      <c r="AD246" s="30" t="s">
        <v>1162</v>
      </c>
      <c r="AE246" s="30">
        <v>20614402246</v>
      </c>
      <c r="AF246" s="30" t="s">
        <v>1163</v>
      </c>
      <c r="AG246" s="30" t="s">
        <v>1164</v>
      </c>
      <c r="AH246" s="30" t="s">
        <v>185</v>
      </c>
      <c r="AI246" s="30" t="s">
        <v>1165</v>
      </c>
      <c r="AJ246" s="30" t="s">
        <v>1166</v>
      </c>
      <c r="AK246" s="30" t="s">
        <v>1167</v>
      </c>
      <c r="AL246" s="30" t="s">
        <v>483</v>
      </c>
      <c r="AM246" t="s">
        <v>270</v>
      </c>
      <c r="AN246" s="30" t="s">
        <v>270</v>
      </c>
      <c r="AO246" s="30" t="s">
        <v>483</v>
      </c>
      <c r="AP246" s="30" t="s">
        <v>483</v>
      </c>
      <c r="AQ246" s="30" t="s">
        <v>483</v>
      </c>
      <c r="AR246" s="30" t="s">
        <v>483</v>
      </c>
      <c r="AS246" s="30" t="s">
        <v>63</v>
      </c>
      <c r="AT246" s="30" t="s">
        <v>380</v>
      </c>
      <c r="AU246" s="50">
        <v>46219.583333333336</v>
      </c>
      <c r="AV246" s="50">
        <v>46219.576388888891</v>
      </c>
      <c r="AW246" s="50">
        <v>46219.603472222225</v>
      </c>
      <c r="AX246" s="50">
        <v>46219.605555555558</v>
      </c>
      <c r="AY246" s="50">
        <v>46219.61041666667</v>
      </c>
      <c r="AZ246" s="50">
        <v>46219.708333333336</v>
      </c>
      <c r="BA246" s="51">
        <v>46220.387499999997</v>
      </c>
      <c r="BB246" s="51">
        <v>46220.388888888891</v>
      </c>
      <c r="BC246" s="50">
        <v>46220.392361111109</v>
      </c>
      <c r="BD246" s="50">
        <v>46220.396527777775</v>
      </c>
      <c r="BE246" s="51">
        <v>46220.520833333336</v>
      </c>
      <c r="BF246" s="51">
        <v>46220.53125</v>
      </c>
      <c r="BG246" s="51">
        <v>46220.569444444445</v>
      </c>
      <c r="BH246" s="51">
        <v>46220.61041666667</v>
      </c>
      <c r="BI246" s="30" t="s">
        <v>65</v>
      </c>
      <c r="BJ246" s="50">
        <v>46221.5</v>
      </c>
      <c r="BK246" s="50">
        <v>46221.502083333333</v>
      </c>
      <c r="BL246" s="50">
        <v>46221.519444444442</v>
      </c>
      <c r="BM246" s="50">
        <v>46221.524305555555</v>
      </c>
      <c r="BN246" s="50">
        <v>46221.536111111112</v>
      </c>
      <c r="BR246"/>
      <c r="BS246"/>
      <c r="BT246"/>
      <c r="BU246"/>
      <c r="BV246"/>
      <c r="BW246"/>
      <c r="BX246"/>
      <c r="BY246"/>
    </row>
    <row r="247" spans="1:77">
      <c r="A247" t="s">
        <v>168</v>
      </c>
      <c r="B247" s="30">
        <v>28</v>
      </c>
      <c r="C247" s="30">
        <v>29</v>
      </c>
      <c r="D247" s="30" t="s">
        <v>169</v>
      </c>
      <c r="E247" s="30" t="s">
        <v>170</v>
      </c>
      <c r="F247" s="48">
        <v>46222</v>
      </c>
      <c r="G247" s="48">
        <v>46223</v>
      </c>
      <c r="H247" s="49">
        <v>0.41666666666666669</v>
      </c>
      <c r="I247" s="49">
        <v>0.33333333333333331</v>
      </c>
      <c r="J247" s="30" t="s">
        <v>53</v>
      </c>
      <c r="K247" s="30" t="s">
        <v>171</v>
      </c>
      <c r="L247" s="30">
        <v>1</v>
      </c>
      <c r="M247" s="30" t="s">
        <v>1168</v>
      </c>
      <c r="P247" s="30" t="s">
        <v>174</v>
      </c>
      <c r="Q247" s="30" t="s">
        <v>363</v>
      </c>
      <c r="R247" s="30" t="s">
        <v>548</v>
      </c>
      <c r="S247" s="30" t="s">
        <v>623</v>
      </c>
      <c r="T247" s="30" t="s">
        <v>1169</v>
      </c>
      <c r="U247" s="30" t="s">
        <v>1170</v>
      </c>
      <c r="V247" s="30" t="s">
        <v>1171</v>
      </c>
      <c r="W247" s="30" t="s">
        <v>1172</v>
      </c>
      <c r="X247" s="30" t="s">
        <v>179</v>
      </c>
      <c r="Y247" t="s">
        <v>1908</v>
      </c>
      <c r="Z247" s="30" t="s">
        <v>180</v>
      </c>
      <c r="AA247" s="30" t="s">
        <v>181</v>
      </c>
      <c r="AB247" s="30" t="s">
        <v>55</v>
      </c>
      <c r="AC247" s="30" t="s">
        <v>56</v>
      </c>
      <c r="AD247" s="30" t="s">
        <v>57</v>
      </c>
      <c r="AE247" s="30">
        <v>20513040718</v>
      </c>
      <c r="AF247" s="30" t="s">
        <v>1173</v>
      </c>
      <c r="AG247" s="30" t="s">
        <v>1174</v>
      </c>
      <c r="AH247" s="30" t="s">
        <v>185</v>
      </c>
      <c r="AI247" s="30" t="s">
        <v>1175</v>
      </c>
      <c r="AJ247" s="30" t="s">
        <v>1176</v>
      </c>
      <c r="AK247" s="30" t="s">
        <v>1177</v>
      </c>
      <c r="AL247" s="30" t="s">
        <v>483</v>
      </c>
      <c r="AM247" t="s">
        <v>270</v>
      </c>
      <c r="AN247" s="30" t="s">
        <v>270</v>
      </c>
      <c r="AO247" s="30" t="s">
        <v>483</v>
      </c>
      <c r="AP247" s="30" t="s">
        <v>483</v>
      </c>
      <c r="AQ247" s="30" t="s">
        <v>483</v>
      </c>
      <c r="AR247" s="30" t="s">
        <v>483</v>
      </c>
      <c r="AS247" s="30" t="s">
        <v>63</v>
      </c>
      <c r="AT247" s="30" t="s">
        <v>64</v>
      </c>
      <c r="AU247" s="50">
        <v>46222.416666666664</v>
      </c>
      <c r="AV247" s="50">
        <v>46222.439583333333</v>
      </c>
      <c r="AW247" s="50">
        <v>46222.449305555558</v>
      </c>
      <c r="AX247" s="50">
        <v>46222.451388888891</v>
      </c>
      <c r="AY247" s="50">
        <v>46222.515277777777</v>
      </c>
      <c r="AZ247" s="50">
        <v>46222.75</v>
      </c>
      <c r="BA247" s="51">
        <v>46223.397916666669</v>
      </c>
      <c r="BB247" s="51">
        <v>46223.399305555555</v>
      </c>
      <c r="BC247" s="50">
        <v>46223.402777777781</v>
      </c>
      <c r="BD247" s="50">
        <v>46223.406944444447</v>
      </c>
      <c r="BE247" s="51">
        <v>46223.597222222219</v>
      </c>
      <c r="BF247" s="51">
        <v>46223.607638888891</v>
      </c>
      <c r="BG247" s="51">
        <v>46223.659722222219</v>
      </c>
      <c r="BH247" s="51">
        <v>46223.695833333331</v>
      </c>
      <c r="BI247" s="30" t="s">
        <v>65</v>
      </c>
      <c r="BJ247" s="50">
        <v>46224.541666666664</v>
      </c>
      <c r="BK247" s="50">
        <v>46224.554861111108</v>
      </c>
      <c r="BL247" s="50">
        <v>46224.565972222219</v>
      </c>
      <c r="BM247" s="50">
        <v>46224.569444444445</v>
      </c>
      <c r="BN247" s="50">
        <v>46224.582638888889</v>
      </c>
      <c r="BR247"/>
      <c r="BS247"/>
      <c r="BT247"/>
      <c r="BU247"/>
      <c r="BV247"/>
      <c r="BW247"/>
      <c r="BX247"/>
      <c r="BY247"/>
    </row>
    <row r="248" spans="1:77">
      <c r="A248" t="s">
        <v>168</v>
      </c>
      <c r="B248" s="30">
        <v>29</v>
      </c>
      <c r="C248" s="30">
        <v>29</v>
      </c>
      <c r="D248" s="30" t="s">
        <v>169</v>
      </c>
      <c r="E248" s="30" t="s">
        <v>170</v>
      </c>
      <c r="F248" s="48">
        <v>46222</v>
      </c>
      <c r="G248" s="48">
        <v>46223</v>
      </c>
      <c r="H248" s="49">
        <v>0.41666666666666669</v>
      </c>
      <c r="I248" s="49">
        <v>0.33333333333333331</v>
      </c>
      <c r="J248" s="30" t="s">
        <v>53</v>
      </c>
      <c r="K248" s="30" t="s">
        <v>171</v>
      </c>
      <c r="L248" s="30">
        <v>1</v>
      </c>
      <c r="M248" s="30" t="s">
        <v>1178</v>
      </c>
      <c r="P248" s="30" t="s">
        <v>174</v>
      </c>
      <c r="Q248" s="30" t="s">
        <v>363</v>
      </c>
      <c r="R248" s="30" t="s">
        <v>175</v>
      </c>
      <c r="S248" s="30" t="s">
        <v>176</v>
      </c>
      <c r="T248" s="30" t="s">
        <v>1179</v>
      </c>
      <c r="U248" s="30" t="s">
        <v>1180</v>
      </c>
      <c r="V248" s="30" t="s">
        <v>1181</v>
      </c>
      <c r="W248" s="30" t="s">
        <v>1182</v>
      </c>
      <c r="X248" s="30" t="s">
        <v>179</v>
      </c>
      <c r="Y248" t="s">
        <v>1908</v>
      </c>
      <c r="Z248" s="30" t="s">
        <v>180</v>
      </c>
      <c r="AA248" s="30" t="s">
        <v>181</v>
      </c>
      <c r="AB248" s="30" t="s">
        <v>55</v>
      </c>
      <c r="AC248" s="30" t="s">
        <v>56</v>
      </c>
      <c r="AD248" s="30" t="s">
        <v>57</v>
      </c>
      <c r="AE248" s="30">
        <v>20513040718</v>
      </c>
      <c r="AF248" s="30" t="s">
        <v>1045</v>
      </c>
      <c r="AG248" s="30" t="s">
        <v>1046</v>
      </c>
      <c r="AH248" s="30" t="s">
        <v>185</v>
      </c>
      <c r="AI248" s="30" t="s">
        <v>1047</v>
      </c>
      <c r="AJ248" s="30" t="s">
        <v>1048</v>
      </c>
      <c r="AK248" s="30" t="s">
        <v>1183</v>
      </c>
      <c r="AL248" s="30" t="s">
        <v>483</v>
      </c>
      <c r="AM248" t="s">
        <v>270</v>
      </c>
      <c r="AN248" s="30" t="s">
        <v>270</v>
      </c>
      <c r="AO248" s="30" t="s">
        <v>483</v>
      </c>
      <c r="AP248" s="30" t="s">
        <v>483</v>
      </c>
      <c r="AQ248" s="30" t="s">
        <v>483</v>
      </c>
      <c r="AR248" s="30" t="s">
        <v>483</v>
      </c>
      <c r="AS248" s="30" t="s">
        <v>63</v>
      </c>
      <c r="AT248" s="30" t="s">
        <v>64</v>
      </c>
      <c r="AU248" s="50">
        <v>46222.458333333336</v>
      </c>
      <c r="AV248" s="50">
        <v>46222.45</v>
      </c>
      <c r="AW248" s="50">
        <v>46222.46597222222</v>
      </c>
      <c r="AX248" s="50">
        <v>46222.46875</v>
      </c>
      <c r="AY248" s="50">
        <v>46222.536805555559</v>
      </c>
      <c r="AZ248" s="50">
        <v>46222.791666666664</v>
      </c>
      <c r="BA248" s="51">
        <v>46223.395833333336</v>
      </c>
      <c r="BB248" s="51">
        <v>46223.399305555555</v>
      </c>
      <c r="BC248" s="50">
        <v>46223.402777777781</v>
      </c>
      <c r="BD248" s="50">
        <v>46223.406944444447</v>
      </c>
      <c r="BE248" s="51">
        <v>46223.534722222219</v>
      </c>
      <c r="BF248" s="51">
        <v>46223.545138888891</v>
      </c>
      <c r="BG248" s="51">
        <v>46223.576388888891</v>
      </c>
      <c r="BH248" s="51">
        <v>46223.590277777781</v>
      </c>
      <c r="BI248" s="30" t="s">
        <v>65</v>
      </c>
      <c r="BJ248" s="50">
        <v>46224.416666666664</v>
      </c>
      <c r="BK248" s="50">
        <v>46224.415277777778</v>
      </c>
      <c r="BL248" s="50">
        <v>46224.438888888886</v>
      </c>
      <c r="BM248" s="50">
        <v>46224.444444444445</v>
      </c>
      <c r="BN248" s="50">
        <v>46224.447222222225</v>
      </c>
      <c r="BR248"/>
      <c r="BS248"/>
      <c r="BT248"/>
      <c r="BU248"/>
      <c r="BV248"/>
      <c r="BW248"/>
      <c r="BX248"/>
      <c r="BY248"/>
    </row>
    <row r="249" spans="1:77">
      <c r="A249" t="s">
        <v>168</v>
      </c>
      <c r="B249" s="30">
        <v>30</v>
      </c>
      <c r="C249" s="30">
        <v>29</v>
      </c>
      <c r="D249" s="30" t="s">
        <v>169</v>
      </c>
      <c r="E249" s="30" t="s">
        <v>170</v>
      </c>
      <c r="F249" s="48">
        <v>46223</v>
      </c>
      <c r="G249" s="48">
        <v>46224</v>
      </c>
      <c r="H249" s="49">
        <v>0.41666666666666669</v>
      </c>
      <c r="I249" s="49">
        <v>0.33333333333333331</v>
      </c>
      <c r="J249" s="30" t="s">
        <v>53</v>
      </c>
      <c r="K249" s="30" t="s">
        <v>171</v>
      </c>
      <c r="L249" s="30">
        <v>1</v>
      </c>
      <c r="M249" s="30" t="s">
        <v>1184</v>
      </c>
      <c r="P249" s="30" t="s">
        <v>174</v>
      </c>
      <c r="Q249" s="30" t="s">
        <v>363</v>
      </c>
      <c r="R249" s="30" t="s">
        <v>175</v>
      </c>
      <c r="S249" s="30" t="s">
        <v>176</v>
      </c>
      <c r="T249" s="30" t="s">
        <v>1185</v>
      </c>
      <c r="U249" s="30" t="s">
        <v>1186</v>
      </c>
      <c r="V249" s="30" t="s">
        <v>1187</v>
      </c>
      <c r="W249" s="30" t="s">
        <v>1188</v>
      </c>
      <c r="X249" s="30" t="s">
        <v>179</v>
      </c>
      <c r="Y249" t="s">
        <v>1908</v>
      </c>
      <c r="Z249" s="30" t="s">
        <v>180</v>
      </c>
      <c r="AA249" s="30" t="s">
        <v>181</v>
      </c>
      <c r="AB249" s="30" t="s">
        <v>55</v>
      </c>
      <c r="AC249" s="30" t="s">
        <v>56</v>
      </c>
      <c r="AD249" s="30" t="s">
        <v>57</v>
      </c>
      <c r="AE249" s="30">
        <v>20513040718</v>
      </c>
      <c r="AF249" s="30" t="s">
        <v>1061</v>
      </c>
      <c r="AG249" s="30" t="s">
        <v>1062</v>
      </c>
      <c r="AH249" s="30" t="s">
        <v>185</v>
      </c>
      <c r="AI249" s="30" t="s">
        <v>1063</v>
      </c>
      <c r="AJ249" s="30" t="s">
        <v>1064</v>
      </c>
      <c r="AK249" s="30" t="s">
        <v>1189</v>
      </c>
      <c r="AL249" s="30" t="s">
        <v>483</v>
      </c>
      <c r="AM249" t="s">
        <v>270</v>
      </c>
      <c r="AN249" s="30" t="s">
        <v>270</v>
      </c>
      <c r="AO249" s="30" t="s">
        <v>483</v>
      </c>
      <c r="AP249" s="30" t="s">
        <v>483</v>
      </c>
      <c r="AQ249" s="30" t="s">
        <v>483</v>
      </c>
      <c r="AR249" s="30" t="s">
        <v>483</v>
      </c>
      <c r="AS249" s="30" t="s">
        <v>63</v>
      </c>
      <c r="AT249" s="30" t="s">
        <v>64</v>
      </c>
      <c r="AU249" s="50">
        <v>46223.5</v>
      </c>
      <c r="AV249" s="50">
        <v>46223.46875</v>
      </c>
      <c r="AW249" s="50">
        <v>46223.511111111111</v>
      </c>
      <c r="AX249" s="50">
        <v>46223.513888888891</v>
      </c>
      <c r="AY249" s="50">
        <v>46223.547222222223</v>
      </c>
      <c r="AZ249" s="50">
        <v>46223.708333333336</v>
      </c>
      <c r="BA249" s="51">
        <v>46224.394444444442</v>
      </c>
      <c r="BB249" s="51">
        <v>46224.399305555555</v>
      </c>
      <c r="BC249" s="50">
        <v>46224.402777777781</v>
      </c>
      <c r="BD249" s="50">
        <v>46224.406944444447</v>
      </c>
      <c r="BE249" s="51">
        <v>46224.604166666664</v>
      </c>
      <c r="BF249" s="51">
        <v>46224.614583333336</v>
      </c>
      <c r="BG249" s="51">
        <v>46224.645833333336</v>
      </c>
      <c r="BH249" s="51">
        <v>46224.692361111112</v>
      </c>
      <c r="BI249" s="30" t="s">
        <v>65</v>
      </c>
      <c r="BJ249" s="50">
        <v>46225.5</v>
      </c>
      <c r="BK249" s="50">
        <v>46225.492361111108</v>
      </c>
      <c r="BL249" s="50">
        <v>46225.5</v>
      </c>
      <c r="BM249" s="50">
        <v>46225.503472222219</v>
      </c>
      <c r="BN249" s="50">
        <v>46225.51458333333</v>
      </c>
      <c r="BR249"/>
      <c r="BS249"/>
      <c r="BT249"/>
      <c r="BU249"/>
      <c r="BV249"/>
      <c r="BW249"/>
      <c r="BX249"/>
      <c r="BY249"/>
    </row>
    <row r="250" spans="1:77">
      <c r="A250" t="s">
        <v>168</v>
      </c>
      <c r="B250" s="30">
        <v>31</v>
      </c>
      <c r="C250" s="30">
        <v>29</v>
      </c>
      <c r="D250" s="30" t="s">
        <v>169</v>
      </c>
      <c r="E250" s="30" t="s">
        <v>170</v>
      </c>
      <c r="F250" s="48">
        <v>46223</v>
      </c>
      <c r="G250" s="48">
        <v>46224</v>
      </c>
      <c r="H250" s="49">
        <v>0.41666666666666669</v>
      </c>
      <c r="I250" s="49">
        <v>0.33333333333333331</v>
      </c>
      <c r="J250" s="30" t="s">
        <v>53</v>
      </c>
      <c r="K250" s="30" t="s">
        <v>171</v>
      </c>
      <c r="L250" s="30">
        <v>1</v>
      </c>
      <c r="M250" s="30" t="s">
        <v>1190</v>
      </c>
      <c r="P250" s="30" t="s">
        <v>174</v>
      </c>
      <c r="Q250" s="30" t="s">
        <v>363</v>
      </c>
      <c r="R250" s="30" t="s">
        <v>175</v>
      </c>
      <c r="S250" s="30" t="s">
        <v>176</v>
      </c>
      <c r="T250" s="30" t="s">
        <v>1191</v>
      </c>
      <c r="U250" s="30" t="s">
        <v>1192</v>
      </c>
      <c r="V250" s="30" t="s">
        <v>1193</v>
      </c>
      <c r="W250" s="30" t="s">
        <v>1194</v>
      </c>
      <c r="X250" s="30" t="s">
        <v>179</v>
      </c>
      <c r="Y250" t="s">
        <v>1908</v>
      </c>
      <c r="Z250" s="30" t="s">
        <v>180</v>
      </c>
      <c r="AA250" s="30" t="s">
        <v>181</v>
      </c>
      <c r="AB250" s="30" t="s">
        <v>55</v>
      </c>
      <c r="AC250" s="30" t="s">
        <v>56</v>
      </c>
      <c r="AD250" s="30" t="s">
        <v>57</v>
      </c>
      <c r="AE250" s="30">
        <v>20513040718</v>
      </c>
      <c r="AF250" s="30" t="s">
        <v>1035</v>
      </c>
      <c r="AG250" s="30" t="s">
        <v>1036</v>
      </c>
      <c r="AH250" s="30" t="s">
        <v>185</v>
      </c>
      <c r="AI250" s="30" t="s">
        <v>1037</v>
      </c>
      <c r="AJ250" s="30" t="s">
        <v>1038</v>
      </c>
      <c r="AK250" s="30" t="s">
        <v>1195</v>
      </c>
      <c r="AL250" s="30" t="s">
        <v>483</v>
      </c>
      <c r="AM250" t="s">
        <v>270</v>
      </c>
      <c r="AN250" s="30" t="s">
        <v>270</v>
      </c>
      <c r="AO250" s="30" t="s">
        <v>483</v>
      </c>
      <c r="AP250" s="30" t="s">
        <v>483</v>
      </c>
      <c r="AQ250" s="30" t="s">
        <v>483</v>
      </c>
      <c r="AR250" s="30" t="s">
        <v>483</v>
      </c>
      <c r="AS250" s="30" t="s">
        <v>63</v>
      </c>
      <c r="AT250" s="30" t="s">
        <v>64</v>
      </c>
      <c r="AU250" s="50">
        <v>46223.5</v>
      </c>
      <c r="AV250" s="50">
        <v>46223.466666666667</v>
      </c>
      <c r="AW250" s="50">
        <v>46223.508333333331</v>
      </c>
      <c r="AX250" s="50">
        <v>46223.510416666664</v>
      </c>
      <c r="AY250" s="50">
        <v>46223.563194444447</v>
      </c>
      <c r="AZ250" s="50">
        <v>46223.708333333336</v>
      </c>
      <c r="BA250" s="51">
        <v>46224.395833333336</v>
      </c>
      <c r="BB250" s="51">
        <v>46224.399305555555</v>
      </c>
      <c r="BC250" s="50">
        <v>46224.402777777781</v>
      </c>
      <c r="BD250" s="50">
        <v>46224.406944444447</v>
      </c>
      <c r="BE250" s="51">
        <v>46224.402777777781</v>
      </c>
      <c r="BF250" s="51">
        <v>46224.413194444445</v>
      </c>
      <c r="BG250" s="51">
        <v>46224.597222222219</v>
      </c>
      <c r="BH250" s="51">
        <v>46224.697916666664</v>
      </c>
      <c r="BI250" s="30" t="s">
        <v>65</v>
      </c>
      <c r="BJ250" s="50">
        <v>46225.458333333336</v>
      </c>
      <c r="BK250" s="50">
        <v>46225.456944444442</v>
      </c>
      <c r="BL250" s="50">
        <v>46225.456944444442</v>
      </c>
      <c r="BM250" s="50">
        <v>46225.461111111108</v>
      </c>
      <c r="BN250" s="50">
        <v>46225.46875</v>
      </c>
      <c r="BR250"/>
      <c r="BS250"/>
      <c r="BT250"/>
      <c r="BU250"/>
      <c r="BV250"/>
      <c r="BW250"/>
      <c r="BX250"/>
      <c r="BY250"/>
    </row>
    <row r="251" spans="1:77">
      <c r="A251" t="s">
        <v>168</v>
      </c>
      <c r="B251" s="30">
        <v>32</v>
      </c>
      <c r="C251" s="30">
        <v>29</v>
      </c>
      <c r="D251" s="30" t="s">
        <v>169</v>
      </c>
      <c r="E251" s="30" t="s">
        <v>170</v>
      </c>
      <c r="F251" s="48">
        <v>46223</v>
      </c>
      <c r="G251" s="48">
        <v>46224</v>
      </c>
      <c r="H251" s="49">
        <v>0.41666666666666669</v>
      </c>
      <c r="I251" s="49">
        <v>0.33333333333333331</v>
      </c>
      <c r="J251" s="30" t="s">
        <v>53</v>
      </c>
      <c r="K251" s="30" t="s">
        <v>171</v>
      </c>
      <c r="L251" s="30">
        <v>1</v>
      </c>
      <c r="M251" s="30" t="s">
        <v>1196</v>
      </c>
      <c r="P251" s="30" t="s">
        <v>174</v>
      </c>
      <c r="Q251" s="30" t="s">
        <v>363</v>
      </c>
      <c r="R251" s="30" t="s">
        <v>175</v>
      </c>
      <c r="S251" s="30" t="s">
        <v>176</v>
      </c>
      <c r="T251" s="30" t="s">
        <v>1197</v>
      </c>
      <c r="U251" s="30" t="s">
        <v>1198</v>
      </c>
      <c r="V251" s="30" t="s">
        <v>1199</v>
      </c>
      <c r="W251" s="30" t="s">
        <v>1200</v>
      </c>
      <c r="X251" s="30" t="s">
        <v>179</v>
      </c>
      <c r="Y251" t="s">
        <v>1908</v>
      </c>
      <c r="Z251" s="30" t="s">
        <v>180</v>
      </c>
      <c r="AA251" s="30" t="s">
        <v>181</v>
      </c>
      <c r="AB251" s="30" t="s">
        <v>55</v>
      </c>
      <c r="AC251" s="30" t="s">
        <v>92</v>
      </c>
      <c r="AD251" s="30" t="s">
        <v>1117</v>
      </c>
      <c r="AE251" s="30">
        <v>20612886921</v>
      </c>
      <c r="AF251" s="30" t="s">
        <v>1201</v>
      </c>
      <c r="AG251" s="30" t="s">
        <v>1202</v>
      </c>
      <c r="AH251" s="30" t="s">
        <v>185</v>
      </c>
      <c r="AI251" s="30" t="s">
        <v>1203</v>
      </c>
      <c r="AJ251" s="30" t="s">
        <v>1204</v>
      </c>
      <c r="AK251" s="30" t="s">
        <v>1205</v>
      </c>
      <c r="AL251" s="30" t="s">
        <v>483</v>
      </c>
      <c r="AM251" t="s">
        <v>270</v>
      </c>
      <c r="AN251" s="30" t="s">
        <v>270</v>
      </c>
      <c r="AO251" s="30" t="s">
        <v>483</v>
      </c>
      <c r="AP251" s="30" t="s">
        <v>483</v>
      </c>
      <c r="AQ251" s="30" t="s">
        <v>483</v>
      </c>
      <c r="AR251" s="30" t="s">
        <v>483</v>
      </c>
      <c r="AS251" s="30" t="s">
        <v>63</v>
      </c>
      <c r="AT251" s="30" t="s">
        <v>64</v>
      </c>
      <c r="AU251" s="50">
        <v>46223.458333333336</v>
      </c>
      <c r="AV251" s="50">
        <v>46223.475694444445</v>
      </c>
      <c r="AW251" s="50">
        <v>46223.482638888891</v>
      </c>
      <c r="AX251" s="50">
        <v>46223.486111111109</v>
      </c>
      <c r="AY251" s="50">
        <v>46223.521527777775</v>
      </c>
      <c r="AZ251" s="50">
        <v>46223.701388888891</v>
      </c>
      <c r="BA251" s="51">
        <v>46224.265972222223</v>
      </c>
      <c r="BB251" s="51">
        <v>46224.267361111109</v>
      </c>
      <c r="BC251" s="50">
        <v>46224.270833333336</v>
      </c>
      <c r="BD251" s="50">
        <v>46224.275000000001</v>
      </c>
      <c r="BE251" s="51">
        <v>46224.597222222219</v>
      </c>
      <c r="BF251" s="51">
        <v>46224.607638888891</v>
      </c>
      <c r="BG251" s="51">
        <v>46224.673611111109</v>
      </c>
      <c r="BH251" s="51">
        <v>46224.697916666664</v>
      </c>
      <c r="BI251" s="30" t="s">
        <v>65</v>
      </c>
      <c r="BJ251" s="50">
        <v>46225.375</v>
      </c>
      <c r="BK251" s="50">
        <v>46225.384722222225</v>
      </c>
      <c r="BL251" s="50">
        <v>46225.397222222222</v>
      </c>
      <c r="BM251" s="50">
        <v>46225.399305555555</v>
      </c>
      <c r="BN251" s="50">
        <v>46225.411111111112</v>
      </c>
      <c r="BR251"/>
      <c r="BS251"/>
      <c r="BT251"/>
      <c r="BU251"/>
      <c r="BV251"/>
      <c r="BW251"/>
      <c r="BX251"/>
      <c r="BY251"/>
    </row>
    <row r="252" spans="1:77">
      <c r="A252" t="s">
        <v>168</v>
      </c>
      <c r="B252" s="30">
        <v>33</v>
      </c>
      <c r="C252" s="30">
        <v>29</v>
      </c>
      <c r="D252" s="30" t="s">
        <v>360</v>
      </c>
      <c r="E252" s="30" t="s">
        <v>170</v>
      </c>
      <c r="F252" s="48">
        <v>46223</v>
      </c>
      <c r="G252" s="48">
        <v>46224</v>
      </c>
      <c r="H252" s="49">
        <v>0.41666666666666669</v>
      </c>
      <c r="I252" s="49">
        <v>0.33333333333333331</v>
      </c>
      <c r="J252" s="30" t="s">
        <v>361</v>
      </c>
      <c r="K252" s="30" t="s">
        <v>171</v>
      </c>
      <c r="L252" s="30">
        <v>1</v>
      </c>
      <c r="M252" s="30" t="s">
        <v>1206</v>
      </c>
      <c r="P252" s="30" t="s">
        <v>174</v>
      </c>
      <c r="Q252" s="30" t="s">
        <v>363</v>
      </c>
      <c r="R252" s="30" t="s">
        <v>175</v>
      </c>
      <c r="S252" s="30" t="s">
        <v>176</v>
      </c>
      <c r="T252" s="30" t="s">
        <v>1207</v>
      </c>
      <c r="U252" s="30" t="s">
        <v>1208</v>
      </c>
      <c r="V252" s="30" t="s">
        <v>1209</v>
      </c>
      <c r="W252" s="30" t="s">
        <v>1210</v>
      </c>
      <c r="X252" s="30" t="s">
        <v>179</v>
      </c>
      <c r="Y252" t="s">
        <v>1908</v>
      </c>
      <c r="Z252" s="30" t="s">
        <v>180</v>
      </c>
      <c r="AA252" s="30" t="s">
        <v>181</v>
      </c>
      <c r="AB252" s="30" t="s">
        <v>55</v>
      </c>
      <c r="AC252" s="30" t="s">
        <v>92</v>
      </c>
      <c r="AD252" s="30" t="s">
        <v>1211</v>
      </c>
      <c r="AE252" s="30">
        <v>20482013423</v>
      </c>
      <c r="AF252" s="30" t="s">
        <v>1212</v>
      </c>
      <c r="AG252" s="30" t="s">
        <v>1213</v>
      </c>
      <c r="AH252" s="30" t="s">
        <v>185</v>
      </c>
      <c r="AI252" s="30" t="s">
        <v>1214</v>
      </c>
      <c r="AJ252" s="30" t="s">
        <v>1215</v>
      </c>
      <c r="AK252" s="30" t="s">
        <v>1216</v>
      </c>
      <c r="AL252" s="30" t="s">
        <v>483</v>
      </c>
      <c r="AM252" t="s">
        <v>270</v>
      </c>
      <c r="AN252" s="30" t="s">
        <v>270</v>
      </c>
      <c r="AO252" s="30" t="s">
        <v>483</v>
      </c>
      <c r="AP252" s="30" t="s">
        <v>483</v>
      </c>
      <c r="AQ252" s="30" t="s">
        <v>483</v>
      </c>
      <c r="AR252" s="30" t="s">
        <v>483</v>
      </c>
      <c r="AS252" s="30" t="s">
        <v>63</v>
      </c>
      <c r="AT252" s="30" t="s">
        <v>64</v>
      </c>
      <c r="AU252" s="50">
        <v>46223.458333333336</v>
      </c>
      <c r="AV252" s="50">
        <v>46223.484722222223</v>
      </c>
      <c r="AW252" s="50">
        <v>46223.489583333336</v>
      </c>
      <c r="AX252" s="50">
        <v>46223.493055555555</v>
      </c>
      <c r="AY252" s="50">
        <v>46223.523611111108</v>
      </c>
      <c r="AZ252" s="50">
        <v>46223.708333333336</v>
      </c>
      <c r="BA252" s="51">
        <v>46224.296527777777</v>
      </c>
      <c r="BB252" s="51">
        <v>46224.298611111109</v>
      </c>
      <c r="BC252" s="50">
        <v>46224.302083333336</v>
      </c>
      <c r="BD252" s="50">
        <v>46224.306250000001</v>
      </c>
      <c r="BE252" s="51">
        <v>46224.444444444445</v>
      </c>
      <c r="BF252" s="51">
        <v>46224.454861111109</v>
      </c>
      <c r="BG252" s="51">
        <v>46224.493055555555</v>
      </c>
      <c r="BH252" s="51">
        <v>46224.519444444442</v>
      </c>
      <c r="BI252" s="30" t="s">
        <v>65</v>
      </c>
      <c r="BJ252" s="50">
        <v>46224.708333333336</v>
      </c>
      <c r="BK252" s="50">
        <v>46224.740277777775</v>
      </c>
      <c r="BL252" s="50">
        <v>46224.746527777781</v>
      </c>
      <c r="BM252" s="50">
        <v>46224.748611111114</v>
      </c>
      <c r="BN252" s="50">
        <v>46224.753472222219</v>
      </c>
      <c r="BR252"/>
      <c r="BS252"/>
      <c r="BT252"/>
      <c r="BU252"/>
      <c r="BV252"/>
      <c r="BW252"/>
      <c r="BX252"/>
      <c r="BY252"/>
    </row>
    <row r="253" spans="1:77">
      <c r="A253" t="s">
        <v>168</v>
      </c>
      <c r="B253" s="30">
        <v>34</v>
      </c>
      <c r="C253" s="30">
        <v>30</v>
      </c>
      <c r="D253" s="30" t="s">
        <v>360</v>
      </c>
      <c r="E253" s="30" t="s">
        <v>170</v>
      </c>
      <c r="F253" s="48">
        <v>46224</v>
      </c>
      <c r="G253" s="48">
        <v>46225</v>
      </c>
      <c r="H253" s="49">
        <v>0.58333333333333337</v>
      </c>
      <c r="I253" s="49">
        <v>0.5</v>
      </c>
      <c r="J253" s="30" t="s">
        <v>361</v>
      </c>
      <c r="K253" s="30" t="s">
        <v>171</v>
      </c>
      <c r="L253" s="30">
        <v>1</v>
      </c>
      <c r="M253" s="30" t="s">
        <v>1217</v>
      </c>
      <c r="P253" s="30" t="s">
        <v>174</v>
      </c>
      <c r="Q253" s="30" t="s">
        <v>363</v>
      </c>
      <c r="R253" s="30" t="s">
        <v>175</v>
      </c>
      <c r="S253" s="30" t="s">
        <v>452</v>
      </c>
      <c r="T253" s="30" t="s">
        <v>1218</v>
      </c>
      <c r="U253" s="30" t="s">
        <v>1219</v>
      </c>
      <c r="V253" s="30" t="s">
        <v>1220</v>
      </c>
      <c r="W253" s="30" t="s">
        <v>1221</v>
      </c>
      <c r="X253" s="30" t="s">
        <v>179</v>
      </c>
      <c r="Y253" t="s">
        <v>180</v>
      </c>
      <c r="Z253" s="30" t="s">
        <v>180</v>
      </c>
      <c r="AA253" s="30" t="s">
        <v>181</v>
      </c>
      <c r="AB253" s="30" t="s">
        <v>55</v>
      </c>
      <c r="AC253" s="30" t="s">
        <v>56</v>
      </c>
      <c r="AD253" s="30" t="s">
        <v>57</v>
      </c>
      <c r="AE253" s="30">
        <v>20513040718</v>
      </c>
      <c r="AF253" s="30" t="s">
        <v>992</v>
      </c>
      <c r="AG253" s="30" t="s">
        <v>993</v>
      </c>
      <c r="AH253" s="30" t="s">
        <v>185</v>
      </c>
      <c r="AI253" s="30" t="s">
        <v>69</v>
      </c>
      <c r="AJ253" s="30" t="s">
        <v>70</v>
      </c>
      <c r="AK253" s="30" t="s">
        <v>1222</v>
      </c>
      <c r="AL253" s="30" t="s">
        <v>483</v>
      </c>
      <c r="AM253" t="s">
        <v>270</v>
      </c>
      <c r="AN253" s="30" t="s">
        <v>270</v>
      </c>
      <c r="AO253" s="30" t="s">
        <v>483</v>
      </c>
      <c r="AP253" s="30" t="s">
        <v>483</v>
      </c>
      <c r="AQ253" s="30" t="s">
        <v>483</v>
      </c>
      <c r="AR253" s="30" t="s">
        <v>483</v>
      </c>
      <c r="AS253" s="30" t="s">
        <v>63</v>
      </c>
      <c r="AT253" s="30" t="s">
        <v>64</v>
      </c>
      <c r="AU253" s="50">
        <v>46224.5</v>
      </c>
      <c r="AV253" s="50">
        <v>46224.481249999997</v>
      </c>
      <c r="AW253" s="50">
        <v>46224.5</v>
      </c>
      <c r="AX253" s="50">
        <v>46224.503472222219</v>
      </c>
      <c r="AY253" s="50">
        <v>46224.664583333331</v>
      </c>
      <c r="AZ253" s="50">
        <v>46224.75</v>
      </c>
      <c r="BA253" s="51">
        <v>46225.385416666664</v>
      </c>
      <c r="BB253" s="51">
        <v>46225.388888888891</v>
      </c>
      <c r="BC253" s="50">
        <v>46225.392361111109</v>
      </c>
      <c r="BD253" s="50">
        <v>46225.396527777775</v>
      </c>
      <c r="BE253" s="51">
        <v>46225.652777777781</v>
      </c>
      <c r="BF253" s="51">
        <v>46225.663194444445</v>
      </c>
      <c r="BG253" s="51">
        <v>46225.6875</v>
      </c>
      <c r="BH253" s="51">
        <v>46225.711805555555</v>
      </c>
      <c r="BI253" s="30" t="s">
        <v>65</v>
      </c>
      <c r="BJ253" s="50">
        <v>46225.916666666664</v>
      </c>
      <c r="BK253" s="50">
        <v>46225.922222222223</v>
      </c>
      <c r="BL253" s="50">
        <v>46225.927083333336</v>
      </c>
      <c r="BM253" s="50">
        <v>46225.929166666669</v>
      </c>
      <c r="BN253" s="50">
        <v>46225.93472222222</v>
      </c>
      <c r="BR253"/>
      <c r="BS253"/>
      <c r="BT253"/>
      <c r="BU253"/>
      <c r="BV253"/>
      <c r="BW253"/>
      <c r="BX253"/>
      <c r="BY253"/>
    </row>
    <row r="254" spans="1:77">
      <c r="A254" t="s">
        <v>168</v>
      </c>
      <c r="B254" s="30">
        <v>35</v>
      </c>
      <c r="C254" s="30">
        <v>30</v>
      </c>
      <c r="D254" s="30" t="s">
        <v>169</v>
      </c>
      <c r="E254" s="30" t="s">
        <v>170</v>
      </c>
      <c r="F254" s="48">
        <v>46226</v>
      </c>
      <c r="G254" s="48">
        <v>46227</v>
      </c>
      <c r="H254" s="49">
        <v>0.41666666666666669</v>
      </c>
      <c r="I254" s="49">
        <v>0.33333333333333331</v>
      </c>
      <c r="J254" s="30" t="s">
        <v>53</v>
      </c>
      <c r="K254" s="30" t="s">
        <v>171</v>
      </c>
      <c r="L254" s="30">
        <v>1</v>
      </c>
      <c r="M254" s="30" t="s">
        <v>1223</v>
      </c>
      <c r="P254" s="30" t="s">
        <v>174</v>
      </c>
      <c r="Q254" s="30" t="s">
        <v>363</v>
      </c>
      <c r="R254" s="30" t="s">
        <v>374</v>
      </c>
      <c r="S254" s="30" t="s">
        <v>375</v>
      </c>
      <c r="T254" s="30" t="s">
        <v>1224</v>
      </c>
      <c r="U254" s="30" t="s">
        <v>1225</v>
      </c>
      <c r="V254" s="30" t="s">
        <v>1226</v>
      </c>
      <c r="W254" s="30" t="s">
        <v>1227</v>
      </c>
      <c r="X254" s="30" t="s">
        <v>180</v>
      </c>
      <c r="Y254" t="s">
        <v>180</v>
      </c>
      <c r="Z254" s="30" t="s">
        <v>180</v>
      </c>
      <c r="AA254" s="30" t="s">
        <v>181</v>
      </c>
      <c r="AB254" s="30" t="s">
        <v>55</v>
      </c>
      <c r="AC254" s="30" t="s">
        <v>56</v>
      </c>
      <c r="AD254" s="30" t="s">
        <v>57</v>
      </c>
      <c r="AE254" s="30">
        <v>20513040718</v>
      </c>
      <c r="AF254" s="30" t="s">
        <v>67</v>
      </c>
      <c r="AG254" s="30" t="s">
        <v>68</v>
      </c>
      <c r="AH254" s="30" t="s">
        <v>185</v>
      </c>
      <c r="AI254" s="30" t="s">
        <v>73</v>
      </c>
      <c r="AJ254" s="30" t="s">
        <v>74</v>
      </c>
      <c r="AK254" s="30" t="s">
        <v>1228</v>
      </c>
      <c r="AL254" s="30" t="s">
        <v>483</v>
      </c>
      <c r="AM254" t="s">
        <v>270</v>
      </c>
      <c r="AN254" s="30" t="s">
        <v>270</v>
      </c>
      <c r="AO254" s="30" t="s">
        <v>483</v>
      </c>
      <c r="AP254" s="30" t="s">
        <v>483</v>
      </c>
      <c r="AQ254" s="30" t="s">
        <v>483</v>
      </c>
      <c r="AR254" s="30" t="s">
        <v>483</v>
      </c>
      <c r="AS254" s="30" t="s">
        <v>63</v>
      </c>
      <c r="AT254" s="30" t="s">
        <v>380</v>
      </c>
      <c r="AU254" s="50">
        <v>46226.458333333336</v>
      </c>
      <c r="AV254" s="50">
        <v>46226.468055555553</v>
      </c>
      <c r="AW254" s="50">
        <v>46226.474999999999</v>
      </c>
      <c r="AX254" s="50">
        <v>46226.481944444444</v>
      </c>
      <c r="AY254" s="50">
        <v>46226.56527777778</v>
      </c>
      <c r="AZ254" s="50">
        <v>46226.606944444444</v>
      </c>
      <c r="BA254" s="51">
        <v>46227.341666666667</v>
      </c>
      <c r="BB254" s="51">
        <v>46227.348611111112</v>
      </c>
      <c r="BC254" s="50">
        <v>46227.368055555555</v>
      </c>
      <c r="BD254" s="50">
        <v>46227.37222222222</v>
      </c>
      <c r="BE254" s="51">
        <v>46227.409722222219</v>
      </c>
      <c r="BF254" s="51">
        <v>46227.420138888891</v>
      </c>
      <c r="BG254" s="51">
        <v>46227.567361111112</v>
      </c>
      <c r="BH254" s="51">
        <v>46227.574305555558</v>
      </c>
      <c r="BI254" s="30" t="s">
        <v>65</v>
      </c>
      <c r="BJ254" s="50">
        <v>46228.375</v>
      </c>
      <c r="BK254" s="50">
        <v>46228.410416666666</v>
      </c>
      <c r="BL254" s="50">
        <v>46228.416666666664</v>
      </c>
      <c r="BM254" s="50">
        <v>46228.418055555558</v>
      </c>
      <c r="BN254" s="50">
        <v>46228.425694444442</v>
      </c>
      <c r="BR254"/>
      <c r="BS254"/>
      <c r="BT254"/>
      <c r="BU254"/>
      <c r="BV254"/>
      <c r="BW254"/>
      <c r="BX254"/>
      <c r="BY254"/>
    </row>
    <row r="255" spans="1:77">
      <c r="A255" t="s">
        <v>168</v>
      </c>
      <c r="B255" s="30">
        <v>36</v>
      </c>
      <c r="C255" s="30">
        <v>30</v>
      </c>
      <c r="D255" s="30" t="s">
        <v>169</v>
      </c>
      <c r="E255" s="30" t="s">
        <v>170</v>
      </c>
      <c r="F255" s="48">
        <v>46227</v>
      </c>
      <c r="G255" s="48">
        <v>46228</v>
      </c>
      <c r="H255" s="49">
        <v>0.41666666666666669</v>
      </c>
      <c r="I255" s="49">
        <v>0.33333333333333331</v>
      </c>
      <c r="J255" s="30" t="s">
        <v>53</v>
      </c>
      <c r="K255" s="30" t="s">
        <v>171</v>
      </c>
      <c r="L255" s="30">
        <v>1</v>
      </c>
      <c r="M255" s="30" t="s">
        <v>1229</v>
      </c>
      <c r="P255" s="30" t="s">
        <v>174</v>
      </c>
      <c r="Q255" s="30" t="s">
        <v>363</v>
      </c>
      <c r="R255" s="30" t="s">
        <v>175</v>
      </c>
      <c r="S255" s="30" t="s">
        <v>176</v>
      </c>
      <c r="T255" s="30" t="s">
        <v>1230</v>
      </c>
      <c r="U255" s="30" t="s">
        <v>1231</v>
      </c>
      <c r="V255" s="30" t="s">
        <v>1232</v>
      </c>
      <c r="W255" s="30" t="s">
        <v>1233</v>
      </c>
      <c r="X255" s="30" t="s">
        <v>179</v>
      </c>
      <c r="Y255" t="s">
        <v>1908</v>
      </c>
      <c r="Z255" s="30" t="s">
        <v>180</v>
      </c>
      <c r="AA255" s="30" t="s">
        <v>181</v>
      </c>
      <c r="AB255" s="30" t="s">
        <v>55</v>
      </c>
      <c r="AC255" s="30" t="s">
        <v>56</v>
      </c>
      <c r="AD255" s="30" t="s">
        <v>57</v>
      </c>
      <c r="AE255" s="30">
        <v>20513040718</v>
      </c>
      <c r="AF255" s="30" t="s">
        <v>1234</v>
      </c>
      <c r="AG255" s="30" t="s">
        <v>1235</v>
      </c>
      <c r="AH255" s="30" t="s">
        <v>185</v>
      </c>
      <c r="AI255" s="30" t="s">
        <v>1236</v>
      </c>
      <c r="AJ255" s="30" t="s">
        <v>1237</v>
      </c>
      <c r="AK255" s="30" t="s">
        <v>1238</v>
      </c>
      <c r="AL255" s="30" t="s">
        <v>483</v>
      </c>
      <c r="AM255" t="s">
        <v>270</v>
      </c>
      <c r="AN255" s="30" t="s">
        <v>270</v>
      </c>
      <c r="AO255" s="30" t="s">
        <v>483</v>
      </c>
      <c r="AP255" s="30" t="s">
        <v>483</v>
      </c>
      <c r="AQ255" s="30" t="s">
        <v>483</v>
      </c>
      <c r="AR255" s="30" t="s">
        <v>483</v>
      </c>
      <c r="AS255" s="30" t="s">
        <v>63</v>
      </c>
      <c r="AT255" s="30" t="s">
        <v>64</v>
      </c>
      <c r="AU255" s="50">
        <v>46227.458333333336</v>
      </c>
      <c r="AV255" s="50">
        <v>46227.489583333336</v>
      </c>
      <c r="AW255" s="50">
        <v>46227.513194444444</v>
      </c>
      <c r="AX255" s="50">
        <v>46227.520138888889</v>
      </c>
      <c r="AY255" s="50">
        <v>46227.646527777775</v>
      </c>
      <c r="AZ255" s="50">
        <v>46227.688194444447</v>
      </c>
      <c r="BA255" s="51">
        <v>46228.583333333336</v>
      </c>
      <c r="BB255" s="51">
        <v>46228.590277777781</v>
      </c>
      <c r="BC255" s="50">
        <v>46228.611111111109</v>
      </c>
      <c r="BD255" s="50">
        <v>46228.615277777775</v>
      </c>
      <c r="BE255" s="51">
        <v>46228.652777777781</v>
      </c>
      <c r="BF255" s="51">
        <v>46228.663194444445</v>
      </c>
      <c r="BG255" s="51">
        <v>46228.71597222222</v>
      </c>
      <c r="BH255" s="51">
        <v>46228.722916666666</v>
      </c>
      <c r="BI255" s="30" t="s">
        <v>65</v>
      </c>
      <c r="BJ255" s="50">
        <v>46229.416666666664</v>
      </c>
      <c r="BK255" s="50">
        <v>46229.442361111112</v>
      </c>
      <c r="BL255" s="50">
        <v>46229.445833333331</v>
      </c>
      <c r="BM255" s="50">
        <v>46229.448611111111</v>
      </c>
      <c r="BN255" s="50">
        <v>46229.456944444442</v>
      </c>
      <c r="BR255"/>
      <c r="BS255"/>
      <c r="BT255"/>
      <c r="BU255"/>
      <c r="BV255"/>
      <c r="BW255"/>
      <c r="BX255"/>
      <c r="BY255"/>
    </row>
    <row r="256" spans="1:77">
      <c r="A256" t="s">
        <v>168</v>
      </c>
      <c r="B256" s="30">
        <v>37</v>
      </c>
      <c r="C256" s="30">
        <v>30</v>
      </c>
      <c r="D256" s="30" t="s">
        <v>169</v>
      </c>
      <c r="E256" s="30" t="s">
        <v>170</v>
      </c>
      <c r="F256" s="48">
        <v>46227</v>
      </c>
      <c r="G256" s="48">
        <v>46228</v>
      </c>
      <c r="H256" s="49">
        <v>0.41666666666666669</v>
      </c>
      <c r="I256" s="49">
        <v>0.33333333333333331</v>
      </c>
      <c r="J256" s="30" t="s">
        <v>53</v>
      </c>
      <c r="K256" s="30" t="s">
        <v>171</v>
      </c>
      <c r="L256" s="30">
        <v>1</v>
      </c>
      <c r="M256" s="30" t="s">
        <v>1239</v>
      </c>
      <c r="P256" s="30" t="s">
        <v>174</v>
      </c>
      <c r="Q256" s="30" t="s">
        <v>363</v>
      </c>
      <c r="R256" s="30" t="s">
        <v>175</v>
      </c>
      <c r="S256" s="30" t="s">
        <v>176</v>
      </c>
      <c r="T256" s="30" t="s">
        <v>1240</v>
      </c>
      <c r="U256" s="30" t="s">
        <v>1241</v>
      </c>
      <c r="V256" s="30" t="s">
        <v>1242</v>
      </c>
      <c r="W256" s="30" t="s">
        <v>1243</v>
      </c>
      <c r="X256" s="30" t="s">
        <v>179</v>
      </c>
      <c r="Y256" t="s">
        <v>1908</v>
      </c>
      <c r="Z256" s="30" t="s">
        <v>180</v>
      </c>
      <c r="AA256" s="30" t="s">
        <v>181</v>
      </c>
      <c r="AB256" s="30" t="s">
        <v>55</v>
      </c>
      <c r="AC256" s="30" t="s">
        <v>56</v>
      </c>
      <c r="AD256" s="30" t="s">
        <v>57</v>
      </c>
      <c r="AE256" s="30">
        <v>20513040718</v>
      </c>
      <c r="AF256" s="30" t="s">
        <v>1244</v>
      </c>
      <c r="AG256" s="30" t="s">
        <v>1245</v>
      </c>
      <c r="AH256" s="30" t="s">
        <v>185</v>
      </c>
      <c r="AI256" s="30" t="s">
        <v>1246</v>
      </c>
      <c r="AJ256" s="30" t="s">
        <v>1247</v>
      </c>
      <c r="AK256" s="30" t="s">
        <v>1248</v>
      </c>
      <c r="AL256" s="30" t="s">
        <v>483</v>
      </c>
      <c r="AM256" t="s">
        <v>270</v>
      </c>
      <c r="AN256" s="30" t="s">
        <v>270</v>
      </c>
      <c r="AO256" s="30" t="s">
        <v>483</v>
      </c>
      <c r="AP256" s="30" t="s">
        <v>483</v>
      </c>
      <c r="AQ256" s="30" t="s">
        <v>483</v>
      </c>
      <c r="AR256" s="30" t="s">
        <v>483</v>
      </c>
      <c r="AS256" s="30" t="s">
        <v>63</v>
      </c>
      <c r="AT256" s="30" t="s">
        <v>64</v>
      </c>
      <c r="AU256" s="50">
        <v>46227.458333333336</v>
      </c>
      <c r="AV256" s="50">
        <v>46227.47152777778</v>
      </c>
      <c r="AW256" s="50">
        <v>46227.484722222223</v>
      </c>
      <c r="AX256" s="50">
        <v>46227.491666666669</v>
      </c>
      <c r="AY256" s="50">
        <v>46227.581250000003</v>
      </c>
      <c r="AZ256" s="50">
        <v>46227.622916666667</v>
      </c>
      <c r="BA256" s="51">
        <v>46228.570833333331</v>
      </c>
      <c r="BB256" s="51">
        <v>46228.577777777777</v>
      </c>
      <c r="BC256" s="50">
        <v>46228.597222222219</v>
      </c>
      <c r="BD256" s="50">
        <v>46228.601388888892</v>
      </c>
      <c r="BE256" s="51">
        <v>46228.638888888891</v>
      </c>
      <c r="BF256" s="51">
        <v>46228.649305555555</v>
      </c>
      <c r="BG256" s="51">
        <v>46228.708333333336</v>
      </c>
      <c r="BH256" s="51">
        <v>46228.713194444441</v>
      </c>
      <c r="BI256" s="30" t="s">
        <v>65</v>
      </c>
      <c r="BJ256" s="50">
        <v>46229.416666666664</v>
      </c>
      <c r="BK256" s="50">
        <v>46229.452777777777</v>
      </c>
      <c r="BL256" s="50">
        <v>46229.456250000003</v>
      </c>
      <c r="BM256" s="50">
        <v>46229.458333333336</v>
      </c>
      <c r="BN256" s="50">
        <v>46229.463194444441</v>
      </c>
      <c r="BR256"/>
      <c r="BS256"/>
      <c r="BT256"/>
      <c r="BU256"/>
      <c r="BV256"/>
      <c r="BW256"/>
      <c r="BX256"/>
      <c r="BY256"/>
    </row>
    <row r="257" spans="1:77">
      <c r="A257" t="s">
        <v>168</v>
      </c>
      <c r="B257" s="30">
        <v>38</v>
      </c>
      <c r="C257" s="30">
        <v>30</v>
      </c>
      <c r="D257" s="30" t="s">
        <v>169</v>
      </c>
      <c r="E257" s="30" t="s">
        <v>170</v>
      </c>
      <c r="F257" s="48">
        <v>46227</v>
      </c>
      <c r="G257" s="48">
        <v>46228</v>
      </c>
      <c r="H257" s="49">
        <v>0.41666666666666669</v>
      </c>
      <c r="I257" s="49">
        <v>0.33333333333333331</v>
      </c>
      <c r="J257" s="30" t="s">
        <v>53</v>
      </c>
      <c r="K257" s="30" t="s">
        <v>171</v>
      </c>
      <c r="L257" s="30">
        <v>1</v>
      </c>
      <c r="M257" s="30" t="s">
        <v>1249</v>
      </c>
      <c r="P257" s="30" t="s">
        <v>174</v>
      </c>
      <c r="Q257" s="30" t="s">
        <v>363</v>
      </c>
      <c r="R257" s="30" t="s">
        <v>548</v>
      </c>
      <c r="S257" s="30" t="s">
        <v>623</v>
      </c>
      <c r="T257" s="30" t="s">
        <v>1250</v>
      </c>
      <c r="U257" s="30" t="s">
        <v>1251</v>
      </c>
      <c r="V257" s="30" t="s">
        <v>1252</v>
      </c>
      <c r="W257" s="30" t="s">
        <v>1253</v>
      </c>
      <c r="X257" s="30" t="s">
        <v>179</v>
      </c>
      <c r="Y257" t="s">
        <v>1908</v>
      </c>
      <c r="Z257" s="30" t="s">
        <v>180</v>
      </c>
      <c r="AA257" s="30" t="s">
        <v>181</v>
      </c>
      <c r="AB257" s="30" t="s">
        <v>55</v>
      </c>
      <c r="AC257" s="30" t="s">
        <v>92</v>
      </c>
      <c r="AD257" s="30" t="s">
        <v>1117</v>
      </c>
      <c r="AE257" s="30">
        <v>20612886921</v>
      </c>
      <c r="AF257" s="30" t="s">
        <v>1118</v>
      </c>
      <c r="AG257" s="30" t="s">
        <v>1119</v>
      </c>
      <c r="AH257" s="30" t="s">
        <v>185</v>
      </c>
      <c r="AI257" s="30" t="s">
        <v>1120</v>
      </c>
      <c r="AJ257" s="30" t="s">
        <v>1121</v>
      </c>
      <c r="AK257" s="30" t="s">
        <v>1254</v>
      </c>
      <c r="AL257" s="30" t="s">
        <v>483</v>
      </c>
      <c r="AM257" t="s">
        <v>270</v>
      </c>
      <c r="AN257" s="30" t="s">
        <v>270</v>
      </c>
      <c r="AO257" s="30" t="s">
        <v>483</v>
      </c>
      <c r="AP257" s="30" t="s">
        <v>483</v>
      </c>
      <c r="AQ257" s="30" t="s">
        <v>483</v>
      </c>
      <c r="AR257" s="30" t="s">
        <v>483</v>
      </c>
      <c r="AS257" s="30" t="s">
        <v>63</v>
      </c>
      <c r="AT257" s="30" t="s">
        <v>64</v>
      </c>
      <c r="AU257" s="50">
        <v>46228.458333333336</v>
      </c>
      <c r="AV257" s="50">
        <v>46228.463888888888</v>
      </c>
      <c r="AW257" s="50">
        <v>46228.46875</v>
      </c>
      <c r="AX257" s="50">
        <v>46228.475694444445</v>
      </c>
      <c r="AY257" s="50">
        <v>46228.621527777781</v>
      </c>
      <c r="AZ257" s="50">
        <v>46228.663194444445</v>
      </c>
      <c r="BA257" s="51">
        <v>46229.315972222219</v>
      </c>
      <c r="BB257" s="51">
        <v>46229.322916666664</v>
      </c>
      <c r="BC257" s="50">
        <v>46229.340277777781</v>
      </c>
      <c r="BD257" s="50">
        <v>46229.344444444447</v>
      </c>
      <c r="BE257" s="51">
        <v>46229.381944444445</v>
      </c>
      <c r="BF257" s="51">
        <v>46229.392361111109</v>
      </c>
      <c r="BG257" s="51">
        <v>46229.736805555556</v>
      </c>
      <c r="BH257" s="51">
        <v>46229.729861111111</v>
      </c>
      <c r="BI257" s="30" t="s">
        <v>65</v>
      </c>
      <c r="BJ257" s="50">
        <v>46230.375</v>
      </c>
      <c r="BK257" s="50">
        <v>46230.404861111114</v>
      </c>
      <c r="BL257" s="50">
        <v>46230.413194444445</v>
      </c>
      <c r="BM257" s="50">
        <v>46230.416666666664</v>
      </c>
      <c r="BN257" s="50">
        <v>46230.42083333333</v>
      </c>
      <c r="BR257"/>
      <c r="BS257"/>
      <c r="BT257"/>
      <c r="BU257"/>
      <c r="BV257"/>
      <c r="BW257"/>
      <c r="BX257"/>
      <c r="BY257"/>
    </row>
    <row r="258" spans="1:77">
      <c r="A258" t="s">
        <v>168</v>
      </c>
      <c r="B258" s="30">
        <v>39</v>
      </c>
      <c r="C258" s="30">
        <v>30</v>
      </c>
      <c r="D258" s="30" t="s">
        <v>169</v>
      </c>
      <c r="E258" s="30" t="s">
        <v>170</v>
      </c>
      <c r="F258" s="48">
        <v>46227</v>
      </c>
      <c r="G258" s="48">
        <v>46228</v>
      </c>
      <c r="H258" s="49">
        <v>0.41666666666666669</v>
      </c>
      <c r="I258" s="49">
        <v>0.33333333333333331</v>
      </c>
      <c r="J258" s="30" t="s">
        <v>53</v>
      </c>
      <c r="K258" s="30" t="s">
        <v>171</v>
      </c>
      <c r="L258" s="30">
        <v>1</v>
      </c>
      <c r="M258" s="30" t="s">
        <v>1255</v>
      </c>
      <c r="P258" s="30" t="s">
        <v>174</v>
      </c>
      <c r="Q258" s="30" t="s">
        <v>363</v>
      </c>
      <c r="R258" s="30" t="s">
        <v>548</v>
      </c>
      <c r="S258" s="30" t="s">
        <v>623</v>
      </c>
      <c r="T258" s="30" t="s">
        <v>1256</v>
      </c>
      <c r="U258" s="30" t="s">
        <v>1257</v>
      </c>
      <c r="V258" s="30" t="s">
        <v>1258</v>
      </c>
      <c r="W258" s="30" t="s">
        <v>1259</v>
      </c>
      <c r="X258" s="30" t="s">
        <v>179</v>
      </c>
      <c r="Y258" t="s">
        <v>1908</v>
      </c>
      <c r="Z258" s="30" t="s">
        <v>180</v>
      </c>
      <c r="AA258" s="30" t="s">
        <v>181</v>
      </c>
      <c r="AB258" s="30" t="s">
        <v>55</v>
      </c>
      <c r="AC258" s="30" t="s">
        <v>92</v>
      </c>
      <c r="AD258" s="30" t="s">
        <v>1260</v>
      </c>
      <c r="AE258" s="30">
        <v>20611958651</v>
      </c>
      <c r="AF258" s="30" t="s">
        <v>1261</v>
      </c>
      <c r="AG258" s="30" t="s">
        <v>1262</v>
      </c>
      <c r="AH258" s="30" t="s">
        <v>185</v>
      </c>
      <c r="AI258" s="30" t="s">
        <v>1263</v>
      </c>
      <c r="AJ258" s="30" t="s">
        <v>1264</v>
      </c>
      <c r="AK258" s="30" t="s">
        <v>1265</v>
      </c>
      <c r="AL258" s="30" t="s">
        <v>483</v>
      </c>
      <c r="AM258" t="s">
        <v>270</v>
      </c>
      <c r="AN258" s="30" t="s">
        <v>270</v>
      </c>
      <c r="AO258" s="30" t="s">
        <v>483</v>
      </c>
      <c r="AP258" s="30" t="s">
        <v>483</v>
      </c>
      <c r="AQ258" s="30" t="s">
        <v>483</v>
      </c>
      <c r="AR258" s="30" t="s">
        <v>483</v>
      </c>
      <c r="AS258" s="30" t="s">
        <v>63</v>
      </c>
      <c r="AT258" s="30" t="s">
        <v>64</v>
      </c>
      <c r="AU258" s="50">
        <v>46228.458333333336</v>
      </c>
      <c r="AV258" s="50">
        <v>46228.458333333336</v>
      </c>
      <c r="AW258" s="50">
        <v>46228.493750000001</v>
      </c>
      <c r="AX258" s="50">
        <v>46228.5</v>
      </c>
      <c r="AY258" s="50">
        <v>46228.529861111114</v>
      </c>
      <c r="AZ258" s="50">
        <v>46228.571527777778</v>
      </c>
      <c r="BA258" s="51">
        <v>46229.524305555555</v>
      </c>
      <c r="BB258" s="51">
        <v>46229.53125</v>
      </c>
      <c r="BC258" s="50">
        <v>46229.548611111109</v>
      </c>
      <c r="BD258" s="50">
        <v>46229.552777777775</v>
      </c>
      <c r="BE258" s="51">
        <v>46229.590277777781</v>
      </c>
      <c r="BF258" s="51">
        <v>46229.600694444445</v>
      </c>
      <c r="BG258" s="51">
        <v>46229.743055555555</v>
      </c>
      <c r="BH258" s="51">
        <v>46229.736111111109</v>
      </c>
      <c r="BI258" s="30" t="s">
        <v>65</v>
      </c>
      <c r="BJ258" s="50">
        <v>46230.375</v>
      </c>
      <c r="BK258" s="50">
        <v>46230.382638888892</v>
      </c>
      <c r="BL258" s="50">
        <v>46230.38958333333</v>
      </c>
      <c r="BM258" s="50">
        <v>46230.396527777775</v>
      </c>
      <c r="BN258" s="50">
        <v>46230.414583333331</v>
      </c>
      <c r="BR258"/>
      <c r="BS258"/>
      <c r="BT258"/>
      <c r="BU258"/>
      <c r="BV258"/>
      <c r="BW258"/>
      <c r="BX258"/>
      <c r="BY258"/>
    </row>
    <row r="259" spans="1:77">
      <c r="A259" t="s">
        <v>168</v>
      </c>
      <c r="B259" s="30">
        <v>40</v>
      </c>
      <c r="C259" s="30">
        <v>30</v>
      </c>
      <c r="D259" s="30" t="s">
        <v>169</v>
      </c>
      <c r="E259" s="30" t="s">
        <v>170</v>
      </c>
      <c r="F259" s="48">
        <v>46227</v>
      </c>
      <c r="G259" s="48">
        <v>46228</v>
      </c>
      <c r="H259" s="49">
        <v>0.41666666666666669</v>
      </c>
      <c r="I259" s="49">
        <v>0.33333333333333331</v>
      </c>
      <c r="J259" s="30" t="s">
        <v>53</v>
      </c>
      <c r="K259" s="30" t="s">
        <v>171</v>
      </c>
      <c r="L259" s="30">
        <v>1</v>
      </c>
      <c r="M259" s="30" t="s">
        <v>1266</v>
      </c>
      <c r="P259" s="30" t="s">
        <v>174</v>
      </c>
      <c r="Q259" s="30" t="s">
        <v>363</v>
      </c>
      <c r="R259" s="30" t="s">
        <v>175</v>
      </c>
      <c r="S259" s="30" t="s">
        <v>176</v>
      </c>
      <c r="T259" s="30" t="s">
        <v>1267</v>
      </c>
      <c r="U259" s="30" t="s">
        <v>1268</v>
      </c>
      <c r="V259" s="30" t="s">
        <v>1269</v>
      </c>
      <c r="W259" s="30" t="s">
        <v>1270</v>
      </c>
      <c r="X259" s="30" t="s">
        <v>179</v>
      </c>
      <c r="Y259" t="s">
        <v>1908</v>
      </c>
      <c r="Z259" s="30" t="s">
        <v>180</v>
      </c>
      <c r="AA259" s="30" t="s">
        <v>181</v>
      </c>
      <c r="AB259" s="30" t="s">
        <v>55</v>
      </c>
      <c r="AC259" s="30" t="s">
        <v>56</v>
      </c>
      <c r="AD259" s="30" t="s">
        <v>57</v>
      </c>
      <c r="AE259" s="30">
        <v>20513040718</v>
      </c>
      <c r="AF259" s="30" t="s">
        <v>665</v>
      </c>
      <c r="AG259" s="30" t="s">
        <v>666</v>
      </c>
      <c r="AH259" s="30" t="s">
        <v>185</v>
      </c>
      <c r="AI259" s="30" t="s">
        <v>1087</v>
      </c>
      <c r="AJ259" s="30" t="s">
        <v>1088</v>
      </c>
      <c r="AK259" s="30" t="s">
        <v>1271</v>
      </c>
      <c r="AL259" s="30" t="s">
        <v>483</v>
      </c>
      <c r="AM259" t="s">
        <v>270</v>
      </c>
      <c r="AN259" s="30" t="s">
        <v>270</v>
      </c>
      <c r="AO259" s="30" t="s">
        <v>483</v>
      </c>
      <c r="AP259" s="30" t="s">
        <v>483</v>
      </c>
      <c r="AQ259" s="30" t="s">
        <v>483</v>
      </c>
      <c r="AR259" s="30" t="s">
        <v>483</v>
      </c>
      <c r="AS259" s="30" t="s">
        <v>63</v>
      </c>
      <c r="AT259" s="30" t="s">
        <v>64</v>
      </c>
      <c r="AU259" s="50">
        <v>46227.458333333336</v>
      </c>
      <c r="AV259" s="50">
        <v>46227.475694444445</v>
      </c>
      <c r="AW259" s="50">
        <v>46227.481249999997</v>
      </c>
      <c r="AX259" s="50">
        <v>46227.488194444442</v>
      </c>
      <c r="AY259" s="50">
        <v>46227.591666666667</v>
      </c>
      <c r="AZ259" s="50">
        <v>46227.633333333331</v>
      </c>
      <c r="BA259" s="51">
        <v>46228.366666666669</v>
      </c>
      <c r="BB259" s="51">
        <v>46228.373611111114</v>
      </c>
      <c r="BC259" s="50">
        <v>46228.388888888891</v>
      </c>
      <c r="BD259" s="50">
        <v>46228.393055555556</v>
      </c>
      <c r="BE259" s="51">
        <v>46228.430555555555</v>
      </c>
      <c r="BF259" s="51">
        <v>46228.440972222219</v>
      </c>
      <c r="BG259" s="51">
        <v>46228.708333333336</v>
      </c>
      <c r="BH259" s="51">
        <v>46228.71875</v>
      </c>
      <c r="BI259" s="30" t="s">
        <v>65</v>
      </c>
      <c r="BJ259" s="50">
        <v>46229.416666666664</v>
      </c>
      <c r="BK259" s="50">
        <v>46229.427777777775</v>
      </c>
      <c r="BL259" s="50">
        <v>46229.432638888888</v>
      </c>
      <c r="BM259" s="50">
        <v>46229.4375</v>
      </c>
      <c r="BN259" s="50">
        <v>46229.438888888886</v>
      </c>
      <c r="BR259"/>
      <c r="BS259"/>
      <c r="BT259"/>
      <c r="BU259"/>
      <c r="BV259"/>
      <c r="BW259"/>
      <c r="BX259"/>
      <c r="BY259"/>
    </row>
    <row r="260" spans="1:77">
      <c r="A260" t="s">
        <v>168</v>
      </c>
      <c r="B260" s="30">
        <v>41</v>
      </c>
      <c r="C260" s="30">
        <v>30</v>
      </c>
      <c r="D260" s="30" t="s">
        <v>360</v>
      </c>
      <c r="E260" s="30" t="s">
        <v>170</v>
      </c>
      <c r="F260" s="48">
        <v>46227</v>
      </c>
      <c r="G260" s="48">
        <v>46228</v>
      </c>
      <c r="H260" s="49">
        <v>0.41666666666666669</v>
      </c>
      <c r="I260" s="49">
        <v>0.33333333333333331</v>
      </c>
      <c r="J260" s="30" t="s">
        <v>361</v>
      </c>
      <c r="K260" s="30" t="s">
        <v>171</v>
      </c>
      <c r="L260" s="30">
        <v>1</v>
      </c>
      <c r="M260" s="30" t="s">
        <v>1272</v>
      </c>
      <c r="P260" s="30" t="s">
        <v>174</v>
      </c>
      <c r="Q260" s="30" t="s">
        <v>363</v>
      </c>
      <c r="R260" s="30" t="s">
        <v>175</v>
      </c>
      <c r="S260" s="30" t="s">
        <v>176</v>
      </c>
      <c r="T260" s="30" t="s">
        <v>1273</v>
      </c>
      <c r="U260" s="30" t="s">
        <v>1274</v>
      </c>
      <c r="V260" s="30" t="s">
        <v>1275</v>
      </c>
      <c r="W260" s="30" t="s">
        <v>1276</v>
      </c>
      <c r="X260" s="30" t="s">
        <v>179</v>
      </c>
      <c r="Y260" t="s">
        <v>1908</v>
      </c>
      <c r="Z260" s="30" t="s">
        <v>180</v>
      </c>
      <c r="AA260" s="30" t="s">
        <v>181</v>
      </c>
      <c r="AB260" s="30" t="s">
        <v>55</v>
      </c>
      <c r="AC260" s="30" t="s">
        <v>92</v>
      </c>
      <c r="AD260" s="30" t="s">
        <v>1277</v>
      </c>
      <c r="AE260" s="30">
        <v>20614402246</v>
      </c>
      <c r="AF260" s="30" t="s">
        <v>1163</v>
      </c>
      <c r="AG260" s="30" t="s">
        <v>1164</v>
      </c>
      <c r="AH260" s="30" t="s">
        <v>185</v>
      </c>
      <c r="AI260" s="30" t="s">
        <v>1165</v>
      </c>
      <c r="AJ260" s="30" t="s">
        <v>1166</v>
      </c>
      <c r="AK260" s="30" t="s">
        <v>1065</v>
      </c>
      <c r="AL260" s="30" t="s">
        <v>483</v>
      </c>
      <c r="AM260" t="s">
        <v>270</v>
      </c>
      <c r="AN260" s="30" t="s">
        <v>270</v>
      </c>
      <c r="AO260" s="30" t="s">
        <v>483</v>
      </c>
      <c r="AP260" s="30" t="s">
        <v>483</v>
      </c>
      <c r="AQ260" s="30" t="s">
        <v>483</v>
      </c>
      <c r="AR260" s="30" t="s">
        <v>483</v>
      </c>
      <c r="AS260" s="30" t="s">
        <v>63</v>
      </c>
      <c r="AT260" s="30" t="s">
        <v>64</v>
      </c>
      <c r="AU260" s="50">
        <v>46227.583333333336</v>
      </c>
      <c r="AV260" s="50">
        <v>46227.621527777781</v>
      </c>
      <c r="AW260" s="50">
        <v>46227.659722222219</v>
      </c>
      <c r="AX260" s="50">
        <v>46227.666666666664</v>
      </c>
      <c r="AY260" s="50">
        <v>46227.697222222225</v>
      </c>
      <c r="AZ260" s="50">
        <v>46227.738888888889</v>
      </c>
      <c r="BA260" s="51">
        <v>46228.434027777781</v>
      </c>
      <c r="BB260" s="51">
        <v>46228.440972222219</v>
      </c>
      <c r="BC260" s="50">
        <v>46228.458333333336</v>
      </c>
      <c r="BD260" s="50">
        <v>46228.462500000001</v>
      </c>
      <c r="BE260" s="51">
        <v>46228.5</v>
      </c>
      <c r="BF260" s="51">
        <v>46228.510416666664</v>
      </c>
      <c r="BG260" s="51">
        <v>46228.708333333336</v>
      </c>
      <c r="BH260" s="51">
        <v>46228.713194444441</v>
      </c>
      <c r="BI260" s="30" t="s">
        <v>65</v>
      </c>
      <c r="BJ260" s="50">
        <v>46229.5</v>
      </c>
      <c r="BK260" s="50">
        <v>46229.507638888892</v>
      </c>
      <c r="BL260" s="50">
        <v>46229.519444444442</v>
      </c>
      <c r="BM260" s="50">
        <v>46229.524305555555</v>
      </c>
      <c r="BN260" s="50">
        <v>46229.52847222222</v>
      </c>
      <c r="BR260"/>
      <c r="BS260"/>
      <c r="BT260"/>
      <c r="BU260"/>
      <c r="BV260"/>
      <c r="BW260"/>
      <c r="BX260"/>
      <c r="BY260"/>
    </row>
    <row r="261" spans="1:77">
      <c r="A261" t="s">
        <v>168</v>
      </c>
      <c r="B261" s="30">
        <v>42</v>
      </c>
      <c r="C261" s="30">
        <v>30</v>
      </c>
      <c r="D261" s="30" t="s">
        <v>169</v>
      </c>
      <c r="E261" s="30" t="s">
        <v>170</v>
      </c>
      <c r="F261" s="48">
        <v>46225</v>
      </c>
      <c r="G261" s="48">
        <v>46226</v>
      </c>
      <c r="H261" s="49">
        <v>0.41666666666666669</v>
      </c>
      <c r="I261" s="49">
        <v>0.33333333333333331</v>
      </c>
      <c r="J261" s="30" t="s">
        <v>53</v>
      </c>
      <c r="K261" s="30" t="s">
        <v>171</v>
      </c>
      <c r="L261" s="30">
        <v>0.5</v>
      </c>
      <c r="M261" s="30" t="s">
        <v>1278</v>
      </c>
      <c r="P261" s="30" t="s">
        <v>174</v>
      </c>
      <c r="Q261" s="30" t="s">
        <v>363</v>
      </c>
      <c r="R261" s="30" t="s">
        <v>374</v>
      </c>
      <c r="S261" s="30" t="s">
        <v>375</v>
      </c>
      <c r="T261" s="30" t="s">
        <v>1279</v>
      </c>
      <c r="U261" s="30" t="s">
        <v>1280</v>
      </c>
      <c r="V261" s="30" t="s">
        <v>1281</v>
      </c>
      <c r="W261" s="30" t="s">
        <v>1282</v>
      </c>
      <c r="X261" s="30" t="s">
        <v>180</v>
      </c>
      <c r="Y261" t="s">
        <v>180</v>
      </c>
      <c r="Z261" s="30" t="s">
        <v>180</v>
      </c>
      <c r="AA261" s="30" t="s">
        <v>181</v>
      </c>
      <c r="AB261" s="30" t="s">
        <v>55</v>
      </c>
      <c r="AC261" s="30" t="s">
        <v>56</v>
      </c>
      <c r="AD261" s="30" t="s">
        <v>57</v>
      </c>
      <c r="AE261" s="30">
        <v>20513040718</v>
      </c>
      <c r="AF261" s="30" t="s">
        <v>1173</v>
      </c>
      <c r="AG261" s="30" t="s">
        <v>1174</v>
      </c>
      <c r="AH261" s="30" t="s">
        <v>185</v>
      </c>
      <c r="AI261" s="30" t="s">
        <v>1175</v>
      </c>
      <c r="AJ261" s="30" t="s">
        <v>1176</v>
      </c>
      <c r="AK261" s="30" t="s">
        <v>1283</v>
      </c>
      <c r="AL261" s="30" t="s">
        <v>483</v>
      </c>
      <c r="AM261" t="s">
        <v>270</v>
      </c>
      <c r="AN261" s="30" t="s">
        <v>270</v>
      </c>
      <c r="AO261" s="30" t="s">
        <v>483</v>
      </c>
      <c r="AP261" s="30" t="s">
        <v>483</v>
      </c>
      <c r="AQ261" s="30" t="s">
        <v>483</v>
      </c>
      <c r="AR261" s="30" t="s">
        <v>483</v>
      </c>
      <c r="AS261" s="30" t="s">
        <v>63</v>
      </c>
      <c r="AT261" s="30" t="s">
        <v>380</v>
      </c>
      <c r="AU261" s="50">
        <v>46225.583333333336</v>
      </c>
      <c r="AV261" s="50">
        <v>46225.616666666669</v>
      </c>
      <c r="AW261" s="50">
        <v>46225.656944444447</v>
      </c>
      <c r="AX261" s="50">
        <v>46225.663194444445</v>
      </c>
      <c r="AY261" s="50">
        <v>46225.753472222219</v>
      </c>
      <c r="AZ261" s="50">
        <v>46225.795138888891</v>
      </c>
      <c r="BA261" s="51">
        <v>46226.52847222222</v>
      </c>
      <c r="BB261" s="51">
        <v>46226.535416666666</v>
      </c>
      <c r="BC261" s="50">
        <v>46226.552083333336</v>
      </c>
      <c r="BD261" s="50">
        <v>46226.556250000001</v>
      </c>
      <c r="BE261" s="51">
        <v>46226.572916666664</v>
      </c>
      <c r="BF261" s="51">
        <v>46226.583333333336</v>
      </c>
      <c r="BG261" s="51">
        <v>46226.65625</v>
      </c>
      <c r="BH261" s="51">
        <v>46226.663194444445</v>
      </c>
      <c r="BI261" s="30" t="s">
        <v>65</v>
      </c>
      <c r="BJ261" s="50">
        <v>46227.958333333336</v>
      </c>
      <c r="BK261" s="50">
        <v>46227.964583333334</v>
      </c>
      <c r="BL261" s="50">
        <v>46227.970833333333</v>
      </c>
      <c r="BM261" s="50">
        <v>46227.975694444445</v>
      </c>
      <c r="BN261" s="50">
        <v>46227.979861111111</v>
      </c>
      <c r="BR261"/>
      <c r="BS261"/>
      <c r="BT261"/>
      <c r="BU261"/>
      <c r="BV261"/>
      <c r="BW261"/>
      <c r="BX261"/>
      <c r="BY261"/>
    </row>
    <row r="262" spans="1:77">
      <c r="A262" t="s">
        <v>168</v>
      </c>
      <c r="B262" s="30">
        <v>43</v>
      </c>
      <c r="C262" s="30">
        <v>30</v>
      </c>
      <c r="D262" s="30" t="s">
        <v>360</v>
      </c>
      <c r="E262" s="30" t="s">
        <v>170</v>
      </c>
      <c r="F262" s="48">
        <v>46225</v>
      </c>
      <c r="G262" s="48">
        <v>46227</v>
      </c>
      <c r="H262" s="49">
        <v>0.41666666666666669</v>
      </c>
      <c r="I262" s="49">
        <v>0.33333333333333331</v>
      </c>
      <c r="J262" s="30" t="s">
        <v>361</v>
      </c>
      <c r="K262" s="30" t="s">
        <v>171</v>
      </c>
      <c r="L262" s="30">
        <v>0.5</v>
      </c>
      <c r="M262" s="30" t="s">
        <v>1278</v>
      </c>
      <c r="P262" s="30" t="s">
        <v>174</v>
      </c>
      <c r="Q262" s="30" t="s">
        <v>363</v>
      </c>
      <c r="R262" s="30" t="s">
        <v>374</v>
      </c>
      <c r="S262" s="30" t="s">
        <v>375</v>
      </c>
      <c r="T262" s="30" t="s">
        <v>1279</v>
      </c>
      <c r="U262" s="30" t="s">
        <v>1280</v>
      </c>
      <c r="V262" s="30" t="s">
        <v>1281</v>
      </c>
      <c r="W262" s="30" t="s">
        <v>1282</v>
      </c>
      <c r="X262" s="30" t="s">
        <v>180</v>
      </c>
      <c r="Y262" t="s">
        <v>180</v>
      </c>
      <c r="Z262" s="30" t="s">
        <v>180</v>
      </c>
      <c r="AA262" s="30" t="s">
        <v>181</v>
      </c>
      <c r="AB262" s="30" t="s">
        <v>55</v>
      </c>
      <c r="AC262" s="30" t="s">
        <v>56</v>
      </c>
      <c r="AD262" s="30" t="s">
        <v>57</v>
      </c>
      <c r="AE262" s="30">
        <v>20513040718</v>
      </c>
      <c r="AF262" s="30" t="s">
        <v>1173</v>
      </c>
      <c r="AG262" s="30" t="s">
        <v>1174</v>
      </c>
      <c r="AH262" s="30" t="s">
        <v>185</v>
      </c>
      <c r="AI262" s="30" t="s">
        <v>1175</v>
      </c>
      <c r="AJ262" s="30" t="s">
        <v>1176</v>
      </c>
      <c r="AK262" s="30" t="s">
        <v>1283</v>
      </c>
      <c r="AL262" s="30" t="s">
        <v>483</v>
      </c>
      <c r="AM262" t="s">
        <v>270</v>
      </c>
      <c r="AN262" s="30" t="s">
        <v>270</v>
      </c>
      <c r="AO262" s="30" t="s">
        <v>483</v>
      </c>
      <c r="AP262" s="30" t="s">
        <v>483</v>
      </c>
      <c r="AQ262" s="30" t="s">
        <v>483</v>
      </c>
      <c r="AR262" s="30" t="s">
        <v>483</v>
      </c>
      <c r="AS262" s="30" t="s">
        <v>63</v>
      </c>
      <c r="AT262" s="30" t="s">
        <v>380</v>
      </c>
      <c r="AU262" s="50">
        <v>46225.583333333336</v>
      </c>
      <c r="AV262" s="50">
        <v>46225.616666666669</v>
      </c>
      <c r="AW262" s="50">
        <v>46225.656944444447</v>
      </c>
      <c r="AX262" s="50">
        <v>46225.663194444445</v>
      </c>
      <c r="AY262" s="50">
        <v>46225.753472222219</v>
      </c>
      <c r="AZ262" s="50">
        <v>46225.795138888891</v>
      </c>
      <c r="BA262" s="51">
        <v>46227.404166666667</v>
      </c>
      <c r="BB262" s="51">
        <v>46227.404166666667</v>
      </c>
      <c r="BC262" s="50">
        <v>46227.458333333336</v>
      </c>
      <c r="BD262" s="50">
        <v>46227.462500000001</v>
      </c>
      <c r="BE262" s="51">
        <v>46227.5625</v>
      </c>
      <c r="BF262" s="51">
        <v>46227.572916666664</v>
      </c>
      <c r="BG262" s="51">
        <v>46227.588888888888</v>
      </c>
      <c r="BH262" s="51">
        <v>46227.625</v>
      </c>
      <c r="BI262" s="30" t="s">
        <v>65</v>
      </c>
      <c r="BJ262" s="50">
        <v>46227.958333333336</v>
      </c>
      <c r="BK262" s="50">
        <v>46227.964583333334</v>
      </c>
      <c r="BL262" s="50">
        <v>46227.970833333333</v>
      </c>
      <c r="BM262" s="50">
        <v>46227.975694444445</v>
      </c>
      <c r="BN262" s="50">
        <v>46227.979861111111</v>
      </c>
      <c r="BR262"/>
      <c r="BS262"/>
      <c r="BT262"/>
      <c r="BU262"/>
      <c r="BV262"/>
      <c r="BW262"/>
      <c r="BX262"/>
      <c r="BY262"/>
    </row>
    <row r="263" spans="1:77">
      <c r="A263" t="s">
        <v>168</v>
      </c>
      <c r="B263" s="30">
        <v>44</v>
      </c>
      <c r="C263" s="30">
        <v>30</v>
      </c>
      <c r="D263" s="30" t="s">
        <v>169</v>
      </c>
      <c r="E263" s="30" t="s">
        <v>170</v>
      </c>
      <c r="F263" s="48">
        <v>46225</v>
      </c>
      <c r="G263" s="48">
        <v>46226</v>
      </c>
      <c r="H263" s="49">
        <v>0.41666666666666669</v>
      </c>
      <c r="I263" s="49">
        <v>0.33333333333333331</v>
      </c>
      <c r="J263" s="30" t="s">
        <v>53</v>
      </c>
      <c r="K263" s="30" t="s">
        <v>171</v>
      </c>
      <c r="L263" s="30">
        <v>1</v>
      </c>
      <c r="M263" s="30" t="s">
        <v>1284</v>
      </c>
      <c r="P263" s="30" t="s">
        <v>174</v>
      </c>
      <c r="Q263" s="30" t="s">
        <v>363</v>
      </c>
      <c r="R263" s="30" t="s">
        <v>374</v>
      </c>
      <c r="S263" s="30" t="s">
        <v>375</v>
      </c>
      <c r="T263" s="30" t="s">
        <v>1285</v>
      </c>
      <c r="U263" s="30" t="s">
        <v>1286</v>
      </c>
      <c r="V263" s="30" t="s">
        <v>1287</v>
      </c>
      <c r="W263" s="30" t="s">
        <v>1288</v>
      </c>
      <c r="X263" s="30" t="s">
        <v>180</v>
      </c>
      <c r="Y263" t="s">
        <v>180</v>
      </c>
      <c r="Z263" s="30" t="s">
        <v>180</v>
      </c>
      <c r="AA263" s="30" t="s">
        <v>181</v>
      </c>
      <c r="AB263" s="30" t="s">
        <v>55</v>
      </c>
      <c r="AC263" s="30" t="s">
        <v>56</v>
      </c>
      <c r="AD263" s="30" t="s">
        <v>57</v>
      </c>
      <c r="AE263" s="30" t="s">
        <v>1088</v>
      </c>
      <c r="AF263" s="30" t="s">
        <v>665</v>
      </c>
      <c r="AG263" s="30" t="s">
        <v>666</v>
      </c>
      <c r="AH263" s="30" t="s">
        <v>185</v>
      </c>
      <c r="AI263" s="30" t="s">
        <v>1087</v>
      </c>
      <c r="AJ263" s="30" t="s">
        <v>1088</v>
      </c>
      <c r="AK263" s="30" t="s">
        <v>1271</v>
      </c>
      <c r="AL263" s="30" t="s">
        <v>483</v>
      </c>
      <c r="AM263" t="s">
        <v>270</v>
      </c>
      <c r="AN263" s="30" t="s">
        <v>270</v>
      </c>
      <c r="AO263" s="30" t="s">
        <v>483</v>
      </c>
      <c r="AP263" s="30" t="s">
        <v>483</v>
      </c>
      <c r="AQ263" s="30" t="s">
        <v>483</v>
      </c>
      <c r="AR263" s="30" t="s">
        <v>483</v>
      </c>
      <c r="AS263" s="30" t="s">
        <v>63</v>
      </c>
      <c r="AT263" s="30" t="s">
        <v>380</v>
      </c>
      <c r="AU263" s="50">
        <v>46225.583333333336</v>
      </c>
      <c r="AV263" s="50">
        <v>46225.604166666664</v>
      </c>
      <c r="AW263" s="50">
        <v>46225.604166666664</v>
      </c>
      <c r="AX263" s="50">
        <v>46225.614583333336</v>
      </c>
      <c r="AY263" s="50">
        <v>46225.665972222225</v>
      </c>
      <c r="AZ263" s="50">
        <v>46225.708333333336</v>
      </c>
      <c r="BA263" s="51">
        <v>46226.326388888891</v>
      </c>
      <c r="BB263" s="51">
        <v>46226.333333333336</v>
      </c>
      <c r="BC263" s="50">
        <v>46226.347222222219</v>
      </c>
      <c r="BD263" s="50">
        <v>46226.351388888892</v>
      </c>
      <c r="BE263" s="51">
        <v>46226.361111111109</v>
      </c>
      <c r="BF263" s="51">
        <v>46226.371527777781</v>
      </c>
      <c r="BG263" s="51">
        <v>46226.681944444441</v>
      </c>
      <c r="BH263" s="51">
        <v>46226.688888888886</v>
      </c>
      <c r="BI263" s="30" t="s">
        <v>65</v>
      </c>
      <c r="BJ263" s="50">
        <v>46227.416666666664</v>
      </c>
      <c r="BK263" s="50">
        <v>46227.438194444447</v>
      </c>
      <c r="BL263" s="50">
        <v>46227.442361111112</v>
      </c>
      <c r="BM263" s="50">
        <v>46227.447916666664</v>
      </c>
      <c r="BN263" s="50">
        <v>46227.453472222223</v>
      </c>
      <c r="BR263"/>
      <c r="BS263"/>
      <c r="BT263"/>
      <c r="BU263"/>
      <c r="BV263"/>
      <c r="BW263"/>
      <c r="BX263"/>
      <c r="BY263"/>
    </row>
    <row r="264" spans="1:77">
      <c r="A264" t="s">
        <v>168</v>
      </c>
      <c r="B264" s="30">
        <v>45</v>
      </c>
      <c r="C264" s="30">
        <v>30</v>
      </c>
      <c r="D264" s="30" t="s">
        <v>169</v>
      </c>
      <c r="E264" s="30" t="s">
        <v>170</v>
      </c>
      <c r="F264" s="48">
        <v>46232</v>
      </c>
      <c r="G264" s="48">
        <v>46233</v>
      </c>
      <c r="H264" s="49">
        <v>0.54166666666666663</v>
      </c>
      <c r="I264" s="49">
        <v>0.45833333333333331</v>
      </c>
      <c r="J264" s="30" t="s">
        <v>53</v>
      </c>
      <c r="K264" s="30" t="s">
        <v>171</v>
      </c>
      <c r="L264" s="30">
        <v>1</v>
      </c>
      <c r="M264" s="30" t="s">
        <v>1289</v>
      </c>
      <c r="P264" s="30" t="s">
        <v>174</v>
      </c>
      <c r="Q264" s="30" t="s">
        <v>363</v>
      </c>
      <c r="R264" s="30" t="s">
        <v>175</v>
      </c>
      <c r="S264" s="30" t="s">
        <v>452</v>
      </c>
      <c r="T264" s="30" t="s">
        <v>1290</v>
      </c>
      <c r="U264" s="30" t="s">
        <v>1291</v>
      </c>
      <c r="V264" s="30" t="s">
        <v>1258</v>
      </c>
      <c r="W264" s="30" t="s">
        <v>1292</v>
      </c>
      <c r="X264" s="30" t="s">
        <v>179</v>
      </c>
      <c r="Y264" t="s">
        <v>180</v>
      </c>
      <c r="Z264" s="30" t="s">
        <v>180</v>
      </c>
      <c r="AA264" s="30" t="s">
        <v>181</v>
      </c>
      <c r="AB264" s="30" t="s">
        <v>55</v>
      </c>
      <c r="AC264" s="30" t="s">
        <v>56</v>
      </c>
      <c r="AD264" s="30" t="s">
        <v>1117</v>
      </c>
      <c r="AE264" s="30">
        <v>20612886921</v>
      </c>
      <c r="AF264" s="30" t="s">
        <v>1293</v>
      </c>
      <c r="AG264" s="30" t="s">
        <v>1294</v>
      </c>
      <c r="AH264" s="30" t="s">
        <v>185</v>
      </c>
      <c r="AI264" s="30" t="s">
        <v>1295</v>
      </c>
      <c r="AJ264" s="30" t="s">
        <v>1296</v>
      </c>
      <c r="AK264" s="30" t="s">
        <v>1283</v>
      </c>
      <c r="AL264" s="30" t="s">
        <v>483</v>
      </c>
      <c r="AM264" t="s">
        <v>270</v>
      </c>
      <c r="AN264" s="30" t="s">
        <v>270</v>
      </c>
      <c r="AO264" s="30" t="s">
        <v>483</v>
      </c>
      <c r="AP264" s="30" t="s">
        <v>483</v>
      </c>
      <c r="AQ264" s="30" t="s">
        <v>483</v>
      </c>
      <c r="AR264" s="30" t="s">
        <v>483</v>
      </c>
      <c r="AS264" s="30" t="s">
        <v>63</v>
      </c>
      <c r="AT264" s="30" t="s">
        <v>64</v>
      </c>
      <c r="AU264" s="50">
        <v>46232.583333333336</v>
      </c>
      <c r="AV264" s="50">
        <v>46232.611805555556</v>
      </c>
      <c r="AW264" s="50">
        <v>46232.620833333334</v>
      </c>
      <c r="AX264" s="50">
        <v>46232.625</v>
      </c>
      <c r="AY264" s="50">
        <v>46232.675000000003</v>
      </c>
      <c r="AZ264" s="50">
        <v>46232.716666666667</v>
      </c>
      <c r="BA264" s="51">
        <v>46233.338194444441</v>
      </c>
      <c r="BB264" s="51">
        <v>46233.345138888886</v>
      </c>
      <c r="BC264" s="50">
        <v>46233.365972222222</v>
      </c>
      <c r="BD264" s="50">
        <v>46233.370138888888</v>
      </c>
      <c r="BE264" s="51">
        <v>46233.385416666664</v>
      </c>
      <c r="BF264" s="51">
        <v>46233.395833333336</v>
      </c>
      <c r="BG264" s="51">
        <v>46233.557638888888</v>
      </c>
      <c r="BH264" s="51">
        <v>46233.564583333333</v>
      </c>
      <c r="BI264" s="30" t="s">
        <v>65</v>
      </c>
      <c r="BJ264" s="50">
        <v>46234.333333333336</v>
      </c>
      <c r="BK264" s="50">
        <v>46234.368750000001</v>
      </c>
      <c r="BL264" s="50">
        <v>46234.375</v>
      </c>
      <c r="BM264" s="50">
        <v>46234.376388888886</v>
      </c>
      <c r="BN264" s="50">
        <v>46234.379861111112</v>
      </c>
      <c r="BR264"/>
      <c r="BS264"/>
      <c r="BT264"/>
      <c r="BU264"/>
      <c r="BV264"/>
      <c r="BW264"/>
      <c r="BX264"/>
      <c r="BY264"/>
    </row>
    <row r="265" spans="1:77">
      <c r="A265" t="s">
        <v>168</v>
      </c>
      <c r="B265" s="30">
        <v>46</v>
      </c>
      <c r="C265" s="30">
        <v>31</v>
      </c>
      <c r="D265" s="30" t="s">
        <v>169</v>
      </c>
      <c r="E265" s="30" t="s">
        <v>170</v>
      </c>
      <c r="F265" s="48">
        <v>46233</v>
      </c>
      <c r="G265" s="48">
        <v>46234</v>
      </c>
      <c r="H265" s="49">
        <v>0.41666666666666669</v>
      </c>
      <c r="I265" s="49">
        <v>0.33333333333333331</v>
      </c>
      <c r="J265" s="30" t="s">
        <v>53</v>
      </c>
      <c r="K265" s="30" t="s">
        <v>171</v>
      </c>
      <c r="L265" s="30">
        <v>1</v>
      </c>
      <c r="M265" s="30" t="s">
        <v>1297</v>
      </c>
      <c r="P265" s="30" t="s">
        <v>174</v>
      </c>
      <c r="Q265" s="30" t="s">
        <v>363</v>
      </c>
      <c r="R265" s="30" t="s">
        <v>374</v>
      </c>
      <c r="S265" s="30" t="s">
        <v>375</v>
      </c>
      <c r="T265" s="30" t="s">
        <v>1298</v>
      </c>
      <c r="U265" s="30" t="s">
        <v>1299</v>
      </c>
      <c r="V265" s="30" t="s">
        <v>1269</v>
      </c>
      <c r="W265" s="30" t="s">
        <v>1300</v>
      </c>
      <c r="X265" s="30" t="s">
        <v>180</v>
      </c>
      <c r="Y265" t="s">
        <v>180</v>
      </c>
      <c r="Z265" s="30" t="s">
        <v>180</v>
      </c>
      <c r="AA265" s="30" t="s">
        <v>181</v>
      </c>
      <c r="AB265" s="30" t="s">
        <v>55</v>
      </c>
      <c r="AC265" s="30" t="s">
        <v>92</v>
      </c>
      <c r="AD265" s="30" t="s">
        <v>78</v>
      </c>
      <c r="AE265" s="30">
        <v>20513040718</v>
      </c>
      <c r="AF265" s="30" t="s">
        <v>1173</v>
      </c>
      <c r="AG265" s="30" t="s">
        <v>1174</v>
      </c>
      <c r="AH265" s="30" t="s">
        <v>185</v>
      </c>
      <c r="AI265" s="30" t="s">
        <v>1175</v>
      </c>
      <c r="AJ265" s="30" t="s">
        <v>1176</v>
      </c>
      <c r="AK265" s="30" t="s">
        <v>1283</v>
      </c>
      <c r="AL265" s="30" t="s">
        <v>483</v>
      </c>
      <c r="AM265" t="s">
        <v>270</v>
      </c>
      <c r="AN265" s="30" t="s">
        <v>270</v>
      </c>
      <c r="AO265" s="30" t="s">
        <v>483</v>
      </c>
      <c r="AP265" s="30" t="s">
        <v>483</v>
      </c>
      <c r="AQ265" s="30" t="s">
        <v>483</v>
      </c>
      <c r="AR265" s="30" t="s">
        <v>483</v>
      </c>
      <c r="AS265" s="30" t="s">
        <v>63</v>
      </c>
      <c r="AT265" s="30" t="s">
        <v>380</v>
      </c>
      <c r="AU265" s="50">
        <v>46233.5</v>
      </c>
      <c r="AV265" s="50">
        <v>46233.493055555555</v>
      </c>
      <c r="AW265" s="50">
        <v>46233.50277777778</v>
      </c>
      <c r="AX265" s="50">
        <v>46233.53125</v>
      </c>
      <c r="AY265" s="50">
        <v>46233.570138888892</v>
      </c>
      <c r="AZ265" s="50">
        <v>46233.604166666664</v>
      </c>
      <c r="BA265" s="51">
        <v>46234.362500000003</v>
      </c>
      <c r="BB265" s="51">
        <v>46234.365277777775</v>
      </c>
      <c r="BC265" s="50">
        <v>46234.368055555555</v>
      </c>
      <c r="BD265" s="50">
        <v>46234.37222222222</v>
      </c>
      <c r="BE265" s="51">
        <v>46234.5</v>
      </c>
      <c r="BF265" s="51">
        <v>46234.510416666664</v>
      </c>
      <c r="BG265" s="51">
        <v>46234.581944444442</v>
      </c>
      <c r="BH265" s="51">
        <v>46234.586111111108</v>
      </c>
      <c r="BI265" s="30" t="s">
        <v>65</v>
      </c>
      <c r="BJ265" s="50">
        <v>46235.416666666664</v>
      </c>
      <c r="BK265" s="50">
        <v>46235.379166666666</v>
      </c>
      <c r="BL265" s="50">
        <v>46235.384027777778</v>
      </c>
      <c r="BM265" s="50">
        <v>46235.388888888891</v>
      </c>
      <c r="BN265" s="50">
        <v>46235.393055555556</v>
      </c>
      <c r="BR265"/>
      <c r="BS265"/>
      <c r="BT265"/>
      <c r="BU265"/>
      <c r="BV265"/>
      <c r="BW265"/>
      <c r="BX265"/>
      <c r="BY265"/>
    </row>
    <row r="266" spans="1:77">
      <c r="A266" t="s">
        <v>168</v>
      </c>
      <c r="B266" s="30">
        <v>47</v>
      </c>
      <c r="C266" s="30">
        <v>31</v>
      </c>
      <c r="D266" s="30" t="s">
        <v>169</v>
      </c>
      <c r="E266" s="30" t="s">
        <v>170</v>
      </c>
      <c r="F266" s="48">
        <v>46236</v>
      </c>
      <c r="G266" s="48">
        <v>46237</v>
      </c>
      <c r="H266" s="49">
        <v>0.41666666666666669</v>
      </c>
      <c r="I266" s="49">
        <v>0.33333333333333331</v>
      </c>
      <c r="J266" s="30" t="s">
        <v>53</v>
      </c>
      <c r="K266" s="30" t="s">
        <v>171</v>
      </c>
      <c r="L266" s="30">
        <v>1</v>
      </c>
      <c r="M266" s="30" t="s">
        <v>1301</v>
      </c>
      <c r="P266" s="30" t="s">
        <v>174</v>
      </c>
      <c r="Q266" s="30" t="s">
        <v>363</v>
      </c>
      <c r="R266" s="30" t="s">
        <v>548</v>
      </c>
      <c r="S266" s="30" t="s">
        <v>623</v>
      </c>
      <c r="T266" s="30" t="s">
        <v>1302</v>
      </c>
      <c r="U266" s="30" t="s">
        <v>1303</v>
      </c>
      <c r="V266" s="30" t="s">
        <v>1275</v>
      </c>
      <c r="W266" s="30" t="s">
        <v>1304</v>
      </c>
      <c r="X266" s="30" t="s">
        <v>179</v>
      </c>
      <c r="Y266" t="s">
        <v>1908</v>
      </c>
      <c r="Z266" s="30" t="s">
        <v>180</v>
      </c>
      <c r="AA266" s="30" t="s">
        <v>181</v>
      </c>
      <c r="AB266" s="30" t="s">
        <v>55</v>
      </c>
      <c r="AC266" s="30" t="s">
        <v>56</v>
      </c>
      <c r="AD266" s="30" t="s">
        <v>1117</v>
      </c>
      <c r="AE266" s="30">
        <v>20612886921</v>
      </c>
      <c r="AF266" s="30" t="s">
        <v>1305</v>
      </c>
      <c r="AG266" s="30" t="s">
        <v>1306</v>
      </c>
      <c r="AH266" s="30" t="s">
        <v>185</v>
      </c>
      <c r="AI266" s="30" t="s">
        <v>1307</v>
      </c>
      <c r="AJ266" s="30" t="s">
        <v>1800</v>
      </c>
      <c r="AK266" s="30" t="s">
        <v>1308</v>
      </c>
      <c r="AL266" s="30" t="s">
        <v>483</v>
      </c>
      <c r="AM266" t="s">
        <v>270</v>
      </c>
      <c r="AN266" s="30" t="s">
        <v>270</v>
      </c>
      <c r="AO266" s="30" t="s">
        <v>483</v>
      </c>
      <c r="AP266" s="30" t="s">
        <v>483</v>
      </c>
      <c r="AQ266" s="30" t="s">
        <v>483</v>
      </c>
      <c r="AR266" s="30" t="s">
        <v>483</v>
      </c>
      <c r="AS266" s="30" t="s">
        <v>63</v>
      </c>
      <c r="AT266" s="30" t="s">
        <v>64</v>
      </c>
      <c r="AU266" s="50">
        <v>46236.5</v>
      </c>
      <c r="AV266" s="50">
        <v>46236.487500000003</v>
      </c>
      <c r="AW266" s="50">
        <v>46236.489583333336</v>
      </c>
      <c r="AX266" s="50">
        <v>46236.559027777781</v>
      </c>
      <c r="AY266" s="50">
        <v>46236.595833333333</v>
      </c>
      <c r="AZ266" s="50">
        <v>46236.638888888891</v>
      </c>
      <c r="BA266" s="51">
        <v>46237.338888888888</v>
      </c>
      <c r="BB266" s="51">
        <v>46237.34097222222</v>
      </c>
      <c r="BC266" s="50">
        <v>46237.354166666664</v>
      </c>
      <c r="BD266" s="50">
        <v>46237.35833333333</v>
      </c>
      <c r="BE266" s="51">
        <v>46237.666666666664</v>
      </c>
      <c r="BF266" s="51">
        <v>46237.677083333336</v>
      </c>
      <c r="BG266" s="51">
        <v>46237.708333333336</v>
      </c>
      <c r="BH266" s="51">
        <v>46237.716666666667</v>
      </c>
      <c r="BI266" s="30" t="s">
        <v>65</v>
      </c>
      <c r="BJ266" s="50">
        <v>46238.416666666664</v>
      </c>
      <c r="BK266" s="50">
        <v>46238.37777777778</v>
      </c>
      <c r="BL266" s="50">
        <v>46238.383333333331</v>
      </c>
      <c r="BM266" s="50">
        <v>46238.385416666664</v>
      </c>
      <c r="BN266" s="50">
        <v>46238.388194444444</v>
      </c>
      <c r="BR266"/>
      <c r="BS266"/>
      <c r="BT266"/>
      <c r="BU266"/>
      <c r="BV266"/>
      <c r="BW266"/>
      <c r="BX266"/>
      <c r="BY266"/>
    </row>
    <row r="267" spans="1:77">
      <c r="A267" t="s">
        <v>168</v>
      </c>
      <c r="B267" s="30">
        <v>48</v>
      </c>
      <c r="C267" s="30">
        <v>31</v>
      </c>
      <c r="D267" s="30" t="s">
        <v>169</v>
      </c>
      <c r="E267" s="30" t="s">
        <v>170</v>
      </c>
      <c r="F267" s="48">
        <v>46236</v>
      </c>
      <c r="G267" s="48">
        <v>46237</v>
      </c>
      <c r="H267" s="49">
        <v>0.41666666666666669</v>
      </c>
      <c r="I267" s="49">
        <v>0.33333333333333331</v>
      </c>
      <c r="J267" s="30" t="s">
        <v>53</v>
      </c>
      <c r="K267" s="30" t="s">
        <v>171</v>
      </c>
      <c r="L267" s="30">
        <v>1</v>
      </c>
      <c r="M267" s="30" t="s">
        <v>1309</v>
      </c>
      <c r="P267" s="30" t="s">
        <v>174</v>
      </c>
      <c r="Q267" s="30" t="s">
        <v>363</v>
      </c>
      <c r="R267" s="30" t="s">
        <v>548</v>
      </c>
      <c r="S267" s="30" t="s">
        <v>623</v>
      </c>
      <c r="T267" s="30" t="s">
        <v>1310</v>
      </c>
      <c r="U267" s="30" t="s">
        <v>1311</v>
      </c>
      <c r="V267" s="30" t="s">
        <v>1281</v>
      </c>
      <c r="W267" s="30" t="s">
        <v>1312</v>
      </c>
      <c r="X267" s="30" t="s">
        <v>179</v>
      </c>
      <c r="Y267" t="s">
        <v>1908</v>
      </c>
      <c r="Z267" s="30" t="s">
        <v>180</v>
      </c>
      <c r="AA267" s="30" t="s">
        <v>181</v>
      </c>
      <c r="AB267" s="30" t="s">
        <v>55</v>
      </c>
      <c r="AC267" s="30" t="s">
        <v>56</v>
      </c>
      <c r="AD267" s="30" t="s">
        <v>1313</v>
      </c>
      <c r="AE267" s="30">
        <v>20601368766</v>
      </c>
      <c r="AF267" s="30" t="s">
        <v>1314</v>
      </c>
      <c r="AG267" s="30" t="s">
        <v>1315</v>
      </c>
      <c r="AH267" s="30" t="s">
        <v>185</v>
      </c>
      <c r="AI267" s="30" t="s">
        <v>1316</v>
      </c>
      <c r="AJ267" s="30" t="s">
        <v>1317</v>
      </c>
      <c r="AK267" s="30" t="s">
        <v>1283</v>
      </c>
      <c r="AL267" s="30" t="s">
        <v>483</v>
      </c>
      <c r="AM267" t="s">
        <v>270</v>
      </c>
      <c r="AN267" s="30" t="s">
        <v>270</v>
      </c>
      <c r="AO267" s="30" t="s">
        <v>483</v>
      </c>
      <c r="AP267" s="30" t="s">
        <v>483</v>
      </c>
      <c r="AQ267" s="30" t="s">
        <v>483</v>
      </c>
      <c r="AR267" s="30" t="s">
        <v>483</v>
      </c>
      <c r="AS267" s="30" t="s">
        <v>63</v>
      </c>
      <c r="AT267" s="30" t="s">
        <v>64</v>
      </c>
      <c r="AU267" s="50">
        <v>46236.5</v>
      </c>
      <c r="AV267" s="50">
        <v>46236.484722222223</v>
      </c>
      <c r="AW267" s="50">
        <v>46236.488194444442</v>
      </c>
      <c r="AX267" s="50">
        <v>46236.518055555556</v>
      </c>
      <c r="AY267" s="50">
        <v>46236.568055555559</v>
      </c>
      <c r="AZ267" s="50">
        <v>46236.611111111109</v>
      </c>
      <c r="BA267" s="51">
        <v>46237.342361111114</v>
      </c>
      <c r="BB267" s="51">
        <v>46237.345138888886</v>
      </c>
      <c r="BC267" s="50">
        <v>46237.348611111112</v>
      </c>
      <c r="BD267" s="50">
        <v>46237.352777777778</v>
      </c>
      <c r="BE267" s="51">
        <v>46237.659722222219</v>
      </c>
      <c r="BF267" s="51">
        <v>46237.670138888891</v>
      </c>
      <c r="BG267" s="51">
        <v>46237.71875</v>
      </c>
      <c r="BH267" s="51">
        <v>46237.726388888892</v>
      </c>
      <c r="BI267" s="30" t="s">
        <v>65</v>
      </c>
      <c r="BJ267" s="50">
        <v>46238.458333333336</v>
      </c>
      <c r="BK267" s="50">
        <v>46238.425694444442</v>
      </c>
      <c r="BL267" s="50">
        <v>46238.432638888888</v>
      </c>
      <c r="BM267" s="50">
        <v>46238.447222222225</v>
      </c>
      <c r="BN267" s="50">
        <v>46238.451388888891</v>
      </c>
      <c r="BR267"/>
      <c r="BS267"/>
      <c r="BT267"/>
      <c r="BU267"/>
      <c r="BV267"/>
      <c r="BW267"/>
      <c r="BX267"/>
      <c r="BY267"/>
    </row>
    <row r="268" spans="1:77">
      <c r="A268" t="s">
        <v>168</v>
      </c>
      <c r="B268" s="30">
        <v>49</v>
      </c>
      <c r="C268" s="30">
        <v>31</v>
      </c>
      <c r="D268" s="30" t="s">
        <v>169</v>
      </c>
      <c r="E268" s="30" t="s">
        <v>170</v>
      </c>
      <c r="F268" s="48">
        <v>46236</v>
      </c>
      <c r="G268" s="48">
        <v>46237</v>
      </c>
      <c r="H268" s="49">
        <v>0.41666666666666669</v>
      </c>
      <c r="I268" s="49">
        <v>0.33333333333333331</v>
      </c>
      <c r="J268" s="30" t="s">
        <v>53</v>
      </c>
      <c r="K268" s="30" t="s">
        <v>171</v>
      </c>
      <c r="L268" s="30">
        <v>1</v>
      </c>
      <c r="M268" s="30" t="s">
        <v>1318</v>
      </c>
      <c r="P268" s="30" t="s">
        <v>174</v>
      </c>
      <c r="Q268" s="30" t="s">
        <v>363</v>
      </c>
      <c r="R268" s="30" t="s">
        <v>175</v>
      </c>
      <c r="S268" s="30" t="s">
        <v>176</v>
      </c>
      <c r="T268" s="30" t="s">
        <v>1319</v>
      </c>
      <c r="U268" s="30" t="s">
        <v>1320</v>
      </c>
      <c r="V268" s="30" t="s">
        <v>1281</v>
      </c>
      <c r="W268" s="30" t="s">
        <v>1321</v>
      </c>
      <c r="X268" s="30" t="s">
        <v>179</v>
      </c>
      <c r="Y268" t="s">
        <v>1908</v>
      </c>
      <c r="Z268" s="30" t="s">
        <v>180</v>
      </c>
      <c r="AA268" s="30" t="s">
        <v>181</v>
      </c>
      <c r="AB268" s="30" t="s">
        <v>55</v>
      </c>
      <c r="AC268" s="30" t="s">
        <v>56</v>
      </c>
      <c r="AD268" s="30" t="s">
        <v>1322</v>
      </c>
      <c r="AE268" s="30">
        <v>20614402246</v>
      </c>
      <c r="AF268" s="30" t="s">
        <v>1163</v>
      </c>
      <c r="AG268" s="30" t="s">
        <v>1323</v>
      </c>
      <c r="AH268" s="30" t="s">
        <v>185</v>
      </c>
      <c r="AI268" s="30" t="s">
        <v>1165</v>
      </c>
      <c r="AJ268" s="30" t="s">
        <v>1166</v>
      </c>
      <c r="AK268" s="30" t="s">
        <v>1283</v>
      </c>
      <c r="AL268" s="30" t="s">
        <v>483</v>
      </c>
      <c r="AM268" t="s">
        <v>270</v>
      </c>
      <c r="AN268" s="30" t="s">
        <v>270</v>
      </c>
      <c r="AO268" s="30" t="s">
        <v>483</v>
      </c>
      <c r="AP268" s="30" t="s">
        <v>483</v>
      </c>
      <c r="AQ268" s="30" t="s">
        <v>483</v>
      </c>
      <c r="AR268" s="30" t="s">
        <v>483</v>
      </c>
      <c r="AS268" s="30" t="s">
        <v>63</v>
      </c>
      <c r="AT268" s="30" t="s">
        <v>64</v>
      </c>
      <c r="AU268" s="50">
        <v>46236.458333333336</v>
      </c>
      <c r="AV268" s="50">
        <v>46236.451388888891</v>
      </c>
      <c r="AW268" s="50">
        <v>46236.487500000003</v>
      </c>
      <c r="AX268" s="50">
        <v>46236.506944444445</v>
      </c>
      <c r="AY268" s="50">
        <v>46236.552083333336</v>
      </c>
      <c r="AZ268" s="50">
        <v>46236.604166666664</v>
      </c>
      <c r="BA268" s="51">
        <v>46237.472222222219</v>
      </c>
      <c r="BB268" s="51">
        <v>46237.474305555559</v>
      </c>
      <c r="BC268" s="50">
        <v>46237.520833333336</v>
      </c>
      <c r="BD268" s="50">
        <v>46237.525000000001</v>
      </c>
      <c r="BE268" s="51">
        <v>46237.729166666664</v>
      </c>
      <c r="BF268" s="51">
        <v>46237.739583333336</v>
      </c>
      <c r="BG268" s="51">
        <v>46237.809027777781</v>
      </c>
      <c r="BH268" s="51">
        <v>46237.818055555559</v>
      </c>
      <c r="BI268" s="30" t="s">
        <v>65</v>
      </c>
      <c r="BJ268" s="50">
        <v>46238.583333333336</v>
      </c>
      <c r="BK268" s="50">
        <v>46238.561805555553</v>
      </c>
      <c r="BL268" s="50">
        <v>46238.566666666666</v>
      </c>
      <c r="BM268" s="50">
        <v>46238.574999999997</v>
      </c>
      <c r="BN268" s="50">
        <v>46238.578472222223</v>
      </c>
      <c r="BR268"/>
      <c r="BS268"/>
      <c r="BT268"/>
      <c r="BU268"/>
      <c r="BV268"/>
      <c r="BW268"/>
      <c r="BX268"/>
      <c r="BY268"/>
    </row>
    <row r="269" spans="1:77">
      <c r="A269" t="s">
        <v>168</v>
      </c>
      <c r="B269" s="30">
        <v>50</v>
      </c>
      <c r="C269" s="30">
        <v>31</v>
      </c>
      <c r="D269" s="30" t="s">
        <v>169</v>
      </c>
      <c r="E269" s="30" t="s">
        <v>170</v>
      </c>
      <c r="F269" s="48">
        <v>46237</v>
      </c>
      <c r="G269" s="48">
        <v>46238</v>
      </c>
      <c r="H269" s="49">
        <v>0.41666666666666669</v>
      </c>
      <c r="I269" s="49">
        <v>0.33333333333333331</v>
      </c>
      <c r="J269" s="30" t="s">
        <v>53</v>
      </c>
      <c r="K269" s="30" t="s">
        <v>171</v>
      </c>
      <c r="L269" s="30">
        <v>1</v>
      </c>
      <c r="M269" s="30" t="s">
        <v>1324</v>
      </c>
      <c r="P269" s="30" t="s">
        <v>174</v>
      </c>
      <c r="Q269" s="30" t="s">
        <v>363</v>
      </c>
      <c r="R269" s="30" t="s">
        <v>175</v>
      </c>
      <c r="S269" s="30" t="s">
        <v>176</v>
      </c>
      <c r="T269" s="30" t="s">
        <v>1325</v>
      </c>
      <c r="U269" s="30" t="s">
        <v>1326</v>
      </c>
      <c r="V269" s="30" t="s">
        <v>1275</v>
      </c>
      <c r="W269" s="30" t="s">
        <v>1327</v>
      </c>
      <c r="X269" s="30" t="s">
        <v>179</v>
      </c>
      <c r="Y269" t="s">
        <v>1908</v>
      </c>
      <c r="Z269" s="30" t="s">
        <v>180</v>
      </c>
      <c r="AA269" s="30" t="s">
        <v>181</v>
      </c>
      <c r="AB269" s="30" t="s">
        <v>55</v>
      </c>
      <c r="AC269" s="30" t="s">
        <v>56</v>
      </c>
      <c r="AD269" s="30" t="s">
        <v>78</v>
      </c>
      <c r="AE269" s="30">
        <v>20513040718</v>
      </c>
      <c r="AF269" s="30" t="s">
        <v>1234</v>
      </c>
      <c r="AG269" s="30" t="s">
        <v>1235</v>
      </c>
      <c r="AH269" s="30" t="s">
        <v>185</v>
      </c>
      <c r="AI269" s="30" t="s">
        <v>1236</v>
      </c>
      <c r="AJ269" s="30" t="s">
        <v>1237</v>
      </c>
      <c r="AK269" s="30" t="s">
        <v>1328</v>
      </c>
      <c r="AL269" s="30" t="s">
        <v>483</v>
      </c>
      <c r="AM269" t="s">
        <v>270</v>
      </c>
      <c r="AN269" s="30" t="s">
        <v>270</v>
      </c>
      <c r="AO269" s="30" t="s">
        <v>483</v>
      </c>
      <c r="AP269" s="30" t="s">
        <v>483</v>
      </c>
      <c r="AQ269" s="30" t="s">
        <v>483</v>
      </c>
      <c r="AR269" s="30" t="s">
        <v>483</v>
      </c>
      <c r="AS269" s="30" t="s">
        <v>63</v>
      </c>
      <c r="AT269" s="30" t="s">
        <v>64</v>
      </c>
      <c r="AU269" s="50">
        <v>46237.5</v>
      </c>
      <c r="AV269" s="50">
        <v>46237.493055555555</v>
      </c>
      <c r="AW269" s="50">
        <v>46237.609722222223</v>
      </c>
      <c r="AX269" s="50">
        <v>46237.621527777781</v>
      </c>
      <c r="AY269" s="50">
        <v>46237.654861111114</v>
      </c>
      <c r="AZ269" s="50">
        <v>46237.696527777778</v>
      </c>
      <c r="BA269" s="51">
        <v>46238.468055555553</v>
      </c>
      <c r="BB269" s="51">
        <v>46238.46875</v>
      </c>
      <c r="BC269" s="50">
        <v>46238.472222222219</v>
      </c>
      <c r="BD269" s="50">
        <v>46238.48333333333</v>
      </c>
      <c r="BE269" s="51">
        <v>46238.53402777778</v>
      </c>
      <c r="BF269" s="51">
        <v>46238.549305555556</v>
      </c>
      <c r="BG269" s="51">
        <v>46238.564583333333</v>
      </c>
      <c r="BH269" s="51">
        <v>46238.614583333336</v>
      </c>
      <c r="BI269" s="30" t="s">
        <v>65</v>
      </c>
      <c r="BJ269" s="50">
        <v>46239.458333333336</v>
      </c>
      <c r="BK269" s="50">
        <v>46239.431944444441</v>
      </c>
      <c r="BL269" s="50">
        <v>46239.44027777778</v>
      </c>
      <c r="BM269" s="50">
        <v>46239.443749999999</v>
      </c>
      <c r="BN269" s="50">
        <v>46239.45</v>
      </c>
      <c r="BR269"/>
      <c r="BS269"/>
      <c r="BT269"/>
      <c r="BU269"/>
      <c r="BV269"/>
      <c r="BW269"/>
      <c r="BX269"/>
      <c r="BY269"/>
    </row>
    <row r="270" spans="1:77">
      <c r="A270" t="s">
        <v>168</v>
      </c>
      <c r="B270" s="30">
        <v>51</v>
      </c>
      <c r="C270" s="30">
        <v>31</v>
      </c>
      <c r="D270" s="30" t="s">
        <v>360</v>
      </c>
      <c r="E270" s="30" t="s">
        <v>170</v>
      </c>
      <c r="F270" s="48">
        <v>46237</v>
      </c>
      <c r="G270" s="48">
        <v>46238</v>
      </c>
      <c r="H270" s="49">
        <v>0.41666666666666669</v>
      </c>
      <c r="I270" s="49">
        <v>0.33333333333333331</v>
      </c>
      <c r="J270" s="30" t="s">
        <v>361</v>
      </c>
      <c r="K270" s="30" t="s">
        <v>171</v>
      </c>
      <c r="L270" s="30">
        <v>1</v>
      </c>
      <c r="M270" s="30" t="s">
        <v>1329</v>
      </c>
      <c r="P270" s="30" t="s">
        <v>174</v>
      </c>
      <c r="Q270" s="30" t="s">
        <v>363</v>
      </c>
      <c r="R270" s="30" t="s">
        <v>175</v>
      </c>
      <c r="S270" s="30" t="s">
        <v>176</v>
      </c>
      <c r="T270" s="30" t="s">
        <v>1330</v>
      </c>
      <c r="U270" s="30" t="s">
        <v>1331</v>
      </c>
      <c r="V270" s="30" t="s">
        <v>2145</v>
      </c>
      <c r="W270" s="30" t="s">
        <v>1332</v>
      </c>
      <c r="X270" s="30" t="s">
        <v>179</v>
      </c>
      <c r="Y270" t="s">
        <v>1908</v>
      </c>
      <c r="Z270" s="30" t="s">
        <v>180</v>
      </c>
      <c r="AA270" s="30" t="s">
        <v>181</v>
      </c>
      <c r="AB270" s="30" t="s">
        <v>55</v>
      </c>
      <c r="AC270" s="30" t="s">
        <v>92</v>
      </c>
      <c r="AD270" s="30" t="s">
        <v>1260</v>
      </c>
      <c r="AE270" s="30">
        <v>20611958651</v>
      </c>
      <c r="AF270" s="30" t="s">
        <v>1261</v>
      </c>
      <c r="AG270" s="30" t="s">
        <v>1333</v>
      </c>
      <c r="AH270" s="30" t="s">
        <v>185</v>
      </c>
      <c r="AI270" s="30" t="s">
        <v>1263</v>
      </c>
      <c r="AJ270" s="30" t="s">
        <v>1264</v>
      </c>
      <c r="AK270" s="30" t="s">
        <v>1334</v>
      </c>
      <c r="AL270" s="30" t="s">
        <v>483</v>
      </c>
      <c r="AM270" t="s">
        <v>270</v>
      </c>
      <c r="AN270" s="30" t="s">
        <v>270</v>
      </c>
      <c r="AO270" s="30" t="s">
        <v>483</v>
      </c>
      <c r="AP270" s="30" t="s">
        <v>483</v>
      </c>
      <c r="AQ270" s="30" t="s">
        <v>483</v>
      </c>
      <c r="AR270" s="30" t="s">
        <v>483</v>
      </c>
      <c r="AS270" s="30" t="s">
        <v>63</v>
      </c>
      <c r="AT270" s="30" t="s">
        <v>64</v>
      </c>
      <c r="AU270" s="50">
        <v>46237.458333333336</v>
      </c>
      <c r="AV270" s="50">
        <v>46237.476388888892</v>
      </c>
      <c r="AW270" s="50">
        <v>46237.486111111109</v>
      </c>
      <c r="AX270" s="50">
        <v>46237.5</v>
      </c>
      <c r="AY270" s="50">
        <v>46237.519444444442</v>
      </c>
      <c r="AZ270" s="50">
        <v>46237.561111111114</v>
      </c>
      <c r="BA270" s="51">
        <v>46238.468055555553</v>
      </c>
      <c r="BB270" s="51">
        <v>46238.470833333333</v>
      </c>
      <c r="BC270" s="50">
        <v>46238.479166666664</v>
      </c>
      <c r="BD270" s="50">
        <v>46238.48333333333</v>
      </c>
      <c r="BE270" s="51">
        <v>46238.5</v>
      </c>
      <c r="BF270" s="51">
        <v>46238.510416666664</v>
      </c>
      <c r="BG270" s="51">
        <v>46238.541666666664</v>
      </c>
      <c r="BH270" s="51">
        <v>46233.564583333333</v>
      </c>
      <c r="BI270" s="30" t="s">
        <v>65</v>
      </c>
      <c r="BJ270" s="50">
        <v>46238.75</v>
      </c>
      <c r="BK270" s="50">
        <v>46238.786805555559</v>
      </c>
      <c r="BL270" s="50">
        <v>46238.79583333333</v>
      </c>
      <c r="BM270" s="50">
        <v>46238.798611111109</v>
      </c>
      <c r="BN270" s="50">
        <v>46238.806944444441</v>
      </c>
      <c r="BR270"/>
      <c r="BS270"/>
      <c r="BT270"/>
      <c r="BU270"/>
      <c r="BV270"/>
      <c r="BW270"/>
      <c r="BX270"/>
      <c r="BY270"/>
    </row>
    <row r="271" spans="1:77">
      <c r="A271" t="s">
        <v>168</v>
      </c>
      <c r="B271" s="30">
        <v>52</v>
      </c>
      <c r="C271" s="30">
        <v>31</v>
      </c>
      <c r="D271" s="30" t="s">
        <v>169</v>
      </c>
      <c r="E271" s="30" t="s">
        <v>170</v>
      </c>
      <c r="F271" s="48">
        <v>46237</v>
      </c>
      <c r="G271" s="48">
        <v>46238</v>
      </c>
      <c r="H271" s="49">
        <v>0.58333333333333337</v>
      </c>
      <c r="I271" s="49">
        <v>0.5</v>
      </c>
      <c r="J271" s="30" t="s">
        <v>53</v>
      </c>
      <c r="K271" s="30" t="s">
        <v>171</v>
      </c>
      <c r="L271" s="30">
        <v>1</v>
      </c>
      <c r="M271" s="30" t="s">
        <v>1335</v>
      </c>
      <c r="P271" s="30" t="s">
        <v>174</v>
      </c>
      <c r="Q271" s="30" t="s">
        <v>363</v>
      </c>
      <c r="R271" s="30" t="s">
        <v>175</v>
      </c>
      <c r="S271" s="30" t="s">
        <v>176</v>
      </c>
      <c r="T271" s="30" t="s">
        <v>1336</v>
      </c>
      <c r="U271" s="30" t="s">
        <v>1337</v>
      </c>
      <c r="V271" s="30" t="s">
        <v>2146</v>
      </c>
      <c r="W271" s="30" t="s">
        <v>1338</v>
      </c>
      <c r="X271" s="30" t="s">
        <v>179</v>
      </c>
      <c r="Y271" t="s">
        <v>1908</v>
      </c>
      <c r="Z271" s="30" t="s">
        <v>180</v>
      </c>
      <c r="AA271" s="30" t="s">
        <v>181</v>
      </c>
      <c r="AB271" s="30" t="s">
        <v>55</v>
      </c>
      <c r="AC271" s="30" t="s">
        <v>56</v>
      </c>
      <c r="AD271" s="30" t="s">
        <v>78</v>
      </c>
      <c r="AE271" s="30">
        <v>20513040718</v>
      </c>
      <c r="AF271" s="30" t="s">
        <v>1035</v>
      </c>
      <c r="AG271" s="30" t="s">
        <v>1036</v>
      </c>
      <c r="AH271" s="30" t="s">
        <v>185</v>
      </c>
      <c r="AI271" s="30" t="s">
        <v>1037</v>
      </c>
      <c r="AJ271" s="30" t="s">
        <v>1038</v>
      </c>
      <c r="AK271" s="30" t="s">
        <v>1339</v>
      </c>
      <c r="AL271" s="30" t="s">
        <v>483</v>
      </c>
      <c r="AM271" t="s">
        <v>270</v>
      </c>
      <c r="AN271" s="30" t="s">
        <v>270</v>
      </c>
      <c r="AO271" s="30" t="s">
        <v>483</v>
      </c>
      <c r="AP271" s="30" t="s">
        <v>483</v>
      </c>
      <c r="AQ271" s="30" t="s">
        <v>483</v>
      </c>
      <c r="AR271" s="30" t="s">
        <v>483</v>
      </c>
      <c r="AS271" s="30" t="s">
        <v>63</v>
      </c>
      <c r="AT271" s="30" t="s">
        <v>64</v>
      </c>
      <c r="AU271" s="50">
        <v>46237.458333333336</v>
      </c>
      <c r="AV271" s="50">
        <v>46237.46875</v>
      </c>
      <c r="AW271" s="50">
        <v>46237.472222222219</v>
      </c>
      <c r="AX271" s="50">
        <v>46237.482638888891</v>
      </c>
      <c r="AY271" s="50">
        <v>46237.5</v>
      </c>
      <c r="AZ271" s="50">
        <v>46237.575694444444</v>
      </c>
      <c r="BA271" s="51">
        <v>46238.411111111112</v>
      </c>
      <c r="BB271" s="51">
        <v>46238.413194444445</v>
      </c>
      <c r="BC271" s="50">
        <v>46238.427083333336</v>
      </c>
      <c r="BD271" s="50">
        <v>46238.431944444441</v>
      </c>
      <c r="BE271" s="51">
        <v>46238.444444444445</v>
      </c>
      <c r="BF271" s="51">
        <v>46238.458333333336</v>
      </c>
      <c r="BG271" s="51">
        <v>46238.520833333336</v>
      </c>
      <c r="BH271" s="51">
        <v>46238.543749999997</v>
      </c>
      <c r="BI271" s="30" t="s">
        <v>65</v>
      </c>
      <c r="BJ271" s="50">
        <v>46239.291666666664</v>
      </c>
      <c r="BK271" s="50">
        <v>46239.29791666667</v>
      </c>
      <c r="BL271" s="50">
        <v>46239.303472222222</v>
      </c>
      <c r="BM271" s="50">
        <v>46239.305555555555</v>
      </c>
      <c r="BN271" s="50">
        <v>46239.30972222222</v>
      </c>
      <c r="BR271"/>
      <c r="BS271"/>
      <c r="BT271"/>
      <c r="BU271"/>
      <c r="BV271"/>
      <c r="BW271"/>
      <c r="BX271"/>
      <c r="BY271"/>
    </row>
    <row r="272" spans="1:77">
      <c r="A272" t="s">
        <v>168</v>
      </c>
      <c r="B272" s="30">
        <v>53</v>
      </c>
      <c r="C272" s="30">
        <v>31</v>
      </c>
      <c r="D272" s="30" t="s">
        <v>169</v>
      </c>
      <c r="E272" s="30" t="s">
        <v>170</v>
      </c>
      <c r="F272" s="48">
        <v>46237</v>
      </c>
      <c r="G272" s="48">
        <v>46238</v>
      </c>
      <c r="H272" s="49">
        <v>0.625</v>
      </c>
      <c r="I272" s="49">
        <v>0.54166666666666663</v>
      </c>
      <c r="J272" s="30" t="s">
        <v>53</v>
      </c>
      <c r="K272" s="30" t="s">
        <v>171</v>
      </c>
      <c r="L272" s="30">
        <v>1</v>
      </c>
      <c r="M272" s="30" t="s">
        <v>1340</v>
      </c>
      <c r="P272" s="30" t="s">
        <v>174</v>
      </c>
      <c r="Q272" s="30" t="s">
        <v>363</v>
      </c>
      <c r="R272" s="30" t="s">
        <v>175</v>
      </c>
      <c r="S272" s="30" t="s">
        <v>176</v>
      </c>
      <c r="T272" s="30" t="s">
        <v>1341</v>
      </c>
      <c r="U272" s="30" t="s">
        <v>1342</v>
      </c>
      <c r="V272" s="30" t="s">
        <v>2147</v>
      </c>
      <c r="W272" s="30" t="s">
        <v>1343</v>
      </c>
      <c r="X272" s="30" t="s">
        <v>179</v>
      </c>
      <c r="Y272" t="s">
        <v>1908</v>
      </c>
      <c r="Z272" s="30" t="s">
        <v>180</v>
      </c>
      <c r="AA272" s="30" t="s">
        <v>181</v>
      </c>
      <c r="AB272" s="30" t="s">
        <v>55</v>
      </c>
      <c r="AC272" s="30" t="s">
        <v>56</v>
      </c>
      <c r="AD272" s="30" t="s">
        <v>78</v>
      </c>
      <c r="AE272" s="30">
        <v>20513040718</v>
      </c>
      <c r="AF272" s="30" t="s">
        <v>665</v>
      </c>
      <c r="AG272" s="30" t="s">
        <v>666</v>
      </c>
      <c r="AH272" s="30" t="s">
        <v>185</v>
      </c>
      <c r="AI272" s="30" t="s">
        <v>1087</v>
      </c>
      <c r="AJ272" s="30" t="s">
        <v>1088</v>
      </c>
      <c r="AK272" s="30">
        <v>977846820</v>
      </c>
      <c r="AL272" s="30" t="s">
        <v>483</v>
      </c>
      <c r="AM272" t="s">
        <v>270</v>
      </c>
      <c r="AN272" s="30" t="s">
        <v>270</v>
      </c>
      <c r="AO272" s="30" t="s">
        <v>483</v>
      </c>
      <c r="AP272" s="30" t="s">
        <v>483</v>
      </c>
      <c r="AQ272" s="30" t="s">
        <v>483</v>
      </c>
      <c r="AR272" s="30" t="s">
        <v>483</v>
      </c>
      <c r="AS272" s="30" t="s">
        <v>63</v>
      </c>
      <c r="AT272" s="30" t="s">
        <v>64</v>
      </c>
      <c r="AU272" s="50">
        <v>46237.458333333336</v>
      </c>
      <c r="AV272" s="50">
        <v>46237.473611111112</v>
      </c>
      <c r="AW272" s="50">
        <v>46237.477083333331</v>
      </c>
      <c r="AX272" s="50">
        <v>46237.503472222219</v>
      </c>
      <c r="AY272" s="50">
        <v>46237.520833333336</v>
      </c>
      <c r="AZ272" s="50">
        <v>46237.625</v>
      </c>
      <c r="BA272" s="51">
        <v>46238.466666666667</v>
      </c>
      <c r="BB272" s="51">
        <v>46238.46875</v>
      </c>
      <c r="BC272" s="50">
        <v>46238.479166666664</v>
      </c>
      <c r="BD272" s="50">
        <v>46238.484722222223</v>
      </c>
      <c r="BE272" s="51">
        <v>46238.5</v>
      </c>
      <c r="BF272" s="51">
        <v>46238.513888888891</v>
      </c>
      <c r="BG272" s="51">
        <v>46238.583333333336</v>
      </c>
      <c r="BH272" s="51">
        <v>46238.60833333333</v>
      </c>
      <c r="BI272" s="30" t="s">
        <v>65</v>
      </c>
      <c r="BJ272" s="50">
        <v>46239.416666666664</v>
      </c>
      <c r="BK272" s="50">
        <v>46239.432638888888</v>
      </c>
      <c r="BL272" s="50">
        <v>46239.436805555553</v>
      </c>
      <c r="BM272" s="50">
        <v>46239.440972222219</v>
      </c>
      <c r="BN272" s="50">
        <v>46239.464583333334</v>
      </c>
      <c r="BR272"/>
      <c r="BS272"/>
      <c r="BT272"/>
      <c r="BU272"/>
      <c r="BV272"/>
      <c r="BW272"/>
      <c r="BX272"/>
      <c r="BY272"/>
    </row>
    <row r="273" spans="1:77">
      <c r="A273" t="s">
        <v>168</v>
      </c>
      <c r="B273" s="30">
        <v>54</v>
      </c>
      <c r="C273" s="30">
        <v>31</v>
      </c>
      <c r="D273" s="30" t="s">
        <v>169</v>
      </c>
      <c r="E273" s="30" t="s">
        <v>170</v>
      </c>
      <c r="F273" s="48">
        <v>46234</v>
      </c>
      <c r="G273" s="48">
        <v>46235</v>
      </c>
      <c r="H273" s="49">
        <v>0.58333333333333337</v>
      </c>
      <c r="I273" s="49">
        <v>0.5</v>
      </c>
      <c r="J273" s="30" t="s">
        <v>53</v>
      </c>
      <c r="K273" s="30" t="s">
        <v>171</v>
      </c>
      <c r="L273" s="30">
        <v>1</v>
      </c>
      <c r="M273" s="30" t="s">
        <v>1344</v>
      </c>
      <c r="P273" s="30" t="s">
        <v>174</v>
      </c>
      <c r="Q273" s="30" t="s">
        <v>363</v>
      </c>
      <c r="R273" s="30" t="s">
        <v>175</v>
      </c>
      <c r="S273" s="30" t="s">
        <v>176</v>
      </c>
      <c r="T273" s="30" t="s">
        <v>1345</v>
      </c>
      <c r="U273" s="30" t="s">
        <v>1346</v>
      </c>
      <c r="V273" s="30" t="s">
        <v>2148</v>
      </c>
      <c r="W273" s="30" t="s">
        <v>1347</v>
      </c>
      <c r="X273" s="30" t="s">
        <v>179</v>
      </c>
      <c r="Y273" t="s">
        <v>1908</v>
      </c>
      <c r="Z273" s="30" t="s">
        <v>180</v>
      </c>
      <c r="AA273" s="30" t="s">
        <v>181</v>
      </c>
      <c r="AB273" s="30" t="s">
        <v>55</v>
      </c>
      <c r="AC273" s="30" t="s">
        <v>92</v>
      </c>
      <c r="AD273" s="30" t="s">
        <v>1117</v>
      </c>
      <c r="AE273" s="30">
        <v>20612886921</v>
      </c>
      <c r="AF273" s="30" t="s">
        <v>1201</v>
      </c>
      <c r="AG273" s="30" t="s">
        <v>1202</v>
      </c>
      <c r="AH273" s="30" t="s">
        <v>185</v>
      </c>
      <c r="AI273" s="30" t="s">
        <v>1203</v>
      </c>
      <c r="AJ273" s="30" t="s">
        <v>1204</v>
      </c>
      <c r="AK273" s="30">
        <v>980865741</v>
      </c>
      <c r="AL273" s="30" t="s">
        <v>483</v>
      </c>
      <c r="AM273" t="s">
        <v>270</v>
      </c>
      <c r="AN273" s="30" t="s">
        <v>270</v>
      </c>
      <c r="AO273" s="30" t="s">
        <v>483</v>
      </c>
      <c r="AP273" s="30" t="s">
        <v>483</v>
      </c>
      <c r="AQ273" s="30" t="s">
        <v>483</v>
      </c>
      <c r="AR273" s="30" t="s">
        <v>483</v>
      </c>
      <c r="AS273" s="30" t="s">
        <v>63</v>
      </c>
      <c r="AT273" s="30" t="s">
        <v>64</v>
      </c>
      <c r="AU273" s="50">
        <v>46234.583333333336</v>
      </c>
      <c r="AV273" s="50">
        <v>46234.586111111108</v>
      </c>
      <c r="AW273" s="50">
        <v>46234.590277777781</v>
      </c>
      <c r="AX273" s="50">
        <v>46234.665972222225</v>
      </c>
      <c r="AY273" s="50">
        <v>46234.6875</v>
      </c>
      <c r="AZ273" s="50">
        <v>46234.727083333331</v>
      </c>
      <c r="BA273" s="51">
        <v>46235.390972222223</v>
      </c>
      <c r="BB273" s="51">
        <v>46235.394444444442</v>
      </c>
      <c r="BC273" s="50">
        <v>46235.40625</v>
      </c>
      <c r="BD273" s="50">
        <v>46235.416666666664</v>
      </c>
      <c r="BE273" s="51">
        <v>46235.430555555555</v>
      </c>
      <c r="BF273" s="51">
        <v>46235.451388888891</v>
      </c>
      <c r="BG273" s="51">
        <v>46235.729166666664</v>
      </c>
      <c r="BH273" s="51">
        <v>46235.746527777781</v>
      </c>
      <c r="BI273" s="30" t="s">
        <v>65</v>
      </c>
      <c r="BJ273" s="50">
        <v>46236.375</v>
      </c>
      <c r="BK273" s="50">
        <v>46236.4</v>
      </c>
      <c r="BL273" s="50">
        <v>46236.404166666667</v>
      </c>
      <c r="BM273" s="50">
        <v>46236.40625</v>
      </c>
      <c r="BN273" s="50">
        <v>46236.424305555556</v>
      </c>
      <c r="BR273"/>
      <c r="BS273"/>
      <c r="BT273"/>
      <c r="BU273"/>
      <c r="BV273"/>
      <c r="BW273"/>
      <c r="BX273"/>
      <c r="BY273"/>
    </row>
    <row r="274" spans="1:77">
      <c r="A274" t="s">
        <v>168</v>
      </c>
      <c r="B274" s="30">
        <v>55</v>
      </c>
      <c r="C274" s="30">
        <v>31</v>
      </c>
      <c r="D274" s="30" t="s">
        <v>169</v>
      </c>
      <c r="E274" s="30" t="s">
        <v>170</v>
      </c>
      <c r="F274" s="48">
        <v>46234</v>
      </c>
      <c r="G274" s="48">
        <v>46235</v>
      </c>
      <c r="H274" s="49">
        <v>0.41666666666666669</v>
      </c>
      <c r="I274" s="49">
        <v>0.33333333333333331</v>
      </c>
      <c r="J274" s="30" t="s">
        <v>53</v>
      </c>
      <c r="K274" s="30" t="s">
        <v>171</v>
      </c>
      <c r="L274" s="30">
        <v>1</v>
      </c>
      <c r="M274" s="30" t="s">
        <v>1348</v>
      </c>
      <c r="P274" s="30" t="s">
        <v>174</v>
      </c>
      <c r="Q274" s="30" t="s">
        <v>363</v>
      </c>
      <c r="R274" s="30" t="s">
        <v>175</v>
      </c>
      <c r="S274" s="30" t="s">
        <v>176</v>
      </c>
      <c r="T274" s="30" t="s">
        <v>1349</v>
      </c>
      <c r="U274" s="30" t="s">
        <v>1350</v>
      </c>
      <c r="V274" s="30" t="s">
        <v>2149</v>
      </c>
      <c r="W274" s="30" t="s">
        <v>1351</v>
      </c>
      <c r="X274" s="30" t="s">
        <v>179</v>
      </c>
      <c r="Y274" t="s">
        <v>1908</v>
      </c>
      <c r="Z274" s="30" t="s">
        <v>180</v>
      </c>
      <c r="AA274" s="30" t="s">
        <v>181</v>
      </c>
      <c r="AB274" s="30" t="s">
        <v>55</v>
      </c>
      <c r="AC274" s="30" t="s">
        <v>56</v>
      </c>
      <c r="AD274" s="30" t="s">
        <v>78</v>
      </c>
      <c r="AE274" s="30">
        <v>20513040718</v>
      </c>
      <c r="AF274" s="30" t="s">
        <v>878</v>
      </c>
      <c r="AG274" s="30" t="s">
        <v>1003</v>
      </c>
      <c r="AH274" s="30" t="s">
        <v>185</v>
      </c>
      <c r="AI274" s="30" t="s">
        <v>1352</v>
      </c>
      <c r="AJ274" s="30" t="s">
        <v>1353</v>
      </c>
      <c r="AK274" s="30">
        <v>981163289</v>
      </c>
      <c r="AL274" s="30" t="s">
        <v>483</v>
      </c>
      <c r="AM274" t="s">
        <v>270</v>
      </c>
      <c r="AN274" s="30" t="s">
        <v>270</v>
      </c>
      <c r="AO274" s="30" t="s">
        <v>483</v>
      </c>
      <c r="AP274" s="30" t="s">
        <v>483</v>
      </c>
      <c r="AQ274" s="30" t="s">
        <v>483</v>
      </c>
      <c r="AR274" s="30" t="s">
        <v>483</v>
      </c>
      <c r="AS274" s="30" t="s">
        <v>63</v>
      </c>
      <c r="AT274" s="30" t="s">
        <v>64</v>
      </c>
      <c r="AU274" s="50">
        <v>46234.625</v>
      </c>
      <c r="AV274" s="50">
        <v>46234.657638888886</v>
      </c>
      <c r="AW274" s="50">
        <v>46234.661111111112</v>
      </c>
      <c r="AX274" s="50">
        <v>46234.666666666664</v>
      </c>
      <c r="AY274" s="50">
        <v>46234.6875</v>
      </c>
      <c r="AZ274" s="50">
        <v>46234.703472222223</v>
      </c>
      <c r="BA274" s="51">
        <v>46235.636111111111</v>
      </c>
      <c r="BB274" s="51">
        <v>46235.638888888891</v>
      </c>
      <c r="BC274" s="50">
        <v>46235.649305555555</v>
      </c>
      <c r="BD274" s="50">
        <v>46235.659722222219</v>
      </c>
      <c r="BE274" s="51">
        <v>46235.666666666664</v>
      </c>
      <c r="BF274" s="51">
        <v>46235.680555555555</v>
      </c>
      <c r="BG274" s="51">
        <v>46235.708333333336</v>
      </c>
      <c r="BH274" s="51">
        <v>46235.73541666667</v>
      </c>
      <c r="BI274" s="30" t="s">
        <v>65</v>
      </c>
      <c r="BJ274" s="50">
        <v>46236.458333333336</v>
      </c>
      <c r="BK274" s="50">
        <v>46236.484027777777</v>
      </c>
      <c r="BL274" s="50">
        <v>46236.489583333336</v>
      </c>
      <c r="BM274" s="50">
        <v>46236.496527777781</v>
      </c>
      <c r="BN274" s="50">
        <v>46236.506944444445</v>
      </c>
      <c r="BR274"/>
      <c r="BS274"/>
      <c r="BT274"/>
      <c r="BU274"/>
      <c r="BV274"/>
      <c r="BW274"/>
      <c r="BX274"/>
      <c r="BY274"/>
    </row>
    <row r="275" spans="1:77">
      <c r="A275" t="s">
        <v>168</v>
      </c>
      <c r="B275" s="30">
        <v>56</v>
      </c>
      <c r="C275" s="30">
        <v>31</v>
      </c>
      <c r="D275" s="30" t="s">
        <v>169</v>
      </c>
      <c r="E275" s="30" t="s">
        <v>170</v>
      </c>
      <c r="F275" s="48">
        <v>46237</v>
      </c>
      <c r="G275" s="48">
        <v>46238</v>
      </c>
      <c r="H275" s="49">
        <v>0.41666666666666669</v>
      </c>
      <c r="I275" s="49">
        <v>0.33333333333333331</v>
      </c>
      <c r="J275" s="30" t="s">
        <v>53</v>
      </c>
      <c r="K275" s="30" t="s">
        <v>171</v>
      </c>
      <c r="L275" s="30">
        <v>1</v>
      </c>
      <c r="M275" s="30" t="s">
        <v>1354</v>
      </c>
      <c r="P275" s="30" t="s">
        <v>174</v>
      </c>
      <c r="Q275" s="30" t="s">
        <v>363</v>
      </c>
      <c r="R275" s="30" t="s">
        <v>175</v>
      </c>
      <c r="S275" s="30" t="s">
        <v>176</v>
      </c>
      <c r="T275" s="30" t="s">
        <v>1355</v>
      </c>
      <c r="U275" s="30" t="s">
        <v>1356</v>
      </c>
      <c r="V275" s="30" t="s">
        <v>2150</v>
      </c>
      <c r="W275" s="30" t="s">
        <v>1357</v>
      </c>
      <c r="X275" s="30" t="s">
        <v>179</v>
      </c>
      <c r="Y275" t="s">
        <v>1908</v>
      </c>
      <c r="Z275" s="30" t="s">
        <v>180</v>
      </c>
      <c r="AA275" s="30" t="s">
        <v>181</v>
      </c>
      <c r="AB275" s="30" t="s">
        <v>55</v>
      </c>
      <c r="AC275" s="30" t="s">
        <v>56</v>
      </c>
      <c r="AD275" s="30" t="s">
        <v>78</v>
      </c>
      <c r="AE275" s="30">
        <v>20513040718</v>
      </c>
      <c r="AF275" s="30" t="s">
        <v>1095</v>
      </c>
      <c r="AG275" s="30" t="s">
        <v>1096</v>
      </c>
      <c r="AH275" s="30" t="s">
        <v>185</v>
      </c>
      <c r="AI275" s="30" t="s">
        <v>1097</v>
      </c>
      <c r="AJ275" s="30" t="s">
        <v>1098</v>
      </c>
      <c r="AK275" s="30">
        <v>938742706</v>
      </c>
      <c r="AL275" s="30" t="s">
        <v>483</v>
      </c>
      <c r="AM275" t="s">
        <v>270</v>
      </c>
      <c r="AN275" s="30" t="s">
        <v>270</v>
      </c>
      <c r="AO275" s="30" t="s">
        <v>483</v>
      </c>
      <c r="AP275" s="30" t="s">
        <v>483</v>
      </c>
      <c r="AQ275" s="30" t="s">
        <v>483</v>
      </c>
      <c r="AR275" s="30" t="s">
        <v>483</v>
      </c>
      <c r="AS275" s="30" t="s">
        <v>63</v>
      </c>
      <c r="AT275" s="30" t="s">
        <v>64</v>
      </c>
      <c r="AU275" s="50">
        <v>46237.416666666664</v>
      </c>
      <c r="AV275" s="50">
        <v>46237.454861111109</v>
      </c>
      <c r="AW275" s="50">
        <v>46237.458333333336</v>
      </c>
      <c r="AX275" s="50">
        <v>46237.466666666667</v>
      </c>
      <c r="AY275" s="50">
        <v>46237.489583333336</v>
      </c>
      <c r="AZ275" s="50">
        <v>46237.504166666666</v>
      </c>
      <c r="BA275" s="51">
        <v>46238.347916666666</v>
      </c>
      <c r="BB275" s="51">
        <v>46238.350694444445</v>
      </c>
      <c r="BC275" s="50">
        <v>46238.361111111109</v>
      </c>
      <c r="BD275" s="50">
        <v>46238.371527777781</v>
      </c>
      <c r="BE275" s="51">
        <v>46238.375</v>
      </c>
      <c r="BF275" s="51">
        <v>46238.388888888891</v>
      </c>
      <c r="BG275" s="51">
        <v>46238.506944444445</v>
      </c>
      <c r="BH275" s="51">
        <v>46238.52847222222</v>
      </c>
      <c r="BI275" s="30" t="s">
        <v>65</v>
      </c>
      <c r="BJ275" s="50">
        <v>46238.958333333336</v>
      </c>
      <c r="BK275" s="50">
        <v>46238.96597222222</v>
      </c>
      <c r="BL275" s="50">
        <v>46238.970138888886</v>
      </c>
      <c r="BM275" s="50">
        <v>46238.973611111112</v>
      </c>
      <c r="BN275" s="50">
        <v>46238.977083333331</v>
      </c>
      <c r="BR275"/>
      <c r="BS275"/>
      <c r="BT275"/>
      <c r="BU275"/>
      <c r="BV275"/>
      <c r="BW275"/>
      <c r="BX275"/>
      <c r="BY275"/>
    </row>
    <row r="276" spans="1:77">
      <c r="A276" t="s">
        <v>168</v>
      </c>
      <c r="B276" s="30">
        <v>57</v>
      </c>
      <c r="C276" s="30">
        <v>31</v>
      </c>
      <c r="D276" s="30" t="s">
        <v>169</v>
      </c>
      <c r="E276" s="30" t="s">
        <v>170</v>
      </c>
      <c r="F276" s="48">
        <v>46234</v>
      </c>
      <c r="G276" s="48">
        <v>46235</v>
      </c>
      <c r="H276" s="49">
        <v>0.58333333333333337</v>
      </c>
      <c r="I276" s="49">
        <v>0.5</v>
      </c>
      <c r="J276" s="30" t="s">
        <v>53</v>
      </c>
      <c r="K276" s="30" t="s">
        <v>171</v>
      </c>
      <c r="L276" s="30">
        <v>1</v>
      </c>
      <c r="M276" s="30" t="s">
        <v>1358</v>
      </c>
      <c r="P276" s="30" t="s">
        <v>174</v>
      </c>
      <c r="Q276" s="30" t="s">
        <v>363</v>
      </c>
      <c r="R276" s="30" t="s">
        <v>175</v>
      </c>
      <c r="S276" s="30" t="s">
        <v>176</v>
      </c>
      <c r="T276" s="30" t="s">
        <v>1359</v>
      </c>
      <c r="U276" s="30" t="s">
        <v>1360</v>
      </c>
      <c r="V276" s="30" t="s">
        <v>2151</v>
      </c>
      <c r="W276" s="30" t="s">
        <v>1361</v>
      </c>
      <c r="X276" s="30" t="s">
        <v>179</v>
      </c>
      <c r="Y276" t="s">
        <v>1908</v>
      </c>
      <c r="Z276" s="30" t="s">
        <v>180</v>
      </c>
      <c r="AA276" s="30" t="s">
        <v>181</v>
      </c>
      <c r="AB276" s="30" t="s">
        <v>55</v>
      </c>
      <c r="AC276" s="30" t="s">
        <v>92</v>
      </c>
      <c r="AD276" s="30" t="s">
        <v>1313</v>
      </c>
      <c r="AE276" s="30">
        <v>20601368766</v>
      </c>
      <c r="AF276" s="30" t="s">
        <v>1362</v>
      </c>
      <c r="AG276" s="30" t="s">
        <v>1363</v>
      </c>
      <c r="AH276" s="30" t="s">
        <v>185</v>
      </c>
      <c r="AI276" s="30" t="s">
        <v>1364</v>
      </c>
      <c r="AJ276" s="30" t="s">
        <v>1365</v>
      </c>
      <c r="AK276" s="30">
        <v>981143257</v>
      </c>
      <c r="AL276" s="30" t="s">
        <v>483</v>
      </c>
      <c r="AM276" t="s">
        <v>270</v>
      </c>
      <c r="AN276" s="30" t="s">
        <v>270</v>
      </c>
      <c r="AO276" s="30" t="s">
        <v>483</v>
      </c>
      <c r="AP276" s="30" t="s">
        <v>483</v>
      </c>
      <c r="AQ276" s="30" t="s">
        <v>483</v>
      </c>
      <c r="AR276" s="30" t="s">
        <v>483</v>
      </c>
      <c r="AS276" s="30" t="s">
        <v>63</v>
      </c>
      <c r="AT276" s="30" t="s">
        <v>64</v>
      </c>
      <c r="AU276" s="50">
        <v>46234.625</v>
      </c>
      <c r="AV276" s="50">
        <v>46234.645138888889</v>
      </c>
      <c r="AW276" s="50">
        <v>46234.647222222222</v>
      </c>
      <c r="AX276" s="50">
        <v>46234.668749999997</v>
      </c>
      <c r="AY276" s="50">
        <v>46234.6875</v>
      </c>
      <c r="AZ276" s="50">
        <v>46234.715277777781</v>
      </c>
      <c r="BA276" s="51">
        <v>46235.461805555555</v>
      </c>
      <c r="BB276" s="51">
        <v>46235.465277777781</v>
      </c>
      <c r="BC276" s="50">
        <v>46235.479166666664</v>
      </c>
      <c r="BD276" s="50">
        <v>46235.493055555555</v>
      </c>
      <c r="BE276" s="51">
        <v>46235.506944444445</v>
      </c>
      <c r="BF276" s="51">
        <v>46235.520833333336</v>
      </c>
      <c r="BG276" s="51">
        <v>46235.729166666664</v>
      </c>
      <c r="BH276" s="51">
        <v>46235.746527777781</v>
      </c>
      <c r="BI276" s="30" t="s">
        <v>65</v>
      </c>
      <c r="BJ276" s="50">
        <v>46236.5</v>
      </c>
      <c r="BK276" s="50">
        <v>46236.509027777778</v>
      </c>
      <c r="BL276" s="50">
        <v>46236.513194444444</v>
      </c>
      <c r="BM276" s="50">
        <v>46236.517361111109</v>
      </c>
      <c r="BN276" s="50">
        <v>46236.531944444447</v>
      </c>
      <c r="BR276"/>
      <c r="BS276"/>
      <c r="BT276"/>
      <c r="BU276"/>
      <c r="BV276"/>
      <c r="BW276"/>
      <c r="BX276"/>
      <c r="BY276"/>
    </row>
    <row r="277" spans="1:77">
      <c r="A277" t="s">
        <v>168</v>
      </c>
      <c r="B277" s="30">
        <v>58</v>
      </c>
      <c r="C277" s="30">
        <v>31</v>
      </c>
      <c r="D277" s="30" t="s">
        <v>169</v>
      </c>
      <c r="E277" s="30" t="s">
        <v>170</v>
      </c>
      <c r="F277" s="48">
        <v>46234</v>
      </c>
      <c r="G277" s="48">
        <v>46235</v>
      </c>
      <c r="H277" s="49">
        <v>0.58333333333333337</v>
      </c>
      <c r="I277" s="49">
        <v>0.5</v>
      </c>
      <c r="J277" s="30" t="s">
        <v>53</v>
      </c>
      <c r="K277" s="30" t="s">
        <v>171</v>
      </c>
      <c r="L277" s="30">
        <v>1</v>
      </c>
      <c r="M277" s="30" t="s">
        <v>1366</v>
      </c>
      <c r="P277" s="30" t="s">
        <v>174</v>
      </c>
      <c r="Q277" s="30" t="s">
        <v>363</v>
      </c>
      <c r="R277" s="30" t="s">
        <v>175</v>
      </c>
      <c r="S277" s="30" t="s">
        <v>176</v>
      </c>
      <c r="T277" s="30" t="s">
        <v>1367</v>
      </c>
      <c r="U277" s="30" t="s">
        <v>1368</v>
      </c>
      <c r="V277" s="30" t="s">
        <v>2152</v>
      </c>
      <c r="W277" s="30" t="s">
        <v>1369</v>
      </c>
      <c r="X277" s="30" t="s">
        <v>179</v>
      </c>
      <c r="Y277" t="s">
        <v>1908</v>
      </c>
      <c r="Z277" s="30" t="s">
        <v>180</v>
      </c>
      <c r="AA277" s="30" t="s">
        <v>181</v>
      </c>
      <c r="AB277" s="30" t="s">
        <v>55</v>
      </c>
      <c r="AC277" s="30" t="s">
        <v>56</v>
      </c>
      <c r="AD277" s="30" t="s">
        <v>78</v>
      </c>
      <c r="AE277" s="30">
        <v>20513040718</v>
      </c>
      <c r="AF277" s="30" t="s">
        <v>1025</v>
      </c>
      <c r="AG277" s="30" t="s">
        <v>1026</v>
      </c>
      <c r="AH277" s="30" t="s">
        <v>185</v>
      </c>
      <c r="AI277" s="30" t="s">
        <v>1027</v>
      </c>
      <c r="AJ277" s="30" t="s">
        <v>1028</v>
      </c>
      <c r="AK277" s="30" t="s">
        <v>1370</v>
      </c>
      <c r="AL277" s="30" t="s">
        <v>483</v>
      </c>
      <c r="AM277" t="s">
        <v>270</v>
      </c>
      <c r="AN277" s="30" t="s">
        <v>270</v>
      </c>
      <c r="AO277" s="30" t="s">
        <v>483</v>
      </c>
      <c r="AP277" s="30" t="s">
        <v>483</v>
      </c>
      <c r="AQ277" s="30" t="s">
        <v>483</v>
      </c>
      <c r="AR277" s="30" t="s">
        <v>483</v>
      </c>
      <c r="AS277" s="30" t="s">
        <v>63</v>
      </c>
      <c r="AT277" s="30" t="s">
        <v>64</v>
      </c>
      <c r="AU277" s="50">
        <v>46234.583333333336</v>
      </c>
      <c r="AV277" s="50">
        <v>46234.604861111111</v>
      </c>
      <c r="AW277" s="50">
        <v>46234.607638888891</v>
      </c>
      <c r="AX277" s="50">
        <v>46234.626388888886</v>
      </c>
      <c r="AY277" s="50">
        <v>46234.645833333336</v>
      </c>
      <c r="AZ277" s="50">
        <v>46234.68472222222</v>
      </c>
      <c r="BA277" s="51">
        <v>46235.547222222223</v>
      </c>
      <c r="BB277" s="51">
        <v>46235.550694444442</v>
      </c>
      <c r="BC277" s="50">
        <v>46235.5625</v>
      </c>
      <c r="BD277" s="50">
        <v>46235.576388888891</v>
      </c>
      <c r="BE277" s="51">
        <v>46235.590277777781</v>
      </c>
      <c r="BF277" s="51">
        <v>46235.604166666664</v>
      </c>
      <c r="BG277" s="51">
        <v>46235.729166666664</v>
      </c>
      <c r="BH277" s="51">
        <v>46235.738194444442</v>
      </c>
      <c r="BI277" s="30" t="s">
        <v>65</v>
      </c>
      <c r="BJ277" s="50">
        <v>46236.541666666664</v>
      </c>
      <c r="BK277" s="50">
        <v>46236.548611111109</v>
      </c>
      <c r="BL277" s="50">
        <v>46236.552083333336</v>
      </c>
      <c r="BM277" s="50">
        <v>46236.555555555555</v>
      </c>
      <c r="BN277" s="50">
        <v>46236.566666666666</v>
      </c>
      <c r="BR277"/>
      <c r="BS277"/>
      <c r="BT277"/>
      <c r="BU277"/>
      <c r="BV277"/>
      <c r="BW277"/>
      <c r="BX277"/>
      <c r="BY277"/>
    </row>
    <row r="278" spans="1:77">
      <c r="A278" t="s">
        <v>168</v>
      </c>
      <c r="B278" s="30">
        <v>59</v>
      </c>
      <c r="C278" s="30">
        <v>32</v>
      </c>
      <c r="D278" s="30" t="s">
        <v>169</v>
      </c>
      <c r="E278" s="30" t="s">
        <v>170</v>
      </c>
      <c r="F278" s="48">
        <v>46239</v>
      </c>
      <c r="G278" s="48">
        <v>46240</v>
      </c>
      <c r="H278" s="49">
        <v>0.58333333333333337</v>
      </c>
      <c r="I278" s="49">
        <v>0.5</v>
      </c>
      <c r="J278" s="30" t="s">
        <v>53</v>
      </c>
      <c r="K278" s="30" t="s">
        <v>171</v>
      </c>
      <c r="L278" s="30">
        <v>1</v>
      </c>
      <c r="M278" s="30" t="s">
        <v>1371</v>
      </c>
      <c r="P278" s="30" t="s">
        <v>174</v>
      </c>
      <c r="Q278" s="30" t="s">
        <v>363</v>
      </c>
      <c r="R278" s="30" t="s">
        <v>374</v>
      </c>
      <c r="S278" s="30" t="s">
        <v>375</v>
      </c>
      <c r="T278" s="30" t="s">
        <v>1372</v>
      </c>
      <c r="U278" s="30" t="s">
        <v>1373</v>
      </c>
      <c r="V278" s="30" t="s">
        <v>2153</v>
      </c>
      <c r="W278" s="30" t="s">
        <v>1374</v>
      </c>
      <c r="X278" s="30" t="s">
        <v>180</v>
      </c>
      <c r="Y278" t="s">
        <v>180</v>
      </c>
      <c r="Z278" s="30" t="s">
        <v>180</v>
      </c>
      <c r="AA278" s="30" t="s">
        <v>181</v>
      </c>
      <c r="AB278" s="30" t="s">
        <v>55</v>
      </c>
      <c r="AC278" s="30" t="s">
        <v>92</v>
      </c>
      <c r="AD278" s="30" t="s">
        <v>1211</v>
      </c>
      <c r="AE278" s="30">
        <v>20482013423</v>
      </c>
      <c r="AF278" s="30" t="s">
        <v>1375</v>
      </c>
      <c r="AG278" s="30" t="s">
        <v>1376</v>
      </c>
      <c r="AH278" s="30" t="s">
        <v>185</v>
      </c>
      <c r="AI278" s="30" t="s">
        <v>1377</v>
      </c>
      <c r="AJ278" s="30" t="s">
        <v>1378</v>
      </c>
      <c r="AK278" s="30">
        <v>963812237</v>
      </c>
      <c r="AL278" s="30" t="s">
        <v>483</v>
      </c>
      <c r="AM278" t="s">
        <v>270</v>
      </c>
      <c r="AN278" s="30" t="s">
        <v>270</v>
      </c>
      <c r="AO278" s="30" t="s">
        <v>483</v>
      </c>
      <c r="AP278" s="30" t="s">
        <v>483</v>
      </c>
      <c r="AQ278" s="30" t="s">
        <v>483</v>
      </c>
      <c r="AR278" s="30" t="s">
        <v>483</v>
      </c>
      <c r="AS278" s="30" t="s">
        <v>63</v>
      </c>
      <c r="AT278" s="30" t="s">
        <v>380</v>
      </c>
      <c r="AU278" s="50">
        <v>46239.458333333336</v>
      </c>
      <c r="AV278" s="50">
        <v>46239.469444444447</v>
      </c>
      <c r="AW278" s="50">
        <v>46239.472222222219</v>
      </c>
      <c r="AX278" s="50">
        <v>46239.48541666667</v>
      </c>
      <c r="AY278" s="50">
        <v>46239.493055555555</v>
      </c>
      <c r="AZ278" s="50">
        <v>46239.545138888891</v>
      </c>
      <c r="BA278" s="51">
        <v>46240.345138888886</v>
      </c>
      <c r="BB278" s="51">
        <v>46240.347222222219</v>
      </c>
      <c r="BC278" s="50">
        <v>46240.361111111109</v>
      </c>
      <c r="BD278" s="50">
        <v>46240.375</v>
      </c>
      <c r="BE278" s="51">
        <v>46240.388888888891</v>
      </c>
      <c r="BF278" s="51">
        <v>46240.409722222219</v>
      </c>
      <c r="BG278" s="51">
        <v>46240.520833333336</v>
      </c>
      <c r="BH278" s="51">
        <v>46240.531944444447</v>
      </c>
      <c r="BI278" s="30" t="s">
        <v>65</v>
      </c>
      <c r="BJ278" s="50">
        <v>46241.25</v>
      </c>
      <c r="BK278" s="50">
        <v>46241.28402777778</v>
      </c>
      <c r="BL278" s="50">
        <v>46241.288888888892</v>
      </c>
      <c r="BM278" s="50">
        <v>46241.293055555558</v>
      </c>
      <c r="BN278" s="50">
        <v>46241.301388888889</v>
      </c>
      <c r="BR278"/>
      <c r="BS278"/>
      <c r="BT278"/>
      <c r="BU278"/>
      <c r="BV278"/>
      <c r="BW278"/>
      <c r="BX278"/>
      <c r="BY278"/>
    </row>
    <row r="279" spans="1:77">
      <c r="A279" t="s">
        <v>168</v>
      </c>
      <c r="B279" s="30">
        <v>60</v>
      </c>
      <c r="C279" s="30">
        <v>32</v>
      </c>
      <c r="D279" s="30" t="s">
        <v>169</v>
      </c>
      <c r="E279" s="30" t="s">
        <v>170</v>
      </c>
      <c r="F279" s="48">
        <v>46239</v>
      </c>
      <c r="G279" s="48">
        <v>46240</v>
      </c>
      <c r="H279" s="49">
        <v>0.41666666666666669</v>
      </c>
      <c r="I279" s="49">
        <v>0.33333333333333331</v>
      </c>
      <c r="J279" s="30" t="s">
        <v>53</v>
      </c>
      <c r="K279" s="30" t="s">
        <v>171</v>
      </c>
      <c r="L279" s="30">
        <v>1</v>
      </c>
      <c r="M279" s="30" t="s">
        <v>1379</v>
      </c>
      <c r="P279" s="30" t="s">
        <v>174</v>
      </c>
      <c r="Q279" s="30" t="s">
        <v>363</v>
      </c>
      <c r="R279" s="30" t="s">
        <v>374</v>
      </c>
      <c r="S279" s="30" t="s">
        <v>375</v>
      </c>
      <c r="T279" s="30" t="s">
        <v>1380</v>
      </c>
      <c r="U279" s="30" t="s">
        <v>1381</v>
      </c>
      <c r="V279" s="30" t="s">
        <v>2154</v>
      </c>
      <c r="W279" s="30" t="s">
        <v>1382</v>
      </c>
      <c r="X279" s="30" t="s">
        <v>180</v>
      </c>
      <c r="Y279" t="s">
        <v>180</v>
      </c>
      <c r="Z279" s="30" t="s">
        <v>180</v>
      </c>
      <c r="AA279" s="30" t="s">
        <v>181</v>
      </c>
      <c r="AB279" s="30" t="s">
        <v>55</v>
      </c>
      <c r="AC279" s="30" t="s">
        <v>92</v>
      </c>
      <c r="AD279" s="30" t="s">
        <v>1117</v>
      </c>
      <c r="AE279" s="30">
        <v>20612886921</v>
      </c>
      <c r="AF279" s="30" t="s">
        <v>1293</v>
      </c>
      <c r="AG279" s="30" t="s">
        <v>1294</v>
      </c>
      <c r="AH279" s="30" t="s">
        <v>185</v>
      </c>
      <c r="AI279" s="30" t="s">
        <v>1295</v>
      </c>
      <c r="AJ279" s="30" t="s">
        <v>1296</v>
      </c>
      <c r="AK279" s="30">
        <v>922824613</v>
      </c>
      <c r="AL279" s="30" t="s">
        <v>483</v>
      </c>
      <c r="AM279" t="s">
        <v>270</v>
      </c>
      <c r="AN279" s="30" t="s">
        <v>270</v>
      </c>
      <c r="AO279" s="30" t="s">
        <v>483</v>
      </c>
      <c r="AP279" s="30" t="s">
        <v>483</v>
      </c>
      <c r="AQ279" s="30" t="s">
        <v>483</v>
      </c>
      <c r="AR279" s="30" t="s">
        <v>483</v>
      </c>
      <c r="AS279" s="30" t="s">
        <v>63</v>
      </c>
      <c r="AT279" s="30" t="s">
        <v>380</v>
      </c>
      <c r="AU279" s="50">
        <v>46239.458333333336</v>
      </c>
      <c r="AV279" s="50">
        <v>46239.47152777778</v>
      </c>
      <c r="AW279" s="50">
        <v>46239.473611111112</v>
      </c>
      <c r="AX279" s="50">
        <v>46239.484027777777</v>
      </c>
      <c r="AY279" s="50">
        <v>46239.5</v>
      </c>
      <c r="AZ279" s="50">
        <v>46239.587500000001</v>
      </c>
      <c r="BA279" s="51">
        <v>46240.378472222219</v>
      </c>
      <c r="BB279" s="51">
        <v>46240.388888888891</v>
      </c>
      <c r="BC279" s="50">
        <v>46240.402777777781</v>
      </c>
      <c r="BD279" s="50">
        <v>46240.416666666664</v>
      </c>
      <c r="BE279" s="51">
        <v>46240.430555555555</v>
      </c>
      <c r="BF279" s="51">
        <v>46240.444444444445</v>
      </c>
      <c r="BG279" s="51">
        <v>46240.53125</v>
      </c>
      <c r="BH279" s="51">
        <v>46240.549305555556</v>
      </c>
      <c r="BI279" s="30" t="s">
        <v>65</v>
      </c>
      <c r="BJ279" s="50">
        <v>46241.291666666664</v>
      </c>
      <c r="BK279" s="50">
        <v>46241.320833333331</v>
      </c>
      <c r="BL279" s="50">
        <v>46241.324999999997</v>
      </c>
      <c r="BM279" s="50">
        <v>46241.327777777777</v>
      </c>
      <c r="BN279" s="50">
        <v>46241.336805555555</v>
      </c>
      <c r="BR279"/>
      <c r="BS279"/>
      <c r="BT279"/>
      <c r="BU279"/>
      <c r="BV279"/>
      <c r="BW279"/>
      <c r="BX279"/>
      <c r="BY279"/>
    </row>
    <row r="280" spans="1:77">
      <c r="A280" t="s">
        <v>168</v>
      </c>
      <c r="B280" s="30">
        <v>61</v>
      </c>
      <c r="C280" s="30">
        <v>32</v>
      </c>
      <c r="D280" s="30" t="s">
        <v>169</v>
      </c>
      <c r="E280" s="30" t="s">
        <v>170</v>
      </c>
      <c r="F280" s="48">
        <v>46239</v>
      </c>
      <c r="G280" s="48">
        <v>46240</v>
      </c>
      <c r="H280" s="49">
        <v>0.58333333333333337</v>
      </c>
      <c r="I280" s="49">
        <v>0.5</v>
      </c>
      <c r="J280" s="30" t="s">
        <v>53</v>
      </c>
      <c r="K280" s="30" t="s">
        <v>171</v>
      </c>
      <c r="L280" s="30">
        <v>1</v>
      </c>
      <c r="M280" s="30" t="s">
        <v>1383</v>
      </c>
      <c r="P280" s="30" t="s">
        <v>174</v>
      </c>
      <c r="Q280" s="30" t="s">
        <v>363</v>
      </c>
      <c r="R280" s="30" t="s">
        <v>374</v>
      </c>
      <c r="S280" s="30" t="s">
        <v>375</v>
      </c>
      <c r="T280" s="30" t="s">
        <v>1384</v>
      </c>
      <c r="U280" s="30" t="s">
        <v>1385</v>
      </c>
      <c r="V280" s="30" t="s">
        <v>2155</v>
      </c>
      <c r="W280" s="30" t="s">
        <v>1386</v>
      </c>
      <c r="X280" s="30" t="s">
        <v>180</v>
      </c>
      <c r="Y280" t="s">
        <v>180</v>
      </c>
      <c r="Z280" s="30" t="s">
        <v>180</v>
      </c>
      <c r="AA280" s="30" t="s">
        <v>181</v>
      </c>
      <c r="AB280" s="30" t="s">
        <v>55</v>
      </c>
      <c r="AC280" s="30" t="s">
        <v>92</v>
      </c>
      <c r="AD280" s="30" t="s">
        <v>1387</v>
      </c>
      <c r="AE280" s="30">
        <v>20526041845</v>
      </c>
      <c r="AF280" s="30" t="s">
        <v>1388</v>
      </c>
      <c r="AG280" s="30" t="s">
        <v>1389</v>
      </c>
      <c r="AH280" s="30" t="s">
        <v>185</v>
      </c>
      <c r="AI280" s="30" t="s">
        <v>1390</v>
      </c>
      <c r="AJ280" s="30" t="s">
        <v>1391</v>
      </c>
      <c r="AK280" s="30">
        <v>977252689</v>
      </c>
      <c r="AL280" s="30" t="s">
        <v>483</v>
      </c>
      <c r="AM280" t="s">
        <v>270</v>
      </c>
      <c r="AN280" s="30" t="s">
        <v>270</v>
      </c>
      <c r="AO280" s="30" t="s">
        <v>483</v>
      </c>
      <c r="AP280" s="30" t="s">
        <v>483</v>
      </c>
      <c r="AQ280" s="30" t="s">
        <v>483</v>
      </c>
      <c r="AR280" s="30" t="s">
        <v>483</v>
      </c>
      <c r="AS280" s="30" t="s">
        <v>63</v>
      </c>
      <c r="AT280" s="30" t="s">
        <v>380</v>
      </c>
      <c r="AU280" s="50">
        <v>46239.458333333336</v>
      </c>
      <c r="AV280" s="50">
        <v>46239.464583333334</v>
      </c>
      <c r="AW280" s="50">
        <v>46239.466666666667</v>
      </c>
      <c r="AX280" s="50">
        <v>46239.489583333336</v>
      </c>
      <c r="AY280" s="50">
        <v>46239.5</v>
      </c>
      <c r="AZ280" s="50">
        <v>46239.552777777775</v>
      </c>
      <c r="BA280" s="51">
        <v>46240.393055555556</v>
      </c>
      <c r="BB280" s="51">
        <v>46240.416666666664</v>
      </c>
      <c r="BC280" s="50">
        <v>46240.430555555555</v>
      </c>
      <c r="BD280" s="50">
        <v>46240.444444444445</v>
      </c>
      <c r="BE280" s="51">
        <v>46240.458333333336</v>
      </c>
      <c r="BF280" s="51">
        <v>46240.472222222219</v>
      </c>
      <c r="BG280" s="51">
        <v>46240.53125</v>
      </c>
      <c r="BH280" s="51">
        <v>46240.549305555556</v>
      </c>
      <c r="BI280" s="30" t="s">
        <v>65</v>
      </c>
      <c r="BJ280" s="50">
        <v>46241.083333333336</v>
      </c>
      <c r="BK280" s="50">
        <v>46241.09097222222</v>
      </c>
      <c r="BL280" s="50">
        <v>46241.1</v>
      </c>
      <c r="BM280" s="50">
        <v>46241.104166666664</v>
      </c>
      <c r="BN280" s="50">
        <v>46241.126388888886</v>
      </c>
      <c r="BR280"/>
      <c r="BS280"/>
      <c r="BT280"/>
      <c r="BU280"/>
      <c r="BV280"/>
      <c r="BW280"/>
      <c r="BX280"/>
      <c r="BY280"/>
    </row>
    <row r="281" spans="1:77">
      <c r="A281" t="s">
        <v>168</v>
      </c>
      <c r="B281" s="30">
        <v>62</v>
      </c>
      <c r="C281" s="30">
        <v>32</v>
      </c>
      <c r="D281" s="30" t="s">
        <v>169</v>
      </c>
      <c r="E281" s="30" t="s">
        <v>170</v>
      </c>
      <c r="F281" s="48">
        <v>46242</v>
      </c>
      <c r="G281" s="48">
        <v>46243</v>
      </c>
      <c r="H281" s="49">
        <v>0.70833333333333337</v>
      </c>
      <c r="I281" s="49">
        <v>0.625</v>
      </c>
      <c r="J281" s="30" t="s">
        <v>53</v>
      </c>
      <c r="K281" s="30" t="s">
        <v>171</v>
      </c>
      <c r="L281" s="30">
        <v>1</v>
      </c>
      <c r="M281" s="30" t="s">
        <v>1392</v>
      </c>
      <c r="P281" s="30" t="s">
        <v>174</v>
      </c>
      <c r="Q281" s="30" t="s">
        <v>363</v>
      </c>
      <c r="R281" s="30" t="s">
        <v>548</v>
      </c>
      <c r="S281" s="30" t="s">
        <v>623</v>
      </c>
      <c r="T281" s="30" t="s">
        <v>1393</v>
      </c>
      <c r="U281" s="30" t="s">
        <v>1394</v>
      </c>
      <c r="V281" s="30" t="s">
        <v>2156</v>
      </c>
      <c r="W281" s="30" t="s">
        <v>1395</v>
      </c>
      <c r="X281" s="30" t="s">
        <v>179</v>
      </c>
      <c r="Y281" t="s">
        <v>1908</v>
      </c>
      <c r="Z281" s="30" t="s">
        <v>180</v>
      </c>
      <c r="AA281" s="30" t="s">
        <v>181</v>
      </c>
      <c r="AB281" s="30" t="s">
        <v>55</v>
      </c>
      <c r="AC281" s="30" t="s">
        <v>92</v>
      </c>
      <c r="AD281" s="30" t="s">
        <v>1387</v>
      </c>
      <c r="AE281" s="30">
        <v>20526041845</v>
      </c>
      <c r="AF281" s="30" t="s">
        <v>1396</v>
      </c>
      <c r="AG281" s="30" t="s">
        <v>1397</v>
      </c>
      <c r="AH281" s="30" t="s">
        <v>185</v>
      </c>
      <c r="AI281" s="30" t="s">
        <v>1398</v>
      </c>
      <c r="AJ281" s="30" t="s">
        <v>1399</v>
      </c>
      <c r="AK281" s="30" t="s">
        <v>1400</v>
      </c>
      <c r="AL281" s="30" t="s">
        <v>483</v>
      </c>
      <c r="AM281" t="s">
        <v>270</v>
      </c>
      <c r="AN281" s="30" t="s">
        <v>270</v>
      </c>
      <c r="AO281" s="30" t="s">
        <v>483</v>
      </c>
      <c r="AP281" s="30" t="s">
        <v>483</v>
      </c>
      <c r="AQ281" s="30" t="s">
        <v>483</v>
      </c>
      <c r="AR281" s="30" t="s">
        <v>483</v>
      </c>
      <c r="AS281" s="30" t="s">
        <v>63</v>
      </c>
      <c r="AT281" s="30" t="s">
        <v>64</v>
      </c>
      <c r="AU281" s="50">
        <v>46242.458333333336</v>
      </c>
      <c r="AV281" s="50">
        <v>46242.462500000001</v>
      </c>
      <c r="AW281" s="50">
        <v>46242.465277777781</v>
      </c>
      <c r="AX281" s="50">
        <v>46242.47152777778</v>
      </c>
      <c r="AY281" s="50">
        <v>46242.479166666664</v>
      </c>
      <c r="AZ281" s="50">
        <v>46242.531944444447</v>
      </c>
      <c r="BA281" s="51">
        <v>46243.426388888889</v>
      </c>
      <c r="BB281" s="51">
        <v>46243.430555555555</v>
      </c>
      <c r="BC281" s="50">
        <v>46243.444444444445</v>
      </c>
      <c r="BD281" s="50">
        <v>46243.458333333336</v>
      </c>
      <c r="BE281" s="51">
        <v>46243.472222222219</v>
      </c>
      <c r="BF281" s="51">
        <v>46243.486111111109</v>
      </c>
      <c r="BG281" s="51">
        <v>46243.833333333336</v>
      </c>
      <c r="BH281" s="51">
        <v>46243.861111111109</v>
      </c>
      <c r="BI281" s="30" t="s">
        <v>65</v>
      </c>
      <c r="BJ281" s="50">
        <v>46244.458333333336</v>
      </c>
      <c r="BK281" s="50">
        <v>46244.477777777778</v>
      </c>
      <c r="BL281" s="50">
        <v>46244.480555555558</v>
      </c>
      <c r="BM281" s="50">
        <v>46244.484027777777</v>
      </c>
      <c r="BN281" s="50">
        <v>46244.495138888888</v>
      </c>
      <c r="BR281"/>
      <c r="BS281"/>
      <c r="BT281"/>
      <c r="BU281"/>
      <c r="BV281"/>
      <c r="BW281"/>
      <c r="BX281"/>
      <c r="BY281"/>
    </row>
    <row r="282" spans="1:77">
      <c r="A282" t="s">
        <v>168</v>
      </c>
      <c r="B282" s="30">
        <v>63</v>
      </c>
      <c r="C282" s="30">
        <v>32</v>
      </c>
      <c r="D282" s="30" t="s">
        <v>169</v>
      </c>
      <c r="E282" s="30" t="s">
        <v>170</v>
      </c>
      <c r="F282" s="48">
        <v>46242</v>
      </c>
      <c r="G282" s="48">
        <v>46243</v>
      </c>
      <c r="H282" s="49">
        <v>0.70833333333333337</v>
      </c>
      <c r="I282" s="49">
        <v>0.625</v>
      </c>
      <c r="J282" s="30" t="s">
        <v>53</v>
      </c>
      <c r="K282" s="30" t="s">
        <v>171</v>
      </c>
      <c r="L282" s="30">
        <v>1</v>
      </c>
      <c r="M282" s="30" t="s">
        <v>1401</v>
      </c>
      <c r="P282" s="30" t="s">
        <v>174</v>
      </c>
      <c r="Q282" s="30" t="s">
        <v>363</v>
      </c>
      <c r="R282" s="30" t="s">
        <v>548</v>
      </c>
      <c r="S282" s="30" t="s">
        <v>623</v>
      </c>
      <c r="T282" s="30" t="s">
        <v>1402</v>
      </c>
      <c r="U282" s="30" t="s">
        <v>1403</v>
      </c>
      <c r="V282" s="30" t="s">
        <v>2157</v>
      </c>
      <c r="W282" s="30" t="s">
        <v>1404</v>
      </c>
      <c r="X282" s="30" t="s">
        <v>179</v>
      </c>
      <c r="Y282" t="s">
        <v>1908</v>
      </c>
      <c r="Z282" s="30" t="s">
        <v>180</v>
      </c>
      <c r="AA282" s="30" t="s">
        <v>181</v>
      </c>
      <c r="AB282" s="30" t="s">
        <v>55</v>
      </c>
      <c r="AC282" s="30" t="s">
        <v>92</v>
      </c>
      <c r="AD282" s="30" t="s">
        <v>1117</v>
      </c>
      <c r="AE282" s="30">
        <v>20612886921</v>
      </c>
      <c r="AF282" s="30" t="s">
        <v>1134</v>
      </c>
      <c r="AG282" s="30" t="s">
        <v>1135</v>
      </c>
      <c r="AH282" s="30" t="s">
        <v>185</v>
      </c>
      <c r="AI282" s="30" t="s">
        <v>1136</v>
      </c>
      <c r="AJ282" s="30" t="s">
        <v>1137</v>
      </c>
      <c r="AK282" s="30">
        <v>944018002</v>
      </c>
      <c r="AL282" s="30" t="s">
        <v>483</v>
      </c>
      <c r="AM282" t="s">
        <v>270</v>
      </c>
      <c r="AN282" s="30" t="s">
        <v>270</v>
      </c>
      <c r="AO282" s="30" t="s">
        <v>483</v>
      </c>
      <c r="AP282" s="30" t="s">
        <v>483</v>
      </c>
      <c r="AQ282" s="30" t="s">
        <v>483</v>
      </c>
      <c r="AR282" s="30" t="s">
        <v>483</v>
      </c>
      <c r="AS282" s="30" t="s">
        <v>63</v>
      </c>
      <c r="AT282" s="30" t="s">
        <v>64</v>
      </c>
      <c r="AU282" s="50">
        <v>46242.458333333336</v>
      </c>
      <c r="AV282" s="50">
        <v>46242.460416666669</v>
      </c>
      <c r="AW282" s="50">
        <v>46242.462500000001</v>
      </c>
      <c r="AX282" s="50">
        <v>46242.46597222222</v>
      </c>
      <c r="AY282" s="50">
        <v>46242.479166666664</v>
      </c>
      <c r="AZ282" s="50">
        <v>46242.604166666664</v>
      </c>
      <c r="BA282" s="51">
        <v>46243.293749999997</v>
      </c>
      <c r="BB282" s="51">
        <v>46243.29583333333</v>
      </c>
      <c r="BC282" s="50">
        <v>46243.305555555555</v>
      </c>
      <c r="BD282" s="50">
        <v>46243.319444444445</v>
      </c>
      <c r="BE282" s="51">
        <v>46243.333333333336</v>
      </c>
      <c r="BF282" s="51">
        <v>46243.354166666664</v>
      </c>
      <c r="BG282" s="51">
        <v>46243.875</v>
      </c>
      <c r="BH282" s="51">
        <v>46243.899305555555</v>
      </c>
      <c r="BI282" s="30" t="s">
        <v>65</v>
      </c>
      <c r="BJ282" s="50">
        <v>46244.541666666664</v>
      </c>
      <c r="BK282" s="50">
        <v>46244.555555555555</v>
      </c>
      <c r="BL282" s="50">
        <v>46244.571527777778</v>
      </c>
      <c r="BM282" s="50">
        <v>46244.574999999997</v>
      </c>
      <c r="BN282" s="50">
        <v>46244.597222222219</v>
      </c>
      <c r="BR282"/>
      <c r="BS282"/>
      <c r="BT282"/>
      <c r="BU282"/>
      <c r="BV282"/>
      <c r="BW282"/>
      <c r="BX282"/>
      <c r="BY282"/>
    </row>
    <row r="283" spans="1:77">
      <c r="A283" t="s">
        <v>168</v>
      </c>
      <c r="B283" s="30">
        <v>64</v>
      </c>
      <c r="C283" s="30">
        <v>32</v>
      </c>
      <c r="D283" s="30" t="s">
        <v>169</v>
      </c>
      <c r="E283" s="30" t="s">
        <v>170</v>
      </c>
      <c r="F283" s="48">
        <v>46242</v>
      </c>
      <c r="G283" s="48">
        <v>46243</v>
      </c>
      <c r="H283" s="49">
        <v>0.75</v>
      </c>
      <c r="I283" s="49">
        <v>0.66666666666666663</v>
      </c>
      <c r="J283" s="30" t="s">
        <v>53</v>
      </c>
      <c r="K283" s="30" t="s">
        <v>171</v>
      </c>
      <c r="L283" s="30">
        <v>1</v>
      </c>
      <c r="M283" s="30" t="s">
        <v>1405</v>
      </c>
      <c r="P283" s="30" t="s">
        <v>174</v>
      </c>
      <c r="Q283" s="30" t="s">
        <v>363</v>
      </c>
      <c r="R283" s="30" t="s">
        <v>548</v>
      </c>
      <c r="S283" s="30" t="s">
        <v>623</v>
      </c>
      <c r="T283" s="30" t="s">
        <v>1406</v>
      </c>
      <c r="U283" s="30" t="s">
        <v>1407</v>
      </c>
      <c r="V283" s="30" t="s">
        <v>2158</v>
      </c>
      <c r="W283" s="30" t="s">
        <v>1408</v>
      </c>
      <c r="X283" s="30" t="s">
        <v>179</v>
      </c>
      <c r="Y283" t="s">
        <v>1908</v>
      </c>
      <c r="Z283" s="30" t="s">
        <v>180</v>
      </c>
      <c r="AA283" s="30" t="s">
        <v>181</v>
      </c>
      <c r="AB283" s="30" t="s">
        <v>55</v>
      </c>
      <c r="AC283" s="30" t="s">
        <v>92</v>
      </c>
      <c r="AD283" s="30" t="s">
        <v>1322</v>
      </c>
      <c r="AE283" s="30">
        <v>20614402246</v>
      </c>
      <c r="AF283" s="30" t="s">
        <v>1409</v>
      </c>
      <c r="AG283" s="30" t="s">
        <v>1164</v>
      </c>
      <c r="AH283" s="30" t="s">
        <v>185</v>
      </c>
      <c r="AI283" s="30" t="s">
        <v>1410</v>
      </c>
      <c r="AJ283" s="30" t="s">
        <v>1411</v>
      </c>
      <c r="AK283" s="30" t="s">
        <v>1412</v>
      </c>
      <c r="AL283" s="30" t="s">
        <v>483</v>
      </c>
      <c r="AM283" t="s">
        <v>270</v>
      </c>
      <c r="AN283" s="30" t="s">
        <v>270</v>
      </c>
      <c r="AO283" s="30" t="s">
        <v>483</v>
      </c>
      <c r="AP283" s="30" t="s">
        <v>483</v>
      </c>
      <c r="AQ283" s="30" t="s">
        <v>483</v>
      </c>
      <c r="AR283" s="30" t="s">
        <v>483</v>
      </c>
      <c r="AS283" s="30" t="s">
        <v>63</v>
      </c>
      <c r="AT283" s="30" t="s">
        <v>64</v>
      </c>
      <c r="AU283" s="50">
        <v>46242.416666666664</v>
      </c>
      <c r="AV283" s="50">
        <v>46242.436111111114</v>
      </c>
      <c r="AW283" s="50">
        <v>46242.438888888886</v>
      </c>
      <c r="AX283" s="50">
        <v>46242.453472222223</v>
      </c>
      <c r="AY283" s="50">
        <v>46242.46875</v>
      </c>
      <c r="AZ283" s="50">
        <v>46242.501388888886</v>
      </c>
      <c r="BA283" s="51">
        <v>46243.587500000001</v>
      </c>
      <c r="BB283" s="51">
        <v>46243.590277777781</v>
      </c>
      <c r="BC283" s="50">
        <v>46243.604166666664</v>
      </c>
      <c r="BD283" s="50">
        <v>46243.618055555555</v>
      </c>
      <c r="BE283" s="51">
        <v>46243.631944444445</v>
      </c>
      <c r="BF283" s="51">
        <v>46243.645833333336</v>
      </c>
      <c r="BG283" s="51">
        <v>46243.90625</v>
      </c>
      <c r="BH283" s="51">
        <v>46243.929166666669</v>
      </c>
      <c r="BI283" s="30" t="s">
        <v>65</v>
      </c>
      <c r="BJ283" s="50">
        <v>46244.5</v>
      </c>
      <c r="BK283" s="50">
        <v>46244.53125</v>
      </c>
      <c r="BL283" s="50">
        <v>46244.544444444444</v>
      </c>
      <c r="BM283" s="50">
        <v>46244.548611111109</v>
      </c>
      <c r="BN283" s="50">
        <v>46244.55972222222</v>
      </c>
      <c r="BR283"/>
      <c r="BS283"/>
      <c r="BT283"/>
      <c r="BU283"/>
      <c r="BV283"/>
      <c r="BW283"/>
      <c r="BX283"/>
      <c r="BY283"/>
    </row>
    <row r="284" spans="1:77">
      <c r="A284" t="s">
        <v>168</v>
      </c>
      <c r="B284" s="30">
        <v>65</v>
      </c>
      <c r="C284" s="30">
        <v>32</v>
      </c>
      <c r="D284" s="30" t="s">
        <v>169</v>
      </c>
      <c r="E284" s="30" t="s">
        <v>170</v>
      </c>
      <c r="F284" s="48">
        <v>46243</v>
      </c>
      <c r="G284" s="48">
        <v>46244</v>
      </c>
      <c r="H284" s="49">
        <v>0.5</v>
      </c>
      <c r="I284" s="49">
        <v>0.41666666666666669</v>
      </c>
      <c r="J284" s="30" t="s">
        <v>53</v>
      </c>
      <c r="K284" s="30" t="s">
        <v>171</v>
      </c>
      <c r="L284" s="30">
        <v>1</v>
      </c>
      <c r="M284" s="30" t="s">
        <v>1413</v>
      </c>
      <c r="P284" s="30" t="s">
        <v>174</v>
      </c>
      <c r="Q284" s="30" t="s">
        <v>363</v>
      </c>
      <c r="R284" s="30" t="s">
        <v>175</v>
      </c>
      <c r="S284" s="30" t="s">
        <v>176</v>
      </c>
      <c r="T284" s="30" t="s">
        <v>1414</v>
      </c>
      <c r="U284" s="30" t="s">
        <v>1415</v>
      </c>
      <c r="V284" s="30" t="s">
        <v>2159</v>
      </c>
      <c r="W284" s="30" t="s">
        <v>1416</v>
      </c>
      <c r="X284" s="30" t="s">
        <v>179</v>
      </c>
      <c r="Y284" t="s">
        <v>1908</v>
      </c>
      <c r="Z284" s="30" t="s">
        <v>180</v>
      </c>
      <c r="AA284" s="30" t="s">
        <v>181</v>
      </c>
      <c r="AB284" s="30" t="s">
        <v>55</v>
      </c>
      <c r="AC284" s="30" t="s">
        <v>92</v>
      </c>
      <c r="AD284" s="30" t="s">
        <v>1322</v>
      </c>
      <c r="AE284" s="30">
        <v>20614402246</v>
      </c>
      <c r="AF284" s="30" t="s">
        <v>1163</v>
      </c>
      <c r="AG284" s="30" t="s">
        <v>1323</v>
      </c>
      <c r="AH284" s="30" t="s">
        <v>185</v>
      </c>
      <c r="AI284" s="30" t="s">
        <v>1165</v>
      </c>
      <c r="AJ284" s="30" t="s">
        <v>1166</v>
      </c>
      <c r="AK284" s="30">
        <v>914113779</v>
      </c>
      <c r="AL284" s="30" t="s">
        <v>483</v>
      </c>
      <c r="AM284" t="s">
        <v>270</v>
      </c>
      <c r="AN284" s="30" t="s">
        <v>270</v>
      </c>
      <c r="AO284" s="30" t="s">
        <v>483</v>
      </c>
      <c r="AP284" s="30" t="s">
        <v>483</v>
      </c>
      <c r="AQ284" s="30" t="s">
        <v>483</v>
      </c>
      <c r="AR284" s="30" t="s">
        <v>483</v>
      </c>
      <c r="AS284" s="30" t="s">
        <v>63</v>
      </c>
      <c r="AT284" s="30" t="s">
        <v>64</v>
      </c>
      <c r="AU284" s="50">
        <v>46243.416666666664</v>
      </c>
      <c r="AV284" s="50">
        <v>46243.456944444442</v>
      </c>
      <c r="AW284" s="50">
        <v>46243.461805555555</v>
      </c>
      <c r="AX284" s="50">
        <v>46243.464583333334</v>
      </c>
      <c r="AY284" s="50">
        <v>46243.479166666664</v>
      </c>
      <c r="AZ284" s="50">
        <v>46243.518055555556</v>
      </c>
      <c r="BA284" s="51">
        <v>46244.393750000003</v>
      </c>
      <c r="BB284" s="51">
        <v>46244.395833333336</v>
      </c>
      <c r="BC284" s="50">
        <v>46244.409722222219</v>
      </c>
      <c r="BD284" s="50">
        <v>46244.423611111109</v>
      </c>
      <c r="BE284" s="51">
        <v>46244.4375</v>
      </c>
      <c r="BF284" s="51">
        <v>46244.451388888891</v>
      </c>
      <c r="BG284" s="51">
        <v>46244.666666666664</v>
      </c>
      <c r="BH284" s="51">
        <v>46244.6875</v>
      </c>
      <c r="BI284" s="30" t="s">
        <v>65</v>
      </c>
      <c r="BJ284" s="50">
        <v>46245.375</v>
      </c>
      <c r="BK284" s="50">
        <v>46245.413194444445</v>
      </c>
      <c r="BL284" s="50">
        <v>46245.436805555553</v>
      </c>
      <c r="BM284" s="50">
        <v>46245.440972222219</v>
      </c>
      <c r="BN284" s="50">
        <v>46245.464583333334</v>
      </c>
      <c r="BR284"/>
      <c r="BS284"/>
      <c r="BT284"/>
      <c r="BU284"/>
      <c r="BV284"/>
      <c r="BW284"/>
      <c r="BX284"/>
      <c r="BY284"/>
    </row>
    <row r="285" spans="1:77">
      <c r="A285" t="s">
        <v>168</v>
      </c>
      <c r="B285" s="30">
        <v>66</v>
      </c>
      <c r="C285" s="30">
        <v>32</v>
      </c>
      <c r="D285" s="30" t="s">
        <v>169</v>
      </c>
      <c r="E285" s="30" t="s">
        <v>170</v>
      </c>
      <c r="F285" s="48">
        <v>46243</v>
      </c>
      <c r="G285" s="48">
        <v>46244</v>
      </c>
      <c r="H285" s="49">
        <v>0.66666666666666663</v>
      </c>
      <c r="I285" s="49">
        <v>0.58333333333333337</v>
      </c>
      <c r="J285" s="30" t="s">
        <v>53</v>
      </c>
      <c r="K285" s="30" t="s">
        <v>171</v>
      </c>
      <c r="L285" s="30">
        <v>1</v>
      </c>
      <c r="M285" s="30" t="s">
        <v>1417</v>
      </c>
      <c r="P285" s="30" t="s">
        <v>174</v>
      </c>
      <c r="Q285" s="30" t="s">
        <v>363</v>
      </c>
      <c r="R285" s="30" t="s">
        <v>175</v>
      </c>
      <c r="S285" s="30" t="s">
        <v>176</v>
      </c>
      <c r="T285" s="30" t="s">
        <v>1418</v>
      </c>
      <c r="U285" s="30" t="s">
        <v>1419</v>
      </c>
      <c r="V285" s="30" t="s">
        <v>2160</v>
      </c>
      <c r="W285" s="30" t="s">
        <v>1420</v>
      </c>
      <c r="X285" s="30" t="s">
        <v>179</v>
      </c>
      <c r="Y285" t="s">
        <v>1908</v>
      </c>
      <c r="Z285" s="30" t="s">
        <v>180</v>
      </c>
      <c r="AA285" s="30" t="s">
        <v>181</v>
      </c>
      <c r="AB285" s="30" t="s">
        <v>55</v>
      </c>
      <c r="AC285" s="30" t="s">
        <v>92</v>
      </c>
      <c r="AD285" s="30" t="s">
        <v>1313</v>
      </c>
      <c r="AE285" s="30">
        <v>20601368766</v>
      </c>
      <c r="AF285" s="30" t="s">
        <v>1314</v>
      </c>
      <c r="AG285" s="30" t="s">
        <v>1315</v>
      </c>
      <c r="AH285" s="30" t="s">
        <v>185</v>
      </c>
      <c r="AI285" s="30" t="s">
        <v>1316</v>
      </c>
      <c r="AJ285" s="30" t="s">
        <v>1317</v>
      </c>
      <c r="AK285" s="30">
        <v>981143257</v>
      </c>
      <c r="AL285" s="30" t="s">
        <v>483</v>
      </c>
      <c r="AM285" t="s">
        <v>270</v>
      </c>
      <c r="AN285" s="30" t="s">
        <v>270</v>
      </c>
      <c r="AO285" s="30" t="s">
        <v>483</v>
      </c>
      <c r="AP285" s="30" t="s">
        <v>483</v>
      </c>
      <c r="AQ285" s="30" t="s">
        <v>483</v>
      </c>
      <c r="AR285" s="30" t="s">
        <v>483</v>
      </c>
      <c r="AS285" s="30" t="s">
        <v>63</v>
      </c>
      <c r="AT285" s="30" t="s">
        <v>64</v>
      </c>
      <c r="AU285" s="50">
        <v>46243.458333333336</v>
      </c>
      <c r="AV285" s="50">
        <v>46243.493750000001</v>
      </c>
      <c r="AW285" s="50">
        <v>46243.5</v>
      </c>
      <c r="AX285" s="50">
        <v>46243.503472222219</v>
      </c>
      <c r="AY285" s="50">
        <v>46243.557638888888</v>
      </c>
      <c r="AZ285" s="50">
        <v>46243.564583333333</v>
      </c>
      <c r="BA285" s="51">
        <v>46244.541666666664</v>
      </c>
      <c r="BB285" s="51">
        <v>46244.548611111109</v>
      </c>
      <c r="BC285" s="50">
        <v>46244.5625</v>
      </c>
      <c r="BD285" s="50">
        <v>46244.576388888891</v>
      </c>
      <c r="BE285" s="51">
        <v>46244.590277777781</v>
      </c>
      <c r="BF285" s="51">
        <v>46244.604166666664</v>
      </c>
      <c r="BG285" s="51">
        <v>46244.784722222219</v>
      </c>
      <c r="BH285" s="51">
        <v>46244.791666666664</v>
      </c>
      <c r="BI285" s="30" t="s">
        <v>65</v>
      </c>
      <c r="BJ285" s="50">
        <v>46245.541666666664</v>
      </c>
      <c r="BK285" s="50">
        <v>46245.561111111114</v>
      </c>
      <c r="BL285" s="50">
        <v>46245.56527777778</v>
      </c>
      <c r="BM285" s="50">
        <v>46245.572222222225</v>
      </c>
      <c r="BN285" s="50">
        <v>46245.589583333334</v>
      </c>
      <c r="BR285"/>
      <c r="BS285"/>
      <c r="BT285"/>
      <c r="BU285"/>
      <c r="BV285"/>
      <c r="BW285"/>
      <c r="BX285"/>
      <c r="BY285"/>
    </row>
    <row r="286" spans="1:77">
      <c r="A286" t="s">
        <v>168</v>
      </c>
      <c r="B286" s="30">
        <v>67</v>
      </c>
      <c r="C286" s="30">
        <v>32</v>
      </c>
      <c r="D286" s="30" t="s">
        <v>169</v>
      </c>
      <c r="E286" s="30" t="s">
        <v>170</v>
      </c>
      <c r="F286" s="48">
        <v>46243</v>
      </c>
      <c r="G286" s="48">
        <v>46244</v>
      </c>
      <c r="H286" s="49">
        <v>0.66666666666666663</v>
      </c>
      <c r="I286" s="49">
        <v>0.58333333333333337</v>
      </c>
      <c r="J286" s="30" t="s">
        <v>53</v>
      </c>
      <c r="K286" s="30" t="s">
        <v>171</v>
      </c>
      <c r="L286" s="30">
        <v>1</v>
      </c>
      <c r="M286" s="30" t="s">
        <v>1421</v>
      </c>
      <c r="P286" s="30" t="s">
        <v>174</v>
      </c>
      <c r="Q286" s="30" t="s">
        <v>363</v>
      </c>
      <c r="R286" s="30" t="s">
        <v>175</v>
      </c>
      <c r="S286" s="30" t="s">
        <v>176</v>
      </c>
      <c r="T286" s="30" t="s">
        <v>1422</v>
      </c>
      <c r="U286" s="30" t="s">
        <v>1423</v>
      </c>
      <c r="V286" s="30" t="s">
        <v>2161</v>
      </c>
      <c r="W286" s="30" t="s">
        <v>1424</v>
      </c>
      <c r="X286" s="30" t="s">
        <v>179</v>
      </c>
      <c r="Y286" t="s">
        <v>1908</v>
      </c>
      <c r="Z286" s="30" t="s">
        <v>180</v>
      </c>
      <c r="AA286" s="30" t="s">
        <v>181</v>
      </c>
      <c r="AB286" s="30" t="s">
        <v>55</v>
      </c>
      <c r="AC286" s="30" t="s">
        <v>92</v>
      </c>
      <c r="AD286" s="30" t="s">
        <v>1117</v>
      </c>
      <c r="AE286" s="30">
        <v>20612886921</v>
      </c>
      <c r="AF286" s="30" t="s">
        <v>1293</v>
      </c>
      <c r="AG286" s="30" t="s">
        <v>1294</v>
      </c>
      <c r="AH286" s="30" t="s">
        <v>185</v>
      </c>
      <c r="AI286" s="30" t="s">
        <v>1295</v>
      </c>
      <c r="AJ286" s="30" t="s">
        <v>1296</v>
      </c>
      <c r="AK286" s="30">
        <v>980865741</v>
      </c>
      <c r="AL286" s="30" t="s">
        <v>483</v>
      </c>
      <c r="AM286" t="s">
        <v>270</v>
      </c>
      <c r="AN286" s="30" t="s">
        <v>270</v>
      </c>
      <c r="AO286" s="30" t="s">
        <v>483</v>
      </c>
      <c r="AP286" s="30" t="s">
        <v>483</v>
      </c>
      <c r="AQ286" s="30" t="s">
        <v>483</v>
      </c>
      <c r="AR286" s="30" t="s">
        <v>483</v>
      </c>
      <c r="AS286" s="30" t="s">
        <v>63</v>
      </c>
      <c r="AT286" s="30" t="s">
        <v>64</v>
      </c>
      <c r="AU286" s="50">
        <v>46243.458333333336</v>
      </c>
      <c r="AV286" s="50">
        <v>46243.467361111114</v>
      </c>
      <c r="AW286" s="50">
        <v>46243.474305555559</v>
      </c>
      <c r="AX286" s="50">
        <v>46243.5</v>
      </c>
      <c r="AY286" s="50">
        <v>46243.566666666666</v>
      </c>
      <c r="AZ286" s="50">
        <v>46243.573611111111</v>
      </c>
      <c r="BA286" s="51">
        <v>46244.394444444442</v>
      </c>
      <c r="BB286" s="51">
        <v>46244.401388888888</v>
      </c>
      <c r="BC286" s="50">
        <v>46244.415277777778</v>
      </c>
      <c r="BD286" s="50">
        <v>46244.430555555555</v>
      </c>
      <c r="BE286" s="51">
        <v>46244.444444444445</v>
      </c>
      <c r="BF286" s="51">
        <v>46244.456944444442</v>
      </c>
      <c r="BG286" s="51">
        <v>46244.708333333336</v>
      </c>
      <c r="BH286" s="51">
        <v>46244.718055555553</v>
      </c>
      <c r="BI286" s="30" t="s">
        <v>65</v>
      </c>
      <c r="BJ286" s="50">
        <v>46245.416666666664</v>
      </c>
      <c r="BK286" s="50">
        <v>46245.450694444444</v>
      </c>
      <c r="BL286" s="50">
        <v>46245.459027777775</v>
      </c>
      <c r="BM286" s="50">
        <v>46245.46597222222</v>
      </c>
      <c r="BN286" s="50">
        <v>46245.470833333333</v>
      </c>
      <c r="BR286"/>
      <c r="BS286"/>
      <c r="BT286"/>
      <c r="BU286"/>
      <c r="BV286"/>
      <c r="BW286"/>
      <c r="BX286"/>
      <c r="BY286"/>
    </row>
    <row r="287" spans="1:77">
      <c r="A287" t="s">
        <v>168</v>
      </c>
      <c r="B287" s="30">
        <v>68</v>
      </c>
      <c r="C287" s="30">
        <v>32</v>
      </c>
      <c r="D287" s="30" t="s">
        <v>169</v>
      </c>
      <c r="E287" s="30" t="s">
        <v>170</v>
      </c>
      <c r="F287" s="48">
        <v>46244</v>
      </c>
      <c r="G287" s="48">
        <v>46245</v>
      </c>
      <c r="H287" s="49">
        <v>0.41666666666666669</v>
      </c>
      <c r="I287" s="49">
        <v>0.33333333333333331</v>
      </c>
      <c r="J287" s="30" t="s">
        <v>53</v>
      </c>
      <c r="K287" s="30" t="s">
        <v>171</v>
      </c>
      <c r="L287" s="30">
        <v>1</v>
      </c>
      <c r="M287" s="30" t="s">
        <v>1425</v>
      </c>
      <c r="P287" s="30" t="s">
        <v>174</v>
      </c>
      <c r="Q287" s="30" t="s">
        <v>363</v>
      </c>
      <c r="R287" s="30" t="s">
        <v>175</v>
      </c>
      <c r="S287" s="30" t="s">
        <v>176</v>
      </c>
      <c r="T287" s="30" t="s">
        <v>1426</v>
      </c>
      <c r="U287" s="30" t="s">
        <v>1427</v>
      </c>
      <c r="V287" s="30" t="s">
        <v>2162</v>
      </c>
      <c r="W287" s="30" t="s">
        <v>1428</v>
      </c>
      <c r="X287" s="30" t="s">
        <v>179</v>
      </c>
      <c r="Y287" t="s">
        <v>1908</v>
      </c>
      <c r="Z287" s="30" t="s">
        <v>180</v>
      </c>
      <c r="AA287" s="30" t="s">
        <v>181</v>
      </c>
      <c r="AB287" s="30" t="s">
        <v>55</v>
      </c>
      <c r="AC287" s="30" t="s">
        <v>56</v>
      </c>
      <c r="AD287" s="30" t="s">
        <v>78</v>
      </c>
      <c r="AE287" s="30">
        <v>20513040718</v>
      </c>
      <c r="AF287" s="30" t="s">
        <v>1071</v>
      </c>
      <c r="AG287" s="30" t="s">
        <v>1429</v>
      </c>
      <c r="AH287" s="30" t="s">
        <v>185</v>
      </c>
      <c r="AI287" s="30" t="s">
        <v>1073</v>
      </c>
      <c r="AJ287" s="30" t="s">
        <v>1074</v>
      </c>
      <c r="AK287" s="30" t="s">
        <v>970</v>
      </c>
      <c r="AL287" s="30" t="s">
        <v>483</v>
      </c>
      <c r="AM287" t="s">
        <v>270</v>
      </c>
      <c r="AN287" s="30" t="s">
        <v>270</v>
      </c>
      <c r="AO287" s="30" t="s">
        <v>483</v>
      </c>
      <c r="AP287" s="30" t="s">
        <v>483</v>
      </c>
      <c r="AQ287" s="30" t="s">
        <v>483</v>
      </c>
      <c r="AR287" s="30" t="s">
        <v>483</v>
      </c>
      <c r="AS287" s="30" t="s">
        <v>63</v>
      </c>
      <c r="AT287" s="30" t="s">
        <v>64</v>
      </c>
      <c r="AU287" s="50">
        <v>46244.5</v>
      </c>
      <c r="AV287" s="50">
        <v>46244.512499999997</v>
      </c>
      <c r="AW287" s="50">
        <v>46244.519444444442</v>
      </c>
      <c r="AX287" s="50">
        <v>46244.526388888888</v>
      </c>
      <c r="AY287" s="50">
        <v>46244.551388888889</v>
      </c>
      <c r="AZ287" s="50">
        <v>46244.593055555553</v>
      </c>
      <c r="BA287" s="51">
        <v>46245.334722222222</v>
      </c>
      <c r="BB287" s="51">
        <v>46245.341666666667</v>
      </c>
      <c r="BC287" s="50">
        <v>46245.348611111112</v>
      </c>
      <c r="BD287" s="50">
        <v>46245.362500000003</v>
      </c>
      <c r="BE287" s="51">
        <v>46245.369444444441</v>
      </c>
      <c r="BF287" s="51">
        <v>46245.381944444445</v>
      </c>
      <c r="BG287" s="51">
        <v>46246.666666666664</v>
      </c>
      <c r="BH287" s="51">
        <v>46246.677777777775</v>
      </c>
      <c r="BI287" s="30" t="s">
        <v>65</v>
      </c>
      <c r="BJ287" s="50">
        <v>46247.333333333336</v>
      </c>
      <c r="BK287" s="50">
        <v>46247.361111111109</v>
      </c>
      <c r="BL287" s="50">
        <v>46247.362500000003</v>
      </c>
      <c r="BM287" s="50">
        <v>46247.369444444441</v>
      </c>
      <c r="BN287" s="50">
        <v>46247.394444444442</v>
      </c>
      <c r="BR287"/>
      <c r="BS287"/>
      <c r="BT287"/>
      <c r="BU287"/>
      <c r="BV287"/>
      <c r="BW287"/>
      <c r="BX287"/>
      <c r="BY287"/>
    </row>
    <row r="288" spans="1:77">
      <c r="A288" t="s">
        <v>168</v>
      </c>
      <c r="B288" s="30">
        <v>69</v>
      </c>
      <c r="C288" s="30">
        <v>32</v>
      </c>
      <c r="D288" s="30" t="s">
        <v>169</v>
      </c>
      <c r="E288" s="30" t="s">
        <v>170</v>
      </c>
      <c r="F288" s="48">
        <v>46244</v>
      </c>
      <c r="G288" s="48">
        <v>46245</v>
      </c>
      <c r="H288" s="49">
        <v>0.41666666666666669</v>
      </c>
      <c r="I288" s="49">
        <v>0.33333333333333331</v>
      </c>
      <c r="J288" s="30" t="s">
        <v>53</v>
      </c>
      <c r="K288" s="30" t="s">
        <v>171</v>
      </c>
      <c r="L288" s="30">
        <v>1</v>
      </c>
      <c r="M288" s="30" t="s">
        <v>1430</v>
      </c>
      <c r="P288" s="30" t="s">
        <v>174</v>
      </c>
      <c r="Q288" s="30" t="s">
        <v>363</v>
      </c>
      <c r="R288" s="30" t="s">
        <v>175</v>
      </c>
      <c r="S288" s="30" t="s">
        <v>176</v>
      </c>
      <c r="T288" s="30" t="s">
        <v>1431</v>
      </c>
      <c r="U288" s="30" t="s">
        <v>1432</v>
      </c>
      <c r="V288" s="30" t="s">
        <v>2163</v>
      </c>
      <c r="W288" s="30" t="s">
        <v>1433</v>
      </c>
      <c r="X288" s="30" t="s">
        <v>179</v>
      </c>
      <c r="Y288" t="s">
        <v>1908</v>
      </c>
      <c r="Z288" s="30" t="s">
        <v>180</v>
      </c>
      <c r="AA288" s="30" t="s">
        <v>181</v>
      </c>
      <c r="AB288" s="30" t="s">
        <v>55</v>
      </c>
      <c r="AC288" s="30" t="s">
        <v>56</v>
      </c>
      <c r="AD288" s="30" t="s">
        <v>78</v>
      </c>
      <c r="AE288" s="30">
        <v>20513040718</v>
      </c>
      <c r="AF288" s="30" t="s">
        <v>1035</v>
      </c>
      <c r="AG288" s="30" t="s">
        <v>1036</v>
      </c>
      <c r="AH288" s="30" t="s">
        <v>185</v>
      </c>
      <c r="AI288" s="30" t="s">
        <v>1037</v>
      </c>
      <c r="AJ288" s="30" t="s">
        <v>1038</v>
      </c>
      <c r="AK288" s="30" t="s">
        <v>1065</v>
      </c>
      <c r="AL288" s="30" t="s">
        <v>483</v>
      </c>
      <c r="AM288" t="s">
        <v>270</v>
      </c>
      <c r="AN288" s="30" t="s">
        <v>270</v>
      </c>
      <c r="AO288" s="30" t="s">
        <v>483</v>
      </c>
      <c r="AP288" s="30" t="s">
        <v>483</v>
      </c>
      <c r="AQ288" s="30" t="s">
        <v>483</v>
      </c>
      <c r="AR288" s="30" t="s">
        <v>483</v>
      </c>
      <c r="AS288" s="30" t="s">
        <v>63</v>
      </c>
      <c r="AT288" s="30" t="s">
        <v>64</v>
      </c>
      <c r="AU288" s="50">
        <v>46244.541666666664</v>
      </c>
      <c r="AV288" s="50">
        <v>46244.554861111108</v>
      </c>
      <c r="AW288" s="50">
        <v>46244.561805555553</v>
      </c>
      <c r="AX288" s="50">
        <v>46244.568749999999</v>
      </c>
      <c r="AY288" s="50">
        <v>46244.712500000001</v>
      </c>
      <c r="AZ288" s="50">
        <v>46244.754166666666</v>
      </c>
      <c r="BA288" s="51">
        <v>46245.366666666669</v>
      </c>
      <c r="BB288" s="51">
        <v>46245.373611111114</v>
      </c>
      <c r="BC288" s="50">
        <v>46245.380555555559</v>
      </c>
      <c r="BD288" s="50">
        <v>46245.394444444442</v>
      </c>
      <c r="BE288" s="51">
        <v>46245.401388888888</v>
      </c>
      <c r="BF288" s="51">
        <v>46245.415277777778</v>
      </c>
      <c r="BG288" s="51">
        <v>46246.6875</v>
      </c>
      <c r="BH288" s="51">
        <v>46246.694444444445</v>
      </c>
      <c r="BI288" s="30" t="s">
        <v>65</v>
      </c>
      <c r="BJ288" s="50">
        <v>46247.333333333336</v>
      </c>
      <c r="BK288" s="50">
        <v>46247.36041666667</v>
      </c>
      <c r="BL288" s="50">
        <v>46247.400694444441</v>
      </c>
      <c r="BM288" s="50">
        <v>46247.407638888886</v>
      </c>
      <c r="BN288" s="50">
        <v>46247.61041666667</v>
      </c>
      <c r="BR288"/>
      <c r="BS288"/>
      <c r="BT288"/>
      <c r="BU288"/>
      <c r="BV288"/>
      <c r="BW288"/>
      <c r="BX288"/>
      <c r="BY288"/>
    </row>
    <row r="289" spans="1:77">
      <c r="A289" t="s">
        <v>168</v>
      </c>
      <c r="B289" s="30">
        <v>70</v>
      </c>
      <c r="C289" s="30">
        <v>33</v>
      </c>
      <c r="D289" s="30" t="s">
        <v>169</v>
      </c>
      <c r="E289" s="30" t="s">
        <v>170</v>
      </c>
      <c r="F289" s="48">
        <v>46246</v>
      </c>
      <c r="G289" s="48">
        <v>46247</v>
      </c>
      <c r="H289" s="49">
        <v>0.66666666666666663</v>
      </c>
      <c r="I289" s="49">
        <v>0.58333333333333337</v>
      </c>
      <c r="J289" s="30" t="s">
        <v>53</v>
      </c>
      <c r="K289" s="30" t="s">
        <v>171</v>
      </c>
      <c r="L289" s="30">
        <v>1</v>
      </c>
      <c r="M289" s="30" t="s">
        <v>1371</v>
      </c>
      <c r="P289" s="30" t="s">
        <v>174</v>
      </c>
      <c r="Q289" s="30" t="s">
        <v>363</v>
      </c>
      <c r="R289" s="30" t="s">
        <v>374</v>
      </c>
      <c r="S289" s="30" t="s">
        <v>375</v>
      </c>
      <c r="T289" s="30" t="s">
        <v>1434</v>
      </c>
      <c r="U289" s="30" t="s">
        <v>1435</v>
      </c>
      <c r="V289" s="30" t="s">
        <v>2164</v>
      </c>
      <c r="W289" s="30" t="s">
        <v>1436</v>
      </c>
      <c r="X289" s="30" t="s">
        <v>180</v>
      </c>
      <c r="Y289" t="s">
        <v>180</v>
      </c>
      <c r="Z289" s="30" t="s">
        <v>180</v>
      </c>
      <c r="AA289" s="30" t="s">
        <v>181</v>
      </c>
      <c r="AB289" s="30" t="s">
        <v>55</v>
      </c>
      <c r="AC289" s="30" t="s">
        <v>92</v>
      </c>
      <c r="AD289" s="30" t="s">
        <v>1322</v>
      </c>
      <c r="AE289" s="30">
        <v>20614402246</v>
      </c>
      <c r="AF289" s="30" t="s">
        <v>1163</v>
      </c>
      <c r="AG289" s="30" t="s">
        <v>1323</v>
      </c>
      <c r="AH289" s="30" t="s">
        <v>185</v>
      </c>
      <c r="AI289" s="30" t="s">
        <v>1165</v>
      </c>
      <c r="AJ289" s="30" t="s">
        <v>1166</v>
      </c>
      <c r="AK289" s="30">
        <v>914113779</v>
      </c>
      <c r="AL289" s="30" t="s">
        <v>483</v>
      </c>
      <c r="AM289" t="s">
        <v>270</v>
      </c>
      <c r="AN289" s="30" t="s">
        <v>270</v>
      </c>
      <c r="AO289" s="30" t="s">
        <v>483</v>
      </c>
      <c r="AP289" s="30" t="s">
        <v>483</v>
      </c>
      <c r="AQ289" s="30" t="s">
        <v>483</v>
      </c>
      <c r="AR289" s="30" t="s">
        <v>483</v>
      </c>
      <c r="AS289" s="30" t="s">
        <v>63</v>
      </c>
      <c r="AT289" s="30" t="s">
        <v>380</v>
      </c>
      <c r="AU289" s="50">
        <v>46246.583333333336</v>
      </c>
      <c r="AV289" s="50">
        <v>46246.590277777781</v>
      </c>
      <c r="AW289" s="50">
        <v>46246.599305555559</v>
      </c>
      <c r="AX289" s="50">
        <v>46246.606249999997</v>
      </c>
      <c r="AY289" s="50">
        <v>46246.713194444441</v>
      </c>
      <c r="AZ289" s="50">
        <v>46246.754861111112</v>
      </c>
      <c r="BA289" s="51">
        <v>46247.583333333336</v>
      </c>
      <c r="BB289" s="51">
        <v>46247.590277777781</v>
      </c>
      <c r="BC289" s="50">
        <v>46247.597222222219</v>
      </c>
      <c r="BD289" s="50">
        <v>46247.611111111109</v>
      </c>
      <c r="BE289" s="51">
        <v>46247.621527777781</v>
      </c>
      <c r="BF289" s="51">
        <v>46247.631944444445</v>
      </c>
      <c r="BG289" s="51">
        <v>46247.708333333336</v>
      </c>
      <c r="BH289" s="51">
        <v>46247.713888888888</v>
      </c>
      <c r="BI289" s="30" t="s">
        <v>65</v>
      </c>
      <c r="BJ289" s="50">
        <v>46248.5</v>
      </c>
      <c r="BK289" s="50">
        <v>46248.506944444445</v>
      </c>
      <c r="BL289" s="50">
        <v>46248.524305555555</v>
      </c>
      <c r="BM289" s="50">
        <v>46248.53125</v>
      </c>
      <c r="BN289" s="50">
        <v>46248.54791666667</v>
      </c>
      <c r="BR289"/>
      <c r="BS289"/>
      <c r="BT289"/>
      <c r="BU289"/>
      <c r="BV289"/>
      <c r="BW289"/>
      <c r="BX289"/>
      <c r="BY289"/>
    </row>
    <row r="290" spans="1:77">
      <c r="A290" t="s">
        <v>168</v>
      </c>
      <c r="B290" s="30">
        <v>71</v>
      </c>
      <c r="C290" s="30">
        <v>33</v>
      </c>
      <c r="D290" s="30" t="s">
        <v>169</v>
      </c>
      <c r="E290" s="30" t="s">
        <v>170</v>
      </c>
      <c r="F290" s="48">
        <v>46247</v>
      </c>
      <c r="G290" s="48">
        <v>46248</v>
      </c>
      <c r="H290" s="49">
        <v>0.41666666666666669</v>
      </c>
      <c r="I290" s="49">
        <v>0.33333333333333331</v>
      </c>
      <c r="J290" s="30" t="s">
        <v>53</v>
      </c>
      <c r="K290" s="30" t="s">
        <v>171</v>
      </c>
      <c r="L290" s="30">
        <v>1</v>
      </c>
      <c r="M290" s="30" t="s">
        <v>1437</v>
      </c>
      <c r="P290" s="30" t="s">
        <v>174</v>
      </c>
      <c r="Q290" s="30" t="s">
        <v>363</v>
      </c>
      <c r="R290" s="30" t="s">
        <v>374</v>
      </c>
      <c r="S290" s="30" t="s">
        <v>375</v>
      </c>
      <c r="T290" s="30" t="s">
        <v>1438</v>
      </c>
      <c r="U290" s="30" t="s">
        <v>1439</v>
      </c>
      <c r="V290" s="30" t="s">
        <v>2165</v>
      </c>
      <c r="W290" s="30" t="s">
        <v>1440</v>
      </c>
      <c r="X290" s="30" t="s">
        <v>180</v>
      </c>
      <c r="Y290" t="s">
        <v>180</v>
      </c>
      <c r="Z290" s="30" t="s">
        <v>180</v>
      </c>
      <c r="AA290" s="30" t="s">
        <v>181</v>
      </c>
      <c r="AB290" s="30" t="s">
        <v>55</v>
      </c>
      <c r="AC290" s="30" t="s">
        <v>92</v>
      </c>
      <c r="AD290" s="30" t="s">
        <v>1441</v>
      </c>
      <c r="AE290" s="30">
        <v>20601962102</v>
      </c>
      <c r="AF290" s="30" t="s">
        <v>1145</v>
      </c>
      <c r="AG290" s="30" t="s">
        <v>1442</v>
      </c>
      <c r="AH290" s="30" t="s">
        <v>185</v>
      </c>
      <c r="AI290" s="30" t="s">
        <v>1147</v>
      </c>
      <c r="AJ290" s="30" t="s">
        <v>1148</v>
      </c>
      <c r="AK290" s="30">
        <v>982701637</v>
      </c>
      <c r="AL290" s="30" t="s">
        <v>483</v>
      </c>
      <c r="AM290" t="s">
        <v>270</v>
      </c>
      <c r="AN290" s="30" t="s">
        <v>270</v>
      </c>
      <c r="AO290" s="30" t="s">
        <v>483</v>
      </c>
      <c r="AP290" s="30" t="s">
        <v>483</v>
      </c>
      <c r="AQ290" s="30" t="s">
        <v>483</v>
      </c>
      <c r="AR290" s="30" t="s">
        <v>483</v>
      </c>
      <c r="AS290" s="30" t="s">
        <v>63</v>
      </c>
      <c r="AT290" s="30" t="s">
        <v>380</v>
      </c>
      <c r="AU290" s="50">
        <v>46247.416666666664</v>
      </c>
      <c r="AV290" s="50">
        <v>46247.454861111109</v>
      </c>
      <c r="AW290" s="50">
        <v>46247.465277777781</v>
      </c>
      <c r="AX290" s="50">
        <v>46247.472222222219</v>
      </c>
      <c r="AY290" s="50">
        <v>46247.515277777777</v>
      </c>
      <c r="AZ290" s="50">
        <v>46247.556944444441</v>
      </c>
      <c r="BA290" s="51">
        <v>46248.319444444445</v>
      </c>
      <c r="BB290" s="51">
        <v>46248.326388888891</v>
      </c>
      <c r="BC290" s="50">
        <v>46248.333333333336</v>
      </c>
      <c r="BD290" s="50">
        <v>46248.347222222219</v>
      </c>
      <c r="BE290" s="51">
        <v>46248.361111111109</v>
      </c>
      <c r="BF290" s="51">
        <v>46248.371527777781</v>
      </c>
      <c r="BG290" s="51">
        <v>46248.513888888891</v>
      </c>
      <c r="BH290" s="51">
        <v>46248.525000000001</v>
      </c>
      <c r="BI290" s="30" t="s">
        <v>65</v>
      </c>
      <c r="BJ290" s="50">
        <v>46249.083333333336</v>
      </c>
      <c r="BK290" s="50">
        <v>46249.104861111111</v>
      </c>
      <c r="BL290" s="50">
        <v>46249.118055555555</v>
      </c>
      <c r="BM290" s="50">
        <v>46249.119444444441</v>
      </c>
      <c r="BN290" s="50">
        <v>46249.122916666667</v>
      </c>
      <c r="BR290"/>
      <c r="BS290"/>
      <c r="BT290"/>
      <c r="BU290"/>
      <c r="BV290"/>
      <c r="BW290"/>
      <c r="BX290"/>
      <c r="BY290"/>
    </row>
    <row r="291" spans="1:77">
      <c r="A291" t="s">
        <v>168</v>
      </c>
      <c r="B291" s="30">
        <v>72</v>
      </c>
      <c r="C291" s="30">
        <v>33</v>
      </c>
      <c r="D291" s="30" t="s">
        <v>169</v>
      </c>
      <c r="E291" s="30" t="s">
        <v>170</v>
      </c>
      <c r="F291" s="48">
        <v>46247</v>
      </c>
      <c r="G291" s="48">
        <v>46248</v>
      </c>
      <c r="H291" s="49">
        <v>0.41666666666666669</v>
      </c>
      <c r="I291" s="49">
        <v>0.33333333333333331</v>
      </c>
      <c r="J291" s="30" t="s">
        <v>53</v>
      </c>
      <c r="K291" s="30" t="s">
        <v>171</v>
      </c>
      <c r="L291" s="30">
        <v>1</v>
      </c>
      <c r="M291" s="30" t="s">
        <v>1443</v>
      </c>
      <c r="P291" s="30" t="s">
        <v>174</v>
      </c>
      <c r="Q291" s="30" t="s">
        <v>363</v>
      </c>
      <c r="R291" s="30" t="s">
        <v>374</v>
      </c>
      <c r="S291" s="30" t="s">
        <v>375</v>
      </c>
      <c r="T291" s="30" t="s">
        <v>1444</v>
      </c>
      <c r="U291" s="30" t="s">
        <v>1445</v>
      </c>
      <c r="V291" s="30" t="s">
        <v>2166</v>
      </c>
      <c r="W291" s="30" t="s">
        <v>1446</v>
      </c>
      <c r="X291" s="30" t="s">
        <v>180</v>
      </c>
      <c r="Y291" t="s">
        <v>180</v>
      </c>
      <c r="Z291" s="30" t="s">
        <v>180</v>
      </c>
      <c r="AA291" s="30" t="s">
        <v>181</v>
      </c>
      <c r="AB291" s="30" t="s">
        <v>55</v>
      </c>
      <c r="AC291" s="30" t="s">
        <v>92</v>
      </c>
      <c r="AD291" s="30" t="s">
        <v>1447</v>
      </c>
      <c r="AE291" s="30">
        <v>20526125356</v>
      </c>
      <c r="AF291" s="30" t="s">
        <v>1448</v>
      </c>
      <c r="AG291" s="30" t="s">
        <v>1449</v>
      </c>
      <c r="AH291" s="30" t="s">
        <v>185</v>
      </c>
      <c r="AI291" s="30" t="s">
        <v>1450</v>
      </c>
      <c r="AJ291" s="30" t="s">
        <v>1451</v>
      </c>
      <c r="AK291" s="30">
        <v>921352796</v>
      </c>
      <c r="AL291" s="30" t="s">
        <v>483</v>
      </c>
      <c r="AM291" t="s">
        <v>270</v>
      </c>
      <c r="AN291" s="30" t="s">
        <v>270</v>
      </c>
      <c r="AO291" s="30" t="s">
        <v>483</v>
      </c>
      <c r="AP291" s="30" t="s">
        <v>483</v>
      </c>
      <c r="AQ291" s="30" t="s">
        <v>483</v>
      </c>
      <c r="AR291" s="30" t="s">
        <v>483</v>
      </c>
      <c r="AS291" s="30" t="s">
        <v>63</v>
      </c>
      <c r="AT291" s="30" t="s">
        <v>380</v>
      </c>
      <c r="AU291" s="50">
        <v>46247.458333333336</v>
      </c>
      <c r="AV291" s="50">
        <v>46247.48333333333</v>
      </c>
      <c r="AW291" s="50">
        <v>46247.490277777775</v>
      </c>
      <c r="AX291" s="50">
        <v>46247.49722222222</v>
      </c>
      <c r="AY291" s="50">
        <v>46247.563888888886</v>
      </c>
      <c r="AZ291" s="50">
        <v>46247.605555555558</v>
      </c>
      <c r="BA291" s="51">
        <v>46248.363194444442</v>
      </c>
      <c r="BB291" s="51">
        <v>46248.370138888888</v>
      </c>
      <c r="BC291" s="50">
        <v>46248.375</v>
      </c>
      <c r="BD291" s="50">
        <v>46248.388888888891</v>
      </c>
      <c r="BE291" s="51">
        <v>46248.402777777781</v>
      </c>
      <c r="BF291" s="51">
        <v>46248.413194444445</v>
      </c>
      <c r="BG291" s="51">
        <v>46248.5</v>
      </c>
      <c r="BH291" s="51">
        <v>46248.511111111111</v>
      </c>
      <c r="BI291" s="30" t="s">
        <v>65</v>
      </c>
      <c r="BJ291" s="50">
        <v>46249.125</v>
      </c>
      <c r="BK291" s="50">
        <v>46249.143055555556</v>
      </c>
      <c r="BL291" s="50">
        <v>46249.143055555556</v>
      </c>
      <c r="BM291" s="50">
        <v>46249.145833333336</v>
      </c>
      <c r="BN291" s="50">
        <v>46249.156944444447</v>
      </c>
      <c r="BR291"/>
      <c r="BS291"/>
      <c r="BT291"/>
      <c r="BU291"/>
      <c r="BV291"/>
      <c r="BW291"/>
      <c r="BX291"/>
      <c r="BY291"/>
    </row>
    <row r="292" spans="1:77">
      <c r="A292" t="s">
        <v>168</v>
      </c>
      <c r="B292" s="30">
        <v>73</v>
      </c>
      <c r="C292" s="30">
        <v>33</v>
      </c>
      <c r="D292" s="30" t="s">
        <v>169</v>
      </c>
      <c r="E292" s="30" t="s">
        <v>170</v>
      </c>
      <c r="F292" s="48">
        <v>46248</v>
      </c>
      <c r="G292" s="48">
        <v>46249</v>
      </c>
      <c r="H292" s="49">
        <v>0.58333333333333337</v>
      </c>
      <c r="I292" s="49">
        <v>0.5</v>
      </c>
      <c r="J292" s="30" t="s">
        <v>53</v>
      </c>
      <c r="K292" s="30" t="s">
        <v>171</v>
      </c>
      <c r="L292" s="30">
        <v>1</v>
      </c>
      <c r="M292" s="30" t="s">
        <v>1452</v>
      </c>
      <c r="P292" s="30" t="s">
        <v>174</v>
      </c>
      <c r="Q292" s="30" t="s">
        <v>363</v>
      </c>
      <c r="R292" s="30" t="s">
        <v>175</v>
      </c>
      <c r="S292" s="30" t="s">
        <v>176</v>
      </c>
      <c r="T292" s="30" t="s">
        <v>1453</v>
      </c>
      <c r="U292" s="30" t="s">
        <v>1454</v>
      </c>
      <c r="V292" s="30" t="s">
        <v>2167</v>
      </c>
      <c r="W292" s="30" t="s">
        <v>1455</v>
      </c>
      <c r="X292" s="30" t="s">
        <v>179</v>
      </c>
      <c r="Y292" t="s">
        <v>1908</v>
      </c>
      <c r="Z292" s="30" t="s">
        <v>180</v>
      </c>
      <c r="AA292" s="30" t="s">
        <v>181</v>
      </c>
      <c r="AB292" s="30" t="s">
        <v>55</v>
      </c>
      <c r="AC292" s="30" t="s">
        <v>56</v>
      </c>
      <c r="AD292" s="30" t="s">
        <v>78</v>
      </c>
      <c r="AE292" s="30">
        <v>20513040718</v>
      </c>
      <c r="AF292" s="30" t="s">
        <v>1015</v>
      </c>
      <c r="AG292" s="30" t="s">
        <v>1016</v>
      </c>
      <c r="AH292" s="30" t="s">
        <v>185</v>
      </c>
      <c r="AI292" s="30" t="s">
        <v>1017</v>
      </c>
      <c r="AJ292" s="30" t="s">
        <v>1018</v>
      </c>
      <c r="AK292" s="30">
        <v>948666455</v>
      </c>
      <c r="AL292" s="30" t="s">
        <v>483</v>
      </c>
      <c r="AM292" t="s">
        <v>270</v>
      </c>
      <c r="AN292" s="30" t="s">
        <v>270</v>
      </c>
      <c r="AO292" s="30" t="s">
        <v>483</v>
      </c>
      <c r="AP292" s="30" t="s">
        <v>483</v>
      </c>
      <c r="AQ292" s="30" t="s">
        <v>483</v>
      </c>
      <c r="AR292" s="30" t="s">
        <v>483</v>
      </c>
      <c r="AS292" s="30" t="s">
        <v>63</v>
      </c>
      <c r="AT292" s="30" t="s">
        <v>64</v>
      </c>
      <c r="AU292" s="50">
        <v>46248.458333333336</v>
      </c>
      <c r="AV292" s="50">
        <v>46248.477777777778</v>
      </c>
      <c r="AW292" s="50">
        <v>46248.484722222223</v>
      </c>
      <c r="AX292" s="50">
        <v>46248.491666666669</v>
      </c>
      <c r="AY292" s="50">
        <v>46248.52847222222</v>
      </c>
      <c r="AZ292" s="50">
        <v>46248.570138888892</v>
      </c>
      <c r="BA292" s="51">
        <v>46249.5</v>
      </c>
      <c r="BB292" s="51">
        <v>46249.506944444445</v>
      </c>
      <c r="BC292" s="50">
        <v>46249.513888888891</v>
      </c>
      <c r="BD292" s="50">
        <v>46249.527777777781</v>
      </c>
      <c r="BE292" s="51">
        <v>46249.540277777778</v>
      </c>
      <c r="BF292" s="51">
        <v>46249.552083333336</v>
      </c>
      <c r="BG292" s="51">
        <v>46249.65625</v>
      </c>
      <c r="BH292" s="51">
        <v>46249.707638888889</v>
      </c>
      <c r="BI292" s="30" t="s">
        <v>65</v>
      </c>
      <c r="BJ292" s="50">
        <v>46250.375</v>
      </c>
      <c r="BK292" s="50">
        <v>46250.379861111112</v>
      </c>
      <c r="BL292" s="50">
        <v>46250.386805555558</v>
      </c>
      <c r="BM292" s="50">
        <v>46250.388888888891</v>
      </c>
      <c r="BN292" s="50">
        <v>46250.393055555556</v>
      </c>
      <c r="BR292"/>
      <c r="BS292"/>
      <c r="BT292"/>
      <c r="BU292"/>
      <c r="BV292"/>
      <c r="BW292"/>
      <c r="BX292"/>
      <c r="BY292"/>
    </row>
    <row r="293" spans="1:77">
      <c r="A293" t="s">
        <v>168</v>
      </c>
      <c r="B293" s="30">
        <v>74</v>
      </c>
      <c r="C293" s="30">
        <v>33</v>
      </c>
      <c r="D293" s="30" t="s">
        <v>169</v>
      </c>
      <c r="E293" s="30" t="s">
        <v>170</v>
      </c>
      <c r="F293" s="48">
        <v>46250</v>
      </c>
      <c r="G293" s="48">
        <v>46251</v>
      </c>
      <c r="H293" s="49">
        <v>0.41666666666666669</v>
      </c>
      <c r="I293" s="49">
        <v>0.33333333333333331</v>
      </c>
      <c r="J293" s="30" t="s">
        <v>53</v>
      </c>
      <c r="K293" s="30" t="s">
        <v>171</v>
      </c>
      <c r="L293" s="30">
        <v>1</v>
      </c>
      <c r="M293" s="30" t="s">
        <v>1456</v>
      </c>
      <c r="P293" s="30" t="s">
        <v>174</v>
      </c>
      <c r="Q293" s="30" t="s">
        <v>363</v>
      </c>
      <c r="R293" s="30" t="s">
        <v>548</v>
      </c>
      <c r="S293" s="30" t="s">
        <v>623</v>
      </c>
      <c r="T293" s="30" t="s">
        <v>1457</v>
      </c>
      <c r="U293" s="30" t="s">
        <v>1458</v>
      </c>
      <c r="V293" s="30" t="s">
        <v>2168</v>
      </c>
      <c r="W293" s="30" t="s">
        <v>1459</v>
      </c>
      <c r="X293" s="30" t="s">
        <v>179</v>
      </c>
      <c r="Y293" t="s">
        <v>1908</v>
      </c>
      <c r="Z293" s="30" t="s">
        <v>180</v>
      </c>
      <c r="AA293" s="30" t="s">
        <v>181</v>
      </c>
      <c r="AB293" s="30" t="s">
        <v>55</v>
      </c>
      <c r="AC293" s="30" t="s">
        <v>92</v>
      </c>
      <c r="AD293" s="30" t="s">
        <v>1313</v>
      </c>
      <c r="AE293" s="30">
        <v>20601368766</v>
      </c>
      <c r="AF293" s="30" t="s">
        <v>1460</v>
      </c>
      <c r="AG293" s="30" t="s">
        <v>1461</v>
      </c>
      <c r="AH293" s="30" t="s">
        <v>185</v>
      </c>
      <c r="AI293" s="30" t="s">
        <v>1462</v>
      </c>
      <c r="AJ293" s="30" t="s">
        <v>1463</v>
      </c>
      <c r="AK293" s="30">
        <v>917059103</v>
      </c>
      <c r="AL293" s="30" t="s">
        <v>483</v>
      </c>
      <c r="AM293" t="s">
        <v>270</v>
      </c>
      <c r="AN293" s="30" t="s">
        <v>270</v>
      </c>
      <c r="AO293" s="30" t="s">
        <v>483</v>
      </c>
      <c r="AP293" s="30" t="s">
        <v>483</v>
      </c>
      <c r="AQ293" s="30" t="s">
        <v>483</v>
      </c>
      <c r="AR293" s="30" t="s">
        <v>483</v>
      </c>
      <c r="AS293" s="30" t="s">
        <v>63</v>
      </c>
      <c r="AT293" s="30" t="s">
        <v>64</v>
      </c>
      <c r="AU293" s="50">
        <v>46250.416666666664</v>
      </c>
      <c r="AV293" s="50">
        <v>46250.447916666664</v>
      </c>
      <c r="AW293" s="50">
        <v>46250.451388888891</v>
      </c>
      <c r="AX293" s="50">
        <v>46250.481944444444</v>
      </c>
      <c r="AY293" s="50">
        <v>46250.510416666664</v>
      </c>
      <c r="AZ293" s="50">
        <v>46250.556944444441</v>
      </c>
      <c r="BA293" s="51">
        <v>46251.3125</v>
      </c>
      <c r="BB293" s="51">
        <v>46251.315972222219</v>
      </c>
      <c r="BC293" s="50">
        <v>46251.326388888891</v>
      </c>
      <c r="BD293" s="50">
        <v>46251.340277777781</v>
      </c>
      <c r="BE293" s="51">
        <v>46251.354166666664</v>
      </c>
      <c r="BF293" s="51">
        <v>46251.368055555555</v>
      </c>
      <c r="BG293" s="51">
        <v>46251.53125</v>
      </c>
      <c r="BH293" s="51">
        <v>46251.552083333336</v>
      </c>
      <c r="BI293" s="30" t="s">
        <v>65</v>
      </c>
      <c r="BJ293" s="50">
        <v>46252</v>
      </c>
      <c r="BK293" s="50">
        <v>46252.027777777781</v>
      </c>
      <c r="BL293" s="50">
        <v>46252.036111111112</v>
      </c>
      <c r="BM293" s="50">
        <v>46252.038194444445</v>
      </c>
      <c r="BN293" s="50">
        <v>46252.041666666664</v>
      </c>
      <c r="BR293"/>
      <c r="BS293"/>
      <c r="BT293"/>
      <c r="BU293"/>
      <c r="BV293"/>
      <c r="BW293"/>
      <c r="BX293"/>
      <c r="BY293"/>
    </row>
    <row r="294" spans="1:77">
      <c r="A294" t="s">
        <v>168</v>
      </c>
      <c r="B294" s="30">
        <v>75</v>
      </c>
      <c r="C294" s="30">
        <v>33</v>
      </c>
      <c r="D294" s="30" t="s">
        <v>169</v>
      </c>
      <c r="E294" s="30" t="s">
        <v>170</v>
      </c>
      <c r="F294" s="48">
        <v>46250</v>
      </c>
      <c r="G294" s="48">
        <v>46251</v>
      </c>
      <c r="H294" s="49">
        <v>0.41666666666666669</v>
      </c>
      <c r="I294" s="49">
        <v>0.33333333333333331</v>
      </c>
      <c r="J294" s="30" t="s">
        <v>53</v>
      </c>
      <c r="K294" s="30" t="s">
        <v>171</v>
      </c>
      <c r="L294" s="30">
        <v>1</v>
      </c>
      <c r="M294" s="30" t="s">
        <v>1464</v>
      </c>
      <c r="P294" s="30" t="s">
        <v>174</v>
      </c>
      <c r="Q294" s="30" t="s">
        <v>363</v>
      </c>
      <c r="R294" s="30" t="s">
        <v>548</v>
      </c>
      <c r="S294" s="30" t="s">
        <v>623</v>
      </c>
      <c r="T294" s="30" t="s">
        <v>1465</v>
      </c>
      <c r="U294" s="30" t="s">
        <v>1466</v>
      </c>
      <c r="V294" s="30" t="s">
        <v>2169</v>
      </c>
      <c r="W294" s="30" t="s">
        <v>1467</v>
      </c>
      <c r="X294" s="30" t="s">
        <v>179</v>
      </c>
      <c r="Y294" t="s">
        <v>1908</v>
      </c>
      <c r="Z294" s="30" t="s">
        <v>180</v>
      </c>
      <c r="AA294" s="30" t="s">
        <v>181</v>
      </c>
      <c r="AB294" s="30" t="s">
        <v>55</v>
      </c>
      <c r="AC294" s="30" t="s">
        <v>92</v>
      </c>
      <c r="AD294" s="30" t="s">
        <v>1468</v>
      </c>
      <c r="AE294" s="30">
        <v>20601962102</v>
      </c>
      <c r="AF294" s="30" t="s">
        <v>1145</v>
      </c>
      <c r="AG294" s="30" t="s">
        <v>1442</v>
      </c>
      <c r="AH294" s="30" t="s">
        <v>185</v>
      </c>
      <c r="AI294" s="30" t="s">
        <v>1147</v>
      </c>
      <c r="AJ294" s="30" t="s">
        <v>1148</v>
      </c>
      <c r="AK294" s="30">
        <v>982701637</v>
      </c>
      <c r="AL294" s="30" t="s">
        <v>483</v>
      </c>
      <c r="AM294" t="s">
        <v>270</v>
      </c>
      <c r="AN294" s="30" t="s">
        <v>270</v>
      </c>
      <c r="AO294" s="30" t="s">
        <v>483</v>
      </c>
      <c r="AP294" s="30" t="s">
        <v>483</v>
      </c>
      <c r="AQ294" s="30" t="s">
        <v>483</v>
      </c>
      <c r="AR294" s="30" t="s">
        <v>483</v>
      </c>
      <c r="AS294" s="30" t="s">
        <v>63</v>
      </c>
      <c r="AT294" s="30" t="s">
        <v>64</v>
      </c>
      <c r="AU294" s="50">
        <v>46250.458333333336</v>
      </c>
      <c r="AV294" s="50">
        <v>46250.458333333336</v>
      </c>
      <c r="AW294" s="50">
        <v>46250.461805555555</v>
      </c>
      <c r="AX294" s="50">
        <v>46250.478472222225</v>
      </c>
      <c r="AY294" s="50">
        <v>46250.493055555555</v>
      </c>
      <c r="AZ294" s="50">
        <v>46250.570833333331</v>
      </c>
      <c r="BA294" s="51">
        <v>46251.303472222222</v>
      </c>
      <c r="BB294" s="51">
        <v>46251.3125</v>
      </c>
      <c r="BC294" s="50">
        <v>46251.326388888891</v>
      </c>
      <c r="BD294" s="50">
        <v>46251.340277777781</v>
      </c>
      <c r="BE294" s="51">
        <v>46251.354166666664</v>
      </c>
      <c r="BF294" s="51">
        <v>46251.368055555555</v>
      </c>
      <c r="BG294" s="51">
        <v>46251.541666666664</v>
      </c>
      <c r="BH294" s="51">
        <v>46251.561111111114</v>
      </c>
      <c r="BI294" s="30" t="s">
        <v>65</v>
      </c>
      <c r="BJ294" s="50">
        <v>46252.125</v>
      </c>
      <c r="BK294" s="50">
        <v>46252.127083333333</v>
      </c>
      <c r="BL294" s="50">
        <v>46252.138888888891</v>
      </c>
      <c r="BM294" s="50">
        <v>46252.142361111109</v>
      </c>
      <c r="BN294" s="50">
        <v>46252.147222222222</v>
      </c>
    </row>
    <row r="295" spans="1:77">
      <c r="A295" t="s">
        <v>168</v>
      </c>
      <c r="B295" s="30">
        <v>76</v>
      </c>
      <c r="C295" s="30">
        <v>33</v>
      </c>
      <c r="D295" s="30" t="s">
        <v>169</v>
      </c>
      <c r="E295" s="30" t="s">
        <v>170</v>
      </c>
      <c r="F295" s="48">
        <v>46250</v>
      </c>
      <c r="G295" s="48">
        <v>46251</v>
      </c>
      <c r="H295" s="49">
        <v>0.58333333333333337</v>
      </c>
      <c r="I295" s="49">
        <v>0.5</v>
      </c>
      <c r="J295" s="30" t="s">
        <v>53</v>
      </c>
      <c r="K295" s="30" t="s">
        <v>171</v>
      </c>
      <c r="L295" s="30">
        <v>1</v>
      </c>
      <c r="M295" s="30" t="s">
        <v>1469</v>
      </c>
      <c r="P295" s="30" t="s">
        <v>174</v>
      </c>
      <c r="Q295" s="30" t="s">
        <v>363</v>
      </c>
      <c r="R295" s="30" t="s">
        <v>548</v>
      </c>
      <c r="S295" s="30" t="s">
        <v>623</v>
      </c>
      <c r="T295" s="30" t="s">
        <v>1470</v>
      </c>
      <c r="U295" s="30" t="s">
        <v>1471</v>
      </c>
      <c r="V295" s="30" t="s">
        <v>2170</v>
      </c>
      <c r="W295" s="30" t="s">
        <v>1472</v>
      </c>
      <c r="X295" s="30" t="s">
        <v>179</v>
      </c>
      <c r="Y295" t="s">
        <v>1908</v>
      </c>
      <c r="Z295" s="30" t="s">
        <v>180</v>
      </c>
      <c r="AA295" s="30" t="s">
        <v>181</v>
      </c>
      <c r="AB295" s="30" t="s">
        <v>55</v>
      </c>
      <c r="AC295" s="30" t="s">
        <v>92</v>
      </c>
      <c r="AD295" s="30" t="s">
        <v>1473</v>
      </c>
      <c r="AE295" s="30">
        <v>20608822098</v>
      </c>
      <c r="AF295" s="30" t="s">
        <v>1474</v>
      </c>
      <c r="AG295" s="30" t="s">
        <v>1475</v>
      </c>
      <c r="AH295" s="30" t="s">
        <v>185</v>
      </c>
      <c r="AI295" s="30" t="s">
        <v>1476</v>
      </c>
      <c r="AJ295" s="30" t="s">
        <v>1477</v>
      </c>
      <c r="AK295" s="30">
        <v>922823089</v>
      </c>
      <c r="AL295" s="30" t="s">
        <v>483</v>
      </c>
      <c r="AM295" t="s">
        <v>270</v>
      </c>
      <c r="AN295" s="30" t="s">
        <v>270</v>
      </c>
      <c r="AO295" s="30" t="s">
        <v>483</v>
      </c>
      <c r="AP295" s="30" t="s">
        <v>483</v>
      </c>
      <c r="AQ295" s="30" t="s">
        <v>483</v>
      </c>
      <c r="AR295" s="30" t="s">
        <v>483</v>
      </c>
      <c r="AS295" s="30" t="s">
        <v>63</v>
      </c>
      <c r="AT295" s="30" t="s">
        <v>64</v>
      </c>
      <c r="AU295" s="50">
        <v>46250.666666666664</v>
      </c>
      <c r="AV295" s="50">
        <v>46250.695833333331</v>
      </c>
      <c r="AW295" s="50">
        <v>46250.697916666664</v>
      </c>
      <c r="AX295" s="50">
        <v>46250.713888888888</v>
      </c>
      <c r="AY295" s="50">
        <v>46250.729166666664</v>
      </c>
      <c r="AZ295" s="50">
        <v>46250.866666666669</v>
      </c>
      <c r="BA295" s="51">
        <v>46251.5</v>
      </c>
      <c r="BB295" s="51">
        <v>46251.517361111109</v>
      </c>
      <c r="BC295" s="50">
        <v>46251.541666666664</v>
      </c>
      <c r="BD295" s="50">
        <v>46251.541666666664</v>
      </c>
      <c r="BE295" s="51">
        <v>46251.555555555555</v>
      </c>
      <c r="BF295" s="51">
        <v>46251.569444444445</v>
      </c>
      <c r="BG295" s="51">
        <v>46251.666666666664</v>
      </c>
      <c r="BH295" s="51">
        <v>46251.682638888888</v>
      </c>
      <c r="BI295" s="30" t="s">
        <v>65</v>
      </c>
      <c r="BJ295" s="50">
        <v>46252.416666666664</v>
      </c>
      <c r="BK295" s="50">
        <v>46252.443055555559</v>
      </c>
      <c r="BL295" s="50">
        <v>46252.446527777778</v>
      </c>
      <c r="BM295" s="50">
        <v>46252.448611111111</v>
      </c>
      <c r="BN295" s="50">
        <v>46252.453472222223</v>
      </c>
    </row>
    <row r="296" spans="1:77">
      <c r="A296" t="s">
        <v>168</v>
      </c>
      <c r="B296" s="30">
        <v>77</v>
      </c>
      <c r="C296" s="30">
        <v>33</v>
      </c>
      <c r="D296" s="30" t="s">
        <v>169</v>
      </c>
      <c r="E296" s="30" t="s">
        <v>170</v>
      </c>
      <c r="F296" s="48">
        <v>46251</v>
      </c>
      <c r="G296" s="48">
        <v>46252</v>
      </c>
      <c r="H296" s="49">
        <v>0.41666666666666669</v>
      </c>
      <c r="I296" s="49">
        <v>0.33333333333333331</v>
      </c>
      <c r="J296" s="30" t="s">
        <v>53</v>
      </c>
      <c r="K296" s="30" t="s">
        <v>171</v>
      </c>
      <c r="L296" s="30">
        <v>1</v>
      </c>
      <c r="M296" s="30" t="s">
        <v>1478</v>
      </c>
      <c r="P296" s="30" t="s">
        <v>174</v>
      </c>
      <c r="Q296" s="30" t="s">
        <v>363</v>
      </c>
      <c r="R296" s="30" t="s">
        <v>175</v>
      </c>
      <c r="S296" s="30" t="s">
        <v>176</v>
      </c>
      <c r="T296" s="30" t="s">
        <v>1479</v>
      </c>
      <c r="U296" s="30" t="s">
        <v>1480</v>
      </c>
      <c r="V296" s="30" t="s">
        <v>2171</v>
      </c>
      <c r="W296" s="30" t="s">
        <v>1481</v>
      </c>
      <c r="X296" s="30" t="s">
        <v>179</v>
      </c>
      <c r="Y296" t="s">
        <v>1908</v>
      </c>
      <c r="Z296" s="30" t="s">
        <v>180</v>
      </c>
      <c r="AA296" s="30" t="s">
        <v>181</v>
      </c>
      <c r="AB296" s="30" t="s">
        <v>55</v>
      </c>
      <c r="AC296" s="30" t="s">
        <v>92</v>
      </c>
      <c r="AD296" s="30" t="s">
        <v>1260</v>
      </c>
      <c r="AE296" s="30">
        <v>20611958651</v>
      </c>
      <c r="AF296" s="30" t="s">
        <v>1482</v>
      </c>
      <c r="AG296" s="30" t="s">
        <v>1262</v>
      </c>
      <c r="AH296" s="30" t="s">
        <v>185</v>
      </c>
      <c r="AI296" s="30" t="s">
        <v>1483</v>
      </c>
      <c r="AJ296" s="30" t="s">
        <v>1484</v>
      </c>
      <c r="AK296" s="30">
        <v>952102899</v>
      </c>
      <c r="AL296" s="30" t="s">
        <v>483</v>
      </c>
      <c r="AM296" t="s">
        <v>270</v>
      </c>
      <c r="AN296" s="30" t="s">
        <v>270</v>
      </c>
      <c r="AO296" s="30" t="s">
        <v>483</v>
      </c>
      <c r="AP296" s="30" t="s">
        <v>483</v>
      </c>
      <c r="AQ296" s="30" t="s">
        <v>483</v>
      </c>
      <c r="AR296" s="30" t="s">
        <v>483</v>
      </c>
      <c r="AS296" s="30" t="s">
        <v>63</v>
      </c>
      <c r="AT296" s="30" t="s">
        <v>64</v>
      </c>
      <c r="AU296" s="50">
        <v>46251.458333333336</v>
      </c>
      <c r="AV296" s="50">
        <v>46251.474999999999</v>
      </c>
      <c r="AW296" s="50">
        <v>46251.479166666664</v>
      </c>
      <c r="AX296" s="50">
        <v>46251.495833333334</v>
      </c>
      <c r="AY296" s="50">
        <v>46251.513888888891</v>
      </c>
      <c r="AZ296" s="50">
        <v>46251.543749999997</v>
      </c>
      <c r="BA296" s="51">
        <v>46252.272916666669</v>
      </c>
      <c r="BB296" s="51">
        <v>46252.277777777781</v>
      </c>
      <c r="BC296" s="50">
        <v>46252.291666666664</v>
      </c>
      <c r="BD296" s="50">
        <v>46252.305555555555</v>
      </c>
      <c r="BE296" s="51">
        <v>46252.319444444445</v>
      </c>
      <c r="BF296" s="51">
        <v>46252.333333333336</v>
      </c>
      <c r="BG296" s="51">
        <v>46252.520833333336</v>
      </c>
      <c r="BH296" s="51">
        <v>46252.529861111114</v>
      </c>
      <c r="BI296" s="30" t="s">
        <v>65</v>
      </c>
      <c r="BJ296" s="50">
        <v>46253.041666666664</v>
      </c>
      <c r="BK296" s="50">
        <v>46253.053472222222</v>
      </c>
      <c r="BL296" s="50">
        <v>46253.061111111114</v>
      </c>
      <c r="BM296" s="50">
        <v>46253.063888888886</v>
      </c>
      <c r="BN296" s="50">
        <v>46253.077777777777</v>
      </c>
    </row>
    <row r="297" spans="1:77">
      <c r="A297" t="s">
        <v>168</v>
      </c>
      <c r="B297" s="30">
        <v>78</v>
      </c>
      <c r="C297" s="30">
        <v>33</v>
      </c>
      <c r="D297" s="30" t="s">
        <v>169</v>
      </c>
      <c r="E297" s="30" t="s">
        <v>170</v>
      </c>
      <c r="F297" s="48">
        <v>46251</v>
      </c>
      <c r="G297" s="48">
        <v>46252</v>
      </c>
      <c r="H297" s="49">
        <v>0.41666666666666669</v>
      </c>
      <c r="I297" s="49">
        <v>0.33333333333333331</v>
      </c>
      <c r="J297" s="30" t="s">
        <v>53</v>
      </c>
      <c r="K297" s="30" t="s">
        <v>171</v>
      </c>
      <c r="L297" s="30">
        <v>1</v>
      </c>
      <c r="M297" s="30" t="s">
        <v>1485</v>
      </c>
      <c r="P297" s="30" t="s">
        <v>174</v>
      </c>
      <c r="Q297" s="30" t="s">
        <v>363</v>
      </c>
      <c r="R297" s="30" t="s">
        <v>175</v>
      </c>
      <c r="S297" s="30" t="s">
        <v>176</v>
      </c>
      <c r="T297" s="30" t="s">
        <v>1486</v>
      </c>
      <c r="U297" s="30" t="s">
        <v>1487</v>
      </c>
      <c r="V297" s="30" t="s">
        <v>2172</v>
      </c>
      <c r="W297" s="30" t="s">
        <v>1488</v>
      </c>
      <c r="X297" s="30" t="s">
        <v>179</v>
      </c>
      <c r="Y297" t="s">
        <v>1908</v>
      </c>
      <c r="Z297" s="30" t="s">
        <v>180</v>
      </c>
      <c r="AA297" s="30" t="s">
        <v>181</v>
      </c>
      <c r="AB297" s="30" t="s">
        <v>55</v>
      </c>
      <c r="AC297" s="30" t="s">
        <v>92</v>
      </c>
      <c r="AD297" s="30" t="s">
        <v>1322</v>
      </c>
      <c r="AE297" s="30">
        <v>20614402246</v>
      </c>
      <c r="AF297" s="30" t="s">
        <v>1163</v>
      </c>
      <c r="AG297" s="30" t="s">
        <v>1323</v>
      </c>
      <c r="AH297" s="30" t="s">
        <v>185</v>
      </c>
      <c r="AI297" s="30" t="s">
        <v>1165</v>
      </c>
      <c r="AJ297" s="30" t="s">
        <v>1166</v>
      </c>
      <c r="AK297" s="30">
        <v>914113779</v>
      </c>
      <c r="AL297" s="30" t="s">
        <v>483</v>
      </c>
      <c r="AM297" t="s">
        <v>270</v>
      </c>
      <c r="AN297" s="30" t="s">
        <v>270</v>
      </c>
      <c r="AO297" s="30" t="s">
        <v>483</v>
      </c>
      <c r="AP297" s="30" t="s">
        <v>483</v>
      </c>
      <c r="AQ297" s="30" t="s">
        <v>483</v>
      </c>
      <c r="AR297" s="30" t="s">
        <v>483</v>
      </c>
      <c r="AS297" s="30" t="s">
        <v>63</v>
      </c>
      <c r="AT297" s="30" t="s">
        <v>64</v>
      </c>
      <c r="AU297" s="50">
        <v>46251.458333333336</v>
      </c>
      <c r="AV297" s="50">
        <v>46251.486111111109</v>
      </c>
      <c r="AW297" s="50">
        <v>46251.489583333336</v>
      </c>
      <c r="AX297" s="50">
        <v>46251.499305555553</v>
      </c>
      <c r="AY297" s="50">
        <v>46251.513888888891</v>
      </c>
      <c r="AZ297" s="50">
        <v>46251.551388888889</v>
      </c>
      <c r="BA297" s="51">
        <v>46252.372916666667</v>
      </c>
      <c r="BB297" s="51">
        <v>46252.375</v>
      </c>
      <c r="BC297" s="50">
        <v>46252.388888888891</v>
      </c>
      <c r="BD297" s="50">
        <v>46252.409722222219</v>
      </c>
      <c r="BE297" s="51">
        <v>46252.423611111109</v>
      </c>
      <c r="BF297" s="51">
        <v>46252.4375</v>
      </c>
      <c r="BG297" s="51">
        <v>46252.520833333336</v>
      </c>
      <c r="BH297" s="51">
        <v>46252.53402777778</v>
      </c>
      <c r="BI297" s="30" t="s">
        <v>65</v>
      </c>
      <c r="BJ297" s="50">
        <v>46253.291666666664</v>
      </c>
      <c r="BK297" s="50">
        <v>46253.311805555553</v>
      </c>
      <c r="BL297" s="50">
        <v>46253.318055555559</v>
      </c>
      <c r="BM297" s="50">
        <v>46253.320833333331</v>
      </c>
      <c r="BN297" s="50">
        <v>46253.322916666664</v>
      </c>
    </row>
    <row r="298" spans="1:77">
      <c r="A298" t="s">
        <v>168</v>
      </c>
      <c r="B298" s="30">
        <v>79</v>
      </c>
      <c r="C298" s="30">
        <v>34</v>
      </c>
      <c r="D298" s="30" t="s">
        <v>169</v>
      </c>
      <c r="E298" s="30" t="s">
        <v>170</v>
      </c>
      <c r="F298" s="48">
        <v>46251</v>
      </c>
      <c r="G298" s="48">
        <v>46252</v>
      </c>
      <c r="H298" s="49">
        <v>0.625</v>
      </c>
      <c r="I298" s="49">
        <v>0.54166666666666663</v>
      </c>
      <c r="J298" s="30" t="s">
        <v>53</v>
      </c>
      <c r="K298" s="30" t="s">
        <v>171</v>
      </c>
      <c r="L298" s="30">
        <v>0.5</v>
      </c>
      <c r="M298" s="30" t="s">
        <v>1489</v>
      </c>
      <c r="P298" s="30" t="s">
        <v>174</v>
      </c>
      <c r="Q298" s="30" t="s">
        <v>363</v>
      </c>
      <c r="R298" s="30" t="s">
        <v>1490</v>
      </c>
      <c r="S298" s="30" t="s">
        <v>1491</v>
      </c>
      <c r="T298" s="30">
        <v>275833094</v>
      </c>
      <c r="U298" s="30" t="s">
        <v>1492</v>
      </c>
      <c r="V298" s="30" t="s">
        <v>2173</v>
      </c>
      <c r="W298" s="30" t="s">
        <v>1493</v>
      </c>
      <c r="X298" s="30" t="s">
        <v>179</v>
      </c>
      <c r="Y298" t="s">
        <v>180</v>
      </c>
      <c r="Z298" s="30" t="s">
        <v>180</v>
      </c>
      <c r="AA298" s="30" t="s">
        <v>181</v>
      </c>
      <c r="AB298" s="30" t="s">
        <v>55</v>
      </c>
      <c r="AC298" s="30" t="s">
        <v>92</v>
      </c>
      <c r="AD298" s="30" t="s">
        <v>1387</v>
      </c>
      <c r="AE298" s="30">
        <v>20609890771</v>
      </c>
      <c r="AF298" s="30" t="s">
        <v>1396</v>
      </c>
      <c r="AG298" s="30" t="s">
        <v>1397</v>
      </c>
      <c r="AH298" s="30" t="s">
        <v>185</v>
      </c>
      <c r="AI298" s="30" t="s">
        <v>1909</v>
      </c>
      <c r="AJ298" s="30" t="s">
        <v>1910</v>
      </c>
      <c r="AK298" s="30">
        <v>970693376</v>
      </c>
      <c r="AL298" s="30" t="s">
        <v>483</v>
      </c>
      <c r="AM298" t="s">
        <v>270</v>
      </c>
      <c r="AN298" s="30" t="s">
        <v>270</v>
      </c>
      <c r="AO298" s="30" t="s">
        <v>483</v>
      </c>
      <c r="AP298" s="30" t="s">
        <v>483</v>
      </c>
      <c r="AQ298" s="30" t="s">
        <v>483</v>
      </c>
      <c r="AR298" s="30" t="s">
        <v>483</v>
      </c>
      <c r="AS298" s="30" t="s">
        <v>63</v>
      </c>
      <c r="AT298" s="30" t="s">
        <v>787</v>
      </c>
      <c r="AU298" s="50">
        <v>46251.625</v>
      </c>
      <c r="AV298" s="50">
        <v>46251.620138888888</v>
      </c>
      <c r="AW298" s="50">
        <v>46251.75</v>
      </c>
      <c r="AX298" s="50">
        <v>46251.75277777778</v>
      </c>
      <c r="AY298" s="50">
        <v>46251.763888888891</v>
      </c>
      <c r="AZ298" s="50">
        <v>46251.771527777775</v>
      </c>
      <c r="BA298" s="51">
        <v>46252.519444444442</v>
      </c>
      <c r="BB298" s="51">
        <v>46252.520138888889</v>
      </c>
      <c r="BC298" s="50">
        <v>46252.59097222222</v>
      </c>
      <c r="BD298" s="50">
        <v>46252.603472222225</v>
      </c>
      <c r="BE298" s="51">
        <v>46252.728472222225</v>
      </c>
      <c r="BF298" s="51">
        <v>46252.742361111108</v>
      </c>
      <c r="BG298" s="51">
        <v>46252.759027777778</v>
      </c>
      <c r="BH298" s="51">
        <v>46252.824305555558</v>
      </c>
      <c r="BI298" s="30" t="s">
        <v>65</v>
      </c>
      <c r="BJ298" s="50">
        <v>46253.666666666664</v>
      </c>
      <c r="BK298" s="50">
        <v>46253.631944444445</v>
      </c>
      <c r="BL298" s="50">
        <v>46253.873611111114</v>
      </c>
      <c r="BM298" s="50">
        <v>46253.878472222219</v>
      </c>
      <c r="BN298" s="50">
        <v>46253.884027777778</v>
      </c>
    </row>
    <row r="299" spans="1:77">
      <c r="A299" t="s">
        <v>168</v>
      </c>
      <c r="B299" s="30">
        <v>80</v>
      </c>
      <c r="C299" s="30">
        <v>34</v>
      </c>
      <c r="D299" s="30" t="s">
        <v>360</v>
      </c>
      <c r="E299" s="30" t="s">
        <v>170</v>
      </c>
      <c r="F299" s="48">
        <v>46251</v>
      </c>
      <c r="G299" s="48">
        <v>46253</v>
      </c>
      <c r="H299" s="49">
        <v>0.41666666666666669</v>
      </c>
      <c r="I299" s="49">
        <v>0.33333333333333331</v>
      </c>
      <c r="J299" s="30" t="s">
        <v>361</v>
      </c>
      <c r="K299" s="30" t="s">
        <v>171</v>
      </c>
      <c r="L299" s="30">
        <v>0.5</v>
      </c>
      <c r="M299" s="30" t="s">
        <v>1489</v>
      </c>
      <c r="P299" s="30" t="s">
        <v>174</v>
      </c>
      <c r="Q299" s="30" t="s">
        <v>363</v>
      </c>
      <c r="R299" s="30" t="s">
        <v>1490</v>
      </c>
      <c r="S299" s="30" t="s">
        <v>1491</v>
      </c>
      <c r="T299" s="30">
        <v>275833094</v>
      </c>
      <c r="U299" s="30" t="s">
        <v>1492</v>
      </c>
      <c r="V299" s="30" t="s">
        <v>2174</v>
      </c>
      <c r="W299" s="30" t="s">
        <v>1493</v>
      </c>
      <c r="X299" s="30" t="s">
        <v>179</v>
      </c>
      <c r="Y299" t="s">
        <v>180</v>
      </c>
      <c r="Z299" s="30" t="s">
        <v>180</v>
      </c>
      <c r="AA299" s="30" t="s">
        <v>181</v>
      </c>
      <c r="AB299" s="30" t="s">
        <v>55</v>
      </c>
      <c r="AC299" s="30" t="s">
        <v>92</v>
      </c>
      <c r="AD299" s="30" t="s">
        <v>1387</v>
      </c>
      <c r="AE299" s="30">
        <v>20609890771</v>
      </c>
      <c r="AF299" s="30" t="s">
        <v>1396</v>
      </c>
      <c r="AG299" s="30" t="s">
        <v>1397</v>
      </c>
      <c r="AH299" s="30" t="s">
        <v>185</v>
      </c>
      <c r="AI299" s="30" t="s">
        <v>1909</v>
      </c>
      <c r="AJ299" s="30" t="s">
        <v>1910</v>
      </c>
      <c r="AK299" s="30">
        <v>970693376</v>
      </c>
      <c r="AL299" s="30" t="s">
        <v>483</v>
      </c>
      <c r="AM299" t="s">
        <v>270</v>
      </c>
      <c r="AN299" s="30" t="s">
        <v>270</v>
      </c>
      <c r="AO299" s="30" t="s">
        <v>483</v>
      </c>
      <c r="AP299" s="30" t="s">
        <v>483</v>
      </c>
      <c r="AQ299" s="30" t="s">
        <v>483</v>
      </c>
      <c r="AR299" s="30" t="s">
        <v>483</v>
      </c>
      <c r="AS299" s="30" t="s">
        <v>63</v>
      </c>
      <c r="AT299" s="30" t="s">
        <v>787</v>
      </c>
      <c r="AU299" s="50">
        <v>46251.625</v>
      </c>
      <c r="AV299" s="50">
        <v>46251.620138888888</v>
      </c>
      <c r="AW299" s="50">
        <v>46251.75</v>
      </c>
      <c r="AX299" s="50">
        <v>46251.75277777778</v>
      </c>
      <c r="AY299" s="50">
        <v>46251.763888888891</v>
      </c>
      <c r="AZ299" s="50">
        <v>46251.771527777775</v>
      </c>
      <c r="BA299" s="51">
        <v>46253.325694444444</v>
      </c>
      <c r="BB299" s="51">
        <v>46253.332638888889</v>
      </c>
      <c r="BC299" s="50">
        <v>46253.333333333336</v>
      </c>
      <c r="BD299" s="50">
        <v>46253.344444444447</v>
      </c>
      <c r="BE299" s="51">
        <v>46253.598611111112</v>
      </c>
      <c r="BF299" s="51">
        <v>46253.616666666669</v>
      </c>
      <c r="BG299" s="51">
        <v>46253.625694444447</v>
      </c>
      <c r="BH299" s="51">
        <v>46253.631944444445</v>
      </c>
      <c r="BI299" s="30" t="s">
        <v>65</v>
      </c>
      <c r="BJ299" s="50">
        <v>46253.666666666664</v>
      </c>
      <c r="BK299" s="50">
        <v>46253.631944444445</v>
      </c>
      <c r="BL299" s="50">
        <v>46253.873611111114</v>
      </c>
      <c r="BM299" s="50">
        <v>46253.878472222219</v>
      </c>
      <c r="BN299" s="50">
        <v>46253.884027777778</v>
      </c>
    </row>
    <row r="300" spans="1:77">
      <c r="A300" t="s">
        <v>168</v>
      </c>
      <c r="B300" s="30">
        <v>81</v>
      </c>
      <c r="C300" s="30">
        <v>34</v>
      </c>
      <c r="D300" s="30" t="s">
        <v>169</v>
      </c>
      <c r="E300" s="30" t="s">
        <v>170</v>
      </c>
      <c r="F300" s="48">
        <v>46256</v>
      </c>
      <c r="G300" s="48">
        <v>46257</v>
      </c>
      <c r="H300" s="49">
        <v>0.5</v>
      </c>
      <c r="I300" s="49">
        <v>0.58333333333333337</v>
      </c>
      <c r="J300" s="30" t="s">
        <v>53</v>
      </c>
      <c r="K300" s="30" t="s">
        <v>171</v>
      </c>
      <c r="L300" s="30">
        <v>1</v>
      </c>
      <c r="M300" s="30" t="s">
        <v>1912</v>
      </c>
      <c r="P300" s="30" t="s">
        <v>174</v>
      </c>
      <c r="Q300" s="30" t="s">
        <v>363</v>
      </c>
      <c r="R300" s="30" t="s">
        <v>175</v>
      </c>
      <c r="S300" s="30" t="s">
        <v>1491</v>
      </c>
      <c r="T300" s="30" t="s">
        <v>1913</v>
      </c>
      <c r="U300" s="30" t="s">
        <v>1914</v>
      </c>
      <c r="V300" s="30" t="s">
        <v>2175</v>
      </c>
      <c r="W300" s="30" t="s">
        <v>1915</v>
      </c>
      <c r="X300" s="30" t="s">
        <v>179</v>
      </c>
      <c r="Y300" t="s">
        <v>180</v>
      </c>
      <c r="Z300" s="30" t="s">
        <v>180</v>
      </c>
      <c r="AA300" s="30" t="s">
        <v>181</v>
      </c>
      <c r="AB300" s="30" t="s">
        <v>55</v>
      </c>
      <c r="AC300" s="30" t="s">
        <v>92</v>
      </c>
      <c r="AD300" s="30" t="s">
        <v>1322</v>
      </c>
      <c r="AE300" s="30">
        <v>20614402246</v>
      </c>
      <c r="AF300" s="30" t="s">
        <v>1163</v>
      </c>
      <c r="AG300" s="30" t="s">
        <v>1323</v>
      </c>
      <c r="AH300" s="30" t="s">
        <v>185</v>
      </c>
      <c r="AI300" s="30" t="s">
        <v>1165</v>
      </c>
      <c r="AJ300" s="30" t="s">
        <v>1166</v>
      </c>
      <c r="AK300" s="30">
        <v>956485666</v>
      </c>
      <c r="AL300" s="30" t="s">
        <v>483</v>
      </c>
      <c r="AM300" t="s">
        <v>270</v>
      </c>
      <c r="AN300" s="30" t="s">
        <v>270</v>
      </c>
      <c r="AO300" s="30" t="s">
        <v>483</v>
      </c>
      <c r="AP300" s="30" t="s">
        <v>483</v>
      </c>
      <c r="AQ300" s="30" t="s">
        <v>483</v>
      </c>
      <c r="AR300" s="30" t="s">
        <v>483</v>
      </c>
      <c r="AS300" s="30" t="s">
        <v>63</v>
      </c>
      <c r="AT300" s="30" t="s">
        <v>64</v>
      </c>
      <c r="AU300" s="50">
        <v>46256.5</v>
      </c>
      <c r="AV300" s="50">
        <v>46256.517361111109</v>
      </c>
      <c r="AW300" s="50">
        <v>46256.531944444447</v>
      </c>
      <c r="AX300" s="50">
        <v>46256.538194444445</v>
      </c>
      <c r="AY300" s="50">
        <v>46256.605555555558</v>
      </c>
      <c r="AZ300" s="50">
        <v>46256.625</v>
      </c>
      <c r="BA300" s="51">
        <v>46257.565972222219</v>
      </c>
      <c r="BB300" s="51">
        <v>46257.569444444445</v>
      </c>
      <c r="BC300" s="50">
        <v>46257.576388888891</v>
      </c>
      <c r="BD300" s="50">
        <v>46257.579861111109</v>
      </c>
      <c r="BE300" s="51">
        <v>46257.586805555555</v>
      </c>
      <c r="BF300" s="51">
        <v>46257.614583333336</v>
      </c>
      <c r="BG300" s="51">
        <v>46257.770833333336</v>
      </c>
      <c r="BH300" s="51">
        <v>46257.791666666664</v>
      </c>
      <c r="BI300" s="30" t="s">
        <v>65</v>
      </c>
      <c r="BJ300" s="50">
        <v>46258.625</v>
      </c>
      <c r="BK300" s="50">
        <v>46258.599305555559</v>
      </c>
      <c r="BL300" s="50">
        <v>46258.615277777775</v>
      </c>
      <c r="BM300" s="50">
        <v>46258.618055555555</v>
      </c>
      <c r="BN300" s="50">
        <v>46258.631944444445</v>
      </c>
    </row>
    <row r="301" spans="1:77">
      <c r="A301" t="s">
        <v>168</v>
      </c>
      <c r="B301" s="30">
        <v>82</v>
      </c>
      <c r="C301" s="30">
        <v>34</v>
      </c>
      <c r="D301" s="30" t="s">
        <v>169</v>
      </c>
      <c r="E301" s="30" t="s">
        <v>170</v>
      </c>
      <c r="F301" s="48">
        <v>46257</v>
      </c>
      <c r="G301" s="48">
        <v>46258</v>
      </c>
      <c r="H301" s="49">
        <v>0.45833333333333331</v>
      </c>
      <c r="I301" s="49">
        <v>0.5</v>
      </c>
      <c r="J301" s="30" t="s">
        <v>53</v>
      </c>
      <c r="K301" s="30" t="s">
        <v>171</v>
      </c>
      <c r="L301" s="30">
        <v>1</v>
      </c>
      <c r="M301" s="30" t="s">
        <v>1916</v>
      </c>
      <c r="P301" s="30" t="s">
        <v>174</v>
      </c>
      <c r="Q301" s="30" t="s">
        <v>363</v>
      </c>
      <c r="R301" s="30" t="s">
        <v>548</v>
      </c>
      <c r="S301" s="30" t="s">
        <v>623</v>
      </c>
      <c r="T301" s="30" t="s">
        <v>1917</v>
      </c>
      <c r="U301" s="30" t="s">
        <v>1918</v>
      </c>
      <c r="V301" s="30" t="s">
        <v>2176</v>
      </c>
      <c r="W301" s="30" t="s">
        <v>1919</v>
      </c>
      <c r="X301" s="30" t="s">
        <v>179</v>
      </c>
      <c r="Y301" t="s">
        <v>180</v>
      </c>
      <c r="Z301" s="30" t="s">
        <v>180</v>
      </c>
      <c r="AA301" s="30" t="s">
        <v>181</v>
      </c>
      <c r="AB301" s="30" t="s">
        <v>55</v>
      </c>
      <c r="AC301" s="30" t="s">
        <v>92</v>
      </c>
      <c r="AD301" s="30" t="s">
        <v>1313</v>
      </c>
      <c r="AE301" s="30">
        <v>20601368766</v>
      </c>
      <c r="AF301" s="30" t="s">
        <v>1920</v>
      </c>
      <c r="AG301" s="30" t="s">
        <v>1921</v>
      </c>
      <c r="AH301" s="30" t="s">
        <v>185</v>
      </c>
      <c r="AI301" s="30" t="s">
        <v>1922</v>
      </c>
      <c r="AJ301" s="30" t="s">
        <v>1923</v>
      </c>
      <c r="AK301" s="30">
        <v>996875993</v>
      </c>
      <c r="AL301" s="30" t="s">
        <v>483</v>
      </c>
      <c r="AM301" t="s">
        <v>270</v>
      </c>
      <c r="AN301" s="30" t="s">
        <v>270</v>
      </c>
      <c r="AO301" s="30" t="s">
        <v>483</v>
      </c>
      <c r="AP301" s="30" t="s">
        <v>483</v>
      </c>
      <c r="AQ301" s="30" t="s">
        <v>483</v>
      </c>
      <c r="AR301" s="30" t="s">
        <v>483</v>
      </c>
      <c r="AS301" s="30" t="s">
        <v>63</v>
      </c>
      <c r="AT301" s="30" t="s">
        <v>64</v>
      </c>
      <c r="AU301" s="50">
        <v>46257.458333333336</v>
      </c>
      <c r="AV301" s="50">
        <v>46257.459722222222</v>
      </c>
      <c r="AW301" s="50">
        <v>46257.491666666669</v>
      </c>
      <c r="AX301" s="50">
        <v>46257.5</v>
      </c>
      <c r="AY301" s="50">
        <v>46257.524305555555</v>
      </c>
      <c r="AZ301" s="50">
        <v>46257.541666666664</v>
      </c>
      <c r="BA301" s="51">
        <v>46258.413194444445</v>
      </c>
      <c r="BB301" s="51">
        <v>46258.416666666664</v>
      </c>
      <c r="BC301" s="50">
        <v>46258.423611111109</v>
      </c>
      <c r="BD301" s="50">
        <v>46258.427083333336</v>
      </c>
      <c r="BE301" s="51">
        <v>46258.434027777781</v>
      </c>
      <c r="BF301" s="51">
        <v>46258.454861111109</v>
      </c>
      <c r="BG301" s="51">
        <v>46258.666666666664</v>
      </c>
      <c r="BH301" s="51">
        <v>46258.692361111112</v>
      </c>
      <c r="BI301" s="30" t="s">
        <v>65</v>
      </c>
      <c r="BJ301" s="50">
        <v>46259.458333333336</v>
      </c>
      <c r="BK301" s="50">
        <v>46259.436111111114</v>
      </c>
      <c r="BL301" s="50">
        <v>46259.442361111112</v>
      </c>
      <c r="BM301" s="50">
        <v>46259.444444444445</v>
      </c>
      <c r="BN301" s="50">
        <v>46259.455555555556</v>
      </c>
    </row>
    <row r="302" spans="1:77">
      <c r="A302" t="s">
        <v>168</v>
      </c>
      <c r="B302" s="30">
        <v>83</v>
      </c>
      <c r="C302" s="30">
        <v>34</v>
      </c>
      <c r="D302" s="30" t="s">
        <v>169</v>
      </c>
      <c r="E302" s="30" t="s">
        <v>170</v>
      </c>
      <c r="F302" s="48">
        <v>46258</v>
      </c>
      <c r="G302" s="48">
        <v>46259</v>
      </c>
      <c r="H302" s="49">
        <v>0.45833333333333331</v>
      </c>
      <c r="I302" s="49">
        <v>0.375</v>
      </c>
      <c r="J302" s="30" t="s">
        <v>53</v>
      </c>
      <c r="K302" s="30" t="s">
        <v>171</v>
      </c>
      <c r="L302" s="30">
        <v>1</v>
      </c>
      <c r="M302" s="30" t="s">
        <v>1924</v>
      </c>
      <c r="P302" s="30" t="s">
        <v>174</v>
      </c>
      <c r="Q302" s="30" t="s">
        <v>363</v>
      </c>
      <c r="R302" s="30" t="s">
        <v>175</v>
      </c>
      <c r="S302" s="30" t="s">
        <v>176</v>
      </c>
      <c r="T302" s="30" t="s">
        <v>1925</v>
      </c>
      <c r="U302" s="30" t="s">
        <v>1926</v>
      </c>
      <c r="V302" s="30" t="s">
        <v>2177</v>
      </c>
      <c r="W302" s="30" t="s">
        <v>1927</v>
      </c>
      <c r="X302" s="30" t="s">
        <v>179</v>
      </c>
      <c r="Y302" t="s">
        <v>180</v>
      </c>
      <c r="Z302" s="30" t="s">
        <v>180</v>
      </c>
      <c r="AA302" s="30" t="s">
        <v>181</v>
      </c>
      <c r="AB302" s="30" t="s">
        <v>55</v>
      </c>
      <c r="AC302" s="30" t="s">
        <v>92</v>
      </c>
      <c r="AD302" s="30" t="s">
        <v>1117</v>
      </c>
      <c r="AE302" s="30">
        <v>20612886921</v>
      </c>
      <c r="AF302" s="30" t="s">
        <v>1928</v>
      </c>
      <c r="AG302" s="30" t="s">
        <v>1929</v>
      </c>
      <c r="AH302" s="30" t="s">
        <v>185</v>
      </c>
      <c r="AI302" s="30" t="s">
        <v>1930</v>
      </c>
      <c r="AJ302" s="30" t="s">
        <v>1931</v>
      </c>
      <c r="AK302" s="30">
        <v>923785528</v>
      </c>
      <c r="AL302" s="30" t="s">
        <v>483</v>
      </c>
      <c r="AM302" t="s">
        <v>270</v>
      </c>
      <c r="AN302" s="30" t="s">
        <v>270</v>
      </c>
      <c r="AO302" s="30" t="s">
        <v>483</v>
      </c>
      <c r="AP302" s="30" t="s">
        <v>483</v>
      </c>
      <c r="AQ302" s="30" t="s">
        <v>483</v>
      </c>
      <c r="AR302" s="30" t="s">
        <v>483</v>
      </c>
      <c r="AS302" s="30" t="s">
        <v>63</v>
      </c>
      <c r="AT302" s="30" t="s">
        <v>64</v>
      </c>
      <c r="AU302" s="50">
        <v>46258.458333333336</v>
      </c>
      <c r="AV302" s="50">
        <v>46258.46875</v>
      </c>
      <c r="AW302" s="50">
        <v>46258.490277777775</v>
      </c>
      <c r="AX302" s="50">
        <v>46258.49722222222</v>
      </c>
      <c r="AY302" s="50">
        <v>46258.531944444447</v>
      </c>
      <c r="AZ302" s="50">
        <v>46258.5625</v>
      </c>
      <c r="BA302" s="51">
        <v>46259.334027777775</v>
      </c>
      <c r="BB302" s="51">
        <v>46259.336805555555</v>
      </c>
      <c r="BC302" s="50">
        <v>46259.34375</v>
      </c>
      <c r="BD302" s="50">
        <v>46259.347222222219</v>
      </c>
      <c r="BE302" s="51">
        <v>46259.354166666664</v>
      </c>
      <c r="BF302" s="51">
        <v>46259.4375</v>
      </c>
      <c r="BG302" s="51">
        <v>46259.479166666664</v>
      </c>
      <c r="BH302" s="51">
        <v>46259.511805555558</v>
      </c>
      <c r="BI302" s="30" t="s">
        <v>65</v>
      </c>
      <c r="BJ302" s="50">
        <v>46260.291666666664</v>
      </c>
      <c r="BK302" s="50">
        <v>46260.28402777778</v>
      </c>
      <c r="BL302" s="50">
        <v>46260.296527777777</v>
      </c>
      <c r="BM302" s="50">
        <v>46260.298611111109</v>
      </c>
      <c r="BN302" s="50">
        <v>46260.308333333334</v>
      </c>
    </row>
    <row r="303" spans="1:77">
      <c r="A303" t="s">
        <v>168</v>
      </c>
      <c r="B303" s="30">
        <v>84</v>
      </c>
      <c r="C303" s="30">
        <v>34</v>
      </c>
      <c r="D303" s="30" t="s">
        <v>169</v>
      </c>
      <c r="E303" s="30" t="s">
        <v>170</v>
      </c>
      <c r="F303" s="48">
        <v>46258</v>
      </c>
      <c r="G303" s="48">
        <v>46259</v>
      </c>
      <c r="H303" s="49">
        <v>0.70833333333333337</v>
      </c>
      <c r="I303" s="49">
        <v>0.375</v>
      </c>
      <c r="J303" s="30" t="s">
        <v>53</v>
      </c>
      <c r="K303" s="30" t="s">
        <v>171</v>
      </c>
      <c r="L303" s="30">
        <v>1</v>
      </c>
      <c r="M303" s="30" t="s">
        <v>1932</v>
      </c>
      <c r="P303" s="30" t="s">
        <v>174</v>
      </c>
      <c r="Q303" s="30" t="s">
        <v>363</v>
      </c>
      <c r="R303" s="30" t="s">
        <v>175</v>
      </c>
      <c r="S303" s="30" t="s">
        <v>176</v>
      </c>
      <c r="T303" s="30" t="s">
        <v>1933</v>
      </c>
      <c r="U303" s="30" t="s">
        <v>1934</v>
      </c>
      <c r="V303" s="30" t="s">
        <v>2178</v>
      </c>
      <c r="W303" s="30" t="s">
        <v>1935</v>
      </c>
      <c r="X303" s="30" t="s">
        <v>179</v>
      </c>
      <c r="Y303" t="s">
        <v>180</v>
      </c>
      <c r="Z303" s="30" t="s">
        <v>180</v>
      </c>
      <c r="AA303" s="30" t="s">
        <v>181</v>
      </c>
      <c r="AB303" s="30" t="s">
        <v>55</v>
      </c>
      <c r="AC303" s="30" t="s">
        <v>92</v>
      </c>
      <c r="AD303" s="30" t="s">
        <v>1322</v>
      </c>
      <c r="AE303" s="30">
        <v>20614402246</v>
      </c>
      <c r="AF303" s="30" t="s">
        <v>1409</v>
      </c>
      <c r="AG303" s="30" t="s">
        <v>1164</v>
      </c>
      <c r="AH303" s="30" t="s">
        <v>185</v>
      </c>
      <c r="AI303" s="30" t="s">
        <v>1410</v>
      </c>
      <c r="AJ303" s="30" t="s">
        <v>1411</v>
      </c>
      <c r="AK303" s="30" t="s">
        <v>1412</v>
      </c>
      <c r="AL303" s="30" t="s">
        <v>483</v>
      </c>
      <c r="AM303" t="s">
        <v>270</v>
      </c>
      <c r="AN303" s="30" t="s">
        <v>270</v>
      </c>
      <c r="AO303" s="30" t="s">
        <v>483</v>
      </c>
      <c r="AP303" s="30" t="s">
        <v>483</v>
      </c>
      <c r="AQ303" s="30" t="s">
        <v>483</v>
      </c>
      <c r="AR303" s="30" t="s">
        <v>483</v>
      </c>
      <c r="AS303" s="30" t="s">
        <v>63</v>
      </c>
      <c r="AT303" s="30" t="s">
        <v>64</v>
      </c>
      <c r="AU303" s="50">
        <v>46258.708333333336</v>
      </c>
      <c r="AV303" s="50">
        <v>46258.72152777778</v>
      </c>
      <c r="AW303" s="50">
        <v>46258.729166666664</v>
      </c>
      <c r="AX303" s="50">
        <v>46258.732638888891</v>
      </c>
      <c r="AY303" s="50">
        <v>46258.772916666669</v>
      </c>
      <c r="AZ303" s="50">
        <v>46258.78125</v>
      </c>
      <c r="BA303" s="51">
        <v>46259.379861111112</v>
      </c>
      <c r="BB303" s="51">
        <v>46259.381944444445</v>
      </c>
      <c r="BC303" s="50">
        <v>46259.388888888891</v>
      </c>
      <c r="BD303" s="50">
        <v>46259.402777777781</v>
      </c>
      <c r="BE303" s="51">
        <v>46259.409722222219</v>
      </c>
      <c r="BF303" s="51">
        <v>46259.416666666664</v>
      </c>
      <c r="BG303" s="51">
        <v>46259.482638888891</v>
      </c>
      <c r="BH303" s="51">
        <v>46259.506249999999</v>
      </c>
      <c r="BI303" s="30" t="s">
        <v>65</v>
      </c>
      <c r="BJ303" s="50">
        <v>46260.083333333336</v>
      </c>
      <c r="BK303" s="50">
        <v>46260.056944444441</v>
      </c>
      <c r="BL303" s="50">
        <v>46260.063194444447</v>
      </c>
      <c r="BM303" s="50">
        <v>46260.064583333333</v>
      </c>
      <c r="BN303" s="50">
        <v>46260.071527777778</v>
      </c>
    </row>
    <row r="304" spans="1:77">
      <c r="A304" t="s">
        <v>168</v>
      </c>
      <c r="B304" s="30">
        <v>85</v>
      </c>
      <c r="C304" s="30">
        <v>35</v>
      </c>
      <c r="D304" s="30" t="s">
        <v>360</v>
      </c>
      <c r="E304" s="30" t="s">
        <v>170</v>
      </c>
      <c r="F304" s="48">
        <v>46258</v>
      </c>
      <c r="G304" s="48">
        <v>46259</v>
      </c>
      <c r="H304" s="49">
        <v>0.66666666666666663</v>
      </c>
      <c r="I304" s="49">
        <v>0.58333333333333337</v>
      </c>
      <c r="J304" s="30" t="s">
        <v>361</v>
      </c>
      <c r="K304" s="30" t="s">
        <v>171</v>
      </c>
      <c r="L304" s="30">
        <v>0.5</v>
      </c>
      <c r="M304" s="30" t="s">
        <v>2179</v>
      </c>
      <c r="P304" s="30" t="s">
        <v>174</v>
      </c>
      <c r="Q304" s="30" t="s">
        <v>363</v>
      </c>
      <c r="R304" s="30" t="s">
        <v>1490</v>
      </c>
      <c r="S304" s="30" t="s">
        <v>1491</v>
      </c>
      <c r="T304" s="30">
        <v>276067709</v>
      </c>
      <c r="U304" s="30" t="s">
        <v>2180</v>
      </c>
      <c r="V304" s="30" t="s">
        <v>2181</v>
      </c>
      <c r="W304" s="30" t="s">
        <v>2182</v>
      </c>
      <c r="X304" s="30" t="s">
        <v>179</v>
      </c>
      <c r="Y304" t="s">
        <v>180</v>
      </c>
      <c r="Z304" s="30" t="s">
        <v>180</v>
      </c>
      <c r="AA304" s="30" t="s">
        <v>181</v>
      </c>
      <c r="AB304" s="30" t="s">
        <v>55</v>
      </c>
      <c r="AC304" s="30" t="s">
        <v>92</v>
      </c>
      <c r="AD304" s="30" t="s">
        <v>2183</v>
      </c>
      <c r="AE304" s="30">
        <v>20609890771</v>
      </c>
      <c r="AF304" s="30" t="s">
        <v>1396</v>
      </c>
      <c r="AG304" s="30" t="s">
        <v>1397</v>
      </c>
      <c r="AH304" s="30" t="s">
        <v>185</v>
      </c>
      <c r="AI304" s="30" t="s">
        <v>1909</v>
      </c>
      <c r="AJ304" s="30" t="s">
        <v>1910</v>
      </c>
      <c r="AK304" s="30" t="s">
        <v>2184</v>
      </c>
      <c r="AL304" s="30" t="s">
        <v>483</v>
      </c>
      <c r="AM304" t="s">
        <v>270</v>
      </c>
      <c r="AN304" s="30" t="s">
        <v>270</v>
      </c>
      <c r="AO304" s="30" t="s">
        <v>483</v>
      </c>
      <c r="AP304" s="30" t="s">
        <v>483</v>
      </c>
      <c r="AQ304" s="30" t="s">
        <v>483</v>
      </c>
      <c r="AR304" s="30" t="s">
        <v>483</v>
      </c>
      <c r="AS304" s="30" t="s">
        <v>63</v>
      </c>
      <c r="AT304" s="30" t="s">
        <v>787</v>
      </c>
      <c r="AU304" s="50">
        <v>46258.958333333336</v>
      </c>
      <c r="AV304" s="50">
        <v>46258.930555555555</v>
      </c>
      <c r="AW304" s="50">
        <v>46258.98541666667</v>
      </c>
      <c r="AX304" s="50">
        <v>46258.992361111108</v>
      </c>
      <c r="AY304" s="50">
        <v>46259.001388888886</v>
      </c>
      <c r="AZ304" s="50">
        <v>46259.010416666664</v>
      </c>
      <c r="BA304" s="51">
        <v>46259.393055555556</v>
      </c>
      <c r="BB304" s="51">
        <v>46259.393750000003</v>
      </c>
      <c r="BC304" s="50">
        <v>46259.417361111111</v>
      </c>
      <c r="BD304" s="50">
        <v>46259.432638888888</v>
      </c>
      <c r="BE304" s="51">
        <v>46259.575694444444</v>
      </c>
      <c r="BF304" s="51">
        <v>46259.593055555553</v>
      </c>
      <c r="BG304" s="51">
        <v>46259.621527777781</v>
      </c>
      <c r="BH304" s="51">
        <v>46259.652777777781</v>
      </c>
      <c r="BI304" s="30" t="s">
        <v>65</v>
      </c>
      <c r="BJ304" s="50">
        <v>46261.125</v>
      </c>
      <c r="BK304" s="50">
        <v>46261.114583333336</v>
      </c>
      <c r="BL304" s="50">
        <v>46261.120138888888</v>
      </c>
      <c r="BM304" s="50">
        <v>46261.123611111114</v>
      </c>
      <c r="BN304" s="50">
        <v>46261.128472222219</v>
      </c>
    </row>
    <row r="305" spans="1:66">
      <c r="A305" t="s">
        <v>168</v>
      </c>
      <c r="B305" s="30">
        <v>86</v>
      </c>
      <c r="C305" s="30">
        <v>35</v>
      </c>
      <c r="D305" s="30" t="s">
        <v>169</v>
      </c>
      <c r="E305" s="30" t="s">
        <v>170</v>
      </c>
      <c r="F305" s="48">
        <v>46258</v>
      </c>
      <c r="G305" s="48">
        <v>46260</v>
      </c>
      <c r="H305" s="49">
        <v>0.5</v>
      </c>
      <c r="I305" s="49">
        <v>0.41666666666666669</v>
      </c>
      <c r="J305" s="30" t="s">
        <v>53</v>
      </c>
      <c r="K305" s="30" t="s">
        <v>171</v>
      </c>
      <c r="L305" s="30">
        <v>0.5</v>
      </c>
      <c r="M305" s="30" t="s">
        <v>2179</v>
      </c>
      <c r="P305" s="30" t="s">
        <v>174</v>
      </c>
      <c r="Q305" s="30" t="s">
        <v>363</v>
      </c>
      <c r="R305" s="30" t="s">
        <v>1490</v>
      </c>
      <c r="S305" s="30" t="s">
        <v>1491</v>
      </c>
      <c r="T305" s="30">
        <v>276067709</v>
      </c>
      <c r="U305" s="30" t="s">
        <v>2180</v>
      </c>
      <c r="V305" s="30" t="s">
        <v>2181</v>
      </c>
      <c r="W305" s="30" t="s">
        <v>2182</v>
      </c>
      <c r="X305" s="30" t="s">
        <v>179</v>
      </c>
      <c r="Y305" t="s">
        <v>180</v>
      </c>
      <c r="Z305" s="30" t="s">
        <v>180</v>
      </c>
      <c r="AA305" s="30" t="s">
        <v>181</v>
      </c>
      <c r="AB305" s="30" t="s">
        <v>55</v>
      </c>
      <c r="AC305" s="30" t="s">
        <v>92</v>
      </c>
      <c r="AD305" s="30" t="s">
        <v>2183</v>
      </c>
      <c r="AE305" s="30">
        <v>20609890771</v>
      </c>
      <c r="AF305" s="30" t="s">
        <v>1396</v>
      </c>
      <c r="AG305" s="30" t="s">
        <v>1397</v>
      </c>
      <c r="AH305" s="30" t="s">
        <v>185</v>
      </c>
      <c r="AI305" s="30" t="s">
        <v>1909</v>
      </c>
      <c r="AJ305" s="30" t="s">
        <v>1910</v>
      </c>
      <c r="AK305" s="30" t="s">
        <v>2184</v>
      </c>
      <c r="AL305" s="30" t="s">
        <v>483</v>
      </c>
      <c r="AM305" t="s">
        <v>270</v>
      </c>
      <c r="AN305" s="30" t="s">
        <v>270</v>
      </c>
      <c r="AO305" s="30" t="s">
        <v>483</v>
      </c>
      <c r="AP305" s="30" t="s">
        <v>483</v>
      </c>
      <c r="AQ305" s="30" t="s">
        <v>483</v>
      </c>
      <c r="AR305" s="30" t="s">
        <v>483</v>
      </c>
      <c r="AS305" s="30" t="s">
        <v>63</v>
      </c>
      <c r="AT305" s="30" t="s">
        <v>787</v>
      </c>
      <c r="AU305" s="50">
        <v>46258.958333333336</v>
      </c>
      <c r="AV305" s="50">
        <v>46258.930555555555</v>
      </c>
      <c r="AW305" s="50">
        <v>46258.98541666667</v>
      </c>
      <c r="AX305" s="50">
        <v>46258.992361111108</v>
      </c>
      <c r="AY305" s="50">
        <v>46259.001388888886</v>
      </c>
      <c r="AZ305" s="50">
        <v>46259.652777777781</v>
      </c>
      <c r="BA305" s="51">
        <v>46260.466666666667</v>
      </c>
      <c r="BB305" s="51">
        <v>46260.467361111114</v>
      </c>
      <c r="BC305" s="50">
        <v>46260.472916666666</v>
      </c>
      <c r="BD305" s="50">
        <v>46260.48333333333</v>
      </c>
      <c r="BE305" s="51">
        <v>46260.500694444447</v>
      </c>
      <c r="BF305" s="51">
        <v>46260.510416666664</v>
      </c>
      <c r="BG305" s="51">
        <v>46260.52847222222</v>
      </c>
      <c r="BH305" s="51">
        <v>46260.57708333333</v>
      </c>
      <c r="BI305" s="30" t="s">
        <v>65</v>
      </c>
      <c r="BJ305" s="50">
        <v>46261.125</v>
      </c>
      <c r="BK305" s="50">
        <v>46261.114583333336</v>
      </c>
      <c r="BL305" s="50">
        <v>46261.120138888888</v>
      </c>
      <c r="BM305" s="50">
        <v>46261.123611111114</v>
      </c>
      <c r="BN305" s="50">
        <v>46261.128472222219</v>
      </c>
    </row>
    <row r="306" spans="1:66">
      <c r="A306" t="s">
        <v>168</v>
      </c>
      <c r="B306" s="30">
        <v>87</v>
      </c>
      <c r="C306" s="30">
        <v>35</v>
      </c>
      <c r="D306" s="30" t="s">
        <v>360</v>
      </c>
      <c r="E306" s="30" t="s">
        <v>170</v>
      </c>
      <c r="F306" s="48">
        <v>46260</v>
      </c>
      <c r="G306" s="48">
        <v>46261</v>
      </c>
      <c r="H306" s="49">
        <v>0.5</v>
      </c>
      <c r="I306" s="49">
        <v>0.41666666666666669</v>
      </c>
      <c r="J306" s="30" t="s">
        <v>361</v>
      </c>
      <c r="K306" s="30" t="s">
        <v>171</v>
      </c>
      <c r="L306" s="30">
        <v>0.5</v>
      </c>
      <c r="M306" s="30" t="s">
        <v>2185</v>
      </c>
      <c r="P306" s="30" t="s">
        <v>174</v>
      </c>
      <c r="Q306" s="30" t="s">
        <v>363</v>
      </c>
      <c r="R306" s="30" t="s">
        <v>374</v>
      </c>
      <c r="S306" s="30" t="s">
        <v>375</v>
      </c>
      <c r="T306" s="30" t="s">
        <v>2186</v>
      </c>
      <c r="U306" s="30" t="s">
        <v>2187</v>
      </c>
      <c r="V306" s="30" t="s">
        <v>2188</v>
      </c>
      <c r="W306" s="30" t="s">
        <v>2189</v>
      </c>
      <c r="X306" s="30" t="s">
        <v>180</v>
      </c>
      <c r="Y306" t="s">
        <v>180</v>
      </c>
      <c r="Z306" s="30" t="s">
        <v>180</v>
      </c>
      <c r="AA306" s="30" t="s">
        <v>181</v>
      </c>
      <c r="AB306" s="30" t="s">
        <v>55</v>
      </c>
      <c r="AC306" s="30" t="s">
        <v>92</v>
      </c>
      <c r="AD306" s="30" t="s">
        <v>1117</v>
      </c>
      <c r="AE306" s="30">
        <v>20612886921</v>
      </c>
      <c r="AF306" s="30" t="s">
        <v>2190</v>
      </c>
      <c r="AG306" s="30" t="s">
        <v>2191</v>
      </c>
      <c r="AH306" s="30" t="s">
        <v>185</v>
      </c>
      <c r="AI306" s="30" t="s">
        <v>2192</v>
      </c>
      <c r="AJ306" s="30" t="s">
        <v>2193</v>
      </c>
      <c r="AK306" s="30" t="s">
        <v>2194</v>
      </c>
      <c r="AL306" s="30" t="s">
        <v>483</v>
      </c>
      <c r="AM306" t="s">
        <v>270</v>
      </c>
      <c r="AN306" s="30" t="s">
        <v>270</v>
      </c>
      <c r="AO306" s="30" t="s">
        <v>483</v>
      </c>
      <c r="AP306" s="30" t="s">
        <v>483</v>
      </c>
      <c r="AQ306" s="30" t="s">
        <v>483</v>
      </c>
      <c r="AR306" s="30" t="s">
        <v>483</v>
      </c>
      <c r="AS306" s="30" t="s">
        <v>63</v>
      </c>
      <c r="AT306" s="30" t="s">
        <v>380</v>
      </c>
      <c r="AU306" s="50">
        <v>46260.875</v>
      </c>
      <c r="AV306" s="50">
        <v>46260.843055555553</v>
      </c>
      <c r="AW306" s="50">
        <v>46260.899305555555</v>
      </c>
      <c r="AX306" s="50">
        <v>46260.902777777781</v>
      </c>
      <c r="AY306" s="50">
        <v>46260.989583333336</v>
      </c>
      <c r="AZ306" s="50">
        <v>46260.996527777781</v>
      </c>
      <c r="BA306" s="51">
        <v>46261.435416666667</v>
      </c>
      <c r="BB306" s="51">
        <v>46261.436805555553</v>
      </c>
      <c r="BC306" s="50">
        <v>46261.444444444445</v>
      </c>
      <c r="BD306" s="50">
        <v>46261.466666666667</v>
      </c>
      <c r="BE306" s="51">
        <v>46261.47152777778</v>
      </c>
      <c r="BF306" s="51">
        <v>46261.482638888891</v>
      </c>
      <c r="BG306" s="51">
        <v>46261.50277777778</v>
      </c>
      <c r="BH306" s="51">
        <v>46261.529166666667</v>
      </c>
      <c r="BI306" s="30" t="s">
        <v>65</v>
      </c>
      <c r="BJ306" s="50">
        <v>46263.208333333336</v>
      </c>
      <c r="BK306" s="50">
        <v>46263.212500000001</v>
      </c>
      <c r="BL306" s="50">
        <v>46263.220833333333</v>
      </c>
      <c r="BM306" s="50">
        <v>46263.224305555559</v>
      </c>
      <c r="BN306" s="50">
        <v>46263.232638888891</v>
      </c>
    </row>
    <row r="307" spans="1:66">
      <c r="A307" t="s">
        <v>168</v>
      </c>
      <c r="B307" s="30">
        <v>88</v>
      </c>
      <c r="C307" s="30">
        <v>35</v>
      </c>
      <c r="D307" s="30" t="s">
        <v>169</v>
      </c>
      <c r="E307" s="30" t="s">
        <v>170</v>
      </c>
      <c r="F307" s="48">
        <v>46260</v>
      </c>
      <c r="G307" s="48">
        <v>46262</v>
      </c>
      <c r="H307" s="49">
        <v>0.41666666666666669</v>
      </c>
      <c r="I307" s="49">
        <v>0.33333333333333331</v>
      </c>
      <c r="J307" s="30" t="s">
        <v>53</v>
      </c>
      <c r="K307" s="30" t="s">
        <v>171</v>
      </c>
      <c r="L307" s="30">
        <v>0.5</v>
      </c>
      <c r="M307" s="30" t="s">
        <v>2185</v>
      </c>
      <c r="P307" s="30" t="s">
        <v>174</v>
      </c>
      <c r="Q307" s="30" t="s">
        <v>363</v>
      </c>
      <c r="R307" s="30" t="s">
        <v>374</v>
      </c>
      <c r="S307" s="30" t="s">
        <v>375</v>
      </c>
      <c r="T307" s="30" t="s">
        <v>2186</v>
      </c>
      <c r="U307" s="30" t="s">
        <v>2187</v>
      </c>
      <c r="V307" s="30" t="s">
        <v>2188</v>
      </c>
      <c r="W307" s="30" t="s">
        <v>2189</v>
      </c>
      <c r="X307" s="30" t="s">
        <v>180</v>
      </c>
      <c r="Y307" t="s">
        <v>180</v>
      </c>
      <c r="Z307" s="30" t="s">
        <v>1862</v>
      </c>
      <c r="AA307" s="30" t="s">
        <v>181</v>
      </c>
      <c r="AB307" s="30" t="s">
        <v>55</v>
      </c>
      <c r="AC307" s="30" t="s">
        <v>92</v>
      </c>
      <c r="AD307" s="30" t="s">
        <v>1117</v>
      </c>
      <c r="AE307" s="30">
        <v>20612886921</v>
      </c>
      <c r="AF307" s="30" t="s">
        <v>2190</v>
      </c>
      <c r="AG307" s="30" t="s">
        <v>2191</v>
      </c>
      <c r="AH307" s="30" t="s">
        <v>185</v>
      </c>
      <c r="AI307" s="30" t="s">
        <v>2192</v>
      </c>
      <c r="AJ307" s="30" t="s">
        <v>2193</v>
      </c>
      <c r="AK307" s="30" t="s">
        <v>2194</v>
      </c>
      <c r="AL307" s="30" t="s">
        <v>483</v>
      </c>
      <c r="AM307" t="s">
        <v>270</v>
      </c>
      <c r="AN307" s="30" t="s">
        <v>270</v>
      </c>
      <c r="AO307" s="30" t="s">
        <v>483</v>
      </c>
      <c r="AP307" s="30" t="s">
        <v>483</v>
      </c>
      <c r="AQ307" s="30" t="s">
        <v>483</v>
      </c>
      <c r="AR307" s="30" t="s">
        <v>483</v>
      </c>
      <c r="AS307" s="30" t="s">
        <v>63</v>
      </c>
      <c r="AT307" s="30" t="s">
        <v>380</v>
      </c>
      <c r="AU307" s="50">
        <v>46260.875</v>
      </c>
      <c r="AV307" s="50">
        <v>46260.843055555553</v>
      </c>
      <c r="AW307" s="50">
        <v>46260.899305555555</v>
      </c>
      <c r="AX307" s="50">
        <v>46260.902777777781</v>
      </c>
      <c r="AY307" s="50">
        <v>46260.989583333336</v>
      </c>
      <c r="AZ307" s="50">
        <v>46261.529166666667</v>
      </c>
      <c r="BA307" s="51">
        <v>46262.326388888891</v>
      </c>
      <c r="BB307" s="51">
        <v>46262.32708333333</v>
      </c>
      <c r="BC307" s="50">
        <v>46262.413194444445</v>
      </c>
      <c r="BD307" s="50">
        <v>46262.441666666666</v>
      </c>
      <c r="BE307" s="51">
        <v>46262.590277777781</v>
      </c>
      <c r="BF307" s="51">
        <v>46262.597222222219</v>
      </c>
      <c r="BG307" s="51">
        <v>46262.609722222223</v>
      </c>
      <c r="BH307" s="51">
        <v>46262.62777777778</v>
      </c>
      <c r="BI307" s="30" t="s">
        <v>65</v>
      </c>
      <c r="BJ307" s="50">
        <v>46263.208333333336</v>
      </c>
      <c r="BK307" s="50">
        <v>46263.212500000001</v>
      </c>
      <c r="BL307" s="50">
        <v>46263.220833333333</v>
      </c>
      <c r="BM307" s="50">
        <v>46263.224305555559</v>
      </c>
      <c r="BN307" s="50">
        <v>46263.232638888891</v>
      </c>
    </row>
    <row r="308" spans="1:66">
      <c r="A308" t="s">
        <v>168</v>
      </c>
      <c r="B308" s="30">
        <v>89</v>
      </c>
      <c r="C308" s="30">
        <v>35</v>
      </c>
      <c r="D308" s="30" t="s">
        <v>169</v>
      </c>
      <c r="E308" s="30" t="s">
        <v>170</v>
      </c>
      <c r="F308" s="48">
        <v>46260</v>
      </c>
      <c r="G308" s="48">
        <v>46261</v>
      </c>
      <c r="H308" s="49">
        <v>0.58333333333333337</v>
      </c>
      <c r="I308" s="49">
        <v>0.5</v>
      </c>
      <c r="J308" s="30" t="s">
        <v>53</v>
      </c>
      <c r="K308" s="30" t="s">
        <v>171</v>
      </c>
      <c r="L308" s="30">
        <v>0.5</v>
      </c>
      <c r="M308" s="30" t="s">
        <v>2195</v>
      </c>
      <c r="P308" s="30" t="s">
        <v>174</v>
      </c>
      <c r="Q308" s="30" t="s">
        <v>363</v>
      </c>
      <c r="R308" s="30" t="s">
        <v>374</v>
      </c>
      <c r="S308" s="30" t="s">
        <v>375</v>
      </c>
      <c r="T308" s="30" t="s">
        <v>2196</v>
      </c>
      <c r="U308" s="30" t="s">
        <v>2197</v>
      </c>
      <c r="V308" s="30" t="s">
        <v>2198</v>
      </c>
      <c r="W308" s="30" t="s">
        <v>2199</v>
      </c>
      <c r="X308" s="30" t="s">
        <v>180</v>
      </c>
      <c r="Y308" t="s">
        <v>180</v>
      </c>
      <c r="Z308" s="30" t="s">
        <v>180</v>
      </c>
      <c r="AA308" s="30" t="s">
        <v>181</v>
      </c>
      <c r="AB308" s="30" t="s">
        <v>55</v>
      </c>
      <c r="AC308" s="30" t="s">
        <v>92</v>
      </c>
      <c r="AD308" s="30" t="s">
        <v>1322</v>
      </c>
      <c r="AE308" s="30">
        <v>20614402246</v>
      </c>
      <c r="AF308" s="30" t="s">
        <v>1163</v>
      </c>
      <c r="AG308" s="30" t="s">
        <v>1323</v>
      </c>
      <c r="AH308" s="30" t="s">
        <v>185</v>
      </c>
      <c r="AI308" s="30" t="s">
        <v>1165</v>
      </c>
      <c r="AJ308" s="30" t="s">
        <v>1166</v>
      </c>
      <c r="AK308" s="30">
        <v>914113779</v>
      </c>
      <c r="AL308" s="30" t="s">
        <v>483</v>
      </c>
      <c r="AM308" t="s">
        <v>270</v>
      </c>
      <c r="AN308" s="30" t="s">
        <v>270</v>
      </c>
      <c r="AO308" s="30" t="s">
        <v>483</v>
      </c>
      <c r="AP308" s="30" t="s">
        <v>483</v>
      </c>
      <c r="AQ308" s="30" t="s">
        <v>483</v>
      </c>
      <c r="AR308" s="30" t="s">
        <v>483</v>
      </c>
      <c r="AS308" s="30" t="s">
        <v>63</v>
      </c>
      <c r="AT308" s="30" t="s">
        <v>380</v>
      </c>
      <c r="AU308" s="50">
        <v>46260.75</v>
      </c>
      <c r="AV308" s="50">
        <v>46260.71875</v>
      </c>
      <c r="AW308" s="50">
        <v>46260.728472222225</v>
      </c>
      <c r="AX308" s="50">
        <v>46260.740277777775</v>
      </c>
      <c r="AY308" s="50">
        <v>46260.837500000001</v>
      </c>
      <c r="AZ308" s="50">
        <v>46260.840277777781</v>
      </c>
      <c r="BA308" s="51">
        <v>46261.5</v>
      </c>
      <c r="BB308" s="51">
        <v>46261.503472222219</v>
      </c>
      <c r="BC308" s="50">
        <v>46261.59097222222</v>
      </c>
      <c r="BD308" s="50">
        <v>46261.598611111112</v>
      </c>
      <c r="BE308" s="51">
        <v>46261.698611111111</v>
      </c>
      <c r="BF308" s="51">
        <v>46261.70208333333</v>
      </c>
      <c r="BG308" s="51">
        <v>46261.714583333334</v>
      </c>
      <c r="BH308" s="51">
        <v>46261.716666666667</v>
      </c>
      <c r="BI308" s="30" t="s">
        <v>65</v>
      </c>
      <c r="BJ308" s="50">
        <v>46262.863888888889</v>
      </c>
      <c r="BK308" s="50">
        <v>46262.822222222225</v>
      </c>
      <c r="BL308" s="50">
        <v>46262.837500000001</v>
      </c>
      <c r="BM308" s="50">
        <v>46262.84097222222</v>
      </c>
      <c r="BN308" s="50">
        <v>46262.844444444447</v>
      </c>
    </row>
    <row r="309" spans="1:66">
      <c r="A309" t="s">
        <v>168</v>
      </c>
      <c r="B309" s="30">
        <v>90</v>
      </c>
      <c r="C309" s="30">
        <v>35</v>
      </c>
      <c r="D309" s="30" t="s">
        <v>360</v>
      </c>
      <c r="E309" s="30" t="s">
        <v>170</v>
      </c>
      <c r="F309" s="48">
        <v>46260</v>
      </c>
      <c r="G309" s="48">
        <v>46262</v>
      </c>
      <c r="H309" s="49">
        <v>0.41666666666666669</v>
      </c>
      <c r="I309" s="49">
        <v>0.33333333333333331</v>
      </c>
      <c r="J309" s="30" t="s">
        <v>361</v>
      </c>
      <c r="K309" s="30" t="s">
        <v>171</v>
      </c>
      <c r="L309" s="30">
        <v>0.5</v>
      </c>
      <c r="M309" s="30" t="s">
        <v>2195</v>
      </c>
      <c r="P309" s="30" t="s">
        <v>174</v>
      </c>
      <c r="Q309" s="30" t="s">
        <v>363</v>
      </c>
      <c r="R309" s="30" t="s">
        <v>374</v>
      </c>
      <c r="S309" s="30" t="s">
        <v>375</v>
      </c>
      <c r="T309" s="30" t="s">
        <v>2196</v>
      </c>
      <c r="U309" s="30" t="s">
        <v>2197</v>
      </c>
      <c r="V309" s="30" t="s">
        <v>2200</v>
      </c>
      <c r="W309" s="30" t="s">
        <v>2199</v>
      </c>
      <c r="X309" s="30" t="s">
        <v>180</v>
      </c>
      <c r="Y309" t="s">
        <v>180</v>
      </c>
      <c r="Z309" s="30" t="s">
        <v>180</v>
      </c>
      <c r="AA309" s="30" t="s">
        <v>181</v>
      </c>
      <c r="AB309" s="30" t="s">
        <v>55</v>
      </c>
      <c r="AC309" s="30" t="s">
        <v>92</v>
      </c>
      <c r="AD309" s="30" t="s">
        <v>1322</v>
      </c>
      <c r="AE309" s="30">
        <v>20614402246</v>
      </c>
      <c r="AF309" s="30" t="s">
        <v>1163</v>
      </c>
      <c r="AG309" s="30" t="s">
        <v>1323</v>
      </c>
      <c r="AH309" s="30" t="s">
        <v>185</v>
      </c>
      <c r="AI309" s="30" t="s">
        <v>1165</v>
      </c>
      <c r="AJ309" s="30" t="s">
        <v>1166</v>
      </c>
      <c r="AK309" s="30">
        <v>914113779</v>
      </c>
      <c r="AL309" s="30" t="s">
        <v>483</v>
      </c>
      <c r="AM309" t="s">
        <v>270</v>
      </c>
      <c r="AN309" s="30" t="s">
        <v>270</v>
      </c>
      <c r="AO309" s="30" t="s">
        <v>483</v>
      </c>
      <c r="AP309" s="30" t="s">
        <v>483</v>
      </c>
      <c r="AQ309" s="30" t="s">
        <v>483</v>
      </c>
      <c r="AR309" s="30" t="s">
        <v>483</v>
      </c>
      <c r="AS309" s="30" t="s">
        <v>63</v>
      </c>
      <c r="AT309" s="30" t="s">
        <v>380</v>
      </c>
      <c r="AU309" s="50">
        <v>46260.75</v>
      </c>
      <c r="AV309" s="50">
        <v>46260.71875</v>
      </c>
      <c r="AW309" s="50">
        <v>46260.728472222225</v>
      </c>
      <c r="AX309" s="50">
        <v>46260.740277777775</v>
      </c>
      <c r="AY309" s="50">
        <v>46260.837500000001</v>
      </c>
      <c r="AZ309" s="50">
        <v>46261.716666666667</v>
      </c>
      <c r="BA309" s="51">
        <v>46262.397222222222</v>
      </c>
      <c r="BB309" s="51">
        <v>46262.402083333334</v>
      </c>
      <c r="BC309" s="50">
        <v>46262.419444444444</v>
      </c>
      <c r="BD309" s="50">
        <v>46262.425694444442</v>
      </c>
      <c r="BE309" s="51">
        <v>46262.540277777778</v>
      </c>
      <c r="BF309" s="51">
        <v>46262.549305555556</v>
      </c>
      <c r="BG309" s="51">
        <v>46262.569444444445</v>
      </c>
      <c r="BH309" s="51">
        <v>46262.6</v>
      </c>
      <c r="BI309" s="30" t="s">
        <v>65</v>
      </c>
      <c r="BJ309" s="50">
        <v>46262.863888888889</v>
      </c>
      <c r="BK309" s="50">
        <v>46262.822222222225</v>
      </c>
      <c r="BL309" s="50">
        <v>46262.837500000001</v>
      </c>
      <c r="BM309" s="50">
        <v>46262.84097222222</v>
      </c>
      <c r="BN309" s="50">
        <v>46262.844444444447</v>
      </c>
    </row>
    <row r="310" spans="1:66">
      <c r="A310" t="s">
        <v>168</v>
      </c>
      <c r="B310" s="30">
        <v>91</v>
      </c>
      <c r="C310" s="30">
        <v>35</v>
      </c>
      <c r="D310" s="30" t="s">
        <v>169</v>
      </c>
      <c r="E310" s="30" t="s">
        <v>170</v>
      </c>
      <c r="F310" s="48">
        <v>46261</v>
      </c>
      <c r="G310" s="48">
        <v>46262</v>
      </c>
      <c r="H310" s="49">
        <v>0.54166666666666663</v>
      </c>
      <c r="I310" s="49">
        <v>0.33333333333333331</v>
      </c>
      <c r="J310" s="30" t="s">
        <v>53</v>
      </c>
      <c r="K310" s="30" t="s">
        <v>171</v>
      </c>
      <c r="L310" s="30">
        <v>1</v>
      </c>
      <c r="M310" s="30" t="s">
        <v>2201</v>
      </c>
      <c r="P310" s="30" t="s">
        <v>174</v>
      </c>
      <c r="Q310" s="30" t="s">
        <v>363</v>
      </c>
      <c r="R310" s="30" t="s">
        <v>374</v>
      </c>
      <c r="S310" s="30" t="s">
        <v>375</v>
      </c>
      <c r="T310" s="30" t="s">
        <v>2202</v>
      </c>
      <c r="U310" s="30" t="s">
        <v>2203</v>
      </c>
      <c r="V310" s="30" t="s">
        <v>2204</v>
      </c>
      <c r="W310" s="30" t="s">
        <v>2205</v>
      </c>
      <c r="X310" s="30" t="s">
        <v>180</v>
      </c>
      <c r="Y310" t="s">
        <v>180</v>
      </c>
      <c r="Z310" s="30" t="s">
        <v>180</v>
      </c>
      <c r="AA310" s="30" t="s">
        <v>181</v>
      </c>
      <c r="AB310" s="30" t="s">
        <v>55</v>
      </c>
      <c r="AC310" s="30" t="s">
        <v>56</v>
      </c>
      <c r="AD310" s="30" t="s">
        <v>78</v>
      </c>
      <c r="AE310" s="30">
        <v>20513040718</v>
      </c>
      <c r="AF310" s="30" t="s">
        <v>1061</v>
      </c>
      <c r="AG310" s="30" t="s">
        <v>1062</v>
      </c>
      <c r="AH310" s="30" t="s">
        <v>185</v>
      </c>
      <c r="AI310" s="30" t="s">
        <v>1063</v>
      </c>
      <c r="AJ310" s="30" t="s">
        <v>1064</v>
      </c>
      <c r="AK310" s="30">
        <v>963590550</v>
      </c>
      <c r="AL310" s="30" t="s">
        <v>483</v>
      </c>
      <c r="AM310" t="s">
        <v>270</v>
      </c>
      <c r="AN310" s="30" t="s">
        <v>270</v>
      </c>
      <c r="AO310" s="30" t="s">
        <v>483</v>
      </c>
      <c r="AP310" s="30" t="s">
        <v>483</v>
      </c>
      <c r="AQ310" s="30" t="s">
        <v>483</v>
      </c>
      <c r="AR310" s="30" t="s">
        <v>483</v>
      </c>
      <c r="AS310" s="30" t="s">
        <v>63</v>
      </c>
      <c r="AT310" s="30" t="s">
        <v>380</v>
      </c>
      <c r="AU310" s="50">
        <v>46261.5</v>
      </c>
      <c r="AV310" s="50">
        <v>46261.470833333333</v>
      </c>
      <c r="AW310" s="50">
        <v>46261.484027777777</v>
      </c>
      <c r="AX310" s="50">
        <v>46261.524305555555</v>
      </c>
      <c r="AY310" s="50">
        <v>46261.563194444447</v>
      </c>
      <c r="AZ310" s="50">
        <v>46261.597222222219</v>
      </c>
      <c r="BA310" s="51">
        <v>46262.299305555556</v>
      </c>
      <c r="BB310" s="51">
        <v>46262.302083333336</v>
      </c>
      <c r="BC310" s="50">
        <v>46262.302777777775</v>
      </c>
      <c r="BD310" s="50">
        <v>46262.305555555555</v>
      </c>
      <c r="BE310" s="51">
        <v>46262.5625</v>
      </c>
      <c r="BF310" s="51">
        <v>46262.597222222219</v>
      </c>
      <c r="BG310" s="51">
        <v>46262.614583333336</v>
      </c>
      <c r="BH310" s="51">
        <v>46262.619444444441</v>
      </c>
      <c r="BI310" s="30" t="s">
        <v>65</v>
      </c>
      <c r="BJ310" s="50">
        <v>46263.25</v>
      </c>
      <c r="BK310" s="50">
        <v>46263.168055555558</v>
      </c>
      <c r="BL310" s="50">
        <v>46263.176388888889</v>
      </c>
      <c r="BM310" s="50">
        <v>46263.184027777781</v>
      </c>
      <c r="BN310" s="50">
        <v>46263.1875</v>
      </c>
    </row>
    <row r="311" spans="1:66">
      <c r="A311" t="s">
        <v>168</v>
      </c>
      <c r="B311" s="30">
        <v>92</v>
      </c>
      <c r="C311" s="30">
        <v>35</v>
      </c>
      <c r="D311" s="30" t="s">
        <v>169</v>
      </c>
      <c r="E311" s="30" t="s">
        <v>170</v>
      </c>
      <c r="F311" s="48">
        <v>46261</v>
      </c>
      <c r="G311" s="48">
        <v>46262</v>
      </c>
      <c r="H311" s="49">
        <v>0.45833333333333331</v>
      </c>
      <c r="I311" s="49">
        <v>0.33333333333333331</v>
      </c>
      <c r="J311" s="30" t="s">
        <v>53</v>
      </c>
      <c r="K311" s="30" t="s">
        <v>171</v>
      </c>
      <c r="L311" s="30">
        <v>1</v>
      </c>
      <c r="M311" s="30" t="s">
        <v>2206</v>
      </c>
      <c r="P311" s="30" t="s">
        <v>174</v>
      </c>
      <c r="Q311" s="30" t="s">
        <v>363</v>
      </c>
      <c r="R311" s="30" t="s">
        <v>374</v>
      </c>
      <c r="S311" s="30" t="s">
        <v>375</v>
      </c>
      <c r="T311" s="30" t="s">
        <v>2207</v>
      </c>
      <c r="U311" s="30" t="s">
        <v>2208</v>
      </c>
      <c r="V311" s="30" t="s">
        <v>2209</v>
      </c>
      <c r="W311" s="30" t="s">
        <v>2210</v>
      </c>
      <c r="X311" s="30" t="s">
        <v>180</v>
      </c>
      <c r="Y311" t="s">
        <v>180</v>
      </c>
      <c r="Z311" s="30" t="s">
        <v>180</v>
      </c>
      <c r="AA311" s="30" t="s">
        <v>181</v>
      </c>
      <c r="AB311" s="30" t="s">
        <v>55</v>
      </c>
      <c r="AC311" s="30" t="s">
        <v>92</v>
      </c>
      <c r="AD311" s="30" t="s">
        <v>1468</v>
      </c>
      <c r="AE311" s="30">
        <v>20601962102</v>
      </c>
      <c r="AF311" s="30" t="s">
        <v>2211</v>
      </c>
      <c r="AG311" s="30" t="s">
        <v>1442</v>
      </c>
      <c r="AH311" s="30" t="s">
        <v>185</v>
      </c>
      <c r="AI311" s="30" t="s">
        <v>1147</v>
      </c>
      <c r="AJ311" s="30" t="s">
        <v>1148</v>
      </c>
      <c r="AK311" s="30">
        <v>982701637</v>
      </c>
      <c r="AL311" s="30" t="s">
        <v>483</v>
      </c>
      <c r="AM311" t="s">
        <v>270</v>
      </c>
      <c r="AN311" s="30" t="s">
        <v>270</v>
      </c>
      <c r="AO311" s="30" t="s">
        <v>483</v>
      </c>
      <c r="AP311" s="30" t="s">
        <v>483</v>
      </c>
      <c r="AQ311" s="30" t="s">
        <v>483</v>
      </c>
      <c r="AR311" s="30" t="s">
        <v>483</v>
      </c>
      <c r="AS311" s="30" t="s">
        <v>63</v>
      </c>
      <c r="AT311" s="30" t="s">
        <v>380</v>
      </c>
      <c r="AU311" s="50">
        <v>46261.458333333336</v>
      </c>
      <c r="AV311" s="50">
        <v>46261.477083333331</v>
      </c>
      <c r="AW311" s="50">
        <v>46261.48541666667</v>
      </c>
      <c r="AX311" s="50">
        <v>46261.489583333336</v>
      </c>
      <c r="AY311" s="50">
        <v>46261.594444444447</v>
      </c>
      <c r="AZ311" s="50">
        <v>46261.611111111109</v>
      </c>
      <c r="BA311" s="51">
        <v>46262.100694444445</v>
      </c>
      <c r="BB311" s="51">
        <v>46262.114583333336</v>
      </c>
      <c r="BC311" s="50">
        <v>46262.121527777781</v>
      </c>
      <c r="BD311" s="50">
        <v>46262.125</v>
      </c>
      <c r="BE311" s="51">
        <v>46262.135416666664</v>
      </c>
      <c r="BF311" s="51">
        <v>46262.135416666664</v>
      </c>
      <c r="BG311" s="51">
        <v>46262.583333333336</v>
      </c>
      <c r="BH311" s="51">
        <v>46262.617361111108</v>
      </c>
      <c r="BI311" s="30" t="s">
        <v>65</v>
      </c>
      <c r="BJ311" s="50">
        <v>46263.125</v>
      </c>
      <c r="BK311" s="50">
        <v>46263.129166666666</v>
      </c>
      <c r="BL311" s="50">
        <v>46263.132638888892</v>
      </c>
      <c r="BM311" s="50">
        <v>46263.135416666664</v>
      </c>
      <c r="BN311" s="50">
        <v>46263.143750000003</v>
      </c>
    </row>
    <row r="312" spans="1:66">
      <c r="A312" t="s">
        <v>168</v>
      </c>
      <c r="B312" s="30">
        <v>93</v>
      </c>
      <c r="C312" s="30">
        <v>35</v>
      </c>
      <c r="D312" s="30" t="s">
        <v>169</v>
      </c>
      <c r="E312" s="30" t="s">
        <v>170</v>
      </c>
      <c r="F312" s="48">
        <v>46263</v>
      </c>
      <c r="G312" s="48">
        <v>46264</v>
      </c>
      <c r="H312" s="49">
        <v>0.625</v>
      </c>
      <c r="I312" s="49">
        <v>0.58333333333333337</v>
      </c>
      <c r="J312" s="30" t="s">
        <v>53</v>
      </c>
      <c r="K312" s="30" t="s">
        <v>171</v>
      </c>
      <c r="L312" s="30">
        <v>1</v>
      </c>
      <c r="M312" s="30" t="s">
        <v>2212</v>
      </c>
      <c r="P312" s="30" t="s">
        <v>174</v>
      </c>
      <c r="Q312" s="30" t="s">
        <v>363</v>
      </c>
      <c r="R312" s="30" t="s">
        <v>175</v>
      </c>
      <c r="S312" s="30" t="s">
        <v>176</v>
      </c>
      <c r="T312" s="30" t="s">
        <v>2213</v>
      </c>
      <c r="U312" s="30" t="s">
        <v>2214</v>
      </c>
      <c r="V312" s="30" t="s">
        <v>2215</v>
      </c>
      <c r="W312" s="30" t="s">
        <v>2216</v>
      </c>
      <c r="X312" s="30" t="s">
        <v>180</v>
      </c>
      <c r="Y312" t="s">
        <v>180</v>
      </c>
      <c r="Z312" s="30" t="s">
        <v>180</v>
      </c>
      <c r="AA312" s="30" t="s">
        <v>181</v>
      </c>
      <c r="AB312" s="30" t="s">
        <v>55</v>
      </c>
      <c r="AC312" s="30" t="s">
        <v>92</v>
      </c>
      <c r="AD312" s="30" t="s">
        <v>1322</v>
      </c>
      <c r="AE312" s="30">
        <v>20614402246</v>
      </c>
      <c r="AF312" s="30" t="s">
        <v>1409</v>
      </c>
      <c r="AG312" s="30" t="s">
        <v>1164</v>
      </c>
      <c r="AH312" s="30" t="s">
        <v>185</v>
      </c>
      <c r="AI312" s="30" t="s">
        <v>2217</v>
      </c>
      <c r="AJ312" s="30" t="s">
        <v>1166</v>
      </c>
      <c r="AK312" s="30">
        <v>914113779</v>
      </c>
      <c r="AL312" s="30" t="s">
        <v>483</v>
      </c>
      <c r="AM312" t="s">
        <v>270</v>
      </c>
      <c r="AN312" s="30" t="s">
        <v>270</v>
      </c>
      <c r="AO312" s="30" t="s">
        <v>483</v>
      </c>
      <c r="AP312" s="30" t="s">
        <v>483</v>
      </c>
      <c r="AQ312" s="30" t="s">
        <v>483</v>
      </c>
      <c r="AR312" s="30" t="s">
        <v>483</v>
      </c>
      <c r="AS312" s="30" t="s">
        <v>63</v>
      </c>
      <c r="AT312" s="30" t="s">
        <v>64</v>
      </c>
      <c r="AU312" s="50">
        <v>46263.458333333336</v>
      </c>
      <c r="AV312" s="50">
        <v>46263.468055555553</v>
      </c>
      <c r="AW312" s="50">
        <v>46263.474305555559</v>
      </c>
      <c r="AX312" s="50">
        <v>46263.489583333336</v>
      </c>
      <c r="AY312" s="50">
        <v>46263.524305555555</v>
      </c>
      <c r="AZ312" s="50">
        <v>46263.569444444445</v>
      </c>
      <c r="BA312" s="51">
        <v>46264.667361111111</v>
      </c>
      <c r="BB312" s="51">
        <v>46264.668749999997</v>
      </c>
      <c r="BC312" s="50">
        <v>46264.672222222223</v>
      </c>
      <c r="BD312" s="50">
        <v>46264.674305555556</v>
      </c>
      <c r="BE312" s="51">
        <v>46264.625</v>
      </c>
      <c r="BF312" s="51">
        <v>46264.75</v>
      </c>
      <c r="BG312" s="51">
        <v>46264.798611111109</v>
      </c>
      <c r="BH312" s="51">
        <v>46264.802083333336</v>
      </c>
      <c r="BI312" s="30" t="s">
        <v>65</v>
      </c>
      <c r="BJ312" s="50">
        <v>46265.541666666664</v>
      </c>
      <c r="BK312" s="50">
        <v>46265.53402777778</v>
      </c>
      <c r="BL312" s="50">
        <v>46265.55</v>
      </c>
      <c r="BM312" s="50">
        <v>46265.559027777781</v>
      </c>
      <c r="BN312" s="50">
        <v>46265.563888888886</v>
      </c>
    </row>
    <row r="313" spans="1:66">
      <c r="A313" t="s">
        <v>168</v>
      </c>
      <c r="B313" s="30">
        <v>94</v>
      </c>
      <c r="C313" s="30">
        <v>35</v>
      </c>
      <c r="D313" s="30" t="s">
        <v>169</v>
      </c>
      <c r="E313" s="30" t="s">
        <v>170</v>
      </c>
      <c r="F313" s="48">
        <v>46264</v>
      </c>
      <c r="G313" s="48">
        <v>46265</v>
      </c>
      <c r="H313" s="49">
        <v>0.45833333333333331</v>
      </c>
      <c r="I313" s="49">
        <v>0.5</v>
      </c>
      <c r="J313" s="30" t="s">
        <v>53</v>
      </c>
      <c r="K313" s="30" t="s">
        <v>171</v>
      </c>
      <c r="L313" s="30">
        <v>1</v>
      </c>
      <c r="M313" s="30" t="s">
        <v>2218</v>
      </c>
      <c r="P313" s="30" t="s">
        <v>174</v>
      </c>
      <c r="Q313" s="30" t="s">
        <v>363</v>
      </c>
      <c r="R313" s="30" t="s">
        <v>548</v>
      </c>
      <c r="S313" s="30" t="s">
        <v>623</v>
      </c>
      <c r="T313" s="30" t="s">
        <v>2219</v>
      </c>
      <c r="U313" s="30" t="s">
        <v>2220</v>
      </c>
      <c r="V313" s="30" t="s">
        <v>2221</v>
      </c>
      <c r="W313" s="30" t="s">
        <v>2222</v>
      </c>
      <c r="X313" s="30" t="s">
        <v>179</v>
      </c>
      <c r="Y313" t="s">
        <v>179</v>
      </c>
      <c r="Z313" s="30" t="s">
        <v>180</v>
      </c>
      <c r="AA313" s="30" t="s">
        <v>181</v>
      </c>
      <c r="AB313" s="30" t="s">
        <v>55</v>
      </c>
      <c r="AC313" s="30" t="s">
        <v>92</v>
      </c>
      <c r="AD313" s="30" t="s">
        <v>1117</v>
      </c>
      <c r="AE313" s="30">
        <v>20612886921</v>
      </c>
      <c r="AF313" s="30" t="s">
        <v>1201</v>
      </c>
      <c r="AG313" s="30" t="s">
        <v>1202</v>
      </c>
      <c r="AH313" s="30" t="s">
        <v>185</v>
      </c>
      <c r="AI313" s="30" t="s">
        <v>1203</v>
      </c>
      <c r="AJ313" s="30" t="s">
        <v>1204</v>
      </c>
      <c r="AK313" s="30">
        <v>980865741</v>
      </c>
      <c r="AL313" s="30" t="s">
        <v>483</v>
      </c>
      <c r="AM313" t="s">
        <v>270</v>
      </c>
      <c r="AN313" s="30" t="s">
        <v>270</v>
      </c>
      <c r="AO313" s="30" t="s">
        <v>483</v>
      </c>
      <c r="AP313" s="30" t="s">
        <v>483</v>
      </c>
      <c r="AQ313" s="30" t="s">
        <v>483</v>
      </c>
      <c r="AR313" s="30" t="s">
        <v>483</v>
      </c>
      <c r="AS313" s="30" t="s">
        <v>63</v>
      </c>
      <c r="AT313" s="30" t="s">
        <v>64</v>
      </c>
      <c r="AU313" s="50">
        <v>46264.458333333336</v>
      </c>
      <c r="AV313" s="50">
        <v>46264.46597222222</v>
      </c>
      <c r="AW313" s="50">
        <v>46264.477083333331</v>
      </c>
      <c r="AX313" s="50">
        <v>46264.487500000003</v>
      </c>
      <c r="AY313" s="50">
        <v>46264.515972222223</v>
      </c>
      <c r="AZ313" s="50">
        <v>46264.583333333336</v>
      </c>
      <c r="BA313" s="51">
        <v>46264.988888888889</v>
      </c>
      <c r="BB313" s="51">
        <v>46264.996527777781</v>
      </c>
      <c r="BC313" s="50">
        <v>46265</v>
      </c>
      <c r="BD313" s="50">
        <v>46265.010416666664</v>
      </c>
      <c r="BE313" s="51">
        <v>46265.013888888891</v>
      </c>
      <c r="BF313" s="51">
        <v>46265.5</v>
      </c>
      <c r="BG313" s="51">
        <v>46265.645833333336</v>
      </c>
      <c r="BH313" s="51">
        <v>46265.651388888888</v>
      </c>
      <c r="BI313" s="30" t="s">
        <v>65</v>
      </c>
      <c r="BJ313" s="50">
        <v>46266.125</v>
      </c>
      <c r="BK313" s="50">
        <v>46266.138194444444</v>
      </c>
      <c r="BL313" s="50">
        <v>46266.149305555555</v>
      </c>
      <c r="BM313" s="50">
        <v>46266.152777777781</v>
      </c>
      <c r="BN313" s="50">
        <v>46266.168749999997</v>
      </c>
    </row>
    <row r="314" spans="1:66">
      <c r="A314" t="s">
        <v>168</v>
      </c>
      <c r="B314" s="30">
        <v>95</v>
      </c>
      <c r="C314" s="30">
        <v>35</v>
      </c>
      <c r="D314" s="30" t="s">
        <v>169</v>
      </c>
      <c r="E314" s="30" t="s">
        <v>170</v>
      </c>
      <c r="F314" s="48">
        <v>46264</v>
      </c>
      <c r="G314" s="48">
        <v>46265</v>
      </c>
      <c r="H314" s="49">
        <v>0.4375</v>
      </c>
      <c r="I314" s="49">
        <v>0.375</v>
      </c>
      <c r="J314" s="30" t="s">
        <v>53</v>
      </c>
      <c r="K314" s="30" t="s">
        <v>171</v>
      </c>
      <c r="L314" s="30">
        <v>1</v>
      </c>
      <c r="M314" s="30" t="s">
        <v>2223</v>
      </c>
      <c r="P314" s="30" t="s">
        <v>174</v>
      </c>
      <c r="Q314" s="30" t="s">
        <v>363</v>
      </c>
      <c r="R314" s="30" t="s">
        <v>175</v>
      </c>
      <c r="S314" s="30" t="s">
        <v>176</v>
      </c>
      <c r="T314" s="30" t="s">
        <v>2224</v>
      </c>
      <c r="U314" s="30" t="s">
        <v>2225</v>
      </c>
      <c r="V314" s="30" t="s">
        <v>2226</v>
      </c>
      <c r="W314" s="30" t="s">
        <v>2227</v>
      </c>
      <c r="X314" s="30" t="s">
        <v>179</v>
      </c>
      <c r="Y314" t="s">
        <v>179</v>
      </c>
      <c r="Z314" s="30" t="s">
        <v>180</v>
      </c>
      <c r="AA314" s="30" t="s">
        <v>181</v>
      </c>
      <c r="AB314" s="30" t="s">
        <v>55</v>
      </c>
      <c r="AC314" s="30" t="s">
        <v>92</v>
      </c>
      <c r="AD314" s="30" t="s">
        <v>2183</v>
      </c>
      <c r="AE314" s="30">
        <v>20609890771</v>
      </c>
      <c r="AF314" s="30" t="s">
        <v>1388</v>
      </c>
      <c r="AG314" s="30" t="s">
        <v>1389</v>
      </c>
      <c r="AH314" s="30" t="s">
        <v>185</v>
      </c>
      <c r="AI314" s="30" t="s">
        <v>1390</v>
      </c>
      <c r="AJ314" s="30" t="s">
        <v>1391</v>
      </c>
      <c r="AK314" s="30" t="s">
        <v>2228</v>
      </c>
      <c r="AL314" s="30" t="s">
        <v>483</v>
      </c>
      <c r="AM314" t="s">
        <v>270</v>
      </c>
      <c r="AN314" s="30" t="s">
        <v>270</v>
      </c>
      <c r="AO314" s="30" t="s">
        <v>483</v>
      </c>
      <c r="AP314" s="30" t="s">
        <v>483</v>
      </c>
      <c r="AQ314" s="30" t="s">
        <v>483</v>
      </c>
      <c r="AR314" s="30" t="s">
        <v>483</v>
      </c>
      <c r="AS314" s="30" t="s">
        <v>63</v>
      </c>
      <c r="AT314" s="30" t="s">
        <v>64</v>
      </c>
      <c r="AU314" s="50">
        <v>46264.458333333336</v>
      </c>
      <c r="AV314" s="50">
        <v>46264.447916666664</v>
      </c>
      <c r="AW314" s="50">
        <v>46264.500694444447</v>
      </c>
      <c r="AX314" s="50">
        <v>46264.520833333336</v>
      </c>
      <c r="AY314" s="50">
        <v>46264.539583333331</v>
      </c>
      <c r="AZ314" s="50">
        <v>46264.583333333336</v>
      </c>
      <c r="BA314" s="51">
        <v>46265.347222222219</v>
      </c>
      <c r="BB314" s="51">
        <v>46265.349305555559</v>
      </c>
      <c r="BC314" s="50">
        <v>46265.352777777778</v>
      </c>
      <c r="BD314" s="50">
        <v>46265.355555555558</v>
      </c>
      <c r="BE314" s="51">
        <v>46265.4375</v>
      </c>
      <c r="BF314" s="51">
        <v>46265.465277777781</v>
      </c>
      <c r="BG314" s="51">
        <v>46265.520833333336</v>
      </c>
      <c r="BH314" s="51">
        <v>46265.53125</v>
      </c>
      <c r="BI314" s="30" t="s">
        <v>65</v>
      </c>
      <c r="BJ314" s="50">
        <v>46266.083333333336</v>
      </c>
      <c r="BK314" s="50">
        <v>46266.068749999999</v>
      </c>
      <c r="BL314" s="50">
        <v>46266.072916666664</v>
      </c>
      <c r="BM314" s="50">
        <v>46266.079861111109</v>
      </c>
      <c r="BN314" s="50">
        <v>46266.084722222222</v>
      </c>
    </row>
    <row r="315" spans="1:66">
      <c r="A315" t="s">
        <v>168</v>
      </c>
      <c r="B315" s="30">
        <v>96</v>
      </c>
      <c r="C315" s="30">
        <v>35</v>
      </c>
      <c r="D315" s="30" t="s">
        <v>169</v>
      </c>
      <c r="E315" s="30" t="s">
        <v>170</v>
      </c>
      <c r="F315" s="48">
        <v>46264</v>
      </c>
      <c r="G315" s="48">
        <v>46265</v>
      </c>
      <c r="H315" s="49">
        <v>0.45833333333333331</v>
      </c>
      <c r="I315" s="49">
        <v>0.5</v>
      </c>
      <c r="J315" s="30" t="s">
        <v>53</v>
      </c>
      <c r="K315" s="30" t="s">
        <v>171</v>
      </c>
      <c r="L315" s="30">
        <v>1</v>
      </c>
      <c r="M315" s="30" t="s">
        <v>2229</v>
      </c>
      <c r="P315" s="30" t="s">
        <v>174</v>
      </c>
      <c r="Q315" s="30" t="s">
        <v>363</v>
      </c>
      <c r="R315" s="30" t="s">
        <v>175</v>
      </c>
      <c r="S315" s="30" t="s">
        <v>176</v>
      </c>
      <c r="T315" s="30" t="s">
        <v>2230</v>
      </c>
      <c r="U315" s="30" t="s">
        <v>2231</v>
      </c>
      <c r="V315" s="30" t="s">
        <v>2232</v>
      </c>
      <c r="W315" s="30" t="s">
        <v>2233</v>
      </c>
      <c r="X315" s="30" t="s">
        <v>179</v>
      </c>
      <c r="Y315" t="s">
        <v>179</v>
      </c>
      <c r="Z315" s="30" t="s">
        <v>180</v>
      </c>
      <c r="AA315" s="30" t="s">
        <v>181</v>
      </c>
      <c r="AB315" s="30" t="s">
        <v>55</v>
      </c>
      <c r="AC315" s="30" t="s">
        <v>92</v>
      </c>
      <c r="AD315" s="30" t="s">
        <v>1260</v>
      </c>
      <c r="AE315" s="30">
        <v>20611958651</v>
      </c>
      <c r="AF315" s="30" t="s">
        <v>1261</v>
      </c>
      <c r="AG315" s="30" t="s">
        <v>1333</v>
      </c>
      <c r="AH315" s="30" t="s">
        <v>185</v>
      </c>
      <c r="AI315" s="30" t="s">
        <v>2234</v>
      </c>
      <c r="AJ315" s="30" t="s">
        <v>2235</v>
      </c>
      <c r="AK315" s="30" t="s">
        <v>2236</v>
      </c>
      <c r="AL315" s="30" t="s">
        <v>483</v>
      </c>
      <c r="AM315" t="s">
        <v>270</v>
      </c>
      <c r="AN315" s="30" t="s">
        <v>270</v>
      </c>
      <c r="AO315" s="30" t="s">
        <v>483</v>
      </c>
      <c r="AP315" s="30" t="s">
        <v>483</v>
      </c>
      <c r="AQ315" s="30" t="s">
        <v>483</v>
      </c>
      <c r="AR315" s="30" t="s">
        <v>483</v>
      </c>
      <c r="AS315" s="30" t="s">
        <v>63</v>
      </c>
      <c r="AT315" s="30" t="s">
        <v>64</v>
      </c>
      <c r="AU315" s="50">
        <v>46264.458333333336</v>
      </c>
      <c r="AV315" s="50">
        <v>46264.490972222222</v>
      </c>
      <c r="AW315" s="50">
        <v>46264.503472222219</v>
      </c>
      <c r="AX315" s="50">
        <v>46264.506944444445</v>
      </c>
      <c r="AY315" s="50">
        <v>46264.549305555556</v>
      </c>
      <c r="AZ315" s="50">
        <v>46264.5625</v>
      </c>
      <c r="BA315" s="51">
        <v>46265.411805555559</v>
      </c>
      <c r="BB315" s="51">
        <v>46265.416666666664</v>
      </c>
      <c r="BC315" s="50">
        <v>46265.420138888891</v>
      </c>
      <c r="BD315" s="50">
        <v>46265.427083333336</v>
      </c>
      <c r="BE315" s="51">
        <v>46265.434027777781</v>
      </c>
      <c r="BF315" s="51">
        <v>46266.152777777781</v>
      </c>
      <c r="BG315" s="51">
        <v>46266.229166666664</v>
      </c>
      <c r="BH315" s="51">
        <v>46266.238194444442</v>
      </c>
      <c r="BI315" s="30" t="s">
        <v>65</v>
      </c>
      <c r="BJ315" s="50">
        <v>46266.208333333336</v>
      </c>
      <c r="BK315" s="50">
        <v>46266.22152777778</v>
      </c>
      <c r="BL315" s="50">
        <v>46266.229166666664</v>
      </c>
      <c r="BM315" s="50">
        <v>46266.232638888891</v>
      </c>
      <c r="BN315" s="50">
        <v>46266.238194444442</v>
      </c>
    </row>
    <row r="316" spans="1:66">
      <c r="A316" t="s">
        <v>168</v>
      </c>
      <c r="B316" s="30">
        <v>97</v>
      </c>
      <c r="C316" s="30">
        <v>35</v>
      </c>
      <c r="D316" s="30" t="s">
        <v>169</v>
      </c>
      <c r="E316" s="30" t="s">
        <v>170</v>
      </c>
      <c r="F316" s="48">
        <v>46265</v>
      </c>
      <c r="G316" s="48">
        <v>46266</v>
      </c>
      <c r="H316" s="49">
        <v>0.41666666666666669</v>
      </c>
      <c r="I316" s="49">
        <v>0.33333333333333331</v>
      </c>
      <c r="J316" s="30" t="s">
        <v>53</v>
      </c>
      <c r="K316" s="30" t="s">
        <v>171</v>
      </c>
      <c r="L316" s="30">
        <v>1</v>
      </c>
      <c r="M316" s="30" t="s">
        <v>2237</v>
      </c>
      <c r="P316" s="30" t="s">
        <v>174</v>
      </c>
      <c r="Q316" s="30" t="s">
        <v>363</v>
      </c>
      <c r="R316" s="30" t="s">
        <v>175</v>
      </c>
      <c r="S316" s="30" t="s">
        <v>176</v>
      </c>
      <c r="T316" s="30" t="s">
        <v>2238</v>
      </c>
      <c r="U316" s="30" t="s">
        <v>2239</v>
      </c>
      <c r="V316" s="30" t="s">
        <v>2240</v>
      </c>
      <c r="W316" s="30" t="s">
        <v>2241</v>
      </c>
      <c r="X316" s="30" t="s">
        <v>179</v>
      </c>
      <c r="Y316" t="s">
        <v>180</v>
      </c>
      <c r="Z316" s="30" t="s">
        <v>180</v>
      </c>
      <c r="AA316" s="30" t="s">
        <v>181</v>
      </c>
      <c r="AB316" s="30" t="s">
        <v>55</v>
      </c>
      <c r="AC316" s="30" t="s">
        <v>56</v>
      </c>
      <c r="AD316" s="30" t="s">
        <v>78</v>
      </c>
      <c r="AE316" s="30">
        <v>20513040718</v>
      </c>
      <c r="AF316" s="30" t="s">
        <v>1002</v>
      </c>
      <c r="AG316" s="30" t="s">
        <v>1003</v>
      </c>
      <c r="AH316" s="30" t="s">
        <v>185</v>
      </c>
      <c r="AI316" s="30" t="s">
        <v>1352</v>
      </c>
      <c r="AJ316" s="30" t="s">
        <v>1353</v>
      </c>
      <c r="AK316" s="30" t="s">
        <v>2242</v>
      </c>
      <c r="AL316" s="30" t="s">
        <v>483</v>
      </c>
      <c r="AM316" t="s">
        <v>270</v>
      </c>
      <c r="AN316" s="30" t="s">
        <v>270</v>
      </c>
      <c r="AO316" s="30" t="s">
        <v>483</v>
      </c>
      <c r="AP316" s="30" t="s">
        <v>483</v>
      </c>
      <c r="AQ316" s="30" t="s">
        <v>483</v>
      </c>
      <c r="AR316" s="30" t="s">
        <v>483</v>
      </c>
      <c r="AS316" s="30" t="s">
        <v>63</v>
      </c>
      <c r="AT316" s="30" t="s">
        <v>64</v>
      </c>
      <c r="AU316" s="50">
        <v>46265.458333333336</v>
      </c>
      <c r="AV316" s="50">
        <v>46265.486111111109</v>
      </c>
      <c r="AW316" s="50">
        <v>46265.498611111114</v>
      </c>
      <c r="AX316" s="50">
        <v>46265.499305555553</v>
      </c>
      <c r="AY316" s="50">
        <v>46265.549305555556</v>
      </c>
      <c r="AZ316" s="50">
        <v>46265.59097222222</v>
      </c>
      <c r="BA316" s="51">
        <v>46266.361111111109</v>
      </c>
      <c r="BB316" s="51">
        <v>46266.361805555556</v>
      </c>
      <c r="BC316" s="50">
        <v>46266.361805555556</v>
      </c>
      <c r="BD316" s="50">
        <v>46266.386111111111</v>
      </c>
      <c r="BE316" s="51">
        <v>46266.459722222222</v>
      </c>
      <c r="BF316" s="51">
        <v>46266.47152777778</v>
      </c>
      <c r="BG316" s="51">
        <v>46266.479861111111</v>
      </c>
      <c r="BH316" s="51">
        <v>46266.526388888888</v>
      </c>
      <c r="BI316" s="30" t="s">
        <v>65</v>
      </c>
      <c r="BJ316" s="50">
        <v>46267.416666666664</v>
      </c>
      <c r="BK316" s="50">
        <v>46267.415972222225</v>
      </c>
      <c r="BL316" s="50">
        <v>46267.422222222223</v>
      </c>
      <c r="BM316" s="50">
        <v>46267.425000000003</v>
      </c>
      <c r="BN316" s="50">
        <v>46267.435416666667</v>
      </c>
    </row>
    <row r="317" spans="1:66">
      <c r="A317" t="s">
        <v>168</v>
      </c>
      <c r="B317" s="30">
        <v>98</v>
      </c>
      <c r="C317" s="30">
        <v>35</v>
      </c>
      <c r="D317" s="30" t="s">
        <v>169</v>
      </c>
      <c r="E317" s="30" t="s">
        <v>170</v>
      </c>
      <c r="F317" s="48">
        <v>46265</v>
      </c>
      <c r="G317" s="48">
        <v>46266</v>
      </c>
      <c r="H317" s="49">
        <v>0.41666666666666669</v>
      </c>
      <c r="I317" s="49">
        <v>0.33333333333333331</v>
      </c>
      <c r="J317" s="30" t="s">
        <v>53</v>
      </c>
      <c r="K317" s="30" t="s">
        <v>171</v>
      </c>
      <c r="L317" s="30">
        <v>1</v>
      </c>
      <c r="M317" s="30" t="s">
        <v>2243</v>
      </c>
      <c r="P317" s="30" t="s">
        <v>174</v>
      </c>
      <c r="Q317" s="30" t="s">
        <v>363</v>
      </c>
      <c r="R317" s="30" t="s">
        <v>175</v>
      </c>
      <c r="S317" s="30" t="s">
        <v>176</v>
      </c>
      <c r="T317" s="30" t="s">
        <v>2244</v>
      </c>
      <c r="U317" s="30" t="s">
        <v>2245</v>
      </c>
      <c r="V317" s="30" t="s">
        <v>2246</v>
      </c>
      <c r="W317" s="30" t="s">
        <v>2247</v>
      </c>
      <c r="X317" s="30" t="s">
        <v>179</v>
      </c>
      <c r="Y317" t="s">
        <v>180</v>
      </c>
      <c r="Z317" s="30" t="s">
        <v>180</v>
      </c>
      <c r="AA317" s="30" t="s">
        <v>181</v>
      </c>
      <c r="AB317" s="30" t="s">
        <v>55</v>
      </c>
      <c r="AC317" s="30" t="s">
        <v>92</v>
      </c>
      <c r="AD317" s="30" t="s">
        <v>1473</v>
      </c>
      <c r="AE317" s="30">
        <v>20608822098</v>
      </c>
      <c r="AF317" s="30" t="s">
        <v>2248</v>
      </c>
      <c r="AG317" s="30" t="s">
        <v>2249</v>
      </c>
      <c r="AH317" s="30" t="s">
        <v>185</v>
      </c>
      <c r="AI317" s="30" t="s">
        <v>2250</v>
      </c>
      <c r="AJ317" s="30" t="s">
        <v>2251</v>
      </c>
      <c r="AK317" s="30">
        <v>927328919</v>
      </c>
      <c r="AL317" s="30" t="s">
        <v>483</v>
      </c>
      <c r="AM317" t="s">
        <v>270</v>
      </c>
      <c r="AN317" s="30" t="s">
        <v>270</v>
      </c>
      <c r="AO317" s="30" t="s">
        <v>483</v>
      </c>
      <c r="AP317" s="30" t="s">
        <v>483</v>
      </c>
      <c r="AQ317" s="30" t="s">
        <v>483</v>
      </c>
      <c r="AR317" s="30" t="s">
        <v>483</v>
      </c>
      <c r="AS317" s="30" t="s">
        <v>63</v>
      </c>
      <c r="AT317" s="30" t="s">
        <v>64</v>
      </c>
      <c r="AU317" s="50">
        <v>46265.458333333336</v>
      </c>
      <c r="AV317" s="50">
        <v>46265.469444444447</v>
      </c>
      <c r="AW317" s="50">
        <v>46265.494444444441</v>
      </c>
      <c r="AX317" s="50">
        <v>46265.495833333334</v>
      </c>
      <c r="AY317" s="50">
        <v>46265.548611111109</v>
      </c>
      <c r="AZ317" s="50">
        <v>46265.57708333333</v>
      </c>
      <c r="BA317" s="51">
        <v>46266.277083333334</v>
      </c>
      <c r="BB317" s="51">
        <v>46266.279861111114</v>
      </c>
      <c r="BC317" s="50">
        <v>46266.293749999997</v>
      </c>
      <c r="BD317" s="50">
        <v>46266.306250000001</v>
      </c>
      <c r="BE317" s="51">
        <v>46266.400000000001</v>
      </c>
      <c r="BF317" s="51">
        <v>46266.40902777778</v>
      </c>
      <c r="BG317" s="51">
        <v>46266.425694444442</v>
      </c>
      <c r="BH317" s="51">
        <v>46266.526388888888</v>
      </c>
      <c r="BI317" s="30" t="s">
        <v>65</v>
      </c>
      <c r="BJ317" s="50">
        <v>46267.041666666664</v>
      </c>
      <c r="BK317" s="50">
        <v>46267.024305555555</v>
      </c>
      <c r="BL317" s="50">
        <v>46267.037499999999</v>
      </c>
      <c r="BM317" s="50">
        <v>46267.040972222225</v>
      </c>
      <c r="BN317" s="50">
        <v>46267.053472222222</v>
      </c>
    </row>
    <row r="318" spans="1:66">
      <c r="A318" t="s">
        <v>168</v>
      </c>
      <c r="B318" s="30">
        <v>99</v>
      </c>
      <c r="C318" s="30">
        <v>36</v>
      </c>
      <c r="D318" s="30" t="s">
        <v>360</v>
      </c>
      <c r="E318" s="30" t="s">
        <v>170</v>
      </c>
      <c r="F318" s="48">
        <v>46267</v>
      </c>
      <c r="G318" s="48">
        <v>46268</v>
      </c>
      <c r="H318" s="49">
        <v>0.58333333333333337</v>
      </c>
      <c r="I318" s="49">
        <v>0.5</v>
      </c>
      <c r="J318" s="30" t="s">
        <v>361</v>
      </c>
      <c r="K318" s="30" t="s">
        <v>171</v>
      </c>
      <c r="L318" s="30">
        <v>0.5</v>
      </c>
      <c r="M318" s="30" t="s">
        <v>2423</v>
      </c>
      <c r="P318" s="30" t="s">
        <v>174</v>
      </c>
      <c r="Q318" s="30" t="s">
        <v>363</v>
      </c>
      <c r="R318" s="30" t="s">
        <v>374</v>
      </c>
      <c r="S318" s="30" t="s">
        <v>375</v>
      </c>
      <c r="T318" s="30" t="s">
        <v>2424</v>
      </c>
      <c r="U318" s="30" t="s">
        <v>2425</v>
      </c>
      <c r="V318" s="30" t="s">
        <v>2426</v>
      </c>
      <c r="W318" s="30" t="s">
        <v>2427</v>
      </c>
      <c r="X318" s="30" t="s">
        <v>180</v>
      </c>
      <c r="Y318" t="s">
        <v>180</v>
      </c>
      <c r="Z318" s="30" t="s">
        <v>1862</v>
      </c>
      <c r="AA318" s="30" t="s">
        <v>181</v>
      </c>
      <c r="AB318" s="30" t="s">
        <v>55</v>
      </c>
      <c r="AC318" s="30" t="s">
        <v>92</v>
      </c>
      <c r="AD318" s="30" t="s">
        <v>1117</v>
      </c>
      <c r="AE318" s="30">
        <v>20612886921</v>
      </c>
      <c r="AF318" s="30" t="s">
        <v>1201</v>
      </c>
      <c r="AG318" s="30" t="s">
        <v>1202</v>
      </c>
      <c r="AH318" s="30" t="s">
        <v>185</v>
      </c>
      <c r="AI318" s="30" t="s">
        <v>1203</v>
      </c>
      <c r="AJ318" s="30" t="s">
        <v>1204</v>
      </c>
      <c r="AK318" s="30" t="s">
        <v>2428</v>
      </c>
      <c r="AL318" s="30" t="s">
        <v>483</v>
      </c>
      <c r="AM318" t="s">
        <v>270</v>
      </c>
      <c r="AN318" s="30" t="s">
        <v>270</v>
      </c>
      <c r="AO318" s="30" t="s">
        <v>483</v>
      </c>
      <c r="AP318" s="30" t="s">
        <v>483</v>
      </c>
      <c r="AQ318" s="30" t="s">
        <v>483</v>
      </c>
      <c r="AR318" s="30" t="s">
        <v>483</v>
      </c>
      <c r="AS318" s="30" t="s">
        <v>63</v>
      </c>
      <c r="AT318" s="30" t="s">
        <v>380</v>
      </c>
      <c r="AU318" s="50">
        <v>46236.666666666664</v>
      </c>
      <c r="AV318" s="50">
        <v>46236.652777777781</v>
      </c>
      <c r="AW318" s="50">
        <v>46236.661805555559</v>
      </c>
      <c r="AX318" s="50">
        <v>46236.662499999999</v>
      </c>
      <c r="AY318" s="50">
        <v>46236.742361111108</v>
      </c>
      <c r="AZ318" s="50">
        <v>46236.78402777778</v>
      </c>
      <c r="BA318" s="51">
        <v>46237.258333333331</v>
      </c>
      <c r="BB318" s="51">
        <v>46237.259027777778</v>
      </c>
      <c r="BC318" s="50">
        <v>46237.338888888888</v>
      </c>
      <c r="BD318" s="50">
        <v>46237.424305555556</v>
      </c>
      <c r="BE318" s="51">
        <v>46237.621527777781</v>
      </c>
      <c r="BF318" s="51">
        <v>46237.638194444444</v>
      </c>
      <c r="BG318" s="51">
        <v>46237.652777777781</v>
      </c>
      <c r="BH318" s="51">
        <v>46237.67291666667</v>
      </c>
      <c r="BI318" s="30" t="s">
        <v>65</v>
      </c>
      <c r="BJ318" s="50">
        <v>46270.041666666664</v>
      </c>
      <c r="BK318" s="50">
        <v>46270.027777777781</v>
      </c>
      <c r="BL318" s="50">
        <v>46270.031944444447</v>
      </c>
      <c r="BM318" s="50">
        <v>46270.034722222219</v>
      </c>
      <c r="BN318" s="50">
        <v>46270.04583333333</v>
      </c>
    </row>
    <row r="319" spans="1:66">
      <c r="A319" t="s">
        <v>168</v>
      </c>
      <c r="B319" s="30">
        <v>100</v>
      </c>
      <c r="C319" s="30">
        <v>36</v>
      </c>
      <c r="D319" s="30" t="s">
        <v>169</v>
      </c>
      <c r="E319" s="30" t="s">
        <v>170</v>
      </c>
      <c r="F319" s="48">
        <v>46267</v>
      </c>
      <c r="G319" s="48">
        <v>46269</v>
      </c>
      <c r="H319" s="49">
        <v>0.45833333333333331</v>
      </c>
      <c r="I319" s="49">
        <v>0.375</v>
      </c>
      <c r="J319" s="30" t="s">
        <v>53</v>
      </c>
      <c r="K319" s="30" t="s">
        <v>171</v>
      </c>
      <c r="L319" s="30">
        <v>0.5</v>
      </c>
      <c r="M319" s="30" t="s">
        <v>2423</v>
      </c>
      <c r="P319" s="30" t="s">
        <v>174</v>
      </c>
      <c r="Q319" s="30" t="s">
        <v>363</v>
      </c>
      <c r="R319" s="30" t="s">
        <v>374</v>
      </c>
      <c r="S319" s="30" t="s">
        <v>375</v>
      </c>
      <c r="T319" s="30" t="s">
        <v>2424</v>
      </c>
      <c r="U319" s="30" t="s">
        <v>2425</v>
      </c>
      <c r="V319" s="30" t="s">
        <v>2426</v>
      </c>
      <c r="W319" s="30" t="s">
        <v>2427</v>
      </c>
      <c r="X319" s="30" t="s">
        <v>180</v>
      </c>
      <c r="Y319" t="s">
        <v>180</v>
      </c>
      <c r="Z319" s="30" t="s">
        <v>180</v>
      </c>
      <c r="AA319" s="30" t="s">
        <v>181</v>
      </c>
      <c r="AB319" s="30" t="s">
        <v>55</v>
      </c>
      <c r="AC319" s="30" t="s">
        <v>92</v>
      </c>
      <c r="AD319" s="30" t="s">
        <v>1117</v>
      </c>
      <c r="AE319" s="30">
        <v>20612886921</v>
      </c>
      <c r="AF319" s="30" t="s">
        <v>1201</v>
      </c>
      <c r="AG319" s="30" t="s">
        <v>1202</v>
      </c>
      <c r="AH319" s="30" t="s">
        <v>185</v>
      </c>
      <c r="AI319" s="30" t="s">
        <v>1203</v>
      </c>
      <c r="AJ319" s="30" t="s">
        <v>1204</v>
      </c>
      <c r="AK319" s="30" t="s">
        <v>2428</v>
      </c>
      <c r="AL319" s="30" t="s">
        <v>483</v>
      </c>
      <c r="AM319" t="s">
        <v>270</v>
      </c>
      <c r="AN319" s="30" t="s">
        <v>270</v>
      </c>
      <c r="AO319" s="30" t="s">
        <v>483</v>
      </c>
      <c r="AP319" s="30" t="s">
        <v>483</v>
      </c>
      <c r="AQ319" s="30" t="s">
        <v>483</v>
      </c>
      <c r="AR319" s="30" t="s">
        <v>483</v>
      </c>
      <c r="AS319" s="30" t="s">
        <v>63</v>
      </c>
      <c r="AT319" s="30" t="s">
        <v>380</v>
      </c>
      <c r="AU319" s="50">
        <v>46236.666666666664</v>
      </c>
      <c r="AV319" s="50">
        <v>46236.652777777781</v>
      </c>
      <c r="AW319" s="50">
        <v>46236.661805555559</v>
      </c>
      <c r="AX319" s="50">
        <v>46236.662499999999</v>
      </c>
      <c r="AY319" s="50">
        <v>46236.742361111108</v>
      </c>
      <c r="AZ319" s="50">
        <v>46237.67291666667</v>
      </c>
      <c r="BA319" s="51">
        <v>46238.294444444444</v>
      </c>
      <c r="BB319" s="51">
        <v>46238.295138888891</v>
      </c>
      <c r="BC319" s="50">
        <v>46238.341666666667</v>
      </c>
      <c r="BD319" s="50">
        <v>46238.367361111108</v>
      </c>
      <c r="BE319" s="51">
        <v>46238.418749999997</v>
      </c>
      <c r="BF319" s="51">
        <v>46238.429166666669</v>
      </c>
      <c r="BG319" s="51">
        <v>46238.454861111109</v>
      </c>
      <c r="BH319" s="51">
        <v>46238.520833333336</v>
      </c>
      <c r="BI319" s="30" t="s">
        <v>65</v>
      </c>
      <c r="BJ319" s="50">
        <v>46270.041666666664</v>
      </c>
      <c r="BK319" s="50">
        <v>46270.027777777781</v>
      </c>
      <c r="BL319" s="50">
        <v>46270.031944444447</v>
      </c>
      <c r="BM319" s="50">
        <v>46270.034722222219</v>
      </c>
      <c r="BN319" s="50">
        <v>46270.04583333333</v>
      </c>
    </row>
    <row r="320" spans="1:66">
      <c r="A320" t="s">
        <v>168</v>
      </c>
      <c r="B320" s="30">
        <v>101</v>
      </c>
      <c r="C320" s="30">
        <v>36</v>
      </c>
      <c r="D320" s="30" t="s">
        <v>169</v>
      </c>
      <c r="E320" s="30" t="s">
        <v>170</v>
      </c>
      <c r="F320" s="48">
        <v>46267</v>
      </c>
      <c r="G320" s="48">
        <v>46268</v>
      </c>
      <c r="H320" s="49">
        <v>0.58333333333333337</v>
      </c>
      <c r="I320" s="49">
        <v>0.5</v>
      </c>
      <c r="J320" s="30" t="s">
        <v>53</v>
      </c>
      <c r="K320" s="30" t="s">
        <v>2429</v>
      </c>
      <c r="L320" s="30">
        <v>1</v>
      </c>
      <c r="M320" s="30" t="s">
        <v>2430</v>
      </c>
      <c r="P320" s="30" t="s">
        <v>174</v>
      </c>
      <c r="Q320" s="30" t="s">
        <v>363</v>
      </c>
      <c r="R320" s="30" t="s">
        <v>374</v>
      </c>
      <c r="S320" s="30" t="s">
        <v>375</v>
      </c>
      <c r="T320" s="30" t="s">
        <v>2431</v>
      </c>
      <c r="U320" s="30" t="s">
        <v>270</v>
      </c>
      <c r="V320" s="30" t="s">
        <v>270</v>
      </c>
      <c r="W320" s="30" t="s">
        <v>270</v>
      </c>
      <c r="X320" s="30" t="s">
        <v>180</v>
      </c>
      <c r="Y320" t="s">
        <v>180</v>
      </c>
      <c r="Z320" s="30" t="s">
        <v>180</v>
      </c>
      <c r="AA320" s="30" t="s">
        <v>181</v>
      </c>
      <c r="AB320" s="30" t="s">
        <v>55</v>
      </c>
      <c r="AC320" s="30" t="s">
        <v>92</v>
      </c>
      <c r="AD320" s="30" t="s">
        <v>1468</v>
      </c>
      <c r="AE320" s="30">
        <v>20601962102</v>
      </c>
      <c r="AF320" s="30" t="s">
        <v>2211</v>
      </c>
      <c r="AG320" s="30" t="s">
        <v>1442</v>
      </c>
      <c r="AH320" s="30" t="s">
        <v>185</v>
      </c>
      <c r="AI320" s="30" t="s">
        <v>1147</v>
      </c>
      <c r="AJ320" s="30" t="s">
        <v>1148</v>
      </c>
      <c r="AK320" s="30" t="s">
        <v>2432</v>
      </c>
      <c r="AL320" s="30" t="s">
        <v>483</v>
      </c>
      <c r="AM320" t="s">
        <v>270</v>
      </c>
      <c r="AN320" s="30" t="s">
        <v>270</v>
      </c>
      <c r="AO320" s="30" t="s">
        <v>483</v>
      </c>
      <c r="AP320" s="30" t="s">
        <v>483</v>
      </c>
      <c r="AQ320" s="30" t="s">
        <v>483</v>
      </c>
      <c r="AR320" s="30" t="s">
        <v>483</v>
      </c>
      <c r="AS320" s="30" t="s">
        <v>63</v>
      </c>
      <c r="AT320" s="30" t="s">
        <v>1911</v>
      </c>
      <c r="AU320" s="50">
        <v>46267.621527777781</v>
      </c>
      <c r="AV320" s="50">
        <v>46267.579861111109</v>
      </c>
      <c r="AW320" s="50">
        <v>46267.59375</v>
      </c>
      <c r="AX320" s="50">
        <v>46267.594444444447</v>
      </c>
      <c r="AY320" s="50">
        <v>46267.663194444445</v>
      </c>
      <c r="BA320" s="51"/>
      <c r="BB320" s="51"/>
      <c r="BE320" s="51"/>
      <c r="BF320" s="51"/>
      <c r="BG320" s="51"/>
      <c r="BH320" s="51"/>
      <c r="BI320" s="30" t="s">
        <v>65</v>
      </c>
      <c r="BJ320" s="50"/>
      <c r="BK320" s="50"/>
      <c r="BL320" s="50"/>
      <c r="BM320" s="50"/>
      <c r="BN320" s="50"/>
    </row>
    <row r="321" spans="1:66">
      <c r="A321" t="s">
        <v>168</v>
      </c>
      <c r="B321" s="30">
        <v>102</v>
      </c>
      <c r="C321" s="30">
        <v>36</v>
      </c>
      <c r="D321" s="30" t="s">
        <v>360</v>
      </c>
      <c r="E321" s="30" t="s">
        <v>170</v>
      </c>
      <c r="F321" s="48">
        <v>46267</v>
      </c>
      <c r="G321" s="48">
        <v>46268</v>
      </c>
      <c r="H321" s="49">
        <v>0.58333333333333337</v>
      </c>
      <c r="I321" s="49">
        <v>0.5</v>
      </c>
      <c r="J321" s="30" t="s">
        <v>361</v>
      </c>
      <c r="K321" s="30" t="s">
        <v>171</v>
      </c>
      <c r="L321" s="30">
        <v>0.5</v>
      </c>
      <c r="M321" s="30" t="s">
        <v>2433</v>
      </c>
      <c r="P321" s="30" t="s">
        <v>174</v>
      </c>
      <c r="Q321" s="30" t="s">
        <v>363</v>
      </c>
      <c r="R321" s="30" t="s">
        <v>374</v>
      </c>
      <c r="S321" s="30" t="s">
        <v>375</v>
      </c>
      <c r="T321" s="30" t="s">
        <v>2434</v>
      </c>
      <c r="U321" s="30" t="s">
        <v>2435</v>
      </c>
      <c r="V321" s="30" t="s">
        <v>2436</v>
      </c>
      <c r="W321" s="30" t="s">
        <v>2437</v>
      </c>
      <c r="X321" s="30" t="s">
        <v>180</v>
      </c>
      <c r="Y321" t="s">
        <v>180</v>
      </c>
      <c r="Z321" s="30" t="s">
        <v>1862</v>
      </c>
      <c r="AA321" s="30" t="s">
        <v>181</v>
      </c>
      <c r="AB321" s="30" t="s">
        <v>55</v>
      </c>
      <c r="AC321" s="30" t="s">
        <v>92</v>
      </c>
      <c r="AD321" s="30" t="s">
        <v>2183</v>
      </c>
      <c r="AE321" s="30">
        <v>20609890771</v>
      </c>
      <c r="AF321" s="30" t="s">
        <v>1396</v>
      </c>
      <c r="AG321" s="30" t="s">
        <v>1397</v>
      </c>
      <c r="AH321" s="30" t="s">
        <v>185</v>
      </c>
      <c r="AI321" s="30" t="s">
        <v>1909</v>
      </c>
      <c r="AJ321" s="30" t="s">
        <v>1910</v>
      </c>
      <c r="AK321" s="30" t="s">
        <v>2184</v>
      </c>
      <c r="AL321" s="30" t="s">
        <v>483</v>
      </c>
      <c r="AM321" t="s">
        <v>270</v>
      </c>
      <c r="AN321" s="30" t="s">
        <v>270</v>
      </c>
      <c r="AO321" s="30" t="s">
        <v>483</v>
      </c>
      <c r="AP321" s="30" t="s">
        <v>483</v>
      </c>
      <c r="AQ321" s="30" t="s">
        <v>483</v>
      </c>
      <c r="AR321" s="30" t="s">
        <v>483</v>
      </c>
      <c r="AS321" s="30" t="s">
        <v>63</v>
      </c>
      <c r="AT321" s="30" t="s">
        <v>380</v>
      </c>
      <c r="AU321" s="50">
        <v>46236.625</v>
      </c>
      <c r="AV321" s="50">
        <v>46236.614583333336</v>
      </c>
      <c r="AW321" s="50">
        <v>46236.618055555555</v>
      </c>
      <c r="AX321" s="50">
        <v>46236.619444444441</v>
      </c>
      <c r="AY321" s="50">
        <v>46236.711805555555</v>
      </c>
      <c r="AZ321" s="50">
        <v>46236.753472222219</v>
      </c>
      <c r="BA321" s="51">
        <v>46237.411805555559</v>
      </c>
      <c r="BB321" s="51">
        <v>46237.416666666664</v>
      </c>
      <c r="BC321" s="50">
        <v>46237.420138888891</v>
      </c>
      <c r="BD321" s="50">
        <v>46237.432638888888</v>
      </c>
      <c r="BE321" s="51">
        <v>46237.507638888892</v>
      </c>
      <c r="BF321" s="51">
        <v>46237.561111111114</v>
      </c>
      <c r="BG321" s="51">
        <v>46237.615972222222</v>
      </c>
      <c r="BH321" s="51">
        <v>46237.664583333331</v>
      </c>
      <c r="BI321" s="30" t="s">
        <v>65</v>
      </c>
      <c r="BJ321" s="50">
        <v>46270.083333333336</v>
      </c>
      <c r="BK321" s="50">
        <v>46270.081944444442</v>
      </c>
      <c r="BL321" s="50">
        <v>46270.093055555553</v>
      </c>
      <c r="BM321" s="50">
        <v>46270.09652777778</v>
      </c>
      <c r="BN321" s="50">
        <v>46270.107638888891</v>
      </c>
    </row>
    <row r="322" spans="1:66">
      <c r="A322" t="s">
        <v>168</v>
      </c>
      <c r="B322" s="30">
        <v>103</v>
      </c>
      <c r="C322" s="30">
        <v>36</v>
      </c>
      <c r="D322" s="30" t="s">
        <v>169</v>
      </c>
      <c r="E322" s="30" t="s">
        <v>170</v>
      </c>
      <c r="F322" s="48">
        <v>46267</v>
      </c>
      <c r="G322" s="48">
        <v>46269</v>
      </c>
      <c r="H322" s="49">
        <v>0.5</v>
      </c>
      <c r="I322" s="49">
        <v>0.41666666666666669</v>
      </c>
      <c r="J322" s="30" t="s">
        <v>53</v>
      </c>
      <c r="K322" s="30" t="s">
        <v>171</v>
      </c>
      <c r="L322" s="30">
        <v>0.5</v>
      </c>
      <c r="M322" s="30" t="s">
        <v>2433</v>
      </c>
      <c r="P322" s="30" t="s">
        <v>174</v>
      </c>
      <c r="Q322" s="30" t="s">
        <v>363</v>
      </c>
      <c r="R322" s="30" t="s">
        <v>374</v>
      </c>
      <c r="S322" s="30" t="s">
        <v>375</v>
      </c>
      <c r="T322" s="30" t="s">
        <v>2434</v>
      </c>
      <c r="U322" s="30" t="s">
        <v>2435</v>
      </c>
      <c r="V322" s="30" t="s">
        <v>2436</v>
      </c>
      <c r="W322" s="30" t="s">
        <v>2437</v>
      </c>
      <c r="X322" s="30" t="s">
        <v>180</v>
      </c>
      <c r="Y322" t="s">
        <v>180</v>
      </c>
      <c r="Z322" s="30" t="s">
        <v>180</v>
      </c>
      <c r="AA322" s="30" t="s">
        <v>181</v>
      </c>
      <c r="AB322" s="30" t="s">
        <v>55</v>
      </c>
      <c r="AC322" s="30" t="s">
        <v>92</v>
      </c>
      <c r="AD322" s="30" t="s">
        <v>2183</v>
      </c>
      <c r="AE322" s="30">
        <v>20609890771</v>
      </c>
      <c r="AF322" s="30" t="s">
        <v>1396</v>
      </c>
      <c r="AG322" s="30" t="s">
        <v>1397</v>
      </c>
      <c r="AH322" s="30" t="s">
        <v>185</v>
      </c>
      <c r="AI322" s="30" t="s">
        <v>1909</v>
      </c>
      <c r="AJ322" s="30" t="s">
        <v>1910</v>
      </c>
      <c r="AK322" s="30" t="s">
        <v>2184</v>
      </c>
      <c r="AL322" s="30" t="s">
        <v>483</v>
      </c>
      <c r="AM322" t="s">
        <v>270</v>
      </c>
      <c r="AN322" s="30" t="s">
        <v>270</v>
      </c>
      <c r="AO322" s="30" t="s">
        <v>483</v>
      </c>
      <c r="AP322" s="30" t="s">
        <v>483</v>
      </c>
      <c r="AQ322" s="30" t="s">
        <v>483</v>
      </c>
      <c r="AR322" s="30" t="s">
        <v>483</v>
      </c>
      <c r="AS322" s="30" t="s">
        <v>63</v>
      </c>
      <c r="AT322" s="30" t="s">
        <v>380</v>
      </c>
      <c r="AU322" s="50">
        <v>46236.625</v>
      </c>
      <c r="AV322" s="50">
        <v>46236.614583333336</v>
      </c>
      <c r="AW322" s="50">
        <v>46236.618055555555</v>
      </c>
      <c r="AX322" s="50">
        <v>46236.619444444441</v>
      </c>
      <c r="AY322" s="50">
        <v>46236.711805555555</v>
      </c>
      <c r="AZ322" s="50">
        <v>46237.664583333331</v>
      </c>
      <c r="BA322" s="51">
        <v>46238.336111111108</v>
      </c>
      <c r="BB322" s="51">
        <v>46238.336805555555</v>
      </c>
      <c r="BC322" s="50">
        <v>46238.425000000003</v>
      </c>
      <c r="BD322" s="50">
        <v>46238.440972222219</v>
      </c>
      <c r="BE322" s="51">
        <v>46238.459722222222</v>
      </c>
      <c r="BF322" s="51">
        <v>46238.466666666667</v>
      </c>
      <c r="BG322" s="51">
        <v>46238.48333333333</v>
      </c>
      <c r="BH322" s="51">
        <v>46238.510416666664</v>
      </c>
      <c r="BI322" s="30" t="s">
        <v>65</v>
      </c>
      <c r="BJ322" s="50">
        <v>46270.083333333336</v>
      </c>
      <c r="BK322" s="50">
        <v>46270.081944444442</v>
      </c>
      <c r="BL322" s="50">
        <v>46270.093055555553</v>
      </c>
      <c r="BM322" s="50">
        <v>46270.09652777778</v>
      </c>
      <c r="BN322" s="50">
        <v>46270.107638888891</v>
      </c>
    </row>
    <row r="323" spans="1:66">
      <c r="A323" t="s">
        <v>168</v>
      </c>
      <c r="B323" s="30">
        <v>104</v>
      </c>
      <c r="C323" s="30">
        <v>36</v>
      </c>
      <c r="D323" s="30" t="s">
        <v>169</v>
      </c>
      <c r="E323" s="30" t="s">
        <v>170</v>
      </c>
      <c r="F323" s="48">
        <v>46268</v>
      </c>
      <c r="G323" s="48">
        <v>46269</v>
      </c>
      <c r="H323" s="49">
        <v>0.5</v>
      </c>
      <c r="I323" s="49">
        <v>0.41666666666666669</v>
      </c>
      <c r="J323" s="30" t="s">
        <v>53</v>
      </c>
      <c r="K323" s="30" t="s">
        <v>171</v>
      </c>
      <c r="L323" s="30">
        <v>1</v>
      </c>
      <c r="M323" s="30" t="s">
        <v>2438</v>
      </c>
      <c r="P323" s="30" t="s">
        <v>174</v>
      </c>
      <c r="Q323" s="30" t="s">
        <v>363</v>
      </c>
      <c r="R323" s="30" t="s">
        <v>374</v>
      </c>
      <c r="S323" s="30" t="s">
        <v>375</v>
      </c>
      <c r="T323" s="30" t="s">
        <v>2439</v>
      </c>
      <c r="U323" s="30" t="s">
        <v>2440</v>
      </c>
      <c r="V323" s="30" t="s">
        <v>2441</v>
      </c>
      <c r="W323" s="30" t="s">
        <v>2442</v>
      </c>
      <c r="X323" s="30" t="s">
        <v>180</v>
      </c>
      <c r="Y323" t="s">
        <v>180</v>
      </c>
      <c r="Z323" s="30" t="s">
        <v>180</v>
      </c>
      <c r="AA323" s="30" t="s">
        <v>181</v>
      </c>
      <c r="AB323" s="30" t="s">
        <v>55</v>
      </c>
      <c r="AC323" s="30" t="s">
        <v>92</v>
      </c>
      <c r="AD323" s="30" t="s">
        <v>2183</v>
      </c>
      <c r="AE323" s="30">
        <v>20609890771</v>
      </c>
      <c r="AF323" s="30" t="s">
        <v>1388</v>
      </c>
      <c r="AG323" s="30" t="s">
        <v>1389</v>
      </c>
      <c r="AH323" s="30" t="s">
        <v>185</v>
      </c>
      <c r="AI323" s="30" t="s">
        <v>1390</v>
      </c>
      <c r="AJ323" s="30" t="s">
        <v>1391</v>
      </c>
      <c r="AK323" s="30" t="s">
        <v>2443</v>
      </c>
      <c r="AL323" s="30" t="s">
        <v>483</v>
      </c>
      <c r="AM323" t="s">
        <v>270</v>
      </c>
      <c r="AN323" s="30" t="s">
        <v>270</v>
      </c>
      <c r="AO323" s="30" t="s">
        <v>483</v>
      </c>
      <c r="AP323" s="30" t="s">
        <v>483</v>
      </c>
      <c r="AQ323" s="30" t="s">
        <v>483</v>
      </c>
      <c r="AR323" s="30" t="s">
        <v>483</v>
      </c>
      <c r="AS323" s="30" t="s">
        <v>63</v>
      </c>
      <c r="AT323" s="30" t="s">
        <v>380</v>
      </c>
      <c r="AU323" s="50">
        <v>46268.583333333336</v>
      </c>
      <c r="AV323" s="50">
        <v>46268.54791666667</v>
      </c>
      <c r="AW323" s="50">
        <v>46268.600694444445</v>
      </c>
      <c r="AX323" s="50">
        <v>46268.62222222222</v>
      </c>
      <c r="AY323" s="50">
        <v>46268.716666666667</v>
      </c>
      <c r="AZ323" s="50">
        <v>46268.756944444445</v>
      </c>
      <c r="BA323" s="51">
        <v>46269.342361111114</v>
      </c>
      <c r="BB323" s="51">
        <v>46269.343055555553</v>
      </c>
      <c r="BC323" s="50">
        <v>46269.367361111108</v>
      </c>
      <c r="BD323" s="50">
        <v>46269.384027777778</v>
      </c>
      <c r="BE323" s="51">
        <v>46269.465277777781</v>
      </c>
      <c r="BF323" s="51">
        <v>46269.488888888889</v>
      </c>
      <c r="BG323" s="51">
        <v>46269.512499999997</v>
      </c>
      <c r="BH323" s="51">
        <v>46269.548611111109</v>
      </c>
      <c r="BI323" s="30" t="s">
        <v>65</v>
      </c>
      <c r="BJ323" s="50">
        <v>46270.083333333336</v>
      </c>
      <c r="BK323" s="50">
        <v>46270.081944444442</v>
      </c>
      <c r="BL323" s="50">
        <v>46270.093055555553</v>
      </c>
      <c r="BM323" s="50">
        <v>46270.09652777778</v>
      </c>
      <c r="BN323" s="50">
        <v>46270.102083333331</v>
      </c>
    </row>
    <row r="324" spans="1:66">
      <c r="A324" t="s">
        <v>168</v>
      </c>
      <c r="B324" s="30">
        <v>105</v>
      </c>
      <c r="C324" s="30">
        <v>36</v>
      </c>
      <c r="D324" s="30" t="s">
        <v>169</v>
      </c>
      <c r="E324" s="30" t="s">
        <v>170</v>
      </c>
      <c r="F324" s="48">
        <v>46271</v>
      </c>
      <c r="G324" s="48">
        <v>46272</v>
      </c>
      <c r="H324" s="49">
        <v>0.45833333333333331</v>
      </c>
      <c r="I324" s="49">
        <v>0.375</v>
      </c>
      <c r="J324" s="30" t="s">
        <v>53</v>
      </c>
      <c r="K324" s="30" t="s">
        <v>171</v>
      </c>
      <c r="L324" s="30">
        <v>1</v>
      </c>
      <c r="M324" s="30" t="s">
        <v>2444</v>
      </c>
      <c r="P324" s="30" t="s">
        <v>174</v>
      </c>
      <c r="Q324" s="30" t="s">
        <v>363</v>
      </c>
      <c r="R324" s="30" t="s">
        <v>548</v>
      </c>
      <c r="S324" s="30" t="s">
        <v>623</v>
      </c>
      <c r="T324" s="30" t="s">
        <v>2445</v>
      </c>
      <c r="U324" s="30" t="s">
        <v>2446</v>
      </c>
      <c r="V324" s="30" t="s">
        <v>2447</v>
      </c>
      <c r="W324" s="30" t="s">
        <v>2448</v>
      </c>
      <c r="X324" s="30" t="s">
        <v>179</v>
      </c>
      <c r="Y324" t="s">
        <v>180</v>
      </c>
      <c r="Z324" s="30" t="s">
        <v>180</v>
      </c>
      <c r="AA324" s="30" t="s">
        <v>181</v>
      </c>
      <c r="AB324" s="30" t="s">
        <v>55</v>
      </c>
      <c r="AC324" s="30" t="s">
        <v>56</v>
      </c>
      <c r="AD324" s="30" t="s">
        <v>78</v>
      </c>
      <c r="AE324" s="30">
        <v>20513040718</v>
      </c>
      <c r="AF324" s="30" t="s">
        <v>992</v>
      </c>
      <c r="AG324" s="30" t="s">
        <v>993</v>
      </c>
      <c r="AH324" s="30" t="s">
        <v>185</v>
      </c>
      <c r="AI324" s="30" t="s">
        <v>994</v>
      </c>
      <c r="AJ324" s="30" t="s">
        <v>995</v>
      </c>
      <c r="AK324" s="30" t="s">
        <v>1009</v>
      </c>
      <c r="AL324" s="30" t="s">
        <v>483</v>
      </c>
      <c r="AM324" t="s">
        <v>270</v>
      </c>
      <c r="AN324" s="30" t="s">
        <v>270</v>
      </c>
      <c r="AO324" s="30" t="s">
        <v>483</v>
      </c>
      <c r="AP324" s="30" t="s">
        <v>483</v>
      </c>
      <c r="AQ324" s="30" t="s">
        <v>483</v>
      </c>
      <c r="AR324" s="30" t="s">
        <v>483</v>
      </c>
      <c r="AS324" s="30" t="s">
        <v>63</v>
      </c>
      <c r="AT324" s="30" t="s">
        <v>64</v>
      </c>
      <c r="AU324" s="50">
        <v>46271.583333333336</v>
      </c>
      <c r="AV324" s="50">
        <v>46271.586111111108</v>
      </c>
      <c r="AW324" s="50">
        <v>46271.62222222222</v>
      </c>
      <c r="AX324" s="50">
        <v>46271.622916666667</v>
      </c>
      <c r="AY324" s="50">
        <v>46271.654861111114</v>
      </c>
      <c r="AZ324" s="50">
        <v>46271.696527777778</v>
      </c>
      <c r="BA324" s="51">
        <v>46272.379861111112</v>
      </c>
      <c r="BB324" s="51">
        <v>46272.379861111112</v>
      </c>
      <c r="BC324" s="50">
        <v>46272.469444444447</v>
      </c>
      <c r="BD324" s="50">
        <v>46272.492361111108</v>
      </c>
      <c r="BE324" s="51">
        <v>46272.543055555558</v>
      </c>
      <c r="BF324" s="51">
        <v>46272.557638888888</v>
      </c>
      <c r="BG324" s="51">
        <v>46272.574305555558</v>
      </c>
      <c r="BH324" s="51">
        <v>46272.591666666667</v>
      </c>
      <c r="BI324" s="30" t="s">
        <v>65</v>
      </c>
      <c r="BJ324" s="50">
        <v>46273.333333333336</v>
      </c>
      <c r="BK324" s="50">
        <v>46273.332638888889</v>
      </c>
      <c r="BL324" s="50">
        <v>46273.338194444441</v>
      </c>
      <c r="BM324" s="50">
        <v>46273.340277777781</v>
      </c>
      <c r="BN324" s="50">
        <v>46273.344444444447</v>
      </c>
    </row>
    <row r="325" spans="1:66">
      <c r="A325" t="s">
        <v>168</v>
      </c>
      <c r="B325" s="30">
        <v>106</v>
      </c>
      <c r="C325" s="30">
        <v>36</v>
      </c>
      <c r="D325" s="30" t="s">
        <v>169</v>
      </c>
      <c r="E325" s="30" t="s">
        <v>170</v>
      </c>
      <c r="F325" s="48">
        <v>46271</v>
      </c>
      <c r="G325" s="48">
        <v>46272</v>
      </c>
      <c r="H325" s="49">
        <v>0.41666666666666669</v>
      </c>
      <c r="I325" s="49">
        <v>0.41666666666666669</v>
      </c>
      <c r="J325" s="30" t="s">
        <v>53</v>
      </c>
      <c r="K325" s="30" t="s">
        <v>2429</v>
      </c>
      <c r="L325" s="30">
        <v>1</v>
      </c>
      <c r="M325" s="30" t="s">
        <v>2449</v>
      </c>
      <c r="P325" s="30" t="s">
        <v>174</v>
      </c>
      <c r="Q325" s="30" t="s">
        <v>363</v>
      </c>
      <c r="R325" s="30" t="s">
        <v>548</v>
      </c>
      <c r="S325" s="30" t="s">
        <v>2450</v>
      </c>
      <c r="T325" s="30" t="s">
        <v>2451</v>
      </c>
      <c r="U325" s="30" t="s">
        <v>2452</v>
      </c>
      <c r="V325" s="30" t="s">
        <v>2453</v>
      </c>
      <c r="W325" s="30" t="s">
        <v>483</v>
      </c>
      <c r="X325" s="30" t="s">
        <v>179</v>
      </c>
      <c r="Y325" t="s">
        <v>180</v>
      </c>
      <c r="Z325" s="30" t="s">
        <v>180</v>
      </c>
      <c r="AA325" s="30" t="s">
        <v>181</v>
      </c>
      <c r="AB325" s="30" t="s">
        <v>55</v>
      </c>
      <c r="AC325" s="30" t="s">
        <v>92</v>
      </c>
      <c r="AD325" s="30" t="s">
        <v>1117</v>
      </c>
      <c r="AE325" s="30">
        <v>20612886921</v>
      </c>
      <c r="AF325" s="30" t="s">
        <v>1928</v>
      </c>
      <c r="AG325" s="30" t="s">
        <v>1929</v>
      </c>
      <c r="AH325" s="30" t="s">
        <v>185</v>
      </c>
      <c r="AI325" s="30" t="s">
        <v>1930</v>
      </c>
      <c r="AJ325" s="30" t="s">
        <v>1931</v>
      </c>
      <c r="AK325" s="30">
        <v>923785528</v>
      </c>
      <c r="AL325" s="30" t="s">
        <v>483</v>
      </c>
      <c r="AM325" t="s">
        <v>270</v>
      </c>
      <c r="AN325" s="30" t="s">
        <v>270</v>
      </c>
      <c r="AO325" s="30" t="s">
        <v>483</v>
      </c>
      <c r="AP325" s="30" t="s">
        <v>483</v>
      </c>
      <c r="AQ325" s="30" t="s">
        <v>483</v>
      </c>
      <c r="AR325" s="30" t="s">
        <v>483</v>
      </c>
      <c r="AS325" s="30" t="s">
        <v>63</v>
      </c>
      <c r="AT325" s="30" t="s">
        <v>356</v>
      </c>
      <c r="AU325" s="50">
        <v>46271.416666666664</v>
      </c>
      <c r="AV325" s="50">
        <v>46271.430555555555</v>
      </c>
      <c r="AW325" s="50">
        <v>46271.458333333336</v>
      </c>
      <c r="AX325" s="50">
        <v>46271.461805555555</v>
      </c>
      <c r="AY325" s="50">
        <v>46271.565972222219</v>
      </c>
      <c r="AZ325" s="50">
        <v>46271.607638888891</v>
      </c>
      <c r="BA325" s="51"/>
      <c r="BB325" s="51"/>
      <c r="BE325" s="51"/>
      <c r="BF325" s="51"/>
      <c r="BG325" s="51"/>
      <c r="BH325" s="51"/>
      <c r="BI325" s="30" t="s">
        <v>65</v>
      </c>
      <c r="BJ325" s="50">
        <v>46272.041666666664</v>
      </c>
      <c r="BK325" s="50">
        <v>46272.059027777781</v>
      </c>
      <c r="BL325" s="50">
        <v>46272.48333333333</v>
      </c>
      <c r="BM325" s="50">
        <v>46272.486111111109</v>
      </c>
      <c r="BN325" s="50">
        <v>46272.493055555555</v>
      </c>
    </row>
    <row r="326" spans="1:66">
      <c r="A326" t="s">
        <v>168</v>
      </c>
      <c r="B326" s="30">
        <v>107</v>
      </c>
      <c r="C326" s="30">
        <v>36</v>
      </c>
      <c r="D326" s="30" t="s">
        <v>169</v>
      </c>
      <c r="E326" s="30" t="s">
        <v>170</v>
      </c>
      <c r="F326" s="48">
        <v>46272</v>
      </c>
      <c r="G326" s="48">
        <v>46273</v>
      </c>
      <c r="H326" s="49">
        <v>0.33333333333333331</v>
      </c>
      <c r="I326" s="49">
        <v>0.33333333333333331</v>
      </c>
      <c r="J326" s="30" t="s">
        <v>53</v>
      </c>
      <c r="K326" s="30" t="s">
        <v>171</v>
      </c>
      <c r="L326" s="30">
        <v>1</v>
      </c>
      <c r="M326" s="30" t="s">
        <v>2454</v>
      </c>
      <c r="P326" s="30" t="s">
        <v>174</v>
      </c>
      <c r="Q326" s="30" t="s">
        <v>363</v>
      </c>
      <c r="R326" s="30" t="s">
        <v>175</v>
      </c>
      <c r="S326" s="30" t="s">
        <v>176</v>
      </c>
      <c r="T326" s="30" t="s">
        <v>2455</v>
      </c>
      <c r="U326" s="30" t="s">
        <v>2456</v>
      </c>
      <c r="V326" s="30" t="s">
        <v>2457</v>
      </c>
      <c r="W326" s="30" t="s">
        <v>2458</v>
      </c>
      <c r="X326" s="30" t="s">
        <v>179</v>
      </c>
      <c r="Y326" t="s">
        <v>180</v>
      </c>
      <c r="Z326" s="30" t="s">
        <v>180</v>
      </c>
      <c r="AA326" s="30" t="s">
        <v>181</v>
      </c>
      <c r="AB326" s="30" t="s">
        <v>55</v>
      </c>
      <c r="AC326" s="30" t="s">
        <v>92</v>
      </c>
      <c r="AD326" s="30" t="s">
        <v>1260</v>
      </c>
      <c r="AE326" s="30">
        <v>20611958651</v>
      </c>
      <c r="AF326" s="30" t="s">
        <v>2459</v>
      </c>
      <c r="AG326" s="30" t="s">
        <v>2460</v>
      </c>
      <c r="AH326" s="30" t="s">
        <v>185</v>
      </c>
      <c r="AI326" s="30" t="s">
        <v>1263</v>
      </c>
      <c r="AJ326" s="30" t="s">
        <v>1264</v>
      </c>
      <c r="AK326" s="30">
        <v>934562102</v>
      </c>
      <c r="AL326" s="30" t="s">
        <v>483</v>
      </c>
      <c r="AM326" t="s">
        <v>270</v>
      </c>
      <c r="AN326" s="30" t="s">
        <v>270</v>
      </c>
      <c r="AO326" s="30" t="s">
        <v>483</v>
      </c>
      <c r="AP326" s="30" t="s">
        <v>483</v>
      </c>
      <c r="AQ326" s="30" t="s">
        <v>483</v>
      </c>
      <c r="AR326" s="30" t="s">
        <v>483</v>
      </c>
      <c r="AS326" s="30" t="s">
        <v>63</v>
      </c>
      <c r="AT326" s="30" t="s">
        <v>64</v>
      </c>
      <c r="AU326" s="50">
        <v>46272.5</v>
      </c>
      <c r="AV326" s="50">
        <v>46272.490277777775</v>
      </c>
      <c r="AW326" s="50">
        <v>46272.511805555558</v>
      </c>
      <c r="AX326" s="50">
        <v>46272.541666666664</v>
      </c>
      <c r="AY326" s="50">
        <v>46272.602777777778</v>
      </c>
      <c r="AZ326" s="50">
        <v>46272.645833333336</v>
      </c>
      <c r="BA326" s="51">
        <v>46273.315972222219</v>
      </c>
      <c r="BB326" s="51">
        <v>46273.319444444445</v>
      </c>
      <c r="BC326" s="50">
        <v>46273.322916666664</v>
      </c>
      <c r="BD326" s="50">
        <v>46273.324999999997</v>
      </c>
      <c r="BE326" s="51">
        <v>46273.458333333336</v>
      </c>
      <c r="BF326" s="51">
        <v>46273.5</v>
      </c>
      <c r="BG326" s="51">
        <v>46273.53125</v>
      </c>
      <c r="BH326" s="51">
        <v>46273.542361111111</v>
      </c>
      <c r="BI326" s="30" t="s">
        <v>65</v>
      </c>
      <c r="BJ326" s="50">
        <v>46274.208333333336</v>
      </c>
      <c r="BK326" s="50">
        <v>46274.263888888891</v>
      </c>
      <c r="BL326" s="50">
        <v>46274.277777777781</v>
      </c>
      <c r="BM326" s="50">
        <v>46274.28125</v>
      </c>
      <c r="BN326" s="50">
        <v>46274.288194444445</v>
      </c>
    </row>
    <row r="327" spans="1:66">
      <c r="A327" t="s">
        <v>168</v>
      </c>
      <c r="B327" s="30">
        <v>108</v>
      </c>
      <c r="C327" s="30">
        <v>36</v>
      </c>
      <c r="D327" s="30" t="s">
        <v>169</v>
      </c>
      <c r="E327" s="30" t="s">
        <v>170</v>
      </c>
      <c r="F327" s="48">
        <v>46272</v>
      </c>
      <c r="G327" s="48">
        <v>46273</v>
      </c>
      <c r="H327" s="49">
        <v>0.41666666666666669</v>
      </c>
      <c r="I327" s="49">
        <v>0.33333333333333331</v>
      </c>
      <c r="J327" s="30" t="s">
        <v>53</v>
      </c>
      <c r="K327" s="30" t="s">
        <v>171</v>
      </c>
      <c r="L327" s="30">
        <v>1</v>
      </c>
      <c r="M327" s="30" t="s">
        <v>2461</v>
      </c>
      <c r="P327" s="30" t="s">
        <v>174</v>
      </c>
      <c r="Q327" s="30" t="s">
        <v>363</v>
      </c>
      <c r="R327" s="30" t="s">
        <v>175</v>
      </c>
      <c r="S327" s="30" t="s">
        <v>176</v>
      </c>
      <c r="T327" s="30" t="s">
        <v>2462</v>
      </c>
      <c r="U327" s="30" t="s">
        <v>2463</v>
      </c>
      <c r="V327" s="30" t="s">
        <v>2464</v>
      </c>
      <c r="W327" s="30" t="s">
        <v>2465</v>
      </c>
      <c r="X327" s="30" t="s">
        <v>179</v>
      </c>
      <c r="Y327" t="s">
        <v>180</v>
      </c>
      <c r="Z327" s="30" t="s">
        <v>180</v>
      </c>
      <c r="AA327" s="30" t="s">
        <v>181</v>
      </c>
      <c r="AB327" s="30" t="s">
        <v>55</v>
      </c>
      <c r="AC327" s="30" t="s">
        <v>92</v>
      </c>
      <c r="AD327" s="30" t="s">
        <v>1117</v>
      </c>
      <c r="AE327" s="30">
        <v>20612886921</v>
      </c>
      <c r="AF327" s="30" t="s">
        <v>1928</v>
      </c>
      <c r="AG327" s="30" t="s">
        <v>1929</v>
      </c>
      <c r="AH327" s="30" t="s">
        <v>185</v>
      </c>
      <c r="AI327" s="30" t="s">
        <v>1930</v>
      </c>
      <c r="AJ327" s="30" t="s">
        <v>1931</v>
      </c>
      <c r="AK327" s="30">
        <v>923785528</v>
      </c>
      <c r="AL327" s="30" t="s">
        <v>483</v>
      </c>
      <c r="AM327" t="s">
        <v>270</v>
      </c>
      <c r="AN327" s="30" t="s">
        <v>270</v>
      </c>
      <c r="AO327" s="30" t="s">
        <v>483</v>
      </c>
      <c r="AP327" s="30" t="s">
        <v>483</v>
      </c>
      <c r="AQ327" s="30" t="s">
        <v>483</v>
      </c>
      <c r="AR327" s="30" t="s">
        <v>483</v>
      </c>
      <c r="AS327" s="30" t="s">
        <v>63</v>
      </c>
      <c r="AT327" s="30" t="s">
        <v>64</v>
      </c>
      <c r="AU327" s="50">
        <v>46272.458333333336</v>
      </c>
      <c r="AV327" s="50">
        <v>46272.467361111114</v>
      </c>
      <c r="AW327" s="50">
        <v>46272.484722222223</v>
      </c>
      <c r="AX327" s="50">
        <v>46272.48541666667</v>
      </c>
      <c r="AY327" s="50">
        <v>46272.53125</v>
      </c>
      <c r="AZ327" s="50">
        <v>46272.572916666664</v>
      </c>
      <c r="BA327" s="51">
        <v>46273.20416666667</v>
      </c>
      <c r="BB327" s="51">
        <v>46273.252083333333</v>
      </c>
      <c r="BC327" s="50">
        <v>46273.344444444447</v>
      </c>
      <c r="BD327" s="50">
        <v>46273.377083333333</v>
      </c>
      <c r="BE327" s="51">
        <v>46273.442361111112</v>
      </c>
      <c r="BF327" s="51">
        <v>46273.458333333336</v>
      </c>
      <c r="BG327" s="51">
        <v>46273.472916666666</v>
      </c>
      <c r="BH327" s="51">
        <v>46273.536111111112</v>
      </c>
      <c r="BI327" s="30" t="s">
        <v>65</v>
      </c>
      <c r="BJ327" s="50">
        <v>46274.291666666664</v>
      </c>
      <c r="BK327" s="50">
        <v>46274.294444444444</v>
      </c>
      <c r="BL327" s="50">
        <v>46274.307638888888</v>
      </c>
      <c r="BM327" s="50">
        <v>46274.311111111114</v>
      </c>
      <c r="BN327" s="50">
        <v>46274.31527777778</v>
      </c>
    </row>
    <row r="328" spans="1:66">
      <c r="A328" t="s">
        <v>168</v>
      </c>
      <c r="B328" s="30">
        <v>109</v>
      </c>
      <c r="C328" s="30">
        <v>37</v>
      </c>
      <c r="D328" s="30" t="s">
        <v>360</v>
      </c>
      <c r="E328" s="30" t="s">
        <v>170</v>
      </c>
      <c r="F328" s="48">
        <v>46274</v>
      </c>
      <c r="G328" s="48">
        <v>46275</v>
      </c>
      <c r="H328" s="49">
        <v>0.58333333333333337</v>
      </c>
      <c r="I328" s="49">
        <v>0.5</v>
      </c>
      <c r="J328" s="30" t="s">
        <v>361</v>
      </c>
      <c r="K328" s="30" t="s">
        <v>171</v>
      </c>
      <c r="L328" s="30">
        <v>0.5</v>
      </c>
      <c r="M328" s="30" t="s">
        <v>2466</v>
      </c>
      <c r="N328" s="30" t="s">
        <v>174</v>
      </c>
      <c r="O328" s="30" t="s">
        <v>363</v>
      </c>
      <c r="P328" s="30" t="s">
        <v>174</v>
      </c>
      <c r="Q328" s="30" t="s">
        <v>363</v>
      </c>
      <c r="R328" s="30" t="s">
        <v>382</v>
      </c>
      <c r="S328" s="30" t="s">
        <v>375</v>
      </c>
      <c r="T328" s="30" t="s">
        <v>2467</v>
      </c>
      <c r="U328" s="30" t="s">
        <v>2468</v>
      </c>
      <c r="V328" s="30" t="s">
        <v>2469</v>
      </c>
      <c r="W328" s="30" t="s">
        <v>2470</v>
      </c>
      <c r="X328" s="30" t="s">
        <v>180</v>
      </c>
      <c r="Y328" t="s">
        <v>180</v>
      </c>
      <c r="Z328" s="30" t="s">
        <v>180</v>
      </c>
      <c r="AA328" s="30" t="s">
        <v>181</v>
      </c>
      <c r="AB328" s="30" t="s">
        <v>55</v>
      </c>
      <c r="AC328" s="30" t="s">
        <v>56</v>
      </c>
      <c r="AD328" s="30" t="s">
        <v>78</v>
      </c>
      <c r="AE328" s="30">
        <v>20513040718</v>
      </c>
      <c r="AF328" s="30" t="s">
        <v>1015</v>
      </c>
      <c r="AG328" s="30" t="s">
        <v>1016</v>
      </c>
      <c r="AH328" s="30" t="s">
        <v>185</v>
      </c>
      <c r="AI328" s="30" t="s">
        <v>1017</v>
      </c>
      <c r="AJ328" s="30" t="s">
        <v>1018</v>
      </c>
      <c r="AK328" s="30">
        <v>948666455</v>
      </c>
      <c r="AL328" s="30" t="s">
        <v>483</v>
      </c>
      <c r="AM328" t="s">
        <v>270</v>
      </c>
      <c r="AN328" s="30" t="s">
        <v>270</v>
      </c>
      <c r="AO328" s="30" t="s">
        <v>483</v>
      </c>
      <c r="AP328" s="30" t="s">
        <v>483</v>
      </c>
      <c r="AQ328" s="30" t="s">
        <v>483</v>
      </c>
      <c r="AR328" s="30" t="s">
        <v>483</v>
      </c>
      <c r="AS328" s="30" t="s">
        <v>63</v>
      </c>
      <c r="AT328" s="30" t="s">
        <v>380</v>
      </c>
      <c r="AU328" s="50">
        <v>46274.625</v>
      </c>
      <c r="AV328" s="50">
        <v>46274.602083333331</v>
      </c>
      <c r="AW328" s="50">
        <v>46274.615277777775</v>
      </c>
      <c r="AX328" s="50">
        <v>46274.625</v>
      </c>
      <c r="AY328" s="50">
        <v>46274.700694444444</v>
      </c>
      <c r="AZ328" s="50">
        <v>46274.742361111108</v>
      </c>
      <c r="BA328" s="51">
        <v>46275.376388888886</v>
      </c>
      <c r="BB328" s="51">
        <v>46275.381944444445</v>
      </c>
      <c r="BC328" s="50">
        <v>46275.458333333336</v>
      </c>
      <c r="BD328" s="50">
        <v>46275.478472222225</v>
      </c>
      <c r="BE328" s="51">
        <v>46275.554861111108</v>
      </c>
      <c r="BF328" s="51">
        <v>46275.567361111112</v>
      </c>
      <c r="BG328" s="51">
        <v>46275.585416666669</v>
      </c>
      <c r="BH328" s="51">
        <v>46275.722222222219</v>
      </c>
      <c r="BI328" s="30" t="s">
        <v>65</v>
      </c>
      <c r="BJ328" s="50">
        <v>46277.416666666664</v>
      </c>
      <c r="BK328" s="50">
        <v>46277.413194444445</v>
      </c>
      <c r="BL328" s="50">
        <v>46277.418749999997</v>
      </c>
      <c r="BM328" s="50">
        <v>46277.421527777777</v>
      </c>
      <c r="BN328" s="50">
        <v>46277.433333333334</v>
      </c>
    </row>
    <row r="329" spans="1:66">
      <c r="A329" t="s">
        <v>168</v>
      </c>
      <c r="B329" s="30">
        <v>111</v>
      </c>
      <c r="C329" s="30">
        <v>37</v>
      </c>
      <c r="D329" s="30" t="s">
        <v>169</v>
      </c>
      <c r="E329" s="30" t="s">
        <v>170</v>
      </c>
      <c r="F329" s="48">
        <v>46274</v>
      </c>
      <c r="G329" s="48">
        <v>46276</v>
      </c>
      <c r="H329" s="49">
        <v>0.375</v>
      </c>
      <c r="I329" s="49">
        <v>0.375</v>
      </c>
      <c r="J329" s="30" t="s">
        <v>53</v>
      </c>
      <c r="K329" s="30" t="s">
        <v>171</v>
      </c>
      <c r="L329" s="30">
        <v>0.5</v>
      </c>
      <c r="M329" s="30" t="s">
        <v>2466</v>
      </c>
      <c r="P329" s="30" t="s">
        <v>174</v>
      </c>
      <c r="Q329" s="30" t="s">
        <v>363</v>
      </c>
      <c r="R329" s="30" t="s">
        <v>382</v>
      </c>
      <c r="S329" s="30" t="s">
        <v>375</v>
      </c>
      <c r="T329" s="30" t="s">
        <v>2467</v>
      </c>
      <c r="U329" s="30" t="s">
        <v>2468</v>
      </c>
      <c r="V329" s="30" t="s">
        <v>2469</v>
      </c>
      <c r="W329" s="30" t="s">
        <v>2470</v>
      </c>
      <c r="X329" s="30" t="s">
        <v>180</v>
      </c>
      <c r="Y329" t="s">
        <v>180</v>
      </c>
      <c r="Z329" s="30" t="s">
        <v>180</v>
      </c>
      <c r="AA329" s="30" t="s">
        <v>181</v>
      </c>
      <c r="AB329" s="30" t="s">
        <v>55</v>
      </c>
      <c r="AC329" s="30" t="s">
        <v>56</v>
      </c>
      <c r="AD329" s="30" t="s">
        <v>78</v>
      </c>
      <c r="AE329" s="30">
        <v>20513040718</v>
      </c>
      <c r="AF329" s="30" t="s">
        <v>1015</v>
      </c>
      <c r="AG329" s="30" t="s">
        <v>1016</v>
      </c>
      <c r="AH329" s="30" t="s">
        <v>185</v>
      </c>
      <c r="AI329" s="30" t="s">
        <v>1017</v>
      </c>
      <c r="AJ329" s="30" t="s">
        <v>1018</v>
      </c>
      <c r="AK329" s="30">
        <v>948666455</v>
      </c>
      <c r="AL329" s="30" t="s">
        <v>483</v>
      </c>
      <c r="AM329" t="s">
        <v>270</v>
      </c>
      <c r="AN329" s="30" t="s">
        <v>270</v>
      </c>
      <c r="AO329" s="30" t="s">
        <v>483</v>
      </c>
      <c r="AP329" s="30" t="s">
        <v>483</v>
      </c>
      <c r="AQ329" s="30" t="s">
        <v>483</v>
      </c>
      <c r="AR329" s="30" t="s">
        <v>483</v>
      </c>
      <c r="AS329" s="30" t="s">
        <v>63</v>
      </c>
      <c r="AT329" s="30" t="s">
        <v>380</v>
      </c>
      <c r="AU329" s="50">
        <v>46274.625</v>
      </c>
      <c r="AV329" s="50">
        <v>46274.602083333331</v>
      </c>
      <c r="AW329" s="50">
        <v>46274.615277777775</v>
      </c>
      <c r="AX329" s="50">
        <v>46274.625</v>
      </c>
      <c r="AY329" s="50">
        <v>46274.700694444444</v>
      </c>
      <c r="AZ329" s="50">
        <v>46275.722222222219</v>
      </c>
      <c r="BA329" s="51">
        <v>46276.380555555559</v>
      </c>
      <c r="BB329" s="51">
        <v>46276.381944444445</v>
      </c>
      <c r="BC329" s="50">
        <v>46276.454861111109</v>
      </c>
      <c r="BD329" s="50">
        <v>46276.467361111114</v>
      </c>
      <c r="BE329" s="51">
        <v>46276.500694444447</v>
      </c>
      <c r="BF329" s="51">
        <v>46276.507638888892</v>
      </c>
      <c r="BG329" s="51">
        <v>46276.525000000001</v>
      </c>
      <c r="BH329" s="51">
        <v>46276.584027777775</v>
      </c>
      <c r="BI329" s="30" t="s">
        <v>65</v>
      </c>
      <c r="BJ329" s="50">
        <v>46277.416666666664</v>
      </c>
      <c r="BK329" s="50">
        <v>46277.413194444445</v>
      </c>
      <c r="BL329" s="50">
        <v>46277.418749999997</v>
      </c>
      <c r="BM329" s="50">
        <v>46277.421527777777</v>
      </c>
      <c r="BN329" s="50">
        <v>46277.433333333334</v>
      </c>
    </row>
    <row r="330" spans="1:66">
      <c r="A330" t="s">
        <v>168</v>
      </c>
      <c r="B330" s="30">
        <v>112</v>
      </c>
      <c r="C330" s="30">
        <v>37</v>
      </c>
      <c r="D330" s="30" t="s">
        <v>169</v>
      </c>
      <c r="E330" s="30" t="s">
        <v>170</v>
      </c>
      <c r="F330" s="48">
        <v>46275</v>
      </c>
      <c r="G330" s="48">
        <v>46276</v>
      </c>
      <c r="H330" s="49">
        <v>0.33333333333333331</v>
      </c>
      <c r="I330" s="49">
        <v>0.33333333333333331</v>
      </c>
      <c r="J330" s="30" t="s">
        <v>53</v>
      </c>
      <c r="K330" s="30" t="s">
        <v>171</v>
      </c>
      <c r="L330" s="30">
        <v>1</v>
      </c>
      <c r="M330" s="30" t="s">
        <v>2471</v>
      </c>
      <c r="P330" s="30" t="s">
        <v>174</v>
      </c>
      <c r="Q330" s="30" t="s">
        <v>363</v>
      </c>
      <c r="R330" s="30" t="s">
        <v>374</v>
      </c>
      <c r="S330" s="30" t="s">
        <v>375</v>
      </c>
      <c r="T330" s="30" t="s">
        <v>2472</v>
      </c>
      <c r="U330" s="30" t="s">
        <v>2473</v>
      </c>
      <c r="V330" s="30" t="s">
        <v>2474</v>
      </c>
      <c r="W330" s="30" t="s">
        <v>2475</v>
      </c>
      <c r="X330" s="30" t="s">
        <v>180</v>
      </c>
      <c r="Y330" t="s">
        <v>180</v>
      </c>
      <c r="Z330" s="30" t="s">
        <v>180</v>
      </c>
      <c r="AA330" s="30" t="s">
        <v>181</v>
      </c>
      <c r="AB330" s="30" t="s">
        <v>55</v>
      </c>
      <c r="AC330" s="30" t="s">
        <v>92</v>
      </c>
      <c r="AD330" s="30" t="s">
        <v>1117</v>
      </c>
      <c r="AE330" s="30">
        <v>20612886921</v>
      </c>
      <c r="AF330" s="30" t="s">
        <v>2476</v>
      </c>
      <c r="AG330" s="30" t="s">
        <v>2477</v>
      </c>
      <c r="AH330" s="30" t="s">
        <v>185</v>
      </c>
      <c r="AI330" s="30" t="s">
        <v>2478</v>
      </c>
      <c r="AJ330" s="30" t="s">
        <v>2479</v>
      </c>
      <c r="AK330" s="30" t="s">
        <v>2480</v>
      </c>
      <c r="AL330" s="30" t="s">
        <v>483</v>
      </c>
      <c r="AM330" t="s">
        <v>270</v>
      </c>
      <c r="AN330" s="30" t="s">
        <v>270</v>
      </c>
      <c r="AO330" s="30" t="s">
        <v>483</v>
      </c>
      <c r="AP330" s="30" t="s">
        <v>483</v>
      </c>
      <c r="AQ330" s="30" t="s">
        <v>483</v>
      </c>
      <c r="AR330" s="30" t="s">
        <v>483</v>
      </c>
      <c r="AS330" s="30" t="s">
        <v>63</v>
      </c>
      <c r="AT330" s="30" t="s">
        <v>380</v>
      </c>
      <c r="AU330" s="50">
        <v>46275.583333333336</v>
      </c>
      <c r="AV330" s="50">
        <v>46275.571527777778</v>
      </c>
      <c r="AW330" s="50">
        <v>46275.616666666669</v>
      </c>
      <c r="AX330" s="50">
        <v>46275.621527777781</v>
      </c>
      <c r="AY330" s="50">
        <v>46275.712500000001</v>
      </c>
      <c r="AZ330" s="50">
        <v>46275.75</v>
      </c>
      <c r="BA330" s="51">
        <v>46276.245833333334</v>
      </c>
      <c r="BB330" s="51">
        <v>46276.260416666664</v>
      </c>
      <c r="BC330" s="50">
        <v>46276.270833333336</v>
      </c>
      <c r="BD330" s="50">
        <v>46276.277777777781</v>
      </c>
      <c r="BE330" s="51">
        <v>46276.319444444445</v>
      </c>
      <c r="BF330" s="51">
        <v>46276.541666666664</v>
      </c>
      <c r="BG330" s="51">
        <v>46276.583333333336</v>
      </c>
      <c r="BH330" s="51">
        <v>46276.602083333331</v>
      </c>
      <c r="BI330" s="30" t="s">
        <v>65</v>
      </c>
      <c r="BJ330" s="50">
        <v>46277.166666666664</v>
      </c>
      <c r="BK330" s="50">
        <v>46277.175694444442</v>
      </c>
      <c r="BL330" s="50">
        <v>46277.193749999999</v>
      </c>
      <c r="BM330" s="50">
        <v>46277.195833333331</v>
      </c>
      <c r="BN330" s="50">
        <v>46277.213194444441</v>
      </c>
    </row>
    <row r="331" spans="1:66">
      <c r="A331" t="s">
        <v>168</v>
      </c>
      <c r="B331" s="30">
        <v>113</v>
      </c>
      <c r="C331" s="30">
        <v>37</v>
      </c>
      <c r="D331" s="30" t="s">
        <v>169</v>
      </c>
      <c r="E331" s="30" t="s">
        <v>170</v>
      </c>
      <c r="F331" s="48">
        <v>46278</v>
      </c>
      <c r="G331" s="48">
        <v>46279</v>
      </c>
      <c r="H331" s="49">
        <v>0.33333333333333331</v>
      </c>
      <c r="I331" s="49">
        <v>0.33333333333333331</v>
      </c>
      <c r="J331" s="30" t="s">
        <v>53</v>
      </c>
      <c r="K331" s="30" t="s">
        <v>171</v>
      </c>
      <c r="L331" s="30">
        <v>1</v>
      </c>
      <c r="M331" s="30" t="s">
        <v>2481</v>
      </c>
      <c r="P331" s="30" t="s">
        <v>174</v>
      </c>
      <c r="Q331" s="30" t="s">
        <v>363</v>
      </c>
      <c r="R331" s="30" t="s">
        <v>548</v>
      </c>
      <c r="S331" s="30" t="s">
        <v>623</v>
      </c>
      <c r="T331" s="30" t="s">
        <v>2482</v>
      </c>
      <c r="U331" s="30" t="s">
        <v>2483</v>
      </c>
      <c r="V331" s="30" t="s">
        <v>2484</v>
      </c>
      <c r="W331" s="30" t="s">
        <v>2485</v>
      </c>
      <c r="X331" s="30" t="s">
        <v>179</v>
      </c>
      <c r="Y331" t="s">
        <v>180</v>
      </c>
      <c r="Z331" s="30" t="s">
        <v>180</v>
      </c>
      <c r="AA331" s="30" t="s">
        <v>181</v>
      </c>
      <c r="AB331" s="30" t="s">
        <v>55</v>
      </c>
      <c r="AC331" s="30" t="s">
        <v>56</v>
      </c>
      <c r="AD331" s="30" t="s">
        <v>78</v>
      </c>
      <c r="AE331" s="30">
        <v>20513040718</v>
      </c>
      <c r="AF331" s="30" t="s">
        <v>1173</v>
      </c>
      <c r="AG331" s="30" t="s">
        <v>1174</v>
      </c>
      <c r="AH331" s="30" t="s">
        <v>185</v>
      </c>
      <c r="AI331" s="30" t="s">
        <v>1175</v>
      </c>
      <c r="AJ331" s="30" t="s">
        <v>1176</v>
      </c>
      <c r="AK331" s="30">
        <v>941378144</v>
      </c>
      <c r="AL331" s="30" t="s">
        <v>483</v>
      </c>
      <c r="AM331" t="s">
        <v>270</v>
      </c>
      <c r="AN331" s="30" t="s">
        <v>270</v>
      </c>
      <c r="AO331" s="30" t="s">
        <v>483</v>
      </c>
      <c r="AP331" s="30" t="s">
        <v>483</v>
      </c>
      <c r="AQ331" s="30" t="s">
        <v>483</v>
      </c>
      <c r="AR331" s="30" t="s">
        <v>483</v>
      </c>
      <c r="AS331" s="30" t="s">
        <v>63</v>
      </c>
      <c r="AT331" s="30" t="s">
        <v>64</v>
      </c>
      <c r="AU331" s="50">
        <v>46278.583333333336</v>
      </c>
      <c r="AV331" s="50">
        <v>46278.59652777778</v>
      </c>
      <c r="AW331" s="50">
        <v>46278.627083333333</v>
      </c>
      <c r="AX331" s="50">
        <v>46278.628472222219</v>
      </c>
      <c r="AY331" s="50">
        <v>46278.703472222223</v>
      </c>
      <c r="AZ331" s="50">
        <v>46278.725694444445</v>
      </c>
      <c r="BA331" s="51">
        <v>46279.314583333333</v>
      </c>
      <c r="BB331" s="51">
        <v>46279.321527777778</v>
      </c>
      <c r="BC331" s="50">
        <v>46279.328472222223</v>
      </c>
      <c r="BD331" s="50">
        <v>46279.333333333336</v>
      </c>
      <c r="BE331" s="51">
        <v>46279.354166666664</v>
      </c>
      <c r="BF331" s="51">
        <v>46279.416666666664</v>
      </c>
      <c r="BG331" s="51">
        <v>46279.458333333336</v>
      </c>
      <c r="BH331" s="51">
        <v>46279.541666666664</v>
      </c>
      <c r="BI331" s="30" t="s">
        <v>65</v>
      </c>
      <c r="BJ331" s="50">
        <v>46280.458333333336</v>
      </c>
      <c r="BK331" s="50">
        <v>46280.445833333331</v>
      </c>
      <c r="BL331" s="50">
        <v>46280.45208333333</v>
      </c>
      <c r="BM331" s="50">
        <v>46280.454861111109</v>
      </c>
      <c r="BN331" s="50">
        <v>46280.466666666667</v>
      </c>
    </row>
    <row r="332" spans="1:66">
      <c r="A332" t="s">
        <v>168</v>
      </c>
      <c r="B332" s="30">
        <v>114</v>
      </c>
      <c r="C332" s="30">
        <v>37</v>
      </c>
      <c r="D332" s="30" t="s">
        <v>169</v>
      </c>
      <c r="E332" s="30" t="s">
        <v>170</v>
      </c>
      <c r="F332" s="48">
        <v>46278</v>
      </c>
      <c r="G332" s="48">
        <v>46279</v>
      </c>
      <c r="H332" s="49">
        <v>0.45833333333333331</v>
      </c>
      <c r="I332" s="49">
        <v>0.375</v>
      </c>
      <c r="J332" s="30" t="s">
        <v>53</v>
      </c>
      <c r="K332" s="30" t="s">
        <v>171</v>
      </c>
      <c r="L332" s="30">
        <v>1</v>
      </c>
      <c r="M332" s="30" t="s">
        <v>2486</v>
      </c>
      <c r="P332" s="30" t="s">
        <v>174</v>
      </c>
      <c r="Q332" s="30" t="s">
        <v>363</v>
      </c>
      <c r="R332" s="30" t="s">
        <v>548</v>
      </c>
      <c r="S332" s="30" t="s">
        <v>2487</v>
      </c>
      <c r="T332" s="30" t="s">
        <v>2488</v>
      </c>
      <c r="U332" s="30" t="s">
        <v>2489</v>
      </c>
      <c r="V332" s="30" t="s">
        <v>2490</v>
      </c>
      <c r="W332" s="30" t="s">
        <v>2491</v>
      </c>
      <c r="X332" s="30" t="s">
        <v>179</v>
      </c>
      <c r="Y332" t="s">
        <v>180</v>
      </c>
      <c r="Z332" s="30" t="s">
        <v>180</v>
      </c>
      <c r="AA332" s="30" t="s">
        <v>181</v>
      </c>
      <c r="AB332" s="30" t="s">
        <v>55</v>
      </c>
      <c r="AC332" s="30" t="s">
        <v>56</v>
      </c>
      <c r="AD332" s="30" t="s">
        <v>78</v>
      </c>
      <c r="AE332" s="30">
        <v>20513040718</v>
      </c>
      <c r="AF332" s="30" t="s">
        <v>966</v>
      </c>
      <c r="AG332" s="30" t="s">
        <v>1046</v>
      </c>
      <c r="AH332" s="30" t="s">
        <v>185</v>
      </c>
      <c r="AI332" s="30" t="s">
        <v>1047</v>
      </c>
      <c r="AJ332" s="30" t="s">
        <v>1048</v>
      </c>
      <c r="AK332" s="30">
        <v>988228821</v>
      </c>
      <c r="AL332" s="30" t="s">
        <v>483</v>
      </c>
      <c r="AM332" t="s">
        <v>270</v>
      </c>
      <c r="AN332" s="30" t="s">
        <v>270</v>
      </c>
      <c r="AO332" s="30" t="s">
        <v>483</v>
      </c>
      <c r="AP332" s="30" t="s">
        <v>483</v>
      </c>
      <c r="AQ332" s="30" t="s">
        <v>483</v>
      </c>
      <c r="AR332" s="30" t="s">
        <v>483</v>
      </c>
      <c r="AS332" s="30" t="s">
        <v>63</v>
      </c>
      <c r="AT332" s="30" t="s">
        <v>380</v>
      </c>
      <c r="AU332" s="50">
        <v>46278.583333333336</v>
      </c>
      <c r="AV332" s="50">
        <v>46278.593055555553</v>
      </c>
      <c r="AW332" s="50">
        <v>46278.600694444445</v>
      </c>
      <c r="AX332" s="50">
        <v>46278.601388888892</v>
      </c>
      <c r="AY332" s="50">
        <v>46278.679166666669</v>
      </c>
      <c r="AZ332" s="50">
        <v>46278.720833333333</v>
      </c>
      <c r="BA332" s="51">
        <v>46279.342361111114</v>
      </c>
      <c r="BB332" s="51">
        <v>46279.342361111114</v>
      </c>
      <c r="BC332" s="50">
        <v>46279.422222222223</v>
      </c>
      <c r="BD332" s="50">
        <v>46279.448611111111</v>
      </c>
      <c r="BE332" s="51">
        <v>46279.589583333334</v>
      </c>
      <c r="BF332" s="51">
        <v>46279.597222222219</v>
      </c>
      <c r="BG332" s="51">
        <v>46279.617361111108</v>
      </c>
      <c r="BH332" s="51">
        <v>46279.625694444447</v>
      </c>
      <c r="BI332" s="30" t="s">
        <v>65</v>
      </c>
      <c r="BJ332" s="50">
        <v>46280.458333333336</v>
      </c>
      <c r="BK332" s="50">
        <v>46280.454861111109</v>
      </c>
      <c r="BL332" s="50">
        <v>46280.459722222222</v>
      </c>
      <c r="BM332" s="50">
        <v>46280.463194444441</v>
      </c>
      <c r="BN332" s="50">
        <v>46280.468055555553</v>
      </c>
    </row>
    <row r="333" spans="1:66">
      <c r="A333" t="s">
        <v>168</v>
      </c>
      <c r="B333" s="30">
        <v>115</v>
      </c>
      <c r="C333" s="30">
        <v>37</v>
      </c>
      <c r="D333" s="30" t="s">
        <v>169</v>
      </c>
      <c r="E333" s="30" t="s">
        <v>170</v>
      </c>
      <c r="F333" s="48">
        <v>46279</v>
      </c>
      <c r="G333" s="48">
        <v>46280</v>
      </c>
      <c r="H333" s="49">
        <v>0.41666666666666669</v>
      </c>
      <c r="I333" s="49">
        <v>0.33333333333333331</v>
      </c>
      <c r="J333" s="30" t="s">
        <v>53</v>
      </c>
      <c r="K333" s="30" t="s">
        <v>171</v>
      </c>
      <c r="L333" s="30">
        <v>1</v>
      </c>
      <c r="M333" s="30" t="s">
        <v>2492</v>
      </c>
      <c r="P333" s="30" t="s">
        <v>174</v>
      </c>
      <c r="Q333" s="30" t="s">
        <v>363</v>
      </c>
      <c r="R333" s="30" t="s">
        <v>175</v>
      </c>
      <c r="S333" s="30" t="s">
        <v>176</v>
      </c>
      <c r="T333" s="30" t="s">
        <v>2493</v>
      </c>
      <c r="U333" s="30" t="s">
        <v>2494</v>
      </c>
      <c r="V333" s="30" t="s">
        <v>2495</v>
      </c>
      <c r="W333" s="30" t="s">
        <v>2496</v>
      </c>
      <c r="X333" s="30" t="s">
        <v>179</v>
      </c>
      <c r="Y333" t="s">
        <v>180</v>
      </c>
      <c r="Z333" s="30" t="s">
        <v>180</v>
      </c>
      <c r="AA333" s="30" t="s">
        <v>181</v>
      </c>
      <c r="AB333" s="30" t="s">
        <v>55</v>
      </c>
      <c r="AC333" s="30" t="s">
        <v>56</v>
      </c>
      <c r="AD333" s="30" t="s">
        <v>78</v>
      </c>
      <c r="AE333" s="30">
        <v>20513040718</v>
      </c>
      <c r="AF333" s="30" t="s">
        <v>2497</v>
      </c>
      <c r="AG333" s="30" t="s">
        <v>2498</v>
      </c>
      <c r="AH333" s="30" t="s">
        <v>185</v>
      </c>
      <c r="AI333" s="30" t="s">
        <v>2499</v>
      </c>
      <c r="AJ333" s="30" t="s">
        <v>2500</v>
      </c>
      <c r="AK333" s="30" t="s">
        <v>2501</v>
      </c>
      <c r="AL333" s="30" t="s">
        <v>483</v>
      </c>
      <c r="AM333" t="s">
        <v>270</v>
      </c>
      <c r="AN333" s="30" t="s">
        <v>270</v>
      </c>
      <c r="AO333" s="30" t="s">
        <v>483</v>
      </c>
      <c r="AP333" s="30" t="s">
        <v>483</v>
      </c>
      <c r="AQ333" s="30" t="s">
        <v>483</v>
      </c>
      <c r="AR333" s="30" t="s">
        <v>483</v>
      </c>
      <c r="AS333" s="30" t="s">
        <v>63</v>
      </c>
      <c r="AT333" s="30" t="s">
        <v>64</v>
      </c>
      <c r="AU333" s="50">
        <v>46279.583333333336</v>
      </c>
      <c r="AV333" s="50">
        <v>46279.573611111111</v>
      </c>
      <c r="AW333" s="50">
        <v>46279.628472222219</v>
      </c>
      <c r="AX333" s="50">
        <v>46279.629166666666</v>
      </c>
      <c r="AY333" s="50">
        <v>46279.681944444441</v>
      </c>
      <c r="AZ333" s="50">
        <v>46279.723611111112</v>
      </c>
      <c r="BA333" s="51">
        <v>46280.367361111108</v>
      </c>
      <c r="BB333" s="51">
        <v>46280.368055555555</v>
      </c>
      <c r="BC333" s="50">
        <v>46280.390972222223</v>
      </c>
      <c r="BD333" s="50">
        <v>46280.410416666666</v>
      </c>
      <c r="BE333" s="51">
        <v>46280.460416666669</v>
      </c>
      <c r="BF333" s="51">
        <v>46280.480555555558</v>
      </c>
      <c r="BG333" s="51">
        <v>46280.49722222222</v>
      </c>
      <c r="BH333" s="51">
        <v>46280.515277777777</v>
      </c>
      <c r="BI333" s="30" t="s">
        <v>65</v>
      </c>
      <c r="BJ333" s="50">
        <v>46281.333333333336</v>
      </c>
      <c r="BK333" s="50">
        <v>46281.334027777775</v>
      </c>
      <c r="BL333" s="50">
        <v>46281.34097222222</v>
      </c>
      <c r="BM333" s="50">
        <v>46281.344444444447</v>
      </c>
      <c r="BN333" s="50">
        <v>46281.351388888892</v>
      </c>
    </row>
    <row r="334" spans="1:66">
      <c r="A334" t="s">
        <v>168</v>
      </c>
      <c r="B334" s="30">
        <v>116</v>
      </c>
      <c r="C334" s="30">
        <v>37</v>
      </c>
      <c r="D334" s="30" t="s">
        <v>169</v>
      </c>
      <c r="E334" s="30" t="s">
        <v>170</v>
      </c>
      <c r="F334" s="48">
        <v>46279</v>
      </c>
      <c r="G334" s="48">
        <v>46280</v>
      </c>
      <c r="H334" s="49">
        <v>0.5</v>
      </c>
      <c r="I334" s="49">
        <v>0.41666666666666669</v>
      </c>
      <c r="J334" s="30" t="s">
        <v>53</v>
      </c>
      <c r="K334" s="30" t="s">
        <v>171</v>
      </c>
      <c r="L334" s="30">
        <v>1</v>
      </c>
      <c r="M334" s="30" t="s">
        <v>2502</v>
      </c>
      <c r="P334" s="30" t="s">
        <v>174</v>
      </c>
      <c r="Q334" s="30" t="s">
        <v>363</v>
      </c>
      <c r="R334" s="30" t="s">
        <v>175</v>
      </c>
      <c r="S334" s="30" t="s">
        <v>176</v>
      </c>
      <c r="T334" s="30" t="s">
        <v>2503</v>
      </c>
      <c r="U334" s="30" t="s">
        <v>2504</v>
      </c>
      <c r="V334" s="30" t="s">
        <v>2505</v>
      </c>
      <c r="W334" s="30" t="s">
        <v>2506</v>
      </c>
      <c r="X334" s="30" t="s">
        <v>179</v>
      </c>
      <c r="Y334" t="s">
        <v>180</v>
      </c>
      <c r="Z334" s="30" t="s">
        <v>180</v>
      </c>
      <c r="AA334" s="30" t="s">
        <v>181</v>
      </c>
      <c r="AB334" s="30" t="s">
        <v>55</v>
      </c>
      <c r="AC334" s="30" t="s">
        <v>92</v>
      </c>
      <c r="AD334" s="30" t="s">
        <v>1473</v>
      </c>
      <c r="AE334" s="30">
        <v>20608822098</v>
      </c>
      <c r="AF334" s="30" t="s">
        <v>1474</v>
      </c>
      <c r="AG334" s="30" t="s">
        <v>1475</v>
      </c>
      <c r="AH334" s="30" t="s">
        <v>185</v>
      </c>
      <c r="AI334" s="30" t="s">
        <v>2507</v>
      </c>
      <c r="AJ334" s="30" t="s">
        <v>1477</v>
      </c>
      <c r="AK334" s="30">
        <v>922823089</v>
      </c>
      <c r="AL334" s="30" t="s">
        <v>483</v>
      </c>
      <c r="AM334" t="s">
        <v>270</v>
      </c>
      <c r="AN334" s="30" t="s">
        <v>270</v>
      </c>
      <c r="AO334" s="30" t="s">
        <v>483</v>
      </c>
      <c r="AP334" s="30" t="s">
        <v>483</v>
      </c>
      <c r="AQ334" s="30" t="s">
        <v>483</v>
      </c>
      <c r="AR334" s="30" t="s">
        <v>483</v>
      </c>
      <c r="AS334" s="30" t="s">
        <v>63</v>
      </c>
      <c r="AT334" s="30" t="s">
        <v>64</v>
      </c>
      <c r="AU334" s="50">
        <v>46279.458333333336</v>
      </c>
      <c r="AV334" s="50">
        <v>46279.459722222222</v>
      </c>
      <c r="AW334" s="50">
        <v>46279.488194444442</v>
      </c>
      <c r="AX334" s="50">
        <v>46279.488888888889</v>
      </c>
      <c r="AY334" s="50">
        <v>46279.581250000003</v>
      </c>
      <c r="AZ334" s="50">
        <v>46279.622916666667</v>
      </c>
      <c r="BA334" s="51">
        <v>46280.330555555556</v>
      </c>
      <c r="BB334" s="51">
        <v>46280.331250000003</v>
      </c>
      <c r="BC334" s="50">
        <v>46280.402777777781</v>
      </c>
      <c r="BD334" s="50">
        <v>46280.425694444442</v>
      </c>
      <c r="BE334" s="51">
        <v>46280.452777777777</v>
      </c>
      <c r="BF334" s="51">
        <v>46280.467361111114</v>
      </c>
      <c r="BG334" s="51">
        <v>46280.479861111111</v>
      </c>
      <c r="BH334" s="51">
        <v>46280.521527777775</v>
      </c>
      <c r="BI334" s="30" t="s">
        <v>65</v>
      </c>
      <c r="BJ334" s="50">
        <v>46281.041666666664</v>
      </c>
      <c r="BK334" s="50">
        <v>46281.043055555558</v>
      </c>
      <c r="BL334" s="50">
        <v>46281.055555555555</v>
      </c>
      <c r="BM334" s="50">
        <v>46281.059027777781</v>
      </c>
      <c r="BN334" s="50">
        <v>46281.065972222219</v>
      </c>
    </row>
    <row r="335" spans="1:66">
      <c r="A335" t="s">
        <v>168</v>
      </c>
      <c r="B335" s="30">
        <v>117</v>
      </c>
      <c r="C335" s="30">
        <v>38</v>
      </c>
      <c r="D335" s="30" t="s">
        <v>360</v>
      </c>
      <c r="E335" s="30" t="s">
        <v>170</v>
      </c>
      <c r="F335" s="48">
        <v>46281</v>
      </c>
      <c r="G335" s="48">
        <v>46282</v>
      </c>
      <c r="H335" s="49">
        <v>0.58333333333333337</v>
      </c>
      <c r="I335" s="49">
        <v>0.5</v>
      </c>
      <c r="J335" s="30" t="s">
        <v>361</v>
      </c>
      <c r="K335" s="30" t="s">
        <v>171</v>
      </c>
      <c r="L335" s="30">
        <v>0.5</v>
      </c>
      <c r="M335" s="30" t="s">
        <v>2508</v>
      </c>
      <c r="P335" s="30" t="s">
        <v>174</v>
      </c>
      <c r="Q335" s="30" t="s">
        <v>363</v>
      </c>
      <c r="R335" s="30" t="s">
        <v>382</v>
      </c>
      <c r="S335" s="30" t="s">
        <v>375</v>
      </c>
      <c r="T335" s="30" t="s">
        <v>2509</v>
      </c>
      <c r="U335" s="30" t="s">
        <v>2510</v>
      </c>
      <c r="V335" s="30" t="s">
        <v>2511</v>
      </c>
      <c r="W335" s="30" t="s">
        <v>2512</v>
      </c>
      <c r="X335" s="30" t="s">
        <v>180</v>
      </c>
      <c r="Y335" t="s">
        <v>180</v>
      </c>
      <c r="Z335" s="30" t="s">
        <v>1862</v>
      </c>
      <c r="AA335" s="30" t="s">
        <v>181</v>
      </c>
      <c r="AB335" s="30" t="s">
        <v>55</v>
      </c>
      <c r="AC335" s="30" t="s">
        <v>92</v>
      </c>
      <c r="AD335" s="30" t="s">
        <v>1117</v>
      </c>
      <c r="AE335" s="30">
        <v>20612886921</v>
      </c>
      <c r="AF335" s="30" t="s">
        <v>2513</v>
      </c>
      <c r="AG335" s="30" t="s">
        <v>2514</v>
      </c>
      <c r="AH335" s="30" t="s">
        <v>185</v>
      </c>
      <c r="AI335" s="30" t="s">
        <v>1295</v>
      </c>
      <c r="AJ335" s="30" t="s">
        <v>1296</v>
      </c>
      <c r="AK335" s="30">
        <v>922824613</v>
      </c>
      <c r="AL335" s="30" t="s">
        <v>483</v>
      </c>
      <c r="AM335" t="s">
        <v>270</v>
      </c>
      <c r="AN335" s="30" t="s">
        <v>270</v>
      </c>
      <c r="AO335" s="30" t="s">
        <v>483</v>
      </c>
      <c r="AP335" s="30" t="s">
        <v>483</v>
      </c>
      <c r="AQ335" s="30" t="s">
        <v>483</v>
      </c>
      <c r="AR335" s="30" t="s">
        <v>483</v>
      </c>
      <c r="AS335" s="30" t="s">
        <v>63</v>
      </c>
      <c r="AT335" s="30" t="s">
        <v>380</v>
      </c>
      <c r="AU335" s="50">
        <v>46281.625</v>
      </c>
      <c r="AV335" s="50">
        <v>46281.620138888888</v>
      </c>
      <c r="AW335" s="50">
        <v>46281.624305555553</v>
      </c>
      <c r="AX335" s="50">
        <v>46281.625</v>
      </c>
      <c r="AY335" s="50">
        <v>46281.7</v>
      </c>
      <c r="AZ335" s="50">
        <v>46281.741666666669</v>
      </c>
      <c r="BA335" s="51">
        <v>46282.361805555556</v>
      </c>
      <c r="BB335" s="51">
        <v>46282.361805555556</v>
      </c>
      <c r="BC335" s="50">
        <v>46282.502083333333</v>
      </c>
      <c r="BD335" s="50">
        <v>46282.525000000001</v>
      </c>
      <c r="BE335" s="51">
        <v>46282.632638888892</v>
      </c>
      <c r="BF335" s="51">
        <v>46282.652777777781</v>
      </c>
      <c r="BG335" s="51">
        <v>46282.667361111111</v>
      </c>
      <c r="BH335" s="51">
        <v>46282.70208333333</v>
      </c>
      <c r="BI335" s="30" t="s">
        <v>65</v>
      </c>
      <c r="BJ335" s="50">
        <v>46284.5</v>
      </c>
      <c r="BK335" s="50">
        <v>46284.477777777778</v>
      </c>
      <c r="BL335" s="50">
        <v>46284.484722222223</v>
      </c>
      <c r="BM335" s="50">
        <v>46284.487500000003</v>
      </c>
      <c r="BN335" s="50">
        <v>46284.496527777781</v>
      </c>
    </row>
    <row r="336" spans="1:66">
      <c r="A336" t="s">
        <v>168</v>
      </c>
      <c r="B336" s="30">
        <v>117</v>
      </c>
      <c r="C336" s="30">
        <v>38</v>
      </c>
      <c r="D336" s="30" t="s">
        <v>169</v>
      </c>
      <c r="E336" s="30" t="s">
        <v>170</v>
      </c>
      <c r="F336" s="48">
        <v>46281</v>
      </c>
      <c r="G336" s="48">
        <v>46283</v>
      </c>
      <c r="H336" s="49">
        <v>0.5</v>
      </c>
      <c r="I336" s="49">
        <v>0.41666666666666669</v>
      </c>
      <c r="J336" s="30" t="s">
        <v>53</v>
      </c>
      <c r="K336" s="30" t="s">
        <v>171</v>
      </c>
      <c r="L336" s="30">
        <v>0.5</v>
      </c>
      <c r="M336" s="30" t="s">
        <v>2508</v>
      </c>
      <c r="P336" s="30" t="s">
        <v>174</v>
      </c>
      <c r="Q336" s="30" t="s">
        <v>363</v>
      </c>
      <c r="R336" s="30" t="s">
        <v>382</v>
      </c>
      <c r="S336" s="30" t="s">
        <v>375</v>
      </c>
      <c r="T336" s="30" t="s">
        <v>2509</v>
      </c>
      <c r="U336" s="30" t="s">
        <v>2510</v>
      </c>
      <c r="V336" s="30" t="s">
        <v>2511</v>
      </c>
      <c r="W336" s="30" t="s">
        <v>2512</v>
      </c>
      <c r="X336" s="30" t="s">
        <v>180</v>
      </c>
      <c r="Y336" t="s">
        <v>180</v>
      </c>
      <c r="Z336" s="30" t="s">
        <v>180</v>
      </c>
      <c r="AA336" s="30" t="s">
        <v>181</v>
      </c>
      <c r="AB336" s="30" t="s">
        <v>55</v>
      </c>
      <c r="AC336" s="30" t="s">
        <v>92</v>
      </c>
      <c r="AD336" s="30" t="s">
        <v>1117</v>
      </c>
      <c r="AE336" s="30">
        <v>20612886921</v>
      </c>
      <c r="AF336" s="30" t="s">
        <v>2513</v>
      </c>
      <c r="AG336" s="30" t="s">
        <v>2514</v>
      </c>
      <c r="AH336" s="30" t="s">
        <v>185</v>
      </c>
      <c r="AI336" s="30" t="s">
        <v>1295</v>
      </c>
      <c r="AJ336" s="30" t="s">
        <v>1296</v>
      </c>
      <c r="AK336" s="30">
        <v>922824613</v>
      </c>
      <c r="AL336" s="30" t="s">
        <v>483</v>
      </c>
      <c r="AM336" t="s">
        <v>270</v>
      </c>
      <c r="AN336" s="30" t="s">
        <v>270</v>
      </c>
      <c r="AO336" s="30" t="s">
        <v>483</v>
      </c>
      <c r="AP336" s="30" t="s">
        <v>483</v>
      </c>
      <c r="AQ336" s="30" t="s">
        <v>483</v>
      </c>
      <c r="AR336" s="30" t="s">
        <v>483</v>
      </c>
      <c r="AS336" s="30" t="s">
        <v>63</v>
      </c>
      <c r="AT336" s="30" t="s">
        <v>380</v>
      </c>
      <c r="AU336" s="50">
        <v>46281.625</v>
      </c>
      <c r="AV336" s="50">
        <v>46281.620138888888</v>
      </c>
      <c r="AW336" s="50">
        <v>46281.624305555553</v>
      </c>
      <c r="AX336" s="50">
        <v>46281.625</v>
      </c>
      <c r="AY336" s="50">
        <v>46281.7</v>
      </c>
      <c r="AZ336" s="50">
        <v>46282.70208333333</v>
      </c>
      <c r="BA336" s="51">
        <v>46283.357638888891</v>
      </c>
      <c r="BB336" s="51">
        <v>46283.357638888891</v>
      </c>
      <c r="BC336" s="50">
        <v>46283.463888888888</v>
      </c>
      <c r="BD336" s="50">
        <v>46283.477777777778</v>
      </c>
      <c r="BE336" s="51">
        <v>46283.640972222223</v>
      </c>
      <c r="BF336" s="51">
        <v>46283.665972222225</v>
      </c>
      <c r="BG336" s="51">
        <v>46283.675694444442</v>
      </c>
      <c r="BH336" s="51">
        <v>46283.713194444441</v>
      </c>
      <c r="BI336" s="30" t="s">
        <v>65</v>
      </c>
      <c r="BJ336" s="50">
        <v>46284.5</v>
      </c>
      <c r="BK336" s="50">
        <v>46284.477777777778</v>
      </c>
      <c r="BL336" s="50">
        <v>46284.484722222223</v>
      </c>
      <c r="BM336" s="50">
        <v>46284.487500000003</v>
      </c>
      <c r="BN336" s="50">
        <v>46284.496527777781</v>
      </c>
    </row>
    <row r="337" spans="1:66">
      <c r="A337" t="s">
        <v>168</v>
      </c>
      <c r="B337" s="30">
        <v>118</v>
      </c>
      <c r="C337" s="30">
        <v>38</v>
      </c>
      <c r="D337" s="30" t="s">
        <v>169</v>
      </c>
      <c r="E337" s="30" t="s">
        <v>170</v>
      </c>
      <c r="F337" s="48">
        <v>46281</v>
      </c>
      <c r="G337" s="48">
        <v>46282</v>
      </c>
      <c r="H337" s="49">
        <v>0.66666666666666663</v>
      </c>
      <c r="I337" s="49">
        <v>0.66666666666666663</v>
      </c>
      <c r="J337" s="30" t="s">
        <v>53</v>
      </c>
      <c r="K337" s="30" t="s">
        <v>171</v>
      </c>
      <c r="L337" s="30">
        <v>1</v>
      </c>
      <c r="M337" s="30" t="s">
        <v>2515</v>
      </c>
      <c r="P337" s="30" t="s">
        <v>174</v>
      </c>
      <c r="Q337" s="30" t="s">
        <v>363</v>
      </c>
      <c r="R337" s="30" t="s">
        <v>382</v>
      </c>
      <c r="S337" s="30" t="s">
        <v>375</v>
      </c>
      <c r="T337" s="30" t="s">
        <v>2516</v>
      </c>
      <c r="U337" s="30" t="s">
        <v>2517</v>
      </c>
      <c r="V337" s="30" t="s">
        <v>2518</v>
      </c>
      <c r="W337" s="30" t="s">
        <v>2519</v>
      </c>
      <c r="X337" s="30" t="s">
        <v>180</v>
      </c>
      <c r="Y337" t="s">
        <v>180</v>
      </c>
      <c r="Z337" s="30" t="s">
        <v>180</v>
      </c>
      <c r="AA337" s="30" t="s">
        <v>181</v>
      </c>
      <c r="AB337" s="30" t="s">
        <v>55</v>
      </c>
      <c r="AC337" s="30" t="s">
        <v>92</v>
      </c>
      <c r="AD337" s="30" t="s">
        <v>2520</v>
      </c>
      <c r="AE337" s="30">
        <v>20608437712</v>
      </c>
      <c r="AF337" s="30" t="s">
        <v>2521</v>
      </c>
      <c r="AG337" s="30" t="s">
        <v>2522</v>
      </c>
      <c r="AH337" s="30" t="s">
        <v>185</v>
      </c>
      <c r="AI337" s="30" t="s">
        <v>2523</v>
      </c>
      <c r="AJ337" s="30" t="s">
        <v>2524</v>
      </c>
      <c r="AK337" s="30">
        <v>999826856</v>
      </c>
      <c r="AL337" s="30" t="s">
        <v>483</v>
      </c>
      <c r="AM337" t="s">
        <v>270</v>
      </c>
      <c r="AN337" s="30" t="s">
        <v>270</v>
      </c>
      <c r="AO337" s="30" t="s">
        <v>483</v>
      </c>
      <c r="AP337" s="30" t="s">
        <v>483</v>
      </c>
      <c r="AQ337" s="30" t="s">
        <v>483</v>
      </c>
      <c r="AR337" s="30" t="s">
        <v>483</v>
      </c>
      <c r="AS337" s="30" t="s">
        <v>63</v>
      </c>
      <c r="AT337" s="30" t="s">
        <v>380</v>
      </c>
      <c r="AU337" s="50">
        <v>46281.5</v>
      </c>
      <c r="AV337" s="50">
        <v>46281.494444444441</v>
      </c>
      <c r="AW337" s="50">
        <v>46281.503472222219</v>
      </c>
      <c r="AX337" s="50">
        <v>46281.513888888891</v>
      </c>
      <c r="AY337" s="50">
        <v>46281.597222222219</v>
      </c>
      <c r="AZ337" s="50">
        <v>46281.618055555555</v>
      </c>
      <c r="BA337" s="51">
        <v>46282.476388888892</v>
      </c>
      <c r="BB337" s="51">
        <v>46282.482638888891</v>
      </c>
      <c r="BC337" s="50">
        <v>46282.486111111109</v>
      </c>
      <c r="BD337" s="50">
        <v>46282.489583333336</v>
      </c>
      <c r="BE337" s="51">
        <v>46282.496527777781</v>
      </c>
      <c r="BF337" s="51">
        <v>46282.625</v>
      </c>
      <c r="BG337" s="51">
        <v>46282.725694444445</v>
      </c>
      <c r="BH337" s="51">
        <v>46282.740972222222</v>
      </c>
      <c r="BI337" s="30" t="s">
        <v>65</v>
      </c>
      <c r="BJ337" s="50">
        <v>46283.416666666664</v>
      </c>
      <c r="BK337" s="50">
        <v>46283.398611111108</v>
      </c>
      <c r="BL337" s="50">
        <v>46283.413194444445</v>
      </c>
      <c r="BM337" s="50">
        <v>46283.416666666664</v>
      </c>
      <c r="BN337" s="50">
        <v>46283.420138888891</v>
      </c>
    </row>
    <row r="338" spans="1:66">
      <c r="A338" t="s">
        <v>168</v>
      </c>
      <c r="B338" s="30">
        <v>119</v>
      </c>
      <c r="C338" s="30">
        <v>38</v>
      </c>
      <c r="D338" s="30" t="s">
        <v>360</v>
      </c>
      <c r="E338" s="30" t="s">
        <v>170</v>
      </c>
      <c r="F338" s="48">
        <v>46283</v>
      </c>
      <c r="G338" s="48">
        <v>46284</v>
      </c>
      <c r="H338" s="49">
        <v>0.41666666666666669</v>
      </c>
      <c r="I338" s="49">
        <v>0.33333333333333331</v>
      </c>
      <c r="J338" s="30" t="s">
        <v>361</v>
      </c>
      <c r="K338" s="30" t="s">
        <v>171</v>
      </c>
      <c r="L338" s="30">
        <v>0.5</v>
      </c>
      <c r="M338" s="30" t="s">
        <v>2676</v>
      </c>
      <c r="P338" s="30" t="s">
        <v>174</v>
      </c>
      <c r="Q338" s="30" t="s">
        <v>363</v>
      </c>
      <c r="R338" s="30" t="s">
        <v>407</v>
      </c>
      <c r="S338" s="30" t="s">
        <v>176</v>
      </c>
      <c r="T338" s="30" t="s">
        <v>2677</v>
      </c>
      <c r="U338" s="30" t="s">
        <v>2678</v>
      </c>
      <c r="V338" s="30" t="s">
        <v>2679</v>
      </c>
      <c r="W338" s="30" t="s">
        <v>2680</v>
      </c>
      <c r="X338" s="30" t="s">
        <v>64</v>
      </c>
      <c r="Y338" t="s">
        <v>180</v>
      </c>
      <c r="Z338" s="30" t="s">
        <v>180</v>
      </c>
      <c r="AA338" s="30" t="s">
        <v>181</v>
      </c>
      <c r="AB338" s="30" t="s">
        <v>55</v>
      </c>
      <c r="AC338" s="30" t="s">
        <v>56</v>
      </c>
      <c r="AD338" s="30" t="s">
        <v>78</v>
      </c>
      <c r="AE338" s="30">
        <v>20513040718</v>
      </c>
      <c r="AF338" s="30" t="s">
        <v>665</v>
      </c>
      <c r="AG338" s="30" t="s">
        <v>666</v>
      </c>
      <c r="AH338" s="30" t="s">
        <v>185</v>
      </c>
      <c r="AI338" s="30" t="s">
        <v>1087</v>
      </c>
      <c r="AJ338" s="30" t="s">
        <v>1088</v>
      </c>
      <c r="AK338" s="30" t="s">
        <v>1089</v>
      </c>
      <c r="AL338" s="30" t="s">
        <v>483</v>
      </c>
      <c r="AM338" t="s">
        <v>270</v>
      </c>
      <c r="AN338" s="30" t="s">
        <v>270</v>
      </c>
      <c r="AO338" s="30" t="s">
        <v>483</v>
      </c>
      <c r="AP338" s="30" t="s">
        <v>483</v>
      </c>
      <c r="AQ338" s="30" t="s">
        <v>483</v>
      </c>
      <c r="AR338" s="30" t="s">
        <v>483</v>
      </c>
      <c r="AS338" s="30" t="s">
        <v>63</v>
      </c>
      <c r="AT338" s="30" t="s">
        <v>64</v>
      </c>
      <c r="AU338" s="50">
        <v>46283.708333333336</v>
      </c>
      <c r="AV338" s="50">
        <v>46283.703472222223</v>
      </c>
      <c r="AW338" s="50">
        <v>46283.722222222219</v>
      </c>
      <c r="AX338" s="50">
        <v>46283.722916666666</v>
      </c>
      <c r="AY338" s="50">
        <v>46283.75277777778</v>
      </c>
      <c r="AZ338" s="50">
        <v>46283.763194444444</v>
      </c>
      <c r="BA338" s="51">
        <v>46284.3</v>
      </c>
      <c r="BB338" s="51">
        <v>46284.300694444442</v>
      </c>
      <c r="BC338" s="50">
        <v>46284.334722222222</v>
      </c>
      <c r="BD338" s="50">
        <v>46284.365972222222</v>
      </c>
      <c r="BE338" s="51">
        <v>46284.424305555556</v>
      </c>
      <c r="BF338" s="51">
        <v>46284.44027777778</v>
      </c>
      <c r="BG338" s="51">
        <v>46284.45208333333</v>
      </c>
      <c r="BH338" s="51">
        <v>46284.477083333331</v>
      </c>
      <c r="BI338" s="30" t="s">
        <v>65</v>
      </c>
      <c r="BJ338" s="50">
        <v>46286.458333333336</v>
      </c>
      <c r="BK338" s="50">
        <v>46286.4375</v>
      </c>
      <c r="BL338" s="50">
        <v>46286.443749999999</v>
      </c>
      <c r="BM338" s="50">
        <v>46286.445833333331</v>
      </c>
      <c r="BN338" s="50">
        <v>46286.451388888891</v>
      </c>
    </row>
    <row r="339" spans="1:66">
      <c r="A339" t="s">
        <v>168</v>
      </c>
      <c r="B339" s="30">
        <v>120</v>
      </c>
      <c r="C339" s="30">
        <v>38</v>
      </c>
      <c r="D339" s="30" t="s">
        <v>169</v>
      </c>
      <c r="E339" s="30" t="s">
        <v>170</v>
      </c>
      <c r="F339" s="48">
        <v>46283</v>
      </c>
      <c r="G339" s="48">
        <v>46285</v>
      </c>
      <c r="H339" s="49">
        <v>0.66666666666666663</v>
      </c>
      <c r="I339" s="49">
        <v>0.58333333333333337</v>
      </c>
      <c r="J339" s="30" t="s">
        <v>53</v>
      </c>
      <c r="K339" s="30" t="s">
        <v>171</v>
      </c>
      <c r="L339" s="30">
        <v>0.5</v>
      </c>
      <c r="M339" s="30" t="s">
        <v>2676</v>
      </c>
      <c r="P339" s="30" t="s">
        <v>174</v>
      </c>
      <c r="Q339" s="30" t="s">
        <v>363</v>
      </c>
      <c r="R339" s="30" t="s">
        <v>407</v>
      </c>
      <c r="S339" s="30" t="s">
        <v>176</v>
      </c>
      <c r="T339" s="30" t="s">
        <v>2677</v>
      </c>
      <c r="U339" s="30" t="s">
        <v>2678</v>
      </c>
      <c r="V339" s="30" t="s">
        <v>2679</v>
      </c>
      <c r="W339" s="30" t="s">
        <v>2680</v>
      </c>
      <c r="X339" s="30" t="s">
        <v>64</v>
      </c>
      <c r="Y339" t="s">
        <v>180</v>
      </c>
      <c r="Z339" s="30" t="s">
        <v>180</v>
      </c>
      <c r="AA339" s="30" t="s">
        <v>181</v>
      </c>
      <c r="AB339" s="30" t="s">
        <v>55</v>
      </c>
      <c r="AC339" s="30" t="s">
        <v>56</v>
      </c>
      <c r="AD339" s="30" t="s">
        <v>78</v>
      </c>
      <c r="AE339" s="30">
        <v>20513040718</v>
      </c>
      <c r="AF339" s="30" t="s">
        <v>665</v>
      </c>
      <c r="AG339" s="30" t="s">
        <v>666</v>
      </c>
      <c r="AH339" s="30" t="s">
        <v>185</v>
      </c>
      <c r="AI339" s="30" t="s">
        <v>1087</v>
      </c>
      <c r="AJ339" s="30" t="s">
        <v>1088</v>
      </c>
      <c r="AK339" s="30" t="s">
        <v>1089</v>
      </c>
      <c r="AL339" s="30" t="s">
        <v>483</v>
      </c>
      <c r="AM339" t="s">
        <v>270</v>
      </c>
      <c r="AN339" s="30" t="s">
        <v>270</v>
      </c>
      <c r="AO339" s="30" t="s">
        <v>483</v>
      </c>
      <c r="AP339" s="30" t="s">
        <v>483</v>
      </c>
      <c r="AQ339" s="30" t="s">
        <v>483</v>
      </c>
      <c r="AR339" s="30" t="s">
        <v>483</v>
      </c>
      <c r="AS339" s="30" t="s">
        <v>63</v>
      </c>
      <c r="AT339" s="30" t="s">
        <v>64</v>
      </c>
      <c r="AU339" s="50">
        <v>46283.708333333336</v>
      </c>
      <c r="AV339" s="50">
        <v>46283.703472222223</v>
      </c>
      <c r="AW339" s="50">
        <v>46283.722222222219</v>
      </c>
      <c r="AX339" s="50">
        <v>46283.722916666666</v>
      </c>
      <c r="AY339" s="50">
        <v>46283.75277777778</v>
      </c>
      <c r="AZ339" s="50">
        <v>46284.477083333331</v>
      </c>
      <c r="BA339" s="51">
        <v>46285.422222222223</v>
      </c>
      <c r="BB339" s="51">
        <v>46285.42291666667</v>
      </c>
      <c r="BC339" s="50">
        <v>46285.511111111111</v>
      </c>
      <c r="BD339" s="50">
        <v>46285.540277777778</v>
      </c>
      <c r="BE339" s="51">
        <v>46285.665277777778</v>
      </c>
      <c r="BF339" s="51">
        <v>46285.679861111108</v>
      </c>
      <c r="BG339" s="51">
        <v>46285.698611111111</v>
      </c>
      <c r="BH339" s="51">
        <v>46285.720138888886</v>
      </c>
      <c r="BI339" s="30" t="s">
        <v>65</v>
      </c>
      <c r="BJ339" s="50">
        <v>46286.458333333336</v>
      </c>
      <c r="BK339" s="50">
        <v>46286.4375</v>
      </c>
      <c r="BL339" s="50">
        <v>46286.443749999999</v>
      </c>
      <c r="BM339" s="50">
        <v>46286.445833333331</v>
      </c>
      <c r="BN339" s="50">
        <v>46286.451388888891</v>
      </c>
    </row>
    <row r="340" spans="1:66">
      <c r="A340" t="s">
        <v>168</v>
      </c>
      <c r="B340" s="30">
        <v>121</v>
      </c>
      <c r="C340" s="30">
        <v>38</v>
      </c>
      <c r="D340" s="30" t="s">
        <v>169</v>
      </c>
      <c r="E340" s="30" t="s">
        <v>170</v>
      </c>
      <c r="F340" s="48">
        <v>46284</v>
      </c>
      <c r="G340" s="48">
        <v>46285</v>
      </c>
      <c r="H340" s="49">
        <v>0.75</v>
      </c>
      <c r="I340" s="49">
        <v>0.66666666666666663</v>
      </c>
      <c r="J340" s="30" t="s">
        <v>53</v>
      </c>
      <c r="K340" s="30" t="s">
        <v>171</v>
      </c>
      <c r="L340" s="30">
        <v>1</v>
      </c>
      <c r="M340" s="30" t="s">
        <v>2681</v>
      </c>
      <c r="P340" s="30" t="s">
        <v>174</v>
      </c>
      <c r="Q340" s="30" t="s">
        <v>363</v>
      </c>
      <c r="R340" s="30" t="s">
        <v>548</v>
      </c>
      <c r="S340" s="30" t="s">
        <v>2487</v>
      </c>
      <c r="T340" s="30" t="s">
        <v>2682</v>
      </c>
      <c r="U340" s="30" t="s">
        <v>2683</v>
      </c>
      <c r="V340" s="30" t="s">
        <v>2684</v>
      </c>
      <c r="W340" s="30" t="s">
        <v>2685</v>
      </c>
      <c r="X340" s="30" t="s">
        <v>179</v>
      </c>
      <c r="Y340" t="s">
        <v>180</v>
      </c>
      <c r="Z340" s="30" t="s">
        <v>180</v>
      </c>
      <c r="AA340" s="30" t="s">
        <v>181</v>
      </c>
      <c r="AB340" s="30" t="s">
        <v>55</v>
      </c>
      <c r="AC340" s="30" t="s">
        <v>92</v>
      </c>
      <c r="AD340" s="30" t="s">
        <v>1322</v>
      </c>
      <c r="AE340" s="30">
        <v>20614402246</v>
      </c>
      <c r="AF340" s="30" t="s">
        <v>1409</v>
      </c>
      <c r="AG340" s="30" t="s">
        <v>1164</v>
      </c>
      <c r="AH340" s="30" t="s">
        <v>185</v>
      </c>
      <c r="AI340" s="30" t="s">
        <v>2686</v>
      </c>
      <c r="AJ340" s="30" t="s">
        <v>2687</v>
      </c>
      <c r="AK340" s="30">
        <v>944448184</v>
      </c>
      <c r="AL340" s="30" t="s">
        <v>483</v>
      </c>
      <c r="AM340" t="s">
        <v>270</v>
      </c>
      <c r="AN340" s="30" t="s">
        <v>270</v>
      </c>
      <c r="AO340" s="30" t="s">
        <v>483</v>
      </c>
      <c r="AP340" s="30" t="s">
        <v>483</v>
      </c>
      <c r="AQ340" s="30" t="s">
        <v>483</v>
      </c>
      <c r="AR340" s="30" t="s">
        <v>483</v>
      </c>
      <c r="AS340" s="30" t="s">
        <v>63</v>
      </c>
      <c r="AT340" s="30" t="s">
        <v>380</v>
      </c>
      <c r="AU340" s="50">
        <v>46284.75</v>
      </c>
      <c r="AV340" s="50">
        <v>46284.736111111109</v>
      </c>
      <c r="AW340" s="50">
        <v>46284.742361111108</v>
      </c>
      <c r="AX340" s="50">
        <v>46284.756249999999</v>
      </c>
      <c r="AY340" s="50">
        <v>46284.801388888889</v>
      </c>
      <c r="AZ340" s="50">
        <v>46284.843055555553</v>
      </c>
      <c r="BA340" s="51">
        <v>46285.591666666667</v>
      </c>
      <c r="BB340" s="51">
        <v>46285.592361111114</v>
      </c>
      <c r="BC340" s="50">
        <v>46285.62222222222</v>
      </c>
      <c r="BD340" s="50">
        <v>46285.645138888889</v>
      </c>
      <c r="BE340" s="51">
        <v>46285.758333333331</v>
      </c>
      <c r="BF340" s="51">
        <v>46285.770833333336</v>
      </c>
      <c r="BG340" s="51">
        <v>46285.785416666666</v>
      </c>
      <c r="BH340" s="51">
        <v>46285.819444444445</v>
      </c>
      <c r="BI340" s="30" t="s">
        <v>65</v>
      </c>
      <c r="BJ340" s="50">
        <v>46286.625</v>
      </c>
      <c r="BK340" s="50">
        <v>46286.606944444444</v>
      </c>
      <c r="BL340" s="50">
        <v>46286.615277777775</v>
      </c>
      <c r="BM340" s="50">
        <v>46286.618750000001</v>
      </c>
      <c r="BN340" s="50">
        <v>46286.633333333331</v>
      </c>
    </row>
    <row r="341" spans="1:66">
      <c r="A341" t="s">
        <v>168</v>
      </c>
      <c r="B341" s="30">
        <v>122</v>
      </c>
      <c r="C341" s="30">
        <v>38</v>
      </c>
      <c r="D341" s="30" t="s">
        <v>169</v>
      </c>
      <c r="E341" s="30" t="s">
        <v>170</v>
      </c>
      <c r="F341" s="48">
        <v>46284</v>
      </c>
      <c r="G341" s="48">
        <v>46285</v>
      </c>
      <c r="H341" s="49">
        <v>0.625</v>
      </c>
      <c r="I341" s="49">
        <v>0.625</v>
      </c>
      <c r="J341" s="30" t="s">
        <v>53</v>
      </c>
      <c r="K341" s="30" t="s">
        <v>171</v>
      </c>
      <c r="L341" s="30">
        <v>1</v>
      </c>
      <c r="M341" s="30" t="s">
        <v>2741</v>
      </c>
      <c r="P341" s="30" t="s">
        <v>174</v>
      </c>
      <c r="Q341" s="30" t="s">
        <v>363</v>
      </c>
      <c r="R341" s="30" t="s">
        <v>175</v>
      </c>
      <c r="S341" s="30" t="s">
        <v>1883</v>
      </c>
      <c r="T341" s="30" t="s">
        <v>2742</v>
      </c>
      <c r="U341" s="30" t="s">
        <v>2743</v>
      </c>
      <c r="V341" s="30" t="s">
        <v>2744</v>
      </c>
      <c r="W341" s="30" t="s">
        <v>2745</v>
      </c>
      <c r="X341" s="30" t="s">
        <v>179</v>
      </c>
      <c r="Y341" t="s">
        <v>180</v>
      </c>
      <c r="Z341" s="30" t="s">
        <v>180</v>
      </c>
      <c r="AA341" s="30" t="s">
        <v>181</v>
      </c>
      <c r="AB341" s="30" t="s">
        <v>55</v>
      </c>
      <c r="AC341" s="30" t="s">
        <v>92</v>
      </c>
      <c r="AD341" s="30" t="s">
        <v>2520</v>
      </c>
      <c r="AE341" s="30">
        <v>20608437712</v>
      </c>
      <c r="AF341" s="30" t="s">
        <v>2521</v>
      </c>
      <c r="AG341" s="30" t="s">
        <v>2522</v>
      </c>
      <c r="AH341" s="30" t="s">
        <v>185</v>
      </c>
      <c r="AI341" s="30" t="s">
        <v>2523</v>
      </c>
      <c r="AJ341" s="30" t="s">
        <v>2524</v>
      </c>
      <c r="AK341" s="30">
        <v>902803963</v>
      </c>
      <c r="AL341" s="30" t="s">
        <v>483</v>
      </c>
      <c r="AM341" t="s">
        <v>270</v>
      </c>
      <c r="AN341" s="30" t="s">
        <v>270</v>
      </c>
      <c r="AO341" s="30" t="s">
        <v>483</v>
      </c>
      <c r="AP341" s="30" t="s">
        <v>483</v>
      </c>
      <c r="AQ341" s="30" t="s">
        <v>483</v>
      </c>
      <c r="AR341" s="30" t="s">
        <v>483</v>
      </c>
      <c r="AS341" s="30" t="s">
        <v>63</v>
      </c>
      <c r="AT341" s="30" t="s">
        <v>64</v>
      </c>
      <c r="AU341" s="50">
        <v>46284.458333333336</v>
      </c>
      <c r="AV341" s="50">
        <v>46284.441666666666</v>
      </c>
      <c r="AW341" s="50">
        <v>46284.5</v>
      </c>
      <c r="AX341" s="50">
        <v>46284.520833333336</v>
      </c>
      <c r="AY341" s="50">
        <v>46284.552083333336</v>
      </c>
      <c r="AZ341" s="50">
        <v>46284.597222222219</v>
      </c>
      <c r="BA341" s="51">
        <v>46285.459722222222</v>
      </c>
      <c r="BB341" s="51">
        <v>46285.461805555555</v>
      </c>
      <c r="BC341" s="50">
        <v>46285.46597222222</v>
      </c>
      <c r="BD341" s="50">
        <v>46285.468055555553</v>
      </c>
      <c r="BE341" s="51">
        <v>46285.625</v>
      </c>
      <c r="BF341" s="51">
        <v>46285.65625</v>
      </c>
      <c r="BG341" s="51">
        <v>46285.680555555555</v>
      </c>
      <c r="BH341" s="51">
        <v>46285.686111111114</v>
      </c>
      <c r="BI341" s="30" t="s">
        <v>65</v>
      </c>
      <c r="BJ341" s="50">
        <v>46286.25</v>
      </c>
      <c r="BK341" s="50">
        <v>46286.295138888891</v>
      </c>
      <c r="BL341" s="50">
        <v>46286.311111111114</v>
      </c>
      <c r="BM341" s="50">
        <v>46286.315972222219</v>
      </c>
      <c r="BN341" s="50">
        <v>46286.322916666664</v>
      </c>
    </row>
    <row r="342" spans="1:66">
      <c r="A342" t="s">
        <v>168</v>
      </c>
      <c r="B342" s="30">
        <v>123</v>
      </c>
      <c r="C342" s="30">
        <v>38</v>
      </c>
      <c r="D342" s="30" t="s">
        <v>169</v>
      </c>
      <c r="E342" s="30" t="s">
        <v>170</v>
      </c>
      <c r="F342" s="48">
        <v>46284</v>
      </c>
      <c r="G342" s="48">
        <v>46285</v>
      </c>
      <c r="H342" s="49">
        <v>0.70833333333333337</v>
      </c>
      <c r="I342" s="49">
        <v>0.625</v>
      </c>
      <c r="J342" s="30" t="s">
        <v>53</v>
      </c>
      <c r="K342" s="30" t="s">
        <v>171</v>
      </c>
      <c r="L342" s="30">
        <v>1</v>
      </c>
      <c r="M342" s="30" t="s">
        <v>2746</v>
      </c>
      <c r="P342" s="30" t="s">
        <v>174</v>
      </c>
      <c r="Q342" s="30" t="s">
        <v>363</v>
      </c>
      <c r="R342" s="30" t="s">
        <v>407</v>
      </c>
      <c r="S342" s="30" t="s">
        <v>176</v>
      </c>
      <c r="T342" s="30" t="s">
        <v>2747</v>
      </c>
      <c r="U342" s="30" t="s">
        <v>2748</v>
      </c>
      <c r="V342" s="30" t="s">
        <v>2749</v>
      </c>
      <c r="W342" s="30" t="s">
        <v>2750</v>
      </c>
      <c r="X342" s="30" t="s">
        <v>179</v>
      </c>
      <c r="Y342" t="s">
        <v>180</v>
      </c>
      <c r="Z342" s="30" t="s">
        <v>180</v>
      </c>
      <c r="AA342" s="30" t="s">
        <v>181</v>
      </c>
      <c r="AB342" s="30" t="s">
        <v>55</v>
      </c>
      <c r="AC342" s="30" t="s">
        <v>92</v>
      </c>
      <c r="AD342" s="30" t="s">
        <v>2751</v>
      </c>
      <c r="AE342" s="30">
        <v>20526125356</v>
      </c>
      <c r="AF342" s="30" t="s">
        <v>2752</v>
      </c>
      <c r="AG342" s="30" t="s">
        <v>2753</v>
      </c>
      <c r="AH342" s="30" t="s">
        <v>185</v>
      </c>
      <c r="AI342" s="30" t="s">
        <v>2754</v>
      </c>
      <c r="AJ342" s="30" t="s">
        <v>2755</v>
      </c>
      <c r="AK342" s="30">
        <v>973171716</v>
      </c>
      <c r="AL342" s="30" t="s">
        <v>483</v>
      </c>
      <c r="AM342" t="s">
        <v>270</v>
      </c>
      <c r="AN342" s="30" t="s">
        <v>270</v>
      </c>
      <c r="AO342" s="30" t="s">
        <v>483</v>
      </c>
      <c r="AP342" s="30" t="s">
        <v>483</v>
      </c>
      <c r="AQ342" s="30" t="s">
        <v>483</v>
      </c>
      <c r="AR342" s="30" t="s">
        <v>483</v>
      </c>
      <c r="AS342" s="30" t="s">
        <v>63</v>
      </c>
      <c r="AT342" s="30" t="s">
        <v>64</v>
      </c>
      <c r="AU342" s="50">
        <v>46284.416666666664</v>
      </c>
      <c r="AV342" s="50">
        <v>46284.427083333336</v>
      </c>
      <c r="AW342" s="50">
        <v>46284.442361111112</v>
      </c>
      <c r="AX342" s="50">
        <v>46284.449305555558</v>
      </c>
      <c r="AY342" s="50">
        <v>46284.503472222219</v>
      </c>
      <c r="AZ342" s="50">
        <v>46284.545138888891</v>
      </c>
      <c r="BA342" s="51">
        <v>46285.425000000003</v>
      </c>
      <c r="BB342" s="51">
        <v>46285.425694444442</v>
      </c>
      <c r="BC342" s="50">
        <v>46285.587500000001</v>
      </c>
      <c r="BD342" s="50">
        <v>46285.633333333331</v>
      </c>
      <c r="BE342" s="51">
        <v>46285.770833333336</v>
      </c>
      <c r="BF342" s="51">
        <v>46285.811111111114</v>
      </c>
      <c r="BG342" s="51">
        <v>46285.835416666669</v>
      </c>
      <c r="BH342" s="51">
        <v>46285.849305555559</v>
      </c>
      <c r="BI342" s="30" t="s">
        <v>65</v>
      </c>
      <c r="BJ342" s="50">
        <v>46286.541666666664</v>
      </c>
      <c r="BK342" s="50">
        <v>46286.53402777778</v>
      </c>
      <c r="BL342" s="50">
        <v>46286.578472222223</v>
      </c>
      <c r="BM342" s="50">
        <v>46286.582638888889</v>
      </c>
      <c r="BN342" s="50">
        <v>46286.6</v>
      </c>
    </row>
    <row r="343" spans="1:66">
      <c r="A343" t="s">
        <v>168</v>
      </c>
      <c r="B343" s="30">
        <v>124</v>
      </c>
      <c r="C343" s="30">
        <v>38</v>
      </c>
      <c r="D343" s="30" t="s">
        <v>169</v>
      </c>
      <c r="E343" s="30" t="s">
        <v>170</v>
      </c>
      <c r="F343" s="48">
        <v>46285</v>
      </c>
      <c r="G343" s="48">
        <v>46286</v>
      </c>
      <c r="H343" s="49">
        <v>0.83333333333333337</v>
      </c>
      <c r="I343" s="49">
        <v>0.75</v>
      </c>
      <c r="J343" s="30" t="s">
        <v>53</v>
      </c>
      <c r="K343" s="30" t="s">
        <v>171</v>
      </c>
      <c r="L343" s="30">
        <v>1</v>
      </c>
      <c r="M343" s="30" t="s">
        <v>2756</v>
      </c>
      <c r="P343" s="30" t="s">
        <v>174</v>
      </c>
      <c r="Q343" s="30" t="s">
        <v>363</v>
      </c>
      <c r="R343" s="30" t="s">
        <v>175</v>
      </c>
      <c r="S343" s="30" t="s">
        <v>176</v>
      </c>
      <c r="T343" s="30" t="s">
        <v>2757</v>
      </c>
      <c r="U343" s="30" t="s">
        <v>2758</v>
      </c>
      <c r="V343" s="30" t="s">
        <v>2759</v>
      </c>
      <c r="W343" s="30" t="s">
        <v>2760</v>
      </c>
      <c r="X343" s="30" t="s">
        <v>179</v>
      </c>
      <c r="Y343" t="s">
        <v>180</v>
      </c>
      <c r="Z343" s="30" t="s">
        <v>180</v>
      </c>
      <c r="AA343" s="30" t="s">
        <v>181</v>
      </c>
      <c r="AB343" s="30" t="s">
        <v>55</v>
      </c>
      <c r="AC343" s="30" t="s">
        <v>92</v>
      </c>
      <c r="AD343" s="30" t="s">
        <v>1473</v>
      </c>
      <c r="AE343" s="30">
        <v>20608822098</v>
      </c>
      <c r="AF343" s="30" t="s">
        <v>2248</v>
      </c>
      <c r="AG343" s="30" t="s">
        <v>2249</v>
      </c>
      <c r="AH343" s="30" t="s">
        <v>185</v>
      </c>
      <c r="AI343" s="30" t="s">
        <v>2250</v>
      </c>
      <c r="AJ343" s="30" t="s">
        <v>2251</v>
      </c>
      <c r="AK343" s="30">
        <v>927328919</v>
      </c>
      <c r="AL343" s="30" t="s">
        <v>483</v>
      </c>
      <c r="AM343" t="s">
        <v>270</v>
      </c>
      <c r="AN343" s="30" t="s">
        <v>270</v>
      </c>
      <c r="AO343" s="30" t="s">
        <v>483</v>
      </c>
      <c r="AP343" s="30" t="s">
        <v>483</v>
      </c>
      <c r="AQ343" s="30" t="s">
        <v>483</v>
      </c>
      <c r="AR343" s="30" t="s">
        <v>483</v>
      </c>
      <c r="AS343" s="30" t="s">
        <v>63</v>
      </c>
      <c r="AT343" s="30" t="s">
        <v>64</v>
      </c>
      <c r="AU343" s="50">
        <v>46285.458333333336</v>
      </c>
      <c r="AV343" s="50">
        <v>46285.463888888888</v>
      </c>
      <c r="AW343" s="50">
        <v>46285.470138888886</v>
      </c>
      <c r="AX343" s="50">
        <v>46285.470833333333</v>
      </c>
      <c r="AY343" s="50">
        <v>46285.520833333336</v>
      </c>
      <c r="AZ343" s="50">
        <v>46285.5625</v>
      </c>
      <c r="BA343" s="51">
        <v>46286.401388888888</v>
      </c>
      <c r="BB343" s="51">
        <v>46286.401388888888</v>
      </c>
      <c r="BC343" s="50">
        <v>46286.615972222222</v>
      </c>
      <c r="BD343" s="50">
        <v>46286.634027777778</v>
      </c>
      <c r="BE343" s="51">
        <v>46286.709027777775</v>
      </c>
      <c r="BF343" s="51">
        <v>46286.719444444447</v>
      </c>
      <c r="BG343" s="51">
        <v>46286.73541666667</v>
      </c>
      <c r="BH343" s="51">
        <v>46286.763194444444</v>
      </c>
      <c r="BI343" s="30" t="s">
        <v>65</v>
      </c>
      <c r="BJ343" s="50">
        <v>46287.416666666664</v>
      </c>
      <c r="BK343" s="50">
        <v>46287.402083333334</v>
      </c>
      <c r="BL343" s="50">
        <v>46287.42291666667</v>
      </c>
      <c r="BM343" s="50">
        <v>46287.425694444442</v>
      </c>
      <c r="BN343" s="50">
        <v>46287.429166666669</v>
      </c>
    </row>
    <row r="344" spans="1:66">
      <c r="A344" t="s">
        <v>168</v>
      </c>
      <c r="B344" s="30">
        <v>125</v>
      </c>
      <c r="C344" s="30">
        <v>39</v>
      </c>
      <c r="H344" s="49"/>
      <c r="I344" s="49"/>
      <c r="M344" s="30" t="s">
        <v>2761</v>
      </c>
      <c r="T344" s="30" t="s">
        <v>2762</v>
      </c>
      <c r="Y344"/>
      <c r="AM344"/>
      <c r="BA344" s="51"/>
      <c r="BB344" s="51"/>
      <c r="BE344" s="51"/>
      <c r="BF344" s="51"/>
      <c r="BG344" s="51"/>
      <c r="BH344" s="51"/>
      <c r="BJ344" s="50"/>
      <c r="BK344" s="50"/>
      <c r="BL344" s="50"/>
      <c r="BM344" s="50"/>
      <c r="BN344" s="50"/>
    </row>
    <row r="345" spans="1:66">
      <c r="A345" t="s">
        <v>168</v>
      </c>
      <c r="B345" s="30">
        <v>126</v>
      </c>
      <c r="C345" s="30">
        <v>39</v>
      </c>
      <c r="H345" s="49"/>
      <c r="I345" s="49"/>
      <c r="M345" s="30" t="s">
        <v>2761</v>
      </c>
      <c r="T345" s="30" t="s">
        <v>2762</v>
      </c>
      <c r="Y345"/>
      <c r="AM345"/>
      <c r="BA345" s="51"/>
      <c r="BB345" s="51"/>
      <c r="BE345" s="51"/>
      <c r="BF345" s="51"/>
      <c r="BG345" s="51"/>
      <c r="BH345" s="51"/>
      <c r="BJ345" s="50"/>
      <c r="BK345" s="50"/>
      <c r="BL345" s="50"/>
      <c r="BM345" s="50"/>
      <c r="BN345" s="50"/>
    </row>
    <row r="346" spans="1:66">
      <c r="A346" t="s">
        <v>168</v>
      </c>
      <c r="B346" s="30">
        <v>127</v>
      </c>
      <c r="C346" s="30">
        <v>39</v>
      </c>
      <c r="H346" s="49"/>
      <c r="I346" s="49"/>
      <c r="M346" s="30" t="s">
        <v>2763</v>
      </c>
      <c r="T346" s="30" t="s">
        <v>2764</v>
      </c>
      <c r="Y346"/>
      <c r="AM346"/>
      <c r="BA346" s="51"/>
      <c r="BB346" s="51"/>
      <c r="BE346" s="51"/>
      <c r="BF346" s="51"/>
      <c r="BG346" s="51"/>
      <c r="BH346" s="51"/>
      <c r="BJ346" s="50"/>
      <c r="BK346" s="50"/>
      <c r="BL346" s="50"/>
      <c r="BM346" s="50"/>
      <c r="BN346" s="50"/>
    </row>
    <row r="347" spans="1:66">
      <c r="A347" t="s">
        <v>168</v>
      </c>
      <c r="B347" s="30">
        <v>128</v>
      </c>
      <c r="C347" s="30">
        <v>39</v>
      </c>
      <c r="H347" s="49"/>
      <c r="I347" s="49"/>
      <c r="M347" s="30" t="s">
        <v>2763</v>
      </c>
      <c r="T347" s="30" t="s">
        <v>2764</v>
      </c>
      <c r="Y347"/>
      <c r="AM347"/>
      <c r="BA347" s="51"/>
      <c r="BB347" s="51"/>
      <c r="BE347" s="51"/>
      <c r="BF347" s="51"/>
      <c r="BG347" s="51"/>
      <c r="BH347" s="51"/>
      <c r="BJ347" s="50"/>
      <c r="BK347" s="50"/>
      <c r="BL347" s="50"/>
      <c r="BM347" s="50"/>
      <c r="BN347" s="50"/>
    </row>
    <row r="348" spans="1:66">
      <c r="A348" t="s">
        <v>168</v>
      </c>
      <c r="B348" s="30">
        <v>129</v>
      </c>
      <c r="C348" s="30">
        <v>39</v>
      </c>
      <c r="H348" s="49"/>
      <c r="I348" s="49"/>
      <c r="M348" s="30" t="s">
        <v>2765</v>
      </c>
      <c r="T348" s="30" t="s">
        <v>2766</v>
      </c>
      <c r="Y348"/>
      <c r="AM348"/>
      <c r="BA348" s="51"/>
      <c r="BB348" s="51"/>
      <c r="BE348" s="51"/>
      <c r="BF348" s="51"/>
      <c r="BG348" s="51"/>
      <c r="BH348" s="51"/>
      <c r="BJ348" s="50"/>
      <c r="BK348" s="50"/>
      <c r="BL348" s="50"/>
      <c r="BM348" s="50"/>
      <c r="BN348" s="50"/>
    </row>
    <row r="349" spans="1:66">
      <c r="A349" t="s">
        <v>168</v>
      </c>
      <c r="B349" s="30">
        <v>130</v>
      </c>
      <c r="C349" s="30">
        <v>39</v>
      </c>
      <c r="H349" s="49"/>
      <c r="I349" s="49"/>
      <c r="M349" s="30" t="s">
        <v>2767</v>
      </c>
      <c r="Y349"/>
      <c r="AM349"/>
      <c r="BA349" s="51"/>
      <c r="BB349" s="51"/>
      <c r="BE349" s="51"/>
      <c r="BF349" s="51"/>
      <c r="BG349" s="51"/>
      <c r="BH349" s="51"/>
      <c r="BJ349" s="50"/>
      <c r="BK349" s="50"/>
      <c r="BL349" s="50"/>
      <c r="BM349" s="50"/>
      <c r="BN349" s="50"/>
    </row>
    <row r="350" spans="1:66">
      <c r="A350" t="s">
        <v>168</v>
      </c>
      <c r="B350" s="30">
        <v>131</v>
      </c>
      <c r="C350" s="30">
        <v>39</v>
      </c>
      <c r="H350" s="49"/>
      <c r="I350" s="49"/>
      <c r="M350" s="30" t="s">
        <v>2768</v>
      </c>
      <c r="Y350"/>
      <c r="AM350"/>
      <c r="BA350" s="51"/>
      <c r="BB350" s="51"/>
      <c r="BE350" s="51"/>
      <c r="BF350" s="51"/>
      <c r="BG350" s="51"/>
      <c r="BH350" s="51"/>
      <c r="BJ350" s="50"/>
      <c r="BK350" s="50"/>
      <c r="BL350" s="50"/>
      <c r="BM350" s="50"/>
      <c r="BN350" s="50"/>
    </row>
    <row r="351" spans="1:66">
      <c r="A351" t="s">
        <v>168</v>
      </c>
      <c r="B351" s="30">
        <v>1</v>
      </c>
      <c r="C351" s="30">
        <v>28</v>
      </c>
      <c r="D351" s="30" t="s">
        <v>169</v>
      </c>
      <c r="E351" s="30" t="s">
        <v>170</v>
      </c>
      <c r="F351" s="48">
        <v>46211</v>
      </c>
      <c r="G351" s="48">
        <v>46212</v>
      </c>
      <c r="H351" s="49"/>
      <c r="I351" s="49">
        <v>0.33333333333333331</v>
      </c>
      <c r="J351" s="30" t="s">
        <v>53</v>
      </c>
      <c r="K351" s="30" t="s">
        <v>171</v>
      </c>
      <c r="L351" s="30">
        <v>1</v>
      </c>
      <c r="M351" s="30" t="s">
        <v>1494</v>
      </c>
      <c r="N351" s="30" t="s">
        <v>173</v>
      </c>
      <c r="O351" s="30" t="s">
        <v>173</v>
      </c>
      <c r="P351" s="30" t="s">
        <v>174</v>
      </c>
      <c r="Q351" s="30" t="s">
        <v>84</v>
      </c>
      <c r="R351" s="30" t="s">
        <v>175</v>
      </c>
      <c r="S351" s="30" t="s">
        <v>176</v>
      </c>
      <c r="T351" s="30">
        <v>274024236</v>
      </c>
      <c r="U351" s="30" t="s">
        <v>1495</v>
      </c>
      <c r="V351" s="30" t="s">
        <v>1496</v>
      </c>
      <c r="W351" s="30" t="s">
        <v>1497</v>
      </c>
      <c r="X351" s="30" t="s">
        <v>179</v>
      </c>
      <c r="Y351" t="s">
        <v>180</v>
      </c>
      <c r="Z351" s="30" t="s">
        <v>180</v>
      </c>
      <c r="AA351" s="30" t="s">
        <v>181</v>
      </c>
      <c r="AB351" s="30" t="s">
        <v>1491</v>
      </c>
      <c r="AC351" s="30" t="s">
        <v>56</v>
      </c>
      <c r="AD351" s="30" t="s">
        <v>1499</v>
      </c>
      <c r="AE351" s="30">
        <v>20107012011</v>
      </c>
      <c r="AF351" s="30" t="s">
        <v>1500</v>
      </c>
      <c r="AG351" s="30" t="s">
        <v>1501</v>
      </c>
      <c r="AH351" s="30" t="s">
        <v>185</v>
      </c>
      <c r="AI351" s="30" t="s">
        <v>1502</v>
      </c>
      <c r="AJ351" s="30" t="s">
        <v>1503</v>
      </c>
      <c r="AK351" s="30" t="s">
        <v>2252</v>
      </c>
      <c r="AL351" s="30" t="s">
        <v>483</v>
      </c>
      <c r="AM351" t="s">
        <v>270</v>
      </c>
      <c r="AN351" s="30" t="s">
        <v>270</v>
      </c>
      <c r="AO351" s="30" t="s">
        <v>483</v>
      </c>
      <c r="AP351" s="30" t="s">
        <v>483</v>
      </c>
      <c r="AQ351" s="30" t="s">
        <v>483</v>
      </c>
      <c r="AR351" s="30" t="s">
        <v>483</v>
      </c>
      <c r="AS351" s="30" t="s">
        <v>84</v>
      </c>
      <c r="AT351" s="30" t="s">
        <v>1504</v>
      </c>
      <c r="AU351" s="50">
        <v>46211.625</v>
      </c>
      <c r="AV351" s="50">
        <v>46211.64166666667</v>
      </c>
      <c r="AW351" s="50">
        <v>46211.682638888888</v>
      </c>
      <c r="AX351" s="50">
        <v>46211.6875</v>
      </c>
      <c r="AY351" s="50">
        <v>46211.699305555558</v>
      </c>
      <c r="AZ351" s="50">
        <v>46211.8125</v>
      </c>
      <c r="BA351" s="51">
        <v>46212.416666666664</v>
      </c>
      <c r="BB351" s="51">
        <v>46212.422222222223</v>
      </c>
      <c r="BC351" s="50">
        <v>46212.446527777778</v>
      </c>
      <c r="BE351" s="51">
        <v>46212.479166666664</v>
      </c>
      <c r="BF351" s="51"/>
      <c r="BG351" s="51">
        <v>46212.605555555558</v>
      </c>
      <c r="BH351" s="51">
        <v>46212.625</v>
      </c>
      <c r="BI351" s="30" t="s">
        <v>787</v>
      </c>
      <c r="BJ351" s="50">
        <v>46213.25</v>
      </c>
      <c r="BK351" s="50">
        <v>46213.25</v>
      </c>
      <c r="BL351" s="50">
        <v>46213.341666666667</v>
      </c>
      <c r="BM351" s="50">
        <v>46213.347222222219</v>
      </c>
      <c r="BN351" s="50">
        <v>46213.352083333331</v>
      </c>
    </row>
    <row r="352" spans="1:66">
      <c r="A352" t="s">
        <v>168</v>
      </c>
      <c r="B352" s="30">
        <v>2</v>
      </c>
      <c r="C352" s="30">
        <v>28</v>
      </c>
      <c r="D352" s="30" t="s">
        <v>169</v>
      </c>
      <c r="E352" s="30" t="s">
        <v>170</v>
      </c>
      <c r="F352" s="48">
        <v>46212</v>
      </c>
      <c r="G352" s="48">
        <v>46213</v>
      </c>
      <c r="H352" s="49"/>
      <c r="I352" s="49">
        <v>0.54166666666666663</v>
      </c>
      <c r="J352" s="30" t="s">
        <v>53</v>
      </c>
      <c r="K352" s="30" t="s">
        <v>171</v>
      </c>
      <c r="L352" s="30">
        <v>1</v>
      </c>
      <c r="M352" s="30" t="s">
        <v>1505</v>
      </c>
      <c r="P352" s="30" t="s">
        <v>174</v>
      </c>
      <c r="Q352" s="30" t="s">
        <v>84</v>
      </c>
      <c r="T352" s="30">
        <v>751600038522</v>
      </c>
      <c r="U352" s="30" t="s">
        <v>1506</v>
      </c>
      <c r="V352" s="30" t="s">
        <v>1507</v>
      </c>
      <c r="W352" s="30" t="s">
        <v>1508</v>
      </c>
      <c r="Y352"/>
      <c r="Z352" s="30" t="s">
        <v>180</v>
      </c>
      <c r="AA352" s="30" t="s">
        <v>181</v>
      </c>
      <c r="AB352" s="30" t="s">
        <v>1491</v>
      </c>
      <c r="AC352" s="30" t="s">
        <v>56</v>
      </c>
      <c r="AD352" s="30" t="s">
        <v>1499</v>
      </c>
      <c r="AE352" s="30">
        <v>20107012011</v>
      </c>
      <c r="AF352" s="30" t="s">
        <v>1509</v>
      </c>
      <c r="AG352" s="30" t="s">
        <v>1510</v>
      </c>
      <c r="AH352" s="30" t="s">
        <v>185</v>
      </c>
      <c r="AI352" s="30" t="s">
        <v>1511</v>
      </c>
      <c r="AJ352" s="30" t="s">
        <v>1512</v>
      </c>
      <c r="AK352" s="30" t="s">
        <v>2252</v>
      </c>
      <c r="AL352" s="30" t="s">
        <v>483</v>
      </c>
      <c r="AM352" t="s">
        <v>270</v>
      </c>
      <c r="AN352" s="30" t="s">
        <v>270</v>
      </c>
      <c r="AO352" s="30" t="s">
        <v>483</v>
      </c>
      <c r="AP352" s="30" t="s">
        <v>483</v>
      </c>
      <c r="AQ352" s="30" t="s">
        <v>483</v>
      </c>
      <c r="AR352" s="30" t="s">
        <v>483</v>
      </c>
      <c r="AS352" s="30" t="s">
        <v>84</v>
      </c>
      <c r="AT352" s="30" t="s">
        <v>64</v>
      </c>
      <c r="AU352" s="50">
        <v>46212.583333333336</v>
      </c>
      <c r="AV352" s="50">
        <v>46212.557638888888</v>
      </c>
      <c r="AW352" s="50">
        <v>46212.593055555553</v>
      </c>
      <c r="AX352" s="50">
        <v>46212.598611111112</v>
      </c>
      <c r="AY352" s="50">
        <v>46212.654166666667</v>
      </c>
      <c r="AZ352" s="50">
        <v>46212.668055555558</v>
      </c>
      <c r="BA352" s="51">
        <v>46213.263888888891</v>
      </c>
      <c r="BB352" s="51">
        <v>46213.354166666664</v>
      </c>
      <c r="BC352" s="50">
        <v>46213.384722222225</v>
      </c>
      <c r="BE352" s="51">
        <v>46213.420138888891</v>
      </c>
      <c r="BF352" s="51"/>
      <c r="BG352" s="51">
        <v>46213.725694444445</v>
      </c>
      <c r="BH352" s="51">
        <v>46213.743055555555</v>
      </c>
      <c r="BI352" s="30" t="s">
        <v>64</v>
      </c>
      <c r="BJ352" s="50">
        <v>46214.333333333336</v>
      </c>
      <c r="BK352" s="50">
        <v>46214.34652777778</v>
      </c>
      <c r="BL352" s="50">
        <v>46214.355555555558</v>
      </c>
      <c r="BM352" s="50">
        <v>46214.364583333336</v>
      </c>
      <c r="BN352" s="50">
        <v>46214.372916666667</v>
      </c>
    </row>
    <row r="353" spans="1:66">
      <c r="A353" t="s">
        <v>168</v>
      </c>
      <c r="B353" s="30">
        <v>3</v>
      </c>
      <c r="C353" s="30">
        <v>28</v>
      </c>
      <c r="D353" s="30" t="s">
        <v>169</v>
      </c>
      <c r="E353" s="30" t="s">
        <v>170</v>
      </c>
      <c r="F353" s="48">
        <v>46214</v>
      </c>
      <c r="G353" s="48">
        <v>46215</v>
      </c>
      <c r="H353" s="49"/>
      <c r="I353" s="49">
        <v>0.33333333333333331</v>
      </c>
      <c r="J353" s="30" t="s">
        <v>53</v>
      </c>
      <c r="K353" s="30" t="s">
        <v>171</v>
      </c>
      <c r="L353" s="30">
        <v>1</v>
      </c>
      <c r="M353" s="30" t="s">
        <v>1513</v>
      </c>
      <c r="P353" s="30" t="s">
        <v>174</v>
      </c>
      <c r="Q353" s="30" t="s">
        <v>84</v>
      </c>
      <c r="T353" s="30">
        <v>751600038726</v>
      </c>
      <c r="U353" s="30" t="s">
        <v>1514</v>
      </c>
      <c r="V353" s="30" t="s">
        <v>1515</v>
      </c>
      <c r="W353" s="30" t="s">
        <v>1508</v>
      </c>
      <c r="Y353"/>
      <c r="Z353" s="30" t="s">
        <v>180</v>
      </c>
      <c r="AA353" s="30" t="s">
        <v>181</v>
      </c>
      <c r="AB353" s="30" t="s">
        <v>1491</v>
      </c>
      <c r="AC353" s="30" t="s">
        <v>56</v>
      </c>
      <c r="AD353" s="30" t="s">
        <v>1499</v>
      </c>
      <c r="AE353" s="30">
        <v>20107012011</v>
      </c>
      <c r="AF353" s="30" t="s">
        <v>1516</v>
      </c>
      <c r="AG353" s="30" t="s">
        <v>1517</v>
      </c>
      <c r="AH353" s="30" t="s">
        <v>185</v>
      </c>
      <c r="AI353" s="30" t="s">
        <v>1518</v>
      </c>
      <c r="AJ353" s="30" t="s">
        <v>1519</v>
      </c>
      <c r="AK353" s="30" t="s">
        <v>2252</v>
      </c>
      <c r="AL353" s="30" t="s">
        <v>483</v>
      </c>
      <c r="AM353" t="s">
        <v>270</v>
      </c>
      <c r="AN353" s="30" t="s">
        <v>270</v>
      </c>
      <c r="AO353" s="30" t="s">
        <v>483</v>
      </c>
      <c r="AP353" s="30" t="s">
        <v>483</v>
      </c>
      <c r="AQ353" s="30" t="s">
        <v>483</v>
      </c>
      <c r="AR353" s="30" t="s">
        <v>483</v>
      </c>
      <c r="AS353" s="30" t="s">
        <v>84</v>
      </c>
      <c r="AT353" s="30" t="s">
        <v>277</v>
      </c>
      <c r="AU353" s="50">
        <v>46214.625</v>
      </c>
      <c r="AV353" s="50">
        <v>46214.628472222219</v>
      </c>
      <c r="AW353" s="50">
        <v>46214.645833333336</v>
      </c>
      <c r="AX353" s="50">
        <v>46214.663888888892</v>
      </c>
      <c r="AY353" s="50">
        <v>46214.74722222222</v>
      </c>
      <c r="AZ353" s="50">
        <v>46214.995833333334</v>
      </c>
      <c r="BA353" s="51">
        <v>46215.495833333334</v>
      </c>
      <c r="BB353" s="51">
        <v>46215.504166666666</v>
      </c>
      <c r="BC353" s="50">
        <v>46215.509722222225</v>
      </c>
      <c r="BE353" s="51">
        <v>46215.552083333336</v>
      </c>
      <c r="BF353" s="51"/>
      <c r="BG353" s="51">
        <v>194.72222222222223</v>
      </c>
      <c r="BH353" s="51">
        <v>46215.746527777781</v>
      </c>
      <c r="BI353" s="30" t="s">
        <v>64</v>
      </c>
      <c r="BJ353" s="50">
        <v>46216.208333333336</v>
      </c>
      <c r="BK353" s="50">
        <v>46216.195833333331</v>
      </c>
      <c r="BL353" s="50">
        <v>46216.202777777777</v>
      </c>
      <c r="BM353" s="50">
        <v>46216.206944444442</v>
      </c>
      <c r="BN353" s="50">
        <v>46216.215277777781</v>
      </c>
    </row>
    <row r="354" spans="1:66">
      <c r="A354" t="s">
        <v>168</v>
      </c>
      <c r="B354" s="30">
        <v>4</v>
      </c>
      <c r="C354" s="30">
        <v>28</v>
      </c>
      <c r="D354" s="30" t="s">
        <v>169</v>
      </c>
      <c r="E354" s="30" t="s">
        <v>170</v>
      </c>
      <c r="F354" s="48">
        <v>46214</v>
      </c>
      <c r="G354" s="48">
        <v>46215</v>
      </c>
      <c r="H354" s="49"/>
      <c r="I354" s="49">
        <v>0.33333333333333331</v>
      </c>
      <c r="J354" s="30" t="s">
        <v>53</v>
      </c>
      <c r="K354" s="30" t="s">
        <v>171</v>
      </c>
      <c r="L354" s="30">
        <v>1</v>
      </c>
      <c r="M354" s="30" t="s">
        <v>1520</v>
      </c>
      <c r="P354" s="30" t="s">
        <v>174</v>
      </c>
      <c r="Q354" s="30" t="s">
        <v>84</v>
      </c>
      <c r="T354" s="30">
        <v>751600038742</v>
      </c>
      <c r="U354" s="30" t="s">
        <v>1521</v>
      </c>
      <c r="V354" s="30" t="s">
        <v>1522</v>
      </c>
      <c r="W354" s="30" t="s">
        <v>1508</v>
      </c>
      <c r="Y354"/>
      <c r="Z354" s="30" t="s">
        <v>180</v>
      </c>
      <c r="AA354" s="30" t="s">
        <v>181</v>
      </c>
      <c r="AB354" s="30" t="s">
        <v>1491</v>
      </c>
      <c r="AC354" s="30" t="s">
        <v>56</v>
      </c>
      <c r="AD354" s="30" t="s">
        <v>1499</v>
      </c>
      <c r="AE354" s="30">
        <v>20107012011</v>
      </c>
      <c r="AF354" s="30" t="s">
        <v>1523</v>
      </c>
      <c r="AG354" s="30" t="s">
        <v>1524</v>
      </c>
      <c r="AH354" s="30" t="s">
        <v>185</v>
      </c>
      <c r="AI354" s="30" t="s">
        <v>1525</v>
      </c>
      <c r="AJ354" s="30" t="s">
        <v>1526</v>
      </c>
      <c r="AK354" s="30" t="s">
        <v>2252</v>
      </c>
      <c r="AL354" s="30" t="s">
        <v>483</v>
      </c>
      <c r="AM354" t="s">
        <v>270</v>
      </c>
      <c r="AN354" s="30" t="s">
        <v>270</v>
      </c>
      <c r="AO354" s="30" t="s">
        <v>483</v>
      </c>
      <c r="AP354" s="30" t="s">
        <v>483</v>
      </c>
      <c r="AQ354" s="30" t="s">
        <v>483</v>
      </c>
      <c r="AR354" s="30" t="s">
        <v>483</v>
      </c>
      <c r="AS354" s="30" t="s">
        <v>84</v>
      </c>
      <c r="AT354" s="30" t="s">
        <v>277</v>
      </c>
      <c r="AU354" s="50">
        <v>46214.625</v>
      </c>
      <c r="AV354" s="50">
        <v>46214.7</v>
      </c>
      <c r="AW354" s="50">
        <v>46214.706250000003</v>
      </c>
      <c r="AX354" s="50">
        <v>46214.713888888888</v>
      </c>
      <c r="AY354" s="50">
        <v>46214.878472222219</v>
      </c>
      <c r="AZ354" s="50">
        <v>46214.989583333336</v>
      </c>
      <c r="BA354" s="51">
        <v>46215.493055555555</v>
      </c>
      <c r="BB354" s="51">
        <v>46215.5</v>
      </c>
      <c r="BC354" s="50">
        <v>46215.506944444445</v>
      </c>
      <c r="BE354" s="51">
        <v>46215.545138888891</v>
      </c>
      <c r="BF354" s="51"/>
      <c r="BG354" s="51">
        <v>46215.736111111109</v>
      </c>
      <c r="BH354" s="51">
        <v>46215.763194444444</v>
      </c>
      <c r="BI354" s="30" t="s">
        <v>64</v>
      </c>
      <c r="BJ354" s="50">
        <v>46216.25</v>
      </c>
      <c r="BK354" s="50">
        <v>46216.306944444441</v>
      </c>
      <c r="BL354" s="50">
        <v>46216.324999999997</v>
      </c>
      <c r="BM354" s="50">
        <v>46216.327777777777</v>
      </c>
      <c r="BN354" s="50">
        <v>46216.335416666669</v>
      </c>
    </row>
    <row r="355" spans="1:66">
      <c r="A355" t="s">
        <v>168</v>
      </c>
      <c r="B355" s="30">
        <v>5</v>
      </c>
      <c r="C355" s="30">
        <v>28</v>
      </c>
      <c r="D355" s="30" t="s">
        <v>169</v>
      </c>
      <c r="E355" s="30" t="s">
        <v>170</v>
      </c>
      <c r="F355" s="48">
        <v>46214</v>
      </c>
      <c r="G355" s="48">
        <v>46216</v>
      </c>
      <c r="H355" s="49"/>
      <c r="I355" s="49">
        <v>0.33333333333333331</v>
      </c>
      <c r="J355" s="30" t="s">
        <v>53</v>
      </c>
      <c r="K355" s="30" t="s">
        <v>171</v>
      </c>
      <c r="L355" s="30">
        <v>1</v>
      </c>
      <c r="M355" s="30" t="s">
        <v>1527</v>
      </c>
      <c r="P355" s="30" t="s">
        <v>174</v>
      </c>
      <c r="Q355" s="30" t="s">
        <v>84</v>
      </c>
      <c r="T355" s="30">
        <v>751600038751</v>
      </c>
      <c r="U355" s="30" t="s">
        <v>1528</v>
      </c>
      <c r="V355" s="30" t="s">
        <v>1529</v>
      </c>
      <c r="W355" s="30" t="s">
        <v>1508</v>
      </c>
      <c r="Y355"/>
      <c r="Z355" s="30" t="s">
        <v>180</v>
      </c>
      <c r="AA355" s="30" t="s">
        <v>181</v>
      </c>
      <c r="AB355" s="30" t="s">
        <v>1491</v>
      </c>
      <c r="AC355" s="30" t="s">
        <v>56</v>
      </c>
      <c r="AD355" s="30" t="s">
        <v>1499</v>
      </c>
      <c r="AE355" s="30">
        <v>20107012011</v>
      </c>
      <c r="AF355" s="30" t="s">
        <v>1509</v>
      </c>
      <c r="AG355" s="30" t="s">
        <v>1510</v>
      </c>
      <c r="AH355" s="30" t="s">
        <v>185</v>
      </c>
      <c r="AI355" s="30" t="s">
        <v>1530</v>
      </c>
      <c r="AJ355" s="30" t="s">
        <v>1531</v>
      </c>
      <c r="AK355" s="30" t="s">
        <v>2252</v>
      </c>
      <c r="AL355" s="30" t="s">
        <v>483</v>
      </c>
      <c r="AM355" t="s">
        <v>270</v>
      </c>
      <c r="AN355" s="30" t="s">
        <v>270</v>
      </c>
      <c r="AO355" s="30" t="s">
        <v>483</v>
      </c>
      <c r="AP355" s="30" t="s">
        <v>483</v>
      </c>
      <c r="AQ355" s="30" t="s">
        <v>483</v>
      </c>
      <c r="AR355" s="30" t="s">
        <v>483</v>
      </c>
      <c r="AS355" s="30" t="s">
        <v>84</v>
      </c>
      <c r="AT355" s="30" t="s">
        <v>277</v>
      </c>
      <c r="AU355" s="50">
        <v>46214.666666666664</v>
      </c>
      <c r="AV355" s="50">
        <v>46214.665277777778</v>
      </c>
      <c r="AW355" s="50">
        <v>46214.67083333333</v>
      </c>
      <c r="AX355" s="50">
        <v>46214.683333333334</v>
      </c>
      <c r="AY355" s="50">
        <v>46214.800694444442</v>
      </c>
      <c r="AZ355" s="50">
        <v>46214.802777777775</v>
      </c>
      <c r="BA355" s="51">
        <v>46216.222222222219</v>
      </c>
      <c r="BB355" s="51">
        <v>46216.28125</v>
      </c>
      <c r="BC355" s="50">
        <v>46216.311805555553</v>
      </c>
      <c r="BE355" s="51">
        <v>46216.354166666664</v>
      </c>
      <c r="BF355" s="51"/>
      <c r="BG355" s="51">
        <v>46216.739583333336</v>
      </c>
      <c r="BH355" s="51">
        <v>46216.768055555556</v>
      </c>
      <c r="BI355" s="30" t="s">
        <v>64</v>
      </c>
      <c r="BJ355" s="50">
        <v>46217.291666666664</v>
      </c>
      <c r="BK355" s="50">
        <v>46217.343055555553</v>
      </c>
      <c r="BL355" s="50">
        <v>46217.347222222219</v>
      </c>
      <c r="BM355" s="50">
        <v>46217.361111111109</v>
      </c>
      <c r="BN355" s="50">
        <v>46217.368750000001</v>
      </c>
    </row>
    <row r="356" spans="1:66">
      <c r="A356" t="s">
        <v>168</v>
      </c>
      <c r="B356" s="30">
        <v>6</v>
      </c>
      <c r="C356" s="30">
        <v>28</v>
      </c>
      <c r="D356" s="30" t="s">
        <v>169</v>
      </c>
      <c r="E356" s="30" t="s">
        <v>170</v>
      </c>
      <c r="F356" s="48">
        <v>46215</v>
      </c>
      <c r="G356" s="48">
        <v>46216</v>
      </c>
      <c r="H356" s="49"/>
      <c r="I356" s="49">
        <v>0.33333333333333331</v>
      </c>
      <c r="J356" s="30" t="s">
        <v>53</v>
      </c>
      <c r="K356" s="30" t="s">
        <v>171</v>
      </c>
      <c r="L356" s="30">
        <v>1</v>
      </c>
      <c r="M356" s="30" t="s">
        <v>1532</v>
      </c>
      <c r="P356" s="30" t="s">
        <v>174</v>
      </c>
      <c r="Q356" s="30" t="s">
        <v>84</v>
      </c>
      <c r="T356" s="30">
        <v>751600038548</v>
      </c>
      <c r="U356" s="30" t="s">
        <v>1533</v>
      </c>
      <c r="V356" s="30" t="s">
        <v>1534</v>
      </c>
      <c r="W356" s="30" t="s">
        <v>1508</v>
      </c>
      <c r="Y356"/>
      <c r="Z356" s="30" t="s">
        <v>180</v>
      </c>
      <c r="AA356" s="30" t="s">
        <v>181</v>
      </c>
      <c r="AB356" s="30" t="s">
        <v>1491</v>
      </c>
      <c r="AC356" s="30" t="s">
        <v>56</v>
      </c>
      <c r="AD356" s="30" t="s">
        <v>1499</v>
      </c>
      <c r="AE356" s="30">
        <v>20107012011</v>
      </c>
      <c r="AF356" s="30" t="s">
        <v>1535</v>
      </c>
      <c r="AG356" s="30" t="s">
        <v>1536</v>
      </c>
      <c r="AH356" s="30" t="s">
        <v>185</v>
      </c>
      <c r="AI356" s="30" t="s">
        <v>1537</v>
      </c>
      <c r="AJ356" s="30" t="s">
        <v>1538</v>
      </c>
      <c r="AK356" s="30" t="s">
        <v>2252</v>
      </c>
      <c r="AL356" s="30" t="s">
        <v>483</v>
      </c>
      <c r="AM356" t="s">
        <v>270</v>
      </c>
      <c r="AN356" s="30" t="s">
        <v>270</v>
      </c>
      <c r="AO356" s="30" t="s">
        <v>483</v>
      </c>
      <c r="AP356" s="30" t="s">
        <v>483</v>
      </c>
      <c r="AQ356" s="30" t="s">
        <v>483</v>
      </c>
      <c r="AR356" s="30" t="s">
        <v>483</v>
      </c>
      <c r="AS356" s="30" t="s">
        <v>84</v>
      </c>
      <c r="AT356" s="30" t="s">
        <v>64</v>
      </c>
      <c r="AU356" s="50">
        <v>46215.583333333336</v>
      </c>
      <c r="AV356" s="50">
        <v>46215.458333333336</v>
      </c>
      <c r="AW356" s="50">
        <v>46215.55</v>
      </c>
      <c r="AX356" s="50">
        <v>46215.588888888888</v>
      </c>
      <c r="AY356" s="50">
        <v>46215.661111111112</v>
      </c>
      <c r="AZ356" s="50">
        <v>46215.936805555553</v>
      </c>
      <c r="BA356" s="51">
        <v>46216.362500000003</v>
      </c>
      <c r="BB356" s="51">
        <v>46216.458333333336</v>
      </c>
      <c r="BC356" s="50">
        <v>46216.474305555559</v>
      </c>
      <c r="BE356" s="51">
        <v>46216.510416666664</v>
      </c>
      <c r="BF356" s="51"/>
      <c r="BG356" s="51">
        <v>46216.819444444445</v>
      </c>
      <c r="BH356" s="51">
        <v>46216.851388888892</v>
      </c>
      <c r="BI356" s="30" t="s">
        <v>64</v>
      </c>
      <c r="BJ356" s="50">
        <v>46217.375</v>
      </c>
      <c r="BK356" s="50">
        <v>46217.39166666667</v>
      </c>
      <c r="BL356" s="50">
        <v>46217.407638888886</v>
      </c>
      <c r="BM356" s="50">
        <v>46217.4375</v>
      </c>
      <c r="BN356" s="50">
        <v>46217.449305555558</v>
      </c>
    </row>
    <row r="357" spans="1:66">
      <c r="A357" t="s">
        <v>168</v>
      </c>
      <c r="B357" s="30">
        <v>7</v>
      </c>
      <c r="C357" s="30">
        <v>28</v>
      </c>
      <c r="D357" s="30" t="s">
        <v>169</v>
      </c>
      <c r="E357" s="30" t="s">
        <v>170</v>
      </c>
      <c r="F357" s="48">
        <v>46215</v>
      </c>
      <c r="G357" s="48">
        <v>46216</v>
      </c>
      <c r="H357" s="49"/>
      <c r="I357" s="49">
        <v>0.33333333333333331</v>
      </c>
      <c r="J357" s="30" t="s">
        <v>53</v>
      </c>
      <c r="K357" s="30" t="s">
        <v>171</v>
      </c>
      <c r="L357" s="30">
        <v>1</v>
      </c>
      <c r="M357" s="30" t="s">
        <v>1539</v>
      </c>
      <c r="P357" s="30" t="s">
        <v>174</v>
      </c>
      <c r="Q357" s="30" t="s">
        <v>84</v>
      </c>
      <c r="T357" s="30">
        <v>751600038556</v>
      </c>
      <c r="U357" s="30" t="s">
        <v>1540</v>
      </c>
      <c r="V357" s="30" t="s">
        <v>1541</v>
      </c>
      <c r="W357" s="30" t="s">
        <v>1508</v>
      </c>
      <c r="Y357"/>
      <c r="Z357" s="30" t="s">
        <v>180</v>
      </c>
      <c r="AA357" s="30" t="s">
        <v>181</v>
      </c>
      <c r="AB357" s="30" t="s">
        <v>1491</v>
      </c>
      <c r="AC357" s="30" t="s">
        <v>56</v>
      </c>
      <c r="AD357" s="30" t="s">
        <v>1499</v>
      </c>
      <c r="AE357" s="30">
        <v>20107012011</v>
      </c>
      <c r="AF357" s="30" t="s">
        <v>1542</v>
      </c>
      <c r="AG357" s="30" t="s">
        <v>1543</v>
      </c>
      <c r="AH357" s="30" t="s">
        <v>185</v>
      </c>
      <c r="AI357" s="30" t="s">
        <v>1544</v>
      </c>
      <c r="AJ357" s="30" t="s">
        <v>1545</v>
      </c>
      <c r="AK357" s="30" t="s">
        <v>2252</v>
      </c>
      <c r="AL357" s="30" t="s">
        <v>483</v>
      </c>
      <c r="AM357" t="s">
        <v>270</v>
      </c>
      <c r="AN357" s="30" t="s">
        <v>270</v>
      </c>
      <c r="AO357" s="30" t="s">
        <v>483</v>
      </c>
      <c r="AP357" s="30" t="s">
        <v>483</v>
      </c>
      <c r="AQ357" s="30" t="s">
        <v>483</v>
      </c>
      <c r="AR357" s="30" t="s">
        <v>483</v>
      </c>
      <c r="AS357" s="30" t="s">
        <v>84</v>
      </c>
      <c r="AT357" s="30" t="s">
        <v>64</v>
      </c>
      <c r="AU357" s="50">
        <v>46215.541666666664</v>
      </c>
      <c r="AV357" s="50">
        <v>46215.513888888891</v>
      </c>
      <c r="AW357" s="50">
        <v>46215.568055555559</v>
      </c>
      <c r="AX357" s="50">
        <v>46215.636805555558</v>
      </c>
      <c r="AY357" s="50">
        <v>46215.76458333333</v>
      </c>
      <c r="AZ357" s="50">
        <v>46215.877083333333</v>
      </c>
      <c r="BA357" s="51">
        <v>46216.299305555556</v>
      </c>
      <c r="BB357" s="51">
        <v>46216.336805555555</v>
      </c>
      <c r="BC357" s="50">
        <v>46216.36041666667</v>
      </c>
      <c r="BE357" s="51">
        <v>46216.402777777781</v>
      </c>
      <c r="BF357" s="51"/>
      <c r="BG357" s="51">
        <v>46216.873611111114</v>
      </c>
      <c r="BH357" s="51">
        <v>46216.897916666669</v>
      </c>
      <c r="BI357" s="30" t="s">
        <v>64</v>
      </c>
      <c r="BJ357" s="50">
        <v>46216.458333333336</v>
      </c>
      <c r="BK357" s="50">
        <v>46217.4</v>
      </c>
      <c r="BL357" s="50">
        <v>44026.412499999999</v>
      </c>
      <c r="BM357" s="50">
        <v>46217.420138888891</v>
      </c>
      <c r="BN357" s="50">
        <v>46217.433333333334</v>
      </c>
    </row>
    <row r="358" spans="1:66">
      <c r="A358" t="s">
        <v>168</v>
      </c>
      <c r="B358" s="30">
        <v>8</v>
      </c>
      <c r="C358" s="30">
        <v>29</v>
      </c>
      <c r="D358" s="30" t="s">
        <v>169</v>
      </c>
      <c r="E358" s="30" t="s">
        <v>170</v>
      </c>
      <c r="F358" s="48">
        <v>46218</v>
      </c>
      <c r="G358" s="48">
        <v>46219</v>
      </c>
      <c r="H358" s="49"/>
      <c r="I358" s="49">
        <v>0.33333333333333331</v>
      </c>
      <c r="J358" s="30" t="s">
        <v>53</v>
      </c>
      <c r="K358" s="30" t="s">
        <v>171</v>
      </c>
      <c r="L358" s="30">
        <v>1</v>
      </c>
      <c r="M358" s="30" t="s">
        <v>1546</v>
      </c>
      <c r="P358" s="30" t="s">
        <v>174</v>
      </c>
      <c r="Q358" s="30" t="s">
        <v>83</v>
      </c>
      <c r="T358" s="30">
        <v>6508150050</v>
      </c>
      <c r="U358" s="30" t="s">
        <v>1547</v>
      </c>
      <c r="V358" s="30" t="s">
        <v>1548</v>
      </c>
      <c r="W358" s="30" t="s">
        <v>1549</v>
      </c>
      <c r="Y358"/>
      <c r="Z358" s="30" t="s">
        <v>180</v>
      </c>
      <c r="AA358" s="30" t="s">
        <v>181</v>
      </c>
      <c r="AB358" s="30" t="s">
        <v>1491</v>
      </c>
      <c r="AC358" s="30" t="s">
        <v>92</v>
      </c>
      <c r="AD358" s="30" t="s">
        <v>1550</v>
      </c>
      <c r="AE358" s="30">
        <v>20604847142</v>
      </c>
      <c r="AF358" s="30" t="s">
        <v>1551</v>
      </c>
      <c r="AG358" s="30" t="s">
        <v>1552</v>
      </c>
      <c r="AH358" s="30" t="s">
        <v>185</v>
      </c>
      <c r="AI358" s="30" t="s">
        <v>1553</v>
      </c>
      <c r="AJ358" s="30" t="s">
        <v>1554</v>
      </c>
      <c r="AK358" s="30" t="s">
        <v>2252</v>
      </c>
      <c r="AL358" s="30" t="s">
        <v>483</v>
      </c>
      <c r="AM358" t="s">
        <v>270</v>
      </c>
      <c r="AN358" s="30" t="s">
        <v>270</v>
      </c>
      <c r="AO358" s="30" t="s">
        <v>483</v>
      </c>
      <c r="AP358" s="30" t="s">
        <v>483</v>
      </c>
      <c r="AQ358" s="30" t="s">
        <v>483</v>
      </c>
      <c r="AR358" s="30" t="s">
        <v>483</v>
      </c>
      <c r="AS358" s="30" t="s">
        <v>83</v>
      </c>
      <c r="AT358" s="30" t="s">
        <v>240</v>
      </c>
      <c r="AU358" s="50">
        <v>46218.666666666664</v>
      </c>
      <c r="AV358" s="50">
        <v>46218.84375</v>
      </c>
      <c r="AW358" s="50">
        <v>46218.854166666664</v>
      </c>
      <c r="AX358" s="50">
        <v>46218.870138888888</v>
      </c>
      <c r="AY358" s="50">
        <v>46218.92291666667</v>
      </c>
      <c r="AZ358" s="50">
        <v>46218.94027777778</v>
      </c>
      <c r="BA358" s="51">
        <v>46219.425694444442</v>
      </c>
      <c r="BB358" s="51">
        <v>46219.426388888889</v>
      </c>
      <c r="BC358" s="50">
        <v>46219.427083333336</v>
      </c>
      <c r="BE358" s="51">
        <v>46219.465277777781</v>
      </c>
      <c r="BF358" s="51"/>
      <c r="BG358" s="51">
        <v>46219.675000000003</v>
      </c>
      <c r="BH358" s="51">
        <v>46219.702777777777</v>
      </c>
      <c r="BI358" s="30" t="s">
        <v>240</v>
      </c>
      <c r="BJ358" s="50"/>
      <c r="BK358" s="50">
        <v>39280.268750000003</v>
      </c>
      <c r="BL358" s="50">
        <v>46220.284722222219</v>
      </c>
      <c r="BM358" s="50">
        <v>46220.291666666664</v>
      </c>
      <c r="BN358" s="50">
        <v>46220.29791666667</v>
      </c>
    </row>
    <row r="359" spans="1:66">
      <c r="A359" t="s">
        <v>168</v>
      </c>
      <c r="B359" s="30">
        <v>9</v>
      </c>
      <c r="C359" s="30">
        <v>29</v>
      </c>
      <c r="D359" s="30" t="s">
        <v>169</v>
      </c>
      <c r="E359" s="30" t="s">
        <v>170</v>
      </c>
      <c r="F359" s="48">
        <v>46218</v>
      </c>
      <c r="G359" s="48">
        <v>46219</v>
      </c>
      <c r="H359" s="49"/>
      <c r="I359" s="49">
        <v>0.33333333333333331</v>
      </c>
      <c r="J359" s="30" t="s">
        <v>53</v>
      </c>
      <c r="K359" s="30" t="s">
        <v>171</v>
      </c>
      <c r="L359" s="30">
        <v>1</v>
      </c>
      <c r="M359" s="30" t="s">
        <v>1555</v>
      </c>
      <c r="P359" s="30" t="s">
        <v>174</v>
      </c>
      <c r="Q359" s="30" t="s">
        <v>83</v>
      </c>
      <c r="T359" s="30">
        <v>6508149950</v>
      </c>
      <c r="U359" s="30" t="s">
        <v>1556</v>
      </c>
      <c r="V359" s="30" t="s">
        <v>1557</v>
      </c>
      <c r="W359" s="30" t="s">
        <v>1558</v>
      </c>
      <c r="Y359"/>
      <c r="Z359" s="30" t="s">
        <v>180</v>
      </c>
      <c r="AA359" s="30" t="s">
        <v>181</v>
      </c>
      <c r="AB359" s="30" t="s">
        <v>1491</v>
      </c>
      <c r="AC359" s="30" t="s">
        <v>92</v>
      </c>
      <c r="AD359" s="30" t="s">
        <v>1550</v>
      </c>
      <c r="AE359" s="30">
        <v>20604847142</v>
      </c>
      <c r="AF359" s="30" t="s">
        <v>1559</v>
      </c>
      <c r="AG359" s="30" t="s">
        <v>1560</v>
      </c>
      <c r="AH359" s="30" t="s">
        <v>185</v>
      </c>
      <c r="AI359" s="30" t="s">
        <v>1801</v>
      </c>
      <c r="AJ359" s="30" t="s">
        <v>1561</v>
      </c>
      <c r="AK359" s="30" t="s">
        <v>2252</v>
      </c>
      <c r="AL359" s="30" t="s">
        <v>483</v>
      </c>
      <c r="AM359" t="s">
        <v>270</v>
      </c>
      <c r="AN359" s="30" t="s">
        <v>270</v>
      </c>
      <c r="AO359" s="30" t="s">
        <v>483</v>
      </c>
      <c r="AP359" s="30" t="s">
        <v>483</v>
      </c>
      <c r="AQ359" s="30" t="s">
        <v>483</v>
      </c>
      <c r="AR359" s="30" t="s">
        <v>483</v>
      </c>
      <c r="AS359" s="30" t="s">
        <v>83</v>
      </c>
      <c r="AT359" s="30" t="s">
        <v>240</v>
      </c>
      <c r="AU359" s="50">
        <v>46218.666666666664</v>
      </c>
      <c r="AV359" s="50">
        <v>46218.765972222223</v>
      </c>
      <c r="AW359" s="50">
        <v>46218.774305555555</v>
      </c>
      <c r="AX359" s="50">
        <v>46218.787499999999</v>
      </c>
      <c r="AY359" s="50">
        <v>46218.856944444444</v>
      </c>
      <c r="AZ359" s="50">
        <v>46218.87222222222</v>
      </c>
      <c r="BA359" s="51">
        <v>46219.480555555558</v>
      </c>
      <c r="BB359" s="51">
        <v>46219.493055555555</v>
      </c>
      <c r="BC359" s="50">
        <v>46219.510416666664</v>
      </c>
      <c r="BE359" s="51">
        <v>46219.552083333336</v>
      </c>
      <c r="BF359" s="51"/>
      <c r="BG359" s="51">
        <v>46219.673611111109</v>
      </c>
      <c r="BH359" s="51">
        <v>46219.70208333333</v>
      </c>
      <c r="BI359" s="30" t="s">
        <v>240</v>
      </c>
      <c r="BJ359" s="50"/>
      <c r="BK359" s="50">
        <v>46220.263194444444</v>
      </c>
      <c r="BL359" s="50">
        <v>46220.286111111112</v>
      </c>
      <c r="BM359" s="50">
        <v>46220.290277777778</v>
      </c>
      <c r="BN359" s="50">
        <v>46220.295138888891</v>
      </c>
    </row>
    <row r="360" spans="1:66">
      <c r="A360" t="s">
        <v>168</v>
      </c>
      <c r="B360" s="30">
        <v>10</v>
      </c>
      <c r="C360" s="30">
        <v>29</v>
      </c>
      <c r="D360" s="30" t="s">
        <v>169</v>
      </c>
      <c r="E360" s="30" t="s">
        <v>170</v>
      </c>
      <c r="F360" s="48">
        <v>46218</v>
      </c>
      <c r="G360" s="48">
        <v>46219</v>
      </c>
      <c r="H360" s="49"/>
      <c r="I360" s="49">
        <v>0.5</v>
      </c>
      <c r="J360" s="30" t="s">
        <v>53</v>
      </c>
      <c r="K360" s="30" t="s">
        <v>171</v>
      </c>
      <c r="L360" s="30">
        <v>1</v>
      </c>
      <c r="M360" s="30" t="s">
        <v>1562</v>
      </c>
      <c r="P360" s="30" t="s">
        <v>174</v>
      </c>
      <c r="Q360" s="30" t="s">
        <v>83</v>
      </c>
      <c r="T360" s="30">
        <v>6508149930</v>
      </c>
      <c r="U360" s="30" t="s">
        <v>1563</v>
      </c>
      <c r="V360" s="30" t="s">
        <v>1564</v>
      </c>
      <c r="W360" s="30" t="s">
        <v>1565</v>
      </c>
      <c r="Y360"/>
      <c r="Z360" s="30" t="s">
        <v>180</v>
      </c>
      <c r="AA360" s="30" t="s">
        <v>181</v>
      </c>
      <c r="AB360" s="30" t="s">
        <v>1491</v>
      </c>
      <c r="AC360" s="30" t="s">
        <v>92</v>
      </c>
      <c r="AD360" s="30" t="s">
        <v>1566</v>
      </c>
      <c r="AE360" s="30">
        <v>20606818930</v>
      </c>
      <c r="AF360" s="30" t="s">
        <v>1567</v>
      </c>
      <c r="AG360" s="30" t="s">
        <v>1568</v>
      </c>
      <c r="AH360" s="30" t="s">
        <v>185</v>
      </c>
      <c r="AI360" s="30" t="s">
        <v>1802</v>
      </c>
      <c r="AJ360" s="30" t="s">
        <v>1569</v>
      </c>
      <c r="AK360" s="30" t="s">
        <v>2252</v>
      </c>
      <c r="AL360" s="30" t="s">
        <v>483</v>
      </c>
      <c r="AM360" t="s">
        <v>270</v>
      </c>
      <c r="AN360" s="30" t="s">
        <v>270</v>
      </c>
      <c r="AO360" s="30" t="s">
        <v>483</v>
      </c>
      <c r="AP360" s="30" t="s">
        <v>483</v>
      </c>
      <c r="AQ360" s="30" t="s">
        <v>483</v>
      </c>
      <c r="AR360" s="30" t="s">
        <v>483</v>
      </c>
      <c r="AS360" s="30" t="s">
        <v>83</v>
      </c>
      <c r="AT360" s="30" t="s">
        <v>240</v>
      </c>
      <c r="AU360" s="50">
        <v>46218.666666666664</v>
      </c>
      <c r="AV360" s="50">
        <v>46218.925694444442</v>
      </c>
      <c r="AW360" s="50">
        <v>46218.947916666664</v>
      </c>
      <c r="AX360" s="50">
        <v>46218.95208333333</v>
      </c>
      <c r="AY360" s="50">
        <v>46218.96875</v>
      </c>
      <c r="AZ360" s="50">
        <v>46219.027777777781</v>
      </c>
      <c r="BA360" s="51">
        <v>46219.600694444445</v>
      </c>
      <c r="BB360" s="51">
        <v>46219.637499999997</v>
      </c>
      <c r="BC360" s="50">
        <v>46219.643750000003</v>
      </c>
      <c r="BE360" s="51">
        <v>46219.680555555555</v>
      </c>
      <c r="BF360" s="51"/>
      <c r="BG360" s="51">
        <v>46219.739583333336</v>
      </c>
      <c r="BH360" s="51">
        <v>46219.761111111111</v>
      </c>
      <c r="BI360" s="30" t="s">
        <v>240</v>
      </c>
      <c r="BJ360" s="50"/>
      <c r="BK360" s="50">
        <v>46220.393750000003</v>
      </c>
      <c r="BL360" s="50">
        <v>46220.411805555559</v>
      </c>
      <c r="BM360" s="50">
        <v>46220.417361111111</v>
      </c>
      <c r="BN360" s="50">
        <v>46220.42291666667</v>
      </c>
    </row>
    <row r="361" spans="1:66">
      <c r="A361" t="s">
        <v>168</v>
      </c>
      <c r="B361" s="30">
        <v>11</v>
      </c>
      <c r="C361" s="30">
        <v>29</v>
      </c>
      <c r="D361" s="30" t="s">
        <v>169</v>
      </c>
      <c r="E361" s="30" t="s">
        <v>170</v>
      </c>
      <c r="F361" s="48">
        <v>46221</v>
      </c>
      <c r="G361" s="48">
        <v>46222</v>
      </c>
      <c r="H361" s="49"/>
      <c r="I361" s="49">
        <v>0.33333333333333331</v>
      </c>
      <c r="J361" s="30" t="s">
        <v>53</v>
      </c>
      <c r="K361" s="30" t="s">
        <v>171</v>
      </c>
      <c r="L361" s="30">
        <v>1</v>
      </c>
      <c r="M361" s="30" t="s">
        <v>1570</v>
      </c>
      <c r="P361" s="30" t="s">
        <v>174</v>
      </c>
      <c r="Q361" s="30" t="s">
        <v>84</v>
      </c>
      <c r="T361" s="30">
        <v>751600040135</v>
      </c>
      <c r="U361" s="30" t="s">
        <v>1571</v>
      </c>
      <c r="V361" s="30" t="s">
        <v>1572</v>
      </c>
      <c r="W361" s="30" t="s">
        <v>1508</v>
      </c>
      <c r="Y361"/>
      <c r="Z361" s="30" t="s">
        <v>180</v>
      </c>
      <c r="AA361" s="30" t="s">
        <v>181</v>
      </c>
      <c r="AB361" s="30" t="s">
        <v>1491</v>
      </c>
      <c r="AC361" s="30" t="s">
        <v>56</v>
      </c>
      <c r="AD361" s="30" t="s">
        <v>1499</v>
      </c>
      <c r="AE361" s="30">
        <v>20107012011</v>
      </c>
      <c r="AF361" s="30" t="s">
        <v>1535</v>
      </c>
      <c r="AG361" s="30" t="s">
        <v>1536</v>
      </c>
      <c r="AH361" s="30" t="s">
        <v>185</v>
      </c>
      <c r="AI361" s="30" t="s">
        <v>1537</v>
      </c>
      <c r="AJ361" s="30" t="s">
        <v>1538</v>
      </c>
      <c r="AK361" s="30" t="s">
        <v>2252</v>
      </c>
      <c r="AL361" s="30" t="s">
        <v>483</v>
      </c>
      <c r="AM361" t="s">
        <v>270</v>
      </c>
      <c r="AN361" s="30" t="s">
        <v>270</v>
      </c>
      <c r="AO361" s="30" t="s">
        <v>483</v>
      </c>
      <c r="AP361" s="30" t="s">
        <v>483</v>
      </c>
      <c r="AQ361" s="30" t="s">
        <v>483</v>
      </c>
      <c r="AR361" s="30" t="s">
        <v>483</v>
      </c>
      <c r="AS361" s="30" t="s">
        <v>84</v>
      </c>
      <c r="AT361" s="30" t="s">
        <v>277</v>
      </c>
      <c r="AU361" s="50">
        <v>46221.625</v>
      </c>
      <c r="AV361" s="50">
        <v>46221.815972222219</v>
      </c>
      <c r="AW361" s="50">
        <v>46221.897916666669</v>
      </c>
      <c r="AX361" s="50">
        <v>46221.925000000003</v>
      </c>
      <c r="AY361" s="50">
        <v>46222.015277777777</v>
      </c>
      <c r="AZ361" s="50">
        <v>46222.069444444445</v>
      </c>
      <c r="BA361" s="51">
        <v>46222.451388888891</v>
      </c>
      <c r="BB361" s="51">
        <v>46222.524305555555</v>
      </c>
      <c r="BC361" s="50">
        <v>46222.534722222219</v>
      </c>
      <c r="BE361" s="51">
        <v>46222.572916666664</v>
      </c>
      <c r="BF361" s="51"/>
      <c r="BG361" s="51">
        <v>46222.672222222223</v>
      </c>
      <c r="BH361" s="51">
        <v>46222.695138888892</v>
      </c>
      <c r="BI361" s="30" t="s">
        <v>64</v>
      </c>
      <c r="BJ361" s="50">
        <v>46223.333333333336</v>
      </c>
      <c r="BK361" s="50">
        <v>46223.257638888892</v>
      </c>
      <c r="BL361" s="50">
        <v>46223.284722222219</v>
      </c>
      <c r="BM361" s="50">
        <v>46223.322916666664</v>
      </c>
      <c r="BN361" s="50">
        <v>46223.333333333336</v>
      </c>
    </row>
    <row r="362" spans="1:66">
      <c r="A362" t="s">
        <v>168</v>
      </c>
      <c r="B362" s="30">
        <v>12</v>
      </c>
      <c r="C362" s="30">
        <v>29</v>
      </c>
      <c r="D362" s="30" t="s">
        <v>169</v>
      </c>
      <c r="E362" s="30" t="s">
        <v>170</v>
      </c>
      <c r="F362" s="48">
        <v>46221</v>
      </c>
      <c r="G362" s="48">
        <v>46222</v>
      </c>
      <c r="H362" s="49"/>
      <c r="I362" s="49">
        <v>0.33333333333333331</v>
      </c>
      <c r="J362" s="30" t="s">
        <v>53</v>
      </c>
      <c r="K362" s="30" t="s">
        <v>171</v>
      </c>
      <c r="L362" s="30">
        <v>1</v>
      </c>
      <c r="M362" s="30" t="s">
        <v>1573</v>
      </c>
      <c r="P362" s="30" t="s">
        <v>174</v>
      </c>
      <c r="Q362" s="30" t="s">
        <v>84</v>
      </c>
      <c r="T362" s="30">
        <v>751600040143</v>
      </c>
      <c r="U362" s="30" t="s">
        <v>1574</v>
      </c>
      <c r="V362" s="30" t="s">
        <v>1575</v>
      </c>
      <c r="W362" s="30" t="s">
        <v>1508</v>
      </c>
      <c r="Y362"/>
      <c r="Z362" s="30" t="s">
        <v>180</v>
      </c>
      <c r="AA362" s="30" t="s">
        <v>181</v>
      </c>
      <c r="AB362" s="30" t="s">
        <v>1491</v>
      </c>
      <c r="AC362" s="30" t="s">
        <v>56</v>
      </c>
      <c r="AD362" s="30" t="s">
        <v>1499</v>
      </c>
      <c r="AE362" s="30">
        <v>20107012011</v>
      </c>
      <c r="AF362" s="30" t="s">
        <v>1576</v>
      </c>
      <c r="AG362" s="30" t="s">
        <v>1577</v>
      </c>
      <c r="AH362" s="30" t="s">
        <v>185</v>
      </c>
      <c r="AI362" s="30" t="s">
        <v>1578</v>
      </c>
      <c r="AJ362" s="30" t="s">
        <v>1579</v>
      </c>
      <c r="AK362" s="30" t="s">
        <v>2252</v>
      </c>
      <c r="AL362" s="30" t="s">
        <v>483</v>
      </c>
      <c r="AM362" t="s">
        <v>270</v>
      </c>
      <c r="AN362" s="30" t="s">
        <v>270</v>
      </c>
      <c r="AO362" s="30" t="s">
        <v>483</v>
      </c>
      <c r="AP362" s="30" t="s">
        <v>483</v>
      </c>
      <c r="AQ362" s="30" t="s">
        <v>483</v>
      </c>
      <c r="AR362" s="30" t="s">
        <v>483</v>
      </c>
      <c r="AS362" s="30" t="s">
        <v>84</v>
      </c>
      <c r="AT362" s="30" t="s">
        <v>277</v>
      </c>
      <c r="AU362" s="50">
        <v>46221.625</v>
      </c>
      <c r="AV362" s="50">
        <v>46221.673611111109</v>
      </c>
      <c r="AW362" s="50">
        <v>46221.791666666664</v>
      </c>
      <c r="AX362" s="50">
        <v>46221.853472222225</v>
      </c>
      <c r="AY362" s="50">
        <v>46221.907638888886</v>
      </c>
      <c r="AZ362" s="50">
        <v>46222.020833333336</v>
      </c>
      <c r="BA362" s="51">
        <v>46222.455555555556</v>
      </c>
      <c r="BB362" s="51">
        <v>46222.510416666664</v>
      </c>
      <c r="BC362" s="50">
        <v>46222.531944444447</v>
      </c>
      <c r="BE362" s="51">
        <v>46222.576388888891</v>
      </c>
      <c r="BF362" s="51"/>
      <c r="BG362" s="51">
        <v>46222.673611111109</v>
      </c>
      <c r="BH362" s="51">
        <v>46222.697916666664</v>
      </c>
      <c r="BI362" s="30" t="s">
        <v>64</v>
      </c>
      <c r="BJ362" s="50">
        <v>46223.291666666664</v>
      </c>
      <c r="BK362" s="50">
        <v>46223.209722222222</v>
      </c>
      <c r="BL362" s="50">
        <v>46223.229166666664</v>
      </c>
      <c r="BM362" s="50">
        <v>46223.237500000003</v>
      </c>
      <c r="BN362" s="50">
        <v>46223.244444444441</v>
      </c>
    </row>
    <row r="363" spans="1:66">
      <c r="A363" t="s">
        <v>168</v>
      </c>
      <c r="B363" s="30">
        <v>13</v>
      </c>
      <c r="C363" s="30">
        <v>30</v>
      </c>
      <c r="D363" s="30" t="s">
        <v>169</v>
      </c>
      <c r="E363" s="30" t="s">
        <v>170</v>
      </c>
      <c r="F363" s="48">
        <v>46225</v>
      </c>
      <c r="G363" s="48">
        <v>46226</v>
      </c>
      <c r="H363" s="49"/>
      <c r="I363" s="49">
        <v>0.33333333333333331</v>
      </c>
      <c r="J363" s="30" t="s">
        <v>53</v>
      </c>
      <c r="K363" s="30" t="s">
        <v>171</v>
      </c>
      <c r="L363" s="30">
        <v>1</v>
      </c>
      <c r="M363" s="30" t="s">
        <v>1580</v>
      </c>
      <c r="P363" s="30" t="s">
        <v>174</v>
      </c>
      <c r="Q363" s="30" t="s">
        <v>84</v>
      </c>
      <c r="T363" s="30">
        <v>274512926</v>
      </c>
      <c r="U363" s="30" t="s">
        <v>1581</v>
      </c>
      <c r="V363" s="30">
        <v>4707262</v>
      </c>
      <c r="W363" s="30" t="s">
        <v>1582</v>
      </c>
      <c r="Y363"/>
      <c r="Z363" s="30" t="s">
        <v>180</v>
      </c>
      <c r="AA363" s="30" t="s">
        <v>181</v>
      </c>
      <c r="AB363" s="30" t="s">
        <v>1491</v>
      </c>
      <c r="AC363" s="30" t="s">
        <v>56</v>
      </c>
      <c r="AD363" s="30" t="s">
        <v>1499</v>
      </c>
      <c r="AE363" s="30">
        <v>20107012011</v>
      </c>
      <c r="AF363" s="30" t="s">
        <v>1583</v>
      </c>
      <c r="AG363" s="30" t="s">
        <v>1584</v>
      </c>
      <c r="AH363" s="30" t="s">
        <v>185</v>
      </c>
      <c r="AI363" s="30" t="s">
        <v>1585</v>
      </c>
      <c r="AJ363" s="30" t="s">
        <v>1586</v>
      </c>
      <c r="AK363" s="30" t="s">
        <v>2252</v>
      </c>
      <c r="AL363" s="30" t="s">
        <v>483</v>
      </c>
      <c r="AM363" t="s">
        <v>270</v>
      </c>
      <c r="AN363" s="30" t="s">
        <v>270</v>
      </c>
      <c r="AO363" s="30" t="s">
        <v>483</v>
      </c>
      <c r="AP363" s="30" t="s">
        <v>483</v>
      </c>
      <c r="AQ363" s="30" t="s">
        <v>483</v>
      </c>
      <c r="AR363" s="30" t="s">
        <v>483</v>
      </c>
      <c r="AS363" s="30" t="s">
        <v>84</v>
      </c>
      <c r="AT363" s="30" t="s">
        <v>1504</v>
      </c>
      <c r="AU363" s="50">
        <v>46225.583333333336</v>
      </c>
      <c r="AV363" s="50">
        <v>46225.576388888891</v>
      </c>
      <c r="AW363" s="50">
        <v>46225.584027777775</v>
      </c>
      <c r="AY363" s="50">
        <v>46225.652777777781</v>
      </c>
      <c r="AZ363" s="50">
        <v>46225.715277777781</v>
      </c>
      <c r="BA363" s="51">
        <v>46226.263194444444</v>
      </c>
      <c r="BB363" s="51">
        <v>46226.338888888888</v>
      </c>
      <c r="BC363" s="50">
        <v>46226.347222222219</v>
      </c>
      <c r="BE363" s="51">
        <v>46226.387499999997</v>
      </c>
      <c r="BF363" s="51"/>
      <c r="BG363" s="51">
        <v>46226.520833333336</v>
      </c>
      <c r="BH363" s="51">
        <v>46226.554166666669</v>
      </c>
      <c r="BI363" s="30" t="s">
        <v>787</v>
      </c>
      <c r="BJ363" s="50">
        <v>46227.041666666664</v>
      </c>
      <c r="BK363" s="50">
        <v>46227.043055555558</v>
      </c>
      <c r="BL363" s="50">
        <v>46227.145833333336</v>
      </c>
      <c r="BM363" s="50">
        <v>46227.15625</v>
      </c>
      <c r="BN363" s="50">
        <v>46227.169444444444</v>
      </c>
    </row>
    <row r="364" spans="1:66">
      <c r="A364" t="s">
        <v>168</v>
      </c>
      <c r="B364" s="30">
        <v>14</v>
      </c>
      <c r="C364" s="30">
        <v>30</v>
      </c>
      <c r="D364" s="30" t="s">
        <v>169</v>
      </c>
      <c r="E364" s="30" t="s">
        <v>170</v>
      </c>
      <c r="F364" s="48">
        <v>46228</v>
      </c>
      <c r="G364" s="48">
        <v>46229</v>
      </c>
      <c r="H364" s="49"/>
      <c r="I364" s="49">
        <v>0.33333333333333331</v>
      </c>
      <c r="J364" s="30" t="s">
        <v>53</v>
      </c>
      <c r="K364" s="30" t="s">
        <v>171</v>
      </c>
      <c r="L364" s="30">
        <v>1</v>
      </c>
      <c r="M364" s="30" t="s">
        <v>1587</v>
      </c>
      <c r="P364" s="30" t="s">
        <v>174</v>
      </c>
      <c r="Q364" s="30" t="s">
        <v>84</v>
      </c>
      <c r="T364" s="30">
        <v>751600040780</v>
      </c>
      <c r="U364" s="30" t="s">
        <v>1588</v>
      </c>
      <c r="V364" s="30">
        <v>799040</v>
      </c>
      <c r="W364" s="30" t="s">
        <v>1508</v>
      </c>
      <c r="Y364"/>
      <c r="Z364" s="30" t="s">
        <v>180</v>
      </c>
      <c r="AA364" s="30" t="s">
        <v>181</v>
      </c>
      <c r="AB364" s="30" t="s">
        <v>1491</v>
      </c>
      <c r="AC364" s="30" t="s">
        <v>56</v>
      </c>
      <c r="AD364" s="30" t="s">
        <v>1499</v>
      </c>
      <c r="AE364" s="30">
        <v>20107012011</v>
      </c>
      <c r="AF364" s="30" t="s">
        <v>1583</v>
      </c>
      <c r="AG364" s="30" t="s">
        <v>1589</v>
      </c>
      <c r="AH364" s="30" t="s">
        <v>185</v>
      </c>
      <c r="AI364" s="30" t="s">
        <v>1590</v>
      </c>
      <c r="AJ364" s="30" t="s">
        <v>1591</v>
      </c>
      <c r="AK364" s="30" t="s">
        <v>2252</v>
      </c>
      <c r="AL364" s="30" t="s">
        <v>483</v>
      </c>
      <c r="AM364" t="s">
        <v>270</v>
      </c>
      <c r="AN364" s="30" t="s">
        <v>270</v>
      </c>
      <c r="AO364" s="30" t="s">
        <v>483</v>
      </c>
      <c r="AP364" s="30" t="s">
        <v>483</v>
      </c>
      <c r="AQ364" s="30" t="s">
        <v>483</v>
      </c>
      <c r="AR364" s="30" t="s">
        <v>483</v>
      </c>
      <c r="AS364" s="30" t="s">
        <v>84</v>
      </c>
      <c r="AT364" s="30" t="s">
        <v>64</v>
      </c>
      <c r="AU364" s="50">
        <v>46228.666666666664</v>
      </c>
      <c r="AV364" s="50">
        <v>46228.65347222222</v>
      </c>
      <c r="AW364" s="50">
        <v>46228.657638888886</v>
      </c>
      <c r="AX364" s="50">
        <v>46228.668055555558</v>
      </c>
      <c r="AY364" s="50">
        <v>46228.706944444442</v>
      </c>
      <c r="AZ364" s="50">
        <v>46228.840277777781</v>
      </c>
      <c r="BA364" s="51">
        <v>46229.354861111111</v>
      </c>
      <c r="BB364" s="51">
        <v>46229.413194444445</v>
      </c>
      <c r="BC364" s="50">
        <v>46229.448611111111</v>
      </c>
      <c r="BE364" s="51">
        <v>46229.493055555555</v>
      </c>
      <c r="BF364" s="51"/>
      <c r="BG364" s="51">
        <v>46229.777777777781</v>
      </c>
      <c r="BH364" s="51">
        <v>46229.803472222222</v>
      </c>
      <c r="BI364" s="30" t="s">
        <v>64</v>
      </c>
      <c r="BJ364" s="50">
        <v>46230.416666666664</v>
      </c>
      <c r="BK364" s="50">
        <v>46230.345138888886</v>
      </c>
      <c r="BL364" s="50">
        <v>46230.510416666664</v>
      </c>
      <c r="BM364" s="50">
        <v>46230.515972222223</v>
      </c>
      <c r="BN364" s="50">
        <v>46230.529166666667</v>
      </c>
    </row>
    <row r="365" spans="1:66">
      <c r="A365" t="s">
        <v>168</v>
      </c>
      <c r="B365" s="30">
        <v>15</v>
      </c>
      <c r="C365" s="30">
        <v>31</v>
      </c>
      <c r="D365" s="30" t="s">
        <v>169</v>
      </c>
      <c r="E365" s="30" t="s">
        <v>170</v>
      </c>
      <c r="F365" s="48">
        <v>46232</v>
      </c>
      <c r="G365" s="48">
        <v>46233</v>
      </c>
      <c r="H365" s="49">
        <v>0.69444444444444442</v>
      </c>
      <c r="I365" s="49">
        <v>0.41666666666666669</v>
      </c>
      <c r="J365" s="30" t="s">
        <v>53</v>
      </c>
      <c r="K365" s="30" t="s">
        <v>171</v>
      </c>
      <c r="L365" s="30">
        <v>1</v>
      </c>
      <c r="M365" s="30" t="s">
        <v>1592</v>
      </c>
      <c r="P365" s="30" t="s">
        <v>174</v>
      </c>
      <c r="Q365" s="30" t="s">
        <v>84</v>
      </c>
      <c r="R365" s="30" t="s">
        <v>1613</v>
      </c>
      <c r="S365" s="30" t="s">
        <v>1498</v>
      </c>
      <c r="T365" s="30">
        <v>274926136</v>
      </c>
      <c r="U365" s="30" t="s">
        <v>1593</v>
      </c>
      <c r="V365" s="30" t="s">
        <v>1594</v>
      </c>
      <c r="W365" s="30" t="s">
        <v>1595</v>
      </c>
      <c r="X365" s="30" t="s">
        <v>179</v>
      </c>
      <c r="Y365" t="s">
        <v>180</v>
      </c>
      <c r="Z365" s="30" t="s">
        <v>180</v>
      </c>
      <c r="AA365" s="30" t="s">
        <v>181</v>
      </c>
      <c r="AB365" s="30" t="s">
        <v>1491</v>
      </c>
      <c r="AC365" s="30" t="s">
        <v>56</v>
      </c>
      <c r="AD365" s="30" t="s">
        <v>1499</v>
      </c>
      <c r="AE365" s="30">
        <v>20107012011</v>
      </c>
      <c r="AF365" s="30" t="s">
        <v>1596</v>
      </c>
      <c r="AG365" s="30" t="s">
        <v>1597</v>
      </c>
      <c r="AH365" s="30" t="s">
        <v>185</v>
      </c>
      <c r="AI365" s="30" t="s">
        <v>1803</v>
      </c>
      <c r="AJ365" s="30" t="s">
        <v>1598</v>
      </c>
      <c r="AK365" s="30" t="s">
        <v>2252</v>
      </c>
      <c r="AL365" s="30" t="s">
        <v>483</v>
      </c>
      <c r="AM365" t="s">
        <v>270</v>
      </c>
      <c r="AN365" s="30" t="s">
        <v>270</v>
      </c>
      <c r="AO365" s="30" t="s">
        <v>483</v>
      </c>
      <c r="AP365" s="30" t="s">
        <v>483</v>
      </c>
      <c r="AQ365" s="30" t="s">
        <v>483</v>
      </c>
      <c r="AR365" s="30" t="s">
        <v>483</v>
      </c>
      <c r="AS365" s="30" t="s">
        <v>84</v>
      </c>
      <c r="AT365" s="30" t="s">
        <v>1504</v>
      </c>
      <c r="AU365" s="50">
        <v>46232.583333333336</v>
      </c>
      <c r="AV365" s="50">
        <v>46232.879861111112</v>
      </c>
      <c r="AW365" s="50">
        <v>46232.993055555555</v>
      </c>
      <c r="AX365" s="50">
        <v>46233.008333333331</v>
      </c>
      <c r="AY365" s="50">
        <v>46233.035416666666</v>
      </c>
      <c r="AZ365" s="50">
        <v>46233.050694444442</v>
      </c>
      <c r="BA365" s="51">
        <v>46233.565972222219</v>
      </c>
      <c r="BB365" s="51">
        <v>46233.597222222219</v>
      </c>
      <c r="BC365" s="50">
        <v>46233.675000000003</v>
      </c>
      <c r="BD365" s="50">
        <v>46233.684027777781</v>
      </c>
      <c r="BE365" s="51">
        <v>46233.694444444445</v>
      </c>
      <c r="BF365" s="51">
        <v>46233.717361111114</v>
      </c>
      <c r="BG365" s="51">
        <v>46233.739583333336</v>
      </c>
      <c r="BH365" s="51">
        <v>46233.75277777778</v>
      </c>
      <c r="BI365" s="30" t="s">
        <v>787</v>
      </c>
      <c r="BJ365" s="50">
        <v>46234.416666666664</v>
      </c>
      <c r="BK365" s="50">
        <v>46234.3125</v>
      </c>
      <c r="BL365" s="50">
        <v>46234.392361111109</v>
      </c>
      <c r="BM365" s="50">
        <v>46234.408333333333</v>
      </c>
      <c r="BN365" s="50">
        <v>46234.417361111111</v>
      </c>
    </row>
    <row r="366" spans="1:66">
      <c r="A366" t="s">
        <v>168</v>
      </c>
      <c r="B366" s="30">
        <v>16</v>
      </c>
      <c r="C366" s="30">
        <v>31</v>
      </c>
      <c r="D366" s="30" t="s">
        <v>169</v>
      </c>
      <c r="E366" s="30" t="s">
        <v>170</v>
      </c>
      <c r="F366" s="48">
        <v>46235</v>
      </c>
      <c r="G366" s="48">
        <v>46236</v>
      </c>
      <c r="H366" s="49">
        <v>0.52638888888888891</v>
      </c>
      <c r="I366" s="49">
        <v>0.41666666666666669</v>
      </c>
      <c r="J366" s="30" t="s">
        <v>53</v>
      </c>
      <c r="K366" s="30" t="s">
        <v>171</v>
      </c>
      <c r="L366" s="30">
        <v>1</v>
      </c>
      <c r="M366" s="30" t="s">
        <v>1599</v>
      </c>
      <c r="P366" s="30" t="s">
        <v>174</v>
      </c>
      <c r="Q366" s="30" t="s">
        <v>84</v>
      </c>
      <c r="R366" s="30" t="s">
        <v>939</v>
      </c>
      <c r="S366" s="30" t="s">
        <v>1628</v>
      </c>
      <c r="T366" s="30">
        <v>6509439020</v>
      </c>
      <c r="U366" s="30" t="s">
        <v>1600</v>
      </c>
      <c r="V366" s="30" t="s">
        <v>1601</v>
      </c>
      <c r="W366" s="30" t="s">
        <v>1602</v>
      </c>
      <c r="X366" s="30" t="s">
        <v>179</v>
      </c>
      <c r="Y366" t="s">
        <v>941</v>
      </c>
      <c r="Z366" s="30" t="s">
        <v>180</v>
      </c>
      <c r="AA366" s="30" t="s">
        <v>181</v>
      </c>
      <c r="AB366" s="30" t="s">
        <v>1491</v>
      </c>
      <c r="AC366" s="30" t="s">
        <v>56</v>
      </c>
      <c r="AD366" s="30" t="s">
        <v>1499</v>
      </c>
      <c r="AE366" s="30">
        <v>20107012011</v>
      </c>
      <c r="AF366" s="30" t="s">
        <v>1500</v>
      </c>
      <c r="AG366" s="30" t="s">
        <v>1501</v>
      </c>
      <c r="AH366" s="30" t="s">
        <v>185</v>
      </c>
      <c r="AI366" s="30" t="s">
        <v>1603</v>
      </c>
      <c r="AJ366" s="30" t="s">
        <v>1604</v>
      </c>
      <c r="AK366" s="30" t="s">
        <v>2252</v>
      </c>
      <c r="AL366" s="30" t="s">
        <v>483</v>
      </c>
      <c r="AM366" t="s">
        <v>270</v>
      </c>
      <c r="AN366" s="30" t="s">
        <v>270</v>
      </c>
      <c r="AO366" s="30" t="s">
        <v>483</v>
      </c>
      <c r="AP366" s="30" t="s">
        <v>483</v>
      </c>
      <c r="AQ366" s="30" t="s">
        <v>483</v>
      </c>
      <c r="AR366" s="30" t="s">
        <v>483</v>
      </c>
      <c r="AS366" s="30" t="s">
        <v>84</v>
      </c>
      <c r="AT366" s="30" t="s">
        <v>295</v>
      </c>
      <c r="AU366" s="50">
        <v>46235.708333333336</v>
      </c>
      <c r="AV366" s="50">
        <v>46235.734027777777</v>
      </c>
      <c r="AW366" s="50">
        <v>46235.743055555555</v>
      </c>
      <c r="AX366" s="50">
        <v>46235.758333333331</v>
      </c>
      <c r="AY366" s="50">
        <v>46235.781944444447</v>
      </c>
      <c r="AZ366" s="50">
        <v>46235.847222222219</v>
      </c>
      <c r="BA366" s="51">
        <v>46236.4</v>
      </c>
      <c r="BB366" s="51">
        <v>46236.422222222223</v>
      </c>
      <c r="BC366" s="50">
        <v>46236.482638888891</v>
      </c>
      <c r="BD366" s="50">
        <v>46236.503472222219</v>
      </c>
      <c r="BE366" s="51">
        <v>46236.526388888888</v>
      </c>
      <c r="BF366" s="51">
        <v>46236.600694444445</v>
      </c>
      <c r="BG366" s="51">
        <v>46236.675000000003</v>
      </c>
      <c r="BH366" s="51">
        <v>46236.699305555558</v>
      </c>
      <c r="BI366" s="30" t="s">
        <v>240</v>
      </c>
      <c r="BJ366" s="50"/>
      <c r="BK366" s="50">
        <v>46237.138194444444</v>
      </c>
      <c r="BL366" s="50">
        <v>46237.184027777781</v>
      </c>
      <c r="BM366" s="50">
        <v>46237.195833333331</v>
      </c>
      <c r="BN366" s="50">
        <v>46237.214583333334</v>
      </c>
    </row>
    <row r="367" spans="1:66">
      <c r="A367" t="s">
        <v>168</v>
      </c>
      <c r="B367" s="30">
        <v>17</v>
      </c>
      <c r="C367" s="30">
        <v>31</v>
      </c>
      <c r="D367" s="30" t="s">
        <v>169</v>
      </c>
      <c r="E367" s="30" t="s">
        <v>170</v>
      </c>
      <c r="F367" s="48">
        <v>46235</v>
      </c>
      <c r="G367" s="48">
        <v>46236</v>
      </c>
      <c r="H367" s="49">
        <v>0.52430555555555558</v>
      </c>
      <c r="I367" s="49">
        <v>0.41666666666666669</v>
      </c>
      <c r="J367" s="30" t="s">
        <v>53</v>
      </c>
      <c r="K367" s="30" t="s">
        <v>171</v>
      </c>
      <c r="L367" s="30">
        <v>1</v>
      </c>
      <c r="M367" s="30" t="s">
        <v>1605</v>
      </c>
      <c r="P367" s="30" t="s">
        <v>174</v>
      </c>
      <c r="Q367" s="30" t="s">
        <v>84</v>
      </c>
      <c r="R367" s="30" t="s">
        <v>939</v>
      </c>
      <c r="S367" s="30" t="s">
        <v>1628</v>
      </c>
      <c r="T367" s="30">
        <v>6509439010</v>
      </c>
      <c r="U367" s="30" t="s">
        <v>1606</v>
      </c>
      <c r="V367" s="30" t="s">
        <v>1607</v>
      </c>
      <c r="W367" s="30" t="s">
        <v>1608</v>
      </c>
      <c r="X367" s="30" t="s">
        <v>179</v>
      </c>
      <c r="Y367" t="s">
        <v>941</v>
      </c>
      <c r="Z367" s="30" t="s">
        <v>180</v>
      </c>
      <c r="AA367" s="30" t="s">
        <v>181</v>
      </c>
      <c r="AB367" s="30" t="s">
        <v>1491</v>
      </c>
      <c r="AC367" s="30" t="s">
        <v>56</v>
      </c>
      <c r="AD367" s="30" t="s">
        <v>1499</v>
      </c>
      <c r="AE367" s="30">
        <v>20107012011</v>
      </c>
      <c r="AF367" s="30" t="s">
        <v>1609</v>
      </c>
      <c r="AG367" s="30" t="s">
        <v>1610</v>
      </c>
      <c r="AH367" s="30" t="s">
        <v>185</v>
      </c>
      <c r="AI367" s="30" t="s">
        <v>1804</v>
      </c>
      <c r="AJ367" s="30" t="s">
        <v>1611</v>
      </c>
      <c r="AK367" s="30" t="s">
        <v>2252</v>
      </c>
      <c r="AL367" s="30" t="s">
        <v>483</v>
      </c>
      <c r="AM367" t="s">
        <v>270</v>
      </c>
      <c r="AN367" s="30" t="s">
        <v>270</v>
      </c>
      <c r="AO367" s="30" t="s">
        <v>483</v>
      </c>
      <c r="AP367" s="30" t="s">
        <v>483</v>
      </c>
      <c r="AQ367" s="30" t="s">
        <v>483</v>
      </c>
      <c r="AR367" s="30" t="s">
        <v>483</v>
      </c>
      <c r="AS367" s="30" t="s">
        <v>84</v>
      </c>
      <c r="AT367" s="30" t="s">
        <v>295</v>
      </c>
      <c r="AU367" s="50">
        <v>46235.708333333336</v>
      </c>
      <c r="AV367" s="50">
        <v>46235.734027777777</v>
      </c>
      <c r="AW367" s="50">
        <v>46235.742361111108</v>
      </c>
      <c r="AX367" s="50">
        <v>46235.770833333336</v>
      </c>
      <c r="AY367" s="50">
        <v>46235.931250000001</v>
      </c>
      <c r="AZ367" s="50">
        <v>46235.958333333336</v>
      </c>
      <c r="BA367" s="51">
        <v>46236.390277777777</v>
      </c>
      <c r="BB367" s="51">
        <v>46236.415277777778</v>
      </c>
      <c r="BC367" s="50">
        <v>46236.481944444444</v>
      </c>
      <c r="BD367" s="50">
        <v>46236.503472222219</v>
      </c>
      <c r="BE367" s="51">
        <v>46236.524305555555</v>
      </c>
      <c r="BF367" s="51">
        <v>46236.601388888892</v>
      </c>
      <c r="BG367" s="51">
        <v>46236.679166666669</v>
      </c>
      <c r="BH367" s="51">
        <v>46236.705555555556</v>
      </c>
      <c r="BI367" s="30" t="s">
        <v>240</v>
      </c>
      <c r="BJ367" s="50"/>
      <c r="BK367" s="50">
        <v>46237.138194444444</v>
      </c>
      <c r="BL367" s="50">
        <v>46237.178472222222</v>
      </c>
      <c r="BM367" s="50">
        <v>46237.190972222219</v>
      </c>
      <c r="BN367" s="50">
        <v>46237.207638888889</v>
      </c>
    </row>
    <row r="368" spans="1:66">
      <c r="A368" t="s">
        <v>168</v>
      </c>
      <c r="B368" s="30">
        <v>18</v>
      </c>
      <c r="C368" s="30">
        <v>32</v>
      </c>
      <c r="D368" s="30" t="s">
        <v>169</v>
      </c>
      <c r="E368" s="30" t="s">
        <v>170</v>
      </c>
      <c r="F368" s="48">
        <v>46239</v>
      </c>
      <c r="G368" s="48">
        <v>46240</v>
      </c>
      <c r="H368" s="49">
        <v>0.66527777777777775</v>
      </c>
      <c r="I368" s="49">
        <v>0.5</v>
      </c>
      <c r="J368" s="30" t="s">
        <v>53</v>
      </c>
      <c r="K368" s="30" t="s">
        <v>171</v>
      </c>
      <c r="L368" s="30">
        <v>1</v>
      </c>
      <c r="M368" s="30" t="s">
        <v>1612</v>
      </c>
      <c r="P368" s="30" t="s">
        <v>174</v>
      </c>
      <c r="Q368" s="30" t="s">
        <v>84</v>
      </c>
      <c r="R368" s="30" t="s">
        <v>1613</v>
      </c>
      <c r="S368" s="30" t="s">
        <v>1498</v>
      </c>
      <c r="T368" s="30">
        <v>275171571</v>
      </c>
      <c r="U368" s="30" t="s">
        <v>1614</v>
      </c>
      <c r="V368" s="30" t="s">
        <v>1615</v>
      </c>
      <c r="W368" s="30" t="s">
        <v>1616</v>
      </c>
      <c r="X368" s="30" t="s">
        <v>179</v>
      </c>
      <c r="Y368" t="s">
        <v>180</v>
      </c>
      <c r="Z368" s="30" t="s">
        <v>180</v>
      </c>
      <c r="AA368" s="30" t="s">
        <v>181</v>
      </c>
      <c r="AB368" s="30" t="s">
        <v>1491</v>
      </c>
      <c r="AC368" s="30" t="s">
        <v>56</v>
      </c>
      <c r="AD368" s="30" t="s">
        <v>1499</v>
      </c>
      <c r="AE368" s="30">
        <v>20107012011</v>
      </c>
      <c r="AF368" s="30" t="s">
        <v>1617</v>
      </c>
      <c r="AG368" s="30" t="s">
        <v>1618</v>
      </c>
      <c r="AH368" s="30" t="s">
        <v>185</v>
      </c>
      <c r="AI368" s="30" t="s">
        <v>1619</v>
      </c>
      <c r="AJ368" s="30" t="s">
        <v>1620</v>
      </c>
      <c r="AK368" s="30" t="s">
        <v>2252</v>
      </c>
      <c r="AL368" s="30" t="s">
        <v>483</v>
      </c>
      <c r="AM368" t="s">
        <v>270</v>
      </c>
      <c r="AN368" s="30" t="s">
        <v>270</v>
      </c>
      <c r="AO368" s="30" t="s">
        <v>483</v>
      </c>
      <c r="AP368" s="30" t="s">
        <v>483</v>
      </c>
      <c r="AQ368" s="30" t="s">
        <v>483</v>
      </c>
      <c r="AR368" s="30" t="s">
        <v>483</v>
      </c>
      <c r="AS368" s="30" t="s">
        <v>84</v>
      </c>
      <c r="AT368" s="30" t="s">
        <v>1504</v>
      </c>
      <c r="AU368" s="50">
        <v>46239.583333333336</v>
      </c>
      <c r="AV368" s="50">
        <v>46239.788194444445</v>
      </c>
      <c r="AW368" s="50">
        <v>46239.887499999997</v>
      </c>
      <c r="AX368" s="50">
        <v>46239.916666666664</v>
      </c>
      <c r="AY368" s="50">
        <v>46240.065972222219</v>
      </c>
      <c r="AZ368" s="50">
        <v>46240.070138888892</v>
      </c>
      <c r="BA368" s="51">
        <v>46240.588194444441</v>
      </c>
      <c r="BB368" s="51">
        <v>46240.62777777778</v>
      </c>
      <c r="BC368" s="50">
        <v>46240.638888888891</v>
      </c>
      <c r="BD368" s="50">
        <v>46240.652777777781</v>
      </c>
      <c r="BE368" s="51">
        <v>46240.665277777778</v>
      </c>
      <c r="BF368" s="51">
        <v>46240.686805555553</v>
      </c>
      <c r="BG368" s="51">
        <v>46240.708333333336</v>
      </c>
      <c r="BH368" s="51">
        <v>46240.731249999997</v>
      </c>
      <c r="BI368" s="30" t="s">
        <v>787</v>
      </c>
      <c r="BJ368" s="50">
        <v>46241.166666666664</v>
      </c>
      <c r="BK368" s="50">
        <v>46241.211111111108</v>
      </c>
      <c r="BL368" s="50">
        <v>46241.214583333334</v>
      </c>
      <c r="BM368" s="50">
        <v>46241.21875</v>
      </c>
      <c r="BN368" s="50">
        <v>46241.234027777777</v>
      </c>
    </row>
    <row r="369" spans="1:66">
      <c r="A369" t="s">
        <v>168</v>
      </c>
      <c r="B369" s="30">
        <v>19</v>
      </c>
      <c r="C369" s="30">
        <v>32</v>
      </c>
      <c r="D369" s="30" t="s">
        <v>169</v>
      </c>
      <c r="E369" s="30" t="s">
        <v>170</v>
      </c>
      <c r="F369" s="48">
        <v>46239</v>
      </c>
      <c r="G369" s="48">
        <v>46240</v>
      </c>
      <c r="H369" s="49">
        <v>0.72222222222222221</v>
      </c>
      <c r="I369" s="49">
        <v>0.5</v>
      </c>
      <c r="J369" s="30" t="s">
        <v>53</v>
      </c>
      <c r="K369" s="30" t="s">
        <v>171</v>
      </c>
      <c r="L369" s="30">
        <v>1</v>
      </c>
      <c r="M369" s="30" t="s">
        <v>1621</v>
      </c>
      <c r="P369" s="30" t="s">
        <v>174</v>
      </c>
      <c r="Q369" s="30" t="s">
        <v>84</v>
      </c>
      <c r="R369" s="30" t="s">
        <v>1613</v>
      </c>
      <c r="S369" s="30" t="s">
        <v>1498</v>
      </c>
      <c r="T369" s="30">
        <v>275171607</v>
      </c>
      <c r="U369" s="30" t="s">
        <v>1622</v>
      </c>
      <c r="V369" s="30" t="s">
        <v>1623</v>
      </c>
      <c r="W369" s="30" t="s">
        <v>1624</v>
      </c>
      <c r="X369" s="30" t="s">
        <v>179</v>
      </c>
      <c r="Y369" t="s">
        <v>180</v>
      </c>
      <c r="Z369" s="30" t="s">
        <v>180</v>
      </c>
      <c r="AA369" s="30" t="s">
        <v>181</v>
      </c>
      <c r="AB369" s="30" t="s">
        <v>1491</v>
      </c>
      <c r="AC369" s="30" t="s">
        <v>56</v>
      </c>
      <c r="AD369" s="30" t="s">
        <v>1499</v>
      </c>
      <c r="AE369" s="30">
        <v>20107012011</v>
      </c>
      <c r="AF369" s="30" t="s">
        <v>1583</v>
      </c>
      <c r="AG369" s="30" t="s">
        <v>1589</v>
      </c>
      <c r="AH369" s="30" t="s">
        <v>185</v>
      </c>
      <c r="AI369" s="30" t="s">
        <v>1625</v>
      </c>
      <c r="AJ369" s="30" t="s">
        <v>1626</v>
      </c>
      <c r="AK369" s="30" t="s">
        <v>2252</v>
      </c>
      <c r="AL369" s="30" t="s">
        <v>483</v>
      </c>
      <c r="AM369" t="s">
        <v>270</v>
      </c>
      <c r="AN369" s="30" t="s">
        <v>270</v>
      </c>
      <c r="AO369" s="30" t="s">
        <v>483</v>
      </c>
      <c r="AP369" s="30" t="s">
        <v>483</v>
      </c>
      <c r="AQ369" s="30" t="s">
        <v>483</v>
      </c>
      <c r="AR369" s="30" t="s">
        <v>483</v>
      </c>
      <c r="AS369" s="30" t="s">
        <v>84</v>
      </c>
      <c r="AT369" s="30" t="s">
        <v>1504</v>
      </c>
      <c r="AU369" s="50">
        <v>46239.583333333336</v>
      </c>
      <c r="AV369" s="50">
        <v>46240.045138888891</v>
      </c>
      <c r="AW369" s="50">
        <v>46240.140277777777</v>
      </c>
      <c r="AX369" s="50">
        <v>46240.15625</v>
      </c>
      <c r="AY369" s="50">
        <v>46240.166666666664</v>
      </c>
      <c r="AZ369" s="50">
        <v>46240.23541666667</v>
      </c>
      <c r="BA369" s="51">
        <v>46240.686111111114</v>
      </c>
      <c r="BB369" s="51">
        <v>46240.695833333331</v>
      </c>
      <c r="BC369" s="50">
        <v>46240.708333333336</v>
      </c>
      <c r="BD369" s="50">
        <v>46240.71875</v>
      </c>
      <c r="BE369" s="51">
        <v>46240.722222222219</v>
      </c>
      <c r="BF369" s="51">
        <v>46240.741666666669</v>
      </c>
      <c r="BG369" s="51">
        <v>46240.760416666664</v>
      </c>
      <c r="BH369" s="51">
        <v>46240.779166666667</v>
      </c>
      <c r="BI369" s="30" t="s">
        <v>787</v>
      </c>
      <c r="BJ369" s="50">
        <v>46241.5</v>
      </c>
      <c r="BK369" s="50">
        <v>46241.460416666669</v>
      </c>
      <c r="BL369" s="50">
        <v>46241.463888888888</v>
      </c>
      <c r="BM369" s="50">
        <v>46241.468055555553</v>
      </c>
      <c r="BN369" s="50">
        <v>46241.481249999997</v>
      </c>
    </row>
    <row r="370" spans="1:66">
      <c r="A370" t="s">
        <v>168</v>
      </c>
      <c r="B370" s="30">
        <v>20</v>
      </c>
      <c r="C370" s="30">
        <v>32</v>
      </c>
      <c r="D370" s="30" t="s">
        <v>169</v>
      </c>
      <c r="E370" s="30" t="s">
        <v>170</v>
      </c>
      <c r="F370" s="48">
        <v>46242</v>
      </c>
      <c r="G370" s="48">
        <v>46243</v>
      </c>
      <c r="H370" s="49">
        <v>0.61805555555555558</v>
      </c>
      <c r="I370" s="49">
        <v>0.58333333333333337</v>
      </c>
      <c r="J370" s="30" t="s">
        <v>53</v>
      </c>
      <c r="K370" s="30" t="s">
        <v>171</v>
      </c>
      <c r="L370" s="30">
        <v>1</v>
      </c>
      <c r="M370" s="30" t="s">
        <v>1627</v>
      </c>
      <c r="P370" s="30" t="s">
        <v>174</v>
      </c>
      <c r="Q370" s="30" t="s">
        <v>84</v>
      </c>
      <c r="R370" s="30" t="s">
        <v>939</v>
      </c>
      <c r="S370" s="30" t="s">
        <v>1628</v>
      </c>
      <c r="T370" s="30">
        <v>6461847770</v>
      </c>
      <c r="U370" s="30" t="s">
        <v>1629</v>
      </c>
      <c r="V370" s="30" t="s">
        <v>1630</v>
      </c>
      <c r="W370" s="30">
        <v>32970745</v>
      </c>
      <c r="X370" s="30" t="s">
        <v>179</v>
      </c>
      <c r="Y370" t="s">
        <v>941</v>
      </c>
      <c r="Z370" s="30" t="s">
        <v>180</v>
      </c>
      <c r="AA370" s="30" t="s">
        <v>181</v>
      </c>
      <c r="AB370" s="30" t="s">
        <v>1491</v>
      </c>
      <c r="AC370" s="30" t="s">
        <v>92</v>
      </c>
      <c r="AD370" s="30" t="s">
        <v>1631</v>
      </c>
      <c r="AE370" s="30">
        <v>20615410544</v>
      </c>
      <c r="AF370" s="30" t="s">
        <v>1632</v>
      </c>
      <c r="AG370" s="30" t="s">
        <v>1633</v>
      </c>
      <c r="AH370" s="30" t="s">
        <v>185</v>
      </c>
      <c r="AI370" s="30" t="s">
        <v>1805</v>
      </c>
      <c r="AJ370" s="30" t="s">
        <v>1634</v>
      </c>
      <c r="AK370" s="30" t="s">
        <v>2252</v>
      </c>
      <c r="AL370" s="30" t="s">
        <v>483</v>
      </c>
      <c r="AM370" t="s">
        <v>270</v>
      </c>
      <c r="AN370" s="30" t="s">
        <v>270</v>
      </c>
      <c r="AO370" s="30" t="s">
        <v>483</v>
      </c>
      <c r="AP370" s="30" t="s">
        <v>483</v>
      </c>
      <c r="AQ370" s="30" t="s">
        <v>483</v>
      </c>
      <c r="AR370" s="30" t="s">
        <v>483</v>
      </c>
      <c r="AS370" s="30" t="s">
        <v>84</v>
      </c>
      <c r="AT370" s="30" t="s">
        <v>295</v>
      </c>
      <c r="AU370" s="50">
        <v>46242.708333333336</v>
      </c>
      <c r="AV370" s="50">
        <v>46242.725694444445</v>
      </c>
      <c r="AW370" s="50">
        <v>46242.731944444444</v>
      </c>
      <c r="AX370" s="50">
        <v>46242.739583333336</v>
      </c>
      <c r="AY370" s="50">
        <v>46242.765277777777</v>
      </c>
      <c r="AZ370" s="50">
        <v>46242.925694444442</v>
      </c>
      <c r="BA370" s="51">
        <v>46243.579861111109</v>
      </c>
      <c r="BB370" s="51">
        <v>46243.584027777775</v>
      </c>
      <c r="BC370" s="50">
        <v>46243.595138888886</v>
      </c>
      <c r="BD370" s="50">
        <v>46243.607638888891</v>
      </c>
      <c r="BE370" s="51">
        <v>46243.618055555555</v>
      </c>
      <c r="BF370" s="51">
        <v>46243.677083333336</v>
      </c>
      <c r="BG370" s="51">
        <v>46243.753472222219</v>
      </c>
      <c r="BH370" s="51">
        <v>46243.775000000001</v>
      </c>
      <c r="BI370" s="30" t="s">
        <v>240</v>
      </c>
      <c r="BJ370" s="50"/>
      <c r="BK370" s="50">
        <v>46244.489583333336</v>
      </c>
      <c r="BL370" s="50">
        <v>46244.493055555555</v>
      </c>
      <c r="BM370" s="50">
        <v>46244.5</v>
      </c>
      <c r="BN370" s="50">
        <v>46244.515277777777</v>
      </c>
    </row>
    <row r="371" spans="1:66">
      <c r="A371" t="s">
        <v>168</v>
      </c>
      <c r="B371" s="30">
        <v>21</v>
      </c>
      <c r="C371" s="30">
        <v>32</v>
      </c>
      <c r="D371" s="30" t="s">
        <v>169</v>
      </c>
      <c r="E371" s="30" t="s">
        <v>170</v>
      </c>
      <c r="F371" s="48">
        <v>46242</v>
      </c>
      <c r="G371" s="48">
        <v>46243</v>
      </c>
      <c r="H371" s="49">
        <v>0.85416666666666663</v>
      </c>
      <c r="I371" s="49">
        <v>0.58333333333333337</v>
      </c>
      <c r="J371" s="30" t="s">
        <v>53</v>
      </c>
      <c r="K371" s="30" t="s">
        <v>171</v>
      </c>
      <c r="L371" s="30">
        <v>1</v>
      </c>
      <c r="M371" s="30" t="s">
        <v>1635</v>
      </c>
      <c r="P371" s="30" t="s">
        <v>174</v>
      </c>
      <c r="Q371" s="30" t="s">
        <v>84</v>
      </c>
      <c r="R371" s="30" t="s">
        <v>939</v>
      </c>
      <c r="S371" s="30" t="s">
        <v>1628</v>
      </c>
      <c r="T371" s="30">
        <v>6461847730</v>
      </c>
      <c r="U371" s="30" t="s">
        <v>1636</v>
      </c>
      <c r="V371" s="30" t="s">
        <v>1637</v>
      </c>
      <c r="W371" s="30">
        <v>32970746</v>
      </c>
      <c r="X371" s="30" t="s">
        <v>179</v>
      </c>
      <c r="Y371" t="s">
        <v>941</v>
      </c>
      <c r="Z371" s="30" t="s">
        <v>180</v>
      </c>
      <c r="AA371" s="30" t="s">
        <v>181</v>
      </c>
      <c r="AB371" s="30" t="s">
        <v>1491</v>
      </c>
      <c r="AC371" s="30" t="s">
        <v>92</v>
      </c>
      <c r="AD371" s="30" t="s">
        <v>1638</v>
      </c>
      <c r="AE371" s="30">
        <v>20609553376</v>
      </c>
      <c r="AF371" s="30" t="s">
        <v>1639</v>
      </c>
      <c r="AG371" s="30" t="s">
        <v>1640</v>
      </c>
      <c r="AH371" s="30" t="s">
        <v>185</v>
      </c>
      <c r="AI371" s="30" t="s">
        <v>1641</v>
      </c>
      <c r="AJ371" s="30" t="s">
        <v>1642</v>
      </c>
      <c r="AK371" s="30" t="s">
        <v>2252</v>
      </c>
      <c r="AL371" s="30" t="s">
        <v>483</v>
      </c>
      <c r="AM371" t="s">
        <v>270</v>
      </c>
      <c r="AN371" s="30" t="s">
        <v>270</v>
      </c>
      <c r="AO371" s="30" t="s">
        <v>483</v>
      </c>
      <c r="AP371" s="30" t="s">
        <v>483</v>
      </c>
      <c r="AQ371" s="30" t="s">
        <v>483</v>
      </c>
      <c r="AR371" s="30" t="s">
        <v>483</v>
      </c>
      <c r="AS371" s="30" t="s">
        <v>84</v>
      </c>
      <c r="AT371" s="30" t="s">
        <v>295</v>
      </c>
      <c r="AU371" s="50">
        <v>46242.666666666664</v>
      </c>
      <c r="AV371" s="50">
        <v>46242.683333333334</v>
      </c>
      <c r="AW371" s="50">
        <v>46242.6875</v>
      </c>
      <c r="AX371" s="50">
        <v>46242.824999999997</v>
      </c>
      <c r="AY371" s="50">
        <v>46242.847916666666</v>
      </c>
      <c r="AZ371" s="50">
        <v>46242.943749999999</v>
      </c>
      <c r="BA371" s="51">
        <v>46243.634722222225</v>
      </c>
      <c r="BB371" s="51">
        <v>46243.834027777775</v>
      </c>
      <c r="BC371" s="50">
        <v>46243.842361111114</v>
      </c>
      <c r="BD371" s="50">
        <v>46243.852777777778</v>
      </c>
      <c r="BE371" s="51">
        <v>46243.854166666664</v>
      </c>
      <c r="BF371" s="51">
        <v>46243.867361111108</v>
      </c>
      <c r="BG371" s="51">
        <v>46243.880555555559</v>
      </c>
      <c r="BH371" s="51">
        <v>46243.897916666669</v>
      </c>
      <c r="BI371" s="30" t="s">
        <v>240</v>
      </c>
      <c r="BJ371" s="50"/>
      <c r="BK371" s="50">
        <v>46244.513888888891</v>
      </c>
      <c r="BL371" s="50">
        <v>46244.51666666667</v>
      </c>
      <c r="BM371" s="50">
        <v>46244.520833333336</v>
      </c>
      <c r="BN371" s="50">
        <v>46244.527777777781</v>
      </c>
    </row>
    <row r="372" spans="1:66">
      <c r="A372" t="s">
        <v>168</v>
      </c>
      <c r="B372" s="30">
        <v>22</v>
      </c>
      <c r="C372" s="30">
        <v>33</v>
      </c>
      <c r="D372" s="30" t="s">
        <v>169</v>
      </c>
      <c r="E372" s="30" t="s">
        <v>170</v>
      </c>
      <c r="F372" s="48">
        <v>46247</v>
      </c>
      <c r="G372" s="48">
        <v>46247</v>
      </c>
      <c r="H372" s="49">
        <v>0.95486111111111116</v>
      </c>
      <c r="I372" s="49">
        <v>0.41666666666666669</v>
      </c>
      <c r="J372" s="30" t="s">
        <v>53</v>
      </c>
      <c r="K372" s="30" t="s">
        <v>171</v>
      </c>
      <c r="L372" s="30">
        <v>1</v>
      </c>
      <c r="M372" s="30" t="s">
        <v>1643</v>
      </c>
      <c r="P372" s="30" t="s">
        <v>174</v>
      </c>
      <c r="Q372" s="30" t="s">
        <v>84</v>
      </c>
      <c r="R372" s="30" t="s">
        <v>1613</v>
      </c>
      <c r="S372" s="30" t="s">
        <v>1498</v>
      </c>
      <c r="T372" s="30">
        <v>275501236</v>
      </c>
      <c r="U372" s="30" t="s">
        <v>1644</v>
      </c>
      <c r="V372" s="30" t="s">
        <v>1645</v>
      </c>
      <c r="W372" s="30" t="s">
        <v>1646</v>
      </c>
      <c r="X372" s="30" t="s">
        <v>179</v>
      </c>
      <c r="Y372" t="s">
        <v>180</v>
      </c>
      <c r="Z372" s="30" t="s">
        <v>180</v>
      </c>
      <c r="AA372" s="30" t="s">
        <v>181</v>
      </c>
      <c r="AB372" s="30" t="s">
        <v>1491</v>
      </c>
      <c r="AC372" s="30" t="s">
        <v>56</v>
      </c>
      <c r="AD372" s="30" t="s">
        <v>1647</v>
      </c>
      <c r="AE372" s="30">
        <v>20107012011</v>
      </c>
      <c r="AF372" s="30" t="s">
        <v>1576</v>
      </c>
      <c r="AG372" s="30" t="s">
        <v>1577</v>
      </c>
      <c r="AH372" s="30" t="s">
        <v>185</v>
      </c>
      <c r="AI372" s="30" t="s">
        <v>1648</v>
      </c>
      <c r="AJ372" s="30" t="s">
        <v>1806</v>
      </c>
      <c r="AK372" s="30" t="s">
        <v>2252</v>
      </c>
      <c r="AL372" s="30" t="s">
        <v>483</v>
      </c>
      <c r="AM372" t="s">
        <v>270</v>
      </c>
      <c r="AN372" s="30" t="s">
        <v>270</v>
      </c>
      <c r="AO372" s="30" t="s">
        <v>483</v>
      </c>
      <c r="AP372" s="30" t="s">
        <v>483</v>
      </c>
      <c r="AQ372" s="30" t="s">
        <v>483</v>
      </c>
      <c r="AR372" s="30" t="s">
        <v>483</v>
      </c>
      <c r="AS372" s="30" t="s">
        <v>84</v>
      </c>
      <c r="AT372" s="30" t="s">
        <v>1504</v>
      </c>
      <c r="AU372" s="50">
        <v>46247.166666666664</v>
      </c>
      <c r="AV372" s="50">
        <v>46247.076388888891</v>
      </c>
      <c r="AW372" s="50">
        <v>46247.378472222219</v>
      </c>
      <c r="AX372" s="50">
        <v>46247.388888888891</v>
      </c>
      <c r="AY372" s="50">
        <v>46247.413194444445</v>
      </c>
      <c r="AZ372" s="50">
        <v>46247.426388888889</v>
      </c>
      <c r="BA372" s="51">
        <v>46247.92083333333</v>
      </c>
      <c r="BB372" s="51">
        <v>46247.936111111114</v>
      </c>
      <c r="BC372" s="50">
        <v>46247.944444444445</v>
      </c>
      <c r="BD372" s="50">
        <v>46247.952777777777</v>
      </c>
      <c r="BE372" s="51">
        <v>46247.954861111109</v>
      </c>
      <c r="BF372" s="51">
        <v>46248.001388888886</v>
      </c>
      <c r="BG372" s="51">
        <v>46248.04791666667</v>
      </c>
      <c r="BH372" s="51">
        <v>46248.072916666664</v>
      </c>
      <c r="BI372" s="30" t="s">
        <v>787</v>
      </c>
      <c r="BJ372" s="50"/>
      <c r="BK372" s="50">
        <v>46248.552777777775</v>
      </c>
      <c r="BL372" s="50">
        <v>46248.559027777781</v>
      </c>
      <c r="BM372" s="50">
        <v>46248.574999999997</v>
      </c>
      <c r="BN372" s="50">
        <v>46248.673611111109</v>
      </c>
    </row>
    <row r="373" spans="1:66">
      <c r="A373" t="s">
        <v>168</v>
      </c>
      <c r="B373" s="30">
        <v>23</v>
      </c>
      <c r="C373" s="30">
        <v>33</v>
      </c>
      <c r="D373" s="30" t="s">
        <v>169</v>
      </c>
      <c r="E373" s="30" t="s">
        <v>170</v>
      </c>
      <c r="F373" s="48">
        <v>46246</v>
      </c>
      <c r="G373" s="48">
        <v>46247</v>
      </c>
      <c r="H373" s="49">
        <v>0.63888888888888884</v>
      </c>
      <c r="I373" s="49">
        <v>0.5</v>
      </c>
      <c r="J373" s="30" t="s">
        <v>53</v>
      </c>
      <c r="K373" s="30" t="s">
        <v>171</v>
      </c>
      <c r="L373" s="30">
        <v>1</v>
      </c>
      <c r="M373" s="30" t="s">
        <v>1649</v>
      </c>
      <c r="P373" s="30" t="s">
        <v>174</v>
      </c>
      <c r="Q373" s="30" t="s">
        <v>84</v>
      </c>
      <c r="R373" s="30" t="s">
        <v>939</v>
      </c>
      <c r="S373" s="30" t="s">
        <v>1628</v>
      </c>
      <c r="T373" s="30">
        <v>6462784200</v>
      </c>
      <c r="U373" s="30" t="s">
        <v>1650</v>
      </c>
      <c r="V373" s="30" t="s">
        <v>1651</v>
      </c>
      <c r="W373" s="30">
        <v>32975631</v>
      </c>
      <c r="X373" s="30" t="s">
        <v>179</v>
      </c>
      <c r="Y373" t="s">
        <v>179</v>
      </c>
      <c r="Z373" s="30" t="s">
        <v>180</v>
      </c>
      <c r="AA373" s="30" t="s">
        <v>181</v>
      </c>
      <c r="AB373" s="30" t="s">
        <v>1491</v>
      </c>
      <c r="AC373" s="30" t="s">
        <v>92</v>
      </c>
      <c r="AD373" s="30" t="s">
        <v>1638</v>
      </c>
      <c r="AE373" s="30">
        <v>20609553376</v>
      </c>
      <c r="AF373" s="30" t="s">
        <v>1652</v>
      </c>
      <c r="AG373" s="30" t="s">
        <v>1653</v>
      </c>
      <c r="AH373" s="30" t="s">
        <v>185</v>
      </c>
      <c r="AI373" s="30" t="s">
        <v>1654</v>
      </c>
      <c r="AJ373" s="30" t="s">
        <v>1655</v>
      </c>
      <c r="AK373" s="30" t="s">
        <v>2252</v>
      </c>
      <c r="AL373" s="30" t="s">
        <v>483</v>
      </c>
      <c r="AM373" t="s">
        <v>270</v>
      </c>
      <c r="AN373" s="30" t="s">
        <v>270</v>
      </c>
      <c r="AO373" s="30" t="s">
        <v>483</v>
      </c>
      <c r="AP373" s="30" t="s">
        <v>483</v>
      </c>
      <c r="AQ373" s="30" t="s">
        <v>483</v>
      </c>
      <c r="AR373" s="30" t="s">
        <v>483</v>
      </c>
      <c r="AS373" s="30" t="s">
        <v>83</v>
      </c>
      <c r="AT373" s="30" t="s">
        <v>83</v>
      </c>
      <c r="AU373" s="50">
        <v>46246.791666666664</v>
      </c>
      <c r="AV373" s="50">
        <v>46246.856249999997</v>
      </c>
      <c r="AW373" s="50">
        <v>46246.886111111111</v>
      </c>
      <c r="AX373" s="50">
        <v>46246.90625</v>
      </c>
      <c r="AY373" s="50">
        <v>46246.925000000003</v>
      </c>
      <c r="AZ373" s="50">
        <v>46246.9375</v>
      </c>
      <c r="BA373" s="51">
        <v>46247.597222222219</v>
      </c>
      <c r="BB373" s="51">
        <v>46247.613888888889</v>
      </c>
      <c r="BC373" s="50">
        <v>46247.625</v>
      </c>
      <c r="BD373" s="50">
        <v>46247.637499999997</v>
      </c>
      <c r="BE373" s="51">
        <v>46247.638888888891</v>
      </c>
      <c r="BF373" s="51">
        <v>46247.670138888891</v>
      </c>
      <c r="BG373" s="51">
        <v>46247.701388888891</v>
      </c>
      <c r="BH373" s="51">
        <v>46247.716666666667</v>
      </c>
      <c r="BI373" s="30" t="s">
        <v>240</v>
      </c>
      <c r="BJ373" s="50"/>
      <c r="BK373" s="50">
        <v>46248.119444444441</v>
      </c>
      <c r="BL373" s="50">
        <v>46248.124305555553</v>
      </c>
      <c r="BM373" s="50">
        <v>46248.130555555559</v>
      </c>
      <c r="BN373" s="50">
        <v>46248.143055555556</v>
      </c>
    </row>
    <row r="374" spans="1:66">
      <c r="A374" t="s">
        <v>168</v>
      </c>
      <c r="B374" s="30">
        <v>24</v>
      </c>
      <c r="C374" s="30">
        <v>34</v>
      </c>
      <c r="D374" s="30" t="s">
        <v>169</v>
      </c>
      <c r="E374" s="30" t="s">
        <v>170</v>
      </c>
      <c r="F374" s="48">
        <v>46252</v>
      </c>
      <c r="G374" s="48">
        <v>46253</v>
      </c>
      <c r="H374" s="49">
        <v>0.47916666666666669</v>
      </c>
      <c r="I374" s="49">
        <v>0.5</v>
      </c>
      <c r="J374" s="30" t="s">
        <v>53</v>
      </c>
      <c r="K374" s="30" t="s">
        <v>171</v>
      </c>
      <c r="L374" s="30">
        <v>1</v>
      </c>
      <c r="M374" s="30" t="s">
        <v>1656</v>
      </c>
      <c r="P374" s="30" t="s">
        <v>174</v>
      </c>
      <c r="Q374" s="30" t="s">
        <v>84</v>
      </c>
      <c r="R374" s="30" t="s">
        <v>1613</v>
      </c>
      <c r="S374" s="30" t="s">
        <v>1498</v>
      </c>
      <c r="T374" s="30" t="s">
        <v>1657</v>
      </c>
      <c r="U374" s="30" t="s">
        <v>1658</v>
      </c>
      <c r="V374" s="30" t="s">
        <v>1659</v>
      </c>
      <c r="W374" s="30" t="s">
        <v>1660</v>
      </c>
      <c r="X374" s="30" t="s">
        <v>179</v>
      </c>
      <c r="Y374" t="s">
        <v>180</v>
      </c>
      <c r="Z374" s="30" t="s">
        <v>180</v>
      </c>
      <c r="AA374" s="30" t="s">
        <v>181</v>
      </c>
      <c r="AB374" s="30" t="s">
        <v>1491</v>
      </c>
      <c r="AC374" s="30" t="s">
        <v>56</v>
      </c>
      <c r="AD374" s="30" t="s">
        <v>1499</v>
      </c>
      <c r="AE374" s="30">
        <v>20107012011</v>
      </c>
      <c r="AF374" s="30" t="s">
        <v>1661</v>
      </c>
      <c r="AG374" s="30" t="s">
        <v>1662</v>
      </c>
      <c r="AH374" s="30" t="s">
        <v>185</v>
      </c>
      <c r="AI374" s="30" t="s">
        <v>1807</v>
      </c>
      <c r="AJ374" s="30" t="s">
        <v>1663</v>
      </c>
      <c r="AK374" s="30" t="s">
        <v>2252</v>
      </c>
      <c r="AL374" s="30" t="s">
        <v>483</v>
      </c>
      <c r="AM374" t="s">
        <v>270</v>
      </c>
      <c r="AN374" s="30" t="s">
        <v>270</v>
      </c>
      <c r="AO374" s="30" t="s">
        <v>483</v>
      </c>
      <c r="AP374" s="30" t="s">
        <v>483</v>
      </c>
      <c r="AQ374" s="30" t="s">
        <v>483</v>
      </c>
      <c r="AR374" s="30" t="s">
        <v>483</v>
      </c>
      <c r="AS374" s="30" t="s">
        <v>84</v>
      </c>
      <c r="AT374" s="30" t="s">
        <v>1504</v>
      </c>
      <c r="AU374" s="50">
        <v>46252.583333333336</v>
      </c>
      <c r="AV374" s="50">
        <v>46252.640972222223</v>
      </c>
      <c r="AW374" s="50">
        <v>46252.71875</v>
      </c>
      <c r="AX374" s="50">
        <v>46252.802083333336</v>
      </c>
      <c r="AY374" s="50">
        <v>46252.820833333331</v>
      </c>
      <c r="AZ374" s="50">
        <v>46252.833333333336</v>
      </c>
      <c r="BA374" s="51">
        <v>46253.392361111109</v>
      </c>
      <c r="BB374" s="51">
        <v>46253.444444444445</v>
      </c>
      <c r="BC374" s="50">
        <v>46253.454861111109</v>
      </c>
      <c r="BD374" s="50">
        <v>46253.466666666667</v>
      </c>
      <c r="BE374" s="51">
        <v>46253.479166666664</v>
      </c>
      <c r="BF374" s="51">
        <v>46253.54791666667</v>
      </c>
      <c r="BG374" s="51">
        <v>46253.616666666669</v>
      </c>
      <c r="BH374" s="51">
        <v>46253.625</v>
      </c>
      <c r="BI374" s="30" t="s">
        <v>787</v>
      </c>
      <c r="BJ374" s="50">
        <v>46254.25</v>
      </c>
      <c r="BK374" s="50">
        <v>46254.125</v>
      </c>
      <c r="BL374" s="50">
        <v>46254.145138888889</v>
      </c>
      <c r="BM374" s="50">
        <v>46254.322916666664</v>
      </c>
      <c r="BN374" s="50">
        <v>46254.335416666669</v>
      </c>
    </row>
    <row r="375" spans="1:66">
      <c r="A375" t="s">
        <v>168</v>
      </c>
      <c r="B375" s="30">
        <v>25</v>
      </c>
      <c r="C375" s="30">
        <v>35</v>
      </c>
      <c r="D375" s="30" t="s">
        <v>169</v>
      </c>
      <c r="E375" s="30" t="s">
        <v>170</v>
      </c>
      <c r="F375" s="48">
        <v>46262</v>
      </c>
      <c r="G375" s="48">
        <v>46263</v>
      </c>
      <c r="H375" s="49">
        <v>0.41666666666666669</v>
      </c>
      <c r="I375" s="49">
        <v>0.58333333333333337</v>
      </c>
      <c r="J375" s="30" t="s">
        <v>53</v>
      </c>
      <c r="K375" s="30" t="s">
        <v>171</v>
      </c>
      <c r="L375" s="30">
        <v>1</v>
      </c>
      <c r="M375" s="30" t="s">
        <v>2253</v>
      </c>
      <c r="P375" s="30" t="s">
        <v>174</v>
      </c>
      <c r="Q375" s="30" t="s">
        <v>84</v>
      </c>
      <c r="R375" s="30" t="s">
        <v>1825</v>
      </c>
      <c r="S375" s="30" t="s">
        <v>1498</v>
      </c>
      <c r="T375" s="30">
        <v>751600048322</v>
      </c>
      <c r="U375" s="30" t="s">
        <v>2254</v>
      </c>
      <c r="V375" s="30">
        <v>1315385</v>
      </c>
      <c r="W375" s="30" t="s">
        <v>2255</v>
      </c>
      <c r="X375" s="30" t="s">
        <v>179</v>
      </c>
      <c r="Y375" t="s">
        <v>941</v>
      </c>
      <c r="Z375" s="30" t="s">
        <v>180</v>
      </c>
      <c r="AA375" s="30" t="s">
        <v>181</v>
      </c>
      <c r="AB375" s="30" t="s">
        <v>1491</v>
      </c>
      <c r="AC375" s="30" t="s">
        <v>56</v>
      </c>
      <c r="AD375" s="30" t="s">
        <v>1499</v>
      </c>
      <c r="AE375" s="30">
        <v>20107012011</v>
      </c>
      <c r="AF375" s="30" t="s">
        <v>2256</v>
      </c>
      <c r="AG375" s="30" t="s">
        <v>2257</v>
      </c>
      <c r="AH375" s="30" t="s">
        <v>185</v>
      </c>
      <c r="AI375" s="30" t="s">
        <v>2258</v>
      </c>
      <c r="AJ375" s="30" t="s">
        <v>2259</v>
      </c>
      <c r="AK375" s="30" t="s">
        <v>2252</v>
      </c>
      <c r="AL375" s="30" t="s">
        <v>483</v>
      </c>
      <c r="AM375" t="s">
        <v>270</v>
      </c>
      <c r="AN375" s="30" t="s">
        <v>270</v>
      </c>
      <c r="AO375" s="30" t="s">
        <v>483</v>
      </c>
      <c r="AP375" s="30" t="s">
        <v>483</v>
      </c>
      <c r="AQ375" s="30" t="s">
        <v>483</v>
      </c>
      <c r="AR375" s="30" t="s">
        <v>483</v>
      </c>
      <c r="AS375" s="30" t="s">
        <v>84</v>
      </c>
      <c r="AT375" s="30" t="s">
        <v>277</v>
      </c>
      <c r="AU375" s="50">
        <v>46262.583333333336</v>
      </c>
      <c r="AV375" s="50">
        <v>46262.582638888889</v>
      </c>
      <c r="AW375" s="50">
        <v>46262.61041666667</v>
      </c>
      <c r="AX375" s="50">
        <v>46262.763888888891</v>
      </c>
      <c r="AY375" s="50">
        <v>46262.786111111112</v>
      </c>
      <c r="AZ375" s="50">
        <v>46262.825694444444</v>
      </c>
      <c r="BA375" s="51">
        <v>46263.317361111112</v>
      </c>
      <c r="BB375" s="51">
        <v>46263.369444444441</v>
      </c>
      <c r="BC375" s="50">
        <v>46263.380555555559</v>
      </c>
      <c r="BD375" s="50">
        <v>46263.395833333336</v>
      </c>
      <c r="BE375" s="51">
        <v>46263.416666666664</v>
      </c>
      <c r="BF375" s="51">
        <v>46263.517361111109</v>
      </c>
      <c r="BG375" s="51">
        <v>46263.618055555555</v>
      </c>
      <c r="BH375" s="51">
        <v>46263.625694444447</v>
      </c>
      <c r="BI375" s="30" t="s">
        <v>64</v>
      </c>
      <c r="BJ375" s="50">
        <v>46264.333333333336</v>
      </c>
      <c r="BK375" s="50">
        <v>46264.243055555555</v>
      </c>
      <c r="BL375" s="50">
        <v>46264.263888888891</v>
      </c>
      <c r="BM375" s="50">
        <v>46264.270833333336</v>
      </c>
      <c r="BN375" s="50">
        <v>46264.277083333334</v>
      </c>
    </row>
    <row r="376" spans="1:66">
      <c r="A376" t="s">
        <v>168</v>
      </c>
      <c r="B376" s="30">
        <v>26</v>
      </c>
      <c r="C376" s="30">
        <v>35</v>
      </c>
      <c r="D376" s="30" t="s">
        <v>169</v>
      </c>
      <c r="E376" s="30" t="s">
        <v>170</v>
      </c>
      <c r="F376" s="48">
        <v>46262</v>
      </c>
      <c r="G376" s="48">
        <v>46263</v>
      </c>
      <c r="H376" s="49">
        <v>0.46458333333333335</v>
      </c>
      <c r="I376" s="49">
        <v>0.66666666666666663</v>
      </c>
      <c r="J376" s="30" t="s">
        <v>53</v>
      </c>
      <c r="K376" s="30" t="s">
        <v>171</v>
      </c>
      <c r="L376" s="30">
        <v>1</v>
      </c>
      <c r="M376" s="30" t="s">
        <v>2260</v>
      </c>
      <c r="P376" s="30" t="s">
        <v>174</v>
      </c>
      <c r="Q376" s="30" t="s">
        <v>84</v>
      </c>
      <c r="R376" s="30" t="s">
        <v>1825</v>
      </c>
      <c r="S376" s="30" t="s">
        <v>1498</v>
      </c>
      <c r="T376" s="30">
        <v>751600048276</v>
      </c>
      <c r="U376" s="30" t="s">
        <v>2261</v>
      </c>
      <c r="V376" s="30">
        <v>1315391</v>
      </c>
      <c r="W376" s="30" t="s">
        <v>2255</v>
      </c>
      <c r="X376" s="30" t="s">
        <v>179</v>
      </c>
      <c r="Y376" t="s">
        <v>941</v>
      </c>
      <c r="Z376" s="30" t="s">
        <v>180</v>
      </c>
      <c r="AA376" s="30" t="s">
        <v>181</v>
      </c>
      <c r="AB376" s="30" t="s">
        <v>1491</v>
      </c>
      <c r="AC376" s="30" t="s">
        <v>56</v>
      </c>
      <c r="AD376" s="30" t="s">
        <v>1499</v>
      </c>
      <c r="AE376" s="30">
        <v>20107012011</v>
      </c>
      <c r="AF376" s="30" t="s">
        <v>1535</v>
      </c>
      <c r="AG376" s="30" t="s">
        <v>2262</v>
      </c>
      <c r="AH376" s="30" t="s">
        <v>185</v>
      </c>
      <c r="AI376" s="30" t="s">
        <v>2263</v>
      </c>
      <c r="AJ376" s="30" t="s">
        <v>2264</v>
      </c>
      <c r="AK376" s="30" t="s">
        <v>2252</v>
      </c>
      <c r="AL376" s="30" t="s">
        <v>483</v>
      </c>
      <c r="AM376" t="s">
        <v>270</v>
      </c>
      <c r="AN376" s="30" t="s">
        <v>270</v>
      </c>
      <c r="AO376" s="30" t="s">
        <v>483</v>
      </c>
      <c r="AP376" s="30" t="s">
        <v>483</v>
      </c>
      <c r="AQ376" s="30" t="s">
        <v>483</v>
      </c>
      <c r="AR376" s="30" t="s">
        <v>483</v>
      </c>
      <c r="AS376" s="30" t="s">
        <v>84</v>
      </c>
      <c r="AT376" s="30" t="s">
        <v>277</v>
      </c>
      <c r="AU376" s="50">
        <v>46262.583333333336</v>
      </c>
      <c r="AV376" s="50">
        <v>46262.611111111109</v>
      </c>
      <c r="AW376" s="50">
        <v>46262.70416666667</v>
      </c>
      <c r="AX376" s="50">
        <v>46262.797222222223</v>
      </c>
      <c r="AY376" s="50">
        <v>46262.813888888886</v>
      </c>
      <c r="AZ376" s="50">
        <v>46262.901388888888</v>
      </c>
      <c r="BA376" s="51">
        <v>46263.304861111108</v>
      </c>
      <c r="BB376" s="51">
        <v>46263.429166666669</v>
      </c>
      <c r="BC376" s="50">
        <v>46263.4375</v>
      </c>
      <c r="BD376" s="50">
        <v>46263.45</v>
      </c>
      <c r="BE376" s="51">
        <v>46263.464583333334</v>
      </c>
      <c r="BF376" s="51">
        <v>46263.54583333333</v>
      </c>
      <c r="BG376" s="51">
        <v>46263.62777777778</v>
      </c>
      <c r="BH376" s="51">
        <v>46263.634722222225</v>
      </c>
      <c r="BI376" s="30" t="s">
        <v>64</v>
      </c>
      <c r="BJ376" s="50">
        <v>46264.208333333336</v>
      </c>
      <c r="BK376" s="50">
        <v>46264.118055555555</v>
      </c>
      <c r="BL376" s="50">
        <v>46264.131944444445</v>
      </c>
      <c r="BM376" s="50">
        <v>46264.145833333336</v>
      </c>
      <c r="BN376" s="50">
        <v>46264.15347222222</v>
      </c>
    </row>
    <row r="377" spans="1:66">
      <c r="A377" t="s">
        <v>168</v>
      </c>
      <c r="B377" s="30">
        <v>27</v>
      </c>
      <c r="C377" s="30">
        <v>35</v>
      </c>
      <c r="D377" s="30" t="s">
        <v>169</v>
      </c>
      <c r="E377" s="30" t="s">
        <v>170</v>
      </c>
      <c r="F377" s="48">
        <v>46263</v>
      </c>
      <c r="G377" s="48">
        <v>46264</v>
      </c>
      <c r="H377" s="49">
        <v>0.61458333333333337</v>
      </c>
      <c r="I377" s="49">
        <v>0.5</v>
      </c>
      <c r="J377" s="30" t="s">
        <v>53</v>
      </c>
      <c r="K377" s="30" t="s">
        <v>171</v>
      </c>
      <c r="L377" s="30">
        <v>1</v>
      </c>
      <c r="M377" s="30" t="s">
        <v>2265</v>
      </c>
      <c r="P377" s="30" t="s">
        <v>174</v>
      </c>
      <c r="Q377" s="30" t="s">
        <v>84</v>
      </c>
      <c r="R377" s="30" t="s">
        <v>1822</v>
      </c>
      <c r="S377" s="30" t="s">
        <v>1498</v>
      </c>
      <c r="T377" s="30">
        <v>751600048331</v>
      </c>
      <c r="U377" s="30" t="s">
        <v>2266</v>
      </c>
      <c r="V377" s="30">
        <v>1315877</v>
      </c>
      <c r="W377" s="30" t="s">
        <v>2255</v>
      </c>
      <c r="X377" s="30" t="s">
        <v>179</v>
      </c>
      <c r="Y377" t="s">
        <v>941</v>
      </c>
      <c r="Z377" s="30" t="s">
        <v>180</v>
      </c>
      <c r="AA377" s="30" t="s">
        <v>181</v>
      </c>
      <c r="AB377" s="30" t="s">
        <v>1491</v>
      </c>
      <c r="AC377" s="30" t="s">
        <v>92</v>
      </c>
      <c r="AD377" s="30" t="s">
        <v>2267</v>
      </c>
      <c r="AE377" s="30">
        <v>20602069550</v>
      </c>
      <c r="AF377" s="30" t="s">
        <v>2268</v>
      </c>
      <c r="AG377" s="30" t="s">
        <v>2269</v>
      </c>
      <c r="AH377" s="30" t="s">
        <v>185</v>
      </c>
      <c r="AI377" s="30" t="s">
        <v>2270</v>
      </c>
      <c r="AJ377" s="30" t="s">
        <v>202</v>
      </c>
      <c r="AK377" s="30" t="s">
        <v>2252</v>
      </c>
      <c r="AL377" s="30" t="s">
        <v>483</v>
      </c>
      <c r="AM377" t="s">
        <v>270</v>
      </c>
      <c r="AN377" s="30" t="s">
        <v>270</v>
      </c>
      <c r="AO377" s="30" t="s">
        <v>483</v>
      </c>
      <c r="AP377" s="30" t="s">
        <v>483</v>
      </c>
      <c r="AQ377" s="30" t="s">
        <v>483</v>
      </c>
      <c r="AR377" s="30" t="s">
        <v>483</v>
      </c>
      <c r="AS377" s="30" t="s">
        <v>84</v>
      </c>
      <c r="AT377" s="30" t="s">
        <v>277</v>
      </c>
      <c r="AU377" s="50">
        <v>46263.541666666664</v>
      </c>
      <c r="AV377" s="50">
        <v>46263.625</v>
      </c>
      <c r="AW377" s="50">
        <v>46263.632638888892</v>
      </c>
      <c r="AX377" s="50">
        <v>46263.694444444445</v>
      </c>
      <c r="AY377" s="50">
        <v>46263.708333333336</v>
      </c>
      <c r="AZ377" s="50">
        <v>46263.746527777781</v>
      </c>
      <c r="BA377" s="51">
        <v>46264.100694444445</v>
      </c>
      <c r="BB377" s="51">
        <v>46264.583333333336</v>
      </c>
      <c r="BC377" s="50">
        <v>46264.594444444447</v>
      </c>
      <c r="BD377" s="50">
        <v>46264.604166666664</v>
      </c>
      <c r="BE377" s="51">
        <v>46264.614583333336</v>
      </c>
      <c r="BF377" s="51">
        <v>46264.702777777777</v>
      </c>
      <c r="BG377" s="51">
        <v>46264.790972222225</v>
      </c>
      <c r="BH377" s="51">
        <v>46264.796527777777</v>
      </c>
      <c r="BI377" s="30" t="s">
        <v>64</v>
      </c>
      <c r="BJ377" s="50">
        <v>46265.333333333336</v>
      </c>
      <c r="BK377" s="50">
        <v>46265.170138888891</v>
      </c>
      <c r="BL377" s="50">
        <v>46265.310416666667</v>
      </c>
      <c r="BM377" s="50">
        <v>46265.324999999997</v>
      </c>
      <c r="BN377" s="50">
        <v>46265.334027777775</v>
      </c>
    </row>
    <row r="378" spans="1:66">
      <c r="A378" t="s">
        <v>168</v>
      </c>
      <c r="B378" s="30">
        <v>28</v>
      </c>
      <c r="C378" s="30">
        <v>36</v>
      </c>
      <c r="D378" s="30" t="s">
        <v>169</v>
      </c>
      <c r="E378" s="30" t="s">
        <v>170</v>
      </c>
      <c r="F378" s="48">
        <v>46269</v>
      </c>
      <c r="G378" s="48">
        <v>46270</v>
      </c>
      <c r="H378" s="49">
        <v>0.40972222222222221</v>
      </c>
      <c r="I378" s="49">
        <v>0.5</v>
      </c>
      <c r="J378" s="30" t="s">
        <v>53</v>
      </c>
      <c r="K378" s="30" t="s">
        <v>171</v>
      </c>
      <c r="L378" s="30">
        <v>1</v>
      </c>
      <c r="M378" s="30" t="s">
        <v>2271</v>
      </c>
      <c r="P378" s="30" t="s">
        <v>174</v>
      </c>
      <c r="Q378" s="30" t="s">
        <v>84</v>
      </c>
      <c r="R378" s="30" t="s">
        <v>1825</v>
      </c>
      <c r="S378" s="30" t="s">
        <v>1498</v>
      </c>
      <c r="T378" s="30">
        <v>751600049558</v>
      </c>
      <c r="U378" s="30" t="s">
        <v>2272</v>
      </c>
      <c r="V378" s="30">
        <v>813373</v>
      </c>
      <c r="W378" s="30" t="s">
        <v>2255</v>
      </c>
      <c r="X378" s="30" t="s">
        <v>179</v>
      </c>
      <c r="Y378" t="s">
        <v>941</v>
      </c>
      <c r="Z378" s="30" t="s">
        <v>180</v>
      </c>
      <c r="AA378" s="30" t="s">
        <v>181</v>
      </c>
      <c r="AB378" s="30" t="s">
        <v>1491</v>
      </c>
      <c r="AC378" s="30" t="s">
        <v>56</v>
      </c>
      <c r="AD378" s="30" t="s">
        <v>1647</v>
      </c>
      <c r="AE378" s="30">
        <v>20107012011</v>
      </c>
      <c r="AF378" s="30" t="s">
        <v>2273</v>
      </c>
      <c r="AG378" s="30" t="s">
        <v>1584</v>
      </c>
      <c r="AH378" s="30" t="s">
        <v>185</v>
      </c>
      <c r="AI378" s="30" t="s">
        <v>2274</v>
      </c>
      <c r="AJ378" s="30" t="s">
        <v>2275</v>
      </c>
      <c r="AK378" s="30" t="s">
        <v>2252</v>
      </c>
      <c r="AL378" s="30" t="s">
        <v>483</v>
      </c>
      <c r="AM378" t="s">
        <v>270</v>
      </c>
      <c r="AN378" s="30" t="s">
        <v>270</v>
      </c>
      <c r="AO378" s="30" t="s">
        <v>483</v>
      </c>
      <c r="AP378" s="30" t="s">
        <v>483</v>
      </c>
      <c r="AQ378" s="30" t="s">
        <v>483</v>
      </c>
      <c r="AR378" s="30" t="s">
        <v>483</v>
      </c>
      <c r="AS378" s="30" t="s">
        <v>84</v>
      </c>
      <c r="AT378" s="30" t="s">
        <v>64</v>
      </c>
      <c r="AU378" s="50">
        <v>46269.583333333336</v>
      </c>
      <c r="AV378" s="50">
        <v>46269.658333333333</v>
      </c>
      <c r="AW378" s="50">
        <v>46269.709027777775</v>
      </c>
      <c r="AX378" s="50">
        <v>46269.760416666664</v>
      </c>
      <c r="AY378" s="50">
        <v>46269.773611111108</v>
      </c>
      <c r="AZ378" s="50">
        <v>46269.829861111109</v>
      </c>
      <c r="BA378" s="51">
        <v>46270.368750000001</v>
      </c>
      <c r="BB378" s="51">
        <v>46270.375</v>
      </c>
      <c r="BC378" s="50">
        <v>46270.387499999997</v>
      </c>
      <c r="BD378" s="50">
        <v>46270.399305555555</v>
      </c>
      <c r="BE378" s="51">
        <v>46270.409722222219</v>
      </c>
      <c r="BF378" s="51">
        <v>46270.56527777778</v>
      </c>
      <c r="BG378" s="51">
        <v>46270.720833333333</v>
      </c>
      <c r="BH378" s="51">
        <v>46270.729166666664</v>
      </c>
      <c r="BI378" s="30" t="s">
        <v>64</v>
      </c>
      <c r="BJ378" s="50">
        <v>46271.208333333336</v>
      </c>
      <c r="BK378" s="50">
        <v>46271.279861111114</v>
      </c>
      <c r="BL378" s="50">
        <v>46271.320833333331</v>
      </c>
      <c r="BM378" s="50">
        <v>46271.355555555558</v>
      </c>
      <c r="BN378" s="50">
        <v>46271.365972222222</v>
      </c>
    </row>
    <row r="379" spans="1:66">
      <c r="A379" t="s">
        <v>168</v>
      </c>
      <c r="B379" s="30">
        <v>29</v>
      </c>
      <c r="C379" s="30">
        <v>36</v>
      </c>
      <c r="D379" s="30" t="s">
        <v>169</v>
      </c>
      <c r="E379" s="30" t="s">
        <v>170</v>
      </c>
      <c r="F379" s="48">
        <v>46270</v>
      </c>
      <c r="G379" s="48">
        <v>46271</v>
      </c>
      <c r="H379" s="49">
        <v>0.41666666666666669</v>
      </c>
      <c r="I379" s="49">
        <v>0.5</v>
      </c>
      <c r="J379" s="30" t="s">
        <v>53</v>
      </c>
      <c r="K379" s="30" t="s">
        <v>171</v>
      </c>
      <c r="L379" s="30">
        <v>1</v>
      </c>
      <c r="M379" s="30" t="s">
        <v>2276</v>
      </c>
      <c r="P379" s="30" t="s">
        <v>174</v>
      </c>
      <c r="Q379" s="30" t="s">
        <v>84</v>
      </c>
      <c r="R379" s="30" t="s">
        <v>1825</v>
      </c>
      <c r="S379" s="30" t="s">
        <v>1498</v>
      </c>
      <c r="T379" s="30">
        <v>751600049532</v>
      </c>
      <c r="U379" s="30" t="s">
        <v>2277</v>
      </c>
      <c r="V379" s="30">
        <v>813692</v>
      </c>
      <c r="W379" s="30" t="s">
        <v>2255</v>
      </c>
      <c r="X379" s="30" t="s">
        <v>179</v>
      </c>
      <c r="Y379" t="s">
        <v>941</v>
      </c>
      <c r="Z379" s="30" t="s">
        <v>180</v>
      </c>
      <c r="AA379" s="30" t="s">
        <v>181</v>
      </c>
      <c r="AB379" s="30" t="s">
        <v>1491</v>
      </c>
      <c r="AC379" s="30" t="s">
        <v>92</v>
      </c>
      <c r="AD379" s="30" t="s">
        <v>2278</v>
      </c>
      <c r="AE379" s="30">
        <v>20608874802</v>
      </c>
      <c r="AF379" s="30" t="s">
        <v>2279</v>
      </c>
      <c r="AG379" s="30" t="s">
        <v>2280</v>
      </c>
      <c r="AH379" s="30" t="s">
        <v>185</v>
      </c>
      <c r="AI379" s="30" t="s">
        <v>2281</v>
      </c>
      <c r="AJ379" s="30" t="s">
        <v>2282</v>
      </c>
      <c r="AK379" s="30" t="s">
        <v>2252</v>
      </c>
      <c r="AL379" s="30" t="s">
        <v>483</v>
      </c>
      <c r="AM379" t="s">
        <v>270</v>
      </c>
      <c r="AN379" s="30" t="s">
        <v>270</v>
      </c>
      <c r="AO379" s="30" t="s">
        <v>483</v>
      </c>
      <c r="AP379" s="30" t="s">
        <v>483</v>
      </c>
      <c r="AQ379" s="30" t="s">
        <v>483</v>
      </c>
      <c r="AR379" s="30" t="s">
        <v>483</v>
      </c>
      <c r="AS379" s="30" t="s">
        <v>84</v>
      </c>
      <c r="AT379" s="30" t="s">
        <v>64</v>
      </c>
      <c r="AU379" s="50">
        <v>46270.5</v>
      </c>
      <c r="AV379" s="50">
        <v>46270.484722222223</v>
      </c>
      <c r="AW379" s="50">
        <v>46270.570138888892</v>
      </c>
      <c r="AX379" s="50">
        <v>46270.595833333333</v>
      </c>
      <c r="AY379" s="50">
        <v>46270.609722222223</v>
      </c>
      <c r="AZ379" s="50">
        <v>46270.631249999999</v>
      </c>
      <c r="BA379" s="51">
        <v>46271.368055555555</v>
      </c>
      <c r="BB379" s="51">
        <v>46271.378472222219</v>
      </c>
      <c r="BC379" s="50">
        <v>46271.388888888891</v>
      </c>
      <c r="BD379" s="50">
        <v>46271.402777777781</v>
      </c>
      <c r="BE379" s="51">
        <v>46271.416666666664</v>
      </c>
      <c r="BF379" s="51">
        <v>46271.5625</v>
      </c>
      <c r="BG379" s="51">
        <v>46271.708333333336</v>
      </c>
      <c r="BH379" s="51">
        <v>46271.716666666667</v>
      </c>
      <c r="BI379" s="30" t="s">
        <v>64</v>
      </c>
      <c r="BJ379" s="50">
        <v>46272.583333333336</v>
      </c>
      <c r="BK379" s="50">
        <v>46272.531944444447</v>
      </c>
      <c r="BL379" s="50">
        <v>46272.549305555556</v>
      </c>
      <c r="BM379" s="50">
        <v>46272.570833333331</v>
      </c>
      <c r="BN379" s="50">
        <v>46272.581944444442</v>
      </c>
    </row>
    <row r="380" spans="1:66">
      <c r="A380" t="s">
        <v>168</v>
      </c>
      <c r="B380" s="30">
        <v>30</v>
      </c>
      <c r="C380" s="30">
        <v>36</v>
      </c>
      <c r="D380" s="30" t="s">
        <v>169</v>
      </c>
      <c r="E380" s="30" t="s">
        <v>170</v>
      </c>
      <c r="F380" s="48">
        <v>46270</v>
      </c>
      <c r="G380" s="48">
        <v>46271</v>
      </c>
      <c r="H380" s="49">
        <v>0.65972222222222221</v>
      </c>
      <c r="I380" s="49">
        <v>0.58333333333333337</v>
      </c>
      <c r="J380" s="30" t="s">
        <v>53</v>
      </c>
      <c r="K380" s="30" t="s">
        <v>171</v>
      </c>
      <c r="L380" s="30">
        <v>1</v>
      </c>
      <c r="M380" s="30" t="s">
        <v>2283</v>
      </c>
      <c r="P380" s="30" t="s">
        <v>174</v>
      </c>
      <c r="Q380" s="30" t="s">
        <v>84</v>
      </c>
      <c r="R380" s="30" t="s">
        <v>1825</v>
      </c>
      <c r="S380" s="30" t="s">
        <v>1498</v>
      </c>
      <c r="T380" s="30">
        <v>751600049540</v>
      </c>
      <c r="U380" s="30" t="s">
        <v>2284</v>
      </c>
      <c r="V380" s="30">
        <v>813710</v>
      </c>
      <c r="W380" s="30" t="s">
        <v>2255</v>
      </c>
      <c r="X380" s="30" t="s">
        <v>179</v>
      </c>
      <c r="Y380" t="s">
        <v>941</v>
      </c>
      <c r="Z380" s="30" t="s">
        <v>180</v>
      </c>
      <c r="AA380" s="30" t="s">
        <v>181</v>
      </c>
      <c r="AB380" s="30" t="s">
        <v>1491</v>
      </c>
      <c r="AC380" s="30" t="s">
        <v>92</v>
      </c>
      <c r="AD380" s="30" t="s">
        <v>2278</v>
      </c>
      <c r="AE380" s="30">
        <v>20608874802</v>
      </c>
      <c r="AF380" s="30" t="s">
        <v>2285</v>
      </c>
      <c r="AG380" s="30" t="s">
        <v>2286</v>
      </c>
      <c r="AH380" s="30" t="s">
        <v>185</v>
      </c>
      <c r="AI380" s="30" t="s">
        <v>2287</v>
      </c>
      <c r="AJ380" s="30" t="s">
        <v>2288</v>
      </c>
      <c r="AK380" s="30" t="s">
        <v>2252</v>
      </c>
      <c r="AL380" s="30" t="s">
        <v>483</v>
      </c>
      <c r="AM380" t="s">
        <v>270</v>
      </c>
      <c r="AN380" s="30" t="s">
        <v>270</v>
      </c>
      <c r="AO380" s="30" t="s">
        <v>483</v>
      </c>
      <c r="AP380" s="30" t="s">
        <v>483</v>
      </c>
      <c r="AQ380" s="30" t="s">
        <v>483</v>
      </c>
      <c r="AR380" s="30" t="s">
        <v>483</v>
      </c>
      <c r="AS380" s="30" t="s">
        <v>84</v>
      </c>
      <c r="AT380" s="30" t="s">
        <v>64</v>
      </c>
      <c r="AU380" s="50">
        <v>46270.541666666664</v>
      </c>
      <c r="AV380" s="50">
        <v>46270.502083333333</v>
      </c>
      <c r="AW380" s="50">
        <v>46270.574305555558</v>
      </c>
      <c r="AX380" s="50">
        <v>46270.614583333336</v>
      </c>
      <c r="AY380" s="50">
        <v>46270.630555555559</v>
      </c>
      <c r="AZ380" s="50">
        <v>46270.631249999999</v>
      </c>
      <c r="BA380" s="51">
        <v>46271.614583333336</v>
      </c>
      <c r="BB380" s="51">
        <v>46271.623611111114</v>
      </c>
      <c r="BC380" s="50">
        <v>46271.635416666664</v>
      </c>
      <c r="BD380" s="50">
        <v>46271.645833333336</v>
      </c>
      <c r="BE380" s="51">
        <v>46271.659722222219</v>
      </c>
      <c r="BF380" s="51">
        <v>46271.679861111108</v>
      </c>
      <c r="BG380" s="51">
        <v>46271.7</v>
      </c>
      <c r="BH380" s="51">
        <v>46271.709027777775</v>
      </c>
      <c r="BI380" s="30" t="s">
        <v>64</v>
      </c>
      <c r="BJ380" s="50">
        <v>46272.916666666664</v>
      </c>
      <c r="BK380" s="50">
        <v>46272.82916666667</v>
      </c>
      <c r="BL380" s="50">
        <v>46272.880555555559</v>
      </c>
      <c r="BM380" s="50">
        <v>46272.878472222219</v>
      </c>
      <c r="BN380" s="50">
        <v>46272.89166666667</v>
      </c>
    </row>
    <row r="381" spans="1:66">
      <c r="A381" t="s">
        <v>168</v>
      </c>
      <c r="B381" s="30">
        <v>31</v>
      </c>
      <c r="C381" s="30">
        <v>37</v>
      </c>
      <c r="D381" s="30" t="s">
        <v>169</v>
      </c>
      <c r="E381" s="30" t="s">
        <v>170</v>
      </c>
      <c r="F381" s="48">
        <v>46274</v>
      </c>
      <c r="G381" s="48">
        <v>46275</v>
      </c>
      <c r="H381" s="49">
        <v>0.40972222222222221</v>
      </c>
      <c r="I381" s="49">
        <v>0.58333333333333337</v>
      </c>
      <c r="J381" s="30" t="s">
        <v>53</v>
      </c>
      <c r="K381" s="30" t="s">
        <v>171</v>
      </c>
      <c r="L381" s="30">
        <v>1</v>
      </c>
      <c r="M381" s="30" t="s">
        <v>2525</v>
      </c>
      <c r="P381" s="30" t="s">
        <v>174</v>
      </c>
      <c r="Q381" s="30" t="s">
        <v>84</v>
      </c>
      <c r="R381" s="30" t="s">
        <v>1613</v>
      </c>
      <c r="S381" s="30" t="s">
        <v>1498</v>
      </c>
      <c r="T381" s="30">
        <v>276673619</v>
      </c>
      <c r="U381" s="30" t="s">
        <v>2526</v>
      </c>
      <c r="V381" s="30" t="s">
        <v>2527</v>
      </c>
      <c r="W381" s="30" t="s">
        <v>2528</v>
      </c>
      <c r="X381" s="30" t="s">
        <v>179</v>
      </c>
      <c r="Y381" t="s">
        <v>180</v>
      </c>
      <c r="Z381" s="30" t="s">
        <v>180</v>
      </c>
      <c r="AA381" s="30" t="s">
        <v>181</v>
      </c>
      <c r="AB381" s="30" t="s">
        <v>1491</v>
      </c>
      <c r="AC381" s="30" t="s">
        <v>56</v>
      </c>
      <c r="AD381" s="30" t="s">
        <v>1647</v>
      </c>
      <c r="AE381" s="30">
        <v>20107012011</v>
      </c>
      <c r="AF381" s="30" t="s">
        <v>1617</v>
      </c>
      <c r="AG381" s="30" t="s">
        <v>1618</v>
      </c>
      <c r="AH381" s="30" t="s">
        <v>185</v>
      </c>
      <c r="AI381" s="30" t="s">
        <v>2529</v>
      </c>
      <c r="AJ381" s="30" t="s">
        <v>2530</v>
      </c>
      <c r="AK381" s="30" t="s">
        <v>2252</v>
      </c>
      <c r="AL381" s="30" t="s">
        <v>483</v>
      </c>
      <c r="AM381" t="s">
        <v>270</v>
      </c>
      <c r="AN381" s="30" t="s">
        <v>270</v>
      </c>
      <c r="AO381" s="30" t="s">
        <v>483</v>
      </c>
      <c r="AP381" s="30" t="s">
        <v>483</v>
      </c>
      <c r="AQ381" s="30" t="s">
        <v>483</v>
      </c>
      <c r="AR381" s="30" t="s">
        <v>483</v>
      </c>
      <c r="AS381" s="30" t="s">
        <v>84</v>
      </c>
      <c r="AT381" s="30" t="s">
        <v>1504</v>
      </c>
      <c r="AU381" s="50">
        <v>46274.583333333336</v>
      </c>
      <c r="AV381" s="50">
        <v>46274.631944444445</v>
      </c>
      <c r="AW381" s="50">
        <v>46274.833333333336</v>
      </c>
      <c r="AX381" s="50">
        <v>46274.855555555558</v>
      </c>
      <c r="AY381" s="50">
        <v>46274.865277777775</v>
      </c>
      <c r="AZ381" s="50">
        <v>46274.902777777781</v>
      </c>
      <c r="BA381" s="51">
        <v>46304.372916666667</v>
      </c>
      <c r="BB381" s="51">
        <v>46304.375</v>
      </c>
      <c r="BC381" s="50">
        <v>46304.385416666664</v>
      </c>
      <c r="BD381" s="50">
        <v>46304.397222222222</v>
      </c>
      <c r="BE381" s="51">
        <v>46304.409722222219</v>
      </c>
      <c r="BF381" s="51">
        <v>46304.552083333336</v>
      </c>
      <c r="BG381" s="51">
        <v>46304.694444444445</v>
      </c>
      <c r="BH381" s="51">
        <v>46304.70416666667</v>
      </c>
      <c r="BI381" s="30" t="s">
        <v>787</v>
      </c>
      <c r="BJ381" s="50">
        <v>46335.375</v>
      </c>
      <c r="BK381" s="50">
        <v>46335.331944444442</v>
      </c>
      <c r="BL381" s="50">
        <v>46335.353472222225</v>
      </c>
      <c r="BM381" s="50">
        <v>46335.366666666669</v>
      </c>
      <c r="BN381" s="50">
        <v>46335.374305555553</v>
      </c>
    </row>
    <row r="382" spans="1:66">
      <c r="A382" t="s">
        <v>168</v>
      </c>
      <c r="B382" s="30">
        <v>32</v>
      </c>
      <c r="C382" s="30">
        <v>37</v>
      </c>
      <c r="D382" s="30" t="s">
        <v>169</v>
      </c>
      <c r="E382" s="30" t="s">
        <v>170</v>
      </c>
      <c r="F382" s="48">
        <v>46278</v>
      </c>
      <c r="G382" s="48">
        <v>46279</v>
      </c>
      <c r="H382" s="49">
        <v>0.60277777777777775</v>
      </c>
      <c r="I382" s="49">
        <v>0.41666666666666669</v>
      </c>
      <c r="J382" s="30" t="s">
        <v>53</v>
      </c>
      <c r="K382" s="30" t="s">
        <v>171</v>
      </c>
      <c r="L382" s="30">
        <v>1</v>
      </c>
      <c r="M382" s="30" t="s">
        <v>2531</v>
      </c>
      <c r="P382" s="30" t="s">
        <v>174</v>
      </c>
      <c r="Q382" s="30" t="s">
        <v>84</v>
      </c>
      <c r="R382" s="30" t="s">
        <v>1822</v>
      </c>
      <c r="S382" s="30" t="s">
        <v>1823</v>
      </c>
      <c r="T382" s="30">
        <v>751600050645</v>
      </c>
      <c r="U382" s="30" t="s">
        <v>2532</v>
      </c>
      <c r="V382" s="30">
        <v>816204</v>
      </c>
      <c r="W382" s="30" t="s">
        <v>2255</v>
      </c>
      <c r="X382" s="30" t="s">
        <v>179</v>
      </c>
      <c r="Y382" t="s">
        <v>941</v>
      </c>
      <c r="Z382" s="30" t="s">
        <v>180</v>
      </c>
      <c r="AA382" s="30" t="s">
        <v>181</v>
      </c>
      <c r="AB382" s="30" t="s">
        <v>1491</v>
      </c>
      <c r="AC382" s="30" t="s">
        <v>92</v>
      </c>
      <c r="AD382" s="30" t="s">
        <v>2533</v>
      </c>
      <c r="AE382" s="30">
        <v>20616030133</v>
      </c>
      <c r="AF382" s="30" t="s">
        <v>2534</v>
      </c>
      <c r="AG382" s="30" t="s">
        <v>2535</v>
      </c>
      <c r="AH382" s="30" t="s">
        <v>185</v>
      </c>
      <c r="AI382" s="30" t="s">
        <v>2536</v>
      </c>
      <c r="AJ382" s="30" t="s">
        <v>2537</v>
      </c>
      <c r="AK382" s="30" t="s">
        <v>2252</v>
      </c>
      <c r="AL382" s="30" t="s">
        <v>483</v>
      </c>
      <c r="AM382" t="s">
        <v>270</v>
      </c>
      <c r="AN382" s="30" t="s">
        <v>270</v>
      </c>
      <c r="AO382" s="30" t="s">
        <v>483</v>
      </c>
      <c r="AP382" s="30" t="s">
        <v>483</v>
      </c>
      <c r="AQ382" s="30" t="s">
        <v>483</v>
      </c>
      <c r="AR382" s="30" t="s">
        <v>483</v>
      </c>
      <c r="AS382" s="30" t="s">
        <v>84</v>
      </c>
      <c r="AT382" s="30" t="s">
        <v>64</v>
      </c>
      <c r="AU382" s="50">
        <v>46278.458333333336</v>
      </c>
      <c r="AV382" s="50">
        <v>46278.543749999997</v>
      </c>
      <c r="AW382" s="50">
        <v>46278.570833333331</v>
      </c>
      <c r="AX382" s="50">
        <v>46278.683333333334</v>
      </c>
      <c r="AY382" s="50">
        <v>46278.688888888886</v>
      </c>
      <c r="AZ382" s="50">
        <v>46278.714583333334</v>
      </c>
      <c r="BA382" s="51">
        <v>46279.414583333331</v>
      </c>
      <c r="BB382" s="51">
        <v>46279.568055555559</v>
      </c>
      <c r="BC382" s="50">
        <v>46279.579861111109</v>
      </c>
      <c r="BD382" s="50">
        <v>46279.590277777781</v>
      </c>
      <c r="BE382" s="51">
        <v>46279.602777777778</v>
      </c>
      <c r="BF382" s="51">
        <v>46279.665972222225</v>
      </c>
      <c r="BG382" s="51">
        <v>46279.729166666664</v>
      </c>
      <c r="BH382" s="51">
        <v>46279.739583333336</v>
      </c>
      <c r="BI382" s="30" t="s">
        <v>64</v>
      </c>
      <c r="BJ382" s="50">
        <v>46280.291666666664</v>
      </c>
      <c r="BK382" s="50">
        <v>46280.265972222223</v>
      </c>
      <c r="BL382" s="50">
        <v>46280.347222222219</v>
      </c>
      <c r="BM382" s="50">
        <v>46280.357638888891</v>
      </c>
      <c r="BN382" s="50">
        <v>46280.362500000003</v>
      </c>
    </row>
    <row r="383" spans="1:66">
      <c r="A383" t="s">
        <v>168</v>
      </c>
      <c r="B383" s="30">
        <v>33</v>
      </c>
      <c r="C383" s="30">
        <v>38</v>
      </c>
      <c r="D383" s="30" t="s">
        <v>169</v>
      </c>
      <c r="E383" s="30" t="s">
        <v>170</v>
      </c>
      <c r="F383" s="48">
        <v>46281</v>
      </c>
      <c r="G383" s="48">
        <v>46282</v>
      </c>
      <c r="H383" s="49">
        <v>0.59166666666666667</v>
      </c>
      <c r="I383" s="49">
        <v>0.41666666666666669</v>
      </c>
      <c r="J383" s="30" t="s">
        <v>53</v>
      </c>
      <c r="K383" s="30" t="s">
        <v>171</v>
      </c>
      <c r="L383" s="30">
        <v>1</v>
      </c>
      <c r="M383" s="30" t="s">
        <v>2538</v>
      </c>
      <c r="P383" s="30" t="s">
        <v>174</v>
      </c>
      <c r="Q383" s="30" t="s">
        <v>84</v>
      </c>
      <c r="R383" s="30" t="s">
        <v>1613</v>
      </c>
      <c r="S383" s="30" t="s">
        <v>1498</v>
      </c>
      <c r="T383" s="30" t="s">
        <v>2539</v>
      </c>
      <c r="U383" s="30" t="s">
        <v>2540</v>
      </c>
      <c r="V383" s="30" t="s">
        <v>2541</v>
      </c>
      <c r="W383" s="30" t="s">
        <v>2542</v>
      </c>
      <c r="X383" s="30" t="s">
        <v>179</v>
      </c>
      <c r="Y383" t="s">
        <v>180</v>
      </c>
      <c r="Z383" s="30" t="s">
        <v>180</v>
      </c>
      <c r="AA383" s="30" t="s">
        <v>181</v>
      </c>
      <c r="AB383" s="30" t="s">
        <v>1491</v>
      </c>
      <c r="AC383" s="30" t="s">
        <v>92</v>
      </c>
      <c r="AD383" s="30" t="s">
        <v>2278</v>
      </c>
      <c r="AE383" s="30">
        <v>20608874802</v>
      </c>
      <c r="AF383" s="30" t="s">
        <v>2543</v>
      </c>
      <c r="AG383" s="30" t="s">
        <v>2544</v>
      </c>
      <c r="AH383" s="30" t="s">
        <v>185</v>
      </c>
      <c r="AI383" s="30" t="s">
        <v>2545</v>
      </c>
      <c r="AJ383" s="30" t="s">
        <v>2546</v>
      </c>
      <c r="AK383" s="30" t="s">
        <v>2252</v>
      </c>
      <c r="AL383" s="30" t="s">
        <v>483</v>
      </c>
      <c r="AM383" t="s">
        <v>270</v>
      </c>
      <c r="AN383" s="30" t="s">
        <v>270</v>
      </c>
      <c r="AO383" s="30" t="s">
        <v>483</v>
      </c>
      <c r="AP383" s="30" t="s">
        <v>483</v>
      </c>
      <c r="AQ383" s="30" t="s">
        <v>483</v>
      </c>
      <c r="AR383" s="30" t="s">
        <v>483</v>
      </c>
      <c r="AS383" s="30" t="s">
        <v>84</v>
      </c>
      <c r="AT383" s="30" t="s">
        <v>1504</v>
      </c>
      <c r="AU383" s="50">
        <v>46281</v>
      </c>
      <c r="AV383" s="50">
        <v>46281.484722222223</v>
      </c>
      <c r="AW383" s="50">
        <v>46281.503472222219</v>
      </c>
      <c r="AX383" s="50">
        <v>46281.504861111112</v>
      </c>
      <c r="AY383" s="50">
        <v>46281.510416666664</v>
      </c>
      <c r="AZ383" s="50">
        <v>46281.513888888891</v>
      </c>
      <c r="BA383" s="51">
        <v>46282.454861111109</v>
      </c>
      <c r="BB383" s="51">
        <v>46282.47152777778</v>
      </c>
      <c r="BC383" s="50">
        <v>46282.488194444442</v>
      </c>
      <c r="BD383" s="50">
        <v>46282.511111111111</v>
      </c>
      <c r="BE383" s="51">
        <v>46282.591666666667</v>
      </c>
      <c r="BF383" s="51">
        <v>46282.6</v>
      </c>
      <c r="BG383" s="51">
        <v>46282.605555555558</v>
      </c>
      <c r="BH383" s="51">
        <v>46282.617361111108</v>
      </c>
      <c r="BI383" s="30" t="s">
        <v>787</v>
      </c>
      <c r="BJ383" s="50">
        <v>46283.583333333336</v>
      </c>
      <c r="BK383" s="50">
        <v>46283.583333333336</v>
      </c>
      <c r="BL383" s="50">
        <v>46283.67291666667</v>
      </c>
      <c r="BM383" s="50">
        <v>46283.760416666664</v>
      </c>
      <c r="BN383" s="50">
        <v>46283.770833333336</v>
      </c>
    </row>
    <row r="384" spans="1:66">
      <c r="A384" t="s">
        <v>168</v>
      </c>
      <c r="B384" s="30">
        <v>34</v>
      </c>
      <c r="C384" s="30">
        <v>39</v>
      </c>
      <c r="D384" s="30" t="s">
        <v>169</v>
      </c>
      <c r="E384" s="30" t="s">
        <v>170</v>
      </c>
      <c r="F384" s="48">
        <v>46288</v>
      </c>
      <c r="G384" s="48">
        <v>46289</v>
      </c>
      <c r="H384" s="49">
        <v>0.49583333333333335</v>
      </c>
      <c r="I384" s="49">
        <v>0.41666666666666669</v>
      </c>
      <c r="J384" s="30" t="s">
        <v>53</v>
      </c>
      <c r="K384" s="30" t="s">
        <v>171</v>
      </c>
      <c r="L384" s="30">
        <v>1</v>
      </c>
      <c r="M384" s="30" t="s">
        <v>2769</v>
      </c>
      <c r="P384" s="30" t="s">
        <v>174</v>
      </c>
      <c r="Q384" s="30" t="s">
        <v>84</v>
      </c>
      <c r="R384" s="30" t="s">
        <v>1613</v>
      </c>
      <c r="S384" s="30" t="s">
        <v>1498</v>
      </c>
      <c r="T384" s="30">
        <v>277309205</v>
      </c>
      <c r="U384" s="30" t="s">
        <v>2770</v>
      </c>
      <c r="V384" s="30" t="s">
        <v>2771</v>
      </c>
      <c r="W384" s="30" t="s">
        <v>2772</v>
      </c>
      <c r="X384" s="30" t="s">
        <v>179</v>
      </c>
      <c r="Y384" t="s">
        <v>180</v>
      </c>
      <c r="Z384" s="30" t="s">
        <v>180</v>
      </c>
      <c r="AA384" s="30" t="s">
        <v>181</v>
      </c>
      <c r="AB384" s="30" t="s">
        <v>1491</v>
      </c>
      <c r="AC384" s="30" t="s">
        <v>92</v>
      </c>
      <c r="AD384" s="30" t="s">
        <v>2533</v>
      </c>
      <c r="AE384" s="30">
        <v>20616030133</v>
      </c>
      <c r="AF384" s="30" t="s">
        <v>2773</v>
      </c>
      <c r="AG384" s="30" t="s">
        <v>2774</v>
      </c>
      <c r="AH384" s="30" t="s">
        <v>185</v>
      </c>
      <c r="AI384" s="30" t="s">
        <v>2775</v>
      </c>
      <c r="AJ384" s="30" t="s">
        <v>2776</v>
      </c>
      <c r="AK384" s="30" t="s">
        <v>2252</v>
      </c>
      <c r="AL384" s="30" t="s">
        <v>483</v>
      </c>
      <c r="AM384" t="s">
        <v>270</v>
      </c>
      <c r="AN384" s="30" t="s">
        <v>270</v>
      </c>
      <c r="AO384" s="30" t="s">
        <v>483</v>
      </c>
      <c r="AP384" s="30" t="s">
        <v>483</v>
      </c>
      <c r="AQ384" s="30" t="s">
        <v>483</v>
      </c>
      <c r="AR384" s="30" t="s">
        <v>483</v>
      </c>
      <c r="AS384" s="30" t="s">
        <v>84</v>
      </c>
      <c r="AT384" s="30" t="s">
        <v>1504</v>
      </c>
      <c r="AU384" s="50">
        <v>46288.5</v>
      </c>
      <c r="AV384" s="50">
        <v>46288.515972222223</v>
      </c>
      <c r="AW384" s="50">
        <v>46288.549305555556</v>
      </c>
      <c r="AX384" s="50">
        <v>46288.563888888886</v>
      </c>
      <c r="AY384" s="50">
        <v>46288.569444444445</v>
      </c>
      <c r="AZ384" s="50">
        <v>46288.570833333331</v>
      </c>
      <c r="BA384" s="51">
        <v>46289.366666666669</v>
      </c>
      <c r="BB384" s="51">
        <v>46289.368055555555</v>
      </c>
      <c r="BC384" s="50">
        <v>46289.382638888892</v>
      </c>
      <c r="BD384" s="50">
        <v>46289.40625</v>
      </c>
      <c r="BE384" s="51">
        <v>46289.495833333334</v>
      </c>
      <c r="BF384" s="51">
        <v>46289.498611111114</v>
      </c>
      <c r="BG384" s="51">
        <v>46289.504861111112</v>
      </c>
      <c r="BH384" s="51">
        <v>46289.525000000001</v>
      </c>
      <c r="BI384" s="30" t="s">
        <v>787</v>
      </c>
      <c r="BJ384" s="50">
        <v>46290.25</v>
      </c>
      <c r="BK384" s="50">
        <v>46290.224999999999</v>
      </c>
      <c r="BL384" s="50">
        <v>46290.240277777775</v>
      </c>
      <c r="BM384" s="50">
        <v>46290.256944444445</v>
      </c>
      <c r="BN384" s="50">
        <v>46290.260416666664</v>
      </c>
    </row>
    <row r="385" spans="1:66">
      <c r="A385" t="s">
        <v>168</v>
      </c>
      <c r="B385" s="30">
        <v>1</v>
      </c>
      <c r="C385" s="30">
        <v>28</v>
      </c>
      <c r="D385" s="30" t="s">
        <v>169</v>
      </c>
      <c r="E385" s="30" t="s">
        <v>2547</v>
      </c>
      <c r="F385" s="48">
        <v>46214</v>
      </c>
      <c r="G385" s="48">
        <v>46215</v>
      </c>
      <c r="H385" s="49">
        <v>0.58333333333333337</v>
      </c>
      <c r="I385" s="49">
        <v>0.5</v>
      </c>
      <c r="J385" s="30" t="s">
        <v>53</v>
      </c>
      <c r="K385" s="30" t="s">
        <v>171</v>
      </c>
      <c r="L385" s="30">
        <v>1</v>
      </c>
      <c r="M385" s="30" t="s">
        <v>1664</v>
      </c>
      <c r="N385" s="30" t="s">
        <v>173</v>
      </c>
      <c r="O385" s="30" t="s">
        <v>173</v>
      </c>
      <c r="P385" s="30" t="s">
        <v>174</v>
      </c>
      <c r="Q385" s="30" t="s">
        <v>1886</v>
      </c>
      <c r="R385" s="30" t="s">
        <v>1825</v>
      </c>
      <c r="S385" s="30" t="s">
        <v>1823</v>
      </c>
      <c r="T385" s="30" t="s">
        <v>2548</v>
      </c>
      <c r="U385" s="30" t="s">
        <v>1665</v>
      </c>
      <c r="V385" s="30">
        <v>63992</v>
      </c>
      <c r="W385" s="30" t="s">
        <v>1666</v>
      </c>
      <c r="X385" s="30" t="s">
        <v>179</v>
      </c>
      <c r="Y385" t="s">
        <v>179</v>
      </c>
      <c r="Z385" s="30" t="s">
        <v>180</v>
      </c>
      <c r="AA385" s="30" t="s">
        <v>181</v>
      </c>
      <c r="AB385" s="30" t="s">
        <v>1667</v>
      </c>
      <c r="AC385" s="30" t="s">
        <v>56</v>
      </c>
      <c r="AD385" s="30" t="s">
        <v>1668</v>
      </c>
      <c r="AE385" s="30">
        <v>20557679392</v>
      </c>
      <c r="AF385" s="30" t="s">
        <v>1692</v>
      </c>
      <c r="AG385" s="30" t="s">
        <v>1669</v>
      </c>
      <c r="AH385" s="30" t="s">
        <v>185</v>
      </c>
      <c r="AI385" s="30" t="s">
        <v>1670</v>
      </c>
      <c r="AJ385" s="30" t="s">
        <v>1671</v>
      </c>
      <c r="AK385" s="30">
        <v>0</v>
      </c>
      <c r="AL385" s="30" t="s">
        <v>483</v>
      </c>
      <c r="AM385" t="s">
        <v>270</v>
      </c>
      <c r="AN385" s="30" t="s">
        <v>270</v>
      </c>
      <c r="AO385" s="30" t="s">
        <v>483</v>
      </c>
      <c r="AP385" s="30" t="s">
        <v>483</v>
      </c>
      <c r="AQ385" s="30" t="s">
        <v>483</v>
      </c>
      <c r="AR385" s="30" t="s">
        <v>483</v>
      </c>
      <c r="AS385" s="30" t="s">
        <v>84</v>
      </c>
      <c r="AT385" s="30" t="s">
        <v>669</v>
      </c>
      <c r="AU385" s="50">
        <v>46214.583333333336</v>
      </c>
      <c r="AV385" s="50">
        <v>46214.611111111109</v>
      </c>
      <c r="AW385" s="50">
        <v>46214.617361111108</v>
      </c>
      <c r="AX385" s="50">
        <v>46214.654861111114</v>
      </c>
      <c r="AY385" s="50">
        <v>46214.734027777777</v>
      </c>
      <c r="AZ385" s="50">
        <v>46214.734027777777</v>
      </c>
      <c r="BA385" s="51">
        <v>46215.356944444444</v>
      </c>
      <c r="BB385" s="51">
        <v>46215.356944444444</v>
      </c>
      <c r="BC385" s="50">
        <v>46363.37222222222</v>
      </c>
      <c r="BE385" s="51">
        <v>46215.619444444441</v>
      </c>
      <c r="BF385" s="51"/>
      <c r="BG385" s="51">
        <v>46215.702777777777</v>
      </c>
      <c r="BH385" s="51">
        <v>46215.74722222222</v>
      </c>
      <c r="BI385" s="30" t="s">
        <v>64</v>
      </c>
      <c r="BJ385" s="50">
        <v>46216.583333333336</v>
      </c>
      <c r="BK385" s="50">
        <v>46216.482638888891</v>
      </c>
      <c r="BL385" s="50">
        <v>46216.584027777775</v>
      </c>
      <c r="BM385" s="50">
        <v>46216.586805555555</v>
      </c>
      <c r="BN385" s="50">
        <v>46216.59652777778</v>
      </c>
    </row>
    <row r="386" spans="1:66">
      <c r="A386" t="s">
        <v>168</v>
      </c>
      <c r="B386" s="30">
        <v>2</v>
      </c>
      <c r="C386" s="30">
        <v>28</v>
      </c>
      <c r="D386" s="30" t="s">
        <v>169</v>
      </c>
      <c r="E386" s="30" t="s">
        <v>2547</v>
      </c>
      <c r="F386" s="48">
        <v>46214</v>
      </c>
      <c r="G386" s="48">
        <v>46215</v>
      </c>
      <c r="H386" s="49">
        <v>0.58333333333333337</v>
      </c>
      <c r="I386" s="49">
        <v>0.5</v>
      </c>
      <c r="J386" s="30" t="s">
        <v>53</v>
      </c>
      <c r="K386" s="30" t="s">
        <v>171</v>
      </c>
      <c r="L386" s="30">
        <v>1</v>
      </c>
      <c r="M386" s="30" t="s">
        <v>1672</v>
      </c>
      <c r="N386" s="30" t="s">
        <v>173</v>
      </c>
      <c r="O386" s="30" t="s">
        <v>173</v>
      </c>
      <c r="P386" s="30" t="s">
        <v>174</v>
      </c>
      <c r="Q386" s="30" t="s">
        <v>1886</v>
      </c>
      <c r="R386" s="30" t="s">
        <v>1825</v>
      </c>
      <c r="S386" s="30" t="s">
        <v>1823</v>
      </c>
      <c r="T386" s="30" t="s">
        <v>2549</v>
      </c>
      <c r="U386" s="30" t="s">
        <v>1673</v>
      </c>
      <c r="V386" s="30">
        <v>1277643</v>
      </c>
      <c r="W386" s="30" t="s">
        <v>1674</v>
      </c>
      <c r="X386" s="30" t="s">
        <v>179</v>
      </c>
      <c r="Y386" t="s">
        <v>179</v>
      </c>
      <c r="Z386" s="30" t="s">
        <v>180</v>
      </c>
      <c r="AA386" s="30" t="s">
        <v>181</v>
      </c>
      <c r="AB386" s="30" t="s">
        <v>1667</v>
      </c>
      <c r="AC386" s="30" t="s">
        <v>56</v>
      </c>
      <c r="AD386" s="30" t="s">
        <v>1668</v>
      </c>
      <c r="AE386" s="30">
        <v>20557679392</v>
      </c>
      <c r="AF386" s="30" t="s">
        <v>2550</v>
      </c>
      <c r="AG386" s="30" t="s">
        <v>1675</v>
      </c>
      <c r="AH386" s="30" t="s">
        <v>185</v>
      </c>
      <c r="AI386" s="30" t="s">
        <v>1676</v>
      </c>
      <c r="AJ386" s="30" t="s">
        <v>1677</v>
      </c>
      <c r="AK386" s="30">
        <v>0</v>
      </c>
      <c r="AL386" s="30" t="s">
        <v>483</v>
      </c>
      <c r="AM386" t="s">
        <v>270</v>
      </c>
      <c r="AN386" s="30" t="s">
        <v>270</v>
      </c>
      <c r="AO386" s="30" t="s">
        <v>483</v>
      </c>
      <c r="AP386" s="30" t="s">
        <v>483</v>
      </c>
      <c r="AQ386" s="30" t="s">
        <v>483</v>
      </c>
      <c r="AR386" s="30" t="s">
        <v>483</v>
      </c>
      <c r="AS386" s="30" t="s">
        <v>84</v>
      </c>
      <c r="AT386" s="30" t="s">
        <v>669</v>
      </c>
      <c r="AU386" s="50">
        <v>46214.583333333336</v>
      </c>
      <c r="AV386" s="50">
        <v>46214.615277777775</v>
      </c>
      <c r="AW386" s="50">
        <v>46214.65</v>
      </c>
      <c r="AX386" s="50">
        <v>46214.704861111109</v>
      </c>
      <c r="AY386" s="50">
        <v>46214.783333333333</v>
      </c>
      <c r="AZ386" s="50">
        <v>46214.783333333333</v>
      </c>
      <c r="BA386" s="51">
        <v>46215.508333333331</v>
      </c>
      <c r="BB386" s="51">
        <v>46215.508333333331</v>
      </c>
      <c r="BC386" s="50">
        <v>46215.527777777781</v>
      </c>
      <c r="BE386" s="51">
        <v>46215.645833333336</v>
      </c>
      <c r="BF386" s="51"/>
      <c r="BG386" s="51">
        <v>46215.708333333336</v>
      </c>
      <c r="BH386" s="51">
        <v>46215.755555555559</v>
      </c>
      <c r="BI386" s="30" t="s">
        <v>64</v>
      </c>
      <c r="BJ386" s="50">
        <v>46216.583333333336</v>
      </c>
      <c r="BK386" s="50">
        <v>46216.583333333336</v>
      </c>
      <c r="BL386" s="50">
        <v>46216.619444444441</v>
      </c>
      <c r="BM386" s="50">
        <v>46216.621527777781</v>
      </c>
      <c r="BN386" s="50">
        <v>46216.650694444441</v>
      </c>
    </row>
    <row r="387" spans="1:66">
      <c r="A387" t="s">
        <v>168</v>
      </c>
      <c r="B387" s="30">
        <v>3</v>
      </c>
      <c r="C387" s="30">
        <v>28</v>
      </c>
      <c r="D387" s="30" t="s">
        <v>169</v>
      </c>
      <c r="E387" s="30" t="s">
        <v>2547</v>
      </c>
      <c r="F387" s="48">
        <v>46214</v>
      </c>
      <c r="G387" s="48">
        <v>46215</v>
      </c>
      <c r="H387" s="49">
        <v>0.58333333333333337</v>
      </c>
      <c r="I387" s="49">
        <v>0.5</v>
      </c>
      <c r="J387" s="30" t="s">
        <v>53</v>
      </c>
      <c r="K387" s="30" t="s">
        <v>171</v>
      </c>
      <c r="L387" s="30">
        <v>1</v>
      </c>
      <c r="M387" s="30" t="s">
        <v>1678</v>
      </c>
      <c r="N387" s="30" t="s">
        <v>173</v>
      </c>
      <c r="O387" s="30" t="s">
        <v>173</v>
      </c>
      <c r="P387" s="30" t="s">
        <v>174</v>
      </c>
      <c r="Q387" s="30" t="s">
        <v>1886</v>
      </c>
      <c r="R387" s="30" t="s">
        <v>1825</v>
      </c>
      <c r="S387" s="30" t="s">
        <v>1823</v>
      </c>
      <c r="T387" s="30">
        <v>751600000000000</v>
      </c>
      <c r="U387" s="30" t="s">
        <v>1679</v>
      </c>
      <c r="V387" s="30" t="s">
        <v>270</v>
      </c>
      <c r="W387" s="30" t="s">
        <v>1680</v>
      </c>
      <c r="X387" s="30" t="s">
        <v>179</v>
      </c>
      <c r="Y387" t="s">
        <v>179</v>
      </c>
      <c r="Z387" s="30" t="s">
        <v>180</v>
      </c>
      <c r="AA387" s="30" t="s">
        <v>181</v>
      </c>
      <c r="AB387" s="30" t="s">
        <v>1667</v>
      </c>
      <c r="AC387" s="30" t="s">
        <v>56</v>
      </c>
      <c r="AD387" s="30" t="s">
        <v>1668</v>
      </c>
      <c r="AE387" s="30">
        <v>20557679392</v>
      </c>
      <c r="AF387" s="30" t="s">
        <v>1745</v>
      </c>
      <c r="AG387" s="30" t="s">
        <v>1681</v>
      </c>
      <c r="AH387" s="30" t="s">
        <v>185</v>
      </c>
      <c r="AI387" s="30" t="s">
        <v>1682</v>
      </c>
      <c r="AJ387" s="30" t="s">
        <v>1683</v>
      </c>
      <c r="AK387" s="30">
        <v>0</v>
      </c>
      <c r="AL387" s="30" t="s">
        <v>483</v>
      </c>
      <c r="AM387" t="s">
        <v>270</v>
      </c>
      <c r="AN387" s="30" t="s">
        <v>270</v>
      </c>
      <c r="AO387" s="30" t="s">
        <v>483</v>
      </c>
      <c r="AP387" s="30" t="s">
        <v>483</v>
      </c>
      <c r="AQ387" s="30" t="s">
        <v>483</v>
      </c>
      <c r="AR387" s="30" t="s">
        <v>483</v>
      </c>
      <c r="AS387" s="30" t="s">
        <v>84</v>
      </c>
      <c r="AT387" s="30" t="s">
        <v>669</v>
      </c>
      <c r="AU387" s="50">
        <v>46214.583333333336</v>
      </c>
      <c r="AV387" s="50">
        <v>46214.615972222222</v>
      </c>
      <c r="AW387" s="50">
        <v>46214.645138888889</v>
      </c>
      <c r="AX387" s="50">
        <v>46214.709027777775</v>
      </c>
      <c r="AY387" s="50">
        <v>46214.790972222225</v>
      </c>
      <c r="AZ387" s="50">
        <v>46214.790972222225</v>
      </c>
      <c r="BA387" s="51">
        <v>46215.513888888891</v>
      </c>
      <c r="BB387" s="51">
        <v>46215.513888888891</v>
      </c>
      <c r="BC387" s="50">
        <v>46215.536805555559</v>
      </c>
      <c r="BE387" s="51">
        <v>46215.625</v>
      </c>
      <c r="BF387" s="51"/>
      <c r="BG387" s="51">
        <v>46215.763194444444</v>
      </c>
      <c r="BH387" s="51">
        <v>46215.782638888886</v>
      </c>
      <c r="BI387" s="30" t="s">
        <v>64</v>
      </c>
      <c r="BJ387" s="50">
        <v>46216.583333333336</v>
      </c>
      <c r="BK387" s="50">
        <v>46216.538888888892</v>
      </c>
      <c r="BL387" s="50">
        <v>46216.581944444442</v>
      </c>
      <c r="BM387" s="50">
        <v>46216.585416666669</v>
      </c>
      <c r="BN387" s="50">
        <v>46216.59375</v>
      </c>
    </row>
    <row r="388" spans="1:66">
      <c r="A388" t="s">
        <v>168</v>
      </c>
      <c r="B388" s="30">
        <v>4</v>
      </c>
      <c r="C388" s="30">
        <v>29</v>
      </c>
      <c r="D388" s="30" t="s">
        <v>169</v>
      </c>
      <c r="E388" s="30" t="s">
        <v>2547</v>
      </c>
      <c r="F388" s="48">
        <v>46221</v>
      </c>
      <c r="G388" s="48">
        <v>46222</v>
      </c>
      <c r="H388" s="49">
        <v>0.58333333333333337</v>
      </c>
      <c r="I388" s="49">
        <v>0.5</v>
      </c>
      <c r="J388" s="30" t="s">
        <v>53</v>
      </c>
      <c r="K388" s="30" t="s">
        <v>171</v>
      </c>
      <c r="L388" s="30">
        <v>1</v>
      </c>
      <c r="M388" s="30" t="s">
        <v>1684</v>
      </c>
      <c r="N388" s="30" t="s">
        <v>173</v>
      </c>
      <c r="O388" s="30" t="s">
        <v>173</v>
      </c>
      <c r="P388" s="30" t="s">
        <v>174</v>
      </c>
      <c r="Q388" s="30" t="s">
        <v>1886</v>
      </c>
      <c r="R388" s="30" t="s">
        <v>2021</v>
      </c>
      <c r="S388" s="30" t="s">
        <v>1823</v>
      </c>
      <c r="T388" s="30">
        <v>751600040178</v>
      </c>
      <c r="U388" s="30" t="s">
        <v>1685</v>
      </c>
      <c r="V388" s="30" t="s">
        <v>270</v>
      </c>
      <c r="W388" s="30" t="s">
        <v>2289</v>
      </c>
      <c r="X388" s="30" t="s">
        <v>179</v>
      </c>
      <c r="Y388" t="s">
        <v>180</v>
      </c>
      <c r="Z388" s="30" t="s">
        <v>180</v>
      </c>
      <c r="AA388" s="30" t="s">
        <v>181</v>
      </c>
      <c r="AB388" s="30" t="s">
        <v>1667</v>
      </c>
      <c r="AC388" s="30" t="s">
        <v>56</v>
      </c>
      <c r="AD388" s="30" t="s">
        <v>1668</v>
      </c>
      <c r="AE388" s="30">
        <v>20557679392</v>
      </c>
      <c r="AF388" s="30" t="s">
        <v>1686</v>
      </c>
      <c r="AG388" s="30" t="s">
        <v>1687</v>
      </c>
      <c r="AH388" s="30" t="s">
        <v>185</v>
      </c>
      <c r="AI388" s="30" t="s">
        <v>1688</v>
      </c>
      <c r="AJ388" s="30" t="s">
        <v>1689</v>
      </c>
      <c r="AK388" s="30">
        <v>0</v>
      </c>
      <c r="AL388" s="30" t="s">
        <v>483</v>
      </c>
      <c r="AM388" t="s">
        <v>270</v>
      </c>
      <c r="AN388" s="30" t="s">
        <v>270</v>
      </c>
      <c r="AO388" s="30" t="s">
        <v>483</v>
      </c>
      <c r="AP388" s="30" t="s">
        <v>483</v>
      </c>
      <c r="AQ388" s="30" t="s">
        <v>483</v>
      </c>
      <c r="AR388" s="30" t="s">
        <v>483</v>
      </c>
      <c r="AS388" s="30" t="s">
        <v>84</v>
      </c>
      <c r="AT388" s="30" t="s">
        <v>277</v>
      </c>
      <c r="AU388" s="50">
        <v>46221.583333333336</v>
      </c>
      <c r="AV388" s="50">
        <v>46221.594444444447</v>
      </c>
      <c r="AW388" s="50">
        <v>46221.614583333336</v>
      </c>
      <c r="AX388" s="50">
        <v>46221.675000000003</v>
      </c>
      <c r="AY388" s="50">
        <v>46221.886805555558</v>
      </c>
      <c r="AZ388" s="50">
        <v>46221.886805555558</v>
      </c>
      <c r="BA388" s="51">
        <v>46222.48333333333</v>
      </c>
      <c r="BB388" s="51">
        <v>46222.486805555556</v>
      </c>
      <c r="BC388" s="50">
        <v>46222.510416666664</v>
      </c>
      <c r="BE388" s="51">
        <v>46222.590277777781</v>
      </c>
      <c r="BF388" s="51"/>
      <c r="BG388" s="51">
        <v>46222.666666666664</v>
      </c>
      <c r="BH388" s="51">
        <v>46222.688888888886</v>
      </c>
      <c r="BI388" s="30" t="s">
        <v>64</v>
      </c>
      <c r="BJ388" s="50">
        <v>46223.416666666664</v>
      </c>
      <c r="BK388" s="50">
        <v>46223.340277777781</v>
      </c>
      <c r="BL388" s="50">
        <v>46223.359722222223</v>
      </c>
      <c r="BM388" s="50">
        <v>46223.362500000003</v>
      </c>
      <c r="BN388" s="50">
        <v>46223.397222222222</v>
      </c>
    </row>
    <row r="389" spans="1:66">
      <c r="A389" t="s">
        <v>168</v>
      </c>
      <c r="B389" s="30">
        <v>5</v>
      </c>
      <c r="C389" s="30">
        <v>29</v>
      </c>
      <c r="D389" s="30" t="s">
        <v>2551</v>
      </c>
      <c r="E389" s="30" t="s">
        <v>2547</v>
      </c>
      <c r="F389" s="48">
        <v>46221</v>
      </c>
      <c r="G389" s="48">
        <v>46222</v>
      </c>
      <c r="H389" s="49">
        <v>0.58333333333333337</v>
      </c>
      <c r="I389" s="49">
        <v>0.5</v>
      </c>
      <c r="J389" s="30" t="s">
        <v>53</v>
      </c>
      <c r="K389" s="30" t="s">
        <v>171</v>
      </c>
      <c r="L389" s="30">
        <v>1</v>
      </c>
      <c r="M389" s="30" t="s">
        <v>1690</v>
      </c>
      <c r="N389" s="30" t="s">
        <v>173</v>
      </c>
      <c r="O389" s="30" t="s">
        <v>173</v>
      </c>
      <c r="P389" s="30" t="s">
        <v>174</v>
      </c>
      <c r="Q389" s="30" t="s">
        <v>1886</v>
      </c>
      <c r="R389" s="30" t="s">
        <v>1822</v>
      </c>
      <c r="S389" s="30" t="s">
        <v>1823</v>
      </c>
      <c r="T389" s="30">
        <v>751600040186</v>
      </c>
      <c r="U389" s="30" t="s">
        <v>1691</v>
      </c>
      <c r="V389" s="30">
        <v>796011</v>
      </c>
      <c r="W389" s="30" t="s">
        <v>2290</v>
      </c>
      <c r="X389" s="30" t="s">
        <v>179</v>
      </c>
      <c r="Y389" t="s">
        <v>180</v>
      </c>
      <c r="Z389" s="30" t="s">
        <v>180</v>
      </c>
      <c r="AA389" s="30" t="s">
        <v>181</v>
      </c>
      <c r="AB389" s="30" t="s">
        <v>1667</v>
      </c>
      <c r="AC389" s="30" t="s">
        <v>56</v>
      </c>
      <c r="AD389" s="30" t="s">
        <v>1668</v>
      </c>
      <c r="AE389" s="30">
        <v>20557679392</v>
      </c>
      <c r="AF389" s="30" t="s">
        <v>1692</v>
      </c>
      <c r="AG389" s="30" t="s">
        <v>1693</v>
      </c>
      <c r="AH389" s="30" t="s">
        <v>185</v>
      </c>
      <c r="AI389" s="30" t="s">
        <v>1670</v>
      </c>
      <c r="AJ389" s="30" t="s">
        <v>1671</v>
      </c>
      <c r="AK389" s="30">
        <v>0</v>
      </c>
      <c r="AL389" s="30" t="s">
        <v>483</v>
      </c>
      <c r="AM389" t="s">
        <v>270</v>
      </c>
      <c r="AN389" s="30" t="s">
        <v>270</v>
      </c>
      <c r="AO389" s="30" t="s">
        <v>483</v>
      </c>
      <c r="AP389" s="30" t="s">
        <v>483</v>
      </c>
      <c r="AQ389" s="30" t="s">
        <v>483</v>
      </c>
      <c r="AR389" s="30" t="s">
        <v>483</v>
      </c>
      <c r="AS389" s="30" t="s">
        <v>84</v>
      </c>
      <c r="AT389" s="30" t="s">
        <v>64</v>
      </c>
      <c r="AU389" s="50">
        <v>46221.583333333336</v>
      </c>
      <c r="AV389" s="50">
        <v>46221.583333333336</v>
      </c>
      <c r="AW389" s="50">
        <v>46221.618055555555</v>
      </c>
      <c r="AX389" s="50">
        <v>46221.631944444445</v>
      </c>
      <c r="AY389" s="50">
        <v>46221.740277777775</v>
      </c>
      <c r="AZ389" s="50">
        <v>46221.740277777775</v>
      </c>
      <c r="BA389" s="51">
        <v>46222.427083333336</v>
      </c>
      <c r="BB389" s="51">
        <v>46222.427777777775</v>
      </c>
      <c r="BC389" s="50">
        <v>46222.453472222223</v>
      </c>
      <c r="BE389" s="51">
        <v>46222.640277777777</v>
      </c>
      <c r="BF389" s="51"/>
      <c r="BG389" s="51">
        <v>46222.715277777781</v>
      </c>
      <c r="BH389" s="51">
        <v>46222.730555555558</v>
      </c>
      <c r="BI389" s="30" t="s">
        <v>64</v>
      </c>
      <c r="BJ389" s="50">
        <v>46223.416666666664</v>
      </c>
      <c r="BK389" s="50">
        <v>46223.340277777781</v>
      </c>
      <c r="BL389" s="50">
        <v>46223.36041666667</v>
      </c>
      <c r="BM389" s="50">
        <v>46223.362500000003</v>
      </c>
      <c r="BN389" s="50">
        <v>46223.4</v>
      </c>
    </row>
    <row r="390" spans="1:66">
      <c r="A390" t="s">
        <v>168</v>
      </c>
      <c r="B390" s="30">
        <v>6</v>
      </c>
      <c r="C390" s="30">
        <v>29</v>
      </c>
      <c r="D390" s="30" t="s">
        <v>2551</v>
      </c>
      <c r="E390" s="30" t="s">
        <v>2547</v>
      </c>
      <c r="F390" s="48">
        <v>46222</v>
      </c>
      <c r="G390" s="48">
        <v>46223</v>
      </c>
      <c r="H390" s="49">
        <v>0.41666666666666669</v>
      </c>
      <c r="I390" s="49">
        <v>0.33333333333333331</v>
      </c>
      <c r="J390" s="30" t="s">
        <v>53</v>
      </c>
      <c r="K390" s="30" t="s">
        <v>171</v>
      </c>
      <c r="L390" s="30">
        <v>1</v>
      </c>
      <c r="M390" s="30" t="s">
        <v>1694</v>
      </c>
      <c r="N390" s="30" t="s">
        <v>173</v>
      </c>
      <c r="O390" s="30" t="s">
        <v>173</v>
      </c>
      <c r="P390" s="30" t="s">
        <v>174</v>
      </c>
      <c r="Q390" s="30" t="s">
        <v>363</v>
      </c>
      <c r="R390" s="30" t="s">
        <v>175</v>
      </c>
      <c r="S390" s="30" t="s">
        <v>176</v>
      </c>
      <c r="T390" s="30" t="s">
        <v>1701</v>
      </c>
      <c r="U390" s="30" t="s">
        <v>1696</v>
      </c>
      <c r="V390" s="30">
        <v>796221</v>
      </c>
      <c r="W390" s="30" t="s">
        <v>1697</v>
      </c>
      <c r="X390" s="30" t="s">
        <v>179</v>
      </c>
      <c r="Y390" t="s">
        <v>180</v>
      </c>
      <c r="Z390" s="30" t="s">
        <v>180</v>
      </c>
      <c r="AA390" s="30" t="s">
        <v>181</v>
      </c>
      <c r="AB390" s="30" t="s">
        <v>1667</v>
      </c>
      <c r="AC390" s="30" t="s">
        <v>56</v>
      </c>
      <c r="AD390" s="30" t="s">
        <v>1668</v>
      </c>
      <c r="AE390" s="30">
        <v>20557679392</v>
      </c>
      <c r="AF390" s="30" t="s">
        <v>1726</v>
      </c>
      <c r="AG390" s="30" t="s">
        <v>1698</v>
      </c>
      <c r="AH390" s="30" t="s">
        <v>185</v>
      </c>
      <c r="AI390" s="30" t="s">
        <v>1699</v>
      </c>
      <c r="AJ390" s="30" t="s">
        <v>1774</v>
      </c>
      <c r="AK390" s="30">
        <v>0</v>
      </c>
      <c r="AL390" s="30" t="s">
        <v>483</v>
      </c>
      <c r="AM390" t="s">
        <v>270</v>
      </c>
      <c r="AN390" s="30" t="s">
        <v>270</v>
      </c>
      <c r="AO390" s="30" t="s">
        <v>483</v>
      </c>
      <c r="AP390" s="30" t="s">
        <v>483</v>
      </c>
      <c r="AQ390" s="30" t="s">
        <v>483</v>
      </c>
      <c r="AR390" s="30" t="s">
        <v>483</v>
      </c>
      <c r="AS390" s="30" t="s">
        <v>63</v>
      </c>
      <c r="AT390" s="30" t="s">
        <v>64</v>
      </c>
      <c r="AU390" s="50">
        <v>46222.416666666664</v>
      </c>
      <c r="AV390" s="50">
        <v>46222.413194444445</v>
      </c>
      <c r="AW390" s="50">
        <v>46222.425694444442</v>
      </c>
      <c r="AX390" s="50">
        <v>46222.436111111114</v>
      </c>
      <c r="AY390" s="50">
        <v>46222.520138888889</v>
      </c>
      <c r="AZ390" s="50">
        <v>46222.520138888889</v>
      </c>
      <c r="BA390" s="51">
        <v>46223.35833333333</v>
      </c>
      <c r="BB390" s="51">
        <v>46223.362500000003</v>
      </c>
      <c r="BC390" s="50">
        <v>46223.395138888889</v>
      </c>
      <c r="BE390" s="51">
        <v>46223.5</v>
      </c>
      <c r="BF390" s="51"/>
      <c r="BG390" s="51">
        <v>46223.555555555555</v>
      </c>
      <c r="BH390" s="51">
        <v>46223.583333333336</v>
      </c>
      <c r="BI390" s="30" t="s">
        <v>65</v>
      </c>
      <c r="BJ390" s="50">
        <v>46224.375</v>
      </c>
      <c r="BK390" s="50">
        <v>46224.321527777778</v>
      </c>
      <c r="BL390" s="50">
        <v>46224.326388888891</v>
      </c>
      <c r="BM390" s="50">
        <v>46224.328472222223</v>
      </c>
      <c r="BN390" s="50">
        <v>46224.331250000003</v>
      </c>
    </row>
    <row r="391" spans="1:66">
      <c r="A391" t="s">
        <v>168</v>
      </c>
      <c r="B391" s="30">
        <v>7</v>
      </c>
      <c r="C391" s="30">
        <v>29</v>
      </c>
      <c r="D391" s="30" t="s">
        <v>2551</v>
      </c>
      <c r="E391" s="30" t="s">
        <v>2547</v>
      </c>
      <c r="F391" s="48">
        <v>46222</v>
      </c>
      <c r="G391" s="48">
        <v>46223</v>
      </c>
      <c r="H391" s="49">
        <v>0.41666666666666669</v>
      </c>
      <c r="I391" s="49">
        <v>0.33333333333333331</v>
      </c>
      <c r="J391" s="30" t="s">
        <v>53</v>
      </c>
      <c r="K391" s="30" t="s">
        <v>171</v>
      </c>
      <c r="L391" s="30">
        <v>1</v>
      </c>
      <c r="M391" s="30" t="s">
        <v>1700</v>
      </c>
      <c r="N391" s="30" t="s">
        <v>173</v>
      </c>
      <c r="O391" s="30" t="s">
        <v>173</v>
      </c>
      <c r="P391" s="30" t="s">
        <v>174</v>
      </c>
      <c r="Q391" s="30" t="s">
        <v>363</v>
      </c>
      <c r="R391" s="30" t="s">
        <v>175</v>
      </c>
      <c r="S391" s="30" t="s">
        <v>176</v>
      </c>
      <c r="T391" s="30" t="s">
        <v>1695</v>
      </c>
      <c r="U391" s="30" t="s">
        <v>1702</v>
      </c>
      <c r="V391" s="30">
        <v>796202</v>
      </c>
      <c r="W391" s="30" t="s">
        <v>1703</v>
      </c>
      <c r="X391" s="30" t="s">
        <v>179</v>
      </c>
      <c r="Y391" t="s">
        <v>180</v>
      </c>
      <c r="Z391" s="30" t="s">
        <v>180</v>
      </c>
      <c r="AA391" s="30" t="s">
        <v>181</v>
      </c>
      <c r="AB391" s="30" t="s">
        <v>1667</v>
      </c>
      <c r="AC391" s="30" t="s">
        <v>56</v>
      </c>
      <c r="AD391" s="30" t="s">
        <v>1668</v>
      </c>
      <c r="AE391" s="30">
        <v>20557679392</v>
      </c>
      <c r="AF391" s="30" t="s">
        <v>1756</v>
      </c>
      <c r="AG391" s="30" t="s">
        <v>1704</v>
      </c>
      <c r="AH391" s="30" t="s">
        <v>185</v>
      </c>
      <c r="AI391" s="30" t="s">
        <v>1705</v>
      </c>
      <c r="AJ391" s="30" t="s">
        <v>1757</v>
      </c>
      <c r="AK391" s="30">
        <v>0</v>
      </c>
      <c r="AL391" s="30" t="s">
        <v>483</v>
      </c>
      <c r="AM391" t="s">
        <v>270</v>
      </c>
      <c r="AN391" s="30" t="s">
        <v>270</v>
      </c>
      <c r="AO391" s="30" t="s">
        <v>483</v>
      </c>
      <c r="AP391" s="30" t="s">
        <v>483</v>
      </c>
      <c r="AQ391" s="30" t="s">
        <v>483</v>
      </c>
      <c r="AR391" s="30" t="s">
        <v>483</v>
      </c>
      <c r="AS391" s="30" t="s">
        <v>63</v>
      </c>
      <c r="AT391" s="30" t="s">
        <v>64</v>
      </c>
      <c r="AU391" s="50">
        <v>46222.416666666664</v>
      </c>
      <c r="AV391" s="50">
        <v>46222.418055555558</v>
      </c>
      <c r="AW391" s="50">
        <v>46222.428472222222</v>
      </c>
      <c r="AX391" s="50">
        <v>46222.436805555553</v>
      </c>
      <c r="AY391" s="50">
        <v>46222.504166666666</v>
      </c>
      <c r="AZ391" s="50">
        <v>46222.504166666666</v>
      </c>
      <c r="BA391" s="51">
        <v>46223.359027777777</v>
      </c>
      <c r="BB391" s="51">
        <v>46223.363194444442</v>
      </c>
      <c r="BC391" s="50">
        <v>46223.390277777777</v>
      </c>
      <c r="BE391" s="51">
        <v>46223.5</v>
      </c>
      <c r="BF391" s="51"/>
      <c r="BG391" s="51">
        <v>46223.555555555555</v>
      </c>
      <c r="BH391" s="51">
        <v>46223.586111111108</v>
      </c>
      <c r="BI391" s="30" t="s">
        <v>65</v>
      </c>
      <c r="BJ391" s="50">
        <v>46224.375</v>
      </c>
      <c r="BK391" s="50">
        <v>46224.32916666667</v>
      </c>
      <c r="BL391" s="50">
        <v>46224.332638888889</v>
      </c>
      <c r="BM391" s="50">
        <v>46224.334027777775</v>
      </c>
      <c r="BN391" s="50">
        <v>46224.339583333334</v>
      </c>
    </row>
    <row r="392" spans="1:66">
      <c r="A392" t="s">
        <v>168</v>
      </c>
      <c r="B392" s="30">
        <v>8</v>
      </c>
      <c r="C392" s="30">
        <v>29</v>
      </c>
      <c r="D392" s="30" t="s">
        <v>169</v>
      </c>
      <c r="E392" s="30" t="s">
        <v>2547</v>
      </c>
      <c r="F392" s="48">
        <v>46223</v>
      </c>
      <c r="G392" s="48">
        <v>46224</v>
      </c>
      <c r="H392" s="49">
        <v>0.41666666666666669</v>
      </c>
      <c r="I392" s="49">
        <v>0.33333333333333331</v>
      </c>
      <c r="J392" s="30" t="s">
        <v>53</v>
      </c>
      <c r="K392" s="30" t="s">
        <v>171</v>
      </c>
      <c r="L392" s="30">
        <v>1</v>
      </c>
      <c r="M392" s="30" t="s">
        <v>1706</v>
      </c>
      <c r="N392" s="30" t="s">
        <v>173</v>
      </c>
      <c r="O392" s="30" t="s">
        <v>173</v>
      </c>
      <c r="P392" s="30" t="s">
        <v>174</v>
      </c>
      <c r="Q392" s="30" t="s">
        <v>363</v>
      </c>
      <c r="R392" s="30" t="s">
        <v>175</v>
      </c>
      <c r="S392" s="30" t="s">
        <v>176</v>
      </c>
      <c r="T392" s="30" t="s">
        <v>1707</v>
      </c>
      <c r="U392" s="30" t="s">
        <v>1708</v>
      </c>
      <c r="V392" s="30">
        <v>796650</v>
      </c>
      <c r="W392" s="30" t="s">
        <v>1709</v>
      </c>
      <c r="X392" s="30" t="s">
        <v>179</v>
      </c>
      <c r="Y392" t="s">
        <v>180</v>
      </c>
      <c r="Z392" s="30" t="s">
        <v>180</v>
      </c>
      <c r="AA392" s="30" t="s">
        <v>181</v>
      </c>
      <c r="AB392" s="30" t="s">
        <v>1667</v>
      </c>
      <c r="AC392" s="30" t="s">
        <v>56</v>
      </c>
      <c r="AD392" s="30" t="s">
        <v>1668</v>
      </c>
      <c r="AE392" s="30">
        <v>20557679392</v>
      </c>
      <c r="AF392" s="30" t="s">
        <v>1761</v>
      </c>
      <c r="AG392" s="30" t="s">
        <v>1710</v>
      </c>
      <c r="AH392" s="30" t="s">
        <v>185</v>
      </c>
      <c r="AI392" s="30" t="s">
        <v>1711</v>
      </c>
      <c r="AJ392" s="30" t="s">
        <v>1762</v>
      </c>
      <c r="AK392" s="30">
        <v>0</v>
      </c>
      <c r="AL392" s="30" t="s">
        <v>483</v>
      </c>
      <c r="AM392" t="s">
        <v>270</v>
      </c>
      <c r="AN392" s="30" t="s">
        <v>270</v>
      </c>
      <c r="AO392" s="30" t="s">
        <v>483</v>
      </c>
      <c r="AP392" s="30" t="s">
        <v>483</v>
      </c>
      <c r="AQ392" s="30" t="s">
        <v>483</v>
      </c>
      <c r="AR392" s="30" t="s">
        <v>483</v>
      </c>
      <c r="AS392" s="30" t="s">
        <v>63</v>
      </c>
      <c r="AT392" s="30" t="s">
        <v>64</v>
      </c>
      <c r="AU392" s="50">
        <v>46223.583333333336</v>
      </c>
      <c r="AV392" s="50">
        <v>46223.613194444442</v>
      </c>
      <c r="AW392" s="50">
        <v>46223.647916666669</v>
      </c>
      <c r="AX392" s="50">
        <v>46223.661111111112</v>
      </c>
      <c r="AY392" s="50">
        <v>46223.724999999999</v>
      </c>
      <c r="AZ392" s="50">
        <v>46223.724999999999</v>
      </c>
      <c r="BA392" s="51">
        <v>46224.332638888889</v>
      </c>
      <c r="BB392" s="51">
        <v>46224.336805555555</v>
      </c>
      <c r="BC392" s="50">
        <v>46224.334027777775</v>
      </c>
      <c r="BE392" s="51">
        <v>46224.541666666664</v>
      </c>
      <c r="BF392" s="51"/>
      <c r="BG392" s="51">
        <v>46224.604166666664</v>
      </c>
      <c r="BH392" s="51">
        <v>46224.706944444442</v>
      </c>
      <c r="BI392" s="30" t="s">
        <v>65</v>
      </c>
      <c r="BJ392" s="50">
        <v>46225.458333333336</v>
      </c>
      <c r="BK392" s="50">
        <v>46225.427083333336</v>
      </c>
      <c r="BL392" s="50">
        <v>46225.429861111108</v>
      </c>
      <c r="BM392" s="50">
        <v>46225.431944444441</v>
      </c>
      <c r="BN392" s="50">
        <v>46225.436111111114</v>
      </c>
    </row>
    <row r="393" spans="1:66">
      <c r="A393" t="s">
        <v>168</v>
      </c>
      <c r="B393" s="30">
        <v>9</v>
      </c>
      <c r="C393" s="30">
        <v>29</v>
      </c>
      <c r="D393" s="30" t="s">
        <v>2551</v>
      </c>
      <c r="E393" s="30" t="s">
        <v>2547</v>
      </c>
      <c r="F393" s="48">
        <v>46223</v>
      </c>
      <c r="G393" s="48">
        <v>46224</v>
      </c>
      <c r="H393" s="49">
        <v>0.41666666666666669</v>
      </c>
      <c r="I393" s="49">
        <v>0.33333333333333331</v>
      </c>
      <c r="J393" s="30" t="s">
        <v>53</v>
      </c>
      <c r="K393" s="30" t="s">
        <v>171</v>
      </c>
      <c r="L393" s="30">
        <v>1</v>
      </c>
      <c r="M393" s="30" t="s">
        <v>1712</v>
      </c>
      <c r="N393" s="30" t="s">
        <v>173</v>
      </c>
      <c r="O393" s="30" t="s">
        <v>173</v>
      </c>
      <c r="P393" s="30" t="s">
        <v>174</v>
      </c>
      <c r="Q393" s="30" t="s">
        <v>363</v>
      </c>
      <c r="R393" s="30" t="s">
        <v>175</v>
      </c>
      <c r="S393" s="30" t="s">
        <v>176</v>
      </c>
      <c r="T393" s="30" t="s">
        <v>1713</v>
      </c>
      <c r="U393" s="30" t="s">
        <v>1714</v>
      </c>
      <c r="V393" s="30">
        <v>796679</v>
      </c>
      <c r="W393" s="30" t="s">
        <v>1715</v>
      </c>
      <c r="X393" s="30" t="s">
        <v>179</v>
      </c>
      <c r="Y393" t="s">
        <v>180</v>
      </c>
      <c r="Z393" s="30" t="s">
        <v>180</v>
      </c>
      <c r="AA393" s="30" t="s">
        <v>181</v>
      </c>
      <c r="AB393" s="30" t="s">
        <v>1667</v>
      </c>
      <c r="AC393" s="30" t="s">
        <v>56</v>
      </c>
      <c r="AD393" s="30" t="s">
        <v>1668</v>
      </c>
      <c r="AE393" s="30">
        <v>20557679392</v>
      </c>
      <c r="AF393" s="30" t="s">
        <v>2552</v>
      </c>
      <c r="AG393" s="30" t="s">
        <v>1716</v>
      </c>
      <c r="AH393" s="30" t="s">
        <v>185</v>
      </c>
      <c r="AI393" s="30" t="s">
        <v>1769</v>
      </c>
      <c r="AJ393" s="30" t="s">
        <v>1770</v>
      </c>
      <c r="AK393" s="30">
        <v>0</v>
      </c>
      <c r="AL393" s="30" t="s">
        <v>483</v>
      </c>
      <c r="AM393" t="s">
        <v>270</v>
      </c>
      <c r="AN393" s="30" t="s">
        <v>270</v>
      </c>
      <c r="AO393" s="30" t="s">
        <v>483</v>
      </c>
      <c r="AP393" s="30" t="s">
        <v>483</v>
      </c>
      <c r="AQ393" s="30" t="s">
        <v>483</v>
      </c>
      <c r="AR393" s="30" t="s">
        <v>483</v>
      </c>
      <c r="AS393" s="30" t="s">
        <v>63</v>
      </c>
      <c r="AT393" s="30" t="s">
        <v>64</v>
      </c>
      <c r="AU393" s="50">
        <v>46223.583333333336</v>
      </c>
      <c r="AV393" s="50">
        <v>46223.613888888889</v>
      </c>
      <c r="AW393" s="50">
        <v>46223.651388888888</v>
      </c>
      <c r="AX393" s="50">
        <v>46223.667361111111</v>
      </c>
      <c r="AY393" s="50">
        <v>46223.701388888891</v>
      </c>
      <c r="AZ393" s="50">
        <v>46223.701388888891</v>
      </c>
      <c r="BA393" s="51">
        <v>46224.333333333336</v>
      </c>
      <c r="BB393" s="51">
        <v>46224.336805555555</v>
      </c>
      <c r="BC393" s="50">
        <v>46224.34375</v>
      </c>
      <c r="BE393" s="51">
        <v>46224.5625</v>
      </c>
      <c r="BF393" s="51"/>
      <c r="BG393" s="51">
        <v>46224.666666666664</v>
      </c>
      <c r="BH393" s="51">
        <v>46224.705555555556</v>
      </c>
      <c r="BI393" s="30" t="s">
        <v>65</v>
      </c>
      <c r="BJ393" s="50">
        <v>46225.458333333336</v>
      </c>
      <c r="BK393" s="50">
        <v>46225.443055555559</v>
      </c>
      <c r="BL393" s="50">
        <v>46225.454861111109</v>
      </c>
      <c r="BM393" s="50">
        <v>46225.459722222222</v>
      </c>
      <c r="BN393" s="50">
        <v>46225.463888888888</v>
      </c>
    </row>
    <row r="394" spans="1:66">
      <c r="A394" t="s">
        <v>168</v>
      </c>
      <c r="B394" s="30">
        <v>10</v>
      </c>
      <c r="C394" s="30">
        <v>29</v>
      </c>
      <c r="D394" s="30" t="s">
        <v>2551</v>
      </c>
      <c r="E394" s="30" t="s">
        <v>2547</v>
      </c>
      <c r="F394" s="48">
        <v>46223</v>
      </c>
      <c r="G394" s="48">
        <v>46224</v>
      </c>
      <c r="H394" s="49">
        <v>0.41666666666666669</v>
      </c>
      <c r="I394" s="49">
        <v>0.33333333333333331</v>
      </c>
      <c r="J394" s="30" t="s">
        <v>53</v>
      </c>
      <c r="K394" s="30" t="s">
        <v>171</v>
      </c>
      <c r="L394" s="30">
        <v>1</v>
      </c>
      <c r="M394" s="30" t="s">
        <v>1717</v>
      </c>
      <c r="N394" s="30" t="s">
        <v>173</v>
      </c>
      <c r="O394" s="30" t="s">
        <v>173</v>
      </c>
      <c r="P394" s="30" t="s">
        <v>174</v>
      </c>
      <c r="Q394" s="30" t="s">
        <v>363</v>
      </c>
      <c r="R394" s="30" t="s">
        <v>175</v>
      </c>
      <c r="S394" s="30" t="s">
        <v>176</v>
      </c>
      <c r="T394" s="30" t="s">
        <v>1718</v>
      </c>
      <c r="U394" s="30" t="s">
        <v>1719</v>
      </c>
      <c r="V394" s="30">
        <v>796661</v>
      </c>
      <c r="W394" s="30" t="s">
        <v>1720</v>
      </c>
      <c r="X394" s="30" t="s">
        <v>179</v>
      </c>
      <c r="Y394" t="s">
        <v>180</v>
      </c>
      <c r="Z394" s="30" t="s">
        <v>180</v>
      </c>
      <c r="AA394" s="30" t="s">
        <v>181</v>
      </c>
      <c r="AB394" s="30" t="s">
        <v>1667</v>
      </c>
      <c r="AC394" s="30" t="s">
        <v>56</v>
      </c>
      <c r="AD394" s="30" t="s">
        <v>1668</v>
      </c>
      <c r="AE394" s="30">
        <v>20557679392</v>
      </c>
      <c r="AF394" s="30" t="s">
        <v>2553</v>
      </c>
      <c r="AG394" s="30" t="s">
        <v>1721</v>
      </c>
      <c r="AH394" s="30" t="s">
        <v>185</v>
      </c>
      <c r="AI394" s="30" t="s">
        <v>1722</v>
      </c>
      <c r="AJ394" s="30" t="s">
        <v>1978</v>
      </c>
      <c r="AK394" s="30">
        <v>0</v>
      </c>
      <c r="AL394" s="30" t="s">
        <v>483</v>
      </c>
      <c r="AM394" t="s">
        <v>270</v>
      </c>
      <c r="AN394" s="30" t="s">
        <v>270</v>
      </c>
      <c r="AO394" s="30" t="s">
        <v>483</v>
      </c>
      <c r="AP394" s="30" t="s">
        <v>483</v>
      </c>
      <c r="AQ394" s="30" t="s">
        <v>483</v>
      </c>
      <c r="AR394" s="30" t="s">
        <v>483</v>
      </c>
      <c r="AS394" s="30" t="s">
        <v>63</v>
      </c>
      <c r="AT394" s="30" t="s">
        <v>64</v>
      </c>
      <c r="AU394" s="50">
        <v>46223.583333333336</v>
      </c>
      <c r="AV394" s="50">
        <v>46223.583333333336</v>
      </c>
      <c r="AW394" s="50">
        <v>46223.614583333336</v>
      </c>
      <c r="AX394" s="50">
        <v>46223.625</v>
      </c>
      <c r="AY394" s="50">
        <v>46223.666666666664</v>
      </c>
      <c r="AZ394" s="50">
        <v>46223.666666666664</v>
      </c>
      <c r="BA394" s="51">
        <v>46224.333333333336</v>
      </c>
      <c r="BB394" s="51">
        <v>46224.337500000001</v>
      </c>
      <c r="BC394" s="50">
        <v>46224.34375</v>
      </c>
      <c r="BE394" s="51">
        <v>46224.583333333336</v>
      </c>
      <c r="BF394" s="51"/>
      <c r="BG394" s="51">
        <v>46224.6875</v>
      </c>
      <c r="BH394" s="51">
        <v>46224.706944444442</v>
      </c>
      <c r="BI394" s="30" t="s">
        <v>65</v>
      </c>
      <c r="BJ394" s="50">
        <v>46225.25</v>
      </c>
      <c r="BK394" s="50">
        <v>46225.191666666666</v>
      </c>
      <c r="BL394" s="50">
        <v>46225.198611111111</v>
      </c>
      <c r="BM394" s="50">
        <v>46225.200694444444</v>
      </c>
      <c r="BN394" s="50">
        <v>46225.202777777777</v>
      </c>
    </row>
    <row r="395" spans="1:66">
      <c r="A395" t="s">
        <v>168</v>
      </c>
      <c r="B395" s="30">
        <v>11</v>
      </c>
      <c r="C395" s="30">
        <v>30</v>
      </c>
      <c r="D395" s="30" t="s">
        <v>169</v>
      </c>
      <c r="E395" s="30" t="s">
        <v>2547</v>
      </c>
      <c r="F395" s="48">
        <v>46227</v>
      </c>
      <c r="G395" s="48">
        <v>46229</v>
      </c>
      <c r="H395" s="49">
        <v>0.58333333333333337</v>
      </c>
      <c r="I395" s="49">
        <v>0.5</v>
      </c>
      <c r="J395" s="30" t="s">
        <v>53</v>
      </c>
      <c r="K395" s="30" t="s">
        <v>171</v>
      </c>
      <c r="L395" s="30" t="s">
        <v>2554</v>
      </c>
      <c r="M395" s="30" t="s">
        <v>1723</v>
      </c>
      <c r="N395" s="30" t="s">
        <v>173</v>
      </c>
      <c r="O395" s="30" t="s">
        <v>173</v>
      </c>
      <c r="P395" s="30" t="s">
        <v>174</v>
      </c>
      <c r="Q395" s="30" t="s">
        <v>363</v>
      </c>
      <c r="R395" s="30" t="s">
        <v>175</v>
      </c>
      <c r="S395" s="30" t="s">
        <v>176</v>
      </c>
      <c r="T395" s="30" t="s">
        <v>1729</v>
      </c>
      <c r="U395" s="30" t="s">
        <v>1724</v>
      </c>
      <c r="V395" s="30" t="s">
        <v>270</v>
      </c>
      <c r="W395" s="30" t="s">
        <v>1725</v>
      </c>
      <c r="X395" s="30" t="s">
        <v>179</v>
      </c>
      <c r="Y395" t="s">
        <v>180</v>
      </c>
      <c r="Z395" s="30" t="s">
        <v>180</v>
      </c>
      <c r="AA395" s="30" t="s">
        <v>181</v>
      </c>
      <c r="AB395" s="30" t="s">
        <v>1667</v>
      </c>
      <c r="AC395" s="30" t="s">
        <v>56</v>
      </c>
      <c r="AD395" s="30" t="s">
        <v>1668</v>
      </c>
      <c r="AE395" s="30">
        <v>20557679392</v>
      </c>
      <c r="AF395" s="30" t="s">
        <v>1726</v>
      </c>
      <c r="AG395" s="30" t="s">
        <v>1727</v>
      </c>
      <c r="AH395" s="30" t="s">
        <v>185</v>
      </c>
      <c r="AI395" s="30" t="s">
        <v>1734</v>
      </c>
      <c r="AJ395" s="30" t="s">
        <v>1728</v>
      </c>
      <c r="AK395" s="30">
        <v>0</v>
      </c>
      <c r="AL395" s="30" t="s">
        <v>483</v>
      </c>
      <c r="AM395" t="s">
        <v>270</v>
      </c>
      <c r="AN395" s="30" t="s">
        <v>270</v>
      </c>
      <c r="AO395" s="30" t="s">
        <v>483</v>
      </c>
      <c r="AP395" s="30" t="s">
        <v>483</v>
      </c>
      <c r="AQ395" s="30" t="s">
        <v>483</v>
      </c>
      <c r="AR395" s="30" t="s">
        <v>483</v>
      </c>
      <c r="AS395" s="30" t="s">
        <v>63</v>
      </c>
      <c r="AT395" s="30" t="s">
        <v>64</v>
      </c>
      <c r="AU395" s="50">
        <v>46227.583333333336</v>
      </c>
      <c r="AV395" s="50">
        <v>46227.54791666667</v>
      </c>
      <c r="AW395" s="50">
        <v>46227.628472222219</v>
      </c>
      <c r="AX395" s="50">
        <v>46227.630555555559</v>
      </c>
      <c r="AY395" s="50">
        <v>46227.682638888888</v>
      </c>
      <c r="AZ395" s="50">
        <v>46227.682638888888</v>
      </c>
      <c r="BA395" s="51"/>
      <c r="BB395" s="51"/>
      <c r="BE395" s="51"/>
      <c r="BF395" s="51"/>
      <c r="BG395" s="51"/>
      <c r="BH395" s="51"/>
      <c r="BI395" s="30" t="s">
        <v>65</v>
      </c>
      <c r="BJ395" s="50">
        <v>46227.833333333336</v>
      </c>
      <c r="BK395" s="50">
        <v>46227.775000000001</v>
      </c>
      <c r="BL395" s="50">
        <v>46227.832638888889</v>
      </c>
      <c r="BM395" s="50">
        <v>46227.833333333336</v>
      </c>
      <c r="BN395" s="50">
        <v>46227.835416666669</v>
      </c>
    </row>
    <row r="396" spans="1:66">
      <c r="A396" t="s">
        <v>168</v>
      </c>
      <c r="B396" s="30">
        <v>12</v>
      </c>
      <c r="C396" s="30">
        <v>30</v>
      </c>
      <c r="D396" s="30" t="s">
        <v>2555</v>
      </c>
      <c r="E396" s="30" t="s">
        <v>2547</v>
      </c>
      <c r="F396" s="48">
        <v>46228</v>
      </c>
      <c r="G396" s="48">
        <v>46229</v>
      </c>
      <c r="H396" s="49">
        <v>0.75</v>
      </c>
      <c r="I396" s="49">
        <v>0.66666666666666663</v>
      </c>
      <c r="J396" s="30" t="s">
        <v>53</v>
      </c>
      <c r="K396" s="30" t="s">
        <v>171</v>
      </c>
      <c r="L396" s="30">
        <v>1</v>
      </c>
      <c r="M396" s="30" t="s">
        <v>514</v>
      </c>
      <c r="N396" s="30" t="s">
        <v>173</v>
      </c>
      <c r="O396" s="30" t="s">
        <v>173</v>
      </c>
      <c r="P396" s="30" t="s">
        <v>174</v>
      </c>
      <c r="Q396" s="30" t="s">
        <v>363</v>
      </c>
      <c r="R396" s="30" t="s">
        <v>175</v>
      </c>
      <c r="S396" s="30" t="s">
        <v>176</v>
      </c>
      <c r="T396" s="30" t="s">
        <v>515</v>
      </c>
      <c r="U396" s="30" t="s">
        <v>1730</v>
      </c>
      <c r="V396" s="30">
        <v>798437</v>
      </c>
      <c r="W396" s="30" t="s">
        <v>1731</v>
      </c>
      <c r="X396" s="30" t="s">
        <v>179</v>
      </c>
      <c r="Y396" t="s">
        <v>180</v>
      </c>
      <c r="Z396" s="30" t="s">
        <v>180</v>
      </c>
      <c r="AA396" s="30" t="s">
        <v>181</v>
      </c>
      <c r="AB396" s="30" t="s">
        <v>1667</v>
      </c>
      <c r="AC396" s="30" t="s">
        <v>56</v>
      </c>
      <c r="AD396" s="30" t="s">
        <v>1668</v>
      </c>
      <c r="AE396" s="30">
        <v>20557679392</v>
      </c>
      <c r="AF396" s="30" t="s">
        <v>1732</v>
      </c>
      <c r="AG396" s="30" t="s">
        <v>1733</v>
      </c>
      <c r="AH396" s="30" t="s">
        <v>185</v>
      </c>
      <c r="AI396" s="30" t="s">
        <v>1734</v>
      </c>
      <c r="AJ396" s="30" t="s">
        <v>1728</v>
      </c>
      <c r="AK396" s="30">
        <v>0</v>
      </c>
      <c r="AL396" s="30" t="s">
        <v>483</v>
      </c>
      <c r="AM396" t="s">
        <v>270</v>
      </c>
      <c r="AN396" s="30" t="s">
        <v>270</v>
      </c>
      <c r="AO396" s="30" t="s">
        <v>483</v>
      </c>
      <c r="AP396" s="30" t="s">
        <v>483</v>
      </c>
      <c r="AQ396" s="30" t="s">
        <v>483</v>
      </c>
      <c r="AR396" s="30" t="s">
        <v>483</v>
      </c>
      <c r="AS396" s="30" t="s">
        <v>63</v>
      </c>
      <c r="AT396" s="30" t="s">
        <v>64</v>
      </c>
      <c r="AU396" s="50">
        <v>46227.583333333336</v>
      </c>
      <c r="AV396" s="50">
        <v>46227.616666666669</v>
      </c>
      <c r="AW396" s="50">
        <v>46227.627083333333</v>
      </c>
      <c r="AX396" s="50">
        <v>46227.631944444445</v>
      </c>
      <c r="AY396" s="50">
        <v>46227.686805555553</v>
      </c>
      <c r="AZ396" s="50">
        <v>46228.611111111109</v>
      </c>
      <c r="BA396" s="51">
        <v>46229.399305555555</v>
      </c>
      <c r="BB396" s="51">
        <v>46229.402777777781</v>
      </c>
      <c r="BC396" s="50">
        <v>46229.772222222222</v>
      </c>
      <c r="BE396" s="51">
        <v>46230.729166666664</v>
      </c>
      <c r="BF396" s="51"/>
      <c r="BG396" s="51">
        <v>46230.784722222219</v>
      </c>
      <c r="BH396" s="51">
        <v>46230.788888888892</v>
      </c>
      <c r="BI396" s="30" t="s">
        <v>65</v>
      </c>
      <c r="BJ396" s="50">
        <v>46229.999305555553</v>
      </c>
      <c r="BK396" s="50">
        <v>46231.548611111109</v>
      </c>
      <c r="BL396" s="50">
        <v>46231.570833333331</v>
      </c>
      <c r="BM396" s="50">
        <v>46231.574999999997</v>
      </c>
      <c r="BN396" s="50">
        <v>46231.575694444444</v>
      </c>
    </row>
    <row r="397" spans="1:66">
      <c r="A397" t="s">
        <v>168</v>
      </c>
      <c r="B397" s="30">
        <v>13</v>
      </c>
      <c r="C397" s="30">
        <v>30</v>
      </c>
      <c r="D397" s="30" t="s">
        <v>169</v>
      </c>
      <c r="E397" s="30" t="s">
        <v>2547</v>
      </c>
      <c r="F397" s="48">
        <v>46228</v>
      </c>
      <c r="G397" s="48">
        <v>46229</v>
      </c>
      <c r="H397" s="49">
        <v>0.58333333333333337</v>
      </c>
      <c r="I397" s="49">
        <v>0.5</v>
      </c>
      <c r="J397" s="30" t="s">
        <v>53</v>
      </c>
      <c r="K397" s="30" t="s">
        <v>171</v>
      </c>
      <c r="L397" s="30">
        <v>1</v>
      </c>
      <c r="M397" s="30" t="s">
        <v>1735</v>
      </c>
      <c r="N397" s="30" t="s">
        <v>173</v>
      </c>
      <c r="O397" s="30" t="s">
        <v>173</v>
      </c>
      <c r="P397" s="30" t="s">
        <v>174</v>
      </c>
      <c r="Q397" s="30" t="s">
        <v>2556</v>
      </c>
      <c r="R397" s="30" t="s">
        <v>939</v>
      </c>
      <c r="S397" s="30" t="s">
        <v>391</v>
      </c>
      <c r="T397" s="30">
        <v>6509285610</v>
      </c>
      <c r="U397" s="30" t="s">
        <v>1736</v>
      </c>
      <c r="V397" s="30">
        <v>23061</v>
      </c>
      <c r="W397" s="30" t="s">
        <v>1737</v>
      </c>
      <c r="X397" s="30" t="s">
        <v>179</v>
      </c>
      <c r="Y397" t="s">
        <v>180</v>
      </c>
      <c r="Z397" s="30" t="s">
        <v>180</v>
      </c>
      <c r="AA397" s="30" t="s">
        <v>181</v>
      </c>
      <c r="AB397" s="30" t="s">
        <v>1667</v>
      </c>
      <c r="AC397" s="30" t="s">
        <v>56</v>
      </c>
      <c r="AD397" s="30" t="s">
        <v>1668</v>
      </c>
      <c r="AE397" s="30">
        <v>20557679392</v>
      </c>
      <c r="AF397" s="30" t="s">
        <v>1738</v>
      </c>
      <c r="AG397" s="30" t="s">
        <v>1739</v>
      </c>
      <c r="AH397" s="30" t="s">
        <v>185</v>
      </c>
      <c r="AI397" s="30" t="s">
        <v>1740</v>
      </c>
      <c r="AJ397" s="30" t="s">
        <v>1741</v>
      </c>
      <c r="AK397" s="30">
        <v>0</v>
      </c>
      <c r="AL397" s="30" t="s">
        <v>483</v>
      </c>
      <c r="AM397" t="s">
        <v>270</v>
      </c>
      <c r="AN397" s="30" t="s">
        <v>270</v>
      </c>
      <c r="AO397" s="30" t="s">
        <v>483</v>
      </c>
      <c r="AP397" s="30" t="s">
        <v>483</v>
      </c>
      <c r="AQ397" s="30" t="s">
        <v>483</v>
      </c>
      <c r="AR397" s="30" t="s">
        <v>483</v>
      </c>
      <c r="AS397" s="30" t="s">
        <v>83</v>
      </c>
      <c r="AT397" s="30" t="s">
        <v>240</v>
      </c>
      <c r="AU397" s="50">
        <v>46228.999305555553</v>
      </c>
      <c r="AV397" s="50">
        <v>46227.769444444442</v>
      </c>
      <c r="AW397" s="50">
        <v>46227.772916666669</v>
      </c>
      <c r="AX397" s="50">
        <v>46227.77847222222</v>
      </c>
      <c r="AY397" s="50">
        <v>46227.833333333336</v>
      </c>
      <c r="AZ397" s="50">
        <v>46227.833333333336</v>
      </c>
      <c r="BA397" s="51">
        <v>46229.504166666666</v>
      </c>
      <c r="BB397" s="51">
        <v>46229.505555555559</v>
      </c>
      <c r="BC397" s="50">
        <v>46229.529861111114</v>
      </c>
      <c r="BE397" s="51">
        <v>46229.621527777781</v>
      </c>
      <c r="BF397" s="51"/>
      <c r="BG397" s="51">
        <v>46229.708333333336</v>
      </c>
      <c r="BH397" s="51">
        <v>46229.725694444445</v>
      </c>
      <c r="BI397" s="30" t="s">
        <v>240</v>
      </c>
      <c r="BJ397" s="50">
        <v>46229.999305555553</v>
      </c>
      <c r="BK397" s="50">
        <v>46230.606249999997</v>
      </c>
      <c r="BL397" s="50">
        <v>46230.615277777775</v>
      </c>
      <c r="BM397" s="50">
        <v>46230.625694444447</v>
      </c>
      <c r="BN397" s="50">
        <v>46230.634722222225</v>
      </c>
    </row>
    <row r="398" spans="1:66">
      <c r="A398" t="s">
        <v>168</v>
      </c>
      <c r="B398" s="30">
        <v>14</v>
      </c>
      <c r="C398" s="30">
        <v>30</v>
      </c>
      <c r="D398" s="30" t="s">
        <v>169</v>
      </c>
      <c r="E398" s="30" t="s">
        <v>2547</v>
      </c>
      <c r="F398" s="48">
        <v>46228</v>
      </c>
      <c r="G398" s="48">
        <v>46229</v>
      </c>
      <c r="H398" s="49">
        <v>0.58333333333333337</v>
      </c>
      <c r="I398" s="49">
        <v>0.5</v>
      </c>
      <c r="J398" s="30" t="s">
        <v>53</v>
      </c>
      <c r="K398" s="30" t="s">
        <v>171</v>
      </c>
      <c r="L398" s="30">
        <v>1</v>
      </c>
      <c r="M398" s="30" t="s">
        <v>1742</v>
      </c>
      <c r="N398" s="30" t="s">
        <v>173</v>
      </c>
      <c r="O398" s="30" t="s">
        <v>173</v>
      </c>
      <c r="P398" s="30" t="s">
        <v>174</v>
      </c>
      <c r="Q398" s="30" t="s">
        <v>2556</v>
      </c>
      <c r="R398" s="30" t="s">
        <v>939</v>
      </c>
      <c r="S398" s="30" t="s">
        <v>391</v>
      </c>
      <c r="T398" s="30">
        <v>6509285630</v>
      </c>
      <c r="U398" s="30" t="s">
        <v>1743</v>
      </c>
      <c r="V398" s="30">
        <v>23059</v>
      </c>
      <c r="W398" s="30" t="s">
        <v>1744</v>
      </c>
      <c r="X398" s="30" t="s">
        <v>179</v>
      </c>
      <c r="Y398" t="s">
        <v>180</v>
      </c>
      <c r="Z398" s="30" t="s">
        <v>180</v>
      </c>
      <c r="AA398" s="30" t="s">
        <v>181</v>
      </c>
      <c r="AB398" s="30" t="s">
        <v>1667</v>
      </c>
      <c r="AC398" s="30" t="s">
        <v>56</v>
      </c>
      <c r="AD398" s="30" t="s">
        <v>1668</v>
      </c>
      <c r="AE398" s="30">
        <v>20557679392</v>
      </c>
      <c r="AF398" s="30" t="s">
        <v>1745</v>
      </c>
      <c r="AG398" s="30" t="s">
        <v>1746</v>
      </c>
      <c r="AH398" s="30" t="s">
        <v>185</v>
      </c>
      <c r="AI398" s="30" t="s">
        <v>1682</v>
      </c>
      <c r="AJ398" s="30" t="s">
        <v>1683</v>
      </c>
      <c r="AK398" s="30">
        <v>0</v>
      </c>
      <c r="AL398" s="30" t="s">
        <v>483</v>
      </c>
      <c r="AM398" t="s">
        <v>270</v>
      </c>
      <c r="AN398" s="30" t="s">
        <v>270</v>
      </c>
      <c r="AO398" s="30" t="s">
        <v>483</v>
      </c>
      <c r="AP398" s="30" t="s">
        <v>483</v>
      </c>
      <c r="AQ398" s="30" t="s">
        <v>483</v>
      </c>
      <c r="AR398" s="30" t="s">
        <v>483</v>
      </c>
      <c r="AS398" s="30" t="s">
        <v>83</v>
      </c>
      <c r="AT398" s="30" t="s">
        <v>240</v>
      </c>
      <c r="AU398" s="50">
        <v>46228.999305555553</v>
      </c>
      <c r="AV398" s="50">
        <v>46228.699305555558</v>
      </c>
      <c r="AW398" s="50">
        <v>46228.711111111108</v>
      </c>
      <c r="AX398" s="50">
        <v>46228.71875</v>
      </c>
      <c r="AY398" s="50">
        <v>46228.754166666666</v>
      </c>
      <c r="AZ398" s="50">
        <v>46228.754166666666</v>
      </c>
      <c r="BA398" s="51">
        <v>46229.50277777778</v>
      </c>
      <c r="BB398" s="51">
        <v>46229.505555555559</v>
      </c>
      <c r="BC398" s="50">
        <v>46229.536805555559</v>
      </c>
      <c r="BE398" s="51">
        <v>46229.638888888891</v>
      </c>
      <c r="BF398" s="51"/>
      <c r="BG398" s="51">
        <v>46229.722222222219</v>
      </c>
      <c r="BH398" s="51">
        <v>46229.748611111114</v>
      </c>
      <c r="BI398" s="30" t="s">
        <v>240</v>
      </c>
      <c r="BJ398" s="50">
        <v>46229.999305555553</v>
      </c>
      <c r="BK398" s="50">
        <v>46230.603472222225</v>
      </c>
      <c r="BL398" s="50">
        <v>46230.609722222223</v>
      </c>
      <c r="BM398" s="50">
        <v>46230.621527777781</v>
      </c>
      <c r="BN398" s="50">
        <v>46230.631944444445</v>
      </c>
    </row>
    <row r="399" spans="1:66">
      <c r="A399" t="s">
        <v>168</v>
      </c>
      <c r="B399" s="30">
        <v>15</v>
      </c>
      <c r="C399" s="30">
        <v>30</v>
      </c>
      <c r="D399" s="30" t="s">
        <v>169</v>
      </c>
      <c r="E399" s="30" t="s">
        <v>2547</v>
      </c>
      <c r="F399" s="48">
        <v>46228</v>
      </c>
      <c r="G399" s="48">
        <v>46229</v>
      </c>
      <c r="H399" s="49">
        <v>0.58333333333333337</v>
      </c>
      <c r="I399" s="49">
        <v>0.5</v>
      </c>
      <c r="J399" s="30" t="s">
        <v>53</v>
      </c>
      <c r="K399" s="30" t="s">
        <v>171</v>
      </c>
      <c r="L399" s="30">
        <v>1</v>
      </c>
      <c r="M399" s="30" t="s">
        <v>1747</v>
      </c>
      <c r="N399" s="30" t="s">
        <v>173</v>
      </c>
      <c r="O399" s="30" t="s">
        <v>173</v>
      </c>
      <c r="P399" s="30" t="s">
        <v>174</v>
      </c>
      <c r="Q399" s="30" t="s">
        <v>2556</v>
      </c>
      <c r="R399" s="30" t="s">
        <v>939</v>
      </c>
      <c r="S399" s="30" t="s">
        <v>391</v>
      </c>
      <c r="T399" s="30">
        <v>6509285640</v>
      </c>
      <c r="U399" s="30" t="s">
        <v>1748</v>
      </c>
      <c r="V399" s="30">
        <v>23060</v>
      </c>
      <c r="W399" s="30" t="s">
        <v>1749</v>
      </c>
      <c r="X399" s="30" t="s">
        <v>179</v>
      </c>
      <c r="Y399" t="s">
        <v>180</v>
      </c>
      <c r="Z399" s="30" t="s">
        <v>180</v>
      </c>
      <c r="AA399" s="30" t="s">
        <v>181</v>
      </c>
      <c r="AB399" s="30" t="s">
        <v>1667</v>
      </c>
      <c r="AC399" s="30" t="s">
        <v>56</v>
      </c>
      <c r="AD399" s="30" t="s">
        <v>1668</v>
      </c>
      <c r="AE399" s="30">
        <v>20557679392</v>
      </c>
      <c r="AF399" s="30" t="s">
        <v>1808</v>
      </c>
      <c r="AG399" s="30" t="s">
        <v>1750</v>
      </c>
      <c r="AH399" s="30" t="s">
        <v>185</v>
      </c>
      <c r="AI399" s="30" t="s">
        <v>1751</v>
      </c>
      <c r="AJ399" s="30" t="s">
        <v>1752</v>
      </c>
      <c r="AK399" s="30">
        <v>0</v>
      </c>
      <c r="AL399" s="30" t="s">
        <v>483</v>
      </c>
      <c r="AM399" t="s">
        <v>270</v>
      </c>
      <c r="AN399" s="30" t="s">
        <v>270</v>
      </c>
      <c r="AO399" s="30" t="s">
        <v>483</v>
      </c>
      <c r="AP399" s="30" t="s">
        <v>483</v>
      </c>
      <c r="AQ399" s="30" t="s">
        <v>483</v>
      </c>
      <c r="AR399" s="30" t="s">
        <v>483</v>
      </c>
      <c r="AS399" s="30" t="s">
        <v>83</v>
      </c>
      <c r="AT399" s="30" t="s">
        <v>240</v>
      </c>
      <c r="AU399" s="50">
        <v>46228.999305555553</v>
      </c>
      <c r="AV399" s="50">
        <v>46228.746527777781</v>
      </c>
      <c r="AW399" s="50">
        <v>46228.748611111114</v>
      </c>
      <c r="AX399" s="50">
        <v>46227.756249999999</v>
      </c>
      <c r="AY399" s="50">
        <v>46227.8</v>
      </c>
      <c r="AZ399" s="50">
        <v>46227.8</v>
      </c>
      <c r="BA399" s="51">
        <v>46229.50277777778</v>
      </c>
      <c r="BB399" s="51">
        <v>46229.505555555559</v>
      </c>
      <c r="BC399" s="50">
        <v>46229.527777777781</v>
      </c>
      <c r="BE399" s="51">
        <v>46229.572916666664</v>
      </c>
      <c r="BF399" s="51"/>
      <c r="BG399" s="51">
        <v>46229.78125</v>
      </c>
      <c r="BH399" s="51">
        <v>46229.796527777777</v>
      </c>
      <c r="BI399" s="30" t="s">
        <v>240</v>
      </c>
      <c r="BJ399" s="50">
        <v>46229.999305555553</v>
      </c>
      <c r="BK399" s="50">
        <v>46230.631944444445</v>
      </c>
      <c r="BL399" s="50">
        <v>46230.632638888892</v>
      </c>
      <c r="BM399" s="50">
        <v>46230.642361111109</v>
      </c>
      <c r="BN399" s="50">
        <v>46230.65347222222</v>
      </c>
    </row>
    <row r="400" spans="1:66">
      <c r="A400" t="s">
        <v>168</v>
      </c>
      <c r="B400" s="30">
        <v>16</v>
      </c>
      <c r="C400" s="30">
        <v>31</v>
      </c>
      <c r="D400" s="30" t="s">
        <v>169</v>
      </c>
      <c r="E400" s="30" t="s">
        <v>2547</v>
      </c>
      <c r="F400" s="48">
        <v>46235</v>
      </c>
      <c r="G400" s="48">
        <v>46236</v>
      </c>
      <c r="H400" s="49">
        <v>0.75</v>
      </c>
      <c r="I400" s="49">
        <v>0.66666666666666663</v>
      </c>
      <c r="J400" s="30" t="s">
        <v>53</v>
      </c>
      <c r="K400" s="30" t="s">
        <v>171</v>
      </c>
      <c r="L400" s="30">
        <v>1</v>
      </c>
      <c r="M400" s="30" t="s">
        <v>1753</v>
      </c>
      <c r="N400" s="30" t="s">
        <v>173</v>
      </c>
      <c r="O400" s="30" t="s">
        <v>173</v>
      </c>
      <c r="P400" s="30" t="s">
        <v>174</v>
      </c>
      <c r="Q400" s="30" t="s">
        <v>363</v>
      </c>
      <c r="R400" s="30" t="s">
        <v>175</v>
      </c>
      <c r="S400" s="30" t="s">
        <v>176</v>
      </c>
      <c r="T400" s="30" t="s">
        <v>2557</v>
      </c>
      <c r="U400" s="30" t="s">
        <v>1754</v>
      </c>
      <c r="V400" s="30">
        <v>801283</v>
      </c>
      <c r="W400" s="30" t="s">
        <v>1755</v>
      </c>
      <c r="X400" s="30" t="s">
        <v>179</v>
      </c>
      <c r="Y400" t="s">
        <v>180</v>
      </c>
      <c r="Z400" s="30" t="s">
        <v>180</v>
      </c>
      <c r="AA400" s="30" t="s">
        <v>181</v>
      </c>
      <c r="AB400" s="30" t="s">
        <v>1667</v>
      </c>
      <c r="AC400" s="30" t="s">
        <v>56</v>
      </c>
      <c r="AD400" s="30" t="s">
        <v>1668</v>
      </c>
      <c r="AE400" s="30">
        <v>20557679392</v>
      </c>
      <c r="AF400" s="30" t="s">
        <v>1756</v>
      </c>
      <c r="AG400" s="30" t="s">
        <v>1733</v>
      </c>
      <c r="AH400" s="30" t="s">
        <v>185</v>
      </c>
      <c r="AI400" s="30" t="s">
        <v>1705</v>
      </c>
      <c r="AJ400" s="30" t="s">
        <v>1757</v>
      </c>
      <c r="AK400" s="30">
        <v>0</v>
      </c>
      <c r="AL400" s="30" t="s">
        <v>483</v>
      </c>
      <c r="AM400" t="s">
        <v>270</v>
      </c>
      <c r="AN400" s="30" t="s">
        <v>270</v>
      </c>
      <c r="AO400" s="30" t="s">
        <v>483</v>
      </c>
      <c r="AP400" s="30" t="s">
        <v>483</v>
      </c>
      <c r="AQ400" s="30" t="s">
        <v>483</v>
      </c>
      <c r="AR400" s="30" t="s">
        <v>483</v>
      </c>
      <c r="AS400" s="30" t="s">
        <v>63</v>
      </c>
      <c r="AT400" s="30" t="s">
        <v>669</v>
      </c>
      <c r="AU400" s="50">
        <v>46235.583333333336</v>
      </c>
      <c r="AV400" s="50">
        <v>46235.586111111108</v>
      </c>
      <c r="AW400" s="50">
        <v>46235.60833333333</v>
      </c>
      <c r="AX400" s="50">
        <v>46235.61041666667</v>
      </c>
      <c r="AY400" s="50">
        <v>46235.654166666667</v>
      </c>
      <c r="AZ400" s="50">
        <v>46235.654166666667</v>
      </c>
      <c r="BA400" s="51">
        <v>46236.553472222222</v>
      </c>
      <c r="BB400" s="51">
        <v>46236.559027777781</v>
      </c>
      <c r="BC400" s="50">
        <v>46236.579861111109</v>
      </c>
      <c r="BE400" s="51">
        <v>46236.850694444445</v>
      </c>
      <c r="BF400" s="51"/>
      <c r="BG400" s="51">
        <v>46236.947916666664</v>
      </c>
      <c r="BH400" s="51">
        <v>46236.966666666667</v>
      </c>
      <c r="BI400" s="30" t="s">
        <v>65</v>
      </c>
      <c r="BJ400" s="50">
        <v>46237.625</v>
      </c>
      <c r="BK400" s="50">
        <v>46237.604861111111</v>
      </c>
      <c r="BL400" s="50">
        <v>46237.620833333334</v>
      </c>
      <c r="BM400" s="50">
        <v>46237.634722222225</v>
      </c>
      <c r="BN400" s="50">
        <v>46237.637499999997</v>
      </c>
    </row>
    <row r="401" spans="1:66">
      <c r="A401" t="s">
        <v>168</v>
      </c>
      <c r="B401" s="30">
        <v>17</v>
      </c>
      <c r="C401" s="30">
        <v>31</v>
      </c>
      <c r="D401" s="30" t="s">
        <v>169</v>
      </c>
      <c r="E401" s="30" t="s">
        <v>2547</v>
      </c>
      <c r="F401" s="48">
        <v>46235</v>
      </c>
      <c r="G401" s="48">
        <v>46236</v>
      </c>
      <c r="H401" s="49">
        <v>0.75</v>
      </c>
      <c r="I401" s="49">
        <v>0.66666666666666663</v>
      </c>
      <c r="J401" s="30" t="s">
        <v>53</v>
      </c>
      <c r="K401" s="30" t="s">
        <v>171</v>
      </c>
      <c r="L401" s="30">
        <v>1</v>
      </c>
      <c r="M401" s="30" t="s">
        <v>1758</v>
      </c>
      <c r="N401" s="30" t="s">
        <v>173</v>
      </c>
      <c r="O401" s="30" t="s">
        <v>173</v>
      </c>
      <c r="P401" s="30" t="s">
        <v>174</v>
      </c>
      <c r="Q401" s="30" t="s">
        <v>363</v>
      </c>
      <c r="R401" s="30" t="s">
        <v>175</v>
      </c>
      <c r="S401" s="30" t="s">
        <v>176</v>
      </c>
      <c r="T401" s="30" t="s">
        <v>2558</v>
      </c>
      <c r="U401" s="30" t="s">
        <v>1759</v>
      </c>
      <c r="V401" s="30">
        <v>801358</v>
      </c>
      <c r="W401" s="30" t="s">
        <v>1760</v>
      </c>
      <c r="X401" s="30" t="s">
        <v>179</v>
      </c>
      <c r="Y401" t="s">
        <v>180</v>
      </c>
      <c r="Z401" s="30" t="s">
        <v>180</v>
      </c>
      <c r="AA401" s="30" t="s">
        <v>181</v>
      </c>
      <c r="AB401" s="30" t="s">
        <v>1667</v>
      </c>
      <c r="AC401" s="30" t="s">
        <v>56</v>
      </c>
      <c r="AD401" s="30" t="s">
        <v>1668</v>
      </c>
      <c r="AE401" s="30">
        <v>20557679392</v>
      </c>
      <c r="AF401" s="30" t="s">
        <v>1761</v>
      </c>
      <c r="AG401" s="30" t="s">
        <v>1710</v>
      </c>
      <c r="AH401" s="30" t="s">
        <v>185</v>
      </c>
      <c r="AI401" s="30" t="s">
        <v>1711</v>
      </c>
      <c r="AJ401" s="30" t="s">
        <v>1762</v>
      </c>
      <c r="AK401" s="30">
        <v>0</v>
      </c>
      <c r="AL401" s="30" t="s">
        <v>483</v>
      </c>
      <c r="AM401" t="s">
        <v>270</v>
      </c>
      <c r="AN401" s="30" t="s">
        <v>270</v>
      </c>
      <c r="AO401" s="30" t="s">
        <v>483</v>
      </c>
      <c r="AP401" s="30" t="s">
        <v>483</v>
      </c>
      <c r="AQ401" s="30" t="s">
        <v>483</v>
      </c>
      <c r="AR401" s="30" t="s">
        <v>483</v>
      </c>
      <c r="AS401" s="30" t="s">
        <v>63</v>
      </c>
      <c r="AT401" s="30" t="s">
        <v>669</v>
      </c>
      <c r="AU401" s="50">
        <v>46235.708333333336</v>
      </c>
      <c r="AV401" s="50">
        <v>46235.727083333331</v>
      </c>
      <c r="AW401" s="50">
        <v>46235.731249999997</v>
      </c>
      <c r="AX401" s="50">
        <v>46235.75</v>
      </c>
      <c r="AY401" s="50">
        <v>46235.763888888891</v>
      </c>
      <c r="AZ401" s="50">
        <v>46235.763888888891</v>
      </c>
      <c r="BA401" s="51">
        <v>46236.553472222222</v>
      </c>
      <c r="BB401" s="51">
        <v>46236.559027777781</v>
      </c>
      <c r="BC401" s="50">
        <v>46236.579861111109</v>
      </c>
      <c r="BE401" s="51">
        <v>46236.78125</v>
      </c>
      <c r="BF401" s="51"/>
      <c r="BG401" s="51">
        <v>46236.902777777781</v>
      </c>
      <c r="BH401" s="51">
        <v>46236.914583333331</v>
      </c>
      <c r="BI401" s="30" t="s">
        <v>65</v>
      </c>
      <c r="BJ401" s="50">
        <v>46237.666666666664</v>
      </c>
      <c r="BK401" s="50">
        <v>46237.597222222219</v>
      </c>
      <c r="BL401" s="50">
        <v>46237.632638888892</v>
      </c>
      <c r="BM401" s="50">
        <v>46237.635416666664</v>
      </c>
      <c r="BN401" s="50">
        <v>46237.637499999997</v>
      </c>
    </row>
    <row r="402" spans="1:66">
      <c r="A402" t="s">
        <v>168</v>
      </c>
      <c r="B402" s="30">
        <v>18</v>
      </c>
      <c r="C402" s="30">
        <v>31</v>
      </c>
      <c r="D402" s="30" t="s">
        <v>2551</v>
      </c>
      <c r="E402" s="30" t="s">
        <v>2547</v>
      </c>
      <c r="F402" s="48">
        <v>46236</v>
      </c>
      <c r="G402" s="48">
        <v>46237</v>
      </c>
      <c r="H402" s="49">
        <v>0.41666666666666669</v>
      </c>
      <c r="I402" s="49">
        <v>0.33333333333333331</v>
      </c>
      <c r="J402" s="30" t="s">
        <v>53</v>
      </c>
      <c r="K402" s="30" t="s">
        <v>171</v>
      </c>
      <c r="L402" s="30">
        <v>1</v>
      </c>
      <c r="M402" s="30" t="s">
        <v>1763</v>
      </c>
      <c r="N402" s="30" t="s">
        <v>173</v>
      </c>
      <c r="O402" s="30" t="s">
        <v>173</v>
      </c>
      <c r="P402" s="30" t="s">
        <v>174</v>
      </c>
      <c r="Q402" s="30" t="s">
        <v>363</v>
      </c>
      <c r="R402" s="30" t="s">
        <v>175</v>
      </c>
      <c r="S402" s="30" t="s">
        <v>176</v>
      </c>
      <c r="T402" s="30" t="s">
        <v>2559</v>
      </c>
      <c r="U402" s="30" t="s">
        <v>1764</v>
      </c>
      <c r="V402" s="30" t="s">
        <v>270</v>
      </c>
      <c r="W402" s="30" t="s">
        <v>1765</v>
      </c>
      <c r="X402" s="30" t="s">
        <v>179</v>
      </c>
      <c r="Y402" t="s">
        <v>180</v>
      </c>
      <c r="Z402" s="30" t="s">
        <v>180</v>
      </c>
      <c r="AA402" s="30" t="s">
        <v>181</v>
      </c>
      <c r="AB402" s="30" t="s">
        <v>1667</v>
      </c>
      <c r="AC402" s="30" t="s">
        <v>56</v>
      </c>
      <c r="AD402" s="30" t="s">
        <v>1668</v>
      </c>
      <c r="AE402" s="30">
        <v>20557679392</v>
      </c>
      <c r="AF402" s="30" t="s">
        <v>1732</v>
      </c>
      <c r="AG402" s="30" t="s">
        <v>1733</v>
      </c>
      <c r="AH402" s="30" t="s">
        <v>185</v>
      </c>
      <c r="AI402" s="30" t="s">
        <v>1734</v>
      </c>
      <c r="AJ402" s="30" t="s">
        <v>1728</v>
      </c>
      <c r="AK402" s="30">
        <v>0</v>
      </c>
      <c r="AL402" s="30" t="s">
        <v>483</v>
      </c>
      <c r="AM402" t="s">
        <v>270</v>
      </c>
      <c r="AN402" s="30" t="s">
        <v>270</v>
      </c>
      <c r="AO402" s="30" t="s">
        <v>483</v>
      </c>
      <c r="AP402" s="30" t="s">
        <v>483</v>
      </c>
      <c r="AQ402" s="30" t="s">
        <v>483</v>
      </c>
      <c r="AR402" s="30" t="s">
        <v>483</v>
      </c>
      <c r="AS402" s="30" t="s">
        <v>63</v>
      </c>
      <c r="AT402" s="30" t="s">
        <v>669</v>
      </c>
      <c r="AU402" s="50">
        <v>46236.375</v>
      </c>
      <c r="AV402" s="50">
        <v>46236.375</v>
      </c>
      <c r="AW402" s="50">
        <v>46236.381944444445</v>
      </c>
      <c r="AX402" s="50">
        <v>46236.381944444445</v>
      </c>
      <c r="AY402" s="50">
        <v>46236.425000000003</v>
      </c>
      <c r="AZ402" s="50">
        <v>46236.425000000003</v>
      </c>
      <c r="BA402" s="51">
        <v>46237.34097222222</v>
      </c>
      <c r="BB402" s="51">
        <v>46237.34652777778</v>
      </c>
      <c r="BC402" s="50">
        <v>46237.359722222223</v>
      </c>
      <c r="BE402" s="51">
        <v>46237.555555555555</v>
      </c>
      <c r="BF402" s="51"/>
      <c r="BG402" s="51">
        <v>46237.6875</v>
      </c>
      <c r="BH402" s="51">
        <v>46237.734722222223</v>
      </c>
      <c r="BI402" s="30" t="s">
        <v>65</v>
      </c>
      <c r="BJ402" s="50">
        <v>46238.625</v>
      </c>
      <c r="BK402" s="50">
        <v>46238.594444444447</v>
      </c>
      <c r="BL402" s="50">
        <v>46238.6</v>
      </c>
      <c r="BM402" s="50">
        <v>46238.602777777778</v>
      </c>
      <c r="BN402" s="50">
        <v>46238.612500000003</v>
      </c>
    </row>
    <row r="403" spans="1:66">
      <c r="A403" t="s">
        <v>168</v>
      </c>
      <c r="B403" s="30">
        <v>19</v>
      </c>
      <c r="C403" s="30">
        <v>31</v>
      </c>
      <c r="D403" s="30" t="s">
        <v>2551</v>
      </c>
      <c r="E403" s="30" t="s">
        <v>2547</v>
      </c>
      <c r="F403" s="48">
        <v>46236</v>
      </c>
      <c r="G403" s="48">
        <v>46237</v>
      </c>
      <c r="H403" s="49">
        <v>0.41666666666666669</v>
      </c>
      <c r="I403" s="49">
        <v>0.33333333333333331</v>
      </c>
      <c r="J403" s="30" t="s">
        <v>53</v>
      </c>
      <c r="K403" s="30" t="s">
        <v>171</v>
      </c>
      <c r="L403" s="30">
        <v>1</v>
      </c>
      <c r="M403" s="30" t="s">
        <v>1766</v>
      </c>
      <c r="N403" s="30" t="s">
        <v>173</v>
      </c>
      <c r="O403" s="30" t="s">
        <v>173</v>
      </c>
      <c r="P403" s="30" t="s">
        <v>174</v>
      </c>
      <c r="Q403" s="30" t="s">
        <v>363</v>
      </c>
      <c r="R403" s="30" t="s">
        <v>175</v>
      </c>
      <c r="S403" s="30" t="s">
        <v>176</v>
      </c>
      <c r="T403" s="30" t="s">
        <v>2560</v>
      </c>
      <c r="U403" s="30" t="s">
        <v>1767</v>
      </c>
      <c r="V403" s="30" t="s">
        <v>270</v>
      </c>
      <c r="W403" s="30" t="s">
        <v>1768</v>
      </c>
      <c r="X403" s="30" t="s">
        <v>179</v>
      </c>
      <c r="Y403" t="s">
        <v>180</v>
      </c>
      <c r="Z403" s="30" t="s">
        <v>180</v>
      </c>
      <c r="AA403" s="30" t="s">
        <v>181</v>
      </c>
      <c r="AB403" s="30" t="s">
        <v>1667</v>
      </c>
      <c r="AC403" s="30" t="s">
        <v>56</v>
      </c>
      <c r="AD403" s="30" t="s">
        <v>1668</v>
      </c>
      <c r="AE403" s="30">
        <v>20557679392</v>
      </c>
      <c r="AF403" s="30" t="s">
        <v>2552</v>
      </c>
      <c r="AG403" s="30" t="s">
        <v>1716</v>
      </c>
      <c r="AH403" s="30" t="s">
        <v>185</v>
      </c>
      <c r="AI403" s="30" t="s">
        <v>1769</v>
      </c>
      <c r="AJ403" s="30" t="s">
        <v>1770</v>
      </c>
      <c r="AK403" s="30">
        <v>0</v>
      </c>
      <c r="AL403" s="30" t="s">
        <v>483</v>
      </c>
      <c r="AM403" t="s">
        <v>270</v>
      </c>
      <c r="AN403" s="30" t="s">
        <v>270</v>
      </c>
      <c r="AO403" s="30" t="s">
        <v>483</v>
      </c>
      <c r="AP403" s="30" t="s">
        <v>483</v>
      </c>
      <c r="AQ403" s="30" t="s">
        <v>483</v>
      </c>
      <c r="AR403" s="30" t="s">
        <v>483</v>
      </c>
      <c r="AS403" s="30" t="s">
        <v>63</v>
      </c>
      <c r="AT403" s="30" t="s">
        <v>669</v>
      </c>
      <c r="AU403" s="50">
        <v>46236.375</v>
      </c>
      <c r="AV403" s="50">
        <v>46236.375</v>
      </c>
      <c r="AW403" s="50">
        <v>46236.385416666664</v>
      </c>
      <c r="AX403" s="50">
        <v>46236.385416666664</v>
      </c>
      <c r="AY403" s="50">
        <v>46236.443749999999</v>
      </c>
      <c r="AZ403" s="50">
        <v>46236.443749999999</v>
      </c>
      <c r="BA403" s="51">
        <v>46237.344444444447</v>
      </c>
      <c r="BB403" s="51">
        <v>46237.345833333333</v>
      </c>
      <c r="BC403" s="50">
        <v>46237.364583333336</v>
      </c>
      <c r="BE403" s="51">
        <v>46237.600694444445</v>
      </c>
      <c r="BF403" s="51"/>
      <c r="BG403" s="51">
        <v>46237.763888888891</v>
      </c>
      <c r="BH403" s="51">
        <v>46237.788194444445</v>
      </c>
      <c r="BI403" s="30" t="s">
        <v>65</v>
      </c>
      <c r="BJ403" s="50">
        <v>46238.583333333336</v>
      </c>
      <c r="BK403" s="50">
        <v>46238.559027777781</v>
      </c>
      <c r="BL403" s="50">
        <v>46238.5625</v>
      </c>
      <c r="BM403" s="50">
        <v>46238.564583333333</v>
      </c>
      <c r="BN403" s="50">
        <v>46238.57708333333</v>
      </c>
    </row>
    <row r="404" spans="1:66">
      <c r="A404" t="s">
        <v>168</v>
      </c>
      <c r="B404" s="30">
        <v>20</v>
      </c>
      <c r="C404" s="30">
        <v>31</v>
      </c>
      <c r="D404" s="30" t="s">
        <v>2551</v>
      </c>
      <c r="E404" s="30" t="s">
        <v>2547</v>
      </c>
      <c r="F404" s="48">
        <v>46236</v>
      </c>
      <c r="G404" s="48">
        <v>46237</v>
      </c>
      <c r="H404" s="49">
        <v>0.41666666666666669</v>
      </c>
      <c r="I404" s="49">
        <v>0.33333333333333331</v>
      </c>
      <c r="J404" s="30" t="s">
        <v>53</v>
      </c>
      <c r="K404" s="30" t="s">
        <v>2561</v>
      </c>
      <c r="L404" s="30">
        <v>1</v>
      </c>
      <c r="M404" s="30" t="s">
        <v>1771</v>
      </c>
      <c r="N404" s="30" t="s">
        <v>173</v>
      </c>
      <c r="O404" s="30" t="s">
        <v>173</v>
      </c>
      <c r="P404" s="30" t="s">
        <v>174</v>
      </c>
      <c r="Q404" s="30" t="s">
        <v>363</v>
      </c>
      <c r="R404" s="30" t="s">
        <v>175</v>
      </c>
      <c r="S404" s="30" t="s">
        <v>176</v>
      </c>
      <c r="T404" s="30" t="s">
        <v>2562</v>
      </c>
      <c r="U404" s="30" t="s">
        <v>1772</v>
      </c>
      <c r="V404" s="30">
        <v>801511</v>
      </c>
      <c r="W404" s="30" t="s">
        <v>1773</v>
      </c>
      <c r="X404" s="30" t="s">
        <v>179</v>
      </c>
      <c r="Y404" t="s">
        <v>180</v>
      </c>
      <c r="Z404" s="30" t="s">
        <v>180</v>
      </c>
      <c r="AA404" s="30" t="s">
        <v>181</v>
      </c>
      <c r="AB404" s="30" t="s">
        <v>1667</v>
      </c>
      <c r="AC404" s="30" t="s">
        <v>56</v>
      </c>
      <c r="AD404" s="30" t="s">
        <v>1668</v>
      </c>
      <c r="AE404" s="30">
        <v>20557679392</v>
      </c>
      <c r="AF404" s="30" t="s">
        <v>1726</v>
      </c>
      <c r="AG404" s="30" t="s">
        <v>1727</v>
      </c>
      <c r="AH404" s="30" t="s">
        <v>185</v>
      </c>
      <c r="AI404" s="30" t="s">
        <v>1699</v>
      </c>
      <c r="AJ404" s="30" t="s">
        <v>1774</v>
      </c>
      <c r="AK404" s="30">
        <v>0</v>
      </c>
      <c r="AL404" s="30" t="s">
        <v>483</v>
      </c>
      <c r="AM404" t="s">
        <v>270</v>
      </c>
      <c r="AN404" s="30" t="s">
        <v>270</v>
      </c>
      <c r="AO404" s="30" t="s">
        <v>483</v>
      </c>
      <c r="AP404" s="30" t="s">
        <v>483</v>
      </c>
      <c r="AQ404" s="30" t="s">
        <v>483</v>
      </c>
      <c r="AR404" s="30" t="s">
        <v>483</v>
      </c>
      <c r="AS404" s="30" t="s">
        <v>63</v>
      </c>
      <c r="AT404" s="30" t="s">
        <v>669</v>
      </c>
      <c r="AU404" s="50">
        <v>46236.375</v>
      </c>
      <c r="AV404" s="50">
        <v>46236.464583333334</v>
      </c>
      <c r="AW404" s="50">
        <v>46236.46875</v>
      </c>
      <c r="AX404" s="50">
        <v>46236.46875</v>
      </c>
      <c r="AY404" s="50">
        <v>46236.600694444445</v>
      </c>
      <c r="AZ404" s="50">
        <v>46236.600694444445</v>
      </c>
      <c r="BA404" s="51">
        <v>46237.34097222222</v>
      </c>
      <c r="BB404" s="51">
        <v>46237.345138888886</v>
      </c>
      <c r="BC404" s="50">
        <v>46237.374305555553</v>
      </c>
      <c r="BE404" s="51">
        <v>46237.65625</v>
      </c>
      <c r="BF404" s="51"/>
      <c r="BG404" s="51">
        <v>46237.708333333336</v>
      </c>
      <c r="BH404" s="51">
        <v>46237.734722222223</v>
      </c>
      <c r="BI404" s="30" t="s">
        <v>65</v>
      </c>
      <c r="BJ404" s="50">
        <v>46238.541666666664</v>
      </c>
      <c r="BK404" s="50">
        <v>46238.534722222219</v>
      </c>
      <c r="BL404" s="50">
        <v>46238.541666666664</v>
      </c>
      <c r="BM404" s="50">
        <v>46238.543055555558</v>
      </c>
      <c r="BN404" s="50">
        <v>46238.552083333336</v>
      </c>
    </row>
    <row r="405" spans="1:66">
      <c r="A405" t="s">
        <v>168</v>
      </c>
      <c r="B405" s="30">
        <v>21</v>
      </c>
      <c r="C405" s="30">
        <v>32</v>
      </c>
      <c r="D405" s="30" t="s">
        <v>169</v>
      </c>
      <c r="E405" s="30" t="s">
        <v>2547</v>
      </c>
      <c r="F405" s="48">
        <v>46241</v>
      </c>
      <c r="G405" s="48">
        <v>46242</v>
      </c>
      <c r="H405" s="49">
        <v>0.58333333333333337</v>
      </c>
      <c r="I405" s="49">
        <v>0.5</v>
      </c>
      <c r="J405" s="30" t="s">
        <v>53</v>
      </c>
      <c r="K405" s="30" t="s">
        <v>171</v>
      </c>
      <c r="L405" s="30">
        <v>1</v>
      </c>
      <c r="M405" s="30" t="s">
        <v>1776</v>
      </c>
      <c r="P405" s="30" t="s">
        <v>174</v>
      </c>
      <c r="Q405" s="30" t="s">
        <v>363</v>
      </c>
      <c r="R405" s="30" t="s">
        <v>175</v>
      </c>
      <c r="S405" s="30" t="s">
        <v>176</v>
      </c>
      <c r="T405" s="30" t="s">
        <v>2563</v>
      </c>
      <c r="U405" s="30" t="s">
        <v>1973</v>
      </c>
      <c r="V405" s="30">
        <v>803336</v>
      </c>
      <c r="W405" s="30" t="s">
        <v>2564</v>
      </c>
      <c r="X405" s="30" t="s">
        <v>179</v>
      </c>
      <c r="Y405" t="s">
        <v>180</v>
      </c>
      <c r="Z405" s="30" t="s">
        <v>180</v>
      </c>
      <c r="AA405" s="30" t="s">
        <v>181</v>
      </c>
      <c r="AB405" s="30" t="s">
        <v>1667</v>
      </c>
      <c r="AC405" s="30" t="s">
        <v>56</v>
      </c>
      <c r="AD405" s="30" t="s">
        <v>1668</v>
      </c>
      <c r="AE405" s="30">
        <v>20557679392</v>
      </c>
      <c r="AF405" s="30" t="s">
        <v>1726</v>
      </c>
      <c r="AG405" s="30" t="s">
        <v>1698</v>
      </c>
      <c r="AH405" s="30" t="s">
        <v>185</v>
      </c>
      <c r="AI405" s="30" t="s">
        <v>1699</v>
      </c>
      <c r="AJ405" s="30" t="s">
        <v>1774</v>
      </c>
      <c r="AK405" s="30">
        <v>0</v>
      </c>
      <c r="AL405" s="30" t="s">
        <v>483</v>
      </c>
      <c r="AM405" t="s">
        <v>270</v>
      </c>
      <c r="AN405" s="30" t="s">
        <v>270</v>
      </c>
      <c r="AO405" s="30" t="s">
        <v>483</v>
      </c>
      <c r="AP405" s="30" t="s">
        <v>483</v>
      </c>
      <c r="AQ405" s="30" t="s">
        <v>483</v>
      </c>
      <c r="AR405" s="30" t="s">
        <v>483</v>
      </c>
      <c r="AS405" s="30" t="s">
        <v>63</v>
      </c>
      <c r="AT405" s="30" t="s">
        <v>64</v>
      </c>
      <c r="AU405" s="50">
        <v>46241.583333333336</v>
      </c>
      <c r="AV405" s="50">
        <v>46241.601388888892</v>
      </c>
      <c r="AW405" s="50">
        <v>46241.636111111111</v>
      </c>
      <c r="AX405" s="50">
        <v>46241.660416666666</v>
      </c>
      <c r="AY405" s="50">
        <v>46241.682638888888</v>
      </c>
      <c r="AZ405" s="50">
        <v>46241.683333333334</v>
      </c>
      <c r="BA405" s="51">
        <v>46242.493750000001</v>
      </c>
      <c r="BB405" s="51">
        <v>46242.500694444447</v>
      </c>
      <c r="BC405" s="50">
        <v>46242.5</v>
      </c>
      <c r="BE405" s="51">
        <v>46242.708333333336</v>
      </c>
      <c r="BF405" s="51"/>
      <c r="BG405" s="51">
        <v>46242.8125</v>
      </c>
      <c r="BH405" s="51">
        <v>46242.941666666666</v>
      </c>
      <c r="BI405" s="30" t="s">
        <v>65</v>
      </c>
      <c r="BJ405" s="50">
        <v>46243.625</v>
      </c>
      <c r="BK405" s="50">
        <v>46243.521527777775</v>
      </c>
      <c r="BL405" s="50">
        <v>46243.590277777781</v>
      </c>
      <c r="BM405" s="50">
        <v>46243.591666666667</v>
      </c>
      <c r="BN405" s="50">
        <v>46243.602777777778</v>
      </c>
    </row>
    <row r="406" spans="1:66">
      <c r="A406" t="s">
        <v>168</v>
      </c>
      <c r="B406" s="30">
        <v>22</v>
      </c>
      <c r="C406" s="30">
        <v>32</v>
      </c>
      <c r="D406" s="30" t="s">
        <v>2551</v>
      </c>
      <c r="E406" s="30" t="s">
        <v>2547</v>
      </c>
      <c r="F406" s="48">
        <v>46241</v>
      </c>
      <c r="G406" s="48">
        <v>46242</v>
      </c>
      <c r="H406" s="49">
        <v>0.58333333333333337</v>
      </c>
      <c r="I406" s="49">
        <v>0.5</v>
      </c>
      <c r="J406" s="30" t="s">
        <v>53</v>
      </c>
      <c r="K406" s="30" t="s">
        <v>171</v>
      </c>
      <c r="L406" s="30">
        <v>1</v>
      </c>
      <c r="M406" s="30" t="s">
        <v>1777</v>
      </c>
      <c r="P406" s="30" t="s">
        <v>174</v>
      </c>
      <c r="Q406" s="30" t="s">
        <v>363</v>
      </c>
      <c r="R406" s="30" t="s">
        <v>175</v>
      </c>
      <c r="S406" s="30" t="s">
        <v>176</v>
      </c>
      <c r="T406" s="30" t="s">
        <v>2565</v>
      </c>
      <c r="U406" s="30" t="s">
        <v>1950</v>
      </c>
      <c r="V406" s="30">
        <v>803377</v>
      </c>
      <c r="W406" s="30" t="s">
        <v>2566</v>
      </c>
      <c r="X406" s="30" t="s">
        <v>179</v>
      </c>
      <c r="Y406" t="s">
        <v>180</v>
      </c>
      <c r="Z406" s="30" t="s">
        <v>180</v>
      </c>
      <c r="AA406" s="30" t="s">
        <v>181</v>
      </c>
      <c r="AB406" s="30" t="s">
        <v>1667</v>
      </c>
      <c r="AC406" s="30" t="s">
        <v>92</v>
      </c>
      <c r="AD406" s="30" t="s">
        <v>2567</v>
      </c>
      <c r="AE406" s="30">
        <v>10035034264</v>
      </c>
      <c r="AF406" s="30" t="s">
        <v>1951</v>
      </c>
      <c r="AG406" s="30" t="s">
        <v>1952</v>
      </c>
      <c r="AH406" s="30" t="s">
        <v>185</v>
      </c>
      <c r="AI406" s="30" t="s">
        <v>1953</v>
      </c>
      <c r="AJ406" s="30" t="s">
        <v>2568</v>
      </c>
      <c r="AK406" s="30">
        <v>0</v>
      </c>
      <c r="AL406" s="30" t="s">
        <v>483</v>
      </c>
      <c r="AM406" t="s">
        <v>270</v>
      </c>
      <c r="AN406" s="30" t="s">
        <v>270</v>
      </c>
      <c r="AO406" s="30" t="s">
        <v>483</v>
      </c>
      <c r="AP406" s="30" t="s">
        <v>483</v>
      </c>
      <c r="AQ406" s="30" t="s">
        <v>483</v>
      </c>
      <c r="AR406" s="30" t="s">
        <v>483</v>
      </c>
      <c r="AS406" s="30" t="s">
        <v>63</v>
      </c>
      <c r="AT406" s="30" t="s">
        <v>64</v>
      </c>
      <c r="AU406" s="50">
        <v>46241.666666666664</v>
      </c>
      <c r="AV406" s="50">
        <v>46241.656944444447</v>
      </c>
      <c r="AW406" s="50">
        <v>46241.679166666669</v>
      </c>
      <c r="AX406" s="50">
        <v>46241.688194444447</v>
      </c>
      <c r="AY406" s="50">
        <v>46241.75277777778</v>
      </c>
      <c r="AZ406" s="50">
        <v>46241.758333333331</v>
      </c>
      <c r="BA406" s="51">
        <v>46242.413194444445</v>
      </c>
      <c r="BB406" s="51">
        <v>46242.420138888891</v>
      </c>
      <c r="BC406" s="50">
        <v>46242.454861111109</v>
      </c>
      <c r="BE406" s="51">
        <v>46242.831250000003</v>
      </c>
      <c r="BF406" s="51"/>
      <c r="BG406" s="51">
        <v>46242.864583333336</v>
      </c>
      <c r="BH406" s="51">
        <v>46273.416666666664</v>
      </c>
      <c r="BI406" s="30" t="s">
        <v>65</v>
      </c>
      <c r="BJ406" s="50">
        <v>46244</v>
      </c>
      <c r="BK406" s="50">
        <v>46243.936805555553</v>
      </c>
      <c r="BL406" s="50">
        <v>46243.932638888888</v>
      </c>
      <c r="BM406" s="50">
        <v>46243.947222222225</v>
      </c>
      <c r="BN406" s="50">
        <v>46243.953472222223</v>
      </c>
    </row>
    <row r="407" spans="1:66">
      <c r="A407" t="s">
        <v>168</v>
      </c>
      <c r="B407" s="30">
        <v>23</v>
      </c>
      <c r="C407" s="30">
        <v>32</v>
      </c>
      <c r="D407" s="30" t="s">
        <v>169</v>
      </c>
      <c r="E407" s="30" t="s">
        <v>2547</v>
      </c>
      <c r="F407" s="48">
        <v>46242</v>
      </c>
      <c r="G407" s="48">
        <v>46243</v>
      </c>
      <c r="H407" s="49">
        <v>0.66666666666666663</v>
      </c>
      <c r="I407" s="49">
        <v>0.58333333333333337</v>
      </c>
      <c r="J407" s="30" t="s">
        <v>53</v>
      </c>
      <c r="K407" s="30" t="s">
        <v>171</v>
      </c>
      <c r="L407" s="30">
        <v>1</v>
      </c>
      <c r="M407" s="30" t="s">
        <v>1775</v>
      </c>
      <c r="P407" s="30" t="s">
        <v>174</v>
      </c>
      <c r="Q407" s="30" t="s">
        <v>363</v>
      </c>
      <c r="R407" s="30" t="s">
        <v>407</v>
      </c>
      <c r="S407" s="30" t="s">
        <v>176</v>
      </c>
      <c r="T407" s="30" t="s">
        <v>2569</v>
      </c>
      <c r="U407" s="30" t="s">
        <v>1974</v>
      </c>
      <c r="V407" s="30">
        <v>803736</v>
      </c>
      <c r="W407" s="30" t="s">
        <v>2570</v>
      </c>
      <c r="X407" s="30" t="s">
        <v>179</v>
      </c>
      <c r="Y407" t="s">
        <v>180</v>
      </c>
      <c r="Z407" s="30" t="s">
        <v>180</v>
      </c>
      <c r="AA407" s="30" t="s">
        <v>181</v>
      </c>
      <c r="AB407" s="30" t="s">
        <v>1667</v>
      </c>
      <c r="AC407" s="30" t="s">
        <v>56</v>
      </c>
      <c r="AD407" s="30" t="s">
        <v>1668</v>
      </c>
      <c r="AE407" s="30">
        <v>20557679392</v>
      </c>
      <c r="AF407" s="30" t="s">
        <v>2553</v>
      </c>
      <c r="AG407" s="30" t="s">
        <v>1721</v>
      </c>
      <c r="AH407" s="30" t="s">
        <v>185</v>
      </c>
      <c r="AI407" s="30" t="s">
        <v>1722</v>
      </c>
      <c r="AJ407" s="30" t="s">
        <v>1978</v>
      </c>
      <c r="AK407" s="30">
        <v>0</v>
      </c>
      <c r="AL407" s="30" t="s">
        <v>483</v>
      </c>
      <c r="AM407" t="s">
        <v>270</v>
      </c>
      <c r="AN407" s="30" t="s">
        <v>270</v>
      </c>
      <c r="AO407" s="30" t="s">
        <v>483</v>
      </c>
      <c r="AP407" s="30" t="s">
        <v>483</v>
      </c>
      <c r="AQ407" s="30" t="s">
        <v>483</v>
      </c>
      <c r="AR407" s="30" t="s">
        <v>483</v>
      </c>
      <c r="AS407" s="30" t="s">
        <v>63</v>
      </c>
      <c r="AT407" s="30" t="s">
        <v>64</v>
      </c>
      <c r="AU407" s="50">
        <v>46242.458333333336</v>
      </c>
      <c r="AV407" s="50">
        <v>46242.461805555555</v>
      </c>
      <c r="AW407" s="50">
        <v>46242.465277777781</v>
      </c>
      <c r="AX407" s="50">
        <v>46242.472222222219</v>
      </c>
      <c r="AY407" s="50">
        <v>46242.013888888891</v>
      </c>
      <c r="AZ407" s="50">
        <v>46242.53402777778</v>
      </c>
      <c r="BA407" s="51">
        <v>46243.583333333336</v>
      </c>
      <c r="BB407" s="51">
        <v>46243.586805555555</v>
      </c>
      <c r="BC407" s="50">
        <v>46243.604166666664</v>
      </c>
      <c r="BE407" s="51">
        <v>46243.6875</v>
      </c>
      <c r="BF407" s="51"/>
      <c r="BG407" s="51">
        <v>46243.75</v>
      </c>
      <c r="BH407" s="51">
        <v>46243.771527777775</v>
      </c>
      <c r="BI407" s="30" t="s">
        <v>65</v>
      </c>
      <c r="BJ407" s="50">
        <v>46244.541666666664</v>
      </c>
      <c r="BK407" s="50">
        <v>46244.48541666667</v>
      </c>
      <c r="BL407" s="50">
        <v>46244.484027777777</v>
      </c>
      <c r="BM407" s="50">
        <v>46244.486111111109</v>
      </c>
      <c r="BN407" s="50">
        <v>46244.492361111108</v>
      </c>
    </row>
    <row r="408" spans="1:66">
      <c r="A408" t="s">
        <v>168</v>
      </c>
      <c r="B408" s="30">
        <v>24</v>
      </c>
      <c r="C408" s="30">
        <v>33</v>
      </c>
      <c r="D408" s="30" t="s">
        <v>169</v>
      </c>
      <c r="E408" s="30" t="s">
        <v>2547</v>
      </c>
      <c r="F408" s="48">
        <v>46249</v>
      </c>
      <c r="G408" s="48">
        <v>46250</v>
      </c>
      <c r="H408" s="49">
        <v>0.70833333333333337</v>
      </c>
      <c r="I408" s="49">
        <v>0.66666666666666663</v>
      </c>
      <c r="J408" s="30" t="s">
        <v>53</v>
      </c>
      <c r="K408" s="30" t="s">
        <v>171</v>
      </c>
      <c r="L408" s="30">
        <v>1</v>
      </c>
      <c r="M408" s="30" t="s">
        <v>1778</v>
      </c>
      <c r="P408" s="30" t="s">
        <v>174</v>
      </c>
      <c r="Q408" s="30" t="s">
        <v>363</v>
      </c>
      <c r="R408" s="30" t="s">
        <v>175</v>
      </c>
      <c r="S408" s="30" t="s">
        <v>176</v>
      </c>
      <c r="T408" s="30" t="s">
        <v>1779</v>
      </c>
      <c r="U408" s="30" t="s">
        <v>1975</v>
      </c>
      <c r="V408" s="30">
        <v>806489</v>
      </c>
      <c r="W408" s="30" t="s">
        <v>2571</v>
      </c>
      <c r="X408" s="30" t="s">
        <v>179</v>
      </c>
      <c r="Y408" t="s">
        <v>180</v>
      </c>
      <c r="Z408" s="30" t="s">
        <v>180</v>
      </c>
      <c r="AA408" s="30" t="s">
        <v>181</v>
      </c>
      <c r="AB408" s="30" t="s">
        <v>1667</v>
      </c>
      <c r="AC408" s="30" t="s">
        <v>56</v>
      </c>
      <c r="AD408" s="30" t="s">
        <v>1668</v>
      </c>
      <c r="AE408" s="30">
        <v>20557679392</v>
      </c>
      <c r="AF408" s="30" t="s">
        <v>1732</v>
      </c>
      <c r="AG408" s="30" t="s">
        <v>1733</v>
      </c>
      <c r="AH408" s="30" t="s">
        <v>185</v>
      </c>
      <c r="AI408" s="30" t="s">
        <v>1734</v>
      </c>
      <c r="AJ408" s="30" t="s">
        <v>1728</v>
      </c>
      <c r="AK408" s="30">
        <v>0</v>
      </c>
      <c r="AL408" s="30" t="s">
        <v>483</v>
      </c>
      <c r="AM408" t="s">
        <v>270</v>
      </c>
      <c r="AN408" s="30" t="s">
        <v>270</v>
      </c>
      <c r="AO408" s="30" t="s">
        <v>483</v>
      </c>
      <c r="AP408" s="30" t="s">
        <v>483</v>
      </c>
      <c r="AQ408" s="30" t="s">
        <v>483</v>
      </c>
      <c r="AR408" s="30" t="s">
        <v>483</v>
      </c>
      <c r="AS408" s="30" t="s">
        <v>63</v>
      </c>
      <c r="AT408" s="30" t="s">
        <v>64</v>
      </c>
      <c r="AU408" s="50">
        <v>46249.583333333336</v>
      </c>
      <c r="AV408" s="50">
        <v>46249.630555555559</v>
      </c>
      <c r="AW408" s="50">
        <v>46249.645138888889</v>
      </c>
      <c r="AX408" s="50">
        <v>46249.651388888888</v>
      </c>
      <c r="AY408" s="50">
        <v>46249.699305555558</v>
      </c>
      <c r="AZ408" s="50">
        <v>46249.802083333336</v>
      </c>
      <c r="BA408" s="51">
        <v>46250.590277777781</v>
      </c>
      <c r="BB408" s="51">
        <v>46250.592361111114</v>
      </c>
      <c r="BC408" s="50">
        <v>46251.444444444445</v>
      </c>
      <c r="BE408" s="51">
        <v>46250.678472222222</v>
      </c>
      <c r="BF408" s="51"/>
      <c r="BG408" s="51">
        <v>46250.739583333336</v>
      </c>
      <c r="BH408" s="51">
        <v>46250.753472222219</v>
      </c>
      <c r="BI408" s="30" t="s">
        <v>65</v>
      </c>
      <c r="BJ408" s="50">
        <v>46251.625</v>
      </c>
      <c r="BK408" s="50">
        <v>46251.578472222223</v>
      </c>
      <c r="BL408" s="50">
        <v>46251.579861111109</v>
      </c>
      <c r="BM408" s="50">
        <v>-618491.5944444444</v>
      </c>
      <c r="BN408" s="50">
        <v>46251.601388888892</v>
      </c>
    </row>
    <row r="409" spans="1:66">
      <c r="A409" t="s">
        <v>168</v>
      </c>
      <c r="B409" s="30">
        <v>25</v>
      </c>
      <c r="C409" s="30">
        <v>33</v>
      </c>
      <c r="D409" s="30" t="s">
        <v>169</v>
      </c>
      <c r="E409" s="30" t="s">
        <v>2547</v>
      </c>
      <c r="F409" s="48">
        <v>46250</v>
      </c>
      <c r="G409" s="48">
        <v>46251</v>
      </c>
      <c r="H409" s="49">
        <v>0.625</v>
      </c>
      <c r="I409" s="49">
        <v>0.58333333333333337</v>
      </c>
      <c r="J409" s="30" t="s">
        <v>53</v>
      </c>
      <c r="K409" s="30" t="s">
        <v>171</v>
      </c>
      <c r="L409" s="30">
        <v>1</v>
      </c>
      <c r="M409" s="30" t="s">
        <v>1954</v>
      </c>
      <c r="P409" s="30" t="s">
        <v>174</v>
      </c>
      <c r="Q409" s="30" t="s">
        <v>363</v>
      </c>
      <c r="R409" s="30" t="s">
        <v>175</v>
      </c>
      <c r="S409" s="30" t="s">
        <v>176</v>
      </c>
      <c r="T409" s="30" t="s">
        <v>1955</v>
      </c>
      <c r="U409" s="30" t="s">
        <v>1976</v>
      </c>
      <c r="V409" s="30">
        <v>806765</v>
      </c>
      <c r="W409" s="30" t="s">
        <v>2572</v>
      </c>
      <c r="X409" s="30" t="s">
        <v>179</v>
      </c>
      <c r="Y409" t="s">
        <v>180</v>
      </c>
      <c r="Z409" s="30" t="s">
        <v>180</v>
      </c>
      <c r="AA409" s="30" t="s">
        <v>181</v>
      </c>
      <c r="AB409" s="30" t="s">
        <v>1667</v>
      </c>
      <c r="AC409" s="30" t="s">
        <v>56</v>
      </c>
      <c r="AD409" s="30" t="s">
        <v>1668</v>
      </c>
      <c r="AE409" s="30">
        <v>20557679392</v>
      </c>
      <c r="AF409" s="30" t="s">
        <v>1756</v>
      </c>
      <c r="AG409" s="30" t="s">
        <v>2573</v>
      </c>
      <c r="AH409" s="30" t="s">
        <v>185</v>
      </c>
      <c r="AI409" s="30" t="s">
        <v>1705</v>
      </c>
      <c r="AJ409" s="30" t="s">
        <v>1757</v>
      </c>
      <c r="AK409" s="30">
        <v>0</v>
      </c>
      <c r="AL409" s="30" t="s">
        <v>483</v>
      </c>
      <c r="AM409" t="s">
        <v>270</v>
      </c>
      <c r="AN409" s="30" t="s">
        <v>270</v>
      </c>
      <c r="AO409" s="30" t="s">
        <v>483</v>
      </c>
      <c r="AP409" s="30" t="s">
        <v>483</v>
      </c>
      <c r="AQ409" s="30" t="s">
        <v>483</v>
      </c>
      <c r="AR409" s="30" t="s">
        <v>483</v>
      </c>
      <c r="AS409" s="30" t="s">
        <v>63</v>
      </c>
      <c r="AT409" s="30" t="s">
        <v>64</v>
      </c>
      <c r="AU409" s="50">
        <v>46250.416666666664</v>
      </c>
      <c r="AV409" s="50">
        <v>46250.426388888889</v>
      </c>
      <c r="AW409" s="50">
        <v>46250.44027777778</v>
      </c>
      <c r="AX409" s="50">
        <v>46250.443055555559</v>
      </c>
      <c r="AY409" s="50">
        <v>46250.532638888886</v>
      </c>
      <c r="AZ409" s="50">
        <v>46250.731249999997</v>
      </c>
      <c r="BA409" s="51">
        <v>46251.444444444445</v>
      </c>
      <c r="BB409" s="51">
        <v>46251.446527777778</v>
      </c>
      <c r="BC409" s="50">
        <v>46251.444444444445</v>
      </c>
      <c r="BE409" s="51">
        <v>46251.590277777781</v>
      </c>
      <c r="BF409" s="51"/>
      <c r="BG409" s="51">
        <v>46251.646527777775</v>
      </c>
      <c r="BH409" s="51">
        <v>46251.677083333336</v>
      </c>
      <c r="BI409" s="30" t="s">
        <v>65</v>
      </c>
      <c r="BJ409" s="50">
        <v>46252.416666666664</v>
      </c>
      <c r="BK409" s="50">
        <v>46252.394444444442</v>
      </c>
      <c r="BL409" s="50">
        <v>46252.397916666669</v>
      </c>
      <c r="BM409" s="50">
        <v>46252.399305555555</v>
      </c>
      <c r="BN409" s="50">
        <v>46252.40347222222</v>
      </c>
    </row>
    <row r="410" spans="1:66">
      <c r="A410" t="s">
        <v>168</v>
      </c>
      <c r="B410" s="30">
        <v>26</v>
      </c>
      <c r="C410" s="30">
        <v>33</v>
      </c>
      <c r="D410" s="30" t="s">
        <v>169</v>
      </c>
      <c r="E410" s="30" t="s">
        <v>2547</v>
      </c>
      <c r="F410" s="48">
        <v>46250</v>
      </c>
      <c r="G410" s="48">
        <v>46251</v>
      </c>
      <c r="H410" s="49">
        <v>0.66666666666666663</v>
      </c>
      <c r="I410" s="49">
        <v>0.58333333333333337</v>
      </c>
      <c r="J410" s="30" t="s">
        <v>53</v>
      </c>
      <c r="K410" s="30" t="s">
        <v>171</v>
      </c>
      <c r="L410" s="30">
        <v>1</v>
      </c>
      <c r="M410" s="30" t="s">
        <v>1956</v>
      </c>
      <c r="P410" s="30" t="s">
        <v>174</v>
      </c>
      <c r="Q410" s="30" t="s">
        <v>363</v>
      </c>
      <c r="R410" s="30" t="s">
        <v>175</v>
      </c>
      <c r="S410" s="30" t="s">
        <v>176</v>
      </c>
      <c r="T410" s="30" t="s">
        <v>1957</v>
      </c>
      <c r="U410" s="30" t="s">
        <v>1977</v>
      </c>
      <c r="V410" s="30">
        <v>806766</v>
      </c>
      <c r="W410" s="30" t="s">
        <v>2574</v>
      </c>
      <c r="X410" s="30" t="s">
        <v>179</v>
      </c>
      <c r="Y410" t="s">
        <v>180</v>
      </c>
      <c r="Z410" s="30" t="s">
        <v>180</v>
      </c>
      <c r="AA410" s="30" t="s">
        <v>181</v>
      </c>
      <c r="AB410" s="30" t="s">
        <v>1667</v>
      </c>
      <c r="AC410" s="30" t="s">
        <v>56</v>
      </c>
      <c r="AD410" s="30" t="s">
        <v>1668</v>
      </c>
      <c r="AE410" s="30">
        <v>20557679392</v>
      </c>
      <c r="AF410" s="30" t="s">
        <v>2553</v>
      </c>
      <c r="AG410" s="30" t="s">
        <v>1721</v>
      </c>
      <c r="AH410" s="30" t="s">
        <v>185</v>
      </c>
      <c r="AI410" s="30" t="s">
        <v>1722</v>
      </c>
      <c r="AJ410" s="30" t="s">
        <v>1978</v>
      </c>
      <c r="AK410" s="30">
        <v>0</v>
      </c>
      <c r="AL410" s="30" t="s">
        <v>483</v>
      </c>
      <c r="AM410" t="s">
        <v>270</v>
      </c>
      <c r="AN410" s="30" t="s">
        <v>270</v>
      </c>
      <c r="AO410" s="30" t="s">
        <v>483</v>
      </c>
      <c r="AP410" s="30" t="s">
        <v>483</v>
      </c>
      <c r="AQ410" s="30" t="s">
        <v>483</v>
      </c>
      <c r="AR410" s="30" t="s">
        <v>483</v>
      </c>
      <c r="AS410" s="30" t="s">
        <v>63</v>
      </c>
      <c r="AT410" s="30" t="s">
        <v>64</v>
      </c>
      <c r="AU410" s="50">
        <v>46250.416666666664</v>
      </c>
      <c r="AV410" s="50">
        <v>46250.426388888889</v>
      </c>
      <c r="AW410" s="50">
        <v>46250.444444444445</v>
      </c>
      <c r="AX410" s="50">
        <v>46250.450694444444</v>
      </c>
      <c r="AY410" s="50">
        <v>46250.540972222225</v>
      </c>
      <c r="AZ410" s="50">
        <v>46250.652083333334</v>
      </c>
      <c r="BA410" s="51">
        <v>46251.501388888886</v>
      </c>
      <c r="BB410" s="51">
        <v>46251.504861111112</v>
      </c>
      <c r="BC410" s="50">
        <v>46251.5</v>
      </c>
      <c r="BE410" s="51">
        <v>46251.583333333336</v>
      </c>
      <c r="BF410" s="51"/>
      <c r="BG410" s="51">
        <v>46251.645833333336</v>
      </c>
      <c r="BH410" s="51">
        <v>46251.673611111109</v>
      </c>
      <c r="BI410" s="30" t="s">
        <v>65</v>
      </c>
      <c r="BJ410" s="50">
        <v>46252.416666666664</v>
      </c>
      <c r="BK410" s="50">
        <v>46252.404861111114</v>
      </c>
      <c r="BL410" s="50">
        <v>46252.408333333333</v>
      </c>
      <c r="BM410" s="50">
        <v>46252.410416666666</v>
      </c>
      <c r="BN410" s="50">
        <v>46252.413194444445</v>
      </c>
    </row>
    <row r="411" spans="1:66">
      <c r="A411" t="s">
        <v>168</v>
      </c>
      <c r="B411" s="30">
        <v>27</v>
      </c>
      <c r="C411" s="30">
        <v>34</v>
      </c>
      <c r="D411" s="30" t="s">
        <v>169</v>
      </c>
      <c r="E411" s="30" t="s">
        <v>2547</v>
      </c>
      <c r="F411" s="48">
        <v>46256</v>
      </c>
      <c r="G411" s="48">
        <v>46257</v>
      </c>
      <c r="H411" s="49">
        <v>0.66666666666666663</v>
      </c>
      <c r="I411" s="49">
        <v>0.58333333333333337</v>
      </c>
      <c r="J411" s="30" t="s">
        <v>53</v>
      </c>
      <c r="K411" s="30" t="s">
        <v>171</v>
      </c>
      <c r="L411" s="30">
        <v>1</v>
      </c>
      <c r="M411" s="30" t="s">
        <v>1958</v>
      </c>
      <c r="P411" s="30" t="s">
        <v>174</v>
      </c>
      <c r="Q411" s="30" t="s">
        <v>363</v>
      </c>
      <c r="R411" s="30" t="s">
        <v>407</v>
      </c>
      <c r="S411" s="30" t="s">
        <v>176</v>
      </c>
      <c r="T411" s="30" t="s">
        <v>1959</v>
      </c>
      <c r="U411" s="30" t="s">
        <v>2575</v>
      </c>
      <c r="V411" s="30">
        <v>809286</v>
      </c>
      <c r="W411" s="30" t="s">
        <v>2576</v>
      </c>
      <c r="X411" s="30" t="s">
        <v>179</v>
      </c>
      <c r="Y411" t="s">
        <v>180</v>
      </c>
      <c r="Z411" s="30" t="s">
        <v>180</v>
      </c>
      <c r="AA411" s="30" t="s">
        <v>181</v>
      </c>
      <c r="AB411" s="30" t="s">
        <v>1667</v>
      </c>
      <c r="AC411" s="30" t="s">
        <v>92</v>
      </c>
      <c r="AD411" s="30" t="s">
        <v>2577</v>
      </c>
      <c r="AE411" s="30">
        <v>10730992144</v>
      </c>
      <c r="AF411" s="30" t="s">
        <v>2578</v>
      </c>
      <c r="AG411" s="30" t="s">
        <v>2579</v>
      </c>
      <c r="AH411" s="30" t="s">
        <v>185</v>
      </c>
      <c r="AI411" s="30" t="s">
        <v>2580</v>
      </c>
      <c r="AJ411" s="30" t="s">
        <v>2581</v>
      </c>
      <c r="AK411" s="30">
        <v>0</v>
      </c>
      <c r="AL411" s="30" t="s">
        <v>483</v>
      </c>
      <c r="AM411" t="s">
        <v>270</v>
      </c>
      <c r="AN411" s="30" t="s">
        <v>270</v>
      </c>
      <c r="AO411" s="30" t="s">
        <v>483</v>
      </c>
      <c r="AP411" s="30" t="s">
        <v>483</v>
      </c>
      <c r="AQ411" s="30" t="s">
        <v>483</v>
      </c>
      <c r="AR411" s="30" t="s">
        <v>483</v>
      </c>
      <c r="AS411" s="30" t="s">
        <v>63</v>
      </c>
      <c r="AT411" s="30" t="s">
        <v>64</v>
      </c>
      <c r="AU411" s="50">
        <v>46256.75</v>
      </c>
      <c r="AV411" s="50">
        <v>46256.793749999997</v>
      </c>
      <c r="AW411" s="50">
        <v>46256.802083333336</v>
      </c>
      <c r="AX411" s="50">
        <v>46256.930555555555</v>
      </c>
      <c r="AY411" s="50">
        <v>46256.960416666669</v>
      </c>
      <c r="AZ411" s="50">
        <v>46256.960416666669</v>
      </c>
      <c r="BA411" s="51">
        <v>46257.613194444442</v>
      </c>
      <c r="BB411" s="51">
        <v>46257.616666666669</v>
      </c>
      <c r="BE411" s="51">
        <v>46257.666666666664</v>
      </c>
      <c r="BF411" s="51"/>
      <c r="BG411" s="51">
        <v>46257.770833333336</v>
      </c>
      <c r="BH411" s="51">
        <v>46257.795138888891</v>
      </c>
      <c r="BI411" s="30" t="s">
        <v>65</v>
      </c>
      <c r="BJ411" s="50">
        <v>46258.5</v>
      </c>
      <c r="BK411" s="50">
        <v>46258.461805555555</v>
      </c>
      <c r="BL411" s="50">
        <v>46258.465277777781</v>
      </c>
      <c r="BM411" s="50">
        <v>46258.46875</v>
      </c>
      <c r="BN411" s="50">
        <v>46258.484027777777</v>
      </c>
    </row>
    <row r="412" spans="1:66">
      <c r="A412" t="s">
        <v>168</v>
      </c>
      <c r="B412" s="30">
        <v>28</v>
      </c>
      <c r="C412" s="30">
        <v>34</v>
      </c>
      <c r="D412" s="30" t="s">
        <v>169</v>
      </c>
      <c r="E412" s="30" t="s">
        <v>2547</v>
      </c>
      <c r="F412" s="48">
        <v>46256</v>
      </c>
      <c r="G412" s="48">
        <v>46257</v>
      </c>
      <c r="H412" s="49">
        <v>0.66666666666666663</v>
      </c>
      <c r="I412" s="49">
        <v>0.58333333333333337</v>
      </c>
      <c r="J412" s="30" t="s">
        <v>53</v>
      </c>
      <c r="K412" s="30" t="s">
        <v>171</v>
      </c>
      <c r="L412" s="30">
        <v>1</v>
      </c>
      <c r="M412" s="30" t="s">
        <v>1960</v>
      </c>
      <c r="P412" s="30" t="s">
        <v>174</v>
      </c>
      <c r="Q412" s="30" t="s">
        <v>363</v>
      </c>
      <c r="R412" s="30" t="s">
        <v>548</v>
      </c>
      <c r="S412" s="30" t="s">
        <v>623</v>
      </c>
      <c r="T412" s="30" t="s">
        <v>1961</v>
      </c>
      <c r="U412" s="30" t="s">
        <v>2582</v>
      </c>
      <c r="V412" s="30">
        <v>809277</v>
      </c>
      <c r="W412" s="30" t="s">
        <v>2583</v>
      </c>
      <c r="X412" s="30" t="s">
        <v>179</v>
      </c>
      <c r="Y412" t="s">
        <v>180</v>
      </c>
      <c r="Z412" s="30" t="s">
        <v>180</v>
      </c>
      <c r="AA412" s="30" t="s">
        <v>181</v>
      </c>
      <c r="AB412" s="30" t="s">
        <v>1667</v>
      </c>
      <c r="AC412" s="30" t="s">
        <v>92</v>
      </c>
      <c r="AD412" s="30" t="s">
        <v>2584</v>
      </c>
      <c r="AE412" s="30">
        <v>20613369083</v>
      </c>
      <c r="AF412" s="30" t="s">
        <v>2585</v>
      </c>
      <c r="AG412" s="30" t="s">
        <v>2586</v>
      </c>
      <c r="AH412" s="30" t="s">
        <v>185</v>
      </c>
      <c r="AI412" s="30" t="s">
        <v>2587</v>
      </c>
      <c r="AJ412" s="30" t="s">
        <v>2588</v>
      </c>
      <c r="AK412" s="30">
        <v>0</v>
      </c>
      <c r="AL412" s="30" t="s">
        <v>483</v>
      </c>
      <c r="AM412" t="s">
        <v>270</v>
      </c>
      <c r="AN412" s="30" t="s">
        <v>270</v>
      </c>
      <c r="AO412" s="30" t="s">
        <v>483</v>
      </c>
      <c r="AP412" s="30" t="s">
        <v>483</v>
      </c>
      <c r="AQ412" s="30" t="s">
        <v>483</v>
      </c>
      <c r="AR412" s="30" t="s">
        <v>483</v>
      </c>
      <c r="AS412" s="30" t="s">
        <v>63</v>
      </c>
      <c r="AT412" s="30" t="s">
        <v>64</v>
      </c>
      <c r="AU412" s="50">
        <v>46256.75</v>
      </c>
      <c r="AV412" s="50">
        <v>46256.793749999997</v>
      </c>
      <c r="AW412" s="50">
        <v>46256.802083333336</v>
      </c>
      <c r="AX412" s="50">
        <v>46256.819444444445</v>
      </c>
      <c r="AY412" s="50">
        <v>46256.886111111111</v>
      </c>
      <c r="AZ412" s="50">
        <v>46256.886111111111</v>
      </c>
      <c r="BA412" s="51">
        <v>46257.525694444441</v>
      </c>
      <c r="BB412" s="51">
        <v>46257.53125</v>
      </c>
      <c r="BE412" s="51">
        <v>46257.724999999999</v>
      </c>
      <c r="BF412" s="51"/>
      <c r="BG412" s="51">
        <v>46257.76666666667</v>
      </c>
      <c r="BH412" s="51">
        <v>46257.78125</v>
      </c>
      <c r="BI412" s="30" t="s">
        <v>65</v>
      </c>
      <c r="BJ412" s="50">
        <v>46258.541666666664</v>
      </c>
      <c r="BK412" s="50">
        <v>46258.572222222225</v>
      </c>
      <c r="BL412" s="50">
        <v>46258.575694444444</v>
      </c>
      <c r="BM412" s="50">
        <v>46258.577777777777</v>
      </c>
      <c r="BN412" s="50">
        <v>46258.580555555556</v>
      </c>
    </row>
    <row r="413" spans="1:66">
      <c r="A413" t="s">
        <v>168</v>
      </c>
      <c r="B413" s="30">
        <v>29</v>
      </c>
      <c r="C413" s="30">
        <v>34</v>
      </c>
      <c r="D413" s="30" t="s">
        <v>169</v>
      </c>
      <c r="E413" s="30" t="s">
        <v>2547</v>
      </c>
      <c r="F413" s="48">
        <v>46256</v>
      </c>
      <c r="G413" s="48">
        <v>46257</v>
      </c>
      <c r="H413" s="49">
        <v>0.66666666666666663</v>
      </c>
      <c r="I413" s="49">
        <v>0.58333333333333337</v>
      </c>
      <c r="J413" s="30" t="s">
        <v>53</v>
      </c>
      <c r="K413" s="30" t="s">
        <v>171</v>
      </c>
      <c r="L413" s="30">
        <v>1</v>
      </c>
      <c r="M413" s="30" t="s">
        <v>1962</v>
      </c>
      <c r="P413" s="30" t="s">
        <v>174</v>
      </c>
      <c r="Q413" s="30" t="s">
        <v>363</v>
      </c>
      <c r="R413" s="30" t="s">
        <v>175</v>
      </c>
      <c r="S413" s="30" t="s">
        <v>176</v>
      </c>
      <c r="T413" s="30" t="s">
        <v>1963</v>
      </c>
      <c r="U413" s="30" t="s">
        <v>2589</v>
      </c>
      <c r="V413" s="30" t="s">
        <v>270</v>
      </c>
      <c r="W413" s="30" t="s">
        <v>2590</v>
      </c>
      <c r="X413" s="30" t="s">
        <v>179</v>
      </c>
      <c r="Y413" t="s">
        <v>180</v>
      </c>
      <c r="Z413" s="30" t="s">
        <v>180</v>
      </c>
      <c r="AA413" s="30" t="s">
        <v>181</v>
      </c>
      <c r="AB413" s="30" t="s">
        <v>1667</v>
      </c>
      <c r="AC413" s="30" t="s">
        <v>92</v>
      </c>
      <c r="AD413" s="30" t="s">
        <v>2584</v>
      </c>
      <c r="AE413" s="30">
        <v>20613369083</v>
      </c>
      <c r="AF413" s="30" t="s">
        <v>2591</v>
      </c>
      <c r="AG413" s="30" t="s">
        <v>2592</v>
      </c>
      <c r="AH413" s="30" t="s">
        <v>185</v>
      </c>
      <c r="AI413" s="30" t="s">
        <v>2593</v>
      </c>
      <c r="AJ413" s="30" t="s">
        <v>2594</v>
      </c>
      <c r="AK413" s="30" t="s">
        <v>2595</v>
      </c>
      <c r="AL413" s="30" t="s">
        <v>483</v>
      </c>
      <c r="AM413" t="s">
        <v>270</v>
      </c>
      <c r="AN413" s="30" t="s">
        <v>270</v>
      </c>
      <c r="AO413" s="30" t="s">
        <v>483</v>
      </c>
      <c r="AP413" s="30" t="s">
        <v>483</v>
      </c>
      <c r="AQ413" s="30" t="s">
        <v>483</v>
      </c>
      <c r="AR413" s="30" t="s">
        <v>483</v>
      </c>
      <c r="AS413" s="30" t="s">
        <v>63</v>
      </c>
      <c r="AT413" s="30" t="s">
        <v>64</v>
      </c>
      <c r="AU413" s="50">
        <v>46256.75</v>
      </c>
      <c r="AV413" s="50">
        <v>46256.75</v>
      </c>
      <c r="AW413" s="50">
        <v>46256.763888888891</v>
      </c>
      <c r="AX413" s="50">
        <v>46256.767361111109</v>
      </c>
      <c r="AY413" s="50">
        <v>46256.790972222225</v>
      </c>
      <c r="AZ413" s="50">
        <v>46256.804861111108</v>
      </c>
      <c r="BA413" s="51">
        <v>46257.459722222222</v>
      </c>
      <c r="BB413" s="51">
        <v>46257.463888888888</v>
      </c>
      <c r="BE413" s="51">
        <v>46257.727083333331</v>
      </c>
      <c r="BF413" s="51"/>
      <c r="BG413" s="51">
        <v>46257.772222222222</v>
      </c>
      <c r="BH413" s="51">
        <v>46257.786111111112</v>
      </c>
      <c r="BI413" s="30" t="s">
        <v>65</v>
      </c>
      <c r="BJ413" s="50">
        <v>46258.541666666664</v>
      </c>
      <c r="BK413" s="50">
        <v>46258.553472222222</v>
      </c>
      <c r="BL413" s="50">
        <v>46258.556944444441</v>
      </c>
      <c r="BM413" s="50">
        <v>46258.559027777781</v>
      </c>
      <c r="BN413" s="50">
        <v>46258.565972222219</v>
      </c>
    </row>
    <row r="414" spans="1:66">
      <c r="A414" t="s">
        <v>168</v>
      </c>
      <c r="B414" s="30">
        <v>30</v>
      </c>
      <c r="C414" s="30">
        <v>34</v>
      </c>
      <c r="D414" s="30" t="s">
        <v>169</v>
      </c>
      <c r="E414" s="30" t="s">
        <v>2547</v>
      </c>
      <c r="F414" s="48">
        <v>46257</v>
      </c>
      <c r="G414" s="48">
        <v>46258</v>
      </c>
      <c r="H414" s="49">
        <v>0.5</v>
      </c>
      <c r="I414" s="49">
        <v>0.41666666666666669</v>
      </c>
      <c r="J414" s="30" t="s">
        <v>53</v>
      </c>
      <c r="K414" s="30" t="s">
        <v>171</v>
      </c>
      <c r="L414" s="30">
        <v>1</v>
      </c>
      <c r="M414" s="30" t="s">
        <v>1964</v>
      </c>
      <c r="P414" s="30" t="s">
        <v>174</v>
      </c>
      <c r="Q414" s="30" t="s">
        <v>363</v>
      </c>
      <c r="R414" s="30" t="s">
        <v>175</v>
      </c>
      <c r="S414" s="30" t="s">
        <v>176</v>
      </c>
      <c r="T414" s="30" t="s">
        <v>1965</v>
      </c>
      <c r="U414" s="30" t="s">
        <v>2596</v>
      </c>
      <c r="V414" s="30" t="s">
        <v>270</v>
      </c>
      <c r="W414" s="30" t="s">
        <v>2597</v>
      </c>
      <c r="X414" s="30" t="s">
        <v>179</v>
      </c>
      <c r="Y414" t="s">
        <v>180</v>
      </c>
      <c r="Z414" s="30" t="s">
        <v>180</v>
      </c>
      <c r="AA414" s="30" t="s">
        <v>181</v>
      </c>
      <c r="AB414" s="30" t="s">
        <v>1667</v>
      </c>
      <c r="AC414" s="30" t="s">
        <v>56</v>
      </c>
      <c r="AD414" s="30" t="s">
        <v>1668</v>
      </c>
      <c r="AE414" s="30">
        <v>20557679392</v>
      </c>
      <c r="AF414" s="30" t="s">
        <v>2552</v>
      </c>
      <c r="AG414" s="30" t="s">
        <v>1716</v>
      </c>
      <c r="AH414" s="30" t="s">
        <v>185</v>
      </c>
      <c r="AI414" s="30" t="s">
        <v>1769</v>
      </c>
      <c r="AJ414" s="30" t="s">
        <v>1770</v>
      </c>
      <c r="AK414" s="30">
        <v>0</v>
      </c>
      <c r="AL414" s="30" t="s">
        <v>483</v>
      </c>
      <c r="AM414" t="s">
        <v>270</v>
      </c>
      <c r="AN414" s="30" t="s">
        <v>270</v>
      </c>
      <c r="AO414" s="30" t="s">
        <v>483</v>
      </c>
      <c r="AP414" s="30" t="s">
        <v>483</v>
      </c>
      <c r="AQ414" s="30" t="s">
        <v>483</v>
      </c>
      <c r="AR414" s="30" t="s">
        <v>483</v>
      </c>
      <c r="AS414" s="30" t="s">
        <v>63</v>
      </c>
      <c r="AT414" s="30" t="s">
        <v>64</v>
      </c>
      <c r="AU414" s="50">
        <v>46196.583333333336</v>
      </c>
      <c r="AV414" s="50">
        <v>46257.580555555556</v>
      </c>
      <c r="AW414" s="50">
        <v>46257.605555555558</v>
      </c>
      <c r="AX414" s="50">
        <v>46257.619444444441</v>
      </c>
      <c r="AY414" s="50">
        <v>46257.64166666667</v>
      </c>
      <c r="AZ414" s="50">
        <v>46257.642361111109</v>
      </c>
      <c r="BA414" s="51">
        <v>46257.344444444447</v>
      </c>
      <c r="BB414" s="51">
        <v>46257.347222222219</v>
      </c>
      <c r="BE414" s="51">
        <v>46257.493055555555</v>
      </c>
      <c r="BF414" s="51"/>
      <c r="BG414" s="51">
        <v>46257.631944444445</v>
      </c>
      <c r="BH414" s="51">
        <v>46257.72152777778</v>
      </c>
      <c r="BI414" s="30" t="s">
        <v>65</v>
      </c>
      <c r="BJ414" s="50">
        <v>46259.541666666664</v>
      </c>
      <c r="BK414" s="50">
        <v>46259.459027777775</v>
      </c>
      <c r="BL414" s="50">
        <v>46259.463888888888</v>
      </c>
      <c r="BM414" s="50">
        <v>46259.468055555553</v>
      </c>
      <c r="BN414" s="50">
        <v>46259.475694444445</v>
      </c>
    </row>
    <row r="415" spans="1:66">
      <c r="A415" t="s">
        <v>168</v>
      </c>
      <c r="B415" s="30">
        <v>31</v>
      </c>
      <c r="C415" s="30">
        <v>34</v>
      </c>
      <c r="D415" s="30" t="s">
        <v>169</v>
      </c>
      <c r="E415" s="30" t="s">
        <v>2547</v>
      </c>
      <c r="F415" s="48">
        <v>46257</v>
      </c>
      <c r="G415" s="48">
        <v>46258</v>
      </c>
      <c r="H415" s="49">
        <v>0.41666666666666669</v>
      </c>
      <c r="I415" s="49">
        <v>0.33333333333333331</v>
      </c>
      <c r="J415" s="30" t="s">
        <v>53</v>
      </c>
      <c r="K415" s="30" t="s">
        <v>171</v>
      </c>
      <c r="L415" s="30">
        <v>1</v>
      </c>
      <c r="M415" s="30" t="s">
        <v>1966</v>
      </c>
      <c r="P415" s="30" t="s">
        <v>174</v>
      </c>
      <c r="Q415" s="30" t="s">
        <v>363</v>
      </c>
      <c r="R415" s="30" t="s">
        <v>175</v>
      </c>
      <c r="S415" s="30" t="s">
        <v>176</v>
      </c>
      <c r="T415" s="30" t="s">
        <v>2598</v>
      </c>
      <c r="U415" s="30" t="s">
        <v>2599</v>
      </c>
      <c r="V415" s="30" t="s">
        <v>270</v>
      </c>
      <c r="W415" s="30" t="s">
        <v>2600</v>
      </c>
      <c r="X415" s="30" t="s">
        <v>179</v>
      </c>
      <c r="Y415" t="s">
        <v>180</v>
      </c>
      <c r="Z415" s="30" t="s">
        <v>180</v>
      </c>
      <c r="AA415" s="30" t="s">
        <v>181</v>
      </c>
      <c r="AB415" s="30" t="s">
        <v>1667</v>
      </c>
      <c r="AC415" s="30" t="s">
        <v>56</v>
      </c>
      <c r="AD415" s="30" t="s">
        <v>1668</v>
      </c>
      <c r="AE415" s="30">
        <v>20557679392</v>
      </c>
      <c r="AF415" s="30" t="s">
        <v>1732</v>
      </c>
      <c r="AG415" s="30" t="s">
        <v>1733</v>
      </c>
      <c r="AH415" s="30" t="s">
        <v>185</v>
      </c>
      <c r="AI415" s="30" t="s">
        <v>1734</v>
      </c>
      <c r="AJ415" s="30" t="s">
        <v>1728</v>
      </c>
      <c r="AK415" s="30">
        <v>0</v>
      </c>
      <c r="AL415" s="30" t="s">
        <v>483</v>
      </c>
      <c r="AM415" t="s">
        <v>270</v>
      </c>
      <c r="AN415" s="30" t="s">
        <v>270</v>
      </c>
      <c r="AO415" s="30" t="s">
        <v>483</v>
      </c>
      <c r="AP415" s="30" t="s">
        <v>483</v>
      </c>
      <c r="AQ415" s="30" t="s">
        <v>483</v>
      </c>
      <c r="AR415" s="30" t="s">
        <v>483</v>
      </c>
      <c r="AS415" s="30" t="s">
        <v>63</v>
      </c>
      <c r="AT415" s="30" t="s">
        <v>64</v>
      </c>
      <c r="AU415" s="50">
        <v>46196.583333333336</v>
      </c>
      <c r="AV415" s="50">
        <v>46196.588888888888</v>
      </c>
      <c r="AW415" s="50">
        <v>46196.61041666667</v>
      </c>
      <c r="AX415" s="50">
        <v>46196.595833333333</v>
      </c>
      <c r="AY415" s="50">
        <v>46196.637499999997</v>
      </c>
      <c r="AZ415" s="50">
        <v>46196.665972222225</v>
      </c>
      <c r="BA415" s="51">
        <v>46257.436805555553</v>
      </c>
      <c r="BB415" s="51">
        <v>46257.44027777778</v>
      </c>
      <c r="BE415" s="51">
        <v>46257.504861111112</v>
      </c>
      <c r="BF415" s="51"/>
      <c r="BG415" s="51">
        <v>46257.651388888888</v>
      </c>
      <c r="BH415" s="51">
        <v>46257.71597222222</v>
      </c>
      <c r="BI415" s="30" t="s">
        <v>65</v>
      </c>
      <c r="BJ415" s="50">
        <v>46259.541666666664</v>
      </c>
      <c r="BK415" s="50">
        <v>46259.492361111108</v>
      </c>
      <c r="BL415" s="50">
        <v>46259.49722222222</v>
      </c>
      <c r="BM415" s="50">
        <v>46259.5</v>
      </c>
      <c r="BN415" s="50">
        <v>46259.503472222219</v>
      </c>
    </row>
    <row r="416" spans="1:66">
      <c r="A416" t="s">
        <v>168</v>
      </c>
      <c r="B416" s="30">
        <v>32</v>
      </c>
      <c r="C416" s="30">
        <v>35</v>
      </c>
      <c r="D416" s="30" t="s">
        <v>169</v>
      </c>
      <c r="E416" s="30" t="s">
        <v>2547</v>
      </c>
      <c r="F416" s="48">
        <v>46259</v>
      </c>
      <c r="G416" s="48">
        <v>46260</v>
      </c>
      <c r="H416" s="49">
        <v>0.58333333333333337</v>
      </c>
      <c r="I416" s="49">
        <v>0.5</v>
      </c>
      <c r="J416" s="30" t="s">
        <v>53</v>
      </c>
      <c r="K416" s="30" t="s">
        <v>2561</v>
      </c>
      <c r="L416" s="30">
        <v>1</v>
      </c>
      <c r="M416" s="30" t="s">
        <v>1967</v>
      </c>
      <c r="P416" s="30" t="s">
        <v>174</v>
      </c>
      <c r="Q416" s="30" t="s">
        <v>1886</v>
      </c>
      <c r="R416" s="30" t="s">
        <v>1490</v>
      </c>
      <c r="S416" s="30" t="s">
        <v>1490</v>
      </c>
      <c r="T416" s="30">
        <v>276067696</v>
      </c>
      <c r="U416" s="30" t="s">
        <v>2601</v>
      </c>
      <c r="V416" s="30" t="s">
        <v>270</v>
      </c>
      <c r="W416" s="30" t="s">
        <v>2602</v>
      </c>
      <c r="X416" s="30" t="s">
        <v>179</v>
      </c>
      <c r="Y416" t="s">
        <v>180</v>
      </c>
      <c r="Z416" s="30" t="s">
        <v>180</v>
      </c>
      <c r="AA416" s="30" t="s">
        <v>181</v>
      </c>
      <c r="AB416" s="30" t="s">
        <v>1667</v>
      </c>
      <c r="AC416" s="30" t="s">
        <v>56</v>
      </c>
      <c r="AD416" s="30" t="s">
        <v>1668</v>
      </c>
      <c r="AE416" s="30">
        <v>20557679392</v>
      </c>
      <c r="AF416" s="30" t="s">
        <v>1745</v>
      </c>
      <c r="AG416" s="30" t="s">
        <v>1746</v>
      </c>
      <c r="AH416" s="30" t="s">
        <v>185</v>
      </c>
      <c r="AI416" s="30" t="s">
        <v>1682</v>
      </c>
      <c r="AJ416" s="30" t="s">
        <v>1683</v>
      </c>
      <c r="AK416" s="30">
        <v>0</v>
      </c>
      <c r="AL416" s="30" t="s">
        <v>483</v>
      </c>
      <c r="AM416" t="s">
        <v>270</v>
      </c>
      <c r="AN416" s="30" t="s">
        <v>270</v>
      </c>
      <c r="AO416" s="30" t="s">
        <v>483</v>
      </c>
      <c r="AP416" s="30" t="s">
        <v>483</v>
      </c>
      <c r="AQ416" s="30" t="s">
        <v>483</v>
      </c>
      <c r="AR416" s="30" t="s">
        <v>483</v>
      </c>
      <c r="AS416" s="30" t="s">
        <v>84</v>
      </c>
      <c r="AT416" s="30" t="s">
        <v>1504</v>
      </c>
      <c r="AU416" s="50">
        <v>46259.583333333336</v>
      </c>
      <c r="AV416" s="50">
        <v>46259.601388888892</v>
      </c>
      <c r="AW416" s="50">
        <v>46259.621527777781</v>
      </c>
      <c r="AX416" s="50">
        <v>46259.628472222219</v>
      </c>
      <c r="AY416" s="50">
        <v>46259.643750000003</v>
      </c>
      <c r="AZ416" s="50">
        <v>46259.643750000003</v>
      </c>
      <c r="BA416" s="51">
        <v>46260.418055555558</v>
      </c>
      <c r="BB416" s="51">
        <v>46260.42083333333</v>
      </c>
      <c r="BE416" s="51">
        <v>46260.45416666667</v>
      </c>
      <c r="BF416" s="51"/>
      <c r="BG416" s="51">
        <v>46260.642361111109</v>
      </c>
      <c r="BH416" s="51">
        <v>46260.658333333333</v>
      </c>
      <c r="BI416" s="30" t="s">
        <v>787</v>
      </c>
      <c r="BJ416" s="50">
        <v>46261.625</v>
      </c>
      <c r="BK416" s="50">
        <v>46261.429861111108</v>
      </c>
      <c r="BL416" s="50">
        <v>46261.50277777778</v>
      </c>
      <c r="BM416" s="50">
        <v>46261.504861111112</v>
      </c>
      <c r="BN416" s="50">
        <v>46261.513888888891</v>
      </c>
    </row>
    <row r="417" spans="1:66">
      <c r="A417" t="s">
        <v>168</v>
      </c>
      <c r="B417" s="30">
        <v>33</v>
      </c>
      <c r="C417" s="30">
        <v>35</v>
      </c>
      <c r="D417" s="30" t="s">
        <v>169</v>
      </c>
      <c r="E417" s="30" t="s">
        <v>2547</v>
      </c>
      <c r="F417" s="48">
        <v>46261</v>
      </c>
      <c r="G417" s="48">
        <v>46262</v>
      </c>
      <c r="H417" s="49">
        <v>0.41666666666666669</v>
      </c>
      <c r="I417" s="49">
        <v>0.33333333333333331</v>
      </c>
      <c r="J417" s="30" t="s">
        <v>53</v>
      </c>
      <c r="K417" s="30" t="s">
        <v>171</v>
      </c>
      <c r="L417" s="30">
        <v>1</v>
      </c>
      <c r="M417" s="30" t="s">
        <v>1968</v>
      </c>
      <c r="P417" s="30" t="s">
        <v>174</v>
      </c>
      <c r="Q417" s="30" t="s">
        <v>363</v>
      </c>
      <c r="R417" s="30" t="s">
        <v>374</v>
      </c>
      <c r="S417" s="30" t="s">
        <v>374</v>
      </c>
      <c r="T417" s="30" t="s">
        <v>2603</v>
      </c>
      <c r="U417" s="30" t="s">
        <v>2604</v>
      </c>
      <c r="V417" s="30">
        <v>7730</v>
      </c>
      <c r="W417" s="30" t="s">
        <v>2605</v>
      </c>
      <c r="X417" s="30" t="s">
        <v>179</v>
      </c>
      <c r="Y417" t="s">
        <v>180</v>
      </c>
      <c r="Z417" s="30" t="s">
        <v>180</v>
      </c>
      <c r="AA417" s="30" t="s">
        <v>181</v>
      </c>
      <c r="AB417" s="30" t="s">
        <v>1667</v>
      </c>
      <c r="AC417" s="30" t="s">
        <v>56</v>
      </c>
      <c r="AD417" s="30" t="s">
        <v>1668</v>
      </c>
      <c r="AE417" s="30">
        <v>20557679392</v>
      </c>
      <c r="AF417" s="30" t="s">
        <v>2552</v>
      </c>
      <c r="AG417" s="30" t="s">
        <v>1716</v>
      </c>
      <c r="AH417" s="30" t="s">
        <v>185</v>
      </c>
      <c r="AI417" s="30" t="s">
        <v>1769</v>
      </c>
      <c r="AJ417" s="30" t="s">
        <v>1770</v>
      </c>
      <c r="AK417" s="30">
        <v>0</v>
      </c>
      <c r="AL417" s="30" t="s">
        <v>483</v>
      </c>
      <c r="AM417" t="s">
        <v>270</v>
      </c>
      <c r="AN417" s="30" t="s">
        <v>270</v>
      </c>
      <c r="AO417" s="30" t="s">
        <v>483</v>
      </c>
      <c r="AP417" s="30" t="s">
        <v>483</v>
      </c>
      <c r="AQ417" s="30" t="s">
        <v>483</v>
      </c>
      <c r="AR417" s="30" t="s">
        <v>483</v>
      </c>
      <c r="AS417" s="30" t="s">
        <v>63</v>
      </c>
      <c r="AT417" s="30" t="s">
        <v>380</v>
      </c>
      <c r="AU417" s="50">
        <v>46261.625</v>
      </c>
      <c r="AV417" s="50">
        <v>46261.571527777778</v>
      </c>
      <c r="AW417" s="50">
        <v>46261.597222222219</v>
      </c>
      <c r="AX417" s="50">
        <v>46261.609722222223</v>
      </c>
      <c r="AY417" s="50">
        <v>46261.675694444442</v>
      </c>
      <c r="AZ417" s="50">
        <v>46261.679166666669</v>
      </c>
      <c r="BA417" s="51">
        <v>46262.356944444444</v>
      </c>
      <c r="BB417" s="51">
        <v>46262.359722222223</v>
      </c>
      <c r="BE417" s="51">
        <v>46262.458333333336</v>
      </c>
      <c r="BF417" s="51"/>
      <c r="BG417" s="51">
        <v>46262.583333333336</v>
      </c>
      <c r="BH417" s="51">
        <v>46262.61041666667</v>
      </c>
      <c r="BI417" s="30" t="s">
        <v>65</v>
      </c>
      <c r="BJ417" s="50">
        <v>46263.416666666664</v>
      </c>
      <c r="BK417" s="50">
        <v>46263.452777777777</v>
      </c>
      <c r="BL417" s="50">
        <v>46263.456250000003</v>
      </c>
      <c r="BM417" s="50">
        <v>46263.461805555555</v>
      </c>
      <c r="BN417" s="50">
        <v>46263.46597222222</v>
      </c>
    </row>
    <row r="418" spans="1:66">
      <c r="A418" t="s">
        <v>168</v>
      </c>
      <c r="B418" s="30">
        <v>34</v>
      </c>
      <c r="C418" s="30">
        <v>35</v>
      </c>
      <c r="D418" s="30" t="s">
        <v>169</v>
      </c>
      <c r="E418" s="30" t="s">
        <v>2547</v>
      </c>
      <c r="F418" s="48">
        <v>46263</v>
      </c>
      <c r="G418" s="48">
        <v>46264</v>
      </c>
      <c r="H418" s="49">
        <v>0.66666666666666663</v>
      </c>
      <c r="I418" s="49">
        <v>0.58333333333333337</v>
      </c>
      <c r="J418" s="30" t="s">
        <v>53</v>
      </c>
      <c r="K418" s="30" t="s">
        <v>171</v>
      </c>
      <c r="L418" s="30">
        <v>1</v>
      </c>
      <c r="M418" s="30" t="s">
        <v>1969</v>
      </c>
      <c r="P418" s="30" t="s">
        <v>174</v>
      </c>
      <c r="Q418" s="30" t="s">
        <v>363</v>
      </c>
      <c r="R418" s="30" t="s">
        <v>407</v>
      </c>
      <c r="S418" s="30" t="s">
        <v>407</v>
      </c>
      <c r="T418" s="30" t="s">
        <v>2606</v>
      </c>
      <c r="U418" s="30" t="s">
        <v>2607</v>
      </c>
      <c r="V418" s="30">
        <v>811260</v>
      </c>
      <c r="W418" s="30" t="s">
        <v>2608</v>
      </c>
      <c r="X418" s="30" t="s">
        <v>179</v>
      </c>
      <c r="Y418" t="s">
        <v>180</v>
      </c>
      <c r="Z418" s="30" t="s">
        <v>180</v>
      </c>
      <c r="AA418" s="30" t="s">
        <v>181</v>
      </c>
      <c r="AB418" s="30" t="s">
        <v>1667</v>
      </c>
      <c r="AC418" s="30" t="s">
        <v>56</v>
      </c>
      <c r="AD418" s="30" t="s">
        <v>1668</v>
      </c>
      <c r="AE418" s="30">
        <v>20557679392</v>
      </c>
      <c r="AF418" s="30" t="s">
        <v>1756</v>
      </c>
      <c r="AG418" s="30" t="s">
        <v>1704</v>
      </c>
      <c r="AH418" s="30" t="s">
        <v>185</v>
      </c>
      <c r="AI418" s="30" t="s">
        <v>1705</v>
      </c>
      <c r="AJ418" s="30" t="s">
        <v>1757</v>
      </c>
      <c r="AK418" s="30">
        <v>0</v>
      </c>
      <c r="AL418" s="30" t="s">
        <v>483</v>
      </c>
      <c r="AM418" t="s">
        <v>270</v>
      </c>
      <c r="AN418" s="30" t="s">
        <v>270</v>
      </c>
      <c r="AO418" s="30" t="s">
        <v>483</v>
      </c>
      <c r="AP418" s="30" t="s">
        <v>483</v>
      </c>
      <c r="AQ418" s="30" t="s">
        <v>483</v>
      </c>
      <c r="AR418" s="30" t="s">
        <v>483</v>
      </c>
      <c r="AS418" s="30" t="s">
        <v>63</v>
      </c>
      <c r="AT418" s="30" t="s">
        <v>380</v>
      </c>
      <c r="AU418" s="50">
        <v>46263.416666666664</v>
      </c>
      <c r="AV418" s="50">
        <v>46263.416666666664</v>
      </c>
      <c r="AW418" s="50">
        <v>46263.46875</v>
      </c>
      <c r="AX418" s="50">
        <v>46263.481249999997</v>
      </c>
      <c r="AY418" s="50">
        <v>46263.531944444447</v>
      </c>
      <c r="AZ418" s="50">
        <v>46263.531944444447</v>
      </c>
      <c r="BA418" s="51">
        <v>46264.53125</v>
      </c>
      <c r="BB418" s="51">
        <v>46264.53402777778</v>
      </c>
      <c r="BE418" s="51">
        <v>46264.673611111109</v>
      </c>
      <c r="BF418" s="51"/>
      <c r="BG418" s="51">
        <v>46264.729166666664</v>
      </c>
      <c r="BH418" s="51">
        <v>46264.748611111114</v>
      </c>
      <c r="BI418" s="30" t="s">
        <v>65</v>
      </c>
      <c r="BJ418" s="50">
        <v>46265.583333333336</v>
      </c>
      <c r="BK418" s="50">
        <v>46265.555555555555</v>
      </c>
      <c r="BL418" s="50">
        <v>46265.5625</v>
      </c>
      <c r="BM418" s="50">
        <v>46265.569444444445</v>
      </c>
      <c r="BN418" s="50">
        <v>46265.585416666669</v>
      </c>
    </row>
    <row r="419" spans="1:66">
      <c r="A419" t="s">
        <v>168</v>
      </c>
      <c r="B419" s="30">
        <v>35</v>
      </c>
      <c r="C419" s="30">
        <v>35</v>
      </c>
      <c r="D419" s="30" t="s">
        <v>169</v>
      </c>
      <c r="E419" s="30" t="s">
        <v>2547</v>
      </c>
      <c r="F419" s="48">
        <v>46264</v>
      </c>
      <c r="G419" s="48">
        <v>46265</v>
      </c>
      <c r="H419" s="49">
        <v>0.66666666666666663</v>
      </c>
      <c r="I419" s="49">
        <v>0.58333333333333337</v>
      </c>
      <c r="J419" s="30" t="s">
        <v>53</v>
      </c>
      <c r="K419" s="30" t="s">
        <v>171</v>
      </c>
      <c r="L419" s="30">
        <v>1</v>
      </c>
      <c r="M419" s="30" t="s">
        <v>1970</v>
      </c>
      <c r="P419" s="30" t="s">
        <v>174</v>
      </c>
      <c r="Q419" s="30" t="s">
        <v>363</v>
      </c>
      <c r="R419" s="30" t="s">
        <v>407</v>
      </c>
      <c r="S419" s="30" t="s">
        <v>407</v>
      </c>
      <c r="T419" s="30" t="s">
        <v>2609</v>
      </c>
      <c r="U419" s="30" t="s">
        <v>2610</v>
      </c>
      <c r="V419" s="30">
        <v>1316707</v>
      </c>
      <c r="W419" s="30" t="s">
        <v>270</v>
      </c>
      <c r="X419" s="30" t="s">
        <v>179</v>
      </c>
      <c r="Y419" t="s">
        <v>180</v>
      </c>
      <c r="Z419" s="30" t="s">
        <v>180</v>
      </c>
      <c r="AA419" s="30" t="s">
        <v>181</v>
      </c>
      <c r="AB419" s="30" t="s">
        <v>1667</v>
      </c>
      <c r="AC419" s="30" t="s">
        <v>56</v>
      </c>
      <c r="AD419" s="30" t="s">
        <v>1668</v>
      </c>
      <c r="AE419" s="30">
        <v>20557679392</v>
      </c>
      <c r="AF419" s="30" t="s">
        <v>1745</v>
      </c>
      <c r="AG419" s="30" t="s">
        <v>1746</v>
      </c>
      <c r="AH419" s="30" t="s">
        <v>185</v>
      </c>
      <c r="AI419" s="30" t="s">
        <v>1682</v>
      </c>
      <c r="AJ419" s="30" t="s">
        <v>1683</v>
      </c>
      <c r="AK419" s="30">
        <v>0</v>
      </c>
      <c r="AL419" s="30" t="s">
        <v>483</v>
      </c>
      <c r="AM419" t="s">
        <v>270</v>
      </c>
      <c r="AN419" s="30" t="s">
        <v>270</v>
      </c>
      <c r="AO419" s="30" t="s">
        <v>483</v>
      </c>
      <c r="AP419" s="30" t="s">
        <v>483</v>
      </c>
      <c r="AQ419" s="30" t="s">
        <v>483</v>
      </c>
      <c r="AR419" s="30" t="s">
        <v>483</v>
      </c>
      <c r="AS419" s="30" t="s">
        <v>63</v>
      </c>
      <c r="AT419" s="30" t="s">
        <v>277</v>
      </c>
      <c r="AU419" s="50">
        <v>46264.5</v>
      </c>
      <c r="AV419" s="50">
        <v>46264.593055555553</v>
      </c>
      <c r="AW419" s="50">
        <v>46264.602777777778</v>
      </c>
      <c r="AX419" s="50">
        <v>46264.743055555555</v>
      </c>
      <c r="AY419" s="50">
        <v>46264.796527777777</v>
      </c>
      <c r="AZ419" s="50">
        <v>46264.797222222223</v>
      </c>
      <c r="BA419" s="51">
        <v>46265.412499999999</v>
      </c>
      <c r="BB419" s="51">
        <v>46265.412499999999</v>
      </c>
      <c r="BE419" s="51">
        <v>46265.583333333336</v>
      </c>
      <c r="BF419" s="51"/>
      <c r="BG419" s="51">
        <v>46265.673611111109</v>
      </c>
      <c r="BH419" s="51">
        <v>46265.699305555558</v>
      </c>
      <c r="BI419" s="30" t="s">
        <v>64</v>
      </c>
      <c r="BJ419" s="50">
        <v>46266.583333333336</v>
      </c>
      <c r="BK419" s="50">
        <v>46266.458333333336</v>
      </c>
      <c r="BL419" s="50">
        <v>46266.552777777775</v>
      </c>
      <c r="BM419" s="50">
        <v>46266.558333333334</v>
      </c>
      <c r="BN419" s="50">
        <v>46266.5625</v>
      </c>
    </row>
    <row r="420" spans="1:66">
      <c r="A420" t="s">
        <v>168</v>
      </c>
      <c r="B420" s="30">
        <v>36</v>
      </c>
      <c r="C420" s="30">
        <v>35</v>
      </c>
      <c r="D420" s="30" t="s">
        <v>169</v>
      </c>
      <c r="E420" s="30" t="s">
        <v>2547</v>
      </c>
      <c r="F420" s="48">
        <v>46264</v>
      </c>
      <c r="G420" s="48">
        <v>46265</v>
      </c>
      <c r="H420" s="49">
        <v>0.58333333333333337</v>
      </c>
      <c r="I420" s="49">
        <v>0.5</v>
      </c>
      <c r="J420" s="30" t="s">
        <v>53</v>
      </c>
      <c r="K420" s="30" t="s">
        <v>171</v>
      </c>
      <c r="L420" s="30">
        <v>1</v>
      </c>
      <c r="M420" s="30" t="s">
        <v>2611</v>
      </c>
      <c r="P420" s="30" t="s">
        <v>174</v>
      </c>
      <c r="Q420" s="30" t="s">
        <v>1886</v>
      </c>
      <c r="R420" s="30" t="s">
        <v>1822</v>
      </c>
      <c r="S420" s="30" t="s">
        <v>1822</v>
      </c>
      <c r="T420" s="30">
        <v>751600000000000</v>
      </c>
      <c r="U420" s="30" t="s">
        <v>2612</v>
      </c>
      <c r="V420" s="30">
        <v>811570</v>
      </c>
      <c r="W420" s="30" t="s">
        <v>2613</v>
      </c>
      <c r="X420" s="30" t="s">
        <v>179</v>
      </c>
      <c r="Y420" t="s">
        <v>180</v>
      </c>
      <c r="Z420" s="30" t="s">
        <v>180</v>
      </c>
      <c r="AA420" s="30" t="s">
        <v>181</v>
      </c>
      <c r="AB420" s="30" t="s">
        <v>1667</v>
      </c>
      <c r="AC420" s="30" t="s">
        <v>56</v>
      </c>
      <c r="AD420" s="30" t="s">
        <v>1668</v>
      </c>
      <c r="AE420" s="30">
        <v>20557679392</v>
      </c>
      <c r="AF420" s="30" t="s">
        <v>1761</v>
      </c>
      <c r="AG420" s="30" t="s">
        <v>1710</v>
      </c>
      <c r="AH420" s="30" t="s">
        <v>185</v>
      </c>
      <c r="AI420" s="30" t="s">
        <v>1711</v>
      </c>
      <c r="AJ420" s="30" t="s">
        <v>1762</v>
      </c>
      <c r="AK420" s="30">
        <v>0</v>
      </c>
      <c r="AL420" s="30" t="s">
        <v>483</v>
      </c>
      <c r="AM420" t="s">
        <v>270</v>
      </c>
      <c r="AN420" s="30" t="s">
        <v>270</v>
      </c>
      <c r="AO420" s="30" t="s">
        <v>483</v>
      </c>
      <c r="AP420" s="30" t="s">
        <v>483</v>
      </c>
      <c r="AQ420" s="30" t="s">
        <v>483</v>
      </c>
      <c r="AR420" s="30" t="s">
        <v>483</v>
      </c>
      <c r="AS420" s="30" t="s">
        <v>84</v>
      </c>
      <c r="AT420" s="30" t="s">
        <v>380</v>
      </c>
      <c r="AU420" s="50">
        <v>46264.708333333336</v>
      </c>
      <c r="AV420" s="50">
        <v>46264.718055555553</v>
      </c>
      <c r="AW420" s="50">
        <v>46264.730555555558</v>
      </c>
      <c r="AX420" s="50">
        <v>46264.743055555555</v>
      </c>
      <c r="AY420" s="50">
        <v>46264.763194444444</v>
      </c>
      <c r="AZ420" s="50">
        <v>46264.763194444444</v>
      </c>
      <c r="BA420" s="51">
        <v>46265.496527777781</v>
      </c>
      <c r="BB420" s="51">
        <v>46265.5</v>
      </c>
      <c r="BE420" s="51">
        <v>46265.625</v>
      </c>
      <c r="BF420" s="51"/>
      <c r="BG420" s="51">
        <v>46265.736111111109</v>
      </c>
      <c r="BH420" s="51">
        <v>46265.749305555553</v>
      </c>
      <c r="BI420" s="30" t="s">
        <v>65</v>
      </c>
      <c r="BJ420" s="50">
        <v>46266.416666666664</v>
      </c>
      <c r="BK420" s="50">
        <v>46266.361805555556</v>
      </c>
      <c r="BL420" s="50">
        <v>46266.365972222222</v>
      </c>
      <c r="BM420" s="50">
        <v>46266.368055555555</v>
      </c>
      <c r="BN420" s="50">
        <v>46266.374305555553</v>
      </c>
    </row>
    <row r="421" spans="1:66">
      <c r="A421" t="s">
        <v>168</v>
      </c>
      <c r="B421" s="30">
        <v>37</v>
      </c>
      <c r="C421" s="30">
        <v>36</v>
      </c>
      <c r="D421" s="30" t="s">
        <v>169</v>
      </c>
      <c r="E421" s="30" t="s">
        <v>2547</v>
      </c>
      <c r="F421" s="48">
        <v>46268</v>
      </c>
      <c r="G421" s="48">
        <v>46268</v>
      </c>
      <c r="H421" s="49">
        <v>0.58333333333333337</v>
      </c>
      <c r="I421" s="49">
        <v>0.5</v>
      </c>
      <c r="J421" s="30" t="s">
        <v>53</v>
      </c>
      <c r="K421" s="30" t="s">
        <v>171</v>
      </c>
      <c r="L421" s="30">
        <v>1</v>
      </c>
      <c r="M421" s="30" t="s">
        <v>2614</v>
      </c>
      <c r="P421" s="30" t="s">
        <v>174</v>
      </c>
      <c r="Q421" s="30" t="s">
        <v>363</v>
      </c>
      <c r="R421" s="30" t="s">
        <v>374</v>
      </c>
      <c r="S421" s="30" t="s">
        <v>375</v>
      </c>
      <c r="T421" s="30" t="s">
        <v>2615</v>
      </c>
      <c r="U421" s="30" t="s">
        <v>2616</v>
      </c>
      <c r="V421" s="30" t="s">
        <v>2617</v>
      </c>
      <c r="W421" s="30" t="s">
        <v>2618</v>
      </c>
      <c r="X421" s="30" t="s">
        <v>180</v>
      </c>
      <c r="Y421" t="s">
        <v>180</v>
      </c>
      <c r="Z421" s="30" t="s">
        <v>180</v>
      </c>
      <c r="AA421" s="30" t="s">
        <v>181</v>
      </c>
      <c r="AB421" s="30" t="s">
        <v>1667</v>
      </c>
      <c r="AC421" s="30" t="s">
        <v>56</v>
      </c>
      <c r="AD421" s="30" t="s">
        <v>1668</v>
      </c>
      <c r="AE421" s="30">
        <v>20557679392</v>
      </c>
      <c r="AF421" s="30" t="s">
        <v>1726</v>
      </c>
      <c r="AG421" s="30" t="s">
        <v>1698</v>
      </c>
      <c r="AH421" s="30" t="s">
        <v>185</v>
      </c>
      <c r="AI421" s="30" t="s">
        <v>1699</v>
      </c>
      <c r="AJ421" s="30" t="s">
        <v>1774</v>
      </c>
      <c r="AK421" s="30">
        <v>0</v>
      </c>
      <c r="AL421" s="30" t="s">
        <v>483</v>
      </c>
      <c r="AM421" t="s">
        <v>270</v>
      </c>
      <c r="AN421" s="30" t="s">
        <v>270</v>
      </c>
      <c r="AO421" s="30" t="s">
        <v>483</v>
      </c>
      <c r="AP421" s="30" t="s">
        <v>483</v>
      </c>
      <c r="AQ421" s="30" t="s">
        <v>483</v>
      </c>
      <c r="AR421" s="30" t="s">
        <v>483</v>
      </c>
      <c r="AS421" s="30" t="s">
        <v>63</v>
      </c>
      <c r="AT421" s="30" t="s">
        <v>380</v>
      </c>
      <c r="AU421" s="50">
        <v>46267.833333333336</v>
      </c>
      <c r="AV421" s="50">
        <v>46267.82916666667</v>
      </c>
      <c r="AW421" s="50">
        <v>46267.851388888892</v>
      </c>
      <c r="AX421" s="50">
        <v>46267.856944444444</v>
      </c>
      <c r="AY421" s="50">
        <v>46267.931944444441</v>
      </c>
      <c r="AZ421" s="50">
        <v>46267.935416666667</v>
      </c>
      <c r="BA421" s="51">
        <v>46268.642361111109</v>
      </c>
      <c r="BB421" s="51">
        <v>46268.645833333336</v>
      </c>
      <c r="BC421" s="50">
        <v>46268.645833333336</v>
      </c>
      <c r="BE421" s="51">
        <v>46268.666666666664</v>
      </c>
      <c r="BF421" s="51"/>
      <c r="BG421" s="51">
        <v>46268.715277777781</v>
      </c>
      <c r="BH421" s="51">
        <v>46268.729166666664</v>
      </c>
      <c r="BI421" s="30" t="s">
        <v>65</v>
      </c>
      <c r="BJ421" s="50">
        <v>46269.541666666664</v>
      </c>
      <c r="BK421" s="50">
        <v>46269.513888888891</v>
      </c>
      <c r="BL421" s="50">
        <v>46269.526388888888</v>
      </c>
      <c r="BM421" s="50">
        <v>46269.527777777781</v>
      </c>
      <c r="BN421" s="50">
        <v>46269.536111111112</v>
      </c>
    </row>
    <row r="422" spans="1:66">
      <c r="A422" t="s">
        <v>168</v>
      </c>
      <c r="B422" s="30">
        <v>38</v>
      </c>
      <c r="C422" s="30">
        <v>36</v>
      </c>
      <c r="D422" s="30" t="s">
        <v>169</v>
      </c>
      <c r="E422" s="30" t="s">
        <v>2547</v>
      </c>
      <c r="F422" s="48">
        <v>46267</v>
      </c>
      <c r="G422" s="48">
        <v>46268</v>
      </c>
      <c r="H422" s="49">
        <v>0.58333333333333337</v>
      </c>
      <c r="I422" s="49">
        <v>0.5</v>
      </c>
      <c r="J422" s="30" t="s">
        <v>53</v>
      </c>
      <c r="K422" s="30" t="s">
        <v>171</v>
      </c>
      <c r="L422" s="30">
        <v>1</v>
      </c>
      <c r="M422" s="30" t="s">
        <v>2619</v>
      </c>
      <c r="P422" s="30" t="s">
        <v>174</v>
      </c>
      <c r="Q422" s="30" t="s">
        <v>363</v>
      </c>
      <c r="R422" s="30" t="s">
        <v>374</v>
      </c>
      <c r="S422" s="30" t="s">
        <v>375</v>
      </c>
      <c r="T422" s="30" t="s">
        <v>2620</v>
      </c>
      <c r="U422" s="30" t="s">
        <v>2621</v>
      </c>
      <c r="V422" s="30">
        <v>7879</v>
      </c>
      <c r="W422" s="30" t="s">
        <v>2622</v>
      </c>
      <c r="X422" s="30" t="s">
        <v>180</v>
      </c>
      <c r="Y422" t="s">
        <v>180</v>
      </c>
      <c r="Z422" s="30" t="s">
        <v>180</v>
      </c>
      <c r="AA422" s="30" t="s">
        <v>181</v>
      </c>
      <c r="AB422" s="30" t="s">
        <v>1667</v>
      </c>
      <c r="AC422" s="30" t="s">
        <v>56</v>
      </c>
      <c r="AD422" s="30" t="s">
        <v>1668</v>
      </c>
      <c r="AE422" s="30">
        <v>20557679392</v>
      </c>
      <c r="AF422" s="30" t="s">
        <v>1761</v>
      </c>
      <c r="AG422" s="30" t="s">
        <v>1710</v>
      </c>
      <c r="AH422" s="30" t="s">
        <v>185</v>
      </c>
      <c r="AI422" s="30" t="s">
        <v>1711</v>
      </c>
      <c r="AJ422" s="30" t="s">
        <v>1762</v>
      </c>
      <c r="AK422" s="30">
        <v>0</v>
      </c>
      <c r="AL422" s="30" t="s">
        <v>483</v>
      </c>
      <c r="AM422" t="s">
        <v>270</v>
      </c>
      <c r="AN422" s="30" t="s">
        <v>270</v>
      </c>
      <c r="AO422" s="30" t="s">
        <v>483</v>
      </c>
      <c r="AP422" s="30" t="s">
        <v>483</v>
      </c>
      <c r="AQ422" s="30" t="s">
        <v>483</v>
      </c>
      <c r="AR422" s="30" t="s">
        <v>483</v>
      </c>
      <c r="AS422" s="30" t="s">
        <v>63</v>
      </c>
      <c r="AT422" s="30" t="s">
        <v>380</v>
      </c>
      <c r="AU422" s="50">
        <v>46268.75</v>
      </c>
      <c r="AV422" s="50">
        <v>46268.76458333333</v>
      </c>
      <c r="AW422" s="50">
        <v>46268.770138888889</v>
      </c>
      <c r="AX422" s="50">
        <v>46268.793749999997</v>
      </c>
      <c r="AY422" s="50">
        <v>46268.881249999999</v>
      </c>
      <c r="AZ422" s="50">
        <v>46268.881249999999</v>
      </c>
      <c r="BA422" s="51">
        <v>46269.520138888889</v>
      </c>
      <c r="BB422" s="51">
        <v>46269.522222222222</v>
      </c>
      <c r="BC422" s="50">
        <v>46269.537499999999</v>
      </c>
      <c r="BE422" s="51">
        <v>46269.559027777781</v>
      </c>
      <c r="BF422" s="51"/>
      <c r="BG422" s="51">
        <v>46269.652777777781</v>
      </c>
      <c r="BH422" s="51">
        <v>46269.669444444444</v>
      </c>
      <c r="BI422" s="30" t="s">
        <v>65</v>
      </c>
      <c r="BJ422" s="50">
        <v>46270.375</v>
      </c>
      <c r="BK422" s="50">
        <v>46270.333333333336</v>
      </c>
      <c r="BL422" s="50">
        <v>46270.34375</v>
      </c>
      <c r="BM422" s="50">
        <v>46270.344444444447</v>
      </c>
      <c r="BN422" s="50">
        <v>46270.347916666666</v>
      </c>
    </row>
    <row r="423" spans="1:66">
      <c r="A423" t="s">
        <v>168</v>
      </c>
      <c r="B423" s="30">
        <v>39</v>
      </c>
      <c r="C423" s="30">
        <v>36</v>
      </c>
      <c r="D423" s="30" t="s">
        <v>169</v>
      </c>
      <c r="E423" s="30" t="s">
        <v>2547</v>
      </c>
      <c r="F423" s="48">
        <v>46270</v>
      </c>
      <c r="G423" s="48">
        <v>46271</v>
      </c>
      <c r="H423" s="49">
        <v>0.58333333333333337</v>
      </c>
      <c r="I423" s="49">
        <v>0.5</v>
      </c>
      <c r="J423" s="30" t="s">
        <v>53</v>
      </c>
      <c r="K423" s="30" t="s">
        <v>171</v>
      </c>
      <c r="L423" s="30">
        <v>1</v>
      </c>
      <c r="M423" s="30" t="s">
        <v>2623</v>
      </c>
      <c r="P423" s="30" t="s">
        <v>174</v>
      </c>
      <c r="Q423" s="30" t="s">
        <v>363</v>
      </c>
      <c r="R423" s="30" t="s">
        <v>175</v>
      </c>
      <c r="S423" s="30" t="s">
        <v>176</v>
      </c>
      <c r="T423" s="30" t="s">
        <v>2624</v>
      </c>
      <c r="U423" s="30" t="s">
        <v>2625</v>
      </c>
      <c r="V423" s="30">
        <v>813729</v>
      </c>
      <c r="W423" s="30" t="s">
        <v>2626</v>
      </c>
      <c r="X423" s="30" t="s">
        <v>179</v>
      </c>
      <c r="Y423" t="s">
        <v>180</v>
      </c>
      <c r="Z423" s="30" t="s">
        <v>180</v>
      </c>
      <c r="AA423" s="30" t="s">
        <v>181</v>
      </c>
      <c r="AB423" s="30" t="s">
        <v>1667</v>
      </c>
      <c r="AC423" s="30" t="s">
        <v>92</v>
      </c>
      <c r="AD423" s="30" t="s">
        <v>2584</v>
      </c>
      <c r="AE423" s="30">
        <v>20613369083</v>
      </c>
      <c r="AF423" s="30" t="s">
        <v>2591</v>
      </c>
      <c r="AG423" s="30" t="s">
        <v>2592</v>
      </c>
      <c r="AH423" s="30" t="s">
        <v>185</v>
      </c>
      <c r="AI423" s="30" t="s">
        <v>2593</v>
      </c>
      <c r="AJ423" s="30" t="s">
        <v>2594</v>
      </c>
      <c r="AK423" s="30" t="s">
        <v>2595</v>
      </c>
      <c r="AL423" s="30" t="s">
        <v>483</v>
      </c>
      <c r="AM423" t="s">
        <v>270</v>
      </c>
      <c r="AN423" s="30" t="s">
        <v>270</v>
      </c>
      <c r="AO423" s="30" t="s">
        <v>483</v>
      </c>
      <c r="AP423" s="30" t="s">
        <v>483</v>
      </c>
      <c r="AQ423" s="30" t="s">
        <v>483</v>
      </c>
      <c r="AR423" s="30" t="s">
        <v>483</v>
      </c>
      <c r="AS423" s="30" t="s">
        <v>63</v>
      </c>
      <c r="AT423" s="30" t="s">
        <v>64</v>
      </c>
      <c r="AU423" s="50">
        <v>46270.625</v>
      </c>
      <c r="AV423" s="50">
        <v>46270.568055555559</v>
      </c>
      <c r="AW423" s="50">
        <v>46270.62777777778</v>
      </c>
      <c r="AX423" s="50">
        <v>46270.642361111109</v>
      </c>
      <c r="AY423" s="50">
        <v>46270.6875</v>
      </c>
      <c r="AZ423" s="50">
        <v>46270.6875</v>
      </c>
      <c r="BA423" s="51">
        <v>46271.474999999999</v>
      </c>
      <c r="BB423" s="51">
        <v>46271.479166666664</v>
      </c>
      <c r="BC423" s="50">
        <v>46271.486111111109</v>
      </c>
      <c r="BE423" s="51">
        <v>46271.65347222222</v>
      </c>
      <c r="BF423" s="51"/>
      <c r="BG423" s="51">
        <v>46271.711805555555</v>
      </c>
      <c r="BH423" s="51">
        <v>46271.729166666664</v>
      </c>
      <c r="BI423" s="30" t="s">
        <v>65</v>
      </c>
      <c r="BJ423" s="50">
        <v>46272.583333333336</v>
      </c>
      <c r="BK423" s="50">
        <v>46272.548611111109</v>
      </c>
      <c r="BL423" s="50">
        <v>46272.552777777775</v>
      </c>
      <c r="BM423" s="50">
        <v>46272.563194444447</v>
      </c>
      <c r="BN423" s="50">
        <v>46272.56527777778</v>
      </c>
    </row>
    <row r="424" spans="1:66">
      <c r="A424" t="s">
        <v>168</v>
      </c>
      <c r="B424" s="30">
        <v>40</v>
      </c>
      <c r="C424" s="30">
        <v>36</v>
      </c>
      <c r="D424" s="30" t="s">
        <v>169</v>
      </c>
      <c r="E424" s="30" t="s">
        <v>2547</v>
      </c>
      <c r="F424" s="48">
        <v>46270</v>
      </c>
      <c r="G424" s="48">
        <v>46271</v>
      </c>
      <c r="H424" s="49">
        <v>0.66666666666666663</v>
      </c>
      <c r="I424" s="49">
        <v>0.58333333333333337</v>
      </c>
      <c r="J424" s="30" t="s">
        <v>53</v>
      </c>
      <c r="K424" s="30" t="s">
        <v>171</v>
      </c>
      <c r="L424" s="30">
        <v>1</v>
      </c>
      <c r="M424" s="30" t="s">
        <v>2627</v>
      </c>
      <c r="P424" s="30" t="s">
        <v>174</v>
      </c>
      <c r="Q424" s="30" t="s">
        <v>363</v>
      </c>
      <c r="R424" s="30" t="s">
        <v>175</v>
      </c>
      <c r="S424" s="30" t="s">
        <v>176</v>
      </c>
      <c r="T424" s="30" t="s">
        <v>2628</v>
      </c>
      <c r="U424" s="30" t="s">
        <v>2629</v>
      </c>
      <c r="V424" s="30" t="s">
        <v>2617</v>
      </c>
      <c r="W424" s="30" t="s">
        <v>2630</v>
      </c>
      <c r="X424" s="30" t="s">
        <v>179</v>
      </c>
      <c r="Y424" t="s">
        <v>180</v>
      </c>
      <c r="Z424" s="30" t="s">
        <v>180</v>
      </c>
      <c r="AA424" s="30" t="s">
        <v>181</v>
      </c>
      <c r="AB424" s="30" t="s">
        <v>1667</v>
      </c>
      <c r="AC424" s="30" t="s">
        <v>92</v>
      </c>
      <c r="AD424" s="30" t="s">
        <v>2584</v>
      </c>
      <c r="AE424" s="30">
        <v>20613369083</v>
      </c>
      <c r="AF424" s="30" t="s">
        <v>2585</v>
      </c>
      <c r="AG424" s="30" t="s">
        <v>2586</v>
      </c>
      <c r="AH424" s="30" t="s">
        <v>185</v>
      </c>
      <c r="AI424" s="30" t="s">
        <v>2587</v>
      </c>
      <c r="AJ424" s="30" t="s">
        <v>2588</v>
      </c>
      <c r="AK424" s="30">
        <v>0</v>
      </c>
      <c r="AL424" s="30" t="s">
        <v>483</v>
      </c>
      <c r="AM424" t="s">
        <v>270</v>
      </c>
      <c r="AN424" s="30" t="s">
        <v>270</v>
      </c>
      <c r="AO424" s="30" t="s">
        <v>483</v>
      </c>
      <c r="AP424" s="30" t="s">
        <v>483</v>
      </c>
      <c r="AQ424" s="30" t="s">
        <v>483</v>
      </c>
      <c r="AR424" s="30" t="s">
        <v>483</v>
      </c>
      <c r="AS424" s="30" t="s">
        <v>63</v>
      </c>
      <c r="AT424" s="30" t="s">
        <v>64</v>
      </c>
      <c r="AU424" s="50">
        <v>46270.625</v>
      </c>
      <c r="AV424" s="50">
        <v>46270.647222222222</v>
      </c>
      <c r="AW424" s="50">
        <v>46270.663194444445</v>
      </c>
      <c r="AX424" s="50">
        <v>46270.680555555555</v>
      </c>
      <c r="AY424" s="50">
        <v>46270.726388888892</v>
      </c>
      <c r="AZ424" s="50">
        <v>46270.726388888892</v>
      </c>
      <c r="BA424" s="51">
        <v>46271.592361111114</v>
      </c>
      <c r="BB424" s="51">
        <v>46271.598611111112</v>
      </c>
      <c r="BC424" s="50">
        <v>46271.604166666664</v>
      </c>
      <c r="BE424" s="51">
        <v>46271.706944444442</v>
      </c>
      <c r="BF424" s="51"/>
      <c r="BG424" s="51">
        <v>46271.745833333334</v>
      </c>
      <c r="BH424" s="51">
        <v>46271.760416666664</v>
      </c>
      <c r="BI424" s="30" t="s">
        <v>65</v>
      </c>
      <c r="BJ424" s="50">
        <v>46272.5</v>
      </c>
      <c r="BK424" s="50">
        <v>46272.507638888892</v>
      </c>
      <c r="BL424" s="50">
        <v>46272.511111111111</v>
      </c>
      <c r="BM424" s="50">
        <v>46272.522222222222</v>
      </c>
      <c r="BN424" s="50">
        <v>46272.525694444441</v>
      </c>
    </row>
    <row r="425" spans="1:66">
      <c r="A425" t="s">
        <v>168</v>
      </c>
      <c r="B425" s="30">
        <v>41</v>
      </c>
      <c r="C425" s="30">
        <v>36</v>
      </c>
      <c r="D425" s="30" t="s">
        <v>169</v>
      </c>
      <c r="E425" s="30" t="s">
        <v>2547</v>
      </c>
      <c r="F425" s="48">
        <v>46271</v>
      </c>
      <c r="G425" s="48">
        <v>46272</v>
      </c>
      <c r="H425" s="49">
        <v>0.58333333333333337</v>
      </c>
      <c r="I425" s="49">
        <v>0.5</v>
      </c>
      <c r="J425" s="30" t="s">
        <v>53</v>
      </c>
      <c r="K425" s="30" t="s">
        <v>171</v>
      </c>
      <c r="L425" s="30">
        <v>1</v>
      </c>
      <c r="M425" s="30" t="s">
        <v>2631</v>
      </c>
      <c r="P425" s="30" t="s">
        <v>174</v>
      </c>
      <c r="Q425" s="30" t="s">
        <v>363</v>
      </c>
      <c r="R425" s="30" t="s">
        <v>407</v>
      </c>
      <c r="S425" s="30" t="s">
        <v>176</v>
      </c>
      <c r="T425" s="30" t="s">
        <v>2632</v>
      </c>
      <c r="U425" s="30" t="s">
        <v>2633</v>
      </c>
      <c r="V425" s="30">
        <v>614031</v>
      </c>
      <c r="W425" s="30" t="s">
        <v>2634</v>
      </c>
      <c r="X425" s="30" t="s">
        <v>179</v>
      </c>
      <c r="Y425" t="s">
        <v>180</v>
      </c>
      <c r="Z425" s="30" t="s">
        <v>180</v>
      </c>
      <c r="AA425" s="30" t="s">
        <v>181</v>
      </c>
      <c r="AB425" s="30" t="s">
        <v>1667</v>
      </c>
      <c r="AC425" s="30" t="s">
        <v>92</v>
      </c>
      <c r="AD425" s="30" t="s">
        <v>2584</v>
      </c>
      <c r="AE425" s="30">
        <v>20613369083</v>
      </c>
      <c r="AF425" s="30" t="s">
        <v>2635</v>
      </c>
      <c r="AG425" s="30" t="s">
        <v>2636</v>
      </c>
      <c r="AH425" s="30" t="s">
        <v>185</v>
      </c>
      <c r="AI425" s="30" t="s">
        <v>2637</v>
      </c>
      <c r="AJ425" s="30" t="s">
        <v>2638</v>
      </c>
      <c r="AK425" s="30">
        <v>51966730138</v>
      </c>
      <c r="AL425" s="30" t="s">
        <v>483</v>
      </c>
      <c r="AM425" t="s">
        <v>270</v>
      </c>
      <c r="AN425" s="30" t="s">
        <v>270</v>
      </c>
      <c r="AO425" s="30" t="s">
        <v>483</v>
      </c>
      <c r="AP425" s="30" t="s">
        <v>483</v>
      </c>
      <c r="AQ425" s="30" t="s">
        <v>483</v>
      </c>
      <c r="AR425" s="30" t="s">
        <v>483</v>
      </c>
      <c r="AS425" s="30" t="s">
        <v>63</v>
      </c>
      <c r="AT425" s="30" t="s">
        <v>64</v>
      </c>
      <c r="AU425" s="50">
        <v>46271.833333333336</v>
      </c>
      <c r="AV425" s="50">
        <v>46271.810416666667</v>
      </c>
      <c r="AW425" s="50">
        <v>46271.826388888891</v>
      </c>
      <c r="AX425" s="50">
        <v>46271.833333333336</v>
      </c>
      <c r="AY425" s="50">
        <v>46271.923611111109</v>
      </c>
      <c r="AZ425" s="50">
        <v>46271.93472222222</v>
      </c>
      <c r="BA425" s="51">
        <v>46272.636111111111</v>
      </c>
      <c r="BB425" s="51">
        <v>46272.638888888891</v>
      </c>
      <c r="BC425" s="50">
        <v>46272.636111111111</v>
      </c>
      <c r="BE425" s="51">
        <v>46272.678472222222</v>
      </c>
      <c r="BF425" s="51"/>
      <c r="BG425" s="51">
        <v>46272.738194444442</v>
      </c>
      <c r="BH425" s="51">
        <v>46272.761111111111</v>
      </c>
      <c r="BI425" s="30" t="s">
        <v>65</v>
      </c>
      <c r="BJ425" s="50">
        <v>46273.583333333336</v>
      </c>
      <c r="BK425" s="50">
        <v>47369.545138888891</v>
      </c>
      <c r="BL425" s="50">
        <v>47369.548611111109</v>
      </c>
      <c r="BM425" s="50">
        <v>47369.554166666669</v>
      </c>
      <c r="BN425" s="50">
        <v>47369.559027777781</v>
      </c>
    </row>
    <row r="426" spans="1:66">
      <c r="A426" t="s">
        <v>168</v>
      </c>
      <c r="B426" s="30">
        <v>42</v>
      </c>
      <c r="C426" s="30">
        <v>37</v>
      </c>
      <c r="D426" s="30" t="s">
        <v>169</v>
      </c>
      <c r="E426" s="30" t="s">
        <v>2547</v>
      </c>
      <c r="F426" s="48">
        <v>46274</v>
      </c>
      <c r="G426" s="48">
        <v>46275</v>
      </c>
      <c r="H426" s="49">
        <v>0.58333333333333337</v>
      </c>
      <c r="I426" s="49">
        <v>0.5</v>
      </c>
      <c r="J426" s="30" t="s">
        <v>53</v>
      </c>
      <c r="K426" s="30" t="s">
        <v>171</v>
      </c>
      <c r="L426" s="30">
        <v>1</v>
      </c>
      <c r="M426" s="30" t="s">
        <v>2639</v>
      </c>
      <c r="P426" s="30" t="s">
        <v>174</v>
      </c>
      <c r="Q426" s="30" t="s">
        <v>363</v>
      </c>
      <c r="R426" s="30" t="s">
        <v>374</v>
      </c>
      <c r="S426" s="30" t="s">
        <v>375</v>
      </c>
      <c r="T426" s="30" t="s">
        <v>2640</v>
      </c>
      <c r="U426" s="30" t="s">
        <v>2641</v>
      </c>
      <c r="V426" s="30">
        <v>7976</v>
      </c>
      <c r="W426" s="30" t="s">
        <v>2642</v>
      </c>
      <c r="X426" s="30" t="s">
        <v>180</v>
      </c>
      <c r="Y426" t="s">
        <v>180</v>
      </c>
      <c r="Z426" s="30" t="s">
        <v>180</v>
      </c>
      <c r="AA426" s="30" t="s">
        <v>181</v>
      </c>
      <c r="AB426" s="30" t="s">
        <v>1667</v>
      </c>
      <c r="AC426" s="30" t="s">
        <v>56</v>
      </c>
      <c r="AD426" s="30" t="s">
        <v>1668</v>
      </c>
      <c r="AE426" s="30">
        <v>20557679392</v>
      </c>
      <c r="AF426" s="30" t="s">
        <v>2552</v>
      </c>
      <c r="AG426" s="30" t="s">
        <v>2643</v>
      </c>
      <c r="AH426" s="30" t="s">
        <v>185</v>
      </c>
      <c r="AI426" s="30" t="s">
        <v>1769</v>
      </c>
      <c r="AJ426" s="30" t="s">
        <v>1770</v>
      </c>
      <c r="AK426" s="30">
        <v>0</v>
      </c>
      <c r="AM426" t="s">
        <v>270</v>
      </c>
      <c r="AN426" s="30" t="s">
        <v>270</v>
      </c>
      <c r="AS426" s="30" t="s">
        <v>63</v>
      </c>
      <c r="AT426" s="30" t="s">
        <v>380</v>
      </c>
      <c r="AU426" s="50">
        <v>46274.833333333336</v>
      </c>
      <c r="AV426" s="50">
        <v>46274.824999999997</v>
      </c>
      <c r="AW426" s="50">
        <v>46274.849305555559</v>
      </c>
      <c r="AX426" s="50">
        <v>46274.854166666664</v>
      </c>
      <c r="AY426" s="50">
        <v>46274.913194444445</v>
      </c>
      <c r="AZ426" s="50">
        <v>46274.913194444445</v>
      </c>
      <c r="BA426" s="51">
        <v>46275.557638888888</v>
      </c>
      <c r="BB426" s="51">
        <v>46275.561111111114</v>
      </c>
      <c r="BE426" s="51">
        <v>46275.604166666664</v>
      </c>
      <c r="BF426" s="51"/>
      <c r="BG426" s="51">
        <v>46275.666666666664</v>
      </c>
      <c r="BH426" s="51">
        <v>46275.689583333333</v>
      </c>
      <c r="BI426" s="30" t="s">
        <v>65</v>
      </c>
      <c r="BJ426" s="50">
        <v>46276.541666666664</v>
      </c>
      <c r="BK426" s="50">
        <v>46335.541666666664</v>
      </c>
      <c r="BL426" s="50">
        <v>46335.556250000001</v>
      </c>
      <c r="BM426" s="50">
        <v>46335.559027777781</v>
      </c>
      <c r="BN426" s="50">
        <v>46335.568749999999</v>
      </c>
    </row>
    <row r="427" spans="1:66">
      <c r="A427" t="s">
        <v>168</v>
      </c>
      <c r="B427" s="30">
        <v>43</v>
      </c>
      <c r="C427" s="30">
        <v>37</v>
      </c>
      <c r="D427" s="30" t="s">
        <v>169</v>
      </c>
      <c r="E427" s="30" t="s">
        <v>2547</v>
      </c>
      <c r="F427" s="48">
        <v>46275</v>
      </c>
      <c r="G427" s="48">
        <v>46276</v>
      </c>
      <c r="H427" s="49">
        <v>0.41666666666666669</v>
      </c>
      <c r="I427" s="49">
        <v>0.33333333333333331</v>
      </c>
      <c r="J427" s="30" t="s">
        <v>53</v>
      </c>
      <c r="K427" s="30" t="s">
        <v>171</v>
      </c>
      <c r="L427" s="30">
        <v>1</v>
      </c>
      <c r="M427" s="30" t="s">
        <v>2644</v>
      </c>
      <c r="P427" s="30" t="s">
        <v>174</v>
      </c>
      <c r="Q427" s="30" t="s">
        <v>363</v>
      </c>
      <c r="R427" s="30" t="s">
        <v>374</v>
      </c>
      <c r="S427" s="30" t="s">
        <v>375</v>
      </c>
      <c r="T427" s="30" t="s">
        <v>2645</v>
      </c>
      <c r="U427" s="30" t="s">
        <v>2646</v>
      </c>
      <c r="V427" s="30">
        <v>7893</v>
      </c>
      <c r="W427" s="30" t="s">
        <v>2647</v>
      </c>
      <c r="X427" s="30" t="s">
        <v>180</v>
      </c>
      <c r="Y427" t="s">
        <v>180</v>
      </c>
      <c r="Z427" s="30" t="s">
        <v>180</v>
      </c>
      <c r="AA427" s="30" t="s">
        <v>181</v>
      </c>
      <c r="AB427" s="30" t="s">
        <v>1667</v>
      </c>
      <c r="AC427" s="30" t="s">
        <v>92</v>
      </c>
      <c r="AD427" s="30" t="s">
        <v>2584</v>
      </c>
      <c r="AE427" s="30">
        <v>20613369083</v>
      </c>
      <c r="AF427" s="30" t="s">
        <v>2591</v>
      </c>
      <c r="AG427" s="30" t="s">
        <v>2648</v>
      </c>
      <c r="AH427" s="30" t="s">
        <v>185</v>
      </c>
      <c r="AI427" s="30" t="s">
        <v>2593</v>
      </c>
      <c r="AJ427" s="30" t="s">
        <v>2594</v>
      </c>
      <c r="AK427" s="30" t="s">
        <v>2595</v>
      </c>
      <c r="AM427" t="s">
        <v>270</v>
      </c>
      <c r="AN427" s="30" t="s">
        <v>270</v>
      </c>
      <c r="AS427" s="30" t="s">
        <v>63</v>
      </c>
      <c r="AT427" s="30" t="s">
        <v>380</v>
      </c>
      <c r="AU427" s="50">
        <v>46275.75</v>
      </c>
      <c r="AV427" s="50">
        <v>46275.729166666664</v>
      </c>
      <c r="AW427" s="50">
        <v>46275.797222222223</v>
      </c>
      <c r="AX427" s="50">
        <v>46275.826388888891</v>
      </c>
      <c r="AY427" s="50">
        <v>46275.914583333331</v>
      </c>
      <c r="AZ427" s="50">
        <v>46275.914583333331</v>
      </c>
      <c r="BA427" s="51">
        <v>46335.665277777778</v>
      </c>
      <c r="BB427" s="51">
        <v>46335.666666666664</v>
      </c>
      <c r="BE427" s="51">
        <v>46335.694444444445</v>
      </c>
      <c r="BF427" s="51"/>
      <c r="BG427" s="51">
        <v>46335.768055555556</v>
      </c>
      <c r="BH427" s="51">
        <v>46335.783333333333</v>
      </c>
      <c r="BI427" s="30" t="s">
        <v>65</v>
      </c>
      <c r="BJ427" s="50">
        <v>46277.583333333336</v>
      </c>
      <c r="BK427" s="50">
        <v>46365.541666666664</v>
      </c>
      <c r="BL427" s="50">
        <v>46365.552777777775</v>
      </c>
      <c r="BM427" s="50">
        <v>46365.555555555555</v>
      </c>
      <c r="BN427" s="50">
        <v>46365.564583333333</v>
      </c>
    </row>
    <row r="428" spans="1:66">
      <c r="A428" t="s">
        <v>168</v>
      </c>
      <c r="B428" s="30">
        <v>44</v>
      </c>
      <c r="C428" s="30">
        <v>37</v>
      </c>
      <c r="D428" s="30" t="s">
        <v>169</v>
      </c>
      <c r="E428" s="30" t="s">
        <v>2547</v>
      </c>
      <c r="F428" s="48">
        <v>46277</v>
      </c>
      <c r="G428" s="48">
        <v>46278</v>
      </c>
      <c r="H428" s="49">
        <v>0.66666666666666663</v>
      </c>
      <c r="I428" s="49">
        <v>0.58333333333333337</v>
      </c>
      <c r="J428" s="30" t="s">
        <v>53</v>
      </c>
      <c r="K428" s="30" t="s">
        <v>171</v>
      </c>
      <c r="L428" s="30">
        <v>1</v>
      </c>
      <c r="M428" s="30" t="s">
        <v>2649</v>
      </c>
      <c r="P428" s="30" t="s">
        <v>174</v>
      </c>
      <c r="Q428" s="30" t="s">
        <v>363</v>
      </c>
      <c r="R428" s="30" t="s">
        <v>548</v>
      </c>
      <c r="S428" s="30" t="s">
        <v>623</v>
      </c>
      <c r="T428" s="30" t="s">
        <v>2650</v>
      </c>
      <c r="U428" s="30" t="s">
        <v>2651</v>
      </c>
      <c r="V428" s="30">
        <v>816028</v>
      </c>
      <c r="W428" s="30" t="s">
        <v>2652</v>
      </c>
      <c r="X428" s="30" t="s">
        <v>179</v>
      </c>
      <c r="Y428" t="s">
        <v>180</v>
      </c>
      <c r="Z428" s="30" t="s">
        <v>180</v>
      </c>
      <c r="AA428" s="30" t="s">
        <v>181</v>
      </c>
      <c r="AB428" s="30" t="s">
        <v>1667</v>
      </c>
      <c r="AC428" s="30" t="s">
        <v>56</v>
      </c>
      <c r="AD428" s="30" t="s">
        <v>1668</v>
      </c>
      <c r="AE428" s="30">
        <v>20557679392</v>
      </c>
      <c r="AF428" s="30" t="s">
        <v>1761</v>
      </c>
      <c r="AG428" s="30" t="s">
        <v>2653</v>
      </c>
      <c r="AH428" s="30" t="s">
        <v>185</v>
      </c>
      <c r="AI428" s="30" t="s">
        <v>1711</v>
      </c>
      <c r="AJ428" s="30" t="s">
        <v>1762</v>
      </c>
      <c r="AK428" s="30">
        <v>0</v>
      </c>
      <c r="AM428" t="s">
        <v>270</v>
      </c>
      <c r="AN428" s="30" t="s">
        <v>270</v>
      </c>
      <c r="AS428" s="30" t="s">
        <v>63</v>
      </c>
      <c r="AT428" s="30" t="s">
        <v>64</v>
      </c>
      <c r="AU428" s="50">
        <v>46277.583333333336</v>
      </c>
      <c r="AV428" s="50">
        <v>46365.616666666669</v>
      </c>
      <c r="AW428" s="50">
        <v>46365.620138888888</v>
      </c>
      <c r="AX428" s="50">
        <v>46365.626388888886</v>
      </c>
      <c r="AY428" s="50">
        <v>46365.669444444444</v>
      </c>
      <c r="AZ428" s="50">
        <v>46365.669444444444</v>
      </c>
      <c r="BA428" s="51">
        <v>46278.515277777777</v>
      </c>
      <c r="BB428" s="51">
        <v>46278.518055555556</v>
      </c>
      <c r="BE428" s="51">
        <v>46278.666666666664</v>
      </c>
      <c r="BF428" s="51"/>
      <c r="BG428" s="51">
        <v>46278.75</v>
      </c>
      <c r="BH428" s="51">
        <v>46278.775000000001</v>
      </c>
      <c r="BI428" s="30" t="s">
        <v>65</v>
      </c>
      <c r="BJ428" s="50">
        <v>46279.5</v>
      </c>
      <c r="BK428" s="50">
        <v>46279.429166666669</v>
      </c>
      <c r="BL428" s="50">
        <v>46279.438888888886</v>
      </c>
      <c r="BM428" s="50">
        <v>46279.439583333333</v>
      </c>
      <c r="BN428" s="50">
        <v>46279.443055555559</v>
      </c>
    </row>
    <row r="429" spans="1:66">
      <c r="A429" t="s">
        <v>168</v>
      </c>
      <c r="B429" s="30">
        <v>45</v>
      </c>
      <c r="C429" s="30">
        <v>37</v>
      </c>
      <c r="D429" s="30" t="s">
        <v>169</v>
      </c>
      <c r="E429" s="30" t="s">
        <v>2547</v>
      </c>
      <c r="F429" s="48">
        <v>46277</v>
      </c>
      <c r="G429" s="48">
        <v>46278</v>
      </c>
      <c r="H429" s="49">
        <v>0.66666666666666663</v>
      </c>
      <c r="I429" s="49">
        <v>0.58333333333333337</v>
      </c>
      <c r="J429" s="30" t="s">
        <v>53</v>
      </c>
      <c r="K429" s="30" t="s">
        <v>171</v>
      </c>
      <c r="L429" s="30">
        <v>1</v>
      </c>
      <c r="M429" s="30" t="s">
        <v>2654</v>
      </c>
      <c r="P429" s="30" t="s">
        <v>174</v>
      </c>
      <c r="Q429" s="30" t="s">
        <v>363</v>
      </c>
      <c r="R429" s="30" t="s">
        <v>175</v>
      </c>
      <c r="S429" s="30" t="s">
        <v>176</v>
      </c>
      <c r="T429" s="30" t="s">
        <v>2655</v>
      </c>
      <c r="U429" s="30" t="s">
        <v>2656</v>
      </c>
      <c r="V429" s="30">
        <v>816037</v>
      </c>
      <c r="W429" s="30" t="s">
        <v>2657</v>
      </c>
      <c r="X429" s="30" t="s">
        <v>179</v>
      </c>
      <c r="Y429" t="s">
        <v>180</v>
      </c>
      <c r="Z429" s="30" t="s">
        <v>180</v>
      </c>
      <c r="AA429" s="30" t="s">
        <v>181</v>
      </c>
      <c r="AB429" s="30" t="s">
        <v>1667</v>
      </c>
      <c r="AC429" s="30" t="s">
        <v>56</v>
      </c>
      <c r="AD429" s="30" t="s">
        <v>1668</v>
      </c>
      <c r="AE429" s="30">
        <v>20557679392</v>
      </c>
      <c r="AF429" s="30" t="s">
        <v>2552</v>
      </c>
      <c r="AG429" s="30" t="s">
        <v>2643</v>
      </c>
      <c r="AH429" s="30" t="s">
        <v>185</v>
      </c>
      <c r="AI429" s="30" t="s">
        <v>1769</v>
      </c>
      <c r="AJ429" s="30" t="s">
        <v>1770</v>
      </c>
      <c r="AK429" s="30">
        <v>0</v>
      </c>
      <c r="AM429" t="s">
        <v>270</v>
      </c>
      <c r="AN429" s="30" t="s">
        <v>270</v>
      </c>
      <c r="AS429" s="30" t="s">
        <v>63</v>
      </c>
      <c r="AT429" s="30" t="s">
        <v>64</v>
      </c>
      <c r="AU429" s="50">
        <v>46277.583333333336</v>
      </c>
      <c r="AV429" s="50">
        <v>46365.594444444447</v>
      </c>
      <c r="AW429" s="50">
        <v>46365.61041666667</v>
      </c>
      <c r="AX429" s="50">
        <v>46365.623611111114</v>
      </c>
      <c r="AY429" s="50">
        <v>46365.664583333331</v>
      </c>
      <c r="AZ429" s="50">
        <v>46365.664583333331</v>
      </c>
      <c r="BA429" s="51">
        <v>46278.490972222222</v>
      </c>
      <c r="BB429" s="51">
        <v>46278.492361111108</v>
      </c>
      <c r="BE429" s="51">
        <v>46278.604166666664</v>
      </c>
      <c r="BF429" s="51"/>
      <c r="BG429" s="51">
        <v>46278.666666666664</v>
      </c>
      <c r="BH429" s="51">
        <v>46278.770833333336</v>
      </c>
      <c r="BI429" s="30" t="s">
        <v>65</v>
      </c>
      <c r="BJ429" s="50">
        <v>46279.5</v>
      </c>
      <c r="BK429" s="50">
        <v>46279.446527777778</v>
      </c>
      <c r="BL429" s="50">
        <v>46279.456250000003</v>
      </c>
      <c r="BM429" s="50">
        <v>46279.457638888889</v>
      </c>
      <c r="BN429" s="50">
        <v>46279.461111111108</v>
      </c>
    </row>
    <row r="430" spans="1:66">
      <c r="A430" t="s">
        <v>168</v>
      </c>
      <c r="B430" s="30">
        <v>46</v>
      </c>
      <c r="C430" s="30">
        <v>37</v>
      </c>
      <c r="D430" s="30" t="s">
        <v>169</v>
      </c>
      <c r="E430" s="30" t="s">
        <v>2547</v>
      </c>
      <c r="F430" s="48">
        <v>46278</v>
      </c>
      <c r="G430" s="48">
        <v>46279</v>
      </c>
      <c r="H430" s="49">
        <v>0.66666666666666663</v>
      </c>
      <c r="I430" s="49">
        <v>0.58333333333333337</v>
      </c>
      <c r="J430" s="30" t="s">
        <v>53</v>
      </c>
      <c r="K430" s="30" t="s">
        <v>171</v>
      </c>
      <c r="L430" s="30">
        <v>1</v>
      </c>
      <c r="M430" s="30" t="s">
        <v>2658</v>
      </c>
      <c r="P430" s="30" t="s">
        <v>174</v>
      </c>
      <c r="Q430" s="30" t="s">
        <v>363</v>
      </c>
      <c r="R430" s="30" t="s">
        <v>407</v>
      </c>
      <c r="S430" s="30" t="s">
        <v>176</v>
      </c>
      <c r="T430" s="30" t="s">
        <v>2659</v>
      </c>
      <c r="U430" s="30" t="s">
        <v>2660</v>
      </c>
      <c r="V430" s="30">
        <v>816032</v>
      </c>
      <c r="W430" s="30" t="s">
        <v>2661</v>
      </c>
      <c r="X430" s="30" t="s">
        <v>179</v>
      </c>
      <c r="Y430" t="s">
        <v>180</v>
      </c>
      <c r="Z430" s="30" t="s">
        <v>180</v>
      </c>
      <c r="AA430" s="30" t="s">
        <v>181</v>
      </c>
      <c r="AB430" s="30" t="s">
        <v>1667</v>
      </c>
      <c r="AC430" s="30" t="s">
        <v>56</v>
      </c>
      <c r="AD430" s="30" t="s">
        <v>1668</v>
      </c>
      <c r="AE430" s="30">
        <v>20557679392</v>
      </c>
      <c r="AF430" s="30" t="s">
        <v>1732</v>
      </c>
      <c r="AG430" s="30" t="s">
        <v>2662</v>
      </c>
      <c r="AH430" s="30" t="s">
        <v>185</v>
      </c>
      <c r="AI430" s="30" t="s">
        <v>1734</v>
      </c>
      <c r="AJ430" s="30" t="s">
        <v>1728</v>
      </c>
      <c r="AK430" s="30">
        <v>0</v>
      </c>
      <c r="AM430" t="s">
        <v>270</v>
      </c>
      <c r="AN430" s="30" t="s">
        <v>270</v>
      </c>
      <c r="AS430" s="30" t="s">
        <v>63</v>
      </c>
      <c r="AT430" s="30" t="s">
        <v>64</v>
      </c>
      <c r="AU430" s="50">
        <v>46278.666666666664</v>
      </c>
      <c r="AV430" s="50">
        <v>46278.675000000003</v>
      </c>
      <c r="AW430" s="50">
        <v>46278.688888888886</v>
      </c>
      <c r="AX430" s="50">
        <v>46278.700694444444</v>
      </c>
      <c r="AY430" s="50">
        <v>46278.719444444447</v>
      </c>
      <c r="AZ430" s="50">
        <v>46278.732638888891</v>
      </c>
      <c r="BA430" s="51">
        <v>46279.488888888889</v>
      </c>
      <c r="BB430" s="51">
        <v>46279.491666666669</v>
      </c>
      <c r="BE430" s="51">
        <v>46279.594444444447</v>
      </c>
      <c r="BF430" s="51"/>
      <c r="BG430" s="51">
        <v>46279.701388888891</v>
      </c>
      <c r="BH430" s="51">
        <v>46279.717361111114</v>
      </c>
      <c r="BI430" s="30" t="s">
        <v>65</v>
      </c>
      <c r="BJ430" s="50">
        <v>46280.541666666664</v>
      </c>
      <c r="BK430" s="50">
        <v>46280.472222222219</v>
      </c>
      <c r="BL430" s="50">
        <v>46280.49722222222</v>
      </c>
      <c r="BM430" s="50">
        <v>46280.505555555559</v>
      </c>
      <c r="BN430" s="50">
        <v>46280.509722222225</v>
      </c>
    </row>
    <row r="431" spans="1:66">
      <c r="A431" t="s">
        <v>168</v>
      </c>
      <c r="B431" s="30">
        <v>47</v>
      </c>
      <c r="C431" s="30">
        <v>37</v>
      </c>
      <c r="D431" s="30" t="s">
        <v>169</v>
      </c>
      <c r="E431" s="30" t="s">
        <v>2547</v>
      </c>
      <c r="F431" s="48">
        <v>46278</v>
      </c>
      <c r="G431" s="48">
        <v>46279</v>
      </c>
      <c r="H431" s="49">
        <v>0.75</v>
      </c>
      <c r="I431" s="49">
        <v>0.66666666666666663</v>
      </c>
      <c r="J431" s="30" t="s">
        <v>53</v>
      </c>
      <c r="K431" s="30" t="s">
        <v>171</v>
      </c>
      <c r="L431" s="30">
        <v>1</v>
      </c>
      <c r="M431" s="30" t="s">
        <v>2663</v>
      </c>
      <c r="P431" s="30" t="s">
        <v>174</v>
      </c>
      <c r="Q431" s="30" t="s">
        <v>363</v>
      </c>
      <c r="R431" s="30" t="s">
        <v>175</v>
      </c>
      <c r="S431" s="30" t="s">
        <v>176</v>
      </c>
      <c r="T431" s="30" t="s">
        <v>2664</v>
      </c>
      <c r="U431" s="30" t="s">
        <v>2665</v>
      </c>
      <c r="V431" s="30" t="s">
        <v>2665</v>
      </c>
      <c r="W431" s="30" t="s">
        <v>2665</v>
      </c>
      <c r="X431" s="30" t="s">
        <v>179</v>
      </c>
      <c r="Y431" t="s">
        <v>180</v>
      </c>
      <c r="Z431" s="30" t="s">
        <v>180</v>
      </c>
      <c r="AA431" s="30" t="s">
        <v>181</v>
      </c>
      <c r="AB431" s="30" t="s">
        <v>1667</v>
      </c>
      <c r="AC431" s="30" t="s">
        <v>56</v>
      </c>
      <c r="AD431" s="30" t="s">
        <v>1668</v>
      </c>
      <c r="AE431" s="30">
        <v>20557679392</v>
      </c>
      <c r="AF431" s="30" t="s">
        <v>2665</v>
      </c>
      <c r="AG431" s="30" t="s">
        <v>2665</v>
      </c>
      <c r="AH431" s="30" t="s">
        <v>185</v>
      </c>
      <c r="AI431" s="30" t="s">
        <v>2665</v>
      </c>
      <c r="AJ431" s="30" t="s">
        <v>2665</v>
      </c>
      <c r="AK431" s="30" t="s">
        <v>2665</v>
      </c>
      <c r="AM431" t="s">
        <v>270</v>
      </c>
      <c r="AN431" s="30" t="s">
        <v>270</v>
      </c>
      <c r="AS431" s="30" t="s">
        <v>63</v>
      </c>
      <c r="AT431" s="30" t="s">
        <v>2665</v>
      </c>
      <c r="AU431" s="50">
        <v>0</v>
      </c>
      <c r="AV431" s="50">
        <v>0</v>
      </c>
      <c r="AW431" s="50">
        <v>0</v>
      </c>
      <c r="AX431" s="50">
        <v>0</v>
      </c>
      <c r="AY431" s="50">
        <v>0</v>
      </c>
      <c r="AZ431" s="50">
        <v>0</v>
      </c>
      <c r="BA431" s="51">
        <v>0</v>
      </c>
      <c r="BB431" s="51">
        <v>0</v>
      </c>
      <c r="BE431" s="51">
        <v>0</v>
      </c>
      <c r="BF431" s="51"/>
      <c r="BG431" s="51">
        <v>0</v>
      </c>
      <c r="BH431" s="51">
        <v>0</v>
      </c>
      <c r="BI431" s="30">
        <v>0</v>
      </c>
      <c r="BJ431" s="50">
        <v>0</v>
      </c>
      <c r="BK431" s="50">
        <v>0</v>
      </c>
      <c r="BL431" s="50">
        <v>0</v>
      </c>
      <c r="BM431" s="50">
        <v>0</v>
      </c>
      <c r="BN431" s="50">
        <v>0</v>
      </c>
    </row>
    <row r="432" spans="1:66">
      <c r="A432" t="s">
        <v>168</v>
      </c>
      <c r="B432" s="30">
        <v>48</v>
      </c>
      <c r="C432" s="30">
        <v>38</v>
      </c>
      <c r="D432" s="30" t="s">
        <v>169</v>
      </c>
      <c r="E432" s="30" t="s">
        <v>2547</v>
      </c>
      <c r="F432" s="48">
        <v>46281</v>
      </c>
      <c r="G432" s="48">
        <v>46282</v>
      </c>
      <c r="H432" s="49">
        <v>0.66666666666666663</v>
      </c>
      <c r="I432" s="49">
        <v>0.58333333333333337</v>
      </c>
      <c r="J432" s="30" t="s">
        <v>53</v>
      </c>
      <c r="K432" s="30" t="s">
        <v>171</v>
      </c>
      <c r="L432" s="30">
        <v>1</v>
      </c>
      <c r="M432" s="30" t="s">
        <v>2777</v>
      </c>
      <c r="P432" s="30" t="s">
        <v>174</v>
      </c>
      <c r="Q432" s="30" t="s">
        <v>363</v>
      </c>
      <c r="R432" s="30" t="s">
        <v>374</v>
      </c>
      <c r="S432" s="30" t="s">
        <v>375</v>
      </c>
      <c r="T432" s="30" t="s">
        <v>2778</v>
      </c>
      <c r="U432" s="30" t="s">
        <v>2779</v>
      </c>
      <c r="V432" s="30">
        <v>8099</v>
      </c>
      <c r="W432" s="30" t="s">
        <v>2780</v>
      </c>
      <c r="X432" s="30" t="s">
        <v>180</v>
      </c>
      <c r="Y432" t="s">
        <v>180</v>
      </c>
      <c r="Z432" s="30" t="s">
        <v>180</v>
      </c>
      <c r="AA432" s="30" t="s">
        <v>181</v>
      </c>
      <c r="AB432" s="30" t="s">
        <v>1667</v>
      </c>
      <c r="AC432" s="30" t="s">
        <v>56</v>
      </c>
      <c r="AD432" s="30" t="s">
        <v>1668</v>
      </c>
      <c r="AE432" s="30">
        <v>20557679392</v>
      </c>
      <c r="AF432" s="30" t="s">
        <v>1756</v>
      </c>
      <c r="AG432" s="30" t="s">
        <v>2573</v>
      </c>
      <c r="AH432" s="30" t="s">
        <v>185</v>
      </c>
      <c r="AI432" s="30" t="s">
        <v>1705</v>
      </c>
      <c r="AJ432" s="30" t="s">
        <v>1757</v>
      </c>
      <c r="AK432" s="30">
        <v>0</v>
      </c>
      <c r="AM432" t="s">
        <v>270</v>
      </c>
      <c r="AN432" s="30" t="s">
        <v>270</v>
      </c>
      <c r="AS432" s="30" t="s">
        <v>63</v>
      </c>
      <c r="AT432" s="30" t="s">
        <v>380</v>
      </c>
      <c r="AU432" s="50">
        <v>46281.708333333336</v>
      </c>
      <c r="AV432" s="50">
        <v>46281.727777777778</v>
      </c>
      <c r="AW432" s="50">
        <v>46281.736111111109</v>
      </c>
      <c r="AX432" s="50">
        <v>46281.808333333334</v>
      </c>
      <c r="AY432" s="50">
        <v>46281.862500000003</v>
      </c>
      <c r="AZ432" s="50">
        <v>46281.862500000003</v>
      </c>
      <c r="BA432" s="51">
        <v>46282.509027777778</v>
      </c>
      <c r="BB432" s="51">
        <v>46282.510416666664</v>
      </c>
      <c r="BE432" s="51">
        <v>46282.625</v>
      </c>
      <c r="BF432" s="51"/>
      <c r="BG432" s="51">
        <v>46282.666666666664</v>
      </c>
      <c r="BH432" s="51">
        <v>46282.692361111112</v>
      </c>
      <c r="BI432" s="30" t="s">
        <v>65</v>
      </c>
      <c r="BJ432" s="50">
        <v>46283.375</v>
      </c>
      <c r="BK432" s="50">
        <v>46283.319444444445</v>
      </c>
      <c r="BL432" s="50">
        <v>46283.342361111114</v>
      </c>
      <c r="BM432" s="50">
        <v>46283.345833333333</v>
      </c>
      <c r="BN432" s="50">
        <v>46283.351388888892</v>
      </c>
    </row>
    <row r="433" spans="1:66">
      <c r="A433" t="s">
        <v>168</v>
      </c>
      <c r="B433" s="30">
        <v>49</v>
      </c>
      <c r="C433" s="30">
        <v>38</v>
      </c>
      <c r="D433" s="30" t="s">
        <v>169</v>
      </c>
      <c r="E433" s="30" t="s">
        <v>2547</v>
      </c>
      <c r="F433" s="48">
        <v>46281</v>
      </c>
      <c r="G433" s="48">
        <v>46282</v>
      </c>
      <c r="H433" s="49">
        <v>0.66666666666666663</v>
      </c>
      <c r="I433" s="49">
        <v>0.58333333333333337</v>
      </c>
      <c r="J433" s="30" t="s">
        <v>53</v>
      </c>
      <c r="K433" s="30" t="s">
        <v>171</v>
      </c>
      <c r="L433" s="30">
        <v>1</v>
      </c>
      <c r="M433" s="30" t="s">
        <v>2781</v>
      </c>
      <c r="P433" s="30" t="s">
        <v>174</v>
      </c>
      <c r="Q433" s="30" t="s">
        <v>363</v>
      </c>
      <c r="R433" s="30" t="s">
        <v>374</v>
      </c>
      <c r="S433" s="30" t="s">
        <v>375</v>
      </c>
      <c r="T433" s="30" t="s">
        <v>2782</v>
      </c>
      <c r="U433" s="30" t="s">
        <v>2783</v>
      </c>
      <c r="V433" s="30">
        <v>8097</v>
      </c>
      <c r="W433" s="30" t="s">
        <v>2784</v>
      </c>
      <c r="X433" s="30" t="s">
        <v>180</v>
      </c>
      <c r="Y433" t="s">
        <v>180</v>
      </c>
      <c r="Z433" s="30" t="s">
        <v>180</v>
      </c>
      <c r="AA433" s="30" t="s">
        <v>181</v>
      </c>
      <c r="AB433" s="30" t="s">
        <v>1667</v>
      </c>
      <c r="AC433" s="30" t="s">
        <v>56</v>
      </c>
      <c r="AD433" s="30" t="s">
        <v>1668</v>
      </c>
      <c r="AE433" s="30">
        <v>20557679392</v>
      </c>
      <c r="AF433" s="30" t="s">
        <v>1761</v>
      </c>
      <c r="AG433" s="30" t="s">
        <v>1710</v>
      </c>
      <c r="AH433" s="30" t="s">
        <v>185</v>
      </c>
      <c r="AI433" s="30" t="s">
        <v>1711</v>
      </c>
      <c r="AJ433" s="30" t="s">
        <v>1762</v>
      </c>
      <c r="AK433" s="30">
        <v>0</v>
      </c>
      <c r="AM433" t="s">
        <v>270</v>
      </c>
      <c r="AN433" s="30" t="s">
        <v>270</v>
      </c>
      <c r="AS433" s="30" t="s">
        <v>63</v>
      </c>
      <c r="AT433" s="30" t="s">
        <v>380</v>
      </c>
      <c r="AU433" s="50">
        <v>46281.75</v>
      </c>
      <c r="AV433" s="50">
        <v>46281.740972222222</v>
      </c>
      <c r="AW433" s="50">
        <v>46281.746527777781</v>
      </c>
      <c r="AX433" s="50">
        <v>46281.748611111114</v>
      </c>
      <c r="AY433" s="50">
        <v>46281.794444444444</v>
      </c>
      <c r="AZ433" s="50">
        <v>46281.794444444444</v>
      </c>
      <c r="BA433" s="51">
        <v>46282.522222222222</v>
      </c>
      <c r="BB433" s="51">
        <v>46282.524305555555</v>
      </c>
      <c r="BE433" s="51">
        <v>46282.625</v>
      </c>
      <c r="BF433" s="51"/>
      <c r="BG433" s="51">
        <v>46282.666666666664</v>
      </c>
      <c r="BH433" s="51">
        <v>46282.691666666666</v>
      </c>
      <c r="BI433" s="30" t="s">
        <v>65</v>
      </c>
      <c r="BJ433" s="50">
        <v>46283.375</v>
      </c>
      <c r="BK433" s="50">
        <v>46283.319444444445</v>
      </c>
      <c r="BL433" s="50">
        <v>46283.340277777781</v>
      </c>
      <c r="BM433" s="50">
        <v>46283.34375</v>
      </c>
      <c r="BN433" s="50">
        <v>46283.348611111112</v>
      </c>
    </row>
    <row r="434" spans="1:66">
      <c r="A434" t="s">
        <v>168</v>
      </c>
      <c r="B434" s="30">
        <v>50</v>
      </c>
      <c r="C434" s="30">
        <v>38</v>
      </c>
      <c r="D434" s="30" t="s">
        <v>169</v>
      </c>
      <c r="E434" s="30" t="s">
        <v>2547</v>
      </c>
      <c r="F434" s="48">
        <v>46284</v>
      </c>
      <c r="G434" s="48">
        <v>46285</v>
      </c>
      <c r="H434" s="49">
        <v>0.66666666666666663</v>
      </c>
      <c r="I434" s="49">
        <v>0.58333333333333337</v>
      </c>
      <c r="J434" s="30" t="s">
        <v>53</v>
      </c>
      <c r="K434" s="30" t="s">
        <v>171</v>
      </c>
      <c r="L434" s="30">
        <v>1</v>
      </c>
      <c r="M434" s="30" t="s">
        <v>2785</v>
      </c>
      <c r="P434" s="30" t="s">
        <v>174</v>
      </c>
      <c r="Q434" s="30" t="s">
        <v>363</v>
      </c>
      <c r="R434" s="30" t="s">
        <v>407</v>
      </c>
      <c r="S434" s="30" t="s">
        <v>176</v>
      </c>
      <c r="T434" s="30" t="s">
        <v>2786</v>
      </c>
      <c r="U434" s="30" t="s">
        <v>2787</v>
      </c>
      <c r="V434" s="30" t="s">
        <v>2788</v>
      </c>
      <c r="W434" s="30" t="s">
        <v>2788</v>
      </c>
      <c r="X434" s="30" t="s">
        <v>179</v>
      </c>
      <c r="Y434" t="s">
        <v>180</v>
      </c>
      <c r="Z434" s="30" t="s">
        <v>180</v>
      </c>
      <c r="AA434" s="30" t="s">
        <v>181</v>
      </c>
      <c r="AB434" s="30" t="s">
        <v>1667</v>
      </c>
      <c r="AC434" s="30" t="s">
        <v>56</v>
      </c>
      <c r="AD434" s="30" t="s">
        <v>1668</v>
      </c>
      <c r="AE434" s="30">
        <v>20557679392</v>
      </c>
      <c r="AF434" s="30" t="s">
        <v>2552</v>
      </c>
      <c r="AG434" s="30" t="s">
        <v>2643</v>
      </c>
      <c r="AH434" s="30" t="s">
        <v>185</v>
      </c>
      <c r="AI434" s="30" t="s">
        <v>1769</v>
      </c>
      <c r="AJ434" s="30" t="s">
        <v>1770</v>
      </c>
      <c r="AK434" s="30">
        <v>0</v>
      </c>
      <c r="AM434" t="s">
        <v>270</v>
      </c>
      <c r="AN434" s="30" t="s">
        <v>270</v>
      </c>
      <c r="AS434" s="30" t="s">
        <v>63</v>
      </c>
      <c r="AT434" s="30" t="s">
        <v>64</v>
      </c>
      <c r="AU434" s="50">
        <v>46284.875</v>
      </c>
      <c r="AV434" s="50">
        <v>46284.868055555555</v>
      </c>
      <c r="AW434" s="50">
        <v>46284.876388888886</v>
      </c>
      <c r="AX434" s="50">
        <v>46284.881944444445</v>
      </c>
      <c r="AY434" s="50">
        <v>46284.927083333336</v>
      </c>
      <c r="AZ434" s="50">
        <v>46284.927083333336</v>
      </c>
      <c r="BA434" s="51">
        <v>46285.569444444445</v>
      </c>
      <c r="BB434" s="51">
        <v>46285.604166666664</v>
      </c>
      <c r="BE434" s="51">
        <v>46285.652777777781</v>
      </c>
      <c r="BF434" s="51"/>
      <c r="BG434" s="51">
        <v>46285.715277777781</v>
      </c>
      <c r="BH434" s="51">
        <v>46285.8</v>
      </c>
      <c r="BI434" s="30" t="s">
        <v>65</v>
      </c>
      <c r="BJ434" s="50">
        <v>46286.625</v>
      </c>
      <c r="BK434" s="50">
        <v>46286.546527777777</v>
      </c>
      <c r="BL434" s="50">
        <v>46286.622916666667</v>
      </c>
      <c r="BM434" s="50">
        <v>46286.626388888886</v>
      </c>
      <c r="BN434" s="50">
        <v>46286.630555555559</v>
      </c>
    </row>
    <row r="435" spans="1:66">
      <c r="A435" t="s">
        <v>168</v>
      </c>
      <c r="B435" s="30">
        <v>51</v>
      </c>
      <c r="C435" s="30">
        <v>38</v>
      </c>
      <c r="D435" s="30" t="s">
        <v>169</v>
      </c>
      <c r="E435" s="30" t="s">
        <v>2547</v>
      </c>
      <c r="F435" s="48">
        <v>46285</v>
      </c>
      <c r="G435" s="48">
        <v>46286</v>
      </c>
      <c r="H435" s="49">
        <v>0.41666666666666669</v>
      </c>
      <c r="I435" s="49">
        <v>0.33333333333333331</v>
      </c>
      <c r="J435" s="30" t="s">
        <v>53</v>
      </c>
      <c r="K435" s="30" t="s">
        <v>171</v>
      </c>
      <c r="L435" s="30">
        <v>1</v>
      </c>
      <c r="M435" s="30" t="s">
        <v>2789</v>
      </c>
      <c r="P435" s="30" t="s">
        <v>174</v>
      </c>
      <c r="Q435" s="30" t="s">
        <v>363</v>
      </c>
      <c r="R435" s="30" t="s">
        <v>548</v>
      </c>
      <c r="S435" s="30" t="s">
        <v>623</v>
      </c>
      <c r="T435" s="30" t="s">
        <v>2790</v>
      </c>
      <c r="U435" s="30" t="s">
        <v>2791</v>
      </c>
      <c r="V435" s="30" t="s">
        <v>2792</v>
      </c>
      <c r="W435" s="30" t="s">
        <v>2792</v>
      </c>
      <c r="X435" s="30" t="s">
        <v>179</v>
      </c>
      <c r="Y435" t="s">
        <v>180</v>
      </c>
      <c r="Z435" s="30" t="s">
        <v>180</v>
      </c>
      <c r="AA435" s="30" t="s">
        <v>181</v>
      </c>
      <c r="AB435" s="30" t="s">
        <v>1667</v>
      </c>
      <c r="AC435" s="30" t="s">
        <v>56</v>
      </c>
      <c r="AD435" s="30" t="s">
        <v>1668</v>
      </c>
      <c r="AE435" s="30">
        <v>20557679392</v>
      </c>
      <c r="AF435" s="30" t="s">
        <v>1732</v>
      </c>
      <c r="AG435" s="30" t="s">
        <v>2662</v>
      </c>
      <c r="AH435" s="30" t="s">
        <v>185</v>
      </c>
      <c r="AI435" s="30" t="s">
        <v>1734</v>
      </c>
      <c r="AJ435" s="30" t="s">
        <v>1728</v>
      </c>
      <c r="AK435" s="30">
        <v>0</v>
      </c>
      <c r="AM435" t="s">
        <v>270</v>
      </c>
      <c r="AN435" s="30" t="s">
        <v>270</v>
      </c>
      <c r="AS435" s="30" t="s">
        <v>63</v>
      </c>
      <c r="AT435" s="30" t="s">
        <v>64</v>
      </c>
      <c r="AU435" s="50">
        <v>46285.583333333336</v>
      </c>
      <c r="AV435" s="50">
        <v>46285.621527777781</v>
      </c>
      <c r="AW435" s="50">
        <v>46285.625</v>
      </c>
      <c r="AX435" s="50">
        <v>46285.633333333331</v>
      </c>
      <c r="AY435" s="50">
        <v>46285.666666666664</v>
      </c>
      <c r="AZ435" s="50">
        <v>46285.675000000003</v>
      </c>
      <c r="BA435" s="51">
        <v>46286.390277777777</v>
      </c>
      <c r="BB435" s="51">
        <v>46286.416666666664</v>
      </c>
      <c r="BE435" s="51">
        <v>46286.482638888891</v>
      </c>
      <c r="BF435" s="51"/>
      <c r="BG435" s="51">
        <v>46286.527777777781</v>
      </c>
      <c r="BH435" s="51">
        <v>46286.543055555558</v>
      </c>
      <c r="BI435" s="30" t="s">
        <v>65</v>
      </c>
      <c r="BJ435" s="50">
        <v>46287.375</v>
      </c>
      <c r="BK435" s="50">
        <v>46287.347222222219</v>
      </c>
      <c r="BL435" s="50">
        <v>46287.371527777781</v>
      </c>
      <c r="BM435" s="50">
        <v>46287.372916666667</v>
      </c>
      <c r="BN435" s="50">
        <v>46287.376388888886</v>
      </c>
    </row>
    <row r="436" spans="1:66">
      <c r="A436" t="s">
        <v>168</v>
      </c>
      <c r="B436" s="30">
        <v>52</v>
      </c>
      <c r="C436" s="30">
        <v>38</v>
      </c>
      <c r="D436" s="30" t="s">
        <v>169</v>
      </c>
      <c r="E436" s="30" t="s">
        <v>2547</v>
      </c>
      <c r="F436" s="48">
        <v>46285</v>
      </c>
      <c r="G436" s="48">
        <v>46286</v>
      </c>
      <c r="H436" s="49">
        <v>0.45833333333333331</v>
      </c>
      <c r="I436" s="49">
        <v>0.375</v>
      </c>
      <c r="J436" s="30" t="s">
        <v>53</v>
      </c>
      <c r="K436" s="30" t="s">
        <v>171</v>
      </c>
      <c r="L436" s="30">
        <v>1</v>
      </c>
      <c r="M436" s="30" t="s">
        <v>2793</v>
      </c>
      <c r="P436" s="30" t="s">
        <v>174</v>
      </c>
      <c r="Q436" s="30" t="s">
        <v>363</v>
      </c>
      <c r="R436" s="30" t="s">
        <v>548</v>
      </c>
      <c r="S436" s="30" t="s">
        <v>623</v>
      </c>
      <c r="T436" s="30" t="s">
        <v>2794</v>
      </c>
      <c r="U436" s="30" t="s">
        <v>2795</v>
      </c>
      <c r="V436" s="30" t="s">
        <v>2796</v>
      </c>
      <c r="W436" s="30" t="s">
        <v>2796</v>
      </c>
      <c r="X436" s="30" t="s">
        <v>179</v>
      </c>
      <c r="Y436" t="s">
        <v>180</v>
      </c>
      <c r="Z436" s="30" t="s">
        <v>180</v>
      </c>
      <c r="AA436" s="30" t="s">
        <v>181</v>
      </c>
      <c r="AB436" s="30" t="s">
        <v>1667</v>
      </c>
      <c r="AC436" s="30" t="s">
        <v>56</v>
      </c>
      <c r="AD436" s="30" t="s">
        <v>1668</v>
      </c>
      <c r="AE436" s="30">
        <v>20557679392</v>
      </c>
      <c r="AF436" s="30" t="s">
        <v>1756</v>
      </c>
      <c r="AG436" s="30" t="s">
        <v>2573</v>
      </c>
      <c r="AH436" s="30" t="s">
        <v>185</v>
      </c>
      <c r="AI436" s="30" t="s">
        <v>1705</v>
      </c>
      <c r="AJ436" s="30" t="s">
        <v>1757</v>
      </c>
      <c r="AK436" s="30">
        <v>0</v>
      </c>
      <c r="AM436" t="s">
        <v>270</v>
      </c>
      <c r="AN436" s="30" t="s">
        <v>270</v>
      </c>
      <c r="AS436" s="30" t="s">
        <v>63</v>
      </c>
      <c r="AT436" s="30" t="s">
        <v>64</v>
      </c>
      <c r="AU436" s="50">
        <v>46285.333333333336</v>
      </c>
      <c r="AV436" s="50">
        <v>46285.370833333334</v>
      </c>
      <c r="AW436" s="50">
        <v>46285.376388888886</v>
      </c>
      <c r="AX436" s="50">
        <v>46285.4</v>
      </c>
      <c r="AY436" s="50">
        <v>46285.438888888886</v>
      </c>
      <c r="AZ436" s="50">
        <v>46285.470833333333</v>
      </c>
      <c r="BA436" s="51">
        <v>46286.393055555556</v>
      </c>
      <c r="BB436" s="51">
        <v>46286.416666666664</v>
      </c>
      <c r="BE436" s="51">
        <v>46286.5</v>
      </c>
      <c r="BF436" s="51"/>
      <c r="BG436" s="51">
        <v>46286.541666666664</v>
      </c>
      <c r="BH436" s="51">
        <v>46286.544444444444</v>
      </c>
      <c r="BI436" s="30" t="s">
        <v>65</v>
      </c>
      <c r="BJ436" s="50">
        <v>46287.375</v>
      </c>
      <c r="BK436" s="50">
        <v>46287.333333333336</v>
      </c>
      <c r="BL436" s="50">
        <v>46287.350694444445</v>
      </c>
      <c r="BM436" s="50">
        <v>46287.353472222225</v>
      </c>
      <c r="BN436" s="50">
        <v>46287.356944444444</v>
      </c>
    </row>
    <row r="437" spans="1:66">
      <c r="A437" t="s">
        <v>168</v>
      </c>
      <c r="B437" s="30">
        <v>53</v>
      </c>
      <c r="C437" s="30">
        <v>38</v>
      </c>
      <c r="D437" s="30" t="s">
        <v>169</v>
      </c>
      <c r="E437" s="30" t="s">
        <v>2547</v>
      </c>
      <c r="F437" s="48">
        <v>46287</v>
      </c>
      <c r="G437" s="48">
        <v>46288</v>
      </c>
      <c r="H437" s="49">
        <v>0.66666666666666663</v>
      </c>
      <c r="I437" s="49">
        <v>0.58333333333333337</v>
      </c>
      <c r="J437" s="30" t="s">
        <v>53</v>
      </c>
      <c r="K437" s="30" t="s">
        <v>171</v>
      </c>
      <c r="L437" s="30">
        <v>1</v>
      </c>
      <c r="M437" s="30" t="s">
        <v>2797</v>
      </c>
      <c r="P437" s="30" t="s">
        <v>174</v>
      </c>
      <c r="Q437" s="30" t="s">
        <v>2556</v>
      </c>
      <c r="R437" s="30" t="s">
        <v>1822</v>
      </c>
      <c r="S437" s="30" t="s">
        <v>391</v>
      </c>
      <c r="T437" s="30">
        <v>6468085340</v>
      </c>
      <c r="U437" s="30" t="s">
        <v>2798</v>
      </c>
      <c r="V437" s="30">
        <v>32994912</v>
      </c>
      <c r="W437" s="30">
        <v>32994912</v>
      </c>
      <c r="X437" s="30" t="s">
        <v>179</v>
      </c>
      <c r="Y437" t="s">
        <v>941</v>
      </c>
      <c r="Z437" s="30" t="s">
        <v>180</v>
      </c>
      <c r="AA437" s="30" t="s">
        <v>181</v>
      </c>
      <c r="AB437" s="30" t="s">
        <v>1667</v>
      </c>
      <c r="AC437" s="30" t="s">
        <v>56</v>
      </c>
      <c r="AD437" s="30" t="s">
        <v>1668</v>
      </c>
      <c r="AE437" s="30">
        <v>20557679392</v>
      </c>
      <c r="AF437" s="30" t="s">
        <v>2799</v>
      </c>
      <c r="AG437" s="30" t="s">
        <v>2800</v>
      </c>
      <c r="AH437" s="30" t="s">
        <v>185</v>
      </c>
      <c r="AI437" s="30" t="s">
        <v>2801</v>
      </c>
      <c r="AJ437" s="30" t="s">
        <v>2802</v>
      </c>
      <c r="AK437" s="30" t="s">
        <v>2803</v>
      </c>
      <c r="AM437" t="s">
        <v>270</v>
      </c>
      <c r="AN437" s="30" t="s">
        <v>270</v>
      </c>
      <c r="AS437" s="30" t="s">
        <v>63</v>
      </c>
      <c r="AT437" s="30" t="s">
        <v>240</v>
      </c>
      <c r="AU437" s="50">
        <v>46287.499305555553</v>
      </c>
      <c r="AV437" s="50">
        <v>46287.004861111112</v>
      </c>
      <c r="AW437" s="50">
        <v>46287.027777777781</v>
      </c>
      <c r="AX437" s="50">
        <v>46287.034722222219</v>
      </c>
      <c r="AY437" s="50">
        <v>46287.069444444445</v>
      </c>
      <c r="AZ437" s="50">
        <v>46287.069444444445</v>
      </c>
      <c r="BA437" s="51">
        <v>46287.570138888892</v>
      </c>
      <c r="BB437" s="51">
        <v>46287.604166666664</v>
      </c>
      <c r="BE437" s="51">
        <v>46287.672222222223</v>
      </c>
      <c r="BF437" s="51"/>
      <c r="BG437" s="51">
        <v>46287.775694444441</v>
      </c>
      <c r="BH437" s="51">
        <v>46287.777083333334</v>
      </c>
      <c r="BI437" s="30" t="s">
        <v>2804</v>
      </c>
      <c r="BJ437" s="50">
        <v>0</v>
      </c>
      <c r="BK437" s="50">
        <v>0</v>
      </c>
      <c r="BL437" s="50">
        <v>0</v>
      </c>
      <c r="BM437" s="50">
        <v>0</v>
      </c>
      <c r="BN437" s="50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D9DC-5D71-48F1-921A-D7AA7252CF65}">
  <dimension ref="A1:BE1099"/>
  <sheetViews>
    <sheetView tabSelected="1" topLeftCell="A88" zoomScale="90" zoomScaleNormal="90" workbookViewId="0">
      <selection activeCell="D42" sqref="D42:D437"/>
    </sheetView>
  </sheetViews>
  <sheetFormatPr baseColWidth="10" defaultRowHeight="14.5"/>
  <cols>
    <col min="1" max="5" width="10.90625" style="61"/>
    <col min="6" max="6" width="12.08984375" style="61" customWidth="1"/>
    <col min="7" max="7" width="10.81640625" style="61" bestFit="1" customWidth="1"/>
    <col min="8" max="8" width="21.36328125" style="61" customWidth="1"/>
    <col min="9" max="9" width="10.90625" style="61" customWidth="1"/>
    <col min="10" max="10" width="11.453125" style="61" customWidth="1"/>
    <col min="11" max="11" width="12.08984375" style="61" customWidth="1"/>
    <col min="12" max="12" width="28.6328125" style="62" customWidth="1"/>
    <col min="13" max="13" width="10.90625" style="61" customWidth="1"/>
    <col min="14" max="14" width="20.1796875" style="61" customWidth="1"/>
    <col min="15" max="15" width="11.1796875" style="63" customWidth="1"/>
    <col min="16" max="16" width="11.54296875" style="61" customWidth="1"/>
    <col min="17" max="17" width="11.453125" style="61" customWidth="1"/>
    <col min="18" max="18" width="12.81640625" style="61" customWidth="1"/>
    <col min="19" max="19" width="11.6328125" style="64" customWidth="1"/>
    <col min="20" max="20" width="19.81640625" style="64" customWidth="1"/>
    <col min="21" max="21" width="20.54296875" style="64" customWidth="1"/>
    <col min="22" max="23" width="21.453125" style="64" customWidth="1"/>
    <col min="24" max="24" width="12.1796875" style="64" customWidth="1"/>
    <col min="25" max="25" width="24.1796875" style="64" customWidth="1"/>
    <col min="26" max="26" width="15.453125" style="64" customWidth="1"/>
    <col min="27" max="27" width="16.81640625" style="64" customWidth="1"/>
    <col min="28" max="28" width="14.08984375" style="64" customWidth="1"/>
    <col min="29" max="29" width="13.1796875" style="64" customWidth="1"/>
    <col min="30" max="30" width="11.6328125" style="64" customWidth="1"/>
    <col min="31" max="31" width="13.08984375" style="64" customWidth="1"/>
    <col min="32" max="32" width="13.08984375" style="61" customWidth="1"/>
    <col min="33" max="33" width="16.54296875" style="61" customWidth="1"/>
    <col min="34" max="34" width="13.1796875" style="64" customWidth="1"/>
    <col min="35" max="35" width="22.453125" style="64" customWidth="1"/>
    <col min="36" max="36" width="22.1796875" style="64" customWidth="1"/>
    <col min="37" max="37" width="23.08984375" style="64" customWidth="1"/>
    <col min="38" max="38" width="21.1796875" style="64" customWidth="1"/>
    <col min="39" max="39" width="8.1796875" style="61" bestFit="1" customWidth="1"/>
    <col min="40" max="40" width="26.81640625" style="61" customWidth="1"/>
    <col min="41" max="41" width="23.453125" style="61" customWidth="1"/>
    <col min="42" max="42" width="18.36328125" style="61" customWidth="1"/>
    <col min="43" max="43" width="14.90625" style="61" customWidth="1"/>
    <col min="44" max="44" width="26.36328125" style="61" customWidth="1"/>
    <col min="45" max="45" width="17.1796875" style="61" customWidth="1"/>
    <col min="46" max="46" width="18.453125" style="61" customWidth="1"/>
    <col min="47" max="47" width="19.6328125" style="61" bestFit="1" customWidth="1"/>
    <col min="48" max="48" width="10.90625" style="61"/>
    <col min="49" max="49" width="13.1796875" style="61" customWidth="1"/>
    <col min="50" max="50" width="15.1796875" style="61" customWidth="1"/>
    <col min="51" max="51" width="22.1796875" style="61" customWidth="1"/>
    <col min="52" max="52" width="25.6328125" style="61" customWidth="1"/>
    <col min="53" max="53" width="14.08984375" style="61" customWidth="1"/>
    <col min="54" max="55" width="10.90625" style="61"/>
    <col min="56" max="56" width="15.81640625" style="61" customWidth="1"/>
    <col min="57" max="57" width="14.36328125" style="61" customWidth="1"/>
    <col min="58" max="16384" width="10.90625" style="61"/>
  </cols>
  <sheetData>
    <row r="1" spans="1:57" s="67" customFormat="1" ht="30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45" t="s">
        <v>1810</v>
      </c>
      <c r="P1" s="13" t="s">
        <v>1811</v>
      </c>
      <c r="Q1" s="13" t="s">
        <v>14</v>
      </c>
      <c r="R1" s="13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4" t="s">
        <v>20</v>
      </c>
      <c r="X1" s="14" t="s">
        <v>21</v>
      </c>
      <c r="Y1" s="14" t="s">
        <v>22</v>
      </c>
      <c r="Z1" s="14" t="s">
        <v>23</v>
      </c>
      <c r="AA1" s="14" t="s">
        <v>24</v>
      </c>
      <c r="AB1" s="14" t="s">
        <v>25</v>
      </c>
      <c r="AC1" s="14" t="s">
        <v>26</v>
      </c>
      <c r="AD1" s="14" t="s">
        <v>27</v>
      </c>
      <c r="AE1" s="14" t="s">
        <v>28</v>
      </c>
      <c r="AF1" s="13" t="s">
        <v>29</v>
      </c>
      <c r="AG1" s="13" t="s">
        <v>30</v>
      </c>
      <c r="AH1" s="14" t="s">
        <v>31</v>
      </c>
      <c r="AI1" s="14" t="s">
        <v>32</v>
      </c>
      <c r="AJ1" s="14" t="s">
        <v>33</v>
      </c>
      <c r="AK1" s="14" t="s">
        <v>34</v>
      </c>
      <c r="AL1" s="14" t="s">
        <v>35</v>
      </c>
      <c r="AM1" s="13" t="s">
        <v>36</v>
      </c>
      <c r="AN1" s="15" t="s">
        <v>37</v>
      </c>
      <c r="AO1" s="15" t="s">
        <v>38</v>
      </c>
      <c r="AP1" s="15" t="s">
        <v>39</v>
      </c>
      <c r="AQ1" s="65" t="s">
        <v>40</v>
      </c>
      <c r="AR1" s="66" t="s">
        <v>41</v>
      </c>
      <c r="AS1" s="66" t="s">
        <v>42</v>
      </c>
      <c r="AT1" s="66" t="s">
        <v>43</v>
      </c>
      <c r="AU1" s="66" t="s">
        <v>44</v>
      </c>
      <c r="AV1" s="66" t="s">
        <v>45</v>
      </c>
      <c r="AW1" s="66" t="s">
        <v>46</v>
      </c>
      <c r="AX1" s="16" t="s">
        <v>47</v>
      </c>
      <c r="AY1" s="16" t="s">
        <v>48</v>
      </c>
      <c r="AZ1" s="17" t="s">
        <v>49</v>
      </c>
      <c r="BA1" s="13" t="s">
        <v>1812</v>
      </c>
      <c r="BB1" s="13" t="s">
        <v>128</v>
      </c>
      <c r="BC1" s="13" t="s">
        <v>50</v>
      </c>
      <c r="BD1" s="18" t="s">
        <v>51</v>
      </c>
      <c r="BE1" s="19" t="s">
        <v>52</v>
      </c>
    </row>
    <row r="2" spans="1:57" customFormat="1" hidden="1">
      <c r="A2" s="1"/>
      <c r="B2" s="1">
        <f>IFERROR(IF(MARÍTIMOS[[#This Row],[PP]]="","",MARÍTIMOS[[#This Row],[PP]]),"")</f>
        <v>28</v>
      </c>
      <c r="C2" s="1" t="str">
        <f>IFERROR(IF(MARÍTIMOS[[#This Row],[Sede]]="","",MARÍTIMOS[[#This Row],[Sede]]),"")</f>
        <v>Chao</v>
      </c>
      <c r="D2" s="1" t="str">
        <f>IFERROR(IF(MARÍTIMOS[[#This Row],[Instruction]]="","",MARÍTIMOS[[#This Row],[Instruction]]),"")</f>
        <v>RH-0161</v>
      </c>
      <c r="E2" s="1"/>
      <c r="F2" s="2" t="str">
        <f>IFERROR(IF(MARÍTIMOS[[#This Row],[Transportista]]="","",MARÍTIMOS[[#This Row],[Transportista]]),"")</f>
        <v>Cititrans</v>
      </c>
      <c r="G2" s="2" t="str">
        <f>IFERROR(IF(MARÍTIMOS[[#This Row],[Tercero]]="","",MARÍTIMOS[[#This Row],[Tercero]]),"")</f>
        <v>NO</v>
      </c>
      <c r="H2" s="2" t="str">
        <f>IFERROR(IF(MARÍTIMOS[[#This Row],[Razón Social]]="","",MARÍTIMOS[[#This Row],[Razón Social]]),"")</f>
        <v>CITITRANS</v>
      </c>
      <c r="I2" s="2">
        <f>IFERROR(IF(MARÍTIMOS[[#This Row],[RUC]]="","",MARÍTIMOS[[#This Row],[RUC]]),"")</f>
        <v>20609553376</v>
      </c>
      <c r="J2" s="2" t="str">
        <f>IFERROR(IF(MARÍTIMOS[[#This Row],[Placa Tracto]]="","",MARÍTIMOS[[#This Row],[Placa Tracto]]),"")</f>
        <v>CHF-936</v>
      </c>
      <c r="K2" s="2" t="str">
        <f>IFERROR(IF(MARÍTIMOS[[#This Row],[Placa Carreta]]="","",MARÍTIMOS[[#This Row],[Placa Carreta]]),"")</f>
        <v>BUR-993</v>
      </c>
      <c r="L2" s="44" t="str">
        <f>IFERROR(IF(MARÍTIMOS[[#This Row],[Conductor]]="","",MARÍTIMOS[[#This Row],[Conductor]]),"")</f>
        <v>RIVERA GOMERO EDUARDO DE JESUS</v>
      </c>
      <c r="M2" s="2" t="str">
        <f>IFERROR(IF(MARÍTIMOS[[#This Row],[Licencia]]="","",MARÍTIMOS[[#This Row],[Licencia]]),"")</f>
        <v>Q70059354</v>
      </c>
      <c r="N2" s="2" t="str">
        <f>IFERROR(IF(MARÍTIMOS[[#This Row],[Número de Contacto]]="","",MARÍTIMOS[[#This Row],[Número de Contacto]]),"")</f>
        <v>979 248 054</v>
      </c>
      <c r="O2" s="10">
        <f>IFERROR(IF(MARÍTIMOS[[#This Row],[Booking|AWB|CRT]]="","",MARÍTIMOS[[#This Row],[Booking|AWB|CRT]]),"")</f>
        <v>751600038530</v>
      </c>
      <c r="P2" s="2" t="str">
        <f>IFERROR(IF(MARÍTIMOS[[#This Row],[Contenedor]]="","",MARÍTIMOS[[#This Row],[Contenedor]]),"")</f>
        <v>EGSU5078055</v>
      </c>
      <c r="Q2" s="2" t="str">
        <f>IFERROR(IF(MARÍTIMOS[[#This Row],[Puerto de Retiro]]="","",MARÍTIMOS[[#This Row],[Puerto de Retiro]]),"")</f>
        <v>CALLAO</v>
      </c>
      <c r="R2" s="2" t="str">
        <f>IFERROR(IF(MARÍTIMOS[[#This Row],[Almacén de Retiro]]="","",MARÍTIMOS[[#This Row],[Almacén de Retiro]]),"")</f>
        <v>DPW</v>
      </c>
      <c r="S2" s="11">
        <f>IFERROR(IF(MARÍTIMOS[[#This Row],[Etapa Retiro - Cita]]="","",MARÍTIMOS[[#This Row],[Etapa Retiro - Cita]]),"")</f>
        <v>46212.541666666664</v>
      </c>
      <c r="T2" s="11">
        <f>IFERROR(IF(MARÍTIMOS[[#This Row],[Etapa Retiro - Llegada]]="","",MARÍTIMOS[[#This Row],[Etapa Retiro - Llegada]]),"")</f>
        <v>46212.547222222223</v>
      </c>
      <c r="U2" s="11">
        <f>IFERROR(IF(MARÍTIMOS[[#This Row],[Etapa Retiro - Ingreso]]="","",MARÍTIMOS[[#This Row],[Etapa Retiro - Ingreso]]),"")</f>
        <v>46212.59097222222</v>
      </c>
      <c r="V2" s="11">
        <f>IFERROR(IF(MARÍTIMOS[[#This Row],[Etapa Retiro - Atención]]="","",MARÍTIMOS[[#This Row],[Etapa Retiro - Atención]]),"")</f>
        <v>46212.621527777781</v>
      </c>
      <c r="W2" s="11">
        <f>IFERROR(IF(MARÍTIMOS[[#This Row],[Etapa Retiro - Atención]]="","",MARÍTIMOS[[#This Row],[Etapa Retiro - Atención]]),"")</f>
        <v>46212.621527777781</v>
      </c>
      <c r="X2" s="11">
        <f>IFERROR(IF(MARÍTIMOS[[#This Row],[Etapa Retiro - Inicio de Ruta]]="","",MARÍTIMOS[[#This Row],[Etapa Retiro - Inicio de Ruta]]),"")</f>
        <v>46212.650694444441</v>
      </c>
      <c r="Y2" s="11">
        <f>IFERROR(IF(MARÍTIMOS[[#This Row],[Hora de Posicionamiento]]="","",MARÍTIMOS[[#This Row],[Fecha de Carga]]+MARÍTIMOS[[#This Row],[Hora de Posicionamiento]]),"")</f>
        <v>46213.333333333336</v>
      </c>
      <c r="Z2" s="11">
        <f>IFERROR(IF(MARÍTIMOS[[#This Row],[Etapa Despacho - Llegada]]="","",MARÍTIMOS[[#This Row],[Etapa Despacho - Llegada]]),"")</f>
        <v>46213.32708333333</v>
      </c>
      <c r="AA2" s="11">
        <f>IFERROR(IF(MARÍTIMOS[[#This Row],[Etapa Despacho - Registro]]="","",MARÍTIMOS[[#This Row],[Etapa Despacho - Registro]]),"")</f>
        <v>46213.330555555556</v>
      </c>
      <c r="AB2" s="11">
        <f>IFERROR(IF(MARÍTIMOS[[#This Row],[Inspección Externa]]="","",MARÍTIMOS[[#This Row],[Inspección Externa]]),"")</f>
        <v>46213.361111111109</v>
      </c>
      <c r="AC2" s="11">
        <f>IFERROR(IF(MARÍTIMOS[[#This Row],[Etapa Despacho - Inicio de Carga]]="","",MARÍTIMOS[[#This Row],[Etapa Despacho - Inicio de Carga]]),"")</f>
        <v>46213.602777777778</v>
      </c>
      <c r="AD2" s="11">
        <f>IFERROR(IF(MARÍTIMOS[[#This Row],[Etapa Despacho - Mitad de Carga]]="","",MARÍTIMOS[[#This Row],[Etapa Despacho - Mitad de Carga]]),"")</f>
        <v>46213.612500000003</v>
      </c>
      <c r="AE2" s="11">
        <f>IFERROR(IF(MARÍTIMOS[[#This Row],[Etapa Despacho - Fin de Carga]]="","",MARÍTIMOS[[#This Row],[Etapa Despacho - Fin de Carga]]),"")</f>
        <v>46213.708333333336</v>
      </c>
      <c r="AF2" s="2" t="str">
        <f>IFERROR(IF(MARÍTIMOS[[#This Row],[Puerto de Embarque]]="","",MARÍTIMOS[[#This Row],[Puerto de Embarque]]),"")</f>
        <v>CALLAO</v>
      </c>
      <c r="AG2" s="2" t="str">
        <f>IFERROR(IF(MARÍTIMOS[[#This Row],[Almacén de Ingreso]]="","",MARÍTIMOS[[#This Row],[Almacén de Ingreso]]),"")</f>
        <v>DPW</v>
      </c>
      <c r="AH2" s="11">
        <f>IFERROR(IF(MARÍTIMOS[[#This Row],[Etapa Ingreso - Cita]]="","",MARÍTIMOS[[#This Row],[Etapa Ingreso - Cita]]),"")</f>
        <v>46214.5</v>
      </c>
      <c r="AI2" s="11">
        <f>IFERROR(IF(MARÍTIMOS[[#This Row],[Etapa Ingreso - Llegada]]="","",MARÍTIMOS[[#This Row],[Etapa Ingreso - Llegada]]),"")</f>
        <v>46214.333333333336</v>
      </c>
      <c r="AJ2" s="11">
        <f>IFERROR(IF(MARÍTIMOS[[#This Row],[Etapa Ingreso - Ingeso]]="","",MARÍTIMOS[[#This Row],[Etapa Ingreso - Ingeso]]),"")</f>
        <v>46214.374305555553</v>
      </c>
      <c r="AK2" s="11">
        <f>IFERROR(IF(MARÍTIMOS[[#This Row],[Etapa Ingreso - Atención]]="","",MARÍTIMOS[[#This Row],[Etapa Ingreso - Atención]]),"")</f>
        <v>46214.378472222219</v>
      </c>
      <c r="AL2" s="11">
        <f>IFERROR(IF(MARÍTIMOS[[#This Row],[Etapa Ingreso - Salida]]="","",MARÍTIMOS[[#This Row],[Etapa Ingreso - Salida]]),"")</f>
        <v>46214.386111111111</v>
      </c>
      <c r="AM2" s="2">
        <f>IFERROR(IF(MARÍTIMOS[[#This Row],[FCL]]="","",MARÍTIMOS[[#This Row],[FCL]]),"")</f>
        <v>1</v>
      </c>
      <c r="AN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" s="4" t="str" cm="1">
        <f t="array" ref="AO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" s="5">
        <f>IFERROR(OLDBD[[#This Row],[Llegada a packing]]-OLDBD[[#This Row],[Inicio de Ruta]],"")</f>
        <v>0.67638888888905058</v>
      </c>
      <c r="AQ2" s="6">
        <f>IFERROR(OLDBD[[#This Row],[Inicio de Ruta]]-OLDBD[[#This Row],[Salida de almacén de retiro]],"")</f>
        <v>2.9166666659875773E-2</v>
      </c>
      <c r="AR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" s="8" t="str" cm="1">
        <f t="array" ref="AS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" s="9">
        <f>IFERROR(OLDBD[[#This Row],[Ingreso Packing]]-OLDBD[[#This Row],[Registro en Packing]],"")</f>
        <v>3.0555555553291924E-2</v>
      </c>
      <c r="AV2" s="9">
        <f>IFERROR(OLDBD[[#This Row],[Ingreso Packing]]-OLDBD[[#This Row],[Llegada a packing]],"")</f>
        <v>3.4027777779556345E-2</v>
      </c>
      <c r="AW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" s="5">
        <f>IFERROR(OLDBD[[#This Row],[Llegada Almacén de Ingreso]]-OLDBD[[#This Row],[Salida Packing]],"")</f>
        <v>0.625</v>
      </c>
      <c r="AY2" s="4" t="str" cm="1">
        <f t="array" ref="AY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" s="2" t="s">
        <v>173</v>
      </c>
      <c r="BB2" s="11" t="str">
        <f>IFERROR(IF(MARÍTIMOS[[#This Row],[Estatus]]="","",MARÍTIMOS[[#This Row],[Estatus]]),"")</f>
        <v>Confirmado</v>
      </c>
      <c r="BC2" s="2"/>
      <c r="BD2" s="46">
        <f>IFERROR(OLDBD[[#This Row],[Salida de almacén de retiro]]-OLDBD[[#This Row],[Ingreso Almacén de retiro]],"")</f>
        <v>3.0555555560567882E-2</v>
      </c>
      <c r="BE2" s="46">
        <f>IFERROR(OLDBD[[#This Row],[Fin de Carga]]-OLDBD[[#This Row],[Inicio de Carga]],"")</f>
        <v>9.7222222248092294E-3</v>
      </c>
    </row>
    <row r="3" spans="1:57" customFormat="1" hidden="1">
      <c r="A3" s="1"/>
      <c r="B3" s="1">
        <f>IFERROR(IF(MARÍTIMOS[[#This Row],[PP]]="","",MARÍTIMOS[[#This Row],[PP]]),"")</f>
        <v>28</v>
      </c>
      <c r="C3" s="1" t="str">
        <f>IFERROR(IF(MARÍTIMOS[[#This Row],[Sede]]="","",MARÍTIMOS[[#This Row],[Sede]]),"")</f>
        <v>Chao</v>
      </c>
      <c r="D3" s="1" t="str">
        <f>IFERROR(IF(MARÍTIMOS[[#This Row],[Instruction]]="","",MARÍTIMOS[[#This Row],[Instruction]]),"")</f>
        <v>RH-0148</v>
      </c>
      <c r="E3" s="1"/>
      <c r="F3" s="2" t="str">
        <f>IFERROR(IF(MARÍTIMOS[[#This Row],[Transportista]]="","",MARÍTIMOS[[#This Row],[Transportista]]),"")</f>
        <v>Cititrans</v>
      </c>
      <c r="G3" s="2" t="str">
        <f>IFERROR(IF(MARÍTIMOS[[#This Row],[Tercero]]="","",MARÍTIMOS[[#This Row],[Tercero]]),"")</f>
        <v>NO</v>
      </c>
      <c r="H3" s="2" t="str">
        <f>IFERROR(IF(MARÍTIMOS[[#This Row],[Razón Social]]="","",MARÍTIMOS[[#This Row],[Razón Social]]),"")</f>
        <v>CITITRANS</v>
      </c>
      <c r="I3" s="2">
        <f>IFERROR(IF(MARÍTIMOS[[#This Row],[RUC]]="","",MARÍTIMOS[[#This Row],[RUC]]),"")</f>
        <v>20609553376</v>
      </c>
      <c r="J3" s="2" t="str">
        <f>IFERROR(IF(MARÍTIMOS[[#This Row],[Placa Tracto]]="","",MARÍTIMOS[[#This Row],[Placa Tracto]]),"")</f>
        <v>CHG-726</v>
      </c>
      <c r="K3" s="2" t="str">
        <f>IFERROR(IF(MARÍTIMOS[[#This Row],[Placa Carreta]]="","",MARÍTIMOS[[#This Row],[Placa Carreta]]),"")</f>
        <v>BUO-988</v>
      </c>
      <c r="L3" s="44" t="str">
        <f>IFERROR(IF(MARÍTIMOS[[#This Row],[Conductor]]="","",MARÍTIMOS[[#This Row],[Conductor]]),"")</f>
        <v>JHONATAN BANDREZ</v>
      </c>
      <c r="M3" s="2" t="str">
        <f>IFERROR(IF(MARÍTIMOS[[#This Row],[Licencia]]="","",MARÍTIMOS[[#This Row],[Licencia]]),"")</f>
        <v>Q002665394</v>
      </c>
      <c r="N3" s="2" t="str">
        <f>IFERROR(IF(MARÍTIMOS[[#This Row],[Número de Contacto]]="","",MARÍTIMOS[[#This Row],[Número de Contacto]]),"")</f>
        <v>952 308 375</v>
      </c>
      <c r="O3" s="10" t="str">
        <f>IFERROR(IF(MARÍTIMOS[[#This Row],[Booking|AWB|CRT]]="","",MARÍTIMOS[[#This Row],[Booking|AWB|CRT]]),"")</f>
        <v>751600038408</v>
      </c>
      <c r="P3" s="2" t="str">
        <f>IFERROR(IF(MARÍTIMOS[[#This Row],[Contenedor]]="","",MARÍTIMOS[[#This Row],[Contenedor]]),"")</f>
        <v>EMCU5518601</v>
      </c>
      <c r="Q3" s="2" t="str">
        <f>IFERROR(IF(MARÍTIMOS[[#This Row],[Puerto de Retiro]]="","",MARÍTIMOS[[#This Row],[Puerto de Retiro]]),"")</f>
        <v>CALLAO</v>
      </c>
      <c r="R3" s="2" t="str">
        <f>IFERROR(IF(MARÍTIMOS[[#This Row],[Almacén de Retiro]]="","",MARÍTIMOS[[#This Row],[Almacén de Retiro]]),"")</f>
        <v>DPW</v>
      </c>
      <c r="S3" s="11">
        <f>IFERROR(IF(MARÍTIMOS[[#This Row],[Etapa Retiro - Cita]]="","",MARÍTIMOS[[#This Row],[Etapa Retiro - Cita]]),"")</f>
        <v>46214.541666666664</v>
      </c>
      <c r="T3" s="11">
        <f>IFERROR(IF(MARÍTIMOS[[#This Row],[Etapa Retiro - Llegada]]="","",MARÍTIMOS[[#This Row],[Etapa Retiro - Llegada]]),"")</f>
        <v>46214.59097222222</v>
      </c>
      <c r="U3" s="11">
        <f>IFERROR(IF(MARÍTIMOS[[#This Row],[Etapa Retiro - Ingreso]]="","",MARÍTIMOS[[#This Row],[Etapa Retiro - Ingreso]]),"")</f>
        <v>46214.613194444442</v>
      </c>
      <c r="V3" s="11">
        <f>IFERROR(IF(MARÍTIMOS[[#This Row],[Etapa Retiro - Atención]]="","",MARÍTIMOS[[#This Row],[Etapa Retiro - Atención]]),"")</f>
        <v>46214.635416666664</v>
      </c>
      <c r="W3" s="11">
        <f>IFERROR(IF(MARÍTIMOS[[#This Row],[Etapa Retiro - Atención]]="","",MARÍTIMOS[[#This Row],[Etapa Retiro - Atención]]),"")</f>
        <v>46214.635416666664</v>
      </c>
      <c r="X3" s="11">
        <f>IFERROR(IF(MARÍTIMOS[[#This Row],[Etapa Retiro - Inicio de Ruta]]="","",MARÍTIMOS[[#This Row],[Etapa Retiro - Inicio de Ruta]]),"")</f>
        <v>46214.690972222219</v>
      </c>
      <c r="Y3" s="11">
        <f>IFERROR(IF(MARÍTIMOS[[#This Row],[Hora de Posicionamiento]]="","",MARÍTIMOS[[#This Row],[Fecha de Carga]]+MARÍTIMOS[[#This Row],[Hora de Posicionamiento]]),"")</f>
        <v>46215.5</v>
      </c>
      <c r="Z3" s="11">
        <f>IFERROR(IF(MARÍTIMOS[[#This Row],[Etapa Despacho - Llegada]]="","",MARÍTIMOS[[#This Row],[Etapa Despacho - Llegada]]),"")</f>
        <v>46215.4375</v>
      </c>
      <c r="AA3" s="11">
        <f>IFERROR(IF(MARÍTIMOS[[#This Row],[Etapa Despacho - Registro]]="","",MARÍTIMOS[[#This Row],[Etapa Despacho - Registro]]),"")</f>
        <v>46215.444444444445</v>
      </c>
      <c r="AB3" s="11">
        <f>IFERROR(IF(MARÍTIMOS[[#This Row],[Inspección Externa]]="","",MARÍTIMOS[[#This Row],[Inspección Externa]]),"")</f>
        <v>46215.447916666664</v>
      </c>
      <c r="AC3" s="11">
        <f>IFERROR(IF(MARÍTIMOS[[#This Row],[Etapa Despacho - Inicio de Carga]]="","",MARÍTIMOS[[#This Row],[Etapa Despacho - Inicio de Carga]]),"")</f>
        <v>46215.719444444447</v>
      </c>
      <c r="AD3" s="11">
        <f>IFERROR(IF(MARÍTIMOS[[#This Row],[Etapa Despacho - Mitad de Carga]]="","",MARÍTIMOS[[#This Row],[Etapa Despacho - Mitad de Carga]]),"")</f>
        <v>46215.726388888892</v>
      </c>
      <c r="AE3" s="11">
        <f>IFERROR(IF(MARÍTIMOS[[#This Row],[Etapa Despacho - Fin de Carga]]="","",MARÍTIMOS[[#This Row],[Etapa Despacho - Fin de Carga]]),"")</f>
        <v>46215.775000000001</v>
      </c>
      <c r="AF3" s="2" t="str">
        <f>IFERROR(IF(MARÍTIMOS[[#This Row],[Puerto de Embarque]]="","",MARÍTIMOS[[#This Row],[Puerto de Embarque]]),"")</f>
        <v>CALLAO</v>
      </c>
      <c r="AG3" s="2" t="str">
        <f>IFERROR(IF(MARÍTIMOS[[#This Row],[Almacén de Ingreso]]="","",MARÍTIMOS[[#This Row],[Almacén de Ingreso]]),"")</f>
        <v>DPW</v>
      </c>
      <c r="AH3" s="11">
        <f>IFERROR(IF(MARÍTIMOS[[#This Row],[Etapa Ingreso - Cita]]="","",MARÍTIMOS[[#This Row],[Etapa Ingreso - Cita]]),"")</f>
        <v>46216.5</v>
      </c>
      <c r="AI3" s="11">
        <f>IFERROR(IF(MARÍTIMOS[[#This Row],[Etapa Ingreso - Llegada]]="","",MARÍTIMOS[[#This Row],[Etapa Ingreso - Llegada]]),"")</f>
        <v>46216.291666666664</v>
      </c>
      <c r="AJ3" s="11">
        <f>IFERROR(IF(MARÍTIMOS[[#This Row],[Etapa Ingreso - Ingeso]]="","",MARÍTIMOS[[#This Row],[Etapa Ingreso - Ingeso]]),"")</f>
        <v>46216.327777777777</v>
      </c>
      <c r="AK3" s="11">
        <f>IFERROR(IF(MARÍTIMOS[[#This Row],[Etapa Ingreso - Atención]]="","",MARÍTIMOS[[#This Row],[Etapa Ingreso - Atención]]),"")</f>
        <v>46216.331250000003</v>
      </c>
      <c r="AL3" s="11">
        <f>IFERROR(IF(MARÍTIMOS[[#This Row],[Etapa Ingreso - Salida]]="","",MARÍTIMOS[[#This Row],[Etapa Ingreso - Salida]]),"")</f>
        <v>46216.336805555555</v>
      </c>
      <c r="AM3" s="2">
        <f>IFERROR(IF(MARÍTIMOS[[#This Row],[FCL]]="","",MARÍTIMOS[[#This Row],[FCL]]),"")</f>
        <v>1</v>
      </c>
      <c r="AN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" s="4" t="str" cm="1">
        <f t="array" ref="AO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" s="5">
        <f>IFERROR(OLDBD[[#This Row],[Llegada a packing]]-OLDBD[[#This Row],[Inicio de Ruta]],"")</f>
        <v>0.74652777778101154</v>
      </c>
      <c r="AQ3" s="6">
        <f>IFERROR(OLDBD[[#This Row],[Inicio de Ruta]]-OLDBD[[#This Row],[Salida de almacén de retiro]],"")</f>
        <v>5.5555555554747116E-2</v>
      </c>
      <c r="AR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" s="8" t="str" cm="1">
        <f t="array" ref="AS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" s="9">
        <f>IFERROR(OLDBD[[#This Row],[Ingreso Packing]]-OLDBD[[#This Row],[Registro en Packing]],"")</f>
        <v>3.4722222189884633E-3</v>
      </c>
      <c r="AV3" s="9">
        <f>IFERROR(OLDBD[[#This Row],[Ingreso Packing]]-OLDBD[[#This Row],[Llegada a packing]],"")</f>
        <v>1.0416666664241347E-2</v>
      </c>
      <c r="AW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3" s="5">
        <f>IFERROR(OLDBD[[#This Row],[Llegada Almacén de Ingreso]]-OLDBD[[#This Row],[Salida Packing]],"")</f>
        <v>0.51666666666278616</v>
      </c>
      <c r="AY3" s="4" t="str" cm="1">
        <f t="array" ref="AY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" s="2" t="s">
        <v>173</v>
      </c>
      <c r="BB3" s="11" t="str">
        <f>IFERROR(IF(MARÍTIMOS[[#This Row],[Estatus]]="","",MARÍTIMOS[[#This Row],[Estatus]]),"")</f>
        <v>Confirmado</v>
      </c>
      <c r="BC3" s="2"/>
      <c r="BD3" s="46">
        <f>IFERROR(OLDBD[[#This Row],[Salida de almacén de retiro]]-OLDBD[[#This Row],[Ingreso Almacén de retiro]],"")</f>
        <v>2.2222222221898846E-2</v>
      </c>
      <c r="BE3" s="46">
        <f>IFERROR(OLDBD[[#This Row],[Fin de Carga]]-OLDBD[[#This Row],[Inicio de Carga]],"")</f>
        <v>6.9444444452528842E-3</v>
      </c>
    </row>
    <row r="4" spans="1:57" customFormat="1" hidden="1">
      <c r="A4" s="1"/>
      <c r="B4" s="1">
        <f>IFERROR(IF(MARÍTIMOS[[#This Row],[PP]]="","",MARÍTIMOS[[#This Row],[PP]]),"")</f>
        <v>28</v>
      </c>
      <c r="C4" s="1" t="str">
        <f>IFERROR(IF(MARÍTIMOS[[#This Row],[Sede]]="","",MARÍTIMOS[[#This Row],[Sede]]),"")</f>
        <v>Chao</v>
      </c>
      <c r="D4" s="1" t="str">
        <f>IFERROR(IF(MARÍTIMOS[[#This Row],[Instruction]]="","",MARÍTIMOS[[#This Row],[Instruction]]),"")</f>
        <v>RH-0147</v>
      </c>
      <c r="E4" s="1"/>
      <c r="F4" s="2" t="str">
        <f>IFERROR(IF(MARÍTIMOS[[#This Row],[Transportista]]="","",MARÍTIMOS[[#This Row],[Transportista]]),"")</f>
        <v>Cititrans</v>
      </c>
      <c r="G4" s="2" t="str">
        <f>IFERROR(IF(MARÍTIMOS[[#This Row],[Tercero]]="","",MARÍTIMOS[[#This Row],[Tercero]]),"")</f>
        <v>NO</v>
      </c>
      <c r="H4" s="2" t="str">
        <f>IFERROR(IF(MARÍTIMOS[[#This Row],[Razón Social]]="","",MARÍTIMOS[[#This Row],[Razón Social]]),"")</f>
        <v>CITITRANS</v>
      </c>
      <c r="I4" s="2">
        <f>IFERROR(IF(MARÍTIMOS[[#This Row],[RUC]]="","",MARÍTIMOS[[#This Row],[RUC]]),"")</f>
        <v>20609553376</v>
      </c>
      <c r="J4" s="2" t="str">
        <f>IFERROR(IF(MARÍTIMOS[[#This Row],[Placa Tracto]]="","",MARÍTIMOS[[#This Row],[Placa Tracto]]),"")</f>
        <v>BUP-825</v>
      </c>
      <c r="K4" s="2" t="str">
        <f>IFERROR(IF(MARÍTIMOS[[#This Row],[Placa Carreta]]="","",MARÍTIMOS[[#This Row],[Placa Carreta]]),"")</f>
        <v>BFD-973</v>
      </c>
      <c r="L4" s="44" t="str">
        <f>IFERROR(IF(MARÍTIMOS[[#This Row],[Conductor]]="","",MARÍTIMOS[[#This Row],[Conductor]]),"")</f>
        <v>DASAET  SANCHEZ</v>
      </c>
      <c r="M4" s="2" t="str">
        <f>IFERROR(IF(MARÍTIMOS[[#This Row],[Licencia]]="","",MARÍTIMOS[[#This Row],[Licencia]]),"")</f>
        <v>Q003859023</v>
      </c>
      <c r="N4" s="2" t="str">
        <f>IFERROR(IF(MARÍTIMOS[[#This Row],[Número de Contacto]]="","",MARÍTIMOS[[#This Row],[Número de Contacto]]),"")</f>
        <v>959 810 609</v>
      </c>
      <c r="O4" s="10" t="str">
        <f>IFERROR(IF(MARÍTIMOS[[#This Row],[Booking|AWB|CRT]]="","",MARÍTIMOS[[#This Row],[Booking|AWB|CRT]]),"")</f>
        <v>751600038394</v>
      </c>
      <c r="P4" s="2" t="str">
        <f>IFERROR(IF(MARÍTIMOS[[#This Row],[Contenedor]]="","",MARÍTIMOS[[#This Row],[Contenedor]]),"")</f>
        <v>EMCU5906248</v>
      </c>
      <c r="Q4" s="2" t="str">
        <f>IFERROR(IF(MARÍTIMOS[[#This Row],[Puerto de Retiro]]="","",MARÍTIMOS[[#This Row],[Puerto de Retiro]]),"")</f>
        <v>CALLAO</v>
      </c>
      <c r="R4" s="2" t="str">
        <f>IFERROR(IF(MARÍTIMOS[[#This Row],[Almacén de Retiro]]="","",MARÍTIMOS[[#This Row],[Almacén de Retiro]]),"")</f>
        <v>DPW</v>
      </c>
      <c r="S4" s="11">
        <f>IFERROR(IF(MARÍTIMOS[[#This Row],[Etapa Retiro - Cita]]="","",MARÍTIMOS[[#This Row],[Etapa Retiro - Cita]]),"")</f>
        <v>46214.541666666664</v>
      </c>
      <c r="T4" s="11">
        <f>IFERROR(IF(MARÍTIMOS[[#This Row],[Etapa Retiro - Llegada]]="","",MARÍTIMOS[[#This Row],[Etapa Retiro - Llegada]]),"")</f>
        <v>46214.618750000001</v>
      </c>
      <c r="U4" s="11">
        <f>IFERROR(IF(MARÍTIMOS[[#This Row],[Etapa Retiro - Ingreso]]="","",MARÍTIMOS[[#This Row],[Etapa Retiro - Ingreso]]),"")</f>
        <v>46214.686111111114</v>
      </c>
      <c r="V4" s="11">
        <f>IFERROR(IF(MARÍTIMOS[[#This Row],[Etapa Retiro - Atención]]="","",MARÍTIMOS[[#This Row],[Etapa Retiro - Atención]]),"")</f>
        <v>46214.729166666664</v>
      </c>
      <c r="W4" s="11">
        <f>IFERROR(IF(MARÍTIMOS[[#This Row],[Etapa Retiro - Atención]]="","",MARÍTIMOS[[#This Row],[Etapa Retiro - Atención]]),"")</f>
        <v>46214.729166666664</v>
      </c>
      <c r="X4" s="11">
        <f>IFERROR(IF(MARÍTIMOS[[#This Row],[Etapa Retiro - Inicio de Ruta]]="","",MARÍTIMOS[[#This Row],[Etapa Retiro - Inicio de Ruta]]),"")</f>
        <v>46214.795138888891</v>
      </c>
      <c r="Y4" s="11">
        <f>IFERROR(IF(MARÍTIMOS[[#This Row],[Hora de Posicionamiento]]="","",MARÍTIMOS[[#This Row],[Fecha de Carga]]+MARÍTIMOS[[#This Row],[Hora de Posicionamiento]]),"")</f>
        <v>46215.5</v>
      </c>
      <c r="Z4" s="11">
        <f>IFERROR(IF(MARÍTIMOS[[#This Row],[Etapa Despacho - Llegada]]="","",MARÍTIMOS[[#This Row],[Etapa Despacho - Llegada]]),"")</f>
        <v>46215.4375</v>
      </c>
      <c r="AA4" s="11">
        <f>IFERROR(IF(MARÍTIMOS[[#This Row],[Etapa Despacho - Registro]]="","",MARÍTIMOS[[#This Row],[Etapa Despacho - Registro]]),"")</f>
        <v>46215.444444444445</v>
      </c>
      <c r="AB4" s="11">
        <f>IFERROR(IF(MARÍTIMOS[[#This Row],[Inspección Externa]]="","",MARÍTIMOS[[#This Row],[Inspección Externa]]),"")</f>
        <v>46215.447916666664</v>
      </c>
      <c r="AC4" s="11">
        <f>IFERROR(IF(MARÍTIMOS[[#This Row],[Etapa Despacho - Inicio de Carga]]="","",MARÍTIMOS[[#This Row],[Etapa Despacho - Inicio de Carga]]),"")</f>
        <v>46215.632638888892</v>
      </c>
      <c r="AD4" s="11">
        <f>IFERROR(IF(MARÍTIMOS[[#This Row],[Etapa Despacho - Mitad de Carga]]="","",MARÍTIMOS[[#This Row],[Etapa Despacho - Mitad de Carga]]),"")</f>
        <v>46215.681250000001</v>
      </c>
      <c r="AE4" s="11">
        <f>IFERROR(IF(MARÍTIMOS[[#This Row],[Etapa Despacho - Fin de Carga]]="","",MARÍTIMOS[[#This Row],[Etapa Despacho - Fin de Carga]]),"")</f>
        <v>46215.771527777775</v>
      </c>
      <c r="AF4" s="2" t="str">
        <f>IFERROR(IF(MARÍTIMOS[[#This Row],[Puerto de Embarque]]="","",MARÍTIMOS[[#This Row],[Puerto de Embarque]]),"")</f>
        <v>CALLAO</v>
      </c>
      <c r="AG4" s="2" t="str">
        <f>IFERROR(IF(MARÍTIMOS[[#This Row],[Almacén de Ingreso]]="","",MARÍTIMOS[[#This Row],[Almacén de Ingreso]]),"")</f>
        <v>DPW</v>
      </c>
      <c r="AH4" s="11">
        <f>IFERROR(IF(MARÍTIMOS[[#This Row],[Etapa Ingreso - Cita]]="","",MARÍTIMOS[[#This Row],[Etapa Ingreso - Cita]]),"")</f>
        <v>46216.5</v>
      </c>
      <c r="AI4" s="11">
        <f>IFERROR(IF(MARÍTIMOS[[#This Row],[Etapa Ingreso - Llegada]]="","",MARÍTIMOS[[#This Row],[Etapa Ingreso - Llegada]]),"")</f>
        <v>46216.304861111108</v>
      </c>
      <c r="AJ4" s="11">
        <f>IFERROR(IF(MARÍTIMOS[[#This Row],[Etapa Ingreso - Ingeso]]="","",MARÍTIMOS[[#This Row],[Etapa Ingreso - Ingeso]]),"")</f>
        <v>46216.334722222222</v>
      </c>
      <c r="AK4" s="11">
        <f>IFERROR(IF(MARÍTIMOS[[#This Row],[Etapa Ingreso - Atención]]="","",MARÍTIMOS[[#This Row],[Etapa Ingreso - Atención]]),"")</f>
        <v>46216.338194444441</v>
      </c>
      <c r="AL4" s="11">
        <f>IFERROR(IF(MARÍTIMOS[[#This Row],[Etapa Ingreso - Salida]]="","",MARÍTIMOS[[#This Row],[Etapa Ingreso - Salida]]),"")</f>
        <v>46216.344444444447</v>
      </c>
      <c r="AM4" s="2">
        <f>IFERROR(IF(MARÍTIMOS[[#This Row],[FCL]]="","",MARÍTIMOS[[#This Row],[FCL]]),"")</f>
        <v>1</v>
      </c>
      <c r="AN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" s="4" t="str" cm="1">
        <f t="array" ref="AO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" s="5">
        <f>IFERROR(OLDBD[[#This Row],[Llegada a packing]]-OLDBD[[#This Row],[Inicio de Ruta]],"")</f>
        <v>0.64236111110949423</v>
      </c>
      <c r="AQ4" s="6">
        <f>IFERROR(OLDBD[[#This Row],[Inicio de Ruta]]-OLDBD[[#This Row],[Salida de almacén de retiro]],"")</f>
        <v>6.5972222226264421E-2</v>
      </c>
      <c r="AR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" s="8" t="str" cm="1">
        <f t="array" ref="AS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" s="9">
        <f>IFERROR(OLDBD[[#This Row],[Ingreso Packing]]-OLDBD[[#This Row],[Registro en Packing]],"")</f>
        <v>3.4722222189884633E-3</v>
      </c>
      <c r="AV4" s="9">
        <f>IFERROR(OLDBD[[#This Row],[Ingreso Packing]]-OLDBD[[#This Row],[Llegada a packing]],"")</f>
        <v>1.0416666664241347E-2</v>
      </c>
      <c r="AW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4" s="5">
        <f>IFERROR(OLDBD[[#This Row],[Llegada Almacén de Ingreso]]-OLDBD[[#This Row],[Salida Packing]],"")</f>
        <v>0.53333333333284827</v>
      </c>
      <c r="AY4" s="4" t="str" cm="1">
        <f t="array" ref="AY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" s="2" t="s">
        <v>173</v>
      </c>
      <c r="BB4" s="11" t="str">
        <f>IFERROR(IF(MARÍTIMOS[[#This Row],[Estatus]]="","",MARÍTIMOS[[#This Row],[Estatus]]),"")</f>
        <v>Confirmado</v>
      </c>
      <c r="BC4" s="2"/>
      <c r="BD4" s="46">
        <f>IFERROR(OLDBD[[#This Row],[Salida de almacén de retiro]]-OLDBD[[#This Row],[Ingreso Almacén de retiro]],"")</f>
        <v>4.3055555550381541E-2</v>
      </c>
      <c r="BE4" s="46">
        <f>IFERROR(OLDBD[[#This Row],[Fin de Carga]]-OLDBD[[#This Row],[Inicio de Carga]],"")</f>
        <v>4.8611111109494232E-2</v>
      </c>
    </row>
    <row r="5" spans="1:57" customFormat="1" hidden="1">
      <c r="A5" s="1"/>
      <c r="B5" s="1">
        <f>IFERROR(IF(MARÍTIMOS[[#This Row],[PP]]="","",MARÍTIMOS[[#This Row],[PP]]),"")</f>
        <v>28</v>
      </c>
      <c r="C5" s="1" t="str">
        <f>IFERROR(IF(MARÍTIMOS[[#This Row],[Sede]]="","",MARÍTIMOS[[#This Row],[Sede]]),"")</f>
        <v>Chao</v>
      </c>
      <c r="D5" s="1" t="str">
        <f>IFERROR(IF(MARÍTIMOS[[#This Row],[Instruction]]="","",MARÍTIMOS[[#This Row],[Instruction]]),"")</f>
        <v>RH-0149</v>
      </c>
      <c r="E5" s="1"/>
      <c r="F5" s="2" t="str">
        <f>IFERROR(IF(MARÍTIMOS[[#This Row],[Transportista]]="","",MARÍTIMOS[[#This Row],[Transportista]]),"")</f>
        <v>Cititrans</v>
      </c>
      <c r="G5" s="2" t="str">
        <f>IFERROR(IF(MARÍTIMOS[[#This Row],[Tercero]]="","",MARÍTIMOS[[#This Row],[Tercero]]),"")</f>
        <v>NO</v>
      </c>
      <c r="H5" s="2" t="str">
        <f>IFERROR(IF(MARÍTIMOS[[#This Row],[Razón Social]]="","",MARÍTIMOS[[#This Row],[Razón Social]]),"")</f>
        <v>CITITRANS</v>
      </c>
      <c r="I5" s="2">
        <f>IFERROR(IF(MARÍTIMOS[[#This Row],[RUC]]="","",MARÍTIMOS[[#This Row],[RUC]]),"")</f>
        <v>20609553376</v>
      </c>
      <c r="J5" s="2" t="str">
        <f>IFERROR(IF(MARÍTIMOS[[#This Row],[Placa Tracto]]="","",MARÍTIMOS[[#This Row],[Placa Tracto]]),"")</f>
        <v>CDK-877</v>
      </c>
      <c r="K5" s="2" t="str">
        <f>IFERROR(IF(MARÍTIMOS[[#This Row],[Placa Carreta]]="","",MARÍTIMOS[[#This Row],[Placa Carreta]]),"")</f>
        <v>BRU-989</v>
      </c>
      <c r="L5" s="44" t="str">
        <f>IFERROR(IF(MARÍTIMOS[[#This Row],[Conductor]]="","",MARÍTIMOS[[#This Row],[Conductor]]),"")</f>
        <v>JHON QUERO</v>
      </c>
      <c r="M5" s="2" t="str">
        <f>IFERROR(IF(MARÍTIMOS[[#This Row],[Licencia]]="","",MARÍTIMOS[[#This Row],[Licencia]]),"")</f>
        <v>Q46975722</v>
      </c>
      <c r="N5" s="2" t="str">
        <f>IFERROR(IF(MARÍTIMOS[[#This Row],[Número de Contacto]]="","",MARÍTIMOS[[#This Row],[Número de Contacto]]),"")</f>
        <v>935 772 459</v>
      </c>
      <c r="O5" s="10">
        <f>IFERROR(IF(MARÍTIMOS[[#This Row],[Booking|AWB|CRT]]="","",MARÍTIMOS[[#This Row],[Booking|AWB|CRT]]),"")</f>
        <v>751600038416</v>
      </c>
      <c r="P5" s="2" t="str">
        <f>IFERROR(IF(MARÍTIMOS[[#This Row],[Contenedor]]="","",MARÍTIMOS[[#This Row],[Contenedor]]),"")</f>
        <v>EMCU5542001</v>
      </c>
      <c r="Q5" s="2" t="str">
        <f>IFERROR(IF(MARÍTIMOS[[#This Row],[Puerto de Retiro]]="","",MARÍTIMOS[[#This Row],[Puerto de Retiro]]),"")</f>
        <v>CALLAO</v>
      </c>
      <c r="R5" s="2" t="str">
        <f>IFERROR(IF(MARÍTIMOS[[#This Row],[Almacén de Retiro]]="","",MARÍTIMOS[[#This Row],[Almacén de Retiro]]),"")</f>
        <v>DPW</v>
      </c>
      <c r="S5" s="11">
        <f>IFERROR(IF(MARÍTIMOS[[#This Row],[Etapa Retiro - Cita]]="","",MARÍTIMOS[[#This Row],[Etapa Retiro - Cita]]),"")</f>
        <v>46215.583333333336</v>
      </c>
      <c r="T5" s="11">
        <f>IFERROR(IF(MARÍTIMOS[[#This Row],[Etapa Retiro - Llegada]]="","",MARÍTIMOS[[#This Row],[Etapa Retiro - Llegada]]),"")</f>
        <v>46215.570833333331</v>
      </c>
      <c r="U5" s="11">
        <f>IFERROR(IF(MARÍTIMOS[[#This Row],[Etapa Retiro - Ingreso]]="","",MARÍTIMOS[[#This Row],[Etapa Retiro - Ingreso]]),"")</f>
        <v>46215.686111111114</v>
      </c>
      <c r="V5" s="11">
        <f>IFERROR(IF(MARÍTIMOS[[#This Row],[Etapa Retiro - Atención]]="","",MARÍTIMOS[[#This Row],[Etapa Retiro - Atención]]),"")</f>
        <v>46215.71875</v>
      </c>
      <c r="W5" s="11">
        <f>IFERROR(IF(MARÍTIMOS[[#This Row],[Etapa Retiro - Atención]]="","",MARÍTIMOS[[#This Row],[Etapa Retiro - Atención]]),"")</f>
        <v>46215.71875</v>
      </c>
      <c r="X5" s="11">
        <f>IFERROR(IF(MARÍTIMOS[[#This Row],[Etapa Retiro - Inicio de Ruta]]="","",MARÍTIMOS[[#This Row],[Etapa Retiro - Inicio de Ruta]]),"")</f>
        <v>46215.78402777778</v>
      </c>
      <c r="Y5" s="11">
        <f>IFERROR(IF(MARÍTIMOS[[#This Row],[Hora de Posicionamiento]]="","",MARÍTIMOS[[#This Row],[Fecha de Carga]]+MARÍTIMOS[[#This Row],[Hora de Posicionamiento]]),"")</f>
        <v>46216.416666666664</v>
      </c>
      <c r="Z5" s="11">
        <f>IFERROR(IF(MARÍTIMOS[[#This Row],[Etapa Despacho - Llegada]]="","",MARÍTIMOS[[#This Row],[Etapa Despacho - Llegada]]),"")</f>
        <v>46216.35833333333</v>
      </c>
      <c r="AA5" s="11">
        <f>IFERROR(IF(MARÍTIMOS[[#This Row],[Etapa Despacho - Registro]]="","",MARÍTIMOS[[#This Row],[Etapa Despacho - Registro]]),"")</f>
        <v>46216.361805555556</v>
      </c>
      <c r="AB5" s="11">
        <f>IFERROR(IF(MARÍTIMOS[[#This Row],[Inspección Externa]]="","",MARÍTIMOS[[#This Row],[Inspección Externa]]),"")</f>
        <v>46216.493750000001</v>
      </c>
      <c r="AC5" s="11">
        <f>IFERROR(IF(MARÍTIMOS[[#This Row],[Etapa Despacho - Inicio de Carga]]="","",MARÍTIMOS[[#This Row],[Etapa Despacho - Inicio de Carga]]),"")</f>
        <v>46216.645833333336</v>
      </c>
      <c r="AD5" s="11">
        <f>IFERROR(IF(MARÍTIMOS[[#This Row],[Etapa Despacho - Mitad de Carga]]="","",MARÍTIMOS[[#This Row],[Etapa Despacho - Mitad de Carga]]),"")</f>
        <v>46216.677083333336</v>
      </c>
      <c r="AE5" s="11">
        <f>IFERROR(IF(MARÍTIMOS[[#This Row],[Etapa Despacho - Fin de Carga]]="","",MARÍTIMOS[[#This Row],[Etapa Despacho - Fin de Carga]]),"")</f>
        <v>46216.749305555553</v>
      </c>
      <c r="AF5" s="2" t="str">
        <f>IFERROR(IF(MARÍTIMOS[[#This Row],[Puerto de Embarque]]="","",MARÍTIMOS[[#This Row],[Puerto de Embarque]]),"")</f>
        <v>CALLAO</v>
      </c>
      <c r="AG5" s="2" t="str">
        <f>IFERROR(IF(MARÍTIMOS[[#This Row],[Almacén de Ingreso]]="","",MARÍTIMOS[[#This Row],[Almacén de Ingreso]]),"")</f>
        <v>DPW</v>
      </c>
      <c r="AH5" s="11">
        <f>IFERROR(IF(MARÍTIMOS[[#This Row],[Etapa Ingreso - Cita]]="","",MARÍTIMOS[[#This Row],[Etapa Ingreso - Cita]]),"")</f>
        <v>46217.333333333336</v>
      </c>
      <c r="AI5" s="11">
        <f>IFERROR(IF(MARÍTIMOS[[#This Row],[Etapa Ingreso - Llegada]]="","",MARÍTIMOS[[#This Row],[Etapa Ingreso - Llegada]]),"")</f>
        <v>46217.272222222222</v>
      </c>
      <c r="AJ5" s="11">
        <f>IFERROR(IF(MARÍTIMOS[[#This Row],[Etapa Ingreso - Ingeso]]="","",MARÍTIMOS[[#This Row],[Etapa Ingreso - Ingeso]]),"")</f>
        <v>46217.324999999997</v>
      </c>
      <c r="AK5" s="11">
        <f>IFERROR(IF(MARÍTIMOS[[#This Row],[Etapa Ingreso - Atención]]="","",MARÍTIMOS[[#This Row],[Etapa Ingreso - Atención]]),"")</f>
        <v>46217.328472222223</v>
      </c>
      <c r="AL5" s="11">
        <f>IFERROR(IF(MARÍTIMOS[[#This Row],[Etapa Ingreso - Salida]]="","",MARÍTIMOS[[#This Row],[Etapa Ingreso - Salida]]),"")</f>
        <v>46217.336111111108</v>
      </c>
      <c r="AM5" s="2">
        <f>IFERROR(IF(MARÍTIMOS[[#This Row],[FCL]]="","",MARÍTIMOS[[#This Row],[FCL]]),"")</f>
        <v>1</v>
      </c>
      <c r="AN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" s="4" t="str" cm="1">
        <f t="array" ref="AO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" s="5">
        <f>IFERROR(OLDBD[[#This Row],[Llegada a packing]]-OLDBD[[#This Row],[Inicio de Ruta]],"")</f>
        <v>0.57430555555038154</v>
      </c>
      <c r="AQ5" s="6">
        <f>IFERROR(OLDBD[[#This Row],[Inicio de Ruta]]-OLDBD[[#This Row],[Salida de almacén de retiro]],"")</f>
        <v>6.5277777779556345E-2</v>
      </c>
      <c r="AR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" s="8" t="str" cm="1">
        <f t="array" ref="AS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5" s="9">
        <f>IFERROR(OLDBD[[#This Row],[Ingreso Packing]]-OLDBD[[#This Row],[Registro en Packing]],"")</f>
        <v>0.13194444444525288</v>
      </c>
      <c r="AV5" s="9">
        <f>IFERROR(OLDBD[[#This Row],[Ingreso Packing]]-OLDBD[[#This Row],[Llegada a packing]],"")</f>
        <v>0.13541666667151731</v>
      </c>
      <c r="AW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5" s="5">
        <f>IFERROR(OLDBD[[#This Row],[Llegada Almacén de Ingreso]]-OLDBD[[#This Row],[Salida Packing]],"")</f>
        <v>0.52291666666860692</v>
      </c>
      <c r="AY5" s="4" t="str" cm="1">
        <f t="array" ref="AY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" s="2" t="s">
        <v>173</v>
      </c>
      <c r="BB5" s="11" t="str">
        <f>IFERROR(IF(MARÍTIMOS[[#This Row],[Estatus]]="","",MARÍTIMOS[[#This Row],[Estatus]]),"")</f>
        <v>Confirmado</v>
      </c>
      <c r="BC5" s="2"/>
      <c r="BD5" s="46">
        <f>IFERROR(OLDBD[[#This Row],[Salida de almacén de retiro]]-OLDBD[[#This Row],[Ingreso Almacén de retiro]],"")</f>
        <v>3.2638888886140194E-2</v>
      </c>
      <c r="BE5" s="46">
        <f>IFERROR(OLDBD[[#This Row],[Fin de Carga]]-OLDBD[[#This Row],[Inicio de Carga]],"")</f>
        <v>3.125E-2</v>
      </c>
    </row>
    <row r="6" spans="1:57" customFormat="1" hidden="1">
      <c r="A6" s="1"/>
      <c r="B6" s="1">
        <f>IFERROR(IF(MARÍTIMOS[[#This Row],[PP]]="","",MARÍTIMOS[[#This Row],[PP]]),"")</f>
        <v>28</v>
      </c>
      <c r="C6" s="1" t="str">
        <f>IFERROR(IF(MARÍTIMOS[[#This Row],[Sede]]="","",MARÍTIMOS[[#This Row],[Sede]]),"")</f>
        <v>Chao</v>
      </c>
      <c r="D6" s="1" t="str">
        <f>IFERROR(IF(MARÍTIMOS[[#This Row],[Instruction]]="","",MARÍTIMOS[[#This Row],[Instruction]]),"")</f>
        <v>RH-0155</v>
      </c>
      <c r="E6" s="1"/>
      <c r="F6" s="2" t="str">
        <f>IFERROR(IF(MARÍTIMOS[[#This Row],[Transportista]]="","",MARÍTIMOS[[#This Row],[Transportista]]),"")</f>
        <v>Cititrans</v>
      </c>
      <c r="G6" s="2" t="str">
        <f>IFERROR(IF(MARÍTIMOS[[#This Row],[Tercero]]="","",MARÍTIMOS[[#This Row],[Tercero]]),"")</f>
        <v>NO</v>
      </c>
      <c r="H6" s="2" t="str">
        <f>IFERROR(IF(MARÍTIMOS[[#This Row],[Razón Social]]="","",MARÍTIMOS[[#This Row],[Razón Social]]),"")</f>
        <v>CITITRANS</v>
      </c>
      <c r="I6" s="2">
        <f>IFERROR(IF(MARÍTIMOS[[#This Row],[RUC]]="","",MARÍTIMOS[[#This Row],[RUC]]),"")</f>
        <v>20609553376</v>
      </c>
      <c r="J6" s="2" t="str">
        <f>IFERROR(IF(MARÍTIMOS[[#This Row],[Placa Tracto]]="","",MARÍTIMOS[[#This Row],[Placa Tracto]]),"")</f>
        <v>CHG-928</v>
      </c>
      <c r="K6" s="2" t="str">
        <f>IFERROR(IF(MARÍTIMOS[[#This Row],[Placa Carreta]]="","",MARÍTIMOS[[#This Row],[Placa Carreta]]),"")</f>
        <v>BUR-982</v>
      </c>
      <c r="L6" s="44" t="str">
        <f>IFERROR(IF(MARÍTIMOS[[#This Row],[Conductor]]="","",MARÍTIMOS[[#This Row],[Conductor]]),"")</f>
        <v>JOSUE PEREZ</v>
      </c>
      <c r="M6" s="2" t="str">
        <f>IFERROR(IF(MARÍTIMOS[[#This Row],[Licencia]]="","",MARÍTIMOS[[#This Row],[Licencia]]),"")</f>
        <v>Q43455666</v>
      </c>
      <c r="N6" s="2" t="str">
        <f>IFERROR(IF(MARÍTIMOS[[#This Row],[Número de Contacto]]="","",MARÍTIMOS[[#This Row],[Número de Contacto]]),"")</f>
        <v>933 154 215</v>
      </c>
      <c r="O6" s="10">
        <f>IFERROR(IF(MARÍTIMOS[[#This Row],[Booking|AWB|CRT]]="","",MARÍTIMOS[[#This Row],[Booking|AWB|CRT]]),"")</f>
        <v>6507260680</v>
      </c>
      <c r="P6" s="2" t="str">
        <f>IFERROR(IF(MARÍTIMOS[[#This Row],[Contenedor]]="","",MARÍTIMOS[[#This Row],[Contenedor]]),"")</f>
        <v>OERU4287074</v>
      </c>
      <c r="Q6" s="2" t="str">
        <f>IFERROR(IF(MARÍTIMOS[[#This Row],[Puerto de Retiro]]="","",MARÍTIMOS[[#This Row],[Puerto de Retiro]]),"")</f>
        <v>CALLAO</v>
      </c>
      <c r="R6" s="2" t="str">
        <f>IFERROR(IF(MARÍTIMOS[[#This Row],[Almacén de Retiro]]="","",MARÍTIMOS[[#This Row],[Almacén de Retiro]]),"")</f>
        <v>DPW</v>
      </c>
      <c r="S6" s="11">
        <f>IFERROR(IF(MARÍTIMOS[[#This Row],[Etapa Retiro - Cita]]="","",MARÍTIMOS[[#This Row],[Etapa Retiro - Cita]]),"")</f>
        <v>46215.583333333336</v>
      </c>
      <c r="T6" s="11">
        <f>IFERROR(IF(MARÍTIMOS[[#This Row],[Etapa Retiro - Llegada]]="","",MARÍTIMOS[[#This Row],[Etapa Retiro - Llegada]]),"")</f>
        <v>46215.602777777778</v>
      </c>
      <c r="U6" s="11">
        <f>IFERROR(IF(MARÍTIMOS[[#This Row],[Etapa Retiro - Ingreso]]="","",MARÍTIMOS[[#This Row],[Etapa Retiro - Ingreso]]),"")</f>
        <v>46215.612500000003</v>
      </c>
      <c r="V6" s="11">
        <f>IFERROR(IF(MARÍTIMOS[[#This Row],[Etapa Retiro - Atención]]="","",MARÍTIMOS[[#This Row],[Etapa Retiro - Atención]]),"")</f>
        <v>46215.625</v>
      </c>
      <c r="W6" s="11">
        <f>IFERROR(IF(MARÍTIMOS[[#This Row],[Etapa Retiro - Atención]]="","",MARÍTIMOS[[#This Row],[Etapa Retiro - Atención]]),"")</f>
        <v>46215.625</v>
      </c>
      <c r="X6" s="11">
        <f>IFERROR(IF(MARÍTIMOS[[#This Row],[Etapa Retiro - Inicio de Ruta]]="","",MARÍTIMOS[[#This Row],[Etapa Retiro - Inicio de Ruta]]),"")</f>
        <v>46215.654166666667</v>
      </c>
      <c r="Y6" s="11">
        <f>IFERROR(IF(MARÍTIMOS[[#This Row],[Hora de Posicionamiento]]="","",MARÍTIMOS[[#This Row],[Fecha de Carga]]+MARÍTIMOS[[#This Row],[Hora de Posicionamiento]]),"")</f>
        <v>46216.375</v>
      </c>
      <c r="Z6" s="11">
        <f>IFERROR(IF(MARÍTIMOS[[#This Row],[Etapa Despacho - Llegada]]="","",MARÍTIMOS[[#This Row],[Etapa Despacho - Llegada]]),"")</f>
        <v>46216.440972222219</v>
      </c>
      <c r="AA6" s="11">
        <f>IFERROR(IF(MARÍTIMOS[[#This Row],[Etapa Despacho - Registro]]="","",MARÍTIMOS[[#This Row],[Etapa Despacho - Registro]]),"")</f>
        <v>46216.447916666664</v>
      </c>
      <c r="AB6" s="11">
        <f>IFERROR(IF(MARÍTIMOS[[#This Row],[Inspección Externa]]="","",MARÍTIMOS[[#This Row],[Inspección Externa]]),"")</f>
        <v>46216.459722222222</v>
      </c>
      <c r="AC6" s="11">
        <f>IFERROR(IF(MARÍTIMOS[[#This Row],[Etapa Despacho - Inicio de Carga]]="","",MARÍTIMOS[[#This Row],[Etapa Despacho - Inicio de Carga]]),"")</f>
        <v>46216.541666666664</v>
      </c>
      <c r="AD6" s="11">
        <f>IFERROR(IF(MARÍTIMOS[[#This Row],[Etapa Despacho - Mitad de Carga]]="","",MARÍTIMOS[[#This Row],[Etapa Despacho - Mitad de Carga]]),"")</f>
        <v>46216.56527777778</v>
      </c>
      <c r="AE6" s="11">
        <f>IFERROR(IF(MARÍTIMOS[[#This Row],[Etapa Despacho - Fin de Carga]]="","",MARÍTIMOS[[#This Row],[Etapa Despacho - Fin de Carga]]),"")</f>
        <v>46216.589583333334</v>
      </c>
      <c r="AF6" s="2" t="str">
        <f>IFERROR(IF(MARÍTIMOS[[#This Row],[Puerto de Embarque]]="","",MARÍTIMOS[[#This Row],[Puerto de Embarque]]),"")</f>
        <v>CALLAO</v>
      </c>
      <c r="AG6" s="2" t="str">
        <f>IFERROR(IF(MARÍTIMOS[[#This Row],[Almacén de Ingreso]]="","",MARÍTIMOS[[#This Row],[Almacén de Ingreso]]),"")</f>
        <v>DPW</v>
      </c>
      <c r="AH6" s="11">
        <f>IFERROR(IF(MARÍTIMOS[[#This Row],[Etapa Ingreso - Cita]]="","",MARÍTIMOS[[#This Row],[Etapa Ingreso - Cita]]),"")</f>
        <v>46217.333333333336</v>
      </c>
      <c r="AI6" s="11">
        <f>IFERROR(IF(MARÍTIMOS[[#This Row],[Etapa Ingreso - Llegada]]="","",MARÍTIMOS[[#This Row],[Etapa Ingreso - Llegada]]),"")</f>
        <v>46217.329861111109</v>
      </c>
      <c r="AJ6" s="11">
        <f>IFERROR(IF(MARÍTIMOS[[#This Row],[Etapa Ingreso - Ingeso]]="","",MARÍTIMOS[[#This Row],[Etapa Ingreso - Ingeso]]),"")</f>
        <v>46217.375694444447</v>
      </c>
      <c r="AK6" s="11">
        <f>IFERROR(IF(MARÍTIMOS[[#This Row],[Etapa Ingreso - Atención]]="","",MARÍTIMOS[[#This Row],[Etapa Ingreso - Atención]]),"")</f>
        <v>46217.379166666666</v>
      </c>
      <c r="AL6" s="11">
        <f>IFERROR(IF(MARÍTIMOS[[#This Row],[Etapa Ingreso - Salida]]="","",MARÍTIMOS[[#This Row],[Etapa Ingreso - Salida]]),"")</f>
        <v>46217.382638888892</v>
      </c>
      <c r="AM6" s="2">
        <f>IFERROR(IF(MARÍTIMOS[[#This Row],[FCL]]="","",MARÍTIMOS[[#This Row],[FCL]]),"")</f>
        <v>1</v>
      </c>
      <c r="AN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" s="4" t="str" cm="1">
        <f t="array" ref="AO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" s="5">
        <f>IFERROR(OLDBD[[#This Row],[Llegada a packing]]-OLDBD[[#This Row],[Inicio de Ruta]],"")</f>
        <v>0.78680555555183673</v>
      </c>
      <c r="AQ6" s="6">
        <f>IFERROR(OLDBD[[#This Row],[Inicio de Ruta]]-OLDBD[[#This Row],[Salida de almacén de retiro]],"")</f>
        <v>2.9166666667151731E-2</v>
      </c>
      <c r="AR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6" s="8" t="str" cm="1">
        <f t="array" ref="AS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6" s="9">
        <f>IFERROR(OLDBD[[#This Row],[Ingreso Packing]]-OLDBD[[#This Row],[Registro en Packing]],"")</f>
        <v>1.1805555557657499E-2</v>
      </c>
      <c r="AV6" s="9">
        <f>IFERROR(OLDBD[[#This Row],[Ingreso Packing]]-OLDBD[[#This Row],[Llegada a packing]],"")</f>
        <v>1.8750000002910383E-2</v>
      </c>
      <c r="AW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6" s="5">
        <f>IFERROR(OLDBD[[#This Row],[Llegada Almacén de Ingreso]]-OLDBD[[#This Row],[Salida Packing]],"")</f>
        <v>0.74027777777519077</v>
      </c>
      <c r="AY6" s="4" t="str" cm="1">
        <f t="array" ref="AY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6" s="43" t="s">
        <v>173</v>
      </c>
      <c r="BB6" s="47" t="str">
        <f>IFERROR(IF(MARÍTIMOS[[#This Row],[Estatus]]="","",MARÍTIMOS[[#This Row],[Estatus]]),"")</f>
        <v>Confirmado</v>
      </c>
      <c r="BC6" s="43"/>
      <c r="BD6" s="46">
        <f>IFERROR(OLDBD[[#This Row],[Salida de almacén de retiro]]-OLDBD[[#This Row],[Ingreso Almacén de retiro]],"")</f>
        <v>1.2499999997089617E-2</v>
      </c>
      <c r="BE6" s="46">
        <f>IFERROR(OLDBD[[#This Row],[Fin de Carga]]-OLDBD[[#This Row],[Inicio de Carga]],"")</f>
        <v>2.3611111115314998E-2</v>
      </c>
    </row>
    <row r="7" spans="1:57" customFormat="1" hidden="1">
      <c r="A7" s="1"/>
      <c r="B7" s="1">
        <f>IFERROR(IF(MARÍTIMOS[[#This Row],[PP]]="","",MARÍTIMOS[[#This Row],[PP]]),"")</f>
        <v>28</v>
      </c>
      <c r="C7" s="1" t="str">
        <f>IFERROR(IF(MARÍTIMOS[[#This Row],[Sede]]="","",MARÍTIMOS[[#This Row],[Sede]]),"")</f>
        <v>Chao</v>
      </c>
      <c r="D7" s="1" t="str">
        <f>IFERROR(IF(MARÍTIMOS[[#This Row],[Instruction]]="","",MARÍTIMOS[[#This Row],[Instruction]]),"")</f>
        <v>RH-0156</v>
      </c>
      <c r="E7" s="1"/>
      <c r="F7" s="2" t="str">
        <f>IFERROR(IF(MARÍTIMOS[[#This Row],[Transportista]]="","",MARÍTIMOS[[#This Row],[Transportista]]),"")</f>
        <v>Cititrans</v>
      </c>
      <c r="G7" s="2" t="str">
        <f>IFERROR(IF(MARÍTIMOS[[#This Row],[Tercero]]="","",MARÍTIMOS[[#This Row],[Tercero]]),"")</f>
        <v>NO</v>
      </c>
      <c r="H7" s="2" t="str">
        <f>IFERROR(IF(MARÍTIMOS[[#This Row],[Razón Social]]="","",MARÍTIMOS[[#This Row],[Razón Social]]),"")</f>
        <v>CITITRANS</v>
      </c>
      <c r="I7" s="2">
        <f>IFERROR(IF(MARÍTIMOS[[#This Row],[RUC]]="","",MARÍTIMOS[[#This Row],[RUC]]),"")</f>
        <v>20609553376</v>
      </c>
      <c r="J7" s="2" t="str">
        <f>IFERROR(IF(MARÍTIMOS[[#This Row],[Placa Tracto]]="","",MARÍTIMOS[[#This Row],[Placa Tracto]]),"")</f>
        <v>CHG-934</v>
      </c>
      <c r="K7" s="2" t="str">
        <f>IFERROR(IF(MARÍTIMOS[[#This Row],[Placa Carreta]]="","",MARÍTIMOS[[#This Row],[Placa Carreta]]),"")</f>
        <v>BUT-982</v>
      </c>
      <c r="L7" s="44" t="str">
        <f>IFERROR(IF(MARÍTIMOS[[#This Row],[Conductor]]="","",MARÍTIMOS[[#This Row],[Conductor]]),"")</f>
        <v>DAVID UBALDO</v>
      </c>
      <c r="M7" s="2" t="str">
        <f>IFERROR(IF(MARÍTIMOS[[#This Row],[Licencia]]="","",MARÍTIMOS[[#This Row],[Licencia]]),"")</f>
        <v>K80652280</v>
      </c>
      <c r="N7" s="2" t="str">
        <f>IFERROR(IF(MARÍTIMOS[[#This Row],[Número de Contacto]]="","",MARÍTIMOS[[#This Row],[Número de Contacto]]),"")</f>
        <v>967 332 808</v>
      </c>
      <c r="O7" s="10">
        <f>IFERROR(IF(MARÍTIMOS[[#This Row],[Booking|AWB|CRT]]="","",MARÍTIMOS[[#This Row],[Booking|AWB|CRT]]),"")</f>
        <v>6507260600</v>
      </c>
      <c r="P7" s="2" t="str">
        <f>IFERROR(IF(MARÍTIMOS[[#This Row],[Contenedor]]="","",MARÍTIMOS[[#This Row],[Contenedor]]),"")</f>
        <v>FBIU5511043</v>
      </c>
      <c r="Q7" s="2" t="str">
        <f>IFERROR(IF(MARÍTIMOS[[#This Row],[Puerto de Retiro]]="","",MARÍTIMOS[[#This Row],[Puerto de Retiro]]),"")</f>
        <v>CALLAO</v>
      </c>
      <c r="R7" s="2" t="str">
        <f>IFERROR(IF(MARÍTIMOS[[#This Row],[Almacén de Retiro]]="","",MARÍTIMOS[[#This Row],[Almacén de Retiro]]),"")</f>
        <v>DPW</v>
      </c>
      <c r="S7" s="11">
        <f>IFERROR(IF(MARÍTIMOS[[#This Row],[Etapa Retiro - Cita]]="","",MARÍTIMOS[[#This Row],[Etapa Retiro - Cita]]),"")</f>
        <v>46215.583333333336</v>
      </c>
      <c r="T7" s="11">
        <f>IFERROR(IF(MARÍTIMOS[[#This Row],[Etapa Retiro - Llegada]]="","",MARÍTIMOS[[#This Row],[Etapa Retiro - Llegada]]),"")</f>
        <v>46215.602083333331</v>
      </c>
      <c r="U7" s="11">
        <f>IFERROR(IF(MARÍTIMOS[[#This Row],[Etapa Retiro - Ingreso]]="","",MARÍTIMOS[[#This Row],[Etapa Retiro - Ingreso]]),"")</f>
        <v>46215.607638888891</v>
      </c>
      <c r="V7" s="11">
        <f>IFERROR(IF(MARÍTIMOS[[#This Row],[Etapa Retiro - Atención]]="","",MARÍTIMOS[[#This Row],[Etapa Retiro - Atención]]),"")</f>
        <v>46215.645138888889</v>
      </c>
      <c r="W7" s="11">
        <f>IFERROR(IF(MARÍTIMOS[[#This Row],[Etapa Retiro - Atención]]="","",MARÍTIMOS[[#This Row],[Etapa Retiro - Atención]]),"")</f>
        <v>46215.645138888889</v>
      </c>
      <c r="X7" s="11">
        <f>IFERROR(IF(MARÍTIMOS[[#This Row],[Etapa Retiro - Inicio de Ruta]]="","",MARÍTIMOS[[#This Row],[Etapa Retiro - Inicio de Ruta]]),"")</f>
        <v>46215.647222222222</v>
      </c>
      <c r="Y7" s="11">
        <f>IFERROR(IF(MARÍTIMOS[[#This Row],[Hora de Posicionamiento]]="","",MARÍTIMOS[[#This Row],[Fecha de Carga]]+MARÍTIMOS[[#This Row],[Hora de Posicionamiento]]),"")</f>
        <v>46216.375</v>
      </c>
      <c r="Z7" s="11">
        <f>IFERROR(IF(MARÍTIMOS[[#This Row],[Etapa Despacho - Llegada]]="","",MARÍTIMOS[[#This Row],[Etapa Despacho - Llegada]]),"")</f>
        <v>46216.434027777781</v>
      </c>
      <c r="AA7" s="11">
        <f>IFERROR(IF(MARÍTIMOS[[#This Row],[Etapa Despacho - Registro]]="","",MARÍTIMOS[[#This Row],[Etapa Despacho - Registro]]),"")</f>
        <v>46216.4375</v>
      </c>
      <c r="AB7" s="11">
        <f>IFERROR(IF(MARÍTIMOS[[#This Row],[Inspección Externa]]="","",MARÍTIMOS[[#This Row],[Inspección Externa]]),"")</f>
        <v>46216.459722222222</v>
      </c>
      <c r="AC7" s="11">
        <f>IFERROR(IF(MARÍTIMOS[[#This Row],[Etapa Despacho - Inicio de Carga]]="","",MARÍTIMOS[[#This Row],[Etapa Despacho - Inicio de Carga]]),"")</f>
        <v>46216.538888888892</v>
      </c>
      <c r="AD7" s="11">
        <f>IFERROR(IF(MARÍTIMOS[[#This Row],[Etapa Despacho - Mitad de Carga]]="","",MARÍTIMOS[[#This Row],[Etapa Despacho - Mitad de Carga]]),"")</f>
        <v>46216.563888888886</v>
      </c>
      <c r="AE7" s="11">
        <f>IFERROR(IF(MARÍTIMOS[[#This Row],[Etapa Despacho - Fin de Carga]]="","",MARÍTIMOS[[#This Row],[Etapa Despacho - Fin de Carga]]),"")</f>
        <v>46216.584722222222</v>
      </c>
      <c r="AF7" s="2" t="str">
        <f>IFERROR(IF(MARÍTIMOS[[#This Row],[Puerto de Embarque]]="","",MARÍTIMOS[[#This Row],[Puerto de Embarque]]),"")</f>
        <v>CALLAO</v>
      </c>
      <c r="AG7" s="2" t="str">
        <f>IFERROR(IF(MARÍTIMOS[[#This Row],[Almacén de Ingreso]]="","",MARÍTIMOS[[#This Row],[Almacén de Ingreso]]),"")</f>
        <v>DPW</v>
      </c>
      <c r="AH7" s="11">
        <f>IFERROR(IF(MARÍTIMOS[[#This Row],[Etapa Ingreso - Cita]]="","",MARÍTIMOS[[#This Row],[Etapa Ingreso - Cita]]),"")</f>
        <v>46217.333333333336</v>
      </c>
      <c r="AI7" s="11">
        <f>IFERROR(IF(MARÍTIMOS[[#This Row],[Etapa Ingreso - Llegada]]="","",MARÍTIMOS[[#This Row],[Etapa Ingreso - Llegada]]),"")</f>
        <v>46217.303472222222</v>
      </c>
      <c r="AJ7" s="11">
        <f>IFERROR(IF(MARÍTIMOS[[#This Row],[Etapa Ingreso - Ingeso]]="","",MARÍTIMOS[[#This Row],[Etapa Ingreso - Ingeso]]),"")</f>
        <v>46217.36041666667</v>
      </c>
      <c r="AK7" s="11">
        <f>IFERROR(IF(MARÍTIMOS[[#This Row],[Etapa Ingreso - Atención]]="","",MARÍTIMOS[[#This Row],[Etapa Ingreso - Atención]]),"")</f>
        <v>46217.363888888889</v>
      </c>
      <c r="AL7" s="11">
        <f>IFERROR(IF(MARÍTIMOS[[#This Row],[Etapa Ingreso - Salida]]="","",MARÍTIMOS[[#This Row],[Etapa Ingreso - Salida]]),"")</f>
        <v>46217.375694444447</v>
      </c>
      <c r="AM7" s="2">
        <f>IFERROR(IF(MARÍTIMOS[[#This Row],[FCL]]="","",MARÍTIMOS[[#This Row],[FCL]]),"")</f>
        <v>1</v>
      </c>
      <c r="AN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7" s="4" t="str" cm="1">
        <f t="array" ref="AO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" s="5">
        <f>IFERROR(OLDBD[[#This Row],[Llegada a packing]]-OLDBD[[#This Row],[Inicio de Ruta]],"")</f>
        <v>0.78680555555911269</v>
      </c>
      <c r="AQ7" s="6">
        <f>IFERROR(OLDBD[[#This Row],[Inicio de Ruta]]-OLDBD[[#This Row],[Salida de almacén de retiro]],"")</f>
        <v>2.0833333328482695E-3</v>
      </c>
      <c r="AR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7" s="8" t="str" cm="1">
        <f t="array" ref="AS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7" s="9">
        <f>IFERROR(OLDBD[[#This Row],[Ingreso Packing]]-OLDBD[[#This Row],[Registro en Packing]],"")</f>
        <v>2.2222222221898846E-2</v>
      </c>
      <c r="AV7" s="9">
        <f>IFERROR(OLDBD[[#This Row],[Ingreso Packing]]-OLDBD[[#This Row],[Llegada a packing]],"")</f>
        <v>2.569444444088731E-2</v>
      </c>
      <c r="AW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" s="5">
        <f>IFERROR(OLDBD[[#This Row],[Llegada Almacén de Ingreso]]-OLDBD[[#This Row],[Salida Packing]],"")</f>
        <v>0.71875</v>
      </c>
      <c r="AY7" s="4" t="str" cm="1">
        <f t="array" ref="AY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7" s="43" t="s">
        <v>173</v>
      </c>
      <c r="BB7" s="47" t="str">
        <f>IFERROR(IF(MARÍTIMOS[[#This Row],[Estatus]]="","",MARÍTIMOS[[#This Row],[Estatus]]),"")</f>
        <v>Confirmado</v>
      </c>
      <c r="BC7" s="43"/>
      <c r="BD7" s="46">
        <f>IFERROR(OLDBD[[#This Row],[Salida de almacén de retiro]]-OLDBD[[#This Row],[Ingreso Almacén de retiro]],"")</f>
        <v>3.7499999998544808E-2</v>
      </c>
      <c r="BE7" s="46">
        <f>IFERROR(OLDBD[[#This Row],[Fin de Carga]]-OLDBD[[#This Row],[Inicio de Carga]],"")</f>
        <v>2.4999999994179234E-2</v>
      </c>
    </row>
    <row r="8" spans="1:57" customFormat="1" hidden="1">
      <c r="A8" s="1"/>
      <c r="B8" s="1">
        <f>IFERROR(IF(MARÍTIMOS[[#This Row],[PP]]="","",MARÍTIMOS[[#This Row],[PP]]),"")</f>
        <v>28</v>
      </c>
      <c r="C8" s="1" t="str">
        <f>IFERROR(IF(MARÍTIMOS[[#This Row],[Sede]]="","",MARÍTIMOS[[#This Row],[Sede]]),"")</f>
        <v>Chao</v>
      </c>
      <c r="D8" s="1" t="str">
        <f>IFERROR(IF(MARÍTIMOS[[#This Row],[Instruction]]="","",MARÍTIMOS[[#This Row],[Instruction]]),"")</f>
        <v>RH-0146</v>
      </c>
      <c r="E8" s="1"/>
      <c r="F8" s="2" t="str">
        <f>IFERROR(IF(MARÍTIMOS[[#This Row],[Transportista]]="","",MARÍTIMOS[[#This Row],[Transportista]]),"")</f>
        <v>Cititrans</v>
      </c>
      <c r="G8" s="2" t="str">
        <f>IFERROR(IF(MARÍTIMOS[[#This Row],[Tercero]]="","",MARÍTIMOS[[#This Row],[Tercero]]),"")</f>
        <v>NO</v>
      </c>
      <c r="H8" s="2" t="str">
        <f>IFERROR(IF(MARÍTIMOS[[#This Row],[Razón Social]]="","",MARÍTIMOS[[#This Row],[Razón Social]]),"")</f>
        <v>CITITRANS</v>
      </c>
      <c r="I8" s="2">
        <f>IFERROR(IF(MARÍTIMOS[[#This Row],[RUC]]="","",MARÍTIMOS[[#This Row],[RUC]]),"")</f>
        <v>20609553376</v>
      </c>
      <c r="J8" s="2" t="str">
        <f>IFERROR(IF(MARÍTIMOS[[#This Row],[Placa Tracto]]="","",MARÍTIMOS[[#This Row],[Placa Tracto]]),"")</f>
        <v>CDK-878</v>
      </c>
      <c r="K8" s="2" t="str">
        <f>IFERROR(IF(MARÍTIMOS[[#This Row],[Placa Carreta]]="","",MARÍTIMOS[[#This Row],[Placa Carreta]]),"")</f>
        <v>BRU-978</v>
      </c>
      <c r="L8" s="44" t="str">
        <f>IFERROR(IF(MARÍTIMOS[[#This Row],[Conductor]]="","",MARÍTIMOS[[#This Row],[Conductor]]),"")</f>
        <v>BREDY CRUZ</v>
      </c>
      <c r="M8" s="2" t="str">
        <f>IFERROR(IF(MARÍTIMOS[[#This Row],[Licencia]]="","",MARÍTIMOS[[#This Row],[Licencia]]),"")</f>
        <v>Q002365535</v>
      </c>
      <c r="N8" s="2" t="str">
        <f>IFERROR(IF(MARÍTIMOS[[#This Row],[Número de Contacto]]="","",MARÍTIMOS[[#This Row],[Número de Contacto]]),"")</f>
        <v>933 329 505</v>
      </c>
      <c r="O8" s="10">
        <f>IFERROR(IF(MARÍTIMOS[[#This Row],[Booking|AWB|CRT]]="","",MARÍTIMOS[[#This Row],[Booking|AWB|CRT]]),"")</f>
        <v>751600038386</v>
      </c>
      <c r="P8" s="2" t="str">
        <f>IFERROR(IF(MARÍTIMOS[[#This Row],[Contenedor]]="","",MARÍTIMOS[[#This Row],[Contenedor]]),"")</f>
        <v>EMCU5487394</v>
      </c>
      <c r="Q8" s="2" t="str">
        <f>IFERROR(IF(MARÍTIMOS[[#This Row],[Puerto de Retiro]]="","",MARÍTIMOS[[#This Row],[Puerto de Retiro]]),"")</f>
        <v>CALLAO</v>
      </c>
      <c r="R8" s="2" t="str">
        <f>IFERROR(IF(MARÍTIMOS[[#This Row],[Almacén de Retiro]]="","",MARÍTIMOS[[#This Row],[Almacén de Retiro]]),"")</f>
        <v>DPW</v>
      </c>
      <c r="S8" s="11">
        <f>IFERROR(IF(MARÍTIMOS[[#This Row],[Etapa Retiro - Cita]]="","",MARÍTIMOS[[#This Row],[Etapa Retiro - Cita]]),"")</f>
        <v>46215.583333333336</v>
      </c>
      <c r="T8" s="11">
        <f>IFERROR(IF(MARÍTIMOS[[#This Row],[Etapa Retiro - Llegada]]="","",MARÍTIMOS[[#This Row],[Etapa Retiro - Llegada]]),"")</f>
        <v>46215.697916666664</v>
      </c>
      <c r="U8" s="11">
        <f>IFERROR(IF(MARÍTIMOS[[#This Row],[Etapa Retiro - Ingreso]]="","",MARÍTIMOS[[#This Row],[Etapa Retiro - Ingreso]]),"")</f>
        <v>46215.763888888891</v>
      </c>
      <c r="V8" s="11">
        <f>IFERROR(IF(MARÍTIMOS[[#This Row],[Etapa Retiro - Atención]]="","",MARÍTIMOS[[#This Row],[Etapa Retiro - Atención]]),"")</f>
        <v>46215.833333333336</v>
      </c>
      <c r="W8" s="11">
        <f>IFERROR(IF(MARÍTIMOS[[#This Row],[Etapa Retiro - Atención]]="","",MARÍTIMOS[[#This Row],[Etapa Retiro - Atención]]),"")</f>
        <v>46215.833333333336</v>
      </c>
      <c r="X8" s="11">
        <f>IFERROR(IF(MARÍTIMOS[[#This Row],[Etapa Retiro - Inicio de Ruta]]="","",MARÍTIMOS[[#This Row],[Etapa Retiro - Inicio de Ruta]]),"")</f>
        <v>46215.89166666667</v>
      </c>
      <c r="Y8" s="11">
        <f>IFERROR(IF(MARÍTIMOS[[#This Row],[Hora de Posicionamiento]]="","",MARÍTIMOS[[#This Row],[Fecha de Carga]]+MARÍTIMOS[[#This Row],[Hora de Posicionamiento]]),"")</f>
        <v>46216.416666666664</v>
      </c>
      <c r="Z8" s="11">
        <f>IFERROR(IF(MARÍTIMOS[[#This Row],[Etapa Despacho - Llegada]]="","",MARÍTIMOS[[#This Row],[Etapa Despacho - Llegada]]),"")</f>
        <v>46216.51458333333</v>
      </c>
      <c r="AA8" s="11">
        <f>IFERROR(IF(MARÍTIMOS[[#This Row],[Etapa Despacho - Registro]]="","",MARÍTIMOS[[#This Row],[Etapa Despacho - Registro]]),"")</f>
        <v>46216.518055555556</v>
      </c>
      <c r="AB8" s="11">
        <f>IFERROR(IF(MARÍTIMOS[[#This Row],[Inspección Externa]]="","",MARÍTIMOS[[#This Row],[Inspección Externa]]),"")</f>
        <v>46216.520138888889</v>
      </c>
      <c r="AC8" s="11">
        <f>IFERROR(IF(MARÍTIMOS[[#This Row],[Etapa Despacho - Inicio de Carga]]="","",MARÍTIMOS[[#This Row],[Etapa Despacho - Inicio de Carga]]),"")</f>
        <v>46216.727083333331</v>
      </c>
      <c r="AD8" s="11">
        <f>IFERROR(IF(MARÍTIMOS[[#This Row],[Etapa Despacho - Mitad de Carga]]="","",MARÍTIMOS[[#This Row],[Etapa Despacho - Mitad de Carga]]),"")</f>
        <v>46216.75</v>
      </c>
      <c r="AE8" s="11">
        <f>IFERROR(IF(MARÍTIMOS[[#This Row],[Etapa Despacho - Fin de Carga]]="","",MARÍTIMOS[[#This Row],[Etapa Despacho - Fin de Carga]]),"")</f>
        <v>46216.774305555555</v>
      </c>
      <c r="AF8" s="2" t="str">
        <f>IFERROR(IF(MARÍTIMOS[[#This Row],[Puerto de Embarque]]="","",MARÍTIMOS[[#This Row],[Puerto de Embarque]]),"")</f>
        <v>CALLAO</v>
      </c>
      <c r="AG8" s="2" t="str">
        <f>IFERROR(IF(MARÍTIMOS[[#This Row],[Almacén de Ingreso]]="","",MARÍTIMOS[[#This Row],[Almacén de Ingreso]]),"")</f>
        <v>DPW</v>
      </c>
      <c r="AH8" s="11">
        <f>IFERROR(IF(MARÍTIMOS[[#This Row],[Etapa Ingreso - Cita]]="","",MARÍTIMOS[[#This Row],[Etapa Ingreso - Cita]]),"")</f>
        <v>46217.416666666664</v>
      </c>
      <c r="AI8" s="11">
        <f>IFERROR(IF(MARÍTIMOS[[#This Row],[Etapa Ingreso - Llegada]]="","",MARÍTIMOS[[#This Row],[Etapa Ingreso - Llegada]]),"")</f>
        <v>46217.512499999997</v>
      </c>
      <c r="AJ8" s="11">
        <f>IFERROR(IF(MARÍTIMOS[[#This Row],[Etapa Ingreso - Ingeso]]="","",MARÍTIMOS[[#This Row],[Etapa Ingreso - Ingeso]]),"")</f>
        <v>46217.556944444441</v>
      </c>
      <c r="AK8" s="11">
        <f>IFERROR(IF(MARÍTIMOS[[#This Row],[Etapa Ingreso - Atención]]="","",MARÍTIMOS[[#This Row],[Etapa Ingreso - Atención]]),"")</f>
        <v>46217.560416666667</v>
      </c>
      <c r="AL8" s="11">
        <f>IFERROR(IF(MARÍTIMOS[[#This Row],[Etapa Ingreso - Salida]]="","",MARÍTIMOS[[#This Row],[Etapa Ingreso - Salida]]),"")</f>
        <v>46217.568055555559</v>
      </c>
      <c r="AM8" s="2">
        <f>IFERROR(IF(MARÍTIMOS[[#This Row],[FCL]]="","",MARÍTIMOS[[#This Row],[FCL]]),"")</f>
        <v>1</v>
      </c>
      <c r="AN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" s="4" t="str" cm="1">
        <f t="array" ref="AO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" s="5">
        <f>IFERROR(OLDBD[[#This Row],[Llegada a packing]]-OLDBD[[#This Row],[Inicio de Ruta]],"")</f>
        <v>0.62291666665987577</v>
      </c>
      <c r="AQ8" s="6">
        <f>IFERROR(OLDBD[[#This Row],[Inicio de Ruta]]-OLDBD[[#This Row],[Salida de almacén de retiro]],"")</f>
        <v>5.8333333334303461E-2</v>
      </c>
      <c r="AR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8" s="8" t="str" cm="1">
        <f t="array" ref="AS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8" s="9">
        <f>IFERROR(OLDBD[[#This Row],[Ingreso Packing]]-OLDBD[[#This Row],[Registro en Packing]],"")</f>
        <v>2.0833333328482695E-3</v>
      </c>
      <c r="AV8" s="9">
        <f>IFERROR(OLDBD[[#This Row],[Ingreso Packing]]-OLDBD[[#This Row],[Llegada a packing]],"")</f>
        <v>5.5555555591126904E-3</v>
      </c>
      <c r="AW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8" s="5">
        <f>IFERROR(OLDBD[[#This Row],[Llegada Almacén de Ingreso]]-OLDBD[[#This Row],[Salida Packing]],"")</f>
        <v>0.7381944444423425</v>
      </c>
      <c r="AY8" s="4" t="str" cm="1">
        <f t="array" ref="AY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8" s="43" t="s">
        <v>173</v>
      </c>
      <c r="BB8" s="47" t="str">
        <f>IFERROR(IF(MARÍTIMOS[[#This Row],[Estatus]]="","",MARÍTIMOS[[#This Row],[Estatus]]),"")</f>
        <v>Confirmado</v>
      </c>
      <c r="BC8" s="43"/>
      <c r="BD8" s="46">
        <f>IFERROR(OLDBD[[#This Row],[Salida de almacén de retiro]]-OLDBD[[#This Row],[Ingreso Almacén de retiro]],"")</f>
        <v>6.9444444445252884E-2</v>
      </c>
      <c r="BE8" s="46">
        <f>IFERROR(OLDBD[[#This Row],[Fin de Carga]]-OLDBD[[#This Row],[Inicio de Carga]],"")</f>
        <v>2.2916666668606922E-2</v>
      </c>
    </row>
    <row r="9" spans="1:57" customFormat="1" hidden="1">
      <c r="A9" s="1"/>
      <c r="B9" s="1">
        <f>IFERROR(IF(MARÍTIMOS[[#This Row],[PP]]="","",MARÍTIMOS[[#This Row],[PP]]),"")</f>
        <v>29</v>
      </c>
      <c r="C9" s="1" t="str">
        <f>IFERROR(IF(MARÍTIMOS[[#This Row],[Sede]]="","",MARÍTIMOS[[#This Row],[Sede]]),"")</f>
        <v>Chao</v>
      </c>
      <c r="D9" s="1" t="str">
        <f>IFERROR(IF(MARÍTIMOS[[#This Row],[Instruction]]="","",MARÍTIMOS[[#This Row],[Instruction]]),"")</f>
        <v>RH-0182</v>
      </c>
      <c r="E9" s="1"/>
      <c r="F9" s="2" t="str">
        <f>IFERROR(IF(MARÍTIMOS[[#This Row],[Transportista]]="","",MARÍTIMOS[[#This Row],[Transportista]]),"")</f>
        <v>Cititrans</v>
      </c>
      <c r="G9" s="2" t="str">
        <f>IFERROR(IF(MARÍTIMOS[[#This Row],[Tercero]]="","",MARÍTIMOS[[#This Row],[Tercero]]),"")</f>
        <v>SI</v>
      </c>
      <c r="H9" s="2" t="str">
        <f>IFERROR(IF(MARÍTIMOS[[#This Row],[Razón Social]]="","",MARÍTIMOS[[#This Row],[Razón Social]]),"")</f>
        <v>JAAP- TRANSPORT</v>
      </c>
      <c r="I9" s="2">
        <f>IFERROR(IF(MARÍTIMOS[[#This Row],[RUC]]="","",MARÍTIMOS[[#This Row],[RUC]]),"")</f>
        <v>20610002669</v>
      </c>
      <c r="J9" s="2" t="str">
        <f>IFERROR(IF(MARÍTIMOS[[#This Row],[Placa Tracto]]="","",MARÍTIMOS[[#This Row],[Placa Tracto]]),"")</f>
        <v>BRV941</v>
      </c>
      <c r="K9" s="2" t="str">
        <f>IFERROR(IF(MARÍTIMOS[[#This Row],[Placa Carreta]]="","",MARÍTIMOS[[#This Row],[Placa Carreta]]),"")</f>
        <v>BHZ998</v>
      </c>
      <c r="L9" s="44" t="str">
        <f>IFERROR(IF(MARÍTIMOS[[#This Row],[Conductor]]="","",MARÍTIMOS[[#This Row],[Conductor]]),"")</f>
        <v>JUAN CARLOS HUAMAN GABRIEL</v>
      </c>
      <c r="M9" s="2" t="str">
        <f>IFERROR(IF(MARÍTIMOS[[#This Row],[Licencia]]="","",MARÍTIMOS[[#This Row],[Licencia]]),"")</f>
        <v>Q32918076</v>
      </c>
      <c r="N9" s="2" t="str">
        <f>IFERROR(IF(MARÍTIMOS[[#This Row],[Número de Contacto]]="","",MARÍTIMOS[[#This Row],[Número de Contacto]]),"")</f>
        <v>933 228 889</v>
      </c>
      <c r="O9" s="10">
        <f>IFERROR(IF(MARÍTIMOS[[#This Row],[Booking|AWB|CRT]]="","",MARÍTIMOS[[#This Row],[Booking|AWB|CRT]]),"")</f>
        <v>6508149830</v>
      </c>
      <c r="P9" s="2" t="str">
        <f>IFERROR(IF(MARÍTIMOS[[#This Row],[Contenedor]]="","",MARÍTIMOS[[#This Row],[Contenedor]]),"")</f>
        <v>FBIU5151815</v>
      </c>
      <c r="Q9" s="2" t="str">
        <f>IFERROR(IF(MARÍTIMOS[[#This Row],[Puerto de Retiro]]="","",MARÍTIMOS[[#This Row],[Puerto de Retiro]]),"")</f>
        <v>CHANCAY</v>
      </c>
      <c r="R9" s="2" t="str">
        <f>IFERROR(IF(MARÍTIMOS[[#This Row],[Almacén de Retiro]]="","",MARÍTIMOS[[#This Row],[Almacén de Retiro]]),"")</f>
        <v>CSPCP</v>
      </c>
      <c r="S9" s="11">
        <f>IFERROR(IF(MARÍTIMOS[[#This Row],[Etapa Retiro - Cita]]="","",MARÍTIMOS[[#This Row],[Etapa Retiro - Cita]]),"")</f>
        <v>46218.75</v>
      </c>
      <c r="T9" s="11">
        <f>IFERROR(IF(MARÍTIMOS[[#This Row],[Etapa Retiro - Llegada]]="","",MARÍTIMOS[[#This Row],[Etapa Retiro - Llegada]]),"")</f>
        <v>46218.886111111111</v>
      </c>
      <c r="U9" s="11">
        <f>IFERROR(IF(MARÍTIMOS[[#This Row],[Etapa Retiro - Ingreso]]="","",MARÍTIMOS[[#This Row],[Etapa Retiro - Ingreso]]),"")</f>
        <v>46218.911805555559</v>
      </c>
      <c r="V9" s="11">
        <f>IFERROR(IF(MARÍTIMOS[[#This Row],[Etapa Retiro - Atención]]="","",MARÍTIMOS[[#This Row],[Etapa Retiro - Atención]]),"")</f>
        <v>46218.916666666664</v>
      </c>
      <c r="W9" s="11">
        <f>IFERROR(IF(MARÍTIMOS[[#This Row],[Etapa Retiro - Atención]]="","",MARÍTIMOS[[#This Row],[Etapa Retiro - Atención]]),"")</f>
        <v>46218.916666666664</v>
      </c>
      <c r="X9" s="11">
        <f>IFERROR(IF(MARÍTIMOS[[#This Row],[Etapa Retiro - Inicio de Ruta]]="","",MARÍTIMOS[[#This Row],[Etapa Retiro - Inicio de Ruta]]),"")</f>
        <v>46218.977777777778</v>
      </c>
      <c r="Y9" s="11">
        <f>IFERROR(IF(MARÍTIMOS[[#This Row],[Hora de Posicionamiento]]="","",MARÍTIMOS[[#This Row],[Fecha de Carga]]+MARÍTIMOS[[#This Row],[Hora de Posicionamiento]]),"")</f>
        <v>46219.5</v>
      </c>
      <c r="Z9" s="11">
        <f>IFERROR(IF(MARÍTIMOS[[#This Row],[Etapa Despacho - Llegada]]="","",MARÍTIMOS[[#This Row],[Etapa Despacho - Llegada]]),"")</f>
        <v>46219.604166666664</v>
      </c>
      <c r="AA9" s="11">
        <f>IFERROR(IF(MARÍTIMOS[[#This Row],[Etapa Despacho - Registro]]="","",MARÍTIMOS[[#This Row],[Etapa Despacho - Registro]]),"")</f>
        <v>46219.607638888891</v>
      </c>
      <c r="AB9" s="11">
        <f>IFERROR(IF(MARÍTIMOS[[#This Row],[Inspección Externa]]="","",MARÍTIMOS[[#This Row],[Inspección Externa]]),"")</f>
        <v>46219.611111111109</v>
      </c>
      <c r="AC9" s="11">
        <f>IFERROR(IF(MARÍTIMOS[[#This Row],[Etapa Despacho - Inicio de Carga]]="","",MARÍTIMOS[[#This Row],[Etapa Despacho - Inicio de Carga]]),"")</f>
        <v>46219.691666666666</v>
      </c>
      <c r="AD9" s="11">
        <f>IFERROR(IF(MARÍTIMOS[[#This Row],[Etapa Despacho - Mitad de Carga]]="","",MARÍTIMOS[[#This Row],[Etapa Despacho - Mitad de Carga]]),"")</f>
        <v>46219.707638888889</v>
      </c>
      <c r="AE9" s="11">
        <f>IFERROR(IF(MARÍTIMOS[[#This Row],[Etapa Despacho - Fin de Carga]]="","",MARÍTIMOS[[#This Row],[Etapa Despacho - Fin de Carga]]),"")</f>
        <v>46219.725694444445</v>
      </c>
      <c r="AF9" s="2" t="str">
        <f>IFERROR(IF(MARÍTIMOS[[#This Row],[Puerto de Embarque]]="","",MARÍTIMOS[[#This Row],[Puerto de Embarque]]),"")</f>
        <v>CHANCAY</v>
      </c>
      <c r="AG9" s="2" t="str">
        <f>IFERROR(IF(MARÍTIMOS[[#This Row],[Almacén de Ingreso]]="","",MARÍTIMOS[[#This Row],[Almacén de Ingreso]]),"")</f>
        <v>CSPCP</v>
      </c>
      <c r="AH9" s="11">
        <f>IFERROR(IF(MARÍTIMOS[[#This Row],[Etapa Ingreso - Cita]]="","",MARÍTIMOS[[#This Row],[Etapa Ingreso - Cita]]),"")</f>
        <v>46220</v>
      </c>
      <c r="AI9" s="11">
        <f>IFERROR(IF(MARÍTIMOS[[#This Row],[Etapa Ingreso - Llegada]]="","",MARÍTIMOS[[#This Row],[Etapa Ingreso - Llegada]]),"")</f>
        <v>46220.415277777778</v>
      </c>
      <c r="AJ9" s="11">
        <f>IFERROR(IF(MARÍTIMOS[[#This Row],[Etapa Ingreso - Ingeso]]="","",MARÍTIMOS[[#This Row],[Etapa Ingreso - Ingeso]]),"")</f>
        <v>46220.422222222223</v>
      </c>
      <c r="AK9" s="11">
        <f>IFERROR(IF(MARÍTIMOS[[#This Row],[Etapa Ingreso - Atención]]="","",MARÍTIMOS[[#This Row],[Etapa Ingreso - Atención]]),"")</f>
        <v>46220.427083333336</v>
      </c>
      <c r="AL9" s="11">
        <f>IFERROR(IF(MARÍTIMOS[[#This Row],[Etapa Ingreso - Salida]]="","",MARÍTIMOS[[#This Row],[Etapa Ingreso - Salida]]),"")</f>
        <v>46220.442361111112</v>
      </c>
      <c r="AM9" s="2">
        <f>IFERROR(IF(MARÍTIMOS[[#This Row],[FCL]]="","",MARÍTIMOS[[#This Row],[FCL]]),"")</f>
        <v>1</v>
      </c>
      <c r="AN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9" s="4" t="str" cm="1">
        <f t="array" ref="AO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" s="5">
        <f>IFERROR(OLDBD[[#This Row],[Llegada a packing]]-OLDBD[[#This Row],[Inicio de Ruta]],"")</f>
        <v>0.62638888888614019</v>
      </c>
      <c r="AQ9" s="6">
        <f>IFERROR(OLDBD[[#This Row],[Inicio de Ruta]]-OLDBD[[#This Row],[Salida de almacén de retiro]],"")</f>
        <v>6.1111111113859806E-2</v>
      </c>
      <c r="AR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9" s="8" t="str" cm="1">
        <f t="array" ref="AS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9" s="9">
        <f>IFERROR(OLDBD[[#This Row],[Ingreso Packing]]-OLDBD[[#This Row],[Registro en Packing]],"")</f>
        <v>3.4722222189884633E-3</v>
      </c>
      <c r="AV9" s="9">
        <f>IFERROR(OLDBD[[#This Row],[Ingreso Packing]]-OLDBD[[#This Row],[Llegada a packing]],"")</f>
        <v>6.9444444452528842E-3</v>
      </c>
      <c r="AW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9" s="5">
        <f>IFERROR(OLDBD[[#This Row],[Llegada Almacén de Ingreso]]-OLDBD[[#This Row],[Salida Packing]],"")</f>
        <v>0.68958333333284827</v>
      </c>
      <c r="AY9" s="4" t="str" cm="1">
        <f t="array" ref="AY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9" s="43" t="s">
        <v>173</v>
      </c>
      <c r="BB9" s="47" t="str">
        <f>IFERROR(IF(MARÍTIMOS[[#This Row],[Estatus]]="","",MARÍTIMOS[[#This Row],[Estatus]]),"")</f>
        <v>Confirmado</v>
      </c>
      <c r="BC9" s="43"/>
      <c r="BD9" s="46">
        <f>IFERROR(OLDBD[[#This Row],[Salida de almacén de retiro]]-OLDBD[[#This Row],[Ingreso Almacén de retiro]],"")</f>
        <v>4.8611111051286571E-3</v>
      </c>
      <c r="BE9" s="46">
        <f>IFERROR(OLDBD[[#This Row],[Fin de Carga]]-OLDBD[[#This Row],[Inicio de Carga]],"")</f>
        <v>1.5972222223354038E-2</v>
      </c>
    </row>
    <row r="10" spans="1:57" customFormat="1" hidden="1">
      <c r="A10" s="1"/>
      <c r="B10" s="1">
        <f>IFERROR(IF(MARÍTIMOS[[#This Row],[PP]]="","",MARÍTIMOS[[#This Row],[PP]]),"")</f>
        <v>29</v>
      </c>
      <c r="C10" s="1" t="str">
        <f>IFERROR(IF(MARÍTIMOS[[#This Row],[Sede]]="","",MARÍTIMOS[[#This Row],[Sede]]),"")</f>
        <v>Chao</v>
      </c>
      <c r="D10" s="1" t="str">
        <f>IFERROR(IF(MARÍTIMOS[[#This Row],[Instruction]]="","",MARÍTIMOS[[#This Row],[Instruction]]),"")</f>
        <v>RH-0187</v>
      </c>
      <c r="E10" s="1"/>
      <c r="F10" s="2" t="str">
        <f>IFERROR(IF(MARÍTIMOS[[#This Row],[Transportista]]="","",MARÍTIMOS[[#This Row],[Transportista]]),"")</f>
        <v>Cititrans</v>
      </c>
      <c r="G10" s="2" t="str">
        <f>IFERROR(IF(MARÍTIMOS[[#This Row],[Tercero]]="","",MARÍTIMOS[[#This Row],[Tercero]]),"")</f>
        <v>SI</v>
      </c>
      <c r="H10" s="2" t="str">
        <f>IFERROR(IF(MARÍTIMOS[[#This Row],[Razón Social]]="","",MARÍTIMOS[[#This Row],[Razón Social]]),"")</f>
        <v>RE TRANSPORTS</v>
      </c>
      <c r="I10" s="2">
        <f>IFERROR(IF(MARÍTIMOS[[#This Row],[RUC]]="","",MARÍTIMOS[[#This Row],[RUC]]),"")</f>
        <v>20600489535</v>
      </c>
      <c r="J10" s="2" t="str">
        <f>IFERROR(IF(MARÍTIMOS[[#This Row],[Placa Tracto]]="","",MARÍTIMOS[[#This Row],[Placa Tracto]]),"")</f>
        <v>D4M-901</v>
      </c>
      <c r="K10" s="2" t="str">
        <f>IFERROR(IF(MARÍTIMOS[[#This Row],[Placa Carreta]]="","",MARÍTIMOS[[#This Row],[Placa Carreta]]),"")</f>
        <v>B2E-984</v>
      </c>
      <c r="L10" s="44" t="str">
        <f>IFERROR(IF(MARÍTIMOS[[#This Row],[Conductor]]="","",MARÍTIMOS[[#This Row],[Conductor]]),"")</f>
        <v>HENRY VICENTE PRADA</v>
      </c>
      <c r="M10" s="2" t="str">
        <f>IFERROR(IF(MARÍTIMOS[[#This Row],[Licencia]]="","",MARÍTIMOS[[#This Row],[Licencia]]),"")</f>
        <v>Q09483810</v>
      </c>
      <c r="N10" s="2" t="str">
        <f>IFERROR(IF(MARÍTIMOS[[#This Row],[Número de Contacto]]="","",MARÍTIMOS[[#This Row],[Número de Contacto]]),"")</f>
        <v>992 157 075</v>
      </c>
      <c r="O10" s="10">
        <f>IFERROR(IF(MARÍTIMOS[[#This Row],[Booking|AWB|CRT]]="","",MARÍTIMOS[[#This Row],[Booking|AWB|CRT]]),"")</f>
        <v>274341519</v>
      </c>
      <c r="P10" s="2" t="str">
        <f>IFERROR(IF(MARÍTIMOS[[#This Row],[Contenedor]]="","",MARÍTIMOS[[#This Row],[Contenedor]]),"")</f>
        <v>SUDU8239480</v>
      </c>
      <c r="Q10" s="2" t="str">
        <f>IFERROR(IF(MARÍTIMOS[[#This Row],[Puerto de Retiro]]="","",MARÍTIMOS[[#This Row],[Puerto de Retiro]]),"")</f>
        <v>CALLAO</v>
      </c>
      <c r="R10" s="2" t="str">
        <f>IFERROR(IF(MARÍTIMOS[[#This Row],[Almacén de Retiro]]="","",MARÍTIMOS[[#This Row],[Almacén de Retiro]]),"")</f>
        <v>DPW</v>
      </c>
      <c r="S10" s="11">
        <f>IFERROR(IF(MARÍTIMOS[[#This Row],[Etapa Retiro - Cita]]="","",MARÍTIMOS[[#This Row],[Etapa Retiro - Cita]]),"")</f>
        <v>46218.791666666664</v>
      </c>
      <c r="T10" s="11">
        <f>IFERROR(IF(MARÍTIMOS[[#This Row],[Etapa Retiro - Llegada]]="","",MARÍTIMOS[[#This Row],[Etapa Retiro - Llegada]]),"")</f>
        <v>46218.765972222223</v>
      </c>
      <c r="U10" s="11">
        <f>IFERROR(IF(MARÍTIMOS[[#This Row],[Etapa Retiro - Ingreso]]="","",MARÍTIMOS[[#This Row],[Etapa Retiro - Ingreso]]),"")</f>
        <v>46218.8125</v>
      </c>
      <c r="V10" s="11">
        <f>IFERROR(IF(MARÍTIMOS[[#This Row],[Etapa Retiro - Atención]]="","",MARÍTIMOS[[#This Row],[Etapa Retiro - Atención]]),"")</f>
        <v>46218.819444444445</v>
      </c>
      <c r="W10" s="11">
        <f>IFERROR(IF(MARÍTIMOS[[#This Row],[Etapa Retiro - Atención]]="","",MARÍTIMOS[[#This Row],[Etapa Retiro - Atención]]),"")</f>
        <v>46218.819444444445</v>
      </c>
      <c r="X10" s="11">
        <f>IFERROR(IF(MARÍTIMOS[[#This Row],[Etapa Retiro - Inicio de Ruta]]="","",MARÍTIMOS[[#This Row],[Etapa Retiro - Inicio de Ruta]]),"")</f>
        <v>46218.834027777775</v>
      </c>
      <c r="Y10" s="11">
        <f>IFERROR(IF(MARÍTIMOS[[#This Row],[Hora de Posicionamiento]]="","",MARÍTIMOS[[#This Row],[Fecha de Carga]]+MARÍTIMOS[[#This Row],[Hora de Posicionamiento]]),"")</f>
        <v>46219.5</v>
      </c>
      <c r="Z10" s="11">
        <f>IFERROR(IF(MARÍTIMOS[[#This Row],[Etapa Despacho - Llegada]]="","",MARÍTIMOS[[#This Row],[Etapa Despacho - Llegada]]),"")</f>
        <v>46219.609722222223</v>
      </c>
      <c r="AA10" s="11">
        <f>IFERROR(IF(MARÍTIMOS[[#This Row],[Etapa Despacho - Registro]]="","",MARÍTIMOS[[#This Row],[Etapa Despacho - Registro]]),"")</f>
        <v>46219.61041666667</v>
      </c>
      <c r="AB10" s="11">
        <f>IFERROR(IF(MARÍTIMOS[[#This Row],[Inspección Externa]]="","",MARÍTIMOS[[#This Row],[Inspección Externa]]),"")</f>
        <v>46219.611111111109</v>
      </c>
      <c r="AC10" s="11">
        <f>IFERROR(IF(MARÍTIMOS[[#This Row],[Etapa Despacho - Inicio de Carga]]="","",MARÍTIMOS[[#This Row],[Etapa Despacho - Inicio de Carga]]),"")</f>
        <v>46219.675694444442</v>
      </c>
      <c r="AD10" s="11">
        <f>IFERROR(IF(MARÍTIMOS[[#This Row],[Etapa Despacho - Mitad de Carga]]="","",MARÍTIMOS[[#This Row],[Etapa Despacho - Mitad de Carga]]),"")</f>
        <v>46219.6875</v>
      </c>
      <c r="AE10" s="11">
        <f>IFERROR(IF(MARÍTIMOS[[#This Row],[Etapa Despacho - Fin de Carga]]="","",MARÍTIMOS[[#This Row],[Etapa Despacho - Fin de Carga]]),"")</f>
        <v>46219.7</v>
      </c>
      <c r="AF10" s="2" t="str">
        <f>IFERROR(IF(MARÍTIMOS[[#This Row],[Puerto de Embarque]]="","",MARÍTIMOS[[#This Row],[Puerto de Embarque]]),"")</f>
        <v>CALLAO</v>
      </c>
      <c r="AG10" s="2" t="str">
        <f>IFERROR(IF(MARÍTIMOS[[#This Row],[Almacén de Ingreso]]="","",MARÍTIMOS[[#This Row],[Almacén de Ingreso]]),"")</f>
        <v>DPW</v>
      </c>
      <c r="AH10" s="11">
        <f>IFERROR(IF(MARÍTIMOS[[#This Row],[Etapa Ingreso - Cita]]="","",MARÍTIMOS[[#This Row],[Etapa Ingreso - Cita]]),"")</f>
        <v>46220.583333333336</v>
      </c>
      <c r="AI10" s="11">
        <f>IFERROR(IF(MARÍTIMOS[[#This Row],[Etapa Ingreso - Llegada]]="","",MARÍTIMOS[[#This Row],[Etapa Ingreso - Llegada]]),"")</f>
        <v>46220.541666666664</v>
      </c>
      <c r="AJ10" s="11">
        <f>IFERROR(IF(MARÍTIMOS[[#This Row],[Etapa Ingreso - Ingeso]]="","",MARÍTIMOS[[#This Row],[Etapa Ingreso - Ingeso]]),"")</f>
        <v>46220.548611111109</v>
      </c>
      <c r="AK10" s="11">
        <f>IFERROR(IF(MARÍTIMOS[[#This Row],[Etapa Ingreso - Atención]]="","",MARÍTIMOS[[#This Row],[Etapa Ingreso - Atención]]),"")</f>
        <v>46220.556944444441</v>
      </c>
      <c r="AL10" s="11">
        <f>IFERROR(IF(MARÍTIMOS[[#This Row],[Etapa Ingreso - Salida]]="","",MARÍTIMOS[[#This Row],[Etapa Ingreso - Salida]]),"")</f>
        <v>46220.591666666667</v>
      </c>
      <c r="AM10" s="2">
        <f>IFERROR(IF(MARÍTIMOS[[#This Row],[FCL]]="","",MARÍTIMOS[[#This Row],[FCL]]),"")</f>
        <v>1</v>
      </c>
      <c r="AN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0" s="4" t="str" cm="1">
        <f t="array" ref="AO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" s="5">
        <f>IFERROR(OLDBD[[#This Row],[Llegada a packing]]-OLDBD[[#This Row],[Inicio de Ruta]],"")</f>
        <v>0.77569444444816327</v>
      </c>
      <c r="AQ10" s="6">
        <f>IFERROR(OLDBD[[#This Row],[Inicio de Ruta]]-OLDBD[[#This Row],[Salida de almacén de retiro]],"")</f>
        <v>1.4583333329937886E-2</v>
      </c>
      <c r="AR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10" s="8" t="str" cm="1">
        <f t="array" ref="AS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0" s="9">
        <f>IFERROR(OLDBD[[#This Row],[Ingreso Packing]]-OLDBD[[#This Row],[Registro en Packing]],"")</f>
        <v>6.9444443943211809E-4</v>
      </c>
      <c r="AV10" s="9">
        <f>IFERROR(OLDBD[[#This Row],[Ingreso Packing]]-OLDBD[[#This Row],[Llegada a packing]],"")</f>
        <v>1.3888888861401938E-3</v>
      </c>
      <c r="AW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0" s="5">
        <f>IFERROR(OLDBD[[#This Row],[Llegada Almacén de Ingreso]]-OLDBD[[#This Row],[Salida Packing]],"")</f>
        <v>0.84166666666715173</v>
      </c>
      <c r="AY10" s="4" t="str" cm="1">
        <f t="array" ref="AY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0" s="43" t="s">
        <v>173</v>
      </c>
      <c r="BB10" s="47" t="str">
        <f>IFERROR(IF(MARÍTIMOS[[#This Row],[Estatus]]="","",MARÍTIMOS[[#This Row],[Estatus]]),"")</f>
        <v>Confirmado</v>
      </c>
      <c r="BC10" s="43"/>
      <c r="BD10" s="46">
        <f>IFERROR(OLDBD[[#This Row],[Salida de almacén de retiro]]-OLDBD[[#This Row],[Ingreso Almacén de retiro]],"")</f>
        <v>6.9444444452528842E-3</v>
      </c>
      <c r="BE10" s="46">
        <f>IFERROR(OLDBD[[#This Row],[Fin de Carga]]-OLDBD[[#This Row],[Inicio de Carga]],"")</f>
        <v>1.1805555557657499E-2</v>
      </c>
    </row>
    <row r="11" spans="1:57" customFormat="1" hidden="1">
      <c r="A11" s="1"/>
      <c r="B11" s="1">
        <f>IFERROR(IF(MARÍTIMOS[[#This Row],[PP]]="","",MARÍTIMOS[[#This Row],[PP]]),"")</f>
        <v>30</v>
      </c>
      <c r="C11" s="1" t="str">
        <f>IFERROR(IF(MARÍTIMOS[[#This Row],[Sede]]="","",MARÍTIMOS[[#This Row],[Sede]]),"")</f>
        <v>Chao</v>
      </c>
      <c r="D11" s="1" t="str">
        <f>IFERROR(IF(MARÍTIMOS[[#This Row],[Instruction]]="","",MARÍTIMOS[[#This Row],[Instruction]]),"")</f>
        <v>RH-0238</v>
      </c>
      <c r="E11" s="1"/>
      <c r="F11" s="2" t="str">
        <f>IFERROR(IF(MARÍTIMOS[[#This Row],[Transportista]]="","",MARÍTIMOS[[#This Row],[Transportista]]),"")</f>
        <v>Cititrans</v>
      </c>
      <c r="G11" s="2" t="str">
        <f>IFERROR(IF(MARÍTIMOS[[#This Row],[Tercero]]="","",MARÍTIMOS[[#This Row],[Tercero]]),"")</f>
        <v>SI</v>
      </c>
      <c r="H11" s="2" t="str">
        <f>IFERROR(IF(MARÍTIMOS[[#This Row],[Razón Social]]="","",MARÍTIMOS[[#This Row],[Razón Social]]),"")</f>
        <v>JAAP- TRANSPORT</v>
      </c>
      <c r="I11" s="2">
        <f>IFERROR(IF(MARÍTIMOS[[#This Row],[RUC]]="","",MARÍTIMOS[[#This Row],[RUC]]),"")</f>
        <v>20610002669</v>
      </c>
      <c r="J11" s="2" t="str">
        <f>IFERROR(IF(MARÍTIMOS[[#This Row],[Placa Tracto]]="","",MARÍTIMOS[[#This Row],[Placa Tracto]]),"")</f>
        <v>BRV-941</v>
      </c>
      <c r="K11" s="2" t="str">
        <f>IFERROR(IF(MARÍTIMOS[[#This Row],[Placa Carreta]]="","",MARÍTIMOS[[#This Row],[Placa Carreta]]),"")</f>
        <v>BHZ-998</v>
      </c>
      <c r="L11" s="44" t="str">
        <f>IFERROR(IF(MARÍTIMOS[[#This Row],[Conductor]]="","",MARÍTIMOS[[#This Row],[Conductor]]),"")</f>
        <v>JUAN CARLOS HUAMAN GABRIEL</v>
      </c>
      <c r="M11" s="2" t="str">
        <f>IFERROR(IF(MARÍTIMOS[[#This Row],[Licencia]]="","",MARÍTIMOS[[#This Row],[Licencia]]),"")</f>
        <v>Q32918076</v>
      </c>
      <c r="N11" s="2" t="str">
        <f>IFERROR(IF(MARÍTIMOS[[#This Row],[Número de Contacto]]="","",MARÍTIMOS[[#This Row],[Número de Contacto]]),"")</f>
        <v>933 228 889</v>
      </c>
      <c r="O11" s="10" t="str">
        <f>IFERROR(IF(MARÍTIMOS[[#This Row],[Booking|AWB|CRT]]="","",MARÍTIMOS[[#This Row],[Booking|AWB|CRT]]),"")</f>
        <v>LIMG13501400 </v>
      </c>
      <c r="P11" s="2" t="str">
        <f>IFERROR(IF(MARÍTIMOS[[#This Row],[Contenedor]]="","",MARÍTIMOS[[#This Row],[Contenedor]]),"")</f>
        <v>OTPU6398799</v>
      </c>
      <c r="Q11" s="2" t="str">
        <f>IFERROR(IF(MARÍTIMOS[[#This Row],[Puerto de Retiro]]="","",MARÍTIMOS[[#This Row],[Puerto de Retiro]]),"")</f>
        <v>CALLAO</v>
      </c>
      <c r="R11" s="2" t="str">
        <f>IFERROR(IF(MARÍTIMOS[[#This Row],[Almacén de Retiro]]="","",MARÍTIMOS[[#This Row],[Almacén de Retiro]]),"")</f>
        <v>CONTRANS</v>
      </c>
      <c r="S11" s="11">
        <f>IFERROR(IF(MARÍTIMOS[[#This Row],[Etapa Retiro - Cita]]="","",MARÍTIMOS[[#This Row],[Etapa Retiro - Cita]]),"")</f>
        <v>46225.666666666664</v>
      </c>
      <c r="T11" s="11">
        <f>IFERROR(IF(MARÍTIMOS[[#This Row],[Etapa Retiro - Llegada]]="","",MARÍTIMOS[[#This Row],[Etapa Retiro - Llegada]]),"")</f>
        <v>46225.65625</v>
      </c>
      <c r="U11" s="11">
        <f>IFERROR(IF(MARÍTIMOS[[#This Row],[Etapa Retiro - Ingreso]]="","",MARÍTIMOS[[#This Row],[Etapa Retiro - Ingreso]]),"")</f>
        <v>46225.691666666666</v>
      </c>
      <c r="V11" s="11">
        <f>IFERROR(IF(MARÍTIMOS[[#This Row],[Etapa Retiro - Atención]]="","",MARÍTIMOS[[#This Row],[Etapa Retiro - Atención]]),"")</f>
        <v>46225.708333333336</v>
      </c>
      <c r="W11" s="11">
        <f>IFERROR(IF(MARÍTIMOS[[#This Row],[Etapa Retiro - Atención]]="","",MARÍTIMOS[[#This Row],[Etapa Retiro - Atención]]),"")</f>
        <v>46225.708333333336</v>
      </c>
      <c r="X11" s="11">
        <f>IFERROR(IF(MARÍTIMOS[[#This Row],[Etapa Retiro - Inicio de Ruta]]="","",MARÍTIMOS[[#This Row],[Etapa Retiro - Inicio de Ruta]]),"")</f>
        <v>46225.857638888891</v>
      </c>
      <c r="Y11" s="11">
        <f>IFERROR(IF(MARÍTIMOS[[#This Row],[Hora de Posicionamiento]]="","",MARÍTIMOS[[#This Row],[Fecha de Carga]]+MARÍTIMOS[[#This Row],[Hora de Posicionamiento]]),"")</f>
        <v>46226.541666666664</v>
      </c>
      <c r="Z11" s="11">
        <f>IFERROR(IF(MARÍTIMOS[[#This Row],[Etapa Despacho - Llegada]]="","",MARÍTIMOS[[#This Row],[Etapa Despacho - Llegada]]),"")</f>
        <v>46226.515972222223</v>
      </c>
      <c r="AA11" s="11">
        <f>IFERROR(IF(MARÍTIMOS[[#This Row],[Etapa Despacho - Registro]]="","",MARÍTIMOS[[#This Row],[Etapa Despacho - Registro]]),"")</f>
        <v>46226.519444444442</v>
      </c>
      <c r="AB11" s="11">
        <f>IFERROR(IF(MARÍTIMOS[[#This Row],[Inspección Externa]]="","",MARÍTIMOS[[#This Row],[Inspección Externa]]),"")</f>
        <v>46226.552083333336</v>
      </c>
      <c r="AC11" s="11">
        <f>IFERROR(IF(MARÍTIMOS[[#This Row],[Etapa Despacho - Inicio de Carga]]="","",MARÍTIMOS[[#This Row],[Etapa Despacho - Inicio de Carga]]),"")</f>
        <v>46226.70208333333</v>
      </c>
      <c r="AD11" s="11">
        <f>IFERROR(IF(MARÍTIMOS[[#This Row],[Etapa Despacho - Mitad de Carga]]="","",MARÍTIMOS[[#This Row],[Etapa Despacho - Mitad de Carga]]),"")</f>
        <v>46226.726388888892</v>
      </c>
      <c r="AE11" s="11">
        <f>IFERROR(IF(MARÍTIMOS[[#This Row],[Etapa Despacho - Fin de Carga]]="","",MARÍTIMOS[[#This Row],[Etapa Despacho - Fin de Carga]]),"")</f>
        <v>46226.738194444442</v>
      </c>
      <c r="AF11" s="2" t="str">
        <f>IFERROR(IF(MARÍTIMOS[[#This Row],[Puerto de Embarque]]="","",MARÍTIMOS[[#This Row],[Puerto de Embarque]]),"")</f>
        <v>CALLAO</v>
      </c>
      <c r="AG11" s="2" t="str">
        <f>IFERROR(IF(MARÍTIMOS[[#This Row],[Almacén de Ingreso]]="","",MARÍTIMOS[[#This Row],[Almacén de Ingreso]]),"")</f>
        <v>DPW</v>
      </c>
      <c r="AH11" s="11">
        <f>IFERROR(IF(MARÍTIMOS[[#This Row],[Etapa Ingreso - Cita]]="","",MARÍTIMOS[[#This Row],[Etapa Ingreso - Cita]]),"")</f>
        <v>46227.75</v>
      </c>
      <c r="AI11" s="11">
        <f>IFERROR(IF(MARÍTIMOS[[#This Row],[Etapa Ingreso - Llegada]]="","",MARÍTIMOS[[#This Row],[Etapa Ingreso - Llegada]]),"")</f>
        <v>46227.695138888892</v>
      </c>
      <c r="AJ11" s="11">
        <f>IFERROR(IF(MARÍTIMOS[[#This Row],[Etapa Ingreso - Ingeso]]="","",MARÍTIMOS[[#This Row],[Etapa Ingreso - Ingeso]]),"")</f>
        <v>46227.720833333333</v>
      </c>
      <c r="AK11" s="11">
        <f>IFERROR(IF(MARÍTIMOS[[#This Row],[Etapa Ingreso - Atención]]="","",MARÍTIMOS[[#This Row],[Etapa Ingreso - Atención]]),"")</f>
        <v>46227.726388888892</v>
      </c>
      <c r="AL11" s="11">
        <f>IFERROR(IF(MARÍTIMOS[[#This Row],[Etapa Ingreso - Salida]]="","",MARÍTIMOS[[#This Row],[Etapa Ingreso - Salida]]),"")</f>
        <v>46227.743055555555</v>
      </c>
      <c r="AM11" s="2">
        <f>IFERROR(IF(MARÍTIMOS[[#This Row],[FCL]]="","",MARÍTIMOS[[#This Row],[FCL]]),"")</f>
        <v>1</v>
      </c>
      <c r="AN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1" s="4" t="str" cm="1">
        <f t="array" ref="AO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1" s="5">
        <f>IFERROR(OLDBD[[#This Row],[Llegada a packing]]-OLDBD[[#This Row],[Inicio de Ruta]],"")</f>
        <v>0.65833333333284827</v>
      </c>
      <c r="AQ11" s="6">
        <f>IFERROR(OLDBD[[#This Row],[Inicio de Ruta]]-OLDBD[[#This Row],[Salida de almacén de retiro]],"")</f>
        <v>0.14930555555474712</v>
      </c>
      <c r="AR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1" s="8" t="str" cm="1">
        <f t="array" ref="AS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1" s="9">
        <f>IFERROR(OLDBD[[#This Row],[Ingreso Packing]]-OLDBD[[#This Row],[Registro en Packing]],"")</f>
        <v>3.2638888893416151E-2</v>
      </c>
      <c r="AV11" s="9">
        <f>IFERROR(OLDBD[[#This Row],[Ingreso Packing]]-OLDBD[[#This Row],[Llegada a packing]],"")</f>
        <v>3.6111111112404615E-2</v>
      </c>
      <c r="AW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1" s="5">
        <f>IFERROR(OLDBD[[#This Row],[Llegada Almacén de Ingreso]]-OLDBD[[#This Row],[Salida Packing]],"")</f>
        <v>0.95694444444961846</v>
      </c>
      <c r="AY11" s="4" t="str" cm="1">
        <f t="array" ref="AY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1" s="43" t="s">
        <v>173</v>
      </c>
      <c r="BB11" s="47" t="str">
        <f>IFERROR(IF(MARÍTIMOS[[#This Row],[Estatus]]="","",MARÍTIMOS[[#This Row],[Estatus]]),"")</f>
        <v>Confirmado</v>
      </c>
      <c r="BC11" s="43"/>
      <c r="BD11" s="46">
        <f>IFERROR(OLDBD[[#This Row],[Salida de almacén de retiro]]-OLDBD[[#This Row],[Ingreso Almacén de retiro]],"")</f>
        <v>1.6666666670062114E-2</v>
      </c>
      <c r="BE11" s="46">
        <f>IFERROR(OLDBD[[#This Row],[Fin de Carga]]-OLDBD[[#This Row],[Inicio de Carga]],"")</f>
        <v>2.4305555562023073E-2</v>
      </c>
    </row>
    <row r="12" spans="1:57" customFormat="1" hidden="1">
      <c r="A12" s="1"/>
      <c r="B12" s="1">
        <f>IFERROR(IF(MARÍTIMOS[[#This Row],[PP]]="","",MARÍTIMOS[[#This Row],[PP]]),"")</f>
        <v>30</v>
      </c>
      <c r="C12" s="1" t="str">
        <f>IFERROR(IF(MARÍTIMOS[[#This Row],[Sede]]="","",MARÍTIMOS[[#This Row],[Sede]]),"")</f>
        <v>Chao</v>
      </c>
      <c r="D12" s="1" t="str">
        <f>IFERROR(IF(MARÍTIMOS[[#This Row],[Instruction]]="","",MARÍTIMOS[[#This Row],[Instruction]]),"")</f>
        <v>RH-0239</v>
      </c>
      <c r="E12" s="1"/>
      <c r="F12" s="2" t="str">
        <f>IFERROR(IF(MARÍTIMOS[[#This Row],[Transportista]]="","",MARÍTIMOS[[#This Row],[Transportista]]),"")</f>
        <v>Cititrans</v>
      </c>
      <c r="G12" s="2" t="str">
        <f>IFERROR(IF(MARÍTIMOS[[#This Row],[Tercero]]="","",MARÍTIMOS[[#This Row],[Tercero]]),"")</f>
        <v>SI</v>
      </c>
      <c r="H12" s="2" t="str">
        <f>IFERROR(IF(MARÍTIMOS[[#This Row],[Razón Social]]="","",MARÍTIMOS[[#This Row],[Razón Social]]),"")</f>
        <v>P&amp;M - logistics eirl </v>
      </c>
      <c r="I12" s="2">
        <f>IFERROR(IF(MARÍTIMOS[[#This Row],[RUC]]="","",MARÍTIMOS[[#This Row],[RUC]]),"")</f>
        <v>20609311780</v>
      </c>
      <c r="J12" s="2" t="str">
        <f>IFERROR(IF(MARÍTIMOS[[#This Row],[Placa Tracto]]="","",MARÍTIMOS[[#This Row],[Placa Tracto]]),"")</f>
        <v>C7I-751</v>
      </c>
      <c r="K12" s="2" t="str">
        <f>IFERROR(IF(MARÍTIMOS[[#This Row],[Placa Carreta]]="","",MARÍTIMOS[[#This Row],[Placa Carreta]]),"")</f>
        <v>ALA-984</v>
      </c>
      <c r="L12" s="44" t="str">
        <f>IFERROR(IF(MARÍTIMOS[[#This Row],[Conductor]]="","",MARÍTIMOS[[#This Row],[Conductor]]),"")</f>
        <v>JOSE LUIS APOLINARIO LAUREANO</v>
      </c>
      <c r="M12" s="2" t="str">
        <f>IFERROR(IF(MARÍTIMOS[[#This Row],[Licencia]]="","",MARÍTIMOS[[#This Row],[Licencia]]),"")</f>
        <v>Q44347234</v>
      </c>
      <c r="N12" s="2" t="str">
        <f>IFERROR(IF(MARÍTIMOS[[#This Row],[Número de Contacto]]="","",MARÍTIMOS[[#This Row],[Número de Contacto]]),"")</f>
        <v>984 114 549</v>
      </c>
      <c r="O12" s="10" t="str">
        <f>IFERROR(IF(MARÍTIMOS[[#This Row],[Booking|AWB|CRT]]="","",MARÍTIMOS[[#This Row],[Booking|AWB|CRT]]),"")</f>
        <v>LIMG13500300</v>
      </c>
      <c r="P12" s="2" t="str">
        <f>IFERROR(IF(MARÍTIMOS[[#This Row],[Contenedor]]="","",MARÍTIMOS[[#This Row],[Contenedor]]),"")</f>
        <v>ONEU9246239</v>
      </c>
      <c r="Q12" s="2" t="str">
        <f>IFERROR(IF(MARÍTIMOS[[#This Row],[Puerto de Retiro]]="","",MARÍTIMOS[[#This Row],[Puerto de Retiro]]),"")</f>
        <v>CALLAO</v>
      </c>
      <c r="R12" s="2" t="str">
        <f>IFERROR(IF(MARÍTIMOS[[#This Row],[Almacén de Retiro]]="","",MARÍTIMOS[[#This Row],[Almacén de Retiro]]),"")</f>
        <v>CONTRANS</v>
      </c>
      <c r="S12" s="11">
        <f>IFERROR(IF(MARÍTIMOS[[#This Row],[Etapa Retiro - Cita]]="","",MARÍTIMOS[[#This Row],[Etapa Retiro - Cita]]),"")</f>
        <v>46225.666666666664</v>
      </c>
      <c r="T12" s="11">
        <f>IFERROR(IF(MARÍTIMOS[[#This Row],[Etapa Retiro - Llegada]]="","",MARÍTIMOS[[#This Row],[Etapa Retiro - Llegada]]),"")</f>
        <v>46225.645833333336</v>
      </c>
      <c r="U12" s="11">
        <f>IFERROR(IF(MARÍTIMOS[[#This Row],[Etapa Retiro - Ingreso]]="","",MARÍTIMOS[[#This Row],[Etapa Retiro - Ingreso]]),"")</f>
        <v>46225.666666666664</v>
      </c>
      <c r="V12" s="11">
        <f>IFERROR(IF(MARÍTIMOS[[#This Row],[Etapa Retiro - Atención]]="","",MARÍTIMOS[[#This Row],[Etapa Retiro - Atención]]),"")</f>
        <v>46225.695833333331</v>
      </c>
      <c r="W12" s="11">
        <f>IFERROR(IF(MARÍTIMOS[[#This Row],[Etapa Retiro - Atención]]="","",MARÍTIMOS[[#This Row],[Etapa Retiro - Atención]]),"")</f>
        <v>46225.695833333331</v>
      </c>
      <c r="X12" s="11">
        <f>IFERROR(IF(MARÍTIMOS[[#This Row],[Etapa Retiro - Inicio de Ruta]]="","",MARÍTIMOS[[#This Row],[Etapa Retiro - Inicio de Ruta]]),"")</f>
        <v>46225.75</v>
      </c>
      <c r="Y12" s="11">
        <f>IFERROR(IF(MARÍTIMOS[[#This Row],[Hora de Posicionamiento]]="","",MARÍTIMOS[[#This Row],[Fecha de Carga]]+MARÍTIMOS[[#This Row],[Hora de Posicionamiento]]),"")</f>
        <v>46226.5</v>
      </c>
      <c r="Z12" s="11">
        <f>IFERROR(IF(MARÍTIMOS[[#This Row],[Etapa Despacho - Llegada]]="","",MARÍTIMOS[[#This Row],[Etapa Despacho - Llegada]]),"")</f>
        <v>46226.54791666667</v>
      </c>
      <c r="AA12" s="11">
        <f>IFERROR(IF(MARÍTIMOS[[#This Row],[Etapa Despacho - Registro]]="","",MARÍTIMOS[[#This Row],[Etapa Despacho - Registro]]),"")</f>
        <v>46226.551388888889</v>
      </c>
      <c r="AB12" s="11">
        <f>IFERROR(IF(MARÍTIMOS[[#This Row],[Inspección Externa]]="","",MARÍTIMOS[[#This Row],[Inspección Externa]]),"")</f>
        <v>46226.576388888891</v>
      </c>
      <c r="AC12" s="11">
        <f>IFERROR(IF(MARÍTIMOS[[#This Row],[Etapa Despacho - Inicio de Carga]]="","",MARÍTIMOS[[#This Row],[Etapa Despacho - Inicio de Carga]]),"")</f>
        <v>46226.713888888888</v>
      </c>
      <c r="AD12" s="11">
        <f>IFERROR(IF(MARÍTIMOS[[#This Row],[Etapa Despacho - Mitad de Carga]]="","",MARÍTIMOS[[#This Row],[Etapa Despacho - Mitad de Carga]]),"")</f>
        <v>46226.731944444444</v>
      </c>
      <c r="AE12" s="11">
        <f>IFERROR(IF(MARÍTIMOS[[#This Row],[Etapa Despacho - Fin de Carga]]="","",MARÍTIMOS[[#This Row],[Etapa Despacho - Fin de Carga]]),"")</f>
        <v>46226.750694444447</v>
      </c>
      <c r="AF12" s="2" t="str">
        <f>IFERROR(IF(MARÍTIMOS[[#This Row],[Puerto de Embarque]]="","",MARÍTIMOS[[#This Row],[Puerto de Embarque]]),"")</f>
        <v>CALLAO</v>
      </c>
      <c r="AG12" s="2" t="str">
        <f>IFERROR(IF(MARÍTIMOS[[#This Row],[Almacén de Ingreso]]="","",MARÍTIMOS[[#This Row],[Almacén de Ingreso]]),"")</f>
        <v>DPW</v>
      </c>
      <c r="AH12" s="11">
        <f>IFERROR(IF(MARÍTIMOS[[#This Row],[Etapa Ingreso - Cita]]="","",MARÍTIMOS[[#This Row],[Etapa Ingreso - Cita]]),"")</f>
        <v>46227.708333333336</v>
      </c>
      <c r="AI12" s="11">
        <f>IFERROR(IF(MARÍTIMOS[[#This Row],[Etapa Ingreso - Llegada]]="","",MARÍTIMOS[[#This Row],[Etapa Ingreso - Llegada]]),"")</f>
        <v>46227.638888888891</v>
      </c>
      <c r="AJ12" s="11">
        <f>IFERROR(IF(MARÍTIMOS[[#This Row],[Etapa Ingreso - Ingeso]]="","",MARÍTIMOS[[#This Row],[Etapa Ingreso - Ingeso]]),"")</f>
        <v>46227.690972222219</v>
      </c>
      <c r="AK12" s="11">
        <f>IFERROR(IF(MARÍTIMOS[[#This Row],[Etapa Ingreso - Atención]]="","",MARÍTIMOS[[#This Row],[Etapa Ingreso - Atención]]),"")</f>
        <v>46227.7</v>
      </c>
      <c r="AL12" s="11">
        <f>IFERROR(IF(MARÍTIMOS[[#This Row],[Etapa Ingreso - Salida]]="","",MARÍTIMOS[[#This Row],[Etapa Ingreso - Salida]]),"")</f>
        <v>46230.709722222222</v>
      </c>
      <c r="AM12" s="2">
        <f>IFERROR(IF(MARÍTIMOS[[#This Row],[FCL]]="","",MARÍTIMOS[[#This Row],[FCL]]),"")</f>
        <v>1</v>
      </c>
      <c r="AN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" s="4" t="str" cm="1">
        <f t="array" ref="AO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" s="5">
        <f>IFERROR(OLDBD[[#This Row],[Llegada a packing]]-OLDBD[[#This Row],[Inicio de Ruta]],"")</f>
        <v>0.79791666667006211</v>
      </c>
      <c r="AQ12" s="6">
        <f>IFERROR(OLDBD[[#This Row],[Inicio de Ruta]]-OLDBD[[#This Row],[Salida de almacén de retiro]],"")</f>
        <v>5.4166666668606922E-2</v>
      </c>
      <c r="AR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2" s="8" t="str" cm="1">
        <f t="array" ref="AS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2" s="9">
        <f>IFERROR(OLDBD[[#This Row],[Ingreso Packing]]-OLDBD[[#This Row],[Registro en Packing]],"")</f>
        <v>2.5000000001455192E-2</v>
      </c>
      <c r="AV12" s="9">
        <f>IFERROR(OLDBD[[#This Row],[Ingreso Packing]]-OLDBD[[#This Row],[Llegada a packing]],"")</f>
        <v>2.8472222220443655E-2</v>
      </c>
      <c r="AW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2" s="5">
        <f>IFERROR(OLDBD[[#This Row],[Llegada Almacén de Ingreso]]-OLDBD[[#This Row],[Salida Packing]],"")</f>
        <v>0.88819444444379769</v>
      </c>
      <c r="AY12" s="4" t="str" cm="1">
        <f t="array" ref="AY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2" s="43" t="s">
        <v>173</v>
      </c>
      <c r="BB12" s="47" t="str">
        <f>IFERROR(IF(MARÍTIMOS[[#This Row],[Estatus]]="","",MARÍTIMOS[[#This Row],[Estatus]]),"")</f>
        <v>Confirmado</v>
      </c>
      <c r="BC12" s="43"/>
      <c r="BD12" s="46">
        <f>IFERROR(OLDBD[[#This Row],[Salida de almacén de retiro]]-OLDBD[[#This Row],[Ingreso Almacén de retiro]],"")</f>
        <v>2.9166666667151731E-2</v>
      </c>
      <c r="BE12" s="46">
        <f>IFERROR(OLDBD[[#This Row],[Fin de Carga]]-OLDBD[[#This Row],[Inicio de Carga]],"")</f>
        <v>1.8055555556202307E-2</v>
      </c>
    </row>
    <row r="13" spans="1:57" customFormat="1" hidden="1">
      <c r="A13" s="1"/>
      <c r="B13" s="1">
        <f>IFERROR(IF(MARÍTIMOS[[#This Row],[PP]]="","",MARÍTIMOS[[#This Row],[PP]]),"")</f>
        <v>30</v>
      </c>
      <c r="C13" s="1" t="str">
        <f>IFERROR(IF(MARÍTIMOS[[#This Row],[Sede]]="","",MARÍTIMOS[[#This Row],[Sede]]),"")</f>
        <v>Chao</v>
      </c>
      <c r="D13" s="1" t="str">
        <f>IFERROR(IF(MARÍTIMOS[[#This Row],[Instruction]]="","",MARÍTIMOS[[#This Row],[Instruction]]),"")</f>
        <v>RH-0277</v>
      </c>
      <c r="E13" s="1"/>
      <c r="F13" s="2" t="str">
        <f>IFERROR(IF(MARÍTIMOS[[#This Row],[Transportista]]="","",MARÍTIMOS[[#This Row],[Transportista]]),"")</f>
        <v>Cititrans</v>
      </c>
      <c r="G13" s="2" t="str">
        <f>IFERROR(IF(MARÍTIMOS[[#This Row],[Tercero]]="","",MARÍTIMOS[[#This Row],[Tercero]]),"")</f>
        <v>NO</v>
      </c>
      <c r="H13" s="2" t="str">
        <f>IFERROR(IF(MARÍTIMOS[[#This Row],[Razón Social]]="","",MARÍTIMOS[[#This Row],[Razón Social]]),"")</f>
        <v>CITITRANS</v>
      </c>
      <c r="I13" s="2">
        <f>IFERROR(IF(MARÍTIMOS[[#This Row],[RUC]]="","",MARÍTIMOS[[#This Row],[RUC]]),"")</f>
        <v>20609553376</v>
      </c>
      <c r="J13" s="2" t="str">
        <f>IFERROR(IF(MARÍTIMOS[[#This Row],[Placa Tracto]]="","",MARÍTIMOS[[#This Row],[Placa Tracto]]),"")</f>
        <v>CDK-784</v>
      </c>
      <c r="K13" s="2" t="str">
        <f>IFERROR(IF(MARÍTIMOS[[#This Row],[Placa Carreta]]="","",MARÍTIMOS[[#This Row],[Placa Carreta]]),"")</f>
        <v>BRU-977</v>
      </c>
      <c r="L13" s="44" t="str">
        <f>IFERROR(IF(MARÍTIMOS[[#This Row],[Conductor]]="","",MARÍTIMOS[[#This Row],[Conductor]]),"")</f>
        <v>SANTOS ALEX OSORIO GAMBOA</v>
      </c>
      <c r="M13" s="2" t="str">
        <f>IFERROR(IF(MARÍTIMOS[[#This Row],[Licencia]]="","",MARÍTIMOS[[#This Row],[Licencia]]),"")</f>
        <v>Q70762222</v>
      </c>
      <c r="N13" s="2" t="str">
        <f>IFERROR(IF(MARÍTIMOS[[#This Row],[Número de Contacto]]="","",MARÍTIMOS[[#This Row],[Número de Contacto]]),"")</f>
        <v>933 314 995</v>
      </c>
      <c r="O13" s="10">
        <f>IFERROR(IF(MARÍTIMOS[[#This Row],[Booking|AWB|CRT]]="","",MARÍTIMOS[[#This Row],[Booking|AWB|CRT]]),"")</f>
        <v>6508866520</v>
      </c>
      <c r="P13" s="2" t="str">
        <f>IFERROR(IF(MARÍTIMOS[[#This Row],[Contenedor]]="","",MARÍTIMOS[[#This Row],[Contenedor]]),"")</f>
        <v>OTPU6188004</v>
      </c>
      <c r="Q13" s="2" t="str">
        <f>IFERROR(IF(MARÍTIMOS[[#This Row],[Puerto de Retiro]]="","",MARÍTIMOS[[#This Row],[Puerto de Retiro]]),"")</f>
        <v>CHANCAY</v>
      </c>
      <c r="R13" s="2" t="str">
        <f>IFERROR(IF(MARÍTIMOS[[#This Row],[Almacén de Retiro]]="","",MARÍTIMOS[[#This Row],[Almacén de Retiro]]),"")</f>
        <v>CSPCP</v>
      </c>
      <c r="S13" s="11">
        <f>IFERROR(IF(MARÍTIMOS[[#This Row],[Etapa Retiro - Cita]]="","",MARÍTIMOS[[#This Row],[Etapa Retiro - Cita]]),"")</f>
        <v>46226.041666666664</v>
      </c>
      <c r="T13" s="11">
        <f>IFERROR(IF(MARÍTIMOS[[#This Row],[Etapa Retiro - Llegada]]="","",MARÍTIMOS[[#This Row],[Etapa Retiro - Llegada]]),"")</f>
        <v>46226.027777777781</v>
      </c>
      <c r="U13" s="11">
        <f>IFERROR(IF(MARÍTIMOS[[#This Row],[Etapa Retiro - Ingreso]]="","",MARÍTIMOS[[#This Row],[Etapa Retiro - Ingreso]]),"")</f>
        <v>46226.033333333333</v>
      </c>
      <c r="V13" s="11">
        <f>IFERROR(IF(MARÍTIMOS[[#This Row],[Etapa Retiro - Atención]]="","",MARÍTIMOS[[#This Row],[Etapa Retiro - Atención]]),"")</f>
        <v>46226.048611111109</v>
      </c>
      <c r="W13" s="11">
        <f>IFERROR(IF(MARÍTIMOS[[#This Row],[Etapa Retiro - Atención]]="","",MARÍTIMOS[[#This Row],[Etapa Retiro - Atención]]),"")</f>
        <v>46226.048611111109</v>
      </c>
      <c r="X13" s="11">
        <f>IFERROR(IF(MARÍTIMOS[[#This Row],[Etapa Retiro - Inicio de Ruta]]="","",MARÍTIMOS[[#This Row],[Etapa Retiro - Inicio de Ruta]]),"")</f>
        <v>46226.101388888892</v>
      </c>
      <c r="Y13" s="11">
        <f>IFERROR(IF(MARÍTIMOS[[#This Row],[Hora de Posicionamiento]]="","",MARÍTIMOS[[#This Row],[Fecha de Carga]]+MARÍTIMOS[[#This Row],[Hora de Posicionamiento]]),"")</f>
        <v>46226.583333333336</v>
      </c>
      <c r="Z13" s="11">
        <f>IFERROR(IF(MARÍTIMOS[[#This Row],[Etapa Despacho - Llegada]]="","",MARÍTIMOS[[#This Row],[Etapa Despacho - Llegada]]),"")</f>
        <v>46226.59097222222</v>
      </c>
      <c r="AA13" s="11">
        <f>IFERROR(IF(MARÍTIMOS[[#This Row],[Etapa Despacho - Registro]]="","",MARÍTIMOS[[#This Row],[Etapa Despacho - Registro]]),"")</f>
        <v>46226.594444444447</v>
      </c>
      <c r="AB13" s="11">
        <f>IFERROR(IF(MARÍTIMOS[[#This Row],[Inspección Externa]]="","",MARÍTIMOS[[#This Row],[Inspección Externa]]),"")</f>
        <v>46226.606944444444</v>
      </c>
      <c r="AC13" s="11">
        <f>IFERROR(IF(MARÍTIMOS[[#This Row],[Etapa Despacho - Inicio de Carga]]="","",MARÍTIMOS[[#This Row],[Etapa Despacho - Inicio de Carga]]),"")</f>
        <v>46226.726388888892</v>
      </c>
      <c r="AD13" s="11">
        <f>IFERROR(IF(MARÍTIMOS[[#This Row],[Etapa Despacho - Mitad de Carga]]="","",MARÍTIMOS[[#This Row],[Etapa Despacho - Mitad de Carga]]),"")</f>
        <v>46226.734027777777</v>
      </c>
      <c r="AE13" s="11">
        <f>IFERROR(IF(MARÍTIMOS[[#This Row],[Etapa Despacho - Fin de Carga]]="","",MARÍTIMOS[[#This Row],[Etapa Despacho - Fin de Carga]]),"")</f>
        <v>46226.741666666669</v>
      </c>
      <c r="AF13" s="2" t="str">
        <f>IFERROR(IF(MARÍTIMOS[[#This Row],[Puerto de Embarque]]="","",MARÍTIMOS[[#This Row],[Puerto de Embarque]]),"")</f>
        <v>CHANCAY</v>
      </c>
      <c r="AG13" s="2" t="str">
        <f>IFERROR(IF(MARÍTIMOS[[#This Row],[Almacén de Ingreso]]="","",MARÍTIMOS[[#This Row],[Almacén de Ingreso]]),"")</f>
        <v>CSPCP</v>
      </c>
      <c r="AH13" s="11">
        <f>IFERROR(IF(MARÍTIMOS[[#This Row],[Etapa Ingreso - Cita]]="","",MARÍTIMOS[[#This Row],[Etapa Ingreso - Cita]]),"")</f>
        <v>46227</v>
      </c>
      <c r="AI13" s="11">
        <f>IFERROR(IF(MARÍTIMOS[[#This Row],[Etapa Ingreso - Llegada]]="","",MARÍTIMOS[[#This Row],[Etapa Ingreso - Llegada]]),"")</f>
        <v>46227.356944444444</v>
      </c>
      <c r="AJ13" s="11">
        <f>IFERROR(IF(MARÍTIMOS[[#This Row],[Etapa Ingreso - Ingeso]]="","",MARÍTIMOS[[#This Row],[Etapa Ingreso - Ingeso]]),"")</f>
        <v>46227.366666666669</v>
      </c>
      <c r="AK13" s="11">
        <f>IFERROR(IF(MARÍTIMOS[[#This Row],[Etapa Ingreso - Atención]]="","",MARÍTIMOS[[#This Row],[Etapa Ingreso - Atención]]),"")</f>
        <v>46227.376388888886</v>
      </c>
      <c r="AL13" s="11">
        <f>IFERROR(IF(MARÍTIMOS[[#This Row],[Etapa Ingreso - Salida]]="","",MARÍTIMOS[[#This Row],[Etapa Ingreso - Salida]]),"")</f>
        <v>46227.386111111111</v>
      </c>
      <c r="AM13" s="2">
        <f>IFERROR(IF(MARÍTIMOS[[#This Row],[FCL]]="","",MARÍTIMOS[[#This Row],[FCL]]),"")</f>
        <v>1</v>
      </c>
      <c r="AN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" s="4" t="str" cm="1">
        <f t="array" ref="AO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" s="5">
        <f>IFERROR(OLDBD[[#This Row],[Llegada a packing]]-OLDBD[[#This Row],[Inicio de Ruta]],"")</f>
        <v>0.48958333332848269</v>
      </c>
      <c r="AQ13" s="6">
        <f>IFERROR(OLDBD[[#This Row],[Inicio de Ruta]]-OLDBD[[#This Row],[Salida de almacén de retiro]],"")</f>
        <v>5.2777777782466728E-2</v>
      </c>
      <c r="AR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3" s="8" t="str" cm="1">
        <f t="array" ref="AS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3" s="9">
        <f>IFERROR(OLDBD[[#This Row],[Ingreso Packing]]-OLDBD[[#This Row],[Registro en Packing]],"")</f>
        <v>1.2499999997089617E-2</v>
      </c>
      <c r="AV13" s="9">
        <f>IFERROR(OLDBD[[#This Row],[Ingreso Packing]]-OLDBD[[#This Row],[Llegada a packing]],"")</f>
        <v>1.5972222223354038E-2</v>
      </c>
      <c r="AW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3" s="5">
        <f>IFERROR(OLDBD[[#This Row],[Llegada Almacén de Ingreso]]-OLDBD[[#This Row],[Salida Packing]],"")</f>
        <v>0.61527777777519077</v>
      </c>
      <c r="AY13" s="4" t="str" cm="1">
        <f t="array" ref="AY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3" s="43" t="s">
        <v>173</v>
      </c>
      <c r="BB13" s="47" t="str">
        <f>IFERROR(IF(MARÍTIMOS[[#This Row],[Estatus]]="","",MARÍTIMOS[[#This Row],[Estatus]]),"")</f>
        <v>Confirmado</v>
      </c>
      <c r="BC13" s="43"/>
      <c r="BD13" s="46">
        <f>IFERROR(OLDBD[[#This Row],[Salida de almacén de retiro]]-OLDBD[[#This Row],[Ingreso Almacén de retiro]],"")</f>
        <v>1.5277777776645962E-2</v>
      </c>
      <c r="BE13" s="46">
        <f>IFERROR(OLDBD[[#This Row],[Fin de Carga]]-OLDBD[[#This Row],[Inicio de Carga]],"")</f>
        <v>7.6388888846850023E-3</v>
      </c>
    </row>
    <row r="14" spans="1:57" customFormat="1" hidden="1">
      <c r="A14" s="1"/>
      <c r="B14" s="1">
        <f>IFERROR(IF(MARÍTIMOS[[#This Row],[PP]]="","",MARÍTIMOS[[#This Row],[PP]]),"")</f>
        <v>30</v>
      </c>
      <c r="C14" s="1" t="str">
        <f>IFERROR(IF(MARÍTIMOS[[#This Row],[Sede]]="","",MARÍTIMOS[[#This Row],[Sede]]),"")</f>
        <v>Chao</v>
      </c>
      <c r="D14" s="1" t="str">
        <f>IFERROR(IF(MARÍTIMOS[[#This Row],[Instruction]]="","",MARÍTIMOS[[#This Row],[Instruction]]),"")</f>
        <v>RH-0276</v>
      </c>
      <c r="E14" s="1"/>
      <c r="F14" s="2" t="str">
        <f>IFERROR(IF(MARÍTIMOS[[#This Row],[Transportista]]="","",MARÍTIMOS[[#This Row],[Transportista]]),"")</f>
        <v>Cititrans</v>
      </c>
      <c r="G14" s="2" t="str">
        <f>IFERROR(IF(MARÍTIMOS[[#This Row],[Tercero]]="","",MARÍTIMOS[[#This Row],[Tercero]]),"")</f>
        <v>NO</v>
      </c>
      <c r="H14" s="2" t="str">
        <f>IFERROR(IF(MARÍTIMOS[[#This Row],[Razón Social]]="","",MARÍTIMOS[[#This Row],[Razón Social]]),"")</f>
        <v>CITITRANS</v>
      </c>
      <c r="I14" s="2">
        <f>IFERROR(IF(MARÍTIMOS[[#This Row],[RUC]]="","",MARÍTIMOS[[#This Row],[RUC]]),"")</f>
        <v>20609553376</v>
      </c>
      <c r="J14" s="2" t="str">
        <f>IFERROR(IF(MARÍTIMOS[[#This Row],[Placa Tracto]]="","",MARÍTIMOS[[#This Row],[Placa Tracto]]),"")</f>
        <v>CHF-936</v>
      </c>
      <c r="K14" s="2" t="str">
        <f>IFERROR(IF(MARÍTIMOS[[#This Row],[Placa Carreta]]="","",MARÍTIMOS[[#This Row],[Placa Carreta]]),"")</f>
        <v>BUR-993</v>
      </c>
      <c r="L14" s="44" t="str">
        <f>IFERROR(IF(MARÍTIMOS[[#This Row],[Conductor]]="","",MARÍTIMOS[[#This Row],[Conductor]]),"")</f>
        <v>RIVERA GOMERO EDUARDO DE JESUS</v>
      </c>
      <c r="M14" s="2" t="str">
        <f>IFERROR(IF(MARÍTIMOS[[#This Row],[Licencia]]="","",MARÍTIMOS[[#This Row],[Licencia]]),"")</f>
        <v>Q70059354</v>
      </c>
      <c r="N14" s="2" t="str">
        <f>IFERROR(IF(MARÍTIMOS[[#This Row],[Número de Contacto]]="","",MARÍTIMOS[[#This Row],[Número de Contacto]]),"")</f>
        <v>979 248 054</v>
      </c>
      <c r="O14" s="10">
        <f>IFERROR(IF(MARÍTIMOS[[#This Row],[Booking|AWB|CRT]]="","",MARÍTIMOS[[#This Row],[Booking|AWB|CRT]]),"")</f>
        <v>6508866560</v>
      </c>
      <c r="P14" s="2" t="str">
        <f>IFERROR(IF(MARÍTIMOS[[#This Row],[Contenedor]]="","",MARÍTIMOS[[#This Row],[Contenedor]]),"")</f>
        <v>FBIU5062791</v>
      </c>
      <c r="Q14" s="2" t="str">
        <f>IFERROR(IF(MARÍTIMOS[[#This Row],[Puerto de Retiro]]="","",MARÍTIMOS[[#This Row],[Puerto de Retiro]]),"")</f>
        <v>CHANCAY</v>
      </c>
      <c r="R14" s="2" t="str">
        <f>IFERROR(IF(MARÍTIMOS[[#This Row],[Almacén de Retiro]]="","",MARÍTIMOS[[#This Row],[Almacén de Retiro]]),"")</f>
        <v>CSPCP</v>
      </c>
      <c r="S14" s="11">
        <f>IFERROR(IF(MARÍTIMOS[[#This Row],[Etapa Retiro - Cita]]="","",MARÍTIMOS[[#This Row],[Etapa Retiro - Cita]]),"")</f>
        <v>46226.041666666664</v>
      </c>
      <c r="T14" s="11">
        <f>IFERROR(IF(MARÍTIMOS[[#This Row],[Etapa Retiro - Llegada]]="","",MARÍTIMOS[[#This Row],[Etapa Retiro - Llegada]]),"")</f>
        <v>46226.02847222222</v>
      </c>
      <c r="U14" s="11">
        <f>IFERROR(IF(MARÍTIMOS[[#This Row],[Etapa Retiro - Ingreso]]="","",MARÍTIMOS[[#This Row],[Etapa Retiro - Ingreso]]),"")</f>
        <v>46226.033333333333</v>
      </c>
      <c r="V14" s="11">
        <f>IFERROR(IF(MARÍTIMOS[[#This Row],[Etapa Retiro - Atención]]="","",MARÍTIMOS[[#This Row],[Etapa Retiro - Atención]]),"")</f>
        <v>46226.052083333336</v>
      </c>
      <c r="W14" s="11">
        <f>IFERROR(IF(MARÍTIMOS[[#This Row],[Etapa Retiro - Atención]]="","",MARÍTIMOS[[#This Row],[Etapa Retiro - Atención]]),"")</f>
        <v>46226.052083333336</v>
      </c>
      <c r="X14" s="11">
        <f>IFERROR(IF(MARÍTIMOS[[#This Row],[Etapa Retiro - Inicio de Ruta]]="","",MARÍTIMOS[[#This Row],[Etapa Retiro - Inicio de Ruta]]),"")</f>
        <v>46226.097222222219</v>
      </c>
      <c r="Y14" s="11">
        <f>IFERROR(IF(MARÍTIMOS[[#This Row],[Hora de Posicionamiento]]="","",MARÍTIMOS[[#This Row],[Fecha de Carga]]+MARÍTIMOS[[#This Row],[Hora de Posicionamiento]]),"")</f>
        <v>46226.583333333336</v>
      </c>
      <c r="Z14" s="11">
        <f>IFERROR(IF(MARÍTIMOS[[#This Row],[Etapa Despacho - Llegada]]="","",MARÍTIMOS[[#This Row],[Etapa Despacho - Llegada]]),"")</f>
        <v>46226.59097222222</v>
      </c>
      <c r="AA14" s="11">
        <f>IFERROR(IF(MARÍTIMOS[[#This Row],[Etapa Despacho - Registro]]="","",MARÍTIMOS[[#This Row],[Etapa Despacho - Registro]]),"")</f>
        <v>46226.595138888886</v>
      </c>
      <c r="AB14" s="11">
        <f>IFERROR(IF(MARÍTIMOS[[#This Row],[Inspección Externa]]="","",MARÍTIMOS[[#This Row],[Inspección Externa]]),"")</f>
        <v>46226.614583333336</v>
      </c>
      <c r="AC14" s="11">
        <f>IFERROR(IF(MARÍTIMOS[[#This Row],[Etapa Despacho - Inicio de Carga]]="","",MARÍTIMOS[[#This Row],[Etapa Despacho - Inicio de Carga]]),"")</f>
        <v>46226.677083333336</v>
      </c>
      <c r="AD14" s="11">
        <f>IFERROR(IF(MARÍTIMOS[[#This Row],[Etapa Despacho - Mitad de Carga]]="","",MARÍTIMOS[[#This Row],[Etapa Despacho - Mitad de Carga]]),"")</f>
        <v>46226.688888888886</v>
      </c>
      <c r="AE14" s="11">
        <f>IFERROR(IF(MARÍTIMOS[[#This Row],[Etapa Despacho - Fin de Carga]]="","",MARÍTIMOS[[#This Row],[Etapa Despacho - Fin de Carga]]),"")</f>
        <v>46226.6875</v>
      </c>
      <c r="AF14" s="2" t="str">
        <f>IFERROR(IF(MARÍTIMOS[[#This Row],[Puerto de Embarque]]="","",MARÍTIMOS[[#This Row],[Puerto de Embarque]]),"")</f>
        <v>CHANCAY</v>
      </c>
      <c r="AG14" s="2" t="str">
        <f>IFERROR(IF(MARÍTIMOS[[#This Row],[Almacén de Ingreso]]="","",MARÍTIMOS[[#This Row],[Almacén de Ingreso]]),"")</f>
        <v>CSPCP</v>
      </c>
      <c r="AH14" s="11">
        <f>IFERROR(IF(MARÍTIMOS[[#This Row],[Etapa Ingreso - Cita]]="","",MARÍTIMOS[[#This Row],[Etapa Ingreso - Cita]]),"")</f>
        <v>46227</v>
      </c>
      <c r="AI14" s="11">
        <f>IFERROR(IF(MARÍTIMOS[[#This Row],[Etapa Ingreso - Llegada]]="","",MARÍTIMOS[[#This Row],[Etapa Ingreso - Llegada]]),"")</f>
        <v>46227.367361111108</v>
      </c>
      <c r="AJ14" s="11">
        <f>IFERROR(IF(MARÍTIMOS[[#This Row],[Etapa Ingreso - Ingeso]]="","",MARÍTIMOS[[#This Row],[Etapa Ingreso - Ingeso]]),"")</f>
        <v>46227.382638888892</v>
      </c>
      <c r="AK14" s="11">
        <f>IFERROR(IF(MARÍTIMOS[[#This Row],[Etapa Ingreso - Atención]]="","",MARÍTIMOS[[#This Row],[Etapa Ingreso - Atención]]),"")</f>
        <v>46227.386111111111</v>
      </c>
      <c r="AL14" s="11">
        <f>IFERROR(IF(MARÍTIMOS[[#This Row],[Etapa Ingreso - Salida]]="","",MARÍTIMOS[[#This Row],[Etapa Ingreso - Salida]]),"")</f>
        <v>46227.390972222223</v>
      </c>
      <c r="AM14" s="2">
        <f>IFERROR(IF(MARÍTIMOS[[#This Row],[FCL]]="","",MARÍTIMOS[[#This Row],[FCL]]),"")</f>
        <v>1</v>
      </c>
      <c r="AN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" s="4" t="str" cm="1">
        <f t="array" ref="AO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" s="5">
        <f>IFERROR(OLDBD[[#This Row],[Llegada a packing]]-OLDBD[[#This Row],[Inicio de Ruta]],"")</f>
        <v>0.49375000000145519</v>
      </c>
      <c r="AQ14" s="6">
        <f>IFERROR(OLDBD[[#This Row],[Inicio de Ruta]]-OLDBD[[#This Row],[Salida de almacén de retiro]],"")</f>
        <v>4.5138888883229811E-2</v>
      </c>
      <c r="AR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4" s="8" t="str" cm="1">
        <f t="array" ref="AS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4" s="9">
        <f>IFERROR(OLDBD[[#This Row],[Ingreso Packing]]-OLDBD[[#This Row],[Registro en Packing]],"")</f>
        <v>1.9444444449618459E-2</v>
      </c>
      <c r="AV14" s="9">
        <f>IFERROR(OLDBD[[#This Row],[Ingreso Packing]]-OLDBD[[#This Row],[Llegada a packing]],"")</f>
        <v>2.3611111115314998E-2</v>
      </c>
      <c r="AW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4" s="5">
        <f>IFERROR(OLDBD[[#This Row],[Llegada Almacén de Ingreso]]-OLDBD[[#This Row],[Salida Packing]],"")</f>
        <v>0.67986111110803904</v>
      </c>
      <c r="AY14" s="4" t="str" cm="1">
        <f t="array" ref="AY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4" s="43" t="s">
        <v>173</v>
      </c>
      <c r="BB14" s="47" t="str">
        <f>IFERROR(IF(MARÍTIMOS[[#This Row],[Estatus]]="","",MARÍTIMOS[[#This Row],[Estatus]]),"")</f>
        <v>Confirmado</v>
      </c>
      <c r="BC14" s="43"/>
      <c r="BD14" s="46">
        <f>IFERROR(OLDBD[[#This Row],[Salida de almacén de retiro]]-OLDBD[[#This Row],[Ingreso Almacén de retiro]],"")</f>
        <v>1.8750000002910383E-2</v>
      </c>
      <c r="BE14" s="46">
        <f>IFERROR(OLDBD[[#This Row],[Fin de Carga]]-OLDBD[[#This Row],[Inicio de Carga]],"")</f>
        <v>1.1805555550381541E-2</v>
      </c>
    </row>
    <row r="15" spans="1:57" customFormat="1" hidden="1">
      <c r="A15" s="1"/>
      <c r="B15" s="1">
        <f>IFERROR(IF(MARÍTIMOS[[#This Row],[PP]]="","",MARÍTIMOS[[#This Row],[PP]]),"")</f>
        <v>30</v>
      </c>
      <c r="C15" s="1" t="str">
        <f>IFERROR(IF(MARÍTIMOS[[#This Row],[Sede]]="","",MARÍTIMOS[[#This Row],[Sede]]),"")</f>
        <v>Chao</v>
      </c>
      <c r="D15" s="1" t="str">
        <f>IFERROR(IF(MARÍTIMOS[[#This Row],[Instruction]]="","",MARÍTIMOS[[#This Row],[Instruction]]),"")</f>
        <v>RH-0251</v>
      </c>
      <c r="E15" s="1"/>
      <c r="F15" s="2" t="str">
        <f>IFERROR(IF(MARÍTIMOS[[#This Row],[Transportista]]="","",MARÍTIMOS[[#This Row],[Transportista]]),"")</f>
        <v>Cititrans</v>
      </c>
      <c r="G15" s="2" t="str">
        <f>IFERROR(IF(MARÍTIMOS[[#This Row],[Tercero]]="","",MARÍTIMOS[[#This Row],[Tercero]]),"")</f>
        <v>NO</v>
      </c>
      <c r="H15" s="2" t="str">
        <f>IFERROR(IF(MARÍTIMOS[[#This Row],[Razón Social]]="","",MARÍTIMOS[[#This Row],[Razón Social]]),"")</f>
        <v>CITITRANS</v>
      </c>
      <c r="I15" s="2">
        <f>IFERROR(IF(MARÍTIMOS[[#This Row],[RUC]]="","",MARÍTIMOS[[#This Row],[RUC]]),"")</f>
        <v>20609553376</v>
      </c>
      <c r="J15" s="2" t="str">
        <f>IFERROR(IF(MARÍTIMOS[[#This Row],[Placa Tracto]]="","",MARÍTIMOS[[#This Row],[Placa Tracto]]),"")</f>
        <v>CHE-934</v>
      </c>
      <c r="K15" s="2" t="str">
        <f>IFERROR(IF(MARÍTIMOS[[#This Row],[Placa Carreta]]="","",MARÍTIMOS[[#This Row],[Placa Carreta]]),"")</f>
        <v>BUT-980</v>
      </c>
      <c r="L15" s="44" t="str">
        <f>IFERROR(IF(MARÍTIMOS[[#This Row],[Conductor]]="","",MARÍTIMOS[[#This Row],[Conductor]]),"")</f>
        <v>SANTIAGO ATUNCAR MIGUEL ANGEL</v>
      </c>
      <c r="M15" s="2" t="str">
        <f>IFERROR(IF(MARÍTIMOS[[#This Row],[Licencia]]="","",MARÍTIMOS[[#This Row],[Licencia]]),"")</f>
        <v>Q42089484</v>
      </c>
      <c r="N15" s="2" t="str">
        <f>IFERROR(IF(MARÍTIMOS[[#This Row],[Número de Contacto]]="","",MARÍTIMOS[[#This Row],[Número de Contacto]]),"")</f>
        <v>930 439 301</v>
      </c>
      <c r="O15" s="10">
        <f>IFERROR(IF(MARÍTIMOS[[#This Row],[Booking|AWB|CRT]]="","",MARÍTIMOS[[#This Row],[Booking|AWB|CRT]]),"")</f>
        <v>751600040836</v>
      </c>
      <c r="P15" s="2" t="str">
        <f>IFERROR(IF(MARÍTIMOS[[#This Row],[Contenedor]]="","",MARÍTIMOS[[#This Row],[Contenedor]]),"")</f>
        <v>EMCU5629740</v>
      </c>
      <c r="Q15" s="2" t="str">
        <f>IFERROR(IF(MARÍTIMOS[[#This Row],[Puerto de Retiro]]="","",MARÍTIMOS[[#This Row],[Puerto de Retiro]]),"")</f>
        <v>CALLAO</v>
      </c>
      <c r="R15" s="2" t="str">
        <f>IFERROR(IF(MARÍTIMOS[[#This Row],[Almacén de Retiro]]="","",MARÍTIMOS[[#This Row],[Almacén de Retiro]]),"")</f>
        <v>DPW</v>
      </c>
      <c r="S15" s="11">
        <f>IFERROR(IF(MARÍTIMOS[[#This Row],[Etapa Retiro - Cita]]="","",MARÍTIMOS[[#This Row],[Etapa Retiro - Cita]]),"")</f>
        <v>46229.625</v>
      </c>
      <c r="T15" s="11">
        <f>IFERROR(IF(MARÍTIMOS[[#This Row],[Etapa Retiro - Llegada]]="","",MARÍTIMOS[[#This Row],[Etapa Retiro - Llegada]]),"")</f>
        <v>46229.636111111111</v>
      </c>
      <c r="U15" s="11">
        <f>IFERROR(IF(MARÍTIMOS[[#This Row],[Etapa Retiro - Ingreso]]="","",MARÍTIMOS[[#This Row],[Etapa Retiro - Ingreso]]),"")</f>
        <v>46229.655555555553</v>
      </c>
      <c r="V15" s="11">
        <f>IFERROR(IF(MARÍTIMOS[[#This Row],[Etapa Retiro - Atención]]="","",MARÍTIMOS[[#This Row],[Etapa Retiro - Atención]]),"")</f>
        <v>46229.676388888889</v>
      </c>
      <c r="W15" s="11">
        <f>IFERROR(IF(MARÍTIMOS[[#This Row],[Etapa Retiro - Atención]]="","",MARÍTIMOS[[#This Row],[Etapa Retiro - Atención]]),"")</f>
        <v>46229.676388888889</v>
      </c>
      <c r="X15" s="11">
        <f>IFERROR(IF(MARÍTIMOS[[#This Row],[Etapa Retiro - Inicio de Ruta]]="","",MARÍTIMOS[[#This Row],[Etapa Retiro - Inicio de Ruta]]),"")</f>
        <v>46229.720833333333</v>
      </c>
      <c r="Y15" s="11">
        <f>IFERROR(IF(MARÍTIMOS[[#This Row],[Hora de Posicionamiento]]="","",MARÍTIMOS[[#This Row],[Fecha de Carga]]+MARÍTIMOS[[#This Row],[Hora de Posicionamiento]]),"")</f>
        <v>46230.5</v>
      </c>
      <c r="Z15" s="11">
        <f>IFERROR(IF(MARÍTIMOS[[#This Row],[Etapa Despacho - Llegada]]="","",MARÍTIMOS[[#This Row],[Etapa Despacho - Llegada]]),"")</f>
        <v>46230.517361111109</v>
      </c>
      <c r="AA15" s="11">
        <f>IFERROR(IF(MARÍTIMOS[[#This Row],[Etapa Despacho - Registro]]="","",MARÍTIMOS[[#This Row],[Etapa Despacho - Registro]]),"")</f>
        <v>46230.520833333336</v>
      </c>
      <c r="AB15" s="11">
        <f>IFERROR(IF(MARÍTIMOS[[#This Row],[Inspección Externa]]="","",MARÍTIMOS[[#This Row],[Inspección Externa]]),"")</f>
        <v>46230.540277777778</v>
      </c>
      <c r="AC15" s="11">
        <f>IFERROR(IF(MARÍTIMOS[[#This Row],[Etapa Despacho - Inicio de Carga]]="","",MARÍTIMOS[[#This Row],[Etapa Despacho - Inicio de Carga]]),"")</f>
        <v>46230.617361111108</v>
      </c>
      <c r="AD15" s="11">
        <f>IFERROR(IF(MARÍTIMOS[[#This Row],[Etapa Despacho - Mitad de Carga]]="","",MARÍTIMOS[[#This Row],[Etapa Despacho - Mitad de Carga]]),"")</f>
        <v>46230.660416666666</v>
      </c>
      <c r="AE15" s="11">
        <f>IFERROR(IF(MARÍTIMOS[[#This Row],[Etapa Despacho - Fin de Carga]]="","",MARÍTIMOS[[#This Row],[Etapa Despacho - Fin de Carga]]),"")</f>
        <v>46230.705555555556</v>
      </c>
      <c r="AF15" s="2" t="str">
        <f>IFERROR(IF(MARÍTIMOS[[#This Row],[Puerto de Embarque]]="","",MARÍTIMOS[[#This Row],[Puerto de Embarque]]),"")</f>
        <v>CALLAO</v>
      </c>
      <c r="AG15" s="2" t="str">
        <f>IFERROR(IF(MARÍTIMOS[[#This Row],[Almacén de Ingreso]]="","",MARÍTIMOS[[#This Row],[Almacén de Ingreso]]),"")</f>
        <v>DPW</v>
      </c>
      <c r="AH15" s="11">
        <f>IFERROR(IF(MARÍTIMOS[[#This Row],[Etapa Ingreso - Cita]]="","",MARÍTIMOS[[#This Row],[Etapa Ingreso - Cita]]),"")</f>
        <v>46231.5</v>
      </c>
      <c r="AI15" s="11">
        <f>IFERROR(IF(MARÍTIMOS[[#This Row],[Etapa Ingreso - Llegada]]="","",MARÍTIMOS[[#This Row],[Etapa Ingreso - Llegada]]),"")</f>
        <v>46231.486111111109</v>
      </c>
      <c r="AJ15" s="11">
        <f>IFERROR(IF(MARÍTIMOS[[#This Row],[Etapa Ingreso - Ingeso]]="","",MARÍTIMOS[[#This Row],[Etapa Ingreso - Ingeso]]),"")</f>
        <v>46231.506944444445</v>
      </c>
      <c r="AK15" s="11">
        <f>IFERROR(IF(MARÍTIMOS[[#This Row],[Etapa Ingreso - Atención]]="","",MARÍTIMOS[[#This Row],[Etapa Ingreso - Atención]]),"")</f>
        <v>46231.510416666664</v>
      </c>
      <c r="AL15" s="11">
        <f>IFERROR(IF(MARÍTIMOS[[#This Row],[Etapa Ingreso - Salida]]="","",MARÍTIMOS[[#This Row],[Etapa Ingreso - Salida]]),"")</f>
        <v>46231.515277777777</v>
      </c>
      <c r="AM15" s="2">
        <f>IFERROR(IF(MARÍTIMOS[[#This Row],[FCL]]="","",MARÍTIMOS[[#This Row],[FCL]]),"")</f>
        <v>1</v>
      </c>
      <c r="AN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" s="4" t="str" cm="1">
        <f t="array" ref="AO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" s="5">
        <f>IFERROR(OLDBD[[#This Row],[Llegada a packing]]-OLDBD[[#This Row],[Inicio de Ruta]],"")</f>
        <v>0.79652777777664596</v>
      </c>
      <c r="AQ15" s="6">
        <f>IFERROR(OLDBD[[#This Row],[Inicio de Ruta]]-OLDBD[[#This Row],[Salida de almacén de retiro]],"")</f>
        <v>4.4444444443797693E-2</v>
      </c>
      <c r="AR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5" s="8" t="str" cm="1">
        <f t="array" ref="AS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5" s="9">
        <f>IFERROR(OLDBD[[#This Row],[Ingreso Packing]]-OLDBD[[#This Row],[Registro en Packing]],"")</f>
        <v>1.9444444442342501E-2</v>
      </c>
      <c r="AV15" s="9">
        <f>IFERROR(OLDBD[[#This Row],[Ingreso Packing]]-OLDBD[[#This Row],[Llegada a packing]],"")</f>
        <v>2.2916666668606922E-2</v>
      </c>
      <c r="AW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5" s="5">
        <f>IFERROR(OLDBD[[#This Row],[Llegada Almacén de Ingreso]]-OLDBD[[#This Row],[Salida Packing]],"")</f>
        <v>0.78055555555329192</v>
      </c>
      <c r="AY15" s="4" t="str" cm="1">
        <f t="array" ref="AY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5" s="43" t="s">
        <v>173</v>
      </c>
      <c r="BB15" s="47" t="str">
        <f>IFERROR(IF(MARÍTIMOS[[#This Row],[Estatus]]="","",MARÍTIMOS[[#This Row],[Estatus]]),"")</f>
        <v>Confirmado</v>
      </c>
      <c r="BC15" s="43"/>
      <c r="BD15" s="46">
        <f>IFERROR(OLDBD[[#This Row],[Salida de almacén de retiro]]-OLDBD[[#This Row],[Ingreso Almacén de retiro]],"")</f>
        <v>2.0833333335758653E-2</v>
      </c>
      <c r="BE15" s="46">
        <f>IFERROR(OLDBD[[#This Row],[Fin de Carga]]-OLDBD[[#This Row],[Inicio de Carga]],"")</f>
        <v>4.3055555557657499E-2</v>
      </c>
    </row>
    <row r="16" spans="1:57" customFormat="1" hidden="1">
      <c r="A16" s="1"/>
      <c r="B16" s="1">
        <f>IFERROR(IF(MARÍTIMOS[[#This Row],[PP]]="","",MARÍTIMOS[[#This Row],[PP]]),"")</f>
        <v>30</v>
      </c>
      <c r="C16" s="1" t="str">
        <f>IFERROR(IF(MARÍTIMOS[[#This Row],[Sede]]="","",MARÍTIMOS[[#This Row],[Sede]]),"")</f>
        <v>Chao</v>
      </c>
      <c r="D16" s="1" t="str">
        <f>IFERROR(IF(MARÍTIMOS[[#This Row],[Instruction]]="","",MARÍTIMOS[[#This Row],[Instruction]]),"")</f>
        <v>RH-0267</v>
      </c>
      <c r="E16" s="1"/>
      <c r="F16" s="2" t="str">
        <f>IFERROR(IF(MARÍTIMOS[[#This Row],[Transportista]]="","",MARÍTIMOS[[#This Row],[Transportista]]),"")</f>
        <v>Cititrans</v>
      </c>
      <c r="G16" s="2" t="str">
        <f>IFERROR(IF(MARÍTIMOS[[#This Row],[Tercero]]="","",MARÍTIMOS[[#This Row],[Tercero]]),"")</f>
        <v>SI</v>
      </c>
      <c r="H16" s="2" t="str">
        <f>IFERROR(IF(MARÍTIMOS[[#This Row],[Razón Social]]="","",MARÍTIMOS[[#This Row],[Razón Social]]),"")</f>
        <v>JAAP- TRANSPORT</v>
      </c>
      <c r="I16" s="2">
        <f>IFERROR(IF(MARÍTIMOS[[#This Row],[RUC]]="","",MARÍTIMOS[[#This Row],[RUC]]),"")</f>
        <v>20610002669</v>
      </c>
      <c r="J16" s="2" t="str">
        <f>IFERROR(IF(MARÍTIMOS[[#This Row],[Placa Tracto]]="","",MARÍTIMOS[[#This Row],[Placa Tracto]]),"")</f>
        <v>BRV941</v>
      </c>
      <c r="K16" s="2" t="str">
        <f>IFERROR(IF(MARÍTIMOS[[#This Row],[Placa Carreta]]="","",MARÍTIMOS[[#This Row],[Placa Carreta]]),"")</f>
        <v>BHZ998</v>
      </c>
      <c r="L16" s="44" t="str">
        <f>IFERROR(IF(MARÍTIMOS[[#This Row],[Conductor]]="","",MARÍTIMOS[[#This Row],[Conductor]]),"")</f>
        <v>JUAN CARLOS HUAMAN GABRIEL</v>
      </c>
      <c r="M16" s="2" t="str">
        <f>IFERROR(IF(MARÍTIMOS[[#This Row],[Licencia]]="","",MARÍTIMOS[[#This Row],[Licencia]]),"")</f>
        <v>Q32918076</v>
      </c>
      <c r="N16" s="2" t="str">
        <f>IFERROR(IF(MARÍTIMOS[[#This Row],[Número de Contacto]]="","",MARÍTIMOS[[#This Row],[Número de Contacto]]),"")</f>
        <v>933 228 889</v>
      </c>
      <c r="O16" s="10">
        <f>IFERROR(IF(MARÍTIMOS[[#This Row],[Booking|AWB|CRT]]="","",MARÍTIMOS[[#This Row],[Booking|AWB|CRT]]),"")</f>
        <v>751600040844</v>
      </c>
      <c r="P16" s="2" t="str">
        <f>IFERROR(IF(MARÍTIMOS[[#This Row],[Contenedor]]="","",MARÍTIMOS[[#This Row],[Contenedor]]),"")</f>
        <v>EMCU5915506</v>
      </c>
      <c r="Q16" s="2" t="str">
        <f>IFERROR(IF(MARÍTIMOS[[#This Row],[Puerto de Retiro]]="","",MARÍTIMOS[[#This Row],[Puerto de Retiro]]),"")</f>
        <v>CALLAO</v>
      </c>
      <c r="R16" s="2" t="str">
        <f>IFERROR(IF(MARÍTIMOS[[#This Row],[Almacén de Retiro]]="","",MARÍTIMOS[[#This Row],[Almacén de Retiro]]),"")</f>
        <v>IMUPESA</v>
      </c>
      <c r="S16" s="11">
        <f>IFERROR(IF(MARÍTIMOS[[#This Row],[Etapa Retiro - Cita]]="","",MARÍTIMOS[[#This Row],[Etapa Retiro - Cita]]),"")</f>
        <v>46229.625</v>
      </c>
      <c r="T16" s="11">
        <f>IFERROR(IF(MARÍTIMOS[[#This Row],[Etapa Retiro - Llegada]]="","",MARÍTIMOS[[#This Row],[Etapa Retiro - Llegada]]),"")</f>
        <v>46229.626388888886</v>
      </c>
      <c r="U16" s="11">
        <f>IFERROR(IF(MARÍTIMOS[[#This Row],[Etapa Retiro - Ingreso]]="","",MARÍTIMOS[[#This Row],[Etapa Retiro - Ingreso]]),"")</f>
        <v>46229.669444444444</v>
      </c>
      <c r="V16" s="11">
        <f>IFERROR(IF(MARÍTIMOS[[#This Row],[Etapa Retiro - Atención]]="","",MARÍTIMOS[[#This Row],[Etapa Retiro - Atención]]),"")</f>
        <v>46229.697916666664</v>
      </c>
      <c r="W16" s="11">
        <f>IFERROR(IF(MARÍTIMOS[[#This Row],[Etapa Retiro - Atención]]="","",MARÍTIMOS[[#This Row],[Etapa Retiro - Atención]]),"")</f>
        <v>46229.697916666664</v>
      </c>
      <c r="X16" s="11">
        <f>IFERROR(IF(MARÍTIMOS[[#This Row],[Etapa Retiro - Inicio de Ruta]]="","",MARÍTIMOS[[#This Row],[Etapa Retiro - Inicio de Ruta]]),"")</f>
        <v>46229.749305555553</v>
      </c>
      <c r="Y16" s="11">
        <f>IFERROR(IF(MARÍTIMOS[[#This Row],[Hora de Posicionamiento]]="","",MARÍTIMOS[[#This Row],[Fecha de Carga]]+MARÍTIMOS[[#This Row],[Hora de Posicionamiento]]),"")</f>
        <v>46230.5</v>
      </c>
      <c r="Z16" s="11">
        <f>IFERROR(IF(MARÍTIMOS[[#This Row],[Etapa Despacho - Llegada]]="","",MARÍTIMOS[[#This Row],[Etapa Despacho - Llegada]]),"")</f>
        <v>46230.438888888886</v>
      </c>
      <c r="AA16" s="11">
        <f>IFERROR(IF(MARÍTIMOS[[#This Row],[Etapa Despacho - Registro]]="","",MARÍTIMOS[[#This Row],[Etapa Despacho - Registro]]),"")</f>
        <v>46230.442361111112</v>
      </c>
      <c r="AB16" s="11">
        <f>IFERROR(IF(MARÍTIMOS[[#This Row],[Inspección Externa]]="","",MARÍTIMOS[[#This Row],[Inspección Externa]]),"")</f>
        <v>46230.46875</v>
      </c>
      <c r="AC16" s="11">
        <f>IFERROR(IF(MARÍTIMOS[[#This Row],[Etapa Despacho - Inicio de Carga]]="","",MARÍTIMOS[[#This Row],[Etapa Despacho - Inicio de Carga]]),"")</f>
        <v>46230.684027777781</v>
      </c>
      <c r="AD16" s="11">
        <f>IFERROR(IF(MARÍTIMOS[[#This Row],[Etapa Despacho - Mitad de Carga]]="","",MARÍTIMOS[[#This Row],[Etapa Despacho - Mitad de Carga]]),"")</f>
        <v>46230.70208333333</v>
      </c>
      <c r="AE16" s="11">
        <f>IFERROR(IF(MARÍTIMOS[[#This Row],[Etapa Despacho - Fin de Carga]]="","",MARÍTIMOS[[#This Row],[Etapa Despacho - Fin de Carga]]),"")</f>
        <v>46230.744444444441</v>
      </c>
      <c r="AF16" s="2" t="str">
        <f>IFERROR(IF(MARÍTIMOS[[#This Row],[Puerto de Embarque]]="","",MARÍTIMOS[[#This Row],[Puerto de Embarque]]),"")</f>
        <v>CALLAO</v>
      </c>
      <c r="AG16" s="2" t="str">
        <f>IFERROR(IF(MARÍTIMOS[[#This Row],[Almacén de Ingreso]]="","",MARÍTIMOS[[#This Row],[Almacén de Ingreso]]),"")</f>
        <v>DPW</v>
      </c>
      <c r="AH16" s="11">
        <f>IFERROR(IF(MARÍTIMOS[[#This Row],[Etapa Ingreso - Cita]]="","",MARÍTIMOS[[#This Row],[Etapa Ingreso - Cita]]),"")</f>
        <v>46231.583333333336</v>
      </c>
      <c r="AI16" s="11">
        <f>IFERROR(IF(MARÍTIMOS[[#This Row],[Etapa Ingreso - Llegada]]="","",MARÍTIMOS[[#This Row],[Etapa Ingreso - Llegada]]),"")</f>
        <v>46231.583333333336</v>
      </c>
      <c r="AJ16" s="11">
        <f>IFERROR(IF(MARÍTIMOS[[#This Row],[Etapa Ingreso - Ingeso]]="","",MARÍTIMOS[[#This Row],[Etapa Ingreso - Ingeso]]),"")</f>
        <v>46231.618055555555</v>
      </c>
      <c r="AK16" s="11">
        <f>IFERROR(IF(MARÍTIMOS[[#This Row],[Etapa Ingreso - Atención]]="","",MARÍTIMOS[[#This Row],[Etapa Ingreso - Atención]]),"")</f>
        <v>46231.625</v>
      </c>
      <c r="AL16" s="11">
        <f>IFERROR(IF(MARÍTIMOS[[#This Row],[Etapa Ingreso - Salida]]="","",MARÍTIMOS[[#This Row],[Etapa Ingreso - Salida]]),"")</f>
        <v>46231.636111111111</v>
      </c>
      <c r="AM16" s="2">
        <f>IFERROR(IF(MARÍTIMOS[[#This Row],[FCL]]="","",MARÍTIMOS[[#This Row],[FCL]]),"")</f>
        <v>1</v>
      </c>
      <c r="AN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" s="4" t="str" cm="1">
        <f t="array" ref="AO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6" s="5">
        <f>IFERROR(OLDBD[[#This Row],[Llegada a packing]]-OLDBD[[#This Row],[Inicio de Ruta]],"")</f>
        <v>0.68958333333284827</v>
      </c>
      <c r="AQ16" s="6">
        <f>IFERROR(OLDBD[[#This Row],[Inicio de Ruta]]-OLDBD[[#This Row],[Salida de almacén de retiro]],"")</f>
        <v>5.1388888889050577E-2</v>
      </c>
      <c r="AR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6" s="8" t="str" cm="1">
        <f t="array" ref="AS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6" s="9">
        <f>IFERROR(OLDBD[[#This Row],[Ingreso Packing]]-OLDBD[[#This Row],[Registro en Packing]],"")</f>
        <v>2.6388888887595385E-2</v>
      </c>
      <c r="AV16" s="9">
        <f>IFERROR(OLDBD[[#This Row],[Ingreso Packing]]-OLDBD[[#This Row],[Llegada a packing]],"")</f>
        <v>2.9861111113859806E-2</v>
      </c>
      <c r="AW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6" s="5">
        <f>IFERROR(OLDBD[[#This Row],[Llegada Almacén de Ingreso]]-OLDBD[[#This Row],[Salida Packing]],"")</f>
        <v>0.83888888889487134</v>
      </c>
      <c r="AY16" s="4" t="str" cm="1">
        <f t="array" ref="AY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6" s="43" t="s">
        <v>173</v>
      </c>
      <c r="BB16" s="47" t="str">
        <f>IFERROR(IF(MARÍTIMOS[[#This Row],[Estatus]]="","",MARÍTIMOS[[#This Row],[Estatus]]),"")</f>
        <v>Confirmado</v>
      </c>
      <c r="BC16" s="43"/>
      <c r="BD16" s="46">
        <f>IFERROR(OLDBD[[#This Row],[Salida de almacén de retiro]]-OLDBD[[#This Row],[Ingreso Almacén de retiro]],"")</f>
        <v>2.8472222220443655E-2</v>
      </c>
      <c r="BE16" s="46">
        <f>IFERROR(OLDBD[[#This Row],[Fin de Carga]]-OLDBD[[#This Row],[Inicio de Carga]],"")</f>
        <v>1.805555554892635E-2</v>
      </c>
    </row>
    <row r="17" spans="1:57" customFormat="1" hidden="1">
      <c r="A17" s="1"/>
      <c r="B17" s="1">
        <f>IFERROR(IF(MARÍTIMOS[[#This Row],[PP]]="","",MARÍTIMOS[[#This Row],[PP]]),"")</f>
        <v>31</v>
      </c>
      <c r="C17" s="1" t="str">
        <f>IFERROR(IF(MARÍTIMOS[[#This Row],[Sede]]="","",MARÍTIMOS[[#This Row],[Sede]]),"")</f>
        <v>Chao</v>
      </c>
      <c r="D17" s="1" t="str">
        <f>IFERROR(IF(MARÍTIMOS[[#This Row],[Instruction]]="","",MARÍTIMOS[[#This Row],[Instruction]]),"")</f>
        <v>RH-0322</v>
      </c>
      <c r="E17" s="1"/>
      <c r="F17" s="2" t="str">
        <f>IFERROR(IF(MARÍTIMOS[[#This Row],[Transportista]]="","",MARÍTIMOS[[#This Row],[Transportista]]),"")</f>
        <v>Cititrans</v>
      </c>
      <c r="G17" s="2" t="str">
        <f>IFERROR(IF(MARÍTIMOS[[#This Row],[Tercero]]="","",MARÍTIMOS[[#This Row],[Tercero]]),"")</f>
        <v>SI</v>
      </c>
      <c r="H17" s="2" t="str">
        <f>IFERROR(IF(MARÍTIMOS[[#This Row],[Razón Social]]="","",MARÍTIMOS[[#This Row],[Razón Social]]),"")</f>
        <v>RE TRANSPORTS</v>
      </c>
      <c r="I17" s="2">
        <f>IFERROR(IF(MARÍTIMOS[[#This Row],[RUC]]="","",MARÍTIMOS[[#This Row],[RUC]]),"")</f>
        <v>20600489535</v>
      </c>
      <c r="J17" s="2" t="str">
        <f>IFERROR(IF(MARÍTIMOS[[#This Row],[Placa Tracto]]="","",MARÍTIMOS[[#This Row],[Placa Tracto]]),"")</f>
        <v>D4M901</v>
      </c>
      <c r="K17" s="2" t="str">
        <f>IFERROR(IF(MARÍTIMOS[[#This Row],[Placa Carreta]]="","",MARÍTIMOS[[#This Row],[Placa Carreta]]),"")</f>
        <v>B2E984</v>
      </c>
      <c r="L17" s="44" t="str">
        <f>IFERROR(IF(MARÍTIMOS[[#This Row],[Conductor]]="","",MARÍTIMOS[[#This Row],[Conductor]]),"")</f>
        <v>HENRY VICENTE PRADA</v>
      </c>
      <c r="M17" s="2" t="str">
        <f>IFERROR(IF(MARÍTIMOS[[#This Row],[Licencia]]="","",MARÍTIMOS[[#This Row],[Licencia]]),"")</f>
        <v>Q09483810</v>
      </c>
      <c r="N17" s="2" t="str">
        <f>IFERROR(IF(MARÍTIMOS[[#This Row],[Número de Contacto]]="","",MARÍTIMOS[[#This Row],[Número de Contacto]]),"")</f>
        <v>992 157 075</v>
      </c>
      <c r="O17" s="10" t="str">
        <f>IFERROR(IF(MARÍTIMOS[[#This Row],[Booking|AWB|CRT]]="","",MARÍTIMOS[[#This Row],[Booking|AWB|CRT]]),"")</f>
        <v>LIMG14339700</v>
      </c>
      <c r="P17" s="2" t="str">
        <f>IFERROR(IF(MARÍTIMOS[[#This Row],[Contenedor]]="","",MARÍTIMOS[[#This Row],[Contenedor]]),"")</f>
        <v xml:space="preserve">
ONEU9189313</v>
      </c>
      <c r="Q17" s="2" t="str">
        <f>IFERROR(IF(MARÍTIMOS[[#This Row],[Puerto de Retiro]]="","",MARÍTIMOS[[#This Row],[Puerto de Retiro]]),"")</f>
        <v>CALLAO</v>
      </c>
      <c r="R17" s="2" t="str">
        <f>IFERROR(IF(MARÍTIMOS[[#This Row],[Almacén de Retiro]]="","",MARÍTIMOS[[#This Row],[Almacén de Retiro]]),"")</f>
        <v>CONTRANS</v>
      </c>
      <c r="S17" s="11">
        <f>IFERROR(IF(MARÍTIMOS[[#This Row],[Etapa Retiro - Cita]]="","",MARÍTIMOS[[#This Row],[Etapa Retiro - Cita]]),"")</f>
        <v>46232.416666666664</v>
      </c>
      <c r="T17" s="11">
        <f>IFERROR(IF(MARÍTIMOS[[#This Row],[Etapa Retiro - Llegada]]="","",MARÍTIMOS[[#This Row],[Etapa Retiro - Llegada]]),"")</f>
        <v>46232.421527777777</v>
      </c>
      <c r="U17" s="11">
        <f>IFERROR(IF(MARÍTIMOS[[#This Row],[Etapa Retiro - Ingreso]]="","",MARÍTIMOS[[#This Row],[Etapa Retiro - Ingreso]]),"")</f>
        <v>46232.424305555556</v>
      </c>
      <c r="V17" s="11">
        <f>IFERROR(IF(MARÍTIMOS[[#This Row],[Etapa Retiro - Atención]]="","",MARÍTIMOS[[#This Row],[Etapa Retiro - Atención]]),"")</f>
        <v>46232.520833333336</v>
      </c>
      <c r="W17" s="11">
        <f>IFERROR(IF(MARÍTIMOS[[#This Row],[Etapa Retiro - Atención]]="","",MARÍTIMOS[[#This Row],[Etapa Retiro - Atención]]),"")</f>
        <v>46232.520833333336</v>
      </c>
      <c r="X17" s="11">
        <f>IFERROR(IF(MARÍTIMOS[[#This Row],[Etapa Retiro - Inicio de Ruta]]="","",MARÍTIMOS[[#This Row],[Etapa Retiro - Inicio de Ruta]]),"")</f>
        <v>46232.597916666666</v>
      </c>
      <c r="Y17" s="11">
        <f>IFERROR(IF(MARÍTIMOS[[#This Row],[Hora de Posicionamiento]]="","",MARÍTIMOS[[#This Row],[Fecha de Carga]]+MARÍTIMOS[[#This Row],[Hora de Posicionamiento]]),"")</f>
        <v>46233.5</v>
      </c>
      <c r="Z17" s="11">
        <f>IFERROR(IF(MARÍTIMOS[[#This Row],[Etapa Despacho - Llegada]]="","",MARÍTIMOS[[#This Row],[Etapa Despacho - Llegada]]),"")</f>
        <v>46233.368750000001</v>
      </c>
      <c r="AA17" s="11">
        <f>IFERROR(IF(MARÍTIMOS[[#This Row],[Etapa Despacho - Registro]]="","",MARÍTIMOS[[#This Row],[Etapa Despacho - Registro]]),"")</f>
        <v>46233.37222222222</v>
      </c>
      <c r="AB17" s="11">
        <f>IFERROR(IF(MARÍTIMOS[[#This Row],[Inspección Externa]]="","",MARÍTIMOS[[#This Row],[Inspección Externa]]),"")</f>
        <v>46233.400694444441</v>
      </c>
      <c r="AC17" s="11">
        <f>IFERROR(IF(MARÍTIMOS[[#This Row],[Etapa Despacho - Inicio de Carga]]="","",MARÍTIMOS[[#This Row],[Etapa Despacho - Inicio de Carga]]),"")</f>
        <v>46233.629861111112</v>
      </c>
      <c r="AD17" s="11">
        <f>IFERROR(IF(MARÍTIMOS[[#This Row],[Etapa Despacho - Mitad de Carga]]="","",MARÍTIMOS[[#This Row],[Etapa Despacho - Mitad de Carga]]),"")</f>
        <v>46233.644444444442</v>
      </c>
      <c r="AE17" s="11">
        <f>IFERROR(IF(MARÍTIMOS[[#This Row],[Etapa Despacho - Fin de Carga]]="","",MARÍTIMOS[[#This Row],[Etapa Despacho - Fin de Carga]]),"")</f>
        <v>46233.65902777778</v>
      </c>
      <c r="AF17" s="2" t="str">
        <f>IFERROR(IF(MARÍTIMOS[[#This Row],[Puerto de Embarque]]="","",MARÍTIMOS[[#This Row],[Puerto de Embarque]]),"")</f>
        <v>CALLAO</v>
      </c>
      <c r="AG17" s="2" t="str">
        <f>IFERROR(IF(MARÍTIMOS[[#This Row],[Almacén de Ingreso]]="","",MARÍTIMOS[[#This Row],[Almacén de Ingreso]]),"")</f>
        <v>DPW</v>
      </c>
      <c r="AH17" s="11">
        <f>IFERROR(IF(MARÍTIMOS[[#This Row],[Etapa Ingreso - Cita]]="","",MARÍTIMOS[[#This Row],[Etapa Ingreso - Cita]]),"")</f>
        <v>46234.583333333336</v>
      </c>
      <c r="AI17" s="11">
        <f>IFERROR(IF(MARÍTIMOS[[#This Row],[Etapa Ingreso - Llegada]]="","",MARÍTIMOS[[#This Row],[Etapa Ingreso - Llegada]]),"")</f>
        <v>46234.550694444442</v>
      </c>
      <c r="AJ17" s="11">
        <f>IFERROR(IF(MARÍTIMOS[[#This Row],[Etapa Ingreso - Ingeso]]="","",MARÍTIMOS[[#This Row],[Etapa Ingreso - Ingeso]]),"")</f>
        <v>46234.619444444441</v>
      </c>
      <c r="AK17" s="11">
        <f>IFERROR(IF(MARÍTIMOS[[#This Row],[Etapa Ingreso - Atención]]="","",MARÍTIMOS[[#This Row],[Etapa Ingreso - Atención]]),"")</f>
        <v>46234.622916666667</v>
      </c>
      <c r="AL17" s="11">
        <f>IFERROR(IF(MARÍTIMOS[[#This Row],[Etapa Ingreso - Salida]]="","",MARÍTIMOS[[#This Row],[Etapa Ingreso - Salida]]),"")</f>
        <v>46234.626388888886</v>
      </c>
      <c r="AM17" s="2">
        <f>IFERROR(IF(MARÍTIMOS[[#This Row],[FCL]]="","",MARÍTIMOS[[#This Row],[FCL]]),"")</f>
        <v>1</v>
      </c>
      <c r="AN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" s="4" t="str" cm="1">
        <f t="array" ref="AO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7" s="5">
        <f>IFERROR(OLDBD[[#This Row],[Llegada a packing]]-OLDBD[[#This Row],[Inicio de Ruta]],"")</f>
        <v>0.77083333333575865</v>
      </c>
      <c r="AQ17" s="6">
        <f>IFERROR(OLDBD[[#This Row],[Inicio de Ruta]]-OLDBD[[#This Row],[Salida de almacén de retiro]],"")</f>
        <v>7.7083333329937886E-2</v>
      </c>
      <c r="AR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" s="8" t="str" cm="1">
        <f t="array" ref="AS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7" s="9">
        <f>IFERROR(OLDBD[[#This Row],[Ingreso Packing]]-OLDBD[[#This Row],[Registro en Packing]],"")</f>
        <v>2.8472222220443655E-2</v>
      </c>
      <c r="AV17" s="9">
        <f>IFERROR(OLDBD[[#This Row],[Ingreso Packing]]-OLDBD[[#This Row],[Llegada a packing]],"")</f>
        <v>3.1944444439432118E-2</v>
      </c>
      <c r="AW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7" s="5">
        <f>IFERROR(OLDBD[[#This Row],[Llegada Almacén de Ingreso]]-OLDBD[[#This Row],[Salida Packing]],"")</f>
        <v>0.89166666666278616</v>
      </c>
      <c r="AY17" s="4" t="str" cm="1">
        <f t="array" ref="AY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" s="43" t="s">
        <v>173</v>
      </c>
      <c r="BB17" s="47" t="str">
        <f>IFERROR(IF(MARÍTIMOS[[#This Row],[Estatus]]="","",MARÍTIMOS[[#This Row],[Estatus]]),"")</f>
        <v>Confirmado</v>
      </c>
      <c r="BC17" s="43"/>
      <c r="BD17" s="46">
        <f>IFERROR(OLDBD[[#This Row],[Salida de almacén de retiro]]-OLDBD[[#This Row],[Ingreso Almacén de retiro]],"")</f>
        <v>9.6527777779556345E-2</v>
      </c>
      <c r="BE17" s="46">
        <f>IFERROR(OLDBD[[#This Row],[Fin de Carga]]-OLDBD[[#This Row],[Inicio de Carga]],"")</f>
        <v>1.4583333329937886E-2</v>
      </c>
    </row>
    <row r="18" spans="1:57" customFormat="1" hidden="1">
      <c r="A18" s="1"/>
      <c r="B18" s="1">
        <f>IFERROR(IF(MARÍTIMOS[[#This Row],[PP]]="","",MARÍTIMOS[[#This Row],[PP]]),"")</f>
        <v>31</v>
      </c>
      <c r="C18" s="1" t="str">
        <f>IFERROR(IF(MARÍTIMOS[[#This Row],[Sede]]="","",MARÍTIMOS[[#This Row],[Sede]]),"")</f>
        <v>Chao</v>
      </c>
      <c r="D18" s="1" t="str">
        <f>IFERROR(IF(MARÍTIMOS[[#This Row],[Instruction]]="","",MARÍTIMOS[[#This Row],[Instruction]]),"")</f>
        <v>RH-0323</v>
      </c>
      <c r="E18" s="1"/>
      <c r="F18" s="2" t="str">
        <f>IFERROR(IF(MARÍTIMOS[[#This Row],[Transportista]]="","",MARÍTIMOS[[#This Row],[Transportista]]),"")</f>
        <v>Cititrans</v>
      </c>
      <c r="G18" s="2" t="str">
        <f>IFERROR(IF(MARÍTIMOS[[#This Row],[Tercero]]="","",MARÍTIMOS[[#This Row],[Tercero]]),"")</f>
        <v>NO</v>
      </c>
      <c r="H18" s="2" t="str">
        <f>IFERROR(IF(MARÍTIMOS[[#This Row],[Razón Social]]="","",MARÍTIMOS[[#This Row],[Razón Social]]),"")</f>
        <v>CITITRANS</v>
      </c>
      <c r="I18" s="2">
        <f>IFERROR(IF(MARÍTIMOS[[#This Row],[RUC]]="","",MARÍTIMOS[[#This Row],[RUC]]),"")</f>
        <v>20609553376</v>
      </c>
      <c r="J18" s="2" t="str">
        <f>IFERROR(IF(MARÍTIMOS[[#This Row],[Placa Tracto]]="","",MARÍTIMOS[[#This Row],[Placa Tracto]]),"")</f>
        <v>BTM813</v>
      </c>
      <c r="K18" s="2" t="str">
        <f>IFERROR(IF(MARÍTIMOS[[#This Row],[Placa Carreta]]="","",MARÍTIMOS[[#This Row],[Placa Carreta]]),"")</f>
        <v>BUF988</v>
      </c>
      <c r="L18" s="44" t="str">
        <f>IFERROR(IF(MARÍTIMOS[[#This Row],[Conductor]]="","",MARÍTIMOS[[#This Row],[Conductor]]),"")</f>
        <v>YONKY YADIR GRANADOS FERMIN</v>
      </c>
      <c r="M18" s="2" t="str">
        <f>IFERROR(IF(MARÍTIMOS[[#This Row],[Licencia]]="","",MARÍTIMOS[[#This Row],[Licencia]]),"")</f>
        <v>Q007099864</v>
      </c>
      <c r="N18" s="2" t="str">
        <f>IFERROR(IF(MARÍTIMOS[[#This Row],[Número de Contacto]]="","",MARÍTIMOS[[#This Row],[Número de Contacto]]),"")</f>
        <v>970 999 084</v>
      </c>
      <c r="O18" s="10" t="str">
        <f>IFERROR(IF(MARÍTIMOS[[#This Row],[Booking|AWB|CRT]]="","",MARÍTIMOS[[#This Row],[Booking|AWB|CRT]]),"")</f>
        <v>LIMG14340600</v>
      </c>
      <c r="P18" s="2" t="str">
        <f>IFERROR(IF(MARÍTIMOS[[#This Row],[Contenedor]]="","",MARÍTIMOS[[#This Row],[Contenedor]]),"")</f>
        <v>ONEU9242486</v>
      </c>
      <c r="Q18" s="2" t="str">
        <f>IFERROR(IF(MARÍTIMOS[[#This Row],[Puerto de Retiro]]="","",MARÍTIMOS[[#This Row],[Puerto de Retiro]]),"")</f>
        <v>CALLAO</v>
      </c>
      <c r="R18" s="2" t="str">
        <f>IFERROR(IF(MARÍTIMOS[[#This Row],[Almacén de Retiro]]="","",MARÍTIMOS[[#This Row],[Almacén de Retiro]]),"")</f>
        <v>CONTRANS</v>
      </c>
      <c r="S18" s="11">
        <f>IFERROR(IF(MARÍTIMOS[[#This Row],[Etapa Retiro - Cita]]="","",MARÍTIMOS[[#This Row],[Etapa Retiro - Cita]]),"")</f>
        <v>46232.416666666664</v>
      </c>
      <c r="T18" s="11">
        <f>IFERROR(IF(MARÍTIMOS[[#This Row],[Etapa Retiro - Llegada]]="","",MARÍTIMOS[[#This Row],[Etapa Retiro - Llegada]]),"")</f>
        <v>46232.407638888886</v>
      </c>
      <c r="U18" s="11">
        <f>IFERROR(IF(MARÍTIMOS[[#This Row],[Etapa Retiro - Ingreso]]="","",MARÍTIMOS[[#This Row],[Etapa Retiro - Ingreso]]),"")</f>
        <v>46232.421527777777</v>
      </c>
      <c r="V18" s="11">
        <f>IFERROR(IF(MARÍTIMOS[[#This Row],[Etapa Retiro - Atención]]="","",MARÍTIMOS[[#This Row],[Etapa Retiro - Atención]]),"")</f>
        <v>46232.513888888891</v>
      </c>
      <c r="W18" s="11">
        <f>IFERROR(IF(MARÍTIMOS[[#This Row],[Etapa Retiro - Atención]]="","",MARÍTIMOS[[#This Row],[Etapa Retiro - Atención]]),"")</f>
        <v>46232.513888888891</v>
      </c>
      <c r="X18" s="11">
        <f>IFERROR(IF(MARÍTIMOS[[#This Row],[Etapa Retiro - Inicio de Ruta]]="","",MARÍTIMOS[[#This Row],[Etapa Retiro - Inicio de Ruta]]),"")</f>
        <v>46232.629861111112</v>
      </c>
      <c r="Y18" s="11">
        <f>IFERROR(IF(MARÍTIMOS[[#This Row],[Hora de Posicionamiento]]="","",MARÍTIMOS[[#This Row],[Fecha de Carga]]+MARÍTIMOS[[#This Row],[Hora de Posicionamiento]]),"")</f>
        <v>46233.5</v>
      </c>
      <c r="Z18" s="11">
        <f>IFERROR(IF(MARÍTIMOS[[#This Row],[Etapa Despacho - Llegada]]="","",MARÍTIMOS[[#This Row],[Etapa Despacho - Llegada]]),"")</f>
        <v>46233.37777777778</v>
      </c>
      <c r="AA18" s="11">
        <f>IFERROR(IF(MARÍTIMOS[[#This Row],[Etapa Despacho - Registro]]="","",MARÍTIMOS[[#This Row],[Etapa Despacho - Registro]]),"")</f>
        <v>46233.381249999999</v>
      </c>
      <c r="AB18" s="11">
        <f>IFERROR(IF(MARÍTIMOS[[#This Row],[Inspección Externa]]="","",MARÍTIMOS[[#This Row],[Inspección Externa]]),"")</f>
        <v>46233.399305555555</v>
      </c>
      <c r="AC18" s="11">
        <f>IFERROR(IF(MARÍTIMOS[[#This Row],[Etapa Despacho - Inicio de Carga]]="","",MARÍTIMOS[[#This Row],[Etapa Despacho - Inicio de Carga]]),"")</f>
        <v>46233.64166666667</v>
      </c>
      <c r="AD18" s="11">
        <f>IFERROR(IF(MARÍTIMOS[[#This Row],[Etapa Despacho - Mitad de Carga]]="","",MARÍTIMOS[[#This Row],[Etapa Despacho - Mitad de Carga]]),"")</f>
        <v>46233.686111111114</v>
      </c>
      <c r="AE18" s="11">
        <f>IFERROR(IF(MARÍTIMOS[[#This Row],[Etapa Despacho - Fin de Carga]]="","",MARÍTIMOS[[#This Row],[Etapa Despacho - Fin de Carga]]),"")</f>
        <v>46233.689583333333</v>
      </c>
      <c r="AF18" s="2" t="str">
        <f>IFERROR(IF(MARÍTIMOS[[#This Row],[Puerto de Embarque]]="","",MARÍTIMOS[[#This Row],[Puerto de Embarque]]),"")</f>
        <v>CALLAO</v>
      </c>
      <c r="AG18" s="2" t="str">
        <f>IFERROR(IF(MARÍTIMOS[[#This Row],[Almacén de Ingreso]]="","",MARÍTIMOS[[#This Row],[Almacén de Ingreso]]),"")</f>
        <v>DPW</v>
      </c>
      <c r="AH18" s="11">
        <f>IFERROR(IF(MARÍTIMOS[[#This Row],[Etapa Ingreso - Cita]]="","",MARÍTIMOS[[#This Row],[Etapa Ingreso - Cita]]),"")</f>
        <v>46234.125</v>
      </c>
      <c r="AI18" s="11">
        <f>IFERROR(IF(MARÍTIMOS[[#This Row],[Etapa Ingreso - Llegada]]="","",MARÍTIMOS[[#This Row],[Etapa Ingreso - Llegada]]),"")</f>
        <v>46234.142361111109</v>
      </c>
      <c r="AJ18" s="11">
        <f>IFERROR(IF(MARÍTIMOS[[#This Row],[Etapa Ingreso - Ingeso]]="","",MARÍTIMOS[[#This Row],[Etapa Ingreso - Ingeso]]),"")</f>
        <v>46234.22152777778</v>
      </c>
      <c r="AK18" s="11">
        <f>IFERROR(IF(MARÍTIMOS[[#This Row],[Etapa Ingreso - Atención]]="","",MARÍTIMOS[[#This Row],[Etapa Ingreso - Atención]]),"")</f>
        <v>46234.224999999999</v>
      </c>
      <c r="AL18" s="11">
        <f>IFERROR(IF(MARÍTIMOS[[#This Row],[Etapa Ingreso - Salida]]="","",MARÍTIMOS[[#This Row],[Etapa Ingreso - Salida]]),"")</f>
        <v>46234.232638888891</v>
      </c>
      <c r="AM18" s="2">
        <f>IFERROR(IF(MARÍTIMOS[[#This Row],[FCL]]="","",MARÍTIMOS[[#This Row],[FCL]]),"")</f>
        <v>1</v>
      </c>
      <c r="AN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" s="4" t="str" cm="1">
        <f t="array" ref="AO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8" s="5">
        <f>IFERROR(OLDBD[[#This Row],[Llegada a packing]]-OLDBD[[#This Row],[Inicio de Ruta]],"")</f>
        <v>0.74791666666715173</v>
      </c>
      <c r="AQ18" s="6">
        <f>IFERROR(OLDBD[[#This Row],[Inicio de Ruta]]-OLDBD[[#This Row],[Salida de almacén de retiro]],"")</f>
        <v>0.11597222222189885</v>
      </c>
      <c r="AR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8" s="8" t="str" cm="1">
        <f t="array" ref="AS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8" s="9">
        <f>IFERROR(OLDBD[[#This Row],[Ingreso Packing]]-OLDBD[[#This Row],[Registro en Packing]],"")</f>
        <v>1.8055555556202307E-2</v>
      </c>
      <c r="AV18" s="9">
        <f>IFERROR(OLDBD[[#This Row],[Ingreso Packing]]-OLDBD[[#This Row],[Llegada a packing]],"")</f>
        <v>2.1527777775190771E-2</v>
      </c>
      <c r="AW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8" s="5">
        <f>IFERROR(OLDBD[[#This Row],[Llegada Almacén de Ingreso]]-OLDBD[[#This Row],[Salida Packing]],"")</f>
        <v>0.45277777777664596</v>
      </c>
      <c r="AY18" s="4" t="str" cm="1">
        <f t="array" ref="AY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" s="43" t="s">
        <v>173</v>
      </c>
      <c r="BB18" s="47" t="str">
        <f>IFERROR(IF(MARÍTIMOS[[#This Row],[Estatus]]="","",MARÍTIMOS[[#This Row],[Estatus]]),"")</f>
        <v>Confirmado</v>
      </c>
      <c r="BC18" s="43"/>
      <c r="BD18" s="46">
        <f>IFERROR(OLDBD[[#This Row],[Salida de almacén de retiro]]-OLDBD[[#This Row],[Ingreso Almacén de retiro]],"")</f>
        <v>9.2361111113859806E-2</v>
      </c>
      <c r="BE18" s="46">
        <f>IFERROR(OLDBD[[#This Row],[Fin de Carga]]-OLDBD[[#This Row],[Inicio de Carga]],"")</f>
        <v>4.4444444443797693E-2</v>
      </c>
    </row>
    <row r="19" spans="1:57" customFormat="1" hidden="1">
      <c r="A19" s="1"/>
      <c r="B19" s="1">
        <f>IFERROR(IF(MARÍTIMOS[[#This Row],[PP]]="","",MARÍTIMOS[[#This Row],[PP]]),"")</f>
        <v>31</v>
      </c>
      <c r="C19" s="1" t="str">
        <f>IFERROR(IF(MARÍTIMOS[[#This Row],[Sede]]="","",MARÍTIMOS[[#This Row],[Sede]]),"")</f>
        <v>Chao</v>
      </c>
      <c r="D19" s="1" t="str">
        <f>IFERROR(IF(MARÍTIMOS[[#This Row],[Instruction]]="","",MARÍTIMOS[[#This Row],[Instruction]]),"")</f>
        <v>RH-0365</v>
      </c>
      <c r="E19" s="1"/>
      <c r="F19" s="2" t="str">
        <f>IFERROR(IF(MARÍTIMOS[[#This Row],[Transportista]]="","",MARÍTIMOS[[#This Row],[Transportista]]),"")</f>
        <v>Cititrans</v>
      </c>
      <c r="G19" s="2" t="str">
        <f>IFERROR(IF(MARÍTIMOS[[#This Row],[Tercero]]="","",MARÍTIMOS[[#This Row],[Tercero]]),"")</f>
        <v>NO</v>
      </c>
      <c r="H19" s="2" t="str">
        <f>IFERROR(IF(MARÍTIMOS[[#This Row],[Razón Social]]="","",MARÍTIMOS[[#This Row],[Razón Social]]),"")</f>
        <v>CITITRANS</v>
      </c>
      <c r="I19" s="2">
        <f>IFERROR(IF(MARÍTIMOS[[#This Row],[RUC]]="","",MARÍTIMOS[[#This Row],[RUC]]),"")</f>
        <v>20609553376</v>
      </c>
      <c r="J19" s="2" t="str">
        <f>IFERROR(IF(MARÍTIMOS[[#This Row],[Placa Tracto]]="","",MARÍTIMOS[[#This Row],[Placa Tracto]]),"")</f>
        <v>CDK878</v>
      </c>
      <c r="K19" s="2" t="str">
        <f>IFERROR(IF(MARÍTIMOS[[#This Row],[Placa Carreta]]="","",MARÍTIMOS[[#This Row],[Placa Carreta]]),"")</f>
        <v>BRU978</v>
      </c>
      <c r="L19" s="44" t="str">
        <f>IFERROR(IF(MARÍTIMOS[[#This Row],[Conductor]]="","",MARÍTIMOS[[#This Row],[Conductor]]),"")</f>
        <v>BREDY ANTONIO CRUZ CONTRERAS</v>
      </c>
      <c r="M19" s="2" t="str">
        <f>IFERROR(IF(MARÍTIMOS[[#This Row],[Licencia]]="","",MARÍTIMOS[[#This Row],[Licencia]]),"")</f>
        <v>Q002365535</v>
      </c>
      <c r="N19" s="2" t="str">
        <f>IFERROR(IF(MARÍTIMOS[[#This Row],[Número de Contacto]]="","",MARÍTIMOS[[#This Row],[Número de Contacto]]),"")</f>
        <v>933 329 505</v>
      </c>
      <c r="O19" s="10">
        <f>IFERROR(IF(MARÍTIMOS[[#This Row],[Booking|AWB|CRT]]="","",MARÍTIMOS[[#This Row],[Booking|AWB|CRT]]),"")</f>
        <v>6509981780</v>
      </c>
      <c r="P19" s="2" t="str">
        <f>IFERROR(IF(MARÍTIMOS[[#This Row],[Contenedor]]="","",MARÍTIMOS[[#This Row],[Contenedor]]),"")</f>
        <v>FBIU5729992</v>
      </c>
      <c r="Q19" s="2" t="str">
        <f>IFERROR(IF(MARÍTIMOS[[#This Row],[Puerto de Retiro]]="","",MARÍTIMOS[[#This Row],[Puerto de Retiro]]),"")</f>
        <v>CALLAO</v>
      </c>
      <c r="R19" s="2" t="str">
        <f>IFERROR(IF(MARÍTIMOS[[#This Row],[Almacén de Retiro]]="","",MARÍTIMOS[[#This Row],[Almacén de Retiro]]),"")</f>
        <v>FARGOLINE</v>
      </c>
      <c r="S19" s="11">
        <f>IFERROR(IF(MARÍTIMOS[[#This Row],[Etapa Retiro - Cita]]="","",MARÍTIMOS[[#This Row],[Etapa Retiro - Cita]]),"")</f>
        <v>46235.75</v>
      </c>
      <c r="T19" s="11">
        <f>IFERROR(IF(MARÍTIMOS[[#This Row],[Etapa Retiro - Llegada]]="","",MARÍTIMOS[[#This Row],[Etapa Retiro - Llegada]]),"")</f>
        <v>46235.708333333336</v>
      </c>
      <c r="U19" s="11">
        <f>IFERROR(IF(MARÍTIMOS[[#This Row],[Etapa Retiro - Ingreso]]="","",MARÍTIMOS[[#This Row],[Etapa Retiro - Ingreso]]),"")</f>
        <v>46235.71597222222</v>
      </c>
      <c r="V19" s="11">
        <f>IFERROR(IF(MARÍTIMOS[[#This Row],[Etapa Retiro - Atención]]="","",MARÍTIMOS[[#This Row],[Etapa Retiro - Atención]]),"")</f>
        <v>46235.729166666664</v>
      </c>
      <c r="W19" s="11">
        <f>IFERROR(IF(MARÍTIMOS[[#This Row],[Etapa Retiro - Atención]]="","",MARÍTIMOS[[#This Row],[Etapa Retiro - Atención]]),"")</f>
        <v>46235.729166666664</v>
      </c>
      <c r="X19" s="11">
        <f>IFERROR(IF(MARÍTIMOS[[#This Row],[Etapa Retiro - Inicio de Ruta]]="","",MARÍTIMOS[[#This Row],[Etapa Retiro - Inicio de Ruta]]),"")</f>
        <v>46235.756249999999</v>
      </c>
      <c r="Y19" s="11">
        <f>IFERROR(IF(MARÍTIMOS[[#This Row],[Hora de Posicionamiento]]="","",MARÍTIMOS[[#This Row],[Fecha de Carga]]+MARÍTIMOS[[#This Row],[Hora de Posicionamiento]]),"")</f>
        <v>46236.583333333336</v>
      </c>
      <c r="Z19" s="11">
        <f>IFERROR(IF(MARÍTIMOS[[#This Row],[Etapa Despacho - Llegada]]="","",MARÍTIMOS[[#This Row],[Etapa Despacho - Llegada]]),"")</f>
        <v>46236.425000000003</v>
      </c>
      <c r="AA19" s="11">
        <f>IFERROR(IF(MARÍTIMOS[[#This Row],[Etapa Despacho - Registro]]="","",MARÍTIMOS[[#This Row],[Etapa Despacho - Registro]]),"")</f>
        <v>46236.429166666669</v>
      </c>
      <c r="AB19" s="11">
        <f>IFERROR(IF(MARÍTIMOS[[#This Row],[Inspección Externa]]="","",MARÍTIMOS[[#This Row],[Inspección Externa]]),"")</f>
        <v>46236.463888888888</v>
      </c>
      <c r="AC19" s="11">
        <f>IFERROR(IF(MARÍTIMOS[[#This Row],[Etapa Despacho - Inicio de Carga]]="","",MARÍTIMOS[[#This Row],[Etapa Despacho - Inicio de Carga]]),"")</f>
        <v>46236.655555555553</v>
      </c>
      <c r="AD19" s="11">
        <f>IFERROR(IF(MARÍTIMOS[[#This Row],[Etapa Despacho - Mitad de Carga]]="","",MARÍTIMOS[[#This Row],[Etapa Despacho - Mitad de Carga]]),"")</f>
        <v>46236.702777777777</v>
      </c>
      <c r="AE19" s="11">
        <f>IFERROR(IF(MARÍTIMOS[[#This Row],[Etapa Despacho - Fin de Carga]]="","",MARÍTIMOS[[#This Row],[Etapa Despacho - Fin de Carga]]),"")</f>
        <v>46236.708333333336</v>
      </c>
      <c r="AF19" s="2" t="str">
        <f>IFERROR(IF(MARÍTIMOS[[#This Row],[Puerto de Embarque]]="","",MARÍTIMOS[[#This Row],[Puerto de Embarque]]),"")</f>
        <v>CALLAO</v>
      </c>
      <c r="AG19" s="2" t="str">
        <f>IFERROR(IF(MARÍTIMOS[[#This Row],[Almacén de Ingreso]]="","",MARÍTIMOS[[#This Row],[Almacén de Ingreso]]),"")</f>
        <v>CSPCP</v>
      </c>
      <c r="AH19" s="11">
        <f>IFERROR(IF(MARÍTIMOS[[#This Row],[Etapa Ingreso - Cita]]="","",MARÍTIMOS[[#This Row],[Etapa Ingreso - Cita]]),"")</f>
        <v>46237</v>
      </c>
      <c r="AI19" s="11">
        <f>IFERROR(IF(MARÍTIMOS[[#This Row],[Etapa Ingreso - Llegada]]="","",MARÍTIMOS[[#This Row],[Etapa Ingreso - Llegada]]),"")</f>
        <v>46237.369444444441</v>
      </c>
      <c r="AJ19" s="11">
        <f>IFERROR(IF(MARÍTIMOS[[#This Row],[Etapa Ingreso - Ingeso]]="","",MARÍTIMOS[[#This Row],[Etapa Ingreso - Ingeso]]),"")</f>
        <v>46237.39166666667</v>
      </c>
      <c r="AK19" s="11">
        <f>IFERROR(IF(MARÍTIMOS[[#This Row],[Etapa Ingreso - Atención]]="","",MARÍTIMOS[[#This Row],[Etapa Ingreso - Atención]]),"")</f>
        <v>46237.394444444442</v>
      </c>
      <c r="AL19" s="11">
        <f>IFERROR(IF(MARÍTIMOS[[#This Row],[Etapa Ingreso - Salida]]="","",MARÍTIMOS[[#This Row],[Etapa Ingreso - Salida]]),"")</f>
        <v>46237.397916666669</v>
      </c>
      <c r="AM19" s="2">
        <f>IFERROR(IF(MARÍTIMOS[[#This Row],[FCL]]="","",MARÍTIMOS[[#This Row],[FCL]]),"")</f>
        <v>1</v>
      </c>
      <c r="AN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" s="4" t="str" cm="1">
        <f t="array" ref="AO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9" s="5">
        <f>IFERROR(OLDBD[[#This Row],[Llegada a packing]]-OLDBD[[#This Row],[Inicio de Ruta]],"")</f>
        <v>0.66875000000436557</v>
      </c>
      <c r="AQ19" s="6">
        <f>IFERROR(OLDBD[[#This Row],[Inicio de Ruta]]-OLDBD[[#This Row],[Salida de almacén de retiro]],"")</f>
        <v>2.7083333334303461E-2</v>
      </c>
      <c r="AR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9" s="8" t="str" cm="1">
        <f t="array" ref="AS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9" s="9">
        <f>IFERROR(OLDBD[[#This Row],[Ingreso Packing]]-OLDBD[[#This Row],[Registro en Packing]],"")</f>
        <v>3.4722222218988463E-2</v>
      </c>
      <c r="AV19" s="9">
        <f>IFERROR(OLDBD[[#This Row],[Ingreso Packing]]-OLDBD[[#This Row],[Llegada a packing]],"")</f>
        <v>3.8888888884685002E-2</v>
      </c>
      <c r="AW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9" s="5">
        <f>IFERROR(OLDBD[[#This Row],[Llegada Almacén de Ingreso]]-OLDBD[[#This Row],[Salida Packing]],"")</f>
        <v>0.66111111110512866</v>
      </c>
      <c r="AY19" s="4" t="str" cm="1">
        <f t="array" ref="AY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" s="43" t="s">
        <v>173</v>
      </c>
      <c r="BB19" s="47" t="str">
        <f>IFERROR(IF(MARÍTIMOS[[#This Row],[Estatus]]="","",MARÍTIMOS[[#This Row],[Estatus]]),"")</f>
        <v>Confirmado</v>
      </c>
      <c r="BC19" s="43"/>
      <c r="BD19" s="46">
        <f>IFERROR(OLDBD[[#This Row],[Salida de almacén de retiro]]-OLDBD[[#This Row],[Ingreso Almacén de retiro]],"")</f>
        <v>1.3194444443797693E-2</v>
      </c>
      <c r="BE19" s="46">
        <f>IFERROR(OLDBD[[#This Row],[Fin de Carga]]-OLDBD[[#This Row],[Inicio de Carga]],"")</f>
        <v>4.7222222223354038E-2</v>
      </c>
    </row>
    <row r="20" spans="1:57" customFormat="1" hidden="1">
      <c r="A20" s="1"/>
      <c r="B20" s="1">
        <f>IFERROR(IF(MARÍTIMOS[[#This Row],[PP]]="","",MARÍTIMOS[[#This Row],[PP]]),"")</f>
        <v>31</v>
      </c>
      <c r="C20" s="1" t="str">
        <f>IFERROR(IF(MARÍTIMOS[[#This Row],[Sede]]="","",MARÍTIMOS[[#This Row],[Sede]]),"")</f>
        <v>Chao</v>
      </c>
      <c r="D20" s="1" t="str">
        <f>IFERROR(IF(MARÍTIMOS[[#This Row],[Instruction]]="","",MARÍTIMOS[[#This Row],[Instruction]]),"")</f>
        <v>RH-0332</v>
      </c>
      <c r="E20" s="1"/>
      <c r="F20" s="2" t="str">
        <f>IFERROR(IF(MARÍTIMOS[[#This Row],[Transportista]]="","",MARÍTIMOS[[#This Row],[Transportista]]),"")</f>
        <v>Cititrans</v>
      </c>
      <c r="G20" s="2" t="str">
        <f>IFERROR(IF(MARÍTIMOS[[#This Row],[Tercero]]="","",MARÍTIMOS[[#This Row],[Tercero]]),"")</f>
        <v>SI</v>
      </c>
      <c r="H20" s="2" t="str">
        <f>IFERROR(IF(MARÍTIMOS[[#This Row],[Razón Social]]="","",MARÍTIMOS[[#This Row],[Razón Social]]),"")</f>
        <v>RE TRANSPORTS</v>
      </c>
      <c r="I20" s="2">
        <f>IFERROR(IF(MARÍTIMOS[[#This Row],[RUC]]="","",MARÍTIMOS[[#This Row],[RUC]]),"")</f>
        <v>20600489535</v>
      </c>
      <c r="J20" s="2" t="str">
        <f>IFERROR(IF(MARÍTIMOS[[#This Row],[Placa Tracto]]="","",MARÍTIMOS[[#This Row],[Placa Tracto]]),"")</f>
        <v>BSM843</v>
      </c>
      <c r="K20" s="2" t="str">
        <f>IFERROR(IF(MARÍTIMOS[[#This Row],[Placa Carreta]]="","",MARÍTIMOS[[#This Row],[Placa Carreta]]),"")</f>
        <v>D2O983</v>
      </c>
      <c r="L20" s="44" t="str">
        <f>IFERROR(IF(MARÍTIMOS[[#This Row],[Conductor]]="","",MARÍTIMOS[[#This Row],[Conductor]]),"")</f>
        <v>VICENTE PRADA ALEXANDER</v>
      </c>
      <c r="M20" s="2" t="str">
        <f>IFERROR(IF(MARÍTIMOS[[#This Row],[Licencia]]="","",MARÍTIMOS[[#This Row],[Licencia]]),"")</f>
        <v>Q09988807</v>
      </c>
      <c r="N20" s="2" t="str">
        <f>IFERROR(IF(MARÍTIMOS[[#This Row],[Número de Contacto]]="","",MARÍTIMOS[[#This Row],[Número de Contacto]]),"")</f>
        <v>933 369 103</v>
      </c>
      <c r="O20" s="10">
        <f>IFERROR(IF(MARÍTIMOS[[#This Row],[Booking|AWB|CRT]]="","",MARÍTIMOS[[#This Row],[Booking|AWB|CRT]]),"")</f>
        <v>6509439190</v>
      </c>
      <c r="P20" s="2" t="str">
        <f>IFERROR(IF(MARÍTIMOS[[#This Row],[Contenedor]]="","",MARÍTIMOS[[#This Row],[Contenedor]]),"")</f>
        <v>FBIU5578772</v>
      </c>
      <c r="Q20" s="2" t="str">
        <f>IFERROR(IF(MARÍTIMOS[[#This Row],[Puerto de Retiro]]="","",MARÍTIMOS[[#This Row],[Puerto de Retiro]]),"")</f>
        <v>CHANCAY</v>
      </c>
      <c r="R20" s="2" t="str">
        <f>IFERROR(IF(MARÍTIMOS[[#This Row],[Almacén de Retiro]]="","",MARÍTIMOS[[#This Row],[Almacén de Retiro]]),"")</f>
        <v>CSPCP</v>
      </c>
      <c r="S20" s="11">
        <f>IFERROR(IF(MARÍTIMOS[[#This Row],[Etapa Retiro - Cita]]="","",MARÍTIMOS[[#This Row],[Etapa Retiro - Cita]]),"")</f>
        <v>46235.75</v>
      </c>
      <c r="T20" s="11">
        <f>IFERROR(IF(MARÍTIMOS[[#This Row],[Etapa Retiro - Llegada]]="","",MARÍTIMOS[[#This Row],[Etapa Retiro - Llegada]]),"")</f>
        <v>46235.748611111114</v>
      </c>
      <c r="U20" s="11">
        <f>IFERROR(IF(MARÍTIMOS[[#This Row],[Etapa Retiro - Ingreso]]="","",MARÍTIMOS[[#This Row],[Etapa Retiro - Ingreso]]),"")</f>
        <v>46235.769444444442</v>
      </c>
      <c r="V20" s="11">
        <f>IFERROR(IF(MARÍTIMOS[[#This Row],[Etapa Retiro - Atención]]="","",MARÍTIMOS[[#This Row],[Etapa Retiro - Atención]]),"")</f>
        <v>46235.833333333336</v>
      </c>
      <c r="W20" s="11">
        <f>IFERROR(IF(MARÍTIMOS[[#This Row],[Etapa Retiro - Atención]]="","",MARÍTIMOS[[#This Row],[Etapa Retiro - Atención]]),"")</f>
        <v>46235.833333333336</v>
      </c>
      <c r="X20" s="11">
        <f>IFERROR(IF(MARÍTIMOS[[#This Row],[Etapa Retiro - Inicio de Ruta]]="","",MARÍTIMOS[[#This Row],[Etapa Retiro - Inicio de Ruta]]),"")</f>
        <v>46235.875</v>
      </c>
      <c r="Y20" s="11">
        <f>IFERROR(IF(MARÍTIMOS[[#This Row],[Hora de Posicionamiento]]="","",MARÍTIMOS[[#This Row],[Fecha de Carga]]+MARÍTIMOS[[#This Row],[Hora de Posicionamiento]]),"")</f>
        <v>46236.5</v>
      </c>
      <c r="Z20" s="11">
        <f>IFERROR(IF(MARÍTIMOS[[#This Row],[Etapa Despacho - Llegada]]="","",MARÍTIMOS[[#This Row],[Etapa Despacho - Llegada]]),"")</f>
        <v>46236.554861111108</v>
      </c>
      <c r="AA20" s="11">
        <f>IFERROR(IF(MARÍTIMOS[[#This Row],[Etapa Despacho - Registro]]="","",MARÍTIMOS[[#This Row],[Etapa Despacho - Registro]]),"")</f>
        <v>46236.559027777781</v>
      </c>
      <c r="AB20" s="11">
        <f>IFERROR(IF(MARÍTIMOS[[#This Row],[Inspección Externa]]="","",MARÍTIMOS[[#This Row],[Inspección Externa]]),"")</f>
        <v>46236.589583333334</v>
      </c>
      <c r="AC20" s="11">
        <f>IFERROR(IF(MARÍTIMOS[[#This Row],[Etapa Despacho - Inicio de Carga]]="","",MARÍTIMOS[[#This Row],[Etapa Despacho - Inicio de Carga]]),"")</f>
        <v>46236.656944444447</v>
      </c>
      <c r="AD20" s="11">
        <f>IFERROR(IF(MARÍTIMOS[[#This Row],[Etapa Despacho - Mitad de Carga]]="","",MARÍTIMOS[[#This Row],[Etapa Despacho - Mitad de Carga]]),"")</f>
        <v>46236.672222222223</v>
      </c>
      <c r="AE20" s="11">
        <f>IFERROR(IF(MARÍTIMOS[[#This Row],[Etapa Despacho - Fin de Carga]]="","",MARÍTIMOS[[#This Row],[Etapa Despacho - Fin de Carga]]),"")</f>
        <v>46236.690972222219</v>
      </c>
      <c r="AF20" s="2" t="str">
        <f>IFERROR(IF(MARÍTIMOS[[#This Row],[Puerto de Embarque]]="","",MARÍTIMOS[[#This Row],[Puerto de Embarque]]),"")</f>
        <v>CHANCAY</v>
      </c>
      <c r="AG20" s="2" t="str">
        <f>IFERROR(IF(MARÍTIMOS[[#This Row],[Almacén de Ingreso]]="","",MARÍTIMOS[[#This Row],[Almacén de Ingreso]]),"")</f>
        <v>CSPCP</v>
      </c>
      <c r="AH20" s="11">
        <f>IFERROR(IF(MARÍTIMOS[[#This Row],[Etapa Ingreso - Cita]]="","",MARÍTIMOS[[#This Row],[Etapa Ingreso - Cita]]),"")</f>
        <v>46237</v>
      </c>
      <c r="AI20" s="11">
        <f>IFERROR(IF(MARÍTIMOS[[#This Row],[Etapa Ingreso - Llegada]]="","",MARÍTIMOS[[#This Row],[Etapa Ingreso - Llegada]]),"")</f>
        <v>46237.445833333331</v>
      </c>
      <c r="AJ20" s="11">
        <f>IFERROR(IF(MARÍTIMOS[[#This Row],[Etapa Ingreso - Ingeso]]="","",MARÍTIMOS[[#This Row],[Etapa Ingreso - Ingeso]]),"")</f>
        <v>46237.454861111109</v>
      </c>
      <c r="AK20" s="11">
        <f>IFERROR(IF(MARÍTIMOS[[#This Row],[Etapa Ingreso - Atención]]="","",MARÍTIMOS[[#This Row],[Etapa Ingreso - Atención]]),"")</f>
        <v>46237.465277777781</v>
      </c>
      <c r="AL20" s="11">
        <f>IFERROR(IF(MARÍTIMOS[[#This Row],[Etapa Ingreso - Salida]]="","",MARÍTIMOS[[#This Row],[Etapa Ingreso - Salida]]),"")</f>
        <v>46237.472916666666</v>
      </c>
      <c r="AM20" s="2">
        <f>IFERROR(IF(MARÍTIMOS[[#This Row],[FCL]]="","",MARÍTIMOS[[#This Row],[FCL]]),"")</f>
        <v>1</v>
      </c>
      <c r="AN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" s="4" t="str" cm="1">
        <f t="array" ref="AO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20" s="5">
        <f>IFERROR(OLDBD[[#This Row],[Llegada a packing]]-OLDBD[[#This Row],[Inicio de Ruta]],"")</f>
        <v>0.67986111110803904</v>
      </c>
      <c r="AQ20" s="6">
        <f>IFERROR(OLDBD[[#This Row],[Inicio de Ruta]]-OLDBD[[#This Row],[Salida de almacén de retiro]],"")</f>
        <v>4.1666666664241347E-2</v>
      </c>
      <c r="AR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0" s="8" t="str" cm="1">
        <f t="array" ref="AS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" s="9">
        <f>IFERROR(OLDBD[[#This Row],[Ingreso Packing]]-OLDBD[[#This Row],[Registro en Packing]],"")</f>
        <v>3.0555555553291924E-2</v>
      </c>
      <c r="AV20" s="9">
        <f>IFERROR(OLDBD[[#This Row],[Ingreso Packing]]-OLDBD[[#This Row],[Llegada a packing]],"")</f>
        <v>3.4722222226264421E-2</v>
      </c>
      <c r="AW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" s="5">
        <f>IFERROR(OLDBD[[#This Row],[Llegada Almacén de Ingreso]]-OLDBD[[#This Row],[Salida Packing]],"")</f>
        <v>0.75486111111240461</v>
      </c>
      <c r="AY20" s="4" t="str" cm="1">
        <f t="array" ref="AY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" s="43" t="s">
        <v>173</v>
      </c>
      <c r="BB20" s="47" t="str">
        <f>IFERROR(IF(MARÍTIMOS[[#This Row],[Estatus]]="","",MARÍTIMOS[[#This Row],[Estatus]]),"")</f>
        <v>Confirmado</v>
      </c>
      <c r="BC20" s="43"/>
      <c r="BD20" s="46">
        <f>IFERROR(OLDBD[[#This Row],[Salida de almacén de retiro]]-OLDBD[[#This Row],[Ingreso Almacén de retiro]],"")</f>
        <v>6.3888888893416151E-2</v>
      </c>
      <c r="BE20" s="46">
        <f>IFERROR(OLDBD[[#This Row],[Fin de Carga]]-OLDBD[[#This Row],[Inicio de Carga]],"")</f>
        <v>1.5277777776645962E-2</v>
      </c>
    </row>
    <row r="21" spans="1:57" customFormat="1" hidden="1">
      <c r="A21" s="1"/>
      <c r="B21" s="1">
        <f>IFERROR(IF(MARÍTIMOS[[#This Row],[PP]]="","",MARÍTIMOS[[#This Row],[PP]]),"")</f>
        <v>31</v>
      </c>
      <c r="C21" s="1" t="str">
        <f>IFERROR(IF(MARÍTIMOS[[#This Row],[Sede]]="","",MARÍTIMOS[[#This Row],[Sede]]),"")</f>
        <v>Chao</v>
      </c>
      <c r="D21" s="1" t="str">
        <f>IFERROR(IF(MARÍTIMOS[[#This Row],[Instruction]]="","",MARÍTIMOS[[#This Row],[Instruction]]),"")</f>
        <v>RH-0328</v>
      </c>
      <c r="E21" s="1"/>
      <c r="F21" s="2" t="str">
        <f>IFERROR(IF(MARÍTIMOS[[#This Row],[Transportista]]="","",MARÍTIMOS[[#This Row],[Transportista]]),"")</f>
        <v>Cititrans</v>
      </c>
      <c r="G21" s="2" t="str">
        <f>IFERROR(IF(MARÍTIMOS[[#This Row],[Tercero]]="","",MARÍTIMOS[[#This Row],[Tercero]]),"")</f>
        <v>SI</v>
      </c>
      <c r="H21" s="2" t="str">
        <f>IFERROR(IF(MARÍTIMOS[[#This Row],[Razón Social]]="","",MARÍTIMOS[[#This Row],[Razón Social]]),"")</f>
        <v>JAAP- TRANSPORT</v>
      </c>
      <c r="I21" s="2">
        <f>IFERROR(IF(MARÍTIMOS[[#This Row],[RUC]]="","",MARÍTIMOS[[#This Row],[RUC]]),"")</f>
        <v>20610002669</v>
      </c>
      <c r="J21" s="2" t="str">
        <f>IFERROR(IF(MARÍTIMOS[[#This Row],[Placa Tracto]]="","",MARÍTIMOS[[#This Row],[Placa Tracto]]),"")</f>
        <v>BRV941</v>
      </c>
      <c r="K21" s="2" t="str">
        <f>IFERROR(IF(MARÍTIMOS[[#This Row],[Placa Carreta]]="","",MARÍTIMOS[[#This Row],[Placa Carreta]]),"")</f>
        <v>BHZ998</v>
      </c>
      <c r="L21" s="44" t="str">
        <f>IFERROR(IF(MARÍTIMOS[[#This Row],[Conductor]]="","",MARÍTIMOS[[#This Row],[Conductor]]),"")</f>
        <v>JUAN CARLOS HUAMAN GABRIEL</v>
      </c>
      <c r="M21" s="2" t="str">
        <f>IFERROR(IF(MARÍTIMOS[[#This Row],[Licencia]]="","",MARÍTIMOS[[#This Row],[Licencia]]),"")</f>
        <v>Q32918076</v>
      </c>
      <c r="N21" s="2" t="str">
        <f>IFERROR(IF(MARÍTIMOS[[#This Row],[Número de Contacto]]="","",MARÍTIMOS[[#This Row],[Número de Contacto]]),"")</f>
        <v>933 228 889</v>
      </c>
      <c r="O21" s="10">
        <f>IFERROR(IF(MARÍTIMOS[[#This Row],[Booking|AWB|CRT]]="","",MARÍTIMOS[[#This Row],[Booking|AWB|CRT]]),"")</f>
        <v>6509439110</v>
      </c>
      <c r="P21" s="2" t="str">
        <f>IFERROR(IF(MARÍTIMOS[[#This Row],[Contenedor]]="","",MARÍTIMOS[[#This Row],[Contenedor]]),"")</f>
        <v>OERU4811290</v>
      </c>
      <c r="Q21" s="2" t="str">
        <f>IFERROR(IF(MARÍTIMOS[[#This Row],[Puerto de Retiro]]="","",MARÍTIMOS[[#This Row],[Puerto de Retiro]]),"")</f>
        <v>CALLAO</v>
      </c>
      <c r="R21" s="2" t="str">
        <f>IFERROR(IF(MARÍTIMOS[[#This Row],[Almacén de Retiro]]="","",MARÍTIMOS[[#This Row],[Almacén de Retiro]]),"")</f>
        <v>FARGOLINE</v>
      </c>
      <c r="S21" s="11">
        <f>IFERROR(IF(MARÍTIMOS[[#This Row],[Etapa Retiro - Cita]]="","",MARÍTIMOS[[#This Row],[Etapa Retiro - Cita]]),"")</f>
        <v>46235.75</v>
      </c>
      <c r="T21" s="11">
        <f>IFERROR(IF(MARÍTIMOS[[#This Row],[Etapa Retiro - Llegada]]="","",MARÍTIMOS[[#This Row],[Etapa Retiro - Llegada]]),"")</f>
        <v>46235.749305555553</v>
      </c>
      <c r="U21" s="11">
        <f>IFERROR(IF(MARÍTIMOS[[#This Row],[Etapa Retiro - Ingreso]]="","",MARÍTIMOS[[#This Row],[Etapa Retiro - Ingreso]]),"")</f>
        <v>46235.769444444442</v>
      </c>
      <c r="V21" s="11">
        <f>IFERROR(IF(MARÍTIMOS[[#This Row],[Etapa Retiro - Atención]]="","",MARÍTIMOS[[#This Row],[Etapa Retiro - Atención]]),"")</f>
        <v>46235.836111111108</v>
      </c>
      <c r="W21" s="11">
        <f>IFERROR(IF(MARÍTIMOS[[#This Row],[Etapa Retiro - Atención]]="","",MARÍTIMOS[[#This Row],[Etapa Retiro - Atención]]),"")</f>
        <v>46235.836111111108</v>
      </c>
      <c r="X21" s="11">
        <f>IFERROR(IF(MARÍTIMOS[[#This Row],[Etapa Retiro - Inicio de Ruta]]="","",MARÍTIMOS[[#This Row],[Etapa Retiro - Inicio de Ruta]]),"")</f>
        <v>46235.886805555558</v>
      </c>
      <c r="Y21" s="11">
        <f>IFERROR(IF(MARÍTIMOS[[#This Row],[Hora de Posicionamiento]]="","",MARÍTIMOS[[#This Row],[Fecha de Carga]]+MARÍTIMOS[[#This Row],[Hora de Posicionamiento]]),"")</f>
        <v>46236.583333333336</v>
      </c>
      <c r="Z21" s="11">
        <f>IFERROR(IF(MARÍTIMOS[[#This Row],[Etapa Despacho - Llegada]]="","",MARÍTIMOS[[#This Row],[Etapa Despacho - Llegada]]),"")</f>
        <v>46236.554861111108</v>
      </c>
      <c r="AA21" s="11">
        <f>IFERROR(IF(MARÍTIMOS[[#This Row],[Etapa Despacho - Registro]]="","",MARÍTIMOS[[#This Row],[Etapa Despacho - Registro]]),"")</f>
        <v>46236.559027777781</v>
      </c>
      <c r="AB21" s="11">
        <f>IFERROR(IF(MARÍTIMOS[[#This Row],[Inspección Externa]]="","",MARÍTIMOS[[#This Row],[Inspección Externa]]),"")</f>
        <v>46236.620833333334</v>
      </c>
      <c r="AC21" s="11">
        <f>IFERROR(IF(MARÍTIMOS[[#This Row],[Etapa Despacho - Inicio de Carga]]="","",MARÍTIMOS[[#This Row],[Etapa Despacho - Inicio de Carga]]),"")</f>
        <v>46236.73541666667</v>
      </c>
      <c r="AD21" s="11">
        <f>IFERROR(IF(MARÍTIMOS[[#This Row],[Etapa Despacho - Mitad de Carga]]="","",MARÍTIMOS[[#This Row],[Etapa Despacho - Mitad de Carga]]),"")</f>
        <v>46236.75277777778</v>
      </c>
      <c r="AE21" s="11">
        <f>IFERROR(IF(MARÍTIMOS[[#This Row],[Etapa Despacho - Fin de Carga]]="","",MARÍTIMOS[[#This Row],[Etapa Despacho - Fin de Carga]]),"")</f>
        <v>46236.772916666669</v>
      </c>
      <c r="AF21" s="2" t="str">
        <f>IFERROR(IF(MARÍTIMOS[[#This Row],[Puerto de Embarque]]="","",MARÍTIMOS[[#This Row],[Puerto de Embarque]]),"")</f>
        <v>CALLAO</v>
      </c>
      <c r="AG21" s="2" t="str">
        <f>IFERROR(IF(MARÍTIMOS[[#This Row],[Almacén de Ingreso]]="","",MARÍTIMOS[[#This Row],[Almacén de Ingreso]]),"")</f>
        <v>CSPCP</v>
      </c>
      <c r="AH21" s="11">
        <f>IFERROR(IF(MARÍTIMOS[[#This Row],[Etapa Ingreso - Cita]]="","",MARÍTIMOS[[#This Row],[Etapa Ingreso - Cita]]),"")</f>
        <v>46237</v>
      </c>
      <c r="AI21" s="11">
        <f>IFERROR(IF(MARÍTIMOS[[#This Row],[Etapa Ingreso - Llegada]]="","",MARÍTIMOS[[#This Row],[Etapa Ingreso - Llegada]]),"")</f>
        <v>46237.436111111114</v>
      </c>
      <c r="AJ21" s="11">
        <f>IFERROR(IF(MARÍTIMOS[[#This Row],[Etapa Ingreso - Ingeso]]="","",MARÍTIMOS[[#This Row],[Etapa Ingreso - Ingeso]]),"")</f>
        <v>46237.451388888891</v>
      </c>
      <c r="AK21" s="11">
        <f>IFERROR(IF(MARÍTIMOS[[#This Row],[Etapa Ingreso - Atención]]="","",MARÍTIMOS[[#This Row],[Etapa Ingreso - Atención]]),"")</f>
        <v>46237.472222222219</v>
      </c>
      <c r="AL21" s="11">
        <f>IFERROR(IF(MARÍTIMOS[[#This Row],[Etapa Ingreso - Salida]]="","",MARÍTIMOS[[#This Row],[Etapa Ingreso - Salida]]),"")</f>
        <v>46237.493055555555</v>
      </c>
      <c r="AM21" s="2">
        <f>IFERROR(IF(MARÍTIMOS[[#This Row],[FCL]]="","",MARÍTIMOS[[#This Row],[FCL]]),"")</f>
        <v>1</v>
      </c>
      <c r="AN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" s="4" t="str" cm="1">
        <f t="array" ref="AO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" s="5">
        <f>IFERROR(OLDBD[[#This Row],[Llegada a packing]]-OLDBD[[#This Row],[Inicio de Ruta]],"")</f>
        <v>0.66805555555038154</v>
      </c>
      <c r="AQ21" s="6">
        <f>IFERROR(OLDBD[[#This Row],[Inicio de Ruta]]-OLDBD[[#This Row],[Salida de almacén de retiro]],"")</f>
        <v>5.0694444449618459E-2</v>
      </c>
      <c r="AR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" s="8" t="str" cm="1">
        <f t="array" ref="AS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1" s="9">
        <f>IFERROR(OLDBD[[#This Row],[Ingreso Packing]]-OLDBD[[#This Row],[Registro en Packing]],"")</f>
        <v>6.1805555553291924E-2</v>
      </c>
      <c r="AV21" s="9">
        <f>IFERROR(OLDBD[[#This Row],[Ingreso Packing]]-OLDBD[[#This Row],[Llegada a packing]],"")</f>
        <v>6.5972222226264421E-2</v>
      </c>
      <c r="AW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" s="5">
        <f>IFERROR(OLDBD[[#This Row],[Llegada Almacén de Ingreso]]-OLDBD[[#This Row],[Salida Packing]],"")</f>
        <v>0.66319444444525288</v>
      </c>
      <c r="AY21" s="4" t="str" cm="1">
        <f t="array" ref="AY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" s="43" t="s">
        <v>173</v>
      </c>
      <c r="BB21" s="47" t="str">
        <f>IFERROR(IF(MARÍTIMOS[[#This Row],[Estatus]]="","",MARÍTIMOS[[#This Row],[Estatus]]),"")</f>
        <v>Confirmado</v>
      </c>
      <c r="BC21" s="43"/>
      <c r="BD21" s="46">
        <f>IFERROR(OLDBD[[#This Row],[Salida de almacén de retiro]]-OLDBD[[#This Row],[Ingreso Almacén de retiro]],"")</f>
        <v>6.6666666665696539E-2</v>
      </c>
      <c r="BE21" s="46">
        <f>IFERROR(OLDBD[[#This Row],[Fin de Carga]]-OLDBD[[#This Row],[Inicio de Carga]],"")</f>
        <v>1.7361111109494232E-2</v>
      </c>
    </row>
    <row r="22" spans="1:57" customFormat="1" hidden="1">
      <c r="A22" s="1"/>
      <c r="B22" s="1">
        <f>IFERROR(IF(MARÍTIMOS[[#This Row],[PP]]="","",MARÍTIMOS[[#This Row],[PP]]),"")</f>
        <v>32</v>
      </c>
      <c r="C22" s="1" t="str">
        <f>IFERROR(IF(MARÍTIMOS[[#This Row],[Sede]]="","",MARÍTIMOS[[#This Row],[Sede]]),"")</f>
        <v>Chao</v>
      </c>
      <c r="D22" s="1" t="str">
        <f>IFERROR(IF(MARÍTIMOS[[#This Row],[Instruction]]="","",MARÍTIMOS[[#This Row],[Instruction]]),"")</f>
        <v>RH-0433</v>
      </c>
      <c r="E22" s="1"/>
      <c r="F22" s="2" t="str">
        <f>IFERROR(IF(MARÍTIMOS[[#This Row],[Transportista]]="","",MARÍTIMOS[[#This Row],[Transportista]]),"")</f>
        <v>Cititrans</v>
      </c>
      <c r="G22" s="2" t="str">
        <f>IFERROR(IF(MARÍTIMOS[[#This Row],[Tercero]]="","",MARÍTIMOS[[#This Row],[Tercero]]),"")</f>
        <v>NO</v>
      </c>
      <c r="H22" s="2" t="str">
        <f>IFERROR(IF(MARÍTIMOS[[#This Row],[Razón Social]]="","",MARÍTIMOS[[#This Row],[Razón Social]]),"")</f>
        <v>CITITRANS</v>
      </c>
      <c r="I22" s="2">
        <f>IFERROR(IF(MARÍTIMOS[[#This Row],[RUC]]="","",MARÍTIMOS[[#This Row],[RUC]]),"")</f>
        <v>20609553376</v>
      </c>
      <c r="J22" s="2" t="str">
        <f>IFERROR(IF(MARÍTIMOS[[#This Row],[Placa Tracto]]="","",MARÍTIMOS[[#This Row],[Placa Tracto]]),"")</f>
        <v>BTO724</v>
      </c>
      <c r="K22" s="2" t="str">
        <f>IFERROR(IF(MARÍTIMOS[[#This Row],[Placa Carreta]]="","",MARÍTIMOS[[#This Row],[Placa Carreta]]),"")</f>
        <v>BEI989</v>
      </c>
      <c r="L22" s="44" t="str">
        <f>IFERROR(IF(MARÍTIMOS[[#This Row],[Conductor]]="","",MARÍTIMOS[[#This Row],[Conductor]]),"")</f>
        <v>HECTOR MARTINEZ</v>
      </c>
      <c r="M22" s="2" t="str">
        <f>IFERROR(IF(MARÍTIMOS[[#This Row],[Licencia]]="","",MARÍTIMOS[[#This Row],[Licencia]]),"")</f>
        <v>Q002061946</v>
      </c>
      <c r="N22" s="2" t="str">
        <f>IFERROR(IF(MARÍTIMOS[[#This Row],[Número de Contacto]]="","",MARÍTIMOS[[#This Row],[Número de Contacto]]),"")</f>
        <v>954 180 173</v>
      </c>
      <c r="O22" s="10">
        <f>IFERROR(IF(MARÍTIMOS[[#This Row],[Booking|AWB|CRT]]="","",MARÍTIMOS[[#This Row],[Booking|AWB|CRT]]),"")</f>
        <v>751600043258</v>
      </c>
      <c r="P22" s="2" t="str">
        <f>IFERROR(IF(MARÍTIMOS[[#This Row],[Contenedor]]="","",MARÍTIMOS[[#This Row],[Contenedor]]),"")</f>
        <v>EMCU5662558</v>
      </c>
      <c r="Q22" s="2" t="str">
        <f>IFERROR(IF(MARÍTIMOS[[#This Row],[Puerto de Retiro]]="","",MARÍTIMOS[[#This Row],[Puerto de Retiro]]),"")</f>
        <v>CALLAO</v>
      </c>
      <c r="R22" s="2" t="str">
        <f>IFERROR(IF(MARÍTIMOS[[#This Row],[Almacén de Retiro]]="","",MARÍTIMOS[[#This Row],[Almacén de Retiro]]),"")</f>
        <v>IMUPESA</v>
      </c>
      <c r="S22" s="11">
        <f>IFERROR(IF(MARÍTIMOS[[#This Row],[Etapa Retiro - Cita]]="","",MARÍTIMOS[[#This Row],[Etapa Retiro - Cita]]),"")</f>
        <v>46241.75</v>
      </c>
      <c r="T22" s="11">
        <f>IFERROR(IF(MARÍTIMOS[[#This Row],[Etapa Retiro - Llegada]]="","",MARÍTIMOS[[#This Row],[Etapa Retiro - Llegada]]),"")</f>
        <v>46241.768750000003</v>
      </c>
      <c r="U22" s="11">
        <f>IFERROR(IF(MARÍTIMOS[[#This Row],[Etapa Retiro - Ingreso]]="","",MARÍTIMOS[[#This Row],[Etapa Retiro - Ingreso]]),"")</f>
        <v>46242.284722222219</v>
      </c>
      <c r="V22" s="11">
        <f>IFERROR(IF(MARÍTIMOS[[#This Row],[Etapa Retiro - Atención]]="","",MARÍTIMOS[[#This Row],[Etapa Retiro - Atención]]),"")</f>
        <v>46242.3125</v>
      </c>
      <c r="W22" s="11">
        <f>IFERROR(IF(MARÍTIMOS[[#This Row],[Etapa Retiro - Atención]]="","",MARÍTIMOS[[#This Row],[Etapa Retiro - Atención]]),"")</f>
        <v>46242.3125</v>
      </c>
      <c r="X22" s="11">
        <f>IFERROR(IF(MARÍTIMOS[[#This Row],[Etapa Retiro - Inicio de Ruta]]="","",MARÍTIMOS[[#This Row],[Etapa Retiro - Inicio de Ruta]]),"")</f>
        <v>46242.408333333333</v>
      </c>
      <c r="Y22" s="11">
        <f>IFERROR(IF(MARÍTIMOS[[#This Row],[Hora de Posicionamiento]]="","",MARÍTIMOS[[#This Row],[Fecha de Carga]]+MARÍTIMOS[[#This Row],[Hora de Posicionamiento]]),"")</f>
        <v>46242.5</v>
      </c>
      <c r="Z22" s="11">
        <f>IFERROR(IF(MARÍTIMOS[[#This Row],[Etapa Despacho - Llegada]]="","",MARÍTIMOS[[#This Row],[Etapa Despacho - Llegada]]),"")</f>
        <v>46243.268750000003</v>
      </c>
      <c r="AA22" s="11">
        <f>IFERROR(IF(MARÍTIMOS[[#This Row],[Etapa Despacho - Registro]]="","",MARÍTIMOS[[#This Row],[Etapa Despacho - Registro]]),"")</f>
        <v>46243.277777777781</v>
      </c>
      <c r="AB22" s="11">
        <f>IFERROR(IF(MARÍTIMOS[[#This Row],[Inspección Externa]]="","",MARÍTIMOS[[#This Row],[Inspección Externa]]),"")</f>
        <v>46243.387499999997</v>
      </c>
      <c r="AC22" s="11">
        <f>IFERROR(IF(MARÍTIMOS[[#This Row],[Etapa Despacho - Inicio de Carga]]="","",MARÍTIMOS[[#This Row],[Etapa Despacho - Inicio de Carga]]),"")</f>
        <v>46243.467361111114</v>
      </c>
      <c r="AD22" s="11">
        <f>IFERROR(IF(MARÍTIMOS[[#This Row],[Etapa Despacho - Mitad de Carga]]="","",MARÍTIMOS[[#This Row],[Etapa Despacho - Mitad de Carga]]),"")</f>
        <v>46243.491666666669</v>
      </c>
      <c r="AE22" s="11">
        <f>IFERROR(IF(MARÍTIMOS[[#This Row],[Etapa Despacho - Fin de Carga]]="","",MARÍTIMOS[[#This Row],[Etapa Despacho - Fin de Carga]]),"")</f>
        <v>46243.515972222223</v>
      </c>
      <c r="AF22" s="2" t="str">
        <f>IFERROR(IF(MARÍTIMOS[[#This Row],[Puerto de Embarque]]="","",MARÍTIMOS[[#This Row],[Puerto de Embarque]]),"")</f>
        <v>CALLAO</v>
      </c>
      <c r="AG22" s="2" t="str">
        <f>IFERROR(IF(MARÍTIMOS[[#This Row],[Almacén de Ingreso]]="","",MARÍTIMOS[[#This Row],[Almacén de Ingreso]]),"")</f>
        <v>DPW</v>
      </c>
      <c r="AH22" s="11">
        <f>IFERROR(IF(MARÍTIMOS[[#This Row],[Etapa Ingreso - Cita]]="","",MARÍTIMOS[[#This Row],[Etapa Ingreso - Cita]]),"")</f>
        <v>46244.291666666664</v>
      </c>
      <c r="AI22" s="11">
        <f>IFERROR(IF(MARÍTIMOS[[#This Row],[Etapa Ingreso - Llegada]]="","",MARÍTIMOS[[#This Row],[Etapa Ingreso - Llegada]]),"")</f>
        <v>46244.186111111114</v>
      </c>
      <c r="AJ22" s="11">
        <f>IFERROR(IF(MARÍTIMOS[[#This Row],[Etapa Ingreso - Ingeso]]="","",MARÍTIMOS[[#This Row],[Etapa Ingreso - Ingeso]]),"")</f>
        <v>46244.234027777777</v>
      </c>
      <c r="AK22" s="11">
        <f>IFERROR(IF(MARÍTIMOS[[#This Row],[Etapa Ingreso - Atención]]="","",MARÍTIMOS[[#This Row],[Etapa Ingreso - Atención]]),"")</f>
        <v>46244.246527777781</v>
      </c>
      <c r="AL22" s="11">
        <f>IFERROR(IF(MARÍTIMOS[[#This Row],[Etapa Ingreso - Salida]]="","",MARÍTIMOS[[#This Row],[Etapa Ingreso - Salida]]),"")</f>
        <v>46244.263888888891</v>
      </c>
      <c r="AM22" s="2">
        <f>IFERROR(IF(MARÍTIMOS[[#This Row],[FCL]]="","",MARÍTIMOS[[#This Row],[FCL]]),"")</f>
        <v>1</v>
      </c>
      <c r="AN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" s="4" t="str" cm="1">
        <f t="array" ref="AO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" s="5">
        <f>IFERROR(OLDBD[[#This Row],[Llegada a packing]]-OLDBD[[#This Row],[Inicio de Ruta]],"")</f>
        <v>0.86041666667006211</v>
      </c>
      <c r="AQ22" s="6">
        <f>IFERROR(OLDBD[[#This Row],[Inicio de Ruta]]-OLDBD[[#This Row],[Salida de almacén de retiro]],"")</f>
        <v>9.5833333332848269E-2</v>
      </c>
      <c r="AR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2" s="8" t="str" cm="1">
        <f t="array" ref="AS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2" s="9">
        <f>IFERROR(OLDBD[[#This Row],[Ingreso Packing]]-OLDBD[[#This Row],[Registro en Packing]],"")</f>
        <v>0.10972222221607808</v>
      </c>
      <c r="AV22" s="9">
        <f>IFERROR(OLDBD[[#This Row],[Ingreso Packing]]-OLDBD[[#This Row],[Llegada a packing]],"")</f>
        <v>0.11874999999417923</v>
      </c>
      <c r="AW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2" s="5">
        <f>IFERROR(OLDBD[[#This Row],[Llegada Almacén de Ingreso]]-OLDBD[[#This Row],[Salida Packing]],"")</f>
        <v>0.67013888889050577</v>
      </c>
      <c r="AY22" s="4" t="str" cm="1">
        <f t="array" ref="AY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2" s="43" t="s">
        <v>173</v>
      </c>
      <c r="BB22" s="47" t="str">
        <f>IFERROR(IF(MARÍTIMOS[[#This Row],[Estatus]]="","",MARÍTIMOS[[#This Row],[Estatus]]),"")</f>
        <v>Confirmado</v>
      </c>
      <c r="BC22" s="43"/>
      <c r="BD22" s="46">
        <f>IFERROR(OLDBD[[#This Row],[Salida de almacén de retiro]]-OLDBD[[#This Row],[Ingreso Almacén de retiro]],"")</f>
        <v>2.7777777781011537E-2</v>
      </c>
      <c r="BE22" s="46">
        <f>IFERROR(OLDBD[[#This Row],[Fin de Carga]]-OLDBD[[#This Row],[Inicio de Carga]],"")</f>
        <v>2.4305555554747116E-2</v>
      </c>
    </row>
    <row r="23" spans="1:57" customFormat="1" hidden="1">
      <c r="A23" s="1"/>
      <c r="B23" s="1">
        <f>IFERROR(IF(MARÍTIMOS[[#This Row],[PP]]="","",MARÍTIMOS[[#This Row],[PP]]),"")</f>
        <v>32</v>
      </c>
      <c r="C23" s="1" t="str">
        <f>IFERROR(IF(MARÍTIMOS[[#This Row],[Sede]]="","",MARÍTIMOS[[#This Row],[Sede]]),"")</f>
        <v>Chao</v>
      </c>
      <c r="D23" s="1" t="str">
        <f>IFERROR(IF(MARÍTIMOS[[#This Row],[Instruction]]="","",MARÍTIMOS[[#This Row],[Instruction]]),"")</f>
        <v>RH-0466</v>
      </c>
      <c r="E23" s="1"/>
      <c r="F23" s="2" t="str">
        <f>IFERROR(IF(MARÍTIMOS[[#This Row],[Transportista]]="","",MARÍTIMOS[[#This Row],[Transportista]]),"")</f>
        <v>Cititrans</v>
      </c>
      <c r="G23" s="2" t="str">
        <f>IFERROR(IF(MARÍTIMOS[[#This Row],[Tercero]]="","",MARÍTIMOS[[#This Row],[Tercero]]),"")</f>
        <v>NO</v>
      </c>
      <c r="H23" s="2" t="str">
        <f>IFERROR(IF(MARÍTIMOS[[#This Row],[Razón Social]]="","",MARÍTIMOS[[#This Row],[Razón Social]]),"")</f>
        <v>CITITRANS</v>
      </c>
      <c r="I23" s="2">
        <f>IFERROR(IF(MARÍTIMOS[[#This Row],[RUC]]="","",MARÍTIMOS[[#This Row],[RUC]]),"")</f>
        <v>20609553376</v>
      </c>
      <c r="J23" s="2" t="str">
        <f>IFERROR(IF(MARÍTIMOS[[#This Row],[Placa Tracto]]="","",MARÍTIMOS[[#This Row],[Placa Tracto]]),"")</f>
        <v>BUP791</v>
      </c>
      <c r="K23" s="2" t="str">
        <f>IFERROR(IF(MARÍTIMOS[[#This Row],[Placa Carreta]]="","",MARÍTIMOS[[#This Row],[Placa Carreta]]),"")</f>
        <v>BFC996</v>
      </c>
      <c r="L23" s="44" t="str">
        <f>IFERROR(IF(MARÍTIMOS[[#This Row],[Conductor]]="","",MARÍTIMOS[[#This Row],[Conductor]]),"")</f>
        <v>FROILAN PINTO</v>
      </c>
      <c r="M23" s="2" t="str">
        <f>IFERROR(IF(MARÍTIMOS[[#This Row],[Licencia]]="","",MARÍTIMOS[[#This Row],[Licencia]]),"")</f>
        <v>Q003683238</v>
      </c>
      <c r="N23" s="2" t="str">
        <f>IFERROR(IF(MARÍTIMOS[[#This Row],[Número de Contacto]]="","",MARÍTIMOS[[#This Row],[Número de Contacto]]),"")</f>
        <v>954 122 707</v>
      </c>
      <c r="O23" s="10">
        <f>IFERROR(IF(MARÍTIMOS[[#This Row],[Booking|AWB|CRT]]="","",MARÍTIMOS[[#This Row],[Booking|AWB|CRT]]),"")</f>
        <v>6461861150</v>
      </c>
      <c r="P23" s="2" t="str">
        <f>IFERROR(IF(MARÍTIMOS[[#This Row],[Contenedor]]="","",MARÍTIMOS[[#This Row],[Contenedor]]),"")</f>
        <v>FBIU5460265</v>
      </c>
      <c r="Q23" s="2" t="str">
        <f>IFERROR(IF(MARÍTIMOS[[#This Row],[Puerto de Retiro]]="","",MARÍTIMOS[[#This Row],[Puerto de Retiro]]),"")</f>
        <v>CALLAO</v>
      </c>
      <c r="R23" s="2" t="str">
        <f>IFERROR(IF(MARÍTIMOS[[#This Row],[Almacén de Retiro]]="","",MARÍTIMOS[[#This Row],[Almacén de Retiro]]),"")</f>
        <v>FARGOLINE</v>
      </c>
      <c r="S23" s="11">
        <f>IFERROR(IF(MARÍTIMOS[[#This Row],[Etapa Retiro - Cita]]="","",MARÍTIMOS[[#This Row],[Etapa Retiro - Cita]]),"")</f>
        <v>46241.75</v>
      </c>
      <c r="T23" s="11">
        <f>IFERROR(IF(MARÍTIMOS[[#This Row],[Etapa Retiro - Llegada]]="","",MARÍTIMOS[[#This Row],[Etapa Retiro - Llegada]]),"")</f>
        <v>46241.734722222223</v>
      </c>
      <c r="U23" s="11">
        <f>IFERROR(IF(MARÍTIMOS[[#This Row],[Etapa Retiro - Ingreso]]="","",MARÍTIMOS[[#This Row],[Etapa Retiro - Ingreso]]),"")</f>
        <v>46241.754861111112</v>
      </c>
      <c r="V23" s="11">
        <f>IFERROR(IF(MARÍTIMOS[[#This Row],[Etapa Retiro - Atención]]="","",MARÍTIMOS[[#This Row],[Etapa Retiro - Atención]]),"")</f>
        <v>46241.791666666664</v>
      </c>
      <c r="W23" s="11">
        <f>IFERROR(IF(MARÍTIMOS[[#This Row],[Etapa Retiro - Atención]]="","",MARÍTIMOS[[#This Row],[Etapa Retiro - Atención]]),"")</f>
        <v>46241.791666666664</v>
      </c>
      <c r="X23" s="11">
        <f>IFERROR(IF(MARÍTIMOS[[#This Row],[Etapa Retiro - Inicio de Ruta]]="","",MARÍTIMOS[[#This Row],[Etapa Retiro - Inicio de Ruta]]),"")</f>
        <v>46242.018055555556</v>
      </c>
      <c r="Y23" s="11">
        <f>IFERROR(IF(MARÍTIMOS[[#This Row],[Hora de Posicionamiento]]="","",MARÍTIMOS[[#This Row],[Fecha de Carga]]+MARÍTIMOS[[#This Row],[Hora de Posicionamiento]]),"")</f>
        <v>46242.583333333336</v>
      </c>
      <c r="Z23" s="11">
        <f>IFERROR(IF(MARÍTIMOS[[#This Row],[Etapa Despacho - Llegada]]="","",MARÍTIMOS[[#This Row],[Etapa Despacho - Llegada]]),"")</f>
        <v>46242.67291666667</v>
      </c>
      <c r="AA23" s="11">
        <f>IFERROR(IF(MARÍTIMOS[[#This Row],[Etapa Despacho - Registro]]="","",MARÍTIMOS[[#This Row],[Etapa Despacho - Registro]]),"")</f>
        <v>46242.677083333336</v>
      </c>
      <c r="AB23" s="11">
        <f>IFERROR(IF(MARÍTIMOS[[#This Row],[Inspección Externa]]="","",MARÍTIMOS[[#This Row],[Inspección Externa]]),"")</f>
        <v>46242.688888888886</v>
      </c>
      <c r="AC23" s="11">
        <f>IFERROR(IF(MARÍTIMOS[[#This Row],[Etapa Despacho - Inicio de Carga]]="","",MARÍTIMOS[[#This Row],[Etapa Despacho - Inicio de Carga]]),"")</f>
        <v>46242.746527777781</v>
      </c>
      <c r="AD23" s="11">
        <f>IFERROR(IF(MARÍTIMOS[[#This Row],[Etapa Despacho - Mitad de Carga]]="","",MARÍTIMOS[[#This Row],[Etapa Despacho - Mitad de Carga]]),"")</f>
        <v>46242.760416666664</v>
      </c>
      <c r="AE23" s="11">
        <f>IFERROR(IF(MARÍTIMOS[[#This Row],[Etapa Despacho - Fin de Carga]]="","",MARÍTIMOS[[#This Row],[Etapa Despacho - Fin de Carga]]),"")</f>
        <v>46242.77847222222</v>
      </c>
      <c r="AF23" s="2" t="str">
        <f>IFERROR(IF(MARÍTIMOS[[#This Row],[Puerto de Embarque]]="","",MARÍTIMOS[[#This Row],[Puerto de Embarque]]),"")</f>
        <v>CALLAO</v>
      </c>
      <c r="AG23" s="2" t="str">
        <f>IFERROR(IF(MARÍTIMOS[[#This Row],[Almacén de Ingreso]]="","",MARÍTIMOS[[#This Row],[Almacén de Ingreso]]),"")</f>
        <v>CSPCP</v>
      </c>
      <c r="AH23" s="11">
        <f>IFERROR(IF(MARÍTIMOS[[#This Row],[Etapa Ingreso - Cita]]="","",MARÍTIMOS[[#This Row],[Etapa Ingreso - Cita]]),"")</f>
        <v>46243.5</v>
      </c>
      <c r="AI23" s="11">
        <f>IFERROR(IF(MARÍTIMOS[[#This Row],[Etapa Ingreso - Llegada]]="","",MARÍTIMOS[[#This Row],[Etapa Ingreso - Llegada]]),"")</f>
        <v>46243.511111111111</v>
      </c>
      <c r="AJ23" s="11">
        <f>IFERROR(IF(MARÍTIMOS[[#This Row],[Etapa Ingreso - Ingeso]]="","",MARÍTIMOS[[#This Row],[Etapa Ingreso - Ingeso]]),"")</f>
        <v>46243.521527777775</v>
      </c>
      <c r="AK23" s="11">
        <f>IFERROR(IF(MARÍTIMOS[[#This Row],[Etapa Ingreso - Atención]]="","",MARÍTIMOS[[#This Row],[Etapa Ingreso - Atención]]),"")</f>
        <v>46243.53125</v>
      </c>
      <c r="AL23" s="11">
        <f>IFERROR(IF(MARÍTIMOS[[#This Row],[Etapa Ingreso - Salida]]="","",MARÍTIMOS[[#This Row],[Etapa Ingreso - Salida]]),"")</f>
        <v>46243.541666666664</v>
      </c>
      <c r="AM23" s="2">
        <f>IFERROR(IF(MARÍTIMOS[[#This Row],[FCL]]="","",MARÍTIMOS[[#This Row],[FCL]]),"")</f>
        <v>1</v>
      </c>
      <c r="AN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" s="4" t="str" cm="1">
        <f t="array" ref="AO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" s="5">
        <f>IFERROR(OLDBD[[#This Row],[Llegada a packing]]-OLDBD[[#This Row],[Inicio de Ruta]],"")</f>
        <v>0.65486111111385981</v>
      </c>
      <c r="AQ23" s="6">
        <f>IFERROR(OLDBD[[#This Row],[Inicio de Ruta]]-OLDBD[[#This Row],[Salida de almacén de retiro]],"")</f>
        <v>0.22638888889196096</v>
      </c>
      <c r="AR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3" s="8" t="str" cm="1">
        <f t="array" ref="AS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" s="9">
        <f>IFERROR(OLDBD[[#This Row],[Ingreso Packing]]-OLDBD[[#This Row],[Registro en Packing]],"")</f>
        <v>1.1805555550381541E-2</v>
      </c>
      <c r="AV23" s="9">
        <f>IFERROR(OLDBD[[#This Row],[Ingreso Packing]]-OLDBD[[#This Row],[Llegada a packing]],"")</f>
        <v>1.597222221607808E-2</v>
      </c>
      <c r="AW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3" s="5">
        <f>IFERROR(OLDBD[[#This Row],[Llegada Almacén de Ingreso]]-OLDBD[[#This Row],[Salida Packing]],"")</f>
        <v>0.73263888889050577</v>
      </c>
      <c r="AY23" s="4" t="str" cm="1">
        <f t="array" ref="AY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" s="43" t="s">
        <v>173</v>
      </c>
      <c r="BB23" s="47" t="str">
        <f>IFERROR(IF(MARÍTIMOS[[#This Row],[Estatus]]="","",MARÍTIMOS[[#This Row],[Estatus]]),"")</f>
        <v>Confirmado</v>
      </c>
      <c r="BC23" s="43"/>
      <c r="BD23" s="46">
        <f>IFERROR(OLDBD[[#This Row],[Salida de almacén de retiro]]-OLDBD[[#This Row],[Ingreso Almacén de retiro]],"")</f>
        <v>3.6805555551836733E-2</v>
      </c>
      <c r="BE23" s="46">
        <f>IFERROR(OLDBD[[#This Row],[Fin de Carga]]-OLDBD[[#This Row],[Inicio de Carga]],"")</f>
        <v>1.3888888883229811E-2</v>
      </c>
    </row>
    <row r="24" spans="1:57" customFormat="1" hidden="1">
      <c r="A24" s="1"/>
      <c r="B24" s="1">
        <f>IFERROR(IF(MARÍTIMOS[[#This Row],[PP]]="","",MARÍTIMOS[[#This Row],[PP]]),"")</f>
        <v>32</v>
      </c>
      <c r="C24" s="1" t="str">
        <f>IFERROR(IF(MARÍTIMOS[[#This Row],[Sede]]="","",MARÍTIMOS[[#This Row],[Sede]]),"")</f>
        <v>Chao</v>
      </c>
      <c r="D24" s="1" t="str">
        <f>IFERROR(IF(MARÍTIMOS[[#This Row],[Instruction]]="","",MARÍTIMOS[[#This Row],[Instruction]]),"")</f>
        <v>RH-0418</v>
      </c>
      <c r="E24" s="1"/>
      <c r="F24" s="2" t="str">
        <f>IFERROR(IF(MARÍTIMOS[[#This Row],[Transportista]]="","",MARÍTIMOS[[#This Row],[Transportista]]),"")</f>
        <v>Cititrans</v>
      </c>
      <c r="G24" s="2" t="str">
        <f>IFERROR(IF(MARÍTIMOS[[#This Row],[Tercero]]="","",MARÍTIMOS[[#This Row],[Tercero]]),"")</f>
        <v>SI</v>
      </c>
      <c r="H24" s="2" t="str">
        <f>IFERROR(IF(MARÍTIMOS[[#This Row],[Razón Social]]="","",MARÍTIMOS[[#This Row],[Razón Social]]),"")</f>
        <v>P&amp;M LOGISTICS EIRL</v>
      </c>
      <c r="I24" s="2">
        <f>IFERROR(IF(MARÍTIMOS[[#This Row],[RUC]]="","",MARÍTIMOS[[#This Row],[RUC]]),"")</f>
        <v>20609311780</v>
      </c>
      <c r="J24" s="2" t="str">
        <f>IFERROR(IF(MARÍTIMOS[[#This Row],[Placa Tracto]]="","",MARÍTIMOS[[#This Row],[Placa Tracto]]),"")</f>
        <v>A4U852</v>
      </c>
      <c r="K24" s="2" t="str">
        <f>IFERROR(IF(MARÍTIMOS[[#This Row],[Placa Carreta]]="","",MARÍTIMOS[[#This Row],[Placa Carreta]]),"")</f>
        <v>C3A991</v>
      </c>
      <c r="L24" s="44" t="str">
        <f>IFERROR(IF(MARÍTIMOS[[#This Row],[Conductor]]="","",MARÍTIMOS[[#This Row],[Conductor]]),"")</f>
        <v>RODRIGO HIDALGO TRUJILLO</v>
      </c>
      <c r="M24" s="2" t="str">
        <f>IFERROR(IF(MARÍTIMOS[[#This Row],[Licencia]]="","",MARÍTIMOS[[#This Row],[Licencia]]),"")</f>
        <v>Q40850319</v>
      </c>
      <c r="N24" s="2" t="str">
        <f>IFERROR(IF(MARÍTIMOS[[#This Row],[Número de Contacto]]="","",MARÍTIMOS[[#This Row],[Número de Contacto]]),"")</f>
        <v>959 262 269</v>
      </c>
      <c r="O24" s="10">
        <f>IFERROR(IF(MARÍTIMOS[[#This Row],[Booking|AWB|CRT]]="","",MARÍTIMOS[[#This Row],[Booking|AWB|CRT]]),"")</f>
        <v>6461861020</v>
      </c>
      <c r="P24" s="2" t="str">
        <f>IFERROR(IF(MARÍTIMOS[[#This Row],[Contenedor]]="","",MARÍTIMOS[[#This Row],[Contenedor]]),"")</f>
        <v>OERU4818062</v>
      </c>
      <c r="Q24" s="2" t="str">
        <f>IFERROR(IF(MARÍTIMOS[[#This Row],[Puerto de Retiro]]="","",MARÍTIMOS[[#This Row],[Puerto de Retiro]]),"")</f>
        <v>CALLAO</v>
      </c>
      <c r="R24" s="2" t="str">
        <f>IFERROR(IF(MARÍTIMOS[[#This Row],[Almacén de Retiro]]="","",MARÍTIMOS[[#This Row],[Almacén de Retiro]]),"")</f>
        <v>FARGOLINE</v>
      </c>
      <c r="S24" s="11">
        <f>IFERROR(IF(MARÍTIMOS[[#This Row],[Etapa Retiro - Cita]]="","",MARÍTIMOS[[#This Row],[Etapa Retiro - Cita]]),"")</f>
        <v>46241.75</v>
      </c>
      <c r="T24" s="11">
        <f>IFERROR(IF(MARÍTIMOS[[#This Row],[Etapa Retiro - Llegada]]="","",MARÍTIMOS[[#This Row],[Etapa Retiro - Llegada]]),"")</f>
        <v>46241.763888888891</v>
      </c>
      <c r="U24" s="11">
        <f>IFERROR(IF(MARÍTIMOS[[#This Row],[Etapa Retiro - Ingreso]]="","",MARÍTIMOS[[#This Row],[Etapa Retiro - Ingreso]]),"")</f>
        <v>46241.989583333336</v>
      </c>
      <c r="V24" s="11">
        <f>IFERROR(IF(MARÍTIMOS[[#This Row],[Etapa Retiro - Atención]]="","",MARÍTIMOS[[#This Row],[Etapa Retiro - Atención]]),"")</f>
        <v>46242.003472222219</v>
      </c>
      <c r="W24" s="11">
        <f>IFERROR(IF(MARÍTIMOS[[#This Row],[Etapa Retiro - Atención]]="","",MARÍTIMOS[[#This Row],[Etapa Retiro - Atención]]),"")</f>
        <v>46242.003472222219</v>
      </c>
      <c r="X24" s="11">
        <f>IFERROR(IF(MARÍTIMOS[[#This Row],[Etapa Retiro - Inicio de Ruta]]="","",MARÍTIMOS[[#This Row],[Etapa Retiro - Inicio de Ruta]]),"")</f>
        <v>46242.034722222219</v>
      </c>
      <c r="Y24" s="11">
        <f>IFERROR(IF(MARÍTIMOS[[#This Row],[Hora de Posicionamiento]]="","",MARÍTIMOS[[#This Row],[Fecha de Carga]]+MARÍTIMOS[[#This Row],[Hora de Posicionamiento]]),"")</f>
        <v>46242.5</v>
      </c>
      <c r="Z24" s="11">
        <f>IFERROR(IF(MARÍTIMOS[[#This Row],[Etapa Despacho - Llegada]]="","",MARÍTIMOS[[#This Row],[Etapa Despacho - Llegada]]),"")</f>
        <v>46242.54583333333</v>
      </c>
      <c r="AA24" s="11">
        <f>IFERROR(IF(MARÍTIMOS[[#This Row],[Etapa Despacho - Registro]]="","",MARÍTIMOS[[#This Row],[Etapa Despacho - Registro]]),"")</f>
        <v>46242.552083333336</v>
      </c>
      <c r="AB24" s="11">
        <f>IFERROR(IF(MARÍTIMOS[[#This Row],[Inspección Externa]]="","",MARÍTIMOS[[#This Row],[Inspección Externa]]),"")</f>
        <v>46242.611111111109</v>
      </c>
      <c r="AC24" s="11">
        <f>IFERROR(IF(MARÍTIMOS[[#This Row],[Etapa Despacho - Inicio de Carga]]="","",MARÍTIMOS[[#This Row],[Etapa Despacho - Inicio de Carga]]),"")</f>
        <v>46242.652777777781</v>
      </c>
      <c r="AD24" s="11">
        <f>IFERROR(IF(MARÍTIMOS[[#This Row],[Etapa Despacho - Mitad de Carga]]="","",MARÍTIMOS[[#This Row],[Etapa Despacho - Mitad de Carga]]),"")</f>
        <v>46242.67083333333</v>
      </c>
      <c r="AE24" s="11">
        <f>IFERROR(IF(MARÍTIMOS[[#This Row],[Etapa Despacho - Fin de Carga]]="","",MARÍTIMOS[[#This Row],[Etapa Despacho - Fin de Carga]]),"")</f>
        <v>46242.730555555558</v>
      </c>
      <c r="AF24" s="2" t="str">
        <f>IFERROR(IF(MARÍTIMOS[[#This Row],[Puerto de Embarque]]="","",MARÍTIMOS[[#This Row],[Puerto de Embarque]]),"")</f>
        <v>CALLAO</v>
      </c>
      <c r="AG24" s="2" t="str">
        <f>IFERROR(IF(MARÍTIMOS[[#This Row],[Almacén de Ingreso]]="","",MARÍTIMOS[[#This Row],[Almacén de Ingreso]]),"")</f>
        <v>CSPCP</v>
      </c>
      <c r="AH24" s="11">
        <f>IFERROR(IF(MARÍTIMOS[[#This Row],[Etapa Ingreso - Cita]]="","",MARÍTIMOS[[#This Row],[Etapa Ingreso - Cita]]),"")</f>
        <v>46243</v>
      </c>
      <c r="AI24" s="11">
        <f>IFERROR(IF(MARÍTIMOS[[#This Row],[Etapa Ingreso - Llegada]]="","",MARÍTIMOS[[#This Row],[Etapa Ingreso - Llegada]]),"")</f>
        <v>46243.4375</v>
      </c>
      <c r="AJ24" s="11">
        <f>IFERROR(IF(MARÍTIMOS[[#This Row],[Etapa Ingreso - Ingeso]]="","",MARÍTIMOS[[#This Row],[Etapa Ingreso - Ingeso]]),"")</f>
        <v>46243.517361111109</v>
      </c>
      <c r="AK24" s="11">
        <f>IFERROR(IF(MARÍTIMOS[[#This Row],[Etapa Ingreso - Atención]]="","",MARÍTIMOS[[#This Row],[Etapa Ingreso - Atención]]),"")</f>
        <v>46243.524305555555</v>
      </c>
      <c r="AL24" s="11">
        <f>IFERROR(IF(MARÍTIMOS[[#This Row],[Etapa Ingreso - Salida]]="","",MARÍTIMOS[[#This Row],[Etapa Ingreso - Salida]]),"")</f>
        <v>46243.554166666669</v>
      </c>
      <c r="AM24" s="2">
        <f>IFERROR(IF(MARÍTIMOS[[#This Row],[FCL]]="","",MARÍTIMOS[[#This Row],[FCL]]),"")</f>
        <v>1</v>
      </c>
      <c r="AN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" s="4" t="str" cm="1">
        <f t="array" ref="AO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" s="5">
        <f>IFERROR(OLDBD[[#This Row],[Llegada a packing]]-OLDBD[[#This Row],[Inicio de Ruta]],"")</f>
        <v>0.51111111111094942</v>
      </c>
      <c r="AQ24" s="6">
        <f>IFERROR(OLDBD[[#This Row],[Inicio de Ruta]]-OLDBD[[#This Row],[Salida de almacén de retiro]],"")</f>
        <v>3.125E-2</v>
      </c>
      <c r="AR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" s="8" t="str" cm="1">
        <f t="array" ref="AS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4" s="9">
        <f>IFERROR(OLDBD[[#This Row],[Ingreso Packing]]-OLDBD[[#This Row],[Registro en Packing]],"")</f>
        <v>5.9027777773735579E-2</v>
      </c>
      <c r="AV24" s="9">
        <f>IFERROR(OLDBD[[#This Row],[Ingreso Packing]]-OLDBD[[#This Row],[Llegada a packing]],"")</f>
        <v>6.5277777779556345E-2</v>
      </c>
      <c r="AW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4" s="5">
        <f>IFERROR(OLDBD[[#This Row],[Llegada Almacén de Ingreso]]-OLDBD[[#This Row],[Salida Packing]],"")</f>
        <v>0.7069444444423425</v>
      </c>
      <c r="AY24" s="4" t="str" cm="1">
        <f t="array" ref="AY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" s="43" t="s">
        <v>173</v>
      </c>
      <c r="BB24" s="47" t="str">
        <f>IFERROR(IF(MARÍTIMOS[[#This Row],[Estatus]]="","",MARÍTIMOS[[#This Row],[Estatus]]),"")</f>
        <v>Confirmado</v>
      </c>
      <c r="BC24" s="43"/>
      <c r="BD24" s="46">
        <f>IFERROR(OLDBD[[#This Row],[Salida de almacén de retiro]]-OLDBD[[#This Row],[Ingreso Almacén de retiro]],"")</f>
        <v>1.3888888883229811E-2</v>
      </c>
      <c r="BE24" s="46">
        <f>IFERROR(OLDBD[[#This Row],[Fin de Carga]]-OLDBD[[#This Row],[Inicio de Carga]],"")</f>
        <v>1.805555554892635E-2</v>
      </c>
    </row>
    <row r="25" spans="1:57" customFormat="1" hidden="1">
      <c r="A25" s="1"/>
      <c r="B25" s="1">
        <f>IFERROR(IF(MARÍTIMOS[[#This Row],[PP]]="","",MARÍTIMOS[[#This Row],[PP]]),"")</f>
        <v>32</v>
      </c>
      <c r="C25" s="1" t="str">
        <f>IFERROR(IF(MARÍTIMOS[[#This Row],[Sede]]="","",MARÍTIMOS[[#This Row],[Sede]]),"")</f>
        <v>Chao</v>
      </c>
      <c r="D25" s="1" t="str">
        <f>IFERROR(IF(MARÍTIMOS[[#This Row],[Instruction]]="","",MARÍTIMOS[[#This Row],[Instruction]]),"")</f>
        <v>RH-0434</v>
      </c>
      <c r="E25" s="1"/>
      <c r="F25" s="2" t="str">
        <f>IFERROR(IF(MARÍTIMOS[[#This Row],[Transportista]]="","",MARÍTIMOS[[#This Row],[Transportista]]),"")</f>
        <v>Cititrans</v>
      </c>
      <c r="G25" s="2" t="str">
        <f>IFERROR(IF(MARÍTIMOS[[#This Row],[Tercero]]="","",MARÍTIMOS[[#This Row],[Tercero]]),"")</f>
        <v>NO</v>
      </c>
      <c r="H25" s="2" t="str">
        <f>IFERROR(IF(MARÍTIMOS[[#This Row],[Razón Social]]="","",MARÍTIMOS[[#This Row],[Razón Social]]),"")</f>
        <v>CITITRANS</v>
      </c>
      <c r="I25" s="2">
        <f>IFERROR(IF(MARÍTIMOS[[#This Row],[RUC]]="","",MARÍTIMOS[[#This Row],[RUC]]),"")</f>
        <v>20609553376</v>
      </c>
      <c r="J25" s="2" t="str">
        <f>IFERROR(IF(MARÍTIMOS[[#This Row],[Placa Tracto]]="","",MARÍTIMOS[[#This Row],[Placa Tracto]]),"")</f>
        <v>CAR781</v>
      </c>
      <c r="K25" s="2" t="str">
        <f>IFERROR(IF(MARÍTIMOS[[#This Row],[Placa Carreta]]="","",MARÍTIMOS[[#This Row],[Placa Carreta]]),"")</f>
        <v>BNC977</v>
      </c>
      <c r="L25" s="44" t="str">
        <f>IFERROR(IF(MARÍTIMOS[[#This Row],[Conductor]]="","",MARÍTIMOS[[#This Row],[Conductor]]),"")</f>
        <v>JUNIOR PARRA</v>
      </c>
      <c r="M25" s="2" t="str">
        <f>IFERROR(IF(MARÍTIMOS[[#This Row],[Licencia]]="","",MARÍTIMOS[[#This Row],[Licencia]]),"")</f>
        <v>Q005397237</v>
      </c>
      <c r="N25" s="2" t="str">
        <f>IFERROR(IF(MARÍTIMOS[[#This Row],[Número de Contacto]]="","",MARÍTIMOS[[#This Row],[Número de Contacto]]),"")</f>
        <v>922 820 624</v>
      </c>
      <c r="O25" s="10">
        <f>IFERROR(IF(MARÍTIMOS[[#This Row],[Booking|AWB|CRT]]="","",MARÍTIMOS[[#This Row],[Booking|AWB|CRT]]),"")</f>
        <v>751600043232</v>
      </c>
      <c r="P25" s="2" t="str">
        <f>IFERROR(IF(MARÍTIMOS[[#This Row],[Contenedor]]="","",MARÍTIMOS[[#This Row],[Contenedor]]),"")</f>
        <v>EGSU5034036</v>
      </c>
      <c r="Q25" s="2" t="str">
        <f>IFERROR(IF(MARÍTIMOS[[#This Row],[Puerto de Retiro]]="","",MARÍTIMOS[[#This Row],[Puerto de Retiro]]),"")</f>
        <v>CALLAO</v>
      </c>
      <c r="R25" s="2" t="str">
        <f>IFERROR(IF(MARÍTIMOS[[#This Row],[Almacén de Retiro]]="","",MARÍTIMOS[[#This Row],[Almacén de Retiro]]),"")</f>
        <v>IMUPESA</v>
      </c>
      <c r="S25" s="11">
        <f>IFERROR(IF(MARÍTIMOS[[#This Row],[Etapa Retiro - Cita]]="","",MARÍTIMOS[[#This Row],[Etapa Retiro - Cita]]),"")</f>
        <v>46242.75</v>
      </c>
      <c r="T25" s="11">
        <f>IFERROR(IF(MARÍTIMOS[[#This Row],[Etapa Retiro - Llegada]]="","",MARÍTIMOS[[#This Row],[Etapa Retiro - Llegada]]),"")</f>
        <v>46242.776388888888</v>
      </c>
      <c r="U25" s="11">
        <f>IFERROR(IF(MARÍTIMOS[[#This Row],[Etapa Retiro - Ingreso]]="","",MARÍTIMOS[[#This Row],[Etapa Retiro - Ingreso]]),"")</f>
        <v>46242.818055555559</v>
      </c>
      <c r="V25" s="11">
        <f>IFERROR(IF(MARÍTIMOS[[#This Row],[Etapa Retiro - Atención]]="","",MARÍTIMOS[[#This Row],[Etapa Retiro - Atención]]),"")</f>
        <v>46242.840277777781</v>
      </c>
      <c r="W25" s="11">
        <f>IFERROR(IF(MARÍTIMOS[[#This Row],[Etapa Retiro - Atención]]="","",MARÍTIMOS[[#This Row],[Etapa Retiro - Atención]]),"")</f>
        <v>46242.840277777781</v>
      </c>
      <c r="X25" s="11">
        <f>IFERROR(IF(MARÍTIMOS[[#This Row],[Etapa Retiro - Inicio de Ruta]]="","",MARÍTIMOS[[#This Row],[Etapa Retiro - Inicio de Ruta]]),"")</f>
        <v>46243.025000000001</v>
      </c>
      <c r="Y25" s="11">
        <f>IFERROR(IF(MARÍTIMOS[[#This Row],[Hora de Posicionamiento]]="","",MARÍTIMOS[[#This Row],[Fecha de Carga]]+MARÍTIMOS[[#This Row],[Hora de Posicionamiento]]),"")</f>
        <v>46243.583333333336</v>
      </c>
      <c r="Z25" s="11">
        <f>IFERROR(IF(MARÍTIMOS[[#This Row],[Etapa Despacho - Llegada]]="","",MARÍTIMOS[[#This Row],[Etapa Despacho - Llegada]]),"")</f>
        <v>46243.671527777777</v>
      </c>
      <c r="AA25" s="11">
        <f>IFERROR(IF(MARÍTIMOS[[#This Row],[Etapa Despacho - Registro]]="","",MARÍTIMOS[[#This Row],[Etapa Despacho - Registro]]),"")</f>
        <v>46243.677083333336</v>
      </c>
      <c r="AB25" s="11">
        <f>IFERROR(IF(MARÍTIMOS[[#This Row],[Inspección Externa]]="","",MARÍTIMOS[[#This Row],[Inspección Externa]]),"")</f>
        <v>46243.75277777778</v>
      </c>
      <c r="AC25" s="11">
        <f>IFERROR(IF(MARÍTIMOS[[#This Row],[Etapa Despacho - Inicio de Carga]]="","",MARÍTIMOS[[#This Row],[Etapa Despacho - Inicio de Carga]]),"")</f>
        <v>46243.765972222223</v>
      </c>
      <c r="AD25" s="11">
        <f>IFERROR(IF(MARÍTIMOS[[#This Row],[Etapa Despacho - Mitad de Carga]]="","",MARÍTIMOS[[#This Row],[Etapa Despacho - Mitad de Carga]]),"")</f>
        <v>46243.807638888888</v>
      </c>
      <c r="AE25" s="11">
        <f>IFERROR(IF(MARÍTIMOS[[#This Row],[Etapa Despacho - Fin de Carga]]="","",MARÍTIMOS[[#This Row],[Etapa Despacho - Fin de Carga]]),"")</f>
        <v>46243.856944444444</v>
      </c>
      <c r="AF25" s="2" t="str">
        <f>IFERROR(IF(MARÍTIMOS[[#This Row],[Puerto de Embarque]]="","",MARÍTIMOS[[#This Row],[Puerto de Embarque]]),"")</f>
        <v>CALLAO</v>
      </c>
      <c r="AG25" s="2" t="str">
        <f>IFERROR(IF(MARÍTIMOS[[#This Row],[Almacén de Ingreso]]="","",MARÍTIMOS[[#This Row],[Almacén de Ingreso]]),"")</f>
        <v>DPW</v>
      </c>
      <c r="AH25" s="11">
        <f>IFERROR(IF(MARÍTIMOS[[#This Row],[Etapa Ingreso - Cita]]="","",MARÍTIMOS[[#This Row],[Etapa Ingreso - Cita]]),"")</f>
        <v>46244.625</v>
      </c>
      <c r="AI25" s="11">
        <f>IFERROR(IF(MARÍTIMOS[[#This Row],[Etapa Ingreso - Llegada]]="","",MARÍTIMOS[[#This Row],[Etapa Ingreso - Llegada]]),"")</f>
        <v>46244.588194444441</v>
      </c>
      <c r="AJ25" s="11">
        <f>IFERROR(IF(MARÍTIMOS[[#This Row],[Etapa Ingreso - Ingeso]]="","",MARÍTIMOS[[#This Row],[Etapa Ingreso - Ingeso]]),"")</f>
        <v>46244.672222222223</v>
      </c>
      <c r="AK25" s="11">
        <f>IFERROR(IF(MARÍTIMOS[[#This Row],[Etapa Ingreso - Atención]]="","",MARÍTIMOS[[#This Row],[Etapa Ingreso - Atención]]),"")</f>
        <v>46244.6875</v>
      </c>
      <c r="AL25" s="11">
        <f>IFERROR(IF(MARÍTIMOS[[#This Row],[Etapa Ingreso - Salida]]="","",MARÍTIMOS[[#This Row],[Etapa Ingreso - Salida]]),"")</f>
        <v>46244.70208333333</v>
      </c>
      <c r="AM25" s="2">
        <f>IFERROR(IF(MARÍTIMOS[[#This Row],[FCL]]="","",MARÍTIMOS[[#This Row],[FCL]]),"")</f>
        <v>1</v>
      </c>
      <c r="AN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" s="4" t="str" cm="1">
        <f t="array" ref="AO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" s="5">
        <f>IFERROR(OLDBD[[#This Row],[Llegada a packing]]-OLDBD[[#This Row],[Inicio de Ruta]],"")</f>
        <v>0.64652777777519077</v>
      </c>
      <c r="AQ25" s="6">
        <f>IFERROR(OLDBD[[#This Row],[Inicio de Ruta]]-OLDBD[[#This Row],[Salida de almacén de retiro]],"")</f>
        <v>0.18472222222044365</v>
      </c>
      <c r="AR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5" s="8" t="str" cm="1">
        <f t="array" ref="AS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5" s="9">
        <f>IFERROR(OLDBD[[#This Row],[Ingreso Packing]]-OLDBD[[#This Row],[Registro en Packing]],"")</f>
        <v>7.5694444443797693E-2</v>
      </c>
      <c r="AV25" s="9">
        <f>IFERROR(OLDBD[[#This Row],[Ingreso Packing]]-OLDBD[[#This Row],[Llegada a packing]],"")</f>
        <v>8.1250000002910383E-2</v>
      </c>
      <c r="AW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5" s="5">
        <f>IFERROR(OLDBD[[#This Row],[Llegada Almacén de Ingreso]]-OLDBD[[#This Row],[Salida Packing]],"")</f>
        <v>0.73124999999708962</v>
      </c>
      <c r="AY25" s="4" t="str" cm="1">
        <f t="array" ref="AY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" s="43" t="s">
        <v>173</v>
      </c>
      <c r="BB25" s="47" t="str">
        <f>IFERROR(IF(MARÍTIMOS[[#This Row],[Estatus]]="","",MARÍTIMOS[[#This Row],[Estatus]]),"")</f>
        <v>Confirmado</v>
      </c>
      <c r="BC25" s="43"/>
      <c r="BD25" s="46">
        <f>IFERROR(OLDBD[[#This Row],[Salida de almacén de retiro]]-OLDBD[[#This Row],[Ingreso Almacén de retiro]],"")</f>
        <v>2.2222222221898846E-2</v>
      </c>
      <c r="BE25" s="46">
        <f>IFERROR(OLDBD[[#This Row],[Fin de Carga]]-OLDBD[[#This Row],[Inicio de Carga]],"")</f>
        <v>4.1666666664241347E-2</v>
      </c>
    </row>
    <row r="26" spans="1:57" customFormat="1" hidden="1">
      <c r="A26" s="1"/>
      <c r="B26" s="1">
        <f>IFERROR(IF(MARÍTIMOS[[#This Row],[PP]]="","",MARÍTIMOS[[#This Row],[PP]]),"")</f>
        <v>32</v>
      </c>
      <c r="C26" s="1" t="str">
        <f>IFERROR(IF(MARÍTIMOS[[#This Row],[Sede]]="","",MARÍTIMOS[[#This Row],[Sede]]),"")</f>
        <v>Chao</v>
      </c>
      <c r="D26" s="1" t="str">
        <f>IFERROR(IF(MARÍTIMOS[[#This Row],[Instruction]]="","",MARÍTIMOS[[#This Row],[Instruction]]),"")</f>
        <v>RH-0431</v>
      </c>
      <c r="E26" s="1"/>
      <c r="F26" s="2" t="str">
        <f>IFERROR(IF(MARÍTIMOS[[#This Row],[Transportista]]="","",MARÍTIMOS[[#This Row],[Transportista]]),"")</f>
        <v>Cititrans</v>
      </c>
      <c r="G26" s="2" t="str">
        <f>IFERROR(IF(MARÍTIMOS[[#This Row],[Tercero]]="","",MARÍTIMOS[[#This Row],[Tercero]]),"")</f>
        <v>NO</v>
      </c>
      <c r="H26" s="2" t="str">
        <f>IFERROR(IF(MARÍTIMOS[[#This Row],[Razón Social]]="","",MARÍTIMOS[[#This Row],[Razón Social]]),"")</f>
        <v>CITITRANS</v>
      </c>
      <c r="I26" s="2">
        <f>IFERROR(IF(MARÍTIMOS[[#This Row],[RUC]]="","",MARÍTIMOS[[#This Row],[RUC]]),"")</f>
        <v>20609553376</v>
      </c>
      <c r="J26" s="2" t="str">
        <f>IFERROR(IF(MARÍTIMOS[[#This Row],[Placa Tracto]]="","",MARÍTIMOS[[#This Row],[Placa Tracto]]),"")</f>
        <v>CAR746</v>
      </c>
      <c r="K26" s="2" t="str">
        <f>IFERROR(IF(MARÍTIMOS[[#This Row],[Placa Carreta]]="","",MARÍTIMOS[[#This Row],[Placa Carreta]]),"")</f>
        <v>BMZ988</v>
      </c>
      <c r="L26" s="44" t="str">
        <f>IFERROR(IF(MARÍTIMOS[[#This Row],[Conductor]]="","",MARÍTIMOS[[#This Row],[Conductor]]),"")</f>
        <v>KENYI EDISON ORTIZ SANTIAGO</v>
      </c>
      <c r="M26" s="2" t="str">
        <f>IFERROR(IF(MARÍTIMOS[[#This Row],[Licencia]]="","",MARÍTIMOS[[#This Row],[Licencia]]),"")</f>
        <v>S71411671</v>
      </c>
      <c r="N26" s="2" t="str">
        <f>IFERROR(IF(MARÍTIMOS[[#This Row],[Número de Contacto]]="","",MARÍTIMOS[[#This Row],[Número de Contacto]]),"")</f>
        <v>933 313 552</v>
      </c>
      <c r="O26" s="10">
        <f>IFERROR(IF(MARÍTIMOS[[#This Row],[Booking|AWB|CRT]]="","",MARÍTIMOS[[#This Row],[Booking|AWB|CRT]]),"")</f>
        <v>6462050470</v>
      </c>
      <c r="P26" s="2" t="str">
        <f>IFERROR(IF(MARÍTIMOS[[#This Row],[Contenedor]]="","",MARÍTIMOS[[#This Row],[Contenedor]]),"")</f>
        <v>OERU4382050</v>
      </c>
      <c r="Q26" s="2" t="str">
        <f>IFERROR(IF(MARÍTIMOS[[#This Row],[Puerto de Retiro]]="","",MARÍTIMOS[[#This Row],[Puerto de Retiro]]),"")</f>
        <v>CALLAO</v>
      </c>
      <c r="R26" s="2" t="str">
        <f>IFERROR(IF(MARÍTIMOS[[#This Row],[Almacén de Retiro]]="","",MARÍTIMOS[[#This Row],[Almacén de Retiro]]),"")</f>
        <v>FARGOLINE</v>
      </c>
      <c r="S26" s="11">
        <f>IFERROR(IF(MARÍTIMOS[[#This Row],[Etapa Retiro - Cita]]="","",MARÍTIMOS[[#This Row],[Etapa Retiro - Cita]]),"")</f>
        <v>46243.75</v>
      </c>
      <c r="T26" s="11">
        <f>IFERROR(IF(MARÍTIMOS[[#This Row],[Etapa Retiro - Llegada]]="","",MARÍTIMOS[[#This Row],[Etapa Retiro - Llegada]]),"")</f>
        <v>46243.79791666667</v>
      </c>
      <c r="U26" s="11">
        <f>IFERROR(IF(MARÍTIMOS[[#This Row],[Etapa Retiro - Ingreso]]="","",MARÍTIMOS[[#This Row],[Etapa Retiro - Ingreso]]),"")</f>
        <v>46243.806944444441</v>
      </c>
      <c r="V26" s="11">
        <f>IFERROR(IF(MARÍTIMOS[[#This Row],[Etapa Retiro - Atención]]="","",MARÍTIMOS[[#This Row],[Etapa Retiro - Atención]]),"")</f>
        <v>46243.822916666664</v>
      </c>
      <c r="W26" s="11">
        <f>IFERROR(IF(MARÍTIMOS[[#This Row],[Etapa Retiro - Atención]]="","",MARÍTIMOS[[#This Row],[Etapa Retiro - Atención]]),"")</f>
        <v>46243.822916666664</v>
      </c>
      <c r="X26" s="11">
        <f>IFERROR(IF(MARÍTIMOS[[#This Row],[Etapa Retiro - Inicio de Ruta]]="","",MARÍTIMOS[[#This Row],[Etapa Retiro - Inicio de Ruta]]),"")</f>
        <v>46243.851388888892</v>
      </c>
      <c r="Y26" s="11">
        <f>IFERROR(IF(MARÍTIMOS[[#This Row],[Hora de Posicionamiento]]="","",MARÍTIMOS[[#This Row],[Fecha de Carga]]+MARÍTIMOS[[#This Row],[Hora de Posicionamiento]]),"")</f>
        <v>46244.5</v>
      </c>
      <c r="Z26" s="11">
        <f>IFERROR(IF(MARÍTIMOS[[#This Row],[Etapa Despacho - Llegada]]="","",MARÍTIMOS[[#This Row],[Etapa Despacho - Llegada]]),"")</f>
        <v>46244.599305555559</v>
      </c>
      <c r="AA26" s="11">
        <f>IFERROR(IF(MARÍTIMOS[[#This Row],[Etapa Despacho - Registro]]="","",MARÍTIMOS[[#This Row],[Etapa Despacho - Registro]]),"")</f>
        <v>46244.604166666664</v>
      </c>
      <c r="AB26" s="11">
        <f>IFERROR(IF(MARÍTIMOS[[#This Row],[Inspección Externa]]="","",MARÍTIMOS[[#This Row],[Inspección Externa]]),"")</f>
        <v>46244.613194444442</v>
      </c>
      <c r="AC26" s="11">
        <f>IFERROR(IF(MARÍTIMOS[[#This Row],[Etapa Despacho - Inicio de Carga]]="","",MARÍTIMOS[[#This Row],[Etapa Despacho - Inicio de Carga]]),"")</f>
        <v>46244.710416666669</v>
      </c>
      <c r="AD26" s="11">
        <f>IFERROR(IF(MARÍTIMOS[[#This Row],[Etapa Despacho - Mitad de Carga]]="","",MARÍTIMOS[[#This Row],[Etapa Despacho - Mitad de Carga]]),"")</f>
        <v>46244.727777777778</v>
      </c>
      <c r="AE26" s="11">
        <f>IFERROR(IF(MARÍTIMOS[[#This Row],[Etapa Despacho - Fin de Carga]]="","",MARÍTIMOS[[#This Row],[Etapa Despacho - Fin de Carga]]),"")</f>
        <v>46244.749305555553</v>
      </c>
      <c r="AF26" s="2" t="str">
        <f>IFERROR(IF(MARÍTIMOS[[#This Row],[Puerto de Embarque]]="","",MARÍTIMOS[[#This Row],[Puerto de Embarque]]),"")</f>
        <v>CALLAO</v>
      </c>
      <c r="AG26" s="2" t="str">
        <f>IFERROR(IF(MARÍTIMOS[[#This Row],[Almacén de Ingreso]]="","",MARÍTIMOS[[#This Row],[Almacén de Ingreso]]),"")</f>
        <v>CSPCP</v>
      </c>
      <c r="AH26" s="11">
        <f>IFERROR(IF(MARÍTIMOS[[#This Row],[Etapa Ingreso - Cita]]="","",MARÍTIMOS[[#This Row],[Etapa Ingreso - Cita]]),"")</f>
        <v>46245</v>
      </c>
      <c r="AI26" s="11">
        <f>IFERROR(IF(MARÍTIMOS[[#This Row],[Etapa Ingreso - Llegada]]="","",MARÍTIMOS[[#This Row],[Etapa Ingreso - Llegada]]),"")</f>
        <v>46245.34097222222</v>
      </c>
      <c r="AJ26" s="11">
        <f>IFERROR(IF(MARÍTIMOS[[#This Row],[Etapa Ingreso - Ingeso]]="","",MARÍTIMOS[[#This Row],[Etapa Ingreso - Ingeso]]),"")</f>
        <v>46245.461805555555</v>
      </c>
      <c r="AK26" s="11">
        <f>IFERROR(IF(MARÍTIMOS[[#This Row],[Etapa Ingreso - Atención]]="","",MARÍTIMOS[[#This Row],[Etapa Ingreso - Atención]]),"")</f>
        <v>46245.472222222219</v>
      </c>
      <c r="AL26" s="11">
        <f>IFERROR(IF(MARÍTIMOS[[#This Row],[Etapa Ingreso - Salida]]="","",MARÍTIMOS[[#This Row],[Etapa Ingreso - Salida]]),"")</f>
        <v>46245.487500000003</v>
      </c>
      <c r="AM26" s="2">
        <f>IFERROR(IF(MARÍTIMOS[[#This Row],[FCL]]="","",MARÍTIMOS[[#This Row],[FCL]]),"")</f>
        <v>1</v>
      </c>
      <c r="AN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" s="4" t="str" cm="1">
        <f t="array" ref="AO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" s="5">
        <f>IFERROR(OLDBD[[#This Row],[Llegada a packing]]-OLDBD[[#This Row],[Inicio de Ruta]],"")</f>
        <v>0.74791666666715173</v>
      </c>
      <c r="AQ26" s="6">
        <f>IFERROR(OLDBD[[#This Row],[Inicio de Ruta]]-OLDBD[[#This Row],[Salida de almacén de retiro]],"")</f>
        <v>2.8472222227719612E-2</v>
      </c>
      <c r="AR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6" s="8" t="str" cm="1">
        <f t="array" ref="AS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6" s="9">
        <f>IFERROR(OLDBD[[#This Row],[Ingreso Packing]]-OLDBD[[#This Row],[Registro en Packing]],"")</f>
        <v>9.0277777781011537E-3</v>
      </c>
      <c r="AV26" s="9">
        <f>IFERROR(OLDBD[[#This Row],[Ingreso Packing]]-OLDBD[[#This Row],[Llegada a packing]],"")</f>
        <v>1.3888888883229811E-2</v>
      </c>
      <c r="AW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6" s="5">
        <f>IFERROR(OLDBD[[#This Row],[Llegada Almacén de Ingreso]]-OLDBD[[#This Row],[Salida Packing]],"")</f>
        <v>0.59166666666715173</v>
      </c>
      <c r="AY26" s="4" t="str" cm="1">
        <f t="array" ref="AY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6" s="43" t="s">
        <v>173</v>
      </c>
      <c r="BB26" s="47" t="str">
        <f>IFERROR(IF(MARÍTIMOS[[#This Row],[Estatus]]="","",MARÍTIMOS[[#This Row],[Estatus]]),"")</f>
        <v>Confirmado</v>
      </c>
      <c r="BC26" s="43"/>
      <c r="BD26" s="46">
        <f>IFERROR(OLDBD[[#This Row],[Salida de almacén de retiro]]-OLDBD[[#This Row],[Ingreso Almacén de retiro]],"")</f>
        <v>1.5972222223354038E-2</v>
      </c>
      <c r="BE26" s="46">
        <f>IFERROR(OLDBD[[#This Row],[Fin de Carga]]-OLDBD[[#This Row],[Inicio de Carga]],"")</f>
        <v>1.7361111109494232E-2</v>
      </c>
    </row>
    <row r="27" spans="1:57" customFormat="1" hidden="1">
      <c r="A27" s="1"/>
      <c r="B27" s="1">
        <f>IFERROR(IF(MARÍTIMOS[[#This Row],[PP]]="","",MARÍTIMOS[[#This Row],[PP]]),"")</f>
        <v>33</v>
      </c>
      <c r="C27" s="1" t="str">
        <f>IFERROR(IF(MARÍTIMOS[[#This Row],[Sede]]="","",MARÍTIMOS[[#This Row],[Sede]]),"")</f>
        <v>Chao</v>
      </c>
      <c r="D27" s="1" t="str">
        <f>IFERROR(IF(MARÍTIMOS[[#This Row],[Instruction]]="","",MARÍTIMOS[[#This Row],[Instruction]]),"")</f>
        <v>RH-0474</v>
      </c>
      <c r="E27" s="1"/>
      <c r="F27" s="2" t="str">
        <f>IFERROR(IF(MARÍTIMOS[[#This Row],[Transportista]]="","",MARÍTIMOS[[#This Row],[Transportista]]),"")</f>
        <v>Cititrans</v>
      </c>
      <c r="G27" s="2" t="str">
        <f>IFERROR(IF(MARÍTIMOS[[#This Row],[Tercero]]="","",MARÍTIMOS[[#This Row],[Tercero]]),"")</f>
        <v>NO</v>
      </c>
      <c r="H27" s="2" t="str">
        <f>IFERROR(IF(MARÍTIMOS[[#This Row],[Razón Social]]="","",MARÍTIMOS[[#This Row],[Razón Social]]),"")</f>
        <v>CITITRANS</v>
      </c>
      <c r="I27" s="2">
        <f>IFERROR(IF(MARÍTIMOS[[#This Row],[RUC]]="","",MARÍTIMOS[[#This Row],[RUC]]),"")</f>
        <v>20609553376</v>
      </c>
      <c r="J27" s="2" t="str">
        <f>IFERROR(IF(MARÍTIMOS[[#This Row],[Placa Tracto]]="","",MARÍTIMOS[[#This Row],[Placa Tracto]]),"")</f>
        <v>BUP825</v>
      </c>
      <c r="K27" s="2" t="str">
        <f>IFERROR(IF(MARÍTIMOS[[#This Row],[Placa Carreta]]="","",MARÍTIMOS[[#This Row],[Placa Carreta]]),"")</f>
        <v>BFD973</v>
      </c>
      <c r="L27" s="44" t="str">
        <f>IFERROR(IF(MARÍTIMOS[[#This Row],[Conductor]]="","",MARÍTIMOS[[#This Row],[Conductor]]),"")</f>
        <v>ANTHONY BRYAN CRUZ CRUZ</v>
      </c>
      <c r="M27" s="2" t="str">
        <f>IFERROR(IF(MARÍTIMOS[[#This Row],[Licencia]]="","",MARÍTIMOS[[#This Row],[Licencia]]),"")</f>
        <v>Q47238249</v>
      </c>
      <c r="N27" s="2" t="str">
        <f>IFERROR(IF(MARÍTIMOS[[#This Row],[Número de Contacto]]="","",MARÍTIMOS[[#This Row],[Número de Contacto]]),"")</f>
        <v>906 497 463</v>
      </c>
      <c r="O27" s="10" t="str">
        <f>IFERROR(IF(MARÍTIMOS[[#This Row],[Booking|AWB|CRT]]="","",MARÍTIMOS[[#This Row],[Booking|AWB|CRT]]),"")</f>
        <v>6462784280</v>
      </c>
      <c r="P27" s="2" t="str">
        <f>IFERROR(IF(MARÍTIMOS[[#This Row],[Contenedor]]="","",MARÍTIMOS[[#This Row],[Contenedor]]),"")</f>
        <v>FBIU5035292</v>
      </c>
      <c r="Q27" s="2" t="str">
        <f>IFERROR(IF(MARÍTIMOS[[#This Row],[Puerto de Retiro]]="","",MARÍTIMOS[[#This Row],[Puerto de Retiro]]),"")</f>
        <v>CHANCAY</v>
      </c>
      <c r="R27" s="2" t="str">
        <f>IFERROR(IF(MARÍTIMOS[[#This Row],[Almacén de Retiro]]="","",MARÍTIMOS[[#This Row],[Almacén de Retiro]]),"")</f>
        <v>CSPCP</v>
      </c>
      <c r="S27" s="11">
        <f>IFERROR(IF(MARÍTIMOS[[#This Row],[Etapa Retiro - Cita]]="","",MARÍTIMOS[[#This Row],[Etapa Retiro - Cita]]),"")</f>
        <v>46246.5</v>
      </c>
      <c r="T27" s="11">
        <f>IFERROR(IF(MARÍTIMOS[[#This Row],[Etapa Retiro - Llegada]]="","",MARÍTIMOS[[#This Row],[Etapa Retiro - Llegada]]),"")</f>
        <v>46246.9</v>
      </c>
      <c r="U27" s="11">
        <f>IFERROR(IF(MARÍTIMOS[[#This Row],[Etapa Retiro - Ingreso]]="","",MARÍTIMOS[[#This Row],[Etapa Retiro - Ingreso]]),"")</f>
        <v>46246.927083333336</v>
      </c>
      <c r="V27" s="11">
        <f>IFERROR(IF(MARÍTIMOS[[#This Row],[Etapa Retiro - Atención]]="","",MARÍTIMOS[[#This Row],[Etapa Retiro - Atención]]),"")</f>
        <v>46246.99722222222</v>
      </c>
      <c r="W27" s="11">
        <f>IFERROR(IF(MARÍTIMOS[[#This Row],[Etapa Retiro - Atención]]="","",MARÍTIMOS[[#This Row],[Etapa Retiro - Atención]]),"")</f>
        <v>46246.99722222222</v>
      </c>
      <c r="X27" s="11">
        <f>IFERROR(IF(MARÍTIMOS[[#This Row],[Etapa Retiro - Inicio de Ruta]]="","",MARÍTIMOS[[#This Row],[Etapa Retiro - Inicio de Ruta]]),"")</f>
        <v>46247.010416666664</v>
      </c>
      <c r="Y27" s="11">
        <f>IFERROR(IF(MARÍTIMOS[[#This Row],[Hora de Posicionamiento]]="","",MARÍTIMOS[[#This Row],[Fecha de Carga]]+MARÍTIMOS[[#This Row],[Hora de Posicionamiento]]),"")</f>
        <v>46247.5</v>
      </c>
      <c r="Z27" s="11">
        <f>IFERROR(IF(MARÍTIMOS[[#This Row],[Etapa Despacho - Llegada]]="","",MARÍTIMOS[[#This Row],[Etapa Despacho - Llegada]]),"")</f>
        <v>46247.490972222222</v>
      </c>
      <c r="AA27" s="11">
        <f>IFERROR(IF(MARÍTIMOS[[#This Row],[Etapa Despacho - Registro]]="","",MARÍTIMOS[[#This Row],[Etapa Despacho - Registro]]),"")</f>
        <v>46247.49722222222</v>
      </c>
      <c r="AB27" s="11">
        <f>IFERROR(IF(MARÍTIMOS[[#This Row],[Inspección Externa]]="","",MARÍTIMOS[[#This Row],[Inspección Externa]]),"")</f>
        <v>46247.505555555559</v>
      </c>
      <c r="AC27" s="11">
        <f>IFERROR(IF(MARÍTIMOS[[#This Row],[Etapa Despacho - Inicio de Carga]]="","",MARÍTIMOS[[#This Row],[Etapa Despacho - Inicio de Carga]]),"")</f>
        <v>46247.6</v>
      </c>
      <c r="AD27" s="11">
        <f>IFERROR(IF(MARÍTIMOS[[#This Row],[Etapa Despacho - Mitad de Carga]]="","",MARÍTIMOS[[#This Row],[Etapa Despacho - Mitad de Carga]]),"")</f>
        <v>46247.623611111114</v>
      </c>
      <c r="AE27" s="11">
        <f>IFERROR(IF(MARÍTIMOS[[#This Row],[Etapa Despacho - Fin de Carga]]="","",MARÍTIMOS[[#This Row],[Etapa Despacho - Fin de Carga]]),"")</f>
        <v>46247.645833333336</v>
      </c>
      <c r="AF27" s="2" t="str">
        <f>IFERROR(IF(MARÍTIMOS[[#This Row],[Puerto de Embarque]]="","",MARÍTIMOS[[#This Row],[Puerto de Embarque]]),"")</f>
        <v>CHANCAY</v>
      </c>
      <c r="AG27" s="2" t="str">
        <f>IFERROR(IF(MARÍTIMOS[[#This Row],[Almacén de Ingreso]]="","",MARÍTIMOS[[#This Row],[Almacén de Ingreso]]),"")</f>
        <v>CSPCP</v>
      </c>
      <c r="AH27" s="11">
        <f>IFERROR(IF(MARÍTIMOS[[#This Row],[Etapa Ingreso - Cita]]="","",MARÍTIMOS[[#This Row],[Etapa Ingreso - Cita]]),"")</f>
        <v>46248</v>
      </c>
      <c r="AI27" s="11">
        <f>IFERROR(IF(MARÍTIMOS[[#This Row],[Etapa Ingreso - Llegada]]="","",MARÍTIMOS[[#This Row],[Etapa Ingreso - Llegada]]),"")</f>
        <v>46248.392361111109</v>
      </c>
      <c r="AJ27" s="11">
        <f>IFERROR(IF(MARÍTIMOS[[#This Row],[Etapa Ingreso - Ingeso]]="","",MARÍTIMOS[[#This Row],[Etapa Ingreso - Ingeso]]),"")</f>
        <v>46248.404861111114</v>
      </c>
      <c r="AK27" s="11">
        <f>IFERROR(IF(MARÍTIMOS[[#This Row],[Etapa Ingreso - Atención]]="","",MARÍTIMOS[[#This Row],[Etapa Ingreso - Atención]]),"")</f>
        <v>46248.420138888891</v>
      </c>
      <c r="AL27" s="11">
        <f>IFERROR(IF(MARÍTIMOS[[#This Row],[Etapa Ingreso - Salida]]="","",MARÍTIMOS[[#This Row],[Etapa Ingreso - Salida]]),"")</f>
        <v>46248.425000000003</v>
      </c>
      <c r="AM27" s="2">
        <f>IFERROR(IF(MARÍTIMOS[[#This Row],[FCL]]="","",MARÍTIMOS[[#This Row],[FCL]]),"")</f>
        <v>1</v>
      </c>
      <c r="AN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" s="4" t="str" cm="1">
        <f t="array" ref="AO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27" s="5">
        <f>IFERROR(OLDBD[[#This Row],[Llegada a packing]]-OLDBD[[#This Row],[Inicio de Ruta]],"")</f>
        <v>0.4805555555576575</v>
      </c>
      <c r="AQ27" s="6">
        <f>IFERROR(OLDBD[[#This Row],[Inicio de Ruta]]-OLDBD[[#This Row],[Salida de almacén de retiro]],"")</f>
        <v>1.3194444443797693E-2</v>
      </c>
      <c r="AR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7" s="8" t="str" cm="1">
        <f t="array" ref="AS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" s="9">
        <f>IFERROR(OLDBD[[#This Row],[Ingreso Packing]]-OLDBD[[#This Row],[Registro en Packing]],"")</f>
        <v>8.3333333386690356E-3</v>
      </c>
      <c r="AV27" s="9">
        <f>IFERROR(OLDBD[[#This Row],[Ingreso Packing]]-OLDBD[[#This Row],[Llegada a packing]],"")</f>
        <v>1.4583333337213844E-2</v>
      </c>
      <c r="AW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7" s="5">
        <f>IFERROR(OLDBD[[#This Row],[Llegada Almacén de Ingreso]]-OLDBD[[#This Row],[Salida Packing]],"")</f>
        <v>0.74652777777373558</v>
      </c>
      <c r="AY27" s="4" t="str" cm="1">
        <f t="array" ref="AY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" s="43" t="s">
        <v>173</v>
      </c>
      <c r="BB27" s="47" t="str">
        <f>IFERROR(IF(MARÍTIMOS[[#This Row],[Estatus]]="","",MARÍTIMOS[[#This Row],[Estatus]]),"")</f>
        <v>Confirmado</v>
      </c>
      <c r="BC27" s="43"/>
      <c r="BD27" s="46">
        <f>IFERROR(OLDBD[[#This Row],[Salida de almacén de retiro]]-OLDBD[[#This Row],[Ingreso Almacén de retiro]],"")</f>
        <v>7.0138888884685002E-2</v>
      </c>
      <c r="BE27" s="46">
        <f>IFERROR(OLDBD[[#This Row],[Fin de Carga]]-OLDBD[[#This Row],[Inicio de Carga]],"")</f>
        <v>2.3611111115314998E-2</v>
      </c>
    </row>
    <row r="28" spans="1:57" customFormat="1" hidden="1">
      <c r="A28" s="1"/>
      <c r="B28" s="1">
        <f>IFERROR(IF(MARÍTIMOS[[#This Row],[PP]]="","",MARÍTIMOS[[#This Row],[PP]]),"")</f>
        <v>33</v>
      </c>
      <c r="C28" s="1" t="str">
        <f>IFERROR(IF(MARÍTIMOS[[#This Row],[Sede]]="","",MARÍTIMOS[[#This Row],[Sede]]),"")</f>
        <v>Chao</v>
      </c>
      <c r="D28" s="1" t="str">
        <f>IFERROR(IF(MARÍTIMOS[[#This Row],[Instruction]]="","",MARÍTIMOS[[#This Row],[Instruction]]),"")</f>
        <v>RH-0475</v>
      </c>
      <c r="E28" s="1"/>
      <c r="F28" s="2" t="str">
        <f>IFERROR(IF(MARÍTIMOS[[#This Row],[Transportista]]="","",MARÍTIMOS[[#This Row],[Transportista]]),"")</f>
        <v>Cititrans</v>
      </c>
      <c r="G28" s="2" t="str">
        <f>IFERROR(IF(MARÍTIMOS[[#This Row],[Tercero]]="","",MARÍTIMOS[[#This Row],[Tercero]]),"")</f>
        <v>NO</v>
      </c>
      <c r="H28" s="2" t="str">
        <f>IFERROR(IF(MARÍTIMOS[[#This Row],[Razón Social]]="","",MARÍTIMOS[[#This Row],[Razón Social]]),"")</f>
        <v>CITITRANS</v>
      </c>
      <c r="I28" s="2">
        <f>IFERROR(IF(MARÍTIMOS[[#This Row],[RUC]]="","",MARÍTIMOS[[#This Row],[RUC]]),"")</f>
        <v>20609553376</v>
      </c>
      <c r="J28" s="2" t="str">
        <f>IFERROR(IF(MARÍTIMOS[[#This Row],[Placa Tracto]]="","",MARÍTIMOS[[#This Row],[Placa Tracto]]),"")</f>
        <v>CHG928</v>
      </c>
      <c r="K28" s="2" t="str">
        <f>IFERROR(IF(MARÍTIMOS[[#This Row],[Placa Carreta]]="","",MARÍTIMOS[[#This Row],[Placa Carreta]]),"")</f>
        <v>BUR982</v>
      </c>
      <c r="L28" s="44" t="str">
        <f>IFERROR(IF(MARÍTIMOS[[#This Row],[Conductor]]="","",MARÍTIMOS[[#This Row],[Conductor]]),"")</f>
        <v>JOSUE PEREZ MANCILLA</v>
      </c>
      <c r="M28" s="2" t="str">
        <f>IFERROR(IF(MARÍTIMOS[[#This Row],[Licencia]]="","",MARÍTIMOS[[#This Row],[Licencia]]),"")</f>
        <v>Q43455666</v>
      </c>
      <c r="N28" s="2" t="str">
        <f>IFERROR(IF(MARÍTIMOS[[#This Row],[Número de Contacto]]="","",MARÍTIMOS[[#This Row],[Número de Contacto]]),"")</f>
        <v>933 154 215</v>
      </c>
      <c r="O28" s="10" t="str">
        <f>IFERROR(IF(MARÍTIMOS[[#This Row],[Booking|AWB|CRT]]="","",MARÍTIMOS[[#This Row],[Booking|AWB|CRT]]),"")</f>
        <v>6462784420</v>
      </c>
      <c r="P28" s="2" t="str">
        <f>IFERROR(IF(MARÍTIMOS[[#This Row],[Contenedor]]="","",MARÍTIMOS[[#This Row],[Contenedor]]),"")</f>
        <v>SEKU9354689</v>
      </c>
      <c r="Q28" s="2" t="str">
        <f>IFERROR(IF(MARÍTIMOS[[#This Row],[Puerto de Retiro]]="","",MARÍTIMOS[[#This Row],[Puerto de Retiro]]),"")</f>
        <v>CHANCAY</v>
      </c>
      <c r="R28" s="2" t="str">
        <f>IFERROR(IF(MARÍTIMOS[[#This Row],[Almacén de Retiro]]="","",MARÍTIMOS[[#This Row],[Almacén de Retiro]]),"")</f>
        <v>CSPCP</v>
      </c>
      <c r="S28" s="11">
        <f>IFERROR(IF(MARÍTIMOS[[#This Row],[Etapa Retiro - Cita]]="","",MARÍTIMOS[[#This Row],[Etapa Retiro - Cita]]),"")</f>
        <v>46246.5</v>
      </c>
      <c r="T28" s="11">
        <f>IFERROR(IF(MARÍTIMOS[[#This Row],[Etapa Retiro - Llegada]]="","",MARÍTIMOS[[#This Row],[Etapa Retiro - Llegada]]),"")</f>
        <v>46246.834027777775</v>
      </c>
      <c r="U28" s="11">
        <f>IFERROR(IF(MARÍTIMOS[[#This Row],[Etapa Retiro - Ingreso]]="","",MARÍTIMOS[[#This Row],[Etapa Retiro - Ingreso]]),"")</f>
        <v>46246.84375</v>
      </c>
      <c r="V28" s="11">
        <f>IFERROR(IF(MARÍTIMOS[[#This Row],[Etapa Retiro - Atención]]="","",MARÍTIMOS[[#This Row],[Etapa Retiro - Atención]]),"")</f>
        <v>46246.857638888891</v>
      </c>
      <c r="W28" s="11">
        <f>IFERROR(IF(MARÍTIMOS[[#This Row],[Etapa Retiro - Atención]]="","",MARÍTIMOS[[#This Row],[Etapa Retiro - Atención]]),"")</f>
        <v>46246.857638888891</v>
      </c>
      <c r="X28" s="11">
        <f>IFERROR(IF(MARÍTIMOS[[#This Row],[Etapa Retiro - Inicio de Ruta]]="","",MARÍTIMOS[[#This Row],[Etapa Retiro - Inicio de Ruta]]),"")</f>
        <v>46246.878472222219</v>
      </c>
      <c r="Y28" s="11">
        <f>IFERROR(IF(MARÍTIMOS[[#This Row],[Hora de Posicionamiento]]="","",MARÍTIMOS[[#This Row],[Fecha de Carga]]+MARÍTIMOS[[#This Row],[Hora de Posicionamiento]]),"")</f>
        <v>46247.416666666664</v>
      </c>
      <c r="Z28" s="11">
        <f>IFERROR(IF(MARÍTIMOS[[#This Row],[Etapa Despacho - Llegada]]="","",MARÍTIMOS[[#This Row],[Etapa Despacho - Llegada]]),"")</f>
        <v>46247.474999999999</v>
      </c>
      <c r="AA28" s="11">
        <f>IFERROR(IF(MARÍTIMOS[[#This Row],[Etapa Despacho - Registro]]="","",MARÍTIMOS[[#This Row],[Etapa Despacho - Registro]]),"")</f>
        <v>46247.482638888891</v>
      </c>
      <c r="AB28" s="11">
        <f>IFERROR(IF(MARÍTIMOS[[#This Row],[Inspección Externa]]="","",MARÍTIMOS[[#This Row],[Inspección Externa]]),"")</f>
        <v>46247.495833333334</v>
      </c>
      <c r="AC28" s="11">
        <f>IFERROR(IF(MARÍTIMOS[[#This Row],[Etapa Despacho - Inicio de Carga]]="","",MARÍTIMOS[[#This Row],[Etapa Despacho - Inicio de Carga]]),"")</f>
        <v>46247.555555555555</v>
      </c>
      <c r="AD28" s="11">
        <f>IFERROR(IF(MARÍTIMOS[[#This Row],[Etapa Despacho - Mitad de Carga]]="","",MARÍTIMOS[[#This Row],[Etapa Despacho - Mitad de Carga]]),"")</f>
        <v>46247.574305555558</v>
      </c>
      <c r="AE28" s="11">
        <f>IFERROR(IF(MARÍTIMOS[[#This Row],[Etapa Despacho - Fin de Carga]]="","",MARÍTIMOS[[#This Row],[Etapa Despacho - Fin de Carga]]),"")</f>
        <v>46247.631944444445</v>
      </c>
      <c r="AF28" s="2" t="str">
        <f>IFERROR(IF(MARÍTIMOS[[#This Row],[Puerto de Embarque]]="","",MARÍTIMOS[[#This Row],[Puerto de Embarque]]),"")</f>
        <v>CHANCAY</v>
      </c>
      <c r="AG28" s="2" t="str">
        <f>IFERROR(IF(MARÍTIMOS[[#This Row],[Almacén de Ingreso]]="","",MARÍTIMOS[[#This Row],[Almacén de Ingreso]]),"")</f>
        <v>CSPCP</v>
      </c>
      <c r="AH28" s="11">
        <f>IFERROR(IF(MARÍTIMOS[[#This Row],[Etapa Ingreso - Cita]]="","",MARÍTIMOS[[#This Row],[Etapa Ingreso - Cita]]),"")</f>
        <v>46248</v>
      </c>
      <c r="AI28" s="11">
        <f>IFERROR(IF(MARÍTIMOS[[#This Row],[Etapa Ingreso - Llegada]]="","",MARÍTIMOS[[#This Row],[Etapa Ingreso - Llegada]]),"")</f>
        <v>46248.140277777777</v>
      </c>
      <c r="AJ28" s="11">
        <f>IFERROR(IF(MARÍTIMOS[[#This Row],[Etapa Ingreso - Ingeso]]="","",MARÍTIMOS[[#This Row],[Etapa Ingreso - Ingeso]]),"")</f>
        <v>46248.15902777778</v>
      </c>
      <c r="AK28" s="11">
        <f>IFERROR(IF(MARÍTIMOS[[#This Row],[Etapa Ingreso - Atención]]="","",MARÍTIMOS[[#This Row],[Etapa Ingreso - Atención]]),"")</f>
        <v>46248.163194444445</v>
      </c>
      <c r="AL28" s="11">
        <f>IFERROR(IF(MARÍTIMOS[[#This Row],[Etapa Ingreso - Salida]]="","",MARÍTIMOS[[#This Row],[Etapa Ingreso - Salida]]),"")</f>
        <v>46248.169444444444</v>
      </c>
      <c r="AM28" s="2">
        <f>IFERROR(IF(MARÍTIMOS[[#This Row],[FCL]]="","",MARÍTIMOS[[#This Row],[FCL]]),"")</f>
        <v>1</v>
      </c>
      <c r="AN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" s="4" t="str" cm="1">
        <f t="array" ref="AO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" s="5">
        <f>IFERROR(OLDBD[[#This Row],[Llegada a packing]]-OLDBD[[#This Row],[Inicio de Ruta]],"")</f>
        <v>0.59652777777955635</v>
      </c>
      <c r="AQ28" s="6">
        <f>IFERROR(OLDBD[[#This Row],[Inicio de Ruta]]-OLDBD[[#This Row],[Salida de almacén de retiro]],"")</f>
        <v>2.0833333328482695E-2</v>
      </c>
      <c r="AR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8" s="8" t="str" cm="1">
        <f t="array" ref="AS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" s="9">
        <f>IFERROR(OLDBD[[#This Row],[Ingreso Packing]]-OLDBD[[#This Row],[Registro en Packing]],"")</f>
        <v>1.3194444443797693E-2</v>
      </c>
      <c r="AV28" s="9">
        <f>IFERROR(OLDBD[[#This Row],[Ingreso Packing]]-OLDBD[[#This Row],[Llegada a packing]],"")</f>
        <v>2.0833333335758653E-2</v>
      </c>
      <c r="AW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8" s="5">
        <f>IFERROR(OLDBD[[#This Row],[Llegada Almacén de Ingreso]]-OLDBD[[#This Row],[Salida Packing]],"")</f>
        <v>0.50833333333139308</v>
      </c>
      <c r="AY28" s="4" t="str" cm="1">
        <f t="array" ref="AY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" s="43" t="s">
        <v>173</v>
      </c>
      <c r="BB28" s="47" t="str">
        <f>IFERROR(IF(MARÍTIMOS[[#This Row],[Estatus]]="","",MARÍTIMOS[[#This Row],[Estatus]]),"")</f>
        <v>Confirmado</v>
      </c>
      <c r="BC28" s="43"/>
      <c r="BD28" s="46">
        <f>IFERROR(OLDBD[[#This Row],[Salida de almacén de retiro]]-OLDBD[[#This Row],[Ingreso Almacén de retiro]],"")</f>
        <v>1.3888888890505768E-2</v>
      </c>
      <c r="BE28" s="46">
        <f>IFERROR(OLDBD[[#This Row],[Fin de Carga]]-OLDBD[[#This Row],[Inicio de Carga]],"")</f>
        <v>1.8750000002910383E-2</v>
      </c>
    </row>
    <row r="29" spans="1:57" customFormat="1" hidden="1">
      <c r="A29" s="1"/>
      <c r="B29" s="1">
        <f>IFERROR(IF(MARÍTIMOS[[#This Row],[PP]]="","",MARÍTIMOS[[#This Row],[PP]]),"")</f>
        <v>33</v>
      </c>
      <c r="C29" s="1" t="str">
        <f>IFERROR(IF(MARÍTIMOS[[#This Row],[Sede]]="","",MARÍTIMOS[[#This Row],[Sede]]),"")</f>
        <v>Chao</v>
      </c>
      <c r="D29" s="1" t="str">
        <f>IFERROR(IF(MARÍTIMOS[[#This Row],[Instruction]]="","",MARÍTIMOS[[#This Row],[Instruction]]),"")</f>
        <v>RH-0480</v>
      </c>
      <c r="E29" s="1"/>
      <c r="F29" s="2" t="str">
        <f>IFERROR(IF(MARÍTIMOS[[#This Row],[Transportista]]="","",MARÍTIMOS[[#This Row],[Transportista]]),"")</f>
        <v>Cititrans</v>
      </c>
      <c r="G29" s="2" t="str">
        <f>IFERROR(IF(MARÍTIMOS[[#This Row],[Tercero]]="","",MARÍTIMOS[[#This Row],[Tercero]]),"")</f>
        <v>NO</v>
      </c>
      <c r="H29" s="2" t="str">
        <f>IFERROR(IF(MARÍTIMOS[[#This Row],[Razón Social]]="","",MARÍTIMOS[[#This Row],[Razón Social]]),"")</f>
        <v>CITITRANS</v>
      </c>
      <c r="I29" s="2">
        <f>IFERROR(IF(MARÍTIMOS[[#This Row],[RUC]]="","",MARÍTIMOS[[#This Row],[RUC]]),"")</f>
        <v>20609553376</v>
      </c>
      <c r="J29" s="2" t="str">
        <f>IFERROR(IF(MARÍTIMOS[[#This Row],[Placa Tracto]]="","",MARÍTIMOS[[#This Row],[Placa Tracto]]),"")</f>
        <v>CHG934</v>
      </c>
      <c r="K29" s="2" t="str">
        <f>IFERROR(IF(MARÍTIMOS[[#This Row],[Placa Carreta]]="","",MARÍTIMOS[[#This Row],[Placa Carreta]]),"")</f>
        <v>BUT982</v>
      </c>
      <c r="L29" s="44" t="str">
        <f>IFERROR(IF(MARÍTIMOS[[#This Row],[Conductor]]="","",MARÍTIMOS[[#This Row],[Conductor]]),"")</f>
        <v>DAVID MOISES UBALDO BONILLA</v>
      </c>
      <c r="M29" s="2" t="str">
        <f>IFERROR(IF(MARÍTIMOS[[#This Row],[Licencia]]="","",MARÍTIMOS[[#This Row],[Licencia]]),"")</f>
        <v>K80652280</v>
      </c>
      <c r="N29" s="2" t="str">
        <f>IFERROR(IF(MARÍTIMOS[[#This Row],[Número de Contacto]]="","",MARÍTIMOS[[#This Row],[Número de Contacto]]),"")</f>
        <v>967 332 808</v>
      </c>
      <c r="O29" s="10" t="str">
        <f>IFERROR(IF(MARÍTIMOS[[#This Row],[Booking|AWB|CRT]]="","",MARÍTIMOS[[#This Row],[Booking|AWB|CRT]]),"")</f>
        <v>751600044424</v>
      </c>
      <c r="P29" s="2" t="str">
        <f>IFERROR(IF(MARÍTIMOS[[#This Row],[Contenedor]]="","",MARÍTIMOS[[#This Row],[Contenedor]]),"")</f>
        <v>EMCU5415630</v>
      </c>
      <c r="Q29" s="2" t="str">
        <f>IFERROR(IF(MARÍTIMOS[[#This Row],[Puerto de Retiro]]="","",MARÍTIMOS[[#This Row],[Puerto de Retiro]]),"")</f>
        <v>CALLAO</v>
      </c>
      <c r="R29" s="2" t="str">
        <f>IFERROR(IF(MARÍTIMOS[[#This Row],[Almacén de Retiro]]="","",MARÍTIMOS[[#This Row],[Almacén de Retiro]]),"")</f>
        <v>DPW</v>
      </c>
      <c r="S29" s="11">
        <f>IFERROR(IF(MARÍTIMOS[[#This Row],[Etapa Retiro - Cita]]="","",MARÍTIMOS[[#This Row],[Etapa Retiro - Cita]]),"")</f>
        <v>46249.708333333336</v>
      </c>
      <c r="T29" s="11">
        <f>IFERROR(IF(MARÍTIMOS[[#This Row],[Etapa Retiro - Llegada]]="","",MARÍTIMOS[[#This Row],[Etapa Retiro - Llegada]]),"")</f>
        <v>46249.760416666664</v>
      </c>
      <c r="U29" s="11">
        <f>IFERROR(IF(MARÍTIMOS[[#This Row],[Etapa Retiro - Ingreso]]="","",MARÍTIMOS[[#This Row],[Etapa Retiro - Ingreso]]),"")</f>
        <v>46249.853472222225</v>
      </c>
      <c r="V29" s="11">
        <f>IFERROR(IF(MARÍTIMOS[[#This Row],[Etapa Retiro - Atención]]="","",MARÍTIMOS[[#This Row],[Etapa Retiro - Atención]]),"")</f>
        <v>46249.888888888891</v>
      </c>
      <c r="W29" s="11">
        <f>IFERROR(IF(MARÍTIMOS[[#This Row],[Etapa Retiro - Atención]]="","",MARÍTIMOS[[#This Row],[Etapa Retiro - Atención]]),"")</f>
        <v>46249.888888888891</v>
      </c>
      <c r="X29" s="11">
        <f>IFERROR(IF(MARÍTIMOS[[#This Row],[Etapa Retiro - Inicio de Ruta]]="","",MARÍTIMOS[[#This Row],[Etapa Retiro - Inicio de Ruta]]),"")</f>
        <v>46249.93472222222</v>
      </c>
      <c r="Y29" s="11">
        <f>IFERROR(IF(MARÍTIMOS[[#This Row],[Hora de Posicionamiento]]="","",MARÍTIMOS[[#This Row],[Fecha de Carga]]+MARÍTIMOS[[#This Row],[Hora de Posicionamiento]]),"")</f>
        <v>46250.5</v>
      </c>
      <c r="Z29" s="11">
        <f>IFERROR(IF(MARÍTIMOS[[#This Row],[Etapa Despacho - Llegada]]="","",MARÍTIMOS[[#This Row],[Etapa Despacho - Llegada]]),"")</f>
        <v>46250.588888888888</v>
      </c>
      <c r="AA29" s="11">
        <f>IFERROR(IF(MARÍTIMOS[[#This Row],[Etapa Despacho - Registro]]="","",MARÍTIMOS[[#This Row],[Etapa Despacho - Registro]]),"")</f>
        <v>46250.595833333333</v>
      </c>
      <c r="AB29" s="11">
        <f>IFERROR(IF(MARÍTIMOS[[#This Row],[Inspección Externa]]="","",MARÍTIMOS[[#This Row],[Inspección Externa]]),"")</f>
        <v>46250.61041666667</v>
      </c>
      <c r="AC29" s="11">
        <f>IFERROR(IF(MARÍTIMOS[[#This Row],[Etapa Despacho - Inicio de Carga]]="","",MARÍTIMOS[[#This Row],[Etapa Despacho - Inicio de Carga]]),"")</f>
        <v>46250.657638888886</v>
      </c>
      <c r="AD29" s="11">
        <f>IFERROR(IF(MARÍTIMOS[[#This Row],[Etapa Despacho - Mitad de Carga]]="","",MARÍTIMOS[[#This Row],[Etapa Despacho - Mitad de Carga]]),"")</f>
        <v>46250.703472222223</v>
      </c>
      <c r="AE29" s="11">
        <f>IFERROR(IF(MARÍTIMOS[[#This Row],[Etapa Despacho - Fin de Carga]]="","",MARÍTIMOS[[#This Row],[Etapa Despacho - Fin de Carga]]),"")</f>
        <v>46250.75</v>
      </c>
      <c r="AF29" s="2" t="str">
        <f>IFERROR(IF(MARÍTIMOS[[#This Row],[Puerto de Embarque]]="","",MARÍTIMOS[[#This Row],[Puerto de Embarque]]),"")</f>
        <v>CALLAO</v>
      </c>
      <c r="AG29" s="2" t="str">
        <f>IFERROR(IF(MARÍTIMOS[[#This Row],[Almacén de Ingreso]]="","",MARÍTIMOS[[#This Row],[Almacén de Ingreso]]),"")</f>
        <v>DPW</v>
      </c>
      <c r="AH29" s="11">
        <f>IFERROR(IF(MARÍTIMOS[[#This Row],[Etapa Ingreso - Cita]]="","",MARÍTIMOS[[#This Row],[Etapa Ingreso - Cita]]),"")</f>
        <v>46251.583333333336</v>
      </c>
      <c r="AI29" s="11">
        <f>IFERROR(IF(MARÍTIMOS[[#This Row],[Etapa Ingreso - Llegada]]="","",MARÍTIMOS[[#This Row],[Etapa Ingreso - Llegada]]),"")</f>
        <v>46251.661805555559</v>
      </c>
      <c r="AJ29" s="11">
        <f>IFERROR(IF(MARÍTIMOS[[#This Row],[Etapa Ingreso - Ingeso]]="","",MARÍTIMOS[[#This Row],[Etapa Ingreso - Ingeso]]),"")</f>
        <v>46251.728472222225</v>
      </c>
      <c r="AK29" s="11">
        <f>IFERROR(IF(MARÍTIMOS[[#This Row],[Etapa Ingreso - Atención]]="","",MARÍTIMOS[[#This Row],[Etapa Ingreso - Atención]]),"")</f>
        <v>46251.732638888891</v>
      </c>
      <c r="AL29" s="11">
        <f>IFERROR(IF(MARÍTIMOS[[#This Row],[Etapa Ingreso - Salida]]="","",MARÍTIMOS[[#This Row],[Etapa Ingreso - Salida]]),"")</f>
        <v>46251.738194444442</v>
      </c>
      <c r="AM29" s="2">
        <f>IFERROR(IF(MARÍTIMOS[[#This Row],[FCL]]="","",MARÍTIMOS[[#This Row],[FCL]]),"")</f>
        <v>1</v>
      </c>
      <c r="AN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" s="4" t="str" cm="1">
        <f t="array" ref="AO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" s="5">
        <f>IFERROR(OLDBD[[#This Row],[Llegada a packing]]-OLDBD[[#This Row],[Inicio de Ruta]],"")</f>
        <v>0.65416666666715173</v>
      </c>
      <c r="AQ29" s="6">
        <f>IFERROR(OLDBD[[#This Row],[Inicio de Ruta]]-OLDBD[[#This Row],[Salida de almacén de retiro]],"")</f>
        <v>4.5833333329937886E-2</v>
      </c>
      <c r="AR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9" s="8" t="str" cm="1">
        <f t="array" ref="AS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" s="9">
        <f>IFERROR(OLDBD[[#This Row],[Ingreso Packing]]-OLDBD[[#This Row],[Registro en Packing]],"")</f>
        <v>1.4583333337213844E-2</v>
      </c>
      <c r="AV29" s="9">
        <f>IFERROR(OLDBD[[#This Row],[Ingreso Packing]]-OLDBD[[#This Row],[Llegada a packing]],"")</f>
        <v>2.1527777782466728E-2</v>
      </c>
      <c r="AW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9" s="5">
        <f>IFERROR(OLDBD[[#This Row],[Llegada Almacén de Ingreso]]-OLDBD[[#This Row],[Salida Packing]],"")</f>
        <v>0.91180555555911269</v>
      </c>
      <c r="AY29" s="4" t="str" cm="1">
        <f t="array" ref="AY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" s="43" t="s">
        <v>173</v>
      </c>
      <c r="BB29" s="47" t="str">
        <f>IFERROR(IF(MARÍTIMOS[[#This Row],[Estatus]]="","",MARÍTIMOS[[#This Row],[Estatus]]),"")</f>
        <v>Confirmado</v>
      </c>
      <c r="BC29" s="43"/>
      <c r="BD29" s="46">
        <f>IFERROR(OLDBD[[#This Row],[Salida de almacén de retiro]]-OLDBD[[#This Row],[Ingreso Almacén de retiro]],"")</f>
        <v>3.5416666665696539E-2</v>
      </c>
      <c r="BE29" s="46">
        <f>IFERROR(OLDBD[[#This Row],[Fin de Carga]]-OLDBD[[#This Row],[Inicio de Carga]],"")</f>
        <v>4.5833333337213844E-2</v>
      </c>
    </row>
    <row r="30" spans="1:57" customFormat="1" hidden="1">
      <c r="A30" s="1"/>
      <c r="B30" s="1">
        <f>IFERROR(IF(MARÍTIMOS[[#This Row],[PP]]="","",MARÍTIMOS[[#This Row],[PP]]),"")</f>
        <v>33</v>
      </c>
      <c r="C30" s="1" t="str">
        <f>IFERROR(IF(MARÍTIMOS[[#This Row],[Sede]]="","",MARÍTIMOS[[#This Row],[Sede]]),"")</f>
        <v>Chao</v>
      </c>
      <c r="D30" s="1" t="str">
        <f>IFERROR(IF(MARÍTIMOS[[#This Row],[Instruction]]="","",MARÍTIMOS[[#This Row],[Instruction]]),"")</f>
        <v>RH-0481</v>
      </c>
      <c r="E30" s="1"/>
      <c r="F30" s="2" t="str">
        <f>IFERROR(IF(MARÍTIMOS[[#This Row],[Transportista]]="","",MARÍTIMOS[[#This Row],[Transportista]]),"")</f>
        <v>Cititrans</v>
      </c>
      <c r="G30" s="2" t="str">
        <f>IFERROR(IF(MARÍTIMOS[[#This Row],[Tercero]]="","",MARÍTIMOS[[#This Row],[Tercero]]),"")</f>
        <v>SI</v>
      </c>
      <c r="H30" s="2" t="str">
        <f>IFERROR(IF(MARÍTIMOS[[#This Row],[Razón Social]]="","",MARÍTIMOS[[#This Row],[Razón Social]]),"")</f>
        <v>RE TRANSPORTS</v>
      </c>
      <c r="I30" s="2">
        <f>IFERROR(IF(MARÍTIMOS[[#This Row],[RUC]]="","",MARÍTIMOS[[#This Row],[RUC]]),"")</f>
        <v>20600489535</v>
      </c>
      <c r="J30" s="2" t="str">
        <f>IFERROR(IF(MARÍTIMOS[[#This Row],[Placa Tracto]]="","",MARÍTIMOS[[#This Row],[Placa Tracto]]),"")</f>
        <v>D4M-901</v>
      </c>
      <c r="K30" s="2" t="str">
        <f>IFERROR(IF(MARÍTIMOS[[#This Row],[Placa Carreta]]="","",MARÍTIMOS[[#This Row],[Placa Carreta]]),"")</f>
        <v>B2E-984</v>
      </c>
      <c r="L30" s="44" t="str">
        <f>IFERROR(IF(MARÍTIMOS[[#This Row],[Conductor]]="","",MARÍTIMOS[[#This Row],[Conductor]]),"")</f>
        <v>HENRY VICENTE PRADA</v>
      </c>
      <c r="M30" s="2" t="str">
        <f>IFERROR(IF(MARÍTIMOS[[#This Row],[Licencia]]="","",MARÍTIMOS[[#This Row],[Licencia]]),"")</f>
        <v>Q09483810</v>
      </c>
      <c r="N30" s="2" t="str">
        <f>IFERROR(IF(MARÍTIMOS[[#This Row],[Número de Contacto]]="","",MARÍTIMOS[[#This Row],[Número de Contacto]]),"")</f>
        <v>992 157 075</v>
      </c>
      <c r="O30" s="10" t="str">
        <f>IFERROR(IF(MARÍTIMOS[[#This Row],[Booking|AWB|CRT]]="","",MARÍTIMOS[[#This Row],[Booking|AWB|CRT]]),"")</f>
        <v>751600044432</v>
      </c>
      <c r="P30" s="2" t="str">
        <f>IFERROR(IF(MARÍTIMOS[[#This Row],[Contenedor]]="","",MARÍTIMOS[[#This Row],[Contenedor]]),"")</f>
        <v>EMCU5595470</v>
      </c>
      <c r="Q30" s="2" t="str">
        <f>IFERROR(IF(MARÍTIMOS[[#This Row],[Puerto de Retiro]]="","",MARÍTIMOS[[#This Row],[Puerto de Retiro]]),"")</f>
        <v>CALLAO</v>
      </c>
      <c r="R30" s="2" t="str">
        <f>IFERROR(IF(MARÍTIMOS[[#This Row],[Almacén de Retiro]]="","",MARÍTIMOS[[#This Row],[Almacén de Retiro]]),"")</f>
        <v>DPW</v>
      </c>
      <c r="S30" s="11">
        <f>IFERROR(IF(MARÍTIMOS[[#This Row],[Etapa Retiro - Cita]]="","",MARÍTIMOS[[#This Row],[Etapa Retiro - Cita]]),"")</f>
        <v>46250</v>
      </c>
      <c r="T30" s="11">
        <f>IFERROR(IF(MARÍTIMOS[[#This Row],[Etapa Retiro - Llegada]]="","",MARÍTIMOS[[#This Row],[Etapa Retiro - Llegada]]),"")</f>
        <v>46250.680555555555</v>
      </c>
      <c r="U30" s="11">
        <f>IFERROR(IF(MARÍTIMOS[[#This Row],[Etapa Retiro - Ingreso]]="","",MARÍTIMOS[[#This Row],[Etapa Retiro - Ingreso]]),"")</f>
        <v>46250.681944444441</v>
      </c>
      <c r="V30" s="11">
        <f>IFERROR(IF(MARÍTIMOS[[#This Row],[Etapa Retiro - Atención]]="","",MARÍTIMOS[[#This Row],[Etapa Retiro - Atención]]),"")</f>
        <v>46250.739583333336</v>
      </c>
      <c r="W30" s="11">
        <f>IFERROR(IF(MARÍTIMOS[[#This Row],[Etapa Retiro - Atención]]="","",MARÍTIMOS[[#This Row],[Etapa Retiro - Atención]]),"")</f>
        <v>46250.739583333336</v>
      </c>
      <c r="X30" s="11">
        <f>IFERROR(IF(MARÍTIMOS[[#This Row],[Etapa Retiro - Inicio de Ruta]]="","",MARÍTIMOS[[#This Row],[Etapa Retiro - Inicio de Ruta]]),"")</f>
        <v>46250.75</v>
      </c>
      <c r="Y30" s="11">
        <f>IFERROR(IF(MARÍTIMOS[[#This Row],[Hora de Posicionamiento]]="","",MARÍTIMOS[[#This Row],[Fecha de Carga]]+MARÍTIMOS[[#This Row],[Hora de Posicionamiento]]),"")</f>
        <v>46251.5</v>
      </c>
      <c r="Z30" s="11">
        <f>IFERROR(IF(MARÍTIMOS[[#This Row],[Etapa Despacho - Llegada]]="","",MARÍTIMOS[[#This Row],[Etapa Despacho - Llegada]]),"")</f>
        <v>46251.518055555556</v>
      </c>
      <c r="AA30" s="11">
        <f>IFERROR(IF(MARÍTIMOS[[#This Row],[Etapa Despacho - Registro]]="","",MARÍTIMOS[[#This Row],[Etapa Despacho - Registro]]),"")</f>
        <v>46251.524305555555</v>
      </c>
      <c r="AB30" s="11">
        <f>IFERROR(IF(MARÍTIMOS[[#This Row],[Inspección Externa]]="","",MARÍTIMOS[[#This Row],[Inspección Externa]]),"")</f>
        <v>46251.600694444445</v>
      </c>
      <c r="AC30" s="11">
        <f>IFERROR(IF(MARÍTIMOS[[#This Row],[Etapa Despacho - Inicio de Carga]]="","",MARÍTIMOS[[#This Row],[Etapa Despacho - Inicio de Carga]]),"")</f>
        <v>46251.677083333336</v>
      </c>
      <c r="AD30" s="11">
        <f>IFERROR(IF(MARÍTIMOS[[#This Row],[Etapa Despacho - Mitad de Carga]]="","",MARÍTIMOS[[#This Row],[Etapa Despacho - Mitad de Carga]]),"")</f>
        <v>46251.690972222219</v>
      </c>
      <c r="AE30" s="11">
        <f>IFERROR(IF(MARÍTIMOS[[#This Row],[Etapa Despacho - Fin de Carga]]="","",MARÍTIMOS[[#This Row],[Etapa Despacho - Fin de Carga]]),"")</f>
        <v>46251.704861111109</v>
      </c>
      <c r="AF30" s="2" t="str">
        <f>IFERROR(IF(MARÍTIMOS[[#This Row],[Puerto de Embarque]]="","",MARÍTIMOS[[#This Row],[Puerto de Embarque]]),"")</f>
        <v>CALLAO</v>
      </c>
      <c r="AG30" s="2" t="str">
        <f>IFERROR(IF(MARÍTIMOS[[#This Row],[Almacén de Ingreso]]="","",MARÍTIMOS[[#This Row],[Almacén de Ingreso]]),"")</f>
        <v>DPW</v>
      </c>
      <c r="AH30" s="11">
        <f>IFERROR(IF(MARÍTIMOS[[#This Row],[Etapa Ingreso - Cita]]="","",MARÍTIMOS[[#This Row],[Etapa Ingreso - Cita]]),"")</f>
        <v>46252.541666666664</v>
      </c>
      <c r="AI30" s="11">
        <f>IFERROR(IF(MARÍTIMOS[[#This Row],[Etapa Ingreso - Llegada]]="","",MARÍTIMOS[[#This Row],[Etapa Ingreso - Llegada]]),"")</f>
        <v>46252.518055555556</v>
      </c>
      <c r="AJ30" s="11">
        <f>IFERROR(IF(MARÍTIMOS[[#This Row],[Etapa Ingreso - Ingeso]]="","",MARÍTIMOS[[#This Row],[Etapa Ingreso - Ingeso]]),"")</f>
        <v>46252.598611111112</v>
      </c>
      <c r="AK30" s="11">
        <f>IFERROR(IF(MARÍTIMOS[[#This Row],[Etapa Ingreso - Atención]]="","",MARÍTIMOS[[#This Row],[Etapa Ingreso - Atención]]),"")</f>
        <v>46252.602777777778</v>
      </c>
      <c r="AL30" s="11">
        <f>IFERROR(IF(MARÍTIMOS[[#This Row],[Etapa Ingreso - Salida]]="","",MARÍTIMOS[[#This Row],[Etapa Ingreso - Salida]]),"")</f>
        <v>46252.605555555558</v>
      </c>
      <c r="AM30" s="2">
        <f>IFERROR(IF(MARÍTIMOS[[#This Row],[FCL]]="","",MARÍTIMOS[[#This Row],[FCL]]),"")</f>
        <v>1</v>
      </c>
      <c r="AN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0" s="4" t="str" cm="1">
        <f t="array" ref="AO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" s="5">
        <f>IFERROR(OLDBD[[#This Row],[Llegada a packing]]-OLDBD[[#This Row],[Inicio de Ruta]],"")</f>
        <v>0.76805555555620231</v>
      </c>
      <c r="AQ30" s="6">
        <f>IFERROR(OLDBD[[#This Row],[Inicio de Ruta]]-OLDBD[[#This Row],[Salida de almacén de retiro]],"")</f>
        <v>1.0416666664241347E-2</v>
      </c>
      <c r="AR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0" s="8" t="str" cm="1">
        <f t="array" ref="AS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0" s="9">
        <f>IFERROR(OLDBD[[#This Row],[Ingreso Packing]]-OLDBD[[#This Row],[Registro en Packing]],"")</f>
        <v>7.6388888890505768E-2</v>
      </c>
      <c r="AV30" s="9">
        <f>IFERROR(OLDBD[[#This Row],[Ingreso Packing]]-OLDBD[[#This Row],[Llegada a packing]],"")</f>
        <v>8.2638888889050577E-2</v>
      </c>
      <c r="AW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" s="5">
        <f>IFERROR(OLDBD[[#This Row],[Llegada Almacén de Ingreso]]-OLDBD[[#This Row],[Salida Packing]],"")</f>
        <v>0.81319444444670808</v>
      </c>
      <c r="AY30" s="4" t="str" cm="1">
        <f t="array" ref="AY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0" s="43" t="s">
        <v>173</v>
      </c>
      <c r="BB30" s="47" t="str">
        <f>IFERROR(IF(MARÍTIMOS[[#This Row],[Estatus]]="","",MARÍTIMOS[[#This Row],[Estatus]]),"")</f>
        <v>Confirmado</v>
      </c>
      <c r="BC30" s="43"/>
      <c r="BD30" s="46">
        <f>IFERROR(OLDBD[[#This Row],[Salida de almacén de retiro]]-OLDBD[[#This Row],[Ingreso Almacén de retiro]],"")</f>
        <v>5.7638888894871343E-2</v>
      </c>
      <c r="BE30" s="46">
        <f>IFERROR(OLDBD[[#This Row],[Fin de Carga]]-OLDBD[[#This Row],[Inicio de Carga]],"")</f>
        <v>1.3888888883229811E-2</v>
      </c>
    </row>
    <row r="31" spans="1:57" customFormat="1" hidden="1">
      <c r="A31" s="1"/>
      <c r="B31" s="1">
        <f>IFERROR(IF(MARÍTIMOS[[#This Row],[PP]]="","",MARÍTIMOS[[#This Row],[PP]]),"")</f>
        <v>34</v>
      </c>
      <c r="C31" s="1" t="str">
        <f>IFERROR(IF(MARÍTIMOS[[#This Row],[Sede]]="","",MARÍTIMOS[[#This Row],[Sede]]),"")</f>
        <v>Chao</v>
      </c>
      <c r="D31" s="1" t="str">
        <f>IFERROR(IF(MARÍTIMOS[[#This Row],[Instruction]]="","",MARÍTIMOS[[#This Row],[Instruction]]),"")</f>
        <v>RH-0546</v>
      </c>
      <c r="E31" s="1"/>
      <c r="F31" s="2" t="str">
        <f>IFERROR(IF(MARÍTIMOS[[#This Row],[Transportista]]="","",MARÍTIMOS[[#This Row],[Transportista]]),"")</f>
        <v>Cititrans</v>
      </c>
      <c r="G31" s="2" t="str">
        <f>IFERROR(IF(MARÍTIMOS[[#This Row],[Tercero]]="","",MARÍTIMOS[[#This Row],[Tercero]]),"")</f>
        <v>NO</v>
      </c>
      <c r="H31" s="2" t="str">
        <f>IFERROR(IF(MARÍTIMOS[[#This Row],[Razón Social]]="","",MARÍTIMOS[[#This Row],[Razón Social]]),"")</f>
        <v>CITITRANS</v>
      </c>
      <c r="I31" s="2">
        <f>IFERROR(IF(MARÍTIMOS[[#This Row],[RUC]]="","",MARÍTIMOS[[#This Row],[RUC]]),"")</f>
        <v>20609553376</v>
      </c>
      <c r="J31" s="2" t="str">
        <f>IFERROR(IF(MARÍTIMOS[[#This Row],[Placa Tracto]]="","",MARÍTIMOS[[#This Row],[Placa Tracto]]),"")</f>
        <v>CNB-837</v>
      </c>
      <c r="K31" s="2" t="str">
        <f>IFERROR(IF(MARÍTIMOS[[#This Row],[Placa Carreta]]="","",MARÍTIMOS[[#This Row],[Placa Carreta]]),"")</f>
        <v>BZR-976</v>
      </c>
      <c r="L31" s="44" t="str">
        <f>IFERROR(IF(MARÍTIMOS[[#This Row],[Conductor]]="","",MARÍTIMOS[[#This Row],[Conductor]]),"")</f>
        <v>HECTOR JOSEMETERIO MARTINEZ JIMENEZ</v>
      </c>
      <c r="M31" s="2" t="str">
        <f>IFERROR(IF(MARÍTIMOS[[#This Row],[Licencia]]="","",MARÍTIMOS[[#This Row],[Licencia]]),"")</f>
        <v>Q002061946</v>
      </c>
      <c r="N31" s="2" t="str">
        <f>IFERROR(IF(MARÍTIMOS[[#This Row],[Número de Contacto]]="","",MARÍTIMOS[[#This Row],[Número de Contacto]]),"")</f>
        <v>962 394 123</v>
      </c>
      <c r="O31" s="10">
        <f>IFERROR(IF(MARÍTIMOS[[#This Row],[Booking|AWB|CRT]]="","",MARÍTIMOS[[#This Row],[Booking|AWB|CRT]]),"")</f>
        <v>751600045978</v>
      </c>
      <c r="P31" s="2" t="str">
        <f>IFERROR(IF(MARÍTIMOS[[#This Row],[Contenedor]]="","",MARÍTIMOS[[#This Row],[Contenedor]]),"")</f>
        <v>EMCU5467989</v>
      </c>
      <c r="Q31" s="2" t="str">
        <f>IFERROR(IF(MARÍTIMOS[[#This Row],[Puerto de Retiro]]="","",MARÍTIMOS[[#This Row],[Puerto de Retiro]]),"")</f>
        <v>CALLAO</v>
      </c>
      <c r="R31" s="2" t="str">
        <f>IFERROR(IF(MARÍTIMOS[[#This Row],[Almacén de Retiro]]="","",MARÍTIMOS[[#This Row],[Almacén de Retiro]]),"")</f>
        <v>DPW</v>
      </c>
      <c r="S31" s="11">
        <f>IFERROR(IF(MARÍTIMOS[[#This Row],[Etapa Retiro - Cita]]="","",MARÍTIMOS[[#This Row],[Etapa Retiro - Cita]]),"")</f>
        <v>46257.583333333336</v>
      </c>
      <c r="T31" s="11">
        <f>IFERROR(IF(MARÍTIMOS[[#This Row],[Etapa Retiro - Llegada]]="","",MARÍTIMOS[[#This Row],[Etapa Retiro - Llegada]]),"")</f>
        <v>46257.589583333334</v>
      </c>
      <c r="U31" s="11">
        <f>IFERROR(IF(MARÍTIMOS[[#This Row],[Etapa Retiro - Ingreso]]="","",MARÍTIMOS[[#This Row],[Etapa Retiro - Ingreso]]),"")</f>
        <v>46257.594444444447</v>
      </c>
      <c r="V31" s="11">
        <f>IFERROR(IF(MARÍTIMOS[[#This Row],[Etapa Retiro - Atención]]="","",MARÍTIMOS[[#This Row],[Etapa Retiro - Atención]]),"")</f>
        <v>46257.655555555553</v>
      </c>
      <c r="W31" s="11">
        <f>IFERROR(IF(MARÍTIMOS[[#This Row],[Etapa Retiro - Atención]]="","",MARÍTIMOS[[#This Row],[Etapa Retiro - Atención]]),"")</f>
        <v>46257.655555555553</v>
      </c>
      <c r="X31" s="11">
        <v>46257.663888888892</v>
      </c>
      <c r="Y31" s="11">
        <f>IFERROR(IF(MARÍTIMOS[[#This Row],[Hora de Posicionamiento]]="","",MARÍTIMOS[[#This Row],[Fecha de Carga]]+MARÍTIMOS[[#This Row],[Hora de Posicionamiento]]),"")</f>
        <v>46258.5</v>
      </c>
      <c r="Z31" s="11">
        <f>IFERROR(IF(MARÍTIMOS[[#This Row],[Etapa Despacho - Llegada]]="","",MARÍTIMOS[[#This Row],[Etapa Despacho - Llegada]]),"")</f>
        <v>46258.289583333331</v>
      </c>
      <c r="AA31" s="11">
        <f>IFERROR(IF(MARÍTIMOS[[#This Row],[Etapa Despacho - Registro]]="","",MARÍTIMOS[[#This Row],[Etapa Despacho - Registro]]),"")</f>
        <v>46258.293055555558</v>
      </c>
      <c r="AB31" s="11">
        <f>IFERROR(IF(MARÍTIMOS[[#This Row],[Inspección Externa]]="","",MARÍTIMOS[[#This Row],[Inspección Externa]]),"")</f>
        <v>46258.354166666664</v>
      </c>
      <c r="AC31" s="11">
        <f>IFERROR(IF(MARÍTIMOS[[#This Row],[Etapa Despacho - Inicio de Carga]]="","",MARÍTIMOS[[#This Row],[Etapa Despacho - Inicio de Carga]]),"")</f>
        <v>46258.57708333333</v>
      </c>
      <c r="AD31" s="11">
        <f>IFERROR(IF(MARÍTIMOS[[#This Row],[Etapa Despacho - Mitad de Carga]]="","",MARÍTIMOS[[#This Row],[Etapa Despacho - Mitad de Carga]]),"")</f>
        <v>46258.583333333336</v>
      </c>
      <c r="AE31" s="11">
        <f>IFERROR(IF(MARÍTIMOS[[#This Row],[Etapa Despacho - Fin de Carga]]="","",MARÍTIMOS[[#This Row],[Etapa Despacho - Fin de Carga]]),"")</f>
        <v>46258.59652777778</v>
      </c>
      <c r="AF31" s="2" t="str">
        <f>IFERROR(IF(MARÍTIMOS[[#This Row],[Puerto de Embarque]]="","",MARÍTIMOS[[#This Row],[Puerto de Embarque]]),"")</f>
        <v>CALLAO</v>
      </c>
      <c r="AG31" s="2" t="str">
        <f>IFERROR(IF(MARÍTIMOS[[#This Row],[Almacén de Ingreso]]="","",MARÍTIMOS[[#This Row],[Almacén de Ingreso]]),"")</f>
        <v>DPW</v>
      </c>
      <c r="AH31" s="11">
        <f>IFERROR(IF(MARÍTIMOS[[#This Row],[Etapa Ingreso - Cita]]="","",MARÍTIMOS[[#This Row],[Etapa Ingreso - Cita]]),"")</f>
        <v>46259.370833333334</v>
      </c>
      <c r="AI31" s="11">
        <f>IFERROR(IF(MARÍTIMOS[[#This Row],[Etapa Ingreso - Llegada]]="","",MARÍTIMOS[[#This Row],[Etapa Ingreso - Llegada]]),"")</f>
        <v>46259.416666666664</v>
      </c>
      <c r="AJ31" s="11">
        <f>IFERROR(IF(MARÍTIMOS[[#This Row],[Etapa Ingreso - Ingeso]]="","",MARÍTIMOS[[#This Row],[Etapa Ingreso - Ingeso]]),"")</f>
        <v>46259.395833333336</v>
      </c>
      <c r="AK31" s="11">
        <f>IFERROR(IF(MARÍTIMOS[[#This Row],[Etapa Ingreso - Atención]]="","",MARÍTIMOS[[#This Row],[Etapa Ingreso - Atención]]),"")</f>
        <v>46259.401388888888</v>
      </c>
      <c r="AL31" s="11">
        <f>IFERROR(IF(MARÍTIMOS[[#This Row],[Etapa Ingreso - Salida]]="","",MARÍTIMOS[[#This Row],[Etapa Ingreso - Salida]]),"")</f>
        <v>46259.415277777778</v>
      </c>
      <c r="AM31" s="2">
        <f>IFERROR(IF(MARÍTIMOS[[#This Row],[FCL]]="","",MARÍTIMOS[[#This Row],[FCL]]),"")</f>
        <v>1</v>
      </c>
      <c r="AN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" s="4" t="str" cm="1">
        <f t="array" ref="AO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" s="5">
        <f>IFERROR(OLDBD[[#This Row],[Llegada a packing]]-OLDBD[[#This Row],[Inicio de Ruta]],"")</f>
        <v>0.62569444443943212</v>
      </c>
      <c r="AQ31" s="6">
        <f>IFERROR(OLDBD[[#This Row],[Inicio de Ruta]]-OLDBD[[#This Row],[Salida de almacén de retiro]],"")</f>
        <v>8.3333333386690356E-3</v>
      </c>
      <c r="AR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" s="8" t="str" cm="1">
        <f t="array" ref="AS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" s="9">
        <f>IFERROR(OLDBD[[#This Row],[Ingreso Packing]]-OLDBD[[#This Row],[Registro en Packing]],"")</f>
        <v>6.1111111106583849E-2</v>
      </c>
      <c r="AV31" s="9">
        <f>IFERROR(OLDBD[[#This Row],[Ingreso Packing]]-OLDBD[[#This Row],[Llegada a packing]],"")</f>
        <v>6.4583333332848269E-2</v>
      </c>
      <c r="AW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1" s="5">
        <f>IFERROR(OLDBD[[#This Row],[Llegada Almacén de Ingreso]]-OLDBD[[#This Row],[Salida Packing]],"")</f>
        <v>0.820138888884685</v>
      </c>
      <c r="AY31" s="4" t="str" cm="1">
        <f t="array" ref="AY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" s="43" t="s">
        <v>173</v>
      </c>
      <c r="BB31" s="47" t="str">
        <f>IFERROR(IF(MARÍTIMOS[[#This Row],[Estatus]]="","",MARÍTIMOS[[#This Row],[Estatus]]),"")</f>
        <v>Confirmado</v>
      </c>
      <c r="BC31" s="43"/>
      <c r="BD31" s="46">
        <f>IFERROR(OLDBD[[#This Row],[Salida de almacén de retiro]]-OLDBD[[#This Row],[Ingreso Almacén de retiro]],"")</f>
        <v>6.1111111106583849E-2</v>
      </c>
      <c r="BE31" s="46">
        <f>IFERROR(OLDBD[[#This Row],[Fin de Carga]]-OLDBD[[#This Row],[Inicio de Carga]],"")</f>
        <v>6.2500000058207661E-3</v>
      </c>
    </row>
    <row r="32" spans="1:57" customFormat="1" hidden="1">
      <c r="A32" s="1"/>
      <c r="B32" s="1">
        <f>IFERROR(IF(MARÍTIMOS[[#This Row],[PP]]="","",MARÍTIMOS[[#This Row],[PP]]),"")</f>
        <v>35</v>
      </c>
      <c r="C32" s="1" t="str">
        <f>IFERROR(IF(MARÍTIMOS[[#This Row],[Sede]]="","",MARÍTIMOS[[#This Row],[Sede]]),"")</f>
        <v>Chao</v>
      </c>
      <c r="D32" s="1" t="str">
        <f>IFERROR(IF(MARÍTIMOS[[#This Row],[Instruction]]="","",MARÍTIMOS[[#This Row],[Instruction]]),"")</f>
        <v>RH-0637</v>
      </c>
      <c r="E32" s="1"/>
      <c r="F32" s="2" t="str">
        <f>IFERROR(IF(MARÍTIMOS[[#This Row],[Transportista]]="","",MARÍTIMOS[[#This Row],[Transportista]]),"")</f>
        <v>Cititrans</v>
      </c>
      <c r="G32" s="2" t="str">
        <f>IFERROR(IF(MARÍTIMOS[[#This Row],[Tercero]]="","",MARÍTIMOS[[#This Row],[Tercero]]),"")</f>
        <v>NO</v>
      </c>
      <c r="H32" s="2" t="str">
        <f>IFERROR(IF(MARÍTIMOS[[#This Row],[Razón Social]]="","",MARÍTIMOS[[#This Row],[Razón Social]]),"")</f>
        <v>CITITRANS</v>
      </c>
      <c r="I32" s="2">
        <f>IFERROR(IF(MARÍTIMOS[[#This Row],[RUC]]="","",MARÍTIMOS[[#This Row],[RUC]]),"")</f>
        <v>20609553376</v>
      </c>
      <c r="J32" s="2" t="str">
        <f>IFERROR(IF(MARÍTIMOS[[#This Row],[Placa Tracto]]="","",MARÍTIMOS[[#This Row],[Placa Tracto]]),"")</f>
        <v>BWP741</v>
      </c>
      <c r="K32" s="2" t="str">
        <f>IFERROR(IF(MARÍTIMOS[[#This Row],[Placa Carreta]]="","",MARÍTIMOS[[#This Row],[Placa Carreta]]),"")</f>
        <v>BJV974</v>
      </c>
      <c r="L32" s="44" t="str">
        <f>IFERROR(IF(MARÍTIMOS[[#This Row],[Conductor]]="","",MARÍTIMOS[[#This Row],[Conductor]]),"")</f>
        <v>BELITO QUISPE PABLO</v>
      </c>
      <c r="M32" s="2" t="str">
        <f>IFERROR(IF(MARÍTIMOS[[#This Row],[Licencia]]="","",MARÍTIMOS[[#This Row],[Licencia]]),"")</f>
        <v>Q08874793</v>
      </c>
      <c r="N32" s="2" t="str">
        <f>IFERROR(IF(MARÍTIMOS[[#This Row],[Número de Contacto]]="","",MARÍTIMOS[[#This Row],[Número de Contacto]]),"")</f>
        <v>908 943 241</v>
      </c>
      <c r="O32" s="10" t="str">
        <f>IFERROR(IF(MARÍTIMOS[[#This Row],[Booking|AWB|CRT]]="","",MARÍTIMOS[[#This Row],[Booking|AWB|CRT]]),"")</f>
        <v>751600048306.</v>
      </c>
      <c r="P32" s="2" t="str">
        <f>IFERROR(IF(MARÍTIMOS[[#This Row],[Contenedor]]="","",MARÍTIMOS[[#This Row],[Contenedor]]),"")</f>
        <v>EMCU5586139</v>
      </c>
      <c r="Q32" s="2" t="str">
        <f>IFERROR(IF(MARÍTIMOS[[#This Row],[Puerto de Retiro]]="","",MARÍTIMOS[[#This Row],[Puerto de Retiro]]),"")</f>
        <v>CALLAO</v>
      </c>
      <c r="R32" s="2" t="str">
        <f>IFERROR(IF(MARÍTIMOS[[#This Row],[Almacén de Retiro]]="","",MARÍTIMOS[[#This Row],[Almacén de Retiro]]),"")</f>
        <v>IMUPESA</v>
      </c>
      <c r="S32" s="11">
        <f>IFERROR(IF(MARÍTIMOS[[#This Row],[Etapa Retiro - Cita]]="","",MARÍTIMOS[[#This Row],[Etapa Retiro - Cita]]),"")</f>
        <v>46263.666666666664</v>
      </c>
      <c r="T32" s="11">
        <f>IFERROR(IF(MARÍTIMOS[[#This Row],[Etapa Retiro - Llegada]]="","",MARÍTIMOS[[#This Row],[Etapa Retiro - Llegada]]),"")</f>
        <v>46263.915277777778</v>
      </c>
      <c r="U32" s="11">
        <f>IFERROR(IF(MARÍTIMOS[[#This Row],[Etapa Retiro - Ingreso]]="","",MARÍTIMOS[[#This Row],[Etapa Retiro - Ingreso]]),"")</f>
        <v>46263.92083333333</v>
      </c>
      <c r="V32" s="11">
        <f>IFERROR(IF(MARÍTIMOS[[#This Row],[Etapa Retiro - Atención]]="","",MARÍTIMOS[[#This Row],[Etapa Retiro - Atención]]),"")</f>
        <v>46263.9375</v>
      </c>
      <c r="W32" s="11">
        <f>IFERROR(IF(MARÍTIMOS[[#This Row],[Etapa Retiro - Atención]]="","",MARÍTIMOS[[#This Row],[Etapa Retiro - Atención]]),"")</f>
        <v>46263.9375</v>
      </c>
      <c r="X32" s="11">
        <f>IFERROR(IF(MARÍTIMOS[[#This Row],[Etapa Retiro - Inicio de Ruta]]="","",MARÍTIMOS[[#This Row],[Etapa Retiro - Inicio de Ruta]]),"")</f>
        <v>46264.037499999999</v>
      </c>
      <c r="Y32" s="11">
        <f>IFERROR(IF(MARÍTIMOS[[#This Row],[Hora de Posicionamiento]]="","",MARÍTIMOS[[#This Row],[Fecha de Carga]]+MARÍTIMOS[[#This Row],[Hora de Posicionamiento]]),"")</f>
        <v>46295.583333333336</v>
      </c>
      <c r="Z32" s="11">
        <f>IFERROR(IF(MARÍTIMOS[[#This Row],[Etapa Despacho - Llegada]]="","",MARÍTIMOS[[#This Row],[Etapa Despacho - Llegada]]),"")</f>
        <v>46264.586111111108</v>
      </c>
      <c r="AA32" s="11">
        <f>IFERROR(IF(MARÍTIMOS[[#This Row],[Etapa Despacho - Registro]]="","",MARÍTIMOS[[#This Row],[Etapa Despacho - Registro]]),"")</f>
        <v>46264.587500000001</v>
      </c>
      <c r="AB32" s="11">
        <f>IFERROR(IF(MARÍTIMOS[[#This Row],[Inspección Externa]]="","",MARÍTIMOS[[#This Row],[Inspección Externa]]),"")</f>
        <v>46264.590277777781</v>
      </c>
      <c r="AC32" s="11">
        <f>IFERROR(IF(MARÍTIMOS[[#This Row],[Etapa Despacho - Inicio de Carga]]="","",MARÍTIMOS[[#This Row],[Etapa Despacho - Inicio de Carga]]),"")</f>
        <v>46264.607638888891</v>
      </c>
      <c r="AD32" s="11">
        <f>IFERROR(IF(MARÍTIMOS[[#This Row],[Etapa Despacho - Mitad de Carga]]="","",MARÍTIMOS[[#This Row],[Etapa Despacho - Mitad de Carga]]),"")</f>
        <v>46264.611111111109</v>
      </c>
      <c r="AE32" s="11">
        <f>IFERROR(IF(MARÍTIMOS[[#This Row],[Etapa Despacho - Fin de Carga]]="","",MARÍTIMOS[[#This Row],[Etapa Despacho - Fin de Carga]]),"")</f>
        <v>46264.616666666669</v>
      </c>
      <c r="AF32" s="2" t="str">
        <f>IFERROR(IF(MARÍTIMOS[[#This Row],[Puerto de Embarque]]="","",MARÍTIMOS[[#This Row],[Puerto de Embarque]]),"")</f>
        <v>CALLAO</v>
      </c>
      <c r="AG32" s="2" t="str">
        <f>IFERROR(IF(MARÍTIMOS[[#This Row],[Almacén de Ingreso]]="","",MARÍTIMOS[[#This Row],[Almacén de Ingreso]]),"")</f>
        <v>DPW</v>
      </c>
      <c r="AH32" s="11">
        <f>IFERROR(IF(MARÍTIMOS[[#This Row],[Etapa Ingreso - Cita]]="","",MARÍTIMOS[[#This Row],[Etapa Ingreso - Cita]]),"")</f>
        <v>46265.416666666664</v>
      </c>
      <c r="AI32" s="11">
        <f>IFERROR(IF(MARÍTIMOS[[#This Row],[Etapa Ingreso - Llegada]]="","",MARÍTIMOS[[#This Row],[Etapa Ingreso - Llegada]]),"")</f>
        <v>46265.513888888891</v>
      </c>
      <c r="AJ32" s="11">
        <f>IFERROR(IF(MARÍTIMOS[[#This Row],[Etapa Ingreso - Ingeso]]="","",MARÍTIMOS[[#This Row],[Etapa Ingreso - Ingeso]]),"")</f>
        <v>46265.589583333334</v>
      </c>
      <c r="AK32" s="11">
        <f>IFERROR(IF(MARÍTIMOS[[#This Row],[Etapa Ingreso - Atención]]="","",MARÍTIMOS[[#This Row],[Etapa Ingreso - Atención]]),"")</f>
        <v>46265.597222222219</v>
      </c>
      <c r="AL32" s="11">
        <f>IFERROR(IF(MARÍTIMOS[[#This Row],[Etapa Ingreso - Salida]]="","",MARÍTIMOS[[#This Row],[Etapa Ingreso - Salida]]),"")</f>
        <v>46265.62222222222</v>
      </c>
      <c r="AM32" s="2">
        <f>IFERROR(IF(MARÍTIMOS[[#This Row],[FCL]]="","",MARÍTIMOS[[#This Row],[FCL]]),"")</f>
        <v>1</v>
      </c>
      <c r="AN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2" s="4" t="str" cm="1">
        <f t="array" ref="AO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" s="5">
        <f>IFERROR(OLDBD[[#This Row],[Llegada a packing]]-OLDBD[[#This Row],[Inicio de Ruta]],"")</f>
        <v>0.54861111110949423</v>
      </c>
      <c r="AQ32" s="6">
        <f>IFERROR(OLDBD[[#This Row],[Inicio de Ruta]]-OLDBD[[#This Row],[Salida de almacén de retiro]],"")</f>
        <v>9.9999999998544808E-2</v>
      </c>
      <c r="AR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2" s="8" t="str" cm="1">
        <f t="array" ref="AS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2" s="9">
        <f>IFERROR(OLDBD[[#This Row],[Ingreso Packing]]-OLDBD[[#This Row],[Registro en Packing]],"")</f>
        <v>2.7777777795563452E-3</v>
      </c>
      <c r="AV32" s="9">
        <f>IFERROR(OLDBD[[#This Row],[Ingreso Packing]]-OLDBD[[#This Row],[Llegada a packing]],"")</f>
        <v>4.1666666729724966E-3</v>
      </c>
      <c r="AW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" s="5">
        <f>IFERROR(OLDBD[[#This Row],[Llegada Almacén de Ingreso]]-OLDBD[[#This Row],[Salida Packing]],"")</f>
        <v>0.89722222222189885</v>
      </c>
      <c r="AY32" s="4" t="str" cm="1">
        <f t="array" ref="AY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" s="43" t="s">
        <v>173</v>
      </c>
      <c r="BB32" s="47" t="str">
        <f>IFERROR(IF(MARÍTIMOS[[#This Row],[Estatus]]="","",MARÍTIMOS[[#This Row],[Estatus]]),"")</f>
        <v>Confirmado</v>
      </c>
      <c r="BC32" s="43"/>
      <c r="BD32" s="46">
        <f>IFERROR(OLDBD[[#This Row],[Salida de almacén de retiro]]-OLDBD[[#This Row],[Ingreso Almacén de retiro]],"")</f>
        <v>1.6666666670062114E-2</v>
      </c>
      <c r="BE32" s="46">
        <f>IFERROR(OLDBD[[#This Row],[Fin de Carga]]-OLDBD[[#This Row],[Inicio de Carga]],"")</f>
        <v>3.4722222189884633E-3</v>
      </c>
    </row>
    <row r="33" spans="1:57" customFormat="1" hidden="1">
      <c r="A33" s="1"/>
      <c r="B33" s="1">
        <f>IFERROR(IF(MARÍTIMOS[[#This Row],[PP]]="","",MARÍTIMOS[[#This Row],[PP]]),"")</f>
        <v>35</v>
      </c>
      <c r="C33" s="1" t="str">
        <f>IFERROR(IF(MARÍTIMOS[[#This Row],[Sede]]="","",MARÍTIMOS[[#This Row],[Sede]]),"")</f>
        <v>Chao</v>
      </c>
      <c r="D33" s="1" t="str">
        <f>IFERROR(IF(MARÍTIMOS[[#This Row],[Instruction]]="","",MARÍTIMOS[[#This Row],[Instruction]]),"")</f>
        <v>RH-0627</v>
      </c>
      <c r="E33" s="1"/>
      <c r="F33" s="2" t="str">
        <f>IFERROR(IF(MARÍTIMOS[[#This Row],[Transportista]]="","",MARÍTIMOS[[#This Row],[Transportista]]),"")</f>
        <v>Cititrans</v>
      </c>
      <c r="G33" s="2" t="str">
        <f>IFERROR(IF(MARÍTIMOS[[#This Row],[Tercero]]="","",MARÍTIMOS[[#This Row],[Tercero]]),"")</f>
        <v>NO</v>
      </c>
      <c r="H33" s="2" t="str">
        <f>IFERROR(IF(MARÍTIMOS[[#This Row],[Razón Social]]="","",MARÍTIMOS[[#This Row],[Razón Social]]),"")</f>
        <v>CITITRANS</v>
      </c>
      <c r="I33" s="2">
        <f>IFERROR(IF(MARÍTIMOS[[#This Row],[RUC]]="","",MARÍTIMOS[[#This Row],[RUC]]),"")</f>
        <v>20609553376</v>
      </c>
      <c r="J33" s="2" t="str">
        <f>IFERROR(IF(MARÍTIMOS[[#This Row],[Placa Tracto]]="","",MARÍTIMOS[[#This Row],[Placa Tracto]]),"")</f>
        <v>CNB837</v>
      </c>
      <c r="K33" s="2" t="str">
        <f>IFERROR(IF(MARÍTIMOS[[#This Row],[Placa Carreta]]="","",MARÍTIMOS[[#This Row],[Placa Carreta]]),"")</f>
        <v>BZR976</v>
      </c>
      <c r="L33" s="44" t="str">
        <f>IFERROR(IF(MARÍTIMOS[[#This Row],[Conductor]]="","",MARÍTIMOS[[#This Row],[Conductor]]),"")</f>
        <v>HECTOR JOSEMETERIO MARTINEZ JIMENEZ</v>
      </c>
      <c r="M33" s="2" t="str">
        <f>IFERROR(IF(MARÍTIMOS[[#This Row],[Licencia]]="","",MARÍTIMOS[[#This Row],[Licencia]]),"")</f>
        <v>Q002061946</v>
      </c>
      <c r="N33" s="2" t="str">
        <f>IFERROR(IF(MARÍTIMOS[[#This Row],[Número de Contacto]]="","",MARÍTIMOS[[#This Row],[Número de Contacto]]),"")</f>
        <v>962 394 123</v>
      </c>
      <c r="O33" s="10" t="str">
        <f>IFERROR(IF(MARÍTIMOS[[#This Row],[Booking|AWB|CRT]]="","",MARÍTIMOS[[#This Row],[Booking|AWB|CRT]]),"")</f>
        <v>751600048268.</v>
      </c>
      <c r="P33" s="2" t="str">
        <f>IFERROR(IF(MARÍTIMOS[[#This Row],[Contenedor]]="","",MARÍTIMOS[[#This Row],[Contenedor]]),"")</f>
        <v>EGSU5034587</v>
      </c>
      <c r="Q33" s="2" t="str">
        <f>IFERROR(IF(MARÍTIMOS[[#This Row],[Puerto de Retiro]]="","",MARÍTIMOS[[#This Row],[Puerto de Retiro]]),"")</f>
        <v>CALLAO</v>
      </c>
      <c r="R33" s="2" t="str">
        <f>IFERROR(IF(MARÍTIMOS[[#This Row],[Almacén de Retiro]]="","",MARÍTIMOS[[#This Row],[Almacén de Retiro]]),"")</f>
        <v>IMUPESA</v>
      </c>
      <c r="S33" s="11">
        <f>IFERROR(IF(MARÍTIMOS[[#This Row],[Etapa Retiro - Cita]]="","",MARÍTIMOS[[#This Row],[Etapa Retiro - Cita]]),"")</f>
        <v>46263.666666666664</v>
      </c>
      <c r="T33" s="11">
        <f>IFERROR(IF(MARÍTIMOS[[#This Row],[Etapa Retiro - Llegada]]="","",MARÍTIMOS[[#This Row],[Etapa Retiro - Llegada]]),"")</f>
        <v>46263.701388888891</v>
      </c>
      <c r="U33" s="11">
        <f>IFERROR(IF(MARÍTIMOS[[#This Row],[Etapa Retiro - Ingreso]]="","",MARÍTIMOS[[#This Row],[Etapa Retiro - Ingreso]]),"")</f>
        <v>46263.784722222219</v>
      </c>
      <c r="V33" s="11">
        <f>IFERROR(IF(MARÍTIMOS[[#This Row],[Etapa Retiro - Atención]]="","",MARÍTIMOS[[#This Row],[Etapa Retiro - Atención]]),"")</f>
        <v>46263.805555555555</v>
      </c>
      <c r="W33" s="11">
        <f>IFERROR(IF(MARÍTIMOS[[#This Row],[Etapa Retiro - Atención]]="","",MARÍTIMOS[[#This Row],[Etapa Retiro - Atención]]),"")</f>
        <v>46263.805555555555</v>
      </c>
      <c r="X33" s="11">
        <f>IFERROR(IF(MARÍTIMOS[[#This Row],[Etapa Retiro - Inicio de Ruta]]="","",MARÍTIMOS[[#This Row],[Etapa Retiro - Inicio de Ruta]]),"")</f>
        <v>46263.863194444442</v>
      </c>
      <c r="Y33" s="11">
        <f>IFERROR(IF(MARÍTIMOS[[#This Row],[Hora de Posicionamiento]]="","",MARÍTIMOS[[#This Row],[Fecha de Carga]]+MARÍTIMOS[[#This Row],[Hora de Posicionamiento]]),"")</f>
        <v>46264.5</v>
      </c>
      <c r="Z33" s="11">
        <f>IFERROR(IF(MARÍTIMOS[[#This Row],[Etapa Despacho - Llegada]]="","",MARÍTIMOS[[#This Row],[Etapa Despacho - Llegada]]),"")</f>
        <v>46264.54791666667</v>
      </c>
      <c r="AA33" s="11">
        <f>IFERROR(IF(MARÍTIMOS[[#This Row],[Etapa Despacho - Registro]]="","",MARÍTIMOS[[#This Row],[Etapa Despacho - Registro]]),"")</f>
        <v>46264.55</v>
      </c>
      <c r="AB33" s="11">
        <f>IFERROR(IF(MARÍTIMOS[[#This Row],[Inspección Externa]]="","",MARÍTIMOS[[#This Row],[Inspección Externa]]),"")</f>
        <v>46264.559027777781</v>
      </c>
      <c r="AC33" s="11">
        <f>IFERROR(IF(MARÍTIMOS[[#This Row],[Etapa Despacho - Inicio de Carga]]="","",MARÍTIMOS[[#This Row],[Etapa Despacho - Inicio de Carga]]),"")</f>
        <v>46264.624305555553</v>
      </c>
      <c r="AD33" s="11">
        <f>IFERROR(IF(MARÍTIMOS[[#This Row],[Etapa Despacho - Mitad de Carga]]="","",MARÍTIMOS[[#This Row],[Etapa Despacho - Mitad de Carga]]),"")</f>
        <v>46264.642361111109</v>
      </c>
      <c r="AE33" s="11">
        <f>IFERROR(IF(MARÍTIMOS[[#This Row],[Etapa Despacho - Fin de Carga]]="","",MARÍTIMOS[[#This Row],[Etapa Despacho - Fin de Carga]]),"")</f>
        <v>46264.697222222225</v>
      </c>
      <c r="AF33" s="2" t="str">
        <f>IFERROR(IF(MARÍTIMOS[[#This Row],[Puerto de Embarque]]="","",MARÍTIMOS[[#This Row],[Puerto de Embarque]]),"")</f>
        <v>CALLAO</v>
      </c>
      <c r="AG33" s="2" t="str">
        <f>IFERROR(IF(MARÍTIMOS[[#This Row],[Almacén de Ingreso]]="","",MARÍTIMOS[[#This Row],[Almacén de Ingreso]]),"")</f>
        <v>DPW</v>
      </c>
      <c r="AH33" s="11">
        <f>IFERROR(IF(MARÍTIMOS[[#This Row],[Etapa Ingreso - Cita]]="","",MARÍTIMOS[[#This Row],[Etapa Ingreso - Cita]]),"")</f>
        <v>46265.5</v>
      </c>
      <c r="AI33" s="11">
        <f>IFERROR(IF(MARÍTIMOS[[#This Row],[Etapa Ingreso - Llegada]]="","",MARÍTIMOS[[#This Row],[Etapa Ingreso - Llegada]]),"")</f>
        <v>46265.479166666664</v>
      </c>
      <c r="AJ33" s="11">
        <f>IFERROR(IF(MARÍTIMOS[[#This Row],[Etapa Ingreso - Ingeso]]="","",MARÍTIMOS[[#This Row],[Etapa Ingreso - Ingeso]]),"")</f>
        <v>46265.560416666667</v>
      </c>
      <c r="AK33" s="11">
        <f>IFERROR(IF(MARÍTIMOS[[#This Row],[Etapa Ingreso - Atención]]="","",MARÍTIMOS[[#This Row],[Etapa Ingreso - Atención]]),"")</f>
        <v>46265.583333333336</v>
      </c>
      <c r="AL33" s="11">
        <f>IFERROR(IF(MARÍTIMOS[[#This Row],[Etapa Ingreso - Salida]]="","",MARÍTIMOS[[#This Row],[Etapa Ingreso - Salida]]),"")</f>
        <v>46265.604166666664</v>
      </c>
      <c r="AM33" s="2">
        <f>IFERROR(IF(MARÍTIMOS[[#This Row],[FCL]]="","",MARÍTIMOS[[#This Row],[FCL]]),"")</f>
        <v>1</v>
      </c>
      <c r="AN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" s="4" t="str" cm="1">
        <f t="array" ref="AO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" s="5">
        <f>IFERROR(OLDBD[[#This Row],[Llegada a packing]]-OLDBD[[#This Row],[Inicio de Ruta]],"")</f>
        <v>0.68472222222771961</v>
      </c>
      <c r="AQ33" s="6">
        <f>IFERROR(OLDBD[[#This Row],[Inicio de Ruta]]-OLDBD[[#This Row],[Salida de almacén de retiro]],"")</f>
        <v>5.7638888887595385E-2</v>
      </c>
      <c r="AR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3" s="8" t="str" cm="1">
        <f t="array" ref="AS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3" s="9">
        <f>IFERROR(OLDBD[[#This Row],[Ingreso Packing]]-OLDBD[[#This Row],[Registro en Packing]],"")</f>
        <v>9.0277777781011537E-3</v>
      </c>
      <c r="AV33" s="9">
        <f>IFERROR(OLDBD[[#This Row],[Ingreso Packing]]-OLDBD[[#This Row],[Llegada a packing]],"")</f>
        <v>1.1111111110949423E-2</v>
      </c>
      <c r="AW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" s="5">
        <f>IFERROR(OLDBD[[#This Row],[Llegada Almacén de Ingreso]]-OLDBD[[#This Row],[Salida Packing]],"")</f>
        <v>0.78194444443943212</v>
      </c>
      <c r="AY33" s="4" t="str" cm="1">
        <f t="array" ref="AY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3" s="43" t="s">
        <v>173</v>
      </c>
      <c r="BB33" s="47" t="str">
        <f>IFERROR(IF(MARÍTIMOS[[#This Row],[Estatus]]="","",MARÍTIMOS[[#This Row],[Estatus]]),"")</f>
        <v>Confirmado</v>
      </c>
      <c r="BC33" s="43"/>
      <c r="BD33" s="46">
        <f>IFERROR(OLDBD[[#This Row],[Salida de almacén de retiro]]-OLDBD[[#This Row],[Ingreso Almacén de retiro]],"")</f>
        <v>2.0833333335758653E-2</v>
      </c>
      <c r="BE33" s="46">
        <f>IFERROR(OLDBD[[#This Row],[Fin de Carga]]-OLDBD[[#This Row],[Inicio de Carga]],"")</f>
        <v>1.8055555556202307E-2</v>
      </c>
    </row>
    <row r="34" spans="1:57" customFormat="1" hidden="1">
      <c r="A34" s="1"/>
      <c r="B34" s="1">
        <f>IFERROR(IF(MARÍTIMOS[[#This Row],[PP]]="","",MARÍTIMOS[[#This Row],[PP]]),"")</f>
        <v>35</v>
      </c>
      <c r="C34" s="1" t="str">
        <f>IFERROR(IF(MARÍTIMOS[[#This Row],[Sede]]="","",MARÍTIMOS[[#This Row],[Sede]]),"")</f>
        <v>Chao</v>
      </c>
      <c r="D34" s="1" t="str">
        <f>IFERROR(IF(MARÍTIMOS[[#This Row],[Instruction]]="","",MARÍTIMOS[[#This Row],[Instruction]]),"")</f>
        <v>RH-0595</v>
      </c>
      <c r="E34" s="1"/>
      <c r="F34" s="2" t="str">
        <f>IFERROR(IF(MARÍTIMOS[[#This Row],[Transportista]]="","",MARÍTIMOS[[#This Row],[Transportista]]),"")</f>
        <v>Cititrans</v>
      </c>
      <c r="G34" s="2" t="str">
        <f>IFERROR(IF(MARÍTIMOS[[#This Row],[Tercero]]="","",MARÍTIMOS[[#This Row],[Tercero]]),"")</f>
        <v>NO</v>
      </c>
      <c r="H34" s="2" t="str">
        <f>IFERROR(IF(MARÍTIMOS[[#This Row],[Razón Social]]="","",MARÍTIMOS[[#This Row],[Razón Social]]),"")</f>
        <v>CITITRANS</v>
      </c>
      <c r="I34" s="2">
        <f>IFERROR(IF(MARÍTIMOS[[#This Row],[RUC]]="","",MARÍTIMOS[[#This Row],[RUC]]),"")</f>
        <v>20609553376</v>
      </c>
      <c r="J34" s="2" t="str">
        <f>IFERROR(IF(MARÍTIMOS[[#This Row],[Placa Tracto]]="","",MARÍTIMOS[[#This Row],[Placa Tracto]]),"")</f>
        <v>BUO-938</v>
      </c>
      <c r="K34" s="2" t="str">
        <f>IFERROR(IF(MARÍTIMOS[[#This Row],[Placa Carreta]]="","",MARÍTIMOS[[#This Row],[Placa Carreta]]),"")</f>
        <v>BFC-993</v>
      </c>
      <c r="L34" s="44" t="str">
        <f>IFERROR(IF(MARÍTIMOS[[#This Row],[Conductor]]="","",MARÍTIMOS[[#This Row],[Conductor]]),"")</f>
        <v>PEREZ OROPEZA EYVAR FIDEL</v>
      </c>
      <c r="M34" s="2" t="str">
        <f>IFERROR(IF(MARÍTIMOS[[#This Row],[Licencia]]="","",MARÍTIMOS[[#This Row],[Licencia]]),"")</f>
        <v>Q47639553</v>
      </c>
      <c r="N34" s="2" t="str">
        <f>IFERROR(IF(MARÍTIMOS[[#This Row],[Número de Contacto]]="","",MARÍTIMOS[[#This Row],[Número de Contacto]]),"")</f>
        <v>974 207 058</v>
      </c>
      <c r="O34" s="10">
        <f>IFERROR(IF(MARÍTIMOS[[#This Row],[Booking|AWB|CRT]]="","",MARÍTIMOS[[#This Row],[Booking|AWB|CRT]]),"")</f>
        <v>751600047679</v>
      </c>
      <c r="P34" s="2" t="str">
        <f>IFERROR(IF(MARÍTIMOS[[#This Row],[Contenedor]]="","",MARÍTIMOS[[#This Row],[Contenedor]]),"")</f>
        <v>EMCU5527877</v>
      </c>
      <c r="Q34" s="2" t="str">
        <f>IFERROR(IF(MARÍTIMOS[[#This Row],[Puerto de Retiro]]="","",MARÍTIMOS[[#This Row],[Puerto de Retiro]]),"")</f>
        <v>CALLAO</v>
      </c>
      <c r="R34" s="2" t="str">
        <f>IFERROR(IF(MARÍTIMOS[[#This Row],[Almacén de Retiro]]="","",MARÍTIMOS[[#This Row],[Almacén de Retiro]]),"")</f>
        <v>IMUPESA</v>
      </c>
      <c r="S34" s="11">
        <f>IFERROR(IF(MARÍTIMOS[[#This Row],[Etapa Retiro - Cita]]="","",MARÍTIMOS[[#This Row],[Etapa Retiro - Cita]]),"")</f>
        <v>46264.625</v>
      </c>
      <c r="T34" s="11">
        <f>IFERROR(IF(MARÍTIMOS[[#This Row],[Etapa Retiro - Llegada]]="","",MARÍTIMOS[[#This Row],[Etapa Retiro - Llegada]]),"")</f>
        <v>46264.666666666664</v>
      </c>
      <c r="U34" s="11">
        <f>IFERROR(IF(MARÍTIMOS[[#This Row],[Etapa Retiro - Ingreso]]="","",MARÍTIMOS[[#This Row],[Etapa Retiro - Ingreso]]),"")</f>
        <v>46264.6875</v>
      </c>
      <c r="V34" s="11">
        <f>IFERROR(IF(MARÍTIMOS[[#This Row],[Etapa Retiro - Atención]]="","",MARÍTIMOS[[#This Row],[Etapa Retiro - Atención]]),"")</f>
        <v>46264.715277777781</v>
      </c>
      <c r="W34" s="11">
        <f>IFERROR(IF(MARÍTIMOS[[#This Row],[Etapa Retiro - Atención]]="","",MARÍTIMOS[[#This Row],[Etapa Retiro - Atención]]),"")</f>
        <v>46264.715277777781</v>
      </c>
      <c r="X34" s="11">
        <f>IFERROR(IF(MARÍTIMOS[[#This Row],[Etapa Retiro - Inicio de Ruta]]="","",MARÍTIMOS[[#This Row],[Etapa Retiro - Inicio de Ruta]]),"")</f>
        <v>46264.768055555556</v>
      </c>
      <c r="Y34" s="11">
        <f>IFERROR(IF(MARÍTIMOS[[#This Row],[Hora de Posicionamiento]]="","",MARÍTIMOS[[#This Row],[Fecha de Carga]]+MARÍTIMOS[[#This Row],[Hora de Posicionamiento]]),"")</f>
        <v>46265.5</v>
      </c>
      <c r="Z34" s="11">
        <f>IFERROR(IF(MARÍTIMOS[[#This Row],[Etapa Despacho - Llegada]]="","",MARÍTIMOS[[#This Row],[Etapa Despacho - Llegada]]),"")</f>
        <v>46265.490972222222</v>
      </c>
      <c r="AA34" s="11">
        <f>IFERROR(IF(MARÍTIMOS[[#This Row],[Etapa Despacho - Registro]]="","",MARÍTIMOS[[#This Row],[Etapa Despacho - Registro]]),"")</f>
        <v>46265.513888888891</v>
      </c>
      <c r="AB34" s="11">
        <f>IFERROR(IF(MARÍTIMOS[[#This Row],[Inspección Externa]]="","",MARÍTIMOS[[#This Row],[Inspección Externa]]),"")</f>
        <v>46265.534722222219</v>
      </c>
      <c r="AC34" s="11">
        <f>IFERROR(IF(MARÍTIMOS[[#This Row],[Etapa Despacho - Inicio de Carga]]="","",MARÍTIMOS[[#This Row],[Etapa Despacho - Inicio de Carga]]),"")</f>
        <v>46265.65625</v>
      </c>
      <c r="AD34" s="11">
        <f>IFERROR(IF(MARÍTIMOS[[#This Row],[Etapa Despacho - Mitad de Carga]]="","",MARÍTIMOS[[#This Row],[Etapa Despacho - Mitad de Carga]]),"")</f>
        <v>46265.665972222225</v>
      </c>
      <c r="AE34" s="11">
        <f>IFERROR(IF(MARÍTIMOS[[#This Row],[Etapa Despacho - Fin de Carga]]="","",MARÍTIMOS[[#This Row],[Etapa Despacho - Fin de Carga]]),"")</f>
        <v>46265.692361111112</v>
      </c>
      <c r="AF34" s="2" t="str">
        <f>IFERROR(IF(MARÍTIMOS[[#This Row],[Puerto de Embarque]]="","",MARÍTIMOS[[#This Row],[Puerto de Embarque]]),"")</f>
        <v>CALLAO</v>
      </c>
      <c r="AG34" s="2" t="str">
        <f>IFERROR(IF(MARÍTIMOS[[#This Row],[Almacén de Ingreso]]="","",MARÍTIMOS[[#This Row],[Almacén de Ingreso]]),"")</f>
        <v>DPW</v>
      </c>
      <c r="AH34" s="11">
        <f>IFERROR(IF(MARÍTIMOS[[#This Row],[Etapa Ingreso - Cita]]="","",MARÍTIMOS[[#This Row],[Etapa Ingreso - Cita]]),"")</f>
        <v>46266.583333333336</v>
      </c>
      <c r="AI34" s="11">
        <f>IFERROR(IF(MARÍTIMOS[[#This Row],[Etapa Ingreso - Llegada]]="","",MARÍTIMOS[[#This Row],[Etapa Ingreso - Llegada]]),"")</f>
        <v>46266.477777777778</v>
      </c>
      <c r="AJ34" s="11">
        <f>IFERROR(IF(MARÍTIMOS[[#This Row],[Etapa Ingreso - Ingeso]]="","",MARÍTIMOS[[#This Row],[Etapa Ingreso - Ingeso]]),"")</f>
        <v>46266.541666666664</v>
      </c>
      <c r="AK34" s="11">
        <f>IFERROR(IF(MARÍTIMOS[[#This Row],[Etapa Ingreso - Atención]]="","",MARÍTIMOS[[#This Row],[Etapa Ingreso - Atención]]),"")</f>
        <v>46266.547222222223</v>
      </c>
      <c r="AL34" s="11">
        <f>IFERROR(IF(MARÍTIMOS[[#This Row],[Etapa Ingreso - Salida]]="","",MARÍTIMOS[[#This Row],[Etapa Ingreso - Salida]]),"")</f>
        <v>46266.557638888888</v>
      </c>
      <c r="AM34" s="2">
        <f>IFERROR(IF(MARÍTIMOS[[#This Row],[FCL]]="","",MARÍTIMOS[[#This Row],[FCL]]),"")</f>
        <v>1</v>
      </c>
      <c r="AN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4" s="4" t="str" cm="1">
        <f t="array" ref="AO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4" s="5">
        <f>IFERROR(OLDBD[[#This Row],[Llegada a packing]]-OLDBD[[#This Row],[Inicio de Ruta]],"")</f>
        <v>0.72291666666569654</v>
      </c>
      <c r="AQ34" s="6">
        <f>IFERROR(OLDBD[[#This Row],[Inicio de Ruta]]-OLDBD[[#This Row],[Salida de almacén de retiro]],"")</f>
        <v>5.2777777775190771E-2</v>
      </c>
      <c r="AR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4" s="8" t="str" cm="1">
        <f t="array" ref="AS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4" s="9">
        <f>IFERROR(OLDBD[[#This Row],[Ingreso Packing]]-OLDBD[[#This Row],[Registro en Packing]],"")</f>
        <v>2.0833333328482695E-2</v>
      </c>
      <c r="AV34" s="9">
        <f>IFERROR(OLDBD[[#This Row],[Ingreso Packing]]-OLDBD[[#This Row],[Llegada a packing]],"")</f>
        <v>4.3749999997089617E-2</v>
      </c>
      <c r="AW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4" s="5">
        <f>IFERROR(OLDBD[[#This Row],[Llegada Almacén de Ingreso]]-OLDBD[[#This Row],[Salida Packing]],"")</f>
        <v>0.78541666666569654</v>
      </c>
      <c r="AY34" s="4" t="str" cm="1">
        <f t="array" ref="AY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4" s="43" t="s">
        <v>173</v>
      </c>
      <c r="BB34" s="47" t="str">
        <f>IFERROR(IF(MARÍTIMOS[[#This Row],[Estatus]]="","",MARÍTIMOS[[#This Row],[Estatus]]),"")</f>
        <v>Confirmado</v>
      </c>
      <c r="BC34" s="43"/>
      <c r="BD34" s="46">
        <f>IFERROR(OLDBD[[#This Row],[Salida de almacén de retiro]]-OLDBD[[#This Row],[Ingreso Almacén de retiro]],"")</f>
        <v>2.7777777781011537E-2</v>
      </c>
      <c r="BE34" s="46">
        <f>IFERROR(OLDBD[[#This Row],[Fin de Carga]]-OLDBD[[#This Row],[Inicio de Carga]],"")</f>
        <v>9.7222222248092294E-3</v>
      </c>
    </row>
    <row r="35" spans="1:57" customFormat="1" hidden="1">
      <c r="A35" s="1"/>
      <c r="B35" s="1">
        <f>IFERROR(IF(MARÍTIMOS[[#This Row],[PP]]="","",MARÍTIMOS[[#This Row],[PP]]),"")</f>
        <v>36</v>
      </c>
      <c r="C35" s="1" t="str">
        <f>IFERROR(IF(MARÍTIMOS[[#This Row],[Sede]]="","",MARÍTIMOS[[#This Row],[Sede]]),"")</f>
        <v>Chao</v>
      </c>
      <c r="D35" s="1" t="str">
        <f>IFERROR(IF(MARÍTIMOS[[#This Row],[Instruction]]="","",MARÍTIMOS[[#This Row],[Instruction]]),"")</f>
        <v>RH-0662</v>
      </c>
      <c r="E35" s="1"/>
      <c r="F35" s="2" t="str">
        <f>IFERROR(IF(MARÍTIMOS[[#This Row],[Transportista]]="","",MARÍTIMOS[[#This Row],[Transportista]]),"")</f>
        <v>Cititrans</v>
      </c>
      <c r="G35" s="2" t="str">
        <f>IFERROR(IF(MARÍTIMOS[[#This Row],[Tercero]]="","",MARÍTIMOS[[#This Row],[Tercero]]),"")</f>
        <v>NO</v>
      </c>
      <c r="H35" s="2" t="str">
        <f>IFERROR(IF(MARÍTIMOS[[#This Row],[Razón Social]]="","",MARÍTIMOS[[#This Row],[Razón Social]]),"")</f>
        <v>CITITRANS</v>
      </c>
      <c r="I35" s="2">
        <f>IFERROR(IF(MARÍTIMOS[[#This Row],[RUC]]="","",MARÍTIMOS[[#This Row],[RUC]]),"")</f>
        <v>20609553376</v>
      </c>
      <c r="J35" s="2" t="str">
        <f>IFERROR(IF(MARÍTIMOS[[#This Row],[Placa Tracto]]="","",MARÍTIMOS[[#This Row],[Placa Tracto]]),"")</f>
        <v>BWP-741</v>
      </c>
      <c r="K35" s="2" t="str">
        <f>IFERROR(IF(MARÍTIMOS[[#This Row],[Placa Carreta]]="","",MARÍTIMOS[[#This Row],[Placa Carreta]]),"")</f>
        <v>BJV974</v>
      </c>
      <c r="L35" s="44" t="str">
        <f>IFERROR(IF(MARÍTIMOS[[#This Row],[Conductor]]="","",MARÍTIMOS[[#This Row],[Conductor]]),"")</f>
        <v>PABLO BELITO QUISPE</v>
      </c>
      <c r="M35" s="2" t="str">
        <f>IFERROR(IF(MARÍTIMOS[[#This Row],[Licencia]]="","",MARÍTIMOS[[#This Row],[Licencia]]),"")</f>
        <v>R08874793</v>
      </c>
      <c r="N35" s="2" t="str">
        <f>IFERROR(IF(MARÍTIMOS[[#This Row],[Número de Contacto]]="","",MARÍTIMOS[[#This Row],[Número de Contacto]]),"")</f>
        <v>908 943 241</v>
      </c>
      <c r="O35" s="10">
        <f>IFERROR(IF(MARÍTIMOS[[#This Row],[Booking|AWB|CRT]]="","",MARÍTIMOS[[#This Row],[Booking|AWB|CRT]]),"")</f>
        <v>276447366</v>
      </c>
      <c r="P35" s="2" t="str">
        <f>IFERROR(IF(MARÍTIMOS[[#This Row],[Contenedor]]="","",MARÍTIMOS[[#This Row],[Contenedor]]),"")</f>
        <v>MNBU3905742</v>
      </c>
      <c r="Q35" s="2" t="str">
        <f>IFERROR(IF(MARÍTIMOS[[#This Row],[Puerto de Retiro]]="","",MARÍTIMOS[[#This Row],[Puerto de Retiro]]),"")</f>
        <v>CALLAO</v>
      </c>
      <c r="R35" s="2" t="str">
        <f>IFERROR(IF(MARÍTIMOS[[#This Row],[Almacén de Retiro]]="","",MARÍTIMOS[[#This Row],[Almacén de Retiro]]),"")</f>
        <v>DEMARES</v>
      </c>
      <c r="S35" s="11">
        <f>IFERROR(IF(MARÍTIMOS[[#This Row],[Etapa Retiro - Cita]]="","",MARÍTIMOS[[#This Row],[Etapa Retiro - Cita]]),"")</f>
        <v>46267.583333333336</v>
      </c>
      <c r="T35" s="11">
        <f>IFERROR(IF(MARÍTIMOS[[#This Row],[Etapa Retiro - Llegada]]="","",MARÍTIMOS[[#This Row],[Etapa Retiro - Llegada]]),"")</f>
        <v>46267.5625</v>
      </c>
      <c r="U35" s="11">
        <f>IFERROR(IF(MARÍTIMOS[[#This Row],[Etapa Retiro - Ingreso]]="","",MARÍTIMOS[[#This Row],[Etapa Retiro - Ingreso]]),"")</f>
        <v>46267.604166666664</v>
      </c>
      <c r="V35" s="11">
        <f>IFERROR(IF(MARÍTIMOS[[#This Row],[Etapa Retiro - Atención]]="","",MARÍTIMOS[[#This Row],[Etapa Retiro - Atención]]),"")</f>
        <v>46267.680555555555</v>
      </c>
      <c r="W35" s="11">
        <f>IFERROR(IF(MARÍTIMOS[[#This Row],[Etapa Retiro - Atención]]="","",MARÍTIMOS[[#This Row],[Etapa Retiro - Atención]]),"")</f>
        <v>46267.680555555555</v>
      </c>
      <c r="X35" s="11">
        <f>IFERROR(IF(MARÍTIMOS[[#This Row],[Etapa Retiro - Inicio de Ruta]]="","",MARÍTIMOS[[#This Row],[Etapa Retiro - Inicio de Ruta]]),"")</f>
        <v>46267.712500000001</v>
      </c>
      <c r="Y35" s="11">
        <f>IFERROR(IF(MARÍTIMOS[[#This Row],[Hora de Posicionamiento]]="","",MARÍTIMOS[[#This Row],[Fecha de Carga]]+MARÍTIMOS[[#This Row],[Hora de Posicionamiento]]),"")</f>
        <v>46268.5</v>
      </c>
      <c r="Z35" s="11">
        <f>IFERROR(IF(MARÍTIMOS[[#This Row],[Etapa Despacho - Llegada]]="","",MARÍTIMOS[[#This Row],[Etapa Despacho - Llegada]]),"")</f>
        <v>46268.480555555558</v>
      </c>
      <c r="AA35" s="11">
        <f>IFERROR(IF(MARÍTIMOS[[#This Row],[Etapa Despacho - Registro]]="","",MARÍTIMOS[[#This Row],[Etapa Despacho - Registro]]),"")</f>
        <v>46268.48333333333</v>
      </c>
      <c r="AB35" s="11">
        <f>IFERROR(IF(MARÍTIMOS[[#This Row],[Inspección Externa]]="","",MARÍTIMOS[[#This Row],[Inspección Externa]]),"")</f>
        <v>46268.545138888891</v>
      </c>
      <c r="AC35" s="11">
        <f>IFERROR(IF(MARÍTIMOS[[#This Row],[Etapa Despacho - Inicio de Carga]]="","",MARÍTIMOS[[#This Row],[Etapa Despacho - Inicio de Carga]]),"")</f>
        <v>46268.573611111111</v>
      </c>
      <c r="AD35" s="11">
        <f>IFERROR(IF(MARÍTIMOS[[#This Row],[Etapa Despacho - Mitad de Carga]]="","",MARÍTIMOS[[#This Row],[Etapa Despacho - Mitad de Carga]]),"")</f>
        <v>46268.580555555556</v>
      </c>
      <c r="AE35" s="11">
        <f>IFERROR(IF(MARÍTIMOS[[#This Row],[Etapa Despacho - Fin de Carga]]="","",MARÍTIMOS[[#This Row],[Etapa Despacho - Fin de Carga]]),"")</f>
        <v>46268.59097222222</v>
      </c>
      <c r="AF35" s="2" t="str">
        <f>IFERROR(IF(MARÍTIMOS[[#This Row],[Puerto de Embarque]]="","",MARÍTIMOS[[#This Row],[Puerto de Embarque]]),"")</f>
        <v>CALLAO</v>
      </c>
      <c r="AG35" s="2" t="str">
        <f>IFERROR(IF(MARÍTIMOS[[#This Row],[Almacén de Ingreso]]="","",MARÍTIMOS[[#This Row],[Almacén de Ingreso]]),"")</f>
        <v>APM</v>
      </c>
      <c r="AH35" s="11">
        <f>IFERROR(IF(MARÍTIMOS[[#This Row],[Etapa Ingreso - Cita]]="","",MARÍTIMOS[[#This Row],[Etapa Ingreso - Cita]]),"")</f>
        <v>46269.666666666664</v>
      </c>
      <c r="AI35" s="11">
        <f>IFERROR(IF(MARÍTIMOS[[#This Row],[Etapa Ingreso - Llegada]]="","",MARÍTIMOS[[#This Row],[Etapa Ingreso - Llegada]]),"")</f>
        <v>46269.614583333336</v>
      </c>
      <c r="AJ35" s="11">
        <f>IFERROR(IF(MARÍTIMOS[[#This Row],[Etapa Ingreso - Ingeso]]="","",MARÍTIMOS[[#This Row],[Etapa Ingreso - Ingeso]]),"")</f>
        <v>46269.681250000001</v>
      </c>
      <c r="AK35" s="11">
        <f>IFERROR(IF(MARÍTIMOS[[#This Row],[Etapa Ingreso - Atención]]="","",MARÍTIMOS[[#This Row],[Etapa Ingreso - Atención]]),"")</f>
        <v>46269.682638888888</v>
      </c>
      <c r="AL35" s="11">
        <f>IFERROR(IF(MARÍTIMOS[[#This Row],[Etapa Ingreso - Salida]]="","",MARÍTIMOS[[#This Row],[Etapa Ingreso - Salida]]),"")</f>
        <v>46269.689583333333</v>
      </c>
      <c r="AM35" s="2">
        <f>IFERROR(IF(MARÍTIMOS[[#This Row],[FCL]]="","",MARÍTIMOS[[#This Row],[FCL]]),"")</f>
        <v>1</v>
      </c>
      <c r="AN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" s="4" t="str" cm="1">
        <f t="array" ref="AO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" s="5">
        <f>IFERROR(OLDBD[[#This Row],[Llegada a packing]]-OLDBD[[#This Row],[Inicio de Ruta]],"")</f>
        <v>0.76805555555620231</v>
      </c>
      <c r="AQ35" s="6">
        <f>IFERROR(OLDBD[[#This Row],[Inicio de Ruta]]-OLDBD[[#This Row],[Salida de almacén de retiro]],"")</f>
        <v>3.1944444446708076E-2</v>
      </c>
      <c r="AR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5" s="8" t="str" cm="1">
        <f t="array" ref="AS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" s="9">
        <f>IFERROR(OLDBD[[#This Row],[Ingreso Packing]]-OLDBD[[#This Row],[Registro en Packing]],"")</f>
        <v>6.1805555560567882E-2</v>
      </c>
      <c r="AV35" s="9">
        <f>IFERROR(OLDBD[[#This Row],[Ingreso Packing]]-OLDBD[[#This Row],[Llegada a packing]],"")</f>
        <v>6.4583333332848269E-2</v>
      </c>
      <c r="AW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5" s="5">
        <f>IFERROR(OLDBD[[#This Row],[Llegada Almacén de Ingreso]]-OLDBD[[#This Row],[Salida Packing]],"")</f>
        <v>1.023611111115315</v>
      </c>
      <c r="AY35" s="4" t="str" cm="1">
        <f t="array" ref="AY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5" s="43" t="s">
        <v>173</v>
      </c>
      <c r="BB35" s="47" t="str">
        <f>IFERROR(IF(MARÍTIMOS[[#This Row],[Estatus]]="","",MARÍTIMOS[[#This Row],[Estatus]]),"")</f>
        <v>Confirmado</v>
      </c>
      <c r="BC35" s="43"/>
      <c r="BD35" s="46">
        <f>IFERROR(OLDBD[[#This Row],[Salida de almacén de retiro]]-OLDBD[[#This Row],[Ingreso Almacén de retiro]],"")</f>
        <v>7.6388888890505768E-2</v>
      </c>
      <c r="BE35" s="46">
        <f>IFERROR(OLDBD[[#This Row],[Fin de Carga]]-OLDBD[[#This Row],[Inicio de Carga]],"")</f>
        <v>6.9444444452528842E-3</v>
      </c>
    </row>
    <row r="36" spans="1:57" customFormat="1" hidden="1">
      <c r="A36" s="1"/>
      <c r="B36" s="1">
        <f>IFERROR(IF(MARÍTIMOS[[#This Row],[PP]]="","",MARÍTIMOS[[#This Row],[PP]]),"")</f>
        <v>36</v>
      </c>
      <c r="C36" s="1" t="str">
        <f>IFERROR(IF(MARÍTIMOS[[#This Row],[Sede]]="","",MARÍTIMOS[[#This Row],[Sede]]),"")</f>
        <v>Chao</v>
      </c>
      <c r="D36" s="1" t="str">
        <f>IFERROR(IF(MARÍTIMOS[[#This Row],[Instruction]]="","",MARÍTIMOS[[#This Row],[Instruction]]),"")</f>
        <v>RH-0658</v>
      </c>
      <c r="E36" s="1"/>
      <c r="F36" s="2" t="str">
        <f>IFERROR(IF(MARÍTIMOS[[#This Row],[Transportista]]="","",MARÍTIMOS[[#This Row],[Transportista]]),"")</f>
        <v>Cititrans</v>
      </c>
      <c r="G36" s="2" t="str">
        <f>IFERROR(IF(MARÍTIMOS[[#This Row],[Tercero]]="","",MARÍTIMOS[[#This Row],[Tercero]]),"")</f>
        <v>SI</v>
      </c>
      <c r="H36" s="2" t="str">
        <f>IFERROR(IF(MARÍTIMOS[[#This Row],[Razón Social]]="","",MARÍTIMOS[[#This Row],[Razón Social]]),"")</f>
        <v>RE TRANSPORTS</v>
      </c>
      <c r="I36" s="2">
        <f>IFERROR(IF(MARÍTIMOS[[#This Row],[RUC]]="","",MARÍTIMOS[[#This Row],[RUC]]),"")</f>
        <v>20600489535</v>
      </c>
      <c r="J36" s="2" t="str">
        <f>IFERROR(IF(MARÍTIMOS[[#This Row],[Placa Tracto]]="","",MARÍTIMOS[[#This Row],[Placa Tracto]]),"")</f>
        <v>D4M901</v>
      </c>
      <c r="K36" s="2" t="str">
        <f>IFERROR(IF(MARÍTIMOS[[#This Row],[Placa Carreta]]="","",MARÍTIMOS[[#This Row],[Placa Carreta]]),"")</f>
        <v>B2E984</v>
      </c>
      <c r="L36" s="44" t="str">
        <f>IFERROR(IF(MARÍTIMOS[[#This Row],[Conductor]]="","",MARÍTIMOS[[#This Row],[Conductor]]),"")</f>
        <v>HENRY VICENTE PRADA</v>
      </c>
      <c r="M36" s="2" t="str">
        <f>IFERROR(IF(MARÍTIMOS[[#This Row],[Licencia]]="","",MARÍTIMOS[[#This Row],[Licencia]]),"")</f>
        <v>Q09483810</v>
      </c>
      <c r="N36" s="2">
        <f>IFERROR(IF(MARÍTIMOS[[#This Row],[Número de Contacto]]="","",MARÍTIMOS[[#This Row],[Número de Contacto]]),"")</f>
        <v>992157075</v>
      </c>
      <c r="O36" s="10" t="str">
        <f>IFERROR(IF(MARÍTIMOS[[#This Row],[Booking|AWB|CRT]]="","",MARÍTIMOS[[#This Row],[Booking|AWB|CRT]]),"")</f>
        <v>169GA02081</v>
      </c>
      <c r="P36" s="2" t="str">
        <f>IFERROR(IF(MARÍTIMOS[[#This Row],[Contenedor]]="","",MARÍTIMOS[[#This Row],[Contenedor]]),"")</f>
        <v>OTPU6867330</v>
      </c>
      <c r="Q36" s="2" t="str">
        <f>IFERROR(IF(MARÍTIMOS[[#This Row],[Puerto de Retiro]]="","",MARÍTIMOS[[#This Row],[Puerto de Retiro]]),"")</f>
        <v>CALLAO</v>
      </c>
      <c r="R36" s="2" t="str">
        <f>IFERROR(IF(MARÍTIMOS[[#This Row],[Almacén de Retiro]]="","",MARÍTIMOS[[#This Row],[Almacén de Retiro]]),"")</f>
        <v>IMUPESA</v>
      </c>
      <c r="S36" s="11">
        <f>IFERROR(IF(MARÍTIMOS[[#This Row],[Etapa Retiro - Cita]]="","",MARÍTIMOS[[#This Row],[Etapa Retiro - Cita]]),"")</f>
        <v>46270.583333333336</v>
      </c>
      <c r="T36" s="11">
        <f>IFERROR(IF(MARÍTIMOS[[#This Row],[Etapa Retiro - Llegada]]="","",MARÍTIMOS[[#This Row],[Etapa Retiro - Llegada]]),"")</f>
        <v>46270.60833333333</v>
      </c>
      <c r="U36" s="11">
        <f>IFERROR(IF(MARÍTIMOS[[#This Row],[Etapa Retiro - Ingreso]]="","",MARÍTIMOS[[#This Row],[Etapa Retiro - Ingreso]]),"")</f>
        <v>46270.609027777777</v>
      </c>
      <c r="V36" s="11">
        <f>IFERROR(IF(MARÍTIMOS[[#This Row],[Etapa Retiro - Atención]]="","",MARÍTIMOS[[#This Row],[Etapa Retiro - Atención]]),"")</f>
        <v>46270.666666666664</v>
      </c>
      <c r="W36" s="11">
        <f>IFERROR(IF(MARÍTIMOS[[#This Row],[Etapa Retiro - Atención]]="","",MARÍTIMOS[[#This Row],[Etapa Retiro - Atención]]),"")</f>
        <v>46270.666666666664</v>
      </c>
      <c r="X36" s="11">
        <f>IFERROR(IF(MARÍTIMOS[[#This Row],[Etapa Retiro - Inicio de Ruta]]="","",MARÍTIMOS[[#This Row],[Etapa Retiro - Inicio de Ruta]]),"")</f>
        <v>46270.838888888888</v>
      </c>
      <c r="Y36" s="11">
        <f>IFERROR(IF(MARÍTIMOS[[#This Row],[Hora de Posicionamiento]]="","",MARÍTIMOS[[#This Row],[Fecha de Carga]]+MARÍTIMOS[[#This Row],[Hora de Posicionamiento]]),"")</f>
        <v>46271.375</v>
      </c>
      <c r="Z36" s="11">
        <f>IFERROR(IF(MARÍTIMOS[[#This Row],[Etapa Despacho - Llegada]]="","",MARÍTIMOS[[#This Row],[Etapa Despacho - Llegada]]),"")</f>
        <v>46271.580555555556</v>
      </c>
      <c r="AA36" s="11">
        <f>IFERROR(IF(MARÍTIMOS[[#This Row],[Etapa Despacho - Registro]]="","",MARÍTIMOS[[#This Row],[Etapa Despacho - Registro]]),"")</f>
        <v>46271.583333333336</v>
      </c>
      <c r="AB36" s="11">
        <f>IFERROR(IF(MARÍTIMOS[[#This Row],[Inspección Externa]]="","",MARÍTIMOS[[#This Row],[Inspección Externa]]),"")</f>
        <v>46271.601388888892</v>
      </c>
      <c r="AC36" s="11">
        <f>IFERROR(IF(MARÍTIMOS[[#This Row],[Etapa Despacho - Inicio de Carga]]="","",MARÍTIMOS[[#This Row],[Etapa Despacho - Inicio de Carga]]),"")</f>
        <v>46271.638888888891</v>
      </c>
      <c r="AD36" s="11">
        <f>IFERROR(IF(MARÍTIMOS[[#This Row],[Etapa Despacho - Mitad de Carga]]="","",MARÍTIMOS[[#This Row],[Etapa Despacho - Mitad de Carga]]),"")</f>
        <v>46271.677083333336</v>
      </c>
      <c r="AE36" s="11">
        <f>IFERROR(IF(MARÍTIMOS[[#This Row],[Etapa Despacho - Fin de Carga]]="","",MARÍTIMOS[[#This Row],[Etapa Despacho - Fin de Carga]]),"")</f>
        <v>46271.708333333336</v>
      </c>
      <c r="AF36" s="2" t="str">
        <f>IFERROR(IF(MARÍTIMOS[[#This Row],[Puerto de Embarque]]="","",MARÍTIMOS[[#This Row],[Puerto de Embarque]]),"")</f>
        <v>CALLAO</v>
      </c>
      <c r="AG36" s="2" t="str">
        <f>IFERROR(IF(MARÍTIMOS[[#This Row],[Almacén de Ingreso]]="","",MARÍTIMOS[[#This Row],[Almacén de Ingreso]]),"")</f>
        <v>DPW</v>
      </c>
      <c r="AH36" s="11">
        <f>IFERROR(IF(MARÍTIMOS[[#This Row],[Etapa Ingreso - Cita]]="","",MARÍTIMOS[[#This Row],[Etapa Ingreso - Cita]]),"")</f>
        <v>46272.583333333336</v>
      </c>
      <c r="AI36" s="11">
        <f>IFERROR(IF(MARÍTIMOS[[#This Row],[Etapa Ingreso - Llegada]]="","",MARÍTIMOS[[#This Row],[Etapa Ingreso - Llegada]]),"")</f>
        <v>46272.534722222219</v>
      </c>
      <c r="AJ36" s="11">
        <f>IFERROR(IF(MARÍTIMOS[[#This Row],[Etapa Ingreso - Ingeso]]="","",MARÍTIMOS[[#This Row],[Etapa Ingreso - Ingeso]]),"")</f>
        <v>46272.549305555556</v>
      </c>
      <c r="AK36" s="11">
        <f>IFERROR(IF(MARÍTIMOS[[#This Row],[Etapa Ingreso - Atención]]="","",MARÍTIMOS[[#This Row],[Etapa Ingreso - Atención]]),"")</f>
        <v>46272.552083333336</v>
      </c>
      <c r="AL36" s="11">
        <f>IFERROR(IF(MARÍTIMOS[[#This Row],[Etapa Ingreso - Salida]]="","",MARÍTIMOS[[#This Row],[Etapa Ingreso - Salida]]),"")</f>
        <v>46272.558333333334</v>
      </c>
      <c r="AM36" s="2">
        <f>IFERROR(IF(MARÍTIMOS[[#This Row],[FCL]]="","",MARÍTIMOS[[#This Row],[FCL]]),"")</f>
        <v>1</v>
      </c>
      <c r="AN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" s="4" t="str" cm="1">
        <f t="array" ref="AO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" s="5">
        <f>IFERROR(OLDBD[[#This Row],[Llegada a packing]]-OLDBD[[#This Row],[Inicio de Ruta]],"")</f>
        <v>0.74166666666860692</v>
      </c>
      <c r="AQ36" s="6">
        <f>IFERROR(OLDBD[[#This Row],[Inicio de Ruta]]-OLDBD[[#This Row],[Salida de almacén de retiro]],"")</f>
        <v>0.17222222222335404</v>
      </c>
      <c r="AR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6" s="8" t="str" cm="1">
        <f t="array" ref="AS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6" s="9">
        <f>IFERROR(OLDBD[[#This Row],[Ingreso Packing]]-OLDBD[[#This Row],[Registro en Packing]],"")</f>
        <v>1.8055555556202307E-2</v>
      </c>
      <c r="AV36" s="9">
        <f>IFERROR(OLDBD[[#This Row],[Ingreso Packing]]-OLDBD[[#This Row],[Llegada a packing]],"")</f>
        <v>2.0833333335758653E-2</v>
      </c>
      <c r="AW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6" s="5">
        <f>IFERROR(OLDBD[[#This Row],[Llegada Almacén de Ingreso]]-OLDBD[[#This Row],[Salida Packing]],"")</f>
        <v>0.82638888888322981</v>
      </c>
      <c r="AY36" s="4" t="str" cm="1">
        <f t="array" ref="AY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6" s="43" t="s">
        <v>173</v>
      </c>
      <c r="BB36" s="47" t="str">
        <f>IFERROR(IF(MARÍTIMOS[[#This Row],[Estatus]]="","",MARÍTIMOS[[#This Row],[Estatus]]),"")</f>
        <v>Confirmado</v>
      </c>
      <c r="BC36" s="43"/>
      <c r="BD36" s="46">
        <f>IFERROR(OLDBD[[#This Row],[Salida de almacén de retiro]]-OLDBD[[#This Row],[Ingreso Almacén de retiro]],"")</f>
        <v>5.7638888887595385E-2</v>
      </c>
      <c r="BE36" s="46">
        <f>IFERROR(OLDBD[[#This Row],[Fin de Carga]]-OLDBD[[#This Row],[Inicio de Carga]],"")</f>
        <v>3.8194444445252884E-2</v>
      </c>
    </row>
    <row r="37" spans="1:57" customFormat="1" hidden="1">
      <c r="A37" s="1"/>
      <c r="B37" s="1">
        <f>IFERROR(IF(MARÍTIMOS[[#This Row],[PP]]="","",MARÍTIMOS[[#This Row],[PP]]),"")</f>
        <v>36</v>
      </c>
      <c r="C37" s="1" t="str">
        <f>IFERROR(IF(MARÍTIMOS[[#This Row],[Sede]]="","",MARÍTIMOS[[#This Row],[Sede]]),"")</f>
        <v>Chao</v>
      </c>
      <c r="D37" s="1" t="str">
        <f>IFERROR(IF(MARÍTIMOS[[#This Row],[Instruction]]="","",MARÍTIMOS[[#This Row],[Instruction]]),"")</f>
        <v>RH-0667</v>
      </c>
      <c r="E37" s="1"/>
      <c r="F37" s="2" t="str">
        <f>IFERROR(IF(MARÍTIMOS[[#This Row],[Transportista]]="","",MARÍTIMOS[[#This Row],[Transportista]]),"")</f>
        <v>Cititrans</v>
      </c>
      <c r="G37" s="2" t="str">
        <f>IFERROR(IF(MARÍTIMOS[[#This Row],[Tercero]]="","",MARÍTIMOS[[#This Row],[Tercero]]),"")</f>
        <v>NO</v>
      </c>
      <c r="H37" s="2" t="str">
        <f>IFERROR(IF(MARÍTIMOS[[#This Row],[Razón Social]]="","",MARÍTIMOS[[#This Row],[Razón Social]]),"")</f>
        <v>CITITRANS</v>
      </c>
      <c r="I37" s="2">
        <f>IFERROR(IF(MARÍTIMOS[[#This Row],[RUC]]="","",MARÍTIMOS[[#This Row],[RUC]]),"")</f>
        <v>20609553376</v>
      </c>
      <c r="J37" s="2" t="str">
        <f>IFERROR(IF(MARÍTIMOS[[#This Row],[Placa Tracto]]="","",MARÍTIMOS[[#This Row],[Placa Tracto]]),"")</f>
        <v>CHE-822</v>
      </c>
      <c r="K37" s="2" t="str">
        <f>IFERROR(IF(MARÍTIMOS[[#This Row],[Placa Carreta]]="","",MARÍTIMOS[[#This Row],[Placa Carreta]]),"")</f>
        <v>BUQ-973</v>
      </c>
      <c r="L37" s="44" t="str">
        <f>IFERROR(IF(MARÍTIMOS[[#This Row],[Conductor]]="","",MARÍTIMOS[[#This Row],[Conductor]]),"")</f>
        <v>PAZ MORENO LEONARDO</v>
      </c>
      <c r="M37" s="2" t="str">
        <f>IFERROR(IF(MARÍTIMOS[[#This Row],[Licencia]]="","",MARÍTIMOS[[#This Row],[Licencia]]),"")</f>
        <v>Q43063038</v>
      </c>
      <c r="N37" s="2" t="str">
        <f>IFERROR(IF(MARÍTIMOS[[#This Row],[Número de Contacto]]="","",MARÍTIMOS[[#This Row],[Número de Contacto]]),"")</f>
        <v>990 116 425</v>
      </c>
      <c r="O37" s="10">
        <f>IFERROR(IF(MARÍTIMOS[[#This Row],[Booking|AWB|CRT]]="","",MARÍTIMOS[[#This Row],[Booking|AWB|CRT]]),"")</f>
        <v>751600049566</v>
      </c>
      <c r="P37" s="2" t="str">
        <f>IFERROR(IF(MARÍTIMOS[[#This Row],[Contenedor]]="","",MARÍTIMOS[[#This Row],[Contenedor]]),"")</f>
        <v>EMCU5672710</v>
      </c>
      <c r="Q37" s="2" t="str">
        <f>IFERROR(IF(MARÍTIMOS[[#This Row],[Puerto de Retiro]]="","",MARÍTIMOS[[#This Row],[Puerto de Retiro]]),"")</f>
        <v>CALLAO</v>
      </c>
      <c r="R37" s="2" t="str">
        <f>IFERROR(IF(MARÍTIMOS[[#This Row],[Almacén de Retiro]]="","",MARÍTIMOS[[#This Row],[Almacén de Retiro]]),"")</f>
        <v>DPW</v>
      </c>
      <c r="S37" s="11">
        <f>IFERROR(IF(MARÍTIMOS[[#This Row],[Etapa Retiro - Cita]]="","",MARÍTIMOS[[#This Row],[Etapa Retiro - Cita]]),"")</f>
        <v>46271.666666666664</v>
      </c>
      <c r="T37" s="11">
        <f>IFERROR(IF(MARÍTIMOS[[#This Row],[Etapa Retiro - Llegada]]="","",MARÍTIMOS[[#This Row],[Etapa Retiro - Llegada]]),"")</f>
        <v>46271.723611111112</v>
      </c>
      <c r="U37" s="11">
        <f>IFERROR(IF(MARÍTIMOS[[#This Row],[Etapa Retiro - Ingreso]]="","",MARÍTIMOS[[#This Row],[Etapa Retiro - Ingreso]]),"")</f>
        <v>46271.727083333331</v>
      </c>
      <c r="V37" s="11">
        <f>IFERROR(IF(MARÍTIMOS[[#This Row],[Etapa Retiro - Atención]]="","",MARÍTIMOS[[#This Row],[Etapa Retiro - Atención]]),"")</f>
        <v>46271.743055555555</v>
      </c>
      <c r="W37" s="11">
        <f>IFERROR(IF(MARÍTIMOS[[#This Row],[Etapa Retiro - Atención]]="","",MARÍTIMOS[[#This Row],[Etapa Retiro - Atención]]),"")</f>
        <v>46271.743055555555</v>
      </c>
      <c r="X37" s="11">
        <f>IFERROR(IF(MARÍTIMOS[[#This Row],[Etapa Retiro - Inicio de Ruta]]="","",MARÍTIMOS[[#This Row],[Etapa Retiro - Inicio de Ruta]]),"")</f>
        <v>46271.784722222219</v>
      </c>
      <c r="Y37" s="11">
        <f>IFERROR(IF(MARÍTIMOS[[#This Row],[Hora de Posicionamiento]]="","",MARÍTIMOS[[#This Row],[Fecha de Carga]]+MARÍTIMOS[[#This Row],[Hora de Posicionamiento]]),"")</f>
        <v>46272.416666666664</v>
      </c>
      <c r="Z37" s="11">
        <f>IFERROR(IF(MARÍTIMOS[[#This Row],[Etapa Despacho - Llegada]]="","",MARÍTIMOS[[#This Row],[Etapa Despacho - Llegada]]),"")</f>
        <v>46272.397916666669</v>
      </c>
      <c r="AA37" s="11">
        <f>IFERROR(IF(MARÍTIMOS[[#This Row],[Etapa Despacho - Registro]]="","",MARÍTIMOS[[#This Row],[Etapa Despacho - Registro]]),"")</f>
        <v>46272.419444444444</v>
      </c>
      <c r="AB37" s="11">
        <f>IFERROR(IF(MARÍTIMOS[[#This Row],[Inspección Externa]]="","",MARÍTIMOS[[#This Row],[Inspección Externa]]),"")</f>
        <v>46272.422222222223</v>
      </c>
      <c r="AC37" s="11">
        <f>IFERROR(IF(MARÍTIMOS[[#This Row],[Etapa Despacho - Inicio de Carga]]="","",MARÍTIMOS[[#This Row],[Etapa Despacho - Inicio de Carga]]),"")</f>
        <v>46272.496527777781</v>
      </c>
      <c r="AD37" s="11">
        <f>IFERROR(IF(MARÍTIMOS[[#This Row],[Etapa Despacho - Mitad de Carga]]="","",MARÍTIMOS[[#This Row],[Etapa Despacho - Mitad de Carga]]),"")</f>
        <v>46272.527777777781</v>
      </c>
      <c r="AE37" s="11">
        <f>IFERROR(IF(MARÍTIMOS[[#This Row],[Etapa Despacho - Fin de Carga]]="","",MARÍTIMOS[[#This Row],[Etapa Despacho - Fin de Carga]]),"")</f>
        <v>46272.563194444447</v>
      </c>
      <c r="AF37" s="2" t="str">
        <f>IFERROR(IF(MARÍTIMOS[[#This Row],[Puerto de Embarque]]="","",MARÍTIMOS[[#This Row],[Puerto de Embarque]]),"")</f>
        <v>CALLAO</v>
      </c>
      <c r="AG37" s="2" t="str">
        <f>IFERROR(IF(MARÍTIMOS[[#This Row],[Almacén de Ingreso]]="","",MARÍTIMOS[[#This Row],[Almacén de Ingreso]]),"")</f>
        <v>DPW</v>
      </c>
      <c r="AH37" s="11">
        <f>IFERROR(IF(MARÍTIMOS[[#This Row],[Etapa Ingreso - Cita]]="","",MARÍTIMOS[[#This Row],[Etapa Ingreso - Cita]]),"")</f>
        <v>46273.25</v>
      </c>
      <c r="AI37" s="11">
        <f>IFERROR(IF(MARÍTIMOS[[#This Row],[Etapa Ingreso - Llegada]]="","",MARÍTIMOS[[#This Row],[Etapa Ingreso - Llegada]]),"")</f>
        <v>46273.159722222219</v>
      </c>
      <c r="AJ37" s="11">
        <f>IFERROR(IF(MARÍTIMOS[[#This Row],[Etapa Ingreso - Ingeso]]="","",MARÍTIMOS[[#This Row],[Etapa Ingreso - Ingeso]]),"")</f>
        <v>46273.1875</v>
      </c>
      <c r="AK37" s="11">
        <f>IFERROR(IF(MARÍTIMOS[[#This Row],[Etapa Ingreso - Atención]]="","",MARÍTIMOS[[#This Row],[Etapa Ingreso - Atención]]),"")</f>
        <v>46273.188888888886</v>
      </c>
      <c r="AL37" s="11">
        <f>IFERROR(IF(MARÍTIMOS[[#This Row],[Etapa Ingreso - Salida]]="","",MARÍTIMOS[[#This Row],[Etapa Ingreso - Salida]]),"")</f>
        <v>46273.194444444445</v>
      </c>
      <c r="AM37" s="2">
        <f>IFERROR(IF(MARÍTIMOS[[#This Row],[FCL]]="","",MARÍTIMOS[[#This Row],[FCL]]),"")</f>
        <v>1</v>
      </c>
      <c r="AN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" s="4" t="str" cm="1">
        <f t="array" ref="AO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7" s="5">
        <f>IFERROR(OLDBD[[#This Row],[Llegada a packing]]-OLDBD[[#This Row],[Inicio de Ruta]],"")</f>
        <v>0.61319444444961846</v>
      </c>
      <c r="AQ37" s="6">
        <f>IFERROR(OLDBD[[#This Row],[Inicio de Ruta]]-OLDBD[[#This Row],[Salida de almacén de retiro]],"")</f>
        <v>4.1666666664241347E-2</v>
      </c>
      <c r="AR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7" s="8" t="str" cm="1">
        <f t="array" ref="AS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" s="9">
        <f>IFERROR(OLDBD[[#This Row],[Ingreso Packing]]-OLDBD[[#This Row],[Registro en Packing]],"")</f>
        <v>2.7777777795563452E-3</v>
      </c>
      <c r="AV37" s="9">
        <f>IFERROR(OLDBD[[#This Row],[Ingreso Packing]]-OLDBD[[#This Row],[Llegada a packing]],"")</f>
        <v>2.4305555554747116E-2</v>
      </c>
      <c r="AW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7" s="5">
        <f>IFERROR(OLDBD[[#This Row],[Llegada Almacén de Ingreso]]-OLDBD[[#This Row],[Salida Packing]],"")</f>
        <v>0.59652777777228039</v>
      </c>
      <c r="AY37" s="4" t="str" cm="1">
        <f t="array" ref="AY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7" s="43" t="s">
        <v>173</v>
      </c>
      <c r="BB37" s="47" t="str">
        <f>IFERROR(IF(MARÍTIMOS[[#This Row],[Estatus]]="","",MARÍTIMOS[[#This Row],[Estatus]]),"")</f>
        <v>Confirmado</v>
      </c>
      <c r="BC37" s="43"/>
      <c r="BD37" s="46">
        <f>IFERROR(OLDBD[[#This Row],[Salida de almacén de retiro]]-OLDBD[[#This Row],[Ingreso Almacén de retiro]],"")</f>
        <v>1.5972222223354038E-2</v>
      </c>
      <c r="BE37" s="46">
        <f>IFERROR(OLDBD[[#This Row],[Fin de Carga]]-OLDBD[[#This Row],[Inicio de Carga]],"")</f>
        <v>3.125E-2</v>
      </c>
    </row>
    <row r="38" spans="1:57" customFormat="1" hidden="1">
      <c r="A38" s="1"/>
      <c r="B38" s="1">
        <f>IFERROR(IF(MARÍTIMOS[[#This Row],[PP]]="","",MARÍTIMOS[[#This Row],[PP]]),"")</f>
        <v>36</v>
      </c>
      <c r="C38" s="1" t="str">
        <f>IFERROR(IF(MARÍTIMOS[[#This Row],[Sede]]="","",MARÍTIMOS[[#This Row],[Sede]]),"")</f>
        <v>Chao</v>
      </c>
      <c r="D38" s="1" t="str">
        <f>IFERROR(IF(MARÍTIMOS[[#This Row],[Instruction]]="","",MARÍTIMOS[[#This Row],[Instruction]]),"")</f>
        <v>RH-0666</v>
      </c>
      <c r="E38" s="1"/>
      <c r="F38" s="2" t="str">
        <f>IFERROR(IF(MARÍTIMOS[[#This Row],[Transportista]]="","",MARÍTIMOS[[#This Row],[Transportista]]),"")</f>
        <v>Cititrans</v>
      </c>
      <c r="G38" s="2" t="str">
        <f>IFERROR(IF(MARÍTIMOS[[#This Row],[Tercero]]="","",MARÍTIMOS[[#This Row],[Tercero]]),"")</f>
        <v>NO</v>
      </c>
      <c r="H38" s="2" t="str">
        <f>IFERROR(IF(MARÍTIMOS[[#This Row],[Razón Social]]="","",MARÍTIMOS[[#This Row],[Razón Social]]),"")</f>
        <v>CITITRANS</v>
      </c>
      <c r="I38" s="2">
        <f>IFERROR(IF(MARÍTIMOS[[#This Row],[RUC]]="","",MARÍTIMOS[[#This Row],[RUC]]),"")</f>
        <v>20609553376</v>
      </c>
      <c r="J38" s="2" t="str">
        <f>IFERROR(IF(MARÍTIMOS[[#This Row],[Placa Tracto]]="","",MARÍTIMOS[[#This Row],[Placa Tracto]]),"")</f>
        <v>BTO-751</v>
      </c>
      <c r="K38" s="2" t="str">
        <f>IFERROR(IF(MARÍTIMOS[[#This Row],[Placa Carreta]]="","",MARÍTIMOS[[#This Row],[Placa Carreta]]),"")</f>
        <v>BEJ-972</v>
      </c>
      <c r="L38" s="44" t="str">
        <f>IFERROR(IF(MARÍTIMOS[[#This Row],[Conductor]]="","",MARÍTIMOS[[#This Row],[Conductor]]),"")</f>
        <v>PERCY ZAVALETA</v>
      </c>
      <c r="M38" s="2" t="str">
        <f>IFERROR(IF(MARÍTIMOS[[#This Row],[Licencia]]="","",MARÍTIMOS[[#This Row],[Licencia]]),"")</f>
        <v>D80565321</v>
      </c>
      <c r="N38" s="2" t="str">
        <f>IFERROR(IF(MARÍTIMOS[[#This Row],[Número de Contacto]]="","",MARÍTIMOS[[#This Row],[Número de Contacto]]),"")</f>
        <v>997 848 060</v>
      </c>
      <c r="O38" s="10" t="str">
        <f>IFERROR(IF(MARÍTIMOS[[#This Row],[Booking|AWB|CRT]]="","",MARÍTIMOS[[#This Row],[Booking|AWB|CRT]]),"")</f>
        <v>169GA02080</v>
      </c>
      <c r="P38" s="2" t="str">
        <f>IFERROR(IF(MARÍTIMOS[[#This Row],[Contenedor]]="","",MARÍTIMOS[[#This Row],[Contenedor]]),"")</f>
        <v>OTPU6836452</v>
      </c>
      <c r="Q38" s="2" t="str">
        <f>IFERROR(IF(MARÍTIMOS[[#This Row],[Puerto de Retiro]]="","",MARÍTIMOS[[#This Row],[Puerto de Retiro]]),"")</f>
        <v>CALLAO</v>
      </c>
      <c r="R38" s="2" t="str">
        <f>IFERROR(IF(MARÍTIMOS[[#This Row],[Almacén de Retiro]]="","",MARÍTIMOS[[#This Row],[Almacén de Retiro]]),"")</f>
        <v>IMUPESA</v>
      </c>
      <c r="S38" s="11">
        <f>IFERROR(IF(MARÍTIMOS[[#This Row],[Etapa Retiro - Cita]]="","",MARÍTIMOS[[#This Row],[Etapa Retiro - Cita]]),"")</f>
        <v>46271.75</v>
      </c>
      <c r="T38" s="11">
        <f>IFERROR(IF(MARÍTIMOS[[#This Row],[Etapa Retiro - Llegada]]="","",MARÍTIMOS[[#This Row],[Etapa Retiro - Llegada]]),"")</f>
        <v>46271.746527777781</v>
      </c>
      <c r="U38" s="11">
        <f>IFERROR(IF(MARÍTIMOS[[#This Row],[Etapa Retiro - Ingreso]]="","",MARÍTIMOS[[#This Row],[Etapa Retiro - Ingreso]]),"")</f>
        <v>46271.777777777781</v>
      </c>
      <c r="V38" s="11">
        <f>IFERROR(IF(MARÍTIMOS[[#This Row],[Etapa Retiro - Atención]]="","",MARÍTIMOS[[#This Row],[Etapa Retiro - Atención]]),"")</f>
        <v>46271.784722222219</v>
      </c>
      <c r="W38" s="11">
        <f>IFERROR(IF(MARÍTIMOS[[#This Row],[Etapa Retiro - Atención]]="","",MARÍTIMOS[[#This Row],[Etapa Retiro - Atención]]),"")</f>
        <v>46271.784722222219</v>
      </c>
      <c r="X38" s="11">
        <f>IFERROR(IF(MARÍTIMOS[[#This Row],[Etapa Retiro - Inicio de Ruta]]="","",MARÍTIMOS[[#This Row],[Etapa Retiro - Inicio de Ruta]]),"")</f>
        <v>46271.958333333336</v>
      </c>
      <c r="Y38" s="11">
        <f>IFERROR(IF(MARÍTIMOS[[#This Row],[Hora de Posicionamiento]]="","",MARÍTIMOS[[#This Row],[Fecha de Carga]]+MARÍTIMOS[[#This Row],[Hora de Posicionamiento]]),"")</f>
        <v>46272.5</v>
      </c>
      <c r="Z38" s="11">
        <f>IFERROR(IF(MARÍTIMOS[[#This Row],[Etapa Despacho - Llegada]]="","",MARÍTIMOS[[#This Row],[Etapa Despacho - Llegada]]),"")</f>
        <v>46272.401388888888</v>
      </c>
      <c r="AA38" s="11">
        <f>IFERROR(IF(MARÍTIMOS[[#This Row],[Etapa Despacho - Registro]]="","",MARÍTIMOS[[#This Row],[Etapa Despacho - Registro]]),"")</f>
        <v>46272.425694444442</v>
      </c>
      <c r="AB38" s="11">
        <f>IFERROR(IF(MARÍTIMOS[[#This Row],[Inspección Externa]]="","",MARÍTIMOS[[#This Row],[Inspección Externa]]),"")</f>
        <v>46272.427777777775</v>
      </c>
      <c r="AC38" s="11">
        <f>IFERROR(IF(MARÍTIMOS[[#This Row],[Etapa Despacho - Inicio de Carga]]="","",MARÍTIMOS[[#This Row],[Etapa Despacho - Inicio de Carga]]),"")</f>
        <v>46272.529861111114</v>
      </c>
      <c r="AD38" s="11">
        <f>IFERROR(IF(MARÍTIMOS[[#This Row],[Etapa Despacho - Mitad de Carga]]="","",MARÍTIMOS[[#This Row],[Etapa Despacho - Mitad de Carga]]),"")</f>
        <v>46272.616666666669</v>
      </c>
      <c r="AE38" s="11">
        <f>IFERROR(IF(MARÍTIMOS[[#This Row],[Etapa Despacho - Fin de Carga]]="","",MARÍTIMOS[[#This Row],[Etapa Despacho - Fin de Carga]]),"")</f>
        <v>46272.70416666667</v>
      </c>
      <c r="AF38" s="2" t="str">
        <f>IFERROR(IF(MARÍTIMOS[[#This Row],[Puerto de Embarque]]="","",MARÍTIMOS[[#This Row],[Puerto de Embarque]]),"")</f>
        <v>CALLAO</v>
      </c>
      <c r="AG38" s="2" t="str">
        <f>IFERROR(IF(MARÍTIMOS[[#This Row],[Almacén de Ingreso]]="","",MARÍTIMOS[[#This Row],[Almacén de Ingreso]]),"")</f>
        <v>DPW</v>
      </c>
      <c r="AH38" s="11">
        <f>IFERROR(IF(MARÍTIMOS[[#This Row],[Etapa Ingreso - Cita]]="","",MARÍTIMOS[[#This Row],[Etapa Ingreso - Cita]]),"")</f>
        <v>46273.25</v>
      </c>
      <c r="AI38" s="11">
        <f>IFERROR(IF(MARÍTIMOS[[#This Row],[Etapa Ingreso - Llegada]]="","",MARÍTIMOS[[#This Row],[Etapa Ingreso - Llegada]]),"")</f>
        <v>46273.25277777778</v>
      </c>
      <c r="AJ38" s="11">
        <f>IFERROR(IF(MARÍTIMOS[[#This Row],[Etapa Ingreso - Ingeso]]="","",MARÍTIMOS[[#This Row],[Etapa Ingreso - Ingeso]]),"")</f>
        <v>46273.313888888886</v>
      </c>
      <c r="AK38" s="11">
        <f>IFERROR(IF(MARÍTIMOS[[#This Row],[Etapa Ingreso - Atención]]="","",MARÍTIMOS[[#This Row],[Etapa Ingreso - Atención]]),"")</f>
        <v>46273.325694444444</v>
      </c>
      <c r="AL38" s="11">
        <f>IFERROR(IF(MARÍTIMOS[[#This Row],[Etapa Ingreso - Salida]]="","",MARÍTIMOS[[#This Row],[Etapa Ingreso - Salida]]),"")</f>
        <v>46273.342361111114</v>
      </c>
      <c r="AM38" s="2">
        <f>IFERROR(IF(MARÍTIMOS[[#This Row],[FCL]]="","",MARÍTIMOS[[#This Row],[FCL]]),"")</f>
        <v>1</v>
      </c>
      <c r="AN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" s="4" t="str" cm="1">
        <f t="array" ref="AO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" s="5">
        <f>IFERROR(OLDBD[[#This Row],[Llegada a packing]]-OLDBD[[#This Row],[Inicio de Ruta]],"")</f>
        <v>0.44305555555183673</v>
      </c>
      <c r="AQ38" s="6">
        <f>IFERROR(OLDBD[[#This Row],[Inicio de Ruta]]-OLDBD[[#This Row],[Salida de almacén de retiro]],"")</f>
        <v>0.17361111111677019</v>
      </c>
      <c r="AR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8" s="8" t="str" cm="1">
        <f t="array" ref="AS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8" s="9">
        <f>IFERROR(OLDBD[[#This Row],[Ingreso Packing]]-OLDBD[[#This Row],[Registro en Packing]],"")</f>
        <v>2.0833333328482695E-3</v>
      </c>
      <c r="AV38" s="9">
        <f>IFERROR(OLDBD[[#This Row],[Ingreso Packing]]-OLDBD[[#This Row],[Llegada a packing]],"")</f>
        <v>2.6388888887595385E-2</v>
      </c>
      <c r="AW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8" s="5">
        <f>IFERROR(OLDBD[[#This Row],[Llegada Almacén de Ingreso]]-OLDBD[[#This Row],[Salida Packing]],"")</f>
        <v>0.54861111110949423</v>
      </c>
      <c r="AY38" s="4" t="str" cm="1">
        <f t="array" ref="AY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8" s="43" t="s">
        <v>173</v>
      </c>
      <c r="BB38" s="47" t="str">
        <f>IFERROR(IF(MARÍTIMOS[[#This Row],[Estatus]]="","",MARÍTIMOS[[#This Row],[Estatus]]),"")</f>
        <v>Confirmado</v>
      </c>
      <c r="BC38" s="43"/>
      <c r="BD38" s="46">
        <f>IFERROR(OLDBD[[#This Row],[Salida de almacén de retiro]]-OLDBD[[#This Row],[Ingreso Almacén de retiro]],"")</f>
        <v>6.9444444379769266E-3</v>
      </c>
      <c r="BE38" s="46">
        <f>IFERROR(OLDBD[[#This Row],[Fin de Carga]]-OLDBD[[#This Row],[Inicio de Carga]],"")</f>
        <v>8.6805555554747116E-2</v>
      </c>
    </row>
    <row r="39" spans="1:57" hidden="1">
      <c r="A39" s="52"/>
      <c r="B39" s="52">
        <f>IFERROR(IF(MARÍTIMOS[[#This Row],[PP]]="","",MARÍTIMOS[[#This Row],[PP]]),"")</f>
        <v>37</v>
      </c>
      <c r="C39" s="52" t="str">
        <f>IFERROR(IF(MARÍTIMOS[[#This Row],[Sede]]="","",MARÍTIMOS[[#This Row],[Sede]]),"")</f>
        <v>Chao</v>
      </c>
      <c r="D39" s="52" t="str">
        <f>IFERROR(IF(MARÍTIMOS[[#This Row],[Instruction]]="","",MARÍTIMOS[[#This Row],[Instruction]]),"")</f>
        <v>RH-0760</v>
      </c>
      <c r="E39" s="52"/>
      <c r="F39" s="53" t="str">
        <f>IFERROR(IF(MARÍTIMOS[[#This Row],[Transportista]]="","",MARÍTIMOS[[#This Row],[Transportista]]),"")</f>
        <v>Cititrans</v>
      </c>
      <c r="G39" s="53" t="str">
        <f>IFERROR(IF(MARÍTIMOS[[#This Row],[Tercero]]="","",MARÍTIMOS[[#This Row],[Tercero]]),"")</f>
        <v>NO</v>
      </c>
      <c r="H39" s="53" t="str">
        <f>IFERROR(IF(MARÍTIMOS[[#This Row],[Razón Social]]="","",MARÍTIMOS[[#This Row],[Razón Social]]),"")</f>
        <v>CITITRANS</v>
      </c>
      <c r="I39" s="53">
        <f>IFERROR(IF(MARÍTIMOS[[#This Row],[RUC]]="","",MARÍTIMOS[[#This Row],[RUC]]),"")</f>
        <v>20609553376</v>
      </c>
      <c r="J39" s="53" t="str">
        <f>IFERROR(IF(MARÍTIMOS[[#This Row],[Placa Tracto]]="","",MARÍTIMOS[[#This Row],[Placa Tracto]]),"")</f>
        <v>BTO-724</v>
      </c>
      <c r="K39" s="53" t="str">
        <f>IFERROR(IF(MARÍTIMOS[[#This Row],[Placa Carreta]]="","",MARÍTIMOS[[#This Row],[Placa Carreta]]),"")</f>
        <v>BEI-989</v>
      </c>
      <c r="L39" s="54" t="str">
        <f>IFERROR(IF(MARÍTIMOS[[#This Row],[Conductor]]="","",MARÍTIMOS[[#This Row],[Conductor]]),"")</f>
        <v>JESUS BORJAS</v>
      </c>
      <c r="M39" s="53" t="str">
        <f>IFERROR(IF(MARÍTIMOS[[#This Row],[Licencia]]="","",MARÍTIMOS[[#This Row],[Licencia]]),"")</f>
        <v>Q004929045</v>
      </c>
      <c r="N39" s="53" t="str">
        <f>IFERROR(IF(MARÍTIMOS[[#This Row],[Número de Contacto]]="","",MARÍTIMOS[[#This Row],[Número de Contacto]]),"")</f>
        <v>927 690 438</v>
      </c>
      <c r="O39" s="55" t="str">
        <f>IFERROR(IF(MARÍTIMOS[[#This Row],[Booking|AWB|CRT]]="","",MARÍTIMOS[[#This Row],[Booking|AWB|CRT]]),"")</f>
        <v>751600050662   </v>
      </c>
      <c r="P39" s="53" t="str">
        <f>IFERROR(IF(MARÍTIMOS[[#This Row],[Contenedor]]="","",MARÍTIMOS[[#This Row],[Contenedor]]),"")</f>
        <v>OTPU6212374</v>
      </c>
      <c r="Q39" s="53" t="str">
        <f>IFERROR(IF(MARÍTIMOS[[#This Row],[Puerto de Retiro]]="","",MARÍTIMOS[[#This Row],[Puerto de Retiro]]),"")</f>
        <v>CALLAO</v>
      </c>
      <c r="R39" s="53" t="str">
        <f>IFERROR(IF(MARÍTIMOS[[#This Row],[Almacén de Retiro]]="","",MARÍTIMOS[[#This Row],[Almacén de Retiro]]),"")</f>
        <v>DPW</v>
      </c>
      <c r="S39" s="56">
        <f>IFERROR(IF(MARÍTIMOS[[#This Row],[Etapa Retiro - Cita]]="","",MARÍTIMOS[[#This Row],[Etapa Retiro - Cita]]),"")</f>
        <v>46277.666666666664</v>
      </c>
      <c r="T39" s="56">
        <f>IFERROR(IF(MARÍTIMOS[[#This Row],[Etapa Retiro - Llegada]]="","",MARÍTIMOS[[#This Row],[Etapa Retiro - Llegada]]),"")</f>
        <v>46277.690972222219</v>
      </c>
      <c r="U39" s="56">
        <f>IFERROR(IF(MARÍTIMOS[[#This Row],[Etapa Retiro - Ingreso]]="","",MARÍTIMOS[[#This Row],[Etapa Retiro - Ingreso]]),"")</f>
        <v>46277.697222222225</v>
      </c>
      <c r="V39" s="56">
        <f>IFERROR(IF(MARÍTIMOS[[#This Row],[Etapa Retiro - Atención]]="","",MARÍTIMOS[[#This Row],[Etapa Retiro - Atención]]),"")</f>
        <v>46277.701388888891</v>
      </c>
      <c r="W39" s="56">
        <f>IFERROR(IF(MARÍTIMOS[[#This Row],[Etapa Retiro - Atención]]="","",MARÍTIMOS[[#This Row],[Etapa Retiro - Atención]]),"")</f>
        <v>46277.701388888891</v>
      </c>
      <c r="X39" s="56">
        <f>IFERROR(IF(MARÍTIMOS[[#This Row],[Etapa Retiro - Inicio de Ruta]]="","",MARÍTIMOS[[#This Row],[Etapa Retiro - Inicio de Ruta]]),"")</f>
        <v>46277.730555555558</v>
      </c>
      <c r="Y39" s="56">
        <f>IFERROR(IF(MARÍTIMOS[[#This Row],[Hora de Posicionamiento]]="","",MARÍTIMOS[[#This Row],[Fecha de Carga]]+MARÍTIMOS[[#This Row],[Hora de Posicionamiento]]),"")</f>
        <v>46278.5</v>
      </c>
      <c r="Z39" s="56">
        <f>IFERROR(IF(MARÍTIMOS[[#This Row],[Etapa Despacho - Llegada]]="","",MARÍTIMOS[[#This Row],[Etapa Despacho - Llegada]]),"")</f>
        <v>46278.446527777778</v>
      </c>
      <c r="AA39" s="56">
        <f>IFERROR(IF(MARÍTIMOS[[#This Row],[Etapa Despacho - Registro]]="","",MARÍTIMOS[[#This Row],[Etapa Despacho - Registro]]),"")</f>
        <v>46278.458333333336</v>
      </c>
      <c r="AB39" s="56">
        <f>IFERROR(IF(MARÍTIMOS[[#This Row],[Inspección Externa]]="","",MARÍTIMOS[[#This Row],[Inspección Externa]]),"")</f>
        <v>46278.5</v>
      </c>
      <c r="AC39" s="56">
        <f>IFERROR(IF(MARÍTIMOS[[#This Row],[Etapa Despacho - Inicio de Carga]]="","",MARÍTIMOS[[#This Row],[Etapa Despacho - Inicio de Carga]]),"")</f>
        <v>46278.666666666664</v>
      </c>
      <c r="AD39" s="56">
        <f>IFERROR(IF(MARÍTIMOS[[#This Row],[Etapa Despacho - Mitad de Carga]]="","",MARÍTIMOS[[#This Row],[Etapa Despacho - Mitad de Carga]]),"")</f>
        <v>46278.708333333336</v>
      </c>
      <c r="AE39" s="56">
        <f>IFERROR(IF(MARÍTIMOS[[#This Row],[Etapa Despacho - Fin de Carga]]="","",MARÍTIMOS[[#This Row],[Etapa Despacho - Fin de Carga]]),"")</f>
        <v>46278.729166666664</v>
      </c>
      <c r="AF39" s="53" t="str">
        <f>IFERROR(IF(MARÍTIMOS[[#This Row],[Puerto de Embarque]]="","",MARÍTIMOS[[#This Row],[Puerto de Embarque]]),"")</f>
        <v>CALLAO</v>
      </c>
      <c r="AG39" s="53" t="str">
        <f>IFERROR(IF(MARÍTIMOS[[#This Row],[Almacén de Ingreso]]="","",MARÍTIMOS[[#This Row],[Almacén de Ingreso]]),"")</f>
        <v>DPW</v>
      </c>
      <c r="AH39" s="56">
        <f>IFERROR(IF(MARÍTIMOS[[#This Row],[Etapa Ingreso - Cita]]="","",MARÍTIMOS[[#This Row],[Etapa Ingreso - Cita]]),"")</f>
        <v>46279.5</v>
      </c>
      <c r="AI39" s="56">
        <f>IFERROR(IF(MARÍTIMOS[[#This Row],[Etapa Ingreso - Llegada]]="","",MARÍTIMOS[[#This Row],[Etapa Ingreso - Llegada]]),"")</f>
        <v>46279.464583333334</v>
      </c>
      <c r="AJ39" s="56">
        <f>IFERROR(IF(MARÍTIMOS[[#This Row],[Etapa Ingreso - Ingeso]]="","",MARÍTIMOS[[#This Row],[Etapa Ingreso - Ingeso]]),"")</f>
        <v>46279.522916666669</v>
      </c>
      <c r="AK39" s="56">
        <f>IFERROR(IF(MARÍTIMOS[[#This Row],[Etapa Ingreso - Atención]]="","",MARÍTIMOS[[#This Row],[Etapa Ingreso - Atención]]),"")</f>
        <v>46279.53125</v>
      </c>
      <c r="AL39" s="56">
        <f>IFERROR(IF(MARÍTIMOS[[#This Row],[Etapa Ingreso - Salida]]="","",MARÍTIMOS[[#This Row],[Etapa Ingreso - Salida]]),"")</f>
        <v>46279.551388888889</v>
      </c>
      <c r="AM39" s="53">
        <f>IFERROR(IF(MARÍTIMOS[[#This Row],[FCL]]="","",MARÍTIMOS[[#This Row],[FCL]]),"")</f>
        <v>1</v>
      </c>
      <c r="AN39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9" s="4" t="str" cm="1">
        <f t="array" ref="AO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" s="6">
        <f>IFERROR(OLDBD[[#This Row],[Llegada a packing]]-OLDBD[[#This Row],[Inicio de Ruta]],"")</f>
        <v>0.71597222222044365</v>
      </c>
      <c r="AQ39" s="6">
        <f>IFERROR(OLDBD[[#This Row],[Inicio de Ruta]]-OLDBD[[#This Row],[Salida de almacén de retiro]],"")</f>
        <v>2.9166666667151731E-2</v>
      </c>
      <c r="AR39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9" s="8" t="str" cm="1">
        <f t="array" ref="AS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9" s="9">
        <f>IFERROR(OLDBD[[#This Row],[Ingreso Packing]]-OLDBD[[#This Row],[Registro en Packing]],"")</f>
        <v>4.1666666664241347E-2</v>
      </c>
      <c r="AV39" s="9">
        <f>IFERROR(OLDBD[[#This Row],[Ingreso Packing]]-OLDBD[[#This Row],[Llegada a packing]],"")</f>
        <v>5.3472222221898846E-2</v>
      </c>
      <c r="AW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9" s="6">
        <f>IFERROR(OLDBD[[#This Row],[Llegada Almacén de Ingreso]]-OLDBD[[#This Row],[Salida Packing]],"")</f>
        <v>0.73541666667006211</v>
      </c>
      <c r="AY39" s="4" t="str" cm="1">
        <f t="array" ref="AY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9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9" s="58" t="s">
        <v>173</v>
      </c>
      <c r="BB39" s="59" t="str">
        <f>IFERROR(IF(MARÍTIMOS[[#This Row],[Estatus]]="","",MARÍTIMOS[[#This Row],[Estatus]]),"")</f>
        <v>Confirmado</v>
      </c>
      <c r="BC39" s="58"/>
      <c r="BD39" s="60">
        <f>IFERROR(OLDBD[[#This Row],[Salida de almacén de retiro]]-OLDBD[[#This Row],[Ingreso Almacén de retiro]],"")</f>
        <v>4.166666665696539E-3</v>
      </c>
      <c r="BE39" s="60">
        <f>IFERROR(OLDBD[[#This Row],[Fin de Carga]]-OLDBD[[#This Row],[Inicio de Carga]],"")</f>
        <v>4.1666666671517305E-2</v>
      </c>
    </row>
    <row r="40" spans="1:57" hidden="1">
      <c r="A40" s="52"/>
      <c r="B40" s="52">
        <f>IFERROR(IF(MARÍTIMOS[[#This Row],[PP]]="","",MARÍTIMOS[[#This Row],[PP]]),"")</f>
        <v>37</v>
      </c>
      <c r="C40" s="52" t="str">
        <f>IFERROR(IF(MARÍTIMOS[[#This Row],[Sede]]="","",MARÍTIMOS[[#This Row],[Sede]]),"")</f>
        <v>Chao</v>
      </c>
      <c r="D40" s="52" t="str">
        <f>IFERROR(IF(MARÍTIMOS[[#This Row],[Instruction]]="","",MARÍTIMOS[[#This Row],[Instruction]]),"")</f>
        <v>RH-0761</v>
      </c>
      <c r="E40" s="52"/>
      <c r="F40" s="53" t="str">
        <f>IFERROR(IF(MARÍTIMOS[[#This Row],[Transportista]]="","",MARÍTIMOS[[#This Row],[Transportista]]),"")</f>
        <v>Cititrans</v>
      </c>
      <c r="G40" s="53" t="str">
        <f>IFERROR(IF(MARÍTIMOS[[#This Row],[Tercero]]="","",MARÍTIMOS[[#This Row],[Tercero]]),"")</f>
        <v>NO</v>
      </c>
      <c r="H40" s="53" t="str">
        <f>IFERROR(IF(MARÍTIMOS[[#This Row],[Razón Social]]="","",MARÍTIMOS[[#This Row],[Razón Social]]),"")</f>
        <v>CITITRANS</v>
      </c>
      <c r="I40" s="53">
        <f>IFERROR(IF(MARÍTIMOS[[#This Row],[RUC]]="","",MARÍTIMOS[[#This Row],[RUC]]),"")</f>
        <v>20609553376</v>
      </c>
      <c r="J40" s="53" t="str">
        <f>IFERROR(IF(MARÍTIMOS[[#This Row],[Placa Tracto]]="","",MARÍTIMOS[[#This Row],[Placa Tracto]]),"")</f>
        <v>BTO-751</v>
      </c>
      <c r="K40" s="53" t="str">
        <f>IFERROR(IF(MARÍTIMOS[[#This Row],[Placa Carreta]]="","",MARÍTIMOS[[#This Row],[Placa Carreta]]),"")</f>
        <v>BEJ-972</v>
      </c>
      <c r="L40" s="54" t="str">
        <f>IFERROR(IF(MARÍTIMOS[[#This Row],[Conductor]]="","",MARÍTIMOS[[#This Row],[Conductor]]),"")</f>
        <v>PERCY ZAVALETA</v>
      </c>
      <c r="M40" s="53" t="str">
        <f>IFERROR(IF(MARÍTIMOS[[#This Row],[Licencia]]="","",MARÍTIMOS[[#This Row],[Licencia]]),"")</f>
        <v>D80565321</v>
      </c>
      <c r="N40" s="53" t="str">
        <f>IFERROR(IF(MARÍTIMOS[[#This Row],[Número de Contacto]]="","",MARÍTIMOS[[#This Row],[Número de Contacto]]),"")</f>
        <v>997 848 060</v>
      </c>
      <c r="O40" s="55" t="str">
        <f>IFERROR(IF(MARÍTIMOS[[#This Row],[Booking|AWB|CRT]]="","",MARÍTIMOS[[#This Row],[Booking|AWB|CRT]]),"")</f>
        <v>751600050637</v>
      </c>
      <c r="P40" s="53" t="str">
        <f>IFERROR(IF(MARÍTIMOS[[#This Row],[Contenedor]]="","",MARÍTIMOS[[#This Row],[Contenedor]]),"")</f>
        <v>EMCU5397840</v>
      </c>
      <c r="Q40" s="53" t="str">
        <f>IFERROR(IF(MARÍTIMOS[[#This Row],[Puerto de Retiro]]="","",MARÍTIMOS[[#This Row],[Puerto de Retiro]]),"")</f>
        <v>CALLAO</v>
      </c>
      <c r="R40" s="53" t="str">
        <f>IFERROR(IF(MARÍTIMOS[[#This Row],[Almacén de Retiro]]="","",MARÍTIMOS[[#This Row],[Almacén de Retiro]]),"")</f>
        <v>DPW</v>
      </c>
      <c r="S40" s="56">
        <f>IFERROR(IF(MARÍTIMOS[[#This Row],[Etapa Retiro - Cita]]="","",MARÍTIMOS[[#This Row],[Etapa Retiro - Cita]]),"")</f>
        <v>46277.666666666664</v>
      </c>
      <c r="T40" s="56">
        <f>IFERROR(IF(MARÍTIMOS[[#This Row],[Etapa Retiro - Llegada]]="","",MARÍTIMOS[[#This Row],[Etapa Retiro - Llegada]]),"")</f>
        <v>46277.632638888892</v>
      </c>
      <c r="U40" s="56">
        <f>IFERROR(IF(MARÍTIMOS[[#This Row],[Etapa Retiro - Ingreso]]="","",MARÍTIMOS[[#This Row],[Etapa Retiro - Ingreso]]),"")</f>
        <v>46277.640277777777</v>
      </c>
      <c r="V40" s="56">
        <f>IFERROR(IF(MARÍTIMOS[[#This Row],[Etapa Retiro - Atención]]="","",MARÍTIMOS[[#This Row],[Etapa Retiro - Atención]]),"")</f>
        <v>46277.656944444447</v>
      </c>
      <c r="W40" s="56">
        <f>IFERROR(IF(MARÍTIMOS[[#This Row],[Etapa Retiro - Atención]]="","",MARÍTIMOS[[#This Row],[Etapa Retiro - Atención]]),"")</f>
        <v>46277.656944444447</v>
      </c>
      <c r="X40" s="56">
        <f>IFERROR(IF(MARÍTIMOS[[#This Row],[Etapa Retiro - Inicio de Ruta]]="","",MARÍTIMOS[[#This Row],[Etapa Retiro - Inicio de Ruta]]),"")</f>
        <v>46277.718055555553</v>
      </c>
      <c r="Y40" s="56">
        <f>IFERROR(IF(MARÍTIMOS[[#This Row],[Hora de Posicionamiento]]="","",MARÍTIMOS[[#This Row],[Fecha de Carga]]+MARÍTIMOS[[#This Row],[Hora de Posicionamiento]]),"")</f>
        <v>46278.583333333336</v>
      </c>
      <c r="Z40" s="56">
        <f>IFERROR(IF(MARÍTIMOS[[#This Row],[Etapa Despacho - Llegada]]="","",MARÍTIMOS[[#This Row],[Etapa Despacho - Llegada]]),"")</f>
        <v>46278.464583333334</v>
      </c>
      <c r="AA40" s="56">
        <f>IFERROR(IF(MARÍTIMOS[[#This Row],[Etapa Despacho - Registro]]="","",MARÍTIMOS[[#This Row],[Etapa Despacho - Registro]]),"")</f>
        <v>46278.46875</v>
      </c>
      <c r="AB40" s="56">
        <f>IFERROR(IF(MARÍTIMOS[[#This Row],[Inspección Externa]]="","",MARÍTIMOS[[#This Row],[Inspección Externa]]),"")</f>
        <v>46278.479166666664</v>
      </c>
      <c r="AC40" s="56">
        <f>IFERROR(IF(MARÍTIMOS[[#This Row],[Etapa Despacho - Inicio de Carga]]="","",MARÍTIMOS[[#This Row],[Etapa Despacho - Inicio de Carga]]),"")</f>
        <v>46278.625</v>
      </c>
      <c r="AD40" s="56">
        <f>IFERROR(IF(MARÍTIMOS[[#This Row],[Etapa Despacho - Mitad de Carga]]="","",MARÍTIMOS[[#This Row],[Etapa Despacho - Mitad de Carga]]),"")</f>
        <v>46278.6875</v>
      </c>
      <c r="AE40" s="56">
        <f>IFERROR(IF(MARÍTIMOS[[#This Row],[Etapa Despacho - Fin de Carga]]="","",MARÍTIMOS[[#This Row],[Etapa Despacho - Fin de Carga]]),"")</f>
        <v>46278.708333333336</v>
      </c>
      <c r="AF40" s="53" t="str">
        <f>IFERROR(IF(MARÍTIMOS[[#This Row],[Puerto de Embarque]]="","",MARÍTIMOS[[#This Row],[Puerto de Embarque]]),"")</f>
        <v>CALLAO</v>
      </c>
      <c r="AG40" s="53" t="str">
        <f>IFERROR(IF(MARÍTIMOS[[#This Row],[Almacén de Ingreso]]="","",MARÍTIMOS[[#This Row],[Almacén de Ingreso]]),"")</f>
        <v>DPW</v>
      </c>
      <c r="AH40" s="56">
        <f>IFERROR(IF(MARÍTIMOS[[#This Row],[Etapa Ingreso - Cita]]="","",MARÍTIMOS[[#This Row],[Etapa Ingreso - Cita]]),"")</f>
        <v>46279.583333333336</v>
      </c>
      <c r="AI40" s="56">
        <f>IFERROR(IF(MARÍTIMOS[[#This Row],[Etapa Ingreso - Llegada]]="","",MARÍTIMOS[[#This Row],[Etapa Ingreso - Llegada]]),"")</f>
        <v>46279.518055555556</v>
      </c>
      <c r="AJ40" s="56">
        <f>IFERROR(IF(MARÍTIMOS[[#This Row],[Etapa Ingreso - Ingeso]]="","",MARÍTIMOS[[#This Row],[Etapa Ingreso - Ingeso]]),"")</f>
        <v>46279.540277777778</v>
      </c>
      <c r="AK40" s="56">
        <f>IFERROR(IF(MARÍTIMOS[[#This Row],[Etapa Ingreso - Atención]]="","",MARÍTIMOS[[#This Row],[Etapa Ingreso - Atención]]),"")</f>
        <v>46279.54583333333</v>
      </c>
      <c r="AL40" s="56">
        <f>IFERROR(IF(MARÍTIMOS[[#This Row],[Etapa Ingreso - Salida]]="","",MARÍTIMOS[[#This Row],[Etapa Ingreso - Salida]]),"")</f>
        <v>46279.55972222222</v>
      </c>
      <c r="AM40" s="53">
        <f>IFERROR(IF(MARÍTIMOS[[#This Row],[FCL]]="","",MARÍTIMOS[[#This Row],[FCL]]),"")</f>
        <v>1</v>
      </c>
      <c r="AN40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" s="4" t="str" cm="1">
        <f t="array" ref="AO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" s="6">
        <f>IFERROR(OLDBD[[#This Row],[Llegada a packing]]-OLDBD[[#This Row],[Inicio de Ruta]],"")</f>
        <v>0.74652777778101154</v>
      </c>
      <c r="AQ40" s="6">
        <f>IFERROR(OLDBD[[#This Row],[Inicio de Ruta]]-OLDBD[[#This Row],[Salida de almacén de retiro]],"")</f>
        <v>6.1111111106583849E-2</v>
      </c>
      <c r="AR40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0" s="8" t="str" cm="1">
        <f t="array" ref="AS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0" s="9">
        <f>IFERROR(OLDBD[[#This Row],[Ingreso Packing]]-OLDBD[[#This Row],[Registro en Packing]],"")</f>
        <v>1.0416666664241347E-2</v>
      </c>
      <c r="AV40" s="9">
        <f>IFERROR(OLDBD[[#This Row],[Ingreso Packing]]-OLDBD[[#This Row],[Llegada a packing]],"")</f>
        <v>1.4583333329937886E-2</v>
      </c>
      <c r="AW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40" s="6">
        <f>IFERROR(OLDBD[[#This Row],[Llegada Almacén de Ingreso]]-OLDBD[[#This Row],[Salida Packing]],"")</f>
        <v>0.80972222222044365</v>
      </c>
      <c r="AY40" s="4" t="str" cm="1">
        <f t="array" ref="AY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" s="58" t="s">
        <v>173</v>
      </c>
      <c r="BB40" s="59" t="str">
        <f>IFERROR(IF(MARÍTIMOS[[#This Row],[Estatus]]="","",MARÍTIMOS[[#This Row],[Estatus]]),"")</f>
        <v>Confirmado</v>
      </c>
      <c r="BC40" s="58"/>
      <c r="BD40" s="60">
        <f>IFERROR(OLDBD[[#This Row],[Salida de almacén de retiro]]-OLDBD[[#This Row],[Ingreso Almacén de retiro]],"")</f>
        <v>1.6666666670062114E-2</v>
      </c>
      <c r="BE40" s="60">
        <f>IFERROR(OLDBD[[#This Row],[Fin de Carga]]-OLDBD[[#This Row],[Inicio de Carga]],"")</f>
        <v>6.25E-2</v>
      </c>
    </row>
    <row r="41" spans="1:57" hidden="1">
      <c r="A41" s="52"/>
      <c r="B41" s="52">
        <f>IFERROR(IF(MARÍTIMOS[[#This Row],[PP]]="","",MARÍTIMOS[[#This Row],[PP]]),"")</f>
        <v>37</v>
      </c>
      <c r="C41" s="52" t="str">
        <f>IFERROR(IF(MARÍTIMOS[[#This Row],[Sede]]="","",MARÍTIMOS[[#This Row],[Sede]]),"")</f>
        <v>Chao</v>
      </c>
      <c r="D41" s="52" t="str">
        <f>IFERROR(IF(MARÍTIMOS[[#This Row],[Instruction]]="","",MARÍTIMOS[[#This Row],[Instruction]]),"")</f>
        <v>RH-0762</v>
      </c>
      <c r="E41" s="52"/>
      <c r="F41" s="53" t="str">
        <f>IFERROR(IF(MARÍTIMOS[[#This Row],[Transportista]]="","",MARÍTIMOS[[#This Row],[Transportista]]),"")</f>
        <v>Cititrans</v>
      </c>
      <c r="G41" s="53" t="str">
        <f>IFERROR(IF(MARÍTIMOS[[#This Row],[Tercero]]="","",MARÍTIMOS[[#This Row],[Tercero]]),"")</f>
        <v>NO</v>
      </c>
      <c r="H41" s="53" t="str">
        <f>IFERROR(IF(MARÍTIMOS[[#This Row],[Razón Social]]="","",MARÍTIMOS[[#This Row],[Razón Social]]),"")</f>
        <v>CITITRANS</v>
      </c>
      <c r="I41" s="53">
        <f>IFERROR(IF(MARÍTIMOS[[#This Row],[RUC]]="","",MARÍTIMOS[[#This Row],[RUC]]),"")</f>
        <v>20609553376</v>
      </c>
      <c r="J41" s="53" t="str">
        <f>IFERROR(IF(MARÍTIMOS[[#This Row],[Placa Tracto]]="","",MARÍTIMOS[[#This Row],[Placa Tracto]]),"")</f>
        <v>CAR746</v>
      </c>
      <c r="K41" s="53" t="str">
        <f>IFERROR(IF(MARÍTIMOS[[#This Row],[Placa Carreta]]="","",MARÍTIMOS[[#This Row],[Placa Carreta]]),"")</f>
        <v>BMZ988</v>
      </c>
      <c r="L41" s="54" t="str">
        <f>IFERROR(IF(MARÍTIMOS[[#This Row],[Conductor]]="","",MARÍTIMOS[[#This Row],[Conductor]]),"")</f>
        <v>JULIO CESAR GUIZADO SAEZ</v>
      </c>
      <c r="M41" s="53" t="str">
        <f>IFERROR(IF(MARÍTIMOS[[#This Row],[Licencia]]="","",MARÍTIMOS[[#This Row],[Licencia]]),"")</f>
        <v>Q41447197</v>
      </c>
      <c r="N41" s="53" t="str">
        <f>IFERROR(IF(MARÍTIMOS[[#This Row],[Número de Contacto]]="","",MARÍTIMOS[[#This Row],[Número de Contacto]]),"")</f>
        <v>960 123 825</v>
      </c>
      <c r="O41" s="55">
        <f>IFERROR(IF(MARÍTIMOS[[#This Row],[Booking|AWB|CRT]]="","",MARÍTIMOS[[#This Row],[Booking|AWB|CRT]]),"")</f>
        <v>751600050653</v>
      </c>
      <c r="P41" s="53" t="str">
        <f>IFERROR(IF(MARÍTIMOS[[#This Row],[Contenedor]]="","",MARÍTIMOS[[#This Row],[Contenedor]]),"")</f>
        <v>EMCU5406900</v>
      </c>
      <c r="Q41" s="53" t="str">
        <f>IFERROR(IF(MARÍTIMOS[[#This Row],[Puerto de Retiro]]="","",MARÍTIMOS[[#This Row],[Puerto de Retiro]]),"")</f>
        <v>CALLAO</v>
      </c>
      <c r="R41" s="53" t="str">
        <f>IFERROR(IF(MARÍTIMOS[[#This Row],[Almacén de Retiro]]="","",MARÍTIMOS[[#This Row],[Almacén de Retiro]]),"")</f>
        <v>DPW</v>
      </c>
      <c r="S41" s="56">
        <f>IFERROR(IF(MARÍTIMOS[[#This Row],[Etapa Retiro - Cita]]="","",MARÍTIMOS[[#This Row],[Etapa Retiro - Cita]]),"")</f>
        <v>46278.583333333336</v>
      </c>
      <c r="T41" s="56">
        <f>IFERROR(IF(MARÍTIMOS[[#This Row],[Etapa Retiro - Llegada]]="","",MARÍTIMOS[[#This Row],[Etapa Retiro - Llegada]]),"")</f>
        <v>46278.561111111114</v>
      </c>
      <c r="U41" s="56">
        <f>IFERROR(IF(MARÍTIMOS[[#This Row],[Etapa Retiro - Ingreso]]="","",MARÍTIMOS[[#This Row],[Etapa Retiro - Ingreso]]),"")</f>
        <v>46278.561805555553</v>
      </c>
      <c r="V41" s="56">
        <f>IFERROR(IF(MARÍTIMOS[[#This Row],[Etapa Retiro - Atención]]="","",MARÍTIMOS[[#This Row],[Etapa Retiro - Atención]]),"")</f>
        <v>46278.564583333333</v>
      </c>
      <c r="W41" s="56">
        <f>IFERROR(IF(MARÍTIMOS[[#This Row],[Etapa Retiro - Atención]]="","",MARÍTIMOS[[#This Row],[Etapa Retiro - Atención]]),"")</f>
        <v>46278.564583333333</v>
      </c>
      <c r="X41" s="56">
        <f>IFERROR(IF(MARÍTIMOS[[#This Row],[Etapa Retiro - Inicio de Ruta]]="","",MARÍTIMOS[[#This Row],[Etapa Retiro - Inicio de Ruta]]),"")</f>
        <v>46278.769444444442</v>
      </c>
      <c r="Y41" s="56">
        <f>IFERROR(IF(MARÍTIMOS[[#This Row],[Hora de Posicionamiento]]="","",MARÍTIMOS[[#This Row],[Fecha de Carga]]+MARÍTIMOS[[#This Row],[Hora de Posicionamiento]]),"")</f>
        <v>46279.5</v>
      </c>
      <c r="Z41" s="56">
        <f>IFERROR(IF(MARÍTIMOS[[#This Row],[Etapa Despacho - Llegada]]="","",MARÍTIMOS[[#This Row],[Etapa Despacho - Llegada]]),"")</f>
        <v>46279.5</v>
      </c>
      <c r="AA41" s="56">
        <f>IFERROR(IF(MARÍTIMOS[[#This Row],[Etapa Despacho - Registro]]="","",MARÍTIMOS[[#This Row],[Etapa Despacho - Registro]]),"")</f>
        <v>46279.493750000001</v>
      </c>
      <c r="AB41" s="56">
        <f>IFERROR(IF(MARÍTIMOS[[#This Row],[Inspección Externa]]="","",MARÍTIMOS[[#This Row],[Inspección Externa]]),"")</f>
        <v>46279.541666666664</v>
      </c>
      <c r="AC41" s="56">
        <f>IFERROR(IF(MARÍTIMOS[[#This Row],[Etapa Despacho - Inicio de Carga]]="","",MARÍTIMOS[[#This Row],[Etapa Despacho - Inicio de Carga]]),"")</f>
        <v>46279.666666666664</v>
      </c>
      <c r="AD41" s="56">
        <f>IFERROR(IF(MARÍTIMOS[[#This Row],[Etapa Despacho - Mitad de Carga]]="","",MARÍTIMOS[[#This Row],[Etapa Despacho - Mitad de Carga]]),"")</f>
        <v>46279.708333333336</v>
      </c>
      <c r="AE41" s="56">
        <f>IFERROR(IF(MARÍTIMOS[[#This Row],[Etapa Despacho - Fin de Carga]]="","",MARÍTIMOS[[#This Row],[Etapa Despacho - Fin de Carga]]),"")</f>
        <v>46279.75</v>
      </c>
      <c r="AF41" s="53" t="str">
        <f>IFERROR(IF(MARÍTIMOS[[#This Row],[Puerto de Embarque]]="","",MARÍTIMOS[[#This Row],[Puerto de Embarque]]),"")</f>
        <v>CALLAO</v>
      </c>
      <c r="AG41" s="53" t="str">
        <f>IFERROR(IF(MARÍTIMOS[[#This Row],[Almacén de Ingreso]]="","",MARÍTIMOS[[#This Row],[Almacén de Ingreso]]),"")</f>
        <v>DPW</v>
      </c>
      <c r="AH41" s="56">
        <f>IFERROR(IF(MARÍTIMOS[[#This Row],[Etapa Ingreso - Cita]]="","",MARÍTIMOS[[#This Row],[Etapa Ingreso - Cita]]),"")</f>
        <v>46280.541666666664</v>
      </c>
      <c r="AI41" s="56">
        <f>IFERROR(IF(MARÍTIMOS[[#This Row],[Etapa Ingreso - Llegada]]="","",MARÍTIMOS[[#This Row],[Etapa Ingreso - Llegada]]),"")</f>
        <v>46280.520833333336</v>
      </c>
      <c r="AJ41" s="56">
        <f>IFERROR(IF(MARÍTIMOS[[#This Row],[Etapa Ingreso - Ingeso]]="","",MARÍTIMOS[[#This Row],[Etapa Ingreso - Ingeso]]),"")</f>
        <v>46280.6875</v>
      </c>
      <c r="AK41" s="56">
        <f>IFERROR(IF(MARÍTIMOS[[#This Row],[Etapa Ingreso - Atención]]="","",MARÍTIMOS[[#This Row],[Etapa Ingreso - Atención]]),"")</f>
        <v>46280.71875</v>
      </c>
      <c r="AL41" s="56">
        <f>IFERROR(IF(MARÍTIMOS[[#This Row],[Etapa Ingreso - Salida]]="","",MARÍTIMOS[[#This Row],[Etapa Ingreso - Salida]]),"")</f>
        <v>46280.75277777778</v>
      </c>
      <c r="AM41" s="53">
        <f>IFERROR(IF(MARÍTIMOS[[#This Row],[FCL]]="","",MARÍTIMOS[[#This Row],[FCL]]),"")</f>
        <v>1</v>
      </c>
      <c r="AN41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" s="4" t="str" cm="1">
        <f t="array" ref="AO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" s="6">
        <f>IFERROR(OLDBD[[#This Row],[Llegada a packing]]-OLDBD[[#This Row],[Inicio de Ruta]],"")</f>
        <v>0.7305555555576575</v>
      </c>
      <c r="AQ41" s="6">
        <f>IFERROR(OLDBD[[#This Row],[Inicio de Ruta]]-OLDBD[[#This Row],[Salida de almacén de retiro]],"")</f>
        <v>0.20486111110949423</v>
      </c>
      <c r="AR41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" s="8" t="str" cm="1">
        <f t="array" ref="AS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1" s="9">
        <f>IFERROR(OLDBD[[#This Row],[Ingreso Packing]]-OLDBD[[#This Row],[Registro en Packing]],"")</f>
        <v>4.7916666662786156E-2</v>
      </c>
      <c r="AV41" s="9">
        <f>IFERROR(OLDBD[[#This Row],[Ingreso Packing]]-OLDBD[[#This Row],[Llegada a packing]],"")</f>
        <v>4.1666666664241347E-2</v>
      </c>
      <c r="AW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41" s="6">
        <f>IFERROR(OLDBD[[#This Row],[Llegada Almacén de Ingreso]]-OLDBD[[#This Row],[Salida Packing]],"")</f>
        <v>0.77083333333575865</v>
      </c>
      <c r="AY41" s="4" t="str" cm="1">
        <f t="array" ref="AY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41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1" s="58" t="s">
        <v>173</v>
      </c>
      <c r="BB41" s="59" t="str">
        <f>IFERROR(IF(MARÍTIMOS[[#This Row],[Estatus]]="","",MARÍTIMOS[[#This Row],[Estatus]]),"")</f>
        <v>Confirmado</v>
      </c>
      <c r="BC41" s="58"/>
      <c r="BD41" s="60">
        <f>IFERROR(OLDBD[[#This Row],[Salida de almacén de retiro]]-OLDBD[[#This Row],[Ingreso Almacén de retiro]],"")</f>
        <v>2.7777777795563452E-3</v>
      </c>
      <c r="BE41" s="60">
        <f>IFERROR(OLDBD[[#This Row],[Fin de Carga]]-OLDBD[[#This Row],[Inicio de Carga]],"")</f>
        <v>4.1666666671517305E-2</v>
      </c>
    </row>
    <row r="42" spans="1:57" customFormat="1">
      <c r="A42" s="1"/>
      <c r="B42" s="1">
        <f>IFERROR(IF(MARÍTIMOS[[#This Row],[PP]]="","",MARÍTIMOS[[#This Row],[PP]]),"")</f>
        <v>38</v>
      </c>
      <c r="C42" s="1" t="str">
        <f>IFERROR(IF(MARÍTIMOS[[#This Row],[Sede]]="","",MARÍTIMOS[[#This Row],[Sede]]),"")</f>
        <v>Chao</v>
      </c>
      <c r="D42" s="1" t="str">
        <f>IFERROR(IF(MARÍTIMOS[[#This Row],[Instruction]]="","",MARÍTIMOS[[#This Row],[Instruction]]),"")</f>
        <v>RH-0810</v>
      </c>
      <c r="E42" s="1"/>
      <c r="F42" s="2" t="str">
        <f>IFERROR(IF(MARÍTIMOS[[#This Row],[Transportista]]="","",MARÍTIMOS[[#This Row],[Transportista]]),"")</f>
        <v>Cititrans</v>
      </c>
      <c r="G42" s="2" t="str">
        <f>IFERROR(IF(MARÍTIMOS[[#This Row],[Tercero]]="","",MARÍTIMOS[[#This Row],[Tercero]]),"")</f>
        <v>NO</v>
      </c>
      <c r="H42" s="2" t="str">
        <f>IFERROR(IF(MARÍTIMOS[[#This Row],[Razón Social]]="","",MARÍTIMOS[[#This Row],[Razón Social]]),"")</f>
        <v>CITITRANS</v>
      </c>
      <c r="I42" s="2">
        <f>IFERROR(IF(MARÍTIMOS[[#This Row],[RUC]]="","",MARÍTIMOS[[#This Row],[RUC]]),"")</f>
        <v>20609553376</v>
      </c>
      <c r="J42" s="2" t="str">
        <f>IFERROR(IF(MARÍTIMOS[[#This Row],[Placa Tracto]]="","",MARÍTIMOS[[#This Row],[Placa Tracto]]),"")</f>
        <v>BUP-765</v>
      </c>
      <c r="K42" s="2" t="str">
        <f>IFERROR(IF(MARÍTIMOS[[#This Row],[Placa Carreta]]="","",MARÍTIMOS[[#This Row],[Placa Carreta]]),"")</f>
        <v>BRU977</v>
      </c>
      <c r="L42" s="44" t="str">
        <f>IFERROR(IF(MARÍTIMOS[[#This Row],[Conductor]]="","",MARÍTIMOS[[#This Row],[Conductor]]),"")</f>
        <v>PABLO EDUARDO ROSELLO SAAVEDRA</v>
      </c>
      <c r="M42" s="2" t="str">
        <f>IFERROR(IF(MARÍTIMOS[[#This Row],[Licencia]]="","",MARÍTIMOS[[#This Row],[Licencia]]),"")</f>
        <v>Q45122809</v>
      </c>
      <c r="N42" s="2" t="str">
        <f>IFERROR(IF(MARÍTIMOS[[#This Row],[Número de Contacto]]="","",MARÍTIMOS[[#This Row],[Número de Contacto]]),"")</f>
        <v>979 312 270</v>
      </c>
      <c r="O42" s="10" t="str">
        <f>IFERROR(IF(MARÍTIMOS[[#This Row],[Booking|AWB|CRT]]="","",MARÍTIMOS[[#This Row],[Booking|AWB|CRT]]),"")</f>
        <v>LMM0610715</v>
      </c>
      <c r="P42" s="2" t="str">
        <f>IFERROR(IF(MARÍTIMOS[[#This Row],[Contenedor]]="","",MARÍTIMOS[[#This Row],[Contenedor]]),"")</f>
        <v>CGMU5613543</v>
      </c>
      <c r="Q42" s="2" t="str">
        <f>IFERROR(IF(MARÍTIMOS[[#This Row],[Puerto de Retiro]]="","",MARÍTIMOS[[#This Row],[Puerto de Retiro]]),"")</f>
        <v>CALLAO</v>
      </c>
      <c r="R42" s="2" t="str">
        <f>IFERROR(IF(MARÍTIMOS[[#This Row],[Almacén de Retiro]]="","",MARÍTIMOS[[#This Row],[Almacén de Retiro]]),"")</f>
        <v>IMUPESA</v>
      </c>
      <c r="S42" s="11">
        <f>IFERROR(IF(MARÍTIMOS[[#This Row],[Etapa Retiro - Cita]]="","",MARÍTIMOS[[#This Row],[Etapa Retiro - Cita]]),"")</f>
        <v>46282.583333333336</v>
      </c>
      <c r="T42" s="11">
        <f>IFERROR(IF(MARÍTIMOS[[#This Row],[Etapa Retiro - Llegada]]="","",MARÍTIMOS[[#This Row],[Etapa Retiro - Llegada]]),"")</f>
        <v>46282.574999999997</v>
      </c>
      <c r="U42" s="11">
        <f>IFERROR(IF(MARÍTIMOS[[#This Row],[Etapa Retiro - Ingreso]]="","",MARÍTIMOS[[#This Row],[Etapa Retiro - Ingreso]]),"")</f>
        <v>46282.585416666669</v>
      </c>
      <c r="V42" s="11">
        <f>IFERROR(IF(MARÍTIMOS[[#This Row],[Etapa Retiro - Atención]]="","",MARÍTIMOS[[#This Row],[Etapa Retiro - Atención]]),"")</f>
        <v>46282.591666666667</v>
      </c>
      <c r="W42" s="11">
        <f>IFERROR(IF(MARÍTIMOS[[#This Row],[Etapa Retiro - Atención]]="","",MARÍTIMOS[[#This Row],[Etapa Retiro - Atención]]),"")</f>
        <v>46282.591666666667</v>
      </c>
      <c r="X42" s="11">
        <f>IFERROR(IF(MARÍTIMOS[[#This Row],[Etapa Retiro - Inicio de Ruta]]="","",MARÍTIMOS[[#This Row],[Etapa Retiro - Inicio de Ruta]]),"")</f>
        <v>46282.713888888888</v>
      </c>
      <c r="Y42" s="11">
        <f>IFERROR(IF(MARÍTIMOS[[#This Row],[Hora de Posicionamiento]]="","",MARÍTIMOS[[#This Row],[Fecha de Carga]]+MARÍTIMOS[[#This Row],[Hora de Posicionamiento]]),"")</f>
        <v>46283.416666666664</v>
      </c>
      <c r="Z42" s="11">
        <f>IFERROR(IF(MARÍTIMOS[[#This Row],[Etapa Despacho - Llegada]]="","",MARÍTIMOS[[#This Row],[Etapa Despacho - Llegada]]),"")</f>
        <v>46283.375</v>
      </c>
      <c r="AA42" s="11">
        <f>IFERROR(IF(MARÍTIMOS[[#This Row],[Etapa Despacho - Registro]]="","",MARÍTIMOS[[#This Row],[Etapa Despacho - Registro]]),"")</f>
        <v>46283.390277777777</v>
      </c>
      <c r="AB42" s="11">
        <f>IFERROR(IF(MARÍTIMOS[[#This Row],[Inspección Externa]]="","",MARÍTIMOS[[#This Row],[Inspección Externa]]),"")</f>
        <v>46283.399305555555</v>
      </c>
      <c r="AC42" s="11">
        <f>IFERROR(IF(MARÍTIMOS[[#This Row],[Etapa Despacho - Inicio de Carga]]="","",MARÍTIMOS[[#This Row],[Etapa Despacho - Inicio de Carga]]),"")</f>
        <v>46283.548611111109</v>
      </c>
      <c r="AD42" s="11">
        <f>IFERROR(IF(MARÍTIMOS[[#This Row],[Etapa Despacho - Mitad de Carga]]="","",MARÍTIMOS[[#This Row],[Etapa Despacho - Mitad de Carga]]),"")</f>
        <v>46283.548611111109</v>
      </c>
      <c r="AE42" s="11">
        <f>IFERROR(IF(MARÍTIMOS[[#This Row],[Etapa Despacho - Fin de Carga]]="","",MARÍTIMOS[[#This Row],[Etapa Despacho - Fin de Carga]]),"")</f>
        <v>46279.743055555555</v>
      </c>
      <c r="AF42" s="2" t="str">
        <f>IFERROR(IF(MARÍTIMOS[[#This Row],[Puerto de Embarque]]="","",MARÍTIMOS[[#This Row],[Puerto de Embarque]]),"")</f>
        <v>CALLAO</v>
      </c>
      <c r="AG42" s="2" t="str">
        <f>IFERROR(IF(MARÍTIMOS[[#This Row],[Almacén de Ingreso]]="","",MARÍTIMOS[[#This Row],[Almacén de Ingreso]]),"")</f>
        <v>DPW</v>
      </c>
      <c r="AH42" s="11">
        <f>IFERROR(IF(MARÍTIMOS[[#This Row],[Etapa Ingreso - Cita]]="","",MARÍTIMOS[[#This Row],[Etapa Ingreso - Cita]]),"")</f>
        <v>46284.636805555558</v>
      </c>
      <c r="AI42" s="11">
        <f>IFERROR(IF(MARÍTIMOS[[#This Row],[Etapa Ingreso - Llegada]]="","",MARÍTIMOS[[#This Row],[Etapa Ingreso - Llegada]]),"")</f>
        <v>46284.683333333334</v>
      </c>
      <c r="AJ42" s="11">
        <f>IFERROR(IF(MARÍTIMOS[[#This Row],[Etapa Ingreso - Ingeso]]="","",MARÍTIMOS[[#This Row],[Etapa Ingreso - Ingeso]]),"")</f>
        <v>46279.697916666664</v>
      </c>
      <c r="AK42" s="11">
        <f>IFERROR(IF(MARÍTIMOS[[#This Row],[Etapa Ingreso - Atención]]="","",MARÍTIMOS[[#This Row],[Etapa Ingreso - Atención]]),"")</f>
        <v>46279.708333333336</v>
      </c>
      <c r="AL42" s="11">
        <f>IFERROR(IF(MARÍTIMOS[[#This Row],[Etapa Ingreso - Salida]]="","",MARÍTIMOS[[#This Row],[Etapa Ingreso - Salida]]),"")</f>
        <v>46284.726388888892</v>
      </c>
      <c r="AM42" s="2">
        <f>IFERROR(IF(MARÍTIMOS[[#This Row],[FCL]]="","",MARÍTIMOS[[#This Row],[FCL]]),"")</f>
        <v>1</v>
      </c>
      <c r="AN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2" s="4" t="str" cm="1">
        <f t="array" ref="AO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" s="5">
        <f>IFERROR(OLDBD[[#This Row],[Llegada a packing]]-OLDBD[[#This Row],[Inicio de Ruta]],"")</f>
        <v>0.66111111111240461</v>
      </c>
      <c r="AQ42" s="6">
        <f>IFERROR(OLDBD[[#This Row],[Inicio de Ruta]]-OLDBD[[#This Row],[Salida de almacén de retiro]],"")</f>
        <v>0.12222222222044365</v>
      </c>
      <c r="AR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2" s="8" t="str" cm="1">
        <f t="array" ref="AS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2" s="9">
        <f>IFERROR(OLDBD[[#This Row],[Ingreso Packing]]-OLDBD[[#This Row],[Registro en Packing]],"")</f>
        <v>9.0277777781011537E-3</v>
      </c>
      <c r="AV42" s="9">
        <f>IFERROR(OLDBD[[#This Row],[Ingreso Packing]]-OLDBD[[#This Row],[Llegada a packing]],"")</f>
        <v>2.4305555554747116E-2</v>
      </c>
      <c r="AW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42" s="5">
        <f>IFERROR(OLDBD[[#This Row],[Llegada Almacén de Ingreso]]-OLDBD[[#This Row],[Salida Packing]],"")</f>
        <v>4.9402777777795563</v>
      </c>
      <c r="AY42" s="4" t="str" cm="1">
        <f t="array" ref="AY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2" s="43" t="s">
        <v>173</v>
      </c>
      <c r="BB42" s="47" t="str">
        <f>IFERROR(IF(MARÍTIMOS[[#This Row],[Estatus]]="","",MARÍTIMOS[[#This Row],[Estatus]]),"")</f>
        <v>Confirmado</v>
      </c>
      <c r="BC42" s="43"/>
      <c r="BD42" s="46">
        <f>IFERROR(OLDBD[[#This Row],[Salida de almacén de retiro]]-OLDBD[[#This Row],[Ingreso Almacén de retiro]],"")</f>
        <v>6.2499999985448085E-3</v>
      </c>
      <c r="BE42" s="46">
        <f>IFERROR(OLDBD[[#This Row],[Fin de Carga]]-OLDBD[[#This Row],[Inicio de Carga]],"")</f>
        <v>0</v>
      </c>
    </row>
    <row r="43" spans="1:57" customFormat="1">
      <c r="A43" s="1"/>
      <c r="B43" s="1">
        <f>IFERROR(IF(MARÍTIMOS[[#This Row],[PP]]="","",MARÍTIMOS[[#This Row],[PP]]),"")</f>
        <v>38</v>
      </c>
      <c r="C43" s="1" t="str">
        <f>IFERROR(IF(MARÍTIMOS[[#This Row],[Sede]]="","",MARÍTIMOS[[#This Row],[Sede]]),"")</f>
        <v>Chao</v>
      </c>
      <c r="D43" s="1" t="str">
        <f>IFERROR(IF(MARÍTIMOS[[#This Row],[Instruction]]="","",MARÍTIMOS[[#This Row],[Instruction]]),"")</f>
        <v>RH-0801</v>
      </c>
      <c r="E43" s="1"/>
      <c r="F43" s="2" t="str">
        <f>IFERROR(IF(MARÍTIMOS[[#This Row],[Transportista]]="","",MARÍTIMOS[[#This Row],[Transportista]]),"")</f>
        <v>Cititrans</v>
      </c>
      <c r="G43" s="2" t="str">
        <f>IFERROR(IF(MARÍTIMOS[[#This Row],[Tercero]]="","",MARÍTIMOS[[#This Row],[Tercero]]),"")</f>
        <v>NO</v>
      </c>
      <c r="H43" s="2" t="str">
        <f>IFERROR(IF(MARÍTIMOS[[#This Row],[Razón Social]]="","",MARÍTIMOS[[#This Row],[Razón Social]]),"")</f>
        <v>CITITRANS</v>
      </c>
      <c r="I43" s="2">
        <f>IFERROR(IF(MARÍTIMOS[[#This Row],[RUC]]="","",MARÍTIMOS[[#This Row],[RUC]]),"")</f>
        <v>20609553376</v>
      </c>
      <c r="J43" s="2" t="str">
        <f>IFERROR(IF(MARÍTIMOS[[#This Row],[Placa Tracto]]="","",MARÍTIMOS[[#This Row],[Placa Tracto]]),"")</f>
        <v>CDK784</v>
      </c>
      <c r="K43" s="2" t="str">
        <f>IFERROR(IF(MARÍTIMOS[[#This Row],[Placa Carreta]]="","",MARÍTIMOS[[#This Row],[Placa Carreta]]),"")</f>
        <v>BRU977</v>
      </c>
      <c r="L43" s="44" t="str">
        <f>IFERROR(IF(MARÍTIMOS[[#This Row],[Conductor]]="","",MARÍTIMOS[[#This Row],[Conductor]]),"")</f>
        <v>SANTOS ALEX OSORIO GAMBOA</v>
      </c>
      <c r="M43" s="2" t="str">
        <f>IFERROR(IF(MARÍTIMOS[[#This Row],[Licencia]]="","",MARÍTIMOS[[#This Row],[Licencia]]),"")</f>
        <v>Q70762222</v>
      </c>
      <c r="N43" s="2" t="str">
        <f>IFERROR(IF(MARÍTIMOS[[#This Row],[Número de Contacto]]="","",MARÍTIMOS[[#This Row],[Número de Contacto]]),"")</f>
        <v>979 312 270</v>
      </c>
      <c r="O43" s="10">
        <f>IFERROR(IF(MARÍTIMOS[[#This Row],[Booking|AWB|CRT]]="","",MARÍTIMOS[[#This Row],[Booking|AWB|CRT]]),"")</f>
        <v>6466989870</v>
      </c>
      <c r="P43" s="2" t="str">
        <f>IFERROR(IF(MARÍTIMOS[[#This Row],[Contenedor]]="","",MARÍTIMOS[[#This Row],[Contenedor]]),"")</f>
        <v>FBIU5351541</v>
      </c>
      <c r="Q43" s="2" t="str">
        <f>IFERROR(IF(MARÍTIMOS[[#This Row],[Puerto de Retiro]]="","",MARÍTIMOS[[#This Row],[Puerto de Retiro]]),"")</f>
        <v>CHANCAY</v>
      </c>
      <c r="R43" s="2" t="str">
        <f>IFERROR(IF(MARÍTIMOS[[#This Row],[Almacén de Retiro]]="","",MARÍTIMOS[[#This Row],[Almacén de Retiro]]),"")</f>
        <v>CSPCP</v>
      </c>
      <c r="S43" s="11">
        <f>IFERROR(IF(MARÍTIMOS[[#This Row],[Etapa Retiro - Cita]]="","",MARÍTIMOS[[#This Row],[Etapa Retiro - Cita]]),"")</f>
        <v>46286.583333333336</v>
      </c>
      <c r="T43" s="11">
        <f>IFERROR(IF(MARÍTIMOS[[#This Row],[Etapa Retiro - Llegada]]="","",MARÍTIMOS[[#This Row],[Etapa Retiro - Llegada]]),"")</f>
        <v>46286.715277777781</v>
      </c>
      <c r="U43" s="11">
        <f>IFERROR(IF(MARÍTIMOS[[#This Row],[Etapa Retiro - Ingreso]]="","",MARÍTIMOS[[#This Row],[Etapa Retiro - Ingreso]]),"")</f>
        <v>46286.716666666667</v>
      </c>
      <c r="V43" s="11">
        <f>IFERROR(IF(MARÍTIMOS[[#This Row],[Etapa Retiro - Atención]]="","",MARÍTIMOS[[#This Row],[Etapa Retiro - Atención]]),"")</f>
        <v>46286.719444444447</v>
      </c>
      <c r="W43" s="11">
        <f>IFERROR(IF(MARÍTIMOS[[#This Row],[Etapa Retiro - Atención]]="","",MARÍTIMOS[[#This Row],[Etapa Retiro - Atención]]),"")</f>
        <v>46286.719444444447</v>
      </c>
      <c r="X43" s="11">
        <f>IFERROR(IF(MARÍTIMOS[[#This Row],[Etapa Retiro - Inicio de Ruta]]="","",MARÍTIMOS[[#This Row],[Etapa Retiro - Inicio de Ruta]]),"")</f>
        <v>46286.816666666666</v>
      </c>
      <c r="Y43" s="11">
        <f>IFERROR(IF(MARÍTIMOS[[#This Row],[Hora de Posicionamiento]]="","",MARÍTIMOS[[#This Row],[Fecha de Carga]]+MARÍTIMOS[[#This Row],[Hora de Posicionamiento]]),"")</f>
        <v>46287.583333333336</v>
      </c>
      <c r="Z43" s="11">
        <f>IFERROR(IF(MARÍTIMOS[[#This Row],[Etapa Despacho - Llegada]]="","",MARÍTIMOS[[#This Row],[Etapa Despacho - Llegada]]),"")</f>
        <v>46287.548611111109</v>
      </c>
      <c r="AA43" s="11">
        <f>IFERROR(IF(MARÍTIMOS[[#This Row],[Etapa Despacho - Registro]]="","",MARÍTIMOS[[#This Row],[Etapa Despacho - Registro]]),"")</f>
        <v>46287.5625</v>
      </c>
      <c r="AB43" s="11">
        <f>IFERROR(IF(MARÍTIMOS[[#This Row],[Inspección Externa]]="","",MARÍTIMOS[[#This Row],[Inspección Externa]]),"")</f>
        <v>46287.572916666664</v>
      </c>
      <c r="AC43" s="11">
        <f>IFERROR(IF(MARÍTIMOS[[#This Row],[Etapa Despacho - Inicio de Carga]]="","",MARÍTIMOS[[#This Row],[Etapa Despacho - Inicio de Carga]]),"")</f>
        <v>46287.6875</v>
      </c>
      <c r="AD43" s="11">
        <f>IFERROR(IF(MARÍTIMOS[[#This Row],[Etapa Despacho - Mitad de Carga]]="","",MARÍTIMOS[[#This Row],[Etapa Despacho - Mitad de Carga]]),"")</f>
        <v>46287.704861111109</v>
      </c>
      <c r="AE43" s="11">
        <f>IFERROR(IF(MARÍTIMOS[[#This Row],[Etapa Despacho - Fin de Carga]]="","",MARÍTIMOS[[#This Row],[Etapa Despacho - Fin de Carga]]),"")</f>
        <v>46287.734027777777</v>
      </c>
      <c r="AF43" s="2" t="str">
        <f>IFERROR(IF(MARÍTIMOS[[#This Row],[Puerto de Embarque]]="","",MARÍTIMOS[[#This Row],[Puerto de Embarque]]),"")</f>
        <v>CHANCAY</v>
      </c>
      <c r="AG43" s="2" t="str">
        <f>IFERROR(IF(MARÍTIMOS[[#This Row],[Almacén de Ingreso]]="","",MARÍTIMOS[[#This Row],[Almacén de Ingreso]]),"")</f>
        <v>CSPCP</v>
      </c>
      <c r="AH43" s="11">
        <f>IFERROR(IF(MARÍTIMOS[[#This Row],[Etapa Ingreso - Cita]]="","",MARÍTIMOS[[#This Row],[Etapa Ingreso - Cita]]),"")</f>
        <v>46288</v>
      </c>
      <c r="AI43" s="11">
        <f>IFERROR(IF(MARÍTIMOS[[#This Row],[Etapa Ingreso - Llegada]]="","",MARÍTIMOS[[#This Row],[Etapa Ingreso - Llegada]]),"")</f>
        <v>46288.42083333333</v>
      </c>
      <c r="AJ43" s="11">
        <f>IFERROR(IF(MARÍTIMOS[[#This Row],[Etapa Ingreso - Ingeso]]="","",MARÍTIMOS[[#This Row],[Etapa Ingreso - Ingeso]]),"")</f>
        <v>46288.461805555555</v>
      </c>
      <c r="AK43" s="11">
        <f>IFERROR(IF(MARÍTIMOS[[#This Row],[Etapa Ingreso - Atención]]="","",MARÍTIMOS[[#This Row],[Etapa Ingreso - Atención]]),"")</f>
        <v>46288.46875</v>
      </c>
      <c r="AL43" s="11">
        <f>IFERROR(IF(MARÍTIMOS[[#This Row],[Etapa Ingreso - Salida]]="","",MARÍTIMOS[[#This Row],[Etapa Ingreso - Salida]]),"")</f>
        <v>46288.478472222225</v>
      </c>
      <c r="AM43" s="2">
        <f>IFERROR(IF(MARÍTIMOS[[#This Row],[FCL]]="","",MARÍTIMOS[[#This Row],[FCL]]),"")</f>
        <v>1</v>
      </c>
      <c r="AN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3" s="4" t="str" cm="1">
        <f t="array" ref="AO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3" s="5">
        <f>IFERROR(OLDBD[[#This Row],[Llegada a packing]]-OLDBD[[#This Row],[Inicio de Ruta]],"")</f>
        <v>0.73194444444379769</v>
      </c>
      <c r="AQ43" s="6">
        <f>IFERROR(OLDBD[[#This Row],[Inicio de Ruta]]-OLDBD[[#This Row],[Salida de almacén de retiro]],"")</f>
        <v>9.7222222218988463E-2</v>
      </c>
      <c r="AR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3" s="8" t="str" cm="1">
        <f t="array" ref="AS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3" s="9">
        <f>IFERROR(OLDBD[[#This Row],[Ingreso Packing]]-OLDBD[[#This Row],[Registro en Packing]],"")</f>
        <v>1.0416666664241347E-2</v>
      </c>
      <c r="AV43" s="9">
        <f>IFERROR(OLDBD[[#This Row],[Ingreso Packing]]-OLDBD[[#This Row],[Llegada a packing]],"")</f>
        <v>2.4305555554747116E-2</v>
      </c>
      <c r="AW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43" s="5">
        <f>IFERROR(OLDBD[[#This Row],[Llegada Almacén de Ingreso]]-OLDBD[[#This Row],[Salida Packing]],"")</f>
        <v>0.68680555555329192</v>
      </c>
      <c r="AY43" s="4" t="str" cm="1">
        <f t="array" ref="AY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3" s="43" t="s">
        <v>173</v>
      </c>
      <c r="BB43" s="11" t="str">
        <f>IFERROR(IF(MARÍTIMOS[[#This Row],[Estatus]]="","",MARÍTIMOS[[#This Row],[Estatus]]),"")</f>
        <v>Confirmado</v>
      </c>
      <c r="BC43" s="43"/>
      <c r="BD43" s="46">
        <f>IFERROR(OLDBD[[#This Row],[Salida de almacén de retiro]]-OLDBD[[#This Row],[Ingreso Almacén de retiro]],"")</f>
        <v>2.7777777795563452E-3</v>
      </c>
      <c r="BE43" s="46">
        <f>IFERROR(OLDBD[[#This Row],[Fin de Carga]]-OLDBD[[#This Row],[Inicio de Carga]],"")</f>
        <v>1.7361111109494232E-2</v>
      </c>
    </row>
    <row r="44" spans="1:57" customFormat="1">
      <c r="A44" s="1"/>
      <c r="B44" s="1">
        <f>IFERROR(IF(MARÍTIMOS[[#This Row],[PP]]="","",MARÍTIMOS[[#This Row],[PP]]),"")</f>
        <v>38</v>
      </c>
      <c r="C44" s="1" t="str">
        <f>IFERROR(IF(MARÍTIMOS[[#This Row],[Sede]]="","",MARÍTIMOS[[#This Row],[Sede]]),"")</f>
        <v>Chao</v>
      </c>
      <c r="D44" s="1" t="str">
        <f>IFERROR(IF(MARÍTIMOS[[#This Row],[Instruction]]="","",MARÍTIMOS[[#This Row],[Instruction]]),"")</f>
        <v>RH-0831</v>
      </c>
      <c r="E44" s="1"/>
      <c r="F44" s="2" t="str">
        <f>IFERROR(IF(MARÍTIMOS[[#This Row],[Transportista]]="","",MARÍTIMOS[[#This Row],[Transportista]]),"")</f>
        <v>Cititrans</v>
      </c>
      <c r="G44" s="2" t="str">
        <f>IFERROR(IF(MARÍTIMOS[[#This Row],[Tercero]]="","",MARÍTIMOS[[#This Row],[Tercero]]),"")</f>
        <v>NO</v>
      </c>
      <c r="H44" s="2" t="str">
        <f>IFERROR(IF(MARÍTIMOS[[#This Row],[Razón Social]]="","",MARÍTIMOS[[#This Row],[Razón Social]]),"")</f>
        <v>CITITRANS</v>
      </c>
      <c r="I44" s="2">
        <f>IFERROR(IF(MARÍTIMOS[[#This Row],[RUC]]="","",MARÍTIMOS[[#This Row],[RUC]]),"")</f>
        <v>20609553376</v>
      </c>
      <c r="J44" s="2" t="str">
        <f>IFERROR(IF(MARÍTIMOS[[#This Row],[Placa Tracto]]="","",MARÍTIMOS[[#This Row],[Placa Tracto]]),"")</f>
        <v>CHG928</v>
      </c>
      <c r="K44" s="2" t="str">
        <f>IFERROR(IF(MARÍTIMOS[[#This Row],[Placa Carreta]]="","",MARÍTIMOS[[#This Row],[Placa Carreta]]),"")</f>
        <v>BUR982</v>
      </c>
      <c r="L44" s="44" t="str">
        <f>IFERROR(IF(MARÍTIMOS[[#This Row],[Conductor]]="","",MARÍTIMOS[[#This Row],[Conductor]]),"")</f>
        <v>JORGE MARCIAL SUASNABAR SOTOMAYOR</v>
      </c>
      <c r="M44" s="2" t="str">
        <f>IFERROR(IF(MARÍTIMOS[[#This Row],[Licencia]]="","",MARÍTIMOS[[#This Row],[Licencia]]),"")</f>
        <v>Q45530666</v>
      </c>
      <c r="N44" s="2" t="str">
        <f>IFERROR(IF(MARÍTIMOS[[#This Row],[Número de Contacto]]="","",MARÍTIMOS[[#This Row],[Número de Contacto]]),"")</f>
        <v>941 712 294</v>
      </c>
      <c r="O44" s="10">
        <f>IFERROR(IF(MARÍTIMOS[[#This Row],[Booking|AWB|CRT]]="","",MARÍTIMOS[[#This Row],[Booking|AWB|CRT]]),"")</f>
        <v>6466989840</v>
      </c>
      <c r="P44" s="2" t="str">
        <f>IFERROR(IF(MARÍTIMOS[[#This Row],[Contenedor]]="","",MARÍTIMOS[[#This Row],[Contenedor]]),"")</f>
        <v xml:space="preserve">	
OERU4379822
</v>
      </c>
      <c r="Q44" s="2" t="str">
        <f>IFERROR(IF(MARÍTIMOS[[#This Row],[Puerto de Retiro]]="","",MARÍTIMOS[[#This Row],[Puerto de Retiro]]),"")</f>
        <v>CHANCAY</v>
      </c>
      <c r="R44" s="2" t="str">
        <f>IFERROR(IF(MARÍTIMOS[[#This Row],[Almacén de Retiro]]="","",MARÍTIMOS[[#This Row],[Almacén de Retiro]]),"")</f>
        <v>CSPCP</v>
      </c>
      <c r="S44" s="11">
        <f>IFERROR(IF(MARÍTIMOS[[#This Row],[Etapa Retiro - Cita]]="","",MARÍTIMOS[[#This Row],[Etapa Retiro - Cita]]),"")</f>
        <v>46286.583333333336</v>
      </c>
      <c r="T44" s="11">
        <f>IFERROR(IF(MARÍTIMOS[[#This Row],[Etapa Retiro - Llegada]]="","",MARÍTIMOS[[#This Row],[Etapa Retiro - Llegada]]),"")</f>
        <v>46286.715277777781</v>
      </c>
      <c r="U44" s="11">
        <f>IFERROR(IF(MARÍTIMOS[[#This Row],[Etapa Retiro - Ingreso]]="","",MARÍTIMOS[[#This Row],[Etapa Retiro - Ingreso]]),"")</f>
        <v>46286.716666666667</v>
      </c>
      <c r="V44" s="11">
        <f>IFERROR(IF(MARÍTIMOS[[#This Row],[Etapa Retiro - Atención]]="","",MARÍTIMOS[[#This Row],[Etapa Retiro - Atención]]),"")</f>
        <v>46286.734722222223</v>
      </c>
      <c r="W44" s="11">
        <f>IFERROR(IF(MARÍTIMOS[[#This Row],[Etapa Retiro - Atención]]="","",MARÍTIMOS[[#This Row],[Etapa Retiro - Atención]]),"")</f>
        <v>46286.734722222223</v>
      </c>
      <c r="X44" s="11">
        <f>IFERROR(IF(MARÍTIMOS[[#This Row],[Etapa Retiro - Inicio de Ruta]]="","",MARÍTIMOS[[#This Row],[Etapa Retiro - Inicio de Ruta]]),"")</f>
        <v>46286.815972222219</v>
      </c>
      <c r="Y44" s="11">
        <f>IFERROR(IF(MARÍTIMOS[[#This Row],[Hora de Posicionamiento]]="","",MARÍTIMOS[[#This Row],[Fecha de Carga]]+MARÍTIMOS[[#This Row],[Hora de Posicionamiento]]),"")</f>
        <v>46287.583333333336</v>
      </c>
      <c r="Z44" s="11">
        <f>IFERROR(IF(MARÍTIMOS[[#This Row],[Etapa Despacho - Llegada]]="","",MARÍTIMOS[[#This Row],[Etapa Despacho - Llegada]]),"")</f>
        <v>46287.549305555556</v>
      </c>
      <c r="AA44" s="11">
        <f>IFERROR(IF(MARÍTIMOS[[#This Row],[Etapa Despacho - Registro]]="","",MARÍTIMOS[[#This Row],[Etapa Despacho - Registro]]),"")</f>
        <v>46287.5625</v>
      </c>
      <c r="AB44" s="11">
        <f>IFERROR(IF(MARÍTIMOS[[#This Row],[Inspección Externa]]="","",MARÍTIMOS[[#This Row],[Inspección Externa]]),"")</f>
        <v>46287.572916666664</v>
      </c>
      <c r="AC44" s="11">
        <f>IFERROR(IF(MARÍTIMOS[[#This Row],[Etapa Despacho - Inicio de Carga]]="","",MARÍTIMOS[[#This Row],[Etapa Despacho - Inicio de Carga]]),"")</f>
        <v>46287.631944444445</v>
      </c>
      <c r="AD44" s="11">
        <f>IFERROR(IF(MARÍTIMOS[[#This Row],[Etapa Despacho - Mitad de Carga]]="","",MARÍTIMOS[[#This Row],[Etapa Despacho - Mitad de Carga]]),"")</f>
        <v>46287.666666666664</v>
      </c>
      <c r="AE44" s="11">
        <f>IFERROR(IF(MARÍTIMOS[[#This Row],[Etapa Despacho - Fin de Carga]]="","",MARÍTIMOS[[#This Row],[Etapa Despacho - Fin de Carga]]),"")</f>
        <v>46287.68472222222</v>
      </c>
      <c r="AF44" s="2" t="str">
        <f>IFERROR(IF(MARÍTIMOS[[#This Row],[Puerto de Embarque]]="","",MARÍTIMOS[[#This Row],[Puerto de Embarque]]),"")</f>
        <v>CHANCAY</v>
      </c>
      <c r="AG44" s="2" t="str">
        <f>IFERROR(IF(MARÍTIMOS[[#This Row],[Almacén de Ingreso]]="","",MARÍTIMOS[[#This Row],[Almacén de Ingreso]]),"")</f>
        <v>CSPCP</v>
      </c>
      <c r="AH44" s="11">
        <f>IFERROR(IF(MARÍTIMOS[[#This Row],[Etapa Ingreso - Cita]]="","",MARÍTIMOS[[#This Row],[Etapa Ingreso - Cita]]),"")</f>
        <v>46288</v>
      </c>
      <c r="AI44" s="11">
        <f>IFERROR(IF(MARÍTIMOS[[#This Row],[Etapa Ingreso - Llegada]]="","",MARÍTIMOS[[#This Row],[Etapa Ingreso - Llegada]]),"")</f>
        <v>46288.42083333333</v>
      </c>
      <c r="AJ44" s="11">
        <f>IFERROR(IF(MARÍTIMOS[[#This Row],[Etapa Ingreso - Ingeso]]="","",MARÍTIMOS[[#This Row],[Etapa Ingreso - Ingeso]]),"")</f>
        <v>46288.443749999999</v>
      </c>
      <c r="AK44" s="11">
        <f>IFERROR(IF(MARÍTIMOS[[#This Row],[Etapa Ingreso - Atención]]="","",MARÍTIMOS[[#This Row],[Etapa Ingreso - Atención]]),"")</f>
        <v>46288.447916666664</v>
      </c>
      <c r="AL44" s="11">
        <f>IFERROR(IF(MARÍTIMOS[[#This Row],[Etapa Ingreso - Salida]]="","",MARÍTIMOS[[#This Row],[Etapa Ingreso - Salida]]),"")</f>
        <v>46288.464583333334</v>
      </c>
      <c r="AM44" s="2">
        <f>IFERROR(IF(MARÍTIMOS[[#This Row],[FCL]]="","",MARÍTIMOS[[#This Row],[FCL]]),"")</f>
        <v>1</v>
      </c>
      <c r="AN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4" s="4" t="str" cm="1">
        <f t="array" ref="AO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4" s="5">
        <f>IFERROR(OLDBD[[#This Row],[Llegada a packing]]-OLDBD[[#This Row],[Inicio de Ruta]],"")</f>
        <v>0.73333333333721384</v>
      </c>
      <c r="AQ44" s="6">
        <f>IFERROR(OLDBD[[#This Row],[Inicio de Ruta]]-OLDBD[[#This Row],[Salida de almacén de retiro]],"")</f>
        <v>8.1249999995634425E-2</v>
      </c>
      <c r="AR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4" s="8" t="str" cm="1">
        <f t="array" ref="AS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4" s="9">
        <f>IFERROR(OLDBD[[#This Row],[Ingreso Packing]]-OLDBD[[#This Row],[Registro en Packing]],"")</f>
        <v>1.0416666664241347E-2</v>
      </c>
      <c r="AV44" s="9">
        <f>IFERROR(OLDBD[[#This Row],[Ingreso Packing]]-OLDBD[[#This Row],[Llegada a packing]],"")</f>
        <v>2.361111110803904E-2</v>
      </c>
      <c r="AW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44" s="5">
        <f>IFERROR(OLDBD[[#This Row],[Llegada Almacén de Ingreso]]-OLDBD[[#This Row],[Salida Packing]],"")</f>
        <v>0.73611111110949423</v>
      </c>
      <c r="AY44" s="4" t="str" cm="1">
        <f t="array" ref="AY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4" s="43" t="s">
        <v>173</v>
      </c>
      <c r="BB44" s="47" t="str">
        <f>IFERROR(IF(MARÍTIMOS[[#This Row],[Estatus]]="","",MARÍTIMOS[[#This Row],[Estatus]]),"")</f>
        <v>Confirmado</v>
      </c>
      <c r="BC44" s="43"/>
      <c r="BD44" s="46">
        <f>IFERROR(OLDBD[[#This Row],[Salida de almacén de retiro]]-OLDBD[[#This Row],[Ingreso Almacén de retiro]],"")</f>
        <v>1.8055555556202307E-2</v>
      </c>
      <c r="BE44" s="46">
        <f>IFERROR(OLDBD[[#This Row],[Fin de Carga]]-OLDBD[[#This Row],[Inicio de Carga]],"")</f>
        <v>3.4722222218988463E-2</v>
      </c>
    </row>
    <row r="45" spans="1:57" customFormat="1">
      <c r="A45" s="1"/>
      <c r="B45" s="1">
        <f>IFERROR(IF(MARÍTIMOS[[#This Row],[PP]]="","",MARÍTIMOS[[#This Row],[PP]]),"")</f>
        <v>38</v>
      </c>
      <c r="C45" s="1" t="str">
        <f>IFERROR(IF(MARÍTIMOS[[#This Row],[Sede]]="","",MARÍTIMOS[[#This Row],[Sede]]),"")</f>
        <v>Chao</v>
      </c>
      <c r="D45" s="1" t="str">
        <f>IFERROR(IF(MARÍTIMOS[[#This Row],[Instruction]]="","",MARÍTIMOS[[#This Row],[Instruction]]),"")</f>
        <v>RH-0827</v>
      </c>
      <c r="E45" s="1"/>
      <c r="F45" s="2" t="str">
        <f>IFERROR(IF(MARÍTIMOS[[#This Row],[Transportista]]="","",MARÍTIMOS[[#This Row],[Transportista]]),"")</f>
        <v>Cititrans</v>
      </c>
      <c r="G45" s="2" t="str">
        <f>IFERROR(IF(MARÍTIMOS[[#This Row],[Tercero]]="","",MARÍTIMOS[[#This Row],[Tercero]]),"")</f>
        <v>NO</v>
      </c>
      <c r="H45" s="2" t="str">
        <f>IFERROR(IF(MARÍTIMOS[[#This Row],[Razón Social]]="","",MARÍTIMOS[[#This Row],[Razón Social]]),"")</f>
        <v>CITITRANS</v>
      </c>
      <c r="I45" s="2">
        <f>IFERROR(IF(MARÍTIMOS[[#This Row],[RUC]]="","",MARÍTIMOS[[#This Row],[RUC]]),"")</f>
        <v>20609553376</v>
      </c>
      <c r="J45" s="2" t="str">
        <f>IFERROR(IF(MARÍTIMOS[[#This Row],[Placa Tracto]]="","",MARÍTIMOS[[#This Row],[Placa Tracto]]),"")</f>
        <v>BTO-751</v>
      </c>
      <c r="K45" s="2" t="str">
        <f>IFERROR(IF(MARÍTIMOS[[#This Row],[Placa Carreta]]="","",MARÍTIMOS[[#This Row],[Placa Carreta]]),"")</f>
        <v>BEJ-972</v>
      </c>
      <c r="L45" s="44" t="str">
        <f>IFERROR(IF(MARÍTIMOS[[#This Row],[Conductor]]="","",MARÍTIMOS[[#This Row],[Conductor]]),"")</f>
        <v>PERCY MANUEL ZAVALETA REATEGUI</v>
      </c>
      <c r="M45" s="2" t="str">
        <f>IFERROR(IF(MARÍTIMOS[[#This Row],[Licencia]]="","",MARÍTIMOS[[#This Row],[Licencia]]),"")</f>
        <v>D80565321</v>
      </c>
      <c r="N45" s="2" t="str">
        <f>IFERROR(IF(MARÍTIMOS[[#This Row],[Número de Contacto]]="","",MARÍTIMOS[[#This Row],[Número de Contacto]]),"")</f>
        <v>997 848 060</v>
      </c>
      <c r="O45" s="10">
        <f>IFERROR(IF(MARÍTIMOS[[#This Row],[Booking|AWB|CRT]]="","",MARÍTIMOS[[#This Row],[Booking|AWB|CRT]]),"")</f>
        <v>6466989890</v>
      </c>
      <c r="P45" s="2" t="str">
        <f>IFERROR(IF(MARÍTIMOS[[#This Row],[Contenedor]]="","",MARÍTIMOS[[#This Row],[Contenedor]]),"")</f>
        <v>FBIU5004326</v>
      </c>
      <c r="Q45" s="2" t="str">
        <f>IFERROR(IF(MARÍTIMOS[[#This Row],[Puerto de Retiro]]="","",MARÍTIMOS[[#This Row],[Puerto de Retiro]]),"")</f>
        <v>CHANCAY</v>
      </c>
      <c r="R45" s="2" t="str">
        <f>IFERROR(IF(MARÍTIMOS[[#This Row],[Almacén de Retiro]]="","",MARÍTIMOS[[#This Row],[Almacén de Retiro]]),"")</f>
        <v>CSPCP</v>
      </c>
      <c r="S45" s="11">
        <f>IFERROR(IF(MARÍTIMOS[[#This Row],[Etapa Retiro - Cita]]="","",MARÍTIMOS[[#This Row],[Etapa Retiro - Cita]]),"")</f>
        <v>46286.583333333336</v>
      </c>
      <c r="T45" s="11">
        <f>IFERROR(IF(MARÍTIMOS[[#This Row],[Etapa Retiro - Llegada]]="","",MARÍTIMOS[[#This Row],[Etapa Retiro - Llegada]]),"")</f>
        <v>46286.854166666664</v>
      </c>
      <c r="U45" s="11">
        <f>IFERROR(IF(MARÍTIMOS[[#This Row],[Etapa Retiro - Ingreso]]="","",MARÍTIMOS[[#This Row],[Etapa Retiro - Ingreso]]),"")</f>
        <v>46286.86041666667</v>
      </c>
      <c r="V45" s="11">
        <f>IFERROR(IF(MARÍTIMOS[[#This Row],[Etapa Retiro - Atención]]="","",MARÍTIMOS[[#This Row],[Etapa Retiro - Atención]]),"")</f>
        <v>46286.87222222222</v>
      </c>
      <c r="W45" s="11">
        <f>IFERROR(IF(MARÍTIMOS[[#This Row],[Etapa Retiro - Atención]]="","",MARÍTIMOS[[#This Row],[Etapa Retiro - Atención]]),"")</f>
        <v>46286.87222222222</v>
      </c>
      <c r="X45" s="11">
        <f>IFERROR(IF(MARÍTIMOS[[#This Row],[Etapa Retiro - Inicio de Ruta]]="","",MARÍTIMOS[[#This Row],[Etapa Retiro - Inicio de Ruta]]),"")</f>
        <v>46286.923611111109</v>
      </c>
      <c r="Y45" s="11">
        <f>IFERROR(IF(MARÍTIMOS[[#This Row],[Hora de Posicionamiento]]="","",MARÍTIMOS[[#This Row],[Fecha de Carga]]+MARÍTIMOS[[#This Row],[Hora de Posicionamiento]]),"")</f>
        <v>46287.583333333336</v>
      </c>
      <c r="Z45" s="11">
        <f>IFERROR(IF(MARÍTIMOS[[#This Row],[Etapa Despacho - Llegada]]="","",MARÍTIMOS[[#This Row],[Etapa Despacho - Llegada]]),"")</f>
        <v>46287.56527777778</v>
      </c>
      <c r="AA45" s="11">
        <f>IFERROR(IF(MARÍTIMOS[[#This Row],[Etapa Despacho - Registro]]="","",MARÍTIMOS[[#This Row],[Etapa Despacho - Registro]]),"")</f>
        <v>46287.565972222219</v>
      </c>
      <c r="AB45" s="11">
        <f>IFERROR(IF(MARÍTIMOS[[#This Row],[Inspección Externa]]="","",MARÍTIMOS[[#This Row],[Inspección Externa]]),"")</f>
        <v>46287.576388888891</v>
      </c>
      <c r="AC45" s="11">
        <f>IFERROR(IF(MARÍTIMOS[[#This Row],[Etapa Despacho - Inicio de Carga]]="","",MARÍTIMOS[[#This Row],[Etapa Despacho - Inicio de Carga]]),"")</f>
        <v>46287.73541666667</v>
      </c>
      <c r="AD45" s="11">
        <f>IFERROR(IF(MARÍTIMOS[[#This Row],[Etapa Despacho - Mitad de Carga]]="","",MARÍTIMOS[[#This Row],[Etapa Despacho - Mitad de Carga]]),"")</f>
        <v>46287.756944444445</v>
      </c>
      <c r="AE45" s="11">
        <f>IFERROR(IF(MARÍTIMOS[[#This Row],[Etapa Despacho - Fin de Carga]]="","",MARÍTIMOS[[#This Row],[Etapa Despacho - Fin de Carga]]),"")</f>
        <v>46287.78125</v>
      </c>
      <c r="AF45" s="2" t="str">
        <f>IFERROR(IF(MARÍTIMOS[[#This Row],[Puerto de Embarque]]="","",MARÍTIMOS[[#This Row],[Puerto de Embarque]]),"")</f>
        <v>CHANCAY</v>
      </c>
      <c r="AG45" s="2" t="str">
        <f>IFERROR(IF(MARÍTIMOS[[#This Row],[Almacén de Ingreso]]="","",MARÍTIMOS[[#This Row],[Almacén de Ingreso]]),"")</f>
        <v>CSPCP</v>
      </c>
      <c r="AH45" s="11">
        <f>IFERROR(IF(MARÍTIMOS[[#This Row],[Etapa Ingreso - Cita]]="","",MARÍTIMOS[[#This Row],[Etapa Ingreso - Cita]]),"")</f>
        <v>46288</v>
      </c>
      <c r="AI45" s="11">
        <f>IFERROR(IF(MARÍTIMOS[[#This Row],[Etapa Ingreso - Llegada]]="","",MARÍTIMOS[[#This Row],[Etapa Ingreso - Llegada]]),"")</f>
        <v>46288.407638888886</v>
      </c>
      <c r="AJ45" s="11">
        <f>IFERROR(IF(MARÍTIMOS[[#This Row],[Etapa Ingreso - Ingeso]]="","",MARÍTIMOS[[#This Row],[Etapa Ingreso - Ingeso]]),"")</f>
        <v>46288.426388888889</v>
      </c>
      <c r="AK45" s="11">
        <f>IFERROR(IF(MARÍTIMOS[[#This Row],[Etapa Ingreso - Atención]]="","",MARÍTIMOS[[#This Row],[Etapa Ingreso - Atención]]),"")</f>
        <v>46288.440972222219</v>
      </c>
      <c r="AL45" s="11">
        <f>IFERROR(IF(MARÍTIMOS[[#This Row],[Etapa Ingreso - Salida]]="","",MARÍTIMOS[[#This Row],[Etapa Ingreso - Salida]]),"")</f>
        <v>46288.463194444441</v>
      </c>
      <c r="AM45" s="2">
        <f>IFERROR(IF(MARÍTIMOS[[#This Row],[FCL]]="","",MARÍTIMOS[[#This Row],[FCL]]),"")</f>
        <v>1</v>
      </c>
      <c r="AN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5" s="4" t="str" cm="1">
        <f t="array" ref="AO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5" s="5">
        <f>IFERROR(OLDBD[[#This Row],[Llegada a packing]]-OLDBD[[#This Row],[Inicio de Ruta]],"")</f>
        <v>0.64166666667006211</v>
      </c>
      <c r="AQ45" s="6">
        <f>IFERROR(OLDBD[[#This Row],[Inicio de Ruta]]-OLDBD[[#This Row],[Salida de almacén de retiro]],"")</f>
        <v>5.1388888889050577E-2</v>
      </c>
      <c r="AR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5" s="8" t="str" cm="1">
        <f t="array" ref="AS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5" s="9">
        <f>IFERROR(OLDBD[[#This Row],[Ingreso Packing]]-OLDBD[[#This Row],[Registro en Packing]],"")</f>
        <v>1.0416666671517305E-2</v>
      </c>
      <c r="AV45" s="9">
        <f>IFERROR(OLDBD[[#This Row],[Ingreso Packing]]-OLDBD[[#This Row],[Llegada a packing]],"")</f>
        <v>1.1111111110949423E-2</v>
      </c>
      <c r="AW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45" s="5">
        <f>IFERROR(OLDBD[[#This Row],[Llegada Almacén de Ingreso]]-OLDBD[[#This Row],[Salida Packing]],"")</f>
        <v>0.62638888888614019</v>
      </c>
      <c r="AY45" s="4" t="str" cm="1">
        <f t="array" ref="AY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5" s="43" t="s">
        <v>173</v>
      </c>
      <c r="BB45" s="47" t="str">
        <f>IFERROR(IF(MARÍTIMOS[[#This Row],[Estatus]]="","",MARÍTIMOS[[#This Row],[Estatus]]),"")</f>
        <v>Confirmado</v>
      </c>
      <c r="BC45" s="43"/>
      <c r="BD45" s="46">
        <f>IFERROR(OLDBD[[#This Row],[Salida de almacén de retiro]]-OLDBD[[#This Row],[Ingreso Almacén de retiro]],"")</f>
        <v>1.1805555550381541E-2</v>
      </c>
      <c r="BE45" s="46">
        <f>IFERROR(OLDBD[[#This Row],[Fin de Carga]]-OLDBD[[#This Row],[Inicio de Carga]],"")</f>
        <v>2.1527777775190771E-2</v>
      </c>
    </row>
    <row r="46" spans="1:57" customFormat="1" hidden="1">
      <c r="A46" s="1"/>
      <c r="B46" s="1">
        <f>IFERROR(IF(MARÍTIMOS[[#This Row],[PP]]="","",MARÍTIMOS[[#This Row],[PP]]),"")</f>
        <v>39</v>
      </c>
      <c r="C46" s="1" t="str">
        <f>IFERROR(IF(MARÍTIMOS[[#This Row],[Sede]]="","",MARÍTIMOS[[#This Row],[Sede]]),"")</f>
        <v/>
      </c>
      <c r="D46" s="1" t="str">
        <f>IFERROR(IF(MARÍTIMOS[[#This Row],[Instruction]]="","",MARÍTIMOS[[#This Row],[Instruction]]),"")</f>
        <v>RH-0875</v>
      </c>
      <c r="E46" s="1"/>
      <c r="F46" s="2" t="str">
        <f>IFERROR(IF(MARÍTIMOS[[#This Row],[Transportista]]="","",MARÍTIMOS[[#This Row],[Transportista]]),"")</f>
        <v/>
      </c>
      <c r="G46" s="2" t="str">
        <f>IFERROR(IF(MARÍTIMOS[[#This Row],[Tercero]]="","",MARÍTIMOS[[#This Row],[Tercero]]),"")</f>
        <v/>
      </c>
      <c r="H46" s="2" t="str">
        <f>IFERROR(IF(MARÍTIMOS[[#This Row],[Razón Social]]="","",MARÍTIMOS[[#This Row],[Razón Social]]),"")</f>
        <v/>
      </c>
      <c r="I46" s="2" t="str">
        <f>IFERROR(IF(MARÍTIMOS[[#This Row],[RUC]]="","",MARÍTIMOS[[#This Row],[RUC]]),"")</f>
        <v/>
      </c>
      <c r="J46" s="2" t="str">
        <f>IFERROR(IF(MARÍTIMOS[[#This Row],[Placa Tracto]]="","",MARÍTIMOS[[#This Row],[Placa Tracto]]),"")</f>
        <v/>
      </c>
      <c r="K46" s="2" t="str">
        <f>IFERROR(IF(MARÍTIMOS[[#This Row],[Placa Carreta]]="","",MARÍTIMOS[[#This Row],[Placa Carreta]]),"")</f>
        <v/>
      </c>
      <c r="L46" s="44" t="str">
        <f>IFERROR(IF(MARÍTIMOS[[#This Row],[Conductor]]="","",MARÍTIMOS[[#This Row],[Conductor]]),"")</f>
        <v/>
      </c>
      <c r="M46" s="2" t="str">
        <f>IFERROR(IF(MARÍTIMOS[[#This Row],[Licencia]]="","",MARÍTIMOS[[#This Row],[Licencia]]),"")</f>
        <v/>
      </c>
      <c r="N46" s="2" t="str">
        <f>IFERROR(IF(MARÍTIMOS[[#This Row],[Número de Contacto]]="","",MARÍTIMOS[[#This Row],[Número de Contacto]]),"")</f>
        <v/>
      </c>
      <c r="O46" s="10" t="str">
        <f>IFERROR(IF(MARÍTIMOS[[#This Row],[Booking|AWB|CRT]]="","",MARÍTIMOS[[#This Row],[Booking|AWB|CRT]]),"")</f>
        <v/>
      </c>
      <c r="P46" s="2" t="str">
        <f>IFERROR(IF(MARÍTIMOS[[#This Row],[Contenedor]]="","",MARÍTIMOS[[#This Row],[Contenedor]]),"")</f>
        <v/>
      </c>
      <c r="Q46" s="2" t="str">
        <f>IFERROR(IF(MARÍTIMOS[[#This Row],[Puerto de Retiro]]="","",MARÍTIMOS[[#This Row],[Puerto de Retiro]]),"")</f>
        <v/>
      </c>
      <c r="R46" s="2" t="str">
        <f>IFERROR(IF(MARÍTIMOS[[#This Row],[Almacén de Retiro]]="","",MARÍTIMOS[[#This Row],[Almacén de Retiro]]),"")</f>
        <v/>
      </c>
      <c r="S46" s="11" t="str">
        <f>IFERROR(IF(MARÍTIMOS[[#This Row],[Etapa Retiro - Cita]]="","",MARÍTIMOS[[#This Row],[Etapa Retiro - Cita]]),"")</f>
        <v/>
      </c>
      <c r="T46" s="11" t="str">
        <f>IFERROR(IF(MARÍTIMOS[[#This Row],[Etapa Retiro - Llegada]]="","",MARÍTIMOS[[#This Row],[Etapa Retiro - Llegada]]),"")</f>
        <v/>
      </c>
      <c r="U46" s="11" t="str">
        <f>IFERROR(IF(MARÍTIMOS[[#This Row],[Etapa Retiro - Ingreso]]="","",MARÍTIMOS[[#This Row],[Etapa Retiro - Ingreso]]),"")</f>
        <v/>
      </c>
      <c r="V46" s="11" t="str">
        <f>IFERROR(IF(MARÍTIMOS[[#This Row],[Etapa Retiro - Atención]]="","",MARÍTIMOS[[#This Row],[Etapa Retiro - Atención]]),"")</f>
        <v/>
      </c>
      <c r="W46" s="11" t="str">
        <f>IFERROR(IF(MARÍTIMOS[[#This Row],[Etapa Retiro - Atención]]="","",MARÍTIMOS[[#This Row],[Etapa Retiro - Atención]]),"")</f>
        <v/>
      </c>
      <c r="X46" s="11" t="str">
        <f>IFERROR(IF(MARÍTIMOS[[#This Row],[Etapa Retiro - Inicio de Ruta]]="","",MARÍTIMOS[[#This Row],[Etapa Retiro - Inicio de Ruta]]),"")</f>
        <v/>
      </c>
      <c r="Y46" s="11" t="str">
        <f>IFERROR(IF(MARÍTIMOS[[#This Row],[Hora de Posicionamiento]]="","",MARÍTIMOS[[#This Row],[Fecha de Carga]]+MARÍTIMOS[[#This Row],[Hora de Posicionamiento]]),"")</f>
        <v/>
      </c>
      <c r="Z46" s="11" t="str">
        <f>IFERROR(IF(MARÍTIMOS[[#This Row],[Etapa Despacho - Llegada]]="","",MARÍTIMOS[[#This Row],[Etapa Despacho - Llegada]]),"")</f>
        <v/>
      </c>
      <c r="AA46" s="11" t="str">
        <f>IFERROR(IF(MARÍTIMOS[[#This Row],[Etapa Despacho - Registro]]="","",MARÍTIMOS[[#This Row],[Etapa Despacho - Registro]]),"")</f>
        <v/>
      </c>
      <c r="AB46" s="11" t="str">
        <f>IFERROR(IF(MARÍTIMOS[[#This Row],[Inspección Externa]]="","",MARÍTIMOS[[#This Row],[Inspección Externa]]),"")</f>
        <v/>
      </c>
      <c r="AC46" s="11" t="str">
        <f>IFERROR(IF(MARÍTIMOS[[#This Row],[Etapa Despacho - Inicio de Carga]]="","",MARÍTIMOS[[#This Row],[Etapa Despacho - Inicio de Carga]]),"")</f>
        <v/>
      </c>
      <c r="AD46" s="11" t="str">
        <f>IFERROR(IF(MARÍTIMOS[[#This Row],[Etapa Despacho - Mitad de Carga]]="","",MARÍTIMOS[[#This Row],[Etapa Despacho - Mitad de Carga]]),"")</f>
        <v/>
      </c>
      <c r="AE46" s="11" t="str">
        <f>IFERROR(IF(MARÍTIMOS[[#This Row],[Etapa Despacho - Fin de Carga]]="","",MARÍTIMOS[[#This Row],[Etapa Despacho - Fin de Carga]]),"")</f>
        <v/>
      </c>
      <c r="AF46" s="2" t="str">
        <f>IFERROR(IF(MARÍTIMOS[[#This Row],[Puerto de Embarque]]="","",MARÍTIMOS[[#This Row],[Puerto de Embarque]]),"")</f>
        <v/>
      </c>
      <c r="AG46" s="2" t="str">
        <f>IFERROR(IF(MARÍTIMOS[[#This Row],[Almacén de Ingreso]]="","",MARÍTIMOS[[#This Row],[Almacén de Ingreso]]),"")</f>
        <v/>
      </c>
      <c r="AH46" s="11" t="str">
        <f>IFERROR(IF(MARÍTIMOS[[#This Row],[Etapa Ingreso - Cita]]="","",MARÍTIMOS[[#This Row],[Etapa Ingreso - Cita]]),"")</f>
        <v/>
      </c>
      <c r="AI46" s="11" t="str">
        <f>IFERROR(IF(MARÍTIMOS[[#This Row],[Etapa Ingreso - Llegada]]="","",MARÍTIMOS[[#This Row],[Etapa Ingreso - Llegada]]),"")</f>
        <v/>
      </c>
      <c r="AJ46" s="11" t="str">
        <f>IFERROR(IF(MARÍTIMOS[[#This Row],[Etapa Ingreso - Ingeso]]="","",MARÍTIMOS[[#This Row],[Etapa Ingreso - Ingeso]]),"")</f>
        <v/>
      </c>
      <c r="AK46" s="11" t="str">
        <f>IFERROR(IF(MARÍTIMOS[[#This Row],[Etapa Ingreso - Atención]]="","",MARÍTIMOS[[#This Row],[Etapa Ingreso - Atención]]),"")</f>
        <v/>
      </c>
      <c r="AL46" s="11" t="str">
        <f>IFERROR(IF(MARÍTIMOS[[#This Row],[Etapa Ingreso - Salida]]="","",MARÍTIMOS[[#This Row],[Etapa Ingreso - Salida]]),"")</f>
        <v/>
      </c>
      <c r="AM46" s="2">
        <f>IFERROR(IF(MARÍTIMOS[[#This Row],[FCL]]="","",MARÍTIMOS[[#This Row],[FCL]]),"")</f>
        <v>1</v>
      </c>
      <c r="AN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" s="4" t="str" cm="1">
        <f t="array" ref="AO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" s="5" t="str">
        <f>IFERROR(OLDBD[[#This Row],[Llegada a packing]]-OLDBD[[#This Row],[Inicio de Ruta]],"")</f>
        <v/>
      </c>
      <c r="AQ46" s="6" t="str">
        <f>IFERROR(OLDBD[[#This Row],[Inicio de Ruta]]-OLDBD[[#This Row],[Salida de almacén de retiro]],"")</f>
        <v/>
      </c>
      <c r="AR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" s="8" t="str" cm="1">
        <f t="array" ref="AS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" s="9" t="str">
        <f>IFERROR(OLDBD[[#This Row],[Ingreso Packing]]-OLDBD[[#This Row],[Registro en Packing]],"")</f>
        <v/>
      </c>
      <c r="AV46" s="9" t="str">
        <f>IFERROR(OLDBD[[#This Row],[Ingreso Packing]]-OLDBD[[#This Row],[Llegada a packing]],"")</f>
        <v/>
      </c>
      <c r="AW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" s="5" t="str">
        <f>IFERROR(OLDBD[[#This Row],[Llegada Almacén de Ingreso]]-OLDBD[[#This Row],[Salida Packing]],"")</f>
        <v/>
      </c>
      <c r="AY46" s="4" t="str" cm="1">
        <f t="array" ref="AY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" s="43" t="s">
        <v>173</v>
      </c>
      <c r="BB46" s="47" t="str">
        <f>IFERROR(IF(MARÍTIMOS[[#This Row],[Estatus]]="","",MARÍTIMOS[[#This Row],[Estatus]]),"")</f>
        <v/>
      </c>
      <c r="BC46" s="43"/>
      <c r="BD46" s="46" t="str">
        <f>IFERROR(OLDBD[[#This Row],[Salida de almacén de retiro]]-OLDBD[[#This Row],[Ingreso Almacén de retiro]],"")</f>
        <v/>
      </c>
      <c r="BE46" s="46" t="str">
        <f>IFERROR(OLDBD[[#This Row],[Fin de Carga]]-OLDBD[[#This Row],[Inicio de Carga]],"")</f>
        <v/>
      </c>
    </row>
    <row r="47" spans="1:57" customFormat="1" hidden="1">
      <c r="A47" s="1"/>
      <c r="B47" s="1">
        <f>IFERROR(IF(MARÍTIMOS[[#This Row],[PP]]="","",MARÍTIMOS[[#This Row],[PP]]),"")</f>
        <v>30</v>
      </c>
      <c r="C47" s="1" t="str">
        <f>IFERROR(IF(MARÍTIMOS[[#This Row],[Sede]]="","",MARÍTIMOS[[#This Row],[Sede]]),"")</f>
        <v>Olmos</v>
      </c>
      <c r="D47" s="1" t="str">
        <f>IFERROR(IF(MARÍTIMOS[[#This Row],[Instruction]]="","",MARÍTIMOS[[#This Row],[Instruction]]),"")</f>
        <v>RH-0263</v>
      </c>
      <c r="E47" s="1"/>
      <c r="F47" s="2" t="str">
        <f>IFERROR(IF(MARÍTIMOS[[#This Row],[Transportista]]="","",MARÍTIMOS[[#This Row],[Transportista]]),"")</f>
        <v>Costa Transport</v>
      </c>
      <c r="G47" s="2" t="str">
        <f>IFERROR(IF(MARÍTIMOS[[#This Row],[Tercero]]="","",MARÍTIMOS[[#This Row],[Tercero]]),"")</f>
        <v>NO</v>
      </c>
      <c r="H47" s="2" t="str">
        <f>IFERROR(IF(MARÍTIMOS[[#This Row],[Razón Social]]="","",MARÍTIMOS[[#This Row],[Razón Social]]),"")</f>
        <v>TRANSPORTES COSTA TRANSPORT EIRL</v>
      </c>
      <c r="I47" s="2">
        <f>IFERROR(IF(MARÍTIMOS[[#This Row],[RUC]]="","",MARÍTIMOS[[#This Row],[RUC]]),"")</f>
        <v>20525373551</v>
      </c>
      <c r="J47" s="2" t="str">
        <f>IFERROR(IF(MARÍTIMOS[[#This Row],[Placa Tracto]]="","",MARÍTIMOS[[#This Row],[Placa Tracto]]),"")</f>
        <v>TFY-879</v>
      </c>
      <c r="K47" s="2" t="str">
        <f>IFERROR(IF(MARÍTIMOS[[#This Row],[Placa Carreta]]="","",MARÍTIMOS[[#This Row],[Placa Carreta]]),"")</f>
        <v>A1G-973</v>
      </c>
      <c r="L47" s="44" t="str">
        <f>IFERROR(IF(MARÍTIMOS[[#This Row],[Conductor]]="","",MARÍTIMOS[[#This Row],[Conductor]]),"")</f>
        <v>JORGE LUIS AZO RUIZ</v>
      </c>
      <c r="M47" s="2" t="str">
        <f>IFERROR(IF(MARÍTIMOS[[#This Row],[Licencia]]="","",MARÍTIMOS[[#This Row],[Licencia]]),"")</f>
        <v>B03874735</v>
      </c>
      <c r="N47" s="2">
        <f>IFERROR(IF(MARÍTIMOS[[#This Row],[Número de Contacto]]="","",MARÍTIMOS[[#This Row],[Número de Contacto]]),"")</f>
        <v>998231122</v>
      </c>
      <c r="O47" s="10" t="str">
        <f>IFERROR(IF(MARÍTIMOS[[#This Row],[Booking|AWB|CRT]]="","",MARÍTIMOS[[#This Row],[Booking|AWB|CRT]]),"")</f>
        <v>PER9156868A</v>
      </c>
      <c r="P47" s="2" t="str">
        <f>IFERROR(IF(MARÍTIMOS[[#This Row],[Contenedor]]="","",MARÍTIMOS[[#This Row],[Contenedor]]),"")</f>
        <v>CAAU416845-5</v>
      </c>
      <c r="Q47" s="2" t="str">
        <f>IFERROR(IF(MARÍTIMOS[[#This Row],[Puerto de Retiro]]="","",MARÍTIMOS[[#This Row],[Puerto de Retiro]]),"")</f>
        <v>PAITA</v>
      </c>
      <c r="R47" s="2" t="str">
        <f>IFERROR(IF(MARÍTIMOS[[#This Row],[Almacén de Retiro]]="","",MARÍTIMOS[[#This Row],[Almacén de Retiro]]),"")</f>
        <v>DPW</v>
      </c>
      <c r="S47" s="11">
        <f>IFERROR(IF(MARÍTIMOS[[#This Row],[Etapa Retiro - Cita]]="","",MARÍTIMOS[[#This Row],[Etapa Retiro - Cita]]),"")</f>
        <v>46227.666666666664</v>
      </c>
      <c r="T47" s="11">
        <f>IFERROR(IF(MARÍTIMOS[[#This Row],[Etapa Retiro - Llegada]]="","",MARÍTIMOS[[#This Row],[Etapa Retiro - Llegada]]),"")</f>
        <v>46227.661805555559</v>
      </c>
      <c r="U47" s="11">
        <f>IFERROR(IF(MARÍTIMOS[[#This Row],[Etapa Retiro - Ingreso]]="","",MARÍTIMOS[[#This Row],[Etapa Retiro - Ingreso]]),"")</f>
        <v>46227.692361111112</v>
      </c>
      <c r="V47" s="11">
        <f>IFERROR(IF(MARÍTIMOS[[#This Row],[Etapa Retiro - Atención]]="","",MARÍTIMOS[[#This Row],[Etapa Retiro - Atención]]),"")</f>
        <v>46227.695138888892</v>
      </c>
      <c r="W47" s="11">
        <f>IFERROR(IF(MARÍTIMOS[[#This Row],[Etapa Retiro - Atención]]="","",MARÍTIMOS[[#This Row],[Etapa Retiro - Atención]]),"")</f>
        <v>46227.695138888892</v>
      </c>
      <c r="X47" s="11">
        <f>IFERROR(IF(MARÍTIMOS[[#This Row],[Etapa Retiro - Inicio de Ruta]]="","",MARÍTIMOS[[#This Row],[Etapa Retiro - Inicio de Ruta]]),"")</f>
        <v>46227.776388888888</v>
      </c>
      <c r="Y47" s="11">
        <f>IFERROR(IF(MARÍTIMOS[[#This Row],[Hora de Posicionamiento]]="","",MARÍTIMOS[[#This Row],[Fecha de Carga]]+MARÍTIMOS[[#This Row],[Hora de Posicionamiento]]),"")</f>
        <v>46228.333333333336</v>
      </c>
      <c r="Z47" s="11">
        <f>IFERROR(IF(MARÍTIMOS[[#This Row],[Etapa Despacho - Llegada]]="","",MARÍTIMOS[[#This Row],[Etapa Despacho - Llegada]]),"")</f>
        <v>46228.033333333333</v>
      </c>
      <c r="AA47" s="11">
        <f>IFERROR(IF(MARÍTIMOS[[#This Row],[Etapa Despacho - Registro]]="","",MARÍTIMOS[[#This Row],[Etapa Despacho - Registro]]),"")</f>
        <v>46228.302777777775</v>
      </c>
      <c r="AB47" s="11">
        <f>IFERROR(IF(MARÍTIMOS[[#This Row],[Inspección Externa]]="","",MARÍTIMOS[[#This Row],[Inspección Externa]]),"")</f>
        <v>46228.305555555555</v>
      </c>
      <c r="AC47" s="11">
        <f>IFERROR(IF(MARÍTIMOS[[#This Row],[Etapa Despacho - Inicio de Carga]]="","",MARÍTIMOS[[#This Row],[Etapa Despacho - Inicio de Carga]]),"")</f>
        <v>46228.368055555555</v>
      </c>
      <c r="AD47" s="11">
        <f>IFERROR(IF(MARÍTIMOS[[#This Row],[Etapa Despacho - Mitad de Carga]]="","",MARÍTIMOS[[#This Row],[Etapa Despacho - Mitad de Carga]]),"")</f>
        <v>46228.388888888891</v>
      </c>
      <c r="AE47" s="11">
        <f>IFERROR(IF(MARÍTIMOS[[#This Row],[Etapa Despacho - Fin de Carga]]="","",MARÍTIMOS[[#This Row],[Etapa Despacho - Fin de Carga]]),"")</f>
        <v>46228.414583333331</v>
      </c>
      <c r="AF47" s="2" t="str">
        <f>IFERROR(IF(MARÍTIMOS[[#This Row],[Puerto de Embarque]]="","",MARÍTIMOS[[#This Row],[Puerto de Embarque]]),"")</f>
        <v>Paita</v>
      </c>
      <c r="AG47" s="2" t="str">
        <f>IFERROR(IF(MARÍTIMOS[[#This Row],[Almacén de Ingreso]]="","",MARÍTIMOS[[#This Row],[Almacén de Ingreso]]),"")</f>
        <v>TPE</v>
      </c>
      <c r="AH47" s="11">
        <f>IFERROR(IF(MARÍTIMOS[[#This Row],[Etapa Ingreso - Cita]]="","",MARÍTIMOS[[#This Row],[Etapa Ingreso - Cita]]),"")</f>
        <v>46228.708333333336</v>
      </c>
      <c r="AI47" s="11">
        <f>IFERROR(IF(MARÍTIMOS[[#This Row],[Etapa Ingreso - Llegada]]="","",MARÍTIMOS[[#This Row],[Etapa Ingreso - Llegada]]),"")</f>
        <v>46228.628472222219</v>
      </c>
      <c r="AJ47" s="11">
        <f>IFERROR(IF(MARÍTIMOS[[#This Row],[Etapa Ingreso - Ingeso]]="","",MARÍTIMOS[[#This Row],[Etapa Ingreso - Ingeso]]),"")</f>
        <v>46228.630555555559</v>
      </c>
      <c r="AK47" s="11">
        <f>IFERROR(IF(MARÍTIMOS[[#This Row],[Etapa Ingreso - Atención]]="","",MARÍTIMOS[[#This Row],[Etapa Ingreso - Atención]]),"")</f>
        <v>46228.630555555559</v>
      </c>
      <c r="AL47" s="11">
        <f>IFERROR(IF(MARÍTIMOS[[#This Row],[Etapa Ingreso - Salida]]="","",MARÍTIMOS[[#This Row],[Etapa Ingreso - Salida]]),"")</f>
        <v>46228.637499999997</v>
      </c>
      <c r="AM47" s="2">
        <f>IFERROR(IF(MARÍTIMOS[[#This Row],[FCL]]="","",MARÍTIMOS[[#This Row],[FCL]]),"")</f>
        <v>1</v>
      </c>
      <c r="AN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7" s="4" t="str" cm="1">
        <f t="array" ref="AO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7" s="5">
        <f>IFERROR(OLDBD[[#This Row],[Llegada a packing]]-OLDBD[[#This Row],[Inicio de Ruta]],"")</f>
        <v>0.25694444444525288</v>
      </c>
      <c r="AQ47" s="6">
        <f>IFERROR(OLDBD[[#This Row],[Inicio de Ruta]]-OLDBD[[#This Row],[Salida de almacén de retiro]],"")</f>
        <v>8.1249999995634425E-2</v>
      </c>
      <c r="AR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7" s="8" t="str" cm="1">
        <f t="array" ref="AS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7" s="9">
        <f>IFERROR(OLDBD[[#This Row],[Ingreso Packing]]-OLDBD[[#This Row],[Registro en Packing]],"")</f>
        <v>2.7777777795563452E-3</v>
      </c>
      <c r="AV47" s="9">
        <f>IFERROR(OLDBD[[#This Row],[Ingreso Packing]]-OLDBD[[#This Row],[Llegada a packing]],"")</f>
        <v>0.27222222222189885</v>
      </c>
      <c r="AW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47" s="5">
        <f>IFERROR(OLDBD[[#This Row],[Llegada Almacén de Ingreso]]-OLDBD[[#This Row],[Salida Packing]],"")</f>
        <v>0.21388888888759539</v>
      </c>
      <c r="AY47" s="4" t="str" cm="1">
        <f t="array" ref="AY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7" s="43" t="s">
        <v>173</v>
      </c>
      <c r="BB47" s="47" t="str">
        <f>IFERROR(IF(MARÍTIMOS[[#This Row],[Estatus]]="","",MARÍTIMOS[[#This Row],[Estatus]]),"")</f>
        <v>Confirmado</v>
      </c>
      <c r="BC47" s="43"/>
      <c r="BD47" s="46">
        <f>IFERROR(OLDBD[[#This Row],[Salida de almacén de retiro]]-OLDBD[[#This Row],[Ingreso Almacén de retiro]],"")</f>
        <v>2.7777777795563452E-3</v>
      </c>
      <c r="BE47" s="46">
        <f>IFERROR(OLDBD[[#This Row],[Fin de Carga]]-OLDBD[[#This Row],[Inicio de Carga]],"")</f>
        <v>2.0833333335758653E-2</v>
      </c>
    </row>
    <row r="48" spans="1:57" customFormat="1" hidden="1">
      <c r="A48" s="1"/>
      <c r="B48" s="1">
        <f>IFERROR(IF(MARÍTIMOS[[#This Row],[PP]]="","",MARÍTIMOS[[#This Row],[PP]]),"")</f>
        <v>31</v>
      </c>
      <c r="C48" s="1" t="str">
        <f>IFERROR(IF(MARÍTIMOS[[#This Row],[Sede]]="","",MARÍTIMOS[[#This Row],[Sede]]),"")</f>
        <v>Olmos</v>
      </c>
      <c r="D48" s="1" t="str">
        <f>IFERROR(IF(MARÍTIMOS[[#This Row],[Instruction]]="","",MARÍTIMOS[[#This Row],[Instruction]]),"")</f>
        <v>RH-0336</v>
      </c>
      <c r="E48" s="1"/>
      <c r="F48" s="2" t="str">
        <f>IFERROR(IF(MARÍTIMOS[[#This Row],[Transportista]]="","",MARÍTIMOS[[#This Row],[Transportista]]),"")</f>
        <v>Costa Transport</v>
      </c>
      <c r="G48" s="2" t="str">
        <f>IFERROR(IF(MARÍTIMOS[[#This Row],[Tercero]]="","",MARÍTIMOS[[#This Row],[Tercero]]),"")</f>
        <v>NO</v>
      </c>
      <c r="H48" s="2" t="str">
        <f>IFERROR(IF(MARÍTIMOS[[#This Row],[Razón Social]]="","",MARÍTIMOS[[#This Row],[Razón Social]]),"")</f>
        <v>TRANSPORTES COSTA TRANSPORT EIRL</v>
      </c>
      <c r="I48" s="2">
        <f>IFERROR(IF(MARÍTIMOS[[#This Row],[RUC]]="","",MARÍTIMOS[[#This Row],[RUC]]),"")</f>
        <v>20525373551</v>
      </c>
      <c r="J48" s="2" t="str">
        <f>IFERROR(IF(MARÍTIMOS[[#This Row],[Placa Tracto]]="","",MARÍTIMOS[[#This Row],[Placa Tracto]]),"")</f>
        <v>TFY-879</v>
      </c>
      <c r="K48" s="2" t="str">
        <f>IFERROR(IF(MARÍTIMOS[[#This Row],[Placa Carreta]]="","",MARÍTIMOS[[#This Row],[Placa Carreta]]),"")</f>
        <v>A1G-973</v>
      </c>
      <c r="L48" s="44" t="str">
        <f>IFERROR(IF(MARÍTIMOS[[#This Row],[Conductor]]="","",MARÍTIMOS[[#This Row],[Conductor]]),"")</f>
        <v>JORGE LUIS AZO RUIZ</v>
      </c>
      <c r="M48" s="2" t="str">
        <f>IFERROR(IF(MARÍTIMOS[[#This Row],[Licencia]]="","",MARÍTIMOS[[#This Row],[Licencia]]),"")</f>
        <v>B03874735</v>
      </c>
      <c r="N48" s="2">
        <f>IFERROR(IF(MARÍTIMOS[[#This Row],[Número de Contacto]]="","",MARÍTIMOS[[#This Row],[Número de Contacto]]),"")</f>
        <v>998231122</v>
      </c>
      <c r="O48" s="10" t="str">
        <f>IFERROR(IF(MARÍTIMOS[[#This Row],[Booking|AWB|CRT]]="","",MARÍTIMOS[[#This Row],[Booking|AWB|CRT]]),"")</f>
        <v>MBM250067110</v>
      </c>
      <c r="P48" s="2" t="str">
        <f>IFERROR(IF(MARÍTIMOS[[#This Row],[Contenedor]]="","",MARÍTIMOS[[#This Row],[Contenedor]]),"")</f>
        <v>SEKU936611-8</v>
      </c>
      <c r="Q48" s="2" t="str">
        <f>IFERROR(IF(MARÍTIMOS[[#This Row],[Puerto de Retiro]]="","",MARÍTIMOS[[#This Row],[Puerto de Retiro]]),"")</f>
        <v>PAITA</v>
      </c>
      <c r="R48" s="2" t="str">
        <f>IFERROR(IF(MARÍTIMOS[[#This Row],[Almacén de Retiro]]="","",MARÍTIMOS[[#This Row],[Almacén de Retiro]]),"")</f>
        <v>MACROMAR</v>
      </c>
      <c r="S48" s="11">
        <f>IFERROR(IF(MARÍTIMOS[[#This Row],[Etapa Retiro - Cita]]="","",MARÍTIMOS[[#This Row],[Etapa Retiro - Cita]]),"")</f>
        <v>46233.708333333336</v>
      </c>
      <c r="T48" s="11">
        <f>IFERROR(IF(MARÍTIMOS[[#This Row],[Etapa Retiro - Llegada]]="","",MARÍTIMOS[[#This Row],[Etapa Retiro - Llegada]]),"")</f>
        <v>46233.679166666669</v>
      </c>
      <c r="U48" s="11">
        <f>IFERROR(IF(MARÍTIMOS[[#This Row],[Etapa Retiro - Ingreso]]="","",MARÍTIMOS[[#This Row],[Etapa Retiro - Ingreso]]),"")</f>
        <v>46233.693055555559</v>
      </c>
      <c r="V48" s="11">
        <f>IFERROR(IF(MARÍTIMOS[[#This Row],[Etapa Retiro - Atención]]="","",MARÍTIMOS[[#This Row],[Etapa Retiro - Atención]]),"")</f>
        <v>46233.693055555559</v>
      </c>
      <c r="W48" s="11">
        <f>IFERROR(IF(MARÍTIMOS[[#This Row],[Etapa Retiro - Atención]]="","",MARÍTIMOS[[#This Row],[Etapa Retiro - Atención]]),"")</f>
        <v>46233.693055555559</v>
      </c>
      <c r="X48" s="11">
        <f>IFERROR(IF(MARÍTIMOS[[#This Row],[Etapa Retiro - Inicio de Ruta]]="","",MARÍTIMOS[[#This Row],[Etapa Retiro - Inicio de Ruta]]),"")</f>
        <v>46233.774305555555</v>
      </c>
      <c r="Y48" s="11">
        <f>IFERROR(IF(MARÍTIMOS[[#This Row],[Hora de Posicionamiento]]="","",MARÍTIMOS[[#This Row],[Fecha de Carga]]+MARÍTIMOS[[#This Row],[Hora de Posicionamiento]]),"")</f>
        <v>46234.333333333336</v>
      </c>
      <c r="Z48" s="11">
        <f>IFERROR(IF(MARÍTIMOS[[#This Row],[Etapa Despacho - Llegada]]="","",MARÍTIMOS[[#This Row],[Etapa Despacho - Llegada]]),"")</f>
        <v>46233.965277777781</v>
      </c>
      <c r="AA48" s="11">
        <f>IFERROR(IF(MARÍTIMOS[[#This Row],[Etapa Despacho - Registro]]="","",MARÍTIMOS[[#This Row],[Etapa Despacho - Registro]]),"")</f>
        <v>46234.333333333336</v>
      </c>
      <c r="AB48" s="11">
        <f>IFERROR(IF(MARÍTIMOS[[#This Row],[Inspección Externa]]="","",MARÍTIMOS[[#This Row],[Inspección Externa]]),"")</f>
        <v>46234.345138888886</v>
      </c>
      <c r="AC48" s="11">
        <f>IFERROR(IF(MARÍTIMOS[[#This Row],[Etapa Despacho - Inicio de Carga]]="","",MARÍTIMOS[[#This Row],[Etapa Despacho - Inicio de Carga]]),"")</f>
        <v>46234.618055555555</v>
      </c>
      <c r="AD48" s="11">
        <f>IFERROR(IF(MARÍTIMOS[[#This Row],[Etapa Despacho - Mitad de Carga]]="","",MARÍTIMOS[[#This Row],[Etapa Despacho - Mitad de Carga]]),"")</f>
        <v>46234.625</v>
      </c>
      <c r="AE48" s="11">
        <f>IFERROR(IF(MARÍTIMOS[[#This Row],[Etapa Despacho - Fin de Carga]]="","",MARÍTIMOS[[#This Row],[Etapa Despacho - Fin de Carga]]),"")</f>
        <v>46234.663888888892</v>
      </c>
      <c r="AF48" s="2" t="str">
        <f>IFERROR(IF(MARÍTIMOS[[#This Row],[Puerto de Embarque]]="","",MARÍTIMOS[[#This Row],[Puerto de Embarque]]),"")</f>
        <v>Paita</v>
      </c>
      <c r="AG48" s="2" t="str">
        <f>IFERROR(IF(MARÍTIMOS[[#This Row],[Almacén de Ingreso]]="","",MARÍTIMOS[[#This Row],[Almacén de Ingreso]]),"")</f>
        <v>TPE</v>
      </c>
      <c r="AH48" s="11">
        <f>IFERROR(IF(MARÍTIMOS[[#This Row],[Etapa Ingreso - Cita]]="","",MARÍTIMOS[[#This Row],[Etapa Ingreso - Cita]]),"")</f>
        <v>46234.916666666664</v>
      </c>
      <c r="AI48" s="11">
        <f>IFERROR(IF(MARÍTIMOS[[#This Row],[Etapa Ingreso - Llegada]]="","",MARÍTIMOS[[#This Row],[Etapa Ingreso - Llegada]]),"")</f>
        <v>46234.885416666664</v>
      </c>
      <c r="AJ48" s="11">
        <f>IFERROR(IF(MARÍTIMOS[[#This Row],[Etapa Ingreso - Ingeso]]="","",MARÍTIMOS[[#This Row],[Etapa Ingreso - Ingeso]]),"")</f>
        <v>46234.888888888891</v>
      </c>
      <c r="AK48" s="11">
        <f>IFERROR(IF(MARÍTIMOS[[#This Row],[Etapa Ingreso - Atención]]="","",MARÍTIMOS[[#This Row],[Etapa Ingreso - Atención]]),"")</f>
        <v>46234.894444444442</v>
      </c>
      <c r="AL48" s="11">
        <f>IFERROR(IF(MARÍTIMOS[[#This Row],[Etapa Ingreso - Salida]]="","",MARÍTIMOS[[#This Row],[Etapa Ingreso - Salida]]),"")</f>
        <v>46234.897222222222</v>
      </c>
      <c r="AM48" s="2">
        <f>IFERROR(IF(MARÍTIMOS[[#This Row],[FCL]]="","",MARÍTIMOS[[#This Row],[FCL]]),"")</f>
        <v>1</v>
      </c>
      <c r="AN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48" s="4" t="str" cm="1">
        <f t="array" ref="AO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8" s="5">
        <f>IFERROR(OLDBD[[#This Row],[Llegada a packing]]-OLDBD[[#This Row],[Inicio de Ruta]],"")</f>
        <v>0.19097222222626442</v>
      </c>
      <c r="AQ48" s="6">
        <f>IFERROR(OLDBD[[#This Row],[Inicio de Ruta]]-OLDBD[[#This Row],[Salida de almacén de retiro]],"")</f>
        <v>8.1249999995634425E-2</v>
      </c>
      <c r="AR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8" s="8" t="str" cm="1">
        <f t="array" ref="AS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8" s="9">
        <f>IFERROR(OLDBD[[#This Row],[Ingreso Packing]]-OLDBD[[#This Row],[Registro en Packing]],"")</f>
        <v>1.1805555550381541E-2</v>
      </c>
      <c r="AV48" s="9">
        <f>IFERROR(OLDBD[[#This Row],[Ingreso Packing]]-OLDBD[[#This Row],[Llegada a packing]],"")</f>
        <v>0.37986111110512866</v>
      </c>
      <c r="AW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48" s="5">
        <f>IFERROR(OLDBD[[#This Row],[Llegada Almacén de Ingreso]]-OLDBD[[#This Row],[Salida Packing]],"")</f>
        <v>0.22152777777228039</v>
      </c>
      <c r="AY48" s="4" t="str" cm="1">
        <f t="array" ref="AY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8" s="43" t="s">
        <v>173</v>
      </c>
      <c r="BB48" s="47" t="str">
        <f>IFERROR(IF(MARÍTIMOS[[#This Row],[Estatus]]="","",MARÍTIMOS[[#This Row],[Estatus]]),"")</f>
        <v>Confirmado</v>
      </c>
      <c r="BC48" s="43"/>
      <c r="BD48" s="46">
        <f>IFERROR(OLDBD[[#This Row],[Salida de almacén de retiro]]-OLDBD[[#This Row],[Ingreso Almacén de retiro]],"")</f>
        <v>0</v>
      </c>
      <c r="BE48" s="46">
        <f>IFERROR(OLDBD[[#This Row],[Fin de Carga]]-OLDBD[[#This Row],[Inicio de Carga]],"")</f>
        <v>6.9444444452528842E-3</v>
      </c>
    </row>
    <row r="49" spans="1:57" customFormat="1" hidden="1">
      <c r="A49" s="1"/>
      <c r="B49" s="1">
        <f>IFERROR(IF(MARÍTIMOS[[#This Row],[PP]]="","",MARÍTIMOS[[#This Row],[PP]]),"")</f>
        <v>31</v>
      </c>
      <c r="C49" s="1" t="str">
        <f>IFERROR(IF(MARÍTIMOS[[#This Row],[Sede]]="","",MARÍTIMOS[[#This Row],[Sede]]),"")</f>
        <v>Olmos</v>
      </c>
      <c r="D49" s="1" t="str">
        <f>IFERROR(IF(MARÍTIMOS[[#This Row],[Instruction]]="","",MARÍTIMOS[[#This Row],[Instruction]]),"")</f>
        <v>RH-0337</v>
      </c>
      <c r="E49" s="1"/>
      <c r="F49" s="2" t="str">
        <f>IFERROR(IF(MARÍTIMOS[[#This Row],[Transportista]]="","",MARÍTIMOS[[#This Row],[Transportista]]),"")</f>
        <v>Costa Transport</v>
      </c>
      <c r="G49" s="2" t="str">
        <f>IFERROR(IF(MARÍTIMOS[[#This Row],[Tercero]]="","",MARÍTIMOS[[#This Row],[Tercero]]),"")</f>
        <v>NO</v>
      </c>
      <c r="H49" s="2" t="str">
        <f>IFERROR(IF(MARÍTIMOS[[#This Row],[Razón Social]]="","",MARÍTIMOS[[#This Row],[Razón Social]]),"")</f>
        <v>TRANSPORTES COSTA TRANSPORT EIRL</v>
      </c>
      <c r="I49" s="2">
        <f>IFERROR(IF(MARÍTIMOS[[#This Row],[RUC]]="","",MARÍTIMOS[[#This Row],[RUC]]),"")</f>
        <v>20525373551</v>
      </c>
      <c r="J49" s="2" t="str">
        <f>IFERROR(IF(MARÍTIMOS[[#This Row],[Placa Tracto]]="","",MARÍTIMOS[[#This Row],[Placa Tracto]]),"")</f>
        <v>T4P-940</v>
      </c>
      <c r="K49" s="2" t="str">
        <f>IFERROR(IF(MARÍTIMOS[[#This Row],[Placa Carreta]]="","",MARÍTIMOS[[#This Row],[Placa Carreta]]),"")</f>
        <v>A8N-987</v>
      </c>
      <c r="L49" s="44" t="str">
        <f>IFERROR(IF(MARÍTIMOS[[#This Row],[Conductor]]="","",MARÍTIMOS[[#This Row],[Conductor]]),"")</f>
        <v>ARMANDO SAAVEDRA CALDERON</v>
      </c>
      <c r="M49" s="2" t="str">
        <f>IFERROR(IF(MARÍTIMOS[[#This Row],[Licencia]]="","",MARÍTIMOS[[#This Row],[Licencia]]),"")</f>
        <v>B75606898</v>
      </c>
      <c r="N49" s="2">
        <f>IFERROR(IF(MARÍTIMOS[[#This Row],[Número de Contacto]]="","",MARÍTIMOS[[#This Row],[Número de Contacto]]),"")</f>
        <v>970999799</v>
      </c>
      <c r="O49" s="10" t="str">
        <f>IFERROR(IF(MARÍTIMOS[[#This Row],[Booking|AWB|CRT]]="","",MARÍTIMOS[[#This Row],[Booking|AWB|CRT]]),"")</f>
        <v>MBM250068047</v>
      </c>
      <c r="P49" s="2" t="str">
        <f>IFERROR(IF(MARÍTIMOS[[#This Row],[Contenedor]]="","",MARÍTIMOS[[#This Row],[Contenedor]]),"")</f>
        <v>CAAU403244-8</v>
      </c>
      <c r="Q49" s="2" t="str">
        <f>IFERROR(IF(MARÍTIMOS[[#This Row],[Puerto de Retiro]]="","",MARÍTIMOS[[#This Row],[Puerto de Retiro]]),"")</f>
        <v>PAITA</v>
      </c>
      <c r="R49" s="2" t="str">
        <f>IFERROR(IF(MARÍTIMOS[[#This Row],[Almacén de Retiro]]="","",MARÍTIMOS[[#This Row],[Almacén de Retiro]]),"")</f>
        <v>MACROMAR</v>
      </c>
      <c r="S49" s="11">
        <f>IFERROR(IF(MARÍTIMOS[[#This Row],[Etapa Retiro - Cita]]="","",MARÍTIMOS[[#This Row],[Etapa Retiro - Cita]]),"")</f>
        <v>46233.708333333336</v>
      </c>
      <c r="T49" s="11">
        <f>IFERROR(IF(MARÍTIMOS[[#This Row],[Etapa Retiro - Llegada]]="","",MARÍTIMOS[[#This Row],[Etapa Retiro - Llegada]]),"")</f>
        <v>46233.703472222223</v>
      </c>
      <c r="U49" s="11">
        <f>IFERROR(IF(MARÍTIMOS[[#This Row],[Etapa Retiro - Ingreso]]="","",MARÍTIMOS[[#This Row],[Etapa Retiro - Ingreso]]),"")</f>
        <v>46233.719444444447</v>
      </c>
      <c r="V49" s="11">
        <f>IFERROR(IF(MARÍTIMOS[[#This Row],[Etapa Retiro - Atención]]="","",MARÍTIMOS[[#This Row],[Etapa Retiro - Atención]]),"")</f>
        <v>46233.719444444447</v>
      </c>
      <c r="W49" s="11">
        <f>IFERROR(IF(MARÍTIMOS[[#This Row],[Etapa Retiro - Atención]]="","",MARÍTIMOS[[#This Row],[Etapa Retiro - Atención]]),"")</f>
        <v>46233.719444444447</v>
      </c>
      <c r="X49" s="11">
        <f>IFERROR(IF(MARÍTIMOS[[#This Row],[Etapa Retiro - Inicio de Ruta]]="","",MARÍTIMOS[[#This Row],[Etapa Retiro - Inicio de Ruta]]),"")</f>
        <v>46233.827777777777</v>
      </c>
      <c r="Y49" s="11">
        <f>IFERROR(IF(MARÍTIMOS[[#This Row],[Hora de Posicionamiento]]="","",MARÍTIMOS[[#This Row],[Fecha de Carga]]+MARÍTIMOS[[#This Row],[Hora de Posicionamiento]]),"")</f>
        <v>46234.333333333336</v>
      </c>
      <c r="Z49" s="11">
        <f>IFERROR(IF(MARÍTIMOS[[#This Row],[Etapa Despacho - Llegada]]="","",MARÍTIMOS[[#This Row],[Etapa Despacho - Llegada]]),"")</f>
        <v>46234.293055555558</v>
      </c>
      <c r="AA49" s="11">
        <f>IFERROR(IF(MARÍTIMOS[[#This Row],[Etapa Despacho - Registro]]="","",MARÍTIMOS[[#This Row],[Etapa Despacho - Registro]]),"")</f>
        <v>46234.333333333336</v>
      </c>
      <c r="AB49" s="11">
        <f>IFERROR(IF(MARÍTIMOS[[#This Row],[Inspección Externa]]="","",MARÍTIMOS[[#This Row],[Inspección Externa]]),"")</f>
        <v>46234.351388888892</v>
      </c>
      <c r="AC49" s="11">
        <f>IFERROR(IF(MARÍTIMOS[[#This Row],[Etapa Despacho - Inicio de Carga]]="","",MARÍTIMOS[[#This Row],[Etapa Despacho - Inicio de Carga]]),"")</f>
        <v>46234.486111111109</v>
      </c>
      <c r="AD49" s="11">
        <f>IFERROR(IF(MARÍTIMOS[[#This Row],[Etapa Despacho - Mitad de Carga]]="","",MARÍTIMOS[[#This Row],[Etapa Despacho - Mitad de Carga]]),"")</f>
        <v>46234.5</v>
      </c>
      <c r="AE49" s="11">
        <f>IFERROR(IF(MARÍTIMOS[[#This Row],[Etapa Despacho - Fin de Carga]]="","",MARÍTIMOS[[#This Row],[Etapa Despacho - Fin de Carga]]),"")</f>
        <v>46234.506944444445</v>
      </c>
      <c r="AF49" s="2" t="str">
        <f>IFERROR(IF(MARÍTIMOS[[#This Row],[Puerto de Embarque]]="","",MARÍTIMOS[[#This Row],[Puerto de Embarque]]),"")</f>
        <v>Paita</v>
      </c>
      <c r="AG49" s="2" t="str">
        <f>IFERROR(IF(MARÍTIMOS[[#This Row],[Almacén de Ingreso]]="","",MARÍTIMOS[[#This Row],[Almacén de Ingreso]]),"")</f>
        <v>TPE</v>
      </c>
      <c r="AH49" s="11">
        <f>IFERROR(IF(MARÍTIMOS[[#This Row],[Etapa Ingreso - Cita]]="","",MARÍTIMOS[[#This Row],[Etapa Ingreso - Cita]]),"")</f>
        <v>46234.791666666664</v>
      </c>
      <c r="AI49" s="11">
        <f>IFERROR(IF(MARÍTIMOS[[#This Row],[Etapa Ingreso - Llegada]]="","",MARÍTIMOS[[#This Row],[Etapa Ingreso - Llegada]]),"")</f>
        <v>46234.722222222219</v>
      </c>
      <c r="AJ49" s="11">
        <f>IFERROR(IF(MARÍTIMOS[[#This Row],[Etapa Ingreso - Ingeso]]="","",MARÍTIMOS[[#This Row],[Etapa Ingreso - Ingeso]]),"")</f>
        <v>46234.729166666664</v>
      </c>
      <c r="AK49" s="11">
        <f>IFERROR(IF(MARÍTIMOS[[#This Row],[Etapa Ingreso - Atención]]="","",MARÍTIMOS[[#This Row],[Etapa Ingreso - Atención]]),"")</f>
        <v>46234.743750000001</v>
      </c>
      <c r="AL49" s="11">
        <f>IFERROR(IF(MARÍTIMOS[[#This Row],[Etapa Ingreso - Salida]]="","",MARÍTIMOS[[#This Row],[Etapa Ingreso - Salida]]),"")</f>
        <v>46234.74722222222</v>
      </c>
      <c r="AM49" s="2">
        <f>IFERROR(IF(MARÍTIMOS[[#This Row],[FCL]]="","",MARÍTIMOS[[#This Row],[FCL]]),"")</f>
        <v>1</v>
      </c>
      <c r="AN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9" s="4" t="str" cm="1">
        <f t="array" ref="AO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9" s="5">
        <f>IFERROR(OLDBD[[#This Row],[Llegada a packing]]-OLDBD[[#This Row],[Inicio de Ruta]],"")</f>
        <v>0.46527777778101154</v>
      </c>
      <c r="AQ49" s="6">
        <f>IFERROR(OLDBD[[#This Row],[Inicio de Ruta]]-OLDBD[[#This Row],[Salida de almacén de retiro]],"")</f>
        <v>0.10833333332993789</v>
      </c>
      <c r="AR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9" s="8" t="str" cm="1">
        <f t="array" ref="AS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9" s="9">
        <f>IFERROR(OLDBD[[#This Row],[Ingreso Packing]]-OLDBD[[#This Row],[Registro en Packing]],"")</f>
        <v>1.8055555556202307E-2</v>
      </c>
      <c r="AV49" s="9">
        <f>IFERROR(OLDBD[[#This Row],[Ingreso Packing]]-OLDBD[[#This Row],[Llegada a packing]],"")</f>
        <v>5.8333333334303461E-2</v>
      </c>
      <c r="AW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49" s="5">
        <f>IFERROR(OLDBD[[#This Row],[Llegada Almacén de Ingreso]]-OLDBD[[#This Row],[Salida Packing]],"")</f>
        <v>0.21527777777373558</v>
      </c>
      <c r="AY49" s="4" t="str" cm="1">
        <f t="array" ref="AY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9" s="43" t="s">
        <v>173</v>
      </c>
      <c r="BB49" s="47" t="str">
        <f>IFERROR(IF(MARÍTIMOS[[#This Row],[Estatus]]="","",MARÍTIMOS[[#This Row],[Estatus]]),"")</f>
        <v>Confirmado</v>
      </c>
      <c r="BC49" s="43"/>
      <c r="BD49" s="46">
        <f>IFERROR(OLDBD[[#This Row],[Salida de almacén de retiro]]-OLDBD[[#This Row],[Ingreso Almacén de retiro]],"")</f>
        <v>0</v>
      </c>
      <c r="BE49" s="46">
        <f>IFERROR(OLDBD[[#This Row],[Fin de Carga]]-OLDBD[[#This Row],[Inicio de Carga]],"")</f>
        <v>1.3888888890505768E-2</v>
      </c>
    </row>
    <row r="50" spans="1:57" customFormat="1" hidden="1">
      <c r="A50" s="1"/>
      <c r="B50" s="1">
        <f>IFERROR(IF(MARÍTIMOS[[#This Row],[PP]]="","",MARÍTIMOS[[#This Row],[PP]]),"")</f>
        <v>32</v>
      </c>
      <c r="C50" s="1" t="str">
        <f>IFERROR(IF(MARÍTIMOS[[#This Row],[Sede]]="","",MARÍTIMOS[[#This Row],[Sede]]),"")</f>
        <v>Olmos</v>
      </c>
      <c r="D50" s="1" t="str">
        <f>IFERROR(IF(MARÍTIMOS[[#This Row],[Instruction]]="","",MARÍTIMOS[[#This Row],[Instruction]]),"")</f>
        <v>RH-0462</v>
      </c>
      <c r="E50" s="1"/>
      <c r="F50" s="2" t="str">
        <f>IFERROR(IF(MARÍTIMOS[[#This Row],[Transportista]]="","",MARÍTIMOS[[#This Row],[Transportista]]),"")</f>
        <v>Costa Transport</v>
      </c>
      <c r="G50" s="2" t="str">
        <f>IFERROR(IF(MARÍTIMOS[[#This Row],[Tercero]]="","",MARÍTIMOS[[#This Row],[Tercero]]),"")</f>
        <v>NO</v>
      </c>
      <c r="H50" s="2" t="str">
        <f>IFERROR(IF(MARÍTIMOS[[#This Row],[Razón Social]]="","",MARÍTIMOS[[#This Row],[Razón Social]]),"")</f>
        <v>TRANSPORTES COSTA TRANSPORT EIRL</v>
      </c>
      <c r="I50" s="2">
        <f>IFERROR(IF(MARÍTIMOS[[#This Row],[RUC]]="","",MARÍTIMOS[[#This Row],[RUC]]),"")</f>
        <v>20525373551</v>
      </c>
      <c r="J50" s="2" t="str">
        <f>IFERROR(IF(MARÍTIMOS[[#This Row],[Placa Tracto]]="","",MARÍTIMOS[[#This Row],[Placa Tracto]]),"")</f>
        <v>T3A-807</v>
      </c>
      <c r="K50" s="2" t="str">
        <f>IFERROR(IF(MARÍTIMOS[[#This Row],[Placa Carreta]]="","",MARÍTIMOS[[#This Row],[Placa Carreta]]),"")</f>
        <v>B7Q-991</v>
      </c>
      <c r="L50" s="44" t="str">
        <f>IFERROR(IF(MARÍTIMOS[[#This Row],[Conductor]]="","",MARÍTIMOS[[#This Row],[Conductor]]),"")</f>
        <v>CASTILLO MARTINEZ ALEJANDRO.</v>
      </c>
      <c r="M50" s="2" t="str">
        <f>IFERROR(IF(MARÍTIMOS[[#This Row],[Licencia]]="","",MARÍTIMOS[[#This Row],[Licencia]]),"")</f>
        <v>B02753773</v>
      </c>
      <c r="N50" s="2">
        <f>IFERROR(IF(MARÍTIMOS[[#This Row],[Número de Contacto]]="","",MARÍTIMOS[[#This Row],[Número de Contacto]]),"")</f>
        <v>998255542</v>
      </c>
      <c r="O50" s="10">
        <f>IFERROR(IF(MARÍTIMOS[[#This Row],[Booking|AWB|CRT]]="","",MARÍTIMOS[[#This Row],[Booking|AWB|CRT]]),"")</f>
        <v>6462052060</v>
      </c>
      <c r="P50" s="2" t="str">
        <f>IFERROR(IF(MARÍTIMOS[[#This Row],[Contenedor]]="","",MARÍTIMOS[[#This Row],[Contenedor]]),"")</f>
        <v>FBIU5755590</v>
      </c>
      <c r="Q50" s="2" t="str">
        <f>IFERROR(IF(MARÍTIMOS[[#This Row],[Puerto de Retiro]]="","",MARÍTIMOS[[#This Row],[Puerto de Retiro]]),"")</f>
        <v>PAITA</v>
      </c>
      <c r="R50" s="2" t="str">
        <f>IFERROR(IF(MARÍTIMOS[[#This Row],[Almacén de Retiro]]="","",MARÍTIMOS[[#This Row],[Almacén de Retiro]]),"")</f>
        <v>RANSA</v>
      </c>
      <c r="S50" s="11">
        <f>IFERROR(IF(MARÍTIMOS[[#This Row],[Etapa Retiro - Cita]]="","",MARÍTIMOS[[#This Row],[Etapa Retiro - Cita]]),"")</f>
        <v>46240.375</v>
      </c>
      <c r="T50" s="11">
        <f>IFERROR(IF(MARÍTIMOS[[#This Row],[Etapa Retiro - Llegada]]="","",MARÍTIMOS[[#This Row],[Etapa Retiro - Llegada]]),"")</f>
        <v>46240.376388888886</v>
      </c>
      <c r="U50" s="11">
        <f>IFERROR(IF(MARÍTIMOS[[#This Row],[Etapa Retiro - Ingreso]]="","",MARÍTIMOS[[#This Row],[Etapa Retiro - Ingreso]]),"")</f>
        <v>46240.384722222225</v>
      </c>
      <c r="V50" s="11">
        <f>IFERROR(IF(MARÍTIMOS[[#This Row],[Etapa Retiro - Atención]]="","",MARÍTIMOS[[#This Row],[Etapa Retiro - Atención]]),"")</f>
        <v>46240.384722222225</v>
      </c>
      <c r="W50" s="11">
        <f>IFERROR(IF(MARÍTIMOS[[#This Row],[Etapa Retiro - Atención]]="","",MARÍTIMOS[[#This Row],[Etapa Retiro - Atención]]),"")</f>
        <v>46240.384722222225</v>
      </c>
      <c r="X50" s="11">
        <f>IFERROR(IF(MARÍTIMOS[[#This Row],[Etapa Retiro - Inicio de Ruta]]="","",MARÍTIMOS[[#This Row],[Etapa Retiro - Inicio de Ruta]]),"")</f>
        <v>46241.144444444442</v>
      </c>
      <c r="Y50" s="11">
        <f>IFERROR(IF(MARÍTIMOS[[#This Row],[Hora de Posicionamiento]]="","",MARÍTIMOS[[#This Row],[Fecha de Carga]]+MARÍTIMOS[[#This Row],[Hora de Posicionamiento]]),"")</f>
        <v>46241.333333333336</v>
      </c>
      <c r="Z50" s="11">
        <f>IFERROR(IF(MARÍTIMOS[[#This Row],[Etapa Despacho - Llegada]]="","",MARÍTIMOS[[#This Row],[Etapa Despacho - Llegada]]),"")</f>
        <v>46241.318055555559</v>
      </c>
      <c r="AA50" s="11">
        <f>IFERROR(IF(MARÍTIMOS[[#This Row],[Etapa Despacho - Registro]]="","",MARÍTIMOS[[#This Row],[Etapa Despacho - Registro]]),"")</f>
        <v>46241.365277777775</v>
      </c>
      <c r="AB50" s="11">
        <f>IFERROR(IF(MARÍTIMOS[[#This Row],[Inspección Externa]]="","",MARÍTIMOS[[#This Row],[Inspección Externa]]),"")</f>
        <v>46241.365277777775</v>
      </c>
      <c r="AC50" s="11">
        <f>IFERROR(IF(MARÍTIMOS[[#This Row],[Etapa Despacho - Inicio de Carga]]="","",MARÍTIMOS[[#This Row],[Etapa Despacho - Inicio de Carga]]),"")</f>
        <v>46241.640277777777</v>
      </c>
      <c r="AD50" s="11">
        <f>IFERROR(IF(MARÍTIMOS[[#This Row],[Etapa Despacho - Mitad de Carga]]="","",MARÍTIMOS[[#This Row],[Etapa Despacho - Mitad de Carga]]),"")</f>
        <v>46241.666666666664</v>
      </c>
      <c r="AE50" s="11">
        <f>IFERROR(IF(MARÍTIMOS[[#This Row],[Etapa Despacho - Fin de Carga]]="","",MARÍTIMOS[[#This Row],[Etapa Despacho - Fin de Carga]]),"")</f>
        <v>46241.689583333333</v>
      </c>
      <c r="AF50" s="2" t="str">
        <f>IFERROR(IF(MARÍTIMOS[[#This Row],[Puerto de Embarque]]="","",MARÍTIMOS[[#This Row],[Puerto de Embarque]]),"")</f>
        <v>Paita</v>
      </c>
      <c r="AG50" s="2" t="str">
        <f>IFERROR(IF(MARÍTIMOS[[#This Row],[Almacén de Ingreso]]="","",MARÍTIMOS[[#This Row],[Almacén de Ingreso]]),"")</f>
        <v>TPE</v>
      </c>
      <c r="AH50" s="11">
        <f>IFERROR(IF(MARÍTIMOS[[#This Row],[Etapa Ingreso - Cita]]="","",MARÍTIMOS[[#This Row],[Etapa Ingreso - Cita]]),"")</f>
        <v>46241.958333333336</v>
      </c>
      <c r="AI50" s="11">
        <f>IFERROR(IF(MARÍTIMOS[[#This Row],[Etapa Ingreso - Llegada]]="","",MARÍTIMOS[[#This Row],[Etapa Ingreso - Llegada]]),"")</f>
        <v>46241.893055555556</v>
      </c>
      <c r="AJ50" s="11">
        <f>IFERROR(IF(MARÍTIMOS[[#This Row],[Etapa Ingreso - Ingeso]]="","",MARÍTIMOS[[#This Row],[Etapa Ingreso - Ingeso]]),"")</f>
        <v>46241.912499999999</v>
      </c>
      <c r="AK50" s="11">
        <f>IFERROR(IF(MARÍTIMOS[[#This Row],[Etapa Ingreso - Atención]]="","",MARÍTIMOS[[#This Row],[Etapa Ingreso - Atención]]),"")</f>
        <v>46241.916666666664</v>
      </c>
      <c r="AL50" s="11">
        <f>IFERROR(IF(MARÍTIMOS[[#This Row],[Etapa Ingreso - Salida]]="","",MARÍTIMOS[[#This Row],[Etapa Ingreso - Salida]]),"")</f>
        <v>46241.920138888891</v>
      </c>
      <c r="AM50" s="2">
        <f>IFERROR(IF(MARÍTIMOS[[#This Row],[FCL]]="","",MARÍTIMOS[[#This Row],[FCL]]),"")</f>
        <v>1</v>
      </c>
      <c r="AN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0" s="4" t="str" cm="1">
        <f t="array" ref="AO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0" s="5">
        <f>IFERROR(OLDBD[[#This Row],[Llegada a packing]]-OLDBD[[#This Row],[Inicio de Ruta]],"")</f>
        <v>0.17361111111677019</v>
      </c>
      <c r="AQ50" s="6">
        <f>IFERROR(OLDBD[[#This Row],[Inicio de Ruta]]-OLDBD[[#This Row],[Salida de almacén de retiro]],"")</f>
        <v>0.75972222221753327</v>
      </c>
      <c r="AR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0" s="8" t="str" cm="1">
        <f t="array" ref="AS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50" s="9">
        <f>IFERROR(OLDBD[[#This Row],[Ingreso Packing]]-OLDBD[[#This Row],[Registro en Packing]],"")</f>
        <v>0</v>
      </c>
      <c r="AV50" s="9">
        <f>IFERROR(OLDBD[[#This Row],[Ingreso Packing]]-OLDBD[[#This Row],[Llegada a packing]],"")</f>
        <v>4.722222221607808E-2</v>
      </c>
      <c r="AW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50" s="5">
        <f>IFERROR(OLDBD[[#This Row],[Llegada Almacén de Ingreso]]-OLDBD[[#This Row],[Salida Packing]],"")</f>
        <v>0.20347222222335404</v>
      </c>
      <c r="AY50" s="4" t="str" cm="1">
        <f t="array" ref="AY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0" s="43" t="s">
        <v>173</v>
      </c>
      <c r="BB50" s="47" t="str">
        <f>IFERROR(IF(MARÍTIMOS[[#This Row],[Estatus]]="","",MARÍTIMOS[[#This Row],[Estatus]]),"")</f>
        <v>Confirmado</v>
      </c>
      <c r="BC50" s="43"/>
      <c r="BD50" s="46">
        <f>IFERROR(OLDBD[[#This Row],[Salida de almacén de retiro]]-OLDBD[[#This Row],[Ingreso Almacén de retiro]],"")</f>
        <v>0</v>
      </c>
      <c r="BE50" s="46">
        <f>IFERROR(OLDBD[[#This Row],[Fin de Carga]]-OLDBD[[#This Row],[Inicio de Carga]],"")</f>
        <v>2.6388888887595385E-2</v>
      </c>
    </row>
    <row r="51" spans="1:57" customFormat="1" hidden="1">
      <c r="A51" s="1"/>
      <c r="B51" s="1">
        <f>IFERROR(IF(MARÍTIMOS[[#This Row],[PP]]="","",MARÍTIMOS[[#This Row],[PP]]),"")</f>
        <v>32</v>
      </c>
      <c r="C51" s="1" t="str">
        <f>IFERROR(IF(MARÍTIMOS[[#This Row],[Sede]]="","",MARÍTIMOS[[#This Row],[Sede]]),"")</f>
        <v>Olmos</v>
      </c>
      <c r="D51" s="1" t="str">
        <f>IFERROR(IF(MARÍTIMOS[[#This Row],[Instruction]]="","",MARÍTIMOS[[#This Row],[Instruction]]),"")</f>
        <v>RH-0435</v>
      </c>
      <c r="E51" s="1"/>
      <c r="F51" s="2" t="str">
        <f>IFERROR(IF(MARÍTIMOS[[#This Row],[Transportista]]="","",MARÍTIMOS[[#This Row],[Transportista]]),"")</f>
        <v>Costa Transport</v>
      </c>
      <c r="G51" s="2" t="str">
        <f>IFERROR(IF(MARÍTIMOS[[#This Row],[Tercero]]="","",MARÍTIMOS[[#This Row],[Tercero]]),"")</f>
        <v>NO</v>
      </c>
      <c r="H51" s="2" t="str">
        <f>IFERROR(IF(MARÍTIMOS[[#This Row],[Razón Social]]="","",MARÍTIMOS[[#This Row],[Razón Social]]),"")</f>
        <v>TRANSPORTES COSTA TRANSPORT EIRL</v>
      </c>
      <c r="I51" s="2">
        <f>IFERROR(IF(MARÍTIMOS[[#This Row],[RUC]]="","",MARÍTIMOS[[#This Row],[RUC]]),"")</f>
        <v>20525373551</v>
      </c>
      <c r="J51" s="2" t="str">
        <f>IFERROR(IF(MARÍTIMOS[[#This Row],[Placa Tracto]]="","",MARÍTIMOS[[#This Row],[Placa Tracto]]),"")</f>
        <v>AVK-810</v>
      </c>
      <c r="K51" s="2" t="str">
        <f>IFERROR(IF(MARÍTIMOS[[#This Row],[Placa Carreta]]="","",MARÍTIMOS[[#This Row],[Placa Carreta]]),"")</f>
        <v>AMY-977</v>
      </c>
      <c r="L51" s="44" t="str">
        <f>IFERROR(IF(MARÍTIMOS[[#This Row],[Conductor]]="","",MARÍTIMOS[[#This Row],[Conductor]]),"")</f>
        <v>CEVALLOS ASTUDILLO JORGE LUIS</v>
      </c>
      <c r="M51" s="2" t="str">
        <f>IFERROR(IF(MARÍTIMOS[[#This Row],[Licencia]]="","",MARÍTIMOS[[#This Row],[Licencia]]),"")</f>
        <v>B42067818</v>
      </c>
      <c r="N51" s="2">
        <f>IFERROR(IF(MARÍTIMOS[[#This Row],[Número de Contacto]]="","",MARÍTIMOS[[#This Row],[Número de Contacto]]),"")</f>
        <v>998374895</v>
      </c>
      <c r="O51" s="10" t="str">
        <f>IFERROR(IF(MARÍTIMOS[[#This Row],[Booking|AWB|CRT]]="","",MARÍTIMOS[[#This Row],[Booking|AWB|CRT]]),"")</f>
        <v>MBM250067116</v>
      </c>
      <c r="P51" s="2" t="str">
        <f>IFERROR(IF(MARÍTIMOS[[#This Row],[Contenedor]]="","",MARÍTIMOS[[#This Row],[Contenedor]]),"")</f>
        <v>FDDU2541348</v>
      </c>
      <c r="Q51" s="2" t="str">
        <f>IFERROR(IF(MARÍTIMOS[[#This Row],[Puerto de Retiro]]="","",MARÍTIMOS[[#This Row],[Puerto de Retiro]]),"")</f>
        <v>PAITA</v>
      </c>
      <c r="R51" s="2" t="str">
        <f>IFERROR(IF(MARÍTIMOS[[#This Row],[Almacén de Retiro]]="","",MARÍTIMOS[[#This Row],[Almacén de Retiro]]),"")</f>
        <v>MACROMAR</v>
      </c>
      <c r="S51" s="11">
        <f>IFERROR(IF(MARÍTIMOS[[#This Row],[Etapa Retiro - Cita]]="","",MARÍTIMOS[[#This Row],[Etapa Retiro - Cita]]),"")</f>
        <v>46240.375</v>
      </c>
      <c r="T51" s="11">
        <f>IFERROR(IF(MARÍTIMOS[[#This Row],[Etapa Retiro - Llegada]]="","",MARÍTIMOS[[#This Row],[Etapa Retiro - Llegada]]),"")</f>
        <v>46240.366666666669</v>
      </c>
      <c r="U51" s="11">
        <f>IFERROR(IF(MARÍTIMOS[[#This Row],[Etapa Retiro - Ingreso]]="","",MARÍTIMOS[[#This Row],[Etapa Retiro - Ingreso]]),"")</f>
        <v>46240.385416666664</v>
      </c>
      <c r="V51" s="11">
        <f>IFERROR(IF(MARÍTIMOS[[#This Row],[Etapa Retiro - Atención]]="","",MARÍTIMOS[[#This Row],[Etapa Retiro - Atención]]),"")</f>
        <v>46240.393750000003</v>
      </c>
      <c r="W51" s="11">
        <f>IFERROR(IF(MARÍTIMOS[[#This Row],[Etapa Retiro - Atención]]="","",MARÍTIMOS[[#This Row],[Etapa Retiro - Atención]]),"")</f>
        <v>46240.393750000003</v>
      </c>
      <c r="X51" s="11">
        <f>IFERROR(IF(MARÍTIMOS[[#This Row],[Etapa Retiro - Inicio de Ruta]]="","",MARÍTIMOS[[#This Row],[Etapa Retiro - Inicio de Ruta]]),"")</f>
        <v>46241.14166666667</v>
      </c>
      <c r="Y51" s="11">
        <f>IFERROR(IF(MARÍTIMOS[[#This Row],[Hora de Posicionamiento]]="","",MARÍTIMOS[[#This Row],[Fecha de Carga]]+MARÍTIMOS[[#This Row],[Hora de Posicionamiento]]),"")</f>
        <v>46241.333333333336</v>
      </c>
      <c r="Z51" s="11">
        <f>IFERROR(IF(MARÍTIMOS[[#This Row],[Etapa Despacho - Llegada]]="","",MARÍTIMOS[[#This Row],[Etapa Despacho - Llegada]]),"")</f>
        <v>46241.306250000001</v>
      </c>
      <c r="AA51" s="11">
        <f>IFERROR(IF(MARÍTIMOS[[#This Row],[Etapa Despacho - Registro]]="","",MARÍTIMOS[[#This Row],[Etapa Despacho - Registro]]),"")</f>
        <v>46241.355555555558</v>
      </c>
      <c r="AB51" s="11">
        <f>IFERROR(IF(MARÍTIMOS[[#This Row],[Inspección Externa]]="","",MARÍTIMOS[[#This Row],[Inspección Externa]]),"")</f>
        <v>46241.355555555558</v>
      </c>
      <c r="AC51" s="11">
        <f>IFERROR(IF(MARÍTIMOS[[#This Row],[Etapa Despacho - Inicio de Carga]]="","",MARÍTIMOS[[#This Row],[Etapa Despacho - Inicio de Carga]]),"")</f>
        <v>46241.698611111111</v>
      </c>
      <c r="AD51" s="11">
        <f>IFERROR(IF(MARÍTIMOS[[#This Row],[Etapa Despacho - Mitad de Carga]]="","",MARÍTIMOS[[#This Row],[Etapa Despacho - Mitad de Carga]]),"")</f>
        <v>46241.708333333336</v>
      </c>
      <c r="AE51" s="11">
        <f>IFERROR(IF(MARÍTIMOS[[#This Row],[Etapa Despacho - Fin de Carga]]="","",MARÍTIMOS[[#This Row],[Etapa Despacho - Fin de Carga]]),"")</f>
        <v>46241.709722222222</v>
      </c>
      <c r="AF51" s="2" t="str">
        <f>IFERROR(IF(MARÍTIMOS[[#This Row],[Puerto de Embarque]]="","",MARÍTIMOS[[#This Row],[Puerto de Embarque]]),"")</f>
        <v>Paita</v>
      </c>
      <c r="AG51" s="2" t="str">
        <f>IFERROR(IF(MARÍTIMOS[[#This Row],[Almacén de Ingreso]]="","",MARÍTIMOS[[#This Row],[Almacén de Ingreso]]),"")</f>
        <v>TPE</v>
      </c>
      <c r="AH51" s="11">
        <f>IFERROR(IF(MARÍTIMOS[[#This Row],[Etapa Ingreso - Cita]]="","",MARÍTIMOS[[#This Row],[Etapa Ingreso - Cita]]),"")</f>
        <v>46241.958333333336</v>
      </c>
      <c r="AI51" s="11">
        <f>IFERROR(IF(MARÍTIMOS[[#This Row],[Etapa Ingreso - Llegada]]="","",MARÍTIMOS[[#This Row],[Etapa Ingreso - Llegada]]),"")</f>
        <v>46241.913888888892</v>
      </c>
      <c r="AJ51" s="11">
        <f>IFERROR(IF(MARÍTIMOS[[#This Row],[Etapa Ingreso - Ingeso]]="","",MARÍTIMOS[[#This Row],[Etapa Ingreso - Ingeso]]),"")</f>
        <v>46241.915972222225</v>
      </c>
      <c r="AK51" s="11">
        <f>IFERROR(IF(MARÍTIMOS[[#This Row],[Etapa Ingreso - Atención]]="","",MARÍTIMOS[[#This Row],[Etapa Ingreso - Atención]]),"")</f>
        <v>46241.922222222223</v>
      </c>
      <c r="AL51" s="11">
        <f>IFERROR(IF(MARÍTIMOS[[#This Row],[Etapa Ingreso - Salida]]="","",MARÍTIMOS[[#This Row],[Etapa Ingreso - Salida]]),"")</f>
        <v>46241.929861111108</v>
      </c>
      <c r="AM51" s="2">
        <f>IFERROR(IF(MARÍTIMOS[[#This Row],[FCL]]="","",MARÍTIMOS[[#This Row],[FCL]]),"")</f>
        <v>1</v>
      </c>
      <c r="AN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1" s="4" t="str" cm="1">
        <f t="array" ref="AO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1" s="5">
        <f>IFERROR(OLDBD[[#This Row],[Llegada a packing]]-OLDBD[[#This Row],[Inicio de Ruta]],"")</f>
        <v>0.16458333333139308</v>
      </c>
      <c r="AQ51" s="6">
        <f>IFERROR(OLDBD[[#This Row],[Inicio de Ruta]]-OLDBD[[#This Row],[Salida de almacén de retiro]],"")</f>
        <v>0.74791666666715173</v>
      </c>
      <c r="AR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1" s="8" t="str" cm="1">
        <f t="array" ref="AS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51" s="9">
        <f>IFERROR(OLDBD[[#This Row],[Ingreso Packing]]-OLDBD[[#This Row],[Registro en Packing]],"")</f>
        <v>0</v>
      </c>
      <c r="AV51" s="9">
        <f>IFERROR(OLDBD[[#This Row],[Ingreso Packing]]-OLDBD[[#This Row],[Llegada a packing]],"")</f>
        <v>4.9305555556202307E-2</v>
      </c>
      <c r="AW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51" s="5">
        <f>IFERROR(OLDBD[[#This Row],[Llegada Almacén de Ingreso]]-OLDBD[[#This Row],[Salida Packing]],"")</f>
        <v>0.20416666667006211</v>
      </c>
      <c r="AY51" s="4" t="str" cm="1">
        <f t="array" ref="AY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1" s="43" t="s">
        <v>173</v>
      </c>
      <c r="BB51" s="47" t="str">
        <f>IFERROR(IF(MARÍTIMOS[[#This Row],[Estatus]]="","",MARÍTIMOS[[#This Row],[Estatus]]),"")</f>
        <v>Confirmado</v>
      </c>
      <c r="BC51" s="43"/>
      <c r="BD51" s="46">
        <f>IFERROR(OLDBD[[#This Row],[Salida de almacén de retiro]]-OLDBD[[#This Row],[Ingreso Almacén de retiro]],"")</f>
        <v>8.3333333386690356E-3</v>
      </c>
      <c r="BE51" s="46">
        <f>IFERROR(OLDBD[[#This Row],[Fin de Carga]]-OLDBD[[#This Row],[Inicio de Carga]],"")</f>
        <v>9.7222222248092294E-3</v>
      </c>
    </row>
    <row r="52" spans="1:57" customFormat="1" hidden="1">
      <c r="A52" s="1"/>
      <c r="B52" s="1">
        <f>IFERROR(IF(MARÍTIMOS[[#This Row],[PP]]="","",MARÍTIMOS[[#This Row],[PP]]),"")</f>
        <v>32</v>
      </c>
      <c r="C52" s="1" t="str">
        <f>IFERROR(IF(MARÍTIMOS[[#This Row],[Sede]]="","",MARÍTIMOS[[#This Row],[Sede]]),"")</f>
        <v>Olmos</v>
      </c>
      <c r="D52" s="1" t="str">
        <f>IFERROR(IF(MARÍTIMOS[[#This Row],[Instruction]]="","",MARÍTIMOS[[#This Row],[Instruction]]),"")</f>
        <v>RH-0445</v>
      </c>
      <c r="E52" s="1"/>
      <c r="F52" s="2" t="str">
        <f>IFERROR(IF(MARÍTIMOS[[#This Row],[Transportista]]="","",MARÍTIMOS[[#This Row],[Transportista]]),"")</f>
        <v>Costa Transport</v>
      </c>
      <c r="G52" s="2" t="str">
        <f>IFERROR(IF(MARÍTIMOS[[#This Row],[Tercero]]="","",MARÍTIMOS[[#This Row],[Tercero]]),"")</f>
        <v>NO</v>
      </c>
      <c r="H52" s="2" t="str">
        <f>IFERROR(IF(MARÍTIMOS[[#This Row],[Razón Social]]="","",MARÍTIMOS[[#This Row],[Razón Social]]),"")</f>
        <v>TRANSPORTES COSTA TRANSPORT EIRL</v>
      </c>
      <c r="I52" s="2">
        <f>IFERROR(IF(MARÍTIMOS[[#This Row],[RUC]]="","",MARÍTIMOS[[#This Row],[RUC]]),"")</f>
        <v>20525373551</v>
      </c>
      <c r="J52" s="2" t="str">
        <f>IFERROR(IF(MARÍTIMOS[[#This Row],[Placa Tracto]]="","",MARÍTIMOS[[#This Row],[Placa Tracto]]),"")</f>
        <v>C3Y-864</v>
      </c>
      <c r="K52" s="2" t="str">
        <f>IFERROR(IF(MARÍTIMOS[[#This Row],[Placa Carreta]]="","",MARÍTIMOS[[#This Row],[Placa Carreta]]),"")</f>
        <v>TNW-982</v>
      </c>
      <c r="L52" s="44" t="str">
        <f>IFERROR(IF(MARÍTIMOS[[#This Row],[Conductor]]="","",MARÍTIMOS[[#This Row],[Conductor]]),"")</f>
        <v>SEGUNDO TEODORO FLOREANO ORDINOLA.</v>
      </c>
      <c r="M52" s="2" t="str">
        <f>IFERROR(IF(MARÍTIMOS[[#This Row],[Licencia]]="","",MARÍTIMOS[[#This Row],[Licencia]]),"")</f>
        <v>C43049791</v>
      </c>
      <c r="N52" s="2">
        <f>IFERROR(IF(MARÍTIMOS[[#This Row],[Número de Contacto]]="","",MARÍTIMOS[[#This Row],[Número de Contacto]]),"")</f>
        <v>996830815</v>
      </c>
      <c r="O52" s="10" t="str">
        <f>IFERROR(IF(MARÍTIMOS[[#This Row],[Booking|AWB|CRT]]="","",MARÍTIMOS[[#This Row],[Booking|AWB|CRT]]),"")</f>
        <v>PER9174396A</v>
      </c>
      <c r="P52" s="2" t="str">
        <f>IFERROR(IF(MARÍTIMOS[[#This Row],[Contenedor]]="","",MARÍTIMOS[[#This Row],[Contenedor]]),"")</f>
        <v>BMOU9893117</v>
      </c>
      <c r="Q52" s="2" t="str">
        <f>IFERROR(IF(MARÍTIMOS[[#This Row],[Puerto de Retiro]]="","",MARÍTIMOS[[#This Row],[Puerto de Retiro]]),"")</f>
        <v>PAITA</v>
      </c>
      <c r="R52" s="2" t="str">
        <f>IFERROR(IF(MARÍTIMOS[[#This Row],[Almacén de Retiro]]="","",MARÍTIMOS[[#This Row],[Almacén de Retiro]]),"")</f>
        <v>DPW</v>
      </c>
      <c r="S52" s="11">
        <f>IFERROR(IF(MARÍTIMOS[[#This Row],[Etapa Retiro - Cita]]="","",MARÍTIMOS[[#This Row],[Etapa Retiro - Cita]]),"")</f>
        <v>46243.833333333336</v>
      </c>
      <c r="T52" s="11">
        <f>IFERROR(IF(MARÍTIMOS[[#This Row],[Etapa Retiro - Llegada]]="","",MARÍTIMOS[[#This Row],[Etapa Retiro - Llegada]]),"")</f>
        <v>46243.840277777781</v>
      </c>
      <c r="U52" s="11">
        <f>IFERROR(IF(MARÍTIMOS[[#This Row],[Etapa Retiro - Ingreso]]="","",MARÍTIMOS[[#This Row],[Etapa Retiro - Ingreso]]),"")</f>
        <v>46243.901388888888</v>
      </c>
      <c r="V52" s="11">
        <f>IFERROR(IF(MARÍTIMOS[[#This Row],[Etapa Retiro - Atención]]="","",MARÍTIMOS[[#This Row],[Etapa Retiro - Atención]]),"")</f>
        <v>46243.915972222225</v>
      </c>
      <c r="W52" s="11">
        <f>IFERROR(IF(MARÍTIMOS[[#This Row],[Etapa Retiro - Atención]]="","",MARÍTIMOS[[#This Row],[Etapa Retiro - Atención]]),"")</f>
        <v>46243.915972222225</v>
      </c>
      <c r="X52" s="11">
        <f>IFERROR(IF(MARÍTIMOS[[#This Row],[Etapa Retiro - Inicio de Ruta]]="","",MARÍTIMOS[[#This Row],[Etapa Retiro - Inicio de Ruta]]),"")</f>
        <v>46244.197222222225</v>
      </c>
      <c r="Y52" s="11">
        <f>IFERROR(IF(MARÍTIMOS[[#This Row],[Hora de Posicionamiento]]="","",MARÍTIMOS[[#This Row],[Fecha de Carga]]+MARÍTIMOS[[#This Row],[Hora de Posicionamiento]]),"")</f>
        <v>46244.5</v>
      </c>
      <c r="Z52" s="11">
        <f>IFERROR(IF(MARÍTIMOS[[#This Row],[Etapa Despacho - Llegada]]="","",MARÍTIMOS[[#This Row],[Etapa Despacho - Llegada]]),"")</f>
        <v>46244.434027777781</v>
      </c>
      <c r="AA52" s="11">
        <f>IFERROR(IF(MARÍTIMOS[[#This Row],[Etapa Despacho - Registro]]="","",MARÍTIMOS[[#This Row],[Etapa Despacho - Registro]]),"")</f>
        <v>46244.4375</v>
      </c>
      <c r="AB52" s="11">
        <f>IFERROR(IF(MARÍTIMOS[[#This Row],[Inspección Externa]]="","",MARÍTIMOS[[#This Row],[Inspección Externa]]),"")</f>
        <v>46244.447222222225</v>
      </c>
      <c r="AC52" s="11">
        <f>IFERROR(IF(MARÍTIMOS[[#This Row],[Etapa Despacho - Inicio de Carga]]="","",MARÍTIMOS[[#This Row],[Etapa Despacho - Inicio de Carga]]),"")</f>
        <v>46244.677083333336</v>
      </c>
      <c r="AD52" s="11">
        <f>IFERROR(IF(MARÍTIMOS[[#This Row],[Etapa Despacho - Mitad de Carga]]="","",MARÍTIMOS[[#This Row],[Etapa Despacho - Mitad de Carga]]),"")</f>
        <v>46244.6875</v>
      </c>
      <c r="AE52" s="11">
        <f>IFERROR(IF(MARÍTIMOS[[#This Row],[Etapa Despacho - Fin de Carga]]="","",MARÍTIMOS[[#This Row],[Etapa Despacho - Fin de Carga]]),"")</f>
        <v>46244.705555555556</v>
      </c>
      <c r="AF52" s="2" t="str">
        <f>IFERROR(IF(MARÍTIMOS[[#This Row],[Puerto de Embarque]]="","",MARÍTIMOS[[#This Row],[Puerto de Embarque]]),"")</f>
        <v>Paita</v>
      </c>
      <c r="AG52" s="2" t="str">
        <f>IFERROR(IF(MARÍTIMOS[[#This Row],[Almacén de Ingreso]]="","",MARÍTIMOS[[#This Row],[Almacén de Ingreso]]),"")</f>
        <v>TPE</v>
      </c>
      <c r="AH52" s="11">
        <f>IFERROR(IF(MARÍTIMOS[[#This Row],[Etapa Ingreso - Cita]]="","",MARÍTIMOS[[#This Row],[Etapa Ingreso - Cita]]),"")</f>
        <v>46245.041666666664</v>
      </c>
      <c r="AI52" s="11">
        <f>IFERROR(IF(MARÍTIMOS[[#This Row],[Etapa Ingreso - Llegada]]="","",MARÍTIMOS[[#This Row],[Etapa Ingreso - Llegada]]),"")</f>
        <v>46244.979166666664</v>
      </c>
      <c r="AJ52" s="11">
        <f>IFERROR(IF(MARÍTIMOS[[#This Row],[Etapa Ingreso - Ingeso]]="","",MARÍTIMOS[[#This Row],[Etapa Ingreso - Ingeso]]),"")</f>
        <v>46244.986111111109</v>
      </c>
      <c r="AK52" s="11">
        <f>IFERROR(IF(MARÍTIMOS[[#This Row],[Etapa Ingreso - Atención]]="","",MARÍTIMOS[[#This Row],[Etapa Ingreso - Atención]]),"")</f>
        <v>46244.989583333336</v>
      </c>
      <c r="AL52" s="11">
        <f>IFERROR(IF(MARÍTIMOS[[#This Row],[Etapa Ingreso - Salida]]="","",MARÍTIMOS[[#This Row],[Etapa Ingreso - Salida]]),"")</f>
        <v>46244.994444444441</v>
      </c>
      <c r="AM52" s="2">
        <f>IFERROR(IF(MARÍTIMOS[[#This Row],[FCL]]="","",MARÍTIMOS[[#This Row],[FCL]]),"")</f>
        <v>1</v>
      </c>
      <c r="AN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2" s="4" t="str" cm="1">
        <f t="array" ref="AO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2" s="5">
        <f>IFERROR(OLDBD[[#This Row],[Llegada a packing]]-OLDBD[[#This Row],[Inicio de Ruta]],"")</f>
        <v>0.23680555555620231</v>
      </c>
      <c r="AQ52" s="6">
        <f>IFERROR(OLDBD[[#This Row],[Inicio de Ruta]]-OLDBD[[#This Row],[Salida de almacén de retiro]],"")</f>
        <v>0.28125</v>
      </c>
      <c r="AR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2" s="8" t="str" cm="1">
        <f t="array" ref="AS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52" s="9">
        <f>IFERROR(OLDBD[[#This Row],[Ingreso Packing]]-OLDBD[[#This Row],[Registro en Packing]],"")</f>
        <v>9.7222222248092294E-3</v>
      </c>
      <c r="AV52" s="9">
        <f>IFERROR(OLDBD[[#This Row],[Ingreso Packing]]-OLDBD[[#This Row],[Llegada a packing]],"")</f>
        <v>1.3194444443797693E-2</v>
      </c>
      <c r="AW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52" s="5">
        <f>IFERROR(OLDBD[[#This Row],[Llegada Almacén de Ingreso]]-OLDBD[[#This Row],[Salida Packing]],"")</f>
        <v>0.27361111110803904</v>
      </c>
      <c r="AY52" s="4" t="str" cm="1">
        <f t="array" ref="AY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2" s="43" t="s">
        <v>173</v>
      </c>
      <c r="BB52" s="47" t="str">
        <f>IFERROR(IF(MARÍTIMOS[[#This Row],[Estatus]]="","",MARÍTIMOS[[#This Row],[Estatus]]),"")</f>
        <v>Confirmado</v>
      </c>
      <c r="BC52" s="43"/>
      <c r="BD52" s="46">
        <f>IFERROR(OLDBD[[#This Row],[Salida de almacén de retiro]]-OLDBD[[#This Row],[Ingreso Almacén de retiro]],"")</f>
        <v>1.4583333337213844E-2</v>
      </c>
      <c r="BE52" s="46">
        <f>IFERROR(OLDBD[[#This Row],[Fin de Carga]]-OLDBD[[#This Row],[Inicio de Carga]],"")</f>
        <v>1.0416666664241347E-2</v>
      </c>
    </row>
    <row r="53" spans="1:57" customFormat="1" hidden="1">
      <c r="A53" s="1"/>
      <c r="B53" s="1">
        <f>IFERROR(IF(MARÍTIMOS[[#This Row],[PP]]="","",MARÍTIMOS[[#This Row],[PP]]),"")</f>
        <v>32</v>
      </c>
      <c r="C53" s="1" t="str">
        <f>IFERROR(IF(MARÍTIMOS[[#This Row],[Sede]]="","",MARÍTIMOS[[#This Row],[Sede]]),"")</f>
        <v>Olmos</v>
      </c>
      <c r="D53" s="1" t="str">
        <f>IFERROR(IF(MARÍTIMOS[[#This Row],[Instruction]]="","",MARÍTIMOS[[#This Row],[Instruction]]),"")</f>
        <v>RH-0709</v>
      </c>
      <c r="E53" s="1"/>
      <c r="F53" s="2" t="str">
        <f>IFERROR(IF(MARÍTIMOS[[#This Row],[Transportista]]="","",MARÍTIMOS[[#This Row],[Transportista]]),"")</f>
        <v>Costa Transport</v>
      </c>
      <c r="G53" s="2" t="str">
        <f>IFERROR(IF(MARÍTIMOS[[#This Row],[Tercero]]="","",MARÍTIMOS[[#This Row],[Tercero]]),"")</f>
        <v>NO</v>
      </c>
      <c r="H53" s="2" t="str">
        <f>IFERROR(IF(MARÍTIMOS[[#This Row],[Razón Social]]="","",MARÍTIMOS[[#This Row],[Razón Social]]),"")</f>
        <v>TRANSPORTES COSTA TRANSPORT EIRL</v>
      </c>
      <c r="I53" s="2">
        <f>IFERROR(IF(MARÍTIMOS[[#This Row],[RUC]]="","",MARÍTIMOS[[#This Row],[RUC]]),"")</f>
        <v>20525373551</v>
      </c>
      <c r="J53" s="2" t="str">
        <f>IFERROR(IF(MARÍTIMOS[[#This Row],[Placa Tracto]]="","",MARÍTIMOS[[#This Row],[Placa Tracto]]),"")</f>
        <v>TFY-879</v>
      </c>
      <c r="K53" s="2" t="str">
        <f>IFERROR(IF(MARÍTIMOS[[#This Row],[Placa Carreta]]="","",MARÍTIMOS[[#This Row],[Placa Carreta]]),"")</f>
        <v>A1G-973</v>
      </c>
      <c r="L53" s="44" t="str">
        <f>IFERROR(IF(MARÍTIMOS[[#This Row],[Conductor]]="","",MARÍTIMOS[[#This Row],[Conductor]]),"")</f>
        <v>JORGE LUIS AZO RUIZ</v>
      </c>
      <c r="M53" s="2" t="str">
        <f>IFERROR(IF(MARÍTIMOS[[#This Row],[Licencia]]="","",MARÍTIMOS[[#This Row],[Licencia]]),"")</f>
        <v>B03874735</v>
      </c>
      <c r="N53" s="2">
        <f>IFERROR(IF(MARÍTIMOS[[#This Row],[Número de Contacto]]="","",MARÍTIMOS[[#This Row],[Número de Contacto]]),"")</f>
        <v>998231122</v>
      </c>
      <c r="O53" s="10" t="str">
        <f>IFERROR(IF(MARÍTIMOS[[#This Row],[Booking|AWB|CRT]]="","",MARÍTIMOS[[#This Row],[Booking|AWB|CRT]]),"")</f>
        <v>PER9174393A</v>
      </c>
      <c r="P53" s="2" t="str">
        <f>IFERROR(IF(MARÍTIMOS[[#This Row],[Contenedor]]="","",MARÍTIMOS[[#This Row],[Contenedor]]),"")</f>
        <v>TXGU903211-5</v>
      </c>
      <c r="Q53" s="2" t="str">
        <f>IFERROR(IF(MARÍTIMOS[[#This Row],[Puerto de Retiro]]="","",MARÍTIMOS[[#This Row],[Puerto de Retiro]]),"")</f>
        <v>PAITA</v>
      </c>
      <c r="R53" s="2" t="str">
        <f>IFERROR(IF(MARÍTIMOS[[#This Row],[Almacén de Retiro]]="","",MARÍTIMOS[[#This Row],[Almacén de Retiro]]),"")</f>
        <v>DPW</v>
      </c>
      <c r="S53" s="11">
        <f>IFERROR(IF(MARÍTIMOS[[#This Row],[Etapa Retiro - Cita]]="","",MARÍTIMOS[[#This Row],[Etapa Retiro - Cita]]),"")</f>
        <v>46244.625</v>
      </c>
      <c r="T53" s="11">
        <f>IFERROR(IF(MARÍTIMOS[[#This Row],[Etapa Retiro - Llegada]]="","",MARÍTIMOS[[#This Row],[Etapa Retiro - Llegada]]),"")</f>
        <v>46244.614583333336</v>
      </c>
      <c r="U53" s="11">
        <f>IFERROR(IF(MARÍTIMOS[[#This Row],[Etapa Retiro - Ingreso]]="","",MARÍTIMOS[[#This Row],[Etapa Retiro - Ingreso]]),"")</f>
        <v>46244.661111111112</v>
      </c>
      <c r="V53" s="11">
        <f>IFERROR(IF(MARÍTIMOS[[#This Row],[Etapa Retiro - Atención]]="","",MARÍTIMOS[[#This Row],[Etapa Retiro - Atención]]),"")</f>
        <v>46244.67083333333</v>
      </c>
      <c r="W53" s="11">
        <f>IFERROR(IF(MARÍTIMOS[[#This Row],[Etapa Retiro - Atención]]="","",MARÍTIMOS[[#This Row],[Etapa Retiro - Atención]]),"")</f>
        <v>46244.67083333333</v>
      </c>
      <c r="X53" s="11">
        <f>IFERROR(IF(MARÍTIMOS[[#This Row],[Etapa Retiro - Inicio de Ruta]]="","",MARÍTIMOS[[#This Row],[Etapa Retiro - Inicio de Ruta]]),"")</f>
        <v>46244.818055555559</v>
      </c>
      <c r="Y53" s="11">
        <f>IFERROR(IF(MARÍTIMOS[[#This Row],[Hora de Posicionamiento]]="","",MARÍTIMOS[[#This Row],[Fecha de Carga]]+MARÍTIMOS[[#This Row],[Hora de Posicionamiento]]),"")</f>
        <v>46245.333333333336</v>
      </c>
      <c r="Z53" s="11">
        <f>IFERROR(IF(MARÍTIMOS[[#This Row],[Etapa Despacho - Llegada]]="","",MARÍTIMOS[[#This Row],[Etapa Despacho - Llegada]]),"")</f>
        <v>46245.000694444447</v>
      </c>
      <c r="AA53" s="11">
        <f>IFERROR(IF(MARÍTIMOS[[#This Row],[Etapa Despacho - Registro]]="","",MARÍTIMOS[[#This Row],[Etapa Despacho - Registro]]),"")</f>
        <v>46245.3</v>
      </c>
      <c r="AB53" s="11">
        <f>IFERROR(IF(MARÍTIMOS[[#This Row],[Inspección Externa]]="","",MARÍTIMOS[[#This Row],[Inspección Externa]]),"")</f>
        <v>46245.304861111108</v>
      </c>
      <c r="AC53" s="11">
        <f>IFERROR(IF(MARÍTIMOS[[#This Row],[Etapa Despacho - Inicio de Carga]]="","",MARÍTIMOS[[#This Row],[Etapa Despacho - Inicio de Carga]]),"")</f>
        <v>46245.416666666664</v>
      </c>
      <c r="AD53" s="11">
        <f>IFERROR(IF(MARÍTIMOS[[#This Row],[Etapa Despacho - Mitad de Carga]]="","",MARÍTIMOS[[#This Row],[Etapa Despacho - Mitad de Carga]]),"")</f>
        <v>46245.458333333336</v>
      </c>
      <c r="AE53" s="11">
        <f>IFERROR(IF(MARÍTIMOS[[#This Row],[Etapa Despacho - Fin de Carga]]="","",MARÍTIMOS[[#This Row],[Etapa Despacho - Fin de Carga]]),"")</f>
        <v>46245.486111111109</v>
      </c>
      <c r="AF53" s="2" t="str">
        <f>IFERROR(IF(MARÍTIMOS[[#This Row],[Puerto de Embarque]]="","",MARÍTIMOS[[#This Row],[Puerto de Embarque]]),"")</f>
        <v>Paita</v>
      </c>
      <c r="AG53" s="2" t="str">
        <f>IFERROR(IF(MARÍTIMOS[[#This Row],[Almacén de Ingreso]]="","",MARÍTIMOS[[#This Row],[Almacén de Ingreso]]),"")</f>
        <v>TPE</v>
      </c>
      <c r="AH53" s="11">
        <f>IFERROR(IF(MARÍTIMOS[[#This Row],[Etapa Ingreso - Cita]]="","",MARÍTIMOS[[#This Row],[Etapa Ingreso - Cita]]),"")</f>
        <v>46245.75</v>
      </c>
      <c r="AI53" s="11">
        <f>IFERROR(IF(MARÍTIMOS[[#This Row],[Etapa Ingreso - Llegada]]="","",MARÍTIMOS[[#This Row],[Etapa Ingreso - Llegada]]),"")</f>
        <v>46245.727777777778</v>
      </c>
      <c r="AJ53" s="11">
        <f>IFERROR(IF(MARÍTIMOS[[#This Row],[Etapa Ingreso - Ingeso]]="","",MARÍTIMOS[[#This Row],[Etapa Ingreso - Ingeso]]),"")</f>
        <v>46245.730555555558</v>
      </c>
      <c r="AK53" s="11">
        <f>IFERROR(IF(MARÍTIMOS[[#This Row],[Etapa Ingreso - Atención]]="","",MARÍTIMOS[[#This Row],[Etapa Ingreso - Atención]]),"")</f>
        <v>46245.734722222223</v>
      </c>
      <c r="AL53" s="11">
        <f>IFERROR(IF(MARÍTIMOS[[#This Row],[Etapa Ingreso - Salida]]="","",MARÍTIMOS[[#This Row],[Etapa Ingreso - Salida]]),"")</f>
        <v>46245.745138888888</v>
      </c>
      <c r="AM53" s="2">
        <f>IFERROR(IF(MARÍTIMOS[[#This Row],[FCL]]="","",MARÍTIMOS[[#This Row],[FCL]]),"")</f>
        <v>1</v>
      </c>
      <c r="AN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3" s="4" t="str" cm="1">
        <f t="array" ref="AO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3" s="5">
        <f>IFERROR(OLDBD[[#This Row],[Llegada a packing]]-OLDBD[[#This Row],[Inicio de Ruta]],"")</f>
        <v>0.18263888888759539</v>
      </c>
      <c r="AQ53" s="6">
        <f>IFERROR(OLDBD[[#This Row],[Inicio de Ruta]]-OLDBD[[#This Row],[Salida de almacén de retiro]],"")</f>
        <v>0.1472222222291748</v>
      </c>
      <c r="AR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3" s="8" t="str" cm="1">
        <f t="array" ref="AS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53" s="9">
        <f>IFERROR(OLDBD[[#This Row],[Ingreso Packing]]-OLDBD[[#This Row],[Registro en Packing]],"")</f>
        <v>4.8611111051286571E-3</v>
      </c>
      <c r="AV53" s="9">
        <f>IFERROR(OLDBD[[#This Row],[Ingreso Packing]]-OLDBD[[#This Row],[Llegada a packing]],"")</f>
        <v>0.30416666666133096</v>
      </c>
      <c r="AW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53" s="5">
        <f>IFERROR(OLDBD[[#This Row],[Llegada Almacén de Ingreso]]-OLDBD[[#This Row],[Salida Packing]],"")</f>
        <v>0.24166666666860692</v>
      </c>
      <c r="AY53" s="4" t="str" cm="1">
        <f t="array" ref="AY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3" s="43" t="s">
        <v>173</v>
      </c>
      <c r="BB53" s="47" t="str">
        <f>IFERROR(IF(MARÍTIMOS[[#This Row],[Estatus]]="","",MARÍTIMOS[[#This Row],[Estatus]]),"")</f>
        <v>Confirmado</v>
      </c>
      <c r="BC53" s="43"/>
      <c r="BD53" s="46">
        <f>IFERROR(OLDBD[[#This Row],[Salida de almacén de retiro]]-OLDBD[[#This Row],[Ingreso Almacén de retiro]],"")</f>
        <v>9.7222222175332718E-3</v>
      </c>
      <c r="BE53" s="46">
        <f>IFERROR(OLDBD[[#This Row],[Fin de Carga]]-OLDBD[[#This Row],[Inicio de Carga]],"")</f>
        <v>4.1666666671517305E-2</v>
      </c>
    </row>
    <row r="54" spans="1:57" customFormat="1" hidden="1">
      <c r="A54" s="1"/>
      <c r="B54" s="1">
        <f>IFERROR(IF(MARÍTIMOS[[#This Row],[PP]]="","",MARÍTIMOS[[#This Row],[PP]]),"")</f>
        <v>33</v>
      </c>
      <c r="C54" s="1" t="str">
        <f>IFERROR(IF(MARÍTIMOS[[#This Row],[Sede]]="","",MARÍTIMOS[[#This Row],[Sede]]),"")</f>
        <v>Olmos</v>
      </c>
      <c r="D54" s="1" t="str">
        <f>IFERROR(IF(MARÍTIMOS[[#This Row],[Instruction]]="","",MARÍTIMOS[[#This Row],[Instruction]]),"")</f>
        <v>RH-0482</v>
      </c>
      <c r="E54" s="1"/>
      <c r="F54" s="2" t="str">
        <f>IFERROR(IF(MARÍTIMOS[[#This Row],[Transportista]]="","",MARÍTIMOS[[#This Row],[Transportista]]),"")</f>
        <v>Costa Transport</v>
      </c>
      <c r="G54" s="2" t="str">
        <f>IFERROR(IF(MARÍTIMOS[[#This Row],[Tercero]]="","",MARÍTIMOS[[#This Row],[Tercero]]),"")</f>
        <v>NO</v>
      </c>
      <c r="H54" s="2" t="str">
        <f>IFERROR(IF(MARÍTIMOS[[#This Row],[Razón Social]]="","",MARÍTIMOS[[#This Row],[Razón Social]]),"")</f>
        <v>TRANSPORTES COSTA TRANSPORT EIRL</v>
      </c>
      <c r="I54" s="2">
        <f>IFERROR(IF(MARÍTIMOS[[#This Row],[RUC]]="","",MARÍTIMOS[[#This Row],[RUC]]),"")</f>
        <v>20525373551</v>
      </c>
      <c r="J54" s="2" t="str">
        <f>IFERROR(IF(MARÍTIMOS[[#This Row],[Placa Tracto]]="","",MARÍTIMOS[[#This Row],[Placa Tracto]]),"")</f>
        <v>T4P9-34</v>
      </c>
      <c r="K54" s="2" t="str">
        <f>IFERROR(IF(MARÍTIMOS[[#This Row],[Placa Carreta]]="","",MARÍTIMOS[[#This Row],[Placa Carreta]]),"")</f>
        <v>TPE-989</v>
      </c>
      <c r="L54" s="44" t="str">
        <f>IFERROR(IF(MARÍTIMOS[[#This Row],[Conductor]]="","",MARÍTIMOS[[#This Row],[Conductor]]),"")</f>
        <v>EMILIO FLORES BENITES</v>
      </c>
      <c r="M54" s="2" t="str">
        <f>IFERROR(IF(MARÍTIMOS[[#This Row],[Licencia]]="","",MARÍTIMOS[[#This Row],[Licencia]]),"")</f>
        <v>Q02607474</v>
      </c>
      <c r="N54" s="2">
        <f>IFERROR(IF(MARÍTIMOS[[#This Row],[Número de Contacto]]="","",MARÍTIMOS[[#This Row],[Número de Contacto]]),"")</f>
        <v>934126470</v>
      </c>
      <c r="O54" s="10" t="str">
        <f>IFERROR(IF(MARÍTIMOS[[#This Row],[Booking|AWB|CRT]]="","",MARÍTIMOS[[#This Row],[Booking|AWB|CRT]]),"")</f>
        <v>MBM250067121</v>
      </c>
      <c r="P54" s="2" t="str">
        <f>IFERROR(IF(MARÍTIMOS[[#This Row],[Contenedor]]="","",MARÍTIMOS[[#This Row],[Contenedor]]),"")</f>
        <v>CAIU554986-5</v>
      </c>
      <c r="Q54" s="2" t="str">
        <f>IFERROR(IF(MARÍTIMOS[[#This Row],[Puerto de Retiro]]="","",MARÍTIMOS[[#This Row],[Puerto de Retiro]]),"")</f>
        <v>PAITA</v>
      </c>
      <c r="R54" s="2" t="str">
        <f>IFERROR(IF(MARÍTIMOS[[#This Row],[Almacén de Retiro]]="","",MARÍTIMOS[[#This Row],[Almacén de Retiro]]),"")</f>
        <v>MACROMAR</v>
      </c>
      <c r="S54" s="11">
        <f>IFERROR(IF(MARÍTIMOS[[#This Row],[Etapa Retiro - Cita]]="","",MARÍTIMOS[[#This Row],[Etapa Retiro - Cita]]),"")</f>
        <v>46246.75</v>
      </c>
      <c r="T54" s="11">
        <f>IFERROR(IF(MARÍTIMOS[[#This Row],[Etapa Retiro - Llegada]]="","",MARÍTIMOS[[#This Row],[Etapa Retiro - Llegada]]),"")</f>
        <v>46246.738888888889</v>
      </c>
      <c r="U54" s="11">
        <f>IFERROR(IF(MARÍTIMOS[[#This Row],[Etapa Retiro - Ingreso]]="","",MARÍTIMOS[[#This Row],[Etapa Retiro - Ingreso]]),"")</f>
        <v>46246.773611111108</v>
      </c>
      <c r="V54" s="11">
        <f>IFERROR(IF(MARÍTIMOS[[#This Row],[Etapa Retiro - Atención]]="","",MARÍTIMOS[[#This Row],[Etapa Retiro - Atención]]),"")</f>
        <v>46246.789583333331</v>
      </c>
      <c r="W54" s="11">
        <f>IFERROR(IF(MARÍTIMOS[[#This Row],[Etapa Retiro - Atención]]="","",MARÍTIMOS[[#This Row],[Etapa Retiro - Atención]]),"")</f>
        <v>46246.789583333331</v>
      </c>
      <c r="X54" s="11">
        <f>IFERROR(IF(MARÍTIMOS[[#This Row],[Etapa Retiro - Inicio de Ruta]]="","",MARÍTIMOS[[#This Row],[Etapa Retiro - Inicio de Ruta]]),"")</f>
        <v>46247.213194444441</v>
      </c>
      <c r="Y54" s="11">
        <f>IFERROR(IF(MARÍTIMOS[[#This Row],[Hora de Posicionamiento]]="","",MARÍTIMOS[[#This Row],[Fecha de Carga]]+MARÍTIMOS[[#This Row],[Hora de Posicionamiento]]),"")</f>
        <v>46247.5</v>
      </c>
      <c r="Z54" s="11">
        <f>IFERROR(IF(MARÍTIMOS[[#This Row],[Etapa Despacho - Llegada]]="","",MARÍTIMOS[[#This Row],[Etapa Despacho - Llegada]]),"")</f>
        <v>46247.46597222222</v>
      </c>
      <c r="AA54" s="11">
        <f>IFERROR(IF(MARÍTIMOS[[#This Row],[Etapa Despacho - Registro]]="","",MARÍTIMOS[[#This Row],[Etapa Despacho - Registro]]),"")</f>
        <v>46247.467361111114</v>
      </c>
      <c r="AB54" s="11">
        <f>IFERROR(IF(MARÍTIMOS[[#This Row],[Inspección Externa]]="","",MARÍTIMOS[[#This Row],[Inspección Externa]]),"")</f>
        <v>46247.47152777778</v>
      </c>
      <c r="AC54" s="11">
        <f>IFERROR(IF(MARÍTIMOS[[#This Row],[Etapa Despacho - Inicio de Carga]]="","",MARÍTIMOS[[#This Row],[Etapa Despacho - Inicio de Carga]]),"")</f>
        <v>46247.626388888886</v>
      </c>
      <c r="AD54" s="11">
        <f>IFERROR(IF(MARÍTIMOS[[#This Row],[Etapa Despacho - Mitad de Carga]]="","",MARÍTIMOS[[#This Row],[Etapa Despacho - Mitad de Carga]]),"")</f>
        <v>46247.640277777777</v>
      </c>
      <c r="AE54" s="11">
        <f>IFERROR(IF(MARÍTIMOS[[#This Row],[Etapa Despacho - Fin de Carga]]="","",MARÍTIMOS[[#This Row],[Etapa Despacho - Fin de Carga]]),"")</f>
        <v>46247.65902777778</v>
      </c>
      <c r="AF54" s="2" t="str">
        <f>IFERROR(IF(MARÍTIMOS[[#This Row],[Puerto de Embarque]]="","",MARÍTIMOS[[#This Row],[Puerto de Embarque]]),"")</f>
        <v>Paita</v>
      </c>
      <c r="AG54" s="2" t="str">
        <f>IFERROR(IF(MARÍTIMOS[[#This Row],[Almacén de Ingreso]]="","",MARÍTIMOS[[#This Row],[Almacén de Ingreso]]),"")</f>
        <v>TPE</v>
      </c>
      <c r="AH54" s="11">
        <f>IFERROR(IF(MARÍTIMOS[[#This Row],[Etapa Ingreso - Cita]]="","",MARÍTIMOS[[#This Row],[Etapa Ingreso - Cita]]),"")</f>
        <v>46248</v>
      </c>
      <c r="AI54" s="11">
        <f>IFERROR(IF(MARÍTIMOS[[#This Row],[Etapa Ingreso - Llegada]]="","",MARÍTIMOS[[#This Row],[Etapa Ingreso - Llegada]]),"")</f>
        <v>46247.972916666666</v>
      </c>
      <c r="AJ54" s="11">
        <f>IFERROR(IF(MARÍTIMOS[[#This Row],[Etapa Ingreso - Ingeso]]="","",MARÍTIMOS[[#This Row],[Etapa Ingreso - Ingeso]]),"")</f>
        <v>46247.972916666666</v>
      </c>
      <c r="AK54" s="11">
        <f>IFERROR(IF(MARÍTIMOS[[#This Row],[Etapa Ingreso - Atención]]="","",MARÍTIMOS[[#This Row],[Etapa Ingreso - Atención]]),"")</f>
        <v>46247.979166666664</v>
      </c>
      <c r="AL54" s="11">
        <f>IFERROR(IF(MARÍTIMOS[[#This Row],[Etapa Ingreso - Salida]]="","",MARÍTIMOS[[#This Row],[Etapa Ingreso - Salida]]),"")</f>
        <v>46247.980555555558</v>
      </c>
      <c r="AM54" s="2">
        <f>IFERROR(IF(MARÍTIMOS[[#This Row],[FCL]]="","",MARÍTIMOS[[#This Row],[FCL]]),"")</f>
        <v>1</v>
      </c>
      <c r="AN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4" s="4" t="str" cm="1">
        <f t="array" ref="AO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4" s="5">
        <f>IFERROR(OLDBD[[#This Row],[Llegada a packing]]-OLDBD[[#This Row],[Inicio de Ruta]],"")</f>
        <v>0.25277777777955635</v>
      </c>
      <c r="AQ54" s="6">
        <f>IFERROR(OLDBD[[#This Row],[Inicio de Ruta]]-OLDBD[[#This Row],[Salida de almacén de retiro]],"")</f>
        <v>0.42361111110949423</v>
      </c>
      <c r="AR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4" s="8" t="str" cm="1">
        <f t="array" ref="AS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54" s="9">
        <f>IFERROR(OLDBD[[#This Row],[Ingreso Packing]]-OLDBD[[#This Row],[Registro en Packing]],"")</f>
        <v>4.166666665696539E-3</v>
      </c>
      <c r="AV54" s="9">
        <f>IFERROR(OLDBD[[#This Row],[Ingreso Packing]]-OLDBD[[#This Row],[Llegada a packing]],"")</f>
        <v>5.5555555591126904E-3</v>
      </c>
      <c r="AW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54" s="5">
        <f>IFERROR(OLDBD[[#This Row],[Llegada Almacén de Ingreso]]-OLDBD[[#This Row],[Salida Packing]],"")</f>
        <v>0.31388888888614019</v>
      </c>
      <c r="AY54" s="4" t="str" cm="1">
        <f t="array" ref="AY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4" s="43" t="s">
        <v>173</v>
      </c>
      <c r="BB54" s="47" t="str">
        <f>IFERROR(IF(MARÍTIMOS[[#This Row],[Estatus]]="","",MARÍTIMOS[[#This Row],[Estatus]]),"")</f>
        <v>Confirmado</v>
      </c>
      <c r="BC54" s="43"/>
      <c r="BD54" s="46">
        <f>IFERROR(OLDBD[[#This Row],[Salida de almacén de retiro]]-OLDBD[[#This Row],[Ingreso Almacén de retiro]],"")</f>
        <v>1.5972222223354038E-2</v>
      </c>
      <c r="BE54" s="46">
        <f>IFERROR(OLDBD[[#This Row],[Fin de Carga]]-OLDBD[[#This Row],[Inicio de Carga]],"")</f>
        <v>1.3888888890505768E-2</v>
      </c>
    </row>
    <row r="55" spans="1:57" customFormat="1" hidden="1">
      <c r="A55" s="1"/>
      <c r="B55" s="1">
        <f>IFERROR(IF(MARÍTIMOS[[#This Row],[PP]]="","",MARÍTIMOS[[#This Row],[PP]]),"")</f>
        <v>33</v>
      </c>
      <c r="C55" s="1" t="str">
        <f>IFERROR(IF(MARÍTIMOS[[#This Row],[Sede]]="","",MARÍTIMOS[[#This Row],[Sede]]),"")</f>
        <v>Olmos</v>
      </c>
      <c r="D55" s="1" t="str">
        <f>IFERROR(IF(MARÍTIMOS[[#This Row],[Instruction]]="","",MARÍTIMOS[[#This Row],[Instruction]]),"")</f>
        <v>RH-0515</v>
      </c>
      <c r="E55" s="1"/>
      <c r="F55" s="2" t="str">
        <f>IFERROR(IF(MARÍTIMOS[[#This Row],[Transportista]]="","",MARÍTIMOS[[#This Row],[Transportista]]),"")</f>
        <v>Costa Transport</v>
      </c>
      <c r="G55" s="2" t="str">
        <f>IFERROR(IF(MARÍTIMOS[[#This Row],[Tercero]]="","",MARÍTIMOS[[#This Row],[Tercero]]),"")</f>
        <v>NO</v>
      </c>
      <c r="H55" s="2" t="str">
        <f>IFERROR(IF(MARÍTIMOS[[#This Row],[Razón Social]]="","",MARÍTIMOS[[#This Row],[Razón Social]]),"")</f>
        <v>TRANSPORTES COSTA TRANSPORT EIRL</v>
      </c>
      <c r="I55" s="2">
        <f>IFERROR(IF(MARÍTIMOS[[#This Row],[RUC]]="","",MARÍTIMOS[[#This Row],[RUC]]),"")</f>
        <v>20525373551</v>
      </c>
      <c r="J55" s="2" t="str">
        <f>IFERROR(IF(MARÍTIMOS[[#This Row],[Placa Tracto]]="","",MARÍTIMOS[[#This Row],[Placa Tracto]]),"")</f>
        <v>TFY-879</v>
      </c>
      <c r="K55" s="2" t="str">
        <f>IFERROR(IF(MARÍTIMOS[[#This Row],[Placa Carreta]]="","",MARÍTIMOS[[#This Row],[Placa Carreta]]),"")</f>
        <v>A1G-973</v>
      </c>
      <c r="L55" s="44" t="str">
        <f>IFERROR(IF(MARÍTIMOS[[#This Row],[Conductor]]="","",MARÍTIMOS[[#This Row],[Conductor]]),"")</f>
        <v>JORGE LUIS AZO RUIZ</v>
      </c>
      <c r="M55" s="2" t="str">
        <f>IFERROR(IF(MARÍTIMOS[[#This Row],[Licencia]]="","",MARÍTIMOS[[#This Row],[Licencia]]),"")</f>
        <v>B03874735</v>
      </c>
      <c r="N55" s="2">
        <f>IFERROR(IF(MARÍTIMOS[[#This Row],[Número de Contacto]]="","",MARÍTIMOS[[#This Row],[Número de Contacto]]),"")</f>
        <v>998231122</v>
      </c>
      <c r="O55" s="10">
        <f>IFERROR(IF(MARÍTIMOS[[#This Row],[Booking|AWB|CRT]]="","",MARÍTIMOS[[#This Row],[Booking|AWB|CRT]]),"")</f>
        <v>6462786990</v>
      </c>
      <c r="P55" s="2" t="str">
        <f>IFERROR(IF(MARÍTIMOS[[#This Row],[Contenedor]]="","",MARÍTIMOS[[#This Row],[Contenedor]]),"")</f>
        <v>SEKU922566-0</v>
      </c>
      <c r="Q55" s="2" t="str">
        <f>IFERROR(IF(MARÍTIMOS[[#This Row],[Puerto de Retiro]]="","",MARÍTIMOS[[#This Row],[Puerto de Retiro]]),"")</f>
        <v>PAITA</v>
      </c>
      <c r="R55" s="2" t="str">
        <f>IFERROR(IF(MARÍTIMOS[[#This Row],[Almacén de Retiro]]="","",MARÍTIMOS[[#This Row],[Almacén de Retiro]]),"")</f>
        <v>RANSA</v>
      </c>
      <c r="S55" s="11">
        <f>IFERROR(IF(MARÍTIMOS[[#This Row],[Etapa Retiro - Cita]]="","",MARÍTIMOS[[#This Row],[Etapa Retiro - Cita]]),"")</f>
        <v>46247.666666666664</v>
      </c>
      <c r="T55" s="11">
        <f>IFERROR(IF(MARÍTIMOS[[#This Row],[Etapa Retiro - Llegada]]="","",MARÍTIMOS[[#This Row],[Etapa Retiro - Llegada]]),"")</f>
        <v>46247.668749999997</v>
      </c>
      <c r="U55" s="11">
        <f>IFERROR(IF(MARÍTIMOS[[#This Row],[Etapa Retiro - Ingreso]]="","",MARÍTIMOS[[#This Row],[Etapa Retiro - Ingreso]]),"")</f>
        <v>46247.677777777775</v>
      </c>
      <c r="V55" s="11">
        <f>IFERROR(IF(MARÍTIMOS[[#This Row],[Etapa Retiro - Atención]]="","",MARÍTIMOS[[#This Row],[Etapa Retiro - Atención]]),"")</f>
        <v>46247.720138888886</v>
      </c>
      <c r="W55" s="11">
        <f>IFERROR(IF(MARÍTIMOS[[#This Row],[Etapa Retiro - Atención]]="","",MARÍTIMOS[[#This Row],[Etapa Retiro - Atención]]),"")</f>
        <v>46247.720138888886</v>
      </c>
      <c r="X55" s="11">
        <f>IFERROR(IF(MARÍTIMOS[[#This Row],[Etapa Retiro - Inicio de Ruta]]="","",MARÍTIMOS[[#This Row],[Etapa Retiro - Inicio de Ruta]]),"")</f>
        <v>46247.788194444445</v>
      </c>
      <c r="Y55" s="11">
        <f>IFERROR(IF(MARÍTIMOS[[#This Row],[Hora de Posicionamiento]]="","",MARÍTIMOS[[#This Row],[Fecha de Carga]]+MARÍTIMOS[[#This Row],[Hora de Posicionamiento]]),"")</f>
        <v>46248.333333333336</v>
      </c>
      <c r="Z55" s="11">
        <f>IFERROR(IF(MARÍTIMOS[[#This Row],[Etapa Despacho - Llegada]]="","",MARÍTIMOS[[#This Row],[Etapa Despacho - Llegada]]),"")</f>
        <v>46248.333333333336</v>
      </c>
      <c r="AA55" s="11">
        <f>IFERROR(IF(MARÍTIMOS[[#This Row],[Etapa Despacho - Registro]]="","",MARÍTIMOS[[#This Row],[Etapa Despacho - Registro]]),"")</f>
        <v>46247.98333333333</v>
      </c>
      <c r="AB55" s="11">
        <f>IFERROR(IF(MARÍTIMOS[[#This Row],[Inspección Externa]]="","",MARÍTIMOS[[#This Row],[Inspección Externa]]),"")</f>
        <v>46248.293055555558</v>
      </c>
      <c r="AC55" s="11">
        <f>IFERROR(IF(MARÍTIMOS[[#This Row],[Etapa Despacho - Inicio de Carga]]="","",MARÍTIMOS[[#This Row],[Etapa Despacho - Inicio de Carga]]),"")</f>
        <v>46248.427083333336</v>
      </c>
      <c r="AD55" s="11">
        <f>IFERROR(IF(MARÍTIMOS[[#This Row],[Etapa Despacho - Mitad de Carga]]="","",MARÍTIMOS[[#This Row],[Etapa Despacho - Mitad de Carga]]),"")</f>
        <v>46248.44027777778</v>
      </c>
      <c r="AE55" s="11">
        <f>IFERROR(IF(MARÍTIMOS[[#This Row],[Etapa Despacho - Fin de Carga]]="","",MARÍTIMOS[[#This Row],[Etapa Despacho - Fin de Carga]]),"")</f>
        <v>46248.474999999999</v>
      </c>
      <c r="AF55" s="2" t="str">
        <f>IFERROR(IF(MARÍTIMOS[[#This Row],[Puerto de Embarque]]="","",MARÍTIMOS[[#This Row],[Puerto de Embarque]]),"")</f>
        <v>Paita</v>
      </c>
      <c r="AG55" s="2" t="str">
        <f>IFERROR(IF(MARÍTIMOS[[#This Row],[Almacén de Ingreso]]="","",MARÍTIMOS[[#This Row],[Almacén de Ingreso]]),"")</f>
        <v>TPE</v>
      </c>
      <c r="AH55" s="11">
        <f>IFERROR(IF(MARÍTIMOS[[#This Row],[Etapa Ingreso - Cita]]="","",MARÍTIMOS[[#This Row],[Etapa Ingreso - Cita]]),"")</f>
        <v>46248.75</v>
      </c>
      <c r="AI55" s="11">
        <f>IFERROR(IF(MARÍTIMOS[[#This Row],[Etapa Ingreso - Llegada]]="","",MARÍTIMOS[[#This Row],[Etapa Ingreso - Llegada]]),"")</f>
        <v>46248.699305555558</v>
      </c>
      <c r="AJ55" s="11">
        <f>IFERROR(IF(MARÍTIMOS[[#This Row],[Etapa Ingreso - Ingeso]]="","",MARÍTIMOS[[#This Row],[Etapa Ingreso - Ingeso]]),"")</f>
        <v>46248.7</v>
      </c>
      <c r="AK55" s="11">
        <f>IFERROR(IF(MARÍTIMOS[[#This Row],[Etapa Ingreso - Atención]]="","",MARÍTIMOS[[#This Row],[Etapa Ingreso - Atención]]),"")</f>
        <v>46248.703472222223</v>
      </c>
      <c r="AL55" s="11">
        <f>IFERROR(IF(MARÍTIMOS[[#This Row],[Etapa Ingreso - Salida]]="","",MARÍTIMOS[[#This Row],[Etapa Ingreso - Salida]]),"")</f>
        <v>46248.715277777781</v>
      </c>
      <c r="AM55" s="2">
        <f>IFERROR(IF(MARÍTIMOS[[#This Row],[FCL]]="","",MARÍTIMOS[[#This Row],[FCL]]),"")</f>
        <v>1</v>
      </c>
      <c r="AN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5" s="4" t="str" cm="1">
        <f t="array" ref="AO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55" s="5">
        <f>IFERROR(OLDBD[[#This Row],[Llegada a packing]]-OLDBD[[#This Row],[Inicio de Ruta]],"")</f>
        <v>0.54513888889050577</v>
      </c>
      <c r="AQ55" s="6">
        <f>IFERROR(OLDBD[[#This Row],[Inicio de Ruta]]-OLDBD[[#This Row],[Salida de almacén de retiro]],"")</f>
        <v>6.805555555911269E-2</v>
      </c>
      <c r="AR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5" s="8" t="str" cm="1">
        <f t="array" ref="AS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55" s="9">
        <f>IFERROR(OLDBD[[#This Row],[Ingreso Packing]]-OLDBD[[#This Row],[Registro en Packing]],"")</f>
        <v>0.30972222222771961</v>
      </c>
      <c r="AV55" s="9">
        <f>IFERROR(OLDBD[[#This Row],[Ingreso Packing]]-OLDBD[[#This Row],[Llegada a packing]],"")</f>
        <v>-4.0277777778101154E-2</v>
      </c>
      <c r="AW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55" s="5">
        <f>IFERROR(OLDBD[[#This Row],[Llegada Almacén de Ingreso]]-OLDBD[[#This Row],[Salida Packing]],"")</f>
        <v>0.22430555555911269</v>
      </c>
      <c r="AY55" s="4" t="str" cm="1">
        <f t="array" ref="AY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5" s="43" t="s">
        <v>173</v>
      </c>
      <c r="BB55" s="47" t="str">
        <f>IFERROR(IF(MARÍTIMOS[[#This Row],[Estatus]]="","",MARÍTIMOS[[#This Row],[Estatus]]),"")</f>
        <v>Confirmado</v>
      </c>
      <c r="BC55" s="43"/>
      <c r="BD55" s="46">
        <f>IFERROR(OLDBD[[#This Row],[Salida de almacén de retiro]]-OLDBD[[#This Row],[Ingreso Almacén de retiro]],"")</f>
        <v>4.2361111110949423E-2</v>
      </c>
      <c r="BE55" s="46">
        <f>IFERROR(OLDBD[[#This Row],[Fin de Carga]]-OLDBD[[#This Row],[Inicio de Carga]],"")</f>
        <v>1.3194444443797693E-2</v>
      </c>
    </row>
    <row r="56" spans="1:57" customFormat="1" hidden="1">
      <c r="A56" s="1"/>
      <c r="B56" s="1">
        <f>IFERROR(IF(MARÍTIMOS[[#This Row],[PP]]="","",MARÍTIMOS[[#This Row],[PP]]),"")</f>
        <v>33</v>
      </c>
      <c r="C56" s="1" t="str">
        <f>IFERROR(IF(MARÍTIMOS[[#This Row],[Sede]]="","",MARÍTIMOS[[#This Row],[Sede]]),"")</f>
        <v>Olmos</v>
      </c>
      <c r="D56" s="1" t="str">
        <f>IFERROR(IF(MARÍTIMOS[[#This Row],[Instruction]]="","",MARÍTIMOS[[#This Row],[Instruction]]),"")</f>
        <v>RH-0489</v>
      </c>
      <c r="E56" s="1"/>
      <c r="F56" s="2" t="str">
        <f>IFERROR(IF(MARÍTIMOS[[#This Row],[Transportista]]="","",MARÍTIMOS[[#This Row],[Transportista]]),"")</f>
        <v>Costa Transport</v>
      </c>
      <c r="G56" s="2" t="str">
        <f>IFERROR(IF(MARÍTIMOS[[#This Row],[Tercero]]="","",MARÍTIMOS[[#This Row],[Tercero]]),"")</f>
        <v>NO</v>
      </c>
      <c r="H56" s="2" t="str">
        <f>IFERROR(IF(MARÍTIMOS[[#This Row],[Razón Social]]="","",MARÍTIMOS[[#This Row],[Razón Social]]),"")</f>
        <v>TRANSPORTES COSTA TRANSPORT EIRL</v>
      </c>
      <c r="I56" s="2">
        <f>IFERROR(IF(MARÍTIMOS[[#This Row],[RUC]]="","",MARÍTIMOS[[#This Row],[RUC]]),"")</f>
        <v>20525373551</v>
      </c>
      <c r="J56" s="2" t="str">
        <f>IFERROR(IF(MARÍTIMOS[[#This Row],[Placa Tracto]]="","",MARÍTIMOS[[#This Row],[Placa Tracto]]),"")</f>
        <v>AVK-737</v>
      </c>
      <c r="K56" s="2" t="str">
        <f>IFERROR(IF(MARÍTIMOS[[#This Row],[Placa Carreta]]="","",MARÍTIMOS[[#This Row],[Placa Carreta]]),"")</f>
        <v>F9S-991</v>
      </c>
      <c r="L56" s="44" t="str">
        <f>IFERROR(IF(MARÍTIMOS[[#This Row],[Conductor]]="","",MARÍTIMOS[[#This Row],[Conductor]]),"")</f>
        <v>NOE VICTORIO NOE GARCIA</v>
      </c>
      <c r="M56" s="2" t="str">
        <f>IFERROR(IF(MARÍTIMOS[[#This Row],[Licencia]]="","",MARÍTIMOS[[#This Row],[Licencia]]),"")</f>
        <v>B42334233</v>
      </c>
      <c r="N56" s="2">
        <f>IFERROR(IF(MARÍTIMOS[[#This Row],[Número de Contacto]]="","",MARÍTIMOS[[#This Row],[Número de Contacto]]),"")</f>
        <v>998230850</v>
      </c>
      <c r="O56" s="10" t="str">
        <f>IFERROR(IF(MARÍTIMOS[[#This Row],[Booking|AWB|CRT]]="","",MARÍTIMOS[[#This Row],[Booking|AWB|CRT]]),"")</f>
        <v>BN81296</v>
      </c>
      <c r="P56" s="2" t="str">
        <f>IFERROR(IF(MARÍTIMOS[[#This Row],[Contenedor]]="","",MARÍTIMOS[[#This Row],[Contenedor]]),"")</f>
        <v>BMOU933626-1</v>
      </c>
      <c r="Q56" s="2" t="str">
        <f>IFERROR(IF(MARÍTIMOS[[#This Row],[Puerto de Retiro]]="","",MARÍTIMOS[[#This Row],[Puerto de Retiro]]),"")</f>
        <v>PAITA</v>
      </c>
      <c r="R56" s="2" t="str">
        <f>IFERROR(IF(MARÍTIMOS[[#This Row],[Almacén de Retiro]]="","",MARÍTIMOS[[#This Row],[Almacén de Retiro]]),"")</f>
        <v>DPW</v>
      </c>
      <c r="S56" s="11">
        <f>IFERROR(IF(MARÍTIMOS[[#This Row],[Etapa Retiro - Cita]]="","",MARÍTIMOS[[#This Row],[Etapa Retiro - Cita]]),"")</f>
        <v>46250.916666666664</v>
      </c>
      <c r="T56" s="11">
        <f>IFERROR(IF(MARÍTIMOS[[#This Row],[Etapa Retiro - Llegada]]="","",MARÍTIMOS[[#This Row],[Etapa Retiro - Llegada]]),"")</f>
        <v>46250.928472222222</v>
      </c>
      <c r="U56" s="11">
        <f>IFERROR(IF(MARÍTIMOS[[#This Row],[Etapa Retiro - Ingreso]]="","",MARÍTIMOS[[#This Row],[Etapa Retiro - Ingreso]]),"")</f>
        <v>46250.978472222225</v>
      </c>
      <c r="V56" s="11">
        <f>IFERROR(IF(MARÍTIMOS[[#This Row],[Etapa Retiro - Atención]]="","",MARÍTIMOS[[#This Row],[Etapa Retiro - Atención]]),"")</f>
        <v>46250.986111111109</v>
      </c>
      <c r="W56" s="11">
        <f>IFERROR(IF(MARÍTIMOS[[#This Row],[Etapa Retiro - Atención]]="","",MARÍTIMOS[[#This Row],[Etapa Retiro - Atención]]),"")</f>
        <v>46250.986111111109</v>
      </c>
      <c r="X56" s="11">
        <f>IFERROR(IF(MARÍTIMOS[[#This Row],[Etapa Retiro - Inicio de Ruta]]="","",MARÍTIMOS[[#This Row],[Etapa Retiro - Inicio de Ruta]]),"")</f>
        <v>46251.129861111112</v>
      </c>
      <c r="Y56" s="11">
        <f>IFERROR(IF(MARÍTIMOS[[#This Row],[Hora de Posicionamiento]]="","",MARÍTIMOS[[#This Row],[Fecha de Carga]]+MARÍTIMOS[[#This Row],[Hora de Posicionamiento]]),"")</f>
        <v>46251.333333333336</v>
      </c>
      <c r="Z56" s="11">
        <f>IFERROR(IF(MARÍTIMOS[[#This Row],[Etapa Despacho - Llegada]]="","",MARÍTIMOS[[#This Row],[Etapa Despacho - Llegada]]),"")</f>
        <v>46251.333333333336</v>
      </c>
      <c r="AA56" s="11">
        <f>IFERROR(IF(MARÍTIMOS[[#This Row],[Etapa Despacho - Registro]]="","",MARÍTIMOS[[#This Row],[Etapa Despacho - Registro]]),"")</f>
        <v>46251.333333333336</v>
      </c>
      <c r="AB56" s="11">
        <f>IFERROR(IF(MARÍTIMOS[[#This Row],[Inspección Externa]]="","",MARÍTIMOS[[#This Row],[Inspección Externa]]),"")</f>
        <v>46251.359027777777</v>
      </c>
      <c r="AC56" s="11">
        <f>IFERROR(IF(MARÍTIMOS[[#This Row],[Etapa Despacho - Inicio de Carga]]="","",MARÍTIMOS[[#This Row],[Etapa Despacho - Inicio de Carga]]),"")</f>
        <v>46251.566666666666</v>
      </c>
      <c r="AD56" s="11">
        <f>IFERROR(IF(MARÍTIMOS[[#This Row],[Etapa Despacho - Mitad de Carga]]="","",MARÍTIMOS[[#This Row],[Etapa Despacho - Mitad de Carga]]),"")</f>
        <v>46251.570833333331</v>
      </c>
      <c r="AE56" s="11">
        <f>IFERROR(IF(MARÍTIMOS[[#This Row],[Etapa Despacho - Fin de Carga]]="","",MARÍTIMOS[[#This Row],[Etapa Despacho - Fin de Carga]]),"")</f>
        <v>46251.591666666667</v>
      </c>
      <c r="AF56" s="2" t="str">
        <f>IFERROR(IF(MARÍTIMOS[[#This Row],[Puerto de Embarque]]="","",MARÍTIMOS[[#This Row],[Puerto de Embarque]]),"")</f>
        <v>Paita</v>
      </c>
      <c r="AG56" s="2" t="str">
        <f>IFERROR(IF(MARÍTIMOS[[#This Row],[Almacén de Ingreso]]="","",MARÍTIMOS[[#This Row],[Almacén de Ingreso]]),"")</f>
        <v>TPE</v>
      </c>
      <c r="AH56" s="11">
        <f>IFERROR(IF(MARÍTIMOS[[#This Row],[Etapa Ingreso - Cita]]="","",MARÍTIMOS[[#This Row],[Etapa Ingreso - Cita]]),"")</f>
        <v>46251.916666666664</v>
      </c>
      <c r="AI56" s="11">
        <f>IFERROR(IF(MARÍTIMOS[[#This Row],[Etapa Ingreso - Llegada]]="","",MARÍTIMOS[[#This Row],[Etapa Ingreso - Llegada]]),"")</f>
        <v>46251.857638888891</v>
      </c>
      <c r="AJ56" s="11">
        <f>IFERROR(IF(MARÍTIMOS[[#This Row],[Etapa Ingreso - Ingeso]]="","",MARÍTIMOS[[#This Row],[Etapa Ingreso - Ingeso]]),"")</f>
        <v>46251.85833333333</v>
      </c>
      <c r="AK56" s="11">
        <f>IFERROR(IF(MARÍTIMOS[[#This Row],[Etapa Ingreso - Atención]]="","",MARÍTIMOS[[#This Row],[Etapa Ingreso - Atención]]),"")</f>
        <v>46251.867361111108</v>
      </c>
      <c r="AL56" s="11">
        <f>IFERROR(IF(MARÍTIMOS[[#This Row],[Etapa Ingreso - Salida]]="","",MARÍTIMOS[[#This Row],[Etapa Ingreso - Salida]]),"")</f>
        <v>46251.871527777781</v>
      </c>
      <c r="AM56" s="2">
        <f>IFERROR(IF(MARÍTIMOS[[#This Row],[FCL]]="","",MARÍTIMOS[[#This Row],[FCL]]),"")</f>
        <v>1</v>
      </c>
      <c r="AN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6" s="4" t="str" cm="1">
        <f t="array" ref="AO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6" s="5">
        <f>IFERROR(OLDBD[[#This Row],[Llegada a packing]]-OLDBD[[#This Row],[Inicio de Ruta]],"")</f>
        <v>0.20347222222335404</v>
      </c>
      <c r="AQ56" s="6">
        <f>IFERROR(OLDBD[[#This Row],[Inicio de Ruta]]-OLDBD[[#This Row],[Salida de almacén de retiro]],"")</f>
        <v>0.14375000000291038</v>
      </c>
      <c r="AR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6" s="8" t="str" cm="1">
        <f t="array" ref="AS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56" s="9">
        <f>IFERROR(OLDBD[[#This Row],[Ingreso Packing]]-OLDBD[[#This Row],[Registro en Packing]],"")</f>
        <v>2.569444444088731E-2</v>
      </c>
      <c r="AV56" s="9">
        <f>IFERROR(OLDBD[[#This Row],[Ingreso Packing]]-OLDBD[[#This Row],[Llegada a packing]],"")</f>
        <v>2.569444444088731E-2</v>
      </c>
      <c r="AW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56" s="5">
        <f>IFERROR(OLDBD[[#This Row],[Llegada Almacén de Ingreso]]-OLDBD[[#This Row],[Salida Packing]],"")</f>
        <v>0.26597222222335404</v>
      </c>
      <c r="AY56" s="4" t="str" cm="1">
        <f t="array" ref="AY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6" s="43" t="s">
        <v>173</v>
      </c>
      <c r="BB56" s="47" t="str">
        <f>IFERROR(IF(MARÍTIMOS[[#This Row],[Estatus]]="","",MARÍTIMOS[[#This Row],[Estatus]]),"")</f>
        <v>Confirmado</v>
      </c>
      <c r="BC56" s="43"/>
      <c r="BD56" s="46">
        <f>IFERROR(OLDBD[[#This Row],[Salida de almacén de retiro]]-OLDBD[[#This Row],[Ingreso Almacén de retiro]],"")</f>
        <v>7.6388888846850023E-3</v>
      </c>
      <c r="BE56" s="46">
        <f>IFERROR(OLDBD[[#This Row],[Fin de Carga]]-OLDBD[[#This Row],[Inicio de Carga]],"")</f>
        <v>4.166666665696539E-3</v>
      </c>
    </row>
    <row r="57" spans="1:57" customFormat="1" hidden="1">
      <c r="A57" s="1"/>
      <c r="B57" s="1">
        <f>IFERROR(IF(MARÍTIMOS[[#This Row],[PP]]="","",MARÍTIMOS[[#This Row],[PP]]),"")</f>
        <v>33</v>
      </c>
      <c r="C57" s="1" t="str">
        <f>IFERROR(IF(MARÍTIMOS[[#This Row],[Sede]]="","",MARÍTIMOS[[#This Row],[Sede]]),"")</f>
        <v>Olmos</v>
      </c>
      <c r="D57" s="1" t="str">
        <f>IFERROR(IF(MARÍTIMOS[[#This Row],[Instruction]]="","",MARÍTIMOS[[#This Row],[Instruction]]),"")</f>
        <v>RH-0496</v>
      </c>
      <c r="E57" s="1"/>
      <c r="F57" s="2" t="str">
        <f>IFERROR(IF(MARÍTIMOS[[#This Row],[Transportista]]="","",MARÍTIMOS[[#This Row],[Transportista]]),"")</f>
        <v>Costa Transport</v>
      </c>
      <c r="G57" s="2" t="str">
        <f>IFERROR(IF(MARÍTIMOS[[#This Row],[Tercero]]="","",MARÍTIMOS[[#This Row],[Tercero]]),"")</f>
        <v>NO</v>
      </c>
      <c r="H57" s="2" t="str">
        <f>IFERROR(IF(MARÍTIMOS[[#This Row],[Razón Social]]="","",MARÍTIMOS[[#This Row],[Razón Social]]),"")</f>
        <v>TRANSPORTES COSTA TRANSPORT EIRL</v>
      </c>
      <c r="I57" s="2">
        <f>IFERROR(IF(MARÍTIMOS[[#This Row],[RUC]]="","",MARÍTIMOS[[#This Row],[RUC]]),"")</f>
        <v>20525373551</v>
      </c>
      <c r="J57" s="2" t="str">
        <f>IFERROR(IF(MARÍTIMOS[[#This Row],[Placa Tracto]]="","",MARÍTIMOS[[#This Row],[Placa Tracto]]),"")</f>
        <v>T3A-807</v>
      </c>
      <c r="K57" s="2" t="str">
        <f>IFERROR(IF(MARÍTIMOS[[#This Row],[Placa Carreta]]="","",MARÍTIMOS[[#This Row],[Placa Carreta]]),"")</f>
        <v>B7Q-991</v>
      </c>
      <c r="L57" s="44" t="str">
        <f>IFERROR(IF(MARÍTIMOS[[#This Row],[Conductor]]="","",MARÍTIMOS[[#This Row],[Conductor]]),"")</f>
        <v>CASTILLO MARTINEZ ALEJANDRO.</v>
      </c>
      <c r="M57" s="2" t="str">
        <f>IFERROR(IF(MARÍTIMOS[[#This Row],[Licencia]]="","",MARÍTIMOS[[#This Row],[Licencia]]),"")</f>
        <v>B02753773</v>
      </c>
      <c r="N57" s="2">
        <f>IFERROR(IF(MARÍTIMOS[[#This Row],[Número de Contacto]]="","",MARÍTIMOS[[#This Row],[Número de Contacto]]),"")</f>
        <v>998255542</v>
      </c>
      <c r="O57" s="10" t="str">
        <f>IFERROR(IF(MARÍTIMOS[[#This Row],[Booking|AWB|CRT]]="","",MARÍTIMOS[[#This Row],[Booking|AWB|CRT]]),"")</f>
        <v>PER9184445A</v>
      </c>
      <c r="P57" s="2" t="str">
        <f>IFERROR(IF(MARÍTIMOS[[#This Row],[Contenedor]]="","",MARÍTIMOS[[#This Row],[Contenedor]]),"")</f>
        <v>TXGU902821-8</v>
      </c>
      <c r="Q57" s="2" t="str">
        <f>IFERROR(IF(MARÍTIMOS[[#This Row],[Puerto de Retiro]]="","",MARÍTIMOS[[#This Row],[Puerto de Retiro]]),"")</f>
        <v>PAITA</v>
      </c>
      <c r="R57" s="2" t="str">
        <f>IFERROR(IF(MARÍTIMOS[[#This Row],[Almacén de Retiro]]="","",MARÍTIMOS[[#This Row],[Almacén de Retiro]]),"")</f>
        <v>DPW</v>
      </c>
      <c r="S57" s="11">
        <f>IFERROR(IF(MARÍTIMOS[[#This Row],[Etapa Retiro - Cita]]="","",MARÍTIMOS[[#This Row],[Etapa Retiro - Cita]]),"")</f>
        <v>46250.333333333336</v>
      </c>
      <c r="T57" s="11">
        <f>IFERROR(IF(MARÍTIMOS[[#This Row],[Etapa Retiro - Llegada]]="","",MARÍTIMOS[[#This Row],[Etapa Retiro - Llegada]]),"")</f>
        <v>46250.34097222222</v>
      </c>
      <c r="U57" s="11">
        <f>IFERROR(IF(MARÍTIMOS[[#This Row],[Etapa Retiro - Ingreso]]="","",MARÍTIMOS[[#This Row],[Etapa Retiro - Ingreso]]),"")</f>
        <v>46250.347916666666</v>
      </c>
      <c r="V57" s="11">
        <f>IFERROR(IF(MARÍTIMOS[[#This Row],[Etapa Retiro - Atención]]="","",MARÍTIMOS[[#This Row],[Etapa Retiro - Atención]]),"")</f>
        <v>46250.354166666664</v>
      </c>
      <c r="W57" s="11">
        <f>IFERROR(IF(MARÍTIMOS[[#This Row],[Etapa Retiro - Atención]]="","",MARÍTIMOS[[#This Row],[Etapa Retiro - Atención]]),"")</f>
        <v>46250.354166666664</v>
      </c>
      <c r="X57" s="11">
        <f>IFERROR(IF(MARÍTIMOS[[#This Row],[Etapa Retiro - Inicio de Ruta]]="","",MARÍTIMOS[[#This Row],[Etapa Retiro - Inicio de Ruta]]),"")</f>
        <v>46250.832638888889</v>
      </c>
      <c r="Y57" s="11">
        <f>IFERROR(IF(MARÍTIMOS[[#This Row],[Hora de Posicionamiento]]="","",MARÍTIMOS[[#This Row],[Fecha de Carga]]+MARÍTIMOS[[#This Row],[Hora de Posicionamiento]]),"")</f>
        <v>46251.333333333336</v>
      </c>
      <c r="Z57" s="11">
        <f>IFERROR(IF(MARÍTIMOS[[#This Row],[Etapa Despacho - Llegada]]="","",MARÍTIMOS[[#This Row],[Etapa Despacho - Llegada]]),"")</f>
        <v>46251.333333333336</v>
      </c>
      <c r="AA57" s="11">
        <f>IFERROR(IF(MARÍTIMOS[[#This Row],[Etapa Despacho - Registro]]="","",MARÍTIMOS[[#This Row],[Etapa Despacho - Registro]]),"")</f>
        <v>46251.00277777778</v>
      </c>
      <c r="AB57" s="11">
        <f>IFERROR(IF(MARÍTIMOS[[#This Row],[Inspección Externa]]="","",MARÍTIMOS[[#This Row],[Inspección Externa]]),"")</f>
        <v>46251.291666666664</v>
      </c>
      <c r="AC57" s="11">
        <f>IFERROR(IF(MARÍTIMOS[[#This Row],[Etapa Despacho - Inicio de Carga]]="","",MARÍTIMOS[[#This Row],[Etapa Despacho - Inicio de Carga]]),"")</f>
        <v>46251.55</v>
      </c>
      <c r="AD57" s="11">
        <f>IFERROR(IF(MARÍTIMOS[[#This Row],[Etapa Despacho - Mitad de Carga]]="","",MARÍTIMOS[[#This Row],[Etapa Despacho - Mitad de Carga]]),"")</f>
        <v>46251.56527777778</v>
      </c>
      <c r="AE57" s="11">
        <f>IFERROR(IF(MARÍTIMOS[[#This Row],[Etapa Despacho - Fin de Carga]]="","",MARÍTIMOS[[#This Row],[Etapa Despacho - Fin de Carga]]),"")</f>
        <v>46251.597222222219</v>
      </c>
      <c r="AF57" s="2" t="str">
        <f>IFERROR(IF(MARÍTIMOS[[#This Row],[Puerto de Embarque]]="","",MARÍTIMOS[[#This Row],[Puerto de Embarque]]),"")</f>
        <v>Paita</v>
      </c>
      <c r="AG57" s="2" t="str">
        <f>IFERROR(IF(MARÍTIMOS[[#This Row],[Almacén de Ingreso]]="","",MARÍTIMOS[[#This Row],[Almacén de Ingreso]]),"")</f>
        <v>TPE</v>
      </c>
      <c r="AH57" s="11">
        <f>IFERROR(IF(MARÍTIMOS[[#This Row],[Etapa Ingreso - Cita]]="","",MARÍTIMOS[[#This Row],[Etapa Ingreso - Cita]]),"")</f>
        <v>46251.875</v>
      </c>
      <c r="AI57" s="11">
        <f>IFERROR(IF(MARÍTIMOS[[#This Row],[Etapa Ingreso - Llegada]]="","",MARÍTIMOS[[#This Row],[Etapa Ingreso - Llegada]]),"")</f>
        <v>46251.851388888892</v>
      </c>
      <c r="AJ57" s="11">
        <f>IFERROR(IF(MARÍTIMOS[[#This Row],[Etapa Ingreso - Ingeso]]="","",MARÍTIMOS[[#This Row],[Etapa Ingreso - Ingeso]]),"")</f>
        <v>46251.857638888891</v>
      </c>
      <c r="AK57" s="11">
        <f>IFERROR(IF(MARÍTIMOS[[#This Row],[Etapa Ingreso - Atención]]="","",MARÍTIMOS[[#This Row],[Etapa Ingreso - Atención]]),"")</f>
        <v>46251.859027777777</v>
      </c>
      <c r="AL57" s="11">
        <f>IFERROR(IF(MARÍTIMOS[[#This Row],[Etapa Ingreso - Salida]]="","",MARÍTIMOS[[#This Row],[Etapa Ingreso - Salida]]),"")</f>
        <v>46251.870138888888</v>
      </c>
      <c r="AM57" s="2">
        <f>IFERROR(IF(MARÍTIMOS[[#This Row],[FCL]]="","",MARÍTIMOS[[#This Row],[FCL]]),"")</f>
        <v>1</v>
      </c>
      <c r="AN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7" s="4" t="str" cm="1">
        <f t="array" ref="AO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7" s="5">
        <f>IFERROR(OLDBD[[#This Row],[Llegada a packing]]-OLDBD[[#This Row],[Inicio de Ruta]],"")</f>
        <v>0.50069444444670808</v>
      </c>
      <c r="AQ57" s="6">
        <f>IFERROR(OLDBD[[#This Row],[Inicio de Ruta]]-OLDBD[[#This Row],[Salida de almacén de retiro]],"")</f>
        <v>0.47847222222480923</v>
      </c>
      <c r="AR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7" s="8" t="str" cm="1">
        <f t="array" ref="AS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57" s="9">
        <f>IFERROR(OLDBD[[#This Row],[Ingreso Packing]]-OLDBD[[#This Row],[Registro en Packing]],"")</f>
        <v>0.288888888884685</v>
      </c>
      <c r="AV57" s="9">
        <f>IFERROR(OLDBD[[#This Row],[Ingreso Packing]]-OLDBD[[#This Row],[Llegada a packing]],"")</f>
        <v>-4.1666666671517305E-2</v>
      </c>
      <c r="AW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57" s="5">
        <f>IFERROR(OLDBD[[#This Row],[Llegada Almacén de Ingreso]]-OLDBD[[#This Row],[Salida Packing]],"")</f>
        <v>0.2541666666729725</v>
      </c>
      <c r="AY57" s="4" t="str" cm="1">
        <f t="array" ref="AY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7" s="43" t="s">
        <v>173</v>
      </c>
      <c r="BB57" s="47" t="str">
        <f>IFERROR(IF(MARÍTIMOS[[#This Row],[Estatus]]="","",MARÍTIMOS[[#This Row],[Estatus]]),"")</f>
        <v>Confirmado</v>
      </c>
      <c r="BC57" s="43"/>
      <c r="BD57" s="46">
        <f>IFERROR(OLDBD[[#This Row],[Salida de almacén de retiro]]-OLDBD[[#This Row],[Ingreso Almacén de retiro]],"")</f>
        <v>6.2499999985448085E-3</v>
      </c>
      <c r="BE57" s="46">
        <f>IFERROR(OLDBD[[#This Row],[Fin de Carga]]-OLDBD[[#This Row],[Inicio de Carga]],"")</f>
        <v>1.5277777776645962E-2</v>
      </c>
    </row>
    <row r="58" spans="1:57" customFormat="1" hidden="1">
      <c r="A58" s="1"/>
      <c r="B58" s="1">
        <f>IFERROR(IF(MARÍTIMOS[[#This Row],[PP]]="","",MARÍTIMOS[[#This Row],[PP]]),"")</f>
        <v>33</v>
      </c>
      <c r="C58" s="1" t="str">
        <f>IFERROR(IF(MARÍTIMOS[[#This Row],[Sede]]="","",MARÍTIMOS[[#This Row],[Sede]]),"")</f>
        <v>Olmos</v>
      </c>
      <c r="D58" s="1" t="str">
        <f>IFERROR(IF(MARÍTIMOS[[#This Row],[Instruction]]="","",MARÍTIMOS[[#This Row],[Instruction]]),"")</f>
        <v>RH-0518</v>
      </c>
      <c r="E58" s="1"/>
      <c r="F58" s="2" t="str">
        <f>IFERROR(IF(MARÍTIMOS[[#This Row],[Transportista]]="","",MARÍTIMOS[[#This Row],[Transportista]]),"")</f>
        <v>Costa Transport</v>
      </c>
      <c r="G58" s="2" t="str">
        <f>IFERROR(IF(MARÍTIMOS[[#This Row],[Tercero]]="","",MARÍTIMOS[[#This Row],[Tercero]]),"")</f>
        <v>NO</v>
      </c>
      <c r="H58" s="2" t="str">
        <f>IFERROR(IF(MARÍTIMOS[[#This Row],[Razón Social]]="","",MARÍTIMOS[[#This Row],[Razón Social]]),"")</f>
        <v>TRANSPORTES COSTA TRANSPORT EIRL</v>
      </c>
      <c r="I58" s="2">
        <f>IFERROR(IF(MARÍTIMOS[[#This Row],[RUC]]="","",MARÍTIMOS[[#This Row],[RUC]]),"")</f>
        <v>20525373551</v>
      </c>
      <c r="J58" s="2" t="str">
        <f>IFERROR(IF(MARÍTIMOS[[#This Row],[Placa Tracto]]="","",MARÍTIMOS[[#This Row],[Placa Tracto]]),"")</f>
        <v>T7R-885</v>
      </c>
      <c r="K58" s="2" t="str">
        <f>IFERROR(IF(MARÍTIMOS[[#This Row],[Placa Carreta]]="","",MARÍTIMOS[[#This Row],[Placa Carreta]]),"")</f>
        <v>P1J-974</v>
      </c>
      <c r="L58" s="44" t="str">
        <f>IFERROR(IF(MARÍTIMOS[[#This Row],[Conductor]]="","",MARÍTIMOS[[#This Row],[Conductor]]),"")</f>
        <v>ROBERTO CARLOS AMAYA CHAVARRIA</v>
      </c>
      <c r="M58" s="2" t="str">
        <f>IFERROR(IF(MARÍTIMOS[[#This Row],[Licencia]]="","",MARÍTIMOS[[#This Row],[Licencia]]),"")</f>
        <v>A19255064</v>
      </c>
      <c r="N58" s="2">
        <f>IFERROR(IF(MARÍTIMOS[[#This Row],[Número de Contacto]]="","",MARÍTIMOS[[#This Row],[Número de Contacto]]),"")</f>
        <v>961580382</v>
      </c>
      <c r="O58" s="10" t="str">
        <f>IFERROR(IF(MARÍTIMOS[[#This Row],[Booking|AWB|CRT]]="","",MARÍTIMOS[[#This Row],[Booking|AWB|CRT]]),"")</f>
        <v xml:space="preserve">PER9193504A </v>
      </c>
      <c r="P58" s="2" t="str">
        <f>IFERROR(IF(MARÍTIMOS[[#This Row],[Contenedor]]="","",MARÍTIMOS[[#This Row],[Contenedor]]),"")</f>
        <v>SEKU942389-8</v>
      </c>
      <c r="Q58" s="2" t="str">
        <f>IFERROR(IF(MARÍTIMOS[[#This Row],[Puerto de Retiro]]="","",MARÍTIMOS[[#This Row],[Puerto de Retiro]]),"")</f>
        <v>PAITA</v>
      </c>
      <c r="R58" s="2" t="str">
        <f>IFERROR(IF(MARÍTIMOS[[#This Row],[Almacén de Retiro]]="","",MARÍTIMOS[[#This Row],[Almacén de Retiro]]),"")</f>
        <v>PAITA</v>
      </c>
      <c r="S58" s="11">
        <f>IFERROR(IF(MARÍTIMOS[[#This Row],[Etapa Retiro - Cita]]="","",MARÍTIMOS[[#This Row],[Etapa Retiro - Cita]]),"")</f>
        <v>46251.708333333336</v>
      </c>
      <c r="T58" s="11">
        <f>IFERROR(IF(MARÍTIMOS[[#This Row],[Etapa Retiro - Llegada]]="","",MARÍTIMOS[[#This Row],[Etapa Retiro - Llegada]]),"")</f>
        <v>46251.68472222222</v>
      </c>
      <c r="U58" s="11">
        <f>IFERROR(IF(MARÍTIMOS[[#This Row],[Etapa Retiro - Ingreso]]="","",MARÍTIMOS[[#This Row],[Etapa Retiro - Ingreso]]),"")</f>
        <v>46251.70208333333</v>
      </c>
      <c r="V58" s="11">
        <f>IFERROR(IF(MARÍTIMOS[[#This Row],[Etapa Retiro - Atención]]="","",MARÍTIMOS[[#This Row],[Etapa Retiro - Atención]]),"")</f>
        <v>46251.706250000003</v>
      </c>
      <c r="W58" s="11">
        <f>IFERROR(IF(MARÍTIMOS[[#This Row],[Etapa Retiro - Atención]]="","",MARÍTIMOS[[#This Row],[Etapa Retiro - Atención]]),"")</f>
        <v>46251.706250000003</v>
      </c>
      <c r="X58" s="11">
        <v>46228.836805555555</v>
      </c>
      <c r="Y58" s="11">
        <f>IFERROR(IF(MARÍTIMOS[[#This Row],[Hora de Posicionamiento]]="","",MARÍTIMOS[[#This Row],[Fecha de Carga]]+MARÍTIMOS[[#This Row],[Hora de Posicionamiento]]),"")</f>
        <v>46252.333333333336</v>
      </c>
      <c r="Z58" s="11">
        <f>IFERROR(IF(MARÍTIMOS[[#This Row],[Etapa Despacho - Llegada]]="","",MARÍTIMOS[[#This Row],[Etapa Despacho - Llegada]]),"")</f>
        <v>46252.333333333336</v>
      </c>
      <c r="AA58" s="11">
        <f>IFERROR(IF(MARÍTIMOS[[#This Row],[Etapa Despacho - Registro]]="","",MARÍTIMOS[[#This Row],[Etapa Despacho - Registro]]),"")</f>
        <v>46252.006249999999</v>
      </c>
      <c r="AB58" s="11">
        <f>IFERROR(IF(MARÍTIMOS[[#This Row],[Inspección Externa]]="","",MARÍTIMOS[[#This Row],[Inspección Externa]]),"")</f>
        <v>46252.319444444445</v>
      </c>
      <c r="AC58" s="11">
        <f>IFERROR(IF(MARÍTIMOS[[#This Row],[Etapa Despacho - Inicio de Carga]]="","",MARÍTIMOS[[#This Row],[Etapa Despacho - Inicio de Carga]]),"")</f>
        <v>46252.356249999997</v>
      </c>
      <c r="AD58" s="11">
        <f>IFERROR(IF(MARÍTIMOS[[#This Row],[Etapa Despacho - Mitad de Carga]]="","",MARÍTIMOS[[#This Row],[Etapa Despacho - Mitad de Carga]]),"")</f>
        <v>46252.40625</v>
      </c>
      <c r="AE58" s="11">
        <f>IFERROR(IF(MARÍTIMOS[[#This Row],[Etapa Despacho - Fin de Carga]]="","",MARÍTIMOS[[#This Row],[Etapa Despacho - Fin de Carga]]),"")</f>
        <v>46252.479166666664</v>
      </c>
      <c r="AF58" s="2" t="str">
        <f>IFERROR(IF(MARÍTIMOS[[#This Row],[Puerto de Embarque]]="","",MARÍTIMOS[[#This Row],[Puerto de Embarque]]),"")</f>
        <v>Paita</v>
      </c>
      <c r="AG58" s="2" t="str">
        <f>IFERROR(IF(MARÍTIMOS[[#This Row],[Almacén de Ingreso]]="","",MARÍTIMOS[[#This Row],[Almacén de Ingreso]]),"")</f>
        <v>TPE</v>
      </c>
      <c r="AH58" s="11">
        <f>IFERROR(IF(MARÍTIMOS[[#This Row],[Etapa Ingreso - Cita]]="","",MARÍTIMOS[[#This Row],[Etapa Ingreso - Cita]]),"")</f>
        <v>46252.791666666664</v>
      </c>
      <c r="AI58" s="11">
        <f>IFERROR(IF(MARÍTIMOS[[#This Row],[Etapa Ingreso - Llegada]]="","",MARÍTIMOS[[#This Row],[Etapa Ingreso - Llegada]]),"")</f>
        <v>46252.738888888889</v>
      </c>
      <c r="AJ58" s="11">
        <f>IFERROR(IF(MARÍTIMOS[[#This Row],[Etapa Ingreso - Ingeso]]="","",MARÍTIMOS[[#This Row],[Etapa Ingreso - Ingeso]]),"")</f>
        <v>46252.740277777775</v>
      </c>
      <c r="AK58" s="11">
        <f>IFERROR(IF(MARÍTIMOS[[#This Row],[Etapa Ingreso - Atención]]="","",MARÍTIMOS[[#This Row],[Etapa Ingreso - Atención]]),"")</f>
        <v>46252.743055555555</v>
      </c>
      <c r="AL58" s="11">
        <f>IFERROR(IF(MARÍTIMOS[[#This Row],[Etapa Ingreso - Salida]]="","",MARÍTIMOS[[#This Row],[Etapa Ingreso - Salida]]),"")</f>
        <v>46252.753472222219</v>
      </c>
      <c r="AM58" s="2">
        <f>IFERROR(IF(MARÍTIMOS[[#This Row],[FCL]]="","",MARÍTIMOS[[#This Row],[FCL]]),"")</f>
        <v>1</v>
      </c>
      <c r="AN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58" s="4" t="str" cm="1">
        <f t="array" ref="AO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8" s="5">
        <f>IFERROR(OLDBD[[#This Row],[Llegada a packing]]-OLDBD[[#This Row],[Inicio de Ruta]],"")</f>
        <v>23.496527777781012</v>
      </c>
      <c r="AQ58" s="6">
        <f>IFERROR(OLDBD[[#This Row],[Inicio de Ruta]]-OLDBD[[#This Row],[Salida de almacén de retiro]],"")</f>
        <v>-22.869444444448163</v>
      </c>
      <c r="AR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8" s="8" t="str" cm="1">
        <f t="array" ref="AS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58" s="9">
        <f>IFERROR(OLDBD[[#This Row],[Ingreso Packing]]-OLDBD[[#This Row],[Registro en Packing]],"")</f>
        <v>0.31319444444670808</v>
      </c>
      <c r="AV58" s="9">
        <f>IFERROR(OLDBD[[#This Row],[Ingreso Packing]]-OLDBD[[#This Row],[Llegada a packing]],"")</f>
        <v>-1.3888888890505768E-2</v>
      </c>
      <c r="AW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58" s="5">
        <f>IFERROR(OLDBD[[#This Row],[Llegada Almacén de Ingreso]]-OLDBD[[#This Row],[Salida Packing]],"")</f>
        <v>0.25972222222480923</v>
      </c>
      <c r="AY58" s="4" t="str" cm="1">
        <f t="array" ref="AY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8" s="43" t="s">
        <v>173</v>
      </c>
      <c r="BB58" s="47" t="str">
        <f>IFERROR(IF(MARÍTIMOS[[#This Row],[Estatus]]="","",MARÍTIMOS[[#This Row],[Estatus]]),"")</f>
        <v>Confirmado</v>
      </c>
      <c r="BC58" s="43"/>
      <c r="BD58" s="46">
        <f>IFERROR(OLDBD[[#This Row],[Salida de almacén de retiro]]-OLDBD[[#This Row],[Ingreso Almacén de retiro]],"")</f>
        <v>4.1666666729724966E-3</v>
      </c>
      <c r="BE58" s="46">
        <f>IFERROR(OLDBD[[#This Row],[Fin de Carga]]-OLDBD[[#This Row],[Inicio de Carga]],"")</f>
        <v>5.0000000002910383E-2</v>
      </c>
    </row>
    <row r="59" spans="1:57" customFormat="1" hidden="1">
      <c r="A59" s="1"/>
      <c r="B59" s="1">
        <f>IFERROR(IF(MARÍTIMOS[[#This Row],[PP]]="","",MARÍTIMOS[[#This Row],[PP]]),"")</f>
        <v>34</v>
      </c>
      <c r="C59" s="1" t="str">
        <f>IFERROR(IF(MARÍTIMOS[[#This Row],[Sede]]="","",MARÍTIMOS[[#This Row],[Sede]]),"")</f>
        <v>Olmos</v>
      </c>
      <c r="D59" s="1" t="str">
        <f>IFERROR(IF(MARÍTIMOS[[#This Row],[Instruction]]="","",MARÍTIMOS[[#This Row],[Instruction]]),"")</f>
        <v xml:space="preserve">RH-0561 </v>
      </c>
      <c r="E59" s="1"/>
      <c r="F59" s="2" t="str">
        <f>IFERROR(IF(MARÍTIMOS[[#This Row],[Transportista]]="","",MARÍTIMOS[[#This Row],[Transportista]]),"")</f>
        <v>Costa Transport</v>
      </c>
      <c r="G59" s="2" t="str">
        <f>IFERROR(IF(MARÍTIMOS[[#This Row],[Tercero]]="","",MARÍTIMOS[[#This Row],[Tercero]]),"")</f>
        <v>NO</v>
      </c>
      <c r="H59" s="2" t="str">
        <f>IFERROR(IF(MARÍTIMOS[[#This Row],[Razón Social]]="","",MARÍTIMOS[[#This Row],[Razón Social]]),"")</f>
        <v>TRANSPORTES COSTA TRANSPORT EIRL</v>
      </c>
      <c r="I59" s="2">
        <f>IFERROR(IF(MARÍTIMOS[[#This Row],[RUC]]="","",MARÍTIMOS[[#This Row],[RUC]]),"")</f>
        <v>20525373551</v>
      </c>
      <c r="J59" s="2" t="str">
        <f>IFERROR(IF(MARÍTIMOS[[#This Row],[Placa Tracto]]="","",MARÍTIMOS[[#This Row],[Placa Tracto]]),"")</f>
        <v>T7R-895</v>
      </c>
      <c r="K59" s="2" t="str">
        <f>IFERROR(IF(MARÍTIMOS[[#This Row],[Placa Carreta]]="","",MARÍTIMOS[[#This Row],[Placa Carreta]]),"")</f>
        <v>F0L-997</v>
      </c>
      <c r="L59" s="44" t="str">
        <f>IFERROR(IF(MARÍTIMOS[[#This Row],[Conductor]]="","",MARÍTIMOS[[#This Row],[Conductor]]),"")</f>
        <v>ISIDRO PACHERRES NAVARRO.</v>
      </c>
      <c r="M59" s="2" t="str">
        <f>IFERROR(IF(MARÍTIMOS[[#This Row],[Licencia]]="","",MARÍTIMOS[[#This Row],[Licencia]]),"")</f>
        <v>B03570274</v>
      </c>
      <c r="N59" s="2">
        <f>IFERROR(IF(MARÍTIMOS[[#This Row],[Número de Contacto]]="","",MARÍTIMOS[[#This Row],[Número de Contacto]]),"")</f>
        <v>945247441</v>
      </c>
      <c r="O59" s="10" t="str">
        <f>IFERROR(IF(MARÍTIMOS[[#This Row],[Booking|AWB|CRT]]="","",MARÍTIMOS[[#This Row],[Booking|AWB|CRT]]),"")</f>
        <v>ZIMULMA826780</v>
      </c>
      <c r="P59" s="2" t="str">
        <f>IFERROR(IF(MARÍTIMOS[[#This Row],[Contenedor]]="","",MARÍTIMOS[[#This Row],[Contenedor]]),"")</f>
        <v>ZMOU893203-8</v>
      </c>
      <c r="Q59" s="2" t="str">
        <f>IFERROR(IF(MARÍTIMOS[[#This Row],[Puerto de Retiro]]="","",MARÍTIMOS[[#This Row],[Puerto de Retiro]]),"")</f>
        <v>PAITA</v>
      </c>
      <c r="R59" s="2" t="str">
        <f>IFERROR(IF(MARÍTIMOS[[#This Row],[Almacén de Retiro]]="","",MARÍTIMOS[[#This Row],[Almacén de Retiro]]),"")</f>
        <v>MACROMAR</v>
      </c>
      <c r="S59" s="11">
        <f>IFERROR(IF(MARÍTIMOS[[#This Row],[Etapa Retiro - Cita]]="","",MARÍTIMOS[[#This Row],[Etapa Retiro - Cita]]),"")</f>
        <v>46252.708333333336</v>
      </c>
      <c r="T59" s="11">
        <f>IFERROR(IF(MARÍTIMOS[[#This Row],[Etapa Retiro - Llegada]]="","",MARÍTIMOS[[#This Row],[Etapa Retiro - Llegada]]),"")</f>
        <v>46252.694444444445</v>
      </c>
      <c r="U59" s="11">
        <f>IFERROR(IF(MARÍTIMOS[[#This Row],[Etapa Retiro - Ingreso]]="","",MARÍTIMOS[[#This Row],[Etapa Retiro - Ingreso]]),"")</f>
        <v>46252.722916666666</v>
      </c>
      <c r="V59" s="11">
        <f>IFERROR(IF(MARÍTIMOS[[#This Row],[Etapa Retiro - Atención]]="","",MARÍTIMOS[[#This Row],[Etapa Retiro - Atención]]),"")</f>
        <v>46252.737500000003</v>
      </c>
      <c r="W59" s="11">
        <f>IFERROR(IF(MARÍTIMOS[[#This Row],[Etapa Retiro - Atención]]="","",MARÍTIMOS[[#This Row],[Etapa Retiro - Atención]]),"")</f>
        <v>46252.737500000003</v>
      </c>
      <c r="X59" s="11">
        <v>46228.836805555555</v>
      </c>
      <c r="Y59" s="11">
        <f>IFERROR(IF(MARÍTIMOS[[#This Row],[Hora de Posicionamiento]]="","",MARÍTIMOS[[#This Row],[Fecha de Carga]]+MARÍTIMOS[[#This Row],[Hora de Posicionamiento]]),"")</f>
        <v>46253.333333333336</v>
      </c>
      <c r="Z59" s="11">
        <f>IFERROR(IF(MARÍTIMOS[[#This Row],[Etapa Despacho - Llegada]]="","",MARÍTIMOS[[#This Row],[Etapa Despacho - Llegada]]),"")</f>
        <v>46253.333333333336</v>
      </c>
      <c r="AA59" s="11">
        <f>IFERROR(IF(MARÍTIMOS[[#This Row],[Etapa Despacho - Registro]]="","",MARÍTIMOS[[#This Row],[Etapa Despacho - Registro]]),"")</f>
        <v>46253.298611111109</v>
      </c>
      <c r="AB59" s="11">
        <f>IFERROR(IF(MARÍTIMOS[[#This Row],[Inspección Externa]]="","",MARÍTIMOS[[#This Row],[Inspección Externa]]),"")</f>
        <v>46253.368750000001</v>
      </c>
      <c r="AC59" s="11">
        <f>IFERROR(IF(MARÍTIMOS[[#This Row],[Etapa Despacho - Inicio de Carga]]="","",MARÍTIMOS[[#This Row],[Etapa Despacho - Inicio de Carga]]),"")</f>
        <v>46253.652777777781</v>
      </c>
      <c r="AD59" s="11">
        <f>IFERROR(IF(MARÍTIMOS[[#This Row],[Etapa Despacho - Mitad de Carga]]="","",MARÍTIMOS[[#This Row],[Etapa Despacho - Mitad de Carga]]),"")</f>
        <v>46253.667361111111</v>
      </c>
      <c r="AE59" s="11">
        <f>IFERROR(IF(MARÍTIMOS[[#This Row],[Etapa Despacho - Fin de Carga]]="","",MARÍTIMOS[[#This Row],[Etapa Despacho - Fin de Carga]]),"")</f>
        <v>46253.720833333333</v>
      </c>
      <c r="AF59" s="2" t="str">
        <f>IFERROR(IF(MARÍTIMOS[[#This Row],[Puerto de Embarque]]="","",MARÍTIMOS[[#This Row],[Puerto de Embarque]]),"")</f>
        <v>Paita</v>
      </c>
      <c r="AG59" s="2" t="str">
        <f>IFERROR(IF(MARÍTIMOS[[#This Row],[Almacén de Ingreso]]="","",MARÍTIMOS[[#This Row],[Almacén de Ingreso]]),"")</f>
        <v>TPE</v>
      </c>
      <c r="AH59" s="11">
        <f>IFERROR(IF(MARÍTIMOS[[#This Row],[Etapa Ingreso - Cita]]="","",MARÍTIMOS[[#This Row],[Etapa Ingreso - Cita]]),"")</f>
        <v>46254.041666666664</v>
      </c>
      <c r="AI59" s="11">
        <f>IFERROR(IF(MARÍTIMOS[[#This Row],[Etapa Ingreso - Llegada]]="","",MARÍTIMOS[[#This Row],[Etapa Ingreso - Llegada]]),"")</f>
        <v>46254.003472222219</v>
      </c>
      <c r="AJ59" s="11">
        <f>IFERROR(IF(MARÍTIMOS[[#This Row],[Etapa Ingreso - Ingeso]]="","",MARÍTIMOS[[#This Row],[Etapa Ingreso - Ingeso]]),"")</f>
        <v>46254.01458333333</v>
      </c>
      <c r="AK59" s="11">
        <f>IFERROR(IF(MARÍTIMOS[[#This Row],[Etapa Ingreso - Atención]]="","",MARÍTIMOS[[#This Row],[Etapa Ingreso - Atención]]),"")</f>
        <v>46254.025694444441</v>
      </c>
      <c r="AL59" s="11">
        <f>IFERROR(IF(MARÍTIMOS[[#This Row],[Etapa Ingreso - Salida]]="","",MARÍTIMOS[[#This Row],[Etapa Ingreso - Salida]]),"")</f>
        <v>46254.03125</v>
      </c>
      <c r="AM59" s="2">
        <f>IFERROR(IF(MARÍTIMOS[[#This Row],[FCL]]="","",MARÍTIMOS[[#This Row],[FCL]]),"")</f>
        <v>1</v>
      </c>
      <c r="AN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59" s="4" t="str" cm="1">
        <f t="array" ref="AO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59" s="5">
        <f>IFERROR(OLDBD[[#This Row],[Llegada a packing]]-OLDBD[[#This Row],[Inicio de Ruta]],"")</f>
        <v>24.496527777781012</v>
      </c>
      <c r="AQ59" s="6">
        <f>IFERROR(OLDBD[[#This Row],[Inicio de Ruta]]-OLDBD[[#This Row],[Salida de almacén de retiro]],"")</f>
        <v>-23.900694444448163</v>
      </c>
      <c r="AR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59" s="8" t="str" cm="1">
        <f t="array" ref="AS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59" s="9">
        <f>IFERROR(OLDBD[[#This Row],[Ingreso Packing]]-OLDBD[[#This Row],[Registro en Packing]],"")</f>
        <v>7.013888889196096E-2</v>
      </c>
      <c r="AV59" s="9">
        <f>IFERROR(OLDBD[[#This Row],[Ingreso Packing]]-OLDBD[[#This Row],[Llegada a packing]],"")</f>
        <v>3.5416666665696539E-2</v>
      </c>
      <c r="AW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59" s="5">
        <f>IFERROR(OLDBD[[#This Row],[Llegada Almacén de Ingreso]]-OLDBD[[#This Row],[Salida Packing]],"")</f>
        <v>0.28263888888614019</v>
      </c>
      <c r="AY59" s="4" t="str" cm="1">
        <f t="array" ref="AY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59" s="43" t="s">
        <v>173</v>
      </c>
      <c r="BB59" s="47" t="str">
        <f>IFERROR(IF(MARÍTIMOS[[#This Row],[Estatus]]="","",MARÍTIMOS[[#This Row],[Estatus]]),"")</f>
        <v>Confirmado</v>
      </c>
      <c r="BC59" s="43"/>
      <c r="BD59" s="46">
        <f>IFERROR(OLDBD[[#This Row],[Salida de almacén de retiro]]-OLDBD[[#This Row],[Ingreso Almacén de retiro]],"")</f>
        <v>1.4583333337213844E-2</v>
      </c>
      <c r="BE59" s="46">
        <f>IFERROR(OLDBD[[#This Row],[Fin de Carga]]-OLDBD[[#This Row],[Inicio de Carga]],"")</f>
        <v>1.4583333329937886E-2</v>
      </c>
    </row>
    <row r="60" spans="1:57" customFormat="1" hidden="1">
      <c r="A60" s="1"/>
      <c r="B60" s="1">
        <f>IFERROR(IF(MARÍTIMOS[[#This Row],[PP]]="","",MARÍTIMOS[[#This Row],[PP]]),"")</f>
        <v>34</v>
      </c>
      <c r="C60" s="1" t="str">
        <f>IFERROR(IF(MARÍTIMOS[[#This Row],[Sede]]="","",MARÍTIMOS[[#This Row],[Sede]]),"")</f>
        <v>Olmos</v>
      </c>
      <c r="D60" s="1" t="str">
        <f>IFERROR(IF(MARÍTIMOS[[#This Row],[Instruction]]="","",MARÍTIMOS[[#This Row],[Instruction]]),"")</f>
        <v>RH-0562</v>
      </c>
      <c r="E60" s="1"/>
      <c r="F60" s="2" t="str">
        <f>IFERROR(IF(MARÍTIMOS[[#This Row],[Transportista]]="","",MARÍTIMOS[[#This Row],[Transportista]]),"")</f>
        <v>Costa Transport</v>
      </c>
      <c r="G60" s="2" t="str">
        <f>IFERROR(IF(MARÍTIMOS[[#This Row],[Tercero]]="","",MARÍTIMOS[[#This Row],[Tercero]]),"")</f>
        <v>NO</v>
      </c>
      <c r="H60" s="2" t="str">
        <f>IFERROR(IF(MARÍTIMOS[[#This Row],[Razón Social]]="","",MARÍTIMOS[[#This Row],[Razón Social]]),"")</f>
        <v>TRANSPORTES COSTA TRANSPORT EIRL</v>
      </c>
      <c r="I60" s="2">
        <f>IFERROR(IF(MARÍTIMOS[[#This Row],[RUC]]="","",MARÍTIMOS[[#This Row],[RUC]]),"")</f>
        <v>20525373551</v>
      </c>
      <c r="J60" s="2" t="str">
        <f>IFERROR(IF(MARÍTIMOS[[#This Row],[Placa Tracto]]="","",MARÍTIMOS[[#This Row],[Placa Tracto]]),"")</f>
        <v>AVK-728</v>
      </c>
      <c r="K60" s="2" t="str">
        <f>IFERROR(IF(MARÍTIMOS[[#This Row],[Placa Carreta]]="","",MARÍTIMOS[[#This Row],[Placa Carreta]]),"")</f>
        <v>F9S-991</v>
      </c>
      <c r="L60" s="44" t="str">
        <f>IFERROR(IF(MARÍTIMOS[[#This Row],[Conductor]]="","",MARÍTIMOS[[#This Row],[Conductor]]),"")</f>
        <v>NOE VICTORIO NOE GARCIA</v>
      </c>
      <c r="M60" s="2" t="str">
        <f>IFERROR(IF(MARÍTIMOS[[#This Row],[Licencia]]="","",MARÍTIMOS[[#This Row],[Licencia]]),"")</f>
        <v>B42334233</v>
      </c>
      <c r="N60" s="2">
        <f>IFERROR(IF(MARÍTIMOS[[#This Row],[Número de Contacto]]="","",MARÍTIMOS[[#This Row],[Número de Contacto]]),"")</f>
        <v>998230850</v>
      </c>
      <c r="O60" s="10" t="str">
        <f>IFERROR(IF(MARÍTIMOS[[#This Row],[Booking|AWB|CRT]]="","",MARÍTIMOS[[#This Row],[Booking|AWB|CRT]]),"")</f>
        <v>ZIMULMA00022151</v>
      </c>
      <c r="P60" s="2" t="str">
        <f>IFERROR(IF(MARÍTIMOS[[#This Row],[Contenedor]]="","",MARÍTIMOS[[#This Row],[Contenedor]]),"")</f>
        <v>GMOU903894-0</v>
      </c>
      <c r="Q60" s="2" t="str">
        <f>IFERROR(IF(MARÍTIMOS[[#This Row],[Puerto de Retiro]]="","",MARÍTIMOS[[#This Row],[Puerto de Retiro]]),"")</f>
        <v>PAITA</v>
      </c>
      <c r="R60" s="2" t="str">
        <f>IFERROR(IF(MARÍTIMOS[[#This Row],[Almacén de Retiro]]="","",MARÍTIMOS[[#This Row],[Almacén de Retiro]]),"")</f>
        <v>MACROMAR</v>
      </c>
      <c r="S60" s="11">
        <f>IFERROR(IF(MARÍTIMOS[[#This Row],[Etapa Retiro - Cita]]="","",MARÍTIMOS[[#This Row],[Etapa Retiro - Cita]]),"")</f>
        <v>46252.666666666664</v>
      </c>
      <c r="T60" s="11">
        <f>IFERROR(IF(MARÍTIMOS[[#This Row],[Etapa Retiro - Llegada]]="","",MARÍTIMOS[[#This Row],[Etapa Retiro - Llegada]]),"")</f>
        <v>46252.681250000001</v>
      </c>
      <c r="U60" s="11">
        <f>IFERROR(IF(MARÍTIMOS[[#This Row],[Etapa Retiro - Ingreso]]="","",MARÍTIMOS[[#This Row],[Etapa Retiro - Ingreso]]),"")</f>
        <v>46252.681250000001</v>
      </c>
      <c r="V60" s="11">
        <f>IFERROR(IF(MARÍTIMOS[[#This Row],[Etapa Retiro - Atención]]="","",MARÍTIMOS[[#This Row],[Etapa Retiro - Atención]]),"")</f>
        <v>46252.689583333333</v>
      </c>
      <c r="W60" s="11">
        <f>IFERROR(IF(MARÍTIMOS[[#This Row],[Etapa Retiro - Atención]]="","",MARÍTIMOS[[#This Row],[Etapa Retiro - Atención]]),"")</f>
        <v>46252.689583333333</v>
      </c>
      <c r="X60" s="11">
        <f>IFERROR(IF(MARÍTIMOS[[#This Row],[Etapa Retiro - Inicio de Ruta]]="","",MARÍTIMOS[[#This Row],[Etapa Retiro - Inicio de Ruta]]),"")</f>
        <v>46253.12777777778</v>
      </c>
      <c r="Y60" s="11">
        <f>IFERROR(IF(MARÍTIMOS[[#This Row],[Hora de Posicionamiento]]="","",MARÍTIMOS[[#This Row],[Fecha de Carga]]+MARÍTIMOS[[#This Row],[Hora de Posicionamiento]]),"")</f>
        <v>46253.333333333336</v>
      </c>
      <c r="Z60" s="11">
        <f>IFERROR(IF(MARÍTIMOS[[#This Row],[Etapa Despacho - Llegada]]="","",MARÍTIMOS[[#This Row],[Etapa Despacho - Llegada]]),"")</f>
        <v>46253.333333333336</v>
      </c>
      <c r="AA60" s="11">
        <f>IFERROR(IF(MARÍTIMOS[[#This Row],[Etapa Despacho - Registro]]="","",MARÍTIMOS[[#This Row],[Etapa Despacho - Registro]]),"")</f>
        <v>46253.329861111109</v>
      </c>
      <c r="AB60" s="11">
        <f>IFERROR(IF(MARÍTIMOS[[#This Row],[Inspección Externa]]="","",MARÍTIMOS[[#This Row],[Inspección Externa]]),"")</f>
        <v>46253.375</v>
      </c>
      <c r="AC60" s="11">
        <f>IFERROR(IF(MARÍTIMOS[[#This Row],[Etapa Despacho - Inicio de Carga]]="","",MARÍTIMOS[[#This Row],[Etapa Despacho - Inicio de Carga]]),"")</f>
        <v>46253.645833333336</v>
      </c>
      <c r="AD60" s="11">
        <f>IFERROR(IF(MARÍTIMOS[[#This Row],[Etapa Despacho - Mitad de Carga]]="","",MARÍTIMOS[[#This Row],[Etapa Despacho - Mitad de Carga]]),"")</f>
        <v>46253.660416666666</v>
      </c>
      <c r="AE60" s="11">
        <f>IFERROR(IF(MARÍTIMOS[[#This Row],[Etapa Despacho - Fin de Carga]]="","",MARÍTIMOS[[#This Row],[Etapa Despacho - Fin de Carga]]),"")</f>
        <v>46253.681944444441</v>
      </c>
      <c r="AF60" s="2" t="str">
        <f>IFERROR(IF(MARÍTIMOS[[#This Row],[Puerto de Embarque]]="","",MARÍTIMOS[[#This Row],[Puerto de Embarque]]),"")</f>
        <v>Paita</v>
      </c>
      <c r="AG60" s="2" t="str">
        <f>IFERROR(IF(MARÍTIMOS[[#This Row],[Almacén de Ingreso]]="","",MARÍTIMOS[[#This Row],[Almacén de Ingreso]]),"")</f>
        <v>TPE</v>
      </c>
      <c r="AH60" s="11">
        <f>IFERROR(IF(MARÍTIMOS[[#This Row],[Etapa Ingreso - Cita]]="","",MARÍTIMOS[[#This Row],[Etapa Ingreso - Cita]]),"")</f>
        <v>46253.958333333336</v>
      </c>
      <c r="AI60" s="11">
        <f>IFERROR(IF(MARÍTIMOS[[#This Row],[Etapa Ingreso - Llegada]]="","",MARÍTIMOS[[#This Row],[Etapa Ingreso - Llegada]]),"")</f>
        <v>46253.95</v>
      </c>
      <c r="AJ60" s="11">
        <f>IFERROR(IF(MARÍTIMOS[[#This Row],[Etapa Ingreso - Ingeso]]="","",MARÍTIMOS[[#This Row],[Etapa Ingreso - Ingeso]]),"")</f>
        <v>46253.953472222223</v>
      </c>
      <c r="AK60" s="11">
        <f>IFERROR(IF(MARÍTIMOS[[#This Row],[Etapa Ingreso - Atención]]="","",MARÍTIMOS[[#This Row],[Etapa Ingreso - Atención]]),"")</f>
        <v>46253.962500000001</v>
      </c>
      <c r="AL60" s="11">
        <f>IFERROR(IF(MARÍTIMOS[[#This Row],[Etapa Ingreso - Salida]]="","",MARÍTIMOS[[#This Row],[Etapa Ingreso - Salida]]),"")</f>
        <v>46253.977777777778</v>
      </c>
      <c r="AM60" s="2">
        <f>IFERROR(IF(MARÍTIMOS[[#This Row],[FCL]]="","",MARÍTIMOS[[#This Row],[FCL]]),"")</f>
        <v>1</v>
      </c>
      <c r="AN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0" s="4" t="str" cm="1">
        <f t="array" ref="AO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0" s="5">
        <f>IFERROR(OLDBD[[#This Row],[Llegada a packing]]-OLDBD[[#This Row],[Inicio de Ruta]],"")</f>
        <v>0.20555555555620231</v>
      </c>
      <c r="AQ60" s="6">
        <f>IFERROR(OLDBD[[#This Row],[Inicio de Ruta]]-OLDBD[[#This Row],[Salida de almacén de retiro]],"")</f>
        <v>0.43819444444670808</v>
      </c>
      <c r="AR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0" s="8" t="str" cm="1">
        <f t="array" ref="AS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60" s="9">
        <f>IFERROR(OLDBD[[#This Row],[Ingreso Packing]]-OLDBD[[#This Row],[Registro en Packing]],"")</f>
        <v>4.5138888890505768E-2</v>
      </c>
      <c r="AV60" s="9">
        <f>IFERROR(OLDBD[[#This Row],[Ingreso Packing]]-OLDBD[[#This Row],[Llegada a packing]],"")</f>
        <v>4.1666666664241347E-2</v>
      </c>
      <c r="AW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60" s="5">
        <f>IFERROR(OLDBD[[#This Row],[Llegada Almacén de Ingreso]]-OLDBD[[#This Row],[Salida Packing]],"")</f>
        <v>0.26805555555620231</v>
      </c>
      <c r="AY60" s="4" t="str" cm="1">
        <f t="array" ref="AY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60" s="43" t="s">
        <v>173</v>
      </c>
      <c r="BB60" s="47" t="str">
        <f>IFERROR(IF(MARÍTIMOS[[#This Row],[Estatus]]="","",MARÍTIMOS[[#This Row],[Estatus]]),"")</f>
        <v>Confirmado</v>
      </c>
      <c r="BC60" s="43"/>
      <c r="BD60" s="46">
        <f>IFERROR(OLDBD[[#This Row],[Salida de almacén de retiro]]-OLDBD[[#This Row],[Ingreso Almacén de retiro]],"")</f>
        <v>8.333333331393078E-3</v>
      </c>
      <c r="BE60" s="46">
        <f>IFERROR(OLDBD[[#This Row],[Fin de Carga]]-OLDBD[[#This Row],[Inicio de Carga]],"")</f>
        <v>1.4583333329937886E-2</v>
      </c>
    </row>
    <row r="61" spans="1:57" customFormat="1" hidden="1">
      <c r="A61" s="1"/>
      <c r="B61" s="1">
        <f>IFERROR(IF(MARÍTIMOS[[#This Row],[PP]]="","",MARÍTIMOS[[#This Row],[PP]]),"")</f>
        <v>34</v>
      </c>
      <c r="C61" s="1" t="str">
        <f>IFERROR(IF(MARÍTIMOS[[#This Row],[Sede]]="","",MARÍTIMOS[[#This Row],[Sede]]),"")</f>
        <v>Olmos</v>
      </c>
      <c r="D61" s="1" t="str">
        <f>IFERROR(IF(MARÍTIMOS[[#This Row],[Instruction]]="","",MARÍTIMOS[[#This Row],[Instruction]]),"")</f>
        <v>RH-0547</v>
      </c>
      <c r="E61" s="1"/>
      <c r="F61" s="2" t="str">
        <f>IFERROR(IF(MARÍTIMOS[[#This Row],[Transportista]]="","",MARÍTIMOS[[#This Row],[Transportista]]),"")</f>
        <v>Costa Transport</v>
      </c>
      <c r="G61" s="2" t="str">
        <f>IFERROR(IF(MARÍTIMOS[[#This Row],[Tercero]]="","",MARÍTIMOS[[#This Row],[Tercero]]),"")</f>
        <v>NO</v>
      </c>
      <c r="H61" s="2" t="str">
        <f>IFERROR(IF(MARÍTIMOS[[#This Row],[Razón Social]]="","",MARÍTIMOS[[#This Row],[Razón Social]]),"")</f>
        <v>TRANSPORTES COSTA TRANSPORT EIRL</v>
      </c>
      <c r="I61" s="2">
        <f>IFERROR(IF(MARÍTIMOS[[#This Row],[RUC]]="","",MARÍTIMOS[[#This Row],[RUC]]),"")</f>
        <v>20525373551</v>
      </c>
      <c r="J61" s="2" t="str">
        <f>IFERROR(IF(MARÍTIMOS[[#This Row],[Placa Tracto]]="","",MARÍTIMOS[[#This Row],[Placa Tracto]]),"")</f>
        <v>AVK-810</v>
      </c>
      <c r="K61" s="2" t="str">
        <f>IFERROR(IF(MARÍTIMOS[[#This Row],[Placa Carreta]]="","",MARÍTIMOS[[#This Row],[Placa Carreta]]),"")</f>
        <v>AMY-977</v>
      </c>
      <c r="L61" s="44" t="str">
        <f>IFERROR(IF(MARÍTIMOS[[#This Row],[Conductor]]="","",MARÍTIMOS[[#This Row],[Conductor]]),"")</f>
        <v>CEVALLOS ASTUDILLO JORGE LUIS</v>
      </c>
      <c r="M61" s="2" t="str">
        <f>IFERROR(IF(MARÍTIMOS[[#This Row],[Licencia]]="","",MARÍTIMOS[[#This Row],[Licencia]]),"")</f>
        <v>B42067818</v>
      </c>
      <c r="N61" s="2">
        <f>IFERROR(IF(MARÍTIMOS[[#This Row],[Número de Contacto]]="","",MARÍTIMOS[[#This Row],[Número de Contacto]]),"")</f>
        <v>998374895</v>
      </c>
      <c r="O61" s="10" t="str">
        <f>IFERROR(IF(MARÍTIMOS[[#This Row],[Booking|AWB|CRT]]="","",MARÍTIMOS[[#This Row],[Booking|AWB|CRT]]),"")</f>
        <v>MBM250067127</v>
      </c>
      <c r="P61" s="2" t="str">
        <f>IFERROR(IF(MARÍTIMOS[[#This Row],[Contenedor]]="","",MARÍTIMOS[[#This Row],[Contenedor]]),"")</f>
        <v>FDDU2541604</v>
      </c>
      <c r="Q61" s="2" t="str">
        <f>IFERROR(IF(MARÍTIMOS[[#This Row],[Puerto de Retiro]]="","",MARÍTIMOS[[#This Row],[Puerto de Retiro]]),"")</f>
        <v>PAITA</v>
      </c>
      <c r="R61" s="2" t="str">
        <f>IFERROR(IF(MARÍTIMOS[[#This Row],[Almacén de Retiro]]="","",MARÍTIMOS[[#This Row],[Almacén de Retiro]]),"")</f>
        <v>MACROMAR</v>
      </c>
      <c r="S61" s="11">
        <f>IFERROR(IF(MARÍTIMOS[[#This Row],[Etapa Retiro - Cita]]="","",MARÍTIMOS[[#This Row],[Etapa Retiro - Cita]]),"")</f>
        <v>46253.666666666664</v>
      </c>
      <c r="T61" s="11">
        <f>IFERROR(IF(MARÍTIMOS[[#This Row],[Etapa Retiro - Llegada]]="","",MARÍTIMOS[[#This Row],[Etapa Retiro - Llegada]]),"")</f>
        <v>46253.675000000003</v>
      </c>
      <c r="U61" s="11">
        <f>IFERROR(IF(MARÍTIMOS[[#This Row],[Etapa Retiro - Ingreso]]="","",MARÍTIMOS[[#This Row],[Etapa Retiro - Ingreso]]),"")</f>
        <v>46253.705555555556</v>
      </c>
      <c r="V61" s="11">
        <f>IFERROR(IF(MARÍTIMOS[[#This Row],[Etapa Retiro - Atención]]="","",MARÍTIMOS[[#This Row],[Etapa Retiro - Atención]]),"")</f>
        <v>46253.727777777778</v>
      </c>
      <c r="W61" s="11">
        <f>IFERROR(IF(MARÍTIMOS[[#This Row],[Etapa Retiro - Atención]]="","",MARÍTIMOS[[#This Row],[Etapa Retiro - Atención]]),"")</f>
        <v>46253.727777777778</v>
      </c>
      <c r="X61" s="11">
        <f>IFERROR(IF(MARÍTIMOS[[#This Row],[Etapa Retiro - Inicio de Ruta]]="","",MARÍTIMOS[[#This Row],[Etapa Retiro - Inicio de Ruta]]),"")</f>
        <v>46254.313194444447</v>
      </c>
      <c r="Y61" s="11">
        <f>IFERROR(IF(MARÍTIMOS[[#This Row],[Hora de Posicionamiento]]="","",MARÍTIMOS[[#This Row],[Fecha de Carga]]+MARÍTIMOS[[#This Row],[Hora de Posicionamiento]]),"")</f>
        <v>46254.5</v>
      </c>
      <c r="Z61" s="11">
        <f>IFERROR(IF(MARÍTIMOS[[#This Row],[Etapa Despacho - Llegada]]="","",MARÍTIMOS[[#This Row],[Etapa Despacho - Llegada]]),"")</f>
        <v>46254.486111111109</v>
      </c>
      <c r="AA61" s="11">
        <f>IFERROR(IF(MARÍTIMOS[[#This Row],[Etapa Despacho - Registro]]="","",MARÍTIMOS[[#This Row],[Etapa Despacho - Registro]]),"")</f>
        <v>46254.489583333336</v>
      </c>
      <c r="AB61" s="11">
        <f>IFERROR(IF(MARÍTIMOS[[#This Row],[Inspección Externa]]="","",MARÍTIMOS[[#This Row],[Inspección Externa]]),"")</f>
        <v>46254.49722222222</v>
      </c>
      <c r="AC61" s="11">
        <f>IFERROR(IF(MARÍTIMOS[[#This Row],[Etapa Despacho - Inicio de Carga]]="","",MARÍTIMOS[[#This Row],[Etapa Despacho - Inicio de Carga]]),"")</f>
        <v>46254.652777777781</v>
      </c>
      <c r="AD61" s="11">
        <f>IFERROR(IF(MARÍTIMOS[[#This Row],[Etapa Despacho - Mitad de Carga]]="","",MARÍTIMOS[[#This Row],[Etapa Despacho - Mitad de Carga]]),"")</f>
        <v>46254.680555555555</v>
      </c>
      <c r="AE61" s="11">
        <f>IFERROR(IF(MARÍTIMOS[[#This Row],[Etapa Despacho - Fin de Carga]]="","",MARÍTIMOS[[#This Row],[Etapa Despacho - Fin de Carga]]),"")</f>
        <v>46254.746527777781</v>
      </c>
      <c r="AF61" s="2" t="str">
        <f>IFERROR(IF(MARÍTIMOS[[#This Row],[Puerto de Embarque]]="","",MARÍTIMOS[[#This Row],[Puerto de Embarque]]),"")</f>
        <v>Paita</v>
      </c>
      <c r="AG61" s="2" t="str">
        <f>IFERROR(IF(MARÍTIMOS[[#This Row],[Almacén de Ingreso]]="","",MARÍTIMOS[[#This Row],[Almacén de Ingreso]]),"")</f>
        <v>TPE</v>
      </c>
      <c r="AH61" s="11">
        <f>IFERROR(IF(MARÍTIMOS[[#This Row],[Etapa Ingreso - Cita]]="","",MARÍTIMOS[[#This Row],[Etapa Ingreso - Cita]]),"")</f>
        <v>46254.958333333336</v>
      </c>
      <c r="AI61" s="11">
        <f>IFERROR(IF(MARÍTIMOS[[#This Row],[Etapa Ingreso - Llegada]]="","",MARÍTIMOS[[#This Row],[Etapa Ingreso - Llegada]]),"")</f>
        <v>46254.972222222219</v>
      </c>
      <c r="AJ61" s="11">
        <f>IFERROR(IF(MARÍTIMOS[[#This Row],[Etapa Ingreso - Ingeso]]="","",MARÍTIMOS[[#This Row],[Etapa Ingreso - Ingeso]]),"")</f>
        <v>46254.975694444445</v>
      </c>
      <c r="AK61" s="11">
        <f>IFERROR(IF(MARÍTIMOS[[#This Row],[Etapa Ingreso - Atención]]="","",MARÍTIMOS[[#This Row],[Etapa Ingreso - Atención]]),"")</f>
        <v>46254.982638888891</v>
      </c>
      <c r="AL61" s="11">
        <f>IFERROR(IF(MARÍTIMOS[[#This Row],[Etapa Ingreso - Salida]]="","",MARÍTIMOS[[#This Row],[Etapa Ingreso - Salida]]),"")</f>
        <v>46254.986111111109</v>
      </c>
      <c r="AM61" s="2">
        <f>IFERROR(IF(MARÍTIMOS[[#This Row],[FCL]]="","",MARÍTIMOS[[#This Row],[FCL]]),"")</f>
        <v>1</v>
      </c>
      <c r="AN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1" s="4" t="str" cm="1">
        <f t="array" ref="AO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1" s="5">
        <f>IFERROR(OLDBD[[#This Row],[Llegada a packing]]-OLDBD[[#This Row],[Inicio de Ruta]],"")</f>
        <v>0.17291666666278616</v>
      </c>
      <c r="AQ61" s="6">
        <f>IFERROR(OLDBD[[#This Row],[Inicio de Ruta]]-OLDBD[[#This Row],[Salida de almacén de retiro]],"")</f>
        <v>0.58541666666860692</v>
      </c>
      <c r="AR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1" s="8" t="str" cm="1">
        <f t="array" ref="AS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61" s="9">
        <f>IFERROR(OLDBD[[#This Row],[Ingreso Packing]]-OLDBD[[#This Row],[Registro en Packing]],"")</f>
        <v>7.6388888846850023E-3</v>
      </c>
      <c r="AV61" s="9">
        <f>IFERROR(OLDBD[[#This Row],[Ingreso Packing]]-OLDBD[[#This Row],[Llegada a packing]],"")</f>
        <v>1.1111111110949423E-2</v>
      </c>
      <c r="AW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61" s="5">
        <f>IFERROR(OLDBD[[#This Row],[Llegada Almacén de Ingreso]]-OLDBD[[#This Row],[Salida Packing]],"")</f>
        <v>0.22569444443797693</v>
      </c>
      <c r="AY61" s="4" t="str" cm="1">
        <f t="array" ref="AY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61" s="43" t="s">
        <v>173</v>
      </c>
      <c r="BB61" s="47" t="str">
        <f>IFERROR(IF(MARÍTIMOS[[#This Row],[Estatus]]="","",MARÍTIMOS[[#This Row],[Estatus]]),"")</f>
        <v>Confirmado</v>
      </c>
      <c r="BC61" s="43"/>
      <c r="BD61" s="46">
        <f>IFERROR(OLDBD[[#This Row],[Salida de almacén de retiro]]-OLDBD[[#This Row],[Ingreso Almacén de retiro]],"")</f>
        <v>2.2222222221898846E-2</v>
      </c>
      <c r="BE61" s="46">
        <f>IFERROR(OLDBD[[#This Row],[Fin de Carga]]-OLDBD[[#This Row],[Inicio de Carga]],"")</f>
        <v>2.7777777773735579E-2</v>
      </c>
    </row>
    <row r="62" spans="1:57" customFormat="1" hidden="1">
      <c r="A62" s="1"/>
      <c r="B62" s="1">
        <f>IFERROR(IF(MARÍTIMOS[[#This Row],[PP]]="","",MARÍTIMOS[[#This Row],[PP]]),"")</f>
        <v>34</v>
      </c>
      <c r="C62" s="1" t="str">
        <f>IFERROR(IF(MARÍTIMOS[[#This Row],[Sede]]="","",MARÍTIMOS[[#This Row],[Sede]]),"")</f>
        <v>Olmos</v>
      </c>
      <c r="D62" s="1" t="str">
        <f>IFERROR(IF(MARÍTIMOS[[#This Row],[Instruction]]="","",MARÍTIMOS[[#This Row],[Instruction]]),"")</f>
        <v>RH-0552</v>
      </c>
      <c r="E62" s="1"/>
      <c r="F62" s="2" t="str">
        <f>IFERROR(IF(MARÍTIMOS[[#This Row],[Transportista]]="","",MARÍTIMOS[[#This Row],[Transportista]]),"")</f>
        <v>Costa Transport</v>
      </c>
      <c r="G62" s="2" t="str">
        <f>IFERROR(IF(MARÍTIMOS[[#This Row],[Tercero]]="","",MARÍTIMOS[[#This Row],[Tercero]]),"")</f>
        <v>NO</v>
      </c>
      <c r="H62" s="2" t="str">
        <f>IFERROR(IF(MARÍTIMOS[[#This Row],[Razón Social]]="","",MARÍTIMOS[[#This Row],[Razón Social]]),"")</f>
        <v>TRANSPORTES COSTA TRANSPORT EIRL</v>
      </c>
      <c r="I62" s="2">
        <f>IFERROR(IF(MARÍTIMOS[[#This Row],[RUC]]="","",MARÍTIMOS[[#This Row],[RUC]]),"")</f>
        <v>20525373551</v>
      </c>
      <c r="J62" s="2" t="str">
        <f>IFERROR(IF(MARÍTIMOS[[#This Row],[Placa Tracto]]="","",MARÍTIMOS[[#This Row],[Placa Tracto]]),"")</f>
        <v>AVK-728</v>
      </c>
      <c r="K62" s="2" t="str">
        <f>IFERROR(IF(MARÍTIMOS[[#This Row],[Placa Carreta]]="","",MARÍTIMOS[[#This Row],[Placa Carreta]]),"")</f>
        <v>F9S-991</v>
      </c>
      <c r="L62" s="44" t="str">
        <f>IFERROR(IF(MARÍTIMOS[[#This Row],[Conductor]]="","",MARÍTIMOS[[#This Row],[Conductor]]),"")</f>
        <v>NOE VICTORIO NOE GARCIA</v>
      </c>
      <c r="M62" s="2" t="str">
        <f>IFERROR(IF(MARÍTIMOS[[#This Row],[Licencia]]="","",MARÍTIMOS[[#This Row],[Licencia]]),"")</f>
        <v>B42334233</v>
      </c>
      <c r="N62" s="2">
        <f>IFERROR(IF(MARÍTIMOS[[#This Row],[Número de Contacto]]="","",MARÍTIMOS[[#This Row],[Número de Contacto]]),"")</f>
        <v>998230850</v>
      </c>
      <c r="O62" s="10" t="str">
        <f>IFERROR(IF(MARÍTIMOS[[#This Row],[Booking|AWB|CRT]]="","",MARÍTIMOS[[#This Row],[Booking|AWB|CRT]]),"")</f>
        <v>MBM250067122</v>
      </c>
      <c r="P62" s="2" t="str">
        <f>IFERROR(IF(MARÍTIMOS[[#This Row],[Contenedor]]="","",MARÍTIMOS[[#This Row],[Contenedor]]),"")</f>
        <v>FDDU2541116</v>
      </c>
      <c r="Q62" s="2" t="str">
        <f>IFERROR(IF(MARÍTIMOS[[#This Row],[Puerto de Retiro]]="","",MARÍTIMOS[[#This Row],[Puerto de Retiro]]),"")</f>
        <v>PAITA</v>
      </c>
      <c r="R62" s="2" t="str">
        <f>IFERROR(IF(MARÍTIMOS[[#This Row],[Almacén de Retiro]]="","",MARÍTIMOS[[#This Row],[Almacén de Retiro]]),"")</f>
        <v>MACROMAR</v>
      </c>
      <c r="S62" s="11">
        <f>IFERROR(IF(MARÍTIMOS[[#This Row],[Etapa Retiro - Cita]]="","",MARÍTIMOS[[#This Row],[Etapa Retiro - Cita]]),"")</f>
        <v>46254.666666666664</v>
      </c>
      <c r="T62" s="11">
        <f>IFERROR(IF(MARÍTIMOS[[#This Row],[Etapa Retiro - Llegada]]="","",MARÍTIMOS[[#This Row],[Etapa Retiro - Llegada]]),"")</f>
        <v>46254.664583333331</v>
      </c>
      <c r="U62" s="11">
        <f>IFERROR(IF(MARÍTIMOS[[#This Row],[Etapa Retiro - Ingreso]]="","",MARÍTIMOS[[#This Row],[Etapa Retiro - Ingreso]]),"")</f>
        <v>46254.686805555553</v>
      </c>
      <c r="V62" s="11">
        <f>IFERROR(IF(MARÍTIMOS[[#This Row],[Etapa Retiro - Atención]]="","",MARÍTIMOS[[#This Row],[Etapa Retiro - Atención]]),"")</f>
        <v>46254.698611111111</v>
      </c>
      <c r="W62" s="11">
        <f>IFERROR(IF(MARÍTIMOS[[#This Row],[Etapa Retiro - Atención]]="","",MARÍTIMOS[[#This Row],[Etapa Retiro - Atención]]),"")</f>
        <v>46254.698611111111</v>
      </c>
      <c r="X62" s="11">
        <f>IFERROR(IF(MARÍTIMOS[[#This Row],[Etapa Retiro - Inicio de Ruta]]="","",MARÍTIMOS[[#This Row],[Etapa Retiro - Inicio de Ruta]]),"")</f>
        <v>46255.138194444444</v>
      </c>
      <c r="Y62" s="11">
        <f>IFERROR(IF(MARÍTIMOS[[#This Row],[Hora de Posicionamiento]]="","",MARÍTIMOS[[#This Row],[Fecha de Carga]]+MARÍTIMOS[[#This Row],[Hora de Posicionamiento]]),"")</f>
        <v>46255.333333333336</v>
      </c>
      <c r="Z62" s="11">
        <f>IFERROR(IF(MARÍTIMOS[[#This Row],[Etapa Despacho - Llegada]]="","",MARÍTIMOS[[#This Row],[Etapa Despacho - Llegada]]),"")</f>
        <v>46255.326388888891</v>
      </c>
      <c r="AA62" s="11">
        <f>IFERROR(IF(MARÍTIMOS[[#This Row],[Etapa Despacho - Registro]]="","",MARÍTIMOS[[#This Row],[Etapa Despacho - Registro]]),"")</f>
        <v>46255.329861111109</v>
      </c>
      <c r="AB62" s="11">
        <f>IFERROR(IF(MARÍTIMOS[[#This Row],[Inspección Externa]]="","",MARÍTIMOS[[#This Row],[Inspección Externa]]),"")</f>
        <v>46255.336805555555</v>
      </c>
      <c r="AC62" s="11">
        <f>IFERROR(IF(MARÍTIMOS[[#This Row],[Etapa Despacho - Inicio de Carga]]="","",MARÍTIMOS[[#This Row],[Etapa Despacho - Inicio de Carga]]),"")</f>
        <v>46255.447916666664</v>
      </c>
      <c r="AD62" s="11">
        <f>IFERROR(IF(MARÍTIMOS[[#This Row],[Etapa Despacho - Mitad de Carga]]="","",MARÍTIMOS[[#This Row],[Etapa Despacho - Mitad de Carga]]),"")</f>
        <v>46255.461805555555</v>
      </c>
      <c r="AE62" s="11">
        <f>IFERROR(IF(MARÍTIMOS[[#This Row],[Etapa Despacho - Fin de Carga]]="","",MARÍTIMOS[[#This Row],[Etapa Despacho - Fin de Carga]]),"")</f>
        <v>46255.474999999999</v>
      </c>
      <c r="AF62" s="2" t="str">
        <f>IFERROR(IF(MARÍTIMOS[[#This Row],[Puerto de Embarque]]="","",MARÍTIMOS[[#This Row],[Puerto de Embarque]]),"")</f>
        <v>Paita</v>
      </c>
      <c r="AG62" s="2" t="str">
        <f>IFERROR(IF(MARÍTIMOS[[#This Row],[Almacén de Ingreso]]="","",MARÍTIMOS[[#This Row],[Almacén de Ingreso]]),"")</f>
        <v>TPE</v>
      </c>
      <c r="AH62" s="11">
        <f>IFERROR(IF(MARÍTIMOS[[#This Row],[Etapa Ingreso - Cita]]="","",MARÍTIMOS[[#This Row],[Etapa Ingreso - Cita]]),"")</f>
        <v>46255.75</v>
      </c>
      <c r="AI62" s="11">
        <f>IFERROR(IF(MARÍTIMOS[[#This Row],[Etapa Ingreso - Llegada]]="","",MARÍTIMOS[[#This Row],[Etapa Ingreso - Llegada]]),"")</f>
        <v>46255.727777777778</v>
      </c>
      <c r="AJ62" s="11">
        <f>IFERROR(IF(MARÍTIMOS[[#This Row],[Etapa Ingreso - Ingeso]]="","",MARÍTIMOS[[#This Row],[Etapa Ingreso - Ingeso]]),"")</f>
        <v>46255.727777777778</v>
      </c>
      <c r="AK62" s="11">
        <f>IFERROR(IF(MARÍTIMOS[[#This Row],[Etapa Ingreso - Atención]]="","",MARÍTIMOS[[#This Row],[Etapa Ingreso - Atención]]),"")</f>
        <v>46255.73333333333</v>
      </c>
      <c r="AL62" s="11">
        <f>IFERROR(IF(MARÍTIMOS[[#This Row],[Etapa Ingreso - Salida]]="","",MARÍTIMOS[[#This Row],[Etapa Ingreso - Salida]]),"")</f>
        <v>46255.737500000003</v>
      </c>
      <c r="AM62" s="2">
        <f>IFERROR(IF(MARÍTIMOS[[#This Row],[FCL]]="","",MARÍTIMOS[[#This Row],[FCL]]),"")</f>
        <v>1</v>
      </c>
      <c r="AN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2" s="4" t="str" cm="1">
        <f t="array" ref="AO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2" s="5">
        <f>IFERROR(OLDBD[[#This Row],[Llegada a packing]]-OLDBD[[#This Row],[Inicio de Ruta]],"")</f>
        <v>0.18819444444670808</v>
      </c>
      <c r="AQ62" s="6">
        <f>IFERROR(OLDBD[[#This Row],[Inicio de Ruta]]-OLDBD[[#This Row],[Salida de almacén de retiro]],"")</f>
        <v>0.43958333333284827</v>
      </c>
      <c r="AR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2" s="8" t="str" cm="1">
        <f t="array" ref="AS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62" s="9">
        <f>IFERROR(OLDBD[[#This Row],[Ingreso Packing]]-OLDBD[[#This Row],[Registro en Packing]],"")</f>
        <v>6.9444444452528842E-3</v>
      </c>
      <c r="AV62" s="9">
        <f>IFERROR(OLDBD[[#This Row],[Ingreso Packing]]-OLDBD[[#This Row],[Llegada a packing]],"")</f>
        <v>1.0416666664241347E-2</v>
      </c>
      <c r="AW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62" s="5">
        <f>IFERROR(OLDBD[[#This Row],[Llegada Almacén de Ingreso]]-OLDBD[[#This Row],[Salida Packing]],"")</f>
        <v>0.25277777777955635</v>
      </c>
      <c r="AY62" s="4" t="str" cm="1">
        <f t="array" ref="AY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62" s="43" t="s">
        <v>173</v>
      </c>
      <c r="BB62" s="47" t="str">
        <f>IFERROR(IF(MARÍTIMOS[[#This Row],[Estatus]]="","",MARÍTIMOS[[#This Row],[Estatus]]),"")</f>
        <v>Confirmado</v>
      </c>
      <c r="BC62" s="43"/>
      <c r="BD62" s="46">
        <f>IFERROR(OLDBD[[#This Row],[Salida de almacén de retiro]]-OLDBD[[#This Row],[Ingreso Almacén de retiro]],"")</f>
        <v>1.1805555557657499E-2</v>
      </c>
      <c r="BE62" s="46">
        <f>IFERROR(OLDBD[[#This Row],[Fin de Carga]]-OLDBD[[#This Row],[Inicio de Carga]],"")</f>
        <v>1.3888888890505768E-2</v>
      </c>
    </row>
    <row r="63" spans="1:57" customFormat="1" hidden="1">
      <c r="A63" s="1"/>
      <c r="B63" s="1">
        <f>IFERROR(IF(MARÍTIMOS[[#This Row],[PP]]="","",MARÍTIMOS[[#This Row],[PP]]),"")</f>
        <v>34</v>
      </c>
      <c r="C63" s="1" t="str">
        <f>IFERROR(IF(MARÍTIMOS[[#This Row],[Sede]]="","",MARÍTIMOS[[#This Row],[Sede]]),"")</f>
        <v>Olmos</v>
      </c>
      <c r="D63" s="1" t="str">
        <f>IFERROR(IF(MARÍTIMOS[[#This Row],[Instruction]]="","",MARÍTIMOS[[#This Row],[Instruction]]),"")</f>
        <v>RH-0556</v>
      </c>
      <c r="E63" s="1"/>
      <c r="F63" s="2" t="str">
        <f>IFERROR(IF(MARÍTIMOS[[#This Row],[Transportista]]="","",MARÍTIMOS[[#This Row],[Transportista]]),"")</f>
        <v>Costa Transport</v>
      </c>
      <c r="G63" s="2" t="str">
        <f>IFERROR(IF(MARÍTIMOS[[#This Row],[Tercero]]="","",MARÍTIMOS[[#This Row],[Tercero]]),"")</f>
        <v>NO</v>
      </c>
      <c r="H63" s="2" t="str">
        <f>IFERROR(IF(MARÍTIMOS[[#This Row],[Razón Social]]="","",MARÍTIMOS[[#This Row],[Razón Social]]),"")</f>
        <v>TRANSPORTES COSTA TRANSPORT EIRL</v>
      </c>
      <c r="I63" s="2">
        <f>IFERROR(IF(MARÍTIMOS[[#This Row],[RUC]]="","",MARÍTIMOS[[#This Row],[RUC]]),"")</f>
        <v>20525373551</v>
      </c>
      <c r="J63" s="2" t="str">
        <f>IFERROR(IF(MARÍTIMOS[[#This Row],[Placa Tracto]]="","",MARÍTIMOS[[#This Row],[Placa Tracto]]),"")</f>
        <v>TFY-879</v>
      </c>
      <c r="K63" s="2" t="str">
        <f>IFERROR(IF(MARÍTIMOS[[#This Row],[Placa Carreta]]="","",MARÍTIMOS[[#This Row],[Placa Carreta]]),"")</f>
        <v>A1G-973</v>
      </c>
      <c r="L63" s="44" t="str">
        <f>IFERROR(IF(MARÍTIMOS[[#This Row],[Conductor]]="","",MARÍTIMOS[[#This Row],[Conductor]]),"")</f>
        <v>JORGE LUIS AZO RUIZ</v>
      </c>
      <c r="M63" s="2" t="str">
        <f>IFERROR(IF(MARÍTIMOS[[#This Row],[Licencia]]="","",MARÍTIMOS[[#This Row],[Licencia]]),"")</f>
        <v>B03874735</v>
      </c>
      <c r="N63" s="2">
        <f>IFERROR(IF(MARÍTIMOS[[#This Row],[Número de Contacto]]="","",MARÍTIMOS[[#This Row],[Número de Contacto]]),"")</f>
        <v>998231122</v>
      </c>
      <c r="O63" s="10" t="str">
        <f>IFERROR(IF(MARÍTIMOS[[#This Row],[Booking|AWB|CRT]]="","",MARÍTIMOS[[#This Row],[Booking|AWB|CRT]]),"")</f>
        <v>BN81745</v>
      </c>
      <c r="P63" s="2" t="str">
        <f>IFERROR(IF(MARÍTIMOS[[#This Row],[Contenedor]]="","",MARÍTIMOS[[#This Row],[Contenedor]]),"")</f>
        <v>SEKU9347714</v>
      </c>
      <c r="Q63" s="2" t="str">
        <f>IFERROR(IF(MARÍTIMOS[[#This Row],[Puerto de Retiro]]="","",MARÍTIMOS[[#This Row],[Puerto de Retiro]]),"")</f>
        <v>PAITA</v>
      </c>
      <c r="R63" s="2" t="str">
        <f>IFERROR(IF(MARÍTIMOS[[#This Row],[Almacén de Retiro]]="","",MARÍTIMOS[[#This Row],[Almacén de Retiro]]),"")</f>
        <v>DPW</v>
      </c>
      <c r="S63" s="11">
        <f>IFERROR(IF(MARÍTIMOS[[#This Row],[Etapa Retiro - Cita]]="","",MARÍTIMOS[[#This Row],[Etapa Retiro - Cita]]),"")</f>
        <v>46257.833333333336</v>
      </c>
      <c r="T63" s="11">
        <f>IFERROR(IF(MARÍTIMOS[[#This Row],[Etapa Retiro - Llegada]]="","",MARÍTIMOS[[#This Row],[Etapa Retiro - Llegada]]),"")</f>
        <v>46257.800694444442</v>
      </c>
      <c r="U63" s="11">
        <f>IFERROR(IF(MARÍTIMOS[[#This Row],[Etapa Retiro - Ingreso]]="","",MARÍTIMOS[[#This Row],[Etapa Retiro - Ingreso]]),"")</f>
        <v>46257.856944444444</v>
      </c>
      <c r="V63" s="11">
        <f>IFERROR(IF(MARÍTIMOS[[#This Row],[Etapa Retiro - Atención]]="","",MARÍTIMOS[[#This Row],[Etapa Retiro - Atención]]),"")</f>
        <v>46257.861111111109</v>
      </c>
      <c r="W63" s="11">
        <f>IFERROR(IF(MARÍTIMOS[[#This Row],[Etapa Retiro - Atención]]="","",MARÍTIMOS[[#This Row],[Etapa Retiro - Atención]]),"")</f>
        <v>46257.861111111109</v>
      </c>
      <c r="X63" s="11">
        <f>IFERROR(IF(MARÍTIMOS[[#This Row],[Etapa Retiro - Inicio de Ruta]]="","",MARÍTIMOS[[#This Row],[Etapa Retiro - Inicio de Ruta]]),"")</f>
        <v>46257.931250000001</v>
      </c>
      <c r="Y63" s="11">
        <f>IFERROR(IF(MARÍTIMOS[[#This Row],[Hora de Posicionamiento]]="","",MARÍTIMOS[[#This Row],[Fecha de Carga]]+MARÍTIMOS[[#This Row],[Hora de Posicionamiento]]),"")</f>
        <v>46258.333333333336</v>
      </c>
      <c r="Z63" s="11">
        <f>IFERROR(IF(MARÍTIMOS[[#This Row],[Etapa Despacho - Llegada]]="","",MARÍTIMOS[[#This Row],[Etapa Despacho - Llegada]]),"")</f>
        <v>46258.1</v>
      </c>
      <c r="AA63" s="11">
        <f>IFERROR(IF(MARÍTIMOS[[#This Row],[Etapa Despacho - Registro]]="","",MARÍTIMOS[[#This Row],[Etapa Despacho - Registro]]),"")</f>
        <v>46258.348611111112</v>
      </c>
      <c r="AB63" s="11">
        <f>IFERROR(IF(MARÍTIMOS[[#This Row],[Inspección Externa]]="","",MARÍTIMOS[[#This Row],[Inspección Externa]]),"")</f>
        <v>46258.348611111112</v>
      </c>
      <c r="AC63" s="11">
        <f>IFERROR(IF(MARÍTIMOS[[#This Row],[Etapa Despacho - Inicio de Carga]]="","",MARÍTIMOS[[#This Row],[Etapa Despacho - Inicio de Carga]]),"")</f>
        <v>46258.479861111111</v>
      </c>
      <c r="AD63" s="11">
        <f>IFERROR(IF(MARÍTIMOS[[#This Row],[Etapa Despacho - Mitad de Carga]]="","",MARÍTIMOS[[#This Row],[Etapa Despacho - Mitad de Carga]]),"")</f>
        <v>46258.502083333333</v>
      </c>
      <c r="AE63" s="11">
        <f>IFERROR(IF(MARÍTIMOS[[#This Row],[Etapa Despacho - Fin de Carga]]="","",MARÍTIMOS[[#This Row],[Etapa Despacho - Fin de Carga]]),"")</f>
        <v>46258.529861111114</v>
      </c>
      <c r="AF63" s="2" t="str">
        <f>IFERROR(IF(MARÍTIMOS[[#This Row],[Puerto de Embarque]]="","",MARÍTIMOS[[#This Row],[Puerto de Embarque]]),"")</f>
        <v>Paita</v>
      </c>
      <c r="AG63" s="2" t="str">
        <f>IFERROR(IF(MARÍTIMOS[[#This Row],[Almacén de Ingreso]]="","",MARÍTIMOS[[#This Row],[Almacén de Ingreso]]),"")</f>
        <v>TPE</v>
      </c>
      <c r="AH63" s="11">
        <f>IFERROR(IF(MARÍTIMOS[[#This Row],[Etapa Ingreso - Cita]]="","",MARÍTIMOS[[#This Row],[Etapa Ingreso - Cita]]),"")</f>
        <v>46258.791666666664</v>
      </c>
      <c r="AI63" s="11">
        <f>IFERROR(IF(MARÍTIMOS[[#This Row],[Etapa Ingreso - Llegada]]="","",MARÍTIMOS[[#This Row],[Etapa Ingreso - Llegada]]),"")</f>
        <v>46258.765972222223</v>
      </c>
      <c r="AJ63" s="11">
        <f>IFERROR(IF(MARÍTIMOS[[#This Row],[Etapa Ingreso - Ingeso]]="","",MARÍTIMOS[[#This Row],[Etapa Ingreso - Ingeso]]),"")</f>
        <v>46258.765972222223</v>
      </c>
      <c r="AK63" s="11">
        <f>IFERROR(IF(MARÍTIMOS[[#This Row],[Etapa Ingreso - Atención]]="","",MARÍTIMOS[[#This Row],[Etapa Ingreso - Atención]]),"")</f>
        <v>46258.768750000003</v>
      </c>
      <c r="AL63" s="11">
        <f>IFERROR(IF(MARÍTIMOS[[#This Row],[Etapa Ingreso - Salida]]="","",MARÍTIMOS[[#This Row],[Etapa Ingreso - Salida]]),"")</f>
        <v>46258.774305555555</v>
      </c>
      <c r="AM63" s="2">
        <f>IFERROR(IF(MARÍTIMOS[[#This Row],[FCL]]="","",MARÍTIMOS[[#This Row],[FCL]]),"")</f>
        <v>1</v>
      </c>
      <c r="AN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63" s="4" t="str" cm="1">
        <f t="array" ref="AO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3" s="5">
        <f>IFERROR(OLDBD[[#This Row],[Llegada a packing]]-OLDBD[[#This Row],[Inicio de Ruta]],"")</f>
        <v>0.16874999999708962</v>
      </c>
      <c r="AQ63" s="6">
        <f>IFERROR(OLDBD[[#This Row],[Inicio de Ruta]]-OLDBD[[#This Row],[Salida de almacén de retiro]],"")</f>
        <v>7.013888889196096E-2</v>
      </c>
      <c r="AR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3" s="8" t="str" cm="1">
        <f t="array" ref="AS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63" s="9">
        <f>IFERROR(OLDBD[[#This Row],[Ingreso Packing]]-OLDBD[[#This Row],[Registro en Packing]],"")</f>
        <v>0</v>
      </c>
      <c r="AV63" s="9">
        <f>IFERROR(OLDBD[[#This Row],[Ingreso Packing]]-OLDBD[[#This Row],[Llegada a packing]],"")</f>
        <v>0.24861111111385981</v>
      </c>
      <c r="AW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63" s="5">
        <f>IFERROR(OLDBD[[#This Row],[Llegada Almacén de Ingreso]]-OLDBD[[#This Row],[Salida Packing]],"")</f>
        <v>0.23611111110949423</v>
      </c>
      <c r="AY63" s="4" t="str" cm="1">
        <f t="array" ref="AY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63" s="43" t="s">
        <v>173</v>
      </c>
      <c r="BB63" s="47" t="str">
        <f>IFERROR(IF(MARÍTIMOS[[#This Row],[Estatus]]="","",MARÍTIMOS[[#This Row],[Estatus]]),"")</f>
        <v>Confirmado</v>
      </c>
      <c r="BC63" s="43"/>
      <c r="BD63" s="46">
        <f>IFERROR(OLDBD[[#This Row],[Salida de almacén de retiro]]-OLDBD[[#This Row],[Ingreso Almacén de retiro]],"")</f>
        <v>4.166666665696539E-3</v>
      </c>
      <c r="BE63" s="46">
        <f>IFERROR(OLDBD[[#This Row],[Fin de Carga]]-OLDBD[[#This Row],[Inicio de Carga]],"")</f>
        <v>2.2222222221898846E-2</v>
      </c>
    </row>
    <row r="64" spans="1:57" customFormat="1" hidden="1">
      <c r="A64" s="1"/>
      <c r="B64" s="1">
        <f>IFERROR(IF(MARÍTIMOS[[#This Row],[PP]]="","",MARÍTIMOS[[#This Row],[PP]]),"")</f>
        <v>34</v>
      </c>
      <c r="C64" s="1" t="str">
        <f>IFERROR(IF(MARÍTIMOS[[#This Row],[Sede]]="","",MARÍTIMOS[[#This Row],[Sede]]),"")</f>
        <v>Olmos</v>
      </c>
      <c r="D64" s="1" t="str">
        <f>IFERROR(IF(MARÍTIMOS[[#This Row],[Instruction]]="","",MARÍTIMOS[[#This Row],[Instruction]]),"")</f>
        <v>RH-0557</v>
      </c>
      <c r="E64" s="1"/>
      <c r="F64" s="2" t="str">
        <f>IFERROR(IF(MARÍTIMOS[[#This Row],[Transportista]]="","",MARÍTIMOS[[#This Row],[Transportista]]),"")</f>
        <v>Costa Transport</v>
      </c>
      <c r="G64" s="2" t="str">
        <f>IFERROR(IF(MARÍTIMOS[[#This Row],[Tercero]]="","",MARÍTIMOS[[#This Row],[Tercero]]),"")</f>
        <v>NO</v>
      </c>
      <c r="H64" s="2" t="str">
        <f>IFERROR(IF(MARÍTIMOS[[#This Row],[Razón Social]]="","",MARÍTIMOS[[#This Row],[Razón Social]]),"")</f>
        <v>TRANSPORTES COSTA TRANSPORT EIRL</v>
      </c>
      <c r="I64" s="2">
        <f>IFERROR(IF(MARÍTIMOS[[#This Row],[RUC]]="","",MARÍTIMOS[[#This Row],[RUC]]),"")</f>
        <v>20525373551</v>
      </c>
      <c r="J64" s="2" t="str">
        <f>IFERROR(IF(MARÍTIMOS[[#This Row],[Placa Tracto]]="","",MARÍTIMOS[[#This Row],[Placa Tracto]]),"")</f>
        <v>T3I-840</v>
      </c>
      <c r="K64" s="2" t="str">
        <f>IFERROR(IF(MARÍTIMOS[[#This Row],[Placa Carreta]]="","",MARÍTIMOS[[#This Row],[Placa Carreta]]),"")</f>
        <v>D5W-991</v>
      </c>
      <c r="L64" s="44" t="str">
        <f>IFERROR(IF(MARÍTIMOS[[#This Row],[Conductor]]="","",MARÍTIMOS[[#This Row],[Conductor]]),"")</f>
        <v>CELIO CASTRO ALVAREZ</v>
      </c>
      <c r="M64" s="2" t="str">
        <f>IFERROR(IF(MARÍTIMOS[[#This Row],[Licencia]]="","",MARÍTIMOS[[#This Row],[Licencia]]),"")</f>
        <v>B03498026</v>
      </c>
      <c r="N64" s="2">
        <f>IFERROR(IF(MARÍTIMOS[[#This Row],[Número de Contacto]]="","",MARÍTIMOS[[#This Row],[Número de Contacto]]),"")</f>
        <v>958976357</v>
      </c>
      <c r="O64" s="10" t="str">
        <f>IFERROR(IF(MARÍTIMOS[[#This Row],[Booking|AWB|CRT]]="","",MARÍTIMOS[[#This Row],[Booking|AWB|CRT]]),"")</f>
        <v>BN81746</v>
      </c>
      <c r="P64" s="2" t="str">
        <f>IFERROR(IF(MARÍTIMOS[[#This Row],[Contenedor]]="","",MARÍTIMOS[[#This Row],[Contenedor]]),"")</f>
        <v>SEKU9206017</v>
      </c>
      <c r="Q64" s="2" t="str">
        <f>IFERROR(IF(MARÍTIMOS[[#This Row],[Puerto de Retiro]]="","",MARÍTIMOS[[#This Row],[Puerto de Retiro]]),"")</f>
        <v>PAITA</v>
      </c>
      <c r="R64" s="2" t="str">
        <f>IFERROR(IF(MARÍTIMOS[[#This Row],[Almacén de Retiro]]="","",MARÍTIMOS[[#This Row],[Almacén de Retiro]]),"")</f>
        <v>DPW</v>
      </c>
      <c r="S64" s="11">
        <f>IFERROR(IF(MARÍTIMOS[[#This Row],[Etapa Retiro - Cita]]="","",MARÍTIMOS[[#This Row],[Etapa Retiro - Cita]]),"")</f>
        <v>46257.833333333336</v>
      </c>
      <c r="T64" s="11">
        <f>IFERROR(IF(MARÍTIMOS[[#This Row],[Etapa Retiro - Llegada]]="","",MARÍTIMOS[[#This Row],[Etapa Retiro - Llegada]]),"")</f>
        <v>46257.813194444447</v>
      </c>
      <c r="U64" s="11">
        <f>IFERROR(IF(MARÍTIMOS[[#This Row],[Etapa Retiro - Ingreso]]="","",MARÍTIMOS[[#This Row],[Etapa Retiro - Ingreso]]),"")</f>
        <v>46257.870833333334</v>
      </c>
      <c r="V64" s="11">
        <f>IFERROR(IF(MARÍTIMOS[[#This Row],[Etapa Retiro - Atención]]="","",MARÍTIMOS[[#This Row],[Etapa Retiro - Atención]]),"")</f>
        <v>46257.874305555553</v>
      </c>
      <c r="W64" s="11">
        <f>IFERROR(IF(MARÍTIMOS[[#This Row],[Etapa Retiro - Atención]]="","",MARÍTIMOS[[#This Row],[Etapa Retiro - Atención]]),"")</f>
        <v>46257.874305555553</v>
      </c>
      <c r="X64" s="11">
        <f>IFERROR(IF(MARÍTIMOS[[#This Row],[Etapa Retiro - Inicio de Ruta]]="","",MARÍTIMOS[[#This Row],[Etapa Retiro - Inicio de Ruta]]),"")</f>
        <v>46258.099305555559</v>
      </c>
      <c r="Y64" s="11">
        <f>IFERROR(IF(MARÍTIMOS[[#This Row],[Hora de Posicionamiento]]="","",MARÍTIMOS[[#This Row],[Fecha de Carga]]+MARÍTIMOS[[#This Row],[Hora de Posicionamiento]]),"")</f>
        <v>46258.333333333336</v>
      </c>
      <c r="Z64" s="11">
        <f>IFERROR(IF(MARÍTIMOS[[#This Row],[Etapa Despacho - Llegada]]="","",MARÍTIMOS[[#This Row],[Etapa Despacho - Llegada]]),"")</f>
        <v>46258.285416666666</v>
      </c>
      <c r="AA64" s="11">
        <f>IFERROR(IF(MARÍTIMOS[[#This Row],[Etapa Despacho - Registro]]="","",MARÍTIMOS[[#This Row],[Etapa Despacho - Registro]]),"")</f>
        <v>46258.34097222222</v>
      </c>
      <c r="AB64" s="11">
        <f>IFERROR(IF(MARÍTIMOS[[#This Row],[Inspección Externa]]="","",MARÍTIMOS[[#This Row],[Inspección Externa]]),"")</f>
        <v>46258.34097222222</v>
      </c>
      <c r="AC64" s="11">
        <f>IFERROR(IF(MARÍTIMOS[[#This Row],[Etapa Despacho - Inicio de Carga]]="","",MARÍTIMOS[[#This Row],[Etapa Despacho - Inicio de Carga]]),"")</f>
        <v>46258.429861111108</v>
      </c>
      <c r="AD64" s="11">
        <f>IFERROR(IF(MARÍTIMOS[[#This Row],[Etapa Despacho - Mitad de Carga]]="","",MARÍTIMOS[[#This Row],[Etapa Despacho - Mitad de Carga]]),"")</f>
        <v>46258.563194444447</v>
      </c>
      <c r="AE64" s="11">
        <f>IFERROR(IF(MARÍTIMOS[[#This Row],[Etapa Despacho - Fin de Carga]]="","",MARÍTIMOS[[#This Row],[Etapa Despacho - Fin de Carga]]),"")</f>
        <v>46258.660416666666</v>
      </c>
      <c r="AF64" s="2" t="str">
        <f>IFERROR(IF(MARÍTIMOS[[#This Row],[Puerto de Embarque]]="","",MARÍTIMOS[[#This Row],[Puerto de Embarque]]),"")</f>
        <v>Paita</v>
      </c>
      <c r="AG64" s="2" t="str">
        <f>IFERROR(IF(MARÍTIMOS[[#This Row],[Almacén de Ingreso]]="","",MARÍTIMOS[[#This Row],[Almacén de Ingreso]]),"")</f>
        <v>TPE</v>
      </c>
      <c r="AH64" s="11">
        <f>IFERROR(IF(MARÍTIMOS[[#This Row],[Etapa Ingreso - Cita]]="","",MARÍTIMOS[[#This Row],[Etapa Ingreso - Cita]]),"")</f>
        <v>46259</v>
      </c>
      <c r="AI64" s="11">
        <f>IFERROR(IF(MARÍTIMOS[[#This Row],[Etapa Ingreso - Llegada]]="","",MARÍTIMOS[[#This Row],[Etapa Ingreso - Llegada]]),"")</f>
        <v>46258.965277777781</v>
      </c>
      <c r="AJ64" s="11">
        <f>IFERROR(IF(MARÍTIMOS[[#This Row],[Etapa Ingreso - Ingeso]]="","",MARÍTIMOS[[#This Row],[Etapa Ingreso - Ingeso]]),"")</f>
        <v>46258.966666666667</v>
      </c>
      <c r="AK64" s="11">
        <f>IFERROR(IF(MARÍTIMOS[[#This Row],[Etapa Ingreso - Atención]]="","",MARÍTIMOS[[#This Row],[Etapa Ingreso - Atención]]),"")</f>
        <v>46258.970833333333</v>
      </c>
      <c r="AL64" s="11">
        <f>IFERROR(IF(MARÍTIMOS[[#This Row],[Etapa Ingreso - Salida]]="","",MARÍTIMOS[[#This Row],[Etapa Ingreso - Salida]]),"")</f>
        <v>46258.980555555558</v>
      </c>
      <c r="AM64" s="2">
        <f>IFERROR(IF(MARÍTIMOS[[#This Row],[FCL]]="","",MARÍTIMOS[[#This Row],[FCL]]),"")</f>
        <v>1</v>
      </c>
      <c r="AN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4" s="4" t="str" cm="1">
        <f t="array" ref="AO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4" s="5">
        <f>IFERROR(OLDBD[[#This Row],[Llegada a packing]]-OLDBD[[#This Row],[Inicio de Ruta]],"")</f>
        <v>0.18611111110658385</v>
      </c>
      <c r="AQ64" s="6">
        <f>IFERROR(OLDBD[[#This Row],[Inicio de Ruta]]-OLDBD[[#This Row],[Salida de almacén de retiro]],"")</f>
        <v>0.22500000000582077</v>
      </c>
      <c r="AR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4" s="8" t="str" cm="1">
        <f t="array" ref="AS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64" s="9">
        <f>IFERROR(OLDBD[[#This Row],[Ingreso Packing]]-OLDBD[[#This Row],[Registro en Packing]],"")</f>
        <v>0</v>
      </c>
      <c r="AV64" s="9">
        <f>IFERROR(OLDBD[[#This Row],[Ingreso Packing]]-OLDBD[[#This Row],[Llegada a packing]],"")</f>
        <v>5.5555555554747116E-2</v>
      </c>
      <c r="AW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64" s="5">
        <f>IFERROR(OLDBD[[#This Row],[Llegada Almacén de Ingreso]]-OLDBD[[#This Row],[Salida Packing]],"")</f>
        <v>0.304861111115315</v>
      </c>
      <c r="AY64" s="4" t="str" cm="1">
        <f t="array" ref="AY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64" s="43" t="s">
        <v>173</v>
      </c>
      <c r="BB64" s="47" t="str">
        <f>IFERROR(IF(MARÍTIMOS[[#This Row],[Estatus]]="","",MARÍTIMOS[[#This Row],[Estatus]]),"")</f>
        <v>Confirmado</v>
      </c>
      <c r="BC64" s="43"/>
      <c r="BD64" s="46">
        <f>IFERROR(OLDBD[[#This Row],[Salida de almacén de retiro]]-OLDBD[[#This Row],[Ingreso Almacén de retiro]],"")</f>
        <v>3.4722222189884633E-3</v>
      </c>
      <c r="BE64" s="46">
        <f>IFERROR(OLDBD[[#This Row],[Fin de Carga]]-OLDBD[[#This Row],[Inicio de Carga]],"")</f>
        <v>0.13333333333866904</v>
      </c>
    </row>
    <row r="65" spans="1:57" customFormat="1" hidden="1">
      <c r="A65" s="1"/>
      <c r="B65" s="1">
        <f>IFERROR(IF(MARÍTIMOS[[#This Row],[PP]]="","",MARÍTIMOS[[#This Row],[PP]]),"")</f>
        <v>34</v>
      </c>
      <c r="C65" s="1" t="str">
        <f>IFERROR(IF(MARÍTIMOS[[#This Row],[Sede]]="","",MARÍTIMOS[[#This Row],[Sede]]),"")</f>
        <v>Olmos</v>
      </c>
      <c r="D65" s="1" t="str">
        <f>IFERROR(IF(MARÍTIMOS[[#This Row],[Instruction]]="","",MARÍTIMOS[[#This Row],[Instruction]]),"")</f>
        <v>RH-0558</v>
      </c>
      <c r="E65" s="1"/>
      <c r="F65" s="2" t="str">
        <f>IFERROR(IF(MARÍTIMOS[[#This Row],[Transportista]]="","",MARÍTIMOS[[#This Row],[Transportista]]),"")</f>
        <v>Costa Transport</v>
      </c>
      <c r="G65" s="2" t="str">
        <f>IFERROR(IF(MARÍTIMOS[[#This Row],[Tercero]]="","",MARÍTIMOS[[#This Row],[Tercero]]),"")</f>
        <v>NO</v>
      </c>
      <c r="H65" s="2" t="str">
        <f>IFERROR(IF(MARÍTIMOS[[#This Row],[Razón Social]]="","",MARÍTIMOS[[#This Row],[Razón Social]]),"")</f>
        <v>TRANSPORTES COSTA TRANSPORT EIRL</v>
      </c>
      <c r="I65" s="2">
        <f>IFERROR(IF(MARÍTIMOS[[#This Row],[RUC]]="","",MARÍTIMOS[[#This Row],[RUC]]),"")</f>
        <v>20525373551</v>
      </c>
      <c r="J65" s="2" t="str">
        <f>IFERROR(IF(MARÍTIMOS[[#This Row],[Placa Tracto]]="","",MARÍTIMOS[[#This Row],[Placa Tracto]]),"")</f>
        <v>AVK-728</v>
      </c>
      <c r="K65" s="2" t="str">
        <f>IFERROR(IF(MARÍTIMOS[[#This Row],[Placa Carreta]]="","",MARÍTIMOS[[#This Row],[Placa Carreta]]),"")</f>
        <v>F9S-991</v>
      </c>
      <c r="L65" s="44" t="str">
        <f>IFERROR(IF(MARÍTIMOS[[#This Row],[Conductor]]="","",MARÍTIMOS[[#This Row],[Conductor]]),"")</f>
        <v>NOE VICTORIO NOE GARCIA</v>
      </c>
      <c r="M65" s="2" t="str">
        <f>IFERROR(IF(MARÍTIMOS[[#This Row],[Licencia]]="","",MARÍTIMOS[[#This Row],[Licencia]]),"")</f>
        <v>B42334233</v>
      </c>
      <c r="N65" s="2">
        <f>IFERROR(IF(MARÍTIMOS[[#This Row],[Número de Contacto]]="","",MARÍTIMOS[[#This Row],[Número de Contacto]]),"")</f>
        <v>998230850</v>
      </c>
      <c r="O65" s="10" t="str">
        <f>IFERROR(IF(MARÍTIMOS[[#This Row],[Booking|AWB|CRT]]="","",MARÍTIMOS[[#This Row],[Booking|AWB|CRT]]),"")</f>
        <v>BN81747 </v>
      </c>
      <c r="P65" s="2" t="str">
        <f>IFERROR(IF(MARÍTIMOS[[#This Row],[Contenedor]]="","",MARÍTIMOS[[#This Row],[Contenedor]]),"")</f>
        <v>TEMU9544905</v>
      </c>
      <c r="Q65" s="2" t="str">
        <f>IFERROR(IF(MARÍTIMOS[[#This Row],[Puerto de Retiro]]="","",MARÍTIMOS[[#This Row],[Puerto de Retiro]]),"")</f>
        <v>PAITA</v>
      </c>
      <c r="R65" s="2" t="str">
        <f>IFERROR(IF(MARÍTIMOS[[#This Row],[Almacén de Retiro]]="","",MARÍTIMOS[[#This Row],[Almacén de Retiro]]),"")</f>
        <v>DPW</v>
      </c>
      <c r="S65" s="11">
        <f>IFERROR(IF(MARÍTIMOS[[#This Row],[Etapa Retiro - Cita]]="","",MARÍTIMOS[[#This Row],[Etapa Retiro - Cita]]),"")</f>
        <v>46257.833333333336</v>
      </c>
      <c r="T65" s="11">
        <f>IFERROR(IF(MARÍTIMOS[[#This Row],[Etapa Retiro - Llegada]]="","",MARÍTIMOS[[#This Row],[Etapa Retiro - Llegada]]),"")</f>
        <v>46257.84375</v>
      </c>
      <c r="U65" s="11">
        <f>IFERROR(IF(MARÍTIMOS[[#This Row],[Etapa Retiro - Ingreso]]="","",MARÍTIMOS[[#This Row],[Etapa Retiro - Ingreso]]),"")</f>
        <v>46257.867361111108</v>
      </c>
      <c r="V65" s="11">
        <f>IFERROR(IF(MARÍTIMOS[[#This Row],[Etapa Retiro - Atención]]="","",MARÍTIMOS[[#This Row],[Etapa Retiro - Atención]]),"")</f>
        <v>46257.873611111114</v>
      </c>
      <c r="W65" s="11">
        <f>IFERROR(IF(MARÍTIMOS[[#This Row],[Etapa Retiro - Atención]]="","",MARÍTIMOS[[#This Row],[Etapa Retiro - Atención]]),"")</f>
        <v>46257.873611111114</v>
      </c>
      <c r="X65" s="11">
        <f>IFERROR(IF(MARÍTIMOS[[#This Row],[Etapa Retiro - Inicio de Ruta]]="","",MARÍTIMOS[[#This Row],[Etapa Retiro - Inicio de Ruta]]),"")</f>
        <v>46258.136805555558</v>
      </c>
      <c r="Y65" s="11">
        <f>IFERROR(IF(MARÍTIMOS[[#This Row],[Hora de Posicionamiento]]="","",MARÍTIMOS[[#This Row],[Fecha de Carga]]+MARÍTIMOS[[#This Row],[Hora de Posicionamiento]]),"")</f>
        <v>46258.416666666664</v>
      </c>
      <c r="Z65" s="11">
        <f>IFERROR(IF(MARÍTIMOS[[#This Row],[Etapa Despacho - Llegada]]="","",MARÍTIMOS[[#This Row],[Etapa Despacho - Llegada]]),"")</f>
        <v>46258.285416666666</v>
      </c>
      <c r="AA65" s="11">
        <f>IFERROR(IF(MARÍTIMOS[[#This Row],[Etapa Despacho - Registro]]="","",MARÍTIMOS[[#This Row],[Etapa Despacho - Registro]]),"")</f>
        <v>46258.361111111109</v>
      </c>
      <c r="AB65" s="11">
        <f>IFERROR(IF(MARÍTIMOS[[#This Row],[Inspección Externa]]="","",MARÍTIMOS[[#This Row],[Inspección Externa]]),"")</f>
        <v>46258.375</v>
      </c>
      <c r="AC65" s="11">
        <f>IFERROR(IF(MARÍTIMOS[[#This Row],[Etapa Despacho - Inicio de Carga]]="","",MARÍTIMOS[[#This Row],[Etapa Despacho - Inicio de Carga]]),"")</f>
        <v>46258.599305555559</v>
      </c>
      <c r="AD65" s="11">
        <f>IFERROR(IF(MARÍTIMOS[[#This Row],[Etapa Despacho - Mitad de Carga]]="","",MARÍTIMOS[[#This Row],[Etapa Despacho - Mitad de Carga]]),"")</f>
        <v>46258.615277777775</v>
      </c>
      <c r="AE65" s="11">
        <f>IFERROR(IF(MARÍTIMOS[[#This Row],[Etapa Despacho - Fin de Carga]]="","",MARÍTIMOS[[#This Row],[Etapa Despacho - Fin de Carga]]),"")</f>
        <v>46258.637499999997</v>
      </c>
      <c r="AF65" s="2" t="str">
        <f>IFERROR(IF(MARÍTIMOS[[#This Row],[Puerto de Embarque]]="","",MARÍTIMOS[[#This Row],[Puerto de Embarque]]),"")</f>
        <v>Paita</v>
      </c>
      <c r="AG65" s="2" t="str">
        <f>IFERROR(IF(MARÍTIMOS[[#This Row],[Almacén de Ingreso]]="","",MARÍTIMOS[[#This Row],[Almacén de Ingreso]]),"")</f>
        <v>TPE</v>
      </c>
      <c r="AH65" s="11">
        <f>IFERROR(IF(MARÍTIMOS[[#This Row],[Etapa Ingreso - Cita]]="","",MARÍTIMOS[[#This Row],[Etapa Ingreso - Cita]]),"")</f>
        <v>46258.916666666664</v>
      </c>
      <c r="AI65" s="11">
        <f>IFERROR(IF(MARÍTIMOS[[#This Row],[Etapa Ingreso - Llegada]]="","",MARÍTIMOS[[#This Row],[Etapa Ingreso - Llegada]]),"")</f>
        <v>46258.902083333334</v>
      </c>
      <c r="AJ65" s="11">
        <f>IFERROR(IF(MARÍTIMOS[[#This Row],[Etapa Ingreso - Ingeso]]="","",MARÍTIMOS[[#This Row],[Etapa Ingreso - Ingeso]]),"")</f>
        <v>46258.90347222222</v>
      </c>
      <c r="AK65" s="11">
        <f>IFERROR(IF(MARÍTIMOS[[#This Row],[Etapa Ingreso - Atención]]="","",MARÍTIMOS[[#This Row],[Etapa Ingreso - Atención]]),"")</f>
        <v>46258.920138888891</v>
      </c>
      <c r="AL65" s="11">
        <f>IFERROR(IF(MARÍTIMOS[[#This Row],[Etapa Ingreso - Salida]]="","",MARÍTIMOS[[#This Row],[Etapa Ingreso - Salida]]),"")</f>
        <v>46258.924305555556</v>
      </c>
      <c r="AM65" s="2">
        <f>IFERROR(IF(MARÍTIMOS[[#This Row],[FCL]]="","",MARÍTIMOS[[#This Row],[FCL]]),"")</f>
        <v>1</v>
      </c>
      <c r="AN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5" s="4" t="str" cm="1">
        <f t="array" ref="AO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5" s="5">
        <f>IFERROR(OLDBD[[#This Row],[Llegada a packing]]-OLDBD[[#This Row],[Inicio de Ruta]],"")</f>
        <v>0.14861111110803904</v>
      </c>
      <c r="AQ65" s="6">
        <f>IFERROR(OLDBD[[#This Row],[Inicio de Ruta]]-OLDBD[[#This Row],[Salida de almacén de retiro]],"")</f>
        <v>0.26319444444379769</v>
      </c>
      <c r="AR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5" s="8" t="str" cm="1">
        <f t="array" ref="AS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65" s="9">
        <f>IFERROR(OLDBD[[#This Row],[Ingreso Packing]]-OLDBD[[#This Row],[Registro en Packing]],"")</f>
        <v>1.3888888890505768E-2</v>
      </c>
      <c r="AV65" s="9">
        <f>IFERROR(OLDBD[[#This Row],[Ingreso Packing]]-OLDBD[[#This Row],[Llegada a packing]],"")</f>
        <v>8.9583333334303461E-2</v>
      </c>
      <c r="AW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65" s="5">
        <f>IFERROR(OLDBD[[#This Row],[Llegada Almacén de Ingreso]]-OLDBD[[#This Row],[Salida Packing]],"")</f>
        <v>0.26458333333721384</v>
      </c>
      <c r="AY65" s="4" t="str" cm="1">
        <f t="array" ref="AY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65" s="43" t="s">
        <v>173</v>
      </c>
      <c r="BB65" s="47" t="str">
        <f>IFERROR(IF(MARÍTIMOS[[#This Row],[Estatus]]="","",MARÍTIMOS[[#This Row],[Estatus]]),"")</f>
        <v>Confirmado</v>
      </c>
      <c r="BC65" s="43"/>
      <c r="BD65" s="46">
        <f>IFERROR(OLDBD[[#This Row],[Salida de almacén de retiro]]-OLDBD[[#This Row],[Ingreso Almacén de retiro]],"")</f>
        <v>6.2500000058207661E-3</v>
      </c>
      <c r="BE65" s="46">
        <f>IFERROR(OLDBD[[#This Row],[Fin de Carga]]-OLDBD[[#This Row],[Inicio de Carga]],"")</f>
        <v>1.597222221607808E-2</v>
      </c>
    </row>
    <row r="66" spans="1:57" customFormat="1" hidden="1">
      <c r="A66" s="1"/>
      <c r="B66" s="1">
        <f>IFERROR(IF(MARÍTIMOS[[#This Row],[PP]]="","",MARÍTIMOS[[#This Row],[PP]]),"")</f>
        <v>34</v>
      </c>
      <c r="C66" s="1" t="str">
        <f>IFERROR(IF(MARÍTIMOS[[#This Row],[Sede]]="","",MARÍTIMOS[[#This Row],[Sede]]),"")</f>
        <v>Olmos</v>
      </c>
      <c r="D66" s="1" t="str">
        <f>IFERROR(IF(MARÍTIMOS[[#This Row],[Instruction]]="","",MARÍTIMOS[[#This Row],[Instruction]]),"")</f>
        <v>RH-0563</v>
      </c>
      <c r="E66" s="1"/>
      <c r="F66" s="2" t="str">
        <f>IFERROR(IF(MARÍTIMOS[[#This Row],[Transportista]]="","",MARÍTIMOS[[#This Row],[Transportista]]),"")</f>
        <v>Costa Transport</v>
      </c>
      <c r="G66" s="2" t="str">
        <f>IFERROR(IF(MARÍTIMOS[[#This Row],[Tercero]]="","",MARÍTIMOS[[#This Row],[Tercero]]),"")</f>
        <v>NO</v>
      </c>
      <c r="H66" s="2" t="str">
        <f>IFERROR(IF(MARÍTIMOS[[#This Row],[Razón Social]]="","",MARÍTIMOS[[#This Row],[Razón Social]]),"")</f>
        <v>TRANSPORTES COSTA TRANSPORT EIRL</v>
      </c>
      <c r="I66" s="2">
        <f>IFERROR(IF(MARÍTIMOS[[#This Row],[RUC]]="","",MARÍTIMOS[[#This Row],[RUC]]),"")</f>
        <v>20525373551</v>
      </c>
      <c r="J66" s="2" t="str">
        <f>IFERROR(IF(MARÍTIMOS[[#This Row],[Placa Tracto]]="","",MARÍTIMOS[[#This Row],[Placa Tracto]]),"")</f>
        <v>T4P-940</v>
      </c>
      <c r="K66" s="2" t="str">
        <f>IFERROR(IF(MARÍTIMOS[[#This Row],[Placa Carreta]]="","",MARÍTIMOS[[#This Row],[Placa Carreta]]),"")</f>
        <v>A8N-987</v>
      </c>
      <c r="L66" s="44" t="str">
        <f>IFERROR(IF(MARÍTIMOS[[#This Row],[Conductor]]="","",MARÍTIMOS[[#This Row],[Conductor]]),"")</f>
        <v>ARMANDO SAAVEDRA CALDERON</v>
      </c>
      <c r="M66" s="2" t="str">
        <f>IFERROR(IF(MARÍTIMOS[[#This Row],[Licencia]]="","",MARÍTIMOS[[#This Row],[Licencia]]),"")</f>
        <v>B75606898</v>
      </c>
      <c r="N66" s="2">
        <f>IFERROR(IF(MARÍTIMOS[[#This Row],[Número de Contacto]]="","",MARÍTIMOS[[#This Row],[Número de Contacto]]),"")</f>
        <v>929327939</v>
      </c>
      <c r="O66" s="10" t="str">
        <f>IFERROR(IF(MARÍTIMOS[[#This Row],[Booking|AWB|CRT]]="","",MARÍTIMOS[[#This Row],[Booking|AWB|CRT]]),"")</f>
        <v>PER9193555A</v>
      </c>
      <c r="P66" s="2" t="str">
        <f>IFERROR(IF(MARÍTIMOS[[#This Row],[Contenedor]]="","",MARÍTIMOS[[#This Row],[Contenedor]]),"")</f>
        <v>CAAU408318-9</v>
      </c>
      <c r="Q66" s="2" t="str">
        <f>IFERROR(IF(MARÍTIMOS[[#This Row],[Puerto de Retiro]]="","",MARÍTIMOS[[#This Row],[Puerto de Retiro]]),"")</f>
        <v>PAITA</v>
      </c>
      <c r="R66" s="2" t="str">
        <f>IFERROR(IF(MARÍTIMOS[[#This Row],[Almacén de Retiro]]="","",MARÍTIMOS[[#This Row],[Almacén de Retiro]]),"")</f>
        <v>DPW</v>
      </c>
      <c r="S66" s="11">
        <f>IFERROR(IF(MARÍTIMOS[[#This Row],[Etapa Retiro - Cita]]="","",MARÍTIMOS[[#This Row],[Etapa Retiro - Cita]]),"")</f>
        <v>46258.583333333336</v>
      </c>
      <c r="T66" s="11">
        <f>IFERROR(IF(MARÍTIMOS[[#This Row],[Etapa Retiro - Llegada]]="","",MARÍTIMOS[[#This Row],[Etapa Retiro - Llegada]]),"")</f>
        <v>46258.572222222225</v>
      </c>
      <c r="U66" s="11">
        <f>IFERROR(IF(MARÍTIMOS[[#This Row],[Etapa Retiro - Ingreso]]="","",MARÍTIMOS[[#This Row],[Etapa Retiro - Ingreso]]),"")</f>
        <v>46258.628472222219</v>
      </c>
      <c r="V66" s="11">
        <f>IFERROR(IF(MARÍTIMOS[[#This Row],[Etapa Retiro - Atención]]="","",MARÍTIMOS[[#This Row],[Etapa Retiro - Atención]]),"")</f>
        <v>46258.640972222223</v>
      </c>
      <c r="W66" s="11">
        <f>IFERROR(IF(MARÍTIMOS[[#This Row],[Etapa Retiro - Atención]]="","",MARÍTIMOS[[#This Row],[Etapa Retiro - Atención]]),"")</f>
        <v>46258.640972222223</v>
      </c>
      <c r="X66" s="11">
        <f>IFERROR(IF(MARÍTIMOS[[#This Row],[Etapa Retiro - Inicio de Ruta]]="","",MARÍTIMOS[[#This Row],[Etapa Retiro - Inicio de Ruta]]),"")</f>
        <v>46258.708333333336</v>
      </c>
      <c r="Y66" s="11">
        <f>IFERROR(IF(MARÍTIMOS[[#This Row],[Hora de Posicionamiento]]="","",MARÍTIMOS[[#This Row],[Fecha de Carga]]+MARÍTIMOS[[#This Row],[Hora de Posicionamiento]]),"")</f>
        <v>46259.333333333336</v>
      </c>
      <c r="Z66" s="11">
        <f>IFERROR(IF(MARÍTIMOS[[#This Row],[Etapa Despacho - Llegada]]="","",MARÍTIMOS[[#This Row],[Etapa Despacho - Llegada]]),"")</f>
        <v>46258.902777777781</v>
      </c>
      <c r="AA66" s="11">
        <f>IFERROR(IF(MARÍTIMOS[[#This Row],[Etapa Despacho - Registro]]="","",MARÍTIMOS[[#This Row],[Etapa Despacho - Registro]]),"")</f>
        <v>46259.404166666667</v>
      </c>
      <c r="AB66" s="11">
        <f>IFERROR(IF(MARÍTIMOS[[#This Row],[Inspección Externa]]="","",MARÍTIMOS[[#This Row],[Inspección Externa]]),"")</f>
        <v>46259.406944444447</v>
      </c>
      <c r="AC66" s="11">
        <f>IFERROR(IF(MARÍTIMOS[[#This Row],[Etapa Despacho - Inicio de Carga]]="","",MARÍTIMOS[[#This Row],[Etapa Despacho - Inicio de Carga]]),"")</f>
        <v>46259.520833333336</v>
      </c>
      <c r="AD66" s="11">
        <f>IFERROR(IF(MARÍTIMOS[[#This Row],[Etapa Despacho - Mitad de Carga]]="","",MARÍTIMOS[[#This Row],[Etapa Despacho - Mitad de Carga]]),"")</f>
        <v>46259.53125</v>
      </c>
      <c r="AE66" s="11">
        <f>IFERROR(IF(MARÍTIMOS[[#This Row],[Etapa Despacho - Fin de Carga]]="","",MARÍTIMOS[[#This Row],[Etapa Despacho - Fin de Carga]]),"")</f>
        <v>46259.547222222223</v>
      </c>
      <c r="AF66" s="2" t="str">
        <f>IFERROR(IF(MARÍTIMOS[[#This Row],[Puerto de Embarque]]="","",MARÍTIMOS[[#This Row],[Puerto de Embarque]]),"")</f>
        <v>Paita</v>
      </c>
      <c r="AG66" s="2" t="str">
        <f>IFERROR(IF(MARÍTIMOS[[#This Row],[Almacén de Ingreso]]="","",MARÍTIMOS[[#This Row],[Almacén de Ingreso]]),"")</f>
        <v>TPE</v>
      </c>
      <c r="AH66" s="11">
        <f>IFERROR(IF(MARÍTIMOS[[#This Row],[Etapa Ingreso - Cita]]="","",MARÍTIMOS[[#This Row],[Etapa Ingreso - Cita]]),"")</f>
        <v>46259.833333333336</v>
      </c>
      <c r="AI66" s="11">
        <f>IFERROR(IF(MARÍTIMOS[[#This Row],[Etapa Ingreso - Llegada]]="","",MARÍTIMOS[[#This Row],[Etapa Ingreso - Llegada]]),"")</f>
        <v>46259.793749999997</v>
      </c>
      <c r="AJ66" s="11">
        <f>IFERROR(IF(MARÍTIMOS[[#This Row],[Etapa Ingreso - Ingeso]]="","",MARÍTIMOS[[#This Row],[Etapa Ingreso - Ingeso]]),"")</f>
        <v>46259.796527777777</v>
      </c>
      <c r="AK66" s="11">
        <f>IFERROR(IF(MARÍTIMOS[[#This Row],[Etapa Ingreso - Atención]]="","",MARÍTIMOS[[#This Row],[Etapa Ingreso - Atención]]),"")</f>
        <v>46259.805555555555</v>
      </c>
      <c r="AL66" s="11">
        <f>IFERROR(IF(MARÍTIMOS[[#This Row],[Etapa Ingreso - Salida]]="","",MARÍTIMOS[[#This Row],[Etapa Ingreso - Salida]]),"")</f>
        <v>46259.811805555553</v>
      </c>
      <c r="AM66" s="2">
        <f>IFERROR(IF(MARÍTIMOS[[#This Row],[FCL]]="","",MARÍTIMOS[[#This Row],[FCL]]),"")</f>
        <v>1</v>
      </c>
      <c r="AN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6" s="4" t="str" cm="1">
        <f t="array" ref="AO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6" s="5">
        <f>IFERROR(OLDBD[[#This Row],[Llegada a packing]]-OLDBD[[#This Row],[Inicio de Ruta]],"")</f>
        <v>0.19444444444525288</v>
      </c>
      <c r="AQ66" s="6">
        <f>IFERROR(OLDBD[[#This Row],[Inicio de Ruta]]-OLDBD[[#This Row],[Salida de almacén de retiro]],"")</f>
        <v>6.7361111112404615E-2</v>
      </c>
      <c r="AR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6" s="8" t="str" cm="1">
        <f t="array" ref="AS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66" s="9">
        <f>IFERROR(OLDBD[[#This Row],[Ingreso Packing]]-OLDBD[[#This Row],[Registro en Packing]],"")</f>
        <v>2.7777777795563452E-3</v>
      </c>
      <c r="AV66" s="9">
        <f>IFERROR(OLDBD[[#This Row],[Ingreso Packing]]-OLDBD[[#This Row],[Llegada a packing]],"")</f>
        <v>0.50416666666569654</v>
      </c>
      <c r="AW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66" s="5">
        <f>IFERROR(OLDBD[[#This Row],[Llegada Almacén de Ingreso]]-OLDBD[[#This Row],[Salida Packing]],"")</f>
        <v>0.24652777777373558</v>
      </c>
      <c r="AY66" s="4" t="str" cm="1">
        <f t="array" ref="AY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66" s="43" t="s">
        <v>173</v>
      </c>
      <c r="BB66" s="47" t="str">
        <f>IFERROR(IF(MARÍTIMOS[[#This Row],[Estatus]]="","",MARÍTIMOS[[#This Row],[Estatus]]),"")</f>
        <v>Confirmado</v>
      </c>
      <c r="BC66" s="43"/>
      <c r="BD66" s="46">
        <f>IFERROR(OLDBD[[#This Row],[Salida de almacén de retiro]]-OLDBD[[#This Row],[Ingreso Almacén de retiro]],"")</f>
        <v>1.2500000004365575E-2</v>
      </c>
      <c r="BE66" s="46">
        <f>IFERROR(OLDBD[[#This Row],[Fin de Carga]]-OLDBD[[#This Row],[Inicio de Carga]],"")</f>
        <v>1.0416666664241347E-2</v>
      </c>
    </row>
    <row r="67" spans="1:57" customFormat="1" hidden="1">
      <c r="A67" s="1"/>
      <c r="B67" s="1">
        <f>IFERROR(IF(MARÍTIMOS[[#This Row],[PP]]="","",MARÍTIMOS[[#This Row],[PP]]),"")</f>
        <v>35</v>
      </c>
      <c r="C67" s="1" t="str">
        <f>IFERROR(IF(MARÍTIMOS[[#This Row],[Sede]]="","",MARÍTIMOS[[#This Row],[Sede]]),"")</f>
        <v>Olmos</v>
      </c>
      <c r="D67" s="1" t="str">
        <f>IFERROR(IF(MARÍTIMOS[[#This Row],[Instruction]]="","",MARÍTIMOS[[#This Row],[Instruction]]),"")</f>
        <v>RH-0618</v>
      </c>
      <c r="E67" s="1"/>
      <c r="F67" s="2" t="str">
        <f>IFERROR(IF(MARÍTIMOS[[#This Row],[Transportista]]="","",MARÍTIMOS[[#This Row],[Transportista]]),"")</f>
        <v>Costa Transport</v>
      </c>
      <c r="G67" s="2" t="str">
        <f>IFERROR(IF(MARÍTIMOS[[#This Row],[Tercero]]="","",MARÍTIMOS[[#This Row],[Tercero]]),"")</f>
        <v>NO</v>
      </c>
      <c r="H67" s="2" t="str">
        <f>IFERROR(IF(MARÍTIMOS[[#This Row],[Razón Social]]="","",MARÍTIMOS[[#This Row],[Razón Social]]),"")</f>
        <v>TRANSPORTES COSTA TRANSPORT EIRL</v>
      </c>
      <c r="I67" s="2">
        <f>IFERROR(IF(MARÍTIMOS[[#This Row],[RUC]]="","",MARÍTIMOS[[#This Row],[RUC]]),"")</f>
        <v>20525373551</v>
      </c>
      <c r="J67" s="2" t="str">
        <f>IFERROR(IF(MARÍTIMOS[[#This Row],[Placa Tracto]]="","",MARÍTIMOS[[#This Row],[Placa Tracto]]),"")</f>
        <v>TFY-879</v>
      </c>
      <c r="K67" s="2" t="str">
        <f>IFERROR(IF(MARÍTIMOS[[#This Row],[Placa Carreta]]="","",MARÍTIMOS[[#This Row],[Placa Carreta]]),"")</f>
        <v>A1G-973</v>
      </c>
      <c r="L67" s="44" t="str">
        <f>IFERROR(IF(MARÍTIMOS[[#This Row],[Conductor]]="","",MARÍTIMOS[[#This Row],[Conductor]]),"")</f>
        <v>JORGE LUIS AZO RUIZ</v>
      </c>
      <c r="M67" s="2" t="str">
        <f>IFERROR(IF(MARÍTIMOS[[#This Row],[Licencia]]="","",MARÍTIMOS[[#This Row],[Licencia]]),"")</f>
        <v>B03874735</v>
      </c>
      <c r="N67" s="2">
        <f>IFERROR(IF(MARÍTIMOS[[#This Row],[Número de Contacto]]="","",MARÍTIMOS[[#This Row],[Número de Contacto]]),"")</f>
        <v>998231122</v>
      </c>
      <c r="O67" s="10" t="str">
        <f>IFERROR(IF(MARÍTIMOS[[#This Row],[Booking|AWB|CRT]]="","",MARÍTIMOS[[#This Row],[Booking|AWB|CRT]]),"")</f>
        <v>ZIMULMA826982</v>
      </c>
      <c r="P67" s="2" t="str">
        <f>IFERROR(IF(MARÍTIMOS[[#This Row],[Contenedor]]="","",MARÍTIMOS[[#This Row],[Contenedor]]),"")</f>
        <v>ZMOU885335-0</v>
      </c>
      <c r="Q67" s="2" t="str">
        <f>IFERROR(IF(MARÍTIMOS[[#This Row],[Puerto de Retiro]]="","",MARÍTIMOS[[#This Row],[Puerto de Retiro]]),"")</f>
        <v>PAITA</v>
      </c>
      <c r="R67" s="2" t="str">
        <f>IFERROR(IF(MARÍTIMOS[[#This Row],[Almacén de Retiro]]="","",MARÍTIMOS[[#This Row],[Almacén de Retiro]]),"")</f>
        <v>MACROMAR</v>
      </c>
      <c r="S67" s="11">
        <f>IFERROR(IF(MARÍTIMOS[[#This Row],[Etapa Retiro - Cita]]="","",MARÍTIMOS[[#This Row],[Etapa Retiro - Cita]]),"")</f>
        <v>46259.75</v>
      </c>
      <c r="T67" s="11">
        <f>IFERROR(IF(MARÍTIMOS[[#This Row],[Etapa Retiro - Llegada]]="","",MARÍTIMOS[[#This Row],[Etapa Retiro - Llegada]]),"")</f>
        <v>46259.73541666667</v>
      </c>
      <c r="U67" s="11">
        <f>IFERROR(IF(MARÍTIMOS[[#This Row],[Etapa Retiro - Ingreso]]="","",MARÍTIMOS[[#This Row],[Etapa Retiro - Ingreso]]),"")</f>
        <v>46259.704861111109</v>
      </c>
      <c r="V67" s="11">
        <f>IFERROR(IF(MARÍTIMOS[[#This Row],[Etapa Retiro - Atención]]="","",MARÍTIMOS[[#This Row],[Etapa Retiro - Atención]]),"")</f>
        <v>46259.833333333336</v>
      </c>
      <c r="W67" s="11">
        <f>IFERROR(IF(MARÍTIMOS[[#This Row],[Etapa Retiro - Atención]]="","",MARÍTIMOS[[#This Row],[Etapa Retiro - Atención]]),"")</f>
        <v>46259.833333333336</v>
      </c>
      <c r="X67" s="11">
        <f>IFERROR(IF(MARÍTIMOS[[#This Row],[Etapa Retiro - Inicio de Ruta]]="","",MARÍTIMOS[[#This Row],[Etapa Retiro - Inicio de Ruta]]),"")</f>
        <v>46259.865972222222</v>
      </c>
      <c r="Y67" s="11">
        <f>IFERROR(IF(MARÍTIMOS[[#This Row],[Hora de Posicionamiento]]="","",MARÍTIMOS[[#This Row],[Fecha de Carga]]+MARÍTIMOS[[#This Row],[Hora de Posicionamiento]]),"")</f>
        <v>46260.333333333336</v>
      </c>
      <c r="Z67" s="11">
        <f>IFERROR(IF(MARÍTIMOS[[#This Row],[Etapa Despacho - Llegada]]="","",MARÍTIMOS[[#This Row],[Etapa Despacho - Llegada]]),"")</f>
        <v>46260.053472222222</v>
      </c>
      <c r="AA67" s="11">
        <f>IFERROR(IF(MARÍTIMOS[[#This Row],[Etapa Despacho - Registro]]="","",MARÍTIMOS[[#This Row],[Etapa Despacho - Registro]]),"")</f>
        <v>46260.318055555559</v>
      </c>
      <c r="AB67" s="11">
        <f>IFERROR(IF(MARÍTIMOS[[#This Row],[Inspección Externa]]="","",MARÍTIMOS[[#This Row],[Inspección Externa]]),"")</f>
        <v>46260.319444444445</v>
      </c>
      <c r="AC67" s="11">
        <f>IFERROR(IF(MARÍTIMOS[[#This Row],[Etapa Despacho - Inicio de Carga]]="","",MARÍTIMOS[[#This Row],[Etapa Despacho - Inicio de Carga]]),"")</f>
        <v>46260.445138888892</v>
      </c>
      <c r="AD67" s="11">
        <f>IFERROR(IF(MARÍTIMOS[[#This Row],[Etapa Despacho - Mitad de Carga]]="","",MARÍTIMOS[[#This Row],[Etapa Despacho - Mitad de Carga]]),"")</f>
        <v>46260.476388888892</v>
      </c>
      <c r="AE67" s="11">
        <f>IFERROR(IF(MARÍTIMOS[[#This Row],[Etapa Despacho - Fin de Carga]]="","",MARÍTIMOS[[#This Row],[Etapa Despacho - Fin de Carga]]),"")</f>
        <v>46260.509722222225</v>
      </c>
      <c r="AF67" s="2" t="str">
        <f>IFERROR(IF(MARÍTIMOS[[#This Row],[Puerto de Embarque]]="","",MARÍTIMOS[[#This Row],[Puerto de Embarque]]),"")</f>
        <v>Paita</v>
      </c>
      <c r="AG67" s="2" t="str">
        <f>IFERROR(IF(MARÍTIMOS[[#This Row],[Almacén de Ingreso]]="","",MARÍTIMOS[[#This Row],[Almacén de Ingreso]]),"")</f>
        <v>TPE</v>
      </c>
      <c r="AH67" s="11">
        <f>IFERROR(IF(MARÍTIMOS[[#This Row],[Etapa Ingreso - Cita]]="","",MARÍTIMOS[[#This Row],[Etapa Ingreso - Cita]]),"")</f>
        <v>46260.791666666664</v>
      </c>
      <c r="AI67" s="11">
        <f>IFERROR(IF(MARÍTIMOS[[#This Row],[Etapa Ingreso - Llegada]]="","",MARÍTIMOS[[#This Row],[Etapa Ingreso - Llegada]]),"")</f>
        <v>46260.728472222225</v>
      </c>
      <c r="AJ67" s="11">
        <f>IFERROR(IF(MARÍTIMOS[[#This Row],[Etapa Ingreso - Ingeso]]="","",MARÍTIMOS[[#This Row],[Etapa Ingreso - Ingeso]]),"")</f>
        <v>46260.729166666664</v>
      </c>
      <c r="AK67" s="11">
        <f>IFERROR(IF(MARÍTIMOS[[#This Row],[Etapa Ingreso - Atención]]="","",MARÍTIMOS[[#This Row],[Etapa Ingreso - Atención]]),"")</f>
        <v>46260.731249999997</v>
      </c>
      <c r="AL67" s="11">
        <f>IFERROR(IF(MARÍTIMOS[[#This Row],[Etapa Ingreso - Salida]]="","",MARÍTIMOS[[#This Row],[Etapa Ingreso - Salida]]),"")</f>
        <v>46260.740277777775</v>
      </c>
      <c r="AM67" s="2">
        <f>IFERROR(IF(MARÍTIMOS[[#This Row],[FCL]]="","",MARÍTIMOS[[#This Row],[FCL]]),"")</f>
        <v>1</v>
      </c>
      <c r="AN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7" s="4" t="str" cm="1">
        <f t="array" ref="AO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67" s="5">
        <f>IFERROR(OLDBD[[#This Row],[Llegada a packing]]-OLDBD[[#This Row],[Inicio de Ruta]],"")</f>
        <v>0.1875</v>
      </c>
      <c r="AQ67" s="6">
        <f>IFERROR(OLDBD[[#This Row],[Inicio de Ruta]]-OLDBD[[#This Row],[Salida de almacén de retiro]],"")</f>
        <v>3.2638888886140194E-2</v>
      </c>
      <c r="AR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7" s="8" t="str" cm="1">
        <f t="array" ref="AS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67" s="9">
        <f>IFERROR(OLDBD[[#This Row],[Ingreso Packing]]-OLDBD[[#This Row],[Registro en Packing]],"")</f>
        <v>1.3888888861401938E-3</v>
      </c>
      <c r="AV67" s="9">
        <f>IFERROR(OLDBD[[#This Row],[Ingreso Packing]]-OLDBD[[#This Row],[Llegada a packing]],"")</f>
        <v>0.26597222222335404</v>
      </c>
      <c r="AW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67" s="5">
        <f>IFERROR(OLDBD[[#This Row],[Llegada Almacén de Ingreso]]-OLDBD[[#This Row],[Salida Packing]],"")</f>
        <v>0.21875</v>
      </c>
      <c r="AY67" s="4" t="str" cm="1">
        <f t="array" ref="AY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67" s="43" t="s">
        <v>173</v>
      </c>
      <c r="BB67" s="47" t="str">
        <f>IFERROR(IF(MARÍTIMOS[[#This Row],[Estatus]]="","",MARÍTIMOS[[#This Row],[Estatus]]),"")</f>
        <v>Confirmado</v>
      </c>
      <c r="BC67" s="43"/>
      <c r="BD67" s="46">
        <f>IFERROR(OLDBD[[#This Row],[Salida de almacén de retiro]]-OLDBD[[#This Row],[Ingreso Almacén de retiro]],"")</f>
        <v>0.12847222222626442</v>
      </c>
      <c r="BE67" s="46">
        <f>IFERROR(OLDBD[[#This Row],[Fin de Carga]]-OLDBD[[#This Row],[Inicio de Carga]],"")</f>
        <v>3.125E-2</v>
      </c>
    </row>
    <row r="68" spans="1:57" customFormat="1" hidden="1">
      <c r="A68" s="1"/>
      <c r="B68" s="1">
        <f>IFERROR(IF(MARÍTIMOS[[#This Row],[PP]]="","",MARÍTIMOS[[#This Row],[PP]]),"")</f>
        <v>35</v>
      </c>
      <c r="C68" s="1" t="str">
        <f>IFERROR(IF(MARÍTIMOS[[#This Row],[Sede]]="","",MARÍTIMOS[[#This Row],[Sede]]),"")</f>
        <v>Olmos</v>
      </c>
      <c r="D68" s="1" t="str">
        <f>IFERROR(IF(MARÍTIMOS[[#This Row],[Instruction]]="","",MARÍTIMOS[[#This Row],[Instruction]]),"")</f>
        <v>RH-0612</v>
      </c>
      <c r="E68" s="1"/>
      <c r="F68" s="2" t="str">
        <f>IFERROR(IF(MARÍTIMOS[[#This Row],[Transportista]]="","",MARÍTIMOS[[#This Row],[Transportista]]),"")</f>
        <v>Costa Transport</v>
      </c>
      <c r="G68" s="2" t="str">
        <f>IFERROR(IF(MARÍTIMOS[[#This Row],[Tercero]]="","",MARÍTIMOS[[#This Row],[Tercero]]),"")</f>
        <v>NO</v>
      </c>
      <c r="H68" s="2" t="str">
        <f>IFERROR(IF(MARÍTIMOS[[#This Row],[Razón Social]]="","",MARÍTIMOS[[#This Row],[Razón Social]]),"")</f>
        <v>TRANSPORTES COSTA TRANSPORT EIRL</v>
      </c>
      <c r="I68" s="2">
        <f>IFERROR(IF(MARÍTIMOS[[#This Row],[RUC]]="","",MARÍTIMOS[[#This Row],[RUC]]),"")</f>
        <v>20525373551</v>
      </c>
      <c r="J68" s="2" t="str">
        <f>IFERROR(IF(MARÍTIMOS[[#This Row],[Placa Tracto]]="","",MARÍTIMOS[[#This Row],[Placa Tracto]]),"")</f>
        <v>T3A-807</v>
      </c>
      <c r="K68" s="2" t="str">
        <f>IFERROR(IF(MARÍTIMOS[[#This Row],[Placa Carreta]]="","",MARÍTIMOS[[#This Row],[Placa Carreta]]),"")</f>
        <v>B7Q-991</v>
      </c>
      <c r="L68" s="44" t="str">
        <f>IFERROR(IF(MARÍTIMOS[[#This Row],[Conductor]]="","",MARÍTIMOS[[#This Row],[Conductor]]),"")</f>
        <v>CASTILLO MARTINEZ ALEJANDRO.</v>
      </c>
      <c r="M68" s="2" t="str">
        <f>IFERROR(IF(MARÍTIMOS[[#This Row],[Licencia]]="","",MARÍTIMOS[[#This Row],[Licencia]]),"")</f>
        <v>B02753773</v>
      </c>
      <c r="N68" s="2">
        <f>IFERROR(IF(MARÍTIMOS[[#This Row],[Número de Contacto]]="","",MARÍTIMOS[[#This Row],[Número de Contacto]]),"")</f>
        <v>998255542</v>
      </c>
      <c r="O68" s="10" t="str">
        <f>IFERROR(IF(MARÍTIMOS[[#This Row],[Booking|AWB|CRT]]="","",MARÍTIMOS[[#This Row],[Booking|AWB|CRT]]),"")</f>
        <v>MBM250067131</v>
      </c>
      <c r="P68" s="2" t="str">
        <f>IFERROR(IF(MARÍTIMOS[[#This Row],[Contenedor]]="","",MARÍTIMOS[[#This Row],[Contenedor]]),"")</f>
        <v>CAIU5584573</v>
      </c>
      <c r="Q68" s="2" t="str">
        <f>IFERROR(IF(MARÍTIMOS[[#This Row],[Puerto de Retiro]]="","",MARÍTIMOS[[#This Row],[Puerto de Retiro]]),"")</f>
        <v>PAITA</v>
      </c>
      <c r="R68" s="2" t="str">
        <f>IFERROR(IF(MARÍTIMOS[[#This Row],[Almacén de Retiro]]="","",MARÍTIMOS[[#This Row],[Almacén de Retiro]]),"")</f>
        <v>MACROMAR</v>
      </c>
      <c r="S68" s="11">
        <f>IFERROR(IF(MARÍTIMOS[[#This Row],[Etapa Retiro - Cita]]="","",MARÍTIMOS[[#This Row],[Etapa Retiro - Cita]]),"")</f>
        <v>46261.666666666664</v>
      </c>
      <c r="T68" s="11">
        <f>IFERROR(IF(MARÍTIMOS[[#This Row],[Etapa Retiro - Llegada]]="","",MARÍTIMOS[[#This Row],[Etapa Retiro - Llegada]]),"")</f>
        <v>46261.662499999999</v>
      </c>
      <c r="U68" s="11">
        <f>IFERROR(IF(MARÍTIMOS[[#This Row],[Etapa Retiro - Ingreso]]="","",MARÍTIMOS[[#This Row],[Etapa Retiro - Ingreso]]),"")</f>
        <v>46261.699305555558</v>
      </c>
      <c r="V68" s="11">
        <f>IFERROR(IF(MARÍTIMOS[[#This Row],[Etapa Retiro - Atención]]="","",MARÍTIMOS[[#This Row],[Etapa Retiro - Atención]]),"")</f>
        <v>46261.740972222222</v>
      </c>
      <c r="W68" s="11">
        <f>IFERROR(IF(MARÍTIMOS[[#This Row],[Etapa Retiro - Atención]]="","",MARÍTIMOS[[#This Row],[Etapa Retiro - Atención]]),"")</f>
        <v>46261.740972222222</v>
      </c>
      <c r="X68" s="11">
        <f>IFERROR(IF(MARÍTIMOS[[#This Row],[Etapa Retiro - Inicio de Ruta]]="","",MARÍTIMOS[[#This Row],[Etapa Retiro - Inicio de Ruta]]),"")</f>
        <v>46261.885416666664</v>
      </c>
      <c r="Y68" s="11">
        <f>IFERROR(IF(MARÍTIMOS[[#This Row],[Hora de Posicionamiento]]="","",MARÍTIMOS[[#This Row],[Fecha de Carga]]+MARÍTIMOS[[#This Row],[Hora de Posicionamiento]]),"")</f>
        <v>46262.333333333336</v>
      </c>
      <c r="Z68" s="11">
        <f>IFERROR(IF(MARÍTIMOS[[#This Row],[Etapa Despacho - Llegada]]="","",MARÍTIMOS[[#This Row],[Etapa Despacho - Llegada]]),"")</f>
        <v>46262.083333333336</v>
      </c>
      <c r="AA68" s="11">
        <f>IFERROR(IF(MARÍTIMOS[[#This Row],[Etapa Despacho - Registro]]="","",MARÍTIMOS[[#This Row],[Etapa Despacho - Registro]]),"")</f>
        <v>46262.347222222219</v>
      </c>
      <c r="AB68" s="11">
        <f>IFERROR(IF(MARÍTIMOS[[#This Row],[Inspección Externa]]="","",MARÍTIMOS[[#This Row],[Inspección Externa]]),"")</f>
        <v>46262.350694444445</v>
      </c>
      <c r="AC68" s="11">
        <f>IFERROR(IF(MARÍTIMOS[[#This Row],[Etapa Despacho - Inicio de Carga]]="","",MARÍTIMOS[[#This Row],[Etapa Despacho - Inicio de Carga]]),"")</f>
        <v>46262.481249999997</v>
      </c>
      <c r="AD68" s="11">
        <f>IFERROR(IF(MARÍTIMOS[[#This Row],[Etapa Despacho - Mitad de Carga]]="","",MARÍTIMOS[[#This Row],[Etapa Despacho - Mitad de Carga]]),"")</f>
        <v>46262.489583333336</v>
      </c>
      <c r="AE68" s="11">
        <f>IFERROR(IF(MARÍTIMOS[[#This Row],[Etapa Despacho - Fin de Carga]]="","",MARÍTIMOS[[#This Row],[Etapa Despacho - Fin de Carga]]),"")</f>
        <v>46262.497916666667</v>
      </c>
      <c r="AF68" s="2" t="str">
        <f>IFERROR(IF(MARÍTIMOS[[#This Row],[Puerto de Embarque]]="","",MARÍTIMOS[[#This Row],[Puerto de Embarque]]),"")</f>
        <v>Paita</v>
      </c>
      <c r="AG68" s="2" t="str">
        <f>IFERROR(IF(MARÍTIMOS[[#This Row],[Almacén de Ingreso]]="","",MARÍTIMOS[[#This Row],[Almacén de Ingreso]]),"")</f>
        <v>TPE</v>
      </c>
      <c r="AH68" s="11">
        <f>IFERROR(IF(MARÍTIMOS[[#This Row],[Etapa Ingreso - Cita]]="","",MARÍTIMOS[[#This Row],[Etapa Ingreso - Cita]]),"")</f>
        <v>46262.875</v>
      </c>
      <c r="AI68" s="11">
        <f>IFERROR(IF(MARÍTIMOS[[#This Row],[Etapa Ingreso - Llegada]]="","",MARÍTIMOS[[#This Row],[Etapa Ingreso - Llegada]]),"")</f>
        <v>46262.815972222219</v>
      </c>
      <c r="AJ68" s="11">
        <f>IFERROR(IF(MARÍTIMOS[[#This Row],[Etapa Ingreso - Ingeso]]="","",MARÍTIMOS[[#This Row],[Etapa Ingreso - Ingeso]]),"")</f>
        <v>46262.833333333336</v>
      </c>
      <c r="AK68" s="11">
        <f>IFERROR(IF(MARÍTIMOS[[#This Row],[Etapa Ingreso - Atención]]="","",MARÍTIMOS[[#This Row],[Etapa Ingreso - Atención]]),"")</f>
        <v>46262.838194444441</v>
      </c>
      <c r="AL68" s="11">
        <f>IFERROR(IF(MARÍTIMOS[[#This Row],[Etapa Ingreso - Salida]]="","",MARÍTIMOS[[#This Row],[Etapa Ingreso - Salida]]),"")</f>
        <v>46262.842361111114</v>
      </c>
      <c r="AM68" s="2">
        <f>IFERROR(IF(MARÍTIMOS[[#This Row],[FCL]]="","",MARÍTIMOS[[#This Row],[FCL]]),"")</f>
        <v>1</v>
      </c>
      <c r="AN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8" s="4" t="str" cm="1">
        <f t="array" ref="AO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8" s="5">
        <f>IFERROR(OLDBD[[#This Row],[Llegada a packing]]-OLDBD[[#This Row],[Inicio de Ruta]],"")</f>
        <v>0.19791666667151731</v>
      </c>
      <c r="AQ68" s="6">
        <f>IFERROR(OLDBD[[#This Row],[Inicio de Ruta]]-OLDBD[[#This Row],[Salida de almacén de retiro]],"")</f>
        <v>0.1444444444423425</v>
      </c>
      <c r="AR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8" s="8" t="str" cm="1">
        <f t="array" ref="AS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68" s="9">
        <f>IFERROR(OLDBD[[#This Row],[Ingreso Packing]]-OLDBD[[#This Row],[Registro en Packing]],"")</f>
        <v>3.4722222262644209E-3</v>
      </c>
      <c r="AV68" s="9">
        <f>IFERROR(OLDBD[[#This Row],[Ingreso Packing]]-OLDBD[[#This Row],[Llegada a packing]],"")</f>
        <v>0.26736111110949423</v>
      </c>
      <c r="AW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68" s="5">
        <f>IFERROR(OLDBD[[#This Row],[Llegada Almacén de Ingreso]]-OLDBD[[#This Row],[Salida Packing]],"")</f>
        <v>0.31805555555183673</v>
      </c>
      <c r="AY68" s="4" t="str" cm="1">
        <f t="array" ref="AY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68" s="43" t="s">
        <v>173</v>
      </c>
      <c r="BB68" s="47" t="str">
        <f>IFERROR(IF(MARÍTIMOS[[#This Row],[Estatus]]="","",MARÍTIMOS[[#This Row],[Estatus]]),"")</f>
        <v>Confirmado</v>
      </c>
      <c r="BC68" s="43"/>
      <c r="BD68" s="46">
        <f>IFERROR(OLDBD[[#This Row],[Salida de almacén de retiro]]-OLDBD[[#This Row],[Ingreso Almacén de retiro]],"")</f>
        <v>4.1666666664241347E-2</v>
      </c>
      <c r="BE68" s="46">
        <f>IFERROR(OLDBD[[#This Row],[Fin de Carga]]-OLDBD[[#This Row],[Inicio de Carga]],"")</f>
        <v>8.3333333386690356E-3</v>
      </c>
    </row>
    <row r="69" spans="1:57" customFormat="1" hidden="1">
      <c r="A69" s="1"/>
      <c r="B69" s="1">
        <f>IFERROR(IF(MARÍTIMOS[[#This Row],[PP]]="","",MARÍTIMOS[[#This Row],[PP]]),"")</f>
        <v>35</v>
      </c>
      <c r="C69" s="1" t="str">
        <f>IFERROR(IF(MARÍTIMOS[[#This Row],[Sede]]="","",MARÍTIMOS[[#This Row],[Sede]]),"")</f>
        <v>Olmos</v>
      </c>
      <c r="D69" s="1" t="str">
        <f>IFERROR(IF(MARÍTIMOS[[#This Row],[Instruction]]="","",MARÍTIMOS[[#This Row],[Instruction]]),"")</f>
        <v>RH-0614</v>
      </c>
      <c r="E69" s="1"/>
      <c r="F69" s="2" t="str">
        <f>IFERROR(IF(MARÍTIMOS[[#This Row],[Transportista]]="","",MARÍTIMOS[[#This Row],[Transportista]]),"")</f>
        <v>Costa Transport</v>
      </c>
      <c r="G69" s="2" t="str">
        <f>IFERROR(IF(MARÍTIMOS[[#This Row],[Tercero]]="","",MARÍTIMOS[[#This Row],[Tercero]]),"")</f>
        <v>NO</v>
      </c>
      <c r="H69" s="2" t="str">
        <f>IFERROR(IF(MARÍTIMOS[[#This Row],[Razón Social]]="","",MARÍTIMOS[[#This Row],[Razón Social]]),"")</f>
        <v>TRANSPORTES COSTA TRANSPORT EIRL</v>
      </c>
      <c r="I69" s="2">
        <f>IFERROR(IF(MARÍTIMOS[[#This Row],[RUC]]="","",MARÍTIMOS[[#This Row],[RUC]]),"")</f>
        <v>20525373551</v>
      </c>
      <c r="J69" s="2" t="str">
        <f>IFERROR(IF(MARÍTIMOS[[#This Row],[Placa Tracto]]="","",MARÍTIMOS[[#This Row],[Placa Tracto]]),"")</f>
        <v>B8N-713</v>
      </c>
      <c r="K69" s="2" t="str">
        <f>IFERROR(IF(MARÍTIMOS[[#This Row],[Placa Carreta]]="","",MARÍTIMOS[[#This Row],[Placa Carreta]]),"")</f>
        <v>C0Q-996</v>
      </c>
      <c r="L69" s="44" t="str">
        <f>IFERROR(IF(MARÍTIMOS[[#This Row],[Conductor]]="","",MARÍTIMOS[[#This Row],[Conductor]]),"")</f>
        <v>ALBERTO AURELIO SILVA GRADOS</v>
      </c>
      <c r="M69" s="2" t="str">
        <f>IFERROR(IF(MARÍTIMOS[[#This Row],[Licencia]]="","",MARÍTIMOS[[#This Row],[Licencia]]),"")</f>
        <v>D18162772</v>
      </c>
      <c r="N69" s="2">
        <f>IFERROR(IF(MARÍTIMOS[[#This Row],[Número de Contacto]]="","",MARÍTIMOS[[#This Row],[Número de Contacto]]),"")</f>
        <v>982380644</v>
      </c>
      <c r="O69" s="10" t="str">
        <f>IFERROR(IF(MARÍTIMOS[[#This Row],[Booking|AWB|CRT]]="","",MARÍTIMOS[[#This Row],[Booking|AWB|CRT]]),"")</f>
        <v>BN82229</v>
      </c>
      <c r="P69" s="2" t="str">
        <f>IFERROR(IF(MARÍTIMOS[[#This Row],[Contenedor]]="","",MARÍTIMOS[[#This Row],[Contenedor]]),"")</f>
        <v>SEKU9198673</v>
      </c>
      <c r="Q69" s="2" t="str">
        <f>IFERROR(IF(MARÍTIMOS[[#This Row],[Puerto de Retiro]]="","",MARÍTIMOS[[#This Row],[Puerto de Retiro]]),"")</f>
        <v>PAITA</v>
      </c>
      <c r="R69" s="2" t="str">
        <f>IFERROR(IF(MARÍTIMOS[[#This Row],[Almacén de Retiro]]="","",MARÍTIMOS[[#This Row],[Almacén de Retiro]]),"")</f>
        <v>DPW</v>
      </c>
      <c r="S69" s="11">
        <f>IFERROR(IF(MARÍTIMOS[[#This Row],[Etapa Retiro - Cita]]="","",MARÍTIMOS[[#This Row],[Etapa Retiro - Cita]]),"")</f>
        <v>46264.833333333336</v>
      </c>
      <c r="T69" s="11">
        <f>IFERROR(IF(MARÍTIMOS[[#This Row],[Etapa Retiro - Llegada]]="","",MARÍTIMOS[[#This Row],[Etapa Retiro - Llegada]]),"")</f>
        <v>46264.831944444442</v>
      </c>
      <c r="U69" s="11">
        <f>IFERROR(IF(MARÍTIMOS[[#This Row],[Etapa Retiro - Ingreso]]="","",MARÍTIMOS[[#This Row],[Etapa Retiro - Ingreso]]),"")</f>
        <v>46264.847222222219</v>
      </c>
      <c r="V69" s="11">
        <f>IFERROR(IF(MARÍTIMOS[[#This Row],[Etapa Retiro - Atención]]="","",MARÍTIMOS[[#This Row],[Etapa Retiro - Atención]]),"")</f>
        <v>46264.854861111111</v>
      </c>
      <c r="W69" s="11">
        <f>IFERROR(IF(MARÍTIMOS[[#This Row],[Etapa Retiro - Atención]]="","",MARÍTIMOS[[#This Row],[Etapa Retiro - Atención]]),"")</f>
        <v>46264.854861111111</v>
      </c>
      <c r="X69" s="11">
        <f>IFERROR(IF(MARÍTIMOS[[#This Row],[Etapa Retiro - Inicio de Ruta]]="","",MARÍTIMOS[[#This Row],[Etapa Retiro - Inicio de Ruta]]),"")</f>
        <v>46264.898611111108</v>
      </c>
      <c r="Y69" s="11">
        <f>IFERROR(IF(MARÍTIMOS[[#This Row],[Hora de Posicionamiento]]="","",MARÍTIMOS[[#This Row],[Fecha de Carga]]+MARÍTIMOS[[#This Row],[Hora de Posicionamiento]]),"")</f>
        <v>46265.333333333336</v>
      </c>
      <c r="Z69" s="11">
        <f>IFERROR(IF(MARÍTIMOS[[#This Row],[Etapa Despacho - Llegada]]="","",MARÍTIMOS[[#This Row],[Etapa Despacho - Llegada]]),"")</f>
        <v>46265.144444444442</v>
      </c>
      <c r="AA69" s="11">
        <f>IFERROR(IF(MARÍTIMOS[[#This Row],[Etapa Despacho - Registro]]="","",MARÍTIMOS[[#This Row],[Etapa Despacho - Registro]]),"")</f>
        <v>46265.322916666664</v>
      </c>
      <c r="AB69" s="11">
        <f>IFERROR(IF(MARÍTIMOS[[#This Row],[Inspección Externa]]="","",MARÍTIMOS[[#This Row],[Inspección Externa]]),"")</f>
        <v>46265.324999999997</v>
      </c>
      <c r="AC69" s="11">
        <f>IFERROR(IF(MARÍTIMOS[[#This Row],[Etapa Despacho - Inicio de Carga]]="","",MARÍTIMOS[[#This Row],[Etapa Despacho - Inicio de Carga]]),"")</f>
        <v>46265.387499999997</v>
      </c>
      <c r="AD69" s="11">
        <f>IFERROR(IF(MARÍTIMOS[[#This Row],[Etapa Despacho - Mitad de Carga]]="","",MARÍTIMOS[[#This Row],[Etapa Despacho - Mitad de Carga]]),"")</f>
        <v>46265.459027777775</v>
      </c>
      <c r="AE69" s="11">
        <f>IFERROR(IF(MARÍTIMOS[[#This Row],[Etapa Despacho - Fin de Carga]]="","",MARÍTIMOS[[#This Row],[Etapa Despacho - Fin de Carga]]),"")</f>
        <v>46265.482638888891</v>
      </c>
      <c r="AF69" s="2" t="str">
        <f>IFERROR(IF(MARÍTIMOS[[#This Row],[Puerto de Embarque]]="","",MARÍTIMOS[[#This Row],[Puerto de Embarque]]),"")</f>
        <v>Paita</v>
      </c>
      <c r="AG69" s="2" t="str">
        <f>IFERROR(IF(MARÍTIMOS[[#This Row],[Almacén de Ingreso]]="","",MARÍTIMOS[[#This Row],[Almacén de Ingreso]]),"")</f>
        <v>TPE</v>
      </c>
      <c r="AH69" s="11">
        <f>IFERROR(IF(MARÍTIMOS[[#This Row],[Etapa Ingreso - Cita]]="","",MARÍTIMOS[[#This Row],[Etapa Ingreso - Cita]]),"")</f>
        <v>46265.75</v>
      </c>
      <c r="AI69" s="11">
        <f>IFERROR(IF(MARÍTIMOS[[#This Row],[Etapa Ingreso - Llegada]]="","",MARÍTIMOS[[#This Row],[Etapa Ingreso - Llegada]]),"")</f>
        <v>46265.729166666664</v>
      </c>
      <c r="AJ69" s="11">
        <f>IFERROR(IF(MARÍTIMOS[[#This Row],[Etapa Ingreso - Ingeso]]="","",MARÍTIMOS[[#This Row],[Etapa Ingreso - Ingeso]]),"")</f>
        <v>46265.729166666664</v>
      </c>
      <c r="AK69" s="11">
        <f>IFERROR(IF(MARÍTIMOS[[#This Row],[Etapa Ingreso - Atención]]="","",MARÍTIMOS[[#This Row],[Etapa Ingreso - Atención]]),"")</f>
        <v>46265.736805555556</v>
      </c>
      <c r="AL69" s="11">
        <f>IFERROR(IF(MARÍTIMOS[[#This Row],[Etapa Ingreso - Salida]]="","",MARÍTIMOS[[#This Row],[Etapa Ingreso - Salida]]),"")</f>
        <v>46265.748611111114</v>
      </c>
      <c r="AM69" s="2">
        <f>IFERROR(IF(MARÍTIMOS[[#This Row],[FCL]]="","",MARÍTIMOS[[#This Row],[FCL]]),"")</f>
        <v>1</v>
      </c>
      <c r="AN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69" s="4" t="str" cm="1">
        <f t="array" ref="AO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69" s="5">
        <f>IFERROR(OLDBD[[#This Row],[Llegada a packing]]-OLDBD[[#This Row],[Inicio de Ruta]],"")</f>
        <v>0.24583333333430346</v>
      </c>
      <c r="AQ69" s="6">
        <f>IFERROR(OLDBD[[#This Row],[Inicio de Ruta]]-OLDBD[[#This Row],[Salida de almacén de retiro]],"")</f>
        <v>4.3749999997089617E-2</v>
      </c>
      <c r="AR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69" s="8" t="str" cm="1">
        <f t="array" ref="AS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69" s="9">
        <f>IFERROR(OLDBD[[#This Row],[Ingreso Packing]]-OLDBD[[#This Row],[Registro en Packing]],"")</f>
        <v>2.0833333328482695E-3</v>
      </c>
      <c r="AV69" s="9">
        <f>IFERROR(OLDBD[[#This Row],[Ingreso Packing]]-OLDBD[[#This Row],[Llegada a packing]],"")</f>
        <v>0.18055555555474712</v>
      </c>
      <c r="AW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69" s="5">
        <f>IFERROR(OLDBD[[#This Row],[Llegada Almacén de Ingreso]]-OLDBD[[#This Row],[Salida Packing]],"")</f>
        <v>0.24652777777373558</v>
      </c>
      <c r="AY69" s="4" t="str" cm="1">
        <f t="array" ref="AY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69" s="43" t="s">
        <v>173</v>
      </c>
      <c r="BB69" s="47" t="str">
        <f>IFERROR(IF(MARÍTIMOS[[#This Row],[Estatus]]="","",MARÍTIMOS[[#This Row],[Estatus]]),"")</f>
        <v>Confirmado</v>
      </c>
      <c r="BC69" s="43"/>
      <c r="BD69" s="46">
        <f>IFERROR(OLDBD[[#This Row],[Salida de almacén de retiro]]-OLDBD[[#This Row],[Ingreso Almacén de retiro]],"")</f>
        <v>7.6388888919609599E-3</v>
      </c>
      <c r="BE69" s="46">
        <f>IFERROR(OLDBD[[#This Row],[Fin de Carga]]-OLDBD[[#This Row],[Inicio de Carga]],"")</f>
        <v>7.1527777778101154E-2</v>
      </c>
    </row>
    <row r="70" spans="1:57" customFormat="1" hidden="1">
      <c r="A70" s="1"/>
      <c r="B70" s="1">
        <f>IFERROR(IF(MARÍTIMOS[[#This Row],[PP]]="","",MARÍTIMOS[[#This Row],[PP]]),"")</f>
        <v>35</v>
      </c>
      <c r="C70" s="1" t="str">
        <f>IFERROR(IF(MARÍTIMOS[[#This Row],[Sede]]="","",MARÍTIMOS[[#This Row],[Sede]]),"")</f>
        <v>Olmos</v>
      </c>
      <c r="D70" s="1" t="str">
        <f>IFERROR(IF(MARÍTIMOS[[#This Row],[Instruction]]="","",MARÍTIMOS[[#This Row],[Instruction]]),"")</f>
        <v>RH-0615</v>
      </c>
      <c r="E70" s="1"/>
      <c r="F70" s="2" t="str">
        <f>IFERROR(IF(MARÍTIMOS[[#This Row],[Transportista]]="","",MARÍTIMOS[[#This Row],[Transportista]]),"")</f>
        <v>Costa Transport</v>
      </c>
      <c r="G70" s="2" t="str">
        <f>IFERROR(IF(MARÍTIMOS[[#This Row],[Tercero]]="","",MARÍTIMOS[[#This Row],[Tercero]]),"")</f>
        <v>NO</v>
      </c>
      <c r="H70" s="2" t="str">
        <f>IFERROR(IF(MARÍTIMOS[[#This Row],[Razón Social]]="","",MARÍTIMOS[[#This Row],[Razón Social]]),"")</f>
        <v>TRANSPORTES COSTA TRANSPORT EIRL</v>
      </c>
      <c r="I70" s="2">
        <f>IFERROR(IF(MARÍTIMOS[[#This Row],[RUC]]="","",MARÍTIMOS[[#This Row],[RUC]]),"")</f>
        <v>20525373551</v>
      </c>
      <c r="J70" s="2" t="str">
        <f>IFERROR(IF(MARÍTIMOS[[#This Row],[Placa Tracto]]="","",MARÍTIMOS[[#This Row],[Placa Tracto]]),"")</f>
        <v>T3I-840</v>
      </c>
      <c r="K70" s="2" t="str">
        <f>IFERROR(IF(MARÍTIMOS[[#This Row],[Placa Carreta]]="","",MARÍTIMOS[[#This Row],[Placa Carreta]]),"")</f>
        <v>D5W-991</v>
      </c>
      <c r="L70" s="44" t="str">
        <f>IFERROR(IF(MARÍTIMOS[[#This Row],[Conductor]]="","",MARÍTIMOS[[#This Row],[Conductor]]),"")</f>
        <v>CELIO CASTRO ALVAREZ</v>
      </c>
      <c r="M70" s="2" t="str">
        <f>IFERROR(IF(MARÍTIMOS[[#This Row],[Licencia]]="","",MARÍTIMOS[[#This Row],[Licencia]]),"")</f>
        <v>B03498026</v>
      </c>
      <c r="N70" s="2">
        <f>IFERROR(IF(MARÍTIMOS[[#This Row],[Número de Contacto]]="","",MARÍTIMOS[[#This Row],[Número de Contacto]]),"")</f>
        <v>958976357</v>
      </c>
      <c r="O70" s="10" t="str">
        <f>IFERROR(IF(MARÍTIMOS[[#This Row],[Booking|AWB|CRT]]="","",MARÍTIMOS[[#This Row],[Booking|AWB|CRT]]),"")</f>
        <v>BN82230</v>
      </c>
      <c r="P70" s="2" t="str">
        <f>IFERROR(IF(MARÍTIMOS[[#This Row],[Contenedor]]="","",MARÍTIMOS[[#This Row],[Contenedor]]),"")</f>
        <v>SEKU9202080</v>
      </c>
      <c r="Q70" s="2" t="str">
        <f>IFERROR(IF(MARÍTIMOS[[#This Row],[Puerto de Retiro]]="","",MARÍTIMOS[[#This Row],[Puerto de Retiro]]),"")</f>
        <v>PAITA</v>
      </c>
      <c r="R70" s="2" t="str">
        <f>IFERROR(IF(MARÍTIMOS[[#This Row],[Almacén de Retiro]]="","",MARÍTIMOS[[#This Row],[Almacén de Retiro]]),"")</f>
        <v>DPW</v>
      </c>
      <c r="S70" s="11">
        <f>IFERROR(IF(MARÍTIMOS[[#This Row],[Etapa Retiro - Cita]]="","",MARÍTIMOS[[#This Row],[Etapa Retiro - Cita]]),"")</f>
        <v>46264.833333333336</v>
      </c>
      <c r="T70" s="11">
        <f>IFERROR(IF(MARÍTIMOS[[#This Row],[Etapa Retiro - Llegada]]="","",MARÍTIMOS[[#This Row],[Etapa Retiro - Llegada]]),"")</f>
        <v>46264.811805555553</v>
      </c>
      <c r="U70" s="11">
        <f>IFERROR(IF(MARÍTIMOS[[#This Row],[Etapa Retiro - Ingreso]]="","",MARÍTIMOS[[#This Row],[Etapa Retiro - Ingreso]]),"")</f>
        <v>46264.848611111112</v>
      </c>
      <c r="V70" s="11">
        <f>IFERROR(IF(MARÍTIMOS[[#This Row],[Etapa Retiro - Atención]]="","",MARÍTIMOS[[#This Row],[Etapa Retiro - Atención]]),"")</f>
        <v>46264.854166666664</v>
      </c>
      <c r="W70" s="11">
        <f>IFERROR(IF(MARÍTIMOS[[#This Row],[Etapa Retiro - Atención]]="","",MARÍTIMOS[[#This Row],[Etapa Retiro - Atención]]),"")</f>
        <v>46264.854166666664</v>
      </c>
      <c r="X70" s="11">
        <f>IFERROR(IF(MARÍTIMOS[[#This Row],[Etapa Retiro - Inicio de Ruta]]="","",MARÍTIMOS[[#This Row],[Etapa Retiro - Inicio de Ruta]]),"")</f>
        <v>46265.09375</v>
      </c>
      <c r="Y70" s="11">
        <f>IFERROR(IF(MARÍTIMOS[[#This Row],[Hora de Posicionamiento]]="","",MARÍTIMOS[[#This Row],[Fecha de Carga]]+MARÍTIMOS[[#This Row],[Hora de Posicionamiento]]),"")</f>
        <v>46265.333333333336</v>
      </c>
      <c r="Z70" s="11">
        <f>IFERROR(IF(MARÍTIMOS[[#This Row],[Etapa Despacho - Llegada]]="","",MARÍTIMOS[[#This Row],[Etapa Despacho - Llegada]]),"")</f>
        <v>46265.279861111114</v>
      </c>
      <c r="AA70" s="11">
        <f>IFERROR(IF(MARÍTIMOS[[#This Row],[Etapa Despacho - Registro]]="","",MARÍTIMOS[[#This Row],[Etapa Despacho - Registro]]),"")</f>
        <v>46265.354166666664</v>
      </c>
      <c r="AB70" s="11">
        <f>IFERROR(IF(MARÍTIMOS[[#This Row],[Inspección Externa]]="","",MARÍTIMOS[[#This Row],[Inspección Externa]]),"")</f>
        <v>46265.356944444444</v>
      </c>
      <c r="AC70" s="11">
        <f>IFERROR(IF(MARÍTIMOS[[#This Row],[Etapa Despacho - Inicio de Carga]]="","",MARÍTIMOS[[#This Row],[Etapa Despacho - Inicio de Carga]]),"")</f>
        <v>46265.477083333331</v>
      </c>
      <c r="AD70" s="11">
        <f>IFERROR(IF(MARÍTIMOS[[#This Row],[Etapa Despacho - Mitad de Carga]]="","",MARÍTIMOS[[#This Row],[Etapa Despacho - Mitad de Carga]]),"")</f>
        <v>46265.488194444442</v>
      </c>
      <c r="AE70" s="11">
        <f>IFERROR(IF(MARÍTIMOS[[#This Row],[Etapa Despacho - Fin de Carga]]="","",MARÍTIMOS[[#This Row],[Etapa Despacho - Fin de Carga]]),"")</f>
        <v>46265.51458333333</v>
      </c>
      <c r="AF70" s="2" t="str">
        <f>IFERROR(IF(MARÍTIMOS[[#This Row],[Puerto de Embarque]]="","",MARÍTIMOS[[#This Row],[Puerto de Embarque]]),"")</f>
        <v>Paita</v>
      </c>
      <c r="AG70" s="2" t="str">
        <f>IFERROR(IF(MARÍTIMOS[[#This Row],[Almacén de Ingreso]]="","",MARÍTIMOS[[#This Row],[Almacén de Ingreso]]),"")</f>
        <v>TPE</v>
      </c>
      <c r="AH70" s="11">
        <f>IFERROR(IF(MARÍTIMOS[[#This Row],[Etapa Ingreso - Cita]]="","",MARÍTIMOS[[#This Row],[Etapa Ingreso - Cita]]),"")</f>
        <v>46265.833333333336</v>
      </c>
      <c r="AI70" s="11">
        <f>IFERROR(IF(MARÍTIMOS[[#This Row],[Etapa Ingreso - Llegada]]="","",MARÍTIMOS[[#This Row],[Etapa Ingreso - Llegada]]),"")</f>
        <v>46265.752083333333</v>
      </c>
      <c r="AJ70" s="11">
        <f>IFERROR(IF(MARÍTIMOS[[#This Row],[Etapa Ingreso - Ingeso]]="","",MARÍTIMOS[[#This Row],[Etapa Ingreso - Ingeso]]),"")</f>
        <v>46265.753472222219</v>
      </c>
      <c r="AK70" s="11">
        <f>IFERROR(IF(MARÍTIMOS[[#This Row],[Etapa Ingreso - Atención]]="","",MARÍTIMOS[[#This Row],[Etapa Ingreso - Atención]]),"")</f>
        <v>46265.759722222225</v>
      </c>
      <c r="AL70" s="11">
        <f>IFERROR(IF(MARÍTIMOS[[#This Row],[Etapa Ingreso - Salida]]="","",MARÍTIMOS[[#This Row],[Etapa Ingreso - Salida]]),"")</f>
        <v>46265.769444444442</v>
      </c>
      <c r="AM70" s="2">
        <f>IFERROR(IF(MARÍTIMOS[[#This Row],[FCL]]="","",MARÍTIMOS[[#This Row],[FCL]]),"")</f>
        <v>1</v>
      </c>
      <c r="AN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70" s="4" t="str" cm="1">
        <f t="array" ref="AO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0" s="5">
        <f>IFERROR(OLDBD[[#This Row],[Llegada a packing]]-OLDBD[[#This Row],[Inicio de Ruta]],"")</f>
        <v>0.18611111111385981</v>
      </c>
      <c r="AQ70" s="6">
        <f>IFERROR(OLDBD[[#This Row],[Inicio de Ruta]]-OLDBD[[#This Row],[Salida de almacén de retiro]],"")</f>
        <v>0.23958333333575865</v>
      </c>
      <c r="AR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0" s="8" t="str" cm="1">
        <f t="array" ref="AS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0" s="9">
        <f>IFERROR(OLDBD[[#This Row],[Ingreso Packing]]-OLDBD[[#This Row],[Registro en Packing]],"")</f>
        <v>2.7777777795563452E-3</v>
      </c>
      <c r="AV70" s="9">
        <f>IFERROR(OLDBD[[#This Row],[Ingreso Packing]]-OLDBD[[#This Row],[Llegada a packing]],"")</f>
        <v>7.7083333329937886E-2</v>
      </c>
      <c r="AW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0" s="5">
        <f>IFERROR(OLDBD[[#This Row],[Llegada Almacén de Ingreso]]-OLDBD[[#This Row],[Salida Packing]],"")</f>
        <v>0.23750000000291038</v>
      </c>
      <c r="AY70" s="4" t="str" cm="1">
        <f t="array" ref="AY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70" s="43" t="s">
        <v>173</v>
      </c>
      <c r="BB70" s="47" t="str">
        <f>IFERROR(IF(MARÍTIMOS[[#This Row],[Estatus]]="","",MARÍTIMOS[[#This Row],[Estatus]]),"")</f>
        <v>Confirmado</v>
      </c>
      <c r="BC70" s="43"/>
      <c r="BD70" s="46">
        <f>IFERROR(OLDBD[[#This Row],[Salida de almacén de retiro]]-OLDBD[[#This Row],[Ingreso Almacén de retiro]],"")</f>
        <v>5.5555555518367328E-3</v>
      </c>
      <c r="BE70" s="46">
        <f>IFERROR(OLDBD[[#This Row],[Fin de Carga]]-OLDBD[[#This Row],[Inicio de Carga]],"")</f>
        <v>1.1111111110949423E-2</v>
      </c>
    </row>
    <row r="71" spans="1:57" customFormat="1" hidden="1">
      <c r="A71" s="1"/>
      <c r="B71" s="1">
        <f>IFERROR(IF(MARÍTIMOS[[#This Row],[PP]]="","",MARÍTIMOS[[#This Row],[PP]]),"")</f>
        <v>35</v>
      </c>
      <c r="C71" s="1" t="str">
        <f>IFERROR(IF(MARÍTIMOS[[#This Row],[Sede]]="","",MARÍTIMOS[[#This Row],[Sede]]),"")</f>
        <v>Olmos</v>
      </c>
      <c r="D71" s="1" t="str">
        <f>IFERROR(IF(MARÍTIMOS[[#This Row],[Instruction]]="","",MARÍTIMOS[[#This Row],[Instruction]]),"")</f>
        <v>RH-0616</v>
      </c>
      <c r="E71" s="1"/>
      <c r="F71" s="2" t="str">
        <f>IFERROR(IF(MARÍTIMOS[[#This Row],[Transportista]]="","",MARÍTIMOS[[#This Row],[Transportista]]),"")</f>
        <v>Costa Transport</v>
      </c>
      <c r="G71" s="2" t="str">
        <f>IFERROR(IF(MARÍTIMOS[[#This Row],[Tercero]]="","",MARÍTIMOS[[#This Row],[Tercero]]),"")</f>
        <v>NO</v>
      </c>
      <c r="H71" s="2" t="str">
        <f>IFERROR(IF(MARÍTIMOS[[#This Row],[Razón Social]]="","",MARÍTIMOS[[#This Row],[Razón Social]]),"")</f>
        <v>TRANSPORTES COSTA TRANSPORT EIRL</v>
      </c>
      <c r="I71" s="2">
        <f>IFERROR(IF(MARÍTIMOS[[#This Row],[RUC]]="","",MARÍTIMOS[[#This Row],[RUC]]),"")</f>
        <v>20525373551</v>
      </c>
      <c r="J71" s="2" t="str">
        <f>IFERROR(IF(MARÍTIMOS[[#This Row],[Placa Tracto]]="","",MARÍTIMOS[[#This Row],[Placa Tracto]]),"")</f>
        <v>AVK-728</v>
      </c>
      <c r="K71" s="2" t="str">
        <f>IFERROR(IF(MARÍTIMOS[[#This Row],[Placa Carreta]]="","",MARÍTIMOS[[#This Row],[Placa Carreta]]),"")</f>
        <v>F9S-991</v>
      </c>
      <c r="L71" s="44" t="str">
        <f>IFERROR(IF(MARÍTIMOS[[#This Row],[Conductor]]="","",MARÍTIMOS[[#This Row],[Conductor]]),"")</f>
        <v>NOE VICTORIO NOE GARCIA</v>
      </c>
      <c r="M71" s="2" t="str">
        <f>IFERROR(IF(MARÍTIMOS[[#This Row],[Licencia]]="","",MARÍTIMOS[[#This Row],[Licencia]]),"")</f>
        <v>B42334233</v>
      </c>
      <c r="N71" s="2">
        <f>IFERROR(IF(MARÍTIMOS[[#This Row],[Número de Contacto]]="","",MARÍTIMOS[[#This Row],[Número de Contacto]]),"")</f>
        <v>998230850</v>
      </c>
      <c r="O71" s="10" t="str">
        <f>IFERROR(IF(MARÍTIMOS[[#This Row],[Booking|AWB|CRT]]="","",MARÍTIMOS[[#This Row],[Booking|AWB|CRT]]),"")</f>
        <v>BN82231</v>
      </c>
      <c r="P71" s="2" t="str">
        <f>IFERROR(IF(MARÍTIMOS[[#This Row],[Contenedor]]="","",MARÍTIMOS[[#This Row],[Contenedor]]),"")</f>
        <v>SEKU9203830</v>
      </c>
      <c r="Q71" s="2" t="str">
        <f>IFERROR(IF(MARÍTIMOS[[#This Row],[Puerto de Retiro]]="","",MARÍTIMOS[[#This Row],[Puerto de Retiro]]),"")</f>
        <v>PAITA</v>
      </c>
      <c r="R71" s="2" t="str">
        <f>IFERROR(IF(MARÍTIMOS[[#This Row],[Almacén de Retiro]]="","",MARÍTIMOS[[#This Row],[Almacén de Retiro]]),"")</f>
        <v>DPW</v>
      </c>
      <c r="S71" s="11">
        <f>IFERROR(IF(MARÍTIMOS[[#This Row],[Etapa Retiro - Cita]]="","",MARÍTIMOS[[#This Row],[Etapa Retiro - Cita]]),"")</f>
        <v>46264.833333333336</v>
      </c>
      <c r="T71" s="11">
        <f>IFERROR(IF(MARÍTIMOS[[#This Row],[Etapa Retiro - Llegada]]="","",MARÍTIMOS[[#This Row],[Etapa Retiro - Llegada]]),"")</f>
        <v>46264.856249999997</v>
      </c>
      <c r="U71" s="11">
        <f>IFERROR(IF(MARÍTIMOS[[#This Row],[Etapa Retiro - Ingreso]]="","",MARÍTIMOS[[#This Row],[Etapa Retiro - Ingreso]]),"")</f>
        <v>46264.861111111109</v>
      </c>
      <c r="V71" s="11">
        <f>IFERROR(IF(MARÍTIMOS[[#This Row],[Etapa Retiro - Atención]]="","",MARÍTIMOS[[#This Row],[Etapa Retiro - Atención]]),"")</f>
        <v>46264.876388888886</v>
      </c>
      <c r="W71" s="11">
        <f>IFERROR(IF(MARÍTIMOS[[#This Row],[Etapa Retiro - Atención]]="","",MARÍTIMOS[[#This Row],[Etapa Retiro - Atención]]),"")</f>
        <v>46264.876388888886</v>
      </c>
      <c r="X71" s="11">
        <f>IFERROR(IF(MARÍTIMOS[[#This Row],[Etapa Retiro - Inicio de Ruta]]="","",MARÍTIMOS[[#This Row],[Etapa Retiro - Inicio de Ruta]]),"")</f>
        <v>46265.218055555553</v>
      </c>
      <c r="Y71" s="11">
        <f>IFERROR(IF(MARÍTIMOS[[#This Row],[Hora de Posicionamiento]]="","",MARÍTIMOS[[#This Row],[Fecha de Carga]]+MARÍTIMOS[[#This Row],[Hora de Posicionamiento]]),"")</f>
        <v>46265.416666666664</v>
      </c>
      <c r="Z71" s="11">
        <f>IFERROR(IF(MARÍTIMOS[[#This Row],[Etapa Despacho - Llegada]]="","",MARÍTIMOS[[#This Row],[Etapa Despacho - Llegada]]),"")</f>
        <v>46265.398611111108</v>
      </c>
      <c r="AA71" s="11">
        <f>IFERROR(IF(MARÍTIMOS[[#This Row],[Etapa Despacho - Registro]]="","",MARÍTIMOS[[#This Row],[Etapa Despacho - Registro]]),"")</f>
        <v>46265.401388888888</v>
      </c>
      <c r="AB71" s="11">
        <f>IFERROR(IF(MARÍTIMOS[[#This Row],[Inspección Externa]]="","",MARÍTIMOS[[#This Row],[Inspección Externa]]),"")</f>
        <v>46265.429166666669</v>
      </c>
      <c r="AC71" s="11">
        <f>IFERROR(IF(MARÍTIMOS[[#This Row],[Etapa Despacho - Inicio de Carga]]="","",MARÍTIMOS[[#This Row],[Etapa Despacho - Inicio de Carga]]),"")</f>
        <v>46265.538194444445</v>
      </c>
      <c r="AD71" s="11">
        <f>IFERROR(IF(MARÍTIMOS[[#This Row],[Etapa Despacho - Mitad de Carga]]="","",MARÍTIMOS[[#This Row],[Etapa Despacho - Mitad de Carga]]),"")</f>
        <v>46265.548611111109</v>
      </c>
      <c r="AE71" s="11">
        <f>IFERROR(IF(MARÍTIMOS[[#This Row],[Etapa Despacho - Fin de Carga]]="","",MARÍTIMOS[[#This Row],[Etapa Despacho - Fin de Carga]]),"")</f>
        <v>46265.569444444445</v>
      </c>
      <c r="AF71" s="2" t="str">
        <f>IFERROR(IF(MARÍTIMOS[[#This Row],[Puerto de Embarque]]="","",MARÍTIMOS[[#This Row],[Puerto de Embarque]]),"")</f>
        <v>Paita</v>
      </c>
      <c r="AG71" s="2" t="str">
        <f>IFERROR(IF(MARÍTIMOS[[#This Row],[Almacén de Ingreso]]="","",MARÍTIMOS[[#This Row],[Almacén de Ingreso]]),"")</f>
        <v>TPE</v>
      </c>
      <c r="AH71" s="11">
        <f>IFERROR(IF(MARÍTIMOS[[#This Row],[Etapa Ingreso - Cita]]="","",MARÍTIMOS[[#This Row],[Etapa Ingreso - Cita]]),"")</f>
        <v>46265.916666666664</v>
      </c>
      <c r="AI71" s="11">
        <f>IFERROR(IF(MARÍTIMOS[[#This Row],[Etapa Ingreso - Llegada]]="","",MARÍTIMOS[[#This Row],[Etapa Ingreso - Llegada]]),"")</f>
        <v>46265.838888888888</v>
      </c>
      <c r="AJ71" s="11">
        <f>IFERROR(IF(MARÍTIMOS[[#This Row],[Etapa Ingreso - Ingeso]]="","",MARÍTIMOS[[#This Row],[Etapa Ingreso - Ingeso]]),"")</f>
        <v>46265.838888888888</v>
      </c>
      <c r="AK71" s="11">
        <f>IFERROR(IF(MARÍTIMOS[[#This Row],[Etapa Ingreso - Atención]]="","",MARÍTIMOS[[#This Row],[Etapa Ingreso - Atención]]),"")</f>
        <v>46265.847916666666</v>
      </c>
      <c r="AL71" s="11">
        <f>IFERROR(IF(MARÍTIMOS[[#This Row],[Etapa Ingreso - Salida]]="","",MARÍTIMOS[[#This Row],[Etapa Ingreso - Salida]]),"")</f>
        <v>46265.854861111111</v>
      </c>
      <c r="AM71" s="2">
        <f>IFERROR(IF(MARÍTIMOS[[#This Row],[FCL]]="","",MARÍTIMOS[[#This Row],[FCL]]),"")</f>
        <v>1</v>
      </c>
      <c r="AN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71" s="4" t="str" cm="1">
        <f t="array" ref="AO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1" s="5">
        <f>IFERROR(OLDBD[[#This Row],[Llegada a packing]]-OLDBD[[#This Row],[Inicio de Ruta]],"")</f>
        <v>0.18055555555474712</v>
      </c>
      <c r="AQ71" s="6">
        <f>IFERROR(OLDBD[[#This Row],[Inicio de Ruta]]-OLDBD[[#This Row],[Salida de almacén de retiro]],"")</f>
        <v>0.34166666666715173</v>
      </c>
      <c r="AR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1" s="8" t="str" cm="1">
        <f t="array" ref="AS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1" s="9">
        <f>IFERROR(OLDBD[[#This Row],[Ingreso Packing]]-OLDBD[[#This Row],[Registro en Packing]],"")</f>
        <v>2.7777777781011537E-2</v>
      </c>
      <c r="AV71" s="9">
        <f>IFERROR(OLDBD[[#This Row],[Ingreso Packing]]-OLDBD[[#This Row],[Llegada a packing]],"")</f>
        <v>3.0555555560567882E-2</v>
      </c>
      <c r="AW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1" s="5">
        <f>IFERROR(OLDBD[[#This Row],[Llegada Almacén de Ingreso]]-OLDBD[[#This Row],[Salida Packing]],"")</f>
        <v>0.2694444444423425</v>
      </c>
      <c r="AY71" s="4" t="str" cm="1">
        <f t="array" ref="AY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71" s="43" t="s">
        <v>173</v>
      </c>
      <c r="BB71" s="47" t="str">
        <f>IFERROR(IF(MARÍTIMOS[[#This Row],[Estatus]]="","",MARÍTIMOS[[#This Row],[Estatus]]),"")</f>
        <v>Confirmado</v>
      </c>
      <c r="BC71" s="43"/>
      <c r="BD71" s="46">
        <f>IFERROR(OLDBD[[#This Row],[Salida de almacén de retiro]]-OLDBD[[#This Row],[Ingreso Almacén de retiro]],"")</f>
        <v>1.5277777776645962E-2</v>
      </c>
      <c r="BE71" s="46">
        <f>IFERROR(OLDBD[[#This Row],[Fin de Carga]]-OLDBD[[#This Row],[Inicio de Carga]],"")</f>
        <v>1.0416666664241347E-2</v>
      </c>
    </row>
    <row r="72" spans="1:57" customFormat="1" hidden="1">
      <c r="A72" s="1"/>
      <c r="B72" s="1">
        <f>IFERROR(IF(MARÍTIMOS[[#This Row],[PP]]="","",MARÍTIMOS[[#This Row],[PP]]),"")</f>
        <v>35</v>
      </c>
      <c r="C72" s="1" t="str">
        <f>IFERROR(IF(MARÍTIMOS[[#This Row],[Sede]]="","",MARÍTIMOS[[#This Row],[Sede]]),"")</f>
        <v>Olmos</v>
      </c>
      <c r="D72" s="1" t="str">
        <f>IFERROR(IF(MARÍTIMOS[[#This Row],[Instruction]]="","",MARÍTIMOS[[#This Row],[Instruction]]),"")</f>
        <v>RH-0619</v>
      </c>
      <c r="E72" s="1"/>
      <c r="F72" s="2" t="str">
        <f>IFERROR(IF(MARÍTIMOS[[#This Row],[Transportista]]="","",MARÍTIMOS[[#This Row],[Transportista]]),"")</f>
        <v>Costa Transport</v>
      </c>
      <c r="G72" s="2" t="str">
        <f>IFERROR(IF(MARÍTIMOS[[#This Row],[Tercero]]="","",MARÍTIMOS[[#This Row],[Tercero]]),"")</f>
        <v>NO</v>
      </c>
      <c r="H72" s="2" t="str">
        <f>IFERROR(IF(MARÍTIMOS[[#This Row],[Razón Social]]="","",MARÍTIMOS[[#This Row],[Razón Social]]),"")</f>
        <v>TRANSPORTES COSTA TRANSPORT EIRL</v>
      </c>
      <c r="I72" s="2">
        <f>IFERROR(IF(MARÍTIMOS[[#This Row],[RUC]]="","",MARÍTIMOS[[#This Row],[RUC]]),"")</f>
        <v>20525373551</v>
      </c>
      <c r="J72" s="2" t="str">
        <f>IFERROR(IF(MARÍTIMOS[[#This Row],[Placa Tracto]]="","",MARÍTIMOS[[#This Row],[Placa Tracto]]),"")</f>
        <v>AVK-810</v>
      </c>
      <c r="K72" s="2" t="str">
        <f>IFERROR(IF(MARÍTIMOS[[#This Row],[Placa Carreta]]="","",MARÍTIMOS[[#This Row],[Placa Carreta]]),"")</f>
        <v>AMY-977</v>
      </c>
      <c r="L72" s="44" t="str">
        <f>IFERROR(IF(MARÍTIMOS[[#This Row],[Conductor]]="","",MARÍTIMOS[[#This Row],[Conductor]]),"")</f>
        <v>CEVALLOS ASTUDILLO JORGE LUIS</v>
      </c>
      <c r="M72" s="2" t="str">
        <f>IFERROR(IF(MARÍTIMOS[[#This Row],[Licencia]]="","",MARÍTIMOS[[#This Row],[Licencia]]),"")</f>
        <v>B42067818</v>
      </c>
      <c r="N72" s="2">
        <f>IFERROR(IF(MARÍTIMOS[[#This Row],[Número de Contacto]]="","",MARÍTIMOS[[#This Row],[Número de Contacto]]),"")</f>
        <v>998374895</v>
      </c>
      <c r="O72" s="10" t="str">
        <f>IFERROR(IF(MARÍTIMOS[[#This Row],[Booking|AWB|CRT]]="","",MARÍTIMOS[[#This Row],[Booking|AWB|CRT]]),"")</f>
        <v>PER9203949A</v>
      </c>
      <c r="P72" s="2" t="str">
        <f>IFERROR(IF(MARÍTIMOS[[#This Row],[Contenedor]]="","",MARÍTIMOS[[#This Row],[Contenedor]]),"")</f>
        <v>SEKU9422171</v>
      </c>
      <c r="Q72" s="2" t="str">
        <f>IFERROR(IF(MARÍTIMOS[[#This Row],[Puerto de Retiro]]="","",MARÍTIMOS[[#This Row],[Puerto de Retiro]]),"")</f>
        <v>PAITA</v>
      </c>
      <c r="R72" s="2" t="str">
        <f>IFERROR(IF(MARÍTIMOS[[#This Row],[Almacén de Retiro]]="","",MARÍTIMOS[[#This Row],[Almacén de Retiro]]),"")</f>
        <v>DPW</v>
      </c>
      <c r="S72" s="11">
        <f>IFERROR(IF(MARÍTIMOS[[#This Row],[Etapa Retiro - Cita]]="","",MARÍTIMOS[[#This Row],[Etapa Retiro - Cita]]),"")</f>
        <v>46264.375</v>
      </c>
      <c r="T72" s="11">
        <f>IFERROR(IF(MARÍTIMOS[[#This Row],[Etapa Retiro - Llegada]]="","",MARÍTIMOS[[#This Row],[Etapa Retiro - Llegada]]),"")</f>
        <v>46264.39166666667</v>
      </c>
      <c r="U72" s="11">
        <f>IFERROR(IF(MARÍTIMOS[[#This Row],[Etapa Retiro - Ingreso]]="","",MARÍTIMOS[[#This Row],[Etapa Retiro - Ingreso]]),"")</f>
        <v>46264.405555555553</v>
      </c>
      <c r="V72" s="11">
        <f>IFERROR(IF(MARÍTIMOS[[#This Row],[Etapa Retiro - Atención]]="","",MARÍTIMOS[[#This Row],[Etapa Retiro - Atención]]),"")</f>
        <v>46264.411805555559</v>
      </c>
      <c r="W72" s="11">
        <f>IFERROR(IF(MARÍTIMOS[[#This Row],[Etapa Retiro - Atención]]="","",MARÍTIMOS[[#This Row],[Etapa Retiro - Atención]]),"")</f>
        <v>46264.411805555559</v>
      </c>
      <c r="X72" s="11">
        <f>IFERROR(IF(MARÍTIMOS[[#This Row],[Etapa Retiro - Inicio de Ruta]]="","",MARÍTIMOS[[#This Row],[Etapa Retiro - Inicio de Ruta]]),"")</f>
        <v>46265.309027777781</v>
      </c>
      <c r="Y72" s="11">
        <f>IFERROR(IF(MARÍTIMOS[[#This Row],[Hora de Posicionamiento]]="","",MARÍTIMOS[[#This Row],[Fecha de Carga]]+MARÍTIMOS[[#This Row],[Hora de Posicionamiento]]),"")</f>
        <v>46265.5</v>
      </c>
      <c r="Z72" s="11">
        <f>IFERROR(IF(MARÍTIMOS[[#This Row],[Etapa Despacho - Llegada]]="","",MARÍTIMOS[[#This Row],[Etapa Despacho - Llegada]]),"")</f>
        <v>46265.477777777778</v>
      </c>
      <c r="AA72" s="11">
        <f>IFERROR(IF(MARÍTIMOS[[#This Row],[Etapa Despacho - Registro]]="","",MARÍTIMOS[[#This Row],[Etapa Despacho - Registro]]),"")</f>
        <v>46265.482638888891</v>
      </c>
      <c r="AB72" s="11">
        <f>IFERROR(IF(MARÍTIMOS[[#This Row],[Inspección Externa]]="","",MARÍTIMOS[[#This Row],[Inspección Externa]]),"")</f>
        <v>46265.513888888891</v>
      </c>
      <c r="AC72" s="11">
        <f>IFERROR(IF(MARÍTIMOS[[#This Row],[Etapa Despacho - Inicio de Carga]]="","",MARÍTIMOS[[#This Row],[Etapa Despacho - Inicio de Carga]]),"")</f>
        <v>46265.62777777778</v>
      </c>
      <c r="AD72" s="11">
        <f>IFERROR(IF(MARÍTIMOS[[#This Row],[Etapa Despacho - Mitad de Carga]]="","",MARÍTIMOS[[#This Row],[Etapa Despacho - Mitad de Carga]]),"")</f>
        <v>46265.63958333333</v>
      </c>
      <c r="AE72" s="11">
        <f>IFERROR(IF(MARÍTIMOS[[#This Row],[Etapa Despacho - Fin de Carga]]="","",MARÍTIMOS[[#This Row],[Etapa Despacho - Fin de Carga]]),"")</f>
        <v>46265.656944444447</v>
      </c>
      <c r="AF72" s="2" t="str">
        <f>IFERROR(IF(MARÍTIMOS[[#This Row],[Puerto de Embarque]]="","",MARÍTIMOS[[#This Row],[Puerto de Embarque]]),"")</f>
        <v>Paita</v>
      </c>
      <c r="AG72" s="2" t="str">
        <f>IFERROR(IF(MARÍTIMOS[[#This Row],[Almacén de Ingreso]]="","",MARÍTIMOS[[#This Row],[Almacén de Ingreso]]),"")</f>
        <v>TPE</v>
      </c>
      <c r="AH72" s="11">
        <f>IFERROR(IF(MARÍTIMOS[[#This Row],[Etapa Ingreso - Cita]]="","",MARÍTIMOS[[#This Row],[Etapa Ingreso - Cita]]),"")</f>
        <v>46265.916666666664</v>
      </c>
      <c r="AI72" s="11">
        <f>IFERROR(IF(MARÍTIMOS[[#This Row],[Etapa Ingreso - Llegada]]="","",MARÍTIMOS[[#This Row],[Etapa Ingreso - Llegada]]),"")</f>
        <v>46265.879166666666</v>
      </c>
      <c r="AJ72" s="11">
        <f>IFERROR(IF(MARÍTIMOS[[#This Row],[Etapa Ingreso - Ingeso]]="","",MARÍTIMOS[[#This Row],[Etapa Ingreso - Ingeso]]),"")</f>
        <v>46265.886111111111</v>
      </c>
      <c r="AK72" s="11">
        <f>IFERROR(IF(MARÍTIMOS[[#This Row],[Etapa Ingreso - Atención]]="","",MARÍTIMOS[[#This Row],[Etapa Ingreso - Atención]]),"")</f>
        <v>46265.893055555556</v>
      </c>
      <c r="AL72" s="11">
        <f>IFERROR(IF(MARÍTIMOS[[#This Row],[Etapa Ingreso - Salida]]="","",MARÍTIMOS[[#This Row],[Etapa Ingreso - Salida]]),"")</f>
        <v>46265.895833333336</v>
      </c>
      <c r="AM72" s="2">
        <f>IFERROR(IF(MARÍTIMOS[[#This Row],[FCL]]="","",MARÍTIMOS[[#This Row],[FCL]]),"")</f>
        <v>1</v>
      </c>
      <c r="AN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72" s="4" t="str" cm="1">
        <f t="array" ref="AO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2" s="5">
        <f>IFERROR(OLDBD[[#This Row],[Llegada a packing]]-OLDBD[[#This Row],[Inicio de Ruta]],"")</f>
        <v>0.16874999999708962</v>
      </c>
      <c r="AQ72" s="6">
        <f>IFERROR(OLDBD[[#This Row],[Inicio de Ruta]]-OLDBD[[#This Row],[Salida de almacén de retiro]],"")</f>
        <v>0.89722222222189885</v>
      </c>
      <c r="AR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2" s="8" t="str" cm="1">
        <f t="array" ref="AS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2" s="9">
        <f>IFERROR(OLDBD[[#This Row],[Ingreso Packing]]-OLDBD[[#This Row],[Registro en Packing]],"")</f>
        <v>3.125E-2</v>
      </c>
      <c r="AV72" s="9">
        <f>IFERROR(OLDBD[[#This Row],[Ingreso Packing]]-OLDBD[[#This Row],[Llegada a packing]],"")</f>
        <v>3.6111111112404615E-2</v>
      </c>
      <c r="AW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2" s="5">
        <f>IFERROR(OLDBD[[#This Row],[Llegada Almacén de Ingreso]]-OLDBD[[#This Row],[Salida Packing]],"")</f>
        <v>0.22222222221898846</v>
      </c>
      <c r="AY72" s="4" t="str" cm="1">
        <f t="array" ref="AY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72" s="43" t="s">
        <v>173</v>
      </c>
      <c r="BB72" s="47" t="str">
        <f>IFERROR(IF(MARÍTIMOS[[#This Row],[Estatus]]="","",MARÍTIMOS[[#This Row],[Estatus]]),"")</f>
        <v>Confirmado</v>
      </c>
      <c r="BC72" s="43"/>
      <c r="BD72" s="46">
        <f>IFERROR(OLDBD[[#This Row],[Salida de almacén de retiro]]-OLDBD[[#This Row],[Ingreso Almacén de retiro]],"")</f>
        <v>6.2500000058207661E-3</v>
      </c>
      <c r="BE72" s="46">
        <f>IFERROR(OLDBD[[#This Row],[Fin de Carga]]-OLDBD[[#This Row],[Inicio de Carga]],"")</f>
        <v>1.1805555550381541E-2</v>
      </c>
    </row>
    <row r="73" spans="1:57" customFormat="1" hidden="1">
      <c r="A73" s="1"/>
      <c r="B73" s="1">
        <f>IFERROR(IF(MARÍTIMOS[[#This Row],[PP]]="","",MARÍTIMOS[[#This Row],[PP]]),"")</f>
        <v>35</v>
      </c>
      <c r="C73" s="1" t="str">
        <f>IFERROR(IF(MARÍTIMOS[[#This Row],[Sede]]="","",MARÍTIMOS[[#This Row],[Sede]]),"")</f>
        <v>Olmos</v>
      </c>
      <c r="D73" s="1" t="str">
        <f>IFERROR(IF(MARÍTIMOS[[#This Row],[Instruction]]="","",MARÍTIMOS[[#This Row],[Instruction]]),"")</f>
        <v>RH-0621</v>
      </c>
      <c r="E73" s="1"/>
      <c r="F73" s="2" t="str">
        <f>IFERROR(IF(MARÍTIMOS[[#This Row],[Transportista]]="","",MARÍTIMOS[[#This Row],[Transportista]]),"")</f>
        <v>Costa Transport</v>
      </c>
      <c r="G73" s="2" t="str">
        <f>IFERROR(IF(MARÍTIMOS[[#This Row],[Tercero]]="","",MARÍTIMOS[[#This Row],[Tercero]]),"")</f>
        <v>NO</v>
      </c>
      <c r="H73" s="2" t="str">
        <f>IFERROR(IF(MARÍTIMOS[[#This Row],[Razón Social]]="","",MARÍTIMOS[[#This Row],[Razón Social]]),"")</f>
        <v>TRANSPORTES COSTA TRANSPORT EIRL</v>
      </c>
      <c r="I73" s="2">
        <f>IFERROR(IF(MARÍTIMOS[[#This Row],[RUC]]="","",MARÍTIMOS[[#This Row],[RUC]]),"")</f>
        <v>20525373551</v>
      </c>
      <c r="J73" s="2" t="str">
        <f>IFERROR(IF(MARÍTIMOS[[#This Row],[Placa Tracto]]="","",MARÍTIMOS[[#This Row],[Placa Tracto]]),"")</f>
        <v>T4P-940</v>
      </c>
      <c r="K73" s="2" t="str">
        <f>IFERROR(IF(MARÍTIMOS[[#This Row],[Placa Carreta]]="","",MARÍTIMOS[[#This Row],[Placa Carreta]]),"")</f>
        <v>A8N-987</v>
      </c>
      <c r="L73" s="44" t="str">
        <f>IFERROR(IF(MARÍTIMOS[[#This Row],[Conductor]]="","",MARÍTIMOS[[#This Row],[Conductor]]),"")</f>
        <v>CASTILLO MARTINEZ ALEJANDRO.</v>
      </c>
      <c r="M73" s="2" t="str">
        <f>IFERROR(IF(MARÍTIMOS[[#This Row],[Licencia]]="","",MARÍTIMOS[[#This Row],[Licencia]]),"")</f>
        <v>B02753773</v>
      </c>
      <c r="N73" s="2">
        <f>IFERROR(IF(MARÍTIMOS[[#This Row],[Número de Contacto]]="","",MARÍTIMOS[[#This Row],[Número de Contacto]]),"")</f>
        <v>998255542</v>
      </c>
      <c r="O73" s="10" t="str">
        <f>IFERROR(IF(MARÍTIMOS[[#This Row],[Booking|AWB|CRT]]="","",MARÍTIMOS[[#This Row],[Booking|AWB|CRT]]),"")</f>
        <v>PER9203960A</v>
      </c>
      <c r="P73" s="2" t="str">
        <f>IFERROR(IF(MARÍTIMOS[[#This Row],[Contenedor]]="","",MARÍTIMOS[[#This Row],[Contenedor]]),"")</f>
        <v>CAAU416378-8</v>
      </c>
      <c r="Q73" s="2" t="str">
        <f>IFERROR(IF(MARÍTIMOS[[#This Row],[Puerto de Retiro]]="","",MARÍTIMOS[[#This Row],[Puerto de Retiro]]),"")</f>
        <v>PAITA</v>
      </c>
      <c r="R73" s="2" t="str">
        <f>IFERROR(IF(MARÍTIMOS[[#This Row],[Almacén de Retiro]]="","",MARÍTIMOS[[#This Row],[Almacén de Retiro]]),"")</f>
        <v>DPW</v>
      </c>
      <c r="S73" s="11">
        <f>IFERROR(IF(MARÍTIMOS[[#This Row],[Etapa Retiro - Cita]]="","",MARÍTIMOS[[#This Row],[Etapa Retiro - Cita]]),"")</f>
        <v>46265.625</v>
      </c>
      <c r="T73" s="11">
        <f>IFERROR(IF(MARÍTIMOS[[#This Row],[Etapa Retiro - Llegada]]="","",MARÍTIMOS[[#This Row],[Etapa Retiro - Llegada]]),"")</f>
        <v>46265.645833333336</v>
      </c>
      <c r="U73" s="11">
        <f>IFERROR(IF(MARÍTIMOS[[#This Row],[Etapa Retiro - Ingreso]]="","",MARÍTIMOS[[#This Row],[Etapa Retiro - Ingreso]]),"")</f>
        <v>46265.673611111109</v>
      </c>
      <c r="V73" s="11">
        <f>IFERROR(IF(MARÍTIMOS[[#This Row],[Etapa Retiro - Atención]]="","",MARÍTIMOS[[#This Row],[Etapa Retiro - Atención]]),"")</f>
        <v>46265.673611111109</v>
      </c>
      <c r="W73" s="11">
        <f>IFERROR(IF(MARÍTIMOS[[#This Row],[Etapa Retiro - Atención]]="","",MARÍTIMOS[[#This Row],[Etapa Retiro - Atención]]),"")</f>
        <v>46265.673611111109</v>
      </c>
      <c r="X73" s="11">
        <f>IFERROR(IF(MARÍTIMOS[[#This Row],[Etapa Retiro - Inicio de Ruta]]="","",MARÍTIMOS[[#This Row],[Etapa Retiro - Inicio de Ruta]]),"")</f>
        <v>46265.847222222219</v>
      </c>
      <c r="Y73" s="11">
        <f>IFERROR(IF(MARÍTIMOS[[#This Row],[Hora de Posicionamiento]]="","",MARÍTIMOS[[#This Row],[Fecha de Carga]]+MARÍTIMOS[[#This Row],[Hora de Posicionamiento]]),"")</f>
        <v>46266.333333333336</v>
      </c>
      <c r="Z73" s="11">
        <f>IFERROR(IF(MARÍTIMOS[[#This Row],[Etapa Despacho - Llegada]]="","",MARÍTIMOS[[#This Row],[Etapa Despacho - Llegada]]),"")</f>
        <v>46266.0625</v>
      </c>
      <c r="AA73" s="11">
        <f>IFERROR(IF(MARÍTIMOS[[#This Row],[Etapa Despacho - Registro]]="","",MARÍTIMOS[[#This Row],[Etapa Despacho - Registro]]),"")</f>
        <v>46266.336805555555</v>
      </c>
      <c r="AB73" s="11">
        <f>IFERROR(IF(MARÍTIMOS[[#This Row],[Inspección Externa]]="","",MARÍTIMOS[[#This Row],[Inspección Externa]]),"")</f>
        <v>46266.341666666667</v>
      </c>
      <c r="AC73" s="11">
        <f>IFERROR(IF(MARÍTIMOS[[#This Row],[Etapa Despacho - Inicio de Carga]]="","",MARÍTIMOS[[#This Row],[Etapa Despacho - Inicio de Carga]]),"")</f>
        <v>46266.441666666666</v>
      </c>
      <c r="AD73" s="11">
        <f>IFERROR(IF(MARÍTIMOS[[#This Row],[Etapa Despacho - Mitad de Carga]]="","",MARÍTIMOS[[#This Row],[Etapa Despacho - Mitad de Carga]]),"")</f>
        <v>46266.450694444444</v>
      </c>
      <c r="AE73" s="11">
        <f>IFERROR(IF(MARÍTIMOS[[#This Row],[Etapa Despacho - Fin de Carga]]="","",MARÍTIMOS[[#This Row],[Etapa Despacho - Fin de Carga]]),"")</f>
        <v>46266.476388888892</v>
      </c>
      <c r="AF73" s="2" t="str">
        <f>IFERROR(IF(MARÍTIMOS[[#This Row],[Puerto de Embarque]]="","",MARÍTIMOS[[#This Row],[Puerto de Embarque]]),"")</f>
        <v>Paita</v>
      </c>
      <c r="AG73" s="2" t="str">
        <f>IFERROR(IF(MARÍTIMOS[[#This Row],[Almacén de Ingreso]]="","",MARÍTIMOS[[#This Row],[Almacén de Ingreso]]),"")</f>
        <v>TPE</v>
      </c>
      <c r="AH73" s="11">
        <f>IFERROR(IF(MARÍTIMOS[[#This Row],[Etapa Ingreso - Cita]]="","",MARÍTIMOS[[#This Row],[Etapa Ingreso - Cita]]),"")</f>
        <v>46266.791666666664</v>
      </c>
      <c r="AI73" s="11">
        <f>IFERROR(IF(MARÍTIMOS[[#This Row],[Etapa Ingreso - Llegada]]="","",MARÍTIMOS[[#This Row],[Etapa Ingreso - Llegada]]),"")</f>
        <v>46266.734027777777</v>
      </c>
      <c r="AJ73" s="11">
        <f>IFERROR(IF(MARÍTIMOS[[#This Row],[Etapa Ingreso - Ingeso]]="","",MARÍTIMOS[[#This Row],[Etapa Ingreso - Ingeso]]),"")</f>
        <v>46266.75</v>
      </c>
      <c r="AK73" s="11">
        <f>IFERROR(IF(MARÍTIMOS[[#This Row],[Etapa Ingreso - Atención]]="","",MARÍTIMOS[[#This Row],[Etapa Ingreso - Atención]]),"")</f>
        <v>46266.75277777778</v>
      </c>
      <c r="AL73" s="11">
        <f>IFERROR(IF(MARÍTIMOS[[#This Row],[Etapa Ingreso - Salida]]="","",MARÍTIMOS[[#This Row],[Etapa Ingreso - Salida]]),"")</f>
        <v>46266.760416666664</v>
      </c>
      <c r="AM73" s="2">
        <f>IFERROR(IF(MARÍTIMOS[[#This Row],[FCL]]="","",MARÍTIMOS[[#This Row],[FCL]]),"")</f>
        <v>1</v>
      </c>
      <c r="AN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73" s="4" t="str" cm="1">
        <f t="array" ref="AO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3" s="5">
        <f>IFERROR(OLDBD[[#This Row],[Llegada a packing]]-OLDBD[[#This Row],[Inicio de Ruta]],"")</f>
        <v>0.21527777778101154</v>
      </c>
      <c r="AQ73" s="6">
        <f>IFERROR(OLDBD[[#This Row],[Inicio de Ruta]]-OLDBD[[#This Row],[Salida de almacén de retiro]],"")</f>
        <v>0.17361111110949423</v>
      </c>
      <c r="AR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3" s="8" t="str" cm="1">
        <f t="array" ref="AS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3" s="9">
        <f>IFERROR(OLDBD[[#This Row],[Ingreso Packing]]-OLDBD[[#This Row],[Registro en Packing]],"")</f>
        <v>4.8611111124046147E-3</v>
      </c>
      <c r="AV73" s="9">
        <f>IFERROR(OLDBD[[#This Row],[Ingreso Packing]]-OLDBD[[#This Row],[Llegada a packing]],"")</f>
        <v>0.27916666666715173</v>
      </c>
      <c r="AW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3" s="5">
        <f>IFERROR(OLDBD[[#This Row],[Llegada Almacén de Ingreso]]-OLDBD[[#This Row],[Salida Packing]],"")</f>
        <v>0.257638888884685</v>
      </c>
      <c r="AY73" s="4" t="str" cm="1">
        <f t="array" ref="AY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73" s="43" t="s">
        <v>173</v>
      </c>
      <c r="BB73" s="47" t="str">
        <f>IFERROR(IF(MARÍTIMOS[[#This Row],[Estatus]]="","",MARÍTIMOS[[#This Row],[Estatus]]),"")</f>
        <v>Confirmado</v>
      </c>
      <c r="BC73" s="43"/>
      <c r="BD73" s="46">
        <f>IFERROR(OLDBD[[#This Row],[Salida de almacén de retiro]]-OLDBD[[#This Row],[Ingreso Almacén de retiro]],"")</f>
        <v>0</v>
      </c>
      <c r="BE73" s="46">
        <f>IFERROR(OLDBD[[#This Row],[Fin de Carga]]-OLDBD[[#This Row],[Inicio de Carga]],"")</f>
        <v>9.0277777781011537E-3</v>
      </c>
    </row>
    <row r="74" spans="1:57" customFormat="1" hidden="1">
      <c r="A74" s="1"/>
      <c r="B74" s="1">
        <f>IFERROR(IF(MARÍTIMOS[[#This Row],[PP]]="","",MARÍTIMOS[[#This Row],[PP]]),"")</f>
        <v>36</v>
      </c>
      <c r="C74" s="1" t="str">
        <f>IFERROR(IF(MARÍTIMOS[[#This Row],[Sede]]="","",MARÍTIMOS[[#This Row],[Sede]]),"")</f>
        <v>Olmos</v>
      </c>
      <c r="D74" s="1" t="str">
        <f>IFERROR(IF(MARÍTIMOS[[#This Row],[Instruction]]="","",MARÍTIMOS[[#This Row],[Instruction]]),"")</f>
        <v>RH-0651</v>
      </c>
      <c r="E74" s="1"/>
      <c r="F74" s="2" t="str">
        <f>IFERROR(IF(MARÍTIMOS[[#This Row],[Transportista]]="","",MARÍTIMOS[[#This Row],[Transportista]]),"")</f>
        <v>Costa Transport</v>
      </c>
      <c r="G74" s="2" t="str">
        <f>IFERROR(IF(MARÍTIMOS[[#This Row],[Tercero]]="","",MARÍTIMOS[[#This Row],[Tercero]]),"")</f>
        <v>NO</v>
      </c>
      <c r="H74" s="2" t="str">
        <f>IFERROR(IF(MARÍTIMOS[[#This Row],[Razón Social]]="","",MARÍTIMOS[[#This Row],[Razón Social]]),"")</f>
        <v>TRANSPORTES COSTA TRANSPORT EIRL</v>
      </c>
      <c r="I74" s="2">
        <f>IFERROR(IF(MARÍTIMOS[[#This Row],[RUC]]="","",MARÍTIMOS[[#This Row],[RUC]]),"")</f>
        <v>20525373551</v>
      </c>
      <c r="J74" s="2" t="str">
        <f>IFERROR(IF(MARÍTIMOS[[#This Row],[Placa Tracto]]="","",MARÍTIMOS[[#This Row],[Placa Tracto]]),"")</f>
        <v>AVK-810</v>
      </c>
      <c r="K74" s="2" t="str">
        <f>IFERROR(IF(MARÍTIMOS[[#This Row],[Placa Carreta]]="","",MARÍTIMOS[[#This Row],[Placa Carreta]]),"")</f>
        <v>AMY-977</v>
      </c>
      <c r="L74" s="44" t="str">
        <f>IFERROR(IF(MARÍTIMOS[[#This Row],[Conductor]]="","",MARÍTIMOS[[#This Row],[Conductor]]),"")</f>
        <v>CEVALLOS ASTUDILLO JORGE LUIS</v>
      </c>
      <c r="M74" s="2" t="str">
        <f>IFERROR(IF(MARÍTIMOS[[#This Row],[Licencia]]="","",MARÍTIMOS[[#This Row],[Licencia]]),"")</f>
        <v>B42067818</v>
      </c>
      <c r="N74" s="2">
        <f>IFERROR(IF(MARÍTIMOS[[#This Row],[Número de Contacto]]="","",MARÍTIMOS[[#This Row],[Número de Contacto]]),"")</f>
        <v>998374895</v>
      </c>
      <c r="O74" s="10" t="str">
        <f>IFERROR(IF(MARÍTIMOS[[#This Row],[Booking|AWB|CRT]]="","",MARÍTIMOS[[#This Row],[Booking|AWB|CRT]]),"")</f>
        <v>MBM250067138</v>
      </c>
      <c r="P74" s="2" t="str">
        <f>IFERROR(IF(MARÍTIMOS[[#This Row],[Contenedor]]="","",MARÍTIMOS[[#This Row],[Contenedor]]),"")</f>
        <v>CAIU5578246</v>
      </c>
      <c r="Q74" s="2" t="str">
        <f>IFERROR(IF(MARÍTIMOS[[#This Row],[Puerto de Retiro]]="","",MARÍTIMOS[[#This Row],[Puerto de Retiro]]),"")</f>
        <v>PAITA</v>
      </c>
      <c r="R74" s="2" t="str">
        <f>IFERROR(IF(MARÍTIMOS[[#This Row],[Almacén de Retiro]]="","",MARÍTIMOS[[#This Row],[Almacén de Retiro]]),"")</f>
        <v>MACROMAR</v>
      </c>
      <c r="S74" s="11">
        <f>IFERROR(IF(MARÍTIMOS[[#This Row],[Etapa Retiro - Cita]]="","",MARÍTIMOS[[#This Row],[Etapa Retiro - Cita]]),"")</f>
        <v>46267.708333333336</v>
      </c>
      <c r="T74" s="11">
        <f>IFERROR(IF(MARÍTIMOS[[#This Row],[Etapa Retiro - Llegada]]="","",MARÍTIMOS[[#This Row],[Etapa Retiro - Llegada]]),"")</f>
        <v>46267.688194444447</v>
      </c>
      <c r="U74" s="11">
        <f>IFERROR(IF(MARÍTIMOS[[#This Row],[Etapa Retiro - Ingreso]]="","",MARÍTIMOS[[#This Row],[Etapa Retiro - Ingreso]]),"")</f>
        <v>46267.701388888891</v>
      </c>
      <c r="V74" s="11">
        <f>IFERROR(IF(MARÍTIMOS[[#This Row],[Etapa Retiro - Atención]]="","",MARÍTIMOS[[#This Row],[Etapa Retiro - Atención]]),"")</f>
        <v>46267.708333333336</v>
      </c>
      <c r="W74" s="11">
        <f>IFERROR(IF(MARÍTIMOS[[#This Row],[Etapa Retiro - Atención]]="","",MARÍTIMOS[[#This Row],[Etapa Retiro - Atención]]),"")</f>
        <v>46267.708333333336</v>
      </c>
      <c r="X74" s="11">
        <f>IFERROR(IF(MARÍTIMOS[[#This Row],[Etapa Retiro - Inicio de Ruta]]="","",MARÍTIMOS[[#This Row],[Etapa Retiro - Inicio de Ruta]]),"")</f>
        <v>46268.324305555558</v>
      </c>
      <c r="Y74" s="11">
        <f>IFERROR(IF(MARÍTIMOS[[#This Row],[Hora de Posicionamiento]]="","",MARÍTIMOS[[#This Row],[Fecha de Carga]]+MARÍTIMOS[[#This Row],[Hora de Posicionamiento]]),"")</f>
        <v>46268.5</v>
      </c>
      <c r="Z74" s="11">
        <f>IFERROR(IF(MARÍTIMOS[[#This Row],[Etapa Despacho - Llegada]]="","",MARÍTIMOS[[#This Row],[Etapa Despacho - Llegada]]),"")</f>
        <v>46268.487500000003</v>
      </c>
      <c r="AA74" s="11">
        <f>IFERROR(IF(MARÍTIMOS[[#This Row],[Etapa Despacho - Registro]]="","",MARÍTIMOS[[#This Row],[Etapa Despacho - Registro]]),"")</f>
        <v>46268.491666666669</v>
      </c>
      <c r="AB74" s="11">
        <f>IFERROR(IF(MARÍTIMOS[[#This Row],[Inspección Externa]]="","",MARÍTIMOS[[#This Row],[Inspección Externa]]),"")</f>
        <v>46268.511111111111</v>
      </c>
      <c r="AC74" s="11">
        <f>IFERROR(IF(MARÍTIMOS[[#This Row],[Etapa Despacho - Inicio de Carga]]="","",MARÍTIMOS[[#This Row],[Etapa Despacho - Inicio de Carga]]),"")</f>
        <v>46268.64166666667</v>
      </c>
      <c r="AD74" s="11">
        <f>IFERROR(IF(MARÍTIMOS[[#This Row],[Etapa Despacho - Mitad de Carga]]="","",MARÍTIMOS[[#This Row],[Etapa Despacho - Mitad de Carga]]),"")</f>
        <v>46268.65347222222</v>
      </c>
      <c r="AE74" s="11">
        <f>IFERROR(IF(MARÍTIMOS[[#This Row],[Etapa Despacho - Fin de Carga]]="","",MARÍTIMOS[[#This Row],[Etapa Despacho - Fin de Carga]]),"")</f>
        <v>46268.662499999999</v>
      </c>
      <c r="AF74" s="2" t="str">
        <f>IFERROR(IF(MARÍTIMOS[[#This Row],[Puerto de Embarque]]="","",MARÍTIMOS[[#This Row],[Puerto de Embarque]]),"")</f>
        <v>Paita</v>
      </c>
      <c r="AG74" s="2" t="str">
        <f>IFERROR(IF(MARÍTIMOS[[#This Row],[Almacén de Ingreso]]="","",MARÍTIMOS[[#This Row],[Almacén de Ingreso]]),"")</f>
        <v>TPE</v>
      </c>
      <c r="AH74" s="11">
        <f>IFERROR(IF(MARÍTIMOS[[#This Row],[Etapa Ingreso - Cita]]="","",MARÍTIMOS[[#This Row],[Etapa Ingreso - Cita]]),"")</f>
        <v>46268.916666666664</v>
      </c>
      <c r="AI74" s="11">
        <f>IFERROR(IF(MARÍTIMOS[[#This Row],[Etapa Ingreso - Llegada]]="","",MARÍTIMOS[[#This Row],[Etapa Ingreso - Llegada]]),"")</f>
        <v>46268.868055555555</v>
      </c>
      <c r="AJ74" s="11">
        <f>IFERROR(IF(MARÍTIMOS[[#This Row],[Etapa Ingreso - Ingeso]]="","",MARÍTIMOS[[#This Row],[Etapa Ingreso - Ingeso]]),"")</f>
        <v>46268.875694444447</v>
      </c>
      <c r="AK74" s="11">
        <f>IFERROR(IF(MARÍTIMOS[[#This Row],[Etapa Ingreso - Atención]]="","",MARÍTIMOS[[#This Row],[Etapa Ingreso - Atención]]),"")</f>
        <v>46268.90902777778</v>
      </c>
      <c r="AL74" s="11">
        <f>IFERROR(IF(MARÍTIMOS[[#This Row],[Etapa Ingreso - Salida]]="","",MARÍTIMOS[[#This Row],[Etapa Ingreso - Salida]]),"")</f>
        <v>46268.911805555559</v>
      </c>
      <c r="AM74" s="2">
        <f>IFERROR(IF(MARÍTIMOS[[#This Row],[FCL]]="","",MARÍTIMOS[[#This Row],[FCL]]),"")</f>
        <v>1</v>
      </c>
      <c r="AN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74" s="4" t="str" cm="1">
        <f t="array" ref="AO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4" s="5">
        <f>IFERROR(OLDBD[[#This Row],[Llegada a packing]]-OLDBD[[#This Row],[Inicio de Ruta]],"")</f>
        <v>0.16319444444525288</v>
      </c>
      <c r="AQ74" s="6">
        <f>IFERROR(OLDBD[[#This Row],[Inicio de Ruta]]-OLDBD[[#This Row],[Salida de almacén de retiro]],"")</f>
        <v>0.61597222222189885</v>
      </c>
      <c r="AR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4" s="8" t="str" cm="1">
        <f t="array" ref="AS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4" s="9">
        <f>IFERROR(OLDBD[[#This Row],[Ingreso Packing]]-OLDBD[[#This Row],[Registro en Packing]],"")</f>
        <v>1.9444444442342501E-2</v>
      </c>
      <c r="AV74" s="9">
        <f>IFERROR(OLDBD[[#This Row],[Ingreso Packing]]-OLDBD[[#This Row],[Llegada a packing]],"")</f>
        <v>2.361111110803904E-2</v>
      </c>
      <c r="AW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4" s="5">
        <f>IFERROR(OLDBD[[#This Row],[Llegada Almacén de Ingreso]]-OLDBD[[#This Row],[Salida Packing]],"")</f>
        <v>0.20555555555620231</v>
      </c>
      <c r="AY74" s="4" t="str" cm="1">
        <f t="array" ref="AY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74" s="43" t="s">
        <v>173</v>
      </c>
      <c r="BB74" s="47" t="str">
        <f>IFERROR(IF(MARÍTIMOS[[#This Row],[Estatus]]="","",MARÍTIMOS[[#This Row],[Estatus]]),"")</f>
        <v>Confirmado</v>
      </c>
      <c r="BC74" s="43"/>
      <c r="BD74" s="46">
        <f>IFERROR(OLDBD[[#This Row],[Salida de almacén de retiro]]-OLDBD[[#This Row],[Ingreso Almacén de retiro]],"")</f>
        <v>6.9444444452528842E-3</v>
      </c>
      <c r="BE74" s="46">
        <f>IFERROR(OLDBD[[#This Row],[Fin de Carga]]-OLDBD[[#This Row],[Inicio de Carga]],"")</f>
        <v>1.1805555550381541E-2</v>
      </c>
    </row>
    <row r="75" spans="1:57" customFormat="1" hidden="1">
      <c r="A75" s="1"/>
      <c r="B75" s="1">
        <f>IFERROR(IF(MARÍTIMOS[[#This Row],[PP]]="","",MARÍTIMOS[[#This Row],[PP]]),"")</f>
        <v>36</v>
      </c>
      <c r="C75" s="1" t="str">
        <f>IFERROR(IF(MARÍTIMOS[[#This Row],[Sede]]="","",MARÍTIMOS[[#This Row],[Sede]]),"")</f>
        <v>Olmos</v>
      </c>
      <c r="D75" s="1" t="str">
        <f>IFERROR(IF(MARÍTIMOS[[#This Row],[Instruction]]="","",MARÍTIMOS[[#This Row],[Instruction]]),"")</f>
        <v>RH-0652</v>
      </c>
      <c r="E75" s="1"/>
      <c r="F75" s="2" t="str">
        <f>IFERROR(IF(MARÍTIMOS[[#This Row],[Transportista]]="","",MARÍTIMOS[[#This Row],[Transportista]]),"")</f>
        <v>Costa Transport</v>
      </c>
      <c r="G75" s="2" t="str">
        <f>IFERROR(IF(MARÍTIMOS[[#This Row],[Tercero]]="","",MARÍTIMOS[[#This Row],[Tercero]]),"")</f>
        <v>NO</v>
      </c>
      <c r="H75" s="2" t="str">
        <f>IFERROR(IF(MARÍTIMOS[[#This Row],[Razón Social]]="","",MARÍTIMOS[[#This Row],[Razón Social]]),"")</f>
        <v>TRANSPORTES COSTA TRANSPORT EIRL</v>
      </c>
      <c r="I75" s="2">
        <f>IFERROR(IF(MARÍTIMOS[[#This Row],[RUC]]="","",MARÍTIMOS[[#This Row],[RUC]]),"")</f>
        <v>20525373551</v>
      </c>
      <c r="J75" s="2" t="str">
        <f>IFERROR(IF(MARÍTIMOS[[#This Row],[Placa Tracto]]="","",MARÍTIMOS[[#This Row],[Placa Tracto]]),"")</f>
        <v>C3Y-864</v>
      </c>
      <c r="K75" s="2" t="str">
        <f>IFERROR(IF(MARÍTIMOS[[#This Row],[Placa Carreta]]="","",MARÍTIMOS[[#This Row],[Placa Carreta]]),"")</f>
        <v>TNW-982</v>
      </c>
      <c r="L75" s="44" t="str">
        <f>IFERROR(IF(MARÍTIMOS[[#This Row],[Conductor]]="","",MARÍTIMOS[[#This Row],[Conductor]]),"")</f>
        <v>SEGUNDO TEODORO FLOREANO ORDINOLA.</v>
      </c>
      <c r="M75" s="2" t="str">
        <f>IFERROR(IF(MARÍTIMOS[[#This Row],[Licencia]]="","",MARÍTIMOS[[#This Row],[Licencia]]),"")</f>
        <v>C43049791</v>
      </c>
      <c r="N75" s="2">
        <f>IFERROR(IF(MARÍTIMOS[[#This Row],[Número de Contacto]]="","",MARÍTIMOS[[#This Row],[Número de Contacto]]),"")</f>
        <v>996830815</v>
      </c>
      <c r="O75" s="10" t="str">
        <f>IFERROR(IF(MARÍTIMOS[[#This Row],[Booking|AWB|CRT]]="","",MARÍTIMOS[[#This Row],[Booking|AWB|CRT]]),"")</f>
        <v>MBM250068055</v>
      </c>
      <c r="P75" s="2" t="str">
        <f>IFERROR(IF(MARÍTIMOS[[#This Row],[Contenedor]]="","",MARÍTIMOS[[#This Row],[Contenedor]]),"")</f>
        <v>CAIU5563797</v>
      </c>
      <c r="Q75" s="2" t="str">
        <f>IFERROR(IF(MARÍTIMOS[[#This Row],[Puerto de Retiro]]="","",MARÍTIMOS[[#This Row],[Puerto de Retiro]]),"")</f>
        <v>PAITA</v>
      </c>
      <c r="R75" s="2" t="str">
        <f>IFERROR(IF(MARÍTIMOS[[#This Row],[Almacén de Retiro]]="","",MARÍTIMOS[[#This Row],[Almacén de Retiro]]),"")</f>
        <v>MACROMAR</v>
      </c>
      <c r="S75" s="11">
        <f>IFERROR(IF(MARÍTIMOS[[#This Row],[Etapa Retiro - Cita]]="","",MARÍTIMOS[[#This Row],[Etapa Retiro - Cita]]),"")</f>
        <v>46268.75</v>
      </c>
      <c r="T75" s="11">
        <f>IFERROR(IF(MARÍTIMOS[[#This Row],[Etapa Retiro - Llegada]]="","",MARÍTIMOS[[#This Row],[Etapa Retiro - Llegada]]),"")</f>
        <v>46268.722222222219</v>
      </c>
      <c r="U75" s="11">
        <f>IFERROR(IF(MARÍTIMOS[[#This Row],[Etapa Retiro - Ingreso]]="","",MARÍTIMOS[[#This Row],[Etapa Retiro - Ingreso]]),"")</f>
        <v>46268.731249999997</v>
      </c>
      <c r="V75" s="11">
        <f>IFERROR(IF(MARÍTIMOS[[#This Row],[Etapa Retiro - Atención]]="","",MARÍTIMOS[[#This Row],[Etapa Retiro - Atención]]),"")</f>
        <v>46268.745138888888</v>
      </c>
      <c r="W75" s="11">
        <f>IFERROR(IF(MARÍTIMOS[[#This Row],[Etapa Retiro - Atención]]="","",MARÍTIMOS[[#This Row],[Etapa Retiro - Atención]]),"")</f>
        <v>46268.745138888888</v>
      </c>
      <c r="X75" s="11">
        <f>IFERROR(IF(MARÍTIMOS[[#This Row],[Etapa Retiro - Inicio de Ruta]]="","",MARÍTIMOS[[#This Row],[Etapa Retiro - Inicio de Ruta]]),"")</f>
        <v>46269.111805555556</v>
      </c>
      <c r="Y75" s="11">
        <f>IFERROR(IF(MARÍTIMOS[[#This Row],[Hora de Posicionamiento]]="","",MARÍTIMOS[[#This Row],[Fecha de Carga]]+MARÍTIMOS[[#This Row],[Hora de Posicionamiento]]),"")</f>
        <v>46269.333333333336</v>
      </c>
      <c r="Z75" s="11">
        <f>IFERROR(IF(MARÍTIMOS[[#This Row],[Etapa Despacho - Llegada]]="","",MARÍTIMOS[[#This Row],[Etapa Despacho - Llegada]]),"")</f>
        <v>46269.317361111112</v>
      </c>
      <c r="AA75" s="11">
        <f>IFERROR(IF(MARÍTIMOS[[#This Row],[Etapa Despacho - Registro]]="","",MARÍTIMOS[[#This Row],[Etapa Despacho - Registro]]),"")</f>
        <v>46269.319444444445</v>
      </c>
      <c r="AB75" s="11">
        <f>IFERROR(IF(MARÍTIMOS[[#This Row],[Inspección Externa]]="","",MARÍTIMOS[[#This Row],[Inspección Externa]]),"")</f>
        <v>46269.347916666666</v>
      </c>
      <c r="AC75" s="11">
        <f>IFERROR(IF(MARÍTIMOS[[#This Row],[Etapa Despacho - Inicio de Carga]]="","",MARÍTIMOS[[#This Row],[Etapa Despacho - Inicio de Carga]]),"")</f>
        <v>46269.493055555555</v>
      </c>
      <c r="AD75" s="11">
        <f>IFERROR(IF(MARÍTIMOS[[#This Row],[Etapa Despacho - Mitad de Carga]]="","",MARÍTIMOS[[#This Row],[Etapa Despacho - Mitad de Carga]]),"")</f>
        <v>46269.515972222223</v>
      </c>
      <c r="AE75" s="11">
        <f>IFERROR(IF(MARÍTIMOS[[#This Row],[Etapa Despacho - Fin de Carga]]="","",MARÍTIMOS[[#This Row],[Etapa Despacho - Fin de Carga]]),"")</f>
        <v>46269.533333333333</v>
      </c>
      <c r="AF75" s="2" t="str">
        <f>IFERROR(IF(MARÍTIMOS[[#This Row],[Puerto de Embarque]]="","",MARÍTIMOS[[#This Row],[Puerto de Embarque]]),"")</f>
        <v>Paita</v>
      </c>
      <c r="AG75" s="2" t="str">
        <f>IFERROR(IF(MARÍTIMOS[[#This Row],[Almacén de Ingreso]]="","",MARÍTIMOS[[#This Row],[Almacén de Ingreso]]),"")</f>
        <v>TPE</v>
      </c>
      <c r="AH75" s="11">
        <f>IFERROR(IF(MARÍTIMOS[[#This Row],[Etapa Ingreso - Cita]]="","",MARÍTIMOS[[#This Row],[Etapa Ingreso - Cita]]),"")</f>
        <v>46269.791666666664</v>
      </c>
      <c r="AI75" s="11">
        <f>IFERROR(IF(MARÍTIMOS[[#This Row],[Etapa Ingreso - Llegada]]="","",MARÍTIMOS[[#This Row],[Etapa Ingreso - Llegada]]),"")</f>
        <v>46269.783333333333</v>
      </c>
      <c r="AJ75" s="11">
        <f>IFERROR(IF(MARÍTIMOS[[#This Row],[Etapa Ingreso - Ingeso]]="","",MARÍTIMOS[[#This Row],[Etapa Ingreso - Ingeso]]),"")</f>
        <v>46269.785416666666</v>
      </c>
      <c r="AK75" s="11">
        <f>IFERROR(IF(MARÍTIMOS[[#This Row],[Etapa Ingreso - Atención]]="","",MARÍTIMOS[[#This Row],[Etapa Ingreso - Atención]]),"")</f>
        <v>46269.798611111109</v>
      </c>
      <c r="AL75" s="11">
        <f>IFERROR(IF(MARÍTIMOS[[#This Row],[Etapa Ingreso - Salida]]="","",MARÍTIMOS[[#This Row],[Etapa Ingreso - Salida]]),"")</f>
        <v>46269.804166666669</v>
      </c>
      <c r="AM75" s="2">
        <f>IFERROR(IF(MARÍTIMOS[[#This Row],[FCL]]="","",MARÍTIMOS[[#This Row],[FCL]]),"")</f>
        <v>1</v>
      </c>
      <c r="AN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75" s="4" t="str" cm="1">
        <f t="array" ref="AO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5" s="5">
        <f>IFERROR(OLDBD[[#This Row],[Llegada a packing]]-OLDBD[[#This Row],[Inicio de Ruta]],"")</f>
        <v>0.20555555555620231</v>
      </c>
      <c r="AQ75" s="6">
        <f>IFERROR(OLDBD[[#This Row],[Inicio de Ruta]]-OLDBD[[#This Row],[Salida de almacén de retiro]],"")</f>
        <v>0.36666666666860692</v>
      </c>
      <c r="AR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5" s="8" t="str" cm="1">
        <f t="array" ref="AS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5" s="9">
        <f>IFERROR(OLDBD[[#This Row],[Ingreso Packing]]-OLDBD[[#This Row],[Registro en Packing]],"")</f>
        <v>2.8472222220443655E-2</v>
      </c>
      <c r="AV75" s="9">
        <f>IFERROR(OLDBD[[#This Row],[Ingreso Packing]]-OLDBD[[#This Row],[Llegada a packing]],"")</f>
        <v>3.0555555553291924E-2</v>
      </c>
      <c r="AW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5" s="5">
        <f>IFERROR(OLDBD[[#This Row],[Llegada Almacén de Ingreso]]-OLDBD[[#This Row],[Salida Packing]],"")</f>
        <v>0.25</v>
      </c>
      <c r="AY75" s="4" t="str" cm="1">
        <f t="array" ref="AY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75" s="43" t="s">
        <v>173</v>
      </c>
      <c r="BB75" s="47" t="str">
        <f>IFERROR(IF(MARÍTIMOS[[#This Row],[Estatus]]="","",MARÍTIMOS[[#This Row],[Estatus]]),"")</f>
        <v>Confirmado</v>
      </c>
      <c r="BC75" s="43"/>
      <c r="BD75" s="46">
        <f>IFERROR(OLDBD[[#This Row],[Salida de almacén de retiro]]-OLDBD[[#This Row],[Ingreso Almacén de retiro]],"")</f>
        <v>1.3888888890505768E-2</v>
      </c>
      <c r="BE75" s="46">
        <f>IFERROR(OLDBD[[#This Row],[Fin de Carga]]-OLDBD[[#This Row],[Inicio de Carga]],"")</f>
        <v>2.2916666668606922E-2</v>
      </c>
    </row>
    <row r="76" spans="1:57" customFormat="1" hidden="1">
      <c r="A76" s="1"/>
      <c r="B76" s="1">
        <f>IFERROR(IF(MARÍTIMOS[[#This Row],[PP]]="","",MARÍTIMOS[[#This Row],[PP]]),"")</f>
        <v>36</v>
      </c>
      <c r="C76" s="1" t="str">
        <f>IFERROR(IF(MARÍTIMOS[[#This Row],[Sede]]="","",MARÍTIMOS[[#This Row],[Sede]]),"")</f>
        <v>Olmos</v>
      </c>
      <c r="D76" s="1" t="str">
        <f>IFERROR(IF(MARÍTIMOS[[#This Row],[Instruction]]="","",MARÍTIMOS[[#This Row],[Instruction]]),"")</f>
        <v>RH-0653</v>
      </c>
      <c r="E76" s="1"/>
      <c r="F76" s="2" t="str">
        <f>IFERROR(IF(MARÍTIMOS[[#This Row],[Transportista]]="","",MARÍTIMOS[[#This Row],[Transportista]]),"")</f>
        <v>Costa Transport</v>
      </c>
      <c r="G76" s="2" t="str">
        <f>IFERROR(IF(MARÍTIMOS[[#This Row],[Tercero]]="","",MARÍTIMOS[[#This Row],[Tercero]]),"")</f>
        <v>NO</v>
      </c>
      <c r="H76" s="2" t="str">
        <f>IFERROR(IF(MARÍTIMOS[[#This Row],[Razón Social]]="","",MARÍTIMOS[[#This Row],[Razón Social]]),"")</f>
        <v>TRANSPORTES COSTA TRANSPORT EIRL</v>
      </c>
      <c r="I76" s="2">
        <f>IFERROR(IF(MARÍTIMOS[[#This Row],[RUC]]="","",MARÍTIMOS[[#This Row],[RUC]]),"")</f>
        <v>20525373551</v>
      </c>
      <c r="J76" s="2" t="str">
        <f>IFERROR(IF(MARÍTIMOS[[#This Row],[Placa Tracto]]="","",MARÍTIMOS[[#This Row],[Placa Tracto]]),"")</f>
        <v>BBK-732</v>
      </c>
      <c r="K76" s="2" t="str">
        <f>IFERROR(IF(MARÍTIMOS[[#This Row],[Placa Carreta]]="","",MARÍTIMOS[[#This Row],[Placa Carreta]]),"")</f>
        <v>B7Q-992</v>
      </c>
      <c r="L76" s="44" t="str">
        <f>IFERROR(IF(MARÍTIMOS[[#This Row],[Conductor]]="","",MARÍTIMOS[[#This Row],[Conductor]]),"")</f>
        <v>SEGUNDO AUGUSTO NOLE CHIRA</v>
      </c>
      <c r="M76" s="2" t="str">
        <f>IFERROR(IF(MARÍTIMOS[[#This Row],[Licencia]]="","",MARÍTIMOS[[#This Row],[Licencia]]),"")</f>
        <v>B46734350</v>
      </c>
      <c r="N76" s="2">
        <f>IFERROR(IF(MARÍTIMOS[[#This Row],[Número de Contacto]]="","",MARÍTIMOS[[#This Row],[Número de Contacto]]),"")</f>
        <v>981486067</v>
      </c>
      <c r="O76" s="10" t="str">
        <f>IFERROR(IF(MARÍTIMOS[[#This Row],[Booking|AWB|CRT]]="","",MARÍTIMOS[[#This Row],[Booking|AWB|CRT]]),"")</f>
        <v>MBM250067139</v>
      </c>
      <c r="P76" s="2" t="str">
        <f>IFERROR(IF(MARÍTIMOS[[#This Row],[Contenedor]]="","",MARÍTIMOS[[#This Row],[Contenedor]]),"")</f>
        <v>CAIU5579962</v>
      </c>
      <c r="Q76" s="2" t="str">
        <f>IFERROR(IF(MARÍTIMOS[[#This Row],[Puerto de Retiro]]="","",MARÍTIMOS[[#This Row],[Puerto de Retiro]]),"")</f>
        <v>PAITA</v>
      </c>
      <c r="R76" s="2" t="str">
        <f>IFERROR(IF(MARÍTIMOS[[#This Row],[Almacén de Retiro]]="","",MARÍTIMOS[[#This Row],[Almacén de Retiro]]),"")</f>
        <v>MACROMAR</v>
      </c>
      <c r="S76" s="11">
        <f>IFERROR(IF(MARÍTIMOS[[#This Row],[Etapa Retiro - Cita]]="","",MARÍTIMOS[[#This Row],[Etapa Retiro - Cita]]),"")</f>
        <v>46268.75</v>
      </c>
      <c r="T76" s="11">
        <f>IFERROR(IF(MARÍTIMOS[[#This Row],[Etapa Retiro - Llegada]]="","",MARÍTIMOS[[#This Row],[Etapa Retiro - Llegada]]),"")</f>
        <v>46268.722222222219</v>
      </c>
      <c r="U76" s="11">
        <f>IFERROR(IF(MARÍTIMOS[[#This Row],[Etapa Retiro - Ingreso]]="","",MARÍTIMOS[[#This Row],[Etapa Retiro - Ingreso]]),"")</f>
        <v>46268.73333333333</v>
      </c>
      <c r="V76" s="11">
        <f>IFERROR(IF(MARÍTIMOS[[#This Row],[Etapa Retiro - Atención]]="","",MARÍTIMOS[[#This Row],[Etapa Retiro - Atención]]),"")</f>
        <v>46268.745833333334</v>
      </c>
      <c r="W76" s="11">
        <f>IFERROR(IF(MARÍTIMOS[[#This Row],[Etapa Retiro - Atención]]="","",MARÍTIMOS[[#This Row],[Etapa Retiro - Atención]]),"")</f>
        <v>46268.745833333334</v>
      </c>
      <c r="X76" s="11">
        <f>IFERROR(IF(MARÍTIMOS[[#This Row],[Etapa Retiro - Inicio de Ruta]]="","",MARÍTIMOS[[#This Row],[Etapa Retiro - Inicio de Ruta]]),"")</f>
        <v>46269.112500000003</v>
      </c>
      <c r="Y76" s="11">
        <f>IFERROR(IF(MARÍTIMOS[[#This Row],[Hora de Posicionamiento]]="","",MARÍTIMOS[[#This Row],[Fecha de Carga]]+MARÍTIMOS[[#This Row],[Hora de Posicionamiento]]),"")</f>
        <v>46269.333333333336</v>
      </c>
      <c r="Z76" s="11">
        <f>IFERROR(IF(MARÍTIMOS[[#This Row],[Etapa Despacho - Llegada]]="","",MARÍTIMOS[[#This Row],[Etapa Despacho - Llegada]]),"")</f>
        <v>46269.285416666666</v>
      </c>
      <c r="AA76" s="11">
        <f>IFERROR(IF(MARÍTIMOS[[#This Row],[Etapa Despacho - Registro]]="","",MARÍTIMOS[[#This Row],[Etapa Despacho - Registro]]),"")</f>
        <v>46269.291666666664</v>
      </c>
      <c r="AB76" s="11">
        <f>IFERROR(IF(MARÍTIMOS[[#This Row],[Inspección Externa]]="","",MARÍTIMOS[[#This Row],[Inspección Externa]]),"")</f>
        <v>46269.341666666667</v>
      </c>
      <c r="AC76" s="11">
        <f>IFERROR(IF(MARÍTIMOS[[#This Row],[Etapa Despacho - Inicio de Carga]]="","",MARÍTIMOS[[#This Row],[Etapa Despacho - Inicio de Carga]]),"")</f>
        <v>46269.484722222223</v>
      </c>
      <c r="AD76" s="11">
        <f>IFERROR(IF(MARÍTIMOS[[#This Row],[Etapa Despacho - Mitad de Carga]]="","",MARÍTIMOS[[#This Row],[Etapa Despacho - Mitad de Carga]]),"")</f>
        <v>46269.488194444442</v>
      </c>
      <c r="AE76" s="11">
        <f>IFERROR(IF(MARÍTIMOS[[#This Row],[Etapa Despacho - Fin de Carga]]="","",MARÍTIMOS[[#This Row],[Etapa Despacho - Fin de Carga]]),"")</f>
        <v>46269.5</v>
      </c>
      <c r="AF76" s="2" t="str">
        <f>IFERROR(IF(MARÍTIMOS[[#This Row],[Puerto de Embarque]]="","",MARÍTIMOS[[#This Row],[Puerto de Embarque]]),"")</f>
        <v>Paita</v>
      </c>
      <c r="AG76" s="2" t="str">
        <f>IFERROR(IF(MARÍTIMOS[[#This Row],[Almacén de Ingreso]]="","",MARÍTIMOS[[#This Row],[Almacén de Ingreso]]),"")</f>
        <v>TPE</v>
      </c>
      <c r="AH76" s="11">
        <f>IFERROR(IF(MARÍTIMOS[[#This Row],[Etapa Ingreso - Cita]]="","",MARÍTIMOS[[#This Row],[Etapa Ingreso - Cita]]),"")</f>
        <v>46269.75</v>
      </c>
      <c r="AI76" s="11">
        <f>IFERROR(IF(MARÍTIMOS[[#This Row],[Etapa Ingreso - Llegada]]="","",MARÍTIMOS[[#This Row],[Etapa Ingreso - Llegada]]),"")</f>
        <v>46269.722222222219</v>
      </c>
      <c r="AJ76" s="11">
        <f>IFERROR(IF(MARÍTIMOS[[#This Row],[Etapa Ingreso - Ingeso]]="","",MARÍTIMOS[[#This Row],[Etapa Ingreso - Ingeso]]),"")</f>
        <v>46269.729861111111</v>
      </c>
      <c r="AK76" s="11">
        <f>IFERROR(IF(MARÍTIMOS[[#This Row],[Etapa Ingreso - Atención]]="","",MARÍTIMOS[[#This Row],[Etapa Ingreso - Atención]]),"")</f>
        <v>46269.730555555558</v>
      </c>
      <c r="AL76" s="11">
        <f>IFERROR(IF(MARÍTIMOS[[#This Row],[Etapa Ingreso - Salida]]="","",MARÍTIMOS[[#This Row],[Etapa Ingreso - Salida]]),"")</f>
        <v>46269.73333333333</v>
      </c>
      <c r="AM76" s="2">
        <f>IFERROR(IF(MARÍTIMOS[[#This Row],[FCL]]="","",MARÍTIMOS[[#This Row],[FCL]]),"")</f>
        <v>1</v>
      </c>
      <c r="AN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76" s="4" t="str" cm="1">
        <f t="array" ref="AO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6" s="5">
        <f>IFERROR(OLDBD[[#This Row],[Llegada a packing]]-OLDBD[[#This Row],[Inicio de Ruta]],"")</f>
        <v>0.17291666666278616</v>
      </c>
      <c r="AQ76" s="6">
        <f>IFERROR(OLDBD[[#This Row],[Inicio de Ruta]]-OLDBD[[#This Row],[Salida de almacén de retiro]],"")</f>
        <v>0.36666666666860692</v>
      </c>
      <c r="AR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6" s="8" t="str" cm="1">
        <f t="array" ref="AS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6" s="9">
        <f>IFERROR(OLDBD[[#This Row],[Ingreso Packing]]-OLDBD[[#This Row],[Registro en Packing]],"")</f>
        <v>5.0000000002910383E-2</v>
      </c>
      <c r="AV76" s="9">
        <f>IFERROR(OLDBD[[#This Row],[Ingreso Packing]]-OLDBD[[#This Row],[Llegada a packing]],"")</f>
        <v>5.6250000001455192E-2</v>
      </c>
      <c r="AW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6" s="5">
        <f>IFERROR(OLDBD[[#This Row],[Llegada Almacén de Ingreso]]-OLDBD[[#This Row],[Salida Packing]],"")</f>
        <v>0.22222222221898846</v>
      </c>
      <c r="AY76" s="4" t="str" cm="1">
        <f t="array" ref="AY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76" s="43" t="s">
        <v>173</v>
      </c>
      <c r="BB76" s="47" t="str">
        <f>IFERROR(IF(MARÍTIMOS[[#This Row],[Estatus]]="","",MARÍTIMOS[[#This Row],[Estatus]]),"")</f>
        <v>Confirmado</v>
      </c>
      <c r="BC76" s="43"/>
      <c r="BD76" s="46">
        <f>IFERROR(OLDBD[[#This Row],[Salida de almacén de retiro]]-OLDBD[[#This Row],[Ingreso Almacén de retiro]],"")</f>
        <v>1.2500000004365575E-2</v>
      </c>
      <c r="BE76" s="46">
        <f>IFERROR(OLDBD[[#This Row],[Fin de Carga]]-OLDBD[[#This Row],[Inicio de Carga]],"")</f>
        <v>3.4722222189884633E-3</v>
      </c>
    </row>
    <row r="77" spans="1:57" customFormat="1" hidden="1">
      <c r="A77" s="1"/>
      <c r="B77" s="1">
        <f>IFERROR(IF(MARÍTIMOS[[#This Row],[PP]]="","",MARÍTIMOS[[#This Row],[PP]]),"")</f>
        <v>36</v>
      </c>
      <c r="C77" s="1" t="str">
        <f>IFERROR(IF(MARÍTIMOS[[#This Row],[Sede]]="","",MARÍTIMOS[[#This Row],[Sede]]),"")</f>
        <v>Olmos</v>
      </c>
      <c r="D77" s="1" t="str">
        <f>IFERROR(IF(MARÍTIMOS[[#This Row],[Instruction]]="","",MARÍTIMOS[[#This Row],[Instruction]]),"")</f>
        <v>RH-0654</v>
      </c>
      <c r="E77" s="1"/>
      <c r="F77" s="2" t="str">
        <f>IFERROR(IF(MARÍTIMOS[[#This Row],[Transportista]]="","",MARÍTIMOS[[#This Row],[Transportista]]),"")</f>
        <v>Costa Transport</v>
      </c>
      <c r="G77" s="2" t="str">
        <f>IFERROR(IF(MARÍTIMOS[[#This Row],[Tercero]]="","",MARÍTIMOS[[#This Row],[Tercero]]),"")</f>
        <v>NO</v>
      </c>
      <c r="H77" s="2" t="str">
        <f>IFERROR(IF(MARÍTIMOS[[#This Row],[Razón Social]]="","",MARÍTIMOS[[#This Row],[Razón Social]]),"")</f>
        <v>TRANSPORTES COSTA TRANSPORT EIRL</v>
      </c>
      <c r="I77" s="2">
        <f>IFERROR(IF(MARÍTIMOS[[#This Row],[RUC]]="","",MARÍTIMOS[[#This Row],[RUC]]),"")</f>
        <v>20525373551</v>
      </c>
      <c r="J77" s="2" t="str">
        <f>IFERROR(IF(MARÍTIMOS[[#This Row],[Placa Tracto]]="","",MARÍTIMOS[[#This Row],[Placa Tracto]]),"")</f>
        <v>T3I-854</v>
      </c>
      <c r="K77" s="2" t="str">
        <f>IFERROR(IF(MARÍTIMOS[[#This Row],[Placa Carreta]]="","",MARÍTIMOS[[#This Row],[Placa Carreta]]),"")</f>
        <v>P1J-974</v>
      </c>
      <c r="L77" s="44" t="str">
        <f>IFERROR(IF(MARÍTIMOS[[#This Row],[Conductor]]="","",MARÍTIMOS[[#This Row],[Conductor]]),"")</f>
        <v>ORLANDO BAYONA SILUPU</v>
      </c>
      <c r="M77" s="2" t="str">
        <f>IFERROR(IF(MARÍTIMOS[[#This Row],[Licencia]]="","",MARÍTIMOS[[#This Row],[Licencia]]),"")</f>
        <v>B03679060</v>
      </c>
      <c r="N77" s="2">
        <f>IFERROR(IF(MARÍTIMOS[[#This Row],[Número de Contacto]]="","",MARÍTIMOS[[#This Row],[Número de Contacto]]),"")</f>
        <v>915175272</v>
      </c>
      <c r="O77" s="10" t="str">
        <f>IFERROR(IF(MARÍTIMOS[[#This Row],[Booking|AWB|CRT]]="","",MARÍTIMOS[[#This Row],[Booking|AWB|CRT]]),"")</f>
        <v>BN82783</v>
      </c>
      <c r="P77" s="2" t="str">
        <f>IFERROR(IF(MARÍTIMOS[[#This Row],[Contenedor]]="","",MARÍTIMOS[[#This Row],[Contenedor]]),"")</f>
        <v>TEMU9789934</v>
      </c>
      <c r="Q77" s="2" t="str">
        <f>IFERROR(IF(MARÍTIMOS[[#This Row],[Puerto de Retiro]]="","",MARÍTIMOS[[#This Row],[Puerto de Retiro]]),"")</f>
        <v>PAITA</v>
      </c>
      <c r="R77" s="2" t="str">
        <f>IFERROR(IF(MARÍTIMOS[[#This Row],[Almacén de Retiro]]="","",MARÍTIMOS[[#This Row],[Almacén de Retiro]]),"")</f>
        <v>DPW</v>
      </c>
      <c r="S77" s="11">
        <f>IFERROR(IF(MARÍTIMOS[[#This Row],[Etapa Retiro - Cita]]="","",MARÍTIMOS[[#This Row],[Etapa Retiro - Cita]]),"")</f>
        <v>46271.833333333336</v>
      </c>
      <c r="T77" s="11">
        <f>IFERROR(IF(MARÍTIMOS[[#This Row],[Etapa Retiro - Llegada]]="","",MARÍTIMOS[[#This Row],[Etapa Retiro - Llegada]]),"")</f>
        <v>46271.879861111112</v>
      </c>
      <c r="U77" s="11">
        <f>IFERROR(IF(MARÍTIMOS[[#This Row],[Etapa Retiro - Ingreso]]="","",MARÍTIMOS[[#This Row],[Etapa Retiro - Ingreso]]),"")</f>
        <v>46271.901388888888</v>
      </c>
      <c r="V77" s="11">
        <f>IFERROR(IF(MARÍTIMOS[[#This Row],[Etapa Retiro - Atención]]="","",MARÍTIMOS[[#This Row],[Etapa Retiro - Atención]]),"")</f>
        <v>46271.904166666667</v>
      </c>
      <c r="W77" s="11">
        <f>IFERROR(IF(MARÍTIMOS[[#This Row],[Etapa Retiro - Atención]]="","",MARÍTIMOS[[#This Row],[Etapa Retiro - Atención]]),"")</f>
        <v>46271.904166666667</v>
      </c>
      <c r="X77" s="11">
        <f>IFERROR(IF(MARÍTIMOS[[#This Row],[Etapa Retiro - Inicio de Ruta]]="","",MARÍTIMOS[[#This Row],[Etapa Retiro - Inicio de Ruta]]),"")</f>
        <v>46272.102083333331</v>
      </c>
      <c r="Y77" s="11">
        <f>IFERROR(IF(MARÍTIMOS[[#This Row],[Hora de Posicionamiento]]="","",MARÍTIMOS[[#This Row],[Fecha de Carga]]+MARÍTIMOS[[#This Row],[Hora de Posicionamiento]]),"")</f>
        <v>46272.333333333336</v>
      </c>
      <c r="Z77" s="11">
        <f>IFERROR(IF(MARÍTIMOS[[#This Row],[Etapa Despacho - Llegada]]="","",MARÍTIMOS[[#This Row],[Etapa Despacho - Llegada]]),"")</f>
        <v>46272.308333333334</v>
      </c>
      <c r="AA77" s="11">
        <f>IFERROR(IF(MARÍTIMOS[[#This Row],[Etapa Despacho - Registro]]="","",MARÍTIMOS[[#This Row],[Etapa Despacho - Registro]]),"")</f>
        <v>46272.333333333336</v>
      </c>
      <c r="AB77" s="11">
        <f>IFERROR(IF(MARÍTIMOS[[#This Row],[Inspección Externa]]="","",MARÍTIMOS[[#This Row],[Inspección Externa]]),"")</f>
        <v>46272.337500000001</v>
      </c>
      <c r="AC77" s="11">
        <f>IFERROR(IF(MARÍTIMOS[[#This Row],[Etapa Despacho - Inicio de Carga]]="","",MARÍTIMOS[[#This Row],[Etapa Despacho - Inicio de Carga]]),"")</f>
        <v>46272.543749999997</v>
      </c>
      <c r="AD77" s="11">
        <f>IFERROR(IF(MARÍTIMOS[[#This Row],[Etapa Despacho - Mitad de Carga]]="","",MARÍTIMOS[[#This Row],[Etapa Despacho - Mitad de Carga]]),"")</f>
        <v>46272.563888888886</v>
      </c>
      <c r="AE77" s="11">
        <f>IFERROR(IF(MARÍTIMOS[[#This Row],[Etapa Despacho - Fin de Carga]]="","",MARÍTIMOS[[#This Row],[Etapa Despacho - Fin de Carga]]),"")</f>
        <v>46272.595833333333</v>
      </c>
      <c r="AF77" s="2" t="str">
        <f>IFERROR(IF(MARÍTIMOS[[#This Row],[Puerto de Embarque]]="","",MARÍTIMOS[[#This Row],[Puerto de Embarque]]),"")</f>
        <v>Paita</v>
      </c>
      <c r="AG77" s="2" t="str">
        <f>IFERROR(IF(MARÍTIMOS[[#This Row],[Almacén de Ingreso]]="","",MARÍTIMOS[[#This Row],[Almacén de Ingreso]]),"")</f>
        <v>TPE</v>
      </c>
      <c r="AH77" s="11">
        <f>IFERROR(IF(MARÍTIMOS[[#This Row],[Etapa Ingreso - Cita]]="","",MARÍTIMOS[[#This Row],[Etapa Ingreso - Cita]]),"")</f>
        <v>46272.833333333336</v>
      </c>
      <c r="AI77" s="11">
        <f>IFERROR(IF(MARÍTIMOS[[#This Row],[Etapa Ingreso - Llegada]]="","",MARÍTIMOS[[#This Row],[Etapa Ingreso - Llegada]]),"")</f>
        <v>46272.85833333333</v>
      </c>
      <c r="AJ77" s="11">
        <f>IFERROR(IF(MARÍTIMOS[[#This Row],[Etapa Ingreso - Ingeso]]="","",MARÍTIMOS[[#This Row],[Etapa Ingreso - Ingeso]]),"")</f>
        <v>46272.861805555556</v>
      </c>
      <c r="AK77" s="11">
        <f>IFERROR(IF(MARÍTIMOS[[#This Row],[Etapa Ingreso - Atención]]="","",MARÍTIMOS[[#This Row],[Etapa Ingreso - Atención]]),"")</f>
        <v>46272.871527777781</v>
      </c>
      <c r="AL77" s="11">
        <f>IFERROR(IF(MARÍTIMOS[[#This Row],[Etapa Ingreso - Salida]]="","",MARÍTIMOS[[#This Row],[Etapa Ingreso - Salida]]),"")</f>
        <v>46272.833333333336</v>
      </c>
      <c r="AM77" s="2">
        <f>IFERROR(IF(MARÍTIMOS[[#This Row],[FCL]]="","",MARÍTIMOS[[#This Row],[FCL]]),"")</f>
        <v>1</v>
      </c>
      <c r="AN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77" s="4" t="str" cm="1">
        <f t="array" ref="AO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7" s="5">
        <f>IFERROR(OLDBD[[#This Row],[Llegada a packing]]-OLDBD[[#This Row],[Inicio de Ruta]],"")</f>
        <v>0.20625000000291038</v>
      </c>
      <c r="AQ77" s="6">
        <f>IFERROR(OLDBD[[#This Row],[Inicio de Ruta]]-OLDBD[[#This Row],[Salida de almacén de retiro]],"")</f>
        <v>0.19791666666424135</v>
      </c>
      <c r="AR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7" s="8" t="str" cm="1">
        <f t="array" ref="AS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7" s="9">
        <f>IFERROR(OLDBD[[#This Row],[Ingreso Packing]]-OLDBD[[#This Row],[Registro en Packing]],"")</f>
        <v>4.166666665696539E-3</v>
      </c>
      <c r="AV77" s="9">
        <f>IFERROR(OLDBD[[#This Row],[Ingreso Packing]]-OLDBD[[#This Row],[Llegada a packing]],"")</f>
        <v>2.9166666667151731E-2</v>
      </c>
      <c r="AW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77" s="5">
        <f>IFERROR(OLDBD[[#This Row],[Llegada Almacén de Ingreso]]-OLDBD[[#This Row],[Salida Packing]],"")</f>
        <v>0.26249999999708962</v>
      </c>
      <c r="AY77" s="4" t="str" cm="1">
        <f t="array" ref="AY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77" s="43" t="s">
        <v>173</v>
      </c>
      <c r="BB77" s="47" t="str">
        <f>IFERROR(IF(MARÍTIMOS[[#This Row],[Estatus]]="","",MARÍTIMOS[[#This Row],[Estatus]]),"")</f>
        <v>Confirmado</v>
      </c>
      <c r="BC77" s="43"/>
      <c r="BD77" s="46">
        <f>IFERROR(OLDBD[[#This Row],[Salida de almacén de retiro]]-OLDBD[[#This Row],[Ingreso Almacén de retiro]],"")</f>
        <v>2.7777777795563452E-3</v>
      </c>
      <c r="BE77" s="46">
        <f>IFERROR(OLDBD[[#This Row],[Fin de Carga]]-OLDBD[[#This Row],[Inicio de Carga]],"")</f>
        <v>2.0138888889050577E-2</v>
      </c>
    </row>
    <row r="78" spans="1:57" customFormat="1" hidden="1">
      <c r="A78" s="1"/>
      <c r="B78" s="1">
        <f>IFERROR(IF(MARÍTIMOS[[#This Row],[PP]]="","",MARÍTIMOS[[#This Row],[PP]]),"")</f>
        <v>36</v>
      </c>
      <c r="C78" s="1" t="str">
        <f>IFERROR(IF(MARÍTIMOS[[#This Row],[Sede]]="","",MARÍTIMOS[[#This Row],[Sede]]),"")</f>
        <v>Olmos</v>
      </c>
      <c r="D78" s="1" t="str">
        <f>IFERROR(IF(MARÍTIMOS[[#This Row],[Instruction]]="","",MARÍTIMOS[[#This Row],[Instruction]]),"")</f>
        <v>RH-0655</v>
      </c>
      <c r="E78" s="1"/>
      <c r="F78" s="2" t="str">
        <f>IFERROR(IF(MARÍTIMOS[[#This Row],[Transportista]]="","",MARÍTIMOS[[#This Row],[Transportista]]),"")</f>
        <v>Costa Transport</v>
      </c>
      <c r="G78" s="2" t="str">
        <f>IFERROR(IF(MARÍTIMOS[[#This Row],[Tercero]]="","",MARÍTIMOS[[#This Row],[Tercero]]),"")</f>
        <v>NO</v>
      </c>
      <c r="H78" s="2" t="str">
        <f>IFERROR(IF(MARÍTIMOS[[#This Row],[Razón Social]]="","",MARÍTIMOS[[#This Row],[Razón Social]]),"")</f>
        <v>TRANSPORTES COSTA TRANSPORT EIRL</v>
      </c>
      <c r="I78" s="2">
        <f>IFERROR(IF(MARÍTIMOS[[#This Row],[RUC]]="","",MARÍTIMOS[[#This Row],[RUC]]),"")</f>
        <v>20525373551</v>
      </c>
      <c r="J78" s="2" t="str">
        <f>IFERROR(IF(MARÍTIMOS[[#This Row],[Placa Tracto]]="","",MARÍTIMOS[[#This Row],[Placa Tracto]]),"")</f>
        <v>T3I-840</v>
      </c>
      <c r="K78" s="2" t="str">
        <f>IFERROR(IF(MARÍTIMOS[[#This Row],[Placa Carreta]]="","",MARÍTIMOS[[#This Row],[Placa Carreta]]),"")</f>
        <v>D5W-991</v>
      </c>
      <c r="L78" s="44" t="str">
        <f>IFERROR(IF(MARÍTIMOS[[#This Row],[Conductor]]="","",MARÍTIMOS[[#This Row],[Conductor]]),"")</f>
        <v>CELIO CASTRO ALVAREZ</v>
      </c>
      <c r="M78" s="2" t="str">
        <f>IFERROR(IF(MARÍTIMOS[[#This Row],[Licencia]]="","",MARÍTIMOS[[#This Row],[Licencia]]),"")</f>
        <v>B03498026</v>
      </c>
      <c r="N78" s="2">
        <f>IFERROR(IF(MARÍTIMOS[[#This Row],[Número de Contacto]]="","",MARÍTIMOS[[#This Row],[Número de Contacto]]),"")</f>
        <v>958976357</v>
      </c>
      <c r="O78" s="10" t="str">
        <f>IFERROR(IF(MARÍTIMOS[[#This Row],[Booking|AWB|CRT]]="","",MARÍTIMOS[[#This Row],[Booking|AWB|CRT]]),"")</f>
        <v>BN82784</v>
      </c>
      <c r="P78" s="2" t="str">
        <f>IFERROR(IF(MARÍTIMOS[[#This Row],[Contenedor]]="","",MARÍTIMOS[[#This Row],[Contenedor]]),"")</f>
        <v>TEMU9792619</v>
      </c>
      <c r="Q78" s="2" t="str">
        <f>IFERROR(IF(MARÍTIMOS[[#This Row],[Puerto de Retiro]]="","",MARÍTIMOS[[#This Row],[Puerto de Retiro]]),"")</f>
        <v>PAITA</v>
      </c>
      <c r="R78" s="2" t="str">
        <f>IFERROR(IF(MARÍTIMOS[[#This Row],[Almacén de Retiro]]="","",MARÍTIMOS[[#This Row],[Almacén de Retiro]]),"")</f>
        <v>DPW</v>
      </c>
      <c r="S78" s="11">
        <f>IFERROR(IF(MARÍTIMOS[[#This Row],[Etapa Retiro - Cita]]="","",MARÍTIMOS[[#This Row],[Etapa Retiro - Cita]]),"")</f>
        <v>46271.833333333336</v>
      </c>
      <c r="T78" s="11">
        <f>IFERROR(IF(MARÍTIMOS[[#This Row],[Etapa Retiro - Llegada]]="","",MARÍTIMOS[[#This Row],[Etapa Retiro - Llegada]]),"")</f>
        <v>46271.828472222223</v>
      </c>
      <c r="U78" s="11">
        <f>IFERROR(IF(MARÍTIMOS[[#This Row],[Etapa Retiro - Ingreso]]="","",MARÍTIMOS[[#This Row],[Etapa Retiro - Ingreso]]),"")</f>
        <v>46271.883333333331</v>
      </c>
      <c r="V78" s="11">
        <f>IFERROR(IF(MARÍTIMOS[[#This Row],[Etapa Retiro - Atención]]="","",MARÍTIMOS[[#This Row],[Etapa Retiro - Atención]]),"")</f>
        <v>46271.884722222225</v>
      </c>
      <c r="W78" s="11">
        <f>IFERROR(IF(MARÍTIMOS[[#This Row],[Etapa Retiro - Atención]]="","",MARÍTIMOS[[#This Row],[Etapa Retiro - Atención]]),"")</f>
        <v>46271.884722222225</v>
      </c>
      <c r="X78" s="11">
        <f>IFERROR(IF(MARÍTIMOS[[#This Row],[Etapa Retiro - Inicio de Ruta]]="","",MARÍTIMOS[[#This Row],[Etapa Retiro - Inicio de Ruta]]),"")</f>
        <v>46272.101388888892</v>
      </c>
      <c r="Y78" s="11">
        <f>IFERROR(IF(MARÍTIMOS[[#This Row],[Hora de Posicionamiento]]="","",MARÍTIMOS[[#This Row],[Fecha de Carga]]+MARÍTIMOS[[#This Row],[Hora de Posicionamiento]]),"")</f>
        <v>46272.416666666664</v>
      </c>
      <c r="Z78" s="11">
        <f>IFERROR(IF(MARÍTIMOS[[#This Row],[Etapa Despacho - Llegada]]="","",MARÍTIMOS[[#This Row],[Etapa Despacho - Llegada]]),"")</f>
        <v>46272.275694444441</v>
      </c>
      <c r="AA78" s="11">
        <f>IFERROR(IF(MARÍTIMOS[[#This Row],[Etapa Despacho - Registro]]="","",MARÍTIMOS[[#This Row],[Etapa Despacho - Registro]]),"")</f>
        <v>46272.291666666664</v>
      </c>
      <c r="AB78" s="11">
        <f>IFERROR(IF(MARÍTIMOS[[#This Row],[Inspección Externa]]="","",MARÍTIMOS[[#This Row],[Inspección Externa]]),"")</f>
        <v>46272.32916666667</v>
      </c>
      <c r="AC78" s="11">
        <f>IFERROR(IF(MARÍTIMOS[[#This Row],[Etapa Despacho - Inicio de Carga]]="","",MARÍTIMOS[[#This Row],[Etapa Despacho - Inicio de Carga]]),"")</f>
        <v>46272.527777777781</v>
      </c>
      <c r="AD78" s="11">
        <f>IFERROR(IF(MARÍTIMOS[[#This Row],[Etapa Despacho - Mitad de Carga]]="","",MARÍTIMOS[[#This Row],[Etapa Despacho - Mitad de Carga]]),"")</f>
        <v>46272.543749999997</v>
      </c>
      <c r="AE78" s="11">
        <f>IFERROR(IF(MARÍTIMOS[[#This Row],[Etapa Despacho - Fin de Carga]]="","",MARÍTIMOS[[#This Row],[Etapa Despacho - Fin de Carga]]),"")</f>
        <v>46272.569444444445</v>
      </c>
      <c r="AF78" s="2" t="str">
        <f>IFERROR(IF(MARÍTIMOS[[#This Row],[Puerto de Embarque]]="","",MARÍTIMOS[[#This Row],[Puerto de Embarque]]),"")</f>
        <v>Paita</v>
      </c>
      <c r="AG78" s="2" t="str">
        <f>IFERROR(IF(MARÍTIMOS[[#This Row],[Almacén de Ingreso]]="","",MARÍTIMOS[[#This Row],[Almacén de Ingreso]]),"")</f>
        <v>TPE</v>
      </c>
      <c r="AH78" s="11">
        <f>IFERROR(IF(MARÍTIMOS[[#This Row],[Etapa Ingreso - Cita]]="","",MARÍTIMOS[[#This Row],[Etapa Ingreso - Cita]]),"")</f>
        <v>46272.833333333336</v>
      </c>
      <c r="AI78" s="11">
        <f>IFERROR(IF(MARÍTIMOS[[#This Row],[Etapa Ingreso - Llegada]]="","",MARÍTIMOS[[#This Row],[Etapa Ingreso - Llegada]]),"")</f>
        <v>46272.820138888892</v>
      </c>
      <c r="AJ78" s="11">
        <f>IFERROR(IF(MARÍTIMOS[[#This Row],[Etapa Ingreso - Ingeso]]="","",MARÍTIMOS[[#This Row],[Etapa Ingreso - Ingeso]]),"")</f>
        <v>46272.823611111111</v>
      </c>
      <c r="AK78" s="11">
        <f>IFERROR(IF(MARÍTIMOS[[#This Row],[Etapa Ingreso - Atención]]="","",MARÍTIMOS[[#This Row],[Etapa Ingreso - Atención]]),"")</f>
        <v>46272.829861111109</v>
      </c>
      <c r="AL78" s="11">
        <f>IFERROR(IF(MARÍTIMOS[[#This Row],[Etapa Ingreso - Salida]]="","",MARÍTIMOS[[#This Row],[Etapa Ingreso - Salida]]),"")</f>
        <v>46272.875</v>
      </c>
      <c r="AM78" s="2">
        <f>IFERROR(IF(MARÍTIMOS[[#This Row],[FCL]]="","",MARÍTIMOS[[#This Row],[FCL]]),"")</f>
        <v>1</v>
      </c>
      <c r="AN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78" s="4" t="str" cm="1">
        <f t="array" ref="AO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8" s="5">
        <f>IFERROR(OLDBD[[#This Row],[Llegada a packing]]-OLDBD[[#This Row],[Inicio de Ruta]],"")</f>
        <v>0.17430555554892635</v>
      </c>
      <c r="AQ78" s="6">
        <f>IFERROR(OLDBD[[#This Row],[Inicio de Ruta]]-OLDBD[[#This Row],[Salida de almacén de retiro]],"")</f>
        <v>0.21666666666715173</v>
      </c>
      <c r="AR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8" s="8" t="str" cm="1">
        <f t="array" ref="AS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8" s="9">
        <f>IFERROR(OLDBD[[#This Row],[Ingreso Packing]]-OLDBD[[#This Row],[Registro en Packing]],"")</f>
        <v>3.7500000005820766E-2</v>
      </c>
      <c r="AV78" s="9">
        <f>IFERROR(OLDBD[[#This Row],[Ingreso Packing]]-OLDBD[[#This Row],[Llegada a packing]],"")</f>
        <v>5.3472222229174804E-2</v>
      </c>
      <c r="AW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8" s="5">
        <f>IFERROR(OLDBD[[#This Row],[Llegada Almacén de Ingreso]]-OLDBD[[#This Row],[Salida Packing]],"")</f>
        <v>0.25069444444670808</v>
      </c>
      <c r="AY78" s="4" t="str" cm="1">
        <f t="array" ref="AY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78" s="43" t="s">
        <v>173</v>
      </c>
      <c r="BB78" s="47" t="str">
        <f>IFERROR(IF(MARÍTIMOS[[#This Row],[Estatus]]="","",MARÍTIMOS[[#This Row],[Estatus]]),"")</f>
        <v>Confirmado</v>
      </c>
      <c r="BC78" s="43"/>
      <c r="BD78" s="46">
        <f>IFERROR(OLDBD[[#This Row],[Salida de almacén de retiro]]-OLDBD[[#This Row],[Ingreso Almacén de retiro]],"")</f>
        <v>1.3888888934161514E-3</v>
      </c>
      <c r="BE78" s="46">
        <f>IFERROR(OLDBD[[#This Row],[Fin de Carga]]-OLDBD[[#This Row],[Inicio de Carga]],"")</f>
        <v>1.597222221607808E-2</v>
      </c>
    </row>
    <row r="79" spans="1:57" customFormat="1" hidden="1">
      <c r="A79" s="1"/>
      <c r="B79" s="1">
        <f>IFERROR(IF(MARÍTIMOS[[#This Row],[PP]]="","",MARÍTIMOS[[#This Row],[PP]]),"")</f>
        <v>36</v>
      </c>
      <c r="C79" s="1" t="str">
        <f>IFERROR(IF(MARÍTIMOS[[#This Row],[Sede]]="","",MARÍTIMOS[[#This Row],[Sede]]),"")</f>
        <v>Olmos</v>
      </c>
      <c r="D79" s="1" t="str">
        <f>IFERROR(IF(MARÍTIMOS[[#This Row],[Instruction]]="","",MARÍTIMOS[[#This Row],[Instruction]]),"")</f>
        <v>RH-0656</v>
      </c>
      <c r="E79" s="1"/>
      <c r="F79" s="2" t="str">
        <f>IFERROR(IF(MARÍTIMOS[[#This Row],[Transportista]]="","",MARÍTIMOS[[#This Row],[Transportista]]),"")</f>
        <v>Costa Transport</v>
      </c>
      <c r="G79" s="2" t="str">
        <f>IFERROR(IF(MARÍTIMOS[[#This Row],[Tercero]]="","",MARÍTIMOS[[#This Row],[Tercero]]),"")</f>
        <v>NO</v>
      </c>
      <c r="H79" s="2" t="str">
        <f>IFERROR(IF(MARÍTIMOS[[#This Row],[Razón Social]]="","",MARÍTIMOS[[#This Row],[Razón Social]]),"")</f>
        <v>TRANSPORTES COSTA TRANSPORT EIRL</v>
      </c>
      <c r="I79" s="2">
        <f>IFERROR(IF(MARÍTIMOS[[#This Row],[RUC]]="","",MARÍTIMOS[[#This Row],[RUC]]),"")</f>
        <v>20525373551</v>
      </c>
      <c r="J79" s="2" t="str">
        <f>IFERROR(IF(MARÍTIMOS[[#This Row],[Placa Tracto]]="","",MARÍTIMOS[[#This Row],[Placa Tracto]]),"")</f>
        <v>AVK-728</v>
      </c>
      <c r="K79" s="2" t="str">
        <f>IFERROR(IF(MARÍTIMOS[[#This Row],[Placa Carreta]]="","",MARÍTIMOS[[#This Row],[Placa Carreta]]),"")</f>
        <v>F9S-991</v>
      </c>
      <c r="L79" s="44" t="str">
        <f>IFERROR(IF(MARÍTIMOS[[#This Row],[Conductor]]="","",MARÍTIMOS[[#This Row],[Conductor]]),"")</f>
        <v>NOE VICTORIO NOE GARCIA</v>
      </c>
      <c r="M79" s="2" t="str">
        <f>IFERROR(IF(MARÍTIMOS[[#This Row],[Licencia]]="","",MARÍTIMOS[[#This Row],[Licencia]]),"")</f>
        <v>B42334233</v>
      </c>
      <c r="N79" s="2">
        <f>IFERROR(IF(MARÍTIMOS[[#This Row],[Número de Contacto]]="","",MARÍTIMOS[[#This Row],[Número de Contacto]]),"")</f>
        <v>998230850</v>
      </c>
      <c r="O79" s="10" t="str">
        <f>IFERROR(IF(MARÍTIMOS[[#This Row],[Booking|AWB|CRT]]="","",MARÍTIMOS[[#This Row],[Booking|AWB|CRT]]),"")</f>
        <v>BN82785</v>
      </c>
      <c r="P79" s="2" t="str">
        <f>IFERROR(IF(MARÍTIMOS[[#This Row],[Contenedor]]="","",MARÍTIMOS[[#This Row],[Contenedor]]),"")</f>
        <v>TEMU9789045</v>
      </c>
      <c r="Q79" s="2" t="str">
        <f>IFERROR(IF(MARÍTIMOS[[#This Row],[Puerto de Retiro]]="","",MARÍTIMOS[[#This Row],[Puerto de Retiro]]),"")</f>
        <v>PAITA</v>
      </c>
      <c r="R79" s="2" t="str">
        <f>IFERROR(IF(MARÍTIMOS[[#This Row],[Almacén de Retiro]]="","",MARÍTIMOS[[#This Row],[Almacén de Retiro]]),"")</f>
        <v>DPW</v>
      </c>
      <c r="S79" s="11">
        <f>IFERROR(IF(MARÍTIMOS[[#This Row],[Etapa Retiro - Cita]]="","",MARÍTIMOS[[#This Row],[Etapa Retiro - Cita]]),"")</f>
        <v>46271.833333333336</v>
      </c>
      <c r="T79" s="11">
        <f>IFERROR(IF(MARÍTIMOS[[#This Row],[Etapa Retiro - Llegada]]="","",MARÍTIMOS[[#This Row],[Etapa Retiro - Llegada]]),"")</f>
        <v>46271.857638888891</v>
      </c>
      <c r="U79" s="11">
        <f>IFERROR(IF(MARÍTIMOS[[#This Row],[Etapa Retiro - Ingreso]]="","",MARÍTIMOS[[#This Row],[Etapa Retiro - Ingreso]]),"")</f>
        <v>46271.875694444447</v>
      </c>
      <c r="V79" s="11">
        <f>IFERROR(IF(MARÍTIMOS[[#This Row],[Etapa Retiro - Atención]]="","",MARÍTIMOS[[#This Row],[Etapa Retiro - Atención]]),"")</f>
        <v>46271.885416666664</v>
      </c>
      <c r="W79" s="11">
        <f>IFERROR(IF(MARÍTIMOS[[#This Row],[Etapa Retiro - Atención]]="","",MARÍTIMOS[[#This Row],[Etapa Retiro - Atención]]),"")</f>
        <v>46271.885416666664</v>
      </c>
      <c r="X79" s="11">
        <f>IFERROR(IF(MARÍTIMOS[[#This Row],[Etapa Retiro - Inicio de Ruta]]="","",MARÍTIMOS[[#This Row],[Etapa Retiro - Inicio de Ruta]]),"")</f>
        <v>46272.217361111114</v>
      </c>
      <c r="Y79" s="11">
        <f>IFERROR(IF(MARÍTIMOS[[#This Row],[Hora de Posicionamiento]]="","",MARÍTIMOS[[#This Row],[Fecha de Carga]]+MARÍTIMOS[[#This Row],[Hora de Posicionamiento]]),"")</f>
        <v>46272.5</v>
      </c>
      <c r="Z79" s="11">
        <f>IFERROR(IF(MARÍTIMOS[[#This Row],[Etapa Despacho - Llegada]]="","",MARÍTIMOS[[#This Row],[Etapa Despacho - Llegada]]),"")</f>
        <v>46272.423611111109</v>
      </c>
      <c r="AA79" s="11">
        <f>IFERROR(IF(MARÍTIMOS[[#This Row],[Etapa Despacho - Registro]]="","",MARÍTIMOS[[#This Row],[Etapa Despacho - Registro]]),"")</f>
        <v>46272.429861111108</v>
      </c>
      <c r="AB79" s="11">
        <f>IFERROR(IF(MARÍTIMOS[[#This Row],[Inspección Externa]]="","",MARÍTIMOS[[#This Row],[Inspección Externa]]),"")</f>
        <v>46272.436111111114</v>
      </c>
      <c r="AC79" s="11">
        <f>IFERROR(IF(MARÍTIMOS[[#This Row],[Etapa Despacho - Inicio de Carga]]="","",MARÍTIMOS[[#This Row],[Etapa Despacho - Inicio de Carga]]),"")</f>
        <v>46272.625</v>
      </c>
      <c r="AD79" s="11">
        <f>IFERROR(IF(MARÍTIMOS[[#This Row],[Etapa Despacho - Mitad de Carga]]="","",MARÍTIMOS[[#This Row],[Etapa Despacho - Mitad de Carga]]),"")</f>
        <v>46272.633333333331</v>
      </c>
      <c r="AE79" s="11">
        <f>IFERROR(IF(MARÍTIMOS[[#This Row],[Etapa Despacho - Fin de Carga]]="","",MARÍTIMOS[[#This Row],[Etapa Despacho - Fin de Carga]]),"")</f>
        <v>46272.650694444441</v>
      </c>
      <c r="AF79" s="2" t="str">
        <f>IFERROR(IF(MARÍTIMOS[[#This Row],[Puerto de Embarque]]="","",MARÍTIMOS[[#This Row],[Puerto de Embarque]]),"")</f>
        <v>Paita</v>
      </c>
      <c r="AG79" s="2" t="str">
        <f>IFERROR(IF(MARÍTIMOS[[#This Row],[Almacén de Ingreso]]="","",MARÍTIMOS[[#This Row],[Almacén de Ingreso]]),"")</f>
        <v>TPE</v>
      </c>
      <c r="AH79" s="11">
        <f>IFERROR(IF(MARÍTIMOS[[#This Row],[Etapa Ingreso - Cita]]="","",MARÍTIMOS[[#This Row],[Etapa Ingreso - Cita]]),"")</f>
        <v>46272.916666666664</v>
      </c>
      <c r="AI79" s="11">
        <f>IFERROR(IF(MARÍTIMOS[[#This Row],[Etapa Ingreso - Llegada]]="","",MARÍTIMOS[[#This Row],[Etapa Ingreso - Llegada]]),"")</f>
        <v>46272.902083333334</v>
      </c>
      <c r="AJ79" s="11">
        <f>IFERROR(IF(MARÍTIMOS[[#This Row],[Etapa Ingreso - Ingeso]]="","",MARÍTIMOS[[#This Row],[Etapa Ingreso - Ingeso]]),"")</f>
        <v>46272.902777777781</v>
      </c>
      <c r="AK79" s="11">
        <f>IFERROR(IF(MARÍTIMOS[[#This Row],[Etapa Ingreso - Atención]]="","",MARÍTIMOS[[#This Row],[Etapa Ingreso - Atención]]),"")</f>
        <v>46272.907638888886</v>
      </c>
      <c r="AL79" s="11">
        <f>IFERROR(IF(MARÍTIMOS[[#This Row],[Etapa Ingreso - Salida]]="","",MARÍTIMOS[[#This Row],[Etapa Ingreso - Salida]]),"")</f>
        <v>46272.912499999999</v>
      </c>
      <c r="AM79" s="2">
        <f>IFERROR(IF(MARÍTIMOS[[#This Row],[FCL]]="","",MARÍTIMOS[[#This Row],[FCL]]),"")</f>
        <v>1</v>
      </c>
      <c r="AN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79" s="4" t="str" cm="1">
        <f t="array" ref="AO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79" s="5">
        <f>IFERROR(OLDBD[[#This Row],[Llegada a packing]]-OLDBD[[#This Row],[Inicio de Ruta]],"")</f>
        <v>0.20624999999563443</v>
      </c>
      <c r="AQ79" s="6">
        <f>IFERROR(OLDBD[[#This Row],[Inicio de Ruta]]-OLDBD[[#This Row],[Salida de almacén de retiro]],"")</f>
        <v>0.33194444444961846</v>
      </c>
      <c r="AR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79" s="8" t="str" cm="1">
        <f t="array" ref="AS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79" s="9">
        <f>IFERROR(OLDBD[[#This Row],[Ingreso Packing]]-OLDBD[[#This Row],[Registro en Packing]],"")</f>
        <v>6.2500000058207661E-3</v>
      </c>
      <c r="AV79" s="9">
        <f>IFERROR(OLDBD[[#This Row],[Ingreso Packing]]-OLDBD[[#This Row],[Llegada a packing]],"")</f>
        <v>1.2500000004365575E-2</v>
      </c>
      <c r="AW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79" s="5">
        <f>IFERROR(OLDBD[[#This Row],[Llegada Almacén de Ingreso]]-OLDBD[[#This Row],[Salida Packing]],"")</f>
        <v>0.25138888889341615</v>
      </c>
      <c r="AY79" s="4" t="str" cm="1">
        <f t="array" ref="AY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79" s="43" t="s">
        <v>173</v>
      </c>
      <c r="BB79" s="47" t="str">
        <f>IFERROR(IF(MARÍTIMOS[[#This Row],[Estatus]]="","",MARÍTIMOS[[#This Row],[Estatus]]),"")</f>
        <v>Confirmado</v>
      </c>
      <c r="BC79" s="43"/>
      <c r="BD79" s="46">
        <f>IFERROR(OLDBD[[#This Row],[Salida de almacén de retiro]]-OLDBD[[#This Row],[Ingreso Almacén de retiro]],"")</f>
        <v>9.7222222175332718E-3</v>
      </c>
      <c r="BE79" s="46">
        <f>IFERROR(OLDBD[[#This Row],[Fin de Carga]]-OLDBD[[#This Row],[Inicio de Carga]],"")</f>
        <v>8.333333331393078E-3</v>
      </c>
    </row>
    <row r="80" spans="1:57" hidden="1">
      <c r="A80" s="52"/>
      <c r="B80" s="52">
        <f>IFERROR(IF(MARÍTIMOS[[#This Row],[PP]]="","",MARÍTIMOS[[#This Row],[PP]]),"")</f>
        <v>36</v>
      </c>
      <c r="C80" s="52" t="str">
        <f>IFERROR(IF(MARÍTIMOS[[#This Row],[Sede]]="","",MARÍTIMOS[[#This Row],[Sede]]),"")</f>
        <v>Olmos</v>
      </c>
      <c r="D80" s="52" t="str">
        <f>IFERROR(IF(MARÍTIMOS[[#This Row],[Instruction]]="","",MARÍTIMOS[[#This Row],[Instruction]]),"")</f>
        <v>RH-0657</v>
      </c>
      <c r="E80" s="52"/>
      <c r="F80" s="53" t="str">
        <f>IFERROR(IF(MARÍTIMOS[[#This Row],[Transportista]]="","",MARÍTIMOS[[#This Row],[Transportista]]),"")</f>
        <v>Costa Transport</v>
      </c>
      <c r="G80" s="53" t="str">
        <f>IFERROR(IF(MARÍTIMOS[[#This Row],[Tercero]]="","",MARÍTIMOS[[#This Row],[Tercero]]),"")</f>
        <v>NO</v>
      </c>
      <c r="H80" s="53" t="str">
        <f>IFERROR(IF(MARÍTIMOS[[#This Row],[Razón Social]]="","",MARÍTIMOS[[#This Row],[Razón Social]]),"")</f>
        <v>TRANSPORTES COSTA TRANSPORT EIRL</v>
      </c>
      <c r="I80" s="53">
        <f>IFERROR(IF(MARÍTIMOS[[#This Row],[RUC]]="","",MARÍTIMOS[[#This Row],[RUC]]),"")</f>
        <v>20525373551</v>
      </c>
      <c r="J80" s="53" t="str">
        <f>IFERROR(IF(MARÍTIMOS[[#This Row],[Placa Tracto]]="","",MARÍTIMOS[[#This Row],[Placa Tracto]]),"")</f>
        <v>T3A-807</v>
      </c>
      <c r="K80" s="53" t="str">
        <f>IFERROR(IF(MARÍTIMOS[[#This Row],[Placa Carreta]]="","",MARÍTIMOS[[#This Row],[Placa Carreta]]),"")</f>
        <v>B7Q-991</v>
      </c>
      <c r="L80" s="54" t="str">
        <f>IFERROR(IF(MARÍTIMOS[[#This Row],[Conductor]]="","",MARÍTIMOS[[#This Row],[Conductor]]),"")</f>
        <v>CASTILLO MARTINEZ ALEJANDRO.</v>
      </c>
      <c r="M80" s="53" t="str">
        <f>IFERROR(IF(MARÍTIMOS[[#This Row],[Licencia]]="","",MARÍTIMOS[[#This Row],[Licencia]]),"")</f>
        <v>B02753773</v>
      </c>
      <c r="N80" s="53">
        <f>IFERROR(IF(MARÍTIMOS[[#This Row],[Número de Contacto]]="","",MARÍTIMOS[[#This Row],[Número de Contacto]]),"")</f>
        <v>998255542</v>
      </c>
      <c r="O80" s="55" t="str">
        <f>IFERROR(IF(MARÍTIMOS[[#This Row],[Booking|AWB|CRT]]="","",MARÍTIMOS[[#This Row],[Booking|AWB|CRT]]),"")</f>
        <v>PER9214285A</v>
      </c>
      <c r="P80" s="53" t="str">
        <f>IFERROR(IF(MARÍTIMOS[[#This Row],[Contenedor]]="","",MARÍTIMOS[[#This Row],[Contenedor]]),"")</f>
        <v> CAAU416655-5</v>
      </c>
      <c r="Q80" s="53" t="str">
        <f>IFERROR(IF(MARÍTIMOS[[#This Row],[Puerto de Retiro]]="","",MARÍTIMOS[[#This Row],[Puerto de Retiro]]),"")</f>
        <v>PAITA</v>
      </c>
      <c r="R80" s="53" t="str">
        <f>IFERROR(IF(MARÍTIMOS[[#This Row],[Almacén de Retiro]]="","",MARÍTIMOS[[#This Row],[Almacén de Retiro]]),"")</f>
        <v>DPW</v>
      </c>
      <c r="S80" s="56">
        <f>IFERROR(IF(MARÍTIMOS[[#This Row],[Etapa Retiro - Cita]]="","",MARÍTIMOS[[#This Row],[Etapa Retiro - Cita]]),"")</f>
        <v>46272.625</v>
      </c>
      <c r="T80" s="56">
        <f>IFERROR(IF(MARÍTIMOS[[#This Row],[Etapa Retiro - Llegada]]="","",MARÍTIMOS[[#This Row],[Etapa Retiro - Llegada]]),"")</f>
        <v>46272.616666666669</v>
      </c>
      <c r="U80" s="56">
        <f>IFERROR(IF(MARÍTIMOS[[#This Row],[Etapa Retiro - Ingreso]]="","",MARÍTIMOS[[#This Row],[Etapa Retiro - Ingreso]]),"")</f>
        <v>46272.635416666664</v>
      </c>
      <c r="V80" s="56">
        <f>IFERROR(IF(MARÍTIMOS[[#This Row],[Etapa Retiro - Atención]]="","",MARÍTIMOS[[#This Row],[Etapa Retiro - Atención]]),"")</f>
        <v>46272.64166666667</v>
      </c>
      <c r="W80" s="56">
        <f>IFERROR(IF(MARÍTIMOS[[#This Row],[Etapa Retiro - Atención]]="","",MARÍTIMOS[[#This Row],[Etapa Retiro - Atención]]),"")</f>
        <v>46272.64166666667</v>
      </c>
      <c r="X80" s="56">
        <f>IFERROR(IF(MARÍTIMOS[[#This Row],[Etapa Retiro - Inicio de Ruta]]="","",MARÍTIMOS[[#This Row],[Etapa Retiro - Inicio de Ruta]]),"")</f>
        <v>46273.102777777778</v>
      </c>
      <c r="Y80" s="56">
        <f>IFERROR(IF(MARÍTIMOS[[#This Row],[Hora de Posicionamiento]]="","",MARÍTIMOS[[#This Row],[Fecha de Carga]]+MARÍTIMOS[[#This Row],[Hora de Posicionamiento]]),"")</f>
        <v>46273.333333333336</v>
      </c>
      <c r="Z80" s="56">
        <f>IFERROR(IF(MARÍTIMOS[[#This Row],[Etapa Despacho - Llegada]]="","",MARÍTIMOS[[#This Row],[Etapa Despacho - Llegada]]),"")</f>
        <v>46273.308333333334</v>
      </c>
      <c r="AA80" s="56">
        <f>IFERROR(IF(MARÍTIMOS[[#This Row],[Etapa Despacho - Registro]]="","",MARÍTIMOS[[#This Row],[Etapa Despacho - Registro]]),"")</f>
        <v>46273.3125</v>
      </c>
      <c r="AB80" s="56">
        <f>IFERROR(IF(MARÍTIMOS[[#This Row],[Inspección Externa]]="","",MARÍTIMOS[[#This Row],[Inspección Externa]]),"")</f>
        <v>46273.350694444445</v>
      </c>
      <c r="AC80" s="56">
        <f>IFERROR(IF(MARÍTIMOS[[#This Row],[Etapa Despacho - Inicio de Carga]]="","",MARÍTIMOS[[#This Row],[Etapa Despacho - Inicio de Carga]]),"")</f>
        <v>46273.510416666664</v>
      </c>
      <c r="AD80" s="56">
        <f>IFERROR(IF(MARÍTIMOS[[#This Row],[Etapa Despacho - Mitad de Carga]]="","",MARÍTIMOS[[#This Row],[Etapa Despacho - Mitad de Carga]]),"")</f>
        <v>46273.520833333336</v>
      </c>
      <c r="AE80" s="56">
        <f>IFERROR(IF(MARÍTIMOS[[#This Row],[Etapa Despacho - Fin de Carga]]="","",MARÍTIMOS[[#This Row],[Etapa Despacho - Fin de Carga]]),"")</f>
        <v>46273.53125</v>
      </c>
      <c r="AF80" s="53" t="str">
        <f>IFERROR(IF(MARÍTIMOS[[#This Row],[Puerto de Embarque]]="","",MARÍTIMOS[[#This Row],[Puerto de Embarque]]),"")</f>
        <v>Paita</v>
      </c>
      <c r="AG80" s="53" t="str">
        <f>IFERROR(IF(MARÍTIMOS[[#This Row],[Almacén de Ingreso]]="","",MARÍTIMOS[[#This Row],[Almacén de Ingreso]]),"")</f>
        <v>TPE</v>
      </c>
      <c r="AH80" s="56">
        <f>IFERROR(IF(MARÍTIMOS[[#This Row],[Etapa Ingreso - Cita]]="","",MARÍTIMOS[[#This Row],[Etapa Ingreso - Cita]]),"")</f>
        <v>46273.833333333336</v>
      </c>
      <c r="AI80" s="56">
        <f>IFERROR(IF(MARÍTIMOS[[#This Row],[Etapa Ingreso - Llegada]]="","",MARÍTIMOS[[#This Row],[Etapa Ingreso - Llegada]]),"")</f>
        <v>46273.777777777781</v>
      </c>
      <c r="AJ80" s="56">
        <f>IFERROR(IF(MARÍTIMOS[[#This Row],[Etapa Ingreso - Ingeso]]="","",MARÍTIMOS[[#This Row],[Etapa Ingreso - Ingeso]]),"")</f>
        <v>46273.779166666667</v>
      </c>
      <c r="AK80" s="56">
        <f>IFERROR(IF(MARÍTIMOS[[#This Row],[Etapa Ingreso - Atención]]="","",MARÍTIMOS[[#This Row],[Etapa Ingreso - Atención]]),"")</f>
        <v>46273.781944444447</v>
      </c>
      <c r="AL80" s="56">
        <f>IFERROR(IF(MARÍTIMOS[[#This Row],[Etapa Ingreso - Salida]]="","",MARÍTIMOS[[#This Row],[Etapa Ingreso - Salida]]),"")</f>
        <v>46273.785416666666</v>
      </c>
      <c r="AM80" s="53">
        <f>IFERROR(IF(MARÍTIMOS[[#This Row],[FCL]]="","",MARÍTIMOS[[#This Row],[FCL]]),"")</f>
        <v>1</v>
      </c>
      <c r="AN80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0" s="4" t="str" cm="1">
        <f t="array" ref="AO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0" s="6">
        <f>IFERROR(OLDBD[[#This Row],[Llegada a packing]]-OLDBD[[#This Row],[Inicio de Ruta]],"")</f>
        <v>0.20555555555620231</v>
      </c>
      <c r="AQ80" s="6">
        <f>IFERROR(OLDBD[[#This Row],[Inicio de Ruta]]-OLDBD[[#This Row],[Salida de almacén de retiro]],"")</f>
        <v>0.46111111110803904</v>
      </c>
      <c r="AR80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0" s="8" t="str" cm="1">
        <f t="array" ref="AS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80" s="9">
        <f>IFERROR(OLDBD[[#This Row],[Ingreso Packing]]-OLDBD[[#This Row],[Registro en Packing]],"")</f>
        <v>3.8194444445252884E-2</v>
      </c>
      <c r="AV80" s="9">
        <f>IFERROR(OLDBD[[#This Row],[Ingreso Packing]]-OLDBD[[#This Row],[Llegada a packing]],"")</f>
        <v>4.2361111110949423E-2</v>
      </c>
      <c r="AW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80" s="6">
        <f>IFERROR(OLDBD[[#This Row],[Llegada Almacén de Ingreso]]-OLDBD[[#This Row],[Salida Packing]],"")</f>
        <v>0.24652777778101154</v>
      </c>
      <c r="AY80" s="4" t="str" cm="1">
        <f t="array" ref="AY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0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80" s="58" t="s">
        <v>173</v>
      </c>
      <c r="BB80" s="59" t="str">
        <f>IFERROR(IF(MARÍTIMOS[[#This Row],[Estatus]]="","",MARÍTIMOS[[#This Row],[Estatus]]),"")</f>
        <v>Confirmado</v>
      </c>
      <c r="BC80" s="58"/>
      <c r="BD80" s="60">
        <f>IFERROR(OLDBD[[#This Row],[Salida de almacén de retiro]]-OLDBD[[#This Row],[Ingreso Almacén de retiro]],"")</f>
        <v>6.2500000058207661E-3</v>
      </c>
      <c r="BE80" s="60">
        <f>IFERROR(OLDBD[[#This Row],[Fin de Carga]]-OLDBD[[#This Row],[Inicio de Carga]],"")</f>
        <v>1.0416666671517305E-2</v>
      </c>
    </row>
    <row r="81" spans="1:57" hidden="1">
      <c r="A81" s="52"/>
      <c r="B81" s="52">
        <f>IFERROR(IF(MARÍTIMOS[[#This Row],[PP]]="","",MARÍTIMOS[[#This Row],[PP]]),"")</f>
        <v>37</v>
      </c>
      <c r="C81" s="52" t="str">
        <f>IFERROR(IF(MARÍTIMOS[[#This Row],[Sede]]="","",MARÍTIMOS[[#This Row],[Sede]]),"")</f>
        <v>Olmos</v>
      </c>
      <c r="D81" s="52" t="str">
        <f>IFERROR(IF(MARÍTIMOS[[#This Row],[Instruction]]="","",MARÍTIMOS[[#This Row],[Instruction]]),"")</f>
        <v>RH-0753</v>
      </c>
      <c r="E81" s="52"/>
      <c r="F81" s="53" t="str">
        <f>IFERROR(IF(MARÍTIMOS[[#This Row],[Transportista]]="","",MARÍTIMOS[[#This Row],[Transportista]]),"")</f>
        <v>Costa Transport</v>
      </c>
      <c r="G81" s="53" t="str">
        <f>IFERROR(IF(MARÍTIMOS[[#This Row],[Tercero]]="","",MARÍTIMOS[[#This Row],[Tercero]]),"")</f>
        <v>NO</v>
      </c>
      <c r="H81" s="53" t="str">
        <f>IFERROR(IF(MARÍTIMOS[[#This Row],[Razón Social]]="","",MARÍTIMOS[[#This Row],[Razón Social]]),"")</f>
        <v>TRANSPORTES COSTA TRANSPORT EIRL</v>
      </c>
      <c r="I81" s="53">
        <f>IFERROR(IF(MARÍTIMOS[[#This Row],[RUC]]="","",MARÍTIMOS[[#This Row],[RUC]]),"")</f>
        <v>20525373551</v>
      </c>
      <c r="J81" s="53" t="str">
        <f>IFERROR(IF(MARÍTIMOS[[#This Row],[Placa Tracto]]="","",MARÍTIMOS[[#This Row],[Placa Tracto]]),"")</f>
        <v>TFY-879</v>
      </c>
      <c r="K81" s="53" t="str">
        <f>IFERROR(IF(MARÍTIMOS[[#This Row],[Placa Carreta]]="","",MARÍTIMOS[[#This Row],[Placa Carreta]]),"")</f>
        <v>A1G-973</v>
      </c>
      <c r="L81" s="54" t="str">
        <f>IFERROR(IF(MARÍTIMOS[[#This Row],[Conductor]]="","",MARÍTIMOS[[#This Row],[Conductor]]),"")</f>
        <v>JORGE LUIS AZO RUIZ</v>
      </c>
      <c r="M81" s="53" t="str">
        <f>IFERROR(IF(MARÍTIMOS[[#This Row],[Licencia]]="","",MARÍTIMOS[[#This Row],[Licencia]]),"")</f>
        <v>B03874735</v>
      </c>
      <c r="N81" s="53">
        <f>IFERROR(IF(MARÍTIMOS[[#This Row],[Número de Contacto]]="","",MARÍTIMOS[[#This Row],[Número de Contacto]]),"")</f>
        <v>998231122</v>
      </c>
      <c r="O81" s="55" t="str">
        <f>IFERROR(IF(MARÍTIMOS[[#This Row],[Booking|AWB|CRT]]="","",MARÍTIMOS[[#This Row],[Booking|AWB|CRT]]),"")</f>
        <v>MBM250067147</v>
      </c>
      <c r="P81" s="53" t="str">
        <f>IFERROR(IF(MARÍTIMOS[[#This Row],[Contenedor]]="","",MARÍTIMOS[[#This Row],[Contenedor]]),"")</f>
        <v>CAIU5565300</v>
      </c>
      <c r="Q81" s="53" t="str">
        <f>IFERROR(IF(MARÍTIMOS[[#This Row],[Puerto de Retiro]]="","",MARÍTIMOS[[#This Row],[Puerto de Retiro]]),"")</f>
        <v>PAITA</v>
      </c>
      <c r="R81" s="53" t="str">
        <f>IFERROR(IF(MARÍTIMOS[[#This Row],[Almacén de Retiro]]="","",MARÍTIMOS[[#This Row],[Almacén de Retiro]]),"")</f>
        <v>MACROMAR</v>
      </c>
      <c r="S81" s="56">
        <f>IFERROR(IF(MARÍTIMOS[[#This Row],[Etapa Retiro - Cita]]="","",MARÍTIMOS[[#This Row],[Etapa Retiro - Cita]]),"")</f>
        <v>46274.875</v>
      </c>
      <c r="T81" s="56">
        <f>IFERROR(IF(MARÍTIMOS[[#This Row],[Etapa Retiro - Llegada]]="","",MARÍTIMOS[[#This Row],[Etapa Retiro - Llegada]]),"")</f>
        <v>46274.855555555558</v>
      </c>
      <c r="U81" s="56">
        <f>IFERROR(IF(MARÍTIMOS[[#This Row],[Etapa Retiro - Ingreso]]="","",MARÍTIMOS[[#This Row],[Etapa Retiro - Ingreso]]),"")</f>
        <v>46274.875</v>
      </c>
      <c r="V81" s="56">
        <f>IFERROR(IF(MARÍTIMOS[[#This Row],[Etapa Retiro - Atención]]="","",MARÍTIMOS[[#This Row],[Etapa Retiro - Atención]]),"")</f>
        <v>46274.875</v>
      </c>
      <c r="W81" s="56">
        <f>IFERROR(IF(MARÍTIMOS[[#This Row],[Etapa Retiro - Atención]]="","",MARÍTIMOS[[#This Row],[Etapa Retiro - Atención]]),"")</f>
        <v>46274.875</v>
      </c>
      <c r="X81" s="56">
        <f>IFERROR(IF(MARÍTIMOS[[#This Row],[Etapa Retiro - Inicio de Ruta]]="","",MARÍTIMOS[[#This Row],[Etapa Retiro - Inicio de Ruta]]),"")</f>
        <v>46275.207638888889</v>
      </c>
      <c r="Y81" s="56">
        <f>IFERROR(IF(MARÍTIMOS[[#This Row],[Hora de Posicionamiento]]="","",MARÍTIMOS[[#This Row],[Fecha de Carga]]+MARÍTIMOS[[#This Row],[Hora de Posicionamiento]]),"")</f>
        <v>46275.5</v>
      </c>
      <c r="Z81" s="56">
        <f>IFERROR(IF(MARÍTIMOS[[#This Row],[Etapa Despacho - Llegada]]="","",MARÍTIMOS[[#This Row],[Etapa Despacho - Llegada]]),"")</f>
        <v>46275.388888888891</v>
      </c>
      <c r="AA81" s="56">
        <f>IFERROR(IF(MARÍTIMOS[[#This Row],[Etapa Despacho - Registro]]="","",MARÍTIMOS[[#This Row],[Etapa Despacho - Registro]]),"")</f>
        <v>46275.393055555556</v>
      </c>
      <c r="AB81" s="56">
        <f>IFERROR(IF(MARÍTIMOS[[#This Row],[Inspección Externa]]="","",MARÍTIMOS[[#This Row],[Inspección Externa]]),"")</f>
        <v>46275.429166666669</v>
      </c>
      <c r="AC81" s="56">
        <f>IFERROR(IF(MARÍTIMOS[[#This Row],[Etapa Despacho - Inicio de Carga]]="","",MARÍTIMOS[[#This Row],[Etapa Despacho - Inicio de Carga]]),"")</f>
        <v>46275.701388888891</v>
      </c>
      <c r="AD81" s="56">
        <f>IFERROR(IF(MARÍTIMOS[[#This Row],[Etapa Despacho - Mitad de Carga]]="","",MARÍTIMOS[[#This Row],[Etapa Despacho - Mitad de Carga]]),"")</f>
        <v>46275.701388888891</v>
      </c>
      <c r="AE81" s="56">
        <f>IFERROR(IF(MARÍTIMOS[[#This Row],[Etapa Despacho - Fin de Carga]]="","",MARÍTIMOS[[#This Row],[Etapa Despacho - Fin de Carga]]),"")</f>
        <v>46275.743055555555</v>
      </c>
      <c r="AF81" s="53" t="str">
        <f>IFERROR(IF(MARÍTIMOS[[#This Row],[Puerto de Embarque]]="","",MARÍTIMOS[[#This Row],[Puerto de Embarque]]),"")</f>
        <v>Paita</v>
      </c>
      <c r="AG81" s="53" t="str">
        <f>IFERROR(IF(MARÍTIMOS[[#This Row],[Almacén de Ingreso]]="","",MARÍTIMOS[[#This Row],[Almacén de Ingreso]]),"")</f>
        <v>TPE</v>
      </c>
      <c r="AH81" s="56">
        <f>IFERROR(IF(MARÍTIMOS[[#This Row],[Etapa Ingreso - Cita]]="","",MARÍTIMOS[[#This Row],[Etapa Ingreso - Cita]]),"")</f>
        <v>46276.041666666664</v>
      </c>
      <c r="AI81" s="56">
        <f>IFERROR(IF(MARÍTIMOS[[#This Row],[Etapa Ingreso - Llegada]]="","",MARÍTIMOS[[#This Row],[Etapa Ingreso - Llegada]]),"")</f>
        <v>46275.989583333336</v>
      </c>
      <c r="AJ81" s="56">
        <f>IFERROR(IF(MARÍTIMOS[[#This Row],[Etapa Ingreso - Ingeso]]="","",MARÍTIMOS[[#This Row],[Etapa Ingreso - Ingeso]]),"")</f>
        <v>46275.989583333336</v>
      </c>
      <c r="AK81" s="56">
        <f>IFERROR(IF(MARÍTIMOS[[#This Row],[Etapa Ingreso - Atención]]="","",MARÍTIMOS[[#This Row],[Etapa Ingreso - Atención]]),"")</f>
        <v>46275.996527777781</v>
      </c>
      <c r="AL81" s="56">
        <f>IFERROR(IF(MARÍTIMOS[[#This Row],[Etapa Ingreso - Salida]]="","",MARÍTIMOS[[#This Row],[Etapa Ingreso - Salida]]),"")</f>
        <v>46276.001388888886</v>
      </c>
      <c r="AM81" s="53">
        <f>IFERROR(IF(MARÍTIMOS[[#This Row],[FCL]]="","",MARÍTIMOS[[#This Row],[FCL]]),"")</f>
        <v>1</v>
      </c>
      <c r="AN81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1" s="4" t="str" cm="1">
        <f t="array" ref="AO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1" s="6">
        <f>IFERROR(OLDBD[[#This Row],[Llegada a packing]]-OLDBD[[#This Row],[Inicio de Ruta]],"")</f>
        <v>0.18125000000145519</v>
      </c>
      <c r="AQ81" s="6">
        <f>IFERROR(OLDBD[[#This Row],[Inicio de Ruta]]-OLDBD[[#This Row],[Salida de almacén de retiro]],"")</f>
        <v>0.33263888888905058</v>
      </c>
      <c r="AR81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1" s="8" t="str" cm="1">
        <f t="array" ref="AS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81" s="9">
        <f>IFERROR(OLDBD[[#This Row],[Ingreso Packing]]-OLDBD[[#This Row],[Registro en Packing]],"")</f>
        <v>3.6111111112404615E-2</v>
      </c>
      <c r="AV81" s="9">
        <f>IFERROR(OLDBD[[#This Row],[Ingreso Packing]]-OLDBD[[#This Row],[Llegada a packing]],"")</f>
        <v>4.0277777778101154E-2</v>
      </c>
      <c r="AW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81" s="6">
        <f>IFERROR(OLDBD[[#This Row],[Llegada Almacén de Ingreso]]-OLDBD[[#This Row],[Salida Packing]],"")</f>
        <v>0.24652777778101154</v>
      </c>
      <c r="AY81" s="4" t="str" cm="1">
        <f t="array" ref="AY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1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81" s="58" t="s">
        <v>173</v>
      </c>
      <c r="BB81" s="59" t="str">
        <f>IFERROR(IF(MARÍTIMOS[[#This Row],[Estatus]]="","",MARÍTIMOS[[#This Row],[Estatus]]),"")</f>
        <v>Confirmado</v>
      </c>
      <c r="BC81" s="58"/>
      <c r="BD81" s="60">
        <f>IFERROR(OLDBD[[#This Row],[Salida de almacén de retiro]]-OLDBD[[#This Row],[Ingreso Almacén de retiro]],"")</f>
        <v>0</v>
      </c>
      <c r="BE81" s="60">
        <f>IFERROR(OLDBD[[#This Row],[Fin de Carga]]-OLDBD[[#This Row],[Inicio de Carga]],"")</f>
        <v>0</v>
      </c>
    </row>
    <row r="82" spans="1:57" hidden="1">
      <c r="A82" s="52"/>
      <c r="B82" s="52">
        <f>IFERROR(IF(MARÍTIMOS[[#This Row],[PP]]="","",MARÍTIMOS[[#This Row],[PP]]),"")</f>
        <v>37</v>
      </c>
      <c r="C82" s="52" t="str">
        <f>IFERROR(IF(MARÍTIMOS[[#This Row],[Sede]]="","",MARÍTIMOS[[#This Row],[Sede]]),"")</f>
        <v>Olmos</v>
      </c>
      <c r="D82" s="52" t="str">
        <f>IFERROR(IF(MARÍTIMOS[[#This Row],[Instruction]]="","",MARÍTIMOS[[#This Row],[Instruction]]),"")</f>
        <v>RH-0755</v>
      </c>
      <c r="E82" s="52"/>
      <c r="F82" s="53" t="str">
        <f>IFERROR(IF(MARÍTIMOS[[#This Row],[Transportista]]="","",MARÍTIMOS[[#This Row],[Transportista]]),"")</f>
        <v>Costa Transport</v>
      </c>
      <c r="G82" s="53" t="str">
        <f>IFERROR(IF(MARÍTIMOS[[#This Row],[Tercero]]="","",MARÍTIMOS[[#This Row],[Tercero]]),"")</f>
        <v>NO</v>
      </c>
      <c r="H82" s="53" t="str">
        <f>IFERROR(IF(MARÍTIMOS[[#This Row],[Razón Social]]="","",MARÍTIMOS[[#This Row],[Razón Social]]),"")</f>
        <v>TRANSPORTES COSTA TRANSPORT EIRL</v>
      </c>
      <c r="I82" s="53">
        <f>IFERROR(IF(MARÍTIMOS[[#This Row],[RUC]]="","",MARÍTIMOS[[#This Row],[RUC]]),"")</f>
        <v>20525373551</v>
      </c>
      <c r="J82" s="53" t="str">
        <f>IFERROR(IF(MARÍTIMOS[[#This Row],[Placa Tracto]]="","",MARÍTIMOS[[#This Row],[Placa Tracto]]),"")</f>
        <v>AVK-728</v>
      </c>
      <c r="K82" s="53" t="str">
        <f>IFERROR(IF(MARÍTIMOS[[#This Row],[Placa Carreta]]="","",MARÍTIMOS[[#This Row],[Placa Carreta]]),"")</f>
        <v>F9S-991</v>
      </c>
      <c r="L82" s="54" t="str">
        <f>IFERROR(IF(MARÍTIMOS[[#This Row],[Conductor]]="","",MARÍTIMOS[[#This Row],[Conductor]]),"")</f>
        <v>NOE VICTORIO NOE GARCIA</v>
      </c>
      <c r="M82" s="53" t="str">
        <f>IFERROR(IF(MARÍTIMOS[[#This Row],[Licencia]]="","",MARÍTIMOS[[#This Row],[Licencia]]),"")</f>
        <v>B42334233</v>
      </c>
      <c r="N82" s="53">
        <f>IFERROR(IF(MARÍTIMOS[[#This Row],[Número de Contacto]]="","",MARÍTIMOS[[#This Row],[Número de Contacto]]),"")</f>
        <v>998230850</v>
      </c>
      <c r="O82" s="55" t="str">
        <f>IFERROR(IF(MARÍTIMOS[[#This Row],[Booking|AWB|CRT]]="","",MARÍTIMOS[[#This Row],[Booking|AWB|CRT]]),"")</f>
        <v>MBM250067149</v>
      </c>
      <c r="P82" s="53" t="str">
        <f>IFERROR(IF(MARÍTIMOS[[#This Row],[Contenedor]]="","",MARÍTIMOS[[#This Row],[Contenedor]]),"")</f>
        <v>BMOU9651258</v>
      </c>
      <c r="Q82" s="53" t="str">
        <f>IFERROR(IF(MARÍTIMOS[[#This Row],[Puerto de Retiro]]="","",MARÍTIMOS[[#This Row],[Puerto de Retiro]]),"")</f>
        <v>PAITA</v>
      </c>
      <c r="R82" s="53" t="str">
        <f>IFERROR(IF(MARÍTIMOS[[#This Row],[Almacén de Retiro]]="","",MARÍTIMOS[[#This Row],[Almacén de Retiro]]),"")</f>
        <v>MACROMAR</v>
      </c>
      <c r="S82" s="56">
        <f>IFERROR(IF(MARÍTIMOS[[#This Row],[Etapa Retiro - Cita]]="","",MARÍTIMOS[[#This Row],[Etapa Retiro - Cita]]),"")</f>
        <v>46275.875</v>
      </c>
      <c r="T82" s="56">
        <f>IFERROR(IF(MARÍTIMOS[[#This Row],[Etapa Retiro - Llegada]]="","",MARÍTIMOS[[#This Row],[Etapa Retiro - Llegada]]),"")</f>
        <v>46275.875</v>
      </c>
      <c r="U82" s="56">
        <f>IFERROR(IF(MARÍTIMOS[[#This Row],[Etapa Retiro - Ingreso]]="","",MARÍTIMOS[[#This Row],[Etapa Retiro - Ingreso]]),"")</f>
        <v>46275.888888888891</v>
      </c>
      <c r="V82" s="56">
        <f>IFERROR(IF(MARÍTIMOS[[#This Row],[Etapa Retiro - Atención]]="","",MARÍTIMOS[[#This Row],[Etapa Retiro - Atención]]),"")</f>
        <v>46275.905555555553</v>
      </c>
      <c r="W82" s="56">
        <f>IFERROR(IF(MARÍTIMOS[[#This Row],[Etapa Retiro - Atención]]="","",MARÍTIMOS[[#This Row],[Etapa Retiro - Atención]]),"")</f>
        <v>46275.905555555553</v>
      </c>
      <c r="X82" s="56">
        <f>IFERROR(IF(MARÍTIMOS[[#This Row],[Etapa Retiro - Inicio de Ruta]]="","",MARÍTIMOS[[#This Row],[Etapa Retiro - Inicio de Ruta]]),"")</f>
        <v>46276.17083333333</v>
      </c>
      <c r="Y82" s="56">
        <f>IFERROR(IF(MARÍTIMOS[[#This Row],[Hora de Posicionamiento]]="","",MARÍTIMOS[[#This Row],[Fecha de Carga]]+MARÍTIMOS[[#This Row],[Hora de Posicionamiento]]),"")</f>
        <v>46276.375</v>
      </c>
      <c r="Z82" s="56">
        <f>IFERROR(IF(MARÍTIMOS[[#This Row],[Etapa Despacho - Llegada]]="","",MARÍTIMOS[[#This Row],[Etapa Despacho - Llegada]]),"")</f>
        <v>46276.375</v>
      </c>
      <c r="AA82" s="56">
        <f>IFERROR(IF(MARÍTIMOS[[#This Row],[Etapa Despacho - Registro]]="","",MARÍTIMOS[[#This Row],[Etapa Despacho - Registro]]),"")</f>
        <v>46276.40625</v>
      </c>
      <c r="AB82" s="56">
        <f>IFERROR(IF(MARÍTIMOS[[#This Row],[Inspección Externa]]="","",MARÍTIMOS[[#This Row],[Inspección Externa]]),"")</f>
        <v>46276.416666666664</v>
      </c>
      <c r="AC82" s="56">
        <f>IFERROR(IF(MARÍTIMOS[[#This Row],[Etapa Despacho - Inicio de Carga]]="","",MARÍTIMOS[[#This Row],[Etapa Despacho - Inicio de Carga]]),"")</f>
        <v>46276.479166666664</v>
      </c>
      <c r="AD82" s="56">
        <f>IFERROR(IF(MARÍTIMOS[[#This Row],[Etapa Despacho - Mitad de Carga]]="","",MARÍTIMOS[[#This Row],[Etapa Despacho - Mitad de Carga]]),"")</f>
        <v>46276.490277777775</v>
      </c>
      <c r="AE82" s="56">
        <f>IFERROR(IF(MARÍTIMOS[[#This Row],[Etapa Despacho - Fin de Carga]]="","",MARÍTIMOS[[#This Row],[Etapa Despacho - Fin de Carga]]),"")</f>
        <v>46276.5</v>
      </c>
      <c r="AF82" s="53" t="str">
        <f>IFERROR(IF(MARÍTIMOS[[#This Row],[Puerto de Embarque]]="","",MARÍTIMOS[[#This Row],[Puerto de Embarque]]),"")</f>
        <v>Paita</v>
      </c>
      <c r="AG82" s="53" t="str">
        <f>IFERROR(IF(MARÍTIMOS[[#This Row],[Almacén de Ingreso]]="","",MARÍTIMOS[[#This Row],[Almacén de Ingreso]]),"")</f>
        <v>TPE</v>
      </c>
      <c r="AH82" s="56">
        <f>IFERROR(IF(MARÍTIMOS[[#This Row],[Etapa Ingreso - Cita]]="","",MARÍTIMOS[[#This Row],[Etapa Ingreso - Cita]]),"")</f>
        <v>46276.791666666664</v>
      </c>
      <c r="AI82" s="56">
        <f>IFERROR(IF(MARÍTIMOS[[#This Row],[Etapa Ingreso - Llegada]]="","",MARÍTIMOS[[#This Row],[Etapa Ingreso - Llegada]]),"")</f>
        <v>46276.777777777781</v>
      </c>
      <c r="AJ82" s="56">
        <f>IFERROR(IF(MARÍTIMOS[[#This Row],[Etapa Ingreso - Ingeso]]="","",MARÍTIMOS[[#This Row],[Etapa Ingreso - Ingeso]]),"")</f>
        <v>46276.77847222222</v>
      </c>
      <c r="AK82" s="56">
        <f>IFERROR(IF(MARÍTIMOS[[#This Row],[Etapa Ingreso - Atención]]="","",MARÍTIMOS[[#This Row],[Etapa Ingreso - Atención]]),"")</f>
        <v>46276.784722222219</v>
      </c>
      <c r="AL82" s="56">
        <f>IFERROR(IF(MARÍTIMOS[[#This Row],[Etapa Ingreso - Salida]]="","",MARÍTIMOS[[#This Row],[Etapa Ingreso - Salida]]),"")</f>
        <v>46276.790277777778</v>
      </c>
      <c r="AM82" s="53">
        <f>IFERROR(IF(MARÍTIMOS[[#This Row],[FCL]]="","",MARÍTIMOS[[#This Row],[FCL]]),"")</f>
        <v>1</v>
      </c>
      <c r="AN82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2" s="4" t="str" cm="1">
        <f t="array" ref="AO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2" s="6">
        <f>IFERROR(OLDBD[[#This Row],[Llegada a packing]]-OLDBD[[#This Row],[Inicio de Ruta]],"")</f>
        <v>0.20416666667006211</v>
      </c>
      <c r="AQ82" s="6">
        <f>IFERROR(OLDBD[[#This Row],[Inicio de Ruta]]-OLDBD[[#This Row],[Salida de almacén de retiro]],"")</f>
        <v>0.26527777777664596</v>
      </c>
      <c r="AR82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2" s="8" t="str" cm="1">
        <f t="array" ref="AS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82" s="9">
        <f>IFERROR(OLDBD[[#This Row],[Ingreso Packing]]-OLDBD[[#This Row],[Registro en Packing]],"")</f>
        <v>1.0416666664241347E-2</v>
      </c>
      <c r="AV82" s="9">
        <f>IFERROR(OLDBD[[#This Row],[Ingreso Packing]]-OLDBD[[#This Row],[Llegada a packing]],"")</f>
        <v>4.1666666664241347E-2</v>
      </c>
      <c r="AW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82" s="6">
        <f>IFERROR(OLDBD[[#This Row],[Llegada Almacén de Ingreso]]-OLDBD[[#This Row],[Salida Packing]],"")</f>
        <v>0.27777777778101154</v>
      </c>
      <c r="AY82" s="4" t="str" cm="1">
        <f t="array" ref="AY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2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82" s="58" t="s">
        <v>173</v>
      </c>
      <c r="BB82" s="59" t="str">
        <f>IFERROR(IF(MARÍTIMOS[[#This Row],[Estatus]]="","",MARÍTIMOS[[#This Row],[Estatus]]),"")</f>
        <v>Confirmado</v>
      </c>
      <c r="BC82" s="58"/>
      <c r="BD82" s="60">
        <f>IFERROR(OLDBD[[#This Row],[Salida de almacén de retiro]]-OLDBD[[#This Row],[Ingreso Almacén de retiro]],"")</f>
        <v>1.6666666662786156E-2</v>
      </c>
      <c r="BE82" s="60">
        <f>IFERROR(OLDBD[[#This Row],[Fin de Carga]]-OLDBD[[#This Row],[Inicio de Carga]],"")</f>
        <v>1.1111111110949423E-2</v>
      </c>
    </row>
    <row r="83" spans="1:57" hidden="1">
      <c r="A83" s="52"/>
      <c r="B83" s="52">
        <f>IFERROR(IF(MARÍTIMOS[[#This Row],[PP]]="","",MARÍTIMOS[[#This Row],[PP]]),"")</f>
        <v>37</v>
      </c>
      <c r="C83" s="52" t="str">
        <f>IFERROR(IF(MARÍTIMOS[[#This Row],[Sede]]="","",MARÍTIMOS[[#This Row],[Sede]]),"")</f>
        <v>Olmos</v>
      </c>
      <c r="D83" s="52" t="str">
        <f>IFERROR(IF(MARÍTIMOS[[#This Row],[Instruction]]="","",MARÍTIMOS[[#This Row],[Instruction]]),"")</f>
        <v>RH-0756</v>
      </c>
      <c r="E83" s="52"/>
      <c r="F83" s="53" t="str">
        <f>IFERROR(IF(MARÍTIMOS[[#This Row],[Transportista]]="","",MARÍTIMOS[[#This Row],[Transportista]]),"")</f>
        <v>Costa Transport</v>
      </c>
      <c r="G83" s="53" t="str">
        <f>IFERROR(IF(MARÍTIMOS[[#This Row],[Tercero]]="","",MARÍTIMOS[[#This Row],[Tercero]]),"")</f>
        <v>NO</v>
      </c>
      <c r="H83" s="53" t="str">
        <f>IFERROR(IF(MARÍTIMOS[[#This Row],[Razón Social]]="","",MARÍTIMOS[[#This Row],[Razón Social]]),"")</f>
        <v>TRANSPORTES COSTA TRANSPORT EIRL</v>
      </c>
      <c r="I83" s="53">
        <f>IFERROR(IF(MARÍTIMOS[[#This Row],[RUC]]="","",MARÍTIMOS[[#This Row],[RUC]]),"")</f>
        <v>20525373551</v>
      </c>
      <c r="J83" s="53" t="str">
        <f>IFERROR(IF(MARÍTIMOS[[#This Row],[Placa Tracto]]="","",MARÍTIMOS[[#This Row],[Placa Tracto]]),"")</f>
        <v>TFY-879</v>
      </c>
      <c r="K83" s="53" t="str">
        <f>IFERROR(IF(MARÍTIMOS[[#This Row],[Placa Carreta]]="","",MARÍTIMOS[[#This Row],[Placa Carreta]]),"")</f>
        <v>A1G-973</v>
      </c>
      <c r="L83" s="54" t="str">
        <f>IFERROR(IF(MARÍTIMOS[[#This Row],[Conductor]]="","",MARÍTIMOS[[#This Row],[Conductor]]),"")</f>
        <v>JORGE LUIS AZO RUIZ</v>
      </c>
      <c r="M83" s="53" t="str">
        <f>IFERROR(IF(MARÍTIMOS[[#This Row],[Licencia]]="","",MARÍTIMOS[[#This Row],[Licencia]]),"")</f>
        <v>B03874735</v>
      </c>
      <c r="N83" s="53">
        <f>IFERROR(IF(MARÍTIMOS[[#This Row],[Número de Contacto]]="","",MARÍTIMOS[[#This Row],[Número de Contacto]]),"")</f>
        <v>998231122</v>
      </c>
      <c r="O83" s="55" t="str">
        <f>IFERROR(IF(MARÍTIMOS[[#This Row],[Booking|AWB|CRT]]="","",MARÍTIMOS[[#This Row],[Booking|AWB|CRT]]),"")</f>
        <v>BN83151</v>
      </c>
      <c r="P83" s="53" t="str">
        <f>IFERROR(IF(MARÍTIMOS[[#This Row],[Contenedor]]="","",MARÍTIMOS[[#This Row],[Contenedor]]),"")</f>
        <v> TEMU9792780</v>
      </c>
      <c r="Q83" s="53" t="str">
        <f>IFERROR(IF(MARÍTIMOS[[#This Row],[Puerto de Retiro]]="","",MARÍTIMOS[[#This Row],[Puerto de Retiro]]),"")</f>
        <v>PAITA</v>
      </c>
      <c r="R83" s="53" t="str">
        <f>IFERROR(IF(MARÍTIMOS[[#This Row],[Almacén de Retiro]]="","",MARÍTIMOS[[#This Row],[Almacén de Retiro]]),"")</f>
        <v>DPW</v>
      </c>
      <c r="S83" s="56">
        <f>IFERROR(IF(MARÍTIMOS[[#This Row],[Etapa Retiro - Cita]]="","",MARÍTIMOS[[#This Row],[Etapa Retiro - Cita]]),"")</f>
        <v>46278.75</v>
      </c>
      <c r="T83" s="56">
        <f>IFERROR(IF(MARÍTIMOS[[#This Row],[Etapa Retiro - Llegada]]="","",MARÍTIMOS[[#This Row],[Etapa Retiro - Llegada]]),"")</f>
        <v>46278.71875</v>
      </c>
      <c r="U83" s="56">
        <f>IFERROR(IF(MARÍTIMOS[[#This Row],[Etapa Retiro - Ingreso]]="","",MARÍTIMOS[[#This Row],[Etapa Retiro - Ingreso]]),"")</f>
        <v>46278.729166666664</v>
      </c>
      <c r="V83" s="56">
        <f>IFERROR(IF(MARÍTIMOS[[#This Row],[Etapa Retiro - Atención]]="","",MARÍTIMOS[[#This Row],[Etapa Retiro - Atención]]),"")</f>
        <v>46278.729166666664</v>
      </c>
      <c r="W83" s="56">
        <f>IFERROR(IF(MARÍTIMOS[[#This Row],[Etapa Retiro - Atención]]="","",MARÍTIMOS[[#This Row],[Etapa Retiro - Atención]]),"")</f>
        <v>46278.729166666664</v>
      </c>
      <c r="X83" s="56">
        <f>IFERROR(IF(MARÍTIMOS[[#This Row],[Etapa Retiro - Inicio de Ruta]]="","",MARÍTIMOS[[#This Row],[Etapa Retiro - Inicio de Ruta]]),"")</f>
        <v>46278.775000000001</v>
      </c>
      <c r="Y83" s="56">
        <f>IFERROR(IF(MARÍTIMOS[[#This Row],[Hora de Posicionamiento]]="","",MARÍTIMOS[[#This Row],[Fecha de Carga]]+MARÍTIMOS[[#This Row],[Hora de Posicionamiento]]),"")</f>
        <v>46279.333333333336</v>
      </c>
      <c r="Z83" s="56">
        <f>IFERROR(IF(MARÍTIMOS[[#This Row],[Etapa Despacho - Llegada]]="","",MARÍTIMOS[[#This Row],[Etapa Despacho - Llegada]]),"")</f>
        <v>46278.954861111109</v>
      </c>
      <c r="AA83" s="56">
        <f>IFERROR(IF(MARÍTIMOS[[#This Row],[Etapa Despacho - Registro]]="","",MARÍTIMOS[[#This Row],[Etapa Despacho - Registro]]),"")</f>
        <v>46279.319444444445</v>
      </c>
      <c r="AB83" s="56">
        <f>IFERROR(IF(MARÍTIMOS[[#This Row],[Inspección Externa]]="","",MARÍTIMOS[[#This Row],[Inspección Externa]]),"")</f>
        <v>46279.327777777777</v>
      </c>
      <c r="AC83" s="56">
        <f>IFERROR(IF(MARÍTIMOS[[#This Row],[Etapa Despacho - Inicio de Carga]]="","",MARÍTIMOS[[#This Row],[Etapa Despacho - Inicio de Carga]]),"")</f>
        <v>46279.423611111109</v>
      </c>
      <c r="AD83" s="56">
        <f>IFERROR(IF(MARÍTIMOS[[#This Row],[Etapa Despacho - Mitad de Carga]]="","",MARÍTIMOS[[#This Row],[Etapa Despacho - Mitad de Carga]]),"")</f>
        <v>46279.51666666667</v>
      </c>
      <c r="AE83" s="56">
        <f>IFERROR(IF(MARÍTIMOS[[#This Row],[Etapa Despacho - Fin de Carga]]="","",MARÍTIMOS[[#This Row],[Etapa Despacho - Fin de Carga]]),"")</f>
        <v>46279.51666666667</v>
      </c>
      <c r="AF83" s="53" t="str">
        <f>IFERROR(IF(MARÍTIMOS[[#This Row],[Puerto de Embarque]]="","",MARÍTIMOS[[#This Row],[Puerto de Embarque]]),"")</f>
        <v>Paita</v>
      </c>
      <c r="AG83" s="53" t="str">
        <f>IFERROR(IF(MARÍTIMOS[[#This Row],[Almacén de Ingreso]]="","",MARÍTIMOS[[#This Row],[Almacén de Ingreso]]),"")</f>
        <v>TPE</v>
      </c>
      <c r="AH83" s="56">
        <f>IFERROR(IF(MARÍTIMOS[[#This Row],[Etapa Ingreso - Cita]]="","",MARÍTIMOS[[#This Row],[Etapa Ingreso - Cita]]),"")</f>
        <v>46279.791666666664</v>
      </c>
      <c r="AI83" s="56">
        <f>IFERROR(IF(MARÍTIMOS[[#This Row],[Etapa Ingreso - Llegada]]="","",MARÍTIMOS[[#This Row],[Etapa Ingreso - Llegada]]),"")</f>
        <v>46279.752083333333</v>
      </c>
      <c r="AJ83" s="56">
        <f>IFERROR(IF(MARÍTIMOS[[#This Row],[Etapa Ingreso - Ingeso]]="","",MARÍTIMOS[[#This Row],[Etapa Ingreso - Ingeso]]),"")</f>
        <v>46279.753472222219</v>
      </c>
      <c r="AK83" s="56">
        <f>IFERROR(IF(MARÍTIMOS[[#This Row],[Etapa Ingreso - Atención]]="","",MARÍTIMOS[[#This Row],[Etapa Ingreso - Atención]]),"")</f>
        <v>46279.753472222219</v>
      </c>
      <c r="AL83" s="56">
        <f>IFERROR(IF(MARÍTIMOS[[#This Row],[Etapa Ingreso - Salida]]="","",MARÍTIMOS[[#This Row],[Etapa Ingreso - Salida]]),"")</f>
        <v>46279.76458333333</v>
      </c>
      <c r="AM83" s="53">
        <f>IFERROR(IF(MARÍTIMOS[[#This Row],[FCL]]="","",MARÍTIMOS[[#This Row],[FCL]]),"")</f>
        <v>1</v>
      </c>
      <c r="AN83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83" s="4" t="str" cm="1">
        <f t="array" ref="AO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3" s="6">
        <f>IFERROR(OLDBD[[#This Row],[Llegada a packing]]-OLDBD[[#This Row],[Inicio de Ruta]],"")</f>
        <v>0.17986111110803904</v>
      </c>
      <c r="AQ83" s="6">
        <f>IFERROR(OLDBD[[#This Row],[Inicio de Ruta]]-OLDBD[[#This Row],[Salida de almacén de retiro]],"")</f>
        <v>4.5833333337213844E-2</v>
      </c>
      <c r="AR83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3" s="8" t="str" cm="1">
        <f t="array" ref="AS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83" s="9">
        <f>IFERROR(OLDBD[[#This Row],[Ingreso Packing]]-OLDBD[[#This Row],[Registro en Packing]],"")</f>
        <v>8.333333331393078E-3</v>
      </c>
      <c r="AV83" s="9">
        <f>IFERROR(OLDBD[[#This Row],[Ingreso Packing]]-OLDBD[[#This Row],[Llegada a packing]],"")</f>
        <v>0.37291666666715173</v>
      </c>
      <c r="AW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83" s="6">
        <f>IFERROR(OLDBD[[#This Row],[Llegada Almacén de Ingreso]]-OLDBD[[#This Row],[Salida Packing]],"")</f>
        <v>0.23541666666278616</v>
      </c>
      <c r="AY83" s="4" t="str" cm="1">
        <f t="array" ref="AY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3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83" s="58" t="s">
        <v>173</v>
      </c>
      <c r="BB83" s="59" t="str">
        <f>IFERROR(IF(MARÍTIMOS[[#This Row],[Estatus]]="","",MARÍTIMOS[[#This Row],[Estatus]]),"")</f>
        <v>Confirmado</v>
      </c>
      <c r="BC83" s="58"/>
      <c r="BD83" s="60">
        <f>IFERROR(OLDBD[[#This Row],[Salida de almacén de retiro]]-OLDBD[[#This Row],[Ingreso Almacén de retiro]],"")</f>
        <v>0</v>
      </c>
      <c r="BE83" s="60">
        <f>IFERROR(OLDBD[[#This Row],[Fin de Carga]]-OLDBD[[#This Row],[Inicio de Carga]],"")</f>
        <v>9.3055555560567882E-2</v>
      </c>
    </row>
    <row r="84" spans="1:57" hidden="1">
      <c r="A84" s="52"/>
      <c r="B84" s="52">
        <f>IFERROR(IF(MARÍTIMOS[[#This Row],[PP]]="","",MARÍTIMOS[[#This Row],[PP]]),"")</f>
        <v>37</v>
      </c>
      <c r="C84" s="52" t="str">
        <f>IFERROR(IF(MARÍTIMOS[[#This Row],[Sede]]="","",MARÍTIMOS[[#This Row],[Sede]]),"")</f>
        <v>Olmos</v>
      </c>
      <c r="D84" s="52" t="str">
        <f>IFERROR(IF(MARÍTIMOS[[#This Row],[Instruction]]="","",MARÍTIMOS[[#This Row],[Instruction]]),"")</f>
        <v>RH-0757</v>
      </c>
      <c r="E84" s="52"/>
      <c r="F84" s="53" t="str">
        <f>IFERROR(IF(MARÍTIMOS[[#This Row],[Transportista]]="","",MARÍTIMOS[[#This Row],[Transportista]]),"")</f>
        <v>Costa Transport</v>
      </c>
      <c r="G84" s="53" t="str">
        <f>IFERROR(IF(MARÍTIMOS[[#This Row],[Tercero]]="","",MARÍTIMOS[[#This Row],[Tercero]]),"")</f>
        <v>NO</v>
      </c>
      <c r="H84" s="53" t="str">
        <f>IFERROR(IF(MARÍTIMOS[[#This Row],[Razón Social]]="","",MARÍTIMOS[[#This Row],[Razón Social]]),"")</f>
        <v>TRANSPORTES COSTA TRANSPORT EIRL</v>
      </c>
      <c r="I84" s="53">
        <f>IFERROR(IF(MARÍTIMOS[[#This Row],[RUC]]="","",MARÍTIMOS[[#This Row],[RUC]]),"")</f>
        <v>20525373551</v>
      </c>
      <c r="J84" s="53" t="str">
        <f>IFERROR(IF(MARÍTIMOS[[#This Row],[Placa Tracto]]="","",MARÍTIMOS[[#This Row],[Placa Tracto]]),"")</f>
        <v>T4P-934</v>
      </c>
      <c r="K84" s="53" t="str">
        <f>IFERROR(IF(MARÍTIMOS[[#This Row],[Placa Carreta]]="","",MARÍTIMOS[[#This Row],[Placa Carreta]]),"")</f>
        <v>TMF-989</v>
      </c>
      <c r="L84" s="54" t="str">
        <f>IFERROR(IF(MARÍTIMOS[[#This Row],[Conductor]]="","",MARÍTIMOS[[#This Row],[Conductor]]),"")</f>
        <v>ALFONSO HUMBERTO ASTUDILLO AGUILAR</v>
      </c>
      <c r="M84" s="53" t="str">
        <f>IFERROR(IF(MARÍTIMOS[[#This Row],[Licencia]]="","",MARÍTIMOS[[#This Row],[Licencia]]),"")</f>
        <v>B03591182</v>
      </c>
      <c r="N84" s="53">
        <f>IFERROR(IF(MARÍTIMOS[[#This Row],[Número de Contacto]]="","",MARÍTIMOS[[#This Row],[Número de Contacto]]),"")</f>
        <v>922425697</v>
      </c>
      <c r="O84" s="55" t="str">
        <f>IFERROR(IF(MARÍTIMOS[[#This Row],[Booking|AWB|CRT]]="","",MARÍTIMOS[[#This Row],[Booking|AWB|CRT]]),"")</f>
        <v>BN83152</v>
      </c>
      <c r="P84" s="53" t="str">
        <f>IFERROR(IF(MARÍTIMOS[[#This Row],[Contenedor]]="","",MARÍTIMOS[[#This Row],[Contenedor]]),"")</f>
        <v>TEMU9488885</v>
      </c>
      <c r="Q84" s="53" t="str">
        <f>IFERROR(IF(MARÍTIMOS[[#This Row],[Puerto de Retiro]]="","",MARÍTIMOS[[#This Row],[Puerto de Retiro]]),"")</f>
        <v>PAITA</v>
      </c>
      <c r="R84" s="53" t="str">
        <f>IFERROR(IF(MARÍTIMOS[[#This Row],[Almacén de Retiro]]="","",MARÍTIMOS[[#This Row],[Almacén de Retiro]]),"")</f>
        <v>DPW</v>
      </c>
      <c r="S84" s="56">
        <f>IFERROR(IF(MARÍTIMOS[[#This Row],[Etapa Retiro - Cita]]="","",MARÍTIMOS[[#This Row],[Etapa Retiro - Cita]]),"")</f>
        <v>46278.375</v>
      </c>
      <c r="T84" s="56">
        <f>IFERROR(IF(MARÍTIMOS[[#This Row],[Etapa Retiro - Llegada]]="","",MARÍTIMOS[[#This Row],[Etapa Retiro - Llegada]]),"")</f>
        <v>46278.388888888891</v>
      </c>
      <c r="U84" s="56">
        <f>IFERROR(IF(MARÍTIMOS[[#This Row],[Etapa Retiro - Ingreso]]="","",MARÍTIMOS[[#This Row],[Etapa Retiro - Ingreso]]),"")</f>
        <v>46278.390972222223</v>
      </c>
      <c r="V84" s="56">
        <f>IFERROR(IF(MARÍTIMOS[[#This Row],[Etapa Retiro - Atención]]="","",MARÍTIMOS[[#This Row],[Etapa Retiro - Atención]]),"")</f>
        <v>46278.427083333336</v>
      </c>
      <c r="W84" s="56">
        <f>IFERROR(IF(MARÍTIMOS[[#This Row],[Etapa Retiro - Atención]]="","",MARÍTIMOS[[#This Row],[Etapa Retiro - Atención]]),"")</f>
        <v>46278.427083333336</v>
      </c>
      <c r="X84" s="56">
        <f>IFERROR(IF(MARÍTIMOS[[#This Row],[Etapa Retiro - Inicio de Ruta]]="","",MARÍTIMOS[[#This Row],[Etapa Retiro - Inicio de Ruta]]),"")</f>
        <v>46278.772222222222</v>
      </c>
      <c r="Y84" s="56">
        <f>IFERROR(IF(MARÍTIMOS[[#This Row],[Hora de Posicionamiento]]="","",MARÍTIMOS[[#This Row],[Fecha de Carga]]+MARÍTIMOS[[#This Row],[Hora de Posicionamiento]]),"")</f>
        <v>46279.333333333336</v>
      </c>
      <c r="Z84" s="56">
        <f>IFERROR(IF(MARÍTIMOS[[#This Row],[Etapa Despacho - Llegada]]="","",MARÍTIMOS[[#This Row],[Etapa Despacho - Llegada]]),"")</f>
        <v>46278.954861111109</v>
      </c>
      <c r="AA84" s="56">
        <f>IFERROR(IF(MARÍTIMOS[[#This Row],[Etapa Despacho - Registro]]="","",MARÍTIMOS[[#This Row],[Etapa Despacho - Registro]]),"")</f>
        <v>46279.333333333336</v>
      </c>
      <c r="AB84" s="56">
        <f>IFERROR(IF(MARÍTIMOS[[#This Row],[Inspección Externa]]="","",MARÍTIMOS[[#This Row],[Inspección Externa]]),"")</f>
        <v>46279.344444444447</v>
      </c>
      <c r="AC84" s="56">
        <f>IFERROR(IF(MARÍTIMOS[[#This Row],[Etapa Despacho - Inicio de Carga]]="","",MARÍTIMOS[[#This Row],[Etapa Despacho - Inicio de Carga]]),"")</f>
        <v>46279.420138888891</v>
      </c>
      <c r="AD84" s="56">
        <f>IFERROR(IF(MARÍTIMOS[[#This Row],[Etapa Despacho - Mitad de Carga]]="","",MARÍTIMOS[[#This Row],[Etapa Despacho - Mitad de Carga]]),"")</f>
        <v>46279.480555555558</v>
      </c>
      <c r="AE84" s="56">
        <f>IFERROR(IF(MARÍTIMOS[[#This Row],[Etapa Despacho - Fin de Carga]]="","",MARÍTIMOS[[#This Row],[Etapa Despacho - Fin de Carga]]),"")</f>
        <v>46279.517361111109</v>
      </c>
      <c r="AF84" s="53" t="str">
        <f>IFERROR(IF(MARÍTIMOS[[#This Row],[Puerto de Embarque]]="","",MARÍTIMOS[[#This Row],[Puerto de Embarque]]),"")</f>
        <v>Paita</v>
      </c>
      <c r="AG84" s="53" t="str">
        <f>IFERROR(IF(MARÍTIMOS[[#This Row],[Almacén de Ingreso]]="","",MARÍTIMOS[[#This Row],[Almacén de Ingreso]]),"")</f>
        <v>TPE</v>
      </c>
      <c r="AH84" s="56">
        <f>IFERROR(IF(MARÍTIMOS[[#This Row],[Etapa Ingreso - Cita]]="","",MARÍTIMOS[[#This Row],[Etapa Ingreso - Cita]]),"")</f>
        <v>46279.791666666664</v>
      </c>
      <c r="AI84" s="56">
        <f>IFERROR(IF(MARÍTIMOS[[#This Row],[Etapa Ingreso - Llegada]]="","",MARÍTIMOS[[#This Row],[Etapa Ingreso - Llegada]]),"")</f>
        <v>46279.76458333333</v>
      </c>
      <c r="AJ84" s="56">
        <f>IFERROR(IF(MARÍTIMOS[[#This Row],[Etapa Ingreso - Ingeso]]="","",MARÍTIMOS[[#This Row],[Etapa Ingreso - Ingeso]]),"")</f>
        <v>46279.765972222223</v>
      </c>
      <c r="AK84" s="56">
        <f>IFERROR(IF(MARÍTIMOS[[#This Row],[Etapa Ingreso - Atención]]="","",MARÍTIMOS[[#This Row],[Etapa Ingreso - Atención]]),"")</f>
        <v>46279.765972222223</v>
      </c>
      <c r="AL84" s="56">
        <f>IFERROR(IF(MARÍTIMOS[[#This Row],[Etapa Ingreso - Salida]]="","",MARÍTIMOS[[#This Row],[Etapa Ingreso - Salida]]),"")</f>
        <v>46279.779166666667</v>
      </c>
      <c r="AM84" s="53">
        <f>IFERROR(IF(MARÍTIMOS[[#This Row],[FCL]]="","",MARÍTIMOS[[#This Row],[FCL]]),"")</f>
        <v>1</v>
      </c>
      <c r="AN84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4" s="4" t="str" cm="1">
        <f t="array" ref="AO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4" s="6">
        <f>IFERROR(OLDBD[[#This Row],[Llegada a packing]]-OLDBD[[#This Row],[Inicio de Ruta]],"")</f>
        <v>0.18263888888759539</v>
      </c>
      <c r="AQ84" s="6">
        <f>IFERROR(OLDBD[[#This Row],[Inicio de Ruta]]-OLDBD[[#This Row],[Salida de almacén de retiro]],"")</f>
        <v>0.34513888888614019</v>
      </c>
      <c r="AR84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4" s="8" t="str" cm="1">
        <f t="array" ref="AS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84" s="9">
        <f>IFERROR(OLDBD[[#This Row],[Ingreso Packing]]-OLDBD[[#This Row],[Registro en Packing]],"")</f>
        <v>1.1111111110949423E-2</v>
      </c>
      <c r="AV84" s="9">
        <f>IFERROR(OLDBD[[#This Row],[Ingreso Packing]]-OLDBD[[#This Row],[Llegada a packing]],"")</f>
        <v>0.38958333333721384</v>
      </c>
      <c r="AW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84" s="6">
        <f>IFERROR(OLDBD[[#This Row],[Llegada Almacén de Ingreso]]-OLDBD[[#This Row],[Salida Packing]],"")</f>
        <v>0.24722222222044365</v>
      </c>
      <c r="AY84" s="4" t="str" cm="1">
        <f t="array" ref="AY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4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84" s="58" t="s">
        <v>173</v>
      </c>
      <c r="BB84" s="59" t="str">
        <f>IFERROR(IF(MARÍTIMOS[[#This Row],[Estatus]]="","",MARÍTIMOS[[#This Row],[Estatus]]),"")</f>
        <v>Confirmado</v>
      </c>
      <c r="BC84" s="58"/>
      <c r="BD84" s="60">
        <f>IFERROR(OLDBD[[#This Row],[Salida de almacén de retiro]]-OLDBD[[#This Row],[Ingreso Almacén de retiro]],"")</f>
        <v>3.6111111112404615E-2</v>
      </c>
      <c r="BE84" s="60">
        <f>IFERROR(OLDBD[[#This Row],[Fin de Carga]]-OLDBD[[#This Row],[Inicio de Carga]],"")</f>
        <v>6.0416666667151731E-2</v>
      </c>
    </row>
    <row r="85" spans="1:57" hidden="1">
      <c r="A85" s="52"/>
      <c r="B85" s="52">
        <f>IFERROR(IF(MARÍTIMOS[[#This Row],[PP]]="","",MARÍTIMOS[[#This Row],[PP]]),"")</f>
        <v>37</v>
      </c>
      <c r="C85" s="52" t="str">
        <f>IFERROR(IF(MARÍTIMOS[[#This Row],[Sede]]="","",MARÍTIMOS[[#This Row],[Sede]]),"")</f>
        <v>Olmos</v>
      </c>
      <c r="D85" s="52" t="str">
        <f>IFERROR(IF(MARÍTIMOS[[#This Row],[Instruction]]="","",MARÍTIMOS[[#This Row],[Instruction]]),"")</f>
        <v>RH-0758</v>
      </c>
      <c r="E85" s="52"/>
      <c r="F85" s="53" t="str">
        <f>IFERROR(IF(MARÍTIMOS[[#This Row],[Transportista]]="","",MARÍTIMOS[[#This Row],[Transportista]]),"")</f>
        <v>Costa Transport</v>
      </c>
      <c r="G85" s="53" t="str">
        <f>IFERROR(IF(MARÍTIMOS[[#This Row],[Tercero]]="","",MARÍTIMOS[[#This Row],[Tercero]]),"")</f>
        <v>NO</v>
      </c>
      <c r="H85" s="53" t="str">
        <f>IFERROR(IF(MARÍTIMOS[[#This Row],[Razón Social]]="","",MARÍTIMOS[[#This Row],[Razón Social]]),"")</f>
        <v>TRANSPORTES COSTA TRANSPORT EIRL</v>
      </c>
      <c r="I85" s="53">
        <f>IFERROR(IF(MARÍTIMOS[[#This Row],[RUC]]="","",MARÍTIMOS[[#This Row],[RUC]]),"")</f>
        <v>20525373551</v>
      </c>
      <c r="J85" s="53" t="str">
        <f>IFERROR(IF(MARÍTIMOS[[#This Row],[Placa Tracto]]="","",MARÍTIMOS[[#This Row],[Placa Tracto]]),"")</f>
        <v>C3Y-864</v>
      </c>
      <c r="K85" s="53" t="str">
        <f>IFERROR(IF(MARÍTIMOS[[#This Row],[Placa Carreta]]="","",MARÍTIMOS[[#This Row],[Placa Carreta]]),"")</f>
        <v>TNW-982</v>
      </c>
      <c r="L85" s="54" t="str">
        <f>IFERROR(IF(MARÍTIMOS[[#This Row],[Conductor]]="","",MARÍTIMOS[[#This Row],[Conductor]]),"")</f>
        <v>SEGUNDO TEODORO FLOREANO ORDINOLA.</v>
      </c>
      <c r="M85" s="53" t="str">
        <f>IFERROR(IF(MARÍTIMOS[[#This Row],[Licencia]]="","",MARÍTIMOS[[#This Row],[Licencia]]),"")</f>
        <v>C43049791</v>
      </c>
      <c r="N85" s="53">
        <f>IFERROR(IF(MARÍTIMOS[[#This Row],[Número de Contacto]]="","",MARÍTIMOS[[#This Row],[Número de Contacto]]),"")</f>
        <v>996830815</v>
      </c>
      <c r="O85" s="55" t="str">
        <f>IFERROR(IF(MARÍTIMOS[[#This Row],[Booking|AWB|CRT]]="","",MARÍTIMOS[[#This Row],[Booking|AWB|CRT]]),"")</f>
        <v>BN83153</v>
      </c>
      <c r="P85" s="53" t="str">
        <f>IFERROR(IF(MARÍTIMOS[[#This Row],[Contenedor]]="","",MARÍTIMOS[[#This Row],[Contenedor]]),"")</f>
        <v>SEKU9199089</v>
      </c>
      <c r="Q85" s="53" t="str">
        <f>IFERROR(IF(MARÍTIMOS[[#This Row],[Puerto de Retiro]]="","",MARÍTIMOS[[#This Row],[Puerto de Retiro]]),"")</f>
        <v>PAITA</v>
      </c>
      <c r="R85" s="53" t="str">
        <f>IFERROR(IF(MARÍTIMOS[[#This Row],[Almacén de Retiro]]="","",MARÍTIMOS[[#This Row],[Almacén de Retiro]]),"")</f>
        <v>DPW</v>
      </c>
      <c r="S85" s="56">
        <f>IFERROR(IF(MARÍTIMOS[[#This Row],[Etapa Retiro - Cita]]="","",MARÍTIMOS[[#This Row],[Etapa Retiro - Cita]]),"")</f>
        <v>46278.833333333336</v>
      </c>
      <c r="T85" s="56">
        <f>IFERROR(IF(MARÍTIMOS[[#This Row],[Etapa Retiro - Llegada]]="","",MARÍTIMOS[[#This Row],[Etapa Retiro - Llegada]]),"")</f>
        <v>46278.840277777781</v>
      </c>
      <c r="U85" s="56">
        <f>IFERROR(IF(MARÍTIMOS[[#This Row],[Etapa Retiro - Ingreso]]="","",MARÍTIMOS[[#This Row],[Etapa Retiro - Ingreso]]),"")</f>
        <v>46278.854166666664</v>
      </c>
      <c r="V85" s="56">
        <f>IFERROR(IF(MARÍTIMOS[[#This Row],[Etapa Retiro - Atención]]="","",MARÍTIMOS[[#This Row],[Etapa Retiro - Atención]]),"")</f>
        <v>46278.854166666664</v>
      </c>
      <c r="W85" s="56">
        <f>IFERROR(IF(MARÍTIMOS[[#This Row],[Etapa Retiro - Atención]]="","",MARÍTIMOS[[#This Row],[Etapa Retiro - Atención]]),"")</f>
        <v>46278.854166666664</v>
      </c>
      <c r="X85" s="56">
        <f>IFERROR(IF(MARÍTIMOS[[#This Row],[Etapa Retiro - Inicio de Ruta]]="","",MARÍTIMOS[[#This Row],[Etapa Retiro - Inicio de Ruta]]),"")</f>
        <v>46279.166666666664</v>
      </c>
      <c r="Y85" s="56">
        <f>IFERROR(IF(MARÍTIMOS[[#This Row],[Hora de Posicionamiento]]="","",MARÍTIMOS[[#This Row],[Fecha de Carga]]+MARÍTIMOS[[#This Row],[Hora de Posicionamiento]]),"")</f>
        <v>46279.416666666664</v>
      </c>
      <c r="Z85" s="56">
        <f>IFERROR(IF(MARÍTIMOS[[#This Row],[Etapa Despacho - Llegada]]="","",MARÍTIMOS[[#This Row],[Etapa Despacho - Llegada]]),"")</f>
        <v>46279.399305555555</v>
      </c>
      <c r="AA85" s="56">
        <f>IFERROR(IF(MARÍTIMOS[[#This Row],[Etapa Despacho - Registro]]="","",MARÍTIMOS[[#This Row],[Etapa Despacho - Registro]]),"")</f>
        <v>46279.402777777781</v>
      </c>
      <c r="AB85" s="56">
        <f>IFERROR(IF(MARÍTIMOS[[#This Row],[Inspección Externa]]="","",MARÍTIMOS[[#This Row],[Inspección Externa]]),"")</f>
        <v>46279.405555555553</v>
      </c>
      <c r="AC85" s="56">
        <f>IFERROR(IF(MARÍTIMOS[[#This Row],[Etapa Despacho - Inicio de Carga]]="","",MARÍTIMOS[[#This Row],[Etapa Despacho - Inicio de Carga]]),"")</f>
        <v>46279.55</v>
      </c>
      <c r="AD85" s="56">
        <f>IFERROR(IF(MARÍTIMOS[[#This Row],[Etapa Despacho - Mitad de Carga]]="","",MARÍTIMOS[[#This Row],[Etapa Despacho - Mitad de Carga]]),"")</f>
        <v>46279.606249999997</v>
      </c>
      <c r="AE85" s="56">
        <f>IFERROR(IF(MARÍTIMOS[[#This Row],[Etapa Despacho - Fin de Carga]]="","",MARÍTIMOS[[#This Row],[Etapa Despacho - Fin de Carga]]),"")</f>
        <v>46279.59375</v>
      </c>
      <c r="AF85" s="53" t="str">
        <f>IFERROR(IF(MARÍTIMOS[[#This Row],[Puerto de Embarque]]="","",MARÍTIMOS[[#This Row],[Puerto de Embarque]]),"")</f>
        <v>Paita</v>
      </c>
      <c r="AG85" s="53" t="str">
        <f>IFERROR(IF(MARÍTIMOS[[#This Row],[Almacén de Ingreso]]="","",MARÍTIMOS[[#This Row],[Almacén de Ingreso]]),"")</f>
        <v>TPE</v>
      </c>
      <c r="AH85" s="56">
        <f>IFERROR(IF(MARÍTIMOS[[#This Row],[Etapa Ingreso - Cita]]="","",MARÍTIMOS[[#This Row],[Etapa Ingreso - Cita]]),"")</f>
        <v>46279.875</v>
      </c>
      <c r="AI85" s="56">
        <f>IFERROR(IF(MARÍTIMOS[[#This Row],[Etapa Ingreso - Llegada]]="","",MARÍTIMOS[[#This Row],[Etapa Ingreso - Llegada]]),"")</f>
        <v>46279.857638888891</v>
      </c>
      <c r="AJ85" s="56">
        <f>IFERROR(IF(MARÍTIMOS[[#This Row],[Etapa Ingreso - Ingeso]]="","",MARÍTIMOS[[#This Row],[Etapa Ingreso - Ingeso]]),"")</f>
        <v>46279.865277777775</v>
      </c>
      <c r="AK85" s="56">
        <f>IFERROR(IF(MARÍTIMOS[[#This Row],[Etapa Ingreso - Atención]]="","",MARÍTIMOS[[#This Row],[Etapa Ingreso - Atención]]),"")</f>
        <v>46279.895833333336</v>
      </c>
      <c r="AL85" s="56">
        <f>IFERROR(IF(MARÍTIMOS[[#This Row],[Etapa Ingreso - Salida]]="","",MARÍTIMOS[[#This Row],[Etapa Ingreso - Salida]]),"")</f>
        <v>46279.90347222222</v>
      </c>
      <c r="AM85" s="53">
        <f>IFERROR(IF(MARÍTIMOS[[#This Row],[FCL]]="","",MARÍTIMOS[[#This Row],[FCL]]),"")</f>
        <v>1</v>
      </c>
      <c r="AN85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5" s="4" t="str" cm="1">
        <f t="array" ref="AO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5" s="6">
        <f>IFERROR(OLDBD[[#This Row],[Llegada a packing]]-OLDBD[[#This Row],[Inicio de Ruta]],"")</f>
        <v>0.23263888889050577</v>
      </c>
      <c r="AQ85" s="6">
        <f>IFERROR(OLDBD[[#This Row],[Inicio de Ruta]]-OLDBD[[#This Row],[Salida de almacén de retiro]],"")</f>
        <v>0.3125</v>
      </c>
      <c r="AR85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5" s="8" t="str" cm="1">
        <f t="array" ref="AS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85" s="9">
        <f>IFERROR(OLDBD[[#This Row],[Ingreso Packing]]-OLDBD[[#This Row],[Registro en Packing]],"")</f>
        <v>2.7777777722803876E-3</v>
      </c>
      <c r="AV85" s="9">
        <f>IFERROR(OLDBD[[#This Row],[Ingreso Packing]]-OLDBD[[#This Row],[Llegada a packing]],"")</f>
        <v>6.2499999985448085E-3</v>
      </c>
      <c r="AW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85" s="6">
        <f>IFERROR(OLDBD[[#This Row],[Llegada Almacén de Ingreso]]-OLDBD[[#This Row],[Salida Packing]],"")</f>
        <v>0.26388888889050577</v>
      </c>
      <c r="AY85" s="4" t="str" cm="1">
        <f t="array" ref="AY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85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85" s="58" t="s">
        <v>173</v>
      </c>
      <c r="BB85" s="59" t="str">
        <f>IFERROR(IF(MARÍTIMOS[[#This Row],[Estatus]]="","",MARÍTIMOS[[#This Row],[Estatus]]),"")</f>
        <v>Confirmado</v>
      </c>
      <c r="BC85" s="58"/>
      <c r="BD85" s="60">
        <f>IFERROR(OLDBD[[#This Row],[Salida de almacén de retiro]]-OLDBD[[#This Row],[Ingreso Almacén de retiro]],"")</f>
        <v>0</v>
      </c>
      <c r="BE85" s="60">
        <f>IFERROR(OLDBD[[#This Row],[Fin de Carga]]-OLDBD[[#This Row],[Inicio de Carga]],"")</f>
        <v>5.6249999994179234E-2</v>
      </c>
    </row>
    <row r="86" spans="1:57" customFormat="1" hidden="1">
      <c r="A86" s="1"/>
      <c r="B86" s="1">
        <f>IFERROR(IF(MARÍTIMOS[[#This Row],[PP]]="","",MARÍTIMOS[[#This Row],[PP]]),"")</f>
        <v>37</v>
      </c>
      <c r="C86" s="1" t="str">
        <f>IFERROR(IF(MARÍTIMOS[[#This Row],[Sede]]="","",MARÍTIMOS[[#This Row],[Sede]]),"")</f>
        <v>Olmos</v>
      </c>
      <c r="D86" s="1" t="str">
        <f>IFERROR(IF(MARÍTIMOS[[#This Row],[Instruction]]="","",MARÍTIMOS[[#This Row],[Instruction]]),"")</f>
        <v>RH-0759</v>
      </c>
      <c r="E86" s="1"/>
      <c r="F86" s="2" t="str">
        <f>IFERROR(IF(MARÍTIMOS[[#This Row],[Transportista]]="","",MARÍTIMOS[[#This Row],[Transportista]]),"")</f>
        <v>Costa Transport</v>
      </c>
      <c r="G86" s="2" t="str">
        <f>IFERROR(IF(MARÍTIMOS[[#This Row],[Tercero]]="","",MARÍTIMOS[[#This Row],[Tercero]]),"")</f>
        <v>NO</v>
      </c>
      <c r="H86" s="2" t="str">
        <f>IFERROR(IF(MARÍTIMOS[[#This Row],[Razón Social]]="","",MARÍTIMOS[[#This Row],[Razón Social]]),"")</f>
        <v>TRANSPORTES COSTA TRANSPORT EIRL</v>
      </c>
      <c r="I86" s="2">
        <f>IFERROR(IF(MARÍTIMOS[[#This Row],[RUC]]="","",MARÍTIMOS[[#This Row],[RUC]]),"")</f>
        <v>20525373551</v>
      </c>
      <c r="J86" s="2" t="str">
        <f>IFERROR(IF(MARÍTIMOS[[#This Row],[Placa Tracto]]="","",MARÍTIMOS[[#This Row],[Placa Tracto]]),"")</f>
        <v>D9Q-760</v>
      </c>
      <c r="K86" s="2" t="str">
        <f>IFERROR(IF(MARÍTIMOS[[#This Row],[Placa Carreta]]="","",MARÍTIMOS[[#This Row],[Placa Carreta]]),"")</f>
        <v>TPE-989</v>
      </c>
      <c r="L86" s="44" t="str">
        <f>IFERROR(IF(MARÍTIMOS[[#This Row],[Conductor]]="","",MARÍTIMOS[[#This Row],[Conductor]]),"")</f>
        <v>ROBERTO CARLOS AMAYA CHAVARRIA</v>
      </c>
      <c r="M86" s="2" t="str">
        <f>IFERROR(IF(MARÍTIMOS[[#This Row],[Licencia]]="","",MARÍTIMOS[[#This Row],[Licencia]]),"")</f>
        <v>A19255064</v>
      </c>
      <c r="N86" s="2">
        <f>IFERROR(IF(MARÍTIMOS[[#This Row],[Número de Contacto]]="","",MARÍTIMOS[[#This Row],[Número de Contacto]]),"")</f>
        <v>961580382</v>
      </c>
      <c r="O86" s="10" t="str">
        <f>IFERROR(IF(MARÍTIMOS[[#This Row],[Booking|AWB|CRT]]="","",MARÍTIMOS[[#This Row],[Booking|AWB|CRT]]),"")</f>
        <v>PER9222703A</v>
      </c>
      <c r="P86" s="2" t="str">
        <f>IFERROR(IF(MARÍTIMOS[[#This Row],[Contenedor]]="","",MARÍTIMOS[[#This Row],[Contenedor]]),"")</f>
        <v>CAAU416384-9</v>
      </c>
      <c r="Q86" s="2" t="str">
        <f>IFERROR(IF(MARÍTIMOS[[#This Row],[Puerto de Retiro]]="","",MARÍTIMOS[[#This Row],[Puerto de Retiro]]),"")</f>
        <v>PAITA</v>
      </c>
      <c r="R86" s="2" t="str">
        <f>IFERROR(IF(MARÍTIMOS[[#This Row],[Almacén de Retiro]]="","",MARÍTIMOS[[#This Row],[Almacén de Retiro]]),"")</f>
        <v>DPW</v>
      </c>
      <c r="S86" s="11">
        <f>IFERROR(IF(MARÍTIMOS[[#This Row],[Etapa Retiro - Cita]]="","",MARÍTIMOS[[#This Row],[Etapa Retiro - Cita]]),"")</f>
        <v>46279.375</v>
      </c>
      <c r="T86" s="11">
        <f>IFERROR(IF(MARÍTIMOS[[#This Row],[Etapa Retiro - Llegada]]="","",MARÍTIMOS[[#This Row],[Etapa Retiro - Llegada]]),"")</f>
        <v>46279.373611111114</v>
      </c>
      <c r="U86" s="11">
        <f>IFERROR(IF(MARÍTIMOS[[#This Row],[Etapa Retiro - Ingreso]]="","",MARÍTIMOS[[#This Row],[Etapa Retiro - Ingreso]]),"")</f>
        <v>46279.385416666664</v>
      </c>
      <c r="V86" s="11">
        <f>IFERROR(IF(MARÍTIMOS[[#This Row],[Etapa Retiro - Atención]]="","",MARÍTIMOS[[#This Row],[Etapa Retiro - Atención]]),"")</f>
        <v>46279.390277777777</v>
      </c>
      <c r="W86" s="11">
        <f>IFERROR(IF(MARÍTIMOS[[#This Row],[Etapa Retiro - Atención]]="","",MARÍTIMOS[[#This Row],[Etapa Retiro - Atención]]),"")</f>
        <v>46279.390277777777</v>
      </c>
      <c r="X86" s="11">
        <f>IFERROR(IF(MARÍTIMOS[[#This Row],[Etapa Retiro - Inicio de Ruta]]="","",MARÍTIMOS[[#This Row],[Etapa Retiro - Inicio de Ruta]]),"")</f>
        <v>46280.069444444445</v>
      </c>
      <c r="Y86" s="11">
        <f>IFERROR(IF(MARÍTIMOS[[#This Row],[Hora de Posicionamiento]]="","",MARÍTIMOS[[#This Row],[Fecha de Carga]]+MARÍTIMOS[[#This Row],[Hora de Posicionamiento]]),"")</f>
        <v>46280.333333333336</v>
      </c>
      <c r="Z86" s="11">
        <f>IFERROR(IF(MARÍTIMOS[[#This Row],[Etapa Despacho - Llegada]]="","",MARÍTIMOS[[#This Row],[Etapa Despacho - Llegada]]),"")</f>
        <v>46280.261805555558</v>
      </c>
      <c r="AA86" s="11">
        <f>IFERROR(IF(MARÍTIMOS[[#This Row],[Etapa Despacho - Registro]]="","",MARÍTIMOS[[#This Row],[Etapa Despacho - Registro]]),"")</f>
        <v>46280.334027777775</v>
      </c>
      <c r="AB86" s="11">
        <f>IFERROR(IF(MARÍTIMOS[[#This Row],[Inspección Externa]]="","",MARÍTIMOS[[#This Row],[Inspección Externa]]),"")</f>
        <v>46280.34097222222</v>
      </c>
      <c r="AC86" s="11">
        <f>IFERROR(IF(MARÍTIMOS[[#This Row],[Etapa Despacho - Inicio de Carga]]="","",MARÍTIMOS[[#This Row],[Etapa Despacho - Inicio de Carga]]),"")</f>
        <v>46280.464583333334</v>
      </c>
      <c r="AD86" s="11">
        <f>IFERROR(IF(MARÍTIMOS[[#This Row],[Etapa Despacho - Mitad de Carga]]="","",MARÍTIMOS[[#This Row],[Etapa Despacho - Mitad de Carga]]),"")</f>
        <v>46280.472916666666</v>
      </c>
      <c r="AE86" s="11">
        <f>IFERROR(IF(MARÍTIMOS[[#This Row],[Etapa Despacho - Fin de Carga]]="","",MARÍTIMOS[[#This Row],[Etapa Despacho - Fin de Carga]]),"")</f>
        <v>46280.487500000003</v>
      </c>
      <c r="AF86" s="2" t="str">
        <f>IFERROR(IF(MARÍTIMOS[[#This Row],[Puerto de Embarque]]="","",MARÍTIMOS[[#This Row],[Puerto de Embarque]]),"")</f>
        <v>Paita</v>
      </c>
      <c r="AG86" s="2" t="str">
        <f>IFERROR(IF(MARÍTIMOS[[#This Row],[Almacén de Ingreso]]="","",MARÍTIMOS[[#This Row],[Almacén de Ingreso]]),"")</f>
        <v>TPE</v>
      </c>
      <c r="AH86" s="11">
        <f>IFERROR(IF(MARÍTIMOS[[#This Row],[Etapa Ingreso - Cita]]="","",MARÍTIMOS[[#This Row],[Etapa Ingreso - Cita]]),"")</f>
        <v>46280.791666666664</v>
      </c>
      <c r="AI86" s="11">
        <f>IFERROR(IF(MARÍTIMOS[[#This Row],[Etapa Ingreso - Llegada]]="","",MARÍTIMOS[[#This Row],[Etapa Ingreso - Llegada]]),"")</f>
        <v>46280.740277777775</v>
      </c>
      <c r="AJ86" s="11">
        <f>IFERROR(IF(MARÍTIMOS[[#This Row],[Etapa Ingreso - Ingeso]]="","",MARÍTIMOS[[#This Row],[Etapa Ingreso - Ingeso]]),"")</f>
        <v>46280.742361111108</v>
      </c>
      <c r="AK86" s="11">
        <f>IFERROR(IF(MARÍTIMOS[[#This Row],[Etapa Ingreso - Atención]]="","",MARÍTIMOS[[#This Row],[Etapa Ingreso - Atención]]),"")</f>
        <v>46280.74722222222</v>
      </c>
      <c r="AL86" s="11">
        <f>IFERROR(IF(MARÍTIMOS[[#This Row],[Etapa Ingreso - Salida]]="","",MARÍTIMOS[[#This Row],[Etapa Ingreso - Salida]]),"")</f>
        <v>46280.756944444445</v>
      </c>
      <c r="AM86" s="2">
        <f>IFERROR(IF(MARÍTIMOS[[#This Row],[FCL]]="","",MARÍTIMOS[[#This Row],[FCL]]),"")</f>
        <v>1</v>
      </c>
      <c r="AN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6" s="4" t="str" cm="1">
        <f t="array" ref="AO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6" s="5">
        <f>IFERROR(OLDBD[[#This Row],[Llegada a packing]]-OLDBD[[#This Row],[Inicio de Ruta]],"")</f>
        <v>0.19236111111240461</v>
      </c>
      <c r="AQ86" s="6">
        <f>IFERROR(OLDBD[[#This Row],[Inicio de Ruta]]-OLDBD[[#This Row],[Salida de almacén de retiro]],"")</f>
        <v>0.67916666666860692</v>
      </c>
      <c r="AR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6" s="8" t="str" cm="1">
        <f t="array" ref="AS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86" s="9">
        <f>IFERROR(OLDBD[[#This Row],[Ingreso Packing]]-OLDBD[[#This Row],[Registro en Packing]],"")</f>
        <v>6.9444444452528842E-3</v>
      </c>
      <c r="AV86" s="9">
        <f>IFERROR(OLDBD[[#This Row],[Ingreso Packing]]-OLDBD[[#This Row],[Llegada a packing]],"")</f>
        <v>7.9166666662786156E-2</v>
      </c>
      <c r="AW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86" s="5">
        <f>IFERROR(OLDBD[[#This Row],[Llegada Almacén de Ingreso]]-OLDBD[[#This Row],[Salida Packing]],"")</f>
        <v>0.25277777777228039</v>
      </c>
      <c r="AY86" s="4" t="str" cm="1">
        <f t="array" ref="AY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86" s="43" t="s">
        <v>173</v>
      </c>
      <c r="BB86" s="47" t="str">
        <f>IFERROR(IF(MARÍTIMOS[[#This Row],[Estatus]]="","",MARÍTIMOS[[#This Row],[Estatus]]),"")</f>
        <v>Confirmado</v>
      </c>
      <c r="BC86" s="43"/>
      <c r="BD86" s="46">
        <f>IFERROR(OLDBD[[#This Row],[Salida de almacén de retiro]]-OLDBD[[#This Row],[Ingreso Almacén de retiro]],"")</f>
        <v>4.8611111124046147E-3</v>
      </c>
      <c r="BE86" s="46">
        <f>IFERROR(OLDBD[[#This Row],[Fin de Carga]]-OLDBD[[#This Row],[Inicio de Carga]],"")</f>
        <v>8.333333331393078E-3</v>
      </c>
    </row>
    <row r="87" spans="1:57" customFormat="1">
      <c r="A87" s="1"/>
      <c r="B87" s="1">
        <f>IFERROR(IF(MARÍTIMOS[[#This Row],[PP]]="","",MARÍTIMOS[[#This Row],[PP]]),"")</f>
        <v>38</v>
      </c>
      <c r="C87" s="1" t="str">
        <f>IFERROR(IF(MARÍTIMOS[[#This Row],[Sede]]="","",MARÍTIMOS[[#This Row],[Sede]]),"")</f>
        <v>Olmos</v>
      </c>
      <c r="D87" s="1" t="str">
        <f>IFERROR(IF(MARÍTIMOS[[#This Row],[Instruction]]="","",MARÍTIMOS[[#This Row],[Instruction]]),"")</f>
        <v>RH-0822</v>
      </c>
      <c r="E87" s="1"/>
      <c r="F87" s="2" t="str">
        <f>IFERROR(IF(MARÍTIMOS[[#This Row],[Transportista]]="","",MARÍTIMOS[[#This Row],[Transportista]]),"")</f>
        <v>Costa Transport</v>
      </c>
      <c r="G87" s="2" t="str">
        <f>IFERROR(IF(MARÍTIMOS[[#This Row],[Tercero]]="","",MARÍTIMOS[[#This Row],[Tercero]]),"")</f>
        <v>NO</v>
      </c>
      <c r="H87" s="2" t="str">
        <f>IFERROR(IF(MARÍTIMOS[[#This Row],[Razón Social]]="","",MARÍTIMOS[[#This Row],[Razón Social]]),"")</f>
        <v>TRANSPORTES COSTA TRANSPORT EIRL</v>
      </c>
      <c r="I87" s="2">
        <f>IFERROR(IF(MARÍTIMOS[[#This Row],[RUC]]="","",MARÍTIMOS[[#This Row],[RUC]]),"")</f>
        <v>20525373551</v>
      </c>
      <c r="J87" s="2" t="str">
        <f>IFERROR(IF(MARÍTIMOS[[#This Row],[Placa Tracto]]="","",MARÍTIMOS[[#This Row],[Placa Tracto]]),"")</f>
        <v>T7R-895</v>
      </c>
      <c r="K87" s="2" t="str">
        <f>IFERROR(IF(MARÍTIMOS[[#This Row],[Placa Carreta]]="","",MARÍTIMOS[[#This Row],[Placa Carreta]]),"")</f>
        <v>F0L-997</v>
      </c>
      <c r="L87" s="44" t="str">
        <f>IFERROR(IF(MARÍTIMOS[[#This Row],[Conductor]]="","",MARÍTIMOS[[#This Row],[Conductor]]),"")</f>
        <v>ISIDRO PACHERRES NAVARRO</v>
      </c>
      <c r="M87" s="2" t="str">
        <f>IFERROR(IF(MARÍTIMOS[[#This Row],[Licencia]]="","",MARÍTIMOS[[#This Row],[Licencia]]),"")</f>
        <v>B03570274</v>
      </c>
      <c r="N87" s="2">
        <f>IFERROR(IF(MARÍTIMOS[[#This Row],[Número de Contacto]]="","",MARÍTIMOS[[#This Row],[Número de Contacto]]),"")</f>
        <v>945247441</v>
      </c>
      <c r="O87" s="10" t="str">
        <f>IFERROR(IF(MARÍTIMOS[[#This Row],[Booking|AWB|CRT]]="","",MARÍTIMOS[[#This Row],[Booking|AWB|CRT]]),"")</f>
        <v>ZIMULMA827541</v>
      </c>
      <c r="P87" s="2" t="str">
        <f>IFERROR(IF(MARÍTIMOS[[#This Row],[Contenedor]]="","",MARÍTIMOS[[#This Row],[Contenedor]]),"")</f>
        <v>ZMOU8935295</v>
      </c>
      <c r="Q87" s="2" t="str">
        <f>IFERROR(IF(MARÍTIMOS[[#This Row],[Puerto de Retiro]]="","",MARÍTIMOS[[#This Row],[Puerto de Retiro]]),"")</f>
        <v>PAITA</v>
      </c>
      <c r="R87" s="2" t="str">
        <f>IFERROR(IF(MARÍTIMOS[[#This Row],[Almacén de Retiro]]="","",MARÍTIMOS[[#This Row],[Almacén de Retiro]]),"")</f>
        <v>DPW</v>
      </c>
      <c r="S87" s="11">
        <f>IFERROR(IF(MARÍTIMOS[[#This Row],[Etapa Retiro - Cita]]="","",MARÍTIMOS[[#This Row],[Etapa Retiro - Cita]]),"")</f>
        <v>46280.75</v>
      </c>
      <c r="T87" s="11">
        <f>IFERROR(IF(MARÍTIMOS[[#This Row],[Etapa Retiro - Llegada]]="","",MARÍTIMOS[[#This Row],[Etapa Retiro - Llegada]]),"")</f>
        <v>46280.736111111109</v>
      </c>
      <c r="U87" s="11">
        <f>IFERROR(IF(MARÍTIMOS[[#This Row],[Etapa Retiro - Ingreso]]="","",MARÍTIMOS[[#This Row],[Etapa Retiro - Ingreso]]),"")</f>
        <v>46280.747916666667</v>
      </c>
      <c r="V87" s="11">
        <f>IFERROR(IF(MARÍTIMOS[[#This Row],[Etapa Retiro - Atención]]="","",MARÍTIMOS[[#This Row],[Etapa Retiro - Atención]]),"")</f>
        <v>46280.759722222225</v>
      </c>
      <c r="W87" s="11">
        <f>IFERROR(IF(MARÍTIMOS[[#This Row],[Etapa Retiro - Atención]]="","",MARÍTIMOS[[#This Row],[Etapa Retiro - Atención]]),"")</f>
        <v>46280.759722222225</v>
      </c>
      <c r="X87" s="11">
        <f>IFERROR(IF(MARÍTIMOS[[#This Row],[Etapa Retiro - Inicio de Ruta]]="","",MARÍTIMOS[[#This Row],[Etapa Retiro - Inicio de Ruta]]),"")</f>
        <v>46281.09375</v>
      </c>
      <c r="Y87" s="11">
        <f>IFERROR(IF(MARÍTIMOS[[#This Row],[Hora de Posicionamiento]]="","",MARÍTIMOS[[#This Row],[Fecha de Carga]]+MARÍTIMOS[[#This Row],[Hora de Posicionamiento]]),"")</f>
        <v>46281.5</v>
      </c>
      <c r="Z87" s="11">
        <f>IFERROR(IF(MARÍTIMOS[[#This Row],[Etapa Despacho - Llegada]]="","",MARÍTIMOS[[#This Row],[Etapa Despacho - Llegada]]),"")</f>
        <v>46281.290972222225</v>
      </c>
      <c r="AA87" s="11">
        <f>IFERROR(IF(MARÍTIMOS[[#This Row],[Etapa Despacho - Registro]]="","",MARÍTIMOS[[#This Row],[Etapa Despacho - Registro]]),"")</f>
        <v>46281.295138888891</v>
      </c>
      <c r="AB87" s="11">
        <f>IFERROR(IF(MARÍTIMOS[[#This Row],[Inspección Externa]]="","",MARÍTIMOS[[#This Row],[Inspección Externa]]),"")</f>
        <v>46281.344444444447</v>
      </c>
      <c r="AC87" s="11">
        <f>IFERROR(IF(MARÍTIMOS[[#This Row],[Etapa Despacho - Inicio de Carga]]="","",MARÍTIMOS[[#This Row],[Etapa Despacho - Inicio de Carga]]),"")</f>
        <v>46281.540277777778</v>
      </c>
      <c r="AD87" s="11">
        <f>IFERROR(IF(MARÍTIMOS[[#This Row],[Etapa Despacho - Mitad de Carga]]="","",MARÍTIMOS[[#This Row],[Etapa Despacho - Mitad de Carga]]),"")</f>
        <v>46281.571527777778</v>
      </c>
      <c r="AE87" s="11">
        <f>IFERROR(IF(MARÍTIMOS[[#This Row],[Etapa Despacho - Fin de Carga]]="","",MARÍTIMOS[[#This Row],[Etapa Despacho - Fin de Carga]]),"")</f>
        <v>46281.62222222222</v>
      </c>
      <c r="AF87" s="2" t="str">
        <f>IFERROR(IF(MARÍTIMOS[[#This Row],[Puerto de Embarque]]="","",MARÍTIMOS[[#This Row],[Puerto de Embarque]]),"")</f>
        <v>Paita</v>
      </c>
      <c r="AG87" s="2" t="str">
        <f>IFERROR(IF(MARÍTIMOS[[#This Row],[Almacén de Ingreso]]="","",MARÍTIMOS[[#This Row],[Almacén de Ingreso]]),"")</f>
        <v>TPE</v>
      </c>
      <c r="AH87" s="11">
        <f>IFERROR(IF(MARÍTIMOS[[#This Row],[Etapa Ingreso - Cita]]="","",MARÍTIMOS[[#This Row],[Etapa Ingreso - Cita]]),"")</f>
        <v>46281.958333333336</v>
      </c>
      <c r="AI87" s="11">
        <f>IFERROR(IF(MARÍTIMOS[[#This Row],[Etapa Ingreso - Llegada]]="","",MARÍTIMOS[[#This Row],[Etapa Ingreso - Llegada]]),"")</f>
        <v>46281.939583333333</v>
      </c>
      <c r="AJ87" s="11">
        <f>IFERROR(IF(MARÍTIMOS[[#This Row],[Etapa Ingreso - Ingeso]]="","",MARÍTIMOS[[#This Row],[Etapa Ingreso - Ingeso]]),"")</f>
        <v>46281.945833333331</v>
      </c>
      <c r="AK87" s="11">
        <f>IFERROR(IF(MARÍTIMOS[[#This Row],[Etapa Ingreso - Atención]]="","",MARÍTIMOS[[#This Row],[Etapa Ingreso - Atención]]),"")</f>
        <v>46281.947916666664</v>
      </c>
      <c r="AL87" s="11">
        <f>IFERROR(IF(MARÍTIMOS[[#This Row],[Etapa Ingreso - Salida]]="","",MARÍTIMOS[[#This Row],[Etapa Ingreso - Salida]]),"")</f>
        <v>46281.952777777777</v>
      </c>
      <c r="AM87" s="2">
        <f>IFERROR(IF(MARÍTIMOS[[#This Row],[FCL]]="","",MARÍTIMOS[[#This Row],[FCL]]),"")</f>
        <v>1</v>
      </c>
      <c r="AN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7" s="4" t="str" cm="1">
        <f t="array" ref="AO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7" s="5">
        <f>IFERROR(OLDBD[[#This Row],[Llegada a packing]]-OLDBD[[#This Row],[Inicio de Ruta]],"")</f>
        <v>0.19722222222480923</v>
      </c>
      <c r="AQ87" s="6">
        <f>IFERROR(OLDBD[[#This Row],[Inicio de Ruta]]-OLDBD[[#This Row],[Salida de almacén de retiro]],"")</f>
        <v>0.33402777777519077</v>
      </c>
      <c r="AR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7" s="8" t="str" cm="1">
        <f t="array" ref="AS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87" s="9">
        <f>IFERROR(OLDBD[[#This Row],[Ingreso Packing]]-OLDBD[[#This Row],[Registro en Packing]],"")</f>
        <v>4.9305555556202307E-2</v>
      </c>
      <c r="AV87" s="9">
        <f>IFERROR(OLDBD[[#This Row],[Ingreso Packing]]-OLDBD[[#This Row],[Llegada a packing]],"")</f>
        <v>5.3472222221898846E-2</v>
      </c>
      <c r="AW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87" s="5">
        <f>IFERROR(OLDBD[[#This Row],[Llegada Almacén de Ingreso]]-OLDBD[[#This Row],[Salida Packing]],"")</f>
        <v>0.31736111111240461</v>
      </c>
      <c r="AY87" s="4" t="str" cm="1">
        <f t="array" ref="AY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87" s="43" t="s">
        <v>173</v>
      </c>
      <c r="BB87" s="47" t="str">
        <f>IFERROR(IF(MARÍTIMOS[[#This Row],[Estatus]]="","",MARÍTIMOS[[#This Row],[Estatus]]),"")</f>
        <v>Confirmado</v>
      </c>
      <c r="BC87" s="43"/>
      <c r="BD87" s="46">
        <f>IFERROR(OLDBD[[#This Row],[Salida de almacén de retiro]]-OLDBD[[#This Row],[Ingreso Almacén de retiro]],"")</f>
        <v>1.1805555557657499E-2</v>
      </c>
      <c r="BE87" s="46">
        <f>IFERROR(OLDBD[[#This Row],[Fin de Carga]]-OLDBD[[#This Row],[Inicio de Carga]],"")</f>
        <v>3.125E-2</v>
      </c>
    </row>
    <row r="88" spans="1:57" customFormat="1">
      <c r="A88" s="1"/>
      <c r="B88" s="1">
        <f>IFERROR(IF(MARÍTIMOS[[#This Row],[PP]]="","",MARÍTIMOS[[#This Row],[PP]]),"")</f>
        <v>38</v>
      </c>
      <c r="C88" s="1" t="str">
        <f>IFERROR(IF(MARÍTIMOS[[#This Row],[Sede]]="","",MARÍTIMOS[[#This Row],[Sede]]),"")</f>
        <v>Olmos</v>
      </c>
      <c r="D88" s="1" t="str">
        <f>IFERROR(IF(MARÍTIMOS[[#This Row],[Instruction]]="","",MARÍTIMOS[[#This Row],[Instruction]]),"")</f>
        <v>RH-0828</v>
      </c>
      <c r="E88" s="1"/>
      <c r="F88" s="2" t="str">
        <f>IFERROR(IF(MARÍTIMOS[[#This Row],[Transportista]]="","",MARÍTIMOS[[#This Row],[Transportista]]),"")</f>
        <v>Costa Transport</v>
      </c>
      <c r="G88" s="2" t="str">
        <f>IFERROR(IF(MARÍTIMOS[[#This Row],[Tercero]]="","",MARÍTIMOS[[#This Row],[Tercero]]),"")</f>
        <v>NO</v>
      </c>
      <c r="H88" s="2" t="str">
        <f>IFERROR(IF(MARÍTIMOS[[#This Row],[Razón Social]]="","",MARÍTIMOS[[#This Row],[Razón Social]]),"")</f>
        <v>TRANSPORTES COSTA TRANSPORT EIRL</v>
      </c>
      <c r="I88" s="2">
        <f>IFERROR(IF(MARÍTIMOS[[#This Row],[RUC]]="","",MARÍTIMOS[[#This Row],[RUC]]),"")</f>
        <v>20525373551</v>
      </c>
      <c r="J88" s="2" t="str">
        <f>IFERROR(IF(MARÍTIMOS[[#This Row],[Placa Tracto]]="","",MARÍTIMOS[[#This Row],[Placa Tracto]]),"")</f>
        <v>AHK-822</v>
      </c>
      <c r="K88" s="2" t="str">
        <f>IFERROR(IF(MARÍTIMOS[[#This Row],[Placa Carreta]]="","",MARÍTIMOS[[#This Row],[Placa Carreta]]),"")</f>
        <v>A8N-970</v>
      </c>
      <c r="L88" s="44" t="str">
        <f>IFERROR(IF(MARÍTIMOS[[#This Row],[Conductor]]="","",MARÍTIMOS[[#This Row],[Conductor]]),"")</f>
        <v>JUAN EDSON MORAN SOCOLA</v>
      </c>
      <c r="M88" s="2" t="str">
        <f>IFERROR(IF(MARÍTIMOS[[#This Row],[Licencia]]="","",MARÍTIMOS[[#This Row],[Licencia]]),"")</f>
        <v>B48408632</v>
      </c>
      <c r="N88" s="2">
        <f>IFERROR(IF(MARÍTIMOS[[#This Row],[Número de Contacto]]="","",MARÍTIMOS[[#This Row],[Número de Contacto]]),"")</f>
        <v>948099235</v>
      </c>
      <c r="O88" s="10" t="str">
        <f>IFERROR(IF(MARÍTIMOS[[#This Row],[Booking|AWB|CRT]]="","",MARÍTIMOS[[#This Row],[Booking|AWB|CRT]]),"")</f>
        <v>MBM250067158</v>
      </c>
      <c r="P88" s="2" t="str">
        <f>IFERROR(IF(MARÍTIMOS[[#This Row],[Contenedor]]="","",MARÍTIMOS[[#This Row],[Contenedor]]),"")</f>
        <v>CAIU5585498</v>
      </c>
      <c r="Q88" s="2" t="str">
        <f>IFERROR(IF(MARÍTIMOS[[#This Row],[Puerto de Retiro]]="","",MARÍTIMOS[[#This Row],[Puerto de Retiro]]),"")</f>
        <v>PAITA</v>
      </c>
      <c r="R88" s="2" t="str">
        <f>IFERROR(IF(MARÍTIMOS[[#This Row],[Almacén de Retiro]]="","",MARÍTIMOS[[#This Row],[Almacén de Retiro]]),"")</f>
        <v>MACROMAR</v>
      </c>
      <c r="S88" s="11">
        <f>IFERROR(IF(MARÍTIMOS[[#This Row],[Etapa Retiro - Cita]]="","",MARÍTIMOS[[#This Row],[Etapa Retiro - Cita]]),"")</f>
        <v>46281.875</v>
      </c>
      <c r="T88" s="11">
        <f>IFERROR(IF(MARÍTIMOS[[#This Row],[Etapa Retiro - Llegada]]="","",MARÍTIMOS[[#This Row],[Etapa Retiro - Llegada]]),"")</f>
        <v>46281.844444444447</v>
      </c>
      <c r="U88" s="11">
        <f>IFERROR(IF(MARÍTIMOS[[#This Row],[Etapa Retiro - Ingreso]]="","",MARÍTIMOS[[#This Row],[Etapa Retiro - Ingreso]]),"")</f>
        <v>46281.856944444444</v>
      </c>
      <c r="V88" s="11">
        <f>IFERROR(IF(MARÍTIMOS[[#This Row],[Etapa Retiro - Atención]]="","",MARÍTIMOS[[#This Row],[Etapa Retiro - Atención]]),"")</f>
        <v>46281.862500000003</v>
      </c>
      <c r="W88" s="11">
        <f>IFERROR(IF(MARÍTIMOS[[#This Row],[Etapa Retiro - Atención]]="","",MARÍTIMOS[[#This Row],[Etapa Retiro - Atención]]),"")</f>
        <v>46281.862500000003</v>
      </c>
      <c r="X88" s="11">
        <f>IFERROR(IF(MARÍTIMOS[[#This Row],[Etapa Retiro - Inicio de Ruta]]="","",MARÍTIMOS[[#This Row],[Etapa Retiro - Inicio de Ruta]]),"")</f>
        <v>46282.265277777777</v>
      </c>
      <c r="Y88" s="11">
        <f>IFERROR(IF(MARÍTIMOS[[#This Row],[Hora de Posicionamiento]]="","",MARÍTIMOS[[#This Row],[Fecha de Carga]]+MARÍTIMOS[[#This Row],[Hora de Posicionamiento]]),"")</f>
        <v>46282.5</v>
      </c>
      <c r="Z88" s="11">
        <f>IFERROR(IF(MARÍTIMOS[[#This Row],[Etapa Despacho - Llegada]]="","",MARÍTIMOS[[#This Row],[Etapa Despacho - Llegada]]),"")</f>
        <v>46282.455555555556</v>
      </c>
      <c r="AA88" s="11">
        <f>IFERROR(IF(MARÍTIMOS[[#This Row],[Etapa Despacho - Registro]]="","",MARÍTIMOS[[#This Row],[Etapa Despacho - Registro]]),"")</f>
        <v>46282.459722222222</v>
      </c>
      <c r="AB88" s="11">
        <f>IFERROR(IF(MARÍTIMOS[[#This Row],[Inspección Externa]]="","",MARÍTIMOS[[#This Row],[Inspección Externa]]),"")</f>
        <v>46282.463194444441</v>
      </c>
      <c r="AC88" s="11">
        <f>IFERROR(IF(MARÍTIMOS[[#This Row],[Etapa Despacho - Inicio de Carga]]="","",MARÍTIMOS[[#This Row],[Etapa Despacho - Inicio de Carga]]),"")</f>
        <v>46282.655555555553</v>
      </c>
      <c r="AD88" s="11">
        <f>IFERROR(IF(MARÍTIMOS[[#This Row],[Etapa Despacho - Mitad de Carga]]="","",MARÍTIMOS[[#This Row],[Etapa Despacho - Mitad de Carga]]),"")</f>
        <v>46282.65347222222</v>
      </c>
      <c r="AE88" s="11">
        <f>IFERROR(IF(MARÍTIMOS[[#This Row],[Etapa Despacho - Fin de Carga]]="","",MARÍTIMOS[[#This Row],[Etapa Despacho - Fin de Carga]]),"")</f>
        <v>46282.665972222225</v>
      </c>
      <c r="AF88" s="2" t="str">
        <f>IFERROR(IF(MARÍTIMOS[[#This Row],[Puerto de Embarque]]="","",MARÍTIMOS[[#This Row],[Puerto de Embarque]]),"")</f>
        <v>Paita</v>
      </c>
      <c r="AG88" s="2" t="str">
        <f>IFERROR(IF(MARÍTIMOS[[#This Row],[Almacén de Ingreso]]="","",MARÍTIMOS[[#This Row],[Almacén de Ingreso]]),"")</f>
        <v>TPE</v>
      </c>
      <c r="AH88" s="11">
        <f>IFERROR(IF(MARÍTIMOS[[#This Row],[Etapa Ingreso - Cita]]="","",MARÍTIMOS[[#This Row],[Etapa Ingreso - Cita]]),"")</f>
        <v>46283.083333333336</v>
      </c>
      <c r="AI88" s="11">
        <f>IFERROR(IF(MARÍTIMOS[[#This Row],[Etapa Ingreso - Llegada]]="","",MARÍTIMOS[[#This Row],[Etapa Ingreso - Llegada]]),"")</f>
        <v>46283.039583333331</v>
      </c>
      <c r="AJ88" s="11">
        <f>IFERROR(IF(MARÍTIMOS[[#This Row],[Etapa Ingreso - Ingeso]]="","",MARÍTIMOS[[#This Row],[Etapa Ingreso - Ingeso]]),"")</f>
        <v>46283.039583333331</v>
      </c>
      <c r="AK88" s="11">
        <f>IFERROR(IF(MARÍTIMOS[[#This Row],[Etapa Ingreso - Atención]]="","",MARÍTIMOS[[#This Row],[Etapa Ingreso - Atención]]),"")</f>
        <v>46283.048611111109</v>
      </c>
      <c r="AL88" s="11">
        <f>IFERROR(IF(MARÍTIMOS[[#This Row],[Etapa Ingreso - Salida]]="","",MARÍTIMOS[[#This Row],[Etapa Ingreso - Salida]]),"")</f>
        <v>46283.052083333336</v>
      </c>
      <c r="AM88" s="2">
        <f>IFERROR(IF(MARÍTIMOS[[#This Row],[FCL]]="","",MARÍTIMOS[[#This Row],[FCL]]),"")</f>
        <v>1</v>
      </c>
      <c r="AN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88" s="4" t="str" cm="1">
        <f t="array" ref="AO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8" s="5">
        <f>IFERROR(OLDBD[[#This Row],[Llegada a packing]]-OLDBD[[#This Row],[Inicio de Ruta]],"")</f>
        <v>0.19027777777955635</v>
      </c>
      <c r="AQ88" s="6">
        <f>IFERROR(OLDBD[[#This Row],[Inicio de Ruta]]-OLDBD[[#This Row],[Salida de almacén de retiro]],"")</f>
        <v>0.40277777777373558</v>
      </c>
      <c r="AR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88" s="8" t="str" cm="1">
        <f t="array" ref="AS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88" s="9">
        <f>IFERROR(OLDBD[[#This Row],[Ingreso Packing]]-OLDBD[[#This Row],[Registro en Packing]],"")</f>
        <v>3.4722222189884633E-3</v>
      </c>
      <c r="AV88" s="9">
        <f>IFERROR(OLDBD[[#This Row],[Ingreso Packing]]-OLDBD[[#This Row],[Llegada a packing]],"")</f>
        <v>7.6388888846850023E-3</v>
      </c>
      <c r="AW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88" s="5">
        <f>IFERROR(OLDBD[[#This Row],[Llegada Almacén de Ingreso]]-OLDBD[[#This Row],[Salida Packing]],"")</f>
        <v>0.37361111110658385</v>
      </c>
      <c r="AY88" s="4" t="str" cm="1">
        <f t="array" ref="AY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88" s="43" t="s">
        <v>173</v>
      </c>
      <c r="BB88" s="47" t="str">
        <f>IFERROR(IF(MARÍTIMOS[[#This Row],[Estatus]]="","",MARÍTIMOS[[#This Row],[Estatus]]),"")</f>
        <v>Confirmado</v>
      </c>
      <c r="BC88" s="43"/>
      <c r="BD88" s="46">
        <f>IFERROR(OLDBD[[#This Row],[Salida de almacén de retiro]]-OLDBD[[#This Row],[Ingreso Almacén de retiro]],"")</f>
        <v>5.5555555591126904E-3</v>
      </c>
      <c r="BE88" s="46">
        <f>IFERROR(OLDBD[[#This Row],[Fin de Carga]]-OLDBD[[#This Row],[Inicio de Carga]],"")</f>
        <v>-2.0833333328482695E-3</v>
      </c>
    </row>
    <row r="89" spans="1:57" customFormat="1">
      <c r="A89" s="1"/>
      <c r="B89" s="1">
        <f>IFERROR(IF(MARÍTIMOS[[#This Row],[PP]]="","",MARÍTIMOS[[#This Row],[PP]]),"")</f>
        <v>38</v>
      </c>
      <c r="C89" s="1" t="str">
        <f>IFERROR(IF(MARÍTIMOS[[#This Row],[Sede]]="","",MARÍTIMOS[[#This Row],[Sede]]),"")</f>
        <v>Olmos</v>
      </c>
      <c r="D89" s="1" t="str">
        <f>IFERROR(IF(MARÍTIMOS[[#This Row],[Instruction]]="","",MARÍTIMOS[[#This Row],[Instruction]]),"")</f>
        <v>RH-0824</v>
      </c>
      <c r="E89" s="1"/>
      <c r="F89" s="2" t="str">
        <f>IFERROR(IF(MARÍTIMOS[[#This Row],[Transportista]]="","",MARÍTIMOS[[#This Row],[Transportista]]),"")</f>
        <v>Costa Transport</v>
      </c>
      <c r="G89" s="2" t="str">
        <f>IFERROR(IF(MARÍTIMOS[[#This Row],[Tercero]]="","",MARÍTIMOS[[#This Row],[Tercero]]),"")</f>
        <v>NO</v>
      </c>
      <c r="H89" s="2" t="str">
        <f>IFERROR(IF(MARÍTIMOS[[#This Row],[Razón Social]]="","",MARÍTIMOS[[#This Row],[Razón Social]]),"")</f>
        <v>TRANSPORTES COSTA TRANSPORT EIRL</v>
      </c>
      <c r="I89" s="2">
        <f>IFERROR(IF(MARÍTIMOS[[#This Row],[RUC]]="","",MARÍTIMOS[[#This Row],[RUC]]),"")</f>
        <v>20525373551</v>
      </c>
      <c r="J89" s="2" t="str">
        <f>IFERROR(IF(MARÍTIMOS[[#This Row],[Placa Tracto]]="","",MARÍTIMOS[[#This Row],[Placa Tracto]]),"")</f>
        <v>TFY-879</v>
      </c>
      <c r="K89" s="2" t="str">
        <f>IFERROR(IF(MARÍTIMOS[[#This Row],[Placa Carreta]]="","",MARÍTIMOS[[#This Row],[Placa Carreta]]),"")</f>
        <v>A1G-973</v>
      </c>
      <c r="L89" s="44" t="str">
        <f>IFERROR(IF(MARÍTIMOS[[#This Row],[Conductor]]="","",MARÍTIMOS[[#This Row],[Conductor]]),"")</f>
        <v>JORGE LUIS AZO RUIZ</v>
      </c>
      <c r="M89" s="2" t="str">
        <f>IFERROR(IF(MARÍTIMOS[[#This Row],[Licencia]]="","",MARÍTIMOS[[#This Row],[Licencia]]),"")</f>
        <v>B03874735</v>
      </c>
      <c r="N89" s="2">
        <f>IFERROR(IF(MARÍTIMOS[[#This Row],[Número de Contacto]]="","",MARÍTIMOS[[#This Row],[Número de Contacto]]),"")</f>
        <v>998231122</v>
      </c>
      <c r="O89" s="10" t="str">
        <f>IFERROR(IF(MARÍTIMOS[[#This Row],[Booking|AWB|CRT]]="","",MARÍTIMOS[[#This Row],[Booking|AWB|CRT]]),"")</f>
        <v>MBM250067156</v>
      </c>
      <c r="P89" s="2" t="str">
        <f>IFERROR(IF(MARÍTIMOS[[#This Row],[Contenedor]]="","",MARÍTIMOS[[#This Row],[Contenedor]]),"")</f>
        <v>CAIU5550697</v>
      </c>
      <c r="Q89" s="2" t="str">
        <f>IFERROR(IF(MARÍTIMOS[[#This Row],[Puerto de Retiro]]="","",MARÍTIMOS[[#This Row],[Puerto de Retiro]]),"")</f>
        <v>PAITA</v>
      </c>
      <c r="R89" s="2" t="str">
        <f>IFERROR(IF(MARÍTIMOS[[#This Row],[Almacén de Retiro]]="","",MARÍTIMOS[[#This Row],[Almacén de Retiro]]),"")</f>
        <v>MACROMAR</v>
      </c>
      <c r="S89" s="11">
        <f>IFERROR(IF(MARÍTIMOS[[#This Row],[Etapa Retiro - Cita]]="","",MARÍTIMOS[[#This Row],[Etapa Retiro - Cita]]),"")</f>
        <v>46282.875</v>
      </c>
      <c r="T89" s="11">
        <f>IFERROR(IF(MARÍTIMOS[[#This Row],[Etapa Retiro - Llegada]]="","",MARÍTIMOS[[#This Row],[Etapa Retiro - Llegada]]),"")</f>
        <v>46282.868750000001</v>
      </c>
      <c r="U89" s="11">
        <f>IFERROR(IF(MARÍTIMOS[[#This Row],[Etapa Retiro - Ingreso]]="","",MARÍTIMOS[[#This Row],[Etapa Retiro - Ingreso]]),"")</f>
        <v>46282.875694444447</v>
      </c>
      <c r="V89" s="11">
        <f>IFERROR(IF(MARÍTIMOS[[#This Row],[Etapa Retiro - Atención]]="","",MARÍTIMOS[[#This Row],[Etapa Retiro - Atención]]),"")</f>
        <v>46282.880555555559</v>
      </c>
      <c r="W89" s="11">
        <f>IFERROR(IF(MARÍTIMOS[[#This Row],[Etapa Retiro - Atención]]="","",MARÍTIMOS[[#This Row],[Etapa Retiro - Atención]]),"")</f>
        <v>46282.880555555559</v>
      </c>
      <c r="X89" s="11">
        <f>IFERROR(IF(MARÍTIMOS[[#This Row],[Etapa Retiro - Inicio de Ruta]]="","",MARÍTIMOS[[#This Row],[Etapa Retiro - Inicio de Ruta]]),"")</f>
        <v>46283.180555555555</v>
      </c>
      <c r="Y89" s="11">
        <f>IFERROR(IF(MARÍTIMOS[[#This Row],[Hora de Posicionamiento]]="","",MARÍTIMOS[[#This Row],[Fecha de Carga]]+MARÍTIMOS[[#This Row],[Hora de Posicionamiento]]),"")</f>
        <v>46283.333333333336</v>
      </c>
      <c r="Z89" s="11">
        <f>IFERROR(IF(MARÍTIMOS[[#This Row],[Etapa Despacho - Llegada]]="","",MARÍTIMOS[[#This Row],[Etapa Despacho - Llegada]]),"")</f>
        <v>46283.361111111109</v>
      </c>
      <c r="AA89" s="11">
        <f>IFERROR(IF(MARÍTIMOS[[#This Row],[Etapa Despacho - Registro]]="","",MARÍTIMOS[[#This Row],[Etapa Despacho - Registro]]),"")</f>
        <v>46283.364583333336</v>
      </c>
      <c r="AB89" s="11">
        <f>IFERROR(IF(MARÍTIMOS[[#This Row],[Inspección Externa]]="","",MARÍTIMOS[[#This Row],[Inspección Externa]]),"")</f>
        <v>46283.402777777781</v>
      </c>
      <c r="AC89" s="11">
        <f>IFERROR(IF(MARÍTIMOS[[#This Row],[Etapa Despacho - Inicio de Carga]]="","",MARÍTIMOS[[#This Row],[Etapa Despacho - Inicio de Carga]]),"")</f>
        <v>46283.481249999997</v>
      </c>
      <c r="AD89" s="11">
        <f>IFERROR(IF(MARÍTIMOS[[#This Row],[Etapa Despacho - Mitad de Carga]]="","",MARÍTIMOS[[#This Row],[Etapa Despacho - Mitad de Carga]]),"")</f>
        <v>46283.486111111109</v>
      </c>
      <c r="AE89" s="11">
        <f>IFERROR(IF(MARÍTIMOS[[#This Row],[Etapa Despacho - Fin de Carga]]="","",MARÍTIMOS[[#This Row],[Etapa Despacho - Fin de Carga]]),"")</f>
        <v>46283.495833333334</v>
      </c>
      <c r="AF89" s="2" t="str">
        <f>IFERROR(IF(MARÍTIMOS[[#This Row],[Puerto de Embarque]]="","",MARÍTIMOS[[#This Row],[Puerto de Embarque]]),"")</f>
        <v>Paita</v>
      </c>
      <c r="AG89" s="2" t="str">
        <f>IFERROR(IF(MARÍTIMOS[[#This Row],[Almacén de Ingreso]]="","",MARÍTIMOS[[#This Row],[Almacén de Ingreso]]),"")</f>
        <v>TPE</v>
      </c>
      <c r="AH89" s="11">
        <f>IFERROR(IF(MARÍTIMOS[[#This Row],[Etapa Ingreso - Cita]]="","",MARÍTIMOS[[#This Row],[Etapa Ingreso - Cita]]),"")</f>
        <v>46283.791666666664</v>
      </c>
      <c r="AI89" s="11">
        <f>IFERROR(IF(MARÍTIMOS[[#This Row],[Etapa Ingreso - Llegada]]="","",MARÍTIMOS[[#This Row],[Etapa Ingreso - Llegada]]),"")</f>
        <v>46283.745833333334</v>
      </c>
      <c r="AJ89" s="11">
        <f>IFERROR(IF(MARÍTIMOS[[#This Row],[Etapa Ingreso - Ingeso]]="","",MARÍTIMOS[[#This Row],[Etapa Ingreso - Ingeso]]),"")</f>
        <v>46283.745833333334</v>
      </c>
      <c r="AK89" s="11">
        <f>IFERROR(IF(MARÍTIMOS[[#This Row],[Etapa Ingreso - Atención]]="","",MARÍTIMOS[[#This Row],[Etapa Ingreso - Atención]]),"")</f>
        <v>46283.74722222222</v>
      </c>
      <c r="AL89" s="11">
        <f>IFERROR(IF(MARÍTIMOS[[#This Row],[Etapa Ingreso - Salida]]="","",MARÍTIMOS[[#This Row],[Etapa Ingreso - Salida]]),"")</f>
        <v>46283.754861111112</v>
      </c>
      <c r="AM89" s="2">
        <f>IFERROR(IF(MARÍTIMOS[[#This Row],[FCL]]="","",MARÍTIMOS[[#This Row],[FCL]]),"")</f>
        <v>1</v>
      </c>
      <c r="AN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89" s="4" t="str" cm="1">
        <f t="array" ref="AO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89" s="5">
        <f>IFERROR(OLDBD[[#This Row],[Llegada a packing]]-OLDBD[[#This Row],[Inicio de Ruta]],"")</f>
        <v>0.18055555555474712</v>
      </c>
      <c r="AQ89" s="6">
        <f>IFERROR(OLDBD[[#This Row],[Inicio de Ruta]]-OLDBD[[#This Row],[Salida de almacén de retiro]],"")</f>
        <v>0.29999999999563443</v>
      </c>
      <c r="AR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89" s="8" t="str" cm="1">
        <f t="array" ref="AS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89" s="9">
        <f>IFERROR(OLDBD[[#This Row],[Ingreso Packing]]-OLDBD[[#This Row],[Registro en Packing]],"")</f>
        <v>3.8194444445252884E-2</v>
      </c>
      <c r="AV89" s="9">
        <f>IFERROR(OLDBD[[#This Row],[Ingreso Packing]]-OLDBD[[#This Row],[Llegada a packing]],"")</f>
        <v>4.1666666671517305E-2</v>
      </c>
      <c r="AW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89" s="5">
        <f>IFERROR(OLDBD[[#This Row],[Llegada Almacén de Ingreso]]-OLDBD[[#This Row],[Salida Packing]],"")</f>
        <v>0.25</v>
      </c>
      <c r="AY89" s="4" t="str" cm="1">
        <f t="array" ref="AY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89" s="43" t="s">
        <v>173</v>
      </c>
      <c r="BB89" s="47" t="str">
        <f>IFERROR(IF(MARÍTIMOS[[#This Row],[Estatus]]="","",MARÍTIMOS[[#This Row],[Estatus]]),"")</f>
        <v>Confirmado</v>
      </c>
      <c r="BC89" s="43"/>
      <c r="BD89" s="46">
        <f>IFERROR(OLDBD[[#This Row],[Salida de almacén de retiro]]-OLDBD[[#This Row],[Ingreso Almacén de retiro]],"")</f>
        <v>4.8611111124046147E-3</v>
      </c>
      <c r="BE89" s="46">
        <f>IFERROR(OLDBD[[#This Row],[Fin de Carga]]-OLDBD[[#This Row],[Inicio de Carga]],"")</f>
        <v>4.8611111124046147E-3</v>
      </c>
    </row>
    <row r="90" spans="1:57" customFormat="1">
      <c r="A90" s="1"/>
      <c r="B90" s="1">
        <f>IFERROR(IF(MARÍTIMOS[[#This Row],[PP]]="","",MARÍTIMOS[[#This Row],[PP]]),"")</f>
        <v>38</v>
      </c>
      <c r="C90" s="1" t="str">
        <f>IFERROR(IF(MARÍTIMOS[[#This Row],[Sede]]="","",MARÍTIMOS[[#This Row],[Sede]]),"")</f>
        <v>Olmos</v>
      </c>
      <c r="D90" s="1" t="str">
        <f>IFERROR(IF(MARÍTIMOS[[#This Row],[Instruction]]="","",MARÍTIMOS[[#This Row],[Instruction]]),"")</f>
        <v>RH-0825</v>
      </c>
      <c r="E90" s="1"/>
      <c r="F90" s="2" t="str">
        <f>IFERROR(IF(MARÍTIMOS[[#This Row],[Transportista]]="","",MARÍTIMOS[[#This Row],[Transportista]]),"")</f>
        <v>Costa Transport</v>
      </c>
      <c r="G90" s="2" t="str">
        <f>IFERROR(IF(MARÍTIMOS[[#This Row],[Tercero]]="","",MARÍTIMOS[[#This Row],[Tercero]]),"")</f>
        <v>NO</v>
      </c>
      <c r="H90" s="2" t="str">
        <f>IFERROR(IF(MARÍTIMOS[[#This Row],[Razón Social]]="","",MARÍTIMOS[[#This Row],[Razón Social]]),"")</f>
        <v>TRANSPORTES COSTA TRANSPORT EIRL</v>
      </c>
      <c r="I90" s="2">
        <f>IFERROR(IF(MARÍTIMOS[[#This Row],[RUC]]="","",MARÍTIMOS[[#This Row],[RUC]]),"")</f>
        <v>20525373551</v>
      </c>
      <c r="J90" s="2" t="str">
        <f>IFERROR(IF(MARÍTIMOS[[#This Row],[Placa Tracto]]="","",MARÍTIMOS[[#This Row],[Placa Tracto]]),"")</f>
        <v>BBK-732</v>
      </c>
      <c r="K90" s="2" t="str">
        <f>IFERROR(IF(MARÍTIMOS[[#This Row],[Placa Carreta]]="","",MARÍTIMOS[[#This Row],[Placa Carreta]]),"")</f>
        <v>B7Q-992</v>
      </c>
      <c r="L90" s="44" t="str">
        <f>IFERROR(IF(MARÍTIMOS[[#This Row],[Conductor]]="","",MARÍTIMOS[[#This Row],[Conductor]]),"")</f>
        <v>SEGUNDO AUGUSTO NOLE CHIRA</v>
      </c>
      <c r="M90" s="2" t="str">
        <f>IFERROR(IF(MARÍTIMOS[[#This Row],[Licencia]]="","",MARÍTIMOS[[#This Row],[Licencia]]),"")</f>
        <v>B46734350</v>
      </c>
      <c r="N90" s="2">
        <f>IFERROR(IF(MARÍTIMOS[[#This Row],[Número de Contacto]]="","",MARÍTIMOS[[#This Row],[Número de Contacto]]),"")</f>
        <v>981486067</v>
      </c>
      <c r="O90" s="10" t="str">
        <f>IFERROR(IF(MARÍTIMOS[[#This Row],[Booking|AWB|CRT]]="","",MARÍTIMOS[[#This Row],[Booking|AWB|CRT]]),"")</f>
        <v>MBM250067157</v>
      </c>
      <c r="P90" s="2" t="str">
        <f>IFERROR(IF(MARÍTIMOS[[#This Row],[Contenedor]]="","",MARÍTIMOS[[#This Row],[Contenedor]]),"")</f>
        <v>CAIU5579237</v>
      </c>
      <c r="Q90" s="2" t="str">
        <f>IFERROR(IF(MARÍTIMOS[[#This Row],[Puerto de Retiro]]="","",MARÍTIMOS[[#This Row],[Puerto de Retiro]]),"")</f>
        <v>PAITA</v>
      </c>
      <c r="R90" s="2" t="str">
        <f>IFERROR(IF(MARÍTIMOS[[#This Row],[Almacén de Retiro]]="","",MARÍTIMOS[[#This Row],[Almacén de Retiro]]),"")</f>
        <v>MACROMAR</v>
      </c>
      <c r="S90" s="11">
        <f>IFERROR(IF(MARÍTIMOS[[#This Row],[Etapa Retiro - Cita]]="","",MARÍTIMOS[[#This Row],[Etapa Retiro - Cita]]),"")</f>
        <v>46282.875</v>
      </c>
      <c r="T90" s="11">
        <f>IFERROR(IF(MARÍTIMOS[[#This Row],[Etapa Retiro - Llegada]]="","",MARÍTIMOS[[#This Row],[Etapa Retiro - Llegada]]),"")</f>
        <v>46282.877083333333</v>
      </c>
      <c r="U90" s="11">
        <f>IFERROR(IF(MARÍTIMOS[[#This Row],[Etapa Retiro - Ingreso]]="","",MARÍTIMOS[[#This Row],[Etapa Retiro - Ingreso]]),"")</f>
        <v>46282.884722222225</v>
      </c>
      <c r="V90" s="11">
        <f>IFERROR(IF(MARÍTIMOS[[#This Row],[Etapa Retiro - Atención]]="","",MARÍTIMOS[[#This Row],[Etapa Retiro - Atención]]),"")</f>
        <v>46282.888888888891</v>
      </c>
      <c r="W90" s="11">
        <f>IFERROR(IF(MARÍTIMOS[[#This Row],[Etapa Retiro - Atención]]="","",MARÍTIMOS[[#This Row],[Etapa Retiro - Atención]]),"")</f>
        <v>46282.888888888891</v>
      </c>
      <c r="X90" s="11">
        <f>IFERROR(IF(MARÍTIMOS[[#This Row],[Etapa Retiro - Inicio de Ruta]]="","",MARÍTIMOS[[#This Row],[Etapa Retiro - Inicio de Ruta]]),"")</f>
        <v>46283.134027777778</v>
      </c>
      <c r="Y90" s="11">
        <f>IFERROR(IF(MARÍTIMOS[[#This Row],[Hora de Posicionamiento]]="","",MARÍTIMOS[[#This Row],[Fecha de Carga]]+MARÍTIMOS[[#This Row],[Hora de Posicionamiento]]),"")</f>
        <v>46283.333333333336</v>
      </c>
      <c r="Z90" s="11">
        <f>IFERROR(IF(MARÍTIMOS[[#This Row],[Etapa Despacho - Llegada]]="","",MARÍTIMOS[[#This Row],[Etapa Despacho - Llegada]]),"")</f>
        <v>46283.303472222222</v>
      </c>
      <c r="AA90" s="11">
        <f>IFERROR(IF(MARÍTIMOS[[#This Row],[Etapa Despacho - Registro]]="","",MARÍTIMOS[[#This Row],[Etapa Despacho - Registro]]),"")</f>
        <v>46283.309027777781</v>
      </c>
      <c r="AB90" s="11">
        <f>IFERROR(IF(MARÍTIMOS[[#This Row],[Inspección Externa]]="","",MARÍTIMOS[[#This Row],[Inspección Externa]]),"")</f>
        <v>46283.379166666666</v>
      </c>
      <c r="AC90" s="11">
        <f>IFERROR(IF(MARÍTIMOS[[#This Row],[Etapa Despacho - Inicio de Carga]]="","",MARÍTIMOS[[#This Row],[Etapa Despacho - Inicio de Carga]]),"")</f>
        <v>46283.466666666667</v>
      </c>
      <c r="AD90" s="11">
        <f>IFERROR(IF(MARÍTIMOS[[#This Row],[Etapa Despacho - Mitad de Carga]]="","",MARÍTIMOS[[#This Row],[Etapa Despacho - Mitad de Carga]]),"")</f>
        <v>46283.472916666666</v>
      </c>
      <c r="AE90" s="11">
        <f>IFERROR(IF(MARÍTIMOS[[#This Row],[Etapa Despacho - Fin de Carga]]="","",MARÍTIMOS[[#This Row],[Etapa Despacho - Fin de Carga]]),"")</f>
        <v>46283.481249999997</v>
      </c>
      <c r="AF90" s="2" t="str">
        <f>IFERROR(IF(MARÍTIMOS[[#This Row],[Puerto de Embarque]]="","",MARÍTIMOS[[#This Row],[Puerto de Embarque]]),"")</f>
        <v>Paita</v>
      </c>
      <c r="AG90" s="2" t="str">
        <f>IFERROR(IF(MARÍTIMOS[[#This Row],[Almacén de Ingreso]]="","",MARÍTIMOS[[#This Row],[Almacén de Ingreso]]),"")</f>
        <v>TPE</v>
      </c>
      <c r="AH90" s="11">
        <f>IFERROR(IF(MARÍTIMOS[[#This Row],[Etapa Ingreso - Cita]]="","",MARÍTIMOS[[#This Row],[Etapa Ingreso - Cita]]),"")</f>
        <v>46283.791666666664</v>
      </c>
      <c r="AI90" s="11">
        <f>IFERROR(IF(MARÍTIMOS[[#This Row],[Etapa Ingreso - Llegada]]="","",MARÍTIMOS[[#This Row],[Etapa Ingreso - Llegada]]),"")</f>
        <v>46283.73333333333</v>
      </c>
      <c r="AJ90" s="11">
        <f>IFERROR(IF(MARÍTIMOS[[#This Row],[Etapa Ingreso - Ingeso]]="","",MARÍTIMOS[[#This Row],[Etapa Ingreso - Ingeso]]),"")</f>
        <v>46283.73541666667</v>
      </c>
      <c r="AK90" s="11">
        <f>IFERROR(IF(MARÍTIMOS[[#This Row],[Etapa Ingreso - Atención]]="","",MARÍTIMOS[[#This Row],[Etapa Ingreso - Atención]]),"")</f>
        <v>46283.749305555553</v>
      </c>
      <c r="AL90" s="11">
        <f>IFERROR(IF(MARÍTIMOS[[#This Row],[Etapa Ingreso - Salida]]="","",MARÍTIMOS[[#This Row],[Etapa Ingreso - Salida]]),"")</f>
        <v>46283.75277777778</v>
      </c>
      <c r="AM90" s="2">
        <f>IFERROR(IF(MARÍTIMOS[[#This Row],[FCL]]="","",MARÍTIMOS[[#This Row],[FCL]]),"")</f>
        <v>1</v>
      </c>
      <c r="AN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90" s="4" t="str" cm="1">
        <f t="array" ref="AO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0" s="5">
        <f>IFERROR(OLDBD[[#This Row],[Llegada a packing]]-OLDBD[[#This Row],[Inicio de Ruta]],"")</f>
        <v>0.16944444444379769</v>
      </c>
      <c r="AQ90" s="6">
        <f>IFERROR(OLDBD[[#This Row],[Inicio de Ruta]]-OLDBD[[#This Row],[Salida de almacén de retiro]],"")</f>
        <v>0.24513888888759539</v>
      </c>
      <c r="AR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0" s="8" t="str" cm="1">
        <f t="array" ref="AS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90" s="9">
        <f>IFERROR(OLDBD[[#This Row],[Ingreso Packing]]-OLDBD[[#This Row],[Registro en Packing]],"")</f>
        <v>7.0138888884685002E-2</v>
      </c>
      <c r="AV90" s="9">
        <f>IFERROR(OLDBD[[#This Row],[Ingreso Packing]]-OLDBD[[#This Row],[Llegada a packing]],"")</f>
        <v>7.5694444443797693E-2</v>
      </c>
      <c r="AW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90" s="5">
        <f>IFERROR(OLDBD[[#This Row],[Llegada Almacén de Ingreso]]-OLDBD[[#This Row],[Salida Packing]],"")</f>
        <v>0.25208333333284827</v>
      </c>
      <c r="AY90" s="4" t="str" cm="1">
        <f t="array" ref="AY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90" s="43" t="s">
        <v>173</v>
      </c>
      <c r="BB90" s="47" t="str">
        <f>IFERROR(IF(MARÍTIMOS[[#This Row],[Estatus]]="","",MARÍTIMOS[[#This Row],[Estatus]]),"")</f>
        <v>Confirmado</v>
      </c>
      <c r="BC90" s="43"/>
      <c r="BD90" s="46">
        <f>IFERROR(OLDBD[[#This Row],[Salida de almacén de retiro]]-OLDBD[[#This Row],[Ingreso Almacén de retiro]],"")</f>
        <v>4.166666665696539E-3</v>
      </c>
      <c r="BE90" s="46">
        <f>IFERROR(OLDBD[[#This Row],[Fin de Carga]]-OLDBD[[#This Row],[Inicio de Carga]],"")</f>
        <v>6.2499999985448085E-3</v>
      </c>
    </row>
    <row r="91" spans="1:57" customFormat="1">
      <c r="A91" s="1"/>
      <c r="B91" s="1">
        <f>IFERROR(IF(MARÍTIMOS[[#This Row],[PP]]="","",MARÍTIMOS[[#This Row],[PP]]),"")</f>
        <v>38</v>
      </c>
      <c r="C91" s="1" t="str">
        <f>IFERROR(IF(MARÍTIMOS[[#This Row],[Sede]]="","",MARÍTIMOS[[#This Row],[Sede]]),"")</f>
        <v>Olmos</v>
      </c>
      <c r="D91" s="1" t="str">
        <f>IFERROR(IF(MARÍTIMOS[[#This Row],[Instruction]]="","",MARÍTIMOS[[#This Row],[Instruction]]),"")</f>
        <v>RH-0823</v>
      </c>
      <c r="E91" s="1"/>
      <c r="F91" s="2" t="str">
        <f>IFERROR(IF(MARÍTIMOS[[#This Row],[Transportista]]="","",MARÍTIMOS[[#This Row],[Transportista]]),"")</f>
        <v>Costa Transport</v>
      </c>
      <c r="G91" s="2" t="str">
        <f>IFERROR(IF(MARÍTIMOS[[#This Row],[Tercero]]="","",MARÍTIMOS[[#This Row],[Tercero]]),"")</f>
        <v>NO</v>
      </c>
      <c r="H91" s="2" t="str">
        <f>IFERROR(IF(MARÍTIMOS[[#This Row],[Razón Social]]="","",MARÍTIMOS[[#This Row],[Razón Social]]),"")</f>
        <v>TRANSPORTES COSTA TRANSPORT EIRL</v>
      </c>
      <c r="I91" s="2">
        <f>IFERROR(IF(MARÍTIMOS[[#This Row],[RUC]]="","",MARÍTIMOS[[#This Row],[RUC]]),"")</f>
        <v>20525373551</v>
      </c>
      <c r="J91" s="2" t="str">
        <f>IFERROR(IF(MARÍTIMOS[[#This Row],[Placa Tracto]]="","",MARÍTIMOS[[#This Row],[Placa Tracto]]),"")</f>
        <v>AVK-728</v>
      </c>
      <c r="K91" s="2" t="str">
        <f>IFERROR(IF(MARÍTIMOS[[#This Row],[Placa Carreta]]="","",MARÍTIMOS[[#This Row],[Placa Carreta]]),"")</f>
        <v>F9S-991</v>
      </c>
      <c r="L91" s="44" t="str">
        <f>IFERROR(IF(MARÍTIMOS[[#This Row],[Conductor]]="","",MARÍTIMOS[[#This Row],[Conductor]]),"")</f>
        <v>NOE VICTORIO NOE GARCIA</v>
      </c>
      <c r="M91" s="2" t="str">
        <f>IFERROR(IF(MARÍTIMOS[[#This Row],[Licencia]]="","",MARÍTIMOS[[#This Row],[Licencia]]),"")</f>
        <v>B42334233</v>
      </c>
      <c r="N91" s="2">
        <f>IFERROR(IF(MARÍTIMOS[[#This Row],[Número de Contacto]]="","",MARÍTIMOS[[#This Row],[Número de Contacto]]),"")</f>
        <v>998230850</v>
      </c>
      <c r="O91" s="10" t="str">
        <f>IFERROR(IF(MARÍTIMOS[[#This Row],[Booking|AWB|CRT]]="","",MARÍTIMOS[[#This Row],[Booking|AWB|CRT]]),"")</f>
        <v>BN83777</v>
      </c>
      <c r="P91" s="2" t="str">
        <f>IFERROR(IF(MARÍTIMOS[[#This Row],[Contenedor]]="","",MARÍTIMOS[[#This Row],[Contenedor]]),"")</f>
        <v>TEMU9492545</v>
      </c>
      <c r="Q91" s="2" t="str">
        <f>IFERROR(IF(MARÍTIMOS[[#This Row],[Puerto de Retiro]]="","",MARÍTIMOS[[#This Row],[Puerto de Retiro]]),"")</f>
        <v>PAITA</v>
      </c>
      <c r="R91" s="2" t="str">
        <f>IFERROR(IF(MARÍTIMOS[[#This Row],[Almacén de Retiro]]="","",MARÍTIMOS[[#This Row],[Almacén de Retiro]]),"")</f>
        <v>DPW</v>
      </c>
      <c r="S91" s="11">
        <f>IFERROR(IF(MARÍTIMOS[[#This Row],[Etapa Retiro - Cita]]="","",MARÍTIMOS[[#This Row],[Etapa Retiro - Cita]]),"")</f>
        <v>46285.833333333336</v>
      </c>
      <c r="T91" s="11">
        <f>IFERROR(IF(MARÍTIMOS[[#This Row],[Etapa Retiro - Llegada]]="","",MARÍTIMOS[[#This Row],[Etapa Retiro - Llegada]]),"")</f>
        <v>46285.864583333336</v>
      </c>
      <c r="U91" s="11">
        <f>IFERROR(IF(MARÍTIMOS[[#This Row],[Etapa Retiro - Ingreso]]="","",MARÍTIMOS[[#This Row],[Etapa Retiro - Ingreso]]),"")</f>
        <v>46285.869444444441</v>
      </c>
      <c r="V91" s="11">
        <f>IFERROR(IF(MARÍTIMOS[[#This Row],[Etapa Retiro - Atención]]="","",MARÍTIMOS[[#This Row],[Etapa Retiro - Atención]]),"")</f>
        <v>46285.888194444444</v>
      </c>
      <c r="W91" s="11">
        <f>IFERROR(IF(MARÍTIMOS[[#This Row],[Etapa Retiro - Atención]]="","",MARÍTIMOS[[#This Row],[Etapa Retiro - Atención]]),"")</f>
        <v>46285.888194444444</v>
      </c>
      <c r="X91" s="11">
        <f>IFERROR(IF(MARÍTIMOS[[#This Row],[Etapa Retiro - Inicio de Ruta]]="","",MARÍTIMOS[[#This Row],[Etapa Retiro - Inicio de Ruta]]),"")</f>
        <v>46286.133333333331</v>
      </c>
      <c r="Y91" s="11">
        <f>IFERROR(IF(MARÍTIMOS[[#This Row],[Hora de Posicionamiento]]="","",MARÍTIMOS[[#This Row],[Fecha de Carga]]+MARÍTIMOS[[#This Row],[Hora de Posicionamiento]]),"")</f>
        <v>46286.333333333336</v>
      </c>
      <c r="Z91" s="11">
        <f>IFERROR(IF(MARÍTIMOS[[#This Row],[Etapa Despacho - Llegada]]="","",MARÍTIMOS[[#This Row],[Etapa Despacho - Llegada]]),"")</f>
        <v>46286.326388888891</v>
      </c>
      <c r="AA91" s="11">
        <f>IFERROR(IF(MARÍTIMOS[[#This Row],[Etapa Despacho - Registro]]="","",MARÍTIMOS[[#This Row],[Etapa Despacho - Registro]]),"")</f>
        <v>46286.356249999997</v>
      </c>
      <c r="AB91" s="11">
        <f>IFERROR(IF(MARÍTIMOS[[#This Row],[Inspección Externa]]="","",MARÍTIMOS[[#This Row],[Inspección Externa]]),"")</f>
        <v>46286.364583333336</v>
      </c>
      <c r="AC91" s="11">
        <f>IFERROR(IF(MARÍTIMOS[[#This Row],[Etapa Despacho - Inicio de Carga]]="","",MARÍTIMOS[[#This Row],[Etapa Despacho - Inicio de Carga]]),"")</f>
        <v>46286.5</v>
      </c>
      <c r="AD91" s="11">
        <f>IFERROR(IF(MARÍTIMOS[[#This Row],[Etapa Despacho - Mitad de Carga]]="","",MARÍTIMOS[[#This Row],[Etapa Despacho - Mitad de Carga]]),"")</f>
        <v>46286.513888888891</v>
      </c>
      <c r="AE91" s="11">
        <f>IFERROR(IF(MARÍTIMOS[[#This Row],[Etapa Despacho - Fin de Carga]]="","",MARÍTIMOS[[#This Row],[Etapa Despacho - Fin de Carga]]),"")</f>
        <v>46286.527777777781</v>
      </c>
      <c r="AF91" s="2" t="str">
        <f>IFERROR(IF(MARÍTIMOS[[#This Row],[Puerto de Embarque]]="","",MARÍTIMOS[[#This Row],[Puerto de Embarque]]),"")</f>
        <v>Paita</v>
      </c>
      <c r="AG91" s="2" t="str">
        <f>IFERROR(IF(MARÍTIMOS[[#This Row],[Almacén de Ingreso]]="","",MARÍTIMOS[[#This Row],[Almacén de Ingreso]]),"")</f>
        <v>TPE</v>
      </c>
      <c r="AH91" s="11">
        <f>IFERROR(IF(MARÍTIMOS[[#This Row],[Etapa Ingreso - Cita]]="","",MARÍTIMOS[[#This Row],[Etapa Ingreso - Cita]]),"")</f>
        <v>46286.833333333336</v>
      </c>
      <c r="AI91" s="11">
        <f>IFERROR(IF(MARÍTIMOS[[#This Row],[Etapa Ingreso - Llegada]]="","",MARÍTIMOS[[#This Row],[Etapa Ingreso - Llegada]]),"")</f>
        <v>46286.78402777778</v>
      </c>
      <c r="AJ91" s="11">
        <f>IFERROR(IF(MARÍTIMOS[[#This Row],[Etapa Ingreso - Ingeso]]="","",MARÍTIMOS[[#This Row],[Etapa Ingreso - Ingeso]]),"")</f>
        <v>46286.78402777778</v>
      </c>
      <c r="AK91" s="11">
        <f>IFERROR(IF(MARÍTIMOS[[#This Row],[Etapa Ingreso - Atención]]="","",MARÍTIMOS[[#This Row],[Etapa Ingreso - Atención]]),"")</f>
        <v>46286.791666666664</v>
      </c>
      <c r="AL91" s="11">
        <f>IFERROR(IF(MARÍTIMOS[[#This Row],[Etapa Ingreso - Salida]]="","",MARÍTIMOS[[#This Row],[Etapa Ingreso - Salida]]),"")</f>
        <v>46286.8</v>
      </c>
      <c r="AM91" s="2">
        <f>IFERROR(IF(MARÍTIMOS[[#This Row],[FCL]]="","",MARÍTIMOS[[#This Row],[FCL]]),"")</f>
        <v>1</v>
      </c>
      <c r="AN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91" s="4" t="str" cm="1">
        <f t="array" ref="AO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1" s="5">
        <f>IFERROR(OLDBD[[#This Row],[Llegada a packing]]-OLDBD[[#This Row],[Inicio de Ruta]],"")</f>
        <v>0.19305555555911269</v>
      </c>
      <c r="AQ91" s="6">
        <f>IFERROR(OLDBD[[#This Row],[Inicio de Ruta]]-OLDBD[[#This Row],[Salida de almacén de retiro]],"")</f>
        <v>0.24513888888759539</v>
      </c>
      <c r="AR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1" s="8" t="str" cm="1">
        <f t="array" ref="AS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91" s="9">
        <f>IFERROR(OLDBD[[#This Row],[Ingreso Packing]]-OLDBD[[#This Row],[Registro en Packing]],"")</f>
        <v>8.3333333386690356E-3</v>
      </c>
      <c r="AV91" s="9">
        <f>IFERROR(OLDBD[[#This Row],[Ingreso Packing]]-OLDBD[[#This Row],[Llegada a packing]],"")</f>
        <v>3.8194444445252884E-2</v>
      </c>
      <c r="AW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91" s="5">
        <f>IFERROR(OLDBD[[#This Row],[Llegada Almacén de Ingreso]]-OLDBD[[#This Row],[Salida Packing]],"")</f>
        <v>0.25624999999854481</v>
      </c>
      <c r="AY91" s="4" t="str" cm="1">
        <f t="array" ref="AY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91" s="43" t="s">
        <v>173</v>
      </c>
      <c r="BB91" s="47" t="str">
        <f>IFERROR(IF(MARÍTIMOS[[#This Row],[Estatus]]="","",MARÍTIMOS[[#This Row],[Estatus]]),"")</f>
        <v>Confirmado</v>
      </c>
      <c r="BC91" s="43"/>
      <c r="BD91" s="46">
        <f>IFERROR(OLDBD[[#This Row],[Salida de almacén de retiro]]-OLDBD[[#This Row],[Ingreso Almacén de retiro]],"")</f>
        <v>1.8750000002910383E-2</v>
      </c>
      <c r="BE91" s="46">
        <f>IFERROR(OLDBD[[#This Row],[Fin de Carga]]-OLDBD[[#This Row],[Inicio de Carga]],"")</f>
        <v>1.3888888890505768E-2</v>
      </c>
    </row>
    <row r="92" spans="1:57" customFormat="1">
      <c r="A92" s="1"/>
      <c r="B92" s="1">
        <f>IFERROR(IF(MARÍTIMOS[[#This Row],[PP]]="","",MARÍTIMOS[[#This Row],[PP]]),"")</f>
        <v>38</v>
      </c>
      <c r="C92" s="1" t="str">
        <f>IFERROR(IF(MARÍTIMOS[[#This Row],[Sede]]="","",MARÍTIMOS[[#This Row],[Sede]]),"")</f>
        <v>Olmos</v>
      </c>
      <c r="D92" s="1" t="str">
        <f>IFERROR(IF(MARÍTIMOS[[#This Row],[Instruction]]="","",MARÍTIMOS[[#This Row],[Instruction]]),"")</f>
        <v>RH-0830</v>
      </c>
      <c r="E92" s="1"/>
      <c r="F92" s="2" t="str">
        <f>IFERROR(IF(MARÍTIMOS[[#This Row],[Transportista]]="","",MARÍTIMOS[[#This Row],[Transportista]]),"")</f>
        <v>Costa Transport</v>
      </c>
      <c r="G92" s="2" t="str">
        <f>IFERROR(IF(MARÍTIMOS[[#This Row],[Tercero]]="","",MARÍTIMOS[[#This Row],[Tercero]]),"")</f>
        <v>NO</v>
      </c>
      <c r="H92" s="2" t="str">
        <f>IFERROR(IF(MARÍTIMOS[[#This Row],[Razón Social]]="","",MARÍTIMOS[[#This Row],[Razón Social]]),"")</f>
        <v>TRANSPORTES COSTA TRANSPORT EIRL</v>
      </c>
      <c r="I92" s="2">
        <f>IFERROR(IF(MARÍTIMOS[[#This Row],[RUC]]="","",MARÍTIMOS[[#This Row],[RUC]]),"")</f>
        <v>20525373551</v>
      </c>
      <c r="J92" s="2" t="str">
        <f>IFERROR(IF(MARÍTIMOS[[#This Row],[Placa Tracto]]="","",MARÍTIMOS[[#This Row],[Placa Tracto]]),"")</f>
        <v>T3A-807</v>
      </c>
      <c r="K92" s="2" t="str">
        <f>IFERROR(IF(MARÍTIMOS[[#This Row],[Placa Carreta]]="","",MARÍTIMOS[[#This Row],[Placa Carreta]]),"")</f>
        <v>B7Q-991</v>
      </c>
      <c r="L92" s="44" t="str">
        <f>IFERROR(IF(MARÍTIMOS[[#This Row],[Conductor]]="","",MARÍTIMOS[[#This Row],[Conductor]]),"")</f>
        <v>CASTILLO MARTINEZ ALEJANDRO.</v>
      </c>
      <c r="M92" s="2" t="str">
        <f>IFERROR(IF(MARÍTIMOS[[#This Row],[Licencia]]="","",MARÍTIMOS[[#This Row],[Licencia]]),"")</f>
        <v>B02753773</v>
      </c>
      <c r="N92" s="2">
        <f>IFERROR(IF(MARÍTIMOS[[#This Row],[Número de Contacto]]="","",MARÍTIMOS[[#This Row],[Número de Contacto]]),"")</f>
        <v>998255542</v>
      </c>
      <c r="O92" s="10" t="str">
        <f>IFERROR(IF(MARÍTIMOS[[#This Row],[Booking|AWB|CRT]]="","",MARÍTIMOS[[#This Row],[Booking|AWB|CRT]]),"")</f>
        <v>PER9234505A</v>
      </c>
      <c r="P92" s="2" t="str">
        <f>IFERROR(IF(MARÍTIMOS[[#This Row],[Contenedor]]="","",MARÍTIMOS[[#This Row],[Contenedor]]),"")</f>
        <v>TXGU9030468</v>
      </c>
      <c r="Q92" s="2" t="str">
        <f>IFERROR(IF(MARÍTIMOS[[#This Row],[Puerto de Retiro]]="","",MARÍTIMOS[[#This Row],[Puerto de Retiro]]),"")</f>
        <v>PAITA</v>
      </c>
      <c r="R92" s="2" t="str">
        <f>IFERROR(IF(MARÍTIMOS[[#This Row],[Almacén de Retiro]]="","",MARÍTIMOS[[#This Row],[Almacén de Retiro]]),"")</f>
        <v>DPW</v>
      </c>
      <c r="S92" s="11">
        <f>IFERROR(IF(MARÍTIMOS[[#This Row],[Etapa Retiro - Cita]]="","",MARÍTIMOS[[#This Row],[Etapa Retiro - Cita]]),"")</f>
        <v>46285.333333333336</v>
      </c>
      <c r="T92" s="11">
        <f>IFERROR(IF(MARÍTIMOS[[#This Row],[Etapa Retiro - Llegada]]="","",MARÍTIMOS[[#This Row],[Etapa Retiro - Llegada]]),"")</f>
        <v>46285.365277777775</v>
      </c>
      <c r="U92" s="11">
        <f>IFERROR(IF(MARÍTIMOS[[#This Row],[Etapa Retiro - Ingreso]]="","",MARÍTIMOS[[#This Row],[Etapa Retiro - Ingreso]]),"")</f>
        <v>46285.370138888888</v>
      </c>
      <c r="V92" s="11">
        <f>IFERROR(IF(MARÍTIMOS[[#This Row],[Etapa Retiro - Atención]]="","",MARÍTIMOS[[#This Row],[Etapa Retiro - Atención]]),"")</f>
        <v>46285.375</v>
      </c>
      <c r="W92" s="11">
        <f>IFERROR(IF(MARÍTIMOS[[#This Row],[Etapa Retiro - Atención]]="","",MARÍTIMOS[[#This Row],[Etapa Retiro - Atención]]),"")</f>
        <v>46285.375</v>
      </c>
      <c r="X92" s="11">
        <f>IFERROR(IF(MARÍTIMOS[[#This Row],[Etapa Retiro - Inicio de Ruta]]="","",MARÍTIMOS[[#This Row],[Etapa Retiro - Inicio de Ruta]]),"")</f>
        <v>46286.126388888886</v>
      </c>
      <c r="Y92" s="11">
        <f>IFERROR(IF(MARÍTIMOS[[#This Row],[Hora de Posicionamiento]]="","",MARÍTIMOS[[#This Row],[Fecha de Carga]]+MARÍTIMOS[[#This Row],[Hora de Posicionamiento]]),"")</f>
        <v>46286.333333333336</v>
      </c>
      <c r="Z92" s="11">
        <f>IFERROR(IF(MARÍTIMOS[[#This Row],[Etapa Despacho - Llegada]]="","",MARÍTIMOS[[#This Row],[Etapa Despacho - Llegada]]),"")</f>
        <v>46286.313888888886</v>
      </c>
      <c r="AA92" s="11">
        <f>IFERROR(IF(MARÍTIMOS[[#This Row],[Etapa Despacho - Registro]]="","",MARÍTIMOS[[#This Row],[Etapa Despacho - Registro]]),"")</f>
        <v>46286.333333333336</v>
      </c>
      <c r="AB92" s="11">
        <f>IFERROR(IF(MARÍTIMOS[[#This Row],[Inspección Externa]]="","",MARÍTIMOS[[#This Row],[Inspección Externa]]),"")</f>
        <v>46286.34375</v>
      </c>
      <c r="AC92" s="11">
        <f>IFERROR(IF(MARÍTIMOS[[#This Row],[Etapa Despacho - Inicio de Carga]]="","",MARÍTIMOS[[#This Row],[Etapa Despacho - Inicio de Carga]]),"")</f>
        <v>46286.458333333336</v>
      </c>
      <c r="AD92" s="11">
        <f>IFERROR(IF(MARÍTIMOS[[#This Row],[Etapa Despacho - Mitad de Carga]]="","",MARÍTIMOS[[#This Row],[Etapa Despacho - Mitad de Carga]]),"")</f>
        <v>46286.5</v>
      </c>
      <c r="AE92" s="11">
        <f>IFERROR(IF(MARÍTIMOS[[#This Row],[Etapa Despacho - Fin de Carga]]="","",MARÍTIMOS[[#This Row],[Etapa Despacho - Fin de Carga]]),"")</f>
        <v>46286.523611111108</v>
      </c>
      <c r="AF92" s="2" t="str">
        <f>IFERROR(IF(MARÍTIMOS[[#This Row],[Puerto de Embarque]]="","",MARÍTIMOS[[#This Row],[Puerto de Embarque]]),"")</f>
        <v>Paita</v>
      </c>
      <c r="AG92" s="2" t="str">
        <f>IFERROR(IF(MARÍTIMOS[[#This Row],[Almacén de Ingreso]]="","",MARÍTIMOS[[#This Row],[Almacén de Ingreso]]),"")</f>
        <v>TPE</v>
      </c>
      <c r="AH92" s="11">
        <f>IFERROR(IF(MARÍTIMOS[[#This Row],[Etapa Ingreso - Cita]]="","",MARÍTIMOS[[#This Row],[Etapa Ingreso - Cita]]),"")</f>
        <v>46286.791666666664</v>
      </c>
      <c r="AI92" s="11">
        <f>IFERROR(IF(MARÍTIMOS[[#This Row],[Etapa Ingreso - Llegada]]="","",MARÍTIMOS[[#This Row],[Etapa Ingreso - Llegada]]),"")</f>
        <v>46286.770833333336</v>
      </c>
      <c r="AJ92" s="11">
        <f>IFERROR(IF(MARÍTIMOS[[#This Row],[Etapa Ingreso - Ingeso]]="","",MARÍTIMOS[[#This Row],[Etapa Ingreso - Ingeso]]),"")</f>
        <v>46286.776388888888</v>
      </c>
      <c r="AK92" s="11">
        <f>IFERROR(IF(MARÍTIMOS[[#This Row],[Etapa Ingreso - Atención]]="","",MARÍTIMOS[[#This Row],[Etapa Ingreso - Atención]]),"")</f>
        <v>46286.779861111114</v>
      </c>
      <c r="AL92" s="11">
        <f>IFERROR(IF(MARÍTIMOS[[#This Row],[Etapa Ingreso - Salida]]="","",MARÍTIMOS[[#This Row],[Etapa Ingreso - Salida]]),"")</f>
        <v>46286.783333333333</v>
      </c>
      <c r="AM92" s="2">
        <f>IFERROR(IF(MARÍTIMOS[[#This Row],[FCL]]="","",MARÍTIMOS[[#This Row],[FCL]]),"")</f>
        <v>1</v>
      </c>
      <c r="AN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92" s="4" t="str" cm="1">
        <f t="array" ref="AO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2" s="5">
        <f>IFERROR(OLDBD[[#This Row],[Llegada a packing]]-OLDBD[[#This Row],[Inicio de Ruta]],"")</f>
        <v>0.1875</v>
      </c>
      <c r="AQ92" s="6">
        <f>IFERROR(OLDBD[[#This Row],[Inicio de Ruta]]-OLDBD[[#This Row],[Salida de almacén de retiro]],"")</f>
        <v>0.75138888888614019</v>
      </c>
      <c r="AR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2" s="8" t="str" cm="1">
        <f t="array" ref="AS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92" s="9">
        <f>IFERROR(OLDBD[[#This Row],[Ingreso Packing]]-OLDBD[[#This Row],[Registro en Packing]],"")</f>
        <v>1.0416666664241347E-2</v>
      </c>
      <c r="AV92" s="9">
        <f>IFERROR(OLDBD[[#This Row],[Ingreso Packing]]-OLDBD[[#This Row],[Llegada a packing]],"")</f>
        <v>2.9861111113859806E-2</v>
      </c>
      <c r="AW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92" s="5">
        <f>IFERROR(OLDBD[[#This Row],[Llegada Almacén de Ingreso]]-OLDBD[[#This Row],[Salida Packing]],"")</f>
        <v>0.24722222222771961</v>
      </c>
      <c r="AY92" s="4" t="str" cm="1">
        <f t="array" ref="AY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92" s="43" t="s">
        <v>173</v>
      </c>
      <c r="BB92" s="47" t="str">
        <f>IFERROR(IF(MARÍTIMOS[[#This Row],[Estatus]]="","",MARÍTIMOS[[#This Row],[Estatus]]),"")</f>
        <v>Confirmado</v>
      </c>
      <c r="BC92" s="43"/>
      <c r="BD92" s="46">
        <f>IFERROR(OLDBD[[#This Row],[Salida de almacén de retiro]]-OLDBD[[#This Row],[Ingreso Almacén de retiro]],"")</f>
        <v>4.8611111124046147E-3</v>
      </c>
      <c r="BE92" s="46">
        <f>IFERROR(OLDBD[[#This Row],[Fin de Carga]]-OLDBD[[#This Row],[Inicio de Carga]],"")</f>
        <v>4.1666666664241347E-2</v>
      </c>
    </row>
    <row r="93" spans="1:57" customFormat="1" hidden="1">
      <c r="A93" s="1"/>
      <c r="B93" s="1">
        <f>IFERROR(IF(MARÍTIMOS[[#This Row],[PP]]="","",MARÍTIMOS[[#This Row],[PP]]),"")</f>
        <v>39</v>
      </c>
      <c r="C93" s="1" t="str">
        <f>IFERROR(IF(MARÍTIMOS[[#This Row],[Sede]]="","",MARÍTIMOS[[#This Row],[Sede]]),"")</f>
        <v>Olmos</v>
      </c>
      <c r="D93" s="1" t="str">
        <f>IFERROR(IF(MARÍTIMOS[[#This Row],[Instruction]]="","",MARÍTIMOS[[#This Row],[Instruction]]),"")</f>
        <v>RH-0838</v>
      </c>
      <c r="E93" s="1"/>
      <c r="F93" s="2" t="str">
        <f>IFERROR(IF(MARÍTIMOS[[#This Row],[Transportista]]="","",MARÍTIMOS[[#This Row],[Transportista]]),"")</f>
        <v>Costa Transport</v>
      </c>
      <c r="G93" s="2" t="str">
        <f>IFERROR(IF(MARÍTIMOS[[#This Row],[Tercero]]="","",MARÍTIMOS[[#This Row],[Tercero]]),"")</f>
        <v>NO</v>
      </c>
      <c r="H93" s="2" t="str">
        <f>IFERROR(IF(MARÍTIMOS[[#This Row],[Razón Social]]="","",MARÍTIMOS[[#This Row],[Razón Social]]),"")</f>
        <v>TRANSPORTES COSTA TRANSPORT EIRL</v>
      </c>
      <c r="I93" s="2">
        <f>IFERROR(IF(MARÍTIMOS[[#This Row],[RUC]]="","",MARÍTIMOS[[#This Row],[RUC]]),"")</f>
        <v>20525373551</v>
      </c>
      <c r="J93" s="2" t="str">
        <f>IFERROR(IF(MARÍTIMOS[[#This Row],[Placa Tracto]]="","",MARÍTIMOS[[#This Row],[Placa Tracto]]),"")</f>
        <v>AVK-810</v>
      </c>
      <c r="K93" s="2" t="str">
        <f>IFERROR(IF(MARÍTIMOS[[#This Row],[Placa Carreta]]="","",MARÍTIMOS[[#This Row],[Placa Carreta]]),"")</f>
        <v>AMY-977</v>
      </c>
      <c r="L93" s="44" t="str">
        <f>IFERROR(IF(MARÍTIMOS[[#This Row],[Conductor]]="","",MARÍTIMOS[[#This Row],[Conductor]]),"")</f>
        <v>CEVALLOS ASTUDILLO JORGE LUIS</v>
      </c>
      <c r="M93" s="2" t="str">
        <f>IFERROR(IF(MARÍTIMOS[[#This Row],[Licencia]]="","",MARÍTIMOS[[#This Row],[Licencia]]),"")</f>
        <v>B42067818</v>
      </c>
      <c r="N93" s="2">
        <f>IFERROR(IF(MARÍTIMOS[[#This Row],[Número de Contacto]]="","",MARÍTIMOS[[#This Row],[Número de Contacto]]),"")</f>
        <v>998374895</v>
      </c>
      <c r="O93" s="10" t="str">
        <f>IFERROR(IF(MARÍTIMOS[[#This Row],[Booking|AWB|CRT]]="","",MARÍTIMOS[[#This Row],[Booking|AWB|CRT]]),"")</f>
        <v>MBM250067163</v>
      </c>
      <c r="P93" s="2" t="str">
        <f>IFERROR(IF(MARÍTIMOS[[#This Row],[Contenedor]]="","",MARÍTIMOS[[#This Row],[Contenedor]]),"")</f>
        <v>SEGU9241646</v>
      </c>
      <c r="Q93" s="2" t="str">
        <f>IFERROR(IF(MARÍTIMOS[[#This Row],[Puerto de Retiro]]="","",MARÍTIMOS[[#This Row],[Puerto de Retiro]]),"")</f>
        <v>PAITA</v>
      </c>
      <c r="R93" s="2" t="str">
        <f>IFERROR(IF(MARÍTIMOS[[#This Row],[Almacén de Retiro]]="","",MARÍTIMOS[[#This Row],[Almacén de Retiro]]),"")</f>
        <v>DPW</v>
      </c>
      <c r="S93" s="11">
        <f>IFERROR(IF(MARÍTIMOS[[#This Row],[Etapa Retiro - Cita]]="","",MARÍTIMOS[[#This Row],[Etapa Retiro - Cita]]),"")</f>
        <v>46288.875</v>
      </c>
      <c r="T93" s="11">
        <f>IFERROR(IF(MARÍTIMOS[[#This Row],[Etapa Retiro - Llegada]]="","",MARÍTIMOS[[#This Row],[Etapa Retiro - Llegada]]),"")</f>
        <v>46288.845833333333</v>
      </c>
      <c r="U93" s="11">
        <f>IFERROR(IF(MARÍTIMOS[[#This Row],[Etapa Retiro - Ingreso]]="","",MARÍTIMOS[[#This Row],[Etapa Retiro - Ingreso]]),"")</f>
        <v>46288.872916666667</v>
      </c>
      <c r="V93" s="11">
        <f>IFERROR(IF(MARÍTIMOS[[#This Row],[Etapa Retiro - Atención]]="","",MARÍTIMOS[[#This Row],[Etapa Retiro - Atención]]),"")</f>
        <v>46288.887499999997</v>
      </c>
      <c r="W93" s="11">
        <f>IFERROR(IF(MARÍTIMOS[[#This Row],[Etapa Retiro - Atención]]="","",MARÍTIMOS[[#This Row],[Etapa Retiro - Atención]]),"")</f>
        <v>46288.887499999997</v>
      </c>
      <c r="X93" s="11">
        <f>IFERROR(IF(MARÍTIMOS[[#This Row],[Etapa Retiro - Inicio de Ruta]]="","",MARÍTIMOS[[#This Row],[Etapa Retiro - Inicio de Ruta]]),"")</f>
        <v>46289.308333333334</v>
      </c>
      <c r="Y93" s="11">
        <f>IFERROR(IF(MARÍTIMOS[[#This Row],[Hora de Posicionamiento]]="","",MARÍTIMOS[[#This Row],[Fecha de Carga]]+MARÍTIMOS[[#This Row],[Hora de Posicionamiento]]),"")</f>
        <v>46289.5</v>
      </c>
      <c r="Z93" s="11">
        <f>IFERROR(IF(MARÍTIMOS[[#This Row],[Etapa Despacho - Llegada]]="","",MARÍTIMOS[[#This Row],[Etapa Despacho - Llegada]]),"")</f>
        <v>46289.48333333333</v>
      </c>
      <c r="AA93" s="11">
        <f>IFERROR(IF(MARÍTIMOS[[#This Row],[Etapa Despacho - Registro]]="","",MARÍTIMOS[[#This Row],[Etapa Despacho - Registro]]),"")</f>
        <v>46289.495833333334</v>
      </c>
      <c r="AB93" s="11">
        <f>IFERROR(IF(MARÍTIMOS[[#This Row],[Inspección Externa]]="","",MARÍTIMOS[[#This Row],[Inspección Externa]]),"")</f>
        <v>46289.5</v>
      </c>
      <c r="AC93" s="11">
        <f>IFERROR(IF(MARÍTIMOS[[#This Row],[Etapa Despacho - Inicio de Carga]]="","",MARÍTIMOS[[#This Row],[Etapa Despacho - Inicio de Carga]]),"")</f>
        <v>46289.597916666666</v>
      </c>
      <c r="AD93" s="11">
        <f>IFERROR(IF(MARÍTIMOS[[#This Row],[Etapa Despacho - Mitad de Carga]]="","",MARÍTIMOS[[#This Row],[Etapa Despacho - Mitad de Carga]]),"")</f>
        <v>46289.604166666664</v>
      </c>
      <c r="AE93" s="11">
        <f>IFERROR(IF(MARÍTIMOS[[#This Row],[Etapa Despacho - Fin de Carga]]="","",MARÍTIMOS[[#This Row],[Etapa Despacho - Fin de Carga]]),"")</f>
        <v>46289.612500000003</v>
      </c>
      <c r="AF93" s="2" t="str">
        <f>IFERROR(IF(MARÍTIMOS[[#This Row],[Puerto de Embarque]]="","",MARÍTIMOS[[#This Row],[Puerto de Embarque]]),"")</f>
        <v>Paita</v>
      </c>
      <c r="AG93" s="2" t="str">
        <f>IFERROR(IF(MARÍTIMOS[[#This Row],[Almacén de Ingreso]]="","",MARÍTIMOS[[#This Row],[Almacén de Ingreso]]),"")</f>
        <v>TPE</v>
      </c>
      <c r="AH93" s="11">
        <f>IFERROR(IF(MARÍTIMOS[[#This Row],[Etapa Ingreso - Cita]]="","",MARÍTIMOS[[#This Row],[Etapa Ingreso - Cita]]),"")</f>
        <v>46289.875</v>
      </c>
      <c r="AI93" s="11">
        <f>IFERROR(IF(MARÍTIMOS[[#This Row],[Etapa Ingreso - Llegada]]="","",MARÍTIMOS[[#This Row],[Etapa Ingreso - Llegada]]),"")</f>
        <v>46289.847222222219</v>
      </c>
      <c r="AJ93" s="11">
        <f>IFERROR(IF(MARÍTIMOS[[#This Row],[Etapa Ingreso - Ingeso]]="","",MARÍTIMOS[[#This Row],[Etapa Ingreso - Ingeso]]),"")</f>
        <v>46289.85</v>
      </c>
      <c r="AK93" s="11">
        <f>IFERROR(IF(MARÍTIMOS[[#This Row],[Etapa Ingreso - Atención]]="","",MARÍTIMOS[[#This Row],[Etapa Ingreso - Atención]]),"")</f>
        <v>46289.869444444441</v>
      </c>
      <c r="AL93" s="11">
        <f>IFERROR(IF(MARÍTIMOS[[#This Row],[Etapa Ingreso - Salida]]="","",MARÍTIMOS[[#This Row],[Etapa Ingreso - Salida]]),"")</f>
        <v>46289.875</v>
      </c>
      <c r="AM93" s="2">
        <f>IFERROR(IF(MARÍTIMOS[[#This Row],[FCL]]="","",MARÍTIMOS[[#This Row],[FCL]]),"")</f>
        <v>1</v>
      </c>
      <c r="AN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93" s="4" t="str" cm="1">
        <f t="array" ref="AO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3" s="5">
        <f>IFERROR(OLDBD[[#This Row],[Llegada a packing]]-OLDBD[[#This Row],[Inicio de Ruta]],"")</f>
        <v>0.17499999999563443</v>
      </c>
      <c r="AQ93" s="6">
        <f>IFERROR(OLDBD[[#This Row],[Inicio de Ruta]]-OLDBD[[#This Row],[Salida de almacén de retiro]],"")</f>
        <v>0.42083333333721384</v>
      </c>
      <c r="AR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3" s="8" t="str" cm="1">
        <f t="array" ref="AS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93" s="9">
        <f>IFERROR(OLDBD[[#This Row],[Ingreso Packing]]-OLDBD[[#This Row],[Registro en Packing]],"")</f>
        <v>4.166666665696539E-3</v>
      </c>
      <c r="AV93" s="9">
        <f>IFERROR(OLDBD[[#This Row],[Ingreso Packing]]-OLDBD[[#This Row],[Llegada a packing]],"")</f>
        <v>1.6666666670062114E-2</v>
      </c>
      <c r="AW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93" s="5">
        <f>IFERROR(OLDBD[[#This Row],[Llegada Almacén de Ingreso]]-OLDBD[[#This Row],[Salida Packing]],"")</f>
        <v>0.23472222221607808</v>
      </c>
      <c r="AY93" s="4" t="str" cm="1">
        <f t="array" ref="AY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93" s="43" t="s">
        <v>173</v>
      </c>
      <c r="BB93" s="47" t="str">
        <f>IFERROR(IF(MARÍTIMOS[[#This Row],[Estatus]]="","",MARÍTIMOS[[#This Row],[Estatus]]),"")</f>
        <v>Confirmado</v>
      </c>
      <c r="BC93" s="43"/>
      <c r="BD93" s="46">
        <f>IFERROR(OLDBD[[#This Row],[Salida de almacén de retiro]]-OLDBD[[#This Row],[Ingreso Almacén de retiro]],"")</f>
        <v>1.4583333329937886E-2</v>
      </c>
      <c r="BE93" s="46">
        <f>IFERROR(OLDBD[[#This Row],[Fin de Carga]]-OLDBD[[#This Row],[Inicio de Carga]],"")</f>
        <v>6.2499999985448085E-3</v>
      </c>
    </row>
    <row r="94" spans="1:57" customFormat="1" hidden="1">
      <c r="A94" s="1"/>
      <c r="B94" s="1">
        <f>IFERROR(IF(MARÍTIMOS[[#This Row],[PP]]="","",MARÍTIMOS[[#This Row],[PP]]),"")</f>
        <v>39</v>
      </c>
      <c r="C94" s="1" t="str">
        <f>IFERROR(IF(MARÍTIMOS[[#This Row],[Sede]]="","",MARÍTIMOS[[#This Row],[Sede]]),"")</f>
        <v>Olmos</v>
      </c>
      <c r="D94" s="1" t="str">
        <f>IFERROR(IF(MARÍTIMOS[[#This Row],[Instruction]]="","",MARÍTIMOS[[#This Row],[Instruction]]),"")</f>
        <v>RH-0839</v>
      </c>
      <c r="E94" s="1"/>
      <c r="F94" s="2" t="str">
        <f>IFERROR(IF(MARÍTIMOS[[#This Row],[Transportista]]="","",MARÍTIMOS[[#This Row],[Transportista]]),"")</f>
        <v>Costa Transport</v>
      </c>
      <c r="G94" s="2" t="str">
        <f>IFERROR(IF(MARÍTIMOS[[#This Row],[Tercero]]="","",MARÍTIMOS[[#This Row],[Tercero]]),"")</f>
        <v>NO</v>
      </c>
      <c r="H94" s="2" t="str">
        <f>IFERROR(IF(MARÍTIMOS[[#This Row],[Razón Social]]="","",MARÍTIMOS[[#This Row],[Razón Social]]),"")</f>
        <v>TRANSPORTES COSTA TRANSPORT EIRL</v>
      </c>
      <c r="I94" s="2">
        <f>IFERROR(IF(MARÍTIMOS[[#This Row],[RUC]]="","",MARÍTIMOS[[#This Row],[RUC]]),"")</f>
        <v>20525373551</v>
      </c>
      <c r="J94" s="2" t="str">
        <f>IFERROR(IF(MARÍTIMOS[[#This Row],[Placa Tracto]]="","",MARÍTIMOS[[#This Row],[Placa Tracto]]),"")</f>
        <v>T7R-885</v>
      </c>
      <c r="K94" s="2" t="str">
        <f>IFERROR(IF(MARÍTIMOS[[#This Row],[Placa Carreta]]="","",MARÍTIMOS[[#This Row],[Placa Carreta]]),"")</f>
        <v>P1J-974</v>
      </c>
      <c r="L94" s="44" t="str">
        <f>IFERROR(IF(MARÍTIMOS[[#This Row],[Conductor]]="","",MARÍTIMOS[[#This Row],[Conductor]]),"")</f>
        <v>ROBERTO CARLOS AMAYA CHAVARRIA</v>
      </c>
      <c r="M94" s="2" t="str">
        <f>IFERROR(IF(MARÍTIMOS[[#This Row],[Licencia]]="","",MARÍTIMOS[[#This Row],[Licencia]]),"")</f>
        <v>A19255064</v>
      </c>
      <c r="N94" s="2">
        <f>IFERROR(IF(MARÍTIMOS[[#This Row],[Número de Contacto]]="","",MARÍTIMOS[[#This Row],[Número de Contacto]]),"")</f>
        <v>961580382</v>
      </c>
      <c r="O94" s="10" t="str">
        <f>IFERROR(IF(MARÍTIMOS[[#This Row],[Booking|AWB|CRT]]="","",MARÍTIMOS[[#This Row],[Booking|AWB|CRT]]),"")</f>
        <v>MBM250067164</v>
      </c>
      <c r="P94" s="2" t="str">
        <f>IFERROR(IF(MARÍTIMOS[[#This Row],[Contenedor]]="","",MARÍTIMOS[[#This Row],[Contenedor]]),"")</f>
        <v>CAIU5584980</v>
      </c>
      <c r="Q94" s="2" t="str">
        <f>IFERROR(IF(MARÍTIMOS[[#This Row],[Puerto de Retiro]]="","",MARÍTIMOS[[#This Row],[Puerto de Retiro]]),"")</f>
        <v>PAITA</v>
      </c>
      <c r="R94" s="2" t="str">
        <f>IFERROR(IF(MARÍTIMOS[[#This Row],[Almacén de Retiro]]="","",MARÍTIMOS[[#This Row],[Almacén de Retiro]]),"")</f>
        <v>DPW</v>
      </c>
      <c r="S94" s="11">
        <f>IFERROR(IF(MARÍTIMOS[[#This Row],[Etapa Retiro - Cita]]="","",MARÍTIMOS[[#This Row],[Etapa Retiro - Cita]]),"")</f>
        <v>46289.583333333336</v>
      </c>
      <c r="T94" s="11">
        <f>IFERROR(IF(MARÍTIMOS[[#This Row],[Etapa Retiro - Llegada]]="","",MARÍTIMOS[[#This Row],[Etapa Retiro - Llegada]]),"")</f>
        <v>46289.548611111109</v>
      </c>
      <c r="U94" s="11">
        <f>IFERROR(IF(MARÍTIMOS[[#This Row],[Etapa Retiro - Ingreso]]="","",MARÍTIMOS[[#This Row],[Etapa Retiro - Ingreso]]),"")</f>
        <v>46289.605555555558</v>
      </c>
      <c r="V94" s="11">
        <f>IFERROR(IF(MARÍTIMOS[[#This Row],[Etapa Retiro - Atención]]="","",MARÍTIMOS[[#This Row],[Etapa Retiro - Atención]]),"")</f>
        <v>46289.607638888891</v>
      </c>
      <c r="W94" s="11">
        <f>IFERROR(IF(MARÍTIMOS[[#This Row],[Etapa Retiro - Atención]]="","",MARÍTIMOS[[#This Row],[Etapa Retiro - Atención]]),"")</f>
        <v>46289.607638888891</v>
      </c>
      <c r="X94" s="11">
        <f>IFERROR(IF(MARÍTIMOS[[#This Row],[Etapa Retiro - Inicio de Ruta]]="","",MARÍTIMOS[[#This Row],[Etapa Retiro - Inicio de Ruta]]),"")</f>
        <v>46290.125</v>
      </c>
      <c r="Y94" s="11">
        <f>IFERROR(IF(MARÍTIMOS[[#This Row],[Hora de Posicionamiento]]="","",MARÍTIMOS[[#This Row],[Fecha de Carga]]+MARÍTIMOS[[#This Row],[Hora de Posicionamiento]]),"")</f>
        <v>46290.333333333336</v>
      </c>
      <c r="Z94" s="11">
        <f>IFERROR(IF(MARÍTIMOS[[#This Row],[Etapa Despacho - Llegada]]="","",MARÍTIMOS[[#This Row],[Etapa Despacho - Llegada]]),"")</f>
        <v>46290.32708333333</v>
      </c>
      <c r="AA94" s="11">
        <f>IFERROR(IF(MARÍTIMOS[[#This Row],[Etapa Despacho - Registro]]="","",MARÍTIMOS[[#This Row],[Etapa Despacho - Registro]]),"")</f>
        <v>46290.329861111109</v>
      </c>
      <c r="AB94" s="11">
        <f>IFERROR(IF(MARÍTIMOS[[#This Row],[Inspección Externa]]="","",MARÍTIMOS[[#This Row],[Inspección Externa]]),"")</f>
        <v>46290.34375</v>
      </c>
      <c r="AC94" s="11">
        <f>IFERROR(IF(MARÍTIMOS[[#This Row],[Etapa Despacho - Inicio de Carga]]="","",MARÍTIMOS[[#This Row],[Etapa Despacho - Inicio de Carga]]),"")</f>
        <v>46290.430555555555</v>
      </c>
      <c r="AD94" s="11">
        <f>IFERROR(IF(MARÍTIMOS[[#This Row],[Etapa Despacho - Mitad de Carga]]="","",MARÍTIMOS[[#This Row],[Etapa Despacho - Mitad de Carga]]),"")</f>
        <v>46290.513888888891</v>
      </c>
      <c r="AE94" s="11">
        <f>IFERROR(IF(MARÍTIMOS[[#This Row],[Etapa Despacho - Fin de Carga]]="","",MARÍTIMOS[[#This Row],[Etapa Despacho - Fin de Carga]]),"")</f>
        <v>46290.561111111114</v>
      </c>
      <c r="AF94" s="2" t="str">
        <f>IFERROR(IF(MARÍTIMOS[[#This Row],[Puerto de Embarque]]="","",MARÍTIMOS[[#This Row],[Puerto de Embarque]]),"")</f>
        <v>Paita</v>
      </c>
      <c r="AG94" s="2" t="str">
        <f>IFERROR(IF(MARÍTIMOS[[#This Row],[Almacén de Ingreso]]="","",MARÍTIMOS[[#This Row],[Almacén de Ingreso]]),"")</f>
        <v>TPE</v>
      </c>
      <c r="AH94" s="11">
        <f>IFERROR(IF(MARÍTIMOS[[#This Row],[Etapa Ingreso - Cita]]="","",MARÍTIMOS[[#This Row],[Etapa Ingreso - Cita]]),"")</f>
        <v>46290.875</v>
      </c>
      <c r="AI94" s="11">
        <f>IFERROR(IF(MARÍTIMOS[[#This Row],[Etapa Ingreso - Llegada]]="","",MARÍTIMOS[[#This Row],[Etapa Ingreso - Llegada]]),"")</f>
        <v>46290.818749999999</v>
      </c>
      <c r="AJ94" s="11">
        <f>IFERROR(IF(MARÍTIMOS[[#This Row],[Etapa Ingreso - Ingeso]]="","",MARÍTIMOS[[#This Row],[Etapa Ingreso - Ingeso]]),"")</f>
        <v>46290.826388888891</v>
      </c>
      <c r="AK94" s="11">
        <f>IFERROR(IF(MARÍTIMOS[[#This Row],[Etapa Ingreso - Atención]]="","",MARÍTIMOS[[#This Row],[Etapa Ingreso - Atención]]),"")</f>
        <v>46290.826388888891</v>
      </c>
      <c r="AL94" s="11">
        <f>IFERROR(IF(MARÍTIMOS[[#This Row],[Etapa Ingreso - Salida]]="","",MARÍTIMOS[[#This Row],[Etapa Ingreso - Salida]]),"")</f>
        <v>46290.836111111108</v>
      </c>
      <c r="AM94" s="2">
        <f>IFERROR(IF(MARÍTIMOS[[#This Row],[FCL]]="","",MARÍTIMOS[[#This Row],[FCL]]),"")</f>
        <v>1</v>
      </c>
      <c r="AN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94" s="4" t="str" cm="1">
        <f t="array" ref="AO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4" s="5">
        <f>IFERROR(OLDBD[[#This Row],[Llegada a packing]]-OLDBD[[#This Row],[Inicio de Ruta]],"")</f>
        <v>0.20208333332993789</v>
      </c>
      <c r="AQ94" s="6">
        <f>IFERROR(OLDBD[[#This Row],[Inicio de Ruta]]-OLDBD[[#This Row],[Salida de almacén de retiro]],"")</f>
        <v>0.51736111110949423</v>
      </c>
      <c r="AR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4" s="8" t="str" cm="1">
        <f t="array" ref="AS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94" s="9">
        <f>IFERROR(OLDBD[[#This Row],[Ingreso Packing]]-OLDBD[[#This Row],[Registro en Packing]],"")</f>
        <v>1.3888888890505768E-2</v>
      </c>
      <c r="AV94" s="9">
        <f>IFERROR(OLDBD[[#This Row],[Ingreso Packing]]-OLDBD[[#This Row],[Llegada a packing]],"")</f>
        <v>1.6666666670062114E-2</v>
      </c>
      <c r="AW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94" s="5">
        <f>IFERROR(OLDBD[[#This Row],[Llegada Almacén de Ingreso]]-OLDBD[[#This Row],[Salida Packing]],"")</f>
        <v>0.257638888884685</v>
      </c>
      <c r="AY94" s="4" t="str" cm="1">
        <f t="array" ref="AY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94" s="43" t="s">
        <v>173</v>
      </c>
      <c r="BB94" s="47" t="str">
        <f>IFERROR(IF(MARÍTIMOS[[#This Row],[Estatus]]="","",MARÍTIMOS[[#This Row],[Estatus]]),"")</f>
        <v>Confirmado</v>
      </c>
      <c r="BC94" s="43"/>
      <c r="BD94" s="46">
        <f>IFERROR(OLDBD[[#This Row],[Salida de almacén de retiro]]-OLDBD[[#This Row],[Ingreso Almacén de retiro]],"")</f>
        <v>2.0833333328482695E-3</v>
      </c>
      <c r="BE94" s="46">
        <f>IFERROR(OLDBD[[#This Row],[Fin de Carga]]-OLDBD[[#This Row],[Inicio de Carga]],"")</f>
        <v>8.3333333335758653E-2</v>
      </c>
    </row>
    <row r="95" spans="1:57" customFormat="1" hidden="1">
      <c r="A95" s="1"/>
      <c r="B95" s="1">
        <f>IFERROR(IF(MARÍTIMOS[[#This Row],[PP]]="","",MARÍTIMOS[[#This Row],[PP]]),"")</f>
        <v>39</v>
      </c>
      <c r="C95" s="1" t="str">
        <f>IFERROR(IF(MARÍTIMOS[[#This Row],[Sede]]="","",MARÍTIMOS[[#This Row],[Sede]]),"")</f>
        <v>Olmos</v>
      </c>
      <c r="D95" s="1" t="str">
        <f>IFERROR(IF(MARÍTIMOS[[#This Row],[Instruction]]="","",MARÍTIMOS[[#This Row],[Instruction]]),"")</f>
        <v>RH-0840</v>
      </c>
      <c r="E95" s="1"/>
      <c r="F95" s="2" t="str">
        <f>IFERROR(IF(MARÍTIMOS[[#This Row],[Transportista]]="","",MARÍTIMOS[[#This Row],[Transportista]]),"")</f>
        <v>Costa Transport</v>
      </c>
      <c r="G95" s="2" t="str">
        <f>IFERROR(IF(MARÍTIMOS[[#This Row],[Tercero]]="","",MARÍTIMOS[[#This Row],[Tercero]]),"")</f>
        <v>NO</v>
      </c>
      <c r="H95" s="2" t="str">
        <f>IFERROR(IF(MARÍTIMOS[[#This Row],[Razón Social]]="","",MARÍTIMOS[[#This Row],[Razón Social]]),"")</f>
        <v>TRANSPORTES COSTA TRANSPORT EIRL</v>
      </c>
      <c r="I95" s="2">
        <f>IFERROR(IF(MARÍTIMOS[[#This Row],[RUC]]="","",MARÍTIMOS[[#This Row],[RUC]]),"")</f>
        <v>20525373551</v>
      </c>
      <c r="J95" s="2" t="str">
        <f>IFERROR(IF(MARÍTIMOS[[#This Row],[Placa Tracto]]="","",MARÍTIMOS[[#This Row],[Placa Tracto]]),"")</f>
        <v>AVK-728</v>
      </c>
      <c r="K95" s="2" t="str">
        <f>IFERROR(IF(MARÍTIMOS[[#This Row],[Placa Carreta]]="","",MARÍTIMOS[[#This Row],[Placa Carreta]]),"")</f>
        <v>F9S-991</v>
      </c>
      <c r="L95" s="44" t="str">
        <f>IFERROR(IF(MARÍTIMOS[[#This Row],[Conductor]]="","",MARÍTIMOS[[#This Row],[Conductor]]),"")</f>
        <v>NOE VICTORIO NOE GARCIA</v>
      </c>
      <c r="M95" s="2" t="str">
        <f>IFERROR(IF(MARÍTIMOS[[#This Row],[Licencia]]="","",MARÍTIMOS[[#This Row],[Licencia]]),"")</f>
        <v>B42334233</v>
      </c>
      <c r="N95" s="2">
        <f>IFERROR(IF(MARÍTIMOS[[#This Row],[Número de Contacto]]="","",MARÍTIMOS[[#This Row],[Número de Contacto]]),"")</f>
        <v>998230850</v>
      </c>
      <c r="O95" s="10" t="str">
        <f>IFERROR(IF(MARÍTIMOS[[#This Row],[Booking|AWB|CRT]]="","",MARÍTIMOS[[#This Row],[Booking|AWB|CRT]]),"")</f>
        <v>MBM250067165</v>
      </c>
      <c r="P95" s="2" t="str">
        <f>IFERROR(IF(MARÍTIMOS[[#This Row],[Contenedor]]="","",MARÍTIMOS[[#This Row],[Contenedor]]),"")</f>
        <v>SEGU9447133</v>
      </c>
      <c r="Q95" s="2" t="str">
        <f>IFERROR(IF(MARÍTIMOS[[#This Row],[Puerto de Retiro]]="","",MARÍTIMOS[[#This Row],[Puerto de Retiro]]),"")</f>
        <v>PAITA</v>
      </c>
      <c r="R95" s="2" t="str">
        <f>IFERROR(IF(MARÍTIMOS[[#This Row],[Almacén de Retiro]]="","",MARÍTIMOS[[#This Row],[Almacén de Retiro]]),"")</f>
        <v>DPW</v>
      </c>
      <c r="S95" s="11">
        <f>IFERROR(IF(MARÍTIMOS[[#This Row],[Etapa Retiro - Cita]]="","",MARÍTIMOS[[#This Row],[Etapa Retiro - Cita]]),"")</f>
        <v>46289.416666666664</v>
      </c>
      <c r="T95" s="11">
        <f>IFERROR(IF(MARÍTIMOS[[#This Row],[Etapa Retiro - Llegada]]="","",MARÍTIMOS[[#This Row],[Etapa Retiro - Llegada]]),"")</f>
        <v>46289.43472222222</v>
      </c>
      <c r="U95" s="11">
        <f>IFERROR(IF(MARÍTIMOS[[#This Row],[Etapa Retiro - Ingreso]]="","",MARÍTIMOS[[#This Row],[Etapa Retiro - Ingreso]]),"")</f>
        <v>46289.441666666666</v>
      </c>
      <c r="V95" s="11">
        <f>IFERROR(IF(MARÍTIMOS[[#This Row],[Etapa Retiro - Atención]]="","",MARÍTIMOS[[#This Row],[Etapa Retiro - Atención]]),"")</f>
        <v>46289.460416666669</v>
      </c>
      <c r="W95" s="11">
        <f>IFERROR(IF(MARÍTIMOS[[#This Row],[Etapa Retiro - Atención]]="","",MARÍTIMOS[[#This Row],[Etapa Retiro - Atención]]),"")</f>
        <v>46289.460416666669</v>
      </c>
      <c r="X95" s="11">
        <f>IFERROR(IF(MARÍTIMOS[[#This Row],[Etapa Retiro - Inicio de Ruta]]="","",MARÍTIMOS[[#This Row],[Etapa Retiro - Inicio de Ruta]]),"")</f>
        <v>46290.125</v>
      </c>
      <c r="Y95" s="11">
        <f>IFERROR(IF(MARÍTIMOS[[#This Row],[Hora de Posicionamiento]]="","",MARÍTIMOS[[#This Row],[Fecha de Carga]]+MARÍTIMOS[[#This Row],[Hora de Posicionamiento]]),"")</f>
        <v>46290.333333333336</v>
      </c>
      <c r="Z95" s="11">
        <f>IFERROR(IF(MARÍTIMOS[[#This Row],[Etapa Despacho - Llegada]]="","",MARÍTIMOS[[#This Row],[Etapa Despacho - Llegada]]),"")</f>
        <v>46290.327777777777</v>
      </c>
      <c r="AA95" s="11">
        <f>IFERROR(IF(MARÍTIMOS[[#This Row],[Etapa Despacho - Registro]]="","",MARÍTIMOS[[#This Row],[Etapa Despacho - Registro]]),"")</f>
        <v>46290.331944444442</v>
      </c>
      <c r="AB95" s="11">
        <f>IFERROR(IF(MARÍTIMOS[[#This Row],[Inspección Externa]]="","",MARÍTIMOS[[#This Row],[Inspección Externa]]),"")</f>
        <v>46290.348611111112</v>
      </c>
      <c r="AC95" s="11">
        <f>IFERROR(IF(MARÍTIMOS[[#This Row],[Etapa Despacho - Inicio de Carga]]="","",MARÍTIMOS[[#This Row],[Etapa Despacho - Inicio de Carga]]),"")</f>
        <v>46290.520833333336</v>
      </c>
      <c r="AD95" s="11">
        <f>IFERROR(IF(MARÍTIMOS[[#This Row],[Etapa Despacho - Mitad de Carga]]="","",MARÍTIMOS[[#This Row],[Etapa Despacho - Mitad de Carga]]),"")</f>
        <v>46290.541666666664</v>
      </c>
      <c r="AE95" s="11">
        <f>IFERROR(IF(MARÍTIMOS[[#This Row],[Etapa Despacho - Fin de Carga]]="","",MARÍTIMOS[[#This Row],[Etapa Despacho - Fin de Carga]]),"")</f>
        <v>46290.5625</v>
      </c>
      <c r="AF95" s="2" t="str">
        <f>IFERROR(IF(MARÍTIMOS[[#This Row],[Puerto de Embarque]]="","",MARÍTIMOS[[#This Row],[Puerto de Embarque]]),"")</f>
        <v>Paita</v>
      </c>
      <c r="AG95" s="2" t="str">
        <f>IFERROR(IF(MARÍTIMOS[[#This Row],[Almacén de Ingreso]]="","",MARÍTIMOS[[#This Row],[Almacén de Ingreso]]),"")</f>
        <v>TPE</v>
      </c>
      <c r="AH95" s="11">
        <f>IFERROR(IF(MARÍTIMOS[[#This Row],[Etapa Ingreso - Cita]]="","",MARÍTIMOS[[#This Row],[Etapa Ingreso - Cita]]),"")</f>
        <v>46290.875</v>
      </c>
      <c r="AI95" s="11">
        <f>IFERROR(IF(MARÍTIMOS[[#This Row],[Etapa Ingreso - Llegada]]="","",MARÍTIMOS[[#This Row],[Etapa Ingreso - Llegada]]),"")</f>
        <v>46290.81527777778</v>
      </c>
      <c r="AJ95" s="11">
        <f>IFERROR(IF(MARÍTIMOS[[#This Row],[Etapa Ingreso - Ingeso]]="","",MARÍTIMOS[[#This Row],[Etapa Ingreso - Ingeso]]),"")</f>
        <v>46290.825694444444</v>
      </c>
      <c r="AK95" s="11">
        <f>IFERROR(IF(MARÍTIMOS[[#This Row],[Etapa Ingreso - Atención]]="","",MARÍTIMOS[[#This Row],[Etapa Ingreso - Atención]]),"")</f>
        <v>46290.828472222223</v>
      </c>
      <c r="AL95" s="11">
        <f>IFERROR(IF(MARÍTIMOS[[#This Row],[Etapa Ingreso - Salida]]="","",MARÍTIMOS[[#This Row],[Etapa Ingreso - Salida]]),"")</f>
        <v>46290.835416666669</v>
      </c>
      <c r="AM95" s="2">
        <f>IFERROR(IF(MARÍTIMOS[[#This Row],[FCL]]="","",MARÍTIMOS[[#This Row],[FCL]]),"")</f>
        <v>1</v>
      </c>
      <c r="AN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95" s="4" t="str" cm="1">
        <f t="array" ref="AO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5" s="5">
        <f>IFERROR(OLDBD[[#This Row],[Llegada a packing]]-OLDBD[[#This Row],[Inicio de Ruta]],"")</f>
        <v>0.20277777777664596</v>
      </c>
      <c r="AQ95" s="6">
        <f>IFERROR(OLDBD[[#This Row],[Inicio de Ruta]]-OLDBD[[#This Row],[Salida de almacén de retiro]],"")</f>
        <v>0.66458333333139308</v>
      </c>
      <c r="AR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5" s="8" t="str" cm="1">
        <f t="array" ref="AS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95" s="9">
        <f>IFERROR(OLDBD[[#This Row],[Ingreso Packing]]-OLDBD[[#This Row],[Registro en Packing]],"")</f>
        <v>1.6666666670062114E-2</v>
      </c>
      <c r="AV95" s="9">
        <f>IFERROR(OLDBD[[#This Row],[Ingreso Packing]]-OLDBD[[#This Row],[Llegada a packing]],"")</f>
        <v>2.0833333335758653E-2</v>
      </c>
      <c r="AW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95" s="5">
        <f>IFERROR(OLDBD[[#This Row],[Llegada Almacén de Ingreso]]-OLDBD[[#This Row],[Salida Packing]],"")</f>
        <v>0.25277777777955635</v>
      </c>
      <c r="AY95" s="4" t="str" cm="1">
        <f t="array" ref="AY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95" s="43" t="s">
        <v>173</v>
      </c>
      <c r="BB95" s="47" t="str">
        <f>IFERROR(IF(MARÍTIMOS[[#This Row],[Estatus]]="","",MARÍTIMOS[[#This Row],[Estatus]]),"")</f>
        <v>Confirmado</v>
      </c>
      <c r="BC95" s="43"/>
      <c r="BD95" s="46">
        <f>IFERROR(OLDBD[[#This Row],[Salida de almacén de retiro]]-OLDBD[[#This Row],[Ingreso Almacén de retiro]],"")</f>
        <v>1.8750000002910383E-2</v>
      </c>
      <c r="BE95" s="46">
        <f>IFERROR(OLDBD[[#This Row],[Fin de Carga]]-OLDBD[[#This Row],[Inicio de Carga]],"")</f>
        <v>2.0833333328482695E-2</v>
      </c>
    </row>
    <row r="96" spans="1:57" customFormat="1" hidden="1">
      <c r="A96" s="1"/>
      <c r="B96" s="1">
        <f>IFERROR(IF(MARÍTIMOS[[#This Row],[PP]]="","",MARÍTIMOS[[#This Row],[PP]]),"")</f>
        <v>39</v>
      </c>
      <c r="C96" s="1" t="str">
        <f>IFERROR(IF(MARÍTIMOS[[#This Row],[Sede]]="","",MARÍTIMOS[[#This Row],[Sede]]),"")</f>
        <v>Olmos</v>
      </c>
      <c r="D96" s="1" t="str">
        <f>IFERROR(IF(MARÍTIMOS[[#This Row],[Instruction]]="","",MARÍTIMOS[[#This Row],[Instruction]]),"")</f>
        <v>RH-0841</v>
      </c>
      <c r="E96" s="1"/>
      <c r="F96" s="2" t="str">
        <f>IFERROR(IF(MARÍTIMOS[[#This Row],[Transportista]]="","",MARÍTIMOS[[#This Row],[Transportista]]),"")</f>
        <v>Costa Transport</v>
      </c>
      <c r="G96" s="2" t="str">
        <f>IFERROR(IF(MARÍTIMOS[[#This Row],[Tercero]]="","",MARÍTIMOS[[#This Row],[Tercero]]),"")</f>
        <v>NO</v>
      </c>
      <c r="H96" s="2" t="str">
        <f>IFERROR(IF(MARÍTIMOS[[#This Row],[Razón Social]]="","",MARÍTIMOS[[#This Row],[Razón Social]]),"")</f>
        <v>TRANSPORTES COSTA TRANSPORT EIRL</v>
      </c>
      <c r="I96" s="2">
        <f>IFERROR(IF(MARÍTIMOS[[#This Row],[RUC]]="","",MARÍTIMOS[[#This Row],[RUC]]),"")</f>
        <v>20525373551</v>
      </c>
      <c r="J96" s="2" t="str">
        <f>IFERROR(IF(MARÍTIMOS[[#This Row],[Placa Tracto]]="","",MARÍTIMOS[[#This Row],[Placa Tracto]]),"")</f>
        <v>AVK-728</v>
      </c>
      <c r="K96" s="2" t="str">
        <f>IFERROR(IF(MARÍTIMOS[[#This Row],[Placa Carreta]]="","",MARÍTIMOS[[#This Row],[Placa Carreta]]),"")</f>
        <v>F9S-991</v>
      </c>
      <c r="L96" s="44" t="str">
        <f>IFERROR(IF(MARÍTIMOS[[#This Row],[Conductor]]="","",MARÍTIMOS[[#This Row],[Conductor]]),"")</f>
        <v>NOE VICTORIO NOE GARCIA</v>
      </c>
      <c r="M96" s="2" t="str">
        <f>IFERROR(IF(MARÍTIMOS[[#This Row],[Licencia]]="","",MARÍTIMOS[[#This Row],[Licencia]]),"")</f>
        <v>B42334233</v>
      </c>
      <c r="N96" s="2">
        <f>IFERROR(IF(MARÍTIMOS[[#This Row],[Número de Contacto]]="","",MARÍTIMOS[[#This Row],[Número de Contacto]]),"")</f>
        <v>998230850</v>
      </c>
      <c r="O96" s="10" t="str">
        <f>IFERROR(IF(MARÍTIMOS[[#This Row],[Booking|AWB|CRT]]="","",MARÍTIMOS[[#This Row],[Booking|AWB|CRT]]),"")</f>
        <v>PER9246637A</v>
      </c>
      <c r="P96" s="2" t="str">
        <f>IFERROR(IF(MARÍTIMOS[[#This Row],[Contenedor]]="","",MARÍTIMOS[[#This Row],[Contenedor]]),"")</f>
        <v>SEKU9118750</v>
      </c>
      <c r="Q96" s="2" t="str">
        <f>IFERROR(IF(MARÍTIMOS[[#This Row],[Puerto de Retiro]]="","",MARÍTIMOS[[#This Row],[Puerto de Retiro]]),"")</f>
        <v>PAITA</v>
      </c>
      <c r="R96" s="2" t="str">
        <f>IFERROR(IF(MARÍTIMOS[[#This Row],[Almacén de Retiro]]="","",MARÍTIMOS[[#This Row],[Almacén de Retiro]]),"")</f>
        <v>DPW</v>
      </c>
      <c r="S96" s="11">
        <f>IFERROR(IF(MARÍTIMOS[[#This Row],[Etapa Retiro - Cita]]="","",MARÍTIMOS[[#This Row],[Etapa Retiro - Cita]]),"")</f>
        <v>46292.833333333336</v>
      </c>
      <c r="T96" s="11">
        <f>IFERROR(IF(MARÍTIMOS[[#This Row],[Etapa Retiro - Llegada]]="","",MARÍTIMOS[[#This Row],[Etapa Retiro - Llegada]]),"")</f>
        <v>46292.85833333333</v>
      </c>
      <c r="U96" s="11">
        <f>IFERROR(IF(MARÍTIMOS[[#This Row],[Etapa Retiro - Ingreso]]="","",MARÍTIMOS[[#This Row],[Etapa Retiro - Ingreso]]),"")</f>
        <v>46292.893055555556</v>
      </c>
      <c r="V96" s="11">
        <f>IFERROR(IF(MARÍTIMOS[[#This Row],[Etapa Retiro - Atención]]="","",MARÍTIMOS[[#This Row],[Etapa Retiro - Atención]]),"")</f>
        <v>46292.916666666664</v>
      </c>
      <c r="W96" s="11">
        <f>IFERROR(IF(MARÍTIMOS[[#This Row],[Etapa Retiro - Atención]]="","",MARÍTIMOS[[#This Row],[Etapa Retiro - Atención]]),"")</f>
        <v>46292.916666666664</v>
      </c>
      <c r="X96" s="11">
        <f>IFERROR(IF(MARÍTIMOS[[#This Row],[Etapa Retiro - Inicio de Ruta]]="","",MARÍTIMOS[[#This Row],[Etapa Retiro - Inicio de Ruta]]),"")</f>
        <v>46293.220138888886</v>
      </c>
      <c r="Y96" s="11">
        <f>IFERROR(IF(MARÍTIMOS[[#This Row],[Hora de Posicionamiento]]="","",MARÍTIMOS[[#This Row],[Fecha de Carga]]+MARÍTIMOS[[#This Row],[Hora de Posicionamiento]]),"")</f>
        <v>46293.5</v>
      </c>
      <c r="Z96" s="11">
        <f>IFERROR(IF(MARÍTIMOS[[#This Row],[Etapa Despacho - Llegada]]="","",MARÍTIMOS[[#This Row],[Etapa Despacho - Llegada]]),"")</f>
        <v>46293.430555555555</v>
      </c>
      <c r="AA96" s="11">
        <f>IFERROR(IF(MARÍTIMOS[[#This Row],[Etapa Despacho - Registro]]="","",MARÍTIMOS[[#This Row],[Etapa Despacho - Registro]]),"")</f>
        <v>46293.444444444445</v>
      </c>
      <c r="AB96" s="11">
        <f>IFERROR(IF(MARÍTIMOS[[#This Row],[Inspección Externa]]="","",MARÍTIMOS[[#This Row],[Inspección Externa]]),"")</f>
        <v>46293.447916666664</v>
      </c>
      <c r="AC96" s="11">
        <f>IFERROR(IF(MARÍTIMOS[[#This Row],[Etapa Despacho - Inicio de Carga]]="","",MARÍTIMOS[[#This Row],[Etapa Despacho - Inicio de Carga]]),"")</f>
        <v>46293.708333333336</v>
      </c>
      <c r="AD96" s="11">
        <f>IFERROR(IF(MARÍTIMOS[[#This Row],[Etapa Despacho - Mitad de Carga]]="","",MARÍTIMOS[[#This Row],[Etapa Despacho - Mitad de Carga]]),"")</f>
        <v>46293.725694444445</v>
      </c>
      <c r="AE96" s="11">
        <f>IFERROR(IF(MARÍTIMOS[[#This Row],[Etapa Despacho - Fin de Carga]]="","",MARÍTIMOS[[#This Row],[Etapa Despacho - Fin de Carga]]),"")</f>
        <v>46293.745833333334</v>
      </c>
      <c r="AF96" s="2" t="str">
        <f>IFERROR(IF(MARÍTIMOS[[#This Row],[Puerto de Embarque]]="","",MARÍTIMOS[[#This Row],[Puerto de Embarque]]),"")</f>
        <v>Paita</v>
      </c>
      <c r="AG96" s="2" t="str">
        <f>IFERROR(IF(MARÍTIMOS[[#This Row],[Almacén de Ingreso]]="","",MARÍTIMOS[[#This Row],[Almacén de Ingreso]]),"")</f>
        <v>TPE</v>
      </c>
      <c r="AH96" s="11">
        <f>IFERROR(IF(MARÍTIMOS[[#This Row],[Etapa Ingreso - Cita]]="","",MARÍTIMOS[[#This Row],[Etapa Ingreso - Cita]]),"")</f>
        <v>46294.041666666664</v>
      </c>
      <c r="AI96" s="11">
        <f>IFERROR(IF(MARÍTIMOS[[#This Row],[Etapa Ingreso - Llegada]]="","",MARÍTIMOS[[#This Row],[Etapa Ingreso - Llegada]]),"")</f>
        <v>46293.997916666667</v>
      </c>
      <c r="AJ96" s="11">
        <f>IFERROR(IF(MARÍTIMOS[[#This Row],[Etapa Ingreso - Ingeso]]="","",MARÍTIMOS[[#This Row],[Etapa Ingreso - Ingeso]]),"")</f>
        <v>46294.003472222219</v>
      </c>
      <c r="AK96" s="11">
        <f>IFERROR(IF(MARÍTIMOS[[#This Row],[Etapa Ingreso - Atención]]="","",MARÍTIMOS[[#This Row],[Etapa Ingreso - Atención]]),"")</f>
        <v>46294.006249999999</v>
      </c>
      <c r="AL96" s="11">
        <f>IFERROR(IF(MARÍTIMOS[[#This Row],[Etapa Ingreso - Salida]]="","",MARÍTIMOS[[#This Row],[Etapa Ingreso - Salida]]),"")</f>
        <v>46294.010416666664</v>
      </c>
      <c r="AM96" s="2">
        <f>IFERROR(IF(MARÍTIMOS[[#This Row],[FCL]]="","",MARÍTIMOS[[#This Row],[FCL]]),"")</f>
        <v>1</v>
      </c>
      <c r="AN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96" s="4" t="str" cm="1">
        <f t="array" ref="AO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6" s="5">
        <f>IFERROR(OLDBD[[#This Row],[Llegada a packing]]-OLDBD[[#This Row],[Inicio de Ruta]],"")</f>
        <v>0.21041666666860692</v>
      </c>
      <c r="AQ96" s="6">
        <f>IFERROR(OLDBD[[#This Row],[Inicio de Ruta]]-OLDBD[[#This Row],[Salida de almacén de retiro]],"")</f>
        <v>0.30347222222189885</v>
      </c>
      <c r="AR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6" s="8" t="str" cm="1">
        <f t="array" ref="AS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96" s="9">
        <f>IFERROR(OLDBD[[#This Row],[Ingreso Packing]]-OLDBD[[#This Row],[Registro en Packing]],"")</f>
        <v>3.4722222189884633E-3</v>
      </c>
      <c r="AV96" s="9">
        <f>IFERROR(OLDBD[[#This Row],[Ingreso Packing]]-OLDBD[[#This Row],[Llegada a packing]],"")</f>
        <v>1.7361111109494232E-2</v>
      </c>
      <c r="AW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96" s="5">
        <f>IFERROR(OLDBD[[#This Row],[Llegada Almacén de Ingreso]]-OLDBD[[#This Row],[Salida Packing]],"")</f>
        <v>0.25208333333284827</v>
      </c>
      <c r="AY96" s="4" t="str" cm="1">
        <f t="array" ref="AY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96" s="43" t="s">
        <v>173</v>
      </c>
      <c r="BB96" s="47" t="str">
        <f>IFERROR(IF(MARÍTIMOS[[#This Row],[Estatus]]="","",MARÍTIMOS[[#This Row],[Estatus]]),"")</f>
        <v>Confirmado</v>
      </c>
      <c r="BC96" s="43"/>
      <c r="BD96" s="46">
        <f>IFERROR(OLDBD[[#This Row],[Salida de almacén de retiro]]-OLDBD[[#This Row],[Ingreso Almacén de retiro]],"")</f>
        <v>2.361111110803904E-2</v>
      </c>
      <c r="BE96" s="46">
        <f>IFERROR(OLDBD[[#This Row],[Fin de Carga]]-OLDBD[[#This Row],[Inicio de Carga]],"")</f>
        <v>1.7361111109494232E-2</v>
      </c>
    </row>
    <row r="97" spans="1:57" customFormat="1" hidden="1">
      <c r="A97" s="1"/>
      <c r="B97" s="1">
        <f>IFERROR(IF(MARÍTIMOS[[#This Row],[PP]]="","",MARÍTIMOS[[#This Row],[PP]]),"")</f>
        <v>39</v>
      </c>
      <c r="C97" s="1" t="str">
        <f>IFERROR(IF(MARÍTIMOS[[#This Row],[Sede]]="","",MARÍTIMOS[[#This Row],[Sede]]),"")</f>
        <v>Olmos</v>
      </c>
      <c r="D97" s="1" t="str">
        <f>IFERROR(IF(MARÍTIMOS[[#This Row],[Instruction]]="","",MARÍTIMOS[[#This Row],[Instruction]]),"")</f>
        <v>RH-0842</v>
      </c>
      <c r="E97" s="1"/>
      <c r="F97" s="2" t="str">
        <f>IFERROR(IF(MARÍTIMOS[[#This Row],[Transportista]]="","",MARÍTIMOS[[#This Row],[Transportista]]),"")</f>
        <v>Costa Transport</v>
      </c>
      <c r="G97" s="2" t="str">
        <f>IFERROR(IF(MARÍTIMOS[[#This Row],[Tercero]]="","",MARÍTIMOS[[#This Row],[Tercero]]),"")</f>
        <v>NO</v>
      </c>
      <c r="H97" s="2" t="str">
        <f>IFERROR(IF(MARÍTIMOS[[#This Row],[Razón Social]]="","",MARÍTIMOS[[#This Row],[Razón Social]]),"")</f>
        <v>TRANSPORTES COSTA TRANSPORT EIRL</v>
      </c>
      <c r="I97" s="2">
        <f>IFERROR(IF(MARÍTIMOS[[#This Row],[RUC]]="","",MARÍTIMOS[[#This Row],[RUC]]),"")</f>
        <v>20525373551</v>
      </c>
      <c r="J97" s="2" t="str">
        <f>IFERROR(IF(MARÍTIMOS[[#This Row],[Placa Tracto]]="","",MARÍTIMOS[[#This Row],[Placa Tracto]]),"")</f>
        <v>C4U-837</v>
      </c>
      <c r="K97" s="2" t="str">
        <f>IFERROR(IF(MARÍTIMOS[[#This Row],[Placa Carreta]]="","",MARÍTIMOS[[#This Row],[Placa Carreta]]),"")</f>
        <v>A8N-985</v>
      </c>
      <c r="L97" s="44" t="str">
        <f>IFERROR(IF(MARÍTIMOS[[#This Row],[Conductor]]="","",MARÍTIMOS[[#This Row],[Conductor]]),"")</f>
        <v>VICTOR HUGO APOLO JUAREZ.</v>
      </c>
      <c r="M97" s="2" t="str">
        <f>IFERROR(IF(MARÍTIMOS[[#This Row],[Licencia]]="","",MARÍTIMOS[[#This Row],[Licencia]]),"")</f>
        <v>Q06798297</v>
      </c>
      <c r="N97" s="2">
        <f>IFERROR(IF(MARÍTIMOS[[#This Row],[Número de Contacto]]="","",MARÍTIMOS[[#This Row],[Número de Contacto]]),"")</f>
        <v>907017275</v>
      </c>
      <c r="O97" s="10" t="str">
        <f>IFERROR(IF(MARÍTIMOS[[#This Row],[Booking|AWB|CRT]]="","",MARÍTIMOS[[#This Row],[Booking|AWB|CRT]]),"")</f>
        <v>PER9239306A</v>
      </c>
      <c r="P97" s="2" t="str">
        <f>IFERROR(IF(MARÍTIMOS[[#This Row],[Contenedor]]="","",MARÍTIMOS[[#This Row],[Contenedor]]),"")</f>
        <v/>
      </c>
      <c r="Q97" s="2" t="str">
        <f>IFERROR(IF(MARÍTIMOS[[#This Row],[Puerto de Retiro]]="","",MARÍTIMOS[[#This Row],[Puerto de Retiro]]),"")</f>
        <v>PAITA</v>
      </c>
      <c r="R97" s="2" t="str">
        <f>IFERROR(IF(MARÍTIMOS[[#This Row],[Almacén de Retiro]]="","",MARÍTIMOS[[#This Row],[Almacén de Retiro]]),"")</f>
        <v>DPW</v>
      </c>
      <c r="S97" s="11">
        <f>IFERROR(IF(MARÍTIMOS[[#This Row],[Etapa Retiro - Cita]]="","",MARÍTIMOS[[#This Row],[Etapa Retiro - Cita]]),"")</f>
        <v>46293.708333333336</v>
      </c>
      <c r="T97" s="11">
        <f>IFERROR(IF(MARÍTIMOS[[#This Row],[Etapa Retiro - Llegada]]="","",MARÍTIMOS[[#This Row],[Etapa Retiro - Llegada]]),"")</f>
        <v>46293.732638888891</v>
      </c>
      <c r="U97" s="11">
        <f>IFERROR(IF(MARÍTIMOS[[#This Row],[Etapa Retiro - Ingreso]]="","",MARÍTIMOS[[#This Row],[Etapa Retiro - Ingreso]]),"")</f>
        <v>46293.738888888889</v>
      </c>
      <c r="V97" s="11">
        <f>IFERROR(IF(MARÍTIMOS[[#This Row],[Etapa Retiro - Atención]]="","",MARÍTIMOS[[#This Row],[Etapa Retiro - Atención]]),"")</f>
        <v>46293.75277777778</v>
      </c>
      <c r="W97" s="11">
        <f>IFERROR(IF(MARÍTIMOS[[#This Row],[Etapa Retiro - Atención]]="","",MARÍTIMOS[[#This Row],[Etapa Retiro - Atención]]),"")</f>
        <v>46293.75277777778</v>
      </c>
      <c r="X97" s="11">
        <f>IFERROR(IF(MARÍTIMOS[[#This Row],[Etapa Retiro - Inicio de Ruta]]="","",MARÍTIMOS[[#This Row],[Etapa Retiro - Inicio de Ruta]]),"")</f>
        <v>46294.113194444442</v>
      </c>
      <c r="Y97" s="11">
        <f>IFERROR(IF(MARÍTIMOS[[#This Row],[Hora de Posicionamiento]]="","",MARÍTIMOS[[#This Row],[Fecha de Carga]]+MARÍTIMOS[[#This Row],[Hora de Posicionamiento]]),"")</f>
        <v>46294.333333333336</v>
      </c>
      <c r="Z97" s="11">
        <f>IFERROR(IF(MARÍTIMOS[[#This Row],[Etapa Despacho - Llegada]]="","",MARÍTIMOS[[#This Row],[Etapa Despacho - Llegada]]),"")</f>
        <v>46294.284722222219</v>
      </c>
      <c r="AA97" s="11">
        <f>IFERROR(IF(MARÍTIMOS[[#This Row],[Etapa Despacho - Registro]]="","",MARÍTIMOS[[#This Row],[Etapa Despacho - Registro]]),"")</f>
        <v>46294.291666666664</v>
      </c>
      <c r="AB97" s="11">
        <f>IFERROR(IF(MARÍTIMOS[[#This Row],[Inspección Externa]]="","",MARÍTIMOS[[#This Row],[Inspección Externa]]),"")</f>
        <v>46294.323611111111</v>
      </c>
      <c r="AC97" s="11" t="str">
        <f>IFERROR(IF(MARÍTIMOS[[#This Row],[Etapa Despacho - Inicio de Carga]]="","",MARÍTIMOS[[#This Row],[Etapa Despacho - Inicio de Carga]]),"")</f>
        <v/>
      </c>
      <c r="AD97" s="11" t="str">
        <f>IFERROR(IF(MARÍTIMOS[[#This Row],[Etapa Despacho - Mitad de Carga]]="","",MARÍTIMOS[[#This Row],[Etapa Despacho - Mitad de Carga]]),"")</f>
        <v/>
      </c>
      <c r="AE97" s="11" t="str">
        <f>IFERROR(IF(MARÍTIMOS[[#This Row],[Etapa Despacho - Fin de Carga]]="","",MARÍTIMOS[[#This Row],[Etapa Despacho - Fin de Carga]]),"")</f>
        <v/>
      </c>
      <c r="AF97" s="2" t="str">
        <f>IFERROR(IF(MARÍTIMOS[[#This Row],[Puerto de Embarque]]="","",MARÍTIMOS[[#This Row],[Puerto de Embarque]]),"")</f>
        <v>Paita</v>
      </c>
      <c r="AG97" s="2" t="str">
        <f>IFERROR(IF(MARÍTIMOS[[#This Row],[Almacén de Ingreso]]="","",MARÍTIMOS[[#This Row],[Almacén de Ingreso]]),"")</f>
        <v>TPE</v>
      </c>
      <c r="AH97" s="11" t="str">
        <f>IFERROR(IF(MARÍTIMOS[[#This Row],[Etapa Ingreso - Cita]]="","",MARÍTIMOS[[#This Row],[Etapa Ingreso - Cita]]),"")</f>
        <v/>
      </c>
      <c r="AI97" s="11" t="str">
        <f>IFERROR(IF(MARÍTIMOS[[#This Row],[Etapa Ingreso - Llegada]]="","",MARÍTIMOS[[#This Row],[Etapa Ingreso - Llegada]]),"")</f>
        <v/>
      </c>
      <c r="AJ97" s="11" t="str">
        <f>IFERROR(IF(MARÍTIMOS[[#This Row],[Etapa Ingreso - Ingeso]]="","",MARÍTIMOS[[#This Row],[Etapa Ingreso - Ingeso]]),"")</f>
        <v/>
      </c>
      <c r="AK97" s="11" t="str">
        <f>IFERROR(IF(MARÍTIMOS[[#This Row],[Etapa Ingreso - Atención]]="","",MARÍTIMOS[[#This Row],[Etapa Ingreso - Atención]]),"")</f>
        <v/>
      </c>
      <c r="AL97" s="11" t="str">
        <f>IFERROR(IF(MARÍTIMOS[[#This Row],[Etapa Ingreso - Salida]]="","",MARÍTIMOS[[#This Row],[Etapa Ingreso - Salida]]),"")</f>
        <v/>
      </c>
      <c r="AM97" s="2">
        <f>IFERROR(IF(MARÍTIMOS[[#This Row],[FCL]]="","",MARÍTIMOS[[#This Row],[FCL]]),"")</f>
        <v>1</v>
      </c>
      <c r="AN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97" s="4" t="str" cm="1">
        <f t="array" ref="AO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7" s="5">
        <f>IFERROR(OLDBD[[#This Row],[Llegada a packing]]-OLDBD[[#This Row],[Inicio de Ruta]],"")</f>
        <v>0.17152777777664596</v>
      </c>
      <c r="AQ97" s="6">
        <f>IFERROR(OLDBD[[#This Row],[Inicio de Ruta]]-OLDBD[[#This Row],[Salida de almacén de retiro]],"")</f>
        <v>0.36041666666278616</v>
      </c>
      <c r="AR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7" s="8" t="str" cm="1">
        <f t="array" ref="AS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" s="9">
        <f>IFERROR(OLDBD[[#This Row],[Ingreso Packing]]-OLDBD[[#This Row],[Registro en Packing]],"")</f>
        <v>3.1944444446708076E-2</v>
      </c>
      <c r="AV97" s="9">
        <f>IFERROR(OLDBD[[#This Row],[Ingreso Packing]]-OLDBD[[#This Row],[Llegada a packing]],"")</f>
        <v>3.888888889196096E-2</v>
      </c>
      <c r="AW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" s="5" t="str">
        <f>IFERROR(OLDBD[[#This Row],[Llegada Almacén de Ingreso]]-OLDBD[[#This Row],[Salida Packing]],"")</f>
        <v/>
      </c>
      <c r="AY97" s="4" t="str" cm="1">
        <f t="array" ref="AY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" s="43" t="s">
        <v>173</v>
      </c>
      <c r="BB97" s="47" t="str">
        <f>IFERROR(IF(MARÍTIMOS[[#This Row],[Estatus]]="","",MARÍTIMOS[[#This Row],[Estatus]]),"")</f>
        <v>Confirmado</v>
      </c>
      <c r="BC97" s="43"/>
      <c r="BD97" s="46">
        <f>IFERROR(OLDBD[[#This Row],[Salida de almacén de retiro]]-OLDBD[[#This Row],[Ingreso Almacén de retiro]],"")</f>
        <v>1.3888888890505768E-2</v>
      </c>
      <c r="BE97" s="46" t="str">
        <f>IFERROR(OLDBD[[#This Row],[Fin de Carga]]-OLDBD[[#This Row],[Inicio de Carga]],"")</f>
        <v/>
      </c>
    </row>
    <row r="98" spans="1:57" customFormat="1" hidden="1">
      <c r="A98" s="1"/>
      <c r="B98" s="1">
        <f>IFERROR(IF(MARÍTIMOS[[#This Row],[PP]]="","",MARÍTIMOS[[#This Row],[PP]]),"")</f>
        <v>39</v>
      </c>
      <c r="C98" s="1" t="str">
        <f>IFERROR(IF(MARÍTIMOS[[#This Row],[Sede]]="","",MARÍTIMOS[[#This Row],[Sede]]),"")</f>
        <v>Olmos</v>
      </c>
      <c r="D98" s="1" t="str">
        <f>IFERROR(IF(MARÍTIMOS[[#This Row],[Instruction]]="","",MARÍTIMOS[[#This Row],[Instruction]]),"")</f>
        <v>RH-0864</v>
      </c>
      <c r="E98" s="1"/>
      <c r="F98" s="2" t="str">
        <f>IFERROR(IF(MARÍTIMOS[[#This Row],[Transportista]]="","",MARÍTIMOS[[#This Row],[Transportista]]),"")</f>
        <v>Costa Transport</v>
      </c>
      <c r="G98" s="2" t="str">
        <f>IFERROR(IF(MARÍTIMOS[[#This Row],[Tercero]]="","",MARÍTIMOS[[#This Row],[Tercero]]),"")</f>
        <v>NO</v>
      </c>
      <c r="H98" s="2" t="str">
        <f>IFERROR(IF(MARÍTIMOS[[#This Row],[Razón Social]]="","",MARÍTIMOS[[#This Row],[Razón Social]]),"")</f>
        <v>TRANSPORTES COSTA TRANSPORT EIRL</v>
      </c>
      <c r="I98" s="2">
        <f>IFERROR(IF(MARÍTIMOS[[#This Row],[RUC]]="","",MARÍTIMOS[[#This Row],[RUC]]),"")</f>
        <v>20525373551</v>
      </c>
      <c r="J98" s="2" t="str">
        <f>IFERROR(IF(MARÍTIMOS[[#This Row],[Placa Tracto]]="","",MARÍTIMOS[[#This Row],[Placa Tracto]]),"")</f>
        <v>T3I-840</v>
      </c>
      <c r="K98" s="2" t="str">
        <f>IFERROR(IF(MARÍTIMOS[[#This Row],[Placa Carreta]]="","",MARÍTIMOS[[#This Row],[Placa Carreta]]),"")</f>
        <v>D5W-991</v>
      </c>
      <c r="L98" s="44" t="str">
        <f>IFERROR(IF(MARÍTIMOS[[#This Row],[Conductor]]="","",MARÍTIMOS[[#This Row],[Conductor]]),"")</f>
        <v>CELIO CASTRO ALVAREZ</v>
      </c>
      <c r="M98" s="2" t="str">
        <f>IFERROR(IF(MARÍTIMOS[[#This Row],[Licencia]]="","",MARÍTIMOS[[#This Row],[Licencia]]),"")</f>
        <v>B03498026</v>
      </c>
      <c r="N98" s="2">
        <f>IFERROR(IF(MARÍTIMOS[[#This Row],[Número de Contacto]]="","",MARÍTIMOS[[#This Row],[Número de Contacto]]),"")</f>
        <v>958976357</v>
      </c>
      <c r="O98" s="10" t="str">
        <f>IFERROR(IF(MARÍTIMOS[[#This Row],[Booking|AWB|CRT]]="","",MARÍTIMOS[[#This Row],[Booking|AWB|CRT]]),"")</f>
        <v>PER9239310A</v>
      </c>
      <c r="P98" s="2" t="str">
        <f>IFERROR(IF(MARÍTIMOS[[#This Row],[Contenedor]]="","",MARÍTIMOS[[#This Row],[Contenedor]]),"")</f>
        <v/>
      </c>
      <c r="Q98" s="2" t="str">
        <f>IFERROR(IF(MARÍTIMOS[[#This Row],[Puerto de Retiro]]="","",MARÍTIMOS[[#This Row],[Puerto de Retiro]]),"")</f>
        <v>PAITA</v>
      </c>
      <c r="R98" s="2" t="str">
        <f>IFERROR(IF(MARÍTIMOS[[#This Row],[Almacén de Retiro]]="","",MARÍTIMOS[[#This Row],[Almacén de Retiro]]),"")</f>
        <v>DPW</v>
      </c>
      <c r="S98" s="11">
        <f>IFERROR(IF(MARÍTIMOS[[#This Row],[Etapa Retiro - Cita]]="","",MARÍTIMOS[[#This Row],[Etapa Retiro - Cita]]),"")</f>
        <v>46293.708333333336</v>
      </c>
      <c r="T98" s="11">
        <f>IFERROR(IF(MARÍTIMOS[[#This Row],[Etapa Retiro - Llegada]]="","",MARÍTIMOS[[#This Row],[Etapa Retiro - Llegada]]),"")</f>
        <v>46293.730555555558</v>
      </c>
      <c r="U98" s="11">
        <f>IFERROR(IF(MARÍTIMOS[[#This Row],[Etapa Retiro - Ingreso]]="","",MARÍTIMOS[[#This Row],[Etapa Retiro - Ingreso]]),"")</f>
        <v>46293.740972222222</v>
      </c>
      <c r="V98" s="11">
        <f>IFERROR(IF(MARÍTIMOS[[#This Row],[Etapa Retiro - Atención]]="","",MARÍTIMOS[[#This Row],[Etapa Retiro - Atención]]),"")</f>
        <v>46293.756944444445</v>
      </c>
      <c r="W98" s="11">
        <f>IFERROR(IF(MARÍTIMOS[[#This Row],[Etapa Retiro - Atención]]="","",MARÍTIMOS[[#This Row],[Etapa Retiro - Atención]]),"")</f>
        <v>46293.756944444445</v>
      </c>
      <c r="X98" s="11">
        <f>IFERROR(IF(MARÍTIMOS[[#This Row],[Etapa Retiro - Inicio de Ruta]]="","",MARÍTIMOS[[#This Row],[Etapa Retiro - Inicio de Ruta]]),"")</f>
        <v>46294.102083333331</v>
      </c>
      <c r="Y98" s="11">
        <f>IFERROR(IF(MARÍTIMOS[[#This Row],[Hora de Posicionamiento]]="","",MARÍTIMOS[[#This Row],[Fecha de Carga]]+MARÍTIMOS[[#This Row],[Hora de Posicionamiento]]),"")</f>
        <v>46294.333333333336</v>
      </c>
      <c r="Z98" s="11">
        <f>IFERROR(IF(MARÍTIMOS[[#This Row],[Etapa Despacho - Llegada]]="","",MARÍTIMOS[[#This Row],[Etapa Despacho - Llegada]]),"")</f>
        <v>46294.280555555553</v>
      </c>
      <c r="AA98" s="11">
        <f>IFERROR(IF(MARÍTIMOS[[#This Row],[Etapa Despacho - Registro]]="","",MARÍTIMOS[[#This Row],[Etapa Despacho - Registro]]),"")</f>
        <v>46294.284722222219</v>
      </c>
      <c r="AB98" s="11">
        <f>IFERROR(IF(MARÍTIMOS[[#This Row],[Inspección Externa]]="","",MARÍTIMOS[[#This Row],[Inspección Externa]]),"")</f>
        <v>46294.314583333333</v>
      </c>
      <c r="AC98" s="11" t="str">
        <f>IFERROR(IF(MARÍTIMOS[[#This Row],[Etapa Despacho - Inicio de Carga]]="","",MARÍTIMOS[[#This Row],[Etapa Despacho - Inicio de Carga]]),"")</f>
        <v/>
      </c>
      <c r="AD98" s="11" t="str">
        <f>IFERROR(IF(MARÍTIMOS[[#This Row],[Etapa Despacho - Mitad de Carga]]="","",MARÍTIMOS[[#This Row],[Etapa Despacho - Mitad de Carga]]),"")</f>
        <v/>
      </c>
      <c r="AE98" s="11" t="str">
        <f>IFERROR(IF(MARÍTIMOS[[#This Row],[Etapa Despacho - Fin de Carga]]="","",MARÍTIMOS[[#This Row],[Etapa Despacho - Fin de Carga]]),"")</f>
        <v/>
      </c>
      <c r="AF98" s="2" t="str">
        <f>IFERROR(IF(MARÍTIMOS[[#This Row],[Puerto de Embarque]]="","",MARÍTIMOS[[#This Row],[Puerto de Embarque]]),"")</f>
        <v>Paita</v>
      </c>
      <c r="AG98" s="2" t="str">
        <f>IFERROR(IF(MARÍTIMOS[[#This Row],[Almacén de Ingreso]]="","",MARÍTIMOS[[#This Row],[Almacén de Ingreso]]),"")</f>
        <v>TPE</v>
      </c>
      <c r="AH98" s="11" t="str">
        <f>IFERROR(IF(MARÍTIMOS[[#This Row],[Etapa Ingreso - Cita]]="","",MARÍTIMOS[[#This Row],[Etapa Ingreso - Cita]]),"")</f>
        <v/>
      </c>
      <c r="AI98" s="11" t="str">
        <f>IFERROR(IF(MARÍTIMOS[[#This Row],[Etapa Ingreso - Llegada]]="","",MARÍTIMOS[[#This Row],[Etapa Ingreso - Llegada]]),"")</f>
        <v/>
      </c>
      <c r="AJ98" s="11" t="str">
        <f>IFERROR(IF(MARÍTIMOS[[#This Row],[Etapa Ingreso - Ingeso]]="","",MARÍTIMOS[[#This Row],[Etapa Ingreso - Ingeso]]),"")</f>
        <v/>
      </c>
      <c r="AK98" s="11" t="str">
        <f>IFERROR(IF(MARÍTIMOS[[#This Row],[Etapa Ingreso - Atención]]="","",MARÍTIMOS[[#This Row],[Etapa Ingreso - Atención]]),"")</f>
        <v/>
      </c>
      <c r="AL98" s="11" t="str">
        <f>IFERROR(IF(MARÍTIMOS[[#This Row],[Etapa Ingreso - Salida]]="","",MARÍTIMOS[[#This Row],[Etapa Ingreso - Salida]]),"")</f>
        <v/>
      </c>
      <c r="AM98" s="2">
        <f>IFERROR(IF(MARÍTIMOS[[#This Row],[FCL]]="","",MARÍTIMOS[[#This Row],[FCL]]),"")</f>
        <v>1</v>
      </c>
      <c r="AN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98" s="4" t="str" cm="1">
        <f t="array" ref="AO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8" s="5">
        <f>IFERROR(OLDBD[[#This Row],[Llegada a packing]]-OLDBD[[#This Row],[Inicio de Ruta]],"")</f>
        <v>0.17847222222189885</v>
      </c>
      <c r="AQ98" s="6">
        <f>IFERROR(OLDBD[[#This Row],[Inicio de Ruta]]-OLDBD[[#This Row],[Salida de almacén de retiro]],"")</f>
        <v>0.34513888888614019</v>
      </c>
      <c r="AR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98" s="8" t="str" cm="1">
        <f t="array" ref="AS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" s="9">
        <f>IFERROR(OLDBD[[#This Row],[Ingreso Packing]]-OLDBD[[#This Row],[Registro en Packing]],"")</f>
        <v>2.9861111113859806E-2</v>
      </c>
      <c r="AV98" s="9">
        <f>IFERROR(OLDBD[[#This Row],[Ingreso Packing]]-OLDBD[[#This Row],[Llegada a packing]],"")</f>
        <v>3.4027777779556345E-2</v>
      </c>
      <c r="AW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" s="5" t="str">
        <f>IFERROR(OLDBD[[#This Row],[Llegada Almacén de Ingreso]]-OLDBD[[#This Row],[Salida Packing]],"")</f>
        <v/>
      </c>
      <c r="AY98" s="4" t="str" cm="1">
        <f t="array" ref="AY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" s="43" t="s">
        <v>173</v>
      </c>
      <c r="BB98" s="47" t="str">
        <f>IFERROR(IF(MARÍTIMOS[[#This Row],[Estatus]]="","",MARÍTIMOS[[#This Row],[Estatus]]),"")</f>
        <v>Confirmado</v>
      </c>
      <c r="BC98" s="43"/>
      <c r="BD98" s="46">
        <f>IFERROR(OLDBD[[#This Row],[Salida de almacén de retiro]]-OLDBD[[#This Row],[Ingreso Almacén de retiro]],"")</f>
        <v>1.5972222223354038E-2</v>
      </c>
      <c r="BE98" s="46" t="str">
        <f>IFERROR(OLDBD[[#This Row],[Fin de Carga]]-OLDBD[[#This Row],[Inicio de Carga]],"")</f>
        <v/>
      </c>
    </row>
    <row r="99" spans="1:57" customFormat="1" hidden="1">
      <c r="A99" s="1"/>
      <c r="B99" s="1">
        <f>IFERROR(IF(MARÍTIMOS[[#This Row],[PP]]="","",MARÍTIMOS[[#This Row],[PP]]),"")</f>
        <v>29</v>
      </c>
      <c r="C99" s="1" t="str">
        <f>IFERROR(IF(MARÍTIMOS[[#This Row],[Sede]]="","",MARÍTIMOS[[#This Row],[Sede]]),"")</f>
        <v>Chao</v>
      </c>
      <c r="D99" s="1" t="str">
        <f>IFERROR(IF(MARÍTIMOS[[#This Row],[Instruction]]="","",MARÍTIMOS[[#This Row],[Instruction]]),"")</f>
        <v>RH-0194</v>
      </c>
      <c r="E99" s="1"/>
      <c r="F99" s="2" t="str">
        <f>IFERROR(IF(MARÍTIMOS[[#This Row],[Transportista]]="","",MARÍTIMOS[[#This Row],[Transportista]]),"")</f>
        <v>Expert Transport</v>
      </c>
      <c r="G99" s="2" t="str">
        <f>IFERROR(IF(MARÍTIMOS[[#This Row],[Tercero]]="","",MARÍTIMOS[[#This Row],[Tercero]]),"")</f>
        <v>NO</v>
      </c>
      <c r="H99" s="2" t="str">
        <f>IFERROR(IF(MARÍTIMOS[[#This Row],[Razón Social]]="","",MARÍTIMOS[[#This Row],[Razón Social]]),"")</f>
        <v xml:space="preserve">EXPERT TRANSPORT SAC </v>
      </c>
      <c r="I99" s="2">
        <f>IFERROR(IF(MARÍTIMOS[[#This Row],[RUC]]="","",MARÍTIMOS[[#This Row],[RUC]]),"")</f>
        <v>20544424751</v>
      </c>
      <c r="J99" s="2" t="str">
        <f>IFERROR(IF(MARÍTIMOS[[#This Row],[Placa Tracto]]="","",MARÍTIMOS[[#This Row],[Placa Tracto]]),"")</f>
        <v>BYR872</v>
      </c>
      <c r="K99" s="2" t="str">
        <f>IFERROR(IF(MARÍTIMOS[[#This Row],[Placa Carreta]]="","",MARÍTIMOS[[#This Row],[Placa Carreta]]),"")</f>
        <v>A3K983</v>
      </c>
      <c r="L99" s="44" t="str">
        <f>IFERROR(IF(MARÍTIMOS[[#This Row],[Conductor]]="","",MARÍTIMOS[[#This Row],[Conductor]]),"")</f>
        <v>HUMBERTO JESÚS SUAREZ ARGUINZONES</v>
      </c>
      <c r="M99" s="2" t="str">
        <f>IFERROR(IF(MARÍTIMOS[[#This Row],[Licencia]]="","",MARÍTIMOS[[#This Row],[Licencia]]),"")</f>
        <v>B007168026</v>
      </c>
      <c r="N99" s="2">
        <f>IFERROR(IF(MARÍTIMOS[[#This Row],[Número de Contacto]]="","",MARÍTIMOS[[#This Row],[Número de Contacto]]),"")</f>
        <v>934270711</v>
      </c>
      <c r="O99" s="10" t="str">
        <f>IFERROR(IF(MARÍTIMOS[[#This Row],[Booking|AWB|CRT]]="","",MARÍTIMOS[[#This Row],[Booking|AWB|CRT]]),"")</f>
        <v>PER9150717A</v>
      </c>
      <c r="P99" s="2" t="str">
        <f>IFERROR(IF(MARÍTIMOS[[#This Row],[Contenedor]]="","",MARÍTIMOS[[#This Row],[Contenedor]]),"")</f>
        <v>SEKU9426198 </v>
      </c>
      <c r="Q99" s="2" t="str">
        <f>IFERROR(IF(MARÍTIMOS[[#This Row],[Puerto de Retiro]]="","",MARÍTIMOS[[#This Row],[Puerto de Retiro]]),"")</f>
        <v>PAITA</v>
      </c>
      <c r="R99" s="2" t="str">
        <f>IFERROR(IF(MARÍTIMOS[[#This Row],[Almacén de Retiro]]="","",MARÍTIMOS[[#This Row],[Almacén de Retiro]]),"")</f>
        <v>DPW</v>
      </c>
      <c r="S99" s="11">
        <f>IFERROR(IF(MARÍTIMOS[[#This Row],[Etapa Retiro - Cita]]="","",MARÍTIMOS[[#This Row],[Etapa Retiro - Cita]]),"")</f>
        <v>46221.5</v>
      </c>
      <c r="T99" s="11">
        <f>IFERROR(IF(MARÍTIMOS[[#This Row],[Etapa Retiro - Llegada]]="","",MARÍTIMOS[[#This Row],[Etapa Retiro - Llegada]]),"")</f>
        <v>46221.477777777778</v>
      </c>
      <c r="U99" s="11">
        <f>IFERROR(IF(MARÍTIMOS[[#This Row],[Etapa Retiro - Ingreso]]="","",MARÍTIMOS[[#This Row],[Etapa Retiro - Ingreso]]),"")</f>
        <v>46221.502083333333</v>
      </c>
      <c r="V99" s="11">
        <f>IFERROR(IF(MARÍTIMOS[[#This Row],[Etapa Retiro - Atención]]="","",MARÍTIMOS[[#This Row],[Etapa Retiro - Atención]]),"")</f>
        <v>46221.513888888891</v>
      </c>
      <c r="W99" s="11">
        <f>IFERROR(IF(MARÍTIMOS[[#This Row],[Etapa Retiro - Atención]]="","",MARÍTIMOS[[#This Row],[Etapa Retiro - Atención]]),"")</f>
        <v>46221.513888888891</v>
      </c>
      <c r="X99" s="11">
        <f>IFERROR(IF(MARÍTIMOS[[#This Row],[Etapa Retiro - Inicio de Ruta]]="","",MARÍTIMOS[[#This Row],[Etapa Retiro - Inicio de Ruta]]),"")</f>
        <v>46221.589583333334</v>
      </c>
      <c r="Y99" s="11">
        <f>IFERROR(IF(MARÍTIMOS[[#This Row],[Hora de Posicionamiento]]="","",MARÍTIMOS[[#This Row],[Fecha de Carga]]+MARÍTIMOS[[#This Row],[Hora de Posicionamiento]]),"")</f>
        <v>46221.5</v>
      </c>
      <c r="Z99" s="11" t="str">
        <f>IFERROR(IF(MARÍTIMOS[[#This Row],[Etapa Despacho - Llegada]]="","",MARÍTIMOS[[#This Row],[Etapa Despacho - Llegada]]),"")</f>
        <v/>
      </c>
      <c r="AA99" s="11" t="str">
        <f>IFERROR(IF(MARÍTIMOS[[#This Row],[Etapa Despacho - Registro]]="","",MARÍTIMOS[[#This Row],[Etapa Despacho - Registro]]),"")</f>
        <v/>
      </c>
      <c r="AB99" s="11">
        <f>IFERROR(IF(MARÍTIMOS[[#This Row],[Inspección Externa]]="","",MARÍTIMOS[[#This Row],[Inspección Externa]]),"")</f>
        <v>46222.416666666664</v>
      </c>
      <c r="AC99" s="11" t="str">
        <f>IFERROR(IF(MARÍTIMOS[[#This Row],[Etapa Despacho - Inicio de Carga]]="","",MARÍTIMOS[[#This Row],[Etapa Despacho - Inicio de Carga]]),"")</f>
        <v/>
      </c>
      <c r="AD99" s="11" t="str">
        <f>IFERROR(IF(MARÍTIMOS[[#This Row],[Etapa Despacho - Mitad de Carga]]="","",MARÍTIMOS[[#This Row],[Etapa Despacho - Mitad de Carga]]),"")</f>
        <v/>
      </c>
      <c r="AE99" s="11" t="str">
        <f>IFERROR(IF(MARÍTIMOS[[#This Row],[Etapa Despacho - Fin de Carga]]="","",MARÍTIMOS[[#This Row],[Etapa Despacho - Fin de Carga]]),"")</f>
        <v/>
      </c>
      <c r="AF99" s="2" t="str">
        <f>IFERROR(IF(MARÍTIMOS[[#This Row],[Puerto de Embarque]]="","",MARÍTIMOS[[#This Row],[Puerto de Embarque]]),"")</f>
        <v>Paita</v>
      </c>
      <c r="AG99" s="2" t="str">
        <f>IFERROR(IF(MARÍTIMOS[[#This Row],[Almacén de Ingreso]]="","",MARÍTIMOS[[#This Row],[Almacén de Ingreso]]),"")</f>
        <v>TPE</v>
      </c>
      <c r="AH99" s="11">
        <f>IFERROR(IF(MARÍTIMOS[[#This Row],[Etapa Ingreso - Cita]]="","",MARÍTIMOS[[#This Row],[Etapa Ingreso - Cita]]),"")</f>
        <v>46223.708333333336</v>
      </c>
      <c r="AI99" s="11">
        <f>IFERROR(IF(MARÍTIMOS[[#This Row],[Etapa Ingreso - Llegada]]="","",MARÍTIMOS[[#This Row],[Etapa Ingreso - Llegada]]),"")</f>
        <v>46223.648611111108</v>
      </c>
      <c r="AJ99" s="11">
        <f>IFERROR(IF(MARÍTIMOS[[#This Row],[Etapa Ingreso - Ingeso]]="","",MARÍTIMOS[[#This Row],[Etapa Ingreso - Ingeso]]),"")</f>
        <v>46223.65625</v>
      </c>
      <c r="AK99" s="11">
        <f>IFERROR(IF(MARÍTIMOS[[#This Row],[Etapa Ingreso - Atención]]="","",MARÍTIMOS[[#This Row],[Etapa Ingreso - Atención]]),"")</f>
        <v>46223.658333333333</v>
      </c>
      <c r="AL99" s="11">
        <f>IFERROR(IF(MARÍTIMOS[[#This Row],[Etapa Ingreso - Salida]]="","",MARÍTIMOS[[#This Row],[Etapa Ingreso - Salida]]),"")</f>
        <v>46223.661805555559</v>
      </c>
      <c r="AM99" s="2">
        <f>IFERROR(IF(MARÍTIMOS[[#This Row],[FCL]]="","",MARÍTIMOS[[#This Row],[FCL]]),"")</f>
        <v>1</v>
      </c>
      <c r="AN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99" s="4" t="str" cm="1">
        <f t="array" ref="AO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99" s="5" t="str">
        <f>IFERROR(OLDBD[[#This Row],[Llegada a packing]]-OLDBD[[#This Row],[Inicio de Ruta]],"")</f>
        <v/>
      </c>
      <c r="AQ99" s="6">
        <f>IFERROR(OLDBD[[#This Row],[Inicio de Ruta]]-OLDBD[[#This Row],[Salida de almacén de retiro]],"")</f>
        <v>7.5694444443797693E-2</v>
      </c>
      <c r="AR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" s="8" t="str" cm="1">
        <f t="array" ref="AS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" s="9" t="str">
        <f>IFERROR(OLDBD[[#This Row],[Ingreso Packing]]-OLDBD[[#This Row],[Registro en Packing]],"")</f>
        <v/>
      </c>
      <c r="AV99" s="9" t="str">
        <f>IFERROR(OLDBD[[#This Row],[Ingreso Packing]]-OLDBD[[#This Row],[Llegada a packing]],"")</f>
        <v/>
      </c>
      <c r="AW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" s="5" t="str">
        <f>IFERROR(OLDBD[[#This Row],[Llegada Almacén de Ingreso]]-OLDBD[[#This Row],[Salida Packing]],"")</f>
        <v/>
      </c>
      <c r="AY99" s="4" t="str" cm="1">
        <f t="array" ref="AY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99" s="43" t="s">
        <v>173</v>
      </c>
      <c r="BB99" s="47" t="str">
        <f>IFERROR(IF(MARÍTIMOS[[#This Row],[Estatus]]="","",MARÍTIMOS[[#This Row],[Estatus]]),"")</f>
        <v>Confirmado</v>
      </c>
      <c r="BC99" s="43"/>
      <c r="BD99" s="46">
        <f>IFERROR(OLDBD[[#This Row],[Salida de almacén de retiro]]-OLDBD[[#This Row],[Ingreso Almacén de retiro]],"")</f>
        <v>1.1805555557657499E-2</v>
      </c>
      <c r="BE99" s="46" t="str">
        <f>IFERROR(OLDBD[[#This Row],[Fin de Carga]]-OLDBD[[#This Row],[Inicio de Carga]],"")</f>
        <v/>
      </c>
    </row>
    <row r="100" spans="1:57" customFormat="1" hidden="1">
      <c r="A100" s="1"/>
      <c r="B100" s="1">
        <f>IFERROR(IF(MARÍTIMOS[[#This Row],[PP]]="","",MARÍTIMOS[[#This Row],[PP]]),"")</f>
        <v>29</v>
      </c>
      <c r="C100" s="1" t="str">
        <f>IFERROR(IF(MARÍTIMOS[[#This Row],[Sede]]="","",MARÍTIMOS[[#This Row],[Sede]]),"")</f>
        <v>Chao</v>
      </c>
      <c r="D100" s="1" t="str">
        <f>IFERROR(IF(MARÍTIMOS[[#This Row],[Instruction]]="","",MARÍTIMOS[[#This Row],[Instruction]]),"")</f>
        <v>RH-0195</v>
      </c>
      <c r="E100" s="1"/>
      <c r="F100" s="2" t="str">
        <f>IFERROR(IF(MARÍTIMOS[[#This Row],[Transportista]]="","",MARÍTIMOS[[#This Row],[Transportista]]),"")</f>
        <v>Expert Transport</v>
      </c>
      <c r="G100" s="2" t="str">
        <f>IFERROR(IF(MARÍTIMOS[[#This Row],[Tercero]]="","",MARÍTIMOS[[#This Row],[Tercero]]),"")</f>
        <v>NO</v>
      </c>
      <c r="H100" s="2" t="str">
        <f>IFERROR(IF(MARÍTIMOS[[#This Row],[Razón Social]]="","",MARÍTIMOS[[#This Row],[Razón Social]]),"")</f>
        <v xml:space="preserve">EXPERT TRANSPORT SAC </v>
      </c>
      <c r="I100" s="2">
        <f>IFERROR(IF(MARÍTIMOS[[#This Row],[RUC]]="","",MARÍTIMOS[[#This Row],[RUC]]),"")</f>
        <v>20544424751</v>
      </c>
      <c r="J100" s="2" t="str">
        <f>IFERROR(IF(MARÍTIMOS[[#This Row],[Placa Tracto]]="","",MARÍTIMOS[[#This Row],[Placa Tracto]]),"")</f>
        <v>V4N706</v>
      </c>
      <c r="K100" s="2" t="str">
        <f>IFERROR(IF(MARÍTIMOS[[#This Row],[Placa Carreta]]="","",MARÍTIMOS[[#This Row],[Placa Carreta]]),"")</f>
        <v>TJD977</v>
      </c>
      <c r="L100" s="44" t="str">
        <f>IFERROR(IF(MARÍTIMOS[[#This Row],[Conductor]]="","",MARÍTIMOS[[#This Row],[Conductor]]),"")</f>
        <v>MARIO WILMER AVENDAÑO ACHA</v>
      </c>
      <c r="M100" s="2" t="str">
        <f>IFERROR(IF(MARÍTIMOS[[#This Row],[Licencia]]="","",MARÍTIMOS[[#This Row],[Licencia]]),"")</f>
        <v>B46445299</v>
      </c>
      <c r="N100" s="2">
        <f>IFERROR(IF(MARÍTIMOS[[#This Row],[Número de Contacto]]="","",MARÍTIMOS[[#This Row],[Número de Contacto]]),"")</f>
        <v>946500525</v>
      </c>
      <c r="O100" s="10" t="str">
        <f>IFERROR(IF(MARÍTIMOS[[#This Row],[Booking|AWB|CRT]]="","",MARÍTIMOS[[#This Row],[Booking|AWB|CRT]]),"")</f>
        <v>PER9150720A</v>
      </c>
      <c r="P100" s="2" t="str">
        <f>IFERROR(IF(MARÍTIMOS[[#This Row],[Contenedor]]="","",MARÍTIMOS[[#This Row],[Contenedor]]),"")</f>
        <v> CAAU4169317</v>
      </c>
      <c r="Q100" s="2" t="str">
        <f>IFERROR(IF(MARÍTIMOS[[#This Row],[Puerto de Retiro]]="","",MARÍTIMOS[[#This Row],[Puerto de Retiro]]),"")</f>
        <v>PAITA</v>
      </c>
      <c r="R100" s="2" t="str">
        <f>IFERROR(IF(MARÍTIMOS[[#This Row],[Almacén de Retiro]]="","",MARÍTIMOS[[#This Row],[Almacén de Retiro]]),"")</f>
        <v>DPW</v>
      </c>
      <c r="S100" s="11">
        <f>IFERROR(IF(MARÍTIMOS[[#This Row],[Etapa Retiro - Cita]]="","",MARÍTIMOS[[#This Row],[Etapa Retiro - Cita]]),"")</f>
        <v>46221.5</v>
      </c>
      <c r="T100" s="11">
        <f>IFERROR(IF(MARÍTIMOS[[#This Row],[Etapa Retiro - Llegada]]="","",MARÍTIMOS[[#This Row],[Etapa Retiro - Llegada]]),"")</f>
        <v>46221.48333333333</v>
      </c>
      <c r="U100" s="11">
        <f>IFERROR(IF(MARÍTIMOS[[#This Row],[Etapa Retiro - Ingreso]]="","",MARÍTIMOS[[#This Row],[Etapa Retiro - Ingreso]]),"")</f>
        <v>46221.488194444442</v>
      </c>
      <c r="V100" s="11">
        <f>IFERROR(IF(MARÍTIMOS[[#This Row],[Etapa Retiro - Atención]]="","",MARÍTIMOS[[#This Row],[Etapa Retiro - Atención]]),"")</f>
        <v>46221.495138888888</v>
      </c>
      <c r="W100" s="11">
        <f>IFERROR(IF(MARÍTIMOS[[#This Row],[Etapa Retiro - Atención]]="","",MARÍTIMOS[[#This Row],[Etapa Retiro - Atención]]),"")</f>
        <v>46221.495138888888</v>
      </c>
      <c r="X100" s="11">
        <f>IFERROR(IF(MARÍTIMOS[[#This Row],[Etapa Retiro - Inicio de Ruta]]="","",MARÍTIMOS[[#This Row],[Etapa Retiro - Inicio de Ruta]]),"")</f>
        <v>46221.589583333334</v>
      </c>
      <c r="Y100" s="11">
        <f>IFERROR(IF(MARÍTIMOS[[#This Row],[Hora de Posicionamiento]]="","",MARÍTIMOS[[#This Row],[Fecha de Carga]]+MARÍTIMOS[[#This Row],[Hora de Posicionamiento]]),"")</f>
        <v>46221.5</v>
      </c>
      <c r="Z100" s="11" t="str">
        <f>IFERROR(IF(MARÍTIMOS[[#This Row],[Etapa Despacho - Llegada]]="","",MARÍTIMOS[[#This Row],[Etapa Despacho - Llegada]]),"")</f>
        <v/>
      </c>
      <c r="AA100" s="11" t="str">
        <f>IFERROR(IF(MARÍTIMOS[[#This Row],[Etapa Despacho - Registro]]="","",MARÍTIMOS[[#This Row],[Etapa Despacho - Registro]]),"")</f>
        <v/>
      </c>
      <c r="AB100" s="11">
        <f>IFERROR(IF(MARÍTIMOS[[#This Row],[Inspección Externa]]="","",MARÍTIMOS[[#This Row],[Inspección Externa]]),"")</f>
        <v>46222.423611111109</v>
      </c>
      <c r="AC100" s="11" t="str">
        <f>IFERROR(IF(MARÍTIMOS[[#This Row],[Etapa Despacho - Inicio de Carga]]="","",MARÍTIMOS[[#This Row],[Etapa Despacho - Inicio de Carga]]),"")</f>
        <v/>
      </c>
      <c r="AD100" s="11" t="str">
        <f>IFERROR(IF(MARÍTIMOS[[#This Row],[Etapa Despacho - Mitad de Carga]]="","",MARÍTIMOS[[#This Row],[Etapa Despacho - Mitad de Carga]]),"")</f>
        <v/>
      </c>
      <c r="AE100" s="11" t="str">
        <f>IFERROR(IF(MARÍTIMOS[[#This Row],[Etapa Despacho - Fin de Carga]]="","",MARÍTIMOS[[#This Row],[Etapa Despacho - Fin de Carga]]),"")</f>
        <v/>
      </c>
      <c r="AF100" s="2" t="str">
        <f>IFERROR(IF(MARÍTIMOS[[#This Row],[Puerto de Embarque]]="","",MARÍTIMOS[[#This Row],[Puerto de Embarque]]),"")</f>
        <v>Paita</v>
      </c>
      <c r="AG100" s="2" t="str">
        <f>IFERROR(IF(MARÍTIMOS[[#This Row],[Almacén de Ingreso]]="","",MARÍTIMOS[[#This Row],[Almacén de Ingreso]]),"")</f>
        <v>TPE</v>
      </c>
      <c r="AH100" s="11">
        <f>IFERROR(IF(MARÍTIMOS[[#This Row],[Etapa Ingreso - Cita]]="","",MARÍTIMOS[[#This Row],[Etapa Ingreso - Cita]]),"")</f>
        <v>46223.708333333336</v>
      </c>
      <c r="AI100" s="11">
        <f>IFERROR(IF(MARÍTIMOS[[#This Row],[Etapa Ingreso - Llegada]]="","",MARÍTIMOS[[#This Row],[Etapa Ingreso - Llegada]]),"")</f>
        <v>46223.646527777775</v>
      </c>
      <c r="AJ100" s="11">
        <f>IFERROR(IF(MARÍTIMOS[[#This Row],[Etapa Ingreso - Ingeso]]="","",MARÍTIMOS[[#This Row],[Etapa Ingreso - Ingeso]]),"")</f>
        <v>46223.654166666667</v>
      </c>
      <c r="AK100" s="11">
        <f>IFERROR(IF(MARÍTIMOS[[#This Row],[Etapa Ingreso - Atención]]="","",MARÍTIMOS[[#This Row],[Etapa Ingreso - Atención]]),"")</f>
        <v>46223.655555555553</v>
      </c>
      <c r="AL100" s="11">
        <f>IFERROR(IF(MARÍTIMOS[[#This Row],[Etapa Ingreso - Salida]]="","",MARÍTIMOS[[#This Row],[Etapa Ingreso - Salida]]),"")</f>
        <v>46223.663194444445</v>
      </c>
      <c r="AM100" s="2">
        <f>IFERROR(IF(MARÍTIMOS[[#This Row],[FCL]]="","",MARÍTIMOS[[#This Row],[FCL]]),"")</f>
        <v>1</v>
      </c>
      <c r="AN1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00" s="4" t="str" cm="1">
        <f t="array" ref="AO1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0" s="5" t="str">
        <f>IFERROR(OLDBD[[#This Row],[Llegada a packing]]-OLDBD[[#This Row],[Inicio de Ruta]],"")</f>
        <v/>
      </c>
      <c r="AQ100" s="6">
        <f>IFERROR(OLDBD[[#This Row],[Inicio de Ruta]]-OLDBD[[#This Row],[Salida de almacén de retiro]],"")</f>
        <v>9.4444444446708076E-2</v>
      </c>
      <c r="AR1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" s="8" t="str" cm="1">
        <f t="array" ref="AS1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" s="9" t="str">
        <f>IFERROR(OLDBD[[#This Row],[Ingreso Packing]]-OLDBD[[#This Row],[Registro en Packing]],"")</f>
        <v/>
      </c>
      <c r="AV100" s="9" t="str">
        <f>IFERROR(OLDBD[[#This Row],[Ingreso Packing]]-OLDBD[[#This Row],[Llegada a packing]],"")</f>
        <v/>
      </c>
      <c r="AW1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" s="5" t="str">
        <f>IFERROR(OLDBD[[#This Row],[Llegada Almacén de Ingreso]]-OLDBD[[#This Row],[Salida Packing]],"")</f>
        <v/>
      </c>
      <c r="AY100" s="4" t="str" cm="1">
        <f t="array" ref="AY1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00" s="43" t="s">
        <v>173</v>
      </c>
      <c r="BB100" s="47" t="str">
        <f>IFERROR(IF(MARÍTIMOS[[#This Row],[Estatus]]="","",MARÍTIMOS[[#This Row],[Estatus]]),"")</f>
        <v>Confirmado</v>
      </c>
      <c r="BC100" s="43"/>
      <c r="BD100" s="46">
        <f>IFERROR(OLDBD[[#This Row],[Salida de almacén de retiro]]-OLDBD[[#This Row],[Ingreso Almacén de retiro]],"")</f>
        <v>6.9444444452528842E-3</v>
      </c>
      <c r="BE100" s="46" t="str">
        <f>IFERROR(OLDBD[[#This Row],[Fin de Carga]]-OLDBD[[#This Row],[Inicio de Carga]],"")</f>
        <v/>
      </c>
    </row>
    <row r="101" spans="1:57" customFormat="1" hidden="1">
      <c r="A101" s="1"/>
      <c r="B101" s="1">
        <f>IFERROR(IF(MARÍTIMOS[[#This Row],[PP]]="","",MARÍTIMOS[[#This Row],[PP]]),"")</f>
        <v>29</v>
      </c>
      <c r="C101" s="1" t="str">
        <f>IFERROR(IF(MARÍTIMOS[[#This Row],[Sede]]="","",MARÍTIMOS[[#This Row],[Sede]]),"")</f>
        <v>Chao</v>
      </c>
      <c r="D101" s="1" t="str">
        <f>IFERROR(IF(MARÍTIMOS[[#This Row],[Instruction]]="","",MARÍTIMOS[[#This Row],[Instruction]]),"")</f>
        <v>RH-0200</v>
      </c>
      <c r="E101" s="1"/>
      <c r="F101" s="2" t="str">
        <f>IFERROR(IF(MARÍTIMOS[[#This Row],[Transportista]]="","",MARÍTIMOS[[#This Row],[Transportista]]),"")</f>
        <v>Expert Transport</v>
      </c>
      <c r="G101" s="2" t="str">
        <f>IFERROR(IF(MARÍTIMOS[[#This Row],[Tercero]]="","",MARÍTIMOS[[#This Row],[Tercero]]),"")</f>
        <v>NO</v>
      </c>
      <c r="H101" s="2" t="str">
        <f>IFERROR(IF(MARÍTIMOS[[#This Row],[Razón Social]]="","",MARÍTIMOS[[#This Row],[Razón Social]]),"")</f>
        <v xml:space="preserve">EXPERT TRANSPORT SAC </v>
      </c>
      <c r="I101" s="2">
        <f>IFERROR(IF(MARÍTIMOS[[#This Row],[RUC]]="","",MARÍTIMOS[[#This Row],[RUC]]),"")</f>
        <v>20544424751</v>
      </c>
      <c r="J101" s="2" t="str">
        <f>IFERROR(IF(MARÍTIMOS[[#This Row],[Placa Tracto]]="","",MARÍTIMOS[[#This Row],[Placa Tracto]]),"")</f>
        <v>D1A797</v>
      </c>
      <c r="K101" s="2" t="str">
        <f>IFERROR(IF(MARÍTIMOS[[#This Row],[Placa Carreta]]="","",MARÍTIMOS[[#This Row],[Placa Carreta]]),"")</f>
        <v>TNQ977</v>
      </c>
      <c r="L101" s="44" t="str">
        <f>IFERROR(IF(MARÍTIMOS[[#This Row],[Conductor]]="","",MARÍTIMOS[[#This Row],[Conductor]]),"")</f>
        <v>FREDERIS JOSE PAVON RUIZ</v>
      </c>
      <c r="M101" s="2" t="str">
        <f>IFERROR(IF(MARÍTIMOS[[#This Row],[Licencia]]="","",MARÍTIMOS[[#This Row],[Licencia]]),"")</f>
        <v>Q005175672</v>
      </c>
      <c r="N101" s="2">
        <f>IFERROR(IF(MARÍTIMOS[[#This Row],[Número de Contacto]]="","",MARÍTIMOS[[#This Row],[Número de Contacto]]),"")</f>
        <v>904556157</v>
      </c>
      <c r="O101" s="10" t="str">
        <f>IFERROR(IF(MARÍTIMOS[[#This Row],[Booking|AWB|CRT]]="","",MARÍTIMOS[[#This Row],[Booking|AWB|CRT]]),"")</f>
        <v>PER9150723A</v>
      </c>
      <c r="P101" s="2" t="str">
        <f>IFERROR(IF(MARÍTIMOS[[#This Row],[Contenedor]]="","",MARÍTIMOS[[#This Row],[Contenedor]]),"")</f>
        <v>CAAU4079384</v>
      </c>
      <c r="Q101" s="2" t="str">
        <f>IFERROR(IF(MARÍTIMOS[[#This Row],[Puerto de Retiro]]="","",MARÍTIMOS[[#This Row],[Puerto de Retiro]]),"")</f>
        <v>PAITA</v>
      </c>
      <c r="R101" s="2" t="str">
        <f>IFERROR(IF(MARÍTIMOS[[#This Row],[Almacén de Retiro]]="","",MARÍTIMOS[[#This Row],[Almacén de Retiro]]),"")</f>
        <v>DPW</v>
      </c>
      <c r="S101" s="11">
        <f>IFERROR(IF(MARÍTIMOS[[#This Row],[Etapa Retiro - Cita]]="","",MARÍTIMOS[[#This Row],[Etapa Retiro - Cita]]),"")</f>
        <v>46222.666666666664</v>
      </c>
      <c r="T101" s="11">
        <f>IFERROR(IF(MARÍTIMOS[[#This Row],[Etapa Retiro - Llegada]]="","",MARÍTIMOS[[#This Row],[Etapa Retiro - Llegada]]),"")</f>
        <v>46222.673611111109</v>
      </c>
      <c r="U101" s="11">
        <f>IFERROR(IF(MARÍTIMOS[[#This Row],[Etapa Retiro - Ingreso]]="","",MARÍTIMOS[[#This Row],[Etapa Retiro - Ingreso]]),"")</f>
        <v>46222.695138888892</v>
      </c>
      <c r="V101" s="11">
        <f>IFERROR(IF(MARÍTIMOS[[#This Row],[Etapa Retiro - Atención]]="","",MARÍTIMOS[[#This Row],[Etapa Retiro - Atención]]),"")</f>
        <v>46222.697916666664</v>
      </c>
      <c r="W101" s="11">
        <f>IFERROR(IF(MARÍTIMOS[[#This Row],[Etapa Retiro - Atención]]="","",MARÍTIMOS[[#This Row],[Etapa Retiro - Atención]]),"")</f>
        <v>46222.697916666664</v>
      </c>
      <c r="X101" s="11">
        <f>IFERROR(IF(MARÍTIMOS[[#This Row],[Etapa Retiro - Inicio de Ruta]]="","",MARÍTIMOS[[#This Row],[Etapa Retiro - Inicio de Ruta]]),"")</f>
        <v>46222.854166666664</v>
      </c>
      <c r="Y101" s="11">
        <f>IFERROR(IF(MARÍTIMOS[[#This Row],[Hora de Posicionamiento]]="","",MARÍTIMOS[[#This Row],[Fecha de Carga]]+MARÍTIMOS[[#This Row],[Hora de Posicionamiento]]),"")</f>
        <v>46222.5</v>
      </c>
      <c r="Z101" s="11" t="str">
        <f>IFERROR(IF(MARÍTIMOS[[#This Row],[Etapa Despacho - Llegada]]="","",MARÍTIMOS[[#This Row],[Etapa Despacho - Llegada]]),"")</f>
        <v/>
      </c>
      <c r="AA101" s="11" t="str">
        <f>IFERROR(IF(MARÍTIMOS[[#This Row],[Etapa Despacho - Registro]]="","",MARÍTIMOS[[#This Row],[Etapa Despacho - Registro]]),"")</f>
        <v/>
      </c>
      <c r="AB101" s="11">
        <f>IFERROR(IF(MARÍTIMOS[[#This Row],[Inspección Externa]]="","",MARÍTIMOS[[#This Row],[Inspección Externa]]),"")</f>
        <v>46223.51666666667</v>
      </c>
      <c r="AC101" s="11" t="str">
        <f>IFERROR(IF(MARÍTIMOS[[#This Row],[Etapa Despacho - Inicio de Carga]]="","",MARÍTIMOS[[#This Row],[Etapa Despacho - Inicio de Carga]]),"")</f>
        <v/>
      </c>
      <c r="AD101" s="11" t="str">
        <f>IFERROR(IF(MARÍTIMOS[[#This Row],[Etapa Despacho - Mitad de Carga]]="","",MARÍTIMOS[[#This Row],[Etapa Despacho - Mitad de Carga]]),"")</f>
        <v/>
      </c>
      <c r="AE101" s="11" t="str">
        <f>IFERROR(IF(MARÍTIMOS[[#This Row],[Etapa Despacho - Fin de Carga]]="","",MARÍTIMOS[[#This Row],[Etapa Despacho - Fin de Carga]]),"")</f>
        <v/>
      </c>
      <c r="AF101" s="2" t="str">
        <f>IFERROR(IF(MARÍTIMOS[[#This Row],[Puerto de Embarque]]="","",MARÍTIMOS[[#This Row],[Puerto de Embarque]]),"")</f>
        <v>Paita</v>
      </c>
      <c r="AG101" s="2" t="str">
        <f>IFERROR(IF(MARÍTIMOS[[#This Row],[Almacén de Ingreso]]="","",MARÍTIMOS[[#This Row],[Almacén de Ingreso]]),"")</f>
        <v>TPE</v>
      </c>
      <c r="AH101" s="11">
        <f>IFERROR(IF(MARÍTIMOS[[#This Row],[Etapa Ingreso - Cita]]="","",MARÍTIMOS[[#This Row],[Etapa Ingreso - Cita]]),"")</f>
        <v>46224.458333333336</v>
      </c>
      <c r="AI101" s="11">
        <f>IFERROR(IF(MARÍTIMOS[[#This Row],[Etapa Ingreso - Llegada]]="","",MARÍTIMOS[[#This Row],[Etapa Ingreso - Llegada]]),"")</f>
        <v>46224.422222222223</v>
      </c>
      <c r="AJ101" s="11">
        <f>IFERROR(IF(MARÍTIMOS[[#This Row],[Etapa Ingreso - Ingeso]]="","",MARÍTIMOS[[#This Row],[Etapa Ingreso - Ingeso]]),"")</f>
        <v>46224.425694444442</v>
      </c>
      <c r="AK101" s="11">
        <f>IFERROR(IF(MARÍTIMOS[[#This Row],[Etapa Ingreso - Atención]]="","",MARÍTIMOS[[#This Row],[Etapa Ingreso - Atención]]),"")</f>
        <v>46224.427083333336</v>
      </c>
      <c r="AL101" s="11">
        <f>IFERROR(IF(MARÍTIMOS[[#This Row],[Etapa Ingreso - Salida]]="","",MARÍTIMOS[[#This Row],[Etapa Ingreso - Salida]]),"")</f>
        <v>46224.433333333334</v>
      </c>
      <c r="AM101" s="2">
        <f>IFERROR(IF(MARÍTIMOS[[#This Row],[FCL]]="","",MARÍTIMOS[[#This Row],[FCL]]),"")</f>
        <v>1</v>
      </c>
      <c r="AN1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01" s="4" t="str" cm="1">
        <f t="array" ref="AO1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1" s="5" t="str">
        <f>IFERROR(OLDBD[[#This Row],[Llegada a packing]]-OLDBD[[#This Row],[Inicio de Ruta]],"")</f>
        <v/>
      </c>
      <c r="AQ101" s="6">
        <f>IFERROR(OLDBD[[#This Row],[Inicio de Ruta]]-OLDBD[[#This Row],[Salida de almacén de retiro]],"")</f>
        <v>0.15625</v>
      </c>
      <c r="AR1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" s="8" t="str" cm="1">
        <f t="array" ref="AS1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" s="9" t="str">
        <f>IFERROR(OLDBD[[#This Row],[Ingreso Packing]]-OLDBD[[#This Row],[Registro en Packing]],"")</f>
        <v/>
      </c>
      <c r="AV101" s="9" t="str">
        <f>IFERROR(OLDBD[[#This Row],[Ingreso Packing]]-OLDBD[[#This Row],[Llegada a packing]],"")</f>
        <v/>
      </c>
      <c r="AW1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" s="5" t="str">
        <f>IFERROR(OLDBD[[#This Row],[Llegada Almacén de Ingreso]]-OLDBD[[#This Row],[Salida Packing]],"")</f>
        <v/>
      </c>
      <c r="AY101" s="4" t="str" cm="1">
        <f t="array" ref="AY1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01" s="43" t="s">
        <v>173</v>
      </c>
      <c r="BB101" s="47" t="str">
        <f>IFERROR(IF(MARÍTIMOS[[#This Row],[Estatus]]="","",MARÍTIMOS[[#This Row],[Estatus]]),"")</f>
        <v>Confirmado</v>
      </c>
      <c r="BC101" s="43"/>
      <c r="BD101" s="46">
        <f>IFERROR(OLDBD[[#This Row],[Salida de almacén de retiro]]-OLDBD[[#This Row],[Ingreso Almacén de retiro]],"")</f>
        <v>2.7777777722803876E-3</v>
      </c>
      <c r="BE101" s="46" t="str">
        <f>IFERROR(OLDBD[[#This Row],[Fin de Carga]]-OLDBD[[#This Row],[Inicio de Carga]],"")</f>
        <v/>
      </c>
    </row>
    <row r="102" spans="1:57" customFormat="1" hidden="1">
      <c r="A102" s="1"/>
      <c r="B102" s="1">
        <f>IFERROR(IF(MARÍTIMOS[[#This Row],[PP]]="","",MARÍTIMOS[[#This Row],[PP]]),"")</f>
        <v>30</v>
      </c>
      <c r="C102" s="1" t="str">
        <f>IFERROR(IF(MARÍTIMOS[[#This Row],[Sede]]="","",MARÍTIMOS[[#This Row],[Sede]]),"")</f>
        <v>Chao</v>
      </c>
      <c r="D102" s="1" t="str">
        <f>IFERROR(IF(MARÍTIMOS[[#This Row],[Instruction]]="","",MARÍTIMOS[[#This Row],[Instruction]]),"")</f>
        <v>RH-0259</v>
      </c>
      <c r="E102" s="1"/>
      <c r="F102" s="2" t="str">
        <f>IFERROR(IF(MARÍTIMOS[[#This Row],[Transportista]]="","",MARÍTIMOS[[#This Row],[Transportista]]),"")</f>
        <v>Expert Transport</v>
      </c>
      <c r="G102" s="2" t="str">
        <f>IFERROR(IF(MARÍTIMOS[[#This Row],[Tercero]]="","",MARÍTIMOS[[#This Row],[Tercero]]),"")</f>
        <v>SI</v>
      </c>
      <c r="H102" s="2" t="str">
        <f>IFERROR(IF(MARÍTIMOS[[#This Row],[Razón Social]]="","",MARÍTIMOS[[#This Row],[Razón Social]]),"")</f>
        <v>MONTERRICO SRL</v>
      </c>
      <c r="I102" s="2">
        <f>IFERROR(IF(MARÍTIMOS[[#This Row],[RUC]]="","",MARÍTIMOS[[#This Row],[RUC]]),"")</f>
        <v>20525799027</v>
      </c>
      <c r="J102" s="2" t="str">
        <f>IFERROR(IF(MARÍTIMOS[[#This Row],[Placa Tracto]]="","",MARÍTIMOS[[#This Row],[Placa Tracto]]),"")</f>
        <v>F8H725</v>
      </c>
      <c r="K102" s="2" t="str">
        <f>IFERROR(IF(MARÍTIMOS[[#This Row],[Placa Carreta]]="","",MARÍTIMOS[[#This Row],[Placa Carreta]]),"")</f>
        <v>TJV974</v>
      </c>
      <c r="L102" s="44" t="str">
        <f>IFERROR(IF(MARÍTIMOS[[#This Row],[Conductor]]="","",MARÍTIMOS[[#This Row],[Conductor]]),"")</f>
        <v>WALTER ENRIQUE QUIROGA RAMIREZ</v>
      </c>
      <c r="M102" s="2" t="str">
        <f>IFERROR(IF(MARÍTIMOS[[#This Row],[Licencia]]="","",MARÍTIMOS[[#This Row],[Licencia]]),"")</f>
        <v>B41866333</v>
      </c>
      <c r="N102" s="2">
        <f>IFERROR(IF(MARÍTIMOS[[#This Row],[Número de Contacto]]="","",MARÍTIMOS[[#This Row],[Número de Contacto]]),"")</f>
        <v>921570545</v>
      </c>
      <c r="O102" s="10" t="str">
        <f>IFERROR(IF(MARÍTIMOS[[#This Row],[Booking|AWB|CRT]]="","",MARÍTIMOS[[#This Row],[Booking|AWB|CRT]]),"")</f>
        <v>PER9156768A</v>
      </c>
      <c r="P102" s="2" t="str">
        <f>IFERROR(IF(MARÍTIMOS[[#This Row],[Contenedor]]="","",MARÍTIMOS[[#This Row],[Contenedor]]),"")</f>
        <v>CAAU4075727</v>
      </c>
      <c r="Q102" s="2" t="str">
        <f>IFERROR(IF(MARÍTIMOS[[#This Row],[Puerto de Retiro]]="","",MARÍTIMOS[[#This Row],[Puerto de Retiro]]),"")</f>
        <v>PAITA</v>
      </c>
      <c r="R102" s="2" t="str">
        <f>IFERROR(IF(MARÍTIMOS[[#This Row],[Almacén de Retiro]]="","",MARÍTIMOS[[#This Row],[Almacén de Retiro]]),"")</f>
        <v>DPW</v>
      </c>
      <c r="S102" s="11">
        <f>IFERROR(IF(MARÍTIMOS[[#This Row],[Etapa Retiro - Cita]]="","",MARÍTIMOS[[#This Row],[Etapa Retiro - Cita]]),"")</f>
        <v>46227.625</v>
      </c>
      <c r="T102" s="11">
        <f>IFERROR(IF(MARÍTIMOS[[#This Row],[Etapa Retiro - Llegada]]="","",MARÍTIMOS[[#This Row],[Etapa Retiro - Llegada]]),"")</f>
        <v>46227.508333333331</v>
      </c>
      <c r="U102" s="11">
        <f>IFERROR(IF(MARÍTIMOS[[#This Row],[Etapa Retiro - Ingreso]]="","",MARÍTIMOS[[#This Row],[Etapa Retiro - Ingreso]]),"")</f>
        <v>46227.645138888889</v>
      </c>
      <c r="V102" s="11">
        <f>IFERROR(IF(MARÍTIMOS[[#This Row],[Etapa Retiro - Atención]]="","",MARÍTIMOS[[#This Row],[Etapa Retiro - Atención]]),"")</f>
        <v>46227.654166666667</v>
      </c>
      <c r="W102" s="11">
        <f>IFERROR(IF(MARÍTIMOS[[#This Row],[Etapa Retiro - Atención]]="","",MARÍTIMOS[[#This Row],[Etapa Retiro - Atención]]),"")</f>
        <v>46227.654166666667</v>
      </c>
      <c r="X102" s="11">
        <f>IFERROR(IF(MARÍTIMOS[[#This Row],[Etapa Retiro - Inicio de Ruta]]="","",MARÍTIMOS[[#This Row],[Etapa Retiro - Inicio de Ruta]]),"")</f>
        <v>46227.763888888891</v>
      </c>
      <c r="Y102" s="11">
        <f>IFERROR(IF(MARÍTIMOS[[#This Row],[Hora de Posicionamiento]]="","",MARÍTIMOS[[#This Row],[Fecha de Carga]]+MARÍTIMOS[[#This Row],[Hora de Posicionamiento]]),"")</f>
        <v>46227.5</v>
      </c>
      <c r="Z102" s="11" t="str">
        <f>IFERROR(IF(MARÍTIMOS[[#This Row],[Etapa Despacho - Llegada]]="","",MARÍTIMOS[[#This Row],[Etapa Despacho - Llegada]]),"")</f>
        <v/>
      </c>
      <c r="AA102" s="11" t="str">
        <f>IFERROR(IF(MARÍTIMOS[[#This Row],[Etapa Despacho - Registro]]="","",MARÍTIMOS[[#This Row],[Etapa Despacho - Registro]]),"")</f>
        <v/>
      </c>
      <c r="AB102" s="11">
        <f>IFERROR(IF(MARÍTIMOS[[#This Row],[Inspección Externa]]="","",MARÍTIMOS[[#This Row],[Inspección Externa]]),"")</f>
        <v>46228.5625</v>
      </c>
      <c r="AC102" s="11" t="str">
        <f>IFERROR(IF(MARÍTIMOS[[#This Row],[Etapa Despacho - Inicio de Carga]]="","",MARÍTIMOS[[#This Row],[Etapa Despacho - Inicio de Carga]]),"")</f>
        <v/>
      </c>
      <c r="AD102" s="11" t="str">
        <f>IFERROR(IF(MARÍTIMOS[[#This Row],[Etapa Despacho - Mitad de Carga]]="","",MARÍTIMOS[[#This Row],[Etapa Despacho - Mitad de Carga]]),"")</f>
        <v/>
      </c>
      <c r="AE102" s="11" t="str">
        <f>IFERROR(IF(MARÍTIMOS[[#This Row],[Etapa Despacho - Fin de Carga]]="","",MARÍTIMOS[[#This Row],[Etapa Despacho - Fin de Carga]]),"")</f>
        <v/>
      </c>
      <c r="AF102" s="2" t="str">
        <f>IFERROR(IF(MARÍTIMOS[[#This Row],[Puerto de Embarque]]="","",MARÍTIMOS[[#This Row],[Puerto de Embarque]]),"")</f>
        <v>Paita</v>
      </c>
      <c r="AG102" s="2" t="str">
        <f>IFERROR(IF(MARÍTIMOS[[#This Row],[Almacén de Ingreso]]="","",MARÍTIMOS[[#This Row],[Almacén de Ingreso]]),"")</f>
        <v>TPE</v>
      </c>
      <c r="AH102" s="11">
        <f>IFERROR(IF(MARÍTIMOS[[#This Row],[Etapa Ingreso - Cita]]="","",MARÍTIMOS[[#This Row],[Etapa Ingreso - Cita]]),"")</f>
        <v>46229.5</v>
      </c>
      <c r="AI102" s="11">
        <f>IFERROR(IF(MARÍTIMOS[[#This Row],[Etapa Ingreso - Llegada]]="","",MARÍTIMOS[[#This Row],[Etapa Ingreso - Llegada]]),"")</f>
        <v>46229.444444444445</v>
      </c>
      <c r="AJ102" s="11">
        <f>IFERROR(IF(MARÍTIMOS[[#This Row],[Etapa Ingreso - Ingeso]]="","",MARÍTIMOS[[#This Row],[Etapa Ingreso - Ingeso]]),"")</f>
        <v>46229.445833333331</v>
      </c>
      <c r="AK102" s="11">
        <f>IFERROR(IF(MARÍTIMOS[[#This Row],[Etapa Ingreso - Atención]]="","",MARÍTIMOS[[#This Row],[Etapa Ingreso - Atención]]),"")</f>
        <v>46229.447916666664</v>
      </c>
      <c r="AL102" s="11">
        <f>IFERROR(IF(MARÍTIMOS[[#This Row],[Etapa Ingreso - Salida]]="","",MARÍTIMOS[[#This Row],[Etapa Ingreso - Salida]]),"")</f>
        <v>46229.451388888891</v>
      </c>
      <c r="AM102" s="2">
        <f>IFERROR(IF(MARÍTIMOS[[#This Row],[FCL]]="","",MARÍTIMOS[[#This Row],[FCL]]),"")</f>
        <v>1</v>
      </c>
      <c r="AN1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02" s="4" t="str" cm="1">
        <f t="array" ref="AO1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2" s="5" t="str">
        <f>IFERROR(OLDBD[[#This Row],[Llegada a packing]]-OLDBD[[#This Row],[Inicio de Ruta]],"")</f>
        <v/>
      </c>
      <c r="AQ102" s="6">
        <f>IFERROR(OLDBD[[#This Row],[Inicio de Ruta]]-OLDBD[[#This Row],[Salida de almacén de retiro]],"")</f>
        <v>0.10972222222335404</v>
      </c>
      <c r="AR1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" s="8" t="str" cm="1">
        <f t="array" ref="AS1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" s="9" t="str">
        <f>IFERROR(OLDBD[[#This Row],[Ingreso Packing]]-OLDBD[[#This Row],[Registro en Packing]],"")</f>
        <v/>
      </c>
      <c r="AV102" s="9" t="str">
        <f>IFERROR(OLDBD[[#This Row],[Ingreso Packing]]-OLDBD[[#This Row],[Llegada a packing]],"")</f>
        <v/>
      </c>
      <c r="AW1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" s="5" t="str">
        <f>IFERROR(OLDBD[[#This Row],[Llegada Almacén de Ingreso]]-OLDBD[[#This Row],[Salida Packing]],"")</f>
        <v/>
      </c>
      <c r="AY102" s="4" t="str" cm="1">
        <f t="array" ref="AY1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02" s="43" t="s">
        <v>173</v>
      </c>
      <c r="BB102" s="47" t="str">
        <f>IFERROR(IF(MARÍTIMOS[[#This Row],[Estatus]]="","",MARÍTIMOS[[#This Row],[Estatus]]),"")</f>
        <v>Confirmado</v>
      </c>
      <c r="BC102" s="43"/>
      <c r="BD102" s="46">
        <f>IFERROR(OLDBD[[#This Row],[Salida de almacén de retiro]]-OLDBD[[#This Row],[Ingreso Almacén de retiro]],"")</f>
        <v>9.0277777781011537E-3</v>
      </c>
      <c r="BE102" s="46" t="str">
        <f>IFERROR(OLDBD[[#This Row],[Fin de Carga]]-OLDBD[[#This Row],[Inicio de Carga]],"")</f>
        <v/>
      </c>
    </row>
    <row r="103" spans="1:57" customFormat="1" hidden="1">
      <c r="A103" s="1"/>
      <c r="B103" s="1">
        <f>IFERROR(IF(MARÍTIMOS[[#This Row],[PP]]="","",MARÍTIMOS[[#This Row],[PP]]),"")</f>
        <v>30</v>
      </c>
      <c r="C103" s="1" t="str">
        <f>IFERROR(IF(MARÍTIMOS[[#This Row],[Sede]]="","",MARÍTIMOS[[#This Row],[Sede]]),"")</f>
        <v>Chao</v>
      </c>
      <c r="D103" s="1" t="str">
        <f>IFERROR(IF(MARÍTIMOS[[#This Row],[Instruction]]="","",MARÍTIMOS[[#This Row],[Instruction]]),"")</f>
        <v>RH-0268</v>
      </c>
      <c r="E103" s="1"/>
      <c r="F103" s="2" t="str">
        <f>IFERROR(IF(MARÍTIMOS[[#This Row],[Transportista]]="","",MARÍTIMOS[[#This Row],[Transportista]]),"")</f>
        <v>Expert Transport</v>
      </c>
      <c r="G103" s="2" t="str">
        <f>IFERROR(IF(MARÍTIMOS[[#This Row],[Tercero]]="","",MARÍTIMOS[[#This Row],[Tercero]]),"")</f>
        <v>NO</v>
      </c>
      <c r="H103" s="2" t="str">
        <f>IFERROR(IF(MARÍTIMOS[[#This Row],[Razón Social]]="","",MARÍTIMOS[[#This Row],[Razón Social]]),"")</f>
        <v xml:space="preserve">EXPERT TRANSPORT SAC </v>
      </c>
      <c r="I103" s="2">
        <f>IFERROR(IF(MARÍTIMOS[[#This Row],[RUC]]="","",MARÍTIMOS[[#This Row],[RUC]]),"")</f>
        <v>20544424751</v>
      </c>
      <c r="J103" s="2" t="str">
        <f>IFERROR(IF(MARÍTIMOS[[#This Row],[Placa Tracto]]="","",MARÍTIMOS[[#This Row],[Placa Tracto]]),"")</f>
        <v>D1A797</v>
      </c>
      <c r="K103" s="2" t="str">
        <f>IFERROR(IF(MARÍTIMOS[[#This Row],[Placa Carreta]]="","",MARÍTIMOS[[#This Row],[Placa Carreta]]),"")</f>
        <v>TNQ977</v>
      </c>
      <c r="L103" s="44" t="str">
        <f>IFERROR(IF(MARÍTIMOS[[#This Row],[Conductor]]="","",MARÍTIMOS[[#This Row],[Conductor]]),"")</f>
        <v>FREDERIS JOSE PAVON RUIZ</v>
      </c>
      <c r="M103" s="2" t="str">
        <f>IFERROR(IF(MARÍTIMOS[[#This Row],[Licencia]]="","",MARÍTIMOS[[#This Row],[Licencia]]),"")</f>
        <v>Q005175672</v>
      </c>
      <c r="N103" s="2">
        <f>IFERROR(IF(MARÍTIMOS[[#This Row],[Número de Contacto]]="","",MARÍTIMOS[[#This Row],[Número de Contacto]]),"")</f>
        <v>904556157</v>
      </c>
      <c r="O103" s="10" t="str">
        <f>IFERROR(IF(MARÍTIMOS[[#This Row],[Booking|AWB|CRT]]="","",MARÍTIMOS[[#This Row],[Booking|AWB|CRT]]),"")</f>
        <v>PER9157543A</v>
      </c>
      <c r="P103" s="2" t="str">
        <f>IFERROR(IF(MARÍTIMOS[[#This Row],[Contenedor]]="","",MARÍTIMOS[[#This Row],[Contenedor]]),"")</f>
        <v>TXGU9028516</v>
      </c>
      <c r="Q103" s="2" t="str">
        <f>IFERROR(IF(MARÍTIMOS[[#This Row],[Puerto de Retiro]]="","",MARÍTIMOS[[#This Row],[Puerto de Retiro]]),"")</f>
        <v>PAITA</v>
      </c>
      <c r="R103" s="2" t="str">
        <f>IFERROR(IF(MARÍTIMOS[[#This Row],[Almacén de Retiro]]="","",MARÍTIMOS[[#This Row],[Almacén de Retiro]]),"")</f>
        <v>DPW</v>
      </c>
      <c r="S103" s="11">
        <f>IFERROR(IF(MARÍTIMOS[[#This Row],[Etapa Retiro - Cita]]="","",MARÍTIMOS[[#This Row],[Etapa Retiro - Cita]]),"")</f>
        <v>46227.5</v>
      </c>
      <c r="T103" s="11">
        <f>IFERROR(IF(MARÍTIMOS[[#This Row],[Etapa Retiro - Llegada]]="","",MARÍTIMOS[[#This Row],[Etapa Retiro - Llegada]]),"")</f>
        <v>46227.62777777778</v>
      </c>
      <c r="U103" s="11">
        <f>IFERROR(IF(MARÍTIMOS[[#This Row],[Etapa Retiro - Ingreso]]="","",MARÍTIMOS[[#This Row],[Etapa Retiro - Ingreso]]),"")</f>
        <v>46227.647222222222</v>
      </c>
      <c r="V103" s="11">
        <f>IFERROR(IF(MARÍTIMOS[[#This Row],[Etapa Retiro - Atención]]="","",MARÍTIMOS[[#This Row],[Etapa Retiro - Atención]]),"")</f>
        <v>46227.652777777781</v>
      </c>
      <c r="W103" s="11">
        <f>IFERROR(IF(MARÍTIMOS[[#This Row],[Etapa Retiro - Atención]]="","",MARÍTIMOS[[#This Row],[Etapa Retiro - Atención]]),"")</f>
        <v>46227.652777777781</v>
      </c>
      <c r="X103" s="11">
        <f>IFERROR(IF(MARÍTIMOS[[#This Row],[Etapa Retiro - Inicio de Ruta]]="","",MARÍTIMOS[[#This Row],[Etapa Retiro - Inicio de Ruta]]),"")</f>
        <v>46227.724305555559</v>
      </c>
      <c r="Y103" s="11">
        <f>IFERROR(IF(MARÍTIMOS[[#This Row],[Hora de Posicionamiento]]="","",MARÍTIMOS[[#This Row],[Fecha de Carga]]+MARÍTIMOS[[#This Row],[Hora de Posicionamiento]]),"")</f>
        <v>46227.333333333336</v>
      </c>
      <c r="Z103" s="11" t="str">
        <f>IFERROR(IF(MARÍTIMOS[[#This Row],[Etapa Despacho - Llegada]]="","",MARÍTIMOS[[#This Row],[Etapa Despacho - Llegada]]),"")</f>
        <v/>
      </c>
      <c r="AA103" s="11" t="str">
        <f>IFERROR(IF(MARÍTIMOS[[#This Row],[Etapa Despacho - Registro]]="","",MARÍTIMOS[[#This Row],[Etapa Despacho - Registro]]),"")</f>
        <v/>
      </c>
      <c r="AB103" s="11">
        <f>IFERROR(IF(MARÍTIMOS[[#This Row],[Inspección Externa]]="","",MARÍTIMOS[[#This Row],[Inspección Externa]]),"")</f>
        <v>46228.423611111109</v>
      </c>
      <c r="AC103" s="11" t="str">
        <f>IFERROR(IF(MARÍTIMOS[[#This Row],[Etapa Despacho - Inicio de Carga]]="","",MARÍTIMOS[[#This Row],[Etapa Despacho - Inicio de Carga]]),"")</f>
        <v/>
      </c>
      <c r="AD103" s="11" t="str">
        <f>IFERROR(IF(MARÍTIMOS[[#This Row],[Etapa Despacho - Mitad de Carga]]="","",MARÍTIMOS[[#This Row],[Etapa Despacho - Mitad de Carga]]),"")</f>
        <v/>
      </c>
      <c r="AE103" s="11" t="str">
        <f>IFERROR(IF(MARÍTIMOS[[#This Row],[Etapa Despacho - Fin de Carga]]="","",MARÍTIMOS[[#This Row],[Etapa Despacho - Fin de Carga]]),"")</f>
        <v/>
      </c>
      <c r="AF103" s="2" t="str">
        <f>IFERROR(IF(MARÍTIMOS[[#This Row],[Puerto de Embarque]]="","",MARÍTIMOS[[#This Row],[Puerto de Embarque]]),"")</f>
        <v>Paita</v>
      </c>
      <c r="AG103" s="2" t="str">
        <f>IFERROR(IF(MARÍTIMOS[[#This Row],[Almacén de Ingreso]]="","",MARÍTIMOS[[#This Row],[Almacén de Ingreso]]),"")</f>
        <v>TPE</v>
      </c>
      <c r="AH103" s="11">
        <f>IFERROR(IF(MARÍTIMOS[[#This Row],[Etapa Ingreso - Cita]]="","",MARÍTIMOS[[#This Row],[Etapa Ingreso - Cita]]),"")</f>
        <v>46229.5</v>
      </c>
      <c r="AI103" s="11">
        <f>IFERROR(IF(MARÍTIMOS[[#This Row],[Etapa Ingreso - Llegada]]="","",MARÍTIMOS[[#This Row],[Etapa Ingreso - Llegada]]),"")</f>
        <v>46229.505555555559</v>
      </c>
      <c r="AJ103" s="11">
        <f>IFERROR(IF(MARÍTIMOS[[#This Row],[Etapa Ingreso - Ingeso]]="","",MARÍTIMOS[[#This Row],[Etapa Ingreso - Ingeso]]),"")</f>
        <v>46229.506944444445</v>
      </c>
      <c r="AK103" s="11">
        <f>IFERROR(IF(MARÍTIMOS[[#This Row],[Etapa Ingreso - Atención]]="","",MARÍTIMOS[[#This Row],[Etapa Ingreso - Atención]]),"")</f>
        <v>46229.510416666664</v>
      </c>
      <c r="AL103" s="11">
        <f>IFERROR(IF(MARÍTIMOS[[#This Row],[Etapa Ingreso - Salida]]="","",MARÍTIMOS[[#This Row],[Etapa Ingreso - Salida]]),"")</f>
        <v>46229.513888888891</v>
      </c>
      <c r="AM103" s="2">
        <f>IFERROR(IF(MARÍTIMOS[[#This Row],[FCL]]="","",MARÍTIMOS[[#This Row],[FCL]]),"")</f>
        <v>1</v>
      </c>
      <c r="AN1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03" s="4" t="str" cm="1">
        <f t="array" ref="AO1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3" s="5" t="str">
        <f>IFERROR(OLDBD[[#This Row],[Llegada a packing]]-OLDBD[[#This Row],[Inicio de Ruta]],"")</f>
        <v/>
      </c>
      <c r="AQ103" s="6">
        <f>IFERROR(OLDBD[[#This Row],[Inicio de Ruta]]-OLDBD[[#This Row],[Salida de almacén de retiro]],"")</f>
        <v>7.1527777778101154E-2</v>
      </c>
      <c r="AR1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" s="8" t="str" cm="1">
        <f t="array" ref="AS1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" s="9" t="str">
        <f>IFERROR(OLDBD[[#This Row],[Ingreso Packing]]-OLDBD[[#This Row],[Registro en Packing]],"")</f>
        <v/>
      </c>
      <c r="AV103" s="9" t="str">
        <f>IFERROR(OLDBD[[#This Row],[Ingreso Packing]]-OLDBD[[#This Row],[Llegada a packing]],"")</f>
        <v/>
      </c>
      <c r="AW1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" s="5" t="str">
        <f>IFERROR(OLDBD[[#This Row],[Llegada Almacén de Ingreso]]-OLDBD[[#This Row],[Salida Packing]],"")</f>
        <v/>
      </c>
      <c r="AY103" s="4" t="str" cm="1">
        <f t="array" ref="AY1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03" s="43" t="s">
        <v>173</v>
      </c>
      <c r="BB103" s="47" t="str">
        <f>IFERROR(IF(MARÍTIMOS[[#This Row],[Estatus]]="","",MARÍTIMOS[[#This Row],[Estatus]]),"")</f>
        <v>Confirmado</v>
      </c>
      <c r="BC103" s="43"/>
      <c r="BD103" s="46">
        <f>IFERROR(OLDBD[[#This Row],[Salida de almacén de retiro]]-OLDBD[[#This Row],[Ingreso Almacén de retiro]],"")</f>
        <v>5.5555555591126904E-3</v>
      </c>
      <c r="BE103" s="46" t="str">
        <f>IFERROR(OLDBD[[#This Row],[Fin de Carga]]-OLDBD[[#This Row],[Inicio de Carga]],"")</f>
        <v/>
      </c>
    </row>
    <row r="104" spans="1:57" customFormat="1" hidden="1">
      <c r="A104" s="1"/>
      <c r="B104" s="1">
        <f>IFERROR(IF(MARÍTIMOS[[#This Row],[PP]]="","",MARÍTIMOS[[#This Row],[PP]]),"")</f>
        <v>30</v>
      </c>
      <c r="C104" s="1" t="str">
        <f>IFERROR(IF(MARÍTIMOS[[#This Row],[Sede]]="","",MARÍTIMOS[[#This Row],[Sede]]),"")</f>
        <v>Chao</v>
      </c>
      <c r="D104" s="1" t="str">
        <f>IFERROR(IF(MARÍTIMOS[[#This Row],[Instruction]]="","",MARÍTIMOS[[#This Row],[Instruction]]),"")</f>
        <v>RH-0270</v>
      </c>
      <c r="E104" s="1"/>
      <c r="F104" s="2" t="str">
        <f>IFERROR(IF(MARÍTIMOS[[#This Row],[Transportista]]="","",MARÍTIMOS[[#This Row],[Transportista]]),"")</f>
        <v>Expert Transport</v>
      </c>
      <c r="G104" s="2" t="str">
        <f>IFERROR(IF(MARÍTIMOS[[#This Row],[Tercero]]="","",MARÍTIMOS[[#This Row],[Tercero]]),"")</f>
        <v>NO</v>
      </c>
      <c r="H104" s="2" t="str">
        <f>IFERROR(IF(MARÍTIMOS[[#This Row],[Razón Social]]="","",MARÍTIMOS[[#This Row],[Razón Social]]),"")</f>
        <v xml:space="preserve">EXPERT TRANSPORT SAC </v>
      </c>
      <c r="I104" s="2">
        <f>IFERROR(IF(MARÍTIMOS[[#This Row],[RUC]]="","",MARÍTIMOS[[#This Row],[RUC]]),"")</f>
        <v>20544424751</v>
      </c>
      <c r="J104" s="2" t="str">
        <f>IFERROR(IF(MARÍTIMOS[[#This Row],[Placa Tracto]]="","",MARÍTIMOS[[#This Row],[Placa Tracto]]),"")</f>
        <v>V1B809</v>
      </c>
      <c r="K104" s="2" t="str">
        <f>IFERROR(IF(MARÍTIMOS[[#This Row],[Placa Carreta]]="","",MARÍTIMOS[[#This Row],[Placa Carreta]]),"")</f>
        <v>TKC975</v>
      </c>
      <c r="L104" s="44" t="str">
        <f>IFERROR(IF(MARÍTIMOS[[#This Row],[Conductor]]="","",MARÍTIMOS[[#This Row],[Conductor]]),"")</f>
        <v>GUILLERMO YOSNEY GONZALEZ RUIZ</v>
      </c>
      <c r="M104" s="2" t="str">
        <f>IFERROR(IF(MARÍTIMOS[[#This Row],[Licencia]]="","",MARÍTIMOS[[#This Row],[Licencia]]),"")</f>
        <v>Q005581456</v>
      </c>
      <c r="N104" s="2">
        <f>IFERROR(IF(MARÍTIMOS[[#This Row],[Número de Contacto]]="","",MARÍTIMOS[[#This Row],[Número de Contacto]]),"")</f>
        <v>914472332</v>
      </c>
      <c r="O104" s="10" t="str">
        <f>IFERROR(IF(MARÍTIMOS[[#This Row],[Booking|AWB|CRT]]="","",MARÍTIMOS[[#This Row],[Booking|AWB|CRT]]),"")</f>
        <v>PER9156800A</v>
      </c>
      <c r="P104" s="2" t="str">
        <f>IFERROR(IF(MARÍTIMOS[[#This Row],[Contenedor]]="","",MARÍTIMOS[[#This Row],[Contenedor]]),"")</f>
        <v>BEAU9705128</v>
      </c>
      <c r="Q104" s="2" t="str">
        <f>IFERROR(IF(MARÍTIMOS[[#This Row],[Puerto de Retiro]]="","",MARÍTIMOS[[#This Row],[Puerto de Retiro]]),"")</f>
        <v>PAITA</v>
      </c>
      <c r="R104" s="2" t="str">
        <f>IFERROR(IF(MARÍTIMOS[[#This Row],[Almacén de Retiro]]="","",MARÍTIMOS[[#This Row],[Almacén de Retiro]]),"")</f>
        <v>DPW</v>
      </c>
      <c r="S104" s="11">
        <f>IFERROR(IF(MARÍTIMOS[[#This Row],[Etapa Retiro - Cita]]="","",MARÍTIMOS[[#This Row],[Etapa Retiro - Cita]]),"")</f>
        <v>46228.5</v>
      </c>
      <c r="T104" s="11">
        <f>IFERROR(IF(MARÍTIMOS[[#This Row],[Etapa Retiro - Llegada]]="","",MARÍTIMOS[[#This Row],[Etapa Retiro - Llegada]]),"")</f>
        <v>46228.479166666664</v>
      </c>
      <c r="U104" s="11">
        <f>IFERROR(IF(MARÍTIMOS[[#This Row],[Etapa Retiro - Ingreso]]="","",MARÍTIMOS[[#This Row],[Etapa Retiro - Ingreso]]),"")</f>
        <v>46228.494444444441</v>
      </c>
      <c r="V104" s="11">
        <f>IFERROR(IF(MARÍTIMOS[[#This Row],[Etapa Retiro - Atención]]="","",MARÍTIMOS[[#This Row],[Etapa Retiro - Atención]]),"")</f>
        <v>46228.49722222222</v>
      </c>
      <c r="W104" s="11">
        <f>IFERROR(IF(MARÍTIMOS[[#This Row],[Etapa Retiro - Atención]]="","",MARÍTIMOS[[#This Row],[Etapa Retiro - Atención]]),"")</f>
        <v>46228.49722222222</v>
      </c>
      <c r="X104" s="11">
        <f>IFERROR(IF(MARÍTIMOS[[#This Row],[Etapa Retiro - Inicio de Ruta]]="","",MARÍTIMOS[[#This Row],[Etapa Retiro - Inicio de Ruta]]),"")</f>
        <v>46229.670138888891</v>
      </c>
      <c r="Y104" s="11">
        <f>IFERROR(IF(MARÍTIMOS[[#This Row],[Hora de Posicionamiento]]="","",MARÍTIMOS[[#This Row],[Fecha de Carga]]+MARÍTIMOS[[#This Row],[Hora de Posicionamiento]]),"")</f>
        <v>46228.666666666664</v>
      </c>
      <c r="Z104" s="11" t="str">
        <f>IFERROR(IF(MARÍTIMOS[[#This Row],[Etapa Despacho - Llegada]]="","",MARÍTIMOS[[#This Row],[Etapa Despacho - Llegada]]),"")</f>
        <v/>
      </c>
      <c r="AA104" s="11" t="str">
        <f>IFERROR(IF(MARÍTIMOS[[#This Row],[Etapa Despacho - Registro]]="","",MARÍTIMOS[[#This Row],[Etapa Despacho - Registro]]),"")</f>
        <v/>
      </c>
      <c r="AB104" s="11">
        <f>IFERROR(IF(MARÍTIMOS[[#This Row],[Inspección Externa]]="","",MARÍTIMOS[[#This Row],[Inspección Externa]]),"")</f>
        <v>46230.291666666664</v>
      </c>
      <c r="AC104" s="11" t="str">
        <f>IFERROR(IF(MARÍTIMOS[[#This Row],[Etapa Despacho - Inicio de Carga]]="","",MARÍTIMOS[[#This Row],[Etapa Despacho - Inicio de Carga]]),"")</f>
        <v/>
      </c>
      <c r="AD104" s="11" t="str">
        <f>IFERROR(IF(MARÍTIMOS[[#This Row],[Etapa Despacho - Mitad de Carga]]="","",MARÍTIMOS[[#This Row],[Etapa Despacho - Mitad de Carga]]),"")</f>
        <v/>
      </c>
      <c r="AE104" s="11" t="str">
        <f>IFERROR(IF(MARÍTIMOS[[#This Row],[Etapa Despacho - Fin de Carga]]="","",MARÍTIMOS[[#This Row],[Etapa Despacho - Fin de Carga]]),"")</f>
        <v/>
      </c>
      <c r="AF104" s="2" t="str">
        <f>IFERROR(IF(MARÍTIMOS[[#This Row],[Puerto de Embarque]]="","",MARÍTIMOS[[#This Row],[Puerto de Embarque]]),"")</f>
        <v>Paita</v>
      </c>
      <c r="AG104" s="2" t="str">
        <f>IFERROR(IF(MARÍTIMOS[[#This Row],[Almacén de Ingreso]]="","",MARÍTIMOS[[#This Row],[Almacén de Ingreso]]),"")</f>
        <v>TPE</v>
      </c>
      <c r="AH104" s="11">
        <f>IFERROR(IF(MARÍTIMOS[[#This Row],[Etapa Ingreso - Cita]]="","",MARÍTIMOS[[#This Row],[Etapa Ingreso - Cita]]),"")</f>
        <v>46231.583333333336</v>
      </c>
      <c r="AI104" s="11">
        <f>IFERROR(IF(MARÍTIMOS[[#This Row],[Etapa Ingreso - Llegada]]="","",MARÍTIMOS[[#This Row],[Etapa Ingreso - Llegada]]),"")</f>
        <v>46231.564583333333</v>
      </c>
      <c r="AJ104" s="11">
        <f>IFERROR(IF(MARÍTIMOS[[#This Row],[Etapa Ingreso - Ingeso]]="","",MARÍTIMOS[[#This Row],[Etapa Ingreso - Ingeso]]),"")</f>
        <v>46231.565972222219</v>
      </c>
      <c r="AK104" s="11">
        <f>IFERROR(IF(MARÍTIMOS[[#This Row],[Etapa Ingreso - Atención]]="","",MARÍTIMOS[[#This Row],[Etapa Ingreso - Atención]]),"")</f>
        <v>46231.569444444445</v>
      </c>
      <c r="AL104" s="11">
        <f>IFERROR(IF(MARÍTIMOS[[#This Row],[Etapa Ingreso - Salida]]="","",MARÍTIMOS[[#This Row],[Etapa Ingreso - Salida]]),"")</f>
        <v>46231.570833333331</v>
      </c>
      <c r="AM104" s="2">
        <f>IFERROR(IF(MARÍTIMOS[[#This Row],[FCL]]="","",MARÍTIMOS[[#This Row],[FCL]]),"")</f>
        <v>1</v>
      </c>
      <c r="AN1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04" s="4" t="str" cm="1">
        <f t="array" ref="AO1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4" s="5" t="str">
        <f>IFERROR(OLDBD[[#This Row],[Llegada a packing]]-OLDBD[[#This Row],[Inicio de Ruta]],"")</f>
        <v/>
      </c>
      <c r="AQ104" s="6">
        <f>IFERROR(OLDBD[[#This Row],[Inicio de Ruta]]-OLDBD[[#This Row],[Salida de almacén de retiro]],"")</f>
        <v>1.1729166666700621</v>
      </c>
      <c r="AR1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" s="8" t="str" cm="1">
        <f t="array" ref="AS1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" s="9" t="str">
        <f>IFERROR(OLDBD[[#This Row],[Ingreso Packing]]-OLDBD[[#This Row],[Registro en Packing]],"")</f>
        <v/>
      </c>
      <c r="AV104" s="9" t="str">
        <f>IFERROR(OLDBD[[#This Row],[Ingreso Packing]]-OLDBD[[#This Row],[Llegada a packing]],"")</f>
        <v/>
      </c>
      <c r="AW1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" s="5" t="str">
        <f>IFERROR(OLDBD[[#This Row],[Llegada Almacén de Ingreso]]-OLDBD[[#This Row],[Salida Packing]],"")</f>
        <v/>
      </c>
      <c r="AY104" s="4" t="str" cm="1">
        <f t="array" ref="AY1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04" s="43" t="s">
        <v>173</v>
      </c>
      <c r="BB104" s="47" t="str">
        <f>IFERROR(IF(MARÍTIMOS[[#This Row],[Estatus]]="","",MARÍTIMOS[[#This Row],[Estatus]]),"")</f>
        <v>Confirmado</v>
      </c>
      <c r="BC104" s="43"/>
      <c r="BD104" s="46">
        <f>IFERROR(OLDBD[[#This Row],[Salida de almacén de retiro]]-OLDBD[[#This Row],[Ingreso Almacén de retiro]],"")</f>
        <v>2.7777777795563452E-3</v>
      </c>
      <c r="BE104" s="46" t="str">
        <f>IFERROR(OLDBD[[#This Row],[Fin de Carga]]-OLDBD[[#This Row],[Inicio de Carga]],"")</f>
        <v/>
      </c>
    </row>
    <row r="105" spans="1:57" customFormat="1" hidden="1">
      <c r="A105" s="1"/>
      <c r="B105" s="1">
        <f>IFERROR(IF(MARÍTIMOS[[#This Row],[PP]]="","",MARÍTIMOS[[#This Row],[PP]]),"")</f>
        <v>30</v>
      </c>
      <c r="C105" s="1" t="str">
        <f>IFERROR(IF(MARÍTIMOS[[#This Row],[Sede]]="","",MARÍTIMOS[[#This Row],[Sede]]),"")</f>
        <v>Chao</v>
      </c>
      <c r="D105" s="1" t="str">
        <f>IFERROR(IF(MARÍTIMOS[[#This Row],[Instruction]]="","",MARÍTIMOS[[#This Row],[Instruction]]),"")</f>
        <v>RH-0270</v>
      </c>
      <c r="E105" s="1"/>
      <c r="F105" s="2" t="str">
        <f>IFERROR(IF(MARÍTIMOS[[#This Row],[Transportista]]="","",MARÍTIMOS[[#This Row],[Transportista]]),"")</f>
        <v>Expert Transport</v>
      </c>
      <c r="G105" s="2" t="str">
        <f>IFERROR(IF(MARÍTIMOS[[#This Row],[Tercero]]="","",MARÍTIMOS[[#This Row],[Tercero]]),"")</f>
        <v>NO</v>
      </c>
      <c r="H105" s="2" t="str">
        <f>IFERROR(IF(MARÍTIMOS[[#This Row],[Razón Social]]="","",MARÍTIMOS[[#This Row],[Razón Social]]),"")</f>
        <v xml:space="preserve">EXPERT TRANSPORT SAC </v>
      </c>
      <c r="I105" s="2">
        <f>IFERROR(IF(MARÍTIMOS[[#This Row],[RUC]]="","",MARÍTIMOS[[#This Row],[RUC]]),"")</f>
        <v>20544424751</v>
      </c>
      <c r="J105" s="2" t="str">
        <f>IFERROR(IF(MARÍTIMOS[[#This Row],[Placa Tracto]]="","",MARÍTIMOS[[#This Row],[Placa Tracto]]),"")</f>
        <v>V1B809</v>
      </c>
      <c r="K105" s="2" t="str">
        <f>IFERROR(IF(MARÍTIMOS[[#This Row],[Placa Carreta]]="","",MARÍTIMOS[[#This Row],[Placa Carreta]]),"")</f>
        <v>TKC975</v>
      </c>
      <c r="L105" s="44" t="str">
        <f>IFERROR(IF(MARÍTIMOS[[#This Row],[Conductor]]="","",MARÍTIMOS[[#This Row],[Conductor]]),"")</f>
        <v>GUILLERMO YOSNEY GONZALEZ RUIZ</v>
      </c>
      <c r="M105" s="2" t="str">
        <f>IFERROR(IF(MARÍTIMOS[[#This Row],[Licencia]]="","",MARÍTIMOS[[#This Row],[Licencia]]),"")</f>
        <v>Q005581456</v>
      </c>
      <c r="N105" s="2">
        <f>IFERROR(IF(MARÍTIMOS[[#This Row],[Número de Contacto]]="","",MARÍTIMOS[[#This Row],[Número de Contacto]]),"")</f>
        <v>914472332</v>
      </c>
      <c r="O105" s="10" t="str">
        <f>IFERROR(IF(MARÍTIMOS[[#This Row],[Booking|AWB|CRT]]="","",MARÍTIMOS[[#This Row],[Booking|AWB|CRT]]),"")</f>
        <v>PER9156800A</v>
      </c>
      <c r="P105" s="2" t="str">
        <f>IFERROR(IF(MARÍTIMOS[[#This Row],[Contenedor]]="","",MARÍTIMOS[[#This Row],[Contenedor]]),"")</f>
        <v>BEAU9705128</v>
      </c>
      <c r="Q105" s="2" t="str">
        <f>IFERROR(IF(MARÍTIMOS[[#This Row],[Puerto de Retiro]]="","",MARÍTIMOS[[#This Row],[Puerto de Retiro]]),"")</f>
        <v>PAITA</v>
      </c>
      <c r="R105" s="2" t="str">
        <f>IFERROR(IF(MARÍTIMOS[[#This Row],[Almacén de Retiro]]="","",MARÍTIMOS[[#This Row],[Almacén de Retiro]]),"")</f>
        <v>DPW</v>
      </c>
      <c r="S105" s="11">
        <f>IFERROR(IF(MARÍTIMOS[[#This Row],[Etapa Retiro - Cita]]="","",MARÍTIMOS[[#This Row],[Etapa Retiro - Cita]]),"")</f>
        <v>46228.5</v>
      </c>
      <c r="T105" s="11">
        <f>IFERROR(IF(MARÍTIMOS[[#This Row],[Etapa Retiro - Llegada]]="","",MARÍTIMOS[[#This Row],[Etapa Retiro - Llegada]]),"")</f>
        <v>46228.479166666664</v>
      </c>
      <c r="U105" s="11">
        <f>IFERROR(IF(MARÍTIMOS[[#This Row],[Etapa Retiro - Ingreso]]="","",MARÍTIMOS[[#This Row],[Etapa Retiro - Ingreso]]),"")</f>
        <v>46228.494444444441</v>
      </c>
      <c r="V105" s="11">
        <f>IFERROR(IF(MARÍTIMOS[[#This Row],[Etapa Retiro - Atención]]="","",MARÍTIMOS[[#This Row],[Etapa Retiro - Atención]]),"")</f>
        <v>46228.49722222222</v>
      </c>
      <c r="W105" s="11">
        <f>IFERROR(IF(MARÍTIMOS[[#This Row],[Etapa Retiro - Atención]]="","",MARÍTIMOS[[#This Row],[Etapa Retiro - Atención]]),"")</f>
        <v>46228.49722222222</v>
      </c>
      <c r="X105" s="11">
        <f>IFERROR(IF(MARÍTIMOS[[#This Row],[Etapa Retiro - Inicio de Ruta]]="","",MARÍTIMOS[[#This Row],[Etapa Retiro - Inicio de Ruta]]),"")</f>
        <v>46229.670138888891</v>
      </c>
      <c r="Y105" s="11">
        <f>IFERROR(IF(MARÍTIMOS[[#This Row],[Hora de Posicionamiento]]="","",MARÍTIMOS[[#This Row],[Fecha de Carga]]+MARÍTIMOS[[#This Row],[Hora de Posicionamiento]]),"")</f>
        <v>46228.666666666664</v>
      </c>
      <c r="Z105" s="11" t="str">
        <f>IFERROR(IF(MARÍTIMOS[[#This Row],[Etapa Despacho - Llegada]]="","",MARÍTIMOS[[#This Row],[Etapa Despacho - Llegada]]),"")</f>
        <v/>
      </c>
      <c r="AA105" s="11" t="str">
        <f>IFERROR(IF(MARÍTIMOS[[#This Row],[Etapa Despacho - Registro]]="","",MARÍTIMOS[[#This Row],[Etapa Despacho - Registro]]),"")</f>
        <v/>
      </c>
      <c r="AB105" s="11">
        <f>IFERROR(IF(MARÍTIMOS[[#This Row],[Inspección Externa]]="","",MARÍTIMOS[[#This Row],[Inspección Externa]]),"")</f>
        <v>46230.291666666664</v>
      </c>
      <c r="AC105" s="11" t="str">
        <f>IFERROR(IF(MARÍTIMOS[[#This Row],[Etapa Despacho - Inicio de Carga]]="","",MARÍTIMOS[[#This Row],[Etapa Despacho - Inicio de Carga]]),"")</f>
        <v/>
      </c>
      <c r="AD105" s="11" t="str">
        <f>IFERROR(IF(MARÍTIMOS[[#This Row],[Etapa Despacho - Mitad de Carga]]="","",MARÍTIMOS[[#This Row],[Etapa Despacho - Mitad de Carga]]),"")</f>
        <v/>
      </c>
      <c r="AE105" s="11" t="str">
        <f>IFERROR(IF(MARÍTIMOS[[#This Row],[Etapa Despacho - Fin de Carga]]="","",MARÍTIMOS[[#This Row],[Etapa Despacho - Fin de Carga]]),"")</f>
        <v/>
      </c>
      <c r="AF105" s="2" t="str">
        <f>IFERROR(IF(MARÍTIMOS[[#This Row],[Puerto de Embarque]]="","",MARÍTIMOS[[#This Row],[Puerto de Embarque]]),"")</f>
        <v>Paita</v>
      </c>
      <c r="AG105" s="2" t="str">
        <f>IFERROR(IF(MARÍTIMOS[[#This Row],[Almacén de Ingreso]]="","",MARÍTIMOS[[#This Row],[Almacén de Ingreso]]),"")</f>
        <v>TPE</v>
      </c>
      <c r="AH105" s="11">
        <f>IFERROR(IF(MARÍTIMOS[[#This Row],[Etapa Ingreso - Cita]]="","",MARÍTIMOS[[#This Row],[Etapa Ingreso - Cita]]),"")</f>
        <v>46231.583333333336</v>
      </c>
      <c r="AI105" s="11">
        <f>IFERROR(IF(MARÍTIMOS[[#This Row],[Etapa Ingreso - Llegada]]="","",MARÍTIMOS[[#This Row],[Etapa Ingreso - Llegada]]),"")</f>
        <v>46231.564583333333</v>
      </c>
      <c r="AJ105" s="11">
        <f>IFERROR(IF(MARÍTIMOS[[#This Row],[Etapa Ingreso - Ingeso]]="","",MARÍTIMOS[[#This Row],[Etapa Ingreso - Ingeso]]),"")</f>
        <v>46231.565972222219</v>
      </c>
      <c r="AK105" s="11">
        <f>IFERROR(IF(MARÍTIMOS[[#This Row],[Etapa Ingreso - Atención]]="","",MARÍTIMOS[[#This Row],[Etapa Ingreso - Atención]]),"")</f>
        <v>46231.569444444445</v>
      </c>
      <c r="AL105" s="11">
        <f>IFERROR(IF(MARÍTIMOS[[#This Row],[Etapa Ingreso - Salida]]="","",MARÍTIMOS[[#This Row],[Etapa Ingreso - Salida]]),"")</f>
        <v>46231.570833333331</v>
      </c>
      <c r="AM105" s="2">
        <f>IFERROR(IF(MARÍTIMOS[[#This Row],[FCL]]="","",MARÍTIMOS[[#This Row],[FCL]]),"")</f>
        <v>1</v>
      </c>
      <c r="AN1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05" s="4" t="str" cm="1">
        <f t="array" ref="AO1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5" s="5" t="str">
        <f>IFERROR(OLDBD[[#This Row],[Llegada a packing]]-OLDBD[[#This Row],[Inicio de Ruta]],"")</f>
        <v/>
      </c>
      <c r="AQ105" s="6">
        <f>IFERROR(OLDBD[[#This Row],[Inicio de Ruta]]-OLDBD[[#This Row],[Salida de almacén de retiro]],"")</f>
        <v>1.1729166666700621</v>
      </c>
      <c r="AR1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" s="8" t="str" cm="1">
        <f t="array" ref="AS1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" s="9" t="str">
        <f>IFERROR(OLDBD[[#This Row],[Ingreso Packing]]-OLDBD[[#This Row],[Registro en Packing]],"")</f>
        <v/>
      </c>
      <c r="AV105" s="9" t="str">
        <f>IFERROR(OLDBD[[#This Row],[Ingreso Packing]]-OLDBD[[#This Row],[Llegada a packing]],"")</f>
        <v/>
      </c>
      <c r="AW1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" s="5" t="str">
        <f>IFERROR(OLDBD[[#This Row],[Llegada Almacén de Ingreso]]-OLDBD[[#This Row],[Salida Packing]],"")</f>
        <v/>
      </c>
      <c r="AY105" s="4" t="str" cm="1">
        <f t="array" ref="AY1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05" s="43" t="s">
        <v>173</v>
      </c>
      <c r="BB105" s="47" t="str">
        <f>IFERROR(IF(MARÍTIMOS[[#This Row],[Estatus]]="","",MARÍTIMOS[[#This Row],[Estatus]]),"")</f>
        <v>Confirmado</v>
      </c>
      <c r="BC105" s="43"/>
      <c r="BD105" s="46">
        <f>IFERROR(OLDBD[[#This Row],[Salida de almacén de retiro]]-OLDBD[[#This Row],[Ingreso Almacén de retiro]],"")</f>
        <v>2.7777777795563452E-3</v>
      </c>
      <c r="BE105" s="46" t="str">
        <f>IFERROR(OLDBD[[#This Row],[Fin de Carga]]-OLDBD[[#This Row],[Inicio de Carga]],"")</f>
        <v/>
      </c>
    </row>
    <row r="106" spans="1:57" customFormat="1" hidden="1">
      <c r="A106" s="1"/>
      <c r="B106" s="1">
        <f>IFERROR(IF(MARÍTIMOS[[#This Row],[PP]]="","",MARÍTIMOS[[#This Row],[PP]]),"")</f>
        <v>30</v>
      </c>
      <c r="C106" s="1" t="str">
        <f>IFERROR(IF(MARÍTIMOS[[#This Row],[Sede]]="","",MARÍTIMOS[[#This Row],[Sede]]),"")</f>
        <v>Chao</v>
      </c>
      <c r="D106" s="1" t="str">
        <f>IFERROR(IF(MARÍTIMOS[[#This Row],[Instruction]]="","",MARÍTIMOS[[#This Row],[Instruction]]),"")</f>
        <v>RH-0271</v>
      </c>
      <c r="E106" s="1"/>
      <c r="F106" s="2" t="str">
        <f>IFERROR(IF(MARÍTIMOS[[#This Row],[Transportista]]="","",MARÍTIMOS[[#This Row],[Transportista]]),"")</f>
        <v>Expert Transport</v>
      </c>
      <c r="G106" s="2" t="str">
        <f>IFERROR(IF(MARÍTIMOS[[#This Row],[Tercero]]="","",MARÍTIMOS[[#This Row],[Tercero]]),"")</f>
        <v>NO</v>
      </c>
      <c r="H106" s="2" t="str">
        <f>IFERROR(IF(MARÍTIMOS[[#This Row],[Razón Social]]="","",MARÍTIMOS[[#This Row],[Razón Social]]),"")</f>
        <v xml:space="preserve">EXPERT TRANSPORT SAC </v>
      </c>
      <c r="I106" s="2">
        <f>IFERROR(IF(MARÍTIMOS[[#This Row],[RUC]]="","",MARÍTIMOS[[#This Row],[RUC]]),"")</f>
        <v>20544424751</v>
      </c>
      <c r="J106" s="2" t="str">
        <f>IFERROR(IF(MARÍTIMOS[[#This Row],[Placa Tracto]]="","",MARÍTIMOS[[#This Row],[Placa Tracto]]),"")</f>
        <v>BYR872</v>
      </c>
      <c r="K106" s="2" t="str">
        <f>IFERROR(IF(MARÍTIMOS[[#This Row],[Placa Carreta]]="","",MARÍTIMOS[[#This Row],[Placa Carreta]]),"")</f>
        <v>A3K983</v>
      </c>
      <c r="L106" s="44" t="str">
        <f>IFERROR(IF(MARÍTIMOS[[#This Row],[Conductor]]="","",MARÍTIMOS[[#This Row],[Conductor]]),"")</f>
        <v>HUMBERTO JESÚS SUAREZ ARGUINZONES</v>
      </c>
      <c r="M106" s="2" t="str">
        <f>IFERROR(IF(MARÍTIMOS[[#This Row],[Licencia]]="","",MARÍTIMOS[[#This Row],[Licencia]]),"")</f>
        <v>B007168026</v>
      </c>
      <c r="N106" s="2">
        <f>IFERROR(IF(MARÍTIMOS[[#This Row],[Número de Contacto]]="","",MARÍTIMOS[[#This Row],[Número de Contacto]]),"")</f>
        <v>934270711</v>
      </c>
      <c r="O106" s="10" t="str">
        <f>IFERROR(IF(MARÍTIMOS[[#This Row],[Booking|AWB|CRT]]="","",MARÍTIMOS[[#This Row],[Booking|AWB|CRT]]),"")</f>
        <v>PER9156797A</v>
      </c>
      <c r="P106" s="2" t="str">
        <f>IFERROR(IF(MARÍTIMOS[[#This Row],[Contenedor]]="","",MARÍTIMOS[[#This Row],[Contenedor]]),"")</f>
        <v>SEKU9425268</v>
      </c>
      <c r="Q106" s="2" t="str">
        <f>IFERROR(IF(MARÍTIMOS[[#This Row],[Puerto de Retiro]]="","",MARÍTIMOS[[#This Row],[Puerto de Retiro]]),"")</f>
        <v>PAITA</v>
      </c>
      <c r="R106" s="2" t="str">
        <f>IFERROR(IF(MARÍTIMOS[[#This Row],[Almacén de Retiro]]="","",MARÍTIMOS[[#This Row],[Almacén de Retiro]]),"")</f>
        <v>DPW</v>
      </c>
      <c r="S106" s="11">
        <f>IFERROR(IF(MARÍTIMOS[[#This Row],[Etapa Retiro - Cita]]="","",MARÍTIMOS[[#This Row],[Etapa Retiro - Cita]]),"")</f>
        <v>46228.5</v>
      </c>
      <c r="T106" s="11">
        <f>IFERROR(IF(MARÍTIMOS[[#This Row],[Etapa Retiro - Llegada]]="","",MARÍTIMOS[[#This Row],[Etapa Retiro - Llegada]]),"")</f>
        <v>46228.48333333333</v>
      </c>
      <c r="U106" s="11">
        <f>IFERROR(IF(MARÍTIMOS[[#This Row],[Etapa Retiro - Ingreso]]="","",MARÍTIMOS[[#This Row],[Etapa Retiro - Ingreso]]),"")</f>
        <v>46228.504166666666</v>
      </c>
      <c r="V106" s="11">
        <f>IFERROR(IF(MARÍTIMOS[[#This Row],[Etapa Retiro - Atención]]="","",MARÍTIMOS[[#This Row],[Etapa Retiro - Atención]]),"")</f>
        <v>46228.510416666664</v>
      </c>
      <c r="W106" s="11">
        <f>IFERROR(IF(MARÍTIMOS[[#This Row],[Etapa Retiro - Atención]]="","",MARÍTIMOS[[#This Row],[Etapa Retiro - Atención]]),"")</f>
        <v>46228.510416666664</v>
      </c>
      <c r="X106" s="11">
        <f>IFERROR(IF(MARÍTIMOS[[#This Row],[Etapa Retiro - Inicio de Ruta]]="","",MARÍTIMOS[[#This Row],[Etapa Retiro - Inicio de Ruta]]),"")</f>
        <v>46229.543055555558</v>
      </c>
      <c r="Y106" s="11">
        <f>IFERROR(IF(MARÍTIMOS[[#This Row],[Hora de Posicionamiento]]="","",MARÍTIMOS[[#This Row],[Fecha de Carga]]+MARÍTIMOS[[#This Row],[Hora de Posicionamiento]]),"")</f>
        <v>46228.333333333336</v>
      </c>
      <c r="Z106" s="11" t="str">
        <f>IFERROR(IF(MARÍTIMOS[[#This Row],[Etapa Despacho - Llegada]]="","",MARÍTIMOS[[#This Row],[Etapa Despacho - Llegada]]),"")</f>
        <v/>
      </c>
      <c r="AA106" s="11" t="str">
        <f>IFERROR(IF(MARÍTIMOS[[#This Row],[Etapa Despacho - Registro]]="","",MARÍTIMOS[[#This Row],[Etapa Despacho - Registro]]),"")</f>
        <v/>
      </c>
      <c r="AB106" s="11">
        <f>IFERROR(IF(MARÍTIMOS[[#This Row],[Inspección Externa]]="","",MARÍTIMOS[[#This Row],[Inspección Externa]]),"")</f>
        <v>46230.352083333331</v>
      </c>
      <c r="AC106" s="11" t="str">
        <f>IFERROR(IF(MARÍTIMOS[[#This Row],[Etapa Despacho - Inicio de Carga]]="","",MARÍTIMOS[[#This Row],[Etapa Despacho - Inicio de Carga]]),"")</f>
        <v/>
      </c>
      <c r="AD106" s="11" t="str">
        <f>IFERROR(IF(MARÍTIMOS[[#This Row],[Etapa Despacho - Mitad de Carga]]="","",MARÍTIMOS[[#This Row],[Etapa Despacho - Mitad de Carga]]),"")</f>
        <v/>
      </c>
      <c r="AE106" s="11" t="str">
        <f>IFERROR(IF(MARÍTIMOS[[#This Row],[Etapa Despacho - Fin de Carga]]="","",MARÍTIMOS[[#This Row],[Etapa Despacho - Fin de Carga]]),"")</f>
        <v/>
      </c>
      <c r="AF106" s="2" t="str">
        <f>IFERROR(IF(MARÍTIMOS[[#This Row],[Puerto de Embarque]]="","",MARÍTIMOS[[#This Row],[Puerto de Embarque]]),"")</f>
        <v>Paita</v>
      </c>
      <c r="AG106" s="2" t="str">
        <f>IFERROR(IF(MARÍTIMOS[[#This Row],[Almacén de Ingreso]]="","",MARÍTIMOS[[#This Row],[Almacén de Ingreso]]),"")</f>
        <v>TPE</v>
      </c>
      <c r="AH106" s="11">
        <f>IFERROR(IF(MARÍTIMOS[[#This Row],[Etapa Ingreso - Cita]]="","",MARÍTIMOS[[#This Row],[Etapa Ingreso - Cita]]),"")</f>
        <v>46231.458333333336</v>
      </c>
      <c r="AI106" s="11">
        <f>IFERROR(IF(MARÍTIMOS[[#This Row],[Etapa Ingreso - Llegada]]="","",MARÍTIMOS[[#This Row],[Etapa Ingreso - Llegada]]),"")</f>
        <v>46231.416666666664</v>
      </c>
      <c r="AJ106" s="11">
        <f>IFERROR(IF(MARÍTIMOS[[#This Row],[Etapa Ingreso - Ingeso]]="","",MARÍTIMOS[[#This Row],[Etapa Ingreso - Ingeso]]),"")</f>
        <v>46231.425000000003</v>
      </c>
      <c r="AK106" s="11">
        <f>IFERROR(IF(MARÍTIMOS[[#This Row],[Etapa Ingreso - Atención]]="","",MARÍTIMOS[[#This Row],[Etapa Ingreso - Atención]]),"")</f>
        <v>46231.428472222222</v>
      </c>
      <c r="AL106" s="11">
        <f>IFERROR(IF(MARÍTIMOS[[#This Row],[Etapa Ingreso - Salida]]="","",MARÍTIMOS[[#This Row],[Etapa Ingreso - Salida]]),"")</f>
        <v>46231.436111111114</v>
      </c>
      <c r="AM106" s="2">
        <f>IFERROR(IF(MARÍTIMOS[[#This Row],[FCL]]="","",MARÍTIMOS[[#This Row],[FCL]]),"")</f>
        <v>1</v>
      </c>
      <c r="AN1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06" s="4" t="str" cm="1">
        <f t="array" ref="AO1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6" s="5" t="str">
        <f>IFERROR(OLDBD[[#This Row],[Llegada a packing]]-OLDBD[[#This Row],[Inicio de Ruta]],"")</f>
        <v/>
      </c>
      <c r="AQ106" s="6">
        <f>IFERROR(OLDBD[[#This Row],[Inicio de Ruta]]-OLDBD[[#This Row],[Salida de almacén de retiro]],"")</f>
        <v>1.0326388888934162</v>
      </c>
      <c r="AR1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" s="8" t="str" cm="1">
        <f t="array" ref="AS1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" s="9" t="str">
        <f>IFERROR(OLDBD[[#This Row],[Ingreso Packing]]-OLDBD[[#This Row],[Registro en Packing]],"")</f>
        <v/>
      </c>
      <c r="AV106" s="9" t="str">
        <f>IFERROR(OLDBD[[#This Row],[Ingreso Packing]]-OLDBD[[#This Row],[Llegada a packing]],"")</f>
        <v/>
      </c>
      <c r="AW1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" s="5" t="str">
        <f>IFERROR(OLDBD[[#This Row],[Llegada Almacén de Ingreso]]-OLDBD[[#This Row],[Salida Packing]],"")</f>
        <v/>
      </c>
      <c r="AY106" s="4" t="str" cm="1">
        <f t="array" ref="AY1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06" s="43" t="s">
        <v>173</v>
      </c>
      <c r="BB106" s="47" t="str">
        <f>IFERROR(IF(MARÍTIMOS[[#This Row],[Estatus]]="","",MARÍTIMOS[[#This Row],[Estatus]]),"")</f>
        <v>Confirmado</v>
      </c>
      <c r="BC106" s="43"/>
      <c r="BD106" s="46">
        <f>IFERROR(OLDBD[[#This Row],[Salida de almacén de retiro]]-OLDBD[[#This Row],[Ingreso Almacén de retiro]],"")</f>
        <v>6.2499999985448085E-3</v>
      </c>
      <c r="BE106" s="46" t="str">
        <f>IFERROR(OLDBD[[#This Row],[Fin de Carga]]-OLDBD[[#This Row],[Inicio de Carga]],"")</f>
        <v/>
      </c>
    </row>
    <row r="107" spans="1:57" customFormat="1" hidden="1">
      <c r="A107" s="1"/>
      <c r="B107" s="1">
        <f>IFERROR(IF(MARÍTIMOS[[#This Row],[PP]]="","",MARÍTIMOS[[#This Row],[PP]]),"")</f>
        <v>31</v>
      </c>
      <c r="C107" s="1" t="str">
        <f>IFERROR(IF(MARÍTIMOS[[#This Row],[Sede]]="","",MARÍTIMOS[[#This Row],[Sede]]),"")</f>
        <v>Chao</v>
      </c>
      <c r="D107" s="1" t="str">
        <f>IFERROR(IF(MARÍTIMOS[[#This Row],[Instruction]]="","",MARÍTIMOS[[#This Row],[Instruction]]),"")</f>
        <v>RH-0333</v>
      </c>
      <c r="E107" s="1"/>
      <c r="F107" s="2" t="str">
        <f>IFERROR(IF(MARÍTIMOS[[#This Row],[Transportista]]="","",MARÍTIMOS[[#This Row],[Transportista]]),"")</f>
        <v>Expert Transport</v>
      </c>
      <c r="G107" s="2" t="str">
        <f>IFERROR(IF(MARÍTIMOS[[#This Row],[Tercero]]="","",MARÍTIMOS[[#This Row],[Tercero]]),"")</f>
        <v>NO</v>
      </c>
      <c r="H107" s="2" t="str">
        <f>IFERROR(IF(MARÍTIMOS[[#This Row],[Razón Social]]="","",MARÍTIMOS[[#This Row],[Razón Social]]),"")</f>
        <v xml:space="preserve">EXPERT TRANSPORT SAC </v>
      </c>
      <c r="I107" s="2">
        <f>IFERROR(IF(MARÍTIMOS[[#This Row],[RUC]]="","",MARÍTIMOS[[#This Row],[RUC]]),"")</f>
        <v>20544424751</v>
      </c>
      <c r="J107" s="2" t="str">
        <f>IFERROR(IF(MARÍTIMOS[[#This Row],[Placa Tracto]]="","",MARÍTIMOS[[#This Row],[Placa Tracto]]),"")</f>
        <v>C5Z734</v>
      </c>
      <c r="K107" s="2" t="str">
        <f>IFERROR(IF(MARÍTIMOS[[#This Row],[Placa Carreta]]="","",MARÍTIMOS[[#This Row],[Placa Carreta]]),"")</f>
        <v>TJE975</v>
      </c>
      <c r="L107" s="44" t="str">
        <f>IFERROR(IF(MARÍTIMOS[[#This Row],[Conductor]]="","",MARÍTIMOS[[#This Row],[Conductor]]),"")</f>
        <v>LUIS CARLOS LAMAS RUIZ</v>
      </c>
      <c r="M107" s="2" t="str">
        <f>IFERROR(IF(MARÍTIMOS[[#This Row],[Licencia]]="","",MARÍTIMOS[[#This Row],[Licencia]]),"")</f>
        <v>B009531613</v>
      </c>
      <c r="N107" s="2">
        <f>IFERROR(IF(MARÍTIMOS[[#This Row],[Número de Contacto]]="","",MARÍTIMOS[[#This Row],[Número de Contacto]]),"")</f>
        <v>986078320</v>
      </c>
      <c r="O107" s="10" t="str">
        <f>IFERROR(IF(MARÍTIMOS[[#This Row],[Booking|AWB|CRT]]="","",MARÍTIMOS[[#This Row],[Booking|AWB|CRT]]),"")</f>
        <v>MBM250067107</v>
      </c>
      <c r="P107" s="2" t="str">
        <f>IFERROR(IF(MARÍTIMOS[[#This Row],[Contenedor]]="","",MARÍTIMOS[[#This Row],[Contenedor]]),"")</f>
        <v xml:space="preserve"> SEKU9364162</v>
      </c>
      <c r="Q107" s="2" t="str">
        <f>IFERROR(IF(MARÍTIMOS[[#This Row],[Puerto de Retiro]]="","",MARÍTIMOS[[#This Row],[Puerto de Retiro]]),"")</f>
        <v>PAITA</v>
      </c>
      <c r="R107" s="2" t="str">
        <f>IFERROR(IF(MARÍTIMOS[[#This Row],[Almacén de Retiro]]="","",MARÍTIMOS[[#This Row],[Almacén de Retiro]]),"")</f>
        <v>MACROMAR</v>
      </c>
      <c r="S107" s="11">
        <f>IFERROR(IF(MARÍTIMOS[[#This Row],[Etapa Retiro - Cita]]="","",MARÍTIMOS[[#This Row],[Etapa Retiro - Cita]]),"")</f>
        <v>46232.680555555555</v>
      </c>
      <c r="T107" s="11">
        <f>IFERROR(IF(MARÍTIMOS[[#This Row],[Etapa Retiro - Llegada]]="","",MARÍTIMOS[[#This Row],[Etapa Retiro - Llegada]]),"")</f>
        <v>46232.683333333334</v>
      </c>
      <c r="U107" s="11">
        <f>IFERROR(IF(MARÍTIMOS[[#This Row],[Etapa Retiro - Ingreso]]="","",MARÍTIMOS[[#This Row],[Etapa Retiro - Ingreso]]),"")</f>
        <v>46232.695833333331</v>
      </c>
      <c r="V107" s="11">
        <f>IFERROR(IF(MARÍTIMOS[[#This Row],[Etapa Retiro - Atención]]="","",MARÍTIMOS[[#This Row],[Etapa Retiro - Atención]]),"")</f>
        <v>46232.697222222225</v>
      </c>
      <c r="W107" s="11">
        <f>IFERROR(IF(MARÍTIMOS[[#This Row],[Etapa Retiro - Atención]]="","",MARÍTIMOS[[#This Row],[Etapa Retiro - Atención]]),"")</f>
        <v>46232.697222222225</v>
      </c>
      <c r="X107" s="11">
        <f>IFERROR(IF(MARÍTIMOS[[#This Row],[Etapa Retiro - Inicio de Ruta]]="","",MARÍTIMOS[[#This Row],[Etapa Retiro - Inicio de Ruta]]),"")</f>
        <v>46232.769444444442</v>
      </c>
      <c r="Y107" s="11">
        <f>IFERROR(IF(MARÍTIMOS[[#This Row],[Hora de Posicionamiento]]="","",MARÍTIMOS[[#This Row],[Fecha de Carga]]+MARÍTIMOS[[#This Row],[Hora de Posicionamiento]]),"")</f>
        <v>46232.583333333336</v>
      </c>
      <c r="Z107" s="11" t="str">
        <f>IFERROR(IF(MARÍTIMOS[[#This Row],[Etapa Despacho - Llegada]]="","",MARÍTIMOS[[#This Row],[Etapa Despacho - Llegada]]),"")</f>
        <v/>
      </c>
      <c r="AA107" s="11" t="str">
        <f>IFERROR(IF(MARÍTIMOS[[#This Row],[Etapa Despacho - Registro]]="","",MARÍTIMOS[[#This Row],[Etapa Despacho - Registro]]),"")</f>
        <v/>
      </c>
      <c r="AB107" s="11">
        <f>IFERROR(IF(MARÍTIMOS[[#This Row],[Inspección Externa]]="","",MARÍTIMOS[[#This Row],[Inspección Externa]]),"")</f>
        <v>46233.536111111112</v>
      </c>
      <c r="AC107" s="11" t="str">
        <f>IFERROR(IF(MARÍTIMOS[[#This Row],[Etapa Despacho - Inicio de Carga]]="","",MARÍTIMOS[[#This Row],[Etapa Despacho - Inicio de Carga]]),"")</f>
        <v/>
      </c>
      <c r="AD107" s="11" t="str">
        <f>IFERROR(IF(MARÍTIMOS[[#This Row],[Etapa Despacho - Mitad de Carga]]="","",MARÍTIMOS[[#This Row],[Etapa Despacho - Mitad de Carga]]),"")</f>
        <v/>
      </c>
      <c r="AE107" s="11" t="str">
        <f>IFERROR(IF(MARÍTIMOS[[#This Row],[Etapa Despacho - Fin de Carga]]="","",MARÍTIMOS[[#This Row],[Etapa Despacho - Fin de Carga]]),"")</f>
        <v/>
      </c>
      <c r="AF107" s="2" t="str">
        <f>IFERROR(IF(MARÍTIMOS[[#This Row],[Puerto de Embarque]]="","",MARÍTIMOS[[#This Row],[Puerto de Embarque]]),"")</f>
        <v>Paita</v>
      </c>
      <c r="AG107" s="2" t="str">
        <f>IFERROR(IF(MARÍTIMOS[[#This Row],[Almacén de Ingreso]]="","",MARÍTIMOS[[#This Row],[Almacén de Ingreso]]),"")</f>
        <v>TPE</v>
      </c>
      <c r="AH107" s="11">
        <f>IFERROR(IF(MARÍTIMOS[[#This Row],[Etapa Ingreso - Cita]]="","",MARÍTIMOS[[#This Row],[Etapa Ingreso - Cita]]),"")</f>
        <v>46234.416666666664</v>
      </c>
      <c r="AI107" s="11">
        <f>IFERROR(IF(MARÍTIMOS[[#This Row],[Etapa Ingreso - Llegada]]="","",MARÍTIMOS[[#This Row],[Etapa Ingreso - Llegada]]),"")</f>
        <v>46234.430555555555</v>
      </c>
      <c r="AJ107" s="11">
        <f>IFERROR(IF(MARÍTIMOS[[#This Row],[Etapa Ingreso - Ingeso]]="","",MARÍTIMOS[[#This Row],[Etapa Ingreso - Ingeso]]),"")</f>
        <v>46234.4375</v>
      </c>
      <c r="AK107" s="11">
        <f>IFERROR(IF(MARÍTIMOS[[#This Row],[Etapa Ingreso - Atención]]="","",MARÍTIMOS[[#This Row],[Etapa Ingreso - Atención]]),"")</f>
        <v>46234.440972222219</v>
      </c>
      <c r="AL107" s="11">
        <f>IFERROR(IF(MARÍTIMOS[[#This Row],[Etapa Ingreso - Salida]]="","",MARÍTIMOS[[#This Row],[Etapa Ingreso - Salida]]),"")</f>
        <v>46234.447916666664</v>
      </c>
      <c r="AM107" s="2">
        <f>IFERROR(IF(MARÍTIMOS[[#This Row],[FCL]]="","",MARÍTIMOS[[#This Row],[FCL]]),"")</f>
        <v>1</v>
      </c>
      <c r="AN1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07" s="4" t="str" cm="1">
        <f t="array" ref="AO1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7" s="5" t="str">
        <f>IFERROR(OLDBD[[#This Row],[Llegada a packing]]-OLDBD[[#This Row],[Inicio de Ruta]],"")</f>
        <v/>
      </c>
      <c r="AQ107" s="6">
        <f>IFERROR(OLDBD[[#This Row],[Inicio de Ruta]]-OLDBD[[#This Row],[Salida de almacén de retiro]],"")</f>
        <v>7.2222222217533272E-2</v>
      </c>
      <c r="AR1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" s="8" t="str" cm="1">
        <f t="array" ref="AS1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" s="9" t="str">
        <f>IFERROR(OLDBD[[#This Row],[Ingreso Packing]]-OLDBD[[#This Row],[Registro en Packing]],"")</f>
        <v/>
      </c>
      <c r="AV107" s="9" t="str">
        <f>IFERROR(OLDBD[[#This Row],[Ingreso Packing]]-OLDBD[[#This Row],[Llegada a packing]],"")</f>
        <v/>
      </c>
      <c r="AW1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" s="5" t="str">
        <f>IFERROR(OLDBD[[#This Row],[Llegada Almacén de Ingreso]]-OLDBD[[#This Row],[Salida Packing]],"")</f>
        <v/>
      </c>
      <c r="AY107" s="4" t="str" cm="1">
        <f t="array" ref="AY1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07" s="43" t="s">
        <v>173</v>
      </c>
      <c r="BB107" s="47" t="str">
        <f>IFERROR(IF(MARÍTIMOS[[#This Row],[Estatus]]="","",MARÍTIMOS[[#This Row],[Estatus]]),"")</f>
        <v>Confirmado</v>
      </c>
      <c r="BC107" s="43"/>
      <c r="BD107" s="46">
        <f>IFERROR(OLDBD[[#This Row],[Salida de almacén de retiro]]-OLDBD[[#This Row],[Ingreso Almacén de retiro]],"")</f>
        <v>1.3888888934161514E-3</v>
      </c>
      <c r="BE107" s="46" t="str">
        <f>IFERROR(OLDBD[[#This Row],[Fin de Carga]]-OLDBD[[#This Row],[Inicio de Carga]],"")</f>
        <v/>
      </c>
    </row>
    <row r="108" spans="1:57" customFormat="1" hidden="1">
      <c r="A108" s="1"/>
      <c r="B108" s="1">
        <f>IFERROR(IF(MARÍTIMOS[[#This Row],[PP]]="","",MARÍTIMOS[[#This Row],[PP]]),"")</f>
        <v>31</v>
      </c>
      <c r="C108" s="1" t="str">
        <f>IFERROR(IF(MARÍTIMOS[[#This Row],[Sede]]="","",MARÍTIMOS[[#This Row],[Sede]]),"")</f>
        <v>Chao</v>
      </c>
      <c r="D108" s="1" t="str">
        <f>IFERROR(IF(MARÍTIMOS[[#This Row],[Instruction]]="","",MARÍTIMOS[[#This Row],[Instruction]]),"")</f>
        <v>RH-0334</v>
      </c>
      <c r="E108" s="1"/>
      <c r="F108" s="2" t="str">
        <f>IFERROR(IF(MARÍTIMOS[[#This Row],[Transportista]]="","",MARÍTIMOS[[#This Row],[Transportista]]),"")</f>
        <v>Expert Transport</v>
      </c>
      <c r="G108" s="2" t="str">
        <f>IFERROR(IF(MARÍTIMOS[[#This Row],[Tercero]]="","",MARÍTIMOS[[#This Row],[Tercero]]),"")</f>
        <v>NO</v>
      </c>
      <c r="H108" s="2" t="str">
        <f>IFERROR(IF(MARÍTIMOS[[#This Row],[Razón Social]]="","",MARÍTIMOS[[#This Row],[Razón Social]]),"")</f>
        <v xml:space="preserve">EXPERT TRANSPORT SAC </v>
      </c>
      <c r="I108" s="2">
        <f>IFERROR(IF(MARÍTIMOS[[#This Row],[RUC]]="","",MARÍTIMOS[[#This Row],[RUC]]),"")</f>
        <v>20544424751</v>
      </c>
      <c r="J108" s="2" t="str">
        <f>IFERROR(IF(MARÍTIMOS[[#This Row],[Placa Tracto]]="","",MARÍTIMOS[[#This Row],[Placa Tracto]]),"")</f>
        <v>V1B809</v>
      </c>
      <c r="K108" s="2" t="str">
        <f>IFERROR(IF(MARÍTIMOS[[#This Row],[Placa Carreta]]="","",MARÍTIMOS[[#This Row],[Placa Carreta]]),"")</f>
        <v>TKC975</v>
      </c>
      <c r="L108" s="44" t="str">
        <f>IFERROR(IF(MARÍTIMOS[[#This Row],[Conductor]]="","",MARÍTIMOS[[#This Row],[Conductor]]),"")</f>
        <v>GUILLERMO YOSNEY GONZALEZ RUIZ</v>
      </c>
      <c r="M108" s="2" t="str">
        <f>IFERROR(IF(MARÍTIMOS[[#This Row],[Licencia]]="","",MARÍTIMOS[[#This Row],[Licencia]]),"")</f>
        <v>Q005581456</v>
      </c>
      <c r="N108" s="2">
        <f>IFERROR(IF(MARÍTIMOS[[#This Row],[Número de Contacto]]="","",MARÍTIMOS[[#This Row],[Número de Contacto]]),"")</f>
        <v>914472332</v>
      </c>
      <c r="O108" s="10" t="str">
        <f>IFERROR(IF(MARÍTIMOS[[#This Row],[Booking|AWB|CRT]]="","",MARÍTIMOS[[#This Row],[Booking|AWB|CRT]]),"")</f>
        <v>MBM250067108</v>
      </c>
      <c r="P108" s="2" t="str">
        <f>IFERROR(IF(MARÍTIMOS[[#This Row],[Contenedor]]="","",MARÍTIMOS[[#This Row],[Contenedor]]),"")</f>
        <v>FBIU5312870</v>
      </c>
      <c r="Q108" s="2" t="str">
        <f>IFERROR(IF(MARÍTIMOS[[#This Row],[Puerto de Retiro]]="","",MARÍTIMOS[[#This Row],[Puerto de Retiro]]),"")</f>
        <v>PAITA</v>
      </c>
      <c r="R108" s="2" t="str">
        <f>IFERROR(IF(MARÍTIMOS[[#This Row],[Almacén de Retiro]]="","",MARÍTIMOS[[#This Row],[Almacén de Retiro]]),"")</f>
        <v>MACROMAR</v>
      </c>
      <c r="S108" s="11">
        <f>IFERROR(IF(MARÍTIMOS[[#This Row],[Etapa Retiro - Cita]]="","",MARÍTIMOS[[#This Row],[Etapa Retiro - Cita]]),"")</f>
        <v>46233.458333333336</v>
      </c>
      <c r="T108" s="11">
        <f>IFERROR(IF(MARÍTIMOS[[#This Row],[Etapa Retiro - Llegada]]="","",MARÍTIMOS[[#This Row],[Etapa Retiro - Llegada]]),"")</f>
        <v>46233.478472222225</v>
      </c>
      <c r="U108" s="11">
        <f>IFERROR(IF(MARÍTIMOS[[#This Row],[Etapa Retiro - Ingreso]]="","",MARÍTIMOS[[#This Row],[Etapa Retiro - Ingreso]]),"")</f>
        <v>46233.494444444441</v>
      </c>
      <c r="V108" s="11">
        <f>IFERROR(IF(MARÍTIMOS[[#This Row],[Etapa Retiro - Atención]]="","",MARÍTIMOS[[#This Row],[Etapa Retiro - Atención]]),"")</f>
        <v>46233.503472222219</v>
      </c>
      <c r="W108" s="11">
        <f>IFERROR(IF(MARÍTIMOS[[#This Row],[Etapa Retiro - Atención]]="","",MARÍTIMOS[[#This Row],[Etapa Retiro - Atención]]),"")</f>
        <v>46233.503472222219</v>
      </c>
      <c r="X108" s="11">
        <f>IFERROR(IF(MARÍTIMOS[[#This Row],[Etapa Retiro - Inicio de Ruta]]="","",MARÍTIMOS[[#This Row],[Etapa Retiro - Inicio de Ruta]]),"")</f>
        <v>46233.593055555553</v>
      </c>
      <c r="Y108" s="11">
        <f>IFERROR(IF(MARÍTIMOS[[#This Row],[Hora de Posicionamiento]]="","",MARÍTIMOS[[#This Row],[Fecha de Carga]]+MARÍTIMOS[[#This Row],[Hora de Posicionamiento]]),"")</f>
        <v>46233.333333333336</v>
      </c>
      <c r="Z108" s="11" t="str">
        <f>IFERROR(IF(MARÍTIMOS[[#This Row],[Etapa Despacho - Llegada]]="","",MARÍTIMOS[[#This Row],[Etapa Despacho - Llegada]]),"")</f>
        <v/>
      </c>
      <c r="AA108" s="11" t="str">
        <f>IFERROR(IF(MARÍTIMOS[[#This Row],[Etapa Despacho - Registro]]="","",MARÍTIMOS[[#This Row],[Etapa Despacho - Registro]]),"")</f>
        <v/>
      </c>
      <c r="AB108" s="11">
        <f>IFERROR(IF(MARÍTIMOS[[#This Row],[Inspección Externa]]="","",MARÍTIMOS[[#This Row],[Inspección Externa]]),"")</f>
        <v>46234.366666666669</v>
      </c>
      <c r="AC108" s="11" t="str">
        <f>IFERROR(IF(MARÍTIMOS[[#This Row],[Etapa Despacho - Inicio de Carga]]="","",MARÍTIMOS[[#This Row],[Etapa Despacho - Inicio de Carga]]),"")</f>
        <v/>
      </c>
      <c r="AD108" s="11" t="str">
        <f>IFERROR(IF(MARÍTIMOS[[#This Row],[Etapa Despacho - Mitad de Carga]]="","",MARÍTIMOS[[#This Row],[Etapa Despacho - Mitad de Carga]]),"")</f>
        <v/>
      </c>
      <c r="AE108" s="11" t="str">
        <f>IFERROR(IF(MARÍTIMOS[[#This Row],[Etapa Despacho - Fin de Carga]]="","",MARÍTIMOS[[#This Row],[Etapa Despacho - Fin de Carga]]),"")</f>
        <v/>
      </c>
      <c r="AF108" s="2" t="str">
        <f>IFERROR(IF(MARÍTIMOS[[#This Row],[Puerto de Embarque]]="","",MARÍTIMOS[[#This Row],[Puerto de Embarque]]),"")</f>
        <v>Paita</v>
      </c>
      <c r="AG108" s="2" t="str">
        <f>IFERROR(IF(MARÍTIMOS[[#This Row],[Almacén de Ingreso]]="","",MARÍTIMOS[[#This Row],[Almacén de Ingreso]]),"")</f>
        <v>TPE</v>
      </c>
      <c r="AH108" s="11">
        <f>IFERROR(IF(MARÍTIMOS[[#This Row],[Etapa Ingreso - Cita]]="","",MARÍTIMOS[[#This Row],[Etapa Ingreso - Cita]]),"")</f>
        <v>46235.458333333336</v>
      </c>
      <c r="AI108" s="11">
        <f>IFERROR(IF(MARÍTIMOS[[#This Row],[Etapa Ingreso - Llegada]]="","",MARÍTIMOS[[#This Row],[Etapa Ingreso - Llegada]]),"")</f>
        <v>46235.386805555558</v>
      </c>
      <c r="AJ108" s="11">
        <f>IFERROR(IF(MARÍTIMOS[[#This Row],[Etapa Ingreso - Ingeso]]="","",MARÍTIMOS[[#This Row],[Etapa Ingreso - Ingeso]]),"")</f>
        <v>46235.390972222223</v>
      </c>
      <c r="AK108" s="11">
        <f>IFERROR(IF(MARÍTIMOS[[#This Row],[Etapa Ingreso - Atención]]="","",MARÍTIMOS[[#This Row],[Etapa Ingreso - Atención]]),"")</f>
        <v>46235.397222222222</v>
      </c>
      <c r="AL108" s="11">
        <f>IFERROR(IF(MARÍTIMOS[[#This Row],[Etapa Ingreso - Salida]]="","",MARÍTIMOS[[#This Row],[Etapa Ingreso - Salida]]),"")</f>
        <v>46235.40625</v>
      </c>
      <c r="AM108" s="2">
        <f>IFERROR(IF(MARÍTIMOS[[#This Row],[FCL]]="","",MARÍTIMOS[[#This Row],[FCL]]),"")</f>
        <v>1</v>
      </c>
      <c r="AN1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08" s="4" t="str" cm="1">
        <f t="array" ref="AO1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8" s="5" t="str">
        <f>IFERROR(OLDBD[[#This Row],[Llegada a packing]]-OLDBD[[#This Row],[Inicio de Ruta]],"")</f>
        <v/>
      </c>
      <c r="AQ108" s="6">
        <f>IFERROR(OLDBD[[#This Row],[Inicio de Ruta]]-OLDBD[[#This Row],[Salida de almacén de retiro]],"")</f>
        <v>8.9583333334303461E-2</v>
      </c>
      <c r="AR1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" s="8" t="str" cm="1">
        <f t="array" ref="AS1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" s="9" t="str">
        <f>IFERROR(OLDBD[[#This Row],[Ingreso Packing]]-OLDBD[[#This Row],[Registro en Packing]],"")</f>
        <v/>
      </c>
      <c r="AV108" s="9" t="str">
        <f>IFERROR(OLDBD[[#This Row],[Ingreso Packing]]-OLDBD[[#This Row],[Llegada a packing]],"")</f>
        <v/>
      </c>
      <c r="AW1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" s="5" t="str">
        <f>IFERROR(OLDBD[[#This Row],[Llegada Almacén de Ingreso]]-OLDBD[[#This Row],[Salida Packing]],"")</f>
        <v/>
      </c>
      <c r="AY108" s="4" t="str" cm="1">
        <f t="array" ref="AY1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08" s="43" t="s">
        <v>173</v>
      </c>
      <c r="BB108" s="47" t="str">
        <f>IFERROR(IF(MARÍTIMOS[[#This Row],[Estatus]]="","",MARÍTIMOS[[#This Row],[Estatus]]),"")</f>
        <v>Confirmado</v>
      </c>
      <c r="BC108" s="43"/>
      <c r="BD108" s="46">
        <f>IFERROR(OLDBD[[#This Row],[Salida de almacén de retiro]]-OLDBD[[#This Row],[Ingreso Almacén de retiro]],"")</f>
        <v>9.0277777781011537E-3</v>
      </c>
      <c r="BE108" s="46" t="str">
        <f>IFERROR(OLDBD[[#This Row],[Fin de Carga]]-OLDBD[[#This Row],[Inicio de Carga]],"")</f>
        <v/>
      </c>
    </row>
    <row r="109" spans="1:57" customFormat="1" hidden="1">
      <c r="A109" s="1"/>
      <c r="B109" s="1">
        <f>IFERROR(IF(MARÍTIMOS[[#This Row],[PP]]="","",MARÍTIMOS[[#This Row],[PP]]),"")</f>
        <v>31</v>
      </c>
      <c r="C109" s="1" t="str">
        <f>IFERROR(IF(MARÍTIMOS[[#This Row],[Sede]]="","",MARÍTIMOS[[#This Row],[Sede]]),"")</f>
        <v>Chao</v>
      </c>
      <c r="D109" s="1" t="str">
        <f>IFERROR(IF(MARÍTIMOS[[#This Row],[Instruction]]="","",MARÍTIMOS[[#This Row],[Instruction]]),"")</f>
        <v>RH-0338</v>
      </c>
      <c r="E109" s="1"/>
      <c r="F109" s="2" t="str">
        <f>IFERROR(IF(MARÍTIMOS[[#This Row],[Transportista]]="","",MARÍTIMOS[[#This Row],[Transportista]]),"")</f>
        <v>Expert Transport</v>
      </c>
      <c r="G109" s="2" t="str">
        <f>IFERROR(IF(MARÍTIMOS[[#This Row],[Tercero]]="","",MARÍTIMOS[[#This Row],[Tercero]]),"")</f>
        <v>NO</v>
      </c>
      <c r="H109" s="2" t="str">
        <f>IFERROR(IF(MARÍTIMOS[[#This Row],[Razón Social]]="","",MARÍTIMOS[[#This Row],[Razón Social]]),"")</f>
        <v xml:space="preserve">EXPERT TRANSPORT SAC </v>
      </c>
      <c r="I109" s="2">
        <f>IFERROR(IF(MARÍTIMOS[[#This Row],[RUC]]="","",MARÍTIMOS[[#This Row],[RUC]]),"")</f>
        <v>20544424751</v>
      </c>
      <c r="J109" s="2" t="str">
        <f>IFERROR(IF(MARÍTIMOS[[#This Row],[Placa Tracto]]="","",MARÍTIMOS[[#This Row],[Placa Tracto]]),"")</f>
        <v>BYR872</v>
      </c>
      <c r="K109" s="2" t="str">
        <f>IFERROR(IF(MARÍTIMOS[[#This Row],[Placa Carreta]]="","",MARÍTIMOS[[#This Row],[Placa Carreta]]),"")</f>
        <v>A3K983</v>
      </c>
      <c r="L109" s="44" t="str">
        <f>IFERROR(IF(MARÍTIMOS[[#This Row],[Conductor]]="","",MARÍTIMOS[[#This Row],[Conductor]]),"")</f>
        <v>HUMBERTO JESÚS SUAREZ ARGUINZONES</v>
      </c>
      <c r="M109" s="2" t="str">
        <f>IFERROR(IF(MARÍTIMOS[[#This Row],[Licencia]]="","",MARÍTIMOS[[#This Row],[Licencia]]),"")</f>
        <v>B007168026</v>
      </c>
      <c r="N109" s="2">
        <f>IFERROR(IF(MARÍTIMOS[[#This Row],[Número de Contacto]]="","",MARÍTIMOS[[#This Row],[Número de Contacto]]),"")</f>
        <v>934270711</v>
      </c>
      <c r="O109" s="10" t="str">
        <f>IFERROR(IF(MARÍTIMOS[[#This Row],[Booking|AWB|CRT]]="","",MARÍTIMOS[[#This Row],[Booking|AWB|CRT]]),"")</f>
        <v> PER9170849A</v>
      </c>
      <c r="P109" s="2" t="str">
        <f>IFERROR(IF(MARÍTIMOS[[#This Row],[Contenedor]]="","",MARÍTIMOS[[#This Row],[Contenedor]]),"")</f>
        <v> CAAU4160496</v>
      </c>
      <c r="Q109" s="2" t="str">
        <f>IFERROR(IF(MARÍTIMOS[[#This Row],[Puerto de Retiro]]="","",MARÍTIMOS[[#This Row],[Puerto de Retiro]]),"")</f>
        <v>PAITA</v>
      </c>
      <c r="R109" s="2" t="str">
        <f>IFERROR(IF(MARÍTIMOS[[#This Row],[Almacén de Retiro]]="","",MARÍTIMOS[[#This Row],[Almacén de Retiro]]),"")</f>
        <v>DPW</v>
      </c>
      <c r="S109" s="11">
        <f>IFERROR(IF(MARÍTIMOS[[#This Row],[Etapa Retiro - Cita]]="","",MARÍTIMOS[[#This Row],[Etapa Retiro - Cita]]),"")</f>
        <v>46235.5</v>
      </c>
      <c r="T109" s="11">
        <f>IFERROR(IF(MARÍTIMOS[[#This Row],[Etapa Retiro - Llegada]]="","",MARÍTIMOS[[#This Row],[Etapa Retiro - Llegada]]),"")</f>
        <v>46235.478472222225</v>
      </c>
      <c r="U109" s="11">
        <f>IFERROR(IF(MARÍTIMOS[[#This Row],[Etapa Retiro - Ingreso]]="","",MARÍTIMOS[[#This Row],[Etapa Retiro - Ingreso]]),"")</f>
        <v>46235.498611111114</v>
      </c>
      <c r="V109" s="11">
        <f>IFERROR(IF(MARÍTIMOS[[#This Row],[Etapa Retiro - Atención]]="","",MARÍTIMOS[[#This Row],[Etapa Retiro - Atención]]),"")</f>
        <v>46235.51666666667</v>
      </c>
      <c r="W109" s="11">
        <f>IFERROR(IF(MARÍTIMOS[[#This Row],[Etapa Retiro - Atención]]="","",MARÍTIMOS[[#This Row],[Etapa Retiro - Atención]]),"")</f>
        <v>46235.51666666667</v>
      </c>
      <c r="X109" s="11">
        <f>IFERROR(IF(MARÍTIMOS[[#This Row],[Etapa Retiro - Inicio de Ruta]]="","",MARÍTIMOS[[#This Row],[Etapa Retiro - Inicio de Ruta]]),"")</f>
        <v>46235.75</v>
      </c>
      <c r="Y109" s="11">
        <f>IFERROR(IF(MARÍTIMOS[[#This Row],[Hora de Posicionamiento]]="","",MARÍTIMOS[[#This Row],[Fecha de Carga]]+MARÍTIMOS[[#This Row],[Hora de Posicionamiento]]),"")</f>
        <v>46235.583333333336</v>
      </c>
      <c r="Z109" s="11" t="str">
        <f>IFERROR(IF(MARÍTIMOS[[#This Row],[Etapa Despacho - Llegada]]="","",MARÍTIMOS[[#This Row],[Etapa Despacho - Llegada]]),"")</f>
        <v/>
      </c>
      <c r="AA109" s="11" t="str">
        <f>IFERROR(IF(MARÍTIMOS[[#This Row],[Etapa Despacho - Registro]]="","",MARÍTIMOS[[#This Row],[Etapa Despacho - Registro]]),"")</f>
        <v/>
      </c>
      <c r="AB109" s="11">
        <f>IFERROR(IF(MARÍTIMOS[[#This Row],[Inspección Externa]]="","",MARÍTIMOS[[#This Row],[Inspección Externa]]),"")</f>
        <v>46236.579861111109</v>
      </c>
      <c r="AC109" s="11" t="str">
        <f>IFERROR(IF(MARÍTIMOS[[#This Row],[Etapa Despacho - Inicio de Carga]]="","",MARÍTIMOS[[#This Row],[Etapa Despacho - Inicio de Carga]]),"")</f>
        <v/>
      </c>
      <c r="AD109" s="11" t="str">
        <f>IFERROR(IF(MARÍTIMOS[[#This Row],[Etapa Despacho - Mitad de Carga]]="","",MARÍTIMOS[[#This Row],[Etapa Despacho - Mitad de Carga]]),"")</f>
        <v/>
      </c>
      <c r="AE109" s="11" t="str">
        <f>IFERROR(IF(MARÍTIMOS[[#This Row],[Etapa Despacho - Fin de Carga]]="","",MARÍTIMOS[[#This Row],[Etapa Despacho - Fin de Carga]]),"")</f>
        <v/>
      </c>
      <c r="AF109" s="2" t="str">
        <f>IFERROR(IF(MARÍTIMOS[[#This Row],[Puerto de Embarque]]="","",MARÍTIMOS[[#This Row],[Puerto de Embarque]]),"")</f>
        <v>Paita</v>
      </c>
      <c r="AG109" s="2" t="str">
        <f>IFERROR(IF(MARÍTIMOS[[#This Row],[Almacén de Ingreso]]="","",MARÍTIMOS[[#This Row],[Almacén de Ingreso]]),"")</f>
        <v>TPE</v>
      </c>
      <c r="AH109" s="11">
        <f>IFERROR(IF(MARÍTIMOS[[#This Row],[Etapa Ingreso - Cita]]="","",MARÍTIMOS[[#This Row],[Etapa Ingreso - Cita]]),"")</f>
        <v>46237.791666666664</v>
      </c>
      <c r="AI109" s="11">
        <f>IFERROR(IF(MARÍTIMOS[[#This Row],[Etapa Ingreso - Llegada]]="","",MARÍTIMOS[[#This Row],[Etapa Ingreso - Llegada]]),"")</f>
        <v>46237.75</v>
      </c>
      <c r="AJ109" s="11">
        <f>IFERROR(IF(MARÍTIMOS[[#This Row],[Etapa Ingreso - Ingeso]]="","",MARÍTIMOS[[#This Row],[Etapa Ingreso - Ingeso]]),"")</f>
        <v>46237.752083333333</v>
      </c>
      <c r="AK109" s="11">
        <f>IFERROR(IF(MARÍTIMOS[[#This Row],[Etapa Ingreso - Atención]]="","",MARÍTIMOS[[#This Row],[Etapa Ingreso - Atención]]),"")</f>
        <v>46237.760416666664</v>
      </c>
      <c r="AL109" s="11">
        <f>IFERROR(IF(MARÍTIMOS[[#This Row],[Etapa Ingreso - Salida]]="","",MARÍTIMOS[[#This Row],[Etapa Ingreso - Salida]]),"")</f>
        <v>46237.774305555555</v>
      </c>
      <c r="AM109" s="2">
        <f>IFERROR(IF(MARÍTIMOS[[#This Row],[FCL]]="","",MARÍTIMOS[[#This Row],[FCL]]),"")</f>
        <v>1</v>
      </c>
      <c r="AN1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09" s="4" t="str" cm="1">
        <f t="array" ref="AO1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09" s="5" t="str">
        <f>IFERROR(OLDBD[[#This Row],[Llegada a packing]]-OLDBD[[#This Row],[Inicio de Ruta]],"")</f>
        <v/>
      </c>
      <c r="AQ109" s="6">
        <f>IFERROR(OLDBD[[#This Row],[Inicio de Ruta]]-OLDBD[[#This Row],[Salida de almacén de retiro]],"")</f>
        <v>0.23333333332993789</v>
      </c>
      <c r="AR1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" s="8" t="str" cm="1">
        <f t="array" ref="AS1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" s="9" t="str">
        <f>IFERROR(OLDBD[[#This Row],[Ingreso Packing]]-OLDBD[[#This Row],[Registro en Packing]],"")</f>
        <v/>
      </c>
      <c r="AV109" s="9" t="str">
        <f>IFERROR(OLDBD[[#This Row],[Ingreso Packing]]-OLDBD[[#This Row],[Llegada a packing]],"")</f>
        <v/>
      </c>
      <c r="AW1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" s="5" t="str">
        <f>IFERROR(OLDBD[[#This Row],[Llegada Almacén de Ingreso]]-OLDBD[[#This Row],[Salida Packing]],"")</f>
        <v/>
      </c>
      <c r="AY109" s="4" t="str" cm="1">
        <f t="array" ref="AY1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09" s="43" t="s">
        <v>173</v>
      </c>
      <c r="BB109" s="47" t="str">
        <f>IFERROR(IF(MARÍTIMOS[[#This Row],[Estatus]]="","",MARÍTIMOS[[#This Row],[Estatus]]),"")</f>
        <v>Confirmado</v>
      </c>
      <c r="BC109" s="43"/>
      <c r="BD109" s="46">
        <f>IFERROR(OLDBD[[#This Row],[Salida de almacén de retiro]]-OLDBD[[#This Row],[Ingreso Almacén de retiro]],"")</f>
        <v>1.8055555556202307E-2</v>
      </c>
      <c r="BE109" s="46" t="str">
        <f>IFERROR(OLDBD[[#This Row],[Fin de Carga]]-OLDBD[[#This Row],[Inicio de Carga]],"")</f>
        <v/>
      </c>
    </row>
    <row r="110" spans="1:57" customFormat="1" hidden="1">
      <c r="A110" s="1"/>
      <c r="B110" s="1">
        <f>IFERROR(IF(MARÍTIMOS[[#This Row],[PP]]="","",MARÍTIMOS[[#This Row],[PP]]),"")</f>
        <v>31</v>
      </c>
      <c r="C110" s="1" t="str">
        <f>IFERROR(IF(MARÍTIMOS[[#This Row],[Sede]]="","",MARÍTIMOS[[#This Row],[Sede]]),"")</f>
        <v>Chao</v>
      </c>
      <c r="D110" s="1" t="str">
        <f>IFERROR(IF(MARÍTIMOS[[#This Row],[Instruction]]="","",MARÍTIMOS[[#This Row],[Instruction]]),"")</f>
        <v>RH-0339</v>
      </c>
      <c r="E110" s="1"/>
      <c r="F110" s="2" t="str">
        <f>IFERROR(IF(MARÍTIMOS[[#This Row],[Transportista]]="","",MARÍTIMOS[[#This Row],[Transportista]]),"")</f>
        <v>Expert Transport</v>
      </c>
      <c r="G110" s="2" t="str">
        <f>IFERROR(IF(MARÍTIMOS[[#This Row],[Tercero]]="","",MARÍTIMOS[[#This Row],[Tercero]]),"")</f>
        <v>NO</v>
      </c>
      <c r="H110" s="2" t="str">
        <f>IFERROR(IF(MARÍTIMOS[[#This Row],[Razón Social]]="","",MARÍTIMOS[[#This Row],[Razón Social]]),"")</f>
        <v xml:space="preserve">EXPERT TRANSPORT SAC </v>
      </c>
      <c r="I110" s="2">
        <f>IFERROR(IF(MARÍTIMOS[[#This Row],[RUC]]="","",MARÍTIMOS[[#This Row],[RUC]]),"")</f>
        <v>20544424751</v>
      </c>
      <c r="J110" s="2" t="str">
        <f>IFERROR(IF(MARÍTIMOS[[#This Row],[Placa Tracto]]="","",MARÍTIMOS[[#This Row],[Placa Tracto]]),"")</f>
        <v>D1A797</v>
      </c>
      <c r="K110" s="2" t="str">
        <f>IFERROR(IF(MARÍTIMOS[[#This Row],[Placa Carreta]]="","",MARÍTIMOS[[#This Row],[Placa Carreta]]),"")</f>
        <v>TNQ977</v>
      </c>
      <c r="L110" s="44" t="str">
        <f>IFERROR(IF(MARÍTIMOS[[#This Row],[Conductor]]="","",MARÍTIMOS[[#This Row],[Conductor]]),"")</f>
        <v>FREDERIS JOSE PAVON RUIZ</v>
      </c>
      <c r="M110" s="2" t="str">
        <f>IFERROR(IF(MARÍTIMOS[[#This Row],[Licencia]]="","",MARÍTIMOS[[#This Row],[Licencia]]),"")</f>
        <v>Q005175672</v>
      </c>
      <c r="N110" s="2">
        <f>IFERROR(IF(MARÍTIMOS[[#This Row],[Número de Contacto]]="","",MARÍTIMOS[[#This Row],[Número de Contacto]]),"")</f>
        <v>904556157</v>
      </c>
      <c r="O110" s="10" t="str">
        <f>IFERROR(IF(MARÍTIMOS[[#This Row],[Booking|AWB|CRT]]="","",MARÍTIMOS[[#This Row],[Booking|AWB|CRT]]),"")</f>
        <v>BN80271</v>
      </c>
      <c r="P110" s="2" t="str">
        <f>IFERROR(IF(MARÍTIMOS[[#This Row],[Contenedor]]="","",MARÍTIMOS[[#This Row],[Contenedor]]),"")</f>
        <v>SEKU9346425 </v>
      </c>
      <c r="Q110" s="2" t="str">
        <f>IFERROR(IF(MARÍTIMOS[[#This Row],[Puerto de Retiro]]="","",MARÍTIMOS[[#This Row],[Puerto de Retiro]]),"")</f>
        <v>PAITA</v>
      </c>
      <c r="R110" s="2" t="str">
        <f>IFERROR(IF(MARÍTIMOS[[#This Row],[Almacén de Retiro]]="","",MARÍTIMOS[[#This Row],[Almacén de Retiro]]),"")</f>
        <v>DPW</v>
      </c>
      <c r="S110" s="11">
        <f>IFERROR(IF(MARÍTIMOS[[#This Row],[Etapa Retiro - Cita]]="","",MARÍTIMOS[[#This Row],[Etapa Retiro - Cita]]),"")</f>
        <v>46235.5</v>
      </c>
      <c r="T110" s="11">
        <f>IFERROR(IF(MARÍTIMOS[[#This Row],[Etapa Retiro - Llegada]]="","",MARÍTIMOS[[#This Row],[Etapa Retiro - Llegada]]),"")</f>
        <v>46235.46875</v>
      </c>
      <c r="U110" s="11">
        <f>IFERROR(IF(MARÍTIMOS[[#This Row],[Etapa Retiro - Ingreso]]="","",MARÍTIMOS[[#This Row],[Etapa Retiro - Ingreso]]),"")</f>
        <v>46235.600694444445</v>
      </c>
      <c r="V110" s="11">
        <f>IFERROR(IF(MARÍTIMOS[[#This Row],[Etapa Retiro - Atención]]="","",MARÍTIMOS[[#This Row],[Etapa Retiro - Atención]]),"")</f>
        <v>46235.628472222219</v>
      </c>
      <c r="W110" s="11">
        <f>IFERROR(IF(MARÍTIMOS[[#This Row],[Etapa Retiro - Atención]]="","",MARÍTIMOS[[#This Row],[Etapa Retiro - Atención]]),"")</f>
        <v>46235.628472222219</v>
      </c>
      <c r="X110" s="11">
        <f>IFERROR(IF(MARÍTIMOS[[#This Row],[Etapa Retiro - Inicio de Ruta]]="","",MARÍTIMOS[[#This Row],[Etapa Retiro - Inicio de Ruta]]),"")</f>
        <v>46235.736111111109</v>
      </c>
      <c r="Y110" s="11">
        <f>IFERROR(IF(MARÍTIMOS[[#This Row],[Hora de Posicionamiento]]="","",MARÍTIMOS[[#This Row],[Fecha de Carga]]+MARÍTIMOS[[#This Row],[Hora de Posicionamiento]]),"")</f>
        <v>46235.583333333336</v>
      </c>
      <c r="Z110" s="11" t="str">
        <f>IFERROR(IF(MARÍTIMOS[[#This Row],[Etapa Despacho - Llegada]]="","",MARÍTIMOS[[#This Row],[Etapa Despacho - Llegada]]),"")</f>
        <v/>
      </c>
      <c r="AA110" s="11" t="str">
        <f>IFERROR(IF(MARÍTIMOS[[#This Row],[Etapa Despacho - Registro]]="","",MARÍTIMOS[[#This Row],[Etapa Despacho - Registro]]),"")</f>
        <v/>
      </c>
      <c r="AB110" s="11">
        <f>IFERROR(IF(MARÍTIMOS[[#This Row],[Inspección Externa]]="","",MARÍTIMOS[[#This Row],[Inspección Externa]]),"")</f>
        <v>46236.620833333334</v>
      </c>
      <c r="AC110" s="11" t="str">
        <f>IFERROR(IF(MARÍTIMOS[[#This Row],[Etapa Despacho - Inicio de Carga]]="","",MARÍTIMOS[[#This Row],[Etapa Despacho - Inicio de Carga]]),"")</f>
        <v/>
      </c>
      <c r="AD110" s="11" t="str">
        <f>IFERROR(IF(MARÍTIMOS[[#This Row],[Etapa Despacho - Mitad de Carga]]="","",MARÍTIMOS[[#This Row],[Etapa Despacho - Mitad de Carga]]),"")</f>
        <v/>
      </c>
      <c r="AE110" s="11" t="str">
        <f>IFERROR(IF(MARÍTIMOS[[#This Row],[Etapa Despacho - Fin de Carga]]="","",MARÍTIMOS[[#This Row],[Etapa Despacho - Fin de Carga]]),"")</f>
        <v/>
      </c>
      <c r="AF110" s="2" t="str">
        <f>IFERROR(IF(MARÍTIMOS[[#This Row],[Puerto de Embarque]]="","",MARÍTIMOS[[#This Row],[Puerto de Embarque]]),"")</f>
        <v>Paita</v>
      </c>
      <c r="AG110" s="2" t="str">
        <f>IFERROR(IF(MARÍTIMOS[[#This Row],[Almacén de Ingreso]]="","",MARÍTIMOS[[#This Row],[Almacén de Ingreso]]),"")</f>
        <v>TPE</v>
      </c>
      <c r="AH110" s="11">
        <f>IFERROR(IF(MARÍTIMOS[[#This Row],[Etapa Ingreso - Cita]]="","",MARÍTIMOS[[#This Row],[Etapa Ingreso - Cita]]),"")</f>
        <v>46237.791666666664</v>
      </c>
      <c r="AI110" s="11">
        <f>IFERROR(IF(MARÍTIMOS[[#This Row],[Etapa Ingreso - Llegada]]="","",MARÍTIMOS[[#This Row],[Etapa Ingreso - Llegada]]),"")</f>
        <v>46237.755555555559</v>
      </c>
      <c r="AJ110" s="11">
        <f>IFERROR(IF(MARÍTIMOS[[#This Row],[Etapa Ingreso - Ingeso]]="","",MARÍTIMOS[[#This Row],[Etapa Ingreso - Ingeso]]),"")</f>
        <v>46237.757638888892</v>
      </c>
      <c r="AK110" s="11">
        <f>IFERROR(IF(MARÍTIMOS[[#This Row],[Etapa Ingreso - Atención]]="","",MARÍTIMOS[[#This Row],[Etapa Ingreso - Atención]]),"")</f>
        <v>46237.765972222223</v>
      </c>
      <c r="AL110" s="11">
        <f>IFERROR(IF(MARÍTIMOS[[#This Row],[Etapa Ingreso - Salida]]="","",MARÍTIMOS[[#This Row],[Etapa Ingreso - Salida]]),"")</f>
        <v>46237.775694444441</v>
      </c>
      <c r="AM110" s="2">
        <f>IFERROR(IF(MARÍTIMOS[[#This Row],[FCL]]="","",MARÍTIMOS[[#This Row],[FCL]]),"")</f>
        <v>1</v>
      </c>
      <c r="AN1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10" s="4" t="str" cm="1">
        <f t="array" ref="AO1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10" s="5" t="str">
        <f>IFERROR(OLDBD[[#This Row],[Llegada a packing]]-OLDBD[[#This Row],[Inicio de Ruta]],"")</f>
        <v/>
      </c>
      <c r="AQ110" s="6">
        <f>IFERROR(OLDBD[[#This Row],[Inicio de Ruta]]-OLDBD[[#This Row],[Salida de almacén de retiro]],"")</f>
        <v>0.10763888889050577</v>
      </c>
      <c r="AR1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0" s="8" t="str" cm="1">
        <f t="array" ref="AS1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0" s="9" t="str">
        <f>IFERROR(OLDBD[[#This Row],[Ingreso Packing]]-OLDBD[[#This Row],[Registro en Packing]],"")</f>
        <v/>
      </c>
      <c r="AV110" s="9" t="str">
        <f>IFERROR(OLDBD[[#This Row],[Ingreso Packing]]-OLDBD[[#This Row],[Llegada a packing]],"")</f>
        <v/>
      </c>
      <c r="AW1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0" s="5" t="str">
        <f>IFERROR(OLDBD[[#This Row],[Llegada Almacén de Ingreso]]-OLDBD[[#This Row],[Salida Packing]],"")</f>
        <v/>
      </c>
      <c r="AY110" s="4" t="str" cm="1">
        <f t="array" ref="AY1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10" s="43" t="s">
        <v>173</v>
      </c>
      <c r="BB110" s="47" t="str">
        <f>IFERROR(IF(MARÍTIMOS[[#This Row],[Estatus]]="","",MARÍTIMOS[[#This Row],[Estatus]]),"")</f>
        <v>Confirmado</v>
      </c>
      <c r="BC110" s="43"/>
      <c r="BD110" s="46">
        <f>IFERROR(OLDBD[[#This Row],[Salida de almacén de retiro]]-OLDBD[[#This Row],[Ingreso Almacén de retiro]],"")</f>
        <v>2.7777777773735579E-2</v>
      </c>
      <c r="BE110" s="46" t="str">
        <f>IFERROR(OLDBD[[#This Row],[Fin de Carga]]-OLDBD[[#This Row],[Inicio de Carga]],"")</f>
        <v/>
      </c>
    </row>
    <row r="111" spans="1:57" customFormat="1" hidden="1">
      <c r="A111" s="1"/>
      <c r="B111" s="1">
        <f>IFERROR(IF(MARÍTIMOS[[#This Row],[PP]]="","",MARÍTIMOS[[#This Row],[PP]]),"")</f>
        <v>31</v>
      </c>
      <c r="C111" s="1" t="str">
        <f>IFERROR(IF(MARÍTIMOS[[#This Row],[Sede]]="","",MARÍTIMOS[[#This Row],[Sede]]),"")</f>
        <v>Chao</v>
      </c>
      <c r="D111" s="1" t="str">
        <f>IFERROR(IF(MARÍTIMOS[[#This Row],[Instruction]]="","",MARÍTIMOS[[#This Row],[Instruction]]),"")</f>
        <v>RH-0340</v>
      </c>
      <c r="E111" s="1"/>
      <c r="F111" s="2" t="str">
        <f>IFERROR(IF(MARÍTIMOS[[#This Row],[Transportista]]="","",MARÍTIMOS[[#This Row],[Transportista]]),"")</f>
        <v>Expert Transport</v>
      </c>
      <c r="G111" s="2" t="str">
        <f>IFERROR(IF(MARÍTIMOS[[#This Row],[Tercero]]="","",MARÍTIMOS[[#This Row],[Tercero]]),"")</f>
        <v>NO</v>
      </c>
      <c r="H111" s="2" t="str">
        <f>IFERROR(IF(MARÍTIMOS[[#This Row],[Razón Social]]="","",MARÍTIMOS[[#This Row],[Razón Social]]),"")</f>
        <v xml:space="preserve">EXPERT TRANSPORT SAC </v>
      </c>
      <c r="I111" s="2">
        <f>IFERROR(IF(MARÍTIMOS[[#This Row],[RUC]]="","",MARÍTIMOS[[#This Row],[RUC]]),"")</f>
        <v>20544424751</v>
      </c>
      <c r="J111" s="2" t="str">
        <f>IFERROR(IF(MARÍTIMOS[[#This Row],[Placa Tracto]]="","",MARÍTIMOS[[#This Row],[Placa Tracto]]),"")</f>
        <v>V1B809</v>
      </c>
      <c r="K111" s="2" t="str">
        <f>IFERROR(IF(MARÍTIMOS[[#This Row],[Placa Carreta]]="","",MARÍTIMOS[[#This Row],[Placa Carreta]]),"")</f>
        <v>TKC975</v>
      </c>
      <c r="L111" s="44" t="str">
        <f>IFERROR(IF(MARÍTIMOS[[#This Row],[Conductor]]="","",MARÍTIMOS[[#This Row],[Conductor]]),"")</f>
        <v>GUILLERMO YOSNEY GONZALEZ RUIZ</v>
      </c>
      <c r="M111" s="2" t="str">
        <f>IFERROR(IF(MARÍTIMOS[[#This Row],[Licencia]]="","",MARÍTIMOS[[#This Row],[Licencia]]),"")</f>
        <v>Q005581456</v>
      </c>
      <c r="N111" s="2">
        <f>IFERROR(IF(MARÍTIMOS[[#This Row],[Número de Contacto]]="","",MARÍTIMOS[[#This Row],[Número de Contacto]]),"")</f>
        <v>914472332</v>
      </c>
      <c r="O111" s="10" t="str">
        <f>IFERROR(IF(MARÍTIMOS[[#This Row],[Booking|AWB|CRT]]="","",MARÍTIMOS[[#This Row],[Booking|AWB|CRT]]),"")</f>
        <v>BN80272</v>
      </c>
      <c r="P111" s="2" t="str">
        <f>IFERROR(IF(MARÍTIMOS[[#This Row],[Contenedor]]="","",MARÍTIMOS[[#This Row],[Contenedor]]),"")</f>
        <v>SEKU9152116</v>
      </c>
      <c r="Q111" s="2" t="str">
        <f>IFERROR(IF(MARÍTIMOS[[#This Row],[Puerto de Retiro]]="","",MARÍTIMOS[[#This Row],[Puerto de Retiro]]),"")</f>
        <v>PAITA</v>
      </c>
      <c r="R111" s="2" t="str">
        <f>IFERROR(IF(MARÍTIMOS[[#This Row],[Almacén de Retiro]]="","",MARÍTIMOS[[#This Row],[Almacén de Retiro]]),"")</f>
        <v>DPW</v>
      </c>
      <c r="S111" s="11">
        <f>IFERROR(IF(MARÍTIMOS[[#This Row],[Etapa Retiro - Cita]]="","",MARÍTIMOS[[#This Row],[Etapa Retiro - Cita]]),"")</f>
        <v>46235.5</v>
      </c>
      <c r="T111" s="11">
        <f>IFERROR(IF(MARÍTIMOS[[#This Row],[Etapa Retiro - Llegada]]="","",MARÍTIMOS[[#This Row],[Etapa Retiro - Llegada]]),"")</f>
        <v>46235.513888888891</v>
      </c>
      <c r="U111" s="11">
        <f>IFERROR(IF(MARÍTIMOS[[#This Row],[Etapa Retiro - Ingreso]]="","",MARÍTIMOS[[#This Row],[Etapa Retiro - Ingreso]]),"")</f>
        <v>46235.602083333331</v>
      </c>
      <c r="V111" s="11">
        <f>IFERROR(IF(MARÍTIMOS[[#This Row],[Etapa Retiro - Atención]]="","",MARÍTIMOS[[#This Row],[Etapa Retiro - Atención]]),"")</f>
        <v>46235.640277777777</v>
      </c>
      <c r="W111" s="11">
        <f>IFERROR(IF(MARÍTIMOS[[#This Row],[Etapa Retiro - Atención]]="","",MARÍTIMOS[[#This Row],[Etapa Retiro - Atención]]),"")</f>
        <v>46235.640277777777</v>
      </c>
      <c r="X111" s="11">
        <f>IFERROR(IF(MARÍTIMOS[[#This Row],[Etapa Retiro - Inicio de Ruta]]="","",MARÍTIMOS[[#This Row],[Etapa Retiro - Inicio de Ruta]]),"")</f>
        <v>46235.739583333336</v>
      </c>
      <c r="Y111" s="11">
        <f>IFERROR(IF(MARÍTIMOS[[#This Row],[Hora de Posicionamiento]]="","",MARÍTIMOS[[#This Row],[Fecha de Carga]]+MARÍTIMOS[[#This Row],[Hora de Posicionamiento]]),"")</f>
        <v>46235.583333333336</v>
      </c>
      <c r="Z111" s="11" t="str">
        <f>IFERROR(IF(MARÍTIMOS[[#This Row],[Etapa Despacho - Llegada]]="","",MARÍTIMOS[[#This Row],[Etapa Despacho - Llegada]]),"")</f>
        <v/>
      </c>
      <c r="AA111" s="11" t="str">
        <f>IFERROR(IF(MARÍTIMOS[[#This Row],[Etapa Despacho - Registro]]="","",MARÍTIMOS[[#This Row],[Etapa Despacho - Registro]]),"")</f>
        <v/>
      </c>
      <c r="AB111" s="11">
        <f>IFERROR(IF(MARÍTIMOS[[#This Row],[Inspección Externa]]="","",MARÍTIMOS[[#This Row],[Inspección Externa]]),"")</f>
        <v>46236.657638888886</v>
      </c>
      <c r="AC111" s="11" t="str">
        <f>IFERROR(IF(MARÍTIMOS[[#This Row],[Etapa Despacho - Inicio de Carga]]="","",MARÍTIMOS[[#This Row],[Etapa Despacho - Inicio de Carga]]),"")</f>
        <v/>
      </c>
      <c r="AD111" s="11" t="str">
        <f>IFERROR(IF(MARÍTIMOS[[#This Row],[Etapa Despacho - Mitad de Carga]]="","",MARÍTIMOS[[#This Row],[Etapa Despacho - Mitad de Carga]]),"")</f>
        <v/>
      </c>
      <c r="AE111" s="11" t="str">
        <f>IFERROR(IF(MARÍTIMOS[[#This Row],[Etapa Despacho - Fin de Carga]]="","",MARÍTIMOS[[#This Row],[Etapa Despacho - Fin de Carga]]),"")</f>
        <v/>
      </c>
      <c r="AF111" s="2" t="str">
        <f>IFERROR(IF(MARÍTIMOS[[#This Row],[Puerto de Embarque]]="","",MARÍTIMOS[[#This Row],[Puerto de Embarque]]),"")</f>
        <v>Paita</v>
      </c>
      <c r="AG111" s="2" t="str">
        <f>IFERROR(IF(MARÍTIMOS[[#This Row],[Almacén de Ingreso]]="","",MARÍTIMOS[[#This Row],[Almacén de Ingreso]]),"")</f>
        <v>TPE</v>
      </c>
      <c r="AH111" s="11">
        <f>IFERROR(IF(MARÍTIMOS[[#This Row],[Etapa Ingreso - Cita]]="","",MARÍTIMOS[[#This Row],[Etapa Ingreso - Cita]]),"")</f>
        <v>46237.791666666664</v>
      </c>
      <c r="AI111" s="11">
        <f>IFERROR(IF(MARÍTIMOS[[#This Row],[Etapa Ingreso - Llegada]]="","",MARÍTIMOS[[#This Row],[Etapa Ingreso - Llegada]]),"")</f>
        <v>46237.755555555559</v>
      </c>
      <c r="AJ111" s="11">
        <f>IFERROR(IF(MARÍTIMOS[[#This Row],[Etapa Ingreso - Ingeso]]="","",MARÍTIMOS[[#This Row],[Etapa Ingreso - Ingeso]]),"")</f>
        <v>46237.758333333331</v>
      </c>
      <c r="AK111" s="11">
        <f>IFERROR(IF(MARÍTIMOS[[#This Row],[Etapa Ingreso - Atención]]="","",MARÍTIMOS[[#This Row],[Etapa Ingreso - Atención]]),"")</f>
        <v>46237.763888888891</v>
      </c>
      <c r="AL111" s="11">
        <f>IFERROR(IF(MARÍTIMOS[[#This Row],[Etapa Ingreso - Salida]]="","",MARÍTIMOS[[#This Row],[Etapa Ingreso - Salida]]),"")</f>
        <v>46237.775000000001</v>
      </c>
      <c r="AM111" s="2">
        <f>IFERROR(IF(MARÍTIMOS[[#This Row],[FCL]]="","",MARÍTIMOS[[#This Row],[FCL]]),"")</f>
        <v>1</v>
      </c>
      <c r="AN1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11" s="4" t="str" cm="1">
        <f t="array" ref="AO1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11" s="5" t="str">
        <f>IFERROR(OLDBD[[#This Row],[Llegada a packing]]-OLDBD[[#This Row],[Inicio de Ruta]],"")</f>
        <v/>
      </c>
      <c r="AQ111" s="6">
        <f>IFERROR(OLDBD[[#This Row],[Inicio de Ruta]]-OLDBD[[#This Row],[Salida de almacén de retiro]],"")</f>
        <v>9.930555555911269E-2</v>
      </c>
      <c r="AR1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1" s="8" t="str" cm="1">
        <f t="array" ref="AS1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1" s="9" t="str">
        <f>IFERROR(OLDBD[[#This Row],[Ingreso Packing]]-OLDBD[[#This Row],[Registro en Packing]],"")</f>
        <v/>
      </c>
      <c r="AV111" s="9" t="str">
        <f>IFERROR(OLDBD[[#This Row],[Ingreso Packing]]-OLDBD[[#This Row],[Llegada a packing]],"")</f>
        <v/>
      </c>
      <c r="AW1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1" s="5" t="str">
        <f>IFERROR(OLDBD[[#This Row],[Llegada Almacén de Ingreso]]-OLDBD[[#This Row],[Salida Packing]],"")</f>
        <v/>
      </c>
      <c r="AY111" s="4" t="str" cm="1">
        <f t="array" ref="AY1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11" s="43" t="s">
        <v>173</v>
      </c>
      <c r="BB111" s="47" t="str">
        <f>IFERROR(IF(MARÍTIMOS[[#This Row],[Estatus]]="","",MARÍTIMOS[[#This Row],[Estatus]]),"")</f>
        <v>Confirmado</v>
      </c>
      <c r="BC111" s="43"/>
      <c r="BD111" s="46">
        <f>IFERROR(OLDBD[[#This Row],[Salida de almacén de retiro]]-OLDBD[[#This Row],[Ingreso Almacén de retiro]],"")</f>
        <v>3.8194444445252884E-2</v>
      </c>
      <c r="BE111" s="46" t="str">
        <f>IFERROR(OLDBD[[#This Row],[Fin de Carga]]-OLDBD[[#This Row],[Inicio de Carga]],"")</f>
        <v/>
      </c>
    </row>
    <row r="112" spans="1:57" customFormat="1" hidden="1">
      <c r="A112" s="1"/>
      <c r="B112" s="1">
        <f>IFERROR(IF(MARÍTIMOS[[#This Row],[PP]]="","",MARÍTIMOS[[#This Row],[PP]]),"")</f>
        <v>31</v>
      </c>
      <c r="C112" s="1" t="str">
        <f>IFERROR(IF(MARÍTIMOS[[#This Row],[Sede]]="","",MARÍTIMOS[[#This Row],[Sede]]),"")</f>
        <v>Chao</v>
      </c>
      <c r="D112" s="1" t="str">
        <f>IFERROR(IF(MARÍTIMOS[[#This Row],[Instruction]]="","",MARÍTIMOS[[#This Row],[Instruction]]),"")</f>
        <v>RH-0364</v>
      </c>
      <c r="E112" s="1"/>
      <c r="F112" s="2" t="str">
        <f>IFERROR(IF(MARÍTIMOS[[#This Row],[Transportista]]="","",MARÍTIMOS[[#This Row],[Transportista]]),"")</f>
        <v>Expert Transport</v>
      </c>
      <c r="G112" s="2" t="str">
        <f>IFERROR(IF(MARÍTIMOS[[#This Row],[Tercero]]="","",MARÍTIMOS[[#This Row],[Tercero]]),"")</f>
        <v>NO</v>
      </c>
      <c r="H112" s="2" t="str">
        <f>IFERROR(IF(MARÍTIMOS[[#This Row],[Razón Social]]="","",MARÍTIMOS[[#This Row],[Razón Social]]),"")</f>
        <v xml:space="preserve">EXPERT TRANSPORT SAC </v>
      </c>
      <c r="I112" s="2">
        <f>IFERROR(IF(MARÍTIMOS[[#This Row],[RUC]]="","",MARÍTIMOS[[#This Row],[RUC]]),"")</f>
        <v>20544424751</v>
      </c>
      <c r="J112" s="2" t="str">
        <f>IFERROR(IF(MARÍTIMOS[[#This Row],[Placa Tracto]]="","",MARÍTIMOS[[#This Row],[Placa Tracto]]),"")</f>
        <v>C5Z734</v>
      </c>
      <c r="K112" s="2" t="str">
        <f>IFERROR(IF(MARÍTIMOS[[#This Row],[Placa Carreta]]="","",MARÍTIMOS[[#This Row],[Placa Carreta]]),"")</f>
        <v>TJE975</v>
      </c>
      <c r="L112" s="44" t="str">
        <f>IFERROR(IF(MARÍTIMOS[[#This Row],[Conductor]]="","",MARÍTIMOS[[#This Row],[Conductor]]),"")</f>
        <v>LUIS CARLOS LAMAS RUIZ</v>
      </c>
      <c r="M112" s="2" t="str">
        <f>IFERROR(IF(MARÍTIMOS[[#This Row],[Licencia]]="","",MARÍTIMOS[[#This Row],[Licencia]]),"")</f>
        <v>B009531613</v>
      </c>
      <c r="N112" s="2">
        <f>IFERROR(IF(MARÍTIMOS[[#This Row],[Número de Contacto]]="","",MARÍTIMOS[[#This Row],[Número de Contacto]]),"")</f>
        <v>986078320</v>
      </c>
      <c r="O112" s="10" t="str">
        <f>IFERROR(IF(MARÍTIMOS[[#This Row],[Booking|AWB|CRT]]="","",MARÍTIMOS[[#This Row],[Booking|AWB|CRT]]),"")</f>
        <v>PER9173257A</v>
      </c>
      <c r="P112" s="2" t="str">
        <f>IFERROR(IF(MARÍTIMOS[[#This Row],[Contenedor]]="","",MARÍTIMOS[[#This Row],[Contenedor]]),"")</f>
        <v>SEGU9887071</v>
      </c>
      <c r="Q112" s="2" t="str">
        <f>IFERROR(IF(MARÍTIMOS[[#This Row],[Puerto de Retiro]]="","",MARÍTIMOS[[#This Row],[Puerto de Retiro]]),"")</f>
        <v>PAITA</v>
      </c>
      <c r="R112" s="2" t="str">
        <f>IFERROR(IF(MARÍTIMOS[[#This Row],[Almacén de Retiro]]="","",MARÍTIMOS[[#This Row],[Almacén de Retiro]]),"")</f>
        <v>DPW</v>
      </c>
      <c r="S112" s="11">
        <f>IFERROR(IF(MARÍTIMOS[[#This Row],[Etapa Retiro - Cita]]="","",MARÍTIMOS[[#This Row],[Etapa Retiro - Cita]]),"")</f>
        <v>46235.708333333336</v>
      </c>
      <c r="T112" s="11">
        <f>IFERROR(IF(MARÍTIMOS[[#This Row],[Etapa Retiro - Llegada]]="","",MARÍTIMOS[[#This Row],[Etapa Retiro - Llegada]]),"")</f>
        <v>46235.70416666667</v>
      </c>
      <c r="U112" s="11">
        <f>IFERROR(IF(MARÍTIMOS[[#This Row],[Etapa Retiro - Ingreso]]="","",MARÍTIMOS[[#This Row],[Etapa Retiro - Ingreso]]),"")</f>
        <v>46235.715277777781</v>
      </c>
      <c r="V112" s="11">
        <f>IFERROR(IF(MARÍTIMOS[[#This Row],[Etapa Retiro - Atención]]="","",MARÍTIMOS[[#This Row],[Etapa Retiro - Atención]]),"")</f>
        <v>46235.71875</v>
      </c>
      <c r="W112" s="11">
        <f>IFERROR(IF(MARÍTIMOS[[#This Row],[Etapa Retiro - Atención]]="","",MARÍTIMOS[[#This Row],[Etapa Retiro - Atención]]),"")</f>
        <v>46235.71875</v>
      </c>
      <c r="X112" s="11">
        <f>IFERROR(IF(MARÍTIMOS[[#This Row],[Etapa Retiro - Inicio de Ruta]]="","",MARÍTIMOS[[#This Row],[Etapa Retiro - Inicio de Ruta]]),"")</f>
        <v>46235.78402777778</v>
      </c>
      <c r="Y112" s="11">
        <f>IFERROR(IF(MARÍTIMOS[[#This Row],[Hora de Posicionamiento]]="","",MARÍTIMOS[[#This Row],[Fecha de Carga]]+MARÍTIMOS[[#This Row],[Hora de Posicionamiento]]),"")</f>
        <v>46235.666666666664</v>
      </c>
      <c r="Z112" s="11" t="str">
        <f>IFERROR(IF(MARÍTIMOS[[#This Row],[Etapa Despacho - Llegada]]="","",MARÍTIMOS[[#This Row],[Etapa Despacho - Llegada]]),"")</f>
        <v/>
      </c>
      <c r="AA112" s="11" t="str">
        <f>IFERROR(IF(MARÍTIMOS[[#This Row],[Etapa Despacho - Registro]]="","",MARÍTIMOS[[#This Row],[Etapa Despacho - Registro]]),"")</f>
        <v/>
      </c>
      <c r="AB112" s="11">
        <f>IFERROR(IF(MARÍTIMOS[[#This Row],[Inspección Externa]]="","",MARÍTIMOS[[#This Row],[Inspección Externa]]),"")</f>
        <v>46236.611111111109</v>
      </c>
      <c r="AC112" s="11" t="str">
        <f>IFERROR(IF(MARÍTIMOS[[#This Row],[Etapa Despacho - Inicio de Carga]]="","",MARÍTIMOS[[#This Row],[Etapa Despacho - Inicio de Carga]]),"")</f>
        <v/>
      </c>
      <c r="AD112" s="11" t="str">
        <f>IFERROR(IF(MARÍTIMOS[[#This Row],[Etapa Despacho - Mitad de Carga]]="","",MARÍTIMOS[[#This Row],[Etapa Despacho - Mitad de Carga]]),"")</f>
        <v/>
      </c>
      <c r="AE112" s="11" t="str">
        <f>IFERROR(IF(MARÍTIMOS[[#This Row],[Etapa Despacho - Fin de Carga]]="","",MARÍTIMOS[[#This Row],[Etapa Despacho - Fin de Carga]]),"")</f>
        <v/>
      </c>
      <c r="AF112" s="2" t="str">
        <f>IFERROR(IF(MARÍTIMOS[[#This Row],[Puerto de Embarque]]="","",MARÍTIMOS[[#This Row],[Puerto de Embarque]]),"")</f>
        <v>Paita</v>
      </c>
      <c r="AG112" s="2" t="str">
        <f>IFERROR(IF(MARÍTIMOS[[#This Row],[Almacén de Ingreso]]="","",MARÍTIMOS[[#This Row],[Almacén de Ingreso]]),"")</f>
        <v>TPE</v>
      </c>
      <c r="AH112" s="11">
        <f>IFERROR(IF(MARÍTIMOS[[#This Row],[Etapa Ingreso - Cita]]="","",MARÍTIMOS[[#This Row],[Etapa Ingreso - Cita]]),"")</f>
        <v>46237.791666666664</v>
      </c>
      <c r="AI112" s="11">
        <f>IFERROR(IF(MARÍTIMOS[[#This Row],[Etapa Ingreso - Llegada]]="","",MARÍTIMOS[[#This Row],[Etapa Ingreso - Llegada]]),"")</f>
        <v>46237.754861111112</v>
      </c>
      <c r="AJ112" s="11">
        <f>IFERROR(IF(MARÍTIMOS[[#This Row],[Etapa Ingreso - Ingeso]]="","",MARÍTIMOS[[#This Row],[Etapa Ingreso - Ingeso]]),"")</f>
        <v>46237.757638888892</v>
      </c>
      <c r="AK112" s="11">
        <f>IFERROR(IF(MARÍTIMOS[[#This Row],[Etapa Ingreso - Atención]]="","",MARÍTIMOS[[#This Row],[Etapa Ingreso - Atención]]),"")</f>
        <v>46237.765972222223</v>
      </c>
      <c r="AL112" s="11">
        <f>IFERROR(IF(MARÍTIMOS[[#This Row],[Etapa Ingreso - Salida]]="","",MARÍTIMOS[[#This Row],[Etapa Ingreso - Salida]]),"")</f>
        <v>46237.775000000001</v>
      </c>
      <c r="AM112" s="2">
        <f>IFERROR(IF(MARÍTIMOS[[#This Row],[FCL]]="","",MARÍTIMOS[[#This Row],[FCL]]),"")</f>
        <v>1</v>
      </c>
      <c r="AN1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12" s="4" t="str" cm="1">
        <f t="array" ref="AO1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12" s="5" t="str">
        <f>IFERROR(OLDBD[[#This Row],[Llegada a packing]]-OLDBD[[#This Row],[Inicio de Ruta]],"")</f>
        <v/>
      </c>
      <c r="AQ112" s="6">
        <f>IFERROR(OLDBD[[#This Row],[Inicio de Ruta]]-OLDBD[[#This Row],[Salida de almacén de retiro]],"")</f>
        <v>6.5277777779556345E-2</v>
      </c>
      <c r="AR1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2" s="8" t="str" cm="1">
        <f t="array" ref="AS1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2" s="9" t="str">
        <f>IFERROR(OLDBD[[#This Row],[Ingreso Packing]]-OLDBD[[#This Row],[Registro en Packing]],"")</f>
        <v/>
      </c>
      <c r="AV112" s="9" t="str">
        <f>IFERROR(OLDBD[[#This Row],[Ingreso Packing]]-OLDBD[[#This Row],[Llegada a packing]],"")</f>
        <v/>
      </c>
      <c r="AW1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2" s="5" t="str">
        <f>IFERROR(OLDBD[[#This Row],[Llegada Almacén de Ingreso]]-OLDBD[[#This Row],[Salida Packing]],"")</f>
        <v/>
      </c>
      <c r="AY112" s="4" t="str" cm="1">
        <f t="array" ref="AY1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12" s="43" t="s">
        <v>173</v>
      </c>
      <c r="BB112" s="47" t="str">
        <f>IFERROR(IF(MARÍTIMOS[[#This Row],[Estatus]]="","",MARÍTIMOS[[#This Row],[Estatus]]),"")</f>
        <v>Confirmado</v>
      </c>
      <c r="BC112" s="43"/>
      <c r="BD112" s="46">
        <f>IFERROR(OLDBD[[#This Row],[Salida de almacén de retiro]]-OLDBD[[#This Row],[Ingreso Almacén de retiro]],"")</f>
        <v>3.4722222189884633E-3</v>
      </c>
      <c r="BE112" s="46" t="str">
        <f>IFERROR(OLDBD[[#This Row],[Fin de Carga]]-OLDBD[[#This Row],[Inicio de Carga]],"")</f>
        <v/>
      </c>
    </row>
    <row r="113" spans="1:57" customFormat="1" hidden="1">
      <c r="A113" s="1"/>
      <c r="B113" s="1">
        <f>IFERROR(IF(MARÍTIMOS[[#This Row],[PP]]="","",MARÍTIMOS[[#This Row],[PP]]),"")</f>
        <v>31</v>
      </c>
      <c r="C113" s="1" t="str">
        <f>IFERROR(IF(MARÍTIMOS[[#This Row],[Sede]]="","",MARÍTIMOS[[#This Row],[Sede]]),"")</f>
        <v>Chao</v>
      </c>
      <c r="D113" s="1" t="str">
        <f>IFERROR(IF(MARÍTIMOS[[#This Row],[Instruction]]="","",MARÍTIMOS[[#This Row],[Instruction]]),"")</f>
        <v>RH-0347</v>
      </c>
      <c r="E113" s="1"/>
      <c r="F113" s="2" t="str">
        <f>IFERROR(IF(MARÍTIMOS[[#This Row],[Transportista]]="","",MARÍTIMOS[[#This Row],[Transportista]]),"")</f>
        <v>Expert Transport</v>
      </c>
      <c r="G113" s="2" t="str">
        <f>IFERROR(IF(MARÍTIMOS[[#This Row],[Tercero]]="","",MARÍTIMOS[[#This Row],[Tercero]]),"")</f>
        <v>NO</v>
      </c>
      <c r="H113" s="2" t="str">
        <f>IFERROR(IF(MARÍTIMOS[[#This Row],[Razón Social]]="","",MARÍTIMOS[[#This Row],[Razón Social]]),"")</f>
        <v xml:space="preserve">EXPERT TRANSPORT SAC </v>
      </c>
      <c r="I113" s="2">
        <f>IFERROR(IF(MARÍTIMOS[[#This Row],[RUC]]="","",MARÍTIMOS[[#This Row],[RUC]]),"")</f>
        <v>20544424751</v>
      </c>
      <c r="J113" s="2" t="str">
        <f>IFERROR(IF(MARÍTIMOS[[#This Row],[Placa Tracto]]="","",MARÍTIMOS[[#This Row],[Placa Tracto]]),"")</f>
        <v>V4N706</v>
      </c>
      <c r="K113" s="2" t="str">
        <f>IFERROR(IF(MARÍTIMOS[[#This Row],[Placa Carreta]]="","",MARÍTIMOS[[#This Row],[Placa Carreta]]),"")</f>
        <v>TJD977</v>
      </c>
      <c r="L113" s="44" t="str">
        <f>IFERROR(IF(MARÍTIMOS[[#This Row],[Conductor]]="","",MARÍTIMOS[[#This Row],[Conductor]]),"")</f>
        <v>MARIO WILMER AVENDAÑO ACHA</v>
      </c>
      <c r="M113" s="2" t="str">
        <f>IFERROR(IF(MARÍTIMOS[[#This Row],[Licencia]]="","",MARÍTIMOS[[#This Row],[Licencia]]),"")</f>
        <v>B46445299</v>
      </c>
      <c r="N113" s="2">
        <f>IFERROR(IF(MARÍTIMOS[[#This Row],[Número de Contacto]]="","",MARÍTIMOS[[#This Row],[Número de Contacto]]),"")</f>
        <v>946500525</v>
      </c>
      <c r="O113" s="10" t="str">
        <f>IFERROR(IF(MARÍTIMOS[[#This Row],[Booking|AWB|CRT]]="","",MARÍTIMOS[[#This Row],[Booking|AWB|CRT]]),"")</f>
        <v>PER9166892A</v>
      </c>
      <c r="P113" s="2" t="str">
        <f>IFERROR(IF(MARÍTIMOS[[#This Row],[Contenedor]]="","",MARÍTIMOS[[#This Row],[Contenedor]]),"")</f>
        <v>GCXU8016876</v>
      </c>
      <c r="Q113" s="2" t="str">
        <f>IFERROR(IF(MARÍTIMOS[[#This Row],[Puerto de Retiro]]="","",MARÍTIMOS[[#This Row],[Puerto de Retiro]]),"")</f>
        <v>PAITA</v>
      </c>
      <c r="R113" s="2" t="str">
        <f>IFERROR(IF(MARÍTIMOS[[#This Row],[Almacén de Retiro]]="","",MARÍTIMOS[[#This Row],[Almacén de Retiro]]),"")</f>
        <v>DPW</v>
      </c>
      <c r="S113" s="11">
        <f>IFERROR(IF(MARÍTIMOS[[#This Row],[Etapa Retiro - Cita]]="","",MARÍTIMOS[[#This Row],[Etapa Retiro - Cita]]),"")</f>
        <v>46236.416666666664</v>
      </c>
      <c r="T113" s="11">
        <f>IFERROR(IF(MARÍTIMOS[[#This Row],[Etapa Retiro - Llegada]]="","",MARÍTIMOS[[#This Row],[Etapa Retiro - Llegada]]),"")</f>
        <v>46236.423611111109</v>
      </c>
      <c r="U113" s="11">
        <f>IFERROR(IF(MARÍTIMOS[[#This Row],[Etapa Retiro - Ingreso]]="","",MARÍTIMOS[[#This Row],[Etapa Retiro - Ingreso]]),"")</f>
        <v>46236.444444444445</v>
      </c>
      <c r="V113" s="11">
        <f>IFERROR(IF(MARÍTIMOS[[#This Row],[Etapa Retiro - Atención]]="","",MARÍTIMOS[[#This Row],[Etapa Retiro - Atención]]),"")</f>
        <v>46236.493055555555</v>
      </c>
      <c r="W113" s="11">
        <f>IFERROR(IF(MARÍTIMOS[[#This Row],[Etapa Retiro - Atención]]="","",MARÍTIMOS[[#This Row],[Etapa Retiro - Atención]]),"")</f>
        <v>46236.493055555555</v>
      </c>
      <c r="X113" s="11">
        <f>IFERROR(IF(MARÍTIMOS[[#This Row],[Etapa Retiro - Inicio de Ruta]]="","",MARÍTIMOS[[#This Row],[Etapa Retiro - Inicio de Ruta]]),"")</f>
        <v>46236.576388888891</v>
      </c>
      <c r="Y113" s="11">
        <f>IFERROR(IF(MARÍTIMOS[[#This Row],[Hora de Posicionamiento]]="","",MARÍTIMOS[[#This Row],[Fecha de Carga]]+MARÍTIMOS[[#This Row],[Hora de Posicionamiento]]),"")</f>
        <v>46236.583333333336</v>
      </c>
      <c r="Z113" s="11" t="str">
        <f>IFERROR(IF(MARÍTIMOS[[#This Row],[Etapa Despacho - Llegada]]="","",MARÍTIMOS[[#This Row],[Etapa Despacho - Llegada]]),"")</f>
        <v/>
      </c>
      <c r="AA113" s="11" t="str">
        <f>IFERROR(IF(MARÍTIMOS[[#This Row],[Etapa Despacho - Registro]]="","",MARÍTIMOS[[#This Row],[Etapa Despacho - Registro]]),"")</f>
        <v/>
      </c>
      <c r="AB113" s="11">
        <f>IFERROR(IF(MARÍTIMOS[[#This Row],[Inspección Externa]]="","",MARÍTIMOS[[#This Row],[Inspección Externa]]),"")</f>
        <v>46237.565972222219</v>
      </c>
      <c r="AC113" s="11" t="str">
        <f>IFERROR(IF(MARÍTIMOS[[#This Row],[Etapa Despacho - Inicio de Carga]]="","",MARÍTIMOS[[#This Row],[Etapa Despacho - Inicio de Carga]]),"")</f>
        <v/>
      </c>
      <c r="AD113" s="11" t="str">
        <f>IFERROR(IF(MARÍTIMOS[[#This Row],[Etapa Despacho - Mitad de Carga]]="","",MARÍTIMOS[[#This Row],[Etapa Despacho - Mitad de Carga]]),"")</f>
        <v/>
      </c>
      <c r="AE113" s="11" t="str">
        <f>IFERROR(IF(MARÍTIMOS[[#This Row],[Etapa Despacho - Fin de Carga]]="","",MARÍTIMOS[[#This Row],[Etapa Despacho - Fin de Carga]]),"")</f>
        <v/>
      </c>
      <c r="AF113" s="2" t="str">
        <f>IFERROR(IF(MARÍTIMOS[[#This Row],[Puerto de Embarque]]="","",MARÍTIMOS[[#This Row],[Puerto de Embarque]]),"")</f>
        <v>Paita</v>
      </c>
      <c r="AG113" s="2" t="str">
        <f>IFERROR(IF(MARÍTIMOS[[#This Row],[Almacén de Ingreso]]="","",MARÍTIMOS[[#This Row],[Almacén de Ingreso]]),"")</f>
        <v>TPE</v>
      </c>
      <c r="AH113" s="11">
        <f>IFERROR(IF(MARÍTIMOS[[#This Row],[Etapa Ingreso - Cita]]="","",MARÍTIMOS[[#This Row],[Etapa Ingreso - Cita]]),"")</f>
        <v>46238.583333333336</v>
      </c>
      <c r="AI113" s="11">
        <f>IFERROR(IF(MARÍTIMOS[[#This Row],[Etapa Ingreso - Llegada]]="","",MARÍTIMOS[[#This Row],[Etapa Ingreso - Llegada]]),"")</f>
        <v>46238.550694444442</v>
      </c>
      <c r="AJ113" s="11">
        <f>IFERROR(IF(MARÍTIMOS[[#This Row],[Etapa Ingreso - Ingeso]]="","",MARÍTIMOS[[#This Row],[Etapa Ingreso - Ingeso]]),"")</f>
        <v>46238.560416666667</v>
      </c>
      <c r="AK113" s="11">
        <f>IFERROR(IF(MARÍTIMOS[[#This Row],[Etapa Ingreso - Atención]]="","",MARÍTIMOS[[#This Row],[Etapa Ingreso - Atención]]),"")</f>
        <v>46238.570138888892</v>
      </c>
      <c r="AL113" s="11">
        <f>IFERROR(IF(MARÍTIMOS[[#This Row],[Etapa Ingreso - Salida]]="","",MARÍTIMOS[[#This Row],[Etapa Ingreso - Salida]]),"")</f>
        <v>46238.572222222225</v>
      </c>
      <c r="AM113" s="2">
        <f>IFERROR(IF(MARÍTIMOS[[#This Row],[FCL]]="","",MARÍTIMOS[[#This Row],[FCL]]),"")</f>
        <v>0.5</v>
      </c>
      <c r="AN1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13" s="4" t="str" cm="1">
        <f t="array" ref="AO1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13" s="5" t="str">
        <f>IFERROR(OLDBD[[#This Row],[Llegada a packing]]-OLDBD[[#This Row],[Inicio de Ruta]],"")</f>
        <v/>
      </c>
      <c r="AQ113" s="6">
        <f>IFERROR(OLDBD[[#This Row],[Inicio de Ruta]]-OLDBD[[#This Row],[Salida de almacén de retiro]],"")</f>
        <v>8.3333333335758653E-2</v>
      </c>
      <c r="AR1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3" s="8" t="str" cm="1">
        <f t="array" ref="AS1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3" s="9" t="str">
        <f>IFERROR(OLDBD[[#This Row],[Ingreso Packing]]-OLDBD[[#This Row],[Registro en Packing]],"")</f>
        <v/>
      </c>
      <c r="AV113" s="9" t="str">
        <f>IFERROR(OLDBD[[#This Row],[Ingreso Packing]]-OLDBD[[#This Row],[Llegada a packing]],"")</f>
        <v/>
      </c>
      <c r="AW1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3" s="5" t="str">
        <f>IFERROR(OLDBD[[#This Row],[Llegada Almacén de Ingreso]]-OLDBD[[#This Row],[Salida Packing]],"")</f>
        <v/>
      </c>
      <c r="AY113" s="4" t="str" cm="1">
        <f t="array" ref="AY1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13" s="43" t="s">
        <v>173</v>
      </c>
      <c r="BB113" s="47" t="str">
        <f>IFERROR(IF(MARÍTIMOS[[#This Row],[Estatus]]="","",MARÍTIMOS[[#This Row],[Estatus]]),"")</f>
        <v>Confirmado</v>
      </c>
      <c r="BC113" s="43"/>
      <c r="BD113" s="46">
        <f>IFERROR(OLDBD[[#This Row],[Salida de almacén de retiro]]-OLDBD[[#This Row],[Ingreso Almacén de retiro]],"")</f>
        <v>4.8611111109494232E-2</v>
      </c>
      <c r="BE113" s="46" t="str">
        <f>IFERROR(OLDBD[[#This Row],[Fin de Carga]]-OLDBD[[#This Row],[Inicio de Carga]],"")</f>
        <v/>
      </c>
    </row>
    <row r="114" spans="1:57" customFormat="1" hidden="1">
      <c r="A114" s="1"/>
      <c r="B114" s="1">
        <f>IFERROR(IF(MARÍTIMOS[[#This Row],[PP]]="","",MARÍTIMOS[[#This Row],[PP]]),"")</f>
        <v>31</v>
      </c>
      <c r="C114" s="1" t="str">
        <f>IFERROR(IF(MARÍTIMOS[[#This Row],[Sede]]="","",MARÍTIMOS[[#This Row],[Sede]]),"")</f>
        <v>Chao</v>
      </c>
      <c r="D114" s="1" t="str">
        <f>IFERROR(IF(MARÍTIMOS[[#This Row],[Instruction]]="","",MARÍTIMOS[[#This Row],[Instruction]]),"")</f>
        <v>RH-0347</v>
      </c>
      <c r="E114" s="1"/>
      <c r="F114" s="2" t="str">
        <f>IFERROR(IF(MARÍTIMOS[[#This Row],[Transportista]]="","",MARÍTIMOS[[#This Row],[Transportista]]),"")</f>
        <v>Expert Transport</v>
      </c>
      <c r="G114" s="2" t="str">
        <f>IFERROR(IF(MARÍTIMOS[[#This Row],[Tercero]]="","",MARÍTIMOS[[#This Row],[Tercero]]),"")</f>
        <v>NO</v>
      </c>
      <c r="H114" s="2" t="str">
        <f>IFERROR(IF(MARÍTIMOS[[#This Row],[Razón Social]]="","",MARÍTIMOS[[#This Row],[Razón Social]]),"")</f>
        <v xml:space="preserve">EXPERT TRANSPORT SAC </v>
      </c>
      <c r="I114" s="2">
        <f>IFERROR(IF(MARÍTIMOS[[#This Row],[RUC]]="","",MARÍTIMOS[[#This Row],[RUC]]),"")</f>
        <v>20544424751</v>
      </c>
      <c r="J114" s="2" t="str">
        <f>IFERROR(IF(MARÍTIMOS[[#This Row],[Placa Tracto]]="","",MARÍTIMOS[[#This Row],[Placa Tracto]]),"")</f>
        <v>V4N706</v>
      </c>
      <c r="K114" s="2" t="str">
        <f>IFERROR(IF(MARÍTIMOS[[#This Row],[Placa Carreta]]="","",MARÍTIMOS[[#This Row],[Placa Carreta]]),"")</f>
        <v>TJD977</v>
      </c>
      <c r="L114" s="44" t="str">
        <f>IFERROR(IF(MARÍTIMOS[[#This Row],[Conductor]]="","",MARÍTIMOS[[#This Row],[Conductor]]),"")</f>
        <v>MARIO WILMER AVENDAÑO ACHA</v>
      </c>
      <c r="M114" s="2" t="str">
        <f>IFERROR(IF(MARÍTIMOS[[#This Row],[Licencia]]="","",MARÍTIMOS[[#This Row],[Licencia]]),"")</f>
        <v>B46445299</v>
      </c>
      <c r="N114" s="2">
        <f>IFERROR(IF(MARÍTIMOS[[#This Row],[Número de Contacto]]="","",MARÍTIMOS[[#This Row],[Número de Contacto]]),"")</f>
        <v>946500525</v>
      </c>
      <c r="O114" s="10" t="str">
        <f>IFERROR(IF(MARÍTIMOS[[#This Row],[Booking|AWB|CRT]]="","",MARÍTIMOS[[#This Row],[Booking|AWB|CRT]]),"")</f>
        <v>PER9166892A</v>
      </c>
      <c r="P114" s="2" t="str">
        <f>IFERROR(IF(MARÍTIMOS[[#This Row],[Contenedor]]="","",MARÍTIMOS[[#This Row],[Contenedor]]),"")</f>
        <v>GCXU8016876</v>
      </c>
      <c r="Q114" s="2" t="str">
        <f>IFERROR(IF(MARÍTIMOS[[#This Row],[Puerto de Retiro]]="","",MARÍTIMOS[[#This Row],[Puerto de Retiro]]),"")</f>
        <v>PAITA</v>
      </c>
      <c r="R114" s="2" t="str">
        <f>IFERROR(IF(MARÍTIMOS[[#This Row],[Almacén de Retiro]]="","",MARÍTIMOS[[#This Row],[Almacén de Retiro]]),"")</f>
        <v>DPW</v>
      </c>
      <c r="S114" s="11">
        <f>IFERROR(IF(MARÍTIMOS[[#This Row],[Etapa Retiro - Cita]]="","",MARÍTIMOS[[#This Row],[Etapa Retiro - Cita]]),"")</f>
        <v>46236.416666666664</v>
      </c>
      <c r="T114" s="11">
        <f>IFERROR(IF(MARÍTIMOS[[#This Row],[Etapa Retiro - Llegada]]="","",MARÍTIMOS[[#This Row],[Etapa Retiro - Llegada]]),"")</f>
        <v>46236.423611111109</v>
      </c>
      <c r="U114" s="11">
        <f>IFERROR(IF(MARÍTIMOS[[#This Row],[Etapa Retiro - Ingreso]]="","",MARÍTIMOS[[#This Row],[Etapa Retiro - Ingreso]]),"")</f>
        <v>46236.444444444445</v>
      </c>
      <c r="V114" s="11">
        <f>IFERROR(IF(MARÍTIMOS[[#This Row],[Etapa Retiro - Atención]]="","",MARÍTIMOS[[#This Row],[Etapa Retiro - Atención]]),"")</f>
        <v>46236.493055555555</v>
      </c>
      <c r="W114" s="11">
        <f>IFERROR(IF(MARÍTIMOS[[#This Row],[Etapa Retiro - Atención]]="","",MARÍTIMOS[[#This Row],[Etapa Retiro - Atención]]),"")</f>
        <v>46236.493055555555</v>
      </c>
      <c r="X114" s="11">
        <f>IFERROR(IF(MARÍTIMOS[[#This Row],[Etapa Retiro - Inicio de Ruta]]="","",MARÍTIMOS[[#This Row],[Etapa Retiro - Inicio de Ruta]]),"")</f>
        <v>46236.576388888891</v>
      </c>
      <c r="Y114" s="11">
        <f>IFERROR(IF(MARÍTIMOS[[#This Row],[Hora de Posicionamiento]]="","",MARÍTIMOS[[#This Row],[Fecha de Carga]]+MARÍTIMOS[[#This Row],[Hora de Posicionamiento]]),"")</f>
        <v>46236.583333333336</v>
      </c>
      <c r="Z114" s="11" t="str">
        <f>IFERROR(IF(MARÍTIMOS[[#This Row],[Etapa Despacho - Llegada]]="","",MARÍTIMOS[[#This Row],[Etapa Despacho - Llegada]]),"")</f>
        <v/>
      </c>
      <c r="AA114" s="11" t="str">
        <f>IFERROR(IF(MARÍTIMOS[[#This Row],[Etapa Despacho - Registro]]="","",MARÍTIMOS[[#This Row],[Etapa Despacho - Registro]]),"")</f>
        <v/>
      </c>
      <c r="AB114" s="11">
        <f>IFERROR(IF(MARÍTIMOS[[#This Row],[Inspección Externa]]="","",MARÍTIMOS[[#This Row],[Inspección Externa]]),"")</f>
        <v>46237.565972222219</v>
      </c>
      <c r="AC114" s="11" t="str">
        <f>IFERROR(IF(MARÍTIMOS[[#This Row],[Etapa Despacho - Inicio de Carga]]="","",MARÍTIMOS[[#This Row],[Etapa Despacho - Inicio de Carga]]),"")</f>
        <v/>
      </c>
      <c r="AD114" s="11" t="str">
        <f>IFERROR(IF(MARÍTIMOS[[#This Row],[Etapa Despacho - Mitad de Carga]]="","",MARÍTIMOS[[#This Row],[Etapa Despacho - Mitad de Carga]]),"")</f>
        <v/>
      </c>
      <c r="AE114" s="11" t="str">
        <f>IFERROR(IF(MARÍTIMOS[[#This Row],[Etapa Despacho - Fin de Carga]]="","",MARÍTIMOS[[#This Row],[Etapa Despacho - Fin de Carga]]),"")</f>
        <v/>
      </c>
      <c r="AF114" s="2" t="str">
        <f>IFERROR(IF(MARÍTIMOS[[#This Row],[Puerto de Embarque]]="","",MARÍTIMOS[[#This Row],[Puerto de Embarque]]),"")</f>
        <v>Paita</v>
      </c>
      <c r="AG114" s="2" t="str">
        <f>IFERROR(IF(MARÍTIMOS[[#This Row],[Almacén de Ingreso]]="","",MARÍTIMOS[[#This Row],[Almacén de Ingreso]]),"")</f>
        <v>TPE</v>
      </c>
      <c r="AH114" s="11">
        <f>IFERROR(IF(MARÍTIMOS[[#This Row],[Etapa Ingreso - Cita]]="","",MARÍTIMOS[[#This Row],[Etapa Ingreso - Cita]]),"")</f>
        <v>46238.583333333336</v>
      </c>
      <c r="AI114" s="11">
        <f>IFERROR(IF(MARÍTIMOS[[#This Row],[Etapa Ingreso - Llegada]]="","",MARÍTIMOS[[#This Row],[Etapa Ingreso - Llegada]]),"")</f>
        <v>46238.550694444442</v>
      </c>
      <c r="AJ114" s="11">
        <f>IFERROR(IF(MARÍTIMOS[[#This Row],[Etapa Ingreso - Ingeso]]="","",MARÍTIMOS[[#This Row],[Etapa Ingreso - Ingeso]]),"")</f>
        <v>46238.560416666667</v>
      </c>
      <c r="AK114" s="11">
        <f>IFERROR(IF(MARÍTIMOS[[#This Row],[Etapa Ingreso - Atención]]="","",MARÍTIMOS[[#This Row],[Etapa Ingreso - Atención]]),"")</f>
        <v>46238.570138888892</v>
      </c>
      <c r="AL114" s="11">
        <f>IFERROR(IF(MARÍTIMOS[[#This Row],[Etapa Ingreso - Salida]]="","",MARÍTIMOS[[#This Row],[Etapa Ingreso - Salida]]),"")</f>
        <v>46238.572222222225</v>
      </c>
      <c r="AM114" s="2">
        <f>IFERROR(IF(MARÍTIMOS[[#This Row],[FCL]]="","",MARÍTIMOS[[#This Row],[FCL]]),"")</f>
        <v>0.5</v>
      </c>
      <c r="AN1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14" s="4" t="str" cm="1">
        <f t="array" ref="AO1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14" s="5" t="str">
        <f>IFERROR(OLDBD[[#This Row],[Llegada a packing]]-OLDBD[[#This Row],[Inicio de Ruta]],"")</f>
        <v/>
      </c>
      <c r="AQ114" s="6">
        <f>IFERROR(OLDBD[[#This Row],[Inicio de Ruta]]-OLDBD[[#This Row],[Salida de almacén de retiro]],"")</f>
        <v>8.3333333335758653E-2</v>
      </c>
      <c r="AR1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4" s="8" t="str" cm="1">
        <f t="array" ref="AS1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4" s="9" t="str">
        <f>IFERROR(OLDBD[[#This Row],[Ingreso Packing]]-OLDBD[[#This Row],[Registro en Packing]],"")</f>
        <v/>
      </c>
      <c r="AV114" s="9" t="str">
        <f>IFERROR(OLDBD[[#This Row],[Ingreso Packing]]-OLDBD[[#This Row],[Llegada a packing]],"")</f>
        <v/>
      </c>
      <c r="AW1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4" s="5" t="str">
        <f>IFERROR(OLDBD[[#This Row],[Llegada Almacén de Ingreso]]-OLDBD[[#This Row],[Salida Packing]],"")</f>
        <v/>
      </c>
      <c r="AY114" s="4" t="str" cm="1">
        <f t="array" ref="AY1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14" s="43" t="s">
        <v>173</v>
      </c>
      <c r="BB114" s="47" t="str">
        <f>IFERROR(IF(MARÍTIMOS[[#This Row],[Estatus]]="","",MARÍTIMOS[[#This Row],[Estatus]]),"")</f>
        <v>Confirmado</v>
      </c>
      <c r="BC114" s="43"/>
      <c r="BD114" s="46">
        <f>IFERROR(OLDBD[[#This Row],[Salida de almacén de retiro]]-OLDBD[[#This Row],[Ingreso Almacén de retiro]],"")</f>
        <v>4.8611111109494232E-2</v>
      </c>
      <c r="BE114" s="46" t="str">
        <f>IFERROR(OLDBD[[#This Row],[Fin de Carga]]-OLDBD[[#This Row],[Inicio de Carga]],"")</f>
        <v/>
      </c>
    </row>
    <row r="115" spans="1:57" customFormat="1" hidden="1">
      <c r="A115" s="1"/>
      <c r="B115" s="1">
        <f>IFERROR(IF(MARÍTIMOS[[#This Row],[PP]]="","",MARÍTIMOS[[#This Row],[PP]]),"")</f>
        <v>31</v>
      </c>
      <c r="C115" s="1" t="str">
        <f>IFERROR(IF(MARÍTIMOS[[#This Row],[Sede]]="","",MARÍTIMOS[[#This Row],[Sede]]),"")</f>
        <v>Chao</v>
      </c>
      <c r="D115" s="1" t="str">
        <f>IFERROR(IF(MARÍTIMOS[[#This Row],[Instruction]]="","",MARÍTIMOS[[#This Row],[Instruction]]),"")</f>
        <v>RH-0348</v>
      </c>
      <c r="E115" s="1"/>
      <c r="F115" s="2" t="str">
        <f>IFERROR(IF(MARÍTIMOS[[#This Row],[Transportista]]="","",MARÍTIMOS[[#This Row],[Transportista]]),"")</f>
        <v>Expert Transport</v>
      </c>
      <c r="G115" s="2" t="str">
        <f>IFERROR(IF(MARÍTIMOS[[#This Row],[Tercero]]="","",MARÍTIMOS[[#This Row],[Tercero]]),"")</f>
        <v>NO</v>
      </c>
      <c r="H115" s="2" t="str">
        <f>IFERROR(IF(MARÍTIMOS[[#This Row],[Razón Social]]="","",MARÍTIMOS[[#This Row],[Razón Social]]),"")</f>
        <v xml:space="preserve">EXPERT TRANSPORT SAC </v>
      </c>
      <c r="I115" s="2">
        <f>IFERROR(IF(MARÍTIMOS[[#This Row],[RUC]]="","",MARÍTIMOS[[#This Row],[RUC]]),"")</f>
        <v>20544424751</v>
      </c>
      <c r="J115" s="2" t="str">
        <f>IFERROR(IF(MARÍTIMOS[[#This Row],[Placa Tracto]]="","",MARÍTIMOS[[#This Row],[Placa Tracto]]),"")</f>
        <v>V2N749</v>
      </c>
      <c r="K115" s="2" t="str">
        <f>IFERROR(IF(MARÍTIMOS[[#This Row],[Placa Carreta]]="","",MARÍTIMOS[[#This Row],[Placa Carreta]]),"")</f>
        <v>TNQ999</v>
      </c>
      <c r="L115" s="44" t="str">
        <f>IFERROR(IF(MARÍTIMOS[[#This Row],[Conductor]]="","",MARÍTIMOS[[#This Row],[Conductor]]),"")</f>
        <v>JUAN MIGUAL LAGOS VICHEZ</v>
      </c>
      <c r="M115" s="2" t="str">
        <f>IFERROR(IF(MARÍTIMOS[[#This Row],[Licencia]]="","",MARÍTIMOS[[#This Row],[Licencia]]),"")</f>
        <v>B05642160</v>
      </c>
      <c r="N115" s="2">
        <f>IFERROR(IF(MARÍTIMOS[[#This Row],[Número de Contacto]]="","",MARÍTIMOS[[#This Row],[Número de Contacto]]),"")</f>
        <v>952268872</v>
      </c>
      <c r="O115" s="10" t="str">
        <f>IFERROR(IF(MARÍTIMOS[[#This Row],[Booking|AWB|CRT]]="","",MARÍTIMOS[[#This Row],[Booking|AWB|CRT]]),"")</f>
        <v>PER9166893A</v>
      </c>
      <c r="P115" s="2" t="str">
        <f>IFERROR(IF(MARÍTIMOS[[#This Row],[Contenedor]]="","",MARÍTIMOS[[#This Row],[Contenedor]]),"")</f>
        <v>SEKU9119735</v>
      </c>
      <c r="Q115" s="2" t="str">
        <f>IFERROR(IF(MARÍTIMOS[[#This Row],[Puerto de Retiro]]="","",MARÍTIMOS[[#This Row],[Puerto de Retiro]]),"")</f>
        <v>PAITA</v>
      </c>
      <c r="R115" s="2" t="str">
        <f>IFERROR(IF(MARÍTIMOS[[#This Row],[Almacén de Retiro]]="","",MARÍTIMOS[[#This Row],[Almacén de Retiro]]),"")</f>
        <v>DPW</v>
      </c>
      <c r="S115" s="11">
        <f>IFERROR(IF(MARÍTIMOS[[#This Row],[Etapa Retiro - Cita]]="","",MARÍTIMOS[[#This Row],[Etapa Retiro - Cita]]),"")</f>
        <v>46236.5</v>
      </c>
      <c r="T115" s="11">
        <f>IFERROR(IF(MARÍTIMOS[[#This Row],[Etapa Retiro - Llegada]]="","",MARÍTIMOS[[#This Row],[Etapa Retiro - Llegada]]),"")</f>
        <v>46236.444444444445</v>
      </c>
      <c r="U115" s="11">
        <f>IFERROR(IF(MARÍTIMOS[[#This Row],[Etapa Retiro - Ingreso]]="","",MARÍTIMOS[[#This Row],[Etapa Retiro - Ingreso]]),"")</f>
        <v>46236.513888888891</v>
      </c>
      <c r="V115" s="11">
        <f>IFERROR(IF(MARÍTIMOS[[#This Row],[Etapa Retiro - Atención]]="","",MARÍTIMOS[[#This Row],[Etapa Retiro - Atención]]),"")</f>
        <v>46236.518055555556</v>
      </c>
      <c r="W115" s="11">
        <f>IFERROR(IF(MARÍTIMOS[[#This Row],[Etapa Retiro - Atención]]="","",MARÍTIMOS[[#This Row],[Etapa Retiro - Atención]]),"")</f>
        <v>46236.518055555556</v>
      </c>
      <c r="X115" s="11">
        <f>IFERROR(IF(MARÍTIMOS[[#This Row],[Etapa Retiro - Inicio de Ruta]]="","",MARÍTIMOS[[#This Row],[Etapa Retiro - Inicio de Ruta]]),"")</f>
        <v>46236.604861111111</v>
      </c>
      <c r="Y115" s="11">
        <f>IFERROR(IF(MARÍTIMOS[[#This Row],[Hora de Posicionamiento]]="","",MARÍTIMOS[[#This Row],[Fecha de Carga]]+MARÍTIMOS[[#This Row],[Hora de Posicionamiento]]),"")</f>
        <v>46236.583333333336</v>
      </c>
      <c r="Z115" s="11" t="str">
        <f>IFERROR(IF(MARÍTIMOS[[#This Row],[Etapa Despacho - Llegada]]="","",MARÍTIMOS[[#This Row],[Etapa Despacho - Llegada]]),"")</f>
        <v/>
      </c>
      <c r="AA115" s="11" t="str">
        <f>IFERROR(IF(MARÍTIMOS[[#This Row],[Etapa Despacho - Registro]]="","",MARÍTIMOS[[#This Row],[Etapa Despacho - Registro]]),"")</f>
        <v/>
      </c>
      <c r="AB115" s="11">
        <f>IFERROR(IF(MARÍTIMOS[[#This Row],[Inspección Externa]]="","",MARÍTIMOS[[#This Row],[Inspección Externa]]),"")</f>
        <v>46237.567361111112</v>
      </c>
      <c r="AC115" s="11" t="str">
        <f>IFERROR(IF(MARÍTIMOS[[#This Row],[Etapa Despacho - Inicio de Carga]]="","",MARÍTIMOS[[#This Row],[Etapa Despacho - Inicio de Carga]]),"")</f>
        <v/>
      </c>
      <c r="AD115" s="11" t="str">
        <f>IFERROR(IF(MARÍTIMOS[[#This Row],[Etapa Despacho - Mitad de Carga]]="","",MARÍTIMOS[[#This Row],[Etapa Despacho - Mitad de Carga]]),"")</f>
        <v/>
      </c>
      <c r="AE115" s="11" t="str">
        <f>IFERROR(IF(MARÍTIMOS[[#This Row],[Etapa Despacho - Fin de Carga]]="","",MARÍTIMOS[[#This Row],[Etapa Despacho - Fin de Carga]]),"")</f>
        <v/>
      </c>
      <c r="AF115" s="2" t="str">
        <f>IFERROR(IF(MARÍTIMOS[[#This Row],[Puerto de Embarque]]="","",MARÍTIMOS[[#This Row],[Puerto de Embarque]]),"")</f>
        <v>Paita</v>
      </c>
      <c r="AG115" s="2" t="str">
        <f>IFERROR(IF(MARÍTIMOS[[#This Row],[Almacén de Ingreso]]="","",MARÍTIMOS[[#This Row],[Almacén de Ingreso]]),"")</f>
        <v>TPE</v>
      </c>
      <c r="AH115" s="11">
        <f>IFERROR(IF(MARÍTIMOS[[#This Row],[Etapa Ingreso - Cita]]="","",MARÍTIMOS[[#This Row],[Etapa Ingreso - Cita]]),"")</f>
        <v>46238.625</v>
      </c>
      <c r="AI115" s="11">
        <f>IFERROR(IF(MARÍTIMOS[[#This Row],[Etapa Ingreso - Llegada]]="","",MARÍTIMOS[[#This Row],[Etapa Ingreso - Llegada]]),"")</f>
        <v>46238.555555555555</v>
      </c>
      <c r="AJ115" s="11">
        <f>IFERROR(IF(MARÍTIMOS[[#This Row],[Etapa Ingreso - Ingeso]]="","",MARÍTIMOS[[#This Row],[Etapa Ingreso - Ingeso]]),"")</f>
        <v>46238.563194444447</v>
      </c>
      <c r="AK115" s="11">
        <f>IFERROR(IF(MARÍTIMOS[[#This Row],[Etapa Ingreso - Atención]]="","",MARÍTIMOS[[#This Row],[Etapa Ingreso - Atención]]),"")</f>
        <v>46238.572222222225</v>
      </c>
      <c r="AL115" s="11">
        <f>IFERROR(IF(MARÍTIMOS[[#This Row],[Etapa Ingreso - Salida]]="","",MARÍTIMOS[[#This Row],[Etapa Ingreso - Salida]]),"")</f>
        <v>46238.575694444444</v>
      </c>
      <c r="AM115" s="2">
        <f>IFERROR(IF(MARÍTIMOS[[#This Row],[FCL]]="","",MARÍTIMOS[[#This Row],[FCL]]),"")</f>
        <v>1</v>
      </c>
      <c r="AN1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15" s="4" t="str" cm="1">
        <f t="array" ref="AO1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15" s="5" t="str">
        <f>IFERROR(OLDBD[[#This Row],[Llegada a packing]]-OLDBD[[#This Row],[Inicio de Ruta]],"")</f>
        <v/>
      </c>
      <c r="AQ115" s="6">
        <f>IFERROR(OLDBD[[#This Row],[Inicio de Ruta]]-OLDBD[[#This Row],[Salida de almacén de retiro]],"")</f>
        <v>8.6805555554747116E-2</v>
      </c>
      <c r="AR1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5" s="8" t="str" cm="1">
        <f t="array" ref="AS1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5" s="9" t="str">
        <f>IFERROR(OLDBD[[#This Row],[Ingreso Packing]]-OLDBD[[#This Row],[Registro en Packing]],"")</f>
        <v/>
      </c>
      <c r="AV115" s="9" t="str">
        <f>IFERROR(OLDBD[[#This Row],[Ingreso Packing]]-OLDBD[[#This Row],[Llegada a packing]],"")</f>
        <v/>
      </c>
      <c r="AW1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5" s="5" t="str">
        <f>IFERROR(OLDBD[[#This Row],[Llegada Almacén de Ingreso]]-OLDBD[[#This Row],[Salida Packing]],"")</f>
        <v/>
      </c>
      <c r="AY115" s="4" t="str" cm="1">
        <f t="array" ref="AY1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15" s="43" t="s">
        <v>173</v>
      </c>
      <c r="BB115" s="47" t="str">
        <f>IFERROR(IF(MARÍTIMOS[[#This Row],[Estatus]]="","",MARÍTIMOS[[#This Row],[Estatus]]),"")</f>
        <v>Confirmado</v>
      </c>
      <c r="BC115" s="43"/>
      <c r="BD115" s="46">
        <f>IFERROR(OLDBD[[#This Row],[Salida de almacén de retiro]]-OLDBD[[#This Row],[Ingreso Almacén de retiro]],"")</f>
        <v>4.166666665696539E-3</v>
      </c>
      <c r="BE115" s="46" t="str">
        <f>IFERROR(OLDBD[[#This Row],[Fin de Carga]]-OLDBD[[#This Row],[Inicio de Carga]],"")</f>
        <v/>
      </c>
    </row>
    <row r="116" spans="1:57" customFormat="1" hidden="1">
      <c r="A116" s="1"/>
      <c r="B116" s="1">
        <f>IFERROR(IF(MARÍTIMOS[[#This Row],[PP]]="","",MARÍTIMOS[[#This Row],[PP]]),"")</f>
        <v>31</v>
      </c>
      <c r="C116" s="1" t="str">
        <f>IFERROR(IF(MARÍTIMOS[[#This Row],[Sede]]="","",MARÍTIMOS[[#This Row],[Sede]]),"")</f>
        <v>Chao</v>
      </c>
      <c r="D116" s="1" t="str">
        <f>IFERROR(IF(MARÍTIMOS[[#This Row],[Instruction]]="","",MARÍTIMOS[[#This Row],[Instruction]]),"")</f>
        <v>RH-0349</v>
      </c>
      <c r="E116" s="1"/>
      <c r="F116" s="2" t="str">
        <f>IFERROR(IF(MARÍTIMOS[[#This Row],[Transportista]]="","",MARÍTIMOS[[#This Row],[Transportista]]),"")</f>
        <v>Expert Transport</v>
      </c>
      <c r="G116" s="2" t="str">
        <f>IFERROR(IF(MARÍTIMOS[[#This Row],[Tercero]]="","",MARÍTIMOS[[#This Row],[Tercero]]),"")</f>
        <v>SI</v>
      </c>
      <c r="H116" s="2" t="str">
        <f>IFERROR(IF(MARÍTIMOS[[#This Row],[Razón Social]]="","",MARÍTIMOS[[#This Row],[Razón Social]]),"")</f>
        <v xml:space="preserve">VIRGEN DE LA PUERTA S.R.L.	</v>
      </c>
      <c r="I116" s="2">
        <f>IFERROR(IF(MARÍTIMOS[[#This Row],[RUC]]="","",MARÍTIMOS[[#This Row],[RUC]]),"")</f>
        <v>20481610495</v>
      </c>
      <c r="J116" s="2" t="str">
        <f>IFERROR(IF(MARÍTIMOS[[#This Row],[Placa Tracto]]="","",MARÍTIMOS[[#This Row],[Placa Tracto]]),"")</f>
        <v>BPX827</v>
      </c>
      <c r="K116" s="2" t="str">
        <f>IFERROR(IF(MARÍTIMOS[[#This Row],[Placa Carreta]]="","",MARÍTIMOS[[#This Row],[Placa Carreta]]),"")</f>
        <v>TFS985</v>
      </c>
      <c r="L116" s="44" t="str">
        <f>IFERROR(IF(MARÍTIMOS[[#This Row],[Conductor]]="","",MARÍTIMOS[[#This Row],[Conductor]]),"")</f>
        <v>GILBERTO VIVAS LALUPU</v>
      </c>
      <c r="M116" s="2" t="str">
        <f>IFERROR(IF(MARÍTIMOS[[#This Row],[Licencia]]="","",MARÍTIMOS[[#This Row],[Licencia]]),"")</f>
        <v>B03507369</v>
      </c>
      <c r="N116" s="2">
        <f>IFERROR(IF(MARÍTIMOS[[#This Row],[Número de Contacto]]="","",MARÍTIMOS[[#This Row],[Número de Contacto]]),"")</f>
        <v>970458084</v>
      </c>
      <c r="O116" s="10" t="str">
        <f>IFERROR(IF(MARÍTIMOS[[#This Row],[Booking|AWB|CRT]]="","",MARÍTIMOS[[#This Row],[Booking|AWB|CRT]]),"")</f>
        <v>PER9166894A</v>
      </c>
      <c r="P116" s="2" t="str">
        <f>IFERROR(IF(MARÍTIMOS[[#This Row],[Contenedor]]="","",MARÍTIMOS[[#This Row],[Contenedor]]),"")</f>
        <v>CAAU4166909</v>
      </c>
      <c r="Q116" s="2" t="str">
        <f>IFERROR(IF(MARÍTIMOS[[#This Row],[Puerto de Retiro]]="","",MARÍTIMOS[[#This Row],[Puerto de Retiro]]),"")</f>
        <v>PAITA</v>
      </c>
      <c r="R116" s="2" t="str">
        <f>IFERROR(IF(MARÍTIMOS[[#This Row],[Almacén de Retiro]]="","",MARÍTIMOS[[#This Row],[Almacén de Retiro]]),"")</f>
        <v>DPW</v>
      </c>
      <c r="S116" s="11">
        <f>IFERROR(IF(MARÍTIMOS[[#This Row],[Etapa Retiro - Cita]]="","",MARÍTIMOS[[#This Row],[Etapa Retiro - Cita]]),"")</f>
        <v>46236.416666666664</v>
      </c>
      <c r="T116" s="11">
        <f>IFERROR(IF(MARÍTIMOS[[#This Row],[Etapa Retiro - Llegada]]="","",MARÍTIMOS[[#This Row],[Etapa Retiro - Llegada]]),"")</f>
        <v>46236.418055555558</v>
      </c>
      <c r="U116" s="11">
        <f>IFERROR(IF(MARÍTIMOS[[#This Row],[Etapa Retiro - Ingreso]]="","",MARÍTIMOS[[#This Row],[Etapa Retiro - Ingreso]]),"")</f>
        <v>46236.513888888891</v>
      </c>
      <c r="V116" s="11">
        <f>IFERROR(IF(MARÍTIMOS[[#This Row],[Etapa Retiro - Atención]]="","",MARÍTIMOS[[#This Row],[Etapa Retiro - Atención]]),"")</f>
        <v>46236.5625</v>
      </c>
      <c r="W116" s="11">
        <f>IFERROR(IF(MARÍTIMOS[[#This Row],[Etapa Retiro - Atención]]="","",MARÍTIMOS[[#This Row],[Etapa Retiro - Atención]]),"")</f>
        <v>46236.5625</v>
      </c>
      <c r="X116" s="11">
        <f>IFERROR(IF(MARÍTIMOS[[#This Row],[Etapa Retiro - Inicio de Ruta]]="","",MARÍTIMOS[[#This Row],[Etapa Retiro - Inicio de Ruta]]),"")</f>
        <v>46236.806944444441</v>
      </c>
      <c r="Y116" s="11">
        <f>IFERROR(IF(MARÍTIMOS[[#This Row],[Hora de Posicionamiento]]="","",MARÍTIMOS[[#This Row],[Fecha de Carga]]+MARÍTIMOS[[#This Row],[Hora de Posicionamiento]]),"")</f>
        <v>46236.583333333336</v>
      </c>
      <c r="Z116" s="11" t="str">
        <f>IFERROR(IF(MARÍTIMOS[[#This Row],[Etapa Despacho - Llegada]]="","",MARÍTIMOS[[#This Row],[Etapa Despacho - Llegada]]),"")</f>
        <v/>
      </c>
      <c r="AA116" s="11" t="str">
        <f>IFERROR(IF(MARÍTIMOS[[#This Row],[Etapa Despacho - Registro]]="","",MARÍTIMOS[[#This Row],[Etapa Despacho - Registro]]),"")</f>
        <v/>
      </c>
      <c r="AB116" s="11">
        <f>IFERROR(IF(MARÍTIMOS[[#This Row],[Inspección Externa]]="","",MARÍTIMOS[[#This Row],[Inspección Externa]]),"")</f>
        <v>46237.568749999999</v>
      </c>
      <c r="AC116" s="11" t="str">
        <f>IFERROR(IF(MARÍTIMOS[[#This Row],[Etapa Despacho - Inicio de Carga]]="","",MARÍTIMOS[[#This Row],[Etapa Despacho - Inicio de Carga]]),"")</f>
        <v/>
      </c>
      <c r="AD116" s="11" t="str">
        <f>IFERROR(IF(MARÍTIMOS[[#This Row],[Etapa Despacho - Mitad de Carga]]="","",MARÍTIMOS[[#This Row],[Etapa Despacho - Mitad de Carga]]),"")</f>
        <v/>
      </c>
      <c r="AE116" s="11" t="str">
        <f>IFERROR(IF(MARÍTIMOS[[#This Row],[Etapa Despacho - Fin de Carga]]="","",MARÍTIMOS[[#This Row],[Etapa Despacho - Fin de Carga]]),"")</f>
        <v/>
      </c>
      <c r="AF116" s="2" t="str">
        <f>IFERROR(IF(MARÍTIMOS[[#This Row],[Puerto de Embarque]]="","",MARÍTIMOS[[#This Row],[Puerto de Embarque]]),"")</f>
        <v>Paita</v>
      </c>
      <c r="AG116" s="2" t="str">
        <f>IFERROR(IF(MARÍTIMOS[[#This Row],[Almacén de Ingreso]]="","",MARÍTIMOS[[#This Row],[Almacén de Ingreso]]),"")</f>
        <v>TPE</v>
      </c>
      <c r="AH116" s="11">
        <f>IFERROR(IF(MARÍTIMOS[[#This Row],[Etapa Ingreso - Cita]]="","",MARÍTIMOS[[#This Row],[Etapa Ingreso - Cita]]),"")</f>
        <v>46238.458333333336</v>
      </c>
      <c r="AI116" s="11">
        <f>IFERROR(IF(MARÍTIMOS[[#This Row],[Etapa Ingreso - Llegada]]="","",MARÍTIMOS[[#This Row],[Etapa Ingreso - Llegada]]),"")</f>
        <v>46238.474999999999</v>
      </c>
      <c r="AJ116" s="11">
        <f>IFERROR(IF(MARÍTIMOS[[#This Row],[Etapa Ingreso - Ingeso]]="","",MARÍTIMOS[[#This Row],[Etapa Ingreso - Ingeso]]),"")</f>
        <v>46238.479861111111</v>
      </c>
      <c r="AK116" s="11">
        <f>IFERROR(IF(MARÍTIMOS[[#This Row],[Etapa Ingreso - Atención]]="","",MARÍTIMOS[[#This Row],[Etapa Ingreso - Atención]]),"")</f>
        <v>46238.484027777777</v>
      </c>
      <c r="AL116" s="11">
        <f>IFERROR(IF(MARÍTIMOS[[#This Row],[Etapa Ingreso - Salida]]="","",MARÍTIMOS[[#This Row],[Etapa Ingreso - Salida]]),"")</f>
        <v>46238.492361111108</v>
      </c>
      <c r="AM116" s="2">
        <f>IFERROR(IF(MARÍTIMOS[[#This Row],[FCL]]="","",MARÍTIMOS[[#This Row],[FCL]]),"")</f>
        <v>1</v>
      </c>
      <c r="AN1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16" s="4" t="str" cm="1">
        <f t="array" ref="AO1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16" s="5" t="str">
        <f>IFERROR(OLDBD[[#This Row],[Llegada a packing]]-OLDBD[[#This Row],[Inicio de Ruta]],"")</f>
        <v/>
      </c>
      <c r="AQ116" s="6">
        <f>IFERROR(OLDBD[[#This Row],[Inicio de Ruta]]-OLDBD[[#This Row],[Salida de almacén de retiro]],"")</f>
        <v>0.24444444444088731</v>
      </c>
      <c r="AR1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6" s="8" t="str" cm="1">
        <f t="array" ref="AS1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6" s="9" t="str">
        <f>IFERROR(OLDBD[[#This Row],[Ingreso Packing]]-OLDBD[[#This Row],[Registro en Packing]],"")</f>
        <v/>
      </c>
      <c r="AV116" s="9" t="str">
        <f>IFERROR(OLDBD[[#This Row],[Ingreso Packing]]-OLDBD[[#This Row],[Llegada a packing]],"")</f>
        <v/>
      </c>
      <c r="AW1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6" s="5" t="str">
        <f>IFERROR(OLDBD[[#This Row],[Llegada Almacén de Ingreso]]-OLDBD[[#This Row],[Salida Packing]],"")</f>
        <v/>
      </c>
      <c r="AY116" s="4" t="str" cm="1">
        <f t="array" ref="AY1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16" s="43" t="s">
        <v>173</v>
      </c>
      <c r="BB116" s="47" t="str">
        <f>IFERROR(IF(MARÍTIMOS[[#This Row],[Estatus]]="","",MARÍTIMOS[[#This Row],[Estatus]]),"")</f>
        <v>Confirmado</v>
      </c>
      <c r="BC116" s="43"/>
      <c r="BD116" s="46">
        <f>IFERROR(OLDBD[[#This Row],[Salida de almacén de retiro]]-OLDBD[[#This Row],[Ingreso Almacén de retiro]],"")</f>
        <v>4.8611111109494232E-2</v>
      </c>
      <c r="BE116" s="46" t="str">
        <f>IFERROR(OLDBD[[#This Row],[Fin de Carga]]-OLDBD[[#This Row],[Inicio de Carga]],"")</f>
        <v/>
      </c>
    </row>
    <row r="117" spans="1:57" customFormat="1" hidden="1">
      <c r="A117" s="1"/>
      <c r="B117" s="1">
        <f>IFERROR(IF(MARÍTIMOS[[#This Row],[PP]]="","",MARÍTIMOS[[#This Row],[PP]]),"")</f>
        <v>32</v>
      </c>
      <c r="C117" s="1" t="str">
        <f>IFERROR(IF(MARÍTIMOS[[#This Row],[Sede]]="","",MARÍTIMOS[[#This Row],[Sede]]),"")</f>
        <v>Chao</v>
      </c>
      <c r="D117" s="1" t="str">
        <f>IFERROR(IF(MARÍTIMOS[[#This Row],[Instruction]]="","",MARÍTIMOS[[#This Row],[Instruction]]),"")</f>
        <v>RH-0439</v>
      </c>
      <c r="E117" s="1"/>
      <c r="F117" s="2" t="str">
        <f>IFERROR(IF(MARÍTIMOS[[#This Row],[Transportista]]="","",MARÍTIMOS[[#This Row],[Transportista]]),"")</f>
        <v>Expert Transport</v>
      </c>
      <c r="G117" s="2" t="str">
        <f>IFERROR(IF(MARÍTIMOS[[#This Row],[Tercero]]="","",MARÍTIMOS[[#This Row],[Tercero]]),"")</f>
        <v>NO</v>
      </c>
      <c r="H117" s="2" t="str">
        <f>IFERROR(IF(MARÍTIMOS[[#This Row],[Razón Social]]="","",MARÍTIMOS[[#This Row],[Razón Social]]),"")</f>
        <v xml:space="preserve">EXPERT TRANSPORT SAC </v>
      </c>
      <c r="I117" s="2">
        <f>IFERROR(IF(MARÍTIMOS[[#This Row],[RUC]]="","",MARÍTIMOS[[#This Row],[RUC]]),"")</f>
        <v>20544424751</v>
      </c>
      <c r="J117" s="2" t="str">
        <f>IFERROR(IF(MARÍTIMOS[[#This Row],[Placa Tracto]]="","",MARÍTIMOS[[#This Row],[Placa Tracto]]),"")</f>
        <v>C5Z734</v>
      </c>
      <c r="K117" s="2" t="str">
        <f>IFERROR(IF(MARÍTIMOS[[#This Row],[Placa Carreta]]="","",MARÍTIMOS[[#This Row],[Placa Carreta]]),"")</f>
        <v>TJE975</v>
      </c>
      <c r="L117" s="44" t="str">
        <f>IFERROR(IF(MARÍTIMOS[[#This Row],[Conductor]]="","",MARÍTIMOS[[#This Row],[Conductor]]),"")</f>
        <v>LUIS CARLOS LAMAS RUIZ</v>
      </c>
      <c r="M117" s="2" t="str">
        <f>IFERROR(IF(MARÍTIMOS[[#This Row],[Licencia]]="","",MARÍTIMOS[[#This Row],[Licencia]]),"")</f>
        <v>B009531613</v>
      </c>
      <c r="N117" s="2">
        <f>IFERROR(IF(MARÍTIMOS[[#This Row],[Número de Contacto]]="","",MARÍTIMOS[[#This Row],[Número de Contacto]]),"")</f>
        <v>986078320</v>
      </c>
      <c r="O117" s="10" t="str">
        <f>IFERROR(IF(MARÍTIMOS[[#This Row],[Booking|AWB|CRT]]="","",MARÍTIMOS[[#This Row],[Booking|AWB|CRT]]),"")</f>
        <v>MBM250067114</v>
      </c>
      <c r="P117" s="2" t="str">
        <f>IFERROR(IF(MARÍTIMOS[[#This Row],[Contenedor]]="","",MARÍTIMOS[[#This Row],[Contenedor]]),"")</f>
        <v>CAAU4033510</v>
      </c>
      <c r="Q117" s="2" t="str">
        <f>IFERROR(IF(MARÍTIMOS[[#This Row],[Puerto de Retiro]]="","",MARÍTIMOS[[#This Row],[Puerto de Retiro]]),"")</f>
        <v>PAITA</v>
      </c>
      <c r="R117" s="2" t="str">
        <f>IFERROR(IF(MARÍTIMOS[[#This Row],[Almacén de Retiro]]="","",MARÍTIMOS[[#This Row],[Almacén de Retiro]]),"")</f>
        <v>MACROMAR</v>
      </c>
      <c r="S117" s="11">
        <f>IFERROR(IF(MARÍTIMOS[[#This Row],[Etapa Retiro - Cita]]="","",MARÍTIMOS[[#This Row],[Etapa Retiro - Cita]]),"")</f>
        <v>46240.416666666664</v>
      </c>
      <c r="T117" s="11">
        <f>IFERROR(IF(MARÍTIMOS[[#This Row],[Etapa Retiro - Llegada]]="","",MARÍTIMOS[[#This Row],[Etapa Retiro - Llegada]]),"")</f>
        <v>46240.393750000003</v>
      </c>
      <c r="U117" s="11">
        <f>IFERROR(IF(MARÍTIMOS[[#This Row],[Etapa Retiro - Ingreso]]="","",MARÍTIMOS[[#This Row],[Etapa Retiro - Ingreso]]),"")</f>
        <v>46240.404861111114</v>
      </c>
      <c r="V117" s="11">
        <f>IFERROR(IF(MARÍTIMOS[[#This Row],[Etapa Retiro - Atención]]="","",MARÍTIMOS[[#This Row],[Etapa Retiro - Atención]]),"")</f>
        <v>46240.409722222219</v>
      </c>
      <c r="W117" s="11">
        <f>IFERROR(IF(MARÍTIMOS[[#This Row],[Etapa Retiro - Atención]]="","",MARÍTIMOS[[#This Row],[Etapa Retiro - Atención]]),"")</f>
        <v>46240.409722222219</v>
      </c>
      <c r="X117" s="11">
        <f>IFERROR(IF(MARÍTIMOS[[#This Row],[Etapa Retiro - Inicio de Ruta]]="","",MARÍTIMOS[[#This Row],[Etapa Retiro - Inicio de Ruta]]),"")</f>
        <v>46240.642361111109</v>
      </c>
      <c r="Y117" s="11">
        <f>IFERROR(IF(MARÍTIMOS[[#This Row],[Hora de Posicionamiento]]="","",MARÍTIMOS[[#This Row],[Fecha de Carga]]+MARÍTIMOS[[#This Row],[Hora de Posicionamiento]]),"")</f>
        <v>46240.333333333336</v>
      </c>
      <c r="Z117" s="11" t="str">
        <f>IFERROR(IF(MARÍTIMOS[[#This Row],[Etapa Despacho - Llegada]]="","",MARÍTIMOS[[#This Row],[Etapa Despacho - Llegada]]),"")</f>
        <v/>
      </c>
      <c r="AA117" s="11" t="str">
        <f>IFERROR(IF(MARÍTIMOS[[#This Row],[Etapa Despacho - Registro]]="","",MARÍTIMOS[[#This Row],[Etapa Despacho - Registro]]),"")</f>
        <v/>
      </c>
      <c r="AB117" s="11">
        <f>IFERROR(IF(MARÍTIMOS[[#This Row],[Inspección Externa]]="","",MARÍTIMOS[[#This Row],[Inspección Externa]]),"")</f>
        <v>46241.357638888891</v>
      </c>
      <c r="AC117" s="11" t="str">
        <f>IFERROR(IF(MARÍTIMOS[[#This Row],[Etapa Despacho - Inicio de Carga]]="","",MARÍTIMOS[[#This Row],[Etapa Despacho - Inicio de Carga]]),"")</f>
        <v/>
      </c>
      <c r="AD117" s="11" t="str">
        <f>IFERROR(IF(MARÍTIMOS[[#This Row],[Etapa Despacho - Mitad de Carga]]="","",MARÍTIMOS[[#This Row],[Etapa Despacho - Mitad de Carga]]),"")</f>
        <v/>
      </c>
      <c r="AE117" s="11" t="str">
        <f>IFERROR(IF(MARÍTIMOS[[#This Row],[Etapa Despacho - Fin de Carga]]="","",MARÍTIMOS[[#This Row],[Etapa Despacho - Fin de Carga]]),"")</f>
        <v/>
      </c>
      <c r="AF117" s="2" t="str">
        <f>IFERROR(IF(MARÍTIMOS[[#This Row],[Puerto de Embarque]]="","",MARÍTIMOS[[#This Row],[Puerto de Embarque]]),"")</f>
        <v>Paita</v>
      </c>
      <c r="AG117" s="2" t="str">
        <f>IFERROR(IF(MARÍTIMOS[[#This Row],[Almacén de Ingreso]]="","",MARÍTIMOS[[#This Row],[Almacén de Ingreso]]),"")</f>
        <v>TPE</v>
      </c>
      <c r="AH117" s="11">
        <f>IFERROR(IF(MARÍTIMOS[[#This Row],[Etapa Ingreso - Cita]]="","",MARÍTIMOS[[#This Row],[Etapa Ingreso - Cita]]),"")</f>
        <v>46242.333333333336</v>
      </c>
      <c r="AI117" s="11">
        <f>IFERROR(IF(MARÍTIMOS[[#This Row],[Etapa Ingreso - Llegada]]="","",MARÍTIMOS[[#This Row],[Etapa Ingreso - Llegada]]),"")</f>
        <v>46242.363194444442</v>
      </c>
      <c r="AJ117" s="11">
        <f>IFERROR(IF(MARÍTIMOS[[#This Row],[Etapa Ingreso - Ingeso]]="","",MARÍTIMOS[[#This Row],[Etapa Ingreso - Ingeso]]),"")</f>
        <v>46242.365972222222</v>
      </c>
      <c r="AK117" s="11">
        <f>IFERROR(IF(MARÍTIMOS[[#This Row],[Etapa Ingreso - Atención]]="","",MARÍTIMOS[[#This Row],[Etapa Ingreso - Atención]]),"")</f>
        <v>46242.368055555555</v>
      </c>
      <c r="AL117" s="11">
        <f>IFERROR(IF(MARÍTIMOS[[#This Row],[Etapa Ingreso - Salida]]="","",MARÍTIMOS[[#This Row],[Etapa Ingreso - Salida]]),"")</f>
        <v>46242.37777777778</v>
      </c>
      <c r="AM117" s="2">
        <f>IFERROR(IF(MARÍTIMOS[[#This Row],[FCL]]="","",MARÍTIMOS[[#This Row],[FCL]]),"")</f>
        <v>1</v>
      </c>
      <c r="AN1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17" s="4" t="str" cm="1">
        <f t="array" ref="AO1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17" s="5" t="str">
        <f>IFERROR(OLDBD[[#This Row],[Llegada a packing]]-OLDBD[[#This Row],[Inicio de Ruta]],"")</f>
        <v/>
      </c>
      <c r="AQ117" s="6">
        <f>IFERROR(OLDBD[[#This Row],[Inicio de Ruta]]-OLDBD[[#This Row],[Salida de almacén de retiro]],"")</f>
        <v>0.23263888889050577</v>
      </c>
      <c r="AR1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7" s="8" t="str" cm="1">
        <f t="array" ref="AS1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7" s="9" t="str">
        <f>IFERROR(OLDBD[[#This Row],[Ingreso Packing]]-OLDBD[[#This Row],[Registro en Packing]],"")</f>
        <v/>
      </c>
      <c r="AV117" s="9" t="str">
        <f>IFERROR(OLDBD[[#This Row],[Ingreso Packing]]-OLDBD[[#This Row],[Llegada a packing]],"")</f>
        <v/>
      </c>
      <c r="AW1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7" s="5" t="str">
        <f>IFERROR(OLDBD[[#This Row],[Llegada Almacén de Ingreso]]-OLDBD[[#This Row],[Salida Packing]],"")</f>
        <v/>
      </c>
      <c r="AY117" s="4" t="str" cm="1">
        <f t="array" ref="AY1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17" s="43" t="s">
        <v>173</v>
      </c>
      <c r="BB117" s="47" t="str">
        <f>IFERROR(IF(MARÍTIMOS[[#This Row],[Estatus]]="","",MARÍTIMOS[[#This Row],[Estatus]]),"")</f>
        <v>Confirmado</v>
      </c>
      <c r="BC117" s="43"/>
      <c r="BD117" s="46">
        <f>IFERROR(OLDBD[[#This Row],[Salida de almacén de retiro]]-OLDBD[[#This Row],[Ingreso Almacén de retiro]],"")</f>
        <v>4.8611111051286571E-3</v>
      </c>
      <c r="BE117" s="46" t="str">
        <f>IFERROR(OLDBD[[#This Row],[Fin de Carga]]-OLDBD[[#This Row],[Inicio de Carga]],"")</f>
        <v/>
      </c>
    </row>
    <row r="118" spans="1:57" customFormat="1" hidden="1">
      <c r="A118" s="1"/>
      <c r="B118" s="1">
        <f>IFERROR(IF(MARÍTIMOS[[#This Row],[PP]]="","",MARÍTIMOS[[#This Row],[PP]]),"")</f>
        <v>32</v>
      </c>
      <c r="C118" s="1" t="str">
        <f>IFERROR(IF(MARÍTIMOS[[#This Row],[Sede]]="","",MARÍTIMOS[[#This Row],[Sede]]),"")</f>
        <v>Chao</v>
      </c>
      <c r="D118" s="1" t="str">
        <f>IFERROR(IF(MARÍTIMOS[[#This Row],[Instruction]]="","",MARÍTIMOS[[#This Row],[Instruction]]),"")</f>
        <v>RH-0440</v>
      </c>
      <c r="E118" s="1"/>
      <c r="F118" s="2" t="str">
        <f>IFERROR(IF(MARÍTIMOS[[#This Row],[Transportista]]="","",MARÍTIMOS[[#This Row],[Transportista]]),"")</f>
        <v>Expert Transport</v>
      </c>
      <c r="G118" s="2" t="str">
        <f>IFERROR(IF(MARÍTIMOS[[#This Row],[Tercero]]="","",MARÍTIMOS[[#This Row],[Tercero]]),"")</f>
        <v>NO</v>
      </c>
      <c r="H118" s="2" t="str">
        <f>IFERROR(IF(MARÍTIMOS[[#This Row],[Razón Social]]="","",MARÍTIMOS[[#This Row],[Razón Social]]),"")</f>
        <v xml:space="preserve">EXPERT TRANSPORT SAC </v>
      </c>
      <c r="I118" s="2">
        <f>IFERROR(IF(MARÍTIMOS[[#This Row],[RUC]]="","",MARÍTIMOS[[#This Row],[RUC]]),"")</f>
        <v>20544424751</v>
      </c>
      <c r="J118" s="2" t="str">
        <f>IFERROR(IF(MARÍTIMOS[[#This Row],[Placa Tracto]]="","",MARÍTIMOS[[#This Row],[Placa Tracto]]),"")</f>
        <v>BYR872</v>
      </c>
      <c r="K118" s="2" t="str">
        <f>IFERROR(IF(MARÍTIMOS[[#This Row],[Placa Carreta]]="","",MARÍTIMOS[[#This Row],[Placa Carreta]]),"")</f>
        <v>A3K983</v>
      </c>
      <c r="L118" s="44" t="str">
        <f>IFERROR(IF(MARÍTIMOS[[#This Row],[Conductor]]="","",MARÍTIMOS[[#This Row],[Conductor]]),"")</f>
        <v>HUMBERTO JESÚS SUAREZ ARGUINZONES</v>
      </c>
      <c r="M118" s="2" t="str">
        <f>IFERROR(IF(MARÍTIMOS[[#This Row],[Licencia]]="","",MARÍTIMOS[[#This Row],[Licencia]]),"")</f>
        <v>B007168026</v>
      </c>
      <c r="N118" s="2">
        <f>IFERROR(IF(MARÍTIMOS[[#This Row],[Número de Contacto]]="","",MARÍTIMOS[[#This Row],[Número de Contacto]]),"")</f>
        <v>934270711</v>
      </c>
      <c r="O118" s="10" t="str">
        <f>IFERROR(IF(MARÍTIMOS[[#This Row],[Booking|AWB|CRT]]="","",MARÍTIMOS[[#This Row],[Booking|AWB|CRT]]),"")</f>
        <v>MBM250067115</v>
      </c>
      <c r="P118" s="2" t="str">
        <f>IFERROR(IF(MARÍTIMOS[[#This Row],[Contenedor]]="","",MARÍTIMOS[[#This Row],[Contenedor]]),"")</f>
        <v>CAAU4035895</v>
      </c>
      <c r="Q118" s="2" t="str">
        <f>IFERROR(IF(MARÍTIMOS[[#This Row],[Puerto de Retiro]]="","",MARÍTIMOS[[#This Row],[Puerto de Retiro]]),"")</f>
        <v>PAITA</v>
      </c>
      <c r="R118" s="2" t="str">
        <f>IFERROR(IF(MARÍTIMOS[[#This Row],[Almacén de Retiro]]="","",MARÍTIMOS[[#This Row],[Almacén de Retiro]]),"")</f>
        <v>MACROMAR</v>
      </c>
      <c r="S118" s="11">
        <f>IFERROR(IF(MARÍTIMOS[[#This Row],[Etapa Retiro - Cita]]="","",MARÍTIMOS[[#This Row],[Etapa Retiro - Cita]]),"")</f>
        <v>46240.416666666664</v>
      </c>
      <c r="T118" s="11">
        <f>IFERROR(IF(MARÍTIMOS[[#This Row],[Etapa Retiro - Llegada]]="","",MARÍTIMOS[[#This Row],[Etapa Retiro - Llegada]]),"")</f>
        <v>46240.393750000003</v>
      </c>
      <c r="U118" s="11">
        <f>IFERROR(IF(MARÍTIMOS[[#This Row],[Etapa Retiro - Ingreso]]="","",MARÍTIMOS[[#This Row],[Etapa Retiro - Ingreso]]),"")</f>
        <v>46240.405555555553</v>
      </c>
      <c r="V118" s="11">
        <f>IFERROR(IF(MARÍTIMOS[[#This Row],[Etapa Retiro - Atención]]="","",MARÍTIMOS[[#This Row],[Etapa Retiro - Atención]]),"")</f>
        <v>46240.411111111112</v>
      </c>
      <c r="W118" s="11">
        <f>IFERROR(IF(MARÍTIMOS[[#This Row],[Etapa Retiro - Atención]]="","",MARÍTIMOS[[#This Row],[Etapa Retiro - Atención]]),"")</f>
        <v>46240.411111111112</v>
      </c>
      <c r="X118" s="11">
        <f>IFERROR(IF(MARÍTIMOS[[#This Row],[Etapa Retiro - Inicio de Ruta]]="","",MARÍTIMOS[[#This Row],[Etapa Retiro - Inicio de Ruta]]),"")</f>
        <v>46240.642361111109</v>
      </c>
      <c r="Y118" s="11">
        <f>IFERROR(IF(MARÍTIMOS[[#This Row],[Hora de Posicionamiento]]="","",MARÍTIMOS[[#This Row],[Fecha de Carga]]+MARÍTIMOS[[#This Row],[Hora de Posicionamiento]]),"")</f>
        <v>46240.416666666664</v>
      </c>
      <c r="Z118" s="11" t="str">
        <f>IFERROR(IF(MARÍTIMOS[[#This Row],[Etapa Despacho - Llegada]]="","",MARÍTIMOS[[#This Row],[Etapa Despacho - Llegada]]),"")</f>
        <v/>
      </c>
      <c r="AA118" s="11" t="str">
        <f>IFERROR(IF(MARÍTIMOS[[#This Row],[Etapa Despacho - Registro]]="","",MARÍTIMOS[[#This Row],[Etapa Despacho - Registro]]),"")</f>
        <v/>
      </c>
      <c r="AB118" s="11">
        <f>IFERROR(IF(MARÍTIMOS[[#This Row],[Inspección Externa]]="","",MARÍTIMOS[[#This Row],[Inspección Externa]]),"")</f>
        <v>46241.373611111114</v>
      </c>
      <c r="AC118" s="11" t="str">
        <f>IFERROR(IF(MARÍTIMOS[[#This Row],[Etapa Despacho - Inicio de Carga]]="","",MARÍTIMOS[[#This Row],[Etapa Despacho - Inicio de Carga]]),"")</f>
        <v/>
      </c>
      <c r="AD118" s="11" t="str">
        <f>IFERROR(IF(MARÍTIMOS[[#This Row],[Etapa Despacho - Mitad de Carga]]="","",MARÍTIMOS[[#This Row],[Etapa Despacho - Mitad de Carga]]),"")</f>
        <v/>
      </c>
      <c r="AE118" s="11" t="str">
        <f>IFERROR(IF(MARÍTIMOS[[#This Row],[Etapa Despacho - Fin de Carga]]="","",MARÍTIMOS[[#This Row],[Etapa Despacho - Fin de Carga]]),"")</f>
        <v/>
      </c>
      <c r="AF118" s="2" t="str">
        <f>IFERROR(IF(MARÍTIMOS[[#This Row],[Puerto de Embarque]]="","",MARÍTIMOS[[#This Row],[Puerto de Embarque]]),"")</f>
        <v>Paita</v>
      </c>
      <c r="AG118" s="2" t="str">
        <f>IFERROR(IF(MARÍTIMOS[[#This Row],[Almacén de Ingreso]]="","",MARÍTIMOS[[#This Row],[Almacén de Ingreso]]),"")</f>
        <v>TPE</v>
      </c>
      <c r="AH118" s="11">
        <f>IFERROR(IF(MARÍTIMOS[[#This Row],[Etapa Ingreso - Cita]]="","",MARÍTIMOS[[#This Row],[Etapa Ingreso - Cita]]),"")</f>
        <v>46242.375</v>
      </c>
      <c r="AI118" s="11">
        <f>IFERROR(IF(MARÍTIMOS[[#This Row],[Etapa Ingreso - Llegada]]="","",MARÍTIMOS[[#This Row],[Etapa Ingreso - Llegada]]),"")</f>
        <v>46242.364583333336</v>
      </c>
      <c r="AJ118" s="11">
        <f>IFERROR(IF(MARÍTIMOS[[#This Row],[Etapa Ingreso - Ingeso]]="","",MARÍTIMOS[[#This Row],[Etapa Ingreso - Ingeso]]),"")</f>
        <v>46242.366666666669</v>
      </c>
      <c r="AK118" s="11">
        <f>IFERROR(IF(MARÍTIMOS[[#This Row],[Etapa Ingreso - Atención]]="","",MARÍTIMOS[[#This Row],[Etapa Ingreso - Atención]]),"")</f>
        <v>46242.369444444441</v>
      </c>
      <c r="AL118" s="11">
        <f>IFERROR(IF(MARÍTIMOS[[#This Row],[Etapa Ingreso - Salida]]="","",MARÍTIMOS[[#This Row],[Etapa Ingreso - Salida]]),"")</f>
        <v>46242.378472222219</v>
      </c>
      <c r="AM118" s="2">
        <f>IFERROR(IF(MARÍTIMOS[[#This Row],[FCL]]="","",MARÍTIMOS[[#This Row],[FCL]]),"")</f>
        <v>1</v>
      </c>
      <c r="AN1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18" s="4" t="str" cm="1">
        <f t="array" ref="AO1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18" s="5" t="str">
        <f>IFERROR(OLDBD[[#This Row],[Llegada a packing]]-OLDBD[[#This Row],[Inicio de Ruta]],"")</f>
        <v/>
      </c>
      <c r="AQ118" s="6">
        <f>IFERROR(OLDBD[[#This Row],[Inicio de Ruta]]-OLDBD[[#This Row],[Salida de almacén de retiro]],"")</f>
        <v>0.23124999999708962</v>
      </c>
      <c r="AR1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8" s="8" t="str" cm="1">
        <f t="array" ref="AS1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8" s="9" t="str">
        <f>IFERROR(OLDBD[[#This Row],[Ingreso Packing]]-OLDBD[[#This Row],[Registro en Packing]],"")</f>
        <v/>
      </c>
      <c r="AV118" s="9" t="str">
        <f>IFERROR(OLDBD[[#This Row],[Ingreso Packing]]-OLDBD[[#This Row],[Llegada a packing]],"")</f>
        <v/>
      </c>
      <c r="AW1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8" s="5" t="str">
        <f>IFERROR(OLDBD[[#This Row],[Llegada Almacén de Ingreso]]-OLDBD[[#This Row],[Salida Packing]],"")</f>
        <v/>
      </c>
      <c r="AY118" s="4" t="str" cm="1">
        <f t="array" ref="AY1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18" s="43" t="s">
        <v>173</v>
      </c>
      <c r="BB118" s="47" t="str">
        <f>IFERROR(IF(MARÍTIMOS[[#This Row],[Estatus]]="","",MARÍTIMOS[[#This Row],[Estatus]]),"")</f>
        <v>Confirmado</v>
      </c>
      <c r="BC118" s="43"/>
      <c r="BD118" s="46">
        <f>IFERROR(OLDBD[[#This Row],[Salida de almacén de retiro]]-OLDBD[[#This Row],[Ingreso Almacén de retiro]],"")</f>
        <v>5.5555555591126904E-3</v>
      </c>
      <c r="BE118" s="46" t="str">
        <f>IFERROR(OLDBD[[#This Row],[Fin de Carga]]-OLDBD[[#This Row],[Inicio de Carga]],"")</f>
        <v/>
      </c>
    </row>
    <row r="119" spans="1:57" customFormat="1" hidden="1">
      <c r="A119" s="1"/>
      <c r="B119" s="1">
        <f>IFERROR(IF(MARÍTIMOS[[#This Row],[PP]]="","",MARÍTIMOS[[#This Row],[PP]]),"")</f>
        <v>32</v>
      </c>
      <c r="C119" s="1" t="str">
        <f>IFERROR(IF(MARÍTIMOS[[#This Row],[Sede]]="","",MARÍTIMOS[[#This Row],[Sede]]),"")</f>
        <v>Chao</v>
      </c>
      <c r="D119" s="1" t="str">
        <f>IFERROR(IF(MARÍTIMOS[[#This Row],[Instruction]]="","",MARÍTIMOS[[#This Row],[Instruction]]),"")</f>
        <v>RH-0452</v>
      </c>
      <c r="E119" s="1"/>
      <c r="F119" s="2" t="str">
        <f>IFERROR(IF(MARÍTIMOS[[#This Row],[Transportista]]="","",MARÍTIMOS[[#This Row],[Transportista]]),"")</f>
        <v>Expert Transport</v>
      </c>
      <c r="G119" s="2" t="str">
        <f>IFERROR(IF(MARÍTIMOS[[#This Row],[Tercero]]="","",MARÍTIMOS[[#This Row],[Tercero]]),"")</f>
        <v>NO</v>
      </c>
      <c r="H119" s="2" t="str">
        <f>IFERROR(IF(MARÍTIMOS[[#This Row],[Razón Social]]="","",MARÍTIMOS[[#This Row],[Razón Social]]),"")</f>
        <v xml:space="preserve">EXPERT TRANSPORT SAC </v>
      </c>
      <c r="I119" s="2">
        <f>IFERROR(IF(MARÍTIMOS[[#This Row],[RUC]]="","",MARÍTIMOS[[#This Row],[RUC]]),"")</f>
        <v>20544424751</v>
      </c>
      <c r="J119" s="2" t="str">
        <f>IFERROR(IF(MARÍTIMOS[[#This Row],[Placa Tracto]]="","",MARÍTIMOS[[#This Row],[Placa Tracto]]),"")</f>
        <v>V4N706</v>
      </c>
      <c r="K119" s="2" t="str">
        <f>IFERROR(IF(MARÍTIMOS[[#This Row],[Placa Carreta]]="","",MARÍTIMOS[[#This Row],[Placa Carreta]]),"")</f>
        <v>TJD977</v>
      </c>
      <c r="L119" s="44" t="str">
        <f>IFERROR(IF(MARÍTIMOS[[#This Row],[Conductor]]="","",MARÍTIMOS[[#This Row],[Conductor]]),"")</f>
        <v>MARIO WILMER AVENDAÑO ACHA</v>
      </c>
      <c r="M119" s="2" t="str">
        <f>IFERROR(IF(MARÍTIMOS[[#This Row],[Licencia]]="","",MARÍTIMOS[[#This Row],[Licencia]]),"")</f>
        <v>B46445299</v>
      </c>
      <c r="N119" s="2">
        <f>IFERROR(IF(MARÍTIMOS[[#This Row],[Número de Contacto]]="","",MARÍTIMOS[[#This Row],[Número de Contacto]]),"")</f>
        <v>946500525</v>
      </c>
      <c r="O119" s="10" t="str">
        <f>IFERROR(IF(MARÍTIMOS[[#This Row],[Booking|AWB|CRT]]="","",MARÍTIMOS[[#This Row],[Booking|AWB|CRT]]),"")</f>
        <v>PER9174383A</v>
      </c>
      <c r="P119" s="2" t="str">
        <f>IFERROR(IF(MARÍTIMOS[[#This Row],[Contenedor]]="","",MARÍTIMOS[[#This Row],[Contenedor]]),"")</f>
        <v>SEGU9819502</v>
      </c>
      <c r="Q119" s="2" t="str">
        <f>IFERROR(IF(MARÍTIMOS[[#This Row],[Puerto de Retiro]]="","",MARÍTIMOS[[#This Row],[Puerto de Retiro]]),"")</f>
        <v>PAITA</v>
      </c>
      <c r="R119" s="2" t="str">
        <f>IFERROR(IF(MARÍTIMOS[[#This Row],[Almacén de Retiro]]="","",MARÍTIMOS[[#This Row],[Almacén de Retiro]]),"")</f>
        <v>DPW</v>
      </c>
      <c r="S119" s="11">
        <f>IFERROR(IF(MARÍTIMOS[[#This Row],[Etapa Retiro - Cita]]="","",MARÍTIMOS[[#This Row],[Etapa Retiro - Cita]]),"")</f>
        <v>46241.625</v>
      </c>
      <c r="T119" s="11">
        <f>IFERROR(IF(MARÍTIMOS[[#This Row],[Etapa Retiro - Llegada]]="","",MARÍTIMOS[[#This Row],[Etapa Retiro - Llegada]]),"")</f>
        <v>46241.60833333333</v>
      </c>
      <c r="U119" s="11">
        <f>IFERROR(IF(MARÍTIMOS[[#This Row],[Etapa Retiro - Ingreso]]="","",MARÍTIMOS[[#This Row],[Etapa Retiro - Ingreso]]),"")</f>
        <v>46241.638194444444</v>
      </c>
      <c r="V119" s="11">
        <f>IFERROR(IF(MARÍTIMOS[[#This Row],[Etapa Retiro - Atención]]="","",MARÍTIMOS[[#This Row],[Etapa Retiro - Atención]]),"")</f>
        <v>46241.646527777775</v>
      </c>
      <c r="W119" s="11">
        <f>IFERROR(IF(MARÍTIMOS[[#This Row],[Etapa Retiro - Atención]]="","",MARÍTIMOS[[#This Row],[Etapa Retiro - Atención]]),"")</f>
        <v>46241.646527777775</v>
      </c>
      <c r="X119" s="11">
        <f>IFERROR(IF(MARÍTIMOS[[#This Row],[Etapa Retiro - Inicio de Ruta]]="","",MARÍTIMOS[[#This Row],[Etapa Retiro - Inicio de Ruta]]),"")</f>
        <v>46241.709027777775</v>
      </c>
      <c r="Y119" s="11">
        <f>IFERROR(IF(MARÍTIMOS[[#This Row],[Hora de Posicionamiento]]="","",MARÍTIMOS[[#This Row],[Fecha de Carga]]+MARÍTIMOS[[#This Row],[Hora de Posicionamiento]]),"")</f>
        <v>46241.416666666664</v>
      </c>
      <c r="Z119" s="11" t="str">
        <f>IFERROR(IF(MARÍTIMOS[[#This Row],[Etapa Despacho - Llegada]]="","",MARÍTIMOS[[#This Row],[Etapa Despacho - Llegada]]),"")</f>
        <v/>
      </c>
      <c r="AA119" s="11" t="str">
        <f>IFERROR(IF(MARÍTIMOS[[#This Row],[Etapa Despacho - Registro]]="","",MARÍTIMOS[[#This Row],[Etapa Despacho - Registro]]),"")</f>
        <v/>
      </c>
      <c r="AB119" s="11">
        <f>IFERROR(IF(MARÍTIMOS[[#This Row],[Inspección Externa]]="","",MARÍTIMOS[[#This Row],[Inspección Externa]]),"")</f>
        <v>46242.484027777777</v>
      </c>
      <c r="AC119" s="11" t="str">
        <f>IFERROR(IF(MARÍTIMOS[[#This Row],[Etapa Despacho - Inicio de Carga]]="","",MARÍTIMOS[[#This Row],[Etapa Despacho - Inicio de Carga]]),"")</f>
        <v/>
      </c>
      <c r="AD119" s="11" t="str">
        <f>IFERROR(IF(MARÍTIMOS[[#This Row],[Etapa Despacho - Mitad de Carga]]="","",MARÍTIMOS[[#This Row],[Etapa Despacho - Mitad de Carga]]),"")</f>
        <v/>
      </c>
      <c r="AE119" s="11" t="str">
        <f>IFERROR(IF(MARÍTIMOS[[#This Row],[Etapa Despacho - Fin de Carga]]="","",MARÍTIMOS[[#This Row],[Etapa Despacho - Fin de Carga]]),"")</f>
        <v/>
      </c>
      <c r="AF119" s="2" t="str">
        <f>IFERROR(IF(MARÍTIMOS[[#This Row],[Puerto de Embarque]]="","",MARÍTIMOS[[#This Row],[Puerto de Embarque]]),"")</f>
        <v>Paita</v>
      </c>
      <c r="AG119" s="2" t="str">
        <f>IFERROR(IF(MARÍTIMOS[[#This Row],[Almacén de Ingreso]]="","",MARÍTIMOS[[#This Row],[Almacén de Ingreso]]),"")</f>
        <v>TPE</v>
      </c>
      <c r="AH119" s="11">
        <f>IFERROR(IF(MARÍTIMOS[[#This Row],[Etapa Ingreso - Cita]]="","",MARÍTIMOS[[#This Row],[Etapa Ingreso - Cita]]),"")</f>
        <v>46243.708333333336</v>
      </c>
      <c r="AI119" s="11">
        <f>IFERROR(IF(MARÍTIMOS[[#This Row],[Etapa Ingreso - Llegada]]="","",MARÍTIMOS[[#This Row],[Etapa Ingreso - Llegada]]),"")</f>
        <v>46243.666666666664</v>
      </c>
      <c r="AJ119" s="11">
        <f>IFERROR(IF(MARÍTIMOS[[#This Row],[Etapa Ingreso - Ingeso]]="","",MARÍTIMOS[[#This Row],[Etapa Ingreso - Ingeso]]),"")</f>
        <v>46243.668055555558</v>
      </c>
      <c r="AK119" s="11">
        <f>IFERROR(IF(MARÍTIMOS[[#This Row],[Etapa Ingreso - Atención]]="","",MARÍTIMOS[[#This Row],[Etapa Ingreso - Atención]]),"")</f>
        <v>46243.673611111109</v>
      </c>
      <c r="AL119" s="11">
        <f>IFERROR(IF(MARÍTIMOS[[#This Row],[Etapa Ingreso - Salida]]="","",MARÍTIMOS[[#This Row],[Etapa Ingreso - Salida]]),"")</f>
        <v>46243.680555555555</v>
      </c>
      <c r="AM119" s="2">
        <f>IFERROR(IF(MARÍTIMOS[[#This Row],[FCL]]="","",MARÍTIMOS[[#This Row],[FCL]]),"")</f>
        <v>1</v>
      </c>
      <c r="AN1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19" s="4" t="str" cm="1">
        <f t="array" ref="AO1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19" s="5" t="str">
        <f>IFERROR(OLDBD[[#This Row],[Llegada a packing]]-OLDBD[[#This Row],[Inicio de Ruta]],"")</f>
        <v/>
      </c>
      <c r="AQ119" s="6">
        <f>IFERROR(OLDBD[[#This Row],[Inicio de Ruta]]-OLDBD[[#This Row],[Salida de almacén de retiro]],"")</f>
        <v>6.25E-2</v>
      </c>
      <c r="AR1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19" s="8" t="str" cm="1">
        <f t="array" ref="AS1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19" s="9" t="str">
        <f>IFERROR(OLDBD[[#This Row],[Ingreso Packing]]-OLDBD[[#This Row],[Registro en Packing]],"")</f>
        <v/>
      </c>
      <c r="AV119" s="9" t="str">
        <f>IFERROR(OLDBD[[#This Row],[Ingreso Packing]]-OLDBD[[#This Row],[Llegada a packing]],"")</f>
        <v/>
      </c>
      <c r="AW1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19" s="5" t="str">
        <f>IFERROR(OLDBD[[#This Row],[Llegada Almacén de Ingreso]]-OLDBD[[#This Row],[Salida Packing]],"")</f>
        <v/>
      </c>
      <c r="AY119" s="4" t="str" cm="1">
        <f t="array" ref="AY1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19" s="43" t="s">
        <v>173</v>
      </c>
      <c r="BB119" s="47" t="str">
        <f>IFERROR(IF(MARÍTIMOS[[#This Row],[Estatus]]="","",MARÍTIMOS[[#This Row],[Estatus]]),"")</f>
        <v>Confirmado</v>
      </c>
      <c r="BC119" s="43"/>
      <c r="BD119" s="46">
        <f>IFERROR(OLDBD[[#This Row],[Salida de almacén de retiro]]-OLDBD[[#This Row],[Ingreso Almacén de retiro]],"")</f>
        <v>8.333333331393078E-3</v>
      </c>
      <c r="BE119" s="46" t="str">
        <f>IFERROR(OLDBD[[#This Row],[Fin de Carga]]-OLDBD[[#This Row],[Inicio de Carga]],"")</f>
        <v/>
      </c>
    </row>
    <row r="120" spans="1:57" customFormat="1" hidden="1">
      <c r="A120" s="1"/>
      <c r="B120" s="1">
        <f>IFERROR(IF(MARÍTIMOS[[#This Row],[PP]]="","",MARÍTIMOS[[#This Row],[PP]]),"")</f>
        <v>32</v>
      </c>
      <c r="C120" s="1" t="str">
        <f>IFERROR(IF(MARÍTIMOS[[#This Row],[Sede]]="","",MARÍTIMOS[[#This Row],[Sede]]),"")</f>
        <v>Chao</v>
      </c>
      <c r="D120" s="1" t="str">
        <f>IFERROR(IF(MARÍTIMOS[[#This Row],[Instruction]]="","",MARÍTIMOS[[#This Row],[Instruction]]),"")</f>
        <v>RH-0453</v>
      </c>
      <c r="E120" s="1"/>
      <c r="F120" s="2" t="str">
        <f>IFERROR(IF(MARÍTIMOS[[#This Row],[Transportista]]="","",MARÍTIMOS[[#This Row],[Transportista]]),"")</f>
        <v>Expert Transport</v>
      </c>
      <c r="G120" s="2" t="str">
        <f>IFERROR(IF(MARÍTIMOS[[#This Row],[Tercero]]="","",MARÍTIMOS[[#This Row],[Tercero]]),"")</f>
        <v>NO</v>
      </c>
      <c r="H120" s="2" t="str">
        <f>IFERROR(IF(MARÍTIMOS[[#This Row],[Razón Social]]="","",MARÍTIMOS[[#This Row],[Razón Social]]),"")</f>
        <v xml:space="preserve">EXPERT TRANSPORT SAC </v>
      </c>
      <c r="I120" s="2">
        <f>IFERROR(IF(MARÍTIMOS[[#This Row],[RUC]]="","",MARÍTIMOS[[#This Row],[RUC]]),"")</f>
        <v>20544424751</v>
      </c>
      <c r="J120" s="2" t="str">
        <f>IFERROR(IF(MARÍTIMOS[[#This Row],[Placa Tracto]]="","",MARÍTIMOS[[#This Row],[Placa Tracto]]),"")</f>
        <v>D1A797</v>
      </c>
      <c r="K120" s="2" t="str">
        <f>IFERROR(IF(MARÍTIMOS[[#This Row],[Placa Carreta]]="","",MARÍTIMOS[[#This Row],[Placa Carreta]]),"")</f>
        <v>TNQ977</v>
      </c>
      <c r="L120" s="44" t="str">
        <f>IFERROR(IF(MARÍTIMOS[[#This Row],[Conductor]]="","",MARÍTIMOS[[#This Row],[Conductor]]),"")</f>
        <v>FREDERIS JOSE PAVON RUIZ</v>
      </c>
      <c r="M120" s="2" t="str">
        <f>IFERROR(IF(MARÍTIMOS[[#This Row],[Licencia]]="","",MARÍTIMOS[[#This Row],[Licencia]]),"")</f>
        <v>Q005175672</v>
      </c>
      <c r="N120" s="2">
        <f>IFERROR(IF(MARÍTIMOS[[#This Row],[Número de Contacto]]="","",MARÍTIMOS[[#This Row],[Número de Contacto]]),"")</f>
        <v>904556157</v>
      </c>
      <c r="O120" s="10" t="str">
        <f>IFERROR(IF(MARÍTIMOS[[#This Row],[Booking|AWB|CRT]]="","",MARÍTIMOS[[#This Row],[Booking|AWB|CRT]]),"")</f>
        <v>PER9174384A</v>
      </c>
      <c r="P120" s="2" t="str">
        <f>IFERROR(IF(MARÍTIMOS[[#This Row],[Contenedor]]="","",MARÍTIMOS[[#This Row],[Contenedor]]),"")</f>
        <v>CAAU4160428</v>
      </c>
      <c r="Q120" s="2" t="str">
        <f>IFERROR(IF(MARÍTIMOS[[#This Row],[Puerto de Retiro]]="","",MARÍTIMOS[[#This Row],[Puerto de Retiro]]),"")</f>
        <v>PAITA</v>
      </c>
      <c r="R120" s="2" t="str">
        <f>IFERROR(IF(MARÍTIMOS[[#This Row],[Almacén de Retiro]]="","",MARÍTIMOS[[#This Row],[Almacén de Retiro]]),"")</f>
        <v>DPW</v>
      </c>
      <c r="S120" s="11">
        <f>IFERROR(IF(MARÍTIMOS[[#This Row],[Etapa Retiro - Cita]]="","",MARÍTIMOS[[#This Row],[Etapa Retiro - Cita]]),"")</f>
        <v>46241.625</v>
      </c>
      <c r="T120" s="11">
        <f>IFERROR(IF(MARÍTIMOS[[#This Row],[Etapa Retiro - Llegada]]="","",MARÍTIMOS[[#This Row],[Etapa Retiro - Llegada]]),"")</f>
        <v>46241.611111111109</v>
      </c>
      <c r="U120" s="11">
        <f>IFERROR(IF(MARÍTIMOS[[#This Row],[Etapa Retiro - Ingreso]]="","",MARÍTIMOS[[#This Row],[Etapa Retiro - Ingreso]]),"")</f>
        <v>46241.638888888891</v>
      </c>
      <c r="V120" s="11">
        <f>IFERROR(IF(MARÍTIMOS[[#This Row],[Etapa Retiro - Atención]]="","",MARÍTIMOS[[#This Row],[Etapa Retiro - Atención]]),"")</f>
        <v>46241.662499999999</v>
      </c>
      <c r="W120" s="11">
        <f>IFERROR(IF(MARÍTIMOS[[#This Row],[Etapa Retiro - Atención]]="","",MARÍTIMOS[[#This Row],[Etapa Retiro - Atención]]),"")</f>
        <v>46241.662499999999</v>
      </c>
      <c r="X120" s="11">
        <f>IFERROR(IF(MARÍTIMOS[[#This Row],[Etapa Retiro - Inicio de Ruta]]="","",MARÍTIMOS[[#This Row],[Etapa Retiro - Inicio de Ruta]]),"")</f>
        <v>46241.765972222223</v>
      </c>
      <c r="Y120" s="11">
        <f>IFERROR(IF(MARÍTIMOS[[#This Row],[Hora de Posicionamiento]]="","",MARÍTIMOS[[#This Row],[Fecha de Carga]]+MARÍTIMOS[[#This Row],[Hora de Posicionamiento]]),"")</f>
        <v>46241.416666666664</v>
      </c>
      <c r="Z120" s="11" t="str">
        <f>IFERROR(IF(MARÍTIMOS[[#This Row],[Etapa Despacho - Llegada]]="","",MARÍTIMOS[[#This Row],[Etapa Despacho - Llegada]]),"")</f>
        <v/>
      </c>
      <c r="AA120" s="11" t="str">
        <f>IFERROR(IF(MARÍTIMOS[[#This Row],[Etapa Despacho - Registro]]="","",MARÍTIMOS[[#This Row],[Etapa Despacho - Registro]]),"")</f>
        <v/>
      </c>
      <c r="AB120" s="11">
        <f>IFERROR(IF(MARÍTIMOS[[#This Row],[Inspección Externa]]="","",MARÍTIMOS[[#This Row],[Inspección Externa]]),"")</f>
        <v>46242.584027777775</v>
      </c>
      <c r="AC120" s="11" t="str">
        <f>IFERROR(IF(MARÍTIMOS[[#This Row],[Etapa Despacho - Inicio de Carga]]="","",MARÍTIMOS[[#This Row],[Etapa Despacho - Inicio de Carga]]),"")</f>
        <v/>
      </c>
      <c r="AD120" s="11" t="str">
        <f>IFERROR(IF(MARÍTIMOS[[#This Row],[Etapa Despacho - Mitad de Carga]]="","",MARÍTIMOS[[#This Row],[Etapa Despacho - Mitad de Carga]]),"")</f>
        <v/>
      </c>
      <c r="AE120" s="11" t="str">
        <f>IFERROR(IF(MARÍTIMOS[[#This Row],[Etapa Despacho - Fin de Carga]]="","",MARÍTIMOS[[#This Row],[Etapa Despacho - Fin de Carga]]),"")</f>
        <v/>
      </c>
      <c r="AF120" s="2" t="str">
        <f>IFERROR(IF(MARÍTIMOS[[#This Row],[Puerto de Embarque]]="","",MARÍTIMOS[[#This Row],[Puerto de Embarque]]),"")</f>
        <v>Paita</v>
      </c>
      <c r="AG120" s="2" t="str">
        <f>IFERROR(IF(MARÍTIMOS[[#This Row],[Almacén de Ingreso]]="","",MARÍTIMOS[[#This Row],[Almacén de Ingreso]]),"")</f>
        <v>TPE</v>
      </c>
      <c r="AH120" s="11">
        <f>IFERROR(IF(MARÍTIMOS[[#This Row],[Etapa Ingreso - Cita]]="","",MARÍTIMOS[[#This Row],[Etapa Ingreso - Cita]]),"")</f>
        <v>46243.708333333336</v>
      </c>
      <c r="AI120" s="11">
        <f>IFERROR(IF(MARÍTIMOS[[#This Row],[Etapa Ingreso - Llegada]]="","",MARÍTIMOS[[#This Row],[Etapa Ingreso - Llegada]]),"")</f>
        <v>46243.664583333331</v>
      </c>
      <c r="AJ120" s="11">
        <f>IFERROR(IF(MARÍTIMOS[[#This Row],[Etapa Ingreso - Ingeso]]="","",MARÍTIMOS[[#This Row],[Etapa Ingreso - Ingeso]]),"")</f>
        <v>46243.666666666664</v>
      </c>
      <c r="AK120" s="11">
        <f>IFERROR(IF(MARÍTIMOS[[#This Row],[Etapa Ingreso - Atención]]="","",MARÍTIMOS[[#This Row],[Etapa Ingreso - Atención]]),"")</f>
        <v>46243.672222222223</v>
      </c>
      <c r="AL120" s="11">
        <f>IFERROR(IF(MARÍTIMOS[[#This Row],[Etapa Ingreso - Salida]]="","",MARÍTIMOS[[#This Row],[Etapa Ingreso - Salida]]),"")</f>
        <v>46243.679166666669</v>
      </c>
      <c r="AM120" s="2">
        <f>IFERROR(IF(MARÍTIMOS[[#This Row],[FCL]]="","",MARÍTIMOS[[#This Row],[FCL]]),"")</f>
        <v>1</v>
      </c>
      <c r="AN1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0" s="4" t="str" cm="1">
        <f t="array" ref="AO1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0" s="5" t="str">
        <f>IFERROR(OLDBD[[#This Row],[Llegada a packing]]-OLDBD[[#This Row],[Inicio de Ruta]],"")</f>
        <v/>
      </c>
      <c r="AQ120" s="6">
        <f>IFERROR(OLDBD[[#This Row],[Inicio de Ruta]]-OLDBD[[#This Row],[Salida de almacén de retiro]],"")</f>
        <v>0.10347222222480923</v>
      </c>
      <c r="AR1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0" s="8" t="str" cm="1">
        <f t="array" ref="AS1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0" s="9" t="str">
        <f>IFERROR(OLDBD[[#This Row],[Ingreso Packing]]-OLDBD[[#This Row],[Registro en Packing]],"")</f>
        <v/>
      </c>
      <c r="AV120" s="9" t="str">
        <f>IFERROR(OLDBD[[#This Row],[Ingreso Packing]]-OLDBD[[#This Row],[Llegada a packing]],"")</f>
        <v/>
      </c>
      <c r="AW1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0" s="5" t="str">
        <f>IFERROR(OLDBD[[#This Row],[Llegada Almacén de Ingreso]]-OLDBD[[#This Row],[Salida Packing]],"")</f>
        <v/>
      </c>
      <c r="AY120" s="4" t="str" cm="1">
        <f t="array" ref="AY1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20" s="43" t="s">
        <v>173</v>
      </c>
      <c r="BB120" s="47" t="str">
        <f>IFERROR(IF(MARÍTIMOS[[#This Row],[Estatus]]="","",MARÍTIMOS[[#This Row],[Estatus]]),"")</f>
        <v>Confirmado</v>
      </c>
      <c r="BC120" s="43"/>
      <c r="BD120" s="46">
        <f>IFERROR(OLDBD[[#This Row],[Salida de almacén de retiro]]-OLDBD[[#This Row],[Ingreso Almacén de retiro]],"")</f>
        <v>2.361111110803904E-2</v>
      </c>
      <c r="BE120" s="46" t="str">
        <f>IFERROR(OLDBD[[#This Row],[Fin de Carga]]-OLDBD[[#This Row],[Inicio de Carga]],"")</f>
        <v/>
      </c>
    </row>
    <row r="121" spans="1:57" customFormat="1" hidden="1">
      <c r="A121" s="1"/>
      <c r="B121" s="1">
        <f>IFERROR(IF(MARÍTIMOS[[#This Row],[PP]]="","",MARÍTIMOS[[#This Row],[PP]]),"")</f>
        <v>32</v>
      </c>
      <c r="C121" s="1" t="str">
        <f>IFERROR(IF(MARÍTIMOS[[#This Row],[Sede]]="","",MARÍTIMOS[[#This Row],[Sede]]),"")</f>
        <v>Chao</v>
      </c>
      <c r="D121" s="1" t="str">
        <f>IFERROR(IF(MARÍTIMOS[[#This Row],[Instruction]]="","",MARÍTIMOS[[#This Row],[Instruction]]),"")</f>
        <v>RH-0454</v>
      </c>
      <c r="E121" s="1"/>
      <c r="F121" s="2" t="str">
        <f>IFERROR(IF(MARÍTIMOS[[#This Row],[Transportista]]="","",MARÍTIMOS[[#This Row],[Transportista]]),"")</f>
        <v>Expert Transport</v>
      </c>
      <c r="G121" s="2" t="str">
        <f>IFERROR(IF(MARÍTIMOS[[#This Row],[Tercero]]="","",MARÍTIMOS[[#This Row],[Tercero]]),"")</f>
        <v>NO</v>
      </c>
      <c r="H121" s="2" t="str">
        <f>IFERROR(IF(MARÍTIMOS[[#This Row],[Razón Social]]="","",MARÍTIMOS[[#This Row],[Razón Social]]),"")</f>
        <v xml:space="preserve">EXPERT TRANSPORT SAC </v>
      </c>
      <c r="I121" s="2">
        <f>IFERROR(IF(MARÍTIMOS[[#This Row],[RUC]]="","",MARÍTIMOS[[#This Row],[RUC]]),"")</f>
        <v>20544424751</v>
      </c>
      <c r="J121" s="2" t="str">
        <f>IFERROR(IF(MARÍTIMOS[[#This Row],[Placa Tracto]]="","",MARÍTIMOS[[#This Row],[Placa Tracto]]),"")</f>
        <v>V1B809</v>
      </c>
      <c r="K121" s="2" t="str">
        <f>IFERROR(IF(MARÍTIMOS[[#This Row],[Placa Carreta]]="","",MARÍTIMOS[[#This Row],[Placa Carreta]]),"")</f>
        <v>TKC975</v>
      </c>
      <c r="L121" s="44" t="str">
        <f>IFERROR(IF(MARÍTIMOS[[#This Row],[Conductor]]="","",MARÍTIMOS[[#This Row],[Conductor]]),"")</f>
        <v>GUILLERMO YOSNEY GONZALEZ RUIZ</v>
      </c>
      <c r="M121" s="2" t="str">
        <f>IFERROR(IF(MARÍTIMOS[[#This Row],[Licencia]]="","",MARÍTIMOS[[#This Row],[Licencia]]),"")</f>
        <v>Q005581456</v>
      </c>
      <c r="N121" s="2">
        <f>IFERROR(IF(MARÍTIMOS[[#This Row],[Número de Contacto]]="","",MARÍTIMOS[[#This Row],[Número de Contacto]]),"")</f>
        <v>914472332</v>
      </c>
      <c r="O121" s="10" t="str">
        <f>IFERROR(IF(MARÍTIMOS[[#This Row],[Booking|AWB|CRT]]="","",MARÍTIMOS[[#This Row],[Booking|AWB|CRT]]),"")</f>
        <v>PER9174385A</v>
      </c>
      <c r="P121" s="2" t="str">
        <f>IFERROR(IF(MARÍTIMOS[[#This Row],[Contenedor]]="","",MARÍTIMOS[[#This Row],[Contenedor]]),"")</f>
        <v>CAAU4162478</v>
      </c>
      <c r="Q121" s="2" t="str">
        <f>IFERROR(IF(MARÍTIMOS[[#This Row],[Puerto de Retiro]]="","",MARÍTIMOS[[#This Row],[Puerto de Retiro]]),"")</f>
        <v>PAITA</v>
      </c>
      <c r="R121" s="2" t="str">
        <f>IFERROR(IF(MARÍTIMOS[[#This Row],[Almacén de Retiro]]="","",MARÍTIMOS[[#This Row],[Almacén de Retiro]]),"")</f>
        <v>DPW</v>
      </c>
      <c r="S121" s="11">
        <f>IFERROR(IF(MARÍTIMOS[[#This Row],[Etapa Retiro - Cita]]="","",MARÍTIMOS[[#This Row],[Etapa Retiro - Cita]]),"")</f>
        <v>46241.625</v>
      </c>
      <c r="T121" s="11">
        <f>IFERROR(IF(MARÍTIMOS[[#This Row],[Etapa Retiro - Llegada]]="","",MARÍTIMOS[[#This Row],[Etapa Retiro - Llegada]]),"")</f>
        <v>46241.611111111109</v>
      </c>
      <c r="U121" s="11">
        <f>IFERROR(IF(MARÍTIMOS[[#This Row],[Etapa Retiro - Ingreso]]="","",MARÍTIMOS[[#This Row],[Etapa Retiro - Ingreso]]),"")</f>
        <v>46241.636111111111</v>
      </c>
      <c r="V121" s="11">
        <f>IFERROR(IF(MARÍTIMOS[[#This Row],[Etapa Retiro - Atención]]="","",MARÍTIMOS[[#This Row],[Etapa Retiro - Atención]]),"")</f>
        <v>46241.637499999997</v>
      </c>
      <c r="W121" s="11">
        <f>IFERROR(IF(MARÍTIMOS[[#This Row],[Etapa Retiro - Atención]]="","",MARÍTIMOS[[#This Row],[Etapa Retiro - Atención]]),"")</f>
        <v>46241.637499999997</v>
      </c>
      <c r="X121" s="11">
        <f>IFERROR(IF(MARÍTIMOS[[#This Row],[Etapa Retiro - Inicio de Ruta]]="","",MARÍTIMOS[[#This Row],[Etapa Retiro - Inicio de Ruta]]),"")</f>
        <v>46241.765972222223</v>
      </c>
      <c r="Y121" s="11">
        <f>IFERROR(IF(MARÍTIMOS[[#This Row],[Hora de Posicionamiento]]="","",MARÍTIMOS[[#This Row],[Fecha de Carga]]+MARÍTIMOS[[#This Row],[Hora de Posicionamiento]]),"")</f>
        <v>46241.5</v>
      </c>
      <c r="Z121" s="11" t="str">
        <f>IFERROR(IF(MARÍTIMOS[[#This Row],[Etapa Despacho - Llegada]]="","",MARÍTIMOS[[#This Row],[Etapa Despacho - Llegada]]),"")</f>
        <v/>
      </c>
      <c r="AA121" s="11" t="str">
        <f>IFERROR(IF(MARÍTIMOS[[#This Row],[Etapa Despacho - Registro]]="","",MARÍTIMOS[[#This Row],[Etapa Despacho - Registro]]),"")</f>
        <v/>
      </c>
      <c r="AB121" s="11">
        <f>IFERROR(IF(MARÍTIMOS[[#This Row],[Inspección Externa]]="","",MARÍTIMOS[[#This Row],[Inspección Externa]]),"")</f>
        <v>46242.623611111114</v>
      </c>
      <c r="AC121" s="11" t="str">
        <f>IFERROR(IF(MARÍTIMOS[[#This Row],[Etapa Despacho - Inicio de Carga]]="","",MARÍTIMOS[[#This Row],[Etapa Despacho - Inicio de Carga]]),"")</f>
        <v/>
      </c>
      <c r="AD121" s="11" t="str">
        <f>IFERROR(IF(MARÍTIMOS[[#This Row],[Etapa Despacho - Mitad de Carga]]="","",MARÍTIMOS[[#This Row],[Etapa Despacho - Mitad de Carga]]),"")</f>
        <v/>
      </c>
      <c r="AE121" s="11" t="str">
        <f>IFERROR(IF(MARÍTIMOS[[#This Row],[Etapa Despacho - Fin de Carga]]="","",MARÍTIMOS[[#This Row],[Etapa Despacho - Fin de Carga]]),"")</f>
        <v/>
      </c>
      <c r="AF121" s="2" t="str">
        <f>IFERROR(IF(MARÍTIMOS[[#This Row],[Puerto de Embarque]]="","",MARÍTIMOS[[#This Row],[Puerto de Embarque]]),"")</f>
        <v>Paita</v>
      </c>
      <c r="AG121" s="2" t="str">
        <f>IFERROR(IF(MARÍTIMOS[[#This Row],[Almacén de Ingreso]]="","",MARÍTIMOS[[#This Row],[Almacén de Ingreso]]),"")</f>
        <v>TPE</v>
      </c>
      <c r="AH121" s="11">
        <f>IFERROR(IF(MARÍTIMOS[[#This Row],[Etapa Ingreso - Cita]]="","",MARÍTIMOS[[#This Row],[Etapa Ingreso - Cita]]),"")</f>
        <v>46243.708333333336</v>
      </c>
      <c r="AI121" s="11">
        <f>IFERROR(IF(MARÍTIMOS[[#This Row],[Etapa Ingreso - Llegada]]="","",MARÍTIMOS[[#This Row],[Etapa Ingreso - Llegada]]),"")</f>
        <v>46243.659722222219</v>
      </c>
      <c r="AJ121" s="11">
        <f>IFERROR(IF(MARÍTIMOS[[#This Row],[Etapa Ingreso - Ingeso]]="","",MARÍTIMOS[[#This Row],[Etapa Ingreso - Ingeso]]),"")</f>
        <v>46243.664583333331</v>
      </c>
      <c r="AK121" s="11">
        <f>IFERROR(IF(MARÍTIMOS[[#This Row],[Etapa Ingreso - Atención]]="","",MARÍTIMOS[[#This Row],[Etapa Ingreso - Atención]]),"")</f>
        <v>46243.67083333333</v>
      </c>
      <c r="AL121" s="11">
        <f>IFERROR(IF(MARÍTIMOS[[#This Row],[Etapa Ingreso - Salida]]="","",MARÍTIMOS[[#This Row],[Etapa Ingreso - Salida]]),"")</f>
        <v>46243.677083333336</v>
      </c>
      <c r="AM121" s="2">
        <f>IFERROR(IF(MARÍTIMOS[[#This Row],[FCL]]="","",MARÍTIMOS[[#This Row],[FCL]]),"")</f>
        <v>1</v>
      </c>
      <c r="AN1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1" s="4" t="str" cm="1">
        <f t="array" ref="AO1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1" s="5" t="str">
        <f>IFERROR(OLDBD[[#This Row],[Llegada a packing]]-OLDBD[[#This Row],[Inicio de Ruta]],"")</f>
        <v/>
      </c>
      <c r="AQ121" s="6">
        <f>IFERROR(OLDBD[[#This Row],[Inicio de Ruta]]-OLDBD[[#This Row],[Salida de almacén de retiro]],"")</f>
        <v>0.12847222222626442</v>
      </c>
      <c r="AR1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1" s="8" t="str" cm="1">
        <f t="array" ref="AS1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1" s="9" t="str">
        <f>IFERROR(OLDBD[[#This Row],[Ingreso Packing]]-OLDBD[[#This Row],[Registro en Packing]],"")</f>
        <v/>
      </c>
      <c r="AV121" s="9" t="str">
        <f>IFERROR(OLDBD[[#This Row],[Ingreso Packing]]-OLDBD[[#This Row],[Llegada a packing]],"")</f>
        <v/>
      </c>
      <c r="AW1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1" s="5" t="str">
        <f>IFERROR(OLDBD[[#This Row],[Llegada Almacén de Ingreso]]-OLDBD[[#This Row],[Salida Packing]],"")</f>
        <v/>
      </c>
      <c r="AY121" s="4" t="str" cm="1">
        <f t="array" ref="AY1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21" s="43" t="s">
        <v>173</v>
      </c>
      <c r="BB121" s="47" t="str">
        <f>IFERROR(IF(MARÍTIMOS[[#This Row],[Estatus]]="","",MARÍTIMOS[[#This Row],[Estatus]]),"")</f>
        <v>Confirmado</v>
      </c>
      <c r="BC121" s="43"/>
      <c r="BD121" s="46">
        <f>IFERROR(OLDBD[[#This Row],[Salida de almacén de retiro]]-OLDBD[[#This Row],[Ingreso Almacén de retiro]],"")</f>
        <v>1.3888888861401938E-3</v>
      </c>
      <c r="BE121" s="46" t="str">
        <f>IFERROR(OLDBD[[#This Row],[Fin de Carga]]-OLDBD[[#This Row],[Inicio de Carga]],"")</f>
        <v/>
      </c>
    </row>
    <row r="122" spans="1:57" customFormat="1" hidden="1">
      <c r="A122" s="1"/>
      <c r="B122" s="1">
        <f>IFERROR(IF(MARÍTIMOS[[#This Row],[PP]]="","",MARÍTIMOS[[#This Row],[PP]]),"")</f>
        <v>32</v>
      </c>
      <c r="C122" s="1" t="str">
        <f>IFERROR(IF(MARÍTIMOS[[#This Row],[Sede]]="","",MARÍTIMOS[[#This Row],[Sede]]),"")</f>
        <v>Chao</v>
      </c>
      <c r="D122" s="1" t="str">
        <f>IFERROR(IF(MARÍTIMOS[[#This Row],[Instruction]]="","",MARÍTIMOS[[#This Row],[Instruction]]),"")</f>
        <v>RH-0443</v>
      </c>
      <c r="E122" s="1"/>
      <c r="F122" s="2" t="str">
        <f>IFERROR(IF(MARÍTIMOS[[#This Row],[Transportista]]="","",MARÍTIMOS[[#This Row],[Transportista]]),"")</f>
        <v>Expert Transport</v>
      </c>
      <c r="G122" s="2" t="str">
        <f>IFERROR(IF(MARÍTIMOS[[#This Row],[Tercero]]="","",MARÍTIMOS[[#This Row],[Tercero]]),"")</f>
        <v>NO</v>
      </c>
      <c r="H122" s="2" t="str">
        <f>IFERROR(IF(MARÍTIMOS[[#This Row],[Razón Social]]="","",MARÍTIMOS[[#This Row],[Razón Social]]),"")</f>
        <v xml:space="preserve">EXPERT TRANSPORT SAC </v>
      </c>
      <c r="I122" s="2">
        <f>IFERROR(IF(MARÍTIMOS[[#This Row],[RUC]]="","",MARÍTIMOS[[#This Row],[RUC]]),"")</f>
        <v>20544424751</v>
      </c>
      <c r="J122" s="2" t="str">
        <f>IFERROR(IF(MARÍTIMOS[[#This Row],[Placa Tracto]]="","",MARÍTIMOS[[#This Row],[Placa Tracto]]),"")</f>
        <v>V4N706</v>
      </c>
      <c r="K122" s="2" t="str">
        <f>IFERROR(IF(MARÍTIMOS[[#This Row],[Placa Carreta]]="","",MARÍTIMOS[[#This Row],[Placa Carreta]]),"")</f>
        <v>TJD977</v>
      </c>
      <c r="L122" s="44" t="str">
        <f>IFERROR(IF(MARÍTIMOS[[#This Row],[Conductor]]="","",MARÍTIMOS[[#This Row],[Conductor]]),"")</f>
        <v>MARIO WILMER AVENDAÑO ACHA</v>
      </c>
      <c r="M122" s="2" t="str">
        <f>IFERROR(IF(MARÍTIMOS[[#This Row],[Licencia]]="","",MARÍTIMOS[[#This Row],[Licencia]]),"")</f>
        <v>B46445299</v>
      </c>
      <c r="N122" s="2">
        <f>IFERROR(IF(MARÍTIMOS[[#This Row],[Número de Contacto]]="","",MARÍTIMOS[[#This Row],[Número de Contacto]]),"")</f>
        <v>946500525</v>
      </c>
      <c r="O122" s="10" t="str">
        <f>IFERROR(IF(MARÍTIMOS[[#This Row],[Booking|AWB|CRT]]="","",MARÍTIMOS[[#This Row],[Booking|AWB|CRT]]),"")</f>
        <v>PER9174394A</v>
      </c>
      <c r="P122" s="2" t="str">
        <f>IFERROR(IF(MARÍTIMOS[[#This Row],[Contenedor]]="","",MARÍTIMOS[[#This Row],[Contenedor]]),"")</f>
        <v>CAXU5294637</v>
      </c>
      <c r="Q122" s="2" t="str">
        <f>IFERROR(IF(MARÍTIMOS[[#This Row],[Puerto de Retiro]]="","",MARÍTIMOS[[#This Row],[Puerto de Retiro]]),"")</f>
        <v>PAITA</v>
      </c>
      <c r="R122" s="2" t="str">
        <f>IFERROR(IF(MARÍTIMOS[[#This Row],[Almacén de Retiro]]="","",MARÍTIMOS[[#This Row],[Almacén de Retiro]]),"")</f>
        <v>DPW</v>
      </c>
      <c r="S122" s="11">
        <f>IFERROR(IF(MARÍTIMOS[[#This Row],[Etapa Retiro - Cita]]="","",MARÍTIMOS[[#This Row],[Etapa Retiro - Cita]]),"")</f>
        <v>46243.708333333336</v>
      </c>
      <c r="T122" s="11">
        <f>IFERROR(IF(MARÍTIMOS[[#This Row],[Etapa Retiro - Llegada]]="","",MARÍTIMOS[[#This Row],[Etapa Retiro - Llegada]]),"")</f>
        <v>46243.717361111114</v>
      </c>
      <c r="U122" s="11">
        <f>IFERROR(IF(MARÍTIMOS[[#This Row],[Etapa Retiro - Ingreso]]="","",MARÍTIMOS[[#This Row],[Etapa Retiro - Ingreso]]),"")</f>
        <v>46243.759722222225</v>
      </c>
      <c r="V122" s="11">
        <f>IFERROR(IF(MARÍTIMOS[[#This Row],[Etapa Retiro - Atención]]="","",MARÍTIMOS[[#This Row],[Etapa Retiro - Atención]]),"")</f>
        <v>46243.768750000003</v>
      </c>
      <c r="W122" s="11">
        <f>IFERROR(IF(MARÍTIMOS[[#This Row],[Etapa Retiro - Atención]]="","",MARÍTIMOS[[#This Row],[Etapa Retiro - Atención]]),"")</f>
        <v>46243.768750000003</v>
      </c>
      <c r="X122" s="11">
        <f>IFERROR(IF(MARÍTIMOS[[#This Row],[Etapa Retiro - Inicio de Ruta]]="","",MARÍTIMOS[[#This Row],[Etapa Retiro - Inicio de Ruta]]),"")</f>
        <v>46243.902777777781</v>
      </c>
      <c r="Y122" s="11">
        <f>IFERROR(IF(MARÍTIMOS[[#This Row],[Hora de Posicionamiento]]="","",MARÍTIMOS[[#This Row],[Fecha de Carga]]+MARÍTIMOS[[#This Row],[Hora de Posicionamiento]]),"")</f>
        <v>46243.416666666664</v>
      </c>
      <c r="Z122" s="11" t="str">
        <f>IFERROR(IF(MARÍTIMOS[[#This Row],[Etapa Despacho - Llegada]]="","",MARÍTIMOS[[#This Row],[Etapa Despacho - Llegada]]),"")</f>
        <v/>
      </c>
      <c r="AA122" s="11" t="str">
        <f>IFERROR(IF(MARÍTIMOS[[#This Row],[Etapa Despacho - Registro]]="","",MARÍTIMOS[[#This Row],[Etapa Despacho - Registro]]),"")</f>
        <v/>
      </c>
      <c r="AB122" s="11">
        <f>IFERROR(IF(MARÍTIMOS[[#This Row],[Inspección Externa]]="","",MARÍTIMOS[[#This Row],[Inspección Externa]]),"")</f>
        <v>46244.753472222219</v>
      </c>
      <c r="AC122" s="11" t="str">
        <f>IFERROR(IF(MARÍTIMOS[[#This Row],[Etapa Despacho - Inicio de Carga]]="","",MARÍTIMOS[[#This Row],[Etapa Despacho - Inicio de Carga]]),"")</f>
        <v/>
      </c>
      <c r="AD122" s="11" t="str">
        <f>IFERROR(IF(MARÍTIMOS[[#This Row],[Etapa Despacho - Mitad de Carga]]="","",MARÍTIMOS[[#This Row],[Etapa Despacho - Mitad de Carga]]),"")</f>
        <v/>
      </c>
      <c r="AE122" s="11" t="str">
        <f>IFERROR(IF(MARÍTIMOS[[#This Row],[Etapa Despacho - Fin de Carga]]="","",MARÍTIMOS[[#This Row],[Etapa Despacho - Fin de Carga]]),"")</f>
        <v/>
      </c>
      <c r="AF122" s="2" t="str">
        <f>IFERROR(IF(MARÍTIMOS[[#This Row],[Puerto de Embarque]]="","",MARÍTIMOS[[#This Row],[Puerto de Embarque]]),"")</f>
        <v>Paita</v>
      </c>
      <c r="AG122" s="2" t="str">
        <f>IFERROR(IF(MARÍTIMOS[[#This Row],[Almacén de Ingreso]]="","",MARÍTIMOS[[#This Row],[Almacén de Ingreso]]),"")</f>
        <v>TPE</v>
      </c>
      <c r="AH122" s="11">
        <f>IFERROR(IF(MARÍTIMOS[[#This Row],[Etapa Ingreso - Cita]]="","",MARÍTIMOS[[#This Row],[Etapa Ingreso - Cita]]),"")</f>
        <v>46245.708333333336</v>
      </c>
      <c r="AI122" s="11">
        <f>IFERROR(IF(MARÍTIMOS[[#This Row],[Etapa Ingreso - Llegada]]="","",MARÍTIMOS[[#This Row],[Etapa Ingreso - Llegada]]),"")</f>
        <v>46245.671527777777</v>
      </c>
      <c r="AJ122" s="11">
        <f>IFERROR(IF(MARÍTIMOS[[#This Row],[Etapa Ingreso - Ingeso]]="","",MARÍTIMOS[[#This Row],[Etapa Ingreso - Ingeso]]),"")</f>
        <v>46245.673611111109</v>
      </c>
      <c r="AK122" s="11">
        <f>IFERROR(IF(MARÍTIMOS[[#This Row],[Etapa Ingreso - Atención]]="","",MARÍTIMOS[[#This Row],[Etapa Ingreso - Atención]]),"")</f>
        <v>46245.680555555555</v>
      </c>
      <c r="AL122" s="11">
        <f>IFERROR(IF(MARÍTIMOS[[#This Row],[Etapa Ingreso - Salida]]="","",MARÍTIMOS[[#This Row],[Etapa Ingreso - Salida]]),"")</f>
        <v>46245.708333333336</v>
      </c>
      <c r="AM122" s="2">
        <f>IFERROR(IF(MARÍTIMOS[[#This Row],[FCL]]="","",MARÍTIMOS[[#This Row],[FCL]]),"")</f>
        <v>1</v>
      </c>
      <c r="AN1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2" s="4" t="str" cm="1">
        <f t="array" ref="AO1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2" s="5" t="str">
        <f>IFERROR(OLDBD[[#This Row],[Llegada a packing]]-OLDBD[[#This Row],[Inicio de Ruta]],"")</f>
        <v/>
      </c>
      <c r="AQ122" s="6">
        <f>IFERROR(OLDBD[[#This Row],[Inicio de Ruta]]-OLDBD[[#This Row],[Salida de almacén de retiro]],"")</f>
        <v>0.13402777777810115</v>
      </c>
      <c r="AR1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2" s="8" t="str" cm="1">
        <f t="array" ref="AS1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2" s="9" t="str">
        <f>IFERROR(OLDBD[[#This Row],[Ingreso Packing]]-OLDBD[[#This Row],[Registro en Packing]],"")</f>
        <v/>
      </c>
      <c r="AV122" s="9" t="str">
        <f>IFERROR(OLDBD[[#This Row],[Ingreso Packing]]-OLDBD[[#This Row],[Llegada a packing]],"")</f>
        <v/>
      </c>
      <c r="AW1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2" s="5" t="str">
        <f>IFERROR(OLDBD[[#This Row],[Llegada Almacén de Ingreso]]-OLDBD[[#This Row],[Salida Packing]],"")</f>
        <v/>
      </c>
      <c r="AY122" s="4" t="str" cm="1">
        <f t="array" ref="AY1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22" s="43" t="s">
        <v>173</v>
      </c>
      <c r="BB122" s="47" t="str">
        <f>IFERROR(IF(MARÍTIMOS[[#This Row],[Estatus]]="","",MARÍTIMOS[[#This Row],[Estatus]]),"")</f>
        <v>Confirmado</v>
      </c>
      <c r="BC122" s="43"/>
      <c r="BD122" s="46">
        <f>IFERROR(OLDBD[[#This Row],[Salida de almacén de retiro]]-OLDBD[[#This Row],[Ingreso Almacén de retiro]],"")</f>
        <v>9.0277777781011537E-3</v>
      </c>
      <c r="BE122" s="46" t="str">
        <f>IFERROR(OLDBD[[#This Row],[Fin de Carga]]-OLDBD[[#This Row],[Inicio de Carga]],"")</f>
        <v/>
      </c>
    </row>
    <row r="123" spans="1:57" customFormat="1" hidden="1">
      <c r="A123" s="1"/>
      <c r="B123" s="1">
        <f>IFERROR(IF(MARÍTIMOS[[#This Row],[PP]]="","",MARÍTIMOS[[#This Row],[PP]]),"")</f>
        <v>32</v>
      </c>
      <c r="C123" s="1" t="str">
        <f>IFERROR(IF(MARÍTIMOS[[#This Row],[Sede]]="","",MARÍTIMOS[[#This Row],[Sede]]),"")</f>
        <v>Chao</v>
      </c>
      <c r="D123" s="1" t="str">
        <f>IFERROR(IF(MARÍTIMOS[[#This Row],[Instruction]]="","",MARÍTIMOS[[#This Row],[Instruction]]),"")</f>
        <v>RH-0444</v>
      </c>
      <c r="E123" s="1"/>
      <c r="F123" s="2" t="str">
        <f>IFERROR(IF(MARÍTIMOS[[#This Row],[Transportista]]="","",MARÍTIMOS[[#This Row],[Transportista]]),"")</f>
        <v>Expert Transport</v>
      </c>
      <c r="G123" s="2" t="str">
        <f>IFERROR(IF(MARÍTIMOS[[#This Row],[Tercero]]="","",MARÍTIMOS[[#This Row],[Tercero]]),"")</f>
        <v>NO</v>
      </c>
      <c r="H123" s="2" t="str">
        <f>IFERROR(IF(MARÍTIMOS[[#This Row],[Razón Social]]="","",MARÍTIMOS[[#This Row],[Razón Social]]),"")</f>
        <v xml:space="preserve">EXPERT TRANSPORT SAC </v>
      </c>
      <c r="I123" s="2">
        <f>IFERROR(IF(MARÍTIMOS[[#This Row],[RUC]]="","",MARÍTIMOS[[#This Row],[RUC]]),"")</f>
        <v>20544424751</v>
      </c>
      <c r="J123" s="2" t="str">
        <f>IFERROR(IF(MARÍTIMOS[[#This Row],[Placa Tracto]]="","",MARÍTIMOS[[#This Row],[Placa Tracto]]),"")</f>
        <v>D1A797</v>
      </c>
      <c r="K123" s="2" t="str">
        <f>IFERROR(IF(MARÍTIMOS[[#This Row],[Placa Carreta]]="","",MARÍTIMOS[[#This Row],[Placa Carreta]]),"")</f>
        <v>TNQ977</v>
      </c>
      <c r="L123" s="44" t="str">
        <f>IFERROR(IF(MARÍTIMOS[[#This Row],[Conductor]]="","",MARÍTIMOS[[#This Row],[Conductor]]),"")</f>
        <v>FREDERIS JOSE PAVON RUIZ</v>
      </c>
      <c r="M123" s="2" t="str">
        <f>IFERROR(IF(MARÍTIMOS[[#This Row],[Licencia]]="","",MARÍTIMOS[[#This Row],[Licencia]]),"")</f>
        <v>Q005175672</v>
      </c>
      <c r="N123" s="2">
        <f>IFERROR(IF(MARÍTIMOS[[#This Row],[Número de Contacto]]="","",MARÍTIMOS[[#This Row],[Número de Contacto]]),"")</f>
        <v>904556157</v>
      </c>
      <c r="O123" s="10" t="str">
        <f>IFERROR(IF(MARÍTIMOS[[#This Row],[Booking|AWB|CRT]]="","",MARÍTIMOS[[#This Row],[Booking|AWB|CRT]]),"")</f>
        <v>PER9174395A</v>
      </c>
      <c r="P123" s="2" t="str">
        <f>IFERROR(IF(MARÍTIMOS[[#This Row],[Contenedor]]="","",MARÍTIMOS[[#This Row],[Contenedor]]),"")</f>
        <v>CAAU4166112</v>
      </c>
      <c r="Q123" s="2" t="str">
        <f>IFERROR(IF(MARÍTIMOS[[#This Row],[Puerto de Retiro]]="","",MARÍTIMOS[[#This Row],[Puerto de Retiro]]),"")</f>
        <v>PAITA</v>
      </c>
      <c r="R123" s="2" t="str">
        <f>IFERROR(IF(MARÍTIMOS[[#This Row],[Almacén de Retiro]]="","",MARÍTIMOS[[#This Row],[Almacén de Retiro]]),"")</f>
        <v>DPW</v>
      </c>
      <c r="S123" s="11">
        <f>IFERROR(IF(MARÍTIMOS[[#This Row],[Etapa Retiro - Cita]]="","",MARÍTIMOS[[#This Row],[Etapa Retiro - Cita]]),"")</f>
        <v>46243.833333333336</v>
      </c>
      <c r="T123" s="11">
        <f>IFERROR(IF(MARÍTIMOS[[#This Row],[Etapa Retiro - Llegada]]="","",MARÍTIMOS[[#This Row],[Etapa Retiro - Llegada]]),"")</f>
        <v>46243.822916666664</v>
      </c>
      <c r="U123" s="11">
        <f>IFERROR(IF(MARÍTIMOS[[#This Row],[Etapa Retiro - Ingreso]]="","",MARÍTIMOS[[#This Row],[Etapa Retiro - Ingreso]]),"")</f>
        <v>46243.909722222219</v>
      </c>
      <c r="V123" s="11">
        <f>IFERROR(IF(MARÍTIMOS[[#This Row],[Etapa Retiro - Atención]]="","",MARÍTIMOS[[#This Row],[Etapa Retiro - Atención]]),"")</f>
        <v>46243.910416666666</v>
      </c>
      <c r="W123" s="11">
        <f>IFERROR(IF(MARÍTIMOS[[#This Row],[Etapa Retiro - Atención]]="","",MARÍTIMOS[[#This Row],[Etapa Retiro - Atención]]),"")</f>
        <v>46243.910416666666</v>
      </c>
      <c r="X123" s="11">
        <f>IFERROR(IF(MARÍTIMOS[[#This Row],[Etapa Retiro - Inicio de Ruta]]="","",MARÍTIMOS[[#This Row],[Etapa Retiro - Inicio de Ruta]]),"")</f>
        <v>46243.981944444444</v>
      </c>
      <c r="Y123" s="11">
        <f>IFERROR(IF(MARÍTIMOS[[#This Row],[Hora de Posicionamiento]]="","",MARÍTIMOS[[#This Row],[Fecha de Carga]]+MARÍTIMOS[[#This Row],[Hora de Posicionamiento]]),"")</f>
        <v>46243.5</v>
      </c>
      <c r="Z123" s="11" t="str">
        <f>IFERROR(IF(MARÍTIMOS[[#This Row],[Etapa Despacho - Llegada]]="","",MARÍTIMOS[[#This Row],[Etapa Despacho - Llegada]]),"")</f>
        <v/>
      </c>
      <c r="AA123" s="11" t="str">
        <f>IFERROR(IF(MARÍTIMOS[[#This Row],[Etapa Despacho - Registro]]="","",MARÍTIMOS[[#This Row],[Etapa Despacho - Registro]]),"")</f>
        <v/>
      </c>
      <c r="AB123" s="11">
        <f>IFERROR(IF(MARÍTIMOS[[#This Row],[Inspección Externa]]="","",MARÍTIMOS[[#This Row],[Inspección Externa]]),"")</f>
        <v>46244.737500000003</v>
      </c>
      <c r="AC123" s="11" t="str">
        <f>IFERROR(IF(MARÍTIMOS[[#This Row],[Etapa Despacho - Inicio de Carga]]="","",MARÍTIMOS[[#This Row],[Etapa Despacho - Inicio de Carga]]),"")</f>
        <v/>
      </c>
      <c r="AD123" s="11" t="str">
        <f>IFERROR(IF(MARÍTIMOS[[#This Row],[Etapa Despacho - Mitad de Carga]]="","",MARÍTIMOS[[#This Row],[Etapa Despacho - Mitad de Carga]]),"")</f>
        <v/>
      </c>
      <c r="AE123" s="11" t="str">
        <f>IFERROR(IF(MARÍTIMOS[[#This Row],[Etapa Despacho - Fin de Carga]]="","",MARÍTIMOS[[#This Row],[Etapa Despacho - Fin de Carga]]),"")</f>
        <v/>
      </c>
      <c r="AF123" s="2" t="str">
        <f>IFERROR(IF(MARÍTIMOS[[#This Row],[Puerto de Embarque]]="","",MARÍTIMOS[[#This Row],[Puerto de Embarque]]),"")</f>
        <v>Paita</v>
      </c>
      <c r="AG123" s="2" t="str">
        <f>IFERROR(IF(MARÍTIMOS[[#This Row],[Almacén de Ingreso]]="","",MARÍTIMOS[[#This Row],[Almacén de Ingreso]]),"")</f>
        <v>TPE</v>
      </c>
      <c r="AH123" s="11">
        <f>IFERROR(IF(MARÍTIMOS[[#This Row],[Etapa Ingreso - Cita]]="","",MARÍTIMOS[[#This Row],[Etapa Ingreso - Cita]]),"")</f>
        <v>46245.666666666664</v>
      </c>
      <c r="AI123" s="11">
        <f>IFERROR(IF(MARÍTIMOS[[#This Row],[Etapa Ingreso - Llegada]]="","",MARÍTIMOS[[#This Row],[Etapa Ingreso - Llegada]]),"")</f>
        <v>46245.659722222219</v>
      </c>
      <c r="AJ123" s="11">
        <f>IFERROR(IF(MARÍTIMOS[[#This Row],[Etapa Ingreso - Ingeso]]="","",MARÍTIMOS[[#This Row],[Etapa Ingreso - Ingeso]]),"")</f>
        <v>46245.662499999999</v>
      </c>
      <c r="AK123" s="11">
        <f>IFERROR(IF(MARÍTIMOS[[#This Row],[Etapa Ingreso - Atención]]="","",MARÍTIMOS[[#This Row],[Etapa Ingreso - Atención]]),"")</f>
        <v>46245.669444444444</v>
      </c>
      <c r="AL123" s="11">
        <f>IFERROR(IF(MARÍTIMOS[[#This Row],[Etapa Ingreso - Salida]]="","",MARÍTIMOS[[#This Row],[Etapa Ingreso - Salida]]),"")</f>
        <v>46245.677083333336</v>
      </c>
      <c r="AM123" s="2">
        <f>IFERROR(IF(MARÍTIMOS[[#This Row],[FCL]]="","",MARÍTIMOS[[#This Row],[FCL]]),"")</f>
        <v>1</v>
      </c>
      <c r="AN1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3" s="4" t="str" cm="1">
        <f t="array" ref="AO1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3" s="5" t="str">
        <f>IFERROR(OLDBD[[#This Row],[Llegada a packing]]-OLDBD[[#This Row],[Inicio de Ruta]],"")</f>
        <v/>
      </c>
      <c r="AQ123" s="6">
        <f>IFERROR(OLDBD[[#This Row],[Inicio de Ruta]]-OLDBD[[#This Row],[Salida de almacén de retiro]],"")</f>
        <v>7.1527777778101154E-2</v>
      </c>
      <c r="AR1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3" s="8" t="str" cm="1">
        <f t="array" ref="AS1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3" s="9" t="str">
        <f>IFERROR(OLDBD[[#This Row],[Ingreso Packing]]-OLDBD[[#This Row],[Registro en Packing]],"")</f>
        <v/>
      </c>
      <c r="AV123" s="9" t="str">
        <f>IFERROR(OLDBD[[#This Row],[Ingreso Packing]]-OLDBD[[#This Row],[Llegada a packing]],"")</f>
        <v/>
      </c>
      <c r="AW1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3" s="5" t="str">
        <f>IFERROR(OLDBD[[#This Row],[Llegada Almacén de Ingreso]]-OLDBD[[#This Row],[Salida Packing]],"")</f>
        <v/>
      </c>
      <c r="AY123" s="4" t="str" cm="1">
        <f t="array" ref="AY1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23" s="43" t="s">
        <v>173</v>
      </c>
      <c r="BB123" s="47" t="str">
        <f>IFERROR(IF(MARÍTIMOS[[#This Row],[Estatus]]="","",MARÍTIMOS[[#This Row],[Estatus]]),"")</f>
        <v>Confirmado</v>
      </c>
      <c r="BC123" s="43"/>
      <c r="BD123" s="46">
        <f>IFERROR(OLDBD[[#This Row],[Salida de almacén de retiro]]-OLDBD[[#This Row],[Ingreso Almacén de retiro]],"")</f>
        <v>6.944444467080757E-4</v>
      </c>
      <c r="BE123" s="46" t="str">
        <f>IFERROR(OLDBD[[#This Row],[Fin de Carga]]-OLDBD[[#This Row],[Inicio de Carga]],"")</f>
        <v/>
      </c>
    </row>
    <row r="124" spans="1:57" customFormat="1" hidden="1">
      <c r="A124" s="1"/>
      <c r="B124" s="1">
        <f>IFERROR(IF(MARÍTIMOS[[#This Row],[PP]]="","",MARÍTIMOS[[#This Row],[PP]]),"")</f>
        <v>32</v>
      </c>
      <c r="C124" s="1" t="str">
        <f>IFERROR(IF(MARÍTIMOS[[#This Row],[Sede]]="","",MARÍTIMOS[[#This Row],[Sede]]),"")</f>
        <v>Chao</v>
      </c>
      <c r="D124" s="1" t="str">
        <f>IFERROR(IF(MARÍTIMOS[[#This Row],[Instruction]]="","",MARÍTIMOS[[#This Row],[Instruction]]),"")</f>
        <v>RH-0449</v>
      </c>
      <c r="E124" s="1"/>
      <c r="F124" s="2" t="str">
        <f>IFERROR(IF(MARÍTIMOS[[#This Row],[Transportista]]="","",MARÍTIMOS[[#This Row],[Transportista]]),"")</f>
        <v>Expert Transport</v>
      </c>
      <c r="G124" s="2" t="str">
        <f>IFERROR(IF(MARÍTIMOS[[#This Row],[Tercero]]="","",MARÍTIMOS[[#This Row],[Tercero]]),"")</f>
        <v>NO</v>
      </c>
      <c r="H124" s="2" t="str">
        <f>IFERROR(IF(MARÍTIMOS[[#This Row],[Razón Social]]="","",MARÍTIMOS[[#This Row],[Razón Social]]),"")</f>
        <v xml:space="preserve">EXPERT TRANSPORT SAC </v>
      </c>
      <c r="I124" s="2">
        <f>IFERROR(IF(MARÍTIMOS[[#This Row],[RUC]]="","",MARÍTIMOS[[#This Row],[RUC]]),"")</f>
        <v>20544424751</v>
      </c>
      <c r="J124" s="2" t="str">
        <f>IFERROR(IF(MARÍTIMOS[[#This Row],[Placa Tracto]]="","",MARÍTIMOS[[#This Row],[Placa Tracto]]),"")</f>
        <v>V2N749</v>
      </c>
      <c r="K124" s="2" t="str">
        <f>IFERROR(IF(MARÍTIMOS[[#This Row],[Placa Carreta]]="","",MARÍTIMOS[[#This Row],[Placa Carreta]]),"")</f>
        <v>TNQ999</v>
      </c>
      <c r="L124" s="44" t="str">
        <f>IFERROR(IF(MARÍTIMOS[[#This Row],[Conductor]]="","",MARÍTIMOS[[#This Row],[Conductor]]),"")</f>
        <v>JUAN MIGUAL LAGOS VICHEZ</v>
      </c>
      <c r="M124" s="2" t="str">
        <f>IFERROR(IF(MARÍTIMOS[[#This Row],[Licencia]]="","",MARÍTIMOS[[#This Row],[Licencia]]),"")</f>
        <v>B05642160</v>
      </c>
      <c r="N124" s="2">
        <f>IFERROR(IF(MARÍTIMOS[[#This Row],[Número de Contacto]]="","",MARÍTIMOS[[#This Row],[Número de Contacto]]),"")</f>
        <v>952268872</v>
      </c>
      <c r="O124" s="10" t="str">
        <f>IFERROR(IF(MARÍTIMOS[[#This Row],[Booking|AWB|CRT]]="","",MARÍTIMOS[[#This Row],[Booking|AWB|CRT]]),"")</f>
        <v>BN80684</v>
      </c>
      <c r="P124" s="2" t="str">
        <f>IFERROR(IF(MARÍTIMOS[[#This Row],[Contenedor]]="","",MARÍTIMOS[[#This Row],[Contenedor]]),"")</f>
        <v>BMOU9333940</v>
      </c>
      <c r="Q124" s="2" t="str">
        <f>IFERROR(IF(MARÍTIMOS[[#This Row],[Puerto de Retiro]]="","",MARÍTIMOS[[#This Row],[Puerto de Retiro]]),"")</f>
        <v>PAITA</v>
      </c>
      <c r="R124" s="2" t="str">
        <f>IFERROR(IF(MARÍTIMOS[[#This Row],[Almacén de Retiro]]="","",MARÍTIMOS[[#This Row],[Almacén de Retiro]]),"")</f>
        <v>DPW</v>
      </c>
      <c r="S124" s="11">
        <f>IFERROR(IF(MARÍTIMOS[[#This Row],[Etapa Retiro - Cita]]="","",MARÍTIMOS[[#This Row],[Etapa Retiro - Cita]]),"")</f>
        <v>46243.416666666664</v>
      </c>
      <c r="T124" s="11">
        <f>IFERROR(IF(MARÍTIMOS[[#This Row],[Etapa Retiro - Llegada]]="","",MARÍTIMOS[[#This Row],[Etapa Retiro - Llegada]]),"")</f>
        <v>46243.418749999997</v>
      </c>
      <c r="U124" s="11">
        <f>IFERROR(IF(MARÍTIMOS[[#This Row],[Etapa Retiro - Ingreso]]="","",MARÍTIMOS[[#This Row],[Etapa Retiro - Ingreso]]),"")</f>
        <v>46243.433333333334</v>
      </c>
      <c r="V124" s="11">
        <f>IFERROR(IF(MARÍTIMOS[[#This Row],[Etapa Retiro - Atención]]="","",MARÍTIMOS[[#This Row],[Etapa Retiro - Atención]]),"")</f>
        <v>46243.465277777781</v>
      </c>
      <c r="W124" s="11">
        <f>IFERROR(IF(MARÍTIMOS[[#This Row],[Etapa Retiro - Atención]]="","",MARÍTIMOS[[#This Row],[Etapa Retiro - Atención]]),"")</f>
        <v>46243.465277777781</v>
      </c>
      <c r="X124" s="11">
        <f>IFERROR(IF(MARÍTIMOS[[#This Row],[Etapa Retiro - Inicio de Ruta]]="","",MARÍTIMOS[[#This Row],[Etapa Retiro - Inicio de Ruta]]),"")</f>
        <v>46243.501388888886</v>
      </c>
      <c r="Y124" s="11">
        <f>IFERROR(IF(MARÍTIMOS[[#This Row],[Hora de Posicionamiento]]="","",MARÍTIMOS[[#This Row],[Fecha de Carga]]+MARÍTIMOS[[#This Row],[Hora de Posicionamiento]]),"")</f>
        <v>46243.333333333336</v>
      </c>
      <c r="Z124" s="11" t="str">
        <f>IFERROR(IF(MARÍTIMOS[[#This Row],[Etapa Despacho - Llegada]]="","",MARÍTIMOS[[#This Row],[Etapa Despacho - Llegada]]),"")</f>
        <v/>
      </c>
      <c r="AA124" s="11" t="str">
        <f>IFERROR(IF(MARÍTIMOS[[#This Row],[Etapa Despacho - Registro]]="","",MARÍTIMOS[[#This Row],[Etapa Despacho - Registro]]),"")</f>
        <v/>
      </c>
      <c r="AB124" s="11">
        <f>IFERROR(IF(MARÍTIMOS[[#This Row],[Inspección Externa]]="","",MARÍTIMOS[[#This Row],[Inspección Externa]]),"")</f>
        <v>46244.347222222219</v>
      </c>
      <c r="AC124" s="11" t="str">
        <f>IFERROR(IF(MARÍTIMOS[[#This Row],[Etapa Despacho - Inicio de Carga]]="","",MARÍTIMOS[[#This Row],[Etapa Despacho - Inicio de Carga]]),"")</f>
        <v/>
      </c>
      <c r="AD124" s="11" t="str">
        <f>IFERROR(IF(MARÍTIMOS[[#This Row],[Etapa Despacho - Mitad de Carga]]="","",MARÍTIMOS[[#This Row],[Etapa Despacho - Mitad de Carga]]),"")</f>
        <v/>
      </c>
      <c r="AE124" s="11" t="str">
        <f>IFERROR(IF(MARÍTIMOS[[#This Row],[Etapa Despacho - Fin de Carga]]="","",MARÍTIMOS[[#This Row],[Etapa Despacho - Fin de Carga]]),"")</f>
        <v/>
      </c>
      <c r="AF124" s="2" t="str">
        <f>IFERROR(IF(MARÍTIMOS[[#This Row],[Puerto de Embarque]]="","",MARÍTIMOS[[#This Row],[Puerto de Embarque]]),"")</f>
        <v>Paita</v>
      </c>
      <c r="AG124" s="2" t="str">
        <f>IFERROR(IF(MARÍTIMOS[[#This Row],[Almacén de Ingreso]]="","",MARÍTIMOS[[#This Row],[Almacén de Ingreso]]),"")</f>
        <v>TPE</v>
      </c>
      <c r="AH124" s="11">
        <f>IFERROR(IF(MARÍTIMOS[[#This Row],[Etapa Ingreso - Cita]]="","",MARÍTIMOS[[#This Row],[Etapa Ingreso - Cita]]),"")</f>
        <v>46245.416666666664</v>
      </c>
      <c r="AI124" s="11">
        <f>IFERROR(IF(MARÍTIMOS[[#This Row],[Etapa Ingreso - Llegada]]="","",MARÍTIMOS[[#This Row],[Etapa Ingreso - Llegada]]),"")</f>
        <v>46245.373611111114</v>
      </c>
      <c r="AJ124" s="11">
        <f>IFERROR(IF(MARÍTIMOS[[#This Row],[Etapa Ingreso - Ingeso]]="","",MARÍTIMOS[[#This Row],[Etapa Ingreso - Ingeso]]),"")</f>
        <v>46245.376388888886</v>
      </c>
      <c r="AK124" s="11">
        <f>IFERROR(IF(MARÍTIMOS[[#This Row],[Etapa Ingreso - Atención]]="","",MARÍTIMOS[[#This Row],[Etapa Ingreso - Atención]]),"")</f>
        <v>46245.384027777778</v>
      </c>
      <c r="AL124" s="11">
        <f>IFERROR(IF(MARÍTIMOS[[#This Row],[Etapa Ingreso - Salida]]="","",MARÍTIMOS[[#This Row],[Etapa Ingreso - Salida]]),"")</f>
        <v>46245.388888888891</v>
      </c>
      <c r="AM124" s="2">
        <f>IFERROR(IF(MARÍTIMOS[[#This Row],[FCL]]="","",MARÍTIMOS[[#This Row],[FCL]]),"")</f>
        <v>1</v>
      </c>
      <c r="AN1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4" s="4" t="str" cm="1">
        <f t="array" ref="AO1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4" s="5" t="str">
        <f>IFERROR(OLDBD[[#This Row],[Llegada a packing]]-OLDBD[[#This Row],[Inicio de Ruta]],"")</f>
        <v/>
      </c>
      <c r="AQ124" s="6">
        <f>IFERROR(OLDBD[[#This Row],[Inicio de Ruta]]-OLDBD[[#This Row],[Salida de almacén de retiro]],"")</f>
        <v>3.6111111105128657E-2</v>
      </c>
      <c r="AR1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4" s="8" t="str" cm="1">
        <f t="array" ref="AS1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4" s="9" t="str">
        <f>IFERROR(OLDBD[[#This Row],[Ingreso Packing]]-OLDBD[[#This Row],[Registro en Packing]],"")</f>
        <v/>
      </c>
      <c r="AV124" s="9" t="str">
        <f>IFERROR(OLDBD[[#This Row],[Ingreso Packing]]-OLDBD[[#This Row],[Llegada a packing]],"")</f>
        <v/>
      </c>
      <c r="AW1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4" s="5" t="str">
        <f>IFERROR(OLDBD[[#This Row],[Llegada Almacén de Ingreso]]-OLDBD[[#This Row],[Salida Packing]],"")</f>
        <v/>
      </c>
      <c r="AY124" s="4" t="str" cm="1">
        <f t="array" ref="AY1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24" s="43" t="s">
        <v>173</v>
      </c>
      <c r="BB124" s="47" t="str">
        <f>IFERROR(IF(MARÍTIMOS[[#This Row],[Estatus]]="","",MARÍTIMOS[[#This Row],[Estatus]]),"")</f>
        <v>Confirmado</v>
      </c>
      <c r="BC124" s="43"/>
      <c r="BD124" s="46">
        <f>IFERROR(OLDBD[[#This Row],[Salida de almacén de retiro]]-OLDBD[[#This Row],[Ingreso Almacén de retiro]],"")</f>
        <v>3.1944444446708076E-2</v>
      </c>
      <c r="BE124" s="46" t="str">
        <f>IFERROR(OLDBD[[#This Row],[Fin de Carga]]-OLDBD[[#This Row],[Inicio de Carga]],"")</f>
        <v/>
      </c>
    </row>
    <row r="125" spans="1:57" customFormat="1" hidden="1">
      <c r="A125" s="1"/>
      <c r="B125" s="1">
        <f>IFERROR(IF(MARÍTIMOS[[#This Row],[PP]]="","",MARÍTIMOS[[#This Row],[PP]]),"")</f>
        <v>32</v>
      </c>
      <c r="C125" s="1" t="str">
        <f>IFERROR(IF(MARÍTIMOS[[#This Row],[Sede]]="","",MARÍTIMOS[[#This Row],[Sede]]),"")</f>
        <v>Chao</v>
      </c>
      <c r="D125" s="1" t="str">
        <f>IFERROR(IF(MARÍTIMOS[[#This Row],[Instruction]]="","",MARÍTIMOS[[#This Row],[Instruction]]),"")</f>
        <v>RH-0450</v>
      </c>
      <c r="E125" s="1"/>
      <c r="F125" s="2" t="str">
        <f>IFERROR(IF(MARÍTIMOS[[#This Row],[Transportista]]="","",MARÍTIMOS[[#This Row],[Transportista]]),"")</f>
        <v>Expert Transport</v>
      </c>
      <c r="G125" s="2" t="str">
        <f>IFERROR(IF(MARÍTIMOS[[#This Row],[Tercero]]="","",MARÍTIMOS[[#This Row],[Tercero]]),"")</f>
        <v>NO</v>
      </c>
      <c r="H125" s="2" t="str">
        <f>IFERROR(IF(MARÍTIMOS[[#This Row],[Razón Social]]="","",MARÍTIMOS[[#This Row],[Razón Social]]),"")</f>
        <v xml:space="preserve">EXPERT TRANSPORT SAC </v>
      </c>
      <c r="I125" s="2">
        <f>IFERROR(IF(MARÍTIMOS[[#This Row],[RUC]]="","",MARÍTIMOS[[#This Row],[RUC]]),"")</f>
        <v>20544424751</v>
      </c>
      <c r="J125" s="2" t="str">
        <f>IFERROR(IF(MARÍTIMOS[[#This Row],[Placa Tracto]]="","",MARÍTIMOS[[#This Row],[Placa Tracto]]),"")</f>
        <v>C5Z734</v>
      </c>
      <c r="K125" s="2" t="str">
        <f>IFERROR(IF(MARÍTIMOS[[#This Row],[Placa Carreta]]="","",MARÍTIMOS[[#This Row],[Placa Carreta]]),"")</f>
        <v>TJE975</v>
      </c>
      <c r="L125" s="44" t="str">
        <f>IFERROR(IF(MARÍTIMOS[[#This Row],[Conductor]]="","",MARÍTIMOS[[#This Row],[Conductor]]),"")</f>
        <v>LUIS CARLOS LAMAS RUIZ</v>
      </c>
      <c r="M125" s="2" t="str">
        <f>IFERROR(IF(MARÍTIMOS[[#This Row],[Licencia]]="","",MARÍTIMOS[[#This Row],[Licencia]]),"")</f>
        <v>B009531613</v>
      </c>
      <c r="N125" s="2">
        <f>IFERROR(IF(MARÍTIMOS[[#This Row],[Número de Contacto]]="","",MARÍTIMOS[[#This Row],[Número de Contacto]]),"")</f>
        <v>986078320</v>
      </c>
      <c r="O125" s="10" t="str">
        <f>IFERROR(IF(MARÍTIMOS[[#This Row],[Booking|AWB|CRT]]="","",MARÍTIMOS[[#This Row],[Booking|AWB|CRT]]),"")</f>
        <v>BN80685</v>
      </c>
      <c r="P125" s="2" t="str">
        <f>IFERROR(IF(MARÍTIMOS[[#This Row],[Contenedor]]="","",MARÍTIMOS[[#This Row],[Contenedor]]),"")</f>
        <v>CAAU4283588</v>
      </c>
      <c r="Q125" s="2" t="str">
        <f>IFERROR(IF(MARÍTIMOS[[#This Row],[Puerto de Retiro]]="","",MARÍTIMOS[[#This Row],[Puerto de Retiro]]),"")</f>
        <v>PAITA</v>
      </c>
      <c r="R125" s="2" t="str">
        <f>IFERROR(IF(MARÍTIMOS[[#This Row],[Almacén de Retiro]]="","",MARÍTIMOS[[#This Row],[Almacén de Retiro]]),"")</f>
        <v>DPW</v>
      </c>
      <c r="S125" s="11">
        <f>IFERROR(IF(MARÍTIMOS[[#This Row],[Etapa Retiro - Cita]]="","",MARÍTIMOS[[#This Row],[Etapa Retiro - Cita]]),"")</f>
        <v>46243.416666666664</v>
      </c>
      <c r="T125" s="11">
        <f>IFERROR(IF(MARÍTIMOS[[#This Row],[Etapa Retiro - Llegada]]="","",MARÍTIMOS[[#This Row],[Etapa Retiro - Llegada]]),"")</f>
        <v>46243.413194444445</v>
      </c>
      <c r="U125" s="11">
        <f>IFERROR(IF(MARÍTIMOS[[#This Row],[Etapa Retiro - Ingreso]]="","",MARÍTIMOS[[#This Row],[Etapa Retiro - Ingreso]]),"")</f>
        <v>46243.431944444441</v>
      </c>
      <c r="V125" s="11">
        <f>IFERROR(IF(MARÍTIMOS[[#This Row],[Etapa Retiro - Atención]]="","",MARÍTIMOS[[#This Row],[Etapa Retiro - Atención]]),"")</f>
        <v>46243.451388888891</v>
      </c>
      <c r="W125" s="11">
        <f>IFERROR(IF(MARÍTIMOS[[#This Row],[Etapa Retiro - Atención]]="","",MARÍTIMOS[[#This Row],[Etapa Retiro - Atención]]),"")</f>
        <v>46243.451388888891</v>
      </c>
      <c r="X125" s="11">
        <f>IFERROR(IF(MARÍTIMOS[[#This Row],[Etapa Retiro - Inicio de Ruta]]="","",MARÍTIMOS[[#This Row],[Etapa Retiro - Inicio de Ruta]]),"")</f>
        <v>46243.501388888886</v>
      </c>
      <c r="Y125" s="11">
        <f>IFERROR(IF(MARÍTIMOS[[#This Row],[Hora de Posicionamiento]]="","",MARÍTIMOS[[#This Row],[Fecha de Carga]]+MARÍTIMOS[[#This Row],[Hora de Posicionamiento]]),"")</f>
        <v>46243.333333333336</v>
      </c>
      <c r="Z125" s="11" t="str">
        <f>IFERROR(IF(MARÍTIMOS[[#This Row],[Etapa Despacho - Llegada]]="","",MARÍTIMOS[[#This Row],[Etapa Despacho - Llegada]]),"")</f>
        <v/>
      </c>
      <c r="AA125" s="11" t="str">
        <f>IFERROR(IF(MARÍTIMOS[[#This Row],[Etapa Despacho - Registro]]="","",MARÍTIMOS[[#This Row],[Etapa Despacho - Registro]]),"")</f>
        <v/>
      </c>
      <c r="AB125" s="11">
        <f>IFERROR(IF(MARÍTIMOS[[#This Row],[Inspección Externa]]="","",MARÍTIMOS[[#This Row],[Inspección Externa]]),"")</f>
        <v>46244.386111111111</v>
      </c>
      <c r="AC125" s="11" t="str">
        <f>IFERROR(IF(MARÍTIMOS[[#This Row],[Etapa Despacho - Inicio de Carga]]="","",MARÍTIMOS[[#This Row],[Etapa Despacho - Inicio de Carga]]),"")</f>
        <v/>
      </c>
      <c r="AD125" s="11" t="str">
        <f>IFERROR(IF(MARÍTIMOS[[#This Row],[Etapa Despacho - Mitad de Carga]]="","",MARÍTIMOS[[#This Row],[Etapa Despacho - Mitad de Carga]]),"")</f>
        <v/>
      </c>
      <c r="AE125" s="11" t="str">
        <f>IFERROR(IF(MARÍTIMOS[[#This Row],[Etapa Despacho - Fin de Carga]]="","",MARÍTIMOS[[#This Row],[Etapa Despacho - Fin de Carga]]),"")</f>
        <v/>
      </c>
      <c r="AF125" s="2" t="str">
        <f>IFERROR(IF(MARÍTIMOS[[#This Row],[Puerto de Embarque]]="","",MARÍTIMOS[[#This Row],[Puerto de Embarque]]),"")</f>
        <v>Paita</v>
      </c>
      <c r="AG125" s="2" t="str">
        <f>IFERROR(IF(MARÍTIMOS[[#This Row],[Almacén de Ingreso]]="","",MARÍTIMOS[[#This Row],[Almacén de Ingreso]]),"")</f>
        <v>TPE</v>
      </c>
      <c r="AH125" s="11">
        <f>IFERROR(IF(MARÍTIMOS[[#This Row],[Etapa Ingreso - Cita]]="","",MARÍTIMOS[[#This Row],[Etapa Ingreso - Cita]]),"")</f>
        <v>46245.416666666664</v>
      </c>
      <c r="AI125" s="11">
        <f>IFERROR(IF(MARÍTIMOS[[#This Row],[Etapa Ingreso - Llegada]]="","",MARÍTIMOS[[#This Row],[Etapa Ingreso - Llegada]]),"")</f>
        <v>46245.385416666664</v>
      </c>
      <c r="AJ125" s="11">
        <f>IFERROR(IF(MARÍTIMOS[[#This Row],[Etapa Ingreso - Ingeso]]="","",MARÍTIMOS[[#This Row],[Etapa Ingreso - Ingeso]]),"")</f>
        <v>46245.388888888891</v>
      </c>
      <c r="AK125" s="11">
        <f>IFERROR(IF(MARÍTIMOS[[#This Row],[Etapa Ingreso - Atención]]="","",MARÍTIMOS[[#This Row],[Etapa Ingreso - Atención]]),"")</f>
        <v>46245.394444444442</v>
      </c>
      <c r="AL125" s="11">
        <f>IFERROR(IF(MARÍTIMOS[[#This Row],[Etapa Ingreso - Salida]]="","",MARÍTIMOS[[#This Row],[Etapa Ingreso - Salida]]),"")</f>
        <v>46245.40625</v>
      </c>
      <c r="AM125" s="2">
        <f>IFERROR(IF(MARÍTIMOS[[#This Row],[FCL]]="","",MARÍTIMOS[[#This Row],[FCL]]),"")</f>
        <v>1</v>
      </c>
      <c r="AN1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5" s="4" t="str" cm="1">
        <f t="array" ref="AO1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5" s="5" t="str">
        <f>IFERROR(OLDBD[[#This Row],[Llegada a packing]]-OLDBD[[#This Row],[Inicio de Ruta]],"")</f>
        <v/>
      </c>
      <c r="AQ125" s="6">
        <f>IFERROR(OLDBD[[#This Row],[Inicio de Ruta]]-OLDBD[[#This Row],[Salida de almacén de retiro]],"")</f>
        <v>4.9999999995634425E-2</v>
      </c>
      <c r="AR1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5" s="8" t="str" cm="1">
        <f t="array" ref="AS1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5" s="9" t="str">
        <f>IFERROR(OLDBD[[#This Row],[Ingreso Packing]]-OLDBD[[#This Row],[Registro en Packing]],"")</f>
        <v/>
      </c>
      <c r="AV125" s="9" t="str">
        <f>IFERROR(OLDBD[[#This Row],[Ingreso Packing]]-OLDBD[[#This Row],[Llegada a packing]],"")</f>
        <v/>
      </c>
      <c r="AW1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5" s="5" t="str">
        <f>IFERROR(OLDBD[[#This Row],[Llegada Almacén de Ingreso]]-OLDBD[[#This Row],[Salida Packing]],"")</f>
        <v/>
      </c>
      <c r="AY125" s="4" t="str" cm="1">
        <f t="array" ref="AY1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25" s="43" t="s">
        <v>173</v>
      </c>
      <c r="BB125" s="47" t="str">
        <f>IFERROR(IF(MARÍTIMOS[[#This Row],[Estatus]]="","",MARÍTIMOS[[#This Row],[Estatus]]),"")</f>
        <v>Confirmado</v>
      </c>
      <c r="BC125" s="43"/>
      <c r="BD125" s="46">
        <f>IFERROR(OLDBD[[#This Row],[Salida de almacén de retiro]]-OLDBD[[#This Row],[Ingreso Almacén de retiro]],"")</f>
        <v>1.9444444449618459E-2</v>
      </c>
      <c r="BE125" s="46" t="str">
        <f>IFERROR(OLDBD[[#This Row],[Fin de Carga]]-OLDBD[[#This Row],[Inicio de Carga]],"")</f>
        <v/>
      </c>
    </row>
    <row r="126" spans="1:57" customFormat="1" hidden="1">
      <c r="A126" s="1"/>
      <c r="B126" s="1">
        <f>IFERROR(IF(MARÍTIMOS[[#This Row],[PP]]="","",MARÍTIMOS[[#This Row],[PP]]),"")</f>
        <v>33</v>
      </c>
      <c r="C126" s="1" t="str">
        <f>IFERROR(IF(MARÍTIMOS[[#This Row],[Sede]]="","",MARÍTIMOS[[#This Row],[Sede]]),"")</f>
        <v>Chao</v>
      </c>
      <c r="D126" s="1" t="str">
        <f>IFERROR(IF(MARÍTIMOS[[#This Row],[Instruction]]="","",MARÍTIMOS[[#This Row],[Instruction]]),"")</f>
        <v>RH-0483</v>
      </c>
      <c r="E126" s="1"/>
      <c r="F126" s="2" t="str">
        <f>IFERROR(IF(MARÍTIMOS[[#This Row],[Transportista]]="","",MARÍTIMOS[[#This Row],[Transportista]]),"")</f>
        <v>Expert Transport</v>
      </c>
      <c r="G126" s="2" t="str">
        <f>IFERROR(IF(MARÍTIMOS[[#This Row],[Tercero]]="","",MARÍTIMOS[[#This Row],[Tercero]]),"")</f>
        <v>NO</v>
      </c>
      <c r="H126" s="2" t="str">
        <f>IFERROR(IF(MARÍTIMOS[[#This Row],[Razón Social]]="","",MARÍTIMOS[[#This Row],[Razón Social]]),"")</f>
        <v xml:space="preserve">EXPERT TRANSPORT SAC </v>
      </c>
      <c r="I126" s="2">
        <f>IFERROR(IF(MARÍTIMOS[[#This Row],[RUC]]="","",MARÍTIMOS[[#This Row],[RUC]]),"")</f>
        <v>20544424751</v>
      </c>
      <c r="J126" s="2" t="str">
        <f>IFERROR(IF(MARÍTIMOS[[#This Row],[Placa Tracto]]="","",MARÍTIMOS[[#This Row],[Placa Tracto]]),"")</f>
        <v>D1A797</v>
      </c>
      <c r="K126" s="2" t="str">
        <f>IFERROR(IF(MARÍTIMOS[[#This Row],[Placa Carreta]]="","",MARÍTIMOS[[#This Row],[Placa Carreta]]),"")</f>
        <v>TNQ977</v>
      </c>
      <c r="L126" s="44" t="str">
        <f>IFERROR(IF(MARÍTIMOS[[#This Row],[Conductor]]="","",MARÍTIMOS[[#This Row],[Conductor]]),"")</f>
        <v>FREDERIS JOSE PAVON RUIZ</v>
      </c>
      <c r="M126" s="2" t="str">
        <f>IFERROR(IF(MARÍTIMOS[[#This Row],[Licencia]]="","",MARÍTIMOS[[#This Row],[Licencia]]),"")</f>
        <v>Q005175672</v>
      </c>
      <c r="N126" s="2">
        <f>IFERROR(IF(MARÍTIMOS[[#This Row],[Número de Contacto]]="","",MARÍTIMOS[[#This Row],[Número de Contacto]]),"")</f>
        <v>904556157</v>
      </c>
      <c r="O126" s="10" t="str">
        <f>IFERROR(IF(MARÍTIMOS[[#This Row],[Booking|AWB|CRT]]="","",MARÍTIMOS[[#This Row],[Booking|AWB|CRT]]),"")</f>
        <v>MBM250067117</v>
      </c>
      <c r="P126" s="2" t="str">
        <f>IFERROR(IF(MARÍTIMOS[[#This Row],[Contenedor]]="","",MARÍTIMOS[[#This Row],[Contenedor]]),"")</f>
        <v>BMOU9621741</v>
      </c>
      <c r="Q126" s="2" t="str">
        <f>IFERROR(IF(MARÍTIMOS[[#This Row],[Puerto de Retiro]]="","",MARÍTIMOS[[#This Row],[Puerto de Retiro]]),"")</f>
        <v>PAITA</v>
      </c>
      <c r="R126" s="2" t="str">
        <f>IFERROR(IF(MARÍTIMOS[[#This Row],[Almacén de Retiro]]="","",MARÍTIMOS[[#This Row],[Almacén de Retiro]]),"")</f>
        <v>MACROMAR</v>
      </c>
      <c r="S126" s="11">
        <f>IFERROR(IF(MARÍTIMOS[[#This Row],[Etapa Retiro - Cita]]="","",MARÍTIMOS[[#This Row],[Etapa Retiro - Cita]]),"")</f>
        <v>46246.666666666664</v>
      </c>
      <c r="T126" s="11">
        <f>IFERROR(IF(MARÍTIMOS[[#This Row],[Etapa Retiro - Llegada]]="","",MARÍTIMOS[[#This Row],[Etapa Retiro - Llegada]]),"")</f>
        <v>46246.688194444447</v>
      </c>
      <c r="U126" s="11">
        <f>IFERROR(IF(MARÍTIMOS[[#This Row],[Etapa Retiro - Ingreso]]="","",MARÍTIMOS[[#This Row],[Etapa Retiro - Ingreso]]),"")</f>
        <v>46246.731249999997</v>
      </c>
      <c r="V126" s="11">
        <f>IFERROR(IF(MARÍTIMOS[[#This Row],[Etapa Retiro - Atención]]="","",MARÍTIMOS[[#This Row],[Etapa Retiro - Atención]]),"")</f>
        <v>46246.736111111109</v>
      </c>
      <c r="W126" s="11">
        <f>IFERROR(IF(MARÍTIMOS[[#This Row],[Etapa Retiro - Atención]]="","",MARÍTIMOS[[#This Row],[Etapa Retiro - Atención]]),"")</f>
        <v>46246.736111111109</v>
      </c>
      <c r="X126" s="11">
        <f>IFERROR(IF(MARÍTIMOS[[#This Row],[Etapa Retiro - Inicio de Ruta]]="","",MARÍTIMOS[[#This Row],[Etapa Retiro - Inicio de Ruta]]),"")</f>
        <v>46246.813888888886</v>
      </c>
      <c r="Y126" s="11">
        <f>IFERROR(IF(MARÍTIMOS[[#This Row],[Hora de Posicionamiento]]="","",MARÍTIMOS[[#This Row],[Fecha de Carga]]+MARÍTIMOS[[#This Row],[Hora de Posicionamiento]]),"")</f>
        <v>46246.541666666664</v>
      </c>
      <c r="Z126" s="11" t="str">
        <f>IFERROR(IF(MARÍTIMOS[[#This Row],[Etapa Despacho - Llegada]]="","",MARÍTIMOS[[#This Row],[Etapa Despacho - Llegada]]),"")</f>
        <v/>
      </c>
      <c r="AA126" s="11" t="str">
        <f>IFERROR(IF(MARÍTIMOS[[#This Row],[Etapa Despacho - Registro]]="","",MARÍTIMOS[[#This Row],[Etapa Despacho - Registro]]),"")</f>
        <v/>
      </c>
      <c r="AB126" s="11">
        <f>IFERROR(IF(MARÍTIMOS[[#This Row],[Inspección Externa]]="","",MARÍTIMOS[[#This Row],[Inspección Externa]]),"")</f>
        <v>46247.591666666667</v>
      </c>
      <c r="AC126" s="11" t="str">
        <f>IFERROR(IF(MARÍTIMOS[[#This Row],[Etapa Despacho - Inicio de Carga]]="","",MARÍTIMOS[[#This Row],[Etapa Despacho - Inicio de Carga]]),"")</f>
        <v/>
      </c>
      <c r="AD126" s="11" t="str">
        <f>IFERROR(IF(MARÍTIMOS[[#This Row],[Etapa Despacho - Mitad de Carga]]="","",MARÍTIMOS[[#This Row],[Etapa Despacho - Mitad de Carga]]),"")</f>
        <v/>
      </c>
      <c r="AE126" s="11" t="str">
        <f>IFERROR(IF(MARÍTIMOS[[#This Row],[Etapa Despacho - Fin de Carga]]="","",MARÍTIMOS[[#This Row],[Etapa Despacho - Fin de Carga]]),"")</f>
        <v/>
      </c>
      <c r="AF126" s="2" t="str">
        <f>IFERROR(IF(MARÍTIMOS[[#This Row],[Puerto de Embarque]]="","",MARÍTIMOS[[#This Row],[Puerto de Embarque]]),"")</f>
        <v>Paita</v>
      </c>
      <c r="AG126" s="2" t="str">
        <f>IFERROR(IF(MARÍTIMOS[[#This Row],[Almacén de Ingreso]]="","",MARÍTIMOS[[#This Row],[Almacén de Ingreso]]),"")</f>
        <v>TPE</v>
      </c>
      <c r="AH126" s="11">
        <f>IFERROR(IF(MARÍTIMOS[[#This Row],[Etapa Ingreso - Cita]]="","",MARÍTIMOS[[#This Row],[Etapa Ingreso - Cita]]),"")</f>
        <v>46248.5</v>
      </c>
      <c r="AI126" s="11">
        <f>IFERROR(IF(MARÍTIMOS[[#This Row],[Etapa Ingreso - Llegada]]="","",MARÍTIMOS[[#This Row],[Etapa Ingreso - Llegada]]),"")</f>
        <v>46248.464583333334</v>
      </c>
      <c r="AJ126" s="11">
        <f>IFERROR(IF(MARÍTIMOS[[#This Row],[Etapa Ingreso - Ingeso]]="","",MARÍTIMOS[[#This Row],[Etapa Ingreso - Ingeso]]),"")</f>
        <v>46248.46875</v>
      </c>
      <c r="AK126" s="11">
        <f>IFERROR(IF(MARÍTIMOS[[#This Row],[Etapa Ingreso - Atención]]="","",MARÍTIMOS[[#This Row],[Etapa Ingreso - Atención]]),"")</f>
        <v>46248.470833333333</v>
      </c>
      <c r="AL126" s="11">
        <f>IFERROR(IF(MARÍTIMOS[[#This Row],[Etapa Ingreso - Salida]]="","",MARÍTIMOS[[#This Row],[Etapa Ingreso - Salida]]),"")</f>
        <v>46248.478472222225</v>
      </c>
      <c r="AM126" s="2">
        <f>IFERROR(IF(MARÍTIMOS[[#This Row],[FCL]]="","",MARÍTIMOS[[#This Row],[FCL]]),"")</f>
        <v>1</v>
      </c>
      <c r="AN1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6" s="4" t="str" cm="1">
        <f t="array" ref="AO1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6" s="5" t="str">
        <f>IFERROR(OLDBD[[#This Row],[Llegada a packing]]-OLDBD[[#This Row],[Inicio de Ruta]],"")</f>
        <v/>
      </c>
      <c r="AQ126" s="6">
        <f>IFERROR(OLDBD[[#This Row],[Inicio de Ruta]]-OLDBD[[#This Row],[Salida de almacén de retiro]],"")</f>
        <v>7.7777777776645962E-2</v>
      </c>
      <c r="AR1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6" s="8" t="str" cm="1">
        <f t="array" ref="AS1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6" s="9" t="str">
        <f>IFERROR(OLDBD[[#This Row],[Ingreso Packing]]-OLDBD[[#This Row],[Registro en Packing]],"")</f>
        <v/>
      </c>
      <c r="AV126" s="9" t="str">
        <f>IFERROR(OLDBD[[#This Row],[Ingreso Packing]]-OLDBD[[#This Row],[Llegada a packing]],"")</f>
        <v/>
      </c>
      <c r="AW1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6" s="5" t="str">
        <f>IFERROR(OLDBD[[#This Row],[Llegada Almacén de Ingreso]]-OLDBD[[#This Row],[Salida Packing]],"")</f>
        <v/>
      </c>
      <c r="AY126" s="4" t="str" cm="1">
        <f t="array" ref="AY1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26" s="43" t="s">
        <v>173</v>
      </c>
      <c r="BB126" s="47" t="str">
        <f>IFERROR(IF(MARÍTIMOS[[#This Row],[Estatus]]="","",MARÍTIMOS[[#This Row],[Estatus]]),"")</f>
        <v>Confirmado</v>
      </c>
      <c r="BC126" s="43"/>
      <c r="BD126" s="46">
        <f>IFERROR(OLDBD[[#This Row],[Salida de almacén de retiro]]-OLDBD[[#This Row],[Ingreso Almacén de retiro]],"")</f>
        <v>4.8611111124046147E-3</v>
      </c>
      <c r="BE126" s="46" t="str">
        <f>IFERROR(OLDBD[[#This Row],[Fin de Carga]]-OLDBD[[#This Row],[Inicio de Carga]],"")</f>
        <v/>
      </c>
    </row>
    <row r="127" spans="1:57" customFormat="1" hidden="1">
      <c r="A127" s="1"/>
      <c r="B127" s="1">
        <f>IFERROR(IF(MARÍTIMOS[[#This Row],[PP]]="","",MARÍTIMOS[[#This Row],[PP]]),"")</f>
        <v>33</v>
      </c>
      <c r="C127" s="1" t="str">
        <f>IFERROR(IF(MARÍTIMOS[[#This Row],[Sede]]="","",MARÍTIMOS[[#This Row],[Sede]]),"")</f>
        <v>Chao</v>
      </c>
      <c r="D127" s="1" t="str">
        <f>IFERROR(IF(MARÍTIMOS[[#This Row],[Instruction]]="","",MARÍTIMOS[[#This Row],[Instruction]]),"")</f>
        <v>RH-0501</v>
      </c>
      <c r="E127" s="1"/>
      <c r="F127" s="2" t="str">
        <f>IFERROR(IF(MARÍTIMOS[[#This Row],[Transportista]]="","",MARÍTIMOS[[#This Row],[Transportista]]),"")</f>
        <v>Expert Transport</v>
      </c>
      <c r="G127" s="2" t="str">
        <f>IFERROR(IF(MARÍTIMOS[[#This Row],[Tercero]]="","",MARÍTIMOS[[#This Row],[Tercero]]),"")</f>
        <v>NO</v>
      </c>
      <c r="H127" s="2" t="str">
        <f>IFERROR(IF(MARÍTIMOS[[#This Row],[Razón Social]]="","",MARÍTIMOS[[#This Row],[Razón Social]]),"")</f>
        <v xml:space="preserve">EXPERT TRANSPORT SAC </v>
      </c>
      <c r="I127" s="2">
        <f>IFERROR(IF(MARÍTIMOS[[#This Row],[RUC]]="","",MARÍTIMOS[[#This Row],[RUC]]),"")</f>
        <v>20544424751</v>
      </c>
      <c r="J127" s="2" t="str">
        <f>IFERROR(IF(MARÍTIMOS[[#This Row],[Placa Tracto]]="","",MARÍTIMOS[[#This Row],[Placa Tracto]]),"")</f>
        <v>C5Z734</v>
      </c>
      <c r="K127" s="2" t="str">
        <f>IFERROR(IF(MARÍTIMOS[[#This Row],[Placa Carreta]]="","",MARÍTIMOS[[#This Row],[Placa Carreta]]),"")</f>
        <v>TJE975</v>
      </c>
      <c r="L127" s="44" t="str">
        <f>IFERROR(IF(MARÍTIMOS[[#This Row],[Conductor]]="","",MARÍTIMOS[[#This Row],[Conductor]]),"")</f>
        <v>LUIS CARLOS LAMAS RUIZ</v>
      </c>
      <c r="M127" s="2" t="str">
        <f>IFERROR(IF(MARÍTIMOS[[#This Row],[Licencia]]="","",MARÍTIMOS[[#This Row],[Licencia]]),"")</f>
        <v>B009531613</v>
      </c>
      <c r="N127" s="2">
        <f>IFERROR(IF(MARÍTIMOS[[#This Row],[Número de Contacto]]="","",MARÍTIMOS[[#This Row],[Número de Contacto]]),"")</f>
        <v>986078320</v>
      </c>
      <c r="O127" s="10" t="str">
        <f>IFERROR(IF(MARÍTIMOS[[#This Row],[Booking|AWB|CRT]]="","",MARÍTIMOS[[#This Row],[Booking|AWB|CRT]]),"")</f>
        <v>PER9184417A</v>
      </c>
      <c r="P127" s="2" t="str">
        <f>IFERROR(IF(MARÍTIMOS[[#This Row],[Contenedor]]="","",MARÍTIMOS[[#This Row],[Contenedor]]),"")</f>
        <v>SEKU9375362 </v>
      </c>
      <c r="Q127" s="2" t="str">
        <f>IFERROR(IF(MARÍTIMOS[[#This Row],[Puerto de Retiro]]="","",MARÍTIMOS[[#This Row],[Puerto de Retiro]]),"")</f>
        <v>PAITA</v>
      </c>
      <c r="R127" s="2" t="str">
        <f>IFERROR(IF(MARÍTIMOS[[#This Row],[Almacén de Retiro]]="","",MARÍTIMOS[[#This Row],[Almacén de Retiro]]),"")</f>
        <v>DPW</v>
      </c>
      <c r="S127" s="11">
        <f>IFERROR(IF(MARÍTIMOS[[#This Row],[Etapa Retiro - Cita]]="","",MARÍTIMOS[[#This Row],[Etapa Retiro - Cita]]),"")</f>
        <v>46248.625</v>
      </c>
      <c r="T127" s="11">
        <f>IFERROR(IF(MARÍTIMOS[[#This Row],[Etapa Retiro - Llegada]]="","",MARÍTIMOS[[#This Row],[Etapa Retiro - Llegada]]),"")</f>
        <v>46244.631944444445</v>
      </c>
      <c r="U127" s="11">
        <f>IFERROR(IF(MARÍTIMOS[[#This Row],[Etapa Retiro - Ingreso]]="","",MARÍTIMOS[[#This Row],[Etapa Retiro - Ingreso]]),"")</f>
        <v>46248.634027777778</v>
      </c>
      <c r="V127" s="11">
        <f>IFERROR(IF(MARÍTIMOS[[#This Row],[Etapa Retiro - Atención]]="","",MARÍTIMOS[[#This Row],[Etapa Retiro - Atención]]),"")</f>
        <v>46248.671527777777</v>
      </c>
      <c r="W127" s="11">
        <f>IFERROR(IF(MARÍTIMOS[[#This Row],[Etapa Retiro - Atención]]="","",MARÍTIMOS[[#This Row],[Etapa Retiro - Atención]]),"")</f>
        <v>46248.671527777777</v>
      </c>
      <c r="X127" s="11">
        <f>IFERROR(IF(MARÍTIMOS[[#This Row],[Etapa Retiro - Inicio de Ruta]]="","",MARÍTIMOS[[#This Row],[Etapa Retiro - Inicio de Ruta]]),"")</f>
        <v>46248.824999999997</v>
      </c>
      <c r="Y127" s="11">
        <f>IFERROR(IF(MARÍTIMOS[[#This Row],[Hora de Posicionamiento]]="","",MARÍTIMOS[[#This Row],[Fecha de Carga]]+MARÍTIMOS[[#This Row],[Hora de Posicionamiento]]),"")</f>
        <v>46248.583333333336</v>
      </c>
      <c r="Z127" s="11" t="str">
        <f>IFERROR(IF(MARÍTIMOS[[#This Row],[Etapa Despacho - Llegada]]="","",MARÍTIMOS[[#This Row],[Etapa Despacho - Llegada]]),"")</f>
        <v/>
      </c>
      <c r="AA127" s="11" t="str">
        <f>IFERROR(IF(MARÍTIMOS[[#This Row],[Etapa Despacho - Registro]]="","",MARÍTIMOS[[#This Row],[Etapa Despacho - Registro]]),"")</f>
        <v/>
      </c>
      <c r="AB127" s="11">
        <f>IFERROR(IF(MARÍTIMOS[[#This Row],[Inspección Externa]]="","",MARÍTIMOS[[#This Row],[Inspección Externa]]),"")</f>
        <v>46249.547222222223</v>
      </c>
      <c r="AC127" s="11" t="str">
        <f>IFERROR(IF(MARÍTIMOS[[#This Row],[Etapa Despacho - Inicio de Carga]]="","",MARÍTIMOS[[#This Row],[Etapa Despacho - Inicio de Carga]]),"")</f>
        <v/>
      </c>
      <c r="AD127" s="11" t="str">
        <f>IFERROR(IF(MARÍTIMOS[[#This Row],[Etapa Despacho - Mitad de Carga]]="","",MARÍTIMOS[[#This Row],[Etapa Despacho - Mitad de Carga]]),"")</f>
        <v/>
      </c>
      <c r="AE127" s="11" t="str">
        <f>IFERROR(IF(MARÍTIMOS[[#This Row],[Etapa Despacho - Fin de Carga]]="","",MARÍTIMOS[[#This Row],[Etapa Despacho - Fin de Carga]]),"")</f>
        <v/>
      </c>
      <c r="AF127" s="2" t="str">
        <f>IFERROR(IF(MARÍTIMOS[[#This Row],[Puerto de Embarque]]="","",MARÍTIMOS[[#This Row],[Puerto de Embarque]]),"")</f>
        <v>Paita</v>
      </c>
      <c r="AG127" s="2" t="str">
        <f>IFERROR(IF(MARÍTIMOS[[#This Row],[Almacén de Ingreso]]="","",MARÍTIMOS[[#This Row],[Almacén de Ingreso]]),"")</f>
        <v>TPE</v>
      </c>
      <c r="AH127" s="11">
        <f>IFERROR(IF(MARÍTIMOS[[#This Row],[Etapa Ingreso - Cita]]="","",MARÍTIMOS[[#This Row],[Etapa Ingreso - Cita]]),"")</f>
        <v>46250.5</v>
      </c>
      <c r="AI127" s="11">
        <f>IFERROR(IF(MARÍTIMOS[[#This Row],[Etapa Ingreso - Llegada]]="","",MARÍTIMOS[[#This Row],[Etapa Ingreso - Llegada]]),"")</f>
        <v>46250.45208333333</v>
      </c>
      <c r="AJ127" s="11">
        <f>IFERROR(IF(MARÍTIMOS[[#This Row],[Etapa Ingreso - Ingeso]]="","",MARÍTIMOS[[#This Row],[Etapa Ingreso - Ingeso]]),"")</f>
        <v>46250.456250000003</v>
      </c>
      <c r="AK127" s="11">
        <f>IFERROR(IF(MARÍTIMOS[[#This Row],[Etapa Ingreso - Atención]]="","",MARÍTIMOS[[#This Row],[Etapa Ingreso - Atención]]),"")</f>
        <v>46250.458333333336</v>
      </c>
      <c r="AL127" s="11">
        <f>IFERROR(IF(MARÍTIMOS[[#This Row],[Etapa Ingreso - Salida]]="","",MARÍTIMOS[[#This Row],[Etapa Ingreso - Salida]]),"")</f>
        <v>46250.463194444441</v>
      </c>
      <c r="AM127" s="2">
        <f>IFERROR(IF(MARÍTIMOS[[#This Row],[FCL]]="","",MARÍTIMOS[[#This Row],[FCL]]),"")</f>
        <v>1</v>
      </c>
      <c r="AN1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27" s="4" t="str" cm="1">
        <f t="array" ref="AO1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7" s="5" t="str">
        <f>IFERROR(OLDBD[[#This Row],[Llegada a packing]]-OLDBD[[#This Row],[Inicio de Ruta]],"")</f>
        <v/>
      </c>
      <c r="AQ127" s="6">
        <f>IFERROR(OLDBD[[#This Row],[Inicio de Ruta]]-OLDBD[[#This Row],[Salida de almacén de retiro]],"")</f>
        <v>0.15347222222044365</v>
      </c>
      <c r="AR1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7" s="8" t="str" cm="1">
        <f t="array" ref="AS1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7" s="9" t="str">
        <f>IFERROR(OLDBD[[#This Row],[Ingreso Packing]]-OLDBD[[#This Row],[Registro en Packing]],"")</f>
        <v/>
      </c>
      <c r="AV127" s="9" t="str">
        <f>IFERROR(OLDBD[[#This Row],[Ingreso Packing]]-OLDBD[[#This Row],[Llegada a packing]],"")</f>
        <v/>
      </c>
      <c r="AW1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7" s="5" t="str">
        <f>IFERROR(OLDBD[[#This Row],[Llegada Almacén de Ingreso]]-OLDBD[[#This Row],[Salida Packing]],"")</f>
        <v/>
      </c>
      <c r="AY127" s="4" t="str" cm="1">
        <f t="array" ref="AY1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27" s="43" t="s">
        <v>173</v>
      </c>
      <c r="BB127" s="47" t="str">
        <f>IFERROR(IF(MARÍTIMOS[[#This Row],[Estatus]]="","",MARÍTIMOS[[#This Row],[Estatus]]),"")</f>
        <v>Confirmado</v>
      </c>
      <c r="BC127" s="43"/>
      <c r="BD127" s="46">
        <f>IFERROR(OLDBD[[#This Row],[Salida de almacén de retiro]]-OLDBD[[#This Row],[Ingreso Almacén de retiro]],"")</f>
        <v>3.7499999998544808E-2</v>
      </c>
      <c r="BE127" s="46" t="str">
        <f>IFERROR(OLDBD[[#This Row],[Fin de Carga]]-OLDBD[[#This Row],[Inicio de Carga]],"")</f>
        <v/>
      </c>
    </row>
    <row r="128" spans="1:57" customFormat="1" hidden="1">
      <c r="A128" s="1"/>
      <c r="B128" s="1">
        <f>IFERROR(IF(MARÍTIMOS[[#This Row],[PP]]="","",MARÍTIMOS[[#This Row],[PP]]),"")</f>
        <v>33</v>
      </c>
      <c r="C128" s="1" t="str">
        <f>IFERROR(IF(MARÍTIMOS[[#This Row],[Sede]]="","",MARÍTIMOS[[#This Row],[Sede]]),"")</f>
        <v>Chao</v>
      </c>
      <c r="D128" s="1" t="str">
        <f>IFERROR(IF(MARÍTIMOS[[#This Row],[Instruction]]="","",MARÍTIMOS[[#This Row],[Instruction]]),"")</f>
        <v>RH-0490</v>
      </c>
      <c r="E128" s="1"/>
      <c r="F128" s="2" t="str">
        <f>IFERROR(IF(MARÍTIMOS[[#This Row],[Transportista]]="","",MARÍTIMOS[[#This Row],[Transportista]]),"")</f>
        <v>Expert Transport</v>
      </c>
      <c r="G128" s="2" t="str">
        <f>IFERROR(IF(MARÍTIMOS[[#This Row],[Tercero]]="","",MARÍTIMOS[[#This Row],[Tercero]]),"")</f>
        <v>NO</v>
      </c>
      <c r="H128" s="2" t="str">
        <f>IFERROR(IF(MARÍTIMOS[[#This Row],[Razón Social]]="","",MARÍTIMOS[[#This Row],[Razón Social]]),"")</f>
        <v xml:space="preserve">EXPERT TRANSPORT SAC </v>
      </c>
      <c r="I128" s="2">
        <f>IFERROR(IF(MARÍTIMOS[[#This Row],[RUC]]="","",MARÍTIMOS[[#This Row],[RUC]]),"")</f>
        <v>20544424751</v>
      </c>
      <c r="J128" s="2" t="str">
        <f>IFERROR(IF(MARÍTIMOS[[#This Row],[Placa Tracto]]="","",MARÍTIMOS[[#This Row],[Placa Tracto]]),"")</f>
        <v>BYR872</v>
      </c>
      <c r="K128" s="2" t="str">
        <f>IFERROR(IF(MARÍTIMOS[[#This Row],[Placa Carreta]]="","",MARÍTIMOS[[#This Row],[Placa Carreta]]),"")</f>
        <v>A3K983</v>
      </c>
      <c r="L128" s="44" t="str">
        <f>IFERROR(IF(MARÍTIMOS[[#This Row],[Conductor]]="","",MARÍTIMOS[[#This Row],[Conductor]]),"")</f>
        <v>HUMBERTO JESÚS SUAREZ ARGUINZONES</v>
      </c>
      <c r="M128" s="2" t="str">
        <f>IFERROR(IF(MARÍTIMOS[[#This Row],[Licencia]]="","",MARÍTIMOS[[#This Row],[Licencia]]),"")</f>
        <v>B007168026</v>
      </c>
      <c r="N128" s="2">
        <f>IFERROR(IF(MARÍTIMOS[[#This Row],[Número de Contacto]]="","",MARÍTIMOS[[#This Row],[Número de Contacto]]),"")</f>
        <v>934270711</v>
      </c>
      <c r="O128" s="10" t="str">
        <f>IFERROR(IF(MARÍTIMOS[[#This Row],[Booking|AWB|CRT]]="","",MARÍTIMOS[[#This Row],[Booking|AWB|CRT]]),"")</f>
        <v>BN81290</v>
      </c>
      <c r="P128" s="2" t="str">
        <f>IFERROR(IF(MARÍTIMOS[[#This Row],[Contenedor]]="","",MARÍTIMOS[[#This Row],[Contenedor]]),"")</f>
        <v>TEMU9491831</v>
      </c>
      <c r="Q128" s="2" t="str">
        <f>IFERROR(IF(MARÍTIMOS[[#This Row],[Puerto de Retiro]]="","",MARÍTIMOS[[#This Row],[Puerto de Retiro]]),"")</f>
        <v>PAITA</v>
      </c>
      <c r="R128" s="2" t="str">
        <f>IFERROR(IF(MARÍTIMOS[[#This Row],[Almacén de Retiro]]="","",MARÍTIMOS[[#This Row],[Almacén de Retiro]]),"")</f>
        <v>DPW</v>
      </c>
      <c r="S128" s="11">
        <f>IFERROR(IF(MARÍTIMOS[[#This Row],[Etapa Retiro - Cita]]="","",MARÍTIMOS[[#This Row],[Etapa Retiro - Cita]]),"")</f>
        <v>46249.625</v>
      </c>
      <c r="T128" s="11">
        <f>IFERROR(IF(MARÍTIMOS[[#This Row],[Etapa Retiro - Llegada]]="","",MARÍTIMOS[[#This Row],[Etapa Retiro - Llegada]]),"")</f>
        <v>46249.613888888889</v>
      </c>
      <c r="U128" s="11">
        <f>IFERROR(IF(MARÍTIMOS[[#This Row],[Etapa Retiro - Ingreso]]="","",MARÍTIMOS[[#This Row],[Etapa Retiro - Ingreso]]),"")</f>
        <v>46249.673611111109</v>
      </c>
      <c r="V128" s="11">
        <f>IFERROR(IF(MARÍTIMOS[[#This Row],[Etapa Retiro - Atención]]="","",MARÍTIMOS[[#This Row],[Etapa Retiro - Atención]]),"")</f>
        <v>46249.677777777775</v>
      </c>
      <c r="W128" s="11">
        <f>IFERROR(IF(MARÍTIMOS[[#This Row],[Etapa Retiro - Atención]]="","",MARÍTIMOS[[#This Row],[Etapa Retiro - Atención]]),"")</f>
        <v>46249.677777777775</v>
      </c>
      <c r="X128" s="11">
        <v>46206.923611111109</v>
      </c>
      <c r="Y128" s="11">
        <f>IFERROR(IF(MARÍTIMOS[[#This Row],[Hora de Posicionamiento]]="","",MARÍTIMOS[[#This Row],[Fecha de Carga]]+MARÍTIMOS[[#This Row],[Hora de Posicionamiento]]),"")</f>
        <v>46249.583333333336</v>
      </c>
      <c r="Z128" s="11" t="str">
        <f>IFERROR(IF(MARÍTIMOS[[#This Row],[Etapa Despacho - Llegada]]="","",MARÍTIMOS[[#This Row],[Etapa Despacho - Llegada]]),"")</f>
        <v/>
      </c>
      <c r="AA128" s="11" t="str">
        <f>IFERROR(IF(MARÍTIMOS[[#This Row],[Etapa Despacho - Registro]]="","",MARÍTIMOS[[#This Row],[Etapa Despacho - Registro]]),"")</f>
        <v/>
      </c>
      <c r="AB128" s="11">
        <f>IFERROR(IF(MARÍTIMOS[[#This Row],[Inspección Externa]]="","",MARÍTIMOS[[#This Row],[Inspección Externa]]),"")</f>
        <v>46250.583333333336</v>
      </c>
      <c r="AC128" s="11" t="str">
        <f>IFERROR(IF(MARÍTIMOS[[#This Row],[Etapa Despacho - Inicio de Carga]]="","",MARÍTIMOS[[#This Row],[Etapa Despacho - Inicio de Carga]]),"")</f>
        <v/>
      </c>
      <c r="AD128" s="11" t="str">
        <f>IFERROR(IF(MARÍTIMOS[[#This Row],[Etapa Despacho - Mitad de Carga]]="","",MARÍTIMOS[[#This Row],[Etapa Despacho - Mitad de Carga]]),"")</f>
        <v/>
      </c>
      <c r="AE128" s="11" t="str">
        <f>IFERROR(IF(MARÍTIMOS[[#This Row],[Etapa Despacho - Fin de Carga]]="","",MARÍTIMOS[[#This Row],[Etapa Despacho - Fin de Carga]]),"")</f>
        <v/>
      </c>
      <c r="AF128" s="2" t="str">
        <f>IFERROR(IF(MARÍTIMOS[[#This Row],[Puerto de Embarque]]="","",MARÍTIMOS[[#This Row],[Puerto de Embarque]]),"")</f>
        <v>Paita</v>
      </c>
      <c r="AG128" s="2" t="str">
        <f>IFERROR(IF(MARÍTIMOS[[#This Row],[Almacén de Ingreso]]="","",MARÍTIMOS[[#This Row],[Almacén de Ingreso]]),"")</f>
        <v>TPE</v>
      </c>
      <c r="AH128" s="11">
        <f>IFERROR(IF(MARÍTIMOS[[#This Row],[Etapa Ingreso - Cita]]="","",MARÍTIMOS[[#This Row],[Etapa Ingreso - Cita]]),"")</f>
        <v>46251.625</v>
      </c>
      <c r="AI128" s="11">
        <f>IFERROR(IF(MARÍTIMOS[[#This Row],[Etapa Ingreso - Llegada]]="","",MARÍTIMOS[[#This Row],[Etapa Ingreso - Llegada]]),"")</f>
        <v>46251.615972222222</v>
      </c>
      <c r="AJ128" s="11">
        <f>IFERROR(IF(MARÍTIMOS[[#This Row],[Etapa Ingreso - Ingeso]]="","",MARÍTIMOS[[#This Row],[Etapa Ingreso - Ingeso]]),"")</f>
        <v>46251.619444444441</v>
      </c>
      <c r="AK128" s="11">
        <f>IFERROR(IF(MARÍTIMOS[[#This Row],[Etapa Ingreso - Atención]]="","",MARÍTIMOS[[#This Row],[Etapa Ingreso - Atención]]),"")</f>
        <v>46251.626388888886</v>
      </c>
      <c r="AL128" s="11">
        <f>IFERROR(IF(MARÍTIMOS[[#This Row],[Etapa Ingreso - Salida]]="","",MARÍTIMOS[[#This Row],[Etapa Ingreso - Salida]]),"")</f>
        <v>46251.626388888886</v>
      </c>
      <c r="AM128" s="2">
        <f>IFERROR(IF(MARÍTIMOS[[#This Row],[FCL]]="","",MARÍTIMOS[[#This Row],[FCL]]),"")</f>
        <v>1</v>
      </c>
      <c r="AN1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8" s="4" t="str" cm="1">
        <f t="array" ref="AO1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8" s="5" t="str">
        <f>IFERROR(OLDBD[[#This Row],[Llegada a packing]]-OLDBD[[#This Row],[Inicio de Ruta]],"")</f>
        <v/>
      </c>
      <c r="AQ128" s="6">
        <f>IFERROR(OLDBD[[#This Row],[Inicio de Ruta]]-OLDBD[[#This Row],[Salida de almacén de retiro]],"")</f>
        <v>-42.754166666665697</v>
      </c>
      <c r="AR1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8" s="8" t="str" cm="1">
        <f t="array" ref="AS1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8" s="9" t="str">
        <f>IFERROR(OLDBD[[#This Row],[Ingreso Packing]]-OLDBD[[#This Row],[Registro en Packing]],"")</f>
        <v/>
      </c>
      <c r="AV128" s="9" t="str">
        <f>IFERROR(OLDBD[[#This Row],[Ingreso Packing]]-OLDBD[[#This Row],[Llegada a packing]],"")</f>
        <v/>
      </c>
      <c r="AW1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8" s="5" t="str">
        <f>IFERROR(OLDBD[[#This Row],[Llegada Almacén de Ingreso]]-OLDBD[[#This Row],[Salida Packing]],"")</f>
        <v/>
      </c>
      <c r="AY128" s="4" t="str" cm="1">
        <f t="array" ref="AY1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28" s="43" t="s">
        <v>173</v>
      </c>
      <c r="BB128" s="47" t="str">
        <f>IFERROR(IF(MARÍTIMOS[[#This Row],[Estatus]]="","",MARÍTIMOS[[#This Row],[Estatus]]),"")</f>
        <v>Confirmado</v>
      </c>
      <c r="BC128" s="43"/>
      <c r="BD128" s="46">
        <f>IFERROR(OLDBD[[#This Row],[Salida de almacén de retiro]]-OLDBD[[#This Row],[Ingreso Almacén de retiro]],"")</f>
        <v>4.166666665696539E-3</v>
      </c>
      <c r="BE128" s="46" t="str">
        <f>IFERROR(OLDBD[[#This Row],[Fin de Carga]]-OLDBD[[#This Row],[Inicio de Carga]],"")</f>
        <v/>
      </c>
    </row>
    <row r="129" spans="1:57" customFormat="1" hidden="1">
      <c r="A129" s="1"/>
      <c r="B129" s="1">
        <f>IFERROR(IF(MARÍTIMOS[[#This Row],[PP]]="","",MARÍTIMOS[[#This Row],[PP]]),"")</f>
        <v>33</v>
      </c>
      <c r="C129" s="1" t="str">
        <f>IFERROR(IF(MARÍTIMOS[[#This Row],[Sede]]="","",MARÍTIMOS[[#This Row],[Sede]]),"")</f>
        <v>Chao</v>
      </c>
      <c r="D129" s="1" t="str">
        <f>IFERROR(IF(MARÍTIMOS[[#This Row],[Instruction]]="","",MARÍTIMOS[[#This Row],[Instruction]]),"")</f>
        <v>RH-0491</v>
      </c>
      <c r="E129" s="1"/>
      <c r="F129" s="2" t="str">
        <f>IFERROR(IF(MARÍTIMOS[[#This Row],[Transportista]]="","",MARÍTIMOS[[#This Row],[Transportista]]),"")</f>
        <v>Expert Transport</v>
      </c>
      <c r="G129" s="2" t="str">
        <f>IFERROR(IF(MARÍTIMOS[[#This Row],[Tercero]]="","",MARÍTIMOS[[#This Row],[Tercero]]),"")</f>
        <v>NO</v>
      </c>
      <c r="H129" s="2" t="str">
        <f>IFERROR(IF(MARÍTIMOS[[#This Row],[Razón Social]]="","",MARÍTIMOS[[#This Row],[Razón Social]]),"")</f>
        <v xml:space="preserve">EXPERT TRANSPORT SAC </v>
      </c>
      <c r="I129" s="2">
        <f>IFERROR(IF(MARÍTIMOS[[#This Row],[RUC]]="","",MARÍTIMOS[[#This Row],[RUC]]),"")</f>
        <v>20544424751</v>
      </c>
      <c r="J129" s="2" t="str">
        <f>IFERROR(IF(MARÍTIMOS[[#This Row],[Placa Tracto]]="","",MARÍTIMOS[[#This Row],[Placa Tracto]]),"")</f>
        <v>V1B809</v>
      </c>
      <c r="K129" s="2" t="str">
        <f>IFERROR(IF(MARÍTIMOS[[#This Row],[Placa Carreta]]="","",MARÍTIMOS[[#This Row],[Placa Carreta]]),"")</f>
        <v>TKC975</v>
      </c>
      <c r="L129" s="44" t="str">
        <f>IFERROR(IF(MARÍTIMOS[[#This Row],[Conductor]]="","",MARÍTIMOS[[#This Row],[Conductor]]),"")</f>
        <v>GUILLERMO YOSNEY GONZALEZ RUIZ</v>
      </c>
      <c r="M129" s="2" t="str">
        <f>IFERROR(IF(MARÍTIMOS[[#This Row],[Licencia]]="","",MARÍTIMOS[[#This Row],[Licencia]]),"")</f>
        <v>Q005581456</v>
      </c>
      <c r="N129" s="2">
        <f>IFERROR(IF(MARÍTIMOS[[#This Row],[Número de Contacto]]="","",MARÍTIMOS[[#This Row],[Número de Contacto]]),"")</f>
        <v>914472332</v>
      </c>
      <c r="O129" s="10" t="str">
        <f>IFERROR(IF(MARÍTIMOS[[#This Row],[Booking|AWB|CRT]]="","",MARÍTIMOS[[#This Row],[Booking|AWB|CRT]]),"")</f>
        <v>BN81291</v>
      </c>
      <c r="P129" s="2" t="str">
        <f>IFERROR(IF(MARÍTIMOS[[#This Row],[Contenedor]]="","",MARÍTIMOS[[#This Row],[Contenedor]]),"")</f>
        <v>TEMU9595796</v>
      </c>
      <c r="Q129" s="2" t="str">
        <f>IFERROR(IF(MARÍTIMOS[[#This Row],[Puerto de Retiro]]="","",MARÍTIMOS[[#This Row],[Puerto de Retiro]]),"")</f>
        <v>PAITA</v>
      </c>
      <c r="R129" s="2" t="str">
        <f>IFERROR(IF(MARÍTIMOS[[#This Row],[Almacén de Retiro]]="","",MARÍTIMOS[[#This Row],[Almacén de Retiro]]),"")</f>
        <v>DPW</v>
      </c>
      <c r="S129" s="11">
        <f>IFERROR(IF(MARÍTIMOS[[#This Row],[Etapa Retiro - Cita]]="","",MARÍTIMOS[[#This Row],[Etapa Retiro - Cita]]),"")</f>
        <v>46249.625</v>
      </c>
      <c r="T129" s="11">
        <f>IFERROR(IF(MARÍTIMOS[[#This Row],[Etapa Retiro - Llegada]]="","",MARÍTIMOS[[#This Row],[Etapa Retiro - Llegada]]),"")</f>
        <v>46249.640277777777</v>
      </c>
      <c r="U129" s="11">
        <f>IFERROR(IF(MARÍTIMOS[[#This Row],[Etapa Retiro - Ingreso]]="","",MARÍTIMOS[[#This Row],[Etapa Retiro - Ingreso]]),"")</f>
        <v>46249.697916666664</v>
      </c>
      <c r="V129" s="11">
        <f>IFERROR(IF(MARÍTIMOS[[#This Row],[Etapa Retiro - Atención]]="","",MARÍTIMOS[[#This Row],[Etapa Retiro - Atención]]),"")</f>
        <v>46249.700694444444</v>
      </c>
      <c r="W129" s="11">
        <f>IFERROR(IF(MARÍTIMOS[[#This Row],[Etapa Retiro - Atención]]="","",MARÍTIMOS[[#This Row],[Etapa Retiro - Atención]]),"")</f>
        <v>46249.700694444444</v>
      </c>
      <c r="X129" s="11">
        <f>IFERROR(IF(MARÍTIMOS[[#This Row],[Etapa Retiro - Inicio de Ruta]]="","",MARÍTIMOS[[#This Row],[Etapa Retiro - Inicio de Ruta]]),"")</f>
        <v>46249.805555555555</v>
      </c>
      <c r="Y129" s="11">
        <f>IFERROR(IF(MARÍTIMOS[[#This Row],[Hora de Posicionamiento]]="","",MARÍTIMOS[[#This Row],[Fecha de Carga]]+MARÍTIMOS[[#This Row],[Hora de Posicionamiento]]),"")</f>
        <v>46249.583333333336</v>
      </c>
      <c r="Z129" s="11" t="str">
        <f>IFERROR(IF(MARÍTIMOS[[#This Row],[Etapa Despacho - Llegada]]="","",MARÍTIMOS[[#This Row],[Etapa Despacho - Llegada]]),"")</f>
        <v/>
      </c>
      <c r="AA129" s="11" t="str">
        <f>IFERROR(IF(MARÍTIMOS[[#This Row],[Etapa Despacho - Registro]]="","",MARÍTIMOS[[#This Row],[Etapa Despacho - Registro]]),"")</f>
        <v/>
      </c>
      <c r="AB129" s="11">
        <f>IFERROR(IF(MARÍTIMOS[[#This Row],[Inspección Externa]]="","",MARÍTIMOS[[#This Row],[Inspección Externa]]),"")</f>
        <v>46250.590277777781</v>
      </c>
      <c r="AC129" s="11" t="str">
        <f>IFERROR(IF(MARÍTIMOS[[#This Row],[Etapa Despacho - Inicio de Carga]]="","",MARÍTIMOS[[#This Row],[Etapa Despacho - Inicio de Carga]]),"")</f>
        <v/>
      </c>
      <c r="AD129" s="11" t="str">
        <f>IFERROR(IF(MARÍTIMOS[[#This Row],[Etapa Despacho - Mitad de Carga]]="","",MARÍTIMOS[[#This Row],[Etapa Despacho - Mitad de Carga]]),"")</f>
        <v/>
      </c>
      <c r="AE129" s="11" t="str">
        <f>IFERROR(IF(MARÍTIMOS[[#This Row],[Etapa Despacho - Fin de Carga]]="","",MARÍTIMOS[[#This Row],[Etapa Despacho - Fin de Carga]]),"")</f>
        <v/>
      </c>
      <c r="AF129" s="2" t="str">
        <f>IFERROR(IF(MARÍTIMOS[[#This Row],[Puerto de Embarque]]="","",MARÍTIMOS[[#This Row],[Puerto de Embarque]]),"")</f>
        <v>Paita</v>
      </c>
      <c r="AG129" s="2" t="str">
        <f>IFERROR(IF(MARÍTIMOS[[#This Row],[Almacén de Ingreso]]="","",MARÍTIMOS[[#This Row],[Almacén de Ingreso]]),"")</f>
        <v>TPE</v>
      </c>
      <c r="AH129" s="11">
        <f>IFERROR(IF(MARÍTIMOS[[#This Row],[Etapa Ingreso - Cita]]="","",MARÍTIMOS[[#This Row],[Etapa Ingreso - Cita]]),"")</f>
        <v>46251.625</v>
      </c>
      <c r="AI129" s="11">
        <f>IFERROR(IF(MARÍTIMOS[[#This Row],[Etapa Ingreso - Llegada]]="","",MARÍTIMOS[[#This Row],[Etapa Ingreso - Llegada]]),"")</f>
        <v>46251.609722222223</v>
      </c>
      <c r="AJ129" s="11">
        <f>IFERROR(IF(MARÍTIMOS[[#This Row],[Etapa Ingreso - Ingeso]]="","",MARÍTIMOS[[#This Row],[Etapa Ingreso - Ingeso]]),"")</f>
        <v>46251.612500000003</v>
      </c>
      <c r="AK129" s="11">
        <f>IFERROR(IF(MARÍTIMOS[[#This Row],[Etapa Ingreso - Atención]]="","",MARÍTIMOS[[#This Row],[Etapa Ingreso - Atención]]),"")</f>
        <v>46251.622916666667</v>
      </c>
      <c r="AL129" s="11">
        <f>IFERROR(IF(MARÍTIMOS[[#This Row],[Etapa Ingreso - Salida]]="","",MARÍTIMOS[[#This Row],[Etapa Ingreso - Salida]]),"")</f>
        <v>46251.622916666667</v>
      </c>
      <c r="AM129" s="2">
        <f>IFERROR(IF(MARÍTIMOS[[#This Row],[FCL]]="","",MARÍTIMOS[[#This Row],[FCL]]),"")</f>
        <v>1</v>
      </c>
      <c r="AN1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29" s="4" t="str" cm="1">
        <f t="array" ref="AO1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29" s="5" t="str">
        <f>IFERROR(OLDBD[[#This Row],[Llegada a packing]]-OLDBD[[#This Row],[Inicio de Ruta]],"")</f>
        <v/>
      </c>
      <c r="AQ129" s="6">
        <f>IFERROR(OLDBD[[#This Row],[Inicio de Ruta]]-OLDBD[[#This Row],[Salida de almacén de retiro]],"")</f>
        <v>0.10486111111094942</v>
      </c>
      <c r="AR1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29" s="8" t="str" cm="1">
        <f t="array" ref="AS1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29" s="9" t="str">
        <f>IFERROR(OLDBD[[#This Row],[Ingreso Packing]]-OLDBD[[#This Row],[Registro en Packing]],"")</f>
        <v/>
      </c>
      <c r="AV129" s="9" t="str">
        <f>IFERROR(OLDBD[[#This Row],[Ingreso Packing]]-OLDBD[[#This Row],[Llegada a packing]],"")</f>
        <v/>
      </c>
      <c r="AW1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29" s="5" t="str">
        <f>IFERROR(OLDBD[[#This Row],[Llegada Almacén de Ingreso]]-OLDBD[[#This Row],[Salida Packing]],"")</f>
        <v/>
      </c>
      <c r="AY129" s="4" t="str" cm="1">
        <f t="array" ref="AY1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29" s="43" t="s">
        <v>173</v>
      </c>
      <c r="BB129" s="47" t="str">
        <f>IFERROR(IF(MARÍTIMOS[[#This Row],[Estatus]]="","",MARÍTIMOS[[#This Row],[Estatus]]),"")</f>
        <v>Confirmado</v>
      </c>
      <c r="BC129" s="43"/>
      <c r="BD129" s="46">
        <f>IFERROR(OLDBD[[#This Row],[Salida de almacén de retiro]]-OLDBD[[#This Row],[Ingreso Almacén de retiro]],"")</f>
        <v>2.7777777795563452E-3</v>
      </c>
      <c r="BE129" s="46" t="str">
        <f>IFERROR(OLDBD[[#This Row],[Fin de Carga]]-OLDBD[[#This Row],[Inicio de Carga]],"")</f>
        <v/>
      </c>
    </row>
    <row r="130" spans="1:57" customFormat="1" hidden="1">
      <c r="A130" s="1"/>
      <c r="B130" s="1">
        <f>IFERROR(IF(MARÍTIMOS[[#This Row],[PP]]="","",MARÍTIMOS[[#This Row],[PP]]),"")</f>
        <v>33</v>
      </c>
      <c r="C130" s="1" t="str">
        <f>IFERROR(IF(MARÍTIMOS[[#This Row],[Sede]]="","",MARÍTIMOS[[#This Row],[Sede]]),"")</f>
        <v>Chao</v>
      </c>
      <c r="D130" s="1" t="str">
        <f>IFERROR(IF(MARÍTIMOS[[#This Row],[Instruction]]="","",MARÍTIMOS[[#This Row],[Instruction]]),"")</f>
        <v>RH-0506</v>
      </c>
      <c r="E130" s="1"/>
      <c r="F130" s="2" t="str">
        <f>IFERROR(IF(MARÍTIMOS[[#This Row],[Transportista]]="","",MARÍTIMOS[[#This Row],[Transportista]]),"")</f>
        <v>Expert Transport</v>
      </c>
      <c r="G130" s="2" t="str">
        <f>IFERROR(IF(MARÍTIMOS[[#This Row],[Tercero]]="","",MARÍTIMOS[[#This Row],[Tercero]]),"")</f>
        <v>NO</v>
      </c>
      <c r="H130" s="2" t="str">
        <f>IFERROR(IF(MARÍTIMOS[[#This Row],[Razón Social]]="","",MARÍTIMOS[[#This Row],[Razón Social]]),"")</f>
        <v xml:space="preserve">EXPERT TRANSPORT SAC </v>
      </c>
      <c r="I130" s="2">
        <f>IFERROR(IF(MARÍTIMOS[[#This Row],[RUC]]="","",MARÍTIMOS[[#This Row],[RUC]]),"")</f>
        <v>20544424751</v>
      </c>
      <c r="J130" s="2" t="str">
        <f>IFERROR(IF(MARÍTIMOS[[#This Row],[Placa Tracto]]="","",MARÍTIMOS[[#This Row],[Placa Tracto]]),"")</f>
        <v>C5Z734</v>
      </c>
      <c r="K130" s="2" t="str">
        <f>IFERROR(IF(MARÍTIMOS[[#This Row],[Placa Carreta]]="","",MARÍTIMOS[[#This Row],[Placa Carreta]]),"")</f>
        <v>TJE975</v>
      </c>
      <c r="L130" s="44" t="str">
        <f>IFERROR(IF(MARÍTIMOS[[#This Row],[Conductor]]="","",MARÍTIMOS[[#This Row],[Conductor]]),"")</f>
        <v>LUIS CARLOS LAMAS RUIZ</v>
      </c>
      <c r="M130" s="2" t="str">
        <f>IFERROR(IF(MARÍTIMOS[[#This Row],[Licencia]]="","",MARÍTIMOS[[#This Row],[Licencia]]),"")</f>
        <v>B009531613</v>
      </c>
      <c r="N130" s="2">
        <f>IFERROR(IF(MARÍTIMOS[[#This Row],[Número de Contacto]]="","",MARÍTIMOS[[#This Row],[Número de Contacto]]),"")</f>
        <v>986078320</v>
      </c>
      <c r="O130" s="10" t="str">
        <f>IFERROR(IF(MARÍTIMOS[[#This Row],[Booking|AWB|CRT]]="","",MARÍTIMOS[[#This Row],[Booking|AWB|CRT]]),"")</f>
        <v>PER9184422A</v>
      </c>
      <c r="P130" s="2" t="str">
        <f>IFERROR(IF(MARÍTIMOS[[#This Row],[Contenedor]]="","",MARÍTIMOS[[#This Row],[Contenedor]]),"")</f>
        <v>SZLU7011191</v>
      </c>
      <c r="Q130" s="2" t="str">
        <f>IFERROR(IF(MARÍTIMOS[[#This Row],[Puerto de Retiro]]="","",MARÍTIMOS[[#This Row],[Puerto de Retiro]]),"")</f>
        <v>PAITA</v>
      </c>
      <c r="R130" s="2" t="str">
        <f>IFERROR(IF(MARÍTIMOS[[#This Row],[Almacén de Retiro]]="","",MARÍTIMOS[[#This Row],[Almacén de Retiro]]),"")</f>
        <v>DPW</v>
      </c>
      <c r="S130" s="11">
        <f>IFERROR(IF(MARÍTIMOS[[#This Row],[Etapa Retiro - Cita]]="","",MARÍTIMOS[[#This Row],[Etapa Retiro - Cita]]),"")</f>
        <v>46250.666666666664</v>
      </c>
      <c r="T130" s="11">
        <f>IFERROR(IF(MARÍTIMOS[[#This Row],[Etapa Retiro - Llegada]]="","",MARÍTIMOS[[#This Row],[Etapa Retiro - Llegada]]),"")</f>
        <v>46250.689583333333</v>
      </c>
      <c r="U130" s="11">
        <f>IFERROR(IF(MARÍTIMOS[[#This Row],[Etapa Retiro - Ingreso]]="","",MARÍTIMOS[[#This Row],[Etapa Retiro - Ingreso]]),"")</f>
        <v>46250.694444444445</v>
      </c>
      <c r="V130" s="11">
        <f>IFERROR(IF(MARÍTIMOS[[#This Row],[Etapa Retiro - Atención]]="","",MARÍTIMOS[[#This Row],[Etapa Retiro - Atención]]),"")</f>
        <v>46250.705555555556</v>
      </c>
      <c r="W130" s="11">
        <f>IFERROR(IF(MARÍTIMOS[[#This Row],[Etapa Retiro - Atención]]="","",MARÍTIMOS[[#This Row],[Etapa Retiro - Atención]]),"")</f>
        <v>46250.705555555556</v>
      </c>
      <c r="X130" s="11">
        <f>IFERROR(IF(MARÍTIMOS[[#This Row],[Etapa Retiro - Inicio de Ruta]]="","",MARÍTIMOS[[#This Row],[Etapa Retiro - Inicio de Ruta]]),"")</f>
        <v>46250.845138888886</v>
      </c>
      <c r="Y130" s="11">
        <f>IFERROR(IF(MARÍTIMOS[[#This Row],[Hora de Posicionamiento]]="","",MARÍTIMOS[[#This Row],[Fecha de Carga]]+MARÍTIMOS[[#This Row],[Hora de Posicionamiento]]),"")</f>
        <v>46250.583333333336</v>
      </c>
      <c r="Z130" s="11" t="str">
        <f>IFERROR(IF(MARÍTIMOS[[#This Row],[Etapa Despacho - Llegada]]="","",MARÍTIMOS[[#This Row],[Etapa Despacho - Llegada]]),"")</f>
        <v/>
      </c>
      <c r="AA130" s="11" t="str">
        <f>IFERROR(IF(MARÍTIMOS[[#This Row],[Etapa Despacho - Registro]]="","",MARÍTIMOS[[#This Row],[Etapa Despacho - Registro]]),"")</f>
        <v/>
      </c>
      <c r="AB130" s="11">
        <v>46225.527777777781</v>
      </c>
      <c r="AC130" s="11" t="str">
        <f>IFERROR(IF(MARÍTIMOS[[#This Row],[Etapa Despacho - Inicio de Carga]]="","",MARÍTIMOS[[#This Row],[Etapa Despacho - Inicio de Carga]]),"")</f>
        <v/>
      </c>
      <c r="AD130" s="11" t="str">
        <f>IFERROR(IF(MARÍTIMOS[[#This Row],[Etapa Despacho - Mitad de Carga]]="","",MARÍTIMOS[[#This Row],[Etapa Despacho - Mitad de Carga]]),"")</f>
        <v/>
      </c>
      <c r="AE130" s="11" t="str">
        <f>IFERROR(IF(MARÍTIMOS[[#This Row],[Etapa Despacho - Fin de Carga]]="","",MARÍTIMOS[[#This Row],[Etapa Despacho - Fin de Carga]]),"")</f>
        <v/>
      </c>
      <c r="AF130" s="2" t="str">
        <f>IFERROR(IF(MARÍTIMOS[[#This Row],[Puerto de Embarque]]="","",MARÍTIMOS[[#This Row],[Puerto de Embarque]]),"")</f>
        <v>Paita</v>
      </c>
      <c r="AG130" s="2" t="str">
        <f>IFERROR(IF(MARÍTIMOS[[#This Row],[Almacén de Ingreso]]="","",MARÍTIMOS[[#This Row],[Almacén de Ingreso]]),"")</f>
        <v>TPE</v>
      </c>
      <c r="AH130" s="11">
        <f>IFERROR(IF(MARÍTIMOS[[#This Row],[Etapa Ingreso - Cita]]="","",MARÍTIMOS[[#This Row],[Etapa Ingreso - Cita]]),"")</f>
        <v>46252.541666666664</v>
      </c>
      <c r="AI130" s="11">
        <f>IFERROR(IF(MARÍTIMOS[[#This Row],[Etapa Ingreso - Llegada]]="","",MARÍTIMOS[[#This Row],[Etapa Ingreso - Llegada]]),"")</f>
        <v>46252.529166666667</v>
      </c>
      <c r="AJ130" s="11">
        <f>IFERROR(IF(MARÍTIMOS[[#This Row],[Etapa Ingreso - Ingeso]]="","",MARÍTIMOS[[#This Row],[Etapa Ingreso - Ingeso]]),"")</f>
        <v>46252.534722222219</v>
      </c>
      <c r="AK130" s="11">
        <f>IFERROR(IF(MARÍTIMOS[[#This Row],[Etapa Ingreso - Atención]]="","",MARÍTIMOS[[#This Row],[Etapa Ingreso - Atención]]),"")</f>
        <v>46252.536805555559</v>
      </c>
      <c r="AL130" s="11">
        <f>IFERROR(IF(MARÍTIMOS[[#This Row],[Etapa Ingreso - Salida]]="","",MARÍTIMOS[[#This Row],[Etapa Ingreso - Salida]]),"")</f>
        <v>46252.539583333331</v>
      </c>
      <c r="AM130" s="2">
        <f>IFERROR(IF(MARÍTIMOS[[#This Row],[FCL]]="","",MARÍTIMOS[[#This Row],[FCL]]),"")</f>
        <v>1</v>
      </c>
      <c r="AN1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0" s="4" t="str" cm="1">
        <f t="array" ref="AO1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0" s="5" t="str">
        <f>IFERROR(OLDBD[[#This Row],[Llegada a packing]]-OLDBD[[#This Row],[Inicio de Ruta]],"")</f>
        <v/>
      </c>
      <c r="AQ130" s="6">
        <f>IFERROR(OLDBD[[#This Row],[Inicio de Ruta]]-OLDBD[[#This Row],[Salida de almacén de retiro]],"")</f>
        <v>0.13958333332993789</v>
      </c>
      <c r="AR1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0" s="8" t="str" cm="1">
        <f t="array" ref="AS1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0" s="9" t="str">
        <f>IFERROR(OLDBD[[#This Row],[Ingreso Packing]]-OLDBD[[#This Row],[Registro en Packing]],"")</f>
        <v/>
      </c>
      <c r="AV130" s="9" t="str">
        <f>IFERROR(OLDBD[[#This Row],[Ingreso Packing]]-OLDBD[[#This Row],[Llegada a packing]],"")</f>
        <v/>
      </c>
      <c r="AW1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0" s="5" t="str">
        <f>IFERROR(OLDBD[[#This Row],[Llegada Almacén de Ingreso]]-OLDBD[[#This Row],[Salida Packing]],"")</f>
        <v/>
      </c>
      <c r="AY130" s="4" t="str" cm="1">
        <f t="array" ref="AY1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30" s="43" t="s">
        <v>173</v>
      </c>
      <c r="BB130" s="47" t="str">
        <f>IFERROR(IF(MARÍTIMOS[[#This Row],[Estatus]]="","",MARÍTIMOS[[#This Row],[Estatus]]),"")</f>
        <v>Confirmado</v>
      </c>
      <c r="BC130" s="43"/>
      <c r="BD130" s="46">
        <f>IFERROR(OLDBD[[#This Row],[Salida de almacén de retiro]]-OLDBD[[#This Row],[Ingreso Almacén de retiro]],"")</f>
        <v>1.1111111110949423E-2</v>
      </c>
      <c r="BE130" s="46" t="str">
        <f>IFERROR(OLDBD[[#This Row],[Fin de Carga]]-OLDBD[[#This Row],[Inicio de Carga]],"")</f>
        <v/>
      </c>
    </row>
    <row r="131" spans="1:57" customFormat="1" hidden="1">
      <c r="A131" s="1"/>
      <c r="B131" s="1">
        <f>IFERROR(IF(MARÍTIMOS[[#This Row],[PP]]="","",MARÍTIMOS[[#This Row],[PP]]),"")</f>
        <v>34</v>
      </c>
      <c r="C131" s="1" t="str">
        <f>IFERROR(IF(MARÍTIMOS[[#This Row],[Sede]]="","",MARÍTIMOS[[#This Row],[Sede]]),"")</f>
        <v>Chao</v>
      </c>
      <c r="D131" s="1" t="str">
        <f>IFERROR(IF(MARÍTIMOS[[#This Row],[Instruction]]="","",MARÍTIMOS[[#This Row],[Instruction]]),"")</f>
        <v>RH-0550</v>
      </c>
      <c r="E131" s="1"/>
      <c r="F131" s="2" t="str">
        <f>IFERROR(IF(MARÍTIMOS[[#This Row],[Transportista]]="","",MARÍTIMOS[[#This Row],[Transportista]]),"")</f>
        <v>Expert Transport</v>
      </c>
      <c r="G131" s="2" t="str">
        <f>IFERROR(IF(MARÍTIMOS[[#This Row],[Tercero]]="","",MARÍTIMOS[[#This Row],[Tercero]]),"")</f>
        <v>NO</v>
      </c>
      <c r="H131" s="2" t="str">
        <f>IFERROR(IF(MARÍTIMOS[[#This Row],[Razón Social]]="","",MARÍTIMOS[[#This Row],[Razón Social]]),"")</f>
        <v xml:space="preserve">EXPERT TRANSPORT SAC </v>
      </c>
      <c r="I131" s="2">
        <f>IFERROR(IF(MARÍTIMOS[[#This Row],[RUC]]="","",MARÍTIMOS[[#This Row],[RUC]]),"")</f>
        <v>20544424751</v>
      </c>
      <c r="J131" s="2" t="str">
        <f>IFERROR(IF(MARÍTIMOS[[#This Row],[Placa Tracto]]="","",MARÍTIMOS[[#This Row],[Placa Tracto]]),"")</f>
        <v>V1B809</v>
      </c>
      <c r="K131" s="2" t="str">
        <f>IFERROR(IF(MARÍTIMOS[[#This Row],[Placa Carreta]]="","",MARÍTIMOS[[#This Row],[Placa Carreta]]),"")</f>
        <v>TKC975</v>
      </c>
      <c r="L131" s="44" t="str">
        <f>IFERROR(IF(MARÍTIMOS[[#This Row],[Conductor]]="","",MARÍTIMOS[[#This Row],[Conductor]]),"")</f>
        <v>GUILLERMO YOSNEY GONZALEZ RUIZ</v>
      </c>
      <c r="M131" s="2" t="str">
        <f>IFERROR(IF(MARÍTIMOS[[#This Row],[Licencia]]="","",MARÍTIMOS[[#This Row],[Licencia]]),"")</f>
        <v>Q005581456</v>
      </c>
      <c r="N131" s="2">
        <f>IFERROR(IF(MARÍTIMOS[[#This Row],[Número de Contacto]]="","",MARÍTIMOS[[#This Row],[Número de Contacto]]),"")</f>
        <v>914472332</v>
      </c>
      <c r="O131" s="10" t="str">
        <f>IFERROR(IF(MARÍTIMOS[[#This Row],[Booking|AWB|CRT]]="","",MARÍTIMOS[[#This Row],[Booking|AWB|CRT]]),"")</f>
        <v>MBM250067124</v>
      </c>
      <c r="P131" s="2" t="str">
        <f>IFERROR(IF(MARÍTIMOS[[#This Row],[Contenedor]]="","",MARÍTIMOS[[#This Row],[Contenedor]]),"")</f>
        <v>FDDU2542787</v>
      </c>
      <c r="Q131" s="2" t="str">
        <f>IFERROR(IF(MARÍTIMOS[[#This Row],[Puerto de Retiro]]="","",MARÍTIMOS[[#This Row],[Puerto de Retiro]]),"")</f>
        <v>PAITA</v>
      </c>
      <c r="R131" s="2" t="str">
        <f>IFERROR(IF(MARÍTIMOS[[#This Row],[Almacén de Retiro]]="","",MARÍTIMOS[[#This Row],[Almacén de Retiro]]),"")</f>
        <v>MACROMAR</v>
      </c>
      <c r="S131" s="11">
        <f>IFERROR(IF(MARÍTIMOS[[#This Row],[Etapa Retiro - Cita]]="","",MARÍTIMOS[[#This Row],[Etapa Retiro - Cita]]),"")</f>
        <v>46253.666666666664</v>
      </c>
      <c r="T131" s="11">
        <f>IFERROR(IF(MARÍTIMOS[[#This Row],[Etapa Retiro - Llegada]]="","",MARÍTIMOS[[#This Row],[Etapa Retiro - Llegada]]),"")</f>
        <v>46253.659722222219</v>
      </c>
      <c r="U131" s="11">
        <f>IFERROR(IF(MARÍTIMOS[[#This Row],[Etapa Retiro - Ingreso]]="","",MARÍTIMOS[[#This Row],[Etapa Retiro - Ingreso]]),"")</f>
        <v>46253.706250000003</v>
      </c>
      <c r="V131" s="11">
        <f>IFERROR(IF(MARÍTIMOS[[#This Row],[Etapa Retiro - Atención]]="","",MARÍTIMOS[[#This Row],[Etapa Retiro - Atención]]),"")</f>
        <v>46253.725694444445</v>
      </c>
      <c r="W131" s="11">
        <f>IFERROR(IF(MARÍTIMOS[[#This Row],[Etapa Retiro - Atención]]="","",MARÍTIMOS[[#This Row],[Etapa Retiro - Atención]]),"")</f>
        <v>46253.725694444445</v>
      </c>
      <c r="X131" s="11">
        <v>46224.958333333336</v>
      </c>
      <c r="Y131" s="11">
        <f>IFERROR(IF(MARÍTIMOS[[#This Row],[Hora de Posicionamiento]]="","",MARÍTIMOS[[#This Row],[Fecha de Carga]]+MARÍTIMOS[[#This Row],[Hora de Posicionamiento]]),"")</f>
        <v>46253.583333333336</v>
      </c>
      <c r="Z131" s="11" t="str">
        <f>IFERROR(IF(MARÍTIMOS[[#This Row],[Etapa Despacho - Llegada]]="","",MARÍTIMOS[[#This Row],[Etapa Despacho - Llegada]]),"")</f>
        <v/>
      </c>
      <c r="AA131" s="11" t="str">
        <f>IFERROR(IF(MARÍTIMOS[[#This Row],[Etapa Despacho - Registro]]="","",MARÍTIMOS[[#This Row],[Etapa Despacho - Registro]]),"")</f>
        <v/>
      </c>
      <c r="AB131" s="11">
        <f>IFERROR(IF(MARÍTIMOS[[#This Row],[Inspección Externa]]="","",MARÍTIMOS[[#This Row],[Inspección Externa]]),"")</f>
        <v>46255.131944444445</v>
      </c>
      <c r="AC131" s="11" t="str">
        <f>IFERROR(IF(MARÍTIMOS[[#This Row],[Etapa Despacho - Inicio de Carga]]="","",MARÍTIMOS[[#This Row],[Etapa Despacho - Inicio de Carga]]),"")</f>
        <v/>
      </c>
      <c r="AD131" s="11" t="str">
        <f>IFERROR(IF(MARÍTIMOS[[#This Row],[Etapa Despacho - Mitad de Carga]]="","",MARÍTIMOS[[#This Row],[Etapa Despacho - Mitad de Carga]]),"")</f>
        <v/>
      </c>
      <c r="AE131" s="11" t="str">
        <f>IFERROR(IF(MARÍTIMOS[[#This Row],[Etapa Despacho - Fin de Carga]]="","",MARÍTIMOS[[#This Row],[Etapa Despacho - Fin de Carga]]),"")</f>
        <v/>
      </c>
      <c r="AF131" s="2" t="str">
        <f>IFERROR(IF(MARÍTIMOS[[#This Row],[Puerto de Embarque]]="","",MARÍTIMOS[[#This Row],[Puerto de Embarque]]),"")</f>
        <v>Paita</v>
      </c>
      <c r="AG131" s="2" t="str">
        <f>IFERROR(IF(MARÍTIMOS[[#This Row],[Almacén de Ingreso]]="","",MARÍTIMOS[[#This Row],[Almacén de Ingreso]]),"")</f>
        <v>TPE</v>
      </c>
      <c r="AH131" s="11">
        <f>IFERROR(IF(MARÍTIMOS[[#This Row],[Etapa Ingreso - Cita]]="","",MARÍTIMOS[[#This Row],[Etapa Ingreso - Cita]]),"")</f>
        <v>46255.916666666664</v>
      </c>
      <c r="AI131" s="11">
        <f>IFERROR(IF(MARÍTIMOS[[#This Row],[Etapa Ingreso - Llegada]]="","",MARÍTIMOS[[#This Row],[Etapa Ingreso - Llegada]]),"")</f>
        <v>46255.888888888891</v>
      </c>
      <c r="AJ131" s="11">
        <f>IFERROR(IF(MARÍTIMOS[[#This Row],[Etapa Ingreso - Ingeso]]="","",MARÍTIMOS[[#This Row],[Etapa Ingreso - Ingeso]]),"")</f>
        <v>46255.895138888889</v>
      </c>
      <c r="AK131" s="11">
        <f>IFERROR(IF(MARÍTIMOS[[#This Row],[Etapa Ingreso - Atención]]="","",MARÍTIMOS[[#This Row],[Etapa Ingreso - Atención]]),"")</f>
        <v>46255.899305555555</v>
      </c>
      <c r="AL131" s="11">
        <f>IFERROR(IF(MARÍTIMOS[[#This Row],[Etapa Ingreso - Salida]]="","",MARÍTIMOS[[#This Row],[Etapa Ingreso - Salida]]),"")</f>
        <v>46255.904166666667</v>
      </c>
      <c r="AM131" s="2">
        <f>IFERROR(IF(MARÍTIMOS[[#This Row],[FCL]]="","",MARÍTIMOS[[#This Row],[FCL]]),"")</f>
        <v>1</v>
      </c>
      <c r="AN1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1" s="4" t="str" cm="1">
        <f t="array" ref="AO1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1" s="5" t="str">
        <f>IFERROR(OLDBD[[#This Row],[Llegada a packing]]-OLDBD[[#This Row],[Inicio de Ruta]],"")</f>
        <v/>
      </c>
      <c r="AQ131" s="6">
        <f>IFERROR(OLDBD[[#This Row],[Inicio de Ruta]]-OLDBD[[#This Row],[Salida de almacén de retiro]],"")</f>
        <v>-28.767361111109494</v>
      </c>
      <c r="AR1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1" s="8" t="str" cm="1">
        <f t="array" ref="AS1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1" s="9" t="str">
        <f>IFERROR(OLDBD[[#This Row],[Ingreso Packing]]-OLDBD[[#This Row],[Registro en Packing]],"")</f>
        <v/>
      </c>
      <c r="AV131" s="9" t="str">
        <f>IFERROR(OLDBD[[#This Row],[Ingreso Packing]]-OLDBD[[#This Row],[Llegada a packing]],"")</f>
        <v/>
      </c>
      <c r="AW1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1" s="5" t="str">
        <f>IFERROR(OLDBD[[#This Row],[Llegada Almacén de Ingreso]]-OLDBD[[#This Row],[Salida Packing]],"")</f>
        <v/>
      </c>
      <c r="AY131" s="4" t="str" cm="1">
        <f t="array" ref="AY1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31" s="43" t="s">
        <v>173</v>
      </c>
      <c r="BB131" s="47" t="str">
        <f>IFERROR(IF(MARÍTIMOS[[#This Row],[Estatus]]="","",MARÍTIMOS[[#This Row],[Estatus]]),"")</f>
        <v>Confirmado</v>
      </c>
      <c r="BC131" s="43"/>
      <c r="BD131" s="46">
        <f>IFERROR(OLDBD[[#This Row],[Salida de almacén de retiro]]-OLDBD[[#This Row],[Ingreso Almacén de retiro]],"")</f>
        <v>1.9444444442342501E-2</v>
      </c>
      <c r="BE131" s="46" t="str">
        <f>IFERROR(OLDBD[[#This Row],[Fin de Carga]]-OLDBD[[#This Row],[Inicio de Carga]],"")</f>
        <v/>
      </c>
    </row>
    <row r="132" spans="1:57" customFormat="1" hidden="1">
      <c r="A132" s="1"/>
      <c r="B132" s="1">
        <f>IFERROR(IF(MARÍTIMOS[[#This Row],[PP]]="","",MARÍTIMOS[[#This Row],[PP]]),"")</f>
        <v>34</v>
      </c>
      <c r="C132" s="1" t="str">
        <f>IFERROR(IF(MARÍTIMOS[[#This Row],[Sede]]="","",MARÍTIMOS[[#This Row],[Sede]]),"")</f>
        <v>Chao</v>
      </c>
      <c r="D132" s="1" t="str">
        <f>IFERROR(IF(MARÍTIMOS[[#This Row],[Instruction]]="","",MARÍTIMOS[[#This Row],[Instruction]]),"")</f>
        <v>RH-0555</v>
      </c>
      <c r="E132" s="1"/>
      <c r="F132" s="2" t="str">
        <f>IFERROR(IF(MARÍTIMOS[[#This Row],[Transportista]]="","",MARÍTIMOS[[#This Row],[Transportista]]),"")</f>
        <v>Expert Transport</v>
      </c>
      <c r="G132" s="2" t="str">
        <f>IFERROR(IF(MARÍTIMOS[[#This Row],[Tercero]]="","",MARÍTIMOS[[#This Row],[Tercero]]),"")</f>
        <v>NO</v>
      </c>
      <c r="H132" s="2" t="str">
        <f>IFERROR(IF(MARÍTIMOS[[#This Row],[Razón Social]]="","",MARÍTIMOS[[#This Row],[Razón Social]]),"")</f>
        <v xml:space="preserve">EXPERT TRANSPORT SAC </v>
      </c>
      <c r="I132" s="2">
        <f>IFERROR(IF(MARÍTIMOS[[#This Row],[RUC]]="","",MARÍTIMOS[[#This Row],[RUC]]),"")</f>
        <v>20544424751</v>
      </c>
      <c r="J132" s="2" t="str">
        <f>IFERROR(IF(MARÍTIMOS[[#This Row],[Placa Tracto]]="","",MARÍTIMOS[[#This Row],[Placa Tracto]]),"")</f>
        <v>BYR872</v>
      </c>
      <c r="K132" s="2" t="str">
        <f>IFERROR(IF(MARÍTIMOS[[#This Row],[Placa Carreta]]="","",MARÍTIMOS[[#This Row],[Placa Carreta]]),"")</f>
        <v>A3K983</v>
      </c>
      <c r="L132" s="44" t="str">
        <f>IFERROR(IF(MARÍTIMOS[[#This Row],[Conductor]]="","",MARÍTIMOS[[#This Row],[Conductor]]),"")</f>
        <v>HUMBERTO JESÚS SUAREZ ARGUINZONES</v>
      </c>
      <c r="M132" s="2" t="str">
        <f>IFERROR(IF(MARÍTIMOS[[#This Row],[Licencia]]="","",MARÍTIMOS[[#This Row],[Licencia]]),"")</f>
        <v>B007168026</v>
      </c>
      <c r="N132" s="2">
        <f>IFERROR(IF(MARÍTIMOS[[#This Row],[Número de Contacto]]="","",MARÍTIMOS[[#This Row],[Número de Contacto]]),"")</f>
        <v>934270711</v>
      </c>
      <c r="O132" s="10" t="str">
        <f>IFERROR(IF(MARÍTIMOS[[#This Row],[Booking|AWB|CRT]]="","",MARÍTIMOS[[#This Row],[Booking|AWB|CRT]]),"")</f>
        <v>PER9194106A</v>
      </c>
      <c r="P132" s="2" t="str">
        <f>IFERROR(IF(MARÍTIMOS[[#This Row],[Contenedor]]="","",MARÍTIMOS[[#This Row],[Contenedor]]),"")</f>
        <v>SEKU9367114</v>
      </c>
      <c r="Q132" s="2" t="str">
        <f>IFERROR(IF(MARÍTIMOS[[#This Row],[Puerto de Retiro]]="","",MARÍTIMOS[[#This Row],[Puerto de Retiro]]),"")</f>
        <v>PAITA</v>
      </c>
      <c r="R132" s="2" t="str">
        <f>IFERROR(IF(MARÍTIMOS[[#This Row],[Almacén de Retiro]]="","",MARÍTIMOS[[#This Row],[Almacén de Retiro]]),"")</f>
        <v>DPW</v>
      </c>
      <c r="S132" s="11">
        <f>IFERROR(IF(MARÍTIMOS[[#This Row],[Etapa Retiro - Cita]]="","",MARÍTIMOS[[#This Row],[Etapa Retiro - Cita]]),"")</f>
        <v>46257.625</v>
      </c>
      <c r="T132" s="11">
        <f>IFERROR(IF(MARÍTIMOS[[#This Row],[Etapa Retiro - Llegada]]="","",MARÍTIMOS[[#This Row],[Etapa Retiro - Llegada]]),"")</f>
        <v>46257.618055555555</v>
      </c>
      <c r="U132" s="11">
        <f>IFERROR(IF(MARÍTIMOS[[#This Row],[Etapa Retiro - Ingreso]]="","",MARÍTIMOS[[#This Row],[Etapa Retiro - Ingreso]]),"")</f>
        <v>46257.621527777781</v>
      </c>
      <c r="V132" s="11">
        <f>IFERROR(IF(MARÍTIMOS[[#This Row],[Etapa Retiro - Atención]]="","",MARÍTIMOS[[#This Row],[Etapa Retiro - Atención]]),"")</f>
        <v>46257.630555555559</v>
      </c>
      <c r="W132" s="11">
        <f>IFERROR(IF(MARÍTIMOS[[#This Row],[Etapa Retiro - Atención]]="","",MARÍTIMOS[[#This Row],[Etapa Retiro - Atención]]),"")</f>
        <v>46257.630555555559</v>
      </c>
      <c r="X132" s="11">
        <v>46225.125</v>
      </c>
      <c r="Y132" s="11">
        <f>IFERROR(IF(MARÍTIMOS[[#This Row],[Hora de Posicionamiento]]="","",MARÍTIMOS[[#This Row],[Fecha de Carga]]+MARÍTIMOS[[#This Row],[Hora de Posicionamiento]]),"")</f>
        <v>46257.583333333336</v>
      </c>
      <c r="Z132" s="11" t="str">
        <f>IFERROR(IF(MARÍTIMOS[[#This Row],[Etapa Despacho - Llegada]]="","",MARÍTIMOS[[#This Row],[Etapa Despacho - Llegada]]),"")</f>
        <v/>
      </c>
      <c r="AA132" s="11" t="str">
        <f>IFERROR(IF(MARÍTIMOS[[#This Row],[Etapa Despacho - Registro]]="","",MARÍTIMOS[[#This Row],[Etapa Despacho - Registro]]),"")</f>
        <v/>
      </c>
      <c r="AB132" s="11">
        <f>IFERROR(IF(MARÍTIMOS[[#This Row],[Inspección Externa]]="","",MARÍTIMOS[[#This Row],[Inspección Externa]]),"")</f>
        <v>46258.5</v>
      </c>
      <c r="AC132" s="11" t="str">
        <f>IFERROR(IF(MARÍTIMOS[[#This Row],[Etapa Despacho - Inicio de Carga]]="","",MARÍTIMOS[[#This Row],[Etapa Despacho - Inicio de Carga]]),"")</f>
        <v/>
      </c>
      <c r="AD132" s="11" t="str">
        <f>IFERROR(IF(MARÍTIMOS[[#This Row],[Etapa Despacho - Mitad de Carga]]="","",MARÍTIMOS[[#This Row],[Etapa Despacho - Mitad de Carga]]),"")</f>
        <v/>
      </c>
      <c r="AE132" s="11" t="str">
        <f>IFERROR(IF(MARÍTIMOS[[#This Row],[Etapa Despacho - Fin de Carga]]="","",MARÍTIMOS[[#This Row],[Etapa Despacho - Fin de Carga]]),"")</f>
        <v/>
      </c>
      <c r="AF132" s="2" t="str">
        <f>IFERROR(IF(MARÍTIMOS[[#This Row],[Puerto de Embarque]]="","",MARÍTIMOS[[#This Row],[Puerto de Embarque]]),"")</f>
        <v>Paita</v>
      </c>
      <c r="AG132" s="2" t="str">
        <f>IFERROR(IF(MARÍTIMOS[[#This Row],[Almacén de Ingreso]]="","",MARÍTIMOS[[#This Row],[Almacén de Ingreso]]),"")</f>
        <v>TPE</v>
      </c>
      <c r="AH132" s="11">
        <f>IFERROR(IF(MARÍTIMOS[[#This Row],[Etapa Ingreso - Cita]]="","",MARÍTIMOS[[#This Row],[Etapa Ingreso - Cita]]),"")</f>
        <v>46259.583333333336</v>
      </c>
      <c r="AI132" s="11">
        <f>IFERROR(IF(MARÍTIMOS[[#This Row],[Etapa Ingreso - Llegada]]="","",MARÍTIMOS[[#This Row],[Etapa Ingreso - Llegada]]),"")</f>
        <v>46259.534722222219</v>
      </c>
      <c r="AJ132" s="11">
        <f>IFERROR(IF(MARÍTIMOS[[#This Row],[Etapa Ingreso - Ingeso]]="","",MARÍTIMOS[[#This Row],[Etapa Ingreso - Ingeso]]),"")</f>
        <v>46259.547222222223</v>
      </c>
      <c r="AK132" s="11">
        <f>IFERROR(IF(MARÍTIMOS[[#This Row],[Etapa Ingreso - Atención]]="","",MARÍTIMOS[[#This Row],[Etapa Ingreso - Atención]]),"")</f>
        <v>46259.548611111109</v>
      </c>
      <c r="AL132" s="11">
        <f>IFERROR(IF(MARÍTIMOS[[#This Row],[Etapa Ingreso - Salida]]="","",MARÍTIMOS[[#This Row],[Etapa Ingreso - Salida]]),"")</f>
        <v>46259.556944444441</v>
      </c>
      <c r="AM132" s="2">
        <f>IFERROR(IF(MARÍTIMOS[[#This Row],[FCL]]="","",MARÍTIMOS[[#This Row],[FCL]]),"")</f>
        <v>1</v>
      </c>
      <c r="AN1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2" s="4" t="str" cm="1">
        <f t="array" ref="AO1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2" s="5" t="str">
        <f>IFERROR(OLDBD[[#This Row],[Llegada a packing]]-OLDBD[[#This Row],[Inicio de Ruta]],"")</f>
        <v/>
      </c>
      <c r="AQ132" s="6">
        <f>IFERROR(OLDBD[[#This Row],[Inicio de Ruta]]-OLDBD[[#This Row],[Salida de almacén de retiro]],"")</f>
        <v>-32.505555555559113</v>
      </c>
      <c r="AR1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2" s="8" t="str" cm="1">
        <f t="array" ref="AS1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2" s="9" t="str">
        <f>IFERROR(OLDBD[[#This Row],[Ingreso Packing]]-OLDBD[[#This Row],[Registro en Packing]],"")</f>
        <v/>
      </c>
      <c r="AV132" s="9" t="str">
        <f>IFERROR(OLDBD[[#This Row],[Ingreso Packing]]-OLDBD[[#This Row],[Llegada a packing]],"")</f>
        <v/>
      </c>
      <c r="AW1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2" s="5" t="str">
        <f>IFERROR(OLDBD[[#This Row],[Llegada Almacén de Ingreso]]-OLDBD[[#This Row],[Salida Packing]],"")</f>
        <v/>
      </c>
      <c r="AY132" s="4" t="str" cm="1">
        <f t="array" ref="AY1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32" s="43" t="s">
        <v>173</v>
      </c>
      <c r="BB132" s="47" t="str">
        <f>IFERROR(IF(MARÍTIMOS[[#This Row],[Estatus]]="","",MARÍTIMOS[[#This Row],[Estatus]]),"")</f>
        <v>Confirmado</v>
      </c>
      <c r="BC132" s="43"/>
      <c r="BD132" s="46">
        <f>IFERROR(OLDBD[[#This Row],[Salida de almacén de retiro]]-OLDBD[[#This Row],[Ingreso Almacén de retiro]],"")</f>
        <v>9.0277777781011537E-3</v>
      </c>
      <c r="BE132" s="46" t="str">
        <f>IFERROR(OLDBD[[#This Row],[Fin de Carga]]-OLDBD[[#This Row],[Inicio de Carga]],"")</f>
        <v/>
      </c>
    </row>
    <row r="133" spans="1:57" customFormat="1" hidden="1">
      <c r="A133" s="1"/>
      <c r="B133" s="1">
        <f>IFERROR(IF(MARÍTIMOS[[#This Row],[PP]]="","",MARÍTIMOS[[#This Row],[PP]]),"")</f>
        <v>34</v>
      </c>
      <c r="C133" s="1" t="str">
        <f>IFERROR(IF(MARÍTIMOS[[#This Row],[Sede]]="","",MARÍTIMOS[[#This Row],[Sede]]),"")</f>
        <v>Chao</v>
      </c>
      <c r="D133" s="1" t="str">
        <f>IFERROR(IF(MARÍTIMOS[[#This Row],[Instruction]]="","",MARÍTIMOS[[#This Row],[Instruction]]),"")</f>
        <v>RH-0560</v>
      </c>
      <c r="E133" s="1"/>
      <c r="F133" s="2" t="str">
        <f>IFERROR(IF(MARÍTIMOS[[#This Row],[Transportista]]="","",MARÍTIMOS[[#This Row],[Transportista]]),"")</f>
        <v>Expert Transport</v>
      </c>
      <c r="G133" s="2" t="str">
        <f>IFERROR(IF(MARÍTIMOS[[#This Row],[Tercero]]="","",MARÍTIMOS[[#This Row],[Tercero]]),"")</f>
        <v>NO</v>
      </c>
      <c r="H133" s="2" t="str">
        <f>IFERROR(IF(MARÍTIMOS[[#This Row],[Razón Social]]="","",MARÍTIMOS[[#This Row],[Razón Social]]),"")</f>
        <v xml:space="preserve">EXPERT TRANSPORT SAC </v>
      </c>
      <c r="I133" s="2">
        <f>IFERROR(IF(MARÍTIMOS[[#This Row],[RUC]]="","",MARÍTIMOS[[#This Row],[RUC]]),"")</f>
        <v>20544424751</v>
      </c>
      <c r="J133" s="2" t="str">
        <f>IFERROR(IF(MARÍTIMOS[[#This Row],[Placa Tracto]]="","",MARÍTIMOS[[#This Row],[Placa Tracto]]),"")</f>
        <v>V4N706</v>
      </c>
      <c r="K133" s="2" t="str">
        <f>IFERROR(IF(MARÍTIMOS[[#This Row],[Placa Carreta]]="","",MARÍTIMOS[[#This Row],[Placa Carreta]]),"")</f>
        <v>TJD977</v>
      </c>
      <c r="L133" s="44" t="str">
        <f>IFERROR(IF(MARÍTIMOS[[#This Row],[Conductor]]="","",MARÍTIMOS[[#This Row],[Conductor]]),"")</f>
        <v>MARIO WILMER AVENDAÑO ACHA</v>
      </c>
      <c r="M133" s="2" t="str">
        <f>IFERROR(IF(MARÍTIMOS[[#This Row],[Licencia]]="","",MARÍTIMOS[[#This Row],[Licencia]]),"")</f>
        <v>B46445299</v>
      </c>
      <c r="N133" s="2">
        <f>IFERROR(IF(MARÍTIMOS[[#This Row],[Número de Contacto]]="","",MARÍTIMOS[[#This Row],[Número de Contacto]]),"")</f>
        <v>946500525</v>
      </c>
      <c r="O133" s="10" t="str">
        <f>IFERROR(IF(MARÍTIMOS[[#This Row],[Booking|AWB|CRT]]="","",MARÍTIMOS[[#This Row],[Booking|AWB|CRT]]),"")</f>
        <v>BN81743</v>
      </c>
      <c r="P133" s="2" t="str">
        <f>IFERROR(IF(MARÍTIMOS[[#This Row],[Contenedor]]="","",MARÍTIMOS[[#This Row],[Contenedor]]),"")</f>
        <v>SEKU9262710</v>
      </c>
      <c r="Q133" s="2" t="str">
        <f>IFERROR(IF(MARÍTIMOS[[#This Row],[Puerto de Retiro]]="","",MARÍTIMOS[[#This Row],[Puerto de Retiro]]),"")</f>
        <v>PAITA</v>
      </c>
      <c r="R133" s="2" t="str">
        <f>IFERROR(IF(MARÍTIMOS[[#This Row],[Almacén de Retiro]]="","",MARÍTIMOS[[#This Row],[Almacén de Retiro]]),"")</f>
        <v>DPW</v>
      </c>
      <c r="S133" s="11">
        <f>IFERROR(IF(MARÍTIMOS[[#This Row],[Etapa Retiro - Cita]]="","",MARÍTIMOS[[#This Row],[Etapa Retiro - Cita]]),"")</f>
        <v>46257.625</v>
      </c>
      <c r="T133" s="11">
        <f>IFERROR(IF(MARÍTIMOS[[#This Row],[Etapa Retiro - Llegada]]="","",MARÍTIMOS[[#This Row],[Etapa Retiro - Llegada]]),"")</f>
        <v>46257.621527777781</v>
      </c>
      <c r="U133" s="11">
        <f>IFERROR(IF(MARÍTIMOS[[#This Row],[Etapa Retiro - Ingreso]]="","",MARÍTIMOS[[#This Row],[Etapa Retiro - Ingreso]]),"")</f>
        <v>46257.625</v>
      </c>
      <c r="V133" s="11">
        <f>IFERROR(IF(MARÍTIMOS[[#This Row],[Etapa Retiro - Atención]]="","",MARÍTIMOS[[#This Row],[Etapa Retiro - Atención]]),"")</f>
        <v>46257.633333333331</v>
      </c>
      <c r="W133" s="11">
        <f>IFERROR(IF(MARÍTIMOS[[#This Row],[Etapa Retiro - Atención]]="","",MARÍTIMOS[[#This Row],[Etapa Retiro - Atención]]),"")</f>
        <v>46257.633333333331</v>
      </c>
      <c r="X133" s="11">
        <f>IFERROR(IF(MARÍTIMOS[[#This Row],[Etapa Retiro - Inicio de Ruta]]="","",MARÍTIMOS[[#This Row],[Etapa Retiro - Inicio de Ruta]]),"")</f>
        <v>46257.722222222219</v>
      </c>
      <c r="Y133" s="11">
        <f>IFERROR(IF(MARÍTIMOS[[#This Row],[Hora de Posicionamiento]]="","",MARÍTIMOS[[#This Row],[Fecha de Carga]]+MARÍTIMOS[[#This Row],[Hora de Posicionamiento]]),"")</f>
        <v>46257.583333333336</v>
      </c>
      <c r="Z133" s="11" t="str">
        <f>IFERROR(IF(MARÍTIMOS[[#This Row],[Etapa Despacho - Llegada]]="","",MARÍTIMOS[[#This Row],[Etapa Despacho - Llegada]]),"")</f>
        <v/>
      </c>
      <c r="AA133" s="11" t="str">
        <f>IFERROR(IF(MARÍTIMOS[[#This Row],[Etapa Despacho - Registro]]="","",MARÍTIMOS[[#This Row],[Etapa Despacho - Registro]]),"")</f>
        <v/>
      </c>
      <c r="AB133" s="11">
        <f>IFERROR(IF(MARÍTIMOS[[#This Row],[Inspección Externa]]="","",MARÍTIMOS[[#This Row],[Inspección Externa]]),"")</f>
        <v>46258.513888888891</v>
      </c>
      <c r="AC133" s="11" t="str">
        <f>IFERROR(IF(MARÍTIMOS[[#This Row],[Etapa Despacho - Inicio de Carga]]="","",MARÍTIMOS[[#This Row],[Etapa Despacho - Inicio de Carga]]),"")</f>
        <v/>
      </c>
      <c r="AD133" s="11" t="str">
        <f>IFERROR(IF(MARÍTIMOS[[#This Row],[Etapa Despacho - Mitad de Carga]]="","",MARÍTIMOS[[#This Row],[Etapa Despacho - Mitad de Carga]]),"")</f>
        <v/>
      </c>
      <c r="AE133" s="11" t="str">
        <f>IFERROR(IF(MARÍTIMOS[[#This Row],[Etapa Despacho - Fin de Carga]]="","",MARÍTIMOS[[#This Row],[Etapa Despacho - Fin de Carga]]),"")</f>
        <v/>
      </c>
      <c r="AF133" s="2" t="str">
        <f>IFERROR(IF(MARÍTIMOS[[#This Row],[Puerto de Embarque]]="","",MARÍTIMOS[[#This Row],[Puerto de Embarque]]),"")</f>
        <v>Paita</v>
      </c>
      <c r="AG133" s="2" t="str">
        <f>IFERROR(IF(MARÍTIMOS[[#This Row],[Almacén de Ingreso]]="","",MARÍTIMOS[[#This Row],[Almacén de Ingreso]]),"")</f>
        <v>TPE</v>
      </c>
      <c r="AH133" s="11">
        <f>IFERROR(IF(MARÍTIMOS[[#This Row],[Etapa Ingreso - Cita]]="","",MARÍTIMOS[[#This Row],[Etapa Ingreso - Cita]]),"")</f>
        <v>46259.583333333336</v>
      </c>
      <c r="AI133" s="11">
        <f>IFERROR(IF(MARÍTIMOS[[#This Row],[Etapa Ingreso - Llegada]]="","",MARÍTIMOS[[#This Row],[Etapa Ingreso - Llegada]]),"")</f>
        <v>46259.555555555555</v>
      </c>
      <c r="AJ133" s="11">
        <f>IFERROR(IF(MARÍTIMOS[[#This Row],[Etapa Ingreso - Ingeso]]="","",MARÍTIMOS[[#This Row],[Etapa Ingreso - Ingeso]]),"")</f>
        <v>46259.558333333334</v>
      </c>
      <c r="AK133" s="11">
        <f>IFERROR(IF(MARÍTIMOS[[#This Row],[Etapa Ingreso - Atención]]="","",MARÍTIMOS[[#This Row],[Etapa Ingreso - Atención]]),"")</f>
        <v>46259.561111111114</v>
      </c>
      <c r="AL133" s="11">
        <f>IFERROR(IF(MARÍTIMOS[[#This Row],[Etapa Ingreso - Salida]]="","",MARÍTIMOS[[#This Row],[Etapa Ingreso - Salida]]),"")</f>
        <v>46259.568055555559</v>
      </c>
      <c r="AM133" s="2">
        <f>IFERROR(IF(MARÍTIMOS[[#This Row],[FCL]]="","",MARÍTIMOS[[#This Row],[FCL]]),"")</f>
        <v>1</v>
      </c>
      <c r="AN1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3" s="4" t="str" cm="1">
        <f t="array" ref="AO1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3" s="5" t="str">
        <f>IFERROR(OLDBD[[#This Row],[Llegada a packing]]-OLDBD[[#This Row],[Inicio de Ruta]],"")</f>
        <v/>
      </c>
      <c r="AQ133" s="6">
        <f>IFERROR(OLDBD[[#This Row],[Inicio de Ruta]]-OLDBD[[#This Row],[Salida de almacén de retiro]],"")</f>
        <v>8.8888888887595385E-2</v>
      </c>
      <c r="AR1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3" s="8" t="str" cm="1">
        <f t="array" ref="AS1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3" s="9" t="str">
        <f>IFERROR(OLDBD[[#This Row],[Ingreso Packing]]-OLDBD[[#This Row],[Registro en Packing]],"")</f>
        <v/>
      </c>
      <c r="AV133" s="9" t="str">
        <f>IFERROR(OLDBD[[#This Row],[Ingreso Packing]]-OLDBD[[#This Row],[Llegada a packing]],"")</f>
        <v/>
      </c>
      <c r="AW1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3" s="5" t="str">
        <f>IFERROR(OLDBD[[#This Row],[Llegada Almacén de Ingreso]]-OLDBD[[#This Row],[Salida Packing]],"")</f>
        <v/>
      </c>
      <c r="AY133" s="4" t="str" cm="1">
        <f t="array" ref="AY1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33" s="43" t="s">
        <v>173</v>
      </c>
      <c r="BB133" s="47" t="str">
        <f>IFERROR(IF(MARÍTIMOS[[#This Row],[Estatus]]="","",MARÍTIMOS[[#This Row],[Estatus]]),"")</f>
        <v>Confirmado</v>
      </c>
      <c r="BC133" s="43"/>
      <c r="BD133" s="46">
        <f>IFERROR(OLDBD[[#This Row],[Salida de almacén de retiro]]-OLDBD[[#This Row],[Ingreso Almacén de retiro]],"")</f>
        <v>8.333333331393078E-3</v>
      </c>
      <c r="BE133" s="46" t="str">
        <f>IFERROR(OLDBD[[#This Row],[Fin de Carga]]-OLDBD[[#This Row],[Inicio de Carga]],"")</f>
        <v/>
      </c>
    </row>
    <row r="134" spans="1:57" customFormat="1" hidden="1">
      <c r="A134" s="1"/>
      <c r="B134" s="1">
        <f>IFERROR(IF(MARÍTIMOS[[#This Row],[PP]]="","",MARÍTIMOS[[#This Row],[PP]]),"")</f>
        <v>34</v>
      </c>
      <c r="C134" s="1" t="str">
        <f>IFERROR(IF(MARÍTIMOS[[#This Row],[Sede]]="","",MARÍTIMOS[[#This Row],[Sede]]),"")</f>
        <v>Chao</v>
      </c>
      <c r="D134" s="1" t="str">
        <f>IFERROR(IF(MARÍTIMOS[[#This Row],[Instruction]]="","",MARÍTIMOS[[#This Row],[Instruction]]),"")</f>
        <v>RH-0568</v>
      </c>
      <c r="E134" s="1"/>
      <c r="F134" s="2" t="str">
        <f>IFERROR(IF(MARÍTIMOS[[#This Row],[Transportista]]="","",MARÍTIMOS[[#This Row],[Transportista]]),"")</f>
        <v>Expert Transport</v>
      </c>
      <c r="G134" s="2" t="str">
        <f>IFERROR(IF(MARÍTIMOS[[#This Row],[Tercero]]="","",MARÍTIMOS[[#This Row],[Tercero]]),"")</f>
        <v>NO</v>
      </c>
      <c r="H134" s="2" t="str">
        <f>IFERROR(IF(MARÍTIMOS[[#This Row],[Razón Social]]="","",MARÍTIMOS[[#This Row],[Razón Social]]),"")</f>
        <v xml:space="preserve">EXPERT TRANSPORT SAC </v>
      </c>
      <c r="I134" s="2">
        <f>IFERROR(IF(MARÍTIMOS[[#This Row],[RUC]]="","",MARÍTIMOS[[#This Row],[RUC]]),"")</f>
        <v>20544424751</v>
      </c>
      <c r="J134" s="2" t="str">
        <f>IFERROR(IF(MARÍTIMOS[[#This Row],[Placa Tracto]]="","",MARÍTIMOS[[#This Row],[Placa Tracto]]),"")</f>
        <v>C5Z734</v>
      </c>
      <c r="K134" s="2" t="str">
        <f>IFERROR(IF(MARÍTIMOS[[#This Row],[Placa Carreta]]="","",MARÍTIMOS[[#This Row],[Placa Carreta]]),"")</f>
        <v>TJE975</v>
      </c>
      <c r="L134" s="44" t="str">
        <f>IFERROR(IF(MARÍTIMOS[[#This Row],[Conductor]]="","",MARÍTIMOS[[#This Row],[Conductor]]),"")</f>
        <v>LUIS CARLOS LAMAS RUIZ</v>
      </c>
      <c r="M134" s="2" t="str">
        <f>IFERROR(IF(MARÍTIMOS[[#This Row],[Licencia]]="","",MARÍTIMOS[[#This Row],[Licencia]]),"")</f>
        <v>B009531613</v>
      </c>
      <c r="N134" s="2">
        <f>IFERROR(IF(MARÍTIMOS[[#This Row],[Número de Contacto]]="","",MARÍTIMOS[[#This Row],[Número de Contacto]]),"")</f>
        <v>986078320</v>
      </c>
      <c r="O134" s="10" t="str">
        <f>IFERROR(IF(MARÍTIMOS[[#This Row],[Booking|AWB|CRT]]="","",MARÍTIMOS[[#This Row],[Booking|AWB|CRT]]),"")</f>
        <v>PER9193557A</v>
      </c>
      <c r="P134" s="2" t="str">
        <f>IFERROR(IF(MARÍTIMOS[[#This Row],[Contenedor]]="","",MARÍTIMOS[[#This Row],[Contenedor]]),"")</f>
        <v>SEKU9421072</v>
      </c>
      <c r="Q134" s="2" t="str">
        <f>IFERROR(IF(MARÍTIMOS[[#This Row],[Puerto de Retiro]]="","",MARÍTIMOS[[#This Row],[Puerto de Retiro]]),"")</f>
        <v>PAITA</v>
      </c>
      <c r="R134" s="2" t="str">
        <f>IFERROR(IF(MARÍTIMOS[[#This Row],[Almacén de Retiro]]="","",MARÍTIMOS[[#This Row],[Almacén de Retiro]]),"")</f>
        <v>DPW</v>
      </c>
      <c r="S134" s="11">
        <f>IFERROR(IF(MARÍTIMOS[[#This Row],[Etapa Retiro - Cita]]="","",MARÍTIMOS[[#This Row],[Etapa Retiro - Cita]]),"")</f>
        <v>46257.625</v>
      </c>
      <c r="T134" s="11">
        <f>IFERROR(IF(MARÍTIMOS[[#This Row],[Etapa Retiro - Llegada]]="","",MARÍTIMOS[[#This Row],[Etapa Retiro - Llegada]]),"")</f>
        <v>46257.672222222223</v>
      </c>
      <c r="U134" s="11">
        <f>IFERROR(IF(MARÍTIMOS[[#This Row],[Etapa Retiro - Ingreso]]="","",MARÍTIMOS[[#This Row],[Etapa Retiro - Ingreso]]),"")</f>
        <v>46257.678472222222</v>
      </c>
      <c r="V134" s="11">
        <f>IFERROR(IF(MARÍTIMOS[[#This Row],[Etapa Retiro - Atención]]="","",MARÍTIMOS[[#This Row],[Etapa Retiro - Atención]]),"")</f>
        <v>46257.683333333334</v>
      </c>
      <c r="W134" s="11">
        <f>IFERROR(IF(MARÍTIMOS[[#This Row],[Etapa Retiro - Atención]]="","",MARÍTIMOS[[#This Row],[Etapa Retiro - Atención]]),"")</f>
        <v>46257.683333333334</v>
      </c>
      <c r="X134" s="11">
        <f>IFERROR(IF(MARÍTIMOS[[#This Row],[Etapa Retiro - Inicio de Ruta]]="","",MARÍTIMOS[[#This Row],[Etapa Retiro - Inicio de Ruta]]),"")</f>
        <v>46257.736805555556</v>
      </c>
      <c r="Y134" s="11">
        <f>IFERROR(IF(MARÍTIMOS[[#This Row],[Hora de Posicionamiento]]="","",MARÍTIMOS[[#This Row],[Fecha de Carga]]+MARÍTIMOS[[#This Row],[Hora de Posicionamiento]]),"")</f>
        <v>46257.583333333336</v>
      </c>
      <c r="Z134" s="11" t="str">
        <f>IFERROR(IF(MARÍTIMOS[[#This Row],[Etapa Despacho - Llegada]]="","",MARÍTIMOS[[#This Row],[Etapa Despacho - Llegada]]),"")</f>
        <v/>
      </c>
      <c r="AA134" s="11" t="str">
        <f>IFERROR(IF(MARÍTIMOS[[#This Row],[Etapa Despacho - Registro]]="","",MARÍTIMOS[[#This Row],[Etapa Despacho - Registro]]),"")</f>
        <v/>
      </c>
      <c r="AB134" s="11">
        <f>IFERROR(IF(MARÍTIMOS[[#This Row],[Inspección Externa]]="","",MARÍTIMOS[[#This Row],[Inspección Externa]]),"")</f>
        <v>46258.513888888891</v>
      </c>
      <c r="AC134" s="11" t="str">
        <f>IFERROR(IF(MARÍTIMOS[[#This Row],[Etapa Despacho - Inicio de Carga]]="","",MARÍTIMOS[[#This Row],[Etapa Despacho - Inicio de Carga]]),"")</f>
        <v/>
      </c>
      <c r="AD134" s="11" t="str">
        <f>IFERROR(IF(MARÍTIMOS[[#This Row],[Etapa Despacho - Mitad de Carga]]="","",MARÍTIMOS[[#This Row],[Etapa Despacho - Mitad de Carga]]),"")</f>
        <v/>
      </c>
      <c r="AE134" s="11" t="str">
        <f>IFERROR(IF(MARÍTIMOS[[#This Row],[Etapa Despacho - Fin de Carga]]="","",MARÍTIMOS[[#This Row],[Etapa Despacho - Fin de Carga]]),"")</f>
        <v/>
      </c>
      <c r="AF134" s="2" t="str">
        <f>IFERROR(IF(MARÍTIMOS[[#This Row],[Puerto de Embarque]]="","",MARÍTIMOS[[#This Row],[Puerto de Embarque]]),"")</f>
        <v>Paita</v>
      </c>
      <c r="AG134" s="2" t="str">
        <f>IFERROR(IF(MARÍTIMOS[[#This Row],[Almacén de Ingreso]]="","",MARÍTIMOS[[#This Row],[Almacén de Ingreso]]),"")</f>
        <v>TPE</v>
      </c>
      <c r="AH134" s="11">
        <f>IFERROR(IF(MARÍTIMOS[[#This Row],[Etapa Ingreso - Cita]]="","",MARÍTIMOS[[#This Row],[Etapa Ingreso - Cita]]),"")</f>
        <v>46259.5</v>
      </c>
      <c r="AI134" s="11">
        <f>IFERROR(IF(MARÍTIMOS[[#This Row],[Etapa Ingreso - Llegada]]="","",MARÍTIMOS[[#This Row],[Etapa Ingreso - Llegada]]),"")</f>
        <v>46259.486111111109</v>
      </c>
      <c r="AJ134" s="11">
        <f>IFERROR(IF(MARÍTIMOS[[#This Row],[Etapa Ingreso - Ingeso]]="","",MARÍTIMOS[[#This Row],[Etapa Ingreso - Ingeso]]),"")</f>
        <v>46259.493055555555</v>
      </c>
      <c r="AK134" s="11">
        <f>IFERROR(IF(MARÍTIMOS[[#This Row],[Etapa Ingreso - Atención]]="","",MARÍTIMOS[[#This Row],[Etapa Ingreso - Atención]]),"")</f>
        <v>46259.494444444441</v>
      </c>
      <c r="AL134" s="11">
        <f>IFERROR(IF(MARÍTIMOS[[#This Row],[Etapa Ingreso - Salida]]="","",MARÍTIMOS[[#This Row],[Etapa Ingreso - Salida]]),"")</f>
        <v>46259.499305555553</v>
      </c>
      <c r="AM134" s="2">
        <f>IFERROR(IF(MARÍTIMOS[[#This Row],[FCL]]="","",MARÍTIMOS[[#This Row],[FCL]]),"")</f>
        <v>1</v>
      </c>
      <c r="AN1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4" s="4" t="str" cm="1">
        <f t="array" ref="AO1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4" s="5" t="str">
        <f>IFERROR(OLDBD[[#This Row],[Llegada a packing]]-OLDBD[[#This Row],[Inicio de Ruta]],"")</f>
        <v/>
      </c>
      <c r="AQ134" s="6">
        <f>IFERROR(OLDBD[[#This Row],[Inicio de Ruta]]-OLDBD[[#This Row],[Salida de almacén de retiro]],"")</f>
        <v>5.3472222221898846E-2</v>
      </c>
      <c r="AR1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4" s="8" t="str" cm="1">
        <f t="array" ref="AS1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4" s="9" t="str">
        <f>IFERROR(OLDBD[[#This Row],[Ingreso Packing]]-OLDBD[[#This Row],[Registro en Packing]],"")</f>
        <v/>
      </c>
      <c r="AV134" s="9" t="str">
        <f>IFERROR(OLDBD[[#This Row],[Ingreso Packing]]-OLDBD[[#This Row],[Llegada a packing]],"")</f>
        <v/>
      </c>
      <c r="AW1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4" s="5" t="str">
        <f>IFERROR(OLDBD[[#This Row],[Llegada Almacén de Ingreso]]-OLDBD[[#This Row],[Salida Packing]],"")</f>
        <v/>
      </c>
      <c r="AY134" s="4" t="str" cm="1">
        <f t="array" ref="AY1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34" s="43" t="s">
        <v>173</v>
      </c>
      <c r="BB134" s="47" t="str">
        <f>IFERROR(IF(MARÍTIMOS[[#This Row],[Estatus]]="","",MARÍTIMOS[[#This Row],[Estatus]]),"")</f>
        <v>Confirmado</v>
      </c>
      <c r="BC134" s="43"/>
      <c r="BD134" s="46">
        <f>IFERROR(OLDBD[[#This Row],[Salida de almacén de retiro]]-OLDBD[[#This Row],[Ingreso Almacén de retiro]],"")</f>
        <v>4.8611111124046147E-3</v>
      </c>
      <c r="BE134" s="46" t="str">
        <f>IFERROR(OLDBD[[#This Row],[Fin de Carga]]-OLDBD[[#This Row],[Inicio de Carga]],"")</f>
        <v/>
      </c>
    </row>
    <row r="135" spans="1:57" customFormat="1" hidden="1">
      <c r="A135" s="1"/>
      <c r="B135" s="1">
        <f>IFERROR(IF(MARÍTIMOS[[#This Row],[PP]]="","",MARÍTIMOS[[#This Row],[PP]]),"")</f>
        <v>35</v>
      </c>
      <c r="C135" s="1" t="str">
        <f>IFERROR(IF(MARÍTIMOS[[#This Row],[Sede]]="","",MARÍTIMOS[[#This Row],[Sede]]),"")</f>
        <v>Chao</v>
      </c>
      <c r="D135" s="1" t="str">
        <f>IFERROR(IF(MARÍTIMOS[[#This Row],[Instruction]]="","",MARÍTIMOS[[#This Row],[Instruction]]),"")</f>
        <v>RH-0602</v>
      </c>
      <c r="E135" s="1"/>
      <c r="F135" s="2" t="str">
        <f>IFERROR(IF(MARÍTIMOS[[#This Row],[Transportista]]="","",MARÍTIMOS[[#This Row],[Transportista]]),"")</f>
        <v>Expert Transport</v>
      </c>
      <c r="G135" s="2" t="str">
        <f>IFERROR(IF(MARÍTIMOS[[#This Row],[Tercero]]="","",MARÍTIMOS[[#This Row],[Tercero]]),"")</f>
        <v>NO</v>
      </c>
      <c r="H135" s="2" t="str">
        <f>IFERROR(IF(MARÍTIMOS[[#This Row],[Razón Social]]="","",MARÍTIMOS[[#This Row],[Razón Social]]),"")</f>
        <v xml:space="preserve">EXPERT TRANSPORT SAC </v>
      </c>
      <c r="I135" s="2">
        <f>IFERROR(IF(MARÍTIMOS[[#This Row],[RUC]]="","",MARÍTIMOS[[#This Row],[RUC]]),"")</f>
        <v>20544424751</v>
      </c>
      <c r="J135" s="2" t="str">
        <f>IFERROR(IF(MARÍTIMOS[[#This Row],[Placa Tracto]]="","",MARÍTIMOS[[#This Row],[Placa Tracto]]),"")</f>
        <v>C5Z734</v>
      </c>
      <c r="K135" s="2" t="str">
        <f>IFERROR(IF(MARÍTIMOS[[#This Row],[Placa Carreta]]="","",MARÍTIMOS[[#This Row],[Placa Carreta]]),"")</f>
        <v>TJE975</v>
      </c>
      <c r="L135" s="44" t="str">
        <f>IFERROR(IF(MARÍTIMOS[[#This Row],[Conductor]]="","",MARÍTIMOS[[#This Row],[Conductor]]),"")</f>
        <v>LUIS CARLOS LAMAS RUIZ</v>
      </c>
      <c r="M135" s="2" t="str">
        <f>IFERROR(IF(MARÍTIMOS[[#This Row],[Licencia]]="","",MARÍTIMOS[[#This Row],[Licencia]]),"")</f>
        <v>B009531613</v>
      </c>
      <c r="N135" s="2">
        <f>IFERROR(IF(MARÍTIMOS[[#This Row],[Número de Contacto]]="","",MARÍTIMOS[[#This Row],[Número de Contacto]]),"")</f>
        <v>986078320</v>
      </c>
      <c r="O135" s="10" t="str">
        <f>IFERROR(IF(MARÍTIMOS[[#This Row],[Booking|AWB|CRT]]="","",MARÍTIMOS[[#This Row],[Booking|AWB|CRT]]),"")</f>
        <v>MBM250068050</v>
      </c>
      <c r="P135" s="2" t="str">
        <f>IFERROR(IF(MARÍTIMOS[[#This Row],[Contenedor]]="","",MARÍTIMOS[[#This Row],[Contenedor]]),"")</f>
        <v>BMOU9652681</v>
      </c>
      <c r="Q135" s="2" t="str">
        <f>IFERROR(IF(MARÍTIMOS[[#This Row],[Puerto de Retiro]]="","",MARÍTIMOS[[#This Row],[Puerto de Retiro]]),"")</f>
        <v>PAITA</v>
      </c>
      <c r="R135" s="2" t="str">
        <f>IFERROR(IF(MARÍTIMOS[[#This Row],[Almacén de Retiro]]="","",MARÍTIMOS[[#This Row],[Almacén de Retiro]]),"")</f>
        <v>MACROMAR</v>
      </c>
      <c r="S135" s="11">
        <f>IFERROR(IF(MARÍTIMOS[[#This Row],[Etapa Retiro - Cita]]="","",MARÍTIMOS[[#This Row],[Etapa Retiro - Cita]]),"")</f>
        <v>46260.875</v>
      </c>
      <c r="T135" s="11">
        <f>IFERROR(IF(MARÍTIMOS[[#This Row],[Etapa Retiro - Llegada]]="","",MARÍTIMOS[[#This Row],[Etapa Retiro - Llegada]]),"")</f>
        <v>46260.87222222222</v>
      </c>
      <c r="U135" s="11">
        <f>IFERROR(IF(MARÍTIMOS[[#This Row],[Etapa Retiro - Ingreso]]="","",MARÍTIMOS[[#This Row],[Etapa Retiro - Ingreso]]),"")</f>
        <v>46260.9</v>
      </c>
      <c r="V135" s="11">
        <f>IFERROR(IF(MARÍTIMOS[[#This Row],[Etapa Retiro - Atención]]="","",MARÍTIMOS[[#This Row],[Etapa Retiro - Atención]]),"")</f>
        <v>46260.905555555553</v>
      </c>
      <c r="W135" s="11">
        <f>IFERROR(IF(MARÍTIMOS[[#This Row],[Etapa Retiro - Atención]]="","",MARÍTIMOS[[#This Row],[Etapa Retiro - Atención]]),"")</f>
        <v>46260.905555555553</v>
      </c>
      <c r="X135" s="11">
        <f>IFERROR(IF(MARÍTIMOS[[#This Row],[Etapa Retiro - Inicio de Ruta]]="","",MARÍTIMOS[[#This Row],[Etapa Retiro - Inicio de Ruta]]),"")</f>
        <v>46261.706944444442</v>
      </c>
      <c r="Y135" s="11">
        <f>IFERROR(IF(MARÍTIMOS[[#This Row],[Hora de Posicionamiento]]="","",MARÍTIMOS[[#This Row],[Fecha de Carga]]+MARÍTIMOS[[#This Row],[Hora de Posicionamiento]]),"")</f>
        <v>46261.583333333336</v>
      </c>
      <c r="Z135" s="11" t="str">
        <f>IFERROR(IF(MARÍTIMOS[[#This Row],[Etapa Despacho - Llegada]]="","",MARÍTIMOS[[#This Row],[Etapa Despacho - Llegada]]),"")</f>
        <v/>
      </c>
      <c r="AA135" s="11" t="str">
        <f>IFERROR(IF(MARÍTIMOS[[#This Row],[Etapa Despacho - Registro]]="","",MARÍTIMOS[[#This Row],[Etapa Despacho - Registro]]),"")</f>
        <v/>
      </c>
      <c r="AB135" s="11">
        <f>IFERROR(IF(MARÍTIMOS[[#This Row],[Inspección Externa]]="","",MARÍTIMOS[[#This Row],[Inspección Externa]]),"")</f>
        <v>46262.42083333333</v>
      </c>
      <c r="AC135" s="11" t="str">
        <f>IFERROR(IF(MARÍTIMOS[[#This Row],[Etapa Despacho - Inicio de Carga]]="","",MARÍTIMOS[[#This Row],[Etapa Despacho - Inicio de Carga]]),"")</f>
        <v/>
      </c>
      <c r="AD135" s="11" t="str">
        <f>IFERROR(IF(MARÍTIMOS[[#This Row],[Etapa Despacho - Mitad de Carga]]="","",MARÍTIMOS[[#This Row],[Etapa Despacho - Mitad de Carga]]),"")</f>
        <v/>
      </c>
      <c r="AE135" s="11" t="str">
        <f>IFERROR(IF(MARÍTIMOS[[#This Row],[Etapa Despacho - Fin de Carga]]="","",MARÍTIMOS[[#This Row],[Etapa Despacho - Fin de Carga]]),"")</f>
        <v/>
      </c>
      <c r="AF135" s="2" t="str">
        <f>IFERROR(IF(MARÍTIMOS[[#This Row],[Puerto de Embarque]]="","",MARÍTIMOS[[#This Row],[Puerto de Embarque]]),"")</f>
        <v>Paita</v>
      </c>
      <c r="AG135" s="2" t="str">
        <f>IFERROR(IF(MARÍTIMOS[[#This Row],[Almacén de Ingreso]]="","",MARÍTIMOS[[#This Row],[Almacén de Ingreso]]),"")</f>
        <v>TPE</v>
      </c>
      <c r="AH135" s="11">
        <f>IFERROR(IF(MARÍTIMOS[[#This Row],[Etapa Ingreso - Cita]]="","",MARÍTIMOS[[#This Row],[Etapa Ingreso - Cita]]),"")</f>
        <v>46263.5</v>
      </c>
      <c r="AI135" s="11">
        <f>IFERROR(IF(MARÍTIMOS[[#This Row],[Etapa Ingreso - Llegada]]="","",MARÍTIMOS[[#This Row],[Etapa Ingreso - Llegada]]),"")</f>
        <v>46263.443749999999</v>
      </c>
      <c r="AJ135" s="11">
        <f>IFERROR(IF(MARÍTIMOS[[#This Row],[Etapa Ingreso - Ingeso]]="","",MARÍTIMOS[[#This Row],[Etapa Ingreso - Ingeso]]),"")</f>
        <v>46263.445833333331</v>
      </c>
      <c r="AK135" s="11">
        <f>IFERROR(IF(MARÍTIMOS[[#This Row],[Etapa Ingreso - Atención]]="","",MARÍTIMOS[[#This Row],[Etapa Ingreso - Atención]]),"")</f>
        <v>46263.447916666664</v>
      </c>
      <c r="AL135" s="11">
        <f>IFERROR(IF(MARÍTIMOS[[#This Row],[Etapa Ingreso - Salida]]="","",MARÍTIMOS[[#This Row],[Etapa Ingreso - Salida]]),"")</f>
        <v>46263.470833333333</v>
      </c>
      <c r="AM135" s="2">
        <f>IFERROR(IF(MARÍTIMOS[[#This Row],[FCL]]="","",MARÍTIMOS[[#This Row],[FCL]]),"")</f>
        <v>1</v>
      </c>
      <c r="AN1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5" s="4" t="str" cm="1">
        <f t="array" ref="AO1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5" s="5" t="str">
        <f>IFERROR(OLDBD[[#This Row],[Llegada a packing]]-OLDBD[[#This Row],[Inicio de Ruta]],"")</f>
        <v/>
      </c>
      <c r="AQ135" s="6">
        <f>IFERROR(OLDBD[[#This Row],[Inicio de Ruta]]-OLDBD[[#This Row],[Salida de almacén de retiro]],"")</f>
        <v>0.80138888888905058</v>
      </c>
      <c r="AR1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5" s="8" t="str" cm="1">
        <f t="array" ref="AS1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5" s="9" t="str">
        <f>IFERROR(OLDBD[[#This Row],[Ingreso Packing]]-OLDBD[[#This Row],[Registro en Packing]],"")</f>
        <v/>
      </c>
      <c r="AV135" s="9" t="str">
        <f>IFERROR(OLDBD[[#This Row],[Ingreso Packing]]-OLDBD[[#This Row],[Llegada a packing]],"")</f>
        <v/>
      </c>
      <c r="AW1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5" s="5" t="str">
        <f>IFERROR(OLDBD[[#This Row],[Llegada Almacén de Ingreso]]-OLDBD[[#This Row],[Salida Packing]],"")</f>
        <v/>
      </c>
      <c r="AY135" s="4" t="str" cm="1">
        <f t="array" ref="AY1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35" s="43" t="s">
        <v>173</v>
      </c>
      <c r="BB135" s="47" t="str">
        <f>IFERROR(IF(MARÍTIMOS[[#This Row],[Estatus]]="","",MARÍTIMOS[[#This Row],[Estatus]]),"")</f>
        <v>Confirmado</v>
      </c>
      <c r="BC135" s="43"/>
      <c r="BD135" s="46">
        <f>IFERROR(OLDBD[[#This Row],[Salida de almacén de retiro]]-OLDBD[[#This Row],[Ingreso Almacén de retiro]],"")</f>
        <v>5.5555555518367328E-3</v>
      </c>
      <c r="BE135" s="46" t="str">
        <f>IFERROR(OLDBD[[#This Row],[Fin de Carga]]-OLDBD[[#This Row],[Inicio de Carga]],"")</f>
        <v/>
      </c>
    </row>
    <row r="136" spans="1:57" customFormat="1" hidden="1">
      <c r="A136" s="1"/>
      <c r="B136" s="1">
        <f>IFERROR(IF(MARÍTIMOS[[#This Row],[PP]]="","",MARÍTIMOS[[#This Row],[PP]]),"")</f>
        <v>35</v>
      </c>
      <c r="C136" s="1" t="str">
        <f>IFERROR(IF(MARÍTIMOS[[#This Row],[Sede]]="","",MARÍTIMOS[[#This Row],[Sede]]),"")</f>
        <v>Chao</v>
      </c>
      <c r="D136" s="1" t="str">
        <f>IFERROR(IF(MARÍTIMOS[[#This Row],[Instruction]]="","",MARÍTIMOS[[#This Row],[Instruction]]),"")</f>
        <v>RH-0608</v>
      </c>
      <c r="E136" s="1"/>
      <c r="F136" s="2" t="str">
        <f>IFERROR(IF(MARÍTIMOS[[#This Row],[Transportista]]="","",MARÍTIMOS[[#This Row],[Transportista]]),"")</f>
        <v>Expert Transport</v>
      </c>
      <c r="G136" s="2" t="str">
        <f>IFERROR(IF(MARÍTIMOS[[#This Row],[Tercero]]="","",MARÍTIMOS[[#This Row],[Tercero]]),"")</f>
        <v>NO</v>
      </c>
      <c r="H136" s="2" t="str">
        <f>IFERROR(IF(MARÍTIMOS[[#This Row],[Razón Social]]="","",MARÍTIMOS[[#This Row],[Razón Social]]),"")</f>
        <v xml:space="preserve">EXPERT TRANSPORT SAC </v>
      </c>
      <c r="I136" s="2">
        <f>IFERROR(IF(MARÍTIMOS[[#This Row],[RUC]]="","",MARÍTIMOS[[#This Row],[RUC]]),"")</f>
        <v>20544424751</v>
      </c>
      <c r="J136" s="2" t="str">
        <f>IFERROR(IF(MARÍTIMOS[[#This Row],[Placa Tracto]]="","",MARÍTIMOS[[#This Row],[Placa Tracto]]),"")</f>
        <v>BYR872</v>
      </c>
      <c r="K136" s="2" t="str">
        <f>IFERROR(IF(MARÍTIMOS[[#This Row],[Placa Carreta]]="","",MARÍTIMOS[[#This Row],[Placa Carreta]]),"")</f>
        <v>A3K983</v>
      </c>
      <c r="L136" s="44" t="str">
        <f>IFERROR(IF(MARÍTIMOS[[#This Row],[Conductor]]="","",MARÍTIMOS[[#This Row],[Conductor]]),"")</f>
        <v>HUMBERTO JESÚS SUAREZ ARGUINZONES</v>
      </c>
      <c r="M136" s="2" t="str">
        <f>IFERROR(IF(MARÍTIMOS[[#This Row],[Licencia]]="","",MARÍTIMOS[[#This Row],[Licencia]]),"")</f>
        <v>B007168026</v>
      </c>
      <c r="N136" s="2">
        <f>IFERROR(IF(MARÍTIMOS[[#This Row],[Número de Contacto]]="","",MARÍTIMOS[[#This Row],[Número de Contacto]]),"")</f>
        <v>934270711</v>
      </c>
      <c r="O136" s="10" t="str">
        <f>IFERROR(IF(MARÍTIMOS[[#This Row],[Booking|AWB|CRT]]="","",MARÍTIMOS[[#This Row],[Booking|AWB|CRT]]),"")</f>
        <v>BN82233</v>
      </c>
      <c r="P136" s="2" t="str">
        <f>IFERROR(IF(MARÍTIMOS[[#This Row],[Contenedor]]="","",MARÍTIMOS[[#This Row],[Contenedor]]),"")</f>
        <v>SEKU9203419</v>
      </c>
      <c r="Q136" s="2" t="str">
        <f>IFERROR(IF(MARÍTIMOS[[#This Row],[Puerto de Retiro]]="","",MARÍTIMOS[[#This Row],[Puerto de Retiro]]),"")</f>
        <v>PAITA</v>
      </c>
      <c r="R136" s="2" t="str">
        <f>IFERROR(IF(MARÍTIMOS[[#This Row],[Almacén de Retiro]]="","",MARÍTIMOS[[#This Row],[Almacén de Retiro]]),"")</f>
        <v>DPW</v>
      </c>
      <c r="S136" s="11">
        <f>IFERROR(IF(MARÍTIMOS[[#This Row],[Etapa Retiro - Cita]]="","",MARÍTIMOS[[#This Row],[Etapa Retiro - Cita]]),"")</f>
        <v>46263.416666666664</v>
      </c>
      <c r="T136" s="11">
        <f>IFERROR(IF(MARÍTIMOS[[#This Row],[Etapa Retiro - Llegada]]="","",MARÍTIMOS[[#This Row],[Etapa Retiro - Llegada]]),"")</f>
        <v>46263.409722222219</v>
      </c>
      <c r="U136" s="11">
        <f>IFERROR(IF(MARÍTIMOS[[#This Row],[Etapa Retiro - Ingreso]]="","",MARÍTIMOS[[#This Row],[Etapa Retiro - Ingreso]]),"")</f>
        <v>46263.416666666664</v>
      </c>
      <c r="V136" s="11">
        <f>IFERROR(IF(MARÍTIMOS[[#This Row],[Etapa Retiro - Atención]]="","",MARÍTIMOS[[#This Row],[Etapa Retiro - Atención]]),"")</f>
        <v>46263.426388888889</v>
      </c>
      <c r="W136" s="11">
        <f>IFERROR(IF(MARÍTIMOS[[#This Row],[Etapa Retiro - Atención]]="","",MARÍTIMOS[[#This Row],[Etapa Retiro - Atención]]),"")</f>
        <v>46263.426388888889</v>
      </c>
      <c r="X136" s="11">
        <f>IFERROR(IF(MARÍTIMOS[[#This Row],[Etapa Retiro - Inicio de Ruta]]="","",MARÍTIMOS[[#This Row],[Etapa Retiro - Inicio de Ruta]]),"")</f>
        <v>46263.728472222225</v>
      </c>
      <c r="Y136" s="11">
        <f>IFERROR(IF(MARÍTIMOS[[#This Row],[Hora de Posicionamiento]]="","",MARÍTIMOS[[#This Row],[Fecha de Carga]]+MARÍTIMOS[[#This Row],[Hora de Posicionamiento]]),"")</f>
        <v>46263.583333333336</v>
      </c>
      <c r="Z136" s="11" t="str">
        <f>IFERROR(IF(MARÍTIMOS[[#This Row],[Etapa Despacho - Llegada]]="","",MARÍTIMOS[[#This Row],[Etapa Despacho - Llegada]]),"")</f>
        <v/>
      </c>
      <c r="AA136" s="11" t="str">
        <f>IFERROR(IF(MARÍTIMOS[[#This Row],[Etapa Despacho - Registro]]="","",MARÍTIMOS[[#This Row],[Etapa Despacho - Registro]]),"")</f>
        <v/>
      </c>
      <c r="AB136" s="11">
        <f>IFERROR(IF(MARÍTIMOS[[#This Row],[Inspección Externa]]="","",MARÍTIMOS[[#This Row],[Inspección Externa]]),"")</f>
        <v>46264.635416666664</v>
      </c>
      <c r="AC136" s="11" t="str">
        <f>IFERROR(IF(MARÍTIMOS[[#This Row],[Etapa Despacho - Inicio de Carga]]="","",MARÍTIMOS[[#This Row],[Etapa Despacho - Inicio de Carga]]),"")</f>
        <v/>
      </c>
      <c r="AD136" s="11" t="str">
        <f>IFERROR(IF(MARÍTIMOS[[#This Row],[Etapa Despacho - Mitad de Carga]]="","",MARÍTIMOS[[#This Row],[Etapa Despacho - Mitad de Carga]]),"")</f>
        <v/>
      </c>
      <c r="AE136" s="11" t="str">
        <f>IFERROR(IF(MARÍTIMOS[[#This Row],[Etapa Despacho - Fin de Carga]]="","",MARÍTIMOS[[#This Row],[Etapa Despacho - Fin de Carga]]),"")</f>
        <v/>
      </c>
      <c r="AF136" s="2" t="str">
        <f>IFERROR(IF(MARÍTIMOS[[#This Row],[Puerto de Embarque]]="","",MARÍTIMOS[[#This Row],[Puerto de Embarque]]),"")</f>
        <v>Paita</v>
      </c>
      <c r="AG136" s="2" t="str">
        <f>IFERROR(IF(MARÍTIMOS[[#This Row],[Almacén de Ingreso]]="","",MARÍTIMOS[[#This Row],[Almacén de Ingreso]]),"")</f>
        <v>TPE</v>
      </c>
      <c r="AH136" s="11">
        <f>IFERROR(IF(MARÍTIMOS[[#This Row],[Etapa Ingreso - Cita]]="","",MARÍTIMOS[[#This Row],[Etapa Ingreso - Cita]]),"")</f>
        <v>46265.625</v>
      </c>
      <c r="AI136" s="11">
        <f>IFERROR(IF(MARÍTIMOS[[#This Row],[Etapa Ingreso - Llegada]]="","",MARÍTIMOS[[#This Row],[Etapa Ingreso - Llegada]]),"")</f>
        <v>46265.559027777781</v>
      </c>
      <c r="AJ136" s="11">
        <f>IFERROR(IF(MARÍTIMOS[[#This Row],[Etapa Ingreso - Ingeso]]="","",MARÍTIMOS[[#This Row],[Etapa Ingreso - Ingeso]]),"")</f>
        <v>46265.5625</v>
      </c>
      <c r="AK136" s="11">
        <f>IFERROR(IF(MARÍTIMOS[[#This Row],[Etapa Ingreso - Atención]]="","",MARÍTIMOS[[#This Row],[Etapa Ingreso - Atención]]),"")</f>
        <v>46265.569444444445</v>
      </c>
      <c r="AL136" s="11">
        <f>IFERROR(IF(MARÍTIMOS[[#This Row],[Etapa Ingreso - Salida]]="","",MARÍTIMOS[[#This Row],[Etapa Ingreso - Salida]]),"")</f>
        <v>46265.573611111111</v>
      </c>
      <c r="AM136" s="2">
        <f>IFERROR(IF(MARÍTIMOS[[#This Row],[FCL]]="","",MARÍTIMOS[[#This Row],[FCL]]),"")</f>
        <v>1</v>
      </c>
      <c r="AN1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6" s="4" t="str" cm="1">
        <f t="array" ref="AO1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6" s="5" t="str">
        <f>IFERROR(OLDBD[[#This Row],[Llegada a packing]]-OLDBD[[#This Row],[Inicio de Ruta]],"")</f>
        <v/>
      </c>
      <c r="AQ136" s="6">
        <f>IFERROR(OLDBD[[#This Row],[Inicio de Ruta]]-OLDBD[[#This Row],[Salida de almacén de retiro]],"")</f>
        <v>0.30208333333575865</v>
      </c>
      <c r="AR1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6" s="8" t="str" cm="1">
        <f t="array" ref="AS1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6" s="9" t="str">
        <f>IFERROR(OLDBD[[#This Row],[Ingreso Packing]]-OLDBD[[#This Row],[Registro en Packing]],"")</f>
        <v/>
      </c>
      <c r="AV136" s="9" t="str">
        <f>IFERROR(OLDBD[[#This Row],[Ingreso Packing]]-OLDBD[[#This Row],[Llegada a packing]],"")</f>
        <v/>
      </c>
      <c r="AW1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6" s="5" t="str">
        <f>IFERROR(OLDBD[[#This Row],[Llegada Almacén de Ingreso]]-OLDBD[[#This Row],[Salida Packing]],"")</f>
        <v/>
      </c>
      <c r="AY136" s="4" t="str" cm="1">
        <f t="array" ref="AY1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36" s="43" t="s">
        <v>173</v>
      </c>
      <c r="BB136" s="47" t="str">
        <f>IFERROR(IF(MARÍTIMOS[[#This Row],[Estatus]]="","",MARÍTIMOS[[#This Row],[Estatus]]),"")</f>
        <v>Confirmado</v>
      </c>
      <c r="BC136" s="43"/>
      <c r="BD136" s="46">
        <f>IFERROR(OLDBD[[#This Row],[Salida de almacén de retiro]]-OLDBD[[#This Row],[Ingreso Almacén de retiro]],"")</f>
        <v>9.7222222248092294E-3</v>
      </c>
      <c r="BE136" s="46" t="str">
        <f>IFERROR(OLDBD[[#This Row],[Fin de Carga]]-OLDBD[[#This Row],[Inicio de Carga]],"")</f>
        <v/>
      </c>
    </row>
    <row r="137" spans="1:57" customFormat="1" hidden="1">
      <c r="A137" s="1"/>
      <c r="B137" s="1">
        <f>IFERROR(IF(MARÍTIMOS[[#This Row],[PP]]="","",MARÍTIMOS[[#This Row],[PP]]),"")</f>
        <v>35</v>
      </c>
      <c r="C137" s="1" t="str">
        <f>IFERROR(IF(MARÍTIMOS[[#This Row],[Sede]]="","",MARÍTIMOS[[#This Row],[Sede]]),"")</f>
        <v>Chao</v>
      </c>
      <c r="D137" s="1" t="str">
        <f>IFERROR(IF(MARÍTIMOS[[#This Row],[Instruction]]="","",MARÍTIMOS[[#This Row],[Instruction]]),"")</f>
        <v>RH-0626</v>
      </c>
      <c r="E137" s="1"/>
      <c r="F137" s="2" t="str">
        <f>IFERROR(IF(MARÍTIMOS[[#This Row],[Transportista]]="","",MARÍTIMOS[[#This Row],[Transportista]]),"")</f>
        <v>Expert Transport</v>
      </c>
      <c r="G137" s="2" t="str">
        <f>IFERROR(IF(MARÍTIMOS[[#This Row],[Tercero]]="","",MARÍTIMOS[[#This Row],[Tercero]]),"")</f>
        <v>NO</v>
      </c>
      <c r="H137" s="2" t="str">
        <f>IFERROR(IF(MARÍTIMOS[[#This Row],[Razón Social]]="","",MARÍTIMOS[[#This Row],[Razón Social]]),"")</f>
        <v xml:space="preserve">EXPERT TRANSPORT SAC </v>
      </c>
      <c r="I137" s="2">
        <f>IFERROR(IF(MARÍTIMOS[[#This Row],[RUC]]="","",MARÍTIMOS[[#This Row],[RUC]]),"")</f>
        <v>20544424751</v>
      </c>
      <c r="J137" s="2" t="str">
        <f>IFERROR(IF(MARÍTIMOS[[#This Row],[Placa Tracto]]="","",MARÍTIMOS[[#This Row],[Placa Tracto]]),"")</f>
        <v>C5Z734</v>
      </c>
      <c r="K137" s="2" t="str">
        <f>IFERROR(IF(MARÍTIMOS[[#This Row],[Placa Carreta]]="","",MARÍTIMOS[[#This Row],[Placa Carreta]]),"")</f>
        <v>TJE975</v>
      </c>
      <c r="L137" s="44" t="str">
        <f>IFERROR(IF(MARÍTIMOS[[#This Row],[Conductor]]="","",MARÍTIMOS[[#This Row],[Conductor]]),"")</f>
        <v>LUIS CARLOS LAMAS RUIZ</v>
      </c>
      <c r="M137" s="2" t="str">
        <f>IFERROR(IF(MARÍTIMOS[[#This Row],[Licencia]]="","",MARÍTIMOS[[#This Row],[Licencia]]),"")</f>
        <v>B009531613</v>
      </c>
      <c r="N137" s="2">
        <f>IFERROR(IF(MARÍTIMOS[[#This Row],[Número de Contacto]]="","",MARÍTIMOS[[#This Row],[Número de Contacto]]),"")</f>
        <v>986078320</v>
      </c>
      <c r="O137" s="10" t="str">
        <f>IFERROR(IF(MARÍTIMOS[[#This Row],[Booking|AWB|CRT]]="","",MARÍTIMOS[[#This Row],[Booking|AWB|CRT]]),"")</f>
        <v>BN82232</v>
      </c>
      <c r="P137" s="2" t="str">
        <f>IFERROR(IF(MARÍTIMOS[[#This Row],[Contenedor]]="","",MARÍTIMOS[[#This Row],[Contenedor]]),"")</f>
        <v>TEMU9492144</v>
      </c>
      <c r="Q137" s="2" t="str">
        <f>IFERROR(IF(MARÍTIMOS[[#This Row],[Puerto de Retiro]]="","",MARÍTIMOS[[#This Row],[Puerto de Retiro]]),"")</f>
        <v>PAITA</v>
      </c>
      <c r="R137" s="2" t="str">
        <f>IFERROR(IF(MARÍTIMOS[[#This Row],[Almacén de Retiro]]="","",MARÍTIMOS[[#This Row],[Almacén de Retiro]]),"")</f>
        <v>DPW</v>
      </c>
      <c r="S137" s="11">
        <f>IFERROR(IF(MARÍTIMOS[[#This Row],[Etapa Retiro - Cita]]="","",MARÍTIMOS[[#This Row],[Etapa Retiro - Cita]]),"")</f>
        <v>46263.625</v>
      </c>
      <c r="T137" s="11">
        <f>IFERROR(IF(MARÍTIMOS[[#This Row],[Etapa Retiro - Llegada]]="","",MARÍTIMOS[[#This Row],[Etapa Retiro - Llegada]]),"")</f>
        <v>46263.6875</v>
      </c>
      <c r="U137" s="11">
        <f>IFERROR(IF(MARÍTIMOS[[#This Row],[Etapa Retiro - Ingreso]]="","",MARÍTIMOS[[#This Row],[Etapa Retiro - Ingreso]]),"")</f>
        <v>46263.691666666666</v>
      </c>
      <c r="V137" s="11">
        <f>IFERROR(IF(MARÍTIMOS[[#This Row],[Etapa Retiro - Atención]]="","",MARÍTIMOS[[#This Row],[Etapa Retiro - Atención]]),"")</f>
        <v>46263.694444444445</v>
      </c>
      <c r="W137" s="11">
        <f>IFERROR(IF(MARÍTIMOS[[#This Row],[Etapa Retiro - Atención]]="","",MARÍTIMOS[[#This Row],[Etapa Retiro - Atención]]),"")</f>
        <v>46263.694444444445</v>
      </c>
      <c r="X137" s="11">
        <f>IFERROR(IF(MARÍTIMOS[[#This Row],[Etapa Retiro - Inicio de Ruta]]="","",MARÍTIMOS[[#This Row],[Etapa Retiro - Inicio de Ruta]]),"")</f>
        <v>46264.125</v>
      </c>
      <c r="Y137" s="11">
        <f>IFERROR(IF(MARÍTIMOS[[#This Row],[Hora de Posicionamiento]]="","",MARÍTIMOS[[#This Row],[Fecha de Carga]]+MARÍTIMOS[[#This Row],[Hora de Posicionamiento]]),"")</f>
        <v>46263.583333333336</v>
      </c>
      <c r="Z137" s="11" t="str">
        <f>IFERROR(IF(MARÍTIMOS[[#This Row],[Etapa Despacho - Llegada]]="","",MARÍTIMOS[[#This Row],[Etapa Despacho - Llegada]]),"")</f>
        <v/>
      </c>
      <c r="AA137" s="11" t="str">
        <f>IFERROR(IF(MARÍTIMOS[[#This Row],[Etapa Despacho - Registro]]="","",MARÍTIMOS[[#This Row],[Etapa Despacho - Registro]]),"")</f>
        <v/>
      </c>
      <c r="AB137" s="11">
        <f>IFERROR(IF(MARÍTIMOS[[#This Row],[Inspección Externa]]="","",MARÍTIMOS[[#This Row],[Inspección Externa]]),"")</f>
        <v>46264.75</v>
      </c>
      <c r="AC137" s="11" t="str">
        <f>IFERROR(IF(MARÍTIMOS[[#This Row],[Etapa Despacho - Inicio de Carga]]="","",MARÍTIMOS[[#This Row],[Etapa Despacho - Inicio de Carga]]),"")</f>
        <v/>
      </c>
      <c r="AD137" s="11" t="str">
        <f>IFERROR(IF(MARÍTIMOS[[#This Row],[Etapa Despacho - Mitad de Carga]]="","",MARÍTIMOS[[#This Row],[Etapa Despacho - Mitad de Carga]]),"")</f>
        <v/>
      </c>
      <c r="AE137" s="11" t="str">
        <f>IFERROR(IF(MARÍTIMOS[[#This Row],[Etapa Despacho - Fin de Carga]]="","",MARÍTIMOS[[#This Row],[Etapa Despacho - Fin de Carga]]),"")</f>
        <v/>
      </c>
      <c r="AF137" s="2" t="str">
        <f>IFERROR(IF(MARÍTIMOS[[#This Row],[Puerto de Embarque]]="","",MARÍTIMOS[[#This Row],[Puerto de Embarque]]),"")</f>
        <v>Paita</v>
      </c>
      <c r="AG137" s="2" t="str">
        <f>IFERROR(IF(MARÍTIMOS[[#This Row],[Almacén de Ingreso]]="","",MARÍTIMOS[[#This Row],[Almacén de Ingreso]]),"")</f>
        <v>TPE</v>
      </c>
      <c r="AH137" s="11">
        <f>IFERROR(IF(MARÍTIMOS[[#This Row],[Etapa Ingreso - Cita]]="","",MARÍTIMOS[[#This Row],[Etapa Ingreso - Cita]]),"")</f>
        <v>46265.666666666664</v>
      </c>
      <c r="AI137" s="11">
        <f>IFERROR(IF(MARÍTIMOS[[#This Row],[Etapa Ingreso - Llegada]]="","",MARÍTIMOS[[#This Row],[Etapa Ingreso - Llegada]]),"")</f>
        <v>46265.680555555555</v>
      </c>
      <c r="AJ137" s="11">
        <f>IFERROR(IF(MARÍTIMOS[[#This Row],[Etapa Ingreso - Ingeso]]="","",MARÍTIMOS[[#This Row],[Etapa Ingreso - Ingeso]]),"")</f>
        <v>46265.691666666666</v>
      </c>
      <c r="AK137" s="11">
        <f>IFERROR(IF(MARÍTIMOS[[#This Row],[Etapa Ingreso - Atención]]="","",MARÍTIMOS[[#This Row],[Etapa Ingreso - Atención]]),"")</f>
        <v>46265.698611111111</v>
      </c>
      <c r="AL137" s="11">
        <f>IFERROR(IF(MARÍTIMOS[[#This Row],[Etapa Ingreso - Salida]]="","",MARÍTIMOS[[#This Row],[Etapa Ingreso - Salida]]),"")</f>
        <v>46265.70416666667</v>
      </c>
      <c r="AM137" s="2">
        <f>IFERROR(IF(MARÍTIMOS[[#This Row],[FCL]]="","",MARÍTIMOS[[#This Row],[FCL]]),"")</f>
        <v>1</v>
      </c>
      <c r="AN1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7" s="4" t="str" cm="1">
        <f t="array" ref="AO1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7" s="5" t="str">
        <f>IFERROR(OLDBD[[#This Row],[Llegada a packing]]-OLDBD[[#This Row],[Inicio de Ruta]],"")</f>
        <v/>
      </c>
      <c r="AQ137" s="6">
        <f>IFERROR(OLDBD[[#This Row],[Inicio de Ruta]]-OLDBD[[#This Row],[Salida de almacén de retiro]],"")</f>
        <v>0.43055555555474712</v>
      </c>
      <c r="AR1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7" s="8" t="str" cm="1">
        <f t="array" ref="AS1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7" s="9" t="str">
        <f>IFERROR(OLDBD[[#This Row],[Ingreso Packing]]-OLDBD[[#This Row],[Registro en Packing]],"")</f>
        <v/>
      </c>
      <c r="AV137" s="9" t="str">
        <f>IFERROR(OLDBD[[#This Row],[Ingreso Packing]]-OLDBD[[#This Row],[Llegada a packing]],"")</f>
        <v/>
      </c>
      <c r="AW1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7" s="5" t="str">
        <f>IFERROR(OLDBD[[#This Row],[Llegada Almacén de Ingreso]]-OLDBD[[#This Row],[Salida Packing]],"")</f>
        <v/>
      </c>
      <c r="AY137" s="4" t="str" cm="1">
        <f t="array" ref="AY1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37" s="43" t="s">
        <v>173</v>
      </c>
      <c r="BB137" s="47" t="str">
        <f>IFERROR(IF(MARÍTIMOS[[#This Row],[Estatus]]="","",MARÍTIMOS[[#This Row],[Estatus]]),"")</f>
        <v>Confirmado</v>
      </c>
      <c r="BC137" s="43"/>
      <c r="BD137" s="46">
        <f>IFERROR(OLDBD[[#This Row],[Salida de almacén de retiro]]-OLDBD[[#This Row],[Ingreso Almacén de retiro]],"")</f>
        <v>2.7777777795563452E-3</v>
      </c>
      <c r="BE137" s="46" t="str">
        <f>IFERROR(OLDBD[[#This Row],[Fin de Carga]]-OLDBD[[#This Row],[Inicio de Carga]],"")</f>
        <v/>
      </c>
    </row>
    <row r="138" spans="1:57" hidden="1">
      <c r="A138" s="52"/>
      <c r="B138" s="52">
        <f>IFERROR(IF(MARÍTIMOS[[#This Row],[PP]]="","",MARÍTIMOS[[#This Row],[PP]]),"")</f>
        <v>35</v>
      </c>
      <c r="C138" s="52" t="str">
        <f>IFERROR(IF(MARÍTIMOS[[#This Row],[Sede]]="","",MARÍTIMOS[[#This Row],[Sede]]),"")</f>
        <v>CHAO</v>
      </c>
      <c r="D138" s="52" t="str">
        <f>IFERROR(IF(MARÍTIMOS[[#This Row],[Instruction]]="","",MARÍTIMOS[[#This Row],[Instruction]]),"")</f>
        <v>RH-0613</v>
      </c>
      <c r="E138" s="52"/>
      <c r="F138" s="53" t="str">
        <f>IFERROR(IF(MARÍTIMOS[[#This Row],[Transportista]]="","",MARÍTIMOS[[#This Row],[Transportista]]),"")</f>
        <v>Expert Transport</v>
      </c>
      <c r="G138" s="53" t="str">
        <f>IFERROR(IF(MARÍTIMOS[[#This Row],[Tercero]]="","",MARÍTIMOS[[#This Row],[Tercero]]),"")</f>
        <v>NO</v>
      </c>
      <c r="H138" s="53" t="str">
        <f>IFERROR(IF(MARÍTIMOS[[#This Row],[Razón Social]]="","",MARÍTIMOS[[#This Row],[Razón Social]]),"")</f>
        <v xml:space="preserve">EXPERT TRANSPORT SAC </v>
      </c>
      <c r="I138" s="53">
        <f>IFERROR(IF(MARÍTIMOS[[#This Row],[RUC]]="","",MARÍTIMOS[[#This Row],[RUC]]),"")</f>
        <v>20544424751</v>
      </c>
      <c r="J138" s="53" t="str">
        <f>IFERROR(IF(MARÍTIMOS[[#This Row],[Placa Tracto]]="","",MARÍTIMOS[[#This Row],[Placa Tracto]]),"")</f>
        <v>D1A797</v>
      </c>
      <c r="K138" s="53" t="str">
        <f>IFERROR(IF(MARÍTIMOS[[#This Row],[Placa Carreta]]="","",MARÍTIMOS[[#This Row],[Placa Carreta]]),"")</f>
        <v>TNQ977</v>
      </c>
      <c r="L138" s="54" t="str">
        <f>IFERROR(IF(MARÍTIMOS[[#This Row],[Conductor]]="","",MARÍTIMOS[[#This Row],[Conductor]]),"")</f>
        <v>FREDERIS JOSE PAVON RUIZ</v>
      </c>
      <c r="M138" s="53" t="str">
        <f>IFERROR(IF(MARÍTIMOS[[#This Row],[Licencia]]="","",MARÍTIMOS[[#This Row],[Licencia]]),"")</f>
        <v>Q005175672</v>
      </c>
      <c r="N138" s="53">
        <f>IFERROR(IF(MARÍTIMOS[[#This Row],[Número de Contacto]]="","",MARÍTIMOS[[#This Row],[Número de Contacto]]),"")</f>
        <v>946500525</v>
      </c>
      <c r="O138" s="55" t="str">
        <f>IFERROR(IF(MARÍTIMOS[[#This Row],[Booking|AWB|CRT]]="","",MARÍTIMOS[[#This Row],[Booking|AWB|CRT]]),"")</f>
        <v>PER9203954A</v>
      </c>
      <c r="P138" s="53" t="str">
        <f>IFERROR(IF(MARÍTIMOS[[#This Row],[Contenedor]]="","",MARÍTIMOS[[#This Row],[Contenedor]]),"")</f>
        <v>SZLU5018962</v>
      </c>
      <c r="Q138" s="53" t="str">
        <f>IFERROR(IF(MARÍTIMOS[[#This Row],[Puerto de Retiro]]="","",MARÍTIMOS[[#This Row],[Puerto de Retiro]]),"")</f>
        <v>PAITA</v>
      </c>
      <c r="R138" s="53" t="str">
        <f>IFERROR(IF(MARÍTIMOS[[#This Row],[Almacén de Retiro]]="","",MARÍTIMOS[[#This Row],[Almacén de Retiro]]),"")</f>
        <v>DPW</v>
      </c>
      <c r="S138" s="56">
        <f>IFERROR(IF(MARÍTIMOS[[#This Row],[Etapa Retiro - Cita]]="","",MARÍTIMOS[[#This Row],[Etapa Retiro - Cita]]),"")</f>
        <v>46264.458333333336</v>
      </c>
      <c r="T138" s="56">
        <f>IFERROR(IF(MARÍTIMOS[[#This Row],[Etapa Retiro - Llegada]]="","",MARÍTIMOS[[#This Row],[Etapa Retiro - Llegada]]),"")</f>
        <v>46264.463888888888</v>
      </c>
      <c r="U138" s="56">
        <f>IFERROR(IF(MARÍTIMOS[[#This Row],[Etapa Retiro - Ingreso]]="","",MARÍTIMOS[[#This Row],[Etapa Retiro - Ingreso]]),"")</f>
        <v>46264.493055555555</v>
      </c>
      <c r="V138" s="56">
        <f>IFERROR(IF(MARÍTIMOS[[#This Row],[Etapa Retiro - Atención]]="","",MARÍTIMOS[[#This Row],[Etapa Retiro - Atención]]),"")</f>
        <v>46264.519444444442</v>
      </c>
      <c r="W138" s="56">
        <f>IFERROR(IF(MARÍTIMOS[[#This Row],[Etapa Retiro - Atención]]="","",MARÍTIMOS[[#This Row],[Etapa Retiro - Atención]]),"")</f>
        <v>46264.519444444442</v>
      </c>
      <c r="X138" s="56">
        <f>IFERROR(IF(MARÍTIMOS[[#This Row],[Etapa Retiro - Inicio de Ruta]]="","",MARÍTIMOS[[#This Row],[Etapa Retiro - Inicio de Ruta]]),"")</f>
        <v>46264.559027777781</v>
      </c>
      <c r="Y138" s="56">
        <f>IFERROR(IF(MARÍTIMOS[[#This Row],[Hora de Posicionamiento]]="","",MARÍTIMOS[[#This Row],[Fecha de Carga]]+MARÍTIMOS[[#This Row],[Hora de Posicionamiento]]),"")</f>
        <v>46264.375</v>
      </c>
      <c r="Z138" s="56" t="str">
        <f>IFERROR(IF(MARÍTIMOS[[#This Row],[Etapa Despacho - Llegada]]="","",MARÍTIMOS[[#This Row],[Etapa Despacho - Llegada]]),"")</f>
        <v/>
      </c>
      <c r="AA138" s="56" t="str">
        <f>IFERROR(IF(MARÍTIMOS[[#This Row],[Etapa Despacho - Registro]]="","",MARÍTIMOS[[#This Row],[Etapa Despacho - Registro]]),"")</f>
        <v/>
      </c>
      <c r="AB138" s="56">
        <f>IFERROR(IF(MARÍTIMOS[[#This Row],[Inspección Externa]]="","",MARÍTIMOS[[#This Row],[Inspección Externa]]),"")</f>
        <v>46265.388888888891</v>
      </c>
      <c r="AC138" s="56" t="str">
        <f>IFERROR(IF(MARÍTIMOS[[#This Row],[Etapa Despacho - Inicio de Carga]]="","",MARÍTIMOS[[#This Row],[Etapa Despacho - Inicio de Carga]]),"")</f>
        <v/>
      </c>
      <c r="AD138" s="56" t="str">
        <f>IFERROR(IF(MARÍTIMOS[[#This Row],[Etapa Despacho - Mitad de Carga]]="","",MARÍTIMOS[[#This Row],[Etapa Despacho - Mitad de Carga]]),"")</f>
        <v/>
      </c>
      <c r="AE138" s="56" t="str">
        <f>IFERROR(IF(MARÍTIMOS[[#This Row],[Etapa Despacho - Fin de Carga]]="","",MARÍTIMOS[[#This Row],[Etapa Despacho - Fin de Carga]]),"")</f>
        <v/>
      </c>
      <c r="AF138" s="53" t="str">
        <f>IFERROR(IF(MARÍTIMOS[[#This Row],[Puerto de Embarque]]="","",MARÍTIMOS[[#This Row],[Puerto de Embarque]]),"")</f>
        <v>Paita</v>
      </c>
      <c r="AG138" s="53" t="str">
        <f>IFERROR(IF(MARÍTIMOS[[#This Row],[Almacén de Ingreso]]="","",MARÍTIMOS[[#This Row],[Almacén de Ingreso]]),"")</f>
        <v>TPE</v>
      </c>
      <c r="AH138" s="56">
        <f>IFERROR(IF(MARÍTIMOS[[#This Row],[Etapa Ingreso - Cita]]="","",MARÍTIMOS[[#This Row],[Etapa Ingreso - Cita]]),"")</f>
        <v>46266.375</v>
      </c>
      <c r="AI138" s="56">
        <f>IFERROR(IF(MARÍTIMOS[[#This Row],[Etapa Ingreso - Llegada]]="","",MARÍTIMOS[[#This Row],[Etapa Ingreso - Llegada]]),"")</f>
        <v>46266.329861111109</v>
      </c>
      <c r="AJ138" s="56">
        <f>IFERROR(IF(MARÍTIMOS[[#This Row],[Etapa Ingreso - Ingeso]]="","",MARÍTIMOS[[#This Row],[Etapa Ingreso - Ingeso]]),"")</f>
        <v>46266.335416666669</v>
      </c>
      <c r="AK138" s="56">
        <f>IFERROR(IF(MARÍTIMOS[[#This Row],[Etapa Ingreso - Atención]]="","",MARÍTIMOS[[#This Row],[Etapa Ingreso - Atención]]),"")</f>
        <v>46266.34097222222</v>
      </c>
      <c r="AL138" s="56" t="str">
        <f>IFERROR(IF(MARÍTIMOS[[#This Row],[Etapa Ingreso - Salida]]="","",MARÍTIMOS[[#This Row],[Etapa Ingreso - Salida]]),"")</f>
        <v/>
      </c>
      <c r="AM138" s="53">
        <f>IFERROR(IF(MARÍTIMOS[[#This Row],[FCL]]="","",MARÍTIMOS[[#This Row],[FCL]]),"")</f>
        <v>1</v>
      </c>
      <c r="AN138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8" s="4" t="str" cm="1">
        <f t="array" ref="AO1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8" s="6" t="str">
        <f>IFERROR(OLDBD[[#This Row],[Llegada a packing]]-OLDBD[[#This Row],[Inicio de Ruta]],"")</f>
        <v/>
      </c>
      <c r="AQ138" s="6">
        <f>IFERROR(OLDBD[[#This Row],[Inicio de Ruta]]-OLDBD[[#This Row],[Salida de almacén de retiro]],"")</f>
        <v>3.9583333338669036E-2</v>
      </c>
      <c r="AR138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8" s="8" t="str" cm="1">
        <f t="array" ref="AS1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8" s="9" t="str">
        <f>IFERROR(OLDBD[[#This Row],[Ingreso Packing]]-OLDBD[[#This Row],[Registro en Packing]],"")</f>
        <v/>
      </c>
      <c r="AV138" s="9" t="str">
        <f>IFERROR(OLDBD[[#This Row],[Ingreso Packing]]-OLDBD[[#This Row],[Llegada a packing]],"")</f>
        <v/>
      </c>
      <c r="AW1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8" s="6" t="str">
        <f>IFERROR(OLDBD[[#This Row],[Llegada Almacén de Ingreso]]-OLDBD[[#This Row],[Salida Packing]],"")</f>
        <v/>
      </c>
      <c r="AY138" s="4" t="str" cm="1">
        <f t="array" ref="AY1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38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38" s="58" t="s">
        <v>173</v>
      </c>
      <c r="BB138" s="59" t="str">
        <f>IFERROR(IF(MARÍTIMOS[[#This Row],[Estatus]]="","",MARÍTIMOS[[#This Row],[Estatus]]),"")</f>
        <v>Confirmado</v>
      </c>
      <c r="BC138" s="58"/>
      <c r="BD138" s="60">
        <f>IFERROR(OLDBD[[#This Row],[Salida de almacén de retiro]]-OLDBD[[#This Row],[Ingreso Almacén de retiro]],"")</f>
        <v>2.6388888887595385E-2</v>
      </c>
      <c r="BE138" s="60" t="str">
        <f>IFERROR(OLDBD[[#This Row],[Fin de Carga]]-OLDBD[[#This Row],[Inicio de Carga]],"")</f>
        <v/>
      </c>
    </row>
    <row r="139" spans="1:57" hidden="1">
      <c r="A139" s="52"/>
      <c r="B139" s="52">
        <f>IFERROR(IF(MARÍTIMOS[[#This Row],[PP]]="","",MARÍTIMOS[[#This Row],[PP]]),"")</f>
        <v>35</v>
      </c>
      <c r="C139" s="52" t="str">
        <f>IFERROR(IF(MARÍTIMOS[[#This Row],[Sede]]="","",MARÍTIMOS[[#This Row],[Sede]]),"")</f>
        <v>CHAO</v>
      </c>
      <c r="D139" s="52" t="str">
        <f>IFERROR(IF(MARÍTIMOS[[#This Row],[Instruction]]="","",MARÍTIMOS[[#This Row],[Instruction]]),"")</f>
        <v>RH-0610</v>
      </c>
      <c r="E139" s="52"/>
      <c r="F139" s="53" t="str">
        <f>IFERROR(IF(MARÍTIMOS[[#This Row],[Transportista]]="","",MARÍTIMOS[[#This Row],[Transportista]]),"")</f>
        <v>Expert Transport</v>
      </c>
      <c r="G139" s="53" t="str">
        <f>IFERROR(IF(MARÍTIMOS[[#This Row],[Tercero]]="","",MARÍTIMOS[[#This Row],[Tercero]]),"")</f>
        <v>NO</v>
      </c>
      <c r="H139" s="53" t="str">
        <f>IFERROR(IF(MARÍTIMOS[[#This Row],[Razón Social]]="","",MARÍTIMOS[[#This Row],[Razón Social]]),"")</f>
        <v xml:space="preserve">EXPERT TRANSPORT SAC </v>
      </c>
      <c r="I139" s="53">
        <f>IFERROR(IF(MARÍTIMOS[[#This Row],[RUC]]="","",MARÍTIMOS[[#This Row],[RUC]]),"")</f>
        <v>20544424751</v>
      </c>
      <c r="J139" s="53" t="str">
        <f>IFERROR(IF(MARÍTIMOS[[#This Row],[Placa Tracto]]="","",MARÍTIMOS[[#This Row],[Placa Tracto]]),"")</f>
        <v>V4N706</v>
      </c>
      <c r="K139" s="53" t="str">
        <f>IFERROR(IF(MARÍTIMOS[[#This Row],[Placa Carreta]]="","",MARÍTIMOS[[#This Row],[Placa Carreta]]),"")</f>
        <v>TJD977</v>
      </c>
      <c r="L139" s="54" t="str">
        <f>IFERROR(IF(MARÍTIMOS[[#This Row],[Conductor]]="","",MARÍTIMOS[[#This Row],[Conductor]]),"")</f>
        <v>MARIO WILMER AVENDAÑO ACHA</v>
      </c>
      <c r="M139" s="53" t="str">
        <f>IFERROR(IF(MARÍTIMOS[[#This Row],[Licencia]]="","",MARÍTIMOS[[#This Row],[Licencia]]),"")</f>
        <v>B46445299</v>
      </c>
      <c r="N139" s="53">
        <f>IFERROR(IF(MARÍTIMOS[[#This Row],[Número de Contacto]]="","",MARÍTIMOS[[#This Row],[Número de Contacto]]),"")</f>
        <v>904556157</v>
      </c>
      <c r="O139" s="55" t="str">
        <f>IFERROR(IF(MARÍTIMOS[[#This Row],[Booking|AWB|CRT]]="","",MARÍTIMOS[[#This Row],[Booking|AWB|CRT]]),"")</f>
        <v>PER9203919A</v>
      </c>
      <c r="P139" s="53" t="str">
        <f>IFERROR(IF(MARÍTIMOS[[#This Row],[Contenedor]]="","",MARÍTIMOS[[#This Row],[Contenedor]]),"")</f>
        <v>SZLU5020002</v>
      </c>
      <c r="Q139" s="53" t="str">
        <f>IFERROR(IF(MARÍTIMOS[[#This Row],[Puerto de Retiro]]="","",MARÍTIMOS[[#This Row],[Puerto de Retiro]]),"")</f>
        <v>PAITA</v>
      </c>
      <c r="R139" s="53" t="str">
        <f>IFERROR(IF(MARÍTIMOS[[#This Row],[Almacén de Retiro]]="","",MARÍTIMOS[[#This Row],[Almacén de Retiro]]),"")</f>
        <v>DPW</v>
      </c>
      <c r="S139" s="56">
        <f>IFERROR(IF(MARÍTIMOS[[#This Row],[Etapa Retiro - Cita]]="","",MARÍTIMOS[[#This Row],[Etapa Retiro - Cita]]),"")</f>
        <v>46264.625</v>
      </c>
      <c r="T139" s="56">
        <f>IFERROR(IF(MARÍTIMOS[[#This Row],[Etapa Retiro - Llegada]]="","",MARÍTIMOS[[#This Row],[Etapa Retiro - Llegada]]),"")</f>
        <v>46264.64166666667</v>
      </c>
      <c r="U139" s="56">
        <f>IFERROR(IF(MARÍTIMOS[[#This Row],[Etapa Retiro - Ingreso]]="","",MARÍTIMOS[[#This Row],[Etapa Retiro - Ingreso]]),"")</f>
        <v>46264.652083333334</v>
      </c>
      <c r="V139" s="56">
        <f>IFERROR(IF(MARÍTIMOS[[#This Row],[Etapa Retiro - Atención]]="","",MARÍTIMOS[[#This Row],[Etapa Retiro - Atención]]),"")</f>
        <v>46264.662499999999</v>
      </c>
      <c r="W139" s="56">
        <f>IFERROR(IF(MARÍTIMOS[[#This Row],[Etapa Retiro - Atención]]="","",MARÍTIMOS[[#This Row],[Etapa Retiro - Atención]]),"")</f>
        <v>46264.662499999999</v>
      </c>
      <c r="X139" s="56">
        <f>IFERROR(IF(MARÍTIMOS[[#This Row],[Etapa Retiro - Inicio de Ruta]]="","",MARÍTIMOS[[#This Row],[Etapa Retiro - Inicio de Ruta]]),"")</f>
        <v>46264.704861111109</v>
      </c>
      <c r="Y139" s="56">
        <f>IFERROR(IF(MARÍTIMOS[[#This Row],[Hora de Posicionamiento]]="","",MARÍTIMOS[[#This Row],[Fecha de Carga]]+MARÍTIMOS[[#This Row],[Hora de Posicionamiento]]),"")</f>
        <v>46264.583333333336</v>
      </c>
      <c r="Z139" s="56" t="str">
        <f>IFERROR(IF(MARÍTIMOS[[#This Row],[Etapa Despacho - Llegada]]="","",MARÍTIMOS[[#This Row],[Etapa Despacho - Llegada]]),"")</f>
        <v/>
      </c>
      <c r="AA139" s="56" t="str">
        <f>IFERROR(IF(MARÍTIMOS[[#This Row],[Etapa Despacho - Registro]]="","",MARÍTIMOS[[#This Row],[Etapa Despacho - Registro]]),"")</f>
        <v/>
      </c>
      <c r="AB139" s="56">
        <f>IFERROR(IF(MARÍTIMOS[[#This Row],[Inspección Externa]]="","",MARÍTIMOS[[#This Row],[Inspección Externa]]),"")</f>
        <v>46265.592361111114</v>
      </c>
      <c r="AC139" s="56" t="str">
        <f>IFERROR(IF(MARÍTIMOS[[#This Row],[Etapa Despacho - Inicio de Carga]]="","",MARÍTIMOS[[#This Row],[Etapa Despacho - Inicio de Carga]]),"")</f>
        <v/>
      </c>
      <c r="AD139" s="56" t="str">
        <f>IFERROR(IF(MARÍTIMOS[[#This Row],[Etapa Despacho - Mitad de Carga]]="","",MARÍTIMOS[[#This Row],[Etapa Despacho - Mitad de Carga]]),"")</f>
        <v/>
      </c>
      <c r="AE139" s="56" t="str">
        <f>IFERROR(IF(MARÍTIMOS[[#This Row],[Etapa Despacho - Fin de Carga]]="","",MARÍTIMOS[[#This Row],[Etapa Despacho - Fin de Carga]]),"")</f>
        <v/>
      </c>
      <c r="AF139" s="53" t="str">
        <f>IFERROR(IF(MARÍTIMOS[[#This Row],[Puerto de Embarque]]="","",MARÍTIMOS[[#This Row],[Puerto de Embarque]]),"")</f>
        <v>Paita</v>
      </c>
      <c r="AG139" s="53" t="str">
        <f>IFERROR(IF(MARÍTIMOS[[#This Row],[Almacén de Ingreso]]="","",MARÍTIMOS[[#This Row],[Almacén de Ingreso]]),"")</f>
        <v>TPE</v>
      </c>
      <c r="AH139" s="56">
        <f>IFERROR(IF(MARÍTIMOS[[#This Row],[Etapa Ingreso - Cita]]="","",MARÍTIMOS[[#This Row],[Etapa Ingreso - Cita]]),"")</f>
        <v>46266.583333333336</v>
      </c>
      <c r="AI139" s="56">
        <f>IFERROR(IF(MARÍTIMOS[[#This Row],[Etapa Ingreso - Llegada]]="","",MARÍTIMOS[[#This Row],[Etapa Ingreso - Llegada]]),"")</f>
        <v>46266.51666666667</v>
      </c>
      <c r="AJ139" s="56">
        <f>IFERROR(IF(MARÍTIMOS[[#This Row],[Etapa Ingreso - Ingeso]]="","",MARÍTIMOS[[#This Row],[Etapa Ingreso - Ingeso]]),"")</f>
        <v>46266.518055555556</v>
      </c>
      <c r="AK139" s="56">
        <f>IFERROR(IF(MARÍTIMOS[[#This Row],[Etapa Ingreso - Atención]]="","",MARÍTIMOS[[#This Row],[Etapa Ingreso - Atención]]),"")</f>
        <v>46266.527083333334</v>
      </c>
      <c r="AL139" s="56">
        <f>IFERROR(IF(MARÍTIMOS[[#This Row],[Etapa Ingreso - Salida]]="","",MARÍTIMOS[[#This Row],[Etapa Ingreso - Salida]]),"")</f>
        <v>46266.53125</v>
      </c>
      <c r="AM139" s="53">
        <f>IFERROR(IF(MARÍTIMOS[[#This Row],[FCL]]="","",MARÍTIMOS[[#This Row],[FCL]]),"")</f>
        <v>1</v>
      </c>
      <c r="AN139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39" s="4" t="str" cm="1">
        <f t="array" ref="AO1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39" s="6" t="str">
        <f>IFERROR(OLDBD[[#This Row],[Llegada a packing]]-OLDBD[[#This Row],[Inicio de Ruta]],"")</f>
        <v/>
      </c>
      <c r="AQ139" s="6">
        <f>IFERROR(OLDBD[[#This Row],[Inicio de Ruta]]-OLDBD[[#This Row],[Salida de almacén de retiro]],"")</f>
        <v>4.2361111110949423E-2</v>
      </c>
      <c r="AR139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39" s="8" t="str" cm="1">
        <f t="array" ref="AS1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39" s="9" t="str">
        <f>IFERROR(OLDBD[[#This Row],[Ingreso Packing]]-OLDBD[[#This Row],[Registro en Packing]],"")</f>
        <v/>
      </c>
      <c r="AV139" s="9" t="str">
        <f>IFERROR(OLDBD[[#This Row],[Ingreso Packing]]-OLDBD[[#This Row],[Llegada a packing]],"")</f>
        <v/>
      </c>
      <c r="AW1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39" s="6" t="str">
        <f>IFERROR(OLDBD[[#This Row],[Llegada Almacén de Ingreso]]-OLDBD[[#This Row],[Salida Packing]],"")</f>
        <v/>
      </c>
      <c r="AY139" s="4" t="str" cm="1">
        <f t="array" ref="AY1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39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39" s="58" t="s">
        <v>173</v>
      </c>
      <c r="BB139" s="59" t="str">
        <f>IFERROR(IF(MARÍTIMOS[[#This Row],[Estatus]]="","",MARÍTIMOS[[#This Row],[Estatus]]),"")</f>
        <v>Confirmado</v>
      </c>
      <c r="BC139" s="58"/>
      <c r="BD139" s="60">
        <f>IFERROR(OLDBD[[#This Row],[Salida de almacén de retiro]]-OLDBD[[#This Row],[Ingreso Almacén de retiro]],"")</f>
        <v>1.0416666664241347E-2</v>
      </c>
      <c r="BE139" s="60" t="str">
        <f>IFERROR(OLDBD[[#This Row],[Fin de Carga]]-OLDBD[[#This Row],[Inicio de Carga]],"")</f>
        <v/>
      </c>
    </row>
    <row r="140" spans="1:57" hidden="1">
      <c r="A140" s="52"/>
      <c r="B140" s="52">
        <f>IFERROR(IF(MARÍTIMOS[[#This Row],[PP]]="","",MARÍTIMOS[[#This Row],[PP]]),"")</f>
        <v>35</v>
      </c>
      <c r="C140" s="52" t="str">
        <f>IFERROR(IF(MARÍTIMOS[[#This Row],[Sede]]="","",MARÍTIMOS[[#This Row],[Sede]]),"")</f>
        <v>CHAO</v>
      </c>
      <c r="D140" s="52" t="str">
        <f>IFERROR(IF(MARÍTIMOS[[#This Row],[Instruction]]="","",MARÍTIMOS[[#This Row],[Instruction]]),"")</f>
        <v>RH-0639</v>
      </c>
      <c r="E140" s="52"/>
      <c r="F140" s="53" t="str">
        <f>IFERROR(IF(MARÍTIMOS[[#This Row],[Transportista]]="","",MARÍTIMOS[[#This Row],[Transportista]]),"")</f>
        <v>Expert Transport</v>
      </c>
      <c r="G140" s="53" t="str">
        <f>IFERROR(IF(MARÍTIMOS[[#This Row],[Tercero]]="","",MARÍTIMOS[[#This Row],[Tercero]]),"")</f>
        <v>NO</v>
      </c>
      <c r="H140" s="53" t="str">
        <f>IFERROR(IF(MARÍTIMOS[[#This Row],[Razón Social]]="","",MARÍTIMOS[[#This Row],[Razón Social]]),"")</f>
        <v xml:space="preserve">EXPERT TRANSPORT SAC </v>
      </c>
      <c r="I140" s="53">
        <f>IFERROR(IF(MARÍTIMOS[[#This Row],[RUC]]="","",MARÍTIMOS[[#This Row],[RUC]]),"")</f>
        <v>20544424751</v>
      </c>
      <c r="J140" s="53" t="str">
        <f>IFERROR(IF(MARÍTIMOS[[#This Row],[Placa Tracto]]="","",MARÍTIMOS[[#This Row],[Placa Tracto]]),"")</f>
        <v>Z5S732</v>
      </c>
      <c r="K140" s="53" t="str">
        <f>IFERROR(IF(MARÍTIMOS[[#This Row],[Placa Carreta]]="","",MARÍTIMOS[[#This Row],[Placa Carreta]]),"")</f>
        <v>TFD996</v>
      </c>
      <c r="L140" s="54" t="str">
        <f>IFERROR(IF(MARÍTIMOS[[#This Row],[Conductor]]="","",MARÍTIMOS[[#This Row],[Conductor]]),"")</f>
        <v>DANIEL CUOCCI FERNANDEZ</v>
      </c>
      <c r="M140" s="53" t="str">
        <f>IFERROR(IF(MARÍTIMOS[[#This Row],[Licencia]]="","",MARÍTIMOS[[#This Row],[Licencia]]),"")</f>
        <v>B003202620</v>
      </c>
      <c r="N140" s="53">
        <f>IFERROR(IF(MARÍTIMOS[[#This Row],[Número de Contacto]]="","",MARÍTIMOS[[#This Row],[Número de Contacto]]),"")</f>
        <v>916329861</v>
      </c>
      <c r="O140" s="55" t="str">
        <f>IFERROR(IF(MARÍTIMOS[[#This Row],[Booking|AWB|CRT]]="","",MARÍTIMOS[[#This Row],[Booking|AWB|CRT]]),"")</f>
        <v>PER9211728A</v>
      </c>
      <c r="P140" s="53" t="str">
        <f>IFERROR(IF(MARÍTIMOS[[#This Row],[Contenedor]]="","",MARÍTIMOS[[#This Row],[Contenedor]]),"")</f>
        <v>BMOU9890416</v>
      </c>
      <c r="Q140" s="53" t="str">
        <f>IFERROR(IF(MARÍTIMOS[[#This Row],[Puerto de Retiro]]="","",MARÍTIMOS[[#This Row],[Puerto de Retiro]]),"")</f>
        <v>PAITA</v>
      </c>
      <c r="R140" s="53" t="str">
        <f>IFERROR(IF(MARÍTIMOS[[#This Row],[Almacén de Retiro]]="","",MARÍTIMOS[[#This Row],[Almacén de Retiro]]),"")</f>
        <v>DPW</v>
      </c>
      <c r="S140" s="56">
        <f>IFERROR(IF(MARÍTIMOS[[#This Row],[Etapa Retiro - Cita]]="","",MARÍTIMOS[[#This Row],[Etapa Retiro - Cita]]),"")</f>
        <v>46264.666666666664</v>
      </c>
      <c r="T140" s="56">
        <f>IFERROR(IF(MARÍTIMOS[[#This Row],[Etapa Retiro - Llegada]]="","",MARÍTIMOS[[#This Row],[Etapa Retiro - Llegada]]),"")</f>
        <v>46264.663194444445</v>
      </c>
      <c r="U140" s="56">
        <f>IFERROR(IF(MARÍTIMOS[[#This Row],[Etapa Retiro - Ingreso]]="","",MARÍTIMOS[[#This Row],[Etapa Retiro - Ingreso]]),"")</f>
        <v>46264.677777777775</v>
      </c>
      <c r="V140" s="56">
        <f>IFERROR(IF(MARÍTIMOS[[#This Row],[Etapa Retiro - Atención]]="","",MARÍTIMOS[[#This Row],[Etapa Retiro - Atención]]),"")</f>
        <v>46264.686111111114</v>
      </c>
      <c r="W140" s="56">
        <f>IFERROR(IF(MARÍTIMOS[[#This Row],[Etapa Retiro - Atención]]="","",MARÍTIMOS[[#This Row],[Etapa Retiro - Atención]]),"")</f>
        <v>46264.686111111114</v>
      </c>
      <c r="X140" s="56">
        <f>IFERROR(IF(MARÍTIMOS[[#This Row],[Etapa Retiro - Inicio de Ruta]]="","",MARÍTIMOS[[#This Row],[Etapa Retiro - Inicio de Ruta]]),"")</f>
        <v>46264.779166666667</v>
      </c>
      <c r="Y140" s="56">
        <f>IFERROR(IF(MARÍTIMOS[[#This Row],[Hora de Posicionamiento]]="","",MARÍTIMOS[[#This Row],[Fecha de Carga]]+MARÍTIMOS[[#This Row],[Hora de Posicionamiento]]),"")</f>
        <v>46264.666666666664</v>
      </c>
      <c r="Z140" s="56" t="str">
        <f>IFERROR(IF(MARÍTIMOS[[#This Row],[Etapa Despacho - Llegada]]="","",MARÍTIMOS[[#This Row],[Etapa Despacho - Llegada]]),"")</f>
        <v/>
      </c>
      <c r="AA140" s="56" t="str">
        <f>IFERROR(IF(MARÍTIMOS[[#This Row],[Etapa Despacho - Registro]]="","",MARÍTIMOS[[#This Row],[Etapa Despacho - Registro]]),"")</f>
        <v/>
      </c>
      <c r="AB140" s="56">
        <f>IFERROR(IF(MARÍTIMOS[[#This Row],[Inspección Externa]]="","",MARÍTIMOS[[#This Row],[Inspección Externa]]),"")</f>
        <v>46265.574999999997</v>
      </c>
      <c r="AC140" s="56" t="str">
        <f>IFERROR(IF(MARÍTIMOS[[#This Row],[Etapa Despacho - Inicio de Carga]]="","",MARÍTIMOS[[#This Row],[Etapa Despacho - Inicio de Carga]]),"")</f>
        <v/>
      </c>
      <c r="AD140" s="56" t="str">
        <f>IFERROR(IF(MARÍTIMOS[[#This Row],[Etapa Despacho - Mitad de Carga]]="","",MARÍTIMOS[[#This Row],[Etapa Despacho - Mitad de Carga]]),"")</f>
        <v/>
      </c>
      <c r="AE140" s="56" t="str">
        <f>IFERROR(IF(MARÍTIMOS[[#This Row],[Etapa Despacho - Fin de Carga]]="","",MARÍTIMOS[[#This Row],[Etapa Despacho - Fin de Carga]]),"")</f>
        <v/>
      </c>
      <c r="AF140" s="53" t="str">
        <f>IFERROR(IF(MARÍTIMOS[[#This Row],[Puerto de Embarque]]="","",MARÍTIMOS[[#This Row],[Puerto de Embarque]]),"")</f>
        <v>Paita</v>
      </c>
      <c r="AG140" s="53" t="str">
        <f>IFERROR(IF(MARÍTIMOS[[#This Row],[Almacén de Ingreso]]="","",MARÍTIMOS[[#This Row],[Almacén de Ingreso]]),"")</f>
        <v>TPE</v>
      </c>
      <c r="AH140" s="56">
        <f>IFERROR(IF(MARÍTIMOS[[#This Row],[Etapa Ingreso - Cita]]="","",MARÍTIMOS[[#This Row],[Etapa Ingreso - Cita]]),"")</f>
        <v>46266.541666666664</v>
      </c>
      <c r="AI140" s="56">
        <f>IFERROR(IF(MARÍTIMOS[[#This Row],[Etapa Ingreso - Llegada]]="","",MARÍTIMOS[[#This Row],[Etapa Ingreso - Llegada]]),"")</f>
        <v>46266.525694444441</v>
      </c>
      <c r="AJ140" s="56">
        <f>IFERROR(IF(MARÍTIMOS[[#This Row],[Etapa Ingreso - Ingeso]]="","",MARÍTIMOS[[#This Row],[Etapa Ingreso - Ingeso]]),"")</f>
        <v>46266.53125</v>
      </c>
      <c r="AK140" s="56">
        <f>IFERROR(IF(MARÍTIMOS[[#This Row],[Etapa Ingreso - Atención]]="","",MARÍTIMOS[[#This Row],[Etapa Ingreso - Atención]]),"")</f>
        <v>46266.540972222225</v>
      </c>
      <c r="AL140" s="56">
        <f>IFERROR(IF(MARÍTIMOS[[#This Row],[Etapa Ingreso - Salida]]="","",MARÍTIMOS[[#This Row],[Etapa Ingreso - Salida]]),"")</f>
        <v>46266.54583333333</v>
      </c>
      <c r="AM140" s="53">
        <f>IFERROR(IF(MARÍTIMOS[[#This Row],[FCL]]="","",MARÍTIMOS[[#This Row],[FCL]]),"")</f>
        <v>1</v>
      </c>
      <c r="AN140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0" s="4" t="str" cm="1">
        <f t="array" ref="AO1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0" s="6" t="str">
        <f>IFERROR(OLDBD[[#This Row],[Llegada a packing]]-OLDBD[[#This Row],[Inicio de Ruta]],"")</f>
        <v/>
      </c>
      <c r="AQ140" s="6">
        <f>IFERROR(OLDBD[[#This Row],[Inicio de Ruta]]-OLDBD[[#This Row],[Salida de almacén de retiro]],"")</f>
        <v>9.3055555553291924E-2</v>
      </c>
      <c r="AR140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0" s="8" t="str" cm="1">
        <f t="array" ref="AS1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0" s="9" t="str">
        <f>IFERROR(OLDBD[[#This Row],[Ingreso Packing]]-OLDBD[[#This Row],[Registro en Packing]],"")</f>
        <v/>
      </c>
      <c r="AV140" s="9" t="str">
        <f>IFERROR(OLDBD[[#This Row],[Ingreso Packing]]-OLDBD[[#This Row],[Llegada a packing]],"")</f>
        <v/>
      </c>
      <c r="AW1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0" s="6" t="str">
        <f>IFERROR(OLDBD[[#This Row],[Llegada Almacén de Ingreso]]-OLDBD[[#This Row],[Salida Packing]],"")</f>
        <v/>
      </c>
      <c r="AY140" s="4" t="str" cm="1">
        <f t="array" ref="AY1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0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40" s="58" t="s">
        <v>173</v>
      </c>
      <c r="BB140" s="59" t="str">
        <f>IFERROR(IF(MARÍTIMOS[[#This Row],[Estatus]]="","",MARÍTIMOS[[#This Row],[Estatus]]),"")</f>
        <v>Confirmado</v>
      </c>
      <c r="BC140" s="58"/>
      <c r="BD140" s="60">
        <f>IFERROR(OLDBD[[#This Row],[Salida de almacén de retiro]]-OLDBD[[#This Row],[Ingreso Almacén de retiro]],"")</f>
        <v>8.3333333386690356E-3</v>
      </c>
      <c r="BE140" s="60" t="str">
        <f>IFERROR(OLDBD[[#This Row],[Fin de Carga]]-OLDBD[[#This Row],[Inicio de Carga]],"")</f>
        <v/>
      </c>
    </row>
    <row r="141" spans="1:57" hidden="1">
      <c r="A141" s="52"/>
      <c r="B141" s="52">
        <f>IFERROR(IF(MARÍTIMOS[[#This Row],[PP]]="","",MARÍTIMOS[[#This Row],[PP]]),"")</f>
        <v>36</v>
      </c>
      <c r="C141" s="52" t="str">
        <f>IFERROR(IF(MARÍTIMOS[[#This Row],[Sede]]="","",MARÍTIMOS[[#This Row],[Sede]]),"")</f>
        <v>Chao</v>
      </c>
      <c r="D141" s="52" t="str">
        <f>IFERROR(IF(MARÍTIMOS[[#This Row],[Instruction]]="","",MARÍTIMOS[[#This Row],[Instruction]]),"")</f>
        <v>RH-0685</v>
      </c>
      <c r="E141" s="52"/>
      <c r="F141" s="53" t="str">
        <f>IFERROR(IF(MARÍTIMOS[[#This Row],[Transportista]]="","",MARÍTIMOS[[#This Row],[Transportista]]),"")</f>
        <v>Expert Transport</v>
      </c>
      <c r="G141" s="53" t="str">
        <f>IFERROR(IF(MARÍTIMOS[[#This Row],[Tercero]]="","",MARÍTIMOS[[#This Row],[Tercero]]),"")</f>
        <v>NO</v>
      </c>
      <c r="H141" s="53" t="str">
        <f>IFERROR(IF(MARÍTIMOS[[#This Row],[Razón Social]]="","",MARÍTIMOS[[#This Row],[Razón Social]]),"")</f>
        <v xml:space="preserve">EXPERT TRANSPORT SAC </v>
      </c>
      <c r="I141" s="53">
        <f>IFERROR(IF(MARÍTIMOS[[#This Row],[RUC]]="","",MARÍTIMOS[[#This Row],[RUC]]),"")</f>
        <v>20544424751</v>
      </c>
      <c r="J141" s="53" t="str">
        <f>IFERROR(IF(MARÍTIMOS[[#This Row],[Placa Tracto]]="","",MARÍTIMOS[[#This Row],[Placa Tracto]]),"")</f>
        <v>T2K823</v>
      </c>
      <c r="K141" s="53" t="str">
        <f>IFERROR(IF(MARÍTIMOS[[#This Row],[Placa Carreta]]="","",MARÍTIMOS[[#This Row],[Placa Carreta]]),"")</f>
        <v>TCN982</v>
      </c>
      <c r="L141" s="54" t="str">
        <f>IFERROR(IF(MARÍTIMOS[[#This Row],[Conductor]]="","",MARÍTIMOS[[#This Row],[Conductor]]),"")</f>
        <v>RICARDO ALFARO CABRERA</v>
      </c>
      <c r="M141" s="53" t="str">
        <f>IFERROR(IF(MARÍTIMOS[[#This Row],[Licencia]]="","",MARÍTIMOS[[#This Row],[Licencia]]),"")</f>
        <v>D17980722</v>
      </c>
      <c r="N141" s="53">
        <f>IFERROR(IF(MARÍTIMOS[[#This Row],[Número de Contacto]]="","",MARÍTIMOS[[#This Row],[Número de Contacto]]),"")</f>
        <v>952032140</v>
      </c>
      <c r="O141" s="55" t="str">
        <f>IFERROR(IF(MARÍTIMOS[[#This Row],[Booking|AWB|CRT]]="","",MARÍTIMOS[[#This Row],[Booking|AWB|CRT]]),"")</f>
        <v>PER9214283A</v>
      </c>
      <c r="P141" s="53" t="str">
        <f>IFERROR(IF(MARÍTIMOS[[#This Row],[Contenedor]]="","",MARÍTIMOS[[#This Row],[Contenedor]]),"")</f>
        <v>SEKU9420610</v>
      </c>
      <c r="Q141" s="53" t="str">
        <f>IFERROR(IF(MARÍTIMOS[[#This Row],[Puerto de Retiro]]="","",MARÍTIMOS[[#This Row],[Puerto de Retiro]]),"")</f>
        <v>PAITA</v>
      </c>
      <c r="R141" s="53" t="str">
        <f>IFERROR(IF(MARÍTIMOS[[#This Row],[Almacén de Retiro]]="","",MARÍTIMOS[[#This Row],[Almacén de Retiro]]),"")</f>
        <v>DPW</v>
      </c>
      <c r="S141" s="56">
        <f>IFERROR(IF(MARÍTIMOS[[#This Row],[Etapa Retiro - Cita]]="","",MARÍTIMOS[[#This Row],[Etapa Retiro - Cita]]),"")</f>
        <v>46270.458333333336</v>
      </c>
      <c r="T141" s="56">
        <f>IFERROR(IF(MARÍTIMOS[[#This Row],[Etapa Retiro - Llegada]]="","",MARÍTIMOS[[#This Row],[Etapa Retiro - Llegada]]),"")</f>
        <v>46270.481249999997</v>
      </c>
      <c r="U141" s="56">
        <f>IFERROR(IF(MARÍTIMOS[[#This Row],[Etapa Retiro - Ingreso]]="","",MARÍTIMOS[[#This Row],[Etapa Retiro - Ingreso]]),"")</f>
        <v>46270.513194444444</v>
      </c>
      <c r="V141" s="56">
        <f>IFERROR(IF(MARÍTIMOS[[#This Row],[Etapa Retiro - Atención]]="","",MARÍTIMOS[[#This Row],[Etapa Retiro - Atención]]),"")</f>
        <v>46270.520833333336</v>
      </c>
      <c r="W141" s="56">
        <f>IFERROR(IF(MARÍTIMOS[[#This Row],[Etapa Retiro - Atención]]="","",MARÍTIMOS[[#This Row],[Etapa Retiro - Atención]]),"")</f>
        <v>46270.520833333336</v>
      </c>
      <c r="X141" s="56">
        <f>IFERROR(IF(MARÍTIMOS[[#This Row],[Etapa Retiro - Inicio de Ruta]]="","",MARÍTIMOS[[#This Row],[Etapa Retiro - Inicio de Ruta]]),"")</f>
        <v>46270.597916666666</v>
      </c>
      <c r="Y141" s="56">
        <f>IFERROR(IF(MARÍTIMOS[[#This Row],[Hora de Posicionamiento]]="","",MARÍTIMOS[[#This Row],[Fecha de Carga]]+MARÍTIMOS[[#This Row],[Hora de Posicionamiento]]),"")</f>
        <v>46270.5</v>
      </c>
      <c r="Z141" s="56" t="str">
        <f>IFERROR(IF(MARÍTIMOS[[#This Row],[Etapa Despacho - Llegada]]="","",MARÍTIMOS[[#This Row],[Etapa Despacho - Llegada]]),"")</f>
        <v/>
      </c>
      <c r="AA141" s="56" t="str">
        <f>IFERROR(IF(MARÍTIMOS[[#This Row],[Etapa Despacho - Registro]]="","",MARÍTIMOS[[#This Row],[Etapa Despacho - Registro]]),"")</f>
        <v/>
      </c>
      <c r="AB141" s="56">
        <f>IFERROR(IF(MARÍTIMOS[[#This Row],[Inspección Externa]]="","",MARÍTIMOS[[#This Row],[Inspección Externa]]),"")</f>
        <v>46271.46875</v>
      </c>
      <c r="AC141" s="56" t="str">
        <f>IFERROR(IF(MARÍTIMOS[[#This Row],[Etapa Despacho - Inicio de Carga]]="","",MARÍTIMOS[[#This Row],[Etapa Despacho - Inicio de Carga]]),"")</f>
        <v/>
      </c>
      <c r="AD141" s="56" t="str">
        <f>IFERROR(IF(MARÍTIMOS[[#This Row],[Etapa Despacho - Mitad de Carga]]="","",MARÍTIMOS[[#This Row],[Etapa Despacho - Mitad de Carga]]),"")</f>
        <v/>
      </c>
      <c r="AE141" s="56" t="str">
        <f>IFERROR(IF(MARÍTIMOS[[#This Row],[Etapa Despacho - Fin de Carga]]="","",MARÍTIMOS[[#This Row],[Etapa Despacho - Fin de Carga]]),"")</f>
        <v/>
      </c>
      <c r="AF141" s="53" t="str">
        <f>IFERROR(IF(MARÍTIMOS[[#This Row],[Puerto de Embarque]]="","",MARÍTIMOS[[#This Row],[Puerto de Embarque]]),"")</f>
        <v>Paita</v>
      </c>
      <c r="AG141" s="53" t="str">
        <f>IFERROR(IF(MARÍTIMOS[[#This Row],[Almacén de Ingreso]]="","",MARÍTIMOS[[#This Row],[Almacén de Ingreso]]),"")</f>
        <v>TPE</v>
      </c>
      <c r="AH141" s="56">
        <f>IFERROR(IF(MARÍTIMOS[[#This Row],[Etapa Ingreso - Cita]]="","",MARÍTIMOS[[#This Row],[Etapa Ingreso - Cita]]),"")</f>
        <v>46272.583333333336</v>
      </c>
      <c r="AI141" s="56">
        <f>IFERROR(IF(MARÍTIMOS[[#This Row],[Etapa Ingreso - Llegada]]="","",MARÍTIMOS[[#This Row],[Etapa Ingreso - Llegada]]),"")</f>
        <v>46272.545138888891</v>
      </c>
      <c r="AJ141" s="56">
        <f>IFERROR(IF(MARÍTIMOS[[#This Row],[Etapa Ingreso - Ingeso]]="","",MARÍTIMOS[[#This Row],[Etapa Ingreso - Ingeso]]),"")</f>
        <v>46272.548611111109</v>
      </c>
      <c r="AK141" s="56">
        <f>IFERROR(IF(MARÍTIMOS[[#This Row],[Etapa Ingreso - Atención]]="","",MARÍTIMOS[[#This Row],[Etapa Ingreso - Atención]]),"")</f>
        <v>46272.553472222222</v>
      </c>
      <c r="AL141" s="56">
        <f>IFERROR(IF(MARÍTIMOS[[#This Row],[Etapa Ingreso - Salida]]="","",MARÍTIMOS[[#This Row],[Etapa Ingreso - Salida]]),"")</f>
        <v>46272.5625</v>
      </c>
      <c r="AM141" s="53">
        <f>IFERROR(IF(MARÍTIMOS[[#This Row],[FCL]]="","",MARÍTIMOS[[#This Row],[FCL]]),"")</f>
        <v>1</v>
      </c>
      <c r="AN141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1" s="4" t="str" cm="1">
        <f t="array" ref="AO1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1" s="6" t="str">
        <f>IFERROR(OLDBD[[#This Row],[Llegada a packing]]-OLDBD[[#This Row],[Inicio de Ruta]],"")</f>
        <v/>
      </c>
      <c r="AQ141" s="6">
        <f>IFERROR(OLDBD[[#This Row],[Inicio de Ruta]]-OLDBD[[#This Row],[Salida de almacén de retiro]],"")</f>
        <v>7.7083333329937886E-2</v>
      </c>
      <c r="AR141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1" s="8" t="str" cm="1">
        <f t="array" ref="AS1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1" s="9" t="str">
        <f>IFERROR(OLDBD[[#This Row],[Ingreso Packing]]-OLDBD[[#This Row],[Registro en Packing]],"")</f>
        <v/>
      </c>
      <c r="AV141" s="9" t="str">
        <f>IFERROR(OLDBD[[#This Row],[Ingreso Packing]]-OLDBD[[#This Row],[Llegada a packing]],"")</f>
        <v/>
      </c>
      <c r="AW1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1" s="6" t="str">
        <f>IFERROR(OLDBD[[#This Row],[Llegada Almacén de Ingreso]]-OLDBD[[#This Row],[Salida Packing]],"")</f>
        <v/>
      </c>
      <c r="AY141" s="4" t="str" cm="1">
        <f t="array" ref="AY1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1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41" s="58" t="s">
        <v>173</v>
      </c>
      <c r="BB141" s="59" t="str">
        <f>IFERROR(IF(MARÍTIMOS[[#This Row],[Estatus]]="","",MARÍTIMOS[[#This Row],[Estatus]]),"")</f>
        <v>Confirmado</v>
      </c>
      <c r="BC141" s="58"/>
      <c r="BD141" s="60">
        <f>IFERROR(OLDBD[[#This Row],[Salida de almacén de retiro]]-OLDBD[[#This Row],[Ingreso Almacén de retiro]],"")</f>
        <v>7.6388888919609599E-3</v>
      </c>
      <c r="BE141" s="60" t="str">
        <f>IFERROR(OLDBD[[#This Row],[Fin de Carga]]-OLDBD[[#This Row],[Inicio de Carga]],"")</f>
        <v/>
      </c>
    </row>
    <row r="142" spans="1:57" hidden="1">
      <c r="A142" s="52"/>
      <c r="B142" s="52">
        <f>IFERROR(IF(MARÍTIMOS[[#This Row],[PP]]="","",MARÍTIMOS[[#This Row],[PP]]),"")</f>
        <v>36</v>
      </c>
      <c r="C142" s="52" t="str">
        <f>IFERROR(IF(MARÍTIMOS[[#This Row],[Sede]]="","",MARÍTIMOS[[#This Row],[Sede]]),"")</f>
        <v>Chao</v>
      </c>
      <c r="D142" s="52" t="str">
        <f>IFERROR(IF(MARÍTIMOS[[#This Row],[Instruction]]="","",MARÍTIMOS[[#This Row],[Instruction]]),"")</f>
        <v>RH-0676</v>
      </c>
      <c r="E142" s="52"/>
      <c r="F142" s="53" t="str">
        <f>IFERROR(IF(MARÍTIMOS[[#This Row],[Transportista]]="","",MARÍTIMOS[[#This Row],[Transportista]]),"")</f>
        <v>Expert Transport</v>
      </c>
      <c r="G142" s="53" t="str">
        <f>IFERROR(IF(MARÍTIMOS[[#This Row],[Tercero]]="","",MARÍTIMOS[[#This Row],[Tercero]]),"")</f>
        <v>NO</v>
      </c>
      <c r="H142" s="53" t="str">
        <f>IFERROR(IF(MARÍTIMOS[[#This Row],[Razón Social]]="","",MARÍTIMOS[[#This Row],[Razón Social]]),"")</f>
        <v xml:space="preserve">EXPERT TRANSPORT SAC </v>
      </c>
      <c r="I142" s="53">
        <f>IFERROR(IF(MARÍTIMOS[[#This Row],[RUC]]="","",MARÍTIMOS[[#This Row],[RUC]]),"")</f>
        <v>20544424751</v>
      </c>
      <c r="J142" s="53" t="str">
        <f>IFERROR(IF(MARÍTIMOS[[#This Row],[Placa Tracto]]="","",MARÍTIMOS[[#This Row],[Placa Tracto]]),"")</f>
        <v>D1A797</v>
      </c>
      <c r="K142" s="53" t="str">
        <f>IFERROR(IF(MARÍTIMOS[[#This Row],[Placa Carreta]]="","",MARÍTIMOS[[#This Row],[Placa Carreta]]),"")</f>
        <v>TNQ977</v>
      </c>
      <c r="L142" s="54" t="str">
        <f>IFERROR(IF(MARÍTIMOS[[#This Row],[Conductor]]="","",MARÍTIMOS[[#This Row],[Conductor]]),"")</f>
        <v>FREDERIS JOSE PAVON RUIZ</v>
      </c>
      <c r="M142" s="53" t="str">
        <f>IFERROR(IF(MARÍTIMOS[[#This Row],[Licencia]]="","",MARÍTIMOS[[#This Row],[Licencia]]),"")</f>
        <v>Q005175672</v>
      </c>
      <c r="N142" s="53">
        <f>IFERROR(IF(MARÍTIMOS[[#This Row],[Número de Contacto]]="","",MARÍTIMOS[[#This Row],[Número de Contacto]]),"")</f>
        <v>946500525</v>
      </c>
      <c r="O142" s="55" t="str">
        <f>IFERROR(IF(MARÍTIMOS[[#This Row],[Booking|AWB|CRT]]="","",MARÍTIMOS[[#This Row],[Booking|AWB|CRT]]),"")</f>
        <v>BN82788</v>
      </c>
      <c r="P142" s="53" t="str">
        <f>IFERROR(IF(MARÍTIMOS[[#This Row],[Contenedor]]="","",MARÍTIMOS[[#This Row],[Contenedor]]),"")</f>
        <v>TEMU9792100</v>
      </c>
      <c r="Q142" s="53" t="str">
        <f>IFERROR(IF(MARÍTIMOS[[#This Row],[Puerto de Retiro]]="","",MARÍTIMOS[[#This Row],[Puerto de Retiro]]),"")</f>
        <v>PAITA</v>
      </c>
      <c r="R142" s="53" t="str">
        <f>IFERROR(IF(MARÍTIMOS[[#This Row],[Almacén de Retiro]]="","",MARÍTIMOS[[#This Row],[Almacén de Retiro]]),"")</f>
        <v>DPW</v>
      </c>
      <c r="S142" s="56">
        <f>IFERROR(IF(MARÍTIMOS[[#This Row],[Etapa Retiro - Cita]]="","",MARÍTIMOS[[#This Row],[Etapa Retiro - Cita]]),"")</f>
        <v>46270.666666666664</v>
      </c>
      <c r="T142" s="56">
        <f>IFERROR(IF(MARÍTIMOS[[#This Row],[Etapa Retiro - Llegada]]="","",MARÍTIMOS[[#This Row],[Etapa Retiro - Llegada]]),"")</f>
        <v>46270.690972222219</v>
      </c>
      <c r="U142" s="56">
        <f>IFERROR(IF(MARÍTIMOS[[#This Row],[Etapa Retiro - Ingreso]]="","",MARÍTIMOS[[#This Row],[Etapa Retiro - Ingreso]]),"")</f>
        <v>46270.699305555558</v>
      </c>
      <c r="V142" s="56">
        <f>IFERROR(IF(MARÍTIMOS[[#This Row],[Etapa Retiro - Atención]]="","",MARÍTIMOS[[#This Row],[Etapa Retiro - Atención]]),"")</f>
        <v>46270.730555555558</v>
      </c>
      <c r="W142" s="56">
        <f>IFERROR(IF(MARÍTIMOS[[#This Row],[Etapa Retiro - Atención]]="","",MARÍTIMOS[[#This Row],[Etapa Retiro - Atención]]),"")</f>
        <v>46270.730555555558</v>
      </c>
      <c r="X142" s="56">
        <f>IFERROR(IF(MARÍTIMOS[[#This Row],[Etapa Retiro - Inicio de Ruta]]="","",MARÍTIMOS[[#This Row],[Etapa Retiro - Inicio de Ruta]]),"")</f>
        <v>46270.786805555559</v>
      </c>
      <c r="Y142" s="56">
        <f>IFERROR(IF(MARÍTIMOS[[#This Row],[Hora de Posicionamiento]]="","",MARÍTIMOS[[#This Row],[Fecha de Carga]]+MARÍTIMOS[[#This Row],[Hora de Posicionamiento]]),"")</f>
        <v>46270.583333333336</v>
      </c>
      <c r="Z142" s="56" t="str">
        <f>IFERROR(IF(MARÍTIMOS[[#This Row],[Etapa Despacho - Llegada]]="","",MARÍTIMOS[[#This Row],[Etapa Despacho - Llegada]]),"")</f>
        <v/>
      </c>
      <c r="AA142" s="56" t="str">
        <f>IFERROR(IF(MARÍTIMOS[[#This Row],[Etapa Despacho - Registro]]="","",MARÍTIMOS[[#This Row],[Etapa Despacho - Registro]]),"")</f>
        <v/>
      </c>
      <c r="AB142" s="56">
        <f>IFERROR(IF(MARÍTIMOS[[#This Row],[Inspección Externa]]="","",MARÍTIMOS[[#This Row],[Inspección Externa]]),"")</f>
        <v>46271.540277777778</v>
      </c>
      <c r="AC142" s="56" t="str">
        <f>IFERROR(IF(MARÍTIMOS[[#This Row],[Etapa Despacho - Inicio de Carga]]="","",MARÍTIMOS[[#This Row],[Etapa Despacho - Inicio de Carga]]),"")</f>
        <v/>
      </c>
      <c r="AD142" s="56" t="str">
        <f>IFERROR(IF(MARÍTIMOS[[#This Row],[Etapa Despacho - Mitad de Carga]]="","",MARÍTIMOS[[#This Row],[Etapa Despacho - Mitad de Carga]]),"")</f>
        <v/>
      </c>
      <c r="AE142" s="56" t="str">
        <f>IFERROR(IF(MARÍTIMOS[[#This Row],[Etapa Despacho - Fin de Carga]]="","",MARÍTIMOS[[#This Row],[Etapa Despacho - Fin de Carga]]),"")</f>
        <v/>
      </c>
      <c r="AF142" s="53" t="str">
        <f>IFERROR(IF(MARÍTIMOS[[#This Row],[Puerto de Embarque]]="","",MARÍTIMOS[[#This Row],[Puerto de Embarque]]),"")</f>
        <v>Paita</v>
      </c>
      <c r="AG142" s="53" t="str">
        <f>IFERROR(IF(MARÍTIMOS[[#This Row],[Almacén de Ingreso]]="","",MARÍTIMOS[[#This Row],[Almacén de Ingreso]]),"")</f>
        <v>TPE</v>
      </c>
      <c r="AH142" s="56">
        <f>IFERROR(IF(MARÍTIMOS[[#This Row],[Etapa Ingreso - Cita]]="","",MARÍTIMOS[[#This Row],[Etapa Ingreso - Cita]]),"")</f>
        <v>46272.625</v>
      </c>
      <c r="AI142" s="56">
        <f>IFERROR(IF(MARÍTIMOS[[#This Row],[Etapa Ingreso - Llegada]]="","",MARÍTIMOS[[#This Row],[Etapa Ingreso - Llegada]]),"")</f>
        <v>46272.595833333333</v>
      </c>
      <c r="AJ142" s="56">
        <f>IFERROR(IF(MARÍTIMOS[[#This Row],[Etapa Ingreso - Ingeso]]="","",MARÍTIMOS[[#This Row],[Etapa Ingreso - Ingeso]]),"")</f>
        <v>46272.595833333333</v>
      </c>
      <c r="AK142" s="56">
        <f>IFERROR(IF(MARÍTIMOS[[#This Row],[Etapa Ingreso - Atención]]="","",MARÍTIMOS[[#This Row],[Etapa Ingreso - Atención]]),"")</f>
        <v>46272.602083333331</v>
      </c>
      <c r="AL142" s="56">
        <f>IFERROR(IF(MARÍTIMOS[[#This Row],[Etapa Ingreso - Salida]]="","",MARÍTIMOS[[#This Row],[Etapa Ingreso - Salida]]),"")</f>
        <v>46272.606944444444</v>
      </c>
      <c r="AM142" s="53">
        <f>IFERROR(IF(MARÍTIMOS[[#This Row],[FCL]]="","",MARÍTIMOS[[#This Row],[FCL]]),"")</f>
        <v>1</v>
      </c>
      <c r="AN142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2" s="4" t="str" cm="1">
        <f t="array" ref="AO1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2" s="6" t="str">
        <f>IFERROR(OLDBD[[#This Row],[Llegada a packing]]-OLDBD[[#This Row],[Inicio de Ruta]],"")</f>
        <v/>
      </c>
      <c r="AQ142" s="6">
        <f>IFERROR(OLDBD[[#This Row],[Inicio de Ruta]]-OLDBD[[#This Row],[Salida de almacén de retiro]],"")</f>
        <v>5.6250000001455192E-2</v>
      </c>
      <c r="AR142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2" s="8" t="str" cm="1">
        <f t="array" ref="AS1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2" s="9" t="str">
        <f>IFERROR(OLDBD[[#This Row],[Ingreso Packing]]-OLDBD[[#This Row],[Registro en Packing]],"")</f>
        <v/>
      </c>
      <c r="AV142" s="9" t="str">
        <f>IFERROR(OLDBD[[#This Row],[Ingreso Packing]]-OLDBD[[#This Row],[Llegada a packing]],"")</f>
        <v/>
      </c>
      <c r="AW1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2" s="6" t="str">
        <f>IFERROR(OLDBD[[#This Row],[Llegada Almacén de Ingreso]]-OLDBD[[#This Row],[Salida Packing]],"")</f>
        <v/>
      </c>
      <c r="AY142" s="4" t="str" cm="1">
        <f t="array" ref="AY1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2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42" s="58" t="s">
        <v>173</v>
      </c>
      <c r="BB142" s="59" t="str">
        <f>IFERROR(IF(MARÍTIMOS[[#This Row],[Estatus]]="","",MARÍTIMOS[[#This Row],[Estatus]]),"")</f>
        <v>Confirmado</v>
      </c>
      <c r="BC142" s="58"/>
      <c r="BD142" s="60">
        <f>IFERROR(OLDBD[[#This Row],[Salida de almacén de retiro]]-OLDBD[[#This Row],[Ingreso Almacén de retiro]],"")</f>
        <v>3.125E-2</v>
      </c>
      <c r="BE142" s="60" t="str">
        <f>IFERROR(OLDBD[[#This Row],[Fin de Carga]]-OLDBD[[#This Row],[Inicio de Carga]],"")</f>
        <v/>
      </c>
    </row>
    <row r="143" spans="1:57" customFormat="1" hidden="1">
      <c r="A143" s="1"/>
      <c r="B143" s="1">
        <f>IFERROR(IF(MARÍTIMOS[[#This Row],[PP]]="","",MARÍTIMOS[[#This Row],[PP]]),"")</f>
        <v>36</v>
      </c>
      <c r="C143" s="1" t="str">
        <f>IFERROR(IF(MARÍTIMOS[[#This Row],[Sede]]="","",MARÍTIMOS[[#This Row],[Sede]]),"")</f>
        <v>Chao</v>
      </c>
      <c r="D143" s="1" t="str">
        <f>IFERROR(IF(MARÍTIMOS[[#This Row],[Instruction]]="","",MARÍTIMOS[[#This Row],[Instruction]]),"")</f>
        <v>RH-0674</v>
      </c>
      <c r="E143" s="1"/>
      <c r="F143" s="2" t="str">
        <f>IFERROR(IF(MARÍTIMOS[[#This Row],[Transportista]]="","",MARÍTIMOS[[#This Row],[Transportista]]),"")</f>
        <v>Expert Transport</v>
      </c>
      <c r="G143" s="2" t="str">
        <f>IFERROR(IF(MARÍTIMOS[[#This Row],[Tercero]]="","",MARÍTIMOS[[#This Row],[Tercero]]),"")</f>
        <v>NO</v>
      </c>
      <c r="H143" s="2" t="str">
        <f>IFERROR(IF(MARÍTIMOS[[#This Row],[Razón Social]]="","",MARÍTIMOS[[#This Row],[Razón Social]]),"")</f>
        <v xml:space="preserve">EXPERT TRANSPORT SAC </v>
      </c>
      <c r="I143" s="2">
        <f>IFERROR(IF(MARÍTIMOS[[#This Row],[RUC]]="","",MARÍTIMOS[[#This Row],[RUC]]),"")</f>
        <v>20544424751</v>
      </c>
      <c r="J143" s="2" t="str">
        <f>IFERROR(IF(MARÍTIMOS[[#This Row],[Placa Tracto]]="","",MARÍTIMOS[[#This Row],[Placa Tracto]]),"")</f>
        <v>Z5S732</v>
      </c>
      <c r="K143" s="2" t="str">
        <f>IFERROR(IF(MARÍTIMOS[[#This Row],[Placa Carreta]]="","",MARÍTIMOS[[#This Row],[Placa Carreta]]),"")</f>
        <v>TFD996</v>
      </c>
      <c r="L143" s="44" t="str">
        <f>IFERROR(IF(MARÍTIMOS[[#This Row],[Conductor]]="","",MARÍTIMOS[[#This Row],[Conductor]]),"")</f>
        <v>DANIEL CUOCCI FERNANDEZ</v>
      </c>
      <c r="M143" s="2" t="str">
        <f>IFERROR(IF(MARÍTIMOS[[#This Row],[Licencia]]="","",MARÍTIMOS[[#This Row],[Licencia]]),"")</f>
        <v>B003202620</v>
      </c>
      <c r="N143" s="2">
        <f>IFERROR(IF(MARÍTIMOS[[#This Row],[Número de Contacto]]="","",MARÍTIMOS[[#This Row],[Número de Contacto]]),"")</f>
        <v>916329861</v>
      </c>
      <c r="O143" s="10" t="str">
        <f>IFERROR(IF(MARÍTIMOS[[#This Row],[Booking|AWB|CRT]]="","",MARÍTIMOS[[#This Row],[Booking|AWB|CRT]]),"")</f>
        <v>PER9214275A</v>
      </c>
      <c r="P143" s="2" t="str">
        <f>IFERROR(IF(MARÍTIMOS[[#This Row],[Contenedor]]="","",MARÍTIMOS[[#This Row],[Contenedor]]),"")</f>
        <v>SEKU9424180</v>
      </c>
      <c r="Q143" s="2" t="str">
        <f>IFERROR(IF(MARÍTIMOS[[#This Row],[Puerto de Retiro]]="","",MARÍTIMOS[[#This Row],[Puerto de Retiro]]),"")</f>
        <v>PAITA</v>
      </c>
      <c r="R143" s="2" t="str">
        <f>IFERROR(IF(MARÍTIMOS[[#This Row],[Almacén de Retiro]]="","",MARÍTIMOS[[#This Row],[Almacén de Retiro]]),"")</f>
        <v>DPW</v>
      </c>
      <c r="S143" s="11">
        <f>IFERROR(IF(MARÍTIMOS[[#This Row],[Etapa Retiro - Cita]]="","",MARÍTIMOS[[#This Row],[Etapa Retiro - Cita]]),"")</f>
        <v>46271.666666666664</v>
      </c>
      <c r="T143" s="11">
        <f>IFERROR(IF(MARÍTIMOS[[#This Row],[Etapa Retiro - Llegada]]="","",MARÍTIMOS[[#This Row],[Etapa Retiro - Llegada]]),"")</f>
        <v>46271.670138888891</v>
      </c>
      <c r="U143" s="11">
        <f>IFERROR(IF(MARÍTIMOS[[#This Row],[Etapa Retiro - Ingreso]]="","",MARÍTIMOS[[#This Row],[Etapa Retiro - Ingreso]]),"")</f>
        <v>46271.673611111109</v>
      </c>
      <c r="V143" s="11">
        <f>IFERROR(IF(MARÍTIMOS[[#This Row],[Etapa Retiro - Atención]]="","",MARÍTIMOS[[#This Row],[Etapa Retiro - Atención]]),"")</f>
        <v>46271.684027777781</v>
      </c>
      <c r="W143" s="11">
        <f>IFERROR(IF(MARÍTIMOS[[#This Row],[Etapa Retiro - Atención]]="","",MARÍTIMOS[[#This Row],[Etapa Retiro - Atención]]),"")</f>
        <v>46271.684027777781</v>
      </c>
      <c r="X143" s="11">
        <f>IFERROR(IF(MARÍTIMOS[[#This Row],[Etapa Retiro - Inicio de Ruta]]="","",MARÍTIMOS[[#This Row],[Etapa Retiro - Inicio de Ruta]]),"")</f>
        <v>46271.73333333333</v>
      </c>
      <c r="Y143" s="11">
        <f>IFERROR(IF(MARÍTIMOS[[#This Row],[Hora de Posicionamiento]]="","",MARÍTIMOS[[#This Row],[Fecha de Carga]]+MARÍTIMOS[[#This Row],[Hora de Posicionamiento]]),"")</f>
        <v>46271.5</v>
      </c>
      <c r="Z143" s="11" t="str">
        <f>IFERROR(IF(MARÍTIMOS[[#This Row],[Etapa Despacho - Llegada]]="","",MARÍTIMOS[[#This Row],[Etapa Despacho - Llegada]]),"")</f>
        <v/>
      </c>
      <c r="AA143" s="11" t="str">
        <f>IFERROR(IF(MARÍTIMOS[[#This Row],[Etapa Despacho - Registro]]="","",MARÍTIMOS[[#This Row],[Etapa Despacho - Registro]]),"")</f>
        <v/>
      </c>
      <c r="AB143" s="11">
        <f>IFERROR(IF(MARÍTIMOS[[#This Row],[Inspección Externa]]="","",MARÍTIMOS[[#This Row],[Inspección Externa]]),"")</f>
        <v>46272.527777777781</v>
      </c>
      <c r="AC143" s="11" t="str">
        <f>IFERROR(IF(MARÍTIMOS[[#This Row],[Etapa Despacho - Inicio de Carga]]="","",MARÍTIMOS[[#This Row],[Etapa Despacho - Inicio de Carga]]),"")</f>
        <v/>
      </c>
      <c r="AD143" s="11" t="str">
        <f>IFERROR(IF(MARÍTIMOS[[#This Row],[Etapa Despacho - Mitad de Carga]]="","",MARÍTIMOS[[#This Row],[Etapa Despacho - Mitad de Carga]]),"")</f>
        <v/>
      </c>
      <c r="AE143" s="11" t="str">
        <f>IFERROR(IF(MARÍTIMOS[[#This Row],[Etapa Despacho - Fin de Carga]]="","",MARÍTIMOS[[#This Row],[Etapa Despacho - Fin de Carga]]),"")</f>
        <v/>
      </c>
      <c r="AF143" s="2" t="str">
        <f>IFERROR(IF(MARÍTIMOS[[#This Row],[Puerto de Embarque]]="","",MARÍTIMOS[[#This Row],[Puerto de Embarque]]),"")</f>
        <v>Paita</v>
      </c>
      <c r="AG143" s="2" t="str">
        <f>IFERROR(IF(MARÍTIMOS[[#This Row],[Almacén de Ingreso]]="","",MARÍTIMOS[[#This Row],[Almacén de Ingreso]]),"")</f>
        <v>TPE</v>
      </c>
      <c r="AH143" s="11">
        <f>IFERROR(IF(MARÍTIMOS[[#This Row],[Etapa Ingreso - Cita]]="","",MARÍTIMOS[[#This Row],[Etapa Ingreso - Cita]]),"")</f>
        <v>46273.541666666664</v>
      </c>
      <c r="AI143" s="11">
        <f>IFERROR(IF(MARÍTIMOS[[#This Row],[Etapa Ingreso - Llegada]]="","",MARÍTIMOS[[#This Row],[Etapa Ingreso - Llegada]]),"")</f>
        <v>46273.519444444442</v>
      </c>
      <c r="AJ143" s="11">
        <f>IFERROR(IF(MARÍTIMOS[[#This Row],[Etapa Ingreso - Ingeso]]="","",MARÍTIMOS[[#This Row],[Etapa Ingreso - Ingeso]]),"")</f>
        <v>46273.523611111108</v>
      </c>
      <c r="AK143" s="11">
        <f>IFERROR(IF(MARÍTIMOS[[#This Row],[Etapa Ingreso - Atención]]="","",MARÍTIMOS[[#This Row],[Etapa Ingreso - Atención]]),"")</f>
        <v>46273.530555555553</v>
      </c>
      <c r="AL143" s="11">
        <f>IFERROR(IF(MARÍTIMOS[[#This Row],[Etapa Ingreso - Salida]]="","",MARÍTIMOS[[#This Row],[Etapa Ingreso - Salida]]),"")</f>
        <v>46273.537499999999</v>
      </c>
      <c r="AM143" s="2">
        <f>IFERROR(IF(MARÍTIMOS[[#This Row],[FCL]]="","",MARÍTIMOS[[#This Row],[FCL]]),"")</f>
        <v>1</v>
      </c>
      <c r="AN1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3" s="4" t="str" cm="1">
        <f t="array" ref="AO1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3" s="5" t="str">
        <f>IFERROR(OLDBD[[#This Row],[Llegada a packing]]-OLDBD[[#This Row],[Inicio de Ruta]],"")</f>
        <v/>
      </c>
      <c r="AQ143" s="6">
        <f>IFERROR(OLDBD[[#This Row],[Inicio de Ruta]]-OLDBD[[#This Row],[Salida de almacén de retiro]],"")</f>
        <v>4.930555554892635E-2</v>
      </c>
      <c r="AR1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3" s="8" t="str" cm="1">
        <f t="array" ref="AS1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3" s="9" t="str">
        <f>IFERROR(OLDBD[[#This Row],[Ingreso Packing]]-OLDBD[[#This Row],[Registro en Packing]],"")</f>
        <v/>
      </c>
      <c r="AV143" s="9" t="str">
        <f>IFERROR(OLDBD[[#This Row],[Ingreso Packing]]-OLDBD[[#This Row],[Llegada a packing]],"")</f>
        <v/>
      </c>
      <c r="AW1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3" s="5" t="str">
        <f>IFERROR(OLDBD[[#This Row],[Llegada Almacén de Ingreso]]-OLDBD[[#This Row],[Salida Packing]],"")</f>
        <v/>
      </c>
      <c r="AY143" s="4" t="str" cm="1">
        <f t="array" ref="AY1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43" s="43" t="s">
        <v>173</v>
      </c>
      <c r="BB143" s="47" t="str">
        <f>IFERROR(IF(MARÍTIMOS[[#This Row],[Estatus]]="","",MARÍTIMOS[[#This Row],[Estatus]]),"")</f>
        <v>Confirmado</v>
      </c>
      <c r="BC143" s="43"/>
      <c r="BD143" s="46">
        <f>IFERROR(OLDBD[[#This Row],[Salida de almacén de retiro]]-OLDBD[[#This Row],[Ingreso Almacén de retiro]],"")</f>
        <v>1.0416666671517305E-2</v>
      </c>
      <c r="BE143" s="46" t="str">
        <f>IFERROR(OLDBD[[#This Row],[Fin de Carga]]-OLDBD[[#This Row],[Inicio de Carga]],"")</f>
        <v/>
      </c>
    </row>
    <row r="144" spans="1:57" customFormat="1" hidden="1">
      <c r="A144" s="1"/>
      <c r="B144" s="1">
        <f>IFERROR(IF(MARÍTIMOS[[#This Row],[PP]]="","",MARÍTIMOS[[#This Row],[PP]]),"")</f>
        <v>36</v>
      </c>
      <c r="C144" s="1" t="str">
        <f>IFERROR(IF(MARÍTIMOS[[#This Row],[Sede]]="","",MARÍTIMOS[[#This Row],[Sede]]),"")</f>
        <v>Chao</v>
      </c>
      <c r="D144" s="1" t="str">
        <f>IFERROR(IF(MARÍTIMOS[[#This Row],[Instruction]]="","",MARÍTIMOS[[#This Row],[Instruction]]),"")</f>
        <v>RH-0680</v>
      </c>
      <c r="E144" s="1"/>
      <c r="F144" s="2" t="str">
        <f>IFERROR(IF(MARÍTIMOS[[#This Row],[Transportista]]="","",MARÍTIMOS[[#This Row],[Transportista]]),"")</f>
        <v>Expert Transport</v>
      </c>
      <c r="G144" s="2" t="str">
        <f>IFERROR(IF(MARÍTIMOS[[#This Row],[Tercero]]="","",MARÍTIMOS[[#This Row],[Tercero]]),"")</f>
        <v>NO</v>
      </c>
      <c r="H144" s="2" t="str">
        <f>IFERROR(IF(MARÍTIMOS[[#This Row],[Razón Social]]="","",MARÍTIMOS[[#This Row],[Razón Social]]),"")</f>
        <v xml:space="preserve">EXPERT TRANSPORT SAC </v>
      </c>
      <c r="I144" s="2">
        <f>IFERROR(IF(MARÍTIMOS[[#This Row],[RUC]]="","",MARÍTIMOS[[#This Row],[RUC]]),"")</f>
        <v>20544424751</v>
      </c>
      <c r="J144" s="2" t="str">
        <f>IFERROR(IF(MARÍTIMOS[[#This Row],[Placa Tracto]]="","",MARÍTIMOS[[#This Row],[Placa Tracto]]),"")</f>
        <v>C5Z734</v>
      </c>
      <c r="K144" s="2" t="str">
        <f>IFERROR(IF(MARÍTIMOS[[#This Row],[Placa Carreta]]="","",MARÍTIMOS[[#This Row],[Placa Carreta]]),"")</f>
        <v>TJE975</v>
      </c>
      <c r="L144" s="44" t="str">
        <f>IFERROR(IF(MARÍTIMOS[[#This Row],[Conductor]]="","",MARÍTIMOS[[#This Row],[Conductor]]),"")</f>
        <v>LUIS CARLOS LAMAS RUIZ</v>
      </c>
      <c r="M144" s="2" t="str">
        <f>IFERROR(IF(MARÍTIMOS[[#This Row],[Licencia]]="","",MARÍTIMOS[[#This Row],[Licencia]]),"")</f>
        <v>B009531613</v>
      </c>
      <c r="N144" s="2">
        <f>IFERROR(IF(MARÍTIMOS[[#This Row],[Número de Contacto]]="","",MARÍTIMOS[[#This Row],[Número de Contacto]]),"")</f>
        <v>986078320</v>
      </c>
      <c r="O144" s="10" t="str">
        <f>IFERROR(IF(MARÍTIMOS[[#This Row],[Booking|AWB|CRT]]="","",MARÍTIMOS[[#This Row],[Booking|AWB|CRT]]),"")</f>
        <v>PER9214278A</v>
      </c>
      <c r="P144" s="2" t="str">
        <f>IFERROR(IF(MARÍTIMOS[[#This Row],[Contenedor]]="","",MARÍTIMOS[[#This Row],[Contenedor]]),"")</f>
        <v>SEKU9424301</v>
      </c>
      <c r="Q144" s="2" t="str">
        <f>IFERROR(IF(MARÍTIMOS[[#This Row],[Puerto de Retiro]]="","",MARÍTIMOS[[#This Row],[Puerto de Retiro]]),"")</f>
        <v>PAITA</v>
      </c>
      <c r="R144" s="2" t="str">
        <f>IFERROR(IF(MARÍTIMOS[[#This Row],[Almacén de Retiro]]="","",MARÍTIMOS[[#This Row],[Almacén de Retiro]]),"")</f>
        <v>DPW</v>
      </c>
      <c r="S144" s="11">
        <f>IFERROR(IF(MARÍTIMOS[[#This Row],[Etapa Retiro - Cita]]="","",MARÍTIMOS[[#This Row],[Etapa Retiro - Cita]]),"")</f>
        <v>46271.666666666664</v>
      </c>
      <c r="T144" s="11">
        <f>IFERROR(IF(MARÍTIMOS[[#This Row],[Etapa Retiro - Llegada]]="","",MARÍTIMOS[[#This Row],[Etapa Retiro - Llegada]]),"")</f>
        <v>46271.666666666664</v>
      </c>
      <c r="U144" s="11">
        <f>IFERROR(IF(MARÍTIMOS[[#This Row],[Etapa Retiro - Ingreso]]="","",MARÍTIMOS[[#This Row],[Etapa Retiro - Ingreso]]),"")</f>
        <v>46271.67291666667</v>
      </c>
      <c r="V144" s="11">
        <f>IFERROR(IF(MARÍTIMOS[[#This Row],[Etapa Retiro - Atención]]="","",MARÍTIMOS[[#This Row],[Etapa Retiro - Atención]]),"")</f>
        <v>46271.678472222222</v>
      </c>
      <c r="W144" s="11">
        <f>IFERROR(IF(MARÍTIMOS[[#This Row],[Etapa Retiro - Atención]]="","",MARÍTIMOS[[#This Row],[Etapa Retiro - Atención]]),"")</f>
        <v>46271.678472222222</v>
      </c>
      <c r="X144" s="11">
        <f>IFERROR(IF(MARÍTIMOS[[#This Row],[Etapa Retiro - Inicio de Ruta]]="","",MARÍTIMOS[[#This Row],[Etapa Retiro - Inicio de Ruta]]),"")</f>
        <v>46271.73333333333</v>
      </c>
      <c r="Y144" s="11">
        <f>IFERROR(IF(MARÍTIMOS[[#This Row],[Hora de Posicionamiento]]="","",MARÍTIMOS[[#This Row],[Fecha de Carga]]+MARÍTIMOS[[#This Row],[Hora de Posicionamiento]]),"")</f>
        <v>46271.583333333336</v>
      </c>
      <c r="Z144" s="11" t="str">
        <f>IFERROR(IF(MARÍTIMOS[[#This Row],[Etapa Despacho - Llegada]]="","",MARÍTIMOS[[#This Row],[Etapa Despacho - Llegada]]),"")</f>
        <v/>
      </c>
      <c r="AA144" s="11" t="str">
        <f>IFERROR(IF(MARÍTIMOS[[#This Row],[Etapa Despacho - Registro]]="","",MARÍTIMOS[[#This Row],[Etapa Despacho - Registro]]),"")</f>
        <v/>
      </c>
      <c r="AB144" s="11">
        <f>IFERROR(IF(MARÍTIMOS[[#This Row],[Inspección Externa]]="","",MARÍTIMOS[[#This Row],[Inspección Externa]]),"")</f>
        <v>46272.533333333333</v>
      </c>
      <c r="AC144" s="11" t="str">
        <f>IFERROR(IF(MARÍTIMOS[[#This Row],[Etapa Despacho - Inicio de Carga]]="","",MARÍTIMOS[[#This Row],[Etapa Despacho - Inicio de Carga]]),"")</f>
        <v/>
      </c>
      <c r="AD144" s="11" t="str">
        <f>IFERROR(IF(MARÍTIMOS[[#This Row],[Etapa Despacho - Mitad de Carga]]="","",MARÍTIMOS[[#This Row],[Etapa Despacho - Mitad de Carga]]),"")</f>
        <v/>
      </c>
      <c r="AE144" s="11" t="str">
        <f>IFERROR(IF(MARÍTIMOS[[#This Row],[Etapa Despacho - Fin de Carga]]="","",MARÍTIMOS[[#This Row],[Etapa Despacho - Fin de Carga]]),"")</f>
        <v/>
      </c>
      <c r="AF144" s="2" t="str">
        <f>IFERROR(IF(MARÍTIMOS[[#This Row],[Puerto de Embarque]]="","",MARÍTIMOS[[#This Row],[Puerto de Embarque]]),"")</f>
        <v>Paita</v>
      </c>
      <c r="AG144" s="2" t="str">
        <f>IFERROR(IF(MARÍTIMOS[[#This Row],[Almacén de Ingreso]]="","",MARÍTIMOS[[#This Row],[Almacén de Ingreso]]),"")</f>
        <v>TPE</v>
      </c>
      <c r="AH144" s="11">
        <f>IFERROR(IF(MARÍTIMOS[[#This Row],[Etapa Ingreso - Cita]]="","",MARÍTIMOS[[#This Row],[Etapa Ingreso - Cita]]),"")</f>
        <v>46273.541666666664</v>
      </c>
      <c r="AI144" s="11">
        <f>IFERROR(IF(MARÍTIMOS[[#This Row],[Etapa Ingreso - Llegada]]="","",MARÍTIMOS[[#This Row],[Etapa Ingreso - Llegada]]),"")</f>
        <v>46273.568749999999</v>
      </c>
      <c r="AJ144" s="11">
        <f>IFERROR(IF(MARÍTIMOS[[#This Row],[Etapa Ingreso - Ingeso]]="","",MARÍTIMOS[[#This Row],[Etapa Ingreso - Ingeso]]),"")</f>
        <v>46273.571527777778</v>
      </c>
      <c r="AK144" s="11">
        <f>IFERROR(IF(MARÍTIMOS[[#This Row],[Etapa Ingreso - Atención]]="","",MARÍTIMOS[[#This Row],[Etapa Ingreso - Atención]]),"")</f>
        <v>46273.574999999997</v>
      </c>
      <c r="AL144" s="11">
        <f>IFERROR(IF(MARÍTIMOS[[#This Row],[Etapa Ingreso - Salida]]="","",MARÍTIMOS[[#This Row],[Etapa Ingreso - Salida]]),"")</f>
        <v>46273.589583333334</v>
      </c>
      <c r="AM144" s="2">
        <f>IFERROR(IF(MARÍTIMOS[[#This Row],[FCL]]="","",MARÍTIMOS[[#This Row],[FCL]]),"")</f>
        <v>1</v>
      </c>
      <c r="AN1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4" s="4" t="str" cm="1">
        <f t="array" ref="AO1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4" s="5" t="str">
        <f>IFERROR(OLDBD[[#This Row],[Llegada a packing]]-OLDBD[[#This Row],[Inicio de Ruta]],"")</f>
        <v/>
      </c>
      <c r="AQ144" s="6">
        <f>IFERROR(OLDBD[[#This Row],[Inicio de Ruta]]-OLDBD[[#This Row],[Salida de almacén de retiro]],"")</f>
        <v>5.486111110803904E-2</v>
      </c>
      <c r="AR1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4" s="8" t="str" cm="1">
        <f t="array" ref="AS1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4" s="9" t="str">
        <f>IFERROR(OLDBD[[#This Row],[Ingreso Packing]]-OLDBD[[#This Row],[Registro en Packing]],"")</f>
        <v/>
      </c>
      <c r="AV144" s="9" t="str">
        <f>IFERROR(OLDBD[[#This Row],[Ingreso Packing]]-OLDBD[[#This Row],[Llegada a packing]],"")</f>
        <v/>
      </c>
      <c r="AW1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4" s="5" t="str">
        <f>IFERROR(OLDBD[[#This Row],[Llegada Almacén de Ingreso]]-OLDBD[[#This Row],[Salida Packing]],"")</f>
        <v/>
      </c>
      <c r="AY144" s="4" t="str" cm="1">
        <f t="array" ref="AY1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44" s="43" t="s">
        <v>173</v>
      </c>
      <c r="BB144" s="47" t="str">
        <f>IFERROR(IF(MARÍTIMOS[[#This Row],[Estatus]]="","",MARÍTIMOS[[#This Row],[Estatus]]),"")</f>
        <v>Confirmado</v>
      </c>
      <c r="BC144" s="43"/>
      <c r="BD144" s="46">
        <f>IFERROR(OLDBD[[#This Row],[Salida de almacén de retiro]]-OLDBD[[#This Row],[Ingreso Almacén de retiro]],"")</f>
        <v>5.5555555518367328E-3</v>
      </c>
      <c r="BE144" s="46" t="str">
        <f>IFERROR(OLDBD[[#This Row],[Fin de Carga]]-OLDBD[[#This Row],[Inicio de Carga]],"")</f>
        <v/>
      </c>
    </row>
    <row r="145" spans="1:57" customFormat="1" hidden="1">
      <c r="A145" s="1"/>
      <c r="B145" s="1">
        <f>IFERROR(IF(MARÍTIMOS[[#This Row],[PP]]="","",MARÍTIMOS[[#This Row],[PP]]),"")</f>
        <v>37</v>
      </c>
      <c r="C145" s="1" t="str">
        <f>IFERROR(IF(MARÍTIMOS[[#This Row],[Sede]]="","",MARÍTIMOS[[#This Row],[Sede]]),"")</f>
        <v>Chao</v>
      </c>
      <c r="D145" s="1" t="str">
        <f>IFERROR(IF(MARÍTIMOS[[#This Row],[Instruction]]="","",MARÍTIMOS[[#This Row],[Instruction]]),"")</f>
        <v>RH-0768</v>
      </c>
      <c r="E145" s="1"/>
      <c r="F145" s="2" t="str">
        <f>IFERROR(IF(MARÍTIMOS[[#This Row],[Transportista]]="","",MARÍTIMOS[[#This Row],[Transportista]]),"")</f>
        <v>Expert Transport</v>
      </c>
      <c r="G145" s="2" t="str">
        <f>IFERROR(IF(MARÍTIMOS[[#This Row],[Tercero]]="","",MARÍTIMOS[[#This Row],[Tercero]]),"")</f>
        <v>NO</v>
      </c>
      <c r="H145" s="2" t="str">
        <f>IFERROR(IF(MARÍTIMOS[[#This Row],[Razón Social]]="","",MARÍTIMOS[[#This Row],[Razón Social]]),"")</f>
        <v xml:space="preserve">EXPERT TRANSPORT SAC </v>
      </c>
      <c r="I145" s="2">
        <f>IFERROR(IF(MARÍTIMOS[[#This Row],[RUC]]="","",MARÍTIMOS[[#This Row],[RUC]]),"")</f>
        <v>20544424751</v>
      </c>
      <c r="J145" s="2" t="str">
        <f>IFERROR(IF(MARÍTIMOS[[#This Row],[Placa Tracto]]="","",MARÍTIMOS[[#This Row],[Placa Tracto]]),"")</f>
        <v>V1B809</v>
      </c>
      <c r="K145" s="2" t="str">
        <f>IFERROR(IF(MARÍTIMOS[[#This Row],[Placa Carreta]]="","",MARÍTIMOS[[#This Row],[Placa Carreta]]),"")</f>
        <v>TKC975</v>
      </c>
      <c r="L145" s="44" t="str">
        <f>IFERROR(IF(MARÍTIMOS[[#This Row],[Conductor]]="","",MARÍTIMOS[[#This Row],[Conductor]]),"")</f>
        <v>GUILLERMO YOSNEY GONZALEZ RUIZ</v>
      </c>
      <c r="M145" s="2" t="str">
        <f>IFERROR(IF(MARÍTIMOS[[#This Row],[Licencia]]="","",MARÍTIMOS[[#This Row],[Licencia]]),"")</f>
        <v>Q005581456</v>
      </c>
      <c r="N145" s="2">
        <f>IFERROR(IF(MARÍTIMOS[[#This Row],[Número de Contacto]]="","",MARÍTIMOS[[#This Row],[Número de Contacto]]),"")</f>
        <v>914472332</v>
      </c>
      <c r="O145" s="10" t="str">
        <f>IFERROR(IF(MARÍTIMOS[[#This Row],[Booking|AWB|CRT]]="","",MARÍTIMOS[[#This Row],[Booking|AWB|CRT]]),"")</f>
        <v>MBM250067142</v>
      </c>
      <c r="P145" s="2" t="str">
        <f>IFERROR(IF(MARÍTIMOS[[#This Row],[Contenedor]]="","",MARÍTIMOS[[#This Row],[Contenedor]]),"")</f>
        <v xml:space="preserve">CAIU5578689 </v>
      </c>
      <c r="Q145" s="2" t="str">
        <f>IFERROR(IF(MARÍTIMOS[[#This Row],[Puerto de Retiro]]="","",MARÍTIMOS[[#This Row],[Puerto de Retiro]]),"")</f>
        <v>PAITA</v>
      </c>
      <c r="R145" s="2" t="str">
        <f>IFERROR(IF(MARÍTIMOS[[#This Row],[Almacén de Retiro]]="","",MARÍTIMOS[[#This Row],[Almacén de Retiro]]),"")</f>
        <v>MACROMAR</v>
      </c>
      <c r="S145" s="11">
        <f>IFERROR(IF(MARÍTIMOS[[#This Row],[Etapa Retiro - Cita]]="","",MARÍTIMOS[[#This Row],[Etapa Retiro - Cita]]),"")</f>
        <v>46274.583333333336</v>
      </c>
      <c r="T145" s="11">
        <f>IFERROR(IF(MARÍTIMOS[[#This Row],[Etapa Retiro - Llegada]]="","",MARÍTIMOS[[#This Row],[Etapa Retiro - Llegada]]),"")</f>
        <v>46274.594444444447</v>
      </c>
      <c r="U145" s="11">
        <f>IFERROR(IF(MARÍTIMOS[[#This Row],[Etapa Retiro - Ingreso]]="","",MARÍTIMOS[[#This Row],[Etapa Retiro - Ingreso]]),"")</f>
        <v>46274.59652777778</v>
      </c>
      <c r="V145" s="11">
        <f>IFERROR(IF(MARÍTIMOS[[#This Row],[Etapa Retiro - Atención]]="","",MARÍTIMOS[[#This Row],[Etapa Retiro - Atención]]),"")</f>
        <v>46274.606249999997</v>
      </c>
      <c r="W145" s="11">
        <f>IFERROR(IF(MARÍTIMOS[[#This Row],[Etapa Retiro - Atención]]="","",MARÍTIMOS[[#This Row],[Etapa Retiro - Atención]]),"")</f>
        <v>46274.606249999997</v>
      </c>
      <c r="X145" s="11">
        <f>IFERROR(IF(MARÍTIMOS[[#This Row],[Etapa Retiro - Inicio de Ruta]]="","",MARÍTIMOS[[#This Row],[Etapa Retiro - Inicio de Ruta]]),"")</f>
        <v>46274.706944444442</v>
      </c>
      <c r="Y145" s="11">
        <f>IFERROR(IF(MARÍTIMOS[[#This Row],[Hora de Posicionamiento]]="","",MARÍTIMOS[[#This Row],[Fecha de Carga]]+MARÍTIMOS[[#This Row],[Hora de Posicionamiento]]),"")</f>
        <v>46274.625</v>
      </c>
      <c r="Z145" s="11" t="str">
        <f>IFERROR(IF(MARÍTIMOS[[#This Row],[Etapa Despacho - Llegada]]="","",MARÍTIMOS[[#This Row],[Etapa Despacho - Llegada]]),"")</f>
        <v/>
      </c>
      <c r="AA145" s="11" t="str">
        <f>IFERROR(IF(MARÍTIMOS[[#This Row],[Etapa Despacho - Registro]]="","",MARÍTIMOS[[#This Row],[Etapa Despacho - Registro]]),"")</f>
        <v/>
      </c>
      <c r="AB145" s="11">
        <f>IFERROR(IF(MARÍTIMOS[[#This Row],[Inspección Externa]]="","",MARÍTIMOS[[#This Row],[Inspección Externa]]),"")</f>
        <v>46275.718055555553</v>
      </c>
      <c r="AC145" s="11" t="str">
        <f>IFERROR(IF(MARÍTIMOS[[#This Row],[Etapa Despacho - Inicio de Carga]]="","",MARÍTIMOS[[#This Row],[Etapa Despacho - Inicio de Carga]]),"")</f>
        <v/>
      </c>
      <c r="AD145" s="11" t="str">
        <f>IFERROR(IF(MARÍTIMOS[[#This Row],[Etapa Despacho - Mitad de Carga]]="","",MARÍTIMOS[[#This Row],[Etapa Despacho - Mitad de Carga]]),"")</f>
        <v/>
      </c>
      <c r="AE145" s="11" t="str">
        <f>IFERROR(IF(MARÍTIMOS[[#This Row],[Etapa Despacho - Fin de Carga]]="","",MARÍTIMOS[[#This Row],[Etapa Despacho - Fin de Carga]]),"")</f>
        <v/>
      </c>
      <c r="AF145" s="2" t="str">
        <f>IFERROR(IF(MARÍTIMOS[[#This Row],[Puerto de Embarque]]="","",MARÍTIMOS[[#This Row],[Puerto de Embarque]]),"")</f>
        <v>Paita</v>
      </c>
      <c r="AG145" s="2" t="str">
        <f>IFERROR(IF(MARÍTIMOS[[#This Row],[Almacén de Ingreso]]="","",MARÍTIMOS[[#This Row],[Almacén de Ingreso]]),"")</f>
        <v>TPE</v>
      </c>
      <c r="AH145" s="11">
        <f>IFERROR(IF(MARÍTIMOS[[#This Row],[Etapa Ingreso - Cita]]="","",MARÍTIMOS[[#This Row],[Etapa Ingreso - Cita]]),"")</f>
        <v>46276.666666666664</v>
      </c>
      <c r="AI145" s="11">
        <f>IFERROR(IF(MARÍTIMOS[[#This Row],[Etapa Ingreso - Llegada]]="","",MARÍTIMOS[[#This Row],[Etapa Ingreso - Llegada]]),"")</f>
        <v>46276.666666666664</v>
      </c>
      <c r="AJ145" s="11">
        <f>IFERROR(IF(MARÍTIMOS[[#This Row],[Etapa Ingreso - Ingeso]]="","",MARÍTIMOS[[#This Row],[Etapa Ingreso - Ingeso]]),"")</f>
        <v>46276.583333333336</v>
      </c>
      <c r="AK145" s="11">
        <f>IFERROR(IF(MARÍTIMOS[[#This Row],[Etapa Ingreso - Atención]]="","",MARÍTIMOS[[#This Row],[Etapa Ingreso - Atención]]),"")</f>
        <v>46276.654861111114</v>
      </c>
      <c r="AL145" s="11">
        <f>IFERROR(IF(MARÍTIMOS[[#This Row],[Etapa Ingreso - Salida]]="","",MARÍTIMOS[[#This Row],[Etapa Ingreso - Salida]]),"")</f>
        <v>46276.661111111112</v>
      </c>
      <c r="AM145" s="2">
        <f>IFERROR(IF(MARÍTIMOS[[#This Row],[FCL]]="","",MARÍTIMOS[[#This Row],[FCL]]),"")</f>
        <v>1</v>
      </c>
      <c r="AN1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5" s="4" t="str" cm="1">
        <f t="array" ref="AO1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5" s="5" t="str">
        <f>IFERROR(OLDBD[[#This Row],[Llegada a packing]]-OLDBD[[#This Row],[Inicio de Ruta]],"")</f>
        <v/>
      </c>
      <c r="AQ145" s="6">
        <f>IFERROR(OLDBD[[#This Row],[Inicio de Ruta]]-OLDBD[[#This Row],[Salida de almacén de retiro]],"")</f>
        <v>0.10069444444525288</v>
      </c>
      <c r="AR1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5" s="8" t="str" cm="1">
        <f t="array" ref="AS1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5" s="9" t="str">
        <f>IFERROR(OLDBD[[#This Row],[Ingreso Packing]]-OLDBD[[#This Row],[Registro en Packing]],"")</f>
        <v/>
      </c>
      <c r="AV145" s="9" t="str">
        <f>IFERROR(OLDBD[[#This Row],[Ingreso Packing]]-OLDBD[[#This Row],[Llegada a packing]],"")</f>
        <v/>
      </c>
      <c r="AW1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5" s="5" t="str">
        <f>IFERROR(OLDBD[[#This Row],[Llegada Almacén de Ingreso]]-OLDBD[[#This Row],[Salida Packing]],"")</f>
        <v/>
      </c>
      <c r="AY145" s="4" t="str" cm="1">
        <f t="array" ref="AY1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45" s="43" t="s">
        <v>173</v>
      </c>
      <c r="BB145" s="47" t="str">
        <f>IFERROR(IF(MARÍTIMOS[[#This Row],[Estatus]]="","",MARÍTIMOS[[#This Row],[Estatus]]),"")</f>
        <v>Confirmado</v>
      </c>
      <c r="BC145" s="43"/>
      <c r="BD145" s="46">
        <f>IFERROR(OLDBD[[#This Row],[Salida de almacén de retiro]]-OLDBD[[#This Row],[Ingreso Almacén de retiro]],"")</f>
        <v>9.7222222175332718E-3</v>
      </c>
      <c r="BE145" s="46" t="str">
        <f>IFERROR(OLDBD[[#This Row],[Fin de Carga]]-OLDBD[[#This Row],[Inicio de Carga]],"")</f>
        <v/>
      </c>
    </row>
    <row r="146" spans="1:57" customFormat="1" hidden="1">
      <c r="A146" s="1"/>
      <c r="B146" s="1">
        <f>IFERROR(IF(MARÍTIMOS[[#This Row],[PP]]="","",MARÍTIMOS[[#This Row],[PP]]),"")</f>
        <v>37</v>
      </c>
      <c r="C146" s="1" t="str">
        <f>IFERROR(IF(MARÍTIMOS[[#This Row],[Sede]]="","",MARÍTIMOS[[#This Row],[Sede]]),"")</f>
        <v>Chao</v>
      </c>
      <c r="D146" s="1" t="str">
        <f>IFERROR(IF(MARÍTIMOS[[#This Row],[Instruction]]="","",MARÍTIMOS[[#This Row],[Instruction]]),"")</f>
        <v>RH-0774</v>
      </c>
      <c r="E146" s="1"/>
      <c r="F146" s="2" t="str">
        <f>IFERROR(IF(MARÍTIMOS[[#This Row],[Transportista]]="","",MARÍTIMOS[[#This Row],[Transportista]]),"")</f>
        <v>Expert Transport</v>
      </c>
      <c r="G146" s="2" t="str">
        <f>IFERROR(IF(MARÍTIMOS[[#This Row],[Tercero]]="","",MARÍTIMOS[[#This Row],[Tercero]]),"")</f>
        <v>NO</v>
      </c>
      <c r="H146" s="2" t="str">
        <f>IFERROR(IF(MARÍTIMOS[[#This Row],[Razón Social]]="","",MARÍTIMOS[[#This Row],[Razón Social]]),"")</f>
        <v xml:space="preserve">EXPERT TRANSPORT SAC </v>
      </c>
      <c r="I146" s="2">
        <f>IFERROR(IF(MARÍTIMOS[[#This Row],[RUC]]="","",MARÍTIMOS[[#This Row],[RUC]]),"")</f>
        <v>20544424751</v>
      </c>
      <c r="J146" s="2" t="str">
        <f>IFERROR(IF(MARÍTIMOS[[#This Row],[Placa Tracto]]="","",MARÍTIMOS[[#This Row],[Placa Tracto]]),"")</f>
        <v>V4N706</v>
      </c>
      <c r="K146" s="2" t="str">
        <f>IFERROR(IF(MARÍTIMOS[[#This Row],[Placa Carreta]]="","",MARÍTIMOS[[#This Row],[Placa Carreta]]),"")</f>
        <v>TJD977</v>
      </c>
      <c r="L146" s="44" t="str">
        <f>IFERROR(IF(MARÍTIMOS[[#This Row],[Conductor]]="","",MARÍTIMOS[[#This Row],[Conductor]]),"")</f>
        <v>MARIO WILMER AVENDAÑO ACHA</v>
      </c>
      <c r="M146" s="2" t="str">
        <f>IFERROR(IF(MARÍTIMOS[[#This Row],[Licencia]]="","",MARÍTIMOS[[#This Row],[Licencia]]),"")</f>
        <v>B46445299</v>
      </c>
      <c r="N146" s="2">
        <f>IFERROR(IF(MARÍTIMOS[[#This Row],[Número de Contacto]]="","",MARÍTIMOS[[#This Row],[Número de Contacto]]),"")</f>
        <v>904556157</v>
      </c>
      <c r="O146" s="10" t="str">
        <f>IFERROR(IF(MARÍTIMOS[[#This Row],[Booking|AWB|CRT]]="","",MARÍTIMOS[[#This Row],[Booking|AWB|CRT]]),"")</f>
        <v>BN83154</v>
      </c>
      <c r="P146" s="2" t="str">
        <f>IFERROR(IF(MARÍTIMOS[[#This Row],[Contenedor]]="","",MARÍTIMOS[[#This Row],[Contenedor]]),"")</f>
        <v>GCXU8022061</v>
      </c>
      <c r="Q146" s="2" t="str">
        <f>IFERROR(IF(MARÍTIMOS[[#This Row],[Puerto de Retiro]]="","",MARÍTIMOS[[#This Row],[Puerto de Retiro]]),"")</f>
        <v>PAITA</v>
      </c>
      <c r="R146" s="2" t="str">
        <f>IFERROR(IF(MARÍTIMOS[[#This Row],[Almacén de Retiro]]="","",MARÍTIMOS[[#This Row],[Almacén de Retiro]]),"")</f>
        <v>DPW</v>
      </c>
      <c r="S146" s="11">
        <f>IFERROR(IF(MARÍTIMOS[[#This Row],[Etapa Retiro - Cita]]="","",MARÍTIMOS[[#This Row],[Etapa Retiro - Cita]]),"")</f>
        <v>46277.458333333336</v>
      </c>
      <c r="T146" s="11">
        <f>IFERROR(IF(MARÍTIMOS[[#This Row],[Etapa Retiro - Llegada]]="","",MARÍTIMOS[[#This Row],[Etapa Retiro - Llegada]]),"")</f>
        <v>46277.453472222223</v>
      </c>
      <c r="U146" s="11">
        <f>IFERROR(IF(MARÍTIMOS[[#This Row],[Etapa Retiro - Ingreso]]="","",MARÍTIMOS[[#This Row],[Etapa Retiro - Ingreso]]),"")</f>
        <v>46277.493055555555</v>
      </c>
      <c r="V146" s="11">
        <f>IFERROR(IF(MARÍTIMOS[[#This Row],[Etapa Retiro - Atención]]="","",MARÍTIMOS[[#This Row],[Etapa Retiro - Atención]]),"")</f>
        <v>46277.499305555553</v>
      </c>
      <c r="W146" s="11">
        <f>IFERROR(IF(MARÍTIMOS[[#This Row],[Etapa Retiro - Atención]]="","",MARÍTIMOS[[#This Row],[Etapa Retiro - Atención]]),"")</f>
        <v>46277.499305555553</v>
      </c>
      <c r="X146" s="11">
        <v>46245.066666666666</v>
      </c>
      <c r="Y146" s="11">
        <f>IFERROR(IF(MARÍTIMOS[[#This Row],[Hora de Posicionamiento]]="","",MARÍTIMOS[[#This Row],[Fecha de Carga]]+MARÍTIMOS[[#This Row],[Hora de Posicionamiento]]),"")</f>
        <v>46278.583333333336</v>
      </c>
      <c r="Z146" s="11" t="str">
        <f>IFERROR(IF(MARÍTIMOS[[#This Row],[Etapa Despacho - Llegada]]="","",MARÍTIMOS[[#This Row],[Etapa Despacho - Llegada]]),"")</f>
        <v/>
      </c>
      <c r="AA146" s="11" t="str">
        <f>IFERROR(IF(MARÍTIMOS[[#This Row],[Etapa Despacho - Registro]]="","",MARÍTIMOS[[#This Row],[Etapa Despacho - Registro]]),"")</f>
        <v/>
      </c>
      <c r="AB146" s="11">
        <f>IFERROR(IF(MARÍTIMOS[[#This Row],[Inspección Externa]]="","",MARÍTIMOS[[#This Row],[Inspección Externa]]),"")</f>
        <v>46278.597222222219</v>
      </c>
      <c r="AC146" s="11" t="str">
        <f>IFERROR(IF(MARÍTIMOS[[#This Row],[Etapa Despacho - Inicio de Carga]]="","",MARÍTIMOS[[#This Row],[Etapa Despacho - Inicio de Carga]]),"")</f>
        <v/>
      </c>
      <c r="AD146" s="11" t="str">
        <f>IFERROR(IF(MARÍTIMOS[[#This Row],[Etapa Despacho - Mitad de Carga]]="","",MARÍTIMOS[[#This Row],[Etapa Despacho - Mitad de Carga]]),"")</f>
        <v/>
      </c>
      <c r="AE146" s="11" t="str">
        <f>IFERROR(IF(MARÍTIMOS[[#This Row],[Etapa Despacho - Fin de Carga]]="","",MARÍTIMOS[[#This Row],[Etapa Despacho - Fin de Carga]]),"")</f>
        <v/>
      </c>
      <c r="AF146" s="2" t="str">
        <f>IFERROR(IF(MARÍTIMOS[[#This Row],[Puerto de Embarque]]="","",MARÍTIMOS[[#This Row],[Puerto de Embarque]]),"")</f>
        <v>Paita</v>
      </c>
      <c r="AG146" s="2" t="str">
        <f>IFERROR(IF(MARÍTIMOS[[#This Row],[Almacén de Ingreso]]="","",MARÍTIMOS[[#This Row],[Almacén de Ingreso]]),"")</f>
        <v>TPE</v>
      </c>
      <c r="AH146" s="11">
        <f>IFERROR(IF(MARÍTIMOS[[#This Row],[Etapa Ingreso - Cita]]="","",MARÍTIMOS[[#This Row],[Etapa Ingreso - Cita]]),"")</f>
        <v>46279.625</v>
      </c>
      <c r="AI146" s="11">
        <f>IFERROR(IF(MARÍTIMOS[[#This Row],[Etapa Ingreso - Llegada]]="","",MARÍTIMOS[[#This Row],[Etapa Ingreso - Llegada]]),"")</f>
        <v>46279.574999999997</v>
      </c>
      <c r="AJ146" s="11">
        <f>IFERROR(IF(MARÍTIMOS[[#This Row],[Etapa Ingreso - Ingeso]]="","",MARÍTIMOS[[#This Row],[Etapa Ingreso - Ingeso]]),"")</f>
        <v>46279.578472222223</v>
      </c>
      <c r="AK146" s="11">
        <f>IFERROR(IF(MARÍTIMOS[[#This Row],[Etapa Ingreso - Atención]]="","",MARÍTIMOS[[#This Row],[Etapa Ingreso - Atención]]),"")</f>
        <v>46279.579861111109</v>
      </c>
      <c r="AL146" s="11">
        <f>IFERROR(IF(MARÍTIMOS[[#This Row],[Etapa Ingreso - Salida]]="","",MARÍTIMOS[[#This Row],[Etapa Ingreso - Salida]]),"")</f>
        <v>46279.589583333334</v>
      </c>
      <c r="AM146" s="2">
        <f>IFERROR(IF(MARÍTIMOS[[#This Row],[FCL]]="","",MARÍTIMOS[[#This Row],[FCL]]),"")</f>
        <v>1</v>
      </c>
      <c r="AN1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6" s="4" t="str" cm="1">
        <f t="array" ref="AO1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6" s="5" t="str">
        <f>IFERROR(OLDBD[[#This Row],[Llegada a packing]]-OLDBD[[#This Row],[Inicio de Ruta]],"")</f>
        <v/>
      </c>
      <c r="AQ146" s="6">
        <f>IFERROR(OLDBD[[#This Row],[Inicio de Ruta]]-OLDBD[[#This Row],[Salida de almacén de retiro]],"")</f>
        <v>-32.432638888887595</v>
      </c>
      <c r="AR1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6" s="8" t="str" cm="1">
        <f t="array" ref="AS1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6" s="9" t="str">
        <f>IFERROR(OLDBD[[#This Row],[Ingreso Packing]]-OLDBD[[#This Row],[Registro en Packing]],"")</f>
        <v/>
      </c>
      <c r="AV146" s="9" t="str">
        <f>IFERROR(OLDBD[[#This Row],[Ingreso Packing]]-OLDBD[[#This Row],[Llegada a packing]],"")</f>
        <v/>
      </c>
      <c r="AW1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6" s="5" t="str">
        <f>IFERROR(OLDBD[[#This Row],[Llegada Almacén de Ingreso]]-OLDBD[[#This Row],[Salida Packing]],"")</f>
        <v/>
      </c>
      <c r="AY146" s="4" t="str" cm="1">
        <f t="array" ref="AY1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46" s="43" t="s">
        <v>173</v>
      </c>
      <c r="BB146" s="47" t="str">
        <f>IFERROR(IF(MARÍTIMOS[[#This Row],[Estatus]]="","",MARÍTIMOS[[#This Row],[Estatus]]),"")</f>
        <v>Confirmado</v>
      </c>
      <c r="BC146" s="43"/>
      <c r="BD146" s="46">
        <f>IFERROR(OLDBD[[#This Row],[Salida de almacén de retiro]]-OLDBD[[#This Row],[Ingreso Almacén de retiro]],"")</f>
        <v>6.2499999985448085E-3</v>
      </c>
      <c r="BE146" s="46" t="str">
        <f>IFERROR(OLDBD[[#This Row],[Fin de Carga]]-OLDBD[[#This Row],[Inicio de Carga]],"")</f>
        <v/>
      </c>
    </row>
    <row r="147" spans="1:57" customFormat="1" hidden="1">
      <c r="A147" s="1"/>
      <c r="B147" s="1">
        <f>IFERROR(IF(MARÍTIMOS[[#This Row],[PP]]="","",MARÍTIMOS[[#This Row],[PP]]),"")</f>
        <v>37</v>
      </c>
      <c r="C147" s="1" t="str">
        <f>IFERROR(IF(MARÍTIMOS[[#This Row],[Sede]]="","",MARÍTIMOS[[#This Row],[Sede]]),"")</f>
        <v>Chao</v>
      </c>
      <c r="D147" s="1" t="str">
        <f>IFERROR(IF(MARÍTIMOS[[#This Row],[Instruction]]="","",MARÍTIMOS[[#This Row],[Instruction]]),"")</f>
        <v>RH-0779</v>
      </c>
      <c r="E147" s="1"/>
      <c r="F147" s="2" t="str">
        <f>IFERROR(IF(MARÍTIMOS[[#This Row],[Transportista]]="","",MARÍTIMOS[[#This Row],[Transportista]]),"")</f>
        <v>Expert Transport</v>
      </c>
      <c r="G147" s="2" t="str">
        <f>IFERROR(IF(MARÍTIMOS[[#This Row],[Tercero]]="","",MARÍTIMOS[[#This Row],[Tercero]]),"")</f>
        <v>NO</v>
      </c>
      <c r="H147" s="2" t="str">
        <f>IFERROR(IF(MARÍTIMOS[[#This Row],[Razón Social]]="","",MARÍTIMOS[[#This Row],[Razón Social]]),"")</f>
        <v xml:space="preserve">EXPERT TRANSPORT SAC </v>
      </c>
      <c r="I147" s="2">
        <f>IFERROR(IF(MARÍTIMOS[[#This Row],[RUC]]="","",MARÍTIMOS[[#This Row],[RUC]]),"")</f>
        <v>20544424751</v>
      </c>
      <c r="J147" s="2" t="str">
        <f>IFERROR(IF(MARÍTIMOS[[#This Row],[Placa Tracto]]="","",MARÍTIMOS[[#This Row],[Placa Tracto]]),"")</f>
        <v>D1A797</v>
      </c>
      <c r="K147" s="2" t="str">
        <f>IFERROR(IF(MARÍTIMOS[[#This Row],[Placa Carreta]]="","",MARÍTIMOS[[#This Row],[Placa Carreta]]),"")</f>
        <v>TNQ977</v>
      </c>
      <c r="L147" s="44" t="str">
        <f>IFERROR(IF(MARÍTIMOS[[#This Row],[Conductor]]="","",MARÍTIMOS[[#This Row],[Conductor]]),"")</f>
        <v>FREDERIS JOSE PAVON RUIZ</v>
      </c>
      <c r="M147" s="2" t="str">
        <f>IFERROR(IF(MARÍTIMOS[[#This Row],[Licencia]]="","",MARÍTIMOS[[#This Row],[Licencia]]),"")</f>
        <v>Q005175672</v>
      </c>
      <c r="N147" s="2">
        <f>IFERROR(IF(MARÍTIMOS[[#This Row],[Número de Contacto]]="","",MARÍTIMOS[[#This Row],[Número de Contacto]]),"")</f>
        <v>946500525</v>
      </c>
      <c r="O147" s="10" t="str">
        <f>IFERROR(IF(MARÍTIMOS[[#This Row],[Booking|AWB|CRT]]="","",MARÍTIMOS[[#This Row],[Booking|AWB|CRT]]),"")</f>
        <v>PER9222197A</v>
      </c>
      <c r="P147" s="2" t="str">
        <f>IFERROR(IF(MARÍTIMOS[[#This Row],[Contenedor]]="","",MARÍTIMOS[[#This Row],[Contenedor]]),"")</f>
        <v>TEMU9593915</v>
      </c>
      <c r="Q147" s="2" t="str">
        <f>IFERROR(IF(MARÍTIMOS[[#This Row],[Puerto de Retiro]]="","",MARÍTIMOS[[#This Row],[Puerto de Retiro]]),"")</f>
        <v>PAITA</v>
      </c>
      <c r="R147" s="2" t="str">
        <f>IFERROR(IF(MARÍTIMOS[[#This Row],[Almacén de Retiro]]="","",MARÍTIMOS[[#This Row],[Almacén de Retiro]]),"")</f>
        <v>DPW</v>
      </c>
      <c r="S147" s="11">
        <f>IFERROR(IF(MARÍTIMOS[[#This Row],[Etapa Retiro - Cita]]="","",MARÍTIMOS[[#This Row],[Etapa Retiro - Cita]]),"")</f>
        <v>46277.458333333336</v>
      </c>
      <c r="T147" s="11">
        <f>IFERROR(IF(MARÍTIMOS[[#This Row],[Etapa Retiro - Llegada]]="","",MARÍTIMOS[[#This Row],[Etapa Retiro - Llegada]]),"")</f>
        <v>46277.493055555555</v>
      </c>
      <c r="U147" s="11">
        <f>IFERROR(IF(MARÍTIMOS[[#This Row],[Etapa Retiro - Ingreso]]="","",MARÍTIMOS[[#This Row],[Etapa Retiro - Ingreso]]),"")</f>
        <v>46277.499305555553</v>
      </c>
      <c r="V147" s="11">
        <f>IFERROR(IF(MARÍTIMOS[[#This Row],[Etapa Retiro - Atención]]="","",MARÍTIMOS[[#This Row],[Etapa Retiro - Atención]]),"")</f>
        <v>46277.503472222219</v>
      </c>
      <c r="W147" s="11">
        <f>IFERROR(IF(MARÍTIMOS[[#This Row],[Etapa Retiro - Atención]]="","",MARÍTIMOS[[#This Row],[Etapa Retiro - Atención]]),"")</f>
        <v>46277.503472222219</v>
      </c>
      <c r="X147" s="11">
        <f>IFERROR(IF(MARÍTIMOS[[#This Row],[Etapa Retiro - Inicio de Ruta]]="","",MARÍTIMOS[[#This Row],[Etapa Retiro - Inicio de Ruta]]),"")</f>
        <v>46277.729166666664</v>
      </c>
      <c r="Y147" s="11">
        <f>IFERROR(IF(MARÍTIMOS[[#This Row],[Hora de Posicionamiento]]="","",MARÍTIMOS[[#This Row],[Fecha de Carga]]+MARÍTIMOS[[#This Row],[Hora de Posicionamiento]]),"")</f>
        <v>46278.583333333336</v>
      </c>
      <c r="Z147" s="11" t="str">
        <f>IFERROR(IF(MARÍTIMOS[[#This Row],[Etapa Despacho - Llegada]]="","",MARÍTIMOS[[#This Row],[Etapa Despacho - Llegada]]),"")</f>
        <v/>
      </c>
      <c r="AA147" s="11" t="str">
        <f>IFERROR(IF(MARÍTIMOS[[#This Row],[Etapa Despacho - Registro]]="","",MARÍTIMOS[[#This Row],[Etapa Despacho - Registro]]),"")</f>
        <v/>
      </c>
      <c r="AB147" s="11">
        <f>IFERROR(IF(MARÍTIMOS[[#This Row],[Inspección Externa]]="","",MARÍTIMOS[[#This Row],[Inspección Externa]]),"")</f>
        <v>46278.59097222222</v>
      </c>
      <c r="AC147" s="11" t="str">
        <f>IFERROR(IF(MARÍTIMOS[[#This Row],[Etapa Despacho - Inicio de Carga]]="","",MARÍTIMOS[[#This Row],[Etapa Despacho - Inicio de Carga]]),"")</f>
        <v/>
      </c>
      <c r="AD147" s="11" t="str">
        <f>IFERROR(IF(MARÍTIMOS[[#This Row],[Etapa Despacho - Mitad de Carga]]="","",MARÍTIMOS[[#This Row],[Etapa Despacho - Mitad de Carga]]),"")</f>
        <v/>
      </c>
      <c r="AE147" s="11" t="str">
        <f>IFERROR(IF(MARÍTIMOS[[#This Row],[Etapa Despacho - Fin de Carga]]="","",MARÍTIMOS[[#This Row],[Etapa Despacho - Fin de Carga]]),"")</f>
        <v/>
      </c>
      <c r="AF147" s="2" t="str">
        <f>IFERROR(IF(MARÍTIMOS[[#This Row],[Puerto de Embarque]]="","",MARÍTIMOS[[#This Row],[Puerto de Embarque]]),"")</f>
        <v>Paita</v>
      </c>
      <c r="AG147" s="2" t="str">
        <f>IFERROR(IF(MARÍTIMOS[[#This Row],[Almacén de Ingreso]]="","",MARÍTIMOS[[#This Row],[Almacén de Ingreso]]),"")</f>
        <v>TPE</v>
      </c>
      <c r="AH147" s="11">
        <f>IFERROR(IF(MARÍTIMOS[[#This Row],[Etapa Ingreso - Cita]]="","",MARÍTIMOS[[#This Row],[Etapa Ingreso - Cita]]),"")</f>
        <v>46279.625</v>
      </c>
      <c r="AI147" s="11">
        <f>IFERROR(IF(MARÍTIMOS[[#This Row],[Etapa Ingreso - Llegada]]="","",MARÍTIMOS[[#This Row],[Etapa Ingreso - Llegada]]),"")</f>
        <v>46279.574999999997</v>
      </c>
      <c r="AJ147" s="11">
        <f>IFERROR(IF(MARÍTIMOS[[#This Row],[Etapa Ingreso - Ingeso]]="","",MARÍTIMOS[[#This Row],[Etapa Ingreso - Ingeso]]),"")</f>
        <v>46279.57708333333</v>
      </c>
      <c r="AK147" s="11">
        <f>IFERROR(IF(MARÍTIMOS[[#This Row],[Etapa Ingreso - Atención]]="","",MARÍTIMOS[[#This Row],[Etapa Ingreso - Atención]]),"")</f>
        <v>46279.579861111109</v>
      </c>
      <c r="AL147" s="11">
        <f>IFERROR(IF(MARÍTIMOS[[#This Row],[Etapa Ingreso - Salida]]="","",MARÍTIMOS[[#This Row],[Etapa Ingreso - Salida]]),"")</f>
        <v>46279.585416666669</v>
      </c>
      <c r="AM147" s="2">
        <f>IFERROR(IF(MARÍTIMOS[[#This Row],[FCL]]="","",MARÍTIMOS[[#This Row],[FCL]]),"")</f>
        <v>1</v>
      </c>
      <c r="AN1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7" s="4" t="str" cm="1">
        <f t="array" ref="AO1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7" s="5" t="str">
        <f>IFERROR(OLDBD[[#This Row],[Llegada a packing]]-OLDBD[[#This Row],[Inicio de Ruta]],"")</f>
        <v/>
      </c>
      <c r="AQ147" s="6">
        <f>IFERROR(OLDBD[[#This Row],[Inicio de Ruta]]-OLDBD[[#This Row],[Salida de almacén de retiro]],"")</f>
        <v>0.22569444444525288</v>
      </c>
      <c r="AR1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7" s="8" t="str" cm="1">
        <f t="array" ref="AS1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7" s="9" t="str">
        <f>IFERROR(OLDBD[[#This Row],[Ingreso Packing]]-OLDBD[[#This Row],[Registro en Packing]],"")</f>
        <v/>
      </c>
      <c r="AV147" s="9" t="str">
        <f>IFERROR(OLDBD[[#This Row],[Ingreso Packing]]-OLDBD[[#This Row],[Llegada a packing]],"")</f>
        <v/>
      </c>
      <c r="AW1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7" s="5" t="str">
        <f>IFERROR(OLDBD[[#This Row],[Llegada Almacén de Ingreso]]-OLDBD[[#This Row],[Salida Packing]],"")</f>
        <v/>
      </c>
      <c r="AY147" s="4" t="str" cm="1">
        <f t="array" ref="AY1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47" s="43" t="s">
        <v>173</v>
      </c>
      <c r="BB147" s="47" t="str">
        <f>IFERROR(IF(MARÍTIMOS[[#This Row],[Estatus]]="","",MARÍTIMOS[[#This Row],[Estatus]]),"")</f>
        <v>Confirmado</v>
      </c>
      <c r="BC147" s="43"/>
      <c r="BD147" s="46">
        <f>IFERROR(OLDBD[[#This Row],[Salida de almacén de retiro]]-OLDBD[[#This Row],[Ingreso Almacén de retiro]],"")</f>
        <v>4.166666665696539E-3</v>
      </c>
      <c r="BE147" s="46" t="str">
        <f>IFERROR(OLDBD[[#This Row],[Fin de Carga]]-OLDBD[[#This Row],[Inicio de Carga]],"")</f>
        <v/>
      </c>
    </row>
    <row r="148" spans="1:57" customFormat="1" hidden="1">
      <c r="A148" s="1"/>
      <c r="B148" s="1">
        <f>IFERROR(IF(MARÍTIMOS[[#This Row],[PP]]="","",MARÍTIMOS[[#This Row],[PP]]),"")</f>
        <v>37</v>
      </c>
      <c r="C148" s="1" t="str">
        <f>IFERROR(IF(MARÍTIMOS[[#This Row],[Sede]]="","",MARÍTIMOS[[#This Row],[Sede]]),"")</f>
        <v>Chao</v>
      </c>
      <c r="D148" s="1" t="str">
        <f>IFERROR(IF(MARÍTIMOS[[#This Row],[Instruction]]="","",MARÍTIMOS[[#This Row],[Instruction]]),"")</f>
        <v>RH-0772</v>
      </c>
      <c r="E148" s="1"/>
      <c r="F148" s="2" t="str">
        <f>IFERROR(IF(MARÍTIMOS[[#This Row],[Transportista]]="","",MARÍTIMOS[[#This Row],[Transportista]]),"")</f>
        <v>Expert Transport</v>
      </c>
      <c r="G148" s="2" t="str">
        <f>IFERROR(IF(MARÍTIMOS[[#This Row],[Tercero]]="","",MARÍTIMOS[[#This Row],[Tercero]]),"")</f>
        <v>NO</v>
      </c>
      <c r="H148" s="2" t="str">
        <f>IFERROR(IF(MARÍTIMOS[[#This Row],[Razón Social]]="","",MARÍTIMOS[[#This Row],[Razón Social]]),"")</f>
        <v xml:space="preserve">EXPERT TRANSPORT SAC </v>
      </c>
      <c r="I148" s="2">
        <f>IFERROR(IF(MARÍTIMOS[[#This Row],[RUC]]="","",MARÍTIMOS[[#This Row],[RUC]]),"")</f>
        <v>20544424751</v>
      </c>
      <c r="J148" s="2" t="str">
        <f>IFERROR(IF(MARÍTIMOS[[#This Row],[Placa Tracto]]="","",MARÍTIMOS[[#This Row],[Placa Tracto]]),"")</f>
        <v>BYR872</v>
      </c>
      <c r="K148" s="2" t="str">
        <f>IFERROR(IF(MARÍTIMOS[[#This Row],[Placa Carreta]]="","",MARÍTIMOS[[#This Row],[Placa Carreta]]),"")</f>
        <v>A3K983</v>
      </c>
      <c r="L148" s="44" t="str">
        <f>IFERROR(IF(MARÍTIMOS[[#This Row],[Conductor]]="","",MARÍTIMOS[[#This Row],[Conductor]]),"")</f>
        <v>GUILLERMO YOSNEY GONZALEZ RUIZ</v>
      </c>
      <c r="M148" s="2" t="str">
        <f>IFERROR(IF(MARÍTIMOS[[#This Row],[Licencia]]="","",MARÍTIMOS[[#This Row],[Licencia]]),"")</f>
        <v>Q005581456</v>
      </c>
      <c r="N148" s="2">
        <f>IFERROR(IF(MARÍTIMOS[[#This Row],[Número de Contacto]]="","",MARÍTIMOS[[#This Row],[Número de Contacto]]),"")</f>
        <v>914472332</v>
      </c>
      <c r="O148" s="10" t="str">
        <f>IFERROR(IF(MARÍTIMOS[[#This Row],[Booking|AWB|CRT]]="","",MARÍTIMOS[[#This Row],[Booking|AWB|CRT]]),"")</f>
        <v>PER9222179A</v>
      </c>
      <c r="P148" s="2" t="str">
        <f>IFERROR(IF(MARÍTIMOS[[#This Row],[Contenedor]]="","",MARÍTIMOS[[#This Row],[Contenedor]]),"")</f>
        <v>CTWU1602839</v>
      </c>
      <c r="Q148" s="2" t="str">
        <f>IFERROR(IF(MARÍTIMOS[[#This Row],[Puerto de Retiro]]="","",MARÍTIMOS[[#This Row],[Puerto de Retiro]]),"")</f>
        <v>PAITA</v>
      </c>
      <c r="R148" s="2" t="str">
        <f>IFERROR(IF(MARÍTIMOS[[#This Row],[Almacén de Retiro]]="","",MARÍTIMOS[[#This Row],[Almacén de Retiro]]),"")</f>
        <v>DPW</v>
      </c>
      <c r="S148" s="11">
        <f>IFERROR(IF(MARÍTIMOS[[#This Row],[Etapa Retiro - Cita]]="","",MARÍTIMOS[[#This Row],[Etapa Retiro - Cita]]),"")</f>
        <v>46278.666666666664</v>
      </c>
      <c r="T148" s="11">
        <f>IFERROR(IF(MARÍTIMOS[[#This Row],[Etapa Retiro - Llegada]]="","",MARÍTIMOS[[#This Row],[Etapa Retiro - Llegada]]),"")</f>
        <v>46278.652083333334</v>
      </c>
      <c r="U148" s="11">
        <f>IFERROR(IF(MARÍTIMOS[[#This Row],[Etapa Retiro - Ingreso]]="","",MARÍTIMOS[[#This Row],[Etapa Retiro - Ingreso]]),"")</f>
        <v>46278.680555555555</v>
      </c>
      <c r="V148" s="11">
        <f>IFERROR(IF(MARÍTIMOS[[#This Row],[Etapa Retiro - Atención]]="","",MARÍTIMOS[[#This Row],[Etapa Retiro - Atención]]),"")</f>
        <v>46278.683333333334</v>
      </c>
      <c r="W148" s="11">
        <f>IFERROR(IF(MARÍTIMOS[[#This Row],[Etapa Retiro - Atención]]="","",MARÍTIMOS[[#This Row],[Etapa Retiro - Atención]]),"")</f>
        <v>46278.683333333334</v>
      </c>
      <c r="X148" s="11">
        <f>IFERROR(IF(MARÍTIMOS[[#This Row],[Etapa Retiro - Inicio de Ruta]]="","",MARÍTIMOS[[#This Row],[Etapa Retiro - Inicio de Ruta]]),"")</f>
        <v>46278.75</v>
      </c>
      <c r="Y148" s="11">
        <f>IFERROR(IF(MARÍTIMOS[[#This Row],[Hora de Posicionamiento]]="","",MARÍTIMOS[[#This Row],[Fecha de Carga]]+MARÍTIMOS[[#This Row],[Hora de Posicionamiento]]),"")</f>
        <v>46279.583333333336</v>
      </c>
      <c r="Z148" s="11" t="str">
        <f>IFERROR(IF(MARÍTIMOS[[#This Row],[Etapa Despacho - Llegada]]="","",MARÍTIMOS[[#This Row],[Etapa Despacho - Llegada]]),"")</f>
        <v/>
      </c>
      <c r="AA148" s="11" t="str">
        <f>IFERROR(IF(MARÍTIMOS[[#This Row],[Etapa Despacho - Registro]]="","",MARÍTIMOS[[#This Row],[Etapa Despacho - Registro]]),"")</f>
        <v/>
      </c>
      <c r="AB148" s="11">
        <f>IFERROR(IF(MARÍTIMOS[[#This Row],[Inspección Externa]]="","",MARÍTIMOS[[#This Row],[Inspección Externa]]),"")</f>
        <v>46279.615277777775</v>
      </c>
      <c r="AC148" s="11" t="str">
        <f>IFERROR(IF(MARÍTIMOS[[#This Row],[Etapa Despacho - Inicio de Carga]]="","",MARÍTIMOS[[#This Row],[Etapa Despacho - Inicio de Carga]]),"")</f>
        <v/>
      </c>
      <c r="AD148" s="11" t="str">
        <f>IFERROR(IF(MARÍTIMOS[[#This Row],[Etapa Despacho - Mitad de Carga]]="","",MARÍTIMOS[[#This Row],[Etapa Despacho - Mitad de Carga]]),"")</f>
        <v/>
      </c>
      <c r="AE148" s="11" t="str">
        <f>IFERROR(IF(MARÍTIMOS[[#This Row],[Etapa Despacho - Fin de Carga]]="","",MARÍTIMOS[[#This Row],[Etapa Despacho - Fin de Carga]]),"")</f>
        <v/>
      </c>
      <c r="AF148" s="2" t="str">
        <f>IFERROR(IF(MARÍTIMOS[[#This Row],[Puerto de Embarque]]="","",MARÍTIMOS[[#This Row],[Puerto de Embarque]]),"")</f>
        <v>Paita</v>
      </c>
      <c r="AG148" s="2" t="str">
        <f>IFERROR(IF(MARÍTIMOS[[#This Row],[Almacén de Ingreso]]="","",MARÍTIMOS[[#This Row],[Almacén de Ingreso]]),"")</f>
        <v>TPE</v>
      </c>
      <c r="AH148" s="11">
        <f>IFERROR(IF(MARÍTIMOS[[#This Row],[Etapa Ingreso - Cita]]="","",MARÍTIMOS[[#This Row],[Etapa Ingreso - Cita]]),"")</f>
        <v>46280.625</v>
      </c>
      <c r="AI148" s="11">
        <f>IFERROR(IF(MARÍTIMOS[[#This Row],[Etapa Ingreso - Llegada]]="","",MARÍTIMOS[[#This Row],[Etapa Ingreso - Llegada]]),"")</f>
        <v>46280.552083333336</v>
      </c>
      <c r="AJ148" s="11">
        <f>IFERROR(IF(MARÍTIMOS[[#This Row],[Etapa Ingreso - Ingeso]]="","",MARÍTIMOS[[#This Row],[Etapa Ingreso - Ingeso]]),"")</f>
        <v>46280.554861111108</v>
      </c>
      <c r="AK148" s="11">
        <f>IFERROR(IF(MARÍTIMOS[[#This Row],[Etapa Ingreso - Atención]]="","",MARÍTIMOS[[#This Row],[Etapa Ingreso - Atención]]),"")</f>
        <v>46280.559027777781</v>
      </c>
      <c r="AL148" s="11">
        <f>IFERROR(IF(MARÍTIMOS[[#This Row],[Etapa Ingreso - Salida]]="","",MARÍTIMOS[[#This Row],[Etapa Ingreso - Salida]]),"")</f>
        <v>46280.577777777777</v>
      </c>
      <c r="AM148" s="2">
        <f>IFERROR(IF(MARÍTIMOS[[#This Row],[FCL]]="","",MARÍTIMOS[[#This Row],[FCL]]),"")</f>
        <v>1</v>
      </c>
      <c r="AN1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8" s="4" t="str" cm="1">
        <f t="array" ref="AO1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8" s="5" t="str">
        <f>IFERROR(OLDBD[[#This Row],[Llegada a packing]]-OLDBD[[#This Row],[Inicio de Ruta]],"")</f>
        <v/>
      </c>
      <c r="AQ148" s="6">
        <f>IFERROR(OLDBD[[#This Row],[Inicio de Ruta]]-OLDBD[[#This Row],[Salida de almacén de retiro]],"")</f>
        <v>6.6666666665696539E-2</v>
      </c>
      <c r="AR1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8" s="8" t="str" cm="1">
        <f t="array" ref="AS1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8" s="9" t="str">
        <f>IFERROR(OLDBD[[#This Row],[Ingreso Packing]]-OLDBD[[#This Row],[Registro en Packing]],"")</f>
        <v/>
      </c>
      <c r="AV148" s="9" t="str">
        <f>IFERROR(OLDBD[[#This Row],[Ingreso Packing]]-OLDBD[[#This Row],[Llegada a packing]],"")</f>
        <v/>
      </c>
      <c r="AW1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8" s="5" t="str">
        <f>IFERROR(OLDBD[[#This Row],[Llegada Almacén de Ingreso]]-OLDBD[[#This Row],[Salida Packing]],"")</f>
        <v/>
      </c>
      <c r="AY148" s="4" t="str" cm="1">
        <f t="array" ref="AY1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48" s="43" t="s">
        <v>173</v>
      </c>
      <c r="BB148" s="47" t="str">
        <f>IFERROR(IF(MARÍTIMOS[[#This Row],[Estatus]]="","",MARÍTIMOS[[#This Row],[Estatus]]),"")</f>
        <v>Confirmado</v>
      </c>
      <c r="BC148" s="43"/>
      <c r="BD148" s="46">
        <f>IFERROR(OLDBD[[#This Row],[Salida de almacén de retiro]]-OLDBD[[#This Row],[Ingreso Almacén de retiro]],"")</f>
        <v>2.7777777795563452E-3</v>
      </c>
      <c r="BE148" s="46" t="str">
        <f>IFERROR(OLDBD[[#This Row],[Fin de Carga]]-OLDBD[[#This Row],[Inicio de Carga]],"")</f>
        <v/>
      </c>
    </row>
    <row r="149" spans="1:57" customFormat="1" hidden="1">
      <c r="A149" s="1"/>
      <c r="B149" s="1">
        <f>IFERROR(IF(MARÍTIMOS[[#This Row],[PP]]="","",MARÍTIMOS[[#This Row],[PP]]),"")</f>
        <v>37</v>
      </c>
      <c r="C149" s="1" t="str">
        <f>IFERROR(IF(MARÍTIMOS[[#This Row],[Sede]]="","",MARÍTIMOS[[#This Row],[Sede]]),"")</f>
        <v>Chao</v>
      </c>
      <c r="D149" s="1" t="str">
        <f>IFERROR(IF(MARÍTIMOS[[#This Row],[Instruction]]="","",MARÍTIMOS[[#This Row],[Instruction]]),"")</f>
        <v>RH-0778</v>
      </c>
      <c r="E149" s="1"/>
      <c r="F149" s="2" t="str">
        <f>IFERROR(IF(MARÍTIMOS[[#This Row],[Transportista]]="","",MARÍTIMOS[[#This Row],[Transportista]]),"")</f>
        <v>Expert Transport</v>
      </c>
      <c r="G149" s="2" t="str">
        <f>IFERROR(IF(MARÍTIMOS[[#This Row],[Tercero]]="","",MARÍTIMOS[[#This Row],[Tercero]]),"")</f>
        <v>NO</v>
      </c>
      <c r="H149" s="2" t="str">
        <f>IFERROR(IF(MARÍTIMOS[[#This Row],[Razón Social]]="","",MARÍTIMOS[[#This Row],[Razón Social]]),"")</f>
        <v xml:space="preserve">EXPERT TRANSPORT SAC </v>
      </c>
      <c r="I149" s="2">
        <f>IFERROR(IF(MARÍTIMOS[[#This Row],[RUC]]="","",MARÍTIMOS[[#This Row],[RUC]]),"")</f>
        <v>20544424751</v>
      </c>
      <c r="J149" s="2" t="str">
        <f>IFERROR(IF(MARÍTIMOS[[#This Row],[Placa Tracto]]="","",MARÍTIMOS[[#This Row],[Placa Tracto]]),"")</f>
        <v>V1B809</v>
      </c>
      <c r="K149" s="2" t="str">
        <f>IFERROR(IF(MARÍTIMOS[[#This Row],[Placa Carreta]]="","",MARÍTIMOS[[#This Row],[Placa Carreta]]),"")</f>
        <v>TKC975</v>
      </c>
      <c r="L149" s="44" t="str">
        <f>IFERROR(IF(MARÍTIMOS[[#This Row],[Conductor]]="","",MARÍTIMOS[[#This Row],[Conductor]]),"")</f>
        <v>HUMBERTO JESÚS SUAREZ ARGUINZONES</v>
      </c>
      <c r="M149" s="2" t="str">
        <f>IFERROR(IF(MARÍTIMOS[[#This Row],[Licencia]]="","",MARÍTIMOS[[#This Row],[Licencia]]),"")</f>
        <v>B007168026</v>
      </c>
      <c r="N149" s="2">
        <f>IFERROR(IF(MARÍTIMOS[[#This Row],[Número de Contacto]]="","",MARÍTIMOS[[#This Row],[Número de Contacto]]),"")</f>
        <v>934270711</v>
      </c>
      <c r="O149" s="10" t="str">
        <f>IFERROR(IF(MARÍTIMOS[[#This Row],[Booking|AWB|CRT]]="","",MARÍTIMOS[[#This Row],[Booking|AWB|CRT]]),"")</f>
        <v>PER9222196A</v>
      </c>
      <c r="P149" s="2" t="str">
        <f>IFERROR(IF(MARÍTIMOS[[#This Row],[Contenedor]]="","",MARÍTIMOS[[#This Row],[Contenedor]]),"")</f>
        <v>SEKU9424786</v>
      </c>
      <c r="Q149" s="2" t="str">
        <f>IFERROR(IF(MARÍTIMOS[[#This Row],[Puerto de Retiro]]="","",MARÍTIMOS[[#This Row],[Puerto de Retiro]]),"")</f>
        <v>PAITA</v>
      </c>
      <c r="R149" s="2" t="str">
        <f>IFERROR(IF(MARÍTIMOS[[#This Row],[Almacén de Retiro]]="","",MARÍTIMOS[[#This Row],[Almacén de Retiro]]),"")</f>
        <v>DPW</v>
      </c>
      <c r="S149" s="11">
        <f>IFERROR(IF(MARÍTIMOS[[#This Row],[Etapa Retiro - Cita]]="","",MARÍTIMOS[[#This Row],[Etapa Retiro - Cita]]),"")</f>
        <v>46278.666666666664</v>
      </c>
      <c r="T149" s="11">
        <f>IFERROR(IF(MARÍTIMOS[[#This Row],[Etapa Retiro - Llegada]]="","",MARÍTIMOS[[#This Row],[Etapa Retiro - Llegada]]),"")</f>
        <v>46278.658333333333</v>
      </c>
      <c r="U149" s="11">
        <f>IFERROR(IF(MARÍTIMOS[[#This Row],[Etapa Retiro - Ingreso]]="","",MARÍTIMOS[[#This Row],[Etapa Retiro - Ingreso]]),"")</f>
        <v>46278.6875</v>
      </c>
      <c r="V149" s="11">
        <f>IFERROR(IF(MARÍTIMOS[[#This Row],[Etapa Retiro - Atención]]="","",MARÍTIMOS[[#This Row],[Etapa Retiro - Atención]]),"")</f>
        <v>46278.690972222219</v>
      </c>
      <c r="W149" s="11">
        <f>IFERROR(IF(MARÍTIMOS[[#This Row],[Etapa Retiro - Atención]]="","",MARÍTIMOS[[#This Row],[Etapa Retiro - Atención]]),"")</f>
        <v>46278.690972222219</v>
      </c>
      <c r="X149" s="11">
        <f>IFERROR(IF(MARÍTIMOS[[#This Row],[Etapa Retiro - Inicio de Ruta]]="","",MARÍTIMOS[[#This Row],[Etapa Retiro - Inicio de Ruta]]),"")</f>
        <v>46278.75</v>
      </c>
      <c r="Y149" s="11">
        <f>IFERROR(IF(MARÍTIMOS[[#This Row],[Hora de Posicionamiento]]="","",MARÍTIMOS[[#This Row],[Fecha de Carga]]+MARÍTIMOS[[#This Row],[Hora de Posicionamiento]]),"")</f>
        <v>46279.583333333336</v>
      </c>
      <c r="Z149" s="11" t="str">
        <f>IFERROR(IF(MARÍTIMOS[[#This Row],[Etapa Despacho - Llegada]]="","",MARÍTIMOS[[#This Row],[Etapa Despacho - Llegada]]),"")</f>
        <v/>
      </c>
      <c r="AA149" s="11" t="str">
        <f>IFERROR(IF(MARÍTIMOS[[#This Row],[Etapa Despacho - Registro]]="","",MARÍTIMOS[[#This Row],[Etapa Despacho - Registro]]),"")</f>
        <v/>
      </c>
      <c r="AB149" s="11">
        <f>IFERROR(IF(MARÍTIMOS[[#This Row],[Inspección Externa]]="","",MARÍTIMOS[[#This Row],[Inspección Externa]]),"")</f>
        <v>46279.60833333333</v>
      </c>
      <c r="AC149" s="11" t="str">
        <f>IFERROR(IF(MARÍTIMOS[[#This Row],[Etapa Despacho - Inicio de Carga]]="","",MARÍTIMOS[[#This Row],[Etapa Despacho - Inicio de Carga]]),"")</f>
        <v/>
      </c>
      <c r="AD149" s="11" t="str">
        <f>IFERROR(IF(MARÍTIMOS[[#This Row],[Etapa Despacho - Mitad de Carga]]="","",MARÍTIMOS[[#This Row],[Etapa Despacho - Mitad de Carga]]),"")</f>
        <v/>
      </c>
      <c r="AE149" s="11" t="str">
        <f>IFERROR(IF(MARÍTIMOS[[#This Row],[Etapa Despacho - Fin de Carga]]="","",MARÍTIMOS[[#This Row],[Etapa Despacho - Fin de Carga]]),"")</f>
        <v/>
      </c>
      <c r="AF149" s="2" t="str">
        <f>IFERROR(IF(MARÍTIMOS[[#This Row],[Puerto de Embarque]]="","",MARÍTIMOS[[#This Row],[Puerto de Embarque]]),"")</f>
        <v>Paita</v>
      </c>
      <c r="AG149" s="2" t="str">
        <f>IFERROR(IF(MARÍTIMOS[[#This Row],[Almacén de Ingreso]]="","",MARÍTIMOS[[#This Row],[Almacén de Ingreso]]),"")</f>
        <v>TPE</v>
      </c>
      <c r="AH149" s="11">
        <f>IFERROR(IF(MARÍTIMOS[[#This Row],[Etapa Ingreso - Cita]]="","",MARÍTIMOS[[#This Row],[Etapa Ingreso - Cita]]),"")</f>
        <v>46280.625</v>
      </c>
      <c r="AI149" s="11">
        <f>IFERROR(IF(MARÍTIMOS[[#This Row],[Etapa Ingreso - Llegada]]="","",MARÍTIMOS[[#This Row],[Etapa Ingreso - Llegada]]),"")</f>
        <v>46280.551388888889</v>
      </c>
      <c r="AJ149" s="11">
        <f>IFERROR(IF(MARÍTIMOS[[#This Row],[Etapa Ingreso - Ingeso]]="","",MARÍTIMOS[[#This Row],[Etapa Ingreso - Ingeso]]),"")</f>
        <v>46280.554861111108</v>
      </c>
      <c r="AK149" s="11">
        <f>IFERROR(IF(MARÍTIMOS[[#This Row],[Etapa Ingreso - Atención]]="","",MARÍTIMOS[[#This Row],[Etapa Ingreso - Atención]]),"")</f>
        <v>46280.559027777781</v>
      </c>
      <c r="AL149" s="11">
        <f>IFERROR(IF(MARÍTIMOS[[#This Row],[Etapa Ingreso - Salida]]="","",MARÍTIMOS[[#This Row],[Etapa Ingreso - Salida]]),"")</f>
        <v>46280.565972222219</v>
      </c>
      <c r="AM149" s="2">
        <f>IFERROR(IF(MARÍTIMOS[[#This Row],[FCL]]="","",MARÍTIMOS[[#This Row],[FCL]]),"")</f>
        <v>1</v>
      </c>
      <c r="AN1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49" s="4" t="str" cm="1">
        <f t="array" ref="AO1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49" s="5" t="str">
        <f>IFERROR(OLDBD[[#This Row],[Llegada a packing]]-OLDBD[[#This Row],[Inicio de Ruta]],"")</f>
        <v/>
      </c>
      <c r="AQ149" s="6">
        <f>IFERROR(OLDBD[[#This Row],[Inicio de Ruta]]-OLDBD[[#This Row],[Salida de almacén de retiro]],"")</f>
        <v>5.9027777781011537E-2</v>
      </c>
      <c r="AR1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49" s="8" t="str" cm="1">
        <f t="array" ref="AS1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49" s="9" t="str">
        <f>IFERROR(OLDBD[[#This Row],[Ingreso Packing]]-OLDBD[[#This Row],[Registro en Packing]],"")</f>
        <v/>
      </c>
      <c r="AV149" s="9" t="str">
        <f>IFERROR(OLDBD[[#This Row],[Ingreso Packing]]-OLDBD[[#This Row],[Llegada a packing]],"")</f>
        <v/>
      </c>
      <c r="AW1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49" s="5" t="str">
        <f>IFERROR(OLDBD[[#This Row],[Llegada Almacén de Ingreso]]-OLDBD[[#This Row],[Salida Packing]],"")</f>
        <v/>
      </c>
      <c r="AY149" s="4" t="str" cm="1">
        <f t="array" ref="AY1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49" s="43" t="s">
        <v>173</v>
      </c>
      <c r="BB149" s="47" t="str">
        <f>IFERROR(IF(MARÍTIMOS[[#This Row],[Estatus]]="","",MARÍTIMOS[[#This Row],[Estatus]]),"")</f>
        <v>Confirmado</v>
      </c>
      <c r="BC149" s="43"/>
      <c r="BD149" s="46">
        <f>IFERROR(OLDBD[[#This Row],[Salida de almacén de retiro]]-OLDBD[[#This Row],[Ingreso Almacén de retiro]],"")</f>
        <v>3.4722222189884633E-3</v>
      </c>
      <c r="BE149" s="46" t="str">
        <f>IFERROR(OLDBD[[#This Row],[Fin de Carga]]-OLDBD[[#This Row],[Inicio de Carga]],"")</f>
        <v/>
      </c>
    </row>
    <row r="150" spans="1:57" customFormat="1">
      <c r="A150" s="1"/>
      <c r="B150" s="1">
        <f>IFERROR(IF(MARÍTIMOS[[#This Row],[PP]]="","",MARÍTIMOS[[#This Row],[PP]]),"")</f>
        <v>38</v>
      </c>
      <c r="C150" s="1" t="str">
        <f>IFERROR(IF(MARÍTIMOS[[#This Row],[Sede]]="","",MARÍTIMOS[[#This Row],[Sede]]),"")</f>
        <v>Chao</v>
      </c>
      <c r="D150" s="1" t="str">
        <f>IFERROR(IF(MARÍTIMOS[[#This Row],[Instruction]]="","",MARÍTIMOS[[#This Row],[Instruction]]),"")</f>
        <v>RH-0803</v>
      </c>
      <c r="E150" s="1"/>
      <c r="F150" s="2" t="str">
        <f>IFERROR(IF(MARÍTIMOS[[#This Row],[Transportista]]="","",MARÍTIMOS[[#This Row],[Transportista]]),"")</f>
        <v>Expert Transport</v>
      </c>
      <c r="G150" s="2" t="str">
        <f>IFERROR(IF(MARÍTIMOS[[#This Row],[Tercero]]="","",MARÍTIMOS[[#This Row],[Tercero]]),"")</f>
        <v>NO</v>
      </c>
      <c r="H150" s="2" t="str">
        <f>IFERROR(IF(MARÍTIMOS[[#This Row],[Razón Social]]="","",MARÍTIMOS[[#This Row],[Razón Social]]),"")</f>
        <v xml:space="preserve">EXPERT TRANSPORT SAC </v>
      </c>
      <c r="I150" s="2">
        <f>IFERROR(IF(MARÍTIMOS[[#This Row],[RUC]]="","",MARÍTIMOS[[#This Row],[RUC]]),"")</f>
        <v>20544424751</v>
      </c>
      <c r="J150" s="2" t="str">
        <f>IFERROR(IF(MARÍTIMOS[[#This Row],[Placa Tracto]]="","",MARÍTIMOS[[#This Row],[Placa Tracto]]),"")</f>
        <v>Z5S732</v>
      </c>
      <c r="K150" s="2" t="str">
        <f>IFERROR(IF(MARÍTIMOS[[#This Row],[Placa Carreta]]="","",MARÍTIMOS[[#This Row],[Placa Carreta]]),"")</f>
        <v>TFD996</v>
      </c>
      <c r="L150" s="44" t="str">
        <f>IFERROR(IF(MARÍTIMOS[[#This Row],[Conductor]]="","",MARÍTIMOS[[#This Row],[Conductor]]),"")</f>
        <v>DANIEL CUOCCI FERNANDEZ</v>
      </c>
      <c r="M150" s="2" t="str">
        <f>IFERROR(IF(MARÍTIMOS[[#This Row],[Licencia]]="","",MARÍTIMOS[[#This Row],[Licencia]]),"")</f>
        <v>B003202620</v>
      </c>
      <c r="N150" s="2">
        <f>IFERROR(IF(MARÍTIMOS[[#This Row],[Número de Contacto]]="","",MARÍTIMOS[[#This Row],[Número de Contacto]]),"")</f>
        <v>916329861</v>
      </c>
      <c r="O150" s="10" t="str">
        <f>IFERROR(IF(MARÍTIMOS[[#This Row],[Booking|AWB|CRT]]="","",MARÍTIMOS[[#This Row],[Booking|AWB|CRT]]),"")</f>
        <v>MBM250067155</v>
      </c>
      <c r="P150" s="2" t="str">
        <f>IFERROR(IF(MARÍTIMOS[[#This Row],[Contenedor]]="","",MARÍTIMOS[[#This Row],[Contenedor]]),"")</f>
        <v>BMOU9651896</v>
      </c>
      <c r="Q150" s="2" t="str">
        <f>IFERROR(IF(MARÍTIMOS[[#This Row],[Puerto de Retiro]]="","",MARÍTIMOS[[#This Row],[Puerto de Retiro]]),"")</f>
        <v>PAITA</v>
      </c>
      <c r="R150" s="2" t="str">
        <f>IFERROR(IF(MARÍTIMOS[[#This Row],[Almacén de Retiro]]="","",MARÍTIMOS[[#This Row],[Almacén de Retiro]]),"")</f>
        <v>MACROMAR</v>
      </c>
      <c r="S150" s="11">
        <f>IFERROR(IF(MARÍTIMOS[[#This Row],[Etapa Retiro - Cita]]="","",MARÍTIMOS[[#This Row],[Etapa Retiro - Cita]]),"")</f>
        <v>46281.833333333336</v>
      </c>
      <c r="T150" s="11">
        <f>IFERROR(IF(MARÍTIMOS[[#This Row],[Etapa Retiro - Llegada]]="","",MARÍTIMOS[[#This Row],[Etapa Retiro - Llegada]]),"")</f>
        <v>46281.925000000003</v>
      </c>
      <c r="U150" s="11">
        <f>IFERROR(IF(MARÍTIMOS[[#This Row],[Etapa Retiro - Ingreso]]="","",MARÍTIMOS[[#This Row],[Etapa Retiro - Ingreso]]),"")</f>
        <v>46281.929166666669</v>
      </c>
      <c r="V150" s="11">
        <f>IFERROR(IF(MARÍTIMOS[[#This Row],[Etapa Retiro - Atención]]="","",MARÍTIMOS[[#This Row],[Etapa Retiro - Atención]]),"")</f>
        <v>46281.931944444441</v>
      </c>
      <c r="W150" s="11">
        <f>IFERROR(IF(MARÍTIMOS[[#This Row],[Etapa Retiro - Atención]]="","",MARÍTIMOS[[#This Row],[Etapa Retiro - Atención]]),"")</f>
        <v>46281.931944444441</v>
      </c>
      <c r="X150" s="11">
        <f>IFERROR(IF(MARÍTIMOS[[#This Row],[Etapa Retiro - Inicio de Ruta]]="","",MARÍTIMOS[[#This Row],[Etapa Retiro - Inicio de Ruta]]),"")</f>
        <v>46282.03402777778</v>
      </c>
      <c r="Y150" s="11">
        <f>IFERROR(IF(MARÍTIMOS[[#This Row],[Hora de Posicionamiento]]="","",MARÍTIMOS[[#This Row],[Fecha de Carga]]+MARÍTIMOS[[#This Row],[Hora de Posicionamiento]]),"")</f>
        <v>46282.5</v>
      </c>
      <c r="Z150" s="11" t="str">
        <f>IFERROR(IF(MARÍTIMOS[[#This Row],[Etapa Despacho - Llegada]]="","",MARÍTIMOS[[#This Row],[Etapa Despacho - Llegada]]),"")</f>
        <v/>
      </c>
      <c r="AA150" s="11" t="str">
        <f>IFERROR(IF(MARÍTIMOS[[#This Row],[Etapa Despacho - Registro]]="","",MARÍTIMOS[[#This Row],[Etapa Despacho - Registro]]),"")</f>
        <v/>
      </c>
      <c r="AB150" s="11">
        <f>IFERROR(IF(MARÍTIMOS[[#This Row],[Inspección Externa]]="","",MARÍTIMOS[[#This Row],[Inspección Externa]]),"")</f>
        <v>46282.714641203704</v>
      </c>
      <c r="AC150" s="11" t="str">
        <f>IFERROR(IF(MARÍTIMOS[[#This Row],[Etapa Despacho - Inicio de Carga]]="","",MARÍTIMOS[[#This Row],[Etapa Despacho - Inicio de Carga]]),"")</f>
        <v/>
      </c>
      <c r="AD150" s="11" t="str">
        <f>IFERROR(IF(MARÍTIMOS[[#This Row],[Etapa Despacho - Mitad de Carga]]="","",MARÍTIMOS[[#This Row],[Etapa Despacho - Mitad de Carga]]),"")</f>
        <v/>
      </c>
      <c r="AE150" s="11" t="str">
        <f>IFERROR(IF(MARÍTIMOS[[#This Row],[Etapa Despacho - Fin de Carga]]="","",MARÍTIMOS[[#This Row],[Etapa Despacho - Fin de Carga]]),"")</f>
        <v/>
      </c>
      <c r="AF150" s="2" t="str">
        <f>IFERROR(IF(MARÍTIMOS[[#This Row],[Puerto de Embarque]]="","",MARÍTIMOS[[#This Row],[Puerto de Embarque]]),"")</f>
        <v>Paita</v>
      </c>
      <c r="AG150" s="2" t="str">
        <f>IFERROR(IF(MARÍTIMOS[[#This Row],[Almacén de Ingreso]]="","",MARÍTIMOS[[#This Row],[Almacén de Ingreso]]),"")</f>
        <v>TPE</v>
      </c>
      <c r="AH150" s="11">
        <f>IFERROR(IF(MARÍTIMOS[[#This Row],[Etapa Ingreso - Cita]]="","",MARÍTIMOS[[#This Row],[Etapa Ingreso - Cita]]),"")</f>
        <v>46283.541666666664</v>
      </c>
      <c r="AI150" s="11">
        <f>IFERROR(IF(MARÍTIMOS[[#This Row],[Etapa Ingreso - Llegada]]="","",MARÍTIMOS[[#This Row],[Etapa Ingreso - Llegada]]),"")</f>
        <v>46283.547222222223</v>
      </c>
      <c r="AJ150" s="11">
        <f>IFERROR(IF(MARÍTIMOS[[#This Row],[Etapa Ingreso - Ingeso]]="","",MARÍTIMOS[[#This Row],[Etapa Ingreso - Ingeso]]),"")</f>
        <v>46283.550694444442</v>
      </c>
      <c r="AK150" s="11">
        <f>IFERROR(IF(MARÍTIMOS[[#This Row],[Etapa Ingreso - Atención]]="","",MARÍTIMOS[[#This Row],[Etapa Ingreso - Atención]]),"")</f>
        <v>46283.553472222222</v>
      </c>
      <c r="AL150" s="11">
        <f>IFERROR(IF(MARÍTIMOS[[#This Row],[Etapa Ingreso - Salida]]="","",MARÍTIMOS[[#This Row],[Etapa Ingreso - Salida]]),"")</f>
        <v>46283.556250000001</v>
      </c>
      <c r="AM150" s="2">
        <f>IFERROR(IF(MARÍTIMOS[[#This Row],[FCL]]="","",MARÍTIMOS[[#This Row],[FCL]]),"")</f>
        <v>1</v>
      </c>
      <c r="AN1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0" s="4" t="str" cm="1">
        <f t="array" ref="AO1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0" s="5" t="str">
        <f>IFERROR(OLDBD[[#This Row],[Llegada a packing]]-OLDBD[[#This Row],[Inicio de Ruta]],"")</f>
        <v/>
      </c>
      <c r="AQ150" s="6">
        <f>IFERROR(OLDBD[[#This Row],[Inicio de Ruta]]-OLDBD[[#This Row],[Salida de almacén de retiro]],"")</f>
        <v>0.10208333333866904</v>
      </c>
      <c r="AR1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0" s="8" t="str" cm="1">
        <f t="array" ref="AS1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0" s="9" t="str">
        <f>IFERROR(OLDBD[[#This Row],[Ingreso Packing]]-OLDBD[[#This Row],[Registro en Packing]],"")</f>
        <v/>
      </c>
      <c r="AV150" s="9" t="str">
        <f>IFERROR(OLDBD[[#This Row],[Ingreso Packing]]-OLDBD[[#This Row],[Llegada a packing]],"")</f>
        <v/>
      </c>
      <c r="AW1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0" s="5" t="str">
        <f>IFERROR(OLDBD[[#This Row],[Llegada Almacén de Ingreso]]-OLDBD[[#This Row],[Salida Packing]],"")</f>
        <v/>
      </c>
      <c r="AY150" s="4" t="str" cm="1">
        <f t="array" ref="AY1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50" s="43" t="s">
        <v>173</v>
      </c>
      <c r="BB150" s="47" t="str">
        <f>IFERROR(IF(MARÍTIMOS[[#This Row],[Estatus]]="","",MARÍTIMOS[[#This Row],[Estatus]]),"")</f>
        <v>Confirmado</v>
      </c>
      <c r="BC150" s="43"/>
      <c r="BD150" s="46">
        <f>IFERROR(OLDBD[[#This Row],[Salida de almacén de retiro]]-OLDBD[[#This Row],[Ingreso Almacén de retiro]],"")</f>
        <v>2.7777777722803876E-3</v>
      </c>
      <c r="BE150" s="46" t="str">
        <f>IFERROR(OLDBD[[#This Row],[Fin de Carga]]-OLDBD[[#This Row],[Inicio de Carga]],"")</f>
        <v/>
      </c>
    </row>
    <row r="151" spans="1:57" customFormat="1">
      <c r="A151" s="1"/>
      <c r="B151" s="1">
        <f>IFERROR(IF(MARÍTIMOS[[#This Row],[PP]]="","",MARÍTIMOS[[#This Row],[PP]]),"")</f>
        <v>38</v>
      </c>
      <c r="C151" s="1" t="str">
        <f>IFERROR(IF(MARÍTIMOS[[#This Row],[Sede]]="","",MARÍTIMOS[[#This Row],[Sede]]),"")</f>
        <v>Chao</v>
      </c>
      <c r="D151" s="1" t="str">
        <f>IFERROR(IF(MARÍTIMOS[[#This Row],[Instruction]]="","",MARÍTIMOS[[#This Row],[Instruction]]),"")</f>
        <v>RH-0804</v>
      </c>
      <c r="E151" s="1"/>
      <c r="F151" s="2" t="str">
        <f>IFERROR(IF(MARÍTIMOS[[#This Row],[Transportista]]="","",MARÍTIMOS[[#This Row],[Transportista]]),"")</f>
        <v>Expert Transport</v>
      </c>
      <c r="G151" s="2" t="str">
        <f>IFERROR(IF(MARÍTIMOS[[#This Row],[Tercero]]="","",MARÍTIMOS[[#This Row],[Tercero]]),"")</f>
        <v>NO</v>
      </c>
      <c r="H151" s="2" t="str">
        <f>IFERROR(IF(MARÍTIMOS[[#This Row],[Razón Social]]="","",MARÍTIMOS[[#This Row],[Razón Social]]),"")</f>
        <v xml:space="preserve">EXPERT TRANSPORT SAC </v>
      </c>
      <c r="I151" s="2">
        <f>IFERROR(IF(MARÍTIMOS[[#This Row],[RUC]]="","",MARÍTIMOS[[#This Row],[RUC]]),"")</f>
        <v>20544424751</v>
      </c>
      <c r="J151" s="2" t="str">
        <f>IFERROR(IF(MARÍTIMOS[[#This Row],[Placa Tracto]]="","",MARÍTIMOS[[#This Row],[Placa Tracto]]),"")</f>
        <v>V1B809</v>
      </c>
      <c r="K151" s="2" t="str">
        <f>IFERROR(IF(MARÍTIMOS[[#This Row],[Placa Carreta]]="","",MARÍTIMOS[[#This Row],[Placa Carreta]]),"")</f>
        <v>TKC975</v>
      </c>
      <c r="L151" s="44" t="str">
        <f>IFERROR(IF(MARÍTIMOS[[#This Row],[Conductor]]="","",MARÍTIMOS[[#This Row],[Conductor]]),"")</f>
        <v>GUILLERMO YOSNEY GONZALEZ RUIZ</v>
      </c>
      <c r="M151" s="2" t="str">
        <f>IFERROR(IF(MARÍTIMOS[[#This Row],[Licencia]]="","",MARÍTIMOS[[#This Row],[Licencia]]),"")</f>
        <v>Q005581456</v>
      </c>
      <c r="N151" s="2">
        <f>IFERROR(IF(MARÍTIMOS[[#This Row],[Número de Contacto]]="","",MARÍTIMOS[[#This Row],[Número de Contacto]]),"")</f>
        <v>914472332</v>
      </c>
      <c r="O151" s="10" t="str">
        <f>IFERROR(IF(MARÍTIMOS[[#This Row],[Booking|AWB|CRT]]="","",MARÍTIMOS[[#This Row],[Booking|AWB|CRT]]),"")</f>
        <v>MBM250067151</v>
      </c>
      <c r="P151" s="2" t="str">
        <f>IFERROR(IF(MARÍTIMOS[[#This Row],[Contenedor]]="","",MARÍTIMOS[[#This Row],[Contenedor]]),"")</f>
        <v>TEMU9370341</v>
      </c>
      <c r="Q151" s="2" t="str">
        <f>IFERROR(IF(MARÍTIMOS[[#This Row],[Puerto de Retiro]]="","",MARÍTIMOS[[#This Row],[Puerto de Retiro]]),"")</f>
        <v>PAITA</v>
      </c>
      <c r="R151" s="2" t="str">
        <f>IFERROR(IF(MARÍTIMOS[[#This Row],[Almacén de Retiro]]="","",MARÍTIMOS[[#This Row],[Almacén de Retiro]]),"")</f>
        <v>MACROMAR</v>
      </c>
      <c r="S151" s="11">
        <f>IFERROR(IF(MARÍTIMOS[[#This Row],[Etapa Retiro - Cita]]="","",MARÍTIMOS[[#This Row],[Etapa Retiro - Cita]]),"")</f>
        <v>46281.625</v>
      </c>
      <c r="T151" s="11">
        <f>IFERROR(IF(MARÍTIMOS[[#This Row],[Etapa Retiro - Llegada]]="","",MARÍTIMOS[[#This Row],[Etapa Retiro - Llegada]]),"")</f>
        <v>46281.627083333333</v>
      </c>
      <c r="U151" s="11">
        <f>IFERROR(IF(MARÍTIMOS[[#This Row],[Etapa Retiro - Ingreso]]="","",MARÍTIMOS[[#This Row],[Etapa Retiro - Ingreso]]),"")</f>
        <v>46280.631249999999</v>
      </c>
      <c r="V151" s="11">
        <f>IFERROR(IF(MARÍTIMOS[[#This Row],[Etapa Retiro - Atención]]="","",MARÍTIMOS[[#This Row],[Etapa Retiro - Atención]]),"")</f>
        <v>46280.63958333333</v>
      </c>
      <c r="W151" s="11">
        <f>IFERROR(IF(MARÍTIMOS[[#This Row],[Etapa Retiro - Atención]]="","",MARÍTIMOS[[#This Row],[Etapa Retiro - Atención]]),"")</f>
        <v>46280.63958333333</v>
      </c>
      <c r="X151" s="11">
        <f>IFERROR(IF(MARÍTIMOS[[#This Row],[Etapa Retiro - Inicio de Ruta]]="","",MARÍTIMOS[[#This Row],[Etapa Retiro - Inicio de Ruta]]),"")</f>
        <v>46282.686111111114</v>
      </c>
      <c r="Y151" s="11">
        <f>IFERROR(IF(MARÍTIMOS[[#This Row],[Hora de Posicionamiento]]="","",MARÍTIMOS[[#This Row],[Fecha de Carga]]+MARÍTIMOS[[#This Row],[Hora de Posicionamiento]]),"")</f>
        <v>46283.5</v>
      </c>
      <c r="Z151" s="11" t="str">
        <f>IFERROR(IF(MARÍTIMOS[[#This Row],[Etapa Despacho - Llegada]]="","",MARÍTIMOS[[#This Row],[Etapa Despacho - Llegada]]),"")</f>
        <v/>
      </c>
      <c r="AA151" s="11" t="str">
        <f>IFERROR(IF(MARÍTIMOS[[#This Row],[Etapa Despacho - Registro]]="","",MARÍTIMOS[[#This Row],[Etapa Despacho - Registro]]),"")</f>
        <v/>
      </c>
      <c r="AB151" s="11">
        <f>IFERROR(IF(MARÍTIMOS[[#This Row],[Inspección Externa]]="","",MARÍTIMOS[[#This Row],[Inspección Externa]]),"")</f>
        <v>46283.493750000001</v>
      </c>
      <c r="AC151" s="11" t="str">
        <f>IFERROR(IF(MARÍTIMOS[[#This Row],[Etapa Despacho - Inicio de Carga]]="","",MARÍTIMOS[[#This Row],[Etapa Despacho - Inicio de Carga]]),"")</f>
        <v/>
      </c>
      <c r="AD151" s="11" t="str">
        <f>IFERROR(IF(MARÍTIMOS[[#This Row],[Etapa Despacho - Mitad de Carga]]="","",MARÍTIMOS[[#This Row],[Etapa Despacho - Mitad de Carga]]),"")</f>
        <v/>
      </c>
      <c r="AE151" s="11" t="str">
        <f>IFERROR(IF(MARÍTIMOS[[#This Row],[Etapa Despacho - Fin de Carga]]="","",MARÍTIMOS[[#This Row],[Etapa Despacho - Fin de Carga]]),"")</f>
        <v/>
      </c>
      <c r="AF151" s="2" t="str">
        <f>IFERROR(IF(MARÍTIMOS[[#This Row],[Puerto de Embarque]]="","",MARÍTIMOS[[#This Row],[Puerto de Embarque]]),"")</f>
        <v>Paita</v>
      </c>
      <c r="AG151" s="2" t="str">
        <f>IFERROR(IF(MARÍTIMOS[[#This Row],[Almacén de Ingreso]]="","",MARÍTIMOS[[#This Row],[Almacén de Ingreso]]),"")</f>
        <v>TPE</v>
      </c>
      <c r="AH151" s="11">
        <f>IFERROR(IF(MARÍTIMOS[[#This Row],[Etapa Ingreso - Cita]]="","",MARÍTIMOS[[#This Row],[Etapa Ingreso - Cita]]),"")</f>
        <v>46284.416666666664</v>
      </c>
      <c r="AI151" s="11">
        <f>IFERROR(IF(MARÍTIMOS[[#This Row],[Etapa Ingreso - Llegada]]="","",MARÍTIMOS[[#This Row],[Etapa Ingreso - Llegada]]),"")</f>
        <v>46284.43472222222</v>
      </c>
      <c r="AJ151" s="11">
        <f>IFERROR(IF(MARÍTIMOS[[#This Row],[Etapa Ingreso - Ingeso]]="","",MARÍTIMOS[[#This Row],[Etapa Ingreso - Ingeso]]),"")</f>
        <v>46284.440972222219</v>
      </c>
      <c r="AK151" s="11">
        <f>IFERROR(IF(MARÍTIMOS[[#This Row],[Etapa Ingreso - Atención]]="","",MARÍTIMOS[[#This Row],[Etapa Ingreso - Atención]]),"")</f>
        <v>46284.443055555559</v>
      </c>
      <c r="AL151" s="11">
        <f>IFERROR(IF(MARÍTIMOS[[#This Row],[Etapa Ingreso - Salida]]="","",MARÍTIMOS[[#This Row],[Etapa Ingreso - Salida]]),"")</f>
        <v>46284.45</v>
      </c>
      <c r="AM151" s="2">
        <f>IFERROR(IF(MARÍTIMOS[[#This Row],[FCL]]="","",MARÍTIMOS[[#This Row],[FCL]]),"")</f>
        <v>1</v>
      </c>
      <c r="AN1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1" s="4" t="str" cm="1">
        <f t="array" ref="AO1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1" s="5" t="str">
        <f>IFERROR(OLDBD[[#This Row],[Llegada a packing]]-OLDBD[[#This Row],[Inicio de Ruta]],"")</f>
        <v/>
      </c>
      <c r="AQ151" s="6">
        <f>IFERROR(OLDBD[[#This Row],[Inicio de Ruta]]-OLDBD[[#This Row],[Salida de almacén de retiro]],"")</f>
        <v>2.0465277777839219</v>
      </c>
      <c r="AR1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1" s="8" t="str" cm="1">
        <f t="array" ref="AS1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1" s="9" t="str">
        <f>IFERROR(OLDBD[[#This Row],[Ingreso Packing]]-OLDBD[[#This Row],[Registro en Packing]],"")</f>
        <v/>
      </c>
      <c r="AV151" s="9" t="str">
        <f>IFERROR(OLDBD[[#This Row],[Ingreso Packing]]-OLDBD[[#This Row],[Llegada a packing]],"")</f>
        <v/>
      </c>
      <c r="AW1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1" s="5" t="str">
        <f>IFERROR(OLDBD[[#This Row],[Llegada Almacén de Ingreso]]-OLDBD[[#This Row],[Salida Packing]],"")</f>
        <v/>
      </c>
      <c r="AY151" s="4" t="str" cm="1">
        <f t="array" ref="AY1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51" s="43" t="s">
        <v>173</v>
      </c>
      <c r="BB151" s="47" t="str">
        <f>IFERROR(IF(MARÍTIMOS[[#This Row],[Estatus]]="","",MARÍTIMOS[[#This Row],[Estatus]]),"")</f>
        <v>Confirmado</v>
      </c>
      <c r="BC151" s="43"/>
      <c r="BD151" s="46">
        <f>IFERROR(OLDBD[[#This Row],[Salida de almacén de retiro]]-OLDBD[[#This Row],[Ingreso Almacén de retiro]],"")</f>
        <v>8.333333331393078E-3</v>
      </c>
      <c r="BE151" s="46" t="str">
        <f>IFERROR(OLDBD[[#This Row],[Fin de Carga]]-OLDBD[[#This Row],[Inicio de Carga]],"")</f>
        <v/>
      </c>
    </row>
    <row r="152" spans="1:57" customFormat="1">
      <c r="A152" s="1"/>
      <c r="B152" s="1">
        <f>IFERROR(IF(MARÍTIMOS[[#This Row],[PP]]="","",MARÍTIMOS[[#This Row],[PP]]),"")</f>
        <v>38</v>
      </c>
      <c r="C152" s="1" t="str">
        <f>IFERROR(IF(MARÍTIMOS[[#This Row],[Sede]]="","",MARÍTIMOS[[#This Row],[Sede]]),"")</f>
        <v>Chao</v>
      </c>
      <c r="D152" s="1" t="str">
        <f>IFERROR(IF(MARÍTIMOS[[#This Row],[Instruction]]="","",MARÍTIMOS[[#This Row],[Instruction]]),"")</f>
        <v>RH-0815</v>
      </c>
      <c r="E152" s="1"/>
      <c r="F152" s="2" t="str">
        <f>IFERROR(IF(MARÍTIMOS[[#This Row],[Transportista]]="","",MARÍTIMOS[[#This Row],[Transportista]]),"")</f>
        <v>Expert Transport</v>
      </c>
      <c r="G152" s="2" t="str">
        <f>IFERROR(IF(MARÍTIMOS[[#This Row],[Tercero]]="","",MARÍTIMOS[[#This Row],[Tercero]]),"")</f>
        <v>NO</v>
      </c>
      <c r="H152" s="2" t="str">
        <f>IFERROR(IF(MARÍTIMOS[[#This Row],[Razón Social]]="","",MARÍTIMOS[[#This Row],[Razón Social]]),"")</f>
        <v xml:space="preserve">EXPERT TRANSPORT SAC </v>
      </c>
      <c r="I152" s="2" t="str">
        <f>IFERROR(IF(MARÍTIMOS[[#This Row],[RUC]]="","",MARÍTIMOS[[#This Row],[RUC]]),"")</f>
        <v>20544424751 </v>
      </c>
      <c r="J152" s="2" t="str">
        <f>IFERROR(IF(MARÍTIMOS[[#This Row],[Placa Tracto]]="","",MARÍTIMOS[[#This Row],[Placa Tracto]]),"")</f>
        <v>BYR872</v>
      </c>
      <c r="K152" s="2" t="str">
        <f>IFERROR(IF(MARÍTIMOS[[#This Row],[Placa Carreta]]="","",MARÍTIMOS[[#This Row],[Placa Carreta]]),"")</f>
        <v>A3K983</v>
      </c>
      <c r="L152" s="44" t="str">
        <f>IFERROR(IF(MARÍTIMOS[[#This Row],[Conductor]]="","",MARÍTIMOS[[#This Row],[Conductor]]),"")</f>
        <v>HUMBERTO JESÚS SUAREZ ARGUINZONES</v>
      </c>
      <c r="M152" s="2" t="str">
        <f>IFERROR(IF(MARÍTIMOS[[#This Row],[Licencia]]="","",MARÍTIMOS[[#This Row],[Licencia]]),"")</f>
        <v>B007168026</v>
      </c>
      <c r="N152" s="2">
        <f>IFERROR(IF(MARÍTIMOS[[#This Row],[Número de Contacto]]="","",MARÍTIMOS[[#This Row],[Número de Contacto]]),"")</f>
        <v>934270711</v>
      </c>
      <c r="O152" s="10" t="str">
        <f>IFERROR(IF(MARÍTIMOS[[#This Row],[Booking|AWB|CRT]]="","",MARÍTIMOS[[#This Row],[Booking|AWB|CRT]]),"")</f>
        <v>BN83730</v>
      </c>
      <c r="P152" s="2" t="str">
        <f>IFERROR(IF(MARÍTIMOS[[#This Row],[Contenedor]]="","",MARÍTIMOS[[#This Row],[Contenedor]]),"")</f>
        <v>TEMU9552691</v>
      </c>
      <c r="Q152" s="2" t="str">
        <f>IFERROR(IF(MARÍTIMOS[[#This Row],[Puerto de Retiro]]="","",MARÍTIMOS[[#This Row],[Puerto de Retiro]]),"")</f>
        <v>PAITA</v>
      </c>
      <c r="R152" s="2" t="str">
        <f>IFERROR(IF(MARÍTIMOS[[#This Row],[Almacén de Retiro]]="","",MARÍTIMOS[[#This Row],[Almacén de Retiro]]),"")</f>
        <v>DPW</v>
      </c>
      <c r="S152" s="11">
        <f>IFERROR(IF(MARÍTIMOS[[#This Row],[Etapa Retiro - Cita]]="","",MARÍTIMOS[[#This Row],[Etapa Retiro - Cita]]),"")</f>
        <v>46284.5</v>
      </c>
      <c r="T152" s="11">
        <f>IFERROR(IF(MARÍTIMOS[[#This Row],[Etapa Retiro - Llegada]]="","",MARÍTIMOS[[#This Row],[Etapa Retiro - Llegada]]),"")</f>
        <v>46284.510416666664</v>
      </c>
      <c r="U152" s="11">
        <f>IFERROR(IF(MARÍTIMOS[[#This Row],[Etapa Retiro - Ingreso]]="","",MARÍTIMOS[[#This Row],[Etapa Retiro - Ingreso]]),"")</f>
        <v>46284.517361111109</v>
      </c>
      <c r="V152" s="11">
        <f>IFERROR(IF(MARÍTIMOS[[#This Row],[Etapa Retiro - Atención]]="","",MARÍTIMOS[[#This Row],[Etapa Retiro - Atención]]),"")</f>
        <v>46284.515277777777</v>
      </c>
      <c r="W152" s="11">
        <f>IFERROR(IF(MARÍTIMOS[[#This Row],[Etapa Retiro - Atención]]="","",MARÍTIMOS[[#This Row],[Etapa Retiro - Atención]]),"")</f>
        <v>46284.515277777777</v>
      </c>
      <c r="X152" s="11">
        <f>IFERROR(IF(MARÍTIMOS[[#This Row],[Etapa Retiro - Inicio de Ruta]]="","",MARÍTIMOS[[#This Row],[Etapa Retiro - Inicio de Ruta]]),"")</f>
        <v>46284.809027777781</v>
      </c>
      <c r="Y152" s="11">
        <f>IFERROR(IF(MARÍTIMOS[[#This Row],[Hora de Posicionamiento]]="","",MARÍTIMOS[[#This Row],[Fecha de Carga]]+MARÍTIMOS[[#This Row],[Hora de Posicionamiento]]),"")</f>
        <v>46285.625</v>
      </c>
      <c r="Z152" s="11" t="str">
        <f>IFERROR(IF(MARÍTIMOS[[#This Row],[Etapa Despacho - Llegada]]="","",MARÍTIMOS[[#This Row],[Etapa Despacho - Llegada]]),"")</f>
        <v/>
      </c>
      <c r="AA152" s="11" t="str">
        <f>IFERROR(IF(MARÍTIMOS[[#This Row],[Etapa Despacho - Registro]]="","",MARÍTIMOS[[#This Row],[Etapa Despacho - Registro]]),"")</f>
        <v/>
      </c>
      <c r="AB152" s="11">
        <f>IFERROR(IF(MARÍTIMOS[[#This Row],[Inspección Externa]]="","",MARÍTIMOS[[#This Row],[Inspección Externa]]),"")</f>
        <v>46285.571527777778</v>
      </c>
      <c r="AC152" s="11" t="str">
        <f>IFERROR(IF(MARÍTIMOS[[#This Row],[Etapa Despacho - Inicio de Carga]]="","",MARÍTIMOS[[#This Row],[Etapa Despacho - Inicio de Carga]]),"")</f>
        <v/>
      </c>
      <c r="AD152" s="11" t="str">
        <f>IFERROR(IF(MARÍTIMOS[[#This Row],[Etapa Despacho - Mitad de Carga]]="","",MARÍTIMOS[[#This Row],[Etapa Despacho - Mitad de Carga]]),"")</f>
        <v/>
      </c>
      <c r="AE152" s="11" t="str">
        <f>IFERROR(IF(MARÍTIMOS[[#This Row],[Etapa Despacho - Fin de Carga]]="","",MARÍTIMOS[[#This Row],[Etapa Despacho - Fin de Carga]]),"")</f>
        <v/>
      </c>
      <c r="AF152" s="2" t="str">
        <f>IFERROR(IF(MARÍTIMOS[[#This Row],[Puerto de Embarque]]="","",MARÍTIMOS[[#This Row],[Puerto de Embarque]]),"")</f>
        <v>Paita</v>
      </c>
      <c r="AG152" s="2" t="str">
        <f>IFERROR(IF(MARÍTIMOS[[#This Row],[Almacén de Ingreso]]="","",MARÍTIMOS[[#This Row],[Almacén de Ingreso]]),"")</f>
        <v>TPE</v>
      </c>
      <c r="AH152" s="11">
        <f>IFERROR(IF(MARÍTIMOS[[#This Row],[Etapa Ingreso - Cita]]="","",MARÍTIMOS[[#This Row],[Etapa Ingreso - Cita]]),"")</f>
        <v>46286.666666666664</v>
      </c>
      <c r="AI152" s="11">
        <f>IFERROR(IF(MARÍTIMOS[[#This Row],[Etapa Ingreso - Llegada]]="","",MARÍTIMOS[[#This Row],[Etapa Ingreso - Llegada]]),"")</f>
        <v>46286.605555555558</v>
      </c>
      <c r="AJ152" s="11">
        <f>IFERROR(IF(MARÍTIMOS[[#This Row],[Etapa Ingreso - Ingeso]]="","",MARÍTIMOS[[#This Row],[Etapa Ingreso - Ingeso]]),"")</f>
        <v>46286.60833333333</v>
      </c>
      <c r="AK152" s="11">
        <f>IFERROR(IF(MARÍTIMOS[[#This Row],[Etapa Ingreso - Atención]]="","",MARÍTIMOS[[#This Row],[Etapa Ingreso - Atención]]),"")</f>
        <v>46286.611111111109</v>
      </c>
      <c r="AL152" s="11">
        <f>IFERROR(IF(MARÍTIMOS[[#This Row],[Etapa Ingreso - Salida]]="","",MARÍTIMOS[[#This Row],[Etapa Ingreso - Salida]]),"")</f>
        <v>46286.615277777775</v>
      </c>
      <c r="AM152" s="2">
        <f>IFERROR(IF(MARÍTIMOS[[#This Row],[FCL]]="","",MARÍTIMOS[[#This Row],[FCL]]),"")</f>
        <v>1</v>
      </c>
      <c r="AN1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2" s="4" t="str" cm="1">
        <f t="array" ref="AO1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2" s="5" t="str">
        <f>IFERROR(OLDBD[[#This Row],[Llegada a packing]]-OLDBD[[#This Row],[Inicio de Ruta]],"")</f>
        <v/>
      </c>
      <c r="AQ152" s="6">
        <f>IFERROR(OLDBD[[#This Row],[Inicio de Ruta]]-OLDBD[[#This Row],[Salida de almacén de retiro]],"")</f>
        <v>0.29375000000436557</v>
      </c>
      <c r="AR1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2" s="8" t="str" cm="1">
        <f t="array" ref="AS1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2" s="9" t="str">
        <f>IFERROR(OLDBD[[#This Row],[Ingreso Packing]]-OLDBD[[#This Row],[Registro en Packing]],"")</f>
        <v/>
      </c>
      <c r="AV152" s="9" t="str">
        <f>IFERROR(OLDBD[[#This Row],[Ingreso Packing]]-OLDBD[[#This Row],[Llegada a packing]],"")</f>
        <v/>
      </c>
      <c r="AW1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2" s="5" t="str">
        <f>IFERROR(OLDBD[[#This Row],[Llegada Almacén de Ingreso]]-OLDBD[[#This Row],[Salida Packing]],"")</f>
        <v/>
      </c>
      <c r="AY152" s="4" t="str" cm="1">
        <f t="array" ref="AY1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52" s="43" t="s">
        <v>173</v>
      </c>
      <c r="BB152" s="47" t="str">
        <f>IFERROR(IF(MARÍTIMOS[[#This Row],[Estatus]]="","",MARÍTIMOS[[#This Row],[Estatus]]),"")</f>
        <v>Confirmado</v>
      </c>
      <c r="BC152" s="43"/>
      <c r="BD152" s="46">
        <f>IFERROR(OLDBD[[#This Row],[Salida de almacén de retiro]]-OLDBD[[#This Row],[Ingreso Almacén de retiro]],"")</f>
        <v>-2.0833333328482695E-3</v>
      </c>
      <c r="BE152" s="46" t="str">
        <f>IFERROR(OLDBD[[#This Row],[Fin de Carga]]-OLDBD[[#This Row],[Inicio de Carga]],"")</f>
        <v/>
      </c>
    </row>
    <row r="153" spans="1:57" customFormat="1">
      <c r="A153" s="1"/>
      <c r="B153" s="1">
        <f>IFERROR(IF(MARÍTIMOS[[#This Row],[PP]]="","",MARÍTIMOS[[#This Row],[PP]]),"")</f>
        <v>38</v>
      </c>
      <c r="C153" s="1" t="str">
        <f>IFERROR(IF(MARÍTIMOS[[#This Row],[Sede]]="","",MARÍTIMOS[[#This Row],[Sede]]),"")</f>
        <v>Chao</v>
      </c>
      <c r="D153" s="1" t="str">
        <f>IFERROR(IF(MARÍTIMOS[[#This Row],[Instruction]]="","",MARÍTIMOS[[#This Row],[Instruction]]),"")</f>
        <v>RH-0816</v>
      </c>
      <c r="E153" s="1"/>
      <c r="F153" s="2" t="str">
        <f>IFERROR(IF(MARÍTIMOS[[#This Row],[Transportista]]="","",MARÍTIMOS[[#This Row],[Transportista]]),"")</f>
        <v>Expert Transport</v>
      </c>
      <c r="G153" s="2" t="str">
        <f>IFERROR(IF(MARÍTIMOS[[#This Row],[Tercero]]="","",MARÍTIMOS[[#This Row],[Tercero]]),"")</f>
        <v>NO</v>
      </c>
      <c r="H153" s="2" t="str">
        <f>IFERROR(IF(MARÍTIMOS[[#This Row],[Razón Social]]="","",MARÍTIMOS[[#This Row],[Razón Social]]),"")</f>
        <v xml:space="preserve">EXPERT TRANSPORT SAC </v>
      </c>
      <c r="I153" s="2">
        <f>IFERROR(IF(MARÍTIMOS[[#This Row],[RUC]]="","",MARÍTIMOS[[#This Row],[RUC]]),"")</f>
        <v>20544424751</v>
      </c>
      <c r="J153" s="2" t="str">
        <f>IFERROR(IF(MARÍTIMOS[[#This Row],[Placa Tracto]]="","",MARÍTIMOS[[#This Row],[Placa Tracto]]),"")</f>
        <v>D1A797</v>
      </c>
      <c r="K153" s="2" t="str">
        <f>IFERROR(IF(MARÍTIMOS[[#This Row],[Placa Carreta]]="","",MARÍTIMOS[[#This Row],[Placa Carreta]]),"")</f>
        <v>TNQ977</v>
      </c>
      <c r="L153" s="44" t="str">
        <f>IFERROR(IF(MARÍTIMOS[[#This Row],[Conductor]]="","",MARÍTIMOS[[#This Row],[Conductor]]),"")</f>
        <v>FREDERIS JOSE PAVON RUIZ</v>
      </c>
      <c r="M153" s="2" t="str">
        <f>IFERROR(IF(MARÍTIMOS[[#This Row],[Licencia]]="","",MARÍTIMOS[[#This Row],[Licencia]]),"")</f>
        <v>Q005175672</v>
      </c>
      <c r="N153" s="2">
        <f>IFERROR(IF(MARÍTIMOS[[#This Row],[Número de Contacto]]="","",MARÍTIMOS[[#This Row],[Número de Contacto]]),"")</f>
        <v>946500525</v>
      </c>
      <c r="O153" s="10" t="str">
        <f>IFERROR(IF(MARÍTIMOS[[#This Row],[Booking|AWB|CRT]]="","",MARÍTIMOS[[#This Row],[Booking|AWB|CRT]]),"")</f>
        <v>BN83731</v>
      </c>
      <c r="P153" s="2" t="str">
        <f>IFERROR(IF(MARÍTIMOS[[#This Row],[Contenedor]]="","",MARÍTIMOS[[#This Row],[Contenedor]]),"")</f>
        <v xml:space="preserve">TEMU9477659 </v>
      </c>
      <c r="Q153" s="2" t="str">
        <f>IFERROR(IF(MARÍTIMOS[[#This Row],[Puerto de Retiro]]="","",MARÍTIMOS[[#This Row],[Puerto de Retiro]]),"")</f>
        <v>PAITA</v>
      </c>
      <c r="R153" s="2" t="str">
        <f>IFERROR(IF(MARÍTIMOS[[#This Row],[Almacén de Retiro]]="","",MARÍTIMOS[[#This Row],[Almacén de Retiro]]),"")</f>
        <v>DPW</v>
      </c>
      <c r="S153" s="11">
        <f>IFERROR(IF(MARÍTIMOS[[#This Row],[Etapa Retiro - Cita]]="","",MARÍTIMOS[[#This Row],[Etapa Retiro - Cita]]),"")</f>
        <v>46284.5</v>
      </c>
      <c r="T153" s="11">
        <f>IFERROR(IF(MARÍTIMOS[[#This Row],[Etapa Retiro - Llegada]]="","",MARÍTIMOS[[#This Row],[Etapa Retiro - Llegada]]),"")</f>
        <v>46284.531944444447</v>
      </c>
      <c r="U153" s="11">
        <f>IFERROR(IF(MARÍTIMOS[[#This Row],[Etapa Retiro - Ingreso]]="","",MARÍTIMOS[[#This Row],[Etapa Retiro - Ingreso]]),"")</f>
        <v>46284.623611111114</v>
      </c>
      <c r="V153" s="11">
        <f>IFERROR(IF(MARÍTIMOS[[#This Row],[Etapa Retiro - Atención]]="","",MARÍTIMOS[[#This Row],[Etapa Retiro - Atención]]),"")</f>
        <v>46284.567361111112</v>
      </c>
      <c r="W153" s="11">
        <f>IFERROR(IF(MARÍTIMOS[[#This Row],[Etapa Retiro - Atención]]="","",MARÍTIMOS[[#This Row],[Etapa Retiro - Atención]]),"")</f>
        <v>46284.567361111112</v>
      </c>
      <c r="X153" s="11">
        <f>IFERROR(IF(MARÍTIMOS[[#This Row],[Etapa Retiro - Inicio de Ruta]]="","",MARÍTIMOS[[#This Row],[Etapa Retiro - Inicio de Ruta]]),"")</f>
        <v>46284.820833333331</v>
      </c>
      <c r="Y153" s="11">
        <f>IFERROR(IF(MARÍTIMOS[[#This Row],[Hora de Posicionamiento]]="","",MARÍTIMOS[[#This Row],[Fecha de Carga]]+MARÍTIMOS[[#This Row],[Hora de Posicionamiento]]),"")</f>
        <v>46285.625</v>
      </c>
      <c r="Z153" s="11" t="str">
        <f>IFERROR(IF(MARÍTIMOS[[#This Row],[Etapa Despacho - Llegada]]="","",MARÍTIMOS[[#This Row],[Etapa Despacho - Llegada]]),"")</f>
        <v/>
      </c>
      <c r="AA153" s="11" t="str">
        <f>IFERROR(IF(MARÍTIMOS[[#This Row],[Etapa Despacho - Registro]]="","",MARÍTIMOS[[#This Row],[Etapa Despacho - Registro]]),"")</f>
        <v/>
      </c>
      <c r="AB153" s="11">
        <f>IFERROR(IF(MARÍTIMOS[[#This Row],[Inspección Externa]]="","",MARÍTIMOS[[#This Row],[Inspección Externa]]),"")</f>
        <v>46285.60833333333</v>
      </c>
      <c r="AC153" s="11" t="str">
        <f>IFERROR(IF(MARÍTIMOS[[#This Row],[Etapa Despacho - Inicio de Carga]]="","",MARÍTIMOS[[#This Row],[Etapa Despacho - Inicio de Carga]]),"")</f>
        <v/>
      </c>
      <c r="AD153" s="11" t="str">
        <f>IFERROR(IF(MARÍTIMOS[[#This Row],[Etapa Despacho - Mitad de Carga]]="","",MARÍTIMOS[[#This Row],[Etapa Despacho - Mitad de Carga]]),"")</f>
        <v/>
      </c>
      <c r="AE153" s="11" t="str">
        <f>IFERROR(IF(MARÍTIMOS[[#This Row],[Etapa Despacho - Fin de Carga]]="","",MARÍTIMOS[[#This Row],[Etapa Despacho - Fin de Carga]]),"")</f>
        <v/>
      </c>
      <c r="AF153" s="2" t="str">
        <f>IFERROR(IF(MARÍTIMOS[[#This Row],[Puerto de Embarque]]="","",MARÍTIMOS[[#This Row],[Puerto de Embarque]]),"")</f>
        <v>Paita</v>
      </c>
      <c r="AG153" s="2" t="str">
        <f>IFERROR(IF(MARÍTIMOS[[#This Row],[Almacén de Ingreso]]="","",MARÍTIMOS[[#This Row],[Almacén de Ingreso]]),"")</f>
        <v>TPE</v>
      </c>
      <c r="AH153" s="11">
        <f>IFERROR(IF(MARÍTIMOS[[#This Row],[Etapa Ingreso - Cita]]="","",MARÍTIMOS[[#This Row],[Etapa Ingreso - Cita]]),"")</f>
        <v>46286.666666666664</v>
      </c>
      <c r="AI153" s="11">
        <f>IFERROR(IF(MARÍTIMOS[[#This Row],[Etapa Ingreso - Llegada]]="","",MARÍTIMOS[[#This Row],[Etapa Ingreso - Llegada]]),"")</f>
        <v>46286.605555555558</v>
      </c>
      <c r="AJ153" s="11">
        <f>IFERROR(IF(MARÍTIMOS[[#This Row],[Etapa Ingreso - Ingeso]]="","",MARÍTIMOS[[#This Row],[Etapa Ingreso - Ingeso]]),"")</f>
        <v>46286.61041666667</v>
      </c>
      <c r="AK153" s="11">
        <f>IFERROR(IF(MARÍTIMOS[[#This Row],[Etapa Ingreso - Atención]]="","",MARÍTIMOS[[#This Row],[Etapa Ingreso - Atención]]),"")</f>
        <v>46286.613888888889</v>
      </c>
      <c r="AL153" s="11">
        <f>IFERROR(IF(MARÍTIMOS[[#This Row],[Etapa Ingreso - Salida]]="","",MARÍTIMOS[[#This Row],[Etapa Ingreso - Salida]]),"")</f>
        <v>46286.617361111108</v>
      </c>
      <c r="AM153" s="2">
        <f>IFERROR(IF(MARÍTIMOS[[#This Row],[FCL]]="","",MARÍTIMOS[[#This Row],[FCL]]),"")</f>
        <v>1</v>
      </c>
      <c r="AN1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3" s="4" t="str" cm="1">
        <f t="array" ref="AO1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3" s="5" t="str">
        <f>IFERROR(OLDBD[[#This Row],[Llegada a packing]]-OLDBD[[#This Row],[Inicio de Ruta]],"")</f>
        <v/>
      </c>
      <c r="AQ153" s="6">
        <f>IFERROR(OLDBD[[#This Row],[Inicio de Ruta]]-OLDBD[[#This Row],[Salida de almacén de retiro]],"")</f>
        <v>0.25347222221898846</v>
      </c>
      <c r="AR1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3" s="8" t="str" cm="1">
        <f t="array" ref="AS1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3" s="9" t="str">
        <f>IFERROR(OLDBD[[#This Row],[Ingreso Packing]]-OLDBD[[#This Row],[Registro en Packing]],"")</f>
        <v/>
      </c>
      <c r="AV153" s="9" t="str">
        <f>IFERROR(OLDBD[[#This Row],[Ingreso Packing]]-OLDBD[[#This Row],[Llegada a packing]],"")</f>
        <v/>
      </c>
      <c r="AW1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3" s="5" t="str">
        <f>IFERROR(OLDBD[[#This Row],[Llegada Almacén de Ingreso]]-OLDBD[[#This Row],[Salida Packing]],"")</f>
        <v/>
      </c>
      <c r="AY153" s="4" t="str" cm="1">
        <f t="array" ref="AY1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53" s="43" t="s">
        <v>173</v>
      </c>
      <c r="BB153" s="47" t="str">
        <f>IFERROR(IF(MARÍTIMOS[[#This Row],[Estatus]]="","",MARÍTIMOS[[#This Row],[Estatus]]),"")</f>
        <v>Confirmado</v>
      </c>
      <c r="BC153" s="43"/>
      <c r="BD153" s="46">
        <f>IFERROR(OLDBD[[#This Row],[Salida de almacén de retiro]]-OLDBD[[#This Row],[Ingreso Almacén de retiro]],"")</f>
        <v>-5.6250000001455192E-2</v>
      </c>
      <c r="BE153" s="46" t="str">
        <f>IFERROR(OLDBD[[#This Row],[Fin de Carga]]-OLDBD[[#This Row],[Inicio de Carga]],"")</f>
        <v/>
      </c>
    </row>
    <row r="154" spans="1:57" customFormat="1">
      <c r="A154" s="1"/>
      <c r="B154" s="1">
        <f>IFERROR(IF(MARÍTIMOS[[#This Row],[PP]]="","",MARÍTIMOS[[#This Row],[PP]]),"")</f>
        <v>38</v>
      </c>
      <c r="C154" s="1" t="str">
        <f>IFERROR(IF(MARÍTIMOS[[#This Row],[Sede]]="","",MARÍTIMOS[[#This Row],[Sede]]),"")</f>
        <v>Chao</v>
      </c>
      <c r="D154" s="1" t="str">
        <f>IFERROR(IF(MARÍTIMOS[[#This Row],[Instruction]]="","",MARÍTIMOS[[#This Row],[Instruction]]),"")</f>
        <v>RH-0819</v>
      </c>
      <c r="E154" s="1"/>
      <c r="F154" s="2" t="str">
        <f>IFERROR(IF(MARÍTIMOS[[#This Row],[Transportista]]="","",MARÍTIMOS[[#This Row],[Transportista]]),"")</f>
        <v>Expert Transport</v>
      </c>
      <c r="G154" s="2" t="str">
        <f>IFERROR(IF(MARÍTIMOS[[#This Row],[Tercero]]="","",MARÍTIMOS[[#This Row],[Tercero]]),"")</f>
        <v>NO</v>
      </c>
      <c r="H154" s="2" t="str">
        <f>IFERROR(IF(MARÍTIMOS[[#This Row],[Razón Social]]="","",MARÍTIMOS[[#This Row],[Razón Social]]),"")</f>
        <v>MONTERRICO SRL</v>
      </c>
      <c r="I154" s="2">
        <f>IFERROR(IF(MARÍTIMOS[[#This Row],[RUC]]="","",MARÍTIMOS[[#This Row],[RUC]]),"")</f>
        <v>20525799027</v>
      </c>
      <c r="J154" s="2" t="str">
        <f>IFERROR(IF(MARÍTIMOS[[#This Row],[Placa Tracto]]="","",MARÍTIMOS[[#This Row],[Placa Tracto]]),"")</f>
        <v>BAM822</v>
      </c>
      <c r="K154" s="2" t="str">
        <f>IFERROR(IF(MARÍTIMOS[[#This Row],[Placa Carreta]]="","",MARÍTIMOS[[#This Row],[Placa Carreta]]),"")</f>
        <v>A6P994</v>
      </c>
      <c r="L154" s="44" t="str">
        <f>IFERROR(IF(MARÍTIMOS[[#This Row],[Conductor]]="","",MARÍTIMOS[[#This Row],[Conductor]]),"")</f>
        <v>CESAR AUGUSTO SALCEDO  BONILLA</v>
      </c>
      <c r="M154" s="2" t="str">
        <f>IFERROR(IF(MARÍTIMOS[[#This Row],[Licencia]]="","",MARÍTIMOS[[#This Row],[Licencia]]),"")</f>
        <v>B05642916</v>
      </c>
      <c r="N154" s="2">
        <f>IFERROR(IF(MARÍTIMOS[[#This Row],[Número de Contacto]]="","",MARÍTIMOS[[#This Row],[Número de Contacto]]),"")</f>
        <v>952308502</v>
      </c>
      <c r="O154" s="10" t="str">
        <f>IFERROR(IF(MARÍTIMOS[[#This Row],[Booking|AWB|CRT]]="","",MARÍTIMOS[[#This Row],[Booking|AWB|CRT]]),"")</f>
        <v>PER9234380A</v>
      </c>
      <c r="P154" s="2" t="str">
        <f>IFERROR(IF(MARÍTIMOS[[#This Row],[Contenedor]]="","",MARÍTIMOS[[#This Row],[Contenedor]]),"")</f>
        <v xml:space="preserve">SZLU5001527 </v>
      </c>
      <c r="Q154" s="2" t="str">
        <f>IFERROR(IF(MARÍTIMOS[[#This Row],[Puerto de Retiro]]="","",MARÍTIMOS[[#This Row],[Puerto de Retiro]]),"")</f>
        <v>PAITA</v>
      </c>
      <c r="R154" s="2" t="str">
        <f>IFERROR(IF(MARÍTIMOS[[#This Row],[Almacén de Retiro]]="","",MARÍTIMOS[[#This Row],[Almacén de Retiro]]),"")</f>
        <v>DPW</v>
      </c>
      <c r="S154" s="11">
        <f>IFERROR(IF(MARÍTIMOS[[#This Row],[Etapa Retiro - Cita]]="","",MARÍTIMOS[[#This Row],[Etapa Retiro - Cita]]),"")</f>
        <v>46286.416666666664</v>
      </c>
      <c r="T154" s="11">
        <f>IFERROR(IF(MARÍTIMOS[[#This Row],[Etapa Retiro - Llegada]]="","",MARÍTIMOS[[#This Row],[Etapa Retiro - Llegada]]),"")</f>
        <v>46286.422222222223</v>
      </c>
      <c r="U154" s="11">
        <f>IFERROR(IF(MARÍTIMOS[[#This Row],[Etapa Retiro - Ingreso]]="","",MARÍTIMOS[[#This Row],[Etapa Retiro - Ingreso]]),"")</f>
        <v>46286.425694444442</v>
      </c>
      <c r="V154" s="11">
        <f>IFERROR(IF(MARÍTIMOS[[#This Row],[Etapa Retiro - Atención]]="","",MARÍTIMOS[[#This Row],[Etapa Retiro - Atención]]),"")</f>
        <v>46286.431944444441</v>
      </c>
      <c r="W154" s="11">
        <f>IFERROR(IF(MARÍTIMOS[[#This Row],[Etapa Retiro - Atención]]="","",MARÍTIMOS[[#This Row],[Etapa Retiro - Atención]]),"")</f>
        <v>46286.431944444441</v>
      </c>
      <c r="X154" s="11">
        <f>IFERROR(IF(MARÍTIMOS[[#This Row],[Etapa Retiro - Inicio de Ruta]]="","",MARÍTIMOS[[#This Row],[Etapa Retiro - Inicio de Ruta]]),"")</f>
        <v>46286.557638888888</v>
      </c>
      <c r="Y154" s="11">
        <f>IFERROR(IF(MARÍTIMOS[[#This Row],[Hora de Posicionamiento]]="","",MARÍTIMOS[[#This Row],[Fecha de Carga]]+MARÍTIMOS[[#This Row],[Hora de Posicionamiento]]),"")</f>
        <v>46287.333333333336</v>
      </c>
      <c r="Z154" s="11" t="str">
        <f>IFERROR(IF(MARÍTIMOS[[#This Row],[Etapa Despacho - Llegada]]="","",MARÍTIMOS[[#This Row],[Etapa Despacho - Llegada]]),"")</f>
        <v/>
      </c>
      <c r="AA154" s="11" t="str">
        <f>IFERROR(IF(MARÍTIMOS[[#This Row],[Etapa Despacho - Registro]]="","",MARÍTIMOS[[#This Row],[Etapa Despacho - Registro]]),"")</f>
        <v/>
      </c>
      <c r="AB154" s="11">
        <f>IFERROR(IF(MARÍTIMOS[[#This Row],[Inspección Externa]]="","",MARÍTIMOS[[#This Row],[Inspección Externa]]),"")</f>
        <v>46287.350694444445</v>
      </c>
      <c r="AC154" s="11" t="str">
        <f>IFERROR(IF(MARÍTIMOS[[#This Row],[Etapa Despacho - Inicio de Carga]]="","",MARÍTIMOS[[#This Row],[Etapa Despacho - Inicio de Carga]]),"")</f>
        <v/>
      </c>
      <c r="AD154" s="11" t="str">
        <f>IFERROR(IF(MARÍTIMOS[[#This Row],[Etapa Despacho - Mitad de Carga]]="","",MARÍTIMOS[[#This Row],[Etapa Despacho - Mitad de Carga]]),"")</f>
        <v/>
      </c>
      <c r="AE154" s="11" t="str">
        <f>IFERROR(IF(MARÍTIMOS[[#This Row],[Etapa Despacho - Fin de Carga]]="","",MARÍTIMOS[[#This Row],[Etapa Despacho - Fin de Carga]]),"")</f>
        <v/>
      </c>
      <c r="AF154" s="2" t="str">
        <f>IFERROR(IF(MARÍTIMOS[[#This Row],[Puerto de Embarque]]="","",MARÍTIMOS[[#This Row],[Puerto de Embarque]]),"")</f>
        <v>Paita</v>
      </c>
      <c r="AG154" s="2" t="str">
        <f>IFERROR(IF(MARÍTIMOS[[#This Row],[Almacén de Ingreso]]="","",MARÍTIMOS[[#This Row],[Almacén de Ingreso]]),"")</f>
        <v>TPE</v>
      </c>
      <c r="AH154" s="11">
        <f>IFERROR(IF(MARÍTIMOS[[#This Row],[Etapa Ingreso - Cita]]="","",MARÍTIMOS[[#This Row],[Etapa Ingreso - Cita]]),"")</f>
        <v>46288.375</v>
      </c>
      <c r="AI154" s="11">
        <f>IFERROR(IF(MARÍTIMOS[[#This Row],[Etapa Ingreso - Llegada]]="","",MARÍTIMOS[[#This Row],[Etapa Ingreso - Llegada]]),"")</f>
        <v>46288.311111111114</v>
      </c>
      <c r="AJ154" s="11">
        <f>IFERROR(IF(MARÍTIMOS[[#This Row],[Etapa Ingreso - Ingeso]]="","",MARÍTIMOS[[#This Row],[Etapa Ingreso - Ingeso]]),"")</f>
        <v>46288.313888888886</v>
      </c>
      <c r="AK154" s="11">
        <f>IFERROR(IF(MARÍTIMOS[[#This Row],[Etapa Ingreso - Atención]]="","",MARÍTIMOS[[#This Row],[Etapa Ingreso - Atención]]),"")</f>
        <v>46288.315972222219</v>
      </c>
      <c r="AL154" s="11">
        <f>IFERROR(IF(MARÍTIMOS[[#This Row],[Etapa Ingreso - Salida]]="","",MARÍTIMOS[[#This Row],[Etapa Ingreso - Salida]]),"")</f>
        <v>46288.322916666664</v>
      </c>
      <c r="AM154" s="2">
        <f>IFERROR(IF(MARÍTIMOS[[#This Row],[FCL]]="","",MARÍTIMOS[[#This Row],[FCL]]),"")</f>
        <v>1</v>
      </c>
      <c r="AN1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4" s="4" t="str" cm="1">
        <f t="array" ref="AO1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4" s="5" t="str">
        <f>IFERROR(OLDBD[[#This Row],[Llegada a packing]]-OLDBD[[#This Row],[Inicio de Ruta]],"")</f>
        <v/>
      </c>
      <c r="AQ154" s="6">
        <f>IFERROR(OLDBD[[#This Row],[Inicio de Ruta]]-OLDBD[[#This Row],[Salida de almacén de retiro]],"")</f>
        <v>0.12569444444670808</v>
      </c>
      <c r="AR1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4" s="8" t="str" cm="1">
        <f t="array" ref="AS1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4" s="9" t="str">
        <f>IFERROR(OLDBD[[#This Row],[Ingreso Packing]]-OLDBD[[#This Row],[Registro en Packing]],"")</f>
        <v/>
      </c>
      <c r="AV154" s="9" t="str">
        <f>IFERROR(OLDBD[[#This Row],[Ingreso Packing]]-OLDBD[[#This Row],[Llegada a packing]],"")</f>
        <v/>
      </c>
      <c r="AW1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4" s="5" t="str">
        <f>IFERROR(OLDBD[[#This Row],[Llegada Almacén de Ingreso]]-OLDBD[[#This Row],[Salida Packing]],"")</f>
        <v/>
      </c>
      <c r="AY154" s="4" t="str" cm="1">
        <f t="array" ref="AY1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54" s="43" t="s">
        <v>173</v>
      </c>
      <c r="BB154" s="47" t="str">
        <f>IFERROR(IF(MARÍTIMOS[[#This Row],[Estatus]]="","",MARÍTIMOS[[#This Row],[Estatus]]),"")</f>
        <v>Confirmado</v>
      </c>
      <c r="BC154" s="43"/>
      <c r="BD154" s="46">
        <f>IFERROR(OLDBD[[#This Row],[Salida de almacén de retiro]]-OLDBD[[#This Row],[Ingreso Almacén de retiro]],"")</f>
        <v>6.2499999985448085E-3</v>
      </c>
      <c r="BE154" s="46" t="str">
        <f>IFERROR(OLDBD[[#This Row],[Fin de Carga]]-OLDBD[[#This Row],[Inicio de Carga]],"")</f>
        <v/>
      </c>
    </row>
    <row r="155" spans="1:57" customFormat="1" hidden="1">
      <c r="A155" s="1"/>
      <c r="B155" s="1">
        <f>IFERROR(IF(MARÍTIMOS[[#This Row],[PP]]="","",MARÍTIMOS[[#This Row],[PP]]),"")</f>
        <v>39</v>
      </c>
      <c r="C155" s="1" t="str">
        <f>IFERROR(IF(MARÍTIMOS[[#This Row],[Sede]]="","",MARÍTIMOS[[#This Row],[Sede]]),"")</f>
        <v>Chao</v>
      </c>
      <c r="D155" s="1" t="str">
        <f>IFERROR(IF(MARÍTIMOS[[#This Row],[Instruction]]="","",MARÍTIMOS[[#This Row],[Instruction]]),"")</f>
        <v>RH-0876</v>
      </c>
      <c r="E155" s="1"/>
      <c r="F155" s="2" t="str">
        <f>IFERROR(IF(MARÍTIMOS[[#This Row],[Transportista]]="","",MARÍTIMOS[[#This Row],[Transportista]]),"")</f>
        <v>Expert Transport</v>
      </c>
      <c r="G155" s="2" t="str">
        <f>IFERROR(IF(MARÍTIMOS[[#This Row],[Tercero]]="","",MARÍTIMOS[[#This Row],[Tercero]]),"")</f>
        <v>NO</v>
      </c>
      <c r="H155" s="2" t="str">
        <f>IFERROR(IF(MARÍTIMOS[[#This Row],[Razón Social]]="","",MARÍTIMOS[[#This Row],[Razón Social]]),"")</f>
        <v xml:space="preserve">EXPERT TRANSPORT SAC </v>
      </c>
      <c r="I155" s="2">
        <f>IFERROR(IF(MARÍTIMOS[[#This Row],[RUC]]="","",MARÍTIMOS[[#This Row],[RUC]]),"")</f>
        <v>20544424751</v>
      </c>
      <c r="J155" s="2" t="str">
        <f>IFERROR(IF(MARÍTIMOS[[#This Row],[Placa Tracto]]="","",MARÍTIMOS[[#This Row],[Placa Tracto]]),"")</f>
        <v>T2K823</v>
      </c>
      <c r="K155" s="2" t="str">
        <f>IFERROR(IF(MARÍTIMOS[[#This Row],[Placa Carreta]]="","",MARÍTIMOS[[#This Row],[Placa Carreta]]),"")</f>
        <v>TCN982</v>
      </c>
      <c r="L155" s="44" t="str">
        <f>IFERROR(IF(MARÍTIMOS[[#This Row],[Conductor]]="","",MARÍTIMOS[[#This Row],[Conductor]]),"")</f>
        <v>RICARDO ALFARO CABRERA</v>
      </c>
      <c r="M155" s="2" t="str">
        <f>IFERROR(IF(MARÍTIMOS[[#This Row],[Licencia]]="","",MARÍTIMOS[[#This Row],[Licencia]]),"")</f>
        <v>D17980722</v>
      </c>
      <c r="N155" s="2">
        <f>IFERROR(IF(MARÍTIMOS[[#This Row],[Número de Contacto]]="","",MARÍTIMOS[[#This Row],[Número de Contacto]]),"")</f>
        <v>952032140</v>
      </c>
      <c r="O155" s="10" t="str">
        <f>IFERROR(IF(MARÍTIMOS[[#This Row],[Booking|AWB|CRT]]="","",MARÍTIMOS[[#This Row],[Booking|AWB|CRT]]),"")</f>
        <v>MBM250068063</v>
      </c>
      <c r="P155" s="2" t="str">
        <f>IFERROR(IF(MARÍTIMOS[[#This Row],[Contenedor]]="","",MARÍTIMOS[[#This Row],[Contenedor]]),"")</f>
        <v>CAIU5552128</v>
      </c>
      <c r="Q155" s="2" t="str">
        <f>IFERROR(IF(MARÍTIMOS[[#This Row],[Puerto de Retiro]]="","",MARÍTIMOS[[#This Row],[Puerto de Retiro]]),"")</f>
        <v>PAITA</v>
      </c>
      <c r="R155" s="2" t="str">
        <f>IFERROR(IF(MARÍTIMOS[[#This Row],[Almacén de Retiro]]="","",MARÍTIMOS[[#This Row],[Almacén de Retiro]]),"")</f>
        <v>MACROMAR</v>
      </c>
      <c r="S155" s="11">
        <f>IFERROR(IF(MARÍTIMOS[[#This Row],[Etapa Retiro - Cita]]="","",MARÍTIMOS[[#This Row],[Etapa Retiro - Cita]]),"")</f>
        <v>46289.5</v>
      </c>
      <c r="T155" s="11">
        <f>IFERROR(IF(MARÍTIMOS[[#This Row],[Etapa Retiro - Llegada]]="","",MARÍTIMOS[[#This Row],[Etapa Retiro - Llegada]]),"")</f>
        <v>46289.474999999999</v>
      </c>
      <c r="U155" s="11">
        <f>IFERROR(IF(MARÍTIMOS[[#This Row],[Etapa Retiro - Ingreso]]="","",MARÍTIMOS[[#This Row],[Etapa Retiro - Ingreso]]),"")</f>
        <v>46289.486805555556</v>
      </c>
      <c r="V155" s="11">
        <f>IFERROR(IF(MARÍTIMOS[[#This Row],[Etapa Retiro - Atención]]="","",MARÍTIMOS[[#This Row],[Etapa Retiro - Atención]]),"")</f>
        <v>46289.500694444447</v>
      </c>
      <c r="W155" s="11">
        <f>IFERROR(IF(MARÍTIMOS[[#This Row],[Etapa Retiro - Atención]]="","",MARÍTIMOS[[#This Row],[Etapa Retiro - Atención]]),"")</f>
        <v>46289.500694444447</v>
      </c>
      <c r="X155" s="11">
        <f>IFERROR(IF(MARÍTIMOS[[#This Row],[Etapa Retiro - Inicio de Ruta]]="","",MARÍTIMOS[[#This Row],[Etapa Retiro - Inicio de Ruta]]),"")</f>
        <v>46289.581944444442</v>
      </c>
      <c r="Y155" s="11">
        <f>IFERROR(IF(MARÍTIMOS[[#This Row],[Hora de Posicionamiento]]="","",MARÍTIMOS[[#This Row],[Fecha de Carga]]+MARÍTIMOS[[#This Row],[Hora de Posicionamiento]]),"")</f>
        <v>46290.333333333336</v>
      </c>
      <c r="Z155" s="11" t="str">
        <f>IFERROR(IF(MARÍTIMOS[[#This Row],[Etapa Despacho - Llegada]]="","",MARÍTIMOS[[#This Row],[Etapa Despacho - Llegada]]),"")</f>
        <v/>
      </c>
      <c r="AA155" s="11" t="str">
        <f>IFERROR(IF(MARÍTIMOS[[#This Row],[Etapa Despacho - Registro]]="","",MARÍTIMOS[[#This Row],[Etapa Despacho - Registro]]),"")</f>
        <v/>
      </c>
      <c r="AB155" s="11">
        <f>IFERROR(IF(MARÍTIMOS[[#This Row],[Inspección Externa]]="","",MARÍTIMOS[[#This Row],[Inspección Externa]]),"")</f>
        <v>46290.392361111109</v>
      </c>
      <c r="AC155" s="11" t="str">
        <f>IFERROR(IF(MARÍTIMOS[[#This Row],[Etapa Despacho - Inicio de Carga]]="","",MARÍTIMOS[[#This Row],[Etapa Despacho - Inicio de Carga]]),"")</f>
        <v/>
      </c>
      <c r="AD155" s="11" t="str">
        <f>IFERROR(IF(MARÍTIMOS[[#This Row],[Etapa Despacho - Mitad de Carga]]="","",MARÍTIMOS[[#This Row],[Etapa Despacho - Mitad de Carga]]),"")</f>
        <v/>
      </c>
      <c r="AE155" s="11" t="str">
        <f>IFERROR(IF(MARÍTIMOS[[#This Row],[Etapa Despacho - Fin de Carga]]="","",MARÍTIMOS[[#This Row],[Etapa Despacho - Fin de Carga]]),"")</f>
        <v/>
      </c>
      <c r="AF155" s="2" t="str">
        <f>IFERROR(IF(MARÍTIMOS[[#This Row],[Puerto de Embarque]]="","",MARÍTIMOS[[#This Row],[Puerto de Embarque]]),"")</f>
        <v>Paita</v>
      </c>
      <c r="AG155" s="2" t="str">
        <f>IFERROR(IF(MARÍTIMOS[[#This Row],[Almacén de Ingreso]]="","",MARÍTIMOS[[#This Row],[Almacén de Ingreso]]),"")</f>
        <v>TPE</v>
      </c>
      <c r="AH155" s="11">
        <f>IFERROR(IF(MARÍTIMOS[[#This Row],[Etapa Ingreso - Cita]]="","",MARÍTIMOS[[#This Row],[Etapa Ingreso - Cita]]),"")</f>
        <v>46291.375</v>
      </c>
      <c r="AI155" s="11">
        <f>IFERROR(IF(MARÍTIMOS[[#This Row],[Etapa Ingreso - Llegada]]="","",MARÍTIMOS[[#This Row],[Etapa Ingreso - Llegada]]),"")</f>
        <v>46291.352777777778</v>
      </c>
      <c r="AJ155" s="11">
        <f>IFERROR(IF(MARÍTIMOS[[#This Row],[Etapa Ingreso - Ingeso]]="","",MARÍTIMOS[[#This Row],[Etapa Ingreso - Ingeso]]),"")</f>
        <v>46291.355555555558</v>
      </c>
      <c r="AK155" s="11">
        <f>IFERROR(IF(MARÍTIMOS[[#This Row],[Etapa Ingreso - Atención]]="","",MARÍTIMOS[[#This Row],[Etapa Ingreso - Atención]]),"")</f>
        <v>46291.359027777777</v>
      </c>
      <c r="AL155" s="11">
        <f>IFERROR(IF(MARÍTIMOS[[#This Row],[Etapa Ingreso - Salida]]="","",MARÍTIMOS[[#This Row],[Etapa Ingreso - Salida]]),"")</f>
        <v>46291.363194444442</v>
      </c>
      <c r="AM155" s="2">
        <f>IFERROR(IF(MARÍTIMOS[[#This Row],[FCL]]="","",MARÍTIMOS[[#This Row],[FCL]]),"")</f>
        <v>1</v>
      </c>
      <c r="AN1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55" s="4" t="str" cm="1">
        <f t="array" ref="AO1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5" s="5" t="str">
        <f>IFERROR(OLDBD[[#This Row],[Llegada a packing]]-OLDBD[[#This Row],[Inicio de Ruta]],"")</f>
        <v/>
      </c>
      <c r="AQ155" s="6">
        <f>IFERROR(OLDBD[[#This Row],[Inicio de Ruta]]-OLDBD[[#This Row],[Salida de almacén de retiro]],"")</f>
        <v>8.1249999995634425E-2</v>
      </c>
      <c r="AR1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5" s="8" t="str" cm="1">
        <f t="array" ref="AS1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5" s="9" t="str">
        <f>IFERROR(OLDBD[[#This Row],[Ingreso Packing]]-OLDBD[[#This Row],[Registro en Packing]],"")</f>
        <v/>
      </c>
      <c r="AV155" s="9" t="str">
        <f>IFERROR(OLDBD[[#This Row],[Ingreso Packing]]-OLDBD[[#This Row],[Llegada a packing]],"")</f>
        <v/>
      </c>
      <c r="AW1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5" s="5" t="str">
        <f>IFERROR(OLDBD[[#This Row],[Llegada Almacén de Ingreso]]-OLDBD[[#This Row],[Salida Packing]],"")</f>
        <v/>
      </c>
      <c r="AY155" s="4" t="str" cm="1">
        <f t="array" ref="AY1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55" s="43" t="s">
        <v>173</v>
      </c>
      <c r="BB155" s="47" t="str">
        <f>IFERROR(IF(MARÍTIMOS[[#This Row],[Estatus]]="","",MARÍTIMOS[[#This Row],[Estatus]]),"")</f>
        <v>Confirmado</v>
      </c>
      <c r="BC155" s="43"/>
      <c r="BD155" s="46">
        <f>IFERROR(OLDBD[[#This Row],[Salida de almacén de retiro]]-OLDBD[[#This Row],[Ingreso Almacén de retiro]],"")</f>
        <v>1.3888888890505768E-2</v>
      </c>
      <c r="BE155" s="46" t="str">
        <f>IFERROR(OLDBD[[#This Row],[Fin de Carga]]-OLDBD[[#This Row],[Inicio de Carga]],"")</f>
        <v/>
      </c>
    </row>
    <row r="156" spans="1:57" customFormat="1" hidden="1">
      <c r="A156" s="1"/>
      <c r="B156" s="1">
        <f>IFERROR(IF(MARÍTIMOS[[#This Row],[PP]]="","",MARÍTIMOS[[#This Row],[PP]]),"")</f>
        <v>39</v>
      </c>
      <c r="C156" s="1" t="str">
        <f>IFERROR(IF(MARÍTIMOS[[#This Row],[Sede]]="","",MARÍTIMOS[[#This Row],[Sede]]),"")</f>
        <v>Chao</v>
      </c>
      <c r="D156" s="1" t="str">
        <f>IFERROR(IF(MARÍTIMOS[[#This Row],[Instruction]]="","",MARÍTIMOS[[#This Row],[Instruction]]),"")</f>
        <v>RH-0847</v>
      </c>
      <c r="E156" s="1"/>
      <c r="F156" s="2" t="str">
        <f>IFERROR(IF(MARÍTIMOS[[#This Row],[Transportista]]="","",MARÍTIMOS[[#This Row],[Transportista]]),"")</f>
        <v>Expert Transport</v>
      </c>
      <c r="G156" s="2" t="str">
        <f>IFERROR(IF(MARÍTIMOS[[#This Row],[Tercero]]="","",MARÍTIMOS[[#This Row],[Tercero]]),"")</f>
        <v>NO</v>
      </c>
      <c r="H156" s="2" t="str">
        <f>IFERROR(IF(MARÍTIMOS[[#This Row],[Razón Social]]="","",MARÍTIMOS[[#This Row],[Razón Social]]),"")</f>
        <v xml:space="preserve">EXPERT TRANSPORT SAC </v>
      </c>
      <c r="I156" s="2">
        <f>IFERROR(IF(MARÍTIMOS[[#This Row],[RUC]]="","",MARÍTIMOS[[#This Row],[RUC]]),"")</f>
        <v>20544424751</v>
      </c>
      <c r="J156" s="2" t="str">
        <f>IFERROR(IF(MARÍTIMOS[[#This Row],[Placa Tracto]]="","",MARÍTIMOS[[#This Row],[Placa Tracto]]),"")</f>
        <v>BYR872</v>
      </c>
      <c r="K156" s="2" t="str">
        <f>IFERROR(IF(MARÍTIMOS[[#This Row],[Placa Carreta]]="","",MARÍTIMOS[[#This Row],[Placa Carreta]]),"")</f>
        <v>A3K983</v>
      </c>
      <c r="L156" s="44" t="str">
        <f>IFERROR(IF(MARÍTIMOS[[#This Row],[Conductor]]="","",MARÍTIMOS[[#This Row],[Conductor]]),"")</f>
        <v>HUMBERTO JESÚS SUAREZ ARGUINZONES</v>
      </c>
      <c r="M156" s="2" t="str">
        <f>IFERROR(IF(MARÍTIMOS[[#This Row],[Licencia]]="","",MARÍTIMOS[[#This Row],[Licencia]]),"")</f>
        <v>B007168026</v>
      </c>
      <c r="N156" s="2">
        <f>IFERROR(IF(MARÍTIMOS[[#This Row],[Número de Contacto]]="","",MARÍTIMOS[[#This Row],[Número de Contacto]]),"")</f>
        <v>934270711</v>
      </c>
      <c r="O156" s="10" t="str">
        <f>IFERROR(IF(MARÍTIMOS[[#This Row],[Booking|AWB|CRT]]="","",MARÍTIMOS[[#This Row],[Booking|AWB|CRT]]),"")</f>
        <v>MBM250067161</v>
      </c>
      <c r="P156" s="2" t="str">
        <f>IFERROR(IF(MARÍTIMOS[[#This Row],[Contenedor]]="","",MARÍTIMOS[[#This Row],[Contenedor]]),"")</f>
        <v>TCLU1383598</v>
      </c>
      <c r="Q156" s="2" t="str">
        <f>IFERROR(IF(MARÍTIMOS[[#This Row],[Puerto de Retiro]]="","",MARÍTIMOS[[#This Row],[Puerto de Retiro]]),"")</f>
        <v>PAITA</v>
      </c>
      <c r="R156" s="2" t="str">
        <f>IFERROR(IF(MARÍTIMOS[[#This Row],[Almacén de Retiro]]="","",MARÍTIMOS[[#This Row],[Almacén de Retiro]]),"")</f>
        <v>MACROMAR</v>
      </c>
      <c r="S156" s="11">
        <f>IFERROR(IF(MARÍTIMOS[[#This Row],[Etapa Retiro - Cita]]="","",MARÍTIMOS[[#This Row],[Etapa Retiro - Cita]]),"")</f>
        <v>46289.5</v>
      </c>
      <c r="T156" s="11">
        <f>IFERROR(IF(MARÍTIMOS[[#This Row],[Etapa Retiro - Llegada]]="","",MARÍTIMOS[[#This Row],[Etapa Retiro - Llegada]]),"")</f>
        <v>46289.495138888888</v>
      </c>
      <c r="U156" s="11">
        <f>IFERROR(IF(MARÍTIMOS[[#This Row],[Etapa Retiro - Ingreso]]="","",MARÍTIMOS[[#This Row],[Etapa Retiro - Ingreso]]),"")</f>
        <v>46289.49722222222</v>
      </c>
      <c r="V156" s="11">
        <f>IFERROR(IF(MARÍTIMOS[[#This Row],[Etapa Retiro - Atención]]="","",MARÍTIMOS[[#This Row],[Etapa Retiro - Atención]]),"")</f>
        <v>46289.508333333331</v>
      </c>
      <c r="W156" s="11">
        <f>IFERROR(IF(MARÍTIMOS[[#This Row],[Etapa Retiro - Atención]]="","",MARÍTIMOS[[#This Row],[Etapa Retiro - Atención]]),"")</f>
        <v>46289.508333333331</v>
      </c>
      <c r="X156" s="11">
        <f>IFERROR(IF(MARÍTIMOS[[#This Row],[Etapa Retiro - Inicio de Ruta]]="","",MARÍTIMOS[[#This Row],[Etapa Retiro - Inicio de Ruta]]),"")</f>
        <v>46289.729166666664</v>
      </c>
      <c r="Y156" s="11">
        <f>IFERROR(IF(MARÍTIMOS[[#This Row],[Hora de Posicionamiento]]="","",MARÍTIMOS[[#This Row],[Fecha de Carga]]+MARÍTIMOS[[#This Row],[Hora de Posicionamiento]]),"")</f>
        <v>46290.333333333336</v>
      </c>
      <c r="Z156" s="11" t="str">
        <f>IFERROR(IF(MARÍTIMOS[[#This Row],[Etapa Despacho - Llegada]]="","",MARÍTIMOS[[#This Row],[Etapa Despacho - Llegada]]),"")</f>
        <v/>
      </c>
      <c r="AA156" s="11" t="str">
        <f>IFERROR(IF(MARÍTIMOS[[#This Row],[Etapa Despacho - Registro]]="","",MARÍTIMOS[[#This Row],[Etapa Despacho - Registro]]),"")</f>
        <v/>
      </c>
      <c r="AB156" s="11">
        <f>IFERROR(IF(MARÍTIMOS[[#This Row],[Inspección Externa]]="","",MARÍTIMOS[[#This Row],[Inspección Externa]]),"")</f>
        <v>46290.489583333336</v>
      </c>
      <c r="AC156" s="11" t="str">
        <f>IFERROR(IF(MARÍTIMOS[[#This Row],[Etapa Despacho - Inicio de Carga]]="","",MARÍTIMOS[[#This Row],[Etapa Despacho - Inicio de Carga]]),"")</f>
        <v/>
      </c>
      <c r="AD156" s="11" t="str">
        <f>IFERROR(IF(MARÍTIMOS[[#This Row],[Etapa Despacho - Mitad de Carga]]="","",MARÍTIMOS[[#This Row],[Etapa Despacho - Mitad de Carga]]),"")</f>
        <v/>
      </c>
      <c r="AE156" s="11" t="str">
        <f>IFERROR(IF(MARÍTIMOS[[#This Row],[Etapa Despacho - Fin de Carga]]="","",MARÍTIMOS[[#This Row],[Etapa Despacho - Fin de Carga]]),"")</f>
        <v/>
      </c>
      <c r="AF156" s="2" t="str">
        <f>IFERROR(IF(MARÍTIMOS[[#This Row],[Puerto de Embarque]]="","",MARÍTIMOS[[#This Row],[Puerto de Embarque]]),"")</f>
        <v>Paita</v>
      </c>
      <c r="AG156" s="2" t="str">
        <f>IFERROR(IF(MARÍTIMOS[[#This Row],[Almacén de Ingreso]]="","",MARÍTIMOS[[#This Row],[Almacén de Ingreso]]),"")</f>
        <v>TPE</v>
      </c>
      <c r="AH156" s="11">
        <f>IFERROR(IF(MARÍTIMOS[[#This Row],[Etapa Ingreso - Cita]]="","",MARÍTIMOS[[#This Row],[Etapa Ingreso - Cita]]),"")</f>
        <v>46291.458333333336</v>
      </c>
      <c r="AI156" s="11">
        <f>IFERROR(IF(MARÍTIMOS[[#This Row],[Etapa Ingreso - Llegada]]="","",MARÍTIMOS[[#This Row],[Etapa Ingreso - Llegada]]),"")</f>
        <v>46291.429861111108</v>
      </c>
      <c r="AJ156" s="11">
        <f>IFERROR(IF(MARÍTIMOS[[#This Row],[Etapa Ingreso - Ingeso]]="","",MARÍTIMOS[[#This Row],[Etapa Ingreso - Ingeso]]),"")</f>
        <v>46291.431944444441</v>
      </c>
      <c r="AK156" s="11">
        <f>IFERROR(IF(MARÍTIMOS[[#This Row],[Etapa Ingreso - Atención]]="","",MARÍTIMOS[[#This Row],[Etapa Ingreso - Atención]]),"")</f>
        <v>46291.436805555553</v>
      </c>
      <c r="AL156" s="11">
        <f>IFERROR(IF(MARÍTIMOS[[#This Row],[Etapa Ingreso - Salida]]="","",MARÍTIMOS[[#This Row],[Etapa Ingreso - Salida]]),"")</f>
        <v>46291.439583333333</v>
      </c>
      <c r="AM156" s="2">
        <f>IFERROR(IF(MARÍTIMOS[[#This Row],[FCL]]="","",MARÍTIMOS[[#This Row],[FCL]]),"")</f>
        <v>1</v>
      </c>
      <c r="AN1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6" s="4" t="str" cm="1">
        <f t="array" ref="AO1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6" s="5" t="str">
        <f>IFERROR(OLDBD[[#This Row],[Llegada a packing]]-OLDBD[[#This Row],[Inicio de Ruta]],"")</f>
        <v/>
      </c>
      <c r="AQ156" s="6">
        <f>IFERROR(OLDBD[[#This Row],[Inicio de Ruta]]-OLDBD[[#This Row],[Salida de almacén de retiro]],"")</f>
        <v>0.22083333333284827</v>
      </c>
      <c r="AR1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6" s="8" t="str" cm="1">
        <f t="array" ref="AS1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6" s="9" t="str">
        <f>IFERROR(OLDBD[[#This Row],[Ingreso Packing]]-OLDBD[[#This Row],[Registro en Packing]],"")</f>
        <v/>
      </c>
      <c r="AV156" s="9" t="str">
        <f>IFERROR(OLDBD[[#This Row],[Ingreso Packing]]-OLDBD[[#This Row],[Llegada a packing]],"")</f>
        <v/>
      </c>
      <c r="AW1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6" s="5" t="str">
        <f>IFERROR(OLDBD[[#This Row],[Llegada Almacén de Ingreso]]-OLDBD[[#This Row],[Salida Packing]],"")</f>
        <v/>
      </c>
      <c r="AY156" s="4" t="str" cm="1">
        <f t="array" ref="AY1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56" s="43" t="s">
        <v>173</v>
      </c>
      <c r="BB156" s="47" t="str">
        <f>IFERROR(IF(MARÍTIMOS[[#This Row],[Estatus]]="","",MARÍTIMOS[[#This Row],[Estatus]]),"")</f>
        <v>Confirmado</v>
      </c>
      <c r="BC156" s="43"/>
      <c r="BD156" s="46">
        <f>IFERROR(OLDBD[[#This Row],[Salida de almacén de retiro]]-OLDBD[[#This Row],[Ingreso Almacén de retiro]],"")</f>
        <v>1.1111111110949423E-2</v>
      </c>
      <c r="BE156" s="46" t="str">
        <f>IFERROR(OLDBD[[#This Row],[Fin de Carga]]-OLDBD[[#This Row],[Inicio de Carga]],"")</f>
        <v/>
      </c>
    </row>
    <row r="157" spans="1:57" customFormat="1" hidden="1">
      <c r="A157" s="1"/>
      <c r="B157" s="1">
        <f>IFERROR(IF(MARÍTIMOS[[#This Row],[PP]]="","",MARÍTIMOS[[#This Row],[PP]]),"")</f>
        <v>39</v>
      </c>
      <c r="C157" s="1" t="str">
        <f>IFERROR(IF(MARÍTIMOS[[#This Row],[Sede]]="","",MARÍTIMOS[[#This Row],[Sede]]),"")</f>
        <v>Chao</v>
      </c>
      <c r="D157" s="1" t="str">
        <f>IFERROR(IF(MARÍTIMOS[[#This Row],[Instruction]]="","",MARÍTIMOS[[#This Row],[Instruction]]),"")</f>
        <v>RH-0854</v>
      </c>
      <c r="E157" s="1"/>
      <c r="F157" s="2" t="str">
        <f>IFERROR(IF(MARÍTIMOS[[#This Row],[Transportista]]="","",MARÍTIMOS[[#This Row],[Transportista]]),"")</f>
        <v>Expert Transport</v>
      </c>
      <c r="G157" s="2" t="str">
        <f>IFERROR(IF(MARÍTIMOS[[#This Row],[Tercero]]="","",MARÍTIMOS[[#This Row],[Tercero]]),"")</f>
        <v>NO</v>
      </c>
      <c r="H157" s="2" t="str">
        <f>IFERROR(IF(MARÍTIMOS[[#This Row],[Razón Social]]="","",MARÍTIMOS[[#This Row],[Razón Social]]),"")</f>
        <v xml:space="preserve">EXPERT TRANSPORT SAC </v>
      </c>
      <c r="I157" s="2">
        <f>IFERROR(IF(MARÍTIMOS[[#This Row],[RUC]]="","",MARÍTIMOS[[#This Row],[RUC]]),"")</f>
        <v>20544424751</v>
      </c>
      <c r="J157" s="2" t="str">
        <f>IFERROR(IF(MARÍTIMOS[[#This Row],[Placa Tracto]]="","",MARÍTIMOS[[#This Row],[Placa Tracto]]),"")</f>
        <v>V1B809</v>
      </c>
      <c r="K157" s="2" t="str">
        <f>IFERROR(IF(MARÍTIMOS[[#This Row],[Placa Carreta]]="","",MARÍTIMOS[[#This Row],[Placa Carreta]]),"")</f>
        <v>TKC975</v>
      </c>
      <c r="L157" s="44" t="str">
        <f>IFERROR(IF(MARÍTIMOS[[#This Row],[Conductor]]="","",MARÍTIMOS[[#This Row],[Conductor]]),"")</f>
        <v>GUILLERMO YOSNEY GONZALEZ RUIZ</v>
      </c>
      <c r="M157" s="2" t="str">
        <f>IFERROR(IF(MARÍTIMOS[[#This Row],[Licencia]]="","",MARÍTIMOS[[#This Row],[Licencia]]),"")</f>
        <v>Q005581456</v>
      </c>
      <c r="N157" s="2">
        <f>IFERROR(IF(MARÍTIMOS[[#This Row],[Número de Contacto]]="","",MARÍTIMOS[[#This Row],[Número de Contacto]]),"")</f>
        <v>914472332</v>
      </c>
      <c r="O157" s="10" t="str">
        <f>IFERROR(IF(MARÍTIMOS[[#This Row],[Booking|AWB|CRT]]="","",MARÍTIMOS[[#This Row],[Booking|AWB|CRT]]),"")</f>
        <v>BN84382</v>
      </c>
      <c r="P157" s="2" t="str">
        <f>IFERROR(IF(MARÍTIMOS[[#This Row],[Contenedor]]="","",MARÍTIMOS[[#This Row],[Contenedor]]),"")</f>
        <v>BMOU9333468</v>
      </c>
      <c r="Q157" s="2" t="str">
        <f>IFERROR(IF(MARÍTIMOS[[#This Row],[Puerto de Retiro]]="","",MARÍTIMOS[[#This Row],[Puerto de Retiro]]),"")</f>
        <v>PAITA</v>
      </c>
      <c r="R157" s="2" t="str">
        <f>IFERROR(IF(MARÍTIMOS[[#This Row],[Almacén de Retiro]]="","",MARÍTIMOS[[#This Row],[Almacén de Retiro]]),"")</f>
        <v>DPW</v>
      </c>
      <c r="S157" s="11">
        <f>IFERROR(IF(MARÍTIMOS[[#This Row],[Etapa Retiro - Cita]]="","",MARÍTIMOS[[#This Row],[Etapa Retiro - Cita]]),"")</f>
        <v>46291.458333333336</v>
      </c>
      <c r="T157" s="11">
        <f>IFERROR(IF(MARÍTIMOS[[#This Row],[Etapa Retiro - Llegada]]="","",MARÍTIMOS[[#This Row],[Etapa Retiro - Llegada]]),"")</f>
        <v>46291.470138888886</v>
      </c>
      <c r="U157" s="11">
        <f>IFERROR(IF(MARÍTIMOS[[#This Row],[Etapa Retiro - Ingreso]]="","",MARÍTIMOS[[#This Row],[Etapa Retiro - Ingreso]]),"")</f>
        <v>46291.484722222223</v>
      </c>
      <c r="V157" s="11">
        <f>IFERROR(IF(MARÍTIMOS[[#This Row],[Etapa Retiro - Atención]]="","",MARÍTIMOS[[#This Row],[Etapa Retiro - Atención]]),"")</f>
        <v>46291.491666666669</v>
      </c>
      <c r="W157" s="11">
        <f>IFERROR(IF(MARÍTIMOS[[#This Row],[Etapa Retiro - Atención]]="","",MARÍTIMOS[[#This Row],[Etapa Retiro - Atención]]),"")</f>
        <v>46291.491666666669</v>
      </c>
      <c r="X157" s="11">
        <f>IFERROR(IF(MARÍTIMOS[[#This Row],[Etapa Retiro - Inicio de Ruta]]="","",MARÍTIMOS[[#This Row],[Etapa Retiro - Inicio de Ruta]]),"")</f>
        <v>46291.666666666664</v>
      </c>
      <c r="Y157" s="11">
        <f>IFERROR(IF(MARÍTIMOS[[#This Row],[Hora de Posicionamiento]]="","",MARÍTIMOS[[#This Row],[Fecha de Carga]]+MARÍTIMOS[[#This Row],[Hora de Posicionamiento]]),"")</f>
        <v>46292.416666666664</v>
      </c>
      <c r="Z157" s="11" t="str">
        <f>IFERROR(IF(MARÍTIMOS[[#This Row],[Etapa Despacho - Llegada]]="","",MARÍTIMOS[[#This Row],[Etapa Despacho - Llegada]]),"")</f>
        <v/>
      </c>
      <c r="AA157" s="11" t="str">
        <f>IFERROR(IF(MARÍTIMOS[[#This Row],[Etapa Despacho - Registro]]="","",MARÍTIMOS[[#This Row],[Etapa Despacho - Registro]]),"")</f>
        <v/>
      </c>
      <c r="AB157" s="11">
        <f>IFERROR(IF(MARÍTIMOS[[#This Row],[Inspección Externa]]="","",MARÍTIMOS[[#This Row],[Inspección Externa]]),"")</f>
        <v>46292.454861111109</v>
      </c>
      <c r="AC157" s="11" t="str">
        <f>IFERROR(IF(MARÍTIMOS[[#This Row],[Etapa Despacho - Inicio de Carga]]="","",MARÍTIMOS[[#This Row],[Etapa Despacho - Inicio de Carga]]),"")</f>
        <v/>
      </c>
      <c r="AD157" s="11" t="str">
        <f>IFERROR(IF(MARÍTIMOS[[#This Row],[Etapa Despacho - Mitad de Carga]]="","",MARÍTIMOS[[#This Row],[Etapa Despacho - Mitad de Carga]]),"")</f>
        <v/>
      </c>
      <c r="AE157" s="11" t="str">
        <f>IFERROR(IF(MARÍTIMOS[[#This Row],[Etapa Despacho - Fin de Carga]]="","",MARÍTIMOS[[#This Row],[Etapa Despacho - Fin de Carga]]),"")</f>
        <v/>
      </c>
      <c r="AF157" s="2" t="str">
        <f>IFERROR(IF(MARÍTIMOS[[#This Row],[Puerto de Embarque]]="","",MARÍTIMOS[[#This Row],[Puerto de Embarque]]),"")</f>
        <v>Paita</v>
      </c>
      <c r="AG157" s="2" t="str">
        <f>IFERROR(IF(MARÍTIMOS[[#This Row],[Almacén de Ingreso]]="","",MARÍTIMOS[[#This Row],[Almacén de Ingreso]]),"")</f>
        <v>TPE</v>
      </c>
      <c r="AH157" s="11">
        <f>IFERROR(IF(MARÍTIMOS[[#This Row],[Etapa Ingreso - Cita]]="","",MARÍTIMOS[[#This Row],[Etapa Ingreso - Cita]]),"")</f>
        <v>46293.5</v>
      </c>
      <c r="AI157" s="11">
        <f>IFERROR(IF(MARÍTIMOS[[#This Row],[Etapa Ingreso - Llegada]]="","",MARÍTIMOS[[#This Row],[Etapa Ingreso - Llegada]]),"")</f>
        <v>46293.424305555556</v>
      </c>
      <c r="AJ157" s="11">
        <f>IFERROR(IF(MARÍTIMOS[[#This Row],[Etapa Ingreso - Ingeso]]="","",MARÍTIMOS[[#This Row],[Etapa Ingreso - Ingeso]]),"")</f>
        <v>46293.430555555555</v>
      </c>
      <c r="AK157" s="11">
        <f>IFERROR(IF(MARÍTIMOS[[#This Row],[Etapa Ingreso - Atención]]="","",MARÍTIMOS[[#This Row],[Etapa Ingreso - Atención]]),"")</f>
        <v>46293.432638888888</v>
      </c>
      <c r="AL157" s="11">
        <f>IFERROR(IF(MARÍTIMOS[[#This Row],[Etapa Ingreso - Salida]]="","",MARÍTIMOS[[#This Row],[Etapa Ingreso - Salida]]),"")</f>
        <v>46293.435416666667</v>
      </c>
      <c r="AM157" s="2">
        <f>IFERROR(IF(MARÍTIMOS[[#This Row],[FCL]]="","",MARÍTIMOS[[#This Row],[FCL]]),"")</f>
        <v>1</v>
      </c>
      <c r="AN1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7" s="4" t="str" cm="1">
        <f t="array" ref="AO1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7" s="5" t="str">
        <f>IFERROR(OLDBD[[#This Row],[Llegada a packing]]-OLDBD[[#This Row],[Inicio de Ruta]],"")</f>
        <v/>
      </c>
      <c r="AQ157" s="6">
        <f>IFERROR(OLDBD[[#This Row],[Inicio de Ruta]]-OLDBD[[#This Row],[Salida de almacén de retiro]],"")</f>
        <v>0.17499999999563443</v>
      </c>
      <c r="AR1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7" s="8" t="str" cm="1">
        <f t="array" ref="AS1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7" s="9" t="str">
        <f>IFERROR(OLDBD[[#This Row],[Ingreso Packing]]-OLDBD[[#This Row],[Registro en Packing]],"")</f>
        <v/>
      </c>
      <c r="AV157" s="9" t="str">
        <f>IFERROR(OLDBD[[#This Row],[Ingreso Packing]]-OLDBD[[#This Row],[Llegada a packing]],"")</f>
        <v/>
      </c>
      <c r="AW1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7" s="5" t="str">
        <f>IFERROR(OLDBD[[#This Row],[Llegada Almacén de Ingreso]]-OLDBD[[#This Row],[Salida Packing]],"")</f>
        <v/>
      </c>
      <c r="AY157" s="4" t="str" cm="1">
        <f t="array" ref="AY1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57" s="43" t="s">
        <v>173</v>
      </c>
      <c r="BB157" s="47" t="str">
        <f>IFERROR(IF(MARÍTIMOS[[#This Row],[Estatus]]="","",MARÍTIMOS[[#This Row],[Estatus]]),"")</f>
        <v>Confirmado</v>
      </c>
      <c r="BC157" s="43"/>
      <c r="BD157" s="46">
        <f>IFERROR(OLDBD[[#This Row],[Salida de almacén de retiro]]-OLDBD[[#This Row],[Ingreso Almacén de retiro]],"")</f>
        <v>6.9444444452528842E-3</v>
      </c>
      <c r="BE157" s="46" t="str">
        <f>IFERROR(OLDBD[[#This Row],[Fin de Carga]]-OLDBD[[#This Row],[Inicio de Carga]],"")</f>
        <v/>
      </c>
    </row>
    <row r="158" spans="1:57" customFormat="1" hidden="1">
      <c r="A158" s="1"/>
      <c r="B158" s="1">
        <f>IFERROR(IF(MARÍTIMOS[[#This Row],[PP]]="","",MARÍTIMOS[[#This Row],[PP]]),"")</f>
        <v>39</v>
      </c>
      <c r="C158" s="1" t="str">
        <f>IFERROR(IF(MARÍTIMOS[[#This Row],[Sede]]="","",MARÍTIMOS[[#This Row],[Sede]]),"")</f>
        <v>Chao</v>
      </c>
      <c r="D158" s="1" t="str">
        <f>IFERROR(IF(MARÍTIMOS[[#This Row],[Instruction]]="","",MARÍTIMOS[[#This Row],[Instruction]]),"")</f>
        <v>RH-0861</v>
      </c>
      <c r="E158" s="1"/>
      <c r="F158" s="2" t="str">
        <f>IFERROR(IF(MARÍTIMOS[[#This Row],[Transportista]]="","",MARÍTIMOS[[#This Row],[Transportista]]),"")</f>
        <v>Expert Transport</v>
      </c>
      <c r="G158" s="2" t="str">
        <f>IFERROR(IF(MARÍTIMOS[[#This Row],[Tercero]]="","",MARÍTIMOS[[#This Row],[Tercero]]),"")</f>
        <v>NO</v>
      </c>
      <c r="H158" s="2" t="str">
        <f>IFERROR(IF(MARÍTIMOS[[#This Row],[Razón Social]]="","",MARÍTIMOS[[#This Row],[Razón Social]]),"")</f>
        <v xml:space="preserve">EXPERT TRANSPORT SAC </v>
      </c>
      <c r="I158" s="2">
        <f>IFERROR(IF(MARÍTIMOS[[#This Row],[RUC]]="","",MARÍTIMOS[[#This Row],[RUC]]),"")</f>
        <v>20544424751</v>
      </c>
      <c r="J158" s="2" t="str">
        <f>IFERROR(IF(MARÍTIMOS[[#This Row],[Placa Tracto]]="","",MARÍTIMOS[[#This Row],[Placa Tracto]]),"")</f>
        <v>V4M797</v>
      </c>
      <c r="K158" s="2" t="str">
        <f>IFERROR(IF(MARÍTIMOS[[#This Row],[Placa Carreta]]="","",MARÍTIMOS[[#This Row],[Placa Carreta]]),"")</f>
        <v>THN988</v>
      </c>
      <c r="L158" s="44" t="str">
        <f>IFERROR(IF(MARÍTIMOS[[#This Row],[Conductor]]="","",MARÍTIMOS[[#This Row],[Conductor]]),"")</f>
        <v>JHONLEY MOLINA GUTIERREZ</v>
      </c>
      <c r="M158" s="2" t="str">
        <f>IFERROR(IF(MARÍTIMOS[[#This Row],[Licencia]]="","",MARÍTIMOS[[#This Row],[Licencia]]),"")</f>
        <v>B006381203</v>
      </c>
      <c r="N158" s="2">
        <f>IFERROR(IF(MARÍTIMOS[[#This Row],[Número de Contacto]]="","",MARÍTIMOS[[#This Row],[Número de Contacto]]),"")</f>
        <v>959221690</v>
      </c>
      <c r="O158" s="10" t="str">
        <f>IFERROR(IF(MARÍTIMOS[[#This Row],[Booking|AWB|CRT]]="","",MARÍTIMOS[[#This Row],[Booking|AWB|CRT]]),"")</f>
        <v>PER9239312A</v>
      </c>
      <c r="P158" s="2" t="str">
        <f>IFERROR(IF(MARÍTIMOS[[#This Row],[Contenedor]]="","",MARÍTIMOS[[#This Row],[Contenedor]]),"")</f>
        <v xml:space="preserve"> BEAU9705827</v>
      </c>
      <c r="Q158" s="2" t="str">
        <f>IFERROR(IF(MARÍTIMOS[[#This Row],[Puerto de Retiro]]="","",MARÍTIMOS[[#This Row],[Puerto de Retiro]]),"")</f>
        <v>PAITA</v>
      </c>
      <c r="R158" s="2" t="str">
        <f>IFERROR(IF(MARÍTIMOS[[#This Row],[Almacén de Retiro]]="","",MARÍTIMOS[[#This Row],[Almacén de Retiro]]),"")</f>
        <v>DPW</v>
      </c>
      <c r="S158" s="11">
        <f>IFERROR(IF(MARÍTIMOS[[#This Row],[Etapa Retiro - Cita]]="","",MARÍTIMOS[[#This Row],[Etapa Retiro - Cita]]),"")</f>
        <v>46292.666666666664</v>
      </c>
      <c r="T158" s="11">
        <f>IFERROR(IF(MARÍTIMOS[[#This Row],[Etapa Retiro - Llegada]]="","",MARÍTIMOS[[#This Row],[Etapa Retiro - Llegada]]),"")</f>
        <v>46292.661805555559</v>
      </c>
      <c r="U158" s="11">
        <f>IFERROR(IF(MARÍTIMOS[[#This Row],[Etapa Retiro - Ingreso]]="","",MARÍTIMOS[[#This Row],[Etapa Retiro - Ingreso]]),"")</f>
        <v>46292.686805555553</v>
      </c>
      <c r="V158" s="11">
        <f>IFERROR(IF(MARÍTIMOS[[#This Row],[Etapa Retiro - Atención]]="","",MARÍTIMOS[[#This Row],[Etapa Retiro - Atención]]),"")</f>
        <v>46292.697916666664</v>
      </c>
      <c r="W158" s="11">
        <f>IFERROR(IF(MARÍTIMOS[[#This Row],[Etapa Retiro - Atención]]="","",MARÍTIMOS[[#This Row],[Etapa Retiro - Atención]]),"")</f>
        <v>46292.697916666664</v>
      </c>
      <c r="X158" s="11">
        <f>IFERROR(IF(MARÍTIMOS[[#This Row],[Etapa Retiro - Inicio de Ruta]]="","",MARÍTIMOS[[#This Row],[Etapa Retiro - Inicio de Ruta]]),"")</f>
        <v>46292.744444444441</v>
      </c>
      <c r="Y158" s="11">
        <f>IFERROR(IF(MARÍTIMOS[[#This Row],[Hora de Posicionamiento]]="","",MARÍTIMOS[[#This Row],[Fecha de Carga]]+MARÍTIMOS[[#This Row],[Hora de Posicionamiento]]),"")</f>
        <v>46293.666666666664</v>
      </c>
      <c r="Z158" s="11" t="str">
        <f>IFERROR(IF(MARÍTIMOS[[#This Row],[Etapa Despacho - Llegada]]="","",MARÍTIMOS[[#This Row],[Etapa Despacho - Llegada]]),"")</f>
        <v/>
      </c>
      <c r="AA158" s="11" t="str">
        <f>IFERROR(IF(MARÍTIMOS[[#This Row],[Etapa Despacho - Registro]]="","",MARÍTIMOS[[#This Row],[Etapa Despacho - Registro]]),"")</f>
        <v/>
      </c>
      <c r="AB158" s="11">
        <f>IFERROR(IF(MARÍTIMOS[[#This Row],[Inspección Externa]]="","",MARÍTIMOS[[#This Row],[Inspección Externa]]),"")</f>
        <v>46293.604166666664</v>
      </c>
      <c r="AC158" s="11" t="str">
        <f>IFERROR(IF(MARÍTIMOS[[#This Row],[Etapa Despacho - Inicio de Carga]]="","",MARÍTIMOS[[#This Row],[Etapa Despacho - Inicio de Carga]]),"")</f>
        <v/>
      </c>
      <c r="AD158" s="11" t="str">
        <f>IFERROR(IF(MARÍTIMOS[[#This Row],[Etapa Despacho - Mitad de Carga]]="","",MARÍTIMOS[[#This Row],[Etapa Despacho - Mitad de Carga]]),"")</f>
        <v/>
      </c>
      <c r="AE158" s="11" t="str">
        <f>IFERROR(IF(MARÍTIMOS[[#This Row],[Etapa Despacho - Fin de Carga]]="","",MARÍTIMOS[[#This Row],[Etapa Despacho - Fin de Carga]]),"")</f>
        <v/>
      </c>
      <c r="AF158" s="2" t="str">
        <f>IFERROR(IF(MARÍTIMOS[[#This Row],[Puerto de Embarque]]="","",MARÍTIMOS[[#This Row],[Puerto de Embarque]]),"")</f>
        <v>Paita</v>
      </c>
      <c r="AG158" s="2" t="str">
        <f>IFERROR(IF(MARÍTIMOS[[#This Row],[Almacén de Ingreso]]="","",MARÍTIMOS[[#This Row],[Almacén de Ingreso]]),"")</f>
        <v>TPE</v>
      </c>
      <c r="AH158" s="11" t="str">
        <f>IFERROR(IF(MARÍTIMOS[[#This Row],[Etapa Ingreso - Cita]]="","",MARÍTIMOS[[#This Row],[Etapa Ingreso - Cita]]),"")</f>
        <v/>
      </c>
      <c r="AI158" s="11" t="str">
        <f>IFERROR(IF(MARÍTIMOS[[#This Row],[Etapa Ingreso - Llegada]]="","",MARÍTIMOS[[#This Row],[Etapa Ingreso - Llegada]]),"")</f>
        <v/>
      </c>
      <c r="AJ158" s="11" t="str">
        <f>IFERROR(IF(MARÍTIMOS[[#This Row],[Etapa Ingreso - Ingeso]]="","",MARÍTIMOS[[#This Row],[Etapa Ingreso - Ingeso]]),"")</f>
        <v/>
      </c>
      <c r="AK158" s="11" t="str">
        <f>IFERROR(IF(MARÍTIMOS[[#This Row],[Etapa Ingreso - Atención]]="","",MARÍTIMOS[[#This Row],[Etapa Ingreso - Atención]]),"")</f>
        <v/>
      </c>
      <c r="AL158" s="11" t="str">
        <f>IFERROR(IF(MARÍTIMOS[[#This Row],[Etapa Ingreso - Salida]]="","",MARÍTIMOS[[#This Row],[Etapa Ingreso - Salida]]),"")</f>
        <v/>
      </c>
      <c r="AM158" s="2">
        <f>IFERROR(IF(MARÍTIMOS[[#This Row],[FCL]]="","",MARÍTIMOS[[#This Row],[FCL]]),"")</f>
        <v>1</v>
      </c>
      <c r="AN1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58" s="4" t="str" cm="1">
        <f t="array" ref="AO1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8" s="5" t="str">
        <f>IFERROR(OLDBD[[#This Row],[Llegada a packing]]-OLDBD[[#This Row],[Inicio de Ruta]],"")</f>
        <v/>
      </c>
      <c r="AQ158" s="6">
        <f>IFERROR(OLDBD[[#This Row],[Inicio de Ruta]]-OLDBD[[#This Row],[Salida de almacén de retiro]],"")</f>
        <v>4.6527777776645962E-2</v>
      </c>
      <c r="AR1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8" s="8" t="str" cm="1">
        <f t="array" ref="AS1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8" s="9" t="str">
        <f>IFERROR(OLDBD[[#This Row],[Ingreso Packing]]-OLDBD[[#This Row],[Registro en Packing]],"")</f>
        <v/>
      </c>
      <c r="AV158" s="9" t="str">
        <f>IFERROR(OLDBD[[#This Row],[Ingreso Packing]]-OLDBD[[#This Row],[Llegada a packing]],"")</f>
        <v/>
      </c>
      <c r="AW1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8" s="5" t="str">
        <f>IFERROR(OLDBD[[#This Row],[Llegada Almacén de Ingreso]]-OLDBD[[#This Row],[Salida Packing]],"")</f>
        <v/>
      </c>
      <c r="AY158" s="4" t="str" cm="1">
        <f t="array" ref="AY1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58" s="43" t="s">
        <v>173</v>
      </c>
      <c r="BB158" s="47" t="str">
        <f>IFERROR(IF(MARÍTIMOS[[#This Row],[Estatus]]="","",MARÍTIMOS[[#This Row],[Estatus]]),"")</f>
        <v>Confirmado</v>
      </c>
      <c r="BC158" s="43"/>
      <c r="BD158" s="46">
        <f>IFERROR(OLDBD[[#This Row],[Salida de almacén de retiro]]-OLDBD[[#This Row],[Ingreso Almacén de retiro]],"")</f>
        <v>1.1111111110949423E-2</v>
      </c>
      <c r="BE158" s="46" t="str">
        <f>IFERROR(OLDBD[[#This Row],[Fin de Carga]]-OLDBD[[#This Row],[Inicio de Carga]],"")</f>
        <v/>
      </c>
    </row>
    <row r="159" spans="1:57" customFormat="1" hidden="1">
      <c r="A159" s="1"/>
      <c r="B159" s="1">
        <f>IFERROR(IF(MARÍTIMOS[[#This Row],[PP]]="","",MARÍTIMOS[[#This Row],[PP]]),"")</f>
        <v>39</v>
      </c>
      <c r="C159" s="1" t="str">
        <f>IFERROR(IF(MARÍTIMOS[[#This Row],[Sede]]="","",MARÍTIMOS[[#This Row],[Sede]]),"")</f>
        <v>Chao</v>
      </c>
      <c r="D159" s="1" t="str">
        <f>IFERROR(IF(MARÍTIMOS[[#This Row],[Instruction]]="","",MARÍTIMOS[[#This Row],[Instruction]]),"")</f>
        <v>RH-0863</v>
      </c>
      <c r="E159" s="1"/>
      <c r="F159" s="2" t="str">
        <f>IFERROR(IF(MARÍTIMOS[[#This Row],[Transportista]]="","",MARÍTIMOS[[#This Row],[Transportista]]),"")</f>
        <v>Expert Transport</v>
      </c>
      <c r="G159" s="2" t="str">
        <f>IFERROR(IF(MARÍTIMOS[[#This Row],[Tercero]]="","",MARÍTIMOS[[#This Row],[Tercero]]),"")</f>
        <v>NO</v>
      </c>
      <c r="H159" s="2" t="str">
        <f>IFERROR(IF(MARÍTIMOS[[#This Row],[Razón Social]]="","",MARÍTIMOS[[#This Row],[Razón Social]]),"")</f>
        <v xml:space="preserve">EXPERT TRANSPORT SAC </v>
      </c>
      <c r="I159" s="2">
        <f>IFERROR(IF(MARÍTIMOS[[#This Row],[RUC]]="","",MARÍTIMOS[[#This Row],[RUC]]),"")</f>
        <v>20544424751</v>
      </c>
      <c r="J159" s="2" t="str">
        <f>IFERROR(IF(MARÍTIMOS[[#This Row],[Placa Tracto]]="","",MARÍTIMOS[[#This Row],[Placa Tracto]]),"")</f>
        <v>D1A797</v>
      </c>
      <c r="K159" s="2" t="str">
        <f>IFERROR(IF(MARÍTIMOS[[#This Row],[Placa Carreta]]="","",MARÍTIMOS[[#This Row],[Placa Carreta]]),"")</f>
        <v>TNQ977</v>
      </c>
      <c r="L159" s="44" t="str">
        <f>IFERROR(IF(MARÍTIMOS[[#This Row],[Conductor]]="","",MARÍTIMOS[[#This Row],[Conductor]]),"")</f>
        <v>FREDERIS JOSE PAVON RUIZ</v>
      </c>
      <c r="M159" s="2" t="str">
        <f>IFERROR(IF(MARÍTIMOS[[#This Row],[Licencia]]="","",MARÍTIMOS[[#This Row],[Licencia]]),"")</f>
        <v>Q005175672</v>
      </c>
      <c r="N159" s="2">
        <f>IFERROR(IF(MARÍTIMOS[[#This Row],[Número de Contacto]]="","",MARÍTIMOS[[#This Row],[Número de Contacto]]),"")</f>
        <v>946500525</v>
      </c>
      <c r="O159" s="10" t="str">
        <f>IFERROR(IF(MARÍTIMOS[[#This Row],[Booking|AWB|CRT]]="","",MARÍTIMOS[[#This Row],[Booking|AWB|CRT]]),"")</f>
        <v>PER9239318A</v>
      </c>
      <c r="P159" s="2" t="str">
        <f>IFERROR(IF(MARÍTIMOS[[#This Row],[Contenedor]]="","",MARÍTIMOS[[#This Row],[Contenedor]]),"")</f>
        <v>GCXU8015186</v>
      </c>
      <c r="Q159" s="2" t="str">
        <f>IFERROR(IF(MARÍTIMOS[[#This Row],[Puerto de Retiro]]="","",MARÍTIMOS[[#This Row],[Puerto de Retiro]]),"")</f>
        <v>PAITA</v>
      </c>
      <c r="R159" s="2" t="str">
        <f>IFERROR(IF(MARÍTIMOS[[#This Row],[Almacén de Retiro]]="","",MARÍTIMOS[[#This Row],[Almacén de Retiro]]),"")</f>
        <v>DPW</v>
      </c>
      <c r="S159" s="11">
        <f>IFERROR(IF(MARÍTIMOS[[#This Row],[Etapa Retiro - Cita]]="","",MARÍTIMOS[[#This Row],[Etapa Retiro - Cita]]),"")</f>
        <v>46293.375</v>
      </c>
      <c r="T159" s="11">
        <f>IFERROR(IF(MARÍTIMOS[[#This Row],[Etapa Retiro - Llegada]]="","",MARÍTIMOS[[#This Row],[Etapa Retiro - Llegada]]),"")</f>
        <v>46293.345138888886</v>
      </c>
      <c r="U159" s="11">
        <f>IFERROR(IF(MARÍTIMOS[[#This Row],[Etapa Retiro - Ingreso]]="","",MARÍTIMOS[[#This Row],[Etapa Retiro - Ingreso]]),"")</f>
        <v>46293.370833333334</v>
      </c>
      <c r="V159" s="11">
        <f>IFERROR(IF(MARÍTIMOS[[#This Row],[Etapa Retiro - Atención]]="","",MARÍTIMOS[[#This Row],[Etapa Retiro - Atención]]),"")</f>
        <v>46293.376388888886</v>
      </c>
      <c r="W159" s="11">
        <f>IFERROR(IF(MARÍTIMOS[[#This Row],[Etapa Retiro - Atención]]="","",MARÍTIMOS[[#This Row],[Etapa Retiro - Atención]]),"")</f>
        <v>46293.376388888886</v>
      </c>
      <c r="X159" s="11">
        <f>IFERROR(IF(MARÍTIMOS[[#This Row],[Etapa Retiro - Inicio de Ruta]]="","",MARÍTIMOS[[#This Row],[Etapa Retiro - Inicio de Ruta]]),"")</f>
        <v>46293.583333333336</v>
      </c>
      <c r="Y159" s="11">
        <f>IFERROR(IF(MARÍTIMOS[[#This Row],[Hora de Posicionamiento]]="","",MARÍTIMOS[[#This Row],[Fecha de Carga]]+MARÍTIMOS[[#This Row],[Hora de Posicionamiento]]),"")</f>
        <v>46294.333333333336</v>
      </c>
      <c r="Z159" s="11" t="str">
        <f>IFERROR(IF(MARÍTIMOS[[#This Row],[Etapa Despacho - Llegada]]="","",MARÍTIMOS[[#This Row],[Etapa Despacho - Llegada]]),"")</f>
        <v/>
      </c>
      <c r="AA159" s="11" t="str">
        <f>IFERROR(IF(MARÍTIMOS[[#This Row],[Etapa Despacho - Registro]]="","",MARÍTIMOS[[#This Row],[Etapa Despacho - Registro]]),"")</f>
        <v/>
      </c>
      <c r="AB159" s="11" t="str">
        <f>IFERROR(IF(MARÍTIMOS[[#This Row],[Inspección Externa]]="","",MARÍTIMOS[[#This Row],[Inspección Externa]]),"")</f>
        <v/>
      </c>
      <c r="AC159" s="11" t="str">
        <f>IFERROR(IF(MARÍTIMOS[[#This Row],[Etapa Despacho - Inicio de Carga]]="","",MARÍTIMOS[[#This Row],[Etapa Despacho - Inicio de Carga]]),"")</f>
        <v/>
      </c>
      <c r="AD159" s="11" t="str">
        <f>IFERROR(IF(MARÍTIMOS[[#This Row],[Etapa Despacho - Mitad de Carga]]="","",MARÍTIMOS[[#This Row],[Etapa Despacho - Mitad de Carga]]),"")</f>
        <v/>
      </c>
      <c r="AE159" s="11" t="str">
        <f>IFERROR(IF(MARÍTIMOS[[#This Row],[Etapa Despacho - Fin de Carga]]="","",MARÍTIMOS[[#This Row],[Etapa Despacho - Fin de Carga]]),"")</f>
        <v/>
      </c>
      <c r="AF159" s="2" t="str">
        <f>IFERROR(IF(MARÍTIMOS[[#This Row],[Puerto de Embarque]]="","",MARÍTIMOS[[#This Row],[Puerto de Embarque]]),"")</f>
        <v>Paita</v>
      </c>
      <c r="AG159" s="2" t="str">
        <f>IFERROR(IF(MARÍTIMOS[[#This Row],[Almacén de Ingreso]]="","",MARÍTIMOS[[#This Row],[Almacén de Ingreso]]),"")</f>
        <v/>
      </c>
      <c r="AH159" s="11" t="str">
        <f>IFERROR(IF(MARÍTIMOS[[#This Row],[Etapa Ingreso - Cita]]="","",MARÍTIMOS[[#This Row],[Etapa Ingreso - Cita]]),"")</f>
        <v/>
      </c>
      <c r="AI159" s="11" t="str">
        <f>IFERROR(IF(MARÍTIMOS[[#This Row],[Etapa Ingreso - Llegada]]="","",MARÍTIMOS[[#This Row],[Etapa Ingreso - Llegada]]),"")</f>
        <v/>
      </c>
      <c r="AJ159" s="11" t="str">
        <f>IFERROR(IF(MARÍTIMOS[[#This Row],[Etapa Ingreso - Ingeso]]="","",MARÍTIMOS[[#This Row],[Etapa Ingreso - Ingeso]]),"")</f>
        <v/>
      </c>
      <c r="AK159" s="11" t="str">
        <f>IFERROR(IF(MARÍTIMOS[[#This Row],[Etapa Ingreso - Atención]]="","",MARÍTIMOS[[#This Row],[Etapa Ingreso - Atención]]),"")</f>
        <v/>
      </c>
      <c r="AL159" s="11" t="str">
        <f>IFERROR(IF(MARÍTIMOS[[#This Row],[Etapa Ingreso - Salida]]="","",MARÍTIMOS[[#This Row],[Etapa Ingreso - Salida]]),"")</f>
        <v/>
      </c>
      <c r="AM159" s="2">
        <f>IFERROR(IF(MARÍTIMOS[[#This Row],[FCL]]="","",MARÍTIMOS[[#This Row],[FCL]]),"")</f>
        <v>1</v>
      </c>
      <c r="AN1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59" s="4" t="str" cm="1">
        <f t="array" ref="AO1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59" s="5" t="str">
        <f>IFERROR(OLDBD[[#This Row],[Llegada a packing]]-OLDBD[[#This Row],[Inicio de Ruta]],"")</f>
        <v/>
      </c>
      <c r="AQ159" s="6">
        <f>IFERROR(OLDBD[[#This Row],[Inicio de Ruta]]-OLDBD[[#This Row],[Salida de almacén de retiro]],"")</f>
        <v>0.20694444444961846</v>
      </c>
      <c r="AR1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59" s="8" t="str" cm="1">
        <f t="array" ref="AS1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59" s="9" t="str">
        <f>IFERROR(OLDBD[[#This Row],[Ingreso Packing]]-OLDBD[[#This Row],[Registro en Packing]],"")</f>
        <v/>
      </c>
      <c r="AV159" s="9" t="str">
        <f>IFERROR(OLDBD[[#This Row],[Ingreso Packing]]-OLDBD[[#This Row],[Llegada a packing]],"")</f>
        <v/>
      </c>
      <c r="AW1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59" s="5" t="str">
        <f>IFERROR(OLDBD[[#This Row],[Llegada Almacén de Ingreso]]-OLDBD[[#This Row],[Salida Packing]],"")</f>
        <v/>
      </c>
      <c r="AY159" s="4" t="str" cm="1">
        <f t="array" ref="AY1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59" s="43" t="s">
        <v>173</v>
      </c>
      <c r="BB159" s="47" t="str">
        <f>IFERROR(IF(MARÍTIMOS[[#This Row],[Estatus]]="","",MARÍTIMOS[[#This Row],[Estatus]]),"")</f>
        <v>Confirmado</v>
      </c>
      <c r="BC159" s="43"/>
      <c r="BD159" s="46">
        <f>IFERROR(OLDBD[[#This Row],[Salida de almacén de retiro]]-OLDBD[[#This Row],[Ingreso Almacén de retiro]],"")</f>
        <v>5.5555555518367328E-3</v>
      </c>
      <c r="BE159" s="46" t="str">
        <f>IFERROR(OLDBD[[#This Row],[Fin de Carga]]-OLDBD[[#This Row],[Inicio de Carga]],"")</f>
        <v/>
      </c>
    </row>
    <row r="160" spans="1:57" customFormat="1" hidden="1">
      <c r="A160" s="1"/>
      <c r="B160" s="1">
        <f>IFERROR(IF(MARÍTIMOS[[#This Row],[PP]]="","",MARÍTIMOS[[#This Row],[PP]]),"")</f>
        <v>21</v>
      </c>
      <c r="C160" s="1" t="str">
        <f>IFERROR(IF(MARÍTIMOS[[#This Row],[Sede]]="","",MARÍTIMOS[[#This Row],[Sede]]),"")</f>
        <v>Chao</v>
      </c>
      <c r="D160" s="1" t="str">
        <f>IFERROR(IF(MARÍTIMOS[[#This Row],[Instruction]]="","",MARÍTIMOS[[#This Row],[Instruction]]),"")</f>
        <v>RH-0006</v>
      </c>
      <c r="E160" s="1"/>
      <c r="F160" s="2" t="str">
        <f>IFERROR(IF(MARÍTIMOS[[#This Row],[Transportista]]="","",MARÍTIMOS[[#This Row],[Transportista]]),"")</f>
        <v>LIP</v>
      </c>
      <c r="G160" s="2" t="str">
        <f>IFERROR(IF(MARÍTIMOS[[#This Row],[Tercero]]="","",MARÍTIMOS[[#This Row],[Tercero]]),"")</f>
        <v>SI</v>
      </c>
      <c r="H160" s="2" t="str">
        <f>IFERROR(IF(MARÍTIMOS[[#This Row],[Razón Social]]="","",MARÍTIMOS[[#This Row],[Razón Social]]),"")</f>
        <v>LOGISTICA INTERMODAL DEL PERU S.A.C.</v>
      </c>
      <c r="I160" s="2">
        <f>IFERROR(IF(MARÍTIMOS[[#This Row],[RUC]]="","",MARÍTIMOS[[#This Row],[RUC]]),"")</f>
        <v>20513040718</v>
      </c>
      <c r="J160" s="2" t="str">
        <f>IFERROR(IF(MARÍTIMOS[[#This Row],[Placa Tracto]]="","",MARÍTIMOS[[#This Row],[Placa Tracto]]),"")</f>
        <v>AYS-737</v>
      </c>
      <c r="K160" s="2" t="str">
        <f>IFERROR(IF(MARÍTIMOS[[#This Row],[Placa Carreta]]="","",MARÍTIMOS[[#This Row],[Placa Carreta]]),"")</f>
        <v>AZL-997</v>
      </c>
      <c r="L160" s="44" t="str">
        <f>IFERROR(IF(MARÍTIMOS[[#This Row],[Conductor]]="","",MARÍTIMOS[[#This Row],[Conductor]]),"")</f>
        <v>PIÑAS MERCADO FREDDY ABEL</v>
      </c>
      <c r="M160" s="2" t="str">
        <f>IFERROR(IF(MARÍTIMOS[[#This Row],[Licencia]]="","",MARÍTIMOS[[#This Row],[Licencia]]),"")</f>
        <v>Q41001873</v>
      </c>
      <c r="N160" s="2" t="str">
        <f>IFERROR(IF(MARÍTIMOS[[#This Row],[Número de Contacto]]="","",MARÍTIMOS[[#This Row],[Número de Contacto]]),"")</f>
        <v/>
      </c>
      <c r="O160" s="10" t="str">
        <f>IFERROR(IF(MARÍTIMOS[[#This Row],[Booking|AWB|CRT]]="","",MARÍTIMOS[[#This Row],[Booking|AWB|CRT]]),"")</f>
        <v>6502210210 </v>
      </c>
      <c r="P160" s="2" t="str">
        <f>IFERROR(IF(MARÍTIMOS[[#This Row],[Contenedor]]="","",MARÍTIMOS[[#This Row],[Contenedor]]),"")</f>
        <v>OERU4327243</v>
      </c>
      <c r="Q160" s="2" t="str">
        <f>IFERROR(IF(MARÍTIMOS[[#This Row],[Puerto de Retiro]]="","",MARÍTIMOS[[#This Row],[Puerto de Retiro]]),"")</f>
        <v>CHANCAY</v>
      </c>
      <c r="R160" s="2" t="str">
        <f>IFERROR(IF(MARÍTIMOS[[#This Row],[Almacén de Retiro]]="","",MARÍTIMOS[[#This Row],[Almacén de Retiro]]),"")</f>
        <v>CSPCP</v>
      </c>
      <c r="S160" s="11">
        <f>IFERROR(IF(MARÍTIMOS[[#This Row],[Etapa Retiro - Cita]]="","",MARÍTIMOS[[#This Row],[Etapa Retiro - Cita]]),"")</f>
        <v>46167.416666666664</v>
      </c>
      <c r="T160" s="11">
        <f>IFERROR(IF(MARÍTIMOS[[#This Row],[Etapa Retiro - Llegada]]="","",MARÍTIMOS[[#This Row],[Etapa Retiro - Llegada]]),"")</f>
        <v>46167.552777777775</v>
      </c>
      <c r="U160" s="11">
        <f>IFERROR(IF(MARÍTIMOS[[#This Row],[Etapa Retiro - Ingreso]]="","",MARÍTIMOS[[#This Row],[Etapa Retiro - Ingreso]]),"")</f>
        <v>46167.720138888886</v>
      </c>
      <c r="V160" s="11">
        <f>IFERROR(IF(MARÍTIMOS[[#This Row],[Etapa Retiro - Atención]]="","",MARÍTIMOS[[#This Row],[Etapa Retiro - Atención]]),"")</f>
        <v>46167.770833333336</v>
      </c>
      <c r="W160" s="11">
        <f>IFERROR(IF(MARÍTIMOS[[#This Row],[Etapa Retiro - Atención]]="","",MARÍTIMOS[[#This Row],[Etapa Retiro - Atención]]),"")</f>
        <v>46167.770833333336</v>
      </c>
      <c r="X160" s="11">
        <f>IFERROR(IF(MARÍTIMOS[[#This Row],[Etapa Retiro - Inicio de Ruta]]="","",MARÍTIMOS[[#This Row],[Etapa Retiro - Inicio de Ruta]]),"")</f>
        <v>46167.916666666664</v>
      </c>
      <c r="Y160" s="11">
        <f>IFERROR(IF(MARÍTIMOS[[#This Row],[Hora de Posicionamiento]]="","",MARÍTIMOS[[#This Row],[Fecha de Carga]]+MARÍTIMOS[[#This Row],[Hora de Posicionamiento]]),"")</f>
        <v>46168.333333333336</v>
      </c>
      <c r="Z160" s="11">
        <f>IFERROR(IF(MARÍTIMOS[[#This Row],[Etapa Despacho - Llegada]]="","",MARÍTIMOS[[#This Row],[Etapa Despacho - Llegada]]),"")</f>
        <v>46168.597222222219</v>
      </c>
      <c r="AA160" s="11">
        <f>IFERROR(IF(MARÍTIMOS[[#This Row],[Etapa Despacho - Registro]]="","",MARÍTIMOS[[#This Row],[Etapa Despacho - Registro]]),"")</f>
        <v>46169.583333333336</v>
      </c>
      <c r="AB160" s="11">
        <f>IFERROR(IF(MARÍTIMOS[[#This Row],[Inspección Externa]]="","",MARÍTIMOS[[#This Row],[Inspección Externa]]),"")</f>
        <v>46168.607638888891</v>
      </c>
      <c r="AC160" s="11">
        <f>IFERROR(IF(MARÍTIMOS[[#This Row],[Etapa Despacho - Inicio de Carga]]="","",MARÍTIMOS[[#This Row],[Etapa Despacho - Inicio de Carga]]),"")</f>
        <v>46168.611111111109</v>
      </c>
      <c r="AD160" s="11">
        <f>IFERROR(IF(MARÍTIMOS[[#This Row],[Etapa Despacho - Mitad de Carga]]="","",MARÍTIMOS[[#This Row],[Etapa Despacho - Mitad de Carga]]),"")</f>
        <v>46168.677083333336</v>
      </c>
      <c r="AE160" s="11">
        <f>IFERROR(IF(MARÍTIMOS[[#This Row],[Etapa Despacho - Fin de Carga]]="","",MARÍTIMOS[[#This Row],[Etapa Despacho - Fin de Carga]]),"")</f>
        <v>46168.694444444445</v>
      </c>
      <c r="AF160" s="2" t="str">
        <f>IFERROR(IF(MARÍTIMOS[[#This Row],[Puerto de Embarque]]="","",MARÍTIMOS[[#This Row],[Puerto de Embarque]]),"")</f>
        <v>CHANCAY</v>
      </c>
      <c r="AG160" s="2" t="str">
        <f>IFERROR(IF(MARÍTIMOS[[#This Row],[Almacén de Ingreso]]="","",MARÍTIMOS[[#This Row],[Almacén de Ingreso]]),"")</f>
        <v>DPW</v>
      </c>
      <c r="AH160" s="11">
        <f>IFERROR(IF(MARÍTIMOS[[#This Row],[Etapa Ingreso - Cita]]="","",MARÍTIMOS[[#This Row],[Etapa Ingreso - Cita]]),"")</f>
        <v>46169.541666666664</v>
      </c>
      <c r="AI160" s="11">
        <f>IFERROR(IF(MARÍTIMOS[[#This Row],[Etapa Ingreso - Llegada]]="","",MARÍTIMOS[[#This Row],[Etapa Ingreso - Llegada]]),"")</f>
        <v>46169.581944444442</v>
      </c>
      <c r="AJ160" s="11">
        <f>IFERROR(IF(MARÍTIMOS[[#This Row],[Etapa Ingreso - Ingeso]]="","",MARÍTIMOS[[#This Row],[Etapa Ingreso - Ingeso]]),"")</f>
        <v>46169.582638888889</v>
      </c>
      <c r="AK160" s="11">
        <f>IFERROR(IF(MARÍTIMOS[[#This Row],[Etapa Ingreso - Atención]]="","",MARÍTIMOS[[#This Row],[Etapa Ingreso - Atención]]),"")</f>
        <v>46169.569444444445</v>
      </c>
      <c r="AL160" s="11">
        <f>IFERROR(IF(MARÍTIMOS[[#This Row],[Etapa Ingreso - Salida]]="","",MARÍTIMOS[[#This Row],[Etapa Ingreso - Salida]]),"")</f>
        <v>46169.595138888886</v>
      </c>
      <c r="AM160" s="2">
        <f>IFERROR(IF(MARÍTIMOS[[#This Row],[FCL]]="","",MARÍTIMOS[[#This Row],[FCL]]),"")</f>
        <v>1</v>
      </c>
      <c r="AN1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0" s="4" t="str" cm="1">
        <f t="array" ref="AO1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60" s="5">
        <f>IFERROR(OLDBD[[#This Row],[Llegada a packing]]-OLDBD[[#This Row],[Inicio de Ruta]],"")</f>
        <v>0.68055555555474712</v>
      </c>
      <c r="AQ160" s="6">
        <f>IFERROR(OLDBD[[#This Row],[Inicio de Ruta]]-OLDBD[[#This Row],[Salida de almacén de retiro]],"")</f>
        <v>0.14583333332848269</v>
      </c>
      <c r="AR1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160" s="8" t="str" cm="1">
        <f t="array" ref="AS1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0" s="9">
        <f>IFERROR(OLDBD[[#This Row],[Ingreso Packing]]-OLDBD[[#This Row],[Registro en Packing]],"")</f>
        <v>-0.97569444444525288</v>
      </c>
      <c r="AV160" s="9">
        <f>IFERROR(OLDBD[[#This Row],[Ingreso Packing]]-OLDBD[[#This Row],[Llegada a packing]],"")</f>
        <v>1.0416666671517305E-2</v>
      </c>
      <c r="AW1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0" s="5">
        <f>IFERROR(OLDBD[[#This Row],[Llegada Almacén de Ingreso]]-OLDBD[[#This Row],[Salida Packing]],"")</f>
        <v>0.88749999999708962</v>
      </c>
      <c r="AY160" s="4" t="str" cm="1">
        <f t="array" ref="AY1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60" s="43" t="s">
        <v>173</v>
      </c>
      <c r="BB160" s="47" t="str">
        <f>IFERROR(IF(MARÍTIMOS[[#This Row],[Estatus]]="","",MARÍTIMOS[[#This Row],[Estatus]]),"")</f>
        <v>Confirmado</v>
      </c>
      <c r="BC160" s="43"/>
      <c r="BD160" s="46">
        <f>IFERROR(OLDBD[[#This Row],[Salida de almacén de retiro]]-OLDBD[[#This Row],[Ingreso Almacén de retiro]],"")</f>
        <v>5.0694444449618459E-2</v>
      </c>
      <c r="BE160" s="46">
        <f>IFERROR(OLDBD[[#This Row],[Fin de Carga]]-OLDBD[[#This Row],[Inicio de Carga]],"")</f>
        <v>6.5972222226264421E-2</v>
      </c>
    </row>
    <row r="161" spans="1:57" customFormat="1" hidden="1">
      <c r="A161" s="1"/>
      <c r="B161" s="1">
        <f>IFERROR(IF(MARÍTIMOS[[#This Row],[PP]]="","",MARÍTIMOS[[#This Row],[PP]]),"")</f>
        <v>22</v>
      </c>
      <c r="C161" s="1" t="str">
        <f>IFERROR(IF(MARÍTIMOS[[#This Row],[Sede]]="","",MARÍTIMOS[[#This Row],[Sede]]),"")</f>
        <v>Chao</v>
      </c>
      <c r="D161" s="1" t="str">
        <f>IFERROR(IF(MARÍTIMOS[[#This Row],[Instruction]]="","",MARÍTIMOS[[#This Row],[Instruction]]),"")</f>
        <v>RH-0015</v>
      </c>
      <c r="E161" s="1"/>
      <c r="F161" s="2" t="str">
        <f>IFERROR(IF(MARÍTIMOS[[#This Row],[Transportista]]="","",MARÍTIMOS[[#This Row],[Transportista]]),"")</f>
        <v>LIP</v>
      </c>
      <c r="G161" s="2" t="str">
        <f>IFERROR(IF(MARÍTIMOS[[#This Row],[Tercero]]="","",MARÍTIMOS[[#This Row],[Tercero]]),"")</f>
        <v>SI</v>
      </c>
      <c r="H161" s="2" t="str">
        <f>IFERROR(IF(MARÍTIMOS[[#This Row],[Razón Social]]="","",MARÍTIMOS[[#This Row],[Razón Social]]),"")</f>
        <v>LOGISTICA INTERMODAL DEL PERU S.A.C.</v>
      </c>
      <c r="I161" s="2">
        <f>IFERROR(IF(MARÍTIMOS[[#This Row],[RUC]]="","",MARÍTIMOS[[#This Row],[RUC]]),"")</f>
        <v>20513040718</v>
      </c>
      <c r="J161" s="2" t="str">
        <f>IFERROR(IF(MARÍTIMOS[[#This Row],[Placa Tracto]]="","",MARÍTIMOS[[#This Row],[Placa Tracto]]),"")</f>
        <v>AZH-735</v>
      </c>
      <c r="K161" s="2" t="str">
        <f>IFERROR(IF(MARÍTIMOS[[#This Row],[Placa Carreta]]="","",MARÍTIMOS[[#This Row],[Placa Carreta]]),"")</f>
        <v>AXU-994</v>
      </c>
      <c r="L161" s="44" t="str">
        <f>IFERROR(IF(MARÍTIMOS[[#This Row],[Conductor]]="","",MARÍTIMOS[[#This Row],[Conductor]]),"")</f>
        <v>CANO PADILLA ALEJANDRO ROGER</v>
      </c>
      <c r="M161" s="2" t="str">
        <f>IFERROR(IF(MARÍTIMOS[[#This Row],[Licencia]]="","",MARÍTIMOS[[#This Row],[Licencia]]),"")</f>
        <v>Q09044728</v>
      </c>
      <c r="N161" s="2" t="str">
        <f>IFERROR(IF(MARÍTIMOS[[#This Row],[Número de Contacto]]="","",MARÍTIMOS[[#This Row],[Número de Contacto]]),"")</f>
        <v/>
      </c>
      <c r="O161" s="10">
        <f>IFERROR(IF(MARÍTIMOS[[#This Row],[Booking|AWB|CRT]]="","",MARÍTIMOS[[#This Row],[Booking|AWB|CRT]]),"")</f>
        <v>6503163460</v>
      </c>
      <c r="P161" s="2" t="str">
        <f>IFERROR(IF(MARÍTIMOS[[#This Row],[Contenedor]]="","",MARÍTIMOS[[#This Row],[Contenedor]]),"")</f>
        <v>FBIU5460286</v>
      </c>
      <c r="Q161" s="2" t="str">
        <f>IFERROR(IF(MARÍTIMOS[[#This Row],[Puerto de Retiro]]="","",MARÍTIMOS[[#This Row],[Puerto de Retiro]]),"")</f>
        <v>CALLAO</v>
      </c>
      <c r="R161" s="2" t="str">
        <f>IFERROR(IF(MARÍTIMOS[[#This Row],[Almacén de Retiro]]="","",MARÍTIMOS[[#This Row],[Almacén de Retiro]]),"")</f>
        <v>CSPCP</v>
      </c>
      <c r="S161" s="11">
        <f>IFERROR(IF(MARÍTIMOS[[#This Row],[Etapa Retiro - Cita]]="","",MARÍTIMOS[[#This Row],[Etapa Retiro - Cita]]),"")</f>
        <v>46174.541666666664</v>
      </c>
      <c r="T161" s="11">
        <f>IFERROR(IF(MARÍTIMOS[[#This Row],[Etapa Retiro - Llegada]]="","",MARÍTIMOS[[#This Row],[Etapa Retiro - Llegada]]),"")</f>
        <v>46174.680555555555</v>
      </c>
      <c r="U161" s="11">
        <f>IFERROR(IF(MARÍTIMOS[[#This Row],[Etapa Retiro - Ingreso]]="","",MARÍTIMOS[[#This Row],[Etapa Retiro - Ingreso]]),"")</f>
        <v>46174.694444444445</v>
      </c>
      <c r="V161" s="11">
        <f>IFERROR(IF(MARÍTIMOS[[#This Row],[Etapa Retiro - Atención]]="","",MARÍTIMOS[[#This Row],[Etapa Retiro - Atención]]),"")</f>
        <v>46174.704861111109</v>
      </c>
      <c r="W161" s="11">
        <f>IFERROR(IF(MARÍTIMOS[[#This Row],[Etapa Retiro - Atención]]="","",MARÍTIMOS[[#This Row],[Etapa Retiro - Atención]]),"")</f>
        <v>46174.704861111109</v>
      </c>
      <c r="X161" s="11">
        <f>IFERROR(IF(MARÍTIMOS[[#This Row],[Etapa Retiro - Inicio de Ruta]]="","",MARÍTIMOS[[#This Row],[Etapa Retiro - Inicio de Ruta]]),"")</f>
        <v>46174.791666666664</v>
      </c>
      <c r="Y161" s="11">
        <f>IFERROR(IF(MARÍTIMOS[[#This Row],[Hora de Posicionamiento]]="","",MARÍTIMOS[[#This Row],[Fecha de Carga]]+MARÍTIMOS[[#This Row],[Hora de Posicionamiento]]),"")</f>
        <v>46175.5</v>
      </c>
      <c r="Z161" s="11">
        <f>IFERROR(IF(MARÍTIMOS[[#This Row],[Etapa Despacho - Llegada]]="","",MARÍTIMOS[[#This Row],[Etapa Despacho - Llegada]]),"")</f>
        <v>46175.425694444442</v>
      </c>
      <c r="AA161" s="11">
        <f>IFERROR(IF(MARÍTIMOS[[#This Row],[Etapa Despacho - Registro]]="","",MARÍTIMOS[[#This Row],[Etapa Despacho - Registro]]),"")</f>
        <v>46176.041666666664</v>
      </c>
      <c r="AB161" s="11">
        <f>IFERROR(IF(MARÍTIMOS[[#This Row],[Inspección Externa]]="","",MARÍTIMOS[[#This Row],[Inspección Externa]]),"")</f>
        <v>46175.604166666664</v>
      </c>
      <c r="AC161" s="11">
        <f>IFERROR(IF(MARÍTIMOS[[#This Row],[Etapa Despacho - Inicio de Carga]]="","",MARÍTIMOS[[#This Row],[Etapa Despacho - Inicio de Carga]]),"")</f>
        <v>46175.618055555555</v>
      </c>
      <c r="AD161" s="11">
        <f>IFERROR(IF(MARÍTIMOS[[#This Row],[Etapa Despacho - Mitad de Carga]]="","",MARÍTIMOS[[#This Row],[Etapa Despacho - Mitad de Carga]]),"")</f>
        <v>46175.620138888888</v>
      </c>
      <c r="AE161" s="11">
        <f>IFERROR(IF(MARÍTIMOS[[#This Row],[Etapa Despacho - Fin de Carga]]="","",MARÍTIMOS[[#This Row],[Etapa Despacho - Fin de Carga]]),"")</f>
        <v>46175.638888888891</v>
      </c>
      <c r="AF161" s="2" t="str">
        <f>IFERROR(IF(MARÍTIMOS[[#This Row],[Puerto de Embarque]]="","",MARÍTIMOS[[#This Row],[Puerto de Embarque]]),"")</f>
        <v>CALLAO</v>
      </c>
      <c r="AG161" s="2" t="str">
        <f>IFERROR(IF(MARÍTIMOS[[#This Row],[Almacén de Ingreso]]="","",MARÍTIMOS[[#This Row],[Almacén de Ingreso]]),"")</f>
        <v>CSPCP</v>
      </c>
      <c r="AH161" s="11">
        <f>IFERROR(IF(MARÍTIMOS[[#This Row],[Etapa Ingreso - Cita]]="","",MARÍTIMOS[[#This Row],[Etapa Ingreso - Cita]]),"")</f>
        <v>46176</v>
      </c>
      <c r="AI161" s="11">
        <f>IFERROR(IF(MARÍTIMOS[[#This Row],[Etapa Ingreso - Llegada]]="","",MARÍTIMOS[[#This Row],[Etapa Ingreso - Llegada]]),"")</f>
        <v>46176.032638888886</v>
      </c>
      <c r="AJ161" s="11">
        <f>IFERROR(IF(MARÍTIMOS[[#This Row],[Etapa Ingreso - Ingeso]]="","",MARÍTIMOS[[#This Row],[Etapa Ingreso - Ingeso]]),"")</f>
        <v>46176.048611111109</v>
      </c>
      <c r="AK161" s="11">
        <f>IFERROR(IF(MARÍTIMOS[[#This Row],[Etapa Ingreso - Atención]]="","",MARÍTIMOS[[#This Row],[Etapa Ingreso - Atención]]),"")</f>
        <v>46176.0625</v>
      </c>
      <c r="AL161" s="11">
        <f>IFERROR(IF(MARÍTIMOS[[#This Row],[Etapa Ingreso - Salida]]="","",MARÍTIMOS[[#This Row],[Etapa Ingreso - Salida]]),"")</f>
        <v>46176.65625</v>
      </c>
      <c r="AM161" s="2">
        <f>IFERROR(IF(MARÍTIMOS[[#This Row],[FCL]]="","",MARÍTIMOS[[#This Row],[FCL]]),"")</f>
        <v>1</v>
      </c>
      <c r="AN1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1" s="4" t="str" cm="1">
        <f t="array" ref="AO1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61" s="5">
        <f>IFERROR(OLDBD[[#This Row],[Llegada a packing]]-OLDBD[[#This Row],[Inicio de Ruta]],"")</f>
        <v>0.63402777777810115</v>
      </c>
      <c r="AQ161" s="6">
        <f>IFERROR(OLDBD[[#This Row],[Inicio de Ruta]]-OLDBD[[#This Row],[Salida de almacén de retiro]],"")</f>
        <v>8.6805555554747116E-2</v>
      </c>
      <c r="AR1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61" s="8" t="str" cm="1">
        <f t="array" ref="AS1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61" s="9">
        <f>IFERROR(OLDBD[[#This Row],[Ingreso Packing]]-OLDBD[[#This Row],[Registro en Packing]],"")</f>
        <v>-0.4375</v>
      </c>
      <c r="AV161" s="9">
        <f>IFERROR(OLDBD[[#This Row],[Ingreso Packing]]-OLDBD[[#This Row],[Llegada a packing]],"")</f>
        <v>0.17847222222189885</v>
      </c>
      <c r="AW1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1" s="5">
        <f>IFERROR(OLDBD[[#This Row],[Llegada Almacén de Ingreso]]-OLDBD[[#This Row],[Salida Packing]],"")</f>
        <v>0.39374999999563443</v>
      </c>
      <c r="AY161" s="4" t="str" cm="1">
        <f t="array" ref="AY1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61" s="43" t="s">
        <v>173</v>
      </c>
      <c r="BB161" s="47" t="str">
        <f>IFERROR(IF(MARÍTIMOS[[#This Row],[Estatus]]="","",MARÍTIMOS[[#This Row],[Estatus]]),"")</f>
        <v>Confirmado</v>
      </c>
      <c r="BC161" s="43"/>
      <c r="BD161" s="46">
        <f>IFERROR(OLDBD[[#This Row],[Salida de almacén de retiro]]-OLDBD[[#This Row],[Ingreso Almacén de retiro]],"")</f>
        <v>1.0416666664241347E-2</v>
      </c>
      <c r="BE161" s="46">
        <f>IFERROR(OLDBD[[#This Row],[Fin de Carga]]-OLDBD[[#This Row],[Inicio de Carga]],"")</f>
        <v>2.0833333328482695E-3</v>
      </c>
    </row>
    <row r="162" spans="1:57" customFormat="1" hidden="1">
      <c r="A162" s="1"/>
      <c r="B162" s="1">
        <f>IFERROR(IF(MARÍTIMOS[[#This Row],[PP]]="","",MARÍTIMOS[[#This Row],[PP]]),"")</f>
        <v>23</v>
      </c>
      <c r="C162" s="1" t="str">
        <f>IFERROR(IF(MARÍTIMOS[[#This Row],[Sede]]="","",MARÍTIMOS[[#This Row],[Sede]]),"")</f>
        <v>Chao</v>
      </c>
      <c r="D162" s="1" t="str">
        <f>IFERROR(IF(MARÍTIMOS[[#This Row],[Instruction]]="","",MARÍTIMOS[[#This Row],[Instruction]]),"")</f>
        <v>RH-0026</v>
      </c>
      <c r="E162" s="1"/>
      <c r="F162" s="2" t="str">
        <f>IFERROR(IF(MARÍTIMOS[[#This Row],[Transportista]]="","",MARÍTIMOS[[#This Row],[Transportista]]),"")</f>
        <v>LIP</v>
      </c>
      <c r="G162" s="2" t="str">
        <f>IFERROR(IF(MARÍTIMOS[[#This Row],[Tercero]]="","",MARÍTIMOS[[#This Row],[Tercero]]),"")</f>
        <v>SI</v>
      </c>
      <c r="H162" s="2" t="str">
        <f>IFERROR(IF(MARÍTIMOS[[#This Row],[Razón Social]]="","",MARÍTIMOS[[#This Row],[Razón Social]]),"")</f>
        <v>LOGISTICA INTERMODAL DEL PERU S.A.C.</v>
      </c>
      <c r="I162" s="2">
        <f>IFERROR(IF(MARÍTIMOS[[#This Row],[RUC]]="","",MARÍTIMOS[[#This Row],[RUC]]),"")</f>
        <v>20513040718</v>
      </c>
      <c r="J162" s="2" t="str">
        <f>IFERROR(IF(MARÍTIMOS[[#This Row],[Placa Tracto]]="","",MARÍTIMOS[[#This Row],[Placa Tracto]]),"")</f>
        <v>AZH-828</v>
      </c>
      <c r="K162" s="2" t="str">
        <f>IFERROR(IF(MARÍTIMOS[[#This Row],[Placa Carreta]]="","",MARÍTIMOS[[#This Row],[Placa Carreta]]),"")</f>
        <v>AXO-972</v>
      </c>
      <c r="L162" s="44" t="str">
        <f>IFERROR(IF(MARÍTIMOS[[#This Row],[Conductor]]="","",MARÍTIMOS[[#This Row],[Conductor]]),"")</f>
        <v>JARA RAMOS CARLOS AUGUSTO</v>
      </c>
      <c r="M162" s="2" t="str">
        <f>IFERROR(IF(MARÍTIMOS[[#This Row],[Licencia]]="","",MARÍTIMOS[[#This Row],[Licencia]]),"")</f>
        <v>Q45899911</v>
      </c>
      <c r="N162" s="2" t="str">
        <f>IFERROR(IF(MARÍTIMOS[[#This Row],[Número de Contacto]]="","",MARÍTIMOS[[#This Row],[Número de Contacto]]),"")</f>
        <v/>
      </c>
      <c r="O162" s="10">
        <f>IFERROR(IF(MARÍTIMOS[[#This Row],[Booking|AWB|CRT]]="","",MARÍTIMOS[[#This Row],[Booking|AWB|CRT]]),"")</f>
        <v>751600031888</v>
      </c>
      <c r="P162" s="2" t="str">
        <f>IFERROR(IF(MARÍTIMOS[[#This Row],[Contenedor]]="","",MARÍTIMOS[[#This Row],[Contenedor]]),"")</f>
        <v>EGSU5056740</v>
      </c>
      <c r="Q162" s="2" t="str">
        <f>IFERROR(IF(MARÍTIMOS[[#This Row],[Puerto de Retiro]]="","",MARÍTIMOS[[#This Row],[Puerto de Retiro]]),"")</f>
        <v>CALLAO</v>
      </c>
      <c r="R162" s="2" t="str">
        <f>IFERROR(IF(MARÍTIMOS[[#This Row],[Almacén de Retiro]]="","",MARÍTIMOS[[#This Row],[Almacén de Retiro]]),"")</f>
        <v>TPP</v>
      </c>
      <c r="S162" s="11">
        <f>IFERROR(IF(MARÍTIMOS[[#This Row],[Etapa Retiro - Cita]]="","",MARÍTIMOS[[#This Row],[Etapa Retiro - Cita]]),"")</f>
        <v>46180.833333333336</v>
      </c>
      <c r="T162" s="11">
        <f>IFERROR(IF(MARÍTIMOS[[#This Row],[Etapa Retiro - Llegada]]="","",MARÍTIMOS[[#This Row],[Etapa Retiro - Llegada]]),"")</f>
        <v>46180.85</v>
      </c>
      <c r="U162" s="11">
        <f>IFERROR(IF(MARÍTIMOS[[#This Row],[Etapa Retiro - Ingreso]]="","",MARÍTIMOS[[#This Row],[Etapa Retiro - Ingreso]]),"")</f>
        <v>46180.854166666664</v>
      </c>
      <c r="V162" s="11">
        <f>IFERROR(IF(MARÍTIMOS[[#This Row],[Etapa Retiro - Atención]]="","",MARÍTIMOS[[#This Row],[Etapa Retiro - Atención]]),"")</f>
        <v>46180.856249999997</v>
      </c>
      <c r="W162" s="11">
        <f>IFERROR(IF(MARÍTIMOS[[#This Row],[Etapa Retiro - Atención]]="","",MARÍTIMOS[[#This Row],[Etapa Retiro - Atención]]),"")</f>
        <v>46180.856249999997</v>
      </c>
      <c r="X162" s="11">
        <f>IFERROR(IF(MARÍTIMOS[[#This Row],[Etapa Retiro - Inicio de Ruta]]="","",MARÍTIMOS[[#This Row],[Etapa Retiro - Inicio de Ruta]]),"")</f>
        <v>46180.916666666664</v>
      </c>
      <c r="Y162" s="11">
        <f>IFERROR(IF(MARÍTIMOS[[#This Row],[Hora de Posicionamiento]]="","",MARÍTIMOS[[#This Row],[Fecha de Carga]]+MARÍTIMOS[[#This Row],[Hora de Posicionamiento]]),"")</f>
        <v>46181.416666666664</v>
      </c>
      <c r="Z162" s="11">
        <f>IFERROR(IF(MARÍTIMOS[[#This Row],[Etapa Despacho - Llegada]]="","",MARÍTIMOS[[#This Row],[Etapa Despacho - Llegada]]),"")</f>
        <v>46181.458333333336</v>
      </c>
      <c r="AA162" s="11">
        <f>IFERROR(IF(MARÍTIMOS[[#This Row],[Etapa Despacho - Registro]]="","",MARÍTIMOS[[#This Row],[Etapa Despacho - Registro]]),"")</f>
        <v>46182.208333333336</v>
      </c>
      <c r="AB162" s="11">
        <f>IFERROR(IF(MARÍTIMOS[[#This Row],[Inspección Externa]]="","",MARÍTIMOS[[#This Row],[Inspección Externa]]),"")</f>
        <v>46181.481249999997</v>
      </c>
      <c r="AC162" s="11">
        <f>IFERROR(IF(MARÍTIMOS[[#This Row],[Etapa Despacho - Inicio de Carga]]="","",MARÍTIMOS[[#This Row],[Etapa Despacho - Inicio de Carga]]),"")</f>
        <v>46181.5</v>
      </c>
      <c r="AD162" s="11">
        <f>IFERROR(IF(MARÍTIMOS[[#This Row],[Etapa Despacho - Mitad de Carga]]="","",MARÍTIMOS[[#This Row],[Etapa Despacho - Mitad de Carga]]),"")</f>
        <v>46181.665277777778</v>
      </c>
      <c r="AE162" s="11">
        <f>IFERROR(IF(MARÍTIMOS[[#This Row],[Etapa Despacho - Fin de Carga]]="","",MARÍTIMOS[[#This Row],[Etapa Despacho - Fin de Carga]]),"")</f>
        <v>46181.680555555555</v>
      </c>
      <c r="AF162" s="2" t="str">
        <f>IFERROR(IF(MARÍTIMOS[[#This Row],[Puerto de Embarque]]="","",MARÍTIMOS[[#This Row],[Puerto de Embarque]]),"")</f>
        <v>CALLAO</v>
      </c>
      <c r="AG162" s="2" t="str">
        <f>IFERROR(IF(MARÍTIMOS[[#This Row],[Almacén de Ingreso]]="","",MARÍTIMOS[[#This Row],[Almacén de Ingreso]]),"")</f>
        <v>DPW</v>
      </c>
      <c r="AH162" s="11">
        <f>IFERROR(IF(MARÍTIMOS[[#This Row],[Etapa Ingreso - Cita]]="","",MARÍTIMOS[[#This Row],[Etapa Ingreso - Cita]]),"")</f>
        <v>46182.166666666664</v>
      </c>
      <c r="AI162" s="11">
        <f>IFERROR(IF(MARÍTIMOS[[#This Row],[Etapa Ingreso - Llegada]]="","",MARÍTIMOS[[#This Row],[Etapa Ingreso - Llegada]]),"")</f>
        <v>46182.206250000003</v>
      </c>
      <c r="AJ162" s="11">
        <f>IFERROR(IF(MARÍTIMOS[[#This Row],[Etapa Ingreso - Ingeso]]="","",MARÍTIMOS[[#This Row],[Etapa Ingreso - Ingeso]]),"")</f>
        <v>46182.208333333336</v>
      </c>
      <c r="AK162" s="11">
        <f>IFERROR(IF(MARÍTIMOS[[#This Row],[Etapa Ingreso - Atención]]="","",MARÍTIMOS[[#This Row],[Etapa Ingreso - Atención]]),"")</f>
        <v>46182.246527777781</v>
      </c>
      <c r="AL162" s="11">
        <f>IFERROR(IF(MARÍTIMOS[[#This Row],[Etapa Ingreso - Salida]]="","",MARÍTIMOS[[#This Row],[Etapa Ingreso - Salida]]),"")</f>
        <v>46182.258333333331</v>
      </c>
      <c r="AM162" s="2">
        <f>IFERROR(IF(MARÍTIMOS[[#This Row],[FCL]]="","",MARÍTIMOS[[#This Row],[FCL]]),"")</f>
        <v>1</v>
      </c>
      <c r="AN1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2" s="4" t="str" cm="1">
        <f t="array" ref="AO1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62" s="5">
        <f>IFERROR(OLDBD[[#This Row],[Llegada a packing]]-OLDBD[[#This Row],[Inicio de Ruta]],"")</f>
        <v>0.54166666667151731</v>
      </c>
      <c r="AQ162" s="6">
        <f>IFERROR(OLDBD[[#This Row],[Inicio de Ruta]]-OLDBD[[#This Row],[Salida de almacén de retiro]],"")</f>
        <v>6.0416666667151731E-2</v>
      </c>
      <c r="AR1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62" s="8" t="str" cm="1">
        <f t="array" ref="AS1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2" s="9">
        <f>IFERROR(OLDBD[[#This Row],[Ingreso Packing]]-OLDBD[[#This Row],[Registro en Packing]],"")</f>
        <v>-0.72708333333866904</v>
      </c>
      <c r="AV162" s="9">
        <f>IFERROR(OLDBD[[#This Row],[Ingreso Packing]]-OLDBD[[#This Row],[Llegada a packing]],"")</f>
        <v>2.2916666661330964E-2</v>
      </c>
      <c r="AW1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2" s="5">
        <f>IFERROR(OLDBD[[#This Row],[Llegada Almacén de Ingreso]]-OLDBD[[#This Row],[Salida Packing]],"")</f>
        <v>0.52569444444816327</v>
      </c>
      <c r="AY162" s="4" t="str" cm="1">
        <f t="array" ref="AY1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62" s="43" t="s">
        <v>173</v>
      </c>
      <c r="BB162" s="47" t="str">
        <f>IFERROR(IF(MARÍTIMOS[[#This Row],[Estatus]]="","",MARÍTIMOS[[#This Row],[Estatus]]),"")</f>
        <v>Confirmado</v>
      </c>
      <c r="BC162" s="43"/>
      <c r="BD162" s="46">
        <f>IFERROR(OLDBD[[#This Row],[Salida de almacén de retiro]]-OLDBD[[#This Row],[Ingreso Almacén de retiro]],"")</f>
        <v>2.0833333328482695E-3</v>
      </c>
      <c r="BE162" s="46">
        <f>IFERROR(OLDBD[[#This Row],[Fin de Carga]]-OLDBD[[#This Row],[Inicio de Carga]],"")</f>
        <v>0.16527777777810115</v>
      </c>
    </row>
    <row r="163" spans="1:57" customFormat="1" hidden="1">
      <c r="A163" s="1"/>
      <c r="B163" s="1">
        <f>IFERROR(IF(MARÍTIMOS[[#This Row],[PP]]="","",MARÍTIMOS[[#This Row],[PP]]),"")</f>
        <v>23</v>
      </c>
      <c r="C163" s="1" t="str">
        <f>IFERROR(IF(MARÍTIMOS[[#This Row],[Sede]]="","",MARÍTIMOS[[#This Row],[Sede]]),"")</f>
        <v>Chao</v>
      </c>
      <c r="D163" s="1" t="str">
        <f>IFERROR(IF(MARÍTIMOS[[#This Row],[Instruction]]="","",MARÍTIMOS[[#This Row],[Instruction]]),"")</f>
        <v>RH-0029</v>
      </c>
      <c r="E163" s="1"/>
      <c r="F163" s="2" t="str">
        <f>IFERROR(IF(MARÍTIMOS[[#This Row],[Transportista]]="","",MARÍTIMOS[[#This Row],[Transportista]]),"")</f>
        <v>LIP</v>
      </c>
      <c r="G163" s="2" t="str">
        <f>IFERROR(IF(MARÍTIMOS[[#This Row],[Tercero]]="","",MARÍTIMOS[[#This Row],[Tercero]]),"")</f>
        <v>SI</v>
      </c>
      <c r="H163" s="2" t="str">
        <f>IFERROR(IF(MARÍTIMOS[[#This Row],[Razón Social]]="","",MARÍTIMOS[[#This Row],[Razón Social]]),"")</f>
        <v>LOGISTICA INTERMODAL DEL PERU S.A.C.</v>
      </c>
      <c r="I163" s="2">
        <f>IFERROR(IF(MARÍTIMOS[[#This Row],[RUC]]="","",MARÍTIMOS[[#This Row],[RUC]]),"")</f>
        <v>20513040718</v>
      </c>
      <c r="J163" s="2" t="str">
        <f>IFERROR(IF(MARÍTIMOS[[#This Row],[Placa Tracto]]="","",MARÍTIMOS[[#This Row],[Placa Tracto]]),"")</f>
        <v>CBP-811</v>
      </c>
      <c r="K163" s="2" t="str">
        <f>IFERROR(IF(MARÍTIMOS[[#This Row],[Placa Carreta]]="","",MARÍTIMOS[[#This Row],[Placa Carreta]]),"")</f>
        <v>BTL-997</v>
      </c>
      <c r="L163" s="44" t="str">
        <f>IFERROR(IF(MARÍTIMOS[[#This Row],[Conductor]]="","",MARÍTIMOS[[#This Row],[Conductor]]),"")</f>
        <v>RUIZ GARCIA GERARDO HERNAN ALBERTO</v>
      </c>
      <c r="M163" s="2" t="str">
        <f>IFERROR(IF(MARÍTIMOS[[#This Row],[Licencia]]="","",MARÍTIMOS[[#This Row],[Licencia]]),"")</f>
        <v>Q45525525</v>
      </c>
      <c r="N163" s="2" t="str">
        <f>IFERROR(IF(MARÍTIMOS[[#This Row],[Número de Contacto]]="","",MARÍTIMOS[[#This Row],[Número de Contacto]]),"")</f>
        <v/>
      </c>
      <c r="O163" s="10">
        <f>IFERROR(IF(MARÍTIMOS[[#This Row],[Booking|AWB|CRT]]="","",MARÍTIMOS[[#This Row],[Booking|AWB|CRT]]),"")</f>
        <v>751600031896</v>
      </c>
      <c r="P163" s="2" t="str">
        <f>IFERROR(IF(MARÍTIMOS[[#This Row],[Contenedor]]="","",MARÍTIMOS[[#This Row],[Contenedor]]),"")</f>
        <v>EMCU5680947</v>
      </c>
      <c r="Q163" s="2" t="str">
        <f>IFERROR(IF(MARÍTIMOS[[#This Row],[Puerto de Retiro]]="","",MARÍTIMOS[[#This Row],[Puerto de Retiro]]),"")</f>
        <v>CALLAO</v>
      </c>
      <c r="R163" s="2" t="str">
        <f>IFERROR(IF(MARÍTIMOS[[#This Row],[Almacén de Retiro]]="","",MARÍTIMOS[[#This Row],[Almacén de Retiro]]),"")</f>
        <v>TPP</v>
      </c>
      <c r="S163" s="11">
        <f>IFERROR(IF(MARÍTIMOS[[#This Row],[Etapa Retiro - Cita]]="","",MARÍTIMOS[[#This Row],[Etapa Retiro - Cita]]),"")</f>
        <v>46180.833333333336</v>
      </c>
      <c r="T163" s="11">
        <f>IFERROR(IF(MARÍTIMOS[[#This Row],[Etapa Retiro - Llegada]]="","",MARÍTIMOS[[#This Row],[Etapa Retiro - Llegada]]),"")</f>
        <v>46180.861805555556</v>
      </c>
      <c r="U163" s="11">
        <f>IFERROR(IF(MARÍTIMOS[[#This Row],[Etapa Retiro - Ingreso]]="","",MARÍTIMOS[[#This Row],[Etapa Retiro - Ingreso]]),"")</f>
        <v>46180.871527777781</v>
      </c>
      <c r="V163" s="11">
        <f>IFERROR(IF(MARÍTIMOS[[#This Row],[Etapa Retiro - Atención]]="","",MARÍTIMOS[[#This Row],[Etapa Retiro - Atención]]),"")</f>
        <v>46180.866666666669</v>
      </c>
      <c r="W163" s="11">
        <f>IFERROR(IF(MARÍTIMOS[[#This Row],[Etapa Retiro - Atención]]="","",MARÍTIMOS[[#This Row],[Etapa Retiro - Atención]]),"")</f>
        <v>46180.866666666669</v>
      </c>
      <c r="X163" s="11">
        <f>IFERROR(IF(MARÍTIMOS[[#This Row],[Etapa Retiro - Inicio de Ruta]]="","",MARÍTIMOS[[#This Row],[Etapa Retiro - Inicio de Ruta]]),"")</f>
        <v>46180.954861111109</v>
      </c>
      <c r="Y163" s="11">
        <f>IFERROR(IF(MARÍTIMOS[[#This Row],[Hora de Posicionamiento]]="","",MARÍTIMOS[[#This Row],[Fecha de Carga]]+MARÍTIMOS[[#This Row],[Hora de Posicionamiento]]),"")</f>
        <v>46181.416666666664</v>
      </c>
      <c r="Z163" s="11">
        <f>IFERROR(IF(MARÍTIMOS[[#This Row],[Etapa Despacho - Llegada]]="","",MARÍTIMOS[[#This Row],[Etapa Despacho - Llegada]]),"")</f>
        <v>46181.548611111109</v>
      </c>
      <c r="AA163" s="11">
        <f>IFERROR(IF(MARÍTIMOS[[#This Row],[Etapa Despacho - Registro]]="","",MARÍTIMOS[[#This Row],[Etapa Despacho - Registro]]),"")</f>
        <v>46182.4375</v>
      </c>
      <c r="AB163" s="11">
        <f>IFERROR(IF(MARÍTIMOS[[#This Row],[Inspección Externa]]="","",MARÍTIMOS[[#This Row],[Inspección Externa]]),"")</f>
        <v>46181.556250000001</v>
      </c>
      <c r="AC163" s="11">
        <f>IFERROR(IF(MARÍTIMOS[[#This Row],[Etapa Despacho - Inicio de Carga]]="","",MARÍTIMOS[[#This Row],[Etapa Despacho - Inicio de Carga]]),"")</f>
        <v>46181.625</v>
      </c>
      <c r="AD163" s="11">
        <f>IFERROR(IF(MARÍTIMOS[[#This Row],[Etapa Despacho - Mitad de Carga]]="","",MARÍTIMOS[[#This Row],[Etapa Despacho - Mitad de Carga]]),"")</f>
        <v>46181.731944444444</v>
      </c>
      <c r="AE163" s="11">
        <f>IFERROR(IF(MARÍTIMOS[[#This Row],[Etapa Despacho - Fin de Carga]]="","",MARÍTIMOS[[#This Row],[Etapa Despacho - Fin de Carga]]),"")</f>
        <v>46181.75</v>
      </c>
      <c r="AF163" s="2" t="str">
        <f>IFERROR(IF(MARÍTIMOS[[#This Row],[Puerto de Embarque]]="","",MARÍTIMOS[[#This Row],[Puerto de Embarque]]),"")</f>
        <v>CALLAO</v>
      </c>
      <c r="AG163" s="2" t="str">
        <f>IFERROR(IF(MARÍTIMOS[[#This Row],[Almacén de Ingreso]]="","",MARÍTIMOS[[#This Row],[Almacén de Ingreso]]),"")</f>
        <v>DPW</v>
      </c>
      <c r="AH163" s="11">
        <f>IFERROR(IF(MARÍTIMOS[[#This Row],[Etapa Ingreso - Cita]]="","",MARÍTIMOS[[#This Row],[Etapa Ingreso - Cita]]),"")</f>
        <v>46182.416666666664</v>
      </c>
      <c r="AI163" s="11">
        <f>IFERROR(IF(MARÍTIMOS[[#This Row],[Etapa Ingreso - Llegada]]="","",MARÍTIMOS[[#This Row],[Etapa Ingreso - Llegada]]),"")</f>
        <v>46182.427777777775</v>
      </c>
      <c r="AJ163" s="11">
        <f>IFERROR(IF(MARÍTIMOS[[#This Row],[Etapa Ingreso - Ingeso]]="","",MARÍTIMOS[[#This Row],[Etapa Ingreso - Ingeso]]),"")</f>
        <v>46182.4375</v>
      </c>
      <c r="AK163" s="11">
        <f>IFERROR(IF(MARÍTIMOS[[#This Row],[Etapa Ingreso - Atención]]="","",MARÍTIMOS[[#This Row],[Etapa Ingreso - Atención]]),"")</f>
        <v>46182.550694444442</v>
      </c>
      <c r="AL163" s="11">
        <f>IFERROR(IF(MARÍTIMOS[[#This Row],[Etapa Ingreso - Salida]]="","",MARÍTIMOS[[#This Row],[Etapa Ingreso - Salida]]),"")</f>
        <v>46182.55972222222</v>
      </c>
      <c r="AM163" s="2">
        <f>IFERROR(IF(MARÍTIMOS[[#This Row],[FCL]]="","",MARÍTIMOS[[#This Row],[FCL]]),"")</f>
        <v>1</v>
      </c>
      <c r="AN1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3" s="4" t="str" cm="1">
        <f t="array" ref="AO1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63" s="5">
        <f>IFERROR(OLDBD[[#This Row],[Llegada a packing]]-OLDBD[[#This Row],[Inicio de Ruta]],"")</f>
        <v>0.59375</v>
      </c>
      <c r="AQ163" s="6">
        <f>IFERROR(OLDBD[[#This Row],[Inicio de Ruta]]-OLDBD[[#This Row],[Salida de almacén de retiro]],"")</f>
        <v>8.819444444088731E-2</v>
      </c>
      <c r="AR1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163" s="8" t="str" cm="1">
        <f t="array" ref="AS1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3" s="9">
        <f>IFERROR(OLDBD[[#This Row],[Ingreso Packing]]-OLDBD[[#This Row],[Registro en Packing]],"")</f>
        <v>-0.88124999999854481</v>
      </c>
      <c r="AV163" s="9">
        <f>IFERROR(OLDBD[[#This Row],[Ingreso Packing]]-OLDBD[[#This Row],[Llegada a packing]],"")</f>
        <v>7.6388888919609599E-3</v>
      </c>
      <c r="AW1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3" s="5">
        <f>IFERROR(OLDBD[[#This Row],[Llegada Almacén de Ingreso]]-OLDBD[[#This Row],[Salida Packing]],"")</f>
        <v>0.67777777777519077</v>
      </c>
      <c r="AY163" s="4" t="str" cm="1">
        <f t="array" ref="AY1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1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63" s="43" t="s">
        <v>173</v>
      </c>
      <c r="BB163" s="47" t="str">
        <f>IFERROR(IF(MARÍTIMOS[[#This Row],[Estatus]]="","",MARÍTIMOS[[#This Row],[Estatus]]),"")</f>
        <v>Confirmado</v>
      </c>
      <c r="BC163" s="43"/>
      <c r="BD163" s="46">
        <f>IFERROR(OLDBD[[#This Row],[Salida de almacén de retiro]]-OLDBD[[#This Row],[Ingreso Almacén de retiro]],"")</f>
        <v>-4.8611111124046147E-3</v>
      </c>
      <c r="BE163" s="46">
        <f>IFERROR(OLDBD[[#This Row],[Fin de Carga]]-OLDBD[[#This Row],[Inicio de Carga]],"")</f>
        <v>0.10694444444379769</v>
      </c>
    </row>
    <row r="164" spans="1:57" customFormat="1" hidden="1">
      <c r="A164" s="1"/>
      <c r="B164" s="1">
        <f>IFERROR(IF(MARÍTIMOS[[#This Row],[PP]]="","",MARÍTIMOS[[#This Row],[PP]]),"")</f>
        <v>23</v>
      </c>
      <c r="C164" s="1" t="str">
        <f>IFERROR(IF(MARÍTIMOS[[#This Row],[Sede]]="","",MARÍTIMOS[[#This Row],[Sede]]),"")</f>
        <v>Chao</v>
      </c>
      <c r="D164" s="1" t="str">
        <f>IFERROR(IF(MARÍTIMOS[[#This Row],[Instruction]]="","",MARÍTIMOS[[#This Row],[Instruction]]),"")</f>
        <v>RH-0030</v>
      </c>
      <c r="E164" s="1"/>
      <c r="F164" s="2" t="str">
        <f>IFERROR(IF(MARÍTIMOS[[#This Row],[Transportista]]="","",MARÍTIMOS[[#This Row],[Transportista]]),"")</f>
        <v>LIP</v>
      </c>
      <c r="G164" s="2" t="str">
        <f>IFERROR(IF(MARÍTIMOS[[#This Row],[Tercero]]="","",MARÍTIMOS[[#This Row],[Tercero]]),"")</f>
        <v>NO</v>
      </c>
      <c r="H164" s="2" t="str">
        <f>IFERROR(IF(MARÍTIMOS[[#This Row],[Razón Social]]="","",MARÍTIMOS[[#This Row],[Razón Social]]),"")</f>
        <v>RVR AGRO S.R.L.</v>
      </c>
      <c r="I164" s="2">
        <f>IFERROR(IF(MARÍTIMOS[[#This Row],[RUC]]="","",MARÍTIMOS[[#This Row],[RUC]]),"")</f>
        <v>20535747424</v>
      </c>
      <c r="J164" s="2" t="str">
        <f>IFERROR(IF(MARÍTIMOS[[#This Row],[Placa Tracto]]="","",MARÍTIMOS[[#This Row],[Placa Tracto]]),"")</f>
        <v>BPQ-810</v>
      </c>
      <c r="K164" s="2" t="str">
        <f>IFERROR(IF(MARÍTIMOS[[#This Row],[Placa Carreta]]="","",MARÍTIMOS[[#This Row],[Placa Carreta]]),"")</f>
        <v>BBR-971</v>
      </c>
      <c r="L164" s="44" t="str">
        <f>IFERROR(IF(MARÍTIMOS[[#This Row],[Conductor]]="","",MARÍTIMOS[[#This Row],[Conductor]]),"")</f>
        <v>ACUÑA JARA ANGEL ADOLFO</v>
      </c>
      <c r="M164" s="2" t="str">
        <f>IFERROR(IF(MARÍTIMOS[[#This Row],[Licencia]]="","",MARÍTIMOS[[#This Row],[Licencia]]),"")</f>
        <v>Q46025749</v>
      </c>
      <c r="N164" s="2" t="str">
        <f>IFERROR(IF(MARÍTIMOS[[#This Row],[Número de Contacto]]="","",MARÍTIMOS[[#This Row],[Número de Contacto]]),"")</f>
        <v/>
      </c>
      <c r="O164" s="10">
        <f>IFERROR(IF(MARÍTIMOS[[#This Row],[Booking|AWB|CRT]]="","",MARÍTIMOS[[#This Row],[Booking|AWB|CRT]]),"")</f>
        <v>751600032272</v>
      </c>
      <c r="P164" s="2" t="str">
        <f>IFERROR(IF(MARÍTIMOS[[#This Row],[Contenedor]]="","",MARÍTIMOS[[#This Row],[Contenedor]]),"")</f>
        <v>EMCU5520825</v>
      </c>
      <c r="Q164" s="2" t="str">
        <f>IFERROR(IF(MARÍTIMOS[[#This Row],[Puerto de Retiro]]="","",MARÍTIMOS[[#This Row],[Puerto de Retiro]]),"")</f>
        <v>CALLAO</v>
      </c>
      <c r="R164" s="2" t="str">
        <f>IFERROR(IF(MARÍTIMOS[[#This Row],[Almacén de Retiro]]="","",MARÍTIMOS[[#This Row],[Almacén de Retiro]]),"")</f>
        <v>TPP</v>
      </c>
      <c r="S164" s="11">
        <f>IFERROR(IF(MARÍTIMOS[[#This Row],[Etapa Retiro - Cita]]="","",MARÍTIMOS[[#This Row],[Etapa Retiro - Cita]]),"")</f>
        <v>46180.833333333336</v>
      </c>
      <c r="T164" s="11">
        <f>IFERROR(IF(MARÍTIMOS[[#This Row],[Etapa Retiro - Llegada]]="","",MARÍTIMOS[[#This Row],[Etapa Retiro - Llegada]]),"")</f>
        <v>46180.873611111114</v>
      </c>
      <c r="U164" s="11">
        <f>IFERROR(IF(MARÍTIMOS[[#This Row],[Etapa Retiro - Ingreso]]="","",MARÍTIMOS[[#This Row],[Etapa Retiro - Ingreso]]),"")</f>
        <v>46180.895833333336</v>
      </c>
      <c r="V164" s="11">
        <f>IFERROR(IF(MARÍTIMOS[[#This Row],[Etapa Retiro - Atención]]="","",MARÍTIMOS[[#This Row],[Etapa Retiro - Atención]]),"")</f>
        <v>46180.944444444445</v>
      </c>
      <c r="W164" s="11">
        <f>IFERROR(IF(MARÍTIMOS[[#This Row],[Etapa Retiro - Atención]]="","",MARÍTIMOS[[#This Row],[Etapa Retiro - Atención]]),"")</f>
        <v>46180.944444444445</v>
      </c>
      <c r="X164" s="11">
        <f>IFERROR(IF(MARÍTIMOS[[#This Row],[Etapa Retiro - Inicio de Ruta]]="","",MARÍTIMOS[[#This Row],[Etapa Retiro - Inicio de Ruta]]),"")</f>
        <v>46180.996527777781</v>
      </c>
      <c r="Y164" s="11">
        <f>IFERROR(IF(MARÍTIMOS[[#This Row],[Hora de Posicionamiento]]="","",MARÍTIMOS[[#This Row],[Fecha de Carga]]+MARÍTIMOS[[#This Row],[Hora de Posicionamiento]]),"")</f>
        <v>46181.541666666664</v>
      </c>
      <c r="Z164" s="11">
        <f>IFERROR(IF(MARÍTIMOS[[#This Row],[Etapa Despacho - Llegada]]="","",MARÍTIMOS[[#This Row],[Etapa Despacho - Llegada]]),"")</f>
        <v>46181.625</v>
      </c>
      <c r="AA164" s="11">
        <f>IFERROR(IF(MARÍTIMOS[[#This Row],[Etapa Despacho - Registro]]="","",MARÍTIMOS[[#This Row],[Etapa Despacho - Registro]]),"")</f>
        <v>46182.486111111109</v>
      </c>
      <c r="AB164" s="11">
        <f>IFERROR(IF(MARÍTIMOS[[#This Row],[Inspección Externa]]="","",MARÍTIMOS[[#This Row],[Inspección Externa]]),"")</f>
        <v>46181.636805555558</v>
      </c>
      <c r="AC164" s="11">
        <f>IFERROR(IF(MARÍTIMOS[[#This Row],[Etapa Despacho - Inicio de Carga]]="","",MARÍTIMOS[[#This Row],[Etapa Despacho - Inicio de Carga]]),"")</f>
        <v>46181.6875</v>
      </c>
      <c r="AD164" s="11">
        <f>IFERROR(IF(MARÍTIMOS[[#This Row],[Etapa Despacho - Mitad de Carga]]="","",MARÍTIMOS[[#This Row],[Etapa Despacho - Mitad de Carga]]),"")</f>
        <v>46181.758333333331</v>
      </c>
      <c r="AE164" s="11">
        <f>IFERROR(IF(MARÍTIMOS[[#This Row],[Etapa Despacho - Fin de Carga]]="","",MARÍTIMOS[[#This Row],[Etapa Despacho - Fin de Carga]]),"")</f>
        <v>46181.777777777781</v>
      </c>
      <c r="AF164" s="2" t="str">
        <f>IFERROR(IF(MARÍTIMOS[[#This Row],[Puerto de Embarque]]="","",MARÍTIMOS[[#This Row],[Puerto de Embarque]]),"")</f>
        <v>CALLAO</v>
      </c>
      <c r="AG164" s="2" t="str">
        <f>IFERROR(IF(MARÍTIMOS[[#This Row],[Almacén de Ingreso]]="","",MARÍTIMOS[[#This Row],[Almacén de Ingreso]]),"")</f>
        <v>DPW</v>
      </c>
      <c r="AH164" s="11">
        <f>IFERROR(IF(MARÍTIMOS[[#This Row],[Etapa Ingreso - Cita]]="","",MARÍTIMOS[[#This Row],[Etapa Ingreso - Cita]]),"")</f>
        <v>46182.458333333336</v>
      </c>
      <c r="AI164" s="11">
        <f>IFERROR(IF(MARÍTIMOS[[#This Row],[Etapa Ingreso - Llegada]]="","",MARÍTIMOS[[#This Row],[Etapa Ingreso - Llegada]]),"")</f>
        <v>46182.479861111111</v>
      </c>
      <c r="AJ164" s="11">
        <f>IFERROR(IF(MARÍTIMOS[[#This Row],[Etapa Ingreso - Ingeso]]="","",MARÍTIMOS[[#This Row],[Etapa Ingreso - Ingeso]]),"")</f>
        <v>46182.5</v>
      </c>
      <c r="AK164" s="11">
        <f>IFERROR(IF(MARÍTIMOS[[#This Row],[Etapa Ingreso - Atención]]="","",MARÍTIMOS[[#This Row],[Etapa Ingreso - Atención]]),"")</f>
        <v>46182.708333333336</v>
      </c>
      <c r="AL164" s="11">
        <f>IFERROR(IF(MARÍTIMOS[[#This Row],[Etapa Ingreso - Salida]]="","",MARÍTIMOS[[#This Row],[Etapa Ingreso - Salida]]),"")</f>
        <v>46182.726388888892</v>
      </c>
      <c r="AM164" s="2">
        <f>IFERROR(IF(MARÍTIMOS[[#This Row],[FCL]]="","",MARÍTIMOS[[#This Row],[FCL]]),"")</f>
        <v>1</v>
      </c>
      <c r="AN1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4" s="4" t="str" cm="1">
        <f t="array" ref="AO1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64" s="5">
        <f>IFERROR(OLDBD[[#This Row],[Llegada a packing]]-OLDBD[[#This Row],[Inicio de Ruta]],"")</f>
        <v>0.62847222221898846</v>
      </c>
      <c r="AQ164" s="6">
        <f>IFERROR(OLDBD[[#This Row],[Inicio de Ruta]]-OLDBD[[#This Row],[Salida de almacén de retiro]],"")</f>
        <v>5.2083333335758653E-2</v>
      </c>
      <c r="AR1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164" s="8" t="str" cm="1">
        <f t="array" ref="AS1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4" s="9">
        <f>IFERROR(OLDBD[[#This Row],[Ingreso Packing]]-OLDBD[[#This Row],[Registro en Packing]],"")</f>
        <v>-0.84930555555183673</v>
      </c>
      <c r="AV164" s="9">
        <f>IFERROR(OLDBD[[#This Row],[Ingreso Packing]]-OLDBD[[#This Row],[Llegada a packing]],"")</f>
        <v>1.1805555557657499E-2</v>
      </c>
      <c r="AW1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4" s="5">
        <f>IFERROR(OLDBD[[#This Row],[Llegada Almacén de Ingreso]]-OLDBD[[#This Row],[Salida Packing]],"")</f>
        <v>0.70208333332993789</v>
      </c>
      <c r="AY164" s="4" t="str" cm="1">
        <f t="array" ref="AY1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64" s="43" t="s">
        <v>173</v>
      </c>
      <c r="BB164" s="47" t="str">
        <f>IFERROR(IF(MARÍTIMOS[[#This Row],[Estatus]]="","",MARÍTIMOS[[#This Row],[Estatus]]),"")</f>
        <v>Confirmado</v>
      </c>
      <c r="BC164" s="43"/>
      <c r="BD164" s="46">
        <f>IFERROR(OLDBD[[#This Row],[Salida de almacén de retiro]]-OLDBD[[#This Row],[Ingreso Almacén de retiro]],"")</f>
        <v>4.8611111109494232E-2</v>
      </c>
      <c r="BE164" s="46">
        <f>IFERROR(OLDBD[[#This Row],[Fin de Carga]]-OLDBD[[#This Row],[Inicio de Carga]],"")</f>
        <v>7.0833333331393078E-2</v>
      </c>
    </row>
    <row r="165" spans="1:57" customFormat="1" hidden="1">
      <c r="A165" s="1"/>
      <c r="B165" s="1">
        <f>IFERROR(IF(MARÍTIMOS[[#This Row],[PP]]="","",MARÍTIMOS[[#This Row],[PP]]),"")</f>
        <v>24</v>
      </c>
      <c r="C165" s="1" t="str">
        <f>IFERROR(IF(MARÍTIMOS[[#This Row],[Sede]]="","",MARÍTIMOS[[#This Row],[Sede]]),"")</f>
        <v>Chao</v>
      </c>
      <c r="D165" s="1" t="str">
        <f>IFERROR(IF(MARÍTIMOS[[#This Row],[Instruction]]="","",MARÍTIMOS[[#This Row],[Instruction]]),"")</f>
        <v>RH-0043</v>
      </c>
      <c r="E165" s="1"/>
      <c r="F165" s="2" t="str">
        <f>IFERROR(IF(MARÍTIMOS[[#This Row],[Transportista]]="","",MARÍTIMOS[[#This Row],[Transportista]]),"")</f>
        <v>LIP</v>
      </c>
      <c r="G165" s="2" t="str">
        <f>IFERROR(IF(MARÍTIMOS[[#This Row],[Tercero]]="","",MARÍTIMOS[[#This Row],[Tercero]]),"")</f>
        <v>NO</v>
      </c>
      <c r="H165" s="2" t="str">
        <f>IFERROR(IF(MARÍTIMOS[[#This Row],[Razón Social]]="","",MARÍTIMOS[[#This Row],[Razón Social]]),"")</f>
        <v>LOGISTICA INTERMODAL DEL PERU S.A.C.</v>
      </c>
      <c r="I165" s="2">
        <f>IFERROR(IF(MARÍTIMOS[[#This Row],[RUC]]="","",MARÍTIMOS[[#This Row],[RUC]]),"")</f>
        <v>20513040718</v>
      </c>
      <c r="J165" s="2" t="str">
        <f>IFERROR(IF(MARÍTIMOS[[#This Row],[Placa Tracto]]="","",MARÍTIMOS[[#This Row],[Placa Tracto]]),"")</f>
        <v>BKI-940</v>
      </c>
      <c r="K165" s="2" t="str">
        <f>IFERROR(IF(MARÍTIMOS[[#This Row],[Placa Carreta]]="","",MARÍTIMOS[[#This Row],[Placa Carreta]]),"")</f>
        <v>AXN-997</v>
      </c>
      <c r="L165" s="44" t="str">
        <f>IFERROR(IF(MARÍTIMOS[[#This Row],[Conductor]]="","",MARÍTIMOS[[#This Row],[Conductor]]),"")</f>
        <v>MALDONADO SANTARIA WILDER</v>
      </c>
      <c r="M165" s="2" t="str">
        <f>IFERROR(IF(MARÍTIMOS[[#This Row],[Licencia]]="","",MARÍTIMOS[[#This Row],[Licencia]]),"")</f>
        <v>E41180232</v>
      </c>
      <c r="N165" s="2" t="str">
        <f>IFERROR(IF(MARÍTIMOS[[#This Row],[Número de Contacto]]="","",MARÍTIMOS[[#This Row],[Número de Contacto]]),"")</f>
        <v/>
      </c>
      <c r="O165" s="10">
        <f>IFERROR(IF(MARÍTIMOS[[#This Row],[Booking|AWB|CRT]]="","",MARÍTIMOS[[#This Row],[Booking|AWB|CRT]]),"")</f>
        <v>6503617890</v>
      </c>
      <c r="P165" s="2" t="str">
        <f>IFERROR(IF(MARÍTIMOS[[#This Row],[Contenedor]]="","",MARÍTIMOS[[#This Row],[Contenedor]]),"")</f>
        <v>FBIU5684901</v>
      </c>
      <c r="Q165" s="2" t="str">
        <f>IFERROR(IF(MARÍTIMOS[[#This Row],[Puerto de Retiro]]="","",MARÍTIMOS[[#This Row],[Puerto de Retiro]]),"")</f>
        <v>CHANCAY</v>
      </c>
      <c r="R165" s="2" t="str">
        <f>IFERROR(IF(MARÍTIMOS[[#This Row],[Almacén de Retiro]]="","",MARÍTIMOS[[#This Row],[Almacén de Retiro]]),"")</f>
        <v>DPW</v>
      </c>
      <c r="S165" s="11">
        <f>IFERROR(IF(MARÍTIMOS[[#This Row],[Etapa Retiro - Cita]]="","",MARÍTIMOS[[#This Row],[Etapa Retiro - Cita]]),"")</f>
        <v>46188.5</v>
      </c>
      <c r="T165" s="11">
        <f>IFERROR(IF(MARÍTIMOS[[#This Row],[Etapa Retiro - Llegada]]="","",MARÍTIMOS[[#This Row],[Etapa Retiro - Llegada]]),"")</f>
        <v>46188.481249999997</v>
      </c>
      <c r="U165" s="11">
        <f>IFERROR(IF(MARÍTIMOS[[#This Row],[Etapa Retiro - Ingreso]]="","",MARÍTIMOS[[#This Row],[Etapa Retiro - Ingreso]]),"")</f>
        <v>46188.486805555556</v>
      </c>
      <c r="V165" s="11">
        <f>IFERROR(IF(MARÍTIMOS[[#This Row],[Etapa Retiro - Atención]]="","",MARÍTIMOS[[#This Row],[Etapa Retiro - Atención]]),"")</f>
        <v>46188.84375</v>
      </c>
      <c r="W165" s="11">
        <f>IFERROR(IF(MARÍTIMOS[[#This Row],[Etapa Retiro - Atención]]="","",MARÍTIMOS[[#This Row],[Etapa Retiro - Atención]]),"")</f>
        <v>46188.84375</v>
      </c>
      <c r="X165" s="11">
        <f>IFERROR(IF(MARÍTIMOS[[#This Row],[Etapa Retiro - Inicio de Ruta]]="","",MARÍTIMOS[[#This Row],[Etapa Retiro - Inicio de Ruta]]),"")</f>
        <v>46188.916666666664</v>
      </c>
      <c r="Y165" s="11">
        <f>IFERROR(IF(MARÍTIMOS[[#This Row],[Hora de Posicionamiento]]="","",MARÍTIMOS[[#This Row],[Fecha de Carga]]+MARÍTIMOS[[#This Row],[Hora de Posicionamiento]]),"")</f>
        <v>46189.583333333336</v>
      </c>
      <c r="Z165" s="11">
        <f>IFERROR(IF(MARÍTIMOS[[#This Row],[Etapa Despacho - Llegada]]="","",MARÍTIMOS[[#This Row],[Etapa Despacho - Llegada]]),"")</f>
        <v>46189.666666666664</v>
      </c>
      <c r="AA165" s="11">
        <f>IFERROR(IF(MARÍTIMOS[[#This Row],[Etapa Despacho - Registro]]="","",MARÍTIMOS[[#This Row],[Etapa Despacho - Registro]]),"")</f>
        <v>46190.083333333336</v>
      </c>
      <c r="AB165" s="11">
        <f>IFERROR(IF(MARÍTIMOS[[#This Row],[Inspección Externa]]="","",MARÍTIMOS[[#This Row],[Inspección Externa]]),"")</f>
        <v>46189.549305555556</v>
      </c>
      <c r="AC165" s="11">
        <f>IFERROR(IF(MARÍTIMOS[[#This Row],[Etapa Despacho - Inicio de Carga]]="","",MARÍTIMOS[[#This Row],[Etapa Despacho - Inicio de Carga]]),"")</f>
        <v>46189.59097222222</v>
      </c>
      <c r="AD165" s="11">
        <f>IFERROR(IF(MARÍTIMOS[[#This Row],[Etapa Despacho - Mitad de Carga]]="","",MARÍTIMOS[[#This Row],[Etapa Despacho - Mitad de Carga]]),"")</f>
        <v>46189.65</v>
      </c>
      <c r="AE165" s="11">
        <f>IFERROR(IF(MARÍTIMOS[[#This Row],[Etapa Despacho - Fin de Carga]]="","",MARÍTIMOS[[#This Row],[Etapa Despacho - Fin de Carga]]),"")</f>
        <v>46189.666666666664</v>
      </c>
      <c r="AF165" s="2" t="str">
        <f>IFERROR(IF(MARÍTIMOS[[#This Row],[Puerto de Embarque]]="","",MARÍTIMOS[[#This Row],[Puerto de Embarque]]),"")</f>
        <v>CHANCAY</v>
      </c>
      <c r="AG165" s="2" t="str">
        <f>IFERROR(IF(MARÍTIMOS[[#This Row],[Almacén de Ingreso]]="","",MARÍTIMOS[[#This Row],[Almacén de Ingreso]]),"")</f>
        <v>CSPCP</v>
      </c>
      <c r="AH165" s="11">
        <f>IFERROR(IF(MARÍTIMOS[[#This Row],[Etapa Ingreso - Cita]]="","",MARÍTIMOS[[#This Row],[Etapa Ingreso - Cita]]),"")</f>
        <v>46190.416666666664</v>
      </c>
      <c r="AI165" s="11">
        <f>IFERROR(IF(MARÍTIMOS[[#This Row],[Etapa Ingreso - Llegada]]="","",MARÍTIMOS[[#This Row],[Etapa Ingreso - Llegada]]),"")</f>
        <v>46190.076388888891</v>
      </c>
      <c r="AJ165" s="11">
        <f>IFERROR(IF(MARÍTIMOS[[#This Row],[Etapa Ingreso - Ingeso]]="","",MARÍTIMOS[[#This Row],[Etapa Ingreso - Ingeso]]),"")</f>
        <v>46190.077777777777</v>
      </c>
      <c r="AK165" s="11">
        <f>IFERROR(IF(MARÍTIMOS[[#This Row],[Etapa Ingreso - Atención]]="","",MARÍTIMOS[[#This Row],[Etapa Ingreso - Atención]]),"")</f>
        <v>46190.09652777778</v>
      </c>
      <c r="AL165" s="11">
        <f>IFERROR(IF(MARÍTIMOS[[#This Row],[Etapa Ingreso - Salida]]="","",MARÍTIMOS[[#This Row],[Etapa Ingreso - Salida]]),"")</f>
        <v>46190.111805555556</v>
      </c>
      <c r="AM165" s="2">
        <f>IFERROR(IF(MARÍTIMOS[[#This Row],[FCL]]="","",MARÍTIMOS[[#This Row],[FCL]]),"")</f>
        <v>1</v>
      </c>
      <c r="AN1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5" s="4" t="str" cm="1">
        <f t="array" ref="AO1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165" s="5">
        <f>IFERROR(OLDBD[[#This Row],[Llegada a packing]]-OLDBD[[#This Row],[Inicio de Ruta]],"")</f>
        <v>0.75</v>
      </c>
      <c r="AQ165" s="6">
        <f>IFERROR(OLDBD[[#This Row],[Inicio de Ruta]]-OLDBD[[#This Row],[Salida de almacén de retiro]],"")</f>
        <v>7.2916666664241347E-2</v>
      </c>
      <c r="AR1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65" s="8" t="str" cm="1">
        <f t="array" ref="AS1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5" s="9">
        <f>IFERROR(OLDBD[[#This Row],[Ingreso Packing]]-OLDBD[[#This Row],[Registro en Packing]],"")</f>
        <v>-0.53402777777955635</v>
      </c>
      <c r="AV165" s="9">
        <f>IFERROR(OLDBD[[#This Row],[Ingreso Packing]]-OLDBD[[#This Row],[Llegada a packing]],"")</f>
        <v>-0.11736111110803904</v>
      </c>
      <c r="AW1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5" s="5">
        <f>IFERROR(OLDBD[[#This Row],[Llegada Almacén de Ingreso]]-OLDBD[[#This Row],[Salida Packing]],"")</f>
        <v>0.40972222222626442</v>
      </c>
      <c r="AY165" s="4" t="str" cm="1">
        <f t="array" ref="AY1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65" s="43" t="s">
        <v>173</v>
      </c>
      <c r="BB165" s="47" t="str">
        <f>IFERROR(IF(MARÍTIMOS[[#This Row],[Estatus]]="","",MARÍTIMOS[[#This Row],[Estatus]]),"")</f>
        <v>Confirmado</v>
      </c>
      <c r="BC165" s="43"/>
      <c r="BD165" s="46">
        <f>IFERROR(OLDBD[[#This Row],[Salida de almacén de retiro]]-OLDBD[[#This Row],[Ingreso Almacén de retiro]],"")</f>
        <v>0.35694444444379769</v>
      </c>
      <c r="BE165" s="46">
        <f>IFERROR(OLDBD[[#This Row],[Fin de Carga]]-OLDBD[[#This Row],[Inicio de Carga]],"")</f>
        <v>5.9027777781011537E-2</v>
      </c>
    </row>
    <row r="166" spans="1:57" customFormat="1" hidden="1">
      <c r="A166" s="1"/>
      <c r="B166" s="1">
        <f>IFERROR(IF(MARÍTIMOS[[#This Row],[PP]]="","",MARÍTIMOS[[#This Row],[PP]]),"")</f>
        <v>24</v>
      </c>
      <c r="C166" s="1" t="str">
        <f>IFERROR(IF(MARÍTIMOS[[#This Row],[Sede]]="","",MARÍTIMOS[[#This Row],[Sede]]),"")</f>
        <v>Chao</v>
      </c>
      <c r="D166" s="1" t="str">
        <f>IFERROR(IF(MARÍTIMOS[[#This Row],[Instruction]]="","",MARÍTIMOS[[#This Row],[Instruction]]),"")</f>
        <v>RH-0045</v>
      </c>
      <c r="E166" s="1"/>
      <c r="F166" s="2" t="str">
        <f>IFERROR(IF(MARÍTIMOS[[#This Row],[Transportista]]="","",MARÍTIMOS[[#This Row],[Transportista]]),"")</f>
        <v>LIP</v>
      </c>
      <c r="G166" s="2" t="str">
        <f>IFERROR(IF(MARÍTIMOS[[#This Row],[Tercero]]="","",MARÍTIMOS[[#This Row],[Tercero]]),"")</f>
        <v>NO</v>
      </c>
      <c r="H166" s="2" t="str">
        <f>IFERROR(IF(MARÍTIMOS[[#This Row],[Razón Social]]="","",MARÍTIMOS[[#This Row],[Razón Social]]),"")</f>
        <v>LOGISTICA INTERMODAL DEL PERU S.A.C.</v>
      </c>
      <c r="I166" s="2">
        <f>IFERROR(IF(MARÍTIMOS[[#This Row],[RUC]]="","",MARÍTIMOS[[#This Row],[RUC]]),"")</f>
        <v>20513040718</v>
      </c>
      <c r="J166" s="2" t="str">
        <f>IFERROR(IF(MARÍTIMOS[[#This Row],[Placa Tracto]]="","",MARÍTIMOS[[#This Row],[Placa Tracto]]),"")</f>
        <v>BCA-717</v>
      </c>
      <c r="K166" s="2" t="str">
        <f>IFERROR(IF(MARÍTIMOS[[#This Row],[Placa Carreta]]="","",MARÍTIMOS[[#This Row],[Placa Carreta]]),"")</f>
        <v>ANS-995</v>
      </c>
      <c r="L166" s="44" t="str">
        <f>IFERROR(IF(MARÍTIMOS[[#This Row],[Conductor]]="","",MARÍTIMOS[[#This Row],[Conductor]]),"")</f>
        <v>CARBAJAL PALOMINO YOVANNI</v>
      </c>
      <c r="M166" s="2" t="str">
        <f>IFERROR(IF(MARÍTIMOS[[#This Row],[Licencia]]="","",MARÍTIMOS[[#This Row],[Licencia]]),"")</f>
        <v>Q10429095</v>
      </c>
      <c r="N166" s="2" t="str">
        <f>IFERROR(IF(MARÍTIMOS[[#This Row],[Número de Contacto]]="","",MARÍTIMOS[[#This Row],[Número de Contacto]]),"")</f>
        <v/>
      </c>
      <c r="O166" s="10">
        <f>IFERROR(IF(MARÍTIMOS[[#This Row],[Booking|AWB|CRT]]="","",MARÍTIMOS[[#This Row],[Booking|AWB|CRT]]),"")</f>
        <v>6504302800</v>
      </c>
      <c r="P166" s="2" t="str">
        <f>IFERROR(IF(MARÍTIMOS[[#This Row],[Contenedor]]="","",MARÍTIMOS[[#This Row],[Contenedor]]),"")</f>
        <v>OERU4350074</v>
      </c>
      <c r="Q166" s="2" t="str">
        <f>IFERROR(IF(MARÍTIMOS[[#This Row],[Puerto de Retiro]]="","",MARÍTIMOS[[#This Row],[Puerto de Retiro]]),"")</f>
        <v>CHANCAY</v>
      </c>
      <c r="R166" s="2" t="str">
        <f>IFERROR(IF(MARÍTIMOS[[#This Row],[Almacén de Retiro]]="","",MARÍTIMOS[[#This Row],[Almacén de Retiro]]),"")</f>
        <v>CSPCP</v>
      </c>
      <c r="S166" s="11">
        <f>IFERROR(IF(MARÍTIMOS[[#This Row],[Etapa Retiro - Cita]]="","",MARÍTIMOS[[#This Row],[Etapa Retiro - Cita]]),"")</f>
        <v>46189.541666666664</v>
      </c>
      <c r="T166" s="11">
        <f>IFERROR(IF(MARÍTIMOS[[#This Row],[Etapa Retiro - Llegada]]="","",MARÍTIMOS[[#This Row],[Etapa Retiro - Llegada]]),"")</f>
        <v>46189.573611111111</v>
      </c>
      <c r="U166" s="11">
        <f>IFERROR(IF(MARÍTIMOS[[#This Row],[Etapa Retiro - Ingreso]]="","",MARÍTIMOS[[#This Row],[Etapa Retiro - Ingreso]]),"")</f>
        <v>46189.574305555558</v>
      </c>
      <c r="V166" s="11">
        <f>IFERROR(IF(MARÍTIMOS[[#This Row],[Etapa Retiro - Atención]]="","",MARÍTIMOS[[#This Row],[Etapa Retiro - Atención]]),"")</f>
        <v>46189.625</v>
      </c>
      <c r="W166" s="11">
        <f>IFERROR(IF(MARÍTIMOS[[#This Row],[Etapa Retiro - Atención]]="","",MARÍTIMOS[[#This Row],[Etapa Retiro - Atención]]),"")</f>
        <v>46189.625</v>
      </c>
      <c r="X166" s="11">
        <f>IFERROR(IF(MARÍTIMOS[[#This Row],[Etapa Retiro - Inicio de Ruta]]="","",MARÍTIMOS[[#This Row],[Etapa Retiro - Inicio de Ruta]]),"")</f>
        <v>46189.6875</v>
      </c>
      <c r="Y166" s="11">
        <f>IFERROR(IF(MARÍTIMOS[[#This Row],[Hora de Posicionamiento]]="","",MARÍTIMOS[[#This Row],[Fecha de Carga]]+MARÍTIMOS[[#This Row],[Hora de Posicionamiento]]),"")</f>
        <v>46190.458333333336</v>
      </c>
      <c r="Z166" s="11">
        <f>IFERROR(IF(MARÍTIMOS[[#This Row],[Etapa Despacho - Llegada]]="","",MARÍTIMOS[[#This Row],[Etapa Despacho - Llegada]]),"")</f>
        <v>46190.361111111109</v>
      </c>
      <c r="AA166" s="11">
        <f>IFERROR(IF(MARÍTIMOS[[#This Row],[Etapa Despacho - Registro]]="","",MARÍTIMOS[[#This Row],[Etapa Despacho - Registro]]),"")</f>
        <v>46193.125</v>
      </c>
      <c r="AB166" s="11">
        <f>IFERROR(IF(MARÍTIMOS[[#This Row],[Inspección Externa]]="","",MARÍTIMOS[[#This Row],[Inspección Externa]]),"")</f>
        <v>46190.430555555555</v>
      </c>
      <c r="AC166" s="11">
        <f>IFERROR(IF(MARÍTIMOS[[#This Row],[Etapa Despacho - Inicio de Carga]]="","",MARÍTIMOS[[#This Row],[Etapa Despacho - Inicio de Carga]]),"")</f>
        <v>46190.472222222219</v>
      </c>
      <c r="AD166" s="11">
        <f>IFERROR(IF(MARÍTIMOS[[#This Row],[Etapa Despacho - Mitad de Carga]]="","",MARÍTIMOS[[#This Row],[Etapa Despacho - Mitad de Carga]]),"")</f>
        <v>46190.626388888886</v>
      </c>
      <c r="AE166" s="11">
        <f>IFERROR(IF(MARÍTIMOS[[#This Row],[Etapa Despacho - Fin de Carga]]="","",MARÍTIMOS[[#This Row],[Etapa Despacho - Fin de Carga]]),"")</f>
        <v>46190.64166666667</v>
      </c>
      <c r="AF166" s="2" t="str">
        <f>IFERROR(IF(MARÍTIMOS[[#This Row],[Puerto de Embarque]]="","",MARÍTIMOS[[#This Row],[Puerto de Embarque]]),"")</f>
        <v>CHANCAY</v>
      </c>
      <c r="AG166" s="2" t="str">
        <f>IFERROR(IF(MARÍTIMOS[[#This Row],[Almacén de Ingreso]]="","",MARÍTIMOS[[#This Row],[Almacén de Ingreso]]),"")</f>
        <v>CSPCP</v>
      </c>
      <c r="AH166" s="11">
        <f>IFERROR(IF(MARÍTIMOS[[#This Row],[Etapa Ingreso - Cita]]="","",MARÍTIMOS[[#This Row],[Etapa Ingreso - Cita]]),"")</f>
        <v>46191.125</v>
      </c>
      <c r="AI166" s="11">
        <f>IFERROR(IF(MARÍTIMOS[[#This Row],[Etapa Ingreso - Llegada]]="","",MARÍTIMOS[[#This Row],[Etapa Ingreso - Llegada]]),"")</f>
        <v>46191.043055555558</v>
      </c>
      <c r="AJ166" s="11">
        <f>IFERROR(IF(MARÍTIMOS[[#This Row],[Etapa Ingreso - Ingeso]]="","",MARÍTIMOS[[#This Row],[Etapa Ingreso - Ingeso]]),"")</f>
        <v>46191.04583333333</v>
      </c>
      <c r="AK166" s="11">
        <f>IFERROR(IF(MARÍTIMOS[[#This Row],[Etapa Ingreso - Atención]]="","",MARÍTIMOS[[#This Row],[Etapa Ingreso - Atención]]),"")</f>
        <v>46191.061805555553</v>
      </c>
      <c r="AL166" s="11">
        <f>IFERROR(IF(MARÍTIMOS[[#This Row],[Etapa Ingreso - Salida]]="","",MARÍTIMOS[[#This Row],[Etapa Ingreso - Salida]]),"")</f>
        <v>46191.078472222223</v>
      </c>
      <c r="AM166" s="2">
        <f>IFERROR(IF(MARÍTIMOS[[#This Row],[FCL]]="","",MARÍTIMOS[[#This Row],[FCL]]),"")</f>
        <v>1</v>
      </c>
      <c r="AN1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6" s="4" t="str" cm="1">
        <f t="array" ref="AO1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66" s="5">
        <f>IFERROR(OLDBD[[#This Row],[Llegada a packing]]-OLDBD[[#This Row],[Inicio de Ruta]],"")</f>
        <v>0.67361111110949423</v>
      </c>
      <c r="AQ166" s="6">
        <f>IFERROR(OLDBD[[#This Row],[Inicio de Ruta]]-OLDBD[[#This Row],[Salida de almacén de retiro]],"")</f>
        <v>6.25E-2</v>
      </c>
      <c r="AR1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66" s="8" t="str" cm="1">
        <f t="array" ref="AS1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6" s="9">
        <f>IFERROR(OLDBD[[#This Row],[Ingreso Packing]]-OLDBD[[#This Row],[Registro en Packing]],"")</f>
        <v>-2.6944444444452529</v>
      </c>
      <c r="AV166" s="9">
        <f>IFERROR(OLDBD[[#This Row],[Ingreso Packing]]-OLDBD[[#This Row],[Llegada a packing]],"")</f>
        <v>6.9444444445252884E-2</v>
      </c>
      <c r="AW1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6" s="5">
        <f>IFERROR(OLDBD[[#This Row],[Llegada Almacén de Ingreso]]-OLDBD[[#This Row],[Salida Packing]],"")</f>
        <v>0.40138888888759539</v>
      </c>
      <c r="AY166" s="4" t="str" cm="1">
        <f t="array" ref="AY1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66" s="43" t="s">
        <v>173</v>
      </c>
      <c r="BB166" s="47" t="str">
        <f>IFERROR(IF(MARÍTIMOS[[#This Row],[Estatus]]="","",MARÍTIMOS[[#This Row],[Estatus]]),"")</f>
        <v>Confirmado</v>
      </c>
      <c r="BC166" s="43"/>
      <c r="BD166" s="46">
        <f>IFERROR(OLDBD[[#This Row],[Salida de almacén de retiro]]-OLDBD[[#This Row],[Ingreso Almacén de retiro]],"")</f>
        <v>5.0694444442342501E-2</v>
      </c>
      <c r="BE166" s="46">
        <f>IFERROR(OLDBD[[#This Row],[Fin de Carga]]-OLDBD[[#This Row],[Inicio de Carga]],"")</f>
        <v>0.15416666666715173</v>
      </c>
    </row>
    <row r="167" spans="1:57" customFormat="1" hidden="1">
      <c r="A167" s="1"/>
      <c r="B167" s="1">
        <f>IFERROR(IF(MARÍTIMOS[[#This Row],[PP]]="","",MARÍTIMOS[[#This Row],[PP]]),"")</f>
        <v>24</v>
      </c>
      <c r="C167" s="1" t="str">
        <f>IFERROR(IF(MARÍTIMOS[[#This Row],[Sede]]="","",MARÍTIMOS[[#This Row],[Sede]]),"")</f>
        <v>Chao</v>
      </c>
      <c r="D167" s="1" t="str">
        <f>IFERROR(IF(MARÍTIMOS[[#This Row],[Instruction]]="","",MARÍTIMOS[[#This Row],[Instruction]]),"")</f>
        <v>RH-0046</v>
      </c>
      <c r="E167" s="1"/>
      <c r="F167" s="2" t="str">
        <f>IFERROR(IF(MARÍTIMOS[[#This Row],[Transportista]]="","",MARÍTIMOS[[#This Row],[Transportista]]),"")</f>
        <v>LIP</v>
      </c>
      <c r="G167" s="2" t="str">
        <f>IFERROR(IF(MARÍTIMOS[[#This Row],[Tercero]]="","",MARÍTIMOS[[#This Row],[Tercero]]),"")</f>
        <v>NO</v>
      </c>
      <c r="H167" s="2" t="str">
        <f>IFERROR(IF(MARÍTIMOS[[#This Row],[Razón Social]]="","",MARÍTIMOS[[#This Row],[Razón Social]]),"")</f>
        <v>LOGISTICA INTERMODAL DEL PERU S.A.C.</v>
      </c>
      <c r="I167" s="2">
        <f>IFERROR(IF(MARÍTIMOS[[#This Row],[RUC]]="","",MARÍTIMOS[[#This Row],[RUC]]),"")</f>
        <v>20513040718</v>
      </c>
      <c r="J167" s="2" t="str">
        <f>IFERROR(IF(MARÍTIMOS[[#This Row],[Placa Tracto]]="","",MARÍTIMOS[[#This Row],[Placa Tracto]]),"")</f>
        <v>AZG-916</v>
      </c>
      <c r="K167" s="2" t="str">
        <f>IFERROR(IF(MARÍTIMOS[[#This Row],[Placa Carreta]]="","",MARÍTIMOS[[#This Row],[Placa Carreta]]),"")</f>
        <v>ANV-981</v>
      </c>
      <c r="L167" s="44" t="str">
        <f>IFERROR(IF(MARÍTIMOS[[#This Row],[Conductor]]="","",MARÍTIMOS[[#This Row],[Conductor]]),"")</f>
        <v>PAREDES ALVARADO JOGGER PABLO</v>
      </c>
      <c r="M167" s="2" t="str">
        <f>IFERROR(IF(MARÍTIMOS[[#This Row],[Licencia]]="","",MARÍTIMOS[[#This Row],[Licencia]]),"")</f>
        <v>Q41977758</v>
      </c>
      <c r="N167" s="2" t="str">
        <f>IFERROR(IF(MARÍTIMOS[[#This Row],[Número de Contacto]]="","",MARÍTIMOS[[#This Row],[Número de Contacto]]),"")</f>
        <v/>
      </c>
      <c r="O167" s="10">
        <f>IFERROR(IF(MARÍTIMOS[[#This Row],[Booking|AWB|CRT]]="","",MARÍTIMOS[[#This Row],[Booking|AWB|CRT]]),"")</f>
        <v>6504302190</v>
      </c>
      <c r="P167" s="2" t="str">
        <f>IFERROR(IF(MARÍTIMOS[[#This Row],[Contenedor]]="","",MARÍTIMOS[[#This Row],[Contenedor]]),"")</f>
        <v>FBIU5576194</v>
      </c>
      <c r="Q167" s="2" t="str">
        <f>IFERROR(IF(MARÍTIMOS[[#This Row],[Puerto de Retiro]]="","",MARÍTIMOS[[#This Row],[Puerto de Retiro]]),"")</f>
        <v>CALLAO</v>
      </c>
      <c r="R167" s="2" t="str">
        <f>IFERROR(IF(MARÍTIMOS[[#This Row],[Almacén de Retiro]]="","",MARÍTIMOS[[#This Row],[Almacén de Retiro]]),"")</f>
        <v>DPW</v>
      </c>
      <c r="S167" s="11">
        <f>IFERROR(IF(MARÍTIMOS[[#This Row],[Etapa Retiro - Cita]]="","",MARÍTIMOS[[#This Row],[Etapa Retiro - Cita]]),"")</f>
        <v>46189.541666666664</v>
      </c>
      <c r="T167" s="11">
        <f>IFERROR(IF(MARÍTIMOS[[#This Row],[Etapa Retiro - Llegada]]="","",MARÍTIMOS[[#This Row],[Etapa Retiro - Llegada]]),"")</f>
        <v>46189.59097222222</v>
      </c>
      <c r="U167" s="11">
        <f>IFERROR(IF(MARÍTIMOS[[#This Row],[Etapa Retiro - Ingreso]]="","",MARÍTIMOS[[#This Row],[Etapa Retiro - Ingreso]]),"")</f>
        <v>46189.613194444442</v>
      </c>
      <c r="V167" s="11">
        <f>IFERROR(IF(MARÍTIMOS[[#This Row],[Etapa Retiro - Atención]]="","",MARÍTIMOS[[#This Row],[Etapa Retiro - Atención]]),"")</f>
        <v>46189.9</v>
      </c>
      <c r="W167" s="11">
        <f>IFERROR(IF(MARÍTIMOS[[#This Row],[Etapa Retiro - Atención]]="","",MARÍTIMOS[[#This Row],[Etapa Retiro - Atención]]),"")</f>
        <v>46189.9</v>
      </c>
      <c r="X167" s="11">
        <f>IFERROR(IF(MARÍTIMOS[[#This Row],[Etapa Retiro - Inicio de Ruta]]="","",MARÍTIMOS[[#This Row],[Etapa Retiro - Inicio de Ruta]]),"")</f>
        <v>46190.178472222222</v>
      </c>
      <c r="Y167" s="11">
        <f>IFERROR(IF(MARÍTIMOS[[#This Row],[Hora de Posicionamiento]]="","",MARÍTIMOS[[#This Row],[Fecha de Carga]]+MARÍTIMOS[[#This Row],[Hora de Posicionamiento]]),"")</f>
        <v>46190.541666666664</v>
      </c>
      <c r="Z167" s="11">
        <f>IFERROR(IF(MARÍTIMOS[[#This Row],[Etapa Despacho - Llegada]]="","",MARÍTIMOS[[#This Row],[Etapa Despacho - Llegada]]),"")</f>
        <v>46190.556250000001</v>
      </c>
      <c r="AA167" s="11">
        <f>IFERROR(IF(MARÍTIMOS[[#This Row],[Etapa Despacho - Registro]]="","",MARÍTIMOS[[#This Row],[Etapa Despacho - Registro]]),"")</f>
        <v>46191.541666666664</v>
      </c>
      <c r="AB167" s="11">
        <f>IFERROR(IF(MARÍTIMOS[[#This Row],[Inspección Externa]]="","",MARÍTIMOS[[#This Row],[Inspección Externa]]),"")</f>
        <v>46190.577777777777</v>
      </c>
      <c r="AC167" s="11">
        <f>IFERROR(IF(MARÍTIMOS[[#This Row],[Etapa Despacho - Inicio de Carga]]="","",MARÍTIMOS[[#This Row],[Etapa Despacho - Inicio de Carga]]),"")</f>
        <v>46190.619444444441</v>
      </c>
      <c r="AD167" s="11">
        <f>IFERROR(IF(MARÍTIMOS[[#This Row],[Etapa Despacho - Mitad de Carga]]="","",MARÍTIMOS[[#This Row],[Etapa Despacho - Mitad de Carga]]),"")</f>
        <v>46190.76666666667</v>
      </c>
      <c r="AE167" s="11">
        <f>IFERROR(IF(MARÍTIMOS[[#This Row],[Etapa Despacho - Fin de Carga]]="","",MARÍTIMOS[[#This Row],[Etapa Despacho - Fin de Carga]]),"")</f>
        <v>46190.786805555559</v>
      </c>
      <c r="AF167" s="2" t="str">
        <f>IFERROR(IF(MARÍTIMOS[[#This Row],[Puerto de Embarque]]="","",MARÍTIMOS[[#This Row],[Puerto de Embarque]]),"")</f>
        <v>CALLAO</v>
      </c>
      <c r="AG167" s="2" t="str">
        <f>IFERROR(IF(MARÍTIMOS[[#This Row],[Almacén de Ingreso]]="","",MARÍTIMOS[[#This Row],[Almacén de Ingreso]]),"")</f>
        <v>CSPCP</v>
      </c>
      <c r="AH167" s="11">
        <f>IFERROR(IF(MARÍTIMOS[[#This Row],[Etapa Ingreso - Cita]]="","",MARÍTIMOS[[#This Row],[Etapa Ingreso - Cita]]),"")</f>
        <v>46191.041666666664</v>
      </c>
      <c r="AI167" s="11">
        <f>IFERROR(IF(MARÍTIMOS[[#This Row],[Etapa Ingreso - Llegada]]="","",MARÍTIMOS[[#This Row],[Etapa Ingreso - Llegada]]),"")</f>
        <v>46191.538194444445</v>
      </c>
      <c r="AJ167" s="11">
        <f>IFERROR(IF(MARÍTIMOS[[#This Row],[Etapa Ingreso - Ingeso]]="","",MARÍTIMOS[[#This Row],[Etapa Ingreso - Ingeso]]),"")</f>
        <v>46191.547222222223</v>
      </c>
      <c r="AK167" s="11">
        <f>IFERROR(IF(MARÍTIMOS[[#This Row],[Etapa Ingreso - Atención]]="","",MARÍTIMOS[[#This Row],[Etapa Ingreso - Atención]]),"")</f>
        <v>46191.561805555553</v>
      </c>
      <c r="AL167" s="11">
        <f>IFERROR(IF(MARÍTIMOS[[#This Row],[Etapa Ingreso - Salida]]="","",MARÍTIMOS[[#This Row],[Etapa Ingreso - Salida]]),"")</f>
        <v>46191.579861111109</v>
      </c>
      <c r="AM167" s="2">
        <f>IFERROR(IF(MARÍTIMOS[[#This Row],[FCL]]="","",MARÍTIMOS[[#This Row],[FCL]]),"")</f>
        <v>1</v>
      </c>
      <c r="AN1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7" s="4" t="str" cm="1">
        <f t="array" ref="AO1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167" s="5">
        <f>IFERROR(OLDBD[[#This Row],[Llegada a packing]]-OLDBD[[#This Row],[Inicio de Ruta]],"")</f>
        <v>0.37777777777955635</v>
      </c>
      <c r="AQ167" s="6">
        <f>IFERROR(OLDBD[[#This Row],[Inicio de Ruta]]-OLDBD[[#This Row],[Salida de almacén de retiro]],"")</f>
        <v>0.27847222222044365</v>
      </c>
      <c r="AR1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67" s="8" t="str" cm="1">
        <f t="array" ref="AS1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7" s="9">
        <f>IFERROR(OLDBD[[#This Row],[Ingreso Packing]]-OLDBD[[#This Row],[Registro en Packing]],"")</f>
        <v>-0.96388888888759539</v>
      </c>
      <c r="AV167" s="9">
        <f>IFERROR(OLDBD[[#This Row],[Ingreso Packing]]-OLDBD[[#This Row],[Llegada a packing]],"")</f>
        <v>2.1527777775190771E-2</v>
      </c>
      <c r="AW1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7" s="5">
        <f>IFERROR(OLDBD[[#This Row],[Llegada Almacén de Ingreso]]-OLDBD[[#This Row],[Salida Packing]],"")</f>
        <v>0.75138888888614019</v>
      </c>
      <c r="AY167" s="4" t="str" cm="1">
        <f t="array" ref="AY1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67" s="43" t="s">
        <v>173</v>
      </c>
      <c r="BB167" s="47" t="str">
        <f>IFERROR(IF(MARÍTIMOS[[#This Row],[Estatus]]="","",MARÍTIMOS[[#This Row],[Estatus]]),"")</f>
        <v>Confirmado</v>
      </c>
      <c r="BC167" s="43"/>
      <c r="BD167" s="46">
        <f>IFERROR(OLDBD[[#This Row],[Salida de almacén de retiro]]-OLDBD[[#This Row],[Ingreso Almacén de retiro]],"")</f>
        <v>0.28680555555911269</v>
      </c>
      <c r="BE167" s="46">
        <f>IFERROR(OLDBD[[#This Row],[Fin de Carga]]-OLDBD[[#This Row],[Inicio de Carga]],"")</f>
        <v>0.1472222222291748</v>
      </c>
    </row>
    <row r="168" spans="1:57" customFormat="1" hidden="1">
      <c r="A168" s="1"/>
      <c r="B168" s="1">
        <f>IFERROR(IF(MARÍTIMOS[[#This Row],[PP]]="","",MARÍTIMOS[[#This Row],[PP]]),"")</f>
        <v>24</v>
      </c>
      <c r="C168" s="1" t="str">
        <f>IFERROR(IF(MARÍTIMOS[[#This Row],[Sede]]="","",MARÍTIMOS[[#This Row],[Sede]]),"")</f>
        <v>Chao</v>
      </c>
      <c r="D168" s="1" t="str">
        <f>IFERROR(IF(MARÍTIMOS[[#This Row],[Instruction]]="","",MARÍTIMOS[[#This Row],[Instruction]]),"")</f>
        <v>RH-0047</v>
      </c>
      <c r="E168" s="1"/>
      <c r="F168" s="2" t="str">
        <f>IFERROR(IF(MARÍTIMOS[[#This Row],[Transportista]]="","",MARÍTIMOS[[#This Row],[Transportista]]),"")</f>
        <v>LIP</v>
      </c>
      <c r="G168" s="2" t="str">
        <f>IFERROR(IF(MARÍTIMOS[[#This Row],[Tercero]]="","",MARÍTIMOS[[#This Row],[Tercero]]),"")</f>
        <v>SI</v>
      </c>
      <c r="H168" s="2" t="str">
        <f>IFERROR(IF(MARÍTIMOS[[#This Row],[Razón Social]]="","",MARÍTIMOS[[#This Row],[Razón Social]]),"")</f>
        <v>TRANSPORTES CORRECAMINOS DEL PERU S.A.C.</v>
      </c>
      <c r="I168" s="2">
        <f>IFERROR(IF(MARÍTIMOS[[#This Row],[RUC]]="","",MARÍTIMOS[[#This Row],[RUC]]),"")</f>
        <v>20609163632</v>
      </c>
      <c r="J168" s="2" t="str">
        <f>IFERROR(IF(MARÍTIMOS[[#This Row],[Placa Tracto]]="","",MARÍTIMOS[[#This Row],[Placa Tracto]]),"")</f>
        <v>BPJ-889</v>
      </c>
      <c r="K168" s="2" t="str">
        <f>IFERROR(IF(MARÍTIMOS[[#This Row],[Placa Carreta]]="","",MARÍTIMOS[[#This Row],[Placa Carreta]]),"")</f>
        <v>C2B-989</v>
      </c>
      <c r="L168" s="44" t="str">
        <f>IFERROR(IF(MARÍTIMOS[[#This Row],[Conductor]]="","",MARÍTIMOS[[#This Row],[Conductor]]),"")</f>
        <v>HUAMANI PALOMINO EDGAR FREDY</v>
      </c>
      <c r="M168" s="2" t="str">
        <f>IFERROR(IF(MARÍTIMOS[[#This Row],[Licencia]]="","",MARÍTIMOS[[#This Row],[Licencia]]),"")</f>
        <v>Q40736385</v>
      </c>
      <c r="N168" s="2" t="str">
        <f>IFERROR(IF(MARÍTIMOS[[#This Row],[Número de Contacto]]="","",MARÍTIMOS[[#This Row],[Número de Contacto]]),"")</f>
        <v/>
      </c>
      <c r="O168" s="10">
        <f>IFERROR(IF(MARÍTIMOS[[#This Row],[Booking|AWB|CRT]]="","",MARÍTIMOS[[#This Row],[Booking|AWB|CRT]]),"")</f>
        <v>6504302340</v>
      </c>
      <c r="P168" s="2" t="str">
        <f>IFERROR(IF(MARÍTIMOS[[#This Row],[Contenedor]]="","",MARÍTIMOS[[#This Row],[Contenedor]]),"")</f>
        <v xml:space="preserve">FBIU5773845	</v>
      </c>
      <c r="Q168" s="2" t="str">
        <f>IFERROR(IF(MARÍTIMOS[[#This Row],[Puerto de Retiro]]="","",MARÍTIMOS[[#This Row],[Puerto de Retiro]]),"")</f>
        <v>CALLAO</v>
      </c>
      <c r="R168" s="2" t="str">
        <f>IFERROR(IF(MARÍTIMOS[[#This Row],[Almacén de Retiro]]="","",MARÍTIMOS[[#This Row],[Almacén de Retiro]]),"")</f>
        <v>DPW</v>
      </c>
      <c r="S168" s="11">
        <f>IFERROR(IF(MARÍTIMOS[[#This Row],[Etapa Retiro - Cita]]="","",MARÍTIMOS[[#This Row],[Etapa Retiro - Cita]]),"")</f>
        <v>46189.541666666664</v>
      </c>
      <c r="T168" s="11">
        <f>IFERROR(IF(MARÍTIMOS[[#This Row],[Etapa Retiro - Llegada]]="","",MARÍTIMOS[[#This Row],[Etapa Retiro - Llegada]]),"")</f>
        <v>46189.577777777777</v>
      </c>
      <c r="U168" s="11">
        <f>IFERROR(IF(MARÍTIMOS[[#This Row],[Etapa Retiro - Ingreso]]="","",MARÍTIMOS[[#This Row],[Etapa Retiro - Ingreso]]),"")</f>
        <v>46189.613194444442</v>
      </c>
      <c r="V168" s="11">
        <f>IFERROR(IF(MARÍTIMOS[[#This Row],[Etapa Retiro - Atención]]="","",MARÍTIMOS[[#This Row],[Etapa Retiro - Atención]]),"")</f>
        <v>46189.912499999999</v>
      </c>
      <c r="W168" s="11">
        <f>IFERROR(IF(MARÍTIMOS[[#This Row],[Etapa Retiro - Atención]]="","",MARÍTIMOS[[#This Row],[Etapa Retiro - Atención]]),"")</f>
        <v>46189.912499999999</v>
      </c>
      <c r="X168" s="11">
        <f>IFERROR(IF(MARÍTIMOS[[#This Row],[Etapa Retiro - Inicio de Ruta]]="","",MARÍTIMOS[[#This Row],[Etapa Retiro - Inicio de Ruta]]),"")</f>
        <v>46190.031944444447</v>
      </c>
      <c r="Y168" s="11">
        <f>IFERROR(IF(MARÍTIMOS[[#This Row],[Hora de Posicionamiento]]="","",MARÍTIMOS[[#This Row],[Fecha de Carga]]+MARÍTIMOS[[#This Row],[Hora de Posicionamiento]]),"")</f>
        <v>46190.583333333336</v>
      </c>
      <c r="Z168" s="11">
        <f>IFERROR(IF(MARÍTIMOS[[#This Row],[Etapa Despacho - Llegada]]="","",MARÍTIMOS[[#This Row],[Etapa Despacho - Llegada]]),"")</f>
        <v>46190.421527777777</v>
      </c>
      <c r="AA168" s="11">
        <f>IFERROR(IF(MARÍTIMOS[[#This Row],[Etapa Despacho - Registro]]="","",MARÍTIMOS[[#This Row],[Etapa Despacho - Registro]]),"")</f>
        <v>46191.069444444445</v>
      </c>
      <c r="AB168" s="11">
        <f>IFERROR(IF(MARÍTIMOS[[#This Row],[Inspección Externa]]="","",MARÍTIMOS[[#This Row],[Inspección Externa]]),"")</f>
        <v>46190.445833333331</v>
      </c>
      <c r="AC168" s="11">
        <f>IFERROR(IF(MARÍTIMOS[[#This Row],[Etapa Despacho - Inicio de Carga]]="","",MARÍTIMOS[[#This Row],[Etapa Despacho - Inicio de Carga]]),"")</f>
        <v>46190.487500000003</v>
      </c>
      <c r="AD168" s="11">
        <f>IFERROR(IF(MARÍTIMOS[[#This Row],[Etapa Despacho - Mitad de Carga]]="","",MARÍTIMOS[[#This Row],[Etapa Despacho - Mitad de Carga]]),"")</f>
        <v>46190.632638888892</v>
      </c>
      <c r="AE168" s="11">
        <f>IFERROR(IF(MARÍTIMOS[[#This Row],[Etapa Despacho - Fin de Carga]]="","",MARÍTIMOS[[#This Row],[Etapa Despacho - Fin de Carga]]),"")</f>
        <v>46190.65</v>
      </c>
      <c r="AF168" s="2" t="str">
        <f>IFERROR(IF(MARÍTIMOS[[#This Row],[Puerto de Embarque]]="","",MARÍTIMOS[[#This Row],[Puerto de Embarque]]),"")</f>
        <v>CALLAO</v>
      </c>
      <c r="AG168" s="2" t="str">
        <f>IFERROR(IF(MARÍTIMOS[[#This Row],[Almacén de Ingreso]]="","",MARÍTIMOS[[#This Row],[Almacén de Ingreso]]),"")</f>
        <v>CSPCP</v>
      </c>
      <c r="AH168" s="11">
        <f>IFERROR(IF(MARÍTIMOS[[#This Row],[Etapa Ingreso - Cita]]="","",MARÍTIMOS[[#This Row],[Etapa Ingreso - Cita]]),"")</f>
        <v>46191.291666666664</v>
      </c>
      <c r="AI168" s="11">
        <f>IFERROR(IF(MARÍTIMOS[[#This Row],[Etapa Ingreso - Llegada]]="","",MARÍTIMOS[[#This Row],[Etapa Ingreso - Llegada]]),"")</f>
        <v>46191.061805555553</v>
      </c>
      <c r="AJ168" s="11">
        <f>IFERROR(IF(MARÍTIMOS[[#This Row],[Etapa Ingreso - Ingeso]]="","",MARÍTIMOS[[#This Row],[Etapa Ingreso - Ingeso]]),"")</f>
        <v>46191.06527777778</v>
      </c>
      <c r="AK168" s="11">
        <f>IFERROR(IF(MARÍTIMOS[[#This Row],[Etapa Ingreso - Atención]]="","",MARÍTIMOS[[#This Row],[Etapa Ingreso - Atención]]),"")</f>
        <v>46191.077777777777</v>
      </c>
      <c r="AL168" s="11">
        <f>IFERROR(IF(MARÍTIMOS[[#This Row],[Etapa Ingreso - Salida]]="","",MARÍTIMOS[[#This Row],[Etapa Ingreso - Salida]]),"")</f>
        <v>46191.09097222222</v>
      </c>
      <c r="AM168" s="2">
        <f>IFERROR(IF(MARÍTIMOS[[#This Row],[FCL]]="","",MARÍTIMOS[[#This Row],[FCL]]),"")</f>
        <v>1</v>
      </c>
      <c r="AN1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8" s="4" t="str" cm="1">
        <f t="array" ref="AO1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168" s="5">
        <f>IFERROR(OLDBD[[#This Row],[Llegada a packing]]-OLDBD[[#This Row],[Inicio de Ruta]],"")</f>
        <v>0.38958333332993789</v>
      </c>
      <c r="AQ168" s="6">
        <f>IFERROR(OLDBD[[#This Row],[Inicio de Ruta]]-OLDBD[[#This Row],[Salida de almacén de retiro]],"")</f>
        <v>0.11944444444816327</v>
      </c>
      <c r="AR1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68" s="8" t="str" cm="1">
        <f t="array" ref="AS1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8" s="9">
        <f>IFERROR(OLDBD[[#This Row],[Ingreso Packing]]-OLDBD[[#This Row],[Registro en Packing]],"")</f>
        <v>-0.62361111111385981</v>
      </c>
      <c r="AV168" s="9">
        <f>IFERROR(OLDBD[[#This Row],[Ingreso Packing]]-OLDBD[[#This Row],[Llegada a packing]],"")</f>
        <v>2.4305555554747116E-2</v>
      </c>
      <c r="AW1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68" s="5">
        <f>IFERROR(OLDBD[[#This Row],[Llegada Almacén de Ingreso]]-OLDBD[[#This Row],[Salida Packing]],"")</f>
        <v>0.41180555555183673</v>
      </c>
      <c r="AY168" s="4" t="str" cm="1">
        <f t="array" ref="AY1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68" s="43" t="s">
        <v>173</v>
      </c>
      <c r="BB168" s="47" t="str">
        <f>IFERROR(IF(MARÍTIMOS[[#This Row],[Estatus]]="","",MARÍTIMOS[[#This Row],[Estatus]]),"")</f>
        <v>Confirmado</v>
      </c>
      <c r="BC168" s="43"/>
      <c r="BD168" s="46">
        <f>IFERROR(OLDBD[[#This Row],[Salida de almacén de retiro]]-OLDBD[[#This Row],[Ingreso Almacén de retiro]],"")</f>
        <v>0.29930555555620231</v>
      </c>
      <c r="BE168" s="46">
        <f>IFERROR(OLDBD[[#This Row],[Fin de Carga]]-OLDBD[[#This Row],[Inicio de Carga]],"")</f>
        <v>0.14513888888905058</v>
      </c>
    </row>
    <row r="169" spans="1:57" customFormat="1" hidden="1">
      <c r="A169" s="1"/>
      <c r="B169" s="1">
        <f>IFERROR(IF(MARÍTIMOS[[#This Row],[PP]]="","",MARÍTIMOS[[#This Row],[PP]]),"")</f>
        <v>24</v>
      </c>
      <c r="C169" s="1" t="str">
        <f>IFERROR(IF(MARÍTIMOS[[#This Row],[Sede]]="","",MARÍTIMOS[[#This Row],[Sede]]),"")</f>
        <v>Chao</v>
      </c>
      <c r="D169" s="1" t="str">
        <f>IFERROR(IF(MARÍTIMOS[[#This Row],[Instruction]]="","",MARÍTIMOS[[#This Row],[Instruction]]),"")</f>
        <v>RH-0051</v>
      </c>
      <c r="E169" s="1"/>
      <c r="F169" s="2" t="str">
        <f>IFERROR(IF(MARÍTIMOS[[#This Row],[Transportista]]="","",MARÍTIMOS[[#This Row],[Transportista]]),"")</f>
        <v>LIP</v>
      </c>
      <c r="G169" s="2" t="str">
        <f>IFERROR(IF(MARÍTIMOS[[#This Row],[Tercero]]="","",MARÍTIMOS[[#This Row],[Tercero]]),"")</f>
        <v>NO</v>
      </c>
      <c r="H169" s="2" t="str">
        <f>IFERROR(IF(MARÍTIMOS[[#This Row],[Razón Social]]="","",MARÍTIMOS[[#This Row],[Razón Social]]),"")</f>
        <v>LOGISTICA INTERMODAL DEL PERU S.A.C.</v>
      </c>
      <c r="I169" s="2">
        <f>IFERROR(IF(MARÍTIMOS[[#This Row],[RUC]]="","",MARÍTIMOS[[#This Row],[RUC]]),"")</f>
        <v>20513040718</v>
      </c>
      <c r="J169" s="2" t="str">
        <f>IFERROR(IF(MARÍTIMOS[[#This Row],[Placa Tracto]]="","",MARÍTIMOS[[#This Row],[Placa Tracto]]),"")</f>
        <v>BBK-804</v>
      </c>
      <c r="K169" s="2" t="str">
        <f>IFERROR(IF(MARÍTIMOS[[#This Row],[Placa Carreta]]="","",MARÍTIMOS[[#This Row],[Placa Carreta]]),"")</f>
        <v>AMV-976</v>
      </c>
      <c r="L169" s="44" t="str">
        <f>IFERROR(IF(MARÍTIMOS[[#This Row],[Conductor]]="","",MARÍTIMOS[[#This Row],[Conductor]]),"")</f>
        <v>INCHE LOYA GERMAN ALBERTO</v>
      </c>
      <c r="M169" s="2" t="str">
        <f>IFERROR(IF(MARÍTIMOS[[#This Row],[Licencia]]="","",MARÍTIMOS[[#This Row],[Licencia]]),"")</f>
        <v>Q73028995</v>
      </c>
      <c r="N169" s="2" t="str">
        <f>IFERROR(IF(MARÍTIMOS[[#This Row],[Número de Contacto]]="","",MARÍTIMOS[[#This Row],[Número de Contacto]]),"")</f>
        <v/>
      </c>
      <c r="O169" s="10">
        <f>IFERROR(IF(MARÍTIMOS[[#This Row],[Booking|AWB|CRT]]="","",MARÍTIMOS[[#This Row],[Booking|AWB|CRT]]),"")</f>
        <v>6504302490</v>
      </c>
      <c r="P169" s="2" t="str">
        <f>IFERROR(IF(MARÍTIMOS[[#This Row],[Contenedor]]="","",MARÍTIMOS[[#This Row],[Contenedor]]),"")</f>
        <v>OERU4330289</v>
      </c>
      <c r="Q169" s="2" t="str">
        <f>IFERROR(IF(MARÍTIMOS[[#This Row],[Puerto de Retiro]]="","",MARÍTIMOS[[#This Row],[Puerto de Retiro]]),"")</f>
        <v>CALLAO</v>
      </c>
      <c r="R169" s="2" t="str">
        <f>IFERROR(IF(MARÍTIMOS[[#This Row],[Almacén de Retiro]]="","",MARÍTIMOS[[#This Row],[Almacén de Retiro]]),"")</f>
        <v>DPW</v>
      </c>
      <c r="S169" s="11">
        <f>IFERROR(IF(MARÍTIMOS[[#This Row],[Etapa Retiro - Cita]]="","",MARÍTIMOS[[#This Row],[Etapa Retiro - Cita]]),"")</f>
        <v>46188.541666666664</v>
      </c>
      <c r="T169" s="11">
        <f>IFERROR(IF(MARÍTIMOS[[#This Row],[Etapa Retiro - Llegada]]="","",MARÍTIMOS[[#This Row],[Etapa Retiro - Llegada]]),"")</f>
        <v>46189.456250000003</v>
      </c>
      <c r="U169" s="11">
        <f>IFERROR(IF(MARÍTIMOS[[#This Row],[Etapa Retiro - Ingreso]]="","",MARÍTIMOS[[#This Row],[Etapa Retiro - Ingreso]]),"")</f>
        <v>46189.566666666666</v>
      </c>
      <c r="V169" s="11">
        <f>IFERROR(IF(MARÍTIMOS[[#This Row],[Etapa Retiro - Atención]]="","",MARÍTIMOS[[#This Row],[Etapa Retiro - Atención]]),"")</f>
        <v>46189.902083333334</v>
      </c>
      <c r="W169" s="11">
        <f>IFERROR(IF(MARÍTIMOS[[#This Row],[Etapa Retiro - Atención]]="","",MARÍTIMOS[[#This Row],[Etapa Retiro - Atención]]),"")</f>
        <v>46189.902083333334</v>
      </c>
      <c r="X169" s="11">
        <f>IFERROR(IF(MARÍTIMOS[[#This Row],[Etapa Retiro - Inicio de Ruta]]="","",MARÍTIMOS[[#This Row],[Etapa Retiro - Inicio de Ruta]]),"")</f>
        <v>46190.025694444441</v>
      </c>
      <c r="Y169" s="11">
        <f>IFERROR(IF(MARÍTIMOS[[#This Row],[Hora de Posicionamiento]]="","",MARÍTIMOS[[#This Row],[Fecha de Carga]]+MARÍTIMOS[[#This Row],[Hora de Posicionamiento]]),"")</f>
        <v>46190.583333333336</v>
      </c>
      <c r="Z169" s="11">
        <f>IFERROR(IF(MARÍTIMOS[[#This Row],[Etapa Despacho - Llegada]]="","",MARÍTIMOS[[#This Row],[Etapa Despacho - Llegada]]),"")</f>
        <v>46190.493750000001</v>
      </c>
      <c r="AA169" s="11">
        <f>IFERROR(IF(MARÍTIMOS[[#This Row],[Etapa Despacho - Registro]]="","",MARÍTIMOS[[#This Row],[Etapa Despacho - Registro]]),"")</f>
        <v>46191.541666666664</v>
      </c>
      <c r="AB169" s="11">
        <f>IFERROR(IF(MARÍTIMOS[[#This Row],[Inspección Externa]]="","",MARÍTIMOS[[#This Row],[Inspección Externa]]),"")</f>
        <v>46190.522916666669</v>
      </c>
      <c r="AC169" s="11">
        <f>IFERROR(IF(MARÍTIMOS[[#This Row],[Etapa Despacho - Inicio de Carga]]="","",MARÍTIMOS[[#This Row],[Etapa Despacho - Inicio de Carga]]),"")</f>
        <v>46190.564583333333</v>
      </c>
      <c r="AD169" s="11">
        <f>IFERROR(IF(MARÍTIMOS[[#This Row],[Etapa Despacho - Mitad de Carga]]="","",MARÍTIMOS[[#This Row],[Etapa Despacho - Mitad de Carga]]),"")</f>
        <v>46190.781944444447</v>
      </c>
      <c r="AE169" s="11">
        <f>IFERROR(IF(MARÍTIMOS[[#This Row],[Etapa Despacho - Fin de Carga]]="","",MARÍTIMOS[[#This Row],[Etapa Despacho - Fin de Carga]]),"")</f>
        <v>46190.795138888891</v>
      </c>
      <c r="AF169" s="2" t="str">
        <f>IFERROR(IF(MARÍTIMOS[[#This Row],[Puerto de Embarque]]="","",MARÍTIMOS[[#This Row],[Puerto de Embarque]]),"")</f>
        <v>CALLAO</v>
      </c>
      <c r="AG169" s="2" t="str">
        <f>IFERROR(IF(MARÍTIMOS[[#This Row],[Almacén de Ingreso]]="","",MARÍTIMOS[[#This Row],[Almacén de Ingreso]]),"")</f>
        <v>CSPCP</v>
      </c>
      <c r="AH169" s="11">
        <f>IFERROR(IF(MARÍTIMOS[[#This Row],[Etapa Ingreso - Cita]]="","",MARÍTIMOS[[#This Row],[Etapa Ingreso - Cita]]),"")</f>
        <v>46191.541666666664</v>
      </c>
      <c r="AI169" s="11">
        <f>IFERROR(IF(MARÍTIMOS[[#This Row],[Etapa Ingreso - Llegada]]="","",MARÍTIMOS[[#This Row],[Etapa Ingreso - Llegada]]),"")</f>
        <v>46191.493055555555</v>
      </c>
      <c r="AJ169" s="11">
        <f>IFERROR(IF(MARÍTIMOS[[#This Row],[Etapa Ingreso - Ingeso]]="","",MARÍTIMOS[[#This Row],[Etapa Ingreso - Ingeso]]),"")</f>
        <v>46191.49722222222</v>
      </c>
      <c r="AK169" s="11">
        <f>IFERROR(IF(MARÍTIMOS[[#This Row],[Etapa Ingreso - Atención]]="","",MARÍTIMOS[[#This Row],[Etapa Ingreso - Atención]]),"")</f>
        <v>46191.522222222222</v>
      </c>
      <c r="AL169" s="11">
        <f>IFERROR(IF(MARÍTIMOS[[#This Row],[Etapa Ingreso - Salida]]="","",MARÍTIMOS[[#This Row],[Etapa Ingreso - Salida]]),"")</f>
        <v>46191.537499999999</v>
      </c>
      <c r="AM169" s="2">
        <f>IFERROR(IF(MARÍTIMOS[[#This Row],[FCL]]="","",MARÍTIMOS[[#This Row],[FCL]]),"")</f>
        <v>1</v>
      </c>
      <c r="AN1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69" s="4" t="str" cm="1">
        <f t="array" ref="AO1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169" s="5">
        <f>IFERROR(OLDBD[[#This Row],[Llegada a packing]]-OLDBD[[#This Row],[Inicio de Ruta]],"")</f>
        <v>0.46805555556056788</v>
      </c>
      <c r="AQ169" s="6">
        <f>IFERROR(OLDBD[[#This Row],[Inicio de Ruta]]-OLDBD[[#This Row],[Salida de almacén de retiro]],"")</f>
        <v>0.12361111110658385</v>
      </c>
      <c r="AR1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69" s="8" t="str" cm="1">
        <f t="array" ref="AS1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69" s="9">
        <f>IFERROR(OLDBD[[#This Row],[Ingreso Packing]]-OLDBD[[#This Row],[Registro en Packing]],"")</f>
        <v>-1.0187499999956344</v>
      </c>
      <c r="AV169" s="9">
        <f>IFERROR(OLDBD[[#This Row],[Ingreso Packing]]-OLDBD[[#This Row],[Llegada a packing]],"")</f>
        <v>2.9166666667151731E-2</v>
      </c>
      <c r="AW1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69" s="5">
        <f>IFERROR(OLDBD[[#This Row],[Llegada Almacén de Ingreso]]-OLDBD[[#This Row],[Salida Packing]],"")</f>
        <v>0.69791666666424135</v>
      </c>
      <c r="AY169" s="4" t="str" cm="1">
        <f t="array" ref="AY1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169" s="43" t="s">
        <v>173</v>
      </c>
      <c r="BB169" s="47" t="str">
        <f>IFERROR(IF(MARÍTIMOS[[#This Row],[Estatus]]="","",MARÍTIMOS[[#This Row],[Estatus]]),"")</f>
        <v>Confirmado</v>
      </c>
      <c r="BC169" s="43"/>
      <c r="BD169" s="46">
        <f>IFERROR(OLDBD[[#This Row],[Salida de almacén de retiro]]-OLDBD[[#This Row],[Ingreso Almacén de retiro]],"")</f>
        <v>0.33541666666860692</v>
      </c>
      <c r="BE169" s="46">
        <f>IFERROR(OLDBD[[#This Row],[Fin de Carga]]-OLDBD[[#This Row],[Inicio de Carga]],"")</f>
        <v>0.21736111111385981</v>
      </c>
    </row>
    <row r="170" spans="1:57" customFormat="1" hidden="1">
      <c r="A170" s="1"/>
      <c r="B170" s="1">
        <f>IFERROR(IF(MARÍTIMOS[[#This Row],[PP]]="","",MARÍTIMOS[[#This Row],[PP]]),"")</f>
        <v>24</v>
      </c>
      <c r="C170" s="1" t="str">
        <f>IFERROR(IF(MARÍTIMOS[[#This Row],[Sede]]="","",MARÍTIMOS[[#This Row],[Sede]]),"")</f>
        <v>Chao</v>
      </c>
      <c r="D170" s="1" t="str">
        <f>IFERROR(IF(MARÍTIMOS[[#This Row],[Instruction]]="","",MARÍTIMOS[[#This Row],[Instruction]]),"")</f>
        <v>RH-0052</v>
      </c>
      <c r="E170" s="1"/>
      <c r="F170" s="2" t="str">
        <f>IFERROR(IF(MARÍTIMOS[[#This Row],[Transportista]]="","",MARÍTIMOS[[#This Row],[Transportista]]),"")</f>
        <v>LIP</v>
      </c>
      <c r="G170" s="2" t="str">
        <f>IFERROR(IF(MARÍTIMOS[[#This Row],[Tercero]]="","",MARÍTIMOS[[#This Row],[Tercero]]),"")</f>
        <v>NO</v>
      </c>
      <c r="H170" s="2" t="str">
        <f>IFERROR(IF(MARÍTIMOS[[#This Row],[Razón Social]]="","",MARÍTIMOS[[#This Row],[Razón Social]]),"")</f>
        <v>LOGISTICA INTERMODAL DEL PERU S.A.C.</v>
      </c>
      <c r="I170" s="2">
        <f>IFERROR(IF(MARÍTIMOS[[#This Row],[RUC]]="","",MARÍTIMOS[[#This Row],[RUC]]),"")</f>
        <v>20513040718</v>
      </c>
      <c r="J170" s="2" t="str">
        <f>IFERROR(IF(MARÍTIMOS[[#This Row],[Placa Tracto]]="","",MARÍTIMOS[[#This Row],[Placa Tracto]]),"")</f>
        <v>BFN-739</v>
      </c>
      <c r="K170" s="2" t="str">
        <f>IFERROR(IF(MARÍTIMOS[[#This Row],[Placa Carreta]]="","",MARÍTIMOS[[#This Row],[Placa Carreta]]),"")</f>
        <v>BVY-973</v>
      </c>
      <c r="L170" s="44" t="str">
        <f>IFERROR(IF(MARÍTIMOS[[#This Row],[Conductor]]="","",MARÍTIMOS[[#This Row],[Conductor]]),"")</f>
        <v>HERNANDEZ REYES HERISERI DAVID</v>
      </c>
      <c r="M170" s="2" t="str">
        <f>IFERROR(IF(MARÍTIMOS[[#This Row],[Licencia]]="","",MARÍTIMOS[[#This Row],[Licencia]]),"")</f>
        <v>Q42930147</v>
      </c>
      <c r="N170" s="2" t="str">
        <f>IFERROR(IF(MARÍTIMOS[[#This Row],[Número de Contacto]]="","",MARÍTIMOS[[#This Row],[Número de Contacto]]),"")</f>
        <v/>
      </c>
      <c r="O170" s="10">
        <f>IFERROR(IF(MARÍTIMOS[[#This Row],[Booking|AWB|CRT]]="","",MARÍTIMOS[[#This Row],[Booking|AWB|CRT]]),"")</f>
        <v>6504759580</v>
      </c>
      <c r="P170" s="2" t="str">
        <f>IFERROR(IF(MARÍTIMOS[[#This Row],[Contenedor]]="","",MARÍTIMOS[[#This Row],[Contenedor]]),"")</f>
        <v>OERU4400719</v>
      </c>
      <c r="Q170" s="2" t="str">
        <f>IFERROR(IF(MARÍTIMOS[[#This Row],[Puerto de Retiro]]="","",MARÍTIMOS[[#This Row],[Puerto de Retiro]]),"")</f>
        <v>CHANCAY</v>
      </c>
      <c r="R170" s="2" t="str">
        <f>IFERROR(IF(MARÍTIMOS[[#This Row],[Almacén de Retiro]]="","",MARÍTIMOS[[#This Row],[Almacén de Retiro]]),"")</f>
        <v>CSPCP</v>
      </c>
      <c r="S170" s="11">
        <f>IFERROR(IF(MARÍTIMOS[[#This Row],[Etapa Retiro - Cita]]="","",MARÍTIMOS[[#This Row],[Etapa Retiro - Cita]]),"")</f>
        <v>46188.541666666664</v>
      </c>
      <c r="T170" s="11">
        <f>IFERROR(IF(MARÍTIMOS[[#This Row],[Etapa Retiro - Llegada]]="","",MARÍTIMOS[[#This Row],[Etapa Retiro - Llegada]]),"")</f>
        <v>46188.549305555556</v>
      </c>
      <c r="U170" s="11">
        <f>IFERROR(IF(MARÍTIMOS[[#This Row],[Etapa Retiro - Ingreso]]="","",MARÍTIMOS[[#This Row],[Etapa Retiro - Ingreso]]),"")</f>
        <v>46188.552083333336</v>
      </c>
      <c r="V170" s="11">
        <f>IFERROR(IF(MARÍTIMOS[[#This Row],[Etapa Retiro - Atención]]="","",MARÍTIMOS[[#This Row],[Etapa Retiro - Atención]]),"")</f>
        <v>46188.604166666664</v>
      </c>
      <c r="W170" s="11">
        <f>IFERROR(IF(MARÍTIMOS[[#This Row],[Etapa Retiro - Atención]]="","",MARÍTIMOS[[#This Row],[Etapa Retiro - Atención]]),"")</f>
        <v>46188.604166666664</v>
      </c>
      <c r="X170" s="11">
        <f>IFERROR(IF(MARÍTIMOS[[#This Row],[Etapa Retiro - Inicio de Ruta]]="","",MARÍTIMOS[[#This Row],[Etapa Retiro - Inicio de Ruta]]),"")</f>
        <v>46188.958333333336</v>
      </c>
      <c r="Y170" s="11">
        <f>IFERROR(IF(MARÍTIMOS[[#This Row],[Hora de Posicionamiento]]="","",MARÍTIMOS[[#This Row],[Fecha de Carga]]+MARÍTIMOS[[#This Row],[Hora de Posicionamiento]]),"")</f>
        <v>46189.583333333336</v>
      </c>
      <c r="Z170" s="11">
        <f>IFERROR(IF(MARÍTIMOS[[#This Row],[Etapa Despacho - Llegada]]="","",MARÍTIMOS[[#This Row],[Etapa Despacho - Llegada]]),"")</f>
        <v>46189.583333333336</v>
      </c>
      <c r="AA170" s="11">
        <f>IFERROR(IF(MARÍTIMOS[[#This Row],[Etapa Despacho - Registro]]="","",MARÍTIMOS[[#This Row],[Etapa Despacho - Registro]]),"")</f>
        <v>46190.416666666664</v>
      </c>
      <c r="AB170" s="11">
        <f>IFERROR(IF(MARÍTIMOS[[#This Row],[Inspección Externa]]="","",MARÍTIMOS[[#This Row],[Inspección Externa]]),"")</f>
        <v>46189.486111111109</v>
      </c>
      <c r="AC170" s="11">
        <f>IFERROR(IF(MARÍTIMOS[[#This Row],[Etapa Despacho - Inicio de Carga]]="","",MARÍTIMOS[[#This Row],[Etapa Despacho - Inicio de Carga]]),"")</f>
        <v>46189.527777777781</v>
      </c>
      <c r="AD170" s="11">
        <f>IFERROR(IF(MARÍTIMOS[[#This Row],[Etapa Despacho - Mitad de Carga]]="","",MARÍTIMOS[[#This Row],[Etapa Despacho - Mitad de Carga]]),"")</f>
        <v>46189.690972222219</v>
      </c>
      <c r="AE170" s="11">
        <f>IFERROR(IF(MARÍTIMOS[[#This Row],[Etapa Despacho - Fin de Carga]]="","",MARÍTIMOS[[#This Row],[Etapa Despacho - Fin de Carga]]),"")</f>
        <v>46189.708333333336</v>
      </c>
      <c r="AF170" s="2" t="str">
        <f>IFERROR(IF(MARÍTIMOS[[#This Row],[Puerto de Embarque]]="","",MARÍTIMOS[[#This Row],[Puerto de Embarque]]),"")</f>
        <v>CHANCAY</v>
      </c>
      <c r="AG170" s="2" t="str">
        <f>IFERROR(IF(MARÍTIMOS[[#This Row],[Almacén de Ingreso]]="","",MARÍTIMOS[[#This Row],[Almacén de Ingreso]]),"")</f>
        <v>CSPCP</v>
      </c>
      <c r="AH170" s="11">
        <f>IFERROR(IF(MARÍTIMOS[[#This Row],[Etapa Ingreso - Cita]]="","",MARÍTIMOS[[#This Row],[Etapa Ingreso - Cita]]),"")</f>
        <v>46190.208333333336</v>
      </c>
      <c r="AI170" s="11">
        <f>IFERROR(IF(MARÍTIMOS[[#This Row],[Etapa Ingreso - Llegada]]="","",MARÍTIMOS[[#This Row],[Etapa Ingreso - Llegada]]),"")</f>
        <v>46190.400694444441</v>
      </c>
      <c r="AJ170" s="11">
        <f>IFERROR(IF(MARÍTIMOS[[#This Row],[Etapa Ingreso - Ingeso]]="","",MARÍTIMOS[[#This Row],[Etapa Ingreso - Ingeso]]),"")</f>
        <v>46190.538888888892</v>
      </c>
      <c r="AK170" s="11">
        <f>IFERROR(IF(MARÍTIMOS[[#This Row],[Etapa Ingreso - Atención]]="","",MARÍTIMOS[[#This Row],[Etapa Ingreso - Atención]]),"")</f>
        <v>46190.558333333334</v>
      </c>
      <c r="AL170" s="11">
        <f>IFERROR(IF(MARÍTIMOS[[#This Row],[Etapa Ingreso - Salida]]="","",MARÍTIMOS[[#This Row],[Etapa Ingreso - Salida]]),"")</f>
        <v>46190.570833333331</v>
      </c>
      <c r="AM170" s="2">
        <f>IFERROR(IF(MARÍTIMOS[[#This Row],[FCL]]="","",MARÍTIMOS[[#This Row],[FCL]]),"")</f>
        <v>1</v>
      </c>
      <c r="AN1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0" s="4" t="str" cm="1">
        <f t="array" ref="AO1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70" s="5">
        <f>IFERROR(OLDBD[[#This Row],[Llegada a packing]]-OLDBD[[#This Row],[Inicio de Ruta]],"")</f>
        <v>0.625</v>
      </c>
      <c r="AQ170" s="6">
        <f>IFERROR(OLDBD[[#This Row],[Inicio de Ruta]]-OLDBD[[#This Row],[Salida de almacén de retiro]],"")</f>
        <v>0.35416666667151731</v>
      </c>
      <c r="AR1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0" s="8" t="str" cm="1">
        <f t="array" ref="AS1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0" s="9">
        <f>IFERROR(OLDBD[[#This Row],[Ingreso Packing]]-OLDBD[[#This Row],[Registro en Packing]],"")</f>
        <v>-0.93055555555474712</v>
      </c>
      <c r="AV170" s="9">
        <f>IFERROR(OLDBD[[#This Row],[Ingreso Packing]]-OLDBD[[#This Row],[Llegada a packing]],"")</f>
        <v>-9.7222222226264421E-2</v>
      </c>
      <c r="AW1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70" s="5">
        <f>IFERROR(OLDBD[[#This Row],[Llegada Almacén de Ingreso]]-OLDBD[[#This Row],[Salida Packing]],"")</f>
        <v>0.69236111110512866</v>
      </c>
      <c r="AY170" s="4" t="str" cm="1">
        <f t="array" ref="AY1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0" s="43" t="s">
        <v>173</v>
      </c>
      <c r="BB170" s="47" t="str">
        <f>IFERROR(IF(MARÍTIMOS[[#This Row],[Estatus]]="","",MARÍTIMOS[[#This Row],[Estatus]]),"")</f>
        <v>Confirmado</v>
      </c>
      <c r="BC170" s="43"/>
      <c r="BD170" s="46">
        <f>IFERROR(OLDBD[[#This Row],[Salida de almacén de retiro]]-OLDBD[[#This Row],[Ingreso Almacén de retiro]],"")</f>
        <v>5.2083333328482695E-2</v>
      </c>
      <c r="BE170" s="46">
        <f>IFERROR(OLDBD[[#This Row],[Fin de Carga]]-OLDBD[[#This Row],[Inicio de Carga]],"")</f>
        <v>0.16319444443797693</v>
      </c>
    </row>
    <row r="171" spans="1:57" customFormat="1" hidden="1">
      <c r="A171" s="1"/>
      <c r="B171" s="1">
        <f>IFERROR(IF(MARÍTIMOS[[#This Row],[PP]]="","",MARÍTIMOS[[#This Row],[PP]]),"")</f>
        <v>25</v>
      </c>
      <c r="C171" s="1" t="str">
        <f>IFERROR(IF(MARÍTIMOS[[#This Row],[Sede]]="","",MARÍTIMOS[[#This Row],[Sede]]),"")</f>
        <v>Chao</v>
      </c>
      <c r="D171" s="1" t="str">
        <f>IFERROR(IF(MARÍTIMOS[[#This Row],[Instruction]]="","",MARÍTIMOS[[#This Row],[Instruction]]),"")</f>
        <v>RH-0063</v>
      </c>
      <c r="E171" s="1"/>
      <c r="F171" s="2" t="str">
        <f>IFERROR(IF(MARÍTIMOS[[#This Row],[Transportista]]="","",MARÍTIMOS[[#This Row],[Transportista]]),"")</f>
        <v>LIP</v>
      </c>
      <c r="G171" s="2" t="str">
        <f>IFERROR(IF(MARÍTIMOS[[#This Row],[Tercero]]="","",MARÍTIMOS[[#This Row],[Tercero]]),"")</f>
        <v>NO</v>
      </c>
      <c r="H171" s="2" t="str">
        <f>IFERROR(IF(MARÍTIMOS[[#This Row],[Razón Social]]="","",MARÍTIMOS[[#This Row],[Razón Social]]),"")</f>
        <v>LOGISTICA INTERMODAL DEL PERU S.A.C.</v>
      </c>
      <c r="I171" s="2">
        <f>IFERROR(IF(MARÍTIMOS[[#This Row],[RUC]]="","",MARÍTIMOS[[#This Row],[RUC]]),"")</f>
        <v>20513040718</v>
      </c>
      <c r="J171" s="2" t="str">
        <f>IFERROR(IF(MARÍTIMOS[[#This Row],[Placa Tracto]]="","",MARÍTIMOS[[#This Row],[Placa Tracto]]),"")</f>
        <v>AYO-923</v>
      </c>
      <c r="K171" s="2" t="str">
        <f>IFERROR(IF(MARÍTIMOS[[#This Row],[Placa Carreta]]="","",MARÍTIMOS[[#This Row],[Placa Carreta]]),"")</f>
        <v>ANE-991</v>
      </c>
      <c r="L171" s="44" t="str">
        <f>IFERROR(IF(MARÍTIMOS[[#This Row],[Conductor]]="","",MARÍTIMOS[[#This Row],[Conductor]]),"")</f>
        <v>MATIAS ORTIZ LUIS ANGEL</v>
      </c>
      <c r="M171" s="2" t="str">
        <f>IFERROR(IF(MARÍTIMOS[[#This Row],[Licencia]]="","",MARÍTIMOS[[#This Row],[Licencia]]),"")</f>
        <v>Q41615893</v>
      </c>
      <c r="N171" s="2" t="str">
        <f>IFERROR(IF(MARÍTIMOS[[#This Row],[Número de Contacto]]="","",MARÍTIMOS[[#This Row],[Número de Contacto]]),"")</f>
        <v/>
      </c>
      <c r="O171" s="10" t="str">
        <f>IFERROR(IF(MARÍTIMOS[[#This Row],[Booking|AWB|CRT]]="","",MARÍTIMOS[[#This Row],[Booking|AWB|CRT]]),"")</f>
        <v>LIM600213700</v>
      </c>
      <c r="P171" s="2" t="str">
        <f>IFERROR(IF(MARÍTIMOS[[#This Row],[Contenedor]]="","",MARÍTIMOS[[#This Row],[Contenedor]]),"")</f>
        <v>PCIU6123677</v>
      </c>
      <c r="Q171" s="2" t="str">
        <f>IFERROR(IF(MARÍTIMOS[[#This Row],[Puerto de Retiro]]="","",MARÍTIMOS[[#This Row],[Puerto de Retiro]]),"")</f>
        <v>CALLAO</v>
      </c>
      <c r="R171" s="2" t="str">
        <f>IFERROR(IF(MARÍTIMOS[[#This Row],[Almacén de Retiro]]="","",MARÍTIMOS[[#This Row],[Almacén de Retiro]]),"")</f>
        <v>DPW</v>
      </c>
      <c r="S171" s="11">
        <f>IFERROR(IF(MARÍTIMOS[[#This Row],[Etapa Retiro - Cita]]="","",MARÍTIMOS[[#This Row],[Etapa Retiro - Cita]]),"")</f>
        <v>46192.708333333336</v>
      </c>
      <c r="T171" s="11">
        <f>IFERROR(IF(MARÍTIMOS[[#This Row],[Etapa Retiro - Llegada]]="","",MARÍTIMOS[[#This Row],[Etapa Retiro - Llegada]]),"")</f>
        <v>46192.743750000001</v>
      </c>
      <c r="U171" s="11">
        <f>IFERROR(IF(MARÍTIMOS[[#This Row],[Etapa Retiro - Ingreso]]="","",MARÍTIMOS[[#This Row],[Etapa Retiro - Ingreso]]),"")</f>
        <v>46192.762499999997</v>
      </c>
      <c r="V171" s="11">
        <f>IFERROR(IF(MARÍTIMOS[[#This Row],[Etapa Retiro - Atención]]="","",MARÍTIMOS[[#This Row],[Etapa Retiro - Atención]]),"")</f>
        <v>46192.868055555555</v>
      </c>
      <c r="W171" s="11">
        <f>IFERROR(IF(MARÍTIMOS[[#This Row],[Etapa Retiro - Atención]]="","",MARÍTIMOS[[#This Row],[Etapa Retiro - Atención]]),"")</f>
        <v>46192.868055555555</v>
      </c>
      <c r="X171" s="11">
        <f>IFERROR(IF(MARÍTIMOS[[#This Row],[Etapa Retiro - Inicio de Ruta]]="","",MARÍTIMOS[[#This Row],[Etapa Retiro - Inicio de Ruta]]),"")</f>
        <v>46192.875</v>
      </c>
      <c r="Y171" s="11">
        <f>IFERROR(IF(MARÍTIMOS[[#This Row],[Hora de Posicionamiento]]="","",MARÍTIMOS[[#This Row],[Fecha de Carga]]+MARÍTIMOS[[#This Row],[Hora de Posicionamiento]]),"")</f>
        <v>46193.604166666664</v>
      </c>
      <c r="Z171" s="11">
        <f>IFERROR(IF(MARÍTIMOS[[#This Row],[Etapa Despacho - Llegada]]="","",MARÍTIMOS[[#This Row],[Etapa Despacho - Llegada]]),"")</f>
        <v>46193.597222222219</v>
      </c>
      <c r="AA171" s="11">
        <f>IFERROR(IF(MARÍTIMOS[[#This Row],[Etapa Despacho - Registro]]="","",MARÍTIMOS[[#This Row],[Etapa Despacho - Registro]]),"")</f>
        <v>46193.75</v>
      </c>
      <c r="AB171" s="11">
        <f>IFERROR(IF(MARÍTIMOS[[#This Row],[Inspección Externa]]="","",MARÍTIMOS[[#This Row],[Inspección Externa]]),"")</f>
        <v>46193.611111111109</v>
      </c>
      <c r="AC171" s="11">
        <f>IFERROR(IF(MARÍTIMOS[[#This Row],[Etapa Despacho - Inicio de Carga]]="","",MARÍTIMOS[[#This Row],[Etapa Despacho - Inicio de Carga]]),"")</f>
        <v>46193.625</v>
      </c>
      <c r="AD171" s="11">
        <f>IFERROR(IF(MARÍTIMOS[[#This Row],[Etapa Despacho - Mitad de Carga]]="","",MARÍTIMOS[[#This Row],[Etapa Despacho - Mitad de Carga]]),"")</f>
        <v>46193.773611111108</v>
      </c>
      <c r="AE171" s="11">
        <f>IFERROR(IF(MARÍTIMOS[[#This Row],[Etapa Despacho - Fin de Carga]]="","",MARÍTIMOS[[#This Row],[Etapa Despacho - Fin de Carga]]),"")</f>
        <v>46193.791666666664</v>
      </c>
      <c r="AF171" s="2" t="str">
        <f>IFERROR(IF(MARÍTIMOS[[#This Row],[Puerto de Embarque]]="","",MARÍTIMOS[[#This Row],[Puerto de Embarque]]),"")</f>
        <v>CALLAO</v>
      </c>
      <c r="AG171" s="2" t="str">
        <f>IFERROR(IF(MARÍTIMOS[[#This Row],[Almacén de Ingreso]]="","",MARÍTIMOS[[#This Row],[Almacén de Ingreso]]),"")</f>
        <v>DPW</v>
      </c>
      <c r="AH171" s="11">
        <f>IFERROR(IF(MARÍTIMOS[[#This Row],[Etapa Ingreso - Cita]]="","",MARÍTIMOS[[#This Row],[Etapa Ingreso - Cita]]),"")</f>
        <v>46194.708333333336</v>
      </c>
      <c r="AI171" s="11">
        <f>IFERROR(IF(MARÍTIMOS[[#This Row],[Etapa Ingreso - Llegada]]="","",MARÍTIMOS[[#This Row],[Etapa Ingreso - Llegada]]),"")</f>
        <v>46194.743750000001</v>
      </c>
      <c r="AJ171" s="11">
        <f>IFERROR(IF(MARÍTIMOS[[#This Row],[Etapa Ingreso - Ingeso]]="","",MARÍTIMOS[[#This Row],[Etapa Ingreso - Ingeso]]),"")</f>
        <v>46194.762499999997</v>
      </c>
      <c r="AK171" s="11">
        <f>IFERROR(IF(MARÍTIMOS[[#This Row],[Etapa Ingreso - Atención]]="","",MARÍTIMOS[[#This Row],[Etapa Ingreso - Atención]]),"")</f>
        <v>46194.872916666667</v>
      </c>
      <c r="AL171" s="11">
        <f>IFERROR(IF(MARÍTIMOS[[#This Row],[Etapa Ingreso - Salida]]="","",MARÍTIMOS[[#This Row],[Etapa Ingreso - Salida]]),"")</f>
        <v>46194.872916666667</v>
      </c>
      <c r="AM171" s="2">
        <f>IFERROR(IF(MARÍTIMOS[[#This Row],[FCL]]="","",MARÍTIMOS[[#This Row],[FCL]]),"")</f>
        <v>1</v>
      </c>
      <c r="AN1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1" s="4" t="str" cm="1">
        <f t="array" ref="AO1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71" s="5">
        <f>IFERROR(OLDBD[[#This Row],[Llegada a packing]]-OLDBD[[#This Row],[Inicio de Ruta]],"")</f>
        <v>0.72222222221898846</v>
      </c>
      <c r="AQ171" s="6">
        <f>IFERROR(OLDBD[[#This Row],[Inicio de Ruta]]-OLDBD[[#This Row],[Salida de almacén de retiro]],"")</f>
        <v>6.9444444452528842E-3</v>
      </c>
      <c r="AR1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1" s="8" t="str" cm="1">
        <f t="array" ref="AS1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1" s="9">
        <f>IFERROR(OLDBD[[#This Row],[Ingreso Packing]]-OLDBD[[#This Row],[Registro en Packing]],"")</f>
        <v>-0.13888888889050577</v>
      </c>
      <c r="AV171" s="9">
        <f>IFERROR(OLDBD[[#This Row],[Ingreso Packing]]-OLDBD[[#This Row],[Llegada a packing]],"")</f>
        <v>1.3888888890505768E-2</v>
      </c>
      <c r="AW1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71" s="5">
        <f>IFERROR(OLDBD[[#This Row],[Llegada Almacén de Ingreso]]-OLDBD[[#This Row],[Salida Packing]],"")</f>
        <v>0.95208333333721384</v>
      </c>
      <c r="AY171" s="4" t="str" cm="1">
        <f t="array" ref="AY1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1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1" s="43" t="s">
        <v>173</v>
      </c>
      <c r="BB171" s="47" t="str">
        <f>IFERROR(IF(MARÍTIMOS[[#This Row],[Estatus]]="","",MARÍTIMOS[[#This Row],[Estatus]]),"")</f>
        <v>Confirmado</v>
      </c>
      <c r="BC171" s="43"/>
      <c r="BD171" s="46">
        <f>IFERROR(OLDBD[[#This Row],[Salida de almacén de retiro]]-OLDBD[[#This Row],[Ingreso Almacén de retiro]],"")</f>
        <v>0.1055555555576575</v>
      </c>
      <c r="BE171" s="46">
        <f>IFERROR(OLDBD[[#This Row],[Fin de Carga]]-OLDBD[[#This Row],[Inicio de Carga]],"")</f>
        <v>0.14861111110803904</v>
      </c>
    </row>
    <row r="172" spans="1:57" customFormat="1" hidden="1">
      <c r="A172" s="1"/>
      <c r="B172" s="1">
        <f>IFERROR(IF(MARÍTIMOS[[#This Row],[PP]]="","",MARÍTIMOS[[#This Row],[PP]]),"")</f>
        <v>25</v>
      </c>
      <c r="C172" s="1" t="str">
        <f>IFERROR(IF(MARÍTIMOS[[#This Row],[Sede]]="","",MARÍTIMOS[[#This Row],[Sede]]),"")</f>
        <v>Chao</v>
      </c>
      <c r="D172" s="1" t="str">
        <f>IFERROR(IF(MARÍTIMOS[[#This Row],[Instruction]]="","",MARÍTIMOS[[#This Row],[Instruction]]),"")</f>
        <v>RH-0067</v>
      </c>
      <c r="E172" s="1"/>
      <c r="F172" s="2" t="str">
        <f>IFERROR(IF(MARÍTIMOS[[#This Row],[Transportista]]="","",MARÍTIMOS[[#This Row],[Transportista]]),"")</f>
        <v>LIP</v>
      </c>
      <c r="G172" s="2" t="str">
        <f>IFERROR(IF(MARÍTIMOS[[#This Row],[Tercero]]="","",MARÍTIMOS[[#This Row],[Tercero]]),"")</f>
        <v>SI</v>
      </c>
      <c r="H172" s="2" t="str">
        <f>IFERROR(IF(MARÍTIMOS[[#This Row],[Razón Social]]="","",MARÍTIMOS[[#This Row],[Razón Social]]),"")</f>
        <v>TRANSPORTES PEDRO ARELLANO S.A.C.</v>
      </c>
      <c r="I172" s="2">
        <f>IFERROR(IF(MARÍTIMOS[[#This Row],[RUC]]="","",MARÍTIMOS[[#This Row],[RUC]]),"")</f>
        <v>20102178140</v>
      </c>
      <c r="J172" s="2" t="str">
        <f>IFERROR(IF(MARÍTIMOS[[#This Row],[Placa Tracto]]="","",MARÍTIMOS[[#This Row],[Placa Tracto]]),"")</f>
        <v>ARC-745</v>
      </c>
      <c r="K172" s="2" t="str">
        <f>IFERROR(IF(MARÍTIMOS[[#This Row],[Placa Carreta]]="","",MARÍTIMOS[[#This Row],[Placa Carreta]]),"")</f>
        <v>C9H-981</v>
      </c>
      <c r="L172" s="44" t="str">
        <f>IFERROR(IF(MARÍTIMOS[[#This Row],[Conductor]]="","",MARÍTIMOS[[#This Row],[Conductor]]),"")</f>
        <v>JAVIER TANTAVILCA EDGAR PEDRO</v>
      </c>
      <c r="M172" s="2" t="str">
        <f>IFERROR(IF(MARÍTIMOS[[#This Row],[Licencia]]="","",MARÍTIMOS[[#This Row],[Licencia]]),"")</f>
        <v>Q10602434</v>
      </c>
      <c r="N172" s="2" t="str">
        <f>IFERROR(IF(MARÍTIMOS[[#This Row],[Número de Contacto]]="","",MARÍTIMOS[[#This Row],[Número de Contacto]]),"")</f>
        <v/>
      </c>
      <c r="O172" s="10">
        <f>IFERROR(IF(MARÍTIMOS[[#This Row],[Booking|AWB|CRT]]="","",MARÍTIMOS[[#This Row],[Booking|AWB|CRT]]),"")</f>
        <v>751600033678</v>
      </c>
      <c r="P172" s="2" t="str">
        <f>IFERROR(IF(MARÍTIMOS[[#This Row],[Contenedor]]="","",MARÍTIMOS[[#This Row],[Contenedor]]),"")</f>
        <v>EMCU5725738</v>
      </c>
      <c r="Q172" s="2" t="str">
        <f>IFERROR(IF(MARÍTIMOS[[#This Row],[Puerto de Retiro]]="","",MARÍTIMOS[[#This Row],[Puerto de Retiro]]),"")</f>
        <v>CALLAO</v>
      </c>
      <c r="R172" s="2" t="str">
        <f>IFERROR(IF(MARÍTIMOS[[#This Row],[Almacén de Retiro]]="","",MARÍTIMOS[[#This Row],[Almacén de Retiro]]),"")</f>
        <v>TPP</v>
      </c>
      <c r="S172" s="11">
        <f>IFERROR(IF(MARÍTIMOS[[#This Row],[Etapa Retiro - Cita]]="","",MARÍTIMOS[[#This Row],[Etapa Retiro - Cita]]),"")</f>
        <v>46193.916666666664</v>
      </c>
      <c r="T172" s="11">
        <f>IFERROR(IF(MARÍTIMOS[[#This Row],[Etapa Retiro - Llegada]]="","",MARÍTIMOS[[#This Row],[Etapa Retiro - Llegada]]),"")</f>
        <v>46193.955555555556</v>
      </c>
      <c r="U172" s="11">
        <f>IFERROR(IF(MARÍTIMOS[[#This Row],[Etapa Retiro - Ingreso]]="","",MARÍTIMOS[[#This Row],[Etapa Retiro - Ingreso]]),"")</f>
        <v>46193.981249999997</v>
      </c>
      <c r="V172" s="11">
        <f>IFERROR(IF(MARÍTIMOS[[#This Row],[Etapa Retiro - Atención]]="","",MARÍTIMOS[[#This Row],[Etapa Retiro - Atención]]),"")</f>
        <v>46193.958333333336</v>
      </c>
      <c r="W172" s="11">
        <f>IFERROR(IF(MARÍTIMOS[[#This Row],[Etapa Retiro - Atención]]="","",MARÍTIMOS[[#This Row],[Etapa Retiro - Atención]]),"")</f>
        <v>46193.958333333336</v>
      </c>
      <c r="X172" s="11">
        <f>IFERROR(IF(MARÍTIMOS[[#This Row],[Etapa Retiro - Inicio de Ruta]]="","",MARÍTIMOS[[#This Row],[Etapa Retiro - Inicio de Ruta]]),"")</f>
        <v>46194.041666666664</v>
      </c>
      <c r="Y172" s="11">
        <f>IFERROR(IF(MARÍTIMOS[[#This Row],[Hora de Posicionamiento]]="","",MARÍTIMOS[[#This Row],[Fecha de Carga]]+MARÍTIMOS[[#This Row],[Hora de Posicionamiento]]),"")</f>
        <v>46195.645833333336</v>
      </c>
      <c r="Z172" s="11">
        <f>IFERROR(IF(MARÍTIMOS[[#This Row],[Etapa Despacho - Llegada]]="","",MARÍTIMOS[[#This Row],[Etapa Despacho - Llegada]]),"")</f>
        <v>46195.503472222219</v>
      </c>
      <c r="AA172" s="11">
        <f>IFERROR(IF(MARÍTIMOS[[#This Row],[Etapa Despacho - Registro]]="","",MARÍTIMOS[[#This Row],[Etapa Despacho - Registro]]),"")</f>
        <v>46196.402777777781</v>
      </c>
      <c r="AB172" s="11">
        <f>IFERROR(IF(MARÍTIMOS[[#This Row],[Inspección Externa]]="","",MARÍTIMOS[[#This Row],[Inspección Externa]]),"")</f>
        <v>46195.510416666664</v>
      </c>
      <c r="AC172" s="11">
        <f>IFERROR(IF(MARÍTIMOS[[#This Row],[Etapa Despacho - Inicio de Carga]]="","",MARÍTIMOS[[#This Row],[Etapa Despacho - Inicio de Carga]]),"")</f>
        <v>46195.520833333336</v>
      </c>
      <c r="AD172" s="11">
        <f>IFERROR(IF(MARÍTIMOS[[#This Row],[Etapa Despacho - Mitad de Carga]]="","",MARÍTIMOS[[#This Row],[Etapa Despacho - Mitad de Carga]]),"")</f>
        <v>46198.432638888888</v>
      </c>
      <c r="AE172" s="11">
        <f>IFERROR(IF(MARÍTIMOS[[#This Row],[Etapa Despacho - Fin de Carga]]="","",MARÍTIMOS[[#This Row],[Etapa Despacho - Fin de Carga]]),"")</f>
        <v>46198.453472222223</v>
      </c>
      <c r="AF172" s="2" t="str">
        <f>IFERROR(IF(MARÍTIMOS[[#This Row],[Puerto de Embarque]]="","",MARÍTIMOS[[#This Row],[Puerto de Embarque]]),"")</f>
        <v>CALLAO</v>
      </c>
      <c r="AG172" s="2" t="str">
        <f>IFERROR(IF(MARÍTIMOS[[#This Row],[Almacén de Ingreso]]="","",MARÍTIMOS[[#This Row],[Almacén de Ingreso]]),"")</f>
        <v>DPW</v>
      </c>
      <c r="AH172" s="11">
        <f>IFERROR(IF(MARÍTIMOS[[#This Row],[Etapa Ingreso - Cita]]="","",MARÍTIMOS[[#This Row],[Etapa Ingreso - Cita]]),"")</f>
        <v>46196.375</v>
      </c>
      <c r="AI172" s="11">
        <f>IFERROR(IF(MARÍTIMOS[[#This Row],[Etapa Ingreso - Llegada]]="","",MARÍTIMOS[[#This Row],[Etapa Ingreso - Llegada]]),"")</f>
        <v>46196.386111111111</v>
      </c>
      <c r="AJ172" s="11">
        <f>IFERROR(IF(MARÍTIMOS[[#This Row],[Etapa Ingreso - Ingeso]]="","",MARÍTIMOS[[#This Row],[Etapa Ingreso - Ingeso]]),"")</f>
        <v>46196.486805555556</v>
      </c>
      <c r="AK172" s="11">
        <f>IFERROR(IF(MARÍTIMOS[[#This Row],[Etapa Ingreso - Atención]]="","",MARÍTIMOS[[#This Row],[Etapa Ingreso - Atención]]),"")</f>
        <v>46196.496527777781</v>
      </c>
      <c r="AL172" s="11">
        <f>IFERROR(IF(MARÍTIMOS[[#This Row],[Etapa Ingreso - Salida]]="","",MARÍTIMOS[[#This Row],[Etapa Ingreso - Salida]]),"")</f>
        <v>46196.49722222222</v>
      </c>
      <c r="AM172" s="2">
        <f>IFERROR(IF(MARÍTIMOS[[#This Row],[FCL]]="","",MARÍTIMOS[[#This Row],[FCL]]),"")</f>
        <v>1</v>
      </c>
      <c r="AN1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2" s="4" t="str" cm="1">
        <f t="array" ref="AO1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72" s="5">
        <f>IFERROR(OLDBD[[#This Row],[Llegada a packing]]-OLDBD[[#This Row],[Inicio de Ruta]],"")</f>
        <v>1.4618055555547471</v>
      </c>
      <c r="AQ172" s="6">
        <f>IFERROR(OLDBD[[#This Row],[Inicio de Ruta]]-OLDBD[[#This Row],[Salida de almacén de retiro]],"")</f>
        <v>8.3333333328482695E-2</v>
      </c>
      <c r="AR1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2" s="8" t="str" cm="1">
        <f t="array" ref="AS1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1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2" s="9">
        <f>IFERROR(OLDBD[[#This Row],[Ingreso Packing]]-OLDBD[[#This Row],[Registro en Packing]],"")</f>
        <v>-0.89236111111677019</v>
      </c>
      <c r="AV172" s="9">
        <f>IFERROR(OLDBD[[#This Row],[Ingreso Packing]]-OLDBD[[#This Row],[Llegada a packing]],"")</f>
        <v>6.9444444452528842E-3</v>
      </c>
      <c r="AW1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172" s="5">
        <f>IFERROR(OLDBD[[#This Row],[Llegada Almacén de Ingreso]]-OLDBD[[#This Row],[Salida Packing]],"")</f>
        <v>-2.0673611111124046</v>
      </c>
      <c r="AY172" s="4" t="str" cm="1">
        <f t="array" ref="AY1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1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2" s="43" t="s">
        <v>173</v>
      </c>
      <c r="BB172" s="47" t="str">
        <f>IFERROR(IF(MARÍTIMOS[[#This Row],[Estatus]]="","",MARÍTIMOS[[#This Row],[Estatus]]),"")</f>
        <v>Confirmado</v>
      </c>
      <c r="BC172" s="43"/>
      <c r="BD172" s="46">
        <f>IFERROR(OLDBD[[#This Row],[Salida de almacén de retiro]]-OLDBD[[#This Row],[Ingreso Almacén de retiro]],"")</f>
        <v>-2.2916666661330964E-2</v>
      </c>
      <c r="BE172" s="46">
        <f>IFERROR(OLDBD[[#This Row],[Fin de Carga]]-OLDBD[[#This Row],[Inicio de Carga]],"")</f>
        <v>2.9118055555518367</v>
      </c>
    </row>
    <row r="173" spans="1:57" customFormat="1" hidden="1">
      <c r="A173" s="1"/>
      <c r="B173" s="1">
        <f>IFERROR(IF(MARÍTIMOS[[#This Row],[PP]]="","",MARÍTIMOS[[#This Row],[PP]]),"")</f>
        <v>25</v>
      </c>
      <c r="C173" s="1" t="str">
        <f>IFERROR(IF(MARÍTIMOS[[#This Row],[Sede]]="","",MARÍTIMOS[[#This Row],[Sede]]),"")</f>
        <v>Chao</v>
      </c>
      <c r="D173" s="1" t="str">
        <f>IFERROR(IF(MARÍTIMOS[[#This Row],[Instruction]]="","",MARÍTIMOS[[#This Row],[Instruction]]),"")</f>
        <v>RH-0068</v>
      </c>
      <c r="E173" s="1"/>
      <c r="F173" s="2" t="str">
        <f>IFERROR(IF(MARÍTIMOS[[#This Row],[Transportista]]="","",MARÍTIMOS[[#This Row],[Transportista]]),"")</f>
        <v>LIP</v>
      </c>
      <c r="G173" s="2" t="str">
        <f>IFERROR(IF(MARÍTIMOS[[#This Row],[Tercero]]="","",MARÍTIMOS[[#This Row],[Tercero]]),"")</f>
        <v>SI</v>
      </c>
      <c r="H173" s="2" t="str">
        <f>IFERROR(IF(MARÍTIMOS[[#This Row],[Razón Social]]="","",MARÍTIMOS[[#This Row],[Razón Social]]),"")</f>
        <v>LOGISTICA INTERMODAL DEL PERU S.A.C.</v>
      </c>
      <c r="I173" s="2">
        <f>IFERROR(IF(MARÍTIMOS[[#This Row],[RUC]]="","",MARÍTIMOS[[#This Row],[RUC]]),"")</f>
        <v>20513040718</v>
      </c>
      <c r="J173" s="2" t="str">
        <f>IFERROR(IF(MARÍTIMOS[[#This Row],[Placa Tracto]]="","",MARÍTIMOS[[#This Row],[Placa Tracto]]),"")</f>
        <v>BPG-947</v>
      </c>
      <c r="K173" s="2" t="str">
        <f>IFERROR(IF(MARÍTIMOS[[#This Row],[Placa Carreta]]="","",MARÍTIMOS[[#This Row],[Placa Carreta]]),"")</f>
        <v>C3H-979</v>
      </c>
      <c r="L173" s="44" t="str">
        <f>IFERROR(IF(MARÍTIMOS[[#This Row],[Conductor]]="","",MARÍTIMOS[[#This Row],[Conductor]]),"")</f>
        <v>CORREA ROMERO POMER IVAN</v>
      </c>
      <c r="M173" s="2" t="str">
        <f>IFERROR(IF(MARÍTIMOS[[#This Row],[Licencia]]="","",MARÍTIMOS[[#This Row],[Licencia]]),"")</f>
        <v>Q03127382</v>
      </c>
      <c r="N173" s="2" t="str">
        <f>IFERROR(IF(MARÍTIMOS[[#This Row],[Número de Contacto]]="","",MARÍTIMOS[[#This Row],[Número de Contacto]]),"")</f>
        <v/>
      </c>
      <c r="O173" s="10" t="str">
        <f>IFERROR(IF(MARÍTIMOS[[#This Row],[Booking|AWB|CRT]]="","",MARÍTIMOS[[#This Row],[Booking|AWB|CRT]]),"")</f>
        <v>LIM600222500</v>
      </c>
      <c r="P173" s="2" t="str">
        <f>IFERROR(IF(MARÍTIMOS[[#This Row],[Contenedor]]="","",MARÍTIMOS[[#This Row],[Contenedor]]),"")</f>
        <v>BEAU9733639</v>
      </c>
      <c r="Q173" s="2" t="str">
        <f>IFERROR(IF(MARÍTIMOS[[#This Row],[Puerto de Retiro]]="","",MARÍTIMOS[[#This Row],[Puerto de Retiro]]),"")</f>
        <v>CALLAO</v>
      </c>
      <c r="R173" s="2" t="str">
        <f>IFERROR(IF(MARÍTIMOS[[#This Row],[Almacén de Retiro]]="","",MARÍTIMOS[[#This Row],[Almacén de Retiro]]),"")</f>
        <v>CONTRANS</v>
      </c>
      <c r="S173" s="11">
        <f>IFERROR(IF(MARÍTIMOS[[#This Row],[Etapa Retiro - Cita]]="","",MARÍTIMOS[[#This Row],[Etapa Retiro - Cita]]),"")</f>
        <v>46194.5</v>
      </c>
      <c r="T173" s="11">
        <f>IFERROR(IF(MARÍTIMOS[[#This Row],[Etapa Retiro - Llegada]]="","",MARÍTIMOS[[#This Row],[Etapa Retiro - Llegada]]),"")</f>
        <v>46194.529861111114</v>
      </c>
      <c r="U173" s="11">
        <f>IFERROR(IF(MARÍTIMOS[[#This Row],[Etapa Retiro - Ingreso]]="","",MARÍTIMOS[[#This Row],[Etapa Retiro - Ingreso]]),"")</f>
        <v>46194.541666666664</v>
      </c>
      <c r="V173" s="11">
        <f>IFERROR(IF(MARÍTIMOS[[#This Row],[Etapa Retiro - Atención]]="","",MARÍTIMOS[[#This Row],[Etapa Retiro - Atención]]),"")</f>
        <v>46194.569444444445</v>
      </c>
      <c r="W173" s="11">
        <f>IFERROR(IF(MARÍTIMOS[[#This Row],[Etapa Retiro - Atención]]="","",MARÍTIMOS[[#This Row],[Etapa Retiro - Atención]]),"")</f>
        <v>46194.569444444445</v>
      </c>
      <c r="X173" s="11">
        <f>IFERROR(IF(MARÍTIMOS[[#This Row],[Etapa Retiro - Inicio de Ruta]]="","",MARÍTIMOS[[#This Row],[Etapa Retiro - Inicio de Ruta]]),"")</f>
        <v>46194.75</v>
      </c>
      <c r="Y173" s="11">
        <f>IFERROR(IF(MARÍTIMOS[[#This Row],[Hora de Posicionamiento]]="","",MARÍTIMOS[[#This Row],[Fecha de Carga]]+MARÍTIMOS[[#This Row],[Hora de Posicionamiento]]),"")</f>
        <v>46195.604166666664</v>
      </c>
      <c r="Z173" s="11">
        <f>IFERROR(IF(MARÍTIMOS[[#This Row],[Etapa Despacho - Llegada]]="","",MARÍTIMOS[[#This Row],[Etapa Despacho - Llegada]]),"")</f>
        <v>46195.484027777777</v>
      </c>
      <c r="AA173" s="11">
        <f>IFERROR(IF(MARÍTIMOS[[#This Row],[Etapa Despacho - Registro]]="","",MARÍTIMOS[[#This Row],[Etapa Despacho - Registro]]),"")</f>
        <v>46212.166666666664</v>
      </c>
      <c r="AB173" s="11">
        <f>IFERROR(IF(MARÍTIMOS[[#This Row],[Inspección Externa]]="","",MARÍTIMOS[[#This Row],[Inspección Externa]]),"")</f>
        <v>46195.489583333336</v>
      </c>
      <c r="AC173" s="11">
        <f>IFERROR(IF(MARÍTIMOS[[#This Row],[Etapa Despacho - Inicio de Carga]]="","",MARÍTIMOS[[#This Row],[Etapa Despacho - Inicio de Carga]]),"")</f>
        <v>46195.5</v>
      </c>
      <c r="AD173" s="11">
        <f>IFERROR(IF(MARÍTIMOS[[#This Row],[Etapa Despacho - Mitad de Carga]]="","",MARÍTIMOS[[#This Row],[Etapa Despacho - Mitad de Carga]]),"")</f>
        <v>46195.665277777778</v>
      </c>
      <c r="AE173" s="11">
        <f>IFERROR(IF(MARÍTIMOS[[#This Row],[Etapa Despacho - Fin de Carga]]="","",MARÍTIMOS[[#This Row],[Etapa Despacho - Fin de Carga]]),"")</f>
        <v>46195.680555555555</v>
      </c>
      <c r="AF173" s="2" t="str">
        <f>IFERROR(IF(MARÍTIMOS[[#This Row],[Puerto de Embarque]]="","",MARÍTIMOS[[#This Row],[Puerto de Embarque]]),"")</f>
        <v>CALLAO</v>
      </c>
      <c r="AG173" s="2" t="str">
        <f>IFERROR(IF(MARÍTIMOS[[#This Row],[Almacén de Ingreso]]="","",MARÍTIMOS[[#This Row],[Almacén de Ingreso]]),"")</f>
        <v>DPW</v>
      </c>
      <c r="AH173" s="11">
        <f>IFERROR(IF(MARÍTIMOS[[#This Row],[Etapa Ingreso - Cita]]="","",MARÍTIMOS[[#This Row],[Etapa Ingreso - Cita]]),"")</f>
        <v>46196.083333333336</v>
      </c>
      <c r="AI173" s="11">
        <f>IFERROR(IF(MARÍTIMOS[[#This Row],[Etapa Ingreso - Llegada]]="","",MARÍTIMOS[[#This Row],[Etapa Ingreso - Llegada]]),"")</f>
        <v>46196.127083333333</v>
      </c>
      <c r="AJ173" s="11">
        <f>IFERROR(IF(MARÍTIMOS[[#This Row],[Etapa Ingreso - Ingeso]]="","",MARÍTIMOS[[#This Row],[Etapa Ingreso - Ingeso]]),"")</f>
        <v>46196.166666666664</v>
      </c>
      <c r="AK173" s="11">
        <f>IFERROR(IF(MARÍTIMOS[[#This Row],[Etapa Ingreso - Atención]]="","",MARÍTIMOS[[#This Row],[Etapa Ingreso - Atención]]),"")</f>
        <v>46196.172222222223</v>
      </c>
      <c r="AL173" s="11">
        <f>IFERROR(IF(MARÍTIMOS[[#This Row],[Etapa Ingreso - Salida]]="","",MARÍTIMOS[[#This Row],[Etapa Ingreso - Salida]]),"")</f>
        <v>46196.177777777775</v>
      </c>
      <c r="AM173" s="2">
        <f>IFERROR(IF(MARÍTIMOS[[#This Row],[FCL]]="","",MARÍTIMOS[[#This Row],[FCL]]),"")</f>
        <v>1</v>
      </c>
      <c r="AN1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3" s="4" t="str" cm="1">
        <f t="array" ref="AO1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73" s="5">
        <f>IFERROR(OLDBD[[#This Row],[Llegada a packing]]-OLDBD[[#This Row],[Inicio de Ruta]],"")</f>
        <v>0.73402777777664596</v>
      </c>
      <c r="AQ173" s="6">
        <f>IFERROR(OLDBD[[#This Row],[Inicio de Ruta]]-OLDBD[[#This Row],[Salida de almacén de retiro]],"")</f>
        <v>0.18055555555474712</v>
      </c>
      <c r="AR1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3" s="8" t="str" cm="1">
        <f t="array" ref="AS1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3" s="9">
        <f>IFERROR(OLDBD[[#This Row],[Ingreso Packing]]-OLDBD[[#This Row],[Registro en Packing]],"")</f>
        <v>-16.677083333328483</v>
      </c>
      <c r="AV173" s="9">
        <f>IFERROR(OLDBD[[#This Row],[Ingreso Packing]]-OLDBD[[#This Row],[Llegada a packing]],"")</f>
        <v>5.5555555591126904E-3</v>
      </c>
      <c r="AW1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73" s="5">
        <f>IFERROR(OLDBD[[#This Row],[Llegada Almacén de Ingreso]]-OLDBD[[#This Row],[Salida Packing]],"")</f>
        <v>0.44652777777810115</v>
      </c>
      <c r="AY173" s="4" t="str" cm="1">
        <f t="array" ref="AY1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3" s="43" t="s">
        <v>173</v>
      </c>
      <c r="BB173" s="47" t="str">
        <f>IFERROR(IF(MARÍTIMOS[[#This Row],[Estatus]]="","",MARÍTIMOS[[#This Row],[Estatus]]),"")</f>
        <v>Confirmado</v>
      </c>
      <c r="BC173" s="43"/>
      <c r="BD173" s="46">
        <f>IFERROR(OLDBD[[#This Row],[Salida de almacén de retiro]]-OLDBD[[#This Row],[Ingreso Almacén de retiro]],"")</f>
        <v>2.7777777781011537E-2</v>
      </c>
      <c r="BE173" s="46">
        <f>IFERROR(OLDBD[[#This Row],[Fin de Carga]]-OLDBD[[#This Row],[Inicio de Carga]],"")</f>
        <v>0.16527777777810115</v>
      </c>
    </row>
    <row r="174" spans="1:57" customFormat="1" hidden="1">
      <c r="A174" s="1"/>
      <c r="B174" s="1">
        <f>IFERROR(IF(MARÍTIMOS[[#This Row],[PP]]="","",MARÍTIMOS[[#This Row],[PP]]),"")</f>
        <v>25</v>
      </c>
      <c r="C174" s="1" t="str">
        <f>IFERROR(IF(MARÍTIMOS[[#This Row],[Sede]]="","",MARÍTIMOS[[#This Row],[Sede]]),"")</f>
        <v>Chao</v>
      </c>
      <c r="D174" s="1" t="str">
        <f>IFERROR(IF(MARÍTIMOS[[#This Row],[Instruction]]="","",MARÍTIMOS[[#This Row],[Instruction]]),"")</f>
        <v>RH-0069</v>
      </c>
      <c r="E174" s="1"/>
      <c r="F174" s="2" t="str">
        <f>IFERROR(IF(MARÍTIMOS[[#This Row],[Transportista]]="","",MARÍTIMOS[[#This Row],[Transportista]]),"")</f>
        <v>LIP</v>
      </c>
      <c r="G174" s="2" t="str">
        <f>IFERROR(IF(MARÍTIMOS[[#This Row],[Tercero]]="","",MARÍTIMOS[[#This Row],[Tercero]]),"")</f>
        <v>SI</v>
      </c>
      <c r="H174" s="2" t="str">
        <f>IFERROR(IF(MARÍTIMOS[[#This Row],[Razón Social]]="","",MARÍTIMOS[[#This Row],[Razón Social]]),"")</f>
        <v>LOGISTICA INTERMODAL DEL PERU S.A.C.</v>
      </c>
      <c r="I174" s="2">
        <f>IFERROR(IF(MARÍTIMOS[[#This Row],[RUC]]="","",MARÍTIMOS[[#This Row],[RUC]]),"")</f>
        <v>20513040718</v>
      </c>
      <c r="J174" s="2" t="str">
        <f>IFERROR(IF(MARÍTIMOS[[#This Row],[Placa Tracto]]="","",MARÍTIMOS[[#This Row],[Placa Tracto]]),"")</f>
        <v>BPH-908</v>
      </c>
      <c r="K174" s="2" t="str">
        <f>IFERROR(IF(MARÍTIMOS[[#This Row],[Placa Carreta]]="","",MARÍTIMOS[[#This Row],[Placa Carreta]]),"")</f>
        <v>C3H-978</v>
      </c>
      <c r="L174" s="44" t="str">
        <f>IFERROR(IF(MARÍTIMOS[[#This Row],[Conductor]]="","",MARÍTIMOS[[#This Row],[Conductor]]),"")</f>
        <v>GUIZADO SAEZ JULIO CESAR</v>
      </c>
      <c r="M174" s="2" t="str">
        <f>IFERROR(IF(MARÍTIMOS[[#This Row],[Licencia]]="","",MARÍTIMOS[[#This Row],[Licencia]]),"")</f>
        <v>Q41447197</v>
      </c>
      <c r="N174" s="2" t="str">
        <f>IFERROR(IF(MARÍTIMOS[[#This Row],[Número de Contacto]]="","",MARÍTIMOS[[#This Row],[Número de Contacto]]),"")</f>
        <v/>
      </c>
      <c r="O174" s="10" t="str">
        <f>IFERROR(IF(MARÍTIMOS[[#This Row],[Booking|AWB|CRT]]="","",MARÍTIMOS[[#This Row],[Booking|AWB|CRT]]),"")</f>
        <v>LIM600213600</v>
      </c>
      <c r="P174" s="2" t="str">
        <f>IFERROR(IF(MARÍTIMOS[[#This Row],[Contenedor]]="","",MARÍTIMOS[[#This Row],[Contenedor]]),"")</f>
        <v>FBIU5590090</v>
      </c>
      <c r="Q174" s="2" t="str">
        <f>IFERROR(IF(MARÍTIMOS[[#This Row],[Puerto de Retiro]]="","",MARÍTIMOS[[#This Row],[Puerto de Retiro]]),"")</f>
        <v>CALLAO</v>
      </c>
      <c r="R174" s="2" t="str">
        <f>IFERROR(IF(MARÍTIMOS[[#This Row],[Almacén de Retiro]]="","",MARÍTIMOS[[#This Row],[Almacén de Retiro]]),"")</f>
        <v>CONTRANS</v>
      </c>
      <c r="S174" s="11">
        <f>IFERROR(IF(MARÍTIMOS[[#This Row],[Etapa Retiro - Cita]]="","",MARÍTIMOS[[#This Row],[Etapa Retiro - Cita]]),"")</f>
        <v>46194.5</v>
      </c>
      <c r="T174" s="11">
        <f>IFERROR(IF(MARÍTIMOS[[#This Row],[Etapa Retiro - Llegada]]="","",MARÍTIMOS[[#This Row],[Etapa Retiro - Llegada]]),"")</f>
        <v>46194.564583333333</v>
      </c>
      <c r="U174" s="11">
        <f>IFERROR(IF(MARÍTIMOS[[#This Row],[Etapa Retiro - Ingreso]]="","",MARÍTIMOS[[#This Row],[Etapa Retiro - Ingreso]]),"")</f>
        <v>46194.569444444445</v>
      </c>
      <c r="V174" s="11">
        <f>IFERROR(IF(MARÍTIMOS[[#This Row],[Etapa Retiro - Atención]]="","",MARÍTIMOS[[#This Row],[Etapa Retiro - Atención]]),"")</f>
        <v>46194.638888888891</v>
      </c>
      <c r="W174" s="11">
        <f>IFERROR(IF(MARÍTIMOS[[#This Row],[Etapa Retiro - Atención]]="","",MARÍTIMOS[[#This Row],[Etapa Retiro - Atención]]),"")</f>
        <v>46194.638888888891</v>
      </c>
      <c r="X174" s="11">
        <f>IFERROR(IF(MARÍTIMOS[[#This Row],[Etapa Retiro - Inicio de Ruta]]="","",MARÍTIMOS[[#This Row],[Etapa Retiro - Inicio de Ruta]]),"")</f>
        <v>46194.763888888891</v>
      </c>
      <c r="Y174" s="11">
        <f>IFERROR(IF(MARÍTIMOS[[#This Row],[Hora de Posicionamiento]]="","",MARÍTIMOS[[#This Row],[Fecha de Carga]]+MARÍTIMOS[[#This Row],[Hora de Posicionamiento]]),"")</f>
        <v>46195.479166666664</v>
      </c>
      <c r="Z174" s="11">
        <f>IFERROR(IF(MARÍTIMOS[[#This Row],[Etapa Despacho - Llegada]]="","",MARÍTIMOS[[#This Row],[Etapa Despacho - Llegada]]),"")</f>
        <v>46195.540972222225</v>
      </c>
      <c r="AA174" s="11">
        <f>IFERROR(IF(MARÍTIMOS[[#This Row],[Etapa Despacho - Registro]]="","",MARÍTIMOS[[#This Row],[Etapa Despacho - Registro]]),"")</f>
        <v>46196.458333333336</v>
      </c>
      <c r="AB174" s="11">
        <f>IFERROR(IF(MARÍTIMOS[[#This Row],[Inspección Externa]]="","",MARÍTIMOS[[#This Row],[Inspección Externa]]),"")</f>
        <v>46195.541666666664</v>
      </c>
      <c r="AC174" s="11">
        <f>IFERROR(IF(MARÍTIMOS[[#This Row],[Etapa Despacho - Inicio de Carga]]="","",MARÍTIMOS[[#This Row],[Etapa Despacho - Inicio de Carga]]),"")</f>
        <v>46195.680555555555</v>
      </c>
      <c r="AD174" s="11">
        <f>IFERROR(IF(MARÍTIMOS[[#This Row],[Etapa Despacho - Mitad de Carga]]="","",MARÍTIMOS[[#This Row],[Etapa Despacho - Mitad de Carga]]),"")</f>
        <v>46195.720138888886</v>
      </c>
      <c r="AE174" s="11">
        <f>IFERROR(IF(MARÍTIMOS[[#This Row],[Etapa Despacho - Fin de Carga]]="","",MARÍTIMOS[[#This Row],[Etapa Despacho - Fin de Carga]]),"")</f>
        <v>46195.736111111109</v>
      </c>
      <c r="AF174" s="2" t="str">
        <f>IFERROR(IF(MARÍTIMOS[[#This Row],[Puerto de Embarque]]="","",MARÍTIMOS[[#This Row],[Puerto de Embarque]]),"")</f>
        <v>CALLAO</v>
      </c>
      <c r="AG174" s="2">
        <v>9</v>
      </c>
      <c r="AH174" s="11">
        <f>IFERROR(IF(MARÍTIMOS[[#This Row],[Etapa Ingreso - Cita]]="","",MARÍTIMOS[[#This Row],[Etapa Ingreso - Cita]]),"")</f>
        <v>46196.416666666664</v>
      </c>
      <c r="AI174" s="11">
        <f>IFERROR(IF(MARÍTIMOS[[#This Row],[Etapa Ingreso - Llegada]]="","",MARÍTIMOS[[#This Row],[Etapa Ingreso - Llegada]]),"")</f>
        <v>46196.493055555555</v>
      </c>
      <c r="AJ174" s="11">
        <f>IFERROR(IF(MARÍTIMOS[[#This Row],[Etapa Ingreso - Ingeso]]="","",MARÍTIMOS[[#This Row],[Etapa Ingreso - Ingeso]]),"")</f>
        <v>46196.5</v>
      </c>
      <c r="AK174" s="11">
        <f>IFERROR(IF(MARÍTIMOS[[#This Row],[Etapa Ingreso - Atención]]="","",MARÍTIMOS[[#This Row],[Etapa Ingreso - Atención]]),"")</f>
        <v>46196.503472222219</v>
      </c>
      <c r="AL174" s="11">
        <f>IFERROR(IF(MARÍTIMOS[[#This Row],[Etapa Ingreso - Salida]]="","",MARÍTIMOS[[#This Row],[Etapa Ingreso - Salida]]),"")</f>
        <v>46196.507638888892</v>
      </c>
      <c r="AM174" s="2">
        <f>IFERROR(IF(MARÍTIMOS[[#This Row],[FCL]]="","",MARÍTIMOS[[#This Row],[FCL]]),"")</f>
        <v>1</v>
      </c>
      <c r="AN1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4" s="4" t="str" cm="1">
        <f t="array" ref="AO1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74" s="5">
        <f>IFERROR(OLDBD[[#This Row],[Llegada a packing]]-OLDBD[[#This Row],[Inicio de Ruta]],"")</f>
        <v>0.77708333333430346</v>
      </c>
      <c r="AQ174" s="6">
        <f>IFERROR(OLDBD[[#This Row],[Inicio de Ruta]]-OLDBD[[#This Row],[Salida de almacén de retiro]],"")</f>
        <v>0.125</v>
      </c>
      <c r="AR1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74" s="8" t="str" cm="1">
        <f t="array" ref="AS1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74" s="9">
        <f>IFERROR(OLDBD[[#This Row],[Ingreso Packing]]-OLDBD[[#This Row],[Registro en Packing]],"")</f>
        <v>-0.91666666667151731</v>
      </c>
      <c r="AV174" s="9">
        <f>IFERROR(OLDBD[[#This Row],[Ingreso Packing]]-OLDBD[[#This Row],[Llegada a packing]],"")</f>
        <v>6.9444443943211809E-4</v>
      </c>
      <c r="AW1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74" s="5">
        <f>IFERROR(OLDBD[[#This Row],[Llegada Almacén de Ingreso]]-OLDBD[[#This Row],[Salida Packing]],"")</f>
        <v>0.75694444444525288</v>
      </c>
      <c r="AY174" s="4" t="str" cm="1">
        <f t="array" ref="AY1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4" s="43" t="s">
        <v>173</v>
      </c>
      <c r="BB174" s="47" t="str">
        <f>IFERROR(IF(MARÍTIMOS[[#This Row],[Estatus]]="","",MARÍTIMOS[[#This Row],[Estatus]]),"")</f>
        <v>Confirmado</v>
      </c>
      <c r="BC174" s="43"/>
      <c r="BD174" s="46">
        <f>IFERROR(OLDBD[[#This Row],[Salida de almacén de retiro]]-OLDBD[[#This Row],[Ingreso Almacén de retiro]],"")</f>
        <v>6.9444444445252884E-2</v>
      </c>
      <c r="BE174" s="46">
        <f>IFERROR(OLDBD[[#This Row],[Fin de Carga]]-OLDBD[[#This Row],[Inicio de Carga]],"")</f>
        <v>3.9583333331393078E-2</v>
      </c>
    </row>
    <row r="175" spans="1:57" customFormat="1" hidden="1">
      <c r="A175" s="1"/>
      <c r="B175" s="1">
        <f>IFERROR(IF(MARÍTIMOS[[#This Row],[PP]]="","",MARÍTIMOS[[#This Row],[PP]]),"")</f>
        <v>25</v>
      </c>
      <c r="C175" s="1" t="str">
        <f>IFERROR(IF(MARÍTIMOS[[#This Row],[Sede]]="","",MARÍTIMOS[[#This Row],[Sede]]),"")</f>
        <v>Chao</v>
      </c>
      <c r="D175" s="1" t="str">
        <f>IFERROR(IF(MARÍTIMOS[[#This Row],[Instruction]]="","",MARÍTIMOS[[#This Row],[Instruction]]),"")</f>
        <v>RH-0070</v>
      </c>
      <c r="E175" s="1"/>
      <c r="F175" s="2" t="str">
        <f>IFERROR(IF(MARÍTIMOS[[#This Row],[Transportista]]="","",MARÍTIMOS[[#This Row],[Transportista]]),"")</f>
        <v>LIP</v>
      </c>
      <c r="G175" s="2" t="str">
        <f>IFERROR(IF(MARÍTIMOS[[#This Row],[Tercero]]="","",MARÍTIMOS[[#This Row],[Tercero]]),"")</f>
        <v>NO</v>
      </c>
      <c r="H175" s="2" t="str">
        <f>IFERROR(IF(MARÍTIMOS[[#This Row],[Razón Social]]="","",MARÍTIMOS[[#This Row],[Razón Social]]),"")</f>
        <v>LOGISTICA INTERMODAL DEL PERU S.A.C.</v>
      </c>
      <c r="I175" s="2">
        <f>IFERROR(IF(MARÍTIMOS[[#This Row],[RUC]]="","",MARÍTIMOS[[#This Row],[RUC]]),"")</f>
        <v>20513040718</v>
      </c>
      <c r="J175" s="2" t="str">
        <f>IFERROR(IF(MARÍTIMOS[[#This Row],[Placa Tracto]]="","",MARÍTIMOS[[#This Row],[Placa Tracto]]),"")</f>
        <v>BKI-808</v>
      </c>
      <c r="K175" s="2" t="str">
        <f>IFERROR(IF(MARÍTIMOS[[#This Row],[Placa Carreta]]="","",MARÍTIMOS[[#This Row],[Placa Carreta]]),"")</f>
        <v>BVZ-973</v>
      </c>
      <c r="L175" s="44" t="str">
        <f>IFERROR(IF(MARÍTIMOS[[#This Row],[Conductor]]="","",MARÍTIMOS[[#This Row],[Conductor]]),"")</f>
        <v>ARCHILA ZURITA NATANAEL DAVID</v>
      </c>
      <c r="M175" s="2" t="str">
        <f>IFERROR(IF(MARÍTIMOS[[#This Row],[Licencia]]="","",MARÍTIMOS[[#This Row],[Licencia]]),"")</f>
        <v>Q003949488</v>
      </c>
      <c r="N175" s="2" t="str">
        <f>IFERROR(IF(MARÍTIMOS[[#This Row],[Número de Contacto]]="","",MARÍTIMOS[[#This Row],[Número de Contacto]]),"")</f>
        <v/>
      </c>
      <c r="O175" s="10">
        <f>IFERROR(IF(MARÍTIMOS[[#This Row],[Booking|AWB|CRT]]="","",MARÍTIMOS[[#This Row],[Booking|AWB|CRT]]),"")</f>
        <v>6504934840</v>
      </c>
      <c r="P175" s="2" t="str">
        <f>IFERROR(IF(MARÍTIMOS[[#This Row],[Contenedor]]="","",MARÍTIMOS[[#This Row],[Contenedor]]),"")</f>
        <v>CAAU4046631</v>
      </c>
      <c r="Q175" s="2" t="str">
        <f>IFERROR(IF(MARÍTIMOS[[#This Row],[Puerto de Retiro]]="","",MARÍTIMOS[[#This Row],[Puerto de Retiro]]),"")</f>
        <v>CHANCAY</v>
      </c>
      <c r="R175" s="2" t="str">
        <f>IFERROR(IF(MARÍTIMOS[[#This Row],[Almacén de Retiro]]="","",MARÍTIMOS[[#This Row],[Almacén de Retiro]]),"")</f>
        <v>CSPCP</v>
      </c>
      <c r="S175" s="11">
        <f>IFERROR(IF(MARÍTIMOS[[#This Row],[Etapa Retiro - Cita]]="","",MARÍTIMOS[[#This Row],[Etapa Retiro - Cita]]),"")</f>
        <v>46194.625</v>
      </c>
      <c r="T175" s="11">
        <f>IFERROR(IF(MARÍTIMOS[[#This Row],[Etapa Retiro - Llegada]]="","",MARÍTIMOS[[#This Row],[Etapa Retiro - Llegada]]),"")</f>
        <v>46194.681944444441</v>
      </c>
      <c r="U175" s="11">
        <f>IFERROR(IF(MARÍTIMOS[[#This Row],[Etapa Retiro - Ingreso]]="","",MARÍTIMOS[[#This Row],[Etapa Retiro - Ingreso]]),"")</f>
        <v>46194.694444444445</v>
      </c>
      <c r="V175" s="11">
        <f>IFERROR(IF(MARÍTIMOS[[#This Row],[Etapa Retiro - Atención]]="","",MARÍTIMOS[[#This Row],[Etapa Retiro - Atención]]),"")</f>
        <v>46194.75</v>
      </c>
      <c r="W175" s="11">
        <v>46219.61041666667</v>
      </c>
      <c r="X175" s="11">
        <v>46219.708333333336</v>
      </c>
      <c r="Y175" s="11">
        <f>IFERROR(IF(MARÍTIMOS[[#This Row],[Hora de Posicionamiento]]="","",MARÍTIMOS[[#This Row],[Fecha de Carga]]+MARÍTIMOS[[#This Row],[Hora de Posicionamiento]]),"")</f>
        <v>46195.604166666664</v>
      </c>
      <c r="Z175" s="11">
        <f>IFERROR(IF(MARÍTIMOS[[#This Row],[Etapa Despacho - Llegada]]="","",MARÍTIMOS[[#This Row],[Etapa Despacho - Llegada]]),"")</f>
        <v>46195.45416666667</v>
      </c>
      <c r="AA175" s="11">
        <f>IFERROR(IF(MARÍTIMOS[[#This Row],[Etapa Despacho - Registro]]="","",MARÍTIMOS[[#This Row],[Etapa Despacho - Registro]]),"")</f>
        <v>46196.125</v>
      </c>
      <c r="AB175" s="11">
        <f>IFERROR(IF(MARÍTIMOS[[#This Row],[Inspección Externa]]="","",MARÍTIMOS[[#This Row],[Inspección Externa]]),"")</f>
        <v>46195.5625</v>
      </c>
      <c r="AC175" s="11">
        <f>IFERROR(IF(MARÍTIMOS[[#This Row],[Etapa Despacho - Inicio de Carga]]="","",MARÍTIMOS[[#This Row],[Etapa Despacho - Inicio de Carga]]),"")</f>
        <v>46195.569444444445</v>
      </c>
      <c r="AD175" s="11">
        <f>IFERROR(IF(MARÍTIMOS[[#This Row],[Etapa Despacho - Mitad de Carga]]="","",MARÍTIMOS[[#This Row],[Etapa Despacho - Mitad de Carga]]),"")</f>
        <v>46195.64166666667</v>
      </c>
      <c r="AE175" s="11">
        <f>IFERROR(IF(MARÍTIMOS[[#This Row],[Etapa Despacho - Fin de Carga]]="","",MARÍTIMOS[[#This Row],[Etapa Despacho - Fin de Carga]]),"")</f>
        <v>46195.659722222219</v>
      </c>
      <c r="AF175" s="2" t="str">
        <f>IFERROR(IF(MARÍTIMOS[[#This Row],[Puerto de Embarque]]="","",MARÍTIMOS[[#This Row],[Puerto de Embarque]]),"")</f>
        <v>CHANCAY</v>
      </c>
      <c r="AG175" s="2" t="str">
        <f>IFERROR(IF(MARÍTIMOS[[#This Row],[Almacén de Ingreso]]="","",MARÍTIMOS[[#This Row],[Almacén de Ingreso]]),"")</f>
        <v>CSPCP</v>
      </c>
      <c r="AH175" s="11">
        <f>IFERROR(IF(MARÍTIMOS[[#This Row],[Etapa Ingreso - Cita]]="","",MARÍTIMOS[[#This Row],[Etapa Ingreso - Cita]]),"")</f>
        <v>46196.083333333336</v>
      </c>
      <c r="AI175" s="11">
        <f>IFERROR(IF(MARÍTIMOS[[#This Row],[Etapa Ingreso - Llegada]]="","",MARÍTIMOS[[#This Row],[Etapa Ingreso - Llegada]]),"")</f>
        <v>46196.107638888891</v>
      </c>
      <c r="AJ175" s="11">
        <f>IFERROR(IF(MARÍTIMOS[[#This Row],[Etapa Ingreso - Ingeso]]="","",MARÍTIMOS[[#This Row],[Etapa Ingreso - Ingeso]]),"")</f>
        <v>46196.083333333336</v>
      </c>
      <c r="AK175" s="11">
        <f>IFERROR(IF(MARÍTIMOS[[#This Row],[Etapa Ingreso - Atención]]="","",MARÍTIMOS[[#This Row],[Etapa Ingreso - Atención]]),"")</f>
        <v>46196.708333333336</v>
      </c>
      <c r="AL175" s="11">
        <f>IFERROR(IF(MARÍTIMOS[[#This Row],[Etapa Ingreso - Salida]]="","",MARÍTIMOS[[#This Row],[Etapa Ingreso - Salida]]),"")</f>
        <v>46196.731944444444</v>
      </c>
      <c r="AM175" s="2">
        <f>IFERROR(IF(MARÍTIMOS[[#This Row],[FCL]]="","",MARÍTIMOS[[#This Row],[FCL]]),"")</f>
        <v>1</v>
      </c>
      <c r="AN1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5" s="4" t="str" cm="1">
        <f t="array" ref="AO1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175" s="5">
        <f>IFERROR(OLDBD[[#This Row],[Llegada a packing]]-OLDBD[[#This Row],[Inicio de Ruta]],"")</f>
        <v>-24.254166666665697</v>
      </c>
      <c r="AQ175" s="6">
        <f>IFERROR(OLDBD[[#This Row],[Inicio de Ruta]]-OLDBD[[#This Row],[Salida de almacén de retiro]],"")</f>
        <v>9.7916666665696539E-2</v>
      </c>
      <c r="AR1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5" s="8" t="str" cm="1">
        <f t="array" ref="AS1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5" s="9">
        <f>IFERROR(OLDBD[[#This Row],[Ingreso Packing]]-OLDBD[[#This Row],[Registro en Packing]],"")</f>
        <v>-0.5625</v>
      </c>
      <c r="AV175" s="9">
        <f>IFERROR(OLDBD[[#This Row],[Ingreso Packing]]-OLDBD[[#This Row],[Llegada a packing]],"")</f>
        <v>0.10833333332993789</v>
      </c>
      <c r="AW1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75" s="5">
        <f>IFERROR(OLDBD[[#This Row],[Llegada Almacén de Ingreso]]-OLDBD[[#This Row],[Salida Packing]],"")</f>
        <v>0.44791666667151731</v>
      </c>
      <c r="AY175" s="4" t="str" cm="1">
        <f t="array" ref="AY1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5" s="43" t="s">
        <v>173</v>
      </c>
      <c r="BB175" s="47" t="str">
        <f>IFERROR(IF(MARÍTIMOS[[#This Row],[Estatus]]="","",MARÍTIMOS[[#This Row],[Estatus]]),"")</f>
        <v>Confirmado</v>
      </c>
      <c r="BC175" s="43"/>
      <c r="BD175" s="46">
        <f>IFERROR(OLDBD[[#This Row],[Salida de almacén de retiro]]-OLDBD[[#This Row],[Ingreso Almacén de retiro]],"")</f>
        <v>24.915972222224809</v>
      </c>
      <c r="BE175" s="46">
        <f>IFERROR(OLDBD[[#This Row],[Fin de Carga]]-OLDBD[[#This Row],[Inicio de Carga]],"")</f>
        <v>7.2222222224809229E-2</v>
      </c>
    </row>
    <row r="176" spans="1:57" customFormat="1" hidden="1">
      <c r="A176" s="1"/>
      <c r="B176" s="1">
        <f>IFERROR(IF(MARÍTIMOS[[#This Row],[PP]]="","",MARÍTIMOS[[#This Row],[PP]]),"")</f>
        <v>25</v>
      </c>
      <c r="C176" s="1" t="str">
        <f>IFERROR(IF(MARÍTIMOS[[#This Row],[Sede]]="","",MARÍTIMOS[[#This Row],[Sede]]),"")</f>
        <v>Chao</v>
      </c>
      <c r="D176" s="1" t="str">
        <f>IFERROR(IF(MARÍTIMOS[[#This Row],[Instruction]]="","",MARÍTIMOS[[#This Row],[Instruction]]),"")</f>
        <v>RH-0081</v>
      </c>
      <c r="E176" s="1"/>
      <c r="F176" s="2" t="str">
        <f>IFERROR(IF(MARÍTIMOS[[#This Row],[Transportista]]="","",MARÍTIMOS[[#This Row],[Transportista]]),"")</f>
        <v>LIP</v>
      </c>
      <c r="G176" s="2" t="str">
        <f>IFERROR(IF(MARÍTIMOS[[#This Row],[Tercero]]="","",MARÍTIMOS[[#This Row],[Tercero]]),"")</f>
        <v>NO</v>
      </c>
      <c r="H176" s="2" t="str">
        <f>IFERROR(IF(MARÍTIMOS[[#This Row],[Razón Social]]="","",MARÍTIMOS[[#This Row],[Razón Social]]),"")</f>
        <v>LOGISTICA INTERMODAL DEL PERU S.A.C.</v>
      </c>
      <c r="I176" s="2">
        <f>IFERROR(IF(MARÍTIMOS[[#This Row],[RUC]]="","",MARÍTIMOS[[#This Row],[RUC]]),"")</f>
        <v>20513040718</v>
      </c>
      <c r="J176" s="2" t="str">
        <f>IFERROR(IF(MARÍTIMOS[[#This Row],[Placa Tracto]]="","",MARÍTIMOS[[#This Row],[Placa Tracto]]),"")</f>
        <v>BFQ-878</v>
      </c>
      <c r="K176" s="2" t="str">
        <f>IFERROR(IF(MARÍTIMOS[[#This Row],[Placa Carreta]]="","",MARÍTIMOS[[#This Row],[Placa Carreta]]),"")</f>
        <v>AUY-988</v>
      </c>
      <c r="L176" s="44" t="str">
        <f>IFERROR(IF(MARÍTIMOS[[#This Row],[Conductor]]="","",MARÍTIMOS[[#This Row],[Conductor]]),"")</f>
        <v>AHUANARI PEREIRA LUIS ALBERTO</v>
      </c>
      <c r="M176" s="2" t="str">
        <f>IFERROR(IF(MARÍTIMOS[[#This Row],[Licencia]]="","",MARÍTIMOS[[#This Row],[Licencia]]),"")</f>
        <v>Q25701786</v>
      </c>
      <c r="N176" s="2" t="str">
        <f>IFERROR(IF(MARÍTIMOS[[#This Row],[Número de Contacto]]="","",MARÍTIMOS[[#This Row],[Número de Contacto]]),"")</f>
        <v/>
      </c>
      <c r="O176" s="10">
        <f>IFERROR(IF(MARÍTIMOS[[#This Row],[Booking|AWB|CRT]]="","",MARÍTIMOS[[#This Row],[Booking|AWB|CRT]]),"")</f>
        <v>751600033652</v>
      </c>
      <c r="P176" s="2" t="str">
        <f>IFERROR(IF(MARÍTIMOS[[#This Row],[Contenedor]]="","",MARÍTIMOS[[#This Row],[Contenedor]]),"")</f>
        <v>EMCU5676211</v>
      </c>
      <c r="Q176" s="2" t="str">
        <f>IFERROR(IF(MARÍTIMOS[[#This Row],[Puerto de Retiro]]="","",MARÍTIMOS[[#This Row],[Puerto de Retiro]]),"")</f>
        <v>CALLAO</v>
      </c>
      <c r="R176" s="2" t="str">
        <f>IFERROR(IF(MARÍTIMOS[[#This Row],[Almacén de Retiro]]="","",MARÍTIMOS[[#This Row],[Almacén de Retiro]]),"")</f>
        <v>TPP</v>
      </c>
      <c r="S176" s="11">
        <f>IFERROR(IF(MARÍTIMOS[[#This Row],[Etapa Retiro - Cita]]="","",MARÍTIMOS[[#This Row],[Etapa Retiro - Cita]]),"")</f>
        <v>46192.583333333336</v>
      </c>
      <c r="T176" s="11">
        <f>IFERROR(IF(MARÍTIMOS[[#This Row],[Etapa Retiro - Llegada]]="","",MARÍTIMOS[[#This Row],[Etapa Retiro - Llegada]]),"")</f>
        <v>46192.601388888892</v>
      </c>
      <c r="U176" s="11">
        <f>IFERROR(IF(MARÍTIMOS[[#This Row],[Etapa Retiro - Ingreso]]="","",MARÍTIMOS[[#This Row],[Etapa Retiro - Ingreso]]),"")</f>
        <v>46192.625</v>
      </c>
      <c r="V176" s="11">
        <f>IFERROR(IF(MARÍTIMOS[[#This Row],[Etapa Retiro - Atención]]="","",MARÍTIMOS[[#This Row],[Etapa Retiro - Atención]]),"")</f>
        <v>46192.680555555555</v>
      </c>
      <c r="W176" s="11">
        <f>IFERROR(IF(MARÍTIMOS[[#This Row],[Etapa Retiro - Atención]]="","",MARÍTIMOS[[#This Row],[Etapa Retiro - Atención]]),"")</f>
        <v>46192.680555555555</v>
      </c>
      <c r="X176" s="11">
        <v>46222.666666666664</v>
      </c>
      <c r="Y176" s="11">
        <f>IFERROR(IF(MARÍTIMOS[[#This Row],[Hora de Posicionamiento]]="","",MARÍTIMOS[[#This Row],[Fecha de Carga]]+MARÍTIMOS[[#This Row],[Hora de Posicionamiento]]),"")</f>
        <v>46193.645833333336</v>
      </c>
      <c r="Z176" s="11">
        <f>IFERROR(IF(MARÍTIMOS[[#This Row],[Etapa Despacho - Llegada]]="","",MARÍTIMOS[[#This Row],[Etapa Despacho - Llegada]]),"")</f>
        <v>46193.541666666664</v>
      </c>
      <c r="AA176" s="11">
        <f>IFERROR(IF(MARÍTIMOS[[#This Row],[Etapa Despacho - Registro]]="","",MARÍTIMOS[[#This Row],[Etapa Despacho - Registro]]),"")</f>
        <v>46194.4375</v>
      </c>
      <c r="AB176" s="11">
        <f>IFERROR(IF(MARÍTIMOS[[#This Row],[Inspección Externa]]="","",MARÍTIMOS[[#This Row],[Inspección Externa]]),"")</f>
        <v>46193.555555555555</v>
      </c>
      <c r="AC176" s="11">
        <f>IFERROR(IF(MARÍTIMOS[[#This Row],[Etapa Despacho - Inicio de Carga]]="","",MARÍTIMOS[[#This Row],[Etapa Despacho - Inicio de Carga]]),"")</f>
        <v>46193.569444444445</v>
      </c>
      <c r="AD176" s="11">
        <f>IFERROR(IF(MARÍTIMOS[[#This Row],[Etapa Despacho - Mitad de Carga]]="","",MARÍTIMOS[[#This Row],[Etapa Despacho - Mitad de Carga]]),"")</f>
        <v>46193.756944444445</v>
      </c>
      <c r="AE176" s="11">
        <f>IFERROR(IF(MARÍTIMOS[[#This Row],[Etapa Despacho - Fin de Carga]]="","",MARÍTIMOS[[#This Row],[Etapa Despacho - Fin de Carga]]),"")</f>
        <v>46193.777777777781</v>
      </c>
      <c r="AF176" s="2" t="str">
        <f>IFERROR(IF(MARÍTIMOS[[#This Row],[Puerto de Embarque]]="","",MARÍTIMOS[[#This Row],[Puerto de Embarque]]),"")</f>
        <v>CALLAO</v>
      </c>
      <c r="AG176" s="2" t="str">
        <f>IFERROR(IF(MARÍTIMOS[[#This Row],[Almacén de Ingreso]]="","",MARÍTIMOS[[#This Row],[Almacén de Ingreso]]),"")</f>
        <v>DPW</v>
      </c>
      <c r="AH176" s="11">
        <f>IFERROR(IF(MARÍTIMOS[[#This Row],[Etapa Ingreso - Cita]]="","",MARÍTIMOS[[#This Row],[Etapa Ingreso - Cita]]),"")</f>
        <v>46194.375</v>
      </c>
      <c r="AI176" s="11">
        <f>IFERROR(IF(MARÍTIMOS[[#This Row],[Etapa Ingreso - Llegada]]="","",MARÍTIMOS[[#This Row],[Etapa Ingreso - Llegada]]),"")</f>
        <v>46194.416666666664</v>
      </c>
      <c r="AJ176" s="11">
        <f>IFERROR(IF(MARÍTIMOS[[#This Row],[Etapa Ingreso - Ingeso]]="","",MARÍTIMOS[[#This Row],[Etapa Ingreso - Ingeso]]),"")</f>
        <v>46194.488888888889</v>
      </c>
      <c r="AK176" s="11">
        <f>IFERROR(IF(MARÍTIMOS[[#This Row],[Etapa Ingreso - Atención]]="","",MARÍTIMOS[[#This Row],[Etapa Ingreso - Atención]]),"")</f>
        <v>46194.5</v>
      </c>
      <c r="AL176" s="11">
        <f>IFERROR(IF(MARÍTIMOS[[#This Row],[Etapa Ingreso - Salida]]="","",MARÍTIMOS[[#This Row],[Etapa Ingreso - Salida]]),"")</f>
        <v>46194.509027777778</v>
      </c>
      <c r="AM176" s="2">
        <f>IFERROR(IF(MARÍTIMOS[[#This Row],[FCL]]="","",MARÍTIMOS[[#This Row],[FCL]]),"")</f>
        <v>1</v>
      </c>
      <c r="AN1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6" s="4" t="str" cm="1">
        <f t="array" ref="AO1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76" s="5">
        <f>IFERROR(OLDBD[[#This Row],[Llegada a packing]]-OLDBD[[#This Row],[Inicio de Ruta]],"")</f>
        <v>-29.125</v>
      </c>
      <c r="AQ176" s="6">
        <f>IFERROR(OLDBD[[#This Row],[Inicio de Ruta]]-OLDBD[[#This Row],[Salida de almacén de retiro]],"")</f>
        <v>29.986111111109494</v>
      </c>
      <c r="AR1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6" s="8" t="str" cm="1">
        <f t="array" ref="AS1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6" s="9">
        <f>IFERROR(OLDBD[[#This Row],[Ingreso Packing]]-OLDBD[[#This Row],[Registro en Packing]],"")</f>
        <v>-0.88194444444525288</v>
      </c>
      <c r="AV176" s="9">
        <f>IFERROR(OLDBD[[#This Row],[Ingreso Packing]]-OLDBD[[#This Row],[Llegada a packing]],"")</f>
        <v>1.3888888890505768E-2</v>
      </c>
      <c r="AW1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76" s="5">
        <f>IFERROR(OLDBD[[#This Row],[Llegada Almacén de Ingreso]]-OLDBD[[#This Row],[Salida Packing]],"")</f>
        <v>0.63888888888322981</v>
      </c>
      <c r="AY176" s="4" t="str" cm="1">
        <f t="array" ref="AY1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1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6" s="43" t="s">
        <v>173</v>
      </c>
      <c r="BB176" s="47" t="str">
        <f>IFERROR(IF(MARÍTIMOS[[#This Row],[Estatus]]="","",MARÍTIMOS[[#This Row],[Estatus]]),"")</f>
        <v>Confirmado</v>
      </c>
      <c r="BC176" s="43"/>
      <c r="BD176" s="46">
        <f>IFERROR(OLDBD[[#This Row],[Salida de almacén de retiro]]-OLDBD[[#This Row],[Ingreso Almacén de retiro]],"")</f>
        <v>5.5555555554747116E-2</v>
      </c>
      <c r="BE176" s="46">
        <f>IFERROR(OLDBD[[#This Row],[Fin de Carga]]-OLDBD[[#This Row],[Inicio de Carga]],"")</f>
        <v>0.1875</v>
      </c>
    </row>
    <row r="177" spans="1:57" customFormat="1" hidden="1">
      <c r="A177" s="1"/>
      <c r="B177" s="1">
        <f>IFERROR(IF(MARÍTIMOS[[#This Row],[PP]]="","",MARÍTIMOS[[#This Row],[PP]]),"")</f>
        <v>26</v>
      </c>
      <c r="C177" s="1" t="str">
        <f>IFERROR(IF(MARÍTIMOS[[#This Row],[Sede]]="","",MARÍTIMOS[[#This Row],[Sede]]),"")</f>
        <v>Chao</v>
      </c>
      <c r="D177" s="1" t="str">
        <f>IFERROR(IF(MARÍTIMOS[[#This Row],[Instruction]]="","",MARÍTIMOS[[#This Row],[Instruction]]),"")</f>
        <v>RH-0086</v>
      </c>
      <c r="E177" s="1"/>
      <c r="F177" s="2" t="str">
        <f>IFERROR(IF(MARÍTIMOS[[#This Row],[Transportista]]="","",MARÍTIMOS[[#This Row],[Transportista]]),"")</f>
        <v>LIP</v>
      </c>
      <c r="G177" s="2" t="str">
        <f>IFERROR(IF(MARÍTIMOS[[#This Row],[Tercero]]="","",MARÍTIMOS[[#This Row],[Tercero]]),"")</f>
        <v>SI</v>
      </c>
      <c r="H177" s="2" t="str">
        <f>IFERROR(IF(MARÍTIMOS[[#This Row],[Razón Social]]="","",MARÍTIMOS[[#This Row],[Razón Social]]),"")</f>
        <v xml:space="preserve">TGD SERVICIOS S.A.C.
</v>
      </c>
      <c r="I177" s="2">
        <f>IFERROR(IF(MARÍTIMOS[[#This Row],[RUC]]="","",MARÍTIMOS[[#This Row],[RUC]]),"")</f>
        <v>20614404460</v>
      </c>
      <c r="J177" s="2" t="str">
        <f>IFERROR(IF(MARÍTIMOS[[#This Row],[Placa Tracto]]="","",MARÍTIMOS[[#This Row],[Placa Tracto]]),"")</f>
        <v>ASG-909</v>
      </c>
      <c r="K177" s="2" t="str">
        <f>IFERROR(IF(MARÍTIMOS[[#This Row],[Placa Carreta]]="","",MARÍTIMOS[[#This Row],[Placa Carreta]]),"")</f>
        <v>BES-976</v>
      </c>
      <c r="L177" s="44" t="str">
        <f>IFERROR(IF(MARÍTIMOS[[#This Row],[Conductor]]="","",MARÍTIMOS[[#This Row],[Conductor]]),"")</f>
        <v>QUISPE CHIROQUE MAXIMO</v>
      </c>
      <c r="M177" s="2" t="str">
        <f>IFERROR(IF(MARÍTIMOS[[#This Row],[Licencia]]="","",MARÍTIMOS[[#This Row],[Licencia]]),"")</f>
        <v>F25438671</v>
      </c>
      <c r="N177" s="2" t="str">
        <f>IFERROR(IF(MARÍTIMOS[[#This Row],[Número de Contacto]]="","",MARÍTIMOS[[#This Row],[Número de Contacto]]),"")</f>
        <v/>
      </c>
      <c r="O177" s="10" t="str">
        <f>IFERROR(IF(MARÍTIMOS[[#This Row],[Booking|AWB|CRT]]="","",MARÍTIMOS[[#This Row],[Booking|AWB|CRT]]),"")</f>
        <v>LIM600226800</v>
      </c>
      <c r="P177" s="2" t="str">
        <f>IFERROR(IF(MARÍTIMOS[[#This Row],[Contenedor]]="","",MARÍTIMOS[[#This Row],[Contenedor]]),"")</f>
        <v>CAAU4072097</v>
      </c>
      <c r="Q177" s="2" t="str">
        <f>IFERROR(IF(MARÍTIMOS[[#This Row],[Puerto de Retiro]]="","",MARÍTIMOS[[#This Row],[Puerto de Retiro]]),"")</f>
        <v>CALLAO</v>
      </c>
      <c r="R177" s="2" t="str">
        <f>IFERROR(IF(MARÍTIMOS[[#This Row],[Almacén de Retiro]]="","",MARÍTIMOS[[#This Row],[Almacén de Retiro]]),"")</f>
        <v>CONTRANS</v>
      </c>
      <c r="S177" s="11">
        <f>IFERROR(IF(MARÍTIMOS[[#This Row],[Etapa Retiro - Cita]]="","",MARÍTIMOS[[#This Row],[Etapa Retiro - Cita]]),"")</f>
        <v>46199.625</v>
      </c>
      <c r="T177" s="11">
        <f>IFERROR(IF(MARÍTIMOS[[#This Row],[Etapa Retiro - Llegada]]="","",MARÍTIMOS[[#This Row],[Etapa Retiro - Llegada]]),"")</f>
        <v>46199.645833333336</v>
      </c>
      <c r="U177" s="11">
        <f>IFERROR(IF(MARÍTIMOS[[#This Row],[Etapa Retiro - Ingreso]]="","",MARÍTIMOS[[#This Row],[Etapa Retiro - Ingreso]]),"")</f>
        <v>46199.727083333331</v>
      </c>
      <c r="V177" s="11">
        <f>IFERROR(IF(MARÍTIMOS[[#This Row],[Etapa Retiro - Atención]]="","",MARÍTIMOS[[#This Row],[Etapa Retiro - Atención]]),"")</f>
        <v>46199.708333333336</v>
      </c>
      <c r="W177" s="11">
        <f>IFERROR(IF(MARÍTIMOS[[#This Row],[Etapa Retiro - Atención]]="","",MARÍTIMOS[[#This Row],[Etapa Retiro - Atención]]),"")</f>
        <v>46199.708333333336</v>
      </c>
      <c r="X177" s="11">
        <f>IFERROR(IF(MARÍTIMOS[[#This Row],[Etapa Retiro - Inicio de Ruta]]="","",MARÍTIMOS[[#This Row],[Etapa Retiro - Inicio de Ruta]]),"")</f>
        <v>46199.796527777777</v>
      </c>
      <c r="Y177" s="11">
        <f>IFERROR(IF(MARÍTIMOS[[#This Row],[Hora de Posicionamiento]]="","",MARÍTIMOS[[#This Row],[Fecha de Carga]]+MARÍTIMOS[[#This Row],[Hora de Posicionamiento]]),"")</f>
        <v>46200.5625</v>
      </c>
      <c r="Z177" s="11">
        <f>IFERROR(IF(MARÍTIMOS[[#This Row],[Etapa Despacho - Llegada]]="","",MARÍTIMOS[[#This Row],[Etapa Despacho - Llegada]]),"")</f>
        <v>46200.458333333336</v>
      </c>
      <c r="AA177" s="11">
        <f>IFERROR(IF(MARÍTIMOS[[#This Row],[Etapa Despacho - Registro]]="","",MARÍTIMOS[[#This Row],[Etapa Despacho - Registro]]),"")</f>
        <v>46199.652777777781</v>
      </c>
      <c r="AB177" s="11">
        <f>IFERROR(IF(MARÍTIMOS[[#This Row],[Inspección Externa]]="","",MARÍTIMOS[[#This Row],[Inspección Externa]]),"")</f>
        <v>46200.479861111111</v>
      </c>
      <c r="AC177" s="11">
        <f>IFERROR(IF(MARÍTIMOS[[#This Row],[Etapa Despacho - Inicio de Carga]]="","",MARÍTIMOS[[#This Row],[Etapa Despacho - Inicio de Carga]]),"")</f>
        <v>46200.458333333336</v>
      </c>
      <c r="AD177" s="11">
        <f>IFERROR(IF(MARÍTIMOS[[#This Row],[Etapa Despacho - Mitad de Carga]]="","",MARÍTIMOS[[#This Row],[Etapa Despacho - Mitad de Carga]]),"")</f>
        <v>46200.731944444444</v>
      </c>
      <c r="AE177" s="11">
        <f>IFERROR(IF(MARÍTIMOS[[#This Row],[Etapa Despacho - Fin de Carga]]="","",MARÍTIMOS[[#This Row],[Etapa Despacho - Fin de Carga]]),"")</f>
        <v>46200.75</v>
      </c>
      <c r="AF177" s="2" t="str">
        <f>IFERROR(IF(MARÍTIMOS[[#This Row],[Puerto de Embarque]]="","",MARÍTIMOS[[#This Row],[Puerto de Embarque]]),"")</f>
        <v>CALLAO</v>
      </c>
      <c r="AG177" s="2" t="str">
        <f>IFERROR(IF(MARÍTIMOS[[#This Row],[Almacén de Ingreso]]="","",MARÍTIMOS[[#This Row],[Almacén de Ingreso]]),"")</f>
        <v>CONTRANS</v>
      </c>
      <c r="AH177" s="11">
        <f>IFERROR(IF(MARÍTIMOS[[#This Row],[Etapa Ingreso - Cita]]="","",MARÍTIMOS[[#This Row],[Etapa Ingreso - Cita]]),"")</f>
        <v>46199.625</v>
      </c>
      <c r="AI177" s="11">
        <f>IFERROR(IF(MARÍTIMOS[[#This Row],[Etapa Ingreso - Llegada]]="","",MARÍTIMOS[[#This Row],[Etapa Ingreso - Llegada]]),"")</f>
        <v>46199.645833333336</v>
      </c>
      <c r="AJ177" s="11">
        <f>IFERROR(IF(MARÍTIMOS[[#This Row],[Etapa Ingreso - Ingeso]]="","",MARÍTIMOS[[#This Row],[Etapa Ingreso - Ingeso]]),"")</f>
        <v>46199.666666666664</v>
      </c>
      <c r="AK177" s="11">
        <f>IFERROR(IF(MARÍTIMOS[[#This Row],[Etapa Ingreso - Atención]]="","",MARÍTIMOS[[#This Row],[Etapa Ingreso - Atención]]),"")</f>
        <v>46199.680555555555</v>
      </c>
      <c r="AL177" s="11">
        <f>IFERROR(IF(MARÍTIMOS[[#This Row],[Etapa Ingreso - Salida]]="","",MARÍTIMOS[[#This Row],[Etapa Ingreso - Salida]]),"")</f>
        <v>46199.727083333331</v>
      </c>
      <c r="AM177" s="2">
        <f>IFERROR(IF(MARÍTIMOS[[#This Row],[FCL]]="","",MARÍTIMOS[[#This Row],[FCL]]),"")</f>
        <v>1</v>
      </c>
      <c r="AN1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7" s="4" t="str" cm="1">
        <f t="array" ref="AO1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77" s="5">
        <f>IFERROR(OLDBD[[#This Row],[Llegada a packing]]-OLDBD[[#This Row],[Inicio de Ruta]],"")</f>
        <v>0.66180555555911269</v>
      </c>
      <c r="AQ177" s="6">
        <f>IFERROR(OLDBD[[#This Row],[Inicio de Ruta]]-OLDBD[[#This Row],[Salida de almacén de retiro]],"")</f>
        <v>8.819444444088731E-2</v>
      </c>
      <c r="AR1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7" s="8" t="str" cm="1">
        <f t="array" ref="AS1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7" s="9">
        <f>IFERROR(OLDBD[[#This Row],[Ingreso Packing]]-OLDBD[[#This Row],[Registro en Packing]],"")</f>
        <v>0.82708333332993789</v>
      </c>
      <c r="AV177" s="9">
        <f>IFERROR(OLDBD[[#This Row],[Ingreso Packing]]-OLDBD[[#This Row],[Llegada a packing]],"")</f>
        <v>2.1527777775190771E-2</v>
      </c>
      <c r="AW1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77" s="5">
        <f>IFERROR(OLDBD[[#This Row],[Llegada Almacén de Ingreso]]-OLDBD[[#This Row],[Salida Packing]],"")</f>
        <v>-1.1041666666642413</v>
      </c>
      <c r="AY177" s="4" t="str" cm="1">
        <f t="array" ref="AY1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7" s="43" t="s">
        <v>173</v>
      </c>
      <c r="BB177" s="47" t="str">
        <f>IFERROR(IF(MARÍTIMOS[[#This Row],[Estatus]]="","",MARÍTIMOS[[#This Row],[Estatus]]),"")</f>
        <v>Confirmado</v>
      </c>
      <c r="BC177" s="43"/>
      <c r="BD177" s="46">
        <f>IFERROR(OLDBD[[#This Row],[Salida de almacén de retiro]]-OLDBD[[#This Row],[Ingreso Almacén de retiro]],"")</f>
        <v>-1.8749999995634425E-2</v>
      </c>
      <c r="BE177" s="46">
        <f>IFERROR(OLDBD[[#This Row],[Fin de Carga]]-OLDBD[[#This Row],[Inicio de Carga]],"")</f>
        <v>0.27361111110803904</v>
      </c>
    </row>
    <row r="178" spans="1:57" customFormat="1" hidden="1">
      <c r="A178" s="1"/>
      <c r="B178" s="1">
        <f>IFERROR(IF(MARÍTIMOS[[#This Row],[PP]]="","",MARÍTIMOS[[#This Row],[PP]]),"")</f>
        <v>26</v>
      </c>
      <c r="C178" s="1" t="str">
        <f>IFERROR(IF(MARÍTIMOS[[#This Row],[Sede]]="","",MARÍTIMOS[[#This Row],[Sede]]),"")</f>
        <v>Chao</v>
      </c>
      <c r="D178" s="1" t="str">
        <f>IFERROR(IF(MARÍTIMOS[[#This Row],[Instruction]]="","",MARÍTIMOS[[#This Row],[Instruction]]),"")</f>
        <v>RH-0087</v>
      </c>
      <c r="E178" s="1"/>
      <c r="F178" s="2" t="str">
        <f>IFERROR(IF(MARÍTIMOS[[#This Row],[Transportista]]="","",MARÍTIMOS[[#This Row],[Transportista]]),"")</f>
        <v>LIP</v>
      </c>
      <c r="G178" s="2" t="str">
        <f>IFERROR(IF(MARÍTIMOS[[#This Row],[Tercero]]="","",MARÍTIMOS[[#This Row],[Tercero]]),"")</f>
        <v>NO</v>
      </c>
      <c r="H178" s="2" t="str">
        <f>IFERROR(IF(MARÍTIMOS[[#This Row],[Razón Social]]="","",MARÍTIMOS[[#This Row],[Razón Social]]),"")</f>
        <v>LOGISTICA INTERMODAL DEL PERU S.A.C.</v>
      </c>
      <c r="I178" s="2">
        <f>IFERROR(IF(MARÍTIMOS[[#This Row],[RUC]]="","",MARÍTIMOS[[#This Row],[RUC]]),"")</f>
        <v>20513040718</v>
      </c>
      <c r="J178" s="2" t="str">
        <f>IFERROR(IF(MARÍTIMOS[[#This Row],[Placa Tracto]]="","",MARÍTIMOS[[#This Row],[Placa Tracto]]),"")</f>
        <v>AZH-888</v>
      </c>
      <c r="K178" s="2" t="str">
        <f>IFERROR(IF(MARÍTIMOS[[#This Row],[Placa Carreta]]="","",MARÍTIMOS[[#This Row],[Placa Carreta]]),"")</f>
        <v>ALL-988</v>
      </c>
      <c r="L178" s="44" t="str">
        <f>IFERROR(IF(MARÍTIMOS[[#This Row],[Conductor]]="","",MARÍTIMOS[[#This Row],[Conductor]]),"")</f>
        <v>CANCHARI ROSALES DAVID MARCOS</v>
      </c>
      <c r="M178" s="2" t="str">
        <f>IFERROR(IF(MARÍTIMOS[[#This Row],[Licencia]]="","",MARÍTIMOS[[#This Row],[Licencia]]),"")</f>
        <v>Q09911196</v>
      </c>
      <c r="N178" s="2" t="str">
        <f>IFERROR(IF(MARÍTIMOS[[#This Row],[Número de Contacto]]="","",MARÍTIMOS[[#This Row],[Número de Contacto]]),"")</f>
        <v/>
      </c>
      <c r="O178" s="10" t="str">
        <f>IFERROR(IF(MARÍTIMOS[[#This Row],[Booking|AWB|CRT]]="","",MARÍTIMOS[[#This Row],[Booking|AWB|CRT]]),"")</f>
        <v>LIM600226900</v>
      </c>
      <c r="P178" s="2" t="str">
        <f>IFERROR(IF(MARÍTIMOS[[#This Row],[Contenedor]]="","",MARÍTIMOS[[#This Row],[Contenedor]]),"")</f>
        <v>FBIU5334483</v>
      </c>
      <c r="Q178" s="2" t="str">
        <f>IFERROR(IF(MARÍTIMOS[[#This Row],[Puerto de Retiro]]="","",MARÍTIMOS[[#This Row],[Puerto de Retiro]]),"")</f>
        <v>CHANCAY</v>
      </c>
      <c r="R178" s="2" t="str">
        <f>IFERROR(IF(MARÍTIMOS[[#This Row],[Almacén de Retiro]]="","",MARÍTIMOS[[#This Row],[Almacén de Retiro]]),"")</f>
        <v>CONTRANS</v>
      </c>
      <c r="S178" s="11">
        <f>IFERROR(IF(MARÍTIMOS[[#This Row],[Etapa Retiro - Cita]]="","",MARÍTIMOS[[#This Row],[Etapa Retiro - Cita]]),"")</f>
        <v>46199.541666666664</v>
      </c>
      <c r="T178" s="11">
        <f>IFERROR(IF(MARÍTIMOS[[#This Row],[Etapa Retiro - Llegada]]="","",MARÍTIMOS[[#This Row],[Etapa Retiro - Llegada]]),"")</f>
        <v>46199.556250000001</v>
      </c>
      <c r="U178" s="11">
        <f>IFERROR(IF(MARÍTIMOS[[#This Row],[Etapa Retiro - Ingreso]]="","",MARÍTIMOS[[#This Row],[Etapa Retiro - Ingreso]]),"")</f>
        <v>46199.633333333331</v>
      </c>
      <c r="V178" s="11">
        <f>IFERROR(IF(MARÍTIMOS[[#This Row],[Etapa Retiro - Atención]]="","",MARÍTIMOS[[#This Row],[Etapa Retiro - Atención]]),"")</f>
        <v>46199.625</v>
      </c>
      <c r="W178" s="11">
        <f>IFERROR(IF(MARÍTIMOS[[#This Row],[Etapa Retiro - Atención]]="","",MARÍTIMOS[[#This Row],[Etapa Retiro - Atención]]),"")</f>
        <v>46199.625</v>
      </c>
      <c r="X178" s="11">
        <f>IFERROR(IF(MARÍTIMOS[[#This Row],[Etapa Retiro - Inicio de Ruta]]="","",MARÍTIMOS[[#This Row],[Etapa Retiro - Inicio de Ruta]]),"")</f>
        <v>46199.833333333336</v>
      </c>
      <c r="Y178" s="11">
        <f>IFERROR(IF(MARÍTIMOS[[#This Row],[Hora de Posicionamiento]]="","",MARÍTIMOS[[#This Row],[Fecha de Carga]]+MARÍTIMOS[[#This Row],[Hora de Posicionamiento]]),"")</f>
        <v>46200.604166666664</v>
      </c>
      <c r="Z178" s="11">
        <f>IFERROR(IF(MARÍTIMOS[[#This Row],[Etapa Despacho - Llegada]]="","",MARÍTIMOS[[#This Row],[Etapa Despacho - Llegada]]),"")</f>
        <v>46200.375</v>
      </c>
      <c r="AA178" s="11">
        <f>IFERROR(IF(MARÍTIMOS[[#This Row],[Etapa Despacho - Registro]]="","",MARÍTIMOS[[#This Row],[Etapa Despacho - Registro]]),"")</f>
        <v>46199.5625</v>
      </c>
      <c r="AB178" s="11">
        <f>IFERROR(IF(MARÍTIMOS[[#This Row],[Inspección Externa]]="","",MARÍTIMOS[[#This Row],[Inspección Externa]]),"")</f>
        <v>46200.379166666666</v>
      </c>
      <c r="AC178" s="11">
        <f>IFERROR(IF(MARÍTIMOS[[#This Row],[Etapa Despacho - Inicio de Carga]]="","",MARÍTIMOS[[#This Row],[Etapa Despacho - Inicio de Carga]]),"")</f>
        <v>46200.375</v>
      </c>
      <c r="AD178" s="11">
        <f>IFERROR(IF(MARÍTIMOS[[#This Row],[Etapa Despacho - Mitad de Carga]]="","",MARÍTIMOS[[#This Row],[Etapa Despacho - Mitad de Carga]]),"")</f>
        <v>46200.729166666664</v>
      </c>
      <c r="AE178" s="11">
        <f>IFERROR(IF(MARÍTIMOS[[#This Row],[Etapa Despacho - Fin de Carga]]="","",MARÍTIMOS[[#This Row],[Etapa Despacho - Fin de Carga]]),"")</f>
        <v>46200.75</v>
      </c>
      <c r="AF178" s="2" t="str">
        <f>IFERROR(IF(MARÍTIMOS[[#This Row],[Puerto de Embarque]]="","",MARÍTIMOS[[#This Row],[Puerto de Embarque]]),"")</f>
        <v>CHANCAY</v>
      </c>
      <c r="AG178" s="2" t="str">
        <f>IFERROR(IF(MARÍTIMOS[[#This Row],[Almacén de Ingreso]]="","",MARÍTIMOS[[#This Row],[Almacén de Ingreso]]),"")</f>
        <v>CONTRANS</v>
      </c>
      <c r="AH178" s="11">
        <f>IFERROR(IF(MARÍTIMOS[[#This Row],[Etapa Ingreso - Cita]]="","",MARÍTIMOS[[#This Row],[Etapa Ingreso - Cita]]),"")</f>
        <v>46199.541666666664</v>
      </c>
      <c r="AI178" s="11">
        <f>IFERROR(IF(MARÍTIMOS[[#This Row],[Etapa Ingreso - Llegada]]="","",MARÍTIMOS[[#This Row],[Etapa Ingreso - Llegada]]),"")</f>
        <v>46199.556250000001</v>
      </c>
      <c r="AJ178" s="11">
        <f>IFERROR(IF(MARÍTIMOS[[#This Row],[Etapa Ingreso - Ingeso]]="","",MARÍTIMOS[[#This Row],[Etapa Ingreso - Ingeso]]),"")</f>
        <v>46199.597916666666</v>
      </c>
      <c r="AK178" s="11">
        <f>IFERROR(IF(MARÍTIMOS[[#This Row],[Etapa Ingreso - Atención]]="","",MARÍTIMOS[[#This Row],[Etapa Ingreso - Atención]]),"")</f>
        <v>46199.574305555558</v>
      </c>
      <c r="AL178" s="11">
        <f>IFERROR(IF(MARÍTIMOS[[#This Row],[Etapa Ingreso - Salida]]="","",MARÍTIMOS[[#This Row],[Etapa Ingreso - Salida]]),"")</f>
        <v>46199.633333333331</v>
      </c>
      <c r="AM178" s="2">
        <f>IFERROR(IF(MARÍTIMOS[[#This Row],[FCL]]="","",MARÍTIMOS[[#This Row],[FCL]]),"")</f>
        <v>1</v>
      </c>
      <c r="AN1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8" s="4" t="str" cm="1">
        <f t="array" ref="AO1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78" s="5">
        <f>IFERROR(OLDBD[[#This Row],[Llegada a packing]]-OLDBD[[#This Row],[Inicio de Ruta]],"")</f>
        <v>0.54166666666424135</v>
      </c>
      <c r="AQ178" s="6">
        <f>IFERROR(OLDBD[[#This Row],[Inicio de Ruta]]-OLDBD[[#This Row],[Salida de almacén de retiro]],"")</f>
        <v>0.20833333333575865</v>
      </c>
      <c r="AR1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8" s="8" t="str" cm="1">
        <f t="array" ref="AS1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1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8" s="9">
        <f>IFERROR(OLDBD[[#This Row],[Ingreso Packing]]-OLDBD[[#This Row],[Registro en Packing]],"")</f>
        <v>0.81666666666569654</v>
      </c>
      <c r="AV178" s="9">
        <f>IFERROR(OLDBD[[#This Row],[Ingreso Packing]]-OLDBD[[#This Row],[Llegada a packing]],"")</f>
        <v>4.166666665696539E-3</v>
      </c>
      <c r="AW1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178" s="5">
        <f>IFERROR(OLDBD[[#This Row],[Llegada Almacén de Ingreso]]-OLDBD[[#This Row],[Salida Packing]],"")</f>
        <v>-1.1937499999985448</v>
      </c>
      <c r="AY178" s="4" t="str" cm="1">
        <f t="array" ref="AY1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1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8" s="43" t="s">
        <v>173</v>
      </c>
      <c r="BB178" s="47" t="str">
        <f>IFERROR(IF(MARÍTIMOS[[#This Row],[Estatus]]="","",MARÍTIMOS[[#This Row],[Estatus]]),"")</f>
        <v>Confirmado</v>
      </c>
      <c r="BC178" s="43"/>
      <c r="BD178" s="46">
        <f>IFERROR(OLDBD[[#This Row],[Salida de almacén de retiro]]-OLDBD[[#This Row],[Ingreso Almacén de retiro]],"")</f>
        <v>-8.333333331393078E-3</v>
      </c>
      <c r="BE178" s="46">
        <f>IFERROR(OLDBD[[#This Row],[Fin de Carga]]-OLDBD[[#This Row],[Inicio de Carga]],"")</f>
        <v>0.35416666666424135</v>
      </c>
    </row>
    <row r="179" spans="1:57" customFormat="1" hidden="1">
      <c r="A179" s="1"/>
      <c r="B179" s="1">
        <f>IFERROR(IF(MARÍTIMOS[[#This Row],[PP]]="","",MARÍTIMOS[[#This Row],[PP]]),"")</f>
        <v>26</v>
      </c>
      <c r="C179" s="1" t="str">
        <f>IFERROR(IF(MARÍTIMOS[[#This Row],[Sede]]="","",MARÍTIMOS[[#This Row],[Sede]]),"")</f>
        <v>Chao</v>
      </c>
      <c r="D179" s="1" t="str">
        <f>IFERROR(IF(MARÍTIMOS[[#This Row],[Instruction]]="","",MARÍTIMOS[[#This Row],[Instruction]]),"")</f>
        <v>RH-0088</v>
      </c>
      <c r="E179" s="1"/>
      <c r="F179" s="2" t="str">
        <f>IFERROR(IF(MARÍTIMOS[[#This Row],[Transportista]]="","",MARÍTIMOS[[#This Row],[Transportista]]),"")</f>
        <v>LIP</v>
      </c>
      <c r="G179" s="2" t="str">
        <f>IFERROR(IF(MARÍTIMOS[[#This Row],[Tercero]]="","",MARÍTIMOS[[#This Row],[Tercero]]),"")</f>
        <v>SI</v>
      </c>
      <c r="H179" s="2" t="str">
        <f>IFERROR(IF(MARÍTIMOS[[#This Row],[Razón Social]]="","",MARÍTIMOS[[#This Row],[Razón Social]]),"")</f>
        <v xml:space="preserve">INVERSIONES CHICHO S.A.C.
</v>
      </c>
      <c r="I179" s="2">
        <f>IFERROR(IF(MARÍTIMOS[[#This Row],[RUC]]="","",MARÍTIMOS[[#This Row],[RUC]]),"")</f>
        <v>20544360842</v>
      </c>
      <c r="J179" s="2" t="str">
        <f>IFERROR(IF(MARÍTIMOS[[#This Row],[Placa Tracto]]="","",MARÍTIMOS[[#This Row],[Placa Tracto]]),"")</f>
        <v>AYO-885</v>
      </c>
      <c r="K179" s="2" t="str">
        <f>IFERROR(IF(MARÍTIMOS[[#This Row],[Placa Carreta]]="","",MARÍTIMOS[[#This Row],[Placa Carreta]]),"")</f>
        <v>ALF-998</v>
      </c>
      <c r="L179" s="44" t="str">
        <f>IFERROR(IF(MARÍTIMOS[[#This Row],[Conductor]]="","",MARÍTIMOS[[#This Row],[Conductor]]),"")</f>
        <v>VILLANUEVA ABARCA NESTOR ARISTOBAL</v>
      </c>
      <c r="M179" s="2" t="str">
        <f>IFERROR(IF(MARÍTIMOS[[#This Row],[Licencia]]="","",MARÍTIMOS[[#This Row],[Licencia]]),"")</f>
        <v>Q40222578</v>
      </c>
      <c r="N179" s="2" t="str">
        <f>IFERROR(IF(MARÍTIMOS[[#This Row],[Número de Contacto]]="","",MARÍTIMOS[[#This Row],[Número de Contacto]]),"")</f>
        <v/>
      </c>
      <c r="O179" s="10">
        <f>IFERROR(IF(MARÍTIMOS[[#This Row],[Booking|AWB|CRT]]="","",MARÍTIMOS[[#This Row],[Booking|AWB|CRT]]),"")</f>
        <v>751600035743</v>
      </c>
      <c r="P179" s="2" t="str">
        <f>IFERROR(IF(MARÍTIMOS[[#This Row],[Contenedor]]="","",MARÍTIMOS[[#This Row],[Contenedor]]),"")</f>
        <v>EMCU5507741</v>
      </c>
      <c r="Q179" s="2" t="str">
        <f>IFERROR(IF(MARÍTIMOS[[#This Row],[Puerto de Retiro]]="","",MARÍTIMOS[[#This Row],[Puerto de Retiro]]),"")</f>
        <v>CHANCAY</v>
      </c>
      <c r="R179" s="2" t="str">
        <f>IFERROR(IF(MARÍTIMOS[[#This Row],[Almacén de Retiro]]="","",MARÍTIMOS[[#This Row],[Almacén de Retiro]]),"")</f>
        <v>IMUPESA</v>
      </c>
      <c r="S179" s="11">
        <f>IFERROR(IF(MARÍTIMOS[[#This Row],[Etapa Retiro - Cita]]="","",MARÍTIMOS[[#This Row],[Etapa Retiro - Cita]]),"")</f>
        <v>46199.541666666664</v>
      </c>
      <c r="T179" s="11">
        <f>IFERROR(IF(MARÍTIMOS[[#This Row],[Etapa Retiro - Llegada]]="","",MARÍTIMOS[[#This Row],[Etapa Retiro - Llegada]]),"")</f>
        <v>46199.560416666667</v>
      </c>
      <c r="U179" s="11">
        <f>IFERROR(IF(MARÍTIMOS[[#This Row],[Etapa Retiro - Ingreso]]="","",MARÍTIMOS[[#This Row],[Etapa Retiro - Ingreso]]),"")</f>
        <v>46199.681944444441</v>
      </c>
      <c r="V179" s="11">
        <f>IFERROR(IF(MARÍTIMOS[[#This Row],[Etapa Retiro - Atención]]="","",MARÍTIMOS[[#This Row],[Etapa Retiro - Atención]]),"")</f>
        <v>46199.666666666664</v>
      </c>
      <c r="W179" s="11">
        <f>IFERROR(IF(MARÍTIMOS[[#This Row],[Etapa Retiro - Atención]]="","",MARÍTIMOS[[#This Row],[Etapa Retiro - Atención]]),"")</f>
        <v>46199.666666666664</v>
      </c>
      <c r="X179" s="11">
        <f>IFERROR(IF(MARÍTIMOS[[#This Row],[Etapa Retiro - Inicio de Ruta]]="","",MARÍTIMOS[[#This Row],[Etapa Retiro - Inicio de Ruta]]),"")</f>
        <v>46199.916666666664</v>
      </c>
      <c r="Y179" s="11">
        <f>IFERROR(IF(MARÍTIMOS[[#This Row],[Hora de Posicionamiento]]="","",MARÍTIMOS[[#This Row],[Fecha de Carga]]+MARÍTIMOS[[#This Row],[Hora de Posicionamiento]]),"")</f>
        <v>46200.645833333336</v>
      </c>
      <c r="Z179" s="11">
        <f>IFERROR(IF(MARÍTIMOS[[#This Row],[Etapa Despacho - Llegada]]="","",MARÍTIMOS[[#This Row],[Etapa Despacho - Llegada]]),"")</f>
        <v>46200.458333333336</v>
      </c>
      <c r="AA179" s="11">
        <f>IFERROR(IF(MARÍTIMOS[[#This Row],[Etapa Despacho - Registro]]="","",MARÍTIMOS[[#This Row],[Etapa Despacho - Registro]]),"")</f>
        <v>46199.569444444445</v>
      </c>
      <c r="AB179" s="11">
        <f>IFERROR(IF(MARÍTIMOS[[#This Row],[Inspección Externa]]="","",MARÍTIMOS[[#This Row],[Inspección Externa]]),"")</f>
        <v>46200.481249999997</v>
      </c>
      <c r="AC179" s="11">
        <f>IFERROR(IF(MARÍTIMOS[[#This Row],[Etapa Despacho - Inicio de Carga]]="","",MARÍTIMOS[[#This Row],[Etapa Despacho - Inicio de Carga]]),"")</f>
        <v>46200.458333333336</v>
      </c>
      <c r="AD179" s="11">
        <f>IFERROR(IF(MARÍTIMOS[[#This Row],[Etapa Despacho - Mitad de Carga]]="","",MARÍTIMOS[[#This Row],[Etapa Despacho - Mitad de Carga]]),"")</f>
        <v>46200.730555555558</v>
      </c>
      <c r="AE179" s="11">
        <f>IFERROR(IF(MARÍTIMOS[[#This Row],[Etapa Despacho - Fin de Carga]]="","",MARÍTIMOS[[#This Row],[Etapa Despacho - Fin de Carga]]),"")</f>
        <v>46200.75</v>
      </c>
      <c r="AF179" s="2" t="str">
        <f>IFERROR(IF(MARÍTIMOS[[#This Row],[Puerto de Embarque]]="","",MARÍTIMOS[[#This Row],[Puerto de Embarque]]),"")</f>
        <v>CHANCAY</v>
      </c>
      <c r="AG179" s="2" t="str">
        <f>IFERROR(IF(MARÍTIMOS[[#This Row],[Almacén de Ingreso]]="","",MARÍTIMOS[[#This Row],[Almacén de Ingreso]]),"")</f>
        <v>IMUPESA</v>
      </c>
      <c r="AH179" s="11">
        <f>IFERROR(IF(MARÍTIMOS[[#This Row],[Etapa Ingreso - Cita]]="","",MARÍTIMOS[[#This Row],[Etapa Ingreso - Cita]]),"")</f>
        <v>46199.541666666664</v>
      </c>
      <c r="AI179" s="11">
        <f>IFERROR(IF(MARÍTIMOS[[#This Row],[Etapa Ingreso - Llegada]]="","",MARÍTIMOS[[#This Row],[Etapa Ingreso - Llegada]]),"")</f>
        <v>46199.560416666667</v>
      </c>
      <c r="AJ179" s="11">
        <f>IFERROR(IF(MARÍTIMOS[[#This Row],[Etapa Ingreso - Ingeso]]="","",MARÍTIMOS[[#This Row],[Etapa Ingreso - Ingeso]]),"")</f>
        <v>46199.643750000003</v>
      </c>
      <c r="AK179" s="11">
        <f>IFERROR(IF(MARÍTIMOS[[#This Row],[Etapa Ingreso - Atención]]="","",MARÍTIMOS[[#This Row],[Etapa Ingreso - Atención]]),"")</f>
        <v>46199.63958333333</v>
      </c>
      <c r="AL179" s="11">
        <f>IFERROR(IF(MARÍTIMOS[[#This Row],[Etapa Ingreso - Salida]]="","",MARÍTIMOS[[#This Row],[Etapa Ingreso - Salida]]),"")</f>
        <v>46199.681944444441</v>
      </c>
      <c r="AM179" s="2">
        <f>IFERROR(IF(MARÍTIMOS[[#This Row],[FCL]]="","",MARÍTIMOS[[#This Row],[FCL]]),"")</f>
        <v>1</v>
      </c>
      <c r="AN1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79" s="4" t="str" cm="1">
        <f t="array" ref="AO1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79" s="5">
        <f>IFERROR(OLDBD[[#This Row],[Llegada a packing]]-OLDBD[[#This Row],[Inicio de Ruta]],"")</f>
        <v>0.54166666667151731</v>
      </c>
      <c r="AQ179" s="6">
        <f>IFERROR(OLDBD[[#This Row],[Inicio de Ruta]]-OLDBD[[#This Row],[Salida de almacén de retiro]],"")</f>
        <v>0.25</v>
      </c>
      <c r="AR1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79" s="8" t="str" cm="1">
        <f t="array" ref="AS1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79" s="9">
        <f>IFERROR(OLDBD[[#This Row],[Ingreso Packing]]-OLDBD[[#This Row],[Registro en Packing]],"")</f>
        <v>0.91180555555183673</v>
      </c>
      <c r="AV179" s="9">
        <f>IFERROR(OLDBD[[#This Row],[Ingreso Packing]]-OLDBD[[#This Row],[Llegada a packing]],"")</f>
        <v>2.2916666661330964E-2</v>
      </c>
      <c r="AW1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79" s="5">
        <f>IFERROR(OLDBD[[#This Row],[Llegada Almacén de Ingreso]]-OLDBD[[#This Row],[Salida Packing]],"")</f>
        <v>-1.1895833333328483</v>
      </c>
      <c r="AY179" s="4" t="str" cm="1">
        <f t="array" ref="AY1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79" s="43" t="s">
        <v>173</v>
      </c>
      <c r="BB179" s="47" t="str">
        <f>IFERROR(IF(MARÍTIMOS[[#This Row],[Estatus]]="","",MARÍTIMOS[[#This Row],[Estatus]]),"")</f>
        <v>Confirmado</v>
      </c>
      <c r="BC179" s="43"/>
      <c r="BD179" s="46">
        <f>IFERROR(OLDBD[[#This Row],[Salida de almacén de retiro]]-OLDBD[[#This Row],[Ingreso Almacén de retiro]],"")</f>
        <v>-1.5277777776645962E-2</v>
      </c>
      <c r="BE179" s="46">
        <f>IFERROR(OLDBD[[#This Row],[Fin de Carga]]-OLDBD[[#This Row],[Inicio de Carga]],"")</f>
        <v>0.27222222222189885</v>
      </c>
    </row>
    <row r="180" spans="1:57" customFormat="1" hidden="1">
      <c r="A180" s="1"/>
      <c r="B180" s="1">
        <f>IFERROR(IF(MARÍTIMOS[[#This Row],[PP]]="","",MARÍTIMOS[[#This Row],[PP]]),"")</f>
        <v>26</v>
      </c>
      <c r="C180" s="1" t="str">
        <f>IFERROR(IF(MARÍTIMOS[[#This Row],[Sede]]="","",MARÍTIMOS[[#This Row],[Sede]]),"")</f>
        <v>Chao</v>
      </c>
      <c r="D180" s="1" t="str">
        <f>IFERROR(IF(MARÍTIMOS[[#This Row],[Instruction]]="","",MARÍTIMOS[[#This Row],[Instruction]]),"")</f>
        <v>RH-0089</v>
      </c>
      <c r="E180" s="1"/>
      <c r="F180" s="2" t="str">
        <f>IFERROR(IF(MARÍTIMOS[[#This Row],[Transportista]]="","",MARÍTIMOS[[#This Row],[Transportista]]),"")</f>
        <v>LIP</v>
      </c>
      <c r="G180" s="2" t="str">
        <f>IFERROR(IF(MARÍTIMOS[[#This Row],[Tercero]]="","",MARÍTIMOS[[#This Row],[Tercero]]),"")</f>
        <v>NO</v>
      </c>
      <c r="H180" s="2" t="str">
        <f>IFERROR(IF(MARÍTIMOS[[#This Row],[Razón Social]]="","",MARÍTIMOS[[#This Row],[Razón Social]]),"")</f>
        <v>LOGISTICA INTERMODAL DEL PERU S.A.C.</v>
      </c>
      <c r="I180" s="2">
        <f>IFERROR(IF(MARÍTIMOS[[#This Row],[RUC]]="","",MARÍTIMOS[[#This Row],[RUC]]),"")</f>
        <v>20513040718</v>
      </c>
      <c r="J180" s="2" t="str">
        <f>IFERROR(IF(MARÍTIMOS[[#This Row],[Placa Tracto]]="","",MARÍTIMOS[[#This Row],[Placa Tracto]]),"")</f>
        <v>BPR-716</v>
      </c>
      <c r="K180" s="2" t="str">
        <f>IFERROR(IF(MARÍTIMOS[[#This Row],[Placa Carreta]]="","",MARÍTIMOS[[#This Row],[Placa Carreta]]),"")</f>
        <v>BBS-982</v>
      </c>
      <c r="L180" s="44" t="str">
        <f>IFERROR(IF(MARÍTIMOS[[#This Row],[Conductor]]="","",MARÍTIMOS[[#This Row],[Conductor]]),"")</f>
        <v>SOTELO BRAVO MIGUEL ANGEL</v>
      </c>
      <c r="M180" s="2" t="str">
        <f>IFERROR(IF(MARÍTIMOS[[#This Row],[Licencia]]="","",MARÍTIMOS[[#This Row],[Licencia]]),"")</f>
        <v>R25423621</v>
      </c>
      <c r="N180" s="2" t="str">
        <f>IFERROR(IF(MARÍTIMOS[[#This Row],[Número de Contacto]]="","",MARÍTIMOS[[#This Row],[Número de Contacto]]),"")</f>
        <v/>
      </c>
      <c r="O180" s="10">
        <f>IFERROR(IF(MARÍTIMOS[[#This Row],[Booking|AWB|CRT]]="","",MARÍTIMOS[[#This Row],[Booking|AWB|CRT]]),"")</f>
        <v>272562256</v>
      </c>
      <c r="P180" s="2" t="str">
        <f>IFERROR(IF(MARÍTIMOS[[#This Row],[Contenedor]]="","",MARÍTIMOS[[#This Row],[Contenedor]]),"")</f>
        <v>MNBU3923350</v>
      </c>
      <c r="Q180" s="2" t="str">
        <f>IFERROR(IF(MARÍTIMOS[[#This Row],[Puerto de Retiro]]="","",MARÍTIMOS[[#This Row],[Puerto de Retiro]]),"")</f>
        <v>CALLAO</v>
      </c>
      <c r="R180" s="2" t="str">
        <f>IFERROR(IF(MARÍTIMOS[[#This Row],[Almacén de Retiro]]="","",MARÍTIMOS[[#This Row],[Almacén de Retiro]]),"")</f>
        <v>DPW</v>
      </c>
      <c r="S180" s="11">
        <f>IFERROR(IF(MARÍTIMOS[[#This Row],[Etapa Retiro - Cita]]="","",MARÍTIMOS[[#This Row],[Etapa Retiro - Cita]]),"")</f>
        <v>0.83333333333333337</v>
      </c>
      <c r="T180" s="11">
        <f>IFERROR(IF(MARÍTIMOS[[#This Row],[Etapa Retiro - Llegada]]="","",MARÍTIMOS[[#This Row],[Etapa Retiro - Llegada]]),"")</f>
        <v>0.85763888888888884</v>
      </c>
      <c r="U180" s="11">
        <f>IFERROR(IF(MARÍTIMOS[[#This Row],[Etapa Retiro - Ingreso]]="","",MARÍTIMOS[[#This Row],[Etapa Retiro - Ingreso]]),"")</f>
        <v>46197.994444444441</v>
      </c>
      <c r="V180" s="11">
        <f>IFERROR(IF(MARÍTIMOS[[#This Row],[Etapa Retiro - Atención]]="","",MARÍTIMOS[[#This Row],[Etapa Retiro - Atención]]),"")</f>
        <v>46198</v>
      </c>
      <c r="W180" s="11">
        <f>IFERROR(IF(MARÍTIMOS[[#This Row],[Etapa Retiro - Atención]]="","",MARÍTIMOS[[#This Row],[Etapa Retiro - Atención]]),"")</f>
        <v>46198</v>
      </c>
      <c r="X180" s="11">
        <f>IFERROR(IF(MARÍTIMOS[[#This Row],[Etapa Retiro - Inicio de Ruta]]="","",MARÍTIMOS[[#This Row],[Etapa Retiro - Inicio de Ruta]]),"")</f>
        <v>46198.125</v>
      </c>
      <c r="Y180" s="11">
        <f>IFERROR(IF(MARÍTIMOS[[#This Row],[Hora de Posicionamiento]]="","",MARÍTIMOS[[#This Row],[Fecha de Carga]]+MARÍTIMOS[[#This Row],[Hora de Posicionamiento]]),"")</f>
        <v>46198.541666666664</v>
      </c>
      <c r="Z180" s="11">
        <f>IFERROR(IF(MARÍTIMOS[[#This Row],[Etapa Despacho - Llegada]]="","",MARÍTIMOS[[#This Row],[Etapa Despacho - Llegada]]),"")</f>
        <v>46198.583333333336</v>
      </c>
      <c r="AA180" s="11">
        <f>IFERROR(IF(MARÍTIMOS[[#This Row],[Etapa Despacho - Registro]]="","",MARÍTIMOS[[#This Row],[Etapa Despacho - Registro]]),"")</f>
        <v>46199.354166666664</v>
      </c>
      <c r="AB180" s="11">
        <f>IFERROR(IF(MARÍTIMOS[[#This Row],[Inspección Externa]]="","",MARÍTIMOS[[#This Row],[Inspección Externa]]),"")</f>
        <v>46198.586111111108</v>
      </c>
      <c r="AC180" s="11">
        <f>IFERROR(IF(MARÍTIMOS[[#This Row],[Etapa Despacho - Inicio de Carga]]="","",MARÍTIMOS[[#This Row],[Etapa Despacho - Inicio de Carga]]),"")</f>
        <v>46198.625</v>
      </c>
      <c r="AD180" s="11">
        <f>IFERROR(IF(MARÍTIMOS[[#This Row],[Etapa Despacho - Mitad de Carga]]="","",MARÍTIMOS[[#This Row],[Etapa Despacho - Mitad de Carga]]),"")</f>
        <v>46198.696527777778</v>
      </c>
      <c r="AE180" s="11">
        <f>IFERROR(IF(MARÍTIMOS[[#This Row],[Etapa Despacho - Fin de Carga]]="","",MARÍTIMOS[[#This Row],[Etapa Despacho - Fin de Carga]]),"")</f>
        <v>46198.708333333336</v>
      </c>
      <c r="AF180" s="2" t="str">
        <f>IFERROR(IF(MARÍTIMOS[[#This Row],[Puerto de Embarque]]="","",MARÍTIMOS[[#This Row],[Puerto de Embarque]]),"")</f>
        <v>CALLAO</v>
      </c>
      <c r="AG180" s="2" t="str">
        <f>IFERROR(IF(MARÍTIMOS[[#This Row],[Almacén de Ingreso]]="","",MARÍTIMOS[[#This Row],[Almacén de Ingreso]]),"")</f>
        <v>APM</v>
      </c>
      <c r="AH180" s="11">
        <f>IFERROR(IF(MARÍTIMOS[[#This Row],[Etapa Ingreso - Cita]]="","",MARÍTIMOS[[#This Row],[Etapa Ingreso - Cita]]),"")</f>
        <v>46199.333333333336</v>
      </c>
      <c r="AI180" s="11">
        <f>IFERROR(IF(MARÍTIMOS[[#This Row],[Etapa Ingreso - Llegada]]="","",MARÍTIMOS[[#This Row],[Etapa Ingreso - Llegada]]),"")</f>
        <v>46199.347916666666</v>
      </c>
      <c r="AJ180" s="11">
        <f>IFERROR(IF(MARÍTIMOS[[#This Row],[Etapa Ingreso - Ingeso]]="","",MARÍTIMOS[[#This Row],[Etapa Ingreso - Ingeso]]),"")</f>
        <v>46199.405555555553</v>
      </c>
      <c r="AK180" s="11">
        <f>IFERROR(IF(MARÍTIMOS[[#This Row],[Etapa Ingreso - Atención]]="","",MARÍTIMOS[[#This Row],[Etapa Ingreso - Atención]]),"")</f>
        <v>46199.416666666664</v>
      </c>
      <c r="AL180" s="11">
        <f>IFERROR(IF(MARÍTIMOS[[#This Row],[Etapa Ingreso - Salida]]="","",MARÍTIMOS[[#This Row],[Etapa Ingreso - Salida]]),"")</f>
        <v>46199.422222222223</v>
      </c>
      <c r="AM180" s="2">
        <f>IFERROR(IF(MARÍTIMOS[[#This Row],[FCL]]="","",MARÍTIMOS[[#This Row],[FCL]]),"")</f>
        <v>1</v>
      </c>
      <c r="AN1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0" s="4" t="str" cm="1">
        <f t="array" ref="AO1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80" s="5">
        <f>IFERROR(OLDBD[[#This Row],[Llegada a packing]]-OLDBD[[#This Row],[Inicio de Ruta]],"")</f>
        <v>0.45833333333575865</v>
      </c>
      <c r="AQ180" s="6">
        <f>IFERROR(OLDBD[[#This Row],[Inicio de Ruta]]-OLDBD[[#This Row],[Salida de almacén de retiro]],"")</f>
        <v>0.125</v>
      </c>
      <c r="AR1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180" s="8" t="str" cm="1">
        <f t="array" ref="AS1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80" s="9">
        <f>IFERROR(OLDBD[[#This Row],[Ingreso Packing]]-OLDBD[[#This Row],[Registro en Packing]],"")</f>
        <v>-0.76805555555620231</v>
      </c>
      <c r="AV180" s="9">
        <f>IFERROR(OLDBD[[#This Row],[Ingreso Packing]]-OLDBD[[#This Row],[Llegada a packing]],"")</f>
        <v>2.7777777722803876E-3</v>
      </c>
      <c r="AW1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80" s="5">
        <f>IFERROR(OLDBD[[#This Row],[Llegada Almacén de Ingreso]]-OLDBD[[#This Row],[Salida Packing]],"")</f>
        <v>0.63958333332993789</v>
      </c>
      <c r="AY180" s="4" t="str" cm="1">
        <f t="array" ref="AY1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0" s="43" t="s">
        <v>173</v>
      </c>
      <c r="BB180" s="47" t="str">
        <f>IFERROR(IF(MARÍTIMOS[[#This Row],[Estatus]]="","",MARÍTIMOS[[#This Row],[Estatus]]),"")</f>
        <v>Confirmado</v>
      </c>
      <c r="BC180" s="43"/>
      <c r="BD180" s="46">
        <f>IFERROR(OLDBD[[#This Row],[Salida de almacén de retiro]]-OLDBD[[#This Row],[Ingreso Almacén de retiro]],"")</f>
        <v>5.5555555591126904E-3</v>
      </c>
      <c r="BE180" s="46">
        <f>IFERROR(OLDBD[[#This Row],[Fin de Carga]]-OLDBD[[#This Row],[Inicio de Carga]],"")</f>
        <v>7.1527777778101154E-2</v>
      </c>
    </row>
    <row r="181" spans="1:57" customFormat="1" hidden="1">
      <c r="A181" s="1"/>
      <c r="B181" s="1">
        <f>IFERROR(IF(MARÍTIMOS[[#This Row],[PP]]="","",MARÍTIMOS[[#This Row],[PP]]),"")</f>
        <v>26</v>
      </c>
      <c r="C181" s="1" t="str">
        <f>IFERROR(IF(MARÍTIMOS[[#This Row],[Sede]]="","",MARÍTIMOS[[#This Row],[Sede]]),"")</f>
        <v>Chao</v>
      </c>
      <c r="D181" s="1" t="str">
        <f>IFERROR(IF(MARÍTIMOS[[#This Row],[Instruction]]="","",MARÍTIMOS[[#This Row],[Instruction]]),"")</f>
        <v>RH-0092</v>
      </c>
      <c r="E181" s="1"/>
      <c r="F181" s="2" t="str">
        <f>IFERROR(IF(MARÍTIMOS[[#This Row],[Transportista]]="","",MARÍTIMOS[[#This Row],[Transportista]]),"")</f>
        <v>LIP</v>
      </c>
      <c r="G181" s="2" t="str">
        <f>IFERROR(IF(MARÍTIMOS[[#This Row],[Tercero]]="","",MARÍTIMOS[[#This Row],[Tercero]]),"")</f>
        <v>NO</v>
      </c>
      <c r="H181" s="2" t="str">
        <f>IFERROR(IF(MARÍTIMOS[[#This Row],[Razón Social]]="","",MARÍTIMOS[[#This Row],[Razón Social]]),"")</f>
        <v>LOGISTICA INTERMODAL DEL PERU S.A.C.</v>
      </c>
      <c r="I181" s="2">
        <f>IFERROR(IF(MARÍTIMOS[[#This Row],[RUC]]="","",MARÍTIMOS[[#This Row],[RUC]]),"")</f>
        <v>20513040718</v>
      </c>
      <c r="J181" s="2" t="str">
        <f>IFERROR(IF(MARÍTIMOS[[#This Row],[Placa Tracto]]="","",MARÍTIMOS[[#This Row],[Placa Tracto]]),"")</f>
        <v>BMT-835</v>
      </c>
      <c r="K181" s="2" t="str">
        <f>IFERROR(IF(MARÍTIMOS[[#This Row],[Placa Carreta]]="","",MARÍTIMOS[[#This Row],[Placa Carreta]]),"")</f>
        <v>BVZ-976</v>
      </c>
      <c r="L181" s="44" t="str">
        <f>IFERROR(IF(MARÍTIMOS[[#This Row],[Conductor]]="","",MARÍTIMOS[[#This Row],[Conductor]]),"")</f>
        <v>MORENO ZAPATA FILIBERTO ESTEBAN</v>
      </c>
      <c r="M181" s="2" t="str">
        <f>IFERROR(IF(MARÍTIMOS[[#This Row],[Licencia]]="","",MARÍTIMOS[[#This Row],[Licencia]]),"")</f>
        <v>Q15725771</v>
      </c>
      <c r="N181" s="2" t="str">
        <f>IFERROR(IF(MARÍTIMOS[[#This Row],[Número de Contacto]]="","",MARÍTIMOS[[#This Row],[Número de Contacto]]),"")</f>
        <v/>
      </c>
      <c r="O181" s="10">
        <f>IFERROR(IF(MARÍTIMOS[[#This Row],[Booking|AWB|CRT]]="","",MARÍTIMOS[[#This Row],[Booking|AWB|CRT]]),"")</f>
        <v>751600035778</v>
      </c>
      <c r="P181" s="2" t="str">
        <f>IFERROR(IF(MARÍTIMOS[[#This Row],[Contenedor]]="","",MARÍTIMOS[[#This Row],[Contenedor]]),"")</f>
        <v>EMCU5613050</v>
      </c>
      <c r="Q181" s="2" t="str">
        <f>IFERROR(IF(MARÍTIMOS[[#This Row],[Puerto de Retiro]]="","",MARÍTIMOS[[#This Row],[Puerto de Retiro]]),"")</f>
        <v>CALLAO</v>
      </c>
      <c r="R181" s="2" t="str">
        <f>IFERROR(IF(MARÍTIMOS[[#This Row],[Almacén de Retiro]]="","",MARÍTIMOS[[#This Row],[Almacén de Retiro]]),"")</f>
        <v>DPW</v>
      </c>
      <c r="S181" s="11">
        <f>IFERROR(IF(MARÍTIMOS[[#This Row],[Etapa Retiro - Cita]]="","",MARÍTIMOS[[#This Row],[Etapa Retiro - Cita]]),"")</f>
        <v>46200.541666666664</v>
      </c>
      <c r="T181" s="11">
        <f>IFERROR(IF(MARÍTIMOS[[#This Row],[Etapa Retiro - Llegada]]="","",MARÍTIMOS[[#This Row],[Etapa Retiro - Llegada]]),"")</f>
        <v>46200.556944444441</v>
      </c>
      <c r="U181" s="11">
        <f>IFERROR(IF(MARÍTIMOS[[#This Row],[Etapa Retiro - Ingreso]]="","",MARÍTIMOS[[#This Row],[Etapa Retiro - Ingreso]]),"")</f>
        <v>46200.574999999997</v>
      </c>
      <c r="V181" s="11">
        <f>IFERROR(IF(MARÍTIMOS[[#This Row],[Etapa Retiro - Atención]]="","",MARÍTIMOS[[#This Row],[Etapa Retiro - Atención]]),"")</f>
        <v>46200.625</v>
      </c>
      <c r="W181" s="11">
        <f>IFERROR(IF(MARÍTIMOS[[#This Row],[Etapa Retiro - Atención]]="","",MARÍTIMOS[[#This Row],[Etapa Retiro - Atención]]),"")</f>
        <v>46200.625</v>
      </c>
      <c r="X181" s="11">
        <f>IFERROR(IF(MARÍTIMOS[[#This Row],[Etapa Retiro - Inicio de Ruta]]="","",MARÍTIMOS[[#This Row],[Etapa Retiro - Inicio de Ruta]]),"")</f>
        <v>46200.708333333336</v>
      </c>
      <c r="Y181" s="11">
        <f>IFERROR(IF(MARÍTIMOS[[#This Row],[Hora de Posicionamiento]]="","",MARÍTIMOS[[#This Row],[Fecha de Carga]]+MARÍTIMOS[[#This Row],[Hora de Posicionamiento]]),"")</f>
        <v>46201.645833333336</v>
      </c>
      <c r="Z181" s="11">
        <f>IFERROR(IF(MARÍTIMOS[[#This Row],[Etapa Despacho - Llegada]]="","",MARÍTIMOS[[#This Row],[Etapa Despacho - Llegada]]),"")</f>
        <v>46201.583333333336</v>
      </c>
      <c r="AA181" s="11">
        <f>IFERROR(IF(MARÍTIMOS[[#This Row],[Etapa Despacho - Registro]]="","",MARÍTIMOS[[#This Row],[Etapa Despacho - Registro]]),"")</f>
        <v>46202.583333333336</v>
      </c>
      <c r="AB181" s="11">
        <f>IFERROR(IF(MARÍTIMOS[[#This Row],[Inspección Externa]]="","",MARÍTIMOS[[#This Row],[Inspección Externa]]),"")</f>
        <v>46201.590277777781</v>
      </c>
      <c r="AC181" s="11">
        <f>IFERROR(IF(MARÍTIMOS[[#This Row],[Etapa Despacho - Inicio de Carga]]="","",MARÍTIMOS[[#This Row],[Etapa Despacho - Inicio de Carga]]),"")</f>
        <v>46201.625</v>
      </c>
      <c r="AD181" s="11">
        <f>IFERROR(IF(MARÍTIMOS[[#This Row],[Etapa Despacho - Mitad de Carga]]="","",MARÍTIMOS[[#This Row],[Etapa Despacho - Mitad de Carga]]),"")</f>
        <v>46201.820138888892</v>
      </c>
      <c r="AE181" s="11">
        <f>IFERROR(IF(MARÍTIMOS[[#This Row],[Etapa Despacho - Fin de Carga]]="","",MARÍTIMOS[[#This Row],[Etapa Despacho - Fin de Carga]]),"")</f>
        <v>46201.833333333336</v>
      </c>
      <c r="AF181" s="2" t="str">
        <f>IFERROR(IF(MARÍTIMOS[[#This Row],[Puerto de Embarque]]="","",MARÍTIMOS[[#This Row],[Puerto de Embarque]]),"")</f>
        <v>CALLAO</v>
      </c>
      <c r="AG181" s="2" t="str">
        <f>IFERROR(IF(MARÍTIMOS[[#This Row],[Almacén de Ingreso]]="","",MARÍTIMOS[[#This Row],[Almacén de Ingreso]]),"")</f>
        <v>DPW</v>
      </c>
      <c r="AH181" s="11">
        <f>IFERROR(IF(MARÍTIMOS[[#This Row],[Etapa Ingreso - Cita]]="","",MARÍTIMOS[[#This Row],[Etapa Ingreso - Cita]]),"")</f>
        <v>46202.541666666664</v>
      </c>
      <c r="AI181" s="11">
        <f>IFERROR(IF(MARÍTIMOS[[#This Row],[Etapa Ingreso - Llegada]]="","",MARÍTIMOS[[#This Row],[Etapa Ingreso - Llegada]]),"")</f>
        <v>46202.577777777777</v>
      </c>
      <c r="AJ181" s="11">
        <f>IFERROR(IF(MARÍTIMOS[[#This Row],[Etapa Ingreso - Ingeso]]="","",MARÍTIMOS[[#This Row],[Etapa Ingreso - Ingeso]]),"")</f>
        <v>46202.583333333336</v>
      </c>
      <c r="AK181" s="11">
        <f>IFERROR(IF(MARÍTIMOS[[#This Row],[Etapa Ingreso - Atención]]="","",MARÍTIMOS[[#This Row],[Etapa Ingreso - Atención]]),"")</f>
        <v>46202.604861111111</v>
      </c>
      <c r="AL181" s="11">
        <f>IFERROR(IF(MARÍTIMOS[[#This Row],[Etapa Ingreso - Salida]]="","",MARÍTIMOS[[#This Row],[Etapa Ingreso - Salida]]),"")</f>
        <v>46202.618750000001</v>
      </c>
      <c r="AM181" s="2">
        <f>IFERROR(IF(MARÍTIMOS[[#This Row],[FCL]]="","",MARÍTIMOS[[#This Row],[FCL]]),"")</f>
        <v>1</v>
      </c>
      <c r="AN1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1" s="4" t="str" cm="1">
        <f t="array" ref="AO1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81" s="5">
        <f>IFERROR(OLDBD[[#This Row],[Llegada a packing]]-OLDBD[[#This Row],[Inicio de Ruta]],"")</f>
        <v>0.875</v>
      </c>
      <c r="AQ181" s="6">
        <f>IFERROR(OLDBD[[#This Row],[Inicio de Ruta]]-OLDBD[[#This Row],[Salida de almacén de retiro]],"")</f>
        <v>8.3333333335758653E-2</v>
      </c>
      <c r="AR1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81" s="8" t="str" cm="1">
        <f t="array" ref="AS1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81" s="9">
        <f>IFERROR(OLDBD[[#This Row],[Ingreso Packing]]-OLDBD[[#This Row],[Registro en Packing]],"")</f>
        <v>-0.99305555555474712</v>
      </c>
      <c r="AV181" s="9">
        <f>IFERROR(OLDBD[[#This Row],[Ingreso Packing]]-OLDBD[[#This Row],[Llegada a packing]],"")</f>
        <v>6.9444444452528842E-3</v>
      </c>
      <c r="AW1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81" s="5">
        <f>IFERROR(OLDBD[[#This Row],[Llegada Almacén de Ingreso]]-OLDBD[[#This Row],[Salida Packing]],"")</f>
        <v>0.74444444444088731</v>
      </c>
      <c r="AY181" s="4" t="str" cm="1">
        <f t="array" ref="AY1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1" s="43" t="s">
        <v>173</v>
      </c>
      <c r="BB181" s="47" t="str">
        <f>IFERROR(IF(MARÍTIMOS[[#This Row],[Estatus]]="","",MARÍTIMOS[[#This Row],[Estatus]]),"")</f>
        <v>Confirmado</v>
      </c>
      <c r="BC181" s="43"/>
      <c r="BD181" s="46">
        <f>IFERROR(OLDBD[[#This Row],[Salida de almacén de retiro]]-OLDBD[[#This Row],[Ingreso Almacén de retiro]],"")</f>
        <v>5.0000000002910383E-2</v>
      </c>
      <c r="BE181" s="46">
        <f>IFERROR(OLDBD[[#This Row],[Fin de Carga]]-OLDBD[[#This Row],[Inicio de Carga]],"")</f>
        <v>0.19513888889196096</v>
      </c>
    </row>
    <row r="182" spans="1:57" customFormat="1" hidden="1">
      <c r="A182" s="1"/>
      <c r="B182" s="1">
        <f>IFERROR(IF(MARÍTIMOS[[#This Row],[PP]]="","",MARÍTIMOS[[#This Row],[PP]]),"")</f>
        <v>26</v>
      </c>
      <c r="C182" s="1" t="str">
        <f>IFERROR(IF(MARÍTIMOS[[#This Row],[Sede]]="","",MARÍTIMOS[[#This Row],[Sede]]),"")</f>
        <v>Chao</v>
      </c>
      <c r="D182" s="1" t="str">
        <f>IFERROR(IF(MARÍTIMOS[[#This Row],[Instruction]]="","",MARÍTIMOS[[#This Row],[Instruction]]),"")</f>
        <v>RH-0093</v>
      </c>
      <c r="E182" s="1"/>
      <c r="F182" s="2" t="str">
        <f>IFERROR(IF(MARÍTIMOS[[#This Row],[Transportista]]="","",MARÍTIMOS[[#This Row],[Transportista]]),"")</f>
        <v>LIP</v>
      </c>
      <c r="G182" s="2" t="str">
        <f>IFERROR(IF(MARÍTIMOS[[#This Row],[Tercero]]="","",MARÍTIMOS[[#This Row],[Tercero]]),"")</f>
        <v>NO</v>
      </c>
      <c r="H182" s="2" t="str">
        <f>IFERROR(IF(MARÍTIMOS[[#This Row],[Razón Social]]="","",MARÍTIMOS[[#This Row],[Razón Social]]),"")</f>
        <v>LOGISTICA INTERMODAL DEL PERU S.A.C.</v>
      </c>
      <c r="I182" s="2">
        <f>IFERROR(IF(MARÍTIMOS[[#This Row],[RUC]]="","",MARÍTIMOS[[#This Row],[RUC]]),"")</f>
        <v>20513040718</v>
      </c>
      <c r="J182" s="2" t="str">
        <f>IFERROR(IF(MARÍTIMOS[[#This Row],[Placa Tracto]]="","",MARÍTIMOS[[#This Row],[Placa Tracto]]),"")</f>
        <v>AYR-912</v>
      </c>
      <c r="K182" s="2" t="str">
        <f>IFERROR(IF(MARÍTIMOS[[#This Row],[Placa Carreta]]="","",MARÍTIMOS[[#This Row],[Placa Carreta]]),"")</f>
        <v>AZM-981</v>
      </c>
      <c r="L182" s="44" t="str">
        <f>IFERROR(IF(MARÍTIMOS[[#This Row],[Conductor]]="","",MARÍTIMOS[[#This Row],[Conductor]]),"")</f>
        <v>MONTAÑO DE LA CRUZ JESUS LUCCIANO</v>
      </c>
      <c r="M182" s="2" t="str">
        <f>IFERROR(IF(MARÍTIMOS[[#This Row],[Licencia]]="","",MARÍTIMOS[[#This Row],[Licencia]]),"")</f>
        <v>Q42349043</v>
      </c>
      <c r="N182" s="2" t="str">
        <f>IFERROR(IF(MARÍTIMOS[[#This Row],[Número de Contacto]]="","",MARÍTIMOS[[#This Row],[Número de Contacto]]),"")</f>
        <v/>
      </c>
      <c r="O182" s="10">
        <f>IFERROR(IF(MARÍTIMOS[[#This Row],[Booking|AWB|CRT]]="","",MARÍTIMOS[[#This Row],[Booking|AWB|CRT]]),"")</f>
        <v>751600035752</v>
      </c>
      <c r="P182" s="2" t="str">
        <f>IFERROR(IF(MARÍTIMOS[[#This Row],[Contenedor]]="","",MARÍTIMOS[[#This Row],[Contenedor]]),"")</f>
        <v>EGSU5044693</v>
      </c>
      <c r="Q182" s="2" t="str">
        <f>IFERROR(IF(MARÍTIMOS[[#This Row],[Puerto de Retiro]]="","",MARÍTIMOS[[#This Row],[Puerto de Retiro]]),"")</f>
        <v>CALLAO</v>
      </c>
      <c r="R182" s="2" t="str">
        <f>IFERROR(IF(MARÍTIMOS[[#This Row],[Almacén de Retiro]]="","",MARÍTIMOS[[#This Row],[Almacén de Retiro]]),"")</f>
        <v>DPW</v>
      </c>
      <c r="S182" s="11">
        <f>IFERROR(IF(MARÍTIMOS[[#This Row],[Etapa Retiro - Cita]]="","",MARÍTIMOS[[#This Row],[Etapa Retiro - Cita]]),"")</f>
        <v>46200.625</v>
      </c>
      <c r="T182" s="11">
        <f>IFERROR(IF(MARÍTIMOS[[#This Row],[Etapa Retiro - Llegada]]="","",MARÍTIMOS[[#This Row],[Etapa Retiro - Llegada]]),"")</f>
        <v>46200.638888888891</v>
      </c>
      <c r="U182" s="11">
        <f>IFERROR(IF(MARÍTIMOS[[#This Row],[Etapa Retiro - Ingreso]]="","",MARÍTIMOS[[#This Row],[Etapa Retiro - Ingreso]]),"")</f>
        <v>46200.642361111109</v>
      </c>
      <c r="V182" s="11">
        <f>IFERROR(IF(MARÍTIMOS[[#This Row],[Etapa Retiro - Atención]]="","",MARÍTIMOS[[#This Row],[Etapa Retiro - Atención]]),"")</f>
        <v>46200.697916666664</v>
      </c>
      <c r="W182" s="11">
        <f>IFERROR(IF(MARÍTIMOS[[#This Row],[Etapa Retiro - Atención]]="","",MARÍTIMOS[[#This Row],[Etapa Retiro - Atención]]),"")</f>
        <v>46200.697916666664</v>
      </c>
      <c r="X182" s="11">
        <f>IFERROR(IF(MARÍTIMOS[[#This Row],[Etapa Retiro - Inicio de Ruta]]="","",MARÍTIMOS[[#This Row],[Etapa Retiro - Inicio de Ruta]]),"")</f>
        <v>46200.75</v>
      </c>
      <c r="Y182" s="11">
        <f>IFERROR(IF(MARÍTIMOS[[#This Row],[Hora de Posicionamiento]]="","",MARÍTIMOS[[#This Row],[Fecha de Carga]]+MARÍTIMOS[[#This Row],[Hora de Posicionamiento]]),"")</f>
        <v>46201.6875</v>
      </c>
      <c r="Z182" s="11">
        <f>IFERROR(IF(MARÍTIMOS[[#This Row],[Etapa Despacho - Llegada]]="","",MARÍTIMOS[[#This Row],[Etapa Despacho - Llegada]]),"")</f>
        <v>46201.625</v>
      </c>
      <c r="AA182" s="11">
        <f>IFERROR(IF(MARÍTIMOS[[#This Row],[Etapa Despacho - Registro]]="","",MARÍTIMOS[[#This Row],[Etapa Despacho - Registro]]),"")</f>
        <v>46202.569444444445</v>
      </c>
      <c r="AB182" s="11">
        <f>IFERROR(IF(MARÍTIMOS[[#This Row],[Inspección Externa]]="","",MARÍTIMOS[[#This Row],[Inspección Externa]]),"")</f>
        <v>46201.638888888891</v>
      </c>
      <c r="AC182" s="11">
        <f>IFERROR(IF(MARÍTIMOS[[#This Row],[Etapa Despacho - Inicio de Carga]]="","",MARÍTIMOS[[#This Row],[Etapa Despacho - Inicio de Carga]]),"")</f>
        <v>46201.680555555555</v>
      </c>
      <c r="AD182" s="11">
        <f>IFERROR(IF(MARÍTIMOS[[#This Row],[Etapa Despacho - Mitad de Carga]]="","",MARÍTIMOS[[#This Row],[Etapa Despacho - Mitad de Carga]]),"")</f>
        <v>46201.773611111108</v>
      </c>
      <c r="AE182" s="11">
        <f>IFERROR(IF(MARÍTIMOS[[#This Row],[Etapa Despacho - Fin de Carga]]="","",MARÍTIMOS[[#This Row],[Etapa Despacho - Fin de Carga]]),"")</f>
        <v>46201.791666666664</v>
      </c>
      <c r="AF182" s="2" t="str">
        <f>IFERROR(IF(MARÍTIMOS[[#This Row],[Puerto de Embarque]]="","",MARÍTIMOS[[#This Row],[Puerto de Embarque]]),"")</f>
        <v>CALLAO</v>
      </c>
      <c r="AG182" s="2" t="str">
        <f>IFERROR(IF(MARÍTIMOS[[#This Row],[Almacén de Ingreso]]="","",MARÍTIMOS[[#This Row],[Almacén de Ingreso]]),"")</f>
        <v>DPW</v>
      </c>
      <c r="AH182" s="11">
        <f>IFERROR(IF(MARÍTIMOS[[#This Row],[Etapa Ingreso - Cita]]="","",MARÍTIMOS[[#This Row],[Etapa Ingreso - Cita]]),"")</f>
        <v>46202.541666666664</v>
      </c>
      <c r="AI182" s="11">
        <f>IFERROR(IF(MARÍTIMOS[[#This Row],[Etapa Ingreso - Llegada]]="","",MARÍTIMOS[[#This Row],[Etapa Ingreso - Llegada]]),"")</f>
        <v>46202.560416666667</v>
      </c>
      <c r="AJ182" s="11">
        <f>IFERROR(IF(MARÍTIMOS[[#This Row],[Etapa Ingreso - Ingeso]]="","",MARÍTIMOS[[#This Row],[Etapa Ingreso - Ingeso]]),"")</f>
        <v>46202.541666666664</v>
      </c>
      <c r="AK182" s="11">
        <f>IFERROR(IF(MARÍTIMOS[[#This Row],[Etapa Ingreso - Atención]]="","",MARÍTIMOS[[#This Row],[Etapa Ingreso - Atención]]),"")</f>
        <v>46202.583333333336</v>
      </c>
      <c r="AL182" s="11">
        <f>IFERROR(IF(MARÍTIMOS[[#This Row],[Etapa Ingreso - Salida]]="","",MARÍTIMOS[[#This Row],[Etapa Ingreso - Salida]]),"")</f>
        <v>46202.588888888888</v>
      </c>
      <c r="AM182" s="2">
        <f>IFERROR(IF(MARÍTIMOS[[#This Row],[FCL]]="","",MARÍTIMOS[[#This Row],[FCL]]),"")</f>
        <v>1</v>
      </c>
      <c r="AN1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2" s="4" t="str" cm="1">
        <f t="array" ref="AO1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82" s="5">
        <f>IFERROR(OLDBD[[#This Row],[Llegada a packing]]-OLDBD[[#This Row],[Inicio de Ruta]],"")</f>
        <v>0.875</v>
      </c>
      <c r="AQ182" s="6">
        <f>IFERROR(OLDBD[[#This Row],[Inicio de Ruta]]-OLDBD[[#This Row],[Salida de almacén de retiro]],"")</f>
        <v>5.2083333335758653E-2</v>
      </c>
      <c r="AR1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82" s="8" t="str" cm="1">
        <f t="array" ref="AS1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82" s="9">
        <f>IFERROR(OLDBD[[#This Row],[Ingreso Packing]]-OLDBD[[#This Row],[Registro en Packing]],"")</f>
        <v>-0.93055555555474712</v>
      </c>
      <c r="AV182" s="9">
        <f>IFERROR(OLDBD[[#This Row],[Ingreso Packing]]-OLDBD[[#This Row],[Llegada a packing]],"")</f>
        <v>1.3888888890505768E-2</v>
      </c>
      <c r="AW1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82" s="5">
        <f>IFERROR(OLDBD[[#This Row],[Llegada Almacén de Ingreso]]-OLDBD[[#This Row],[Salida Packing]],"")</f>
        <v>0.76875000000291038</v>
      </c>
      <c r="AY182" s="4" t="str" cm="1">
        <f t="array" ref="AY1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2" s="43" t="s">
        <v>173</v>
      </c>
      <c r="BB182" s="47" t="str">
        <f>IFERROR(IF(MARÍTIMOS[[#This Row],[Estatus]]="","",MARÍTIMOS[[#This Row],[Estatus]]),"")</f>
        <v>Confirmado</v>
      </c>
      <c r="BC182" s="43"/>
      <c r="BD182" s="46">
        <f>IFERROR(OLDBD[[#This Row],[Salida de almacén de retiro]]-OLDBD[[#This Row],[Ingreso Almacén de retiro]],"")</f>
        <v>5.5555555554747116E-2</v>
      </c>
      <c r="BE182" s="46">
        <f>IFERROR(OLDBD[[#This Row],[Fin de Carga]]-OLDBD[[#This Row],[Inicio de Carga]],"")</f>
        <v>9.3055555553291924E-2</v>
      </c>
    </row>
    <row r="183" spans="1:57" customFormat="1" hidden="1">
      <c r="A183" s="1"/>
      <c r="B183" s="1">
        <f>IFERROR(IF(MARÍTIMOS[[#This Row],[PP]]="","",MARÍTIMOS[[#This Row],[PP]]),"")</f>
        <v>26</v>
      </c>
      <c r="C183" s="1" t="str">
        <f>IFERROR(IF(MARÍTIMOS[[#This Row],[Sede]]="","",MARÍTIMOS[[#This Row],[Sede]]),"")</f>
        <v>Chao</v>
      </c>
      <c r="D183" s="1" t="str">
        <f>IFERROR(IF(MARÍTIMOS[[#This Row],[Instruction]]="","",MARÍTIMOS[[#This Row],[Instruction]]),"")</f>
        <v>RH-0094</v>
      </c>
      <c r="E183" s="1"/>
      <c r="F183" s="2" t="str">
        <f>IFERROR(IF(MARÍTIMOS[[#This Row],[Transportista]]="","",MARÍTIMOS[[#This Row],[Transportista]]),"")</f>
        <v>LIP</v>
      </c>
      <c r="G183" s="2" t="str">
        <f>IFERROR(IF(MARÍTIMOS[[#This Row],[Tercero]]="","",MARÍTIMOS[[#This Row],[Tercero]]),"")</f>
        <v>SI</v>
      </c>
      <c r="H183" s="2" t="str">
        <f>IFERROR(IF(MARÍTIMOS[[#This Row],[Razón Social]]="","",MARÍTIMOS[[#This Row],[Razón Social]]),"")</f>
        <v>TGD SERVICIOS S.A.C.</v>
      </c>
      <c r="I183" s="2">
        <f>IFERROR(IF(MARÍTIMOS[[#This Row],[RUC]]="","",MARÍTIMOS[[#This Row],[RUC]]),"")</f>
        <v>20614404460</v>
      </c>
      <c r="J183" s="2" t="str">
        <f>IFERROR(IF(MARÍTIMOS[[#This Row],[Placa Tracto]]="","",MARÍTIMOS[[#This Row],[Placa Tracto]]),"")</f>
        <v>ASG-909</v>
      </c>
      <c r="K183" s="2" t="str">
        <f>IFERROR(IF(MARÍTIMOS[[#This Row],[Placa Carreta]]="","",MARÍTIMOS[[#This Row],[Placa Carreta]]),"")</f>
        <v>BES-976</v>
      </c>
      <c r="L183" s="44" t="str">
        <f>IFERROR(IF(MARÍTIMOS[[#This Row],[Conductor]]="","",MARÍTIMOS[[#This Row],[Conductor]]),"")</f>
        <v>QUISPE CHIROQUE MAXIMO</v>
      </c>
      <c r="M183" s="2" t="str">
        <f>IFERROR(IF(MARÍTIMOS[[#This Row],[Licencia]]="","",MARÍTIMOS[[#This Row],[Licencia]]),"")</f>
        <v>F25438671</v>
      </c>
      <c r="N183" s="2" t="str">
        <f>IFERROR(IF(MARÍTIMOS[[#This Row],[Número de Contacto]]="","",MARÍTIMOS[[#This Row],[Número de Contacto]]),"")</f>
        <v/>
      </c>
      <c r="O183" s="10">
        <f>IFERROR(IF(MARÍTIMOS[[#This Row],[Booking|AWB|CRT]]="","",MARÍTIMOS[[#This Row],[Booking|AWB|CRT]]),"")</f>
        <v>751600035760</v>
      </c>
      <c r="P183" s="2" t="str">
        <f>IFERROR(IF(MARÍTIMOS[[#This Row],[Contenedor]]="","",MARÍTIMOS[[#This Row],[Contenedor]]),"")</f>
        <v>EMCU5515201</v>
      </c>
      <c r="Q183" s="2" t="str">
        <f>IFERROR(IF(MARÍTIMOS[[#This Row],[Puerto de Retiro]]="","",MARÍTIMOS[[#This Row],[Puerto de Retiro]]),"")</f>
        <v>CALLAO</v>
      </c>
      <c r="R183" s="2" t="str">
        <f>IFERROR(IF(MARÍTIMOS[[#This Row],[Almacén de Retiro]]="","",MARÍTIMOS[[#This Row],[Almacén de Retiro]]),"")</f>
        <v>DPW</v>
      </c>
      <c r="S183" s="11">
        <f>IFERROR(IF(MARÍTIMOS[[#This Row],[Etapa Retiro - Cita]]="","",MARÍTIMOS[[#This Row],[Etapa Retiro - Cita]]),"")</f>
        <v>46201.416666666664</v>
      </c>
      <c r="T183" s="11">
        <f>IFERROR(IF(MARÍTIMOS[[#This Row],[Etapa Retiro - Llegada]]="","",MARÍTIMOS[[#This Row],[Etapa Retiro - Llegada]]),"")</f>
        <v>46201.421527777777</v>
      </c>
      <c r="U183" s="11">
        <f>IFERROR(IF(MARÍTIMOS[[#This Row],[Etapa Retiro - Ingreso]]="","",MARÍTIMOS[[#This Row],[Etapa Retiro - Ingreso]]),"")</f>
        <v>46201.439583333333</v>
      </c>
      <c r="V183" s="11">
        <f>IFERROR(IF(MARÍTIMOS[[#This Row],[Etapa Retiro - Atención]]="","",MARÍTIMOS[[#This Row],[Etapa Retiro - Atención]]),"")</f>
        <v>46201.458333333336</v>
      </c>
      <c r="W183" s="11">
        <f>IFERROR(IF(MARÍTIMOS[[#This Row],[Etapa Retiro - Atención]]="","",MARÍTIMOS[[#This Row],[Etapa Retiro - Atención]]),"")</f>
        <v>46201.458333333336</v>
      </c>
      <c r="X183" s="11">
        <f>IFERROR(IF(MARÍTIMOS[[#This Row],[Etapa Retiro - Inicio de Ruta]]="","",MARÍTIMOS[[#This Row],[Etapa Retiro - Inicio de Ruta]]),"")</f>
        <v>46201.708333333336</v>
      </c>
      <c r="Y183" s="11">
        <f>IFERROR(IF(MARÍTIMOS[[#This Row],[Hora de Posicionamiento]]="","",MARÍTIMOS[[#This Row],[Fecha de Carga]]+MARÍTIMOS[[#This Row],[Hora de Posicionamiento]]),"")</f>
        <v>46202.5625</v>
      </c>
      <c r="Z183" s="11">
        <f>IFERROR(IF(MARÍTIMOS[[#This Row],[Etapa Despacho - Llegada]]="","",MARÍTIMOS[[#This Row],[Etapa Despacho - Llegada]]),"")</f>
        <v>46202.458333333336</v>
      </c>
      <c r="AA183" s="11">
        <f>IFERROR(IF(MARÍTIMOS[[#This Row],[Etapa Despacho - Registro]]="","",MARÍTIMOS[[#This Row],[Etapa Despacho - Registro]]),"")</f>
        <v>46203.236111111109</v>
      </c>
      <c r="AB183" s="11">
        <f>IFERROR(IF(MARÍTIMOS[[#This Row],[Inspección Externa]]="","",MARÍTIMOS[[#This Row],[Inspección Externa]]),"")</f>
        <v>46202.49722222222</v>
      </c>
      <c r="AC183" s="11">
        <f>IFERROR(IF(MARÍTIMOS[[#This Row],[Etapa Despacho - Inicio de Carga]]="","",MARÍTIMOS[[#This Row],[Etapa Despacho - Inicio de Carga]]),"")</f>
        <v>46202.5625</v>
      </c>
      <c r="AD183" s="11">
        <f>IFERROR(IF(MARÍTIMOS[[#This Row],[Etapa Despacho - Mitad de Carga]]="","",MARÍTIMOS[[#This Row],[Etapa Despacho - Mitad de Carga]]),"")</f>
        <v>46202.652777777781</v>
      </c>
      <c r="AE183" s="11">
        <f>IFERROR(IF(MARÍTIMOS[[#This Row],[Etapa Despacho - Fin de Carga]]="","",MARÍTIMOS[[#This Row],[Etapa Despacho - Fin de Carga]]),"")</f>
        <v>46202.666666666664</v>
      </c>
      <c r="AF183" s="2" t="str">
        <f>IFERROR(IF(MARÍTIMOS[[#This Row],[Puerto de Embarque]]="","",MARÍTIMOS[[#This Row],[Puerto de Embarque]]),"")</f>
        <v>CALLAO</v>
      </c>
      <c r="AG183" s="2" t="str">
        <f>IFERROR(IF(MARÍTIMOS[[#This Row],[Almacén de Ingreso]]="","",MARÍTIMOS[[#This Row],[Almacén de Ingreso]]),"")</f>
        <v>DPW</v>
      </c>
      <c r="AH183" s="11">
        <f>IFERROR(IF(MARÍTIMOS[[#This Row],[Etapa Ingreso - Cita]]="","",MARÍTIMOS[[#This Row],[Etapa Ingreso - Cita]]),"")</f>
        <v>46203.208333333336</v>
      </c>
      <c r="AI183" s="11">
        <f>IFERROR(IF(MARÍTIMOS[[#This Row],[Etapa Ingreso - Llegada]]="","",MARÍTIMOS[[#This Row],[Etapa Ingreso - Llegada]]),"")</f>
        <v>46203.220833333333</v>
      </c>
      <c r="AJ183" s="11">
        <f>IFERROR(IF(MARÍTIMOS[[#This Row],[Etapa Ingreso - Ingeso]]="","",MARÍTIMOS[[#This Row],[Etapa Ingreso - Ingeso]]),"")</f>
        <v>46203.236111111109</v>
      </c>
      <c r="AK183" s="11">
        <f>IFERROR(IF(MARÍTIMOS[[#This Row],[Etapa Ingreso - Atención]]="","",MARÍTIMOS[[#This Row],[Etapa Ingreso - Atención]]),"")</f>
        <v>46203.283333333333</v>
      </c>
      <c r="AL183" s="11">
        <f>IFERROR(IF(MARÍTIMOS[[#This Row],[Etapa Ingreso - Salida]]="","",MARÍTIMOS[[#This Row],[Etapa Ingreso - Salida]]),"")</f>
        <v>46203.293055555558</v>
      </c>
      <c r="AM183" s="2">
        <f>IFERROR(IF(MARÍTIMOS[[#This Row],[FCL]]="","",MARÍTIMOS[[#This Row],[FCL]]),"")</f>
        <v>1</v>
      </c>
      <c r="AN1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3" s="4" t="str" cm="1">
        <f t="array" ref="AO1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83" s="5">
        <f>IFERROR(OLDBD[[#This Row],[Llegada a packing]]-OLDBD[[#This Row],[Inicio de Ruta]],"")</f>
        <v>0.75</v>
      </c>
      <c r="AQ183" s="6">
        <f>IFERROR(OLDBD[[#This Row],[Inicio de Ruta]]-OLDBD[[#This Row],[Salida de almacén de retiro]],"")</f>
        <v>0.25</v>
      </c>
      <c r="AR1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83" s="8" t="str" cm="1">
        <f t="array" ref="AS1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83" s="9">
        <f>IFERROR(OLDBD[[#This Row],[Ingreso Packing]]-OLDBD[[#This Row],[Registro en Packing]],"")</f>
        <v>-0.73888888888905058</v>
      </c>
      <c r="AV183" s="9">
        <f>IFERROR(OLDBD[[#This Row],[Ingreso Packing]]-OLDBD[[#This Row],[Llegada a packing]],"")</f>
        <v>3.8888888884685002E-2</v>
      </c>
      <c r="AW1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83" s="5">
        <f>IFERROR(OLDBD[[#This Row],[Llegada Almacén de Ingreso]]-OLDBD[[#This Row],[Salida Packing]],"")</f>
        <v>0.55416666666860692</v>
      </c>
      <c r="AY183" s="4" t="str" cm="1">
        <f t="array" ref="AY1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3" s="43" t="s">
        <v>173</v>
      </c>
      <c r="BB183" s="47" t="str">
        <f>IFERROR(IF(MARÍTIMOS[[#This Row],[Estatus]]="","",MARÍTIMOS[[#This Row],[Estatus]]),"")</f>
        <v>Confirmado</v>
      </c>
      <c r="BC183" s="43"/>
      <c r="BD183" s="46">
        <f>IFERROR(OLDBD[[#This Row],[Salida de almacén de retiro]]-OLDBD[[#This Row],[Ingreso Almacén de retiro]],"")</f>
        <v>1.8750000002910383E-2</v>
      </c>
      <c r="BE183" s="46">
        <f>IFERROR(OLDBD[[#This Row],[Fin de Carga]]-OLDBD[[#This Row],[Inicio de Carga]],"")</f>
        <v>9.0277777781011537E-2</v>
      </c>
    </row>
    <row r="184" spans="1:57" customFormat="1" hidden="1">
      <c r="A184" s="1"/>
      <c r="B184" s="1">
        <f>IFERROR(IF(MARÍTIMOS[[#This Row],[PP]]="","",MARÍTIMOS[[#This Row],[PP]]),"")</f>
        <v>26</v>
      </c>
      <c r="C184" s="1" t="str">
        <f>IFERROR(IF(MARÍTIMOS[[#This Row],[Sede]]="","",MARÍTIMOS[[#This Row],[Sede]]),"")</f>
        <v>Chao</v>
      </c>
      <c r="D184" s="1" t="str">
        <f>IFERROR(IF(MARÍTIMOS[[#This Row],[Instruction]]="","",MARÍTIMOS[[#This Row],[Instruction]]),"")</f>
        <v>RH-0095</v>
      </c>
      <c r="E184" s="1"/>
      <c r="F184" s="2" t="str">
        <f>IFERROR(IF(MARÍTIMOS[[#This Row],[Transportista]]="","",MARÍTIMOS[[#This Row],[Transportista]]),"")</f>
        <v>LIP</v>
      </c>
      <c r="G184" s="2" t="str">
        <f>IFERROR(IF(MARÍTIMOS[[#This Row],[Tercero]]="","",MARÍTIMOS[[#This Row],[Tercero]]),"")</f>
        <v>NO</v>
      </c>
      <c r="H184" s="2" t="str">
        <f>IFERROR(IF(MARÍTIMOS[[#This Row],[Razón Social]]="","",MARÍTIMOS[[#This Row],[Razón Social]]),"")</f>
        <v>LOGISTICA INTERMODAL DEL PERU S.A.C.</v>
      </c>
      <c r="I184" s="2">
        <f>IFERROR(IF(MARÍTIMOS[[#This Row],[RUC]]="","",MARÍTIMOS[[#This Row],[RUC]]),"")</f>
        <v>20513040718</v>
      </c>
      <c r="J184" s="2" t="str">
        <f>IFERROR(IF(MARÍTIMOS[[#This Row],[Placa Tracto]]="","",MARÍTIMOS[[#This Row],[Placa Tracto]]),"")</f>
        <v>CBP-823</v>
      </c>
      <c r="K184" s="2" t="str">
        <f>IFERROR(IF(MARÍTIMOS[[#This Row],[Placa Carreta]]="","",MARÍTIMOS[[#This Row],[Placa Carreta]]),"")</f>
        <v>AKL-987</v>
      </c>
      <c r="L184" s="44" t="str">
        <f>IFERROR(IF(MARÍTIMOS[[#This Row],[Conductor]]="","",MARÍTIMOS[[#This Row],[Conductor]]),"")</f>
        <v>PRADO ALIAGA JOHN ALEX</v>
      </c>
      <c r="M184" s="2" t="str">
        <f>IFERROR(IF(MARÍTIMOS[[#This Row],[Licencia]]="","",MARÍTIMOS[[#This Row],[Licencia]]),"")</f>
        <v>Q40059336</v>
      </c>
      <c r="N184" s="2" t="str">
        <f>IFERROR(IF(MARÍTIMOS[[#This Row],[Número de Contacto]]="","",MARÍTIMOS[[#This Row],[Número de Contacto]]),"")</f>
        <v/>
      </c>
      <c r="O184" s="10" t="str">
        <f>IFERROR(IF(MARÍTIMOS[[#This Row],[Booking|AWB|CRT]]="","",MARÍTIMOS[[#This Row],[Booking|AWB|CRT]]),"")</f>
        <v>LIM600227000</v>
      </c>
      <c r="P184" s="2" t="str">
        <f>IFERROR(IF(MARÍTIMOS[[#This Row],[Contenedor]]="","",MARÍTIMOS[[#This Row],[Contenedor]]),"")</f>
        <v>CAAU4034292</v>
      </c>
      <c r="Q184" s="2" t="str">
        <f>IFERROR(IF(MARÍTIMOS[[#This Row],[Puerto de Retiro]]="","",MARÍTIMOS[[#This Row],[Puerto de Retiro]]),"")</f>
        <v>CALLAO</v>
      </c>
      <c r="R184" s="2" t="str">
        <f>IFERROR(IF(MARÍTIMOS[[#This Row],[Almacén de Retiro]]="","",MARÍTIMOS[[#This Row],[Almacén de Retiro]]),"")</f>
        <v>MACROMAR</v>
      </c>
      <c r="S184" s="11">
        <f>IFERROR(IF(MARÍTIMOS[[#This Row],[Etapa Retiro - Cita]]="","",MARÍTIMOS[[#This Row],[Etapa Retiro - Cita]]),"")</f>
        <v>46200.5</v>
      </c>
      <c r="T184" s="11">
        <f>IFERROR(IF(MARÍTIMOS[[#This Row],[Etapa Retiro - Llegada]]="","",MARÍTIMOS[[#This Row],[Etapa Retiro - Llegada]]),"")</f>
        <v>46200.536111111112</v>
      </c>
      <c r="U184" s="11">
        <f>IFERROR(IF(MARÍTIMOS[[#This Row],[Etapa Retiro - Ingreso]]="","",MARÍTIMOS[[#This Row],[Etapa Retiro - Ingreso]]),"")</f>
        <v>46200.581944444442</v>
      </c>
      <c r="V184" s="11">
        <f>IFERROR(IF(MARÍTIMOS[[#This Row],[Etapa Retiro - Atención]]="","",MARÍTIMOS[[#This Row],[Etapa Retiro - Atención]]),"")</f>
        <v>46200.611111111109</v>
      </c>
      <c r="W184" s="11">
        <f>IFERROR(IF(MARÍTIMOS[[#This Row],[Etapa Retiro - Atención]]="","",MARÍTIMOS[[#This Row],[Etapa Retiro - Atención]]),"")</f>
        <v>46200.611111111109</v>
      </c>
      <c r="X184" s="11">
        <f>IFERROR(IF(MARÍTIMOS[[#This Row],[Etapa Retiro - Inicio de Ruta]]="","",MARÍTIMOS[[#This Row],[Etapa Retiro - Inicio de Ruta]]),"")</f>
        <v>46200.75</v>
      </c>
      <c r="Y184" s="11">
        <f>IFERROR(IF(MARÍTIMOS[[#This Row],[Hora de Posicionamiento]]="","",MARÍTIMOS[[#This Row],[Fecha de Carga]]+MARÍTIMOS[[#This Row],[Hora de Posicionamiento]]),"")</f>
        <v>46201.5625</v>
      </c>
      <c r="Z184" s="11">
        <f>IFERROR(IF(MARÍTIMOS[[#This Row],[Etapa Despacho - Llegada]]="","",MARÍTIMOS[[#This Row],[Etapa Despacho - Llegada]]),"")</f>
        <v>46201.416666666664</v>
      </c>
      <c r="AA184" s="11">
        <f>IFERROR(IF(MARÍTIMOS[[#This Row],[Etapa Despacho - Registro]]="","",MARÍTIMOS[[#This Row],[Etapa Despacho - Registro]]),"")</f>
        <v>46202.604166666664</v>
      </c>
      <c r="AB184" s="11">
        <f>IFERROR(IF(MARÍTIMOS[[#This Row],[Inspección Externa]]="","",MARÍTIMOS[[#This Row],[Inspección Externa]]),"")</f>
        <v>46201.4375</v>
      </c>
      <c r="AC184" s="11">
        <f>IFERROR(IF(MARÍTIMOS[[#This Row],[Etapa Despacho - Inicio de Carga]]="","",MARÍTIMOS[[#This Row],[Etapa Despacho - Inicio de Carga]]),"")</f>
        <v>46201.458333333336</v>
      </c>
      <c r="AD184" s="11">
        <f>IFERROR(IF(MARÍTIMOS[[#This Row],[Etapa Despacho - Mitad de Carga]]="","",MARÍTIMOS[[#This Row],[Etapa Despacho - Mitad de Carga]]),"")</f>
        <v>46201.734722222223</v>
      </c>
      <c r="AE184" s="11">
        <f>IFERROR(IF(MARÍTIMOS[[#This Row],[Etapa Despacho - Fin de Carga]]="","",MARÍTIMOS[[#This Row],[Etapa Despacho - Fin de Carga]]),"")</f>
        <v>46201.75</v>
      </c>
      <c r="AF184" s="2" t="str">
        <f>IFERROR(IF(MARÍTIMOS[[#This Row],[Puerto de Embarque]]="","",MARÍTIMOS[[#This Row],[Puerto de Embarque]]),"")</f>
        <v>CALLAO</v>
      </c>
      <c r="AG184" s="2" t="str">
        <f>IFERROR(IF(MARÍTIMOS[[#This Row],[Almacén de Ingreso]]="","",MARÍTIMOS[[#This Row],[Almacén de Ingreso]]),"")</f>
        <v>DPW</v>
      </c>
      <c r="AH184" s="11">
        <f>IFERROR(IF(MARÍTIMOS[[#This Row],[Etapa Ingreso - Cita]]="","",MARÍTIMOS[[#This Row],[Etapa Ingreso - Cita]]),"")</f>
        <v>46202.583333333336</v>
      </c>
      <c r="AI184" s="11">
        <f>IFERROR(IF(MARÍTIMOS[[#This Row],[Etapa Ingreso - Llegada]]="","",MARÍTIMOS[[#This Row],[Etapa Ingreso - Llegada]]),"")</f>
        <v>46202.602083333331</v>
      </c>
      <c r="AJ184" s="11">
        <f>IFERROR(IF(MARÍTIMOS[[#This Row],[Etapa Ingreso - Ingeso]]="","",MARÍTIMOS[[#This Row],[Etapa Ingreso - Ingeso]]),"")</f>
        <v>46202.625</v>
      </c>
      <c r="AK184" s="11">
        <f>IFERROR(IF(MARÍTIMOS[[#This Row],[Etapa Ingreso - Atención]]="","",MARÍTIMOS[[#This Row],[Etapa Ingreso - Atención]]),"")</f>
        <v>46202.659722222219</v>
      </c>
      <c r="AL184" s="11">
        <f>IFERROR(IF(MARÍTIMOS[[#This Row],[Etapa Ingreso - Salida]]="","",MARÍTIMOS[[#This Row],[Etapa Ingreso - Salida]]),"")</f>
        <v>46202.659722222219</v>
      </c>
      <c r="AM184" s="2">
        <f>IFERROR(IF(MARÍTIMOS[[#This Row],[FCL]]="","",MARÍTIMOS[[#This Row],[FCL]]),"")</f>
        <v>1</v>
      </c>
      <c r="AN1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4" s="4" t="str" cm="1">
        <f t="array" ref="AO1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84" s="5">
        <f>IFERROR(OLDBD[[#This Row],[Llegada a packing]]-OLDBD[[#This Row],[Inicio de Ruta]],"")</f>
        <v>0.66666666666424135</v>
      </c>
      <c r="AQ184" s="6">
        <f>IFERROR(OLDBD[[#This Row],[Inicio de Ruta]]-OLDBD[[#This Row],[Salida de almacén de retiro]],"")</f>
        <v>0.13888888889050577</v>
      </c>
      <c r="AR1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84" s="8" t="str" cm="1">
        <f t="array" ref="AS1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84" s="9">
        <f>IFERROR(OLDBD[[#This Row],[Ingreso Packing]]-OLDBD[[#This Row],[Registro en Packing]],"")</f>
        <v>-1.1666666666642413</v>
      </c>
      <c r="AV184" s="9">
        <f>IFERROR(OLDBD[[#This Row],[Ingreso Packing]]-OLDBD[[#This Row],[Llegada a packing]],"")</f>
        <v>2.0833333335758653E-2</v>
      </c>
      <c r="AW1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84" s="5">
        <f>IFERROR(OLDBD[[#This Row],[Llegada Almacén de Ingreso]]-OLDBD[[#This Row],[Salida Packing]],"")</f>
        <v>0.85208333333139308</v>
      </c>
      <c r="AY184" s="4" t="str" cm="1">
        <f t="array" ref="AY1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4" s="43" t="s">
        <v>173</v>
      </c>
      <c r="BB184" s="47" t="str">
        <f>IFERROR(IF(MARÍTIMOS[[#This Row],[Estatus]]="","",MARÍTIMOS[[#This Row],[Estatus]]),"")</f>
        <v>Confirmado</v>
      </c>
      <c r="BC184" s="43"/>
      <c r="BD184" s="46">
        <f>IFERROR(OLDBD[[#This Row],[Salida de almacén de retiro]]-OLDBD[[#This Row],[Ingreso Almacén de retiro]],"")</f>
        <v>2.9166666667151731E-2</v>
      </c>
      <c r="BE184" s="46">
        <f>IFERROR(OLDBD[[#This Row],[Fin de Carga]]-OLDBD[[#This Row],[Inicio de Carga]],"")</f>
        <v>0.27638888888759539</v>
      </c>
    </row>
    <row r="185" spans="1:57" customFormat="1" hidden="1">
      <c r="A185" s="1"/>
      <c r="B185" s="1">
        <f>IFERROR(IF(MARÍTIMOS[[#This Row],[PP]]="","",MARÍTIMOS[[#This Row],[PP]]),"")</f>
        <v>26</v>
      </c>
      <c r="C185" s="1" t="str">
        <f>IFERROR(IF(MARÍTIMOS[[#This Row],[Sede]]="","",MARÍTIMOS[[#This Row],[Sede]]),"")</f>
        <v>Chao</v>
      </c>
      <c r="D185" s="1" t="str">
        <f>IFERROR(IF(MARÍTIMOS[[#This Row],[Instruction]]="","",MARÍTIMOS[[#This Row],[Instruction]]),"")</f>
        <v>RH-0096</v>
      </c>
      <c r="E185" s="1"/>
      <c r="F185" s="2" t="str">
        <f>IFERROR(IF(MARÍTIMOS[[#This Row],[Transportista]]="","",MARÍTIMOS[[#This Row],[Transportista]]),"")</f>
        <v>LIP</v>
      </c>
      <c r="G185" s="2" t="str">
        <f>IFERROR(IF(MARÍTIMOS[[#This Row],[Tercero]]="","",MARÍTIMOS[[#This Row],[Tercero]]),"")</f>
        <v>NO</v>
      </c>
      <c r="H185" s="2" t="str">
        <f>IFERROR(IF(MARÍTIMOS[[#This Row],[Razón Social]]="","",MARÍTIMOS[[#This Row],[Razón Social]]),"")</f>
        <v>LOGISTICA INTERMODAL DEL PERU S.A.C.</v>
      </c>
      <c r="I185" s="2">
        <f>IFERROR(IF(MARÍTIMOS[[#This Row],[RUC]]="","",MARÍTIMOS[[#This Row],[RUC]]),"")</f>
        <v>20513040718</v>
      </c>
      <c r="J185" s="2" t="str">
        <f>IFERROR(IF(MARÍTIMOS[[#This Row],[Placa Tracto]]="","",MARÍTIMOS[[#This Row],[Placa Tracto]]),"")</f>
        <v>BSE-784</v>
      </c>
      <c r="K185" s="2" t="str">
        <f>IFERROR(IF(MARÍTIMOS[[#This Row],[Placa Carreta]]="","",MARÍTIMOS[[#This Row],[Placa Carreta]]),"")</f>
        <v>BDG-979</v>
      </c>
      <c r="L185" s="44" t="str">
        <f>IFERROR(IF(MARÍTIMOS[[#This Row],[Conductor]]="","",MARÍTIMOS[[#This Row],[Conductor]]),"")</f>
        <v>TOSCANO SACCSA RICHARD VICENTE</v>
      </c>
      <c r="M185" s="2" t="str">
        <f>IFERROR(IF(MARÍTIMOS[[#This Row],[Licencia]]="","",MARÍTIMOS[[#This Row],[Licencia]]),"")</f>
        <v>Q10741867</v>
      </c>
      <c r="N185" s="2" t="str">
        <f>IFERROR(IF(MARÍTIMOS[[#This Row],[Número de Contacto]]="","",MARÍTIMOS[[#This Row],[Número de Contacto]]),"")</f>
        <v/>
      </c>
      <c r="O185" s="10">
        <f>IFERROR(IF(MARÍTIMOS[[#This Row],[Booking|AWB|CRT]]="","",MARÍTIMOS[[#This Row],[Booking|AWB|CRT]]),"")</f>
        <v>751600035719</v>
      </c>
      <c r="P185" s="2" t="str">
        <f>IFERROR(IF(MARÍTIMOS[[#This Row],[Contenedor]]="","",MARÍTIMOS[[#This Row],[Contenedor]]),"")</f>
        <v>EMCU5674060</v>
      </c>
      <c r="Q185" s="2" t="str">
        <f>IFERROR(IF(MARÍTIMOS[[#This Row],[Puerto de Retiro]]="","",MARÍTIMOS[[#This Row],[Puerto de Retiro]]),"")</f>
        <v>CALLAO</v>
      </c>
      <c r="R185" s="2" t="str">
        <f>IFERROR(IF(MARÍTIMOS[[#This Row],[Almacén de Retiro]]="","",MARÍTIMOS[[#This Row],[Almacén de Retiro]]),"")</f>
        <v>DPW</v>
      </c>
      <c r="S185" s="11">
        <f>IFERROR(IF(MARÍTIMOS[[#This Row],[Etapa Retiro - Cita]]="","",MARÍTIMOS[[#This Row],[Etapa Retiro - Cita]]),"")</f>
        <v>46200.583333333336</v>
      </c>
      <c r="T185" s="11">
        <f>IFERROR(IF(MARÍTIMOS[[#This Row],[Etapa Retiro - Llegada]]="","",MARÍTIMOS[[#This Row],[Etapa Retiro - Llegada]]),"")</f>
        <v>46200.583333333336</v>
      </c>
      <c r="U185" s="11">
        <f>IFERROR(IF(MARÍTIMOS[[#This Row],[Etapa Retiro - Ingreso]]="","",MARÍTIMOS[[#This Row],[Etapa Retiro - Ingreso]]),"")</f>
        <v>46200.586805555555</v>
      </c>
      <c r="V185" s="11">
        <f>IFERROR(IF(MARÍTIMOS[[#This Row],[Etapa Retiro - Atención]]="","",MARÍTIMOS[[#This Row],[Etapa Retiro - Atención]]),"")</f>
        <v>46200.633333333331</v>
      </c>
      <c r="W185" s="11">
        <f>IFERROR(IF(MARÍTIMOS[[#This Row],[Etapa Retiro - Atención]]="","",MARÍTIMOS[[#This Row],[Etapa Retiro - Atención]]),"")</f>
        <v>46200.633333333331</v>
      </c>
      <c r="X185" s="11">
        <f>IFERROR(IF(MARÍTIMOS[[#This Row],[Etapa Retiro - Inicio de Ruta]]="","",MARÍTIMOS[[#This Row],[Etapa Retiro - Inicio de Ruta]]),"")</f>
        <v>46200.666666666664</v>
      </c>
      <c r="Y185" s="11">
        <f>IFERROR(IF(MARÍTIMOS[[#This Row],[Hora de Posicionamiento]]="","",MARÍTIMOS[[#This Row],[Fecha de Carga]]+MARÍTIMOS[[#This Row],[Hora de Posicionamiento]]),"")</f>
        <v>46201.604166666664</v>
      </c>
      <c r="Z185" s="11">
        <f>IFERROR(IF(MARÍTIMOS[[#This Row],[Etapa Despacho - Llegada]]="","",MARÍTIMOS[[#This Row],[Etapa Despacho - Llegada]]),"")</f>
        <v>46201.416666666664</v>
      </c>
      <c r="AA185" s="11">
        <f>IFERROR(IF(MARÍTIMOS[[#This Row],[Etapa Despacho - Registro]]="","",MARÍTIMOS[[#This Row],[Etapa Despacho - Registro]]),"")</f>
        <v>46202.527777777781</v>
      </c>
      <c r="AB185" s="11">
        <f>IFERROR(IF(MARÍTIMOS[[#This Row],[Inspección Externa]]="","",MARÍTIMOS[[#This Row],[Inspección Externa]]),"")</f>
        <v>46201.430555555555</v>
      </c>
      <c r="AC185" s="11">
        <f>IFERROR(IF(MARÍTIMOS[[#This Row],[Etapa Despacho - Inicio de Carga]]="","",MARÍTIMOS[[#This Row],[Etapa Despacho - Inicio de Carga]]),"")</f>
        <v>46201.486111111109</v>
      </c>
      <c r="AD185" s="11">
        <f>IFERROR(IF(MARÍTIMOS[[#This Row],[Etapa Despacho - Mitad de Carga]]="","",MARÍTIMOS[[#This Row],[Etapa Despacho - Mitad de Carga]]),"")</f>
        <v>46201.73333333333</v>
      </c>
      <c r="AE185" s="11">
        <f>IFERROR(IF(MARÍTIMOS[[#This Row],[Etapa Despacho - Fin de Carga]]="","",MARÍTIMOS[[#This Row],[Etapa Despacho - Fin de Carga]]),"")</f>
        <v>46201.75</v>
      </c>
      <c r="AF185" s="2" t="str">
        <f>IFERROR(IF(MARÍTIMOS[[#This Row],[Puerto de Embarque]]="","",MARÍTIMOS[[#This Row],[Puerto de Embarque]]),"")</f>
        <v>CALLAO</v>
      </c>
      <c r="AG185" s="2" t="str">
        <f>IFERROR(IF(MARÍTIMOS[[#This Row],[Almacén de Ingreso]]="","",MARÍTIMOS[[#This Row],[Almacén de Ingreso]]),"")</f>
        <v>DPW</v>
      </c>
      <c r="AH185" s="11">
        <f>IFERROR(IF(MARÍTIMOS[[#This Row],[Etapa Ingreso - Cita]]="","",MARÍTIMOS[[#This Row],[Etapa Ingreso - Cita]]),"")</f>
        <v>46202.5</v>
      </c>
      <c r="AI185" s="11">
        <f>IFERROR(IF(MARÍTIMOS[[#This Row],[Etapa Ingreso - Llegada]]="","",MARÍTIMOS[[#This Row],[Etapa Ingreso - Llegada]]),"")</f>
        <v>46202.517361111109</v>
      </c>
      <c r="AJ185" s="11">
        <f>IFERROR(IF(MARÍTIMOS[[#This Row],[Etapa Ingreso - Ingeso]]="","",MARÍTIMOS[[#This Row],[Etapa Ingreso - Ingeso]]),"")</f>
        <v>46202.5</v>
      </c>
      <c r="AK185" s="11">
        <f>IFERROR(IF(MARÍTIMOS[[#This Row],[Etapa Ingreso - Atención]]="","",MARÍTIMOS[[#This Row],[Etapa Ingreso - Atención]]),"")</f>
        <v>46202.541666666664</v>
      </c>
      <c r="AL185" s="11">
        <f>IFERROR(IF(MARÍTIMOS[[#This Row],[Etapa Ingreso - Salida]]="","",MARÍTIMOS[[#This Row],[Etapa Ingreso - Salida]]),"")</f>
        <v>46202.554166666669</v>
      </c>
      <c r="AM185" s="2">
        <f>IFERROR(IF(MARÍTIMOS[[#This Row],[FCL]]="","",MARÍTIMOS[[#This Row],[FCL]]),"")</f>
        <v>1</v>
      </c>
      <c r="AN1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5" s="4" t="str" cm="1">
        <f t="array" ref="AO1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85" s="5">
        <f>IFERROR(OLDBD[[#This Row],[Llegada a packing]]-OLDBD[[#This Row],[Inicio de Ruta]],"")</f>
        <v>0.75</v>
      </c>
      <c r="AQ185" s="6">
        <f>IFERROR(OLDBD[[#This Row],[Inicio de Ruta]]-OLDBD[[#This Row],[Salida de almacén de retiro]],"")</f>
        <v>3.3333333332848269E-2</v>
      </c>
      <c r="AR1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85" s="8" t="str" cm="1">
        <f t="array" ref="AS1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85" s="9">
        <f>IFERROR(OLDBD[[#This Row],[Ingreso Packing]]-OLDBD[[#This Row],[Registro en Packing]],"")</f>
        <v>-1.0972222222262644</v>
      </c>
      <c r="AV185" s="9">
        <f>IFERROR(OLDBD[[#This Row],[Ingreso Packing]]-OLDBD[[#This Row],[Llegada a packing]],"")</f>
        <v>1.3888888890505768E-2</v>
      </c>
      <c r="AW1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85" s="5">
        <f>IFERROR(OLDBD[[#This Row],[Llegada Almacén de Ingreso]]-OLDBD[[#This Row],[Salida Packing]],"")</f>
        <v>0.76736111110949423</v>
      </c>
      <c r="AY185" s="4" t="str" cm="1">
        <f t="array" ref="AY1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5" s="43" t="s">
        <v>173</v>
      </c>
      <c r="BB185" s="47" t="str">
        <f>IFERROR(IF(MARÍTIMOS[[#This Row],[Estatus]]="","",MARÍTIMOS[[#This Row],[Estatus]]),"")</f>
        <v>Confirmado</v>
      </c>
      <c r="BC185" s="43"/>
      <c r="BD185" s="46">
        <f>IFERROR(OLDBD[[#This Row],[Salida de almacén de retiro]]-OLDBD[[#This Row],[Ingreso Almacén de retiro]],"")</f>
        <v>4.6527777776645962E-2</v>
      </c>
      <c r="BE185" s="46">
        <f>IFERROR(OLDBD[[#This Row],[Fin de Carga]]-OLDBD[[#This Row],[Inicio de Carga]],"")</f>
        <v>0.24722222222044365</v>
      </c>
    </row>
    <row r="186" spans="1:57" customFormat="1" hidden="1">
      <c r="A186" s="1"/>
      <c r="B186" s="1">
        <f>IFERROR(IF(MARÍTIMOS[[#This Row],[PP]]="","",MARÍTIMOS[[#This Row],[PP]]),"")</f>
        <v>26</v>
      </c>
      <c r="C186" s="1" t="str">
        <f>IFERROR(IF(MARÍTIMOS[[#This Row],[Sede]]="","",MARÍTIMOS[[#This Row],[Sede]]),"")</f>
        <v>Chao</v>
      </c>
      <c r="D186" s="1" t="str">
        <f>IFERROR(IF(MARÍTIMOS[[#This Row],[Instruction]]="","",MARÍTIMOS[[#This Row],[Instruction]]),"")</f>
        <v>RH-0103</v>
      </c>
      <c r="E186" s="1"/>
      <c r="F186" s="2" t="str">
        <f>IFERROR(IF(MARÍTIMOS[[#This Row],[Transportista]]="","",MARÍTIMOS[[#This Row],[Transportista]]),"")</f>
        <v>LIP</v>
      </c>
      <c r="G186" s="2" t="str">
        <f>IFERROR(IF(MARÍTIMOS[[#This Row],[Tercero]]="","",MARÍTIMOS[[#This Row],[Tercero]]),"")</f>
        <v>SI</v>
      </c>
      <c r="H186" s="2" t="str">
        <f>IFERROR(IF(MARÍTIMOS[[#This Row],[Razón Social]]="","",MARÍTIMOS[[#This Row],[Razón Social]]),"")</f>
        <v>EDVAS LOGISTICA S.A.C.</v>
      </c>
      <c r="I186" s="2">
        <f>IFERROR(IF(MARÍTIMOS[[#This Row],[RUC]]="","",MARÍTIMOS[[#This Row],[RUC]]),"")</f>
        <v>20614258153</v>
      </c>
      <c r="J186" s="2" t="str">
        <f>IFERROR(IF(MARÍTIMOS[[#This Row],[Placa Tracto]]="","",MARÍTIMOS[[#This Row],[Placa Tracto]]),"")</f>
        <v>C8W-936</v>
      </c>
      <c r="K186" s="2" t="str">
        <f>IFERROR(IF(MARÍTIMOS[[#This Row],[Placa Carreta]]="","",MARÍTIMOS[[#This Row],[Placa Carreta]]),"")</f>
        <v>C2M-991</v>
      </c>
      <c r="L186" s="44" t="str">
        <f>IFERROR(IF(MARÍTIMOS[[#This Row],[Conductor]]="","",MARÍTIMOS[[#This Row],[Conductor]]),"")</f>
        <v>VASQUEZ ROSALES EDWIN VICTOR</v>
      </c>
      <c r="M186" s="2" t="str">
        <f>IFERROR(IF(MARÍTIMOS[[#This Row],[Licencia]]="","",MARÍTIMOS[[#This Row],[Licencia]]),"")</f>
        <v>E31680003</v>
      </c>
      <c r="N186" s="2" t="str">
        <f>IFERROR(IF(MARÍTIMOS[[#This Row],[Número de Contacto]]="","",MARÍTIMOS[[#This Row],[Número de Contacto]]),"")</f>
        <v/>
      </c>
      <c r="O186" s="10" t="str">
        <f>IFERROR(IF(MARÍTIMOS[[#This Row],[Booking|AWB|CRT]]="","",MARÍTIMOS[[#This Row],[Booking|AWB|CRT]]),"")</f>
        <v>LIM600227100</v>
      </c>
      <c r="P186" s="2" t="str">
        <f>IFERROR(IF(MARÍTIMOS[[#This Row],[Contenedor]]="","",MARÍTIMOS[[#This Row],[Contenedor]]),"")</f>
        <v>FBIU5739877</v>
      </c>
      <c r="Q186" s="2" t="str">
        <f>IFERROR(IF(MARÍTIMOS[[#This Row],[Puerto de Retiro]]="","",MARÍTIMOS[[#This Row],[Puerto de Retiro]]),"")</f>
        <v>CALLAO</v>
      </c>
      <c r="R186" s="2" t="str">
        <f>IFERROR(IF(MARÍTIMOS[[#This Row],[Almacén de Retiro]]="","",MARÍTIMOS[[#This Row],[Almacén de Retiro]]),"")</f>
        <v>CONTRANS</v>
      </c>
      <c r="S186" s="11">
        <f>IFERROR(IF(MARÍTIMOS[[#This Row],[Etapa Retiro - Cita]]="","",MARÍTIMOS[[#This Row],[Etapa Retiro - Cita]]),"")</f>
        <v>46201.541666666664</v>
      </c>
      <c r="T186" s="11">
        <f>IFERROR(IF(MARÍTIMOS[[#This Row],[Etapa Retiro - Llegada]]="","",MARÍTIMOS[[#This Row],[Etapa Retiro - Llegada]]),"")</f>
        <v>46201.565972222219</v>
      </c>
      <c r="U186" s="11">
        <f>IFERROR(IF(MARÍTIMOS[[#This Row],[Etapa Retiro - Ingreso]]="","",MARÍTIMOS[[#This Row],[Etapa Retiro - Ingreso]]),"")</f>
        <v>46201.569444444445</v>
      </c>
      <c r="V186" s="11" t="str">
        <f>IFERROR(IF(MARÍTIMOS[[#This Row],[Etapa Retiro - Atención]]="","",MARÍTIMOS[[#This Row],[Etapa Retiro - Atención]]),"")</f>
        <v/>
      </c>
      <c r="W186" s="11" t="str">
        <f>IFERROR(IF(MARÍTIMOS[[#This Row],[Etapa Retiro - Atención]]="","",MARÍTIMOS[[#This Row],[Etapa Retiro - Atención]]),"")</f>
        <v/>
      </c>
      <c r="X186" s="11">
        <f>IFERROR(IF(MARÍTIMOS[[#This Row],[Etapa Retiro - Inicio de Ruta]]="","",MARÍTIMOS[[#This Row],[Etapa Retiro - Inicio de Ruta]]),"")</f>
        <v>46201.75</v>
      </c>
      <c r="Y186" s="11">
        <f>IFERROR(IF(MARÍTIMOS[[#This Row],[Hora de Posicionamiento]]="","",MARÍTIMOS[[#This Row],[Fecha de Carga]]+MARÍTIMOS[[#This Row],[Hora de Posicionamiento]]),"")</f>
        <v>46202.604166666664</v>
      </c>
      <c r="Z186" s="11">
        <f>IFERROR(IF(MARÍTIMOS[[#This Row],[Etapa Despacho - Llegada]]="","",MARÍTIMOS[[#This Row],[Etapa Despacho - Llegada]]),"")</f>
        <v>46202.541666666664</v>
      </c>
      <c r="AA186" s="11">
        <f>IFERROR(IF(MARÍTIMOS[[#This Row],[Etapa Despacho - Registro]]="","",MARÍTIMOS[[#This Row],[Etapa Despacho - Registro]]),"")</f>
        <v>46203.277777777781</v>
      </c>
      <c r="AB186" s="11">
        <f>IFERROR(IF(MARÍTIMOS[[#This Row],[Inspección Externa]]="","",MARÍTIMOS[[#This Row],[Inspección Externa]]),"")</f>
        <v>46202.560416666667</v>
      </c>
      <c r="AC186" s="11">
        <f>IFERROR(IF(MARÍTIMOS[[#This Row],[Etapa Despacho - Inicio de Carga]]="","",MARÍTIMOS[[#This Row],[Etapa Despacho - Inicio de Carga]]),"")</f>
        <v>46202.583333333336</v>
      </c>
      <c r="AD186" s="11">
        <f>IFERROR(IF(MARÍTIMOS[[#This Row],[Etapa Despacho - Mitad de Carga]]="","",MARÍTIMOS[[#This Row],[Etapa Despacho - Mitad de Carga]]),"")</f>
        <v>46202.675000000003</v>
      </c>
      <c r="AE186" s="11">
        <f>IFERROR(IF(MARÍTIMOS[[#This Row],[Etapa Despacho - Fin de Carga]]="","",MARÍTIMOS[[#This Row],[Etapa Despacho - Fin de Carga]]),"")</f>
        <v>46202.6875</v>
      </c>
      <c r="AF186" s="2" t="str">
        <f>IFERROR(IF(MARÍTIMOS[[#This Row],[Puerto de Embarque]]="","",MARÍTIMOS[[#This Row],[Puerto de Embarque]]),"")</f>
        <v>CALLAO</v>
      </c>
      <c r="AG186" s="2" t="str">
        <f>IFERROR(IF(MARÍTIMOS[[#This Row],[Almacén de Ingreso]]="","",MARÍTIMOS[[#This Row],[Almacén de Ingreso]]),"")</f>
        <v>DPW</v>
      </c>
      <c r="AH186" s="11">
        <f>IFERROR(IF(MARÍTIMOS[[#This Row],[Etapa Ingreso - Cita]]="","",MARÍTIMOS[[#This Row],[Etapa Ingreso - Cita]]),"")</f>
        <v>46203.25</v>
      </c>
      <c r="AI186" s="11">
        <f>IFERROR(IF(MARÍTIMOS[[#This Row],[Etapa Ingreso - Llegada]]="","",MARÍTIMOS[[#This Row],[Etapa Ingreso - Llegada]]),"")</f>
        <v>46203.263888888891</v>
      </c>
      <c r="AJ186" s="11">
        <f>IFERROR(IF(MARÍTIMOS[[#This Row],[Etapa Ingreso - Ingeso]]="","",MARÍTIMOS[[#This Row],[Etapa Ingreso - Ingeso]]),"")</f>
        <v>46203.270833333336</v>
      </c>
      <c r="AK186" s="11">
        <f>IFERROR(IF(MARÍTIMOS[[#This Row],[Etapa Ingreso - Atención]]="","",MARÍTIMOS[[#This Row],[Etapa Ingreso - Atención]]),"")</f>
        <v>46203.321527777778</v>
      </c>
      <c r="AL186" s="11">
        <f>IFERROR(IF(MARÍTIMOS[[#This Row],[Etapa Ingreso - Salida]]="","",MARÍTIMOS[[#This Row],[Etapa Ingreso - Salida]]),"")</f>
        <v>46203.336805555555</v>
      </c>
      <c r="AM186" s="2">
        <f>IFERROR(IF(MARÍTIMOS[[#This Row],[FCL]]="","",MARÍTIMOS[[#This Row],[FCL]]),"")</f>
        <v>1</v>
      </c>
      <c r="AN1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6" s="4" t="str" cm="1">
        <f t="array" ref="AO1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86" s="5">
        <f>IFERROR(OLDBD[[#This Row],[Llegada a packing]]-OLDBD[[#This Row],[Inicio de Ruta]],"")</f>
        <v>0.79166666666424135</v>
      </c>
      <c r="AQ186" s="6" t="str">
        <f>IFERROR(OLDBD[[#This Row],[Inicio de Ruta]]-OLDBD[[#This Row],[Salida de almacén de retiro]],"")</f>
        <v/>
      </c>
      <c r="AR1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86" s="8" t="str" cm="1">
        <f t="array" ref="AS1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86" s="9">
        <f>IFERROR(OLDBD[[#This Row],[Ingreso Packing]]-OLDBD[[#This Row],[Registro en Packing]],"")</f>
        <v>-0.71736111111385981</v>
      </c>
      <c r="AV186" s="9">
        <f>IFERROR(OLDBD[[#This Row],[Ingreso Packing]]-OLDBD[[#This Row],[Llegada a packing]],"")</f>
        <v>1.8750000002910383E-2</v>
      </c>
      <c r="AW1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86" s="5">
        <f>IFERROR(OLDBD[[#This Row],[Llegada Almacén de Ingreso]]-OLDBD[[#This Row],[Salida Packing]],"")</f>
        <v>0.57638888889050577</v>
      </c>
      <c r="AY186" s="4" t="str" cm="1">
        <f t="array" ref="AY1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6" s="43" t="s">
        <v>173</v>
      </c>
      <c r="BB186" s="47" t="str">
        <f>IFERROR(IF(MARÍTIMOS[[#This Row],[Estatus]]="","",MARÍTIMOS[[#This Row],[Estatus]]),"")</f>
        <v>Confirmado</v>
      </c>
      <c r="BC186" s="43"/>
      <c r="BD186" s="46" t="str">
        <f>IFERROR(OLDBD[[#This Row],[Salida de almacén de retiro]]-OLDBD[[#This Row],[Ingreso Almacén de retiro]],"")</f>
        <v/>
      </c>
      <c r="BE186" s="46">
        <f>IFERROR(OLDBD[[#This Row],[Fin de Carga]]-OLDBD[[#This Row],[Inicio de Carga]],"")</f>
        <v>9.1666666667151731E-2</v>
      </c>
    </row>
    <row r="187" spans="1:57" customFormat="1" hidden="1">
      <c r="A187" s="1"/>
      <c r="B187" s="1">
        <f>IFERROR(IF(MARÍTIMOS[[#This Row],[PP]]="","",MARÍTIMOS[[#This Row],[PP]]),"")</f>
        <v>27</v>
      </c>
      <c r="C187" s="1" t="str">
        <f>IFERROR(IF(MARÍTIMOS[[#This Row],[Sede]]="","",MARÍTIMOS[[#This Row],[Sede]]),"")</f>
        <v>Chao</v>
      </c>
      <c r="D187" s="1" t="str">
        <f>IFERROR(IF(MARÍTIMOS[[#This Row],[Instruction]]="","",MARÍTIMOS[[#This Row],[Instruction]]),"")</f>
        <v>RH-0106</v>
      </c>
      <c r="E187" s="1"/>
      <c r="F187" s="2" t="str">
        <f>IFERROR(IF(MARÍTIMOS[[#This Row],[Transportista]]="","",MARÍTIMOS[[#This Row],[Transportista]]),"")</f>
        <v>LIP</v>
      </c>
      <c r="G187" s="2" t="str">
        <f>IFERROR(IF(MARÍTIMOS[[#This Row],[Tercero]]="","",MARÍTIMOS[[#This Row],[Tercero]]),"")</f>
        <v>NO</v>
      </c>
      <c r="H187" s="2" t="str">
        <f>IFERROR(IF(MARÍTIMOS[[#This Row],[Razón Social]]="","",MARÍTIMOS[[#This Row],[Razón Social]]),"")</f>
        <v>LOGISTICA INTERMODAL DEL PERU S.A.C.</v>
      </c>
      <c r="I187" s="2">
        <f>IFERROR(IF(MARÍTIMOS[[#This Row],[RUC]]="","",MARÍTIMOS[[#This Row],[RUC]]),"")</f>
        <v>20513040718</v>
      </c>
      <c r="J187" s="2" t="str">
        <f>IFERROR(IF(MARÍTIMOS[[#This Row],[Placa Tracto]]="","",MARÍTIMOS[[#This Row],[Placa Tracto]]),"")</f>
        <v>AMP-767</v>
      </c>
      <c r="K187" s="2" t="str">
        <f>IFERROR(IF(MARÍTIMOS[[#This Row],[Placa Carreta]]="","",MARÍTIMOS[[#This Row],[Placa Carreta]]),"")</f>
        <v>AZL-971</v>
      </c>
      <c r="L187" s="44" t="str">
        <f>IFERROR(IF(MARÍTIMOS[[#This Row],[Conductor]]="","",MARÍTIMOS[[#This Row],[Conductor]]),"")</f>
        <v>POPAYAN DOMINGUEZ OSCAR CANTO</v>
      </c>
      <c r="M187" s="2" t="str">
        <f>IFERROR(IF(MARÍTIMOS[[#This Row],[Licencia]]="","",MARÍTIMOS[[#This Row],[Licencia]]),"")</f>
        <v>Q32110321</v>
      </c>
      <c r="N187" s="2" t="str">
        <f>IFERROR(IF(MARÍTIMOS[[#This Row],[Número de Contacto]]="","",MARÍTIMOS[[#This Row],[Número de Contacto]]),"")</f>
        <v/>
      </c>
      <c r="O187" s="10" t="str">
        <f>IFERROR(IF(MARÍTIMOS[[#This Row],[Booking|AWB|CRT]]="","",MARÍTIMOS[[#This Row],[Booking|AWB|CRT]]),"")</f>
        <v>6506665420</v>
      </c>
      <c r="P187" s="2" t="str">
        <f>IFERROR(IF(MARÍTIMOS[[#This Row],[Contenedor]]="","",MARÍTIMOS[[#This Row],[Contenedor]]),"")</f>
        <v>OERU4274539</v>
      </c>
      <c r="Q187" s="2" t="str">
        <f>IFERROR(IF(MARÍTIMOS[[#This Row],[Puerto de Retiro]]="","",MARÍTIMOS[[#This Row],[Puerto de Retiro]]),"")</f>
        <v>CALLAO</v>
      </c>
      <c r="R187" s="2" t="str">
        <f>IFERROR(IF(MARÍTIMOS[[#This Row],[Almacén de Retiro]]="","",MARÍTIMOS[[#This Row],[Almacén de Retiro]]),"")</f>
        <v>CSPCP</v>
      </c>
      <c r="S187" s="11">
        <f>IFERROR(IF(MARÍTIMOS[[#This Row],[Etapa Retiro - Cita]]="","",MARÍTIMOS[[#This Row],[Etapa Retiro - Cita]]),"")</f>
        <v>46205.625</v>
      </c>
      <c r="T187" s="11">
        <f>IFERROR(IF(MARÍTIMOS[[#This Row],[Etapa Retiro - Llegada]]="","",MARÍTIMOS[[#This Row],[Etapa Retiro - Llegada]]),"")</f>
        <v>46205.603472222225</v>
      </c>
      <c r="U187" s="11">
        <f>IFERROR(IF(MARÍTIMOS[[#This Row],[Etapa Retiro - Ingreso]]="","",MARÍTIMOS[[#This Row],[Etapa Retiro - Ingreso]]),"")</f>
        <v>46205.604861111111</v>
      </c>
      <c r="V187" s="11">
        <f>IFERROR(IF(MARÍTIMOS[[#This Row],[Etapa Retiro - Atención]]="","",MARÍTIMOS[[#This Row],[Etapa Retiro - Atención]]),"")</f>
        <v>46205.649305555555</v>
      </c>
      <c r="W187" s="11">
        <f>IFERROR(IF(MARÍTIMOS[[#This Row],[Etapa Retiro - Atención]]="","",MARÍTIMOS[[#This Row],[Etapa Retiro - Atención]]),"")</f>
        <v>46205.649305555555</v>
      </c>
      <c r="X187" s="11">
        <f>IFERROR(IF(MARÍTIMOS[[#This Row],[Etapa Retiro - Inicio de Ruta]]="","",MARÍTIMOS[[#This Row],[Etapa Retiro - Inicio de Ruta]]),"")</f>
        <v>46205.75</v>
      </c>
      <c r="Y187" s="11" t="str">
        <f>IFERROR(IF(MARÍTIMOS[[#This Row],[Hora de Posicionamiento]]="","",MARÍTIMOS[[#This Row],[Fecha de Carga]]+MARÍTIMOS[[#This Row],[Hora de Posicionamiento]]),"")</f>
        <v/>
      </c>
      <c r="Z187" s="11">
        <f>IFERROR(IF(MARÍTIMOS[[#This Row],[Etapa Despacho - Llegada]]="","",MARÍTIMOS[[#This Row],[Etapa Despacho - Llegada]]),"")</f>
        <v>46206.416666666664</v>
      </c>
      <c r="AA187" s="11">
        <f>IFERROR(IF(MARÍTIMOS[[#This Row],[Etapa Despacho - Registro]]="","",MARÍTIMOS[[#This Row],[Etapa Despacho - Registro]]),"")</f>
        <v>46206.666666666664</v>
      </c>
      <c r="AB187" s="11">
        <f>IFERROR(IF(MARÍTIMOS[[#This Row],[Inspección Externa]]="","",MARÍTIMOS[[#This Row],[Inspección Externa]]),"")</f>
        <v>46206.450694444444</v>
      </c>
      <c r="AC187" s="11">
        <f>IFERROR(IF(MARÍTIMOS[[#This Row],[Etapa Despacho - Inicio de Carga]]="","",MARÍTIMOS[[#This Row],[Etapa Despacho - Inicio de Carga]]),"")</f>
        <v>46206.493055555555</v>
      </c>
      <c r="AD187" s="11">
        <f>IFERROR(IF(MARÍTIMOS[[#This Row],[Etapa Despacho - Mitad de Carga]]="","",MARÍTIMOS[[#This Row],[Etapa Despacho - Mitad de Carga]]),"")</f>
        <v>46206.714583333334</v>
      </c>
      <c r="AE187" s="11">
        <f>IFERROR(IF(MARÍTIMOS[[#This Row],[Etapa Despacho - Fin de Carga]]="","",MARÍTIMOS[[#This Row],[Etapa Despacho - Fin de Carga]]),"")</f>
        <v>46206.729166666664</v>
      </c>
      <c r="AF187" s="2" t="str">
        <f>IFERROR(IF(MARÍTIMOS[[#This Row],[Puerto de Embarque]]="","",MARÍTIMOS[[#This Row],[Puerto de Embarque]]),"")</f>
        <v>CALLAO</v>
      </c>
      <c r="AG187" s="2" t="str">
        <f>IFERROR(IF(MARÍTIMOS[[#This Row],[Almacén de Ingreso]]="","",MARÍTIMOS[[#This Row],[Almacén de Ingreso]]),"")</f>
        <v>CSPCP</v>
      </c>
      <c r="AH187" s="11">
        <f>IFERROR(IF(MARÍTIMOS[[#This Row],[Etapa Ingreso - Cita]]="","",MARÍTIMOS[[#This Row],[Etapa Ingreso - Cita]]),"")</f>
        <v>46207.333333333336</v>
      </c>
      <c r="AI187" s="11">
        <f>IFERROR(IF(MARÍTIMOS[[#This Row],[Etapa Ingreso - Llegada]]="","",MARÍTIMOS[[#This Row],[Etapa Ingreso - Llegada]]),"")</f>
        <v>46207.35833333333</v>
      </c>
      <c r="AJ187" s="11">
        <f>IFERROR(IF(MARÍTIMOS[[#This Row],[Etapa Ingreso - Ingeso]]="","",MARÍTIMOS[[#This Row],[Etapa Ingreso - Ingeso]]),"")</f>
        <v>46207.359722222223</v>
      </c>
      <c r="AK187" s="11">
        <f>IFERROR(IF(MARÍTIMOS[[#This Row],[Etapa Ingreso - Atención]]="","",MARÍTIMOS[[#This Row],[Etapa Ingreso - Atención]]),"")</f>
        <v>46207.388888888891</v>
      </c>
      <c r="AL187" s="11">
        <f>IFERROR(IF(MARÍTIMOS[[#This Row],[Etapa Ingreso - Salida]]="","",MARÍTIMOS[[#This Row],[Etapa Ingreso - Salida]]),"")</f>
        <v>46207.40347222222</v>
      </c>
      <c r="AM187" s="2">
        <f>IFERROR(IF(MARÍTIMOS[[#This Row],[FCL]]="","",MARÍTIMOS[[#This Row],[FCL]]),"")</f>
        <v>1</v>
      </c>
      <c r="AN1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7" s="4" t="str" cm="1">
        <f t="array" ref="AO1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87" s="5">
        <f>IFERROR(OLDBD[[#This Row],[Llegada a packing]]-OLDBD[[#This Row],[Inicio de Ruta]],"")</f>
        <v>0.66666666666424135</v>
      </c>
      <c r="AQ187" s="6">
        <f>IFERROR(OLDBD[[#This Row],[Inicio de Ruta]]-OLDBD[[#This Row],[Salida de almacén de retiro]],"")</f>
        <v>0.10069444444525288</v>
      </c>
      <c r="AR1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87" s="8" t="str" cm="1">
        <f t="array" ref="AS1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87" s="9">
        <f>IFERROR(OLDBD[[#This Row],[Ingreso Packing]]-OLDBD[[#This Row],[Registro en Packing]],"")</f>
        <v>-0.21597222222044365</v>
      </c>
      <c r="AV187" s="9">
        <f>IFERROR(OLDBD[[#This Row],[Ingreso Packing]]-OLDBD[[#This Row],[Llegada a packing]],"")</f>
        <v>3.4027777779556345E-2</v>
      </c>
      <c r="AW1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87" s="5">
        <f>IFERROR(OLDBD[[#This Row],[Llegada Almacén de Ingreso]]-OLDBD[[#This Row],[Salida Packing]],"")</f>
        <v>0.62916666666569654</v>
      </c>
      <c r="AY187" s="4" t="str" cm="1">
        <f t="array" ref="AY1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7" s="43" t="s">
        <v>173</v>
      </c>
      <c r="BB187" s="47" t="str">
        <f>IFERROR(IF(MARÍTIMOS[[#This Row],[Estatus]]="","",MARÍTIMOS[[#This Row],[Estatus]]),"")</f>
        <v>Confirmado</v>
      </c>
      <c r="BC187" s="43"/>
      <c r="BD187" s="46">
        <f>IFERROR(OLDBD[[#This Row],[Salida de almacén de retiro]]-OLDBD[[#This Row],[Ingreso Almacén de retiro]],"")</f>
        <v>4.4444444443797693E-2</v>
      </c>
      <c r="BE187" s="46">
        <f>IFERROR(OLDBD[[#This Row],[Fin de Carga]]-OLDBD[[#This Row],[Inicio de Carga]],"")</f>
        <v>0.22152777777955635</v>
      </c>
    </row>
    <row r="188" spans="1:57" customFormat="1" hidden="1">
      <c r="A188" s="1"/>
      <c r="B188" s="1">
        <f>IFERROR(IF(MARÍTIMOS[[#This Row],[PP]]="","",MARÍTIMOS[[#This Row],[PP]]),"")</f>
        <v>27</v>
      </c>
      <c r="C188" s="1" t="str">
        <f>IFERROR(IF(MARÍTIMOS[[#This Row],[Sede]]="","",MARÍTIMOS[[#This Row],[Sede]]),"")</f>
        <v>Chao</v>
      </c>
      <c r="D188" s="1" t="str">
        <f>IFERROR(IF(MARÍTIMOS[[#This Row],[Instruction]]="","",MARÍTIMOS[[#This Row],[Instruction]]),"")</f>
        <v>RH-0108</v>
      </c>
      <c r="E188" s="1"/>
      <c r="F188" s="2" t="str">
        <f>IFERROR(IF(MARÍTIMOS[[#This Row],[Transportista]]="","",MARÍTIMOS[[#This Row],[Transportista]]),"")</f>
        <v>LIP</v>
      </c>
      <c r="G188" s="2" t="str">
        <f>IFERROR(IF(MARÍTIMOS[[#This Row],[Tercero]]="","",MARÍTIMOS[[#This Row],[Tercero]]),"")</f>
        <v>NO</v>
      </c>
      <c r="H188" s="2" t="str">
        <f>IFERROR(IF(MARÍTIMOS[[#This Row],[Razón Social]]="","",MARÍTIMOS[[#This Row],[Razón Social]]),"")</f>
        <v>LOGISTICA INTERMODAL DEL PERU S.A.C.</v>
      </c>
      <c r="I188" s="2">
        <f>IFERROR(IF(MARÍTIMOS[[#This Row],[RUC]]="","",MARÍTIMOS[[#This Row],[RUC]]),"")</f>
        <v>20513040718</v>
      </c>
      <c r="J188" s="2" t="str">
        <f>IFERROR(IF(MARÍTIMOS[[#This Row],[Placa Tracto]]="","",MARÍTIMOS[[#This Row],[Placa Tracto]]),"")</f>
        <v>BKI-834</v>
      </c>
      <c r="K188" s="2" t="str">
        <f>IFERROR(IF(MARÍTIMOS[[#This Row],[Placa Carreta]]="","",MARÍTIMOS[[#This Row],[Placa Carreta]]),"")</f>
        <v>ALL-979</v>
      </c>
      <c r="L188" s="44" t="str">
        <f>IFERROR(IF(MARÍTIMOS[[#This Row],[Conductor]]="","",MARÍTIMOS[[#This Row],[Conductor]]),"")</f>
        <v>CORDERO SORIANO FELICIANO BARTOLOME</v>
      </c>
      <c r="M188" s="2" t="str">
        <f>IFERROR(IF(MARÍTIMOS[[#This Row],[Licencia]]="","",MARÍTIMOS[[#This Row],[Licencia]]),"")</f>
        <v>Q33348987</v>
      </c>
      <c r="N188" s="2" t="str">
        <f>IFERROR(IF(MARÍTIMOS[[#This Row],[Número de Contacto]]="","",MARÍTIMOS[[#This Row],[Número de Contacto]]),"")</f>
        <v/>
      </c>
      <c r="O188" s="10">
        <f>IFERROR(IF(MARÍTIMOS[[#This Row],[Booking|AWB|CRT]]="","",MARÍTIMOS[[#This Row],[Booking|AWB|CRT]]),"")</f>
        <v>6506665460</v>
      </c>
      <c r="P188" s="2">
        <f>IFERROR(IF(MARÍTIMOS[[#This Row],[Contenedor]]="","",MARÍTIMOS[[#This Row],[Contenedor]]),"")</f>
        <v>6506665460</v>
      </c>
      <c r="Q188" s="2" t="str">
        <f>IFERROR(IF(MARÍTIMOS[[#This Row],[Puerto de Retiro]]="","",MARÍTIMOS[[#This Row],[Puerto de Retiro]]),"")</f>
        <v>CHANCAY</v>
      </c>
      <c r="R188" s="2" t="str">
        <f>IFERROR(IF(MARÍTIMOS[[#This Row],[Almacén de Retiro]]="","",MARÍTIMOS[[#This Row],[Almacén de Retiro]]),"")</f>
        <v>CSPCP</v>
      </c>
      <c r="S188" s="11">
        <f>IFERROR(IF(MARÍTIMOS[[#This Row],[Etapa Retiro - Cita]]="","",MARÍTIMOS[[#This Row],[Etapa Retiro - Cita]]),"")</f>
        <v>46206.541666666664</v>
      </c>
      <c r="T188" s="11">
        <f>IFERROR(IF(MARÍTIMOS[[#This Row],[Etapa Retiro - Llegada]]="","",MARÍTIMOS[[#This Row],[Etapa Retiro - Llegada]]),"")</f>
        <v>46206.626388888886</v>
      </c>
      <c r="U188" s="11">
        <f>IFERROR(IF(MARÍTIMOS[[#This Row],[Etapa Retiro - Ingreso]]="","",MARÍTIMOS[[#This Row],[Etapa Retiro - Ingreso]]),"")</f>
        <v>46206.62777777778</v>
      </c>
      <c r="V188" s="11">
        <f>IFERROR(IF(MARÍTIMOS[[#This Row],[Etapa Retiro - Atención]]="","",MARÍTIMOS[[#This Row],[Etapa Retiro - Atención]]),"")</f>
        <v>46206.708333333336</v>
      </c>
      <c r="W188" s="11">
        <f>IFERROR(IF(MARÍTIMOS[[#This Row],[Etapa Retiro - Atención]]="","",MARÍTIMOS[[#This Row],[Etapa Retiro - Atención]]),"")</f>
        <v>46206.708333333336</v>
      </c>
      <c r="X188" s="11">
        <f>IFERROR(IF(MARÍTIMOS[[#This Row],[Etapa Retiro - Inicio de Ruta]]="","",MARÍTIMOS[[#This Row],[Etapa Retiro - Inicio de Ruta]]),"")</f>
        <v>46206.791666666664</v>
      </c>
      <c r="Y188" s="11" t="str">
        <f>IFERROR(IF(MARÍTIMOS[[#This Row],[Hora de Posicionamiento]]="","",MARÍTIMOS[[#This Row],[Fecha de Carga]]+MARÍTIMOS[[#This Row],[Hora de Posicionamiento]]),"")</f>
        <v/>
      </c>
      <c r="Z188" s="11">
        <f>IFERROR(IF(MARÍTIMOS[[#This Row],[Etapa Despacho - Llegada]]="","",MARÍTIMOS[[#This Row],[Etapa Despacho - Llegada]]),"")</f>
        <v>46207.416666666664</v>
      </c>
      <c r="AA188" s="11">
        <f>IFERROR(IF(MARÍTIMOS[[#This Row],[Etapa Despacho - Registro]]="","",MARÍTIMOS[[#This Row],[Etapa Despacho - Registro]]),"")</f>
        <v>46207.430555555555</v>
      </c>
      <c r="AB188" s="11">
        <f>IFERROR(IF(MARÍTIMOS[[#This Row],[Inspección Externa]]="","",MARÍTIMOS[[#This Row],[Inspección Externa]]),"")</f>
        <v>46207.45</v>
      </c>
      <c r="AC188" s="11">
        <f>IFERROR(IF(MARÍTIMOS[[#This Row],[Etapa Despacho - Inicio de Carga]]="","",MARÍTIMOS[[#This Row],[Etapa Despacho - Inicio de Carga]]),"")</f>
        <v>46207.5</v>
      </c>
      <c r="AD188" s="11">
        <f>IFERROR(IF(MARÍTIMOS[[#This Row],[Etapa Despacho - Mitad de Carga]]="","",MARÍTIMOS[[#This Row],[Etapa Despacho - Mitad de Carga]]),"")</f>
        <v>46207.73541666667</v>
      </c>
      <c r="AE188" s="11">
        <f>IFERROR(IF(MARÍTIMOS[[#This Row],[Etapa Despacho - Fin de Carga]]="","",MARÍTIMOS[[#This Row],[Etapa Despacho - Fin de Carga]]),"")</f>
        <v>46207.75</v>
      </c>
      <c r="AF188" s="2" t="str">
        <f>IFERROR(IF(MARÍTIMOS[[#This Row],[Puerto de Embarque]]="","",MARÍTIMOS[[#This Row],[Puerto de Embarque]]),"")</f>
        <v>CHANCAY</v>
      </c>
      <c r="AG188" s="2" t="str">
        <f>IFERROR(IF(MARÍTIMOS[[#This Row],[Almacén de Ingreso]]="","",MARÍTIMOS[[#This Row],[Almacén de Ingreso]]),"")</f>
        <v>CSPCP</v>
      </c>
      <c r="AH188" s="11">
        <f>IFERROR(IF(MARÍTIMOS[[#This Row],[Etapa Ingreso - Cita]]="","",MARÍTIMOS[[#This Row],[Etapa Ingreso - Cita]]),"")</f>
        <v>46208.375</v>
      </c>
      <c r="AI188" s="11">
        <f>IFERROR(IF(MARÍTIMOS[[#This Row],[Etapa Ingreso - Llegada]]="","",MARÍTIMOS[[#This Row],[Etapa Ingreso - Llegada]]),"")</f>
        <v>46208.401388888888</v>
      </c>
      <c r="AJ188" s="11">
        <f>IFERROR(IF(MARÍTIMOS[[#This Row],[Etapa Ingreso - Ingeso]]="","",MARÍTIMOS[[#This Row],[Etapa Ingreso - Ingeso]]),"")</f>
        <v>46208.420138888891</v>
      </c>
      <c r="AK188" s="11">
        <f>IFERROR(IF(MARÍTIMOS[[#This Row],[Etapa Ingreso - Atención]]="","",MARÍTIMOS[[#This Row],[Etapa Ingreso - Atención]]),"")</f>
        <v>46208.416666666664</v>
      </c>
      <c r="AL188" s="11">
        <f>IFERROR(IF(MARÍTIMOS[[#This Row],[Etapa Ingreso - Salida]]="","",MARÍTIMOS[[#This Row],[Etapa Ingreso - Salida]]),"")</f>
        <v>46208.440972222219</v>
      </c>
      <c r="AM188" s="2">
        <f>IFERROR(IF(MARÍTIMOS[[#This Row],[FCL]]="","",MARÍTIMOS[[#This Row],[FCL]]),"")</f>
        <v>1</v>
      </c>
      <c r="AN1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8" s="4" t="str" cm="1">
        <f t="array" ref="AO1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88" s="5">
        <f>IFERROR(OLDBD[[#This Row],[Llegada a packing]]-OLDBD[[#This Row],[Inicio de Ruta]],"")</f>
        <v>0.625</v>
      </c>
      <c r="AQ188" s="6">
        <f>IFERROR(OLDBD[[#This Row],[Inicio de Ruta]]-OLDBD[[#This Row],[Salida de almacén de retiro]],"")</f>
        <v>8.3333333328482695E-2</v>
      </c>
      <c r="AR1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88" s="8" t="str" cm="1">
        <f t="array" ref="AS1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88" s="9">
        <f>IFERROR(OLDBD[[#This Row],[Ingreso Packing]]-OLDBD[[#This Row],[Registro en Packing]],"")</f>
        <v>1.9444444442342501E-2</v>
      </c>
      <c r="AV188" s="9">
        <f>IFERROR(OLDBD[[#This Row],[Ingreso Packing]]-OLDBD[[#This Row],[Llegada a packing]],"")</f>
        <v>3.3333333332848269E-2</v>
      </c>
      <c r="AW1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88" s="5">
        <f>IFERROR(OLDBD[[#This Row],[Llegada Almacén de Ingreso]]-OLDBD[[#This Row],[Salida Packing]],"")</f>
        <v>0.65138888888759539</v>
      </c>
      <c r="AY188" s="4" t="str" cm="1">
        <f t="array" ref="AY1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8" s="43" t="s">
        <v>173</v>
      </c>
      <c r="BB188" s="47" t="str">
        <f>IFERROR(IF(MARÍTIMOS[[#This Row],[Estatus]]="","",MARÍTIMOS[[#This Row],[Estatus]]),"")</f>
        <v>Confirmado</v>
      </c>
      <c r="BC188" s="43"/>
      <c r="BD188" s="46">
        <f>IFERROR(OLDBD[[#This Row],[Salida de almacén de retiro]]-OLDBD[[#This Row],[Ingreso Almacén de retiro]],"")</f>
        <v>8.0555555556202307E-2</v>
      </c>
      <c r="BE188" s="46">
        <f>IFERROR(OLDBD[[#This Row],[Fin de Carga]]-OLDBD[[#This Row],[Inicio de Carga]],"")</f>
        <v>0.23541666667006211</v>
      </c>
    </row>
    <row r="189" spans="1:57" customFormat="1" hidden="1">
      <c r="A189" s="1"/>
      <c r="B189" s="1">
        <f>IFERROR(IF(MARÍTIMOS[[#This Row],[PP]]="","",MARÍTIMOS[[#This Row],[PP]]),"")</f>
        <v>27</v>
      </c>
      <c r="C189" s="1" t="str">
        <f>IFERROR(IF(MARÍTIMOS[[#This Row],[Sede]]="","",MARÍTIMOS[[#This Row],[Sede]]),"")</f>
        <v>Chao</v>
      </c>
      <c r="D189" s="1" t="str">
        <f>IFERROR(IF(MARÍTIMOS[[#This Row],[Instruction]]="","",MARÍTIMOS[[#This Row],[Instruction]]),"")</f>
        <v>RH-0110</v>
      </c>
      <c r="E189" s="1"/>
      <c r="F189" s="2" t="str">
        <f>IFERROR(IF(MARÍTIMOS[[#This Row],[Transportista]]="","",MARÍTIMOS[[#This Row],[Transportista]]),"")</f>
        <v>LIP</v>
      </c>
      <c r="G189" s="2" t="str">
        <f>IFERROR(IF(MARÍTIMOS[[#This Row],[Tercero]]="","",MARÍTIMOS[[#This Row],[Tercero]]),"")</f>
        <v>NO</v>
      </c>
      <c r="H189" s="2" t="str">
        <f>IFERROR(IF(MARÍTIMOS[[#This Row],[Razón Social]]="","",MARÍTIMOS[[#This Row],[Razón Social]]),"")</f>
        <v>LOGISTICA INTERMODAL DEL PERU S.A.C.</v>
      </c>
      <c r="I189" s="2">
        <f>IFERROR(IF(MARÍTIMOS[[#This Row],[RUC]]="","",MARÍTIMOS[[#This Row],[RUC]]),"")</f>
        <v>20513040718</v>
      </c>
      <c r="J189" s="2" t="str">
        <f>IFERROR(IF(MARÍTIMOS[[#This Row],[Placa Tracto]]="","",MARÍTIMOS[[#This Row],[Placa Tracto]]),"")</f>
        <v>BMD-798</v>
      </c>
      <c r="K189" s="2" t="str">
        <f>IFERROR(IF(MARÍTIMOS[[#This Row],[Placa Carreta]]="","",MARÍTIMOS[[#This Row],[Placa Carreta]]),"")</f>
        <v>AZJ-971</v>
      </c>
      <c r="L189" s="44" t="str">
        <f>IFERROR(IF(MARÍTIMOS[[#This Row],[Conductor]]="","",MARÍTIMOS[[#This Row],[Conductor]]),"")</f>
        <v>RUMICHE FIESTAS MELANIO ANTONIO</v>
      </c>
      <c r="M189" s="2" t="str">
        <f>IFERROR(IF(MARÍTIMOS[[#This Row],[Licencia]]="","",MARÍTIMOS[[#This Row],[Licencia]]),"")</f>
        <v>Q25826470</v>
      </c>
      <c r="N189" s="2" t="str">
        <f>IFERROR(IF(MARÍTIMOS[[#This Row],[Número de Contacto]]="","",MARÍTIMOS[[#This Row],[Número de Contacto]]),"")</f>
        <v/>
      </c>
      <c r="O189" s="10" t="str">
        <f>IFERROR(IF(MARÍTIMOS[[#This Row],[Booking|AWB|CRT]]="","",MARÍTIMOS[[#This Row],[Booking|AWB|CRT]]),"")</f>
        <v>6506665550</v>
      </c>
      <c r="P189" s="2" t="str">
        <f>IFERROR(IF(MARÍTIMOS[[#This Row],[Contenedor]]="","",MARÍTIMOS[[#This Row],[Contenedor]]),"")</f>
        <v>FBIU5010186</v>
      </c>
      <c r="Q189" s="2" t="str">
        <f>IFERROR(IF(MARÍTIMOS[[#This Row],[Puerto de Retiro]]="","",MARÍTIMOS[[#This Row],[Puerto de Retiro]]),"")</f>
        <v>CHANCAY</v>
      </c>
      <c r="R189" s="2" t="str">
        <f>IFERROR(IF(MARÍTIMOS[[#This Row],[Almacén de Retiro]]="","",MARÍTIMOS[[#This Row],[Almacén de Retiro]]),"")</f>
        <v>CSPCP</v>
      </c>
      <c r="S189" s="11">
        <f>IFERROR(IF(MARÍTIMOS[[#This Row],[Etapa Retiro - Cita]]="","",MARÍTIMOS[[#This Row],[Etapa Retiro - Cita]]),"")</f>
        <v>46207.583333333336</v>
      </c>
      <c r="T189" s="11">
        <f>IFERROR(IF(MARÍTIMOS[[#This Row],[Etapa Retiro - Llegada]]="","",MARÍTIMOS[[#This Row],[Etapa Retiro - Llegada]]),"")</f>
        <v>46207.611805555556</v>
      </c>
      <c r="U189" s="11">
        <f>IFERROR(IF(MARÍTIMOS[[#This Row],[Etapa Retiro - Ingreso]]="","",MARÍTIMOS[[#This Row],[Etapa Retiro - Ingreso]]),"")</f>
        <v>46207.613194444442</v>
      </c>
      <c r="V189" s="11">
        <f>IFERROR(IF(MARÍTIMOS[[#This Row],[Etapa Retiro - Atención]]="","",MARÍTIMOS[[#This Row],[Etapa Retiro - Atención]]),"")</f>
        <v>46207.666666666664</v>
      </c>
      <c r="W189" s="11">
        <f>IFERROR(IF(MARÍTIMOS[[#This Row],[Etapa Retiro - Atención]]="","",MARÍTIMOS[[#This Row],[Etapa Retiro - Atención]]),"")</f>
        <v>46207.666666666664</v>
      </c>
      <c r="X189" s="11">
        <f>IFERROR(IF(MARÍTIMOS[[#This Row],[Etapa Retiro - Inicio de Ruta]]="","",MARÍTIMOS[[#This Row],[Etapa Retiro - Inicio de Ruta]]),"")</f>
        <v>46207.75</v>
      </c>
      <c r="Y189" s="11" t="str">
        <f>IFERROR(IF(MARÍTIMOS[[#This Row],[Hora de Posicionamiento]]="","",MARÍTIMOS[[#This Row],[Fecha de Carga]]+MARÍTIMOS[[#This Row],[Hora de Posicionamiento]]),"")</f>
        <v/>
      </c>
      <c r="Z189" s="11">
        <f>IFERROR(IF(MARÍTIMOS[[#This Row],[Etapa Despacho - Llegada]]="","",MARÍTIMOS[[#This Row],[Etapa Despacho - Llegada]]),"")</f>
        <v>46208.375</v>
      </c>
      <c r="AA189" s="11">
        <f>IFERROR(IF(MARÍTIMOS[[#This Row],[Etapa Despacho - Registro]]="","",MARÍTIMOS[[#This Row],[Etapa Despacho - Registro]]),"")</f>
        <v>46208.405555555553</v>
      </c>
      <c r="AB189" s="11">
        <f>IFERROR(IF(MARÍTIMOS[[#This Row],[Inspección Externa]]="","",MARÍTIMOS[[#This Row],[Inspección Externa]]),"")</f>
        <v>46208.444444444445</v>
      </c>
      <c r="AC189" s="11">
        <f>IFERROR(IF(MARÍTIMOS[[#This Row],[Etapa Despacho - Inicio de Carga]]="","",MARÍTIMOS[[#This Row],[Etapa Despacho - Inicio de Carga]]),"")</f>
        <v>46208.520833333336</v>
      </c>
      <c r="AD189" s="11">
        <f>IFERROR(IF(MARÍTIMOS[[#This Row],[Etapa Despacho - Mitad de Carga]]="","",MARÍTIMOS[[#This Row],[Etapa Despacho - Mitad de Carga]]),"")</f>
        <v>46208.65347222222</v>
      </c>
      <c r="AE189" s="11">
        <f>IFERROR(IF(MARÍTIMOS[[#This Row],[Etapa Despacho - Fin de Carga]]="","",MARÍTIMOS[[#This Row],[Etapa Despacho - Fin de Carga]]),"")</f>
        <v>46208.666666666664</v>
      </c>
      <c r="AF189" s="2" t="str">
        <f>IFERROR(IF(MARÍTIMOS[[#This Row],[Puerto de Embarque]]="","",MARÍTIMOS[[#This Row],[Puerto de Embarque]]),"")</f>
        <v>CHANCAY</v>
      </c>
      <c r="AG189" s="2" t="str">
        <f>IFERROR(IF(MARÍTIMOS[[#This Row],[Almacén de Ingreso]]="","",MARÍTIMOS[[#This Row],[Almacén de Ingreso]]),"")</f>
        <v>CSPCP</v>
      </c>
      <c r="AH189" s="11">
        <f>IFERROR(IF(MARÍTIMOS[[#This Row],[Etapa Ingreso - Cita]]="","",MARÍTIMOS[[#This Row],[Etapa Ingreso - Cita]]),"")</f>
        <v>46209.333333333336</v>
      </c>
      <c r="AI189" s="11">
        <f>IFERROR(IF(MARÍTIMOS[[#This Row],[Etapa Ingreso - Llegada]]="","",MARÍTIMOS[[#This Row],[Etapa Ingreso - Llegada]]),"")</f>
        <v>46209.364583333336</v>
      </c>
      <c r="AJ189" s="11">
        <f>IFERROR(IF(MARÍTIMOS[[#This Row],[Etapa Ingreso - Ingeso]]="","",MARÍTIMOS[[#This Row],[Etapa Ingreso - Ingeso]]),"")</f>
        <v>46209.365972222222</v>
      </c>
      <c r="AK189" s="11">
        <f>IFERROR(IF(MARÍTIMOS[[#This Row],[Etapa Ingreso - Atención]]="","",MARÍTIMOS[[#This Row],[Etapa Ingreso - Atención]]),"")</f>
        <v>46209.375</v>
      </c>
      <c r="AL189" s="11">
        <f>IFERROR(IF(MARÍTIMOS[[#This Row],[Etapa Ingreso - Salida]]="","",MARÍTIMOS[[#This Row],[Etapa Ingreso - Salida]]),"")</f>
        <v>46209.40625</v>
      </c>
      <c r="AM189" s="2">
        <f>IFERROR(IF(MARÍTIMOS[[#This Row],[FCL]]="","",MARÍTIMOS[[#This Row],[FCL]]),"")</f>
        <v>1</v>
      </c>
      <c r="AN1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89" s="4" t="str" cm="1">
        <f t="array" ref="AO1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89" s="5">
        <f>IFERROR(OLDBD[[#This Row],[Llegada a packing]]-OLDBD[[#This Row],[Inicio de Ruta]],"")</f>
        <v>0.625</v>
      </c>
      <c r="AQ189" s="6">
        <f>IFERROR(OLDBD[[#This Row],[Inicio de Ruta]]-OLDBD[[#This Row],[Salida de almacén de retiro]],"")</f>
        <v>8.3333333335758653E-2</v>
      </c>
      <c r="AR1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89" s="8" t="str" cm="1">
        <f t="array" ref="AS1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89" s="9">
        <f>IFERROR(OLDBD[[#This Row],[Ingreso Packing]]-OLDBD[[#This Row],[Registro en Packing]],"")</f>
        <v>3.888888889196096E-2</v>
      </c>
      <c r="AV189" s="9">
        <f>IFERROR(OLDBD[[#This Row],[Ingreso Packing]]-OLDBD[[#This Row],[Llegada a packing]],"")</f>
        <v>6.9444444445252884E-2</v>
      </c>
      <c r="AW1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89" s="5">
        <f>IFERROR(OLDBD[[#This Row],[Llegada Almacén de Ingreso]]-OLDBD[[#This Row],[Salida Packing]],"")</f>
        <v>0.69791666667151731</v>
      </c>
      <c r="AY189" s="4" t="str" cm="1">
        <f t="array" ref="AY1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89" s="43" t="s">
        <v>173</v>
      </c>
      <c r="BB189" s="47" t="str">
        <f>IFERROR(IF(MARÍTIMOS[[#This Row],[Estatus]]="","",MARÍTIMOS[[#This Row],[Estatus]]),"")</f>
        <v>Confirmado</v>
      </c>
      <c r="BC189" s="43"/>
      <c r="BD189" s="46">
        <f>IFERROR(OLDBD[[#This Row],[Salida de almacén de retiro]]-OLDBD[[#This Row],[Ingreso Almacén de retiro]],"")</f>
        <v>5.3472222221898846E-2</v>
      </c>
      <c r="BE189" s="46">
        <f>IFERROR(OLDBD[[#This Row],[Fin de Carga]]-OLDBD[[#This Row],[Inicio de Carga]],"")</f>
        <v>0.132638888884685</v>
      </c>
    </row>
    <row r="190" spans="1:57" customFormat="1" hidden="1">
      <c r="A190" s="1"/>
      <c r="B190" s="1">
        <f>IFERROR(IF(MARÍTIMOS[[#This Row],[PP]]="","",MARÍTIMOS[[#This Row],[PP]]),"")</f>
        <v>27</v>
      </c>
      <c r="C190" s="1" t="str">
        <f>IFERROR(IF(MARÍTIMOS[[#This Row],[Sede]]="","",MARÍTIMOS[[#This Row],[Sede]]),"")</f>
        <v>Chao</v>
      </c>
      <c r="D190" s="1" t="str">
        <f>IFERROR(IF(MARÍTIMOS[[#This Row],[Instruction]]="","",MARÍTIMOS[[#This Row],[Instruction]]),"")</f>
        <v>RH-0112</v>
      </c>
      <c r="E190" s="1"/>
      <c r="F190" s="2" t="str">
        <f>IFERROR(IF(MARÍTIMOS[[#This Row],[Transportista]]="","",MARÍTIMOS[[#This Row],[Transportista]]),"")</f>
        <v>LIP</v>
      </c>
      <c r="G190" s="2" t="str">
        <f>IFERROR(IF(MARÍTIMOS[[#This Row],[Tercero]]="","",MARÍTIMOS[[#This Row],[Tercero]]),"")</f>
        <v>NO</v>
      </c>
      <c r="H190" s="2" t="str">
        <f>IFERROR(IF(MARÍTIMOS[[#This Row],[Razón Social]]="","",MARÍTIMOS[[#This Row],[Razón Social]]),"")</f>
        <v>LOGISTICA INTERMODAL DEL PERU S.A.C.</v>
      </c>
      <c r="I190" s="2">
        <f>IFERROR(IF(MARÍTIMOS[[#This Row],[RUC]]="","",MARÍTIMOS[[#This Row],[RUC]]),"")</f>
        <v>20513040718</v>
      </c>
      <c r="J190" s="2" t="str">
        <f>IFERROR(IF(MARÍTIMOS[[#This Row],[Placa Tracto]]="","",MARÍTIMOS[[#This Row],[Placa Tracto]]),"")</f>
        <v>CFF-938</v>
      </c>
      <c r="K190" s="2" t="str">
        <f>IFERROR(IF(MARÍTIMOS[[#This Row],[Placa Carreta]]="","",MARÍTIMOS[[#This Row],[Placa Carreta]]),"")</f>
        <v>BSR-989</v>
      </c>
      <c r="L190" s="44" t="str">
        <f>IFERROR(IF(MARÍTIMOS[[#This Row],[Conductor]]="","",MARÍTIMOS[[#This Row],[Conductor]]),"")</f>
        <v>ROMERO BENEDETTI CHRISTIAN MANUEL</v>
      </c>
      <c r="M190" s="2" t="str">
        <f>IFERROR(IF(MARÍTIMOS[[#This Row],[Licencia]]="","",MARÍTIMOS[[#This Row],[Licencia]]),"")</f>
        <v>Q25855908</v>
      </c>
      <c r="N190" s="2" t="str">
        <f>IFERROR(IF(MARÍTIMOS[[#This Row],[Número de Contacto]]="","",MARÍTIMOS[[#This Row],[Número de Contacto]]),"")</f>
        <v/>
      </c>
      <c r="O190" s="10">
        <f>IFERROR(IF(MARÍTIMOS[[#This Row],[Booking|AWB|CRT]]="","",MARÍTIMOS[[#This Row],[Booking|AWB|CRT]]),"")</f>
        <v>6506666080</v>
      </c>
      <c r="P190" s="2" t="str">
        <f>IFERROR(IF(MARÍTIMOS[[#This Row],[Contenedor]]="","",MARÍTIMOS[[#This Row],[Contenedor]]),"")</f>
        <v>FSCU5932589</v>
      </c>
      <c r="Q190" s="2" t="str">
        <f>IFERROR(IF(MARÍTIMOS[[#This Row],[Puerto de Retiro]]="","",MARÍTIMOS[[#This Row],[Puerto de Retiro]]),"")</f>
        <v>CHANCAY</v>
      </c>
      <c r="R190" s="2" t="str">
        <f>IFERROR(IF(MARÍTIMOS[[#This Row],[Almacén de Retiro]]="","",MARÍTIMOS[[#This Row],[Almacén de Retiro]]),"")</f>
        <v>CSPCP</v>
      </c>
      <c r="S190" s="11">
        <f>IFERROR(IF(MARÍTIMOS[[#This Row],[Etapa Retiro - Cita]]="","",MARÍTIMOS[[#This Row],[Etapa Retiro - Cita]]),"")</f>
        <v>46204.708333333336</v>
      </c>
      <c r="T190" s="11">
        <f>IFERROR(IF(MARÍTIMOS[[#This Row],[Etapa Retiro - Llegada]]="","",MARÍTIMOS[[#This Row],[Etapa Retiro - Llegada]]),"")</f>
        <v>46204.711805555555</v>
      </c>
      <c r="U190" s="11">
        <f>IFERROR(IF(MARÍTIMOS[[#This Row],[Etapa Retiro - Ingreso]]="","",MARÍTIMOS[[#This Row],[Etapa Retiro - Ingreso]]),"")</f>
        <v>46204.713888888888</v>
      </c>
      <c r="V190" s="11">
        <f>IFERROR(IF(MARÍTIMOS[[#This Row],[Etapa Retiro - Atención]]="","",MARÍTIMOS[[#This Row],[Etapa Retiro - Atención]]),"")</f>
        <v>46204.791666666664</v>
      </c>
      <c r="W190" s="11">
        <f>IFERROR(IF(MARÍTIMOS[[#This Row],[Etapa Retiro - Atención]]="","",MARÍTIMOS[[#This Row],[Etapa Retiro - Atención]]),"")</f>
        <v>46204.791666666664</v>
      </c>
      <c r="X190" s="11">
        <f>IFERROR(IF(MARÍTIMOS[[#This Row],[Etapa Retiro - Inicio de Ruta]]="","",MARÍTIMOS[[#This Row],[Etapa Retiro - Inicio de Ruta]]),"")</f>
        <v>46204.875</v>
      </c>
      <c r="Y190" s="11" t="str">
        <f>IFERROR(IF(MARÍTIMOS[[#This Row],[Hora de Posicionamiento]]="","",MARÍTIMOS[[#This Row],[Fecha de Carga]]+MARÍTIMOS[[#This Row],[Hora de Posicionamiento]]),"")</f>
        <v/>
      </c>
      <c r="Z190" s="11">
        <f>IFERROR(IF(MARÍTIMOS[[#This Row],[Etapa Despacho - Llegada]]="","",MARÍTIMOS[[#This Row],[Etapa Despacho - Llegada]]),"")</f>
        <v>46205.375</v>
      </c>
      <c r="AA190" s="11">
        <f>IFERROR(IF(MARÍTIMOS[[#This Row],[Etapa Despacho - Registro]]="","",MARÍTIMOS[[#This Row],[Etapa Despacho - Registro]]),"")</f>
        <v>46205.388888888891</v>
      </c>
      <c r="AB190" s="11">
        <f>IFERROR(IF(MARÍTIMOS[[#This Row],[Inspección Externa]]="","",MARÍTIMOS[[#This Row],[Inspección Externa]]),"")</f>
        <v>46205.415972222225</v>
      </c>
      <c r="AC190" s="11">
        <f>IFERROR(IF(MARÍTIMOS[[#This Row],[Etapa Despacho - Inicio de Carga]]="","",MARÍTIMOS[[#This Row],[Etapa Despacho - Inicio de Carga]]),"")</f>
        <v>46205.430555555555</v>
      </c>
      <c r="AD190" s="11">
        <f>IFERROR(IF(MARÍTIMOS[[#This Row],[Etapa Despacho - Mitad de Carga]]="","",MARÍTIMOS[[#This Row],[Etapa Despacho - Mitad de Carga]]),"")</f>
        <v>46205.612500000003</v>
      </c>
      <c r="AE190" s="11">
        <f>IFERROR(IF(MARÍTIMOS[[#This Row],[Etapa Despacho - Fin de Carga]]="","",MARÍTIMOS[[#This Row],[Etapa Despacho - Fin de Carga]]),"")</f>
        <v>46205.625</v>
      </c>
      <c r="AF190" s="2" t="str">
        <f>IFERROR(IF(MARÍTIMOS[[#This Row],[Puerto de Embarque]]="","",MARÍTIMOS[[#This Row],[Puerto de Embarque]]),"")</f>
        <v>CHANCAY</v>
      </c>
      <c r="AG190" s="2" t="str">
        <f>IFERROR(IF(MARÍTIMOS[[#This Row],[Almacén de Ingreso]]="","",MARÍTIMOS[[#This Row],[Almacén de Ingreso]]),"")</f>
        <v>CSPCP</v>
      </c>
      <c r="AH190" s="11">
        <f>IFERROR(IF(MARÍTIMOS[[#This Row],[Etapa Ingreso - Cita]]="","",MARÍTIMOS[[#This Row],[Etapa Ingreso - Cita]]),"")</f>
        <v>46206.333333333336</v>
      </c>
      <c r="AI190" s="11">
        <f>IFERROR(IF(MARÍTIMOS[[#This Row],[Etapa Ingreso - Llegada]]="","",MARÍTIMOS[[#This Row],[Etapa Ingreso - Llegada]]),"")</f>
        <v>46206.343055555553</v>
      </c>
      <c r="AJ190" s="11">
        <f>IFERROR(IF(MARÍTIMOS[[#This Row],[Etapa Ingreso - Ingeso]]="","",MARÍTIMOS[[#This Row],[Etapa Ingreso - Ingeso]]),"")</f>
        <v>46206.536111111112</v>
      </c>
      <c r="AK190" s="11">
        <f>IFERROR(IF(MARÍTIMOS[[#This Row],[Etapa Ingreso - Atención]]="","",MARÍTIMOS[[#This Row],[Etapa Ingreso - Atención]]),"")</f>
        <v>46206.541666666664</v>
      </c>
      <c r="AL190" s="11">
        <f>IFERROR(IF(MARÍTIMOS[[#This Row],[Etapa Ingreso - Salida]]="","",MARÍTIMOS[[#This Row],[Etapa Ingreso - Salida]]),"")</f>
        <v>46206.558333333334</v>
      </c>
      <c r="AM190" s="2">
        <f>IFERROR(IF(MARÍTIMOS[[#This Row],[FCL]]="","",MARÍTIMOS[[#This Row],[FCL]]),"")</f>
        <v>1</v>
      </c>
      <c r="AN1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0" s="4" t="str" cm="1">
        <f t="array" ref="AO1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90" s="5">
        <f>IFERROR(OLDBD[[#This Row],[Llegada a packing]]-OLDBD[[#This Row],[Inicio de Ruta]],"")</f>
        <v>0.5</v>
      </c>
      <c r="AQ190" s="6">
        <f>IFERROR(OLDBD[[#This Row],[Inicio de Ruta]]-OLDBD[[#This Row],[Salida de almacén de retiro]],"")</f>
        <v>8.3333333335758653E-2</v>
      </c>
      <c r="AR1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90" s="8" t="str" cm="1">
        <f t="array" ref="AS1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90" s="9">
        <f>IFERROR(OLDBD[[#This Row],[Ingreso Packing]]-OLDBD[[#This Row],[Registro en Packing]],"")</f>
        <v>2.7083333334303461E-2</v>
      </c>
      <c r="AV190" s="9">
        <f>IFERROR(OLDBD[[#This Row],[Ingreso Packing]]-OLDBD[[#This Row],[Llegada a packing]],"")</f>
        <v>4.0972222224809229E-2</v>
      </c>
      <c r="AW1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90" s="5">
        <f>IFERROR(OLDBD[[#This Row],[Llegada Almacén de Ingreso]]-OLDBD[[#This Row],[Salida Packing]],"")</f>
        <v>0.71805555555329192</v>
      </c>
      <c r="AY190" s="4" t="str" cm="1">
        <f t="array" ref="AY1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0" s="43" t="s">
        <v>173</v>
      </c>
      <c r="BB190" s="47" t="str">
        <f>IFERROR(IF(MARÍTIMOS[[#This Row],[Estatus]]="","",MARÍTIMOS[[#This Row],[Estatus]]),"")</f>
        <v>Confirmado</v>
      </c>
      <c r="BC190" s="43"/>
      <c r="BD190" s="46">
        <f>IFERROR(OLDBD[[#This Row],[Salida de almacén de retiro]]-OLDBD[[#This Row],[Ingreso Almacén de retiro]],"")</f>
        <v>7.7777777776645962E-2</v>
      </c>
      <c r="BE190" s="46">
        <f>IFERROR(OLDBD[[#This Row],[Fin de Carga]]-OLDBD[[#This Row],[Inicio de Carga]],"")</f>
        <v>0.18194444444816327</v>
      </c>
    </row>
    <row r="191" spans="1:57" customFormat="1" hidden="1">
      <c r="A191" s="1"/>
      <c r="B191" s="1">
        <f>IFERROR(IF(MARÍTIMOS[[#This Row],[PP]]="","",MARÍTIMOS[[#This Row],[PP]]),"")</f>
        <v>27</v>
      </c>
      <c r="C191" s="1" t="str">
        <f>IFERROR(IF(MARÍTIMOS[[#This Row],[Sede]]="","",MARÍTIMOS[[#This Row],[Sede]]),"")</f>
        <v>Chao</v>
      </c>
      <c r="D191" s="1" t="str">
        <f>IFERROR(IF(MARÍTIMOS[[#This Row],[Instruction]]="","",MARÍTIMOS[[#This Row],[Instruction]]),"")</f>
        <v>RH-0113</v>
      </c>
      <c r="E191" s="1"/>
      <c r="F191" s="2" t="str">
        <f>IFERROR(IF(MARÍTIMOS[[#This Row],[Transportista]]="","",MARÍTIMOS[[#This Row],[Transportista]]),"")</f>
        <v>LIP</v>
      </c>
      <c r="G191" s="2" t="str">
        <f>IFERROR(IF(MARÍTIMOS[[#This Row],[Tercero]]="","",MARÍTIMOS[[#This Row],[Tercero]]),"")</f>
        <v>NO</v>
      </c>
      <c r="H191" s="2" t="str">
        <f>IFERROR(IF(MARÍTIMOS[[#This Row],[Razón Social]]="","",MARÍTIMOS[[#This Row],[Razón Social]]),"")</f>
        <v>LOGISTICA INTERMODAL DEL PERU S.A.C.</v>
      </c>
      <c r="I191" s="2">
        <f>IFERROR(IF(MARÍTIMOS[[#This Row],[RUC]]="","",MARÍTIMOS[[#This Row],[RUC]]),"")</f>
        <v>20513040718</v>
      </c>
      <c r="J191" s="2" t="str">
        <f>IFERROR(IF(MARÍTIMOS[[#This Row],[Placa Tracto]]="","",MARÍTIMOS[[#This Row],[Placa Tracto]]),"")</f>
        <v>BKI-894</v>
      </c>
      <c r="K191" s="2" t="str">
        <f>IFERROR(IF(MARÍTIMOS[[#This Row],[Placa Carreta]]="","",MARÍTIMOS[[#This Row],[Placa Carreta]]),"")</f>
        <v>AXN-990</v>
      </c>
      <c r="L191" s="44" t="str">
        <f>IFERROR(IF(MARÍTIMOS[[#This Row],[Conductor]]="","",MARÍTIMOS[[#This Row],[Conductor]]),"")</f>
        <v>VERA SOTO OSCAR</v>
      </c>
      <c r="M191" s="2" t="str">
        <f>IFERROR(IF(MARÍTIMOS[[#This Row],[Licencia]]="","",MARÍTIMOS[[#This Row],[Licencia]]),"")</f>
        <v>E42235469</v>
      </c>
      <c r="N191" s="2" t="str">
        <f>IFERROR(IF(MARÍTIMOS[[#This Row],[Número de Contacto]]="","",MARÍTIMOS[[#This Row],[Número de Contacto]]),"")</f>
        <v/>
      </c>
      <c r="O191" s="10">
        <f>IFERROR(IF(MARÍTIMOS[[#This Row],[Booking|AWB|CRT]]="","",MARÍTIMOS[[#This Row],[Booking|AWB|CRT]]),"")</f>
        <v>6506665840</v>
      </c>
      <c r="P191" s="2" t="str">
        <f>IFERROR(IF(MARÍTIMOS[[#This Row],[Contenedor]]="","",MARÍTIMOS[[#This Row],[Contenedor]]),"")</f>
        <v>FBIU5793121</v>
      </c>
      <c r="Q191" s="2" t="str">
        <f>IFERROR(IF(MARÍTIMOS[[#This Row],[Puerto de Retiro]]="","",MARÍTIMOS[[#This Row],[Puerto de Retiro]]),"")</f>
        <v>CHANCAY</v>
      </c>
      <c r="R191" s="2" t="str">
        <f>IFERROR(IF(MARÍTIMOS[[#This Row],[Almacén de Retiro]]="","",MARÍTIMOS[[#This Row],[Almacén de Retiro]]),"")</f>
        <v>CSPCP</v>
      </c>
      <c r="S191" s="11">
        <f>IFERROR(IF(MARÍTIMOS[[#This Row],[Etapa Retiro - Cita]]="","",MARÍTIMOS[[#This Row],[Etapa Retiro - Cita]]),"")</f>
        <v>46205.75</v>
      </c>
      <c r="T191" s="11">
        <f>IFERROR(IF(MARÍTIMOS[[#This Row],[Etapa Retiro - Llegada]]="","",MARÍTIMOS[[#This Row],[Etapa Retiro - Llegada]]),"")</f>
        <v>46205.650694444441</v>
      </c>
      <c r="U191" s="11">
        <f>IFERROR(IF(MARÍTIMOS[[#This Row],[Etapa Retiro - Ingreso]]="","",MARÍTIMOS[[#This Row],[Etapa Retiro - Ingreso]]),"")</f>
        <v>46205.666666666664</v>
      </c>
      <c r="V191" s="11">
        <f>IFERROR(IF(MARÍTIMOS[[#This Row],[Etapa Retiro - Atención]]="","",MARÍTIMOS[[#This Row],[Etapa Retiro - Atención]]),"")</f>
        <v>46205.739583333336</v>
      </c>
      <c r="W191" s="11">
        <f>IFERROR(IF(MARÍTIMOS[[#This Row],[Etapa Retiro - Atención]]="","",MARÍTIMOS[[#This Row],[Etapa Retiro - Atención]]),"")</f>
        <v>46205.739583333336</v>
      </c>
      <c r="X191" s="11">
        <f>IFERROR(IF(MARÍTIMOS[[#This Row],[Etapa Retiro - Inicio de Ruta]]="","",MARÍTIMOS[[#This Row],[Etapa Retiro - Inicio de Ruta]]),"")</f>
        <v>46205.875</v>
      </c>
      <c r="Y191" s="11">
        <f>IFERROR(IF(MARÍTIMOS[[#This Row],[Hora de Posicionamiento]]="","",MARÍTIMOS[[#This Row],[Fecha de Carga]]+MARÍTIMOS[[#This Row],[Hora de Posicionamiento]]),"")</f>
        <v>46208.416666666664</v>
      </c>
      <c r="Z191" s="11">
        <f>IFERROR(IF(MARÍTIMOS[[#This Row],[Etapa Despacho - Llegada]]="","",MARÍTIMOS[[#This Row],[Etapa Despacho - Llegada]]),"")</f>
        <v>46206.447222222225</v>
      </c>
      <c r="AA191" s="11">
        <f>IFERROR(IF(MARÍTIMOS[[#This Row],[Etapa Despacho - Registro]]="","",MARÍTIMOS[[#This Row],[Etapa Despacho - Registro]]),"")</f>
        <v>46206.458333333336</v>
      </c>
      <c r="AB191" s="11">
        <f>IFERROR(IF(MARÍTIMOS[[#This Row],[Inspección Externa]]="","",MARÍTIMOS[[#This Row],[Inspección Externa]]),"")</f>
        <v>46206.520833333336</v>
      </c>
      <c r="AC191" s="11">
        <f>IFERROR(IF(MARÍTIMOS[[#This Row],[Etapa Despacho - Inicio de Carga]]="","",MARÍTIMOS[[#This Row],[Etapa Despacho - Inicio de Carga]]),"")</f>
        <v>46206.5625</v>
      </c>
      <c r="AD191" s="11">
        <f>IFERROR(IF(MARÍTIMOS[[#This Row],[Etapa Despacho - Mitad de Carga]]="","",MARÍTIMOS[[#This Row],[Etapa Despacho - Mitad de Carga]]),"")</f>
        <v>46208.651388888888</v>
      </c>
      <c r="AE191" s="11">
        <f>IFERROR(IF(MARÍTIMOS[[#This Row],[Etapa Despacho - Fin de Carga]]="","",MARÍTIMOS[[#This Row],[Etapa Despacho - Fin de Carga]]),"")</f>
        <v>46208.666666666664</v>
      </c>
      <c r="AF191" s="2" t="str">
        <f>IFERROR(IF(MARÍTIMOS[[#This Row],[Puerto de Embarque]]="","",MARÍTIMOS[[#This Row],[Puerto de Embarque]]),"")</f>
        <v>CHANCAY</v>
      </c>
      <c r="AG191" s="2" t="str">
        <f>IFERROR(IF(MARÍTIMOS[[#This Row],[Almacén de Ingreso]]="","",MARÍTIMOS[[#This Row],[Almacén de Ingreso]]),"")</f>
        <v>CSPCP</v>
      </c>
      <c r="AH191" s="11">
        <f>IFERROR(IF(MARÍTIMOS[[#This Row],[Etapa Ingreso - Cita]]="","",MARÍTIMOS[[#This Row],[Etapa Ingreso - Cita]]),"")</f>
        <v>46209.041666666664</v>
      </c>
      <c r="AI191" s="11">
        <f>IFERROR(IF(MARÍTIMOS[[#This Row],[Etapa Ingreso - Llegada]]="","",MARÍTIMOS[[#This Row],[Etapa Ingreso - Llegada]]),"")</f>
        <v>46209.070138888892</v>
      </c>
      <c r="AJ191" s="11">
        <f>IFERROR(IF(MARÍTIMOS[[#This Row],[Etapa Ingreso - Ingeso]]="","",MARÍTIMOS[[#This Row],[Etapa Ingreso - Ingeso]]),"")</f>
        <v>46209.074305555558</v>
      </c>
      <c r="AK191" s="11">
        <f>IFERROR(IF(MARÍTIMOS[[#This Row],[Etapa Ingreso - Atención]]="","",MARÍTIMOS[[#This Row],[Etapa Ingreso - Atención]]),"")</f>
        <v>46209.083333333336</v>
      </c>
      <c r="AL191" s="11">
        <f>IFERROR(IF(MARÍTIMOS[[#This Row],[Etapa Ingreso - Salida]]="","",MARÍTIMOS[[#This Row],[Etapa Ingreso - Salida]]),"")</f>
        <v>46209.109027777777</v>
      </c>
      <c r="AM191" s="2">
        <f>IFERROR(IF(MARÍTIMOS[[#This Row],[FCL]]="","",MARÍTIMOS[[#This Row],[FCL]]),"")</f>
        <v>1</v>
      </c>
      <c r="AN1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191" s="4" t="str" cm="1">
        <f t="array" ref="AO1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91" s="5">
        <f>IFERROR(OLDBD[[#This Row],[Llegada a packing]]-OLDBD[[#This Row],[Inicio de Ruta]],"")</f>
        <v>0.57222222222480923</v>
      </c>
      <c r="AQ191" s="6">
        <f>IFERROR(OLDBD[[#This Row],[Inicio de Ruta]]-OLDBD[[#This Row],[Salida de almacén de retiro]],"")</f>
        <v>0.13541666666424135</v>
      </c>
      <c r="AR1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91" s="8" t="str" cm="1">
        <f t="array" ref="AS1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1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91" s="9">
        <f>IFERROR(OLDBD[[#This Row],[Ingreso Packing]]-OLDBD[[#This Row],[Registro en Packing]],"")</f>
        <v>6.25E-2</v>
      </c>
      <c r="AV191" s="9">
        <f>IFERROR(OLDBD[[#This Row],[Ingreso Packing]]-OLDBD[[#This Row],[Llegada a packing]],"")</f>
        <v>7.3611111110949423E-2</v>
      </c>
      <c r="AW1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191" s="5">
        <f>IFERROR(OLDBD[[#This Row],[Llegada Almacén de Ingreso]]-OLDBD[[#This Row],[Salida Packing]],"")</f>
        <v>0.40347222222771961</v>
      </c>
      <c r="AY191" s="4" t="str" cm="1">
        <f t="array" ref="AY1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1" s="43" t="s">
        <v>173</v>
      </c>
      <c r="BB191" s="47" t="str">
        <f>IFERROR(IF(MARÍTIMOS[[#This Row],[Estatus]]="","",MARÍTIMOS[[#This Row],[Estatus]]),"")</f>
        <v>Confirmado</v>
      </c>
      <c r="BC191" s="43"/>
      <c r="BD191" s="46">
        <f>IFERROR(OLDBD[[#This Row],[Salida de almacén de retiro]]-OLDBD[[#This Row],[Ingreso Almacén de retiro]],"")</f>
        <v>7.2916666671517305E-2</v>
      </c>
      <c r="BE191" s="46">
        <f>IFERROR(OLDBD[[#This Row],[Fin de Carga]]-OLDBD[[#This Row],[Inicio de Carga]],"")</f>
        <v>2.0888888888875954</v>
      </c>
    </row>
    <row r="192" spans="1:57" customFormat="1" hidden="1">
      <c r="A192" s="1"/>
      <c r="B192" s="1">
        <f>IFERROR(IF(MARÍTIMOS[[#This Row],[PP]]="","",MARÍTIMOS[[#This Row],[PP]]),"")</f>
        <v>27</v>
      </c>
      <c r="C192" s="1" t="str">
        <f>IFERROR(IF(MARÍTIMOS[[#This Row],[Sede]]="","",MARÍTIMOS[[#This Row],[Sede]]),"")</f>
        <v>Chao</v>
      </c>
      <c r="D192" s="1" t="str">
        <f>IFERROR(IF(MARÍTIMOS[[#This Row],[Instruction]]="","",MARÍTIMOS[[#This Row],[Instruction]]),"")</f>
        <v>RH-0114</v>
      </c>
      <c r="E192" s="1"/>
      <c r="F192" s="2" t="str">
        <f>IFERROR(IF(MARÍTIMOS[[#This Row],[Transportista]]="","",MARÍTIMOS[[#This Row],[Transportista]]),"")</f>
        <v>LIP</v>
      </c>
      <c r="G192" s="2" t="str">
        <f>IFERROR(IF(MARÍTIMOS[[#This Row],[Tercero]]="","",MARÍTIMOS[[#This Row],[Tercero]]),"")</f>
        <v>NO</v>
      </c>
      <c r="H192" s="2" t="str">
        <f>IFERROR(IF(MARÍTIMOS[[#This Row],[Razón Social]]="","",MARÍTIMOS[[#This Row],[Razón Social]]),"")</f>
        <v>LOGISTICA INTERMODAL DEL PERU S.A.C.</v>
      </c>
      <c r="I192" s="2">
        <f>IFERROR(IF(MARÍTIMOS[[#This Row],[RUC]]="","",MARÍTIMOS[[#This Row],[RUC]]),"")</f>
        <v>20513040718</v>
      </c>
      <c r="J192" s="2" t="str">
        <f>IFERROR(IF(MARÍTIMOS[[#This Row],[Placa Tracto]]="","",MARÍTIMOS[[#This Row],[Placa Tracto]]),"")</f>
        <v>BJW-763</v>
      </c>
      <c r="K192" s="2" t="str">
        <f>IFERROR(IF(MARÍTIMOS[[#This Row],[Placa Carreta]]="","",MARÍTIMOS[[#This Row],[Placa Carreta]]),"")</f>
        <v>AXD-994</v>
      </c>
      <c r="L192" s="44" t="str">
        <f>IFERROR(IF(MARÍTIMOS[[#This Row],[Conductor]]="","",MARÍTIMOS[[#This Row],[Conductor]]),"")</f>
        <v>ZAMBRANO OSORIO WILLIAMS JESUS</v>
      </c>
      <c r="M192" s="2" t="str">
        <f>IFERROR(IF(MARÍTIMOS[[#This Row],[Licencia]]="","",MARÍTIMOS[[#This Row],[Licencia]]),"")</f>
        <v>Q006863428</v>
      </c>
      <c r="N192" s="2" t="str">
        <f>IFERROR(IF(MARÍTIMOS[[#This Row],[Número de Contacto]]="","",MARÍTIMOS[[#This Row],[Número de Contacto]]),"")</f>
        <v/>
      </c>
      <c r="O192" s="10">
        <f>IFERROR(IF(MARÍTIMOS[[#This Row],[Booking|AWB|CRT]]="","",MARÍTIMOS[[#This Row],[Booking|AWB|CRT]]),"")</f>
        <v>6506666350</v>
      </c>
      <c r="P192" s="2" t="str">
        <f>IFERROR(IF(MARÍTIMOS[[#This Row],[Contenedor]]="","",MARÍTIMOS[[#This Row],[Contenedor]]),"")</f>
        <v>FBIU5751044</v>
      </c>
      <c r="Q192" s="2" t="str">
        <f>IFERROR(IF(MARÍTIMOS[[#This Row],[Puerto de Retiro]]="","",MARÍTIMOS[[#This Row],[Puerto de Retiro]]),"")</f>
        <v>CHANCAY</v>
      </c>
      <c r="R192" s="2" t="str">
        <f>IFERROR(IF(MARÍTIMOS[[#This Row],[Almacén de Retiro]]="","",MARÍTIMOS[[#This Row],[Almacén de Retiro]]),"")</f>
        <v>CSPCP</v>
      </c>
      <c r="S192" s="11">
        <f>IFERROR(IF(MARÍTIMOS[[#This Row],[Etapa Retiro - Cita]]="","",MARÍTIMOS[[#This Row],[Etapa Retiro - Cita]]),"")</f>
        <v>46206.625</v>
      </c>
      <c r="T192" s="11">
        <f>IFERROR(IF(MARÍTIMOS[[#This Row],[Etapa Retiro - Llegada]]="","",MARÍTIMOS[[#This Row],[Etapa Retiro - Llegada]]),"")</f>
        <v>46206.666666666664</v>
      </c>
      <c r="U192" s="11">
        <f>IFERROR(IF(MARÍTIMOS[[#This Row],[Etapa Retiro - Ingreso]]="","",MARÍTIMOS[[#This Row],[Etapa Retiro - Ingreso]]),"")</f>
        <v>46206.675000000003</v>
      </c>
      <c r="V192" s="11">
        <f>IFERROR(IF(MARÍTIMOS[[#This Row],[Etapa Retiro - Atención]]="","",MARÍTIMOS[[#This Row],[Etapa Retiro - Atención]]),"")</f>
        <v>46206.708333333336</v>
      </c>
      <c r="W192" s="11">
        <f>IFERROR(IF(MARÍTIMOS[[#This Row],[Etapa Retiro - Atención]]="","",MARÍTIMOS[[#This Row],[Etapa Retiro - Atención]]),"")</f>
        <v>46206.708333333336</v>
      </c>
      <c r="X192" s="11">
        <f>IFERROR(IF(MARÍTIMOS[[#This Row],[Etapa Retiro - Inicio de Ruta]]="","",MARÍTIMOS[[#This Row],[Etapa Retiro - Inicio de Ruta]]),"")</f>
        <v>46206.791666666664</v>
      </c>
      <c r="Y192" s="11" t="str">
        <f>IFERROR(IF(MARÍTIMOS[[#This Row],[Hora de Posicionamiento]]="","",MARÍTIMOS[[#This Row],[Fecha de Carga]]+MARÍTIMOS[[#This Row],[Hora de Posicionamiento]]),"")</f>
        <v/>
      </c>
      <c r="Z192" s="11">
        <f>IFERROR(IF(MARÍTIMOS[[#This Row],[Etapa Despacho - Llegada]]="","",MARÍTIMOS[[#This Row],[Etapa Despacho - Llegada]]),"")</f>
        <v>46207.458333333336</v>
      </c>
      <c r="AA192" s="11">
        <f>IFERROR(IF(MARÍTIMOS[[#This Row],[Etapa Despacho - Registro]]="","",MARÍTIMOS[[#This Row],[Etapa Despacho - Registro]]),"")</f>
        <v>46207.472222222219</v>
      </c>
      <c r="AB192" s="11">
        <f>IFERROR(IF(MARÍTIMOS[[#This Row],[Inspección Externa]]="","",MARÍTIMOS[[#This Row],[Inspección Externa]]),"")</f>
        <v>46207.49722222222</v>
      </c>
      <c r="AC192" s="11">
        <f>IFERROR(IF(MARÍTIMOS[[#This Row],[Etapa Despacho - Inicio de Carga]]="","",MARÍTIMOS[[#This Row],[Etapa Despacho - Inicio de Carga]]),"")</f>
        <v>46207.541666666664</v>
      </c>
      <c r="AD192" s="11">
        <f>IFERROR(IF(MARÍTIMOS[[#This Row],[Etapa Despacho - Mitad de Carga]]="","",MARÍTIMOS[[#This Row],[Etapa Despacho - Mitad de Carga]]),"")</f>
        <v>46207.737500000003</v>
      </c>
      <c r="AE192" s="11">
        <f>IFERROR(IF(MARÍTIMOS[[#This Row],[Etapa Despacho - Fin de Carga]]="","",MARÍTIMOS[[#This Row],[Etapa Despacho - Fin de Carga]]),"")</f>
        <v>46207.75</v>
      </c>
      <c r="AF192" s="2" t="str">
        <f>IFERROR(IF(MARÍTIMOS[[#This Row],[Puerto de Embarque]]="","",MARÍTIMOS[[#This Row],[Puerto de Embarque]]),"")</f>
        <v>CHANCAY</v>
      </c>
      <c r="AG192" s="2" t="str">
        <f>IFERROR(IF(MARÍTIMOS[[#This Row],[Almacén de Ingreso]]="","",MARÍTIMOS[[#This Row],[Almacén de Ingreso]]),"")</f>
        <v>CSPCP</v>
      </c>
      <c r="AH192" s="11">
        <f>IFERROR(IF(MARÍTIMOS[[#This Row],[Etapa Ingreso - Cita]]="","",MARÍTIMOS[[#This Row],[Etapa Ingreso - Cita]]),"")</f>
        <v>46208.541666666664</v>
      </c>
      <c r="AI192" s="11">
        <f>IFERROR(IF(MARÍTIMOS[[#This Row],[Etapa Ingreso - Llegada]]="","",MARÍTIMOS[[#This Row],[Etapa Ingreso - Llegada]]),"")</f>
        <v>46208.572222222225</v>
      </c>
      <c r="AJ192" s="11">
        <f>IFERROR(IF(MARÍTIMOS[[#This Row],[Etapa Ingreso - Ingeso]]="","",MARÍTIMOS[[#This Row],[Etapa Ingreso - Ingeso]]),"")</f>
        <v>46208.588888888888</v>
      </c>
      <c r="AK192" s="11">
        <f>IFERROR(IF(MARÍTIMOS[[#This Row],[Etapa Ingreso - Atención]]="","",MARÍTIMOS[[#This Row],[Etapa Ingreso - Atención]]),"")</f>
        <v>46208.583333333336</v>
      </c>
      <c r="AL192" s="11">
        <f>IFERROR(IF(MARÍTIMOS[[#This Row],[Etapa Ingreso - Salida]]="","",MARÍTIMOS[[#This Row],[Etapa Ingreso - Salida]]),"")</f>
        <v>46208.605555555558</v>
      </c>
      <c r="AM192" s="2">
        <f>IFERROR(IF(MARÍTIMOS[[#This Row],[FCL]]="","",MARÍTIMOS[[#This Row],[FCL]]),"")</f>
        <v>1</v>
      </c>
      <c r="AN1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2" s="4" t="str" cm="1">
        <f t="array" ref="AO1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92" s="5">
        <f>IFERROR(OLDBD[[#This Row],[Llegada a packing]]-OLDBD[[#This Row],[Inicio de Ruta]],"")</f>
        <v>0.66666666667151731</v>
      </c>
      <c r="AQ192" s="6">
        <f>IFERROR(OLDBD[[#This Row],[Inicio de Ruta]]-OLDBD[[#This Row],[Salida de almacén de retiro]],"")</f>
        <v>8.3333333328482695E-2</v>
      </c>
      <c r="AR1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92" s="8" t="str" cm="1">
        <f t="array" ref="AS1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1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92" s="9">
        <f>IFERROR(OLDBD[[#This Row],[Ingreso Packing]]-OLDBD[[#This Row],[Registro en Packing]],"")</f>
        <v>2.5000000001455192E-2</v>
      </c>
      <c r="AV192" s="9">
        <f>IFERROR(OLDBD[[#This Row],[Ingreso Packing]]-OLDBD[[#This Row],[Llegada a packing]],"")</f>
        <v>3.8888888884685002E-2</v>
      </c>
      <c r="AW1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192" s="5">
        <f>IFERROR(OLDBD[[#This Row],[Llegada Almacén de Ingreso]]-OLDBD[[#This Row],[Salida Packing]],"")</f>
        <v>0.82222222222480923</v>
      </c>
      <c r="AY192" s="4" t="str" cm="1">
        <f t="array" ref="AY1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2" s="43" t="s">
        <v>173</v>
      </c>
      <c r="BB192" s="47" t="str">
        <f>IFERROR(IF(MARÍTIMOS[[#This Row],[Estatus]]="","",MARÍTIMOS[[#This Row],[Estatus]]),"")</f>
        <v>Confirmado</v>
      </c>
      <c r="BC192" s="43"/>
      <c r="BD192" s="46">
        <f>IFERROR(OLDBD[[#This Row],[Salida de almacén de retiro]]-OLDBD[[#This Row],[Ingreso Almacén de retiro]],"")</f>
        <v>3.3333333332848269E-2</v>
      </c>
      <c r="BE192" s="46">
        <f>IFERROR(OLDBD[[#This Row],[Fin de Carga]]-OLDBD[[#This Row],[Inicio de Carga]],"")</f>
        <v>0.19583333333866904</v>
      </c>
    </row>
    <row r="193" spans="1:57" customFormat="1" hidden="1">
      <c r="A193" s="1"/>
      <c r="B193" s="1">
        <f>IFERROR(IF(MARÍTIMOS[[#This Row],[PP]]="","",MARÍTIMOS[[#This Row],[PP]]),"")</f>
        <v>27</v>
      </c>
      <c r="C193" s="1" t="str">
        <f>IFERROR(IF(MARÍTIMOS[[#This Row],[Sede]]="","",MARÍTIMOS[[#This Row],[Sede]]),"")</f>
        <v>Chao</v>
      </c>
      <c r="D193" s="1" t="str">
        <f>IFERROR(IF(MARÍTIMOS[[#This Row],[Instruction]]="","",MARÍTIMOS[[#This Row],[Instruction]]),"")</f>
        <v>RH-0115</v>
      </c>
      <c r="E193" s="1"/>
      <c r="F193" s="2" t="str">
        <f>IFERROR(IF(MARÍTIMOS[[#This Row],[Transportista]]="","",MARÍTIMOS[[#This Row],[Transportista]]),"")</f>
        <v>LIP</v>
      </c>
      <c r="G193" s="2" t="str">
        <f>IFERROR(IF(MARÍTIMOS[[#This Row],[Tercero]]="","",MARÍTIMOS[[#This Row],[Tercero]]),"")</f>
        <v>NO</v>
      </c>
      <c r="H193" s="2" t="str">
        <f>IFERROR(IF(MARÍTIMOS[[#This Row],[Razón Social]]="","",MARÍTIMOS[[#This Row],[Razón Social]]),"")</f>
        <v>LOGISTICA INTERMODAL DEL PERU S.A.C.</v>
      </c>
      <c r="I193" s="2">
        <f>IFERROR(IF(MARÍTIMOS[[#This Row],[RUC]]="","",MARÍTIMOS[[#This Row],[RUC]]),"")</f>
        <v>20513040718</v>
      </c>
      <c r="J193" s="2" t="str">
        <f>IFERROR(IF(MARÍTIMOS[[#This Row],[Placa Tracto]]="","",MARÍTIMOS[[#This Row],[Placa Tracto]]),"")</f>
        <v>BCA-717</v>
      </c>
      <c r="K193" s="2" t="str">
        <f>IFERROR(IF(MARÍTIMOS[[#This Row],[Placa Carreta]]="","",MARÍTIMOS[[#This Row],[Placa Carreta]]),"")</f>
        <v>ANS-995</v>
      </c>
      <c r="L193" s="44" t="str">
        <f>IFERROR(IF(MARÍTIMOS[[#This Row],[Conductor]]="","",MARÍTIMOS[[#This Row],[Conductor]]),"")</f>
        <v>CARBAJAL PALOMINO YOVANNI</v>
      </c>
      <c r="M193" s="2" t="str">
        <f>IFERROR(IF(MARÍTIMOS[[#This Row],[Licencia]]="","",MARÍTIMOS[[#This Row],[Licencia]]),"")</f>
        <v>Q10429095</v>
      </c>
      <c r="N193" s="2" t="str">
        <f>IFERROR(IF(MARÍTIMOS[[#This Row],[Número de Contacto]]="","",MARÍTIMOS[[#This Row],[Número de Contacto]]),"")</f>
        <v/>
      </c>
      <c r="O193" s="10">
        <f>IFERROR(IF(MARÍTIMOS[[#This Row],[Booking|AWB|CRT]]="","",MARÍTIMOS[[#This Row],[Booking|AWB|CRT]]),"")</f>
        <v>6506666380</v>
      </c>
      <c r="P193" s="2" t="str">
        <f>IFERROR(IF(MARÍTIMOS[[#This Row],[Contenedor]]="","",MARÍTIMOS[[#This Row],[Contenedor]]),"")</f>
        <v>FBIU5186920</v>
      </c>
      <c r="Q193" s="2" t="str">
        <f>IFERROR(IF(MARÍTIMOS[[#This Row],[Puerto de Retiro]]="","",MARÍTIMOS[[#This Row],[Puerto de Retiro]]),"")</f>
        <v>CHANCAY</v>
      </c>
      <c r="R193" s="2" t="str">
        <f>IFERROR(IF(MARÍTIMOS[[#This Row],[Almacén de Retiro]]="","",MARÍTIMOS[[#This Row],[Almacén de Retiro]]),"")</f>
        <v>CSPCP</v>
      </c>
      <c r="S193" s="11">
        <f>IFERROR(IF(MARÍTIMOS[[#This Row],[Etapa Retiro - Cita]]="","",MARÍTIMOS[[#This Row],[Etapa Retiro - Cita]]),"")</f>
        <v>46206.541666666664</v>
      </c>
      <c r="T193" s="11">
        <f>IFERROR(IF(MARÍTIMOS[[#This Row],[Etapa Retiro - Llegada]]="","",MARÍTIMOS[[#This Row],[Etapa Retiro - Llegada]]),"")</f>
        <v>46206.548611111109</v>
      </c>
      <c r="U193" s="11">
        <f>IFERROR(IF(MARÍTIMOS[[#This Row],[Etapa Retiro - Ingreso]]="","",MARÍTIMOS[[#This Row],[Etapa Retiro - Ingreso]]),"")</f>
        <v>46206.552083333336</v>
      </c>
      <c r="V193" s="11">
        <f>IFERROR(IF(MARÍTIMOS[[#This Row],[Etapa Retiro - Atención]]="","",MARÍTIMOS[[#This Row],[Etapa Retiro - Atención]]),"")</f>
        <v>46206.583333333336</v>
      </c>
      <c r="W193" s="11">
        <f>IFERROR(IF(MARÍTIMOS[[#This Row],[Etapa Retiro - Atención]]="","",MARÍTIMOS[[#This Row],[Etapa Retiro - Atención]]),"")</f>
        <v>46206.583333333336</v>
      </c>
      <c r="X193" s="11">
        <f>IFERROR(IF(MARÍTIMOS[[#This Row],[Etapa Retiro - Inicio de Ruta]]="","",MARÍTIMOS[[#This Row],[Etapa Retiro - Inicio de Ruta]]),"")</f>
        <v>46206.833333333336</v>
      </c>
      <c r="Y193" s="11" t="str">
        <f>IFERROR(IF(MARÍTIMOS[[#This Row],[Hora de Posicionamiento]]="","",MARÍTIMOS[[#This Row],[Fecha de Carga]]+MARÍTIMOS[[#This Row],[Hora de Posicionamiento]]),"")</f>
        <v/>
      </c>
      <c r="Z193" s="11">
        <f>IFERROR(IF(MARÍTIMOS[[#This Row],[Etapa Despacho - Llegada]]="","",MARÍTIMOS[[#This Row],[Etapa Despacho - Llegada]]),"")</f>
        <v>46207.375</v>
      </c>
      <c r="AA193" s="11">
        <f>IFERROR(IF(MARÍTIMOS[[#This Row],[Etapa Despacho - Registro]]="","",MARÍTIMOS[[#This Row],[Etapa Despacho - Registro]]),"")</f>
        <v>46207.388888888891</v>
      </c>
      <c r="AB193" s="11">
        <f>IFERROR(IF(MARÍTIMOS[[#This Row],[Inspección Externa]]="","",MARÍTIMOS[[#This Row],[Inspección Externa]]),"")</f>
        <v>46207.386805555558</v>
      </c>
      <c r="AC193" s="11">
        <f>IFERROR(IF(MARÍTIMOS[[#This Row],[Etapa Despacho - Inicio de Carga]]="","",MARÍTIMOS[[#This Row],[Etapa Despacho - Inicio de Carga]]),"")</f>
        <v>46207.458333333336</v>
      </c>
      <c r="AD193" s="11">
        <f>IFERROR(IF(MARÍTIMOS[[#This Row],[Etapa Despacho - Mitad de Carga]]="","",MARÍTIMOS[[#This Row],[Etapa Despacho - Mitad de Carga]]),"")</f>
        <v>46208.606944444444</v>
      </c>
      <c r="AE193" s="11">
        <f>IFERROR(IF(MARÍTIMOS[[#This Row],[Etapa Despacho - Fin de Carga]]="","",MARÍTIMOS[[#This Row],[Etapa Despacho - Fin de Carga]]),"")</f>
        <v>46208.625</v>
      </c>
      <c r="AF193" s="2" t="str">
        <f>IFERROR(IF(MARÍTIMOS[[#This Row],[Puerto de Embarque]]="","",MARÍTIMOS[[#This Row],[Puerto de Embarque]]),"")</f>
        <v>CHANCAY</v>
      </c>
      <c r="AG193" s="2" t="str">
        <f>IFERROR(IF(MARÍTIMOS[[#This Row],[Almacén de Ingreso]]="","",MARÍTIMOS[[#This Row],[Almacén de Ingreso]]),"")</f>
        <v>CSPCP</v>
      </c>
      <c r="AH193" s="11">
        <f>IFERROR(IF(MARÍTIMOS[[#This Row],[Etapa Ingreso - Cita]]="","",MARÍTIMOS[[#This Row],[Etapa Ingreso - Cita]]),"")</f>
        <v>46209.166666666664</v>
      </c>
      <c r="AI193" s="11">
        <f>IFERROR(IF(MARÍTIMOS[[#This Row],[Etapa Ingreso - Llegada]]="","",MARÍTIMOS[[#This Row],[Etapa Ingreso - Llegada]]),"")</f>
        <v>46209.2</v>
      </c>
      <c r="AJ193" s="11">
        <f>IFERROR(IF(MARÍTIMOS[[#This Row],[Etapa Ingreso - Ingeso]]="","",MARÍTIMOS[[#This Row],[Etapa Ingreso - Ingeso]]),"")</f>
        <v>46209.201388888891</v>
      </c>
      <c r="AK193" s="11">
        <f>IFERROR(IF(MARÍTIMOS[[#This Row],[Etapa Ingreso - Atención]]="","",MARÍTIMOS[[#This Row],[Etapa Ingreso - Atención]]),"")</f>
        <v>46209.208333333336</v>
      </c>
      <c r="AL193" s="11">
        <f>IFERROR(IF(MARÍTIMOS[[#This Row],[Etapa Ingreso - Salida]]="","",MARÍTIMOS[[#This Row],[Etapa Ingreso - Salida]]),"")</f>
        <v>46209.236111111109</v>
      </c>
      <c r="AM193" s="2">
        <f>IFERROR(IF(MARÍTIMOS[[#This Row],[FCL]]="","",MARÍTIMOS[[#This Row],[FCL]]),"")</f>
        <v>1</v>
      </c>
      <c r="AN1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3" s="4" t="str" cm="1">
        <f t="array" ref="AO1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93" s="5">
        <f>IFERROR(OLDBD[[#This Row],[Llegada a packing]]-OLDBD[[#This Row],[Inicio de Ruta]],"")</f>
        <v>0.54166666666424135</v>
      </c>
      <c r="AQ193" s="6">
        <f>IFERROR(OLDBD[[#This Row],[Inicio de Ruta]]-OLDBD[[#This Row],[Salida de almacén de retiro]],"")</f>
        <v>0.25</v>
      </c>
      <c r="AR1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93" s="8" t="str" cm="1">
        <f t="array" ref="AS1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1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93" s="9">
        <f>IFERROR(OLDBD[[#This Row],[Ingreso Packing]]-OLDBD[[#This Row],[Registro en Packing]],"")</f>
        <v>-2.0833333328482695E-3</v>
      </c>
      <c r="AV193" s="9">
        <f>IFERROR(OLDBD[[#This Row],[Ingreso Packing]]-OLDBD[[#This Row],[Llegada a packing]],"")</f>
        <v>1.1805555557657499E-2</v>
      </c>
      <c r="AW1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193" s="5">
        <f>IFERROR(OLDBD[[#This Row],[Llegada Almacén de Ingreso]]-OLDBD[[#This Row],[Salida Packing]],"")</f>
        <v>0.57499999999708962</v>
      </c>
      <c r="AY193" s="4" t="str" cm="1">
        <f t="array" ref="AY1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3" s="43" t="s">
        <v>173</v>
      </c>
      <c r="BB193" s="47" t="str">
        <f>IFERROR(IF(MARÍTIMOS[[#This Row],[Estatus]]="","",MARÍTIMOS[[#This Row],[Estatus]]),"")</f>
        <v>Confirmado</v>
      </c>
      <c r="BC193" s="43"/>
      <c r="BD193" s="46">
        <f>IFERROR(OLDBD[[#This Row],[Salida de almacén de retiro]]-OLDBD[[#This Row],[Ingreso Almacén de retiro]],"")</f>
        <v>3.125E-2</v>
      </c>
      <c r="BE193" s="46">
        <f>IFERROR(OLDBD[[#This Row],[Fin de Carga]]-OLDBD[[#This Row],[Inicio de Carga]],"")</f>
        <v>1.148611111108039</v>
      </c>
    </row>
    <row r="194" spans="1:57" customFormat="1" hidden="1">
      <c r="A194" s="1"/>
      <c r="B194" s="1">
        <f>IFERROR(IF(MARÍTIMOS[[#This Row],[PP]]="","",MARÍTIMOS[[#This Row],[PP]]),"")</f>
        <v>27</v>
      </c>
      <c r="C194" s="1" t="str">
        <f>IFERROR(IF(MARÍTIMOS[[#This Row],[Sede]]="","",MARÍTIMOS[[#This Row],[Sede]]),"")</f>
        <v>Chao</v>
      </c>
      <c r="D194" s="1" t="str">
        <f>IFERROR(IF(MARÍTIMOS[[#This Row],[Instruction]]="","",MARÍTIMOS[[#This Row],[Instruction]]),"")</f>
        <v>RH-0117</v>
      </c>
      <c r="E194" s="1"/>
      <c r="F194" s="2" t="str">
        <f>IFERROR(IF(MARÍTIMOS[[#This Row],[Transportista]]="","",MARÍTIMOS[[#This Row],[Transportista]]),"")</f>
        <v>LIP</v>
      </c>
      <c r="G194" s="2" t="str">
        <f>IFERROR(IF(MARÍTIMOS[[#This Row],[Tercero]]="","",MARÍTIMOS[[#This Row],[Tercero]]),"")</f>
        <v>NO</v>
      </c>
      <c r="H194" s="2" t="str">
        <f>IFERROR(IF(MARÍTIMOS[[#This Row],[Razón Social]]="","",MARÍTIMOS[[#This Row],[Razón Social]]),"")</f>
        <v>LOGISTICA INTERMODAL DEL PERU S.A.C.</v>
      </c>
      <c r="I194" s="2">
        <f>IFERROR(IF(MARÍTIMOS[[#This Row],[RUC]]="","",MARÍTIMOS[[#This Row],[RUC]]),"")</f>
        <v>20513040718</v>
      </c>
      <c r="J194" s="2" t="str">
        <f>IFERROR(IF(MARÍTIMOS[[#This Row],[Placa Tracto]]="","",MARÍTIMOS[[#This Row],[Placa Tracto]]),"")</f>
        <v>BBG-844</v>
      </c>
      <c r="K194" s="2" t="str">
        <f>IFERROR(IF(MARÍTIMOS[[#This Row],[Placa Carreta]]="","",MARÍTIMOS[[#This Row],[Placa Carreta]]),"")</f>
        <v>AZK-992</v>
      </c>
      <c r="L194" s="44" t="str">
        <f>IFERROR(IF(MARÍTIMOS[[#This Row],[Conductor]]="","",MARÍTIMOS[[#This Row],[Conductor]]),"")</f>
        <v>PAUCCAR QUISPE JOSUE</v>
      </c>
      <c r="M194" s="2" t="str">
        <f>IFERROR(IF(MARÍTIMOS[[#This Row],[Licencia]]="","",MARÍTIMOS[[#This Row],[Licencia]]),"")</f>
        <v>Q44059511</v>
      </c>
      <c r="N194" s="2" t="str">
        <f>IFERROR(IF(MARÍTIMOS[[#This Row],[Número de Contacto]]="","",MARÍTIMOS[[#This Row],[Número de Contacto]]),"")</f>
        <v/>
      </c>
      <c r="O194" s="10">
        <f>IFERROR(IF(MARÍTIMOS[[#This Row],[Booking|AWB|CRT]]="","",MARÍTIMOS[[#This Row],[Booking|AWB|CRT]]),"")</f>
        <v>6506666540</v>
      </c>
      <c r="P194" s="2" t="str">
        <f>IFERROR(IF(MARÍTIMOS[[#This Row],[Contenedor]]="","",MARÍTIMOS[[#This Row],[Contenedor]]),"")</f>
        <v>FBIU5003994</v>
      </c>
      <c r="Q194" s="2" t="str">
        <f>IFERROR(IF(MARÍTIMOS[[#This Row],[Puerto de Retiro]]="","",MARÍTIMOS[[#This Row],[Puerto de Retiro]]),"")</f>
        <v>CHANCAY</v>
      </c>
      <c r="R194" s="2" t="str">
        <f>IFERROR(IF(MARÍTIMOS[[#This Row],[Almacén de Retiro]]="","",MARÍTIMOS[[#This Row],[Almacén de Retiro]]),"")</f>
        <v>CSPCP</v>
      </c>
      <c r="S194" s="11">
        <f>IFERROR(IF(MARÍTIMOS[[#This Row],[Etapa Retiro - Cita]]="","",MARÍTIMOS[[#This Row],[Etapa Retiro - Cita]]),"")</f>
        <v>46206.666666666664</v>
      </c>
      <c r="T194" s="11">
        <f>IFERROR(IF(MARÍTIMOS[[#This Row],[Etapa Retiro - Llegada]]="","",MARÍTIMOS[[#This Row],[Etapa Retiro - Llegada]]),"")</f>
        <v>46206.693055555559</v>
      </c>
      <c r="U194" s="11">
        <f>IFERROR(IF(MARÍTIMOS[[#This Row],[Etapa Retiro - Ingreso]]="","",MARÍTIMOS[[#This Row],[Etapa Retiro - Ingreso]]),"")</f>
        <v>46206.694444444445</v>
      </c>
      <c r="V194" s="11">
        <f>IFERROR(IF(MARÍTIMOS[[#This Row],[Etapa Retiro - Atención]]="","",MARÍTIMOS[[#This Row],[Etapa Retiro - Atención]]),"")</f>
        <v>46206.791666666664</v>
      </c>
      <c r="W194" s="11">
        <f>IFERROR(IF(MARÍTIMOS[[#This Row],[Etapa Retiro - Atención]]="","",MARÍTIMOS[[#This Row],[Etapa Retiro - Atención]]),"")</f>
        <v>46206.791666666664</v>
      </c>
      <c r="X194" s="11">
        <f>IFERROR(IF(MARÍTIMOS[[#This Row],[Etapa Retiro - Inicio de Ruta]]="","",MARÍTIMOS[[#This Row],[Etapa Retiro - Inicio de Ruta]]),"")</f>
        <v>46206.875</v>
      </c>
      <c r="Y194" s="11">
        <f>IFERROR(IF(MARÍTIMOS[[#This Row],[Hora de Posicionamiento]]="","",MARÍTIMOS[[#This Row],[Fecha de Carga]]+MARÍTIMOS[[#This Row],[Hora de Posicionamiento]]),"")</f>
        <v>46207.375</v>
      </c>
      <c r="Z194" s="11">
        <f>IFERROR(IF(MARÍTIMOS[[#This Row],[Etapa Despacho - Llegada]]="","",MARÍTIMOS[[#This Row],[Etapa Despacho - Llegada]]),"")</f>
        <v>46207.375</v>
      </c>
      <c r="AA194" s="11">
        <f>IFERROR(IF(MARÍTIMOS[[#This Row],[Etapa Despacho - Registro]]="","",MARÍTIMOS[[#This Row],[Etapa Despacho - Registro]]),"")</f>
        <v>46207.395833333336</v>
      </c>
      <c r="AB194" s="11">
        <f>IFERROR(IF(MARÍTIMOS[[#This Row],[Inspección Externa]]="","",MARÍTIMOS[[#This Row],[Inspección Externa]]),"")</f>
        <v>46207.375694444447</v>
      </c>
      <c r="AC194" s="11">
        <f>IFERROR(IF(MARÍTIMOS[[#This Row],[Etapa Despacho - Inicio de Carga]]="","",MARÍTIMOS[[#This Row],[Etapa Despacho - Inicio de Carga]]),"")</f>
        <v>46207.4375</v>
      </c>
      <c r="AD194" s="11">
        <f>IFERROR(IF(MARÍTIMOS[[#This Row],[Etapa Despacho - Mitad de Carga]]="","",MARÍTIMOS[[#This Row],[Etapa Despacho - Mitad de Carga]]),"")</f>
        <v>46207.78125</v>
      </c>
      <c r="AE194" s="11">
        <f>IFERROR(IF(MARÍTIMOS[[#This Row],[Etapa Despacho - Fin de Carga]]="","",MARÍTIMOS[[#This Row],[Etapa Despacho - Fin de Carga]]),"")</f>
        <v>46207.791666666664</v>
      </c>
      <c r="AF194" s="2" t="str">
        <f>IFERROR(IF(MARÍTIMOS[[#This Row],[Puerto de Embarque]]="","",MARÍTIMOS[[#This Row],[Puerto de Embarque]]),"")</f>
        <v>CHANCAY</v>
      </c>
      <c r="AG194" s="2" t="str">
        <f>IFERROR(IF(MARÍTIMOS[[#This Row],[Almacén de Ingreso]]="","",MARÍTIMOS[[#This Row],[Almacén de Ingreso]]),"")</f>
        <v>CSPCP</v>
      </c>
      <c r="AH194" s="11">
        <f>IFERROR(IF(MARÍTIMOS[[#This Row],[Etapa Ingreso - Cita]]="","",MARÍTIMOS[[#This Row],[Etapa Ingreso - Cita]]),"")</f>
        <v>46208.166666666664</v>
      </c>
      <c r="AI194" s="11">
        <f>IFERROR(IF(MARÍTIMOS[[#This Row],[Etapa Ingreso - Llegada]]="","",MARÍTIMOS[[#This Row],[Etapa Ingreso - Llegada]]),"")</f>
        <v>46208.193055555559</v>
      </c>
      <c r="AJ194" s="11">
        <f>IFERROR(IF(MARÍTIMOS[[#This Row],[Etapa Ingreso - Ingeso]]="","",MARÍTIMOS[[#This Row],[Etapa Ingreso - Ingeso]]),"")</f>
        <v>46208.20208333333</v>
      </c>
      <c r="AK194" s="11">
        <f>IFERROR(IF(MARÍTIMOS[[#This Row],[Etapa Ingreso - Atención]]="","",MARÍTIMOS[[#This Row],[Etapa Ingreso - Atención]]),"")</f>
        <v>46208.208333333336</v>
      </c>
      <c r="AL194" s="11">
        <f>IFERROR(IF(MARÍTIMOS[[#This Row],[Etapa Ingreso - Salida]]="","",MARÍTIMOS[[#This Row],[Etapa Ingreso - Salida]]),"")</f>
        <v>46208.229861111111</v>
      </c>
      <c r="AM194" s="2">
        <f>IFERROR(IF(MARÍTIMOS[[#This Row],[FCL]]="","",MARÍTIMOS[[#This Row],[FCL]]),"")</f>
        <v>1</v>
      </c>
      <c r="AN1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4" s="4" t="str" cm="1">
        <f t="array" ref="AO1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194" s="5">
        <f>IFERROR(OLDBD[[#This Row],[Llegada a packing]]-OLDBD[[#This Row],[Inicio de Ruta]],"")</f>
        <v>0.5</v>
      </c>
      <c r="AQ194" s="6">
        <f>IFERROR(OLDBD[[#This Row],[Inicio de Ruta]]-OLDBD[[#This Row],[Salida de almacén de retiro]],"")</f>
        <v>8.3333333335758653E-2</v>
      </c>
      <c r="AR1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94" s="8" t="str" cm="1">
        <f t="array" ref="AS1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1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94" s="9">
        <f>IFERROR(OLDBD[[#This Row],[Ingreso Packing]]-OLDBD[[#This Row],[Registro en Packing]],"")</f>
        <v>-2.0138888889050577E-2</v>
      </c>
      <c r="AV194" s="9">
        <f>IFERROR(OLDBD[[#This Row],[Ingreso Packing]]-OLDBD[[#This Row],[Llegada a packing]],"")</f>
        <v>6.944444467080757E-4</v>
      </c>
      <c r="AW1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194" s="5">
        <f>IFERROR(OLDBD[[#This Row],[Llegada Almacén de Ingreso]]-OLDBD[[#This Row],[Salida Packing]],"")</f>
        <v>0.40138888889487134</v>
      </c>
      <c r="AY194" s="4" t="str" cm="1">
        <f t="array" ref="AY1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4" s="43" t="s">
        <v>173</v>
      </c>
      <c r="BB194" s="47" t="str">
        <f>IFERROR(IF(MARÍTIMOS[[#This Row],[Estatus]]="","",MARÍTIMOS[[#This Row],[Estatus]]),"")</f>
        <v>Confirmado</v>
      </c>
      <c r="BC194" s="43"/>
      <c r="BD194" s="46">
        <f>IFERROR(OLDBD[[#This Row],[Salida de almacén de retiro]]-OLDBD[[#This Row],[Ingreso Almacén de retiro]],"")</f>
        <v>9.7222222218988463E-2</v>
      </c>
      <c r="BE194" s="46">
        <f>IFERROR(OLDBD[[#This Row],[Fin de Carga]]-OLDBD[[#This Row],[Inicio de Carga]],"")</f>
        <v>0.34375</v>
      </c>
    </row>
    <row r="195" spans="1:57" customFormat="1" hidden="1">
      <c r="A195" s="1"/>
      <c r="B195" s="1">
        <f>IFERROR(IF(MARÍTIMOS[[#This Row],[PP]]="","",MARÍTIMOS[[#This Row],[PP]]),"")</f>
        <v>27</v>
      </c>
      <c r="C195" s="1" t="str">
        <f>IFERROR(IF(MARÍTIMOS[[#This Row],[Sede]]="","",MARÍTIMOS[[#This Row],[Sede]]),"")</f>
        <v>Chao</v>
      </c>
      <c r="D195" s="1" t="str">
        <f>IFERROR(IF(MARÍTIMOS[[#This Row],[Instruction]]="","",MARÍTIMOS[[#This Row],[Instruction]]),"")</f>
        <v>RH-0118</v>
      </c>
      <c r="E195" s="1"/>
      <c r="F195" s="2" t="str">
        <f>IFERROR(IF(MARÍTIMOS[[#This Row],[Transportista]]="","",MARÍTIMOS[[#This Row],[Transportista]]),"")</f>
        <v>LIP</v>
      </c>
      <c r="G195" s="2" t="str">
        <f>IFERROR(IF(MARÍTIMOS[[#This Row],[Tercero]]="","",MARÍTIMOS[[#This Row],[Tercero]]),"")</f>
        <v>NO</v>
      </c>
      <c r="H195" s="2" t="str">
        <f>IFERROR(IF(MARÍTIMOS[[#This Row],[Razón Social]]="","",MARÍTIMOS[[#This Row],[Razón Social]]),"")</f>
        <v>LOGISTICA INTERMODAL DEL PERU S.A.C.</v>
      </c>
      <c r="I195" s="2">
        <f>IFERROR(IF(MARÍTIMOS[[#This Row],[RUC]]="","",MARÍTIMOS[[#This Row],[RUC]]),"")</f>
        <v>20513040718</v>
      </c>
      <c r="J195" s="2" t="str">
        <f>IFERROR(IF(MARÍTIMOS[[#This Row],[Placa Tracto]]="","",MARÍTIMOS[[#This Row],[Placa Tracto]]),"")</f>
        <v>BFH-947</v>
      </c>
      <c r="K195" s="2" t="str">
        <f>IFERROR(IF(MARÍTIMOS[[#This Row],[Placa Carreta]]="","",MARÍTIMOS[[#This Row],[Placa Carreta]]),"")</f>
        <v>AJP-999</v>
      </c>
      <c r="L195" s="44" t="str">
        <f>IFERROR(IF(MARÍTIMOS[[#This Row],[Conductor]]="","",MARÍTIMOS[[#This Row],[Conductor]]),"")</f>
        <v>NAVARRO VILCATOMA LUIS ENRIQUE</v>
      </c>
      <c r="M195" s="2" t="str">
        <f>IFERROR(IF(MARÍTIMOS[[#This Row],[Licencia]]="","",MARÍTIMOS[[#This Row],[Licencia]]),"")</f>
        <v>F41812149</v>
      </c>
      <c r="N195" s="2" t="str">
        <f>IFERROR(IF(MARÍTIMOS[[#This Row],[Número de Contacto]]="","",MARÍTIMOS[[#This Row],[Número de Contacto]]),"")</f>
        <v/>
      </c>
      <c r="O195" s="10" t="str">
        <f>IFERROR(IF(MARÍTIMOS[[#This Row],[Booking|AWB|CRT]]="","",MARÍTIMOS[[#This Row],[Booking|AWB|CRT]]),"")</f>
        <v>LIM600235900</v>
      </c>
      <c r="P195" s="2" t="str">
        <f>IFERROR(IF(MARÍTIMOS[[#This Row],[Contenedor]]="","",MARÍTIMOS[[#This Row],[Contenedor]]),"")</f>
        <v>CAAU4074567</v>
      </c>
      <c r="Q195" s="2" t="str">
        <f>IFERROR(IF(MARÍTIMOS[[#This Row],[Puerto de Retiro]]="","",MARÍTIMOS[[#This Row],[Puerto de Retiro]]),"")</f>
        <v>CALLAO</v>
      </c>
      <c r="R195" s="2" t="str">
        <f>IFERROR(IF(MARÍTIMOS[[#This Row],[Almacén de Retiro]]="","",MARÍTIMOS[[#This Row],[Almacén de Retiro]]),"")</f>
        <v>CONTRANS</v>
      </c>
      <c r="S195" s="11">
        <f>IFERROR(IF(MARÍTIMOS[[#This Row],[Etapa Retiro - Cita]]="","",MARÍTIMOS[[#This Row],[Etapa Retiro - Cita]]),"")</f>
        <v>46208.625</v>
      </c>
      <c r="T195" s="11">
        <f>IFERROR(IF(MARÍTIMOS[[#This Row],[Etapa Retiro - Llegada]]="","",MARÍTIMOS[[#This Row],[Etapa Retiro - Llegada]]),"")</f>
        <v>46208.663194444445</v>
      </c>
      <c r="U195" s="11">
        <f>IFERROR(IF(MARÍTIMOS[[#This Row],[Etapa Retiro - Ingreso]]="","",MARÍTIMOS[[#This Row],[Etapa Retiro - Ingreso]]),"")</f>
        <v>46208.676388888889</v>
      </c>
      <c r="V195" s="11">
        <f>IFERROR(IF(MARÍTIMOS[[#This Row],[Etapa Retiro - Atención]]="","",MARÍTIMOS[[#This Row],[Etapa Retiro - Atención]]),"")</f>
        <v>46208.75</v>
      </c>
      <c r="W195" s="11">
        <f>IFERROR(IF(MARÍTIMOS[[#This Row],[Etapa Retiro - Atención]]="","",MARÍTIMOS[[#This Row],[Etapa Retiro - Atención]]),"")</f>
        <v>46208.75</v>
      </c>
      <c r="X195" s="11">
        <f>IFERROR(IF(MARÍTIMOS[[#This Row],[Etapa Retiro - Inicio de Ruta]]="","",MARÍTIMOS[[#This Row],[Etapa Retiro - Inicio de Ruta]]),"")</f>
        <v>46208.833333333336</v>
      </c>
      <c r="Y195" s="11">
        <f>IFERROR(IF(MARÍTIMOS[[#This Row],[Hora de Posicionamiento]]="","",MARÍTIMOS[[#This Row],[Fecha de Carga]]+MARÍTIMOS[[#This Row],[Hora de Posicionamiento]]),"")</f>
        <v>46209.416666666664</v>
      </c>
      <c r="Z195" s="11">
        <f>IFERROR(IF(MARÍTIMOS[[#This Row],[Etapa Despacho - Llegada]]="","",MARÍTIMOS[[#This Row],[Etapa Despacho - Llegada]]),"")</f>
        <v>46209.518055555556</v>
      </c>
      <c r="AA195" s="11">
        <f>IFERROR(IF(MARÍTIMOS[[#This Row],[Etapa Despacho - Registro]]="","",MARÍTIMOS[[#This Row],[Etapa Despacho - Registro]]),"")</f>
        <v>46209.5</v>
      </c>
      <c r="AB195" s="11">
        <f>IFERROR(IF(MARÍTIMOS[[#This Row],[Inspección Externa]]="","",MARÍTIMOS[[#This Row],[Inspección Externa]]),"")</f>
        <v>46209.520833333336</v>
      </c>
      <c r="AC195" s="11">
        <f>IFERROR(IF(MARÍTIMOS[[#This Row],[Etapa Despacho - Inicio de Carga]]="","",MARÍTIMOS[[#This Row],[Etapa Despacho - Inicio de Carga]]),"")</f>
        <v>46209.569444444445</v>
      </c>
      <c r="AD195" s="11">
        <f>IFERROR(IF(MARÍTIMOS[[#This Row],[Etapa Despacho - Mitad de Carga]]="","",MARÍTIMOS[[#This Row],[Etapa Despacho - Mitad de Carga]]),"")</f>
        <v>46209.654166666667</v>
      </c>
      <c r="AE195" s="11">
        <f>IFERROR(IF(MARÍTIMOS[[#This Row],[Etapa Despacho - Fin de Carga]]="","",MARÍTIMOS[[#This Row],[Etapa Despacho - Fin de Carga]]),"")</f>
        <v>46209.666666666664</v>
      </c>
      <c r="AF195" s="2" t="str">
        <f>IFERROR(IF(MARÍTIMOS[[#This Row],[Puerto de Embarque]]="","",MARÍTIMOS[[#This Row],[Puerto de Embarque]]),"")</f>
        <v>CALLAO</v>
      </c>
      <c r="AG195" s="2" t="str">
        <f>IFERROR(IF(MARÍTIMOS[[#This Row],[Almacén de Ingreso]]="","",MARÍTIMOS[[#This Row],[Almacén de Ingreso]]),"")</f>
        <v>DPW</v>
      </c>
      <c r="AH195" s="11">
        <f>IFERROR(IF(MARÍTIMOS[[#This Row],[Etapa Ingreso - Cita]]="","",MARÍTIMOS[[#This Row],[Etapa Ingreso - Cita]]),"")</f>
        <v>46210.541666666664</v>
      </c>
      <c r="AI195" s="11">
        <f>IFERROR(IF(MARÍTIMOS[[#This Row],[Etapa Ingreso - Llegada]]="","",MARÍTIMOS[[#This Row],[Etapa Ingreso - Llegada]]),"")</f>
        <v>46210.544444444444</v>
      </c>
      <c r="AJ195" s="11">
        <f>IFERROR(IF(MARÍTIMOS[[#This Row],[Etapa Ingreso - Ingeso]]="","",MARÍTIMOS[[#This Row],[Etapa Ingreso - Ingeso]]),"")</f>
        <v>46210.591666666667</v>
      </c>
      <c r="AK195" s="11">
        <f>IFERROR(IF(MARÍTIMOS[[#This Row],[Etapa Ingreso - Atención]]="","",MARÍTIMOS[[#This Row],[Etapa Ingreso - Atención]]),"")</f>
        <v>46210.583333333336</v>
      </c>
      <c r="AL195" s="11">
        <f>IFERROR(IF(MARÍTIMOS[[#This Row],[Etapa Ingreso - Salida]]="","",MARÍTIMOS[[#This Row],[Etapa Ingreso - Salida]]),"")</f>
        <v>46210.602083333331</v>
      </c>
      <c r="AM195" s="2">
        <f>IFERROR(IF(MARÍTIMOS[[#This Row],[FCL]]="","",MARÍTIMOS[[#This Row],[FCL]]),"")</f>
        <v>1</v>
      </c>
      <c r="AN1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5" s="4" t="str" cm="1">
        <f t="array" ref="AO1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95" s="5">
        <f>IFERROR(OLDBD[[#This Row],[Llegada a packing]]-OLDBD[[#This Row],[Inicio de Ruta]],"")</f>
        <v>0.68472222222044365</v>
      </c>
      <c r="AQ195" s="6">
        <f>IFERROR(OLDBD[[#This Row],[Inicio de Ruta]]-OLDBD[[#This Row],[Salida de almacén de retiro]],"")</f>
        <v>8.3333333335758653E-2</v>
      </c>
      <c r="AR1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195" s="8" t="str" cm="1">
        <f t="array" ref="AS1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95" s="9">
        <f>IFERROR(OLDBD[[#This Row],[Ingreso Packing]]-OLDBD[[#This Row],[Registro en Packing]],"")</f>
        <v>2.0833333335758653E-2</v>
      </c>
      <c r="AV195" s="9">
        <f>IFERROR(OLDBD[[#This Row],[Ingreso Packing]]-OLDBD[[#This Row],[Llegada a packing]],"")</f>
        <v>2.7777777795563452E-3</v>
      </c>
      <c r="AW1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95" s="5">
        <f>IFERROR(OLDBD[[#This Row],[Llegada Almacén de Ingreso]]-OLDBD[[#This Row],[Salida Packing]],"")</f>
        <v>0.87777777777955635</v>
      </c>
      <c r="AY195" s="4" t="str" cm="1">
        <f t="array" ref="AY1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5" s="43" t="s">
        <v>173</v>
      </c>
      <c r="BB195" s="47" t="str">
        <f>IFERROR(IF(MARÍTIMOS[[#This Row],[Estatus]]="","",MARÍTIMOS[[#This Row],[Estatus]]),"")</f>
        <v>Confirmado</v>
      </c>
      <c r="BC195" s="43"/>
      <c r="BD195" s="46">
        <f>IFERROR(OLDBD[[#This Row],[Salida de almacén de retiro]]-OLDBD[[#This Row],[Ingreso Almacén de retiro]],"")</f>
        <v>7.3611111110949423E-2</v>
      </c>
      <c r="BE195" s="46">
        <f>IFERROR(OLDBD[[#This Row],[Fin de Carga]]-OLDBD[[#This Row],[Inicio de Carga]],"")</f>
        <v>8.4722222221898846E-2</v>
      </c>
    </row>
    <row r="196" spans="1:57" customFormat="1" hidden="1">
      <c r="A196" s="1"/>
      <c r="B196" s="1">
        <f>IFERROR(IF(MARÍTIMOS[[#This Row],[PP]]="","",MARÍTIMOS[[#This Row],[PP]]),"")</f>
        <v>27</v>
      </c>
      <c r="C196" s="1" t="str">
        <f>IFERROR(IF(MARÍTIMOS[[#This Row],[Sede]]="","",MARÍTIMOS[[#This Row],[Sede]]),"")</f>
        <v>Chao</v>
      </c>
      <c r="D196" s="1" t="str">
        <f>IFERROR(IF(MARÍTIMOS[[#This Row],[Instruction]]="","",MARÍTIMOS[[#This Row],[Instruction]]),"")</f>
        <v>RH-0120</v>
      </c>
      <c r="E196" s="1"/>
      <c r="F196" s="2" t="str">
        <f>IFERROR(IF(MARÍTIMOS[[#This Row],[Transportista]]="","",MARÍTIMOS[[#This Row],[Transportista]]),"")</f>
        <v>LIP</v>
      </c>
      <c r="G196" s="2" t="str">
        <f>IFERROR(IF(MARÍTIMOS[[#This Row],[Tercero]]="","",MARÍTIMOS[[#This Row],[Tercero]]),"")</f>
        <v>NO</v>
      </c>
      <c r="H196" s="2" t="str">
        <f>IFERROR(IF(MARÍTIMOS[[#This Row],[Razón Social]]="","",MARÍTIMOS[[#This Row],[Razón Social]]),"")</f>
        <v>LOGISTICA INTERMODAL DEL PERU S.A.C.</v>
      </c>
      <c r="I196" s="2">
        <f>IFERROR(IF(MARÍTIMOS[[#This Row],[RUC]]="","",MARÍTIMOS[[#This Row],[RUC]]),"")</f>
        <v>20513040718</v>
      </c>
      <c r="J196" s="2" t="str">
        <f>IFERROR(IF(MARÍTIMOS[[#This Row],[Placa Tracto]]="","",MARÍTIMOS[[#This Row],[Placa Tracto]]),"")</f>
        <v>BPJ-889</v>
      </c>
      <c r="K196" s="2" t="str">
        <f>IFERROR(IF(MARÍTIMOS[[#This Row],[Placa Carreta]]="","",MARÍTIMOS[[#This Row],[Placa Carreta]]),"")</f>
        <v>C2B-989</v>
      </c>
      <c r="L196" s="44" t="str">
        <f>IFERROR(IF(MARÍTIMOS[[#This Row],[Conductor]]="","",MARÍTIMOS[[#This Row],[Conductor]]),"")</f>
        <v>HUAMANI PALOMINO EDGAR FREDY</v>
      </c>
      <c r="M196" s="2" t="str">
        <f>IFERROR(IF(MARÍTIMOS[[#This Row],[Licencia]]="","",MARÍTIMOS[[#This Row],[Licencia]]),"")</f>
        <v>Q40736385</v>
      </c>
      <c r="N196" s="2" t="str">
        <f>IFERROR(IF(MARÍTIMOS[[#This Row],[Número de Contacto]]="","",MARÍTIMOS[[#This Row],[Número de Contacto]]),"")</f>
        <v/>
      </c>
      <c r="O196" s="10">
        <f>IFERROR(IF(MARÍTIMOS[[#This Row],[Booking|AWB|CRT]]="","",MARÍTIMOS[[#This Row],[Booking|AWB|CRT]]),"")</f>
        <v>6506666730</v>
      </c>
      <c r="P196" s="2" t="str">
        <f>IFERROR(IF(MARÍTIMOS[[#This Row],[Contenedor]]="","",MARÍTIMOS[[#This Row],[Contenedor]]),"")</f>
        <v>FBIU5002410</v>
      </c>
      <c r="Q196" s="2" t="str">
        <f>IFERROR(IF(MARÍTIMOS[[#This Row],[Puerto de Retiro]]="","",MARÍTIMOS[[#This Row],[Puerto de Retiro]]),"")</f>
        <v>CHANCAY</v>
      </c>
      <c r="R196" s="2" t="str">
        <f>IFERROR(IF(MARÍTIMOS[[#This Row],[Almacén de Retiro]]="","",MARÍTIMOS[[#This Row],[Almacén de Retiro]]),"")</f>
        <v>CSPCP</v>
      </c>
      <c r="S196" s="11">
        <f>IFERROR(IF(MARÍTIMOS[[#This Row],[Etapa Retiro - Cita]]="","",MARÍTIMOS[[#This Row],[Etapa Retiro - Cita]]),"")</f>
        <v>46208.708333333336</v>
      </c>
      <c r="T196" s="11">
        <f>IFERROR(IF(MARÍTIMOS[[#This Row],[Etapa Retiro - Llegada]]="","",MARÍTIMOS[[#This Row],[Etapa Retiro - Llegada]]),"")</f>
        <v>46208.861805555556</v>
      </c>
      <c r="U196" s="11">
        <f>IFERROR(IF(MARÍTIMOS[[#This Row],[Etapa Retiro - Ingreso]]="","",MARÍTIMOS[[#This Row],[Etapa Retiro - Ingreso]]),"")</f>
        <v>46208.869444444441</v>
      </c>
      <c r="V196" s="11">
        <f>IFERROR(IF(MARÍTIMOS[[#This Row],[Etapa Retiro - Atención]]="","",MARÍTIMOS[[#This Row],[Etapa Retiro - Atención]]),"")</f>
        <v>46208.916666666664</v>
      </c>
      <c r="W196" s="11">
        <f>IFERROR(IF(MARÍTIMOS[[#This Row],[Etapa Retiro - Atención]]="","",MARÍTIMOS[[#This Row],[Etapa Retiro - Atención]]),"")</f>
        <v>46208.916666666664</v>
      </c>
      <c r="X196" s="11">
        <f>IFERROR(IF(MARÍTIMOS[[#This Row],[Etapa Retiro - Inicio de Ruta]]="","",MARÍTIMOS[[#This Row],[Etapa Retiro - Inicio de Ruta]]),"")</f>
        <v>46208.979166666664</v>
      </c>
      <c r="Y196" s="11">
        <f>IFERROR(IF(MARÍTIMOS[[#This Row],[Hora de Posicionamiento]]="","",MARÍTIMOS[[#This Row],[Fecha de Carga]]+MARÍTIMOS[[#This Row],[Hora de Posicionamiento]]),"")</f>
        <v>46209.5</v>
      </c>
      <c r="Z196" s="11">
        <f>IFERROR(IF(MARÍTIMOS[[#This Row],[Etapa Despacho - Llegada]]="","",MARÍTIMOS[[#This Row],[Etapa Despacho - Llegada]]),"")</f>
        <v>46209.478472222225</v>
      </c>
      <c r="AA196" s="11">
        <f>IFERROR(IF(MARÍTIMOS[[#This Row],[Etapa Despacho - Registro]]="","",MARÍTIMOS[[#This Row],[Etapa Despacho - Registro]]),"")</f>
        <v>46209.486111111109</v>
      </c>
      <c r="AB196" s="11">
        <f>IFERROR(IF(MARÍTIMOS[[#This Row],[Inspección Externa]]="","",MARÍTIMOS[[#This Row],[Inspección Externa]]),"")</f>
        <v>46209.583333333336</v>
      </c>
      <c r="AC196" s="11">
        <f>IFERROR(IF(MARÍTIMOS[[#This Row],[Etapa Despacho - Inicio de Carga]]="","",MARÍTIMOS[[#This Row],[Etapa Despacho - Inicio de Carga]]),"")</f>
        <v>46209.625</v>
      </c>
      <c r="AD196" s="11">
        <f>IFERROR(IF(MARÍTIMOS[[#This Row],[Etapa Despacho - Mitad de Carga]]="","",MARÍTIMOS[[#This Row],[Etapa Despacho - Mitad de Carga]]),"")</f>
        <v>46209.696527777778</v>
      </c>
      <c r="AE196" s="11">
        <f>IFERROR(IF(MARÍTIMOS[[#This Row],[Etapa Despacho - Fin de Carga]]="","",MARÍTIMOS[[#This Row],[Etapa Despacho - Fin de Carga]]),"")</f>
        <v>46209.708333333336</v>
      </c>
      <c r="AF196" s="2" t="str">
        <f>IFERROR(IF(MARÍTIMOS[[#This Row],[Puerto de Embarque]]="","",MARÍTIMOS[[#This Row],[Puerto de Embarque]]),"")</f>
        <v>CHANCAY</v>
      </c>
      <c r="AG196" s="2" t="str">
        <f>IFERROR(IF(MARÍTIMOS[[#This Row],[Almacén de Ingreso]]="","",MARÍTIMOS[[#This Row],[Almacén de Ingreso]]),"")</f>
        <v>DPW</v>
      </c>
      <c r="AH196" s="11">
        <f>IFERROR(IF(MARÍTIMOS[[#This Row],[Etapa Ingreso - Cita]]="","",MARÍTIMOS[[#This Row],[Etapa Ingreso - Cita]]),"")</f>
        <v>46210.166666666664</v>
      </c>
      <c r="AI196" s="11">
        <f>IFERROR(IF(MARÍTIMOS[[#This Row],[Etapa Ingreso - Llegada]]="","",MARÍTIMOS[[#This Row],[Etapa Ingreso - Llegada]]),"")</f>
        <v>46210.174305555556</v>
      </c>
      <c r="AJ196" s="11">
        <f>IFERROR(IF(MARÍTIMOS[[#This Row],[Etapa Ingreso - Ingeso]]="","",MARÍTIMOS[[#This Row],[Etapa Ingreso - Ingeso]]),"")</f>
        <v>46210.204861111109</v>
      </c>
      <c r="AK196" s="11">
        <f>IFERROR(IF(MARÍTIMOS[[#This Row],[Etapa Ingreso - Atención]]="","",MARÍTIMOS[[#This Row],[Etapa Ingreso - Atención]]),"")</f>
        <v>46210.604166666664</v>
      </c>
      <c r="AL196" s="11">
        <f>IFERROR(IF(MARÍTIMOS[[#This Row],[Etapa Ingreso - Salida]]="","",MARÍTIMOS[[#This Row],[Etapa Ingreso - Salida]]),"")</f>
        <v>46210.620833333334</v>
      </c>
      <c r="AM196" s="2">
        <f>IFERROR(IF(MARÍTIMOS[[#This Row],[FCL]]="","",MARÍTIMOS[[#This Row],[FCL]]),"")</f>
        <v>1</v>
      </c>
      <c r="AN1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6" s="4" t="str" cm="1">
        <f t="array" ref="AO1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96" s="5">
        <f>IFERROR(OLDBD[[#This Row],[Llegada a packing]]-OLDBD[[#This Row],[Inicio de Ruta]],"")</f>
        <v>0.49930555556056788</v>
      </c>
      <c r="AQ196" s="6">
        <f>IFERROR(OLDBD[[#This Row],[Inicio de Ruta]]-OLDBD[[#This Row],[Salida de almacén de retiro]],"")</f>
        <v>6.25E-2</v>
      </c>
      <c r="AR1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96" s="8" t="str" cm="1">
        <f t="array" ref="AS1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196" s="9">
        <f>IFERROR(OLDBD[[#This Row],[Ingreso Packing]]-OLDBD[[#This Row],[Registro en Packing]],"")</f>
        <v>9.7222222226264421E-2</v>
      </c>
      <c r="AV196" s="9">
        <f>IFERROR(OLDBD[[#This Row],[Ingreso Packing]]-OLDBD[[#This Row],[Llegada a packing]],"")</f>
        <v>0.10486111111094942</v>
      </c>
      <c r="AW1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96" s="5">
        <f>IFERROR(OLDBD[[#This Row],[Llegada Almacén de Ingreso]]-OLDBD[[#This Row],[Salida Packing]],"")</f>
        <v>0.46597222222044365</v>
      </c>
      <c r="AY196" s="4" t="str" cm="1">
        <f t="array" ref="AY1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6" s="43" t="s">
        <v>173</v>
      </c>
      <c r="BB196" s="47" t="str">
        <f>IFERROR(IF(MARÍTIMOS[[#This Row],[Estatus]]="","",MARÍTIMOS[[#This Row],[Estatus]]),"")</f>
        <v>Confirmado</v>
      </c>
      <c r="BC196" s="43"/>
      <c r="BD196" s="46">
        <f>IFERROR(OLDBD[[#This Row],[Salida de almacén de retiro]]-OLDBD[[#This Row],[Ingreso Almacén de retiro]],"")</f>
        <v>4.7222222223354038E-2</v>
      </c>
      <c r="BE196" s="46">
        <f>IFERROR(OLDBD[[#This Row],[Fin de Carga]]-OLDBD[[#This Row],[Inicio de Carga]],"")</f>
        <v>7.1527777778101154E-2</v>
      </c>
    </row>
    <row r="197" spans="1:57" customFormat="1" hidden="1">
      <c r="A197" s="1"/>
      <c r="B197" s="1">
        <f>IFERROR(IF(MARÍTIMOS[[#This Row],[PP]]="","",MARÍTIMOS[[#This Row],[PP]]),"")</f>
        <v>27</v>
      </c>
      <c r="C197" s="1" t="str">
        <f>IFERROR(IF(MARÍTIMOS[[#This Row],[Sede]]="","",MARÍTIMOS[[#This Row],[Sede]]),"")</f>
        <v>Chao</v>
      </c>
      <c r="D197" s="1" t="str">
        <f>IFERROR(IF(MARÍTIMOS[[#This Row],[Instruction]]="","",MARÍTIMOS[[#This Row],[Instruction]]),"")</f>
        <v>RH-0127</v>
      </c>
      <c r="E197" s="1"/>
      <c r="F197" s="2" t="str">
        <f>IFERROR(IF(MARÍTIMOS[[#This Row],[Transportista]]="","",MARÍTIMOS[[#This Row],[Transportista]]),"")</f>
        <v>LIP</v>
      </c>
      <c r="G197" s="2" t="str">
        <f>IFERROR(IF(MARÍTIMOS[[#This Row],[Tercero]]="","",MARÍTIMOS[[#This Row],[Tercero]]),"")</f>
        <v>SI</v>
      </c>
      <c r="H197" s="2" t="str">
        <f>IFERROR(IF(MARÍTIMOS[[#This Row],[Razón Social]]="","",MARÍTIMOS[[#This Row],[Razón Social]]),"")</f>
        <v xml:space="preserve">TGD SERVICIOS S.A.C.
</v>
      </c>
      <c r="I197" s="2">
        <f>IFERROR(IF(MARÍTIMOS[[#This Row],[RUC]]="","",MARÍTIMOS[[#This Row],[RUC]]),"")</f>
        <v>20614404460</v>
      </c>
      <c r="J197" s="2" t="str">
        <f>IFERROR(IF(MARÍTIMOS[[#This Row],[Placa Tracto]]="","",MARÍTIMOS[[#This Row],[Placa Tracto]]),"")</f>
        <v>ANB-875</v>
      </c>
      <c r="K197" s="2" t="str">
        <f>IFERROR(IF(MARÍTIMOS[[#This Row],[Placa Carreta]]="","",MARÍTIMOS[[#This Row],[Placa Carreta]]),"")</f>
        <v>TDK-998</v>
      </c>
      <c r="L197" s="44" t="str">
        <f>IFERROR(IF(MARÍTIMOS[[#This Row],[Conductor]]="","",MARÍTIMOS[[#This Row],[Conductor]]),"")</f>
        <v>CALSINA SUCASAIRE JOSE</v>
      </c>
      <c r="M197" s="2" t="str">
        <f>IFERROR(IF(MARÍTIMOS[[#This Row],[Licencia]]="","",MARÍTIMOS[[#This Row],[Licencia]]),"")</f>
        <v>Q10644080</v>
      </c>
      <c r="N197" s="2" t="str">
        <f>IFERROR(IF(MARÍTIMOS[[#This Row],[Número de Contacto]]="","",MARÍTIMOS[[#This Row],[Número de Contacto]]),"")</f>
        <v/>
      </c>
      <c r="O197" s="10" t="str">
        <f>IFERROR(IF(MARÍTIMOS[[#This Row],[Booking|AWB|CRT]]="","",MARÍTIMOS[[#This Row],[Booking|AWB|CRT]]),"")</f>
        <v>PER9134317A</v>
      </c>
      <c r="P197" s="2" t="str">
        <f>IFERROR(IF(MARÍTIMOS[[#This Row],[Contenedor]]="","",MARÍTIMOS[[#This Row],[Contenedor]]),"")</f>
        <v>SEKU9271162</v>
      </c>
      <c r="Q197" s="2" t="str">
        <f>IFERROR(IF(MARÍTIMOS[[#This Row],[Puerto de Retiro]]="","",MARÍTIMOS[[#This Row],[Puerto de Retiro]]),"")</f>
        <v>CALLAO</v>
      </c>
      <c r="R197" s="2" t="str">
        <f>IFERROR(IF(MARÍTIMOS[[#This Row],[Almacén de Retiro]]="","",MARÍTIMOS[[#This Row],[Almacén de Retiro]]),"")</f>
        <v>RFS</v>
      </c>
      <c r="S197" s="11">
        <f>IFERROR(IF(MARÍTIMOS[[#This Row],[Etapa Retiro - Cita]]="","",MARÍTIMOS[[#This Row],[Etapa Retiro - Cita]]),"")</f>
        <v>46205.541666666664</v>
      </c>
      <c r="T197" s="11">
        <f>IFERROR(IF(MARÍTIMOS[[#This Row],[Etapa Retiro - Llegada]]="","",MARÍTIMOS[[#This Row],[Etapa Retiro - Llegada]]),"")</f>
        <v>46205.559027777781</v>
      </c>
      <c r="U197" s="11">
        <f>IFERROR(IF(MARÍTIMOS[[#This Row],[Etapa Retiro - Ingreso]]="","",MARÍTIMOS[[#This Row],[Etapa Retiro - Ingreso]]),"")</f>
        <v>46205.599305555559</v>
      </c>
      <c r="V197" s="11">
        <f>IFERROR(IF(MARÍTIMOS[[#This Row],[Etapa Retiro - Atención]]="","",MARÍTIMOS[[#This Row],[Etapa Retiro - Atención]]),"")</f>
        <v>46205.625</v>
      </c>
      <c r="W197" s="11">
        <f>IFERROR(IF(MARÍTIMOS[[#This Row],[Etapa Retiro - Atención]]="","",MARÍTIMOS[[#This Row],[Etapa Retiro - Atención]]),"")</f>
        <v>46205.625</v>
      </c>
      <c r="X197" s="11">
        <f>IFERROR(IF(MARÍTIMOS[[#This Row],[Etapa Retiro - Inicio de Ruta]]="","",MARÍTIMOS[[#This Row],[Etapa Retiro - Inicio de Ruta]]),"")</f>
        <v>46205.666666666664</v>
      </c>
      <c r="Y197" s="11">
        <f>IFERROR(IF(MARÍTIMOS[[#This Row],[Hora de Posicionamiento]]="","",MARÍTIMOS[[#This Row],[Fecha de Carga]]+MARÍTIMOS[[#This Row],[Hora de Posicionamiento]]),"")</f>
        <v>46206.583333333336</v>
      </c>
      <c r="Z197" s="11">
        <f>IFERROR(IF(MARÍTIMOS[[#This Row],[Etapa Despacho - Llegada]]="","",MARÍTIMOS[[#This Row],[Etapa Despacho - Llegada]]),"")</f>
        <v>46206.444444444445</v>
      </c>
      <c r="AA197" s="11">
        <f>IFERROR(IF(MARÍTIMOS[[#This Row],[Etapa Despacho - Registro]]="","",MARÍTIMOS[[#This Row],[Etapa Despacho - Registro]]),"")</f>
        <v>46206.454861111109</v>
      </c>
      <c r="AB197" s="11">
        <f>IFERROR(IF(MARÍTIMOS[[#This Row],[Inspección Externa]]="","",MARÍTIMOS[[#This Row],[Inspección Externa]]),"")</f>
        <v>46206.5</v>
      </c>
      <c r="AC197" s="11">
        <f>IFERROR(IF(MARÍTIMOS[[#This Row],[Etapa Despacho - Inicio de Carga]]="","",MARÍTIMOS[[#This Row],[Etapa Despacho - Inicio de Carga]]),"")</f>
        <v>46206.583333333336</v>
      </c>
      <c r="AD197" s="11">
        <f>IFERROR(IF(MARÍTIMOS[[#This Row],[Etapa Despacho - Mitad de Carga]]="","",MARÍTIMOS[[#This Row],[Etapa Despacho - Mitad de Carga]]),"")</f>
        <v>46206.736111111109</v>
      </c>
      <c r="AE197" s="11">
        <f>IFERROR(IF(MARÍTIMOS[[#This Row],[Etapa Despacho - Fin de Carga]]="","",MARÍTIMOS[[#This Row],[Etapa Despacho - Fin de Carga]]),"")</f>
        <v>46206.75</v>
      </c>
      <c r="AF197" s="2" t="str">
        <f>IFERROR(IF(MARÍTIMOS[[#This Row],[Puerto de Embarque]]="","",MARÍTIMOS[[#This Row],[Puerto de Embarque]]),"")</f>
        <v>CALLAO</v>
      </c>
      <c r="AG197" s="2" t="str">
        <f>IFERROR(IF(MARÍTIMOS[[#This Row],[Almacén de Ingreso]]="","",MARÍTIMOS[[#This Row],[Almacén de Ingreso]]),"")</f>
        <v>DPW</v>
      </c>
      <c r="AH197" s="11">
        <f>IFERROR(IF(MARÍTIMOS[[#This Row],[Etapa Ingreso - Cita]]="","",MARÍTIMOS[[#This Row],[Etapa Ingreso - Cita]]),"")</f>
        <v>46207.583333333336</v>
      </c>
      <c r="AI197" s="11">
        <f>IFERROR(IF(MARÍTIMOS[[#This Row],[Etapa Ingreso - Llegada]]="","",MARÍTIMOS[[#This Row],[Etapa Ingreso - Llegada]]),"")</f>
        <v>46207.584027777775</v>
      </c>
      <c r="AJ197" s="11">
        <f>IFERROR(IF(MARÍTIMOS[[#This Row],[Etapa Ingreso - Ingeso]]="","",MARÍTIMOS[[#This Row],[Etapa Ingreso - Ingeso]]),"")</f>
        <v>46207.675694444442</v>
      </c>
      <c r="AK197" s="11">
        <f>IFERROR(IF(MARÍTIMOS[[#This Row],[Etapa Ingreso - Atención]]="","",MARÍTIMOS[[#This Row],[Etapa Ingreso - Atención]]),"")</f>
        <v>46207.666666666664</v>
      </c>
      <c r="AL197" s="11">
        <f>IFERROR(IF(MARÍTIMOS[[#This Row],[Etapa Ingreso - Salida]]="","",MARÍTIMOS[[#This Row],[Etapa Ingreso - Salida]]),"")</f>
        <v>46207.681250000001</v>
      </c>
      <c r="AM197" s="2">
        <f>IFERROR(IF(MARÍTIMOS[[#This Row],[FCL]]="","",MARÍTIMOS[[#This Row],[FCL]]),"")</f>
        <v>1</v>
      </c>
      <c r="AN1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7" s="4" t="str" cm="1">
        <f t="array" ref="AO1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197" s="5">
        <f>IFERROR(OLDBD[[#This Row],[Llegada a packing]]-OLDBD[[#This Row],[Inicio de Ruta]],"")</f>
        <v>0.77777777778101154</v>
      </c>
      <c r="AQ197" s="6">
        <f>IFERROR(OLDBD[[#This Row],[Inicio de Ruta]]-OLDBD[[#This Row],[Salida de almacén de retiro]],"")</f>
        <v>4.1666666664241347E-2</v>
      </c>
      <c r="AR1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97" s="8" t="str" cm="1">
        <f t="array" ref="AS1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97" s="9">
        <f>IFERROR(OLDBD[[#This Row],[Ingreso Packing]]-OLDBD[[#This Row],[Registro en Packing]],"")</f>
        <v>4.5138888890505768E-2</v>
      </c>
      <c r="AV197" s="9">
        <f>IFERROR(OLDBD[[#This Row],[Ingreso Packing]]-OLDBD[[#This Row],[Llegada a packing]],"")</f>
        <v>5.5555555554747116E-2</v>
      </c>
      <c r="AW1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97" s="5">
        <f>IFERROR(OLDBD[[#This Row],[Llegada Almacén de Ingreso]]-OLDBD[[#This Row],[Salida Packing]],"")</f>
        <v>0.83402777777519077</v>
      </c>
      <c r="AY197" s="4" t="str" cm="1">
        <f t="array" ref="AY1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1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7" s="43" t="s">
        <v>173</v>
      </c>
      <c r="BB197" s="47" t="str">
        <f>IFERROR(IF(MARÍTIMOS[[#This Row],[Estatus]]="","",MARÍTIMOS[[#This Row],[Estatus]]),"")</f>
        <v>Confirmado</v>
      </c>
      <c r="BC197" s="43"/>
      <c r="BD197" s="46">
        <f>IFERROR(OLDBD[[#This Row],[Salida de almacén de retiro]]-OLDBD[[#This Row],[Ingreso Almacén de retiro]],"")</f>
        <v>2.569444444088731E-2</v>
      </c>
      <c r="BE197" s="46">
        <f>IFERROR(OLDBD[[#This Row],[Fin de Carga]]-OLDBD[[#This Row],[Inicio de Carga]],"")</f>
        <v>0.15277777777373558</v>
      </c>
    </row>
    <row r="198" spans="1:57" customFormat="1" hidden="1">
      <c r="A198" s="1"/>
      <c r="B198" s="1">
        <f>IFERROR(IF(MARÍTIMOS[[#This Row],[PP]]="","",MARÍTIMOS[[#This Row],[PP]]),"")</f>
        <v>27</v>
      </c>
      <c r="C198" s="1" t="str">
        <f>IFERROR(IF(MARÍTIMOS[[#This Row],[Sede]]="","",MARÍTIMOS[[#This Row],[Sede]]),"")</f>
        <v>Chao</v>
      </c>
      <c r="D198" s="1" t="str">
        <f>IFERROR(IF(MARÍTIMOS[[#This Row],[Instruction]]="","",MARÍTIMOS[[#This Row],[Instruction]]),"")</f>
        <v>RH-0128</v>
      </c>
      <c r="E198" s="1"/>
      <c r="F198" s="2" t="str">
        <f>IFERROR(IF(MARÍTIMOS[[#This Row],[Transportista]]="","",MARÍTIMOS[[#This Row],[Transportista]]),"")</f>
        <v>LIP</v>
      </c>
      <c r="G198" s="2" t="str">
        <f>IFERROR(IF(MARÍTIMOS[[#This Row],[Tercero]]="","",MARÍTIMOS[[#This Row],[Tercero]]),"")</f>
        <v>SI</v>
      </c>
      <c r="H198" s="2" t="str">
        <f>IFERROR(IF(MARÍTIMOS[[#This Row],[Razón Social]]="","",MARÍTIMOS[[#This Row],[Razón Social]]),"")</f>
        <v>JCEP LOGISTIC E.I.R.L.</v>
      </c>
      <c r="I198" s="2">
        <f>IFERROR(IF(MARÍTIMOS[[#This Row],[RUC]]="","",MARÍTIMOS[[#This Row],[RUC]]),"")</f>
        <v>20609718561</v>
      </c>
      <c r="J198" s="2" t="str">
        <f>IFERROR(IF(MARÍTIMOS[[#This Row],[Placa Tracto]]="","",MARÍTIMOS[[#This Row],[Placa Tracto]]),"")</f>
        <v>CJB-892</v>
      </c>
      <c r="K198" s="2" t="str">
        <f>IFERROR(IF(MARÍTIMOS[[#This Row],[Placa Carreta]]="","",MARÍTIMOS[[#This Row],[Placa Carreta]]),"")</f>
        <v>B8N-993</v>
      </c>
      <c r="L198" s="44" t="str">
        <f>IFERROR(IF(MARÍTIMOS[[#This Row],[Conductor]]="","",MARÍTIMOS[[#This Row],[Conductor]]),"")</f>
        <v>CERNA ALMANZA MACARIO CAYO</v>
      </c>
      <c r="M198" s="2" t="str">
        <f>IFERROR(IF(MARÍTIMOS[[#This Row],[Licencia]]="","",MARÍTIMOS[[#This Row],[Licencia]]),"")</f>
        <v>Q32730334</v>
      </c>
      <c r="N198" s="2" t="str">
        <f>IFERROR(IF(MARÍTIMOS[[#This Row],[Número de Contacto]]="","",MARÍTIMOS[[#This Row],[Número de Contacto]]),"")</f>
        <v/>
      </c>
      <c r="O198" s="10" t="str">
        <f>IFERROR(IF(MARÍTIMOS[[#This Row],[Booking|AWB|CRT]]="","",MARÍTIMOS[[#This Row],[Booking|AWB|CRT]]),"")</f>
        <v>PER9134357A</v>
      </c>
      <c r="P198" s="2" t="str">
        <f>IFERROR(IF(MARÍTIMOS[[#This Row],[Contenedor]]="","",MARÍTIMOS[[#This Row],[Contenedor]]),"")</f>
        <v>SEGU9887030</v>
      </c>
      <c r="Q198" s="2" t="str">
        <f>IFERROR(IF(MARÍTIMOS[[#This Row],[Puerto de Retiro]]="","",MARÍTIMOS[[#This Row],[Puerto de Retiro]]),"")</f>
        <v>CALLAO</v>
      </c>
      <c r="R198" s="2" t="str">
        <f>IFERROR(IF(MARÍTIMOS[[#This Row],[Almacén de Retiro]]="","",MARÍTIMOS[[#This Row],[Almacén de Retiro]]),"")</f>
        <v>RFS</v>
      </c>
      <c r="S198" s="11">
        <f>IFERROR(IF(MARÍTIMOS[[#This Row],[Etapa Retiro - Cita]]="","",MARÍTIMOS[[#This Row],[Etapa Retiro - Cita]]),"")</f>
        <v>46205.625</v>
      </c>
      <c r="T198" s="11">
        <f>IFERROR(IF(MARÍTIMOS[[#This Row],[Etapa Retiro - Llegada]]="","",MARÍTIMOS[[#This Row],[Etapa Retiro - Llegada]]),"")</f>
        <v>46205.618055555555</v>
      </c>
      <c r="U198" s="11">
        <f>IFERROR(IF(MARÍTIMOS[[#This Row],[Etapa Retiro - Ingreso]]="","",MARÍTIMOS[[#This Row],[Etapa Retiro - Ingreso]]),"")</f>
        <v>46205.625</v>
      </c>
      <c r="V198" s="11">
        <f>IFERROR(IF(MARÍTIMOS[[#This Row],[Etapa Retiro - Atención]]="","",MARÍTIMOS[[#This Row],[Etapa Retiro - Atención]]),"")</f>
        <v>46205.75</v>
      </c>
      <c r="W198" s="11">
        <f>IFERROR(IF(MARÍTIMOS[[#This Row],[Etapa Retiro - Atención]]="","",MARÍTIMOS[[#This Row],[Etapa Retiro - Atención]]),"")</f>
        <v>46205.75</v>
      </c>
      <c r="X198" s="11">
        <f>IFERROR(IF(MARÍTIMOS[[#This Row],[Etapa Retiro - Inicio de Ruta]]="","",MARÍTIMOS[[#This Row],[Etapa Retiro - Inicio de Ruta]]),"")</f>
        <v>46205.833333333336</v>
      </c>
      <c r="Y198" s="11">
        <f>IFERROR(IF(MARÍTIMOS[[#This Row],[Hora de Posicionamiento]]="","",MARÍTIMOS[[#This Row],[Fecha de Carga]]+MARÍTIMOS[[#This Row],[Hora de Posicionamiento]]),"")</f>
        <v>46206.625</v>
      </c>
      <c r="Z198" s="11">
        <f>IFERROR(IF(MARÍTIMOS[[#This Row],[Etapa Despacho - Llegada]]="","",MARÍTIMOS[[#This Row],[Etapa Despacho - Llegada]]),"")</f>
        <v>46206.425694444442</v>
      </c>
      <c r="AA198" s="11">
        <f>IFERROR(IF(MARÍTIMOS[[#This Row],[Etapa Despacho - Registro]]="","",MARÍTIMOS[[#This Row],[Etapa Despacho - Registro]]),"")</f>
        <v>46206.454861111109</v>
      </c>
      <c r="AB198" s="11" t="str">
        <f>IFERROR(IF(MARÍTIMOS[[#This Row],[Inspección Externa]]="","",MARÍTIMOS[[#This Row],[Inspección Externa]]),"")</f>
        <v/>
      </c>
      <c r="AC198" s="11">
        <f>IFERROR(IF(MARÍTIMOS[[#This Row],[Etapa Despacho - Inicio de Carga]]="","",MARÍTIMOS[[#This Row],[Etapa Despacho - Inicio de Carga]]),"")</f>
        <v>46206.625</v>
      </c>
      <c r="AD198" s="11">
        <f>IFERROR(IF(MARÍTIMOS[[#This Row],[Etapa Despacho - Mitad de Carga]]="","",MARÍTIMOS[[#This Row],[Etapa Despacho - Mitad de Carga]]),"")</f>
        <v>46206.730555555558</v>
      </c>
      <c r="AE198" s="11">
        <f>IFERROR(IF(MARÍTIMOS[[#This Row],[Etapa Despacho - Fin de Carga]]="","",MARÍTIMOS[[#This Row],[Etapa Despacho - Fin de Carga]]),"")</f>
        <v>46206.75</v>
      </c>
      <c r="AF198" s="2" t="str">
        <f>IFERROR(IF(MARÍTIMOS[[#This Row],[Puerto de Embarque]]="","",MARÍTIMOS[[#This Row],[Puerto de Embarque]]),"")</f>
        <v>CALLAO</v>
      </c>
      <c r="AG198" s="2" t="str">
        <f>IFERROR(IF(MARÍTIMOS[[#This Row],[Almacén de Ingreso]]="","",MARÍTIMOS[[#This Row],[Almacén de Ingreso]]),"")</f>
        <v>DPW</v>
      </c>
      <c r="AH198" s="11">
        <f>IFERROR(IF(MARÍTIMOS[[#This Row],[Etapa Ingreso - Cita]]="","",MARÍTIMOS[[#This Row],[Etapa Ingreso - Cita]]),"")</f>
        <v>46207.416666666664</v>
      </c>
      <c r="AI198" s="11">
        <f>IFERROR(IF(MARÍTIMOS[[#This Row],[Etapa Ingreso - Llegada]]="","",MARÍTIMOS[[#This Row],[Etapa Ingreso - Llegada]]),"")</f>
        <v>46207.448611111111</v>
      </c>
      <c r="AJ198" s="11">
        <f>IFERROR(IF(MARÍTIMOS[[#This Row],[Etapa Ingreso - Ingeso]]="","",MARÍTIMOS[[#This Row],[Etapa Ingreso - Ingeso]]),"")</f>
        <v>46207.498611111114</v>
      </c>
      <c r="AK198" s="11">
        <f>IFERROR(IF(MARÍTIMOS[[#This Row],[Etapa Ingreso - Atención]]="","",MARÍTIMOS[[#This Row],[Etapa Ingreso - Atención]]),"")</f>
        <v>46207.5</v>
      </c>
      <c r="AL198" s="11">
        <f>IFERROR(IF(MARÍTIMOS[[#This Row],[Etapa Ingreso - Salida]]="","",MARÍTIMOS[[#This Row],[Etapa Ingreso - Salida]]),"")</f>
        <v>46207.506944444445</v>
      </c>
      <c r="AM198" s="2">
        <f>IFERROR(IF(MARÍTIMOS[[#This Row],[FCL]]="","",MARÍTIMOS[[#This Row],[FCL]]),"")</f>
        <v>1</v>
      </c>
      <c r="AN1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8" s="4" t="str" cm="1">
        <f t="array" ref="AO1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198" s="5">
        <f>IFERROR(OLDBD[[#This Row],[Llegada a packing]]-OLDBD[[#This Row],[Inicio de Ruta]],"")</f>
        <v>0.59236111110658385</v>
      </c>
      <c r="AQ198" s="6">
        <f>IFERROR(OLDBD[[#This Row],[Inicio de Ruta]]-OLDBD[[#This Row],[Salida de almacén de retiro]],"")</f>
        <v>8.3333333335758653E-2</v>
      </c>
      <c r="AR1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98" s="8" t="str" cm="1">
        <f t="array" ref="AS1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98" s="9" t="str">
        <f>IFERROR(OLDBD[[#This Row],[Ingreso Packing]]-OLDBD[[#This Row],[Registro en Packing]],"")</f>
        <v/>
      </c>
      <c r="AV198" s="9" t="str">
        <f>IFERROR(OLDBD[[#This Row],[Ingreso Packing]]-OLDBD[[#This Row],[Llegada a packing]],"")</f>
        <v/>
      </c>
      <c r="AW1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198" s="5">
        <f>IFERROR(OLDBD[[#This Row],[Llegada Almacén de Ingreso]]-OLDBD[[#This Row],[Salida Packing]],"")</f>
        <v>0.69861111111094942</v>
      </c>
      <c r="AY198" s="4" t="str" cm="1">
        <f t="array" ref="AY1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1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8" s="43" t="s">
        <v>173</v>
      </c>
      <c r="BB198" s="47" t="str">
        <f>IFERROR(IF(MARÍTIMOS[[#This Row],[Estatus]]="","",MARÍTIMOS[[#This Row],[Estatus]]),"")</f>
        <v>Confirmado</v>
      </c>
      <c r="BC198" s="43"/>
      <c r="BD198" s="46">
        <f>IFERROR(OLDBD[[#This Row],[Salida de almacén de retiro]]-OLDBD[[#This Row],[Ingreso Almacén de retiro]],"")</f>
        <v>0.125</v>
      </c>
      <c r="BE198" s="46">
        <f>IFERROR(OLDBD[[#This Row],[Fin de Carga]]-OLDBD[[#This Row],[Inicio de Carga]],"")</f>
        <v>0.1055555555576575</v>
      </c>
    </row>
    <row r="199" spans="1:57" customFormat="1" hidden="1">
      <c r="A199" s="1"/>
      <c r="B199" s="1">
        <f>IFERROR(IF(MARÍTIMOS[[#This Row],[PP]]="","",MARÍTIMOS[[#This Row],[PP]]),"")</f>
        <v>27</v>
      </c>
      <c r="C199" s="1" t="str">
        <f>IFERROR(IF(MARÍTIMOS[[#This Row],[Sede]]="","",MARÍTIMOS[[#This Row],[Sede]]),"")</f>
        <v>Chao</v>
      </c>
      <c r="D199" s="1" t="str">
        <f>IFERROR(IF(MARÍTIMOS[[#This Row],[Instruction]]="","",MARÍTIMOS[[#This Row],[Instruction]]),"")</f>
        <v>RH-0133</v>
      </c>
      <c r="E199" s="1"/>
      <c r="F199" s="2" t="str">
        <f>IFERROR(IF(MARÍTIMOS[[#This Row],[Transportista]]="","",MARÍTIMOS[[#This Row],[Transportista]]),"")</f>
        <v>LIP</v>
      </c>
      <c r="G199" s="2" t="str">
        <f>IFERROR(IF(MARÍTIMOS[[#This Row],[Tercero]]="","",MARÍTIMOS[[#This Row],[Tercero]]),"")</f>
        <v>NO</v>
      </c>
      <c r="H199" s="2" t="str">
        <f>IFERROR(IF(MARÍTIMOS[[#This Row],[Razón Social]]="","",MARÍTIMOS[[#This Row],[Razón Social]]),"")</f>
        <v>LOGISTICA INTERMODAL DEL PERU S.A.C.</v>
      </c>
      <c r="I199" s="2">
        <f>IFERROR(IF(MARÍTIMOS[[#This Row],[RUC]]="","",MARÍTIMOS[[#This Row],[RUC]]),"")</f>
        <v>20513040718</v>
      </c>
      <c r="J199" s="2" t="str">
        <f>IFERROR(IF(MARÍTIMOS[[#This Row],[Placa Tracto]]="","",MARÍTIMOS[[#This Row],[Placa Tracto]]),"")</f>
        <v>BFH-947</v>
      </c>
      <c r="K199" s="2" t="str">
        <f>IFERROR(IF(MARÍTIMOS[[#This Row],[Placa Carreta]]="","",MARÍTIMOS[[#This Row],[Placa Carreta]]),"")</f>
        <v>AJP-999</v>
      </c>
      <c r="L199" s="44" t="str">
        <f>IFERROR(IF(MARÍTIMOS[[#This Row],[Conductor]]="","",MARÍTIMOS[[#This Row],[Conductor]]),"")</f>
        <v>NAVARRO VILCATOMA LUIS ENRIQUE</v>
      </c>
      <c r="M199" s="2" t="str">
        <f>IFERROR(IF(MARÍTIMOS[[#This Row],[Licencia]]="","",MARÍTIMOS[[#This Row],[Licencia]]),"")</f>
        <v>F41812149</v>
      </c>
      <c r="N199" s="2" t="str">
        <f>IFERROR(IF(MARÍTIMOS[[#This Row],[Número de Contacto]]="","",MARÍTIMOS[[#This Row],[Número de Contacto]]),"")</f>
        <v/>
      </c>
      <c r="O199" s="10">
        <f>IFERROR(IF(MARÍTIMOS[[#This Row],[Booking|AWB|CRT]]="","",MARÍTIMOS[[#This Row],[Booking|AWB|CRT]]),"")</f>
        <v>6506964600</v>
      </c>
      <c r="P199" s="2" t="str">
        <f>IFERROR(IF(MARÍTIMOS[[#This Row],[Contenedor]]="","",MARÍTIMOS[[#This Row],[Contenedor]]),"")</f>
        <v>OERU4284814</v>
      </c>
      <c r="Q199" s="2" t="str">
        <f>IFERROR(IF(MARÍTIMOS[[#This Row],[Puerto de Retiro]]="","",MARÍTIMOS[[#This Row],[Puerto de Retiro]]),"")</f>
        <v>CHANCAY</v>
      </c>
      <c r="R199" s="2" t="str">
        <f>IFERROR(IF(MARÍTIMOS[[#This Row],[Almacén de Retiro]]="","",MARÍTIMOS[[#This Row],[Almacén de Retiro]]),"")</f>
        <v>CSPCP</v>
      </c>
      <c r="S199" s="11">
        <f>IFERROR(IF(MARÍTIMOS[[#This Row],[Etapa Retiro - Cita]]="","",MARÍTIMOS[[#This Row],[Etapa Retiro - Cita]]),"")</f>
        <v>46206.791666666664</v>
      </c>
      <c r="T199" s="11">
        <f>IFERROR(IF(MARÍTIMOS[[#This Row],[Etapa Retiro - Llegada]]="","",MARÍTIMOS[[#This Row],[Etapa Retiro - Llegada]]),"")</f>
        <v>46206.806944444441</v>
      </c>
      <c r="U199" s="11">
        <f>IFERROR(IF(MARÍTIMOS[[#This Row],[Etapa Retiro - Ingreso]]="","",MARÍTIMOS[[#This Row],[Etapa Retiro - Ingreso]]),"")</f>
        <v>46206.8125</v>
      </c>
      <c r="V199" s="11">
        <f>IFERROR(IF(MARÍTIMOS[[#This Row],[Etapa Retiro - Atención]]="","",MARÍTIMOS[[#This Row],[Etapa Retiro - Atención]]),"")</f>
        <v>46206.916666666664</v>
      </c>
      <c r="W199" s="11">
        <f>IFERROR(IF(MARÍTIMOS[[#This Row],[Etapa Retiro - Atención]]="","",MARÍTIMOS[[#This Row],[Etapa Retiro - Atención]]),"")</f>
        <v>46206.916666666664</v>
      </c>
      <c r="X199" s="11">
        <f>IFERROR(IF(MARÍTIMOS[[#This Row],[Etapa Retiro - Inicio de Ruta]]="","",MARÍTIMOS[[#This Row],[Etapa Retiro - Inicio de Ruta]]),"")</f>
        <v>46206.916666666664</v>
      </c>
      <c r="Y199" s="11">
        <f>IFERROR(IF(MARÍTIMOS[[#This Row],[Hora de Posicionamiento]]="","",MARÍTIMOS[[#This Row],[Fecha de Carga]]+MARÍTIMOS[[#This Row],[Hora de Posicionamiento]]),"")</f>
        <v>46207.625</v>
      </c>
      <c r="Z199" s="11">
        <f>IFERROR(IF(MARÍTIMOS[[#This Row],[Etapa Despacho - Llegada]]="","",MARÍTIMOS[[#This Row],[Etapa Despacho - Llegada]]),"")</f>
        <v>46207.625</v>
      </c>
      <c r="AA199" s="11">
        <f>IFERROR(IF(MARÍTIMOS[[#This Row],[Etapa Despacho - Registro]]="","",MARÍTIMOS[[#This Row],[Etapa Despacho - Registro]]),"")</f>
        <v>46207.652777777781</v>
      </c>
      <c r="AB199" s="11">
        <f>IFERROR(IF(MARÍTIMOS[[#This Row],[Inspección Externa]]="","",MARÍTIMOS[[#This Row],[Inspección Externa]]),"")</f>
        <v>46207.665277777778</v>
      </c>
      <c r="AC199" s="11">
        <f>IFERROR(IF(MARÍTIMOS[[#This Row],[Etapa Despacho - Inicio de Carga]]="","",MARÍTIMOS[[#This Row],[Etapa Despacho - Inicio de Carga]]),"")</f>
        <v>46207.666666666664</v>
      </c>
      <c r="AD199" s="11">
        <f>IFERROR(IF(MARÍTIMOS[[#This Row],[Etapa Despacho - Mitad de Carga]]="","",MARÍTIMOS[[#This Row],[Etapa Despacho - Mitad de Carga]]),"")</f>
        <v>46207.820138888892</v>
      </c>
      <c r="AE199" s="11">
        <f>IFERROR(IF(MARÍTIMOS[[#This Row],[Etapa Despacho - Fin de Carga]]="","",MARÍTIMOS[[#This Row],[Etapa Despacho - Fin de Carga]]),"")</f>
        <v>46207.833333333336</v>
      </c>
      <c r="AF199" s="2" t="str">
        <f>IFERROR(IF(MARÍTIMOS[[#This Row],[Puerto de Embarque]]="","",MARÍTIMOS[[#This Row],[Puerto de Embarque]]),"")</f>
        <v>CHANCAY</v>
      </c>
      <c r="AG199" s="2" t="str">
        <f>IFERROR(IF(MARÍTIMOS[[#This Row],[Almacén de Ingreso]]="","",MARÍTIMOS[[#This Row],[Almacén de Ingreso]]),"")</f>
        <v>CSPCP</v>
      </c>
      <c r="AH199" s="11">
        <f>IFERROR(IF(MARÍTIMOS[[#This Row],[Etapa Ingreso - Cita]]="","",MARÍTIMOS[[#This Row],[Etapa Ingreso - Cita]]),"")</f>
        <v>46208.416666666664</v>
      </c>
      <c r="AI199" s="11">
        <f>IFERROR(IF(MARÍTIMOS[[#This Row],[Etapa Ingreso - Llegada]]="","",MARÍTIMOS[[#This Row],[Etapa Ingreso - Llegada]]),"")</f>
        <v>46208.418055555558</v>
      </c>
      <c r="AJ199" s="11">
        <f>IFERROR(IF(MARÍTIMOS[[#This Row],[Etapa Ingreso - Ingeso]]="","",MARÍTIMOS[[#This Row],[Etapa Ingreso - Ingeso]]),"")</f>
        <v>46208.510416666664</v>
      </c>
      <c r="AK199" s="11">
        <f>IFERROR(IF(MARÍTIMOS[[#This Row],[Etapa Ingreso - Atención]]="","",MARÍTIMOS[[#This Row],[Etapa Ingreso - Atención]]),"")</f>
        <v>46208.5</v>
      </c>
      <c r="AL199" s="11">
        <f>IFERROR(IF(MARÍTIMOS[[#This Row],[Etapa Ingreso - Salida]]="","",MARÍTIMOS[[#This Row],[Etapa Ingreso - Salida]]),"")</f>
        <v>46208.53125</v>
      </c>
      <c r="AM199" s="2">
        <f>IFERROR(IF(MARÍTIMOS[[#This Row],[FCL]]="","",MARÍTIMOS[[#This Row],[FCL]]),"")</f>
        <v>1</v>
      </c>
      <c r="AN1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199" s="4" t="str" cm="1">
        <f t="array" ref="AO1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199" s="5">
        <f>IFERROR(OLDBD[[#This Row],[Llegada a packing]]-OLDBD[[#This Row],[Inicio de Ruta]],"")</f>
        <v>0.70833333333575865</v>
      </c>
      <c r="AQ199" s="6">
        <f>IFERROR(OLDBD[[#This Row],[Inicio de Ruta]]-OLDBD[[#This Row],[Salida de almacén de retiro]],"")</f>
        <v>0</v>
      </c>
      <c r="AR1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199" s="8" t="str" cm="1">
        <f t="array" ref="AS1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1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199" s="9">
        <f>IFERROR(OLDBD[[#This Row],[Ingreso Packing]]-OLDBD[[#This Row],[Registro en Packing]],"")</f>
        <v>1.2499999997089617E-2</v>
      </c>
      <c r="AV199" s="9">
        <f>IFERROR(OLDBD[[#This Row],[Ingreso Packing]]-OLDBD[[#This Row],[Llegada a packing]],"")</f>
        <v>4.0277777778101154E-2</v>
      </c>
      <c r="AW1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199" s="5">
        <f>IFERROR(OLDBD[[#This Row],[Llegada Almacén de Ingreso]]-OLDBD[[#This Row],[Salida Packing]],"")</f>
        <v>0.58472222222189885</v>
      </c>
      <c r="AY199" s="4" t="str" cm="1">
        <f t="array" ref="AY1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1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199" s="43" t="s">
        <v>173</v>
      </c>
      <c r="BB199" s="47" t="str">
        <f>IFERROR(IF(MARÍTIMOS[[#This Row],[Estatus]]="","",MARÍTIMOS[[#This Row],[Estatus]]),"")</f>
        <v>Confirmado</v>
      </c>
      <c r="BC199" s="43"/>
      <c r="BD199" s="46">
        <f>IFERROR(OLDBD[[#This Row],[Salida de almacén de retiro]]-OLDBD[[#This Row],[Ingreso Almacén de retiro]],"")</f>
        <v>0.10416666666424135</v>
      </c>
      <c r="BE199" s="46">
        <f>IFERROR(OLDBD[[#This Row],[Fin de Carga]]-OLDBD[[#This Row],[Inicio de Carga]],"")</f>
        <v>0.15347222222771961</v>
      </c>
    </row>
    <row r="200" spans="1:57" customFormat="1" hidden="1">
      <c r="A200" s="1"/>
      <c r="B200" s="1">
        <f>IFERROR(IF(MARÍTIMOS[[#This Row],[PP]]="","",MARÍTIMOS[[#This Row],[PP]]),"")</f>
        <v>27</v>
      </c>
      <c r="C200" s="1" t="str">
        <f>IFERROR(IF(MARÍTIMOS[[#This Row],[Sede]]="","",MARÍTIMOS[[#This Row],[Sede]]),"")</f>
        <v>Chao</v>
      </c>
      <c r="D200" s="1" t="str">
        <f>IFERROR(IF(MARÍTIMOS[[#This Row],[Instruction]]="","",MARÍTIMOS[[#This Row],[Instruction]]),"")</f>
        <v>RH-0134</v>
      </c>
      <c r="E200" s="1"/>
      <c r="F200" s="2" t="str">
        <f>IFERROR(IF(MARÍTIMOS[[#This Row],[Transportista]]="","",MARÍTIMOS[[#This Row],[Transportista]]),"")</f>
        <v>LIP</v>
      </c>
      <c r="G200" s="2" t="str">
        <f>IFERROR(IF(MARÍTIMOS[[#This Row],[Tercero]]="","",MARÍTIMOS[[#This Row],[Tercero]]),"")</f>
        <v>SI</v>
      </c>
      <c r="H200" s="2" t="str">
        <f>IFERROR(IF(MARÍTIMOS[[#This Row],[Razón Social]]="","",MARÍTIMOS[[#This Row],[Razón Social]]),"")</f>
        <v>VILLANUEVA JAMJACHI ABEL JESUS</v>
      </c>
      <c r="I200" s="2">
        <f>IFERROR(IF(MARÍTIMOS[[#This Row],[RUC]]="","",MARÍTIMOS[[#This Row],[RUC]]),"")</f>
        <v>10257534745</v>
      </c>
      <c r="J200" s="2" t="str">
        <f>IFERROR(IF(MARÍTIMOS[[#This Row],[Placa Tracto]]="","",MARÍTIMOS[[#This Row],[Placa Tracto]]),"")</f>
        <v>AJW-875</v>
      </c>
      <c r="K200" s="2" t="str">
        <f>IFERROR(IF(MARÍTIMOS[[#This Row],[Placa Carreta]]="","",MARÍTIMOS[[#This Row],[Placa Carreta]]),"")</f>
        <v>ADU-980</v>
      </c>
      <c r="L200" s="44" t="str">
        <f>IFERROR(IF(MARÍTIMOS[[#This Row],[Conductor]]="","",MARÍTIMOS[[#This Row],[Conductor]]),"")</f>
        <v>VILLANUEVA JAMJACHI ABEL JESUS</v>
      </c>
      <c r="M200" s="2" t="str">
        <f>IFERROR(IF(MARÍTIMOS[[#This Row],[Licencia]]="","",MARÍTIMOS[[#This Row],[Licencia]]),"")</f>
        <v>Q25753474</v>
      </c>
      <c r="N200" s="2" t="str">
        <f>IFERROR(IF(MARÍTIMOS[[#This Row],[Número de Contacto]]="","",MARÍTIMOS[[#This Row],[Número de Contacto]]),"")</f>
        <v/>
      </c>
      <c r="O200" s="10">
        <f>IFERROR(IF(MARÍTIMOS[[#This Row],[Booking|AWB|CRT]]="","",MARÍTIMOS[[#This Row],[Booking|AWB|CRT]]),"")</f>
        <v>6506666550</v>
      </c>
      <c r="P200" s="2" t="str">
        <f>IFERROR(IF(MARÍTIMOS[[#This Row],[Contenedor]]="","",MARÍTIMOS[[#This Row],[Contenedor]]),"")</f>
        <v>FBIU5569678</v>
      </c>
      <c r="Q200" s="2" t="str">
        <f>IFERROR(IF(MARÍTIMOS[[#This Row],[Puerto de Retiro]]="","",MARÍTIMOS[[#This Row],[Puerto de Retiro]]),"")</f>
        <v>CHANCAY</v>
      </c>
      <c r="R200" s="2" t="str">
        <f>IFERROR(IF(MARÍTIMOS[[#This Row],[Almacén de Retiro]]="","",MARÍTIMOS[[#This Row],[Almacén de Retiro]]),"")</f>
        <v>CSPCP</v>
      </c>
      <c r="S200" s="11">
        <f>IFERROR(IF(MARÍTIMOS[[#This Row],[Etapa Retiro - Cita]]="","",MARÍTIMOS[[#This Row],[Etapa Retiro - Cita]]),"")</f>
        <v>46207.583333333336</v>
      </c>
      <c r="T200" s="11">
        <f>IFERROR(IF(MARÍTIMOS[[#This Row],[Etapa Retiro - Llegada]]="","",MARÍTIMOS[[#This Row],[Etapa Retiro - Llegada]]),"")</f>
        <v>46207.604166666664</v>
      </c>
      <c r="U200" s="11">
        <f>IFERROR(IF(MARÍTIMOS[[#This Row],[Etapa Retiro - Ingreso]]="","",MARÍTIMOS[[#This Row],[Etapa Retiro - Ingreso]]),"")</f>
        <v>46207.615972222222</v>
      </c>
      <c r="V200" s="11">
        <f>IFERROR(IF(MARÍTIMOS[[#This Row],[Etapa Retiro - Atención]]="","",MARÍTIMOS[[#This Row],[Etapa Retiro - Atención]]),"")</f>
        <v>46207.708333333336</v>
      </c>
      <c r="W200" s="11">
        <f>IFERROR(IF(MARÍTIMOS[[#This Row],[Etapa Retiro - Atención]]="","",MARÍTIMOS[[#This Row],[Etapa Retiro - Atención]]),"")</f>
        <v>46207.708333333336</v>
      </c>
      <c r="X200" s="11">
        <f>IFERROR(IF(MARÍTIMOS[[#This Row],[Etapa Retiro - Inicio de Ruta]]="","",MARÍTIMOS[[#This Row],[Etapa Retiro - Inicio de Ruta]]),"")</f>
        <v>46207.791666666664</v>
      </c>
      <c r="Y200" s="11">
        <f>IFERROR(IF(MARÍTIMOS[[#This Row],[Hora de Posicionamiento]]="","",MARÍTIMOS[[#This Row],[Fecha de Carga]]+MARÍTIMOS[[#This Row],[Hora de Posicionamiento]]),"")</f>
        <v>46208.5</v>
      </c>
      <c r="Z200" s="11">
        <f>IFERROR(IF(MARÍTIMOS[[#This Row],[Etapa Despacho - Llegada]]="","",MARÍTIMOS[[#This Row],[Etapa Despacho - Llegada]]),"")</f>
        <v>46208.458333333336</v>
      </c>
      <c r="AA200" s="11">
        <f>IFERROR(IF(MARÍTIMOS[[#This Row],[Etapa Despacho - Registro]]="","",MARÍTIMOS[[#This Row],[Etapa Despacho - Registro]]),"")</f>
        <v>46208.490277777775</v>
      </c>
      <c r="AB200" s="11">
        <f>IFERROR(IF(MARÍTIMOS[[#This Row],[Inspección Externa]]="","",MARÍTIMOS[[#This Row],[Inspección Externa]]),"")</f>
        <v>46208.541666666664</v>
      </c>
      <c r="AC200" s="11">
        <f>IFERROR(IF(MARÍTIMOS[[#This Row],[Etapa Despacho - Inicio de Carga]]="","",MARÍTIMOS[[#This Row],[Etapa Despacho - Inicio de Carga]]),"")</f>
        <v>46208.583333333336</v>
      </c>
      <c r="AD200" s="11">
        <f>IFERROR(IF(MARÍTIMOS[[#This Row],[Etapa Despacho - Mitad de Carga]]="","",MARÍTIMOS[[#This Row],[Etapa Despacho - Mitad de Carga]]),"")</f>
        <v>46208.654861111114</v>
      </c>
      <c r="AE200" s="11">
        <f>IFERROR(IF(MARÍTIMOS[[#This Row],[Etapa Despacho - Fin de Carga]]="","",MARÍTIMOS[[#This Row],[Etapa Despacho - Fin de Carga]]),"")</f>
        <v>46208.666666666664</v>
      </c>
      <c r="AF200" s="2" t="str">
        <f>IFERROR(IF(MARÍTIMOS[[#This Row],[Puerto de Embarque]]="","",MARÍTIMOS[[#This Row],[Puerto de Embarque]]),"")</f>
        <v>CHANCAY</v>
      </c>
      <c r="AG200" s="2" t="str">
        <f>IFERROR(IF(MARÍTIMOS[[#This Row],[Almacén de Ingreso]]="","",MARÍTIMOS[[#This Row],[Almacén de Ingreso]]),"")</f>
        <v>CSPCP</v>
      </c>
      <c r="AH200" s="11">
        <f>IFERROR(IF(MARÍTIMOS[[#This Row],[Etapa Ingreso - Cita]]="","",MARÍTIMOS[[#This Row],[Etapa Ingreso - Cita]]),"")</f>
        <v>46209.375</v>
      </c>
      <c r="AI200" s="11">
        <f>IFERROR(IF(MARÍTIMOS[[#This Row],[Etapa Ingreso - Llegada]]="","",MARÍTIMOS[[#This Row],[Etapa Ingreso - Llegada]]),"")</f>
        <v>46209.383333333331</v>
      </c>
      <c r="AJ200" s="11">
        <f>IFERROR(IF(MARÍTIMOS[[#This Row],[Etapa Ingreso - Ingeso]]="","",MARÍTIMOS[[#This Row],[Etapa Ingreso - Ingeso]]),"")</f>
        <v>46209.385416666664</v>
      </c>
      <c r="AK200" s="11">
        <f>IFERROR(IF(MARÍTIMOS[[#This Row],[Etapa Ingreso - Atención]]="","",MARÍTIMOS[[#This Row],[Etapa Ingreso - Atención]]),"")</f>
        <v>46209.375</v>
      </c>
      <c r="AL200" s="11">
        <f>IFERROR(IF(MARÍTIMOS[[#This Row],[Etapa Ingreso - Salida]]="","",MARÍTIMOS[[#This Row],[Etapa Ingreso - Salida]]),"")</f>
        <v>46209.401388888888</v>
      </c>
      <c r="AM200" s="2">
        <f>IFERROR(IF(MARÍTIMOS[[#This Row],[FCL]]="","",MARÍTIMOS[[#This Row],[FCL]]),"")</f>
        <v>1</v>
      </c>
      <c r="AN2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0" s="4" t="str" cm="1">
        <f t="array" ref="AO2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200" s="5">
        <f>IFERROR(OLDBD[[#This Row],[Llegada a packing]]-OLDBD[[#This Row],[Inicio de Ruta]],"")</f>
        <v>0.66666666667151731</v>
      </c>
      <c r="AQ200" s="6">
        <f>IFERROR(OLDBD[[#This Row],[Inicio de Ruta]]-OLDBD[[#This Row],[Salida de almacén de retiro]],"")</f>
        <v>8.3333333328482695E-2</v>
      </c>
      <c r="AR2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00" s="8" t="str" cm="1">
        <f t="array" ref="AS2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0" s="9">
        <f>IFERROR(OLDBD[[#This Row],[Ingreso Packing]]-OLDBD[[#This Row],[Registro en Packing]],"")</f>
        <v>5.1388888889050577E-2</v>
      </c>
      <c r="AV200" s="9">
        <f>IFERROR(OLDBD[[#This Row],[Ingreso Packing]]-OLDBD[[#This Row],[Llegada a packing]],"")</f>
        <v>8.3333333328482695E-2</v>
      </c>
      <c r="AW2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0" s="5">
        <f>IFERROR(OLDBD[[#This Row],[Llegada Almacén de Ingreso]]-OLDBD[[#This Row],[Salida Packing]],"")</f>
        <v>0.71666666666715173</v>
      </c>
      <c r="AY200" s="4" t="str" cm="1">
        <f t="array" ref="AY2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0" s="43" t="s">
        <v>173</v>
      </c>
      <c r="BB200" s="47" t="str">
        <f>IFERROR(IF(MARÍTIMOS[[#This Row],[Estatus]]="","",MARÍTIMOS[[#This Row],[Estatus]]),"")</f>
        <v>Confirmado</v>
      </c>
      <c r="BC200" s="43"/>
      <c r="BD200" s="46">
        <f>IFERROR(OLDBD[[#This Row],[Salida de almacén de retiro]]-OLDBD[[#This Row],[Ingreso Almacén de retiro]],"")</f>
        <v>9.2361111113859806E-2</v>
      </c>
      <c r="BE200" s="46">
        <f>IFERROR(OLDBD[[#This Row],[Fin de Carga]]-OLDBD[[#This Row],[Inicio de Carga]],"")</f>
        <v>7.1527777778101154E-2</v>
      </c>
    </row>
    <row r="201" spans="1:57" customFormat="1" hidden="1">
      <c r="A201" s="1"/>
      <c r="B201" s="1">
        <f>IFERROR(IF(MARÍTIMOS[[#This Row],[PP]]="","",MARÍTIMOS[[#This Row],[PP]]),"")</f>
        <v>30</v>
      </c>
      <c r="C201" s="1" t="str">
        <f>IFERROR(IF(MARÍTIMOS[[#This Row],[Sede]]="","",MARÍTIMOS[[#This Row],[Sede]]),"")</f>
        <v>Chao</v>
      </c>
      <c r="D201" s="1" t="str">
        <f>IFERROR(IF(MARÍTIMOS[[#This Row],[Instruction]]="","",MARÍTIMOS[[#This Row],[Instruction]]),"")</f>
        <v>RH-0235</v>
      </c>
      <c r="E201" s="1"/>
      <c r="F201" s="2" t="str">
        <f>IFERROR(IF(MARÍTIMOS[[#This Row],[Transportista]]="","",MARÍTIMOS[[#This Row],[Transportista]]),"")</f>
        <v>LIP</v>
      </c>
      <c r="G201" s="2" t="str">
        <f>IFERROR(IF(MARÍTIMOS[[#This Row],[Tercero]]="","",MARÍTIMOS[[#This Row],[Tercero]]),"")</f>
        <v>NO</v>
      </c>
      <c r="H201" s="2" t="str">
        <f>IFERROR(IF(MARÍTIMOS[[#This Row],[Razón Social]]="","",MARÍTIMOS[[#This Row],[Razón Social]]),"")</f>
        <v>LOGISTICA INTERMODAL DEL PERU S.A.C.</v>
      </c>
      <c r="I201" s="2">
        <f>IFERROR(IF(MARÍTIMOS[[#This Row],[RUC]]="","",MARÍTIMOS[[#This Row],[RUC]]),"")</f>
        <v>20513040718</v>
      </c>
      <c r="J201" s="2" t="str">
        <f>IFERROR(IF(MARÍTIMOS[[#This Row],[Placa Tracto]]="","",MARÍTIMOS[[#This Row],[Placa Tracto]]),"")</f>
        <v>AZH-888</v>
      </c>
      <c r="K201" s="2" t="str">
        <f>IFERROR(IF(MARÍTIMOS[[#This Row],[Placa Carreta]]="","",MARÍTIMOS[[#This Row],[Placa Carreta]]),"")</f>
        <v>ALL-988</v>
      </c>
      <c r="L201" s="44" t="str">
        <f>IFERROR(IF(MARÍTIMOS[[#This Row],[Conductor]]="","",MARÍTIMOS[[#This Row],[Conductor]]),"")</f>
        <v>CANCHARI ROSALES DAVID MARCOS</v>
      </c>
      <c r="M201" s="2" t="str">
        <f>IFERROR(IF(MARÍTIMOS[[#This Row],[Licencia]]="","",MARÍTIMOS[[#This Row],[Licencia]]),"")</f>
        <v>Q09911196</v>
      </c>
      <c r="N201" s="2" t="str">
        <f>IFERROR(IF(MARÍTIMOS[[#This Row],[Número de Contacto]]="","",MARÍTIMOS[[#This Row],[Número de Contacto]]),"")</f>
        <v/>
      </c>
      <c r="O201" s="10">
        <f>IFERROR(IF(MARÍTIMOS[[#This Row],[Booking|AWB|CRT]]="","",MARÍTIMOS[[#This Row],[Booking|AWB|CRT]]),"")</f>
        <v>6508577320</v>
      </c>
      <c r="P201" s="2" t="str">
        <f>IFERROR(IF(MARÍTIMOS[[#This Row],[Contenedor]]="","",MARÍTIMOS[[#This Row],[Contenedor]]),"")</f>
        <v>OERU4285127</v>
      </c>
      <c r="Q201" s="2" t="str">
        <f>IFERROR(IF(MARÍTIMOS[[#This Row],[Puerto de Retiro]]="","",MARÍTIMOS[[#This Row],[Puerto de Retiro]]),"")</f>
        <v>CHANCAY</v>
      </c>
      <c r="R201" s="2" t="str">
        <f>IFERROR(IF(MARÍTIMOS[[#This Row],[Almacén de Retiro]]="","",MARÍTIMOS[[#This Row],[Almacén de Retiro]]),"")</f>
        <v>CSPCP</v>
      </c>
      <c r="S201" s="11">
        <f>IFERROR(IF(MARÍTIMOS[[#This Row],[Etapa Retiro - Cita]]="","",MARÍTIMOS[[#This Row],[Etapa Retiro - Cita]]),"")</f>
        <v>46224.75</v>
      </c>
      <c r="T201" s="11">
        <f>IFERROR(IF(MARÍTIMOS[[#This Row],[Etapa Retiro - Llegada]]="","",MARÍTIMOS[[#This Row],[Etapa Retiro - Llegada]]),"")</f>
        <v>46224.84375</v>
      </c>
      <c r="U201" s="11">
        <f>IFERROR(IF(MARÍTIMOS[[#This Row],[Etapa Retiro - Ingreso]]="","",MARÍTIMOS[[#This Row],[Etapa Retiro - Ingreso]]),"")</f>
        <v>46224.854166666664</v>
      </c>
      <c r="V201" s="11">
        <f>IFERROR(IF(MARÍTIMOS[[#This Row],[Etapa Retiro - Atención]]="","",MARÍTIMOS[[#This Row],[Etapa Retiro - Atención]]),"")</f>
        <v>46224.879166666666</v>
      </c>
      <c r="W201" s="11">
        <f>IFERROR(IF(MARÍTIMOS[[#This Row],[Etapa Retiro - Atención]]="","",MARÍTIMOS[[#This Row],[Etapa Retiro - Atención]]),"")</f>
        <v>46224.879166666666</v>
      </c>
      <c r="X201" s="11">
        <f>IFERROR(IF(MARÍTIMOS[[#This Row],[Etapa Retiro - Inicio de Ruta]]="","",MARÍTIMOS[[#This Row],[Etapa Retiro - Inicio de Ruta]]),"")</f>
        <v>46225.958333333336</v>
      </c>
      <c r="Y201" s="11">
        <f>IFERROR(IF(MARÍTIMOS[[#This Row],[Hora de Posicionamiento]]="","",MARÍTIMOS[[#This Row],[Fecha de Carga]]+MARÍTIMOS[[#This Row],[Hora de Posicionamiento]]),"")</f>
        <v>46225.5</v>
      </c>
      <c r="Z201" s="11">
        <f>IFERROR(IF(MARÍTIMOS[[#This Row],[Etapa Despacho - Llegada]]="","",MARÍTIMOS[[#This Row],[Etapa Despacho - Llegada]]),"")</f>
        <v>46225.518750000003</v>
      </c>
      <c r="AA201" s="11">
        <f>IFERROR(IF(MARÍTIMOS[[#This Row],[Etapa Despacho - Registro]]="","",MARÍTIMOS[[#This Row],[Etapa Despacho - Registro]]),"")</f>
        <v>46225.527777777781</v>
      </c>
      <c r="AB201" s="11" t="str">
        <f>IFERROR(IF(MARÍTIMOS[[#This Row],[Inspección Externa]]="","",MARÍTIMOS[[#This Row],[Inspección Externa]]),"")</f>
        <v/>
      </c>
      <c r="AC201" s="11" t="str">
        <f>IFERROR(IF(MARÍTIMOS[[#This Row],[Etapa Despacho - Inicio de Carga]]="","",MARÍTIMOS[[#This Row],[Etapa Despacho - Inicio de Carga]]),"")</f>
        <v/>
      </c>
      <c r="AD201" s="11" t="str">
        <f>IFERROR(IF(MARÍTIMOS[[#This Row],[Etapa Despacho - Mitad de Carga]]="","",MARÍTIMOS[[#This Row],[Etapa Despacho - Mitad de Carga]]),"")</f>
        <v/>
      </c>
      <c r="AE201" s="11" t="str">
        <f>IFERROR(IF(MARÍTIMOS[[#This Row],[Etapa Despacho - Fin de Carga]]="","",MARÍTIMOS[[#This Row],[Etapa Despacho - Fin de Carga]]),"")</f>
        <v/>
      </c>
      <c r="AF201" s="2" t="str">
        <f>IFERROR(IF(MARÍTIMOS[[#This Row],[Puerto de Embarque]]="","",MARÍTIMOS[[#This Row],[Puerto de Embarque]]),"")</f>
        <v>CHANCAY</v>
      </c>
      <c r="AG201" s="2" t="str">
        <f>IFERROR(IF(MARÍTIMOS[[#This Row],[Almacén de Ingreso]]="","",MARÍTIMOS[[#This Row],[Almacén de Ingreso]]),"")</f>
        <v>CSPCP</v>
      </c>
      <c r="AH201" s="11">
        <f>IFERROR(IF(MARÍTIMOS[[#This Row],[Etapa Ingreso - Cita]]="","",MARÍTIMOS[[#This Row],[Etapa Ingreso - Cita]]),"")</f>
        <v>46226.333333333336</v>
      </c>
      <c r="AI201" s="11">
        <f>IFERROR(IF(MARÍTIMOS[[#This Row],[Etapa Ingreso - Llegada]]="","",MARÍTIMOS[[#This Row],[Etapa Ingreso - Llegada]]),"")</f>
        <v>46226.342361111114</v>
      </c>
      <c r="AJ201" s="11">
        <f>IFERROR(IF(MARÍTIMOS[[#This Row],[Etapa Ingreso - Ingeso]]="","",MARÍTIMOS[[#This Row],[Etapa Ingreso - Ingeso]]),"")</f>
        <v>46226.34375</v>
      </c>
      <c r="AK201" s="11">
        <f>IFERROR(IF(MARÍTIMOS[[#This Row],[Etapa Ingreso - Atención]]="","",MARÍTIMOS[[#This Row],[Etapa Ingreso - Atención]]),"")</f>
        <v>46226.35833333333</v>
      </c>
      <c r="AL201" s="11">
        <f>IFERROR(IF(MARÍTIMOS[[#This Row],[Etapa Ingreso - Salida]]="","",MARÍTIMOS[[#This Row],[Etapa Ingreso - Salida]]),"")</f>
        <v>46226.372916666667</v>
      </c>
      <c r="AM201" s="2">
        <f>IFERROR(IF(MARÍTIMOS[[#This Row],[FCL]]="","",MARÍTIMOS[[#This Row],[FCL]]),"")</f>
        <v>1</v>
      </c>
      <c r="AN2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1" s="4" t="str" cm="1">
        <f t="array" ref="AO2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01" s="5">
        <f>IFERROR(OLDBD[[#This Row],[Llegada a packing]]-OLDBD[[#This Row],[Inicio de Ruta]],"")</f>
        <v>-0.43958333333284827</v>
      </c>
      <c r="AQ201" s="6">
        <f>IFERROR(OLDBD[[#This Row],[Inicio de Ruta]]-OLDBD[[#This Row],[Salida de almacén de retiro]],"")</f>
        <v>1.0791666666700621</v>
      </c>
      <c r="AR2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01" s="8" t="str" cm="1">
        <f t="array" ref="AS2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2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201" s="9" t="str">
        <f>IFERROR(OLDBD[[#This Row],[Ingreso Packing]]-OLDBD[[#This Row],[Registro en Packing]],"")</f>
        <v/>
      </c>
      <c r="AV201" s="9" t="str">
        <f>IFERROR(OLDBD[[#This Row],[Ingreso Packing]]-OLDBD[[#This Row],[Llegada a packing]],"")</f>
        <v/>
      </c>
      <c r="AW2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201" s="5" t="str">
        <f>IFERROR(OLDBD[[#This Row],[Llegada Almacén de Ingreso]]-OLDBD[[#This Row],[Salida Packing]],"")</f>
        <v/>
      </c>
      <c r="AY201" s="4" t="str" cm="1">
        <f t="array" ref="AY2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1" s="43" t="s">
        <v>173</v>
      </c>
      <c r="BB201" s="47" t="str">
        <f>IFERROR(IF(MARÍTIMOS[[#This Row],[Estatus]]="","",MARÍTIMOS[[#This Row],[Estatus]]),"")</f>
        <v>Confirmado</v>
      </c>
      <c r="BC201" s="43"/>
      <c r="BD201" s="46">
        <f>IFERROR(OLDBD[[#This Row],[Salida de almacén de retiro]]-OLDBD[[#This Row],[Ingreso Almacén de retiro]],"")</f>
        <v>2.5000000001455192E-2</v>
      </c>
      <c r="BE201" s="46" t="str">
        <f>IFERROR(OLDBD[[#This Row],[Fin de Carga]]-OLDBD[[#This Row],[Inicio de Carga]],"")</f>
        <v/>
      </c>
    </row>
    <row r="202" spans="1:57" customFormat="1" hidden="1">
      <c r="A202" s="1"/>
      <c r="B202" s="1">
        <f>IFERROR(IF(MARÍTIMOS[[#This Row],[PP]]="","",MARÍTIMOS[[#This Row],[PP]]),"")</f>
        <v>30</v>
      </c>
      <c r="C202" s="1" t="str">
        <f>IFERROR(IF(MARÍTIMOS[[#This Row],[Sede]]="","",MARÍTIMOS[[#This Row],[Sede]]),"")</f>
        <v>Chao</v>
      </c>
      <c r="D202" s="1" t="str">
        <f>IFERROR(IF(MARÍTIMOS[[#This Row],[Instruction]]="","",MARÍTIMOS[[#This Row],[Instruction]]),"")</f>
        <v>RH-0236</v>
      </c>
      <c r="E202" s="1"/>
      <c r="F202" s="2" t="str">
        <f>IFERROR(IF(MARÍTIMOS[[#This Row],[Transportista]]="","",MARÍTIMOS[[#This Row],[Transportista]]),"")</f>
        <v>LIP</v>
      </c>
      <c r="G202" s="2" t="str">
        <f>IFERROR(IF(MARÍTIMOS[[#This Row],[Tercero]]="","",MARÍTIMOS[[#This Row],[Tercero]]),"")</f>
        <v>NO</v>
      </c>
      <c r="H202" s="2" t="str">
        <f>IFERROR(IF(MARÍTIMOS[[#This Row],[Razón Social]]="","",MARÍTIMOS[[#This Row],[Razón Social]]),"")</f>
        <v>LOGISTICA INTERMODAL DEL PERU S.A.C.</v>
      </c>
      <c r="I202" s="2">
        <f>IFERROR(IF(MARÍTIMOS[[#This Row],[RUC]]="","",MARÍTIMOS[[#This Row],[RUC]]),"")</f>
        <v>20513040718</v>
      </c>
      <c r="J202" s="2" t="str">
        <f>IFERROR(IF(MARÍTIMOS[[#This Row],[Placa Tracto]]="","",MARÍTIMOS[[#This Row],[Placa Tracto]]),"")</f>
        <v>BFH-947</v>
      </c>
      <c r="K202" s="2" t="str">
        <f>IFERROR(IF(MARÍTIMOS[[#This Row],[Placa Carreta]]="","",MARÍTIMOS[[#This Row],[Placa Carreta]]),"")</f>
        <v>ATZ-998</v>
      </c>
      <c r="L202" s="44" t="str">
        <f>IFERROR(IF(MARÍTIMOS[[#This Row],[Conductor]]="","",MARÍTIMOS[[#This Row],[Conductor]]),"")</f>
        <v>NAVARRO VILCATOMA LUIS ENRIQUE</v>
      </c>
      <c r="M202" s="2" t="str">
        <f>IFERROR(IF(MARÍTIMOS[[#This Row],[Licencia]]="","",MARÍTIMOS[[#This Row],[Licencia]]),"")</f>
        <v>F41812149</v>
      </c>
      <c r="N202" s="2" t="str">
        <f>IFERROR(IF(MARÍTIMOS[[#This Row],[Número de Contacto]]="","",MARÍTIMOS[[#This Row],[Número de Contacto]]),"")</f>
        <v/>
      </c>
      <c r="O202" s="10">
        <f>IFERROR(IF(MARÍTIMOS[[#This Row],[Booking|AWB|CRT]]="","",MARÍTIMOS[[#This Row],[Booking|AWB|CRT]]),"")</f>
        <v>6508706620</v>
      </c>
      <c r="P202" s="2" t="str">
        <f>IFERROR(IF(MARÍTIMOS[[#This Row],[Contenedor]]="","",MARÍTIMOS[[#This Row],[Contenedor]]),"")</f>
        <v>OTPU6648331</v>
      </c>
      <c r="Q202" s="2" t="str">
        <f>IFERROR(IF(MARÍTIMOS[[#This Row],[Puerto de Retiro]]="","",MARÍTIMOS[[#This Row],[Puerto de Retiro]]),"")</f>
        <v>CHANCAY</v>
      </c>
      <c r="R202" s="2" t="str">
        <f>IFERROR(IF(MARÍTIMOS[[#This Row],[Almacén de Retiro]]="","",MARÍTIMOS[[#This Row],[Almacén de Retiro]]),"")</f>
        <v>CSPCP</v>
      </c>
      <c r="S202" s="11">
        <f>IFERROR(IF(MARÍTIMOS[[#This Row],[Etapa Retiro - Cita]]="","",MARÍTIMOS[[#This Row],[Etapa Retiro - Cita]]),"")</f>
        <v>46224.75</v>
      </c>
      <c r="T202" s="11">
        <f>IFERROR(IF(MARÍTIMOS[[#This Row],[Etapa Retiro - Llegada]]="","",MARÍTIMOS[[#This Row],[Etapa Retiro - Llegada]]),"")</f>
        <v>46224.84375</v>
      </c>
      <c r="U202" s="11">
        <f>IFERROR(IF(MARÍTIMOS[[#This Row],[Etapa Retiro - Ingreso]]="","",MARÍTIMOS[[#This Row],[Etapa Retiro - Ingreso]]),"")</f>
        <v>46224.849305555559</v>
      </c>
      <c r="V202" s="11">
        <f>IFERROR(IF(MARÍTIMOS[[#This Row],[Etapa Retiro - Atención]]="","",MARÍTIMOS[[#This Row],[Etapa Retiro - Atención]]),"")</f>
        <v>46224.878472222219</v>
      </c>
      <c r="W202" s="11">
        <f>IFERROR(IF(MARÍTIMOS[[#This Row],[Etapa Retiro - Atención]]="","",MARÍTIMOS[[#This Row],[Etapa Retiro - Atención]]),"")</f>
        <v>46224.878472222219</v>
      </c>
      <c r="X202" s="11">
        <f>IFERROR(IF(MARÍTIMOS[[#This Row],[Etapa Retiro - Inicio de Ruta]]="","",MARÍTIMOS[[#This Row],[Etapa Retiro - Inicio de Ruta]]),"")</f>
        <v>46225.958333333336</v>
      </c>
      <c r="Y202" s="11">
        <f>IFERROR(IF(MARÍTIMOS[[#This Row],[Hora de Posicionamiento]]="","",MARÍTIMOS[[#This Row],[Fecha de Carga]]+MARÍTIMOS[[#This Row],[Hora de Posicionamiento]]),"")</f>
        <v>46225.5</v>
      </c>
      <c r="Z202" s="11">
        <f>IFERROR(IF(MARÍTIMOS[[#This Row],[Etapa Despacho - Llegada]]="","",MARÍTIMOS[[#This Row],[Etapa Despacho - Llegada]]),"")</f>
        <v>46225.521527777775</v>
      </c>
      <c r="AA202" s="11">
        <f>IFERROR(IF(MARÍTIMOS[[#This Row],[Etapa Despacho - Registro]]="","",MARÍTIMOS[[#This Row],[Etapa Despacho - Registro]]),"")</f>
        <v>46225.53125</v>
      </c>
      <c r="AB202" s="11">
        <f>IFERROR(IF(MARÍTIMOS[[#This Row],[Inspección Externa]]="","",MARÍTIMOS[[#This Row],[Inspección Externa]]),"")</f>
        <v>46225.563194444447</v>
      </c>
      <c r="AC202" s="11">
        <f>IFERROR(IF(MARÍTIMOS[[#This Row],[Etapa Despacho - Inicio de Carga]]="","",MARÍTIMOS[[#This Row],[Etapa Despacho - Inicio de Carga]]),"")</f>
        <v>46225.569444444445</v>
      </c>
      <c r="AD202" s="11">
        <f>IFERROR(IF(MARÍTIMOS[[#This Row],[Etapa Despacho - Mitad de Carga]]="","",MARÍTIMOS[[#This Row],[Etapa Despacho - Mitad de Carga]]),"")</f>
        <v>46225.725694444445</v>
      </c>
      <c r="AE202" s="11">
        <f>IFERROR(IF(MARÍTIMOS[[#This Row],[Etapa Despacho - Fin de Carga]]="","",MARÍTIMOS[[#This Row],[Etapa Despacho - Fin de Carga]]),"")</f>
        <v>46225.741666666669</v>
      </c>
      <c r="AF202" s="2" t="str">
        <f>IFERROR(IF(MARÍTIMOS[[#This Row],[Puerto de Embarque]]="","",MARÍTIMOS[[#This Row],[Puerto de Embarque]]),"")</f>
        <v>CHANCAY</v>
      </c>
      <c r="AG202" s="2" t="str">
        <f>IFERROR(IF(MARÍTIMOS[[#This Row],[Almacén de Ingreso]]="","",MARÍTIMOS[[#This Row],[Almacén de Ingreso]]),"")</f>
        <v>CSPCP</v>
      </c>
      <c r="AH202" s="11">
        <f>IFERROR(IF(MARÍTIMOS[[#This Row],[Etapa Ingreso - Cita]]="","",MARÍTIMOS[[#This Row],[Etapa Ingreso - Cita]]),"")</f>
        <v>46226.333333333336</v>
      </c>
      <c r="AI202" s="11">
        <f>IFERROR(IF(MARÍTIMOS[[#This Row],[Etapa Ingreso - Llegada]]="","",MARÍTIMOS[[#This Row],[Etapa Ingreso - Llegada]]),"")</f>
        <v>46226.350694444445</v>
      </c>
      <c r="AJ202" s="11">
        <f>IFERROR(IF(MARÍTIMOS[[#This Row],[Etapa Ingreso - Ingeso]]="","",MARÍTIMOS[[#This Row],[Etapa Ingreso - Ingeso]]),"")</f>
        <v>46226.352083333331</v>
      </c>
      <c r="AK202" s="11">
        <f>IFERROR(IF(MARÍTIMOS[[#This Row],[Etapa Ingreso - Atención]]="","",MARÍTIMOS[[#This Row],[Etapa Ingreso - Atención]]),"")</f>
        <v>46226.356944444444</v>
      </c>
      <c r="AL202" s="11">
        <f>IFERROR(IF(MARÍTIMOS[[#This Row],[Etapa Ingreso - Salida]]="","",MARÍTIMOS[[#This Row],[Etapa Ingreso - Salida]]),"")</f>
        <v>46226.375694444447</v>
      </c>
      <c r="AM202" s="2">
        <f>IFERROR(IF(MARÍTIMOS[[#This Row],[FCL]]="","",MARÍTIMOS[[#This Row],[FCL]]),"")</f>
        <v>1</v>
      </c>
      <c r="AN2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2" s="4" t="str" cm="1">
        <f t="array" ref="AO2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02" s="5">
        <f>IFERROR(OLDBD[[#This Row],[Llegada a packing]]-OLDBD[[#This Row],[Inicio de Ruta]],"")</f>
        <v>-0.43680555556056788</v>
      </c>
      <c r="AQ202" s="6">
        <f>IFERROR(OLDBD[[#This Row],[Inicio de Ruta]]-OLDBD[[#This Row],[Salida de almacén de retiro]],"")</f>
        <v>1.0798611111167702</v>
      </c>
      <c r="AR2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02" s="8" t="str" cm="1">
        <f t="array" ref="AS2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2" s="9">
        <f>IFERROR(OLDBD[[#This Row],[Ingreso Packing]]-OLDBD[[#This Row],[Registro en Packing]],"")</f>
        <v>3.1944444446708076E-2</v>
      </c>
      <c r="AV202" s="9">
        <f>IFERROR(OLDBD[[#This Row],[Ingreso Packing]]-OLDBD[[#This Row],[Llegada a packing]],"")</f>
        <v>4.1666666671517305E-2</v>
      </c>
      <c r="AW2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2" s="5">
        <f>IFERROR(OLDBD[[#This Row],[Llegada Almacén de Ingreso]]-OLDBD[[#This Row],[Salida Packing]],"")</f>
        <v>0.60902777777664596</v>
      </c>
      <c r="AY202" s="4" t="str" cm="1">
        <f t="array" ref="AY2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2" s="43" t="s">
        <v>173</v>
      </c>
      <c r="BB202" s="47" t="str">
        <f>IFERROR(IF(MARÍTIMOS[[#This Row],[Estatus]]="","",MARÍTIMOS[[#This Row],[Estatus]]),"")</f>
        <v>Confirmado</v>
      </c>
      <c r="BC202" s="43"/>
      <c r="BD202" s="46">
        <f>IFERROR(OLDBD[[#This Row],[Salida de almacén de retiro]]-OLDBD[[#This Row],[Ingreso Almacén de retiro]],"")</f>
        <v>2.9166666659875773E-2</v>
      </c>
      <c r="BE202" s="46">
        <f>IFERROR(OLDBD[[#This Row],[Fin de Carga]]-OLDBD[[#This Row],[Inicio de Carga]],"")</f>
        <v>0.15625</v>
      </c>
    </row>
    <row r="203" spans="1:57" customFormat="1" hidden="1">
      <c r="A203" s="1"/>
      <c r="B203" s="1">
        <f>IFERROR(IF(MARÍTIMOS[[#This Row],[PP]]="","",MARÍTIMOS[[#This Row],[PP]]),"")</f>
        <v>30</v>
      </c>
      <c r="C203" s="1" t="str">
        <f>IFERROR(IF(MARÍTIMOS[[#This Row],[Sede]]="","",MARÍTIMOS[[#This Row],[Sede]]),"")</f>
        <v>Chao</v>
      </c>
      <c r="D203" s="1" t="str">
        <f>IFERROR(IF(MARÍTIMOS[[#This Row],[Instruction]]="","",MARÍTIMOS[[#This Row],[Instruction]]),"")</f>
        <v>RH-0237</v>
      </c>
      <c r="E203" s="1"/>
      <c r="F203" s="2" t="str">
        <f>IFERROR(IF(MARÍTIMOS[[#This Row],[Transportista]]="","",MARÍTIMOS[[#This Row],[Transportista]]),"")</f>
        <v>LIP</v>
      </c>
      <c r="G203" s="2" t="str">
        <f>IFERROR(IF(MARÍTIMOS[[#This Row],[Tercero]]="","",MARÍTIMOS[[#This Row],[Tercero]]),"")</f>
        <v>NO</v>
      </c>
      <c r="H203" s="2" t="str">
        <f>IFERROR(IF(MARÍTIMOS[[#This Row],[Razón Social]]="","",MARÍTIMOS[[#This Row],[Razón Social]]),"")</f>
        <v>LOGISTICA INTERMODAL DEL PERU S.A.C.</v>
      </c>
      <c r="I203" s="2">
        <f>IFERROR(IF(MARÍTIMOS[[#This Row],[RUC]]="","",MARÍTIMOS[[#This Row],[RUC]]),"")</f>
        <v>20513040718</v>
      </c>
      <c r="J203" s="2" t="str">
        <f>IFERROR(IF(MARÍTIMOS[[#This Row],[Placa Tracto]]="","",MARÍTIMOS[[#This Row],[Placa Tracto]]),"")</f>
        <v>BKS-916</v>
      </c>
      <c r="K203" s="2" t="str">
        <f>IFERROR(IF(MARÍTIMOS[[#This Row],[Placa Carreta]]="","",MARÍTIMOS[[#This Row],[Placa Carreta]]),"")</f>
        <v>AZS-995</v>
      </c>
      <c r="L203" s="44" t="str">
        <f>IFERROR(IF(MARÍTIMOS[[#This Row],[Conductor]]="","",MARÍTIMOS[[#This Row],[Conductor]]),"")</f>
        <v>PALOMARES LUIS ALBERTO</v>
      </c>
      <c r="M203" s="2" t="str">
        <f>IFERROR(IF(MARÍTIMOS[[#This Row],[Licencia]]="","",MARÍTIMOS[[#This Row],[Licencia]]),"")</f>
        <v>Q09051460</v>
      </c>
      <c r="N203" s="2" t="str">
        <f>IFERROR(IF(MARÍTIMOS[[#This Row],[Número de Contacto]]="","",MARÍTIMOS[[#This Row],[Número de Contacto]]),"")</f>
        <v/>
      </c>
      <c r="O203" s="10">
        <f>IFERROR(IF(MARÍTIMOS[[#This Row],[Booking|AWB|CRT]]="","",MARÍTIMOS[[#This Row],[Booking|AWB|CRT]]),"")</f>
        <v>6508707680</v>
      </c>
      <c r="P203" s="2" t="str">
        <f>IFERROR(IF(MARÍTIMOS[[#This Row],[Contenedor]]="","",MARÍTIMOS[[#This Row],[Contenedor]]),"")</f>
        <v>OERU4375025</v>
      </c>
      <c r="Q203" s="2" t="str">
        <f>IFERROR(IF(MARÍTIMOS[[#This Row],[Puerto de Retiro]]="","",MARÍTIMOS[[#This Row],[Puerto de Retiro]]),"")</f>
        <v>CHANCAY</v>
      </c>
      <c r="R203" s="2" t="str">
        <f>IFERROR(IF(MARÍTIMOS[[#This Row],[Almacén de Retiro]]="","",MARÍTIMOS[[#This Row],[Almacén de Retiro]]),"")</f>
        <v>CSPCP</v>
      </c>
      <c r="S203" s="11">
        <f>IFERROR(IF(MARÍTIMOS[[#This Row],[Etapa Retiro - Cita]]="","",MARÍTIMOS[[#This Row],[Etapa Retiro - Cita]]),"")</f>
        <v>46224.791666666664</v>
      </c>
      <c r="T203" s="11">
        <f>IFERROR(IF(MARÍTIMOS[[#This Row],[Etapa Retiro - Llegada]]="","",MARÍTIMOS[[#This Row],[Etapa Retiro - Llegada]]),"")</f>
        <v>46224.840277777781</v>
      </c>
      <c r="U203" s="11">
        <f>IFERROR(IF(MARÍTIMOS[[#This Row],[Etapa Retiro - Ingreso]]="","",MARÍTIMOS[[#This Row],[Etapa Retiro - Ingreso]]),"")</f>
        <v>46224.842361111114</v>
      </c>
      <c r="V203" s="11">
        <f>IFERROR(IF(MARÍTIMOS[[#This Row],[Etapa Retiro - Atención]]="","",MARÍTIMOS[[#This Row],[Etapa Retiro - Atención]]),"")</f>
        <v>46224.979166666664</v>
      </c>
      <c r="W203" s="11">
        <f>IFERROR(IF(MARÍTIMOS[[#This Row],[Etapa Retiro - Atención]]="","",MARÍTIMOS[[#This Row],[Etapa Retiro - Atención]]),"")</f>
        <v>46224.979166666664</v>
      </c>
      <c r="X203" s="11">
        <f>IFERROR(IF(MARÍTIMOS[[#This Row],[Etapa Retiro - Inicio de Ruta]]="","",MARÍTIMOS[[#This Row],[Etapa Retiro - Inicio de Ruta]]),"")</f>
        <v>46225.125</v>
      </c>
      <c r="Y203" s="11">
        <f>IFERROR(IF(MARÍTIMOS[[#This Row],[Hora de Posicionamiento]]="","",MARÍTIMOS[[#This Row],[Fecha de Carga]]+MARÍTIMOS[[#This Row],[Hora de Posicionamiento]]),"")</f>
        <v>46225.5</v>
      </c>
      <c r="Z203" s="11">
        <f>IFERROR(IF(MARÍTIMOS[[#This Row],[Etapa Despacho - Llegada]]="","",MARÍTIMOS[[#This Row],[Etapa Despacho - Llegada]]),"")</f>
        <v>46225.518750000003</v>
      </c>
      <c r="AA203" s="11">
        <f>IFERROR(IF(MARÍTIMOS[[#This Row],[Etapa Despacho - Registro]]="","",MARÍTIMOS[[#This Row],[Etapa Despacho - Registro]]),"")</f>
        <v>46225.527777777781</v>
      </c>
      <c r="AB203" s="11">
        <f>IFERROR(IF(MARÍTIMOS[[#This Row],[Inspección Externa]]="","",MARÍTIMOS[[#This Row],[Inspección Externa]]),"")</f>
        <v>46225.55</v>
      </c>
      <c r="AC203" s="11">
        <f>IFERROR(IF(MARÍTIMOS[[#This Row],[Etapa Despacho - Inicio de Carga]]="","",MARÍTIMOS[[#This Row],[Etapa Despacho - Inicio de Carga]]),"")</f>
        <v>46225.556944444441</v>
      </c>
      <c r="AD203" s="11">
        <f>IFERROR(IF(MARÍTIMOS[[#This Row],[Etapa Despacho - Mitad de Carga]]="","",MARÍTIMOS[[#This Row],[Etapa Despacho - Mitad de Carga]]),"")</f>
        <v>46225.6875</v>
      </c>
      <c r="AE203" s="11">
        <f>IFERROR(IF(MARÍTIMOS[[#This Row],[Etapa Despacho - Fin de Carga]]="","",MARÍTIMOS[[#This Row],[Etapa Despacho - Fin de Carga]]),"")</f>
        <v>46225.702777777777</v>
      </c>
      <c r="AF203" s="2" t="str">
        <f>IFERROR(IF(MARÍTIMOS[[#This Row],[Puerto de Embarque]]="","",MARÍTIMOS[[#This Row],[Puerto de Embarque]]),"")</f>
        <v>CHANCAY</v>
      </c>
      <c r="AG203" s="2" t="str">
        <f>IFERROR(IF(MARÍTIMOS[[#This Row],[Almacén de Ingreso]]="","",MARÍTIMOS[[#This Row],[Almacén de Ingreso]]),"")</f>
        <v>CSPCP</v>
      </c>
      <c r="AH203" s="11">
        <f>IFERROR(IF(MARÍTIMOS[[#This Row],[Etapa Ingreso - Cita]]="","",MARÍTIMOS[[#This Row],[Etapa Ingreso - Cita]]),"")</f>
        <v>46226.333333333336</v>
      </c>
      <c r="AI203" s="11">
        <f>IFERROR(IF(MARÍTIMOS[[#This Row],[Etapa Ingreso - Llegada]]="","",MARÍTIMOS[[#This Row],[Etapa Ingreso - Llegada]]),"")</f>
        <v>46226.342361111114</v>
      </c>
      <c r="AJ203" s="11">
        <f>IFERROR(IF(MARÍTIMOS[[#This Row],[Etapa Ingreso - Ingeso]]="","",MARÍTIMOS[[#This Row],[Etapa Ingreso - Ingeso]]),"")</f>
        <v>46226.34375</v>
      </c>
      <c r="AK203" s="11">
        <f>IFERROR(IF(MARÍTIMOS[[#This Row],[Etapa Ingreso - Atención]]="","",MARÍTIMOS[[#This Row],[Etapa Ingreso - Atención]]),"")</f>
        <v>46226.354861111111</v>
      </c>
      <c r="AL203" s="11">
        <f>IFERROR(IF(MARÍTIMOS[[#This Row],[Etapa Ingreso - Salida]]="","",MARÍTIMOS[[#This Row],[Etapa Ingreso - Salida]]),"")</f>
        <v>46226.370138888888</v>
      </c>
      <c r="AM203" s="2">
        <f>IFERROR(IF(MARÍTIMOS[[#This Row],[FCL]]="","",MARÍTIMOS[[#This Row],[FCL]]),"")</f>
        <v>1</v>
      </c>
      <c r="AN2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3" s="4" t="str" cm="1">
        <f t="array" ref="AO2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203" s="5">
        <f>IFERROR(OLDBD[[#This Row],[Llegada a packing]]-OLDBD[[#This Row],[Inicio de Ruta]],"")</f>
        <v>0.39375000000291038</v>
      </c>
      <c r="AQ203" s="6">
        <f>IFERROR(OLDBD[[#This Row],[Inicio de Ruta]]-OLDBD[[#This Row],[Salida de almacén de retiro]],"")</f>
        <v>0.14583333333575865</v>
      </c>
      <c r="AR2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03" s="8" t="str" cm="1">
        <f t="array" ref="AS2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3" s="9">
        <f>IFERROR(OLDBD[[#This Row],[Ingreso Packing]]-OLDBD[[#This Row],[Registro en Packing]],"")</f>
        <v>2.2222222221898846E-2</v>
      </c>
      <c r="AV203" s="9">
        <f>IFERROR(OLDBD[[#This Row],[Ingreso Packing]]-OLDBD[[#This Row],[Llegada a packing]],"")</f>
        <v>3.125E-2</v>
      </c>
      <c r="AW2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3" s="5">
        <f>IFERROR(OLDBD[[#This Row],[Llegada Almacén de Ingreso]]-OLDBD[[#This Row],[Salida Packing]],"")</f>
        <v>0.63958333333721384</v>
      </c>
      <c r="AY203" s="4" t="str" cm="1">
        <f t="array" ref="AY2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3" s="43" t="s">
        <v>173</v>
      </c>
      <c r="BB203" s="47" t="str">
        <f>IFERROR(IF(MARÍTIMOS[[#This Row],[Estatus]]="","",MARÍTIMOS[[#This Row],[Estatus]]),"")</f>
        <v>Confirmado</v>
      </c>
      <c r="BC203" s="43"/>
      <c r="BD203" s="46">
        <f>IFERROR(OLDBD[[#This Row],[Salida de almacén de retiro]]-OLDBD[[#This Row],[Ingreso Almacén de retiro]],"")</f>
        <v>0.13680555555038154</v>
      </c>
      <c r="BE203" s="46">
        <f>IFERROR(OLDBD[[#This Row],[Fin de Carga]]-OLDBD[[#This Row],[Inicio de Carga]],"")</f>
        <v>0.13055555555911269</v>
      </c>
    </row>
    <row r="204" spans="1:57" customFormat="1" hidden="1">
      <c r="A204" s="1"/>
      <c r="B204" s="1">
        <f>IFERROR(IF(MARÍTIMOS[[#This Row],[PP]]="","",MARÍTIMOS[[#This Row],[PP]]),"")</f>
        <v>30</v>
      </c>
      <c r="C204" s="1" t="str">
        <f>IFERROR(IF(MARÍTIMOS[[#This Row],[Sede]]="","",MARÍTIMOS[[#This Row],[Sede]]),"")</f>
        <v>Chao</v>
      </c>
      <c r="D204" s="1" t="str">
        <f>IFERROR(IF(MARÍTIMOS[[#This Row],[Instruction]]="","",MARÍTIMOS[[#This Row],[Instruction]]),"")</f>
        <v>RH-0248</v>
      </c>
      <c r="E204" s="1"/>
      <c r="F204" s="2" t="str">
        <f>IFERROR(IF(MARÍTIMOS[[#This Row],[Transportista]]="","",MARÍTIMOS[[#This Row],[Transportista]]),"")</f>
        <v>LIP</v>
      </c>
      <c r="G204" s="2" t="str">
        <f>IFERROR(IF(MARÍTIMOS[[#This Row],[Tercero]]="","",MARÍTIMOS[[#This Row],[Tercero]]),"")</f>
        <v>NO</v>
      </c>
      <c r="H204" s="2" t="str">
        <f>IFERROR(IF(MARÍTIMOS[[#This Row],[Razón Social]]="","",MARÍTIMOS[[#This Row],[Razón Social]]),"")</f>
        <v>LOGISTICA INTERMODAL DEL PERU S.A.C.</v>
      </c>
      <c r="I204" s="2">
        <f>IFERROR(IF(MARÍTIMOS[[#This Row],[RUC]]="","",MARÍTIMOS[[#This Row],[RUC]]),"")</f>
        <v>20513040718</v>
      </c>
      <c r="J204" s="2" t="str">
        <f>IFERROR(IF(MARÍTIMOS[[#This Row],[Placa Tracto]]="","",MARÍTIMOS[[#This Row],[Placa Tracto]]),"")</f>
        <v>BKI-940</v>
      </c>
      <c r="K204" s="2" t="str">
        <f>IFERROR(IF(MARÍTIMOS[[#This Row],[Placa Carreta]]="","",MARÍTIMOS[[#This Row],[Placa Carreta]]),"")</f>
        <v>AXN-997</v>
      </c>
      <c r="L204" s="44" t="str">
        <f>IFERROR(IF(MARÍTIMOS[[#This Row],[Conductor]]="","",MARÍTIMOS[[#This Row],[Conductor]]),"")</f>
        <v>MALDONADO SANTARIA WILDER</v>
      </c>
      <c r="M204" s="2" t="str">
        <f>IFERROR(IF(MARÍTIMOS[[#This Row],[Licencia]]="","",MARÍTIMOS[[#This Row],[Licencia]]),"")</f>
        <v>E41180232</v>
      </c>
      <c r="N204" s="2" t="str">
        <f>IFERROR(IF(MARÍTIMOS[[#This Row],[Número de Contacto]]="","",MARÍTIMOS[[#This Row],[Número de Contacto]]),"")</f>
        <v/>
      </c>
      <c r="O204" s="10">
        <f>IFERROR(IF(MARÍTIMOS[[#This Row],[Booking|AWB|CRT]]="","",MARÍTIMOS[[#This Row],[Booking|AWB|CRT]]),"")</f>
        <v>751600040984</v>
      </c>
      <c r="P204" s="2" t="str">
        <f>IFERROR(IF(MARÍTIMOS[[#This Row],[Contenedor]]="","",MARÍTIMOS[[#This Row],[Contenedor]]),"")</f>
        <v>EMCU5643687</v>
      </c>
      <c r="Q204" s="2" t="str">
        <f>IFERROR(IF(MARÍTIMOS[[#This Row],[Puerto de Retiro]]="","",MARÍTIMOS[[#This Row],[Puerto de Retiro]]),"")</f>
        <v>CALLAO</v>
      </c>
      <c r="R204" s="2" t="str">
        <f>IFERROR(IF(MARÍTIMOS[[#This Row],[Almacén de Retiro]]="","",MARÍTIMOS[[#This Row],[Almacén de Retiro]]),"")</f>
        <v>IMUPESA</v>
      </c>
      <c r="S204" s="11">
        <f>IFERROR(IF(MARÍTIMOS[[#This Row],[Etapa Retiro - Cita]]="","",MARÍTIMOS[[#This Row],[Etapa Retiro - Cita]]),"")</f>
        <v>46229.666666666664</v>
      </c>
      <c r="T204" s="11">
        <f>IFERROR(IF(MARÍTIMOS[[#This Row],[Etapa Retiro - Llegada]]="","",MARÍTIMOS[[#This Row],[Etapa Retiro - Llegada]]),"")</f>
        <v>46229.621527777781</v>
      </c>
      <c r="U204" s="11">
        <f>IFERROR(IF(MARÍTIMOS[[#This Row],[Etapa Retiro - Ingreso]]="","",MARÍTIMOS[[#This Row],[Etapa Retiro - Ingreso]]),"")</f>
        <v>46229.62222222222</v>
      </c>
      <c r="V204" s="11">
        <f>IFERROR(IF(MARÍTIMOS[[#This Row],[Etapa Retiro - Atención]]="","",MARÍTIMOS[[#This Row],[Etapa Retiro - Atención]]),"")</f>
        <v>46229.631944444445</v>
      </c>
      <c r="W204" s="11">
        <f>IFERROR(IF(MARÍTIMOS[[#This Row],[Etapa Retiro - Atención]]="","",MARÍTIMOS[[#This Row],[Etapa Retiro - Atención]]),"")</f>
        <v>46229.631944444445</v>
      </c>
      <c r="X204" s="11">
        <f>IFERROR(IF(MARÍTIMOS[[#This Row],[Etapa Retiro - Inicio de Ruta]]="","",MARÍTIMOS[[#This Row],[Etapa Retiro - Inicio de Ruta]]),"")</f>
        <v>46229.708333333336</v>
      </c>
      <c r="Y204" s="11">
        <f>IFERROR(IF(MARÍTIMOS[[#This Row],[Hora de Posicionamiento]]="","",MARÍTIMOS[[#This Row],[Fecha de Carga]]+MARÍTIMOS[[#This Row],[Hora de Posicionamiento]]),"")</f>
        <v>46230.5</v>
      </c>
      <c r="Z204" s="11">
        <f>IFERROR(IF(MARÍTIMOS[[#This Row],[Etapa Despacho - Llegada]]="","",MARÍTIMOS[[#This Row],[Etapa Despacho - Llegada]]),"")</f>
        <v>46230.59652777778</v>
      </c>
      <c r="AA204" s="11">
        <f>IFERROR(IF(MARÍTIMOS[[#This Row],[Etapa Despacho - Registro]]="","",MARÍTIMOS[[#This Row],[Etapa Despacho - Registro]]),"")</f>
        <v>46230.618055555555</v>
      </c>
      <c r="AB204" s="11">
        <f>IFERROR(IF(MARÍTIMOS[[#This Row],[Inspección Externa]]="","",MARÍTIMOS[[#This Row],[Inspección Externa]]),"")</f>
        <v>46230.633333333331</v>
      </c>
      <c r="AC204" s="11">
        <f>IFERROR(IF(MARÍTIMOS[[#This Row],[Etapa Despacho - Inicio de Carga]]="","",MARÍTIMOS[[#This Row],[Etapa Despacho - Inicio de Carga]]),"")</f>
        <v>46230.64166666667</v>
      </c>
      <c r="AD204" s="11">
        <f>IFERROR(IF(MARÍTIMOS[[#This Row],[Etapa Despacho - Mitad de Carga]]="","",MARÍTIMOS[[#This Row],[Etapa Despacho - Mitad de Carga]]),"")</f>
        <v>46230.737500000003</v>
      </c>
      <c r="AE204" s="11">
        <f>IFERROR(IF(MARÍTIMOS[[#This Row],[Etapa Despacho - Fin de Carga]]="","",MARÍTIMOS[[#This Row],[Etapa Despacho - Fin de Carga]]),"")</f>
        <v>46230.751388888886</v>
      </c>
      <c r="AF204" s="2" t="str">
        <f>IFERROR(IF(MARÍTIMOS[[#This Row],[Puerto de Embarque]]="","",MARÍTIMOS[[#This Row],[Puerto de Embarque]]),"")</f>
        <v>CALLAO</v>
      </c>
      <c r="AG204" s="2" t="str">
        <f>IFERROR(IF(MARÍTIMOS[[#This Row],[Almacén de Ingreso]]="","",MARÍTIMOS[[#This Row],[Almacén de Ingreso]]),"")</f>
        <v>DPW</v>
      </c>
      <c r="AH204" s="11">
        <f>IFERROR(IF(MARÍTIMOS[[#This Row],[Etapa Ingreso - Cita]]="","",MARÍTIMOS[[#This Row],[Etapa Ingreso - Cita]]),"")</f>
        <v>46231.333333333336</v>
      </c>
      <c r="AI204" s="11">
        <f>IFERROR(IF(MARÍTIMOS[[#This Row],[Etapa Ingreso - Llegada]]="","",MARÍTIMOS[[#This Row],[Etapa Ingreso - Llegada]]),"")</f>
        <v>46231.34375</v>
      </c>
      <c r="AJ204" s="11">
        <f>IFERROR(IF(MARÍTIMOS[[#This Row],[Etapa Ingreso - Ingeso]]="","",MARÍTIMOS[[#This Row],[Etapa Ingreso - Ingeso]]),"")</f>
        <v>46231.379166666666</v>
      </c>
      <c r="AK204" s="11">
        <f>IFERROR(IF(MARÍTIMOS[[#This Row],[Etapa Ingreso - Atención]]="","",MARÍTIMOS[[#This Row],[Etapa Ingreso - Atención]]),"")</f>
        <v>46231.402083333334</v>
      </c>
      <c r="AL204" s="11">
        <f>IFERROR(IF(MARÍTIMOS[[#This Row],[Etapa Ingreso - Salida]]="","",MARÍTIMOS[[#This Row],[Etapa Ingreso - Salida]]),"")</f>
        <v>46231.417361111111</v>
      </c>
      <c r="AM204" s="2">
        <f>IFERROR(IF(MARÍTIMOS[[#This Row],[FCL]]="","",MARÍTIMOS[[#This Row],[FCL]]),"")</f>
        <v>1</v>
      </c>
      <c r="AN2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204" s="4" t="str" cm="1">
        <f t="array" ref="AO2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04" s="5">
        <f>IFERROR(OLDBD[[#This Row],[Llegada a packing]]-OLDBD[[#This Row],[Inicio de Ruta]],"")</f>
        <v>0.88819444444379769</v>
      </c>
      <c r="AQ204" s="6">
        <f>IFERROR(OLDBD[[#This Row],[Inicio de Ruta]]-OLDBD[[#This Row],[Salida de almacén de retiro]],"")</f>
        <v>7.6388888890505768E-2</v>
      </c>
      <c r="AR2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04" s="8" t="str" cm="1">
        <f t="array" ref="AS2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4" s="9">
        <f>IFERROR(OLDBD[[#This Row],[Ingreso Packing]]-OLDBD[[#This Row],[Registro en Packing]],"")</f>
        <v>1.5277777776645962E-2</v>
      </c>
      <c r="AV204" s="9">
        <f>IFERROR(OLDBD[[#This Row],[Ingreso Packing]]-OLDBD[[#This Row],[Llegada a packing]],"")</f>
        <v>3.6805555551836733E-2</v>
      </c>
      <c r="AW2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4" s="5">
        <f>IFERROR(OLDBD[[#This Row],[Llegada Almacén de Ingreso]]-OLDBD[[#This Row],[Salida Packing]],"")</f>
        <v>0.59236111111385981</v>
      </c>
      <c r="AY204" s="4" t="str" cm="1">
        <f t="array" ref="AY2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4" s="43" t="s">
        <v>173</v>
      </c>
      <c r="BB204" s="47" t="str">
        <f>IFERROR(IF(MARÍTIMOS[[#This Row],[Estatus]]="","",MARÍTIMOS[[#This Row],[Estatus]]),"")</f>
        <v>Confirmado</v>
      </c>
      <c r="BC204" s="43"/>
      <c r="BD204" s="46">
        <f>IFERROR(OLDBD[[#This Row],[Salida de almacén de retiro]]-OLDBD[[#This Row],[Ingreso Almacén de retiro]],"")</f>
        <v>9.7222222248092294E-3</v>
      </c>
      <c r="BE204" s="46">
        <f>IFERROR(OLDBD[[#This Row],[Fin de Carga]]-OLDBD[[#This Row],[Inicio de Carga]],"")</f>
        <v>9.5833333332848269E-2</v>
      </c>
    </row>
    <row r="205" spans="1:57" customFormat="1" hidden="1">
      <c r="A205" s="1"/>
      <c r="B205" s="1">
        <f>IFERROR(IF(MARÍTIMOS[[#This Row],[PP]]="","",MARÍTIMOS[[#This Row],[PP]]),"")</f>
        <v>30</v>
      </c>
      <c r="C205" s="1" t="str">
        <f>IFERROR(IF(MARÍTIMOS[[#This Row],[Sede]]="","",MARÍTIMOS[[#This Row],[Sede]]),"")</f>
        <v>Chao</v>
      </c>
      <c r="D205" s="1" t="str">
        <f>IFERROR(IF(MARÍTIMOS[[#This Row],[Instruction]]="","",MARÍTIMOS[[#This Row],[Instruction]]),"")</f>
        <v>RH-0250</v>
      </c>
      <c r="E205" s="1"/>
      <c r="F205" s="2" t="str">
        <f>IFERROR(IF(MARÍTIMOS[[#This Row],[Transportista]]="","",MARÍTIMOS[[#This Row],[Transportista]]),"")</f>
        <v>LIP</v>
      </c>
      <c r="G205" s="2" t="str">
        <f>IFERROR(IF(MARÍTIMOS[[#This Row],[Tercero]]="","",MARÍTIMOS[[#This Row],[Tercero]]),"")</f>
        <v>SI</v>
      </c>
      <c r="H205" s="2" t="str">
        <f>IFERROR(IF(MARÍTIMOS[[#This Row],[Razón Social]]="","",MARÍTIMOS[[#This Row],[Razón Social]]),"")</f>
        <v>RGM LOGISTICS TRANSPORT S.A.C.</v>
      </c>
      <c r="I205" s="2">
        <f>IFERROR(IF(MARÍTIMOS[[#This Row],[RUC]]="","",MARÍTIMOS[[#This Row],[RUC]]),"")</f>
        <v>20607131610</v>
      </c>
      <c r="J205" s="2" t="str">
        <f>IFERROR(IF(MARÍTIMOS[[#This Row],[Placa Tracto]]="","",MARÍTIMOS[[#This Row],[Placa Tracto]]),"")</f>
        <v>BPJ-915</v>
      </c>
      <c r="K205" s="2" t="str">
        <f>IFERROR(IF(MARÍTIMOS[[#This Row],[Placa Carreta]]="","",MARÍTIMOS[[#This Row],[Placa Carreta]]),"")</f>
        <v>BBG-981</v>
      </c>
      <c r="L205" s="44" t="str">
        <f>IFERROR(IF(MARÍTIMOS[[#This Row],[Conductor]]="","",MARÍTIMOS[[#This Row],[Conductor]]),"")</f>
        <v>AQUISE MEDRANO WILBER</v>
      </c>
      <c r="M205" s="2" t="str">
        <f>IFERROR(IF(MARÍTIMOS[[#This Row],[Licencia]]="","",MARÍTIMOS[[#This Row],[Licencia]]),"")</f>
        <v>Q42539956</v>
      </c>
      <c r="N205" s="2" t="str">
        <f>IFERROR(IF(MARÍTIMOS[[#This Row],[Número de Contacto]]="","",MARÍTIMOS[[#This Row],[Número de Contacto]]),"")</f>
        <v/>
      </c>
      <c r="O205" s="10">
        <f>IFERROR(IF(MARÍTIMOS[[#This Row],[Booking|AWB|CRT]]="","",MARÍTIMOS[[#This Row],[Booking|AWB|CRT]]),"")</f>
        <v>6508710280</v>
      </c>
      <c r="P205" s="2" t="str">
        <f>IFERROR(IF(MARÍTIMOS[[#This Row],[Contenedor]]="","",MARÍTIMOS[[#This Row],[Contenedor]]),"")</f>
        <v>FBIU5614458</v>
      </c>
      <c r="Q205" s="2" t="str">
        <f>IFERROR(IF(MARÍTIMOS[[#This Row],[Puerto de Retiro]]="","",MARÍTIMOS[[#This Row],[Puerto de Retiro]]),"")</f>
        <v>CHANCAY</v>
      </c>
      <c r="R205" s="2" t="str">
        <f>IFERROR(IF(MARÍTIMOS[[#This Row],[Almacén de Retiro]]="","",MARÍTIMOS[[#This Row],[Almacén de Retiro]]),"")</f>
        <v>CSPCP</v>
      </c>
      <c r="S205" s="11">
        <f>IFERROR(IF(MARÍTIMOS[[#This Row],[Etapa Retiro - Cita]]="","",MARÍTIMOS[[#This Row],[Etapa Retiro - Cita]]),"")</f>
        <v>46229.875</v>
      </c>
      <c r="T205" s="11">
        <f>IFERROR(IF(MARÍTIMOS[[#This Row],[Etapa Retiro - Llegada]]="","",MARÍTIMOS[[#This Row],[Etapa Retiro - Llegada]]),"")</f>
        <v>46229.803472222222</v>
      </c>
      <c r="U205" s="11">
        <f>IFERROR(IF(MARÍTIMOS[[#This Row],[Etapa Retiro - Ingreso]]="","",MARÍTIMOS[[#This Row],[Etapa Retiro - Ingreso]]),"")</f>
        <v>46229.842361111114</v>
      </c>
      <c r="V205" s="11">
        <f>IFERROR(IF(MARÍTIMOS[[#This Row],[Etapa Retiro - Atención]]="","",MARÍTIMOS[[#This Row],[Etapa Retiro - Atención]]),"")</f>
        <v>46229.847916666666</v>
      </c>
      <c r="W205" s="11">
        <f>IFERROR(IF(MARÍTIMOS[[#This Row],[Etapa Retiro - Atención]]="","",MARÍTIMOS[[#This Row],[Etapa Retiro - Atención]]),"")</f>
        <v>46229.847916666666</v>
      </c>
      <c r="X205" s="11">
        <f>IFERROR(IF(MARÍTIMOS[[#This Row],[Etapa Retiro - Inicio de Ruta]]="","",MARÍTIMOS[[#This Row],[Etapa Retiro - Inicio de Ruta]]),"")</f>
        <v>46229.958333333336</v>
      </c>
      <c r="Y205" s="11">
        <f>IFERROR(IF(MARÍTIMOS[[#This Row],[Hora de Posicionamiento]]="","",MARÍTIMOS[[#This Row],[Fecha de Carga]]+MARÍTIMOS[[#This Row],[Hora de Posicionamiento]]),"")</f>
        <v>46230.5</v>
      </c>
      <c r="Z205" s="11">
        <f>IFERROR(IF(MARÍTIMOS[[#This Row],[Etapa Despacho - Llegada]]="","",MARÍTIMOS[[#This Row],[Etapa Despacho - Llegada]]),"")</f>
        <v>46230.515972222223</v>
      </c>
      <c r="AA205" s="11">
        <f>IFERROR(IF(MARÍTIMOS[[#This Row],[Etapa Despacho - Registro]]="","",MARÍTIMOS[[#This Row],[Etapa Despacho - Registro]]),"")</f>
        <v>46230.520833333336</v>
      </c>
      <c r="AB205" s="11">
        <f>IFERROR(IF(MARÍTIMOS[[#This Row],[Inspección Externa]]="","",MARÍTIMOS[[#This Row],[Inspección Externa]]),"")</f>
        <v>46230.530555555553</v>
      </c>
      <c r="AC205" s="11">
        <f>IFERROR(IF(MARÍTIMOS[[#This Row],[Etapa Despacho - Inicio de Carga]]="","",MARÍTIMOS[[#This Row],[Etapa Despacho - Inicio de Carga]]),"")</f>
        <v>46230.536111111112</v>
      </c>
      <c r="AD205" s="11">
        <f>IFERROR(IF(MARÍTIMOS[[#This Row],[Etapa Despacho - Mitad de Carga]]="","",MARÍTIMOS[[#This Row],[Etapa Despacho - Mitad de Carga]]),"")</f>
        <v>46230.668749999997</v>
      </c>
      <c r="AE205" s="11">
        <f>IFERROR(IF(MARÍTIMOS[[#This Row],[Etapa Despacho - Fin de Carga]]="","",MARÍTIMOS[[#This Row],[Etapa Despacho - Fin de Carga]]),"")</f>
        <v>46230.682638888888</v>
      </c>
      <c r="AF205" s="2" t="str">
        <f>IFERROR(IF(MARÍTIMOS[[#This Row],[Puerto de Embarque]]="","",MARÍTIMOS[[#This Row],[Puerto de Embarque]]),"")</f>
        <v>CHANCAY</v>
      </c>
      <c r="AG205" s="2" t="str">
        <f>IFERROR(IF(MARÍTIMOS[[#This Row],[Almacén de Ingreso]]="","",MARÍTIMOS[[#This Row],[Almacén de Ingreso]]),"")</f>
        <v>CSPCP</v>
      </c>
      <c r="AH205" s="11">
        <f>IFERROR(IF(MARÍTIMOS[[#This Row],[Etapa Ingreso - Cita]]="","",MARÍTIMOS[[#This Row],[Etapa Ingreso - Cita]]),"")</f>
        <v>46231.166666666664</v>
      </c>
      <c r="AI205" s="11">
        <f>IFERROR(IF(MARÍTIMOS[[#This Row],[Etapa Ingreso - Llegada]]="","",MARÍTIMOS[[#This Row],[Etapa Ingreso - Llegada]]),"")</f>
        <v>46231.197222222225</v>
      </c>
      <c r="AJ205" s="11">
        <f>IFERROR(IF(MARÍTIMOS[[#This Row],[Etapa Ingreso - Ingeso]]="","",MARÍTIMOS[[#This Row],[Etapa Ingreso - Ingeso]]),"")</f>
        <v>46231.268750000003</v>
      </c>
      <c r="AK205" s="11">
        <f>IFERROR(IF(MARÍTIMOS[[#This Row],[Etapa Ingreso - Atención]]="","",MARÍTIMOS[[#This Row],[Etapa Ingreso - Atención]]),"")</f>
        <v>46231.379861111112</v>
      </c>
      <c r="AL205" s="11">
        <f>IFERROR(IF(MARÍTIMOS[[#This Row],[Etapa Ingreso - Salida]]="","",MARÍTIMOS[[#This Row],[Etapa Ingreso - Salida]]),"")</f>
        <v>46231.39166666667</v>
      </c>
      <c r="AM205" s="2">
        <f>IFERROR(IF(MARÍTIMOS[[#This Row],[FCL]]="","",MARÍTIMOS[[#This Row],[FCL]]),"")</f>
        <v>1</v>
      </c>
      <c r="AN2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205" s="4" t="str" cm="1">
        <f t="array" ref="AO2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05" s="5">
        <f>IFERROR(OLDBD[[#This Row],[Llegada a packing]]-OLDBD[[#This Row],[Inicio de Ruta]],"")</f>
        <v>0.55763888888759539</v>
      </c>
      <c r="AQ205" s="6">
        <f>IFERROR(OLDBD[[#This Row],[Inicio de Ruta]]-OLDBD[[#This Row],[Salida de almacén de retiro]],"")</f>
        <v>0.11041666667006211</v>
      </c>
      <c r="AR2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05" s="8" t="str" cm="1">
        <f t="array" ref="AS2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5" s="9">
        <f>IFERROR(OLDBD[[#This Row],[Ingreso Packing]]-OLDBD[[#This Row],[Registro en Packing]],"")</f>
        <v>9.7222222175332718E-3</v>
      </c>
      <c r="AV205" s="9">
        <f>IFERROR(OLDBD[[#This Row],[Ingreso Packing]]-OLDBD[[#This Row],[Llegada a packing]],"")</f>
        <v>1.4583333329937886E-2</v>
      </c>
      <c r="AW2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5" s="5">
        <f>IFERROR(OLDBD[[#This Row],[Llegada Almacén de Ingreso]]-OLDBD[[#This Row],[Salida Packing]],"")</f>
        <v>0.51458333333721384</v>
      </c>
      <c r="AY205" s="4" t="str" cm="1">
        <f t="array" ref="AY2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2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5" s="43" t="s">
        <v>173</v>
      </c>
      <c r="BB205" s="47" t="str">
        <f>IFERROR(IF(MARÍTIMOS[[#This Row],[Estatus]]="","",MARÍTIMOS[[#This Row],[Estatus]]),"")</f>
        <v>Confirmado</v>
      </c>
      <c r="BC205" s="43"/>
      <c r="BD205" s="46">
        <f>IFERROR(OLDBD[[#This Row],[Salida de almacén de retiro]]-OLDBD[[#This Row],[Ingreso Almacén de retiro]],"")</f>
        <v>5.5555555518367328E-3</v>
      </c>
      <c r="BE205" s="46">
        <f>IFERROR(OLDBD[[#This Row],[Fin de Carga]]-OLDBD[[#This Row],[Inicio de Carga]],"")</f>
        <v>0.132638888884685</v>
      </c>
    </row>
    <row r="206" spans="1:57" customFormat="1" hidden="1">
      <c r="A206" s="1"/>
      <c r="B206" s="1">
        <f>IFERROR(IF(MARÍTIMOS[[#This Row],[PP]]="","",MARÍTIMOS[[#This Row],[PP]]),"")</f>
        <v>30</v>
      </c>
      <c r="C206" s="1" t="str">
        <f>IFERROR(IF(MARÍTIMOS[[#This Row],[Sede]]="","",MARÍTIMOS[[#This Row],[Sede]]),"")</f>
        <v>Chao</v>
      </c>
      <c r="D206" s="1" t="str">
        <f>IFERROR(IF(MARÍTIMOS[[#This Row],[Instruction]]="","",MARÍTIMOS[[#This Row],[Instruction]]),"")</f>
        <v>RH-0275</v>
      </c>
      <c r="E206" s="1"/>
      <c r="F206" s="2" t="str">
        <f>IFERROR(IF(MARÍTIMOS[[#This Row],[Transportista]]="","",MARÍTIMOS[[#This Row],[Transportista]]),"")</f>
        <v>LIP</v>
      </c>
      <c r="G206" s="2" t="str">
        <f>IFERROR(IF(MARÍTIMOS[[#This Row],[Tercero]]="","",MARÍTIMOS[[#This Row],[Tercero]]),"")</f>
        <v>NO</v>
      </c>
      <c r="H206" s="2" t="str">
        <f>IFERROR(IF(MARÍTIMOS[[#This Row],[Razón Social]]="","",MARÍTIMOS[[#This Row],[Razón Social]]),"")</f>
        <v>LOGISTICA INTERMODAL DEL PERU S.A.C.</v>
      </c>
      <c r="I206" s="2">
        <f>IFERROR(IF(MARÍTIMOS[[#This Row],[RUC]]="","",MARÍTIMOS[[#This Row],[RUC]]),"")</f>
        <v>20513040718</v>
      </c>
      <c r="J206" s="2" t="str">
        <f>IFERROR(IF(MARÍTIMOS[[#This Row],[Placa Tracto]]="","",MARÍTIMOS[[#This Row],[Placa Tracto]]),"")</f>
        <v>BCA-717</v>
      </c>
      <c r="K206" s="2" t="str">
        <f>IFERROR(IF(MARÍTIMOS[[#This Row],[Placa Carreta]]="","",MARÍTIMOS[[#This Row],[Placa Carreta]]),"")</f>
        <v>ANS-995</v>
      </c>
      <c r="L206" s="44" t="str">
        <f>IFERROR(IF(MARÍTIMOS[[#This Row],[Conductor]]="","",MARÍTIMOS[[#This Row],[Conductor]]),"")</f>
        <v>CARBAJAL PALOMINO YOVANNI</v>
      </c>
      <c r="M206" s="2" t="str">
        <f>IFERROR(IF(MARÍTIMOS[[#This Row],[Licencia]]="","",MARÍTIMOS[[#This Row],[Licencia]]),"")</f>
        <v>Q10429095</v>
      </c>
      <c r="N206" s="2" t="str">
        <f>IFERROR(IF(MARÍTIMOS[[#This Row],[Número de Contacto]]="","",MARÍTIMOS[[#This Row],[Número de Contacto]]),"")</f>
        <v/>
      </c>
      <c r="O206" s="10">
        <f>IFERROR(IF(MARÍTIMOS[[#This Row],[Booking|AWB|CRT]]="","",MARÍTIMOS[[#This Row],[Booking|AWB|CRT]]),"")</f>
        <v>6508866570</v>
      </c>
      <c r="P206" s="2" t="str">
        <f>IFERROR(IF(MARÍTIMOS[[#This Row],[Contenedor]]="","",MARÍTIMOS[[#This Row],[Contenedor]]),"")</f>
        <v>OERU4806082</v>
      </c>
      <c r="Q206" s="2" t="str">
        <f>IFERROR(IF(MARÍTIMOS[[#This Row],[Puerto de Retiro]]="","",MARÍTIMOS[[#This Row],[Puerto de Retiro]]),"")</f>
        <v>CHANCAY</v>
      </c>
      <c r="R206" s="2" t="str">
        <f>IFERROR(IF(MARÍTIMOS[[#This Row],[Almacén de Retiro]]="","",MARÍTIMOS[[#This Row],[Almacén de Retiro]]),"")</f>
        <v>CSPCP</v>
      </c>
      <c r="S206" s="11">
        <f>IFERROR(IF(MARÍTIMOS[[#This Row],[Etapa Retiro - Cita]]="","",MARÍTIMOS[[#This Row],[Etapa Retiro - Cita]]),"")</f>
        <v>46224.833333333336</v>
      </c>
      <c r="T206" s="11">
        <f>IFERROR(IF(MARÍTIMOS[[#This Row],[Etapa Retiro - Llegada]]="","",MARÍTIMOS[[#This Row],[Etapa Retiro - Llegada]]),"")</f>
        <v>46224.923611111109</v>
      </c>
      <c r="U206" s="11">
        <f>IFERROR(IF(MARÍTIMOS[[#This Row],[Etapa Retiro - Ingreso]]="","",MARÍTIMOS[[#This Row],[Etapa Retiro - Ingreso]]),"")</f>
        <v>46224.927083333336</v>
      </c>
      <c r="V206" s="11">
        <f>IFERROR(IF(MARÍTIMOS[[#This Row],[Etapa Retiro - Atención]]="","",MARÍTIMOS[[#This Row],[Etapa Retiro - Atención]]),"")</f>
        <v>46224.958333333336</v>
      </c>
      <c r="W206" s="11">
        <f>IFERROR(IF(MARÍTIMOS[[#This Row],[Etapa Retiro - Atención]]="","",MARÍTIMOS[[#This Row],[Etapa Retiro - Atención]]),"")</f>
        <v>46224.958333333336</v>
      </c>
      <c r="X206" s="11">
        <f>IFERROR(IF(MARÍTIMOS[[#This Row],[Etapa Retiro - Inicio de Ruta]]="","",MARÍTIMOS[[#This Row],[Etapa Retiro - Inicio de Ruta]]),"")</f>
        <v>46225.0625</v>
      </c>
      <c r="Y206" s="11">
        <f>IFERROR(IF(MARÍTIMOS[[#This Row],[Hora de Posicionamiento]]="","",MARÍTIMOS[[#This Row],[Fecha de Carga]]+MARÍTIMOS[[#This Row],[Hora de Posicionamiento]]),"")</f>
        <v>46225.583333333336</v>
      </c>
      <c r="Z206" s="11">
        <f>IFERROR(IF(MARÍTIMOS[[#This Row],[Etapa Despacho - Llegada]]="","",MARÍTIMOS[[#This Row],[Etapa Despacho - Llegada]]),"")</f>
        <v>46225.60833333333</v>
      </c>
      <c r="AA206" s="11">
        <f>IFERROR(IF(MARÍTIMOS[[#This Row],[Etapa Despacho - Registro]]="","",MARÍTIMOS[[#This Row],[Etapa Despacho - Registro]]),"")</f>
        <v>46225.614583333336</v>
      </c>
      <c r="AB206" s="11">
        <f>IFERROR(IF(MARÍTIMOS[[#This Row],[Inspección Externa]]="","",MARÍTIMOS[[#This Row],[Inspección Externa]]),"")</f>
        <v>46225.620138888888</v>
      </c>
      <c r="AC206" s="11">
        <f>IFERROR(IF(MARÍTIMOS[[#This Row],[Etapa Despacho - Inicio de Carga]]="","",MARÍTIMOS[[#This Row],[Etapa Despacho - Inicio de Carga]]),"")</f>
        <v>46225.62777777778</v>
      </c>
      <c r="AD206" s="11">
        <f>IFERROR(IF(MARÍTIMOS[[#This Row],[Etapa Despacho - Mitad de Carga]]="","",MARÍTIMOS[[#This Row],[Etapa Despacho - Mitad de Carga]]),"")</f>
        <v>46225.75</v>
      </c>
      <c r="AE206" s="11">
        <f>IFERROR(IF(MARÍTIMOS[[#This Row],[Etapa Despacho - Fin de Carga]]="","",MARÍTIMOS[[#This Row],[Etapa Despacho - Fin de Carga]]),"")</f>
        <v>46225.760416666664</v>
      </c>
      <c r="AF206" s="2" t="str">
        <f>IFERROR(IF(MARÍTIMOS[[#This Row],[Puerto de Embarque]]="","",MARÍTIMOS[[#This Row],[Puerto de Embarque]]),"")</f>
        <v>CHANCAY</v>
      </c>
      <c r="AG206" s="2" t="str">
        <f>IFERROR(IF(MARÍTIMOS[[#This Row],[Almacén de Ingreso]]="","",MARÍTIMOS[[#This Row],[Almacén de Ingreso]]),"")</f>
        <v>CSPCP</v>
      </c>
      <c r="AH206" s="11">
        <f>IFERROR(IF(MARÍTIMOS[[#This Row],[Etapa Ingreso - Cita]]="","",MARÍTIMOS[[#This Row],[Etapa Ingreso - Cita]]),"")</f>
        <v>46226.791666666664</v>
      </c>
      <c r="AI206" s="11">
        <f>IFERROR(IF(MARÍTIMOS[[#This Row],[Etapa Ingreso - Llegada]]="","",MARÍTIMOS[[#This Row],[Etapa Ingreso - Llegada]]),"")</f>
        <v>46226.82916666667</v>
      </c>
      <c r="AJ206" s="11">
        <f>IFERROR(IF(MARÍTIMOS[[#This Row],[Etapa Ingreso - Ingeso]]="","",MARÍTIMOS[[#This Row],[Etapa Ingreso - Ingeso]]),"")</f>
        <v>46226.838888888888</v>
      </c>
      <c r="AK206" s="11">
        <f>IFERROR(IF(MARÍTIMOS[[#This Row],[Etapa Ingreso - Atención]]="","",MARÍTIMOS[[#This Row],[Etapa Ingreso - Atención]]),"")</f>
        <v>46226.847222222219</v>
      </c>
      <c r="AL206" s="11">
        <f>IFERROR(IF(MARÍTIMOS[[#This Row],[Etapa Ingreso - Salida]]="","",MARÍTIMOS[[#This Row],[Etapa Ingreso - Salida]]),"")</f>
        <v>46226.868750000001</v>
      </c>
      <c r="AM206" s="2">
        <f>IFERROR(IF(MARÍTIMOS[[#This Row],[FCL]]="","",MARÍTIMOS[[#This Row],[FCL]]),"")</f>
        <v>1</v>
      </c>
      <c r="AN2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6" s="4" t="str" cm="1">
        <f t="array" ref="AO2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06" s="5">
        <f>IFERROR(OLDBD[[#This Row],[Llegada a packing]]-OLDBD[[#This Row],[Inicio de Ruta]],"")</f>
        <v>0.54583333332993789</v>
      </c>
      <c r="AQ206" s="6">
        <f>IFERROR(OLDBD[[#This Row],[Inicio de Ruta]]-OLDBD[[#This Row],[Salida de almacén de retiro]],"")</f>
        <v>0.10416666666424135</v>
      </c>
      <c r="AR2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06" s="8" t="str" cm="1">
        <f t="array" ref="AS2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6" s="9">
        <f>IFERROR(OLDBD[[#This Row],[Ingreso Packing]]-OLDBD[[#This Row],[Registro en Packing]],"")</f>
        <v>5.5555555518367328E-3</v>
      </c>
      <c r="AV206" s="9">
        <f>IFERROR(OLDBD[[#This Row],[Ingreso Packing]]-OLDBD[[#This Row],[Llegada a packing]],"")</f>
        <v>1.1805555557657499E-2</v>
      </c>
      <c r="AW2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6" s="5">
        <f>IFERROR(OLDBD[[#This Row],[Llegada Almacén de Ingreso]]-OLDBD[[#This Row],[Salida Packing]],"")</f>
        <v>1.0687500000058208</v>
      </c>
      <c r="AY206" s="4" t="str" cm="1">
        <f t="array" ref="AY2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6" s="43" t="s">
        <v>173</v>
      </c>
      <c r="BB206" s="47" t="str">
        <f>IFERROR(IF(MARÍTIMOS[[#This Row],[Estatus]]="","",MARÍTIMOS[[#This Row],[Estatus]]),"")</f>
        <v>Confirmado</v>
      </c>
      <c r="BC206" s="43"/>
      <c r="BD206" s="46">
        <f>IFERROR(OLDBD[[#This Row],[Salida de almacén de retiro]]-OLDBD[[#This Row],[Ingreso Almacén de retiro]],"")</f>
        <v>3.125E-2</v>
      </c>
      <c r="BE206" s="46">
        <f>IFERROR(OLDBD[[#This Row],[Fin de Carga]]-OLDBD[[#This Row],[Inicio de Carga]],"")</f>
        <v>0.12222222222044365</v>
      </c>
    </row>
    <row r="207" spans="1:57" customFormat="1" hidden="1">
      <c r="A207" s="1"/>
      <c r="B207" s="1">
        <f>IFERROR(IF(MARÍTIMOS[[#This Row],[PP]]="","",MARÍTIMOS[[#This Row],[PP]]),"")</f>
        <v>31</v>
      </c>
      <c r="C207" s="1" t="str">
        <f>IFERROR(IF(MARÍTIMOS[[#This Row],[Sede]]="","",MARÍTIMOS[[#This Row],[Sede]]),"")</f>
        <v>Chao</v>
      </c>
      <c r="D207" s="1" t="str">
        <f>IFERROR(IF(MARÍTIMOS[[#This Row],[Instruction]]="","",MARÍTIMOS[[#This Row],[Instruction]]),"")</f>
        <v>RH-0326</v>
      </c>
      <c r="E207" s="1"/>
      <c r="F207" s="2" t="str">
        <f>IFERROR(IF(MARÍTIMOS[[#This Row],[Transportista]]="","",MARÍTIMOS[[#This Row],[Transportista]]),"")</f>
        <v>LIP</v>
      </c>
      <c r="G207" s="2" t="str">
        <f>IFERROR(IF(MARÍTIMOS[[#This Row],[Tercero]]="","",MARÍTIMOS[[#This Row],[Tercero]]),"")</f>
        <v>NO</v>
      </c>
      <c r="H207" s="2" t="str">
        <f>IFERROR(IF(MARÍTIMOS[[#This Row],[Razón Social]]="","",MARÍTIMOS[[#This Row],[Razón Social]]),"")</f>
        <v>LOGISTICA INTERMODAL DEL PERU S.A.C.</v>
      </c>
      <c r="I207" s="2">
        <f>IFERROR(IF(MARÍTIMOS[[#This Row],[RUC]]="","",MARÍTIMOS[[#This Row],[RUC]]),"")</f>
        <v>20513040718</v>
      </c>
      <c r="J207" s="2" t="str">
        <f>IFERROR(IF(MARÍTIMOS[[#This Row],[Placa Tracto]]="","",MARÍTIMOS[[#This Row],[Placa Tracto]]),"")</f>
        <v>AYO-923</v>
      </c>
      <c r="K207" s="2" t="str">
        <f>IFERROR(IF(MARÍTIMOS[[#This Row],[Placa Carreta]]="","",MARÍTIMOS[[#This Row],[Placa Carreta]]),"")</f>
        <v>ANE-991</v>
      </c>
      <c r="L207" s="44" t="str">
        <f>IFERROR(IF(MARÍTIMOS[[#This Row],[Conductor]]="","",MARÍTIMOS[[#This Row],[Conductor]]),"")</f>
        <v>MATIAS ORTIZ LUIS ANGEL</v>
      </c>
      <c r="M207" s="2" t="str">
        <f>IFERROR(IF(MARÍTIMOS[[#This Row],[Licencia]]="","",MARÍTIMOS[[#This Row],[Licencia]]),"")</f>
        <v>Q41615893</v>
      </c>
      <c r="N207" s="2" t="str">
        <f>IFERROR(IF(MARÍTIMOS[[#This Row],[Número de Contacto]]="","",MARÍTIMOS[[#This Row],[Número de Contacto]]),"")</f>
        <v/>
      </c>
      <c r="O207" s="10">
        <f>IFERROR(IF(MARÍTIMOS[[#This Row],[Booking|AWB|CRT]]="","",MARÍTIMOS[[#This Row],[Booking|AWB|CRT]]),"")</f>
        <v>6509439080</v>
      </c>
      <c r="P207" s="2" t="str">
        <f>IFERROR(IF(MARÍTIMOS[[#This Row],[Contenedor]]="","",MARÍTIMOS[[#This Row],[Contenedor]]),"")</f>
        <v>FBIU5342832</v>
      </c>
      <c r="Q207" s="2" t="str">
        <f>IFERROR(IF(MARÍTIMOS[[#This Row],[Puerto de Retiro]]="","",MARÍTIMOS[[#This Row],[Puerto de Retiro]]),"")</f>
        <v>CALLAO</v>
      </c>
      <c r="R207" s="2" t="str">
        <f>IFERROR(IF(MARÍTIMOS[[#This Row],[Almacén de Retiro]]="","",MARÍTIMOS[[#This Row],[Almacén de Retiro]]),"")</f>
        <v>FARGOLINE</v>
      </c>
      <c r="S207" s="11">
        <f>IFERROR(IF(MARÍTIMOS[[#This Row],[Etapa Retiro - Cita]]="","",MARÍTIMOS[[#This Row],[Etapa Retiro - Cita]]),"")</f>
        <v>46235.666666666664</v>
      </c>
      <c r="T207" s="11">
        <f>IFERROR(IF(MARÍTIMOS[[#This Row],[Etapa Retiro - Llegada]]="","",MARÍTIMOS[[#This Row],[Etapa Retiro - Llegada]]),"")</f>
        <v>46235.729166666664</v>
      </c>
      <c r="U207" s="11">
        <f>IFERROR(IF(MARÍTIMOS[[#This Row],[Etapa Retiro - Ingreso]]="","",MARÍTIMOS[[#This Row],[Etapa Retiro - Ingreso]]),"")</f>
        <v>46235.75277777778</v>
      </c>
      <c r="V207" s="11">
        <f>IFERROR(IF(MARÍTIMOS[[#This Row],[Etapa Retiro - Atención]]="","",MARÍTIMOS[[#This Row],[Etapa Retiro - Atención]]),"")</f>
        <v>46235.758333333331</v>
      </c>
      <c r="W207" s="11">
        <f>IFERROR(IF(MARÍTIMOS[[#This Row],[Etapa Retiro - Atención]]="","",MARÍTIMOS[[#This Row],[Etapa Retiro - Atención]]),"")</f>
        <v>46235.758333333331</v>
      </c>
      <c r="X207" s="11">
        <f>IFERROR(IF(MARÍTIMOS[[#This Row],[Etapa Retiro - Inicio de Ruta]]="","",MARÍTIMOS[[#This Row],[Etapa Retiro - Inicio de Ruta]]),"")</f>
        <v>46235.887499999997</v>
      </c>
      <c r="Y207" s="11">
        <f>IFERROR(IF(MARÍTIMOS[[#This Row],[Hora de Posicionamiento]]="","",MARÍTIMOS[[#This Row],[Fecha de Carga]]+MARÍTIMOS[[#This Row],[Hora de Posicionamiento]]),"")</f>
        <v>46236.5</v>
      </c>
      <c r="Z207" s="11">
        <f>IFERROR(IF(MARÍTIMOS[[#This Row],[Etapa Despacho - Llegada]]="","",MARÍTIMOS[[#This Row],[Etapa Despacho - Llegada]]),"")</f>
        <v>46236.48333333333</v>
      </c>
      <c r="AA207" s="11">
        <f>IFERROR(IF(MARÍTIMOS[[#This Row],[Etapa Despacho - Registro]]="","",MARÍTIMOS[[#This Row],[Etapa Despacho - Registro]]),"")</f>
        <v>46236.490277777775</v>
      </c>
      <c r="AB207" s="11">
        <f>IFERROR(IF(MARÍTIMOS[[#This Row],[Inspección Externa]]="","",MARÍTIMOS[[#This Row],[Inspección Externa]]),"")</f>
        <v>46236.5</v>
      </c>
      <c r="AC207" s="11">
        <f>IFERROR(IF(MARÍTIMOS[[#This Row],[Etapa Despacho - Inicio de Carga]]="","",MARÍTIMOS[[#This Row],[Etapa Despacho - Inicio de Carga]]),"")</f>
        <v>46236.511805555558</v>
      </c>
      <c r="AD207" s="11">
        <f>IFERROR(IF(MARÍTIMOS[[#This Row],[Etapa Despacho - Mitad de Carga]]="","",MARÍTIMOS[[#This Row],[Etapa Despacho - Mitad de Carga]]),"")</f>
        <v>46236.702777777777</v>
      </c>
      <c r="AE207" s="11">
        <f>IFERROR(IF(MARÍTIMOS[[#This Row],[Etapa Despacho - Fin de Carga]]="","",MARÍTIMOS[[#This Row],[Etapa Despacho - Fin de Carga]]),"")</f>
        <v>46236.674305555556</v>
      </c>
      <c r="AF207" s="2" t="str">
        <f>IFERROR(IF(MARÍTIMOS[[#This Row],[Puerto de Embarque]]="","",MARÍTIMOS[[#This Row],[Puerto de Embarque]]),"")</f>
        <v>CALLAO</v>
      </c>
      <c r="AG207" s="2" t="str">
        <f>IFERROR(IF(MARÍTIMOS[[#This Row],[Almacén de Ingreso]]="","",MARÍTIMOS[[#This Row],[Almacén de Ingreso]]),"")</f>
        <v>CSPCP</v>
      </c>
      <c r="AH207" s="11">
        <f>IFERROR(IF(MARÍTIMOS[[#This Row],[Etapa Ingreso - Cita]]="","",MARÍTIMOS[[#This Row],[Etapa Ingreso - Cita]]),"")</f>
        <v>46237.083333333336</v>
      </c>
      <c r="AI207" s="11">
        <f>IFERROR(IF(MARÍTIMOS[[#This Row],[Etapa Ingreso - Llegada]]="","",MARÍTIMOS[[#This Row],[Etapa Ingreso - Llegada]]),"")</f>
        <v>46237.106249999997</v>
      </c>
      <c r="AJ207" s="11">
        <f>IFERROR(IF(MARÍTIMOS[[#This Row],[Etapa Ingreso - Ingeso]]="","",MARÍTIMOS[[#This Row],[Etapa Ingreso - Ingeso]]),"")</f>
        <v>46237.125</v>
      </c>
      <c r="AK207" s="11">
        <f>IFERROR(IF(MARÍTIMOS[[#This Row],[Etapa Ingreso - Atención]]="","",MARÍTIMOS[[#This Row],[Etapa Ingreso - Atención]]),"")</f>
        <v>46237.134722222225</v>
      </c>
      <c r="AL207" s="11">
        <f>IFERROR(IF(MARÍTIMOS[[#This Row],[Etapa Ingreso - Salida]]="","",MARÍTIMOS[[#This Row],[Etapa Ingreso - Salida]]),"")</f>
        <v>46237.15</v>
      </c>
      <c r="AM207" s="2">
        <f>IFERROR(IF(MARÍTIMOS[[#This Row],[FCL]]="","",MARÍTIMOS[[#This Row],[FCL]]),"")</f>
        <v>1</v>
      </c>
      <c r="AN2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7" s="4" t="str" cm="1">
        <f t="array" ref="AO2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07" s="5">
        <f>IFERROR(OLDBD[[#This Row],[Llegada a packing]]-OLDBD[[#This Row],[Inicio de Ruta]],"")</f>
        <v>0.59583333333284827</v>
      </c>
      <c r="AQ207" s="6">
        <f>IFERROR(OLDBD[[#This Row],[Inicio de Ruta]]-OLDBD[[#This Row],[Salida de almacén de retiro]],"")</f>
        <v>0.12916666666569654</v>
      </c>
      <c r="AR2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07" s="8" t="str" cm="1">
        <f t="array" ref="AS2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7" s="9">
        <f>IFERROR(OLDBD[[#This Row],[Ingreso Packing]]-OLDBD[[#This Row],[Registro en Packing]],"")</f>
        <v>9.7222222248092294E-3</v>
      </c>
      <c r="AV207" s="9">
        <f>IFERROR(OLDBD[[#This Row],[Ingreso Packing]]-OLDBD[[#This Row],[Llegada a packing]],"")</f>
        <v>1.6666666670062114E-2</v>
      </c>
      <c r="AW2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7" s="5">
        <f>IFERROR(OLDBD[[#This Row],[Llegada Almacén de Ingreso]]-OLDBD[[#This Row],[Salida Packing]],"")</f>
        <v>0.43194444444088731</v>
      </c>
      <c r="AY207" s="4" t="str" cm="1">
        <f t="array" ref="AY2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7" s="43" t="s">
        <v>173</v>
      </c>
      <c r="BB207" s="47" t="str">
        <f>IFERROR(IF(MARÍTIMOS[[#This Row],[Estatus]]="","",MARÍTIMOS[[#This Row],[Estatus]]),"")</f>
        <v>Confirmado</v>
      </c>
      <c r="BC207" s="43"/>
      <c r="BD207" s="46">
        <f>IFERROR(OLDBD[[#This Row],[Salida de almacén de retiro]]-OLDBD[[#This Row],[Ingreso Almacén de retiro]],"")</f>
        <v>5.5555555518367328E-3</v>
      </c>
      <c r="BE207" s="46">
        <f>IFERROR(OLDBD[[#This Row],[Fin de Carga]]-OLDBD[[#This Row],[Inicio de Carga]],"")</f>
        <v>0.19097222221898846</v>
      </c>
    </row>
    <row r="208" spans="1:57" customFormat="1" hidden="1">
      <c r="A208" s="1"/>
      <c r="B208" s="1">
        <f>IFERROR(IF(MARÍTIMOS[[#This Row],[PP]]="","",MARÍTIMOS[[#This Row],[PP]]),"")</f>
        <v>31</v>
      </c>
      <c r="C208" s="1" t="str">
        <f>IFERROR(IF(MARÍTIMOS[[#This Row],[Sede]]="","",MARÍTIMOS[[#This Row],[Sede]]),"")</f>
        <v>Chao</v>
      </c>
      <c r="D208" s="1" t="str">
        <f>IFERROR(IF(MARÍTIMOS[[#This Row],[Instruction]]="","",MARÍTIMOS[[#This Row],[Instruction]]),"")</f>
        <v>RH-0327</v>
      </c>
      <c r="E208" s="1"/>
      <c r="F208" s="2" t="str">
        <f>IFERROR(IF(MARÍTIMOS[[#This Row],[Transportista]]="","",MARÍTIMOS[[#This Row],[Transportista]]),"")</f>
        <v>LIP</v>
      </c>
      <c r="G208" s="2" t="str">
        <f>IFERROR(IF(MARÍTIMOS[[#This Row],[Tercero]]="","",MARÍTIMOS[[#This Row],[Tercero]]),"")</f>
        <v>NO</v>
      </c>
      <c r="H208" s="2" t="str">
        <f>IFERROR(IF(MARÍTIMOS[[#This Row],[Razón Social]]="","",MARÍTIMOS[[#This Row],[Razón Social]]),"")</f>
        <v>LOGISTICA INTERMODAL DEL PERU S.A.C.</v>
      </c>
      <c r="I208" s="2">
        <f>IFERROR(IF(MARÍTIMOS[[#This Row],[RUC]]="","",MARÍTIMOS[[#This Row],[RUC]]),"")</f>
        <v>20513040718</v>
      </c>
      <c r="J208" s="2" t="str">
        <f>IFERROR(IF(MARÍTIMOS[[#This Row],[Placa Tracto]]="","",MARÍTIMOS[[#This Row],[Placa Tracto]]),"")</f>
        <v>BBK-835</v>
      </c>
      <c r="K208" s="2" t="str">
        <f>IFERROR(IF(MARÍTIMOS[[#This Row],[Placa Carreta]]="","",MARÍTIMOS[[#This Row],[Placa Carreta]]),"")</f>
        <v>AKN-992</v>
      </c>
      <c r="L208" s="44" t="str">
        <f>IFERROR(IF(MARÍTIMOS[[#This Row],[Conductor]]="","",MARÍTIMOS[[#This Row],[Conductor]]),"")</f>
        <v>CASTILLO ALVAREZ CESAR HUGO</v>
      </c>
      <c r="M208" s="2" t="str">
        <f>IFERROR(IF(MARÍTIMOS[[#This Row],[Licencia]]="","",MARÍTIMOS[[#This Row],[Licencia]]),"")</f>
        <v>Q25858072</v>
      </c>
      <c r="N208" s="2" t="str">
        <f>IFERROR(IF(MARÍTIMOS[[#This Row],[Número de Contacto]]="","",MARÍTIMOS[[#This Row],[Número de Contacto]]),"")</f>
        <v/>
      </c>
      <c r="O208" s="10">
        <f>IFERROR(IF(MARÍTIMOS[[#This Row],[Booking|AWB|CRT]]="","",MARÍTIMOS[[#This Row],[Booking|AWB|CRT]]),"")</f>
        <v>6509439040</v>
      </c>
      <c r="P208" s="2" t="str">
        <f>IFERROR(IF(MARÍTIMOS[[#This Row],[Contenedor]]="","",MARÍTIMOS[[#This Row],[Contenedor]]),"")</f>
        <v>FBIU5729380</v>
      </c>
      <c r="Q208" s="2" t="str">
        <f>IFERROR(IF(MARÍTIMOS[[#This Row],[Puerto de Retiro]]="","",MARÍTIMOS[[#This Row],[Puerto de Retiro]]),"")</f>
        <v>CALLAO</v>
      </c>
      <c r="R208" s="2" t="str">
        <f>IFERROR(IF(MARÍTIMOS[[#This Row],[Almacén de Retiro]]="","",MARÍTIMOS[[#This Row],[Almacén de Retiro]]),"")</f>
        <v>FARGOLINE</v>
      </c>
      <c r="S208" s="11">
        <f>IFERROR(IF(MARÍTIMOS[[#This Row],[Etapa Retiro - Cita]]="","",MARÍTIMOS[[#This Row],[Etapa Retiro - Cita]]),"")</f>
        <v>46235.666666666664</v>
      </c>
      <c r="T208" s="11">
        <f>IFERROR(IF(MARÍTIMOS[[#This Row],[Etapa Retiro - Llegada]]="","",MARÍTIMOS[[#This Row],[Etapa Retiro - Llegada]]),"")</f>
        <v>46235.67083333333</v>
      </c>
      <c r="U208" s="11">
        <f>IFERROR(IF(MARÍTIMOS[[#This Row],[Etapa Retiro - Ingreso]]="","",MARÍTIMOS[[#This Row],[Etapa Retiro - Ingreso]]),"")</f>
        <v>46235.686111111114</v>
      </c>
      <c r="V208" s="11">
        <f>IFERROR(IF(MARÍTIMOS[[#This Row],[Etapa Retiro - Atención]]="","",MARÍTIMOS[[#This Row],[Etapa Retiro - Atención]]),"")</f>
        <v>46235.698611111111</v>
      </c>
      <c r="W208" s="11">
        <f>IFERROR(IF(MARÍTIMOS[[#This Row],[Etapa Retiro - Atención]]="","",MARÍTIMOS[[#This Row],[Etapa Retiro - Atención]]),"")</f>
        <v>46235.698611111111</v>
      </c>
      <c r="X208" s="11">
        <f>IFERROR(IF(MARÍTIMOS[[#This Row],[Etapa Retiro - Inicio de Ruta]]="","",MARÍTIMOS[[#This Row],[Etapa Retiro - Inicio de Ruta]]),"")</f>
        <v>46235.980555555558</v>
      </c>
      <c r="Y208" s="11">
        <f>IFERROR(IF(MARÍTIMOS[[#This Row],[Hora de Posicionamiento]]="","",MARÍTIMOS[[#This Row],[Fecha de Carga]]+MARÍTIMOS[[#This Row],[Hora de Posicionamiento]]),"")</f>
        <v>46236.583333333336</v>
      </c>
      <c r="Z208" s="11">
        <f>IFERROR(IF(MARÍTIMOS[[#This Row],[Etapa Despacho - Llegada]]="","",MARÍTIMOS[[#This Row],[Etapa Despacho - Llegada]]),"")</f>
        <v>46236.542361111111</v>
      </c>
      <c r="AA208" s="11">
        <f>IFERROR(IF(MARÍTIMOS[[#This Row],[Etapa Despacho - Registro]]="","",MARÍTIMOS[[#This Row],[Etapa Despacho - Registro]]),"")</f>
        <v>46236.545138888891</v>
      </c>
      <c r="AB208" s="11">
        <f>IFERROR(IF(MARÍTIMOS[[#This Row],[Inspección Externa]]="","",MARÍTIMOS[[#This Row],[Inspección Externa]]),"")</f>
        <v>46236.548611111109</v>
      </c>
      <c r="AC208" s="11">
        <f>IFERROR(IF(MARÍTIMOS[[#This Row],[Etapa Despacho - Inicio de Carga]]="","",MARÍTIMOS[[#This Row],[Etapa Despacho - Inicio de Carga]]),"")</f>
        <v>46236.553472222222</v>
      </c>
      <c r="AD208" s="11">
        <f>IFERROR(IF(MARÍTIMOS[[#This Row],[Etapa Despacho - Mitad de Carga]]="","",MARÍTIMOS[[#This Row],[Etapa Despacho - Mitad de Carga]]),"")</f>
        <v>46236.541666666664</v>
      </c>
      <c r="AE208" s="11">
        <f>IFERROR(IF(MARÍTIMOS[[#This Row],[Etapa Despacho - Fin de Carga]]="","",MARÍTIMOS[[#This Row],[Etapa Despacho - Fin de Carga]]),"")</f>
        <v>46236.553472222222</v>
      </c>
      <c r="AF208" s="2" t="str">
        <f>IFERROR(IF(MARÍTIMOS[[#This Row],[Puerto de Embarque]]="","",MARÍTIMOS[[#This Row],[Puerto de Embarque]]),"")</f>
        <v>CALLAO</v>
      </c>
      <c r="AG208" s="2" t="str">
        <f>IFERROR(IF(MARÍTIMOS[[#This Row],[Almacén de Ingreso]]="","",MARÍTIMOS[[#This Row],[Almacén de Ingreso]]),"")</f>
        <v>CSPCP</v>
      </c>
      <c r="AH208" s="11">
        <f>IFERROR(IF(MARÍTIMOS[[#This Row],[Etapa Ingreso - Cita]]="","",MARÍTIMOS[[#This Row],[Etapa Ingreso - Cita]]),"")</f>
        <v>46237.291666666664</v>
      </c>
      <c r="AI208" s="11">
        <f>IFERROR(IF(MARÍTIMOS[[#This Row],[Etapa Ingreso - Llegada]]="","",MARÍTIMOS[[#This Row],[Etapa Ingreso - Llegada]]),"")</f>
        <v>46237.324999999997</v>
      </c>
      <c r="AJ208" s="11">
        <f>IFERROR(IF(MARÍTIMOS[[#This Row],[Etapa Ingreso - Ingeso]]="","",MARÍTIMOS[[#This Row],[Etapa Ingreso - Ingeso]]),"")</f>
        <v>46237.34652777778</v>
      </c>
      <c r="AK208" s="11">
        <f>IFERROR(IF(MARÍTIMOS[[#This Row],[Etapa Ingreso - Atención]]="","",MARÍTIMOS[[#This Row],[Etapa Ingreso - Atención]]),"")</f>
        <v>46237.350694444445</v>
      </c>
      <c r="AL208" s="11">
        <f>IFERROR(IF(MARÍTIMOS[[#This Row],[Etapa Ingreso - Salida]]="","",MARÍTIMOS[[#This Row],[Etapa Ingreso - Salida]]),"")</f>
        <v>46237.361111111109</v>
      </c>
      <c r="AM208" s="2">
        <f>IFERROR(IF(MARÍTIMOS[[#This Row],[FCL]]="","",MARÍTIMOS[[#This Row],[FCL]]),"")</f>
        <v>1</v>
      </c>
      <c r="AN2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8" s="4" t="str" cm="1">
        <f t="array" ref="AO2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08" s="5">
        <f>IFERROR(OLDBD[[#This Row],[Llegada a packing]]-OLDBD[[#This Row],[Inicio de Ruta]],"")</f>
        <v>0.56180555555329192</v>
      </c>
      <c r="AQ208" s="6">
        <f>IFERROR(OLDBD[[#This Row],[Inicio de Ruta]]-OLDBD[[#This Row],[Salida de almacén de retiro]],"")</f>
        <v>0.28194444444670808</v>
      </c>
      <c r="AR2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08" s="8" t="str" cm="1">
        <f t="array" ref="AS2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8" s="9">
        <f>IFERROR(OLDBD[[#This Row],[Ingreso Packing]]-OLDBD[[#This Row],[Registro en Packing]],"")</f>
        <v>3.4722222189884633E-3</v>
      </c>
      <c r="AV208" s="9">
        <f>IFERROR(OLDBD[[#This Row],[Ingreso Packing]]-OLDBD[[#This Row],[Llegada a packing]],"")</f>
        <v>6.2499999985448085E-3</v>
      </c>
      <c r="AW2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8" s="5">
        <f>IFERROR(OLDBD[[#This Row],[Llegada Almacén de Ingreso]]-OLDBD[[#This Row],[Salida Packing]],"")</f>
        <v>0.77152777777519077</v>
      </c>
      <c r="AY208" s="4" t="str" cm="1">
        <f t="array" ref="AY2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8" s="43" t="s">
        <v>173</v>
      </c>
      <c r="BB208" s="47" t="str">
        <f>IFERROR(IF(MARÍTIMOS[[#This Row],[Estatus]]="","",MARÍTIMOS[[#This Row],[Estatus]]),"")</f>
        <v>Confirmado</v>
      </c>
      <c r="BC208" s="43"/>
      <c r="BD208" s="46">
        <f>IFERROR(OLDBD[[#This Row],[Salida de almacén de retiro]]-OLDBD[[#This Row],[Ingreso Almacén de retiro]],"")</f>
        <v>1.2499999997089617E-2</v>
      </c>
      <c r="BE208" s="46">
        <f>IFERROR(OLDBD[[#This Row],[Fin de Carga]]-OLDBD[[#This Row],[Inicio de Carga]],"")</f>
        <v>-1.1805555557657499E-2</v>
      </c>
    </row>
    <row r="209" spans="1:57" customFormat="1" hidden="1">
      <c r="A209" s="1"/>
      <c r="B209" s="1">
        <f>IFERROR(IF(MARÍTIMOS[[#This Row],[PP]]="","",MARÍTIMOS[[#This Row],[PP]]),"")</f>
        <v>31</v>
      </c>
      <c r="C209" s="1" t="str">
        <f>IFERROR(IF(MARÍTIMOS[[#This Row],[Sede]]="","",MARÍTIMOS[[#This Row],[Sede]]),"")</f>
        <v>Chao</v>
      </c>
      <c r="D209" s="1" t="str">
        <f>IFERROR(IF(MARÍTIMOS[[#This Row],[Instruction]]="","",MARÍTIMOS[[#This Row],[Instruction]]),"")</f>
        <v>RH-0329</v>
      </c>
      <c r="E209" s="1"/>
      <c r="F209" s="2" t="str">
        <f>IFERROR(IF(MARÍTIMOS[[#This Row],[Transportista]]="","",MARÍTIMOS[[#This Row],[Transportista]]),"")</f>
        <v>LIP</v>
      </c>
      <c r="G209" s="2" t="str">
        <f>IFERROR(IF(MARÍTIMOS[[#This Row],[Tercero]]="","",MARÍTIMOS[[#This Row],[Tercero]]),"")</f>
        <v>SI</v>
      </c>
      <c r="H209" s="2" t="str">
        <f>IFERROR(IF(MARÍTIMOS[[#This Row],[Razón Social]]="","",MARÍTIMOS[[#This Row],[Razón Social]]),"")</f>
        <v>BENLOB E.I.R.L.</v>
      </c>
      <c r="I209" s="2">
        <f>IFERROR(IF(MARÍTIMOS[[#This Row],[RUC]]="","",MARÍTIMOS[[#This Row],[RUC]]),"")</f>
        <v>20608586238</v>
      </c>
      <c r="J209" s="2" t="str">
        <f>IFERROR(IF(MARÍTIMOS[[#This Row],[Placa Tracto]]="","",MARÍTIMOS[[#This Row],[Placa Tracto]]),"")</f>
        <v>BMD-798</v>
      </c>
      <c r="K209" s="2" t="str">
        <f>IFERROR(IF(MARÍTIMOS[[#This Row],[Placa Carreta]]="","",MARÍTIMOS[[#This Row],[Placa Carreta]]),"")</f>
        <v>AZJ-971</v>
      </c>
      <c r="L209" s="44" t="str">
        <f>IFERROR(IF(MARÍTIMOS[[#This Row],[Conductor]]="","",MARÍTIMOS[[#This Row],[Conductor]]),"")</f>
        <v>RUMICHE FIESTAS MELANIO ANTONIO</v>
      </c>
      <c r="M209" s="2" t="str">
        <f>IFERROR(IF(MARÍTIMOS[[#This Row],[Licencia]]="","",MARÍTIMOS[[#This Row],[Licencia]]),"")</f>
        <v>Q25826470</v>
      </c>
      <c r="N209" s="2" t="str">
        <f>IFERROR(IF(MARÍTIMOS[[#This Row],[Número de Contacto]]="","",MARÍTIMOS[[#This Row],[Número de Contacto]]),"")</f>
        <v/>
      </c>
      <c r="O209" s="10">
        <f>IFERROR(IF(MARÍTIMOS[[#This Row],[Booking|AWB|CRT]]="","",MARÍTIMOS[[#This Row],[Booking|AWB|CRT]]),"")</f>
        <v>6509980950</v>
      </c>
      <c r="P209" s="2" t="str">
        <f>IFERROR(IF(MARÍTIMOS[[#This Row],[Contenedor]]="","",MARÍTIMOS[[#This Row],[Contenedor]]),"")</f>
        <v>OERU4362265</v>
      </c>
      <c r="Q209" s="2" t="str">
        <f>IFERROR(IF(MARÍTIMOS[[#This Row],[Puerto de Retiro]]="","",MARÍTIMOS[[#This Row],[Puerto de Retiro]]),"")</f>
        <v>CALLAO</v>
      </c>
      <c r="R209" s="2" t="str">
        <f>IFERROR(IF(MARÍTIMOS[[#This Row],[Almacén de Retiro]]="","",MARÍTIMOS[[#This Row],[Almacén de Retiro]]),"")</f>
        <v>FARGOLINE</v>
      </c>
      <c r="S209" s="11">
        <f>IFERROR(IF(MARÍTIMOS[[#This Row],[Etapa Retiro - Cita]]="","",MARÍTIMOS[[#This Row],[Etapa Retiro - Cita]]),"")</f>
        <v>46236.625</v>
      </c>
      <c r="T209" s="11">
        <f>IFERROR(IF(MARÍTIMOS[[#This Row],[Etapa Retiro - Llegada]]="","",MARÍTIMOS[[#This Row],[Etapa Retiro - Llegada]]),"")</f>
        <v>46236.664583333331</v>
      </c>
      <c r="U209" s="11">
        <f>IFERROR(IF(MARÍTIMOS[[#This Row],[Etapa Retiro - Ingreso]]="","",MARÍTIMOS[[#This Row],[Etapa Retiro - Ingreso]]),"")</f>
        <v>46236.667361111111</v>
      </c>
      <c r="V209" s="11">
        <f>IFERROR(IF(MARÍTIMOS[[#This Row],[Etapa Retiro - Atención]]="","",MARÍTIMOS[[#This Row],[Etapa Retiro - Atención]]),"")</f>
        <v>46236.720138888886</v>
      </c>
      <c r="W209" s="11">
        <f>IFERROR(IF(MARÍTIMOS[[#This Row],[Etapa Retiro - Atención]]="","",MARÍTIMOS[[#This Row],[Etapa Retiro - Atención]]),"")</f>
        <v>46236.720138888886</v>
      </c>
      <c r="X209" s="11">
        <f>IFERROR(IF(MARÍTIMOS[[#This Row],[Etapa Retiro - Inicio de Ruta]]="","",MARÍTIMOS[[#This Row],[Etapa Retiro - Inicio de Ruta]]),"")</f>
        <v>46236.845833333333</v>
      </c>
      <c r="Y209" s="11">
        <f>IFERROR(IF(MARÍTIMOS[[#This Row],[Hora de Posicionamiento]]="","",MARÍTIMOS[[#This Row],[Fecha de Carga]]+MARÍTIMOS[[#This Row],[Hora de Posicionamiento]]),"")</f>
        <v>46237.5</v>
      </c>
      <c r="Z209" s="11">
        <f>IFERROR(IF(MARÍTIMOS[[#This Row],[Etapa Despacho - Llegada]]="","",MARÍTIMOS[[#This Row],[Etapa Despacho - Llegada]]),"")</f>
        <v>46237.486111111109</v>
      </c>
      <c r="AA209" s="11">
        <f>IFERROR(IF(MARÍTIMOS[[#This Row],[Etapa Despacho - Registro]]="","",MARÍTIMOS[[#This Row],[Etapa Despacho - Registro]]),"")</f>
        <v>46237.5</v>
      </c>
      <c r="AB209" s="11">
        <f>IFERROR(IF(MARÍTIMOS[[#This Row],[Inspección Externa]]="","",MARÍTIMOS[[#This Row],[Inspección Externa]]),"")</f>
        <v>46237.513194444444</v>
      </c>
      <c r="AC209" s="11">
        <f>IFERROR(IF(MARÍTIMOS[[#This Row],[Etapa Despacho - Inicio de Carga]]="","",MARÍTIMOS[[#This Row],[Etapa Despacho - Inicio de Carga]]),"")</f>
        <v>46237.555555555555</v>
      </c>
      <c r="AD209" s="11">
        <f>IFERROR(IF(MARÍTIMOS[[#This Row],[Etapa Despacho - Mitad de Carga]]="","",MARÍTIMOS[[#This Row],[Etapa Despacho - Mitad de Carga]]),"")</f>
        <v>46237.658333333333</v>
      </c>
      <c r="AE209" s="11">
        <f>IFERROR(IF(MARÍTIMOS[[#This Row],[Etapa Despacho - Fin de Carga]]="","",MARÍTIMOS[[#This Row],[Etapa Despacho - Fin de Carga]]),"")</f>
        <v>46237.67083333333</v>
      </c>
      <c r="AF209" s="2" t="str">
        <f>IFERROR(IF(MARÍTIMOS[[#This Row],[Puerto de Embarque]]="","",MARÍTIMOS[[#This Row],[Puerto de Embarque]]),"")</f>
        <v>CALLAO</v>
      </c>
      <c r="AG209" s="2" t="str">
        <f>IFERROR(IF(MARÍTIMOS[[#This Row],[Almacén de Ingreso]]="","",MARÍTIMOS[[#This Row],[Almacén de Ingreso]]),"")</f>
        <v>CSPCP</v>
      </c>
      <c r="AH209" s="11">
        <f>IFERROR(IF(MARÍTIMOS[[#This Row],[Etapa Ingreso - Cita]]="","",MARÍTIMOS[[#This Row],[Etapa Ingreso - Cita]]),"")</f>
        <v>46238.375</v>
      </c>
      <c r="AI209" s="11">
        <f>IFERROR(IF(MARÍTIMOS[[#This Row],[Etapa Ingreso - Llegada]]="","",MARÍTIMOS[[#This Row],[Etapa Ingreso - Llegada]]),"")</f>
        <v>46238.377083333333</v>
      </c>
      <c r="AJ209" s="11">
        <f>IFERROR(IF(MARÍTIMOS[[#This Row],[Etapa Ingreso - Ingeso]]="","",MARÍTIMOS[[#This Row],[Etapa Ingreso - Ingeso]]),"")</f>
        <v>46238.390972222223</v>
      </c>
      <c r="AK209" s="11">
        <f>IFERROR(IF(MARÍTIMOS[[#This Row],[Etapa Ingreso - Atención]]="","",MARÍTIMOS[[#This Row],[Etapa Ingreso - Atención]]),"")</f>
        <v>46238.393055555556</v>
      </c>
      <c r="AL209" s="11">
        <f>IFERROR(IF(MARÍTIMOS[[#This Row],[Etapa Ingreso - Salida]]="","",MARÍTIMOS[[#This Row],[Etapa Ingreso - Salida]]),"")</f>
        <v>46238.431944444441</v>
      </c>
      <c r="AM209" s="2">
        <f>IFERROR(IF(MARÍTIMOS[[#This Row],[FCL]]="","",MARÍTIMOS[[#This Row],[FCL]]),"")</f>
        <v>1</v>
      </c>
      <c r="AN2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09" s="4" t="str" cm="1">
        <f t="array" ref="AO2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09" s="5">
        <f>IFERROR(OLDBD[[#This Row],[Llegada a packing]]-OLDBD[[#This Row],[Inicio de Ruta]],"")</f>
        <v>0.64027777777664596</v>
      </c>
      <c r="AQ209" s="6">
        <f>IFERROR(OLDBD[[#This Row],[Inicio de Ruta]]-OLDBD[[#This Row],[Salida de almacén de retiro]],"")</f>
        <v>0.12569444444670808</v>
      </c>
      <c r="AR2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09" s="8" t="str" cm="1">
        <f t="array" ref="AS2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09" s="9">
        <f>IFERROR(OLDBD[[#This Row],[Ingreso Packing]]-OLDBD[[#This Row],[Registro en Packing]],"")</f>
        <v>1.3194444443797693E-2</v>
      </c>
      <c r="AV209" s="9">
        <f>IFERROR(OLDBD[[#This Row],[Ingreso Packing]]-OLDBD[[#This Row],[Llegada a packing]],"")</f>
        <v>2.7083333334303461E-2</v>
      </c>
      <c r="AW2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09" s="5">
        <f>IFERROR(OLDBD[[#This Row],[Llegada Almacén de Ingreso]]-OLDBD[[#This Row],[Salida Packing]],"")</f>
        <v>0.70625000000291038</v>
      </c>
      <c r="AY209" s="4" t="str" cm="1">
        <f t="array" ref="AY2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09" s="43" t="s">
        <v>173</v>
      </c>
      <c r="BB209" s="47" t="str">
        <f>IFERROR(IF(MARÍTIMOS[[#This Row],[Estatus]]="","",MARÍTIMOS[[#This Row],[Estatus]]),"")</f>
        <v>Confirmado</v>
      </c>
      <c r="BC209" s="43"/>
      <c r="BD209" s="46">
        <f>IFERROR(OLDBD[[#This Row],[Salida de almacén de retiro]]-OLDBD[[#This Row],[Ingreso Almacén de retiro]],"")</f>
        <v>5.2777777775190771E-2</v>
      </c>
      <c r="BE209" s="46">
        <f>IFERROR(OLDBD[[#This Row],[Fin de Carga]]-OLDBD[[#This Row],[Inicio de Carga]],"")</f>
        <v>0.10277777777810115</v>
      </c>
    </row>
    <row r="210" spans="1:57" customFormat="1" hidden="1">
      <c r="A210" s="1"/>
      <c r="B210" s="1">
        <f>IFERROR(IF(MARÍTIMOS[[#This Row],[PP]]="","",MARÍTIMOS[[#This Row],[PP]]),"")</f>
        <v>31</v>
      </c>
      <c r="C210" s="1" t="str">
        <f>IFERROR(IF(MARÍTIMOS[[#This Row],[Sede]]="","",MARÍTIMOS[[#This Row],[Sede]]),"")</f>
        <v>Chao</v>
      </c>
      <c r="D210" s="1" t="str">
        <f>IFERROR(IF(MARÍTIMOS[[#This Row],[Instruction]]="","",MARÍTIMOS[[#This Row],[Instruction]]),"")</f>
        <v>RH-0331</v>
      </c>
      <c r="E210" s="1"/>
      <c r="F210" s="2" t="str">
        <f>IFERROR(IF(MARÍTIMOS[[#This Row],[Transportista]]="","",MARÍTIMOS[[#This Row],[Transportista]]),"")</f>
        <v>LIP</v>
      </c>
      <c r="G210" s="2" t="str">
        <f>IFERROR(IF(MARÍTIMOS[[#This Row],[Tercero]]="","",MARÍTIMOS[[#This Row],[Tercero]]),"")</f>
        <v>SI</v>
      </c>
      <c r="H210" s="2" t="str">
        <f>IFERROR(IF(MARÍTIMOS[[#This Row],[Razón Social]]="","",MARÍTIMOS[[#This Row],[Razón Social]]),"")</f>
        <v>TRANSPORTES CORRECAMINOS DEL PERU S.A.C.</v>
      </c>
      <c r="I210" s="2">
        <f>IFERROR(IF(MARÍTIMOS[[#This Row],[RUC]]="","",MARÍTIMOS[[#This Row],[RUC]]),"")</f>
        <v>20609163632</v>
      </c>
      <c r="J210" s="2" t="str">
        <f>IFERROR(IF(MARÍTIMOS[[#This Row],[Placa Tracto]]="","",MARÍTIMOS[[#This Row],[Placa Tracto]]),"")</f>
        <v>BPI-717</v>
      </c>
      <c r="K210" s="2" t="str">
        <f>IFERROR(IF(MARÍTIMOS[[#This Row],[Placa Carreta]]="","",MARÍTIMOS[[#This Row],[Placa Carreta]]),"")</f>
        <v>C2C-998</v>
      </c>
      <c r="L210" s="44" t="str">
        <f>IFERROR(IF(MARÍTIMOS[[#This Row],[Conductor]]="","",MARÍTIMOS[[#This Row],[Conductor]]),"")</f>
        <v>CAMASCA CARNICA SIMION</v>
      </c>
      <c r="M210" s="2" t="str">
        <f>IFERROR(IF(MARÍTIMOS[[#This Row],[Licencia]]="","",MARÍTIMOS[[#This Row],[Licencia]]),"")</f>
        <v>Q40419234</v>
      </c>
      <c r="N210" s="2" t="str">
        <f>IFERROR(IF(MARÍTIMOS[[#This Row],[Número de Contacto]]="","",MARÍTIMOS[[#This Row],[Número de Contacto]]),"")</f>
        <v/>
      </c>
      <c r="O210" s="10">
        <f>IFERROR(IF(MARÍTIMOS[[#This Row],[Booking|AWB|CRT]]="","",MARÍTIMOS[[#This Row],[Booking|AWB|CRT]]),"")</f>
        <v>6509439060</v>
      </c>
      <c r="P210" s="2" t="str">
        <f>IFERROR(IF(MARÍTIMOS[[#This Row],[Contenedor]]="","",MARÍTIMOS[[#This Row],[Contenedor]]),"")</f>
        <v>OERU4811896</v>
      </c>
      <c r="Q210" s="2" t="str">
        <f>IFERROR(IF(MARÍTIMOS[[#This Row],[Puerto de Retiro]]="","",MARÍTIMOS[[#This Row],[Puerto de Retiro]]),"")</f>
        <v>CALLAO</v>
      </c>
      <c r="R210" s="2" t="str">
        <f>IFERROR(IF(MARÍTIMOS[[#This Row],[Almacén de Retiro]]="","",MARÍTIMOS[[#This Row],[Almacén de Retiro]]),"")</f>
        <v>FARGOLINE</v>
      </c>
      <c r="S210" s="11">
        <f>IFERROR(IF(MARÍTIMOS[[#This Row],[Etapa Retiro - Cita]]="","",MARÍTIMOS[[#This Row],[Etapa Retiro - Cita]]),"")</f>
        <v>46235.666666666664</v>
      </c>
      <c r="T210" s="11">
        <f>IFERROR(IF(MARÍTIMOS[[#This Row],[Etapa Retiro - Llegada]]="","",MARÍTIMOS[[#This Row],[Etapa Retiro - Llegada]]),"")</f>
        <v>46235.640972222223</v>
      </c>
      <c r="U210" s="11">
        <f>IFERROR(IF(MARÍTIMOS[[#This Row],[Etapa Retiro - Ingreso]]="","",MARÍTIMOS[[#This Row],[Etapa Retiro - Ingreso]]),"")</f>
        <v>46235.674305555556</v>
      </c>
      <c r="V210" s="11">
        <f>IFERROR(IF(MARÍTIMOS[[#This Row],[Etapa Retiro - Atención]]="","",MARÍTIMOS[[#This Row],[Etapa Retiro - Atención]]),"")</f>
        <v>46235.677777777775</v>
      </c>
      <c r="W210" s="11">
        <f>IFERROR(IF(MARÍTIMOS[[#This Row],[Etapa Retiro - Atención]]="","",MARÍTIMOS[[#This Row],[Etapa Retiro - Atención]]),"")</f>
        <v>46235.677777777775</v>
      </c>
      <c r="X210" s="11">
        <f>IFERROR(IF(MARÍTIMOS[[#This Row],[Etapa Retiro - Inicio de Ruta]]="","",MARÍTIMOS[[#This Row],[Etapa Retiro - Inicio de Ruta]]),"")</f>
        <v>46236.694444444445</v>
      </c>
      <c r="Y210" s="11">
        <f>IFERROR(IF(MARÍTIMOS[[#This Row],[Hora de Posicionamiento]]="","",MARÍTIMOS[[#This Row],[Fecha de Carga]]+MARÍTIMOS[[#This Row],[Hora de Posicionamiento]]),"")</f>
        <v>46237.5</v>
      </c>
      <c r="Z210" s="11">
        <f>IFERROR(IF(MARÍTIMOS[[#This Row],[Etapa Despacho - Llegada]]="","",MARÍTIMOS[[#This Row],[Etapa Despacho - Llegada]]),"")</f>
        <v>46237.467361111114</v>
      </c>
      <c r="AA210" s="11">
        <f>IFERROR(IF(MARÍTIMOS[[#This Row],[Etapa Despacho - Registro]]="","",MARÍTIMOS[[#This Row],[Etapa Despacho - Registro]]),"")</f>
        <v>46237.469444444447</v>
      </c>
      <c r="AB210" s="11">
        <f>IFERROR(IF(MARÍTIMOS[[#This Row],[Inspección Externa]]="","",MARÍTIMOS[[#This Row],[Inspección Externa]]),"")</f>
        <v>46237.472222222219</v>
      </c>
      <c r="AC210" s="11">
        <f>IFERROR(IF(MARÍTIMOS[[#This Row],[Etapa Despacho - Inicio de Carga]]="","",MARÍTIMOS[[#This Row],[Etapa Despacho - Inicio de Carga]]),"")</f>
        <v>46237.474999999999</v>
      </c>
      <c r="AD210" s="11">
        <f>IFERROR(IF(MARÍTIMOS[[#This Row],[Etapa Despacho - Mitad de Carga]]="","",MARÍTIMOS[[#This Row],[Etapa Despacho - Mitad de Carga]]),"")</f>
        <v>46237.654861111114</v>
      </c>
      <c r="AE210" s="11">
        <f>IFERROR(IF(MARÍTIMOS[[#This Row],[Etapa Despacho - Fin de Carga]]="","",MARÍTIMOS[[#This Row],[Etapa Despacho - Fin de Carga]]),"")</f>
        <v>46237.668749999997</v>
      </c>
      <c r="AF210" s="2" t="str">
        <f>IFERROR(IF(MARÍTIMOS[[#This Row],[Puerto de Embarque]]="","",MARÍTIMOS[[#This Row],[Puerto de Embarque]]),"")</f>
        <v>CALLAO</v>
      </c>
      <c r="AG210" s="2" t="str">
        <f>IFERROR(IF(MARÍTIMOS[[#This Row],[Almacén de Ingreso]]="","",MARÍTIMOS[[#This Row],[Almacén de Ingreso]]),"")</f>
        <v>CSPCP</v>
      </c>
      <c r="AH210" s="11">
        <f>IFERROR(IF(MARÍTIMOS[[#This Row],[Etapa Ingreso - Cita]]="","",MARÍTIMOS[[#This Row],[Etapa Ingreso - Cita]]),"")</f>
        <v>46238.333333333336</v>
      </c>
      <c r="AI210" s="11">
        <f>IFERROR(IF(MARÍTIMOS[[#This Row],[Etapa Ingreso - Llegada]]="","",MARÍTIMOS[[#This Row],[Etapa Ingreso - Llegada]]),"")</f>
        <v>46238.370833333334</v>
      </c>
      <c r="AJ210" s="11">
        <f>IFERROR(IF(MARÍTIMOS[[#This Row],[Etapa Ingreso - Ingeso]]="","",MARÍTIMOS[[#This Row],[Etapa Ingreso - Ingeso]]),"")</f>
        <v>46238.382638888892</v>
      </c>
      <c r="AK210" s="11">
        <f>IFERROR(IF(MARÍTIMOS[[#This Row],[Etapa Ingreso - Atención]]="","",MARÍTIMOS[[#This Row],[Etapa Ingreso - Atención]]),"")</f>
        <v>46238.388194444444</v>
      </c>
      <c r="AL210" s="11">
        <f>IFERROR(IF(MARÍTIMOS[[#This Row],[Etapa Ingreso - Salida]]="","",MARÍTIMOS[[#This Row],[Etapa Ingreso - Salida]]),"")</f>
        <v>46238.407638888886</v>
      </c>
      <c r="AM210" s="2">
        <f>IFERROR(IF(MARÍTIMOS[[#This Row],[FCL]]="","",MARÍTIMOS[[#This Row],[FCL]]),"")</f>
        <v>1</v>
      </c>
      <c r="AN2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0" s="4" t="str" cm="1">
        <f t="array" ref="AO2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0" s="5">
        <f>IFERROR(OLDBD[[#This Row],[Llegada a packing]]-OLDBD[[#This Row],[Inicio de Ruta]],"")</f>
        <v>0.77291666666860692</v>
      </c>
      <c r="AQ210" s="6">
        <f>IFERROR(OLDBD[[#This Row],[Inicio de Ruta]]-OLDBD[[#This Row],[Salida de almacén de retiro]],"")</f>
        <v>1.0166666666700621</v>
      </c>
      <c r="AR2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0" s="8" t="str" cm="1">
        <f t="array" ref="AS2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10" s="9">
        <f>IFERROR(OLDBD[[#This Row],[Ingreso Packing]]-OLDBD[[#This Row],[Registro en Packing]],"")</f>
        <v>2.7777777722803876E-3</v>
      </c>
      <c r="AV210" s="9">
        <f>IFERROR(OLDBD[[#This Row],[Ingreso Packing]]-OLDBD[[#This Row],[Llegada a packing]],"")</f>
        <v>4.8611111051286571E-3</v>
      </c>
      <c r="AW2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0" s="5">
        <f>IFERROR(OLDBD[[#This Row],[Llegada Almacén de Ingreso]]-OLDBD[[#This Row],[Salida Packing]],"")</f>
        <v>0.70208333333721384</v>
      </c>
      <c r="AY210" s="4" t="str" cm="1">
        <f t="array" ref="AY2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0" s="43" t="s">
        <v>173</v>
      </c>
      <c r="BB210" s="47" t="str">
        <f>IFERROR(IF(MARÍTIMOS[[#This Row],[Estatus]]="","",MARÍTIMOS[[#This Row],[Estatus]]),"")</f>
        <v>Confirmado</v>
      </c>
      <c r="BC210" s="43"/>
      <c r="BD210" s="46">
        <f>IFERROR(OLDBD[[#This Row],[Salida de almacén de retiro]]-OLDBD[[#This Row],[Ingreso Almacén de retiro]],"")</f>
        <v>3.4722222189884633E-3</v>
      </c>
      <c r="BE210" s="46">
        <f>IFERROR(OLDBD[[#This Row],[Fin de Carga]]-OLDBD[[#This Row],[Inicio de Carga]],"")</f>
        <v>0.179861111115315</v>
      </c>
    </row>
    <row r="211" spans="1:57" customFormat="1" hidden="1">
      <c r="A211" s="1"/>
      <c r="B211" s="1">
        <f>IFERROR(IF(MARÍTIMOS[[#This Row],[PP]]="","",MARÍTIMOS[[#This Row],[PP]]),"")</f>
        <v>32</v>
      </c>
      <c r="C211" s="1" t="str">
        <f>IFERROR(IF(MARÍTIMOS[[#This Row],[Sede]]="","",MARÍTIMOS[[#This Row],[Sede]]),"")</f>
        <v>Chao</v>
      </c>
      <c r="D211" s="1" t="str">
        <f>IFERROR(IF(MARÍTIMOS[[#This Row],[Instruction]]="","",MARÍTIMOS[[#This Row],[Instruction]]),"")</f>
        <v>RH-0420</v>
      </c>
      <c r="E211" s="1"/>
      <c r="F211" s="2" t="str">
        <f>IFERROR(IF(MARÍTIMOS[[#This Row],[Transportista]]="","",MARÍTIMOS[[#This Row],[Transportista]]),"")</f>
        <v>LIP</v>
      </c>
      <c r="G211" s="2" t="str">
        <f>IFERROR(IF(MARÍTIMOS[[#This Row],[Tercero]]="","",MARÍTIMOS[[#This Row],[Tercero]]),"")</f>
        <v>NO</v>
      </c>
      <c r="H211" s="2" t="str">
        <f>IFERROR(IF(MARÍTIMOS[[#This Row],[Razón Social]]="","",MARÍTIMOS[[#This Row],[Razón Social]]),"")</f>
        <v>LOGISTICA INTERMODAL DEL PERU S.A.C.</v>
      </c>
      <c r="I211" s="2">
        <f>IFERROR(IF(MARÍTIMOS[[#This Row],[RUC]]="","",MARÍTIMOS[[#This Row],[RUC]]),"")</f>
        <v>20513040718</v>
      </c>
      <c r="J211" s="2" t="str">
        <f>IFERROR(IF(MARÍTIMOS[[#This Row],[Placa Tracto]]="","",MARÍTIMOS[[#This Row],[Placa Tracto]]),"")</f>
        <v>AMP-767</v>
      </c>
      <c r="K211" s="2" t="str">
        <f>IFERROR(IF(MARÍTIMOS[[#This Row],[Placa Carreta]]="","",MARÍTIMOS[[#This Row],[Placa Carreta]]),"")</f>
        <v>AZL-971</v>
      </c>
      <c r="L211" s="44" t="str">
        <f>IFERROR(IF(MARÍTIMOS[[#This Row],[Conductor]]="","",MARÍTIMOS[[#This Row],[Conductor]]),"")</f>
        <v>POPAYAN DOMINGUEZ OSCAR CANTO</v>
      </c>
      <c r="M211" s="2" t="str">
        <f>IFERROR(IF(MARÍTIMOS[[#This Row],[Licencia]]="","",MARÍTIMOS[[#This Row],[Licencia]]),"")</f>
        <v>Q32110321</v>
      </c>
      <c r="N211" s="2" t="str">
        <f>IFERROR(IF(MARÍTIMOS[[#This Row],[Número de Contacto]]="","",MARÍTIMOS[[#This Row],[Número de Contacto]]),"")</f>
        <v/>
      </c>
      <c r="O211" s="10">
        <f>IFERROR(IF(MARÍTIMOS[[#This Row],[Booking|AWB|CRT]]="","",MARÍTIMOS[[#This Row],[Booking|AWB|CRT]]),"")</f>
        <v>6461847420</v>
      </c>
      <c r="P211" s="2" t="str">
        <f>IFERROR(IF(MARÍTIMOS[[#This Row],[Contenedor]]="","",MARÍTIMOS[[#This Row],[Contenedor]]),"")</f>
        <v>OERU4815150</v>
      </c>
      <c r="Q211" s="2" t="str">
        <f>IFERROR(IF(MARÍTIMOS[[#This Row],[Puerto de Retiro]]="","",MARÍTIMOS[[#This Row],[Puerto de Retiro]]),"")</f>
        <v>CALLAO</v>
      </c>
      <c r="R211" s="2" t="str">
        <f>IFERROR(IF(MARÍTIMOS[[#This Row],[Almacén de Retiro]]="","",MARÍTIMOS[[#This Row],[Almacén de Retiro]]),"")</f>
        <v>FARGOLINE</v>
      </c>
      <c r="S211" s="11">
        <f>IFERROR(IF(MARÍTIMOS[[#This Row],[Etapa Retiro - Cita]]="","",MARÍTIMOS[[#This Row],[Etapa Retiro - Cita]]),"")</f>
        <v>46242.541666666664</v>
      </c>
      <c r="T211" s="11">
        <f>IFERROR(IF(MARÍTIMOS[[#This Row],[Etapa Retiro - Llegada]]="","",MARÍTIMOS[[#This Row],[Etapa Retiro - Llegada]]),"")</f>
        <v>46242.565972222219</v>
      </c>
      <c r="U211" s="11">
        <f>IFERROR(IF(MARÍTIMOS[[#This Row],[Etapa Retiro - Ingreso]]="","",MARÍTIMOS[[#This Row],[Etapa Retiro - Ingreso]]),"")</f>
        <v>46242.585416666669</v>
      </c>
      <c r="V211" s="11">
        <f>IFERROR(IF(MARÍTIMOS[[#This Row],[Etapa Retiro - Atención]]="","",MARÍTIMOS[[#This Row],[Etapa Retiro - Atención]]),"")</f>
        <v>46242.609722222223</v>
      </c>
      <c r="W211" s="11">
        <f>IFERROR(IF(MARÍTIMOS[[#This Row],[Etapa Retiro - Atención]]="","",MARÍTIMOS[[#This Row],[Etapa Retiro - Atención]]),"")</f>
        <v>46242.609722222223</v>
      </c>
      <c r="X211" s="11">
        <f>IFERROR(IF(MARÍTIMOS[[#This Row],[Etapa Retiro - Inicio de Ruta]]="","",MARÍTIMOS[[#This Row],[Etapa Retiro - Inicio de Ruta]]),"")</f>
        <v>46243.011111111111</v>
      </c>
      <c r="Y211" s="11">
        <f>IFERROR(IF(MARÍTIMOS[[#This Row],[Hora de Posicionamiento]]="","",MARÍTIMOS[[#This Row],[Fecha de Carga]]+MARÍTIMOS[[#This Row],[Hora de Posicionamiento]]),"")</f>
        <v>46243.583333333336</v>
      </c>
      <c r="Z211" s="11">
        <f>IFERROR(IF(MARÍTIMOS[[#This Row],[Etapa Despacho - Llegada]]="","",MARÍTIMOS[[#This Row],[Etapa Despacho - Llegada]]),"")</f>
        <v>46243.533333333333</v>
      </c>
      <c r="AA211" s="11">
        <f>IFERROR(IF(MARÍTIMOS[[#This Row],[Etapa Despacho - Registro]]="","",MARÍTIMOS[[#This Row],[Etapa Despacho - Registro]]),"")</f>
        <v>46243.677083333336</v>
      </c>
      <c r="AB211" s="11">
        <f>IFERROR(IF(MARÍTIMOS[[#This Row],[Inspección Externa]]="","",MARÍTIMOS[[#This Row],[Inspección Externa]]),"")</f>
        <v>46243.680555555555</v>
      </c>
      <c r="AC211" s="11">
        <f>IFERROR(IF(MARÍTIMOS[[#This Row],[Etapa Despacho - Inicio de Carga]]="","",MARÍTIMOS[[#This Row],[Etapa Despacho - Inicio de Carga]]),"")</f>
        <v>46243.689583333333</v>
      </c>
      <c r="AD211" s="11">
        <f>IFERROR(IF(MARÍTIMOS[[#This Row],[Etapa Despacho - Mitad de Carga]]="","",MARÍTIMOS[[#This Row],[Etapa Despacho - Mitad de Carga]]),"")</f>
        <v>46243.767361111109</v>
      </c>
      <c r="AE211" s="11">
        <f>IFERROR(IF(MARÍTIMOS[[#This Row],[Etapa Despacho - Fin de Carga]]="","",MARÍTIMOS[[#This Row],[Etapa Despacho - Fin de Carga]]),"")</f>
        <v>46243.783333333333</v>
      </c>
      <c r="AF211" s="2" t="str">
        <f>IFERROR(IF(MARÍTIMOS[[#This Row],[Puerto de Embarque]]="","",MARÍTIMOS[[#This Row],[Puerto de Embarque]]),"")</f>
        <v>CHANCAY</v>
      </c>
      <c r="AG211" s="2" t="str">
        <f>IFERROR(IF(MARÍTIMOS[[#This Row],[Almacén de Ingreso]]="","",MARÍTIMOS[[#This Row],[Almacén de Ingreso]]),"")</f>
        <v>CSPCP</v>
      </c>
      <c r="AH211" s="11">
        <f>IFERROR(IF(MARÍTIMOS[[#This Row],[Etapa Ingreso - Cita]]="","",MARÍTIMOS[[#This Row],[Etapa Ingreso - Cita]]),"")</f>
        <v>46244.416666666664</v>
      </c>
      <c r="AI211" s="11">
        <f>IFERROR(IF(MARÍTIMOS[[#This Row],[Etapa Ingreso - Llegada]]="","",MARÍTIMOS[[#This Row],[Etapa Ingreso - Llegada]]),"")</f>
        <v>46244.42083333333</v>
      </c>
      <c r="AJ211" s="11">
        <f>IFERROR(IF(MARÍTIMOS[[#This Row],[Etapa Ingreso - Ingeso]]="","",MARÍTIMOS[[#This Row],[Etapa Ingreso - Ingeso]]),"")</f>
        <v>46244.422222222223</v>
      </c>
      <c r="AK211" s="11">
        <f>IFERROR(IF(MARÍTIMOS[[#This Row],[Etapa Ingreso - Atención]]="","",MARÍTIMOS[[#This Row],[Etapa Ingreso - Atención]]),"")</f>
        <v>46244.442361111112</v>
      </c>
      <c r="AL211" s="11">
        <f>IFERROR(IF(MARÍTIMOS[[#This Row],[Etapa Ingreso - Salida]]="","",MARÍTIMOS[[#This Row],[Etapa Ingreso - Salida]]),"")</f>
        <v>46244.463194444441</v>
      </c>
      <c r="AM211" s="2">
        <f>IFERROR(IF(MARÍTIMOS[[#This Row],[FCL]]="","",MARÍTIMOS[[#This Row],[FCL]]),"")</f>
        <v>1</v>
      </c>
      <c r="AN2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1" s="4" t="str" cm="1">
        <f t="array" ref="AO2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1" s="5">
        <f>IFERROR(OLDBD[[#This Row],[Llegada a packing]]-OLDBD[[#This Row],[Inicio de Ruta]],"")</f>
        <v>0.52222222222189885</v>
      </c>
      <c r="AQ211" s="6">
        <f>IFERROR(OLDBD[[#This Row],[Inicio de Ruta]]-OLDBD[[#This Row],[Salida de almacén de retiro]],"")</f>
        <v>0.40138888888759539</v>
      </c>
      <c r="AR2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1" s="8" t="str" cm="1">
        <f t="array" ref="AS2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11" s="9">
        <f>IFERROR(OLDBD[[#This Row],[Ingreso Packing]]-OLDBD[[#This Row],[Registro en Packing]],"")</f>
        <v>3.4722222189884633E-3</v>
      </c>
      <c r="AV211" s="9">
        <f>IFERROR(OLDBD[[#This Row],[Ingreso Packing]]-OLDBD[[#This Row],[Llegada a packing]],"")</f>
        <v>0.14722222222189885</v>
      </c>
      <c r="AW2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1" s="5">
        <f>IFERROR(OLDBD[[#This Row],[Llegada Almacén de Ingreso]]-OLDBD[[#This Row],[Salida Packing]],"")</f>
        <v>0.63749999999708962</v>
      </c>
      <c r="AY211" s="4" t="str" cm="1">
        <f t="array" ref="AY2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1" s="43" t="s">
        <v>173</v>
      </c>
      <c r="BB211" s="47" t="str">
        <f>IFERROR(IF(MARÍTIMOS[[#This Row],[Estatus]]="","",MARÍTIMOS[[#This Row],[Estatus]]),"")</f>
        <v>Confirmado</v>
      </c>
      <c r="BC211" s="43"/>
      <c r="BD211" s="46">
        <f>IFERROR(OLDBD[[#This Row],[Salida de almacén de retiro]]-OLDBD[[#This Row],[Ingreso Almacén de retiro]],"")</f>
        <v>2.4305555554747116E-2</v>
      </c>
      <c r="BE211" s="46">
        <f>IFERROR(OLDBD[[#This Row],[Fin de Carga]]-OLDBD[[#This Row],[Inicio de Carga]],"")</f>
        <v>7.7777777776645962E-2</v>
      </c>
    </row>
    <row r="212" spans="1:57" customFormat="1" hidden="1">
      <c r="A212" s="1"/>
      <c r="B212" s="1">
        <f>IFERROR(IF(MARÍTIMOS[[#This Row],[PP]]="","",MARÍTIMOS[[#This Row],[PP]]),"")</f>
        <v>32</v>
      </c>
      <c r="C212" s="1" t="str">
        <f>IFERROR(IF(MARÍTIMOS[[#This Row],[Sede]]="","",MARÍTIMOS[[#This Row],[Sede]]),"")</f>
        <v>Chao</v>
      </c>
      <c r="D212" s="1" t="str">
        <f>IFERROR(IF(MARÍTIMOS[[#This Row],[Instruction]]="","",MARÍTIMOS[[#This Row],[Instruction]]),"")</f>
        <v>RH-0421</v>
      </c>
      <c r="E212" s="1"/>
      <c r="F212" s="2" t="str">
        <f>IFERROR(IF(MARÍTIMOS[[#This Row],[Transportista]]="","",MARÍTIMOS[[#This Row],[Transportista]]),"")</f>
        <v>LIP</v>
      </c>
      <c r="G212" s="2" t="str">
        <f>IFERROR(IF(MARÍTIMOS[[#This Row],[Tercero]]="","",MARÍTIMOS[[#This Row],[Tercero]]),"")</f>
        <v>NO</v>
      </c>
      <c r="H212" s="2" t="str">
        <f>IFERROR(IF(MARÍTIMOS[[#This Row],[Razón Social]]="","",MARÍTIMOS[[#This Row],[Razón Social]]),"")</f>
        <v>MANUFACTURAS DE ACERO COMERCIAL E INDUSTRIAL S.A.</v>
      </c>
      <c r="I212" s="2">
        <f>IFERROR(IF(MARÍTIMOS[[#This Row],[RUC]]="","",MARÍTIMOS[[#This Row],[RUC]]),"")</f>
        <v>20100727359</v>
      </c>
      <c r="J212" s="2" t="str">
        <f>IFERROR(IF(MARÍTIMOS[[#This Row],[Placa Tracto]]="","",MARÍTIMOS[[#This Row],[Placa Tracto]]),"")</f>
        <v>BYP-947</v>
      </c>
      <c r="K212" s="2" t="str">
        <f>IFERROR(IF(MARÍTIMOS[[#This Row],[Placa Carreta]]="","",MARÍTIMOS[[#This Row],[Placa Carreta]]),"")</f>
        <v>ARW-980</v>
      </c>
      <c r="L212" s="44" t="str">
        <f>IFERROR(IF(MARÍTIMOS[[#This Row],[Conductor]]="","",MARÍTIMOS[[#This Row],[Conductor]]),"")</f>
        <v>CHOQUEHUANCA MARTINEZ CARLOS</v>
      </c>
      <c r="M212" s="2" t="str">
        <f>IFERROR(IF(MARÍTIMOS[[#This Row],[Licencia]]="","",MARÍTIMOS[[#This Row],[Licencia]]),"")</f>
        <v>Q10746212</v>
      </c>
      <c r="N212" s="2" t="str">
        <f>IFERROR(IF(MARÍTIMOS[[#This Row],[Número de Contacto]]="","",MARÍTIMOS[[#This Row],[Número de Contacto]]),"")</f>
        <v/>
      </c>
      <c r="O212" s="10">
        <f>IFERROR(IF(MARÍTIMOS[[#This Row],[Booking|AWB|CRT]]="","",MARÍTIMOS[[#This Row],[Booking|AWB|CRT]]),"")</f>
        <v>6461847540</v>
      </c>
      <c r="P212" s="2" t="str">
        <f>IFERROR(IF(MARÍTIMOS[[#This Row],[Contenedor]]="","",MARÍTIMOS[[#This Row],[Contenedor]]),"")</f>
        <v>OERU4817472</v>
      </c>
      <c r="Q212" s="2" t="str">
        <f>IFERROR(IF(MARÍTIMOS[[#This Row],[Puerto de Retiro]]="","",MARÍTIMOS[[#This Row],[Puerto de Retiro]]),"")</f>
        <v>CALLAO</v>
      </c>
      <c r="R212" s="2" t="str">
        <f>IFERROR(IF(MARÍTIMOS[[#This Row],[Almacén de Retiro]]="","",MARÍTIMOS[[#This Row],[Almacén de Retiro]]),"")</f>
        <v>FARGOLINE</v>
      </c>
      <c r="S212" s="11">
        <f>IFERROR(IF(MARÍTIMOS[[#This Row],[Etapa Retiro - Cita]]="","",MARÍTIMOS[[#This Row],[Etapa Retiro - Cita]]),"")</f>
        <v>46242.541666666664</v>
      </c>
      <c r="T212" s="11">
        <f>IFERROR(IF(MARÍTIMOS[[#This Row],[Etapa Retiro - Llegada]]="","",MARÍTIMOS[[#This Row],[Etapa Retiro - Llegada]]),"")</f>
        <v>46242.6</v>
      </c>
      <c r="U212" s="11">
        <f>IFERROR(IF(MARÍTIMOS[[#This Row],[Etapa Retiro - Ingreso]]="","",MARÍTIMOS[[#This Row],[Etapa Retiro - Ingreso]]),"")</f>
        <v>46242.604166666664</v>
      </c>
      <c r="V212" s="11">
        <f>IFERROR(IF(MARÍTIMOS[[#This Row],[Etapa Retiro - Atención]]="","",MARÍTIMOS[[#This Row],[Etapa Retiro - Atención]]),"")</f>
        <v>46242.65347222222</v>
      </c>
      <c r="W212" s="11">
        <f>IFERROR(IF(MARÍTIMOS[[#This Row],[Etapa Retiro - Atención]]="","",MARÍTIMOS[[#This Row],[Etapa Retiro - Atención]]),"")</f>
        <v>46242.65347222222</v>
      </c>
      <c r="X212" s="11">
        <f>IFERROR(IF(MARÍTIMOS[[#This Row],[Etapa Retiro - Inicio de Ruta]]="","",MARÍTIMOS[[#This Row],[Etapa Retiro - Inicio de Ruta]]),"")</f>
        <v>46242.675000000003</v>
      </c>
      <c r="Y212" s="11">
        <f>IFERROR(IF(MARÍTIMOS[[#This Row],[Hora de Posicionamiento]]="","",MARÍTIMOS[[#This Row],[Fecha de Carga]]+MARÍTIMOS[[#This Row],[Hora de Posicionamiento]]),"")</f>
        <v>46243.583333333336</v>
      </c>
      <c r="Z212" s="11">
        <f>IFERROR(IF(MARÍTIMOS[[#This Row],[Etapa Despacho - Llegada]]="","",MARÍTIMOS[[#This Row],[Etapa Despacho - Llegada]]),"")</f>
        <v>46243.54791666667</v>
      </c>
      <c r="AA212" s="11">
        <f>IFERROR(IF(MARÍTIMOS[[#This Row],[Etapa Despacho - Registro]]="","",MARÍTIMOS[[#This Row],[Etapa Despacho - Registro]]),"")</f>
        <v>46243.75</v>
      </c>
      <c r="AB212" s="11">
        <f>IFERROR(IF(MARÍTIMOS[[#This Row],[Inspección Externa]]="","",MARÍTIMOS[[#This Row],[Inspección Externa]]),"")</f>
        <v>46243.756944444445</v>
      </c>
      <c r="AC212" s="11">
        <f>IFERROR(IF(MARÍTIMOS[[#This Row],[Etapa Despacho - Inicio de Carga]]="","",MARÍTIMOS[[#This Row],[Etapa Despacho - Inicio de Carga]]),"")</f>
        <v>46243.763888888891</v>
      </c>
      <c r="AD212" s="11">
        <f>IFERROR(IF(MARÍTIMOS[[#This Row],[Etapa Despacho - Mitad de Carga]]="","",MARÍTIMOS[[#This Row],[Etapa Despacho - Mitad de Carga]]),"")</f>
        <v>46243.822916666664</v>
      </c>
      <c r="AE212" s="11">
        <f>IFERROR(IF(MARÍTIMOS[[#This Row],[Etapa Despacho - Fin de Carga]]="","",MARÍTIMOS[[#This Row],[Etapa Despacho - Fin de Carga]]),"")</f>
        <v>46243.838888888888</v>
      </c>
      <c r="AF212" s="2" t="str">
        <f>IFERROR(IF(MARÍTIMOS[[#This Row],[Puerto de Embarque]]="","",MARÍTIMOS[[#This Row],[Puerto de Embarque]]),"")</f>
        <v>CHANCAY</v>
      </c>
      <c r="AG212" s="2" t="str">
        <f>IFERROR(IF(MARÍTIMOS[[#This Row],[Almacén de Ingreso]]="","",MARÍTIMOS[[#This Row],[Almacén de Ingreso]]),"")</f>
        <v>CSPCP</v>
      </c>
      <c r="AH212" s="11">
        <f>IFERROR(IF(MARÍTIMOS[[#This Row],[Etapa Ingreso - Cita]]="","",MARÍTIMOS[[#This Row],[Etapa Ingreso - Cita]]),"")</f>
        <v>46244.5</v>
      </c>
      <c r="AI212" s="11">
        <f>IFERROR(IF(MARÍTIMOS[[#This Row],[Etapa Ingreso - Llegada]]="","",MARÍTIMOS[[#This Row],[Etapa Ingreso - Llegada]]),"")</f>
        <v>46244.5</v>
      </c>
      <c r="AJ212" s="11">
        <f>IFERROR(IF(MARÍTIMOS[[#This Row],[Etapa Ingreso - Ingeso]]="","",MARÍTIMOS[[#This Row],[Etapa Ingreso - Ingeso]]),"")</f>
        <v>46244.503472222219</v>
      </c>
      <c r="AK212" s="11">
        <f>IFERROR(IF(MARÍTIMOS[[#This Row],[Etapa Ingreso - Atención]]="","",MARÍTIMOS[[#This Row],[Etapa Ingreso - Atención]]),"")</f>
        <v>46244.527777777781</v>
      </c>
      <c r="AL212" s="11">
        <f>IFERROR(IF(MARÍTIMOS[[#This Row],[Etapa Ingreso - Salida]]="","",MARÍTIMOS[[#This Row],[Etapa Ingreso - Salida]]),"")</f>
        <v>46244.542361111111</v>
      </c>
      <c r="AM212" s="2">
        <f>IFERROR(IF(MARÍTIMOS[[#This Row],[FCL]]="","",MARÍTIMOS[[#This Row],[FCL]]),"")</f>
        <v>1</v>
      </c>
      <c r="AN2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2" s="4" t="str" cm="1">
        <f t="array" ref="AO2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2" s="5">
        <f>IFERROR(OLDBD[[#This Row],[Llegada a packing]]-OLDBD[[#This Row],[Inicio de Ruta]],"")</f>
        <v>0.87291666666715173</v>
      </c>
      <c r="AQ212" s="6">
        <f>IFERROR(OLDBD[[#This Row],[Inicio de Ruta]]-OLDBD[[#This Row],[Salida de almacén de retiro]],"")</f>
        <v>2.1527777782466728E-2</v>
      </c>
      <c r="AR2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2" s="8" t="str" cm="1">
        <f t="array" ref="AS2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12" s="9">
        <f>IFERROR(OLDBD[[#This Row],[Ingreso Packing]]-OLDBD[[#This Row],[Registro en Packing]],"")</f>
        <v>6.9444444452528842E-3</v>
      </c>
      <c r="AV212" s="9">
        <f>IFERROR(OLDBD[[#This Row],[Ingreso Packing]]-OLDBD[[#This Row],[Llegada a packing]],"")</f>
        <v>0.20902777777519077</v>
      </c>
      <c r="AW2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2" s="5">
        <f>IFERROR(OLDBD[[#This Row],[Llegada Almacén de Ingreso]]-OLDBD[[#This Row],[Salida Packing]],"")</f>
        <v>0.66111111111240461</v>
      </c>
      <c r="AY212" s="4" t="str" cm="1">
        <f t="array" ref="AY2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2" s="43" t="s">
        <v>173</v>
      </c>
      <c r="BB212" s="47" t="str">
        <f>IFERROR(IF(MARÍTIMOS[[#This Row],[Estatus]]="","",MARÍTIMOS[[#This Row],[Estatus]]),"")</f>
        <v>Confirmado</v>
      </c>
      <c r="BC212" s="43"/>
      <c r="BD212" s="46">
        <f>IFERROR(OLDBD[[#This Row],[Salida de almacén de retiro]]-OLDBD[[#This Row],[Ingreso Almacén de retiro]],"")</f>
        <v>4.9305555556202307E-2</v>
      </c>
      <c r="BE212" s="46">
        <f>IFERROR(OLDBD[[#This Row],[Fin de Carga]]-OLDBD[[#This Row],[Inicio de Carga]],"")</f>
        <v>5.9027777773735579E-2</v>
      </c>
    </row>
    <row r="213" spans="1:57" customFormat="1" hidden="1">
      <c r="A213" s="1"/>
      <c r="B213" s="1">
        <f>IFERROR(IF(MARÍTIMOS[[#This Row],[PP]]="","",MARÍTIMOS[[#This Row],[PP]]),"")</f>
        <v>32</v>
      </c>
      <c r="C213" s="1" t="str">
        <f>IFERROR(IF(MARÍTIMOS[[#This Row],[Sede]]="","",MARÍTIMOS[[#This Row],[Sede]]),"")</f>
        <v>Chao</v>
      </c>
      <c r="D213" s="1" t="str">
        <f>IFERROR(IF(MARÍTIMOS[[#This Row],[Instruction]]="","",MARÍTIMOS[[#This Row],[Instruction]]),"")</f>
        <v>RH-0424</v>
      </c>
      <c r="E213" s="1"/>
      <c r="F213" s="2" t="str">
        <f>IFERROR(IF(MARÍTIMOS[[#This Row],[Transportista]]="","",MARÍTIMOS[[#This Row],[Transportista]]),"")</f>
        <v>LIP</v>
      </c>
      <c r="G213" s="2" t="str">
        <f>IFERROR(IF(MARÍTIMOS[[#This Row],[Tercero]]="","",MARÍTIMOS[[#This Row],[Tercero]]),"")</f>
        <v>NO</v>
      </c>
      <c r="H213" s="2" t="str">
        <f>IFERROR(IF(MARÍTIMOS[[#This Row],[Razón Social]]="","",MARÍTIMOS[[#This Row],[Razón Social]]),"")</f>
        <v>TGD SERVICIOS S.A.C</v>
      </c>
      <c r="I213" s="2">
        <f>IFERROR(IF(MARÍTIMOS[[#This Row],[RUC]]="","",MARÍTIMOS[[#This Row],[RUC]]),"")</f>
        <v>20614404460</v>
      </c>
      <c r="J213" s="2" t="str">
        <f>IFERROR(IF(MARÍTIMOS[[#This Row],[Placa Tracto]]="","",MARÍTIMOS[[#This Row],[Placa Tracto]]),"")</f>
        <v>ABH-924</v>
      </c>
      <c r="K213" s="2" t="str">
        <f>IFERROR(IF(MARÍTIMOS[[#This Row],[Placa Carreta]]="","",MARÍTIMOS[[#This Row],[Placa Carreta]]),"")</f>
        <v>AEB-975</v>
      </c>
      <c r="L213" s="44" t="str">
        <f>IFERROR(IF(MARÍTIMOS[[#This Row],[Conductor]]="","",MARÍTIMOS[[#This Row],[Conductor]]),"")</f>
        <v>QUISPE SAIRE JOSE ROLANDO</v>
      </c>
      <c r="M213" s="2" t="str">
        <f>IFERROR(IF(MARÍTIMOS[[#This Row],[Licencia]]="","",MARÍTIMOS[[#This Row],[Licencia]]),"")</f>
        <v>Q10672718</v>
      </c>
      <c r="N213" s="2" t="str">
        <f>IFERROR(IF(MARÍTIMOS[[#This Row],[Número de Contacto]]="","",MARÍTIMOS[[#This Row],[Número de Contacto]]),"")</f>
        <v/>
      </c>
      <c r="O213" s="10">
        <f>IFERROR(IF(MARÍTIMOS[[#This Row],[Booking|AWB|CRT]]="","",MARÍTIMOS[[#This Row],[Booking|AWB|CRT]]),"")</f>
        <v>751600043223</v>
      </c>
      <c r="P213" s="2" t="str">
        <f>IFERROR(IF(MARÍTIMOS[[#This Row],[Contenedor]]="","",MARÍTIMOS[[#This Row],[Contenedor]]),"")</f>
        <v>EMCU5665048</v>
      </c>
      <c r="Q213" s="2" t="str">
        <f>IFERROR(IF(MARÍTIMOS[[#This Row],[Puerto de Retiro]]="","",MARÍTIMOS[[#This Row],[Puerto de Retiro]]),"")</f>
        <v>CALLAO</v>
      </c>
      <c r="R213" s="2" t="str">
        <f>IFERROR(IF(MARÍTIMOS[[#This Row],[Almacén de Retiro]]="","",MARÍTIMOS[[#This Row],[Almacén de Retiro]]),"")</f>
        <v>IMUPESA</v>
      </c>
      <c r="S213" s="11">
        <f>IFERROR(IF(MARÍTIMOS[[#This Row],[Etapa Retiro - Cita]]="","",MARÍTIMOS[[#This Row],[Etapa Retiro - Cita]]),"")</f>
        <v>46243.833333333336</v>
      </c>
      <c r="T213" s="11">
        <f>IFERROR(IF(MARÍTIMOS[[#This Row],[Etapa Retiro - Llegada]]="","",MARÍTIMOS[[#This Row],[Etapa Retiro - Llegada]]),"")</f>
        <v>46243.651388888888</v>
      </c>
      <c r="U213" s="11">
        <f>IFERROR(IF(MARÍTIMOS[[#This Row],[Etapa Retiro - Ingreso]]="","",MARÍTIMOS[[#This Row],[Etapa Retiro - Ingreso]]),"")</f>
        <v>46243.663888888892</v>
      </c>
      <c r="V213" s="11">
        <f>IFERROR(IF(MARÍTIMOS[[#This Row],[Etapa Retiro - Atención]]="","",MARÍTIMOS[[#This Row],[Etapa Retiro - Atención]]),"")</f>
        <v>46243.675694444442</v>
      </c>
      <c r="W213" s="11">
        <f>IFERROR(IF(MARÍTIMOS[[#This Row],[Etapa Retiro - Atención]]="","",MARÍTIMOS[[#This Row],[Etapa Retiro - Atención]]),"")</f>
        <v>46243.675694444442</v>
      </c>
      <c r="X213" s="11">
        <f>IFERROR(IF(MARÍTIMOS[[#This Row],[Etapa Retiro - Inicio de Ruta]]="","",MARÍTIMOS[[#This Row],[Etapa Retiro - Inicio de Ruta]]),"")</f>
        <v>46243.777083333334</v>
      </c>
      <c r="Y213" s="11">
        <f>IFERROR(IF(MARÍTIMOS[[#This Row],[Hora de Posicionamiento]]="","",MARÍTIMOS[[#This Row],[Fecha de Carga]]+MARÍTIMOS[[#This Row],[Hora de Posicionamiento]]),"")</f>
        <v>46244.5</v>
      </c>
      <c r="Z213" s="11">
        <f>IFERROR(IF(MARÍTIMOS[[#This Row],[Etapa Despacho - Llegada]]="","",MARÍTIMOS[[#This Row],[Etapa Despacho - Llegada]]),"")</f>
        <v>46244.423611111109</v>
      </c>
      <c r="AA213" s="11">
        <f>IFERROR(IF(MARÍTIMOS[[#This Row],[Etapa Despacho - Registro]]="","",MARÍTIMOS[[#This Row],[Etapa Despacho - Registro]]),"")</f>
        <v>46244.4375</v>
      </c>
      <c r="AB213" s="11">
        <f>IFERROR(IF(MARÍTIMOS[[#This Row],[Inspección Externa]]="","",MARÍTIMOS[[#This Row],[Inspección Externa]]),"")</f>
        <v>46244.443055555559</v>
      </c>
      <c r="AC213" s="11">
        <f>IFERROR(IF(MARÍTIMOS[[#This Row],[Etapa Despacho - Inicio de Carga]]="","",MARÍTIMOS[[#This Row],[Etapa Despacho - Inicio de Carga]]),"")</f>
        <v>46244.451388888891</v>
      </c>
      <c r="AD213" s="11">
        <f>IFERROR(IF(MARÍTIMOS[[#This Row],[Etapa Despacho - Mitad de Carga]]="","",MARÍTIMOS[[#This Row],[Etapa Despacho - Mitad de Carga]]),"")</f>
        <v>46244.621527777781</v>
      </c>
      <c r="AE213" s="11">
        <f>IFERROR(IF(MARÍTIMOS[[#This Row],[Etapa Despacho - Fin de Carga]]="","",MARÍTIMOS[[#This Row],[Etapa Despacho - Fin de Carga]]),"")</f>
        <v>46244.637499999997</v>
      </c>
      <c r="AF213" s="2" t="str">
        <f>IFERROR(IF(MARÍTIMOS[[#This Row],[Puerto de Embarque]]="","",MARÍTIMOS[[#This Row],[Puerto de Embarque]]),"")</f>
        <v>Callao</v>
      </c>
      <c r="AG213" s="2" t="str">
        <f>IFERROR(IF(MARÍTIMOS[[#This Row],[Almacén de Ingreso]]="","",MARÍTIMOS[[#This Row],[Almacén de Ingreso]]),"")</f>
        <v>DPW</v>
      </c>
      <c r="AH213" s="11">
        <f>IFERROR(IF(MARÍTIMOS[[#This Row],[Etapa Ingreso - Cita]]="","",MARÍTIMOS[[#This Row],[Etapa Ingreso - Cita]]),"")</f>
        <v>46245.375</v>
      </c>
      <c r="AI213" s="11">
        <f>IFERROR(IF(MARÍTIMOS[[#This Row],[Etapa Ingreso - Llegada]]="","",MARÍTIMOS[[#This Row],[Etapa Ingreso - Llegada]]),"")</f>
        <v>46245.089583333334</v>
      </c>
      <c r="AJ213" s="11">
        <f>IFERROR(IF(MARÍTIMOS[[#This Row],[Etapa Ingreso - Ingeso]]="","",MARÍTIMOS[[#This Row],[Etapa Ingreso - Ingeso]]),"")</f>
        <v>46245.363888888889</v>
      </c>
      <c r="AK213" s="11">
        <f>IFERROR(IF(MARÍTIMOS[[#This Row],[Etapa Ingreso - Atención]]="","",MARÍTIMOS[[#This Row],[Etapa Ingreso - Atención]]),"")</f>
        <v>46245.368750000001</v>
      </c>
      <c r="AL213" s="11">
        <f>IFERROR(IF(MARÍTIMOS[[#This Row],[Etapa Ingreso - Salida]]="","",MARÍTIMOS[[#This Row],[Etapa Ingreso - Salida]]),"")</f>
        <v>46245.395138888889</v>
      </c>
      <c r="AM213" s="2">
        <f>IFERROR(IF(MARÍTIMOS[[#This Row],[FCL]]="","",MARÍTIMOS[[#This Row],[FCL]]),"")</f>
        <v>1</v>
      </c>
      <c r="AN2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213" s="4" t="str" cm="1">
        <f t="array" ref="AO2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3" s="5">
        <f>IFERROR(OLDBD[[#This Row],[Llegada a packing]]-OLDBD[[#This Row],[Inicio de Ruta]],"")</f>
        <v>0.64652777777519077</v>
      </c>
      <c r="AQ213" s="6">
        <f>IFERROR(OLDBD[[#This Row],[Inicio de Ruta]]-OLDBD[[#This Row],[Salida de almacén de retiro]],"")</f>
        <v>0.10138888889196096</v>
      </c>
      <c r="AR2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3" s="8" t="str" cm="1">
        <f t="array" ref="AS2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13" s="9">
        <f>IFERROR(OLDBD[[#This Row],[Ingreso Packing]]-OLDBD[[#This Row],[Registro en Packing]],"")</f>
        <v>5.5555555591126904E-3</v>
      </c>
      <c r="AV213" s="9">
        <f>IFERROR(OLDBD[[#This Row],[Ingreso Packing]]-OLDBD[[#This Row],[Llegada a packing]],"")</f>
        <v>1.9444444449618459E-2</v>
      </c>
      <c r="AW2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3" s="5">
        <f>IFERROR(OLDBD[[#This Row],[Llegada Almacén de Ingreso]]-OLDBD[[#This Row],[Salida Packing]],"")</f>
        <v>0.45208333333721384</v>
      </c>
      <c r="AY213" s="4" t="str" cm="1">
        <f t="array" ref="AY2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2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13" s="43" t="s">
        <v>173</v>
      </c>
      <c r="BB213" s="47" t="str">
        <f>IFERROR(IF(MARÍTIMOS[[#This Row],[Estatus]]="","",MARÍTIMOS[[#This Row],[Estatus]]),"")</f>
        <v>Confirmado</v>
      </c>
      <c r="BC213" s="43"/>
      <c r="BD213" s="46">
        <f>IFERROR(OLDBD[[#This Row],[Salida de almacén de retiro]]-OLDBD[[#This Row],[Ingreso Almacén de retiro]],"")</f>
        <v>1.1805555550381541E-2</v>
      </c>
      <c r="BE213" s="46">
        <f>IFERROR(OLDBD[[#This Row],[Fin de Carga]]-OLDBD[[#This Row],[Inicio de Carga]],"")</f>
        <v>0.17013888889050577</v>
      </c>
    </row>
    <row r="214" spans="1:57" customFormat="1" hidden="1">
      <c r="A214" s="1"/>
      <c r="B214" s="1">
        <f>IFERROR(IF(MARÍTIMOS[[#This Row],[PP]]="","",MARÍTIMOS[[#This Row],[PP]]),"")</f>
        <v>32</v>
      </c>
      <c r="C214" s="1" t="str">
        <f>IFERROR(IF(MARÍTIMOS[[#This Row],[Sede]]="","",MARÍTIMOS[[#This Row],[Sede]]),"")</f>
        <v>Chao</v>
      </c>
      <c r="D214" s="1" t="str">
        <f>IFERROR(IF(MARÍTIMOS[[#This Row],[Instruction]]="","",MARÍTIMOS[[#This Row],[Instruction]]),"")</f>
        <v>RH-0430</v>
      </c>
      <c r="E214" s="1"/>
      <c r="F214" s="2" t="str">
        <f>IFERROR(IF(MARÍTIMOS[[#This Row],[Transportista]]="","",MARÍTIMOS[[#This Row],[Transportista]]),"")</f>
        <v>LIP</v>
      </c>
      <c r="G214" s="2" t="str">
        <f>IFERROR(IF(MARÍTIMOS[[#This Row],[Tercero]]="","",MARÍTIMOS[[#This Row],[Tercero]]),"")</f>
        <v>NO</v>
      </c>
      <c r="H214" s="2" t="str">
        <f>IFERROR(IF(MARÍTIMOS[[#This Row],[Razón Social]]="","",MARÍTIMOS[[#This Row],[Razón Social]]),"")</f>
        <v>RVR AGRO S.R.L</v>
      </c>
      <c r="I214" s="2">
        <f>IFERROR(IF(MARÍTIMOS[[#This Row],[RUC]]="","",MARÍTIMOS[[#This Row],[RUC]]),"")</f>
        <v>20535747424</v>
      </c>
      <c r="J214" s="2" t="str">
        <f>IFERROR(IF(MARÍTIMOS[[#This Row],[Placa Tracto]]="","",MARÍTIMOS[[#This Row],[Placa Tracto]]),"")</f>
        <v>BPQ-758</v>
      </c>
      <c r="K214" s="2" t="str">
        <f>IFERROR(IF(MARÍTIMOS[[#This Row],[Placa Carreta]]="","",MARÍTIMOS[[#This Row],[Placa Carreta]]),"")</f>
        <v>BBR-979</v>
      </c>
      <c r="L214" s="44" t="str">
        <f>IFERROR(IF(MARÍTIMOS[[#This Row],[Conductor]]="","",MARÍTIMOS[[#This Row],[Conductor]]),"")</f>
        <v>OCHOA VITELBO JOSE</v>
      </c>
      <c r="M214" s="2" t="str">
        <f>IFERROR(IF(MARÍTIMOS[[#This Row],[Licencia]]="","",MARÍTIMOS[[#This Row],[Licencia]]),"")</f>
        <v>Q004569361</v>
      </c>
      <c r="N214" s="2" t="str">
        <f>IFERROR(IF(MARÍTIMOS[[#This Row],[Número de Contacto]]="","",MARÍTIMOS[[#This Row],[Número de Contacto]]),"")</f>
        <v/>
      </c>
      <c r="O214" s="10">
        <f>IFERROR(IF(MARÍTIMOS[[#This Row],[Booking|AWB|CRT]]="","",MARÍTIMOS[[#This Row],[Booking|AWB|CRT]]),"")</f>
        <v>6461853960</v>
      </c>
      <c r="P214" s="2" t="str">
        <f>IFERROR(IF(MARÍTIMOS[[#This Row],[Contenedor]]="","",MARÍTIMOS[[#This Row],[Contenedor]]),"")</f>
        <v>OERU4138229</v>
      </c>
      <c r="Q214" s="2" t="str">
        <f>IFERROR(IF(MARÍTIMOS[[#This Row],[Puerto de Retiro]]="","",MARÍTIMOS[[#This Row],[Puerto de Retiro]]),"")</f>
        <v>CALLAO</v>
      </c>
      <c r="R214" s="2" t="str">
        <f>IFERROR(IF(MARÍTIMOS[[#This Row],[Almacén de Retiro]]="","",MARÍTIMOS[[#This Row],[Almacén de Retiro]]),"")</f>
        <v>FARGOLINE</v>
      </c>
      <c r="S214" s="11">
        <f>IFERROR(IF(MARÍTIMOS[[#This Row],[Etapa Retiro - Cita]]="","",MARÍTIMOS[[#This Row],[Etapa Retiro - Cita]]),"")</f>
        <v>46241.625</v>
      </c>
      <c r="T214" s="11">
        <f>IFERROR(IF(MARÍTIMOS[[#This Row],[Etapa Retiro - Llegada]]="","",MARÍTIMOS[[#This Row],[Etapa Retiro - Llegada]]),"")</f>
        <v>46241.720138888886</v>
      </c>
      <c r="U214" s="11">
        <f>IFERROR(IF(MARÍTIMOS[[#This Row],[Etapa Retiro - Ingreso]]="","",MARÍTIMOS[[#This Row],[Etapa Retiro - Ingreso]]),"")</f>
        <v>46241.728472222225</v>
      </c>
      <c r="V214" s="11">
        <f>IFERROR(IF(MARÍTIMOS[[#This Row],[Etapa Retiro - Atención]]="","",MARÍTIMOS[[#This Row],[Etapa Retiro - Atención]]),"")</f>
        <v>46241.763888888891</v>
      </c>
      <c r="W214" s="11">
        <f>IFERROR(IF(MARÍTIMOS[[#This Row],[Etapa Retiro - Atención]]="","",MARÍTIMOS[[#This Row],[Etapa Retiro - Atención]]),"")</f>
        <v>46241.763888888891</v>
      </c>
      <c r="X214" s="11">
        <f>IFERROR(IF(MARÍTIMOS[[#This Row],[Etapa Retiro - Inicio de Ruta]]="","",MARÍTIMOS[[#This Row],[Etapa Retiro - Inicio de Ruta]]),"")</f>
        <v>46242.181944444441</v>
      </c>
      <c r="Y214" s="11">
        <f>IFERROR(IF(MARÍTIMOS[[#This Row],[Hora de Posicionamiento]]="","",MARÍTIMOS[[#This Row],[Fecha de Carga]]+MARÍTIMOS[[#This Row],[Hora de Posicionamiento]]),"")</f>
        <v>46241.5</v>
      </c>
      <c r="Z214" s="11">
        <f>IFERROR(IF(MARÍTIMOS[[#This Row],[Etapa Despacho - Llegada]]="","",MARÍTIMOS[[#This Row],[Etapa Despacho - Llegada]]),"")</f>
        <v>46242.581250000003</v>
      </c>
      <c r="AA214" s="11">
        <f>IFERROR(IF(MARÍTIMOS[[#This Row],[Etapa Despacho - Registro]]="","",MARÍTIMOS[[#This Row],[Etapa Despacho - Registro]]),"")</f>
        <v>46242.635416666664</v>
      </c>
      <c r="AB214" s="11">
        <f>IFERROR(IF(MARÍTIMOS[[#This Row],[Inspección Externa]]="","",MARÍTIMOS[[#This Row],[Inspección Externa]]),"")</f>
        <v>46242.64166666667</v>
      </c>
      <c r="AC214" s="11">
        <f>IFERROR(IF(MARÍTIMOS[[#This Row],[Etapa Despacho - Inicio de Carga]]="","",MARÍTIMOS[[#This Row],[Etapa Despacho - Inicio de Carga]]),"")</f>
        <v>46242.673611111109</v>
      </c>
      <c r="AD214" s="11">
        <f>IFERROR(IF(MARÍTIMOS[[#This Row],[Etapa Despacho - Mitad de Carga]]="","",MARÍTIMOS[[#This Row],[Etapa Despacho - Mitad de Carga]]),"")</f>
        <v>46242.729166666664</v>
      </c>
      <c r="AE214" s="11">
        <f>IFERROR(IF(MARÍTIMOS[[#This Row],[Etapa Despacho - Fin de Carga]]="","",MARÍTIMOS[[#This Row],[Etapa Despacho - Fin de Carga]]),"")</f>
        <v>46242.74722222222</v>
      </c>
      <c r="AF214" s="2" t="str">
        <f>IFERROR(IF(MARÍTIMOS[[#This Row],[Puerto de Embarque]]="","",MARÍTIMOS[[#This Row],[Puerto de Embarque]]),"")</f>
        <v>Callao</v>
      </c>
      <c r="AG214" s="2" t="str">
        <f>IFERROR(IF(MARÍTIMOS[[#This Row],[Almacén de Ingreso]]="","",MARÍTIMOS[[#This Row],[Almacén de Ingreso]]),"")</f>
        <v>DPW</v>
      </c>
      <c r="AH214" s="11">
        <f>IFERROR(IF(MARÍTIMOS[[#This Row],[Etapa Ingreso - Cita]]="","",MARÍTIMOS[[#This Row],[Etapa Ingreso - Cita]]),"")</f>
        <v>46243.583333333336</v>
      </c>
      <c r="AI214" s="11">
        <f>IFERROR(IF(MARÍTIMOS[[#This Row],[Etapa Ingreso - Llegada]]="","",MARÍTIMOS[[#This Row],[Etapa Ingreso - Llegada]]),"")</f>
        <v>46243.57708333333</v>
      </c>
      <c r="AJ214" s="11">
        <f>IFERROR(IF(MARÍTIMOS[[#This Row],[Etapa Ingreso - Ingeso]]="","",MARÍTIMOS[[#This Row],[Etapa Ingreso - Ingeso]]),"")</f>
        <v>46243.618750000001</v>
      </c>
      <c r="AK214" s="11">
        <f>IFERROR(IF(MARÍTIMOS[[#This Row],[Etapa Ingreso - Atención]]="","",MARÍTIMOS[[#This Row],[Etapa Ingreso - Atención]]),"")</f>
        <v>46243.645833333336</v>
      </c>
      <c r="AL214" s="11">
        <f>IFERROR(IF(MARÍTIMOS[[#This Row],[Etapa Ingreso - Salida]]="","",MARÍTIMOS[[#This Row],[Etapa Ingreso - Salida]]),"")</f>
        <v>46243.659722222219</v>
      </c>
      <c r="AM214" s="2">
        <f>IFERROR(IF(MARÍTIMOS[[#This Row],[FCL]]="","",MARÍTIMOS[[#This Row],[FCL]]),"")</f>
        <v>1</v>
      </c>
      <c r="AN2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4" s="4" t="str" cm="1">
        <f t="array" ref="AO2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4" s="5">
        <f>IFERROR(OLDBD[[#This Row],[Llegada a packing]]-OLDBD[[#This Row],[Inicio de Ruta]],"")</f>
        <v>0.39930555556202307</v>
      </c>
      <c r="AQ214" s="6">
        <f>IFERROR(OLDBD[[#This Row],[Inicio de Ruta]]-OLDBD[[#This Row],[Salida de almacén de retiro]],"")</f>
        <v>0.41805555555038154</v>
      </c>
      <c r="AR2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14" s="8" t="str" cm="1">
        <f t="array" ref="AS2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14" s="9">
        <f>IFERROR(OLDBD[[#This Row],[Ingreso Packing]]-OLDBD[[#This Row],[Registro en Packing]],"")</f>
        <v>6.2500000058207661E-3</v>
      </c>
      <c r="AV214" s="9">
        <f>IFERROR(OLDBD[[#This Row],[Ingreso Packing]]-OLDBD[[#This Row],[Llegada a packing]],"")</f>
        <v>6.0416666667151731E-2</v>
      </c>
      <c r="AW2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4" s="5">
        <f>IFERROR(OLDBD[[#This Row],[Llegada Almacén de Ingreso]]-OLDBD[[#This Row],[Salida Packing]],"")</f>
        <v>0.82986111110949423</v>
      </c>
      <c r="AY214" s="4" t="str" cm="1">
        <f t="array" ref="AY2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4" s="43" t="s">
        <v>173</v>
      </c>
      <c r="BB214" s="47" t="str">
        <f>IFERROR(IF(MARÍTIMOS[[#This Row],[Estatus]]="","",MARÍTIMOS[[#This Row],[Estatus]]),"")</f>
        <v>Confirmado</v>
      </c>
      <c r="BC214" s="43"/>
      <c r="BD214" s="46">
        <f>IFERROR(OLDBD[[#This Row],[Salida de almacén de retiro]]-OLDBD[[#This Row],[Ingreso Almacén de retiro]],"")</f>
        <v>3.5416666665696539E-2</v>
      </c>
      <c r="BE214" s="46">
        <f>IFERROR(OLDBD[[#This Row],[Fin de Carga]]-OLDBD[[#This Row],[Inicio de Carga]],"")</f>
        <v>5.5555555554747116E-2</v>
      </c>
    </row>
    <row r="215" spans="1:57" customFormat="1" hidden="1">
      <c r="A215" s="1"/>
      <c r="B215" s="1">
        <f>IFERROR(IF(MARÍTIMOS[[#This Row],[PP]]="","",MARÍTIMOS[[#This Row],[PP]]),"")</f>
        <v>32</v>
      </c>
      <c r="C215" s="1" t="str">
        <f>IFERROR(IF(MARÍTIMOS[[#This Row],[Sede]]="","",MARÍTIMOS[[#This Row],[Sede]]),"")</f>
        <v>Chao</v>
      </c>
      <c r="D215" s="1" t="str">
        <f>IFERROR(IF(MARÍTIMOS[[#This Row],[Instruction]]="","",MARÍTIMOS[[#This Row],[Instruction]]),"")</f>
        <v>RH-0432</v>
      </c>
      <c r="E215" s="1"/>
      <c r="F215" s="2" t="str">
        <f>IFERROR(IF(MARÍTIMOS[[#This Row],[Transportista]]="","",MARÍTIMOS[[#This Row],[Transportista]]),"")</f>
        <v>LIP</v>
      </c>
      <c r="G215" s="2" t="str">
        <f>IFERROR(IF(MARÍTIMOS[[#This Row],[Tercero]]="","",MARÍTIMOS[[#This Row],[Tercero]]),"")</f>
        <v>NO</v>
      </c>
      <c r="H215" s="2" t="str">
        <f>IFERROR(IF(MARÍTIMOS[[#This Row],[Razón Social]]="","",MARÍTIMOS[[#This Row],[Razón Social]]),"")</f>
        <v>BENLOB E.I.R.L.</v>
      </c>
      <c r="I215" s="2">
        <f>IFERROR(IF(MARÍTIMOS[[#This Row],[RUC]]="","",MARÍTIMOS[[#This Row],[RUC]]),"")</f>
        <v>20608586238</v>
      </c>
      <c r="J215" s="2" t="str">
        <f>IFERROR(IF(MARÍTIMOS[[#This Row],[Placa Tracto]]="","",MARÍTIMOS[[#This Row],[Placa Tracto]]),"")</f>
        <v>BMD-798</v>
      </c>
      <c r="K215" s="2" t="str">
        <f>IFERROR(IF(MARÍTIMOS[[#This Row],[Placa Carreta]]="","",MARÍTIMOS[[#This Row],[Placa Carreta]]),"")</f>
        <v>AZJ-971</v>
      </c>
      <c r="L215" s="44" t="str">
        <f>IFERROR(IF(MARÍTIMOS[[#This Row],[Conductor]]="","",MARÍTIMOS[[#This Row],[Conductor]]),"")</f>
        <v>RUMICHE FIESTAS MELANIO ANTONIO</v>
      </c>
      <c r="M215" s="2" t="str">
        <f>IFERROR(IF(MARÍTIMOS[[#This Row],[Licencia]]="","",MARÍTIMOS[[#This Row],[Licencia]]),"")</f>
        <v>Q25826470</v>
      </c>
      <c r="N215" s="2" t="str">
        <f>IFERROR(IF(MARÍTIMOS[[#This Row],[Número de Contacto]]="","",MARÍTIMOS[[#This Row],[Número de Contacto]]),"")</f>
        <v/>
      </c>
      <c r="O215" s="10">
        <f>IFERROR(IF(MARÍTIMOS[[#This Row],[Booking|AWB|CRT]]="","",MARÍTIMOS[[#This Row],[Booking|AWB|CRT]]),"")</f>
        <v>6461853430</v>
      </c>
      <c r="P215" s="2" t="str">
        <f>IFERROR(IF(MARÍTIMOS[[#This Row],[Contenedor]]="","",MARÍTIMOS[[#This Row],[Contenedor]]),"")</f>
        <v>FBIU5316617</v>
      </c>
      <c r="Q215" s="2" t="str">
        <f>IFERROR(IF(MARÍTIMOS[[#This Row],[Puerto de Retiro]]="","",MARÍTIMOS[[#This Row],[Puerto de Retiro]]),"")</f>
        <v>CALLAO</v>
      </c>
      <c r="R215" s="2" t="str">
        <f>IFERROR(IF(MARÍTIMOS[[#This Row],[Almacén de Retiro]]="","",MARÍTIMOS[[#This Row],[Almacén de Retiro]]),"")</f>
        <v>FARGOLINE</v>
      </c>
      <c r="S215" s="11">
        <f>IFERROR(IF(MARÍTIMOS[[#This Row],[Etapa Retiro - Cita]]="","",MARÍTIMOS[[#This Row],[Etapa Retiro - Cita]]),"")</f>
        <v>46243.666666666664</v>
      </c>
      <c r="T215" s="11">
        <f>IFERROR(IF(MARÍTIMOS[[#This Row],[Etapa Retiro - Llegada]]="","",MARÍTIMOS[[#This Row],[Etapa Retiro - Llegada]]),"")</f>
        <v>46243.722222222219</v>
      </c>
      <c r="U215" s="11">
        <f>IFERROR(IF(MARÍTIMOS[[#This Row],[Etapa Retiro - Ingreso]]="","",MARÍTIMOS[[#This Row],[Etapa Retiro - Ingreso]]),"")</f>
        <v>46243.729166666664</v>
      </c>
      <c r="V215" s="11">
        <f>IFERROR(IF(MARÍTIMOS[[#This Row],[Etapa Retiro - Atención]]="","",MARÍTIMOS[[#This Row],[Etapa Retiro - Atención]]),"")</f>
        <v>46243.732638888891</v>
      </c>
      <c r="W215" s="11">
        <f>IFERROR(IF(MARÍTIMOS[[#This Row],[Etapa Retiro - Atención]]="","",MARÍTIMOS[[#This Row],[Etapa Retiro - Atención]]),"")</f>
        <v>46243.732638888891</v>
      </c>
      <c r="X215" s="11">
        <f>IFERROR(IF(MARÍTIMOS[[#This Row],[Etapa Retiro - Inicio de Ruta]]="","",MARÍTIMOS[[#This Row],[Etapa Retiro - Inicio de Ruta]]),"")</f>
        <v>46244.111805555556</v>
      </c>
      <c r="Y215" s="11">
        <f>IFERROR(IF(MARÍTIMOS[[#This Row],[Hora de Posicionamiento]]="","",MARÍTIMOS[[#This Row],[Fecha de Carga]]+MARÍTIMOS[[#This Row],[Hora de Posicionamiento]]),"")</f>
        <v>46244.5</v>
      </c>
      <c r="Z215" s="11">
        <f>IFERROR(IF(MARÍTIMOS[[#This Row],[Etapa Despacho - Llegada]]="","",MARÍTIMOS[[#This Row],[Etapa Despacho - Llegada]]),"")</f>
        <v>46244.537499999999</v>
      </c>
      <c r="AA215" s="11">
        <f>IFERROR(IF(MARÍTIMOS[[#This Row],[Etapa Despacho - Registro]]="","",MARÍTIMOS[[#This Row],[Etapa Despacho - Registro]]),"")</f>
        <v>46244.548611111109</v>
      </c>
      <c r="AB215" s="11">
        <f>IFERROR(IF(MARÍTIMOS[[#This Row],[Inspección Externa]]="","",MARÍTIMOS[[#This Row],[Inspección Externa]]),"")</f>
        <v>46244.555555555555</v>
      </c>
      <c r="AC215" s="11">
        <f>IFERROR(IF(MARÍTIMOS[[#This Row],[Etapa Despacho - Inicio de Carga]]="","",MARÍTIMOS[[#This Row],[Etapa Despacho - Inicio de Carga]]),"")</f>
        <v>46244.561111111114</v>
      </c>
      <c r="AD215" s="11">
        <f>IFERROR(IF(MARÍTIMOS[[#This Row],[Etapa Despacho - Mitad de Carga]]="","",MARÍTIMOS[[#This Row],[Etapa Despacho - Mitad de Carga]]),"")</f>
        <v>46244.729166666664</v>
      </c>
      <c r="AE215" s="11">
        <f>IFERROR(IF(MARÍTIMOS[[#This Row],[Etapa Despacho - Fin de Carga]]="","",MARÍTIMOS[[#This Row],[Etapa Despacho - Fin de Carga]]),"")</f>
        <v>46244.746527777781</v>
      </c>
      <c r="AF215" s="2" t="str">
        <f>IFERROR(IF(MARÍTIMOS[[#This Row],[Puerto de Embarque]]="","",MARÍTIMOS[[#This Row],[Puerto de Embarque]]),"")</f>
        <v>CALLAO</v>
      </c>
      <c r="AG215" s="2" t="str">
        <f>IFERROR(IF(MARÍTIMOS[[#This Row],[Almacén de Ingreso]]="","",MARÍTIMOS[[#This Row],[Almacén de Ingreso]]),"")</f>
        <v>DPW</v>
      </c>
      <c r="AH215" s="11">
        <f>IFERROR(IF(MARÍTIMOS[[#This Row],[Etapa Ingreso - Cita]]="","",MARÍTIMOS[[#This Row],[Etapa Ingreso - Cita]]),"")</f>
        <v>46245.541666666664</v>
      </c>
      <c r="AI215" s="11">
        <f>IFERROR(IF(MARÍTIMOS[[#This Row],[Etapa Ingreso - Llegada]]="","",MARÍTIMOS[[#This Row],[Etapa Ingreso - Llegada]]),"")</f>
        <v>46245.520138888889</v>
      </c>
      <c r="AJ215" s="11">
        <f>IFERROR(IF(MARÍTIMOS[[#This Row],[Etapa Ingreso - Ingeso]]="","",MARÍTIMOS[[#This Row],[Etapa Ingreso - Ingeso]]),"")</f>
        <v>46245.521527777775</v>
      </c>
      <c r="AK215" s="11">
        <f>IFERROR(IF(MARÍTIMOS[[#This Row],[Etapa Ingreso - Atención]]="","",MARÍTIMOS[[#This Row],[Etapa Ingreso - Atención]]),"")</f>
        <v>46245.636111111111</v>
      </c>
      <c r="AL215" s="11">
        <f>IFERROR(IF(MARÍTIMOS[[#This Row],[Etapa Ingreso - Salida]]="","",MARÍTIMOS[[#This Row],[Etapa Ingreso - Salida]]),"")</f>
        <v>46245.665277777778</v>
      </c>
      <c r="AM215" s="2">
        <f>IFERROR(IF(MARÍTIMOS[[#This Row],[FCL]]="","",MARÍTIMOS[[#This Row],[FCL]]),"")</f>
        <v>1</v>
      </c>
      <c r="AN2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5" s="4" t="str" cm="1">
        <f t="array" ref="AO2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5" s="5">
        <f>IFERROR(OLDBD[[#This Row],[Llegada a packing]]-OLDBD[[#This Row],[Inicio de Ruta]],"")</f>
        <v>0.4256944444423425</v>
      </c>
      <c r="AQ215" s="6">
        <f>IFERROR(OLDBD[[#This Row],[Inicio de Ruta]]-OLDBD[[#This Row],[Salida de almacén de retiro]],"")</f>
        <v>0.37916666666569654</v>
      </c>
      <c r="AR2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15" s="8" t="str" cm="1">
        <f t="array" ref="AS2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15" s="9">
        <f>IFERROR(OLDBD[[#This Row],[Ingreso Packing]]-OLDBD[[#This Row],[Registro en Packing]],"")</f>
        <v>6.9444444452528842E-3</v>
      </c>
      <c r="AV215" s="9">
        <f>IFERROR(OLDBD[[#This Row],[Ingreso Packing]]-OLDBD[[#This Row],[Llegada a packing]],"")</f>
        <v>1.8055555556202307E-2</v>
      </c>
      <c r="AW2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5" s="5">
        <f>IFERROR(OLDBD[[#This Row],[Llegada Almacén de Ingreso]]-OLDBD[[#This Row],[Salida Packing]],"")</f>
        <v>0.77361111110803904</v>
      </c>
      <c r="AY215" s="4" t="str" cm="1">
        <f t="array" ref="AY2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2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5" s="43" t="s">
        <v>173</v>
      </c>
      <c r="BB215" s="47" t="str">
        <f>IFERROR(IF(MARÍTIMOS[[#This Row],[Estatus]]="","",MARÍTIMOS[[#This Row],[Estatus]]),"")</f>
        <v>Confirmado</v>
      </c>
      <c r="BC215" s="43"/>
      <c r="BD215" s="46">
        <f>IFERROR(OLDBD[[#This Row],[Salida de almacén de retiro]]-OLDBD[[#This Row],[Ingreso Almacén de retiro]],"")</f>
        <v>3.4722222262644209E-3</v>
      </c>
      <c r="BE215" s="46">
        <f>IFERROR(OLDBD[[#This Row],[Fin de Carga]]-OLDBD[[#This Row],[Inicio de Carga]],"")</f>
        <v>0.16805555555038154</v>
      </c>
    </row>
    <row r="216" spans="1:57" customFormat="1" hidden="1">
      <c r="A216" s="1"/>
      <c r="B216" s="1">
        <f>IFERROR(IF(MARÍTIMOS[[#This Row],[PP]]="","",MARÍTIMOS[[#This Row],[PP]]),"")</f>
        <v>32</v>
      </c>
      <c r="C216" s="1" t="str">
        <f>IFERROR(IF(MARÍTIMOS[[#This Row],[Sede]]="","",MARÍTIMOS[[#This Row],[Sede]]),"")</f>
        <v>Chao</v>
      </c>
      <c r="D216" s="1" t="str">
        <f>IFERROR(IF(MARÍTIMOS[[#This Row],[Instruction]]="","",MARÍTIMOS[[#This Row],[Instruction]]),"")</f>
        <v>RH-0451</v>
      </c>
      <c r="E216" s="1"/>
      <c r="F216" s="2" t="str">
        <f>IFERROR(IF(MARÍTIMOS[[#This Row],[Transportista]]="","",MARÍTIMOS[[#This Row],[Transportista]]),"")</f>
        <v>LIP</v>
      </c>
      <c r="G216" s="2" t="str">
        <f>IFERROR(IF(MARÍTIMOS[[#This Row],[Tercero]]="","",MARÍTIMOS[[#This Row],[Tercero]]),"")</f>
        <v>NO</v>
      </c>
      <c r="H216" s="2" t="str">
        <f>IFERROR(IF(MARÍTIMOS[[#This Row],[Razón Social]]="","",MARÍTIMOS[[#This Row],[Razón Social]]),"")</f>
        <v>RVR AGRO S.R.L</v>
      </c>
      <c r="I216" s="2">
        <f>IFERROR(IF(MARÍTIMOS[[#This Row],[RUC]]="","",MARÍTIMOS[[#This Row],[RUC]]),"")</f>
        <v>20535747424</v>
      </c>
      <c r="J216" s="2" t="str">
        <f>IFERROR(IF(MARÍTIMOS[[#This Row],[Placa Tracto]]="","",MARÍTIMOS[[#This Row],[Placa Tracto]]),"")</f>
        <v>BPR-716</v>
      </c>
      <c r="K216" s="2" t="str">
        <f>IFERROR(IF(MARÍTIMOS[[#This Row],[Placa Carreta]]="","",MARÍTIMOS[[#This Row],[Placa Carreta]]),"")</f>
        <v>BBS-982</v>
      </c>
      <c r="L216" s="44" t="str">
        <f>IFERROR(IF(MARÍTIMOS[[#This Row],[Conductor]]="","",MARÍTIMOS[[#This Row],[Conductor]]),"")</f>
        <v>SOTELO BRAVO MIGUEL ANGEL</v>
      </c>
      <c r="M216" s="2" t="str">
        <f>IFERROR(IF(MARÍTIMOS[[#This Row],[Licencia]]="","",MARÍTIMOS[[#This Row],[Licencia]]),"")</f>
        <v>R25423621</v>
      </c>
      <c r="N216" s="2" t="str">
        <f>IFERROR(IF(MARÍTIMOS[[#This Row],[Número de Contacto]]="","",MARÍTIMOS[[#This Row],[Número de Contacto]]),"")</f>
        <v/>
      </c>
      <c r="O216" s="10">
        <f>IFERROR(IF(MARÍTIMOS[[#This Row],[Booking|AWB|CRT]]="","",MARÍTIMOS[[#This Row],[Booking|AWB|CRT]]),"")</f>
        <v>6462050480</v>
      </c>
      <c r="P216" s="2" t="str">
        <f>IFERROR(IF(MARÍTIMOS[[#This Row],[Contenedor]]="","",MARÍTIMOS[[#This Row],[Contenedor]]),"")</f>
        <v>OERU4250157</v>
      </c>
      <c r="Q216" s="2" t="str">
        <f>IFERROR(IF(MARÍTIMOS[[#This Row],[Puerto de Retiro]]="","",MARÍTIMOS[[#This Row],[Puerto de Retiro]]),"")</f>
        <v>CALLAO</v>
      </c>
      <c r="R216" s="2" t="str">
        <f>IFERROR(IF(MARÍTIMOS[[#This Row],[Almacén de Retiro]]="","",MARÍTIMOS[[#This Row],[Almacén de Retiro]]),"")</f>
        <v>FARGOLINE</v>
      </c>
      <c r="S216" s="11">
        <f>IFERROR(IF(MARÍTIMOS[[#This Row],[Etapa Retiro - Cita]]="","",MARÍTIMOS[[#This Row],[Etapa Retiro - Cita]]),"")</f>
        <v>46243.666666666664</v>
      </c>
      <c r="T216" s="11">
        <f>IFERROR(IF(MARÍTIMOS[[#This Row],[Etapa Retiro - Llegada]]="","",MARÍTIMOS[[#This Row],[Etapa Retiro - Llegada]]),"")</f>
        <v>46243.734027777777</v>
      </c>
      <c r="U216" s="11">
        <f>IFERROR(IF(MARÍTIMOS[[#This Row],[Etapa Retiro - Ingreso]]="","",MARÍTIMOS[[#This Row],[Etapa Retiro - Ingreso]]),"")</f>
        <v>46243.739583333336</v>
      </c>
      <c r="V216" s="11">
        <f>IFERROR(IF(MARÍTIMOS[[#This Row],[Etapa Retiro - Atención]]="","",MARÍTIMOS[[#This Row],[Etapa Retiro - Atención]]),"")</f>
        <v>46243.793055555558</v>
      </c>
      <c r="W216" s="11">
        <f>IFERROR(IF(MARÍTIMOS[[#This Row],[Etapa Retiro - Atención]]="","",MARÍTIMOS[[#This Row],[Etapa Retiro - Atención]]),"")</f>
        <v>46243.793055555558</v>
      </c>
      <c r="X216" s="11">
        <f>IFERROR(IF(MARÍTIMOS[[#This Row],[Etapa Retiro - Inicio de Ruta]]="","",MARÍTIMOS[[#This Row],[Etapa Retiro - Inicio de Ruta]]),"")</f>
        <v>46244.111805555556</v>
      </c>
      <c r="Y216" s="11">
        <f>IFERROR(IF(MARÍTIMOS[[#This Row],[Hora de Posicionamiento]]="","",MARÍTIMOS[[#This Row],[Fecha de Carga]]+MARÍTIMOS[[#This Row],[Hora de Posicionamiento]]),"")</f>
        <v>46244.5</v>
      </c>
      <c r="Z216" s="11">
        <f>IFERROR(IF(MARÍTIMOS[[#This Row],[Etapa Despacho - Llegada]]="","",MARÍTIMOS[[#This Row],[Etapa Despacho - Llegada]]),"")</f>
        <v>46244.429166666669</v>
      </c>
      <c r="AA216" s="11">
        <f>IFERROR(IF(MARÍTIMOS[[#This Row],[Etapa Despacho - Registro]]="","",MARÍTIMOS[[#This Row],[Etapa Despacho - Registro]]),"")</f>
        <v>46244.458333333336</v>
      </c>
      <c r="AB216" s="11">
        <f>IFERROR(IF(MARÍTIMOS[[#This Row],[Inspección Externa]]="","",MARÍTIMOS[[#This Row],[Inspección Externa]]),"")</f>
        <v>46244.462500000001</v>
      </c>
      <c r="AC216" s="11">
        <f>IFERROR(IF(MARÍTIMOS[[#This Row],[Etapa Despacho - Inicio de Carga]]="","",MARÍTIMOS[[#This Row],[Etapa Despacho - Inicio de Carga]]),"")</f>
        <v>46244.47152777778</v>
      </c>
      <c r="AD216" s="11">
        <f>IFERROR(IF(MARÍTIMOS[[#This Row],[Etapa Despacho - Mitad de Carga]]="","",MARÍTIMOS[[#This Row],[Etapa Despacho - Mitad de Carga]]),"")</f>
        <v>46244.78125</v>
      </c>
      <c r="AE216" s="11">
        <f>IFERROR(IF(MARÍTIMOS[[#This Row],[Etapa Despacho - Fin de Carga]]="","",MARÍTIMOS[[#This Row],[Etapa Despacho - Fin de Carga]]),"")</f>
        <v>46244.754166666666</v>
      </c>
      <c r="AF216" s="2" t="str">
        <f>IFERROR(IF(MARÍTIMOS[[#This Row],[Puerto de Embarque]]="","",MARÍTIMOS[[#This Row],[Puerto de Embarque]]),"")</f>
        <v>CHANCAY</v>
      </c>
      <c r="AG216" s="2" t="str">
        <f>IFERROR(IF(MARÍTIMOS[[#This Row],[Almacén de Ingreso]]="","",MARÍTIMOS[[#This Row],[Almacén de Ingreso]]),"")</f>
        <v>CSPCP</v>
      </c>
      <c r="AH216" s="11">
        <f>IFERROR(IF(MARÍTIMOS[[#This Row],[Etapa Ingreso - Cita]]="","",MARÍTIMOS[[#This Row],[Etapa Ingreso - Cita]]),"")</f>
        <v>46245.541666666664</v>
      </c>
      <c r="AI216" s="11">
        <f>IFERROR(IF(MARÍTIMOS[[#This Row],[Etapa Ingreso - Llegada]]="","",MARÍTIMOS[[#This Row],[Etapa Ingreso - Llegada]]),"")</f>
        <v>46245.518750000003</v>
      </c>
      <c r="AJ216" s="11">
        <f>IFERROR(IF(MARÍTIMOS[[#This Row],[Etapa Ingreso - Ingeso]]="","",MARÍTIMOS[[#This Row],[Etapa Ingreso - Ingeso]]),"")</f>
        <v>46245.520833333336</v>
      </c>
      <c r="AK216" s="11">
        <f>IFERROR(IF(MARÍTIMOS[[#This Row],[Etapa Ingreso - Atención]]="","",MARÍTIMOS[[#This Row],[Etapa Ingreso - Atención]]),"")</f>
        <v>46245.541666666664</v>
      </c>
      <c r="AL216" s="11">
        <f>IFERROR(IF(MARÍTIMOS[[#This Row],[Etapa Ingreso - Salida]]="","",MARÍTIMOS[[#This Row],[Etapa Ingreso - Salida]]),"")</f>
        <v>46245.554166666669</v>
      </c>
      <c r="AM216" s="2">
        <f>IFERROR(IF(MARÍTIMOS[[#This Row],[FCL]]="","",MARÍTIMOS[[#This Row],[FCL]]),"")</f>
        <v>1</v>
      </c>
      <c r="AN2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6" s="4" t="str" cm="1">
        <f t="array" ref="AO2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6" s="5">
        <f>IFERROR(OLDBD[[#This Row],[Llegada a packing]]-OLDBD[[#This Row],[Inicio de Ruta]],"")</f>
        <v>0.31736111111240461</v>
      </c>
      <c r="AQ216" s="6">
        <f>IFERROR(OLDBD[[#This Row],[Inicio de Ruta]]-OLDBD[[#This Row],[Salida de almacén de retiro]],"")</f>
        <v>0.31874999999854481</v>
      </c>
      <c r="AR2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6" s="8" t="str" cm="1">
        <f t="array" ref="AS2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16" s="9">
        <f>IFERROR(OLDBD[[#This Row],[Ingreso Packing]]-OLDBD[[#This Row],[Registro en Packing]],"")</f>
        <v>4.166666665696539E-3</v>
      </c>
      <c r="AV216" s="9">
        <f>IFERROR(OLDBD[[#This Row],[Ingreso Packing]]-OLDBD[[#This Row],[Llegada a packing]],"")</f>
        <v>3.3333333332848269E-2</v>
      </c>
      <c r="AW2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216" s="5">
        <f>IFERROR(OLDBD[[#This Row],[Llegada Almacén de Ingreso]]-OLDBD[[#This Row],[Salida Packing]],"")</f>
        <v>0.76458333333721384</v>
      </c>
      <c r="AY216" s="4" t="str" cm="1">
        <f t="array" ref="AY2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16" s="43" t="s">
        <v>173</v>
      </c>
      <c r="BB216" s="47" t="str">
        <f>IFERROR(IF(MARÍTIMOS[[#This Row],[Estatus]]="","",MARÍTIMOS[[#This Row],[Estatus]]),"")</f>
        <v>Confirmado</v>
      </c>
      <c r="BC216" s="43"/>
      <c r="BD216" s="46">
        <f>IFERROR(OLDBD[[#This Row],[Salida de almacén de retiro]]-OLDBD[[#This Row],[Ingreso Almacén de retiro]],"")</f>
        <v>5.3472222221898846E-2</v>
      </c>
      <c r="BE216" s="46">
        <f>IFERROR(OLDBD[[#This Row],[Fin de Carga]]-OLDBD[[#This Row],[Inicio de Carga]],"")</f>
        <v>0.30972222222044365</v>
      </c>
    </row>
    <row r="217" spans="1:57" customFormat="1" hidden="1">
      <c r="A217" s="1"/>
      <c r="B217" s="1">
        <f>IFERROR(IF(MARÍTIMOS[[#This Row],[PP]]="","",MARÍTIMOS[[#This Row],[PP]]),"")</f>
        <v>33</v>
      </c>
      <c r="C217" s="1" t="str">
        <f>IFERROR(IF(MARÍTIMOS[[#This Row],[Sede]]="","",MARÍTIMOS[[#This Row],[Sede]]),"")</f>
        <v>Chao</v>
      </c>
      <c r="D217" s="1" t="str">
        <f>IFERROR(IF(MARÍTIMOS[[#This Row],[Instruction]]="","",MARÍTIMOS[[#This Row],[Instruction]]),"")</f>
        <v>RH-0472</v>
      </c>
      <c r="E217" s="1"/>
      <c r="F217" s="2" t="str">
        <f>IFERROR(IF(MARÍTIMOS[[#This Row],[Transportista]]="","",MARÍTIMOS[[#This Row],[Transportista]]),"")</f>
        <v>LIP</v>
      </c>
      <c r="G217" s="2" t="str">
        <f>IFERROR(IF(MARÍTIMOS[[#This Row],[Tercero]]="","",MARÍTIMOS[[#This Row],[Tercero]]),"")</f>
        <v>NO</v>
      </c>
      <c r="H217" s="2" t="str">
        <f>IFERROR(IF(MARÍTIMOS[[#This Row],[Razón Social]]="","",MARÍTIMOS[[#This Row],[Razón Social]]),"")</f>
        <v>TRANSPORTES CORRECAMINOS DEL PERU S.A.C</v>
      </c>
      <c r="I217" s="2">
        <f>IFERROR(IF(MARÍTIMOS[[#This Row],[RUC]]="","",MARÍTIMOS[[#This Row],[RUC]]),"")</f>
        <v>20609163632</v>
      </c>
      <c r="J217" s="2" t="str">
        <f>IFERROR(IF(MARÍTIMOS[[#This Row],[Placa Tracto]]="","",MARÍTIMOS[[#This Row],[Placa Tracto]]),"")</f>
        <v>BPJ-889</v>
      </c>
      <c r="K217" s="2" t="str">
        <f>IFERROR(IF(MARÍTIMOS[[#This Row],[Placa Carreta]]="","",MARÍTIMOS[[#This Row],[Placa Carreta]]),"")</f>
        <v>C2B-989</v>
      </c>
      <c r="L217" s="44" t="str">
        <f>IFERROR(IF(MARÍTIMOS[[#This Row],[Conductor]]="","",MARÍTIMOS[[#This Row],[Conductor]]),"")</f>
        <v>HUAMANI PALOMINO EDGAR FREDY</v>
      </c>
      <c r="M217" s="2" t="str">
        <f>IFERROR(IF(MARÍTIMOS[[#This Row],[Licencia]]="","",MARÍTIMOS[[#This Row],[Licencia]]),"")</f>
        <v>Q40736385</v>
      </c>
      <c r="N217" s="2" t="str">
        <f>IFERROR(IF(MARÍTIMOS[[#This Row],[Número de Contacto]]="","",MARÍTIMOS[[#This Row],[Número de Contacto]]),"")</f>
        <v/>
      </c>
      <c r="O217" s="10">
        <f>IFERROR(IF(MARÍTIMOS[[#This Row],[Booking|AWB|CRT]]="","",MARÍTIMOS[[#This Row],[Booking|AWB|CRT]]),"")</f>
        <v>6462784790</v>
      </c>
      <c r="P217" s="2" t="str">
        <f>IFERROR(IF(MARÍTIMOS[[#This Row],[Contenedor]]="","",MARÍTIMOS[[#This Row],[Contenedor]]),"")</f>
        <v>FBIU5743434</v>
      </c>
      <c r="Q217" s="2" t="str">
        <f>IFERROR(IF(MARÍTIMOS[[#This Row],[Puerto de Retiro]]="","",MARÍTIMOS[[#This Row],[Puerto de Retiro]]),"")</f>
        <v>CHANCAY</v>
      </c>
      <c r="R217" s="2" t="str">
        <f>IFERROR(IF(MARÍTIMOS[[#This Row],[Almacén de Retiro]]="","",MARÍTIMOS[[#This Row],[Almacén de Retiro]]),"")</f>
        <v>CSPCP</v>
      </c>
      <c r="S217" s="11">
        <f>IFERROR(IF(MARÍTIMOS[[#This Row],[Etapa Retiro - Cita]]="","",MARÍTIMOS[[#This Row],[Etapa Retiro - Cita]]),"")</f>
        <v>46245.708333333336</v>
      </c>
      <c r="T217" s="11">
        <f>IFERROR(IF(MARÍTIMOS[[#This Row],[Etapa Retiro - Llegada]]="","",MARÍTIMOS[[#This Row],[Etapa Retiro - Llegada]]),"")</f>
        <v>46245.752083333333</v>
      </c>
      <c r="U217" s="11">
        <f>IFERROR(IF(MARÍTIMOS[[#This Row],[Etapa Retiro - Ingreso]]="","",MARÍTIMOS[[#This Row],[Etapa Retiro - Ingreso]]),"")</f>
        <v>46245.759722222225</v>
      </c>
      <c r="V217" s="11">
        <f>IFERROR(IF(MARÍTIMOS[[#This Row],[Etapa Retiro - Atención]]="","",MARÍTIMOS[[#This Row],[Etapa Retiro - Atención]]),"")</f>
        <v>46245.786111111112</v>
      </c>
      <c r="W217" s="11">
        <f>IFERROR(IF(MARÍTIMOS[[#This Row],[Etapa Retiro - Atención]]="","",MARÍTIMOS[[#This Row],[Etapa Retiro - Atención]]),"")</f>
        <v>46245.786111111112</v>
      </c>
      <c r="X217" s="11">
        <f>IFERROR(IF(MARÍTIMOS[[#This Row],[Etapa Retiro - Inicio de Ruta]]="","",MARÍTIMOS[[#This Row],[Etapa Retiro - Inicio de Ruta]]),"")</f>
        <v>46246.066666666666</v>
      </c>
      <c r="Y217" s="11">
        <f>IFERROR(IF(MARÍTIMOS[[#This Row],[Hora de Posicionamiento]]="","",MARÍTIMOS[[#This Row],[Fecha de Carga]]+MARÍTIMOS[[#This Row],[Hora de Posicionamiento]]),"")</f>
        <v>46246.5</v>
      </c>
      <c r="Z217" s="11">
        <f>IFERROR(IF(MARÍTIMOS[[#This Row],[Etapa Despacho - Llegada]]="","",MARÍTIMOS[[#This Row],[Etapa Despacho - Llegada]]),"")</f>
        <v>46246.458333333336</v>
      </c>
      <c r="AA217" s="11">
        <f>IFERROR(IF(MARÍTIMOS[[#This Row],[Etapa Despacho - Registro]]="","",MARÍTIMOS[[#This Row],[Etapa Despacho - Registro]]),"")</f>
        <v>46246.482638888891</v>
      </c>
      <c r="AB217" s="11">
        <f>IFERROR(IF(MARÍTIMOS[[#This Row],[Inspección Externa]]="","",MARÍTIMOS[[#This Row],[Inspección Externa]]),"")</f>
        <v>46246.490972222222</v>
      </c>
      <c r="AC217" s="11">
        <f>IFERROR(IF(MARÍTIMOS[[#This Row],[Etapa Despacho - Inicio de Carga]]="","",MARÍTIMOS[[#This Row],[Etapa Despacho - Inicio de Carga]]),"")</f>
        <v>46246.497916666667</v>
      </c>
      <c r="AD217" s="11">
        <f>IFERROR(IF(MARÍTIMOS[[#This Row],[Etapa Despacho - Mitad de Carga]]="","",MARÍTIMOS[[#This Row],[Etapa Despacho - Mitad de Carga]]),"")</f>
        <v>46246.652777777781</v>
      </c>
      <c r="AE217" s="11">
        <f>IFERROR(IF(MARÍTIMOS[[#This Row],[Etapa Despacho - Fin de Carga]]="","",MARÍTIMOS[[#This Row],[Etapa Despacho - Fin de Carga]]),"")</f>
        <v>46246.666666666664</v>
      </c>
      <c r="AF217" s="2" t="str">
        <f>IFERROR(IF(MARÍTIMOS[[#This Row],[Puerto de Embarque]]="","",MARÍTIMOS[[#This Row],[Puerto de Embarque]]),"")</f>
        <v>CHANCAY</v>
      </c>
      <c r="AG217" s="2" t="str">
        <f>IFERROR(IF(MARÍTIMOS[[#This Row],[Almacén de Ingreso]]="","",MARÍTIMOS[[#This Row],[Almacén de Ingreso]]),"")</f>
        <v>CSPCP</v>
      </c>
      <c r="AH217" s="11">
        <f>IFERROR(IF(MARÍTIMOS[[#This Row],[Etapa Ingreso - Cita]]="","",MARÍTIMOS[[#This Row],[Etapa Ingreso - Cita]]),"")</f>
        <v>46247.375</v>
      </c>
      <c r="AI217" s="11">
        <f>IFERROR(IF(MARÍTIMOS[[#This Row],[Etapa Ingreso - Llegada]]="","",MARÍTIMOS[[#This Row],[Etapa Ingreso - Llegada]]),"")</f>
        <v>46247.361111111109</v>
      </c>
      <c r="AJ217" s="11">
        <f>IFERROR(IF(MARÍTIMOS[[#This Row],[Etapa Ingreso - Ingeso]]="","",MARÍTIMOS[[#This Row],[Etapa Ingreso - Ingeso]]),"")</f>
        <v>46247.362500000003</v>
      </c>
      <c r="AK217" s="11">
        <f>IFERROR(IF(MARÍTIMOS[[#This Row],[Etapa Ingreso - Atención]]="","",MARÍTIMOS[[#This Row],[Etapa Ingreso - Atención]]),"")</f>
        <v>46247.377083333333</v>
      </c>
      <c r="AL217" s="11">
        <f>IFERROR(IF(MARÍTIMOS[[#This Row],[Etapa Ingreso - Salida]]="","",MARÍTIMOS[[#This Row],[Etapa Ingreso - Salida]]),"")</f>
        <v>46247.394444444442</v>
      </c>
      <c r="AM217" s="2">
        <f>IFERROR(IF(MARÍTIMOS[[#This Row],[FCL]]="","",MARÍTIMOS[[#This Row],[FCL]]),"")</f>
        <v>1</v>
      </c>
      <c r="AN2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7" s="4" t="str" cm="1">
        <f t="array" ref="AO2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7" s="5">
        <f>IFERROR(OLDBD[[#This Row],[Llegada a packing]]-OLDBD[[#This Row],[Inicio de Ruta]],"")</f>
        <v>0.39166666667006211</v>
      </c>
      <c r="AQ217" s="6">
        <f>IFERROR(OLDBD[[#This Row],[Inicio de Ruta]]-OLDBD[[#This Row],[Salida de almacén de retiro]],"")</f>
        <v>0.28055555555329192</v>
      </c>
      <c r="AR2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7" s="8" t="str" cm="1">
        <f t="array" ref="AS2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17" s="9">
        <f>IFERROR(OLDBD[[#This Row],[Ingreso Packing]]-OLDBD[[#This Row],[Registro en Packing]],"")</f>
        <v>8.333333331393078E-3</v>
      </c>
      <c r="AV217" s="9">
        <f>IFERROR(OLDBD[[#This Row],[Ingreso Packing]]-OLDBD[[#This Row],[Llegada a packing]],"")</f>
        <v>3.2638888886140194E-2</v>
      </c>
      <c r="AW2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7" s="5">
        <f>IFERROR(OLDBD[[#This Row],[Llegada Almacén de Ingreso]]-OLDBD[[#This Row],[Salida Packing]],"")</f>
        <v>0.69444444444525288</v>
      </c>
      <c r="AY217" s="4" t="str" cm="1">
        <f t="array" ref="AY2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7" s="43" t="s">
        <v>173</v>
      </c>
      <c r="BB217" s="47" t="str">
        <f>IFERROR(IF(MARÍTIMOS[[#This Row],[Estatus]]="","",MARÍTIMOS[[#This Row],[Estatus]]),"")</f>
        <v>Confirmado</v>
      </c>
      <c r="BC217" s="43"/>
      <c r="BD217" s="46">
        <f>IFERROR(OLDBD[[#This Row],[Salida de almacén de retiro]]-OLDBD[[#This Row],[Ingreso Almacén de retiro]],"")</f>
        <v>2.6388888887595385E-2</v>
      </c>
      <c r="BE217" s="46">
        <f>IFERROR(OLDBD[[#This Row],[Fin de Carga]]-OLDBD[[#This Row],[Inicio de Carga]],"")</f>
        <v>0.15486111111385981</v>
      </c>
    </row>
    <row r="218" spans="1:57" customFormat="1" hidden="1">
      <c r="A218" s="1"/>
      <c r="B218" s="1">
        <f>IFERROR(IF(MARÍTIMOS[[#This Row],[PP]]="","",MARÍTIMOS[[#This Row],[PP]]),"")</f>
        <v>33</v>
      </c>
      <c r="C218" s="1" t="str">
        <f>IFERROR(IF(MARÍTIMOS[[#This Row],[Sede]]="","",MARÍTIMOS[[#This Row],[Sede]]),"")</f>
        <v>Chao</v>
      </c>
      <c r="D218" s="1" t="str">
        <f>IFERROR(IF(MARÍTIMOS[[#This Row],[Instruction]]="","",MARÍTIMOS[[#This Row],[Instruction]]),"")</f>
        <v>RH-0473</v>
      </c>
      <c r="E218" s="1"/>
      <c r="F218" s="2" t="str">
        <f>IFERROR(IF(MARÍTIMOS[[#This Row],[Transportista]]="","",MARÍTIMOS[[#This Row],[Transportista]]),"")</f>
        <v>LIP</v>
      </c>
      <c r="G218" s="2" t="str">
        <f>IFERROR(IF(MARÍTIMOS[[#This Row],[Tercero]]="","",MARÍTIMOS[[#This Row],[Tercero]]),"")</f>
        <v>NO</v>
      </c>
      <c r="H218" s="2" t="str">
        <f>IFERROR(IF(MARÍTIMOS[[#This Row],[Razón Social]]="","",MARÍTIMOS[[#This Row],[Razón Social]]),"")</f>
        <v>LOGISTICA INTERMODAL DEL PERU S.A.C.</v>
      </c>
      <c r="I218" s="2">
        <f>IFERROR(IF(MARÍTIMOS[[#This Row],[RUC]]="","",MARÍTIMOS[[#This Row],[RUC]]),"")</f>
        <v>20513040718</v>
      </c>
      <c r="J218" s="2" t="str">
        <f>IFERROR(IF(MARÍTIMOS[[#This Row],[Placa Tracto]]="","",MARÍTIMOS[[#This Row],[Placa Tracto]]),"")</f>
        <v>AMP-767</v>
      </c>
      <c r="K218" s="2" t="str">
        <f>IFERROR(IF(MARÍTIMOS[[#This Row],[Placa Carreta]]="","",MARÍTIMOS[[#This Row],[Placa Carreta]]),"")</f>
        <v>AZL-971</v>
      </c>
      <c r="L218" s="44" t="str">
        <f>IFERROR(IF(MARÍTIMOS[[#This Row],[Conductor]]="","",MARÍTIMOS[[#This Row],[Conductor]]),"")</f>
        <v>POPAYAN DOMINGUEZ OSCAR CANTO</v>
      </c>
      <c r="M218" s="2" t="str">
        <f>IFERROR(IF(MARÍTIMOS[[#This Row],[Licencia]]="","",MARÍTIMOS[[#This Row],[Licencia]]),"")</f>
        <v>Q32110321</v>
      </c>
      <c r="N218" s="2" t="str">
        <f>IFERROR(IF(MARÍTIMOS[[#This Row],[Número de Contacto]]="","",MARÍTIMOS[[#This Row],[Número de Contacto]]),"")</f>
        <v/>
      </c>
      <c r="O218" s="10">
        <f>IFERROR(IF(MARÍTIMOS[[#This Row],[Booking|AWB|CRT]]="","",MARÍTIMOS[[#This Row],[Booking|AWB|CRT]]),"")</f>
        <v>6462784530</v>
      </c>
      <c r="P218" s="2" t="str">
        <f>IFERROR(IF(MARÍTIMOS[[#This Row],[Contenedor]]="","",MARÍTIMOS[[#This Row],[Contenedor]]),"")</f>
        <v>FBIU5657634</v>
      </c>
      <c r="Q218" s="2" t="str">
        <f>IFERROR(IF(MARÍTIMOS[[#This Row],[Puerto de Retiro]]="","",MARÍTIMOS[[#This Row],[Puerto de Retiro]]),"")</f>
        <v>CHANCAY</v>
      </c>
      <c r="R218" s="2" t="str">
        <f>IFERROR(IF(MARÍTIMOS[[#This Row],[Almacén de Retiro]]="","",MARÍTIMOS[[#This Row],[Almacén de Retiro]]),"")</f>
        <v>CSPCP</v>
      </c>
      <c r="S218" s="11">
        <f>IFERROR(IF(MARÍTIMOS[[#This Row],[Etapa Retiro - Cita]]="","",MARÍTIMOS[[#This Row],[Etapa Retiro - Cita]]),"")</f>
        <v>46245.708333333336</v>
      </c>
      <c r="T218" s="11">
        <f>IFERROR(IF(MARÍTIMOS[[#This Row],[Etapa Retiro - Llegada]]="","",MARÍTIMOS[[#This Row],[Etapa Retiro - Llegada]]),"")</f>
        <v>46245.722222222219</v>
      </c>
      <c r="U218" s="11">
        <f>IFERROR(IF(MARÍTIMOS[[#This Row],[Etapa Retiro - Ingreso]]="","",MARÍTIMOS[[#This Row],[Etapa Retiro - Ingreso]]),"")</f>
        <v>46245.749305555553</v>
      </c>
      <c r="V218" s="11">
        <f>IFERROR(IF(MARÍTIMOS[[#This Row],[Etapa Retiro - Atención]]="","",MARÍTIMOS[[#This Row],[Etapa Retiro - Atención]]),"")</f>
        <v>46245.753472222219</v>
      </c>
      <c r="W218" s="11">
        <f>IFERROR(IF(MARÍTIMOS[[#This Row],[Etapa Retiro - Atención]]="","",MARÍTIMOS[[#This Row],[Etapa Retiro - Atención]]),"")</f>
        <v>46245.753472222219</v>
      </c>
      <c r="X218" s="11">
        <f>IFERROR(IF(MARÍTIMOS[[#This Row],[Etapa Retiro - Inicio de Ruta]]="","",MARÍTIMOS[[#This Row],[Etapa Retiro - Inicio de Ruta]]),"")</f>
        <v>46245.8125</v>
      </c>
      <c r="Y218" s="11">
        <f>IFERROR(IF(MARÍTIMOS[[#This Row],[Hora de Posicionamiento]]="","",MARÍTIMOS[[#This Row],[Fecha de Carga]]+MARÍTIMOS[[#This Row],[Hora de Posicionamiento]]),"")</f>
        <v>46246.583333333336</v>
      </c>
      <c r="Z218" s="11">
        <f>IFERROR(IF(MARÍTIMOS[[#This Row],[Etapa Despacho - Llegada]]="","",MARÍTIMOS[[#This Row],[Etapa Despacho - Llegada]]),"")</f>
        <v>46246.470833333333</v>
      </c>
      <c r="AA218" s="11">
        <f>IFERROR(IF(MARÍTIMOS[[#This Row],[Etapa Despacho - Registro]]="","",MARÍTIMOS[[#This Row],[Etapa Despacho - Registro]]),"")</f>
        <v>46246.474999999999</v>
      </c>
      <c r="AB218" s="11">
        <f>IFERROR(IF(MARÍTIMOS[[#This Row],[Inspección Externa]]="","",MARÍTIMOS[[#This Row],[Inspección Externa]]),"")</f>
        <v>46246.476388888892</v>
      </c>
      <c r="AC218" s="11">
        <f>IFERROR(IF(MARÍTIMOS[[#This Row],[Etapa Despacho - Inicio de Carga]]="","",MARÍTIMOS[[#This Row],[Etapa Despacho - Inicio de Carga]]),"")</f>
        <v>46246.479166666664</v>
      </c>
      <c r="AD218" s="11">
        <f>IFERROR(IF(MARÍTIMOS[[#This Row],[Etapa Despacho - Mitad de Carga]]="","",MARÍTIMOS[[#This Row],[Etapa Despacho - Mitad de Carga]]),"")</f>
        <v>46246.666666666664</v>
      </c>
      <c r="AE218" s="11">
        <f>IFERROR(IF(MARÍTIMOS[[#This Row],[Etapa Despacho - Fin de Carga]]="","",MARÍTIMOS[[#This Row],[Etapa Despacho - Fin de Carga]]),"")</f>
        <v>46246.679166666669</v>
      </c>
      <c r="AF218" s="2" t="str">
        <f>IFERROR(IF(MARÍTIMOS[[#This Row],[Puerto de Embarque]]="","",MARÍTIMOS[[#This Row],[Puerto de Embarque]]),"")</f>
        <v>CHANCAY</v>
      </c>
      <c r="AG218" s="2" t="str">
        <f>IFERROR(IF(MARÍTIMOS[[#This Row],[Almacén de Ingreso]]="","",MARÍTIMOS[[#This Row],[Almacén de Ingreso]]),"")</f>
        <v>CSPCP</v>
      </c>
      <c r="AH218" s="11">
        <f>IFERROR(IF(MARÍTIMOS[[#This Row],[Etapa Ingreso - Cita]]="","",MARÍTIMOS[[#This Row],[Etapa Ingreso - Cita]]),"")</f>
        <v>46247.375</v>
      </c>
      <c r="AI218" s="11">
        <f>IFERROR(IF(MARÍTIMOS[[#This Row],[Etapa Ingreso - Llegada]]="","",MARÍTIMOS[[#This Row],[Etapa Ingreso - Llegada]]),"")</f>
        <v>46247.36041666667</v>
      </c>
      <c r="AJ218" s="11">
        <f>IFERROR(IF(MARÍTIMOS[[#This Row],[Etapa Ingreso - Ingeso]]="","",MARÍTIMOS[[#This Row],[Etapa Ingreso - Ingeso]]),"")</f>
        <v>46247.400694444441</v>
      </c>
      <c r="AK218" s="11">
        <f>IFERROR(IF(MARÍTIMOS[[#This Row],[Etapa Ingreso - Atención]]="","",MARÍTIMOS[[#This Row],[Etapa Ingreso - Atención]]),"")</f>
        <v>46247.57916666667</v>
      </c>
      <c r="AL218" s="11">
        <f>IFERROR(IF(MARÍTIMOS[[#This Row],[Etapa Ingreso - Salida]]="","",MARÍTIMOS[[#This Row],[Etapa Ingreso - Salida]]),"")</f>
        <v>46247.61041666667</v>
      </c>
      <c r="AM218" s="2">
        <f>IFERROR(IF(MARÍTIMOS[[#This Row],[FCL]]="","",MARÍTIMOS[[#This Row],[FCL]]),"")</f>
        <v>1</v>
      </c>
      <c r="AN2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18" s="4" t="str" cm="1">
        <f t="array" ref="AO2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8" s="5">
        <f>IFERROR(OLDBD[[#This Row],[Llegada a packing]]-OLDBD[[#This Row],[Inicio de Ruta]],"")</f>
        <v>0.65833333333284827</v>
      </c>
      <c r="AQ218" s="6">
        <f>IFERROR(OLDBD[[#This Row],[Inicio de Ruta]]-OLDBD[[#This Row],[Salida de almacén de retiro]],"")</f>
        <v>5.9027777781011537E-2</v>
      </c>
      <c r="AR2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8" s="8" t="str" cm="1">
        <f t="array" ref="AS2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18" s="9">
        <f>IFERROR(OLDBD[[#This Row],[Ingreso Packing]]-OLDBD[[#This Row],[Registro en Packing]],"")</f>
        <v>1.3888888934161514E-3</v>
      </c>
      <c r="AV218" s="9">
        <f>IFERROR(OLDBD[[#This Row],[Ingreso Packing]]-OLDBD[[#This Row],[Llegada a packing]],"")</f>
        <v>5.5555555591126904E-3</v>
      </c>
      <c r="AW2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8" s="5">
        <f>IFERROR(OLDBD[[#This Row],[Llegada Almacén de Ingreso]]-OLDBD[[#This Row],[Salida Packing]],"")</f>
        <v>0.68125000000145519</v>
      </c>
      <c r="AY218" s="4" t="str" cm="1">
        <f t="array" ref="AY2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2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8" s="43" t="s">
        <v>173</v>
      </c>
      <c r="BB218" s="47" t="str">
        <f>IFERROR(IF(MARÍTIMOS[[#This Row],[Estatus]]="","",MARÍTIMOS[[#This Row],[Estatus]]),"")</f>
        <v>Confirmado</v>
      </c>
      <c r="BC218" s="43"/>
      <c r="BD218" s="46">
        <f>IFERROR(OLDBD[[#This Row],[Salida de almacén de retiro]]-OLDBD[[#This Row],[Ingreso Almacén de retiro]],"")</f>
        <v>4.166666665696539E-3</v>
      </c>
      <c r="BE218" s="46">
        <f>IFERROR(OLDBD[[#This Row],[Fin de Carga]]-OLDBD[[#This Row],[Inicio de Carga]],"")</f>
        <v>0.1875</v>
      </c>
    </row>
    <row r="219" spans="1:57" customFormat="1" hidden="1">
      <c r="A219" s="1"/>
      <c r="B219" s="1">
        <f>IFERROR(IF(MARÍTIMOS[[#This Row],[PP]]="","",MARÍTIMOS[[#This Row],[PP]]),"")</f>
        <v>33</v>
      </c>
      <c r="C219" s="1" t="str">
        <f>IFERROR(IF(MARÍTIMOS[[#This Row],[Sede]]="","",MARÍTIMOS[[#This Row],[Sede]]),"")</f>
        <v>Chao</v>
      </c>
      <c r="D219" s="1" t="str">
        <f>IFERROR(IF(MARÍTIMOS[[#This Row],[Instruction]]="","",MARÍTIMOS[[#This Row],[Instruction]]),"")</f>
        <v>RH-0478</v>
      </c>
      <c r="E219" s="1"/>
      <c r="F219" s="2" t="str">
        <f>IFERROR(IF(MARÍTIMOS[[#This Row],[Transportista]]="","",MARÍTIMOS[[#This Row],[Transportista]]),"")</f>
        <v>LIP</v>
      </c>
      <c r="G219" s="2" t="str">
        <f>IFERROR(IF(MARÍTIMOS[[#This Row],[Tercero]]="","",MARÍTIMOS[[#This Row],[Tercero]]),"")</f>
        <v>SI</v>
      </c>
      <c r="H219" s="2" t="str">
        <f>IFERROR(IF(MARÍTIMOS[[#This Row],[Razón Social]]="","",MARÍTIMOS[[#This Row],[Razón Social]]),"")</f>
        <v>EMPRESA VENTURE S.A.</v>
      </c>
      <c r="I219" s="2">
        <f>IFERROR(IF(MARÍTIMOS[[#This Row],[RUC]]="","",MARÍTIMOS[[#This Row],[RUC]]),"")</f>
        <v>20166522375</v>
      </c>
      <c r="J219" s="2" t="str">
        <f>IFERROR(IF(MARÍTIMOS[[#This Row],[Placa Tracto]]="","",MARÍTIMOS[[#This Row],[Placa Tracto]]),"")</f>
        <v>BFN-795</v>
      </c>
      <c r="K219" s="2" t="str">
        <f>IFERROR(IF(MARÍTIMOS[[#This Row],[Placa Carreta]]="","",MARÍTIMOS[[#This Row],[Placa Carreta]]),"")</f>
        <v>AUA-974</v>
      </c>
      <c r="L219" s="44" t="str">
        <f>IFERROR(IF(MARÍTIMOS[[#This Row],[Conductor]]="","",MARÍTIMOS[[#This Row],[Conductor]]),"")</f>
        <v>PACHERRI VALIENTE OCTAVIO PATRICIO</v>
      </c>
      <c r="M219" s="2" t="str">
        <f>IFERROR(IF(MARÍTIMOS[[#This Row],[Licencia]]="","",MARÍTIMOS[[#This Row],[Licencia]]),"")</f>
        <v>F10157350</v>
      </c>
      <c r="N219" s="2" t="str">
        <f>IFERROR(IF(MARÍTIMOS[[#This Row],[Número de Contacto]]="","",MARÍTIMOS[[#This Row],[Número de Contacto]]),"")</f>
        <v/>
      </c>
      <c r="O219" s="10">
        <f>IFERROR(IF(MARÍTIMOS[[#This Row],[Booking|AWB|CRT]]="","",MARÍTIMOS[[#This Row],[Booking|AWB|CRT]]),"")</f>
        <v>275501308</v>
      </c>
      <c r="P219" s="2" t="str">
        <f>IFERROR(IF(MARÍTIMOS[[#This Row],[Contenedor]]="","",MARÍTIMOS[[#This Row],[Contenedor]]),"")</f>
        <v>MCAU8569929</v>
      </c>
      <c r="Q219" s="2" t="str">
        <f>IFERROR(IF(MARÍTIMOS[[#This Row],[Puerto de Retiro]]="","",MARÍTIMOS[[#This Row],[Puerto de Retiro]]),"")</f>
        <v>CALLAO</v>
      </c>
      <c r="R219" s="2" t="str">
        <f>IFERROR(IF(MARÍTIMOS[[#This Row],[Almacén de Retiro]]="","",MARÍTIMOS[[#This Row],[Almacén de Retiro]]),"")</f>
        <v>MAERSK</v>
      </c>
      <c r="S219" s="11">
        <f>IFERROR(IF(MARÍTIMOS[[#This Row],[Etapa Retiro - Cita]]="","",MARÍTIMOS[[#This Row],[Etapa Retiro - Cita]]),"")</f>
        <v>46247.75</v>
      </c>
      <c r="T219" s="11">
        <f>IFERROR(IF(MARÍTIMOS[[#This Row],[Etapa Retiro - Llegada]]="","",MARÍTIMOS[[#This Row],[Etapa Retiro - Llegada]]),"")</f>
        <v>46247.212500000001</v>
      </c>
      <c r="U219" s="11">
        <f>IFERROR(IF(MARÍTIMOS[[#This Row],[Etapa Retiro - Ingreso]]="","",MARÍTIMOS[[#This Row],[Etapa Retiro - Ingreso]]),"")</f>
        <v>46247.436111111114</v>
      </c>
      <c r="V219" s="11">
        <f>IFERROR(IF(MARÍTIMOS[[#This Row],[Etapa Retiro - Atención]]="","",MARÍTIMOS[[#This Row],[Etapa Retiro - Atención]]),"")</f>
        <v>46247.454861111109</v>
      </c>
      <c r="W219" s="11">
        <f>IFERROR(IF(MARÍTIMOS[[#This Row],[Etapa Retiro - Atención]]="","",MARÍTIMOS[[#This Row],[Etapa Retiro - Atención]]),"")</f>
        <v>46247.454861111109</v>
      </c>
      <c r="X219" s="11">
        <f>IFERROR(IF(MARÍTIMOS[[#This Row],[Etapa Retiro - Inicio de Ruta]]="","",MARÍTIMOS[[#This Row],[Etapa Retiro - Inicio de Ruta]]),"")</f>
        <v>46247.495833333334</v>
      </c>
      <c r="Y219" s="11">
        <f>IFERROR(IF(MARÍTIMOS[[#This Row],[Hora de Posicionamiento]]="","",MARÍTIMOS[[#This Row],[Fecha de Carga]]+MARÍTIMOS[[#This Row],[Hora de Posicionamiento]]),"")</f>
        <v>46249.375</v>
      </c>
      <c r="Z219" s="11">
        <f>IFERROR(IF(MARÍTIMOS[[#This Row],[Etapa Despacho - Llegada]]="","",MARÍTIMOS[[#This Row],[Etapa Despacho - Llegada]]),"")</f>
        <v>46248.01666666667</v>
      </c>
      <c r="AA219" s="11">
        <f>IFERROR(IF(MARÍTIMOS[[#This Row],[Etapa Despacho - Registro]]="","",MARÍTIMOS[[#This Row],[Etapa Despacho - Registro]]),"")</f>
        <v>46248.26666666667</v>
      </c>
      <c r="AB219" s="11">
        <f>IFERROR(IF(MARÍTIMOS[[#This Row],[Inspección Externa]]="","",MARÍTIMOS[[#This Row],[Inspección Externa]]),"")</f>
        <v>46248.270833333336</v>
      </c>
      <c r="AC219" s="11">
        <f>IFERROR(IF(MARÍTIMOS[[#This Row],[Etapa Despacho - Inicio de Carga]]="","",MARÍTIMOS[[#This Row],[Etapa Despacho - Inicio de Carga]]),"")</f>
        <v>46248.284722222219</v>
      </c>
      <c r="AD219" s="11">
        <f>IFERROR(IF(MARÍTIMOS[[#This Row],[Etapa Despacho - Mitad de Carga]]="","",MARÍTIMOS[[#This Row],[Etapa Despacho - Mitad de Carga]]),"")</f>
        <v>46248.388888888891</v>
      </c>
      <c r="AE219" s="11">
        <f>IFERROR(IF(MARÍTIMOS[[#This Row],[Etapa Despacho - Fin de Carga]]="","",MARÍTIMOS[[#This Row],[Etapa Despacho - Fin de Carga]]),"")</f>
        <v>46248.404861111114</v>
      </c>
      <c r="AF219" s="2" t="str">
        <f>IFERROR(IF(MARÍTIMOS[[#This Row],[Puerto de Embarque]]="","",MARÍTIMOS[[#This Row],[Puerto de Embarque]]),"")</f>
        <v>CALLAO</v>
      </c>
      <c r="AG219" s="2" t="str">
        <f>IFERROR(IF(MARÍTIMOS[[#This Row],[Almacén de Ingreso]]="","",MARÍTIMOS[[#This Row],[Almacén de Ingreso]]),"")</f>
        <v>APM</v>
      </c>
      <c r="AH219" s="11">
        <f>IFERROR(IF(MARÍTIMOS[[#This Row],[Etapa Ingreso - Cita]]="","",MARÍTIMOS[[#This Row],[Etapa Ingreso - Cita]]),"")</f>
        <v>46249.041666666664</v>
      </c>
      <c r="AI219" s="11">
        <f>IFERROR(IF(MARÍTIMOS[[#This Row],[Etapa Ingreso - Llegada]]="","",MARÍTIMOS[[#This Row],[Etapa Ingreso - Llegada]]),"")</f>
        <v>46249.018750000003</v>
      </c>
      <c r="AJ219" s="11">
        <f>IFERROR(IF(MARÍTIMOS[[#This Row],[Etapa Ingreso - Ingeso]]="","",MARÍTIMOS[[#This Row],[Etapa Ingreso - Ingeso]]),"")</f>
        <v>46249.0625</v>
      </c>
      <c r="AK219" s="11">
        <f>IFERROR(IF(MARÍTIMOS[[#This Row],[Etapa Ingreso - Atención]]="","",MARÍTIMOS[[#This Row],[Etapa Ingreso - Atención]]),"")</f>
        <v>46249.075694444444</v>
      </c>
      <c r="AL219" s="11">
        <f>IFERROR(IF(MARÍTIMOS[[#This Row],[Etapa Ingreso - Salida]]="","",MARÍTIMOS[[#This Row],[Etapa Ingreso - Salida]]),"")</f>
        <v>46249.092361111114</v>
      </c>
      <c r="AM219" s="2">
        <f>IFERROR(IF(MARÍTIMOS[[#This Row],[FCL]]="","",MARÍTIMOS[[#This Row],[FCL]]),"")</f>
        <v>1</v>
      </c>
      <c r="AN2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219" s="4" t="str" cm="1">
        <f t="array" ref="AO2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19" s="5">
        <f>IFERROR(OLDBD[[#This Row],[Llegada a packing]]-OLDBD[[#This Row],[Inicio de Ruta]],"")</f>
        <v>0.52083333333575865</v>
      </c>
      <c r="AQ219" s="6">
        <f>IFERROR(OLDBD[[#This Row],[Inicio de Ruta]]-OLDBD[[#This Row],[Salida de almacén de retiro]],"")</f>
        <v>4.0972222224809229E-2</v>
      </c>
      <c r="AR2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19" s="8" t="str" cm="1">
        <f t="array" ref="AS2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19" s="9">
        <f>IFERROR(OLDBD[[#This Row],[Ingreso Packing]]-OLDBD[[#This Row],[Registro en Packing]],"")</f>
        <v>4.166666665696539E-3</v>
      </c>
      <c r="AV219" s="9">
        <f>IFERROR(OLDBD[[#This Row],[Ingreso Packing]]-OLDBD[[#This Row],[Llegada a packing]],"")</f>
        <v>0.25416666666569654</v>
      </c>
      <c r="AW2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19" s="5">
        <f>IFERROR(OLDBD[[#This Row],[Llegada Almacén de Ingreso]]-OLDBD[[#This Row],[Salida Packing]],"")</f>
        <v>0.61388888888905058</v>
      </c>
      <c r="AY219" s="4" t="str" cm="1">
        <f t="array" ref="AY2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19" s="43" t="s">
        <v>173</v>
      </c>
      <c r="BB219" s="47" t="str">
        <f>IFERROR(IF(MARÍTIMOS[[#This Row],[Estatus]]="","",MARÍTIMOS[[#This Row],[Estatus]]),"")</f>
        <v>Confirmado</v>
      </c>
      <c r="BC219" s="43"/>
      <c r="BD219" s="46">
        <f>IFERROR(OLDBD[[#This Row],[Salida de almacén de retiro]]-OLDBD[[#This Row],[Ingreso Almacén de retiro]],"")</f>
        <v>1.8749999995634425E-2</v>
      </c>
      <c r="BE219" s="46">
        <f>IFERROR(OLDBD[[#This Row],[Fin de Carga]]-OLDBD[[#This Row],[Inicio de Carga]],"")</f>
        <v>0.10416666667151731</v>
      </c>
    </row>
    <row r="220" spans="1:57" customFormat="1" hidden="1">
      <c r="A220" s="1"/>
      <c r="B220" s="1">
        <f>IFERROR(IF(MARÍTIMOS[[#This Row],[PP]]="","",MARÍTIMOS[[#This Row],[PP]]),"")</f>
        <v>22</v>
      </c>
      <c r="C220" s="1" t="str">
        <f>IFERROR(IF(MARÍTIMOS[[#This Row],[Sede]]="","",MARÍTIMOS[[#This Row],[Sede]]),"")</f>
        <v>Chao</v>
      </c>
      <c r="D220" s="1" t="str">
        <f>IFERROR(IF(MARÍTIMOS[[#This Row],[Instruction]]="","",MARÍTIMOS[[#This Row],[Instruction]]),"")</f>
        <v>RH-0001</v>
      </c>
      <c r="E220" s="1"/>
      <c r="F220" s="2" t="str">
        <f>IFERROR(IF(MARÍTIMOS[[#This Row],[Transportista]]="","",MARÍTIMOS[[#This Row],[Transportista]]),"")</f>
        <v>LIP</v>
      </c>
      <c r="G220" s="2" t="str">
        <f>IFERROR(IF(MARÍTIMOS[[#This Row],[Tercero]]="","",MARÍTIMOS[[#This Row],[Tercero]]),"")</f>
        <v>NO</v>
      </c>
      <c r="H220" s="2" t="str">
        <f>IFERROR(IF(MARÍTIMOS[[#This Row],[Razón Social]]="","",MARÍTIMOS[[#This Row],[Razón Social]]),"")</f>
        <v xml:space="preserve">LOGISTICA INTERMODAL DEL PERU S.A.C.
</v>
      </c>
      <c r="I220" s="2">
        <f>IFERROR(IF(MARÍTIMOS[[#This Row],[RUC]]="","",MARÍTIMOS[[#This Row],[RUC]]),"")</f>
        <v>20513040718</v>
      </c>
      <c r="J220" s="2" t="str">
        <f>IFERROR(IF(MARÍTIMOS[[#This Row],[Placa Tracto]]="","",MARÍTIMOS[[#This Row],[Placa Tracto]]),"")</f>
        <v>BMU-724</v>
      </c>
      <c r="K220" s="2" t="str">
        <f>IFERROR(IF(MARÍTIMOS[[#This Row],[Placa Carreta]]="","",MARÍTIMOS[[#This Row],[Placa Carreta]]),"")</f>
        <v>A2G-970</v>
      </c>
      <c r="L220" s="44" t="str">
        <f>IFERROR(IF(MARÍTIMOS[[#This Row],[Conductor]]="","",MARÍTIMOS[[#This Row],[Conductor]]),"")</f>
        <v>ALVA MORALES MARCO ANTONIO</v>
      </c>
      <c r="M220" s="2" t="str">
        <f>IFERROR(IF(MARÍTIMOS[[#This Row],[Licencia]]="","",MARÍTIMOS[[#This Row],[Licencia]]),"")</f>
        <v>Q25566860</v>
      </c>
      <c r="N220" s="2" t="str">
        <f>IFERROR(IF(MARÍTIMOS[[#This Row],[Número de Contacto]]="","",MARÍTIMOS[[#This Row],[Número de Contacto]]),"")</f>
        <v>932 208 104</v>
      </c>
      <c r="O220" s="10" t="str">
        <f>IFERROR(IF(MARÍTIMOS[[#This Row],[Booking|AWB|CRT]]="","",MARÍTIMOS[[#This Row],[Booking|AWB|CRT]]),"")</f>
        <v>MBM250067088</v>
      </c>
      <c r="P220" s="2" t="str">
        <f>IFERROR(IF(MARÍTIMOS[[#This Row],[Contenedor]]="","",MARÍTIMOS[[#This Row],[Contenedor]]),"")</f>
        <v>SEGU9325135</v>
      </c>
      <c r="Q220" s="2" t="str">
        <f>IFERROR(IF(MARÍTIMOS[[#This Row],[Puerto de Retiro]]="","",MARÍTIMOS[[#This Row],[Puerto de Retiro]]),"")</f>
        <v>PAITA</v>
      </c>
      <c r="R220" s="2" t="str">
        <f>IFERROR(IF(MARÍTIMOS[[#This Row],[Almacén de Retiro]]="","",MARÍTIMOS[[#This Row],[Almacén de Retiro]]),"")</f>
        <v>MACROMAR</v>
      </c>
      <c r="S220" s="11">
        <f>IFERROR(IF(MARÍTIMOS[[#This Row],[Etapa Retiro - Cita]]="","",MARÍTIMOS[[#This Row],[Etapa Retiro - Cita]]),"")</f>
        <v>46168.916666666664</v>
      </c>
      <c r="T220" s="11">
        <f>IFERROR(IF(MARÍTIMOS[[#This Row],[Etapa Retiro - Llegada]]="","",MARÍTIMOS[[#This Row],[Etapa Retiro - Llegada]]),"")</f>
        <v>46168.947916666664</v>
      </c>
      <c r="U220" s="11">
        <f>IFERROR(IF(MARÍTIMOS[[#This Row],[Etapa Retiro - Ingreso]]="","",MARÍTIMOS[[#This Row],[Etapa Retiro - Ingreso]]),"")</f>
        <v>46168.957638888889</v>
      </c>
      <c r="V220" s="11">
        <f>IFERROR(IF(MARÍTIMOS[[#This Row],[Etapa Retiro - Atención]]="","",MARÍTIMOS[[#This Row],[Etapa Retiro - Atención]]),"")</f>
        <v>46168.965277777781</v>
      </c>
      <c r="W220" s="11">
        <f>IFERROR(IF(MARÍTIMOS[[#This Row],[Etapa Retiro - Atención]]="","",MARÍTIMOS[[#This Row],[Etapa Retiro - Atención]]),"")</f>
        <v>46168.965277777781</v>
      </c>
      <c r="X220" s="11">
        <f>IFERROR(IF(MARÍTIMOS[[#This Row],[Etapa Retiro - Inicio de Ruta]]="","",MARÍTIMOS[[#This Row],[Etapa Retiro - Inicio de Ruta]]),"")</f>
        <v>46169.052777777775</v>
      </c>
      <c r="Y220" s="11">
        <f>IFERROR(IF(MARÍTIMOS[[#This Row],[Hora de Posicionamiento]]="","",MARÍTIMOS[[#This Row],[Fecha de Carga]]+MARÍTIMOS[[#This Row],[Hora de Posicionamiento]]),"")</f>
        <v>46169.333333333336</v>
      </c>
      <c r="Z220" s="11">
        <f>IFERROR(IF(MARÍTIMOS[[#This Row],[Etapa Despacho - Llegada]]="","",MARÍTIMOS[[#This Row],[Etapa Despacho - Llegada]]),"")</f>
        <v>46169.647222222222</v>
      </c>
      <c r="AA220" s="11">
        <f>IFERROR(IF(MARÍTIMOS[[#This Row],[Etapa Despacho - Registro]]="","",MARÍTIMOS[[#This Row],[Etapa Despacho - Registro]]),"")</f>
        <v>46169.648611111108</v>
      </c>
      <c r="AB220" s="11">
        <f>IFERROR(IF(MARÍTIMOS[[#This Row],[Inspección Externa]]="","",MARÍTIMOS[[#This Row],[Inspección Externa]]),"")</f>
        <v>46169.654166666667</v>
      </c>
      <c r="AC220" s="11">
        <f>IFERROR(IF(MARÍTIMOS[[#This Row],[Etapa Despacho - Inicio de Carga]]="","",MARÍTIMOS[[#This Row],[Etapa Despacho - Inicio de Carga]]),"")</f>
        <v>46169.661111111112</v>
      </c>
      <c r="AD220" s="11">
        <f>IFERROR(IF(MARÍTIMOS[[#This Row],[Etapa Despacho - Mitad de Carga]]="","",MARÍTIMOS[[#This Row],[Etapa Despacho - Mitad de Carga]]),"")</f>
        <v>46169.671527777777</v>
      </c>
      <c r="AE220" s="11">
        <f>IFERROR(IF(MARÍTIMOS[[#This Row],[Etapa Despacho - Fin de Carga]]="","",MARÍTIMOS[[#This Row],[Etapa Despacho - Fin de Carga]]),"")</f>
        <v>46171.631249999999</v>
      </c>
      <c r="AF220" s="2" t="str">
        <f>IFERROR(IF(MARÍTIMOS[[#This Row],[Puerto de Embarque]]="","",MARÍTIMOS[[#This Row],[Puerto de Embarque]]),"")</f>
        <v>Paita</v>
      </c>
      <c r="AG220" s="2" t="str">
        <f>IFERROR(IF(MARÍTIMOS[[#This Row],[Almacén de Ingreso]]="","",MARÍTIMOS[[#This Row],[Almacén de Ingreso]]),"")</f>
        <v>TPE</v>
      </c>
      <c r="AH220" s="11">
        <f>IFERROR(IF(MARÍTIMOS[[#This Row],[Etapa Ingreso - Cita]]="","",MARÍTIMOS[[#This Row],[Etapa Ingreso - Cita]]),"")</f>
        <v>46172.458333333336</v>
      </c>
      <c r="AI220" s="11">
        <f>IFERROR(IF(MARÍTIMOS[[#This Row],[Etapa Ingreso - Llegada]]="","",MARÍTIMOS[[#This Row],[Etapa Ingreso - Llegada]]),"")</f>
        <v>46172.493055555555</v>
      </c>
      <c r="AJ220" s="11">
        <f>IFERROR(IF(MARÍTIMOS[[#This Row],[Etapa Ingreso - Ingeso]]="","",MARÍTIMOS[[#This Row],[Etapa Ingreso - Ingeso]]),"")</f>
        <v>46172.506249999999</v>
      </c>
      <c r="AK220" s="11">
        <f>IFERROR(IF(MARÍTIMOS[[#This Row],[Etapa Ingreso - Atención]]="","",MARÍTIMOS[[#This Row],[Etapa Ingreso - Atención]]),"")</f>
        <v>46172.512499999997</v>
      </c>
      <c r="AL220" s="11">
        <f>IFERROR(IF(MARÍTIMOS[[#This Row],[Etapa Ingreso - Salida]]="","",MARÍTIMOS[[#This Row],[Etapa Ingreso - Salida]]),"")</f>
        <v>46172.519444444442</v>
      </c>
      <c r="AM220" s="2">
        <f>IFERROR(IF(MARÍTIMOS[[#This Row],[FCL]]="","",MARÍTIMOS[[#This Row],[FCL]]),"")</f>
        <v>1</v>
      </c>
      <c r="AN2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0" s="4" t="str" cm="1">
        <f t="array" ref="AO2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0" s="5">
        <f>IFERROR(OLDBD[[#This Row],[Llegada a packing]]-OLDBD[[#This Row],[Inicio de Ruta]],"")</f>
        <v>0.59444444444670808</v>
      </c>
      <c r="AQ220" s="6">
        <f>IFERROR(OLDBD[[#This Row],[Inicio de Ruta]]-OLDBD[[#This Row],[Salida de almacén de retiro]],"")</f>
        <v>8.7499999994179234E-2</v>
      </c>
      <c r="AR2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20" s="8" t="str" cm="1">
        <f t="array" ref="AS2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20" s="9">
        <f>IFERROR(OLDBD[[#This Row],[Ingreso Packing]]-OLDBD[[#This Row],[Registro en Packing]],"")</f>
        <v>5.5555555591126904E-3</v>
      </c>
      <c r="AV220" s="9">
        <f>IFERROR(OLDBD[[#This Row],[Ingreso Packing]]-OLDBD[[#This Row],[Llegada a packing]],"")</f>
        <v>6.9444444452528842E-3</v>
      </c>
      <c r="AW2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20" s="5">
        <f>IFERROR(OLDBD[[#This Row],[Llegada Almacén de Ingreso]]-OLDBD[[#This Row],[Salida Packing]],"")</f>
        <v>0.86180555555620231</v>
      </c>
      <c r="AY220" s="4" t="str" cm="1">
        <f t="array" ref="AY2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20" s="43" t="s">
        <v>173</v>
      </c>
      <c r="BB220" s="47" t="str">
        <f>IFERROR(IF(MARÍTIMOS[[#This Row],[Estatus]]="","",MARÍTIMOS[[#This Row],[Estatus]]),"")</f>
        <v>Confirmado</v>
      </c>
      <c r="BC220" s="43"/>
      <c r="BD220" s="46">
        <f>IFERROR(OLDBD[[#This Row],[Salida de almacén de retiro]]-OLDBD[[#This Row],[Ingreso Almacén de retiro]],"")</f>
        <v>7.6388888919609599E-3</v>
      </c>
      <c r="BE220" s="46">
        <f>IFERROR(OLDBD[[#This Row],[Fin de Carga]]-OLDBD[[#This Row],[Inicio de Carga]],"")</f>
        <v>1.0416666664241347E-2</v>
      </c>
    </row>
    <row r="221" spans="1:57" customFormat="1" hidden="1">
      <c r="A221" s="1"/>
      <c r="B221" s="1">
        <f>IFERROR(IF(MARÍTIMOS[[#This Row],[PP]]="","",MARÍTIMOS[[#This Row],[PP]]),"")</f>
        <v>22</v>
      </c>
      <c r="C221" s="1" t="str">
        <f>IFERROR(IF(MARÍTIMOS[[#This Row],[Sede]]="","",MARÍTIMOS[[#This Row],[Sede]]),"")</f>
        <v>Chao</v>
      </c>
      <c r="D221" s="1" t="str">
        <f>IFERROR(IF(MARÍTIMOS[[#This Row],[Instruction]]="","",MARÍTIMOS[[#This Row],[Instruction]]),"")</f>
        <v>RH-0011</v>
      </c>
      <c r="E221" s="1"/>
      <c r="F221" s="2" t="str">
        <f>IFERROR(IF(MARÍTIMOS[[#This Row],[Transportista]]="","",MARÍTIMOS[[#This Row],[Transportista]]),"")</f>
        <v>LIP</v>
      </c>
      <c r="G221" s="2" t="str">
        <f>IFERROR(IF(MARÍTIMOS[[#This Row],[Tercero]]="","",MARÍTIMOS[[#This Row],[Tercero]]),"")</f>
        <v>NO</v>
      </c>
      <c r="H221" s="2" t="str">
        <f>IFERROR(IF(MARÍTIMOS[[#This Row],[Razón Social]]="","",MARÍTIMOS[[#This Row],[Razón Social]]),"")</f>
        <v xml:space="preserve">LOGISTICA INTERMODAL DEL PERU S.A.C.
</v>
      </c>
      <c r="I221" s="2">
        <f>IFERROR(IF(MARÍTIMOS[[#This Row],[RUC]]="","",MARÍTIMOS[[#This Row],[RUC]]),"")</f>
        <v>20513040718</v>
      </c>
      <c r="J221" s="2" t="str">
        <f>IFERROR(IF(MARÍTIMOS[[#This Row],[Placa Tracto]]="","",MARÍTIMOS[[#This Row],[Placa Tracto]]),"")</f>
        <v>BBK-835</v>
      </c>
      <c r="K221" s="2" t="str">
        <f>IFERROR(IF(MARÍTIMOS[[#This Row],[Placa Carreta]]="","",MARÍTIMOS[[#This Row],[Placa Carreta]]),"")</f>
        <v>AKN-992</v>
      </c>
      <c r="L221" s="44" t="str">
        <f>IFERROR(IF(MARÍTIMOS[[#This Row],[Conductor]]="","",MARÍTIMOS[[#This Row],[Conductor]]),"")</f>
        <v>CASTILLO ALVAREZ CESAR HUGO</v>
      </c>
      <c r="M221" s="2" t="str">
        <f>IFERROR(IF(MARÍTIMOS[[#This Row],[Licencia]]="","",MARÍTIMOS[[#This Row],[Licencia]]),"")</f>
        <v>Q25858072</v>
      </c>
      <c r="N221" s="2" t="str">
        <f>IFERROR(IF(MARÍTIMOS[[#This Row],[Número de Contacto]]="","",MARÍTIMOS[[#This Row],[Número de Contacto]]),"")</f>
        <v>940 126 735</v>
      </c>
      <c r="O221" s="10" t="str">
        <f>IFERROR(IF(MARÍTIMOS[[#This Row],[Booking|AWB|CRT]]="","",MARÍTIMOS[[#This Row],[Booking|AWB|CRT]]),"")</f>
        <v>PER9089919A</v>
      </c>
      <c r="P221" s="2" t="str">
        <f>IFERROR(IF(MARÍTIMOS[[#This Row],[Contenedor]]="","",MARÍTIMOS[[#This Row],[Contenedor]]),"")</f>
        <v>BMOU9893760</v>
      </c>
      <c r="Q221" s="2" t="str">
        <f>IFERROR(IF(MARÍTIMOS[[#This Row],[Puerto de Retiro]]="","",MARÍTIMOS[[#This Row],[Puerto de Retiro]]),"")</f>
        <v>PAITA</v>
      </c>
      <c r="R221" s="2" t="str">
        <f>IFERROR(IF(MARÍTIMOS[[#This Row],[Almacén de Retiro]]="","",MARÍTIMOS[[#This Row],[Almacén de Retiro]]),"")</f>
        <v>DPW</v>
      </c>
      <c r="S221" s="11">
        <f>IFERROR(IF(MARÍTIMOS[[#This Row],[Etapa Retiro - Cita]]="","",MARÍTIMOS[[#This Row],[Etapa Retiro - Cita]]),"")</f>
        <v>46173.583333333336</v>
      </c>
      <c r="T221" s="11">
        <f>IFERROR(IF(MARÍTIMOS[[#This Row],[Etapa Retiro - Llegada]]="","",MARÍTIMOS[[#This Row],[Etapa Retiro - Llegada]]),"")</f>
        <v>46173.594444444447</v>
      </c>
      <c r="U221" s="11">
        <f>IFERROR(IF(MARÍTIMOS[[#This Row],[Etapa Retiro - Ingreso]]="","",MARÍTIMOS[[#This Row],[Etapa Retiro - Ingreso]]),"")</f>
        <v>46173.611111111109</v>
      </c>
      <c r="V221" s="11">
        <f>IFERROR(IF(MARÍTIMOS[[#This Row],[Etapa Retiro - Atención]]="","",MARÍTIMOS[[#This Row],[Etapa Retiro - Atención]]),"")</f>
        <v>46173.615277777775</v>
      </c>
      <c r="W221" s="11">
        <f>IFERROR(IF(MARÍTIMOS[[#This Row],[Etapa Retiro - Atención]]="","",MARÍTIMOS[[#This Row],[Etapa Retiro - Atención]]),"")</f>
        <v>46173.615277777775</v>
      </c>
      <c r="X221" s="11">
        <f>IFERROR(IF(MARÍTIMOS[[#This Row],[Etapa Retiro - Inicio de Ruta]]="","",MARÍTIMOS[[#This Row],[Etapa Retiro - Inicio de Ruta]]),"")</f>
        <v>46173.709722222222</v>
      </c>
      <c r="Y221" s="11">
        <f>IFERROR(IF(MARÍTIMOS[[#This Row],[Hora de Posicionamiento]]="","",MARÍTIMOS[[#This Row],[Fecha de Carga]]+MARÍTIMOS[[#This Row],[Hora de Posicionamiento]]),"")</f>
        <v>46174.541666666664</v>
      </c>
      <c r="Z221" s="11">
        <f>IFERROR(IF(MARÍTIMOS[[#This Row],[Etapa Despacho - Llegada]]="","",MARÍTIMOS[[#This Row],[Etapa Despacho - Llegada]]),"")</f>
        <v>46174.594444444447</v>
      </c>
      <c r="AA221" s="11">
        <f>IFERROR(IF(MARÍTIMOS[[#This Row],[Etapa Despacho - Registro]]="","",MARÍTIMOS[[#This Row],[Etapa Despacho - Registro]]),"")</f>
        <v>46174.595833333333</v>
      </c>
      <c r="AB221" s="11">
        <f>IFERROR(IF(MARÍTIMOS[[#This Row],[Inspección Externa]]="","",MARÍTIMOS[[#This Row],[Inspección Externa]]),"")</f>
        <v>46174.607638888891</v>
      </c>
      <c r="AC221" s="11">
        <f>IFERROR(IF(MARÍTIMOS[[#This Row],[Etapa Despacho - Inicio de Carga]]="","",MARÍTIMOS[[#This Row],[Etapa Despacho - Inicio de Carga]]),"")</f>
        <v>46174.680555555555</v>
      </c>
      <c r="AD221" s="11">
        <f>IFERROR(IF(MARÍTIMOS[[#This Row],[Etapa Despacho - Mitad de Carga]]="","",MARÍTIMOS[[#This Row],[Etapa Despacho - Mitad de Carga]]),"")</f>
        <v>46174.690972222219</v>
      </c>
      <c r="AE221" s="11">
        <f>IFERROR(IF(MARÍTIMOS[[#This Row],[Etapa Despacho - Fin de Carga]]="","",MARÍTIMOS[[#This Row],[Etapa Despacho - Fin de Carga]]),"")</f>
        <v>46174.712500000001</v>
      </c>
      <c r="AF221" s="2" t="str">
        <f>IFERROR(IF(MARÍTIMOS[[#This Row],[Puerto de Embarque]]="","",MARÍTIMOS[[#This Row],[Puerto de Embarque]]),"")</f>
        <v>Paita</v>
      </c>
      <c r="AG221" s="2" t="str">
        <f>IFERROR(IF(MARÍTIMOS[[#This Row],[Almacén de Ingreso]]="","",MARÍTIMOS[[#This Row],[Almacén de Ingreso]]),"")</f>
        <v>TPE</v>
      </c>
      <c r="AH221" s="11">
        <f>IFERROR(IF(MARÍTIMOS[[#This Row],[Etapa Ingreso - Cita]]="","",MARÍTIMOS[[#This Row],[Etapa Ingreso - Cita]]),"")</f>
        <v>46175.5</v>
      </c>
      <c r="AI221" s="11">
        <f>IFERROR(IF(MARÍTIMOS[[#This Row],[Etapa Ingreso - Llegada]]="","",MARÍTIMOS[[#This Row],[Etapa Ingreso - Llegada]]),"")</f>
        <v>46175.491666666669</v>
      </c>
      <c r="AJ221" s="11">
        <f>IFERROR(IF(MARÍTIMOS[[#This Row],[Etapa Ingreso - Ingeso]]="","",MARÍTIMOS[[#This Row],[Etapa Ingreso - Ingeso]]),"")</f>
        <v>46175.494444444441</v>
      </c>
      <c r="AK221" s="11">
        <f>IFERROR(IF(MARÍTIMOS[[#This Row],[Etapa Ingreso - Atención]]="","",MARÍTIMOS[[#This Row],[Etapa Ingreso - Atención]]),"")</f>
        <v>46175.497916666667</v>
      </c>
      <c r="AL221" s="11">
        <f>IFERROR(IF(MARÍTIMOS[[#This Row],[Etapa Ingreso - Salida]]="","",MARÍTIMOS[[#This Row],[Etapa Ingreso - Salida]]),"")</f>
        <v>46175.505555555559</v>
      </c>
      <c r="AM221" s="2">
        <f>IFERROR(IF(MARÍTIMOS[[#This Row],[FCL]]="","",MARÍTIMOS[[#This Row],[FCL]]),"")</f>
        <v>1</v>
      </c>
      <c r="AN2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1" s="4" t="str" cm="1">
        <f t="array" ref="AO2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1" s="5">
        <f>IFERROR(OLDBD[[#This Row],[Llegada a packing]]-OLDBD[[#This Row],[Inicio de Ruta]],"")</f>
        <v>0.88472222222480923</v>
      </c>
      <c r="AQ221" s="6">
        <f>IFERROR(OLDBD[[#This Row],[Inicio de Ruta]]-OLDBD[[#This Row],[Salida de almacén de retiro]],"")</f>
        <v>9.4444444446708076E-2</v>
      </c>
      <c r="AR2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21" s="8" t="str" cm="1">
        <f t="array" ref="AS2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21" s="9">
        <f>IFERROR(OLDBD[[#This Row],[Ingreso Packing]]-OLDBD[[#This Row],[Registro en Packing]],"")</f>
        <v>1.1805555557657499E-2</v>
      </c>
      <c r="AV221" s="9">
        <f>IFERROR(OLDBD[[#This Row],[Ingreso Packing]]-OLDBD[[#This Row],[Llegada a packing]],"")</f>
        <v>1.3194444443797693E-2</v>
      </c>
      <c r="AW2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21" s="5">
        <f>IFERROR(OLDBD[[#This Row],[Llegada Almacén de Ingreso]]-OLDBD[[#This Row],[Salida Packing]],"")</f>
        <v>0.77916666666715173</v>
      </c>
      <c r="AY221" s="4" t="str" cm="1">
        <f t="array" ref="AY2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21" s="43" t="s">
        <v>173</v>
      </c>
      <c r="BB221" s="47" t="str">
        <f>IFERROR(IF(MARÍTIMOS[[#This Row],[Estatus]]="","",MARÍTIMOS[[#This Row],[Estatus]]),"")</f>
        <v>Confirmado</v>
      </c>
      <c r="BC221" s="43"/>
      <c r="BD221" s="46">
        <f>IFERROR(OLDBD[[#This Row],[Salida de almacén de retiro]]-OLDBD[[#This Row],[Ingreso Almacén de retiro]],"")</f>
        <v>4.166666665696539E-3</v>
      </c>
      <c r="BE221" s="46">
        <f>IFERROR(OLDBD[[#This Row],[Fin de Carga]]-OLDBD[[#This Row],[Inicio de Carga]],"")</f>
        <v>1.0416666664241347E-2</v>
      </c>
    </row>
    <row r="222" spans="1:57" customFormat="1" hidden="1">
      <c r="A222" s="1"/>
      <c r="B222" s="1">
        <f>IFERROR(IF(MARÍTIMOS[[#This Row],[PP]]="","",MARÍTIMOS[[#This Row],[PP]]),"")</f>
        <v>22</v>
      </c>
      <c r="C222" s="1" t="str">
        <f>IFERROR(IF(MARÍTIMOS[[#This Row],[Sede]]="","",MARÍTIMOS[[#This Row],[Sede]]),"")</f>
        <v>Chao</v>
      </c>
      <c r="D222" s="1" t="str">
        <f>IFERROR(IF(MARÍTIMOS[[#This Row],[Instruction]]="","",MARÍTIMOS[[#This Row],[Instruction]]),"")</f>
        <v>RH-0014</v>
      </c>
      <c r="E222" s="1"/>
      <c r="F222" s="2" t="str">
        <f>IFERROR(IF(MARÍTIMOS[[#This Row],[Transportista]]="","",MARÍTIMOS[[#This Row],[Transportista]]),"")</f>
        <v>LIP</v>
      </c>
      <c r="G222" s="2" t="str">
        <f>IFERROR(IF(MARÍTIMOS[[#This Row],[Tercero]]="","",MARÍTIMOS[[#This Row],[Tercero]]),"")</f>
        <v>NO</v>
      </c>
      <c r="H222" s="2" t="str">
        <f>IFERROR(IF(MARÍTIMOS[[#This Row],[Razón Social]]="","",MARÍTIMOS[[#This Row],[Razón Social]]),"")</f>
        <v xml:space="preserve">LOGISTICA INTERMODAL DEL PERU S.A.C.
</v>
      </c>
      <c r="I222" s="2">
        <f>IFERROR(IF(MARÍTIMOS[[#This Row],[RUC]]="","",MARÍTIMOS[[#This Row],[RUC]]),"")</f>
        <v>20513040718</v>
      </c>
      <c r="J222" s="2" t="str">
        <f>IFERROR(IF(MARÍTIMOS[[#This Row],[Placa Tracto]]="","",MARÍTIMOS[[#This Row],[Placa Tracto]]),"")</f>
        <v>BBG-864</v>
      </c>
      <c r="K222" s="2" t="str">
        <f>IFERROR(IF(MARÍTIMOS[[#This Row],[Placa Carreta]]="","",MARÍTIMOS[[#This Row],[Placa Carreta]]),"")</f>
        <v>AMZ-980</v>
      </c>
      <c r="L222" s="44" t="str">
        <f>IFERROR(IF(MARÍTIMOS[[#This Row],[Conductor]]="","",MARÍTIMOS[[#This Row],[Conductor]]),"")</f>
        <v>CHIROQUE BOCANEGRA NAZARENO</v>
      </c>
      <c r="M222" s="2" t="str">
        <f>IFERROR(IF(MARÍTIMOS[[#This Row],[Licencia]]="","",MARÍTIMOS[[#This Row],[Licencia]]),"")</f>
        <v>Q43200665</v>
      </c>
      <c r="N222" s="2" t="str">
        <f>IFERROR(IF(MARÍTIMOS[[#This Row],[Número de Contacto]]="","",MARÍTIMOS[[#This Row],[Número de Contacto]]),"")</f>
        <v>963 895 385</v>
      </c>
      <c r="O222" s="10" t="str">
        <f>IFERROR(IF(MARÍTIMOS[[#This Row],[Booking|AWB|CRT]]="","",MARÍTIMOS[[#This Row],[Booking|AWB|CRT]]),"")</f>
        <v>PER9094721A</v>
      </c>
      <c r="P222" s="2" t="str">
        <f>IFERROR(IF(MARÍTIMOS[[#This Row],[Contenedor]]="","",MARÍTIMOS[[#This Row],[Contenedor]]),"")</f>
        <v>SZLU9302534</v>
      </c>
      <c r="Q222" s="2" t="str">
        <f>IFERROR(IF(MARÍTIMOS[[#This Row],[Puerto de Retiro]]="","",MARÍTIMOS[[#This Row],[Puerto de Retiro]]),"")</f>
        <v>PAITA</v>
      </c>
      <c r="R222" s="2" t="str">
        <f>IFERROR(IF(MARÍTIMOS[[#This Row],[Almacén de Retiro]]="","",MARÍTIMOS[[#This Row],[Almacén de Retiro]]),"")</f>
        <v>DPW</v>
      </c>
      <c r="S222" s="11">
        <f>IFERROR(IF(MARÍTIMOS[[#This Row],[Etapa Retiro - Cita]]="","",MARÍTIMOS[[#This Row],[Etapa Retiro - Cita]]),"")</f>
        <v>46174.5</v>
      </c>
      <c r="T222" s="11">
        <f>IFERROR(IF(MARÍTIMOS[[#This Row],[Etapa Retiro - Llegada]]="","",MARÍTIMOS[[#This Row],[Etapa Retiro - Llegada]]),"")</f>
        <v>46174.517361111109</v>
      </c>
      <c r="U222" s="11">
        <f>IFERROR(IF(MARÍTIMOS[[#This Row],[Etapa Retiro - Ingreso]]="","",MARÍTIMOS[[#This Row],[Etapa Retiro - Ingreso]]),"")</f>
        <v>46174.521527777775</v>
      </c>
      <c r="V222" s="11">
        <f>IFERROR(IF(MARÍTIMOS[[#This Row],[Etapa Retiro - Atención]]="","",MARÍTIMOS[[#This Row],[Etapa Retiro - Atención]]),"")</f>
        <v>46174.52847222222</v>
      </c>
      <c r="W222" s="11">
        <f>IFERROR(IF(MARÍTIMOS[[#This Row],[Etapa Retiro - Atención]]="","",MARÍTIMOS[[#This Row],[Etapa Retiro - Atención]]),"")</f>
        <v>46174.52847222222</v>
      </c>
      <c r="X222" s="11">
        <f>IFERROR(IF(MARÍTIMOS[[#This Row],[Etapa Retiro - Inicio de Ruta]]="","",MARÍTIMOS[[#This Row],[Etapa Retiro - Inicio de Ruta]]),"")</f>
        <v>46174.611111111109</v>
      </c>
      <c r="Y222" s="11">
        <f>IFERROR(IF(MARÍTIMOS[[#This Row],[Hora de Posicionamiento]]="","",MARÍTIMOS[[#This Row],[Fecha de Carga]]+MARÍTIMOS[[#This Row],[Hora de Posicionamiento]]),"")</f>
        <v>46175.333333333336</v>
      </c>
      <c r="Z222" s="11">
        <f>IFERROR(IF(MARÍTIMOS[[#This Row],[Etapa Despacho - Llegada]]="","",MARÍTIMOS[[#This Row],[Etapa Despacho - Llegada]]),"")</f>
        <v>46175.40625</v>
      </c>
      <c r="AA222" s="11">
        <f>IFERROR(IF(MARÍTIMOS[[#This Row],[Etapa Despacho - Registro]]="","",MARÍTIMOS[[#This Row],[Etapa Despacho - Registro]]),"")</f>
        <v>46175.406944444447</v>
      </c>
      <c r="AB222" s="11">
        <f>IFERROR(IF(MARÍTIMOS[[#This Row],[Inspección Externa]]="","",MARÍTIMOS[[#This Row],[Inspección Externa]]),"")</f>
        <v>46175.417361111111</v>
      </c>
      <c r="AC222" s="11">
        <f>IFERROR(IF(MARÍTIMOS[[#This Row],[Etapa Despacho - Inicio de Carga]]="","",MARÍTIMOS[[#This Row],[Etapa Despacho - Inicio de Carga]]),"")</f>
        <v>46175.541666666664</v>
      </c>
      <c r="AD222" s="11">
        <f>IFERROR(IF(MARÍTIMOS[[#This Row],[Etapa Despacho - Mitad de Carga]]="","",MARÍTIMOS[[#This Row],[Etapa Despacho - Mitad de Carga]]),"")</f>
        <v>46175.552083333336</v>
      </c>
      <c r="AE222" s="11">
        <f>IFERROR(IF(MARÍTIMOS[[#This Row],[Etapa Despacho - Fin de Carga]]="","",MARÍTIMOS[[#This Row],[Etapa Despacho - Fin de Carga]]),"")</f>
        <v>46175.556250000001</v>
      </c>
      <c r="AF222" s="2" t="str">
        <f>IFERROR(IF(MARÍTIMOS[[#This Row],[Puerto de Embarque]]="","",MARÍTIMOS[[#This Row],[Puerto de Embarque]]),"")</f>
        <v>Paita</v>
      </c>
      <c r="AG222" s="2" t="str">
        <f>IFERROR(IF(MARÍTIMOS[[#This Row],[Almacén de Ingreso]]="","",MARÍTIMOS[[#This Row],[Almacén de Ingreso]]),"")</f>
        <v>TPE</v>
      </c>
      <c r="AH222" s="11">
        <f>IFERROR(IF(MARÍTIMOS[[#This Row],[Etapa Ingreso - Cita]]="","",MARÍTIMOS[[#This Row],[Etapa Ingreso - Cita]]),"")</f>
        <v>46176.416666666664</v>
      </c>
      <c r="AI222" s="11">
        <f>IFERROR(IF(MARÍTIMOS[[#This Row],[Etapa Ingreso - Llegada]]="","",MARÍTIMOS[[#This Row],[Etapa Ingreso - Llegada]]),"")</f>
        <v>46176.418055555558</v>
      </c>
      <c r="AJ222" s="11">
        <f>IFERROR(IF(MARÍTIMOS[[#This Row],[Etapa Ingreso - Ingeso]]="","",MARÍTIMOS[[#This Row],[Etapa Ingreso - Ingeso]]),"")</f>
        <v>46176.42083333333</v>
      </c>
      <c r="AK222" s="11">
        <f>IFERROR(IF(MARÍTIMOS[[#This Row],[Etapa Ingreso - Atención]]="","",MARÍTIMOS[[#This Row],[Etapa Ingreso - Atención]]),"")</f>
        <v>46176.424305555556</v>
      </c>
      <c r="AL222" s="11">
        <f>IFERROR(IF(MARÍTIMOS[[#This Row],[Etapa Ingreso - Salida]]="","",MARÍTIMOS[[#This Row],[Etapa Ingreso - Salida]]),"")</f>
        <v>46176.441666666666</v>
      </c>
      <c r="AM222" s="2">
        <f>IFERROR(IF(MARÍTIMOS[[#This Row],[FCL]]="","",MARÍTIMOS[[#This Row],[FCL]]),"")</f>
        <v>1</v>
      </c>
      <c r="AN2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2" s="4" t="str" cm="1">
        <f t="array" ref="AO2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2" s="5">
        <f>IFERROR(OLDBD[[#This Row],[Llegada a packing]]-OLDBD[[#This Row],[Inicio de Ruta]],"")</f>
        <v>0.79513888889050577</v>
      </c>
      <c r="AQ222" s="6">
        <f>IFERROR(OLDBD[[#This Row],[Inicio de Ruta]]-OLDBD[[#This Row],[Salida de almacén de retiro]],"")</f>
        <v>8.2638888889050577E-2</v>
      </c>
      <c r="AR2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22" s="8" t="str" cm="1">
        <f t="array" ref="AS2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22" s="9">
        <f>IFERROR(OLDBD[[#This Row],[Ingreso Packing]]-OLDBD[[#This Row],[Registro en Packing]],"")</f>
        <v>1.0416666664241347E-2</v>
      </c>
      <c r="AV222" s="9">
        <f>IFERROR(OLDBD[[#This Row],[Ingreso Packing]]-OLDBD[[#This Row],[Llegada a packing]],"")</f>
        <v>1.1111111110949423E-2</v>
      </c>
      <c r="AW2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22" s="5">
        <f>IFERROR(OLDBD[[#This Row],[Llegada Almacén de Ingreso]]-OLDBD[[#This Row],[Salida Packing]],"")</f>
        <v>0.86180555555620231</v>
      </c>
      <c r="AY222" s="4" t="str" cm="1">
        <f t="array" ref="AY2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22" s="43" t="s">
        <v>173</v>
      </c>
      <c r="BB222" s="47" t="str">
        <f>IFERROR(IF(MARÍTIMOS[[#This Row],[Estatus]]="","",MARÍTIMOS[[#This Row],[Estatus]]),"")</f>
        <v>Confirmado</v>
      </c>
      <c r="BC222" s="43"/>
      <c r="BD222" s="46">
        <f>IFERROR(OLDBD[[#This Row],[Salida de almacén de retiro]]-OLDBD[[#This Row],[Ingreso Almacén de retiro]],"")</f>
        <v>6.9444444452528842E-3</v>
      </c>
      <c r="BE222" s="46">
        <f>IFERROR(OLDBD[[#This Row],[Fin de Carga]]-OLDBD[[#This Row],[Inicio de Carga]],"")</f>
        <v>1.0416666671517305E-2</v>
      </c>
    </row>
    <row r="223" spans="1:57" customFormat="1" hidden="1">
      <c r="A223" s="1"/>
      <c r="B223" s="1">
        <f>IFERROR(IF(MARÍTIMOS[[#This Row],[PP]]="","",MARÍTIMOS[[#This Row],[PP]]),"")</f>
        <v>23</v>
      </c>
      <c r="C223" s="1" t="str">
        <f>IFERROR(IF(MARÍTIMOS[[#This Row],[Sede]]="","",MARÍTIMOS[[#This Row],[Sede]]),"")</f>
        <v>Chao</v>
      </c>
      <c r="D223" s="1" t="str">
        <f>IFERROR(IF(MARÍTIMOS[[#This Row],[Instruction]]="","",MARÍTIMOS[[#This Row],[Instruction]]),"")</f>
        <v>RH-0028</v>
      </c>
      <c r="E223" s="1"/>
      <c r="F223" s="2" t="str">
        <f>IFERROR(IF(MARÍTIMOS[[#This Row],[Transportista]]="","",MARÍTIMOS[[#This Row],[Transportista]]),"")</f>
        <v>LIP</v>
      </c>
      <c r="G223" s="2" t="str">
        <f>IFERROR(IF(MARÍTIMOS[[#This Row],[Tercero]]="","",MARÍTIMOS[[#This Row],[Tercero]]),"")</f>
        <v>NO</v>
      </c>
      <c r="H223" s="2" t="str">
        <f>IFERROR(IF(MARÍTIMOS[[#This Row],[Razón Social]]="","",MARÍTIMOS[[#This Row],[Razón Social]]),"")</f>
        <v xml:space="preserve">LOGISTICA INTERMODAL DEL PERU S.A.C.
</v>
      </c>
      <c r="I223" s="2">
        <f>IFERROR(IF(MARÍTIMOS[[#This Row],[RUC]]="","",MARÍTIMOS[[#This Row],[RUC]]),"")</f>
        <v>20513040718</v>
      </c>
      <c r="J223" s="2" t="str">
        <f>IFERROR(IF(MARÍTIMOS[[#This Row],[Placa Tracto]]="","",MARÍTIMOS[[#This Row],[Placa Tracto]]),"")</f>
        <v>BBG-864</v>
      </c>
      <c r="K223" s="2" t="str">
        <f>IFERROR(IF(MARÍTIMOS[[#This Row],[Placa Carreta]]="","",MARÍTIMOS[[#This Row],[Placa Carreta]]),"")</f>
        <v>AMZ-980</v>
      </c>
      <c r="L223" s="44" t="str">
        <f>IFERROR(IF(MARÍTIMOS[[#This Row],[Conductor]]="","",MARÍTIMOS[[#This Row],[Conductor]]),"")</f>
        <v>DIOSES MIRANDA WILLIAM ARTURO</v>
      </c>
      <c r="M223" s="2" t="str">
        <f>IFERROR(IF(MARÍTIMOS[[#This Row],[Licencia]]="","",MARÍTIMOS[[#This Row],[Licencia]]),"")</f>
        <v>B03508313</v>
      </c>
      <c r="N223" s="2" t="str">
        <f>IFERROR(IF(MARÍTIMOS[[#This Row],[Número de Contacto]]="","",MARÍTIMOS[[#This Row],[Número de Contacto]]),"")</f>
        <v>920 494 359</v>
      </c>
      <c r="O223" s="10" t="str">
        <f>IFERROR(IF(MARÍTIMOS[[#This Row],[Booking|AWB|CRT]]="","",MARÍTIMOS[[#This Row],[Booking|AWB|CRT]]),"")</f>
        <v>PER9099496A</v>
      </c>
      <c r="P223" s="2" t="str">
        <f>IFERROR(IF(MARÍTIMOS[[#This Row],[Contenedor]]="","",MARÍTIMOS[[#This Row],[Contenedor]]),"")</f>
        <v>SEKU9424169</v>
      </c>
      <c r="Q223" s="2" t="str">
        <f>IFERROR(IF(MARÍTIMOS[[#This Row],[Puerto de Retiro]]="","",MARÍTIMOS[[#This Row],[Puerto de Retiro]]),"")</f>
        <v>PAITA</v>
      </c>
      <c r="R223" s="2" t="str">
        <f>IFERROR(IF(MARÍTIMOS[[#This Row],[Almacén de Retiro]]="","",MARÍTIMOS[[#This Row],[Almacén de Retiro]]),"")</f>
        <v>DPW</v>
      </c>
      <c r="S223" s="11">
        <f>IFERROR(IF(MARÍTIMOS[[#This Row],[Etapa Retiro - Cita]]="","",MARÍTIMOS[[#This Row],[Etapa Retiro - Cita]]),"")</f>
        <v>46181.5</v>
      </c>
      <c r="T223" s="11">
        <f>IFERROR(IF(MARÍTIMOS[[#This Row],[Etapa Retiro - Llegada]]="","",MARÍTIMOS[[#This Row],[Etapa Retiro - Llegada]]),"")</f>
        <v>46181.513194444444</v>
      </c>
      <c r="U223" s="11">
        <f>IFERROR(IF(MARÍTIMOS[[#This Row],[Etapa Retiro - Ingreso]]="","",MARÍTIMOS[[#This Row],[Etapa Retiro - Ingreso]]),"")</f>
        <v>46181.614583333336</v>
      </c>
      <c r="V223" s="11">
        <f>IFERROR(IF(MARÍTIMOS[[#This Row],[Etapa Retiro - Atención]]="","",MARÍTIMOS[[#This Row],[Etapa Retiro - Atención]]),"")</f>
        <v>46181.621527777781</v>
      </c>
      <c r="W223" s="11">
        <f>IFERROR(IF(MARÍTIMOS[[#This Row],[Etapa Retiro - Atención]]="","",MARÍTIMOS[[#This Row],[Etapa Retiro - Atención]]),"")</f>
        <v>46181.621527777781</v>
      </c>
      <c r="X223" s="11">
        <f>IFERROR(IF(MARÍTIMOS[[#This Row],[Etapa Retiro - Inicio de Ruta]]="","",MARÍTIMOS[[#This Row],[Etapa Retiro - Inicio de Ruta]]),"")</f>
        <v>46181.71875</v>
      </c>
      <c r="Y223" s="11">
        <f>IFERROR(IF(MARÍTIMOS[[#This Row],[Hora de Posicionamiento]]="","",MARÍTIMOS[[#This Row],[Fecha de Carga]]+MARÍTIMOS[[#This Row],[Hora de Posicionamiento]]),"")</f>
        <v>46182.333333333336</v>
      </c>
      <c r="Z223" s="11">
        <f>IFERROR(IF(MARÍTIMOS[[#This Row],[Etapa Despacho - Llegada]]="","",MARÍTIMOS[[#This Row],[Etapa Despacho - Llegada]]),"")</f>
        <v>46182.432638888888</v>
      </c>
      <c r="AA223" s="11">
        <f>IFERROR(IF(MARÍTIMOS[[#This Row],[Etapa Despacho - Registro]]="","",MARÍTIMOS[[#This Row],[Etapa Despacho - Registro]]),"")</f>
        <v>46182.433333333334</v>
      </c>
      <c r="AB223" s="11">
        <f>IFERROR(IF(MARÍTIMOS[[#This Row],[Inspección Externa]]="","",MARÍTIMOS[[#This Row],[Inspección Externa]]),"")</f>
        <v>46182.439583333333</v>
      </c>
      <c r="AC223" s="11">
        <f>IFERROR(IF(MARÍTIMOS[[#This Row],[Etapa Despacho - Inicio de Carga]]="","",MARÍTIMOS[[#This Row],[Etapa Despacho - Inicio de Carga]]),"")</f>
        <v>46182.446527777778</v>
      </c>
      <c r="AD223" s="11">
        <f>IFERROR(IF(MARÍTIMOS[[#This Row],[Etapa Despacho - Mitad de Carga]]="","",MARÍTIMOS[[#This Row],[Etapa Despacho - Mitad de Carga]]),"")</f>
        <v>46182.456944444442</v>
      </c>
      <c r="AE223" s="11">
        <f>IFERROR(IF(MARÍTIMOS[[#This Row],[Etapa Despacho - Fin de Carga]]="","",MARÍTIMOS[[#This Row],[Etapa Despacho - Fin de Carga]]),"")</f>
        <v>46182.59652777778</v>
      </c>
      <c r="AF223" s="2" t="str">
        <f>IFERROR(IF(MARÍTIMOS[[#This Row],[Puerto de Embarque]]="","",MARÍTIMOS[[#This Row],[Puerto de Embarque]]),"")</f>
        <v>Paita</v>
      </c>
      <c r="AG223" s="2" t="str">
        <f>IFERROR(IF(MARÍTIMOS[[#This Row],[Almacén de Ingreso]]="","",MARÍTIMOS[[#This Row],[Almacén de Ingreso]]),"")</f>
        <v>TPE</v>
      </c>
      <c r="AH223" s="11">
        <f>IFERROR(IF(MARÍTIMOS[[#This Row],[Etapa Ingreso - Cita]]="","",MARÍTIMOS[[#This Row],[Etapa Ingreso - Cita]]),"")</f>
        <v>46183.333333333336</v>
      </c>
      <c r="AI223" s="11">
        <f>IFERROR(IF(MARÍTIMOS[[#This Row],[Etapa Ingreso - Llegada]]="","",MARÍTIMOS[[#This Row],[Etapa Ingreso - Llegada]]),"")</f>
        <v>46183.345138888886</v>
      </c>
      <c r="AJ223" s="11">
        <f>IFERROR(IF(MARÍTIMOS[[#This Row],[Etapa Ingreso - Ingeso]]="","",MARÍTIMOS[[#This Row],[Etapa Ingreso - Ingeso]]),"")</f>
        <v>46183.351388888892</v>
      </c>
      <c r="AK223" s="11">
        <f>IFERROR(IF(MARÍTIMOS[[#This Row],[Etapa Ingreso - Atención]]="","",MARÍTIMOS[[#This Row],[Etapa Ingreso - Atención]]),"")</f>
        <v>46183.35833333333</v>
      </c>
      <c r="AL223" s="11">
        <f>IFERROR(IF(MARÍTIMOS[[#This Row],[Etapa Ingreso - Salida]]="","",MARÍTIMOS[[#This Row],[Etapa Ingreso - Salida]]),"")</f>
        <v>46183.361111111109</v>
      </c>
      <c r="AM223" s="2">
        <f>IFERROR(IF(MARÍTIMOS[[#This Row],[FCL]]="","",MARÍTIMOS[[#This Row],[FCL]]),"")</f>
        <v>1</v>
      </c>
      <c r="AN2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3" s="4" t="str" cm="1">
        <f t="array" ref="AO2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3" s="5">
        <f>IFERROR(OLDBD[[#This Row],[Llegada a packing]]-OLDBD[[#This Row],[Inicio de Ruta]],"")</f>
        <v>0.71388888888759539</v>
      </c>
      <c r="AQ223" s="6">
        <f>IFERROR(OLDBD[[#This Row],[Inicio de Ruta]]-OLDBD[[#This Row],[Salida de almacén de retiro]],"")</f>
        <v>9.7222222218988463E-2</v>
      </c>
      <c r="AR2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23" s="8" t="str" cm="1">
        <f t="array" ref="AS2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23" s="9">
        <f>IFERROR(OLDBD[[#This Row],[Ingreso Packing]]-OLDBD[[#This Row],[Registro en Packing]],"")</f>
        <v>6.2499999985448085E-3</v>
      </c>
      <c r="AV223" s="9">
        <f>IFERROR(OLDBD[[#This Row],[Ingreso Packing]]-OLDBD[[#This Row],[Llegada a packing]],"")</f>
        <v>6.9444444452528842E-3</v>
      </c>
      <c r="AW2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23" s="5">
        <f>IFERROR(OLDBD[[#This Row],[Llegada Almacén de Ingreso]]-OLDBD[[#This Row],[Salida Packing]],"")</f>
        <v>0.74861111110658385</v>
      </c>
      <c r="AY223" s="4" t="str" cm="1">
        <f t="array" ref="AY2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23" s="43" t="s">
        <v>173</v>
      </c>
      <c r="BB223" s="47" t="str">
        <f>IFERROR(IF(MARÍTIMOS[[#This Row],[Estatus]]="","",MARÍTIMOS[[#This Row],[Estatus]]),"")</f>
        <v>Confirmado</v>
      </c>
      <c r="BC223" s="43"/>
      <c r="BD223" s="46">
        <f>IFERROR(OLDBD[[#This Row],[Salida de almacén de retiro]]-OLDBD[[#This Row],[Ingreso Almacén de retiro]],"")</f>
        <v>6.9444444452528842E-3</v>
      </c>
      <c r="BE223" s="46">
        <f>IFERROR(OLDBD[[#This Row],[Fin de Carga]]-OLDBD[[#This Row],[Inicio de Carga]],"")</f>
        <v>1.0416666664241347E-2</v>
      </c>
    </row>
    <row r="224" spans="1:57" customFormat="1" hidden="1">
      <c r="A224" s="1"/>
      <c r="B224" s="1">
        <f>IFERROR(IF(MARÍTIMOS[[#This Row],[PP]]="","",MARÍTIMOS[[#This Row],[PP]]),"")</f>
        <v>24</v>
      </c>
      <c r="C224" s="1" t="str">
        <f>IFERROR(IF(MARÍTIMOS[[#This Row],[Sede]]="","",MARÍTIMOS[[#This Row],[Sede]]),"")</f>
        <v>Chao</v>
      </c>
      <c r="D224" s="1" t="str">
        <f>IFERROR(IF(MARÍTIMOS[[#This Row],[Instruction]]="","",MARÍTIMOS[[#This Row],[Instruction]]),"")</f>
        <v>RH-0050</v>
      </c>
      <c r="E224" s="1"/>
      <c r="F224" s="2" t="str">
        <f>IFERROR(IF(MARÍTIMOS[[#This Row],[Transportista]]="","",MARÍTIMOS[[#This Row],[Transportista]]),"")</f>
        <v>LIP</v>
      </c>
      <c r="G224" s="2" t="str">
        <f>IFERROR(IF(MARÍTIMOS[[#This Row],[Tercero]]="","",MARÍTIMOS[[#This Row],[Tercero]]),"")</f>
        <v>NO</v>
      </c>
      <c r="H224" s="2" t="str">
        <f>IFERROR(IF(MARÍTIMOS[[#This Row],[Razón Social]]="","",MARÍTIMOS[[#This Row],[Razón Social]]),"")</f>
        <v xml:space="preserve">LOGISTICA INTERMODAL DEL PERU S.A.C.
</v>
      </c>
      <c r="I224" s="2">
        <f>IFERROR(IF(MARÍTIMOS[[#This Row],[RUC]]="","",MARÍTIMOS[[#This Row],[RUC]]),"")</f>
        <v>20513040718</v>
      </c>
      <c r="J224" s="2" t="str">
        <f>IFERROR(IF(MARÍTIMOS[[#This Row],[Placa Tracto]]="","",MARÍTIMOS[[#This Row],[Placa Tracto]]),"")</f>
        <v>BBG-864</v>
      </c>
      <c r="K224" s="2" t="str">
        <f>IFERROR(IF(MARÍTIMOS[[#This Row],[Placa Carreta]]="","",MARÍTIMOS[[#This Row],[Placa Carreta]]),"")</f>
        <v>AMZ-980</v>
      </c>
      <c r="L224" s="44" t="str">
        <f>IFERROR(IF(MARÍTIMOS[[#This Row],[Conductor]]="","",MARÍTIMOS[[#This Row],[Conductor]]),"")</f>
        <v>DIOSES MIRANDA WILLIAM ARTURO</v>
      </c>
      <c r="M224" s="2" t="str">
        <f>IFERROR(IF(MARÍTIMOS[[#This Row],[Licencia]]="","",MARÍTIMOS[[#This Row],[Licencia]]),"")</f>
        <v>B03508313</v>
      </c>
      <c r="N224" s="2" t="str">
        <f>IFERROR(IF(MARÍTIMOS[[#This Row],[Número de Contacto]]="","",MARÍTIMOS[[#This Row],[Número de Contacto]]),"")</f>
        <v>920 494 359</v>
      </c>
      <c r="O224" s="10" t="str">
        <f>IFERROR(IF(MARÍTIMOS[[#This Row],[Booking|AWB|CRT]]="","",MARÍTIMOS[[#This Row],[Booking|AWB|CRT]]),"")</f>
        <v>MBM250067089</v>
      </c>
      <c r="P224" s="2" t="str">
        <f>IFERROR(IF(MARÍTIMOS[[#This Row],[Contenedor]]="","",MARÍTIMOS[[#This Row],[Contenedor]]),"")</f>
        <v>CXRU1529150</v>
      </c>
      <c r="Q224" s="2" t="str">
        <f>IFERROR(IF(MARÍTIMOS[[#This Row],[Puerto de Retiro]]="","",MARÍTIMOS[[#This Row],[Puerto de Retiro]]),"")</f>
        <v>PAITA</v>
      </c>
      <c r="R224" s="2" t="str">
        <f>IFERROR(IF(MARÍTIMOS[[#This Row],[Almacén de Retiro]]="","",MARÍTIMOS[[#This Row],[Almacén de Retiro]]),"")</f>
        <v>MACROMAR</v>
      </c>
      <c r="S224" s="11">
        <f>IFERROR(IF(MARÍTIMOS[[#This Row],[Etapa Retiro - Cita]]="","",MARÍTIMOS[[#This Row],[Etapa Retiro - Cita]]),"")</f>
        <v>46183.666666666664</v>
      </c>
      <c r="T224" s="11">
        <f>IFERROR(IF(MARÍTIMOS[[#This Row],[Etapa Retiro - Llegada]]="","",MARÍTIMOS[[#This Row],[Etapa Retiro - Llegada]]),"")</f>
        <v>46183.7</v>
      </c>
      <c r="U224" s="11">
        <f>IFERROR(IF(MARÍTIMOS[[#This Row],[Etapa Retiro - Ingreso]]="","",MARÍTIMOS[[#This Row],[Etapa Retiro - Ingreso]]),"")</f>
        <v>46183.708333333336</v>
      </c>
      <c r="V224" s="11">
        <f>IFERROR(IF(MARÍTIMOS[[#This Row],[Etapa Retiro - Atención]]="","",MARÍTIMOS[[#This Row],[Etapa Retiro - Atención]]),"")</f>
        <v>46183.715277777781</v>
      </c>
      <c r="W224" s="11">
        <f>IFERROR(IF(MARÍTIMOS[[#This Row],[Etapa Retiro - Atención]]="","",MARÍTIMOS[[#This Row],[Etapa Retiro - Atención]]),"")</f>
        <v>46183.715277777781</v>
      </c>
      <c r="X224" s="11">
        <f>IFERROR(IF(MARÍTIMOS[[#This Row],[Etapa Retiro - Inicio de Ruta]]="","",MARÍTIMOS[[#This Row],[Etapa Retiro - Inicio de Ruta]]),"")</f>
        <v>46183.819444444445</v>
      </c>
      <c r="Y224" s="11">
        <f>IFERROR(IF(MARÍTIMOS[[#This Row],[Hora de Posicionamiento]]="","",MARÍTIMOS[[#This Row],[Fecha de Carga]]+MARÍTIMOS[[#This Row],[Hora de Posicionamiento]]),"")</f>
        <v>46184.333333333336</v>
      </c>
      <c r="Z224" s="11">
        <f>IFERROR(IF(MARÍTIMOS[[#This Row],[Etapa Despacho - Llegada]]="","",MARÍTIMOS[[#This Row],[Etapa Despacho - Llegada]]),"")</f>
        <v>46184.51666666667</v>
      </c>
      <c r="AA224" s="11">
        <f>IFERROR(IF(MARÍTIMOS[[#This Row],[Etapa Despacho - Registro]]="","",MARÍTIMOS[[#This Row],[Etapa Despacho - Registro]]),"")</f>
        <v>46184.519444444442</v>
      </c>
      <c r="AB224" s="11">
        <f>IFERROR(IF(MARÍTIMOS[[#This Row],[Inspección Externa]]="","",MARÍTIMOS[[#This Row],[Inspección Externa]]),"")</f>
        <v>46184.520833333336</v>
      </c>
      <c r="AC224" s="11">
        <f>IFERROR(IF(MARÍTIMOS[[#This Row],[Etapa Despacho - Inicio de Carga]]="","",MARÍTIMOS[[#This Row],[Etapa Despacho - Inicio de Carga]]),"")</f>
        <v>46184.523611111108</v>
      </c>
      <c r="AD224" s="11">
        <f>IFERROR(IF(MARÍTIMOS[[#This Row],[Etapa Despacho - Mitad de Carga]]="","",MARÍTIMOS[[#This Row],[Etapa Despacho - Mitad de Carga]]),"")</f>
        <v>46184.53402777778</v>
      </c>
      <c r="AE224" s="11">
        <f>IFERROR(IF(MARÍTIMOS[[#This Row],[Etapa Despacho - Fin de Carga]]="","",MARÍTIMOS[[#This Row],[Etapa Despacho - Fin de Carga]]),"")</f>
        <v>46185.55</v>
      </c>
      <c r="AF224" s="2" t="str">
        <f>IFERROR(IF(MARÍTIMOS[[#This Row],[Puerto de Embarque]]="","",MARÍTIMOS[[#This Row],[Puerto de Embarque]]),"")</f>
        <v>Paita</v>
      </c>
      <c r="AG224" s="2" t="str">
        <f>IFERROR(IF(MARÍTIMOS[[#This Row],[Almacén de Ingreso]]="","",MARÍTIMOS[[#This Row],[Almacén de Ingreso]]),"")</f>
        <v>TPE</v>
      </c>
      <c r="AH224" s="11">
        <f>IFERROR(IF(MARÍTIMOS[[#This Row],[Etapa Ingreso - Cita]]="","",MARÍTIMOS[[#This Row],[Etapa Ingreso - Cita]]),"")</f>
        <v>46186.375</v>
      </c>
      <c r="AI224" s="11">
        <f>IFERROR(IF(MARÍTIMOS[[#This Row],[Etapa Ingreso - Llegada]]="","",MARÍTIMOS[[#This Row],[Etapa Ingreso - Llegada]]),"")</f>
        <v>46186.361111111109</v>
      </c>
      <c r="AJ224" s="11">
        <f>IFERROR(IF(MARÍTIMOS[[#This Row],[Etapa Ingreso - Ingeso]]="","",MARÍTIMOS[[#This Row],[Etapa Ingreso - Ingeso]]),"")</f>
        <v>46186.366666666669</v>
      </c>
      <c r="AK224" s="11">
        <f>IFERROR(IF(MARÍTIMOS[[#This Row],[Etapa Ingreso - Atención]]="","",MARÍTIMOS[[#This Row],[Etapa Ingreso - Atención]]),"")</f>
        <v>46186.368055555555</v>
      </c>
      <c r="AL224" s="11">
        <f>IFERROR(IF(MARÍTIMOS[[#This Row],[Etapa Ingreso - Salida]]="","",MARÍTIMOS[[#This Row],[Etapa Ingreso - Salida]]),"")</f>
        <v>46186.371527777781</v>
      </c>
      <c r="AM224" s="2">
        <f>IFERROR(IF(MARÍTIMOS[[#This Row],[FCL]]="","",MARÍTIMOS[[#This Row],[FCL]]),"")</f>
        <v>1</v>
      </c>
      <c r="AN2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4" s="4" t="str" cm="1">
        <f t="array" ref="AO2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4" s="5">
        <f>IFERROR(OLDBD[[#This Row],[Llegada a packing]]-OLDBD[[#This Row],[Inicio de Ruta]],"")</f>
        <v>0.69722222222480923</v>
      </c>
      <c r="AQ224" s="6">
        <f>IFERROR(OLDBD[[#This Row],[Inicio de Ruta]]-OLDBD[[#This Row],[Salida de almacén de retiro]],"")</f>
        <v>0.10416666666424135</v>
      </c>
      <c r="AR2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24" s="8" t="str" cm="1">
        <f t="array" ref="AS2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24" s="9">
        <f>IFERROR(OLDBD[[#This Row],[Ingreso Packing]]-OLDBD[[#This Row],[Registro en Packing]],"")</f>
        <v>1.3888888934161514E-3</v>
      </c>
      <c r="AV224" s="9">
        <f>IFERROR(OLDBD[[#This Row],[Ingreso Packing]]-OLDBD[[#This Row],[Llegada a packing]],"")</f>
        <v>4.166666665696539E-3</v>
      </c>
      <c r="AW2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24" s="5">
        <f>IFERROR(OLDBD[[#This Row],[Llegada Almacén de Ingreso]]-OLDBD[[#This Row],[Salida Packing]],"")</f>
        <v>0.81111111110658385</v>
      </c>
      <c r="AY224" s="4" t="str" cm="1">
        <f t="array" ref="AY2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24" s="43" t="s">
        <v>173</v>
      </c>
      <c r="BB224" s="47" t="str">
        <f>IFERROR(IF(MARÍTIMOS[[#This Row],[Estatus]]="","",MARÍTIMOS[[#This Row],[Estatus]]),"")</f>
        <v>Confirmado</v>
      </c>
      <c r="BC224" s="43"/>
      <c r="BD224" s="46">
        <f>IFERROR(OLDBD[[#This Row],[Salida de almacén de retiro]]-OLDBD[[#This Row],[Ingreso Almacén de retiro]],"")</f>
        <v>6.9444444452528842E-3</v>
      </c>
      <c r="BE224" s="46">
        <f>IFERROR(OLDBD[[#This Row],[Fin de Carga]]-OLDBD[[#This Row],[Inicio de Carga]],"")</f>
        <v>1.0416666671517305E-2</v>
      </c>
    </row>
    <row r="225" spans="1:57" customFormat="1" hidden="1">
      <c r="A225" s="1"/>
      <c r="B225" s="1">
        <f>IFERROR(IF(MARÍTIMOS[[#This Row],[PP]]="","",MARÍTIMOS[[#This Row],[PP]]),"")</f>
        <v>25</v>
      </c>
      <c r="C225" s="1" t="str">
        <f>IFERROR(IF(MARÍTIMOS[[#This Row],[Sede]]="","",MARÍTIMOS[[#This Row],[Sede]]),"")</f>
        <v>Chao</v>
      </c>
      <c r="D225" s="1" t="str">
        <f>IFERROR(IF(MARÍTIMOS[[#This Row],[Instruction]]="","",MARÍTIMOS[[#This Row],[Instruction]]),"")</f>
        <v>RH-0071</v>
      </c>
      <c r="E225" s="1"/>
      <c r="F225" s="2" t="str">
        <f>IFERROR(IF(MARÍTIMOS[[#This Row],[Transportista]]="","",MARÍTIMOS[[#This Row],[Transportista]]),"")</f>
        <v>LIP</v>
      </c>
      <c r="G225" s="2" t="str">
        <f>IFERROR(IF(MARÍTIMOS[[#This Row],[Tercero]]="","",MARÍTIMOS[[#This Row],[Tercero]]),"")</f>
        <v>NO</v>
      </c>
      <c r="H225" s="2" t="str">
        <f>IFERROR(IF(MARÍTIMOS[[#This Row],[Razón Social]]="","",MARÍTIMOS[[#This Row],[Razón Social]]),"")</f>
        <v xml:space="preserve">LOGISTICA INTERMODAL DEL PERU S.A.C.
</v>
      </c>
      <c r="I225" s="2">
        <f>IFERROR(IF(MARÍTIMOS[[#This Row],[RUC]]="","",MARÍTIMOS[[#This Row],[RUC]]),"")</f>
        <v>20513040718</v>
      </c>
      <c r="J225" s="2" t="str">
        <f>IFERROR(IF(MARÍTIMOS[[#This Row],[Placa Tracto]]="","",MARÍTIMOS[[#This Row],[Placa Tracto]]),"")</f>
        <v>ASO-911</v>
      </c>
      <c r="K225" s="2" t="str">
        <f>IFERROR(IF(MARÍTIMOS[[#This Row],[Placa Carreta]]="","",MARÍTIMOS[[#This Row],[Placa Carreta]]),"")</f>
        <v>ADF-995</v>
      </c>
      <c r="L225" s="44" t="str">
        <f>IFERROR(IF(MARÍTIMOS[[#This Row],[Conductor]]="","",MARÍTIMOS[[#This Row],[Conductor]]),"")</f>
        <v>HUAYAMA GARCIA FRANK ANTONIO</v>
      </c>
      <c r="M225" s="2" t="str">
        <f>IFERROR(IF(MARÍTIMOS[[#This Row],[Licencia]]="","",MARÍTIMOS[[#This Row],[Licencia]]),"")</f>
        <v>B47436868</v>
      </c>
      <c r="N225" s="2" t="str">
        <f>IFERROR(IF(MARÍTIMOS[[#This Row],[Número de Contacto]]="","",MARÍTIMOS[[#This Row],[Número de Contacto]]),"")</f>
        <v>920 494 111</v>
      </c>
      <c r="O225" s="10" t="str">
        <f>IFERROR(IF(MARÍTIMOS[[#This Row],[Booking|AWB|CRT]]="","",MARÍTIMOS[[#This Row],[Booking|AWB|CRT]]),"")</f>
        <v>MBM250067090</v>
      </c>
      <c r="P225" s="2" t="str">
        <f>IFERROR(IF(MARÍTIMOS[[#This Row],[Contenedor]]="","",MARÍTIMOS[[#This Row],[Contenedor]]),"")</f>
        <v>TCLU1374512</v>
      </c>
      <c r="Q225" s="2" t="str">
        <f>IFERROR(IF(MARÍTIMOS[[#This Row],[Puerto de Retiro]]="","",MARÍTIMOS[[#This Row],[Puerto de Retiro]]),"")</f>
        <v>PAITA</v>
      </c>
      <c r="R225" s="2" t="str">
        <f>IFERROR(IF(MARÍTIMOS[[#This Row],[Almacén de Retiro]]="","",MARÍTIMOS[[#This Row],[Almacén de Retiro]]),"")</f>
        <v>DPW</v>
      </c>
      <c r="S225" s="11">
        <f>IFERROR(IF(MARÍTIMOS[[#This Row],[Etapa Retiro - Cita]]="","",MARÍTIMOS[[#This Row],[Etapa Retiro - Cita]]),"")</f>
        <v>46191.458333333336</v>
      </c>
      <c r="T225" s="11">
        <f>IFERROR(IF(MARÍTIMOS[[#This Row],[Etapa Retiro - Llegada]]="","",MARÍTIMOS[[#This Row],[Etapa Retiro - Llegada]]),"")</f>
        <v>46191.491666666669</v>
      </c>
      <c r="U225" s="11">
        <f>IFERROR(IF(MARÍTIMOS[[#This Row],[Etapa Retiro - Ingreso]]="","",MARÍTIMOS[[#This Row],[Etapa Retiro - Ingreso]]),"")</f>
        <v>46191.495138888888</v>
      </c>
      <c r="V225" s="11">
        <f>IFERROR(IF(MARÍTIMOS[[#This Row],[Etapa Retiro - Atención]]="","",MARÍTIMOS[[#This Row],[Etapa Retiro - Atención]]),"")</f>
        <v>46191.5</v>
      </c>
      <c r="W225" s="11">
        <f>IFERROR(IF(MARÍTIMOS[[#This Row],[Etapa Retiro - Atención]]="","",MARÍTIMOS[[#This Row],[Etapa Retiro - Atención]]),"")</f>
        <v>46191.5</v>
      </c>
      <c r="X225" s="11">
        <f>IFERROR(IF(MARÍTIMOS[[#This Row],[Etapa Retiro - Inicio de Ruta]]="","",MARÍTIMOS[[#This Row],[Etapa Retiro - Inicio de Ruta]]),"")</f>
        <v>46191.634027777778</v>
      </c>
      <c r="Y225" s="11">
        <f>IFERROR(IF(MARÍTIMOS[[#This Row],[Hora de Posicionamiento]]="","",MARÍTIMOS[[#This Row],[Fecha de Carga]]+MARÍTIMOS[[#This Row],[Hora de Posicionamiento]]),"")</f>
        <v>46192.333333333336</v>
      </c>
      <c r="Z225" s="11">
        <f>IFERROR(IF(MARÍTIMOS[[#This Row],[Etapa Despacho - Llegada]]="","",MARÍTIMOS[[#This Row],[Etapa Despacho - Llegada]]),"")</f>
        <v>46192.333333333336</v>
      </c>
      <c r="AA225" s="11">
        <f>IFERROR(IF(MARÍTIMOS[[#This Row],[Etapa Despacho - Registro]]="","",MARÍTIMOS[[#This Row],[Etapa Despacho - Registro]]),"")</f>
        <v>46192.340277777781</v>
      </c>
      <c r="AB225" s="11">
        <f>IFERROR(IF(MARÍTIMOS[[#This Row],[Inspección Externa]]="","",MARÍTIMOS[[#This Row],[Inspección Externa]]),"")</f>
        <v>46192.347222222219</v>
      </c>
      <c r="AC225" s="11">
        <f>IFERROR(IF(MARÍTIMOS[[#This Row],[Etapa Despacho - Inicio de Carga]]="","",MARÍTIMOS[[#This Row],[Etapa Despacho - Inicio de Carga]]),"")</f>
        <v>46192.354166666664</v>
      </c>
      <c r="AD225" s="11">
        <f>IFERROR(IF(MARÍTIMOS[[#This Row],[Etapa Despacho - Mitad de Carga]]="","",MARÍTIMOS[[#This Row],[Etapa Despacho - Mitad de Carga]]),"")</f>
        <v>46192.364583333336</v>
      </c>
      <c r="AE225" s="11">
        <f>IFERROR(IF(MARÍTIMOS[[#This Row],[Etapa Despacho - Fin de Carga]]="","",MARÍTIMOS[[#This Row],[Etapa Despacho - Fin de Carga]]),"")</f>
        <v>46192.658333333333</v>
      </c>
      <c r="AF225" s="2" t="str">
        <f>IFERROR(IF(MARÍTIMOS[[#This Row],[Puerto de Embarque]]="","",MARÍTIMOS[[#This Row],[Puerto de Embarque]]),"")</f>
        <v>Paita</v>
      </c>
      <c r="AG225" s="2" t="str">
        <f>IFERROR(IF(MARÍTIMOS[[#This Row],[Almacén de Ingreso]]="","",MARÍTIMOS[[#This Row],[Almacén de Ingreso]]),"")</f>
        <v>TPE</v>
      </c>
      <c r="AH225" s="11">
        <f>IFERROR(IF(MARÍTIMOS[[#This Row],[Etapa Ingreso - Cita]]="","",MARÍTIMOS[[#This Row],[Etapa Ingreso - Cita]]),"")</f>
        <v>46193.333333333336</v>
      </c>
      <c r="AI225" s="11">
        <f>IFERROR(IF(MARÍTIMOS[[#This Row],[Etapa Ingreso - Llegada]]="","",MARÍTIMOS[[#This Row],[Etapa Ingreso - Llegada]]),"")</f>
        <v>46193.351388888892</v>
      </c>
      <c r="AJ225" s="11">
        <f>IFERROR(IF(MARÍTIMOS[[#This Row],[Etapa Ingreso - Ingeso]]="","",MARÍTIMOS[[#This Row],[Etapa Ingreso - Ingeso]]),"")</f>
        <v>46193.361111111109</v>
      </c>
      <c r="AK225" s="11">
        <f>IFERROR(IF(MARÍTIMOS[[#This Row],[Etapa Ingreso - Atención]]="","",MARÍTIMOS[[#This Row],[Etapa Ingreso - Atención]]),"")</f>
        <v>46193.362500000003</v>
      </c>
      <c r="AL225" s="11">
        <f>IFERROR(IF(MARÍTIMOS[[#This Row],[Etapa Ingreso - Salida]]="","",MARÍTIMOS[[#This Row],[Etapa Ingreso - Salida]]),"")</f>
        <v>46193.368055555555</v>
      </c>
      <c r="AM225" s="2">
        <f>IFERROR(IF(MARÍTIMOS[[#This Row],[FCL]]="","",MARÍTIMOS[[#This Row],[FCL]]),"")</f>
        <v>1</v>
      </c>
      <c r="AN2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5" s="4" t="str" cm="1">
        <f t="array" ref="AO2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5" s="5">
        <f>IFERROR(OLDBD[[#This Row],[Llegada a packing]]-OLDBD[[#This Row],[Inicio de Ruta]],"")</f>
        <v>0.6993055555576575</v>
      </c>
      <c r="AQ225" s="6">
        <f>IFERROR(OLDBD[[#This Row],[Inicio de Ruta]]-OLDBD[[#This Row],[Salida de almacén de retiro]],"")</f>
        <v>0.13402777777810115</v>
      </c>
      <c r="AR2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25" s="8" t="str" cm="1">
        <f t="array" ref="AS2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25" s="9">
        <f>IFERROR(OLDBD[[#This Row],[Ingreso Packing]]-OLDBD[[#This Row],[Registro en Packing]],"")</f>
        <v>6.9444444379769266E-3</v>
      </c>
      <c r="AV225" s="9">
        <f>IFERROR(OLDBD[[#This Row],[Ingreso Packing]]-OLDBD[[#This Row],[Llegada a packing]],"")</f>
        <v>1.3888888883229811E-2</v>
      </c>
      <c r="AW2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25" s="5">
        <f>IFERROR(OLDBD[[#This Row],[Llegada Almacén de Ingreso]]-OLDBD[[#This Row],[Salida Packing]],"")</f>
        <v>0.69305555555911269</v>
      </c>
      <c r="AY225" s="4" t="str" cm="1">
        <f t="array" ref="AY2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25" s="43" t="s">
        <v>173</v>
      </c>
      <c r="BB225" s="47" t="str">
        <f>IFERROR(IF(MARÍTIMOS[[#This Row],[Estatus]]="","",MARÍTIMOS[[#This Row],[Estatus]]),"")</f>
        <v>Confirmado</v>
      </c>
      <c r="BC225" s="43"/>
      <c r="BD225" s="46">
        <f>IFERROR(OLDBD[[#This Row],[Salida de almacén de retiro]]-OLDBD[[#This Row],[Ingreso Almacén de retiro]],"")</f>
        <v>4.8611111124046147E-3</v>
      </c>
      <c r="BE225" s="46">
        <f>IFERROR(OLDBD[[#This Row],[Fin de Carga]]-OLDBD[[#This Row],[Inicio de Carga]],"")</f>
        <v>1.0416666671517305E-2</v>
      </c>
    </row>
    <row r="226" spans="1:57" customFormat="1" hidden="1">
      <c r="A226" s="1"/>
      <c r="B226" s="1">
        <f>IFERROR(IF(MARÍTIMOS[[#This Row],[PP]]="","",MARÍTIMOS[[#This Row],[PP]]),"")</f>
        <v>26</v>
      </c>
      <c r="C226" s="1" t="str">
        <f>IFERROR(IF(MARÍTIMOS[[#This Row],[Sede]]="","",MARÍTIMOS[[#This Row],[Sede]]),"")</f>
        <v>Chao</v>
      </c>
      <c r="D226" s="1" t="str">
        <f>IFERROR(IF(MARÍTIMOS[[#This Row],[Instruction]]="","",MARÍTIMOS[[#This Row],[Instruction]]),"")</f>
        <v>RH-0090</v>
      </c>
      <c r="E226" s="1"/>
      <c r="F226" s="2" t="str">
        <f>IFERROR(IF(MARÍTIMOS[[#This Row],[Transportista]]="","",MARÍTIMOS[[#This Row],[Transportista]]),"")</f>
        <v>LIP</v>
      </c>
      <c r="G226" s="2" t="str">
        <f>IFERROR(IF(MARÍTIMOS[[#This Row],[Tercero]]="","",MARÍTIMOS[[#This Row],[Tercero]]),"")</f>
        <v>NO</v>
      </c>
      <c r="H226" s="2" t="str">
        <f>IFERROR(IF(MARÍTIMOS[[#This Row],[Razón Social]]="","",MARÍTIMOS[[#This Row],[Razón Social]]),"")</f>
        <v xml:space="preserve">LOGISTICA INTERMODAL DEL PERU S.A.C.
</v>
      </c>
      <c r="I226" s="2">
        <f>IFERROR(IF(MARÍTIMOS[[#This Row],[RUC]]="","",MARÍTIMOS[[#This Row],[RUC]]),"")</f>
        <v>20513040718</v>
      </c>
      <c r="J226" s="2" t="str">
        <f>IFERROR(IF(MARÍTIMOS[[#This Row],[Placa Tracto]]="","",MARÍTIMOS[[#This Row],[Placa Tracto]]),"")</f>
        <v>BHG-947</v>
      </c>
      <c r="K226" s="2" t="str">
        <f>IFERROR(IF(MARÍTIMOS[[#This Row],[Placa Carreta]]="","",MARÍTIMOS[[#This Row],[Placa Carreta]]),"")</f>
        <v>AZL-985</v>
      </c>
      <c r="L226" s="44" t="str">
        <f>IFERROR(IF(MARÍTIMOS[[#This Row],[Conductor]]="","",MARÍTIMOS[[#This Row],[Conductor]]),"")</f>
        <v>CHIROQUE BOCANEGRA NAZARENO</v>
      </c>
      <c r="M226" s="2" t="str">
        <f>IFERROR(IF(MARÍTIMOS[[#This Row],[Licencia]]="","",MARÍTIMOS[[#This Row],[Licencia]]),"")</f>
        <v>Q43200665</v>
      </c>
      <c r="N226" s="2" t="str">
        <f>IFERROR(IF(MARÍTIMOS[[#This Row],[Número de Contacto]]="","",MARÍTIMOS[[#This Row],[Número de Contacto]]),"")</f>
        <v>963 895 385</v>
      </c>
      <c r="O226" s="10" t="str">
        <f>IFERROR(IF(MARÍTIMOS[[#This Row],[Booking|AWB|CRT]]="","",MARÍTIMOS[[#This Row],[Booking|AWB|CRT]]),"")</f>
        <v>MBM250067093</v>
      </c>
      <c r="P226" s="2" t="str">
        <f>IFERROR(IF(MARÍTIMOS[[#This Row],[Contenedor]]="","",MARÍTIMOS[[#This Row],[Contenedor]]),"")</f>
        <v>TCLU1344415</v>
      </c>
      <c r="Q226" s="2" t="str">
        <f>IFERROR(IF(MARÍTIMOS[[#This Row],[Puerto de Retiro]]="","",MARÍTIMOS[[#This Row],[Puerto de Retiro]]),"")</f>
        <v>PAITA</v>
      </c>
      <c r="R226" s="2" t="str">
        <f>IFERROR(IF(MARÍTIMOS[[#This Row],[Almacén de Retiro]]="","",MARÍTIMOS[[#This Row],[Almacén de Retiro]]),"")</f>
        <v>MACROMAR</v>
      </c>
      <c r="S226" s="11">
        <f>IFERROR(IF(MARÍTIMOS[[#This Row],[Etapa Retiro - Cita]]="","",MARÍTIMOS[[#This Row],[Etapa Retiro - Cita]]),"")</f>
        <v>46198.458333333336</v>
      </c>
      <c r="T226" s="11">
        <f>IFERROR(IF(MARÍTIMOS[[#This Row],[Etapa Retiro - Llegada]]="","",MARÍTIMOS[[#This Row],[Etapa Retiro - Llegada]]),"")</f>
        <v>46198.456944444442</v>
      </c>
      <c r="U226" s="11">
        <f>IFERROR(IF(MARÍTIMOS[[#This Row],[Etapa Retiro - Ingreso]]="","",MARÍTIMOS[[#This Row],[Etapa Retiro - Ingreso]]),"")</f>
        <v>46198.458333333336</v>
      </c>
      <c r="V226" s="11">
        <f>IFERROR(IF(MARÍTIMOS[[#This Row],[Etapa Retiro - Atención]]="","",MARÍTIMOS[[#This Row],[Etapa Retiro - Atención]]),"")</f>
        <v>46198.463194444441</v>
      </c>
      <c r="W226" s="11">
        <f>IFERROR(IF(MARÍTIMOS[[#This Row],[Etapa Retiro - Atención]]="","",MARÍTIMOS[[#This Row],[Etapa Retiro - Atención]]),"")</f>
        <v>46198.463194444441</v>
      </c>
      <c r="X226" s="11">
        <f>IFERROR(IF(MARÍTIMOS[[#This Row],[Etapa Retiro - Inicio de Ruta]]="","",MARÍTIMOS[[#This Row],[Etapa Retiro - Inicio de Ruta]]),"")</f>
        <v>46198.576388888891</v>
      </c>
      <c r="Y226" s="11">
        <f>IFERROR(IF(MARÍTIMOS[[#This Row],[Hora de Posicionamiento]]="","",MARÍTIMOS[[#This Row],[Fecha de Carga]]+MARÍTIMOS[[#This Row],[Hora de Posicionamiento]]),"")</f>
        <v>46199.333333333336</v>
      </c>
      <c r="Z226" s="11">
        <f>IFERROR(IF(MARÍTIMOS[[#This Row],[Etapa Despacho - Llegada]]="","",MARÍTIMOS[[#This Row],[Etapa Despacho - Llegada]]),"")</f>
        <v>46199.351388888892</v>
      </c>
      <c r="AA226" s="11">
        <f>IFERROR(IF(MARÍTIMOS[[#This Row],[Etapa Despacho - Registro]]="","",MARÍTIMOS[[#This Row],[Etapa Despacho - Registro]]),"")</f>
        <v>46199.354166666664</v>
      </c>
      <c r="AB226" s="11">
        <f>IFERROR(IF(MARÍTIMOS[[#This Row],[Inspección Externa]]="","",MARÍTIMOS[[#This Row],[Inspección Externa]]),"")</f>
        <v>46199.479166666664</v>
      </c>
      <c r="AC226" s="11">
        <f>IFERROR(IF(MARÍTIMOS[[#This Row],[Etapa Despacho - Inicio de Carga]]="","",MARÍTIMOS[[#This Row],[Etapa Despacho - Inicio de Carga]]),"")</f>
        <v>46199.5</v>
      </c>
      <c r="AD226" s="11">
        <f>IFERROR(IF(MARÍTIMOS[[#This Row],[Etapa Despacho - Mitad de Carga]]="","",MARÍTIMOS[[#This Row],[Etapa Despacho - Mitad de Carga]]),"")</f>
        <v>46199.510416666664</v>
      </c>
      <c r="AE226" s="11">
        <f>IFERROR(IF(MARÍTIMOS[[#This Row],[Etapa Despacho - Fin de Carga]]="","",MARÍTIMOS[[#This Row],[Etapa Despacho - Fin de Carga]]),"")</f>
        <v>46199.555555555555</v>
      </c>
      <c r="AF226" s="2" t="str">
        <f>IFERROR(IF(MARÍTIMOS[[#This Row],[Puerto de Embarque]]="","",MARÍTIMOS[[#This Row],[Puerto de Embarque]]),"")</f>
        <v>Paita</v>
      </c>
      <c r="AG226" s="2" t="str">
        <f>IFERROR(IF(MARÍTIMOS[[#This Row],[Almacén de Ingreso]]="","",MARÍTIMOS[[#This Row],[Almacén de Ingreso]]),"")</f>
        <v>TPE</v>
      </c>
      <c r="AH226" s="11">
        <f>IFERROR(IF(MARÍTIMOS[[#This Row],[Etapa Ingreso - Cita]]="","",MARÍTIMOS[[#This Row],[Etapa Ingreso - Cita]]),"")</f>
        <v>46200.291666666664</v>
      </c>
      <c r="AI226" s="11">
        <f>IFERROR(IF(MARÍTIMOS[[#This Row],[Etapa Ingreso - Llegada]]="","",MARÍTIMOS[[#This Row],[Etapa Ingreso - Llegada]]),"")</f>
        <v>46200.262499999997</v>
      </c>
      <c r="AJ226" s="11">
        <f>IFERROR(IF(MARÍTIMOS[[#This Row],[Etapa Ingreso - Ingeso]]="","",MARÍTIMOS[[#This Row],[Etapa Ingreso - Ingeso]]),"")</f>
        <v>46200.263888888891</v>
      </c>
      <c r="AK226" s="11">
        <f>IFERROR(IF(MARÍTIMOS[[#This Row],[Etapa Ingreso - Atención]]="","",MARÍTIMOS[[#This Row],[Etapa Ingreso - Atención]]),"")</f>
        <v>46200.267361111109</v>
      </c>
      <c r="AL226" s="11">
        <f>IFERROR(IF(MARÍTIMOS[[#This Row],[Etapa Ingreso - Salida]]="","",MARÍTIMOS[[#This Row],[Etapa Ingreso - Salida]]),"")</f>
        <v>46200.272916666669</v>
      </c>
      <c r="AM226" s="2">
        <f>IFERROR(IF(MARÍTIMOS[[#This Row],[FCL]]="","",MARÍTIMOS[[#This Row],[FCL]]),"")</f>
        <v>1</v>
      </c>
      <c r="AN2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6" s="4" t="str" cm="1">
        <f t="array" ref="AO2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6" s="5">
        <f>IFERROR(OLDBD[[#This Row],[Llegada a packing]]-OLDBD[[#This Row],[Inicio de Ruta]],"")</f>
        <v>0.77500000000145519</v>
      </c>
      <c r="AQ226" s="6">
        <f>IFERROR(OLDBD[[#This Row],[Inicio de Ruta]]-OLDBD[[#This Row],[Salida de almacén de retiro]],"")</f>
        <v>0.11319444444961846</v>
      </c>
      <c r="AR2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26" s="8" t="str" cm="1">
        <f t="array" ref="AS2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26" s="9">
        <f>IFERROR(OLDBD[[#This Row],[Ingreso Packing]]-OLDBD[[#This Row],[Registro en Packing]],"")</f>
        <v>0.125</v>
      </c>
      <c r="AV226" s="9">
        <f>IFERROR(OLDBD[[#This Row],[Ingreso Packing]]-OLDBD[[#This Row],[Llegada a packing]],"")</f>
        <v>0.12777777777228039</v>
      </c>
      <c r="AW2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26" s="5">
        <f>IFERROR(OLDBD[[#This Row],[Llegada Almacén de Ingreso]]-OLDBD[[#This Row],[Salida Packing]],"")</f>
        <v>0.7069444444423425</v>
      </c>
      <c r="AY226" s="4" t="str" cm="1">
        <f t="array" ref="AY2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26" s="43" t="s">
        <v>173</v>
      </c>
      <c r="BB226" s="47" t="str">
        <f>IFERROR(IF(MARÍTIMOS[[#This Row],[Estatus]]="","",MARÍTIMOS[[#This Row],[Estatus]]),"")</f>
        <v>Confirmado</v>
      </c>
      <c r="BC226" s="43"/>
      <c r="BD226" s="46">
        <f>IFERROR(OLDBD[[#This Row],[Salida de almacén de retiro]]-OLDBD[[#This Row],[Ingreso Almacén de retiro]],"")</f>
        <v>4.8611111051286571E-3</v>
      </c>
      <c r="BE226" s="46">
        <f>IFERROR(OLDBD[[#This Row],[Fin de Carga]]-OLDBD[[#This Row],[Inicio de Carga]],"")</f>
        <v>1.0416666664241347E-2</v>
      </c>
    </row>
    <row r="227" spans="1:57" customFormat="1" hidden="1">
      <c r="A227" s="1"/>
      <c r="B227" s="1">
        <f>IFERROR(IF(MARÍTIMOS[[#This Row],[PP]]="","",MARÍTIMOS[[#This Row],[PP]]),"")</f>
        <v>27</v>
      </c>
      <c r="C227" s="1" t="str">
        <f>IFERROR(IF(MARÍTIMOS[[#This Row],[Sede]]="","",MARÍTIMOS[[#This Row],[Sede]]),"")</f>
        <v>Chao</v>
      </c>
      <c r="D227" s="1" t="str">
        <f>IFERROR(IF(MARÍTIMOS[[#This Row],[Instruction]]="","",MARÍTIMOS[[#This Row],[Instruction]]),"")</f>
        <v>RH-0091</v>
      </c>
      <c r="E227" s="1"/>
      <c r="F227" s="2" t="str">
        <f>IFERROR(IF(MARÍTIMOS[[#This Row],[Transportista]]="","",MARÍTIMOS[[#This Row],[Transportista]]),"")</f>
        <v>LIP</v>
      </c>
      <c r="G227" s="2" t="str">
        <f>IFERROR(IF(MARÍTIMOS[[#This Row],[Tercero]]="","",MARÍTIMOS[[#This Row],[Tercero]]),"")</f>
        <v>NO</v>
      </c>
      <c r="H227" s="2" t="str">
        <f>IFERROR(IF(MARÍTIMOS[[#This Row],[Razón Social]]="","",MARÍTIMOS[[#This Row],[Razón Social]]),"")</f>
        <v xml:space="preserve">LOGISTICA INTERMODAL DEL PERU S.A.C.
</v>
      </c>
      <c r="I227" s="2">
        <f>IFERROR(IF(MARÍTIMOS[[#This Row],[RUC]]="","",MARÍTIMOS[[#This Row],[RUC]]),"")</f>
        <v>20513040718</v>
      </c>
      <c r="J227" s="2" t="str">
        <f>IFERROR(IF(MARÍTIMOS[[#This Row],[Placa Tracto]]="","",MARÍTIMOS[[#This Row],[Placa Tracto]]),"")</f>
        <v>ASO-911</v>
      </c>
      <c r="K227" s="2" t="str">
        <f>IFERROR(IF(MARÍTIMOS[[#This Row],[Placa Carreta]]="","",MARÍTIMOS[[#This Row],[Placa Carreta]]),"")</f>
        <v>ADF-995</v>
      </c>
      <c r="L227" s="44" t="str">
        <f>IFERROR(IF(MARÍTIMOS[[#This Row],[Conductor]]="","",MARÍTIMOS[[#This Row],[Conductor]]),"")</f>
        <v>HUAYAMA GARCIA FRANK ANTONIO</v>
      </c>
      <c r="M227" s="2" t="str">
        <f>IFERROR(IF(MARÍTIMOS[[#This Row],[Licencia]]="","",MARÍTIMOS[[#This Row],[Licencia]]),"")</f>
        <v>B47436868</v>
      </c>
      <c r="N227" s="2" t="str">
        <f>IFERROR(IF(MARÍTIMOS[[#This Row],[Número de Contacto]]="","",MARÍTIMOS[[#This Row],[Número de Contacto]]),"")</f>
        <v>963 069 655</v>
      </c>
      <c r="O227" s="10" t="str">
        <f>IFERROR(IF(MARÍTIMOS[[#This Row],[Booking|AWB|CRT]]="","",MARÍTIMOS[[#This Row],[Booking|AWB|CRT]]),"")</f>
        <v>MBM250067094</v>
      </c>
      <c r="P227" s="2" t="str">
        <f>IFERROR(IF(MARÍTIMOS[[#This Row],[Contenedor]]="","",MARÍTIMOS[[#This Row],[Contenedor]]),"")</f>
        <v>CXRU1637508</v>
      </c>
      <c r="Q227" s="2" t="str">
        <f>IFERROR(IF(MARÍTIMOS[[#This Row],[Puerto de Retiro]]="","",MARÍTIMOS[[#This Row],[Puerto de Retiro]]),"")</f>
        <v>PAITA</v>
      </c>
      <c r="R227" s="2" t="str">
        <f>IFERROR(IF(MARÍTIMOS[[#This Row],[Almacén de Retiro]]="","",MARÍTIMOS[[#This Row],[Almacén de Retiro]]),"")</f>
        <v>MACROMAR</v>
      </c>
      <c r="S227" s="11">
        <f>IFERROR(IF(MARÍTIMOS[[#This Row],[Etapa Retiro - Cita]]="","",MARÍTIMOS[[#This Row],[Etapa Retiro - Cita]]),"")</f>
        <v>46198.458333333336</v>
      </c>
      <c r="T227" s="11">
        <f>IFERROR(IF(MARÍTIMOS[[#This Row],[Etapa Retiro - Llegada]]="","",MARÍTIMOS[[#This Row],[Etapa Retiro - Llegada]]),"")</f>
        <v>46198.445138888892</v>
      </c>
      <c r="U227" s="11">
        <f>IFERROR(IF(MARÍTIMOS[[#This Row],[Etapa Retiro - Ingreso]]="","",MARÍTIMOS[[#This Row],[Etapa Retiro - Ingreso]]),"")</f>
        <v>46198.45416666667</v>
      </c>
      <c r="V227" s="11">
        <f>IFERROR(IF(MARÍTIMOS[[#This Row],[Etapa Retiro - Atención]]="","",MARÍTIMOS[[#This Row],[Etapa Retiro - Atención]]),"")</f>
        <v>46198.481944444444</v>
      </c>
      <c r="W227" s="11">
        <f>IFERROR(IF(MARÍTIMOS[[#This Row],[Etapa Retiro - Atención]]="","",MARÍTIMOS[[#This Row],[Etapa Retiro - Atención]]),"")</f>
        <v>46198.481944444444</v>
      </c>
      <c r="X227" s="11">
        <f>IFERROR(IF(MARÍTIMOS[[#This Row],[Etapa Retiro - Inicio de Ruta]]="","",MARÍTIMOS[[#This Row],[Etapa Retiro - Inicio de Ruta]]),"")</f>
        <v>46198.555555555555</v>
      </c>
      <c r="Y227" s="11">
        <f>IFERROR(IF(MARÍTIMOS[[#This Row],[Hora de Posicionamiento]]="","",MARÍTIMOS[[#This Row],[Fecha de Carga]]+MARÍTIMOS[[#This Row],[Hora de Posicionamiento]]),"")</f>
        <v>46199.333333333336</v>
      </c>
      <c r="Z227" s="11">
        <f>IFERROR(IF(MARÍTIMOS[[#This Row],[Etapa Despacho - Llegada]]="","",MARÍTIMOS[[#This Row],[Etapa Despacho - Llegada]]),"")</f>
        <v>46199.31527777778</v>
      </c>
      <c r="AA227" s="11">
        <f>IFERROR(IF(MARÍTIMOS[[#This Row],[Etapa Despacho - Registro]]="","",MARÍTIMOS[[#This Row],[Etapa Despacho - Registro]]),"")</f>
        <v>46199.318055555559</v>
      </c>
      <c r="AB227" s="11">
        <f>IFERROR(IF(MARÍTIMOS[[#This Row],[Inspección Externa]]="","",MARÍTIMOS[[#This Row],[Inspección Externa]]),"")</f>
        <v>46199.604166666664</v>
      </c>
      <c r="AC227" s="11">
        <f>IFERROR(IF(MARÍTIMOS[[#This Row],[Etapa Despacho - Inicio de Carga]]="","",MARÍTIMOS[[#This Row],[Etapa Despacho - Inicio de Carga]]),"")</f>
        <v>46199.645833333336</v>
      </c>
      <c r="AD227" s="11">
        <f>IFERROR(IF(MARÍTIMOS[[#This Row],[Etapa Despacho - Mitad de Carga]]="","",MARÍTIMOS[[#This Row],[Etapa Despacho - Mitad de Carga]]),"")</f>
        <v>46199.65625</v>
      </c>
      <c r="AE227" s="11">
        <f>IFERROR(IF(MARÍTIMOS[[#This Row],[Etapa Despacho - Fin de Carga]]="","",MARÍTIMOS[[#This Row],[Etapa Despacho - Fin de Carga]]),"")</f>
        <v>46199.690972222219</v>
      </c>
      <c r="AF227" s="2" t="str">
        <f>IFERROR(IF(MARÍTIMOS[[#This Row],[Puerto de Embarque]]="","",MARÍTIMOS[[#This Row],[Puerto de Embarque]]),"")</f>
        <v>Paita</v>
      </c>
      <c r="AG227" s="2" t="str">
        <f>IFERROR(IF(MARÍTIMOS[[#This Row],[Almacén de Ingreso]]="","",MARÍTIMOS[[#This Row],[Almacén de Ingreso]]),"")</f>
        <v>TPE</v>
      </c>
      <c r="AH227" s="11">
        <f>IFERROR(IF(MARÍTIMOS[[#This Row],[Etapa Ingreso - Cita]]="","",MARÍTIMOS[[#This Row],[Etapa Ingreso - Cita]]),"")</f>
        <v>46200.25</v>
      </c>
      <c r="AI227" s="11">
        <f>IFERROR(IF(MARÍTIMOS[[#This Row],[Etapa Ingreso - Llegada]]="","",MARÍTIMOS[[#This Row],[Etapa Ingreso - Llegada]]),"")</f>
        <v>46200.222916666666</v>
      </c>
      <c r="AJ227" s="11">
        <f>IFERROR(IF(MARÍTIMOS[[#This Row],[Etapa Ingreso - Ingeso]]="","",MARÍTIMOS[[#This Row],[Etapa Ingreso - Ingeso]]),"")</f>
        <v>46200.227083333331</v>
      </c>
      <c r="AK227" s="11">
        <f>IFERROR(IF(MARÍTIMOS[[#This Row],[Etapa Ingreso - Atención]]="","",MARÍTIMOS[[#This Row],[Etapa Ingreso - Atención]]),"")</f>
        <v>46200.229166666664</v>
      </c>
      <c r="AL227" s="11">
        <f>IFERROR(IF(MARÍTIMOS[[#This Row],[Etapa Ingreso - Salida]]="","",MARÍTIMOS[[#This Row],[Etapa Ingreso - Salida]]),"")</f>
        <v>46200.239583333336</v>
      </c>
      <c r="AM227" s="2">
        <f>IFERROR(IF(MARÍTIMOS[[#This Row],[FCL]]="","",MARÍTIMOS[[#This Row],[FCL]]),"")</f>
        <v>1</v>
      </c>
      <c r="AN2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7" s="4" t="str" cm="1">
        <f t="array" ref="AO2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7" s="5">
        <f>IFERROR(OLDBD[[#This Row],[Llegada a packing]]-OLDBD[[#This Row],[Inicio de Ruta]],"")</f>
        <v>0.75972222222480923</v>
      </c>
      <c r="AQ227" s="6">
        <f>IFERROR(OLDBD[[#This Row],[Inicio de Ruta]]-OLDBD[[#This Row],[Salida de almacén de retiro]],"")</f>
        <v>7.3611111110949423E-2</v>
      </c>
      <c r="AR2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27" s="8" t="str" cm="1">
        <f t="array" ref="AS2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27" s="9">
        <f>IFERROR(OLDBD[[#This Row],[Ingreso Packing]]-OLDBD[[#This Row],[Registro en Packing]],"")</f>
        <v>0.28611111110512866</v>
      </c>
      <c r="AV227" s="9">
        <f>IFERROR(OLDBD[[#This Row],[Ingreso Packing]]-OLDBD[[#This Row],[Llegada a packing]],"")</f>
        <v>0.288888888884685</v>
      </c>
      <c r="AW2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27" s="5">
        <f>IFERROR(OLDBD[[#This Row],[Llegada Almacén de Ingreso]]-OLDBD[[#This Row],[Salida Packing]],"")</f>
        <v>0.53194444444670808</v>
      </c>
      <c r="AY227" s="4" t="str" cm="1">
        <f t="array" ref="AY2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27" s="43" t="s">
        <v>173</v>
      </c>
      <c r="BB227" s="47" t="str">
        <f>IFERROR(IF(MARÍTIMOS[[#This Row],[Estatus]]="","",MARÍTIMOS[[#This Row],[Estatus]]),"")</f>
        <v>Confirmado</v>
      </c>
      <c r="BC227" s="43"/>
      <c r="BD227" s="46">
        <f>IFERROR(OLDBD[[#This Row],[Salida de almacén de retiro]]-OLDBD[[#This Row],[Ingreso Almacén de retiro]],"")</f>
        <v>2.7777777773735579E-2</v>
      </c>
      <c r="BE227" s="46">
        <f>IFERROR(OLDBD[[#This Row],[Fin de Carga]]-OLDBD[[#This Row],[Inicio de Carga]],"")</f>
        <v>1.0416666664241347E-2</v>
      </c>
    </row>
    <row r="228" spans="1:57" customFormat="1" hidden="1">
      <c r="A228" s="1"/>
      <c r="B228" s="1">
        <f>IFERROR(IF(MARÍTIMOS[[#This Row],[PP]]="","",MARÍTIMOS[[#This Row],[PP]]),"")</f>
        <v>27</v>
      </c>
      <c r="C228" s="1" t="str">
        <f>IFERROR(IF(MARÍTIMOS[[#This Row],[Sede]]="","",MARÍTIMOS[[#This Row],[Sede]]),"")</f>
        <v>Chao</v>
      </c>
      <c r="D228" s="1" t="str">
        <f>IFERROR(IF(MARÍTIMOS[[#This Row],[Instruction]]="","",MARÍTIMOS[[#This Row],[Instruction]]),"")</f>
        <v>RH-0122</v>
      </c>
      <c r="E228" s="1"/>
      <c r="F228" s="2" t="str">
        <f>IFERROR(IF(MARÍTIMOS[[#This Row],[Transportista]]="","",MARÍTIMOS[[#This Row],[Transportista]]),"")</f>
        <v>LIP</v>
      </c>
      <c r="G228" s="2" t="str">
        <f>IFERROR(IF(MARÍTIMOS[[#This Row],[Tercero]]="","",MARÍTIMOS[[#This Row],[Tercero]]),"")</f>
        <v>NO</v>
      </c>
      <c r="H228" s="2" t="str">
        <f>IFERROR(IF(MARÍTIMOS[[#This Row],[Razón Social]]="","",MARÍTIMOS[[#This Row],[Razón Social]]),"")</f>
        <v xml:space="preserve">LOGISTICA INTERMODAL DEL PERU S.A.C.
</v>
      </c>
      <c r="I228" s="2">
        <f>IFERROR(IF(MARÍTIMOS[[#This Row],[RUC]]="","",MARÍTIMOS[[#This Row],[RUC]]),"")</f>
        <v>20513040718</v>
      </c>
      <c r="J228" s="2" t="str">
        <f>IFERROR(IF(MARÍTIMOS[[#This Row],[Placa Tracto]]="","",MARÍTIMOS[[#This Row],[Placa Tracto]]),"")</f>
        <v>AXD-842</v>
      </c>
      <c r="K228" s="2" t="str">
        <f>IFERROR(IF(MARÍTIMOS[[#This Row],[Placa Carreta]]="","",MARÍTIMOS[[#This Row],[Placa Carreta]]),"")</f>
        <v>ATW-991</v>
      </c>
      <c r="L228" s="44" t="str">
        <f>IFERROR(IF(MARÍTIMOS[[#This Row],[Conductor]]="","",MARÍTIMOS[[#This Row],[Conductor]]),"")</f>
        <v>CRUZ GARRO JORGE PORFIRIO</v>
      </c>
      <c r="M228" s="2" t="str">
        <f>IFERROR(IF(MARÍTIMOS[[#This Row],[Licencia]]="","",MARÍTIMOS[[#This Row],[Licencia]]),"")</f>
        <v>D42478220</v>
      </c>
      <c r="N228" s="2" t="str">
        <f>IFERROR(IF(MARÍTIMOS[[#This Row],[Número de Contacto]]="","",MARÍTIMOS[[#This Row],[Número de Contacto]]),"")</f>
        <v>964 069 655</v>
      </c>
      <c r="O228" s="10" t="str">
        <f>IFERROR(IF(MARÍTIMOS[[#This Row],[Booking|AWB|CRT]]="","",MARÍTIMOS[[#This Row],[Booking|AWB|CRT]]),"")</f>
        <v>MBM250067096</v>
      </c>
      <c r="P228" s="2" t="str">
        <f>IFERROR(IF(MARÍTIMOS[[#This Row],[Contenedor]]="","",MARÍTIMOS[[#This Row],[Contenedor]]),"")</f>
        <v>FDDU2545847</v>
      </c>
      <c r="Q228" s="2" t="str">
        <f>IFERROR(IF(MARÍTIMOS[[#This Row],[Puerto de Retiro]]="","",MARÍTIMOS[[#This Row],[Puerto de Retiro]]),"")</f>
        <v>PAITA</v>
      </c>
      <c r="R228" s="2" t="str">
        <f>IFERROR(IF(MARÍTIMOS[[#This Row],[Almacén de Retiro]]="","",MARÍTIMOS[[#This Row],[Almacén de Retiro]]),"")</f>
        <v>MACROMAR</v>
      </c>
      <c r="S228" s="11">
        <f>IFERROR(IF(MARÍTIMOS[[#This Row],[Etapa Retiro - Cita]]="","",MARÍTIMOS[[#This Row],[Etapa Retiro - Cita]]),"")</f>
        <v>46205.458333333336</v>
      </c>
      <c r="T228" s="11">
        <f>IFERROR(IF(MARÍTIMOS[[#This Row],[Etapa Retiro - Llegada]]="","",MARÍTIMOS[[#This Row],[Etapa Retiro - Llegada]]),"")</f>
        <v>46205.495833333334</v>
      </c>
      <c r="U228" s="11">
        <f>IFERROR(IF(MARÍTIMOS[[#This Row],[Etapa Retiro - Ingreso]]="","",MARÍTIMOS[[#This Row],[Etapa Retiro - Ingreso]]),"")</f>
        <v>46205.513194444444</v>
      </c>
      <c r="V228" s="11">
        <f>IFERROR(IF(MARÍTIMOS[[#This Row],[Etapa Retiro - Atención]]="","",MARÍTIMOS[[#This Row],[Etapa Retiro - Atención]]),"")</f>
        <v>46205.520833333336</v>
      </c>
      <c r="W228" s="11">
        <f>IFERROR(IF(MARÍTIMOS[[#This Row],[Etapa Retiro - Atención]]="","",MARÍTIMOS[[#This Row],[Etapa Retiro - Atención]]),"")</f>
        <v>46205.520833333336</v>
      </c>
      <c r="X228" s="11">
        <f>IFERROR(IF(MARÍTIMOS[[#This Row],[Etapa Retiro - Inicio de Ruta]]="","",MARÍTIMOS[[#This Row],[Etapa Retiro - Inicio de Ruta]]),"")</f>
        <v>46205.637499999997</v>
      </c>
      <c r="Y228" s="11">
        <f>IFERROR(IF(MARÍTIMOS[[#This Row],[Hora de Posicionamiento]]="","",MARÍTIMOS[[#This Row],[Fecha de Carga]]+MARÍTIMOS[[#This Row],[Hora de Posicionamiento]]),"")</f>
        <v>46206.333333333336</v>
      </c>
      <c r="Z228" s="11">
        <f>IFERROR(IF(MARÍTIMOS[[#This Row],[Etapa Despacho - Llegada]]="","",MARÍTIMOS[[#This Row],[Etapa Despacho - Llegada]]),"")</f>
        <v>46206.375</v>
      </c>
      <c r="AA228" s="11">
        <f>IFERROR(IF(MARÍTIMOS[[#This Row],[Etapa Despacho - Registro]]="","",MARÍTIMOS[[#This Row],[Etapa Despacho - Registro]]),"")</f>
        <v>46206.381944444445</v>
      </c>
      <c r="AB228" s="11">
        <f>IFERROR(IF(MARÍTIMOS[[#This Row],[Inspección Externa]]="","",MARÍTIMOS[[#This Row],[Inspección Externa]]),"")</f>
        <v>46206.395833333336</v>
      </c>
      <c r="AC228" s="11">
        <f>IFERROR(IF(MARÍTIMOS[[#This Row],[Etapa Despacho - Inicio de Carga]]="","",MARÍTIMOS[[#This Row],[Etapa Despacho - Inicio de Carga]]),"")</f>
        <v>46206.4375</v>
      </c>
      <c r="AD228" s="11">
        <f>IFERROR(IF(MARÍTIMOS[[#This Row],[Etapa Despacho - Mitad de Carga]]="","",MARÍTIMOS[[#This Row],[Etapa Despacho - Mitad de Carga]]),"")</f>
        <v>46206.447916666664</v>
      </c>
      <c r="AE228" s="11">
        <f>IFERROR(IF(MARÍTIMOS[[#This Row],[Etapa Despacho - Fin de Carga]]="","",MARÍTIMOS[[#This Row],[Etapa Despacho - Fin de Carga]]),"")</f>
        <v>46206.566666666666</v>
      </c>
      <c r="AF228" s="2" t="str">
        <f>IFERROR(IF(MARÍTIMOS[[#This Row],[Puerto de Embarque]]="","",MARÍTIMOS[[#This Row],[Puerto de Embarque]]),"")</f>
        <v>Paita</v>
      </c>
      <c r="AG228" s="2" t="str">
        <f>IFERROR(IF(MARÍTIMOS[[#This Row],[Almacén de Ingreso]]="","",MARÍTIMOS[[#This Row],[Almacén de Ingreso]]),"")</f>
        <v>TPE</v>
      </c>
      <c r="AH228" s="11">
        <f>IFERROR(IF(MARÍTIMOS[[#This Row],[Etapa Ingreso - Cita]]="","",MARÍTIMOS[[#This Row],[Etapa Ingreso - Cita]]),"")</f>
        <v>46207.291666666664</v>
      </c>
      <c r="AI228" s="11">
        <f>IFERROR(IF(MARÍTIMOS[[#This Row],[Etapa Ingreso - Llegada]]="","",MARÍTIMOS[[#This Row],[Etapa Ingreso - Llegada]]),"")</f>
        <v>46207.294444444444</v>
      </c>
      <c r="AJ228" s="11">
        <f>IFERROR(IF(MARÍTIMOS[[#This Row],[Etapa Ingreso - Ingeso]]="","",MARÍTIMOS[[#This Row],[Etapa Ingreso - Ingeso]]),"")</f>
        <v>46207.299305555556</v>
      </c>
      <c r="AK228" s="11">
        <f>IFERROR(IF(MARÍTIMOS[[#This Row],[Etapa Ingreso - Atención]]="","",MARÍTIMOS[[#This Row],[Etapa Ingreso - Atención]]),"")</f>
        <v>46207.306250000001</v>
      </c>
      <c r="AL228" s="11">
        <f>IFERROR(IF(MARÍTIMOS[[#This Row],[Etapa Ingreso - Salida]]="","",MARÍTIMOS[[#This Row],[Etapa Ingreso - Salida]]),"")</f>
        <v>46207.304166666669</v>
      </c>
      <c r="AM228" s="2">
        <f>IFERROR(IF(MARÍTIMOS[[#This Row],[FCL]]="","",MARÍTIMOS[[#This Row],[FCL]]),"")</f>
        <v>1</v>
      </c>
      <c r="AN2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8" s="4" t="str" cm="1">
        <f t="array" ref="AO2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8" s="5">
        <f>IFERROR(OLDBD[[#This Row],[Llegada a packing]]-OLDBD[[#This Row],[Inicio de Ruta]],"")</f>
        <v>0.73750000000291038</v>
      </c>
      <c r="AQ228" s="6">
        <f>IFERROR(OLDBD[[#This Row],[Inicio de Ruta]]-OLDBD[[#This Row],[Salida de almacén de retiro]],"")</f>
        <v>0.11666666666133096</v>
      </c>
      <c r="AR2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28" s="8" t="str" cm="1">
        <f t="array" ref="AS2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28" s="9">
        <f>IFERROR(OLDBD[[#This Row],[Ingreso Packing]]-OLDBD[[#This Row],[Registro en Packing]],"")</f>
        <v>1.3888888890505768E-2</v>
      </c>
      <c r="AV228" s="9">
        <f>IFERROR(OLDBD[[#This Row],[Ingreso Packing]]-OLDBD[[#This Row],[Llegada a packing]],"")</f>
        <v>2.0833333335758653E-2</v>
      </c>
      <c r="AW2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28" s="5">
        <f>IFERROR(OLDBD[[#This Row],[Llegada Almacén de Ingreso]]-OLDBD[[#This Row],[Salida Packing]],"")</f>
        <v>0.72777777777810115</v>
      </c>
      <c r="AY228" s="4" t="str" cm="1">
        <f t="array" ref="AY2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28" s="43" t="s">
        <v>173</v>
      </c>
      <c r="BB228" s="47" t="str">
        <f>IFERROR(IF(MARÍTIMOS[[#This Row],[Estatus]]="","",MARÍTIMOS[[#This Row],[Estatus]]),"")</f>
        <v>Confirmado</v>
      </c>
      <c r="BC228" s="43"/>
      <c r="BD228" s="46">
        <f>IFERROR(OLDBD[[#This Row],[Salida de almacén de retiro]]-OLDBD[[#This Row],[Ingreso Almacén de retiro]],"")</f>
        <v>7.6388888919609599E-3</v>
      </c>
      <c r="BE228" s="46">
        <f>IFERROR(OLDBD[[#This Row],[Fin de Carga]]-OLDBD[[#This Row],[Inicio de Carga]],"")</f>
        <v>1.0416666664241347E-2</v>
      </c>
    </row>
    <row r="229" spans="1:57" customFormat="1" hidden="1">
      <c r="A229" s="1"/>
      <c r="B229" s="1">
        <f>IFERROR(IF(MARÍTIMOS[[#This Row],[PP]]="","",MARÍTIMOS[[#This Row],[PP]]),"")</f>
        <v>27</v>
      </c>
      <c r="C229" s="1" t="str">
        <f>IFERROR(IF(MARÍTIMOS[[#This Row],[Sede]]="","",MARÍTIMOS[[#This Row],[Sede]]),"")</f>
        <v>Chao</v>
      </c>
      <c r="D229" s="1" t="str">
        <f>IFERROR(IF(MARÍTIMOS[[#This Row],[Instruction]]="","",MARÍTIMOS[[#This Row],[Instruction]]),"")</f>
        <v>RH-0123</v>
      </c>
      <c r="E229" s="1"/>
      <c r="F229" s="2" t="str">
        <f>IFERROR(IF(MARÍTIMOS[[#This Row],[Transportista]]="","",MARÍTIMOS[[#This Row],[Transportista]]),"")</f>
        <v>LIP</v>
      </c>
      <c r="G229" s="2" t="str">
        <f>IFERROR(IF(MARÍTIMOS[[#This Row],[Tercero]]="","",MARÍTIMOS[[#This Row],[Tercero]]),"")</f>
        <v>NO</v>
      </c>
      <c r="H229" s="2" t="str">
        <f>IFERROR(IF(MARÍTIMOS[[#This Row],[Razón Social]]="","",MARÍTIMOS[[#This Row],[Razón Social]]),"")</f>
        <v xml:space="preserve">LOGISTICA INTERMODAL DEL PERU S.A.C.
</v>
      </c>
      <c r="I229" s="2">
        <f>IFERROR(IF(MARÍTIMOS[[#This Row],[RUC]]="","",MARÍTIMOS[[#This Row],[RUC]]),"")</f>
        <v>20513040718</v>
      </c>
      <c r="J229" s="2" t="str">
        <f>IFERROR(IF(MARÍTIMOS[[#This Row],[Placa Tracto]]="","",MARÍTIMOS[[#This Row],[Placa Tracto]]),"")</f>
        <v>BBH-709</v>
      </c>
      <c r="K229" s="2" t="str">
        <f>IFERROR(IF(MARÍTIMOS[[#This Row],[Placa Carreta]]="","",MARÍTIMOS[[#This Row],[Placa Carreta]]),"")</f>
        <v>AMY-988</v>
      </c>
      <c r="L229" s="44" t="str">
        <f>IFERROR(IF(MARÍTIMOS[[#This Row],[Conductor]]="","",MARÍTIMOS[[#This Row],[Conductor]]),"")</f>
        <v>ANTON JIMENEZ FRANKLYN RANDHOLP</v>
      </c>
      <c r="M229" s="2" t="str">
        <f>IFERROR(IF(MARÍTIMOS[[#This Row],[Licencia]]="","",MARÍTIMOS[[#This Row],[Licencia]]),"")</f>
        <v>B71707591</v>
      </c>
      <c r="N229" s="2" t="str">
        <f>IFERROR(IF(MARÍTIMOS[[#This Row],[Número de Contacto]]="","",MARÍTIMOS[[#This Row],[Número de Contacto]]),"")</f>
        <v>965 069 655</v>
      </c>
      <c r="O229" s="10" t="str">
        <f>IFERROR(IF(MARÍTIMOS[[#This Row],[Booking|AWB|CRT]]="","",MARÍTIMOS[[#This Row],[Booking|AWB|CRT]]),"")</f>
        <v>MBM250067097</v>
      </c>
      <c r="P229" s="2" t="str">
        <f>IFERROR(IF(MARÍTIMOS[[#This Row],[Contenedor]]="","",MARÍTIMOS[[#This Row],[Contenedor]]),"")</f>
        <v>FDDU2542350</v>
      </c>
      <c r="Q229" s="2" t="str">
        <f>IFERROR(IF(MARÍTIMOS[[#This Row],[Puerto de Retiro]]="","",MARÍTIMOS[[#This Row],[Puerto de Retiro]]),"")</f>
        <v>PAITA</v>
      </c>
      <c r="R229" s="2" t="str">
        <f>IFERROR(IF(MARÍTIMOS[[#This Row],[Almacén de Retiro]]="","",MARÍTIMOS[[#This Row],[Almacén de Retiro]]),"")</f>
        <v>MACROMAR</v>
      </c>
      <c r="S229" s="11">
        <f>IFERROR(IF(MARÍTIMOS[[#This Row],[Etapa Retiro - Cita]]="","",MARÍTIMOS[[#This Row],[Etapa Retiro - Cita]]),"")</f>
        <v>46205.541666666664</v>
      </c>
      <c r="T229" s="11">
        <f>IFERROR(IF(MARÍTIMOS[[#This Row],[Etapa Retiro - Llegada]]="","",MARÍTIMOS[[#This Row],[Etapa Retiro - Llegada]]),"")</f>
        <v>46205.565972222219</v>
      </c>
      <c r="U229" s="11">
        <f>IFERROR(IF(MARÍTIMOS[[#This Row],[Etapa Retiro - Ingreso]]="","",MARÍTIMOS[[#This Row],[Etapa Retiro - Ingreso]]),"")</f>
        <v>46205.598611111112</v>
      </c>
      <c r="V229" s="11">
        <f>IFERROR(IF(MARÍTIMOS[[#This Row],[Etapa Retiro - Atención]]="","",MARÍTIMOS[[#This Row],[Etapa Retiro - Atención]]),"")</f>
        <v>46205.605555555558</v>
      </c>
      <c r="W229" s="11">
        <f>IFERROR(IF(MARÍTIMOS[[#This Row],[Etapa Retiro - Atención]]="","",MARÍTIMOS[[#This Row],[Etapa Retiro - Atención]]),"")</f>
        <v>46205.605555555558</v>
      </c>
      <c r="X229" s="11">
        <f>IFERROR(IF(MARÍTIMOS[[#This Row],[Etapa Retiro - Inicio de Ruta]]="","",MARÍTIMOS[[#This Row],[Etapa Retiro - Inicio de Ruta]]),"")</f>
        <v>46205.708333333336</v>
      </c>
      <c r="Y229" s="11">
        <f>IFERROR(IF(MARÍTIMOS[[#This Row],[Hora de Posicionamiento]]="","",MARÍTIMOS[[#This Row],[Fecha de Carga]]+MARÍTIMOS[[#This Row],[Hora de Posicionamiento]]),"")</f>
        <v>46206.5</v>
      </c>
      <c r="Z229" s="11">
        <f>IFERROR(IF(MARÍTIMOS[[#This Row],[Etapa Despacho - Llegada]]="","",MARÍTIMOS[[#This Row],[Etapa Despacho - Llegada]]),"")</f>
        <v>46206.375</v>
      </c>
      <c r="AA229" s="11">
        <f>IFERROR(IF(MARÍTIMOS[[#This Row],[Etapa Despacho - Registro]]="","",MARÍTIMOS[[#This Row],[Etapa Despacho - Registro]]),"")</f>
        <v>46206.381944444445</v>
      </c>
      <c r="AB229" s="11">
        <f>IFERROR(IF(MARÍTIMOS[[#This Row],[Inspección Externa]]="","",MARÍTIMOS[[#This Row],[Inspección Externa]]),"")</f>
        <v>46206.395833333336</v>
      </c>
      <c r="AC229" s="11">
        <f>IFERROR(IF(MARÍTIMOS[[#This Row],[Etapa Despacho - Inicio de Carga]]="","",MARÍTIMOS[[#This Row],[Etapa Despacho - Inicio de Carga]]),"")</f>
        <v>46206.4375</v>
      </c>
      <c r="AD229" s="11">
        <f>IFERROR(IF(MARÍTIMOS[[#This Row],[Etapa Despacho - Mitad de Carga]]="","",MARÍTIMOS[[#This Row],[Etapa Despacho - Mitad de Carga]]),"")</f>
        <v>46206.447916666664</v>
      </c>
      <c r="AE229" s="11">
        <f>IFERROR(IF(MARÍTIMOS[[#This Row],[Etapa Despacho - Fin de Carga]]="","",MARÍTIMOS[[#This Row],[Etapa Despacho - Fin de Carga]]),"")</f>
        <v>46206.659722222219</v>
      </c>
      <c r="AF229" s="2" t="str">
        <f>IFERROR(IF(MARÍTIMOS[[#This Row],[Puerto de Embarque]]="","",MARÍTIMOS[[#This Row],[Puerto de Embarque]]),"")</f>
        <v>Paita</v>
      </c>
      <c r="AG229" s="2" t="str">
        <f>IFERROR(IF(MARÍTIMOS[[#This Row],[Almacén de Ingreso]]="","",MARÍTIMOS[[#This Row],[Almacén de Ingreso]]),"")</f>
        <v>TPE</v>
      </c>
      <c r="AH229" s="11">
        <f>IFERROR(IF(MARÍTIMOS[[#This Row],[Etapa Ingreso - Cita]]="","",MARÍTIMOS[[#This Row],[Etapa Ingreso - Cita]]),"")</f>
        <v>46207.375</v>
      </c>
      <c r="AI229" s="11">
        <f>IFERROR(IF(MARÍTIMOS[[#This Row],[Etapa Ingreso - Llegada]]="","",MARÍTIMOS[[#This Row],[Etapa Ingreso - Llegada]]),"")</f>
        <v>46207.402777777781</v>
      </c>
      <c r="AJ229" s="11">
        <f>IFERROR(IF(MARÍTIMOS[[#This Row],[Etapa Ingreso - Ingeso]]="","",MARÍTIMOS[[#This Row],[Etapa Ingreso - Ingeso]]),"")</f>
        <v>46207.42083333333</v>
      </c>
      <c r="AK229" s="11">
        <f>IFERROR(IF(MARÍTIMOS[[#This Row],[Etapa Ingreso - Atención]]="","",MARÍTIMOS[[#This Row],[Etapa Ingreso - Atención]]),"")</f>
        <v>46207.427777777775</v>
      </c>
      <c r="AL229" s="11">
        <f>IFERROR(IF(MARÍTIMOS[[#This Row],[Etapa Ingreso - Salida]]="","",MARÍTIMOS[[#This Row],[Etapa Ingreso - Salida]]),"")</f>
        <v>46207.446527777778</v>
      </c>
      <c r="AM229" s="2">
        <f>IFERROR(IF(MARÍTIMOS[[#This Row],[FCL]]="","",MARÍTIMOS[[#This Row],[FCL]]),"")</f>
        <v>1</v>
      </c>
      <c r="AN2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29" s="4" t="str" cm="1">
        <f t="array" ref="AO2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29" s="5">
        <f>IFERROR(OLDBD[[#This Row],[Llegada a packing]]-OLDBD[[#This Row],[Inicio de Ruta]],"")</f>
        <v>0.66666666666424135</v>
      </c>
      <c r="AQ229" s="6">
        <f>IFERROR(OLDBD[[#This Row],[Inicio de Ruta]]-OLDBD[[#This Row],[Salida de almacén de retiro]],"")</f>
        <v>0.10277777777810115</v>
      </c>
      <c r="AR2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29" s="8" t="str" cm="1">
        <f t="array" ref="AS2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29" s="9">
        <f>IFERROR(OLDBD[[#This Row],[Ingreso Packing]]-OLDBD[[#This Row],[Registro en Packing]],"")</f>
        <v>1.3888888890505768E-2</v>
      </c>
      <c r="AV229" s="9">
        <f>IFERROR(OLDBD[[#This Row],[Ingreso Packing]]-OLDBD[[#This Row],[Llegada a packing]],"")</f>
        <v>2.0833333335758653E-2</v>
      </c>
      <c r="AW2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29" s="5">
        <f>IFERROR(OLDBD[[#This Row],[Llegada Almacén de Ingreso]]-OLDBD[[#This Row],[Salida Packing]],"")</f>
        <v>0.74305555556202307</v>
      </c>
      <c r="AY229" s="4" t="str" cm="1">
        <f t="array" ref="AY2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2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29" s="43" t="s">
        <v>173</v>
      </c>
      <c r="BB229" s="47" t="str">
        <f>IFERROR(IF(MARÍTIMOS[[#This Row],[Estatus]]="","",MARÍTIMOS[[#This Row],[Estatus]]),"")</f>
        <v>Confirmado</v>
      </c>
      <c r="BC229" s="43"/>
      <c r="BD229" s="46">
        <f>IFERROR(OLDBD[[#This Row],[Salida de almacén de retiro]]-OLDBD[[#This Row],[Ingreso Almacén de retiro]],"")</f>
        <v>6.9444444452528842E-3</v>
      </c>
      <c r="BE229" s="46">
        <f>IFERROR(OLDBD[[#This Row],[Fin de Carga]]-OLDBD[[#This Row],[Inicio de Carga]],"")</f>
        <v>1.0416666664241347E-2</v>
      </c>
    </row>
    <row r="230" spans="1:57" customFormat="1" hidden="1">
      <c r="A230" s="1"/>
      <c r="B230" s="1">
        <f>IFERROR(IF(MARÍTIMOS[[#This Row],[PP]]="","",MARÍTIMOS[[#This Row],[PP]]),"")</f>
        <v>27</v>
      </c>
      <c r="C230" s="1" t="str">
        <f>IFERROR(IF(MARÍTIMOS[[#This Row],[Sede]]="","",MARÍTIMOS[[#This Row],[Sede]]),"")</f>
        <v>Chao</v>
      </c>
      <c r="D230" s="1" t="str">
        <f>IFERROR(IF(MARÍTIMOS[[#This Row],[Instruction]]="","",MARÍTIMOS[[#This Row],[Instruction]]),"")</f>
        <v>RH-0124</v>
      </c>
      <c r="E230" s="1"/>
      <c r="F230" s="2" t="str">
        <f>IFERROR(IF(MARÍTIMOS[[#This Row],[Transportista]]="","",MARÍTIMOS[[#This Row],[Transportista]]),"")</f>
        <v>LIP</v>
      </c>
      <c r="G230" s="2" t="str">
        <f>IFERROR(IF(MARÍTIMOS[[#This Row],[Tercero]]="","",MARÍTIMOS[[#This Row],[Tercero]]),"")</f>
        <v>NO</v>
      </c>
      <c r="H230" s="2" t="str">
        <f>IFERROR(IF(MARÍTIMOS[[#This Row],[Razón Social]]="","",MARÍTIMOS[[#This Row],[Razón Social]]),"")</f>
        <v xml:space="preserve">LOGISTICA INTERMODAL DEL PERU S.A.C.
</v>
      </c>
      <c r="I230" s="2">
        <f>IFERROR(IF(MARÍTIMOS[[#This Row],[RUC]]="","",MARÍTIMOS[[#This Row],[RUC]]),"")</f>
        <v>20513040718</v>
      </c>
      <c r="J230" s="2" t="str">
        <f>IFERROR(IF(MARÍTIMOS[[#This Row],[Placa Tracto]]="","",MARÍTIMOS[[#This Row],[Placa Tracto]]),"")</f>
        <v>APU-757</v>
      </c>
      <c r="K230" s="2" t="str">
        <f>IFERROR(IF(MARÍTIMOS[[#This Row],[Placa Carreta]]="","",MARÍTIMOS[[#This Row],[Placa Carreta]]),"")</f>
        <v>ARQ-991</v>
      </c>
      <c r="L230" s="44" t="str">
        <f>IFERROR(IF(MARÍTIMOS[[#This Row],[Conductor]]="","",MARÍTIMOS[[#This Row],[Conductor]]),"")</f>
        <v>SANDOVAL RAMOS LUIS</v>
      </c>
      <c r="M230" s="2" t="str">
        <f>IFERROR(IF(MARÍTIMOS[[#This Row],[Licencia]]="","",MARÍTIMOS[[#This Row],[Licencia]]),"")</f>
        <v>Q40848242</v>
      </c>
      <c r="N230" s="2" t="str">
        <f>IFERROR(IF(MARÍTIMOS[[#This Row],[Número de Contacto]]="","",MARÍTIMOS[[#This Row],[Número de Contacto]]),"")</f>
        <v>966 069 655</v>
      </c>
      <c r="O230" s="10" t="str">
        <f>IFERROR(IF(MARÍTIMOS[[#This Row],[Booking|AWB|CRT]]="","",MARÍTIMOS[[#This Row],[Booking|AWB|CRT]]),"")</f>
        <v>PER9133087A</v>
      </c>
      <c r="P230" s="2" t="str">
        <f>IFERROR(IF(MARÍTIMOS[[#This Row],[Contenedor]]="","",MARÍTIMOS[[#This Row],[Contenedor]]),"")</f>
        <v>SZLU5019399</v>
      </c>
      <c r="Q230" s="2" t="str">
        <f>IFERROR(IF(MARÍTIMOS[[#This Row],[Puerto de Retiro]]="","",MARÍTIMOS[[#This Row],[Puerto de Retiro]]),"")</f>
        <v>PAITA</v>
      </c>
      <c r="R230" s="2" t="str">
        <f>IFERROR(IF(MARÍTIMOS[[#This Row],[Almacén de Retiro]]="","",MARÍTIMOS[[#This Row],[Almacén de Retiro]]),"")</f>
        <v>MACROMAR</v>
      </c>
      <c r="S230" s="11">
        <f>IFERROR(IF(MARÍTIMOS[[#This Row],[Etapa Retiro - Cita]]="","",MARÍTIMOS[[#This Row],[Etapa Retiro - Cita]]),"")</f>
        <v>46208.416666666664</v>
      </c>
      <c r="T230" s="11">
        <f>IFERROR(IF(MARÍTIMOS[[#This Row],[Etapa Retiro - Llegada]]="","",MARÍTIMOS[[#This Row],[Etapa Retiro - Llegada]]),"")</f>
        <v>46208.430555555555</v>
      </c>
      <c r="U230" s="11">
        <f>IFERROR(IF(MARÍTIMOS[[#This Row],[Etapa Retiro - Ingreso]]="","",MARÍTIMOS[[#This Row],[Etapa Retiro - Ingreso]]),"")</f>
        <v>46208.492361111108</v>
      </c>
      <c r="V230" s="11">
        <f>IFERROR(IF(MARÍTIMOS[[#This Row],[Etapa Retiro - Atención]]="","",MARÍTIMOS[[#This Row],[Etapa Retiro - Atención]]),"")</f>
        <v>46208.499305555553</v>
      </c>
      <c r="W230" s="11">
        <f>IFERROR(IF(MARÍTIMOS[[#This Row],[Etapa Retiro - Atención]]="","",MARÍTIMOS[[#This Row],[Etapa Retiro - Atención]]),"")</f>
        <v>46208.499305555553</v>
      </c>
      <c r="X230" s="11">
        <f>IFERROR(IF(MARÍTIMOS[[#This Row],[Etapa Retiro - Inicio de Ruta]]="","",MARÍTIMOS[[#This Row],[Etapa Retiro - Inicio de Ruta]]),"")</f>
        <v>46208.59097222222</v>
      </c>
      <c r="Y230" s="11">
        <f>IFERROR(IF(MARÍTIMOS[[#This Row],[Hora de Posicionamiento]]="","",MARÍTIMOS[[#This Row],[Fecha de Carga]]+MARÍTIMOS[[#This Row],[Hora de Posicionamiento]]),"")</f>
        <v>46209.333333333336</v>
      </c>
      <c r="Z230" s="11">
        <f>IFERROR(IF(MARÍTIMOS[[#This Row],[Etapa Despacho - Llegada]]="","",MARÍTIMOS[[#This Row],[Etapa Despacho - Llegada]]),"")</f>
        <v>46209.448611111111</v>
      </c>
      <c r="AA230" s="11">
        <f>IFERROR(IF(MARÍTIMOS[[#This Row],[Etapa Despacho - Registro]]="","",MARÍTIMOS[[#This Row],[Etapa Despacho - Registro]]),"")</f>
        <v>46209.455555555556</v>
      </c>
      <c r="AB230" s="11">
        <f>IFERROR(IF(MARÍTIMOS[[#This Row],[Inspección Externa]]="","",MARÍTIMOS[[#This Row],[Inspección Externa]]),"")</f>
        <v>46209.469444444447</v>
      </c>
      <c r="AC230" s="11">
        <f>IFERROR(IF(MARÍTIMOS[[#This Row],[Etapa Despacho - Inicio de Carga]]="","",MARÍTIMOS[[#This Row],[Etapa Despacho - Inicio de Carga]]),"")</f>
        <v>46209.511111111111</v>
      </c>
      <c r="AD230" s="11">
        <f>IFERROR(IF(MARÍTIMOS[[#This Row],[Etapa Despacho - Mitad de Carga]]="","",MARÍTIMOS[[#This Row],[Etapa Despacho - Mitad de Carga]]),"")</f>
        <v>46209.521527777775</v>
      </c>
      <c r="AE230" s="11">
        <f>IFERROR(IF(MARÍTIMOS[[#This Row],[Etapa Despacho - Fin de Carga]]="","",MARÍTIMOS[[#This Row],[Etapa Despacho - Fin de Carga]]),"")</f>
        <v>46209.75</v>
      </c>
      <c r="AF230" s="2" t="str">
        <f>IFERROR(IF(MARÍTIMOS[[#This Row],[Puerto de Embarque]]="","",MARÍTIMOS[[#This Row],[Puerto de Embarque]]),"")</f>
        <v>Paita</v>
      </c>
      <c r="AG230" s="2" t="str">
        <f>IFERROR(IF(MARÍTIMOS[[#This Row],[Almacén de Ingreso]]="","",MARÍTIMOS[[#This Row],[Almacén de Ingreso]]),"")</f>
        <v>TPE</v>
      </c>
      <c r="AH230" s="11">
        <f>IFERROR(IF(MARÍTIMOS[[#This Row],[Etapa Ingreso - Cita]]="","",MARÍTIMOS[[#This Row],[Etapa Ingreso - Cita]]),"")</f>
        <v>46210.458333333336</v>
      </c>
      <c r="AI230" s="11">
        <f>IFERROR(IF(MARÍTIMOS[[#This Row],[Etapa Ingreso - Llegada]]="","",MARÍTIMOS[[#This Row],[Etapa Ingreso - Llegada]]),"")</f>
        <v>46210.46597222222</v>
      </c>
      <c r="AJ230" s="11">
        <f>IFERROR(IF(MARÍTIMOS[[#This Row],[Etapa Ingreso - Ingeso]]="","",MARÍTIMOS[[#This Row],[Etapa Ingreso - Ingeso]]),"")</f>
        <v>46210.469444444447</v>
      </c>
      <c r="AK230" s="11">
        <f>IFERROR(IF(MARÍTIMOS[[#This Row],[Etapa Ingreso - Atención]]="","",MARÍTIMOS[[#This Row],[Etapa Ingreso - Atención]]),"")</f>
        <v>46210.472222222219</v>
      </c>
      <c r="AL230" s="11">
        <f>IFERROR(IF(MARÍTIMOS[[#This Row],[Etapa Ingreso - Salida]]="","",MARÍTIMOS[[#This Row],[Etapa Ingreso - Salida]]),"")</f>
        <v>46210.474305555559</v>
      </c>
      <c r="AM230" s="2">
        <f>IFERROR(IF(MARÍTIMOS[[#This Row],[FCL]]="","",MARÍTIMOS[[#This Row],[FCL]]),"")</f>
        <v>1</v>
      </c>
      <c r="AN2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0" s="4" t="str" cm="1">
        <f t="array" ref="AO2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0" s="5">
        <f>IFERROR(OLDBD[[#This Row],[Llegada a packing]]-OLDBD[[#This Row],[Inicio de Ruta]],"")</f>
        <v>0.85763888889050577</v>
      </c>
      <c r="AQ230" s="6">
        <f>IFERROR(OLDBD[[#This Row],[Inicio de Ruta]]-OLDBD[[#This Row],[Salida de almacén de retiro]],"")</f>
        <v>9.1666666667151731E-2</v>
      </c>
      <c r="AR2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30" s="8" t="str" cm="1">
        <f t="array" ref="AS2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0" s="9">
        <f>IFERROR(OLDBD[[#This Row],[Ingreso Packing]]-OLDBD[[#This Row],[Registro en Packing]],"")</f>
        <v>1.3888888890505768E-2</v>
      </c>
      <c r="AV230" s="9">
        <f>IFERROR(OLDBD[[#This Row],[Ingreso Packing]]-OLDBD[[#This Row],[Llegada a packing]],"")</f>
        <v>2.0833333335758653E-2</v>
      </c>
      <c r="AW2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0" s="5">
        <f>IFERROR(OLDBD[[#This Row],[Llegada Almacén de Ingreso]]-OLDBD[[#This Row],[Salida Packing]],"")</f>
        <v>0.71597222222044365</v>
      </c>
      <c r="AY230" s="4" t="str" cm="1">
        <f t="array" ref="AY2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0" s="43" t="s">
        <v>173</v>
      </c>
      <c r="BB230" s="47" t="str">
        <f>IFERROR(IF(MARÍTIMOS[[#This Row],[Estatus]]="","",MARÍTIMOS[[#This Row],[Estatus]]),"")</f>
        <v>Confirmado</v>
      </c>
      <c r="BC230" s="43"/>
      <c r="BD230" s="46">
        <f>IFERROR(OLDBD[[#This Row],[Salida de almacén de retiro]]-OLDBD[[#This Row],[Ingreso Almacén de retiro]],"")</f>
        <v>6.9444444452528842E-3</v>
      </c>
      <c r="BE230" s="46">
        <f>IFERROR(OLDBD[[#This Row],[Fin de Carga]]-OLDBD[[#This Row],[Inicio de Carga]],"")</f>
        <v>1.0416666664241347E-2</v>
      </c>
    </row>
    <row r="231" spans="1:57" customFormat="1" hidden="1">
      <c r="A231" s="1"/>
      <c r="B231" s="1">
        <f>IFERROR(IF(MARÍTIMOS[[#This Row],[PP]]="","",MARÍTIMOS[[#This Row],[PP]]),"")</f>
        <v>27</v>
      </c>
      <c r="C231" s="1" t="str">
        <f>IFERROR(IF(MARÍTIMOS[[#This Row],[Sede]]="","",MARÍTIMOS[[#This Row],[Sede]]),"")</f>
        <v>Chao</v>
      </c>
      <c r="D231" s="1" t="str">
        <f>IFERROR(IF(MARÍTIMOS[[#This Row],[Instruction]]="","",MARÍTIMOS[[#This Row],[Instruction]]),"")</f>
        <v>RH-0126</v>
      </c>
      <c r="E231" s="1"/>
      <c r="F231" s="2" t="str">
        <f>IFERROR(IF(MARÍTIMOS[[#This Row],[Transportista]]="","",MARÍTIMOS[[#This Row],[Transportista]]),"")</f>
        <v>LIP</v>
      </c>
      <c r="G231" s="2" t="str">
        <f>IFERROR(IF(MARÍTIMOS[[#This Row],[Tercero]]="","",MARÍTIMOS[[#This Row],[Tercero]]),"")</f>
        <v>NO</v>
      </c>
      <c r="H231" s="2" t="str">
        <f>IFERROR(IF(MARÍTIMOS[[#This Row],[Razón Social]]="","",MARÍTIMOS[[#This Row],[Razón Social]]),"")</f>
        <v xml:space="preserve">LOGISTICA INTERMODAL DEL PERU S.A.C.
</v>
      </c>
      <c r="I231" s="2">
        <f>IFERROR(IF(MARÍTIMOS[[#This Row],[RUC]]="","",MARÍTIMOS[[#This Row],[RUC]]),"")</f>
        <v>20513040718</v>
      </c>
      <c r="J231" s="2" t="str">
        <f>IFERROR(IF(MARÍTIMOS[[#This Row],[Placa Tracto]]="","",MARÍTIMOS[[#This Row],[Placa Tracto]]),"")</f>
        <v>AYN-818</v>
      </c>
      <c r="K231" s="2" t="str">
        <f>IFERROR(IF(MARÍTIMOS[[#This Row],[Placa Carreta]]="","",MARÍTIMOS[[#This Row],[Placa Carreta]]),"")</f>
        <v>AVY-986</v>
      </c>
      <c r="L231" s="44" t="str">
        <f>IFERROR(IF(MARÍTIMOS[[#This Row],[Conductor]]="","",MARÍTIMOS[[#This Row],[Conductor]]),"")</f>
        <v>CHERO MARRERO EDGAR ALFREDO</v>
      </c>
      <c r="M231" s="2" t="str">
        <f>IFERROR(IF(MARÍTIMOS[[#This Row],[Licencia]]="","",MARÍTIMOS[[#This Row],[Licencia]]),"")</f>
        <v>D19242591</v>
      </c>
      <c r="N231" s="2" t="str">
        <f>IFERROR(IF(MARÍTIMOS[[#This Row],[Número de Contacto]]="","",MARÍTIMOS[[#This Row],[Número de Contacto]]),"")</f>
        <v>967 069 655</v>
      </c>
      <c r="O231" s="10" t="str">
        <f>IFERROR(IF(MARÍTIMOS[[#This Row],[Booking|AWB|CRT]]="","",MARÍTIMOS[[#This Row],[Booking|AWB|CRT]]),"")</f>
        <v>PER9133090A</v>
      </c>
      <c r="P231" s="2" t="str">
        <f>IFERROR(IF(MARÍTIMOS[[#This Row],[Contenedor]]="","",MARÍTIMOS[[#This Row],[Contenedor]]),"")</f>
        <v>SZLU5019892</v>
      </c>
      <c r="Q231" s="2" t="str">
        <f>IFERROR(IF(MARÍTIMOS[[#This Row],[Puerto de Retiro]]="","",MARÍTIMOS[[#This Row],[Puerto de Retiro]]),"")</f>
        <v>PAITA</v>
      </c>
      <c r="R231" s="2" t="str">
        <f>IFERROR(IF(MARÍTIMOS[[#This Row],[Almacén de Retiro]]="","",MARÍTIMOS[[#This Row],[Almacén de Retiro]]),"")</f>
        <v>MACROMAR</v>
      </c>
      <c r="S231" s="11">
        <f>IFERROR(IF(MARÍTIMOS[[#This Row],[Etapa Retiro - Cita]]="","",MARÍTIMOS[[#This Row],[Etapa Retiro - Cita]]),"")</f>
        <v>46208.416666666664</v>
      </c>
      <c r="T231" s="11">
        <f>IFERROR(IF(MARÍTIMOS[[#This Row],[Etapa Retiro - Llegada]]="","",MARÍTIMOS[[#This Row],[Etapa Retiro - Llegada]]),"")</f>
        <v>46208.452777777777</v>
      </c>
      <c r="U231" s="11">
        <f>IFERROR(IF(MARÍTIMOS[[#This Row],[Etapa Retiro - Ingreso]]="","",MARÍTIMOS[[#This Row],[Etapa Retiro - Ingreso]]),"")</f>
        <v>46208.520138888889</v>
      </c>
      <c r="V231" s="11">
        <f>IFERROR(IF(MARÍTIMOS[[#This Row],[Etapa Retiro - Atención]]="","",MARÍTIMOS[[#This Row],[Etapa Retiro - Atención]]),"")</f>
        <v>46208.527083333334</v>
      </c>
      <c r="W231" s="11">
        <f>IFERROR(IF(MARÍTIMOS[[#This Row],[Etapa Retiro - Atención]]="","",MARÍTIMOS[[#This Row],[Etapa Retiro - Atención]]),"")</f>
        <v>46208.527083333334</v>
      </c>
      <c r="X231" s="11">
        <f>IFERROR(IF(MARÍTIMOS[[#This Row],[Etapa Retiro - Inicio de Ruta]]="","",MARÍTIMOS[[#This Row],[Etapa Retiro - Inicio de Ruta]]),"")</f>
        <v>46208.589583333334</v>
      </c>
      <c r="Y231" s="11">
        <f>IFERROR(IF(MARÍTIMOS[[#This Row],[Hora de Posicionamiento]]="","",MARÍTIMOS[[#This Row],[Fecha de Carga]]+MARÍTIMOS[[#This Row],[Hora de Posicionamiento]]),"")</f>
        <v>46209.333333333336</v>
      </c>
      <c r="Z231" s="11">
        <f>IFERROR(IF(MARÍTIMOS[[#This Row],[Etapa Despacho - Llegada]]="","",MARÍTIMOS[[#This Row],[Etapa Despacho - Llegada]]),"")</f>
        <v>46209.448611111111</v>
      </c>
      <c r="AA231" s="11">
        <f>IFERROR(IF(MARÍTIMOS[[#This Row],[Etapa Despacho - Registro]]="","",MARÍTIMOS[[#This Row],[Etapa Despacho - Registro]]),"")</f>
        <v>46209.455555555556</v>
      </c>
      <c r="AB231" s="11">
        <f>IFERROR(IF(MARÍTIMOS[[#This Row],[Inspección Externa]]="","",MARÍTIMOS[[#This Row],[Inspección Externa]]),"")</f>
        <v>46209.469444444447</v>
      </c>
      <c r="AC231" s="11">
        <f>IFERROR(IF(MARÍTIMOS[[#This Row],[Etapa Despacho - Inicio de Carga]]="","",MARÍTIMOS[[#This Row],[Etapa Despacho - Inicio de Carga]]),"")</f>
        <v>46209.511111111111</v>
      </c>
      <c r="AD231" s="11">
        <f>IFERROR(IF(MARÍTIMOS[[#This Row],[Etapa Despacho - Mitad de Carga]]="","",MARÍTIMOS[[#This Row],[Etapa Despacho - Mitad de Carga]]),"")</f>
        <v>46209.521527777775</v>
      </c>
      <c r="AE231" s="11">
        <f>IFERROR(IF(MARÍTIMOS[[#This Row],[Etapa Despacho - Fin de Carga]]="","",MARÍTIMOS[[#This Row],[Etapa Despacho - Fin de Carga]]),"")</f>
        <v>46209.729166666664</v>
      </c>
      <c r="AF231" s="2" t="str">
        <f>IFERROR(IF(MARÍTIMOS[[#This Row],[Puerto de Embarque]]="","",MARÍTIMOS[[#This Row],[Puerto de Embarque]]),"")</f>
        <v>Paita</v>
      </c>
      <c r="AG231" s="2" t="str">
        <f>IFERROR(IF(MARÍTIMOS[[#This Row],[Almacén de Ingreso]]="","",MARÍTIMOS[[#This Row],[Almacén de Ingreso]]),"")</f>
        <v>TPE</v>
      </c>
      <c r="AH231" s="11">
        <f>IFERROR(IF(MARÍTIMOS[[#This Row],[Etapa Ingreso - Cita]]="","",MARÍTIMOS[[#This Row],[Etapa Ingreso - Cita]]),"")</f>
        <v>46210.458333333336</v>
      </c>
      <c r="AI231" s="11">
        <f>IFERROR(IF(MARÍTIMOS[[#This Row],[Etapa Ingreso - Llegada]]="","",MARÍTIMOS[[#This Row],[Etapa Ingreso - Llegada]]),"")</f>
        <v>46210.479166666664</v>
      </c>
      <c r="AJ231" s="11">
        <f>IFERROR(IF(MARÍTIMOS[[#This Row],[Etapa Ingreso - Ingeso]]="","",MARÍTIMOS[[#This Row],[Etapa Ingreso - Ingeso]]),"")</f>
        <v>46210.48541666667</v>
      </c>
      <c r="AK231" s="11">
        <f>IFERROR(IF(MARÍTIMOS[[#This Row],[Etapa Ingreso - Atención]]="","",MARÍTIMOS[[#This Row],[Etapa Ingreso - Atención]]),"")</f>
        <v>46210.489583333336</v>
      </c>
      <c r="AL231" s="11">
        <f>IFERROR(IF(MARÍTIMOS[[#This Row],[Etapa Ingreso - Salida]]="","",MARÍTIMOS[[#This Row],[Etapa Ingreso - Salida]]),"")</f>
        <v>46210.496527777781</v>
      </c>
      <c r="AM231" s="2">
        <f>IFERROR(IF(MARÍTIMOS[[#This Row],[FCL]]="","",MARÍTIMOS[[#This Row],[FCL]]),"")</f>
        <v>1</v>
      </c>
      <c r="AN2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1" s="4" t="str" cm="1">
        <f t="array" ref="AO2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1" s="5">
        <f>IFERROR(OLDBD[[#This Row],[Llegada a packing]]-OLDBD[[#This Row],[Inicio de Ruta]],"")</f>
        <v>0.85902777777664596</v>
      </c>
      <c r="AQ231" s="6">
        <f>IFERROR(OLDBD[[#This Row],[Inicio de Ruta]]-OLDBD[[#This Row],[Salida de almacén de retiro]],"")</f>
        <v>6.25E-2</v>
      </c>
      <c r="AR2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31" s="8" t="str" cm="1">
        <f t="array" ref="AS2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1" s="9">
        <f>IFERROR(OLDBD[[#This Row],[Ingreso Packing]]-OLDBD[[#This Row],[Registro en Packing]],"")</f>
        <v>1.3888888890505768E-2</v>
      </c>
      <c r="AV231" s="9">
        <f>IFERROR(OLDBD[[#This Row],[Ingreso Packing]]-OLDBD[[#This Row],[Llegada a packing]],"")</f>
        <v>2.0833333335758653E-2</v>
      </c>
      <c r="AW2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1" s="5">
        <f>IFERROR(OLDBD[[#This Row],[Llegada Almacén de Ingreso]]-OLDBD[[#This Row],[Salida Packing]],"")</f>
        <v>0.75</v>
      </c>
      <c r="AY231" s="4" t="str" cm="1">
        <f t="array" ref="AY2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1" s="43" t="s">
        <v>173</v>
      </c>
      <c r="BB231" s="47" t="str">
        <f>IFERROR(IF(MARÍTIMOS[[#This Row],[Estatus]]="","",MARÍTIMOS[[#This Row],[Estatus]]),"")</f>
        <v>Confirmado</v>
      </c>
      <c r="BC231" s="43"/>
      <c r="BD231" s="46">
        <f>IFERROR(OLDBD[[#This Row],[Salida de almacén de retiro]]-OLDBD[[#This Row],[Ingreso Almacén de retiro]],"")</f>
        <v>6.9444444452528842E-3</v>
      </c>
      <c r="BE231" s="46">
        <f>IFERROR(OLDBD[[#This Row],[Fin de Carga]]-OLDBD[[#This Row],[Inicio de Carga]],"")</f>
        <v>1.0416666664241347E-2</v>
      </c>
    </row>
    <row r="232" spans="1:57" customFormat="1" hidden="1">
      <c r="A232" s="1"/>
      <c r="B232" s="1">
        <f>IFERROR(IF(MARÍTIMOS[[#This Row],[PP]]="","",MARÍTIMOS[[#This Row],[PP]]),"")</f>
        <v>27</v>
      </c>
      <c r="C232" s="1" t="str">
        <f>IFERROR(IF(MARÍTIMOS[[#This Row],[Sede]]="","",MARÍTIMOS[[#This Row],[Sede]]),"")</f>
        <v>Chao</v>
      </c>
      <c r="D232" s="1" t="str">
        <f>IFERROR(IF(MARÍTIMOS[[#This Row],[Instruction]]="","",MARÍTIMOS[[#This Row],[Instruction]]),"")</f>
        <v>RH-0125</v>
      </c>
      <c r="E232" s="1"/>
      <c r="F232" s="2" t="str">
        <f>IFERROR(IF(MARÍTIMOS[[#This Row],[Transportista]]="","",MARÍTIMOS[[#This Row],[Transportista]]),"")</f>
        <v>LIP</v>
      </c>
      <c r="G232" s="2" t="str">
        <f>IFERROR(IF(MARÍTIMOS[[#This Row],[Tercero]]="","",MARÍTIMOS[[#This Row],[Tercero]]),"")</f>
        <v>NO</v>
      </c>
      <c r="H232" s="2" t="str">
        <f>IFERROR(IF(MARÍTIMOS[[#This Row],[Razón Social]]="","",MARÍTIMOS[[#This Row],[Razón Social]]),"")</f>
        <v xml:space="preserve">LOGISTICA INTERMODAL DEL PERU S.A.C.
</v>
      </c>
      <c r="I232" s="2">
        <f>IFERROR(IF(MARÍTIMOS[[#This Row],[RUC]]="","",MARÍTIMOS[[#This Row],[RUC]]),"")</f>
        <v>20513040718</v>
      </c>
      <c r="J232" s="2" t="str">
        <f>IFERROR(IF(MARÍTIMOS[[#This Row],[Placa Tracto]]="","",MARÍTIMOS[[#This Row],[Placa Tracto]]),"")</f>
        <v>BBG-864</v>
      </c>
      <c r="K232" s="2" t="str">
        <f>IFERROR(IF(MARÍTIMOS[[#This Row],[Placa Carreta]]="","",MARÍTIMOS[[#This Row],[Placa Carreta]]),"")</f>
        <v>AMZ-980</v>
      </c>
      <c r="L232" s="44" t="str">
        <f>IFERROR(IF(MARÍTIMOS[[#This Row],[Conductor]]="","",MARÍTIMOS[[#This Row],[Conductor]]),"")</f>
        <v>DIOSES MIRANDA WILLIAM ARTURO</v>
      </c>
      <c r="M232" s="2" t="str">
        <f>IFERROR(IF(MARÍTIMOS[[#This Row],[Licencia]]="","",MARÍTIMOS[[#This Row],[Licencia]]),"")</f>
        <v>B03508313</v>
      </c>
      <c r="N232" s="2" t="str">
        <f>IFERROR(IF(MARÍTIMOS[[#This Row],[Número de Contacto]]="","",MARÍTIMOS[[#This Row],[Número de Contacto]]),"")</f>
        <v>968 069 655</v>
      </c>
      <c r="O232" s="10" t="str">
        <f>IFERROR(IF(MARÍTIMOS[[#This Row],[Booking|AWB|CRT]]="","",MARÍTIMOS[[#This Row],[Booking|AWB|CRT]]),"")</f>
        <v>PER9133089A</v>
      </c>
      <c r="P232" s="2" t="str">
        <f>IFERROR(IF(MARÍTIMOS[[#This Row],[Contenedor]]="","",MARÍTIMOS[[#This Row],[Contenedor]]),"")</f>
        <v>CAAU4163258</v>
      </c>
      <c r="Q232" s="2" t="str">
        <f>IFERROR(IF(MARÍTIMOS[[#This Row],[Puerto de Retiro]]="","",MARÍTIMOS[[#This Row],[Puerto de Retiro]]),"")</f>
        <v>PAITA</v>
      </c>
      <c r="R232" s="2" t="str">
        <f>IFERROR(IF(MARÍTIMOS[[#This Row],[Almacén de Retiro]]="","",MARÍTIMOS[[#This Row],[Almacén de Retiro]]),"")</f>
        <v>MACROMAR</v>
      </c>
      <c r="S232" s="11">
        <f>IFERROR(IF(MARÍTIMOS[[#This Row],[Etapa Retiro - Cita]]="","",MARÍTIMOS[[#This Row],[Etapa Retiro - Cita]]),"")</f>
        <v>46209.458333333336</v>
      </c>
      <c r="T232" s="11">
        <f>IFERROR(IF(MARÍTIMOS[[#This Row],[Etapa Retiro - Llegada]]="","",MARÍTIMOS[[#This Row],[Etapa Retiro - Llegada]]),"")</f>
        <v>46209.475694444445</v>
      </c>
      <c r="U232" s="11">
        <f>IFERROR(IF(MARÍTIMOS[[#This Row],[Etapa Retiro - Ingreso]]="","",MARÍTIMOS[[#This Row],[Etapa Retiro - Ingreso]]),"")</f>
        <v>46209.503472222219</v>
      </c>
      <c r="V232" s="11">
        <f>IFERROR(IF(MARÍTIMOS[[#This Row],[Etapa Retiro - Atención]]="","",MARÍTIMOS[[#This Row],[Etapa Retiro - Atención]]),"")</f>
        <v>46209.517361111109</v>
      </c>
      <c r="W232" s="11">
        <f>IFERROR(IF(MARÍTIMOS[[#This Row],[Etapa Retiro - Atención]]="","",MARÍTIMOS[[#This Row],[Etapa Retiro - Atención]]),"")</f>
        <v>46209.517361111109</v>
      </c>
      <c r="X232" s="11">
        <f>IFERROR(IF(MARÍTIMOS[[#This Row],[Etapa Retiro - Inicio de Ruta]]="","",MARÍTIMOS[[#This Row],[Etapa Retiro - Inicio de Ruta]]),"")</f>
        <v>46209.696527777778</v>
      </c>
      <c r="Y232" s="11">
        <f>IFERROR(IF(MARÍTIMOS[[#This Row],[Hora de Posicionamiento]]="","",MARÍTIMOS[[#This Row],[Fecha de Carga]]+MARÍTIMOS[[#This Row],[Hora de Posicionamiento]]),"")</f>
        <v>46210.333333333336</v>
      </c>
      <c r="Z232" s="11">
        <f>IFERROR(IF(MARÍTIMOS[[#This Row],[Etapa Despacho - Llegada]]="","",MARÍTIMOS[[#This Row],[Etapa Despacho - Llegada]]),"")</f>
        <v>46210.395833333336</v>
      </c>
      <c r="AA232" s="11">
        <f>IFERROR(IF(MARÍTIMOS[[#This Row],[Etapa Despacho - Registro]]="","",MARÍTIMOS[[#This Row],[Etapa Despacho - Registro]]),"")</f>
        <v>46210.402777777781</v>
      </c>
      <c r="AB232" s="11">
        <f>IFERROR(IF(MARÍTIMOS[[#This Row],[Inspección Externa]]="","",MARÍTIMOS[[#This Row],[Inspección Externa]]),"")</f>
        <v>46210.416666666664</v>
      </c>
      <c r="AC232" s="11">
        <f>IFERROR(IF(MARÍTIMOS[[#This Row],[Etapa Despacho - Inicio de Carga]]="","",MARÍTIMOS[[#This Row],[Etapa Despacho - Inicio de Carga]]),"")</f>
        <v>46210.458333333336</v>
      </c>
      <c r="AD232" s="11">
        <f>IFERROR(IF(MARÍTIMOS[[#This Row],[Etapa Despacho - Mitad de Carga]]="","",MARÍTIMOS[[#This Row],[Etapa Despacho - Mitad de Carga]]),"")</f>
        <v>46210.46875</v>
      </c>
      <c r="AE232" s="11">
        <f>IFERROR(IF(MARÍTIMOS[[#This Row],[Etapa Despacho - Fin de Carga]]="","",MARÍTIMOS[[#This Row],[Etapa Despacho - Fin de Carga]]),"")</f>
        <v>46210.583333333336</v>
      </c>
      <c r="AF232" s="2" t="str">
        <f>IFERROR(IF(MARÍTIMOS[[#This Row],[Puerto de Embarque]]="","",MARÍTIMOS[[#This Row],[Puerto de Embarque]]),"")</f>
        <v>Paita</v>
      </c>
      <c r="AG232" s="2" t="str">
        <f>IFERROR(IF(MARÍTIMOS[[#This Row],[Almacén de Ingreso]]="","",MARÍTIMOS[[#This Row],[Almacén de Ingreso]]),"")</f>
        <v>TPE</v>
      </c>
      <c r="AH232" s="11">
        <f>IFERROR(IF(MARÍTIMOS[[#This Row],[Etapa Ingreso - Cita]]="","",MARÍTIMOS[[#This Row],[Etapa Ingreso - Cita]]),"")</f>
        <v>46211.458333333336</v>
      </c>
      <c r="AI232" s="11">
        <f>IFERROR(IF(MARÍTIMOS[[#This Row],[Etapa Ingreso - Llegada]]="","",MARÍTIMOS[[#This Row],[Etapa Ingreso - Llegada]]),"")</f>
        <v>46211.463888888888</v>
      </c>
      <c r="AJ232" s="11">
        <f>IFERROR(IF(MARÍTIMOS[[#This Row],[Etapa Ingreso - Ingeso]]="","",MARÍTIMOS[[#This Row],[Etapa Ingreso - Ingeso]]),"")</f>
        <v>46211.469444444447</v>
      </c>
      <c r="AK232" s="11">
        <f>IFERROR(IF(MARÍTIMOS[[#This Row],[Etapa Ingreso - Atención]]="","",MARÍTIMOS[[#This Row],[Etapa Ingreso - Atención]]),"")</f>
        <v>46211.47152777778</v>
      </c>
      <c r="AL232" s="11">
        <f>IFERROR(IF(MARÍTIMOS[[#This Row],[Etapa Ingreso - Salida]]="","",MARÍTIMOS[[#This Row],[Etapa Ingreso - Salida]]),"")</f>
        <v>46211.473611111112</v>
      </c>
      <c r="AM232" s="2">
        <f>IFERROR(IF(MARÍTIMOS[[#This Row],[FCL]]="","",MARÍTIMOS[[#This Row],[FCL]]),"")</f>
        <v>1</v>
      </c>
      <c r="AN2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2" s="4" t="str" cm="1">
        <f t="array" ref="AO2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2" s="5">
        <f>IFERROR(OLDBD[[#This Row],[Llegada a packing]]-OLDBD[[#This Row],[Inicio de Ruta]],"")</f>
        <v>0.6993055555576575</v>
      </c>
      <c r="AQ232" s="6">
        <f>IFERROR(OLDBD[[#This Row],[Inicio de Ruta]]-OLDBD[[#This Row],[Salida de almacén de retiro]],"")</f>
        <v>0.17916666666860692</v>
      </c>
      <c r="AR2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32" s="8" t="str" cm="1">
        <f t="array" ref="AS2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2" s="9">
        <f>IFERROR(OLDBD[[#This Row],[Ingreso Packing]]-OLDBD[[#This Row],[Registro en Packing]],"")</f>
        <v>1.3888888883229811E-2</v>
      </c>
      <c r="AV232" s="9">
        <f>IFERROR(OLDBD[[#This Row],[Ingreso Packing]]-OLDBD[[#This Row],[Llegada a packing]],"")</f>
        <v>2.0833333328482695E-2</v>
      </c>
      <c r="AW2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2" s="5">
        <f>IFERROR(OLDBD[[#This Row],[Llegada Almacén de Ingreso]]-OLDBD[[#This Row],[Salida Packing]],"")</f>
        <v>0.88055555555183673</v>
      </c>
      <c r="AY232" s="4" t="str" cm="1">
        <f t="array" ref="AY2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2" s="43" t="s">
        <v>173</v>
      </c>
      <c r="BB232" s="47" t="str">
        <f>IFERROR(IF(MARÍTIMOS[[#This Row],[Estatus]]="","",MARÍTIMOS[[#This Row],[Estatus]]),"")</f>
        <v>Confirmado</v>
      </c>
      <c r="BC232" s="43"/>
      <c r="BD232" s="46">
        <f>IFERROR(OLDBD[[#This Row],[Salida de almacén de retiro]]-OLDBD[[#This Row],[Ingreso Almacén de retiro]],"")</f>
        <v>1.3888888890505768E-2</v>
      </c>
      <c r="BE232" s="46">
        <f>IFERROR(OLDBD[[#This Row],[Fin de Carga]]-OLDBD[[#This Row],[Inicio de Carga]],"")</f>
        <v>1.0416666664241347E-2</v>
      </c>
    </row>
    <row r="233" spans="1:57" customFormat="1" hidden="1">
      <c r="A233" s="1"/>
      <c r="B233" s="1">
        <f>IFERROR(IF(MARÍTIMOS[[#This Row],[PP]]="","",MARÍTIMOS[[#This Row],[PP]]),"")</f>
        <v>28</v>
      </c>
      <c r="C233" s="1" t="str">
        <f>IFERROR(IF(MARÍTIMOS[[#This Row],[Sede]]="","",MARÍTIMOS[[#This Row],[Sede]]),"")</f>
        <v>Chao</v>
      </c>
      <c r="D233" s="1" t="str">
        <f>IFERROR(IF(MARÍTIMOS[[#This Row],[Instruction]]="","",MARÍTIMOS[[#This Row],[Instruction]]),"")</f>
        <v>RH-0151</v>
      </c>
      <c r="E233" s="1"/>
      <c r="F233" s="2" t="str">
        <f>IFERROR(IF(MARÍTIMOS[[#This Row],[Transportista]]="","",MARÍTIMOS[[#This Row],[Transportista]]),"")</f>
        <v>LIP</v>
      </c>
      <c r="G233" s="2" t="str">
        <f>IFERROR(IF(MARÍTIMOS[[#This Row],[Tercero]]="","",MARÍTIMOS[[#This Row],[Tercero]]),"")</f>
        <v>NO</v>
      </c>
      <c r="H233" s="2" t="str">
        <f>IFERROR(IF(MARÍTIMOS[[#This Row],[Razón Social]]="","",MARÍTIMOS[[#This Row],[Razón Social]]),"")</f>
        <v>LOGISTICA INTERMODAL DEL PERU S.A.C.</v>
      </c>
      <c r="I233" s="2">
        <f>IFERROR(IF(MARÍTIMOS[[#This Row],[RUC]]="","",MARÍTIMOS[[#This Row],[RUC]]),"")</f>
        <v>20513040718</v>
      </c>
      <c r="J233" s="2" t="str">
        <f>IFERROR(IF(MARÍTIMOS[[#This Row],[Placa Tracto]]="","",MARÍTIMOS[[#This Row],[Placa Tracto]]),"")</f>
        <v>BBG-825</v>
      </c>
      <c r="K233" s="2" t="str">
        <f>IFERROR(IF(MARÍTIMOS[[#This Row],[Placa Carreta]]="","",MARÍTIMOS[[#This Row],[Placa Carreta]]),"")</f>
        <v>ANA-974</v>
      </c>
      <c r="L233" s="44" t="str">
        <f>IFERROR(IF(MARÍTIMOS[[#This Row],[Conductor]]="","",MARÍTIMOS[[#This Row],[Conductor]]),"")</f>
        <v>TAVARA SOLIS PAUL MARLON</v>
      </c>
      <c r="M233" s="2" t="str">
        <f>IFERROR(IF(MARÍTIMOS[[#This Row],[Licencia]]="","",MARÍTIMOS[[#This Row],[Licencia]]),"")</f>
        <v>C17625579</v>
      </c>
      <c r="N233" s="2" t="str">
        <f>IFERROR(IF(MARÍTIMOS[[#This Row],[Número de Contacto]]="","",MARÍTIMOS[[#This Row],[Número de Contacto]]),"")</f>
        <v>969 069 655</v>
      </c>
      <c r="O233" s="10" t="str">
        <f>IFERROR(IF(MARÍTIMOS[[#This Row],[Booking|AWB|CRT]]="","",MARÍTIMOS[[#This Row],[Booking|AWB|CRT]]),"")</f>
        <v>MBM250067099</v>
      </c>
      <c r="P233" s="2" t="str">
        <f>IFERROR(IF(MARÍTIMOS[[#This Row],[Contenedor]]="","",MARÍTIMOS[[#This Row],[Contenedor]]),"")</f>
        <v>FDDU2543886</v>
      </c>
      <c r="Q233" s="2" t="str">
        <f>IFERROR(IF(MARÍTIMOS[[#This Row],[Puerto de Retiro]]="","",MARÍTIMOS[[#This Row],[Puerto de Retiro]]),"")</f>
        <v>PAITA</v>
      </c>
      <c r="R233" s="2" t="str">
        <f>IFERROR(IF(MARÍTIMOS[[#This Row],[Almacén de Retiro]]="","",MARÍTIMOS[[#This Row],[Almacén de Retiro]]),"")</f>
        <v>MACROMAR</v>
      </c>
      <c r="S233" s="11">
        <f>IFERROR(IF(MARÍTIMOS[[#This Row],[Etapa Retiro - Cita]]="","",MARÍTIMOS[[#This Row],[Etapa Retiro - Cita]]),"")</f>
        <v>46211.541666666664</v>
      </c>
      <c r="T233" s="11">
        <f>IFERROR(IF(MARÍTIMOS[[#This Row],[Etapa Retiro - Llegada]]="","",MARÍTIMOS[[#This Row],[Etapa Retiro - Llegada]]),"")</f>
        <v>46211.546527777777</v>
      </c>
      <c r="U233" s="11">
        <f>IFERROR(IF(MARÍTIMOS[[#This Row],[Etapa Retiro - Ingreso]]="","",MARÍTIMOS[[#This Row],[Etapa Retiro - Ingreso]]),"")</f>
        <v>46211.605555555558</v>
      </c>
      <c r="V233" s="11">
        <f>IFERROR(IF(MARÍTIMOS[[#This Row],[Etapa Retiro - Atención]]="","",MARÍTIMOS[[#This Row],[Etapa Retiro - Atención]]),"")</f>
        <v>46211.625</v>
      </c>
      <c r="W233" s="11">
        <f>IFERROR(IF(MARÍTIMOS[[#This Row],[Etapa Retiro - Atención]]="","",MARÍTIMOS[[#This Row],[Etapa Retiro - Atención]]),"")</f>
        <v>46211.625</v>
      </c>
      <c r="X233" s="11">
        <f>IFERROR(IF(MARÍTIMOS[[#This Row],[Etapa Retiro - Inicio de Ruta]]="","",MARÍTIMOS[[#This Row],[Etapa Retiro - Inicio de Ruta]]),"")</f>
        <v>46211.680555555555</v>
      </c>
      <c r="Y233" s="11">
        <f>IFERROR(IF(MARÍTIMOS[[#This Row],[Hora de Posicionamiento]]="","",MARÍTIMOS[[#This Row],[Fecha de Carga]]+MARÍTIMOS[[#This Row],[Hora de Posicionamiento]]),"")</f>
        <v>46212.333333333336</v>
      </c>
      <c r="Z233" s="11">
        <f>IFERROR(IF(MARÍTIMOS[[#This Row],[Etapa Despacho - Llegada]]="","",MARÍTIMOS[[#This Row],[Etapa Despacho - Llegada]]),"")</f>
        <v>46212.359722222223</v>
      </c>
      <c r="AA233" s="11">
        <f>IFERROR(IF(MARÍTIMOS[[#This Row],[Etapa Despacho - Registro]]="","",MARÍTIMOS[[#This Row],[Etapa Despacho - Registro]]),"")</f>
        <v>46212.368055555555</v>
      </c>
      <c r="AB233" s="11">
        <f>IFERROR(IF(MARÍTIMOS[[#This Row],[Inspección Externa]]="","",MARÍTIMOS[[#This Row],[Inspección Externa]]),"")</f>
        <v>46212.381944444445</v>
      </c>
      <c r="AC233" s="11">
        <f>IFERROR(IF(MARÍTIMOS[[#This Row],[Etapa Despacho - Inicio de Carga]]="","",MARÍTIMOS[[#This Row],[Etapa Despacho - Inicio de Carga]]),"")</f>
        <v>46212.423611111109</v>
      </c>
      <c r="AD233" s="11">
        <f>IFERROR(IF(MARÍTIMOS[[#This Row],[Etapa Despacho - Mitad de Carga]]="","",MARÍTIMOS[[#This Row],[Etapa Despacho - Mitad de Carga]]),"")</f>
        <v>46212.434027777781</v>
      </c>
      <c r="AE233" s="11">
        <f>IFERROR(IF(MARÍTIMOS[[#This Row],[Etapa Despacho - Fin de Carga]]="","",MARÍTIMOS[[#This Row],[Etapa Despacho - Fin de Carga]]),"")</f>
        <v>46212.604166666664</v>
      </c>
      <c r="AF233" s="2" t="str">
        <f>IFERROR(IF(MARÍTIMOS[[#This Row],[Puerto de Embarque]]="","",MARÍTIMOS[[#This Row],[Puerto de Embarque]]),"")</f>
        <v>Paita</v>
      </c>
      <c r="AG233" s="2" t="str">
        <f>IFERROR(IF(MARÍTIMOS[[#This Row],[Almacén de Ingreso]]="","",MARÍTIMOS[[#This Row],[Almacén de Ingreso]]),"")</f>
        <v>TPE</v>
      </c>
      <c r="AH233" s="11">
        <f>IFERROR(IF(MARÍTIMOS[[#This Row],[Etapa Ingreso - Cita]]="","",MARÍTIMOS[[#This Row],[Etapa Ingreso - Cita]]),"")</f>
        <v>46213.416666666664</v>
      </c>
      <c r="AI233" s="11">
        <f>IFERROR(IF(MARÍTIMOS[[#This Row],[Etapa Ingreso - Llegada]]="","",MARÍTIMOS[[#This Row],[Etapa Ingreso - Llegada]]),"")</f>
        <v>46213.436805555553</v>
      </c>
      <c r="AJ233" s="11">
        <f>IFERROR(IF(MARÍTIMOS[[#This Row],[Etapa Ingreso - Ingeso]]="","",MARÍTIMOS[[#This Row],[Etapa Ingreso - Ingeso]]),"")</f>
        <v>46213.445833333331</v>
      </c>
      <c r="AK233" s="11">
        <f>IFERROR(IF(MARÍTIMOS[[#This Row],[Etapa Ingreso - Atención]]="","",MARÍTIMOS[[#This Row],[Etapa Ingreso - Atención]]),"")</f>
        <v>46213.489583333336</v>
      </c>
      <c r="AL233" s="11">
        <f>IFERROR(IF(MARÍTIMOS[[#This Row],[Etapa Ingreso - Salida]]="","",MARÍTIMOS[[#This Row],[Etapa Ingreso - Salida]]),"")</f>
        <v>46213.492361111108</v>
      </c>
      <c r="AM233" s="2">
        <f>IFERROR(IF(MARÍTIMOS[[#This Row],[FCL]]="","",MARÍTIMOS[[#This Row],[FCL]]),"")</f>
        <v>1</v>
      </c>
      <c r="AN2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3" s="4" t="str" cm="1">
        <f t="array" ref="AO2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3" s="5">
        <f>IFERROR(OLDBD[[#This Row],[Llegada a packing]]-OLDBD[[#This Row],[Inicio de Ruta]],"")</f>
        <v>0.67916666666860692</v>
      </c>
      <c r="AQ233" s="6">
        <f>IFERROR(OLDBD[[#This Row],[Inicio de Ruta]]-OLDBD[[#This Row],[Salida de almacén de retiro]],"")</f>
        <v>5.5555555554747116E-2</v>
      </c>
      <c r="AR2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33" s="8" t="str" cm="1">
        <f t="array" ref="AS2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3" s="9">
        <f>IFERROR(OLDBD[[#This Row],[Ingreso Packing]]-OLDBD[[#This Row],[Registro en Packing]],"")</f>
        <v>1.3888888890505768E-2</v>
      </c>
      <c r="AV233" s="9">
        <f>IFERROR(OLDBD[[#This Row],[Ingreso Packing]]-OLDBD[[#This Row],[Llegada a packing]],"")</f>
        <v>2.2222222221898846E-2</v>
      </c>
      <c r="AW2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3" s="5">
        <f>IFERROR(OLDBD[[#This Row],[Llegada Almacén de Ingreso]]-OLDBD[[#This Row],[Salida Packing]],"")</f>
        <v>0.83263888888905058</v>
      </c>
      <c r="AY233" s="4" t="str" cm="1">
        <f t="array" ref="AY2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2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3" s="43" t="s">
        <v>173</v>
      </c>
      <c r="BB233" s="47" t="str">
        <f>IFERROR(IF(MARÍTIMOS[[#This Row],[Estatus]]="","",MARÍTIMOS[[#This Row],[Estatus]]),"")</f>
        <v>Confirmado</v>
      </c>
      <c r="BC233" s="43"/>
      <c r="BD233" s="46">
        <f>IFERROR(OLDBD[[#This Row],[Salida de almacén de retiro]]-OLDBD[[#This Row],[Ingreso Almacén de retiro]],"")</f>
        <v>1.9444444442342501E-2</v>
      </c>
      <c r="BE233" s="46">
        <f>IFERROR(OLDBD[[#This Row],[Fin de Carga]]-OLDBD[[#This Row],[Inicio de Carga]],"")</f>
        <v>1.0416666671517305E-2</v>
      </c>
    </row>
    <row r="234" spans="1:57" customFormat="1" hidden="1">
      <c r="A234" s="1"/>
      <c r="B234" s="1">
        <f>IFERROR(IF(MARÍTIMOS[[#This Row],[PP]]="","",MARÍTIMOS[[#This Row],[PP]]),"")</f>
        <v>28</v>
      </c>
      <c r="C234" s="1" t="str">
        <f>IFERROR(IF(MARÍTIMOS[[#This Row],[Sede]]="","",MARÍTIMOS[[#This Row],[Sede]]),"")</f>
        <v>Chao</v>
      </c>
      <c r="D234" s="1" t="str">
        <f>IFERROR(IF(MARÍTIMOS[[#This Row],[Instruction]]="","",MARÍTIMOS[[#This Row],[Instruction]]),"")</f>
        <v>RH-0152</v>
      </c>
      <c r="E234" s="1"/>
      <c r="F234" s="2" t="str">
        <f>IFERROR(IF(MARÍTIMOS[[#This Row],[Transportista]]="","",MARÍTIMOS[[#This Row],[Transportista]]),"")</f>
        <v>LIP</v>
      </c>
      <c r="G234" s="2" t="str">
        <f>IFERROR(IF(MARÍTIMOS[[#This Row],[Tercero]]="","",MARÍTIMOS[[#This Row],[Tercero]]),"")</f>
        <v>NO</v>
      </c>
      <c r="H234" s="2" t="str">
        <f>IFERROR(IF(MARÍTIMOS[[#This Row],[Razón Social]]="","",MARÍTIMOS[[#This Row],[Razón Social]]),"")</f>
        <v>LOGISTICA INTERMODAL DEL PERU S.A.C.</v>
      </c>
      <c r="I234" s="2">
        <f>IFERROR(IF(MARÍTIMOS[[#This Row],[RUC]]="","",MARÍTIMOS[[#This Row],[RUC]]),"")</f>
        <v>20513040718</v>
      </c>
      <c r="J234" s="2" t="str">
        <f>IFERROR(IF(MARÍTIMOS[[#This Row],[Placa Tracto]]="","",MARÍTIMOS[[#This Row],[Placa Tracto]]),"")</f>
        <v>ASO-792</v>
      </c>
      <c r="K234" s="2" t="str">
        <f>IFERROR(IF(MARÍTIMOS[[#This Row],[Placa Carreta]]="","",MARÍTIMOS[[#This Row],[Placa Carreta]]),"")</f>
        <v>AKA-993</v>
      </c>
      <c r="L234" s="44" t="str">
        <f>IFERROR(IF(MARÍTIMOS[[#This Row],[Conductor]]="","",MARÍTIMOS[[#This Row],[Conductor]]),"")</f>
        <v>MEDINA OLAYA JOSE LUIS</v>
      </c>
      <c r="M234" s="2" t="str">
        <f>IFERROR(IF(MARÍTIMOS[[#This Row],[Licencia]]="","",MARÍTIMOS[[#This Row],[Licencia]]),"")</f>
        <v>B44001820</v>
      </c>
      <c r="N234" s="2" t="str">
        <f>IFERROR(IF(MARÍTIMOS[[#This Row],[Número de Contacto]]="","",MARÍTIMOS[[#This Row],[Número de Contacto]]),"")</f>
        <v>970 069 655</v>
      </c>
      <c r="O234" s="10" t="str">
        <f>IFERROR(IF(MARÍTIMOS[[#This Row],[Booking|AWB|CRT]]="","",MARÍTIMOS[[#This Row],[Booking|AWB|CRT]]),"")</f>
        <v>MBM250067100</v>
      </c>
      <c r="P234" s="2" t="str">
        <f>IFERROR(IF(MARÍTIMOS[[#This Row],[Contenedor]]="","",MARÍTIMOS[[#This Row],[Contenedor]]),"")</f>
        <v>SEKU9368609</v>
      </c>
      <c r="Q234" s="2" t="str">
        <f>IFERROR(IF(MARÍTIMOS[[#This Row],[Puerto de Retiro]]="","",MARÍTIMOS[[#This Row],[Puerto de Retiro]]),"")</f>
        <v>PAITA</v>
      </c>
      <c r="R234" s="2" t="str">
        <f>IFERROR(IF(MARÍTIMOS[[#This Row],[Almacén de Retiro]]="","",MARÍTIMOS[[#This Row],[Almacén de Retiro]]),"")</f>
        <v>MACROMAR</v>
      </c>
      <c r="S234" s="11">
        <f>IFERROR(IF(MARÍTIMOS[[#This Row],[Etapa Retiro - Cita]]="","",MARÍTIMOS[[#This Row],[Etapa Retiro - Cita]]),"")</f>
        <v>46211.791666666664</v>
      </c>
      <c r="T234" s="11">
        <f>IFERROR(IF(MARÍTIMOS[[#This Row],[Etapa Retiro - Llegada]]="","",MARÍTIMOS[[#This Row],[Etapa Retiro - Llegada]]),"")</f>
        <v>46211.792361111111</v>
      </c>
      <c r="U234" s="11">
        <f>IFERROR(IF(MARÍTIMOS[[#This Row],[Etapa Retiro - Ingreso]]="","",MARÍTIMOS[[#This Row],[Etapa Retiro - Ingreso]]),"")</f>
        <v>46211.810416666667</v>
      </c>
      <c r="V234" s="11">
        <f>IFERROR(IF(MARÍTIMOS[[#This Row],[Etapa Retiro - Atención]]="","",MARÍTIMOS[[#This Row],[Etapa Retiro - Atención]]),"")</f>
        <v>46211.833333333336</v>
      </c>
      <c r="W234" s="11">
        <f>IFERROR(IF(MARÍTIMOS[[#This Row],[Etapa Retiro - Atención]]="","",MARÍTIMOS[[#This Row],[Etapa Retiro - Atención]]),"")</f>
        <v>46211.833333333336</v>
      </c>
      <c r="X234" s="11">
        <f>IFERROR(IF(MARÍTIMOS[[#This Row],[Etapa Retiro - Inicio de Ruta]]="","",MARÍTIMOS[[#This Row],[Etapa Retiro - Inicio de Ruta]]),"")</f>
        <v>46211.875</v>
      </c>
      <c r="Y234" s="11">
        <f>IFERROR(IF(MARÍTIMOS[[#This Row],[Hora de Posicionamiento]]="","",MARÍTIMOS[[#This Row],[Fecha de Carga]]+MARÍTIMOS[[#This Row],[Hora de Posicionamiento]]),"")</f>
        <v>46213.333333333336</v>
      </c>
      <c r="Z234" s="11">
        <f>IFERROR(IF(MARÍTIMOS[[#This Row],[Etapa Despacho - Llegada]]="","",MARÍTIMOS[[#This Row],[Etapa Despacho - Llegada]]),"")</f>
        <v>46213.193749999999</v>
      </c>
      <c r="AA234" s="11">
        <f>IFERROR(IF(MARÍTIMOS[[#This Row],[Etapa Despacho - Registro]]="","",MARÍTIMOS[[#This Row],[Etapa Despacho - Registro]]),"")</f>
        <v>46213.201388888891</v>
      </c>
      <c r="AB234" s="11">
        <f>IFERROR(IF(MARÍTIMOS[[#This Row],[Inspección Externa]]="","",MARÍTIMOS[[#This Row],[Inspección Externa]]),"")</f>
        <v>46213.215277777781</v>
      </c>
      <c r="AC234" s="11">
        <f>IFERROR(IF(MARÍTIMOS[[#This Row],[Etapa Despacho - Inicio de Carga]]="","",MARÍTIMOS[[#This Row],[Etapa Despacho - Inicio de Carga]]),"")</f>
        <v>46213.256944444445</v>
      </c>
      <c r="AD234" s="11">
        <f>IFERROR(IF(MARÍTIMOS[[#This Row],[Etapa Despacho - Mitad de Carga]]="","",MARÍTIMOS[[#This Row],[Etapa Despacho - Mitad de Carga]]),"")</f>
        <v>46213.267361111109</v>
      </c>
      <c r="AE234" s="11">
        <f>IFERROR(IF(MARÍTIMOS[[#This Row],[Etapa Despacho - Fin de Carga]]="","",MARÍTIMOS[[#This Row],[Etapa Despacho - Fin de Carga]]),"")</f>
        <v>46213.5</v>
      </c>
      <c r="AF234" s="2" t="str">
        <f>IFERROR(IF(MARÍTIMOS[[#This Row],[Puerto de Embarque]]="","",MARÍTIMOS[[#This Row],[Puerto de Embarque]]),"")</f>
        <v>Paita</v>
      </c>
      <c r="AG234" s="2" t="str">
        <f>IFERROR(IF(MARÍTIMOS[[#This Row],[Almacén de Ingreso]]="","",MARÍTIMOS[[#This Row],[Almacén de Ingreso]]),"")</f>
        <v>TPE</v>
      </c>
      <c r="AH234" s="11">
        <f>IFERROR(IF(MARÍTIMOS[[#This Row],[Etapa Ingreso - Cita]]="","",MARÍTIMOS[[#This Row],[Etapa Ingreso - Cita]]),"")</f>
        <v>46214.333333333336</v>
      </c>
      <c r="AI234" s="11">
        <f>IFERROR(IF(MARÍTIMOS[[#This Row],[Etapa Ingreso - Llegada]]="","",MARÍTIMOS[[#This Row],[Etapa Ingreso - Llegada]]),"")</f>
        <v>46214.334722222222</v>
      </c>
      <c r="AJ234" s="11">
        <f>IFERROR(IF(MARÍTIMOS[[#This Row],[Etapa Ingreso - Ingeso]]="","",MARÍTIMOS[[#This Row],[Etapa Ingreso - Ingeso]]),"")</f>
        <v>46214.343055555553</v>
      </c>
      <c r="AK234" s="11">
        <f>IFERROR(IF(MARÍTIMOS[[#This Row],[Etapa Ingreso - Atención]]="","",MARÍTIMOS[[#This Row],[Etapa Ingreso - Atención]]),"")</f>
        <v>46214.333333333336</v>
      </c>
      <c r="AL234" s="11">
        <f>IFERROR(IF(MARÍTIMOS[[#This Row],[Etapa Ingreso - Salida]]="","",MARÍTIMOS[[#This Row],[Etapa Ingreso - Salida]]),"")</f>
        <v>46214.350694444445</v>
      </c>
      <c r="AM234" s="2">
        <f>IFERROR(IF(MARÍTIMOS[[#This Row],[FCL]]="","",MARÍTIMOS[[#This Row],[FCL]]),"")</f>
        <v>1</v>
      </c>
      <c r="AN2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4" s="4" t="str" cm="1">
        <f t="array" ref="AO2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4" s="5">
        <f>IFERROR(OLDBD[[#This Row],[Llegada a packing]]-OLDBD[[#This Row],[Inicio de Ruta]],"")</f>
        <v>1.3187499999985448</v>
      </c>
      <c r="AQ234" s="6">
        <f>IFERROR(OLDBD[[#This Row],[Inicio de Ruta]]-OLDBD[[#This Row],[Salida de almacén de retiro]],"")</f>
        <v>4.1666666664241347E-2</v>
      </c>
      <c r="AR2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34" s="8" t="str" cm="1">
        <f t="array" ref="AS2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4" s="9">
        <f>IFERROR(OLDBD[[#This Row],[Ingreso Packing]]-OLDBD[[#This Row],[Registro en Packing]],"")</f>
        <v>1.3888888890505768E-2</v>
      </c>
      <c r="AV234" s="9">
        <f>IFERROR(OLDBD[[#This Row],[Ingreso Packing]]-OLDBD[[#This Row],[Llegada a packing]],"")</f>
        <v>2.1527777782466728E-2</v>
      </c>
      <c r="AW2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4" s="5">
        <f>IFERROR(OLDBD[[#This Row],[Llegada Almacén de Ingreso]]-OLDBD[[#This Row],[Salida Packing]],"")</f>
        <v>0.83472222222189885</v>
      </c>
      <c r="AY234" s="4" t="str" cm="1">
        <f t="array" ref="AY2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4" s="43" t="s">
        <v>173</v>
      </c>
      <c r="BB234" s="47" t="str">
        <f>IFERROR(IF(MARÍTIMOS[[#This Row],[Estatus]]="","",MARÍTIMOS[[#This Row],[Estatus]]),"")</f>
        <v>Confirmado</v>
      </c>
      <c r="BC234" s="43"/>
      <c r="BD234" s="46">
        <f>IFERROR(OLDBD[[#This Row],[Salida de almacén de retiro]]-OLDBD[[#This Row],[Ingreso Almacén de retiro]],"")</f>
        <v>2.2916666668606922E-2</v>
      </c>
      <c r="BE234" s="46">
        <f>IFERROR(OLDBD[[#This Row],[Fin de Carga]]-OLDBD[[#This Row],[Inicio de Carga]],"")</f>
        <v>1.0416666664241347E-2</v>
      </c>
    </row>
    <row r="235" spans="1:57" customFormat="1" hidden="1">
      <c r="A235" s="1"/>
      <c r="B235" s="1">
        <f>IFERROR(IF(MARÍTIMOS[[#This Row],[PP]]="","",MARÍTIMOS[[#This Row],[PP]]),"")</f>
        <v>28</v>
      </c>
      <c r="C235" s="1" t="str">
        <f>IFERROR(IF(MARÍTIMOS[[#This Row],[Sede]]="","",MARÍTIMOS[[#This Row],[Sede]]),"")</f>
        <v>Olmos</v>
      </c>
      <c r="D235" s="1" t="str">
        <f>IFERROR(IF(MARÍTIMOS[[#This Row],[Instruction]]="","",MARÍTIMOS[[#This Row],[Instruction]]),"")</f>
        <v>RH-0153</v>
      </c>
      <c r="E235" s="1"/>
      <c r="F235" s="2" t="str">
        <f>IFERROR(IF(MARÍTIMOS[[#This Row],[Transportista]]="","",MARÍTIMOS[[#This Row],[Transportista]]),"")</f>
        <v>LIP</v>
      </c>
      <c r="G235" s="2" t="str">
        <f>IFERROR(IF(MARÍTIMOS[[#This Row],[Tercero]]="","",MARÍTIMOS[[#This Row],[Tercero]]),"")</f>
        <v>NO</v>
      </c>
      <c r="H235" s="2" t="str">
        <f>IFERROR(IF(MARÍTIMOS[[#This Row],[Razón Social]]="","",MARÍTIMOS[[#This Row],[Razón Social]]),"")</f>
        <v>LOGISTICA INTERMODAL DEL PERU S.A.C.</v>
      </c>
      <c r="I235" s="2">
        <f>IFERROR(IF(MARÍTIMOS[[#This Row],[RUC]]="","",MARÍTIMOS[[#This Row],[RUC]]),"")</f>
        <v>20513040718</v>
      </c>
      <c r="J235" s="2" t="str">
        <f>IFERROR(IF(MARÍTIMOS[[#This Row],[Placa Tracto]]="","",MARÍTIMOS[[#This Row],[Placa Tracto]]),"")</f>
        <v>ASO-911</v>
      </c>
      <c r="K235" s="2" t="str">
        <f>IFERROR(IF(MARÍTIMOS[[#This Row],[Placa Carreta]]="","",MARÍTIMOS[[#This Row],[Placa Carreta]]),"")</f>
        <v>ADF-995</v>
      </c>
      <c r="L235" s="44" t="str">
        <f>IFERROR(IF(MARÍTIMOS[[#This Row],[Conductor]]="","",MARÍTIMOS[[#This Row],[Conductor]]),"")</f>
        <v>CASTILLO ALVAREZ CESAR HUGO</v>
      </c>
      <c r="M235" s="2" t="str">
        <f>IFERROR(IF(MARÍTIMOS[[#This Row],[Licencia]]="","",MARÍTIMOS[[#This Row],[Licencia]]),"")</f>
        <v>Q25858072</v>
      </c>
      <c r="N235" s="2" t="str">
        <f>IFERROR(IF(MARÍTIMOS[[#This Row],[Número de Contacto]]="","",MARÍTIMOS[[#This Row],[Número de Contacto]]),"")</f>
        <v>971 069 655</v>
      </c>
      <c r="O235" s="10" t="str">
        <f>IFERROR(IF(MARÍTIMOS[[#This Row],[Booking|AWB|CRT]]="","",MARÍTIMOS[[#This Row],[Booking|AWB|CRT]]),"")</f>
        <v>MBM250067098</v>
      </c>
      <c r="P235" s="2" t="str">
        <f>IFERROR(IF(MARÍTIMOS[[#This Row],[Contenedor]]="","",MARÍTIMOS[[#This Row],[Contenedor]]),"")</f>
        <v>SEKU9365071</v>
      </c>
      <c r="Q235" s="2" t="str">
        <f>IFERROR(IF(MARÍTIMOS[[#This Row],[Puerto de Retiro]]="","",MARÍTIMOS[[#This Row],[Puerto de Retiro]]),"")</f>
        <v>PAITA</v>
      </c>
      <c r="R235" s="2" t="str">
        <f>IFERROR(IF(MARÍTIMOS[[#This Row],[Almacén de Retiro]]="","",MARÍTIMOS[[#This Row],[Almacén de Retiro]]),"")</f>
        <v>MACROMAR</v>
      </c>
      <c r="S235" s="11">
        <f>IFERROR(IF(MARÍTIMOS[[#This Row],[Etapa Retiro - Cita]]="","",MARÍTIMOS[[#This Row],[Etapa Retiro - Cita]]),"")</f>
        <v>46211.666666666664</v>
      </c>
      <c r="T235" s="11">
        <f>IFERROR(IF(MARÍTIMOS[[#This Row],[Etapa Retiro - Llegada]]="","",MARÍTIMOS[[#This Row],[Etapa Retiro - Llegada]]),"")</f>
        <v>46211.70416666667</v>
      </c>
      <c r="U235" s="11">
        <f>IFERROR(IF(MARÍTIMOS[[#This Row],[Etapa Retiro - Ingreso]]="","",MARÍTIMOS[[#This Row],[Etapa Retiro - Ingreso]]),"")</f>
        <v>46211.729166666664</v>
      </c>
      <c r="V235" s="11">
        <f>IFERROR(IF(MARÍTIMOS[[#This Row],[Etapa Retiro - Atención]]="","",MARÍTIMOS[[#This Row],[Etapa Retiro - Atención]]),"")</f>
        <v>46211.75</v>
      </c>
      <c r="W235" s="11">
        <f>IFERROR(IF(MARÍTIMOS[[#This Row],[Etapa Retiro - Atención]]="","",MARÍTIMOS[[#This Row],[Etapa Retiro - Atención]]),"")</f>
        <v>46211.75</v>
      </c>
      <c r="X235" s="11">
        <f>IFERROR(IF(MARÍTIMOS[[#This Row],[Etapa Retiro - Inicio de Ruta]]="","",MARÍTIMOS[[#This Row],[Etapa Retiro - Inicio de Ruta]]),"")</f>
        <v>46211.833333333336</v>
      </c>
      <c r="Y235" s="11">
        <f>IFERROR(IF(MARÍTIMOS[[#This Row],[Hora de Posicionamiento]]="","",MARÍTIMOS[[#This Row],[Fecha de Carga]]+MARÍTIMOS[[#This Row],[Hora de Posicionamiento]]),"")</f>
        <v>46212.333333333336</v>
      </c>
      <c r="Z235" s="11">
        <f>IFERROR(IF(MARÍTIMOS[[#This Row],[Etapa Despacho - Llegada]]="","",MARÍTIMOS[[#This Row],[Etapa Despacho - Llegada]]),"")</f>
        <v>46212.385416666664</v>
      </c>
      <c r="AA235" s="11">
        <f>IFERROR(IF(MARÍTIMOS[[#This Row],[Etapa Despacho - Registro]]="","",MARÍTIMOS[[#This Row],[Etapa Despacho - Registro]]),"")</f>
        <v>46212.392361111109</v>
      </c>
      <c r="AB235" s="11">
        <f>IFERROR(IF(MARÍTIMOS[[#This Row],[Inspección Externa]]="","",MARÍTIMOS[[#This Row],[Inspección Externa]]),"")</f>
        <v>46212.40625</v>
      </c>
      <c r="AC235" s="11">
        <f>IFERROR(IF(MARÍTIMOS[[#This Row],[Etapa Despacho - Inicio de Carga]]="","",MARÍTIMOS[[#This Row],[Etapa Despacho - Inicio de Carga]]),"")</f>
        <v>46212.447916666664</v>
      </c>
      <c r="AD235" s="11">
        <f>IFERROR(IF(MARÍTIMOS[[#This Row],[Etapa Despacho - Mitad de Carga]]="","",MARÍTIMOS[[#This Row],[Etapa Despacho - Mitad de Carga]]),"")</f>
        <v>46212.458333333336</v>
      </c>
      <c r="AE235" s="11">
        <f>IFERROR(IF(MARÍTIMOS[[#This Row],[Etapa Despacho - Fin de Carga]]="","",MARÍTIMOS[[#This Row],[Etapa Despacho - Fin de Carga]]),"")</f>
        <v>46213.625</v>
      </c>
      <c r="AF235" s="2" t="str">
        <f>IFERROR(IF(MARÍTIMOS[[#This Row],[Puerto de Embarque]]="","",MARÍTIMOS[[#This Row],[Puerto de Embarque]]),"")</f>
        <v>Paita</v>
      </c>
      <c r="AG235" s="2" t="str">
        <f>IFERROR(IF(MARÍTIMOS[[#This Row],[Almacén de Ingreso]]="","",MARÍTIMOS[[#This Row],[Almacén de Ingreso]]),"")</f>
        <v>TPE</v>
      </c>
      <c r="AH235" s="11">
        <f>IFERROR(IF(MARÍTIMOS[[#This Row],[Etapa Ingreso - Cita]]="","",MARÍTIMOS[[#This Row],[Etapa Ingreso - Cita]]),"")</f>
        <v>46214.375</v>
      </c>
      <c r="AI235" s="11">
        <f>IFERROR(IF(MARÍTIMOS[[#This Row],[Etapa Ingreso - Llegada]]="","",MARÍTIMOS[[#This Row],[Etapa Ingreso - Llegada]]),"")</f>
        <v>46214.38958333333</v>
      </c>
      <c r="AJ235" s="11">
        <f>IFERROR(IF(MARÍTIMOS[[#This Row],[Etapa Ingreso - Ingeso]]="","",MARÍTIMOS[[#This Row],[Etapa Ingreso - Ingeso]]),"")</f>
        <v>46214.394444444442</v>
      </c>
      <c r="AK235" s="11">
        <f>IFERROR(IF(MARÍTIMOS[[#This Row],[Etapa Ingreso - Atención]]="","",MARÍTIMOS[[#This Row],[Etapa Ingreso - Atención]]),"")</f>
        <v>46214.399305555555</v>
      </c>
      <c r="AL235" s="11">
        <f>IFERROR(IF(MARÍTIMOS[[#This Row],[Etapa Ingreso - Salida]]="","",MARÍTIMOS[[#This Row],[Etapa Ingreso - Salida]]),"")</f>
        <v>46214.40347222222</v>
      </c>
      <c r="AM235" s="2">
        <f>IFERROR(IF(MARÍTIMOS[[#This Row],[FCL]]="","",MARÍTIMOS[[#This Row],[FCL]]),"")</f>
        <v>1</v>
      </c>
      <c r="AN2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5" s="4" t="str" cm="1">
        <f t="array" ref="AO2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5" s="5">
        <f>IFERROR(OLDBD[[#This Row],[Llegada a packing]]-OLDBD[[#This Row],[Inicio de Ruta]],"")</f>
        <v>0.55208333332848269</v>
      </c>
      <c r="AQ235" s="6">
        <f>IFERROR(OLDBD[[#This Row],[Inicio de Ruta]]-OLDBD[[#This Row],[Salida de almacén de retiro]],"")</f>
        <v>8.3333333335758653E-2</v>
      </c>
      <c r="AR2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35" s="8" t="str" cm="1">
        <f t="array" ref="AS2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5" s="9">
        <f>IFERROR(OLDBD[[#This Row],[Ingreso Packing]]-OLDBD[[#This Row],[Registro en Packing]],"")</f>
        <v>1.3888888890505768E-2</v>
      </c>
      <c r="AV235" s="9">
        <f>IFERROR(OLDBD[[#This Row],[Ingreso Packing]]-OLDBD[[#This Row],[Llegada a packing]],"")</f>
        <v>2.0833333335758653E-2</v>
      </c>
      <c r="AW2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5" s="5">
        <f>IFERROR(OLDBD[[#This Row],[Llegada Almacén de Ingreso]]-OLDBD[[#This Row],[Salida Packing]],"")</f>
        <v>0.76458333332993789</v>
      </c>
      <c r="AY235" s="4" t="str" cm="1">
        <f t="array" ref="AY2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5" s="43" t="s">
        <v>173</v>
      </c>
      <c r="BB235" s="47" t="str">
        <f>IFERROR(IF(MARÍTIMOS[[#This Row],[Estatus]]="","",MARÍTIMOS[[#This Row],[Estatus]]),"")</f>
        <v>Confirmado</v>
      </c>
      <c r="BC235" s="43"/>
      <c r="BD235" s="46">
        <f>IFERROR(OLDBD[[#This Row],[Salida de almacén de retiro]]-OLDBD[[#This Row],[Ingreso Almacén de retiro]],"")</f>
        <v>2.0833333335758653E-2</v>
      </c>
      <c r="BE235" s="46">
        <f>IFERROR(OLDBD[[#This Row],[Fin de Carga]]-OLDBD[[#This Row],[Inicio de Carga]],"")</f>
        <v>1.0416666671517305E-2</v>
      </c>
    </row>
    <row r="236" spans="1:57" customFormat="1" hidden="1">
      <c r="A236" s="1"/>
      <c r="B236" s="1">
        <f>IFERROR(IF(MARÍTIMOS[[#This Row],[PP]]="","",MARÍTIMOS[[#This Row],[PP]]),"")</f>
        <v>28</v>
      </c>
      <c r="C236" s="1" t="str">
        <f>IFERROR(IF(MARÍTIMOS[[#This Row],[Sede]]="","",MARÍTIMOS[[#This Row],[Sede]]),"")</f>
        <v>Chao</v>
      </c>
      <c r="D236" s="1" t="str">
        <f>IFERROR(IF(MARÍTIMOS[[#This Row],[Instruction]]="","",MARÍTIMOS[[#This Row],[Instruction]]),"")</f>
        <v>RH-0154</v>
      </c>
      <c r="E236" s="1"/>
      <c r="F236" s="2" t="str">
        <f>IFERROR(IF(MARÍTIMOS[[#This Row],[Transportista]]="","",MARÍTIMOS[[#This Row],[Transportista]]),"")</f>
        <v>LIP</v>
      </c>
      <c r="G236" s="2" t="str">
        <f>IFERROR(IF(MARÍTIMOS[[#This Row],[Tercero]]="","",MARÍTIMOS[[#This Row],[Tercero]]),"")</f>
        <v>NO</v>
      </c>
      <c r="H236" s="2" t="str">
        <f>IFERROR(IF(MARÍTIMOS[[#This Row],[Razón Social]]="","",MARÍTIMOS[[#This Row],[Razón Social]]),"")</f>
        <v xml:space="preserve">LOGISTICA INTERMODAL DEL PERU S.A.C.
</v>
      </c>
      <c r="I236" s="2">
        <f>IFERROR(IF(MARÍTIMOS[[#This Row],[RUC]]="","",MARÍTIMOS[[#This Row],[RUC]]),"")</f>
        <v>20513040718</v>
      </c>
      <c r="J236" s="2" t="str">
        <f>IFERROR(IF(MARÍTIMOS[[#This Row],[Placa Tracto]]="","",MARÍTIMOS[[#This Row],[Placa Tracto]]),"")</f>
        <v>AZH-828</v>
      </c>
      <c r="K236" s="2" t="str">
        <f>IFERROR(IF(MARÍTIMOS[[#This Row],[Placa Carreta]]="","",MARÍTIMOS[[#This Row],[Placa Carreta]]),"")</f>
        <v>AXO-972</v>
      </c>
      <c r="L236" s="44" t="str">
        <f>IFERROR(IF(MARÍTIMOS[[#This Row],[Conductor]]="","",MARÍTIMOS[[#This Row],[Conductor]]),"")</f>
        <v>VARGAS BARRIENTOS JESUS GERMAN</v>
      </c>
      <c r="M236" s="2" t="str">
        <f>IFERROR(IF(MARÍTIMOS[[#This Row],[Licencia]]="","",MARÍTIMOS[[#This Row],[Licencia]]),"")</f>
        <v>B72766316</v>
      </c>
      <c r="N236" s="2" t="str">
        <f>IFERROR(IF(MARÍTIMOS[[#This Row],[Número de Contacto]]="","",MARÍTIMOS[[#This Row],[Número de Contacto]]),"")</f>
        <v>954 015 437</v>
      </c>
      <c r="O236" s="10" t="str">
        <f>IFERROR(IF(MARÍTIMOS[[#This Row],[Booking|AWB|CRT]]="","",MARÍTIMOS[[#This Row],[Booking|AWB|CRT]]),"")</f>
        <v>BN79045</v>
      </c>
      <c r="P236" s="2" t="str">
        <f>IFERROR(IF(MARÍTIMOS[[#This Row],[Contenedor]]="","",MARÍTIMOS[[#This Row],[Contenedor]]),"")</f>
        <v>TEMU9489109</v>
      </c>
      <c r="Q236" s="2" t="str">
        <f>IFERROR(IF(MARÍTIMOS[[#This Row],[Puerto de Retiro]]="","",MARÍTIMOS[[#This Row],[Puerto de Retiro]]),"")</f>
        <v>PAITA</v>
      </c>
      <c r="R236" s="2" t="str">
        <f>IFERROR(IF(MARÍTIMOS[[#This Row],[Almacén de Retiro]]="","",MARÍTIMOS[[#This Row],[Almacén de Retiro]]),"")</f>
        <v>DPW</v>
      </c>
      <c r="S236" s="11">
        <f>IFERROR(IF(MARÍTIMOS[[#This Row],[Etapa Retiro - Cita]]="","",MARÍTIMOS[[#This Row],[Etapa Retiro - Cita]]),"")</f>
        <v>46215.625</v>
      </c>
      <c r="T236" s="11">
        <f>IFERROR(IF(MARÍTIMOS[[#This Row],[Etapa Retiro - Llegada]]="","",MARÍTIMOS[[#This Row],[Etapa Retiro - Llegada]]),"")</f>
        <v>46215.633333333331</v>
      </c>
      <c r="U236" s="11">
        <f>IFERROR(IF(MARÍTIMOS[[#This Row],[Etapa Retiro - Ingreso]]="","",MARÍTIMOS[[#This Row],[Etapa Retiro - Ingreso]]),"")</f>
        <v>46215.673611111109</v>
      </c>
      <c r="V236" s="11">
        <f>IFERROR(IF(MARÍTIMOS[[#This Row],[Etapa Retiro - Atención]]="","",MARÍTIMOS[[#This Row],[Etapa Retiro - Atención]]),"")</f>
        <v>46215.694444444445</v>
      </c>
      <c r="W236" s="11">
        <f>IFERROR(IF(MARÍTIMOS[[#This Row],[Etapa Retiro - Atención]]="","",MARÍTIMOS[[#This Row],[Etapa Retiro - Atención]]),"")</f>
        <v>46215.694444444445</v>
      </c>
      <c r="X236" s="11">
        <f>IFERROR(IF(MARÍTIMOS[[#This Row],[Etapa Retiro - Inicio de Ruta]]="","",MARÍTIMOS[[#This Row],[Etapa Retiro - Inicio de Ruta]]),"")</f>
        <v>46215.770833333336</v>
      </c>
      <c r="Y236" s="11">
        <f>IFERROR(IF(MARÍTIMOS[[#This Row],[Hora de Posicionamiento]]="","",MARÍTIMOS[[#This Row],[Fecha de Carga]]+MARÍTIMOS[[#This Row],[Hora de Posicionamiento]]),"")</f>
        <v>46216.333333333336</v>
      </c>
      <c r="Z236" s="11">
        <f>IFERROR(IF(MARÍTIMOS[[#This Row],[Etapa Despacho - Llegada]]="","",MARÍTIMOS[[#This Row],[Etapa Despacho - Llegada]]),"")</f>
        <v>46216.454861111109</v>
      </c>
      <c r="AA236" s="11">
        <f>IFERROR(IF(MARÍTIMOS[[#This Row],[Etapa Despacho - Registro]]="","",MARÍTIMOS[[#This Row],[Etapa Despacho - Registro]]),"")</f>
        <v>46216.458333333336</v>
      </c>
      <c r="AB236" s="11">
        <f>IFERROR(IF(MARÍTIMOS[[#This Row],[Inspección Externa]]="","",MARÍTIMOS[[#This Row],[Inspección Externa]]),"")</f>
        <v>46216.479166666664</v>
      </c>
      <c r="AC236" s="11">
        <f>IFERROR(IF(MARÍTIMOS[[#This Row],[Etapa Despacho - Inicio de Carga]]="","",MARÍTIMOS[[#This Row],[Etapa Despacho - Inicio de Carga]]),"")</f>
        <v>46216.520833333336</v>
      </c>
      <c r="AD236" s="11">
        <f>IFERROR(IF(MARÍTIMOS[[#This Row],[Etapa Despacho - Mitad de Carga]]="","",MARÍTIMOS[[#This Row],[Etapa Despacho - Mitad de Carga]]),"")</f>
        <v>46216.53125</v>
      </c>
      <c r="AE236" s="11">
        <f>IFERROR(IF(MARÍTIMOS[[#This Row],[Etapa Despacho - Fin de Carga]]="","",MARÍTIMOS[[#This Row],[Etapa Despacho - Fin de Carga]]),"")</f>
        <v>46216.854166666664</v>
      </c>
      <c r="AF236" s="2" t="str">
        <f>IFERROR(IF(MARÍTIMOS[[#This Row],[Puerto de Embarque]]="","",MARÍTIMOS[[#This Row],[Puerto de Embarque]]),"")</f>
        <v>Paita</v>
      </c>
      <c r="AG236" s="2" t="str">
        <f>IFERROR(IF(MARÍTIMOS[[#This Row],[Almacén de Ingreso]]="","",MARÍTIMOS[[#This Row],[Almacén de Ingreso]]),"")</f>
        <v>TPE</v>
      </c>
      <c r="AH236" s="11">
        <f>IFERROR(IF(MARÍTIMOS[[#This Row],[Etapa Ingreso - Cita]]="","",MARÍTIMOS[[#This Row],[Etapa Ingreso - Cita]]),"")</f>
        <v>46217.583333333336</v>
      </c>
      <c r="AI236" s="11">
        <f>IFERROR(IF(MARÍTIMOS[[#This Row],[Etapa Ingreso - Llegada]]="","",MARÍTIMOS[[#This Row],[Etapa Ingreso - Llegada]]),"")</f>
        <v>46217.593055555553</v>
      </c>
      <c r="AJ236" s="11">
        <f>IFERROR(IF(MARÍTIMOS[[#This Row],[Etapa Ingreso - Ingeso]]="","",MARÍTIMOS[[#This Row],[Etapa Ingreso - Ingeso]]),"")</f>
        <v>46217.59652777778</v>
      </c>
      <c r="AK236" s="11">
        <f>IFERROR(IF(MARÍTIMOS[[#This Row],[Etapa Ingreso - Atención]]="","",MARÍTIMOS[[#This Row],[Etapa Ingreso - Atención]]),"")</f>
        <v>46217.604166666664</v>
      </c>
      <c r="AL236" s="11">
        <f>IFERROR(IF(MARÍTIMOS[[#This Row],[Etapa Ingreso - Salida]]="","",MARÍTIMOS[[#This Row],[Etapa Ingreso - Salida]]),"")</f>
        <v>46217.625694444447</v>
      </c>
      <c r="AM236" s="2">
        <f>IFERROR(IF(MARÍTIMOS[[#This Row],[FCL]]="","",MARÍTIMOS[[#This Row],[FCL]]),"")</f>
        <v>1</v>
      </c>
      <c r="AN2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6" s="4" t="str" cm="1">
        <f t="array" ref="AO2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6" s="5">
        <f>IFERROR(OLDBD[[#This Row],[Llegada a packing]]-OLDBD[[#This Row],[Inicio de Ruta]],"")</f>
        <v>0.68402777777373558</v>
      </c>
      <c r="AQ236" s="6">
        <f>IFERROR(OLDBD[[#This Row],[Inicio de Ruta]]-OLDBD[[#This Row],[Salida de almacén de retiro]],"")</f>
        <v>7.6388888890505768E-2</v>
      </c>
      <c r="AR2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36" s="8" t="str" cm="1">
        <f t="array" ref="AS2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6" s="9">
        <f>IFERROR(OLDBD[[#This Row],[Ingreso Packing]]-OLDBD[[#This Row],[Registro en Packing]],"")</f>
        <v>2.0833333328482695E-2</v>
      </c>
      <c r="AV236" s="9">
        <f>IFERROR(OLDBD[[#This Row],[Ingreso Packing]]-OLDBD[[#This Row],[Llegada a packing]],"")</f>
        <v>2.4305555554747116E-2</v>
      </c>
      <c r="AW2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6" s="5">
        <f>IFERROR(OLDBD[[#This Row],[Llegada Almacén de Ingreso]]-OLDBD[[#This Row],[Salida Packing]],"")</f>
        <v>0.73888888888905058</v>
      </c>
      <c r="AY236" s="4" t="str" cm="1">
        <f t="array" ref="AY2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6" s="43" t="s">
        <v>173</v>
      </c>
      <c r="BB236" s="47" t="str">
        <f>IFERROR(IF(MARÍTIMOS[[#This Row],[Estatus]]="","",MARÍTIMOS[[#This Row],[Estatus]]),"")</f>
        <v>Confirmado</v>
      </c>
      <c r="BC236" s="43"/>
      <c r="BD236" s="46">
        <f>IFERROR(OLDBD[[#This Row],[Salida de almacén de retiro]]-OLDBD[[#This Row],[Ingreso Almacén de retiro]],"")</f>
        <v>2.0833333335758653E-2</v>
      </c>
      <c r="BE236" s="46">
        <f>IFERROR(OLDBD[[#This Row],[Fin de Carga]]-OLDBD[[#This Row],[Inicio de Carga]],"")</f>
        <v>1.0416666664241347E-2</v>
      </c>
    </row>
    <row r="237" spans="1:57" customFormat="1" hidden="1">
      <c r="A237" s="1"/>
      <c r="B237" s="1">
        <f>IFERROR(IF(MARÍTIMOS[[#This Row],[PP]]="","",MARÍTIMOS[[#This Row],[PP]]),"")</f>
        <v>28</v>
      </c>
      <c r="C237" s="1" t="str">
        <f>IFERROR(IF(MARÍTIMOS[[#This Row],[Sede]]="","",MARÍTIMOS[[#This Row],[Sede]]),"")</f>
        <v>Chao</v>
      </c>
      <c r="D237" s="1" t="str">
        <f>IFERROR(IF(MARÍTIMOS[[#This Row],[Instruction]]="","",MARÍTIMOS[[#This Row],[Instruction]]),"")</f>
        <v>RH-0164</v>
      </c>
      <c r="E237" s="1"/>
      <c r="F237" s="2" t="str">
        <f>IFERROR(IF(MARÍTIMOS[[#This Row],[Transportista]]="","",MARÍTIMOS[[#This Row],[Transportista]]),"")</f>
        <v>LIP</v>
      </c>
      <c r="G237" s="2" t="str">
        <f>IFERROR(IF(MARÍTIMOS[[#This Row],[Tercero]]="","",MARÍTIMOS[[#This Row],[Tercero]]),"")</f>
        <v>NO</v>
      </c>
      <c r="H237" s="2" t="str">
        <f>IFERROR(IF(MARÍTIMOS[[#This Row],[Razón Social]]="","",MARÍTIMOS[[#This Row],[Razón Social]]),"")</f>
        <v xml:space="preserve">LOGISTICA INTERMODAL DEL PERU S.A.C.
</v>
      </c>
      <c r="I237" s="2">
        <f>IFERROR(IF(MARÍTIMOS[[#This Row],[RUC]]="","",MARÍTIMOS[[#This Row],[RUC]]),"")</f>
        <v>20513040718</v>
      </c>
      <c r="J237" s="2" t="str">
        <f>IFERROR(IF(MARÍTIMOS[[#This Row],[Placa Tracto]]="","",MARÍTIMOS[[#This Row],[Placa Tracto]]),"")</f>
        <v>BFJ-853</v>
      </c>
      <c r="K237" s="2" t="str">
        <f>IFERROR(IF(MARÍTIMOS[[#This Row],[Placa Carreta]]="","",MARÍTIMOS[[#This Row],[Placa Carreta]]),"")</f>
        <v>AZR-979</v>
      </c>
      <c r="L237" s="44" t="str">
        <f>IFERROR(IF(MARÍTIMOS[[#This Row],[Conductor]]="","",MARÍTIMOS[[#This Row],[Conductor]]),"")</f>
        <v>FIESTAS SAAVEDRA AYRTON ALAIN</v>
      </c>
      <c r="M237" s="2" t="str">
        <f>IFERROR(IF(MARÍTIMOS[[#This Row],[Licencia]]="","",MARÍTIMOS[[#This Row],[Licencia]]),"")</f>
        <v>Q46579910</v>
      </c>
      <c r="N237" s="2" t="str">
        <f>IFERROR(IF(MARÍTIMOS[[#This Row],[Número de Contacto]]="","",MARÍTIMOS[[#This Row],[Número de Contacto]]),"")</f>
        <v>972 069 655</v>
      </c>
      <c r="O237" s="10" t="str">
        <f>IFERROR(IF(MARÍTIMOS[[#This Row],[Booking|AWB|CRT]]="","",MARÍTIMOS[[#This Row],[Booking|AWB|CRT]]),"")</f>
        <v>PER9140106A</v>
      </c>
      <c r="P237" s="2" t="str">
        <f>IFERROR(IF(MARÍTIMOS[[#This Row],[Contenedor]]="","",MARÍTIMOS[[#This Row],[Contenedor]]),"")</f>
        <v>CAAU4079023</v>
      </c>
      <c r="Q237" s="2" t="str">
        <f>IFERROR(IF(MARÍTIMOS[[#This Row],[Puerto de Retiro]]="","",MARÍTIMOS[[#This Row],[Puerto de Retiro]]),"")</f>
        <v>PAITA</v>
      </c>
      <c r="R237" s="2" t="str">
        <f>IFERROR(IF(MARÍTIMOS[[#This Row],[Almacén de Retiro]]="","",MARÍTIMOS[[#This Row],[Almacén de Retiro]]),"")</f>
        <v>DPW</v>
      </c>
      <c r="S237" s="11" t="str">
        <f>IFERROR(IF(MARÍTIMOS[[#This Row],[Etapa Retiro - Cita]]="","",MARÍTIMOS[[#This Row],[Etapa Retiro - Cita]]),"")</f>
        <v/>
      </c>
      <c r="T237" s="11">
        <f>IFERROR(IF(MARÍTIMOS[[#This Row],[Etapa Retiro - Llegada]]="","",MARÍTIMOS[[#This Row],[Etapa Retiro - Llegada]]),"")</f>
        <v>46215.564583333333</v>
      </c>
      <c r="U237" s="11">
        <f>IFERROR(IF(MARÍTIMOS[[#This Row],[Etapa Retiro - Ingreso]]="","",MARÍTIMOS[[#This Row],[Etapa Retiro - Ingreso]]),"")</f>
        <v>46215.620138888888</v>
      </c>
      <c r="V237" s="11">
        <f>IFERROR(IF(MARÍTIMOS[[#This Row],[Etapa Retiro - Atención]]="","",MARÍTIMOS[[#This Row],[Etapa Retiro - Atención]]),"")</f>
        <v>46215.638888888891</v>
      </c>
      <c r="W237" s="11">
        <f>IFERROR(IF(MARÍTIMOS[[#This Row],[Etapa Retiro - Atención]]="","",MARÍTIMOS[[#This Row],[Etapa Retiro - Atención]]),"")</f>
        <v>46215.638888888891</v>
      </c>
      <c r="X237" s="11">
        <f>IFERROR(IF(MARÍTIMOS[[#This Row],[Etapa Retiro - Inicio de Ruta]]="","",MARÍTIMOS[[#This Row],[Etapa Retiro - Inicio de Ruta]]),"")</f>
        <v>46215.708333333336</v>
      </c>
      <c r="Y237" s="11">
        <f>IFERROR(IF(MARÍTIMOS[[#This Row],[Hora de Posicionamiento]]="","",MARÍTIMOS[[#This Row],[Fecha de Carga]]+MARÍTIMOS[[#This Row],[Hora de Posicionamiento]]),"")</f>
        <v>46216.333333333336</v>
      </c>
      <c r="Z237" s="11">
        <f>IFERROR(IF(MARÍTIMOS[[#This Row],[Etapa Despacho - Llegada]]="","",MARÍTIMOS[[#This Row],[Etapa Despacho - Llegada]]),"")</f>
        <v>46216.561111111114</v>
      </c>
      <c r="AA237" s="11">
        <f>IFERROR(IF(MARÍTIMOS[[#This Row],[Etapa Despacho - Registro]]="","",MARÍTIMOS[[#This Row],[Etapa Despacho - Registro]]),"")</f>
        <v>46216.565972222219</v>
      </c>
      <c r="AB237" s="11">
        <f>IFERROR(IF(MARÍTIMOS[[#This Row],[Inspección Externa]]="","",MARÍTIMOS[[#This Row],[Inspección Externa]]),"")</f>
        <v>46216.583333333336</v>
      </c>
      <c r="AC237" s="11">
        <f>IFERROR(IF(MARÍTIMOS[[#This Row],[Etapa Despacho - Inicio de Carga]]="","",MARÍTIMOS[[#This Row],[Etapa Despacho - Inicio de Carga]]),"")</f>
        <v>46216.625</v>
      </c>
      <c r="AD237" s="11">
        <f>IFERROR(IF(MARÍTIMOS[[#This Row],[Etapa Despacho - Mitad de Carga]]="","",MARÍTIMOS[[#This Row],[Etapa Despacho - Mitad de Carga]]),"")</f>
        <v>46216.635416666664</v>
      </c>
      <c r="AE237" s="11">
        <f>IFERROR(IF(MARÍTIMOS[[#This Row],[Etapa Despacho - Fin de Carga]]="","",MARÍTIMOS[[#This Row],[Etapa Despacho - Fin de Carga]]),"")</f>
        <v>46216.864583333336</v>
      </c>
      <c r="AF237" s="2" t="str">
        <f>IFERROR(IF(MARÍTIMOS[[#This Row],[Puerto de Embarque]]="","",MARÍTIMOS[[#This Row],[Puerto de Embarque]]),"")</f>
        <v>Paita</v>
      </c>
      <c r="AG237" s="2" t="str">
        <f>IFERROR(IF(MARÍTIMOS[[#This Row],[Almacén de Ingreso]]="","",MARÍTIMOS[[#This Row],[Almacén de Ingreso]]),"")</f>
        <v>TPE</v>
      </c>
      <c r="AH237" s="11">
        <f>IFERROR(IF(MARÍTIMOS[[#This Row],[Etapa Ingreso - Cita]]="","",MARÍTIMOS[[#This Row],[Etapa Ingreso - Cita]]),"")</f>
        <v>46217.541666666664</v>
      </c>
      <c r="AI237" s="11">
        <f>IFERROR(IF(MARÍTIMOS[[#This Row],[Etapa Ingreso - Llegada]]="","",MARÍTIMOS[[#This Row],[Etapa Ingreso - Llegada]]),"")</f>
        <v>46217.581944444442</v>
      </c>
      <c r="AJ237" s="11">
        <f>IFERROR(IF(MARÍTIMOS[[#This Row],[Etapa Ingreso - Ingeso]]="","",MARÍTIMOS[[#This Row],[Etapa Ingreso - Ingeso]]),"")</f>
        <v>46217.584027777775</v>
      </c>
      <c r="AK237" s="11">
        <f>IFERROR(IF(MARÍTIMOS[[#This Row],[Etapa Ingreso - Atención]]="","",MARÍTIMOS[[#This Row],[Etapa Ingreso - Atención]]),"")</f>
        <v>46217.590277777781</v>
      </c>
      <c r="AL237" s="11">
        <f>IFERROR(IF(MARÍTIMOS[[#This Row],[Etapa Ingreso - Salida]]="","",MARÍTIMOS[[#This Row],[Etapa Ingreso - Salida]]),"")</f>
        <v>46217.597916666666</v>
      </c>
      <c r="AM237" s="2">
        <f>IFERROR(IF(MARÍTIMOS[[#This Row],[FCL]]="","",MARÍTIMOS[[#This Row],[FCL]]),"")</f>
        <v>1</v>
      </c>
      <c r="AN2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237" s="4" t="str" cm="1">
        <f t="array" ref="AO2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7" s="5">
        <f>IFERROR(OLDBD[[#This Row],[Llegada a packing]]-OLDBD[[#This Row],[Inicio de Ruta]],"")</f>
        <v>0.85277777777810115</v>
      </c>
      <c r="AQ237" s="6">
        <f>IFERROR(OLDBD[[#This Row],[Inicio de Ruta]]-OLDBD[[#This Row],[Salida de almacén de retiro]],"")</f>
        <v>6.9444444445252884E-2</v>
      </c>
      <c r="AR2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37" s="8" t="str" cm="1">
        <f t="array" ref="AS2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7" s="9">
        <f>IFERROR(OLDBD[[#This Row],[Ingreso Packing]]-OLDBD[[#This Row],[Registro en Packing]],"")</f>
        <v>1.7361111116770189E-2</v>
      </c>
      <c r="AV237" s="9">
        <f>IFERROR(OLDBD[[#This Row],[Ingreso Packing]]-OLDBD[[#This Row],[Llegada a packing]],"")</f>
        <v>2.2222222221898846E-2</v>
      </c>
      <c r="AW2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7" s="5">
        <f>IFERROR(OLDBD[[#This Row],[Llegada Almacén de Ingreso]]-OLDBD[[#This Row],[Salida Packing]],"")</f>
        <v>0.71736111110658385</v>
      </c>
      <c r="AY237" s="4" t="str" cm="1">
        <f t="array" ref="AY2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7" s="43" t="s">
        <v>173</v>
      </c>
      <c r="BB237" s="47" t="str">
        <f>IFERROR(IF(MARÍTIMOS[[#This Row],[Estatus]]="","",MARÍTIMOS[[#This Row],[Estatus]]),"")</f>
        <v>Confirmado</v>
      </c>
      <c r="BC237" s="43"/>
      <c r="BD237" s="46">
        <f>IFERROR(OLDBD[[#This Row],[Salida de almacén de retiro]]-OLDBD[[#This Row],[Ingreso Almacén de retiro]],"")</f>
        <v>1.8750000002910383E-2</v>
      </c>
      <c r="BE237" s="46">
        <f>IFERROR(OLDBD[[#This Row],[Fin de Carga]]-OLDBD[[#This Row],[Inicio de Carga]],"")</f>
        <v>1.0416666664241347E-2</v>
      </c>
    </row>
    <row r="238" spans="1:57" customFormat="1" hidden="1">
      <c r="A238" s="1"/>
      <c r="B238" s="1">
        <f>IFERROR(IF(MARÍTIMOS[[#This Row],[PP]]="","",MARÍTIMOS[[#This Row],[PP]]),"")</f>
        <v>28</v>
      </c>
      <c r="C238" s="1" t="str">
        <f>IFERROR(IF(MARÍTIMOS[[#This Row],[Sede]]="","",MARÍTIMOS[[#This Row],[Sede]]),"")</f>
        <v>Chao</v>
      </c>
      <c r="D238" s="1" t="str">
        <f>IFERROR(IF(MARÍTIMOS[[#This Row],[Instruction]]="","",MARÍTIMOS[[#This Row],[Instruction]]),"")</f>
        <v>RH-0159</v>
      </c>
      <c r="E238" s="1"/>
      <c r="F238" s="2" t="str">
        <f>IFERROR(IF(MARÍTIMOS[[#This Row],[Transportista]]="","",MARÍTIMOS[[#This Row],[Transportista]]),"")</f>
        <v>LIP</v>
      </c>
      <c r="G238" s="2" t="str">
        <f>IFERROR(IF(MARÍTIMOS[[#This Row],[Tercero]]="","",MARÍTIMOS[[#This Row],[Tercero]]),"")</f>
        <v>NO</v>
      </c>
      <c r="H238" s="2" t="str">
        <f>IFERROR(IF(MARÍTIMOS[[#This Row],[Razón Social]]="","",MARÍTIMOS[[#This Row],[Razón Social]]),"")</f>
        <v xml:space="preserve">LOGISTICA INTERMODAL DEL PERU S.A.C.
</v>
      </c>
      <c r="I238" s="2">
        <f>IFERROR(IF(MARÍTIMOS[[#This Row],[RUC]]="","",MARÍTIMOS[[#This Row],[RUC]]),"")</f>
        <v>20513040718</v>
      </c>
      <c r="J238" s="2" t="str">
        <f>IFERROR(IF(MARÍTIMOS[[#This Row],[Placa Tracto]]="","",MARÍTIMOS[[#This Row],[Placa Tracto]]),"")</f>
        <v>BBG-864</v>
      </c>
      <c r="K238" s="2" t="str">
        <f>IFERROR(IF(MARÍTIMOS[[#This Row],[Placa Carreta]]="","",MARÍTIMOS[[#This Row],[Placa Carreta]]),"")</f>
        <v>AMZ-980</v>
      </c>
      <c r="L238" s="44" t="str">
        <f>IFERROR(IF(MARÍTIMOS[[#This Row],[Conductor]]="","",MARÍTIMOS[[#This Row],[Conductor]]),"")</f>
        <v>DIOSES MIRANDA WILLIAM ARTURO</v>
      </c>
      <c r="M238" s="2" t="str">
        <f>IFERROR(IF(MARÍTIMOS[[#This Row],[Licencia]]="","",MARÍTIMOS[[#This Row],[Licencia]]),"")</f>
        <v>B03508313</v>
      </c>
      <c r="N238" s="2" t="str">
        <f>IFERROR(IF(MARÍTIMOS[[#This Row],[Número de Contacto]]="","",MARÍTIMOS[[#This Row],[Número de Contacto]]),"")</f>
        <v>955 015 437</v>
      </c>
      <c r="O238" s="10" t="str">
        <f>IFERROR(IF(MARÍTIMOS[[#This Row],[Booking|AWB|CRT]]="","",MARÍTIMOS[[#This Row],[Booking|AWB|CRT]]),"")</f>
        <v>PER9139502A</v>
      </c>
      <c r="P238" s="2" t="str">
        <f>IFERROR(IF(MARÍTIMOS[[#This Row],[Contenedor]]="","",MARÍTIMOS[[#This Row],[Contenedor]]),"")</f>
        <v>GCXU8016686</v>
      </c>
      <c r="Q238" s="2" t="str">
        <f>IFERROR(IF(MARÍTIMOS[[#This Row],[Puerto de Retiro]]="","",MARÍTIMOS[[#This Row],[Puerto de Retiro]]),"")</f>
        <v>PAITA</v>
      </c>
      <c r="R238" s="2" t="str">
        <f>IFERROR(IF(MARÍTIMOS[[#This Row],[Almacén de Retiro]]="","",MARÍTIMOS[[#This Row],[Almacén de Retiro]]),"")</f>
        <v>DPW</v>
      </c>
      <c r="S238" s="11">
        <f>IFERROR(IF(MARÍTIMOS[[#This Row],[Etapa Retiro - Cita]]="","",MARÍTIMOS[[#This Row],[Etapa Retiro - Cita]]),"")</f>
        <v>46215.5</v>
      </c>
      <c r="T238" s="11">
        <f>IFERROR(IF(MARÍTIMOS[[#This Row],[Etapa Retiro - Llegada]]="","",MARÍTIMOS[[#This Row],[Etapa Retiro - Llegada]]),"")</f>
        <v>46215.518750000003</v>
      </c>
      <c r="U238" s="11">
        <f>IFERROR(IF(MARÍTIMOS[[#This Row],[Etapa Retiro - Ingreso]]="","",MARÍTIMOS[[#This Row],[Etapa Retiro - Ingreso]]),"")</f>
        <v>46215.525000000001</v>
      </c>
      <c r="V238" s="11">
        <f>IFERROR(IF(MARÍTIMOS[[#This Row],[Etapa Retiro - Atención]]="","",MARÍTIMOS[[#This Row],[Etapa Retiro - Atención]]),"")</f>
        <v>46215.541666666664</v>
      </c>
      <c r="W238" s="11">
        <f>IFERROR(IF(MARÍTIMOS[[#This Row],[Etapa Retiro - Atención]]="","",MARÍTIMOS[[#This Row],[Etapa Retiro - Atención]]),"")</f>
        <v>46215.541666666664</v>
      </c>
      <c r="X238" s="11">
        <f>IFERROR(IF(MARÍTIMOS[[#This Row],[Etapa Retiro - Inicio de Ruta]]="","",MARÍTIMOS[[#This Row],[Etapa Retiro - Inicio de Ruta]]),"")</f>
        <v>46215.625</v>
      </c>
      <c r="Y238" s="11">
        <f>IFERROR(IF(MARÍTIMOS[[#This Row],[Hora de Posicionamiento]]="","",MARÍTIMOS[[#This Row],[Fecha de Carga]]+MARÍTIMOS[[#This Row],[Hora de Posicionamiento]]),"")</f>
        <v>46216.333333333336</v>
      </c>
      <c r="Z238" s="11">
        <f>IFERROR(IF(MARÍTIMOS[[#This Row],[Etapa Despacho - Llegada]]="","",MARÍTIMOS[[#This Row],[Etapa Despacho - Llegada]]),"")</f>
        <v>46216.440972222219</v>
      </c>
      <c r="AA238" s="11">
        <f>IFERROR(IF(MARÍTIMOS[[#This Row],[Etapa Despacho - Registro]]="","",MARÍTIMOS[[#This Row],[Etapa Despacho - Registro]]),"")</f>
        <v>46216.444444444445</v>
      </c>
      <c r="AB238" s="11">
        <f>IFERROR(IF(MARÍTIMOS[[#This Row],[Inspección Externa]]="","",MARÍTIMOS[[#This Row],[Inspección Externa]]),"")</f>
        <v>46216.458333333336</v>
      </c>
      <c r="AC238" s="11">
        <f>IFERROR(IF(MARÍTIMOS[[#This Row],[Etapa Despacho - Inicio de Carga]]="","",MARÍTIMOS[[#This Row],[Etapa Despacho - Inicio de Carga]]),"")</f>
        <v>46216.5</v>
      </c>
      <c r="AD238" s="11">
        <f>IFERROR(IF(MARÍTIMOS[[#This Row],[Etapa Despacho - Mitad de Carga]]="","",MARÍTIMOS[[#This Row],[Etapa Despacho - Mitad de Carga]]),"")</f>
        <v>46216.510416666664</v>
      </c>
      <c r="AE238" s="11">
        <f>IFERROR(IF(MARÍTIMOS[[#This Row],[Etapa Despacho - Fin de Carga]]="","",MARÍTIMOS[[#This Row],[Etapa Despacho - Fin de Carga]]),"")</f>
        <v>46216.854166666664</v>
      </c>
      <c r="AF238" s="2" t="str">
        <f>IFERROR(IF(MARÍTIMOS[[#This Row],[Puerto de Embarque]]="","",MARÍTIMOS[[#This Row],[Puerto de Embarque]]),"")</f>
        <v>Paita</v>
      </c>
      <c r="AG238" s="2" t="str">
        <f>IFERROR(IF(MARÍTIMOS[[#This Row],[Almacén de Ingreso]]="","",MARÍTIMOS[[#This Row],[Almacén de Ingreso]]),"")</f>
        <v>TPE</v>
      </c>
      <c r="AH238" s="11">
        <f>IFERROR(IF(MARÍTIMOS[[#This Row],[Etapa Ingreso - Cita]]="","",MARÍTIMOS[[#This Row],[Etapa Ingreso - Cita]]),"")</f>
        <v>46217.583333333336</v>
      </c>
      <c r="AI238" s="11">
        <f>IFERROR(IF(MARÍTIMOS[[#This Row],[Etapa Ingreso - Llegada]]="","",MARÍTIMOS[[#This Row],[Etapa Ingreso - Llegada]]),"")</f>
        <v>46217.618055555555</v>
      </c>
      <c r="AJ238" s="11">
        <f>IFERROR(IF(MARÍTIMOS[[#This Row],[Etapa Ingreso - Ingeso]]="","",MARÍTIMOS[[#This Row],[Etapa Ingreso - Ingeso]]),"")</f>
        <v>46217.623611111114</v>
      </c>
      <c r="AK238" s="11">
        <f>IFERROR(IF(MARÍTIMOS[[#This Row],[Etapa Ingreso - Atención]]="","",MARÍTIMOS[[#This Row],[Etapa Ingreso - Atención]]),"")</f>
        <v>46217.628472222219</v>
      </c>
      <c r="AL238" s="11">
        <f>IFERROR(IF(MARÍTIMOS[[#This Row],[Etapa Ingreso - Salida]]="","",MARÍTIMOS[[#This Row],[Etapa Ingreso - Salida]]),"")</f>
        <v>46217.65</v>
      </c>
      <c r="AM238" s="2">
        <f>IFERROR(IF(MARÍTIMOS[[#This Row],[FCL]]="","",MARÍTIMOS[[#This Row],[FCL]]),"")</f>
        <v>1</v>
      </c>
      <c r="AN2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8" s="4" t="str" cm="1">
        <f t="array" ref="AO2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8" s="5">
        <f>IFERROR(OLDBD[[#This Row],[Llegada a packing]]-OLDBD[[#This Row],[Inicio de Ruta]],"")</f>
        <v>0.81597222221898846</v>
      </c>
      <c r="AQ238" s="6">
        <f>IFERROR(OLDBD[[#This Row],[Inicio de Ruta]]-OLDBD[[#This Row],[Salida de almacén de retiro]],"")</f>
        <v>8.3333333335758653E-2</v>
      </c>
      <c r="AR2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38" s="8" t="str" cm="1">
        <f t="array" ref="AS2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8" s="9">
        <f>IFERROR(OLDBD[[#This Row],[Ingreso Packing]]-OLDBD[[#This Row],[Registro en Packing]],"")</f>
        <v>1.3888888890505768E-2</v>
      </c>
      <c r="AV238" s="9">
        <f>IFERROR(OLDBD[[#This Row],[Ingreso Packing]]-OLDBD[[#This Row],[Llegada a packing]],"")</f>
        <v>1.7361111116770189E-2</v>
      </c>
      <c r="AW2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8" s="5">
        <f>IFERROR(OLDBD[[#This Row],[Llegada Almacén de Ingreso]]-OLDBD[[#This Row],[Salida Packing]],"")</f>
        <v>0.76388888889050577</v>
      </c>
      <c r="AY238" s="4" t="str" cm="1">
        <f t="array" ref="AY2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8" s="43" t="s">
        <v>173</v>
      </c>
      <c r="BB238" s="47" t="str">
        <f>IFERROR(IF(MARÍTIMOS[[#This Row],[Estatus]]="","",MARÍTIMOS[[#This Row],[Estatus]]),"")</f>
        <v>Confirmado</v>
      </c>
      <c r="BC238" s="43"/>
      <c r="BD238" s="46">
        <f>IFERROR(OLDBD[[#This Row],[Salida de almacén de retiro]]-OLDBD[[#This Row],[Ingreso Almacén de retiro]],"")</f>
        <v>1.6666666662786156E-2</v>
      </c>
      <c r="BE238" s="46">
        <f>IFERROR(OLDBD[[#This Row],[Fin de Carga]]-OLDBD[[#This Row],[Inicio de Carga]],"")</f>
        <v>1.0416666664241347E-2</v>
      </c>
    </row>
    <row r="239" spans="1:57" customFormat="1" hidden="1">
      <c r="A239" s="1"/>
      <c r="B239" s="1">
        <f>IFERROR(IF(MARÍTIMOS[[#This Row],[PP]]="","",MARÍTIMOS[[#This Row],[PP]]),"")</f>
        <v>28</v>
      </c>
      <c r="C239" s="1" t="str">
        <f>IFERROR(IF(MARÍTIMOS[[#This Row],[Sede]]="","",MARÍTIMOS[[#This Row],[Sede]]),"")</f>
        <v>Chao</v>
      </c>
      <c r="D239" s="1" t="str">
        <f>IFERROR(IF(MARÍTIMOS[[#This Row],[Instruction]]="","",MARÍTIMOS[[#This Row],[Instruction]]),"")</f>
        <v>RH-0174</v>
      </c>
      <c r="E239" s="1"/>
      <c r="F239" s="2" t="str">
        <f>IFERROR(IF(MARÍTIMOS[[#This Row],[Transportista]]="","",MARÍTIMOS[[#This Row],[Transportista]]),"")</f>
        <v>LIP</v>
      </c>
      <c r="G239" s="2" t="str">
        <f>IFERROR(IF(MARÍTIMOS[[#This Row],[Tercero]]="","",MARÍTIMOS[[#This Row],[Tercero]]),"")</f>
        <v>NO</v>
      </c>
      <c r="H239" s="2" t="str">
        <f>IFERROR(IF(MARÍTIMOS[[#This Row],[Razón Social]]="","",MARÍTIMOS[[#This Row],[Razón Social]]),"")</f>
        <v xml:space="preserve">LOGISTICA INTERMODAL DEL PERU S.A.C.
</v>
      </c>
      <c r="I239" s="2">
        <f>IFERROR(IF(MARÍTIMOS[[#This Row],[RUC]]="","",MARÍTIMOS[[#This Row],[RUC]]),"")</f>
        <v>20513040718</v>
      </c>
      <c r="J239" s="2" t="str">
        <f>IFERROR(IF(MARÍTIMOS[[#This Row],[Placa Tracto]]="","",MARÍTIMOS[[#This Row],[Placa Tracto]]),"")</f>
        <v>ASO-792</v>
      </c>
      <c r="K239" s="2" t="str">
        <f>IFERROR(IF(MARÍTIMOS[[#This Row],[Placa Carreta]]="","",MARÍTIMOS[[#This Row],[Placa Carreta]]),"")</f>
        <v>AKA-993</v>
      </c>
      <c r="L239" s="44" t="str">
        <f>IFERROR(IF(MARÍTIMOS[[#This Row],[Conductor]]="","",MARÍTIMOS[[#This Row],[Conductor]]),"")</f>
        <v>MEDINA OLAYA JOSE LUIS</v>
      </c>
      <c r="M239" s="2" t="str">
        <f>IFERROR(IF(MARÍTIMOS[[#This Row],[Licencia]]="","",MARÍTIMOS[[#This Row],[Licencia]]),"")</f>
        <v>B44001820</v>
      </c>
      <c r="N239" s="2" t="str">
        <f>IFERROR(IF(MARÍTIMOS[[#This Row],[Número de Contacto]]="","",MARÍTIMOS[[#This Row],[Número de Contacto]]),"")</f>
        <v>973 069 655</v>
      </c>
      <c r="O239" s="10" t="str">
        <f>IFERROR(IF(MARÍTIMOS[[#This Row],[Booking|AWB|CRT]]="","",MARÍTIMOS[[#This Row],[Booking|AWB|CRT]]),"")</f>
        <v>PER9144543A</v>
      </c>
      <c r="P239" s="2" t="str">
        <f>IFERROR(IF(MARÍTIMOS[[#This Row],[Contenedor]]="","",MARÍTIMOS[[#This Row],[Contenedor]]),"")</f>
        <v>CAAU4167628</v>
      </c>
      <c r="Q239" s="2" t="str">
        <f>IFERROR(IF(MARÍTIMOS[[#This Row],[Puerto de Retiro]]="","",MARÍTIMOS[[#This Row],[Puerto de Retiro]]),"")</f>
        <v>PAITA</v>
      </c>
      <c r="R239" s="2" t="str">
        <f>IFERROR(IF(MARÍTIMOS[[#This Row],[Almacén de Retiro]]="","",MARÍTIMOS[[#This Row],[Almacén de Retiro]]),"")</f>
        <v>DPW</v>
      </c>
      <c r="S239" s="11">
        <f>IFERROR(IF(MARÍTIMOS[[#This Row],[Etapa Retiro - Cita]]="","",MARÍTIMOS[[#This Row],[Etapa Retiro - Cita]]),"")</f>
        <v>46215.583333333336</v>
      </c>
      <c r="T239" s="11">
        <f>IFERROR(IF(MARÍTIMOS[[#This Row],[Etapa Retiro - Llegada]]="","",MARÍTIMOS[[#This Row],[Etapa Retiro - Llegada]]),"")</f>
        <v>46215.607638888891</v>
      </c>
      <c r="U239" s="11">
        <f>IFERROR(IF(MARÍTIMOS[[#This Row],[Etapa Retiro - Ingreso]]="","",MARÍTIMOS[[#This Row],[Etapa Retiro - Ingreso]]),"")</f>
        <v>46215.616666666669</v>
      </c>
      <c r="V239" s="11">
        <f>IFERROR(IF(MARÍTIMOS[[#This Row],[Etapa Retiro - Atención]]="","",MARÍTIMOS[[#This Row],[Etapa Retiro - Atención]]),"")</f>
        <v>46215.635416666664</v>
      </c>
      <c r="W239" s="11">
        <f>IFERROR(IF(MARÍTIMOS[[#This Row],[Etapa Retiro - Atención]]="","",MARÍTIMOS[[#This Row],[Etapa Retiro - Atención]]),"")</f>
        <v>46215.635416666664</v>
      </c>
      <c r="X239" s="11">
        <f>IFERROR(IF(MARÍTIMOS[[#This Row],[Etapa Retiro - Inicio de Ruta]]="","",MARÍTIMOS[[#This Row],[Etapa Retiro - Inicio de Ruta]]),"")</f>
        <v>46215.697916666664</v>
      </c>
      <c r="Y239" s="11">
        <f>IFERROR(IF(MARÍTIMOS[[#This Row],[Hora de Posicionamiento]]="","",MARÍTIMOS[[#This Row],[Fecha de Carga]]+MARÍTIMOS[[#This Row],[Hora de Posicionamiento]]),"")</f>
        <v>46216.333333333336</v>
      </c>
      <c r="Z239" s="11">
        <f>IFERROR(IF(MARÍTIMOS[[#This Row],[Etapa Despacho - Llegada]]="","",MARÍTIMOS[[#This Row],[Etapa Despacho - Llegada]]),"")</f>
        <v>46216.4375</v>
      </c>
      <c r="AA239" s="11">
        <f>IFERROR(IF(MARÍTIMOS[[#This Row],[Etapa Despacho - Registro]]="","",MARÍTIMOS[[#This Row],[Etapa Despacho - Registro]]),"")</f>
        <v>46216.444444444445</v>
      </c>
      <c r="AB239" s="11">
        <f>IFERROR(IF(MARÍTIMOS[[#This Row],[Inspección Externa]]="","",MARÍTIMOS[[#This Row],[Inspección Externa]]),"")</f>
        <v>46216.413888888892</v>
      </c>
      <c r="AC239" s="11">
        <f>IFERROR(IF(MARÍTIMOS[[#This Row],[Etapa Despacho - Inicio de Carga]]="","",MARÍTIMOS[[#This Row],[Etapa Despacho - Inicio de Carga]]),"")</f>
        <v>46216.458333333336</v>
      </c>
      <c r="AD239" s="11">
        <f>IFERROR(IF(MARÍTIMOS[[#This Row],[Etapa Despacho - Mitad de Carga]]="","",MARÍTIMOS[[#This Row],[Etapa Despacho - Mitad de Carga]]),"")</f>
        <v>46216.46875</v>
      </c>
      <c r="AE239" s="11">
        <f>IFERROR(IF(MARÍTIMOS[[#This Row],[Etapa Despacho - Fin de Carga]]="","",MARÍTIMOS[[#This Row],[Etapa Despacho - Fin de Carga]]),"")</f>
        <v>46216.875</v>
      </c>
      <c r="AF239" s="2" t="str">
        <f>IFERROR(IF(MARÍTIMOS[[#This Row],[Puerto de Embarque]]="","",MARÍTIMOS[[#This Row],[Puerto de Embarque]]),"")</f>
        <v>Paita</v>
      </c>
      <c r="AG239" s="2" t="str">
        <f>IFERROR(IF(MARÍTIMOS[[#This Row],[Almacén de Ingreso]]="","",MARÍTIMOS[[#This Row],[Almacén de Ingreso]]),"")</f>
        <v>TPE</v>
      </c>
      <c r="AH239" s="11">
        <f>IFERROR(IF(MARÍTIMOS[[#This Row],[Etapa Ingreso - Cita]]="","",MARÍTIMOS[[#This Row],[Etapa Ingreso - Cita]]),"")</f>
        <v>46217.708333333336</v>
      </c>
      <c r="AI239" s="11">
        <f>IFERROR(IF(MARÍTIMOS[[#This Row],[Etapa Ingreso - Llegada]]="","",MARÍTIMOS[[#This Row],[Etapa Ingreso - Llegada]]),"")</f>
        <v>46217.73333333333</v>
      </c>
      <c r="AJ239" s="11">
        <f>IFERROR(IF(MARÍTIMOS[[#This Row],[Etapa Ingreso - Ingeso]]="","",MARÍTIMOS[[#This Row],[Etapa Ingreso - Ingeso]]),"")</f>
        <v>46217.736111111109</v>
      </c>
      <c r="AK239" s="11">
        <f>IFERROR(IF(MARÍTIMOS[[#This Row],[Etapa Ingreso - Atención]]="","",MARÍTIMOS[[#This Row],[Etapa Ingreso - Atención]]),"")</f>
        <v>46217.743055555555</v>
      </c>
      <c r="AL239" s="11">
        <f>IFERROR(IF(MARÍTIMOS[[#This Row],[Etapa Ingreso - Salida]]="","",MARÍTIMOS[[#This Row],[Etapa Ingreso - Salida]]),"")</f>
        <v>46217.75</v>
      </c>
      <c r="AM239" s="2">
        <f>IFERROR(IF(MARÍTIMOS[[#This Row],[FCL]]="","",MARÍTIMOS[[#This Row],[FCL]]),"")</f>
        <v>1</v>
      </c>
      <c r="AN2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39" s="4" t="str" cm="1">
        <f t="array" ref="AO2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39" s="5">
        <f>IFERROR(OLDBD[[#This Row],[Llegada a packing]]-OLDBD[[#This Row],[Inicio de Ruta]],"")</f>
        <v>0.73958333333575865</v>
      </c>
      <c r="AQ239" s="6">
        <f>IFERROR(OLDBD[[#This Row],[Inicio de Ruta]]-OLDBD[[#This Row],[Salida de almacén de retiro]],"")</f>
        <v>6.25E-2</v>
      </c>
      <c r="AR2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39" s="8" t="str" cm="1">
        <f t="array" ref="AS2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39" s="9">
        <f>IFERROR(OLDBD[[#This Row],[Ingreso Packing]]-OLDBD[[#This Row],[Registro en Packing]],"")</f>
        <v>-3.0555555553291924E-2</v>
      </c>
      <c r="AV239" s="9">
        <f>IFERROR(OLDBD[[#This Row],[Ingreso Packing]]-OLDBD[[#This Row],[Llegada a packing]],"")</f>
        <v>-2.361111110803904E-2</v>
      </c>
      <c r="AW2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39" s="5">
        <f>IFERROR(OLDBD[[#This Row],[Llegada Almacén de Ingreso]]-OLDBD[[#This Row],[Salida Packing]],"")</f>
        <v>0.85833333332993789</v>
      </c>
      <c r="AY239" s="4" t="str" cm="1">
        <f t="array" ref="AY2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39" s="43" t="s">
        <v>173</v>
      </c>
      <c r="BB239" s="47" t="str">
        <f>IFERROR(IF(MARÍTIMOS[[#This Row],[Estatus]]="","",MARÍTIMOS[[#This Row],[Estatus]]),"")</f>
        <v>Confirmado</v>
      </c>
      <c r="BC239" s="43"/>
      <c r="BD239" s="46">
        <f>IFERROR(OLDBD[[#This Row],[Salida de almacén de retiro]]-OLDBD[[#This Row],[Ingreso Almacén de retiro]],"")</f>
        <v>1.8749999995634425E-2</v>
      </c>
      <c r="BE239" s="46">
        <f>IFERROR(OLDBD[[#This Row],[Fin de Carga]]-OLDBD[[#This Row],[Inicio de Carga]],"")</f>
        <v>1.0416666664241347E-2</v>
      </c>
    </row>
    <row r="240" spans="1:57" customFormat="1" hidden="1">
      <c r="A240" s="1"/>
      <c r="B240" s="1">
        <f>IFERROR(IF(MARÍTIMOS[[#This Row],[PP]]="","",MARÍTIMOS[[#This Row],[PP]]),"")</f>
        <v>28</v>
      </c>
      <c r="C240" s="1" t="str">
        <f>IFERROR(IF(MARÍTIMOS[[#This Row],[Sede]]="","",MARÍTIMOS[[#This Row],[Sede]]),"")</f>
        <v>Chao</v>
      </c>
      <c r="D240" s="1" t="str">
        <f>IFERROR(IF(MARÍTIMOS[[#This Row],[Instruction]]="","",MARÍTIMOS[[#This Row],[Instruction]]),"")</f>
        <v>RH-0157</v>
      </c>
      <c r="E240" s="1"/>
      <c r="F240" s="2" t="str">
        <f>IFERROR(IF(MARÍTIMOS[[#This Row],[Transportista]]="","",MARÍTIMOS[[#This Row],[Transportista]]),"")</f>
        <v>LIP</v>
      </c>
      <c r="G240" s="2" t="str">
        <f>IFERROR(IF(MARÍTIMOS[[#This Row],[Tercero]]="","",MARÍTIMOS[[#This Row],[Tercero]]),"")</f>
        <v>SI</v>
      </c>
      <c r="H240" s="2" t="str">
        <f>IFERROR(IF(MARÍTIMOS[[#This Row],[Razón Social]]="","",MARÍTIMOS[[#This Row],[Razón Social]]),"")</f>
        <v>TRANSCAR MATHEO SOCIEDAD ANONIMA CERRADA</v>
      </c>
      <c r="I240" s="2">
        <f>IFERROR(IF(MARÍTIMOS[[#This Row],[RUC]]="","",MARÍTIMOS[[#This Row],[RUC]]),"")</f>
        <v>20612886921</v>
      </c>
      <c r="J240" s="2" t="str">
        <f>IFERROR(IF(MARÍTIMOS[[#This Row],[Placa Tracto]]="","",MARÍTIMOS[[#This Row],[Placa Tracto]]),"")</f>
        <v>T9I-827</v>
      </c>
      <c r="K240" s="2" t="str">
        <f>IFERROR(IF(MARÍTIMOS[[#This Row],[Placa Carreta]]="","",MARÍTIMOS[[#This Row],[Placa Carreta]]),"")</f>
        <v>TOU-976</v>
      </c>
      <c r="L240" s="44" t="str">
        <f>IFERROR(IF(MARÍTIMOS[[#This Row],[Conductor]]="","",MARÍTIMOS[[#This Row],[Conductor]]),"")</f>
        <v>CRUZ ATO CARLOS DAVID</v>
      </c>
      <c r="M240" s="2" t="str">
        <f>IFERROR(IF(MARÍTIMOS[[#This Row],[Licencia]]="","",MARÍTIMOS[[#This Row],[Licencia]]),"")</f>
        <v>B03681030</v>
      </c>
      <c r="N240" s="2" t="str">
        <f>IFERROR(IF(MARÍTIMOS[[#This Row],[Número de Contacto]]="","",MARÍTIMOS[[#This Row],[Número de Contacto]]),"")</f>
        <v>956 015 437</v>
      </c>
      <c r="O240" s="10" t="str">
        <f>IFERROR(IF(MARÍTIMOS[[#This Row],[Booking|AWB|CRT]]="","",MARÍTIMOS[[#This Row],[Booking|AWB|CRT]]),"")</f>
        <v>PER9139505A</v>
      </c>
      <c r="P240" s="2" t="str">
        <f>IFERROR(IF(MARÍTIMOS[[#This Row],[Contenedor]]="","",MARÍTIMOS[[#This Row],[Contenedor]]),"")</f>
        <v>GCXU8024911</v>
      </c>
      <c r="Q240" s="2" t="str">
        <f>IFERROR(IF(MARÍTIMOS[[#This Row],[Puerto de Retiro]]="","",MARÍTIMOS[[#This Row],[Puerto de Retiro]]),"")</f>
        <v>PAITA</v>
      </c>
      <c r="R240" s="2" t="str">
        <f>IFERROR(IF(MARÍTIMOS[[#This Row],[Almacén de Retiro]]="","",MARÍTIMOS[[#This Row],[Almacén de Retiro]]),"")</f>
        <v>DPW</v>
      </c>
      <c r="S240" s="11">
        <f>IFERROR(IF(MARÍTIMOS[[#This Row],[Etapa Retiro - Cita]]="","",MARÍTIMOS[[#This Row],[Etapa Retiro - Cita]]),"")</f>
        <v>46216.458333333336</v>
      </c>
      <c r="T240" s="11">
        <f>IFERROR(IF(MARÍTIMOS[[#This Row],[Etapa Retiro - Llegada]]="","",MARÍTIMOS[[#This Row],[Etapa Retiro - Llegada]]),"")</f>
        <v>46216.470138888886</v>
      </c>
      <c r="U240" s="11">
        <f>IFERROR(IF(MARÍTIMOS[[#This Row],[Etapa Retiro - Ingreso]]="","",MARÍTIMOS[[#This Row],[Etapa Retiro - Ingreso]]),"")</f>
        <v>46216.473611111112</v>
      </c>
      <c r="V240" s="11">
        <f>IFERROR(IF(MARÍTIMOS[[#This Row],[Etapa Retiro - Atención]]="","",MARÍTIMOS[[#This Row],[Etapa Retiro - Atención]]),"")</f>
        <v>46216.5</v>
      </c>
      <c r="W240" s="11">
        <f>IFERROR(IF(MARÍTIMOS[[#This Row],[Etapa Retiro - Atención]]="","",MARÍTIMOS[[#This Row],[Etapa Retiro - Atención]]),"")</f>
        <v>46216.5</v>
      </c>
      <c r="X240" s="11">
        <f>IFERROR(IF(MARÍTIMOS[[#This Row],[Etapa Retiro - Inicio de Ruta]]="","",MARÍTIMOS[[#This Row],[Etapa Retiro - Inicio de Ruta]]),"")</f>
        <v>46216.556944444441</v>
      </c>
      <c r="Y240" s="11">
        <f>IFERROR(IF(MARÍTIMOS[[#This Row],[Hora de Posicionamiento]]="","",MARÍTIMOS[[#This Row],[Fecha de Carga]]+MARÍTIMOS[[#This Row],[Hora de Posicionamiento]]),"")</f>
        <v>46217.333333333336</v>
      </c>
      <c r="Z240" s="11">
        <f>IFERROR(IF(MARÍTIMOS[[#This Row],[Etapa Despacho - Llegada]]="","",MARÍTIMOS[[#This Row],[Etapa Despacho - Llegada]]),"")</f>
        <v>46217.341666666667</v>
      </c>
      <c r="AA240" s="11">
        <f>IFERROR(IF(MARÍTIMOS[[#This Row],[Etapa Despacho - Registro]]="","",MARÍTIMOS[[#This Row],[Etapa Despacho - Registro]]),"")</f>
        <v>46217.34375</v>
      </c>
      <c r="AB240" s="11">
        <f>IFERROR(IF(MARÍTIMOS[[#This Row],[Inspección Externa]]="","",MARÍTIMOS[[#This Row],[Inspección Externa]]),"")</f>
        <v>46217.364583333336</v>
      </c>
      <c r="AC240" s="11">
        <f>IFERROR(IF(MARÍTIMOS[[#This Row],[Etapa Despacho - Inicio de Carga]]="","",MARÍTIMOS[[#This Row],[Etapa Despacho - Inicio de Carga]]),"")</f>
        <v>46217.40625</v>
      </c>
      <c r="AD240" s="11">
        <f>IFERROR(IF(MARÍTIMOS[[#This Row],[Etapa Despacho - Mitad de Carga]]="","",MARÍTIMOS[[#This Row],[Etapa Despacho - Mitad de Carga]]),"")</f>
        <v>46217.416666666664</v>
      </c>
      <c r="AE240" s="11">
        <f>IFERROR(IF(MARÍTIMOS[[#This Row],[Etapa Despacho - Fin de Carga]]="","",MARÍTIMOS[[#This Row],[Etapa Despacho - Fin de Carga]]),"")</f>
        <v>46217.5625</v>
      </c>
      <c r="AF240" s="2" t="str">
        <f>IFERROR(IF(MARÍTIMOS[[#This Row],[Puerto de Embarque]]="","",MARÍTIMOS[[#This Row],[Puerto de Embarque]]),"")</f>
        <v>Paita</v>
      </c>
      <c r="AG240" s="2" t="str">
        <f>IFERROR(IF(MARÍTIMOS[[#This Row],[Almacén de Ingreso]]="","",MARÍTIMOS[[#This Row],[Almacén de Ingreso]]),"")</f>
        <v>TPE</v>
      </c>
      <c r="AH240" s="11">
        <f>IFERROR(IF(MARÍTIMOS[[#This Row],[Etapa Ingreso - Cita]]="","",MARÍTIMOS[[#This Row],[Etapa Ingreso - Cita]]),"")</f>
        <v>46218.208333333336</v>
      </c>
      <c r="AI240" s="11">
        <f>IFERROR(IF(MARÍTIMOS[[#This Row],[Etapa Ingreso - Llegada]]="","",MARÍTIMOS[[#This Row],[Etapa Ingreso - Llegada]]),"")</f>
        <v>46218.228472222225</v>
      </c>
      <c r="AJ240" s="11">
        <f>IFERROR(IF(MARÍTIMOS[[#This Row],[Etapa Ingreso - Ingeso]]="","",MARÍTIMOS[[#This Row],[Etapa Ingreso - Ingeso]]),"")</f>
        <v>46218.234027777777</v>
      </c>
      <c r="AK240" s="11">
        <f>IFERROR(IF(MARÍTIMOS[[#This Row],[Etapa Ingreso - Atención]]="","",MARÍTIMOS[[#This Row],[Etapa Ingreso - Atención]]),"")</f>
        <v>46218.237500000003</v>
      </c>
      <c r="AL240" s="11">
        <f>IFERROR(IF(MARÍTIMOS[[#This Row],[Etapa Ingreso - Salida]]="","",MARÍTIMOS[[#This Row],[Etapa Ingreso - Salida]]),"")</f>
        <v>46218.240972222222</v>
      </c>
      <c r="AM240" s="2">
        <f>IFERROR(IF(MARÍTIMOS[[#This Row],[FCL]]="","",MARÍTIMOS[[#This Row],[FCL]]),"")</f>
        <v>1</v>
      </c>
      <c r="AN2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0" s="4" t="str" cm="1">
        <f t="array" ref="AO2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0" s="5">
        <f>IFERROR(OLDBD[[#This Row],[Llegada a packing]]-OLDBD[[#This Row],[Inicio de Ruta]],"")</f>
        <v>0.78472222222626442</v>
      </c>
      <c r="AQ240" s="6">
        <f>IFERROR(OLDBD[[#This Row],[Inicio de Ruta]]-OLDBD[[#This Row],[Salida de almacén de retiro]],"")</f>
        <v>5.694444444088731E-2</v>
      </c>
      <c r="AR2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0" s="8" t="str" cm="1">
        <f t="array" ref="AS2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40" s="9">
        <f>IFERROR(OLDBD[[#This Row],[Ingreso Packing]]-OLDBD[[#This Row],[Registro en Packing]],"")</f>
        <v>2.0833333335758653E-2</v>
      </c>
      <c r="AV240" s="9">
        <f>IFERROR(OLDBD[[#This Row],[Ingreso Packing]]-OLDBD[[#This Row],[Llegada a packing]],"")</f>
        <v>2.2916666668606922E-2</v>
      </c>
      <c r="AW2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40" s="5">
        <f>IFERROR(OLDBD[[#This Row],[Llegada Almacén de Ingreso]]-OLDBD[[#This Row],[Salida Packing]],"")</f>
        <v>0.66597222222480923</v>
      </c>
      <c r="AY240" s="4" t="str" cm="1">
        <f t="array" ref="AY2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0" s="43" t="s">
        <v>173</v>
      </c>
      <c r="BB240" s="47" t="str">
        <f>IFERROR(IF(MARÍTIMOS[[#This Row],[Estatus]]="","",MARÍTIMOS[[#This Row],[Estatus]]),"")</f>
        <v>Confirmado</v>
      </c>
      <c r="BC240" s="43"/>
      <c r="BD240" s="46">
        <f>IFERROR(OLDBD[[#This Row],[Salida de almacén de retiro]]-OLDBD[[#This Row],[Ingreso Almacén de retiro]],"")</f>
        <v>2.6388888887595385E-2</v>
      </c>
      <c r="BE240" s="46">
        <f>IFERROR(OLDBD[[#This Row],[Fin de Carga]]-OLDBD[[#This Row],[Inicio de Carga]],"")</f>
        <v>1.0416666664241347E-2</v>
      </c>
    </row>
    <row r="241" spans="1:57" customFormat="1" hidden="1">
      <c r="A241" s="1"/>
      <c r="B241" s="1">
        <f>IFERROR(IF(MARÍTIMOS[[#This Row],[PP]]="","",MARÍTIMOS[[#This Row],[PP]]),"")</f>
        <v>28</v>
      </c>
      <c r="C241" s="1" t="str">
        <f>IFERROR(IF(MARÍTIMOS[[#This Row],[Sede]]="","",MARÍTIMOS[[#This Row],[Sede]]),"")</f>
        <v>Chao</v>
      </c>
      <c r="D241" s="1" t="str">
        <f>IFERROR(IF(MARÍTIMOS[[#This Row],[Instruction]]="","",MARÍTIMOS[[#This Row],[Instruction]]),"")</f>
        <v>RH-0165</v>
      </c>
      <c r="E241" s="1"/>
      <c r="F241" s="2" t="str">
        <f>IFERROR(IF(MARÍTIMOS[[#This Row],[Transportista]]="","",MARÍTIMOS[[#This Row],[Transportista]]),"")</f>
        <v>LIP</v>
      </c>
      <c r="G241" s="2" t="str">
        <f>IFERROR(IF(MARÍTIMOS[[#This Row],[Tercero]]="","",MARÍTIMOS[[#This Row],[Tercero]]),"")</f>
        <v>NO</v>
      </c>
      <c r="H241" s="2" t="str">
        <f>IFERROR(IF(MARÍTIMOS[[#This Row],[Razón Social]]="","",MARÍTIMOS[[#This Row],[Razón Social]]),"")</f>
        <v xml:space="preserve">LOGISTICA INTERMODAL DEL PERU S.A.C.
</v>
      </c>
      <c r="I241" s="2">
        <f>IFERROR(IF(MARÍTIMOS[[#This Row],[RUC]]="","",MARÍTIMOS[[#This Row],[RUC]]),"")</f>
        <v>20513040718</v>
      </c>
      <c r="J241" s="2" t="str">
        <f>IFERROR(IF(MARÍTIMOS[[#This Row],[Placa Tracto]]="","",MARÍTIMOS[[#This Row],[Placa Tracto]]),"")</f>
        <v>APU-757</v>
      </c>
      <c r="K241" s="2" t="str">
        <f>IFERROR(IF(MARÍTIMOS[[#This Row],[Placa Carreta]]="","",MARÍTIMOS[[#This Row],[Placa Carreta]]),"")</f>
        <v>ARQ-991</v>
      </c>
      <c r="L241" s="44" t="str">
        <f>IFERROR(IF(MARÍTIMOS[[#This Row],[Conductor]]="","",MARÍTIMOS[[#This Row],[Conductor]]),"")</f>
        <v>SANDOVAL RAMOS LUIS</v>
      </c>
      <c r="M241" s="2" t="str">
        <f>IFERROR(IF(MARÍTIMOS[[#This Row],[Licencia]]="","",MARÍTIMOS[[#This Row],[Licencia]]),"")</f>
        <v>Q40848242</v>
      </c>
      <c r="N241" s="2" t="str">
        <f>IFERROR(IF(MARÍTIMOS[[#This Row],[Número de Contacto]]="","",MARÍTIMOS[[#This Row],[Número de Contacto]]),"")</f>
        <v>974 069 655</v>
      </c>
      <c r="O241" s="10" t="str">
        <f>IFERROR(IF(MARÍTIMOS[[#This Row],[Booking|AWB|CRT]]="","",MARÍTIMOS[[#This Row],[Booking|AWB|CRT]]),"")</f>
        <v>PER9140100A</v>
      </c>
      <c r="P241" s="2" t="str">
        <f>IFERROR(IF(MARÍTIMOS[[#This Row],[Contenedor]]="","",MARÍTIMOS[[#This Row],[Contenedor]]),"")</f>
        <v>GCXU8024172</v>
      </c>
      <c r="Q241" s="2" t="str">
        <f>IFERROR(IF(MARÍTIMOS[[#This Row],[Puerto de Retiro]]="","",MARÍTIMOS[[#This Row],[Puerto de Retiro]]),"")</f>
        <v>PAITA</v>
      </c>
      <c r="R241" s="2" t="str">
        <f>IFERROR(IF(MARÍTIMOS[[#This Row],[Almacén de Retiro]]="","",MARÍTIMOS[[#This Row],[Almacén de Retiro]]),"")</f>
        <v>DPW</v>
      </c>
      <c r="S241" s="11">
        <f>IFERROR(IF(MARÍTIMOS[[#This Row],[Etapa Retiro - Cita]]="","",MARÍTIMOS[[#This Row],[Etapa Retiro - Cita]]),"")</f>
        <v>46216.458333333336</v>
      </c>
      <c r="T241" s="11">
        <f>IFERROR(IF(MARÍTIMOS[[#This Row],[Etapa Retiro - Llegada]]="","",MARÍTIMOS[[#This Row],[Etapa Retiro - Llegada]]),"")</f>
        <v>46216.486111111109</v>
      </c>
      <c r="U241" s="11">
        <f>IFERROR(IF(MARÍTIMOS[[#This Row],[Etapa Retiro - Ingreso]]="","",MARÍTIMOS[[#This Row],[Etapa Retiro - Ingreso]]),"")</f>
        <v>46216.491666666669</v>
      </c>
      <c r="V241" s="11">
        <f>IFERROR(IF(MARÍTIMOS[[#This Row],[Etapa Retiro - Atención]]="","",MARÍTIMOS[[#This Row],[Etapa Retiro - Atención]]),"")</f>
        <v>46216.510416666664</v>
      </c>
      <c r="W241" s="11">
        <f>IFERROR(IF(MARÍTIMOS[[#This Row],[Etapa Retiro - Atención]]="","",MARÍTIMOS[[#This Row],[Etapa Retiro - Atención]]),"")</f>
        <v>46216.510416666664</v>
      </c>
      <c r="X241" s="11">
        <f>IFERROR(IF(MARÍTIMOS[[#This Row],[Etapa Retiro - Inicio de Ruta]]="","",MARÍTIMOS[[#This Row],[Etapa Retiro - Inicio de Ruta]]),"")</f>
        <v>46216.571527777778</v>
      </c>
      <c r="Y241" s="11">
        <f>IFERROR(IF(MARÍTIMOS[[#This Row],[Hora de Posicionamiento]]="","",MARÍTIMOS[[#This Row],[Fecha de Carga]]+MARÍTIMOS[[#This Row],[Hora de Posicionamiento]]),"")</f>
        <v>46217.333333333336</v>
      </c>
      <c r="Z241" s="11">
        <f>IFERROR(IF(MARÍTIMOS[[#This Row],[Etapa Despacho - Llegada]]="","",MARÍTIMOS[[#This Row],[Etapa Despacho - Llegada]]),"")</f>
        <v>46217.411111111112</v>
      </c>
      <c r="AA241" s="11">
        <f>IFERROR(IF(MARÍTIMOS[[#This Row],[Etapa Despacho - Registro]]="","",MARÍTIMOS[[#This Row],[Etapa Despacho - Registro]]),"")</f>
        <v>46217.413194444445</v>
      </c>
      <c r="AB241" s="11">
        <f>IFERROR(IF(MARÍTIMOS[[#This Row],[Inspección Externa]]="","",MARÍTIMOS[[#This Row],[Inspección Externa]]),"")</f>
        <v>46217.4375</v>
      </c>
      <c r="AC241" s="11">
        <f>IFERROR(IF(MARÍTIMOS[[#This Row],[Etapa Despacho - Inicio de Carga]]="","",MARÍTIMOS[[#This Row],[Etapa Despacho - Inicio de Carga]]),"")</f>
        <v>46217.479166666664</v>
      </c>
      <c r="AD241" s="11">
        <f>IFERROR(IF(MARÍTIMOS[[#This Row],[Etapa Despacho - Mitad de Carga]]="","",MARÍTIMOS[[#This Row],[Etapa Despacho - Mitad de Carga]]),"")</f>
        <v>46217.489583333336</v>
      </c>
      <c r="AE241" s="11">
        <f>IFERROR(IF(MARÍTIMOS[[#This Row],[Etapa Despacho - Fin de Carga]]="","",MARÍTIMOS[[#This Row],[Etapa Despacho - Fin de Carga]]),"")</f>
        <v>46217.5625</v>
      </c>
      <c r="AF241" s="2" t="str">
        <f>IFERROR(IF(MARÍTIMOS[[#This Row],[Puerto de Embarque]]="","",MARÍTIMOS[[#This Row],[Puerto de Embarque]]),"")</f>
        <v>Paita</v>
      </c>
      <c r="AG241" s="2" t="str">
        <f>IFERROR(IF(MARÍTIMOS[[#This Row],[Almacén de Ingreso]]="","",MARÍTIMOS[[#This Row],[Almacén de Ingreso]]),"")</f>
        <v>TPE</v>
      </c>
      <c r="AH241" s="11">
        <f>IFERROR(IF(MARÍTIMOS[[#This Row],[Etapa Ingreso - Cita]]="","",MARÍTIMOS[[#This Row],[Etapa Ingreso - Cita]]),"")</f>
        <v>46218.333333333336</v>
      </c>
      <c r="AI241" s="11">
        <f>IFERROR(IF(MARÍTIMOS[[#This Row],[Etapa Ingreso - Llegada]]="","",MARÍTIMOS[[#This Row],[Etapa Ingreso - Llegada]]),"")</f>
        <v>46218.34097222222</v>
      </c>
      <c r="AJ241" s="11">
        <f>IFERROR(IF(MARÍTIMOS[[#This Row],[Etapa Ingreso - Ingeso]]="","",MARÍTIMOS[[#This Row],[Etapa Ingreso - Ingeso]]),"")</f>
        <v>46218.344444444447</v>
      </c>
      <c r="AK241" s="11">
        <f>IFERROR(IF(MARÍTIMOS[[#This Row],[Etapa Ingreso - Atención]]="","",MARÍTIMOS[[#This Row],[Etapa Ingreso - Atención]]),"")</f>
        <v>46218.347222222219</v>
      </c>
      <c r="AL241" s="11">
        <f>IFERROR(IF(MARÍTIMOS[[#This Row],[Etapa Ingreso - Salida]]="","",MARÍTIMOS[[#This Row],[Etapa Ingreso - Salida]]),"")</f>
        <v>46218.354861111111</v>
      </c>
      <c r="AM241" s="2">
        <f>IFERROR(IF(MARÍTIMOS[[#This Row],[FCL]]="","",MARÍTIMOS[[#This Row],[FCL]]),"")</f>
        <v>1</v>
      </c>
      <c r="AN2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1" s="4" t="str" cm="1">
        <f t="array" ref="AO2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1" s="5">
        <f>IFERROR(OLDBD[[#This Row],[Llegada a packing]]-OLDBD[[#This Row],[Inicio de Ruta]],"")</f>
        <v>0.83958333333430346</v>
      </c>
      <c r="AQ241" s="6">
        <f>IFERROR(OLDBD[[#This Row],[Inicio de Ruta]]-OLDBD[[#This Row],[Salida de almacén de retiro]],"")</f>
        <v>6.1111111113859806E-2</v>
      </c>
      <c r="AR2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1" s="8" t="str" cm="1">
        <f t="array" ref="AS2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41" s="9">
        <f>IFERROR(OLDBD[[#This Row],[Ingreso Packing]]-OLDBD[[#This Row],[Registro en Packing]],"")</f>
        <v>2.4305555554747116E-2</v>
      </c>
      <c r="AV241" s="9">
        <f>IFERROR(OLDBD[[#This Row],[Ingreso Packing]]-OLDBD[[#This Row],[Llegada a packing]],"")</f>
        <v>2.6388888887595385E-2</v>
      </c>
      <c r="AW2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41" s="5">
        <f>IFERROR(OLDBD[[#This Row],[Llegada Almacén de Ingreso]]-OLDBD[[#This Row],[Salida Packing]],"")</f>
        <v>0.77847222222044365</v>
      </c>
      <c r="AY241" s="4" t="str" cm="1">
        <f t="array" ref="AY2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1" s="43" t="s">
        <v>173</v>
      </c>
      <c r="BB241" s="47" t="str">
        <f>IFERROR(IF(MARÍTIMOS[[#This Row],[Estatus]]="","",MARÍTIMOS[[#This Row],[Estatus]]),"")</f>
        <v>Confirmado</v>
      </c>
      <c r="BC241" s="43"/>
      <c r="BD241" s="46">
        <f>IFERROR(OLDBD[[#This Row],[Salida de almacén de retiro]]-OLDBD[[#This Row],[Ingreso Almacén de retiro]],"")</f>
        <v>1.8749999995634425E-2</v>
      </c>
      <c r="BE241" s="46">
        <f>IFERROR(OLDBD[[#This Row],[Fin de Carga]]-OLDBD[[#This Row],[Inicio de Carga]],"")</f>
        <v>1.0416666671517305E-2</v>
      </c>
    </row>
    <row r="242" spans="1:57" customFormat="1" hidden="1">
      <c r="A242" s="1"/>
      <c r="B242" s="1">
        <f>IFERROR(IF(MARÍTIMOS[[#This Row],[PP]]="","",MARÍTIMOS[[#This Row],[PP]]),"")</f>
        <v>28</v>
      </c>
      <c r="C242" s="1" t="str">
        <f>IFERROR(IF(MARÍTIMOS[[#This Row],[Sede]]="","",MARÍTIMOS[[#This Row],[Sede]]),"")</f>
        <v>Chao</v>
      </c>
      <c r="D242" s="1" t="str">
        <f>IFERROR(IF(MARÍTIMOS[[#This Row],[Instruction]]="","",MARÍTIMOS[[#This Row],[Instruction]]),"")</f>
        <v>RH-0175</v>
      </c>
      <c r="E242" s="1"/>
      <c r="F242" s="2" t="str">
        <f>IFERROR(IF(MARÍTIMOS[[#This Row],[Transportista]]="","",MARÍTIMOS[[#This Row],[Transportista]]),"")</f>
        <v>LIP</v>
      </c>
      <c r="G242" s="2" t="str">
        <f>IFERROR(IF(MARÍTIMOS[[#This Row],[Tercero]]="","",MARÍTIMOS[[#This Row],[Tercero]]),"")</f>
        <v>SI</v>
      </c>
      <c r="H242" s="2" t="str">
        <f>IFERROR(IF(MARÍTIMOS[[#This Row],[Razón Social]]="","",MARÍTIMOS[[#This Row],[Razón Social]]),"")</f>
        <v>TRANSCAR MATHEO SOCIEDAD ANONIMA CERRADA</v>
      </c>
      <c r="I242" s="2">
        <f>IFERROR(IF(MARÍTIMOS[[#This Row],[RUC]]="","",MARÍTIMOS[[#This Row],[RUC]]),"")</f>
        <v>20612886921</v>
      </c>
      <c r="J242" s="2" t="str">
        <f>IFERROR(IF(MARÍTIMOS[[#This Row],[Placa Tracto]]="","",MARÍTIMOS[[#This Row],[Placa Tracto]]),"")</f>
        <v>TAC-925</v>
      </c>
      <c r="K242" s="2" t="str">
        <f>IFERROR(IF(MARÍTIMOS[[#This Row],[Placa Carreta]]="","",MARÍTIMOS[[#This Row],[Placa Carreta]]),"")</f>
        <v>TOR-980</v>
      </c>
      <c r="L242" s="44" t="str">
        <f>IFERROR(IF(MARÍTIMOS[[#This Row],[Conductor]]="","",MARÍTIMOS[[#This Row],[Conductor]]),"")</f>
        <v>IPANAQUE GARCIA VALENTIN</v>
      </c>
      <c r="M242" s="2" t="str">
        <f>IFERROR(IF(MARÍTIMOS[[#This Row],[Licencia]]="","",MARÍTIMOS[[#This Row],[Licencia]]),"")</f>
        <v>B41789176</v>
      </c>
      <c r="N242" s="2" t="str">
        <f>IFERROR(IF(MARÍTIMOS[[#This Row],[Número de Contacto]]="","",MARÍTIMOS[[#This Row],[Número de Contacto]]),"")</f>
        <v>971 059 655</v>
      </c>
      <c r="O242" s="10" t="str">
        <f>IFERROR(IF(MARÍTIMOS[[#This Row],[Booking|AWB|CRT]]="","",MARÍTIMOS[[#This Row],[Booking|AWB|CRT]]),"")</f>
        <v>PER9144522A</v>
      </c>
      <c r="P242" s="2" t="str">
        <f>IFERROR(IF(MARÍTIMOS[[#This Row],[Contenedor]]="","",MARÍTIMOS[[#This Row],[Contenedor]]),"")</f>
        <v>CAAU4077627</v>
      </c>
      <c r="Q242" s="2" t="str">
        <f>IFERROR(IF(MARÍTIMOS[[#This Row],[Puerto de Retiro]]="","",MARÍTIMOS[[#This Row],[Puerto de Retiro]]),"")</f>
        <v>PAITA</v>
      </c>
      <c r="R242" s="2" t="str">
        <f>IFERROR(IF(MARÍTIMOS[[#This Row],[Almacén de Retiro]]="","",MARÍTIMOS[[#This Row],[Almacén de Retiro]]),"")</f>
        <v>DPW</v>
      </c>
      <c r="S242" s="11">
        <f>IFERROR(IF(MARÍTIMOS[[#This Row],[Etapa Retiro - Cita]]="","",MARÍTIMOS[[#This Row],[Etapa Retiro - Cita]]),"")</f>
        <v>46216.375</v>
      </c>
      <c r="T242" s="11">
        <f>IFERROR(IF(MARÍTIMOS[[#This Row],[Etapa Retiro - Llegada]]="","",MARÍTIMOS[[#This Row],[Etapa Retiro - Llegada]]),"")</f>
        <v>46216.4</v>
      </c>
      <c r="U242" s="11">
        <f>IFERROR(IF(MARÍTIMOS[[#This Row],[Etapa Retiro - Ingreso]]="","",MARÍTIMOS[[#This Row],[Etapa Retiro - Ingreso]]),"")</f>
        <v>46216.419444444444</v>
      </c>
      <c r="V242" s="11">
        <f>IFERROR(IF(MARÍTIMOS[[#This Row],[Etapa Retiro - Atención]]="","",MARÍTIMOS[[#This Row],[Etapa Retiro - Atención]]),"")</f>
        <v>46216.4375</v>
      </c>
      <c r="W242" s="11">
        <f>IFERROR(IF(MARÍTIMOS[[#This Row],[Etapa Retiro - Atención]]="","",MARÍTIMOS[[#This Row],[Etapa Retiro - Atención]]),"")</f>
        <v>46216.4375</v>
      </c>
      <c r="X242" s="11">
        <f>IFERROR(IF(MARÍTIMOS[[#This Row],[Etapa Retiro - Inicio de Ruta]]="","",MARÍTIMOS[[#This Row],[Etapa Retiro - Inicio de Ruta]]),"")</f>
        <v>46216.5625</v>
      </c>
      <c r="Y242" s="11">
        <f>IFERROR(IF(MARÍTIMOS[[#This Row],[Hora de Posicionamiento]]="","",MARÍTIMOS[[#This Row],[Fecha de Carga]]+MARÍTIMOS[[#This Row],[Hora de Posicionamiento]]),"")</f>
        <v>46217.333333333336</v>
      </c>
      <c r="Z242" s="11">
        <f>IFERROR(IF(MARÍTIMOS[[#This Row],[Etapa Despacho - Llegada]]="","",MARÍTIMOS[[#This Row],[Etapa Despacho - Llegada]]),"")</f>
        <v>46217.340277777781</v>
      </c>
      <c r="AA242" s="11">
        <f>IFERROR(IF(MARÍTIMOS[[#This Row],[Etapa Despacho - Registro]]="","",MARÍTIMOS[[#This Row],[Etapa Despacho - Registro]]),"")</f>
        <v>46217.34375</v>
      </c>
      <c r="AB242" s="11">
        <f>IFERROR(IF(MARÍTIMOS[[#This Row],[Inspección Externa]]="","",MARÍTIMOS[[#This Row],[Inspección Externa]]),"")</f>
        <v>46217.364583333336</v>
      </c>
      <c r="AC242" s="11">
        <f>IFERROR(IF(MARÍTIMOS[[#This Row],[Etapa Despacho - Inicio de Carga]]="","",MARÍTIMOS[[#This Row],[Etapa Despacho - Inicio de Carga]]),"")</f>
        <v>46217.40625</v>
      </c>
      <c r="AD242" s="11">
        <f>IFERROR(IF(MARÍTIMOS[[#This Row],[Etapa Despacho - Mitad de Carga]]="","",MARÍTIMOS[[#This Row],[Etapa Despacho - Mitad de Carga]]),"")</f>
        <v>46217.416666666664</v>
      </c>
      <c r="AE242" s="11">
        <f>IFERROR(IF(MARÍTIMOS[[#This Row],[Etapa Despacho - Fin de Carga]]="","",MARÍTIMOS[[#This Row],[Etapa Despacho - Fin de Carga]]),"")</f>
        <v>46217.541666666664</v>
      </c>
      <c r="AF242" s="2" t="str">
        <f>IFERROR(IF(MARÍTIMOS[[#This Row],[Puerto de Embarque]]="","",MARÍTIMOS[[#This Row],[Puerto de Embarque]]),"")</f>
        <v>Paita</v>
      </c>
      <c r="AG242" s="2" t="str">
        <f>IFERROR(IF(MARÍTIMOS[[#This Row],[Almacén de Ingreso]]="","",MARÍTIMOS[[#This Row],[Almacén de Ingreso]]),"")</f>
        <v>TPE</v>
      </c>
      <c r="AH242" s="11">
        <f>IFERROR(IF(MARÍTIMOS[[#This Row],[Etapa Ingreso - Cita]]="","",MARÍTIMOS[[#This Row],[Etapa Ingreso - Cita]]),"")</f>
        <v>46218.166666666664</v>
      </c>
      <c r="AI242" s="11">
        <f>IFERROR(IF(MARÍTIMOS[[#This Row],[Etapa Ingreso - Llegada]]="","",MARÍTIMOS[[#This Row],[Etapa Ingreso - Llegada]]),"")</f>
        <v>46218.195833333331</v>
      </c>
      <c r="AJ242" s="11">
        <f>IFERROR(IF(MARÍTIMOS[[#This Row],[Etapa Ingreso - Ingeso]]="","",MARÍTIMOS[[#This Row],[Etapa Ingreso - Ingeso]]),"")</f>
        <v>46218.199305555558</v>
      </c>
      <c r="AK242" s="11">
        <f>IFERROR(IF(MARÍTIMOS[[#This Row],[Etapa Ingreso - Atención]]="","",MARÍTIMOS[[#This Row],[Etapa Ingreso - Atención]]),"")</f>
        <v>46218.201388888891</v>
      </c>
      <c r="AL242" s="11">
        <f>IFERROR(IF(MARÍTIMOS[[#This Row],[Etapa Ingreso - Salida]]="","",MARÍTIMOS[[#This Row],[Etapa Ingreso - Salida]]),"")</f>
        <v>46218.226388888892</v>
      </c>
      <c r="AM242" s="2">
        <f>IFERROR(IF(MARÍTIMOS[[#This Row],[FCL]]="","",MARÍTIMOS[[#This Row],[FCL]]),"")</f>
        <v>1</v>
      </c>
      <c r="AN2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2" s="4" t="str" cm="1">
        <f t="array" ref="AO2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2" s="5">
        <f>IFERROR(OLDBD[[#This Row],[Llegada a packing]]-OLDBD[[#This Row],[Inicio de Ruta]],"")</f>
        <v>0.77777777778101154</v>
      </c>
      <c r="AQ242" s="6">
        <f>IFERROR(OLDBD[[#This Row],[Inicio de Ruta]]-OLDBD[[#This Row],[Salida de almacén de retiro]],"")</f>
        <v>0.125</v>
      </c>
      <c r="AR2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2" s="8" t="str" cm="1">
        <f t="array" ref="AS2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42" s="9">
        <f>IFERROR(OLDBD[[#This Row],[Ingreso Packing]]-OLDBD[[#This Row],[Registro en Packing]],"")</f>
        <v>2.0833333335758653E-2</v>
      </c>
      <c r="AV242" s="9">
        <f>IFERROR(OLDBD[[#This Row],[Ingreso Packing]]-OLDBD[[#This Row],[Llegada a packing]],"")</f>
        <v>2.4305555554747116E-2</v>
      </c>
      <c r="AW2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42" s="5">
        <f>IFERROR(OLDBD[[#This Row],[Llegada Almacén de Ingreso]]-OLDBD[[#This Row],[Salida Packing]],"")</f>
        <v>0.65416666666715173</v>
      </c>
      <c r="AY242" s="4" t="str" cm="1">
        <f t="array" ref="AY2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2" s="43" t="s">
        <v>173</v>
      </c>
      <c r="BB242" s="47" t="str">
        <f>IFERROR(IF(MARÍTIMOS[[#This Row],[Estatus]]="","",MARÍTIMOS[[#This Row],[Estatus]]),"")</f>
        <v>Confirmado</v>
      </c>
      <c r="BC242" s="43"/>
      <c r="BD242" s="46">
        <f>IFERROR(OLDBD[[#This Row],[Salida de almacén de retiro]]-OLDBD[[#This Row],[Ingreso Almacén de retiro]],"")</f>
        <v>1.8055555556202307E-2</v>
      </c>
      <c r="BE242" s="46">
        <f>IFERROR(OLDBD[[#This Row],[Fin de Carga]]-OLDBD[[#This Row],[Inicio de Carga]],"")</f>
        <v>1.0416666664241347E-2</v>
      </c>
    </row>
    <row r="243" spans="1:57" customFormat="1" hidden="1">
      <c r="A243" s="1"/>
      <c r="B243" s="1">
        <f>IFERROR(IF(MARÍTIMOS[[#This Row],[PP]]="","",MARÍTIMOS[[#This Row],[PP]]),"")</f>
        <v>29</v>
      </c>
      <c r="C243" s="1" t="str">
        <f>IFERROR(IF(MARÍTIMOS[[#This Row],[Sede]]="","",MARÍTIMOS[[#This Row],[Sede]]),"")</f>
        <v>Chao</v>
      </c>
      <c r="D243" s="1" t="str">
        <f>IFERROR(IF(MARÍTIMOS[[#This Row],[Instruction]]="","",MARÍTIMOS[[#This Row],[Instruction]]),"")</f>
        <v>RH-0192</v>
      </c>
      <c r="E243" s="1"/>
      <c r="F243" s="2" t="str">
        <f>IFERROR(IF(MARÍTIMOS[[#This Row],[Transportista]]="","",MARÍTIMOS[[#This Row],[Transportista]]),"")</f>
        <v>LIP</v>
      </c>
      <c r="G243" s="2" t="str">
        <f>IFERROR(IF(MARÍTIMOS[[#This Row],[Tercero]]="","",MARÍTIMOS[[#This Row],[Tercero]]),"")</f>
        <v>SI</v>
      </c>
      <c r="H243" s="2" t="str">
        <f>IFERROR(IF(MARÍTIMOS[[#This Row],[Razón Social]]="","",MARÍTIMOS[[#This Row],[Razón Social]]),"")</f>
        <v>TRANSPORTES JAAC S.A.C</v>
      </c>
      <c r="I243" s="2">
        <f>IFERROR(IF(MARÍTIMOS[[#This Row],[RUC]]="","",MARÍTIMOS[[#This Row],[RUC]]),"")</f>
        <v>20601962102</v>
      </c>
      <c r="J243" s="2" t="str">
        <f>IFERROR(IF(MARÍTIMOS[[#This Row],[Placa Tracto]]="","",MARÍTIMOS[[#This Row],[Placa Tracto]]),"")</f>
        <v>W3M-710</v>
      </c>
      <c r="K243" s="2" t="str">
        <f>IFERROR(IF(MARÍTIMOS[[#This Row],[Placa Carreta]]="","",MARÍTIMOS[[#This Row],[Placa Carreta]]),"")</f>
        <v>TKS-993</v>
      </c>
      <c r="L243" s="44" t="str">
        <f>IFERROR(IF(MARÍTIMOS[[#This Row],[Conductor]]="","",MARÍTIMOS[[#This Row],[Conductor]]),"")</f>
        <v>BARRIENTOS MIÑAN JUAN CHARLIE</v>
      </c>
      <c r="M243" s="2" t="str">
        <f>IFERROR(IF(MARÍTIMOS[[#This Row],[Licencia]]="","",MARÍTIMOS[[#This Row],[Licencia]]),"")</f>
        <v>B46376679</v>
      </c>
      <c r="N243" s="2" t="str">
        <f>IFERROR(IF(MARÍTIMOS[[#This Row],[Número de Contacto]]="","",MARÍTIMOS[[#This Row],[Número de Contacto]]),"")</f>
        <v>954 005 437</v>
      </c>
      <c r="O243" s="10" t="str">
        <f>IFERROR(IF(MARÍTIMOS[[#This Row],[Booking|AWB|CRT]]="","",MARÍTIMOS[[#This Row],[Booking|AWB|CRT]]),"")</f>
        <v>MBM250067101</v>
      </c>
      <c r="P243" s="2" t="str">
        <f>IFERROR(IF(MARÍTIMOS[[#This Row],[Contenedor]]="","",MARÍTIMOS[[#This Row],[Contenedor]]),"")</f>
        <v>FBIU5311770</v>
      </c>
      <c r="Q243" s="2" t="str">
        <f>IFERROR(IF(MARÍTIMOS[[#This Row],[Puerto de Retiro]]="","",MARÍTIMOS[[#This Row],[Puerto de Retiro]]),"")</f>
        <v>PAITA</v>
      </c>
      <c r="R243" s="2" t="str">
        <f>IFERROR(IF(MARÍTIMOS[[#This Row],[Almacén de Retiro]]="","",MARÍTIMOS[[#This Row],[Almacén de Retiro]]),"")</f>
        <v>DPW</v>
      </c>
      <c r="S243" s="11">
        <f>IFERROR(IF(MARÍTIMOS[[#This Row],[Etapa Retiro - Cita]]="","",MARÍTIMOS[[#This Row],[Etapa Retiro - Cita]]),"")</f>
        <v>46218.625</v>
      </c>
      <c r="T243" s="11">
        <f>IFERROR(IF(MARÍTIMOS[[#This Row],[Etapa Retiro - Llegada]]="","",MARÍTIMOS[[#This Row],[Etapa Retiro - Llegada]]),"")</f>
        <v>46218.640972222223</v>
      </c>
      <c r="U243" s="11">
        <f>IFERROR(IF(MARÍTIMOS[[#This Row],[Etapa Retiro - Ingreso]]="","",MARÍTIMOS[[#This Row],[Etapa Retiro - Ingreso]]),"")</f>
        <v>46218.675000000003</v>
      </c>
      <c r="V243" s="11">
        <f>IFERROR(IF(MARÍTIMOS[[#This Row],[Etapa Retiro - Atención]]="","",MARÍTIMOS[[#This Row],[Etapa Retiro - Atención]]),"")</f>
        <v>46218.681944444441</v>
      </c>
      <c r="W243" s="11">
        <f>IFERROR(IF(MARÍTIMOS[[#This Row],[Etapa Retiro - Atención]]="","",MARÍTIMOS[[#This Row],[Etapa Retiro - Atención]]),"")</f>
        <v>46218.681944444441</v>
      </c>
      <c r="X243" s="11">
        <f>IFERROR(IF(MARÍTIMOS[[#This Row],[Etapa Retiro - Inicio de Ruta]]="","",MARÍTIMOS[[#This Row],[Etapa Retiro - Inicio de Ruta]]),"")</f>
        <v>46218.8125</v>
      </c>
      <c r="Y243" s="11">
        <f>IFERROR(IF(MARÍTIMOS[[#This Row],[Hora de Posicionamiento]]="","",MARÍTIMOS[[#This Row],[Fecha de Carga]]+MARÍTIMOS[[#This Row],[Hora de Posicionamiento]]),"")</f>
        <v>46219.333333333336</v>
      </c>
      <c r="Z243" s="11">
        <f>IFERROR(IF(MARÍTIMOS[[#This Row],[Etapa Despacho - Llegada]]="","",MARÍTIMOS[[#This Row],[Etapa Despacho - Llegada]]),"")</f>
        <v>46219.448611111111</v>
      </c>
      <c r="AA243" s="11">
        <f>IFERROR(IF(MARÍTIMOS[[#This Row],[Etapa Despacho - Registro]]="","",MARÍTIMOS[[#This Row],[Etapa Despacho - Registro]]),"")</f>
        <v>46219.455555555556</v>
      </c>
      <c r="AB243" s="11">
        <f>IFERROR(IF(MARÍTIMOS[[#This Row],[Inspección Externa]]="","",MARÍTIMOS[[#This Row],[Inspección Externa]]),"")</f>
        <v>46219.462500000001</v>
      </c>
      <c r="AC243" s="11">
        <f>IFERROR(IF(MARÍTIMOS[[#This Row],[Etapa Despacho - Inicio de Carga]]="","",MARÍTIMOS[[#This Row],[Etapa Despacho - Inicio de Carga]]),"")</f>
        <v>46219.48333333333</v>
      </c>
      <c r="AD243" s="11">
        <f>IFERROR(IF(MARÍTIMOS[[#This Row],[Etapa Despacho - Mitad de Carga]]="","",MARÍTIMOS[[#This Row],[Etapa Despacho - Mitad de Carga]]),"")</f>
        <v>46219.493750000001</v>
      </c>
      <c r="AE243" s="11">
        <f>IFERROR(IF(MARÍTIMOS[[#This Row],[Etapa Despacho - Fin de Carga]]="","",MARÍTIMOS[[#This Row],[Etapa Despacho - Fin de Carga]]),"")</f>
        <v>46220.506944444445</v>
      </c>
      <c r="AF243" s="2" t="str">
        <f>IFERROR(IF(MARÍTIMOS[[#This Row],[Puerto de Embarque]]="","",MARÍTIMOS[[#This Row],[Puerto de Embarque]]),"")</f>
        <v>Paita</v>
      </c>
      <c r="AG243" s="2" t="str">
        <f>IFERROR(IF(MARÍTIMOS[[#This Row],[Almacén de Ingreso]]="","",MARÍTIMOS[[#This Row],[Almacén de Ingreso]]),"")</f>
        <v>TPE</v>
      </c>
      <c r="AH243" s="11">
        <f>IFERROR(IF(MARÍTIMOS[[#This Row],[Etapa Ingreso - Cita]]="","",MARÍTIMOS[[#This Row],[Etapa Ingreso - Cita]]),"")</f>
        <v>46221.041666666664</v>
      </c>
      <c r="AI243" s="11">
        <f>IFERROR(IF(MARÍTIMOS[[#This Row],[Etapa Ingreso - Llegada]]="","",MARÍTIMOS[[#This Row],[Etapa Ingreso - Llegada]]),"")</f>
        <v>46221.083333333336</v>
      </c>
      <c r="AJ243" s="11">
        <f>IFERROR(IF(MARÍTIMOS[[#This Row],[Etapa Ingreso - Ingeso]]="","",MARÍTIMOS[[#This Row],[Etapa Ingreso - Ingeso]]),"")</f>
        <v>46221.092361111114</v>
      </c>
      <c r="AK243" s="11">
        <f>IFERROR(IF(MARÍTIMOS[[#This Row],[Etapa Ingreso - Atención]]="","",MARÍTIMOS[[#This Row],[Etapa Ingreso - Atención]]),"")</f>
        <v>46221.095833333333</v>
      </c>
      <c r="AL243" s="11">
        <f>IFERROR(IF(MARÍTIMOS[[#This Row],[Etapa Ingreso - Salida]]="","",MARÍTIMOS[[#This Row],[Etapa Ingreso - Salida]]),"")</f>
        <v>46221.102777777778</v>
      </c>
      <c r="AM243" s="2">
        <f>IFERROR(IF(MARÍTIMOS[[#This Row],[FCL]]="","",MARÍTIMOS[[#This Row],[FCL]]),"")</f>
        <v>1</v>
      </c>
      <c r="AN2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3" s="4" t="str" cm="1">
        <f t="array" ref="AO2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3" s="5">
        <f>IFERROR(OLDBD[[#This Row],[Llegada a packing]]-OLDBD[[#This Row],[Inicio de Ruta]],"")</f>
        <v>0.63611111111094942</v>
      </c>
      <c r="AQ243" s="6">
        <f>IFERROR(OLDBD[[#This Row],[Inicio de Ruta]]-OLDBD[[#This Row],[Salida de almacén de retiro]],"")</f>
        <v>0.13055555555911269</v>
      </c>
      <c r="AR2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43" s="8" t="str" cm="1">
        <f t="array" ref="AS2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43" s="9">
        <f>IFERROR(OLDBD[[#This Row],[Ingreso Packing]]-OLDBD[[#This Row],[Registro en Packing]],"")</f>
        <v>6.9444444452528842E-3</v>
      </c>
      <c r="AV243" s="9">
        <f>IFERROR(OLDBD[[#This Row],[Ingreso Packing]]-OLDBD[[#This Row],[Llegada a packing]],"")</f>
        <v>1.3888888890505768E-2</v>
      </c>
      <c r="AW2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43" s="5">
        <f>IFERROR(OLDBD[[#This Row],[Llegada Almacén de Ingreso]]-OLDBD[[#This Row],[Salida Packing]],"")</f>
        <v>0.57638888889050577</v>
      </c>
      <c r="AY243" s="4" t="str" cm="1">
        <f t="array" ref="AY2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3" s="43" t="s">
        <v>173</v>
      </c>
      <c r="BB243" s="47" t="str">
        <f>IFERROR(IF(MARÍTIMOS[[#This Row],[Estatus]]="","",MARÍTIMOS[[#This Row],[Estatus]]),"")</f>
        <v>Confirmado</v>
      </c>
      <c r="BC243" s="43"/>
      <c r="BD243" s="46">
        <f>IFERROR(OLDBD[[#This Row],[Salida de almacén de retiro]]-OLDBD[[#This Row],[Ingreso Almacén de retiro]],"")</f>
        <v>6.9444444379769266E-3</v>
      </c>
      <c r="BE243" s="46">
        <f>IFERROR(OLDBD[[#This Row],[Fin de Carga]]-OLDBD[[#This Row],[Inicio de Carga]],"")</f>
        <v>1.0416666671517305E-2</v>
      </c>
    </row>
    <row r="244" spans="1:57" customFormat="1" hidden="1">
      <c r="A244" s="1"/>
      <c r="B244" s="1">
        <f>IFERROR(IF(MARÍTIMOS[[#This Row],[PP]]="","",MARÍTIMOS[[#This Row],[PP]]),"")</f>
        <v>29</v>
      </c>
      <c r="C244" s="1" t="str">
        <f>IFERROR(IF(MARÍTIMOS[[#This Row],[Sede]]="","",MARÍTIMOS[[#This Row],[Sede]]),"")</f>
        <v>Chao</v>
      </c>
      <c r="D244" s="1" t="str">
        <f>IFERROR(IF(MARÍTIMOS[[#This Row],[Instruction]]="","",MARÍTIMOS[[#This Row],[Instruction]]),"")</f>
        <v>RH-0190</v>
      </c>
      <c r="E244" s="1"/>
      <c r="F244" s="2" t="str">
        <f>IFERROR(IF(MARÍTIMOS[[#This Row],[Transportista]]="","",MARÍTIMOS[[#This Row],[Transportista]]),"")</f>
        <v>LIP</v>
      </c>
      <c r="G244" s="2" t="str">
        <f>IFERROR(IF(MARÍTIMOS[[#This Row],[Tercero]]="","",MARÍTIMOS[[#This Row],[Tercero]]),"")</f>
        <v>NO</v>
      </c>
      <c r="H244" s="2" t="str">
        <f>IFERROR(IF(MARÍTIMOS[[#This Row],[Razón Social]]="","",MARÍTIMOS[[#This Row],[Razón Social]]),"")</f>
        <v xml:space="preserve">LOGISTICA INTERMODAL DEL PERU S.A.C.
</v>
      </c>
      <c r="I244" s="2">
        <f>IFERROR(IF(MARÍTIMOS[[#This Row],[RUC]]="","",MARÍTIMOS[[#This Row],[RUC]]),"")</f>
        <v>20513040718</v>
      </c>
      <c r="J244" s="2" t="str">
        <f>IFERROR(IF(MARÍTIMOS[[#This Row],[Placa Tracto]]="","",MARÍTIMOS[[#This Row],[Placa Tracto]]),"")</f>
        <v>APU-757</v>
      </c>
      <c r="K244" s="2" t="str">
        <f>IFERROR(IF(MARÍTIMOS[[#This Row],[Placa Carreta]]="","",MARÍTIMOS[[#This Row],[Placa Carreta]]),"")</f>
        <v>ARQ-991</v>
      </c>
      <c r="L244" s="44" t="str">
        <f>IFERROR(IF(MARÍTIMOS[[#This Row],[Conductor]]="","",MARÍTIMOS[[#This Row],[Conductor]]),"")</f>
        <v>SANDOVAL RAMOS LUIS</v>
      </c>
      <c r="M244" s="2" t="str">
        <f>IFERROR(IF(MARÍTIMOS[[#This Row],[Licencia]]="","",MARÍTIMOS[[#This Row],[Licencia]]),"")</f>
        <v>Q40848242</v>
      </c>
      <c r="N244" s="2" t="str">
        <f>IFERROR(IF(MARÍTIMOS[[#This Row],[Número de Contacto]]="","",MARÍTIMOS[[#This Row],[Número de Contacto]]),"")</f>
        <v>972 000 655</v>
      </c>
      <c r="O244" s="10" t="str">
        <f>IFERROR(IF(MARÍTIMOS[[#This Row],[Booking|AWB|CRT]]="","",MARÍTIMOS[[#This Row],[Booking|AWB|CRT]]),"")</f>
        <v>MBM250067103</v>
      </c>
      <c r="P244" s="2" t="str">
        <f>IFERROR(IF(MARÍTIMOS[[#This Row],[Contenedor]]="","",MARÍTIMOS[[#This Row],[Contenedor]]),"")</f>
        <v>FBIU5312967</v>
      </c>
      <c r="Q244" s="2" t="str">
        <f>IFERROR(IF(MARÍTIMOS[[#This Row],[Puerto de Retiro]]="","",MARÍTIMOS[[#This Row],[Puerto de Retiro]]),"")</f>
        <v>PAITA</v>
      </c>
      <c r="R244" s="2" t="str">
        <f>IFERROR(IF(MARÍTIMOS[[#This Row],[Almacén de Retiro]]="","",MARÍTIMOS[[#This Row],[Almacén de Retiro]]),"")</f>
        <v>MACROMAR</v>
      </c>
      <c r="S244" s="11">
        <f>IFERROR(IF(MARÍTIMOS[[#This Row],[Etapa Retiro - Cita]]="","",MARÍTIMOS[[#This Row],[Etapa Retiro - Cita]]),"")</f>
        <v>46218.666666666664</v>
      </c>
      <c r="T244" s="11">
        <f>IFERROR(IF(MARÍTIMOS[[#This Row],[Etapa Retiro - Llegada]]="","",MARÍTIMOS[[#This Row],[Etapa Retiro - Llegada]]),"")</f>
        <v>46218.683333333334</v>
      </c>
      <c r="U244" s="11">
        <f>IFERROR(IF(MARÍTIMOS[[#This Row],[Etapa Retiro - Ingreso]]="","",MARÍTIMOS[[#This Row],[Etapa Retiro - Ingreso]]),"")</f>
        <v>46218.724305555559</v>
      </c>
      <c r="V244" s="11">
        <f>IFERROR(IF(MARÍTIMOS[[#This Row],[Etapa Retiro - Atención]]="","",MARÍTIMOS[[#This Row],[Etapa Retiro - Atención]]),"")</f>
        <v>46218.731249999997</v>
      </c>
      <c r="W244" s="11">
        <f>IFERROR(IF(MARÍTIMOS[[#This Row],[Etapa Retiro - Atención]]="","",MARÍTIMOS[[#This Row],[Etapa Retiro - Atención]]),"")</f>
        <v>46218.731249999997</v>
      </c>
      <c r="X244" s="11">
        <f>IFERROR(IF(MARÍTIMOS[[#This Row],[Etapa Retiro - Inicio de Ruta]]="","",MARÍTIMOS[[#This Row],[Etapa Retiro - Inicio de Ruta]]),"")</f>
        <v>46218.838888888888</v>
      </c>
      <c r="Y244" s="11">
        <f>IFERROR(IF(MARÍTIMOS[[#This Row],[Hora de Posicionamiento]]="","",MARÍTIMOS[[#This Row],[Fecha de Carga]]+MARÍTIMOS[[#This Row],[Hora de Posicionamiento]]),"")</f>
        <v>46219.5</v>
      </c>
      <c r="Z244" s="11">
        <f>IFERROR(IF(MARÍTIMOS[[#This Row],[Etapa Despacho - Llegada]]="","",MARÍTIMOS[[#This Row],[Etapa Despacho - Llegada]]),"")</f>
        <v>46219.523611111108</v>
      </c>
      <c r="AA244" s="11">
        <f>IFERROR(IF(MARÍTIMOS[[#This Row],[Etapa Despacho - Registro]]="","",MARÍTIMOS[[#This Row],[Etapa Despacho - Registro]]),"")</f>
        <v>46219.524305555555</v>
      </c>
      <c r="AB244" s="11">
        <f>IFERROR(IF(MARÍTIMOS[[#This Row],[Inspección Externa]]="","",MARÍTIMOS[[#This Row],[Inspección Externa]]),"")</f>
        <v>46219.621527777781</v>
      </c>
      <c r="AC244" s="11">
        <f>IFERROR(IF(MARÍTIMOS[[#This Row],[Etapa Despacho - Inicio de Carga]]="","",MARÍTIMOS[[#This Row],[Etapa Despacho - Inicio de Carga]]),"")</f>
        <v>46219.634027777778</v>
      </c>
      <c r="AD244" s="11">
        <f>IFERROR(IF(MARÍTIMOS[[#This Row],[Etapa Despacho - Mitad de Carga]]="","",MARÍTIMOS[[#This Row],[Etapa Despacho - Mitad de Carga]]),"")</f>
        <v>46219.644444444442</v>
      </c>
      <c r="AE244" s="11">
        <f>IFERROR(IF(MARÍTIMOS[[#This Row],[Etapa Despacho - Fin de Carga]]="","",MARÍTIMOS[[#This Row],[Etapa Despacho - Fin de Carga]]),"")</f>
        <v>46219.686111111114</v>
      </c>
      <c r="AF244" s="2" t="str">
        <f>IFERROR(IF(MARÍTIMOS[[#This Row],[Puerto de Embarque]]="","",MARÍTIMOS[[#This Row],[Puerto de Embarque]]),"")</f>
        <v>Paita</v>
      </c>
      <c r="AG244" s="2" t="str">
        <f>IFERROR(IF(MARÍTIMOS[[#This Row],[Almacén de Ingreso]]="","",MARÍTIMOS[[#This Row],[Almacén de Ingreso]]),"")</f>
        <v>TPE</v>
      </c>
      <c r="AH244" s="11">
        <f>IFERROR(IF(MARÍTIMOS[[#This Row],[Etapa Ingreso - Cita]]="","",MARÍTIMOS[[#This Row],[Etapa Ingreso - Cita]]),"")</f>
        <v>46220.791666666664</v>
      </c>
      <c r="AI244" s="11">
        <f>IFERROR(IF(MARÍTIMOS[[#This Row],[Etapa Ingreso - Llegada]]="","",MARÍTIMOS[[#This Row],[Etapa Ingreso - Llegada]]),"")</f>
        <v>46220.829861111109</v>
      </c>
      <c r="AJ244" s="11">
        <f>IFERROR(IF(MARÍTIMOS[[#This Row],[Etapa Ingreso - Ingeso]]="","",MARÍTIMOS[[#This Row],[Etapa Ingreso - Ingeso]]),"")</f>
        <v>46220.834722222222</v>
      </c>
      <c r="AK244" s="11">
        <f>IFERROR(IF(MARÍTIMOS[[#This Row],[Etapa Ingreso - Atención]]="","",MARÍTIMOS[[#This Row],[Etapa Ingreso - Atención]]),"")</f>
        <v>46220.841666666667</v>
      </c>
      <c r="AL244" s="11">
        <f>IFERROR(IF(MARÍTIMOS[[#This Row],[Etapa Ingreso - Salida]]="","",MARÍTIMOS[[#This Row],[Etapa Ingreso - Salida]]),"")</f>
        <v>46220.851388888892</v>
      </c>
      <c r="AM244" s="2">
        <f>IFERROR(IF(MARÍTIMOS[[#This Row],[FCL]]="","",MARÍTIMOS[[#This Row],[FCL]]),"")</f>
        <v>0.5</v>
      </c>
      <c r="AN2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4" s="4" t="str" cm="1">
        <f t="array" ref="AO2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4" s="5">
        <f>IFERROR(OLDBD[[#This Row],[Llegada a packing]]-OLDBD[[#This Row],[Inicio de Ruta]],"")</f>
        <v>0.68472222222044365</v>
      </c>
      <c r="AQ244" s="6">
        <f>IFERROR(OLDBD[[#This Row],[Inicio de Ruta]]-OLDBD[[#This Row],[Salida de almacén de retiro]],"")</f>
        <v>0.10763888889050577</v>
      </c>
      <c r="AR2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4" s="8" t="str" cm="1">
        <f t="array" ref="AS2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44" s="9">
        <f>IFERROR(OLDBD[[#This Row],[Ingreso Packing]]-OLDBD[[#This Row],[Registro en Packing]],"")</f>
        <v>9.7222222226264421E-2</v>
      </c>
      <c r="AV244" s="9">
        <f>IFERROR(OLDBD[[#This Row],[Ingreso Packing]]-OLDBD[[#This Row],[Llegada a packing]],"")</f>
        <v>9.7916666672972497E-2</v>
      </c>
      <c r="AW2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44" s="5">
        <f>IFERROR(OLDBD[[#This Row],[Llegada Almacén de Ingreso]]-OLDBD[[#This Row],[Salida Packing]],"")</f>
        <v>1.1437499999956344</v>
      </c>
      <c r="AY244" s="4" t="str" cm="1">
        <f t="array" ref="AY2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4" s="43" t="s">
        <v>173</v>
      </c>
      <c r="BB244" s="47" t="str">
        <f>IFERROR(IF(MARÍTIMOS[[#This Row],[Estatus]]="","",MARÍTIMOS[[#This Row],[Estatus]]),"")</f>
        <v>Confirmado</v>
      </c>
      <c r="BC244" s="43"/>
      <c r="BD244" s="46">
        <f>IFERROR(OLDBD[[#This Row],[Salida de almacén de retiro]]-OLDBD[[#This Row],[Ingreso Almacén de retiro]],"")</f>
        <v>6.9444444379769266E-3</v>
      </c>
      <c r="BE244" s="46">
        <f>IFERROR(OLDBD[[#This Row],[Fin de Carga]]-OLDBD[[#This Row],[Inicio de Carga]],"")</f>
        <v>1.0416666664241347E-2</v>
      </c>
    </row>
    <row r="245" spans="1:57" customFormat="1" hidden="1">
      <c r="A245" s="1"/>
      <c r="B245" s="1">
        <f>IFERROR(IF(MARÍTIMOS[[#This Row],[PP]]="","",MARÍTIMOS[[#This Row],[PP]]),"")</f>
        <v>29</v>
      </c>
      <c r="C245" s="1" t="str">
        <f>IFERROR(IF(MARÍTIMOS[[#This Row],[Sede]]="","",MARÍTIMOS[[#This Row],[Sede]]),"")</f>
        <v>Olmos</v>
      </c>
      <c r="D245" s="1" t="str">
        <f>IFERROR(IF(MARÍTIMOS[[#This Row],[Instruction]]="","",MARÍTIMOS[[#This Row],[Instruction]]),"")</f>
        <v>RH-0190</v>
      </c>
      <c r="E245" s="1"/>
      <c r="F245" s="2" t="str">
        <f>IFERROR(IF(MARÍTIMOS[[#This Row],[Transportista]]="","",MARÍTIMOS[[#This Row],[Transportista]]),"")</f>
        <v>LIP</v>
      </c>
      <c r="G245" s="2" t="str">
        <f>IFERROR(IF(MARÍTIMOS[[#This Row],[Tercero]]="","",MARÍTIMOS[[#This Row],[Tercero]]),"")</f>
        <v>NO</v>
      </c>
      <c r="H245" s="2" t="str">
        <f>IFERROR(IF(MARÍTIMOS[[#This Row],[Razón Social]]="","",MARÍTIMOS[[#This Row],[Razón Social]]),"")</f>
        <v xml:space="preserve">LOGISTICA INTERMODAL DEL PERU S.A.C.
</v>
      </c>
      <c r="I245" s="2">
        <f>IFERROR(IF(MARÍTIMOS[[#This Row],[RUC]]="","",MARÍTIMOS[[#This Row],[RUC]]),"")</f>
        <v>20513040718</v>
      </c>
      <c r="J245" s="2" t="str">
        <f>IFERROR(IF(MARÍTIMOS[[#This Row],[Placa Tracto]]="","",MARÍTIMOS[[#This Row],[Placa Tracto]]),"")</f>
        <v>APU-757</v>
      </c>
      <c r="K245" s="2" t="str">
        <f>IFERROR(IF(MARÍTIMOS[[#This Row],[Placa Carreta]]="","",MARÍTIMOS[[#This Row],[Placa Carreta]]),"")</f>
        <v>ARQ-991</v>
      </c>
      <c r="L245" s="44" t="str">
        <f>IFERROR(IF(MARÍTIMOS[[#This Row],[Conductor]]="","",MARÍTIMOS[[#This Row],[Conductor]]),"")</f>
        <v>SANDOVAL RAMOS LUIS</v>
      </c>
      <c r="M245" s="2" t="str">
        <f>IFERROR(IF(MARÍTIMOS[[#This Row],[Licencia]]="","",MARÍTIMOS[[#This Row],[Licencia]]),"")</f>
        <v>Q40848242</v>
      </c>
      <c r="N245" s="2" t="str">
        <f>IFERROR(IF(MARÍTIMOS[[#This Row],[Número de Contacto]]="","",MARÍTIMOS[[#This Row],[Número de Contacto]]),"")</f>
        <v>975 069 655</v>
      </c>
      <c r="O245" s="10" t="str">
        <f>IFERROR(IF(MARÍTIMOS[[#This Row],[Booking|AWB|CRT]]="","",MARÍTIMOS[[#This Row],[Booking|AWB|CRT]]),"")</f>
        <v>MBM250067103</v>
      </c>
      <c r="P245" s="2" t="str">
        <f>IFERROR(IF(MARÍTIMOS[[#This Row],[Contenedor]]="","",MARÍTIMOS[[#This Row],[Contenedor]]),"")</f>
        <v>FBIU5312967</v>
      </c>
      <c r="Q245" s="2" t="str">
        <f>IFERROR(IF(MARÍTIMOS[[#This Row],[Puerto de Retiro]]="","",MARÍTIMOS[[#This Row],[Puerto de Retiro]]),"")</f>
        <v>PAITA</v>
      </c>
      <c r="R245" s="2" t="str">
        <f>IFERROR(IF(MARÍTIMOS[[#This Row],[Almacén de Retiro]]="","",MARÍTIMOS[[#This Row],[Almacén de Retiro]]),"")</f>
        <v>MACROMAR</v>
      </c>
      <c r="S245" s="11">
        <f>IFERROR(IF(MARÍTIMOS[[#This Row],[Etapa Retiro - Cita]]="","",MARÍTIMOS[[#This Row],[Etapa Retiro - Cita]]),"")</f>
        <v>46218.666666666664</v>
      </c>
      <c r="T245" s="11">
        <f>IFERROR(IF(MARÍTIMOS[[#This Row],[Etapa Retiro - Llegada]]="","",MARÍTIMOS[[#This Row],[Etapa Retiro - Llegada]]),"")</f>
        <v>46218.683333333334</v>
      </c>
      <c r="U245" s="11">
        <f>IFERROR(IF(MARÍTIMOS[[#This Row],[Etapa Retiro - Ingreso]]="","",MARÍTIMOS[[#This Row],[Etapa Retiro - Ingreso]]),"")</f>
        <v>46218.724305555559</v>
      </c>
      <c r="V245" s="11">
        <f>IFERROR(IF(MARÍTIMOS[[#This Row],[Etapa Retiro - Atención]]="","",MARÍTIMOS[[#This Row],[Etapa Retiro - Atención]]),"")</f>
        <v>46218.731249999997</v>
      </c>
      <c r="W245" s="11">
        <f>IFERROR(IF(MARÍTIMOS[[#This Row],[Etapa Retiro - Atención]]="","",MARÍTIMOS[[#This Row],[Etapa Retiro - Atención]]),"")</f>
        <v>46218.731249999997</v>
      </c>
      <c r="X245" s="11">
        <f>IFERROR(IF(MARÍTIMOS[[#This Row],[Etapa Retiro - Inicio de Ruta]]="","",MARÍTIMOS[[#This Row],[Etapa Retiro - Inicio de Ruta]]),"")</f>
        <v>46218.838888888888</v>
      </c>
      <c r="Y245" s="11">
        <f>IFERROR(IF(MARÍTIMOS[[#This Row],[Hora de Posicionamiento]]="","",MARÍTIMOS[[#This Row],[Fecha de Carga]]+MARÍTIMOS[[#This Row],[Hora de Posicionamiento]]),"")</f>
        <v>46220.333333333336</v>
      </c>
      <c r="Z245" s="11">
        <f>IFERROR(IF(MARÍTIMOS[[#This Row],[Etapa Despacho - Llegada]]="","",MARÍTIMOS[[#This Row],[Etapa Despacho - Llegada]]),"")</f>
        <v>46220.507638888892</v>
      </c>
      <c r="AA245" s="11">
        <f>IFERROR(IF(MARÍTIMOS[[#This Row],[Etapa Despacho - Registro]]="","",MARÍTIMOS[[#This Row],[Etapa Despacho - Registro]]),"")</f>
        <v>46220.507638888892</v>
      </c>
      <c r="AB245" s="11">
        <f>IFERROR(IF(MARÍTIMOS[[#This Row],[Inspección Externa]]="","",MARÍTIMOS[[#This Row],[Inspección Externa]]),"")</f>
        <v>46220.53125</v>
      </c>
      <c r="AC245" s="11">
        <f>IFERROR(IF(MARÍTIMOS[[#This Row],[Etapa Despacho - Inicio de Carga]]="","",MARÍTIMOS[[#This Row],[Etapa Despacho - Inicio de Carga]]),"")</f>
        <v>46220.552777777775</v>
      </c>
      <c r="AD245" s="11">
        <f>IFERROR(IF(MARÍTIMOS[[#This Row],[Etapa Despacho - Mitad de Carga]]="","",MARÍTIMOS[[#This Row],[Etapa Despacho - Mitad de Carga]]),"")</f>
        <v>46220.563194444447</v>
      </c>
      <c r="AE245" s="11">
        <f>IFERROR(IF(MARÍTIMOS[[#This Row],[Etapa Despacho - Fin de Carga]]="","",MARÍTIMOS[[#This Row],[Etapa Despacho - Fin de Carga]]),"")</f>
        <v>46220.576388888891</v>
      </c>
      <c r="AF245" s="2" t="str">
        <f>IFERROR(IF(MARÍTIMOS[[#This Row],[Puerto de Embarque]]="","",MARÍTIMOS[[#This Row],[Puerto de Embarque]]),"")</f>
        <v>Paita</v>
      </c>
      <c r="AG245" s="2" t="str">
        <f>IFERROR(IF(MARÍTIMOS[[#This Row],[Almacén de Ingreso]]="","",MARÍTIMOS[[#This Row],[Almacén de Ingreso]]),"")</f>
        <v>TPE</v>
      </c>
      <c r="AH245" s="11">
        <f>IFERROR(IF(MARÍTIMOS[[#This Row],[Etapa Ingreso - Cita]]="","",MARÍTIMOS[[#This Row],[Etapa Ingreso - Cita]]),"")</f>
        <v>46220.791666666664</v>
      </c>
      <c r="AI245" s="11">
        <f>IFERROR(IF(MARÍTIMOS[[#This Row],[Etapa Ingreso - Llegada]]="","",MARÍTIMOS[[#This Row],[Etapa Ingreso - Llegada]]),"")</f>
        <v>46220.829861111109</v>
      </c>
      <c r="AJ245" s="11">
        <f>IFERROR(IF(MARÍTIMOS[[#This Row],[Etapa Ingreso - Ingeso]]="","",MARÍTIMOS[[#This Row],[Etapa Ingreso - Ingeso]]),"")</f>
        <v>46220.834722222222</v>
      </c>
      <c r="AK245" s="11">
        <f>IFERROR(IF(MARÍTIMOS[[#This Row],[Etapa Ingreso - Atención]]="","",MARÍTIMOS[[#This Row],[Etapa Ingreso - Atención]]),"")</f>
        <v>46220.841666666667</v>
      </c>
      <c r="AL245" s="11">
        <f>IFERROR(IF(MARÍTIMOS[[#This Row],[Etapa Ingreso - Salida]]="","",MARÍTIMOS[[#This Row],[Etapa Ingreso - Salida]]),"")</f>
        <v>46220.851388888892</v>
      </c>
      <c r="AM245" s="2">
        <f>IFERROR(IF(MARÍTIMOS[[#This Row],[FCL]]="","",MARÍTIMOS[[#This Row],[FCL]]),"")</f>
        <v>0.5</v>
      </c>
      <c r="AN2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5" s="4" t="str" cm="1">
        <f t="array" ref="AO2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5" s="5">
        <f>IFERROR(OLDBD[[#This Row],[Llegada a packing]]-OLDBD[[#This Row],[Inicio de Ruta]],"")</f>
        <v>1.6687500000043656</v>
      </c>
      <c r="AQ245" s="6">
        <f>IFERROR(OLDBD[[#This Row],[Inicio de Ruta]]-OLDBD[[#This Row],[Salida de almacén de retiro]],"")</f>
        <v>0.10763888889050577</v>
      </c>
      <c r="AR2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45" s="8" t="str" cm="1">
        <f t="array" ref="AS2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45" s="9">
        <f>IFERROR(OLDBD[[#This Row],[Ingreso Packing]]-OLDBD[[#This Row],[Registro en Packing]],"")</f>
        <v>2.361111110803904E-2</v>
      </c>
      <c r="AV245" s="9">
        <f>IFERROR(OLDBD[[#This Row],[Ingreso Packing]]-OLDBD[[#This Row],[Llegada a packing]],"")</f>
        <v>2.361111110803904E-2</v>
      </c>
      <c r="AW2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45" s="5">
        <f>IFERROR(OLDBD[[#This Row],[Llegada Almacén de Ingreso]]-OLDBD[[#This Row],[Salida Packing]],"")</f>
        <v>0.25347222221898846</v>
      </c>
      <c r="AY245" s="4" t="str" cm="1">
        <f t="array" ref="AY2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5" s="43" t="s">
        <v>173</v>
      </c>
      <c r="BB245" s="47" t="str">
        <f>IFERROR(IF(MARÍTIMOS[[#This Row],[Estatus]]="","",MARÍTIMOS[[#This Row],[Estatus]]),"")</f>
        <v>Confirmado</v>
      </c>
      <c r="BC245" s="43"/>
      <c r="BD245" s="46">
        <f>IFERROR(OLDBD[[#This Row],[Salida de almacén de retiro]]-OLDBD[[#This Row],[Ingreso Almacén de retiro]],"")</f>
        <v>6.9444444379769266E-3</v>
      </c>
      <c r="BE245" s="46">
        <f>IFERROR(OLDBD[[#This Row],[Fin de Carga]]-OLDBD[[#This Row],[Inicio de Carga]],"")</f>
        <v>1.0416666671517305E-2</v>
      </c>
    </row>
    <row r="246" spans="1:57" customFormat="1" hidden="1">
      <c r="A246" s="1"/>
      <c r="B246" s="1">
        <f>IFERROR(IF(MARÍTIMOS[[#This Row],[PP]]="","",MARÍTIMOS[[#This Row],[PP]]),"")</f>
        <v>29</v>
      </c>
      <c r="C246" s="1" t="str">
        <f>IFERROR(IF(MARÍTIMOS[[#This Row],[Sede]]="","",MARÍTIMOS[[#This Row],[Sede]]),"")</f>
        <v>Chao</v>
      </c>
      <c r="D246" s="1" t="str">
        <f>IFERROR(IF(MARÍTIMOS[[#This Row],[Instruction]]="","",MARÍTIMOS[[#This Row],[Instruction]]),"")</f>
        <v>RH-0191</v>
      </c>
      <c r="E246" s="1"/>
      <c r="F246" s="2" t="str">
        <f>IFERROR(IF(MARÍTIMOS[[#This Row],[Transportista]]="","",MARÍTIMOS[[#This Row],[Transportista]]),"")</f>
        <v>LIP</v>
      </c>
      <c r="G246" s="2" t="str">
        <f>IFERROR(IF(MARÍTIMOS[[#This Row],[Tercero]]="","",MARÍTIMOS[[#This Row],[Tercero]]),"")</f>
        <v>SI</v>
      </c>
      <c r="H246" s="2" t="str">
        <f>IFERROR(IF(MARÍTIMOS[[#This Row],[Razón Social]]="","",MARÍTIMOS[[#This Row],[Razón Social]]),"")</f>
        <v>LOGISTICS TRANSPORT SOCIEDAD ANONIMA CERRAD</v>
      </c>
      <c r="I246" s="2">
        <f>IFERROR(IF(MARÍTIMOS[[#This Row],[RUC]]="","",MARÍTIMOS[[#This Row],[RUC]]),"")</f>
        <v>20614402246</v>
      </c>
      <c r="J246" s="2" t="str">
        <f>IFERROR(IF(MARÍTIMOS[[#This Row],[Placa Tracto]]="","",MARÍTIMOS[[#This Row],[Placa Tracto]]),"")</f>
        <v>D4J-829</v>
      </c>
      <c r="K246" s="2" t="str">
        <f>IFERROR(IF(MARÍTIMOS[[#This Row],[Placa Carreta]]="","",MARÍTIMOS[[#This Row],[Placa Carreta]]),"")</f>
        <v>TPD-978</v>
      </c>
      <c r="L246" s="44" t="str">
        <f>IFERROR(IF(MARÍTIMOS[[#This Row],[Conductor]]="","",MARÍTIMOS[[#This Row],[Conductor]]),"")</f>
        <v>CHIROQUE IMAN JOSE NICOLAS</v>
      </c>
      <c r="M246" s="2" t="str">
        <f>IFERROR(IF(MARÍTIMOS[[#This Row],[Licencia]]="","",MARÍTIMOS[[#This Row],[Licencia]]),"")</f>
        <v>C16578741</v>
      </c>
      <c r="N246" s="2" t="str">
        <f>IFERROR(IF(MARÍTIMOS[[#This Row],[Número de Contacto]]="","",MARÍTIMOS[[#This Row],[Número de Contacto]]),"")</f>
        <v>972 059 655</v>
      </c>
      <c r="O246" s="10" t="str">
        <f>IFERROR(IF(MARÍTIMOS[[#This Row],[Booking|AWB|CRT]]="","",MARÍTIMOS[[#This Row],[Booking|AWB|CRT]]),"")</f>
        <v>MBM250067102</v>
      </c>
      <c r="P246" s="2" t="str">
        <f>IFERROR(IF(MARÍTIMOS[[#This Row],[Contenedor]]="","",MARÍTIMOS[[#This Row],[Contenedor]]),"")</f>
        <v>FBIU5312400</v>
      </c>
      <c r="Q246" s="2" t="str">
        <f>IFERROR(IF(MARÍTIMOS[[#This Row],[Puerto de Retiro]]="","",MARÍTIMOS[[#This Row],[Puerto de Retiro]]),"")</f>
        <v>PAITA</v>
      </c>
      <c r="R246" s="2" t="str">
        <f>IFERROR(IF(MARÍTIMOS[[#This Row],[Almacén de Retiro]]="","",MARÍTIMOS[[#This Row],[Almacén de Retiro]]),"")</f>
        <v>MACROMAR</v>
      </c>
      <c r="S246" s="11">
        <f>IFERROR(IF(MARÍTIMOS[[#This Row],[Etapa Retiro - Cita]]="","",MARÍTIMOS[[#This Row],[Etapa Retiro - Cita]]),"")</f>
        <v>46219.583333333336</v>
      </c>
      <c r="T246" s="11">
        <f>IFERROR(IF(MARÍTIMOS[[#This Row],[Etapa Retiro - Llegada]]="","",MARÍTIMOS[[#This Row],[Etapa Retiro - Llegada]]),"")</f>
        <v>46219.576388888891</v>
      </c>
      <c r="U246" s="11">
        <f>IFERROR(IF(MARÍTIMOS[[#This Row],[Etapa Retiro - Ingreso]]="","",MARÍTIMOS[[#This Row],[Etapa Retiro - Ingreso]]),"")</f>
        <v>46219.603472222225</v>
      </c>
      <c r="V246" s="11">
        <f>IFERROR(IF(MARÍTIMOS[[#This Row],[Etapa Retiro - Atención]]="","",MARÍTIMOS[[#This Row],[Etapa Retiro - Atención]]),"")</f>
        <v>46219.605555555558</v>
      </c>
      <c r="W246" s="11">
        <f>IFERROR(IF(MARÍTIMOS[[#This Row],[Etapa Retiro - Atención]]="","",MARÍTIMOS[[#This Row],[Etapa Retiro - Atención]]),"")</f>
        <v>46219.605555555558</v>
      </c>
      <c r="X246" s="11">
        <f>IFERROR(IF(MARÍTIMOS[[#This Row],[Etapa Retiro - Inicio de Ruta]]="","",MARÍTIMOS[[#This Row],[Etapa Retiro - Inicio de Ruta]]),"")</f>
        <v>46219.708333333336</v>
      </c>
      <c r="Y246" s="11">
        <f>IFERROR(IF(MARÍTIMOS[[#This Row],[Hora de Posicionamiento]]="","",MARÍTIMOS[[#This Row],[Fecha de Carga]]+MARÍTIMOS[[#This Row],[Hora de Posicionamiento]]),"")</f>
        <v>46220.333333333336</v>
      </c>
      <c r="Z246" s="11">
        <f>IFERROR(IF(MARÍTIMOS[[#This Row],[Etapa Despacho - Llegada]]="","",MARÍTIMOS[[#This Row],[Etapa Despacho - Llegada]]),"")</f>
        <v>46220.387499999997</v>
      </c>
      <c r="AA246" s="11">
        <f>IFERROR(IF(MARÍTIMOS[[#This Row],[Etapa Despacho - Registro]]="","",MARÍTIMOS[[#This Row],[Etapa Despacho - Registro]]),"")</f>
        <v>46220.388888888891</v>
      </c>
      <c r="AB246" s="11">
        <f>IFERROR(IF(MARÍTIMOS[[#This Row],[Inspección Externa]]="","",MARÍTIMOS[[#This Row],[Inspección Externa]]),"")</f>
        <v>46220.392361111109</v>
      </c>
      <c r="AC246" s="11">
        <f>IFERROR(IF(MARÍTIMOS[[#This Row],[Etapa Despacho - Inicio de Carga]]="","",MARÍTIMOS[[#This Row],[Etapa Despacho - Inicio de Carga]]),"")</f>
        <v>46220.520833333336</v>
      </c>
      <c r="AD246" s="11">
        <f>IFERROR(IF(MARÍTIMOS[[#This Row],[Etapa Despacho - Mitad de Carga]]="","",MARÍTIMOS[[#This Row],[Etapa Despacho - Mitad de Carga]]),"")</f>
        <v>46220.53125</v>
      </c>
      <c r="AE246" s="11">
        <f>IFERROR(IF(MARÍTIMOS[[#This Row],[Etapa Despacho - Fin de Carga]]="","",MARÍTIMOS[[#This Row],[Etapa Despacho - Fin de Carga]]),"")</f>
        <v>46220.569444444445</v>
      </c>
      <c r="AF246" s="2" t="str">
        <f>IFERROR(IF(MARÍTIMOS[[#This Row],[Puerto de Embarque]]="","",MARÍTIMOS[[#This Row],[Puerto de Embarque]]),"")</f>
        <v>Paita</v>
      </c>
      <c r="AG246" s="2" t="str">
        <f>IFERROR(IF(MARÍTIMOS[[#This Row],[Almacén de Ingreso]]="","",MARÍTIMOS[[#This Row],[Almacén de Ingreso]]),"")</f>
        <v>TPE</v>
      </c>
      <c r="AH246" s="11">
        <f>IFERROR(IF(MARÍTIMOS[[#This Row],[Etapa Ingreso - Cita]]="","",MARÍTIMOS[[#This Row],[Etapa Ingreso - Cita]]),"")</f>
        <v>46221.5</v>
      </c>
      <c r="AI246" s="11">
        <f>IFERROR(IF(MARÍTIMOS[[#This Row],[Etapa Ingreso - Llegada]]="","",MARÍTIMOS[[#This Row],[Etapa Ingreso - Llegada]]),"")</f>
        <v>46221.502083333333</v>
      </c>
      <c r="AJ246" s="11">
        <f>IFERROR(IF(MARÍTIMOS[[#This Row],[Etapa Ingreso - Ingeso]]="","",MARÍTIMOS[[#This Row],[Etapa Ingreso - Ingeso]]),"")</f>
        <v>46221.519444444442</v>
      </c>
      <c r="AK246" s="11">
        <f>IFERROR(IF(MARÍTIMOS[[#This Row],[Etapa Ingreso - Atención]]="","",MARÍTIMOS[[#This Row],[Etapa Ingreso - Atención]]),"")</f>
        <v>46221.524305555555</v>
      </c>
      <c r="AL246" s="11">
        <f>IFERROR(IF(MARÍTIMOS[[#This Row],[Etapa Ingreso - Salida]]="","",MARÍTIMOS[[#This Row],[Etapa Ingreso - Salida]]),"")</f>
        <v>46221.536111111112</v>
      </c>
      <c r="AM246" s="2">
        <f>IFERROR(IF(MARÍTIMOS[[#This Row],[FCL]]="","",MARÍTIMOS[[#This Row],[FCL]]),"")</f>
        <v>1</v>
      </c>
      <c r="AN2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6" s="4" t="str" cm="1">
        <f t="array" ref="AO2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6" s="5">
        <f>IFERROR(OLDBD[[#This Row],[Llegada a packing]]-OLDBD[[#This Row],[Inicio de Ruta]],"")</f>
        <v>0.67916666666133096</v>
      </c>
      <c r="AQ246" s="6">
        <f>IFERROR(OLDBD[[#This Row],[Inicio de Ruta]]-OLDBD[[#This Row],[Salida de almacén de retiro]],"")</f>
        <v>0.10277777777810115</v>
      </c>
      <c r="AR2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6" s="8" t="str" cm="1">
        <f t="array" ref="AS2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46" s="9">
        <f>IFERROR(OLDBD[[#This Row],[Ingreso Packing]]-OLDBD[[#This Row],[Registro en Packing]],"")</f>
        <v>3.4722222189884633E-3</v>
      </c>
      <c r="AV246" s="9">
        <f>IFERROR(OLDBD[[#This Row],[Ingreso Packing]]-OLDBD[[#This Row],[Llegada a packing]],"")</f>
        <v>4.8611111124046147E-3</v>
      </c>
      <c r="AW2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46" s="5">
        <f>IFERROR(OLDBD[[#This Row],[Llegada Almacén de Ingreso]]-OLDBD[[#This Row],[Salida Packing]],"")</f>
        <v>0.93263888888759539</v>
      </c>
      <c r="AY246" s="4" t="str" cm="1">
        <f t="array" ref="AY2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6" s="43" t="s">
        <v>173</v>
      </c>
      <c r="BB246" s="47" t="str">
        <f>IFERROR(IF(MARÍTIMOS[[#This Row],[Estatus]]="","",MARÍTIMOS[[#This Row],[Estatus]]),"")</f>
        <v>Confirmado</v>
      </c>
      <c r="BC246" s="43"/>
      <c r="BD246" s="46">
        <f>IFERROR(OLDBD[[#This Row],[Salida de almacén de retiro]]-OLDBD[[#This Row],[Ingreso Almacén de retiro]],"")</f>
        <v>2.0833333328482695E-3</v>
      </c>
      <c r="BE246" s="46">
        <f>IFERROR(OLDBD[[#This Row],[Fin de Carga]]-OLDBD[[#This Row],[Inicio de Carga]],"")</f>
        <v>1.0416666664241347E-2</v>
      </c>
    </row>
    <row r="247" spans="1:57" customFormat="1" hidden="1">
      <c r="A247" s="1"/>
      <c r="B247" s="1">
        <f>IFERROR(IF(MARÍTIMOS[[#This Row],[PP]]="","",MARÍTIMOS[[#This Row],[PP]]),"")</f>
        <v>29</v>
      </c>
      <c r="C247" s="1" t="str">
        <f>IFERROR(IF(MARÍTIMOS[[#This Row],[Sede]]="","",MARÍTIMOS[[#This Row],[Sede]]),"")</f>
        <v>Chao</v>
      </c>
      <c r="D247" s="1" t="str">
        <f>IFERROR(IF(MARÍTIMOS[[#This Row],[Instruction]]="","",MARÍTIMOS[[#This Row],[Instruction]]),"")</f>
        <v>RH-0193</v>
      </c>
      <c r="E247" s="1"/>
      <c r="F247" s="2" t="str">
        <f>IFERROR(IF(MARÍTIMOS[[#This Row],[Transportista]]="","",MARÍTIMOS[[#This Row],[Transportista]]),"")</f>
        <v>LIP</v>
      </c>
      <c r="G247" s="2" t="str">
        <f>IFERROR(IF(MARÍTIMOS[[#This Row],[Tercero]]="","",MARÍTIMOS[[#This Row],[Tercero]]),"")</f>
        <v>NO</v>
      </c>
      <c r="H247" s="2" t="str">
        <f>IFERROR(IF(MARÍTIMOS[[#This Row],[Razón Social]]="","",MARÍTIMOS[[#This Row],[Razón Social]]),"")</f>
        <v xml:space="preserve">LOGISTICA INTERMODAL DEL PERU S.A.C.
</v>
      </c>
      <c r="I247" s="2">
        <f>IFERROR(IF(MARÍTIMOS[[#This Row],[RUC]]="","",MARÍTIMOS[[#This Row],[RUC]]),"")</f>
        <v>20513040718</v>
      </c>
      <c r="J247" s="2" t="str">
        <f>IFERROR(IF(MARÍTIMOS[[#This Row],[Placa Tracto]]="","",MARÍTIMOS[[#This Row],[Placa Tracto]]),"")</f>
        <v>AYO-892</v>
      </c>
      <c r="K247" s="2" t="str">
        <f>IFERROR(IF(MARÍTIMOS[[#This Row],[Placa Carreta]]="","",MARÍTIMOS[[#This Row],[Placa Carreta]]),"")</f>
        <v>AJO-980</v>
      </c>
      <c r="L247" s="44" t="str">
        <f>IFERROR(IF(MARÍTIMOS[[#This Row],[Conductor]]="","",MARÍTIMOS[[#This Row],[Conductor]]),"")</f>
        <v>AVELLANEDA OTERO RENZO MARTIN</v>
      </c>
      <c r="M247" s="2" t="str">
        <f>IFERROR(IF(MARÍTIMOS[[#This Row],[Licencia]]="","",MARÍTIMOS[[#This Row],[Licencia]]),"")</f>
        <v>B40777868</v>
      </c>
      <c r="N247" s="2" t="str">
        <f>IFERROR(IF(MARÍTIMOS[[#This Row],[Número de Contacto]]="","",MARÍTIMOS[[#This Row],[Número de Contacto]]),"")</f>
        <v>955 005 437</v>
      </c>
      <c r="O247" s="10" t="str">
        <f>IFERROR(IF(MARÍTIMOS[[#This Row],[Booking|AWB|CRT]]="","",MARÍTIMOS[[#This Row],[Booking|AWB|CRT]]),"")</f>
        <v>BN79531</v>
      </c>
      <c r="P247" s="2" t="str">
        <f>IFERROR(IF(MARÍTIMOS[[#This Row],[Contenedor]]="","",MARÍTIMOS[[#This Row],[Contenedor]]),"")</f>
        <v>TEMU9595013</v>
      </c>
      <c r="Q247" s="2" t="str">
        <f>IFERROR(IF(MARÍTIMOS[[#This Row],[Puerto de Retiro]]="","",MARÍTIMOS[[#This Row],[Puerto de Retiro]]),"")</f>
        <v>PAITA</v>
      </c>
      <c r="R247" s="2" t="str">
        <f>IFERROR(IF(MARÍTIMOS[[#This Row],[Almacén de Retiro]]="","",MARÍTIMOS[[#This Row],[Almacén de Retiro]]),"")</f>
        <v>DPW</v>
      </c>
      <c r="S247" s="11">
        <f>IFERROR(IF(MARÍTIMOS[[#This Row],[Etapa Retiro - Cita]]="","",MARÍTIMOS[[#This Row],[Etapa Retiro - Cita]]),"")</f>
        <v>46222.416666666664</v>
      </c>
      <c r="T247" s="11">
        <f>IFERROR(IF(MARÍTIMOS[[#This Row],[Etapa Retiro - Llegada]]="","",MARÍTIMOS[[#This Row],[Etapa Retiro - Llegada]]),"")</f>
        <v>46222.439583333333</v>
      </c>
      <c r="U247" s="11">
        <f>IFERROR(IF(MARÍTIMOS[[#This Row],[Etapa Retiro - Ingreso]]="","",MARÍTIMOS[[#This Row],[Etapa Retiro - Ingreso]]),"")</f>
        <v>46222.449305555558</v>
      </c>
      <c r="V247" s="11">
        <f>IFERROR(IF(MARÍTIMOS[[#This Row],[Etapa Retiro - Atención]]="","",MARÍTIMOS[[#This Row],[Etapa Retiro - Atención]]),"")</f>
        <v>46222.451388888891</v>
      </c>
      <c r="W247" s="11">
        <f>IFERROR(IF(MARÍTIMOS[[#This Row],[Etapa Retiro - Atención]]="","",MARÍTIMOS[[#This Row],[Etapa Retiro - Atención]]),"")</f>
        <v>46222.451388888891</v>
      </c>
      <c r="X247" s="11">
        <f>IFERROR(IF(MARÍTIMOS[[#This Row],[Etapa Retiro - Inicio de Ruta]]="","",MARÍTIMOS[[#This Row],[Etapa Retiro - Inicio de Ruta]]),"")</f>
        <v>46222.75</v>
      </c>
      <c r="Y247" s="11">
        <f>IFERROR(IF(MARÍTIMOS[[#This Row],[Hora de Posicionamiento]]="","",MARÍTIMOS[[#This Row],[Fecha de Carga]]+MARÍTIMOS[[#This Row],[Hora de Posicionamiento]]),"")</f>
        <v>46223.333333333336</v>
      </c>
      <c r="Z247" s="11">
        <f>IFERROR(IF(MARÍTIMOS[[#This Row],[Etapa Despacho - Llegada]]="","",MARÍTIMOS[[#This Row],[Etapa Despacho - Llegada]]),"")</f>
        <v>46223.397916666669</v>
      </c>
      <c r="AA247" s="11">
        <f>IFERROR(IF(MARÍTIMOS[[#This Row],[Etapa Despacho - Registro]]="","",MARÍTIMOS[[#This Row],[Etapa Despacho - Registro]]),"")</f>
        <v>46223.399305555555</v>
      </c>
      <c r="AB247" s="11">
        <f>IFERROR(IF(MARÍTIMOS[[#This Row],[Inspección Externa]]="","",MARÍTIMOS[[#This Row],[Inspección Externa]]),"")</f>
        <v>46223.402777777781</v>
      </c>
      <c r="AC247" s="11">
        <f>IFERROR(IF(MARÍTIMOS[[#This Row],[Etapa Despacho - Inicio de Carga]]="","",MARÍTIMOS[[#This Row],[Etapa Despacho - Inicio de Carga]]),"")</f>
        <v>46223.597222222219</v>
      </c>
      <c r="AD247" s="11">
        <f>IFERROR(IF(MARÍTIMOS[[#This Row],[Etapa Despacho - Mitad de Carga]]="","",MARÍTIMOS[[#This Row],[Etapa Despacho - Mitad de Carga]]),"")</f>
        <v>46223.607638888891</v>
      </c>
      <c r="AE247" s="11">
        <f>IFERROR(IF(MARÍTIMOS[[#This Row],[Etapa Despacho - Fin de Carga]]="","",MARÍTIMOS[[#This Row],[Etapa Despacho - Fin de Carga]]),"")</f>
        <v>46223.659722222219</v>
      </c>
      <c r="AF247" s="2" t="str">
        <f>IFERROR(IF(MARÍTIMOS[[#This Row],[Puerto de Embarque]]="","",MARÍTIMOS[[#This Row],[Puerto de Embarque]]),"")</f>
        <v>Paita</v>
      </c>
      <c r="AG247" s="2" t="str">
        <f>IFERROR(IF(MARÍTIMOS[[#This Row],[Almacén de Ingreso]]="","",MARÍTIMOS[[#This Row],[Almacén de Ingreso]]),"")</f>
        <v>TPE</v>
      </c>
      <c r="AH247" s="11">
        <f>IFERROR(IF(MARÍTIMOS[[#This Row],[Etapa Ingreso - Cita]]="","",MARÍTIMOS[[#This Row],[Etapa Ingreso - Cita]]),"")</f>
        <v>46224.541666666664</v>
      </c>
      <c r="AI247" s="11">
        <f>IFERROR(IF(MARÍTIMOS[[#This Row],[Etapa Ingreso - Llegada]]="","",MARÍTIMOS[[#This Row],[Etapa Ingreso - Llegada]]),"")</f>
        <v>46224.554861111108</v>
      </c>
      <c r="AJ247" s="11">
        <f>IFERROR(IF(MARÍTIMOS[[#This Row],[Etapa Ingreso - Ingeso]]="","",MARÍTIMOS[[#This Row],[Etapa Ingreso - Ingeso]]),"")</f>
        <v>46224.565972222219</v>
      </c>
      <c r="AK247" s="11">
        <f>IFERROR(IF(MARÍTIMOS[[#This Row],[Etapa Ingreso - Atención]]="","",MARÍTIMOS[[#This Row],[Etapa Ingreso - Atención]]),"")</f>
        <v>46224.569444444445</v>
      </c>
      <c r="AL247" s="11">
        <f>IFERROR(IF(MARÍTIMOS[[#This Row],[Etapa Ingreso - Salida]]="","",MARÍTIMOS[[#This Row],[Etapa Ingreso - Salida]]),"")</f>
        <v>46224.582638888889</v>
      </c>
      <c r="AM247" s="2">
        <f>IFERROR(IF(MARÍTIMOS[[#This Row],[FCL]]="","",MARÍTIMOS[[#This Row],[FCL]]),"")</f>
        <v>1</v>
      </c>
      <c r="AN2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7" s="4" t="str" cm="1">
        <f t="array" ref="AO2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7" s="5">
        <f>IFERROR(OLDBD[[#This Row],[Llegada a packing]]-OLDBD[[#This Row],[Inicio de Ruta]],"")</f>
        <v>0.64791666666860692</v>
      </c>
      <c r="AQ247" s="6">
        <f>IFERROR(OLDBD[[#This Row],[Inicio de Ruta]]-OLDBD[[#This Row],[Salida de almacén de retiro]],"")</f>
        <v>0.29861111110949423</v>
      </c>
      <c r="AR2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7" s="8" t="str" cm="1">
        <f t="array" ref="AS2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47" s="9">
        <f>IFERROR(OLDBD[[#This Row],[Ingreso Packing]]-OLDBD[[#This Row],[Registro en Packing]],"")</f>
        <v>3.4722222262644209E-3</v>
      </c>
      <c r="AV247" s="9">
        <f>IFERROR(OLDBD[[#This Row],[Ingreso Packing]]-OLDBD[[#This Row],[Llegada a packing]],"")</f>
        <v>4.8611111124046147E-3</v>
      </c>
      <c r="AW2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247" s="5">
        <f>IFERROR(OLDBD[[#This Row],[Llegada Almacén de Ingreso]]-OLDBD[[#This Row],[Salida Packing]],"")</f>
        <v>0.89513888888905058</v>
      </c>
      <c r="AY247" s="4" t="str" cm="1">
        <f t="array" ref="AY2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7" s="43" t="s">
        <v>173</v>
      </c>
      <c r="BB247" s="47" t="str">
        <f>IFERROR(IF(MARÍTIMOS[[#This Row],[Estatus]]="","",MARÍTIMOS[[#This Row],[Estatus]]),"")</f>
        <v>Confirmado</v>
      </c>
      <c r="BC247" s="43"/>
      <c r="BD247" s="46">
        <f>IFERROR(OLDBD[[#This Row],[Salida de almacén de retiro]]-OLDBD[[#This Row],[Ingreso Almacén de retiro]],"")</f>
        <v>2.0833333328482695E-3</v>
      </c>
      <c r="BE247" s="46">
        <f>IFERROR(OLDBD[[#This Row],[Fin de Carga]]-OLDBD[[#This Row],[Inicio de Carga]],"")</f>
        <v>1.0416666671517305E-2</v>
      </c>
    </row>
    <row r="248" spans="1:57" customFormat="1" hidden="1">
      <c r="A248" s="1"/>
      <c r="B248" s="1">
        <f>IFERROR(IF(MARÍTIMOS[[#This Row],[PP]]="","",MARÍTIMOS[[#This Row],[PP]]),"")</f>
        <v>29</v>
      </c>
      <c r="C248" s="1" t="str">
        <f>IFERROR(IF(MARÍTIMOS[[#This Row],[Sede]]="","",MARÍTIMOS[[#This Row],[Sede]]),"")</f>
        <v>Chao</v>
      </c>
      <c r="D248" s="1" t="str">
        <f>IFERROR(IF(MARÍTIMOS[[#This Row],[Instruction]]="","",MARÍTIMOS[[#This Row],[Instruction]]),"")</f>
        <v>RH-0199</v>
      </c>
      <c r="E248" s="1"/>
      <c r="F248" s="2" t="str">
        <f>IFERROR(IF(MARÍTIMOS[[#This Row],[Transportista]]="","",MARÍTIMOS[[#This Row],[Transportista]]),"")</f>
        <v>LIP</v>
      </c>
      <c r="G248" s="2" t="str">
        <f>IFERROR(IF(MARÍTIMOS[[#This Row],[Tercero]]="","",MARÍTIMOS[[#This Row],[Tercero]]),"")</f>
        <v>NO</v>
      </c>
      <c r="H248" s="2" t="str">
        <f>IFERROR(IF(MARÍTIMOS[[#This Row],[Razón Social]]="","",MARÍTIMOS[[#This Row],[Razón Social]]),"")</f>
        <v xml:space="preserve">LOGISTICA INTERMODAL DEL PERU S.A.C.
</v>
      </c>
      <c r="I248" s="2">
        <f>IFERROR(IF(MARÍTIMOS[[#This Row],[RUC]]="","",MARÍTIMOS[[#This Row],[RUC]]),"")</f>
        <v>20513040718</v>
      </c>
      <c r="J248" s="2" t="str">
        <f>IFERROR(IF(MARÍTIMOS[[#This Row],[Placa Tracto]]="","",MARÍTIMOS[[#This Row],[Placa Tracto]]),"")</f>
        <v>AYN-818</v>
      </c>
      <c r="K248" s="2" t="str">
        <f>IFERROR(IF(MARÍTIMOS[[#This Row],[Placa Carreta]]="","",MARÍTIMOS[[#This Row],[Placa Carreta]]),"")</f>
        <v>AVY-986</v>
      </c>
      <c r="L248" s="44" t="str">
        <f>IFERROR(IF(MARÍTIMOS[[#This Row],[Conductor]]="","",MARÍTIMOS[[#This Row],[Conductor]]),"")</f>
        <v>CHERO MARRERO EDGAR ALFREDO</v>
      </c>
      <c r="M248" s="2" t="str">
        <f>IFERROR(IF(MARÍTIMOS[[#This Row],[Licencia]]="","",MARÍTIMOS[[#This Row],[Licencia]]),"")</f>
        <v>D19242591</v>
      </c>
      <c r="N248" s="2" t="str">
        <f>IFERROR(IF(MARÍTIMOS[[#This Row],[Número de Contacto]]="","",MARÍTIMOS[[#This Row],[Número de Contacto]]),"")</f>
        <v>973 000 655</v>
      </c>
      <c r="O248" s="10" t="str">
        <f>IFERROR(IF(MARÍTIMOS[[#This Row],[Booking|AWB|CRT]]="","",MARÍTIMOS[[#This Row],[Booking|AWB|CRT]]),"")</f>
        <v>PER9150722A</v>
      </c>
      <c r="P248" s="2" t="str">
        <f>IFERROR(IF(MARÍTIMOS[[#This Row],[Contenedor]]="","",MARÍTIMOS[[#This Row],[Contenedor]]),"")</f>
        <v>CAAU4166391</v>
      </c>
      <c r="Q248" s="2" t="str">
        <f>IFERROR(IF(MARÍTIMOS[[#This Row],[Puerto de Retiro]]="","",MARÍTIMOS[[#This Row],[Puerto de Retiro]]),"")</f>
        <v>PAITA</v>
      </c>
      <c r="R248" s="2" t="str">
        <f>IFERROR(IF(MARÍTIMOS[[#This Row],[Almacén de Retiro]]="","",MARÍTIMOS[[#This Row],[Almacén de Retiro]]),"")</f>
        <v>DPW</v>
      </c>
      <c r="S248" s="11">
        <f>IFERROR(IF(MARÍTIMOS[[#This Row],[Etapa Retiro - Cita]]="","",MARÍTIMOS[[#This Row],[Etapa Retiro - Cita]]),"")</f>
        <v>46222.458333333336</v>
      </c>
      <c r="T248" s="11">
        <f>IFERROR(IF(MARÍTIMOS[[#This Row],[Etapa Retiro - Llegada]]="","",MARÍTIMOS[[#This Row],[Etapa Retiro - Llegada]]),"")</f>
        <v>46222.45</v>
      </c>
      <c r="U248" s="11">
        <f>IFERROR(IF(MARÍTIMOS[[#This Row],[Etapa Retiro - Ingreso]]="","",MARÍTIMOS[[#This Row],[Etapa Retiro - Ingreso]]),"")</f>
        <v>46222.46597222222</v>
      </c>
      <c r="V248" s="11">
        <f>IFERROR(IF(MARÍTIMOS[[#This Row],[Etapa Retiro - Atención]]="","",MARÍTIMOS[[#This Row],[Etapa Retiro - Atención]]),"")</f>
        <v>46222.46875</v>
      </c>
      <c r="W248" s="11">
        <f>IFERROR(IF(MARÍTIMOS[[#This Row],[Etapa Retiro - Atención]]="","",MARÍTIMOS[[#This Row],[Etapa Retiro - Atención]]),"")</f>
        <v>46222.46875</v>
      </c>
      <c r="X248" s="11">
        <f>IFERROR(IF(MARÍTIMOS[[#This Row],[Etapa Retiro - Inicio de Ruta]]="","",MARÍTIMOS[[#This Row],[Etapa Retiro - Inicio de Ruta]]),"")</f>
        <v>46222.791666666664</v>
      </c>
      <c r="Y248" s="11">
        <f>IFERROR(IF(MARÍTIMOS[[#This Row],[Hora de Posicionamiento]]="","",MARÍTIMOS[[#This Row],[Fecha de Carga]]+MARÍTIMOS[[#This Row],[Hora de Posicionamiento]]),"")</f>
        <v>46223.333333333336</v>
      </c>
      <c r="Z248" s="11">
        <f>IFERROR(IF(MARÍTIMOS[[#This Row],[Etapa Despacho - Llegada]]="","",MARÍTIMOS[[#This Row],[Etapa Despacho - Llegada]]),"")</f>
        <v>46223.395833333336</v>
      </c>
      <c r="AA248" s="11">
        <f>IFERROR(IF(MARÍTIMOS[[#This Row],[Etapa Despacho - Registro]]="","",MARÍTIMOS[[#This Row],[Etapa Despacho - Registro]]),"")</f>
        <v>46223.399305555555</v>
      </c>
      <c r="AB248" s="11">
        <f>IFERROR(IF(MARÍTIMOS[[#This Row],[Inspección Externa]]="","",MARÍTIMOS[[#This Row],[Inspección Externa]]),"")</f>
        <v>46223.402777777781</v>
      </c>
      <c r="AC248" s="11">
        <f>IFERROR(IF(MARÍTIMOS[[#This Row],[Etapa Despacho - Inicio de Carga]]="","",MARÍTIMOS[[#This Row],[Etapa Despacho - Inicio de Carga]]),"")</f>
        <v>46223.534722222219</v>
      </c>
      <c r="AD248" s="11">
        <f>IFERROR(IF(MARÍTIMOS[[#This Row],[Etapa Despacho - Mitad de Carga]]="","",MARÍTIMOS[[#This Row],[Etapa Despacho - Mitad de Carga]]),"")</f>
        <v>46223.545138888891</v>
      </c>
      <c r="AE248" s="11">
        <f>IFERROR(IF(MARÍTIMOS[[#This Row],[Etapa Despacho - Fin de Carga]]="","",MARÍTIMOS[[#This Row],[Etapa Despacho - Fin de Carga]]),"")</f>
        <v>46223.576388888891</v>
      </c>
      <c r="AF248" s="2" t="str">
        <f>IFERROR(IF(MARÍTIMOS[[#This Row],[Puerto de Embarque]]="","",MARÍTIMOS[[#This Row],[Puerto de Embarque]]),"")</f>
        <v>Paita</v>
      </c>
      <c r="AG248" s="2" t="str">
        <f>IFERROR(IF(MARÍTIMOS[[#This Row],[Almacén de Ingreso]]="","",MARÍTIMOS[[#This Row],[Almacén de Ingreso]]),"")</f>
        <v>TPE</v>
      </c>
      <c r="AH248" s="11">
        <f>IFERROR(IF(MARÍTIMOS[[#This Row],[Etapa Ingreso - Cita]]="","",MARÍTIMOS[[#This Row],[Etapa Ingreso - Cita]]),"")</f>
        <v>46224.416666666664</v>
      </c>
      <c r="AI248" s="11">
        <f>IFERROR(IF(MARÍTIMOS[[#This Row],[Etapa Ingreso - Llegada]]="","",MARÍTIMOS[[#This Row],[Etapa Ingreso - Llegada]]),"")</f>
        <v>46224.415277777778</v>
      </c>
      <c r="AJ248" s="11">
        <f>IFERROR(IF(MARÍTIMOS[[#This Row],[Etapa Ingreso - Ingeso]]="","",MARÍTIMOS[[#This Row],[Etapa Ingreso - Ingeso]]),"")</f>
        <v>46224.438888888886</v>
      </c>
      <c r="AK248" s="11">
        <f>IFERROR(IF(MARÍTIMOS[[#This Row],[Etapa Ingreso - Atención]]="","",MARÍTIMOS[[#This Row],[Etapa Ingreso - Atención]]),"")</f>
        <v>46224.444444444445</v>
      </c>
      <c r="AL248" s="11">
        <f>IFERROR(IF(MARÍTIMOS[[#This Row],[Etapa Ingreso - Salida]]="","",MARÍTIMOS[[#This Row],[Etapa Ingreso - Salida]]),"")</f>
        <v>46224.447222222225</v>
      </c>
      <c r="AM248" s="2">
        <f>IFERROR(IF(MARÍTIMOS[[#This Row],[FCL]]="","",MARÍTIMOS[[#This Row],[FCL]]),"")</f>
        <v>1</v>
      </c>
      <c r="AN2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48" s="4" t="str" cm="1">
        <f t="array" ref="AO2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8" s="5">
        <f>IFERROR(OLDBD[[#This Row],[Llegada a packing]]-OLDBD[[#This Row],[Inicio de Ruta]],"")</f>
        <v>0.60416666667151731</v>
      </c>
      <c r="AQ248" s="6">
        <f>IFERROR(OLDBD[[#This Row],[Inicio de Ruta]]-OLDBD[[#This Row],[Salida de almacén de retiro]],"")</f>
        <v>0.32291666666424135</v>
      </c>
      <c r="AR2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8" s="8" t="str" cm="1">
        <f t="array" ref="AS2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48" s="9">
        <f>IFERROR(OLDBD[[#This Row],[Ingreso Packing]]-OLDBD[[#This Row],[Registro en Packing]],"")</f>
        <v>3.4722222262644209E-3</v>
      </c>
      <c r="AV248" s="9">
        <f>IFERROR(OLDBD[[#This Row],[Ingreso Packing]]-OLDBD[[#This Row],[Llegada a packing]],"")</f>
        <v>6.9444444452528842E-3</v>
      </c>
      <c r="AW2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48" s="5">
        <f>IFERROR(OLDBD[[#This Row],[Llegada Almacén de Ingreso]]-OLDBD[[#This Row],[Salida Packing]],"")</f>
        <v>0.83888888888759539</v>
      </c>
      <c r="AY248" s="4" t="str" cm="1">
        <f t="array" ref="AY2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8" s="43" t="s">
        <v>173</v>
      </c>
      <c r="BB248" s="47" t="str">
        <f>IFERROR(IF(MARÍTIMOS[[#This Row],[Estatus]]="","",MARÍTIMOS[[#This Row],[Estatus]]),"")</f>
        <v>Confirmado</v>
      </c>
      <c r="BC248" s="43"/>
      <c r="BD248" s="46">
        <f>IFERROR(OLDBD[[#This Row],[Salida de almacén de retiro]]-OLDBD[[#This Row],[Ingreso Almacén de retiro]],"")</f>
        <v>2.7777777795563452E-3</v>
      </c>
      <c r="BE248" s="46">
        <f>IFERROR(OLDBD[[#This Row],[Fin de Carga]]-OLDBD[[#This Row],[Inicio de Carga]],"")</f>
        <v>1.0416666671517305E-2</v>
      </c>
    </row>
    <row r="249" spans="1:57" customFormat="1" hidden="1">
      <c r="A249" s="1"/>
      <c r="B249" s="1">
        <f>IFERROR(IF(MARÍTIMOS[[#This Row],[PP]]="","",MARÍTIMOS[[#This Row],[PP]]),"")</f>
        <v>29</v>
      </c>
      <c r="C249" s="1" t="str">
        <f>IFERROR(IF(MARÍTIMOS[[#This Row],[Sede]]="","",MARÍTIMOS[[#This Row],[Sede]]),"")</f>
        <v>Chao</v>
      </c>
      <c r="D249" s="1" t="str">
        <f>IFERROR(IF(MARÍTIMOS[[#This Row],[Instruction]]="","",MARÍTIMOS[[#This Row],[Instruction]]),"")</f>
        <v>RH-0203</v>
      </c>
      <c r="E249" s="1"/>
      <c r="F249" s="2" t="str">
        <f>IFERROR(IF(MARÍTIMOS[[#This Row],[Transportista]]="","",MARÍTIMOS[[#This Row],[Transportista]]),"")</f>
        <v>LIP</v>
      </c>
      <c r="G249" s="2" t="str">
        <f>IFERROR(IF(MARÍTIMOS[[#This Row],[Tercero]]="","",MARÍTIMOS[[#This Row],[Tercero]]),"")</f>
        <v>NO</v>
      </c>
      <c r="H249" s="2" t="str">
        <f>IFERROR(IF(MARÍTIMOS[[#This Row],[Razón Social]]="","",MARÍTIMOS[[#This Row],[Razón Social]]),"")</f>
        <v xml:space="preserve">LOGISTICA INTERMODAL DEL PERU S.A.C.
</v>
      </c>
      <c r="I249" s="2">
        <f>IFERROR(IF(MARÍTIMOS[[#This Row],[RUC]]="","",MARÍTIMOS[[#This Row],[RUC]]),"")</f>
        <v>20513040718</v>
      </c>
      <c r="J249" s="2" t="str">
        <f>IFERROR(IF(MARÍTIMOS[[#This Row],[Placa Tracto]]="","",MARÍTIMOS[[#This Row],[Placa Tracto]]),"")</f>
        <v>BBG-825</v>
      </c>
      <c r="K249" s="2" t="str">
        <f>IFERROR(IF(MARÍTIMOS[[#This Row],[Placa Carreta]]="","",MARÍTIMOS[[#This Row],[Placa Carreta]]),"")</f>
        <v>ANA-974</v>
      </c>
      <c r="L249" s="44" t="str">
        <f>IFERROR(IF(MARÍTIMOS[[#This Row],[Conductor]]="","",MARÍTIMOS[[#This Row],[Conductor]]),"")</f>
        <v>TAVARA SOLIS PAUL MARLON</v>
      </c>
      <c r="M249" s="2" t="str">
        <f>IFERROR(IF(MARÍTIMOS[[#This Row],[Licencia]]="","",MARÍTIMOS[[#This Row],[Licencia]]),"")</f>
        <v>C17625579</v>
      </c>
      <c r="N249" s="2" t="str">
        <f>IFERROR(IF(MARÍTIMOS[[#This Row],[Número de Contacto]]="","",MARÍTIMOS[[#This Row],[Número de Contacto]]),"")</f>
        <v>976 069 655</v>
      </c>
      <c r="O249" s="10" t="str">
        <f>IFERROR(IF(MARÍTIMOS[[#This Row],[Booking|AWB|CRT]]="","",MARÍTIMOS[[#This Row],[Booking|AWB|CRT]]),"")</f>
        <v>PER9150726A</v>
      </c>
      <c r="P249" s="2" t="str">
        <f>IFERROR(IF(MARÍTIMOS[[#This Row],[Contenedor]]="","",MARÍTIMOS[[#This Row],[Contenedor]]),"")</f>
        <v>CAAU4087800</v>
      </c>
      <c r="Q249" s="2" t="str">
        <f>IFERROR(IF(MARÍTIMOS[[#This Row],[Puerto de Retiro]]="","",MARÍTIMOS[[#This Row],[Puerto de Retiro]]),"")</f>
        <v>PAITA</v>
      </c>
      <c r="R249" s="2" t="str">
        <f>IFERROR(IF(MARÍTIMOS[[#This Row],[Almacén de Retiro]]="","",MARÍTIMOS[[#This Row],[Almacén de Retiro]]),"")</f>
        <v>DPW</v>
      </c>
      <c r="S249" s="11">
        <f>IFERROR(IF(MARÍTIMOS[[#This Row],[Etapa Retiro - Cita]]="","",MARÍTIMOS[[#This Row],[Etapa Retiro - Cita]]),"")</f>
        <v>46223.5</v>
      </c>
      <c r="T249" s="11">
        <f>IFERROR(IF(MARÍTIMOS[[#This Row],[Etapa Retiro - Llegada]]="","",MARÍTIMOS[[#This Row],[Etapa Retiro - Llegada]]),"")</f>
        <v>46223.46875</v>
      </c>
      <c r="U249" s="11">
        <f>IFERROR(IF(MARÍTIMOS[[#This Row],[Etapa Retiro - Ingreso]]="","",MARÍTIMOS[[#This Row],[Etapa Retiro - Ingreso]]),"")</f>
        <v>46223.511111111111</v>
      </c>
      <c r="V249" s="11">
        <f>IFERROR(IF(MARÍTIMOS[[#This Row],[Etapa Retiro - Atención]]="","",MARÍTIMOS[[#This Row],[Etapa Retiro - Atención]]),"")</f>
        <v>46223.513888888891</v>
      </c>
      <c r="W249" s="11">
        <f>IFERROR(IF(MARÍTIMOS[[#This Row],[Etapa Retiro - Atención]]="","",MARÍTIMOS[[#This Row],[Etapa Retiro - Atención]]),"")</f>
        <v>46223.513888888891</v>
      </c>
      <c r="X249" s="11">
        <f>IFERROR(IF(MARÍTIMOS[[#This Row],[Etapa Retiro - Inicio de Ruta]]="","",MARÍTIMOS[[#This Row],[Etapa Retiro - Inicio de Ruta]]),"")</f>
        <v>46223.708333333336</v>
      </c>
      <c r="Y249" s="11">
        <f>IFERROR(IF(MARÍTIMOS[[#This Row],[Hora de Posicionamiento]]="","",MARÍTIMOS[[#This Row],[Fecha de Carga]]+MARÍTIMOS[[#This Row],[Hora de Posicionamiento]]),"")</f>
        <v>46224.333333333336</v>
      </c>
      <c r="Z249" s="11">
        <f>IFERROR(IF(MARÍTIMOS[[#This Row],[Etapa Despacho - Llegada]]="","",MARÍTIMOS[[#This Row],[Etapa Despacho - Llegada]]),"")</f>
        <v>46224.394444444442</v>
      </c>
      <c r="AA249" s="11">
        <f>IFERROR(IF(MARÍTIMOS[[#This Row],[Etapa Despacho - Registro]]="","",MARÍTIMOS[[#This Row],[Etapa Despacho - Registro]]),"")</f>
        <v>46224.399305555555</v>
      </c>
      <c r="AB249" s="11">
        <f>IFERROR(IF(MARÍTIMOS[[#This Row],[Inspección Externa]]="","",MARÍTIMOS[[#This Row],[Inspección Externa]]),"")</f>
        <v>46224.402777777781</v>
      </c>
      <c r="AC249" s="11">
        <f>IFERROR(IF(MARÍTIMOS[[#This Row],[Etapa Despacho - Inicio de Carga]]="","",MARÍTIMOS[[#This Row],[Etapa Despacho - Inicio de Carga]]),"")</f>
        <v>46224.604166666664</v>
      </c>
      <c r="AD249" s="11">
        <f>IFERROR(IF(MARÍTIMOS[[#This Row],[Etapa Despacho - Mitad de Carga]]="","",MARÍTIMOS[[#This Row],[Etapa Despacho - Mitad de Carga]]),"")</f>
        <v>46224.614583333336</v>
      </c>
      <c r="AE249" s="11">
        <f>IFERROR(IF(MARÍTIMOS[[#This Row],[Etapa Despacho - Fin de Carga]]="","",MARÍTIMOS[[#This Row],[Etapa Despacho - Fin de Carga]]),"")</f>
        <v>46224.645833333336</v>
      </c>
      <c r="AF249" s="2" t="str">
        <f>IFERROR(IF(MARÍTIMOS[[#This Row],[Puerto de Embarque]]="","",MARÍTIMOS[[#This Row],[Puerto de Embarque]]),"")</f>
        <v>Paita</v>
      </c>
      <c r="AG249" s="2" t="str">
        <f>IFERROR(IF(MARÍTIMOS[[#This Row],[Almacén de Ingreso]]="","",MARÍTIMOS[[#This Row],[Almacén de Ingreso]]),"")</f>
        <v>TPE</v>
      </c>
      <c r="AH249" s="11">
        <f>IFERROR(IF(MARÍTIMOS[[#This Row],[Etapa Ingreso - Cita]]="","",MARÍTIMOS[[#This Row],[Etapa Ingreso - Cita]]),"")</f>
        <v>46225.5</v>
      </c>
      <c r="AI249" s="11">
        <f>IFERROR(IF(MARÍTIMOS[[#This Row],[Etapa Ingreso - Llegada]]="","",MARÍTIMOS[[#This Row],[Etapa Ingreso - Llegada]]),"")</f>
        <v>46225.492361111108</v>
      </c>
      <c r="AJ249" s="11">
        <f>IFERROR(IF(MARÍTIMOS[[#This Row],[Etapa Ingreso - Ingeso]]="","",MARÍTIMOS[[#This Row],[Etapa Ingreso - Ingeso]]),"")</f>
        <v>46225.5</v>
      </c>
      <c r="AK249" s="11">
        <f>IFERROR(IF(MARÍTIMOS[[#This Row],[Etapa Ingreso - Atención]]="","",MARÍTIMOS[[#This Row],[Etapa Ingreso - Atención]]),"")</f>
        <v>46225.503472222219</v>
      </c>
      <c r="AL249" s="11">
        <f>IFERROR(IF(MARÍTIMOS[[#This Row],[Etapa Ingreso - Salida]]="","",MARÍTIMOS[[#This Row],[Etapa Ingreso - Salida]]),"")</f>
        <v>46225.51458333333</v>
      </c>
      <c r="AM249" s="2">
        <f>IFERROR(IF(MARÍTIMOS[[#This Row],[FCL]]="","",MARÍTIMOS[[#This Row],[FCL]]),"")</f>
        <v>1</v>
      </c>
      <c r="AN2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249" s="4" t="str" cm="1">
        <f t="array" ref="AO2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49" s="5">
        <f>IFERROR(OLDBD[[#This Row],[Llegada a packing]]-OLDBD[[#This Row],[Inicio de Ruta]],"")</f>
        <v>0.68611111110658385</v>
      </c>
      <c r="AQ249" s="6">
        <f>IFERROR(OLDBD[[#This Row],[Inicio de Ruta]]-OLDBD[[#This Row],[Salida de almacén de retiro]],"")</f>
        <v>0.19444444444525288</v>
      </c>
      <c r="AR2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49" s="8" t="str" cm="1">
        <f t="array" ref="AS2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49" s="9">
        <f>IFERROR(OLDBD[[#This Row],[Ingreso Packing]]-OLDBD[[#This Row],[Registro en Packing]],"")</f>
        <v>3.4722222262644209E-3</v>
      </c>
      <c r="AV249" s="9">
        <f>IFERROR(OLDBD[[#This Row],[Ingreso Packing]]-OLDBD[[#This Row],[Llegada a packing]],"")</f>
        <v>8.3333333386690356E-3</v>
      </c>
      <c r="AW2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249" s="5">
        <f>IFERROR(OLDBD[[#This Row],[Llegada Almacén de Ingreso]]-OLDBD[[#This Row],[Salida Packing]],"")</f>
        <v>0.84652777777228039</v>
      </c>
      <c r="AY249" s="4" t="str" cm="1">
        <f t="array" ref="AY2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49" s="43" t="s">
        <v>173</v>
      </c>
      <c r="BB249" s="47" t="str">
        <f>IFERROR(IF(MARÍTIMOS[[#This Row],[Estatus]]="","",MARÍTIMOS[[#This Row],[Estatus]]),"")</f>
        <v>Confirmado</v>
      </c>
      <c r="BC249" s="43"/>
      <c r="BD249" s="46">
        <f>IFERROR(OLDBD[[#This Row],[Salida de almacén de retiro]]-OLDBD[[#This Row],[Ingreso Almacén de retiro]],"")</f>
        <v>2.7777777795563452E-3</v>
      </c>
      <c r="BE249" s="46">
        <f>IFERROR(OLDBD[[#This Row],[Fin de Carga]]-OLDBD[[#This Row],[Inicio de Carga]],"")</f>
        <v>1.0416666671517305E-2</v>
      </c>
    </row>
    <row r="250" spans="1:57" customFormat="1" hidden="1">
      <c r="A250" s="1"/>
      <c r="B250" s="1">
        <f>IFERROR(IF(MARÍTIMOS[[#This Row],[PP]]="","",MARÍTIMOS[[#This Row],[PP]]),"")</f>
        <v>29</v>
      </c>
      <c r="C250" s="1" t="str">
        <f>IFERROR(IF(MARÍTIMOS[[#This Row],[Sede]]="","",MARÍTIMOS[[#This Row],[Sede]]),"")</f>
        <v>Chao</v>
      </c>
      <c r="D250" s="1" t="str">
        <f>IFERROR(IF(MARÍTIMOS[[#This Row],[Instruction]]="","",MARÍTIMOS[[#This Row],[Instruction]]),"")</f>
        <v>RH-0204</v>
      </c>
      <c r="E250" s="1"/>
      <c r="F250" s="2" t="str">
        <f>IFERROR(IF(MARÍTIMOS[[#This Row],[Transportista]]="","",MARÍTIMOS[[#This Row],[Transportista]]),"")</f>
        <v>LIP</v>
      </c>
      <c r="G250" s="2" t="str">
        <f>IFERROR(IF(MARÍTIMOS[[#This Row],[Tercero]]="","",MARÍTIMOS[[#This Row],[Tercero]]),"")</f>
        <v>NO</v>
      </c>
      <c r="H250" s="2" t="str">
        <f>IFERROR(IF(MARÍTIMOS[[#This Row],[Razón Social]]="","",MARÍTIMOS[[#This Row],[Razón Social]]),"")</f>
        <v xml:space="preserve">LOGISTICA INTERMODAL DEL PERU S.A.C.
</v>
      </c>
      <c r="I250" s="2">
        <f>IFERROR(IF(MARÍTIMOS[[#This Row],[RUC]]="","",MARÍTIMOS[[#This Row],[RUC]]),"")</f>
        <v>20513040718</v>
      </c>
      <c r="J250" s="2" t="str">
        <f>IFERROR(IF(MARÍTIMOS[[#This Row],[Placa Tracto]]="","",MARÍTIMOS[[#This Row],[Placa Tracto]]),"")</f>
        <v>APU-757</v>
      </c>
      <c r="K250" s="2" t="str">
        <f>IFERROR(IF(MARÍTIMOS[[#This Row],[Placa Carreta]]="","",MARÍTIMOS[[#This Row],[Placa Carreta]]),"")</f>
        <v>ARQ-991</v>
      </c>
      <c r="L250" s="44" t="str">
        <f>IFERROR(IF(MARÍTIMOS[[#This Row],[Conductor]]="","",MARÍTIMOS[[#This Row],[Conductor]]),"")</f>
        <v>SANDOVAL RAMOS LUIS</v>
      </c>
      <c r="M250" s="2" t="str">
        <f>IFERROR(IF(MARÍTIMOS[[#This Row],[Licencia]]="","",MARÍTIMOS[[#This Row],[Licencia]]),"")</f>
        <v>Q40848242</v>
      </c>
      <c r="N250" s="2" t="str">
        <f>IFERROR(IF(MARÍTIMOS[[#This Row],[Número de Contacto]]="","",MARÍTIMOS[[#This Row],[Número de Contacto]]),"")</f>
        <v>973 059 655</v>
      </c>
      <c r="O250" s="10" t="str">
        <f>IFERROR(IF(MARÍTIMOS[[#This Row],[Booking|AWB|CRT]]="","",MARÍTIMOS[[#This Row],[Booking|AWB|CRT]]),"")</f>
        <v>PER9150727A</v>
      </c>
      <c r="P250" s="2" t="str">
        <f>IFERROR(IF(MARÍTIMOS[[#This Row],[Contenedor]]="","",MARÍTIMOS[[#This Row],[Contenedor]]),"")</f>
        <v>CAAU4168162</v>
      </c>
      <c r="Q250" s="2" t="str">
        <f>IFERROR(IF(MARÍTIMOS[[#This Row],[Puerto de Retiro]]="","",MARÍTIMOS[[#This Row],[Puerto de Retiro]]),"")</f>
        <v>PAITA</v>
      </c>
      <c r="R250" s="2" t="str">
        <f>IFERROR(IF(MARÍTIMOS[[#This Row],[Almacén de Retiro]]="","",MARÍTIMOS[[#This Row],[Almacén de Retiro]]),"")</f>
        <v>DPW</v>
      </c>
      <c r="S250" s="11">
        <f>IFERROR(IF(MARÍTIMOS[[#This Row],[Etapa Retiro - Cita]]="","",MARÍTIMOS[[#This Row],[Etapa Retiro - Cita]]),"")</f>
        <v>46223.5</v>
      </c>
      <c r="T250" s="11">
        <f>IFERROR(IF(MARÍTIMOS[[#This Row],[Etapa Retiro - Llegada]]="","",MARÍTIMOS[[#This Row],[Etapa Retiro - Llegada]]),"")</f>
        <v>46223.466666666667</v>
      </c>
      <c r="U250" s="11">
        <f>IFERROR(IF(MARÍTIMOS[[#This Row],[Etapa Retiro - Ingreso]]="","",MARÍTIMOS[[#This Row],[Etapa Retiro - Ingreso]]),"")</f>
        <v>46223.508333333331</v>
      </c>
      <c r="V250" s="11">
        <f>IFERROR(IF(MARÍTIMOS[[#This Row],[Etapa Retiro - Atención]]="","",MARÍTIMOS[[#This Row],[Etapa Retiro - Atención]]),"")</f>
        <v>46223.510416666664</v>
      </c>
      <c r="W250" s="11">
        <f>IFERROR(IF(MARÍTIMOS[[#This Row],[Etapa Retiro - Atención]]="","",MARÍTIMOS[[#This Row],[Etapa Retiro - Atención]]),"")</f>
        <v>46223.510416666664</v>
      </c>
      <c r="X250" s="11">
        <f>IFERROR(IF(MARÍTIMOS[[#This Row],[Etapa Retiro - Inicio de Ruta]]="","",MARÍTIMOS[[#This Row],[Etapa Retiro - Inicio de Ruta]]),"")</f>
        <v>46223.708333333336</v>
      </c>
      <c r="Y250" s="11">
        <f>IFERROR(IF(MARÍTIMOS[[#This Row],[Hora de Posicionamiento]]="","",MARÍTIMOS[[#This Row],[Fecha de Carga]]+MARÍTIMOS[[#This Row],[Hora de Posicionamiento]]),"")</f>
        <v>46224.333333333336</v>
      </c>
      <c r="Z250" s="11">
        <f>IFERROR(IF(MARÍTIMOS[[#This Row],[Etapa Despacho - Llegada]]="","",MARÍTIMOS[[#This Row],[Etapa Despacho - Llegada]]),"")</f>
        <v>46224.395833333336</v>
      </c>
      <c r="AA250" s="11">
        <f>IFERROR(IF(MARÍTIMOS[[#This Row],[Etapa Despacho - Registro]]="","",MARÍTIMOS[[#This Row],[Etapa Despacho - Registro]]),"")</f>
        <v>46224.399305555555</v>
      </c>
      <c r="AB250" s="11">
        <f>IFERROR(IF(MARÍTIMOS[[#This Row],[Inspección Externa]]="","",MARÍTIMOS[[#This Row],[Inspección Externa]]),"")</f>
        <v>46224.402777777781</v>
      </c>
      <c r="AC250" s="11">
        <f>IFERROR(IF(MARÍTIMOS[[#This Row],[Etapa Despacho - Inicio de Carga]]="","",MARÍTIMOS[[#This Row],[Etapa Despacho - Inicio de Carga]]),"")</f>
        <v>46224.402777777781</v>
      </c>
      <c r="AD250" s="11">
        <f>IFERROR(IF(MARÍTIMOS[[#This Row],[Etapa Despacho - Mitad de Carga]]="","",MARÍTIMOS[[#This Row],[Etapa Despacho - Mitad de Carga]]),"")</f>
        <v>46224.413194444445</v>
      </c>
      <c r="AE250" s="11">
        <f>IFERROR(IF(MARÍTIMOS[[#This Row],[Etapa Despacho - Fin de Carga]]="","",MARÍTIMOS[[#This Row],[Etapa Despacho - Fin de Carga]]),"")</f>
        <v>46224.597222222219</v>
      </c>
      <c r="AF250" s="2" t="str">
        <f>IFERROR(IF(MARÍTIMOS[[#This Row],[Puerto de Embarque]]="","",MARÍTIMOS[[#This Row],[Puerto de Embarque]]),"")</f>
        <v>Paita</v>
      </c>
      <c r="AG250" s="2" t="str">
        <f>IFERROR(IF(MARÍTIMOS[[#This Row],[Almacén de Ingreso]]="","",MARÍTIMOS[[#This Row],[Almacén de Ingreso]]),"")</f>
        <v>TPE</v>
      </c>
      <c r="AH250" s="11">
        <f>IFERROR(IF(MARÍTIMOS[[#This Row],[Etapa Ingreso - Cita]]="","",MARÍTIMOS[[#This Row],[Etapa Ingreso - Cita]]),"")</f>
        <v>46225.458333333336</v>
      </c>
      <c r="AI250" s="11">
        <f>IFERROR(IF(MARÍTIMOS[[#This Row],[Etapa Ingreso - Llegada]]="","",MARÍTIMOS[[#This Row],[Etapa Ingreso - Llegada]]),"")</f>
        <v>46225.456944444442</v>
      </c>
      <c r="AJ250" s="11">
        <f>IFERROR(IF(MARÍTIMOS[[#This Row],[Etapa Ingreso - Ingeso]]="","",MARÍTIMOS[[#This Row],[Etapa Ingreso - Ingeso]]),"")</f>
        <v>46225.456944444442</v>
      </c>
      <c r="AK250" s="11">
        <f>IFERROR(IF(MARÍTIMOS[[#This Row],[Etapa Ingreso - Atención]]="","",MARÍTIMOS[[#This Row],[Etapa Ingreso - Atención]]),"")</f>
        <v>46225.461111111108</v>
      </c>
      <c r="AL250" s="11">
        <f>IFERROR(IF(MARÍTIMOS[[#This Row],[Etapa Ingreso - Salida]]="","",MARÍTIMOS[[#This Row],[Etapa Ingreso - Salida]]),"")</f>
        <v>46225.46875</v>
      </c>
      <c r="AM250" s="2">
        <f>IFERROR(IF(MARÍTIMOS[[#This Row],[FCL]]="","",MARÍTIMOS[[#This Row],[FCL]]),"")</f>
        <v>1</v>
      </c>
      <c r="AN2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250" s="4" t="str" cm="1">
        <f t="array" ref="AO2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0" s="5">
        <f>IFERROR(OLDBD[[#This Row],[Llegada a packing]]-OLDBD[[#This Row],[Inicio de Ruta]],"")</f>
        <v>0.6875</v>
      </c>
      <c r="AQ250" s="6">
        <f>IFERROR(OLDBD[[#This Row],[Inicio de Ruta]]-OLDBD[[#This Row],[Salida de almacén de retiro]],"")</f>
        <v>0.19791666667151731</v>
      </c>
      <c r="AR2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50" s="8" t="str" cm="1">
        <f t="array" ref="AS2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50" s="9">
        <f>IFERROR(OLDBD[[#This Row],[Ingreso Packing]]-OLDBD[[#This Row],[Registro en Packing]],"")</f>
        <v>3.4722222262644209E-3</v>
      </c>
      <c r="AV250" s="9">
        <f>IFERROR(OLDBD[[#This Row],[Ingreso Packing]]-OLDBD[[#This Row],[Llegada a packing]],"")</f>
        <v>6.9444444452528842E-3</v>
      </c>
      <c r="AW2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50" s="5">
        <f>IFERROR(OLDBD[[#This Row],[Llegada Almacén de Ingreso]]-OLDBD[[#This Row],[Salida Packing]],"")</f>
        <v>0.85972222222335404</v>
      </c>
      <c r="AY250" s="4" t="str" cm="1">
        <f t="array" ref="AY2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0" s="43" t="s">
        <v>173</v>
      </c>
      <c r="BB250" s="47" t="str">
        <f>IFERROR(IF(MARÍTIMOS[[#This Row],[Estatus]]="","",MARÍTIMOS[[#This Row],[Estatus]]),"")</f>
        <v>Confirmado</v>
      </c>
      <c r="BC250" s="43"/>
      <c r="BD250" s="46">
        <f>IFERROR(OLDBD[[#This Row],[Salida de almacén de retiro]]-OLDBD[[#This Row],[Ingreso Almacén de retiro]],"")</f>
        <v>2.0833333328482695E-3</v>
      </c>
      <c r="BE250" s="46">
        <f>IFERROR(OLDBD[[#This Row],[Fin de Carga]]-OLDBD[[#This Row],[Inicio de Carga]],"")</f>
        <v>1.0416666664241347E-2</v>
      </c>
    </row>
    <row r="251" spans="1:57" customFormat="1" hidden="1">
      <c r="A251" s="1"/>
      <c r="B251" s="1">
        <f>IFERROR(IF(MARÍTIMOS[[#This Row],[PP]]="","",MARÍTIMOS[[#This Row],[PP]]),"")</f>
        <v>29</v>
      </c>
      <c r="C251" s="1" t="str">
        <f>IFERROR(IF(MARÍTIMOS[[#This Row],[Sede]]="","",MARÍTIMOS[[#This Row],[Sede]]),"")</f>
        <v>Chao</v>
      </c>
      <c r="D251" s="1" t="str">
        <f>IFERROR(IF(MARÍTIMOS[[#This Row],[Instruction]]="","",MARÍTIMOS[[#This Row],[Instruction]]),"")</f>
        <v>RH-0205</v>
      </c>
      <c r="E251" s="1"/>
      <c r="F251" s="2" t="str">
        <f>IFERROR(IF(MARÍTIMOS[[#This Row],[Transportista]]="","",MARÍTIMOS[[#This Row],[Transportista]]),"")</f>
        <v>LIP</v>
      </c>
      <c r="G251" s="2" t="str">
        <f>IFERROR(IF(MARÍTIMOS[[#This Row],[Tercero]]="","",MARÍTIMOS[[#This Row],[Tercero]]),"")</f>
        <v>SI</v>
      </c>
      <c r="H251" s="2" t="str">
        <f>IFERROR(IF(MARÍTIMOS[[#This Row],[Razón Social]]="","",MARÍTIMOS[[#This Row],[Razón Social]]),"")</f>
        <v>TRANSCAR MATHEO SOCIEDAD ANONIMA CERRADA</v>
      </c>
      <c r="I251" s="2">
        <f>IFERROR(IF(MARÍTIMOS[[#This Row],[RUC]]="","",MARÍTIMOS[[#This Row],[RUC]]),"")</f>
        <v>20612886921</v>
      </c>
      <c r="J251" s="2" t="str">
        <f>IFERROR(IF(MARÍTIMOS[[#This Row],[Placa Tracto]]="","",MARÍTIMOS[[#This Row],[Placa Tracto]]),"")</f>
        <v>TAD-861</v>
      </c>
      <c r="K251" s="2" t="str">
        <f>IFERROR(IF(MARÍTIMOS[[#This Row],[Placa Carreta]]="","",MARÍTIMOS[[#This Row],[Placa Carreta]]),"")</f>
        <v>T0R-991</v>
      </c>
      <c r="L251" s="44" t="str">
        <f>IFERROR(IF(MARÍTIMOS[[#This Row],[Conductor]]="","",MARÍTIMOS[[#This Row],[Conductor]]),"")</f>
        <v>GIRON CORONADO LUIS HUMBERTO</v>
      </c>
      <c r="M251" s="2" t="str">
        <f>IFERROR(IF(MARÍTIMOS[[#This Row],[Licencia]]="","",MARÍTIMOS[[#This Row],[Licencia]]),"")</f>
        <v>B02838223</v>
      </c>
      <c r="N251" s="2" t="str">
        <f>IFERROR(IF(MARÍTIMOS[[#This Row],[Número de Contacto]]="","",MARÍTIMOS[[#This Row],[Número de Contacto]]),"")</f>
        <v>956 005 437</v>
      </c>
      <c r="O251" s="10" t="str">
        <f>IFERROR(IF(MARÍTIMOS[[#This Row],[Booking|AWB|CRT]]="","",MARÍTIMOS[[#This Row],[Booking|AWB|CRT]]),"")</f>
        <v>PER9150728A</v>
      </c>
      <c r="P251" s="2" t="str">
        <f>IFERROR(IF(MARÍTIMOS[[#This Row],[Contenedor]]="","",MARÍTIMOS[[#This Row],[Contenedor]]),"")</f>
        <v>CAAU4168244</v>
      </c>
      <c r="Q251" s="2" t="str">
        <f>IFERROR(IF(MARÍTIMOS[[#This Row],[Puerto de Retiro]]="","",MARÍTIMOS[[#This Row],[Puerto de Retiro]]),"")</f>
        <v>PAITA</v>
      </c>
      <c r="R251" s="2" t="str">
        <f>IFERROR(IF(MARÍTIMOS[[#This Row],[Almacén de Retiro]]="","",MARÍTIMOS[[#This Row],[Almacén de Retiro]]),"")</f>
        <v>DPW</v>
      </c>
      <c r="S251" s="11">
        <f>IFERROR(IF(MARÍTIMOS[[#This Row],[Etapa Retiro - Cita]]="","",MARÍTIMOS[[#This Row],[Etapa Retiro - Cita]]),"")</f>
        <v>46223.458333333336</v>
      </c>
      <c r="T251" s="11">
        <f>IFERROR(IF(MARÍTIMOS[[#This Row],[Etapa Retiro - Llegada]]="","",MARÍTIMOS[[#This Row],[Etapa Retiro - Llegada]]),"")</f>
        <v>46223.475694444445</v>
      </c>
      <c r="U251" s="11">
        <f>IFERROR(IF(MARÍTIMOS[[#This Row],[Etapa Retiro - Ingreso]]="","",MARÍTIMOS[[#This Row],[Etapa Retiro - Ingreso]]),"")</f>
        <v>46223.482638888891</v>
      </c>
      <c r="V251" s="11">
        <f>IFERROR(IF(MARÍTIMOS[[#This Row],[Etapa Retiro - Atención]]="","",MARÍTIMOS[[#This Row],[Etapa Retiro - Atención]]),"")</f>
        <v>46223.486111111109</v>
      </c>
      <c r="W251" s="11">
        <f>IFERROR(IF(MARÍTIMOS[[#This Row],[Etapa Retiro - Atención]]="","",MARÍTIMOS[[#This Row],[Etapa Retiro - Atención]]),"")</f>
        <v>46223.486111111109</v>
      </c>
      <c r="X251" s="11">
        <f>IFERROR(IF(MARÍTIMOS[[#This Row],[Etapa Retiro - Inicio de Ruta]]="","",MARÍTIMOS[[#This Row],[Etapa Retiro - Inicio de Ruta]]),"")</f>
        <v>46223.701388888891</v>
      </c>
      <c r="Y251" s="11">
        <f>IFERROR(IF(MARÍTIMOS[[#This Row],[Hora de Posicionamiento]]="","",MARÍTIMOS[[#This Row],[Fecha de Carga]]+MARÍTIMOS[[#This Row],[Hora de Posicionamiento]]),"")</f>
        <v>46224.333333333336</v>
      </c>
      <c r="Z251" s="11">
        <f>IFERROR(IF(MARÍTIMOS[[#This Row],[Etapa Despacho - Llegada]]="","",MARÍTIMOS[[#This Row],[Etapa Despacho - Llegada]]),"")</f>
        <v>46224.265972222223</v>
      </c>
      <c r="AA251" s="11">
        <f>IFERROR(IF(MARÍTIMOS[[#This Row],[Etapa Despacho - Registro]]="","",MARÍTIMOS[[#This Row],[Etapa Despacho - Registro]]),"")</f>
        <v>46224.267361111109</v>
      </c>
      <c r="AB251" s="11">
        <f>IFERROR(IF(MARÍTIMOS[[#This Row],[Inspección Externa]]="","",MARÍTIMOS[[#This Row],[Inspección Externa]]),"")</f>
        <v>46224.270833333336</v>
      </c>
      <c r="AC251" s="11">
        <f>IFERROR(IF(MARÍTIMOS[[#This Row],[Etapa Despacho - Inicio de Carga]]="","",MARÍTIMOS[[#This Row],[Etapa Despacho - Inicio de Carga]]),"")</f>
        <v>46224.597222222219</v>
      </c>
      <c r="AD251" s="11">
        <f>IFERROR(IF(MARÍTIMOS[[#This Row],[Etapa Despacho - Mitad de Carga]]="","",MARÍTIMOS[[#This Row],[Etapa Despacho - Mitad de Carga]]),"")</f>
        <v>46224.607638888891</v>
      </c>
      <c r="AE251" s="11">
        <f>IFERROR(IF(MARÍTIMOS[[#This Row],[Etapa Despacho - Fin de Carga]]="","",MARÍTIMOS[[#This Row],[Etapa Despacho - Fin de Carga]]),"")</f>
        <v>46224.673611111109</v>
      </c>
      <c r="AF251" s="2" t="str">
        <f>IFERROR(IF(MARÍTIMOS[[#This Row],[Puerto de Embarque]]="","",MARÍTIMOS[[#This Row],[Puerto de Embarque]]),"")</f>
        <v>Paita</v>
      </c>
      <c r="AG251" s="2" t="str">
        <f>IFERROR(IF(MARÍTIMOS[[#This Row],[Almacén de Ingreso]]="","",MARÍTIMOS[[#This Row],[Almacén de Ingreso]]),"")</f>
        <v>TPE</v>
      </c>
      <c r="AH251" s="11">
        <f>IFERROR(IF(MARÍTIMOS[[#This Row],[Etapa Ingreso - Cita]]="","",MARÍTIMOS[[#This Row],[Etapa Ingreso - Cita]]),"")</f>
        <v>46225.375</v>
      </c>
      <c r="AI251" s="11">
        <f>IFERROR(IF(MARÍTIMOS[[#This Row],[Etapa Ingreso - Llegada]]="","",MARÍTIMOS[[#This Row],[Etapa Ingreso - Llegada]]),"")</f>
        <v>46225.384722222225</v>
      </c>
      <c r="AJ251" s="11">
        <f>IFERROR(IF(MARÍTIMOS[[#This Row],[Etapa Ingreso - Ingeso]]="","",MARÍTIMOS[[#This Row],[Etapa Ingreso - Ingeso]]),"")</f>
        <v>46225.397222222222</v>
      </c>
      <c r="AK251" s="11">
        <f>IFERROR(IF(MARÍTIMOS[[#This Row],[Etapa Ingreso - Atención]]="","",MARÍTIMOS[[#This Row],[Etapa Ingreso - Atención]]),"")</f>
        <v>46225.399305555555</v>
      </c>
      <c r="AL251" s="11">
        <f>IFERROR(IF(MARÍTIMOS[[#This Row],[Etapa Ingreso - Salida]]="","",MARÍTIMOS[[#This Row],[Etapa Ingreso - Salida]]),"")</f>
        <v>46225.411111111112</v>
      </c>
      <c r="AM251" s="2">
        <f>IFERROR(IF(MARÍTIMOS[[#This Row],[FCL]]="","",MARÍTIMOS[[#This Row],[FCL]]),"")</f>
        <v>1</v>
      </c>
      <c r="AN2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1" s="4" t="str" cm="1">
        <f t="array" ref="AO2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1" s="5">
        <f>IFERROR(OLDBD[[#This Row],[Llegada a packing]]-OLDBD[[#This Row],[Inicio de Ruta]],"")</f>
        <v>0.56458333333284827</v>
      </c>
      <c r="AQ251" s="6">
        <f>IFERROR(OLDBD[[#This Row],[Inicio de Ruta]]-OLDBD[[#This Row],[Salida de almacén de retiro]],"")</f>
        <v>0.21527777778101154</v>
      </c>
      <c r="AR2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51" s="8" t="str" cm="1">
        <f t="array" ref="AS2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51" s="9">
        <f>IFERROR(OLDBD[[#This Row],[Ingreso Packing]]-OLDBD[[#This Row],[Registro en Packing]],"")</f>
        <v>3.4722222262644209E-3</v>
      </c>
      <c r="AV251" s="9">
        <f>IFERROR(OLDBD[[#This Row],[Ingreso Packing]]-OLDBD[[#This Row],[Llegada a packing]],"")</f>
        <v>4.8611111124046147E-3</v>
      </c>
      <c r="AW2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51" s="5">
        <f>IFERROR(OLDBD[[#This Row],[Llegada Almacén de Ingreso]]-OLDBD[[#This Row],[Salida Packing]],"")</f>
        <v>0.711111111115315</v>
      </c>
      <c r="AY251" s="4" t="str" cm="1">
        <f t="array" ref="AY2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1" s="43" t="s">
        <v>173</v>
      </c>
      <c r="BB251" s="47" t="str">
        <f>IFERROR(IF(MARÍTIMOS[[#This Row],[Estatus]]="","",MARÍTIMOS[[#This Row],[Estatus]]),"")</f>
        <v>Confirmado</v>
      </c>
      <c r="BC251" s="43"/>
      <c r="BD251" s="46">
        <f>IFERROR(OLDBD[[#This Row],[Salida de almacén de retiro]]-OLDBD[[#This Row],[Ingreso Almacén de retiro]],"")</f>
        <v>3.4722222189884633E-3</v>
      </c>
      <c r="BE251" s="46">
        <f>IFERROR(OLDBD[[#This Row],[Fin de Carga]]-OLDBD[[#This Row],[Inicio de Carga]],"")</f>
        <v>1.0416666671517305E-2</v>
      </c>
    </row>
    <row r="252" spans="1:57" customFormat="1" hidden="1">
      <c r="A252" s="1"/>
      <c r="B252" s="1">
        <f>IFERROR(IF(MARÍTIMOS[[#This Row],[PP]]="","",MARÍTIMOS[[#This Row],[PP]]),"")</f>
        <v>29</v>
      </c>
      <c r="C252" s="1" t="str">
        <f>IFERROR(IF(MARÍTIMOS[[#This Row],[Sede]]="","",MARÍTIMOS[[#This Row],[Sede]]),"")</f>
        <v>Olmos</v>
      </c>
      <c r="D252" s="1" t="str">
        <f>IFERROR(IF(MARÍTIMOS[[#This Row],[Instruction]]="","",MARÍTIMOS[[#This Row],[Instruction]]),"")</f>
        <v>RH-0207</v>
      </c>
      <c r="E252" s="1"/>
      <c r="F252" s="2" t="str">
        <f>IFERROR(IF(MARÍTIMOS[[#This Row],[Transportista]]="","",MARÍTIMOS[[#This Row],[Transportista]]),"")</f>
        <v>LIP</v>
      </c>
      <c r="G252" s="2" t="str">
        <f>IFERROR(IF(MARÍTIMOS[[#This Row],[Tercero]]="","",MARÍTIMOS[[#This Row],[Tercero]]),"")</f>
        <v>SI</v>
      </c>
      <c r="H252" s="2" t="str">
        <f>IFERROR(IF(MARÍTIMOS[[#This Row],[Razón Social]]="","",MARÍTIMOS[[#This Row],[Razón Social]]),"")</f>
        <v>OPERADOR LOGISTICO RIO TINTO SAC</v>
      </c>
      <c r="I252" s="2">
        <f>IFERROR(IF(MARÍTIMOS[[#This Row],[RUC]]="","",MARÍTIMOS[[#This Row],[RUC]]),"")</f>
        <v>20482013423</v>
      </c>
      <c r="J252" s="2" t="str">
        <f>IFERROR(IF(MARÍTIMOS[[#This Row],[Placa Tracto]]="","",MARÍTIMOS[[#This Row],[Placa Tracto]]),"")</f>
        <v>B0Z-923</v>
      </c>
      <c r="K252" s="2" t="str">
        <f>IFERROR(IF(MARÍTIMOS[[#This Row],[Placa Carreta]]="","",MARÍTIMOS[[#This Row],[Placa Carreta]]),"")</f>
        <v>TJY-988</v>
      </c>
      <c r="L252" s="44" t="str">
        <f>IFERROR(IF(MARÍTIMOS[[#This Row],[Conductor]]="","",MARÍTIMOS[[#This Row],[Conductor]]),"")</f>
        <v>ZAPATA CHORRES LUIS FERNANDO</v>
      </c>
      <c r="M252" s="2" t="str">
        <f>IFERROR(IF(MARÍTIMOS[[#This Row],[Licencia]]="","",MARÍTIMOS[[#This Row],[Licencia]]),"")</f>
        <v>A03872160</v>
      </c>
      <c r="N252" s="2" t="str">
        <f>IFERROR(IF(MARÍTIMOS[[#This Row],[Número de Contacto]]="","",MARÍTIMOS[[#This Row],[Número de Contacto]]),"")</f>
        <v>974 000 655</v>
      </c>
      <c r="O252" s="10" t="str">
        <f>IFERROR(IF(MARÍTIMOS[[#This Row],[Booking|AWB|CRT]]="","",MARÍTIMOS[[#This Row],[Booking|AWB|CRT]]),"")</f>
        <v>PER9150783A</v>
      </c>
      <c r="P252" s="2" t="str">
        <f>IFERROR(IF(MARÍTIMOS[[#This Row],[Contenedor]]="","",MARÍTIMOS[[#This Row],[Contenedor]]),"")</f>
        <v>CAAU4164022</v>
      </c>
      <c r="Q252" s="2" t="str">
        <f>IFERROR(IF(MARÍTIMOS[[#This Row],[Puerto de Retiro]]="","",MARÍTIMOS[[#This Row],[Puerto de Retiro]]),"")</f>
        <v>PAITA</v>
      </c>
      <c r="R252" s="2" t="str">
        <f>IFERROR(IF(MARÍTIMOS[[#This Row],[Almacén de Retiro]]="","",MARÍTIMOS[[#This Row],[Almacén de Retiro]]),"")</f>
        <v>DPW</v>
      </c>
      <c r="S252" s="11">
        <f>IFERROR(IF(MARÍTIMOS[[#This Row],[Etapa Retiro - Cita]]="","",MARÍTIMOS[[#This Row],[Etapa Retiro - Cita]]),"")</f>
        <v>46223.458333333336</v>
      </c>
      <c r="T252" s="11">
        <f>IFERROR(IF(MARÍTIMOS[[#This Row],[Etapa Retiro - Llegada]]="","",MARÍTIMOS[[#This Row],[Etapa Retiro - Llegada]]),"")</f>
        <v>46223.484722222223</v>
      </c>
      <c r="U252" s="11">
        <f>IFERROR(IF(MARÍTIMOS[[#This Row],[Etapa Retiro - Ingreso]]="","",MARÍTIMOS[[#This Row],[Etapa Retiro - Ingreso]]),"")</f>
        <v>46223.489583333336</v>
      </c>
      <c r="V252" s="11">
        <f>IFERROR(IF(MARÍTIMOS[[#This Row],[Etapa Retiro - Atención]]="","",MARÍTIMOS[[#This Row],[Etapa Retiro - Atención]]),"")</f>
        <v>46223.493055555555</v>
      </c>
      <c r="W252" s="11">
        <f>IFERROR(IF(MARÍTIMOS[[#This Row],[Etapa Retiro - Atención]]="","",MARÍTIMOS[[#This Row],[Etapa Retiro - Atención]]),"")</f>
        <v>46223.493055555555</v>
      </c>
      <c r="X252" s="11">
        <f>IFERROR(IF(MARÍTIMOS[[#This Row],[Etapa Retiro - Inicio de Ruta]]="","",MARÍTIMOS[[#This Row],[Etapa Retiro - Inicio de Ruta]]),"")</f>
        <v>46223.708333333336</v>
      </c>
      <c r="Y252" s="11">
        <f>IFERROR(IF(MARÍTIMOS[[#This Row],[Hora de Posicionamiento]]="","",MARÍTIMOS[[#This Row],[Fecha de Carga]]+MARÍTIMOS[[#This Row],[Hora de Posicionamiento]]),"")</f>
        <v>46224.333333333336</v>
      </c>
      <c r="Z252" s="11">
        <f>IFERROR(IF(MARÍTIMOS[[#This Row],[Etapa Despacho - Llegada]]="","",MARÍTIMOS[[#This Row],[Etapa Despacho - Llegada]]),"")</f>
        <v>46224.296527777777</v>
      </c>
      <c r="AA252" s="11">
        <f>IFERROR(IF(MARÍTIMOS[[#This Row],[Etapa Despacho - Registro]]="","",MARÍTIMOS[[#This Row],[Etapa Despacho - Registro]]),"")</f>
        <v>46224.298611111109</v>
      </c>
      <c r="AB252" s="11">
        <f>IFERROR(IF(MARÍTIMOS[[#This Row],[Inspección Externa]]="","",MARÍTIMOS[[#This Row],[Inspección Externa]]),"")</f>
        <v>46224.302083333336</v>
      </c>
      <c r="AC252" s="11">
        <f>IFERROR(IF(MARÍTIMOS[[#This Row],[Etapa Despacho - Inicio de Carga]]="","",MARÍTIMOS[[#This Row],[Etapa Despacho - Inicio de Carga]]),"")</f>
        <v>46224.444444444445</v>
      </c>
      <c r="AD252" s="11">
        <f>IFERROR(IF(MARÍTIMOS[[#This Row],[Etapa Despacho - Mitad de Carga]]="","",MARÍTIMOS[[#This Row],[Etapa Despacho - Mitad de Carga]]),"")</f>
        <v>46224.454861111109</v>
      </c>
      <c r="AE252" s="11">
        <f>IFERROR(IF(MARÍTIMOS[[#This Row],[Etapa Despacho - Fin de Carga]]="","",MARÍTIMOS[[#This Row],[Etapa Despacho - Fin de Carga]]),"")</f>
        <v>46224.493055555555</v>
      </c>
      <c r="AF252" s="2" t="str">
        <f>IFERROR(IF(MARÍTIMOS[[#This Row],[Puerto de Embarque]]="","",MARÍTIMOS[[#This Row],[Puerto de Embarque]]),"")</f>
        <v>Paita</v>
      </c>
      <c r="AG252" s="2" t="str">
        <f>IFERROR(IF(MARÍTIMOS[[#This Row],[Almacén de Ingreso]]="","",MARÍTIMOS[[#This Row],[Almacén de Ingreso]]),"")</f>
        <v>TPE</v>
      </c>
      <c r="AH252" s="11">
        <f>IFERROR(IF(MARÍTIMOS[[#This Row],[Etapa Ingreso - Cita]]="","",MARÍTIMOS[[#This Row],[Etapa Ingreso - Cita]]),"")</f>
        <v>46224.708333333336</v>
      </c>
      <c r="AI252" s="11">
        <f>IFERROR(IF(MARÍTIMOS[[#This Row],[Etapa Ingreso - Llegada]]="","",MARÍTIMOS[[#This Row],[Etapa Ingreso - Llegada]]),"")</f>
        <v>46224.740277777775</v>
      </c>
      <c r="AJ252" s="11">
        <f>IFERROR(IF(MARÍTIMOS[[#This Row],[Etapa Ingreso - Ingeso]]="","",MARÍTIMOS[[#This Row],[Etapa Ingreso - Ingeso]]),"")</f>
        <v>46224.746527777781</v>
      </c>
      <c r="AK252" s="11">
        <f>IFERROR(IF(MARÍTIMOS[[#This Row],[Etapa Ingreso - Atención]]="","",MARÍTIMOS[[#This Row],[Etapa Ingreso - Atención]]),"")</f>
        <v>46224.748611111114</v>
      </c>
      <c r="AL252" s="11">
        <f>IFERROR(IF(MARÍTIMOS[[#This Row],[Etapa Ingreso - Salida]]="","",MARÍTIMOS[[#This Row],[Etapa Ingreso - Salida]]),"")</f>
        <v>46224.753472222219</v>
      </c>
      <c r="AM252" s="2">
        <f>IFERROR(IF(MARÍTIMOS[[#This Row],[FCL]]="","",MARÍTIMOS[[#This Row],[FCL]]),"")</f>
        <v>1</v>
      </c>
      <c r="AN2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2" s="4" t="str" cm="1">
        <f t="array" ref="AO2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2" s="5">
        <f>IFERROR(OLDBD[[#This Row],[Llegada a packing]]-OLDBD[[#This Row],[Inicio de Ruta]],"")</f>
        <v>0.58819444444088731</v>
      </c>
      <c r="AQ252" s="6">
        <f>IFERROR(OLDBD[[#This Row],[Inicio de Ruta]]-OLDBD[[#This Row],[Salida de almacén de retiro]],"")</f>
        <v>0.21527777778101154</v>
      </c>
      <c r="AR2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52" s="8" t="str" cm="1">
        <f t="array" ref="AS2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52" s="9">
        <f>IFERROR(OLDBD[[#This Row],[Ingreso Packing]]-OLDBD[[#This Row],[Registro en Packing]],"")</f>
        <v>3.4722222262644209E-3</v>
      </c>
      <c r="AV252" s="9">
        <f>IFERROR(OLDBD[[#This Row],[Ingreso Packing]]-OLDBD[[#This Row],[Llegada a packing]],"")</f>
        <v>5.5555555591126904E-3</v>
      </c>
      <c r="AW2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52" s="5">
        <f>IFERROR(OLDBD[[#This Row],[Llegada Almacén de Ingreso]]-OLDBD[[#This Row],[Salida Packing]],"")</f>
        <v>0.24722222222044365</v>
      </c>
      <c r="AY252" s="4" t="str" cm="1">
        <f t="array" ref="AY2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2" s="43" t="s">
        <v>173</v>
      </c>
      <c r="BB252" s="47" t="str">
        <f>IFERROR(IF(MARÍTIMOS[[#This Row],[Estatus]]="","",MARÍTIMOS[[#This Row],[Estatus]]),"")</f>
        <v>Confirmado</v>
      </c>
      <c r="BC252" s="43"/>
      <c r="BD252" s="46">
        <f>IFERROR(OLDBD[[#This Row],[Salida de almacén de retiro]]-OLDBD[[#This Row],[Ingreso Almacén de retiro]],"")</f>
        <v>3.4722222189884633E-3</v>
      </c>
      <c r="BE252" s="46">
        <f>IFERROR(OLDBD[[#This Row],[Fin de Carga]]-OLDBD[[#This Row],[Inicio de Carga]],"")</f>
        <v>1.0416666664241347E-2</v>
      </c>
    </row>
    <row r="253" spans="1:57" customFormat="1" hidden="1">
      <c r="A253" s="1"/>
      <c r="B253" s="1">
        <f>IFERROR(IF(MARÍTIMOS[[#This Row],[PP]]="","",MARÍTIMOS[[#This Row],[PP]]),"")</f>
        <v>30</v>
      </c>
      <c r="C253" s="1" t="str">
        <f>IFERROR(IF(MARÍTIMOS[[#This Row],[Sede]]="","",MARÍTIMOS[[#This Row],[Sede]]),"")</f>
        <v>Olmos</v>
      </c>
      <c r="D253" s="1" t="str">
        <f>IFERROR(IF(MARÍTIMOS[[#This Row],[Instruction]]="","",MARÍTIMOS[[#This Row],[Instruction]]),"")</f>
        <v>RH-0264</v>
      </c>
      <c r="E253" s="1"/>
      <c r="F253" s="2" t="str">
        <f>IFERROR(IF(MARÍTIMOS[[#This Row],[Transportista]]="","",MARÍTIMOS[[#This Row],[Transportista]]),"")</f>
        <v>LIP</v>
      </c>
      <c r="G253" s="2" t="str">
        <f>IFERROR(IF(MARÍTIMOS[[#This Row],[Tercero]]="","",MARÍTIMOS[[#This Row],[Tercero]]),"")</f>
        <v>NO</v>
      </c>
      <c r="H253" s="2" t="str">
        <f>IFERROR(IF(MARÍTIMOS[[#This Row],[Razón Social]]="","",MARÍTIMOS[[#This Row],[Razón Social]]),"")</f>
        <v xml:space="preserve">LOGISTICA INTERMODAL DEL PERU S.A.C.
</v>
      </c>
      <c r="I253" s="2">
        <f>IFERROR(IF(MARÍTIMOS[[#This Row],[RUC]]="","",MARÍTIMOS[[#This Row],[RUC]]),"")</f>
        <v>20513040718</v>
      </c>
      <c r="J253" s="2" t="str">
        <f>IFERROR(IF(MARÍTIMOS[[#This Row],[Placa Tracto]]="","",MARÍTIMOS[[#This Row],[Placa Tracto]]),"")</f>
        <v>ASO-911</v>
      </c>
      <c r="K253" s="2" t="str">
        <f>IFERROR(IF(MARÍTIMOS[[#This Row],[Placa Carreta]]="","",MARÍTIMOS[[#This Row],[Placa Carreta]]),"")</f>
        <v>ADF-995</v>
      </c>
      <c r="L253" s="44" t="str">
        <f>IFERROR(IF(MARÍTIMOS[[#This Row],[Conductor]]="","",MARÍTIMOS[[#This Row],[Conductor]]),"")</f>
        <v>CHIROQUE BOCANEGRA NAZARENO</v>
      </c>
      <c r="M253" s="2" t="str">
        <f>IFERROR(IF(MARÍTIMOS[[#This Row],[Licencia]]="","",MARÍTIMOS[[#This Row],[Licencia]]),"")</f>
        <v>Q43200665</v>
      </c>
      <c r="N253" s="2" t="str">
        <f>IFERROR(IF(MARÍTIMOS[[#This Row],[Número de Contacto]]="","",MARÍTIMOS[[#This Row],[Número de Contacto]]),"")</f>
        <v>977 069 655</v>
      </c>
      <c r="O253" s="10" t="str">
        <f>IFERROR(IF(MARÍTIMOS[[#This Row],[Booking|AWB|CRT]]="","",MARÍTIMOS[[#This Row],[Booking|AWB|CRT]]),"")</f>
        <v>ZIMULMA825956</v>
      </c>
      <c r="P253" s="2" t="str">
        <f>IFERROR(IF(MARÍTIMOS[[#This Row],[Contenedor]]="","",MARÍTIMOS[[#This Row],[Contenedor]]),"")</f>
        <v>GMOU9023066</v>
      </c>
      <c r="Q253" s="2" t="str">
        <f>IFERROR(IF(MARÍTIMOS[[#This Row],[Puerto de Retiro]]="","",MARÍTIMOS[[#This Row],[Puerto de Retiro]]),"")</f>
        <v>PAITA</v>
      </c>
      <c r="R253" s="2" t="str">
        <f>IFERROR(IF(MARÍTIMOS[[#This Row],[Almacén de Retiro]]="","",MARÍTIMOS[[#This Row],[Almacén de Retiro]]),"")</f>
        <v>DPW</v>
      </c>
      <c r="S253" s="11">
        <f>IFERROR(IF(MARÍTIMOS[[#This Row],[Etapa Retiro - Cita]]="","",MARÍTIMOS[[#This Row],[Etapa Retiro - Cita]]),"")</f>
        <v>46224.5</v>
      </c>
      <c r="T253" s="11">
        <f>IFERROR(IF(MARÍTIMOS[[#This Row],[Etapa Retiro - Llegada]]="","",MARÍTIMOS[[#This Row],[Etapa Retiro - Llegada]]),"")</f>
        <v>46224.481249999997</v>
      </c>
      <c r="U253" s="11">
        <f>IFERROR(IF(MARÍTIMOS[[#This Row],[Etapa Retiro - Ingreso]]="","",MARÍTIMOS[[#This Row],[Etapa Retiro - Ingreso]]),"")</f>
        <v>46224.5</v>
      </c>
      <c r="V253" s="11">
        <f>IFERROR(IF(MARÍTIMOS[[#This Row],[Etapa Retiro - Atención]]="","",MARÍTIMOS[[#This Row],[Etapa Retiro - Atención]]),"")</f>
        <v>46224.503472222219</v>
      </c>
      <c r="W253" s="11">
        <f>IFERROR(IF(MARÍTIMOS[[#This Row],[Etapa Retiro - Atención]]="","",MARÍTIMOS[[#This Row],[Etapa Retiro - Atención]]),"")</f>
        <v>46224.503472222219</v>
      </c>
      <c r="X253" s="11">
        <f>IFERROR(IF(MARÍTIMOS[[#This Row],[Etapa Retiro - Inicio de Ruta]]="","",MARÍTIMOS[[#This Row],[Etapa Retiro - Inicio de Ruta]]),"")</f>
        <v>46224.75</v>
      </c>
      <c r="Y253" s="11">
        <f>IFERROR(IF(MARÍTIMOS[[#This Row],[Hora de Posicionamiento]]="","",MARÍTIMOS[[#This Row],[Fecha de Carga]]+MARÍTIMOS[[#This Row],[Hora de Posicionamiento]]),"")</f>
        <v>46225.5</v>
      </c>
      <c r="Z253" s="11">
        <f>IFERROR(IF(MARÍTIMOS[[#This Row],[Etapa Despacho - Llegada]]="","",MARÍTIMOS[[#This Row],[Etapa Despacho - Llegada]]),"")</f>
        <v>46225.385416666664</v>
      </c>
      <c r="AA253" s="11">
        <f>IFERROR(IF(MARÍTIMOS[[#This Row],[Etapa Despacho - Registro]]="","",MARÍTIMOS[[#This Row],[Etapa Despacho - Registro]]),"")</f>
        <v>46225.388888888891</v>
      </c>
      <c r="AB253" s="11">
        <f>IFERROR(IF(MARÍTIMOS[[#This Row],[Inspección Externa]]="","",MARÍTIMOS[[#This Row],[Inspección Externa]]),"")</f>
        <v>46225.392361111109</v>
      </c>
      <c r="AC253" s="11">
        <f>IFERROR(IF(MARÍTIMOS[[#This Row],[Etapa Despacho - Inicio de Carga]]="","",MARÍTIMOS[[#This Row],[Etapa Despacho - Inicio de Carga]]),"")</f>
        <v>46225.652777777781</v>
      </c>
      <c r="AD253" s="11">
        <f>IFERROR(IF(MARÍTIMOS[[#This Row],[Etapa Despacho - Mitad de Carga]]="","",MARÍTIMOS[[#This Row],[Etapa Despacho - Mitad de Carga]]),"")</f>
        <v>46225.663194444445</v>
      </c>
      <c r="AE253" s="11">
        <f>IFERROR(IF(MARÍTIMOS[[#This Row],[Etapa Despacho - Fin de Carga]]="","",MARÍTIMOS[[#This Row],[Etapa Despacho - Fin de Carga]]),"")</f>
        <v>46225.6875</v>
      </c>
      <c r="AF253" s="2" t="str">
        <f>IFERROR(IF(MARÍTIMOS[[#This Row],[Puerto de Embarque]]="","",MARÍTIMOS[[#This Row],[Puerto de Embarque]]),"")</f>
        <v>Paita</v>
      </c>
      <c r="AG253" s="2" t="str">
        <f>IFERROR(IF(MARÍTIMOS[[#This Row],[Almacén de Ingreso]]="","",MARÍTIMOS[[#This Row],[Almacén de Ingreso]]),"")</f>
        <v>TPE</v>
      </c>
      <c r="AH253" s="11">
        <f>IFERROR(IF(MARÍTIMOS[[#This Row],[Etapa Ingreso - Cita]]="","",MARÍTIMOS[[#This Row],[Etapa Ingreso - Cita]]),"")</f>
        <v>46225.916666666664</v>
      </c>
      <c r="AI253" s="11">
        <f>IFERROR(IF(MARÍTIMOS[[#This Row],[Etapa Ingreso - Llegada]]="","",MARÍTIMOS[[#This Row],[Etapa Ingreso - Llegada]]),"")</f>
        <v>46225.922222222223</v>
      </c>
      <c r="AJ253" s="11">
        <f>IFERROR(IF(MARÍTIMOS[[#This Row],[Etapa Ingreso - Ingeso]]="","",MARÍTIMOS[[#This Row],[Etapa Ingreso - Ingeso]]),"")</f>
        <v>46225.927083333336</v>
      </c>
      <c r="AK253" s="11">
        <f>IFERROR(IF(MARÍTIMOS[[#This Row],[Etapa Ingreso - Atención]]="","",MARÍTIMOS[[#This Row],[Etapa Ingreso - Atención]]),"")</f>
        <v>46225.929166666669</v>
      </c>
      <c r="AL253" s="11">
        <f>IFERROR(IF(MARÍTIMOS[[#This Row],[Etapa Ingreso - Salida]]="","",MARÍTIMOS[[#This Row],[Etapa Ingreso - Salida]]),"")</f>
        <v>46225.93472222222</v>
      </c>
      <c r="AM253" s="2">
        <f>IFERROR(IF(MARÍTIMOS[[#This Row],[FCL]]="","",MARÍTIMOS[[#This Row],[FCL]]),"")</f>
        <v>1</v>
      </c>
      <c r="AN2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3" s="4" t="str" cm="1">
        <f t="array" ref="AO2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3" s="5">
        <f>IFERROR(OLDBD[[#This Row],[Llegada a packing]]-OLDBD[[#This Row],[Inicio de Ruta]],"")</f>
        <v>0.63541666666424135</v>
      </c>
      <c r="AQ253" s="6">
        <f>IFERROR(OLDBD[[#This Row],[Inicio de Ruta]]-OLDBD[[#This Row],[Salida de almacén de retiro]],"")</f>
        <v>0.24652777778101154</v>
      </c>
      <c r="AR2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53" s="8" t="str" cm="1">
        <f t="array" ref="AS2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53" s="9">
        <f>IFERROR(OLDBD[[#This Row],[Ingreso Packing]]-OLDBD[[#This Row],[Registro en Packing]],"")</f>
        <v>3.4722222189884633E-3</v>
      </c>
      <c r="AV253" s="9">
        <f>IFERROR(OLDBD[[#This Row],[Ingreso Packing]]-OLDBD[[#This Row],[Llegada a packing]],"")</f>
        <v>6.9444444452528842E-3</v>
      </c>
      <c r="AW2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253" s="5">
        <f>IFERROR(OLDBD[[#This Row],[Llegada Almacén de Ingreso]]-OLDBD[[#This Row],[Salida Packing]],"")</f>
        <v>0.23472222222335404</v>
      </c>
      <c r="AY253" s="4" t="str" cm="1">
        <f t="array" ref="AY2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3" s="43" t="s">
        <v>173</v>
      </c>
      <c r="BB253" s="47" t="str">
        <f>IFERROR(IF(MARÍTIMOS[[#This Row],[Estatus]]="","",MARÍTIMOS[[#This Row],[Estatus]]),"")</f>
        <v>Confirmado</v>
      </c>
      <c r="BC253" s="43"/>
      <c r="BD253" s="46">
        <f>IFERROR(OLDBD[[#This Row],[Salida de almacén de retiro]]-OLDBD[[#This Row],[Ingreso Almacén de retiro]],"")</f>
        <v>3.4722222189884633E-3</v>
      </c>
      <c r="BE253" s="46">
        <f>IFERROR(OLDBD[[#This Row],[Fin de Carga]]-OLDBD[[#This Row],[Inicio de Carga]],"")</f>
        <v>1.0416666664241347E-2</v>
      </c>
    </row>
    <row r="254" spans="1:57" customFormat="1" hidden="1">
      <c r="A254" s="1"/>
      <c r="B254" s="1">
        <f>IFERROR(IF(MARÍTIMOS[[#This Row],[PP]]="","",MARÍTIMOS[[#This Row],[PP]]),"")</f>
        <v>30</v>
      </c>
      <c r="C254" s="1" t="str">
        <f>IFERROR(IF(MARÍTIMOS[[#This Row],[Sede]]="","",MARÍTIMOS[[#This Row],[Sede]]),"")</f>
        <v>Chao</v>
      </c>
      <c r="D254" s="1" t="str">
        <f>IFERROR(IF(MARÍTIMOS[[#This Row],[Instruction]]="","",MARÍTIMOS[[#This Row],[Instruction]]),"")</f>
        <v>RH-0252</v>
      </c>
      <c r="E254" s="1"/>
      <c r="F254" s="2" t="str">
        <f>IFERROR(IF(MARÍTIMOS[[#This Row],[Transportista]]="","",MARÍTIMOS[[#This Row],[Transportista]]),"")</f>
        <v>LIP</v>
      </c>
      <c r="G254" s="2" t="str">
        <f>IFERROR(IF(MARÍTIMOS[[#This Row],[Tercero]]="","",MARÍTIMOS[[#This Row],[Tercero]]),"")</f>
        <v>NO</v>
      </c>
      <c r="H254" s="2" t="str">
        <f>IFERROR(IF(MARÍTIMOS[[#This Row],[Razón Social]]="","",MARÍTIMOS[[#This Row],[Razón Social]]),"")</f>
        <v xml:space="preserve">LOGISTICA INTERMODAL DEL PERU S.A.C.
</v>
      </c>
      <c r="I254" s="2">
        <f>IFERROR(IF(MARÍTIMOS[[#This Row],[RUC]]="","",MARÍTIMOS[[#This Row],[RUC]]),"")</f>
        <v>20513040718</v>
      </c>
      <c r="J254" s="2" t="str">
        <f>IFERROR(IF(MARÍTIMOS[[#This Row],[Placa Tracto]]="","",MARÍTIMOS[[#This Row],[Placa Tracto]]),"")</f>
        <v>BBG-864</v>
      </c>
      <c r="K254" s="2" t="str">
        <f>IFERROR(IF(MARÍTIMOS[[#This Row],[Placa Carreta]]="","",MARÍTIMOS[[#This Row],[Placa Carreta]]),"")</f>
        <v>AMZ-980</v>
      </c>
      <c r="L254" s="44" t="str">
        <f>IFERROR(IF(MARÍTIMOS[[#This Row],[Conductor]]="","",MARÍTIMOS[[#This Row],[Conductor]]),"")</f>
        <v>DIOSES MIRANDA WILLIAM ARTURO</v>
      </c>
      <c r="M254" s="2" t="str">
        <f>IFERROR(IF(MARÍTIMOS[[#This Row],[Licencia]]="","",MARÍTIMOS[[#This Row],[Licencia]]),"")</f>
        <v>B03508313</v>
      </c>
      <c r="N254" s="2" t="str">
        <f>IFERROR(IF(MARÍTIMOS[[#This Row],[Número de Contacto]]="","",MARÍTIMOS[[#This Row],[Número de Contacto]]),"")</f>
        <v>974 059 655</v>
      </c>
      <c r="O254" s="10" t="str">
        <f>IFERROR(IF(MARÍTIMOS[[#This Row],[Booking|AWB|CRT]]="","",MARÍTIMOS[[#This Row],[Booking|AWB|CRT]]),"")</f>
        <v>MBM250067104</v>
      </c>
      <c r="P254" s="2" t="str">
        <f>IFERROR(IF(MARÍTIMOS[[#This Row],[Contenedor]]="","",MARÍTIMOS[[#This Row],[Contenedor]]),"")</f>
        <v>FBIU5309120</v>
      </c>
      <c r="Q254" s="2" t="str">
        <f>IFERROR(IF(MARÍTIMOS[[#This Row],[Puerto de Retiro]]="","",MARÍTIMOS[[#This Row],[Puerto de Retiro]]),"")</f>
        <v>PAITA</v>
      </c>
      <c r="R254" s="2" t="str">
        <f>IFERROR(IF(MARÍTIMOS[[#This Row],[Almacén de Retiro]]="","",MARÍTIMOS[[#This Row],[Almacén de Retiro]]),"")</f>
        <v>MACROMAR</v>
      </c>
      <c r="S254" s="11">
        <f>IFERROR(IF(MARÍTIMOS[[#This Row],[Etapa Retiro - Cita]]="","",MARÍTIMOS[[#This Row],[Etapa Retiro - Cita]]),"")</f>
        <v>46226.458333333336</v>
      </c>
      <c r="T254" s="11">
        <f>IFERROR(IF(MARÍTIMOS[[#This Row],[Etapa Retiro - Llegada]]="","",MARÍTIMOS[[#This Row],[Etapa Retiro - Llegada]]),"")</f>
        <v>46226.468055555553</v>
      </c>
      <c r="U254" s="11">
        <f>IFERROR(IF(MARÍTIMOS[[#This Row],[Etapa Retiro - Ingreso]]="","",MARÍTIMOS[[#This Row],[Etapa Retiro - Ingreso]]),"")</f>
        <v>46226.474999999999</v>
      </c>
      <c r="V254" s="11">
        <f>IFERROR(IF(MARÍTIMOS[[#This Row],[Etapa Retiro - Atención]]="","",MARÍTIMOS[[#This Row],[Etapa Retiro - Atención]]),"")</f>
        <v>46226.481944444444</v>
      </c>
      <c r="W254" s="11">
        <f>IFERROR(IF(MARÍTIMOS[[#This Row],[Etapa Retiro - Atención]]="","",MARÍTIMOS[[#This Row],[Etapa Retiro - Atención]]),"")</f>
        <v>46226.481944444444</v>
      </c>
      <c r="X254" s="11">
        <f>IFERROR(IF(MARÍTIMOS[[#This Row],[Etapa Retiro - Inicio de Ruta]]="","",MARÍTIMOS[[#This Row],[Etapa Retiro - Inicio de Ruta]]),"")</f>
        <v>46226.606944444444</v>
      </c>
      <c r="Y254" s="11">
        <f>IFERROR(IF(MARÍTIMOS[[#This Row],[Hora de Posicionamiento]]="","",MARÍTIMOS[[#This Row],[Fecha de Carga]]+MARÍTIMOS[[#This Row],[Hora de Posicionamiento]]),"")</f>
        <v>46227.333333333336</v>
      </c>
      <c r="Z254" s="11">
        <f>IFERROR(IF(MARÍTIMOS[[#This Row],[Etapa Despacho - Llegada]]="","",MARÍTIMOS[[#This Row],[Etapa Despacho - Llegada]]),"")</f>
        <v>46227.341666666667</v>
      </c>
      <c r="AA254" s="11">
        <f>IFERROR(IF(MARÍTIMOS[[#This Row],[Etapa Despacho - Registro]]="","",MARÍTIMOS[[#This Row],[Etapa Despacho - Registro]]),"")</f>
        <v>46227.348611111112</v>
      </c>
      <c r="AB254" s="11">
        <f>IFERROR(IF(MARÍTIMOS[[#This Row],[Inspección Externa]]="","",MARÍTIMOS[[#This Row],[Inspección Externa]]),"")</f>
        <v>46227.368055555555</v>
      </c>
      <c r="AC254" s="11">
        <f>IFERROR(IF(MARÍTIMOS[[#This Row],[Etapa Despacho - Inicio de Carga]]="","",MARÍTIMOS[[#This Row],[Etapa Despacho - Inicio de Carga]]),"")</f>
        <v>46227.409722222219</v>
      </c>
      <c r="AD254" s="11">
        <f>IFERROR(IF(MARÍTIMOS[[#This Row],[Etapa Despacho - Mitad de Carga]]="","",MARÍTIMOS[[#This Row],[Etapa Despacho - Mitad de Carga]]),"")</f>
        <v>46227.420138888891</v>
      </c>
      <c r="AE254" s="11">
        <f>IFERROR(IF(MARÍTIMOS[[#This Row],[Etapa Despacho - Fin de Carga]]="","",MARÍTIMOS[[#This Row],[Etapa Despacho - Fin de Carga]]),"")</f>
        <v>46227.567361111112</v>
      </c>
      <c r="AF254" s="2" t="str">
        <f>IFERROR(IF(MARÍTIMOS[[#This Row],[Puerto de Embarque]]="","",MARÍTIMOS[[#This Row],[Puerto de Embarque]]),"")</f>
        <v>Paita</v>
      </c>
      <c r="AG254" s="2" t="str">
        <f>IFERROR(IF(MARÍTIMOS[[#This Row],[Almacén de Ingreso]]="","",MARÍTIMOS[[#This Row],[Almacén de Ingreso]]),"")</f>
        <v>TPE</v>
      </c>
      <c r="AH254" s="11">
        <f>IFERROR(IF(MARÍTIMOS[[#This Row],[Etapa Ingreso - Cita]]="","",MARÍTIMOS[[#This Row],[Etapa Ingreso - Cita]]),"")</f>
        <v>46228.375</v>
      </c>
      <c r="AI254" s="11">
        <f>IFERROR(IF(MARÍTIMOS[[#This Row],[Etapa Ingreso - Llegada]]="","",MARÍTIMOS[[#This Row],[Etapa Ingreso - Llegada]]),"")</f>
        <v>46228.410416666666</v>
      </c>
      <c r="AJ254" s="11">
        <f>IFERROR(IF(MARÍTIMOS[[#This Row],[Etapa Ingreso - Ingeso]]="","",MARÍTIMOS[[#This Row],[Etapa Ingreso - Ingeso]]),"")</f>
        <v>46228.416666666664</v>
      </c>
      <c r="AK254" s="11">
        <f>IFERROR(IF(MARÍTIMOS[[#This Row],[Etapa Ingreso - Atención]]="","",MARÍTIMOS[[#This Row],[Etapa Ingreso - Atención]]),"")</f>
        <v>46228.418055555558</v>
      </c>
      <c r="AL254" s="11">
        <f>IFERROR(IF(MARÍTIMOS[[#This Row],[Etapa Ingreso - Salida]]="","",MARÍTIMOS[[#This Row],[Etapa Ingreso - Salida]]),"")</f>
        <v>46228.425694444442</v>
      </c>
      <c r="AM254" s="2">
        <f>IFERROR(IF(MARÍTIMOS[[#This Row],[FCL]]="","",MARÍTIMOS[[#This Row],[FCL]]),"")</f>
        <v>1</v>
      </c>
      <c r="AN2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4" s="4" t="str" cm="1">
        <f t="array" ref="AO2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4" s="5">
        <f>IFERROR(OLDBD[[#This Row],[Llegada a packing]]-OLDBD[[#This Row],[Inicio de Ruta]],"")</f>
        <v>0.73472222222335404</v>
      </c>
      <c r="AQ254" s="6">
        <f>IFERROR(OLDBD[[#This Row],[Inicio de Ruta]]-OLDBD[[#This Row],[Salida de almacén de retiro]],"")</f>
        <v>0.125</v>
      </c>
      <c r="AR2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54" s="8" t="str" cm="1">
        <f t="array" ref="AS2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54" s="9">
        <f>IFERROR(OLDBD[[#This Row],[Ingreso Packing]]-OLDBD[[#This Row],[Registro en Packing]],"")</f>
        <v>1.9444444442342501E-2</v>
      </c>
      <c r="AV254" s="9">
        <f>IFERROR(OLDBD[[#This Row],[Ingreso Packing]]-OLDBD[[#This Row],[Llegada a packing]],"")</f>
        <v>2.6388888887595385E-2</v>
      </c>
      <c r="AW2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54" s="5">
        <f>IFERROR(OLDBD[[#This Row],[Llegada Almacén de Ingreso]]-OLDBD[[#This Row],[Salida Packing]],"")</f>
        <v>0.84305555555329192</v>
      </c>
      <c r="AY254" s="4" t="str" cm="1">
        <f t="array" ref="AY2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4" s="43" t="s">
        <v>173</v>
      </c>
      <c r="BB254" s="47" t="str">
        <f>IFERROR(IF(MARÍTIMOS[[#This Row],[Estatus]]="","",MARÍTIMOS[[#This Row],[Estatus]]),"")</f>
        <v>Confirmado</v>
      </c>
      <c r="BC254" s="43"/>
      <c r="BD254" s="46">
        <f>IFERROR(OLDBD[[#This Row],[Salida de almacén de retiro]]-OLDBD[[#This Row],[Ingreso Almacén de retiro]],"")</f>
        <v>6.9444444452528842E-3</v>
      </c>
      <c r="BE254" s="46">
        <f>IFERROR(OLDBD[[#This Row],[Fin de Carga]]-OLDBD[[#This Row],[Inicio de Carga]],"")</f>
        <v>1.0416666671517305E-2</v>
      </c>
    </row>
    <row r="255" spans="1:57" customFormat="1" hidden="1">
      <c r="A255" s="1"/>
      <c r="B255" s="1">
        <f>IFERROR(IF(MARÍTIMOS[[#This Row],[PP]]="","",MARÍTIMOS[[#This Row],[PP]]),"")</f>
        <v>30</v>
      </c>
      <c r="C255" s="1" t="str">
        <f>IFERROR(IF(MARÍTIMOS[[#This Row],[Sede]]="","",MARÍTIMOS[[#This Row],[Sede]]),"")</f>
        <v>Chao</v>
      </c>
      <c r="D255" s="1" t="str">
        <f>IFERROR(IF(MARÍTIMOS[[#This Row],[Instruction]]="","",MARÍTIMOS[[#This Row],[Instruction]]),"")</f>
        <v>RH-0253</v>
      </c>
      <c r="E255" s="1"/>
      <c r="F255" s="2" t="str">
        <f>IFERROR(IF(MARÍTIMOS[[#This Row],[Transportista]]="","",MARÍTIMOS[[#This Row],[Transportista]]),"")</f>
        <v>LIP</v>
      </c>
      <c r="G255" s="2" t="str">
        <f>IFERROR(IF(MARÍTIMOS[[#This Row],[Tercero]]="","",MARÍTIMOS[[#This Row],[Tercero]]),"")</f>
        <v>NO</v>
      </c>
      <c r="H255" s="2" t="str">
        <f>IFERROR(IF(MARÍTIMOS[[#This Row],[Razón Social]]="","",MARÍTIMOS[[#This Row],[Razón Social]]),"")</f>
        <v xml:space="preserve">LOGISTICA INTERMODAL DEL PERU S.A.C.
</v>
      </c>
      <c r="I255" s="2">
        <f>IFERROR(IF(MARÍTIMOS[[#This Row],[RUC]]="","",MARÍTIMOS[[#This Row],[RUC]]),"")</f>
        <v>20513040718</v>
      </c>
      <c r="J255" s="2" t="str">
        <f>IFERROR(IF(MARÍTIMOS[[#This Row],[Placa Tracto]]="","",MARÍTIMOS[[#This Row],[Placa Tracto]]),"")</f>
        <v>AYO-798</v>
      </c>
      <c r="K255" s="2" t="str">
        <f>IFERROR(IF(MARÍTIMOS[[#This Row],[Placa Carreta]]="","",MARÍTIMOS[[#This Row],[Placa Carreta]]),"")</f>
        <v>AMW-985</v>
      </c>
      <c r="L255" s="44" t="str">
        <f>IFERROR(IF(MARÍTIMOS[[#This Row],[Conductor]]="","",MARÍTIMOS[[#This Row],[Conductor]]),"")</f>
        <v>CHAVEZ SERRATO WILLIAN</v>
      </c>
      <c r="M255" s="2" t="str">
        <f>IFERROR(IF(MARÍTIMOS[[#This Row],[Licencia]]="","",MARÍTIMOS[[#This Row],[Licencia]]),"")</f>
        <v>B46863156</v>
      </c>
      <c r="N255" s="2" t="str">
        <f>IFERROR(IF(MARÍTIMOS[[#This Row],[Número de Contacto]]="","",MARÍTIMOS[[#This Row],[Número de Contacto]]),"")</f>
        <v>957 105 437</v>
      </c>
      <c r="O255" s="10" t="str">
        <f>IFERROR(IF(MARÍTIMOS[[#This Row],[Booking|AWB|CRT]]="","",MARÍTIMOS[[#This Row],[Booking|AWB|CRT]]),"")</f>
        <v>PER9160200A</v>
      </c>
      <c r="P255" s="2" t="str">
        <f>IFERROR(IF(MARÍTIMOS[[#This Row],[Contenedor]]="","",MARÍTIMOS[[#This Row],[Contenedor]]),"")</f>
        <v>BEAU9705093</v>
      </c>
      <c r="Q255" s="2" t="str">
        <f>IFERROR(IF(MARÍTIMOS[[#This Row],[Puerto de Retiro]]="","",MARÍTIMOS[[#This Row],[Puerto de Retiro]]),"")</f>
        <v>PAITA</v>
      </c>
      <c r="R255" s="2" t="str">
        <f>IFERROR(IF(MARÍTIMOS[[#This Row],[Almacén de Retiro]]="","",MARÍTIMOS[[#This Row],[Almacén de Retiro]]),"")</f>
        <v>DPW</v>
      </c>
      <c r="S255" s="11">
        <f>IFERROR(IF(MARÍTIMOS[[#This Row],[Etapa Retiro - Cita]]="","",MARÍTIMOS[[#This Row],[Etapa Retiro - Cita]]),"")</f>
        <v>46227.458333333336</v>
      </c>
      <c r="T255" s="11">
        <f>IFERROR(IF(MARÍTIMOS[[#This Row],[Etapa Retiro - Llegada]]="","",MARÍTIMOS[[#This Row],[Etapa Retiro - Llegada]]),"")</f>
        <v>46227.489583333336</v>
      </c>
      <c r="U255" s="11">
        <f>IFERROR(IF(MARÍTIMOS[[#This Row],[Etapa Retiro - Ingreso]]="","",MARÍTIMOS[[#This Row],[Etapa Retiro - Ingreso]]),"")</f>
        <v>46227.513194444444</v>
      </c>
      <c r="V255" s="11">
        <f>IFERROR(IF(MARÍTIMOS[[#This Row],[Etapa Retiro - Atención]]="","",MARÍTIMOS[[#This Row],[Etapa Retiro - Atención]]),"")</f>
        <v>46227.520138888889</v>
      </c>
      <c r="W255" s="11">
        <f>IFERROR(IF(MARÍTIMOS[[#This Row],[Etapa Retiro - Atención]]="","",MARÍTIMOS[[#This Row],[Etapa Retiro - Atención]]),"")</f>
        <v>46227.520138888889</v>
      </c>
      <c r="X255" s="11">
        <f>IFERROR(IF(MARÍTIMOS[[#This Row],[Etapa Retiro - Inicio de Ruta]]="","",MARÍTIMOS[[#This Row],[Etapa Retiro - Inicio de Ruta]]),"")</f>
        <v>46227.688194444447</v>
      </c>
      <c r="Y255" s="11">
        <f>IFERROR(IF(MARÍTIMOS[[#This Row],[Hora de Posicionamiento]]="","",MARÍTIMOS[[#This Row],[Fecha de Carga]]+MARÍTIMOS[[#This Row],[Hora de Posicionamiento]]),"")</f>
        <v>46228.333333333336</v>
      </c>
      <c r="Z255" s="11">
        <f>IFERROR(IF(MARÍTIMOS[[#This Row],[Etapa Despacho - Llegada]]="","",MARÍTIMOS[[#This Row],[Etapa Despacho - Llegada]]),"")</f>
        <v>46228.583333333336</v>
      </c>
      <c r="AA255" s="11">
        <f>IFERROR(IF(MARÍTIMOS[[#This Row],[Etapa Despacho - Registro]]="","",MARÍTIMOS[[#This Row],[Etapa Despacho - Registro]]),"")</f>
        <v>46228.590277777781</v>
      </c>
      <c r="AB255" s="11">
        <f>IFERROR(IF(MARÍTIMOS[[#This Row],[Inspección Externa]]="","",MARÍTIMOS[[#This Row],[Inspección Externa]]),"")</f>
        <v>46228.611111111109</v>
      </c>
      <c r="AC255" s="11">
        <f>IFERROR(IF(MARÍTIMOS[[#This Row],[Etapa Despacho - Inicio de Carga]]="","",MARÍTIMOS[[#This Row],[Etapa Despacho - Inicio de Carga]]),"")</f>
        <v>46228.652777777781</v>
      </c>
      <c r="AD255" s="11">
        <f>IFERROR(IF(MARÍTIMOS[[#This Row],[Etapa Despacho - Mitad de Carga]]="","",MARÍTIMOS[[#This Row],[Etapa Despacho - Mitad de Carga]]),"")</f>
        <v>46228.663194444445</v>
      </c>
      <c r="AE255" s="11">
        <f>IFERROR(IF(MARÍTIMOS[[#This Row],[Etapa Despacho - Fin de Carga]]="","",MARÍTIMOS[[#This Row],[Etapa Despacho - Fin de Carga]]),"")</f>
        <v>46228.71597222222</v>
      </c>
      <c r="AF255" s="2" t="str">
        <f>IFERROR(IF(MARÍTIMOS[[#This Row],[Puerto de Embarque]]="","",MARÍTIMOS[[#This Row],[Puerto de Embarque]]),"")</f>
        <v>Paita</v>
      </c>
      <c r="AG255" s="2" t="str">
        <f>IFERROR(IF(MARÍTIMOS[[#This Row],[Almacén de Ingreso]]="","",MARÍTIMOS[[#This Row],[Almacén de Ingreso]]),"")</f>
        <v>TPE</v>
      </c>
      <c r="AH255" s="11">
        <f>IFERROR(IF(MARÍTIMOS[[#This Row],[Etapa Ingreso - Cita]]="","",MARÍTIMOS[[#This Row],[Etapa Ingreso - Cita]]),"")</f>
        <v>46229.416666666664</v>
      </c>
      <c r="AI255" s="11">
        <f>IFERROR(IF(MARÍTIMOS[[#This Row],[Etapa Ingreso - Llegada]]="","",MARÍTIMOS[[#This Row],[Etapa Ingreso - Llegada]]),"")</f>
        <v>46229.442361111112</v>
      </c>
      <c r="AJ255" s="11">
        <f>IFERROR(IF(MARÍTIMOS[[#This Row],[Etapa Ingreso - Ingeso]]="","",MARÍTIMOS[[#This Row],[Etapa Ingreso - Ingeso]]),"")</f>
        <v>46229.445833333331</v>
      </c>
      <c r="AK255" s="11">
        <f>IFERROR(IF(MARÍTIMOS[[#This Row],[Etapa Ingreso - Atención]]="","",MARÍTIMOS[[#This Row],[Etapa Ingreso - Atención]]),"")</f>
        <v>46229.448611111111</v>
      </c>
      <c r="AL255" s="11">
        <f>IFERROR(IF(MARÍTIMOS[[#This Row],[Etapa Ingreso - Salida]]="","",MARÍTIMOS[[#This Row],[Etapa Ingreso - Salida]]),"")</f>
        <v>46229.456944444442</v>
      </c>
      <c r="AM255" s="2">
        <f>IFERROR(IF(MARÍTIMOS[[#This Row],[FCL]]="","",MARÍTIMOS[[#This Row],[FCL]]),"")</f>
        <v>1</v>
      </c>
      <c r="AN2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5" s="4" t="str" cm="1">
        <f t="array" ref="AO2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5" s="5">
        <f>IFERROR(OLDBD[[#This Row],[Llegada a packing]]-OLDBD[[#This Row],[Inicio de Ruta]],"")</f>
        <v>0.89513888888905058</v>
      </c>
      <c r="AQ255" s="6">
        <f>IFERROR(OLDBD[[#This Row],[Inicio de Ruta]]-OLDBD[[#This Row],[Salida de almacén de retiro]],"")</f>
        <v>0.1680555555576575</v>
      </c>
      <c r="AR2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55" s="8" t="str" cm="1">
        <f t="array" ref="AS2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55" s="9">
        <f>IFERROR(OLDBD[[#This Row],[Ingreso Packing]]-OLDBD[[#This Row],[Registro en Packing]],"")</f>
        <v>2.0833333328482695E-2</v>
      </c>
      <c r="AV255" s="9">
        <f>IFERROR(OLDBD[[#This Row],[Ingreso Packing]]-OLDBD[[#This Row],[Llegada a packing]],"")</f>
        <v>2.7777777773735579E-2</v>
      </c>
      <c r="AW2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55" s="5">
        <f>IFERROR(OLDBD[[#This Row],[Llegada Almacén de Ingreso]]-OLDBD[[#This Row],[Salida Packing]],"")</f>
        <v>0.72638888889196096</v>
      </c>
      <c r="AY255" s="4" t="str" cm="1">
        <f t="array" ref="AY2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5" s="43" t="s">
        <v>173</v>
      </c>
      <c r="BB255" s="47" t="str">
        <f>IFERROR(IF(MARÍTIMOS[[#This Row],[Estatus]]="","",MARÍTIMOS[[#This Row],[Estatus]]),"")</f>
        <v>Confirmado</v>
      </c>
      <c r="BC255" s="43"/>
      <c r="BD255" s="46">
        <f>IFERROR(OLDBD[[#This Row],[Salida de almacén de retiro]]-OLDBD[[#This Row],[Ingreso Almacén de retiro]],"")</f>
        <v>6.9444444452528842E-3</v>
      </c>
      <c r="BE255" s="46">
        <f>IFERROR(OLDBD[[#This Row],[Fin de Carga]]-OLDBD[[#This Row],[Inicio de Carga]],"")</f>
        <v>1.0416666664241347E-2</v>
      </c>
    </row>
    <row r="256" spans="1:57" customFormat="1" hidden="1">
      <c r="A256" s="1"/>
      <c r="B256" s="1">
        <f>IFERROR(IF(MARÍTIMOS[[#This Row],[PP]]="","",MARÍTIMOS[[#This Row],[PP]]),"")</f>
        <v>30</v>
      </c>
      <c r="C256" s="1" t="str">
        <f>IFERROR(IF(MARÍTIMOS[[#This Row],[Sede]]="","",MARÍTIMOS[[#This Row],[Sede]]),"")</f>
        <v>Chao</v>
      </c>
      <c r="D256" s="1" t="str">
        <f>IFERROR(IF(MARÍTIMOS[[#This Row],[Instruction]]="","",MARÍTIMOS[[#This Row],[Instruction]]),"")</f>
        <v>RH-0254</v>
      </c>
      <c r="E256" s="1"/>
      <c r="F256" s="2" t="str">
        <f>IFERROR(IF(MARÍTIMOS[[#This Row],[Transportista]]="","",MARÍTIMOS[[#This Row],[Transportista]]),"")</f>
        <v>LIP</v>
      </c>
      <c r="G256" s="2" t="str">
        <f>IFERROR(IF(MARÍTIMOS[[#This Row],[Tercero]]="","",MARÍTIMOS[[#This Row],[Tercero]]),"")</f>
        <v>NO</v>
      </c>
      <c r="H256" s="2" t="str">
        <f>IFERROR(IF(MARÍTIMOS[[#This Row],[Razón Social]]="","",MARÍTIMOS[[#This Row],[Razón Social]]),"")</f>
        <v xml:space="preserve">LOGISTICA INTERMODAL DEL PERU S.A.C.
</v>
      </c>
      <c r="I256" s="2">
        <f>IFERROR(IF(MARÍTIMOS[[#This Row],[RUC]]="","",MARÍTIMOS[[#This Row],[RUC]]),"")</f>
        <v>20513040718</v>
      </c>
      <c r="J256" s="2" t="str">
        <f>IFERROR(IF(MARÍTIMOS[[#This Row],[Placa Tracto]]="","",MARÍTIMOS[[#This Row],[Placa Tracto]]),"")</f>
        <v>AYN-898</v>
      </c>
      <c r="K256" s="2" t="str">
        <f>IFERROR(IF(MARÍTIMOS[[#This Row],[Placa Carreta]]="","",MARÍTIMOS[[#This Row],[Placa Carreta]]),"")</f>
        <v>ANE-979</v>
      </c>
      <c r="L256" s="44" t="str">
        <f>IFERROR(IF(MARÍTIMOS[[#This Row],[Conductor]]="","",MARÍTIMOS[[#This Row],[Conductor]]),"")</f>
        <v>HUERTAS MARCHENA LEONARD HAGLER</v>
      </c>
      <c r="M256" s="2" t="str">
        <f>IFERROR(IF(MARÍTIMOS[[#This Row],[Licencia]]="","",MARÍTIMOS[[#This Row],[Licencia]]),"")</f>
        <v>B45860899</v>
      </c>
      <c r="N256" s="2" t="str">
        <f>IFERROR(IF(MARÍTIMOS[[#This Row],[Número de Contacto]]="","",MARÍTIMOS[[#This Row],[Número de Contacto]]),"")</f>
        <v>975 660 655</v>
      </c>
      <c r="O256" s="10" t="str">
        <f>IFERROR(IF(MARÍTIMOS[[#This Row],[Booking|AWB|CRT]]="","",MARÍTIMOS[[#This Row],[Booking|AWB|CRT]]),"")</f>
        <v>PER9160213A</v>
      </c>
      <c r="P256" s="2" t="str">
        <f>IFERROR(IF(MARÍTIMOS[[#This Row],[Contenedor]]="","",MARÍTIMOS[[#This Row],[Contenedor]]),"")</f>
        <v>SEKU9424786</v>
      </c>
      <c r="Q256" s="2" t="str">
        <f>IFERROR(IF(MARÍTIMOS[[#This Row],[Puerto de Retiro]]="","",MARÍTIMOS[[#This Row],[Puerto de Retiro]]),"")</f>
        <v>PAITA</v>
      </c>
      <c r="R256" s="2" t="str">
        <f>IFERROR(IF(MARÍTIMOS[[#This Row],[Almacén de Retiro]]="","",MARÍTIMOS[[#This Row],[Almacén de Retiro]]),"")</f>
        <v>DPW</v>
      </c>
      <c r="S256" s="11">
        <f>IFERROR(IF(MARÍTIMOS[[#This Row],[Etapa Retiro - Cita]]="","",MARÍTIMOS[[#This Row],[Etapa Retiro - Cita]]),"")</f>
        <v>46227.458333333336</v>
      </c>
      <c r="T256" s="11">
        <f>IFERROR(IF(MARÍTIMOS[[#This Row],[Etapa Retiro - Llegada]]="","",MARÍTIMOS[[#This Row],[Etapa Retiro - Llegada]]),"")</f>
        <v>46227.47152777778</v>
      </c>
      <c r="U256" s="11">
        <f>IFERROR(IF(MARÍTIMOS[[#This Row],[Etapa Retiro - Ingreso]]="","",MARÍTIMOS[[#This Row],[Etapa Retiro - Ingreso]]),"")</f>
        <v>46227.484722222223</v>
      </c>
      <c r="V256" s="11">
        <f>IFERROR(IF(MARÍTIMOS[[#This Row],[Etapa Retiro - Atención]]="","",MARÍTIMOS[[#This Row],[Etapa Retiro - Atención]]),"")</f>
        <v>46227.491666666669</v>
      </c>
      <c r="W256" s="11">
        <f>IFERROR(IF(MARÍTIMOS[[#This Row],[Etapa Retiro - Atención]]="","",MARÍTIMOS[[#This Row],[Etapa Retiro - Atención]]),"")</f>
        <v>46227.491666666669</v>
      </c>
      <c r="X256" s="11">
        <f>IFERROR(IF(MARÍTIMOS[[#This Row],[Etapa Retiro - Inicio de Ruta]]="","",MARÍTIMOS[[#This Row],[Etapa Retiro - Inicio de Ruta]]),"")</f>
        <v>46227.622916666667</v>
      </c>
      <c r="Y256" s="11">
        <f>IFERROR(IF(MARÍTIMOS[[#This Row],[Hora de Posicionamiento]]="","",MARÍTIMOS[[#This Row],[Fecha de Carga]]+MARÍTIMOS[[#This Row],[Hora de Posicionamiento]]),"")</f>
        <v>46228.333333333336</v>
      </c>
      <c r="Z256" s="11">
        <f>IFERROR(IF(MARÍTIMOS[[#This Row],[Etapa Despacho - Llegada]]="","",MARÍTIMOS[[#This Row],[Etapa Despacho - Llegada]]),"")</f>
        <v>46228.570833333331</v>
      </c>
      <c r="AA256" s="11">
        <f>IFERROR(IF(MARÍTIMOS[[#This Row],[Etapa Despacho - Registro]]="","",MARÍTIMOS[[#This Row],[Etapa Despacho - Registro]]),"")</f>
        <v>46228.577777777777</v>
      </c>
      <c r="AB256" s="11">
        <f>IFERROR(IF(MARÍTIMOS[[#This Row],[Inspección Externa]]="","",MARÍTIMOS[[#This Row],[Inspección Externa]]),"")</f>
        <v>46228.597222222219</v>
      </c>
      <c r="AC256" s="11">
        <f>IFERROR(IF(MARÍTIMOS[[#This Row],[Etapa Despacho - Inicio de Carga]]="","",MARÍTIMOS[[#This Row],[Etapa Despacho - Inicio de Carga]]),"")</f>
        <v>46228.638888888891</v>
      </c>
      <c r="AD256" s="11">
        <f>IFERROR(IF(MARÍTIMOS[[#This Row],[Etapa Despacho - Mitad de Carga]]="","",MARÍTIMOS[[#This Row],[Etapa Despacho - Mitad de Carga]]),"")</f>
        <v>46228.649305555555</v>
      </c>
      <c r="AE256" s="11">
        <f>IFERROR(IF(MARÍTIMOS[[#This Row],[Etapa Despacho - Fin de Carga]]="","",MARÍTIMOS[[#This Row],[Etapa Despacho - Fin de Carga]]),"")</f>
        <v>46228.708333333336</v>
      </c>
      <c r="AF256" s="2" t="str">
        <f>IFERROR(IF(MARÍTIMOS[[#This Row],[Puerto de Embarque]]="","",MARÍTIMOS[[#This Row],[Puerto de Embarque]]),"")</f>
        <v>Paita</v>
      </c>
      <c r="AG256" s="2" t="str">
        <f>IFERROR(IF(MARÍTIMOS[[#This Row],[Almacén de Ingreso]]="","",MARÍTIMOS[[#This Row],[Almacén de Ingreso]]),"")</f>
        <v>TPE</v>
      </c>
      <c r="AH256" s="11">
        <f>IFERROR(IF(MARÍTIMOS[[#This Row],[Etapa Ingreso - Cita]]="","",MARÍTIMOS[[#This Row],[Etapa Ingreso - Cita]]),"")</f>
        <v>46229.416666666664</v>
      </c>
      <c r="AI256" s="11">
        <f>IFERROR(IF(MARÍTIMOS[[#This Row],[Etapa Ingreso - Llegada]]="","",MARÍTIMOS[[#This Row],[Etapa Ingreso - Llegada]]),"")</f>
        <v>46229.452777777777</v>
      </c>
      <c r="AJ256" s="11">
        <f>IFERROR(IF(MARÍTIMOS[[#This Row],[Etapa Ingreso - Ingeso]]="","",MARÍTIMOS[[#This Row],[Etapa Ingreso - Ingeso]]),"")</f>
        <v>46229.456250000003</v>
      </c>
      <c r="AK256" s="11">
        <f>IFERROR(IF(MARÍTIMOS[[#This Row],[Etapa Ingreso - Atención]]="","",MARÍTIMOS[[#This Row],[Etapa Ingreso - Atención]]),"")</f>
        <v>46229.458333333336</v>
      </c>
      <c r="AL256" s="11">
        <f>IFERROR(IF(MARÍTIMOS[[#This Row],[Etapa Ingreso - Salida]]="","",MARÍTIMOS[[#This Row],[Etapa Ingreso - Salida]]),"")</f>
        <v>46229.463194444441</v>
      </c>
      <c r="AM256" s="2">
        <f>IFERROR(IF(MARÍTIMOS[[#This Row],[FCL]]="","",MARÍTIMOS[[#This Row],[FCL]]),"")</f>
        <v>1</v>
      </c>
      <c r="AN2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6" s="4" t="str" cm="1">
        <f t="array" ref="AO2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6" s="5">
        <f>IFERROR(OLDBD[[#This Row],[Llegada a packing]]-OLDBD[[#This Row],[Inicio de Ruta]],"")</f>
        <v>0.94791666666424135</v>
      </c>
      <c r="AQ256" s="6">
        <f>IFERROR(OLDBD[[#This Row],[Inicio de Ruta]]-OLDBD[[#This Row],[Salida de almacén de retiro]],"")</f>
        <v>0.13124999999854481</v>
      </c>
      <c r="AR2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56" s="8" t="str" cm="1">
        <f t="array" ref="AS2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56" s="9">
        <f>IFERROR(OLDBD[[#This Row],[Ingreso Packing]]-OLDBD[[#This Row],[Registro en Packing]],"")</f>
        <v>1.9444444442342501E-2</v>
      </c>
      <c r="AV256" s="9">
        <f>IFERROR(OLDBD[[#This Row],[Ingreso Packing]]-OLDBD[[#This Row],[Llegada a packing]],"")</f>
        <v>2.6388888887595385E-2</v>
      </c>
      <c r="AW2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56" s="5">
        <f>IFERROR(OLDBD[[#This Row],[Llegada Almacén de Ingreso]]-OLDBD[[#This Row],[Salida Packing]],"")</f>
        <v>0.74444444444088731</v>
      </c>
      <c r="AY256" s="4" t="str" cm="1">
        <f t="array" ref="AY2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6" s="43" t="s">
        <v>173</v>
      </c>
      <c r="BB256" s="47" t="str">
        <f>IFERROR(IF(MARÍTIMOS[[#This Row],[Estatus]]="","",MARÍTIMOS[[#This Row],[Estatus]]),"")</f>
        <v>Confirmado</v>
      </c>
      <c r="BC256" s="43"/>
      <c r="BD256" s="46">
        <f>IFERROR(OLDBD[[#This Row],[Salida de almacén de retiro]]-OLDBD[[#This Row],[Ingreso Almacén de retiro]],"")</f>
        <v>6.9444444452528842E-3</v>
      </c>
      <c r="BE256" s="46">
        <f>IFERROR(OLDBD[[#This Row],[Fin de Carga]]-OLDBD[[#This Row],[Inicio de Carga]],"")</f>
        <v>1.0416666664241347E-2</v>
      </c>
    </row>
    <row r="257" spans="1:57" customFormat="1" hidden="1">
      <c r="A257" s="1"/>
      <c r="B257" s="1">
        <f>IFERROR(IF(MARÍTIMOS[[#This Row],[PP]]="","",MARÍTIMOS[[#This Row],[PP]]),"")</f>
        <v>30</v>
      </c>
      <c r="C257" s="1" t="str">
        <f>IFERROR(IF(MARÍTIMOS[[#This Row],[Sede]]="","",MARÍTIMOS[[#This Row],[Sede]]),"")</f>
        <v>Chao</v>
      </c>
      <c r="D257" s="1" t="str">
        <f>IFERROR(IF(MARÍTIMOS[[#This Row],[Instruction]]="","",MARÍTIMOS[[#This Row],[Instruction]]),"")</f>
        <v>RH-0255</v>
      </c>
      <c r="E257" s="1"/>
      <c r="F257" s="2" t="str">
        <f>IFERROR(IF(MARÍTIMOS[[#This Row],[Transportista]]="","",MARÍTIMOS[[#This Row],[Transportista]]),"")</f>
        <v>LIP</v>
      </c>
      <c r="G257" s="2" t="str">
        <f>IFERROR(IF(MARÍTIMOS[[#This Row],[Tercero]]="","",MARÍTIMOS[[#This Row],[Tercero]]),"")</f>
        <v>SI</v>
      </c>
      <c r="H257" s="2" t="str">
        <f>IFERROR(IF(MARÍTIMOS[[#This Row],[Razón Social]]="","",MARÍTIMOS[[#This Row],[Razón Social]]),"")</f>
        <v>TRANSCAR MATHEO SOCIEDAD ANONIMA CERRADA</v>
      </c>
      <c r="I257" s="2">
        <f>IFERROR(IF(MARÍTIMOS[[#This Row],[RUC]]="","",MARÍTIMOS[[#This Row],[RUC]]),"")</f>
        <v>20612886921</v>
      </c>
      <c r="J257" s="2" t="str">
        <f>IFERROR(IF(MARÍTIMOS[[#This Row],[Placa Tracto]]="","",MARÍTIMOS[[#This Row],[Placa Tracto]]),"")</f>
        <v>T9I-827</v>
      </c>
      <c r="K257" s="2" t="str">
        <f>IFERROR(IF(MARÍTIMOS[[#This Row],[Placa Carreta]]="","",MARÍTIMOS[[#This Row],[Placa Carreta]]),"")</f>
        <v>TOU-976</v>
      </c>
      <c r="L257" s="44" t="str">
        <f>IFERROR(IF(MARÍTIMOS[[#This Row],[Conductor]]="","",MARÍTIMOS[[#This Row],[Conductor]]),"")</f>
        <v>CRUZ ATO CARLOS DAVID</v>
      </c>
      <c r="M257" s="2" t="str">
        <f>IFERROR(IF(MARÍTIMOS[[#This Row],[Licencia]]="","",MARÍTIMOS[[#This Row],[Licencia]]),"")</f>
        <v>B03681030</v>
      </c>
      <c r="N257" s="2" t="str">
        <f>IFERROR(IF(MARÍTIMOS[[#This Row],[Número de Contacto]]="","",MARÍTIMOS[[#This Row],[Número de Contacto]]),"")</f>
        <v>978 069 655</v>
      </c>
      <c r="O257" s="10" t="str">
        <f>IFERROR(IF(MARÍTIMOS[[#This Row],[Booking|AWB|CRT]]="","",MARÍTIMOS[[#This Row],[Booking|AWB|CRT]]),"")</f>
        <v>BN79753</v>
      </c>
      <c r="P257" s="2" t="str">
        <f>IFERROR(IF(MARÍTIMOS[[#This Row],[Contenedor]]="","",MARÍTIMOS[[#This Row],[Contenedor]]),"")</f>
        <v>TEMU9788666</v>
      </c>
      <c r="Q257" s="2" t="str">
        <f>IFERROR(IF(MARÍTIMOS[[#This Row],[Puerto de Retiro]]="","",MARÍTIMOS[[#This Row],[Puerto de Retiro]]),"")</f>
        <v>PAITA</v>
      </c>
      <c r="R257" s="2" t="str">
        <f>IFERROR(IF(MARÍTIMOS[[#This Row],[Almacén de Retiro]]="","",MARÍTIMOS[[#This Row],[Almacén de Retiro]]),"")</f>
        <v>DPW</v>
      </c>
      <c r="S257" s="11">
        <v>46214.583333333336</v>
      </c>
      <c r="T257" s="11">
        <v>46214.611111111109</v>
      </c>
      <c r="U257" s="11">
        <v>46214.617361111108</v>
      </c>
      <c r="V257" s="11">
        <v>46214.657638888886</v>
      </c>
      <c r="W257" s="11">
        <v>46214.664583333331</v>
      </c>
      <c r="X257" s="11">
        <v>46214.734027777777</v>
      </c>
      <c r="Y257" s="11">
        <v>46215.333333333336</v>
      </c>
      <c r="Z257" s="11">
        <f>IFERROR(IF(MARÍTIMOS[[#This Row],[Etapa Despacho - Llegada]]="","",MARÍTIMOS[[#This Row],[Etapa Despacho - Llegada]]),"")</f>
        <v>46229.315972222219</v>
      </c>
      <c r="AA257" s="11">
        <f>IFERROR(IF(MARÍTIMOS[[#This Row],[Etapa Despacho - Registro]]="","",MARÍTIMOS[[#This Row],[Etapa Despacho - Registro]]),"")</f>
        <v>46229.322916666664</v>
      </c>
      <c r="AB257" s="11">
        <v>46215.37222222222</v>
      </c>
      <c r="AC257" s="11">
        <f>IFERROR(IF(MARÍTIMOS[[#This Row],[Etapa Despacho - Inicio de Carga]]="","",MARÍTIMOS[[#This Row],[Etapa Despacho - Inicio de Carga]]),"")</f>
        <v>46229.381944444445</v>
      </c>
      <c r="AD257" s="11">
        <f>IFERROR(IF(MARÍTIMOS[[#This Row],[Etapa Despacho - Mitad de Carga]]="","",MARÍTIMOS[[#This Row],[Etapa Despacho - Mitad de Carga]]),"")</f>
        <v>46229.392361111109</v>
      </c>
      <c r="AE257" s="11">
        <f>IFERROR(IF(MARÍTIMOS[[#This Row],[Etapa Despacho - Fin de Carga]]="","",MARÍTIMOS[[#This Row],[Etapa Despacho - Fin de Carga]]),"")</f>
        <v>46229.736805555556</v>
      </c>
      <c r="AF257" s="2" t="str">
        <f>IFERROR(IF(MARÍTIMOS[[#This Row],[Puerto de Embarque]]="","",MARÍTIMOS[[#This Row],[Puerto de Embarque]]),"")</f>
        <v>Paita</v>
      </c>
      <c r="AG257" s="2" t="str">
        <f>IFERROR(IF(MARÍTIMOS[[#This Row],[Almacén de Ingreso]]="","",MARÍTIMOS[[#This Row],[Almacén de Ingreso]]),"")</f>
        <v>TPE</v>
      </c>
      <c r="AH257" s="11">
        <f>IFERROR(IF(MARÍTIMOS[[#This Row],[Etapa Ingreso - Cita]]="","",MARÍTIMOS[[#This Row],[Etapa Ingreso - Cita]]),"")</f>
        <v>46230.375</v>
      </c>
      <c r="AI257" s="11">
        <f>IFERROR(IF(MARÍTIMOS[[#This Row],[Etapa Ingreso - Llegada]]="","",MARÍTIMOS[[#This Row],[Etapa Ingreso - Llegada]]),"")</f>
        <v>46230.404861111114</v>
      </c>
      <c r="AJ257" s="11">
        <f>IFERROR(IF(MARÍTIMOS[[#This Row],[Etapa Ingreso - Ingeso]]="","",MARÍTIMOS[[#This Row],[Etapa Ingreso - Ingeso]]),"")</f>
        <v>46230.413194444445</v>
      </c>
      <c r="AK257" s="11">
        <f>IFERROR(IF(MARÍTIMOS[[#This Row],[Etapa Ingreso - Atención]]="","",MARÍTIMOS[[#This Row],[Etapa Ingreso - Atención]]),"")</f>
        <v>46230.416666666664</v>
      </c>
      <c r="AL257" s="11">
        <f>IFERROR(IF(MARÍTIMOS[[#This Row],[Etapa Ingreso - Salida]]="","",MARÍTIMOS[[#This Row],[Etapa Ingreso - Salida]]),"")</f>
        <v>46230.42083333333</v>
      </c>
      <c r="AM257" s="2">
        <f>IFERROR(IF(MARÍTIMOS[[#This Row],[FCL]]="","",MARÍTIMOS[[#This Row],[FCL]]),"")</f>
        <v>1</v>
      </c>
      <c r="AN2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7" s="4" t="str" cm="1">
        <f t="array" ref="AO2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257" s="5">
        <f>IFERROR(OLDBD[[#This Row],[Llegada a packing]]-OLDBD[[#This Row],[Inicio de Ruta]],"")</f>
        <v>14.581944444442343</v>
      </c>
      <c r="AQ257" s="6">
        <f>IFERROR(OLDBD[[#This Row],[Inicio de Ruta]]-OLDBD[[#This Row],[Salida de almacén de retiro]],"")</f>
        <v>6.9444444445252884E-2</v>
      </c>
      <c r="AR2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57" s="8" t="str" cm="1">
        <f t="array" ref="AS2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57" s="9">
        <f>IFERROR(OLDBD[[#This Row],[Ingreso Packing]]-OLDBD[[#This Row],[Registro en Packing]],"")</f>
        <v>-13.950694444443798</v>
      </c>
      <c r="AV257" s="9">
        <f>IFERROR(OLDBD[[#This Row],[Ingreso Packing]]-OLDBD[[#This Row],[Llegada a packing]],"")</f>
        <v>-13.943749999998545</v>
      </c>
      <c r="AW2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57" s="5">
        <f>IFERROR(OLDBD[[#This Row],[Llegada Almacén de Ingreso]]-OLDBD[[#This Row],[Salida Packing]],"")</f>
        <v>0.6680555555576575</v>
      </c>
      <c r="AY257" s="4" t="str" cm="1">
        <f t="array" ref="AY2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7" s="43" t="s">
        <v>173</v>
      </c>
      <c r="BB257" s="47" t="str">
        <f>IFERROR(IF(MARÍTIMOS[[#This Row],[Estatus]]="","",MARÍTIMOS[[#This Row],[Estatus]]),"")</f>
        <v>Confirmado</v>
      </c>
      <c r="BC257" s="43"/>
      <c r="BD257" s="46">
        <f>IFERROR(OLDBD[[#This Row],[Salida de almacén de retiro]]-OLDBD[[#This Row],[Ingreso Almacén de retiro]],"")</f>
        <v>4.7222222223354038E-2</v>
      </c>
      <c r="BE257" s="46">
        <f>IFERROR(OLDBD[[#This Row],[Fin de Carga]]-OLDBD[[#This Row],[Inicio de Carga]],"")</f>
        <v>1.0416666664241347E-2</v>
      </c>
    </row>
    <row r="258" spans="1:57" customFormat="1" hidden="1">
      <c r="A258" s="1"/>
      <c r="B258" s="1">
        <f>IFERROR(IF(MARÍTIMOS[[#This Row],[PP]]="","",MARÍTIMOS[[#This Row],[PP]]),"")</f>
        <v>30</v>
      </c>
      <c r="C258" s="1" t="str">
        <f>IFERROR(IF(MARÍTIMOS[[#This Row],[Sede]]="","",MARÍTIMOS[[#This Row],[Sede]]),"")</f>
        <v>Chao</v>
      </c>
      <c r="D258" s="1" t="str">
        <f>IFERROR(IF(MARÍTIMOS[[#This Row],[Instruction]]="","",MARÍTIMOS[[#This Row],[Instruction]]),"")</f>
        <v>RH-0256</v>
      </c>
      <c r="E258" s="1"/>
      <c r="F258" s="2" t="str">
        <f>IFERROR(IF(MARÍTIMOS[[#This Row],[Transportista]]="","",MARÍTIMOS[[#This Row],[Transportista]]),"")</f>
        <v>LIP</v>
      </c>
      <c r="G258" s="2" t="str">
        <f>IFERROR(IF(MARÍTIMOS[[#This Row],[Tercero]]="","",MARÍTIMOS[[#This Row],[Tercero]]),"")</f>
        <v>SI</v>
      </c>
      <c r="H258" s="2" t="str">
        <f>IFERROR(IF(MARÍTIMOS[[#This Row],[Razón Social]]="","",MARÍTIMOS[[#This Row],[Razón Social]]),"")</f>
        <v>TRANSPORTES KALING SOCIEDAD ANONIMA CERRADA</v>
      </c>
      <c r="I258" s="2">
        <f>IFERROR(IF(MARÍTIMOS[[#This Row],[RUC]]="","",MARÍTIMOS[[#This Row],[RUC]]),"")</f>
        <v>20611958651</v>
      </c>
      <c r="J258" s="2" t="str">
        <f>IFERROR(IF(MARÍTIMOS[[#This Row],[Placa Tracto]]="","",MARÍTIMOS[[#This Row],[Placa Tracto]]),"")</f>
        <v>TFE-890</v>
      </c>
      <c r="K258" s="2" t="str">
        <f>IFERROR(IF(MARÍTIMOS[[#This Row],[Placa Carreta]]="","",MARÍTIMOS[[#This Row],[Placa Carreta]]),"")</f>
        <v>T0R-993</v>
      </c>
      <c r="L258" s="44" t="str">
        <f>IFERROR(IF(MARÍTIMOS[[#This Row],[Conductor]]="","",MARÍTIMOS[[#This Row],[Conductor]]),"")</f>
        <v>JUAREZ VILLASECA FELIX WALTER</v>
      </c>
      <c r="M258" s="2" t="str">
        <f>IFERROR(IF(MARÍTIMOS[[#This Row],[Licencia]]="","",MARÍTIMOS[[#This Row],[Licencia]]),"")</f>
        <v>B03659725</v>
      </c>
      <c r="N258" s="2" t="str">
        <f>IFERROR(IF(MARÍTIMOS[[#This Row],[Número de Contacto]]="","",MARÍTIMOS[[#This Row],[Número de Contacto]]),"")</f>
        <v>975 059 655</v>
      </c>
      <c r="O258" s="10" t="str">
        <f>IFERROR(IF(MARÍTIMOS[[#This Row],[Booking|AWB|CRT]]="","",MARÍTIMOS[[#This Row],[Booking|AWB|CRT]]),"")</f>
        <v>BN79754</v>
      </c>
      <c r="P258" s="2" t="str">
        <f>IFERROR(IF(MARÍTIMOS[[#This Row],[Contenedor]]="","",MARÍTIMOS[[#This Row],[Contenedor]]),"")</f>
        <v>TEMU9502793</v>
      </c>
      <c r="Q258" s="2" t="str">
        <f>IFERROR(IF(MARÍTIMOS[[#This Row],[Puerto de Retiro]]="","",MARÍTIMOS[[#This Row],[Puerto de Retiro]]),"")</f>
        <v>PAITA</v>
      </c>
      <c r="R258" s="2" t="str">
        <f>IFERROR(IF(MARÍTIMOS[[#This Row],[Almacén de Retiro]]="","",MARÍTIMOS[[#This Row],[Almacén de Retiro]]),"")</f>
        <v>DPW</v>
      </c>
      <c r="S258" s="11">
        <v>46214.583333333336</v>
      </c>
      <c r="T258" s="11">
        <v>46214.615277777775</v>
      </c>
      <c r="U258" s="11">
        <v>46214.65</v>
      </c>
      <c r="V258" s="11">
        <v>46214.704861111109</v>
      </c>
      <c r="W258" s="11">
        <v>46214.704861111109</v>
      </c>
      <c r="X258" s="11">
        <v>46214.783333333333</v>
      </c>
      <c r="Y258" s="11">
        <f>IFERROR(IF(MARÍTIMOS[[#This Row],[Hora de Posicionamiento]]="","",MARÍTIMOS[[#This Row],[Fecha de Carga]]+MARÍTIMOS[[#This Row],[Hora de Posicionamiento]]),"")</f>
        <v>46228.333333333336</v>
      </c>
      <c r="Z258" s="11">
        <f>IFERROR(IF(MARÍTIMOS[[#This Row],[Etapa Despacho - Llegada]]="","",MARÍTIMOS[[#This Row],[Etapa Despacho - Llegada]]),"")</f>
        <v>46229.524305555555</v>
      </c>
      <c r="AA258" s="11">
        <f>IFERROR(IF(MARÍTIMOS[[#This Row],[Etapa Despacho - Registro]]="","",MARÍTIMOS[[#This Row],[Etapa Despacho - Registro]]),"")</f>
        <v>46229.53125</v>
      </c>
      <c r="AB258" s="11">
        <v>46215.527777777781</v>
      </c>
      <c r="AC258" s="11">
        <f>IFERROR(IF(MARÍTIMOS[[#This Row],[Etapa Despacho - Inicio de Carga]]="","",MARÍTIMOS[[#This Row],[Etapa Despacho - Inicio de Carga]]),"")</f>
        <v>46229.590277777781</v>
      </c>
      <c r="AD258" s="11">
        <f>IFERROR(IF(MARÍTIMOS[[#This Row],[Etapa Despacho - Mitad de Carga]]="","",MARÍTIMOS[[#This Row],[Etapa Despacho - Mitad de Carga]]),"")</f>
        <v>46229.600694444445</v>
      </c>
      <c r="AE258" s="11">
        <f>IFERROR(IF(MARÍTIMOS[[#This Row],[Etapa Despacho - Fin de Carga]]="","",MARÍTIMOS[[#This Row],[Etapa Despacho - Fin de Carga]]),"")</f>
        <v>46229.743055555555</v>
      </c>
      <c r="AF258" s="2" t="str">
        <f>IFERROR(IF(MARÍTIMOS[[#This Row],[Puerto de Embarque]]="","",MARÍTIMOS[[#This Row],[Puerto de Embarque]]),"")</f>
        <v>Paita</v>
      </c>
      <c r="AG258" s="2" t="str">
        <f>IFERROR(IF(MARÍTIMOS[[#This Row],[Almacén de Ingreso]]="","",MARÍTIMOS[[#This Row],[Almacén de Ingreso]]),"")</f>
        <v>TPE</v>
      </c>
      <c r="AH258" s="11">
        <f>IFERROR(IF(MARÍTIMOS[[#This Row],[Etapa Ingreso - Cita]]="","",MARÍTIMOS[[#This Row],[Etapa Ingreso - Cita]]),"")</f>
        <v>46230.375</v>
      </c>
      <c r="AI258" s="11">
        <f>IFERROR(IF(MARÍTIMOS[[#This Row],[Etapa Ingreso - Llegada]]="","",MARÍTIMOS[[#This Row],[Etapa Ingreso - Llegada]]),"")</f>
        <v>46230.382638888892</v>
      </c>
      <c r="AJ258" s="11">
        <f>IFERROR(IF(MARÍTIMOS[[#This Row],[Etapa Ingreso - Ingeso]]="","",MARÍTIMOS[[#This Row],[Etapa Ingreso - Ingeso]]),"")</f>
        <v>46230.38958333333</v>
      </c>
      <c r="AK258" s="11">
        <f>IFERROR(IF(MARÍTIMOS[[#This Row],[Etapa Ingreso - Atención]]="","",MARÍTIMOS[[#This Row],[Etapa Ingreso - Atención]]),"")</f>
        <v>46230.396527777775</v>
      </c>
      <c r="AL258" s="11">
        <f>IFERROR(IF(MARÍTIMOS[[#This Row],[Etapa Ingreso - Salida]]="","",MARÍTIMOS[[#This Row],[Etapa Ingreso - Salida]]),"")</f>
        <v>46230.414583333331</v>
      </c>
      <c r="AM258" s="2">
        <f>IFERROR(IF(MARÍTIMOS[[#This Row],[FCL]]="","",MARÍTIMOS[[#This Row],[FCL]]),"")</f>
        <v>1</v>
      </c>
      <c r="AN2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8" s="4" t="str" cm="1">
        <f t="array" ref="AO2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258" s="5">
        <f>IFERROR(OLDBD[[#This Row],[Llegada a packing]]-OLDBD[[#This Row],[Inicio de Ruta]],"")</f>
        <v>14.740972222221899</v>
      </c>
      <c r="AQ258" s="6">
        <f>IFERROR(OLDBD[[#This Row],[Inicio de Ruta]]-OLDBD[[#This Row],[Salida de almacén de retiro]],"")</f>
        <v>7.8472222223354038E-2</v>
      </c>
      <c r="AR2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58" s="8" t="str" cm="1">
        <f t="array" ref="AS2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58" s="9">
        <f>IFERROR(OLDBD[[#This Row],[Ingreso Packing]]-OLDBD[[#This Row],[Registro en Packing]],"")</f>
        <v>-14.003472222218988</v>
      </c>
      <c r="AV258" s="9">
        <f>IFERROR(OLDBD[[#This Row],[Ingreso Packing]]-OLDBD[[#This Row],[Llegada a packing]],"")</f>
        <v>-13.996527777773736</v>
      </c>
      <c r="AW2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58" s="5">
        <f>IFERROR(OLDBD[[#This Row],[Llegada Almacén de Ingreso]]-OLDBD[[#This Row],[Salida Packing]],"")</f>
        <v>0.63958333333721384</v>
      </c>
      <c r="AY258" s="4" t="str" cm="1">
        <f t="array" ref="AY2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8" s="43" t="s">
        <v>173</v>
      </c>
      <c r="BB258" s="47" t="str">
        <f>IFERROR(IF(MARÍTIMOS[[#This Row],[Estatus]]="","",MARÍTIMOS[[#This Row],[Estatus]]),"")</f>
        <v>Confirmado</v>
      </c>
      <c r="BC258" s="43"/>
      <c r="BD258" s="46">
        <f>IFERROR(OLDBD[[#This Row],[Salida de almacén de retiro]]-OLDBD[[#This Row],[Ingreso Almacén de retiro]],"")</f>
        <v>5.486111110803904E-2</v>
      </c>
      <c r="BE258" s="46">
        <f>IFERROR(OLDBD[[#This Row],[Fin de Carga]]-OLDBD[[#This Row],[Inicio de Carga]],"")</f>
        <v>1.0416666664241347E-2</v>
      </c>
    </row>
    <row r="259" spans="1:57" customFormat="1" hidden="1">
      <c r="A259" s="1"/>
      <c r="B259" s="1">
        <f>IFERROR(IF(MARÍTIMOS[[#This Row],[PP]]="","",MARÍTIMOS[[#This Row],[PP]]),"")</f>
        <v>30</v>
      </c>
      <c r="C259" s="1" t="str">
        <f>IFERROR(IF(MARÍTIMOS[[#This Row],[Sede]]="","",MARÍTIMOS[[#This Row],[Sede]]),"")</f>
        <v>Chao</v>
      </c>
      <c r="D259" s="1" t="str">
        <f>IFERROR(IF(MARÍTIMOS[[#This Row],[Instruction]]="","",MARÍTIMOS[[#This Row],[Instruction]]),"")</f>
        <v>RH-0257</v>
      </c>
      <c r="E259" s="1"/>
      <c r="F259" s="2" t="str">
        <f>IFERROR(IF(MARÍTIMOS[[#This Row],[Transportista]]="","",MARÍTIMOS[[#This Row],[Transportista]]),"")</f>
        <v>LIP</v>
      </c>
      <c r="G259" s="2" t="str">
        <f>IFERROR(IF(MARÍTIMOS[[#This Row],[Tercero]]="","",MARÍTIMOS[[#This Row],[Tercero]]),"")</f>
        <v>NO</v>
      </c>
      <c r="H259" s="2" t="str">
        <f>IFERROR(IF(MARÍTIMOS[[#This Row],[Razón Social]]="","",MARÍTIMOS[[#This Row],[Razón Social]]),"")</f>
        <v xml:space="preserve">LOGISTICA INTERMODAL DEL PERU S.A.C.
</v>
      </c>
      <c r="I259" s="2">
        <f>IFERROR(IF(MARÍTIMOS[[#This Row],[RUC]]="","",MARÍTIMOS[[#This Row],[RUC]]),"")</f>
        <v>20513040718</v>
      </c>
      <c r="J259" s="2" t="str">
        <f>IFERROR(IF(MARÍTIMOS[[#This Row],[Placa Tracto]]="","",MARÍTIMOS[[#This Row],[Placa Tracto]]),"")</f>
        <v>AZH-828</v>
      </c>
      <c r="K259" s="2" t="str">
        <f>IFERROR(IF(MARÍTIMOS[[#This Row],[Placa Carreta]]="","",MARÍTIMOS[[#This Row],[Placa Carreta]]),"")</f>
        <v>AXO-972</v>
      </c>
      <c r="L259" s="44" t="str">
        <f>IFERROR(IF(MARÍTIMOS[[#This Row],[Conductor]]="","",MARÍTIMOS[[#This Row],[Conductor]]),"")</f>
        <v>VARGAS BARRIENTOS JESUS GERMAN</v>
      </c>
      <c r="M259" s="2" t="str">
        <f>IFERROR(IF(MARÍTIMOS[[#This Row],[Licencia]]="","",MARÍTIMOS[[#This Row],[Licencia]]),"")</f>
        <v>B72766316</v>
      </c>
      <c r="N259" s="2" t="str">
        <f>IFERROR(IF(MARÍTIMOS[[#This Row],[Número de Contacto]]="","",MARÍTIMOS[[#This Row],[Número de Contacto]]),"")</f>
        <v>958 005 437</v>
      </c>
      <c r="O259" s="10" t="str">
        <f>IFERROR(IF(MARÍTIMOS[[#This Row],[Booking|AWB|CRT]]="","",MARÍTIMOS[[#This Row],[Booking|AWB|CRT]]),"")</f>
        <v>PER9156769A</v>
      </c>
      <c r="P259" s="2" t="str">
        <f>IFERROR(IF(MARÍTIMOS[[#This Row],[Contenedor]]="","",MARÍTIMOS[[#This Row],[Contenedor]]),"")</f>
        <v>CAAU4081885</v>
      </c>
      <c r="Q259" s="2" t="str">
        <f>IFERROR(IF(MARÍTIMOS[[#This Row],[Puerto de Retiro]]="","",MARÍTIMOS[[#This Row],[Puerto de Retiro]]),"")</f>
        <v>PAITA</v>
      </c>
      <c r="R259" s="2" t="str">
        <f>IFERROR(IF(MARÍTIMOS[[#This Row],[Almacén de Retiro]]="","",MARÍTIMOS[[#This Row],[Almacén de Retiro]]),"")</f>
        <v>DPW</v>
      </c>
      <c r="S259" s="11">
        <v>46214.583333333336</v>
      </c>
      <c r="T259" s="11">
        <v>46214.615972222222</v>
      </c>
      <c r="U259" s="11">
        <v>46214.615972222222</v>
      </c>
      <c r="V259" s="11">
        <v>46214.636805555558</v>
      </c>
      <c r="W259" s="11">
        <v>46214.650694444441</v>
      </c>
      <c r="X259" s="11">
        <v>46214.790972222225</v>
      </c>
      <c r="Y259" s="11">
        <f>IFERROR(IF(MARÍTIMOS[[#This Row],[Hora de Posicionamiento]]="","",MARÍTIMOS[[#This Row],[Fecha de Carga]]+MARÍTIMOS[[#This Row],[Hora de Posicionamiento]]),"")</f>
        <v>46228.333333333336</v>
      </c>
      <c r="Z259" s="11">
        <f>IFERROR(IF(MARÍTIMOS[[#This Row],[Etapa Despacho - Llegada]]="","",MARÍTIMOS[[#This Row],[Etapa Despacho - Llegada]]),"")</f>
        <v>46228.366666666669</v>
      </c>
      <c r="AA259" s="11">
        <f>IFERROR(IF(MARÍTIMOS[[#This Row],[Etapa Despacho - Registro]]="","",MARÍTIMOS[[#This Row],[Etapa Despacho - Registro]]),"")</f>
        <v>46228.373611111114</v>
      </c>
      <c r="AB259" s="11">
        <v>46215.536805555559</v>
      </c>
      <c r="AC259" s="11">
        <f>IFERROR(IF(MARÍTIMOS[[#This Row],[Etapa Despacho - Inicio de Carga]]="","",MARÍTIMOS[[#This Row],[Etapa Despacho - Inicio de Carga]]),"")</f>
        <v>46228.430555555555</v>
      </c>
      <c r="AD259" s="11">
        <f>IFERROR(IF(MARÍTIMOS[[#This Row],[Etapa Despacho - Mitad de Carga]]="","",MARÍTIMOS[[#This Row],[Etapa Despacho - Mitad de Carga]]),"")</f>
        <v>46228.440972222219</v>
      </c>
      <c r="AE259" s="11">
        <f>IFERROR(IF(MARÍTIMOS[[#This Row],[Etapa Despacho - Fin de Carga]]="","",MARÍTIMOS[[#This Row],[Etapa Despacho - Fin de Carga]]),"")</f>
        <v>46228.708333333336</v>
      </c>
      <c r="AF259" s="2" t="str">
        <f>IFERROR(IF(MARÍTIMOS[[#This Row],[Puerto de Embarque]]="","",MARÍTIMOS[[#This Row],[Puerto de Embarque]]),"")</f>
        <v>Paita</v>
      </c>
      <c r="AG259" s="2" t="str">
        <f>IFERROR(IF(MARÍTIMOS[[#This Row],[Almacén de Ingreso]]="","",MARÍTIMOS[[#This Row],[Almacén de Ingreso]]),"")</f>
        <v>TPE</v>
      </c>
      <c r="AH259" s="11">
        <f>IFERROR(IF(MARÍTIMOS[[#This Row],[Etapa Ingreso - Cita]]="","",MARÍTIMOS[[#This Row],[Etapa Ingreso - Cita]]),"")</f>
        <v>46229.416666666664</v>
      </c>
      <c r="AI259" s="11">
        <f>IFERROR(IF(MARÍTIMOS[[#This Row],[Etapa Ingreso - Llegada]]="","",MARÍTIMOS[[#This Row],[Etapa Ingreso - Llegada]]),"")</f>
        <v>46229.427777777775</v>
      </c>
      <c r="AJ259" s="11">
        <f>IFERROR(IF(MARÍTIMOS[[#This Row],[Etapa Ingreso - Ingeso]]="","",MARÍTIMOS[[#This Row],[Etapa Ingreso - Ingeso]]),"")</f>
        <v>46229.432638888888</v>
      </c>
      <c r="AK259" s="11">
        <f>IFERROR(IF(MARÍTIMOS[[#This Row],[Etapa Ingreso - Atención]]="","",MARÍTIMOS[[#This Row],[Etapa Ingreso - Atención]]),"")</f>
        <v>46229.4375</v>
      </c>
      <c r="AL259" s="11">
        <f>IFERROR(IF(MARÍTIMOS[[#This Row],[Etapa Ingreso - Salida]]="","",MARÍTIMOS[[#This Row],[Etapa Ingreso - Salida]]),"")</f>
        <v>46229.438888888886</v>
      </c>
      <c r="AM259" s="2">
        <f>IFERROR(IF(MARÍTIMOS[[#This Row],[FCL]]="","",MARÍTIMOS[[#This Row],[FCL]]),"")</f>
        <v>1</v>
      </c>
      <c r="AN2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59" s="4" t="str" cm="1">
        <f t="array" ref="AO2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59" s="5">
        <f>IFERROR(OLDBD[[#This Row],[Llegada a packing]]-OLDBD[[#This Row],[Inicio de Ruta]],"")</f>
        <v>13.575694444443798</v>
      </c>
      <c r="AQ259" s="6">
        <f>IFERROR(OLDBD[[#This Row],[Inicio de Ruta]]-OLDBD[[#This Row],[Salida de almacén de retiro]],"")</f>
        <v>0.14027777778392192</v>
      </c>
      <c r="AR2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59" s="8" t="str" cm="1">
        <f t="array" ref="AS2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59" s="9">
        <f>IFERROR(OLDBD[[#This Row],[Ingreso Packing]]-OLDBD[[#This Row],[Registro en Packing]],"")</f>
        <v>-12.836805555554747</v>
      </c>
      <c r="AV259" s="9">
        <f>IFERROR(OLDBD[[#This Row],[Ingreso Packing]]-OLDBD[[#This Row],[Llegada a packing]],"")</f>
        <v>-12.829861111109494</v>
      </c>
      <c r="AW2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59" s="5">
        <f>IFERROR(OLDBD[[#This Row],[Llegada Almacén de Ingreso]]-OLDBD[[#This Row],[Salida Packing]],"")</f>
        <v>0.71944444443943212</v>
      </c>
      <c r="AY259" s="4" t="str" cm="1">
        <f t="array" ref="AY2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59" s="43" t="s">
        <v>173</v>
      </c>
      <c r="BB259" s="47" t="str">
        <f>IFERROR(IF(MARÍTIMOS[[#This Row],[Estatus]]="","",MARÍTIMOS[[#This Row],[Estatus]]),"")</f>
        <v>Confirmado</v>
      </c>
      <c r="BC259" s="43"/>
      <c r="BD259" s="46">
        <f>IFERROR(OLDBD[[#This Row],[Salida de almacén de retiro]]-OLDBD[[#This Row],[Ingreso Almacén de retiro]],"")</f>
        <v>3.4722222218988463E-2</v>
      </c>
      <c r="BE259" s="46">
        <f>IFERROR(OLDBD[[#This Row],[Fin de Carga]]-OLDBD[[#This Row],[Inicio de Carga]],"")</f>
        <v>1.0416666664241347E-2</v>
      </c>
    </row>
    <row r="260" spans="1:57" customFormat="1" hidden="1">
      <c r="A260" s="1"/>
      <c r="B260" s="1">
        <f>IFERROR(IF(MARÍTIMOS[[#This Row],[PP]]="","",MARÍTIMOS[[#This Row],[PP]]),"")</f>
        <v>30</v>
      </c>
      <c r="C260" s="1" t="str">
        <f>IFERROR(IF(MARÍTIMOS[[#This Row],[Sede]]="","",MARÍTIMOS[[#This Row],[Sede]]),"")</f>
        <v>Olmos</v>
      </c>
      <c r="D260" s="1" t="str">
        <f>IFERROR(IF(MARÍTIMOS[[#This Row],[Instruction]]="","",MARÍTIMOS[[#This Row],[Instruction]]),"")</f>
        <v>RH-0258</v>
      </c>
      <c r="E260" s="1"/>
      <c r="F260" s="2" t="str">
        <f>IFERROR(IF(MARÍTIMOS[[#This Row],[Transportista]]="","",MARÍTIMOS[[#This Row],[Transportista]]),"")</f>
        <v>LIP</v>
      </c>
      <c r="G260" s="2" t="str">
        <f>IFERROR(IF(MARÍTIMOS[[#This Row],[Tercero]]="","",MARÍTIMOS[[#This Row],[Tercero]]),"")</f>
        <v>SI</v>
      </c>
      <c r="H260" s="2" t="str">
        <f>IFERROR(IF(MARÍTIMOS[[#This Row],[Razón Social]]="","",MARÍTIMOS[[#This Row],[Razón Social]]),"")</f>
        <v xml:space="preserve">LOGISTICS TRANSPORT SOCIEDAD ANONIMA CERRADA </v>
      </c>
      <c r="I260" s="2">
        <f>IFERROR(IF(MARÍTIMOS[[#This Row],[RUC]]="","",MARÍTIMOS[[#This Row],[RUC]]),"")</f>
        <v>20614402246</v>
      </c>
      <c r="J260" s="2" t="str">
        <f>IFERROR(IF(MARÍTIMOS[[#This Row],[Placa Tracto]]="","",MARÍTIMOS[[#This Row],[Placa Tracto]]),"")</f>
        <v>D4J-829</v>
      </c>
      <c r="K260" s="2" t="str">
        <f>IFERROR(IF(MARÍTIMOS[[#This Row],[Placa Carreta]]="","",MARÍTIMOS[[#This Row],[Placa Carreta]]),"")</f>
        <v>TPD-978</v>
      </c>
      <c r="L260" s="44" t="str">
        <f>IFERROR(IF(MARÍTIMOS[[#This Row],[Conductor]]="","",MARÍTIMOS[[#This Row],[Conductor]]),"")</f>
        <v>CHIROQUE IMAN JOSE NICOLAS</v>
      </c>
      <c r="M260" s="2" t="str">
        <f>IFERROR(IF(MARÍTIMOS[[#This Row],[Licencia]]="","",MARÍTIMOS[[#This Row],[Licencia]]),"")</f>
        <v>C16578741</v>
      </c>
      <c r="N260" s="2" t="str">
        <f>IFERROR(IF(MARÍTIMOS[[#This Row],[Número de Contacto]]="","",MARÍTIMOS[[#This Row],[Número de Contacto]]),"")</f>
        <v>969 069 655</v>
      </c>
      <c r="O260" s="10" t="str">
        <f>IFERROR(IF(MARÍTIMOS[[#This Row],[Booking|AWB|CRT]]="","",MARÍTIMOS[[#This Row],[Booking|AWB|CRT]]),"")</f>
        <v>PER9156759A</v>
      </c>
      <c r="P260" s="2" t="str">
        <f>IFERROR(IF(MARÍTIMOS[[#This Row],[Contenedor]]="","",MARÍTIMOS[[#This Row],[Contenedor]]),"")</f>
        <v>SEKU9422510</v>
      </c>
      <c r="Q260" s="2" t="str">
        <f>IFERROR(IF(MARÍTIMOS[[#This Row],[Puerto de Retiro]]="","",MARÍTIMOS[[#This Row],[Puerto de Retiro]]),"")</f>
        <v>PAITA</v>
      </c>
      <c r="R260" s="2" t="str">
        <f>IFERROR(IF(MARÍTIMOS[[#This Row],[Almacén de Retiro]]="","",MARÍTIMOS[[#This Row],[Almacén de Retiro]]),"")</f>
        <v>DPW</v>
      </c>
      <c r="S260" s="11">
        <f>IFERROR(IF(MARÍTIMOS[[#This Row],[Etapa Retiro - Cita]]="","",MARÍTIMOS[[#This Row],[Etapa Retiro - Cita]]),"")</f>
        <v>46227.583333333336</v>
      </c>
      <c r="T260" s="11">
        <f>IFERROR(IF(MARÍTIMOS[[#This Row],[Etapa Retiro - Llegada]]="","",MARÍTIMOS[[#This Row],[Etapa Retiro - Llegada]]),"")</f>
        <v>46227.621527777781</v>
      </c>
      <c r="U260" s="11">
        <f>IFERROR(IF(MARÍTIMOS[[#This Row],[Etapa Retiro - Ingreso]]="","",MARÍTIMOS[[#This Row],[Etapa Retiro - Ingreso]]),"")</f>
        <v>46227.659722222219</v>
      </c>
      <c r="V260" s="11">
        <f>IFERROR(IF(MARÍTIMOS[[#This Row],[Etapa Retiro - Atención]]="","",MARÍTIMOS[[#This Row],[Etapa Retiro - Atención]]),"")</f>
        <v>46227.666666666664</v>
      </c>
      <c r="W260" s="11">
        <f>IFERROR(IF(MARÍTIMOS[[#This Row],[Etapa Retiro - Atención]]="","",MARÍTIMOS[[#This Row],[Etapa Retiro - Atención]]),"")</f>
        <v>46227.666666666664</v>
      </c>
      <c r="X260" s="11">
        <f>IFERROR(IF(MARÍTIMOS[[#This Row],[Etapa Retiro - Inicio de Ruta]]="","",MARÍTIMOS[[#This Row],[Etapa Retiro - Inicio de Ruta]]),"")</f>
        <v>46227.738888888889</v>
      </c>
      <c r="Y260" s="11">
        <f>IFERROR(IF(MARÍTIMOS[[#This Row],[Hora de Posicionamiento]]="","",MARÍTIMOS[[#This Row],[Fecha de Carga]]+MARÍTIMOS[[#This Row],[Hora de Posicionamiento]]),"")</f>
        <v>46228.333333333336</v>
      </c>
      <c r="Z260" s="11">
        <f>IFERROR(IF(MARÍTIMOS[[#This Row],[Etapa Despacho - Llegada]]="","",MARÍTIMOS[[#This Row],[Etapa Despacho - Llegada]]),"")</f>
        <v>46228.434027777781</v>
      </c>
      <c r="AA260" s="11">
        <f>IFERROR(IF(MARÍTIMOS[[#This Row],[Etapa Despacho - Registro]]="","",MARÍTIMOS[[#This Row],[Etapa Despacho - Registro]]),"")</f>
        <v>46228.440972222219</v>
      </c>
      <c r="AB260" s="11">
        <f>IFERROR(IF(MARÍTIMOS[[#This Row],[Inspección Externa]]="","",MARÍTIMOS[[#This Row],[Inspección Externa]]),"")</f>
        <v>46228.458333333336</v>
      </c>
      <c r="AC260" s="11">
        <f>IFERROR(IF(MARÍTIMOS[[#This Row],[Etapa Despacho - Inicio de Carga]]="","",MARÍTIMOS[[#This Row],[Etapa Despacho - Inicio de Carga]]),"")</f>
        <v>46228.5</v>
      </c>
      <c r="AD260" s="11">
        <f>IFERROR(IF(MARÍTIMOS[[#This Row],[Etapa Despacho - Mitad de Carga]]="","",MARÍTIMOS[[#This Row],[Etapa Despacho - Mitad de Carga]]),"")</f>
        <v>46228.510416666664</v>
      </c>
      <c r="AE260" s="11">
        <f>IFERROR(IF(MARÍTIMOS[[#This Row],[Etapa Despacho - Fin de Carga]]="","",MARÍTIMOS[[#This Row],[Etapa Despacho - Fin de Carga]]),"")</f>
        <v>46228.708333333336</v>
      </c>
      <c r="AF260" s="2" t="str">
        <f>IFERROR(IF(MARÍTIMOS[[#This Row],[Puerto de Embarque]]="","",MARÍTIMOS[[#This Row],[Puerto de Embarque]]),"")</f>
        <v>Paita</v>
      </c>
      <c r="AG260" s="2" t="str">
        <f>IFERROR(IF(MARÍTIMOS[[#This Row],[Almacén de Ingreso]]="","",MARÍTIMOS[[#This Row],[Almacén de Ingreso]]),"")</f>
        <v>TPE</v>
      </c>
      <c r="AH260" s="11">
        <f>IFERROR(IF(MARÍTIMOS[[#This Row],[Etapa Ingreso - Cita]]="","",MARÍTIMOS[[#This Row],[Etapa Ingreso - Cita]]),"")</f>
        <v>46229.5</v>
      </c>
      <c r="AI260" s="11">
        <f>IFERROR(IF(MARÍTIMOS[[#This Row],[Etapa Ingreso - Llegada]]="","",MARÍTIMOS[[#This Row],[Etapa Ingreso - Llegada]]),"")</f>
        <v>46229.507638888892</v>
      </c>
      <c r="AJ260" s="11">
        <f>IFERROR(IF(MARÍTIMOS[[#This Row],[Etapa Ingreso - Ingeso]]="","",MARÍTIMOS[[#This Row],[Etapa Ingreso - Ingeso]]),"")</f>
        <v>46229.519444444442</v>
      </c>
      <c r="AK260" s="11">
        <f>IFERROR(IF(MARÍTIMOS[[#This Row],[Etapa Ingreso - Atención]]="","",MARÍTIMOS[[#This Row],[Etapa Ingreso - Atención]]),"")</f>
        <v>46229.524305555555</v>
      </c>
      <c r="AL260" s="11">
        <f>IFERROR(IF(MARÍTIMOS[[#This Row],[Etapa Ingreso - Salida]]="","",MARÍTIMOS[[#This Row],[Etapa Ingreso - Salida]]),"")</f>
        <v>46229.52847222222</v>
      </c>
      <c r="AM260" s="2">
        <f>IFERROR(IF(MARÍTIMOS[[#This Row],[FCL]]="","",MARÍTIMOS[[#This Row],[FCL]]),"")</f>
        <v>1</v>
      </c>
      <c r="AN2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0" s="4" t="str" cm="1">
        <f t="array" ref="AO2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0" s="5">
        <f>IFERROR(OLDBD[[#This Row],[Llegada a packing]]-OLDBD[[#This Row],[Inicio de Ruta]],"")</f>
        <v>0.69513888889196096</v>
      </c>
      <c r="AQ260" s="6">
        <f>IFERROR(OLDBD[[#This Row],[Inicio de Ruta]]-OLDBD[[#This Row],[Salida de almacén de retiro]],"")</f>
        <v>7.2222222224809229E-2</v>
      </c>
      <c r="AR2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60" s="8" t="str" cm="1">
        <f t="array" ref="AS2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60" s="9">
        <f>IFERROR(OLDBD[[#This Row],[Ingreso Packing]]-OLDBD[[#This Row],[Registro en Packing]],"")</f>
        <v>1.7361111116770189E-2</v>
      </c>
      <c r="AV260" s="9">
        <f>IFERROR(OLDBD[[#This Row],[Ingreso Packing]]-OLDBD[[#This Row],[Llegada a packing]],"")</f>
        <v>2.4305555554747116E-2</v>
      </c>
      <c r="AW2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60" s="5">
        <f>IFERROR(OLDBD[[#This Row],[Llegada Almacén de Ingreso]]-OLDBD[[#This Row],[Salida Packing]],"")</f>
        <v>0.79930555555620231</v>
      </c>
      <c r="AY260" s="4" t="str" cm="1">
        <f t="array" ref="AY2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60" s="43" t="s">
        <v>173</v>
      </c>
      <c r="BB260" s="47" t="str">
        <f>IFERROR(IF(MARÍTIMOS[[#This Row],[Estatus]]="","",MARÍTIMOS[[#This Row],[Estatus]]),"")</f>
        <v>Confirmado</v>
      </c>
      <c r="BC260" s="43"/>
      <c r="BD260" s="46">
        <f>IFERROR(OLDBD[[#This Row],[Salida de almacén de retiro]]-OLDBD[[#This Row],[Ingreso Almacén de retiro]],"")</f>
        <v>6.9444444452528842E-3</v>
      </c>
      <c r="BE260" s="46">
        <f>IFERROR(OLDBD[[#This Row],[Fin de Carga]]-OLDBD[[#This Row],[Inicio de Carga]],"")</f>
        <v>1.0416666664241347E-2</v>
      </c>
    </row>
    <row r="261" spans="1:57" customFormat="1" hidden="1">
      <c r="A261" s="1"/>
      <c r="B261" s="1">
        <f>IFERROR(IF(MARÍTIMOS[[#This Row],[PP]]="","",MARÍTIMOS[[#This Row],[PP]]),"")</f>
        <v>30</v>
      </c>
      <c r="C261" s="1" t="str">
        <f>IFERROR(IF(MARÍTIMOS[[#This Row],[Sede]]="","",MARÍTIMOS[[#This Row],[Sede]]),"")</f>
        <v>Chao</v>
      </c>
      <c r="D261" s="1" t="str">
        <f>IFERROR(IF(MARÍTIMOS[[#This Row],[Instruction]]="","",MARÍTIMOS[[#This Row],[Instruction]]),"")</f>
        <v>RH-0265</v>
      </c>
      <c r="E261" s="1"/>
      <c r="F261" s="2" t="str">
        <f>IFERROR(IF(MARÍTIMOS[[#This Row],[Transportista]]="","",MARÍTIMOS[[#This Row],[Transportista]]),"")</f>
        <v>LIP</v>
      </c>
      <c r="G261" s="2" t="str">
        <f>IFERROR(IF(MARÍTIMOS[[#This Row],[Tercero]]="","",MARÍTIMOS[[#This Row],[Tercero]]),"")</f>
        <v>NO</v>
      </c>
      <c r="H261" s="2" t="str">
        <f>IFERROR(IF(MARÍTIMOS[[#This Row],[Razón Social]]="","",MARÍTIMOS[[#This Row],[Razón Social]]),"")</f>
        <v xml:space="preserve">LOGISTICA INTERMODAL DEL PERU S.A.C.
</v>
      </c>
      <c r="I261" s="2">
        <f>IFERROR(IF(MARÍTIMOS[[#This Row],[RUC]]="","",MARÍTIMOS[[#This Row],[RUC]]),"")</f>
        <v>20513040718</v>
      </c>
      <c r="J261" s="2" t="str">
        <f>IFERROR(IF(MARÍTIMOS[[#This Row],[Placa Tracto]]="","",MARÍTIMOS[[#This Row],[Placa Tracto]]),"")</f>
        <v>AYO-892</v>
      </c>
      <c r="K261" s="2" t="str">
        <f>IFERROR(IF(MARÍTIMOS[[#This Row],[Placa Carreta]]="","",MARÍTIMOS[[#This Row],[Placa Carreta]]),"")</f>
        <v>AJO-980</v>
      </c>
      <c r="L261" s="44" t="str">
        <f>IFERROR(IF(MARÍTIMOS[[#This Row],[Conductor]]="","",MARÍTIMOS[[#This Row],[Conductor]]),"")</f>
        <v>AVELLANEDA OTERO RENZO MARTIN</v>
      </c>
      <c r="M261" s="2" t="str">
        <f>IFERROR(IF(MARÍTIMOS[[#This Row],[Licencia]]="","",MARÍTIMOS[[#This Row],[Licencia]]),"")</f>
        <v>B40777868</v>
      </c>
      <c r="N261" s="2" t="str">
        <f>IFERROR(IF(MARÍTIMOS[[#This Row],[Número de Contacto]]="","",MARÍTIMOS[[#This Row],[Número de Contacto]]),"")</f>
        <v>934 040 127</v>
      </c>
      <c r="O261" s="10" t="str">
        <f>IFERROR(IF(MARÍTIMOS[[#This Row],[Booking|AWB|CRT]]="","",MARÍTIMOS[[#This Row],[Booking|AWB|CRT]]),"")</f>
        <v>MBM250067105</v>
      </c>
      <c r="P261" s="2" t="str">
        <f>IFERROR(IF(MARÍTIMOS[[#This Row],[Contenedor]]="","",MARÍTIMOS[[#This Row],[Contenedor]]),"")</f>
        <v>FDDU2543021</v>
      </c>
      <c r="Q261" s="2" t="str">
        <f>IFERROR(IF(MARÍTIMOS[[#This Row],[Puerto de Retiro]]="","",MARÍTIMOS[[#This Row],[Puerto de Retiro]]),"")</f>
        <v>PAITA</v>
      </c>
      <c r="R261" s="2" t="str">
        <f>IFERROR(IF(MARÍTIMOS[[#This Row],[Almacén de Retiro]]="","",MARÍTIMOS[[#This Row],[Almacén de Retiro]]),"")</f>
        <v>MACROMAR</v>
      </c>
      <c r="S261" s="11">
        <f>IFERROR(IF(MARÍTIMOS[[#This Row],[Etapa Retiro - Cita]]="","",MARÍTIMOS[[#This Row],[Etapa Retiro - Cita]]),"")</f>
        <v>46225.583333333336</v>
      </c>
      <c r="T261" s="11">
        <f>IFERROR(IF(MARÍTIMOS[[#This Row],[Etapa Retiro - Llegada]]="","",MARÍTIMOS[[#This Row],[Etapa Retiro - Llegada]]),"")</f>
        <v>46225.616666666669</v>
      </c>
      <c r="U261" s="11">
        <f>IFERROR(IF(MARÍTIMOS[[#This Row],[Etapa Retiro - Ingreso]]="","",MARÍTIMOS[[#This Row],[Etapa Retiro - Ingreso]]),"")</f>
        <v>46225.656944444447</v>
      </c>
      <c r="V261" s="11">
        <f>IFERROR(IF(MARÍTIMOS[[#This Row],[Etapa Retiro - Atención]]="","",MARÍTIMOS[[#This Row],[Etapa Retiro - Atención]]),"")</f>
        <v>46225.663194444445</v>
      </c>
      <c r="W261" s="11">
        <f>IFERROR(IF(MARÍTIMOS[[#This Row],[Etapa Retiro - Atención]]="","",MARÍTIMOS[[#This Row],[Etapa Retiro - Atención]]),"")</f>
        <v>46225.663194444445</v>
      </c>
      <c r="X261" s="11">
        <f>IFERROR(IF(MARÍTIMOS[[#This Row],[Etapa Retiro - Inicio de Ruta]]="","",MARÍTIMOS[[#This Row],[Etapa Retiro - Inicio de Ruta]]),"")</f>
        <v>46225.795138888891</v>
      </c>
      <c r="Y261" s="11">
        <f>IFERROR(IF(MARÍTIMOS[[#This Row],[Hora de Posicionamiento]]="","",MARÍTIMOS[[#This Row],[Fecha de Carga]]+MARÍTIMOS[[#This Row],[Hora de Posicionamiento]]),"")</f>
        <v>46226.333333333336</v>
      </c>
      <c r="Z261" s="11">
        <f>IFERROR(IF(MARÍTIMOS[[#This Row],[Etapa Despacho - Llegada]]="","",MARÍTIMOS[[#This Row],[Etapa Despacho - Llegada]]),"")</f>
        <v>46226.52847222222</v>
      </c>
      <c r="AA261" s="11">
        <f>IFERROR(IF(MARÍTIMOS[[#This Row],[Etapa Despacho - Registro]]="","",MARÍTIMOS[[#This Row],[Etapa Despacho - Registro]]),"")</f>
        <v>46226.535416666666</v>
      </c>
      <c r="AB261" s="11">
        <f>IFERROR(IF(MARÍTIMOS[[#This Row],[Inspección Externa]]="","",MARÍTIMOS[[#This Row],[Inspección Externa]]),"")</f>
        <v>46226.552083333336</v>
      </c>
      <c r="AC261" s="11">
        <f>IFERROR(IF(MARÍTIMOS[[#This Row],[Etapa Despacho - Inicio de Carga]]="","",MARÍTIMOS[[#This Row],[Etapa Despacho - Inicio de Carga]]),"")</f>
        <v>46226.572916666664</v>
      </c>
      <c r="AD261" s="11">
        <f>IFERROR(IF(MARÍTIMOS[[#This Row],[Etapa Despacho - Mitad de Carga]]="","",MARÍTIMOS[[#This Row],[Etapa Despacho - Mitad de Carga]]),"")</f>
        <v>46226.583333333336</v>
      </c>
      <c r="AE261" s="11">
        <f>IFERROR(IF(MARÍTIMOS[[#This Row],[Etapa Despacho - Fin de Carga]]="","",MARÍTIMOS[[#This Row],[Etapa Despacho - Fin de Carga]]),"")</f>
        <v>46226.65625</v>
      </c>
      <c r="AF261" s="2" t="str">
        <f>IFERROR(IF(MARÍTIMOS[[#This Row],[Puerto de Embarque]]="","",MARÍTIMOS[[#This Row],[Puerto de Embarque]]),"")</f>
        <v>Paita</v>
      </c>
      <c r="AG261" s="2" t="str">
        <f>IFERROR(IF(MARÍTIMOS[[#This Row],[Almacén de Ingreso]]="","",MARÍTIMOS[[#This Row],[Almacén de Ingreso]]),"")</f>
        <v>TPE</v>
      </c>
      <c r="AH261" s="11">
        <f>IFERROR(IF(MARÍTIMOS[[#This Row],[Etapa Ingreso - Cita]]="","",MARÍTIMOS[[#This Row],[Etapa Ingreso - Cita]]),"")</f>
        <v>46227.958333333336</v>
      </c>
      <c r="AI261" s="11">
        <f>IFERROR(IF(MARÍTIMOS[[#This Row],[Etapa Ingreso - Llegada]]="","",MARÍTIMOS[[#This Row],[Etapa Ingreso - Llegada]]),"")</f>
        <v>46227.964583333334</v>
      </c>
      <c r="AJ261" s="11">
        <f>IFERROR(IF(MARÍTIMOS[[#This Row],[Etapa Ingreso - Ingeso]]="","",MARÍTIMOS[[#This Row],[Etapa Ingreso - Ingeso]]),"")</f>
        <v>46227.970833333333</v>
      </c>
      <c r="AK261" s="11">
        <f>IFERROR(IF(MARÍTIMOS[[#This Row],[Etapa Ingreso - Atención]]="","",MARÍTIMOS[[#This Row],[Etapa Ingreso - Atención]]),"")</f>
        <v>46227.975694444445</v>
      </c>
      <c r="AL261" s="11">
        <f>IFERROR(IF(MARÍTIMOS[[#This Row],[Etapa Ingreso - Salida]]="","",MARÍTIMOS[[#This Row],[Etapa Ingreso - Salida]]),"")</f>
        <v>46227.979861111111</v>
      </c>
      <c r="AM261" s="2">
        <f>IFERROR(IF(MARÍTIMOS[[#This Row],[FCL]]="","",MARÍTIMOS[[#This Row],[FCL]]),"")</f>
        <v>0.5</v>
      </c>
      <c r="AN2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1" s="4" t="str" cm="1">
        <f t="array" ref="AO2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1" s="5">
        <f>IFERROR(OLDBD[[#This Row],[Llegada a packing]]-OLDBD[[#This Row],[Inicio de Ruta]],"")</f>
        <v>0.73333333332993789</v>
      </c>
      <c r="AQ261" s="6">
        <f>IFERROR(OLDBD[[#This Row],[Inicio de Ruta]]-OLDBD[[#This Row],[Salida de almacén de retiro]],"")</f>
        <v>0.13194444444525288</v>
      </c>
      <c r="AR2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61" s="8" t="str" cm="1">
        <f t="array" ref="AS2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61" s="9">
        <f>IFERROR(OLDBD[[#This Row],[Ingreso Packing]]-OLDBD[[#This Row],[Registro en Packing]],"")</f>
        <v>1.6666666670062114E-2</v>
      </c>
      <c r="AV261" s="9">
        <f>IFERROR(OLDBD[[#This Row],[Ingreso Packing]]-OLDBD[[#This Row],[Llegada a packing]],"")</f>
        <v>2.3611111115314998E-2</v>
      </c>
      <c r="AW2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61" s="5">
        <f>IFERROR(OLDBD[[#This Row],[Llegada Almacén de Ingreso]]-OLDBD[[#This Row],[Salida Packing]],"")</f>
        <v>1.3083333333343035</v>
      </c>
      <c r="AY261" s="4" t="str" cm="1">
        <f t="array" ref="AY2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61" s="43" t="s">
        <v>173</v>
      </c>
      <c r="BB261" s="47" t="str">
        <f>IFERROR(IF(MARÍTIMOS[[#This Row],[Estatus]]="","",MARÍTIMOS[[#This Row],[Estatus]]),"")</f>
        <v>Confirmado</v>
      </c>
      <c r="BC261" s="43"/>
      <c r="BD261" s="46">
        <f>IFERROR(OLDBD[[#This Row],[Salida de almacén de retiro]]-OLDBD[[#This Row],[Ingreso Almacén de retiro]],"")</f>
        <v>6.2499999985448085E-3</v>
      </c>
      <c r="BE261" s="46">
        <f>IFERROR(OLDBD[[#This Row],[Fin de Carga]]-OLDBD[[#This Row],[Inicio de Carga]],"")</f>
        <v>1.0416666671517305E-2</v>
      </c>
    </row>
    <row r="262" spans="1:57" customFormat="1" hidden="1">
      <c r="A262" s="1"/>
      <c r="B262" s="1">
        <f>IFERROR(IF(MARÍTIMOS[[#This Row],[PP]]="","",MARÍTIMOS[[#This Row],[PP]]),"")</f>
        <v>30</v>
      </c>
      <c r="C262" s="1" t="str">
        <f>IFERROR(IF(MARÍTIMOS[[#This Row],[Sede]]="","",MARÍTIMOS[[#This Row],[Sede]]),"")</f>
        <v>Olmos</v>
      </c>
      <c r="D262" s="1" t="str">
        <f>IFERROR(IF(MARÍTIMOS[[#This Row],[Instruction]]="","",MARÍTIMOS[[#This Row],[Instruction]]),"")</f>
        <v>RH-0265</v>
      </c>
      <c r="E262" s="1"/>
      <c r="F262" s="2" t="str">
        <f>IFERROR(IF(MARÍTIMOS[[#This Row],[Transportista]]="","",MARÍTIMOS[[#This Row],[Transportista]]),"")</f>
        <v>LIP</v>
      </c>
      <c r="G262" s="2" t="str">
        <f>IFERROR(IF(MARÍTIMOS[[#This Row],[Tercero]]="","",MARÍTIMOS[[#This Row],[Tercero]]),"")</f>
        <v>NO</v>
      </c>
      <c r="H262" s="2" t="str">
        <f>IFERROR(IF(MARÍTIMOS[[#This Row],[Razón Social]]="","",MARÍTIMOS[[#This Row],[Razón Social]]),"")</f>
        <v xml:space="preserve">LOGISTICA INTERMODAL DEL PERU S.A.C.
</v>
      </c>
      <c r="I262" s="2">
        <f>IFERROR(IF(MARÍTIMOS[[#This Row],[RUC]]="","",MARÍTIMOS[[#This Row],[RUC]]),"")</f>
        <v>20513040718</v>
      </c>
      <c r="J262" s="2" t="str">
        <f>IFERROR(IF(MARÍTIMOS[[#This Row],[Placa Tracto]]="","",MARÍTIMOS[[#This Row],[Placa Tracto]]),"")</f>
        <v>AYO-892</v>
      </c>
      <c r="K262" s="2" t="str">
        <f>IFERROR(IF(MARÍTIMOS[[#This Row],[Placa Carreta]]="","",MARÍTIMOS[[#This Row],[Placa Carreta]]),"")</f>
        <v>AJO-980</v>
      </c>
      <c r="L262" s="44" t="str">
        <f>IFERROR(IF(MARÍTIMOS[[#This Row],[Conductor]]="","",MARÍTIMOS[[#This Row],[Conductor]]),"")</f>
        <v>AVELLANEDA OTERO RENZO MARTIN</v>
      </c>
      <c r="M262" s="2" t="str">
        <f>IFERROR(IF(MARÍTIMOS[[#This Row],[Licencia]]="","",MARÍTIMOS[[#This Row],[Licencia]]),"")</f>
        <v>B40777868</v>
      </c>
      <c r="N262" s="2" t="str">
        <f>IFERROR(IF(MARÍTIMOS[[#This Row],[Número de Contacto]]="","",MARÍTIMOS[[#This Row],[Número de Contacto]]),"")</f>
        <v>934 040 127</v>
      </c>
      <c r="O262" s="10" t="str">
        <f>IFERROR(IF(MARÍTIMOS[[#This Row],[Booking|AWB|CRT]]="","",MARÍTIMOS[[#This Row],[Booking|AWB|CRT]]),"")</f>
        <v>MBM250067105</v>
      </c>
      <c r="P262" s="2" t="str">
        <f>IFERROR(IF(MARÍTIMOS[[#This Row],[Contenedor]]="","",MARÍTIMOS[[#This Row],[Contenedor]]),"")</f>
        <v>FDDU2543021</v>
      </c>
      <c r="Q262" s="2" t="str">
        <f>IFERROR(IF(MARÍTIMOS[[#This Row],[Puerto de Retiro]]="","",MARÍTIMOS[[#This Row],[Puerto de Retiro]]),"")</f>
        <v>PAITA</v>
      </c>
      <c r="R262" s="2" t="str">
        <f>IFERROR(IF(MARÍTIMOS[[#This Row],[Almacén de Retiro]]="","",MARÍTIMOS[[#This Row],[Almacén de Retiro]]),"")</f>
        <v>MACROMAR</v>
      </c>
      <c r="S262" s="11">
        <f>IFERROR(IF(MARÍTIMOS[[#This Row],[Etapa Retiro - Cita]]="","",MARÍTIMOS[[#This Row],[Etapa Retiro - Cita]]),"")</f>
        <v>46225.583333333336</v>
      </c>
      <c r="T262" s="11">
        <f>IFERROR(IF(MARÍTIMOS[[#This Row],[Etapa Retiro - Llegada]]="","",MARÍTIMOS[[#This Row],[Etapa Retiro - Llegada]]),"")</f>
        <v>46225.616666666669</v>
      </c>
      <c r="U262" s="11">
        <f>IFERROR(IF(MARÍTIMOS[[#This Row],[Etapa Retiro - Ingreso]]="","",MARÍTIMOS[[#This Row],[Etapa Retiro - Ingreso]]),"")</f>
        <v>46225.656944444447</v>
      </c>
      <c r="V262" s="11">
        <f>IFERROR(IF(MARÍTIMOS[[#This Row],[Etapa Retiro - Atención]]="","",MARÍTIMOS[[#This Row],[Etapa Retiro - Atención]]),"")</f>
        <v>46225.663194444445</v>
      </c>
      <c r="W262" s="11">
        <f>IFERROR(IF(MARÍTIMOS[[#This Row],[Etapa Retiro - Atención]]="","",MARÍTIMOS[[#This Row],[Etapa Retiro - Atención]]),"")</f>
        <v>46225.663194444445</v>
      </c>
      <c r="X262" s="11">
        <f>IFERROR(IF(MARÍTIMOS[[#This Row],[Etapa Retiro - Inicio de Ruta]]="","",MARÍTIMOS[[#This Row],[Etapa Retiro - Inicio de Ruta]]),"")</f>
        <v>46225.795138888891</v>
      </c>
      <c r="Y262" s="11">
        <f>IFERROR(IF(MARÍTIMOS[[#This Row],[Hora de Posicionamiento]]="","",MARÍTIMOS[[#This Row],[Fecha de Carga]]+MARÍTIMOS[[#This Row],[Hora de Posicionamiento]]),"")</f>
        <v>46227.333333333336</v>
      </c>
      <c r="Z262" s="11">
        <f>IFERROR(IF(MARÍTIMOS[[#This Row],[Etapa Despacho - Llegada]]="","",MARÍTIMOS[[#This Row],[Etapa Despacho - Llegada]]),"")</f>
        <v>46227.404166666667</v>
      </c>
      <c r="AA262" s="11">
        <f>IFERROR(IF(MARÍTIMOS[[#This Row],[Etapa Despacho - Registro]]="","",MARÍTIMOS[[#This Row],[Etapa Despacho - Registro]]),"")</f>
        <v>46227.404166666667</v>
      </c>
      <c r="AB262" s="11">
        <f>IFERROR(IF(MARÍTIMOS[[#This Row],[Inspección Externa]]="","",MARÍTIMOS[[#This Row],[Inspección Externa]]),"")</f>
        <v>46227.458333333336</v>
      </c>
      <c r="AC262" s="11">
        <f>IFERROR(IF(MARÍTIMOS[[#This Row],[Etapa Despacho - Inicio de Carga]]="","",MARÍTIMOS[[#This Row],[Etapa Despacho - Inicio de Carga]]),"")</f>
        <v>46227.5625</v>
      </c>
      <c r="AD262" s="11">
        <f>IFERROR(IF(MARÍTIMOS[[#This Row],[Etapa Despacho - Mitad de Carga]]="","",MARÍTIMOS[[#This Row],[Etapa Despacho - Mitad de Carga]]),"")</f>
        <v>46227.572916666664</v>
      </c>
      <c r="AE262" s="11">
        <f>IFERROR(IF(MARÍTIMOS[[#This Row],[Etapa Despacho - Fin de Carga]]="","",MARÍTIMOS[[#This Row],[Etapa Despacho - Fin de Carga]]),"")</f>
        <v>46227.588888888888</v>
      </c>
      <c r="AF262" s="2" t="str">
        <f>IFERROR(IF(MARÍTIMOS[[#This Row],[Puerto de Embarque]]="","",MARÍTIMOS[[#This Row],[Puerto de Embarque]]),"")</f>
        <v>Paita</v>
      </c>
      <c r="AG262" s="2" t="str">
        <f>IFERROR(IF(MARÍTIMOS[[#This Row],[Almacén de Ingreso]]="","",MARÍTIMOS[[#This Row],[Almacén de Ingreso]]),"")</f>
        <v>TPE</v>
      </c>
      <c r="AH262" s="11">
        <f>IFERROR(IF(MARÍTIMOS[[#This Row],[Etapa Ingreso - Cita]]="","",MARÍTIMOS[[#This Row],[Etapa Ingreso - Cita]]),"")</f>
        <v>46227.958333333336</v>
      </c>
      <c r="AI262" s="11">
        <f>IFERROR(IF(MARÍTIMOS[[#This Row],[Etapa Ingreso - Llegada]]="","",MARÍTIMOS[[#This Row],[Etapa Ingreso - Llegada]]),"")</f>
        <v>46227.964583333334</v>
      </c>
      <c r="AJ262" s="11">
        <f>IFERROR(IF(MARÍTIMOS[[#This Row],[Etapa Ingreso - Ingeso]]="","",MARÍTIMOS[[#This Row],[Etapa Ingreso - Ingeso]]),"")</f>
        <v>46227.970833333333</v>
      </c>
      <c r="AK262" s="11">
        <f>IFERROR(IF(MARÍTIMOS[[#This Row],[Etapa Ingreso - Atención]]="","",MARÍTIMOS[[#This Row],[Etapa Ingreso - Atención]]),"")</f>
        <v>46227.975694444445</v>
      </c>
      <c r="AL262" s="11">
        <f>IFERROR(IF(MARÍTIMOS[[#This Row],[Etapa Ingreso - Salida]]="","",MARÍTIMOS[[#This Row],[Etapa Ingreso - Salida]]),"")</f>
        <v>46227.979861111111</v>
      </c>
      <c r="AM262" s="2">
        <f>IFERROR(IF(MARÍTIMOS[[#This Row],[FCL]]="","",MARÍTIMOS[[#This Row],[FCL]]),"")</f>
        <v>0.5</v>
      </c>
      <c r="AN2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2" s="4" t="str" cm="1">
        <f t="array" ref="AO2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2" s="5">
        <f>IFERROR(OLDBD[[#This Row],[Llegada a packing]]-OLDBD[[#This Row],[Inicio de Ruta]],"")</f>
        <v>1.609027777776646</v>
      </c>
      <c r="AQ262" s="6">
        <f>IFERROR(OLDBD[[#This Row],[Inicio de Ruta]]-OLDBD[[#This Row],[Salida de almacén de retiro]],"")</f>
        <v>0.13194444444525288</v>
      </c>
      <c r="AR2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62" s="8" t="str" cm="1">
        <f t="array" ref="AS2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62" s="9">
        <f>IFERROR(OLDBD[[#This Row],[Ingreso Packing]]-OLDBD[[#This Row],[Registro en Packing]],"")</f>
        <v>5.4166666668606922E-2</v>
      </c>
      <c r="AV262" s="9">
        <f>IFERROR(OLDBD[[#This Row],[Ingreso Packing]]-OLDBD[[#This Row],[Llegada a packing]],"")</f>
        <v>5.4166666668606922E-2</v>
      </c>
      <c r="AW2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62" s="5">
        <f>IFERROR(OLDBD[[#This Row],[Llegada Almacén de Ingreso]]-OLDBD[[#This Row],[Salida Packing]],"")</f>
        <v>0.37569444444670808</v>
      </c>
      <c r="AY262" s="4" t="str" cm="1">
        <f t="array" ref="AY2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62" s="43" t="s">
        <v>173</v>
      </c>
      <c r="BB262" s="47" t="str">
        <f>IFERROR(IF(MARÍTIMOS[[#This Row],[Estatus]]="","",MARÍTIMOS[[#This Row],[Estatus]]),"")</f>
        <v>Confirmado</v>
      </c>
      <c r="BC262" s="43"/>
      <c r="BD262" s="46">
        <f>IFERROR(OLDBD[[#This Row],[Salida de almacén de retiro]]-OLDBD[[#This Row],[Ingreso Almacén de retiro]],"")</f>
        <v>6.2499999985448085E-3</v>
      </c>
      <c r="BE262" s="46">
        <f>IFERROR(OLDBD[[#This Row],[Fin de Carga]]-OLDBD[[#This Row],[Inicio de Carga]],"")</f>
        <v>1.0416666664241347E-2</v>
      </c>
    </row>
    <row r="263" spans="1:57" customFormat="1" hidden="1">
      <c r="A263" s="1"/>
      <c r="B263" s="1">
        <f>IFERROR(IF(MARÍTIMOS[[#This Row],[PP]]="","",MARÍTIMOS[[#This Row],[PP]]),"")</f>
        <v>30</v>
      </c>
      <c r="C263" s="1" t="str">
        <f>IFERROR(IF(MARÍTIMOS[[#This Row],[Sede]]="","",MARÍTIMOS[[#This Row],[Sede]]),"")</f>
        <v>Chao</v>
      </c>
      <c r="D263" s="1" t="str">
        <f>IFERROR(IF(MARÍTIMOS[[#This Row],[Instruction]]="","",MARÍTIMOS[[#This Row],[Instruction]]),"")</f>
        <v>RH-0272</v>
      </c>
      <c r="E263" s="1"/>
      <c r="F263" s="2" t="str">
        <f>IFERROR(IF(MARÍTIMOS[[#This Row],[Transportista]]="","",MARÍTIMOS[[#This Row],[Transportista]]),"")</f>
        <v>LIP</v>
      </c>
      <c r="G263" s="2" t="str">
        <f>IFERROR(IF(MARÍTIMOS[[#This Row],[Tercero]]="","",MARÍTIMOS[[#This Row],[Tercero]]),"")</f>
        <v>NO</v>
      </c>
      <c r="H263" s="2" t="str">
        <f>IFERROR(IF(MARÍTIMOS[[#This Row],[Razón Social]]="","",MARÍTIMOS[[#This Row],[Razón Social]]),"")</f>
        <v xml:space="preserve">LOGISTICA INTERMODAL DEL PERU S.A.C.
</v>
      </c>
      <c r="I263" s="2" t="str">
        <f>IFERROR(IF(MARÍTIMOS[[#This Row],[RUC]]="","",MARÍTIMOS[[#This Row],[RUC]]),"")</f>
        <v>B72766316</v>
      </c>
      <c r="J263" s="2" t="str">
        <f>IFERROR(IF(MARÍTIMOS[[#This Row],[Placa Tracto]]="","",MARÍTIMOS[[#This Row],[Placa Tracto]]),"")</f>
        <v>AZH-828</v>
      </c>
      <c r="K263" s="2" t="str">
        <f>IFERROR(IF(MARÍTIMOS[[#This Row],[Placa Carreta]]="","",MARÍTIMOS[[#This Row],[Placa Carreta]]),"")</f>
        <v>AXO-972</v>
      </c>
      <c r="L263" s="44" t="str">
        <f>IFERROR(IF(MARÍTIMOS[[#This Row],[Conductor]]="","",MARÍTIMOS[[#This Row],[Conductor]]),"")</f>
        <v>VARGAS BARRIENTOS JESUS GERMAN</v>
      </c>
      <c r="M263" s="2" t="str">
        <f>IFERROR(IF(MARÍTIMOS[[#This Row],[Licencia]]="","",MARÍTIMOS[[#This Row],[Licencia]]),"")</f>
        <v>B72766316</v>
      </c>
      <c r="N263" s="2" t="str">
        <f>IFERROR(IF(MARÍTIMOS[[#This Row],[Número de Contacto]]="","",MARÍTIMOS[[#This Row],[Número de Contacto]]),"")</f>
        <v>958 005 437</v>
      </c>
      <c r="O263" s="10" t="str">
        <f>IFERROR(IF(MARÍTIMOS[[#This Row],[Booking|AWB|CRT]]="","",MARÍTIMOS[[#This Row],[Booking|AWB|CRT]]),"")</f>
        <v>MBM250067106</v>
      </c>
      <c r="P263" s="2" t="str">
        <f>IFERROR(IF(MARÍTIMOS[[#This Row],[Contenedor]]="","",MARÍTIMOS[[#This Row],[Contenedor]]),"")</f>
        <v>FDDU2540655</v>
      </c>
      <c r="Q263" s="2" t="str">
        <f>IFERROR(IF(MARÍTIMOS[[#This Row],[Puerto de Retiro]]="","",MARÍTIMOS[[#This Row],[Puerto de Retiro]]),"")</f>
        <v>PAITA</v>
      </c>
      <c r="R263" s="2" t="str">
        <f>IFERROR(IF(MARÍTIMOS[[#This Row],[Almacén de Retiro]]="","",MARÍTIMOS[[#This Row],[Almacén de Retiro]]),"")</f>
        <v>MACROMAR</v>
      </c>
      <c r="S263" s="11">
        <f>IFERROR(IF(MARÍTIMOS[[#This Row],[Etapa Retiro - Cita]]="","",MARÍTIMOS[[#This Row],[Etapa Retiro - Cita]]),"")</f>
        <v>46225.583333333336</v>
      </c>
      <c r="T263" s="11">
        <f>IFERROR(IF(MARÍTIMOS[[#This Row],[Etapa Retiro - Llegada]]="","",MARÍTIMOS[[#This Row],[Etapa Retiro - Llegada]]),"")</f>
        <v>46225.604166666664</v>
      </c>
      <c r="U263" s="11">
        <f>IFERROR(IF(MARÍTIMOS[[#This Row],[Etapa Retiro - Ingreso]]="","",MARÍTIMOS[[#This Row],[Etapa Retiro - Ingreso]]),"")</f>
        <v>46225.604166666664</v>
      </c>
      <c r="V263" s="11">
        <f>IFERROR(IF(MARÍTIMOS[[#This Row],[Etapa Retiro - Atención]]="","",MARÍTIMOS[[#This Row],[Etapa Retiro - Atención]]),"")</f>
        <v>46225.614583333336</v>
      </c>
      <c r="W263" s="11">
        <f>IFERROR(IF(MARÍTIMOS[[#This Row],[Etapa Retiro - Atención]]="","",MARÍTIMOS[[#This Row],[Etapa Retiro - Atención]]),"")</f>
        <v>46225.614583333336</v>
      </c>
      <c r="X263" s="11">
        <f>IFERROR(IF(MARÍTIMOS[[#This Row],[Etapa Retiro - Inicio de Ruta]]="","",MARÍTIMOS[[#This Row],[Etapa Retiro - Inicio de Ruta]]),"")</f>
        <v>46225.708333333336</v>
      </c>
      <c r="Y263" s="11">
        <f>IFERROR(IF(MARÍTIMOS[[#This Row],[Hora de Posicionamiento]]="","",MARÍTIMOS[[#This Row],[Fecha de Carga]]+MARÍTIMOS[[#This Row],[Hora de Posicionamiento]]),"")</f>
        <v>46226.333333333336</v>
      </c>
      <c r="Z263" s="11">
        <f>IFERROR(IF(MARÍTIMOS[[#This Row],[Etapa Despacho - Llegada]]="","",MARÍTIMOS[[#This Row],[Etapa Despacho - Llegada]]),"")</f>
        <v>46226.326388888891</v>
      </c>
      <c r="AA263" s="11">
        <f>IFERROR(IF(MARÍTIMOS[[#This Row],[Etapa Despacho - Registro]]="","",MARÍTIMOS[[#This Row],[Etapa Despacho - Registro]]),"")</f>
        <v>46226.333333333336</v>
      </c>
      <c r="AB263" s="11">
        <f>IFERROR(IF(MARÍTIMOS[[#This Row],[Inspección Externa]]="","",MARÍTIMOS[[#This Row],[Inspección Externa]]),"")</f>
        <v>46226.347222222219</v>
      </c>
      <c r="AC263" s="11">
        <f>IFERROR(IF(MARÍTIMOS[[#This Row],[Etapa Despacho - Inicio de Carga]]="","",MARÍTIMOS[[#This Row],[Etapa Despacho - Inicio de Carga]]),"")</f>
        <v>46226.361111111109</v>
      </c>
      <c r="AD263" s="11">
        <f>IFERROR(IF(MARÍTIMOS[[#This Row],[Etapa Despacho - Mitad de Carga]]="","",MARÍTIMOS[[#This Row],[Etapa Despacho - Mitad de Carga]]),"")</f>
        <v>46226.371527777781</v>
      </c>
      <c r="AE263" s="11">
        <f>IFERROR(IF(MARÍTIMOS[[#This Row],[Etapa Despacho - Fin de Carga]]="","",MARÍTIMOS[[#This Row],[Etapa Despacho - Fin de Carga]]),"")</f>
        <v>46226.681944444441</v>
      </c>
      <c r="AF263" s="2" t="str">
        <f>IFERROR(IF(MARÍTIMOS[[#This Row],[Puerto de Embarque]]="","",MARÍTIMOS[[#This Row],[Puerto de Embarque]]),"")</f>
        <v>Paita</v>
      </c>
      <c r="AG263" s="2" t="str">
        <f>IFERROR(IF(MARÍTIMOS[[#This Row],[Almacén de Ingreso]]="","",MARÍTIMOS[[#This Row],[Almacén de Ingreso]]),"")</f>
        <v>TPE</v>
      </c>
      <c r="AH263" s="11">
        <f>IFERROR(IF(MARÍTIMOS[[#This Row],[Etapa Ingreso - Cita]]="","",MARÍTIMOS[[#This Row],[Etapa Ingreso - Cita]]),"")</f>
        <v>46227.416666666664</v>
      </c>
      <c r="AI263" s="11">
        <f>IFERROR(IF(MARÍTIMOS[[#This Row],[Etapa Ingreso - Llegada]]="","",MARÍTIMOS[[#This Row],[Etapa Ingreso - Llegada]]),"")</f>
        <v>46227.438194444447</v>
      </c>
      <c r="AJ263" s="11">
        <f>IFERROR(IF(MARÍTIMOS[[#This Row],[Etapa Ingreso - Ingeso]]="","",MARÍTIMOS[[#This Row],[Etapa Ingreso - Ingeso]]),"")</f>
        <v>46227.442361111112</v>
      </c>
      <c r="AK263" s="11">
        <f>IFERROR(IF(MARÍTIMOS[[#This Row],[Etapa Ingreso - Atención]]="","",MARÍTIMOS[[#This Row],[Etapa Ingreso - Atención]]),"")</f>
        <v>46227.447916666664</v>
      </c>
      <c r="AL263" s="11">
        <f>IFERROR(IF(MARÍTIMOS[[#This Row],[Etapa Ingreso - Salida]]="","",MARÍTIMOS[[#This Row],[Etapa Ingreso - Salida]]),"")</f>
        <v>46227.453472222223</v>
      </c>
      <c r="AM263" s="2">
        <f>IFERROR(IF(MARÍTIMOS[[#This Row],[FCL]]="","",MARÍTIMOS[[#This Row],[FCL]]),"")</f>
        <v>1</v>
      </c>
      <c r="AN2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3" s="4" t="str" cm="1">
        <f t="array" ref="AO2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3" s="5">
        <f>IFERROR(OLDBD[[#This Row],[Llegada a packing]]-OLDBD[[#This Row],[Inicio de Ruta]],"")</f>
        <v>0.61805555555474712</v>
      </c>
      <c r="AQ263" s="6">
        <f>IFERROR(OLDBD[[#This Row],[Inicio de Ruta]]-OLDBD[[#This Row],[Salida de almacén de retiro]],"")</f>
        <v>9.375E-2</v>
      </c>
      <c r="AR2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63" s="8" t="str" cm="1">
        <f t="array" ref="AS2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63" s="9">
        <f>IFERROR(OLDBD[[#This Row],[Ingreso Packing]]-OLDBD[[#This Row],[Registro en Packing]],"")</f>
        <v>1.3888888883229811E-2</v>
      </c>
      <c r="AV263" s="9">
        <f>IFERROR(OLDBD[[#This Row],[Ingreso Packing]]-OLDBD[[#This Row],[Llegada a packing]],"")</f>
        <v>2.0833333328482695E-2</v>
      </c>
      <c r="AW2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63" s="5">
        <f>IFERROR(OLDBD[[#This Row],[Llegada Almacén de Ingreso]]-OLDBD[[#This Row],[Salida Packing]],"")</f>
        <v>0.75625000000582077</v>
      </c>
      <c r="AY263" s="4" t="str" cm="1">
        <f t="array" ref="AY2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63" s="43" t="s">
        <v>173</v>
      </c>
      <c r="BB263" s="47" t="str">
        <f>IFERROR(IF(MARÍTIMOS[[#This Row],[Estatus]]="","",MARÍTIMOS[[#This Row],[Estatus]]),"")</f>
        <v>Confirmado</v>
      </c>
      <c r="BC263" s="43"/>
      <c r="BD263" s="46">
        <f>IFERROR(OLDBD[[#This Row],[Salida de almacén de retiro]]-OLDBD[[#This Row],[Ingreso Almacén de retiro]],"")</f>
        <v>1.0416666671517305E-2</v>
      </c>
      <c r="BE263" s="46">
        <f>IFERROR(OLDBD[[#This Row],[Fin de Carga]]-OLDBD[[#This Row],[Inicio de Carga]],"")</f>
        <v>1.0416666671517305E-2</v>
      </c>
    </row>
    <row r="264" spans="1:57" customFormat="1" hidden="1">
      <c r="A264" s="1"/>
      <c r="B264" s="1">
        <f>IFERROR(IF(MARÍTIMOS[[#This Row],[PP]]="","",MARÍTIMOS[[#This Row],[PP]]),"")</f>
        <v>30</v>
      </c>
      <c r="C264" s="1" t="str">
        <f>IFERROR(IF(MARÍTIMOS[[#This Row],[Sede]]="","",MARÍTIMOS[[#This Row],[Sede]]),"")</f>
        <v>Chao</v>
      </c>
      <c r="D264" s="1" t="str">
        <f>IFERROR(IF(MARÍTIMOS[[#This Row],[Instruction]]="","",MARÍTIMOS[[#This Row],[Instruction]]),"")</f>
        <v>RH-0282</v>
      </c>
      <c r="E264" s="1"/>
      <c r="F264" s="2" t="str">
        <f>IFERROR(IF(MARÍTIMOS[[#This Row],[Transportista]]="","",MARÍTIMOS[[#This Row],[Transportista]]),"")</f>
        <v>LIP</v>
      </c>
      <c r="G264" s="2" t="str">
        <f>IFERROR(IF(MARÍTIMOS[[#This Row],[Tercero]]="","",MARÍTIMOS[[#This Row],[Tercero]]),"")</f>
        <v>NO</v>
      </c>
      <c r="H264" s="2" t="str">
        <f>IFERROR(IF(MARÍTIMOS[[#This Row],[Razón Social]]="","",MARÍTIMOS[[#This Row],[Razón Social]]),"")</f>
        <v>TRANSCAR MATHEO SOCIEDAD ANONIMA CERRADA</v>
      </c>
      <c r="I264" s="2">
        <f>IFERROR(IF(MARÍTIMOS[[#This Row],[RUC]]="","",MARÍTIMOS[[#This Row],[RUC]]),"")</f>
        <v>20612886921</v>
      </c>
      <c r="J264" s="2" t="str">
        <f>IFERROR(IF(MARÍTIMOS[[#This Row],[Placa Tracto]]="","",MARÍTIMOS[[#This Row],[Placa Tracto]]),"")</f>
        <v>T0B-919</v>
      </c>
      <c r="K264" s="2" t="str">
        <f>IFERROR(IF(MARÍTIMOS[[#This Row],[Placa Carreta]]="","",MARÍTIMOS[[#This Row],[Placa Carreta]]),"")</f>
        <v>T0U-978</v>
      </c>
      <c r="L264" s="44" t="str">
        <f>IFERROR(IF(MARÍTIMOS[[#This Row],[Conductor]]="","",MARÍTIMOS[[#This Row],[Conductor]]),"")</f>
        <v>ANDRADE SUNCION ALEXANDER GABRIEL</v>
      </c>
      <c r="M264" s="2" t="str">
        <f>IFERROR(IF(MARÍTIMOS[[#This Row],[Licencia]]="","",MARÍTIMOS[[#This Row],[Licencia]]),"")</f>
        <v>B44776623</v>
      </c>
      <c r="N264" s="2" t="str">
        <f>IFERROR(IF(MARÍTIMOS[[#This Row],[Número de Contacto]]="","",MARÍTIMOS[[#This Row],[Número de Contacto]]),"")</f>
        <v>934 040 127</v>
      </c>
      <c r="O264" s="10" t="str">
        <f>IFERROR(IF(MARÍTIMOS[[#This Row],[Booking|AWB|CRT]]="","",MARÍTIMOS[[#This Row],[Booking|AWB|CRT]]),"")</f>
        <v>ZIMULMA826222</v>
      </c>
      <c r="P264" s="2" t="str">
        <f>IFERROR(IF(MARÍTIMOS[[#This Row],[Contenedor]]="","",MARÍTIMOS[[#This Row],[Contenedor]]),"")</f>
        <v>ZMOU8898817</v>
      </c>
      <c r="Q264" s="2" t="str">
        <f>IFERROR(IF(MARÍTIMOS[[#This Row],[Puerto de Retiro]]="","",MARÍTIMOS[[#This Row],[Puerto de Retiro]]),"")</f>
        <v>PAITA</v>
      </c>
      <c r="R264" s="2" t="str">
        <f>IFERROR(IF(MARÍTIMOS[[#This Row],[Almacén de Retiro]]="","",MARÍTIMOS[[#This Row],[Almacén de Retiro]]),"")</f>
        <v>DPW</v>
      </c>
      <c r="S264" s="11">
        <f>IFERROR(IF(MARÍTIMOS[[#This Row],[Etapa Retiro - Cita]]="","",MARÍTIMOS[[#This Row],[Etapa Retiro - Cita]]),"")</f>
        <v>46232.583333333336</v>
      </c>
      <c r="T264" s="11">
        <f>IFERROR(IF(MARÍTIMOS[[#This Row],[Etapa Retiro - Llegada]]="","",MARÍTIMOS[[#This Row],[Etapa Retiro - Llegada]]),"")</f>
        <v>46232.611805555556</v>
      </c>
      <c r="U264" s="11">
        <f>IFERROR(IF(MARÍTIMOS[[#This Row],[Etapa Retiro - Ingreso]]="","",MARÍTIMOS[[#This Row],[Etapa Retiro - Ingreso]]),"")</f>
        <v>46232.620833333334</v>
      </c>
      <c r="V264" s="11">
        <f>IFERROR(IF(MARÍTIMOS[[#This Row],[Etapa Retiro - Atención]]="","",MARÍTIMOS[[#This Row],[Etapa Retiro - Atención]]),"")</f>
        <v>46232.625</v>
      </c>
      <c r="W264" s="11">
        <f>IFERROR(IF(MARÍTIMOS[[#This Row],[Etapa Retiro - Atención]]="","",MARÍTIMOS[[#This Row],[Etapa Retiro - Atención]]),"")</f>
        <v>46232.625</v>
      </c>
      <c r="X264" s="11">
        <f>IFERROR(IF(MARÍTIMOS[[#This Row],[Etapa Retiro - Inicio de Ruta]]="","",MARÍTIMOS[[#This Row],[Etapa Retiro - Inicio de Ruta]]),"")</f>
        <v>46232.716666666667</v>
      </c>
      <c r="Y264" s="11">
        <f>IFERROR(IF(MARÍTIMOS[[#This Row],[Hora de Posicionamiento]]="","",MARÍTIMOS[[#This Row],[Fecha de Carga]]+MARÍTIMOS[[#This Row],[Hora de Posicionamiento]]),"")</f>
        <v>46233.458333333336</v>
      </c>
      <c r="Z264" s="11">
        <f>IFERROR(IF(MARÍTIMOS[[#This Row],[Etapa Despacho - Llegada]]="","",MARÍTIMOS[[#This Row],[Etapa Despacho - Llegada]]),"")</f>
        <v>46233.338194444441</v>
      </c>
      <c r="AA264" s="11">
        <f>IFERROR(IF(MARÍTIMOS[[#This Row],[Etapa Despacho - Registro]]="","",MARÍTIMOS[[#This Row],[Etapa Despacho - Registro]]),"")</f>
        <v>46233.345138888886</v>
      </c>
      <c r="AB264" s="11">
        <f>IFERROR(IF(MARÍTIMOS[[#This Row],[Inspección Externa]]="","",MARÍTIMOS[[#This Row],[Inspección Externa]]),"")</f>
        <v>46233.365972222222</v>
      </c>
      <c r="AC264" s="11">
        <f>IFERROR(IF(MARÍTIMOS[[#This Row],[Etapa Despacho - Inicio de Carga]]="","",MARÍTIMOS[[#This Row],[Etapa Despacho - Inicio de Carga]]),"")</f>
        <v>46233.385416666664</v>
      </c>
      <c r="AD264" s="11">
        <f>IFERROR(IF(MARÍTIMOS[[#This Row],[Etapa Despacho - Mitad de Carga]]="","",MARÍTIMOS[[#This Row],[Etapa Despacho - Mitad de Carga]]),"")</f>
        <v>46233.395833333336</v>
      </c>
      <c r="AE264" s="11">
        <f>IFERROR(IF(MARÍTIMOS[[#This Row],[Etapa Despacho - Fin de Carga]]="","",MARÍTIMOS[[#This Row],[Etapa Despacho - Fin de Carga]]),"")</f>
        <v>46233.557638888888</v>
      </c>
      <c r="AF264" s="2" t="str">
        <f>IFERROR(IF(MARÍTIMOS[[#This Row],[Puerto de Embarque]]="","",MARÍTIMOS[[#This Row],[Puerto de Embarque]]),"")</f>
        <v>Paita</v>
      </c>
      <c r="AG264" s="2" t="str">
        <f>IFERROR(IF(MARÍTIMOS[[#This Row],[Almacén de Ingreso]]="","",MARÍTIMOS[[#This Row],[Almacén de Ingreso]]),"")</f>
        <v>TPE</v>
      </c>
      <c r="AH264" s="11">
        <f>IFERROR(IF(MARÍTIMOS[[#This Row],[Etapa Ingreso - Cita]]="","",MARÍTIMOS[[#This Row],[Etapa Ingreso - Cita]]),"")</f>
        <v>46234.333333333336</v>
      </c>
      <c r="AI264" s="11">
        <f>IFERROR(IF(MARÍTIMOS[[#This Row],[Etapa Ingreso - Llegada]]="","",MARÍTIMOS[[#This Row],[Etapa Ingreso - Llegada]]),"")</f>
        <v>46234.368750000001</v>
      </c>
      <c r="AJ264" s="11">
        <f>IFERROR(IF(MARÍTIMOS[[#This Row],[Etapa Ingreso - Ingeso]]="","",MARÍTIMOS[[#This Row],[Etapa Ingreso - Ingeso]]),"")</f>
        <v>46234.375</v>
      </c>
      <c r="AK264" s="11">
        <f>IFERROR(IF(MARÍTIMOS[[#This Row],[Etapa Ingreso - Atención]]="","",MARÍTIMOS[[#This Row],[Etapa Ingreso - Atención]]),"")</f>
        <v>46234.376388888886</v>
      </c>
      <c r="AL264" s="11">
        <f>IFERROR(IF(MARÍTIMOS[[#This Row],[Etapa Ingreso - Salida]]="","",MARÍTIMOS[[#This Row],[Etapa Ingreso - Salida]]),"")</f>
        <v>46234.379861111112</v>
      </c>
      <c r="AM264" s="2">
        <f>IFERROR(IF(MARÍTIMOS[[#This Row],[FCL]]="","",MARÍTIMOS[[#This Row],[FCL]]),"")</f>
        <v>1</v>
      </c>
      <c r="AN2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4" s="4" t="str" cm="1">
        <f t="array" ref="AO2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4" s="5">
        <f>IFERROR(OLDBD[[#This Row],[Llegada a packing]]-OLDBD[[#This Row],[Inicio de Ruta]],"")</f>
        <v>0.62152777777373558</v>
      </c>
      <c r="AQ264" s="6">
        <f>IFERROR(OLDBD[[#This Row],[Inicio de Ruta]]-OLDBD[[#This Row],[Salida de almacén de retiro]],"")</f>
        <v>9.1666666667151731E-2</v>
      </c>
      <c r="AR2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64" s="8" t="str" cm="1">
        <f t="array" ref="AS2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64" s="9">
        <f>IFERROR(OLDBD[[#This Row],[Ingreso Packing]]-OLDBD[[#This Row],[Registro en Packing]],"")</f>
        <v>2.0833333335758653E-2</v>
      </c>
      <c r="AV264" s="9">
        <f>IFERROR(OLDBD[[#This Row],[Ingreso Packing]]-OLDBD[[#This Row],[Llegada a packing]],"")</f>
        <v>2.7777777781011537E-2</v>
      </c>
      <c r="AW2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64" s="5">
        <f>IFERROR(OLDBD[[#This Row],[Llegada Almacén de Ingreso]]-OLDBD[[#This Row],[Salida Packing]],"")</f>
        <v>0.81111111111385981</v>
      </c>
      <c r="AY264" s="4" t="str" cm="1">
        <f t="array" ref="AY2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64" s="43" t="s">
        <v>173</v>
      </c>
      <c r="BB264" s="47" t="str">
        <f>IFERROR(IF(MARÍTIMOS[[#This Row],[Estatus]]="","",MARÍTIMOS[[#This Row],[Estatus]]),"")</f>
        <v>Confirmado</v>
      </c>
      <c r="BC264" s="43"/>
      <c r="BD264" s="46">
        <f>IFERROR(OLDBD[[#This Row],[Salida de almacén de retiro]]-OLDBD[[#This Row],[Ingreso Almacén de retiro]],"")</f>
        <v>4.166666665696539E-3</v>
      </c>
      <c r="BE264" s="46">
        <f>IFERROR(OLDBD[[#This Row],[Fin de Carga]]-OLDBD[[#This Row],[Inicio de Carga]],"")</f>
        <v>1.0416666671517305E-2</v>
      </c>
    </row>
    <row r="265" spans="1:57" customFormat="1" hidden="1">
      <c r="A265" s="1"/>
      <c r="B265" s="1">
        <f>IFERROR(IF(MARÍTIMOS[[#This Row],[PP]]="","",MARÍTIMOS[[#This Row],[PP]]),"")</f>
        <v>31</v>
      </c>
      <c r="C265" s="1" t="str">
        <f>IFERROR(IF(MARÍTIMOS[[#This Row],[Sede]]="","",MARÍTIMOS[[#This Row],[Sede]]),"")</f>
        <v>Chao</v>
      </c>
      <c r="D265" s="1" t="str">
        <f>IFERROR(IF(MARÍTIMOS[[#This Row],[Instruction]]="","",MARÍTIMOS[[#This Row],[Instruction]]),"")</f>
        <v>RH-0335</v>
      </c>
      <c r="E265" s="1"/>
      <c r="F265" s="2" t="str">
        <f>IFERROR(IF(MARÍTIMOS[[#This Row],[Transportista]]="","",MARÍTIMOS[[#This Row],[Transportista]]),"")</f>
        <v>LIP</v>
      </c>
      <c r="G265" s="2" t="str">
        <f>IFERROR(IF(MARÍTIMOS[[#This Row],[Tercero]]="","",MARÍTIMOS[[#This Row],[Tercero]]),"")</f>
        <v>SI</v>
      </c>
      <c r="H265" s="2" t="str">
        <f>IFERROR(IF(MARÍTIMOS[[#This Row],[Razón Social]]="","",MARÍTIMOS[[#This Row],[Razón Social]]),"")</f>
        <v>LOGISTICA INTERMODAL DEL PERU S.A.C.</v>
      </c>
      <c r="I265" s="2">
        <f>IFERROR(IF(MARÍTIMOS[[#This Row],[RUC]]="","",MARÍTIMOS[[#This Row],[RUC]]),"")</f>
        <v>20513040718</v>
      </c>
      <c r="J265" s="2" t="str">
        <f>IFERROR(IF(MARÍTIMOS[[#This Row],[Placa Tracto]]="","",MARÍTIMOS[[#This Row],[Placa Tracto]]),"")</f>
        <v>AYO-892</v>
      </c>
      <c r="K265" s="2" t="str">
        <f>IFERROR(IF(MARÍTIMOS[[#This Row],[Placa Carreta]]="","",MARÍTIMOS[[#This Row],[Placa Carreta]]),"")</f>
        <v>AJO-980</v>
      </c>
      <c r="L265" s="44" t="str">
        <f>IFERROR(IF(MARÍTIMOS[[#This Row],[Conductor]]="","",MARÍTIMOS[[#This Row],[Conductor]]),"")</f>
        <v>AVELLANEDA OTERO RENZO MARTIN</v>
      </c>
      <c r="M265" s="2" t="str">
        <f>IFERROR(IF(MARÍTIMOS[[#This Row],[Licencia]]="","",MARÍTIMOS[[#This Row],[Licencia]]),"")</f>
        <v>B40777868</v>
      </c>
      <c r="N265" s="2" t="str">
        <f>IFERROR(IF(MARÍTIMOS[[#This Row],[Número de Contacto]]="","",MARÍTIMOS[[#This Row],[Número de Contacto]]),"")</f>
        <v>934 040 127</v>
      </c>
      <c r="O265" s="10" t="str">
        <f>IFERROR(IF(MARÍTIMOS[[#This Row],[Booking|AWB|CRT]]="","",MARÍTIMOS[[#This Row],[Booking|AWB|CRT]]),"")</f>
        <v>MBM250067109</v>
      </c>
      <c r="P265" s="2" t="str">
        <f>IFERROR(IF(MARÍTIMOS[[#This Row],[Contenedor]]="","",MARÍTIMOS[[#This Row],[Contenedor]]),"")</f>
        <v>CAAU4032108</v>
      </c>
      <c r="Q265" s="2" t="str">
        <f>IFERROR(IF(MARÍTIMOS[[#This Row],[Puerto de Retiro]]="","",MARÍTIMOS[[#This Row],[Puerto de Retiro]]),"")</f>
        <v>PAITA</v>
      </c>
      <c r="R265" s="2" t="str">
        <f>IFERROR(IF(MARÍTIMOS[[#This Row],[Almacén de Retiro]]="","",MARÍTIMOS[[#This Row],[Almacén de Retiro]]),"")</f>
        <v>MACROMAR</v>
      </c>
      <c r="S265" s="11">
        <f>IFERROR(IF(MARÍTIMOS[[#This Row],[Etapa Retiro - Cita]]="","",MARÍTIMOS[[#This Row],[Etapa Retiro - Cita]]),"")</f>
        <v>46233.5</v>
      </c>
      <c r="T265" s="11">
        <f>IFERROR(IF(MARÍTIMOS[[#This Row],[Etapa Retiro - Llegada]]="","",MARÍTIMOS[[#This Row],[Etapa Retiro - Llegada]]),"")</f>
        <v>46233.493055555555</v>
      </c>
      <c r="U265" s="11">
        <f>IFERROR(IF(MARÍTIMOS[[#This Row],[Etapa Retiro - Ingreso]]="","",MARÍTIMOS[[#This Row],[Etapa Retiro - Ingreso]]),"")</f>
        <v>46233.50277777778</v>
      </c>
      <c r="V265" s="11">
        <f>IFERROR(IF(MARÍTIMOS[[#This Row],[Etapa Retiro - Atención]]="","",MARÍTIMOS[[#This Row],[Etapa Retiro - Atención]]),"")</f>
        <v>46233.53125</v>
      </c>
      <c r="W265" s="11">
        <f>IFERROR(IF(MARÍTIMOS[[#This Row],[Etapa Retiro - Atención]]="","",MARÍTIMOS[[#This Row],[Etapa Retiro - Atención]]),"")</f>
        <v>46233.53125</v>
      </c>
      <c r="X265" s="11">
        <f>IFERROR(IF(MARÍTIMOS[[#This Row],[Etapa Retiro - Inicio de Ruta]]="","",MARÍTIMOS[[#This Row],[Etapa Retiro - Inicio de Ruta]]),"")</f>
        <v>46233.604166666664</v>
      </c>
      <c r="Y265" s="11">
        <f>IFERROR(IF(MARÍTIMOS[[#This Row],[Hora de Posicionamiento]]="","",MARÍTIMOS[[#This Row],[Fecha de Carga]]+MARÍTIMOS[[#This Row],[Hora de Posicionamiento]]),"")</f>
        <v>46234.333333333336</v>
      </c>
      <c r="Z265" s="11">
        <f>IFERROR(IF(MARÍTIMOS[[#This Row],[Etapa Despacho - Llegada]]="","",MARÍTIMOS[[#This Row],[Etapa Despacho - Llegada]]),"")</f>
        <v>46234.362500000003</v>
      </c>
      <c r="AA265" s="11">
        <f>IFERROR(IF(MARÍTIMOS[[#This Row],[Etapa Despacho - Registro]]="","",MARÍTIMOS[[#This Row],[Etapa Despacho - Registro]]),"")</f>
        <v>46234.365277777775</v>
      </c>
      <c r="AB265" s="11">
        <f>IFERROR(IF(MARÍTIMOS[[#This Row],[Inspección Externa]]="","",MARÍTIMOS[[#This Row],[Inspección Externa]]),"")</f>
        <v>46234.368055555555</v>
      </c>
      <c r="AC265" s="11">
        <f>IFERROR(IF(MARÍTIMOS[[#This Row],[Etapa Despacho - Inicio de Carga]]="","",MARÍTIMOS[[#This Row],[Etapa Despacho - Inicio de Carga]]),"")</f>
        <v>46234.5</v>
      </c>
      <c r="AD265" s="11">
        <f>IFERROR(IF(MARÍTIMOS[[#This Row],[Etapa Despacho - Mitad de Carga]]="","",MARÍTIMOS[[#This Row],[Etapa Despacho - Mitad de Carga]]),"")</f>
        <v>46234.510416666664</v>
      </c>
      <c r="AE265" s="11">
        <f>IFERROR(IF(MARÍTIMOS[[#This Row],[Etapa Despacho - Fin de Carga]]="","",MARÍTIMOS[[#This Row],[Etapa Despacho - Fin de Carga]]),"")</f>
        <v>46234.581944444442</v>
      </c>
      <c r="AF265" s="2" t="str">
        <f>IFERROR(IF(MARÍTIMOS[[#This Row],[Puerto de Embarque]]="","",MARÍTIMOS[[#This Row],[Puerto de Embarque]]),"")</f>
        <v>Paita</v>
      </c>
      <c r="AG265" s="2" t="str">
        <f>IFERROR(IF(MARÍTIMOS[[#This Row],[Almacén de Ingreso]]="","",MARÍTIMOS[[#This Row],[Almacén de Ingreso]]),"")</f>
        <v>TPE</v>
      </c>
      <c r="AH265" s="11">
        <f>IFERROR(IF(MARÍTIMOS[[#This Row],[Etapa Ingreso - Cita]]="","",MARÍTIMOS[[#This Row],[Etapa Ingreso - Cita]]),"")</f>
        <v>46235.416666666664</v>
      </c>
      <c r="AI265" s="11">
        <f>IFERROR(IF(MARÍTIMOS[[#This Row],[Etapa Ingreso - Llegada]]="","",MARÍTIMOS[[#This Row],[Etapa Ingreso - Llegada]]),"")</f>
        <v>46235.379166666666</v>
      </c>
      <c r="AJ265" s="11">
        <f>IFERROR(IF(MARÍTIMOS[[#This Row],[Etapa Ingreso - Ingeso]]="","",MARÍTIMOS[[#This Row],[Etapa Ingreso - Ingeso]]),"")</f>
        <v>46235.384027777778</v>
      </c>
      <c r="AK265" s="11">
        <f>IFERROR(IF(MARÍTIMOS[[#This Row],[Etapa Ingreso - Atención]]="","",MARÍTIMOS[[#This Row],[Etapa Ingreso - Atención]]),"")</f>
        <v>46235.388888888891</v>
      </c>
      <c r="AL265" s="11">
        <f>IFERROR(IF(MARÍTIMOS[[#This Row],[Etapa Ingreso - Salida]]="","",MARÍTIMOS[[#This Row],[Etapa Ingreso - Salida]]),"")</f>
        <v>46235.393055555556</v>
      </c>
      <c r="AM265" s="2">
        <f>IFERROR(IF(MARÍTIMOS[[#This Row],[FCL]]="","",MARÍTIMOS[[#This Row],[FCL]]),"")</f>
        <v>1</v>
      </c>
      <c r="AN2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5" s="4" t="str" cm="1">
        <f t="array" ref="AO2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5" s="5">
        <f>IFERROR(OLDBD[[#This Row],[Llegada a packing]]-OLDBD[[#This Row],[Inicio de Ruta]],"")</f>
        <v>0.75833333333866904</v>
      </c>
      <c r="AQ265" s="6">
        <f>IFERROR(OLDBD[[#This Row],[Inicio de Ruta]]-OLDBD[[#This Row],[Salida de almacén de retiro]],"")</f>
        <v>7.2916666664241347E-2</v>
      </c>
      <c r="AR2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65" s="8" t="str" cm="1">
        <f t="array" ref="AS2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65" s="9">
        <f>IFERROR(OLDBD[[#This Row],[Ingreso Packing]]-OLDBD[[#This Row],[Registro en Packing]],"")</f>
        <v>2.7777777795563452E-3</v>
      </c>
      <c r="AV265" s="9">
        <f>IFERROR(OLDBD[[#This Row],[Ingreso Packing]]-OLDBD[[#This Row],[Llegada a packing]],"")</f>
        <v>5.5555555518367328E-3</v>
      </c>
      <c r="AW2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65" s="5">
        <f>IFERROR(OLDBD[[#This Row],[Llegada Almacén de Ingreso]]-OLDBD[[#This Row],[Salida Packing]],"")</f>
        <v>0.79722222222335404</v>
      </c>
      <c r="AY265" s="4" t="str" cm="1">
        <f t="array" ref="AY2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65" s="43" t="s">
        <v>173</v>
      </c>
      <c r="BB265" s="47" t="str">
        <f>IFERROR(IF(MARÍTIMOS[[#This Row],[Estatus]]="","",MARÍTIMOS[[#This Row],[Estatus]]),"")</f>
        <v>Confirmado</v>
      </c>
      <c r="BC265" s="43"/>
      <c r="BD265" s="46">
        <f>IFERROR(OLDBD[[#This Row],[Salida de almacén de retiro]]-OLDBD[[#This Row],[Ingreso Almacén de retiro]],"")</f>
        <v>2.8472222220443655E-2</v>
      </c>
      <c r="BE265" s="46">
        <f>IFERROR(OLDBD[[#This Row],[Fin de Carga]]-OLDBD[[#This Row],[Inicio de Carga]],"")</f>
        <v>1.0416666664241347E-2</v>
      </c>
    </row>
    <row r="266" spans="1:57" customFormat="1" hidden="1">
      <c r="A266" s="1"/>
      <c r="B266" s="1">
        <f>IFERROR(IF(MARÍTIMOS[[#This Row],[PP]]="","",MARÍTIMOS[[#This Row],[PP]]),"")</f>
        <v>31</v>
      </c>
      <c r="C266" s="1" t="str">
        <f>IFERROR(IF(MARÍTIMOS[[#This Row],[Sede]]="","",MARÍTIMOS[[#This Row],[Sede]]),"")</f>
        <v>Chao</v>
      </c>
      <c r="D266" s="1" t="str">
        <f>IFERROR(IF(MARÍTIMOS[[#This Row],[Instruction]]="","",MARÍTIMOS[[#This Row],[Instruction]]),"")</f>
        <v>RH-0342</v>
      </c>
      <c r="E266" s="1"/>
      <c r="F266" s="2" t="str">
        <f>IFERROR(IF(MARÍTIMOS[[#This Row],[Transportista]]="","",MARÍTIMOS[[#This Row],[Transportista]]),"")</f>
        <v>LIP</v>
      </c>
      <c r="G266" s="2" t="str">
        <f>IFERROR(IF(MARÍTIMOS[[#This Row],[Tercero]]="","",MARÍTIMOS[[#This Row],[Tercero]]),"")</f>
        <v>NO</v>
      </c>
      <c r="H266" s="2" t="str">
        <f>IFERROR(IF(MARÍTIMOS[[#This Row],[Razón Social]]="","",MARÍTIMOS[[#This Row],[Razón Social]]),"")</f>
        <v>TRANSCAR MATHEO SOCIEDAD ANONIMA CERRADA</v>
      </c>
      <c r="I266" s="2">
        <f>IFERROR(IF(MARÍTIMOS[[#This Row],[RUC]]="","",MARÍTIMOS[[#This Row],[RUC]]),"")</f>
        <v>20612886921</v>
      </c>
      <c r="J266" s="2" t="str">
        <f>IFERROR(IF(MARÍTIMOS[[#This Row],[Placa Tracto]]="","",MARÍTIMOS[[#This Row],[Placa Tracto]]),"")</f>
        <v>TAA-825</v>
      </c>
      <c r="K266" s="2" t="str">
        <f>IFERROR(IF(MARÍTIMOS[[#This Row],[Placa Carreta]]="","",MARÍTIMOS[[#This Row],[Placa Carreta]]),"")</f>
        <v>TOR-990</v>
      </c>
      <c r="L266" s="44" t="str">
        <f>IFERROR(IF(MARÍTIMOS[[#This Row],[Conductor]]="","",MARÍTIMOS[[#This Row],[Conductor]]),"")</f>
        <v>PEÑA OLAYA JOSE LUIS</v>
      </c>
      <c r="M266" s="2" t="str">
        <f>IFERROR(IF(MARÍTIMOS[[#This Row],[Licencia]]="","",MARÍTIMOS[[#This Row],[Licencia]]),"")</f>
        <v>B44348839</v>
      </c>
      <c r="N266" s="2" t="str">
        <f>IFERROR(IF(MARÍTIMOS[[#This Row],[Número de Contacto]]="","",MARÍTIMOS[[#This Row],[Número de Contacto]]),"")</f>
        <v>959 005 437</v>
      </c>
      <c r="O266" s="10" t="str">
        <f>IFERROR(IF(MARÍTIMOS[[#This Row],[Booking|AWB|CRT]]="","",MARÍTIMOS[[#This Row],[Booking|AWB|CRT]]),"")</f>
        <v>BN80274</v>
      </c>
      <c r="P266" s="2" t="str">
        <f>IFERROR(IF(MARÍTIMOS[[#This Row],[Contenedor]]="","",MARÍTIMOS[[#This Row],[Contenedor]]),"")</f>
        <v>SEKU9346404</v>
      </c>
      <c r="Q266" s="2" t="str">
        <f>IFERROR(IF(MARÍTIMOS[[#This Row],[Puerto de Retiro]]="","",MARÍTIMOS[[#This Row],[Puerto de Retiro]]),"")</f>
        <v>PAITA</v>
      </c>
      <c r="R266" s="2" t="str">
        <f>IFERROR(IF(MARÍTIMOS[[#This Row],[Almacén de Retiro]]="","",MARÍTIMOS[[#This Row],[Almacén de Retiro]]),"")</f>
        <v>DPW</v>
      </c>
      <c r="S266" s="11">
        <f>IFERROR(IF(MARÍTIMOS[[#This Row],[Etapa Retiro - Cita]]="","",MARÍTIMOS[[#This Row],[Etapa Retiro - Cita]]),"")</f>
        <v>46236.5</v>
      </c>
      <c r="T266" s="11">
        <f>IFERROR(IF(MARÍTIMOS[[#This Row],[Etapa Retiro - Llegada]]="","",MARÍTIMOS[[#This Row],[Etapa Retiro - Llegada]]),"")</f>
        <v>46236.487500000003</v>
      </c>
      <c r="U266" s="11">
        <f>IFERROR(IF(MARÍTIMOS[[#This Row],[Etapa Retiro - Ingreso]]="","",MARÍTIMOS[[#This Row],[Etapa Retiro - Ingreso]]),"")</f>
        <v>46236.489583333336</v>
      </c>
      <c r="V266" s="11">
        <f>IFERROR(IF(MARÍTIMOS[[#This Row],[Etapa Retiro - Atención]]="","",MARÍTIMOS[[#This Row],[Etapa Retiro - Atención]]),"")</f>
        <v>46236.559027777781</v>
      </c>
      <c r="W266" s="11">
        <f>IFERROR(IF(MARÍTIMOS[[#This Row],[Etapa Retiro - Atención]]="","",MARÍTIMOS[[#This Row],[Etapa Retiro - Atención]]),"")</f>
        <v>46236.559027777781</v>
      </c>
      <c r="X266" s="11">
        <f>IFERROR(IF(MARÍTIMOS[[#This Row],[Etapa Retiro - Inicio de Ruta]]="","",MARÍTIMOS[[#This Row],[Etapa Retiro - Inicio de Ruta]]),"")</f>
        <v>46236.638888888891</v>
      </c>
      <c r="Y266" s="11">
        <f>IFERROR(IF(MARÍTIMOS[[#This Row],[Hora de Posicionamiento]]="","",MARÍTIMOS[[#This Row],[Fecha de Carga]]+MARÍTIMOS[[#This Row],[Hora de Posicionamiento]]),"")</f>
        <v>46237.333333333336</v>
      </c>
      <c r="Z266" s="11">
        <f>IFERROR(IF(MARÍTIMOS[[#This Row],[Etapa Despacho - Llegada]]="","",MARÍTIMOS[[#This Row],[Etapa Despacho - Llegada]]),"")</f>
        <v>46237.338888888888</v>
      </c>
      <c r="AA266" s="11">
        <f>IFERROR(IF(MARÍTIMOS[[#This Row],[Etapa Despacho - Registro]]="","",MARÍTIMOS[[#This Row],[Etapa Despacho - Registro]]),"")</f>
        <v>46237.34097222222</v>
      </c>
      <c r="AB266" s="11">
        <f>IFERROR(IF(MARÍTIMOS[[#This Row],[Inspección Externa]]="","",MARÍTIMOS[[#This Row],[Inspección Externa]]),"")</f>
        <v>46237.354166666664</v>
      </c>
      <c r="AC266" s="11">
        <f>IFERROR(IF(MARÍTIMOS[[#This Row],[Etapa Despacho - Inicio de Carga]]="","",MARÍTIMOS[[#This Row],[Etapa Despacho - Inicio de Carga]]),"")</f>
        <v>46237.666666666664</v>
      </c>
      <c r="AD266" s="11">
        <f>IFERROR(IF(MARÍTIMOS[[#This Row],[Etapa Despacho - Mitad de Carga]]="","",MARÍTIMOS[[#This Row],[Etapa Despacho - Mitad de Carga]]),"")</f>
        <v>46237.677083333336</v>
      </c>
      <c r="AE266" s="11">
        <f>IFERROR(IF(MARÍTIMOS[[#This Row],[Etapa Despacho - Fin de Carga]]="","",MARÍTIMOS[[#This Row],[Etapa Despacho - Fin de Carga]]),"")</f>
        <v>46237.708333333336</v>
      </c>
      <c r="AF266" s="2" t="str">
        <f>IFERROR(IF(MARÍTIMOS[[#This Row],[Puerto de Embarque]]="","",MARÍTIMOS[[#This Row],[Puerto de Embarque]]),"")</f>
        <v>Paita</v>
      </c>
      <c r="AG266" s="2" t="str">
        <f>IFERROR(IF(MARÍTIMOS[[#This Row],[Almacén de Ingreso]]="","",MARÍTIMOS[[#This Row],[Almacén de Ingreso]]),"")</f>
        <v>TPE</v>
      </c>
      <c r="AH266" s="11">
        <f>IFERROR(IF(MARÍTIMOS[[#This Row],[Etapa Ingreso - Cita]]="","",MARÍTIMOS[[#This Row],[Etapa Ingreso - Cita]]),"")</f>
        <v>46238.416666666664</v>
      </c>
      <c r="AI266" s="11">
        <f>IFERROR(IF(MARÍTIMOS[[#This Row],[Etapa Ingreso - Llegada]]="","",MARÍTIMOS[[#This Row],[Etapa Ingreso - Llegada]]),"")</f>
        <v>46238.37777777778</v>
      </c>
      <c r="AJ266" s="11">
        <f>IFERROR(IF(MARÍTIMOS[[#This Row],[Etapa Ingreso - Ingeso]]="","",MARÍTIMOS[[#This Row],[Etapa Ingreso - Ingeso]]),"")</f>
        <v>46238.383333333331</v>
      </c>
      <c r="AK266" s="11">
        <f>IFERROR(IF(MARÍTIMOS[[#This Row],[Etapa Ingreso - Atención]]="","",MARÍTIMOS[[#This Row],[Etapa Ingreso - Atención]]),"")</f>
        <v>46238.385416666664</v>
      </c>
      <c r="AL266" s="11">
        <f>IFERROR(IF(MARÍTIMOS[[#This Row],[Etapa Ingreso - Salida]]="","",MARÍTIMOS[[#This Row],[Etapa Ingreso - Salida]]),"")</f>
        <v>46238.388194444444</v>
      </c>
      <c r="AM266" s="2">
        <f>IFERROR(IF(MARÍTIMOS[[#This Row],[FCL]]="","",MARÍTIMOS[[#This Row],[FCL]]),"")</f>
        <v>1</v>
      </c>
      <c r="AN2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6" s="4" t="str" cm="1">
        <f t="array" ref="AO2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266" s="5">
        <f>IFERROR(OLDBD[[#This Row],[Llegada a packing]]-OLDBD[[#This Row],[Inicio de Ruta]],"")</f>
        <v>0.69999999999708962</v>
      </c>
      <c r="AQ266" s="6">
        <f>IFERROR(OLDBD[[#This Row],[Inicio de Ruta]]-OLDBD[[#This Row],[Salida de almacén de retiro]],"")</f>
        <v>7.9861111109494232E-2</v>
      </c>
      <c r="AR2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66" s="8" t="str" cm="1">
        <f t="array" ref="AS2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66" s="9">
        <f>IFERROR(OLDBD[[#This Row],[Ingreso Packing]]-OLDBD[[#This Row],[Registro en Packing]],"")</f>
        <v>1.3194444443797693E-2</v>
      </c>
      <c r="AV266" s="9">
        <f>IFERROR(OLDBD[[#This Row],[Ingreso Packing]]-OLDBD[[#This Row],[Llegada a packing]],"")</f>
        <v>1.5277777776645962E-2</v>
      </c>
      <c r="AW2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66" s="5">
        <f>IFERROR(OLDBD[[#This Row],[Llegada Almacén de Ingreso]]-OLDBD[[#This Row],[Salida Packing]],"")</f>
        <v>0.66944444444379769</v>
      </c>
      <c r="AY266" s="4" t="str" cm="1">
        <f t="array" ref="AY2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66" s="43" t="s">
        <v>173</v>
      </c>
      <c r="BB266" s="47" t="str">
        <f>IFERROR(IF(MARÍTIMOS[[#This Row],[Estatus]]="","",MARÍTIMOS[[#This Row],[Estatus]]),"")</f>
        <v>Confirmado</v>
      </c>
      <c r="BC266" s="43"/>
      <c r="BD266" s="46">
        <f>IFERROR(OLDBD[[#This Row],[Salida de almacén de retiro]]-OLDBD[[#This Row],[Ingreso Almacén de retiro]],"")</f>
        <v>6.9444444445252884E-2</v>
      </c>
      <c r="BE266" s="46">
        <f>IFERROR(OLDBD[[#This Row],[Fin de Carga]]-OLDBD[[#This Row],[Inicio de Carga]],"")</f>
        <v>1.0416666671517305E-2</v>
      </c>
    </row>
    <row r="267" spans="1:57" customFormat="1" hidden="1">
      <c r="A267" s="1"/>
      <c r="B267" s="1">
        <f>IFERROR(IF(MARÍTIMOS[[#This Row],[PP]]="","",MARÍTIMOS[[#This Row],[PP]]),"")</f>
        <v>31</v>
      </c>
      <c r="C267" s="1" t="str">
        <f>IFERROR(IF(MARÍTIMOS[[#This Row],[Sede]]="","",MARÍTIMOS[[#This Row],[Sede]]),"")</f>
        <v>Chao</v>
      </c>
      <c r="D267" s="1" t="str">
        <f>IFERROR(IF(MARÍTIMOS[[#This Row],[Instruction]]="","",MARÍTIMOS[[#This Row],[Instruction]]),"")</f>
        <v>RH-0343</v>
      </c>
      <c r="E267" s="1"/>
      <c r="F267" s="2" t="str">
        <f>IFERROR(IF(MARÍTIMOS[[#This Row],[Transportista]]="","",MARÍTIMOS[[#This Row],[Transportista]]),"")</f>
        <v>LIP</v>
      </c>
      <c r="G267" s="2" t="str">
        <f>IFERROR(IF(MARÍTIMOS[[#This Row],[Tercero]]="","",MARÍTIMOS[[#This Row],[Tercero]]),"")</f>
        <v>NO</v>
      </c>
      <c r="H267" s="2" t="str">
        <f>IFERROR(IF(MARÍTIMOS[[#This Row],[Razón Social]]="","",MARÍTIMOS[[#This Row],[Razón Social]]),"")</f>
        <v>TRANSPORTES Y SERVICIOS UNITED FRIENDS S.A.C.</v>
      </c>
      <c r="I267" s="2">
        <f>IFERROR(IF(MARÍTIMOS[[#This Row],[RUC]]="","",MARÍTIMOS[[#This Row],[RUC]]),"")</f>
        <v>20601368766</v>
      </c>
      <c r="J267" s="2" t="str">
        <f>IFERROR(IF(MARÍTIMOS[[#This Row],[Placa Tracto]]="","",MARÍTIMOS[[#This Row],[Placa Tracto]]),"")</f>
        <v>TFC-827</v>
      </c>
      <c r="K267" s="2" t="str">
        <f>IFERROR(IF(MARÍTIMOS[[#This Row],[Placa Carreta]]="","",MARÍTIMOS[[#This Row],[Placa Carreta]]),"")</f>
        <v>BUC-978</v>
      </c>
      <c r="L267" s="44" t="str">
        <f>IFERROR(IF(MARÍTIMOS[[#This Row],[Conductor]]="","",MARÍTIMOS[[#This Row],[Conductor]]),"")</f>
        <v>MOGOLLÓN REYES JUAN CARLOS</v>
      </c>
      <c r="M267" s="2" t="str">
        <f>IFERROR(IF(MARÍTIMOS[[#This Row],[Licencia]]="","",MARÍTIMOS[[#This Row],[Licencia]]),"")</f>
        <v>B02862672</v>
      </c>
      <c r="N267" s="2" t="str">
        <f>IFERROR(IF(MARÍTIMOS[[#This Row],[Número de Contacto]]="","",MARÍTIMOS[[#This Row],[Número de Contacto]]),"")</f>
        <v>934 040 127</v>
      </c>
      <c r="O267" s="10" t="str">
        <f>IFERROR(IF(MARÍTIMOS[[#This Row],[Booking|AWB|CRT]]="","",MARÍTIMOS[[#This Row],[Booking|AWB|CRT]]),"")</f>
        <v>BN80275</v>
      </c>
      <c r="P267" s="2" t="str">
        <f>IFERROR(IF(MARÍTIMOS[[#This Row],[Contenedor]]="","",MARÍTIMOS[[#This Row],[Contenedor]]),"")</f>
        <v>SEKU9267687</v>
      </c>
      <c r="Q267" s="2" t="str">
        <f>IFERROR(IF(MARÍTIMOS[[#This Row],[Puerto de Retiro]]="","",MARÍTIMOS[[#This Row],[Puerto de Retiro]]),"")</f>
        <v>PAITA</v>
      </c>
      <c r="R267" s="2" t="str">
        <f>IFERROR(IF(MARÍTIMOS[[#This Row],[Almacén de Retiro]]="","",MARÍTIMOS[[#This Row],[Almacén de Retiro]]),"")</f>
        <v>DPW</v>
      </c>
      <c r="S267" s="11">
        <f>IFERROR(IF(MARÍTIMOS[[#This Row],[Etapa Retiro - Cita]]="","",MARÍTIMOS[[#This Row],[Etapa Retiro - Cita]]),"")</f>
        <v>46236.5</v>
      </c>
      <c r="T267" s="11">
        <f>IFERROR(IF(MARÍTIMOS[[#This Row],[Etapa Retiro - Llegada]]="","",MARÍTIMOS[[#This Row],[Etapa Retiro - Llegada]]),"")</f>
        <v>46236.484722222223</v>
      </c>
      <c r="U267" s="11">
        <f>IFERROR(IF(MARÍTIMOS[[#This Row],[Etapa Retiro - Ingreso]]="","",MARÍTIMOS[[#This Row],[Etapa Retiro - Ingreso]]),"")</f>
        <v>46236.488194444442</v>
      </c>
      <c r="V267" s="11">
        <f>IFERROR(IF(MARÍTIMOS[[#This Row],[Etapa Retiro - Atención]]="","",MARÍTIMOS[[#This Row],[Etapa Retiro - Atención]]),"")</f>
        <v>46236.518055555556</v>
      </c>
      <c r="W267" s="11">
        <f>IFERROR(IF(MARÍTIMOS[[#This Row],[Etapa Retiro - Atención]]="","",MARÍTIMOS[[#This Row],[Etapa Retiro - Atención]]),"")</f>
        <v>46236.518055555556</v>
      </c>
      <c r="X267" s="11">
        <f>IFERROR(IF(MARÍTIMOS[[#This Row],[Etapa Retiro - Inicio de Ruta]]="","",MARÍTIMOS[[#This Row],[Etapa Retiro - Inicio de Ruta]]),"")</f>
        <v>46236.611111111109</v>
      </c>
      <c r="Y267" s="11">
        <f>IFERROR(IF(MARÍTIMOS[[#This Row],[Hora de Posicionamiento]]="","",MARÍTIMOS[[#This Row],[Fecha de Carga]]+MARÍTIMOS[[#This Row],[Hora de Posicionamiento]]),"")</f>
        <v>46237.333333333336</v>
      </c>
      <c r="Z267" s="11">
        <f>IFERROR(IF(MARÍTIMOS[[#This Row],[Etapa Despacho - Llegada]]="","",MARÍTIMOS[[#This Row],[Etapa Despacho - Llegada]]),"")</f>
        <v>46237.342361111114</v>
      </c>
      <c r="AA267" s="11">
        <f>IFERROR(IF(MARÍTIMOS[[#This Row],[Etapa Despacho - Registro]]="","",MARÍTIMOS[[#This Row],[Etapa Despacho - Registro]]),"")</f>
        <v>46237.345138888886</v>
      </c>
      <c r="AB267" s="11">
        <f>IFERROR(IF(MARÍTIMOS[[#This Row],[Inspección Externa]]="","",MARÍTIMOS[[#This Row],[Inspección Externa]]),"")</f>
        <v>46237.348611111112</v>
      </c>
      <c r="AC267" s="11">
        <f>IFERROR(IF(MARÍTIMOS[[#This Row],[Etapa Despacho - Inicio de Carga]]="","",MARÍTIMOS[[#This Row],[Etapa Despacho - Inicio de Carga]]),"")</f>
        <v>46237.659722222219</v>
      </c>
      <c r="AD267" s="11">
        <f>IFERROR(IF(MARÍTIMOS[[#This Row],[Etapa Despacho - Mitad de Carga]]="","",MARÍTIMOS[[#This Row],[Etapa Despacho - Mitad de Carga]]),"")</f>
        <v>46237.670138888891</v>
      </c>
      <c r="AE267" s="11">
        <f>IFERROR(IF(MARÍTIMOS[[#This Row],[Etapa Despacho - Fin de Carga]]="","",MARÍTIMOS[[#This Row],[Etapa Despacho - Fin de Carga]]),"")</f>
        <v>46237.71875</v>
      </c>
      <c r="AF267" s="2" t="str">
        <f>IFERROR(IF(MARÍTIMOS[[#This Row],[Puerto de Embarque]]="","",MARÍTIMOS[[#This Row],[Puerto de Embarque]]),"")</f>
        <v>Paita</v>
      </c>
      <c r="AG267" s="2" t="str">
        <f>IFERROR(IF(MARÍTIMOS[[#This Row],[Almacén de Ingreso]]="","",MARÍTIMOS[[#This Row],[Almacén de Ingreso]]),"")</f>
        <v>TPE</v>
      </c>
      <c r="AH267" s="11">
        <f>IFERROR(IF(MARÍTIMOS[[#This Row],[Etapa Ingreso - Cita]]="","",MARÍTIMOS[[#This Row],[Etapa Ingreso - Cita]]),"")</f>
        <v>46238.458333333336</v>
      </c>
      <c r="AI267" s="11">
        <f>IFERROR(IF(MARÍTIMOS[[#This Row],[Etapa Ingreso - Llegada]]="","",MARÍTIMOS[[#This Row],[Etapa Ingreso - Llegada]]),"")</f>
        <v>46238.425694444442</v>
      </c>
      <c r="AJ267" s="11">
        <f>IFERROR(IF(MARÍTIMOS[[#This Row],[Etapa Ingreso - Ingeso]]="","",MARÍTIMOS[[#This Row],[Etapa Ingreso - Ingeso]]),"")</f>
        <v>46238.432638888888</v>
      </c>
      <c r="AK267" s="11">
        <f>IFERROR(IF(MARÍTIMOS[[#This Row],[Etapa Ingreso - Atención]]="","",MARÍTIMOS[[#This Row],[Etapa Ingreso - Atención]]),"")</f>
        <v>46238.447222222225</v>
      </c>
      <c r="AL267" s="11">
        <f>IFERROR(IF(MARÍTIMOS[[#This Row],[Etapa Ingreso - Salida]]="","",MARÍTIMOS[[#This Row],[Etapa Ingreso - Salida]]),"")</f>
        <v>46238.451388888891</v>
      </c>
      <c r="AM267" s="2">
        <f>IFERROR(IF(MARÍTIMOS[[#This Row],[FCL]]="","",MARÍTIMOS[[#This Row],[FCL]]),"")</f>
        <v>1</v>
      </c>
      <c r="AN2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7" s="4" t="str" cm="1">
        <f t="array" ref="AO2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7" s="5">
        <f>IFERROR(OLDBD[[#This Row],[Llegada a packing]]-OLDBD[[#This Row],[Inicio de Ruta]],"")</f>
        <v>0.73125000000436557</v>
      </c>
      <c r="AQ267" s="6">
        <f>IFERROR(OLDBD[[#This Row],[Inicio de Ruta]]-OLDBD[[#This Row],[Salida de almacén de retiro]],"")</f>
        <v>9.3055555553291924E-2</v>
      </c>
      <c r="AR2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67" s="8" t="str" cm="1">
        <f t="array" ref="AS2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67" s="9">
        <f>IFERROR(OLDBD[[#This Row],[Ingreso Packing]]-OLDBD[[#This Row],[Registro en Packing]],"")</f>
        <v>3.4722222262644209E-3</v>
      </c>
      <c r="AV267" s="9">
        <f>IFERROR(OLDBD[[#This Row],[Ingreso Packing]]-OLDBD[[#This Row],[Llegada a packing]],"")</f>
        <v>6.2499999985448085E-3</v>
      </c>
      <c r="AW2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67" s="5">
        <f>IFERROR(OLDBD[[#This Row],[Llegada Almacén de Ingreso]]-OLDBD[[#This Row],[Salida Packing]],"")</f>
        <v>0.7069444444423425</v>
      </c>
      <c r="AY267" s="4" t="str" cm="1">
        <f t="array" ref="AY2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67" s="43" t="s">
        <v>173</v>
      </c>
      <c r="BB267" s="47" t="str">
        <f>IFERROR(IF(MARÍTIMOS[[#This Row],[Estatus]]="","",MARÍTIMOS[[#This Row],[Estatus]]),"")</f>
        <v>Confirmado</v>
      </c>
      <c r="BC267" s="43"/>
      <c r="BD267" s="46">
        <f>IFERROR(OLDBD[[#This Row],[Salida de almacén de retiro]]-OLDBD[[#This Row],[Ingreso Almacén de retiro]],"")</f>
        <v>2.9861111113859806E-2</v>
      </c>
      <c r="BE267" s="46">
        <f>IFERROR(OLDBD[[#This Row],[Fin de Carga]]-OLDBD[[#This Row],[Inicio de Carga]],"")</f>
        <v>1.0416666671517305E-2</v>
      </c>
    </row>
    <row r="268" spans="1:57" customFormat="1" hidden="1">
      <c r="A268" s="1"/>
      <c r="B268" s="1">
        <f>IFERROR(IF(MARÍTIMOS[[#This Row],[PP]]="","",MARÍTIMOS[[#This Row],[PP]]),"")</f>
        <v>31</v>
      </c>
      <c r="C268" s="1" t="str">
        <f>IFERROR(IF(MARÍTIMOS[[#This Row],[Sede]]="","",MARÍTIMOS[[#This Row],[Sede]]),"")</f>
        <v>Chao</v>
      </c>
      <c r="D268" s="1" t="str">
        <f>IFERROR(IF(MARÍTIMOS[[#This Row],[Instruction]]="","",MARÍTIMOS[[#This Row],[Instruction]]),"")</f>
        <v>RH-0346</v>
      </c>
      <c r="E268" s="1"/>
      <c r="F268" s="2" t="str">
        <f>IFERROR(IF(MARÍTIMOS[[#This Row],[Transportista]]="","",MARÍTIMOS[[#This Row],[Transportista]]),"")</f>
        <v>LIP</v>
      </c>
      <c r="G268" s="2" t="str">
        <f>IFERROR(IF(MARÍTIMOS[[#This Row],[Tercero]]="","",MARÍTIMOS[[#This Row],[Tercero]]),"")</f>
        <v>NO</v>
      </c>
      <c r="H268" s="2" t="str">
        <f>IFERROR(IF(MARÍTIMOS[[#This Row],[Razón Social]]="","",MARÍTIMOS[[#This Row],[Razón Social]]),"")</f>
        <v>LOGISTICS TRANSPORT SOCIEDAD ANONIMA CERRADA</v>
      </c>
      <c r="I268" s="2">
        <f>IFERROR(IF(MARÍTIMOS[[#This Row],[RUC]]="","",MARÍTIMOS[[#This Row],[RUC]]),"")</f>
        <v>20614402246</v>
      </c>
      <c r="J268" s="2" t="str">
        <f>IFERROR(IF(MARÍTIMOS[[#This Row],[Placa Tracto]]="","",MARÍTIMOS[[#This Row],[Placa Tracto]]),"")</f>
        <v>D4J-829</v>
      </c>
      <c r="K268" s="2" t="str">
        <f>IFERROR(IF(MARÍTIMOS[[#This Row],[Placa Carreta]]="","",MARÍTIMOS[[#This Row],[Placa Carreta]]),"")</f>
        <v>TJZ-980</v>
      </c>
      <c r="L268" s="44" t="str">
        <f>IFERROR(IF(MARÍTIMOS[[#This Row],[Conductor]]="","",MARÍTIMOS[[#This Row],[Conductor]]),"")</f>
        <v>CHIROQUE IMAN JOSE NICOLAS</v>
      </c>
      <c r="M268" s="2" t="str">
        <f>IFERROR(IF(MARÍTIMOS[[#This Row],[Licencia]]="","",MARÍTIMOS[[#This Row],[Licencia]]),"")</f>
        <v>C16578741</v>
      </c>
      <c r="N268" s="2" t="str">
        <f>IFERROR(IF(MARÍTIMOS[[#This Row],[Número de Contacto]]="","",MARÍTIMOS[[#This Row],[Número de Contacto]]),"")</f>
        <v>934 040 127</v>
      </c>
      <c r="O268" s="10" t="str">
        <f>IFERROR(IF(MARÍTIMOS[[#This Row],[Booking|AWB|CRT]]="","",MARÍTIMOS[[#This Row],[Booking|AWB|CRT]]),"")</f>
        <v>PER9166891A</v>
      </c>
      <c r="P268" s="2" t="str">
        <f>IFERROR(IF(MARÍTIMOS[[#This Row],[Contenedor]]="","",MARÍTIMOS[[#This Row],[Contenedor]]),"")</f>
        <v>CAAU4080852</v>
      </c>
      <c r="Q268" s="2" t="str">
        <f>IFERROR(IF(MARÍTIMOS[[#This Row],[Puerto de Retiro]]="","",MARÍTIMOS[[#This Row],[Puerto de Retiro]]),"")</f>
        <v>PAITA</v>
      </c>
      <c r="R268" s="2" t="str">
        <f>IFERROR(IF(MARÍTIMOS[[#This Row],[Almacén de Retiro]]="","",MARÍTIMOS[[#This Row],[Almacén de Retiro]]),"")</f>
        <v>DPW</v>
      </c>
      <c r="S268" s="11">
        <f>IFERROR(IF(MARÍTIMOS[[#This Row],[Etapa Retiro - Cita]]="","",MARÍTIMOS[[#This Row],[Etapa Retiro - Cita]]),"")</f>
        <v>46236.458333333336</v>
      </c>
      <c r="T268" s="11">
        <f>IFERROR(IF(MARÍTIMOS[[#This Row],[Etapa Retiro - Llegada]]="","",MARÍTIMOS[[#This Row],[Etapa Retiro - Llegada]]),"")</f>
        <v>46236.451388888891</v>
      </c>
      <c r="U268" s="11">
        <f>IFERROR(IF(MARÍTIMOS[[#This Row],[Etapa Retiro - Ingreso]]="","",MARÍTIMOS[[#This Row],[Etapa Retiro - Ingreso]]),"")</f>
        <v>46236.487500000003</v>
      </c>
      <c r="V268" s="11">
        <f>IFERROR(IF(MARÍTIMOS[[#This Row],[Etapa Retiro - Atención]]="","",MARÍTIMOS[[#This Row],[Etapa Retiro - Atención]]),"")</f>
        <v>46236.506944444445</v>
      </c>
      <c r="W268" s="11">
        <f>IFERROR(IF(MARÍTIMOS[[#This Row],[Etapa Retiro - Atención]]="","",MARÍTIMOS[[#This Row],[Etapa Retiro - Atención]]),"")</f>
        <v>46236.506944444445</v>
      </c>
      <c r="X268" s="11">
        <f>IFERROR(IF(MARÍTIMOS[[#This Row],[Etapa Retiro - Inicio de Ruta]]="","",MARÍTIMOS[[#This Row],[Etapa Retiro - Inicio de Ruta]]),"")</f>
        <v>46236.604166666664</v>
      </c>
      <c r="Y268" s="11">
        <f>IFERROR(IF(MARÍTIMOS[[#This Row],[Hora de Posicionamiento]]="","",MARÍTIMOS[[#This Row],[Fecha de Carga]]+MARÍTIMOS[[#This Row],[Hora de Posicionamiento]]),"")</f>
        <v>46237.333333333336</v>
      </c>
      <c r="Z268" s="11">
        <f>IFERROR(IF(MARÍTIMOS[[#This Row],[Etapa Despacho - Llegada]]="","",MARÍTIMOS[[#This Row],[Etapa Despacho - Llegada]]),"")</f>
        <v>46237.472222222219</v>
      </c>
      <c r="AA268" s="11">
        <f>IFERROR(IF(MARÍTIMOS[[#This Row],[Etapa Despacho - Registro]]="","",MARÍTIMOS[[#This Row],[Etapa Despacho - Registro]]),"")</f>
        <v>46237.474305555559</v>
      </c>
      <c r="AB268" s="11">
        <f>IFERROR(IF(MARÍTIMOS[[#This Row],[Inspección Externa]]="","",MARÍTIMOS[[#This Row],[Inspección Externa]]),"")</f>
        <v>46237.520833333336</v>
      </c>
      <c r="AC268" s="11">
        <f>IFERROR(IF(MARÍTIMOS[[#This Row],[Etapa Despacho - Inicio de Carga]]="","",MARÍTIMOS[[#This Row],[Etapa Despacho - Inicio de Carga]]),"")</f>
        <v>46237.729166666664</v>
      </c>
      <c r="AD268" s="11">
        <f>IFERROR(IF(MARÍTIMOS[[#This Row],[Etapa Despacho - Mitad de Carga]]="","",MARÍTIMOS[[#This Row],[Etapa Despacho - Mitad de Carga]]),"")</f>
        <v>46237.739583333336</v>
      </c>
      <c r="AE268" s="11">
        <f>IFERROR(IF(MARÍTIMOS[[#This Row],[Etapa Despacho - Fin de Carga]]="","",MARÍTIMOS[[#This Row],[Etapa Despacho - Fin de Carga]]),"")</f>
        <v>46237.809027777781</v>
      </c>
      <c r="AF268" s="2" t="str">
        <f>IFERROR(IF(MARÍTIMOS[[#This Row],[Puerto de Embarque]]="","",MARÍTIMOS[[#This Row],[Puerto de Embarque]]),"")</f>
        <v>Paita</v>
      </c>
      <c r="AG268" s="2" t="str">
        <f>IFERROR(IF(MARÍTIMOS[[#This Row],[Almacén de Ingreso]]="","",MARÍTIMOS[[#This Row],[Almacén de Ingreso]]),"")</f>
        <v>TPE</v>
      </c>
      <c r="AH268" s="11">
        <f>IFERROR(IF(MARÍTIMOS[[#This Row],[Etapa Ingreso - Cita]]="","",MARÍTIMOS[[#This Row],[Etapa Ingreso - Cita]]),"")</f>
        <v>46238.583333333336</v>
      </c>
      <c r="AI268" s="11">
        <f>IFERROR(IF(MARÍTIMOS[[#This Row],[Etapa Ingreso - Llegada]]="","",MARÍTIMOS[[#This Row],[Etapa Ingreso - Llegada]]),"")</f>
        <v>46238.561805555553</v>
      </c>
      <c r="AJ268" s="11">
        <f>IFERROR(IF(MARÍTIMOS[[#This Row],[Etapa Ingreso - Ingeso]]="","",MARÍTIMOS[[#This Row],[Etapa Ingreso - Ingeso]]),"")</f>
        <v>46238.566666666666</v>
      </c>
      <c r="AK268" s="11">
        <f>IFERROR(IF(MARÍTIMOS[[#This Row],[Etapa Ingreso - Atención]]="","",MARÍTIMOS[[#This Row],[Etapa Ingreso - Atención]]),"")</f>
        <v>46238.574999999997</v>
      </c>
      <c r="AL268" s="11">
        <f>IFERROR(IF(MARÍTIMOS[[#This Row],[Etapa Ingreso - Salida]]="","",MARÍTIMOS[[#This Row],[Etapa Ingreso - Salida]]),"")</f>
        <v>46238.578472222223</v>
      </c>
      <c r="AM268" s="2">
        <f>IFERROR(IF(MARÍTIMOS[[#This Row],[FCL]]="","",MARÍTIMOS[[#This Row],[FCL]]),"")</f>
        <v>1</v>
      </c>
      <c r="AN2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8" s="4" t="str" cm="1">
        <f t="array" ref="AO2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8" s="5">
        <f>IFERROR(OLDBD[[#This Row],[Llegada a packing]]-OLDBD[[#This Row],[Inicio de Ruta]],"")</f>
        <v>0.86805555555474712</v>
      </c>
      <c r="AQ268" s="6">
        <f>IFERROR(OLDBD[[#This Row],[Inicio de Ruta]]-OLDBD[[#This Row],[Salida de almacén de retiro]],"")</f>
        <v>9.7222222218988463E-2</v>
      </c>
      <c r="AR2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68" s="8" t="str" cm="1">
        <f t="array" ref="AS2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68" s="9">
        <f>IFERROR(OLDBD[[#This Row],[Ingreso Packing]]-OLDBD[[#This Row],[Registro en Packing]],"")</f>
        <v>4.6527777776645962E-2</v>
      </c>
      <c r="AV268" s="9">
        <f>IFERROR(OLDBD[[#This Row],[Ingreso Packing]]-OLDBD[[#This Row],[Llegada a packing]],"")</f>
        <v>4.8611111116770189E-2</v>
      </c>
      <c r="AW2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68" s="5">
        <f>IFERROR(OLDBD[[#This Row],[Llegada Almacén de Ingreso]]-OLDBD[[#This Row],[Salida Packing]],"")</f>
        <v>0.75277777777228039</v>
      </c>
      <c r="AY268" s="4" t="str" cm="1">
        <f t="array" ref="AY2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68" s="43" t="s">
        <v>173</v>
      </c>
      <c r="BB268" s="47" t="str">
        <f>IFERROR(IF(MARÍTIMOS[[#This Row],[Estatus]]="","",MARÍTIMOS[[#This Row],[Estatus]]),"")</f>
        <v>Confirmado</v>
      </c>
      <c r="BC268" s="43"/>
      <c r="BD268" s="46">
        <f>IFERROR(OLDBD[[#This Row],[Salida de almacén de retiro]]-OLDBD[[#This Row],[Ingreso Almacén de retiro]],"")</f>
        <v>1.9444444442342501E-2</v>
      </c>
      <c r="BE268" s="46">
        <f>IFERROR(OLDBD[[#This Row],[Fin de Carga]]-OLDBD[[#This Row],[Inicio de Carga]],"")</f>
        <v>1.0416666671517305E-2</v>
      </c>
    </row>
    <row r="269" spans="1:57" customFormat="1" hidden="1">
      <c r="A269" s="1"/>
      <c r="B269" s="1">
        <f>IFERROR(IF(MARÍTIMOS[[#This Row],[PP]]="","",MARÍTIMOS[[#This Row],[PP]]),"")</f>
        <v>31</v>
      </c>
      <c r="C269" s="1" t="str">
        <f>IFERROR(IF(MARÍTIMOS[[#This Row],[Sede]]="","",MARÍTIMOS[[#This Row],[Sede]]),"")</f>
        <v>Chao</v>
      </c>
      <c r="D269" s="1" t="str">
        <f>IFERROR(IF(MARÍTIMOS[[#This Row],[Instruction]]="","",MARÍTIMOS[[#This Row],[Instruction]]),"")</f>
        <v>RH-0351</v>
      </c>
      <c r="E269" s="1"/>
      <c r="F269" s="2" t="str">
        <f>IFERROR(IF(MARÍTIMOS[[#This Row],[Transportista]]="","",MARÍTIMOS[[#This Row],[Transportista]]),"")</f>
        <v>LIP</v>
      </c>
      <c r="G269" s="2" t="str">
        <f>IFERROR(IF(MARÍTIMOS[[#This Row],[Tercero]]="","",MARÍTIMOS[[#This Row],[Tercero]]),"")</f>
        <v>NO</v>
      </c>
      <c r="H269" s="2" t="str">
        <f>IFERROR(IF(MARÍTIMOS[[#This Row],[Razón Social]]="","",MARÍTIMOS[[#This Row],[Razón Social]]),"")</f>
        <v>LOGISTICA INTERMODAL DEL PERU S.A.C.</v>
      </c>
      <c r="I269" s="2">
        <f>IFERROR(IF(MARÍTIMOS[[#This Row],[RUC]]="","",MARÍTIMOS[[#This Row],[RUC]]),"")</f>
        <v>20513040718</v>
      </c>
      <c r="J269" s="2" t="str">
        <f>IFERROR(IF(MARÍTIMOS[[#This Row],[Placa Tracto]]="","",MARÍTIMOS[[#This Row],[Placa Tracto]]),"")</f>
        <v>AYO-798</v>
      </c>
      <c r="K269" s="2" t="str">
        <f>IFERROR(IF(MARÍTIMOS[[#This Row],[Placa Carreta]]="","",MARÍTIMOS[[#This Row],[Placa Carreta]]),"")</f>
        <v>AMW-985</v>
      </c>
      <c r="L269" s="44" t="str">
        <f>IFERROR(IF(MARÍTIMOS[[#This Row],[Conductor]]="","",MARÍTIMOS[[#This Row],[Conductor]]),"")</f>
        <v>CHAVEZ SERRATO WILLIAN</v>
      </c>
      <c r="M269" s="2" t="str">
        <f>IFERROR(IF(MARÍTIMOS[[#This Row],[Licencia]]="","",MARÍTIMOS[[#This Row],[Licencia]]),"")</f>
        <v>B46863156</v>
      </c>
      <c r="N269" s="2" t="str">
        <f>IFERROR(IF(MARÍTIMOS[[#This Row],[Número de Contacto]]="","",MARÍTIMOS[[#This Row],[Número de Contacto]]),"")</f>
        <v>960 005 437</v>
      </c>
      <c r="O269" s="10" t="str">
        <f>IFERROR(IF(MARÍTIMOS[[#This Row],[Booking|AWB|CRT]]="","",MARÍTIMOS[[#This Row],[Booking|AWB|CRT]]),"")</f>
        <v>PER9166896A</v>
      </c>
      <c r="P269" s="2" t="str">
        <f>IFERROR(IF(MARÍTIMOS[[#This Row],[Contenedor]]="","",MARÍTIMOS[[#This Row],[Contenedor]]),"")</f>
        <v>SEKU9417025</v>
      </c>
      <c r="Q269" s="2" t="str">
        <f>IFERROR(IF(MARÍTIMOS[[#This Row],[Puerto de Retiro]]="","",MARÍTIMOS[[#This Row],[Puerto de Retiro]]),"")</f>
        <v>PAITA</v>
      </c>
      <c r="R269" s="2" t="str">
        <f>IFERROR(IF(MARÍTIMOS[[#This Row],[Almacén de Retiro]]="","",MARÍTIMOS[[#This Row],[Almacén de Retiro]]),"")</f>
        <v>DPW</v>
      </c>
      <c r="S269" s="11">
        <f>IFERROR(IF(MARÍTIMOS[[#This Row],[Etapa Retiro - Cita]]="","",MARÍTIMOS[[#This Row],[Etapa Retiro - Cita]]),"")</f>
        <v>46237.5</v>
      </c>
      <c r="T269" s="11">
        <f>IFERROR(IF(MARÍTIMOS[[#This Row],[Etapa Retiro - Llegada]]="","",MARÍTIMOS[[#This Row],[Etapa Retiro - Llegada]]),"")</f>
        <v>46237.493055555555</v>
      </c>
      <c r="U269" s="11">
        <f>IFERROR(IF(MARÍTIMOS[[#This Row],[Etapa Retiro - Ingreso]]="","",MARÍTIMOS[[#This Row],[Etapa Retiro - Ingreso]]),"")</f>
        <v>46237.609722222223</v>
      </c>
      <c r="V269" s="11">
        <f>IFERROR(IF(MARÍTIMOS[[#This Row],[Etapa Retiro - Atención]]="","",MARÍTIMOS[[#This Row],[Etapa Retiro - Atención]]),"")</f>
        <v>46237.621527777781</v>
      </c>
      <c r="W269" s="11">
        <f>IFERROR(IF(MARÍTIMOS[[#This Row],[Etapa Retiro - Atención]]="","",MARÍTIMOS[[#This Row],[Etapa Retiro - Atención]]),"")</f>
        <v>46237.621527777781</v>
      </c>
      <c r="X269" s="11">
        <f>IFERROR(IF(MARÍTIMOS[[#This Row],[Etapa Retiro - Inicio de Ruta]]="","",MARÍTIMOS[[#This Row],[Etapa Retiro - Inicio de Ruta]]),"")</f>
        <v>46237.696527777778</v>
      </c>
      <c r="Y269" s="11">
        <f>IFERROR(IF(MARÍTIMOS[[#This Row],[Hora de Posicionamiento]]="","",MARÍTIMOS[[#This Row],[Fecha de Carga]]+MARÍTIMOS[[#This Row],[Hora de Posicionamiento]]),"")</f>
        <v>46238.333333333336</v>
      </c>
      <c r="Z269" s="11">
        <f>IFERROR(IF(MARÍTIMOS[[#This Row],[Etapa Despacho - Llegada]]="","",MARÍTIMOS[[#This Row],[Etapa Despacho - Llegada]]),"")</f>
        <v>46238.468055555553</v>
      </c>
      <c r="AA269" s="11">
        <f>IFERROR(IF(MARÍTIMOS[[#This Row],[Etapa Despacho - Registro]]="","",MARÍTIMOS[[#This Row],[Etapa Despacho - Registro]]),"")</f>
        <v>46238.46875</v>
      </c>
      <c r="AB269" s="11">
        <f>IFERROR(IF(MARÍTIMOS[[#This Row],[Inspección Externa]]="","",MARÍTIMOS[[#This Row],[Inspección Externa]]),"")</f>
        <v>46238.472222222219</v>
      </c>
      <c r="AC269" s="11">
        <f>IFERROR(IF(MARÍTIMOS[[#This Row],[Etapa Despacho - Inicio de Carga]]="","",MARÍTIMOS[[#This Row],[Etapa Despacho - Inicio de Carga]]),"")</f>
        <v>46238.53402777778</v>
      </c>
      <c r="AD269" s="11">
        <f>IFERROR(IF(MARÍTIMOS[[#This Row],[Etapa Despacho - Mitad de Carga]]="","",MARÍTIMOS[[#This Row],[Etapa Despacho - Mitad de Carga]]),"")</f>
        <v>46238.549305555556</v>
      </c>
      <c r="AE269" s="11">
        <f>IFERROR(IF(MARÍTIMOS[[#This Row],[Etapa Despacho - Fin de Carga]]="","",MARÍTIMOS[[#This Row],[Etapa Despacho - Fin de Carga]]),"")</f>
        <v>46238.564583333333</v>
      </c>
      <c r="AF269" s="2" t="str">
        <f>IFERROR(IF(MARÍTIMOS[[#This Row],[Puerto de Embarque]]="","",MARÍTIMOS[[#This Row],[Puerto de Embarque]]),"")</f>
        <v>Paita</v>
      </c>
      <c r="AG269" s="2" t="str">
        <f>IFERROR(IF(MARÍTIMOS[[#This Row],[Almacén de Ingreso]]="","",MARÍTIMOS[[#This Row],[Almacén de Ingreso]]),"")</f>
        <v>TPE</v>
      </c>
      <c r="AH269" s="11">
        <f>IFERROR(IF(MARÍTIMOS[[#This Row],[Etapa Ingreso - Cita]]="","",MARÍTIMOS[[#This Row],[Etapa Ingreso - Cita]]),"")</f>
        <v>46239.458333333336</v>
      </c>
      <c r="AI269" s="11">
        <f>IFERROR(IF(MARÍTIMOS[[#This Row],[Etapa Ingreso - Llegada]]="","",MARÍTIMOS[[#This Row],[Etapa Ingreso - Llegada]]),"")</f>
        <v>46239.431944444441</v>
      </c>
      <c r="AJ269" s="11">
        <f>IFERROR(IF(MARÍTIMOS[[#This Row],[Etapa Ingreso - Ingeso]]="","",MARÍTIMOS[[#This Row],[Etapa Ingreso - Ingeso]]),"")</f>
        <v>46239.44027777778</v>
      </c>
      <c r="AK269" s="11">
        <f>IFERROR(IF(MARÍTIMOS[[#This Row],[Etapa Ingreso - Atención]]="","",MARÍTIMOS[[#This Row],[Etapa Ingreso - Atención]]),"")</f>
        <v>46239.443749999999</v>
      </c>
      <c r="AL269" s="11">
        <f>IFERROR(IF(MARÍTIMOS[[#This Row],[Etapa Ingreso - Salida]]="","",MARÍTIMOS[[#This Row],[Etapa Ingreso - Salida]]),"")</f>
        <v>46239.45</v>
      </c>
      <c r="AM269" s="2">
        <f>IFERROR(IF(MARÍTIMOS[[#This Row],[FCL]]="","",MARÍTIMOS[[#This Row],[FCL]]),"")</f>
        <v>1</v>
      </c>
      <c r="AN2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69" s="4" t="str" cm="1">
        <f t="array" ref="AO2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69" s="5">
        <f>IFERROR(OLDBD[[#This Row],[Llegada a packing]]-OLDBD[[#This Row],[Inicio de Ruta]],"")</f>
        <v>0.77152777777519077</v>
      </c>
      <c r="AQ269" s="6">
        <f>IFERROR(OLDBD[[#This Row],[Inicio de Ruta]]-OLDBD[[#This Row],[Salida de almacén de retiro]],"")</f>
        <v>7.4999999997089617E-2</v>
      </c>
      <c r="AR2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69" s="8" t="str" cm="1">
        <f t="array" ref="AS2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69" s="9">
        <f>IFERROR(OLDBD[[#This Row],[Ingreso Packing]]-OLDBD[[#This Row],[Registro en Packing]],"")</f>
        <v>3.4722222189884633E-3</v>
      </c>
      <c r="AV269" s="9">
        <f>IFERROR(OLDBD[[#This Row],[Ingreso Packing]]-OLDBD[[#This Row],[Llegada a packing]],"")</f>
        <v>4.166666665696539E-3</v>
      </c>
      <c r="AW2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69" s="5">
        <f>IFERROR(OLDBD[[#This Row],[Llegada Almacén de Ingreso]]-OLDBD[[#This Row],[Salida Packing]],"")</f>
        <v>0.86736111110803904</v>
      </c>
      <c r="AY269" s="4" t="str" cm="1">
        <f t="array" ref="AY2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69" s="43" t="s">
        <v>173</v>
      </c>
      <c r="BB269" s="47" t="str">
        <f>IFERROR(IF(MARÍTIMOS[[#This Row],[Estatus]]="","",MARÍTIMOS[[#This Row],[Estatus]]),"")</f>
        <v>Confirmado</v>
      </c>
      <c r="BC269" s="43"/>
      <c r="BD269" s="46">
        <f>IFERROR(OLDBD[[#This Row],[Salida de almacén de retiro]]-OLDBD[[#This Row],[Ingreso Almacén de retiro]],"")</f>
        <v>1.1805555557657499E-2</v>
      </c>
      <c r="BE269" s="46">
        <f>IFERROR(OLDBD[[#This Row],[Fin de Carga]]-OLDBD[[#This Row],[Inicio de Carga]],"")</f>
        <v>1.5277777776645962E-2</v>
      </c>
    </row>
    <row r="270" spans="1:57" customFormat="1" hidden="1">
      <c r="A270" s="1"/>
      <c r="B270" s="1">
        <f>IFERROR(IF(MARÍTIMOS[[#This Row],[PP]]="","",MARÍTIMOS[[#This Row],[PP]]),"")</f>
        <v>31</v>
      </c>
      <c r="C270" s="1" t="str">
        <f>IFERROR(IF(MARÍTIMOS[[#This Row],[Sede]]="","",MARÍTIMOS[[#This Row],[Sede]]),"")</f>
        <v>Olmos</v>
      </c>
      <c r="D270" s="1" t="str">
        <f>IFERROR(IF(MARÍTIMOS[[#This Row],[Instruction]]="","",MARÍTIMOS[[#This Row],[Instruction]]),"")</f>
        <v>RH-0352</v>
      </c>
      <c r="E270" s="1"/>
      <c r="F270" s="2" t="str">
        <f>IFERROR(IF(MARÍTIMOS[[#This Row],[Transportista]]="","",MARÍTIMOS[[#This Row],[Transportista]]),"")</f>
        <v>LIP</v>
      </c>
      <c r="G270" s="2" t="str">
        <f>IFERROR(IF(MARÍTIMOS[[#This Row],[Tercero]]="","",MARÍTIMOS[[#This Row],[Tercero]]),"")</f>
        <v>SI</v>
      </c>
      <c r="H270" s="2" t="str">
        <f>IFERROR(IF(MARÍTIMOS[[#This Row],[Razón Social]]="","",MARÍTIMOS[[#This Row],[Razón Social]]),"")</f>
        <v>TRANSPORTES KALING SOCIEDAD ANONIMA CERRADA</v>
      </c>
      <c r="I270" s="2">
        <f>IFERROR(IF(MARÍTIMOS[[#This Row],[RUC]]="","",MARÍTIMOS[[#This Row],[RUC]]),"")</f>
        <v>20611958651</v>
      </c>
      <c r="J270" s="2" t="str">
        <f>IFERROR(IF(MARÍTIMOS[[#This Row],[Placa Tracto]]="","",MARÍTIMOS[[#This Row],[Placa Tracto]]),"")</f>
        <v>TFE-890</v>
      </c>
      <c r="K270" s="2" t="str">
        <f>IFERROR(IF(MARÍTIMOS[[#This Row],[Placa Carreta]]="","",MARÍTIMOS[[#This Row],[Placa Carreta]]),"")</f>
        <v>TPC-988</v>
      </c>
      <c r="L270" s="44" t="str">
        <f>IFERROR(IF(MARÍTIMOS[[#This Row],[Conductor]]="","",MARÍTIMOS[[#This Row],[Conductor]]),"")</f>
        <v>JUAREZ VILLASECA FELIX WALTER</v>
      </c>
      <c r="M270" s="2" t="str">
        <f>IFERROR(IF(MARÍTIMOS[[#This Row],[Licencia]]="","",MARÍTIMOS[[#This Row],[Licencia]]),"")</f>
        <v>B03659725</v>
      </c>
      <c r="N270" s="2" t="str">
        <f>IFERROR(IF(MARÍTIMOS[[#This Row],[Número de Contacto]]="","",MARÍTIMOS[[#This Row],[Número de Contacto]]),"")</f>
        <v>938 894 035</v>
      </c>
      <c r="O270" s="10" t="str">
        <f>IFERROR(IF(MARÍTIMOS[[#This Row],[Booking|AWB|CRT]]="","",MARÍTIMOS[[#This Row],[Booking|AWB|CRT]]),"")</f>
        <v>PER9166882A</v>
      </c>
      <c r="P270" s="2" t="str">
        <f>IFERROR(IF(MARÍTIMOS[[#This Row],[Contenedor]]="","",MARÍTIMOS[[#This Row],[Contenedor]]),"")</f>
        <v>FBIU5762666</v>
      </c>
      <c r="Q270" s="2" t="str">
        <f>IFERROR(IF(MARÍTIMOS[[#This Row],[Puerto de Retiro]]="","",MARÍTIMOS[[#This Row],[Puerto de Retiro]]),"")</f>
        <v>PAITA</v>
      </c>
      <c r="R270" s="2" t="str">
        <f>IFERROR(IF(MARÍTIMOS[[#This Row],[Almacén de Retiro]]="","",MARÍTIMOS[[#This Row],[Almacén de Retiro]]),"")</f>
        <v>DPW</v>
      </c>
      <c r="S270" s="11">
        <f>IFERROR(IF(MARÍTIMOS[[#This Row],[Etapa Retiro - Cita]]="","",MARÍTIMOS[[#This Row],[Etapa Retiro - Cita]]),"")</f>
        <v>46237.458333333336</v>
      </c>
      <c r="T270" s="11">
        <f>IFERROR(IF(MARÍTIMOS[[#This Row],[Etapa Retiro - Llegada]]="","",MARÍTIMOS[[#This Row],[Etapa Retiro - Llegada]]),"")</f>
        <v>46237.476388888892</v>
      </c>
      <c r="U270" s="11">
        <f>IFERROR(IF(MARÍTIMOS[[#This Row],[Etapa Retiro - Ingreso]]="","",MARÍTIMOS[[#This Row],[Etapa Retiro - Ingreso]]),"")</f>
        <v>46237.486111111109</v>
      </c>
      <c r="V270" s="11">
        <f>IFERROR(IF(MARÍTIMOS[[#This Row],[Etapa Retiro - Atención]]="","",MARÍTIMOS[[#This Row],[Etapa Retiro - Atención]]),"")</f>
        <v>46237.5</v>
      </c>
      <c r="W270" s="11">
        <f>IFERROR(IF(MARÍTIMOS[[#This Row],[Etapa Retiro - Atención]]="","",MARÍTIMOS[[#This Row],[Etapa Retiro - Atención]]),"")</f>
        <v>46237.5</v>
      </c>
      <c r="X270" s="11">
        <f>IFERROR(IF(MARÍTIMOS[[#This Row],[Etapa Retiro - Inicio de Ruta]]="","",MARÍTIMOS[[#This Row],[Etapa Retiro - Inicio de Ruta]]),"")</f>
        <v>46237.561111111114</v>
      </c>
      <c r="Y270" s="11">
        <f>IFERROR(IF(MARÍTIMOS[[#This Row],[Hora de Posicionamiento]]="","",MARÍTIMOS[[#This Row],[Fecha de Carga]]+MARÍTIMOS[[#This Row],[Hora de Posicionamiento]]),"")</f>
        <v>46238.333333333336</v>
      </c>
      <c r="Z270" s="11">
        <f>IFERROR(IF(MARÍTIMOS[[#This Row],[Etapa Despacho - Llegada]]="","",MARÍTIMOS[[#This Row],[Etapa Despacho - Llegada]]),"")</f>
        <v>46238.468055555553</v>
      </c>
      <c r="AA270" s="11">
        <f>IFERROR(IF(MARÍTIMOS[[#This Row],[Etapa Despacho - Registro]]="","",MARÍTIMOS[[#This Row],[Etapa Despacho - Registro]]),"")</f>
        <v>46238.470833333333</v>
      </c>
      <c r="AB270" s="11">
        <f>IFERROR(IF(MARÍTIMOS[[#This Row],[Inspección Externa]]="","",MARÍTIMOS[[#This Row],[Inspección Externa]]),"")</f>
        <v>46238.479166666664</v>
      </c>
      <c r="AC270" s="11">
        <f>IFERROR(IF(MARÍTIMOS[[#This Row],[Etapa Despacho - Inicio de Carga]]="","",MARÍTIMOS[[#This Row],[Etapa Despacho - Inicio de Carga]]),"")</f>
        <v>46238.5</v>
      </c>
      <c r="AD270" s="11">
        <f>IFERROR(IF(MARÍTIMOS[[#This Row],[Etapa Despacho - Mitad de Carga]]="","",MARÍTIMOS[[#This Row],[Etapa Despacho - Mitad de Carga]]),"")</f>
        <v>46238.510416666664</v>
      </c>
      <c r="AE270" s="11">
        <f>IFERROR(IF(MARÍTIMOS[[#This Row],[Etapa Despacho - Fin de Carga]]="","",MARÍTIMOS[[#This Row],[Etapa Despacho - Fin de Carga]]),"")</f>
        <v>46238.541666666664</v>
      </c>
      <c r="AF270" s="2" t="str">
        <f>IFERROR(IF(MARÍTIMOS[[#This Row],[Puerto de Embarque]]="","",MARÍTIMOS[[#This Row],[Puerto de Embarque]]),"")</f>
        <v>Paita</v>
      </c>
      <c r="AG270" s="2" t="str">
        <f>IFERROR(IF(MARÍTIMOS[[#This Row],[Almacén de Ingreso]]="","",MARÍTIMOS[[#This Row],[Almacén de Ingreso]]),"")</f>
        <v>TPE</v>
      </c>
      <c r="AH270" s="11">
        <f>IFERROR(IF(MARÍTIMOS[[#This Row],[Etapa Ingreso - Cita]]="","",MARÍTIMOS[[#This Row],[Etapa Ingreso - Cita]]),"")</f>
        <v>46238.75</v>
      </c>
      <c r="AI270" s="11">
        <f>IFERROR(IF(MARÍTIMOS[[#This Row],[Etapa Ingreso - Llegada]]="","",MARÍTIMOS[[#This Row],[Etapa Ingreso - Llegada]]),"")</f>
        <v>46238.786805555559</v>
      </c>
      <c r="AJ270" s="11">
        <f>IFERROR(IF(MARÍTIMOS[[#This Row],[Etapa Ingreso - Ingeso]]="","",MARÍTIMOS[[#This Row],[Etapa Ingreso - Ingeso]]),"")</f>
        <v>46238.79583333333</v>
      </c>
      <c r="AK270" s="11">
        <f>IFERROR(IF(MARÍTIMOS[[#This Row],[Etapa Ingreso - Atención]]="","",MARÍTIMOS[[#This Row],[Etapa Ingreso - Atención]]),"")</f>
        <v>46238.798611111109</v>
      </c>
      <c r="AL270" s="11">
        <f>IFERROR(IF(MARÍTIMOS[[#This Row],[Etapa Ingreso - Salida]]="","",MARÍTIMOS[[#This Row],[Etapa Ingreso - Salida]]),"")</f>
        <v>46238.806944444441</v>
      </c>
      <c r="AM270" s="2">
        <f>IFERROR(IF(MARÍTIMOS[[#This Row],[FCL]]="","",MARÍTIMOS[[#This Row],[FCL]]),"")</f>
        <v>1</v>
      </c>
      <c r="AN2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0" s="4" t="str" cm="1">
        <f t="array" ref="AO2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0" s="5">
        <f>IFERROR(OLDBD[[#This Row],[Llegada a packing]]-OLDBD[[#This Row],[Inicio de Ruta]],"")</f>
        <v>0.90694444443943212</v>
      </c>
      <c r="AQ270" s="6">
        <f>IFERROR(OLDBD[[#This Row],[Inicio de Ruta]]-OLDBD[[#This Row],[Salida de almacén de retiro]],"")</f>
        <v>6.1111111113859806E-2</v>
      </c>
      <c r="AR2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70" s="8" t="str" cm="1">
        <f t="array" ref="AS2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0" s="9">
        <f>IFERROR(OLDBD[[#This Row],[Ingreso Packing]]-OLDBD[[#This Row],[Registro en Packing]],"")</f>
        <v>8.333333331393078E-3</v>
      </c>
      <c r="AV270" s="9">
        <f>IFERROR(OLDBD[[#This Row],[Ingreso Packing]]-OLDBD[[#This Row],[Llegada a packing]],"")</f>
        <v>1.1111111110949423E-2</v>
      </c>
      <c r="AW2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70" s="5">
        <f>IFERROR(OLDBD[[#This Row],[Llegada Almacén de Ingreso]]-OLDBD[[#This Row],[Salida Packing]],"")</f>
        <v>0.24513888889487134</v>
      </c>
      <c r="AY270" s="4" t="str" cm="1">
        <f t="array" ref="AY2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0" s="43" t="s">
        <v>173</v>
      </c>
      <c r="BB270" s="47" t="str">
        <f>IFERROR(IF(MARÍTIMOS[[#This Row],[Estatus]]="","",MARÍTIMOS[[#This Row],[Estatus]]),"")</f>
        <v>Confirmado</v>
      </c>
      <c r="BC270" s="43"/>
      <c r="BD270" s="46">
        <f>IFERROR(OLDBD[[#This Row],[Salida de almacén de retiro]]-OLDBD[[#This Row],[Ingreso Almacén de retiro]],"")</f>
        <v>1.3888888890505768E-2</v>
      </c>
      <c r="BE270" s="46">
        <f>IFERROR(OLDBD[[#This Row],[Fin de Carga]]-OLDBD[[#This Row],[Inicio de Carga]],"")</f>
        <v>1.0416666664241347E-2</v>
      </c>
    </row>
    <row r="271" spans="1:57" customFormat="1" hidden="1">
      <c r="A271" s="1"/>
      <c r="B271" s="1">
        <f>IFERROR(IF(MARÍTIMOS[[#This Row],[PP]]="","",MARÍTIMOS[[#This Row],[PP]]),"")</f>
        <v>31</v>
      </c>
      <c r="C271" s="1" t="str">
        <f>IFERROR(IF(MARÍTIMOS[[#This Row],[Sede]]="","",MARÍTIMOS[[#This Row],[Sede]]),"")</f>
        <v>Chao</v>
      </c>
      <c r="D271" s="1" t="str">
        <f>IFERROR(IF(MARÍTIMOS[[#This Row],[Instruction]]="","",MARÍTIMOS[[#This Row],[Instruction]]),"")</f>
        <v>RH-0355</v>
      </c>
      <c r="E271" s="1"/>
      <c r="F271" s="2" t="str">
        <f>IFERROR(IF(MARÍTIMOS[[#This Row],[Transportista]]="","",MARÍTIMOS[[#This Row],[Transportista]]),"")</f>
        <v>LIP</v>
      </c>
      <c r="G271" s="2" t="str">
        <f>IFERROR(IF(MARÍTIMOS[[#This Row],[Tercero]]="","",MARÍTIMOS[[#This Row],[Tercero]]),"")</f>
        <v>NO</v>
      </c>
      <c r="H271" s="2" t="str">
        <f>IFERROR(IF(MARÍTIMOS[[#This Row],[Razón Social]]="","",MARÍTIMOS[[#This Row],[Razón Social]]),"")</f>
        <v>LOGISTICA INTERMODAL DEL PERU S.A.C.</v>
      </c>
      <c r="I271" s="2">
        <f>IFERROR(IF(MARÍTIMOS[[#This Row],[RUC]]="","",MARÍTIMOS[[#This Row],[RUC]]),"")</f>
        <v>20513040718</v>
      </c>
      <c r="J271" s="2" t="str">
        <f>IFERROR(IF(MARÍTIMOS[[#This Row],[Placa Tracto]]="","",MARÍTIMOS[[#This Row],[Placa Tracto]]),"")</f>
        <v>APU-757</v>
      </c>
      <c r="K271" s="2" t="str">
        <f>IFERROR(IF(MARÍTIMOS[[#This Row],[Placa Carreta]]="","",MARÍTIMOS[[#This Row],[Placa Carreta]]),"")</f>
        <v>ARQ-991</v>
      </c>
      <c r="L271" s="44" t="str">
        <f>IFERROR(IF(MARÍTIMOS[[#This Row],[Conductor]]="","",MARÍTIMOS[[#This Row],[Conductor]]),"")</f>
        <v>SANDOVAL RAMOS LUIS</v>
      </c>
      <c r="M271" s="2" t="str">
        <f>IFERROR(IF(MARÍTIMOS[[#This Row],[Licencia]]="","",MARÍTIMOS[[#This Row],[Licencia]]),"")</f>
        <v>Q40848242</v>
      </c>
      <c r="N271" s="2" t="str">
        <f>IFERROR(IF(MARÍTIMOS[[#This Row],[Número de Contacto]]="","",MARÍTIMOS[[#This Row],[Número de Contacto]]),"")</f>
        <v>972 796 159</v>
      </c>
      <c r="O271" s="10" t="str">
        <f>IFERROR(IF(MARÍTIMOS[[#This Row],[Booking|AWB|CRT]]="","",MARÍTIMOS[[#This Row],[Booking|AWB|CRT]]),"")</f>
        <v>PER9166846A</v>
      </c>
      <c r="P271" s="2" t="str">
        <f>IFERROR(IF(MARÍTIMOS[[#This Row],[Contenedor]]="","",MARÍTIMOS[[#This Row],[Contenedor]]),"")</f>
        <v>TXGU9031130</v>
      </c>
      <c r="Q271" s="2" t="str">
        <f>IFERROR(IF(MARÍTIMOS[[#This Row],[Puerto de Retiro]]="","",MARÍTIMOS[[#This Row],[Puerto de Retiro]]),"")</f>
        <v>PAITA</v>
      </c>
      <c r="R271" s="2" t="str">
        <f>IFERROR(IF(MARÍTIMOS[[#This Row],[Almacén de Retiro]]="","",MARÍTIMOS[[#This Row],[Almacén de Retiro]]),"")</f>
        <v>DPW</v>
      </c>
      <c r="S271" s="11">
        <f>IFERROR(IF(MARÍTIMOS[[#This Row],[Etapa Retiro - Cita]]="","",MARÍTIMOS[[#This Row],[Etapa Retiro - Cita]]),"")</f>
        <v>46237.458333333336</v>
      </c>
      <c r="T271" s="11">
        <f>IFERROR(IF(MARÍTIMOS[[#This Row],[Etapa Retiro - Llegada]]="","",MARÍTIMOS[[#This Row],[Etapa Retiro - Llegada]]),"")</f>
        <v>46237.46875</v>
      </c>
      <c r="U271" s="11">
        <f>IFERROR(IF(MARÍTIMOS[[#This Row],[Etapa Retiro - Ingreso]]="","",MARÍTIMOS[[#This Row],[Etapa Retiro - Ingreso]]),"")</f>
        <v>46237.472222222219</v>
      </c>
      <c r="V271" s="11">
        <f>IFERROR(IF(MARÍTIMOS[[#This Row],[Etapa Retiro - Atención]]="","",MARÍTIMOS[[#This Row],[Etapa Retiro - Atención]]),"")</f>
        <v>46237.482638888891</v>
      </c>
      <c r="W271" s="11">
        <f>IFERROR(IF(MARÍTIMOS[[#This Row],[Etapa Retiro - Atención]]="","",MARÍTIMOS[[#This Row],[Etapa Retiro - Atención]]),"")</f>
        <v>46237.482638888891</v>
      </c>
      <c r="X271" s="11">
        <f>IFERROR(IF(MARÍTIMOS[[#This Row],[Etapa Retiro - Inicio de Ruta]]="","",MARÍTIMOS[[#This Row],[Etapa Retiro - Inicio de Ruta]]),"")</f>
        <v>46237.575694444444</v>
      </c>
      <c r="Y271" s="11">
        <f>IFERROR(IF(MARÍTIMOS[[#This Row],[Hora de Posicionamiento]]="","",MARÍTIMOS[[#This Row],[Fecha de Carga]]+MARÍTIMOS[[#This Row],[Hora de Posicionamiento]]),"")</f>
        <v>46238.5</v>
      </c>
      <c r="Z271" s="11">
        <f>IFERROR(IF(MARÍTIMOS[[#This Row],[Etapa Despacho - Llegada]]="","",MARÍTIMOS[[#This Row],[Etapa Despacho - Llegada]]),"")</f>
        <v>46238.411111111112</v>
      </c>
      <c r="AA271" s="11">
        <f>IFERROR(IF(MARÍTIMOS[[#This Row],[Etapa Despacho - Registro]]="","",MARÍTIMOS[[#This Row],[Etapa Despacho - Registro]]),"")</f>
        <v>46238.413194444445</v>
      </c>
      <c r="AB271" s="11">
        <f>IFERROR(IF(MARÍTIMOS[[#This Row],[Inspección Externa]]="","",MARÍTIMOS[[#This Row],[Inspección Externa]]),"")</f>
        <v>46238.427083333336</v>
      </c>
      <c r="AC271" s="11">
        <f>IFERROR(IF(MARÍTIMOS[[#This Row],[Etapa Despacho - Inicio de Carga]]="","",MARÍTIMOS[[#This Row],[Etapa Despacho - Inicio de Carga]]),"")</f>
        <v>46238.444444444445</v>
      </c>
      <c r="AD271" s="11">
        <f>IFERROR(IF(MARÍTIMOS[[#This Row],[Etapa Despacho - Mitad de Carga]]="","",MARÍTIMOS[[#This Row],[Etapa Despacho - Mitad de Carga]]),"")</f>
        <v>46238.458333333336</v>
      </c>
      <c r="AE271" s="11">
        <f>IFERROR(IF(MARÍTIMOS[[#This Row],[Etapa Despacho - Fin de Carga]]="","",MARÍTIMOS[[#This Row],[Etapa Despacho - Fin de Carga]]),"")</f>
        <v>46238.520833333336</v>
      </c>
      <c r="AF271" s="2" t="str">
        <f>IFERROR(IF(MARÍTIMOS[[#This Row],[Puerto de Embarque]]="","",MARÍTIMOS[[#This Row],[Puerto de Embarque]]),"")</f>
        <v>Paita</v>
      </c>
      <c r="AG271" s="2" t="str">
        <f>IFERROR(IF(MARÍTIMOS[[#This Row],[Almacén de Ingreso]]="","",MARÍTIMOS[[#This Row],[Almacén de Ingreso]]),"")</f>
        <v>TPE</v>
      </c>
      <c r="AH271" s="11">
        <f>IFERROR(IF(MARÍTIMOS[[#This Row],[Etapa Ingreso - Cita]]="","",MARÍTIMOS[[#This Row],[Etapa Ingreso - Cita]]),"")</f>
        <v>46239.291666666664</v>
      </c>
      <c r="AI271" s="11">
        <f>IFERROR(IF(MARÍTIMOS[[#This Row],[Etapa Ingreso - Llegada]]="","",MARÍTIMOS[[#This Row],[Etapa Ingreso - Llegada]]),"")</f>
        <v>46239.29791666667</v>
      </c>
      <c r="AJ271" s="11">
        <f>IFERROR(IF(MARÍTIMOS[[#This Row],[Etapa Ingreso - Ingeso]]="","",MARÍTIMOS[[#This Row],[Etapa Ingreso - Ingeso]]),"")</f>
        <v>46239.303472222222</v>
      </c>
      <c r="AK271" s="11">
        <f>IFERROR(IF(MARÍTIMOS[[#This Row],[Etapa Ingreso - Atención]]="","",MARÍTIMOS[[#This Row],[Etapa Ingreso - Atención]]),"")</f>
        <v>46239.305555555555</v>
      </c>
      <c r="AL271" s="11">
        <f>IFERROR(IF(MARÍTIMOS[[#This Row],[Etapa Ingreso - Salida]]="","",MARÍTIMOS[[#This Row],[Etapa Ingreso - Salida]]),"")</f>
        <v>46239.30972222222</v>
      </c>
      <c r="AM271" s="2">
        <f>IFERROR(IF(MARÍTIMOS[[#This Row],[FCL]]="","",MARÍTIMOS[[#This Row],[FCL]]),"")</f>
        <v>1</v>
      </c>
      <c r="AN2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1" s="4" t="str" cm="1">
        <f t="array" ref="AO2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1" s="5">
        <f>IFERROR(OLDBD[[#This Row],[Llegada a packing]]-OLDBD[[#This Row],[Inicio de Ruta]],"")</f>
        <v>0.83541666666860692</v>
      </c>
      <c r="AQ271" s="6">
        <f>IFERROR(OLDBD[[#This Row],[Inicio de Ruta]]-OLDBD[[#This Row],[Salida de almacén de retiro]],"")</f>
        <v>9.3055555553291924E-2</v>
      </c>
      <c r="AR2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71" s="8" t="str" cm="1">
        <f t="array" ref="AS2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1" s="9">
        <f>IFERROR(OLDBD[[#This Row],[Ingreso Packing]]-OLDBD[[#This Row],[Registro en Packing]],"")</f>
        <v>1.3888888890505768E-2</v>
      </c>
      <c r="AV271" s="9">
        <f>IFERROR(OLDBD[[#This Row],[Ingreso Packing]]-OLDBD[[#This Row],[Llegada a packing]],"")</f>
        <v>1.5972222223354038E-2</v>
      </c>
      <c r="AW2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71" s="5">
        <f>IFERROR(OLDBD[[#This Row],[Llegada Almacén de Ingreso]]-OLDBD[[#This Row],[Salida Packing]],"")</f>
        <v>0.77708333333430346</v>
      </c>
      <c r="AY271" s="4" t="str" cm="1">
        <f t="array" ref="AY2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1" s="43" t="s">
        <v>173</v>
      </c>
      <c r="BB271" s="47" t="str">
        <f>IFERROR(IF(MARÍTIMOS[[#This Row],[Estatus]]="","",MARÍTIMOS[[#This Row],[Estatus]]),"")</f>
        <v>Confirmado</v>
      </c>
      <c r="BC271" s="43"/>
      <c r="BD271" s="46">
        <f>IFERROR(OLDBD[[#This Row],[Salida de almacén de retiro]]-OLDBD[[#This Row],[Ingreso Almacén de retiro]],"")</f>
        <v>1.0416666671517305E-2</v>
      </c>
      <c r="BE271" s="46">
        <f>IFERROR(OLDBD[[#This Row],[Fin de Carga]]-OLDBD[[#This Row],[Inicio de Carga]],"")</f>
        <v>1.3888888890505768E-2</v>
      </c>
    </row>
    <row r="272" spans="1:57" customFormat="1" hidden="1">
      <c r="A272" s="1"/>
      <c r="B272" s="1">
        <f>IFERROR(IF(MARÍTIMOS[[#This Row],[PP]]="","",MARÍTIMOS[[#This Row],[PP]]),"")</f>
        <v>31</v>
      </c>
      <c r="C272" s="1" t="str">
        <f>IFERROR(IF(MARÍTIMOS[[#This Row],[Sede]]="","",MARÍTIMOS[[#This Row],[Sede]]),"")</f>
        <v>Chao</v>
      </c>
      <c r="D272" s="1" t="str">
        <f>IFERROR(IF(MARÍTIMOS[[#This Row],[Instruction]]="","",MARÍTIMOS[[#This Row],[Instruction]]),"")</f>
        <v>RH-0356</v>
      </c>
      <c r="E272" s="1"/>
      <c r="F272" s="2" t="str">
        <f>IFERROR(IF(MARÍTIMOS[[#This Row],[Transportista]]="","",MARÍTIMOS[[#This Row],[Transportista]]),"")</f>
        <v>LIP</v>
      </c>
      <c r="G272" s="2" t="str">
        <f>IFERROR(IF(MARÍTIMOS[[#This Row],[Tercero]]="","",MARÍTIMOS[[#This Row],[Tercero]]),"")</f>
        <v>NO</v>
      </c>
      <c r="H272" s="2" t="str">
        <f>IFERROR(IF(MARÍTIMOS[[#This Row],[Razón Social]]="","",MARÍTIMOS[[#This Row],[Razón Social]]),"")</f>
        <v>LOGISTICA INTERMODAL DEL PERU S.A.C.</v>
      </c>
      <c r="I272" s="2">
        <f>IFERROR(IF(MARÍTIMOS[[#This Row],[RUC]]="","",MARÍTIMOS[[#This Row],[RUC]]),"")</f>
        <v>20513040718</v>
      </c>
      <c r="J272" s="2" t="str">
        <f>IFERROR(IF(MARÍTIMOS[[#This Row],[Placa Tracto]]="","",MARÍTIMOS[[#This Row],[Placa Tracto]]),"")</f>
        <v>AZH-828</v>
      </c>
      <c r="K272" s="2" t="str">
        <f>IFERROR(IF(MARÍTIMOS[[#This Row],[Placa Carreta]]="","",MARÍTIMOS[[#This Row],[Placa Carreta]]),"")</f>
        <v>AXO-972</v>
      </c>
      <c r="L272" s="44" t="str">
        <f>IFERROR(IF(MARÍTIMOS[[#This Row],[Conductor]]="","",MARÍTIMOS[[#This Row],[Conductor]]),"")</f>
        <v>VARGAS BARRIENTOS JESUS GERMAN</v>
      </c>
      <c r="M272" s="2" t="str">
        <f>IFERROR(IF(MARÍTIMOS[[#This Row],[Licencia]]="","",MARÍTIMOS[[#This Row],[Licencia]]),"")</f>
        <v>B72766316</v>
      </c>
      <c r="N272" s="2">
        <f>IFERROR(IF(MARÍTIMOS[[#This Row],[Número de Contacto]]="","",MARÍTIMOS[[#This Row],[Número de Contacto]]),"")</f>
        <v>977846820</v>
      </c>
      <c r="O272" s="10" t="str">
        <f>IFERROR(IF(MARÍTIMOS[[#This Row],[Booking|AWB|CRT]]="","",MARÍTIMOS[[#This Row],[Booking|AWB|CRT]]),"")</f>
        <v>PER9166847A</v>
      </c>
      <c r="P272" s="2" t="str">
        <f>IFERROR(IF(MARÍTIMOS[[#This Row],[Contenedor]]="","",MARÍTIMOS[[#This Row],[Contenedor]]),"")</f>
        <v>BMOU9891161</v>
      </c>
      <c r="Q272" s="2" t="str">
        <f>IFERROR(IF(MARÍTIMOS[[#This Row],[Puerto de Retiro]]="","",MARÍTIMOS[[#This Row],[Puerto de Retiro]]),"")</f>
        <v>PAITA</v>
      </c>
      <c r="R272" s="2" t="str">
        <f>IFERROR(IF(MARÍTIMOS[[#This Row],[Almacén de Retiro]]="","",MARÍTIMOS[[#This Row],[Almacén de Retiro]]),"")</f>
        <v>DPW</v>
      </c>
      <c r="S272" s="11">
        <f>IFERROR(IF(MARÍTIMOS[[#This Row],[Etapa Retiro - Cita]]="","",MARÍTIMOS[[#This Row],[Etapa Retiro - Cita]]),"")</f>
        <v>46237.458333333336</v>
      </c>
      <c r="T272" s="11">
        <f>IFERROR(IF(MARÍTIMOS[[#This Row],[Etapa Retiro - Llegada]]="","",MARÍTIMOS[[#This Row],[Etapa Retiro - Llegada]]),"")</f>
        <v>46237.473611111112</v>
      </c>
      <c r="U272" s="11">
        <f>IFERROR(IF(MARÍTIMOS[[#This Row],[Etapa Retiro - Ingreso]]="","",MARÍTIMOS[[#This Row],[Etapa Retiro - Ingreso]]),"")</f>
        <v>46237.477083333331</v>
      </c>
      <c r="V272" s="11">
        <f>IFERROR(IF(MARÍTIMOS[[#This Row],[Etapa Retiro - Atención]]="","",MARÍTIMOS[[#This Row],[Etapa Retiro - Atención]]),"")</f>
        <v>46237.503472222219</v>
      </c>
      <c r="W272" s="11">
        <f>IFERROR(IF(MARÍTIMOS[[#This Row],[Etapa Retiro - Atención]]="","",MARÍTIMOS[[#This Row],[Etapa Retiro - Atención]]),"")</f>
        <v>46237.503472222219</v>
      </c>
      <c r="X272" s="11">
        <f>IFERROR(IF(MARÍTIMOS[[#This Row],[Etapa Retiro - Inicio de Ruta]]="","",MARÍTIMOS[[#This Row],[Etapa Retiro - Inicio de Ruta]]),"")</f>
        <v>46237.625</v>
      </c>
      <c r="Y272" s="11">
        <f>IFERROR(IF(MARÍTIMOS[[#This Row],[Hora de Posicionamiento]]="","",MARÍTIMOS[[#This Row],[Fecha de Carga]]+MARÍTIMOS[[#This Row],[Hora de Posicionamiento]]),"")</f>
        <v>46238.541666666664</v>
      </c>
      <c r="Z272" s="11">
        <f>IFERROR(IF(MARÍTIMOS[[#This Row],[Etapa Despacho - Llegada]]="","",MARÍTIMOS[[#This Row],[Etapa Despacho - Llegada]]),"")</f>
        <v>46238.466666666667</v>
      </c>
      <c r="AA272" s="11">
        <f>IFERROR(IF(MARÍTIMOS[[#This Row],[Etapa Despacho - Registro]]="","",MARÍTIMOS[[#This Row],[Etapa Despacho - Registro]]),"")</f>
        <v>46238.46875</v>
      </c>
      <c r="AB272" s="11">
        <f>IFERROR(IF(MARÍTIMOS[[#This Row],[Inspección Externa]]="","",MARÍTIMOS[[#This Row],[Inspección Externa]]),"")</f>
        <v>46238.479166666664</v>
      </c>
      <c r="AC272" s="11">
        <f>IFERROR(IF(MARÍTIMOS[[#This Row],[Etapa Despacho - Inicio de Carga]]="","",MARÍTIMOS[[#This Row],[Etapa Despacho - Inicio de Carga]]),"")</f>
        <v>46238.5</v>
      </c>
      <c r="AD272" s="11">
        <f>IFERROR(IF(MARÍTIMOS[[#This Row],[Etapa Despacho - Mitad de Carga]]="","",MARÍTIMOS[[#This Row],[Etapa Despacho - Mitad de Carga]]),"")</f>
        <v>46238.513888888891</v>
      </c>
      <c r="AE272" s="11">
        <f>IFERROR(IF(MARÍTIMOS[[#This Row],[Etapa Despacho - Fin de Carga]]="","",MARÍTIMOS[[#This Row],[Etapa Despacho - Fin de Carga]]),"")</f>
        <v>46238.583333333336</v>
      </c>
      <c r="AF272" s="2" t="str">
        <f>IFERROR(IF(MARÍTIMOS[[#This Row],[Puerto de Embarque]]="","",MARÍTIMOS[[#This Row],[Puerto de Embarque]]),"")</f>
        <v>Paita</v>
      </c>
      <c r="AG272" s="2" t="str">
        <f>IFERROR(IF(MARÍTIMOS[[#This Row],[Almacén de Ingreso]]="","",MARÍTIMOS[[#This Row],[Almacén de Ingreso]]),"")</f>
        <v>TPE</v>
      </c>
      <c r="AH272" s="11">
        <f>IFERROR(IF(MARÍTIMOS[[#This Row],[Etapa Ingreso - Cita]]="","",MARÍTIMOS[[#This Row],[Etapa Ingreso - Cita]]),"")</f>
        <v>46239.416666666664</v>
      </c>
      <c r="AI272" s="11">
        <f>IFERROR(IF(MARÍTIMOS[[#This Row],[Etapa Ingreso - Llegada]]="","",MARÍTIMOS[[#This Row],[Etapa Ingreso - Llegada]]),"")</f>
        <v>46239.432638888888</v>
      </c>
      <c r="AJ272" s="11">
        <f>IFERROR(IF(MARÍTIMOS[[#This Row],[Etapa Ingreso - Ingeso]]="","",MARÍTIMOS[[#This Row],[Etapa Ingreso - Ingeso]]),"")</f>
        <v>46239.436805555553</v>
      </c>
      <c r="AK272" s="11">
        <f>IFERROR(IF(MARÍTIMOS[[#This Row],[Etapa Ingreso - Atención]]="","",MARÍTIMOS[[#This Row],[Etapa Ingreso - Atención]]),"")</f>
        <v>46239.440972222219</v>
      </c>
      <c r="AL272" s="11">
        <f>IFERROR(IF(MARÍTIMOS[[#This Row],[Etapa Ingreso - Salida]]="","",MARÍTIMOS[[#This Row],[Etapa Ingreso - Salida]]),"")</f>
        <v>46239.464583333334</v>
      </c>
      <c r="AM272" s="2">
        <f>IFERROR(IF(MARÍTIMOS[[#This Row],[FCL]]="","",MARÍTIMOS[[#This Row],[FCL]]),"")</f>
        <v>1</v>
      </c>
      <c r="AN2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2" s="4" t="str" cm="1">
        <f t="array" ref="AO2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2" s="5">
        <f>IFERROR(OLDBD[[#This Row],[Llegada a packing]]-OLDBD[[#This Row],[Inicio de Ruta]],"")</f>
        <v>0.84166666666715173</v>
      </c>
      <c r="AQ272" s="6">
        <f>IFERROR(OLDBD[[#This Row],[Inicio de Ruta]]-OLDBD[[#This Row],[Salida de almacén de retiro]],"")</f>
        <v>0.12152777778101154</v>
      </c>
      <c r="AR2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72" s="8" t="str" cm="1">
        <f t="array" ref="AS2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2" s="9">
        <f>IFERROR(OLDBD[[#This Row],[Ingreso Packing]]-OLDBD[[#This Row],[Registro en Packing]],"")</f>
        <v>1.0416666664241347E-2</v>
      </c>
      <c r="AV272" s="9">
        <f>IFERROR(OLDBD[[#This Row],[Ingreso Packing]]-OLDBD[[#This Row],[Llegada a packing]],"")</f>
        <v>1.2499999997089617E-2</v>
      </c>
      <c r="AW2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72" s="5">
        <f>IFERROR(OLDBD[[#This Row],[Llegada Almacén de Ingreso]]-OLDBD[[#This Row],[Salida Packing]],"")</f>
        <v>0.84930555555183673</v>
      </c>
      <c r="AY272" s="4" t="str" cm="1">
        <f t="array" ref="AY2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2" s="43" t="s">
        <v>173</v>
      </c>
      <c r="BB272" s="47" t="str">
        <f>IFERROR(IF(MARÍTIMOS[[#This Row],[Estatus]]="","",MARÍTIMOS[[#This Row],[Estatus]]),"")</f>
        <v>Confirmado</v>
      </c>
      <c r="BC272" s="43"/>
      <c r="BD272" s="46">
        <f>IFERROR(OLDBD[[#This Row],[Salida de almacén de retiro]]-OLDBD[[#This Row],[Ingreso Almacén de retiro]],"")</f>
        <v>2.6388888887595385E-2</v>
      </c>
      <c r="BE272" s="46">
        <f>IFERROR(OLDBD[[#This Row],[Fin de Carga]]-OLDBD[[#This Row],[Inicio de Carga]],"")</f>
        <v>1.3888888890505768E-2</v>
      </c>
    </row>
    <row r="273" spans="1:57" customFormat="1" hidden="1">
      <c r="A273" s="1"/>
      <c r="B273" s="1">
        <f>IFERROR(IF(MARÍTIMOS[[#This Row],[PP]]="","",MARÍTIMOS[[#This Row],[PP]]),"")</f>
        <v>31</v>
      </c>
      <c r="C273" s="1" t="str">
        <f>IFERROR(IF(MARÍTIMOS[[#This Row],[Sede]]="","",MARÍTIMOS[[#This Row],[Sede]]),"")</f>
        <v>Chao</v>
      </c>
      <c r="D273" s="1" t="str">
        <f>IFERROR(IF(MARÍTIMOS[[#This Row],[Instruction]]="","",MARÍTIMOS[[#This Row],[Instruction]]),"")</f>
        <v>RH-0359</v>
      </c>
      <c r="E273" s="1"/>
      <c r="F273" s="2" t="str">
        <f>IFERROR(IF(MARÍTIMOS[[#This Row],[Transportista]]="","",MARÍTIMOS[[#This Row],[Transportista]]),"")</f>
        <v>LIP</v>
      </c>
      <c r="G273" s="2" t="str">
        <f>IFERROR(IF(MARÍTIMOS[[#This Row],[Tercero]]="","",MARÍTIMOS[[#This Row],[Tercero]]),"")</f>
        <v>SI</v>
      </c>
      <c r="H273" s="2" t="str">
        <f>IFERROR(IF(MARÍTIMOS[[#This Row],[Razón Social]]="","",MARÍTIMOS[[#This Row],[Razón Social]]),"")</f>
        <v>TRANSCAR MATHEO SOCIEDAD ANONIMA CERRADA</v>
      </c>
      <c r="I273" s="2">
        <f>IFERROR(IF(MARÍTIMOS[[#This Row],[RUC]]="","",MARÍTIMOS[[#This Row],[RUC]]),"")</f>
        <v>20612886921</v>
      </c>
      <c r="J273" s="2" t="str">
        <f>IFERROR(IF(MARÍTIMOS[[#This Row],[Placa Tracto]]="","",MARÍTIMOS[[#This Row],[Placa Tracto]]),"")</f>
        <v>TAD-861</v>
      </c>
      <c r="K273" s="2" t="str">
        <f>IFERROR(IF(MARÍTIMOS[[#This Row],[Placa Carreta]]="","",MARÍTIMOS[[#This Row],[Placa Carreta]]),"")</f>
        <v>T0R-991</v>
      </c>
      <c r="L273" s="44" t="str">
        <f>IFERROR(IF(MARÍTIMOS[[#This Row],[Conductor]]="","",MARÍTIMOS[[#This Row],[Conductor]]),"")</f>
        <v>GIRON CORONADO LUIS HUMBERTO</v>
      </c>
      <c r="M273" s="2" t="str">
        <f>IFERROR(IF(MARÍTIMOS[[#This Row],[Licencia]]="","",MARÍTIMOS[[#This Row],[Licencia]]),"")</f>
        <v>B02838223</v>
      </c>
      <c r="N273" s="2">
        <f>IFERROR(IF(MARÍTIMOS[[#This Row],[Número de Contacto]]="","",MARÍTIMOS[[#This Row],[Número de Contacto]]),"")</f>
        <v>980865741</v>
      </c>
      <c r="O273" s="10" t="str">
        <f>IFERROR(IF(MARÍTIMOS[[#This Row],[Booking|AWB|CRT]]="","",MARÍTIMOS[[#This Row],[Booking|AWB|CRT]]),"")</f>
        <v>PER9166897A</v>
      </c>
      <c r="P273" s="2" t="str">
        <f>IFERROR(IF(MARÍTIMOS[[#This Row],[Contenedor]]="","",MARÍTIMOS[[#This Row],[Contenedor]]),"")</f>
        <v>SEKU9417750</v>
      </c>
      <c r="Q273" s="2" t="str">
        <f>IFERROR(IF(MARÍTIMOS[[#This Row],[Puerto de Retiro]]="","",MARÍTIMOS[[#This Row],[Puerto de Retiro]]),"")</f>
        <v>PAITA</v>
      </c>
      <c r="R273" s="2" t="str">
        <f>IFERROR(IF(MARÍTIMOS[[#This Row],[Almacén de Retiro]]="","",MARÍTIMOS[[#This Row],[Almacén de Retiro]]),"")</f>
        <v>DPW</v>
      </c>
      <c r="S273" s="11">
        <f>IFERROR(IF(MARÍTIMOS[[#This Row],[Etapa Retiro - Cita]]="","",MARÍTIMOS[[#This Row],[Etapa Retiro - Cita]]),"")</f>
        <v>46234.583333333336</v>
      </c>
      <c r="T273" s="11">
        <f>IFERROR(IF(MARÍTIMOS[[#This Row],[Etapa Retiro - Llegada]]="","",MARÍTIMOS[[#This Row],[Etapa Retiro - Llegada]]),"")</f>
        <v>46234.586111111108</v>
      </c>
      <c r="U273" s="11">
        <f>IFERROR(IF(MARÍTIMOS[[#This Row],[Etapa Retiro - Ingreso]]="","",MARÍTIMOS[[#This Row],[Etapa Retiro - Ingreso]]),"")</f>
        <v>46234.590277777781</v>
      </c>
      <c r="V273" s="11">
        <f>IFERROR(IF(MARÍTIMOS[[#This Row],[Etapa Retiro - Atención]]="","",MARÍTIMOS[[#This Row],[Etapa Retiro - Atención]]),"")</f>
        <v>46234.665972222225</v>
      </c>
      <c r="W273" s="11">
        <f>IFERROR(IF(MARÍTIMOS[[#This Row],[Etapa Retiro - Atención]]="","",MARÍTIMOS[[#This Row],[Etapa Retiro - Atención]]),"")</f>
        <v>46234.665972222225</v>
      </c>
      <c r="X273" s="11">
        <f>IFERROR(IF(MARÍTIMOS[[#This Row],[Etapa Retiro - Inicio de Ruta]]="","",MARÍTIMOS[[#This Row],[Etapa Retiro - Inicio de Ruta]]),"")</f>
        <v>46234.727083333331</v>
      </c>
      <c r="Y273" s="11">
        <f>IFERROR(IF(MARÍTIMOS[[#This Row],[Hora de Posicionamiento]]="","",MARÍTIMOS[[#This Row],[Fecha de Carga]]+MARÍTIMOS[[#This Row],[Hora de Posicionamiento]]),"")</f>
        <v>46235.5</v>
      </c>
      <c r="Z273" s="11">
        <f>IFERROR(IF(MARÍTIMOS[[#This Row],[Etapa Despacho - Llegada]]="","",MARÍTIMOS[[#This Row],[Etapa Despacho - Llegada]]),"")</f>
        <v>46235.390972222223</v>
      </c>
      <c r="AA273" s="11">
        <f>IFERROR(IF(MARÍTIMOS[[#This Row],[Etapa Despacho - Registro]]="","",MARÍTIMOS[[#This Row],[Etapa Despacho - Registro]]),"")</f>
        <v>46235.394444444442</v>
      </c>
      <c r="AB273" s="11">
        <f>IFERROR(IF(MARÍTIMOS[[#This Row],[Inspección Externa]]="","",MARÍTIMOS[[#This Row],[Inspección Externa]]),"")</f>
        <v>46235.40625</v>
      </c>
      <c r="AC273" s="11">
        <f>IFERROR(IF(MARÍTIMOS[[#This Row],[Etapa Despacho - Inicio de Carga]]="","",MARÍTIMOS[[#This Row],[Etapa Despacho - Inicio de Carga]]),"")</f>
        <v>46235.430555555555</v>
      </c>
      <c r="AD273" s="11">
        <f>IFERROR(IF(MARÍTIMOS[[#This Row],[Etapa Despacho - Mitad de Carga]]="","",MARÍTIMOS[[#This Row],[Etapa Despacho - Mitad de Carga]]),"")</f>
        <v>46235.451388888891</v>
      </c>
      <c r="AE273" s="11">
        <f>IFERROR(IF(MARÍTIMOS[[#This Row],[Etapa Despacho - Fin de Carga]]="","",MARÍTIMOS[[#This Row],[Etapa Despacho - Fin de Carga]]),"")</f>
        <v>46235.729166666664</v>
      </c>
      <c r="AF273" s="2" t="str">
        <f>IFERROR(IF(MARÍTIMOS[[#This Row],[Puerto de Embarque]]="","",MARÍTIMOS[[#This Row],[Puerto de Embarque]]),"")</f>
        <v>Paita</v>
      </c>
      <c r="AG273" s="2" t="str">
        <f>IFERROR(IF(MARÍTIMOS[[#This Row],[Almacén de Ingreso]]="","",MARÍTIMOS[[#This Row],[Almacén de Ingreso]]),"")</f>
        <v>TPE</v>
      </c>
      <c r="AH273" s="11">
        <f>IFERROR(IF(MARÍTIMOS[[#This Row],[Etapa Ingreso - Cita]]="","",MARÍTIMOS[[#This Row],[Etapa Ingreso - Cita]]),"")</f>
        <v>46236.375</v>
      </c>
      <c r="AI273" s="11">
        <f>IFERROR(IF(MARÍTIMOS[[#This Row],[Etapa Ingreso - Llegada]]="","",MARÍTIMOS[[#This Row],[Etapa Ingreso - Llegada]]),"")</f>
        <v>46236.4</v>
      </c>
      <c r="AJ273" s="11">
        <f>IFERROR(IF(MARÍTIMOS[[#This Row],[Etapa Ingreso - Ingeso]]="","",MARÍTIMOS[[#This Row],[Etapa Ingreso - Ingeso]]),"")</f>
        <v>46236.404166666667</v>
      </c>
      <c r="AK273" s="11">
        <f>IFERROR(IF(MARÍTIMOS[[#This Row],[Etapa Ingreso - Atención]]="","",MARÍTIMOS[[#This Row],[Etapa Ingreso - Atención]]),"")</f>
        <v>46236.40625</v>
      </c>
      <c r="AL273" s="11">
        <f>IFERROR(IF(MARÍTIMOS[[#This Row],[Etapa Ingreso - Salida]]="","",MARÍTIMOS[[#This Row],[Etapa Ingreso - Salida]]),"")</f>
        <v>46236.424305555556</v>
      </c>
      <c r="AM273" s="2">
        <f>IFERROR(IF(MARÍTIMOS[[#This Row],[FCL]]="","",MARÍTIMOS[[#This Row],[FCL]]),"")</f>
        <v>1</v>
      </c>
      <c r="AN2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3" s="4" t="str" cm="1">
        <f t="array" ref="AO2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273" s="5">
        <f>IFERROR(OLDBD[[#This Row],[Llegada a packing]]-OLDBD[[#This Row],[Inicio de Ruta]],"")</f>
        <v>0.66388888889196096</v>
      </c>
      <c r="AQ273" s="6">
        <f>IFERROR(OLDBD[[#This Row],[Inicio de Ruta]]-OLDBD[[#This Row],[Salida de almacén de retiro]],"")</f>
        <v>6.1111111106583849E-2</v>
      </c>
      <c r="AR2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73" s="8" t="str" cm="1">
        <f t="array" ref="AS2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3" s="9">
        <f>IFERROR(OLDBD[[#This Row],[Ingreso Packing]]-OLDBD[[#This Row],[Registro en Packing]],"")</f>
        <v>1.1805555557657499E-2</v>
      </c>
      <c r="AV273" s="9">
        <f>IFERROR(OLDBD[[#This Row],[Ingreso Packing]]-OLDBD[[#This Row],[Llegada a packing]],"")</f>
        <v>1.5277777776645962E-2</v>
      </c>
      <c r="AW2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73" s="5">
        <f>IFERROR(OLDBD[[#This Row],[Llegada Almacén de Ingreso]]-OLDBD[[#This Row],[Salida Packing]],"")</f>
        <v>0.67083333333721384</v>
      </c>
      <c r="AY273" s="4" t="str" cm="1">
        <f t="array" ref="AY2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3" s="43" t="s">
        <v>173</v>
      </c>
      <c r="BB273" s="47" t="str">
        <f>IFERROR(IF(MARÍTIMOS[[#This Row],[Estatus]]="","",MARÍTIMOS[[#This Row],[Estatus]]),"")</f>
        <v>Confirmado</v>
      </c>
      <c r="BC273" s="43"/>
      <c r="BD273" s="46">
        <f>IFERROR(OLDBD[[#This Row],[Salida de almacén de retiro]]-OLDBD[[#This Row],[Ingreso Almacén de retiro]],"")</f>
        <v>7.5694444443797693E-2</v>
      </c>
      <c r="BE273" s="46">
        <f>IFERROR(OLDBD[[#This Row],[Fin de Carga]]-OLDBD[[#This Row],[Inicio de Carga]],"")</f>
        <v>2.0833333335758653E-2</v>
      </c>
    </row>
    <row r="274" spans="1:57" customFormat="1" hidden="1">
      <c r="A274" s="1"/>
      <c r="B274" s="1">
        <f>IFERROR(IF(MARÍTIMOS[[#This Row],[PP]]="","",MARÍTIMOS[[#This Row],[PP]]),"")</f>
        <v>31</v>
      </c>
      <c r="C274" s="1" t="str">
        <f>IFERROR(IF(MARÍTIMOS[[#This Row],[Sede]]="","",MARÍTIMOS[[#This Row],[Sede]]),"")</f>
        <v>Chao</v>
      </c>
      <c r="D274" s="1" t="str">
        <f>IFERROR(IF(MARÍTIMOS[[#This Row],[Instruction]]="","",MARÍTIMOS[[#This Row],[Instruction]]),"")</f>
        <v>RH-0360</v>
      </c>
      <c r="E274" s="1"/>
      <c r="F274" s="2" t="str">
        <f>IFERROR(IF(MARÍTIMOS[[#This Row],[Transportista]]="","",MARÍTIMOS[[#This Row],[Transportista]]),"")</f>
        <v>LIP</v>
      </c>
      <c r="G274" s="2" t="str">
        <f>IFERROR(IF(MARÍTIMOS[[#This Row],[Tercero]]="","",MARÍTIMOS[[#This Row],[Tercero]]),"")</f>
        <v>NO</v>
      </c>
      <c r="H274" s="2" t="str">
        <f>IFERROR(IF(MARÍTIMOS[[#This Row],[Razón Social]]="","",MARÍTIMOS[[#This Row],[Razón Social]]),"")</f>
        <v>LOGISTICA INTERMODAL DEL PERU S.A.C.</v>
      </c>
      <c r="I274" s="2">
        <f>IFERROR(IF(MARÍTIMOS[[#This Row],[RUC]]="","",MARÍTIMOS[[#This Row],[RUC]]),"")</f>
        <v>20513040718</v>
      </c>
      <c r="J274" s="2" t="str">
        <f>IFERROR(IF(MARÍTIMOS[[#This Row],[Placa Tracto]]="","",MARÍTIMOS[[#This Row],[Placa Tracto]]),"")</f>
        <v>BFH-947</v>
      </c>
      <c r="K274" s="2" t="str">
        <f>IFERROR(IF(MARÍTIMOS[[#This Row],[Placa Carreta]]="","",MARÍTIMOS[[#This Row],[Placa Carreta]]),"")</f>
        <v>AZL-985</v>
      </c>
      <c r="L274" s="44" t="str">
        <f>IFERROR(IF(MARÍTIMOS[[#This Row],[Conductor]]="","",MARÍTIMOS[[#This Row],[Conductor]]),"")</f>
        <v>GUZMAN MENDOZA FERNANDO</v>
      </c>
      <c r="M274" s="2" t="str">
        <f>IFERROR(IF(MARÍTIMOS[[#This Row],[Licencia]]="","",MARÍTIMOS[[#This Row],[Licencia]]),"")</f>
        <v>Q18202916</v>
      </c>
      <c r="N274" s="2">
        <f>IFERROR(IF(MARÍTIMOS[[#This Row],[Número de Contacto]]="","",MARÍTIMOS[[#This Row],[Número de Contacto]]),"")</f>
        <v>981163289</v>
      </c>
      <c r="O274" s="10" t="str">
        <f>IFERROR(IF(MARÍTIMOS[[#This Row],[Booking|AWB|CRT]]="","",MARÍTIMOS[[#This Row],[Booking|AWB|CRT]]),"")</f>
        <v>PER9172293A</v>
      </c>
      <c r="P274" s="2" t="str">
        <f>IFERROR(IF(MARÍTIMOS[[#This Row],[Contenedor]]="","",MARÍTIMOS[[#This Row],[Contenedor]]),"")</f>
        <v>SMLU5475161</v>
      </c>
      <c r="Q274" s="2" t="str">
        <f>IFERROR(IF(MARÍTIMOS[[#This Row],[Puerto de Retiro]]="","",MARÍTIMOS[[#This Row],[Puerto de Retiro]]),"")</f>
        <v>PAITA</v>
      </c>
      <c r="R274" s="2" t="str">
        <f>IFERROR(IF(MARÍTIMOS[[#This Row],[Almacén de Retiro]]="","",MARÍTIMOS[[#This Row],[Almacén de Retiro]]),"")</f>
        <v>DPW</v>
      </c>
      <c r="S274" s="11">
        <f>IFERROR(IF(MARÍTIMOS[[#This Row],[Etapa Retiro - Cita]]="","",MARÍTIMOS[[#This Row],[Etapa Retiro - Cita]]),"")</f>
        <v>46234.625</v>
      </c>
      <c r="T274" s="11">
        <f>IFERROR(IF(MARÍTIMOS[[#This Row],[Etapa Retiro - Llegada]]="","",MARÍTIMOS[[#This Row],[Etapa Retiro - Llegada]]),"")</f>
        <v>46234.657638888886</v>
      </c>
      <c r="U274" s="11">
        <f>IFERROR(IF(MARÍTIMOS[[#This Row],[Etapa Retiro - Ingreso]]="","",MARÍTIMOS[[#This Row],[Etapa Retiro - Ingreso]]),"")</f>
        <v>46234.661111111112</v>
      </c>
      <c r="V274" s="11">
        <f>IFERROR(IF(MARÍTIMOS[[#This Row],[Etapa Retiro - Atención]]="","",MARÍTIMOS[[#This Row],[Etapa Retiro - Atención]]),"")</f>
        <v>46234.666666666664</v>
      </c>
      <c r="W274" s="11">
        <f>IFERROR(IF(MARÍTIMOS[[#This Row],[Etapa Retiro - Atención]]="","",MARÍTIMOS[[#This Row],[Etapa Retiro - Atención]]),"")</f>
        <v>46234.666666666664</v>
      </c>
      <c r="X274" s="11">
        <f>IFERROR(IF(MARÍTIMOS[[#This Row],[Etapa Retiro - Inicio de Ruta]]="","",MARÍTIMOS[[#This Row],[Etapa Retiro - Inicio de Ruta]]),"")</f>
        <v>46234.703472222223</v>
      </c>
      <c r="Y274" s="11">
        <f>IFERROR(IF(MARÍTIMOS[[#This Row],[Hora de Posicionamiento]]="","",MARÍTIMOS[[#This Row],[Fecha de Carga]]+MARÍTIMOS[[#This Row],[Hora de Posicionamiento]]),"")</f>
        <v>46235.333333333336</v>
      </c>
      <c r="Z274" s="11">
        <f>IFERROR(IF(MARÍTIMOS[[#This Row],[Etapa Despacho - Llegada]]="","",MARÍTIMOS[[#This Row],[Etapa Despacho - Llegada]]),"")</f>
        <v>46235.636111111111</v>
      </c>
      <c r="AA274" s="11">
        <f>IFERROR(IF(MARÍTIMOS[[#This Row],[Etapa Despacho - Registro]]="","",MARÍTIMOS[[#This Row],[Etapa Despacho - Registro]]),"")</f>
        <v>46235.638888888891</v>
      </c>
      <c r="AB274" s="11">
        <f>IFERROR(IF(MARÍTIMOS[[#This Row],[Inspección Externa]]="","",MARÍTIMOS[[#This Row],[Inspección Externa]]),"")</f>
        <v>46235.649305555555</v>
      </c>
      <c r="AC274" s="11">
        <f>IFERROR(IF(MARÍTIMOS[[#This Row],[Etapa Despacho - Inicio de Carga]]="","",MARÍTIMOS[[#This Row],[Etapa Despacho - Inicio de Carga]]),"")</f>
        <v>46235.666666666664</v>
      </c>
      <c r="AD274" s="11">
        <f>IFERROR(IF(MARÍTIMOS[[#This Row],[Etapa Despacho - Mitad de Carga]]="","",MARÍTIMOS[[#This Row],[Etapa Despacho - Mitad de Carga]]),"")</f>
        <v>46235.680555555555</v>
      </c>
      <c r="AE274" s="11">
        <f>IFERROR(IF(MARÍTIMOS[[#This Row],[Etapa Despacho - Fin de Carga]]="","",MARÍTIMOS[[#This Row],[Etapa Despacho - Fin de Carga]]),"")</f>
        <v>46235.708333333336</v>
      </c>
      <c r="AF274" s="2" t="str">
        <f>IFERROR(IF(MARÍTIMOS[[#This Row],[Puerto de Embarque]]="","",MARÍTIMOS[[#This Row],[Puerto de Embarque]]),"")</f>
        <v>Paita</v>
      </c>
      <c r="AG274" s="2" t="str">
        <f>IFERROR(IF(MARÍTIMOS[[#This Row],[Almacén de Ingreso]]="","",MARÍTIMOS[[#This Row],[Almacén de Ingreso]]),"")</f>
        <v>TPE</v>
      </c>
      <c r="AH274" s="11">
        <f>IFERROR(IF(MARÍTIMOS[[#This Row],[Etapa Ingreso - Cita]]="","",MARÍTIMOS[[#This Row],[Etapa Ingreso - Cita]]),"")</f>
        <v>46236.458333333336</v>
      </c>
      <c r="AI274" s="11">
        <f>IFERROR(IF(MARÍTIMOS[[#This Row],[Etapa Ingreso - Llegada]]="","",MARÍTIMOS[[#This Row],[Etapa Ingreso - Llegada]]),"")</f>
        <v>46236.484027777777</v>
      </c>
      <c r="AJ274" s="11">
        <f>IFERROR(IF(MARÍTIMOS[[#This Row],[Etapa Ingreso - Ingeso]]="","",MARÍTIMOS[[#This Row],[Etapa Ingreso - Ingeso]]),"")</f>
        <v>46236.489583333336</v>
      </c>
      <c r="AK274" s="11">
        <f>IFERROR(IF(MARÍTIMOS[[#This Row],[Etapa Ingreso - Atención]]="","",MARÍTIMOS[[#This Row],[Etapa Ingreso - Atención]]),"")</f>
        <v>46236.496527777781</v>
      </c>
      <c r="AL274" s="11">
        <f>IFERROR(IF(MARÍTIMOS[[#This Row],[Etapa Ingreso - Salida]]="","",MARÍTIMOS[[#This Row],[Etapa Ingreso - Salida]]),"")</f>
        <v>46236.506944444445</v>
      </c>
      <c r="AM274" s="2">
        <f>IFERROR(IF(MARÍTIMOS[[#This Row],[FCL]]="","",MARÍTIMOS[[#This Row],[FCL]]),"")</f>
        <v>1</v>
      </c>
      <c r="AN2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4" s="4" t="str" cm="1">
        <f t="array" ref="AO2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4" s="5">
        <f>IFERROR(OLDBD[[#This Row],[Llegada a packing]]-OLDBD[[#This Row],[Inicio de Ruta]],"")</f>
        <v>0.93263888888759539</v>
      </c>
      <c r="AQ274" s="6">
        <f>IFERROR(OLDBD[[#This Row],[Inicio de Ruta]]-OLDBD[[#This Row],[Salida de almacén de retiro]],"")</f>
        <v>3.680555555911269E-2</v>
      </c>
      <c r="AR2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274" s="8" t="str" cm="1">
        <f t="array" ref="AS2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4" s="9">
        <f>IFERROR(OLDBD[[#This Row],[Ingreso Packing]]-OLDBD[[#This Row],[Registro en Packing]],"")</f>
        <v>1.0416666664241347E-2</v>
      </c>
      <c r="AV274" s="9">
        <f>IFERROR(OLDBD[[#This Row],[Ingreso Packing]]-OLDBD[[#This Row],[Llegada a packing]],"")</f>
        <v>1.3194444443797693E-2</v>
      </c>
      <c r="AW2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74" s="5">
        <f>IFERROR(OLDBD[[#This Row],[Llegada Almacén de Ingreso]]-OLDBD[[#This Row],[Salida Packing]],"")</f>
        <v>0.77569444444088731</v>
      </c>
      <c r="AY274" s="4" t="str" cm="1">
        <f t="array" ref="AY2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4" s="43" t="s">
        <v>173</v>
      </c>
      <c r="BB274" s="47" t="str">
        <f>IFERROR(IF(MARÍTIMOS[[#This Row],[Estatus]]="","",MARÍTIMOS[[#This Row],[Estatus]]),"")</f>
        <v>Confirmado</v>
      </c>
      <c r="BC274" s="43"/>
      <c r="BD274" s="46">
        <f>IFERROR(OLDBD[[#This Row],[Salida de almacén de retiro]]-OLDBD[[#This Row],[Ingreso Almacén de retiro]],"")</f>
        <v>5.5555555518367328E-3</v>
      </c>
      <c r="BE274" s="46">
        <f>IFERROR(OLDBD[[#This Row],[Fin de Carga]]-OLDBD[[#This Row],[Inicio de Carga]],"")</f>
        <v>1.3888888890505768E-2</v>
      </c>
    </row>
    <row r="275" spans="1:57" customFormat="1" hidden="1">
      <c r="A275" s="1"/>
      <c r="B275" s="1">
        <f>IFERROR(IF(MARÍTIMOS[[#This Row],[PP]]="","",MARÍTIMOS[[#This Row],[PP]]),"")</f>
        <v>31</v>
      </c>
      <c r="C275" s="1" t="str">
        <f>IFERROR(IF(MARÍTIMOS[[#This Row],[Sede]]="","",MARÍTIMOS[[#This Row],[Sede]]),"")</f>
        <v>Chao</v>
      </c>
      <c r="D275" s="1" t="str">
        <f>IFERROR(IF(MARÍTIMOS[[#This Row],[Instruction]]="","",MARÍTIMOS[[#This Row],[Instruction]]),"")</f>
        <v>RH-0361</v>
      </c>
      <c r="E275" s="1"/>
      <c r="F275" s="2" t="str">
        <f>IFERROR(IF(MARÍTIMOS[[#This Row],[Transportista]]="","",MARÍTIMOS[[#This Row],[Transportista]]),"")</f>
        <v>LIP</v>
      </c>
      <c r="G275" s="2" t="str">
        <f>IFERROR(IF(MARÍTIMOS[[#This Row],[Tercero]]="","",MARÍTIMOS[[#This Row],[Tercero]]),"")</f>
        <v>NO</v>
      </c>
      <c r="H275" s="2" t="str">
        <f>IFERROR(IF(MARÍTIMOS[[#This Row],[Razón Social]]="","",MARÍTIMOS[[#This Row],[Razón Social]]),"")</f>
        <v>LOGISTICA INTERMODAL DEL PERU S.A.C.</v>
      </c>
      <c r="I275" s="2">
        <f>IFERROR(IF(MARÍTIMOS[[#This Row],[RUC]]="","",MARÍTIMOS[[#This Row],[RUC]]),"")</f>
        <v>20513040718</v>
      </c>
      <c r="J275" s="2" t="str">
        <f>IFERROR(IF(MARÍTIMOS[[#This Row],[Placa Tracto]]="","",MARÍTIMOS[[#This Row],[Placa Tracto]]),"")</f>
        <v>BFJ-853</v>
      </c>
      <c r="K275" s="2" t="str">
        <f>IFERROR(IF(MARÍTIMOS[[#This Row],[Placa Carreta]]="","",MARÍTIMOS[[#This Row],[Placa Carreta]]),"")</f>
        <v>AZR-979</v>
      </c>
      <c r="L275" s="44" t="str">
        <f>IFERROR(IF(MARÍTIMOS[[#This Row],[Conductor]]="","",MARÍTIMOS[[#This Row],[Conductor]]),"")</f>
        <v>FIESTAS SAAVEDRA AYRTON ALAIN</v>
      </c>
      <c r="M275" s="2" t="str">
        <f>IFERROR(IF(MARÍTIMOS[[#This Row],[Licencia]]="","",MARÍTIMOS[[#This Row],[Licencia]]),"")</f>
        <v>Q46579910</v>
      </c>
      <c r="N275" s="2">
        <f>IFERROR(IF(MARÍTIMOS[[#This Row],[Número de Contacto]]="","",MARÍTIMOS[[#This Row],[Número de Contacto]]),"")</f>
        <v>938742706</v>
      </c>
      <c r="O275" s="10" t="str">
        <f>IFERROR(IF(MARÍTIMOS[[#This Row],[Booking|AWB|CRT]]="","",MARÍTIMOS[[#This Row],[Booking|AWB|CRT]]),"")</f>
        <v>PER9172294A</v>
      </c>
      <c r="P275" s="2" t="str">
        <f>IFERROR(IF(MARÍTIMOS[[#This Row],[Contenedor]]="","",MARÍTIMOS[[#This Row],[Contenedor]]),"")</f>
        <v>SEKU9424111</v>
      </c>
      <c r="Q275" s="2" t="str">
        <f>IFERROR(IF(MARÍTIMOS[[#This Row],[Puerto de Retiro]]="","",MARÍTIMOS[[#This Row],[Puerto de Retiro]]),"")</f>
        <v>PAITA</v>
      </c>
      <c r="R275" s="2" t="str">
        <f>IFERROR(IF(MARÍTIMOS[[#This Row],[Almacén de Retiro]]="","",MARÍTIMOS[[#This Row],[Almacén de Retiro]]),"")</f>
        <v>DPW</v>
      </c>
      <c r="S275" s="11">
        <f>IFERROR(IF(MARÍTIMOS[[#This Row],[Etapa Retiro - Cita]]="","",MARÍTIMOS[[#This Row],[Etapa Retiro - Cita]]),"")</f>
        <v>46237.416666666664</v>
      </c>
      <c r="T275" s="11">
        <f>IFERROR(IF(MARÍTIMOS[[#This Row],[Etapa Retiro - Llegada]]="","",MARÍTIMOS[[#This Row],[Etapa Retiro - Llegada]]),"")</f>
        <v>46237.454861111109</v>
      </c>
      <c r="U275" s="11">
        <f>IFERROR(IF(MARÍTIMOS[[#This Row],[Etapa Retiro - Ingreso]]="","",MARÍTIMOS[[#This Row],[Etapa Retiro - Ingreso]]),"")</f>
        <v>46237.458333333336</v>
      </c>
      <c r="V275" s="11">
        <f>IFERROR(IF(MARÍTIMOS[[#This Row],[Etapa Retiro - Atención]]="","",MARÍTIMOS[[#This Row],[Etapa Retiro - Atención]]),"")</f>
        <v>46237.466666666667</v>
      </c>
      <c r="W275" s="11">
        <f>IFERROR(IF(MARÍTIMOS[[#This Row],[Etapa Retiro - Atención]]="","",MARÍTIMOS[[#This Row],[Etapa Retiro - Atención]]),"")</f>
        <v>46237.466666666667</v>
      </c>
      <c r="X275" s="11">
        <f>IFERROR(IF(MARÍTIMOS[[#This Row],[Etapa Retiro - Inicio de Ruta]]="","",MARÍTIMOS[[#This Row],[Etapa Retiro - Inicio de Ruta]]),"")</f>
        <v>46237.504166666666</v>
      </c>
      <c r="Y275" s="11">
        <f>IFERROR(IF(MARÍTIMOS[[#This Row],[Hora de Posicionamiento]]="","",MARÍTIMOS[[#This Row],[Fecha de Carga]]+MARÍTIMOS[[#This Row],[Hora de Posicionamiento]]),"")</f>
        <v>46238.333333333336</v>
      </c>
      <c r="Z275" s="11">
        <f>IFERROR(IF(MARÍTIMOS[[#This Row],[Etapa Despacho - Llegada]]="","",MARÍTIMOS[[#This Row],[Etapa Despacho - Llegada]]),"")</f>
        <v>46238.347916666666</v>
      </c>
      <c r="AA275" s="11">
        <f>IFERROR(IF(MARÍTIMOS[[#This Row],[Etapa Despacho - Registro]]="","",MARÍTIMOS[[#This Row],[Etapa Despacho - Registro]]),"")</f>
        <v>46238.350694444445</v>
      </c>
      <c r="AB275" s="11">
        <f>IFERROR(IF(MARÍTIMOS[[#This Row],[Inspección Externa]]="","",MARÍTIMOS[[#This Row],[Inspección Externa]]),"")</f>
        <v>46238.361111111109</v>
      </c>
      <c r="AC275" s="11">
        <f>IFERROR(IF(MARÍTIMOS[[#This Row],[Etapa Despacho - Inicio de Carga]]="","",MARÍTIMOS[[#This Row],[Etapa Despacho - Inicio de Carga]]),"")</f>
        <v>46238.375</v>
      </c>
      <c r="AD275" s="11">
        <f>IFERROR(IF(MARÍTIMOS[[#This Row],[Etapa Despacho - Mitad de Carga]]="","",MARÍTIMOS[[#This Row],[Etapa Despacho - Mitad de Carga]]),"")</f>
        <v>46238.388888888891</v>
      </c>
      <c r="AE275" s="11">
        <f>IFERROR(IF(MARÍTIMOS[[#This Row],[Etapa Despacho - Fin de Carga]]="","",MARÍTIMOS[[#This Row],[Etapa Despacho - Fin de Carga]]),"")</f>
        <v>46238.506944444445</v>
      </c>
      <c r="AF275" s="2" t="str">
        <f>IFERROR(IF(MARÍTIMOS[[#This Row],[Puerto de Embarque]]="","",MARÍTIMOS[[#This Row],[Puerto de Embarque]]),"")</f>
        <v>Paita</v>
      </c>
      <c r="AG275" s="2" t="str">
        <f>IFERROR(IF(MARÍTIMOS[[#This Row],[Almacén de Ingreso]]="","",MARÍTIMOS[[#This Row],[Almacén de Ingreso]]),"")</f>
        <v>TPE</v>
      </c>
      <c r="AH275" s="11">
        <f>IFERROR(IF(MARÍTIMOS[[#This Row],[Etapa Ingreso - Cita]]="","",MARÍTIMOS[[#This Row],[Etapa Ingreso - Cita]]),"")</f>
        <v>46238.958333333336</v>
      </c>
      <c r="AI275" s="11">
        <f>IFERROR(IF(MARÍTIMOS[[#This Row],[Etapa Ingreso - Llegada]]="","",MARÍTIMOS[[#This Row],[Etapa Ingreso - Llegada]]),"")</f>
        <v>46238.96597222222</v>
      </c>
      <c r="AJ275" s="11">
        <f>IFERROR(IF(MARÍTIMOS[[#This Row],[Etapa Ingreso - Ingeso]]="","",MARÍTIMOS[[#This Row],[Etapa Ingreso - Ingeso]]),"")</f>
        <v>46238.970138888886</v>
      </c>
      <c r="AK275" s="11">
        <f>IFERROR(IF(MARÍTIMOS[[#This Row],[Etapa Ingreso - Atención]]="","",MARÍTIMOS[[#This Row],[Etapa Ingreso - Atención]]),"")</f>
        <v>46238.973611111112</v>
      </c>
      <c r="AL275" s="11">
        <f>IFERROR(IF(MARÍTIMOS[[#This Row],[Etapa Ingreso - Salida]]="","",MARÍTIMOS[[#This Row],[Etapa Ingreso - Salida]]),"")</f>
        <v>46238.977083333331</v>
      </c>
      <c r="AM275" s="2">
        <f>IFERROR(IF(MARÍTIMOS[[#This Row],[FCL]]="","",MARÍTIMOS[[#This Row],[FCL]]),"")</f>
        <v>1</v>
      </c>
      <c r="AN2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5" s="4" t="str" cm="1">
        <f t="array" ref="AO2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5" s="5">
        <f>IFERROR(OLDBD[[#This Row],[Llegada a packing]]-OLDBD[[#This Row],[Inicio de Ruta]],"")</f>
        <v>0.84375</v>
      </c>
      <c r="AQ275" s="6">
        <f>IFERROR(OLDBD[[#This Row],[Inicio de Ruta]]-OLDBD[[#This Row],[Salida de almacén de retiro]],"")</f>
        <v>3.7499999998544808E-2</v>
      </c>
      <c r="AR2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75" s="8" t="str" cm="1">
        <f t="array" ref="AS2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5" s="9">
        <f>IFERROR(OLDBD[[#This Row],[Ingreso Packing]]-OLDBD[[#This Row],[Registro en Packing]],"")</f>
        <v>1.0416666664241347E-2</v>
      </c>
      <c r="AV275" s="9">
        <f>IFERROR(OLDBD[[#This Row],[Ingreso Packing]]-OLDBD[[#This Row],[Llegada a packing]],"")</f>
        <v>1.3194444443797693E-2</v>
      </c>
      <c r="AW2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75" s="5">
        <f>IFERROR(OLDBD[[#This Row],[Llegada Almacén de Ingreso]]-OLDBD[[#This Row],[Salida Packing]],"")</f>
        <v>0.45902777777519077</v>
      </c>
      <c r="AY275" s="4" t="str" cm="1">
        <f t="array" ref="AY2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5" s="43" t="s">
        <v>173</v>
      </c>
      <c r="BB275" s="47" t="str">
        <f>IFERROR(IF(MARÍTIMOS[[#This Row],[Estatus]]="","",MARÍTIMOS[[#This Row],[Estatus]]),"")</f>
        <v>Confirmado</v>
      </c>
      <c r="BC275" s="43"/>
      <c r="BD275" s="46">
        <f>IFERROR(OLDBD[[#This Row],[Salida de almacén de retiro]]-OLDBD[[#This Row],[Ingreso Almacén de retiro]],"")</f>
        <v>8.333333331393078E-3</v>
      </c>
      <c r="BE275" s="46">
        <f>IFERROR(OLDBD[[#This Row],[Fin de Carga]]-OLDBD[[#This Row],[Inicio de Carga]],"")</f>
        <v>1.3888888890505768E-2</v>
      </c>
    </row>
    <row r="276" spans="1:57" customFormat="1" hidden="1">
      <c r="A276" s="1"/>
      <c r="B276" s="1">
        <f>IFERROR(IF(MARÍTIMOS[[#This Row],[PP]]="","",MARÍTIMOS[[#This Row],[PP]]),"")</f>
        <v>31</v>
      </c>
      <c r="C276" s="1" t="str">
        <f>IFERROR(IF(MARÍTIMOS[[#This Row],[Sede]]="","",MARÍTIMOS[[#This Row],[Sede]]),"")</f>
        <v>Chao</v>
      </c>
      <c r="D276" s="1" t="str">
        <f>IFERROR(IF(MARÍTIMOS[[#This Row],[Instruction]]="","",MARÍTIMOS[[#This Row],[Instruction]]),"")</f>
        <v>RH-0362</v>
      </c>
      <c r="E276" s="1"/>
      <c r="F276" s="2" t="str">
        <f>IFERROR(IF(MARÍTIMOS[[#This Row],[Transportista]]="","",MARÍTIMOS[[#This Row],[Transportista]]),"")</f>
        <v>LIP</v>
      </c>
      <c r="G276" s="2" t="str">
        <f>IFERROR(IF(MARÍTIMOS[[#This Row],[Tercero]]="","",MARÍTIMOS[[#This Row],[Tercero]]),"")</f>
        <v>SI</v>
      </c>
      <c r="H276" s="2" t="str">
        <f>IFERROR(IF(MARÍTIMOS[[#This Row],[Razón Social]]="","",MARÍTIMOS[[#This Row],[Razón Social]]),"")</f>
        <v>TRANSPORTES Y SERVICIOS UNITED FRIENDS S.A.C.</v>
      </c>
      <c r="I276" s="2">
        <f>IFERROR(IF(MARÍTIMOS[[#This Row],[RUC]]="","",MARÍTIMOS[[#This Row],[RUC]]),"")</f>
        <v>20601368766</v>
      </c>
      <c r="J276" s="2" t="str">
        <f>IFERROR(IF(MARÍTIMOS[[#This Row],[Placa Tracto]]="","",MARÍTIMOS[[#This Row],[Placa Tracto]]),"")</f>
        <v>C7K-869</v>
      </c>
      <c r="K276" s="2" t="str">
        <f>IFERROR(IF(MARÍTIMOS[[#This Row],[Placa Carreta]]="","",MARÍTIMOS[[#This Row],[Placa Carreta]]),"")</f>
        <v>TCL-980</v>
      </c>
      <c r="L276" s="44" t="str">
        <f>IFERROR(IF(MARÍTIMOS[[#This Row],[Conductor]]="","",MARÍTIMOS[[#This Row],[Conductor]]),"")</f>
        <v>LITANO PEÑA ANTONY</v>
      </c>
      <c r="M276" s="2" t="str">
        <f>IFERROR(IF(MARÍTIMOS[[#This Row],[Licencia]]="","",MARÍTIMOS[[#This Row],[Licencia]]),"")</f>
        <v>B44791767</v>
      </c>
      <c r="N276" s="2">
        <f>IFERROR(IF(MARÍTIMOS[[#This Row],[Número de Contacto]]="","",MARÍTIMOS[[#This Row],[Número de Contacto]]),"")</f>
        <v>981143257</v>
      </c>
      <c r="O276" s="10" t="str">
        <f>IFERROR(IF(MARÍTIMOS[[#This Row],[Booking|AWB|CRT]]="","",MARÍTIMOS[[#This Row],[Booking|AWB|CRT]]),"")</f>
        <v>PER9172295A</v>
      </c>
      <c r="P276" s="2" t="str">
        <f>IFERROR(IF(MARÍTIMOS[[#This Row],[Contenedor]]="","",MARÍTIMOS[[#This Row],[Contenedor]]),"")</f>
        <v>CAAU4164552</v>
      </c>
      <c r="Q276" s="2" t="str">
        <f>IFERROR(IF(MARÍTIMOS[[#This Row],[Puerto de Retiro]]="","",MARÍTIMOS[[#This Row],[Puerto de Retiro]]),"")</f>
        <v>PAITA</v>
      </c>
      <c r="R276" s="2" t="str">
        <f>IFERROR(IF(MARÍTIMOS[[#This Row],[Almacén de Retiro]]="","",MARÍTIMOS[[#This Row],[Almacén de Retiro]]),"")</f>
        <v>DPW</v>
      </c>
      <c r="S276" s="11">
        <f>IFERROR(IF(MARÍTIMOS[[#This Row],[Etapa Retiro - Cita]]="","",MARÍTIMOS[[#This Row],[Etapa Retiro - Cita]]),"")</f>
        <v>46234.625</v>
      </c>
      <c r="T276" s="11">
        <f>IFERROR(IF(MARÍTIMOS[[#This Row],[Etapa Retiro - Llegada]]="","",MARÍTIMOS[[#This Row],[Etapa Retiro - Llegada]]),"")</f>
        <v>46234.645138888889</v>
      </c>
      <c r="U276" s="11">
        <f>IFERROR(IF(MARÍTIMOS[[#This Row],[Etapa Retiro - Ingreso]]="","",MARÍTIMOS[[#This Row],[Etapa Retiro - Ingreso]]),"")</f>
        <v>46234.647222222222</v>
      </c>
      <c r="V276" s="11">
        <f>IFERROR(IF(MARÍTIMOS[[#This Row],[Etapa Retiro - Atención]]="","",MARÍTIMOS[[#This Row],[Etapa Retiro - Atención]]),"")</f>
        <v>46234.668749999997</v>
      </c>
      <c r="W276" s="11">
        <f>IFERROR(IF(MARÍTIMOS[[#This Row],[Etapa Retiro - Atención]]="","",MARÍTIMOS[[#This Row],[Etapa Retiro - Atención]]),"")</f>
        <v>46234.668749999997</v>
      </c>
      <c r="X276" s="11">
        <f>IFERROR(IF(MARÍTIMOS[[#This Row],[Etapa Retiro - Inicio de Ruta]]="","",MARÍTIMOS[[#This Row],[Etapa Retiro - Inicio de Ruta]]),"")</f>
        <v>46234.715277777781</v>
      </c>
      <c r="Y276" s="11">
        <f>IFERROR(IF(MARÍTIMOS[[#This Row],[Hora de Posicionamiento]]="","",MARÍTIMOS[[#This Row],[Fecha de Carga]]+MARÍTIMOS[[#This Row],[Hora de Posicionamiento]]),"")</f>
        <v>46235.5</v>
      </c>
      <c r="Z276" s="11">
        <f>IFERROR(IF(MARÍTIMOS[[#This Row],[Etapa Despacho - Llegada]]="","",MARÍTIMOS[[#This Row],[Etapa Despacho - Llegada]]),"")</f>
        <v>46235.461805555555</v>
      </c>
      <c r="AA276" s="11">
        <f>IFERROR(IF(MARÍTIMOS[[#This Row],[Etapa Despacho - Registro]]="","",MARÍTIMOS[[#This Row],[Etapa Despacho - Registro]]),"")</f>
        <v>46235.465277777781</v>
      </c>
      <c r="AB276" s="11">
        <f>IFERROR(IF(MARÍTIMOS[[#This Row],[Inspección Externa]]="","",MARÍTIMOS[[#This Row],[Inspección Externa]]),"")</f>
        <v>46235.479166666664</v>
      </c>
      <c r="AC276" s="11">
        <f>IFERROR(IF(MARÍTIMOS[[#This Row],[Etapa Despacho - Inicio de Carga]]="","",MARÍTIMOS[[#This Row],[Etapa Despacho - Inicio de Carga]]),"")</f>
        <v>46235.506944444445</v>
      </c>
      <c r="AD276" s="11">
        <f>IFERROR(IF(MARÍTIMOS[[#This Row],[Etapa Despacho - Mitad de Carga]]="","",MARÍTIMOS[[#This Row],[Etapa Despacho - Mitad de Carga]]),"")</f>
        <v>46235.520833333336</v>
      </c>
      <c r="AE276" s="11">
        <f>IFERROR(IF(MARÍTIMOS[[#This Row],[Etapa Despacho - Fin de Carga]]="","",MARÍTIMOS[[#This Row],[Etapa Despacho - Fin de Carga]]),"")</f>
        <v>46235.729166666664</v>
      </c>
      <c r="AF276" s="2" t="str">
        <f>IFERROR(IF(MARÍTIMOS[[#This Row],[Puerto de Embarque]]="","",MARÍTIMOS[[#This Row],[Puerto de Embarque]]),"")</f>
        <v>Paita</v>
      </c>
      <c r="AG276" s="2" t="str">
        <f>IFERROR(IF(MARÍTIMOS[[#This Row],[Almacén de Ingreso]]="","",MARÍTIMOS[[#This Row],[Almacén de Ingreso]]),"")</f>
        <v>TPE</v>
      </c>
      <c r="AH276" s="11">
        <f>IFERROR(IF(MARÍTIMOS[[#This Row],[Etapa Ingreso - Cita]]="","",MARÍTIMOS[[#This Row],[Etapa Ingreso - Cita]]),"")</f>
        <v>46236.5</v>
      </c>
      <c r="AI276" s="11">
        <f>IFERROR(IF(MARÍTIMOS[[#This Row],[Etapa Ingreso - Llegada]]="","",MARÍTIMOS[[#This Row],[Etapa Ingreso - Llegada]]),"")</f>
        <v>46236.509027777778</v>
      </c>
      <c r="AJ276" s="11">
        <f>IFERROR(IF(MARÍTIMOS[[#This Row],[Etapa Ingreso - Ingeso]]="","",MARÍTIMOS[[#This Row],[Etapa Ingreso - Ingeso]]),"")</f>
        <v>46236.513194444444</v>
      </c>
      <c r="AK276" s="11">
        <f>IFERROR(IF(MARÍTIMOS[[#This Row],[Etapa Ingreso - Atención]]="","",MARÍTIMOS[[#This Row],[Etapa Ingreso - Atención]]),"")</f>
        <v>46236.517361111109</v>
      </c>
      <c r="AL276" s="11">
        <f>IFERROR(IF(MARÍTIMOS[[#This Row],[Etapa Ingreso - Salida]]="","",MARÍTIMOS[[#This Row],[Etapa Ingreso - Salida]]),"")</f>
        <v>46236.531944444447</v>
      </c>
      <c r="AM276" s="2">
        <f>IFERROR(IF(MARÍTIMOS[[#This Row],[FCL]]="","",MARÍTIMOS[[#This Row],[FCL]]),"")</f>
        <v>1</v>
      </c>
      <c r="AN2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6" s="4" t="str" cm="1">
        <f t="array" ref="AO2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6" s="5">
        <f>IFERROR(OLDBD[[#This Row],[Llegada a packing]]-OLDBD[[#This Row],[Inicio de Ruta]],"")</f>
        <v>0.74652777777373558</v>
      </c>
      <c r="AQ276" s="6">
        <f>IFERROR(OLDBD[[#This Row],[Inicio de Ruta]]-OLDBD[[#This Row],[Salida de almacén de retiro]],"")</f>
        <v>4.652777778392192E-2</v>
      </c>
      <c r="AR2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76" s="8" t="str" cm="1">
        <f t="array" ref="AS2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6" s="9">
        <f>IFERROR(OLDBD[[#This Row],[Ingreso Packing]]-OLDBD[[#This Row],[Registro en Packing]],"")</f>
        <v>1.3888888883229811E-2</v>
      </c>
      <c r="AV276" s="9">
        <f>IFERROR(OLDBD[[#This Row],[Ingreso Packing]]-OLDBD[[#This Row],[Llegada a packing]],"")</f>
        <v>1.7361111109494232E-2</v>
      </c>
      <c r="AW2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76" s="5">
        <f>IFERROR(OLDBD[[#This Row],[Llegada Almacén de Ingreso]]-OLDBD[[#This Row],[Salida Packing]],"")</f>
        <v>0.77986111111385981</v>
      </c>
      <c r="AY276" s="4" t="str" cm="1">
        <f t="array" ref="AY2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6" s="43" t="s">
        <v>173</v>
      </c>
      <c r="BB276" s="47" t="str">
        <f>IFERROR(IF(MARÍTIMOS[[#This Row],[Estatus]]="","",MARÍTIMOS[[#This Row],[Estatus]]),"")</f>
        <v>Confirmado</v>
      </c>
      <c r="BC276" s="43"/>
      <c r="BD276" s="46">
        <f>IFERROR(OLDBD[[#This Row],[Salida de almacén de retiro]]-OLDBD[[#This Row],[Ingreso Almacén de retiro]],"")</f>
        <v>2.1527777775190771E-2</v>
      </c>
      <c r="BE276" s="46">
        <f>IFERROR(OLDBD[[#This Row],[Fin de Carga]]-OLDBD[[#This Row],[Inicio de Carga]],"")</f>
        <v>1.3888888890505768E-2</v>
      </c>
    </row>
    <row r="277" spans="1:57" customFormat="1" hidden="1">
      <c r="A277" s="1"/>
      <c r="B277" s="1">
        <f>IFERROR(IF(MARÍTIMOS[[#This Row],[PP]]="","",MARÍTIMOS[[#This Row],[PP]]),"")</f>
        <v>31</v>
      </c>
      <c r="C277" s="1" t="str">
        <f>IFERROR(IF(MARÍTIMOS[[#This Row],[Sede]]="","",MARÍTIMOS[[#This Row],[Sede]]),"")</f>
        <v>Chao</v>
      </c>
      <c r="D277" s="1" t="str">
        <f>IFERROR(IF(MARÍTIMOS[[#This Row],[Instruction]]="","",MARÍTIMOS[[#This Row],[Instruction]]),"")</f>
        <v>RH-0363</v>
      </c>
      <c r="E277" s="1"/>
      <c r="F277" s="2" t="str">
        <f>IFERROR(IF(MARÍTIMOS[[#This Row],[Transportista]]="","",MARÍTIMOS[[#This Row],[Transportista]]),"")</f>
        <v>LIP</v>
      </c>
      <c r="G277" s="2" t="str">
        <f>IFERROR(IF(MARÍTIMOS[[#This Row],[Tercero]]="","",MARÍTIMOS[[#This Row],[Tercero]]),"")</f>
        <v>NO</v>
      </c>
      <c r="H277" s="2" t="str">
        <f>IFERROR(IF(MARÍTIMOS[[#This Row],[Razón Social]]="","",MARÍTIMOS[[#This Row],[Razón Social]]),"")</f>
        <v>LOGISTICA INTERMODAL DEL PERU S.A.C.</v>
      </c>
      <c r="I277" s="2">
        <f>IFERROR(IF(MARÍTIMOS[[#This Row],[RUC]]="","",MARÍTIMOS[[#This Row],[RUC]]),"")</f>
        <v>20513040718</v>
      </c>
      <c r="J277" s="2" t="str">
        <f>IFERROR(IF(MARÍTIMOS[[#This Row],[Placa Tracto]]="","",MARÍTIMOS[[#This Row],[Placa Tracto]]),"")</f>
        <v>BBH-709</v>
      </c>
      <c r="K277" s="2" t="str">
        <f>IFERROR(IF(MARÍTIMOS[[#This Row],[Placa Carreta]]="","",MARÍTIMOS[[#This Row],[Placa Carreta]]),"")</f>
        <v>AMY-988</v>
      </c>
      <c r="L277" s="44" t="str">
        <f>IFERROR(IF(MARÍTIMOS[[#This Row],[Conductor]]="","",MARÍTIMOS[[#This Row],[Conductor]]),"")</f>
        <v>ANTON JIMENEZ FRANKLYN RANDHOLP</v>
      </c>
      <c r="M277" s="2" t="str">
        <f>IFERROR(IF(MARÍTIMOS[[#This Row],[Licencia]]="","",MARÍTIMOS[[#This Row],[Licencia]]),"")</f>
        <v>B71707591</v>
      </c>
      <c r="N277" s="2" t="str">
        <f>IFERROR(IF(MARÍTIMOS[[#This Row],[Número de Contacto]]="","",MARÍTIMOS[[#This Row],[Número de Contacto]]),"")</f>
        <v>908703 885</v>
      </c>
      <c r="O277" s="10" t="str">
        <f>IFERROR(IF(MARÍTIMOS[[#This Row],[Booking|AWB|CRT]]="","",MARÍTIMOS[[#This Row],[Booking|AWB|CRT]]),"")</f>
        <v>PER9172296A</v>
      </c>
      <c r="P277" s="2" t="str">
        <f>IFERROR(IF(MARÍTIMOS[[#This Row],[Contenedor]]="","",MARÍTIMOS[[#This Row],[Contenedor]]),"")</f>
        <v>SEKU9119231</v>
      </c>
      <c r="Q277" s="2" t="str">
        <f>IFERROR(IF(MARÍTIMOS[[#This Row],[Puerto de Retiro]]="","",MARÍTIMOS[[#This Row],[Puerto de Retiro]]),"")</f>
        <v>PAITA</v>
      </c>
      <c r="R277" s="2" t="str">
        <f>IFERROR(IF(MARÍTIMOS[[#This Row],[Almacén de Retiro]]="","",MARÍTIMOS[[#This Row],[Almacén de Retiro]]),"")</f>
        <v>DPW</v>
      </c>
      <c r="S277" s="11">
        <f>IFERROR(IF(MARÍTIMOS[[#This Row],[Etapa Retiro - Cita]]="","",MARÍTIMOS[[#This Row],[Etapa Retiro - Cita]]),"")</f>
        <v>46234.583333333336</v>
      </c>
      <c r="T277" s="11">
        <f>IFERROR(IF(MARÍTIMOS[[#This Row],[Etapa Retiro - Llegada]]="","",MARÍTIMOS[[#This Row],[Etapa Retiro - Llegada]]),"")</f>
        <v>46234.604861111111</v>
      </c>
      <c r="U277" s="11">
        <f>IFERROR(IF(MARÍTIMOS[[#This Row],[Etapa Retiro - Ingreso]]="","",MARÍTIMOS[[#This Row],[Etapa Retiro - Ingreso]]),"")</f>
        <v>46234.607638888891</v>
      </c>
      <c r="V277" s="11">
        <f>IFERROR(IF(MARÍTIMOS[[#This Row],[Etapa Retiro - Atención]]="","",MARÍTIMOS[[#This Row],[Etapa Retiro - Atención]]),"")</f>
        <v>46234.626388888886</v>
      </c>
      <c r="W277" s="11">
        <f>IFERROR(IF(MARÍTIMOS[[#This Row],[Etapa Retiro - Atención]]="","",MARÍTIMOS[[#This Row],[Etapa Retiro - Atención]]),"")</f>
        <v>46234.626388888886</v>
      </c>
      <c r="X277" s="11">
        <f>IFERROR(IF(MARÍTIMOS[[#This Row],[Etapa Retiro - Inicio de Ruta]]="","",MARÍTIMOS[[#This Row],[Etapa Retiro - Inicio de Ruta]]),"")</f>
        <v>46234.68472222222</v>
      </c>
      <c r="Y277" s="11">
        <f>IFERROR(IF(MARÍTIMOS[[#This Row],[Hora de Posicionamiento]]="","",MARÍTIMOS[[#This Row],[Fecha de Carga]]+MARÍTIMOS[[#This Row],[Hora de Posicionamiento]]),"")</f>
        <v>46235.5</v>
      </c>
      <c r="Z277" s="11">
        <f>IFERROR(IF(MARÍTIMOS[[#This Row],[Etapa Despacho - Llegada]]="","",MARÍTIMOS[[#This Row],[Etapa Despacho - Llegada]]),"")</f>
        <v>46235.547222222223</v>
      </c>
      <c r="AA277" s="11">
        <f>IFERROR(IF(MARÍTIMOS[[#This Row],[Etapa Despacho - Registro]]="","",MARÍTIMOS[[#This Row],[Etapa Despacho - Registro]]),"")</f>
        <v>46235.550694444442</v>
      </c>
      <c r="AB277" s="11">
        <f>IFERROR(IF(MARÍTIMOS[[#This Row],[Inspección Externa]]="","",MARÍTIMOS[[#This Row],[Inspección Externa]]),"")</f>
        <v>46235.5625</v>
      </c>
      <c r="AC277" s="11">
        <f>IFERROR(IF(MARÍTIMOS[[#This Row],[Etapa Despacho - Inicio de Carga]]="","",MARÍTIMOS[[#This Row],[Etapa Despacho - Inicio de Carga]]),"")</f>
        <v>46235.590277777781</v>
      </c>
      <c r="AD277" s="11">
        <f>IFERROR(IF(MARÍTIMOS[[#This Row],[Etapa Despacho - Mitad de Carga]]="","",MARÍTIMOS[[#This Row],[Etapa Despacho - Mitad de Carga]]),"")</f>
        <v>46235.604166666664</v>
      </c>
      <c r="AE277" s="11">
        <f>IFERROR(IF(MARÍTIMOS[[#This Row],[Etapa Despacho - Fin de Carga]]="","",MARÍTIMOS[[#This Row],[Etapa Despacho - Fin de Carga]]),"")</f>
        <v>46235.729166666664</v>
      </c>
      <c r="AF277" s="2" t="str">
        <f>IFERROR(IF(MARÍTIMOS[[#This Row],[Puerto de Embarque]]="","",MARÍTIMOS[[#This Row],[Puerto de Embarque]]),"")</f>
        <v>Paita</v>
      </c>
      <c r="AG277" s="2" t="str">
        <f>IFERROR(IF(MARÍTIMOS[[#This Row],[Almacén de Ingreso]]="","",MARÍTIMOS[[#This Row],[Almacén de Ingreso]]),"")</f>
        <v>TPE</v>
      </c>
      <c r="AH277" s="11">
        <f>IFERROR(IF(MARÍTIMOS[[#This Row],[Etapa Ingreso - Cita]]="","",MARÍTIMOS[[#This Row],[Etapa Ingreso - Cita]]),"")</f>
        <v>46236.541666666664</v>
      </c>
      <c r="AI277" s="11">
        <f>IFERROR(IF(MARÍTIMOS[[#This Row],[Etapa Ingreso - Llegada]]="","",MARÍTIMOS[[#This Row],[Etapa Ingreso - Llegada]]),"")</f>
        <v>46236.548611111109</v>
      </c>
      <c r="AJ277" s="11">
        <f>IFERROR(IF(MARÍTIMOS[[#This Row],[Etapa Ingreso - Ingeso]]="","",MARÍTIMOS[[#This Row],[Etapa Ingreso - Ingeso]]),"")</f>
        <v>46236.552083333336</v>
      </c>
      <c r="AK277" s="11">
        <f>IFERROR(IF(MARÍTIMOS[[#This Row],[Etapa Ingreso - Atención]]="","",MARÍTIMOS[[#This Row],[Etapa Ingreso - Atención]]),"")</f>
        <v>46236.555555555555</v>
      </c>
      <c r="AL277" s="11">
        <f>IFERROR(IF(MARÍTIMOS[[#This Row],[Etapa Ingreso - Salida]]="","",MARÍTIMOS[[#This Row],[Etapa Ingreso - Salida]]),"")</f>
        <v>46236.566666666666</v>
      </c>
      <c r="AM277" s="2">
        <f>IFERROR(IF(MARÍTIMOS[[#This Row],[FCL]]="","",MARÍTIMOS[[#This Row],[FCL]]),"")</f>
        <v>1</v>
      </c>
      <c r="AN2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7" s="4" t="str" cm="1">
        <f t="array" ref="AO2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7" s="5">
        <f>IFERROR(OLDBD[[#This Row],[Llegada a packing]]-OLDBD[[#This Row],[Inicio de Ruta]],"")</f>
        <v>0.86250000000291038</v>
      </c>
      <c r="AQ277" s="6">
        <f>IFERROR(OLDBD[[#This Row],[Inicio de Ruta]]-OLDBD[[#This Row],[Salida de almacén de retiro]],"")</f>
        <v>5.8333333334303461E-2</v>
      </c>
      <c r="AR2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77" s="8" t="str" cm="1">
        <f t="array" ref="AS2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7" s="9">
        <f>IFERROR(OLDBD[[#This Row],[Ingreso Packing]]-OLDBD[[#This Row],[Registro en Packing]],"")</f>
        <v>1.1805555557657499E-2</v>
      </c>
      <c r="AV277" s="9">
        <f>IFERROR(OLDBD[[#This Row],[Ingreso Packing]]-OLDBD[[#This Row],[Llegada a packing]],"")</f>
        <v>1.5277777776645962E-2</v>
      </c>
      <c r="AW2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77" s="5">
        <f>IFERROR(OLDBD[[#This Row],[Llegada Almacén de Ingreso]]-OLDBD[[#This Row],[Salida Packing]],"")</f>
        <v>0.81944444444525288</v>
      </c>
      <c r="AY277" s="4" t="str" cm="1">
        <f t="array" ref="AY2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7" s="43" t="s">
        <v>173</v>
      </c>
      <c r="BB277" s="47" t="str">
        <f>IFERROR(IF(MARÍTIMOS[[#This Row],[Estatus]]="","",MARÍTIMOS[[#This Row],[Estatus]]),"")</f>
        <v>Confirmado</v>
      </c>
      <c r="BC277" s="43"/>
      <c r="BD277" s="46">
        <f>IFERROR(OLDBD[[#This Row],[Salida de almacén de retiro]]-OLDBD[[#This Row],[Ingreso Almacén de retiro]],"")</f>
        <v>1.8749999995634425E-2</v>
      </c>
      <c r="BE277" s="46">
        <f>IFERROR(OLDBD[[#This Row],[Fin de Carga]]-OLDBD[[#This Row],[Inicio de Carga]],"")</f>
        <v>1.3888888883229811E-2</v>
      </c>
    </row>
    <row r="278" spans="1:57" customFormat="1" hidden="1">
      <c r="A278" s="1"/>
      <c r="B278" s="1">
        <f>IFERROR(IF(MARÍTIMOS[[#This Row],[PP]]="","",MARÍTIMOS[[#This Row],[PP]]),"")</f>
        <v>32</v>
      </c>
      <c r="C278" s="1" t="str">
        <f>IFERROR(IF(MARÍTIMOS[[#This Row],[Sede]]="","",MARÍTIMOS[[#This Row],[Sede]]),"")</f>
        <v>Chao</v>
      </c>
      <c r="D278" s="1" t="str">
        <f>IFERROR(IF(MARÍTIMOS[[#This Row],[Instruction]]="","",MARÍTIMOS[[#This Row],[Instruction]]),"")</f>
        <v>RH-0436</v>
      </c>
      <c r="E278" s="1"/>
      <c r="F278" s="2" t="str">
        <f>IFERROR(IF(MARÍTIMOS[[#This Row],[Transportista]]="","",MARÍTIMOS[[#This Row],[Transportista]]),"")</f>
        <v>LIP</v>
      </c>
      <c r="G278" s="2" t="str">
        <f>IFERROR(IF(MARÍTIMOS[[#This Row],[Tercero]]="","",MARÍTIMOS[[#This Row],[Tercero]]),"")</f>
        <v>SI</v>
      </c>
      <c r="H278" s="2" t="str">
        <f>IFERROR(IF(MARÍTIMOS[[#This Row],[Razón Social]]="","",MARÍTIMOS[[#This Row],[Razón Social]]),"")</f>
        <v>OPERADOR LOGISTICO RIO TINTO SAC</v>
      </c>
      <c r="I278" s="2">
        <f>IFERROR(IF(MARÍTIMOS[[#This Row],[RUC]]="","",MARÍTIMOS[[#This Row],[RUC]]),"")</f>
        <v>20482013423</v>
      </c>
      <c r="J278" s="2" t="str">
        <f>IFERROR(IF(MARÍTIMOS[[#This Row],[Placa Tracto]]="","",MARÍTIMOS[[#This Row],[Placa Tracto]]),"")</f>
        <v>T6Q-826</v>
      </c>
      <c r="K278" s="2" t="str">
        <f>IFERROR(IF(MARÍTIMOS[[#This Row],[Placa Carreta]]="","",MARÍTIMOS[[#This Row],[Placa Carreta]]),"")</f>
        <v>TMF-988</v>
      </c>
      <c r="L278" s="44" t="str">
        <f>IFERROR(IF(MARÍTIMOS[[#This Row],[Conductor]]="","",MARÍTIMOS[[#This Row],[Conductor]]),"")</f>
        <v>SAUCEDO FERNANDEZ JAROL JHONNATHAN</v>
      </c>
      <c r="M278" s="2" t="str">
        <f>IFERROR(IF(MARÍTIMOS[[#This Row],[Licencia]]="","",MARÍTIMOS[[#This Row],[Licencia]]),"")</f>
        <v>Q09550755</v>
      </c>
      <c r="N278" s="2">
        <f>IFERROR(IF(MARÍTIMOS[[#This Row],[Número de Contacto]]="","",MARÍTIMOS[[#This Row],[Número de Contacto]]),"")</f>
        <v>963812237</v>
      </c>
      <c r="O278" s="10" t="str">
        <f>IFERROR(IF(MARÍTIMOS[[#This Row],[Booking|AWB|CRT]]="","",MARÍTIMOS[[#This Row],[Booking|AWB|CRT]]),"")</f>
        <v>MBM250067111</v>
      </c>
      <c r="P278" s="2" t="str">
        <f>IFERROR(IF(MARÍTIMOS[[#This Row],[Contenedor]]="","",MARÍTIMOS[[#This Row],[Contenedor]]),"")</f>
        <v>SEGU9432426</v>
      </c>
      <c r="Q278" s="2" t="str">
        <f>IFERROR(IF(MARÍTIMOS[[#This Row],[Puerto de Retiro]]="","",MARÍTIMOS[[#This Row],[Puerto de Retiro]]),"")</f>
        <v>PAITA</v>
      </c>
      <c r="R278" s="2" t="str">
        <f>IFERROR(IF(MARÍTIMOS[[#This Row],[Almacén de Retiro]]="","",MARÍTIMOS[[#This Row],[Almacén de Retiro]]),"")</f>
        <v>MACROMAR</v>
      </c>
      <c r="S278" s="11">
        <f>IFERROR(IF(MARÍTIMOS[[#This Row],[Etapa Retiro - Cita]]="","",MARÍTIMOS[[#This Row],[Etapa Retiro - Cita]]),"")</f>
        <v>46239.458333333336</v>
      </c>
      <c r="T278" s="11">
        <f>IFERROR(IF(MARÍTIMOS[[#This Row],[Etapa Retiro - Llegada]]="","",MARÍTIMOS[[#This Row],[Etapa Retiro - Llegada]]),"")</f>
        <v>46239.469444444447</v>
      </c>
      <c r="U278" s="11">
        <f>IFERROR(IF(MARÍTIMOS[[#This Row],[Etapa Retiro - Ingreso]]="","",MARÍTIMOS[[#This Row],[Etapa Retiro - Ingreso]]),"")</f>
        <v>46239.472222222219</v>
      </c>
      <c r="V278" s="11">
        <f>IFERROR(IF(MARÍTIMOS[[#This Row],[Etapa Retiro - Atención]]="","",MARÍTIMOS[[#This Row],[Etapa Retiro - Atención]]),"")</f>
        <v>46239.48541666667</v>
      </c>
      <c r="W278" s="11">
        <f>IFERROR(IF(MARÍTIMOS[[#This Row],[Etapa Retiro - Atención]]="","",MARÍTIMOS[[#This Row],[Etapa Retiro - Atención]]),"")</f>
        <v>46239.48541666667</v>
      </c>
      <c r="X278" s="11">
        <f>IFERROR(IF(MARÍTIMOS[[#This Row],[Etapa Retiro - Inicio de Ruta]]="","",MARÍTIMOS[[#This Row],[Etapa Retiro - Inicio de Ruta]]),"")</f>
        <v>46239.545138888891</v>
      </c>
      <c r="Y278" s="11">
        <f>IFERROR(IF(MARÍTIMOS[[#This Row],[Hora de Posicionamiento]]="","",MARÍTIMOS[[#This Row],[Fecha de Carga]]+MARÍTIMOS[[#This Row],[Hora de Posicionamiento]]),"")</f>
        <v>46240.5</v>
      </c>
      <c r="Z278" s="11">
        <f>IFERROR(IF(MARÍTIMOS[[#This Row],[Etapa Despacho - Llegada]]="","",MARÍTIMOS[[#This Row],[Etapa Despacho - Llegada]]),"")</f>
        <v>46240.345138888886</v>
      </c>
      <c r="AA278" s="11">
        <f>IFERROR(IF(MARÍTIMOS[[#This Row],[Etapa Despacho - Registro]]="","",MARÍTIMOS[[#This Row],[Etapa Despacho - Registro]]),"")</f>
        <v>46240.347222222219</v>
      </c>
      <c r="AB278" s="11">
        <f>IFERROR(IF(MARÍTIMOS[[#This Row],[Inspección Externa]]="","",MARÍTIMOS[[#This Row],[Inspección Externa]]),"")</f>
        <v>46240.361111111109</v>
      </c>
      <c r="AC278" s="11">
        <f>IFERROR(IF(MARÍTIMOS[[#This Row],[Etapa Despacho - Inicio de Carga]]="","",MARÍTIMOS[[#This Row],[Etapa Despacho - Inicio de Carga]]),"")</f>
        <v>46240.388888888891</v>
      </c>
      <c r="AD278" s="11">
        <f>IFERROR(IF(MARÍTIMOS[[#This Row],[Etapa Despacho - Mitad de Carga]]="","",MARÍTIMOS[[#This Row],[Etapa Despacho - Mitad de Carga]]),"")</f>
        <v>46240.409722222219</v>
      </c>
      <c r="AE278" s="11">
        <f>IFERROR(IF(MARÍTIMOS[[#This Row],[Etapa Despacho - Fin de Carga]]="","",MARÍTIMOS[[#This Row],[Etapa Despacho - Fin de Carga]]),"")</f>
        <v>46240.520833333336</v>
      </c>
      <c r="AF278" s="2" t="str">
        <f>IFERROR(IF(MARÍTIMOS[[#This Row],[Puerto de Embarque]]="","",MARÍTIMOS[[#This Row],[Puerto de Embarque]]),"")</f>
        <v>Paita</v>
      </c>
      <c r="AG278" s="2" t="str">
        <f>IFERROR(IF(MARÍTIMOS[[#This Row],[Almacén de Ingreso]]="","",MARÍTIMOS[[#This Row],[Almacén de Ingreso]]),"")</f>
        <v>TPE</v>
      </c>
      <c r="AH278" s="11">
        <f>IFERROR(IF(MARÍTIMOS[[#This Row],[Etapa Ingreso - Cita]]="","",MARÍTIMOS[[#This Row],[Etapa Ingreso - Cita]]),"")</f>
        <v>46241.25</v>
      </c>
      <c r="AI278" s="11">
        <f>IFERROR(IF(MARÍTIMOS[[#This Row],[Etapa Ingreso - Llegada]]="","",MARÍTIMOS[[#This Row],[Etapa Ingreso - Llegada]]),"")</f>
        <v>46241.28402777778</v>
      </c>
      <c r="AJ278" s="11">
        <f>IFERROR(IF(MARÍTIMOS[[#This Row],[Etapa Ingreso - Ingeso]]="","",MARÍTIMOS[[#This Row],[Etapa Ingreso - Ingeso]]),"")</f>
        <v>46241.288888888892</v>
      </c>
      <c r="AK278" s="11">
        <f>IFERROR(IF(MARÍTIMOS[[#This Row],[Etapa Ingreso - Atención]]="","",MARÍTIMOS[[#This Row],[Etapa Ingreso - Atención]]),"")</f>
        <v>46241.293055555558</v>
      </c>
      <c r="AL278" s="11">
        <f>IFERROR(IF(MARÍTIMOS[[#This Row],[Etapa Ingreso - Salida]]="","",MARÍTIMOS[[#This Row],[Etapa Ingreso - Salida]]),"")</f>
        <v>46241.301388888889</v>
      </c>
      <c r="AM278" s="2">
        <f>IFERROR(IF(MARÍTIMOS[[#This Row],[FCL]]="","",MARÍTIMOS[[#This Row],[FCL]]),"")</f>
        <v>1</v>
      </c>
      <c r="AN2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8" s="4" t="str" cm="1">
        <f t="array" ref="AO2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8" s="5">
        <f>IFERROR(OLDBD[[#This Row],[Llegada a packing]]-OLDBD[[#This Row],[Inicio de Ruta]],"")</f>
        <v>0.79999999999563443</v>
      </c>
      <c r="AQ278" s="6">
        <f>IFERROR(OLDBD[[#This Row],[Inicio de Ruta]]-OLDBD[[#This Row],[Salida de almacén de retiro]],"")</f>
        <v>5.9722222220443655E-2</v>
      </c>
      <c r="AR2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78" s="8" t="str" cm="1">
        <f t="array" ref="AS2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8" s="9">
        <f>IFERROR(OLDBD[[#This Row],[Ingreso Packing]]-OLDBD[[#This Row],[Registro en Packing]],"")</f>
        <v>1.3888888890505768E-2</v>
      </c>
      <c r="AV278" s="9">
        <f>IFERROR(OLDBD[[#This Row],[Ingreso Packing]]-OLDBD[[#This Row],[Llegada a packing]],"")</f>
        <v>1.5972222223354038E-2</v>
      </c>
      <c r="AW2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78" s="5">
        <f>IFERROR(OLDBD[[#This Row],[Llegada Almacén de Ingreso]]-OLDBD[[#This Row],[Salida Packing]],"")</f>
        <v>0.76319444444379769</v>
      </c>
      <c r="AY278" s="4" t="str" cm="1">
        <f t="array" ref="AY2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8" s="43" t="s">
        <v>173</v>
      </c>
      <c r="BB278" s="47" t="str">
        <f>IFERROR(IF(MARÍTIMOS[[#This Row],[Estatus]]="","",MARÍTIMOS[[#This Row],[Estatus]]),"")</f>
        <v>Confirmado</v>
      </c>
      <c r="BC278" s="43"/>
      <c r="BD278" s="46">
        <f>IFERROR(OLDBD[[#This Row],[Salida de almacén de retiro]]-OLDBD[[#This Row],[Ingreso Almacén de retiro]],"")</f>
        <v>1.319444445107365E-2</v>
      </c>
      <c r="BE278" s="46">
        <f>IFERROR(OLDBD[[#This Row],[Fin de Carga]]-OLDBD[[#This Row],[Inicio de Carga]],"")</f>
        <v>2.0833333328482695E-2</v>
      </c>
    </row>
    <row r="279" spans="1:57" customFormat="1" hidden="1">
      <c r="A279" s="1"/>
      <c r="B279" s="1">
        <f>IFERROR(IF(MARÍTIMOS[[#This Row],[PP]]="","",MARÍTIMOS[[#This Row],[PP]]),"")</f>
        <v>32</v>
      </c>
      <c r="C279" s="1" t="str">
        <f>IFERROR(IF(MARÍTIMOS[[#This Row],[Sede]]="","",MARÍTIMOS[[#This Row],[Sede]]),"")</f>
        <v>Chao</v>
      </c>
      <c r="D279" s="1" t="str">
        <f>IFERROR(IF(MARÍTIMOS[[#This Row],[Instruction]]="","",MARÍTIMOS[[#This Row],[Instruction]]),"")</f>
        <v>RH-0437</v>
      </c>
      <c r="E279" s="1"/>
      <c r="F279" s="2" t="str">
        <f>IFERROR(IF(MARÍTIMOS[[#This Row],[Transportista]]="","",MARÍTIMOS[[#This Row],[Transportista]]),"")</f>
        <v>LIP</v>
      </c>
      <c r="G279" s="2" t="str">
        <f>IFERROR(IF(MARÍTIMOS[[#This Row],[Tercero]]="","",MARÍTIMOS[[#This Row],[Tercero]]),"")</f>
        <v>SI</v>
      </c>
      <c r="H279" s="2" t="str">
        <f>IFERROR(IF(MARÍTIMOS[[#This Row],[Razón Social]]="","",MARÍTIMOS[[#This Row],[Razón Social]]),"")</f>
        <v>TRANSCAR MATHEO SOCIEDAD ANONIMA CERRADA</v>
      </c>
      <c r="I279" s="2">
        <f>IFERROR(IF(MARÍTIMOS[[#This Row],[RUC]]="","",MARÍTIMOS[[#This Row],[RUC]]),"")</f>
        <v>20612886921</v>
      </c>
      <c r="J279" s="2" t="str">
        <f>IFERROR(IF(MARÍTIMOS[[#This Row],[Placa Tracto]]="","",MARÍTIMOS[[#This Row],[Placa Tracto]]),"")</f>
        <v>T0B-919</v>
      </c>
      <c r="K279" s="2" t="str">
        <f>IFERROR(IF(MARÍTIMOS[[#This Row],[Placa Carreta]]="","",MARÍTIMOS[[#This Row],[Placa Carreta]]),"")</f>
        <v>T0U-978</v>
      </c>
      <c r="L279" s="44" t="str">
        <f>IFERROR(IF(MARÍTIMOS[[#This Row],[Conductor]]="","",MARÍTIMOS[[#This Row],[Conductor]]),"")</f>
        <v>ANDRADE SUNCION ALEXANDER GABRIEL</v>
      </c>
      <c r="M279" s="2" t="str">
        <f>IFERROR(IF(MARÍTIMOS[[#This Row],[Licencia]]="","",MARÍTIMOS[[#This Row],[Licencia]]),"")</f>
        <v>B44776623</v>
      </c>
      <c r="N279" s="2">
        <f>IFERROR(IF(MARÍTIMOS[[#This Row],[Número de Contacto]]="","",MARÍTIMOS[[#This Row],[Número de Contacto]]),"")</f>
        <v>922824613</v>
      </c>
      <c r="O279" s="10" t="str">
        <f>IFERROR(IF(MARÍTIMOS[[#This Row],[Booking|AWB|CRT]]="","",MARÍTIMOS[[#This Row],[Booking|AWB|CRT]]),"")</f>
        <v>MBM250067112</v>
      </c>
      <c r="P279" s="2" t="str">
        <f>IFERROR(IF(MARÍTIMOS[[#This Row],[Contenedor]]="","",MARÍTIMOS[[#This Row],[Contenedor]]),"")</f>
        <v>CAAU4036084</v>
      </c>
      <c r="Q279" s="2" t="str">
        <f>IFERROR(IF(MARÍTIMOS[[#This Row],[Puerto de Retiro]]="","",MARÍTIMOS[[#This Row],[Puerto de Retiro]]),"")</f>
        <v>PAITA</v>
      </c>
      <c r="R279" s="2" t="str">
        <f>IFERROR(IF(MARÍTIMOS[[#This Row],[Almacén de Retiro]]="","",MARÍTIMOS[[#This Row],[Almacén de Retiro]]),"")</f>
        <v>MACROMAR</v>
      </c>
      <c r="S279" s="11">
        <f>IFERROR(IF(MARÍTIMOS[[#This Row],[Etapa Retiro - Cita]]="","",MARÍTIMOS[[#This Row],[Etapa Retiro - Cita]]),"")</f>
        <v>46239.458333333336</v>
      </c>
      <c r="T279" s="11">
        <f>IFERROR(IF(MARÍTIMOS[[#This Row],[Etapa Retiro - Llegada]]="","",MARÍTIMOS[[#This Row],[Etapa Retiro - Llegada]]),"")</f>
        <v>46239.47152777778</v>
      </c>
      <c r="U279" s="11">
        <f>IFERROR(IF(MARÍTIMOS[[#This Row],[Etapa Retiro - Ingreso]]="","",MARÍTIMOS[[#This Row],[Etapa Retiro - Ingreso]]),"")</f>
        <v>46239.473611111112</v>
      </c>
      <c r="V279" s="11">
        <f>IFERROR(IF(MARÍTIMOS[[#This Row],[Etapa Retiro - Atención]]="","",MARÍTIMOS[[#This Row],[Etapa Retiro - Atención]]),"")</f>
        <v>46239.484027777777</v>
      </c>
      <c r="W279" s="11">
        <f>IFERROR(IF(MARÍTIMOS[[#This Row],[Etapa Retiro - Atención]]="","",MARÍTIMOS[[#This Row],[Etapa Retiro - Atención]]),"")</f>
        <v>46239.484027777777</v>
      </c>
      <c r="X279" s="11">
        <f>IFERROR(IF(MARÍTIMOS[[#This Row],[Etapa Retiro - Inicio de Ruta]]="","",MARÍTIMOS[[#This Row],[Etapa Retiro - Inicio de Ruta]]),"")</f>
        <v>46239.587500000001</v>
      </c>
      <c r="Y279" s="11">
        <f>IFERROR(IF(MARÍTIMOS[[#This Row],[Hora de Posicionamiento]]="","",MARÍTIMOS[[#This Row],[Fecha de Carga]]+MARÍTIMOS[[#This Row],[Hora de Posicionamiento]]),"")</f>
        <v>46240.333333333336</v>
      </c>
      <c r="Z279" s="11">
        <f>IFERROR(IF(MARÍTIMOS[[#This Row],[Etapa Despacho - Llegada]]="","",MARÍTIMOS[[#This Row],[Etapa Despacho - Llegada]]),"")</f>
        <v>46240.378472222219</v>
      </c>
      <c r="AA279" s="11">
        <f>IFERROR(IF(MARÍTIMOS[[#This Row],[Etapa Despacho - Registro]]="","",MARÍTIMOS[[#This Row],[Etapa Despacho - Registro]]),"")</f>
        <v>46240.388888888891</v>
      </c>
      <c r="AB279" s="11">
        <f>IFERROR(IF(MARÍTIMOS[[#This Row],[Inspección Externa]]="","",MARÍTIMOS[[#This Row],[Inspección Externa]]),"")</f>
        <v>46240.402777777781</v>
      </c>
      <c r="AC279" s="11">
        <f>IFERROR(IF(MARÍTIMOS[[#This Row],[Etapa Despacho - Inicio de Carga]]="","",MARÍTIMOS[[#This Row],[Etapa Despacho - Inicio de Carga]]),"")</f>
        <v>46240.430555555555</v>
      </c>
      <c r="AD279" s="11">
        <f>IFERROR(IF(MARÍTIMOS[[#This Row],[Etapa Despacho - Mitad de Carga]]="","",MARÍTIMOS[[#This Row],[Etapa Despacho - Mitad de Carga]]),"")</f>
        <v>46240.444444444445</v>
      </c>
      <c r="AE279" s="11">
        <f>IFERROR(IF(MARÍTIMOS[[#This Row],[Etapa Despacho - Fin de Carga]]="","",MARÍTIMOS[[#This Row],[Etapa Despacho - Fin de Carga]]),"")</f>
        <v>46240.53125</v>
      </c>
      <c r="AF279" s="2" t="str">
        <f>IFERROR(IF(MARÍTIMOS[[#This Row],[Puerto de Embarque]]="","",MARÍTIMOS[[#This Row],[Puerto de Embarque]]),"")</f>
        <v>Paita</v>
      </c>
      <c r="AG279" s="2" t="str">
        <f>IFERROR(IF(MARÍTIMOS[[#This Row],[Almacén de Ingreso]]="","",MARÍTIMOS[[#This Row],[Almacén de Ingreso]]),"")</f>
        <v>TPE</v>
      </c>
      <c r="AH279" s="11">
        <f>IFERROR(IF(MARÍTIMOS[[#This Row],[Etapa Ingreso - Cita]]="","",MARÍTIMOS[[#This Row],[Etapa Ingreso - Cita]]),"")</f>
        <v>46241.291666666664</v>
      </c>
      <c r="AI279" s="11">
        <f>IFERROR(IF(MARÍTIMOS[[#This Row],[Etapa Ingreso - Llegada]]="","",MARÍTIMOS[[#This Row],[Etapa Ingreso - Llegada]]),"")</f>
        <v>46241.320833333331</v>
      </c>
      <c r="AJ279" s="11">
        <f>IFERROR(IF(MARÍTIMOS[[#This Row],[Etapa Ingreso - Ingeso]]="","",MARÍTIMOS[[#This Row],[Etapa Ingreso - Ingeso]]),"")</f>
        <v>46241.324999999997</v>
      </c>
      <c r="AK279" s="11">
        <f>IFERROR(IF(MARÍTIMOS[[#This Row],[Etapa Ingreso - Atención]]="","",MARÍTIMOS[[#This Row],[Etapa Ingreso - Atención]]),"")</f>
        <v>46241.327777777777</v>
      </c>
      <c r="AL279" s="11">
        <f>IFERROR(IF(MARÍTIMOS[[#This Row],[Etapa Ingreso - Salida]]="","",MARÍTIMOS[[#This Row],[Etapa Ingreso - Salida]]),"")</f>
        <v>46241.336805555555</v>
      </c>
      <c r="AM279" s="2">
        <f>IFERROR(IF(MARÍTIMOS[[#This Row],[FCL]]="","",MARÍTIMOS[[#This Row],[FCL]]),"")</f>
        <v>1</v>
      </c>
      <c r="AN2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79" s="4" t="str" cm="1">
        <f t="array" ref="AO2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79" s="5">
        <f>IFERROR(OLDBD[[#This Row],[Llegada a packing]]-OLDBD[[#This Row],[Inicio de Ruta]],"")</f>
        <v>0.79097222221753327</v>
      </c>
      <c r="AQ279" s="6">
        <f>IFERROR(OLDBD[[#This Row],[Inicio de Ruta]]-OLDBD[[#This Row],[Salida de almacén de retiro]],"")</f>
        <v>0.10347222222480923</v>
      </c>
      <c r="AR2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79" s="8" t="str" cm="1">
        <f t="array" ref="AS2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79" s="9">
        <f>IFERROR(OLDBD[[#This Row],[Ingreso Packing]]-OLDBD[[#This Row],[Registro en Packing]],"")</f>
        <v>1.3888888890505768E-2</v>
      </c>
      <c r="AV279" s="9">
        <f>IFERROR(OLDBD[[#This Row],[Ingreso Packing]]-OLDBD[[#This Row],[Llegada a packing]],"")</f>
        <v>2.4305555562023073E-2</v>
      </c>
      <c r="AW2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79" s="5">
        <f>IFERROR(OLDBD[[#This Row],[Llegada Almacén de Ingreso]]-OLDBD[[#This Row],[Salida Packing]],"")</f>
        <v>0.78958333333139308</v>
      </c>
      <c r="AY279" s="4" t="str" cm="1">
        <f t="array" ref="AY2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79" s="43" t="s">
        <v>173</v>
      </c>
      <c r="BB279" s="47" t="str">
        <f>IFERROR(IF(MARÍTIMOS[[#This Row],[Estatus]]="","",MARÍTIMOS[[#This Row],[Estatus]]),"")</f>
        <v>Confirmado</v>
      </c>
      <c r="BC279" s="43"/>
      <c r="BD279" s="46">
        <f>IFERROR(OLDBD[[#This Row],[Salida de almacén de retiro]]-OLDBD[[#This Row],[Ingreso Almacén de retiro]],"")</f>
        <v>1.0416666664241347E-2</v>
      </c>
      <c r="BE279" s="46">
        <f>IFERROR(OLDBD[[#This Row],[Fin de Carga]]-OLDBD[[#This Row],[Inicio de Carga]],"")</f>
        <v>1.3888888890505768E-2</v>
      </c>
    </row>
    <row r="280" spans="1:57" customFormat="1" hidden="1">
      <c r="A280" s="1"/>
      <c r="B280" s="1">
        <f>IFERROR(IF(MARÍTIMOS[[#This Row],[PP]]="","",MARÍTIMOS[[#This Row],[PP]]),"")</f>
        <v>32</v>
      </c>
      <c r="C280" s="1" t="str">
        <f>IFERROR(IF(MARÍTIMOS[[#This Row],[Sede]]="","",MARÍTIMOS[[#This Row],[Sede]]),"")</f>
        <v>Chao</v>
      </c>
      <c r="D280" s="1" t="str">
        <f>IFERROR(IF(MARÍTIMOS[[#This Row],[Instruction]]="","",MARÍTIMOS[[#This Row],[Instruction]]),"")</f>
        <v>RH-0438</v>
      </c>
      <c r="E280" s="1"/>
      <c r="F280" s="2" t="str">
        <f>IFERROR(IF(MARÍTIMOS[[#This Row],[Transportista]]="","",MARÍTIMOS[[#This Row],[Transportista]]),"")</f>
        <v>LIP</v>
      </c>
      <c r="G280" s="2" t="str">
        <f>IFERROR(IF(MARÍTIMOS[[#This Row],[Tercero]]="","",MARÍTIMOS[[#This Row],[Tercero]]),"")</f>
        <v>SI</v>
      </c>
      <c r="H280" s="2" t="str">
        <f>IFERROR(IF(MARÍTIMOS[[#This Row],[Razón Social]]="","",MARÍTIMOS[[#This Row],[Razón Social]]),"")</f>
        <v>INVERSIONES LOS ALVARADO GROUP S.A.C</v>
      </c>
      <c r="I280" s="2">
        <f>IFERROR(IF(MARÍTIMOS[[#This Row],[RUC]]="","",MARÍTIMOS[[#This Row],[RUC]]),"")</f>
        <v>20526041845</v>
      </c>
      <c r="J280" s="2" t="str">
        <f>IFERROR(IF(MARÍTIMOS[[#This Row],[Placa Tracto]]="","",MARÍTIMOS[[#This Row],[Placa Tracto]]),"")</f>
        <v>ALW-907</v>
      </c>
      <c r="K280" s="2" t="str">
        <f>IFERROR(IF(MARÍTIMOS[[#This Row],[Placa Carreta]]="","",MARÍTIMOS[[#This Row],[Placa Carreta]]),"")</f>
        <v>T0J-999</v>
      </c>
      <c r="L280" s="44" t="str">
        <f>IFERROR(IF(MARÍTIMOS[[#This Row],[Conductor]]="","",MARÍTIMOS[[#This Row],[Conductor]]),"")</f>
        <v>CAMPOS CORDOVA HAMILTON JAIRO</v>
      </c>
      <c r="M280" s="2" t="str">
        <f>IFERROR(IF(MARÍTIMOS[[#This Row],[Licencia]]="","",MARÍTIMOS[[#This Row],[Licencia]]),"")</f>
        <v>B44422939</v>
      </c>
      <c r="N280" s="2">
        <f>IFERROR(IF(MARÍTIMOS[[#This Row],[Número de Contacto]]="","",MARÍTIMOS[[#This Row],[Número de Contacto]]),"")</f>
        <v>977252689</v>
      </c>
      <c r="O280" s="10" t="str">
        <f>IFERROR(IF(MARÍTIMOS[[#This Row],[Booking|AWB|CRT]]="","",MARÍTIMOS[[#This Row],[Booking|AWB|CRT]]),"")</f>
        <v>MBM250067113</v>
      </c>
      <c r="P280" s="2" t="str">
        <f>IFERROR(IF(MARÍTIMOS[[#This Row],[Contenedor]]="","",MARÍTIMOS[[#This Row],[Contenedor]]),"")</f>
        <v>SEKU9238349</v>
      </c>
      <c r="Q280" s="2" t="str">
        <f>IFERROR(IF(MARÍTIMOS[[#This Row],[Puerto de Retiro]]="","",MARÍTIMOS[[#This Row],[Puerto de Retiro]]),"")</f>
        <v>PAITA</v>
      </c>
      <c r="R280" s="2" t="str">
        <f>IFERROR(IF(MARÍTIMOS[[#This Row],[Almacén de Retiro]]="","",MARÍTIMOS[[#This Row],[Almacén de Retiro]]),"")</f>
        <v>MACROMAR</v>
      </c>
      <c r="S280" s="11">
        <f>IFERROR(IF(MARÍTIMOS[[#This Row],[Etapa Retiro - Cita]]="","",MARÍTIMOS[[#This Row],[Etapa Retiro - Cita]]),"")</f>
        <v>46239.458333333336</v>
      </c>
      <c r="T280" s="11">
        <f>IFERROR(IF(MARÍTIMOS[[#This Row],[Etapa Retiro - Llegada]]="","",MARÍTIMOS[[#This Row],[Etapa Retiro - Llegada]]),"")</f>
        <v>46239.464583333334</v>
      </c>
      <c r="U280" s="11">
        <f>IFERROR(IF(MARÍTIMOS[[#This Row],[Etapa Retiro - Ingreso]]="","",MARÍTIMOS[[#This Row],[Etapa Retiro - Ingreso]]),"")</f>
        <v>46239.466666666667</v>
      </c>
      <c r="V280" s="11">
        <f>IFERROR(IF(MARÍTIMOS[[#This Row],[Etapa Retiro - Atención]]="","",MARÍTIMOS[[#This Row],[Etapa Retiro - Atención]]),"")</f>
        <v>46239.489583333336</v>
      </c>
      <c r="W280" s="11">
        <f>IFERROR(IF(MARÍTIMOS[[#This Row],[Etapa Retiro - Atención]]="","",MARÍTIMOS[[#This Row],[Etapa Retiro - Atención]]),"")</f>
        <v>46239.489583333336</v>
      </c>
      <c r="X280" s="11">
        <f>IFERROR(IF(MARÍTIMOS[[#This Row],[Etapa Retiro - Inicio de Ruta]]="","",MARÍTIMOS[[#This Row],[Etapa Retiro - Inicio de Ruta]]),"")</f>
        <v>46239.552777777775</v>
      </c>
      <c r="Y280" s="11">
        <f>IFERROR(IF(MARÍTIMOS[[#This Row],[Hora de Posicionamiento]]="","",MARÍTIMOS[[#This Row],[Fecha de Carga]]+MARÍTIMOS[[#This Row],[Hora de Posicionamiento]]),"")</f>
        <v>46240.5</v>
      </c>
      <c r="Z280" s="11">
        <f>IFERROR(IF(MARÍTIMOS[[#This Row],[Etapa Despacho - Llegada]]="","",MARÍTIMOS[[#This Row],[Etapa Despacho - Llegada]]),"")</f>
        <v>46240.393055555556</v>
      </c>
      <c r="AA280" s="11">
        <f>IFERROR(IF(MARÍTIMOS[[#This Row],[Etapa Despacho - Registro]]="","",MARÍTIMOS[[#This Row],[Etapa Despacho - Registro]]),"")</f>
        <v>46240.416666666664</v>
      </c>
      <c r="AB280" s="11">
        <f>IFERROR(IF(MARÍTIMOS[[#This Row],[Inspección Externa]]="","",MARÍTIMOS[[#This Row],[Inspección Externa]]),"")</f>
        <v>46240.430555555555</v>
      </c>
      <c r="AC280" s="11">
        <f>IFERROR(IF(MARÍTIMOS[[#This Row],[Etapa Despacho - Inicio de Carga]]="","",MARÍTIMOS[[#This Row],[Etapa Despacho - Inicio de Carga]]),"")</f>
        <v>46240.458333333336</v>
      </c>
      <c r="AD280" s="11">
        <f>IFERROR(IF(MARÍTIMOS[[#This Row],[Etapa Despacho - Mitad de Carga]]="","",MARÍTIMOS[[#This Row],[Etapa Despacho - Mitad de Carga]]),"")</f>
        <v>46240.472222222219</v>
      </c>
      <c r="AE280" s="11">
        <f>IFERROR(IF(MARÍTIMOS[[#This Row],[Etapa Despacho - Fin de Carga]]="","",MARÍTIMOS[[#This Row],[Etapa Despacho - Fin de Carga]]),"")</f>
        <v>46240.53125</v>
      </c>
      <c r="AF280" s="2" t="str">
        <f>IFERROR(IF(MARÍTIMOS[[#This Row],[Puerto de Embarque]]="","",MARÍTIMOS[[#This Row],[Puerto de Embarque]]),"")</f>
        <v>Paita</v>
      </c>
      <c r="AG280" s="2" t="str">
        <f>IFERROR(IF(MARÍTIMOS[[#This Row],[Almacén de Ingreso]]="","",MARÍTIMOS[[#This Row],[Almacén de Ingreso]]),"")</f>
        <v>TPE</v>
      </c>
      <c r="AH280" s="11">
        <f>IFERROR(IF(MARÍTIMOS[[#This Row],[Etapa Ingreso - Cita]]="","",MARÍTIMOS[[#This Row],[Etapa Ingreso - Cita]]),"")</f>
        <v>46241.083333333336</v>
      </c>
      <c r="AI280" s="11">
        <f>IFERROR(IF(MARÍTIMOS[[#This Row],[Etapa Ingreso - Llegada]]="","",MARÍTIMOS[[#This Row],[Etapa Ingreso - Llegada]]),"")</f>
        <v>46241.09097222222</v>
      </c>
      <c r="AJ280" s="11">
        <f>IFERROR(IF(MARÍTIMOS[[#This Row],[Etapa Ingreso - Ingeso]]="","",MARÍTIMOS[[#This Row],[Etapa Ingreso - Ingeso]]),"")</f>
        <v>46241.1</v>
      </c>
      <c r="AK280" s="11">
        <f>IFERROR(IF(MARÍTIMOS[[#This Row],[Etapa Ingreso - Atención]]="","",MARÍTIMOS[[#This Row],[Etapa Ingreso - Atención]]),"")</f>
        <v>46241.104166666664</v>
      </c>
      <c r="AL280" s="11">
        <f>IFERROR(IF(MARÍTIMOS[[#This Row],[Etapa Ingreso - Salida]]="","",MARÍTIMOS[[#This Row],[Etapa Ingreso - Salida]]),"")</f>
        <v>46241.126388888886</v>
      </c>
      <c r="AM280" s="2">
        <f>IFERROR(IF(MARÍTIMOS[[#This Row],[FCL]]="","",MARÍTIMOS[[#This Row],[FCL]]),"")</f>
        <v>1</v>
      </c>
      <c r="AN2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0" s="4" t="str" cm="1">
        <f t="array" ref="AO2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0" s="5">
        <f>IFERROR(OLDBD[[#This Row],[Llegada a packing]]-OLDBD[[#This Row],[Inicio de Ruta]],"")</f>
        <v>0.84027777778101154</v>
      </c>
      <c r="AQ280" s="6">
        <f>IFERROR(OLDBD[[#This Row],[Inicio de Ruta]]-OLDBD[[#This Row],[Salida de almacén de retiro]],"")</f>
        <v>6.3194444439432118E-2</v>
      </c>
      <c r="AR2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80" s="8" t="str" cm="1">
        <f t="array" ref="AS2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0" s="9">
        <f>IFERROR(OLDBD[[#This Row],[Ingreso Packing]]-OLDBD[[#This Row],[Registro en Packing]],"")</f>
        <v>1.3888888890505768E-2</v>
      </c>
      <c r="AV280" s="9">
        <f>IFERROR(OLDBD[[#This Row],[Ingreso Packing]]-OLDBD[[#This Row],[Llegada a packing]],"")</f>
        <v>3.7499999998544808E-2</v>
      </c>
      <c r="AW2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80" s="5">
        <f>IFERROR(OLDBD[[#This Row],[Llegada Almacén de Ingreso]]-OLDBD[[#This Row],[Salida Packing]],"")</f>
        <v>0.55972222222044365</v>
      </c>
      <c r="AY280" s="4" t="str" cm="1">
        <f t="array" ref="AY2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0" s="43" t="s">
        <v>173</v>
      </c>
      <c r="BB280" s="47" t="str">
        <f>IFERROR(IF(MARÍTIMOS[[#This Row],[Estatus]]="","",MARÍTIMOS[[#This Row],[Estatus]]),"")</f>
        <v>Confirmado</v>
      </c>
      <c r="BC280" s="43"/>
      <c r="BD280" s="46">
        <f>IFERROR(OLDBD[[#This Row],[Salida de almacén de retiro]]-OLDBD[[#This Row],[Ingreso Almacén de retiro]],"")</f>
        <v>2.2916666668606922E-2</v>
      </c>
      <c r="BE280" s="46">
        <f>IFERROR(OLDBD[[#This Row],[Fin de Carga]]-OLDBD[[#This Row],[Inicio de Carga]],"")</f>
        <v>1.3888888883229811E-2</v>
      </c>
    </row>
    <row r="281" spans="1:57" customFormat="1" hidden="1">
      <c r="A281" s="1"/>
      <c r="B281" s="1">
        <f>IFERROR(IF(MARÍTIMOS[[#This Row],[PP]]="","",MARÍTIMOS[[#This Row],[PP]]),"")</f>
        <v>32</v>
      </c>
      <c r="C281" s="1" t="str">
        <f>IFERROR(IF(MARÍTIMOS[[#This Row],[Sede]]="","",MARÍTIMOS[[#This Row],[Sede]]),"")</f>
        <v>Chao</v>
      </c>
      <c r="D281" s="1" t="str">
        <f>IFERROR(IF(MARÍTIMOS[[#This Row],[Instruction]]="","",MARÍTIMOS[[#This Row],[Instruction]]),"")</f>
        <v>RH-0447</v>
      </c>
      <c r="E281" s="1"/>
      <c r="F281" s="2" t="str">
        <f>IFERROR(IF(MARÍTIMOS[[#This Row],[Transportista]]="","",MARÍTIMOS[[#This Row],[Transportista]]),"")</f>
        <v>LIP</v>
      </c>
      <c r="G281" s="2" t="str">
        <f>IFERROR(IF(MARÍTIMOS[[#This Row],[Tercero]]="","",MARÍTIMOS[[#This Row],[Tercero]]),"")</f>
        <v>SI</v>
      </c>
      <c r="H281" s="2" t="str">
        <f>IFERROR(IF(MARÍTIMOS[[#This Row],[Razón Social]]="","",MARÍTIMOS[[#This Row],[Razón Social]]),"")</f>
        <v>INVERSIONES LOS ALVARADO GROUP S.A.C</v>
      </c>
      <c r="I281" s="2">
        <f>IFERROR(IF(MARÍTIMOS[[#This Row],[RUC]]="","",MARÍTIMOS[[#This Row],[RUC]]),"")</f>
        <v>20526041845</v>
      </c>
      <c r="J281" s="2" t="str">
        <f>IFERROR(IF(MARÍTIMOS[[#This Row],[Placa Tracto]]="","",MARÍTIMOS[[#This Row],[Placa Tracto]]),"")</f>
        <v>C1Q-787</v>
      </c>
      <c r="K281" s="2" t="str">
        <f>IFERROR(IF(MARÍTIMOS[[#This Row],[Placa Carreta]]="","",MARÍTIMOS[[#This Row],[Placa Carreta]]),"")</f>
        <v>TNZ-978</v>
      </c>
      <c r="L281" s="44" t="str">
        <f>IFERROR(IF(MARÍTIMOS[[#This Row],[Conductor]]="","",MARÍTIMOS[[#This Row],[Conductor]]),"")</f>
        <v>ROJAS CURAY EVERT ENRIQUE</v>
      </c>
      <c r="M281" s="2" t="str">
        <f>IFERROR(IF(MARÍTIMOS[[#This Row],[Licencia]]="","",MARÍTIMOS[[#This Row],[Licencia]]),"")</f>
        <v>B41307612</v>
      </c>
      <c r="N281" s="2" t="str">
        <f>IFERROR(IF(MARÍTIMOS[[#This Row],[Número de Contacto]]="","",MARÍTIMOS[[#This Row],[Número de Contacto]]),"")</f>
        <v>946 033 117</v>
      </c>
      <c r="O281" s="10" t="str">
        <f>IFERROR(IF(MARÍTIMOS[[#This Row],[Booking|AWB|CRT]]="","",MARÍTIMOS[[#This Row],[Booking|AWB|CRT]]),"")</f>
        <v>BN80682</v>
      </c>
      <c r="P281" s="2" t="str">
        <f>IFERROR(IF(MARÍTIMOS[[#This Row],[Contenedor]]="","",MARÍTIMOS[[#This Row],[Contenedor]]),"")</f>
        <v>SEKU9262807</v>
      </c>
      <c r="Q281" s="2" t="str">
        <f>IFERROR(IF(MARÍTIMOS[[#This Row],[Puerto de Retiro]]="","",MARÍTIMOS[[#This Row],[Puerto de Retiro]]),"")</f>
        <v>PAITA</v>
      </c>
      <c r="R281" s="2" t="str">
        <f>IFERROR(IF(MARÍTIMOS[[#This Row],[Almacén de Retiro]]="","",MARÍTIMOS[[#This Row],[Almacén de Retiro]]),"")</f>
        <v>DPW</v>
      </c>
      <c r="S281" s="11">
        <f>IFERROR(IF(MARÍTIMOS[[#This Row],[Etapa Retiro - Cita]]="","",MARÍTIMOS[[#This Row],[Etapa Retiro - Cita]]),"")</f>
        <v>46242.458333333336</v>
      </c>
      <c r="T281" s="11">
        <f>IFERROR(IF(MARÍTIMOS[[#This Row],[Etapa Retiro - Llegada]]="","",MARÍTIMOS[[#This Row],[Etapa Retiro - Llegada]]),"")</f>
        <v>46242.462500000001</v>
      </c>
      <c r="U281" s="11">
        <f>IFERROR(IF(MARÍTIMOS[[#This Row],[Etapa Retiro - Ingreso]]="","",MARÍTIMOS[[#This Row],[Etapa Retiro - Ingreso]]),"")</f>
        <v>46242.465277777781</v>
      </c>
      <c r="V281" s="11">
        <f>IFERROR(IF(MARÍTIMOS[[#This Row],[Etapa Retiro - Atención]]="","",MARÍTIMOS[[#This Row],[Etapa Retiro - Atención]]),"")</f>
        <v>46242.47152777778</v>
      </c>
      <c r="W281" s="11">
        <f>IFERROR(IF(MARÍTIMOS[[#This Row],[Etapa Retiro - Atención]]="","",MARÍTIMOS[[#This Row],[Etapa Retiro - Atención]]),"")</f>
        <v>46242.47152777778</v>
      </c>
      <c r="X281" s="11">
        <f>IFERROR(IF(MARÍTIMOS[[#This Row],[Etapa Retiro - Inicio de Ruta]]="","",MARÍTIMOS[[#This Row],[Etapa Retiro - Inicio de Ruta]]),"")</f>
        <v>46242.531944444447</v>
      </c>
      <c r="Y281" s="11">
        <f>IFERROR(IF(MARÍTIMOS[[#This Row],[Hora de Posicionamiento]]="","",MARÍTIMOS[[#This Row],[Fecha de Carga]]+MARÍTIMOS[[#This Row],[Hora de Posicionamiento]]),"")</f>
        <v>46243.625</v>
      </c>
      <c r="Z281" s="11">
        <f>IFERROR(IF(MARÍTIMOS[[#This Row],[Etapa Despacho - Llegada]]="","",MARÍTIMOS[[#This Row],[Etapa Despacho - Llegada]]),"")</f>
        <v>46243.426388888889</v>
      </c>
      <c r="AA281" s="11">
        <f>IFERROR(IF(MARÍTIMOS[[#This Row],[Etapa Despacho - Registro]]="","",MARÍTIMOS[[#This Row],[Etapa Despacho - Registro]]),"")</f>
        <v>46243.430555555555</v>
      </c>
      <c r="AB281" s="11">
        <f>IFERROR(IF(MARÍTIMOS[[#This Row],[Inspección Externa]]="","",MARÍTIMOS[[#This Row],[Inspección Externa]]),"")</f>
        <v>46243.444444444445</v>
      </c>
      <c r="AC281" s="11">
        <f>IFERROR(IF(MARÍTIMOS[[#This Row],[Etapa Despacho - Inicio de Carga]]="","",MARÍTIMOS[[#This Row],[Etapa Despacho - Inicio de Carga]]),"")</f>
        <v>46243.472222222219</v>
      </c>
      <c r="AD281" s="11">
        <f>IFERROR(IF(MARÍTIMOS[[#This Row],[Etapa Despacho - Mitad de Carga]]="","",MARÍTIMOS[[#This Row],[Etapa Despacho - Mitad de Carga]]),"")</f>
        <v>46243.486111111109</v>
      </c>
      <c r="AE281" s="11">
        <f>IFERROR(IF(MARÍTIMOS[[#This Row],[Etapa Despacho - Fin de Carga]]="","",MARÍTIMOS[[#This Row],[Etapa Despacho - Fin de Carga]]),"")</f>
        <v>46243.833333333336</v>
      </c>
      <c r="AF281" s="2" t="str">
        <f>IFERROR(IF(MARÍTIMOS[[#This Row],[Puerto de Embarque]]="","",MARÍTIMOS[[#This Row],[Puerto de Embarque]]),"")</f>
        <v>Paita</v>
      </c>
      <c r="AG281" s="2" t="str">
        <f>IFERROR(IF(MARÍTIMOS[[#This Row],[Almacén de Ingreso]]="","",MARÍTIMOS[[#This Row],[Almacén de Ingreso]]),"")</f>
        <v>TPE</v>
      </c>
      <c r="AH281" s="11">
        <f>IFERROR(IF(MARÍTIMOS[[#This Row],[Etapa Ingreso - Cita]]="","",MARÍTIMOS[[#This Row],[Etapa Ingreso - Cita]]),"")</f>
        <v>46244.458333333336</v>
      </c>
      <c r="AI281" s="11">
        <f>IFERROR(IF(MARÍTIMOS[[#This Row],[Etapa Ingreso - Llegada]]="","",MARÍTIMOS[[#This Row],[Etapa Ingreso - Llegada]]),"")</f>
        <v>46244.477777777778</v>
      </c>
      <c r="AJ281" s="11">
        <f>IFERROR(IF(MARÍTIMOS[[#This Row],[Etapa Ingreso - Ingeso]]="","",MARÍTIMOS[[#This Row],[Etapa Ingreso - Ingeso]]),"")</f>
        <v>46244.480555555558</v>
      </c>
      <c r="AK281" s="11">
        <f>IFERROR(IF(MARÍTIMOS[[#This Row],[Etapa Ingreso - Atención]]="","",MARÍTIMOS[[#This Row],[Etapa Ingreso - Atención]]),"")</f>
        <v>46244.484027777777</v>
      </c>
      <c r="AL281" s="11">
        <f>IFERROR(IF(MARÍTIMOS[[#This Row],[Etapa Ingreso - Salida]]="","",MARÍTIMOS[[#This Row],[Etapa Ingreso - Salida]]),"")</f>
        <v>46244.495138888888</v>
      </c>
      <c r="AM281" s="2">
        <f>IFERROR(IF(MARÍTIMOS[[#This Row],[FCL]]="","",MARÍTIMOS[[#This Row],[FCL]]),"")</f>
        <v>1</v>
      </c>
      <c r="AN2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1" s="4" t="str" cm="1">
        <f t="array" ref="AO2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1" s="5">
        <f>IFERROR(OLDBD[[#This Row],[Llegada a packing]]-OLDBD[[#This Row],[Inicio de Ruta]],"")</f>
        <v>0.8944444444423425</v>
      </c>
      <c r="AQ281" s="6">
        <f>IFERROR(OLDBD[[#This Row],[Inicio de Ruta]]-OLDBD[[#This Row],[Salida de almacén de retiro]],"")</f>
        <v>6.0416666667151731E-2</v>
      </c>
      <c r="AR2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81" s="8" t="str" cm="1">
        <f t="array" ref="AS2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1" s="9">
        <f>IFERROR(OLDBD[[#This Row],[Ingreso Packing]]-OLDBD[[#This Row],[Registro en Packing]],"")</f>
        <v>1.3888888890505768E-2</v>
      </c>
      <c r="AV281" s="9">
        <f>IFERROR(OLDBD[[#This Row],[Ingreso Packing]]-OLDBD[[#This Row],[Llegada a packing]],"")</f>
        <v>1.8055555556202307E-2</v>
      </c>
      <c r="AW2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81" s="5">
        <f>IFERROR(OLDBD[[#This Row],[Llegada Almacén de Ingreso]]-OLDBD[[#This Row],[Salida Packing]],"")</f>
        <v>0.6444444444423425</v>
      </c>
      <c r="AY281" s="4" t="str" cm="1">
        <f t="array" ref="AY2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1" s="43" t="s">
        <v>173</v>
      </c>
      <c r="BB281" s="47" t="str">
        <f>IFERROR(IF(MARÍTIMOS[[#This Row],[Estatus]]="","",MARÍTIMOS[[#This Row],[Estatus]]),"")</f>
        <v>Confirmado</v>
      </c>
      <c r="BC281" s="43"/>
      <c r="BD281" s="46">
        <f>IFERROR(OLDBD[[#This Row],[Salida de almacén de retiro]]-OLDBD[[#This Row],[Ingreso Almacén de retiro]],"")</f>
        <v>6.2499999985448085E-3</v>
      </c>
      <c r="BE281" s="46">
        <f>IFERROR(OLDBD[[#This Row],[Fin de Carga]]-OLDBD[[#This Row],[Inicio de Carga]],"")</f>
        <v>1.3888888890505768E-2</v>
      </c>
    </row>
    <row r="282" spans="1:57" customFormat="1" hidden="1">
      <c r="A282" s="1"/>
      <c r="B282" s="1">
        <f>IFERROR(IF(MARÍTIMOS[[#This Row],[PP]]="","",MARÍTIMOS[[#This Row],[PP]]),"")</f>
        <v>32</v>
      </c>
      <c r="C282" s="1" t="str">
        <f>IFERROR(IF(MARÍTIMOS[[#This Row],[Sede]]="","",MARÍTIMOS[[#This Row],[Sede]]),"")</f>
        <v>Chao</v>
      </c>
      <c r="D282" s="1" t="str">
        <f>IFERROR(IF(MARÍTIMOS[[#This Row],[Instruction]]="","",MARÍTIMOS[[#This Row],[Instruction]]),"")</f>
        <v>RH-0448</v>
      </c>
      <c r="E282" s="1" t="s">
        <v>1979</v>
      </c>
      <c r="F282" s="2" t="str">
        <f>IFERROR(IF(MARÍTIMOS[[#This Row],[Transportista]]="","",MARÍTIMOS[[#This Row],[Transportista]]),"")</f>
        <v>LIP</v>
      </c>
      <c r="G282" s="2" t="str">
        <f>IFERROR(IF(MARÍTIMOS[[#This Row],[Tercero]]="","",MARÍTIMOS[[#This Row],[Tercero]]),"")</f>
        <v>SI</v>
      </c>
      <c r="H282" s="2" t="str">
        <f>IFERROR(IF(MARÍTIMOS[[#This Row],[Razón Social]]="","",MARÍTIMOS[[#This Row],[Razón Social]]),"")</f>
        <v>TRANSCAR MATHEO SOCIEDAD ANONIMA CERRADA</v>
      </c>
      <c r="I282" s="2">
        <f>IFERROR(IF(MARÍTIMOS[[#This Row],[RUC]]="","",MARÍTIMOS[[#This Row],[RUC]]),"")</f>
        <v>20612886921</v>
      </c>
      <c r="J282" s="2" t="str">
        <f>IFERROR(IF(MARÍTIMOS[[#This Row],[Placa Tracto]]="","",MARÍTIMOS[[#This Row],[Placa Tracto]]),"")</f>
        <v>TAC-925</v>
      </c>
      <c r="K282" s="2" t="str">
        <f>IFERROR(IF(MARÍTIMOS[[#This Row],[Placa Carreta]]="","",MARÍTIMOS[[#This Row],[Placa Carreta]]),"")</f>
        <v>TOR-980</v>
      </c>
      <c r="L282" s="44" t="str">
        <f>IFERROR(IF(MARÍTIMOS[[#This Row],[Conductor]]="","",MARÍTIMOS[[#This Row],[Conductor]]),"")</f>
        <v>IPANAQUE GARCIA VALENTIN</v>
      </c>
      <c r="M282" s="2" t="str">
        <f>IFERROR(IF(MARÍTIMOS[[#This Row],[Licencia]]="","",MARÍTIMOS[[#This Row],[Licencia]]),"")</f>
        <v>B41789176</v>
      </c>
      <c r="N282" s="2">
        <f>IFERROR(IF(MARÍTIMOS[[#This Row],[Número de Contacto]]="","",MARÍTIMOS[[#This Row],[Número de Contacto]]),"")</f>
        <v>944018002</v>
      </c>
      <c r="O282" s="10" t="str">
        <f>IFERROR(IF(MARÍTIMOS[[#This Row],[Booking|AWB|CRT]]="","",MARÍTIMOS[[#This Row],[Booking|AWB|CRT]]),"")</f>
        <v>BN80683</v>
      </c>
      <c r="P282" s="2" t="str">
        <f>IFERROR(IF(MARÍTIMOS[[#This Row],[Contenedor]]="","",MARÍTIMOS[[#This Row],[Contenedor]]),"")</f>
        <v>OTPU6305440</v>
      </c>
      <c r="Q282" s="2" t="str">
        <f>IFERROR(IF(MARÍTIMOS[[#This Row],[Puerto de Retiro]]="","",MARÍTIMOS[[#This Row],[Puerto de Retiro]]),"")</f>
        <v>PAITA</v>
      </c>
      <c r="R282" s="2" t="str">
        <f>IFERROR(IF(MARÍTIMOS[[#This Row],[Almacén de Retiro]]="","",MARÍTIMOS[[#This Row],[Almacén de Retiro]]),"")</f>
        <v>DPW</v>
      </c>
      <c r="S282" s="11">
        <f>IFERROR(IF(MARÍTIMOS[[#This Row],[Etapa Retiro - Cita]]="","",MARÍTIMOS[[#This Row],[Etapa Retiro - Cita]]),"")</f>
        <v>46242.458333333336</v>
      </c>
      <c r="T282" s="11">
        <f>IFERROR(IF(MARÍTIMOS[[#This Row],[Etapa Retiro - Llegada]]="","",MARÍTIMOS[[#This Row],[Etapa Retiro - Llegada]]),"")</f>
        <v>46242.460416666669</v>
      </c>
      <c r="U282" s="11">
        <f>IFERROR(IF(MARÍTIMOS[[#This Row],[Etapa Retiro - Ingreso]]="","",MARÍTIMOS[[#This Row],[Etapa Retiro - Ingreso]]),"")</f>
        <v>46242.462500000001</v>
      </c>
      <c r="V282" s="11">
        <f>IFERROR(IF(MARÍTIMOS[[#This Row],[Etapa Retiro - Atención]]="","",MARÍTIMOS[[#This Row],[Etapa Retiro - Atención]]),"")</f>
        <v>46242.46597222222</v>
      </c>
      <c r="W282" s="11">
        <f>IFERROR(IF(MARÍTIMOS[[#This Row],[Etapa Retiro - Atención]]="","",MARÍTIMOS[[#This Row],[Etapa Retiro - Atención]]),"")</f>
        <v>46242.46597222222</v>
      </c>
      <c r="X282" s="11">
        <f>IFERROR(IF(MARÍTIMOS[[#This Row],[Etapa Retiro - Inicio de Ruta]]="","",MARÍTIMOS[[#This Row],[Etapa Retiro - Inicio de Ruta]]),"")</f>
        <v>46242.604166666664</v>
      </c>
      <c r="Y282" s="11">
        <f>IFERROR(IF(MARÍTIMOS[[#This Row],[Hora de Posicionamiento]]="","",MARÍTIMOS[[#This Row],[Fecha de Carga]]+MARÍTIMOS[[#This Row],[Hora de Posicionamiento]]),"")</f>
        <v>46243.625</v>
      </c>
      <c r="Z282" s="11">
        <f>IFERROR(IF(MARÍTIMOS[[#This Row],[Etapa Despacho - Llegada]]="","",MARÍTIMOS[[#This Row],[Etapa Despacho - Llegada]]),"")</f>
        <v>46243.293749999997</v>
      </c>
      <c r="AA282" s="11">
        <f>IFERROR(IF(MARÍTIMOS[[#This Row],[Etapa Despacho - Registro]]="","",MARÍTIMOS[[#This Row],[Etapa Despacho - Registro]]),"")</f>
        <v>46243.29583333333</v>
      </c>
      <c r="AB282" s="11">
        <f>IFERROR(IF(MARÍTIMOS[[#This Row],[Inspección Externa]]="","",MARÍTIMOS[[#This Row],[Inspección Externa]]),"")</f>
        <v>46243.305555555555</v>
      </c>
      <c r="AC282" s="11">
        <f>IFERROR(IF(MARÍTIMOS[[#This Row],[Etapa Despacho - Inicio de Carga]]="","",MARÍTIMOS[[#This Row],[Etapa Despacho - Inicio de Carga]]),"")</f>
        <v>46243.333333333336</v>
      </c>
      <c r="AD282" s="11">
        <f>IFERROR(IF(MARÍTIMOS[[#This Row],[Etapa Despacho - Mitad de Carga]]="","",MARÍTIMOS[[#This Row],[Etapa Despacho - Mitad de Carga]]),"")</f>
        <v>46243.354166666664</v>
      </c>
      <c r="AE282" s="11">
        <f>IFERROR(IF(MARÍTIMOS[[#This Row],[Etapa Despacho - Fin de Carga]]="","",MARÍTIMOS[[#This Row],[Etapa Despacho - Fin de Carga]]),"")</f>
        <v>46243.875</v>
      </c>
      <c r="AF282" s="2" t="str">
        <f>IFERROR(IF(MARÍTIMOS[[#This Row],[Puerto de Embarque]]="","",MARÍTIMOS[[#This Row],[Puerto de Embarque]]),"")</f>
        <v>Paita</v>
      </c>
      <c r="AG282" s="2" t="str">
        <f>IFERROR(IF(MARÍTIMOS[[#This Row],[Almacén de Ingreso]]="","",MARÍTIMOS[[#This Row],[Almacén de Ingreso]]),"")</f>
        <v>TPE</v>
      </c>
      <c r="AH282" s="11">
        <f>IFERROR(IF(MARÍTIMOS[[#This Row],[Etapa Ingreso - Cita]]="","",MARÍTIMOS[[#This Row],[Etapa Ingreso - Cita]]),"")</f>
        <v>46244.541666666664</v>
      </c>
      <c r="AI282" s="11">
        <f>IFERROR(IF(MARÍTIMOS[[#This Row],[Etapa Ingreso - Llegada]]="","",MARÍTIMOS[[#This Row],[Etapa Ingreso - Llegada]]),"")</f>
        <v>46244.555555555555</v>
      </c>
      <c r="AJ282" s="11">
        <f>IFERROR(IF(MARÍTIMOS[[#This Row],[Etapa Ingreso - Ingeso]]="","",MARÍTIMOS[[#This Row],[Etapa Ingreso - Ingeso]]),"")</f>
        <v>46244.571527777778</v>
      </c>
      <c r="AK282" s="11">
        <f>IFERROR(IF(MARÍTIMOS[[#This Row],[Etapa Ingreso - Atención]]="","",MARÍTIMOS[[#This Row],[Etapa Ingreso - Atención]]),"")</f>
        <v>46244.574999999997</v>
      </c>
      <c r="AL282" s="11">
        <f>IFERROR(IF(MARÍTIMOS[[#This Row],[Etapa Ingreso - Salida]]="","",MARÍTIMOS[[#This Row],[Etapa Ingreso - Salida]]),"")</f>
        <v>46244.597222222219</v>
      </c>
      <c r="AM282" s="2">
        <f>IFERROR(IF(MARÍTIMOS[[#This Row],[FCL]]="","",MARÍTIMOS[[#This Row],[FCL]]),"")</f>
        <v>1</v>
      </c>
      <c r="AN2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2" s="4" t="str" cm="1">
        <f t="array" ref="AO2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2" s="5">
        <f>IFERROR(OLDBD[[#This Row],[Llegada a packing]]-OLDBD[[#This Row],[Inicio de Ruta]],"")</f>
        <v>0.68958333333284827</v>
      </c>
      <c r="AQ282" s="6">
        <f>IFERROR(OLDBD[[#This Row],[Inicio de Ruta]]-OLDBD[[#This Row],[Salida de almacén de retiro]],"")</f>
        <v>0.13819444444379769</v>
      </c>
      <c r="AR2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82" s="8" t="str" cm="1">
        <f t="array" ref="AS2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2" s="9">
        <f>IFERROR(OLDBD[[#This Row],[Ingreso Packing]]-OLDBD[[#This Row],[Registro en Packing]],"")</f>
        <v>9.7222222248092294E-3</v>
      </c>
      <c r="AV282" s="9">
        <f>IFERROR(OLDBD[[#This Row],[Ingreso Packing]]-OLDBD[[#This Row],[Llegada a packing]],"")</f>
        <v>1.1805555557657499E-2</v>
      </c>
      <c r="AW2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82" s="5">
        <f>IFERROR(OLDBD[[#This Row],[Llegada Almacén de Ingreso]]-OLDBD[[#This Row],[Salida Packing]],"")</f>
        <v>0.68055555555474712</v>
      </c>
      <c r="AY282" s="4" t="str" cm="1">
        <f t="array" ref="AY2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2" s="43" t="s">
        <v>173</v>
      </c>
      <c r="BB282" s="47" t="str">
        <f>IFERROR(IF(MARÍTIMOS[[#This Row],[Estatus]]="","",MARÍTIMOS[[#This Row],[Estatus]]),"")</f>
        <v>Confirmado</v>
      </c>
      <c r="BC282" s="43"/>
      <c r="BD282" s="46">
        <f>IFERROR(OLDBD[[#This Row],[Salida de almacén de retiro]]-OLDBD[[#This Row],[Ingreso Almacén de retiro]],"")</f>
        <v>3.4722222189884633E-3</v>
      </c>
      <c r="BE282" s="46">
        <f>IFERROR(OLDBD[[#This Row],[Fin de Carga]]-OLDBD[[#This Row],[Inicio de Carga]],"")</f>
        <v>2.0833333328482695E-2</v>
      </c>
    </row>
    <row r="283" spans="1:57" customFormat="1" hidden="1">
      <c r="A283" s="1"/>
      <c r="B283" s="1">
        <f>IFERROR(IF(MARÍTIMOS[[#This Row],[PP]]="","",MARÍTIMOS[[#This Row],[PP]]),"")</f>
        <v>32</v>
      </c>
      <c r="C283" s="1" t="str">
        <f>IFERROR(IF(MARÍTIMOS[[#This Row],[Sede]]="","",MARÍTIMOS[[#This Row],[Sede]]),"")</f>
        <v>Chao</v>
      </c>
      <c r="D283" s="1" t="str">
        <f>IFERROR(IF(MARÍTIMOS[[#This Row],[Instruction]]="","",MARÍTIMOS[[#This Row],[Instruction]]),"")</f>
        <v>RH-0464</v>
      </c>
      <c r="E283" s="1"/>
      <c r="F283" s="2" t="str">
        <f>IFERROR(IF(MARÍTIMOS[[#This Row],[Transportista]]="","",MARÍTIMOS[[#This Row],[Transportista]]),"")</f>
        <v>LIP</v>
      </c>
      <c r="G283" s="2" t="str">
        <f>IFERROR(IF(MARÍTIMOS[[#This Row],[Tercero]]="","",MARÍTIMOS[[#This Row],[Tercero]]),"")</f>
        <v>SI</v>
      </c>
      <c r="H283" s="2" t="str">
        <f>IFERROR(IF(MARÍTIMOS[[#This Row],[Razón Social]]="","",MARÍTIMOS[[#This Row],[Razón Social]]),"")</f>
        <v>LOGISTICS TRANSPORT SOCIEDAD ANONIMA CERRADA</v>
      </c>
      <c r="I283" s="2">
        <f>IFERROR(IF(MARÍTIMOS[[#This Row],[RUC]]="","",MARÍTIMOS[[#This Row],[RUC]]),"")</f>
        <v>20614402246</v>
      </c>
      <c r="J283" s="2" t="str">
        <f>IFERROR(IF(MARÍTIMOS[[#This Row],[Placa Tracto]]="","",MARÍTIMOS[[#This Row],[Placa Tracto]]),"")</f>
        <v>AVU-920</v>
      </c>
      <c r="K283" s="2" t="str">
        <f>IFERROR(IF(MARÍTIMOS[[#This Row],[Placa Carreta]]="","",MARÍTIMOS[[#This Row],[Placa Carreta]]),"")</f>
        <v>TPD-978</v>
      </c>
      <c r="L283" s="44" t="str">
        <f>IFERROR(IF(MARÍTIMOS[[#This Row],[Conductor]]="","",MARÍTIMOS[[#This Row],[Conductor]]),"")</f>
        <v>CORONADO VASQUEZ WILMER</v>
      </c>
      <c r="M283" s="2" t="str">
        <f>IFERROR(IF(MARÍTIMOS[[#This Row],[Licencia]]="","",MARÍTIMOS[[#This Row],[Licencia]]),"")</f>
        <v>B46695518</v>
      </c>
      <c r="N283" s="2" t="str">
        <f>IFERROR(IF(MARÍTIMOS[[#This Row],[Número de Contacto]]="","",MARÍTIMOS[[#This Row],[Número de Contacto]]),"")</f>
        <v>935 550 403</v>
      </c>
      <c r="O283" s="10" t="str">
        <f>IFERROR(IF(MARÍTIMOS[[#This Row],[Booking|AWB|CRT]]="","",MARÍTIMOS[[#This Row],[Booking|AWB|CRT]]),"")</f>
        <v>BN80681</v>
      </c>
      <c r="P283" s="2" t="str">
        <f>IFERROR(IF(MARÍTIMOS[[#This Row],[Contenedor]]="","",MARÍTIMOS[[#This Row],[Contenedor]]),"")</f>
        <v>SEKU9159960</v>
      </c>
      <c r="Q283" s="2" t="str">
        <f>IFERROR(IF(MARÍTIMOS[[#This Row],[Puerto de Retiro]]="","",MARÍTIMOS[[#This Row],[Puerto de Retiro]]),"")</f>
        <v>PAITA</v>
      </c>
      <c r="R283" s="2" t="str">
        <f>IFERROR(IF(MARÍTIMOS[[#This Row],[Almacén de Retiro]]="","",MARÍTIMOS[[#This Row],[Almacén de Retiro]]),"")</f>
        <v>DPW</v>
      </c>
      <c r="S283" s="11">
        <f>IFERROR(IF(MARÍTIMOS[[#This Row],[Etapa Retiro - Cita]]="","",MARÍTIMOS[[#This Row],[Etapa Retiro - Cita]]),"")</f>
        <v>46242.416666666664</v>
      </c>
      <c r="T283" s="11">
        <f>IFERROR(IF(MARÍTIMOS[[#This Row],[Etapa Retiro - Llegada]]="","",MARÍTIMOS[[#This Row],[Etapa Retiro - Llegada]]),"")</f>
        <v>46242.436111111114</v>
      </c>
      <c r="U283" s="11">
        <f>IFERROR(IF(MARÍTIMOS[[#This Row],[Etapa Retiro - Ingreso]]="","",MARÍTIMOS[[#This Row],[Etapa Retiro - Ingreso]]),"")</f>
        <v>46242.438888888886</v>
      </c>
      <c r="V283" s="11">
        <f>IFERROR(IF(MARÍTIMOS[[#This Row],[Etapa Retiro - Atención]]="","",MARÍTIMOS[[#This Row],[Etapa Retiro - Atención]]),"")</f>
        <v>46242.453472222223</v>
      </c>
      <c r="W283" s="11">
        <f>IFERROR(IF(MARÍTIMOS[[#This Row],[Etapa Retiro - Atención]]="","",MARÍTIMOS[[#This Row],[Etapa Retiro - Atención]]),"")</f>
        <v>46242.453472222223</v>
      </c>
      <c r="X283" s="11">
        <f>IFERROR(IF(MARÍTIMOS[[#This Row],[Etapa Retiro - Inicio de Ruta]]="","",MARÍTIMOS[[#This Row],[Etapa Retiro - Inicio de Ruta]]),"")</f>
        <v>46242.501388888886</v>
      </c>
      <c r="Y283" s="11">
        <f>IFERROR(IF(MARÍTIMOS[[#This Row],[Hora de Posicionamiento]]="","",MARÍTIMOS[[#This Row],[Fecha de Carga]]+MARÍTIMOS[[#This Row],[Hora de Posicionamiento]]),"")</f>
        <v>46243.666666666664</v>
      </c>
      <c r="Z283" s="11">
        <f>IFERROR(IF(MARÍTIMOS[[#This Row],[Etapa Despacho - Llegada]]="","",MARÍTIMOS[[#This Row],[Etapa Despacho - Llegada]]),"")</f>
        <v>46243.587500000001</v>
      </c>
      <c r="AA283" s="11">
        <f>IFERROR(IF(MARÍTIMOS[[#This Row],[Etapa Despacho - Registro]]="","",MARÍTIMOS[[#This Row],[Etapa Despacho - Registro]]),"")</f>
        <v>46243.590277777781</v>
      </c>
      <c r="AB283" s="11">
        <f>IFERROR(IF(MARÍTIMOS[[#This Row],[Inspección Externa]]="","",MARÍTIMOS[[#This Row],[Inspección Externa]]),"")</f>
        <v>46243.604166666664</v>
      </c>
      <c r="AC283" s="11">
        <f>IFERROR(IF(MARÍTIMOS[[#This Row],[Etapa Despacho - Inicio de Carga]]="","",MARÍTIMOS[[#This Row],[Etapa Despacho - Inicio de Carga]]),"")</f>
        <v>46243.631944444445</v>
      </c>
      <c r="AD283" s="11">
        <f>IFERROR(IF(MARÍTIMOS[[#This Row],[Etapa Despacho - Mitad de Carga]]="","",MARÍTIMOS[[#This Row],[Etapa Despacho - Mitad de Carga]]),"")</f>
        <v>46243.645833333336</v>
      </c>
      <c r="AE283" s="11">
        <f>IFERROR(IF(MARÍTIMOS[[#This Row],[Etapa Despacho - Fin de Carga]]="","",MARÍTIMOS[[#This Row],[Etapa Despacho - Fin de Carga]]),"")</f>
        <v>46243.90625</v>
      </c>
      <c r="AF283" s="2" t="str">
        <f>IFERROR(IF(MARÍTIMOS[[#This Row],[Puerto de Embarque]]="","",MARÍTIMOS[[#This Row],[Puerto de Embarque]]),"")</f>
        <v>Paita</v>
      </c>
      <c r="AG283" s="2" t="str">
        <f>IFERROR(IF(MARÍTIMOS[[#This Row],[Almacén de Ingreso]]="","",MARÍTIMOS[[#This Row],[Almacén de Ingreso]]),"")</f>
        <v>TPE</v>
      </c>
      <c r="AH283" s="11">
        <f>IFERROR(IF(MARÍTIMOS[[#This Row],[Etapa Ingreso - Cita]]="","",MARÍTIMOS[[#This Row],[Etapa Ingreso - Cita]]),"")</f>
        <v>46244.5</v>
      </c>
      <c r="AI283" s="11">
        <f>IFERROR(IF(MARÍTIMOS[[#This Row],[Etapa Ingreso - Llegada]]="","",MARÍTIMOS[[#This Row],[Etapa Ingreso - Llegada]]),"")</f>
        <v>46244.53125</v>
      </c>
      <c r="AJ283" s="11">
        <f>IFERROR(IF(MARÍTIMOS[[#This Row],[Etapa Ingreso - Ingeso]]="","",MARÍTIMOS[[#This Row],[Etapa Ingreso - Ingeso]]),"")</f>
        <v>46244.544444444444</v>
      </c>
      <c r="AK283" s="11">
        <f>IFERROR(IF(MARÍTIMOS[[#This Row],[Etapa Ingreso - Atención]]="","",MARÍTIMOS[[#This Row],[Etapa Ingreso - Atención]]),"")</f>
        <v>46244.548611111109</v>
      </c>
      <c r="AL283" s="11">
        <f>IFERROR(IF(MARÍTIMOS[[#This Row],[Etapa Ingreso - Salida]]="","",MARÍTIMOS[[#This Row],[Etapa Ingreso - Salida]]),"")</f>
        <v>46244.55972222222</v>
      </c>
      <c r="AM283" s="2">
        <f>IFERROR(IF(MARÍTIMOS[[#This Row],[FCL]]="","",MARÍTIMOS[[#This Row],[FCL]]),"")</f>
        <v>1</v>
      </c>
      <c r="AN2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3" s="4" t="str" cm="1">
        <f t="array" ref="AO2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3" s="5">
        <f>IFERROR(OLDBD[[#This Row],[Llegada a packing]]-OLDBD[[#This Row],[Inicio de Ruta]],"")</f>
        <v>1.086111111115315</v>
      </c>
      <c r="AQ283" s="6">
        <f>IFERROR(OLDBD[[#This Row],[Inicio de Ruta]]-OLDBD[[#This Row],[Salida de almacén de retiro]],"")</f>
        <v>4.7916666662786156E-2</v>
      </c>
      <c r="AR2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83" s="8" t="str" cm="1">
        <f t="array" ref="AS2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3" s="9">
        <f>IFERROR(OLDBD[[#This Row],[Ingreso Packing]]-OLDBD[[#This Row],[Registro en Packing]],"")</f>
        <v>1.3888888883229811E-2</v>
      </c>
      <c r="AV283" s="9">
        <f>IFERROR(OLDBD[[#This Row],[Ingreso Packing]]-OLDBD[[#This Row],[Llegada a packing]],"")</f>
        <v>1.6666666662786156E-2</v>
      </c>
      <c r="AW2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83" s="5">
        <f>IFERROR(OLDBD[[#This Row],[Llegada Almacén de Ingreso]]-OLDBD[[#This Row],[Salida Packing]],"")</f>
        <v>0.625</v>
      </c>
      <c r="AY283" s="4" t="str" cm="1">
        <f t="array" ref="AY2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3" s="43" t="s">
        <v>173</v>
      </c>
      <c r="BB283" s="47" t="str">
        <f>IFERROR(IF(MARÍTIMOS[[#This Row],[Estatus]]="","",MARÍTIMOS[[#This Row],[Estatus]]),"")</f>
        <v>Confirmado</v>
      </c>
      <c r="BC283" s="43"/>
      <c r="BD283" s="46">
        <f>IFERROR(OLDBD[[#This Row],[Salida de almacén de retiro]]-OLDBD[[#This Row],[Ingreso Almacén de retiro]],"")</f>
        <v>1.4583333337213844E-2</v>
      </c>
      <c r="BE283" s="46">
        <f>IFERROR(OLDBD[[#This Row],[Fin de Carga]]-OLDBD[[#This Row],[Inicio de Carga]],"")</f>
        <v>1.3888888890505768E-2</v>
      </c>
    </row>
    <row r="284" spans="1:57" customFormat="1" hidden="1">
      <c r="A284" s="1"/>
      <c r="B284" s="1">
        <f>IFERROR(IF(MARÍTIMOS[[#This Row],[PP]]="","",MARÍTIMOS[[#This Row],[PP]]),"")</f>
        <v>32</v>
      </c>
      <c r="C284" s="1" t="str">
        <f>IFERROR(IF(MARÍTIMOS[[#This Row],[Sede]]="","",MARÍTIMOS[[#This Row],[Sede]]),"")</f>
        <v>Chao</v>
      </c>
      <c r="D284" s="1" t="str">
        <f>IFERROR(IF(MARÍTIMOS[[#This Row],[Instruction]]="","",MARÍTIMOS[[#This Row],[Instruction]]),"")</f>
        <v>RH-0456</v>
      </c>
      <c r="E284" s="1"/>
      <c r="F284" s="2" t="str">
        <f>IFERROR(IF(MARÍTIMOS[[#This Row],[Transportista]]="","",MARÍTIMOS[[#This Row],[Transportista]]),"")</f>
        <v>LIP</v>
      </c>
      <c r="G284" s="2" t="str">
        <f>IFERROR(IF(MARÍTIMOS[[#This Row],[Tercero]]="","",MARÍTIMOS[[#This Row],[Tercero]]),"")</f>
        <v>SI</v>
      </c>
      <c r="H284" s="2" t="str">
        <f>IFERROR(IF(MARÍTIMOS[[#This Row],[Razón Social]]="","",MARÍTIMOS[[#This Row],[Razón Social]]),"")</f>
        <v>LOGISTICS TRANSPORT SOCIEDAD ANONIMA CERRADA</v>
      </c>
      <c r="I284" s="2">
        <f>IFERROR(IF(MARÍTIMOS[[#This Row],[RUC]]="","",MARÍTIMOS[[#This Row],[RUC]]),"")</f>
        <v>20614402246</v>
      </c>
      <c r="J284" s="2" t="str">
        <f>IFERROR(IF(MARÍTIMOS[[#This Row],[Placa Tracto]]="","",MARÍTIMOS[[#This Row],[Placa Tracto]]),"")</f>
        <v>D4J-829</v>
      </c>
      <c r="K284" s="2" t="str">
        <f>IFERROR(IF(MARÍTIMOS[[#This Row],[Placa Carreta]]="","",MARÍTIMOS[[#This Row],[Placa Carreta]]),"")</f>
        <v>TJZ-980</v>
      </c>
      <c r="L284" s="44" t="str">
        <f>IFERROR(IF(MARÍTIMOS[[#This Row],[Conductor]]="","",MARÍTIMOS[[#This Row],[Conductor]]),"")</f>
        <v>CHIROQUE IMAN JOSE NICOLAS</v>
      </c>
      <c r="M284" s="2" t="str">
        <f>IFERROR(IF(MARÍTIMOS[[#This Row],[Licencia]]="","",MARÍTIMOS[[#This Row],[Licencia]]),"")</f>
        <v>C16578741</v>
      </c>
      <c r="N284" s="2">
        <f>IFERROR(IF(MARÍTIMOS[[#This Row],[Número de Contacto]]="","",MARÍTIMOS[[#This Row],[Número de Contacto]]),"")</f>
        <v>914113779</v>
      </c>
      <c r="O284" s="10" t="str">
        <f>IFERROR(IF(MARÍTIMOS[[#This Row],[Booking|AWB|CRT]]="","",MARÍTIMOS[[#This Row],[Booking|AWB|CRT]]),"")</f>
        <v>PER9174387A</v>
      </c>
      <c r="P284" s="2" t="str">
        <f>IFERROR(IF(MARÍTIMOS[[#This Row],[Contenedor]]="","",MARÍTIMOS[[#This Row],[Contenedor]]),"")</f>
        <v>CAAU4080960</v>
      </c>
      <c r="Q284" s="2" t="str">
        <f>IFERROR(IF(MARÍTIMOS[[#This Row],[Puerto de Retiro]]="","",MARÍTIMOS[[#This Row],[Puerto de Retiro]]),"")</f>
        <v>PAITA</v>
      </c>
      <c r="R284" s="2" t="str">
        <f>IFERROR(IF(MARÍTIMOS[[#This Row],[Almacén de Retiro]]="","",MARÍTIMOS[[#This Row],[Almacén de Retiro]]),"")</f>
        <v>DPW</v>
      </c>
      <c r="S284" s="11">
        <f>IFERROR(IF(MARÍTIMOS[[#This Row],[Etapa Retiro - Cita]]="","",MARÍTIMOS[[#This Row],[Etapa Retiro - Cita]]),"")</f>
        <v>46243.416666666664</v>
      </c>
      <c r="T284" s="11">
        <f>IFERROR(IF(MARÍTIMOS[[#This Row],[Etapa Retiro - Llegada]]="","",MARÍTIMOS[[#This Row],[Etapa Retiro - Llegada]]),"")</f>
        <v>46243.456944444442</v>
      </c>
      <c r="U284" s="11">
        <f>IFERROR(IF(MARÍTIMOS[[#This Row],[Etapa Retiro - Ingreso]]="","",MARÍTIMOS[[#This Row],[Etapa Retiro - Ingreso]]),"")</f>
        <v>46243.461805555555</v>
      </c>
      <c r="V284" s="11">
        <f>IFERROR(IF(MARÍTIMOS[[#This Row],[Etapa Retiro - Atención]]="","",MARÍTIMOS[[#This Row],[Etapa Retiro - Atención]]),"")</f>
        <v>46243.464583333334</v>
      </c>
      <c r="W284" s="11">
        <f>IFERROR(IF(MARÍTIMOS[[#This Row],[Etapa Retiro - Atención]]="","",MARÍTIMOS[[#This Row],[Etapa Retiro - Atención]]),"")</f>
        <v>46243.464583333334</v>
      </c>
      <c r="X284" s="11">
        <f>IFERROR(IF(MARÍTIMOS[[#This Row],[Etapa Retiro - Inicio de Ruta]]="","",MARÍTIMOS[[#This Row],[Etapa Retiro - Inicio de Ruta]]),"")</f>
        <v>46243.518055555556</v>
      </c>
      <c r="Y284" s="11">
        <f>IFERROR(IF(MARÍTIMOS[[#This Row],[Hora de Posicionamiento]]="","",MARÍTIMOS[[#This Row],[Fecha de Carga]]+MARÍTIMOS[[#This Row],[Hora de Posicionamiento]]),"")</f>
        <v>46244.416666666664</v>
      </c>
      <c r="Z284" s="11">
        <f>IFERROR(IF(MARÍTIMOS[[#This Row],[Etapa Despacho - Llegada]]="","",MARÍTIMOS[[#This Row],[Etapa Despacho - Llegada]]),"")</f>
        <v>46244.393750000003</v>
      </c>
      <c r="AA284" s="11">
        <f>IFERROR(IF(MARÍTIMOS[[#This Row],[Etapa Despacho - Registro]]="","",MARÍTIMOS[[#This Row],[Etapa Despacho - Registro]]),"")</f>
        <v>46244.395833333336</v>
      </c>
      <c r="AB284" s="11">
        <f>IFERROR(IF(MARÍTIMOS[[#This Row],[Inspección Externa]]="","",MARÍTIMOS[[#This Row],[Inspección Externa]]),"")</f>
        <v>46244.409722222219</v>
      </c>
      <c r="AC284" s="11">
        <f>IFERROR(IF(MARÍTIMOS[[#This Row],[Etapa Despacho - Inicio de Carga]]="","",MARÍTIMOS[[#This Row],[Etapa Despacho - Inicio de Carga]]),"")</f>
        <v>46244.4375</v>
      </c>
      <c r="AD284" s="11">
        <f>IFERROR(IF(MARÍTIMOS[[#This Row],[Etapa Despacho - Mitad de Carga]]="","",MARÍTIMOS[[#This Row],[Etapa Despacho - Mitad de Carga]]),"")</f>
        <v>46244.451388888891</v>
      </c>
      <c r="AE284" s="11">
        <f>IFERROR(IF(MARÍTIMOS[[#This Row],[Etapa Despacho - Fin de Carga]]="","",MARÍTIMOS[[#This Row],[Etapa Despacho - Fin de Carga]]),"")</f>
        <v>46244.666666666664</v>
      </c>
      <c r="AF284" s="2" t="str">
        <f>IFERROR(IF(MARÍTIMOS[[#This Row],[Puerto de Embarque]]="","",MARÍTIMOS[[#This Row],[Puerto de Embarque]]),"")</f>
        <v>Paita</v>
      </c>
      <c r="AG284" s="2" t="str">
        <f>IFERROR(IF(MARÍTIMOS[[#This Row],[Almacén de Ingreso]]="","",MARÍTIMOS[[#This Row],[Almacén de Ingreso]]),"")</f>
        <v>TPE</v>
      </c>
      <c r="AH284" s="11">
        <f>IFERROR(IF(MARÍTIMOS[[#This Row],[Etapa Ingreso - Cita]]="","",MARÍTIMOS[[#This Row],[Etapa Ingreso - Cita]]),"")</f>
        <v>46245.375</v>
      </c>
      <c r="AI284" s="11">
        <f>IFERROR(IF(MARÍTIMOS[[#This Row],[Etapa Ingreso - Llegada]]="","",MARÍTIMOS[[#This Row],[Etapa Ingreso - Llegada]]),"")</f>
        <v>46245.413194444445</v>
      </c>
      <c r="AJ284" s="11">
        <f>IFERROR(IF(MARÍTIMOS[[#This Row],[Etapa Ingreso - Ingeso]]="","",MARÍTIMOS[[#This Row],[Etapa Ingreso - Ingeso]]),"")</f>
        <v>46245.436805555553</v>
      </c>
      <c r="AK284" s="11">
        <f>IFERROR(IF(MARÍTIMOS[[#This Row],[Etapa Ingreso - Atención]]="","",MARÍTIMOS[[#This Row],[Etapa Ingreso - Atención]]),"")</f>
        <v>46245.440972222219</v>
      </c>
      <c r="AL284" s="11">
        <f>IFERROR(IF(MARÍTIMOS[[#This Row],[Etapa Ingreso - Salida]]="","",MARÍTIMOS[[#This Row],[Etapa Ingreso - Salida]]),"")</f>
        <v>46245.464583333334</v>
      </c>
      <c r="AM284" s="2">
        <f>IFERROR(IF(MARÍTIMOS[[#This Row],[FCL]]="","",MARÍTIMOS[[#This Row],[FCL]]),"")</f>
        <v>1</v>
      </c>
      <c r="AN2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4" s="4" t="str" cm="1">
        <f t="array" ref="AO2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4" s="5">
        <f>IFERROR(OLDBD[[#This Row],[Llegada a packing]]-OLDBD[[#This Row],[Inicio de Ruta]],"")</f>
        <v>0.87569444444670808</v>
      </c>
      <c r="AQ284" s="6">
        <f>IFERROR(OLDBD[[#This Row],[Inicio de Ruta]]-OLDBD[[#This Row],[Salida de almacén de retiro]],"")</f>
        <v>5.3472222221898846E-2</v>
      </c>
      <c r="AR2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84" s="8" t="str" cm="1">
        <f t="array" ref="AS2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4" s="9">
        <f>IFERROR(OLDBD[[#This Row],[Ingreso Packing]]-OLDBD[[#This Row],[Registro en Packing]],"")</f>
        <v>1.3888888883229811E-2</v>
      </c>
      <c r="AV284" s="9">
        <f>IFERROR(OLDBD[[#This Row],[Ingreso Packing]]-OLDBD[[#This Row],[Llegada a packing]],"")</f>
        <v>1.597222221607808E-2</v>
      </c>
      <c r="AW2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84" s="5">
        <f>IFERROR(OLDBD[[#This Row],[Llegada Almacén de Ingreso]]-OLDBD[[#This Row],[Salida Packing]],"")</f>
        <v>0.74652777778101154</v>
      </c>
      <c r="AY284" s="4" t="str" cm="1">
        <f t="array" ref="AY2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2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4" s="43" t="s">
        <v>173</v>
      </c>
      <c r="BB284" s="47" t="str">
        <f>IFERROR(IF(MARÍTIMOS[[#This Row],[Estatus]]="","",MARÍTIMOS[[#This Row],[Estatus]]),"")</f>
        <v>Confirmado</v>
      </c>
      <c r="BC284" s="43"/>
      <c r="BD284" s="46">
        <f>IFERROR(OLDBD[[#This Row],[Salida de almacén de retiro]]-OLDBD[[#This Row],[Ingreso Almacén de retiro]],"")</f>
        <v>2.7777777795563452E-3</v>
      </c>
      <c r="BE284" s="46">
        <f>IFERROR(OLDBD[[#This Row],[Fin de Carga]]-OLDBD[[#This Row],[Inicio de Carga]],"")</f>
        <v>1.3888888890505768E-2</v>
      </c>
    </row>
    <row r="285" spans="1:57" customFormat="1" hidden="1">
      <c r="A285" s="1"/>
      <c r="B285" s="1">
        <f>IFERROR(IF(MARÍTIMOS[[#This Row],[PP]]="","",MARÍTIMOS[[#This Row],[PP]]),"")</f>
        <v>32</v>
      </c>
      <c r="C285" s="1" t="str">
        <f>IFERROR(IF(MARÍTIMOS[[#This Row],[Sede]]="","",MARÍTIMOS[[#This Row],[Sede]]),"")</f>
        <v>Chao</v>
      </c>
      <c r="D285" s="1" t="str">
        <f>IFERROR(IF(MARÍTIMOS[[#This Row],[Instruction]]="","",MARÍTIMOS[[#This Row],[Instruction]]),"")</f>
        <v>RH-0457</v>
      </c>
      <c r="E285" s="1"/>
      <c r="F285" s="2" t="str">
        <f>IFERROR(IF(MARÍTIMOS[[#This Row],[Transportista]]="","",MARÍTIMOS[[#This Row],[Transportista]]),"")</f>
        <v>LIP</v>
      </c>
      <c r="G285" s="2" t="str">
        <f>IFERROR(IF(MARÍTIMOS[[#This Row],[Tercero]]="","",MARÍTIMOS[[#This Row],[Tercero]]),"")</f>
        <v>SI</v>
      </c>
      <c r="H285" s="2" t="str">
        <f>IFERROR(IF(MARÍTIMOS[[#This Row],[Razón Social]]="","",MARÍTIMOS[[#This Row],[Razón Social]]),"")</f>
        <v>TRANSPORTES Y SERVICIOS UNITED FRIENDS S.A.C.</v>
      </c>
      <c r="I285" s="2">
        <f>IFERROR(IF(MARÍTIMOS[[#This Row],[RUC]]="","",MARÍTIMOS[[#This Row],[RUC]]),"")</f>
        <v>20601368766</v>
      </c>
      <c r="J285" s="2" t="str">
        <f>IFERROR(IF(MARÍTIMOS[[#This Row],[Placa Tracto]]="","",MARÍTIMOS[[#This Row],[Placa Tracto]]),"")</f>
        <v>TFC-827</v>
      </c>
      <c r="K285" s="2" t="str">
        <f>IFERROR(IF(MARÍTIMOS[[#This Row],[Placa Carreta]]="","",MARÍTIMOS[[#This Row],[Placa Carreta]]),"")</f>
        <v>BUC-978</v>
      </c>
      <c r="L285" s="44" t="str">
        <f>IFERROR(IF(MARÍTIMOS[[#This Row],[Conductor]]="","",MARÍTIMOS[[#This Row],[Conductor]]),"")</f>
        <v>MOGOLLÓN REYES JUAN CARLOS</v>
      </c>
      <c r="M285" s="2" t="str">
        <f>IFERROR(IF(MARÍTIMOS[[#This Row],[Licencia]]="","",MARÍTIMOS[[#This Row],[Licencia]]),"")</f>
        <v>B02862672</v>
      </c>
      <c r="N285" s="2">
        <f>IFERROR(IF(MARÍTIMOS[[#This Row],[Número de Contacto]]="","",MARÍTIMOS[[#This Row],[Número de Contacto]]),"")</f>
        <v>981143257</v>
      </c>
      <c r="O285" s="10" t="str">
        <f>IFERROR(IF(MARÍTIMOS[[#This Row],[Booking|AWB|CRT]]="","",MARÍTIMOS[[#This Row],[Booking|AWB|CRT]]),"")</f>
        <v>PER9174388A</v>
      </c>
      <c r="P285" s="2" t="str">
        <f>IFERROR(IF(MARÍTIMOS[[#This Row],[Contenedor]]="","",MARÍTIMOS[[#This Row],[Contenedor]]),"")</f>
        <v>SMLU5478366</v>
      </c>
      <c r="Q285" s="2" t="str">
        <f>IFERROR(IF(MARÍTIMOS[[#This Row],[Puerto de Retiro]]="","",MARÍTIMOS[[#This Row],[Puerto de Retiro]]),"")</f>
        <v>PAITA</v>
      </c>
      <c r="R285" s="2" t="str">
        <f>IFERROR(IF(MARÍTIMOS[[#This Row],[Almacén de Retiro]]="","",MARÍTIMOS[[#This Row],[Almacén de Retiro]]),"")</f>
        <v>DPW</v>
      </c>
      <c r="S285" s="11">
        <f>IFERROR(IF(MARÍTIMOS[[#This Row],[Etapa Retiro - Cita]]="","",MARÍTIMOS[[#This Row],[Etapa Retiro - Cita]]),"")</f>
        <v>46243.458333333336</v>
      </c>
      <c r="T285" s="11">
        <f>IFERROR(IF(MARÍTIMOS[[#This Row],[Etapa Retiro - Llegada]]="","",MARÍTIMOS[[#This Row],[Etapa Retiro - Llegada]]),"")</f>
        <v>46243.493750000001</v>
      </c>
      <c r="U285" s="11">
        <f>IFERROR(IF(MARÍTIMOS[[#This Row],[Etapa Retiro - Ingreso]]="","",MARÍTIMOS[[#This Row],[Etapa Retiro - Ingreso]]),"")</f>
        <v>46243.5</v>
      </c>
      <c r="V285" s="11">
        <f>IFERROR(IF(MARÍTIMOS[[#This Row],[Etapa Retiro - Atención]]="","",MARÍTIMOS[[#This Row],[Etapa Retiro - Atención]]),"")</f>
        <v>46243.503472222219</v>
      </c>
      <c r="W285" s="11">
        <f>IFERROR(IF(MARÍTIMOS[[#This Row],[Etapa Retiro - Atención]]="","",MARÍTIMOS[[#This Row],[Etapa Retiro - Atención]]),"")</f>
        <v>46243.503472222219</v>
      </c>
      <c r="X285" s="11">
        <f>IFERROR(IF(MARÍTIMOS[[#This Row],[Etapa Retiro - Inicio de Ruta]]="","",MARÍTIMOS[[#This Row],[Etapa Retiro - Inicio de Ruta]]),"")</f>
        <v>46243.564583333333</v>
      </c>
      <c r="Y285" s="11">
        <f>IFERROR(IF(MARÍTIMOS[[#This Row],[Hora de Posicionamiento]]="","",MARÍTIMOS[[#This Row],[Fecha de Carga]]+MARÍTIMOS[[#This Row],[Hora de Posicionamiento]]),"")</f>
        <v>46244.583333333336</v>
      </c>
      <c r="Z285" s="11">
        <f>IFERROR(IF(MARÍTIMOS[[#This Row],[Etapa Despacho - Llegada]]="","",MARÍTIMOS[[#This Row],[Etapa Despacho - Llegada]]),"")</f>
        <v>46244.541666666664</v>
      </c>
      <c r="AA285" s="11">
        <f>IFERROR(IF(MARÍTIMOS[[#This Row],[Etapa Despacho - Registro]]="","",MARÍTIMOS[[#This Row],[Etapa Despacho - Registro]]),"")</f>
        <v>46244.548611111109</v>
      </c>
      <c r="AB285" s="11">
        <f>IFERROR(IF(MARÍTIMOS[[#This Row],[Inspección Externa]]="","",MARÍTIMOS[[#This Row],[Inspección Externa]]),"")</f>
        <v>46244.5625</v>
      </c>
      <c r="AC285" s="11">
        <f>IFERROR(IF(MARÍTIMOS[[#This Row],[Etapa Despacho - Inicio de Carga]]="","",MARÍTIMOS[[#This Row],[Etapa Despacho - Inicio de Carga]]),"")</f>
        <v>46244.590277777781</v>
      </c>
      <c r="AD285" s="11">
        <f>IFERROR(IF(MARÍTIMOS[[#This Row],[Etapa Despacho - Mitad de Carga]]="","",MARÍTIMOS[[#This Row],[Etapa Despacho - Mitad de Carga]]),"")</f>
        <v>46244.604166666664</v>
      </c>
      <c r="AE285" s="11">
        <f>IFERROR(IF(MARÍTIMOS[[#This Row],[Etapa Despacho - Fin de Carga]]="","",MARÍTIMOS[[#This Row],[Etapa Despacho - Fin de Carga]]),"")</f>
        <v>46244.784722222219</v>
      </c>
      <c r="AF285" s="2" t="str">
        <f>IFERROR(IF(MARÍTIMOS[[#This Row],[Puerto de Embarque]]="","",MARÍTIMOS[[#This Row],[Puerto de Embarque]]),"")</f>
        <v>Paita</v>
      </c>
      <c r="AG285" s="2" t="str">
        <f>IFERROR(IF(MARÍTIMOS[[#This Row],[Almacén de Ingreso]]="","",MARÍTIMOS[[#This Row],[Almacén de Ingreso]]),"")</f>
        <v>TPE</v>
      </c>
      <c r="AH285" s="11">
        <f>IFERROR(IF(MARÍTIMOS[[#This Row],[Etapa Ingreso - Cita]]="","",MARÍTIMOS[[#This Row],[Etapa Ingreso - Cita]]),"")</f>
        <v>46245.541666666664</v>
      </c>
      <c r="AI285" s="11">
        <f>IFERROR(IF(MARÍTIMOS[[#This Row],[Etapa Ingreso - Llegada]]="","",MARÍTIMOS[[#This Row],[Etapa Ingreso - Llegada]]),"")</f>
        <v>46245.561111111114</v>
      </c>
      <c r="AJ285" s="11">
        <f>IFERROR(IF(MARÍTIMOS[[#This Row],[Etapa Ingreso - Ingeso]]="","",MARÍTIMOS[[#This Row],[Etapa Ingreso - Ingeso]]),"")</f>
        <v>46245.56527777778</v>
      </c>
      <c r="AK285" s="11">
        <f>IFERROR(IF(MARÍTIMOS[[#This Row],[Etapa Ingreso - Atención]]="","",MARÍTIMOS[[#This Row],[Etapa Ingreso - Atención]]),"")</f>
        <v>46245.572222222225</v>
      </c>
      <c r="AL285" s="11">
        <f>IFERROR(IF(MARÍTIMOS[[#This Row],[Etapa Ingreso - Salida]]="","",MARÍTIMOS[[#This Row],[Etapa Ingreso - Salida]]),"")</f>
        <v>46245.589583333334</v>
      </c>
      <c r="AM285" s="2">
        <f>IFERROR(IF(MARÍTIMOS[[#This Row],[FCL]]="","",MARÍTIMOS[[#This Row],[FCL]]),"")</f>
        <v>1</v>
      </c>
      <c r="AN2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5" s="4" t="str" cm="1">
        <f t="array" ref="AO2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5" s="5">
        <f>IFERROR(OLDBD[[#This Row],[Llegada a packing]]-OLDBD[[#This Row],[Inicio de Ruta]],"")</f>
        <v>0.97708333333139308</v>
      </c>
      <c r="AQ285" s="6">
        <f>IFERROR(OLDBD[[#This Row],[Inicio de Ruta]]-OLDBD[[#This Row],[Salida de almacén de retiro]],"")</f>
        <v>6.1111111113859806E-2</v>
      </c>
      <c r="AR2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85" s="8" t="str" cm="1">
        <f t="array" ref="AS2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5" s="9">
        <f>IFERROR(OLDBD[[#This Row],[Ingreso Packing]]-OLDBD[[#This Row],[Registro en Packing]],"")</f>
        <v>1.3888888890505768E-2</v>
      </c>
      <c r="AV285" s="9">
        <f>IFERROR(OLDBD[[#This Row],[Ingreso Packing]]-OLDBD[[#This Row],[Llegada a packing]],"")</f>
        <v>2.0833333335758653E-2</v>
      </c>
      <c r="AW2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85" s="5">
        <f>IFERROR(OLDBD[[#This Row],[Llegada Almacén de Ingreso]]-OLDBD[[#This Row],[Salida Packing]],"")</f>
        <v>0.77638888889487134</v>
      </c>
      <c r="AY285" s="4" t="str" cm="1">
        <f t="array" ref="AY2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5" s="43" t="s">
        <v>173</v>
      </c>
      <c r="BB285" s="47" t="str">
        <f>IFERROR(IF(MARÍTIMOS[[#This Row],[Estatus]]="","",MARÍTIMOS[[#This Row],[Estatus]]),"")</f>
        <v>Confirmado</v>
      </c>
      <c r="BC285" s="43"/>
      <c r="BD285" s="46">
        <f>IFERROR(OLDBD[[#This Row],[Salida de almacén de retiro]]-OLDBD[[#This Row],[Ingreso Almacén de retiro]],"")</f>
        <v>3.4722222189884633E-3</v>
      </c>
      <c r="BE285" s="46">
        <f>IFERROR(OLDBD[[#This Row],[Fin de Carga]]-OLDBD[[#This Row],[Inicio de Carga]],"")</f>
        <v>1.3888888883229811E-2</v>
      </c>
    </row>
    <row r="286" spans="1:57" customFormat="1" hidden="1">
      <c r="A286" s="1"/>
      <c r="B286" s="1">
        <f>IFERROR(IF(MARÍTIMOS[[#This Row],[PP]]="","",MARÍTIMOS[[#This Row],[PP]]),"")</f>
        <v>32</v>
      </c>
      <c r="C286" s="1" t="str">
        <f>IFERROR(IF(MARÍTIMOS[[#This Row],[Sede]]="","",MARÍTIMOS[[#This Row],[Sede]]),"")</f>
        <v>Chao</v>
      </c>
      <c r="D286" s="1" t="str">
        <f>IFERROR(IF(MARÍTIMOS[[#This Row],[Instruction]]="","",MARÍTIMOS[[#This Row],[Instruction]]),"")</f>
        <v>RH-0460</v>
      </c>
      <c r="E286" s="1"/>
      <c r="F286" s="2" t="str">
        <f>IFERROR(IF(MARÍTIMOS[[#This Row],[Transportista]]="","",MARÍTIMOS[[#This Row],[Transportista]]),"")</f>
        <v>LIP</v>
      </c>
      <c r="G286" s="2" t="str">
        <f>IFERROR(IF(MARÍTIMOS[[#This Row],[Tercero]]="","",MARÍTIMOS[[#This Row],[Tercero]]),"")</f>
        <v>SI</v>
      </c>
      <c r="H286" s="2" t="str">
        <f>IFERROR(IF(MARÍTIMOS[[#This Row],[Razón Social]]="","",MARÍTIMOS[[#This Row],[Razón Social]]),"")</f>
        <v>TRANSCAR MATHEO SOCIEDAD ANONIMA CERRADA</v>
      </c>
      <c r="I286" s="2">
        <f>IFERROR(IF(MARÍTIMOS[[#This Row],[RUC]]="","",MARÍTIMOS[[#This Row],[RUC]]),"")</f>
        <v>20612886921</v>
      </c>
      <c r="J286" s="2" t="str">
        <f>IFERROR(IF(MARÍTIMOS[[#This Row],[Placa Tracto]]="","",MARÍTIMOS[[#This Row],[Placa Tracto]]),"")</f>
        <v>T0B-919</v>
      </c>
      <c r="K286" s="2" t="str">
        <f>IFERROR(IF(MARÍTIMOS[[#This Row],[Placa Carreta]]="","",MARÍTIMOS[[#This Row],[Placa Carreta]]),"")</f>
        <v>T0U-978</v>
      </c>
      <c r="L286" s="44" t="str">
        <f>IFERROR(IF(MARÍTIMOS[[#This Row],[Conductor]]="","",MARÍTIMOS[[#This Row],[Conductor]]),"")</f>
        <v>ANDRADE SUNCION ALEXANDER GABRIEL</v>
      </c>
      <c r="M286" s="2" t="str">
        <f>IFERROR(IF(MARÍTIMOS[[#This Row],[Licencia]]="","",MARÍTIMOS[[#This Row],[Licencia]]),"")</f>
        <v>B44776623</v>
      </c>
      <c r="N286" s="2">
        <f>IFERROR(IF(MARÍTIMOS[[#This Row],[Número de Contacto]]="","",MARÍTIMOS[[#This Row],[Número de Contacto]]),"")</f>
        <v>980865741</v>
      </c>
      <c r="O286" s="10" t="str">
        <f>IFERROR(IF(MARÍTIMOS[[#This Row],[Booking|AWB|CRT]]="","",MARÍTIMOS[[#This Row],[Booking|AWB|CRT]]),"")</f>
        <v>PER9174391A</v>
      </c>
      <c r="P286" s="2" t="str">
        <f>IFERROR(IF(MARÍTIMOS[[#This Row],[Contenedor]]="","",MARÍTIMOS[[#This Row],[Contenedor]]),"")</f>
        <v>GCXU8017086</v>
      </c>
      <c r="Q286" s="2" t="str">
        <f>IFERROR(IF(MARÍTIMOS[[#This Row],[Puerto de Retiro]]="","",MARÍTIMOS[[#This Row],[Puerto de Retiro]]),"")</f>
        <v>PAITA</v>
      </c>
      <c r="R286" s="2" t="str">
        <f>IFERROR(IF(MARÍTIMOS[[#This Row],[Almacén de Retiro]]="","",MARÍTIMOS[[#This Row],[Almacén de Retiro]]),"")</f>
        <v>DPW</v>
      </c>
      <c r="S286" s="11">
        <f>IFERROR(IF(MARÍTIMOS[[#This Row],[Etapa Retiro - Cita]]="","",MARÍTIMOS[[#This Row],[Etapa Retiro - Cita]]),"")</f>
        <v>46243.458333333336</v>
      </c>
      <c r="T286" s="11">
        <f>IFERROR(IF(MARÍTIMOS[[#This Row],[Etapa Retiro - Llegada]]="","",MARÍTIMOS[[#This Row],[Etapa Retiro - Llegada]]),"")</f>
        <v>46243.467361111114</v>
      </c>
      <c r="U286" s="11">
        <f>IFERROR(IF(MARÍTIMOS[[#This Row],[Etapa Retiro - Ingreso]]="","",MARÍTIMOS[[#This Row],[Etapa Retiro - Ingreso]]),"")</f>
        <v>46243.474305555559</v>
      </c>
      <c r="V286" s="11">
        <f>IFERROR(IF(MARÍTIMOS[[#This Row],[Etapa Retiro - Atención]]="","",MARÍTIMOS[[#This Row],[Etapa Retiro - Atención]]),"")</f>
        <v>46243.5</v>
      </c>
      <c r="W286" s="11">
        <f>IFERROR(IF(MARÍTIMOS[[#This Row],[Etapa Retiro - Atención]]="","",MARÍTIMOS[[#This Row],[Etapa Retiro - Atención]]),"")</f>
        <v>46243.5</v>
      </c>
      <c r="X286" s="11">
        <f>IFERROR(IF(MARÍTIMOS[[#This Row],[Etapa Retiro - Inicio de Ruta]]="","",MARÍTIMOS[[#This Row],[Etapa Retiro - Inicio de Ruta]]),"")</f>
        <v>46243.573611111111</v>
      </c>
      <c r="Y286" s="11">
        <f>IFERROR(IF(MARÍTIMOS[[#This Row],[Hora de Posicionamiento]]="","",MARÍTIMOS[[#This Row],[Fecha de Carga]]+MARÍTIMOS[[#This Row],[Hora de Posicionamiento]]),"")</f>
        <v>46244.583333333336</v>
      </c>
      <c r="Z286" s="11">
        <f>IFERROR(IF(MARÍTIMOS[[#This Row],[Etapa Despacho - Llegada]]="","",MARÍTIMOS[[#This Row],[Etapa Despacho - Llegada]]),"")</f>
        <v>46244.394444444442</v>
      </c>
      <c r="AA286" s="11">
        <f>IFERROR(IF(MARÍTIMOS[[#This Row],[Etapa Despacho - Registro]]="","",MARÍTIMOS[[#This Row],[Etapa Despacho - Registro]]),"")</f>
        <v>46244.401388888888</v>
      </c>
      <c r="AB286" s="11">
        <f>IFERROR(IF(MARÍTIMOS[[#This Row],[Inspección Externa]]="","",MARÍTIMOS[[#This Row],[Inspección Externa]]),"")</f>
        <v>46244.415277777778</v>
      </c>
      <c r="AC286" s="11">
        <f>IFERROR(IF(MARÍTIMOS[[#This Row],[Etapa Despacho - Inicio de Carga]]="","",MARÍTIMOS[[#This Row],[Etapa Despacho - Inicio de Carga]]),"")</f>
        <v>46244.444444444445</v>
      </c>
      <c r="AD286" s="11">
        <f>IFERROR(IF(MARÍTIMOS[[#This Row],[Etapa Despacho - Mitad de Carga]]="","",MARÍTIMOS[[#This Row],[Etapa Despacho - Mitad de Carga]]),"")</f>
        <v>46244.456944444442</v>
      </c>
      <c r="AE286" s="11">
        <f>IFERROR(IF(MARÍTIMOS[[#This Row],[Etapa Despacho - Fin de Carga]]="","",MARÍTIMOS[[#This Row],[Etapa Despacho - Fin de Carga]]),"")</f>
        <v>46244.708333333336</v>
      </c>
      <c r="AF286" s="2" t="str">
        <f>IFERROR(IF(MARÍTIMOS[[#This Row],[Puerto de Embarque]]="","",MARÍTIMOS[[#This Row],[Puerto de Embarque]]),"")</f>
        <v>Paita</v>
      </c>
      <c r="AG286" s="2" t="str">
        <f>IFERROR(IF(MARÍTIMOS[[#This Row],[Almacén de Ingreso]]="","",MARÍTIMOS[[#This Row],[Almacén de Ingreso]]),"")</f>
        <v>TPE</v>
      </c>
      <c r="AH286" s="11">
        <f>IFERROR(IF(MARÍTIMOS[[#This Row],[Etapa Ingreso - Cita]]="","",MARÍTIMOS[[#This Row],[Etapa Ingreso - Cita]]),"")</f>
        <v>46245.416666666664</v>
      </c>
      <c r="AI286" s="11">
        <f>IFERROR(IF(MARÍTIMOS[[#This Row],[Etapa Ingreso - Llegada]]="","",MARÍTIMOS[[#This Row],[Etapa Ingreso - Llegada]]),"")</f>
        <v>46245.450694444444</v>
      </c>
      <c r="AJ286" s="11">
        <f>IFERROR(IF(MARÍTIMOS[[#This Row],[Etapa Ingreso - Ingeso]]="","",MARÍTIMOS[[#This Row],[Etapa Ingreso - Ingeso]]),"")</f>
        <v>46245.459027777775</v>
      </c>
      <c r="AK286" s="11">
        <f>IFERROR(IF(MARÍTIMOS[[#This Row],[Etapa Ingreso - Atención]]="","",MARÍTIMOS[[#This Row],[Etapa Ingreso - Atención]]),"")</f>
        <v>46245.46597222222</v>
      </c>
      <c r="AL286" s="11">
        <f>IFERROR(IF(MARÍTIMOS[[#This Row],[Etapa Ingreso - Salida]]="","",MARÍTIMOS[[#This Row],[Etapa Ingreso - Salida]]),"")</f>
        <v>46245.470833333333</v>
      </c>
      <c r="AM286" s="2">
        <f>IFERROR(IF(MARÍTIMOS[[#This Row],[FCL]]="","",MARÍTIMOS[[#This Row],[FCL]]),"")</f>
        <v>1</v>
      </c>
      <c r="AN2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6" s="4" t="str" cm="1">
        <f t="array" ref="AO2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6" s="5">
        <f>IFERROR(OLDBD[[#This Row],[Llegada a packing]]-OLDBD[[#This Row],[Inicio de Ruta]],"")</f>
        <v>0.82083333333139308</v>
      </c>
      <c r="AQ286" s="6">
        <f>IFERROR(OLDBD[[#This Row],[Inicio de Ruta]]-OLDBD[[#This Row],[Salida de almacén de retiro]],"")</f>
        <v>7.3611111110949423E-2</v>
      </c>
      <c r="AR2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86" s="8" t="str" cm="1">
        <f t="array" ref="AS2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6" s="9">
        <f>IFERROR(OLDBD[[#This Row],[Ingreso Packing]]-OLDBD[[#This Row],[Registro en Packing]],"")</f>
        <v>1.3888888890505768E-2</v>
      </c>
      <c r="AV286" s="9">
        <f>IFERROR(OLDBD[[#This Row],[Ingreso Packing]]-OLDBD[[#This Row],[Llegada a packing]],"")</f>
        <v>2.0833333335758653E-2</v>
      </c>
      <c r="AW2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86" s="5">
        <f>IFERROR(OLDBD[[#This Row],[Llegada Almacén de Ingreso]]-OLDBD[[#This Row],[Salida Packing]],"")</f>
        <v>0.74236111110803904</v>
      </c>
      <c r="AY286" s="4" t="str" cm="1">
        <f t="array" ref="AY2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6" s="43" t="s">
        <v>173</v>
      </c>
      <c r="BB286" s="47" t="str">
        <f>IFERROR(IF(MARÍTIMOS[[#This Row],[Estatus]]="","",MARÍTIMOS[[#This Row],[Estatus]]),"")</f>
        <v>Confirmado</v>
      </c>
      <c r="BC286" s="43"/>
      <c r="BD286" s="46">
        <f>IFERROR(OLDBD[[#This Row],[Salida de almacén de retiro]]-OLDBD[[#This Row],[Ingreso Almacén de retiro]],"")</f>
        <v>2.569444444088731E-2</v>
      </c>
      <c r="BE286" s="46">
        <f>IFERROR(OLDBD[[#This Row],[Fin de Carga]]-OLDBD[[#This Row],[Inicio de Carga]],"")</f>
        <v>1.2499999997089617E-2</v>
      </c>
    </row>
    <row r="287" spans="1:57" customFormat="1" hidden="1">
      <c r="A287" s="1"/>
      <c r="B287" s="1">
        <f>IFERROR(IF(MARÍTIMOS[[#This Row],[PP]]="","",MARÍTIMOS[[#This Row],[PP]]),"")</f>
        <v>32</v>
      </c>
      <c r="C287" s="1" t="str">
        <f>IFERROR(IF(MARÍTIMOS[[#This Row],[Sede]]="","",MARÍTIMOS[[#This Row],[Sede]]),"")</f>
        <v>Chao</v>
      </c>
      <c r="D287" s="1" t="str">
        <f>IFERROR(IF(MARÍTIMOS[[#This Row],[Instruction]]="","",MARÍTIMOS[[#This Row],[Instruction]]),"")</f>
        <v>RH-0458</v>
      </c>
      <c r="E287" s="1"/>
      <c r="F287" s="2" t="str">
        <f>IFERROR(IF(MARÍTIMOS[[#This Row],[Transportista]]="","",MARÍTIMOS[[#This Row],[Transportista]]),"")</f>
        <v>LIP</v>
      </c>
      <c r="G287" s="2" t="str">
        <f>IFERROR(IF(MARÍTIMOS[[#This Row],[Tercero]]="","",MARÍTIMOS[[#This Row],[Tercero]]),"")</f>
        <v>NO</v>
      </c>
      <c r="H287" s="2" t="str">
        <f>IFERROR(IF(MARÍTIMOS[[#This Row],[Razón Social]]="","",MARÍTIMOS[[#This Row],[Razón Social]]),"")</f>
        <v>LOGISTICA INTERMODAL DEL PERU S.A.C.</v>
      </c>
      <c r="I287" s="2">
        <f>IFERROR(IF(MARÍTIMOS[[#This Row],[RUC]]="","",MARÍTIMOS[[#This Row],[RUC]]),"")</f>
        <v>20513040718</v>
      </c>
      <c r="J287" s="2" t="str">
        <f>IFERROR(IF(MARÍTIMOS[[#This Row],[Placa Tracto]]="","",MARÍTIMOS[[#This Row],[Placa Tracto]]),"")</f>
        <v>ASO-792</v>
      </c>
      <c r="K287" s="2" t="str">
        <f>IFERROR(IF(MARÍTIMOS[[#This Row],[Placa Carreta]]="","",MARÍTIMOS[[#This Row],[Placa Carreta]]),"")</f>
        <v>ART-990</v>
      </c>
      <c r="L287" s="44" t="str">
        <f>IFERROR(IF(MARÍTIMOS[[#This Row],[Conductor]]="","",MARÍTIMOS[[#This Row],[Conductor]]),"")</f>
        <v>MEDINA OLAYA JOSE LUIS</v>
      </c>
      <c r="M287" s="2" t="str">
        <f>IFERROR(IF(MARÍTIMOS[[#This Row],[Licencia]]="","",MARÍTIMOS[[#This Row],[Licencia]]),"")</f>
        <v>B44001820</v>
      </c>
      <c r="N287" s="2" t="str">
        <f>IFERROR(IF(MARÍTIMOS[[#This Row],[Número de Contacto]]="","",MARÍTIMOS[[#This Row],[Número de Contacto]]),"")</f>
        <v>932 208 104</v>
      </c>
      <c r="O287" s="10" t="str">
        <f>IFERROR(IF(MARÍTIMOS[[#This Row],[Booking|AWB|CRT]]="","",MARÍTIMOS[[#This Row],[Booking|AWB|CRT]]),"")</f>
        <v>PER9174389A</v>
      </c>
      <c r="P287" s="2" t="str">
        <f>IFERROR(IF(MARÍTIMOS[[#This Row],[Contenedor]]="","",MARÍTIMOS[[#This Row],[Contenedor]]),"")</f>
        <v>SEKU9419080</v>
      </c>
      <c r="Q287" s="2" t="str">
        <f>IFERROR(IF(MARÍTIMOS[[#This Row],[Puerto de Retiro]]="","",MARÍTIMOS[[#This Row],[Puerto de Retiro]]),"")</f>
        <v>PAITA</v>
      </c>
      <c r="R287" s="2" t="str">
        <f>IFERROR(IF(MARÍTIMOS[[#This Row],[Almacén de Retiro]]="","",MARÍTIMOS[[#This Row],[Almacén de Retiro]]),"")</f>
        <v>DPW</v>
      </c>
      <c r="S287" s="11">
        <f>IFERROR(IF(MARÍTIMOS[[#This Row],[Etapa Retiro - Cita]]="","",MARÍTIMOS[[#This Row],[Etapa Retiro - Cita]]),"")</f>
        <v>46244.5</v>
      </c>
      <c r="T287" s="11">
        <f>IFERROR(IF(MARÍTIMOS[[#This Row],[Etapa Retiro - Llegada]]="","",MARÍTIMOS[[#This Row],[Etapa Retiro - Llegada]]),"")</f>
        <v>46244.512499999997</v>
      </c>
      <c r="U287" s="11">
        <f>IFERROR(IF(MARÍTIMOS[[#This Row],[Etapa Retiro - Ingreso]]="","",MARÍTIMOS[[#This Row],[Etapa Retiro - Ingreso]]),"")</f>
        <v>46244.519444444442</v>
      </c>
      <c r="V287" s="11">
        <f>IFERROR(IF(MARÍTIMOS[[#This Row],[Etapa Retiro - Atención]]="","",MARÍTIMOS[[#This Row],[Etapa Retiro - Atención]]),"")</f>
        <v>46244.526388888888</v>
      </c>
      <c r="W287" s="11">
        <f>IFERROR(IF(MARÍTIMOS[[#This Row],[Etapa Retiro - Atención]]="","",MARÍTIMOS[[#This Row],[Etapa Retiro - Atención]]),"")</f>
        <v>46244.526388888888</v>
      </c>
      <c r="X287" s="11">
        <f>IFERROR(IF(MARÍTIMOS[[#This Row],[Etapa Retiro - Inicio de Ruta]]="","",MARÍTIMOS[[#This Row],[Etapa Retiro - Inicio de Ruta]]),"")</f>
        <v>46244.593055555553</v>
      </c>
      <c r="Y287" s="11">
        <f>IFERROR(IF(MARÍTIMOS[[#This Row],[Hora de Posicionamiento]]="","",MARÍTIMOS[[#This Row],[Fecha de Carga]]+MARÍTIMOS[[#This Row],[Hora de Posicionamiento]]),"")</f>
        <v>46245.333333333336</v>
      </c>
      <c r="Z287" s="11">
        <f>IFERROR(IF(MARÍTIMOS[[#This Row],[Etapa Despacho - Llegada]]="","",MARÍTIMOS[[#This Row],[Etapa Despacho - Llegada]]),"")</f>
        <v>46245.334722222222</v>
      </c>
      <c r="AA287" s="11">
        <f>IFERROR(IF(MARÍTIMOS[[#This Row],[Etapa Despacho - Registro]]="","",MARÍTIMOS[[#This Row],[Etapa Despacho - Registro]]),"")</f>
        <v>46245.341666666667</v>
      </c>
      <c r="AB287" s="11">
        <f>IFERROR(IF(MARÍTIMOS[[#This Row],[Inspección Externa]]="","",MARÍTIMOS[[#This Row],[Inspección Externa]]),"")</f>
        <v>46245.348611111112</v>
      </c>
      <c r="AC287" s="11">
        <f>IFERROR(IF(MARÍTIMOS[[#This Row],[Etapa Despacho - Inicio de Carga]]="","",MARÍTIMOS[[#This Row],[Etapa Despacho - Inicio de Carga]]),"")</f>
        <v>46245.369444444441</v>
      </c>
      <c r="AD287" s="11">
        <f>IFERROR(IF(MARÍTIMOS[[#This Row],[Etapa Despacho - Mitad de Carga]]="","",MARÍTIMOS[[#This Row],[Etapa Despacho - Mitad de Carga]]),"")</f>
        <v>46245.381944444445</v>
      </c>
      <c r="AE287" s="11">
        <f>IFERROR(IF(MARÍTIMOS[[#This Row],[Etapa Despacho - Fin de Carga]]="","",MARÍTIMOS[[#This Row],[Etapa Despacho - Fin de Carga]]),"")</f>
        <v>46246.666666666664</v>
      </c>
      <c r="AF287" s="2" t="str">
        <f>IFERROR(IF(MARÍTIMOS[[#This Row],[Puerto de Embarque]]="","",MARÍTIMOS[[#This Row],[Puerto de Embarque]]),"")</f>
        <v>Paita</v>
      </c>
      <c r="AG287" s="2" t="str">
        <f>IFERROR(IF(MARÍTIMOS[[#This Row],[Almacén de Ingreso]]="","",MARÍTIMOS[[#This Row],[Almacén de Ingreso]]),"")</f>
        <v>TPE</v>
      </c>
      <c r="AH287" s="11">
        <f>IFERROR(IF(MARÍTIMOS[[#This Row],[Etapa Ingreso - Cita]]="","",MARÍTIMOS[[#This Row],[Etapa Ingreso - Cita]]),"")</f>
        <v>46247.333333333336</v>
      </c>
      <c r="AI287" s="11">
        <f>IFERROR(IF(MARÍTIMOS[[#This Row],[Etapa Ingreso - Llegada]]="","",MARÍTIMOS[[#This Row],[Etapa Ingreso - Llegada]]),"")</f>
        <v>46247.361111111109</v>
      </c>
      <c r="AJ287" s="11">
        <f>IFERROR(IF(MARÍTIMOS[[#This Row],[Etapa Ingreso - Ingeso]]="","",MARÍTIMOS[[#This Row],[Etapa Ingreso - Ingeso]]),"")</f>
        <v>46247.362500000003</v>
      </c>
      <c r="AK287" s="11">
        <f>IFERROR(IF(MARÍTIMOS[[#This Row],[Etapa Ingreso - Atención]]="","",MARÍTIMOS[[#This Row],[Etapa Ingreso - Atención]]),"")</f>
        <v>46247.369444444441</v>
      </c>
      <c r="AL287" s="11">
        <f>IFERROR(IF(MARÍTIMOS[[#This Row],[Etapa Ingreso - Salida]]="","",MARÍTIMOS[[#This Row],[Etapa Ingreso - Salida]]),"")</f>
        <v>46247.394444444442</v>
      </c>
      <c r="AM287" s="2">
        <f>IFERROR(IF(MARÍTIMOS[[#This Row],[FCL]]="","",MARÍTIMOS[[#This Row],[FCL]]),"")</f>
        <v>1</v>
      </c>
      <c r="AN2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7" s="4" t="str" cm="1">
        <f t="array" ref="AO2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7" s="5">
        <f>IFERROR(OLDBD[[#This Row],[Llegada a packing]]-OLDBD[[#This Row],[Inicio de Ruta]],"")</f>
        <v>0.74166666666860692</v>
      </c>
      <c r="AQ287" s="6">
        <f>IFERROR(OLDBD[[#This Row],[Inicio de Ruta]]-OLDBD[[#This Row],[Salida de almacén de retiro]],"")</f>
        <v>6.6666666665696539E-2</v>
      </c>
      <c r="AR2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87" s="8" t="str" cm="1">
        <f t="array" ref="AS2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7" s="9">
        <f>IFERROR(OLDBD[[#This Row],[Ingreso Packing]]-OLDBD[[#This Row],[Registro en Packing]],"")</f>
        <v>6.9444444452528842E-3</v>
      </c>
      <c r="AV287" s="9">
        <f>IFERROR(OLDBD[[#This Row],[Ingreso Packing]]-OLDBD[[#This Row],[Llegada a packing]],"")</f>
        <v>1.3888888890505768E-2</v>
      </c>
      <c r="AW2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87" s="5">
        <f>IFERROR(OLDBD[[#This Row],[Llegada Almacén de Ingreso]]-OLDBD[[#This Row],[Salida Packing]],"")</f>
        <v>0.69444444444525288</v>
      </c>
      <c r="AY287" s="4" t="str" cm="1">
        <f t="array" ref="AY2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7" s="43" t="s">
        <v>173</v>
      </c>
      <c r="BB287" s="47" t="str">
        <f>IFERROR(IF(MARÍTIMOS[[#This Row],[Estatus]]="","",MARÍTIMOS[[#This Row],[Estatus]]),"")</f>
        <v>Confirmado</v>
      </c>
      <c r="BC287" s="43"/>
      <c r="BD287" s="46">
        <f>IFERROR(OLDBD[[#This Row],[Salida de almacén de retiro]]-OLDBD[[#This Row],[Ingreso Almacén de retiro]],"")</f>
        <v>6.9444444452528842E-3</v>
      </c>
      <c r="BE287" s="46">
        <f>IFERROR(OLDBD[[#This Row],[Fin de Carga]]-OLDBD[[#This Row],[Inicio de Carga]],"")</f>
        <v>1.2500000004365575E-2</v>
      </c>
    </row>
    <row r="288" spans="1:57" customFormat="1" hidden="1">
      <c r="A288" s="1"/>
      <c r="B288" s="1">
        <f>IFERROR(IF(MARÍTIMOS[[#This Row],[PP]]="","",MARÍTIMOS[[#This Row],[PP]]),"")</f>
        <v>32</v>
      </c>
      <c r="C288" s="1" t="str">
        <f>IFERROR(IF(MARÍTIMOS[[#This Row],[Sede]]="","",MARÍTIMOS[[#This Row],[Sede]]),"")</f>
        <v>Chao</v>
      </c>
      <c r="D288" s="1" t="str">
        <f>IFERROR(IF(MARÍTIMOS[[#This Row],[Instruction]]="","",MARÍTIMOS[[#This Row],[Instruction]]),"")</f>
        <v>RH-0461</v>
      </c>
      <c r="E288" s="1"/>
      <c r="F288" s="2" t="str">
        <f>IFERROR(IF(MARÍTIMOS[[#This Row],[Transportista]]="","",MARÍTIMOS[[#This Row],[Transportista]]),"")</f>
        <v>LIP</v>
      </c>
      <c r="G288" s="2" t="str">
        <f>IFERROR(IF(MARÍTIMOS[[#This Row],[Tercero]]="","",MARÍTIMOS[[#This Row],[Tercero]]),"")</f>
        <v>NO</v>
      </c>
      <c r="H288" s="2" t="str">
        <f>IFERROR(IF(MARÍTIMOS[[#This Row],[Razón Social]]="","",MARÍTIMOS[[#This Row],[Razón Social]]),"")</f>
        <v>LOGISTICA INTERMODAL DEL PERU S.A.C.</v>
      </c>
      <c r="I288" s="2">
        <f>IFERROR(IF(MARÍTIMOS[[#This Row],[RUC]]="","",MARÍTIMOS[[#This Row],[RUC]]),"")</f>
        <v>20513040718</v>
      </c>
      <c r="J288" s="2" t="str">
        <f>IFERROR(IF(MARÍTIMOS[[#This Row],[Placa Tracto]]="","",MARÍTIMOS[[#This Row],[Placa Tracto]]),"")</f>
        <v>APU-757</v>
      </c>
      <c r="K288" s="2" t="str">
        <f>IFERROR(IF(MARÍTIMOS[[#This Row],[Placa Carreta]]="","",MARÍTIMOS[[#This Row],[Placa Carreta]]),"")</f>
        <v>ARQ-991</v>
      </c>
      <c r="L288" s="44" t="str">
        <f>IFERROR(IF(MARÍTIMOS[[#This Row],[Conductor]]="","",MARÍTIMOS[[#This Row],[Conductor]]),"")</f>
        <v>SANDOVAL RAMOS LUIS</v>
      </c>
      <c r="M288" s="2" t="str">
        <f>IFERROR(IF(MARÍTIMOS[[#This Row],[Licencia]]="","",MARÍTIMOS[[#This Row],[Licencia]]),"")</f>
        <v>Q40848242</v>
      </c>
      <c r="N288" s="2" t="str">
        <f>IFERROR(IF(MARÍTIMOS[[#This Row],[Número de Contacto]]="","",MARÍTIMOS[[#This Row],[Número de Contacto]]),"")</f>
        <v>969 069 655</v>
      </c>
      <c r="O288" s="10" t="str">
        <f>IFERROR(IF(MARÍTIMOS[[#This Row],[Booking|AWB|CRT]]="","",MARÍTIMOS[[#This Row],[Booking|AWB|CRT]]),"")</f>
        <v>PER9174392A</v>
      </c>
      <c r="P288" s="2" t="str">
        <f>IFERROR(IF(MARÍTIMOS[[#This Row],[Contenedor]]="","",MARÍTIMOS[[#This Row],[Contenedor]]),"")</f>
        <v>CAAU4162610</v>
      </c>
      <c r="Q288" s="2" t="str">
        <f>IFERROR(IF(MARÍTIMOS[[#This Row],[Puerto de Retiro]]="","",MARÍTIMOS[[#This Row],[Puerto de Retiro]]),"")</f>
        <v>PAITA</v>
      </c>
      <c r="R288" s="2" t="str">
        <f>IFERROR(IF(MARÍTIMOS[[#This Row],[Almacén de Retiro]]="","",MARÍTIMOS[[#This Row],[Almacén de Retiro]]),"")</f>
        <v>DPW</v>
      </c>
      <c r="S288" s="11">
        <f>IFERROR(IF(MARÍTIMOS[[#This Row],[Etapa Retiro - Cita]]="","",MARÍTIMOS[[#This Row],[Etapa Retiro - Cita]]),"")</f>
        <v>46244.541666666664</v>
      </c>
      <c r="T288" s="11">
        <f>IFERROR(IF(MARÍTIMOS[[#This Row],[Etapa Retiro - Llegada]]="","",MARÍTIMOS[[#This Row],[Etapa Retiro - Llegada]]),"")</f>
        <v>46244.554861111108</v>
      </c>
      <c r="U288" s="11">
        <f>IFERROR(IF(MARÍTIMOS[[#This Row],[Etapa Retiro - Ingreso]]="","",MARÍTIMOS[[#This Row],[Etapa Retiro - Ingreso]]),"")</f>
        <v>46244.561805555553</v>
      </c>
      <c r="V288" s="11">
        <f>IFERROR(IF(MARÍTIMOS[[#This Row],[Etapa Retiro - Atención]]="","",MARÍTIMOS[[#This Row],[Etapa Retiro - Atención]]),"")</f>
        <v>46244.568749999999</v>
      </c>
      <c r="W288" s="11">
        <f>IFERROR(IF(MARÍTIMOS[[#This Row],[Etapa Retiro - Atención]]="","",MARÍTIMOS[[#This Row],[Etapa Retiro - Atención]]),"")</f>
        <v>46244.568749999999</v>
      </c>
      <c r="X288" s="11">
        <f>IFERROR(IF(MARÍTIMOS[[#This Row],[Etapa Retiro - Inicio de Ruta]]="","",MARÍTIMOS[[#This Row],[Etapa Retiro - Inicio de Ruta]]),"")</f>
        <v>46244.754166666666</v>
      </c>
      <c r="Y288" s="11">
        <f>IFERROR(IF(MARÍTIMOS[[#This Row],[Hora de Posicionamiento]]="","",MARÍTIMOS[[#This Row],[Fecha de Carga]]+MARÍTIMOS[[#This Row],[Hora de Posicionamiento]]),"")</f>
        <v>46245.333333333336</v>
      </c>
      <c r="Z288" s="11">
        <f>IFERROR(IF(MARÍTIMOS[[#This Row],[Etapa Despacho - Llegada]]="","",MARÍTIMOS[[#This Row],[Etapa Despacho - Llegada]]),"")</f>
        <v>46245.366666666669</v>
      </c>
      <c r="AA288" s="11">
        <f>IFERROR(IF(MARÍTIMOS[[#This Row],[Etapa Despacho - Registro]]="","",MARÍTIMOS[[#This Row],[Etapa Despacho - Registro]]),"")</f>
        <v>46245.373611111114</v>
      </c>
      <c r="AB288" s="11">
        <f>IFERROR(IF(MARÍTIMOS[[#This Row],[Inspección Externa]]="","",MARÍTIMOS[[#This Row],[Inspección Externa]]),"")</f>
        <v>46245.380555555559</v>
      </c>
      <c r="AC288" s="11">
        <f>IFERROR(IF(MARÍTIMOS[[#This Row],[Etapa Despacho - Inicio de Carga]]="","",MARÍTIMOS[[#This Row],[Etapa Despacho - Inicio de Carga]]),"")</f>
        <v>46245.401388888888</v>
      </c>
      <c r="AD288" s="11">
        <f>IFERROR(IF(MARÍTIMOS[[#This Row],[Etapa Despacho - Mitad de Carga]]="","",MARÍTIMOS[[#This Row],[Etapa Despacho - Mitad de Carga]]),"")</f>
        <v>46245.415277777778</v>
      </c>
      <c r="AE288" s="11">
        <f>IFERROR(IF(MARÍTIMOS[[#This Row],[Etapa Despacho - Fin de Carga]]="","",MARÍTIMOS[[#This Row],[Etapa Despacho - Fin de Carga]]),"")</f>
        <v>46246.6875</v>
      </c>
      <c r="AF288" s="2" t="str">
        <f>IFERROR(IF(MARÍTIMOS[[#This Row],[Puerto de Embarque]]="","",MARÍTIMOS[[#This Row],[Puerto de Embarque]]),"")</f>
        <v>Paita</v>
      </c>
      <c r="AG288" s="2" t="str">
        <f>IFERROR(IF(MARÍTIMOS[[#This Row],[Almacén de Ingreso]]="","",MARÍTIMOS[[#This Row],[Almacén de Ingreso]]),"")</f>
        <v>TPE</v>
      </c>
      <c r="AH288" s="11">
        <f>IFERROR(IF(MARÍTIMOS[[#This Row],[Etapa Ingreso - Cita]]="","",MARÍTIMOS[[#This Row],[Etapa Ingreso - Cita]]),"")</f>
        <v>46247.333333333336</v>
      </c>
      <c r="AI288" s="11">
        <f>IFERROR(IF(MARÍTIMOS[[#This Row],[Etapa Ingreso - Llegada]]="","",MARÍTIMOS[[#This Row],[Etapa Ingreso - Llegada]]),"")</f>
        <v>46247.36041666667</v>
      </c>
      <c r="AJ288" s="11">
        <f>IFERROR(IF(MARÍTIMOS[[#This Row],[Etapa Ingreso - Ingeso]]="","",MARÍTIMOS[[#This Row],[Etapa Ingreso - Ingeso]]),"")</f>
        <v>46247.400694444441</v>
      </c>
      <c r="AK288" s="11">
        <f>IFERROR(IF(MARÍTIMOS[[#This Row],[Etapa Ingreso - Atención]]="","",MARÍTIMOS[[#This Row],[Etapa Ingreso - Atención]]),"")</f>
        <v>46247.407638888886</v>
      </c>
      <c r="AL288" s="11">
        <f>IFERROR(IF(MARÍTIMOS[[#This Row],[Etapa Ingreso - Salida]]="","",MARÍTIMOS[[#This Row],[Etapa Ingreso - Salida]]),"")</f>
        <v>46247.61041666667</v>
      </c>
      <c r="AM288" s="2">
        <f>IFERROR(IF(MARÍTIMOS[[#This Row],[FCL]]="","",MARÍTIMOS[[#This Row],[FCL]]),"")</f>
        <v>1</v>
      </c>
      <c r="AN2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8" s="4" t="str" cm="1">
        <f t="array" ref="AO2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8" s="5">
        <f>IFERROR(OLDBD[[#This Row],[Llegada a packing]]-OLDBD[[#This Row],[Inicio de Ruta]],"")</f>
        <v>0.61250000000291038</v>
      </c>
      <c r="AQ288" s="6">
        <f>IFERROR(OLDBD[[#This Row],[Inicio de Ruta]]-OLDBD[[#This Row],[Salida de almacén de retiro]],"")</f>
        <v>0.18541666666715173</v>
      </c>
      <c r="AR2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88" s="8" t="str" cm="1">
        <f t="array" ref="AS2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2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8" s="9">
        <f>IFERROR(OLDBD[[#This Row],[Ingreso Packing]]-OLDBD[[#This Row],[Registro en Packing]],"")</f>
        <v>6.9444444452528842E-3</v>
      </c>
      <c r="AV288" s="9">
        <f>IFERROR(OLDBD[[#This Row],[Ingreso Packing]]-OLDBD[[#This Row],[Llegada a packing]],"")</f>
        <v>1.3888888890505768E-2</v>
      </c>
      <c r="AW2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88" s="5">
        <f>IFERROR(OLDBD[[#This Row],[Llegada Almacén de Ingreso]]-OLDBD[[#This Row],[Salida Packing]],"")</f>
        <v>0.67291666667006211</v>
      </c>
      <c r="AY288" s="4" t="str" cm="1">
        <f t="array" ref="AY2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2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8" s="43" t="s">
        <v>173</v>
      </c>
      <c r="BB288" s="47" t="str">
        <f>IFERROR(IF(MARÍTIMOS[[#This Row],[Estatus]]="","",MARÍTIMOS[[#This Row],[Estatus]]),"")</f>
        <v>Confirmado</v>
      </c>
      <c r="BC288" s="43"/>
      <c r="BD288" s="46">
        <f>IFERROR(OLDBD[[#This Row],[Salida de almacén de retiro]]-OLDBD[[#This Row],[Ingreso Almacén de retiro]],"")</f>
        <v>6.9444444452528842E-3</v>
      </c>
      <c r="BE288" s="46">
        <f>IFERROR(OLDBD[[#This Row],[Fin de Carga]]-OLDBD[[#This Row],[Inicio de Carga]],"")</f>
        <v>1.3888888890505768E-2</v>
      </c>
    </row>
    <row r="289" spans="1:57" customFormat="1" hidden="1">
      <c r="A289" s="1"/>
      <c r="B289" s="1">
        <f>IFERROR(IF(MARÍTIMOS[[#This Row],[PP]]="","",MARÍTIMOS[[#This Row],[PP]]),"")</f>
        <v>33</v>
      </c>
      <c r="C289" s="1" t="str">
        <f>IFERROR(IF(MARÍTIMOS[[#This Row],[Sede]]="","",MARÍTIMOS[[#This Row],[Sede]]),"")</f>
        <v>Chao</v>
      </c>
      <c r="D289" s="1" t="str">
        <f>IFERROR(IF(MARÍTIMOS[[#This Row],[Instruction]]="","",MARÍTIMOS[[#This Row],[Instruction]]),"")</f>
        <v>RH-0436</v>
      </c>
      <c r="E289" s="1"/>
      <c r="F289" s="2" t="str">
        <f>IFERROR(IF(MARÍTIMOS[[#This Row],[Transportista]]="","",MARÍTIMOS[[#This Row],[Transportista]]),"")</f>
        <v>LIP</v>
      </c>
      <c r="G289" s="2" t="str">
        <f>IFERROR(IF(MARÍTIMOS[[#This Row],[Tercero]]="","",MARÍTIMOS[[#This Row],[Tercero]]),"")</f>
        <v>SI</v>
      </c>
      <c r="H289" s="2" t="str">
        <f>IFERROR(IF(MARÍTIMOS[[#This Row],[Razón Social]]="","",MARÍTIMOS[[#This Row],[Razón Social]]),"")</f>
        <v>LOGISTICS TRANSPORT SOCIEDAD ANONIMA CERRADA</v>
      </c>
      <c r="I289" s="2">
        <f>IFERROR(IF(MARÍTIMOS[[#This Row],[RUC]]="","",MARÍTIMOS[[#This Row],[RUC]]),"")</f>
        <v>20614402246</v>
      </c>
      <c r="J289" s="2" t="str">
        <f>IFERROR(IF(MARÍTIMOS[[#This Row],[Placa Tracto]]="","",MARÍTIMOS[[#This Row],[Placa Tracto]]),"")</f>
        <v>D4J-829</v>
      </c>
      <c r="K289" s="2" t="str">
        <f>IFERROR(IF(MARÍTIMOS[[#This Row],[Placa Carreta]]="","",MARÍTIMOS[[#This Row],[Placa Carreta]]),"")</f>
        <v>TJZ-980</v>
      </c>
      <c r="L289" s="44" t="str">
        <f>IFERROR(IF(MARÍTIMOS[[#This Row],[Conductor]]="","",MARÍTIMOS[[#This Row],[Conductor]]),"")</f>
        <v>CHIROQUE IMAN JOSE NICOLAS</v>
      </c>
      <c r="M289" s="2" t="str">
        <f>IFERROR(IF(MARÍTIMOS[[#This Row],[Licencia]]="","",MARÍTIMOS[[#This Row],[Licencia]]),"")</f>
        <v>C16578741</v>
      </c>
      <c r="N289" s="2">
        <f>IFERROR(IF(MARÍTIMOS[[#This Row],[Número de Contacto]]="","",MARÍTIMOS[[#This Row],[Número de Contacto]]),"")</f>
        <v>914113779</v>
      </c>
      <c r="O289" s="10" t="str">
        <f>IFERROR(IF(MARÍTIMOS[[#This Row],[Booking|AWB|CRT]]="","",MARÍTIMOS[[#This Row],[Booking|AWB|CRT]]),"")</f>
        <v>MBM250067120</v>
      </c>
      <c r="P289" s="2" t="str">
        <f>IFERROR(IF(MARÍTIMOS[[#This Row],[Contenedor]]="","",MARÍTIMOS[[#This Row],[Contenedor]]),"")</f>
        <v>BMOU9600841</v>
      </c>
      <c r="Q289" s="2" t="str">
        <f>IFERROR(IF(MARÍTIMOS[[#This Row],[Puerto de Retiro]]="","",MARÍTIMOS[[#This Row],[Puerto de Retiro]]),"")</f>
        <v>PAITA</v>
      </c>
      <c r="R289" s="2" t="str">
        <f>IFERROR(IF(MARÍTIMOS[[#This Row],[Almacén de Retiro]]="","",MARÍTIMOS[[#This Row],[Almacén de Retiro]]),"")</f>
        <v>MACROMAR</v>
      </c>
      <c r="S289" s="11">
        <f>IFERROR(IF(MARÍTIMOS[[#This Row],[Etapa Retiro - Cita]]="","",MARÍTIMOS[[#This Row],[Etapa Retiro - Cita]]),"")</f>
        <v>46246.583333333336</v>
      </c>
      <c r="T289" s="11">
        <f>IFERROR(IF(MARÍTIMOS[[#This Row],[Etapa Retiro - Llegada]]="","",MARÍTIMOS[[#This Row],[Etapa Retiro - Llegada]]),"")</f>
        <v>46246.590277777781</v>
      </c>
      <c r="U289" s="11">
        <f>IFERROR(IF(MARÍTIMOS[[#This Row],[Etapa Retiro - Ingreso]]="","",MARÍTIMOS[[#This Row],[Etapa Retiro - Ingreso]]),"")</f>
        <v>46246.599305555559</v>
      </c>
      <c r="V289" s="11">
        <f>IFERROR(IF(MARÍTIMOS[[#This Row],[Etapa Retiro - Atención]]="","",MARÍTIMOS[[#This Row],[Etapa Retiro - Atención]]),"")</f>
        <v>46246.606249999997</v>
      </c>
      <c r="W289" s="11">
        <f>IFERROR(IF(MARÍTIMOS[[#This Row],[Etapa Retiro - Atención]]="","",MARÍTIMOS[[#This Row],[Etapa Retiro - Atención]]),"")</f>
        <v>46246.606249999997</v>
      </c>
      <c r="X289" s="11">
        <f>IFERROR(IF(MARÍTIMOS[[#This Row],[Etapa Retiro - Inicio de Ruta]]="","",MARÍTIMOS[[#This Row],[Etapa Retiro - Inicio de Ruta]]),"")</f>
        <v>46246.754861111112</v>
      </c>
      <c r="Y289" s="11">
        <f>IFERROR(IF(MARÍTIMOS[[#This Row],[Hora de Posicionamiento]]="","",MARÍTIMOS[[#This Row],[Fecha de Carga]]+MARÍTIMOS[[#This Row],[Hora de Posicionamiento]]),"")</f>
        <v>46247.583333333336</v>
      </c>
      <c r="Z289" s="11">
        <f>IFERROR(IF(MARÍTIMOS[[#This Row],[Etapa Despacho - Llegada]]="","",MARÍTIMOS[[#This Row],[Etapa Despacho - Llegada]]),"")</f>
        <v>46247.583333333336</v>
      </c>
      <c r="AA289" s="11">
        <f>IFERROR(IF(MARÍTIMOS[[#This Row],[Etapa Despacho - Registro]]="","",MARÍTIMOS[[#This Row],[Etapa Despacho - Registro]]),"")</f>
        <v>46247.590277777781</v>
      </c>
      <c r="AB289" s="11">
        <f>IFERROR(IF(MARÍTIMOS[[#This Row],[Inspección Externa]]="","",MARÍTIMOS[[#This Row],[Inspección Externa]]),"")</f>
        <v>46247.597222222219</v>
      </c>
      <c r="AC289" s="11">
        <f>IFERROR(IF(MARÍTIMOS[[#This Row],[Etapa Despacho - Inicio de Carga]]="","",MARÍTIMOS[[#This Row],[Etapa Despacho - Inicio de Carga]]),"")</f>
        <v>46247.621527777781</v>
      </c>
      <c r="AD289" s="11">
        <f>IFERROR(IF(MARÍTIMOS[[#This Row],[Etapa Despacho - Mitad de Carga]]="","",MARÍTIMOS[[#This Row],[Etapa Despacho - Mitad de Carga]]),"")</f>
        <v>46247.631944444445</v>
      </c>
      <c r="AE289" s="11">
        <f>IFERROR(IF(MARÍTIMOS[[#This Row],[Etapa Despacho - Fin de Carga]]="","",MARÍTIMOS[[#This Row],[Etapa Despacho - Fin de Carga]]),"")</f>
        <v>46247.708333333336</v>
      </c>
      <c r="AF289" s="2" t="str">
        <f>IFERROR(IF(MARÍTIMOS[[#This Row],[Puerto de Embarque]]="","",MARÍTIMOS[[#This Row],[Puerto de Embarque]]),"")</f>
        <v>Paita</v>
      </c>
      <c r="AG289" s="2" t="str">
        <f>IFERROR(IF(MARÍTIMOS[[#This Row],[Almacén de Ingreso]]="","",MARÍTIMOS[[#This Row],[Almacén de Ingreso]]),"")</f>
        <v>TPE</v>
      </c>
      <c r="AH289" s="11">
        <f>IFERROR(IF(MARÍTIMOS[[#This Row],[Etapa Ingreso - Cita]]="","",MARÍTIMOS[[#This Row],[Etapa Ingreso - Cita]]),"")</f>
        <v>46248.5</v>
      </c>
      <c r="AI289" s="11">
        <f>IFERROR(IF(MARÍTIMOS[[#This Row],[Etapa Ingreso - Llegada]]="","",MARÍTIMOS[[#This Row],[Etapa Ingreso - Llegada]]),"")</f>
        <v>46248.506944444445</v>
      </c>
      <c r="AJ289" s="11">
        <f>IFERROR(IF(MARÍTIMOS[[#This Row],[Etapa Ingreso - Ingeso]]="","",MARÍTIMOS[[#This Row],[Etapa Ingreso - Ingeso]]),"")</f>
        <v>46248.524305555555</v>
      </c>
      <c r="AK289" s="11">
        <f>IFERROR(IF(MARÍTIMOS[[#This Row],[Etapa Ingreso - Atención]]="","",MARÍTIMOS[[#This Row],[Etapa Ingreso - Atención]]),"")</f>
        <v>46248.53125</v>
      </c>
      <c r="AL289" s="11">
        <f>IFERROR(IF(MARÍTIMOS[[#This Row],[Etapa Ingreso - Salida]]="","",MARÍTIMOS[[#This Row],[Etapa Ingreso - Salida]]),"")</f>
        <v>46248.54791666667</v>
      </c>
      <c r="AM289" s="2">
        <f>IFERROR(IF(MARÍTIMOS[[#This Row],[FCL]]="","",MARÍTIMOS[[#This Row],[FCL]]),"")</f>
        <v>1</v>
      </c>
      <c r="AN2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89" s="4" t="str" cm="1">
        <f t="array" ref="AO2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89" s="5">
        <f>IFERROR(OLDBD[[#This Row],[Llegada a packing]]-OLDBD[[#This Row],[Inicio de Ruta]],"")</f>
        <v>0.82847222222335404</v>
      </c>
      <c r="AQ289" s="6">
        <f>IFERROR(OLDBD[[#This Row],[Inicio de Ruta]]-OLDBD[[#This Row],[Salida de almacén de retiro]],"")</f>
        <v>0.148611111115315</v>
      </c>
      <c r="AR2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89" s="8" t="str" cm="1">
        <f t="array" ref="AS2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89" s="9">
        <f>IFERROR(OLDBD[[#This Row],[Ingreso Packing]]-OLDBD[[#This Row],[Registro en Packing]],"")</f>
        <v>6.9444444379769266E-3</v>
      </c>
      <c r="AV289" s="9">
        <f>IFERROR(OLDBD[[#This Row],[Ingreso Packing]]-OLDBD[[#This Row],[Llegada a packing]],"")</f>
        <v>1.3888888883229811E-2</v>
      </c>
      <c r="AW2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89" s="5">
        <f>IFERROR(OLDBD[[#This Row],[Llegada Almacén de Ingreso]]-OLDBD[[#This Row],[Salida Packing]],"")</f>
        <v>0.79861111110949423</v>
      </c>
      <c r="AY289" s="4" t="str" cm="1">
        <f t="array" ref="AY2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89" s="43" t="s">
        <v>173</v>
      </c>
      <c r="BB289" s="47" t="str">
        <f>IFERROR(IF(MARÍTIMOS[[#This Row],[Estatus]]="","",MARÍTIMOS[[#This Row],[Estatus]]),"")</f>
        <v>Confirmado</v>
      </c>
      <c r="BC289" s="43"/>
      <c r="BD289" s="46">
        <f>IFERROR(OLDBD[[#This Row],[Salida de almacén de retiro]]-OLDBD[[#This Row],[Ingreso Almacén de retiro]],"")</f>
        <v>6.9444444379769266E-3</v>
      </c>
      <c r="BE289" s="46">
        <f>IFERROR(OLDBD[[#This Row],[Fin de Carga]]-OLDBD[[#This Row],[Inicio de Carga]],"")</f>
        <v>1.0416666664241347E-2</v>
      </c>
    </row>
    <row r="290" spans="1:57" customFormat="1" hidden="1">
      <c r="A290" s="1"/>
      <c r="B290" s="1">
        <f>IFERROR(IF(MARÍTIMOS[[#This Row],[PP]]="","",MARÍTIMOS[[#This Row],[PP]]),"")</f>
        <v>33</v>
      </c>
      <c r="C290" s="1" t="str">
        <f>IFERROR(IF(MARÍTIMOS[[#This Row],[Sede]]="","",MARÍTIMOS[[#This Row],[Sede]]),"")</f>
        <v>Chao</v>
      </c>
      <c r="D290" s="1" t="str">
        <f>IFERROR(IF(MARÍTIMOS[[#This Row],[Instruction]]="","",MARÍTIMOS[[#This Row],[Instruction]]),"")</f>
        <v>RH-0484</v>
      </c>
      <c r="E290" s="1"/>
      <c r="F290" s="2" t="str">
        <f>IFERROR(IF(MARÍTIMOS[[#This Row],[Transportista]]="","",MARÍTIMOS[[#This Row],[Transportista]]),"")</f>
        <v>LIP</v>
      </c>
      <c r="G290" s="2" t="str">
        <f>IFERROR(IF(MARÍTIMOS[[#This Row],[Tercero]]="","",MARÍTIMOS[[#This Row],[Tercero]]),"")</f>
        <v>SI</v>
      </c>
      <c r="H290" s="2" t="str">
        <f>IFERROR(IF(MARÍTIMOS[[#This Row],[Razón Social]]="","",MARÍTIMOS[[#This Row],[Razón Social]]),"")</f>
        <v xml:space="preserve">TRANSPORTES JAAC S.A.C.
</v>
      </c>
      <c r="I290" s="2">
        <f>IFERROR(IF(MARÍTIMOS[[#This Row],[RUC]]="","",MARÍTIMOS[[#This Row],[RUC]]),"")</f>
        <v>20601962102</v>
      </c>
      <c r="J290" s="2" t="str">
        <f>IFERROR(IF(MARÍTIMOS[[#This Row],[Placa Tracto]]="","",MARÍTIMOS[[#This Row],[Placa Tracto]]),"")</f>
        <v>W3M-710</v>
      </c>
      <c r="K290" s="2" t="str">
        <f>IFERROR(IF(MARÍTIMOS[[#This Row],[Placa Carreta]]="","",MARÍTIMOS[[#This Row],[Placa Carreta]]),"")</f>
        <v>TJX-986</v>
      </c>
      <c r="L290" s="44" t="str">
        <f>IFERROR(IF(MARÍTIMOS[[#This Row],[Conductor]]="","",MARÍTIMOS[[#This Row],[Conductor]]),"")</f>
        <v>BARRIENTOS MIÑAN JUAN CHARLIE</v>
      </c>
      <c r="M290" s="2" t="str">
        <f>IFERROR(IF(MARÍTIMOS[[#This Row],[Licencia]]="","",MARÍTIMOS[[#This Row],[Licencia]]),"")</f>
        <v>B46376679</v>
      </c>
      <c r="N290" s="2">
        <f>IFERROR(IF(MARÍTIMOS[[#This Row],[Número de Contacto]]="","",MARÍTIMOS[[#This Row],[Número de Contacto]]),"")</f>
        <v>982701637</v>
      </c>
      <c r="O290" s="10" t="str">
        <f>IFERROR(IF(MARÍTIMOS[[#This Row],[Booking|AWB|CRT]]="","",MARÍTIMOS[[#This Row],[Booking|AWB|CRT]]),"")</f>
        <v>MBM250067118</v>
      </c>
      <c r="P290" s="2" t="str">
        <f>IFERROR(IF(MARÍTIMOS[[#This Row],[Contenedor]]="","",MARÍTIMOS[[#This Row],[Contenedor]]),"")</f>
        <v>SEGU9324735</v>
      </c>
      <c r="Q290" s="2" t="str">
        <f>IFERROR(IF(MARÍTIMOS[[#This Row],[Puerto de Retiro]]="","",MARÍTIMOS[[#This Row],[Puerto de Retiro]]),"")</f>
        <v>PAITA</v>
      </c>
      <c r="R290" s="2" t="str">
        <f>IFERROR(IF(MARÍTIMOS[[#This Row],[Almacén de Retiro]]="","",MARÍTIMOS[[#This Row],[Almacén de Retiro]]),"")</f>
        <v>MACROMAR</v>
      </c>
      <c r="S290" s="11">
        <f>IFERROR(IF(MARÍTIMOS[[#This Row],[Etapa Retiro - Cita]]="","",MARÍTIMOS[[#This Row],[Etapa Retiro - Cita]]),"")</f>
        <v>46247.416666666664</v>
      </c>
      <c r="T290" s="11">
        <f>IFERROR(IF(MARÍTIMOS[[#This Row],[Etapa Retiro - Llegada]]="","",MARÍTIMOS[[#This Row],[Etapa Retiro - Llegada]]),"")</f>
        <v>46247.454861111109</v>
      </c>
      <c r="U290" s="11">
        <f>IFERROR(IF(MARÍTIMOS[[#This Row],[Etapa Retiro - Ingreso]]="","",MARÍTIMOS[[#This Row],[Etapa Retiro - Ingreso]]),"")</f>
        <v>46247.465277777781</v>
      </c>
      <c r="V290" s="11">
        <f>IFERROR(IF(MARÍTIMOS[[#This Row],[Etapa Retiro - Atención]]="","",MARÍTIMOS[[#This Row],[Etapa Retiro - Atención]]),"")</f>
        <v>46247.472222222219</v>
      </c>
      <c r="W290" s="11">
        <f>IFERROR(IF(MARÍTIMOS[[#This Row],[Etapa Retiro - Atención]]="","",MARÍTIMOS[[#This Row],[Etapa Retiro - Atención]]),"")</f>
        <v>46247.472222222219</v>
      </c>
      <c r="X290" s="11">
        <f>IFERROR(IF(MARÍTIMOS[[#This Row],[Etapa Retiro - Inicio de Ruta]]="","",MARÍTIMOS[[#This Row],[Etapa Retiro - Inicio de Ruta]]),"")</f>
        <v>46247.556944444441</v>
      </c>
      <c r="Y290" s="11">
        <f>IFERROR(IF(MARÍTIMOS[[#This Row],[Hora de Posicionamiento]]="","",MARÍTIMOS[[#This Row],[Fecha de Carga]]+MARÍTIMOS[[#This Row],[Hora de Posicionamiento]]),"")</f>
        <v>46248.333333333336</v>
      </c>
      <c r="Z290" s="11">
        <f>IFERROR(IF(MARÍTIMOS[[#This Row],[Etapa Despacho - Llegada]]="","",MARÍTIMOS[[#This Row],[Etapa Despacho - Llegada]]),"")</f>
        <v>46248.319444444445</v>
      </c>
      <c r="AA290" s="11">
        <f>IFERROR(IF(MARÍTIMOS[[#This Row],[Etapa Despacho - Registro]]="","",MARÍTIMOS[[#This Row],[Etapa Despacho - Registro]]),"")</f>
        <v>46248.326388888891</v>
      </c>
      <c r="AB290" s="11">
        <f>IFERROR(IF(MARÍTIMOS[[#This Row],[Inspección Externa]]="","",MARÍTIMOS[[#This Row],[Inspección Externa]]),"")</f>
        <v>46248.333333333336</v>
      </c>
      <c r="AC290" s="11">
        <f>IFERROR(IF(MARÍTIMOS[[#This Row],[Etapa Despacho - Inicio de Carga]]="","",MARÍTIMOS[[#This Row],[Etapa Despacho - Inicio de Carga]]),"")</f>
        <v>46248.361111111109</v>
      </c>
      <c r="AD290" s="11">
        <f>IFERROR(IF(MARÍTIMOS[[#This Row],[Etapa Despacho - Mitad de Carga]]="","",MARÍTIMOS[[#This Row],[Etapa Despacho - Mitad de Carga]]),"")</f>
        <v>46248.371527777781</v>
      </c>
      <c r="AE290" s="11">
        <f>IFERROR(IF(MARÍTIMOS[[#This Row],[Etapa Despacho - Fin de Carga]]="","",MARÍTIMOS[[#This Row],[Etapa Despacho - Fin de Carga]]),"")</f>
        <v>46248.513888888891</v>
      </c>
      <c r="AF290" s="2" t="str">
        <f>IFERROR(IF(MARÍTIMOS[[#This Row],[Puerto de Embarque]]="","",MARÍTIMOS[[#This Row],[Puerto de Embarque]]),"")</f>
        <v>Paita</v>
      </c>
      <c r="AG290" s="2" t="str">
        <f>IFERROR(IF(MARÍTIMOS[[#This Row],[Almacén de Ingreso]]="","",MARÍTIMOS[[#This Row],[Almacén de Ingreso]]),"")</f>
        <v>TPE</v>
      </c>
      <c r="AH290" s="11">
        <f>IFERROR(IF(MARÍTIMOS[[#This Row],[Etapa Ingreso - Cita]]="","",MARÍTIMOS[[#This Row],[Etapa Ingreso - Cita]]),"")</f>
        <v>46249.083333333336</v>
      </c>
      <c r="AI290" s="11">
        <f>IFERROR(IF(MARÍTIMOS[[#This Row],[Etapa Ingreso - Llegada]]="","",MARÍTIMOS[[#This Row],[Etapa Ingreso - Llegada]]),"")</f>
        <v>46249.104861111111</v>
      </c>
      <c r="AJ290" s="11">
        <f>IFERROR(IF(MARÍTIMOS[[#This Row],[Etapa Ingreso - Ingeso]]="","",MARÍTIMOS[[#This Row],[Etapa Ingreso - Ingeso]]),"")</f>
        <v>46249.118055555555</v>
      </c>
      <c r="AK290" s="11">
        <f>IFERROR(IF(MARÍTIMOS[[#This Row],[Etapa Ingreso - Atención]]="","",MARÍTIMOS[[#This Row],[Etapa Ingreso - Atención]]),"")</f>
        <v>46249.119444444441</v>
      </c>
      <c r="AL290" s="11">
        <f>IFERROR(IF(MARÍTIMOS[[#This Row],[Etapa Ingreso - Salida]]="","",MARÍTIMOS[[#This Row],[Etapa Ingreso - Salida]]),"")</f>
        <v>46249.122916666667</v>
      </c>
      <c r="AM290" s="2">
        <f>IFERROR(IF(MARÍTIMOS[[#This Row],[FCL]]="","",MARÍTIMOS[[#This Row],[FCL]]),"")</f>
        <v>1</v>
      </c>
      <c r="AN2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0" s="4" t="str" cm="1">
        <f t="array" ref="AO2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0" s="5">
        <f>IFERROR(OLDBD[[#This Row],[Llegada a packing]]-OLDBD[[#This Row],[Inicio de Ruta]],"")</f>
        <v>0.76250000000436557</v>
      </c>
      <c r="AQ290" s="6">
        <f>IFERROR(OLDBD[[#This Row],[Inicio de Ruta]]-OLDBD[[#This Row],[Salida de almacén de retiro]],"")</f>
        <v>8.4722222221898846E-2</v>
      </c>
      <c r="AR2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90" s="8" t="str" cm="1">
        <f t="array" ref="AS2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0" s="9">
        <f>IFERROR(OLDBD[[#This Row],[Ingreso Packing]]-OLDBD[[#This Row],[Registro en Packing]],"")</f>
        <v>6.9444444452528842E-3</v>
      </c>
      <c r="AV290" s="9">
        <f>IFERROR(OLDBD[[#This Row],[Ingreso Packing]]-OLDBD[[#This Row],[Llegada a packing]],"")</f>
        <v>1.3888888890505768E-2</v>
      </c>
      <c r="AW2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90" s="5">
        <f>IFERROR(OLDBD[[#This Row],[Llegada Almacén de Ingreso]]-OLDBD[[#This Row],[Salida Packing]],"")</f>
        <v>0.59097222222044365</v>
      </c>
      <c r="AY290" s="4" t="str" cm="1">
        <f t="array" ref="AY2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0" s="43" t="s">
        <v>173</v>
      </c>
      <c r="BB290" s="47" t="str">
        <f>IFERROR(IF(MARÍTIMOS[[#This Row],[Estatus]]="","",MARÍTIMOS[[#This Row],[Estatus]]),"")</f>
        <v>Confirmado</v>
      </c>
      <c r="BC290" s="43"/>
      <c r="BD290" s="46">
        <f>IFERROR(OLDBD[[#This Row],[Salida de almacén de retiro]]-OLDBD[[#This Row],[Ingreso Almacén de retiro]],"")</f>
        <v>6.9444444379769266E-3</v>
      </c>
      <c r="BE290" s="46">
        <f>IFERROR(OLDBD[[#This Row],[Fin de Carga]]-OLDBD[[#This Row],[Inicio de Carga]],"")</f>
        <v>1.0416666671517305E-2</v>
      </c>
    </row>
    <row r="291" spans="1:57" customFormat="1" hidden="1">
      <c r="A291" s="1"/>
      <c r="B291" s="1">
        <f>IFERROR(IF(MARÍTIMOS[[#This Row],[PP]]="","",MARÍTIMOS[[#This Row],[PP]]),"")</f>
        <v>33</v>
      </c>
      <c r="C291" s="1" t="str">
        <f>IFERROR(IF(MARÍTIMOS[[#This Row],[Sede]]="","",MARÍTIMOS[[#This Row],[Sede]]),"")</f>
        <v>Chao</v>
      </c>
      <c r="D291" s="1" t="str">
        <f>IFERROR(IF(MARÍTIMOS[[#This Row],[Instruction]]="","",MARÍTIMOS[[#This Row],[Instruction]]),"")</f>
        <v>RH-0485</v>
      </c>
      <c r="E291" s="1"/>
      <c r="F291" s="2" t="str">
        <f>IFERROR(IF(MARÍTIMOS[[#This Row],[Transportista]]="","",MARÍTIMOS[[#This Row],[Transportista]]),"")</f>
        <v>LIP</v>
      </c>
      <c r="G291" s="2" t="str">
        <f>IFERROR(IF(MARÍTIMOS[[#This Row],[Tercero]]="","",MARÍTIMOS[[#This Row],[Tercero]]),"")</f>
        <v>SI</v>
      </c>
      <c r="H291" s="2" t="str">
        <f>IFERROR(IF(MARÍTIMOS[[#This Row],[Razón Social]]="","",MARÍTIMOS[[#This Row],[Razón Social]]),"")</f>
        <v xml:space="preserve">NEGOCIOS PESQUEROS AARON EIRL
</v>
      </c>
      <c r="I291" s="2">
        <f>IFERROR(IF(MARÍTIMOS[[#This Row],[RUC]]="","",MARÍTIMOS[[#This Row],[RUC]]),"")</f>
        <v>20526125356</v>
      </c>
      <c r="J291" s="2" t="str">
        <f>IFERROR(IF(MARÍTIMOS[[#This Row],[Placa Tracto]]="","",MARÍTIMOS[[#This Row],[Placa Tracto]]),"")</f>
        <v>TCH-816</v>
      </c>
      <c r="K291" s="2" t="str">
        <f>IFERROR(IF(MARÍTIMOS[[#This Row],[Placa Carreta]]="","",MARÍTIMOS[[#This Row],[Placa Carreta]]),"")</f>
        <v>TKE-974</v>
      </c>
      <c r="L291" s="44" t="str">
        <f>IFERROR(IF(MARÍTIMOS[[#This Row],[Conductor]]="","",MARÍTIMOS[[#This Row],[Conductor]]),"")</f>
        <v>CARREÑO ROJAS EDHIN</v>
      </c>
      <c r="M291" s="2" t="str">
        <f>IFERROR(IF(MARÍTIMOS[[#This Row],[Licencia]]="","",MARÍTIMOS[[#This Row],[Licencia]]),"")</f>
        <v>B43791221</v>
      </c>
      <c r="N291" s="2">
        <f>IFERROR(IF(MARÍTIMOS[[#This Row],[Número de Contacto]]="","",MARÍTIMOS[[#This Row],[Número de Contacto]]),"")</f>
        <v>921352796</v>
      </c>
      <c r="O291" s="10" t="str">
        <f>IFERROR(IF(MARÍTIMOS[[#This Row],[Booking|AWB|CRT]]="","",MARÍTIMOS[[#This Row],[Booking|AWB|CRT]]),"")</f>
        <v>MBM250067119</v>
      </c>
      <c r="P291" s="2" t="str">
        <f>IFERROR(IF(MARÍTIMOS[[#This Row],[Contenedor]]="","",MARÍTIMOS[[#This Row],[Contenedor]]),"")</f>
        <v>CAIU5564108</v>
      </c>
      <c r="Q291" s="2" t="str">
        <f>IFERROR(IF(MARÍTIMOS[[#This Row],[Puerto de Retiro]]="","",MARÍTIMOS[[#This Row],[Puerto de Retiro]]),"")</f>
        <v>PAITA</v>
      </c>
      <c r="R291" s="2" t="str">
        <f>IFERROR(IF(MARÍTIMOS[[#This Row],[Almacén de Retiro]]="","",MARÍTIMOS[[#This Row],[Almacén de Retiro]]),"")</f>
        <v>MACROMAR</v>
      </c>
      <c r="S291" s="11">
        <f>IFERROR(IF(MARÍTIMOS[[#This Row],[Etapa Retiro - Cita]]="","",MARÍTIMOS[[#This Row],[Etapa Retiro - Cita]]),"")</f>
        <v>46247.458333333336</v>
      </c>
      <c r="T291" s="11">
        <f>IFERROR(IF(MARÍTIMOS[[#This Row],[Etapa Retiro - Llegada]]="","",MARÍTIMOS[[#This Row],[Etapa Retiro - Llegada]]),"")</f>
        <v>46247.48333333333</v>
      </c>
      <c r="U291" s="11">
        <f>IFERROR(IF(MARÍTIMOS[[#This Row],[Etapa Retiro - Ingreso]]="","",MARÍTIMOS[[#This Row],[Etapa Retiro - Ingreso]]),"")</f>
        <v>46247.490277777775</v>
      </c>
      <c r="V291" s="11">
        <f>IFERROR(IF(MARÍTIMOS[[#This Row],[Etapa Retiro - Atención]]="","",MARÍTIMOS[[#This Row],[Etapa Retiro - Atención]]),"")</f>
        <v>46247.49722222222</v>
      </c>
      <c r="W291" s="11">
        <f>IFERROR(IF(MARÍTIMOS[[#This Row],[Etapa Retiro - Atención]]="","",MARÍTIMOS[[#This Row],[Etapa Retiro - Atención]]),"")</f>
        <v>46247.49722222222</v>
      </c>
      <c r="X291" s="11">
        <f>IFERROR(IF(MARÍTIMOS[[#This Row],[Etapa Retiro - Inicio de Ruta]]="","",MARÍTIMOS[[#This Row],[Etapa Retiro - Inicio de Ruta]]),"")</f>
        <v>46247.605555555558</v>
      </c>
      <c r="Y291" s="11">
        <f>IFERROR(IF(MARÍTIMOS[[#This Row],[Hora de Posicionamiento]]="","",MARÍTIMOS[[#This Row],[Fecha de Carga]]+MARÍTIMOS[[#This Row],[Hora de Posicionamiento]]),"")</f>
        <v>46248.333333333336</v>
      </c>
      <c r="Z291" s="11">
        <f>IFERROR(IF(MARÍTIMOS[[#This Row],[Etapa Despacho - Llegada]]="","",MARÍTIMOS[[#This Row],[Etapa Despacho - Llegada]]),"")</f>
        <v>46248.363194444442</v>
      </c>
      <c r="AA291" s="11">
        <f>IFERROR(IF(MARÍTIMOS[[#This Row],[Etapa Despacho - Registro]]="","",MARÍTIMOS[[#This Row],[Etapa Despacho - Registro]]),"")</f>
        <v>46248.370138888888</v>
      </c>
      <c r="AB291" s="11">
        <f>IFERROR(IF(MARÍTIMOS[[#This Row],[Inspección Externa]]="","",MARÍTIMOS[[#This Row],[Inspección Externa]]),"")</f>
        <v>46248.375</v>
      </c>
      <c r="AC291" s="11">
        <f>IFERROR(IF(MARÍTIMOS[[#This Row],[Etapa Despacho - Inicio de Carga]]="","",MARÍTIMOS[[#This Row],[Etapa Despacho - Inicio de Carga]]),"")</f>
        <v>46248.402777777781</v>
      </c>
      <c r="AD291" s="11">
        <f>IFERROR(IF(MARÍTIMOS[[#This Row],[Etapa Despacho - Mitad de Carga]]="","",MARÍTIMOS[[#This Row],[Etapa Despacho - Mitad de Carga]]),"")</f>
        <v>46248.413194444445</v>
      </c>
      <c r="AE291" s="11">
        <f>IFERROR(IF(MARÍTIMOS[[#This Row],[Etapa Despacho - Fin de Carga]]="","",MARÍTIMOS[[#This Row],[Etapa Despacho - Fin de Carga]]),"")</f>
        <v>46248.5</v>
      </c>
      <c r="AF291" s="2" t="str">
        <f>IFERROR(IF(MARÍTIMOS[[#This Row],[Puerto de Embarque]]="","",MARÍTIMOS[[#This Row],[Puerto de Embarque]]),"")</f>
        <v>Paita</v>
      </c>
      <c r="AG291" s="2" t="str">
        <f>IFERROR(IF(MARÍTIMOS[[#This Row],[Almacén de Ingreso]]="","",MARÍTIMOS[[#This Row],[Almacén de Ingreso]]),"")</f>
        <v>TPE</v>
      </c>
      <c r="AH291" s="11">
        <f>IFERROR(IF(MARÍTIMOS[[#This Row],[Etapa Ingreso - Cita]]="","",MARÍTIMOS[[#This Row],[Etapa Ingreso - Cita]]),"")</f>
        <v>46249.125</v>
      </c>
      <c r="AI291" s="11">
        <f>IFERROR(IF(MARÍTIMOS[[#This Row],[Etapa Ingreso - Llegada]]="","",MARÍTIMOS[[#This Row],[Etapa Ingreso - Llegada]]),"")</f>
        <v>46249.143055555556</v>
      </c>
      <c r="AJ291" s="11">
        <f>IFERROR(IF(MARÍTIMOS[[#This Row],[Etapa Ingreso - Ingeso]]="","",MARÍTIMOS[[#This Row],[Etapa Ingreso - Ingeso]]),"")</f>
        <v>46249.143055555556</v>
      </c>
      <c r="AK291" s="11">
        <f>IFERROR(IF(MARÍTIMOS[[#This Row],[Etapa Ingreso - Atención]]="","",MARÍTIMOS[[#This Row],[Etapa Ingreso - Atención]]),"")</f>
        <v>46249.145833333336</v>
      </c>
      <c r="AL291" s="11">
        <f>IFERROR(IF(MARÍTIMOS[[#This Row],[Etapa Ingreso - Salida]]="","",MARÍTIMOS[[#This Row],[Etapa Ingreso - Salida]]),"")</f>
        <v>46249.156944444447</v>
      </c>
      <c r="AM291" s="2">
        <f>IFERROR(IF(MARÍTIMOS[[#This Row],[FCL]]="","",MARÍTIMOS[[#This Row],[FCL]]),"")</f>
        <v>1</v>
      </c>
      <c r="AN2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1" s="4" t="str" cm="1">
        <f t="array" ref="AO2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1" s="5">
        <f>IFERROR(OLDBD[[#This Row],[Llegada a packing]]-OLDBD[[#This Row],[Inicio de Ruta]],"")</f>
        <v>0.757638888884685</v>
      </c>
      <c r="AQ291" s="6">
        <f>IFERROR(OLDBD[[#This Row],[Inicio de Ruta]]-OLDBD[[#This Row],[Salida de almacén de retiro]],"")</f>
        <v>0.10833333333721384</v>
      </c>
      <c r="AR2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91" s="8" t="str" cm="1">
        <f t="array" ref="AS2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1" s="9">
        <f>IFERROR(OLDBD[[#This Row],[Ingreso Packing]]-OLDBD[[#This Row],[Registro en Packing]],"")</f>
        <v>4.8611111124046147E-3</v>
      </c>
      <c r="AV291" s="9">
        <f>IFERROR(OLDBD[[#This Row],[Ingreso Packing]]-OLDBD[[#This Row],[Llegada a packing]],"")</f>
        <v>1.1805555557657499E-2</v>
      </c>
      <c r="AW2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91" s="5">
        <f>IFERROR(OLDBD[[#This Row],[Llegada Almacén de Ingreso]]-OLDBD[[#This Row],[Salida Packing]],"")</f>
        <v>0.64305555555620231</v>
      </c>
      <c r="AY291" s="4" t="str" cm="1">
        <f t="array" ref="AY2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1" s="43" t="s">
        <v>173</v>
      </c>
      <c r="BB291" s="47" t="str">
        <f>IFERROR(IF(MARÍTIMOS[[#This Row],[Estatus]]="","",MARÍTIMOS[[#This Row],[Estatus]]),"")</f>
        <v>Confirmado</v>
      </c>
      <c r="BC291" s="43"/>
      <c r="BD291" s="46">
        <f>IFERROR(OLDBD[[#This Row],[Salida de almacén de retiro]]-OLDBD[[#This Row],[Ingreso Almacén de retiro]],"")</f>
        <v>6.9444444452528842E-3</v>
      </c>
      <c r="BE291" s="46">
        <f>IFERROR(OLDBD[[#This Row],[Fin de Carga]]-OLDBD[[#This Row],[Inicio de Carga]],"")</f>
        <v>1.0416666664241347E-2</v>
      </c>
    </row>
    <row r="292" spans="1:57" customFormat="1" hidden="1">
      <c r="A292" s="1"/>
      <c r="B292" s="1">
        <f>IFERROR(IF(MARÍTIMOS[[#This Row],[PP]]="","",MARÍTIMOS[[#This Row],[PP]]),"")</f>
        <v>33</v>
      </c>
      <c r="C292" s="1" t="str">
        <f>IFERROR(IF(MARÍTIMOS[[#This Row],[Sede]]="","",MARÍTIMOS[[#This Row],[Sede]]),"")</f>
        <v>Chao</v>
      </c>
      <c r="D292" s="1" t="str">
        <f>IFERROR(IF(MARÍTIMOS[[#This Row],[Instruction]]="","",MARÍTIMOS[[#This Row],[Instruction]]),"")</f>
        <v>RH-0500</v>
      </c>
      <c r="E292" s="1"/>
      <c r="F292" s="2" t="str">
        <f>IFERROR(IF(MARÍTIMOS[[#This Row],[Transportista]]="","",MARÍTIMOS[[#This Row],[Transportista]]),"")</f>
        <v>LIP</v>
      </c>
      <c r="G292" s="2" t="str">
        <f>IFERROR(IF(MARÍTIMOS[[#This Row],[Tercero]]="","",MARÍTIMOS[[#This Row],[Tercero]]),"")</f>
        <v>NO</v>
      </c>
      <c r="H292" s="2" t="str">
        <f>IFERROR(IF(MARÍTIMOS[[#This Row],[Razón Social]]="","",MARÍTIMOS[[#This Row],[Razón Social]]),"")</f>
        <v>LOGISTICA INTERMODAL DEL PERU S.A.C.</v>
      </c>
      <c r="I292" s="2">
        <f>IFERROR(IF(MARÍTIMOS[[#This Row],[RUC]]="","",MARÍTIMOS[[#This Row],[RUC]]),"")</f>
        <v>20513040718</v>
      </c>
      <c r="J292" s="2" t="str">
        <f>IFERROR(IF(MARÍTIMOS[[#This Row],[Placa Tracto]]="","",MARÍTIMOS[[#This Row],[Placa Tracto]]),"")</f>
        <v>AXD-842</v>
      </c>
      <c r="K292" s="2" t="str">
        <f>IFERROR(IF(MARÍTIMOS[[#This Row],[Placa Carreta]]="","",MARÍTIMOS[[#This Row],[Placa Carreta]]),"")</f>
        <v>ATW-991</v>
      </c>
      <c r="L292" s="44" t="str">
        <f>IFERROR(IF(MARÍTIMOS[[#This Row],[Conductor]]="","",MARÍTIMOS[[#This Row],[Conductor]]),"")</f>
        <v>CRUZ GARRO JORGE PORFIRIO</v>
      </c>
      <c r="M292" s="2" t="str">
        <f>IFERROR(IF(MARÍTIMOS[[#This Row],[Licencia]]="","",MARÍTIMOS[[#This Row],[Licencia]]),"")</f>
        <v>D42478220</v>
      </c>
      <c r="N292" s="2">
        <f>IFERROR(IF(MARÍTIMOS[[#This Row],[Número de Contacto]]="","",MARÍTIMOS[[#This Row],[Número de Contacto]]),"")</f>
        <v>948666455</v>
      </c>
      <c r="O292" s="10" t="str">
        <f>IFERROR(IF(MARÍTIMOS[[#This Row],[Booking|AWB|CRT]]="","",MARÍTIMOS[[#This Row],[Booking|AWB|CRT]]),"")</f>
        <v>PER9184416A</v>
      </c>
      <c r="P292" s="2" t="str">
        <f>IFERROR(IF(MARÍTIMOS[[#This Row],[Contenedor]]="","",MARÍTIMOS[[#This Row],[Contenedor]]),"")</f>
        <v>CAAU4077186</v>
      </c>
      <c r="Q292" s="2" t="str">
        <f>IFERROR(IF(MARÍTIMOS[[#This Row],[Puerto de Retiro]]="","",MARÍTIMOS[[#This Row],[Puerto de Retiro]]),"")</f>
        <v>PAITA</v>
      </c>
      <c r="R292" s="2" t="str">
        <f>IFERROR(IF(MARÍTIMOS[[#This Row],[Almacén de Retiro]]="","",MARÍTIMOS[[#This Row],[Almacén de Retiro]]),"")</f>
        <v>DPW</v>
      </c>
      <c r="S292" s="11">
        <f>IFERROR(IF(MARÍTIMOS[[#This Row],[Etapa Retiro - Cita]]="","",MARÍTIMOS[[#This Row],[Etapa Retiro - Cita]]),"")</f>
        <v>46248.458333333336</v>
      </c>
      <c r="T292" s="11">
        <f>IFERROR(IF(MARÍTIMOS[[#This Row],[Etapa Retiro - Llegada]]="","",MARÍTIMOS[[#This Row],[Etapa Retiro - Llegada]]),"")</f>
        <v>46248.477777777778</v>
      </c>
      <c r="U292" s="11">
        <f>IFERROR(IF(MARÍTIMOS[[#This Row],[Etapa Retiro - Ingreso]]="","",MARÍTIMOS[[#This Row],[Etapa Retiro - Ingreso]]),"")</f>
        <v>46248.484722222223</v>
      </c>
      <c r="V292" s="11">
        <f>IFERROR(IF(MARÍTIMOS[[#This Row],[Etapa Retiro - Atención]]="","",MARÍTIMOS[[#This Row],[Etapa Retiro - Atención]]),"")</f>
        <v>46248.491666666669</v>
      </c>
      <c r="W292" s="11">
        <f>IFERROR(IF(MARÍTIMOS[[#This Row],[Etapa Retiro - Atención]]="","",MARÍTIMOS[[#This Row],[Etapa Retiro - Atención]]),"")</f>
        <v>46248.491666666669</v>
      </c>
      <c r="X292" s="11">
        <f>IFERROR(IF(MARÍTIMOS[[#This Row],[Etapa Retiro - Inicio de Ruta]]="","",MARÍTIMOS[[#This Row],[Etapa Retiro - Inicio de Ruta]]),"")</f>
        <v>46248.570138888892</v>
      </c>
      <c r="Y292" s="11">
        <f>IFERROR(IF(MARÍTIMOS[[#This Row],[Hora de Posicionamiento]]="","",MARÍTIMOS[[#This Row],[Fecha de Carga]]+MARÍTIMOS[[#This Row],[Hora de Posicionamiento]]),"")</f>
        <v>46249.5</v>
      </c>
      <c r="Z292" s="11">
        <f>IFERROR(IF(MARÍTIMOS[[#This Row],[Etapa Despacho - Llegada]]="","",MARÍTIMOS[[#This Row],[Etapa Despacho - Llegada]]),"")</f>
        <v>46249.5</v>
      </c>
      <c r="AA292" s="11">
        <f>IFERROR(IF(MARÍTIMOS[[#This Row],[Etapa Despacho - Registro]]="","",MARÍTIMOS[[#This Row],[Etapa Despacho - Registro]]),"")</f>
        <v>46249.506944444445</v>
      </c>
      <c r="AB292" s="11">
        <f>IFERROR(IF(MARÍTIMOS[[#This Row],[Inspección Externa]]="","",MARÍTIMOS[[#This Row],[Inspección Externa]]),"")</f>
        <v>46249.513888888891</v>
      </c>
      <c r="AC292" s="11">
        <f>IFERROR(IF(MARÍTIMOS[[#This Row],[Etapa Despacho - Inicio de Carga]]="","",MARÍTIMOS[[#This Row],[Etapa Despacho - Inicio de Carga]]),"")</f>
        <v>46249.540277777778</v>
      </c>
      <c r="AD292" s="11">
        <f>IFERROR(IF(MARÍTIMOS[[#This Row],[Etapa Despacho - Mitad de Carga]]="","",MARÍTIMOS[[#This Row],[Etapa Despacho - Mitad de Carga]]),"")</f>
        <v>46249.552083333336</v>
      </c>
      <c r="AE292" s="11">
        <f>IFERROR(IF(MARÍTIMOS[[#This Row],[Etapa Despacho - Fin de Carga]]="","",MARÍTIMOS[[#This Row],[Etapa Despacho - Fin de Carga]]),"")</f>
        <v>46249.65625</v>
      </c>
      <c r="AF292" s="2" t="str">
        <f>IFERROR(IF(MARÍTIMOS[[#This Row],[Puerto de Embarque]]="","",MARÍTIMOS[[#This Row],[Puerto de Embarque]]),"")</f>
        <v>Paita</v>
      </c>
      <c r="AG292" s="2" t="str">
        <f>IFERROR(IF(MARÍTIMOS[[#This Row],[Almacén de Ingreso]]="","",MARÍTIMOS[[#This Row],[Almacén de Ingreso]]),"")</f>
        <v>TPE</v>
      </c>
      <c r="AH292" s="11">
        <f>IFERROR(IF(MARÍTIMOS[[#This Row],[Etapa Ingreso - Cita]]="","",MARÍTIMOS[[#This Row],[Etapa Ingreso - Cita]]),"")</f>
        <v>46250.375</v>
      </c>
      <c r="AI292" s="11">
        <f>IFERROR(IF(MARÍTIMOS[[#This Row],[Etapa Ingreso - Llegada]]="","",MARÍTIMOS[[#This Row],[Etapa Ingreso - Llegada]]),"")</f>
        <v>46250.379861111112</v>
      </c>
      <c r="AJ292" s="11">
        <f>IFERROR(IF(MARÍTIMOS[[#This Row],[Etapa Ingreso - Ingeso]]="","",MARÍTIMOS[[#This Row],[Etapa Ingreso - Ingeso]]),"")</f>
        <v>46250.386805555558</v>
      </c>
      <c r="AK292" s="11">
        <f>IFERROR(IF(MARÍTIMOS[[#This Row],[Etapa Ingreso - Atención]]="","",MARÍTIMOS[[#This Row],[Etapa Ingreso - Atención]]),"")</f>
        <v>46250.388888888891</v>
      </c>
      <c r="AL292" s="11">
        <f>IFERROR(IF(MARÍTIMOS[[#This Row],[Etapa Ingreso - Salida]]="","",MARÍTIMOS[[#This Row],[Etapa Ingreso - Salida]]),"")</f>
        <v>46250.393055555556</v>
      </c>
      <c r="AM292" s="2">
        <f>IFERROR(IF(MARÍTIMOS[[#This Row],[FCL]]="","",MARÍTIMOS[[#This Row],[FCL]]),"")</f>
        <v>1</v>
      </c>
      <c r="AN2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2" s="4" t="str" cm="1">
        <f t="array" ref="AO2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2" s="5">
        <f>IFERROR(OLDBD[[#This Row],[Llegada a packing]]-OLDBD[[#This Row],[Inicio de Ruta]],"")</f>
        <v>0.92986111110803904</v>
      </c>
      <c r="AQ292" s="6">
        <f>IFERROR(OLDBD[[#This Row],[Inicio de Ruta]]-OLDBD[[#This Row],[Salida de almacén de retiro]],"")</f>
        <v>7.8472222223354038E-2</v>
      </c>
      <c r="AR2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92" s="8" t="str" cm="1">
        <f t="array" ref="AS2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2" s="9">
        <f>IFERROR(OLDBD[[#This Row],[Ingreso Packing]]-OLDBD[[#This Row],[Registro en Packing]],"")</f>
        <v>6.9444444452528842E-3</v>
      </c>
      <c r="AV292" s="9">
        <f>IFERROR(OLDBD[[#This Row],[Ingreso Packing]]-OLDBD[[#This Row],[Llegada a packing]],"")</f>
        <v>1.3888888890505768E-2</v>
      </c>
      <c r="AW2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92" s="5">
        <f>IFERROR(OLDBD[[#This Row],[Llegada Almacén de Ingreso]]-OLDBD[[#This Row],[Salida Packing]],"")</f>
        <v>0.72361111111240461</v>
      </c>
      <c r="AY292" s="4" t="str" cm="1">
        <f t="array" ref="AY2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2" s="43" t="s">
        <v>173</v>
      </c>
      <c r="BB292" s="47" t="str">
        <f>IFERROR(IF(MARÍTIMOS[[#This Row],[Estatus]]="","",MARÍTIMOS[[#This Row],[Estatus]]),"")</f>
        <v>Confirmado</v>
      </c>
      <c r="BC292" s="43"/>
      <c r="BD292" s="46">
        <f>IFERROR(OLDBD[[#This Row],[Salida de almacén de retiro]]-OLDBD[[#This Row],[Ingreso Almacén de retiro]],"")</f>
        <v>6.9444444452528842E-3</v>
      </c>
      <c r="BE292" s="46">
        <f>IFERROR(OLDBD[[#This Row],[Fin de Carga]]-OLDBD[[#This Row],[Inicio de Carga]],"")</f>
        <v>1.1805555557657499E-2</v>
      </c>
    </row>
    <row r="293" spans="1:57" customFormat="1" hidden="1">
      <c r="A293" s="1"/>
      <c r="B293" s="1">
        <f>IFERROR(IF(MARÍTIMOS[[#This Row],[PP]]="","",MARÍTIMOS[[#This Row],[PP]]),"")</f>
        <v>33</v>
      </c>
      <c r="C293" s="1" t="str">
        <f>IFERROR(IF(MARÍTIMOS[[#This Row],[Sede]]="","",MARÍTIMOS[[#This Row],[Sede]]),"")</f>
        <v>Chao</v>
      </c>
      <c r="D293" s="1" t="str">
        <f>IFERROR(IF(MARÍTIMOS[[#This Row],[Instruction]]="","",MARÍTIMOS[[#This Row],[Instruction]]),"")</f>
        <v>RH-0492</v>
      </c>
      <c r="E293" s="1"/>
      <c r="F293" s="2" t="str">
        <f>IFERROR(IF(MARÍTIMOS[[#This Row],[Transportista]]="","",MARÍTIMOS[[#This Row],[Transportista]]),"")</f>
        <v>LIP</v>
      </c>
      <c r="G293" s="2" t="str">
        <f>IFERROR(IF(MARÍTIMOS[[#This Row],[Tercero]]="","",MARÍTIMOS[[#This Row],[Tercero]]),"")</f>
        <v>SI</v>
      </c>
      <c r="H293" s="2" t="str">
        <f>IFERROR(IF(MARÍTIMOS[[#This Row],[Razón Social]]="","",MARÍTIMOS[[#This Row],[Razón Social]]),"")</f>
        <v>TRANSPORTES Y SERVICIOS UNITED FRIENDS S.A.C.</v>
      </c>
      <c r="I293" s="2">
        <f>IFERROR(IF(MARÍTIMOS[[#This Row],[RUC]]="","",MARÍTIMOS[[#This Row],[RUC]]),"")</f>
        <v>20601368766</v>
      </c>
      <c r="J293" s="2" t="str">
        <f>IFERROR(IF(MARÍTIMOS[[#This Row],[Placa Tracto]]="","",MARÍTIMOS[[#This Row],[Placa Tracto]]),"")</f>
        <v>D5H-720</v>
      </c>
      <c r="K293" s="2" t="str">
        <f>IFERROR(IF(MARÍTIMOS[[#This Row],[Placa Carreta]]="","",MARÍTIMOS[[#This Row],[Placa Carreta]]),"")</f>
        <v>M2A-979</v>
      </c>
      <c r="L293" s="44" t="str">
        <f>IFERROR(IF(MARÍTIMOS[[#This Row],[Conductor]]="","",MARÍTIMOS[[#This Row],[Conductor]]),"")</f>
        <v>COLMENAREZ AZUAJE NAUDYS JOSE</v>
      </c>
      <c r="M293" s="2" t="str">
        <f>IFERROR(IF(MARÍTIMOS[[#This Row],[Licencia]]="","",MARÍTIMOS[[#This Row],[Licencia]]),"")</f>
        <v>Q008661101</v>
      </c>
      <c r="N293" s="2">
        <f>IFERROR(IF(MARÍTIMOS[[#This Row],[Número de Contacto]]="","",MARÍTIMOS[[#This Row],[Número de Contacto]]),"")</f>
        <v>917059103</v>
      </c>
      <c r="O293" s="10" t="str">
        <f>IFERROR(IF(MARÍTIMOS[[#This Row],[Booking|AWB|CRT]]="","",MARÍTIMOS[[#This Row],[Booking|AWB|CRT]]),"")</f>
        <v>BN81292</v>
      </c>
      <c r="P293" s="2" t="str">
        <f>IFERROR(IF(MARÍTIMOS[[#This Row],[Contenedor]]="","",MARÍTIMOS[[#This Row],[Contenedor]]),"")</f>
        <v>TEMU9594589</v>
      </c>
      <c r="Q293" s="2" t="str">
        <f>IFERROR(IF(MARÍTIMOS[[#This Row],[Puerto de Retiro]]="","",MARÍTIMOS[[#This Row],[Puerto de Retiro]]),"")</f>
        <v>PAITA</v>
      </c>
      <c r="R293" s="2" t="str">
        <f>IFERROR(IF(MARÍTIMOS[[#This Row],[Almacén de Retiro]]="","",MARÍTIMOS[[#This Row],[Almacén de Retiro]]),"")</f>
        <v>DPW</v>
      </c>
      <c r="S293" s="11">
        <f>IFERROR(IF(MARÍTIMOS[[#This Row],[Etapa Retiro - Cita]]="","",MARÍTIMOS[[#This Row],[Etapa Retiro - Cita]]),"")</f>
        <v>46250.416666666664</v>
      </c>
      <c r="T293" s="11">
        <f>IFERROR(IF(MARÍTIMOS[[#This Row],[Etapa Retiro - Llegada]]="","",MARÍTIMOS[[#This Row],[Etapa Retiro - Llegada]]),"")</f>
        <v>46250.447916666664</v>
      </c>
      <c r="U293" s="11">
        <f>IFERROR(IF(MARÍTIMOS[[#This Row],[Etapa Retiro - Ingreso]]="","",MARÍTIMOS[[#This Row],[Etapa Retiro - Ingreso]]),"")</f>
        <v>46250.451388888891</v>
      </c>
      <c r="V293" s="11">
        <f>IFERROR(IF(MARÍTIMOS[[#This Row],[Etapa Retiro - Atención]]="","",MARÍTIMOS[[#This Row],[Etapa Retiro - Atención]]),"")</f>
        <v>46250.481944444444</v>
      </c>
      <c r="W293" s="11">
        <f>IFERROR(IF(MARÍTIMOS[[#This Row],[Etapa Retiro - Atención]]="","",MARÍTIMOS[[#This Row],[Etapa Retiro - Atención]]),"")</f>
        <v>46250.481944444444</v>
      </c>
      <c r="X293" s="11">
        <f>IFERROR(IF(MARÍTIMOS[[#This Row],[Etapa Retiro - Inicio de Ruta]]="","",MARÍTIMOS[[#This Row],[Etapa Retiro - Inicio de Ruta]]),"")</f>
        <v>46250.556944444441</v>
      </c>
      <c r="Y293" s="11">
        <f>IFERROR(IF(MARÍTIMOS[[#This Row],[Hora de Posicionamiento]]="","",MARÍTIMOS[[#This Row],[Fecha de Carga]]+MARÍTIMOS[[#This Row],[Hora de Posicionamiento]]),"")</f>
        <v>46251.333333333336</v>
      </c>
      <c r="Z293" s="11">
        <f>IFERROR(IF(MARÍTIMOS[[#This Row],[Etapa Despacho - Llegada]]="","",MARÍTIMOS[[#This Row],[Etapa Despacho - Llegada]]),"")</f>
        <v>46251.3125</v>
      </c>
      <c r="AA293" s="11">
        <f>IFERROR(IF(MARÍTIMOS[[#This Row],[Etapa Despacho - Registro]]="","",MARÍTIMOS[[#This Row],[Etapa Despacho - Registro]]),"")</f>
        <v>46251.315972222219</v>
      </c>
      <c r="AB293" s="11">
        <f>IFERROR(IF(MARÍTIMOS[[#This Row],[Inspección Externa]]="","",MARÍTIMOS[[#This Row],[Inspección Externa]]),"")</f>
        <v>46251.326388888891</v>
      </c>
      <c r="AC293" s="11">
        <f>IFERROR(IF(MARÍTIMOS[[#This Row],[Etapa Despacho - Inicio de Carga]]="","",MARÍTIMOS[[#This Row],[Etapa Despacho - Inicio de Carga]]),"")</f>
        <v>46251.354166666664</v>
      </c>
      <c r="AD293" s="11">
        <f>IFERROR(IF(MARÍTIMOS[[#This Row],[Etapa Despacho - Mitad de Carga]]="","",MARÍTIMOS[[#This Row],[Etapa Despacho - Mitad de Carga]]),"")</f>
        <v>46251.368055555555</v>
      </c>
      <c r="AE293" s="11">
        <f>IFERROR(IF(MARÍTIMOS[[#This Row],[Etapa Despacho - Fin de Carga]]="","",MARÍTIMOS[[#This Row],[Etapa Despacho - Fin de Carga]]),"")</f>
        <v>46251.53125</v>
      </c>
      <c r="AF293" s="2" t="str">
        <f>IFERROR(IF(MARÍTIMOS[[#This Row],[Puerto de Embarque]]="","",MARÍTIMOS[[#This Row],[Puerto de Embarque]]),"")</f>
        <v>Paita</v>
      </c>
      <c r="AG293" s="2" t="str">
        <f>IFERROR(IF(MARÍTIMOS[[#This Row],[Almacén de Ingreso]]="","",MARÍTIMOS[[#This Row],[Almacén de Ingreso]]),"")</f>
        <v>TPE</v>
      </c>
      <c r="AH293" s="11">
        <f>IFERROR(IF(MARÍTIMOS[[#This Row],[Etapa Ingreso - Cita]]="","",MARÍTIMOS[[#This Row],[Etapa Ingreso - Cita]]),"")</f>
        <v>46252</v>
      </c>
      <c r="AI293" s="11">
        <f>IFERROR(IF(MARÍTIMOS[[#This Row],[Etapa Ingreso - Llegada]]="","",MARÍTIMOS[[#This Row],[Etapa Ingreso - Llegada]]),"")</f>
        <v>46252.027777777781</v>
      </c>
      <c r="AJ293" s="11">
        <f>IFERROR(IF(MARÍTIMOS[[#This Row],[Etapa Ingreso - Ingeso]]="","",MARÍTIMOS[[#This Row],[Etapa Ingreso - Ingeso]]),"")</f>
        <v>46252.036111111112</v>
      </c>
      <c r="AK293" s="11">
        <f>IFERROR(IF(MARÍTIMOS[[#This Row],[Etapa Ingreso - Atención]]="","",MARÍTIMOS[[#This Row],[Etapa Ingreso - Atención]]),"")</f>
        <v>46252.038194444445</v>
      </c>
      <c r="AL293" s="11">
        <f>IFERROR(IF(MARÍTIMOS[[#This Row],[Etapa Ingreso - Salida]]="","",MARÍTIMOS[[#This Row],[Etapa Ingreso - Salida]]),"")</f>
        <v>46252.041666666664</v>
      </c>
      <c r="AM293" s="2">
        <f>IFERROR(IF(MARÍTIMOS[[#This Row],[FCL]]="","",MARÍTIMOS[[#This Row],[FCL]]),"")</f>
        <v>1</v>
      </c>
      <c r="AN2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3" s="4" t="str" cm="1">
        <f t="array" ref="AO2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3" s="5">
        <f>IFERROR(OLDBD[[#This Row],[Llegada a packing]]-OLDBD[[#This Row],[Inicio de Ruta]],"")</f>
        <v>0.75555555555911269</v>
      </c>
      <c r="AQ293" s="6">
        <f>IFERROR(OLDBD[[#This Row],[Inicio de Ruta]]-OLDBD[[#This Row],[Salida de almacén de retiro]],"")</f>
        <v>7.4999999997089617E-2</v>
      </c>
      <c r="AR2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93" s="8" t="str" cm="1">
        <f t="array" ref="AS2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3" s="9">
        <f>IFERROR(OLDBD[[#This Row],[Ingreso Packing]]-OLDBD[[#This Row],[Registro en Packing]],"")</f>
        <v>1.0416666671517305E-2</v>
      </c>
      <c r="AV293" s="9">
        <f>IFERROR(OLDBD[[#This Row],[Ingreso Packing]]-OLDBD[[#This Row],[Llegada a packing]],"")</f>
        <v>1.3888888890505768E-2</v>
      </c>
      <c r="AW2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93" s="5">
        <f>IFERROR(OLDBD[[#This Row],[Llegada Almacén de Ingreso]]-OLDBD[[#This Row],[Salida Packing]],"")</f>
        <v>0.49652777778101154</v>
      </c>
      <c r="AY293" s="4" t="str" cm="1">
        <f t="array" ref="AY2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3" s="43" t="s">
        <v>173</v>
      </c>
      <c r="BB293" s="47" t="str">
        <f>IFERROR(IF(MARÍTIMOS[[#This Row],[Estatus]]="","",MARÍTIMOS[[#This Row],[Estatus]]),"")</f>
        <v>Confirmado</v>
      </c>
      <c r="BC293" s="43"/>
      <c r="BD293" s="46">
        <f>IFERROR(OLDBD[[#This Row],[Salida de almacén de retiro]]-OLDBD[[#This Row],[Ingreso Almacén de retiro]],"")</f>
        <v>3.0555555553291924E-2</v>
      </c>
      <c r="BE293" s="46">
        <f>IFERROR(OLDBD[[#This Row],[Fin de Carga]]-OLDBD[[#This Row],[Inicio de Carga]],"")</f>
        <v>1.3888888890505768E-2</v>
      </c>
    </row>
    <row r="294" spans="1:57" customFormat="1" hidden="1">
      <c r="A294" s="1"/>
      <c r="B294" s="1">
        <f>IFERROR(IF(MARÍTIMOS[[#This Row],[PP]]="","",MARÍTIMOS[[#This Row],[PP]]),"")</f>
        <v>33</v>
      </c>
      <c r="C294" s="1" t="str">
        <f>IFERROR(IF(MARÍTIMOS[[#This Row],[Sede]]="","",MARÍTIMOS[[#This Row],[Sede]]),"")</f>
        <v>Chao</v>
      </c>
      <c r="D294" s="1" t="str">
        <f>IFERROR(IF(MARÍTIMOS[[#This Row],[Instruction]]="","",MARÍTIMOS[[#This Row],[Instruction]]),"")</f>
        <v>RH-0493</v>
      </c>
      <c r="E294" s="1"/>
      <c r="F294" s="2" t="str">
        <f>IFERROR(IF(MARÍTIMOS[[#This Row],[Transportista]]="","",MARÍTIMOS[[#This Row],[Transportista]]),"")</f>
        <v>LIP</v>
      </c>
      <c r="G294" s="2" t="str">
        <f>IFERROR(IF(MARÍTIMOS[[#This Row],[Tercero]]="","",MARÍTIMOS[[#This Row],[Tercero]]),"")</f>
        <v>SI</v>
      </c>
      <c r="H294" s="2" t="str">
        <f>IFERROR(IF(MARÍTIMOS[[#This Row],[Razón Social]]="","",MARÍTIMOS[[#This Row],[Razón Social]]),"")</f>
        <v>TRANSPORTES JAAC S.A.C.</v>
      </c>
      <c r="I294" s="2">
        <f>IFERROR(IF(MARÍTIMOS[[#This Row],[RUC]]="","",MARÍTIMOS[[#This Row],[RUC]]),"")</f>
        <v>20601962102</v>
      </c>
      <c r="J294" s="2" t="str">
        <f>IFERROR(IF(MARÍTIMOS[[#This Row],[Placa Tracto]]="","",MARÍTIMOS[[#This Row],[Placa Tracto]]),"")</f>
        <v>W3M-710</v>
      </c>
      <c r="K294" s="2" t="str">
        <f>IFERROR(IF(MARÍTIMOS[[#This Row],[Placa Carreta]]="","",MARÍTIMOS[[#This Row],[Placa Carreta]]),"")</f>
        <v>TJX-986</v>
      </c>
      <c r="L294" s="44" t="str">
        <f>IFERROR(IF(MARÍTIMOS[[#This Row],[Conductor]]="","",MARÍTIMOS[[#This Row],[Conductor]]),"")</f>
        <v>BARRIENTOS MIÑAN JUAN CHARLIE</v>
      </c>
      <c r="M294" s="2" t="str">
        <f>IFERROR(IF(MARÍTIMOS[[#This Row],[Licencia]]="","",MARÍTIMOS[[#This Row],[Licencia]]),"")</f>
        <v>B46376679</v>
      </c>
      <c r="N294" s="2">
        <f>IFERROR(IF(MARÍTIMOS[[#This Row],[Número de Contacto]]="","",MARÍTIMOS[[#This Row],[Número de Contacto]]),"")</f>
        <v>982701637</v>
      </c>
      <c r="O294" s="10" t="str">
        <f>IFERROR(IF(MARÍTIMOS[[#This Row],[Booking|AWB|CRT]]="","",MARÍTIMOS[[#This Row],[Booking|AWB|CRT]]),"")</f>
        <v>BN81293</v>
      </c>
      <c r="P294" s="2" t="str">
        <f>IFERROR(IF(MARÍTIMOS[[#This Row],[Contenedor]]="","",MARÍTIMOS[[#This Row],[Contenedor]]),"")</f>
        <v>TEMU9591403</v>
      </c>
      <c r="Q294" s="2" t="str">
        <f>IFERROR(IF(MARÍTIMOS[[#This Row],[Puerto de Retiro]]="","",MARÍTIMOS[[#This Row],[Puerto de Retiro]]),"")</f>
        <v>PAITA</v>
      </c>
      <c r="R294" s="2" t="str">
        <f>IFERROR(IF(MARÍTIMOS[[#This Row],[Almacén de Retiro]]="","",MARÍTIMOS[[#This Row],[Almacén de Retiro]]),"")</f>
        <v>DPW</v>
      </c>
      <c r="S294" s="11">
        <f>IFERROR(IF(MARÍTIMOS[[#This Row],[Etapa Retiro - Cita]]="","",MARÍTIMOS[[#This Row],[Etapa Retiro - Cita]]),"")</f>
        <v>46250.458333333336</v>
      </c>
      <c r="T294" s="11">
        <f>IFERROR(IF(MARÍTIMOS[[#This Row],[Etapa Retiro - Llegada]]="","",MARÍTIMOS[[#This Row],[Etapa Retiro - Llegada]]),"")</f>
        <v>46250.458333333336</v>
      </c>
      <c r="U294" s="11">
        <f>IFERROR(IF(MARÍTIMOS[[#This Row],[Etapa Retiro - Ingreso]]="","",MARÍTIMOS[[#This Row],[Etapa Retiro - Ingreso]]),"")</f>
        <v>46250.461805555555</v>
      </c>
      <c r="V294" s="11">
        <f>IFERROR(IF(MARÍTIMOS[[#This Row],[Etapa Retiro - Atención]]="","",MARÍTIMOS[[#This Row],[Etapa Retiro - Atención]]),"")</f>
        <v>46250.478472222225</v>
      </c>
      <c r="W294" s="11">
        <f>IFERROR(IF(MARÍTIMOS[[#This Row],[Etapa Retiro - Atención]]="","",MARÍTIMOS[[#This Row],[Etapa Retiro - Atención]]),"")</f>
        <v>46250.478472222225</v>
      </c>
      <c r="X294" s="11">
        <f>IFERROR(IF(MARÍTIMOS[[#This Row],[Etapa Retiro - Inicio de Ruta]]="","",MARÍTIMOS[[#This Row],[Etapa Retiro - Inicio de Ruta]]),"")</f>
        <v>46250.570833333331</v>
      </c>
      <c r="Y294" s="11">
        <f>IFERROR(IF(MARÍTIMOS[[#This Row],[Hora de Posicionamiento]]="","",MARÍTIMOS[[#This Row],[Fecha de Carga]]+MARÍTIMOS[[#This Row],[Hora de Posicionamiento]]),"")</f>
        <v>46251.333333333336</v>
      </c>
      <c r="Z294" s="11">
        <f>IFERROR(IF(MARÍTIMOS[[#This Row],[Etapa Despacho - Llegada]]="","",MARÍTIMOS[[#This Row],[Etapa Despacho - Llegada]]),"")</f>
        <v>46251.303472222222</v>
      </c>
      <c r="AA294" s="11">
        <f>IFERROR(IF(MARÍTIMOS[[#This Row],[Etapa Despacho - Registro]]="","",MARÍTIMOS[[#This Row],[Etapa Despacho - Registro]]),"")</f>
        <v>46251.3125</v>
      </c>
      <c r="AB294" s="11">
        <f>IFERROR(IF(MARÍTIMOS[[#This Row],[Inspección Externa]]="","",MARÍTIMOS[[#This Row],[Inspección Externa]]),"")</f>
        <v>46251.326388888891</v>
      </c>
      <c r="AC294" s="11">
        <f>IFERROR(IF(MARÍTIMOS[[#This Row],[Etapa Despacho - Inicio de Carga]]="","",MARÍTIMOS[[#This Row],[Etapa Despacho - Inicio de Carga]]),"")</f>
        <v>46251.354166666664</v>
      </c>
      <c r="AD294" s="11">
        <f>IFERROR(IF(MARÍTIMOS[[#This Row],[Etapa Despacho - Mitad de Carga]]="","",MARÍTIMOS[[#This Row],[Etapa Despacho - Mitad de Carga]]),"")</f>
        <v>46251.368055555555</v>
      </c>
      <c r="AE294" s="11">
        <f>IFERROR(IF(MARÍTIMOS[[#This Row],[Etapa Despacho - Fin de Carga]]="","",MARÍTIMOS[[#This Row],[Etapa Despacho - Fin de Carga]]),"")</f>
        <v>46251.541666666664</v>
      </c>
      <c r="AF294" s="2" t="str">
        <f>IFERROR(IF(MARÍTIMOS[[#This Row],[Puerto de Embarque]]="","",MARÍTIMOS[[#This Row],[Puerto de Embarque]]),"")</f>
        <v>Paita</v>
      </c>
      <c r="AG294" s="2" t="str">
        <f>IFERROR(IF(MARÍTIMOS[[#This Row],[Almacén de Ingreso]]="","",MARÍTIMOS[[#This Row],[Almacén de Ingreso]]),"")</f>
        <v>TPE</v>
      </c>
      <c r="AH294" s="11">
        <f>IFERROR(IF(MARÍTIMOS[[#This Row],[Etapa Ingreso - Cita]]="","",MARÍTIMOS[[#This Row],[Etapa Ingreso - Cita]]),"")</f>
        <v>46252.125</v>
      </c>
      <c r="AI294" s="11">
        <f>IFERROR(IF(MARÍTIMOS[[#This Row],[Etapa Ingreso - Llegada]]="","",MARÍTIMOS[[#This Row],[Etapa Ingreso - Llegada]]),"")</f>
        <v>46252.127083333333</v>
      </c>
      <c r="AJ294" s="11">
        <f>IFERROR(IF(MARÍTIMOS[[#This Row],[Etapa Ingreso - Ingeso]]="","",MARÍTIMOS[[#This Row],[Etapa Ingreso - Ingeso]]),"")</f>
        <v>46252.138888888891</v>
      </c>
      <c r="AK294" s="11">
        <f>IFERROR(IF(MARÍTIMOS[[#This Row],[Etapa Ingreso - Atención]]="","",MARÍTIMOS[[#This Row],[Etapa Ingreso - Atención]]),"")</f>
        <v>46252.142361111109</v>
      </c>
      <c r="AL294" s="11">
        <f>IFERROR(IF(MARÍTIMOS[[#This Row],[Etapa Ingreso - Salida]]="","",MARÍTIMOS[[#This Row],[Etapa Ingreso - Salida]]),"")</f>
        <v>46252.147222222222</v>
      </c>
      <c r="AM294" s="2">
        <f>IFERROR(IF(MARÍTIMOS[[#This Row],[FCL]]="","",MARÍTIMOS[[#This Row],[FCL]]),"")</f>
        <v>1</v>
      </c>
      <c r="AN2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4" s="4" t="str" cm="1">
        <f t="array" ref="AO2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4" s="5">
        <f>IFERROR(OLDBD[[#This Row],[Llegada a packing]]-OLDBD[[#This Row],[Inicio de Ruta]],"")</f>
        <v>0.73263888889050577</v>
      </c>
      <c r="AQ294" s="6">
        <f>IFERROR(OLDBD[[#This Row],[Inicio de Ruta]]-OLDBD[[#This Row],[Salida de almacén de retiro]],"")</f>
        <v>9.2361111106583849E-2</v>
      </c>
      <c r="AR2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94" s="8" t="str" cm="1">
        <f t="array" ref="AS2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4" s="9">
        <f>IFERROR(OLDBD[[#This Row],[Ingreso Packing]]-OLDBD[[#This Row],[Registro en Packing]],"")</f>
        <v>1.3888888890505768E-2</v>
      </c>
      <c r="AV294" s="9">
        <f>IFERROR(OLDBD[[#This Row],[Ingreso Packing]]-OLDBD[[#This Row],[Llegada a packing]],"")</f>
        <v>2.2916666668606922E-2</v>
      </c>
      <c r="AW2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94" s="5">
        <f>IFERROR(OLDBD[[#This Row],[Llegada Almacén de Ingreso]]-OLDBD[[#This Row],[Salida Packing]],"")</f>
        <v>0.58541666666860692</v>
      </c>
      <c r="AY294" s="4" t="str" cm="1">
        <f t="array" ref="AY2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4" s="43" t="s">
        <v>173</v>
      </c>
      <c r="BB294" s="47" t="str">
        <f>IFERROR(IF(MARÍTIMOS[[#This Row],[Estatus]]="","",MARÍTIMOS[[#This Row],[Estatus]]),"")</f>
        <v>Confirmado</v>
      </c>
      <c r="BC294" s="43"/>
      <c r="BD294" s="46">
        <f>IFERROR(OLDBD[[#This Row],[Salida de almacén de retiro]]-OLDBD[[#This Row],[Ingreso Almacén de retiro]],"")</f>
        <v>1.6666666670062114E-2</v>
      </c>
      <c r="BE294" s="46">
        <f>IFERROR(OLDBD[[#This Row],[Fin de Carga]]-OLDBD[[#This Row],[Inicio de Carga]],"")</f>
        <v>1.3888888890505768E-2</v>
      </c>
    </row>
    <row r="295" spans="1:57" customFormat="1" hidden="1">
      <c r="A295" s="1"/>
      <c r="B295" s="1">
        <f>IFERROR(IF(MARÍTIMOS[[#This Row],[PP]]="","",MARÍTIMOS[[#This Row],[PP]]),"")</f>
        <v>33</v>
      </c>
      <c r="C295" s="1" t="str">
        <f>IFERROR(IF(MARÍTIMOS[[#This Row],[Sede]]="","",MARÍTIMOS[[#This Row],[Sede]]),"")</f>
        <v>Chao</v>
      </c>
      <c r="D295" s="1" t="str">
        <f>IFERROR(IF(MARÍTIMOS[[#This Row],[Instruction]]="","",MARÍTIMOS[[#This Row],[Instruction]]),"")</f>
        <v>RH-0494</v>
      </c>
      <c r="E295" s="1"/>
      <c r="F295" s="2" t="str">
        <f>IFERROR(IF(MARÍTIMOS[[#This Row],[Transportista]]="","",MARÍTIMOS[[#This Row],[Transportista]]),"")</f>
        <v>LIP</v>
      </c>
      <c r="G295" s="2" t="str">
        <f>IFERROR(IF(MARÍTIMOS[[#This Row],[Tercero]]="","",MARÍTIMOS[[#This Row],[Tercero]]),"")</f>
        <v>SI</v>
      </c>
      <c r="H295" s="2" t="str">
        <f>IFERROR(IF(MARÍTIMOS[[#This Row],[Razón Social]]="","",MARÍTIMOS[[#This Row],[Razón Social]]),"")</f>
        <v>J.J. PACIFICO INVERSIONES E.I.R.L.</v>
      </c>
      <c r="I295" s="2">
        <f>IFERROR(IF(MARÍTIMOS[[#This Row],[RUC]]="","",MARÍTIMOS[[#This Row],[RUC]]),"")</f>
        <v>20608822098</v>
      </c>
      <c r="J295" s="2" t="str">
        <f>IFERROR(IF(MARÍTIMOS[[#This Row],[Placa Tracto]]="","",MARÍTIMOS[[#This Row],[Placa Tracto]]),"")</f>
        <v>BWQ-755</v>
      </c>
      <c r="K295" s="2" t="str">
        <f>IFERROR(IF(MARÍTIMOS[[#This Row],[Placa Carreta]]="","",MARÍTIMOS[[#This Row],[Placa Carreta]]),"")</f>
        <v>TMK-982</v>
      </c>
      <c r="L295" s="44" t="str">
        <f>IFERROR(IF(MARÍTIMOS[[#This Row],[Conductor]]="","",MARÍTIMOS[[#This Row],[Conductor]]),"")</f>
        <v>GUITIERREZ GUITIERREZ MIGUEL ARGENES</v>
      </c>
      <c r="M295" s="2" t="str">
        <f>IFERROR(IF(MARÍTIMOS[[#This Row],[Licencia]]="","",MARÍTIMOS[[#This Row],[Licencia]]),"")</f>
        <v>B43303300</v>
      </c>
      <c r="N295" s="2">
        <f>IFERROR(IF(MARÍTIMOS[[#This Row],[Número de Contacto]]="","",MARÍTIMOS[[#This Row],[Número de Contacto]]),"")</f>
        <v>922823089</v>
      </c>
      <c r="O295" s="10" t="str">
        <f>IFERROR(IF(MARÍTIMOS[[#This Row],[Booking|AWB|CRT]]="","",MARÍTIMOS[[#This Row],[Booking|AWB|CRT]]),"")</f>
        <v>BN81294</v>
      </c>
      <c r="P295" s="2" t="str">
        <f>IFERROR(IF(MARÍTIMOS[[#This Row],[Contenedor]]="","",MARÍTIMOS[[#This Row],[Contenedor]]),"")</f>
        <v>TEMU9497824</v>
      </c>
      <c r="Q295" s="2" t="str">
        <f>IFERROR(IF(MARÍTIMOS[[#This Row],[Puerto de Retiro]]="","",MARÍTIMOS[[#This Row],[Puerto de Retiro]]),"")</f>
        <v>PAITA</v>
      </c>
      <c r="R295" s="2" t="str">
        <f>IFERROR(IF(MARÍTIMOS[[#This Row],[Almacén de Retiro]]="","",MARÍTIMOS[[#This Row],[Almacén de Retiro]]),"")</f>
        <v>DPW</v>
      </c>
      <c r="S295" s="11">
        <f>IFERROR(IF(MARÍTIMOS[[#This Row],[Etapa Retiro - Cita]]="","",MARÍTIMOS[[#This Row],[Etapa Retiro - Cita]]),"")</f>
        <v>46250.666666666664</v>
      </c>
      <c r="T295" s="11">
        <f>IFERROR(IF(MARÍTIMOS[[#This Row],[Etapa Retiro - Llegada]]="","",MARÍTIMOS[[#This Row],[Etapa Retiro - Llegada]]),"")</f>
        <v>46250.695833333331</v>
      </c>
      <c r="U295" s="11">
        <f>IFERROR(IF(MARÍTIMOS[[#This Row],[Etapa Retiro - Ingreso]]="","",MARÍTIMOS[[#This Row],[Etapa Retiro - Ingreso]]),"")</f>
        <v>46250.697916666664</v>
      </c>
      <c r="V295" s="11">
        <f>IFERROR(IF(MARÍTIMOS[[#This Row],[Etapa Retiro - Atención]]="","",MARÍTIMOS[[#This Row],[Etapa Retiro - Atención]]),"")</f>
        <v>46250.713888888888</v>
      </c>
      <c r="W295" s="11">
        <f>IFERROR(IF(MARÍTIMOS[[#This Row],[Etapa Retiro - Atención]]="","",MARÍTIMOS[[#This Row],[Etapa Retiro - Atención]]),"")</f>
        <v>46250.713888888888</v>
      </c>
      <c r="X295" s="11">
        <f>IFERROR(IF(MARÍTIMOS[[#This Row],[Etapa Retiro - Inicio de Ruta]]="","",MARÍTIMOS[[#This Row],[Etapa Retiro - Inicio de Ruta]]),"")</f>
        <v>46250.866666666669</v>
      </c>
      <c r="Y295" s="11">
        <f>IFERROR(IF(MARÍTIMOS[[#This Row],[Hora de Posicionamiento]]="","",MARÍTIMOS[[#This Row],[Fecha de Carga]]+MARÍTIMOS[[#This Row],[Hora de Posicionamiento]]),"")</f>
        <v>46251.5</v>
      </c>
      <c r="Z295" s="11">
        <f>IFERROR(IF(MARÍTIMOS[[#This Row],[Etapa Despacho - Llegada]]="","",MARÍTIMOS[[#This Row],[Etapa Despacho - Llegada]]),"")</f>
        <v>46251.5</v>
      </c>
      <c r="AA295" s="11">
        <f>IFERROR(IF(MARÍTIMOS[[#This Row],[Etapa Despacho - Registro]]="","",MARÍTIMOS[[#This Row],[Etapa Despacho - Registro]]),"")</f>
        <v>46251.517361111109</v>
      </c>
      <c r="AB295" s="11">
        <f>IFERROR(IF(MARÍTIMOS[[#This Row],[Inspección Externa]]="","",MARÍTIMOS[[#This Row],[Inspección Externa]]),"")</f>
        <v>46251.541666666664</v>
      </c>
      <c r="AC295" s="11">
        <f>IFERROR(IF(MARÍTIMOS[[#This Row],[Etapa Despacho - Inicio de Carga]]="","",MARÍTIMOS[[#This Row],[Etapa Despacho - Inicio de Carga]]),"")</f>
        <v>46251.555555555555</v>
      </c>
      <c r="AD295" s="11">
        <f>IFERROR(IF(MARÍTIMOS[[#This Row],[Etapa Despacho - Mitad de Carga]]="","",MARÍTIMOS[[#This Row],[Etapa Despacho - Mitad de Carga]]),"")</f>
        <v>46251.569444444445</v>
      </c>
      <c r="AE295" s="11">
        <f>IFERROR(IF(MARÍTIMOS[[#This Row],[Etapa Despacho - Fin de Carga]]="","",MARÍTIMOS[[#This Row],[Etapa Despacho - Fin de Carga]]),"")</f>
        <v>46251.666666666664</v>
      </c>
      <c r="AF295" s="2" t="str">
        <f>IFERROR(IF(MARÍTIMOS[[#This Row],[Puerto de Embarque]]="","",MARÍTIMOS[[#This Row],[Puerto de Embarque]]),"")</f>
        <v>Paita</v>
      </c>
      <c r="AG295" s="2" t="str">
        <f>IFERROR(IF(MARÍTIMOS[[#This Row],[Almacén de Ingreso]]="","",MARÍTIMOS[[#This Row],[Almacén de Ingreso]]),"")</f>
        <v>TPE</v>
      </c>
      <c r="AH295" s="11">
        <f>IFERROR(IF(MARÍTIMOS[[#This Row],[Etapa Ingreso - Cita]]="","",MARÍTIMOS[[#This Row],[Etapa Ingreso - Cita]]),"")</f>
        <v>46252.416666666664</v>
      </c>
      <c r="AI295" s="11">
        <f>IFERROR(IF(MARÍTIMOS[[#This Row],[Etapa Ingreso - Llegada]]="","",MARÍTIMOS[[#This Row],[Etapa Ingreso - Llegada]]),"")</f>
        <v>46252.443055555559</v>
      </c>
      <c r="AJ295" s="11">
        <f>IFERROR(IF(MARÍTIMOS[[#This Row],[Etapa Ingreso - Ingeso]]="","",MARÍTIMOS[[#This Row],[Etapa Ingreso - Ingeso]]),"")</f>
        <v>46252.446527777778</v>
      </c>
      <c r="AK295" s="11">
        <f>IFERROR(IF(MARÍTIMOS[[#This Row],[Etapa Ingreso - Atención]]="","",MARÍTIMOS[[#This Row],[Etapa Ingreso - Atención]]),"")</f>
        <v>46252.448611111111</v>
      </c>
      <c r="AL295" s="11">
        <f>IFERROR(IF(MARÍTIMOS[[#This Row],[Etapa Ingreso - Salida]]="","",MARÍTIMOS[[#This Row],[Etapa Ingreso - Salida]]),"")</f>
        <v>46252.453472222223</v>
      </c>
      <c r="AM295" s="2">
        <f>IFERROR(IF(MARÍTIMOS[[#This Row],[FCL]]="","",MARÍTIMOS[[#This Row],[FCL]]),"")</f>
        <v>1</v>
      </c>
      <c r="AN2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5" s="4" t="str" cm="1">
        <f t="array" ref="AO2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5" s="5">
        <f>IFERROR(OLDBD[[#This Row],[Llegada a packing]]-OLDBD[[#This Row],[Inicio de Ruta]],"")</f>
        <v>0.63333333333139308</v>
      </c>
      <c r="AQ295" s="6">
        <f>IFERROR(OLDBD[[#This Row],[Inicio de Ruta]]-OLDBD[[#This Row],[Salida de almacén de retiro]],"")</f>
        <v>0.15277777778101154</v>
      </c>
      <c r="AR2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95" s="8" t="str" cm="1">
        <f t="array" ref="AS2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5" s="9">
        <f>IFERROR(OLDBD[[#This Row],[Ingreso Packing]]-OLDBD[[#This Row],[Registro en Packing]],"")</f>
        <v>2.4305555554747116E-2</v>
      </c>
      <c r="AV295" s="9">
        <f>IFERROR(OLDBD[[#This Row],[Ingreso Packing]]-OLDBD[[#This Row],[Llegada a packing]],"")</f>
        <v>4.1666666664241347E-2</v>
      </c>
      <c r="AW2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95" s="5">
        <f>IFERROR(OLDBD[[#This Row],[Llegada Almacén de Ingreso]]-OLDBD[[#This Row],[Salida Packing]],"")</f>
        <v>0.77638888889487134</v>
      </c>
      <c r="AY295" s="4" t="str" cm="1">
        <f t="array" ref="AY2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5" s="43" t="s">
        <v>173</v>
      </c>
      <c r="BB295" s="47" t="str">
        <f>IFERROR(IF(MARÍTIMOS[[#This Row],[Estatus]]="","",MARÍTIMOS[[#This Row],[Estatus]]),"")</f>
        <v>Confirmado</v>
      </c>
      <c r="BC295" s="43"/>
      <c r="BD295" s="46">
        <f>IFERROR(OLDBD[[#This Row],[Salida de almacén de retiro]]-OLDBD[[#This Row],[Ingreso Almacén de retiro]],"")</f>
        <v>1.5972222223354038E-2</v>
      </c>
      <c r="BE295" s="46">
        <f>IFERROR(OLDBD[[#This Row],[Fin de Carga]]-OLDBD[[#This Row],[Inicio de Carga]],"")</f>
        <v>1.3888888890505768E-2</v>
      </c>
    </row>
    <row r="296" spans="1:57" customFormat="1" hidden="1">
      <c r="A296" s="1"/>
      <c r="B296" s="1">
        <f>IFERROR(IF(MARÍTIMOS[[#This Row],[PP]]="","",MARÍTIMOS[[#This Row],[PP]]),"")</f>
        <v>33</v>
      </c>
      <c r="C296" s="1" t="str">
        <f>IFERROR(IF(MARÍTIMOS[[#This Row],[Sede]]="","",MARÍTIMOS[[#This Row],[Sede]]),"")</f>
        <v>Chao</v>
      </c>
      <c r="D296" s="1" t="str">
        <f>IFERROR(IF(MARÍTIMOS[[#This Row],[Instruction]]="","",MARÍTIMOS[[#This Row],[Instruction]]),"")</f>
        <v>RH-0510</v>
      </c>
      <c r="E296" s="1"/>
      <c r="F296" s="2" t="str">
        <f>IFERROR(IF(MARÍTIMOS[[#This Row],[Transportista]]="","",MARÍTIMOS[[#This Row],[Transportista]]),"")</f>
        <v>LIP</v>
      </c>
      <c r="G296" s="2" t="str">
        <f>IFERROR(IF(MARÍTIMOS[[#This Row],[Tercero]]="","",MARÍTIMOS[[#This Row],[Tercero]]),"")</f>
        <v>SI</v>
      </c>
      <c r="H296" s="2" t="str">
        <f>IFERROR(IF(MARÍTIMOS[[#This Row],[Razón Social]]="","",MARÍTIMOS[[#This Row],[Razón Social]]),"")</f>
        <v>TRANSPORTES KALING SOCIEDAD ANONIMA CERRADA</v>
      </c>
      <c r="I296" s="2">
        <f>IFERROR(IF(MARÍTIMOS[[#This Row],[RUC]]="","",MARÍTIMOS[[#This Row],[RUC]]),"")</f>
        <v>20611958651</v>
      </c>
      <c r="J296" s="2" t="str">
        <f>IFERROR(IF(MARÍTIMOS[[#This Row],[Placa Tracto]]="","",MARÍTIMOS[[#This Row],[Placa Tracto]]),"")</f>
        <v>TFH-903</v>
      </c>
      <c r="K296" s="2" t="str">
        <f>IFERROR(IF(MARÍTIMOS[[#This Row],[Placa Carreta]]="","",MARÍTIMOS[[#This Row],[Placa Carreta]]),"")</f>
        <v>T0R-993</v>
      </c>
      <c r="L296" s="44" t="str">
        <f>IFERROR(IF(MARÍTIMOS[[#This Row],[Conductor]]="","",MARÍTIMOS[[#This Row],[Conductor]]),"")</f>
        <v>ORTIZ MOORE VICENTE VICTOR</v>
      </c>
      <c r="M296" s="2" t="str">
        <f>IFERROR(IF(MARÍTIMOS[[#This Row],[Licencia]]="","",MARÍTIMOS[[#This Row],[Licencia]]),"")</f>
        <v>E32961998</v>
      </c>
      <c r="N296" s="2">
        <f>IFERROR(IF(MARÍTIMOS[[#This Row],[Número de Contacto]]="","",MARÍTIMOS[[#This Row],[Número de Contacto]]),"")</f>
        <v>952102899</v>
      </c>
      <c r="O296" s="10" t="str">
        <f>IFERROR(IF(MARÍTIMOS[[#This Row],[Booking|AWB|CRT]]="","",MARÍTIMOS[[#This Row],[Booking|AWB|CRT]]),"")</f>
        <v>PER9185427A</v>
      </c>
      <c r="P296" s="2" t="str">
        <f>IFERROR(IF(MARÍTIMOS[[#This Row],[Contenedor]]="","",MARÍTIMOS[[#This Row],[Contenedor]]),"")</f>
        <v>SEKU9425294</v>
      </c>
      <c r="Q296" s="2" t="str">
        <f>IFERROR(IF(MARÍTIMOS[[#This Row],[Puerto de Retiro]]="","",MARÍTIMOS[[#This Row],[Puerto de Retiro]]),"")</f>
        <v>PAITA</v>
      </c>
      <c r="R296" s="2" t="str">
        <f>IFERROR(IF(MARÍTIMOS[[#This Row],[Almacén de Retiro]]="","",MARÍTIMOS[[#This Row],[Almacén de Retiro]]),"")</f>
        <v>DPW</v>
      </c>
      <c r="S296" s="11">
        <f>IFERROR(IF(MARÍTIMOS[[#This Row],[Etapa Retiro - Cita]]="","",MARÍTIMOS[[#This Row],[Etapa Retiro - Cita]]),"")</f>
        <v>46251.458333333336</v>
      </c>
      <c r="T296" s="11">
        <f>IFERROR(IF(MARÍTIMOS[[#This Row],[Etapa Retiro - Llegada]]="","",MARÍTIMOS[[#This Row],[Etapa Retiro - Llegada]]),"")</f>
        <v>46251.474999999999</v>
      </c>
      <c r="U296" s="11">
        <f>IFERROR(IF(MARÍTIMOS[[#This Row],[Etapa Retiro - Ingreso]]="","",MARÍTIMOS[[#This Row],[Etapa Retiro - Ingreso]]),"")</f>
        <v>46251.479166666664</v>
      </c>
      <c r="V296" s="11">
        <f>IFERROR(IF(MARÍTIMOS[[#This Row],[Etapa Retiro - Atención]]="","",MARÍTIMOS[[#This Row],[Etapa Retiro - Atención]]),"")</f>
        <v>46251.495833333334</v>
      </c>
      <c r="W296" s="11">
        <f>IFERROR(IF(MARÍTIMOS[[#This Row],[Etapa Retiro - Atención]]="","",MARÍTIMOS[[#This Row],[Etapa Retiro - Atención]]),"")</f>
        <v>46251.495833333334</v>
      </c>
      <c r="X296" s="11">
        <f>IFERROR(IF(MARÍTIMOS[[#This Row],[Etapa Retiro - Inicio de Ruta]]="","",MARÍTIMOS[[#This Row],[Etapa Retiro - Inicio de Ruta]]),"")</f>
        <v>46251.543749999997</v>
      </c>
      <c r="Y296" s="11">
        <f>IFERROR(IF(MARÍTIMOS[[#This Row],[Hora de Posicionamiento]]="","",MARÍTIMOS[[#This Row],[Fecha de Carga]]+MARÍTIMOS[[#This Row],[Hora de Posicionamiento]]),"")</f>
        <v>46252.333333333336</v>
      </c>
      <c r="Z296" s="11">
        <f>IFERROR(IF(MARÍTIMOS[[#This Row],[Etapa Despacho - Llegada]]="","",MARÍTIMOS[[#This Row],[Etapa Despacho - Llegada]]),"")</f>
        <v>46252.272916666669</v>
      </c>
      <c r="AA296" s="11">
        <f>IFERROR(IF(MARÍTIMOS[[#This Row],[Etapa Despacho - Registro]]="","",MARÍTIMOS[[#This Row],[Etapa Despacho - Registro]]),"")</f>
        <v>46252.277777777781</v>
      </c>
      <c r="AB296" s="11">
        <f>IFERROR(IF(MARÍTIMOS[[#This Row],[Inspección Externa]]="","",MARÍTIMOS[[#This Row],[Inspección Externa]]),"")</f>
        <v>46252.291666666664</v>
      </c>
      <c r="AC296" s="11">
        <f>IFERROR(IF(MARÍTIMOS[[#This Row],[Etapa Despacho - Inicio de Carga]]="","",MARÍTIMOS[[#This Row],[Etapa Despacho - Inicio de Carga]]),"")</f>
        <v>46252.319444444445</v>
      </c>
      <c r="AD296" s="11">
        <f>IFERROR(IF(MARÍTIMOS[[#This Row],[Etapa Despacho - Mitad de Carga]]="","",MARÍTIMOS[[#This Row],[Etapa Despacho - Mitad de Carga]]),"")</f>
        <v>46252.333333333336</v>
      </c>
      <c r="AE296" s="11">
        <f>IFERROR(IF(MARÍTIMOS[[#This Row],[Etapa Despacho - Fin de Carga]]="","",MARÍTIMOS[[#This Row],[Etapa Despacho - Fin de Carga]]),"")</f>
        <v>46252.520833333336</v>
      </c>
      <c r="AF296" s="2" t="str">
        <f>IFERROR(IF(MARÍTIMOS[[#This Row],[Puerto de Embarque]]="","",MARÍTIMOS[[#This Row],[Puerto de Embarque]]),"")</f>
        <v>Paita</v>
      </c>
      <c r="AG296" s="2" t="str">
        <f>IFERROR(IF(MARÍTIMOS[[#This Row],[Almacén de Ingreso]]="","",MARÍTIMOS[[#This Row],[Almacén de Ingreso]]),"")</f>
        <v>TPE</v>
      </c>
      <c r="AH296" s="11">
        <f>IFERROR(IF(MARÍTIMOS[[#This Row],[Etapa Ingreso - Cita]]="","",MARÍTIMOS[[#This Row],[Etapa Ingreso - Cita]]),"")</f>
        <v>46253.041666666664</v>
      </c>
      <c r="AI296" s="11">
        <f>IFERROR(IF(MARÍTIMOS[[#This Row],[Etapa Ingreso - Llegada]]="","",MARÍTIMOS[[#This Row],[Etapa Ingreso - Llegada]]),"")</f>
        <v>46253.053472222222</v>
      </c>
      <c r="AJ296" s="11">
        <f>IFERROR(IF(MARÍTIMOS[[#This Row],[Etapa Ingreso - Ingeso]]="","",MARÍTIMOS[[#This Row],[Etapa Ingreso - Ingeso]]),"")</f>
        <v>46253.061111111114</v>
      </c>
      <c r="AK296" s="11">
        <f>IFERROR(IF(MARÍTIMOS[[#This Row],[Etapa Ingreso - Atención]]="","",MARÍTIMOS[[#This Row],[Etapa Ingreso - Atención]]),"")</f>
        <v>46253.063888888886</v>
      </c>
      <c r="AL296" s="11">
        <f>IFERROR(IF(MARÍTIMOS[[#This Row],[Etapa Ingreso - Salida]]="","",MARÍTIMOS[[#This Row],[Etapa Ingreso - Salida]]),"")</f>
        <v>46253.077777777777</v>
      </c>
      <c r="AM296" s="2">
        <f>IFERROR(IF(MARÍTIMOS[[#This Row],[FCL]]="","",MARÍTIMOS[[#This Row],[FCL]]),"")</f>
        <v>1</v>
      </c>
      <c r="AN2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6" s="4" t="str" cm="1">
        <f t="array" ref="AO2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6" s="5">
        <f>IFERROR(OLDBD[[#This Row],[Llegada a packing]]-OLDBD[[#This Row],[Inicio de Ruta]],"")</f>
        <v>0.72916666667151731</v>
      </c>
      <c r="AQ296" s="6">
        <f>IFERROR(OLDBD[[#This Row],[Inicio de Ruta]]-OLDBD[[#This Row],[Salida de almacén de retiro]],"")</f>
        <v>4.7916666662786156E-2</v>
      </c>
      <c r="AR2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96" s="8" t="str" cm="1">
        <f t="array" ref="AS2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6" s="9">
        <f>IFERROR(OLDBD[[#This Row],[Ingreso Packing]]-OLDBD[[#This Row],[Registro en Packing]],"")</f>
        <v>1.3888888883229811E-2</v>
      </c>
      <c r="AV296" s="9">
        <f>IFERROR(OLDBD[[#This Row],[Ingreso Packing]]-OLDBD[[#This Row],[Llegada a packing]],"")</f>
        <v>1.8749999995634425E-2</v>
      </c>
      <c r="AW2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96" s="5">
        <f>IFERROR(OLDBD[[#This Row],[Llegada Almacén de Ingreso]]-OLDBD[[#This Row],[Salida Packing]],"")</f>
        <v>0.53263888888614019</v>
      </c>
      <c r="AY296" s="4" t="str" cm="1">
        <f t="array" ref="AY2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6" s="43" t="s">
        <v>173</v>
      </c>
      <c r="BB296" s="47" t="str">
        <f>IFERROR(IF(MARÍTIMOS[[#This Row],[Estatus]]="","",MARÍTIMOS[[#This Row],[Estatus]]),"")</f>
        <v>Confirmado</v>
      </c>
      <c r="BC296" s="43"/>
      <c r="BD296" s="46">
        <f>IFERROR(OLDBD[[#This Row],[Salida de almacén de retiro]]-OLDBD[[#This Row],[Ingreso Almacén de retiro]],"")</f>
        <v>1.6666666670062114E-2</v>
      </c>
      <c r="BE296" s="46">
        <f>IFERROR(OLDBD[[#This Row],[Fin de Carga]]-OLDBD[[#This Row],[Inicio de Carga]],"")</f>
        <v>1.3888888890505768E-2</v>
      </c>
    </row>
    <row r="297" spans="1:57" customFormat="1" hidden="1">
      <c r="A297" s="1"/>
      <c r="B297" s="1">
        <f>IFERROR(IF(MARÍTIMOS[[#This Row],[PP]]="","",MARÍTIMOS[[#This Row],[PP]]),"")</f>
        <v>33</v>
      </c>
      <c r="C297" s="1" t="str">
        <f>IFERROR(IF(MARÍTIMOS[[#This Row],[Sede]]="","",MARÍTIMOS[[#This Row],[Sede]]),"")</f>
        <v>Chao</v>
      </c>
      <c r="D297" s="1" t="str">
        <f>IFERROR(IF(MARÍTIMOS[[#This Row],[Instruction]]="","",MARÍTIMOS[[#This Row],[Instruction]]),"")</f>
        <v>RH-0511</v>
      </c>
      <c r="E297" s="1"/>
      <c r="F297" s="2" t="str">
        <f>IFERROR(IF(MARÍTIMOS[[#This Row],[Transportista]]="","",MARÍTIMOS[[#This Row],[Transportista]]),"")</f>
        <v>LIP</v>
      </c>
      <c r="G297" s="2" t="str">
        <f>IFERROR(IF(MARÍTIMOS[[#This Row],[Tercero]]="","",MARÍTIMOS[[#This Row],[Tercero]]),"")</f>
        <v>SI</v>
      </c>
      <c r="H297" s="2" t="str">
        <f>IFERROR(IF(MARÍTIMOS[[#This Row],[Razón Social]]="","",MARÍTIMOS[[#This Row],[Razón Social]]),"")</f>
        <v>LOGISTICS TRANSPORT SOCIEDAD ANONIMA CERRADA</v>
      </c>
      <c r="I297" s="2">
        <f>IFERROR(IF(MARÍTIMOS[[#This Row],[RUC]]="","",MARÍTIMOS[[#This Row],[RUC]]),"")</f>
        <v>20614402246</v>
      </c>
      <c r="J297" s="2" t="str">
        <f>IFERROR(IF(MARÍTIMOS[[#This Row],[Placa Tracto]]="","",MARÍTIMOS[[#This Row],[Placa Tracto]]),"")</f>
        <v>D4J-829</v>
      </c>
      <c r="K297" s="2" t="str">
        <f>IFERROR(IF(MARÍTIMOS[[#This Row],[Placa Carreta]]="","",MARÍTIMOS[[#This Row],[Placa Carreta]]),"")</f>
        <v>TJZ-980</v>
      </c>
      <c r="L297" s="44" t="str">
        <f>IFERROR(IF(MARÍTIMOS[[#This Row],[Conductor]]="","",MARÍTIMOS[[#This Row],[Conductor]]),"")</f>
        <v>CHIROQUE IMAN JOSE NICOLAS</v>
      </c>
      <c r="M297" s="2" t="str">
        <f>IFERROR(IF(MARÍTIMOS[[#This Row],[Licencia]]="","",MARÍTIMOS[[#This Row],[Licencia]]),"")</f>
        <v>C16578741</v>
      </c>
      <c r="N297" s="2">
        <f>IFERROR(IF(MARÍTIMOS[[#This Row],[Número de Contacto]]="","",MARÍTIMOS[[#This Row],[Número de Contacto]]),"")</f>
        <v>914113779</v>
      </c>
      <c r="O297" s="10" t="str">
        <f>IFERROR(IF(MARÍTIMOS[[#This Row],[Booking|AWB|CRT]]="","",MARÍTIMOS[[#This Row],[Booking|AWB|CRT]]),"")</f>
        <v>PER9185428A</v>
      </c>
      <c r="P297" s="2" t="str">
        <f>IFERROR(IF(MARÍTIMOS[[#This Row],[Contenedor]]="","",MARÍTIMOS[[#This Row],[Contenedor]]),"")</f>
        <v>SZLU5008558</v>
      </c>
      <c r="Q297" s="2" t="str">
        <f>IFERROR(IF(MARÍTIMOS[[#This Row],[Puerto de Retiro]]="","",MARÍTIMOS[[#This Row],[Puerto de Retiro]]),"")</f>
        <v>PAITA</v>
      </c>
      <c r="R297" s="2" t="str">
        <f>IFERROR(IF(MARÍTIMOS[[#This Row],[Almacén de Retiro]]="","",MARÍTIMOS[[#This Row],[Almacén de Retiro]]),"")</f>
        <v>DPW</v>
      </c>
      <c r="S297" s="11">
        <f>IFERROR(IF(MARÍTIMOS[[#This Row],[Etapa Retiro - Cita]]="","",MARÍTIMOS[[#This Row],[Etapa Retiro - Cita]]),"")</f>
        <v>46251.458333333336</v>
      </c>
      <c r="T297" s="11">
        <f>IFERROR(IF(MARÍTIMOS[[#This Row],[Etapa Retiro - Llegada]]="","",MARÍTIMOS[[#This Row],[Etapa Retiro - Llegada]]),"")</f>
        <v>46251.486111111109</v>
      </c>
      <c r="U297" s="11">
        <f>IFERROR(IF(MARÍTIMOS[[#This Row],[Etapa Retiro - Ingreso]]="","",MARÍTIMOS[[#This Row],[Etapa Retiro - Ingreso]]),"")</f>
        <v>46251.489583333336</v>
      </c>
      <c r="V297" s="11">
        <f>IFERROR(IF(MARÍTIMOS[[#This Row],[Etapa Retiro - Atención]]="","",MARÍTIMOS[[#This Row],[Etapa Retiro - Atención]]),"")</f>
        <v>46251.499305555553</v>
      </c>
      <c r="W297" s="11">
        <f>IFERROR(IF(MARÍTIMOS[[#This Row],[Etapa Retiro - Atención]]="","",MARÍTIMOS[[#This Row],[Etapa Retiro - Atención]]),"")</f>
        <v>46251.499305555553</v>
      </c>
      <c r="X297" s="11">
        <f>IFERROR(IF(MARÍTIMOS[[#This Row],[Etapa Retiro - Inicio de Ruta]]="","",MARÍTIMOS[[#This Row],[Etapa Retiro - Inicio de Ruta]]),"")</f>
        <v>46251.551388888889</v>
      </c>
      <c r="Y297" s="11">
        <f>IFERROR(IF(MARÍTIMOS[[#This Row],[Hora de Posicionamiento]]="","",MARÍTIMOS[[#This Row],[Fecha de Carga]]+MARÍTIMOS[[#This Row],[Hora de Posicionamiento]]),"")</f>
        <v>46252.333333333336</v>
      </c>
      <c r="Z297" s="11">
        <f>IFERROR(IF(MARÍTIMOS[[#This Row],[Etapa Despacho - Llegada]]="","",MARÍTIMOS[[#This Row],[Etapa Despacho - Llegada]]),"")</f>
        <v>46252.372916666667</v>
      </c>
      <c r="AA297" s="11">
        <f>IFERROR(IF(MARÍTIMOS[[#This Row],[Etapa Despacho - Registro]]="","",MARÍTIMOS[[#This Row],[Etapa Despacho - Registro]]),"")</f>
        <v>46252.375</v>
      </c>
      <c r="AB297" s="11">
        <f>IFERROR(IF(MARÍTIMOS[[#This Row],[Inspección Externa]]="","",MARÍTIMOS[[#This Row],[Inspección Externa]]),"")</f>
        <v>46252.388888888891</v>
      </c>
      <c r="AC297" s="11">
        <f>IFERROR(IF(MARÍTIMOS[[#This Row],[Etapa Despacho - Inicio de Carga]]="","",MARÍTIMOS[[#This Row],[Etapa Despacho - Inicio de Carga]]),"")</f>
        <v>46252.423611111109</v>
      </c>
      <c r="AD297" s="11">
        <f>IFERROR(IF(MARÍTIMOS[[#This Row],[Etapa Despacho - Mitad de Carga]]="","",MARÍTIMOS[[#This Row],[Etapa Despacho - Mitad de Carga]]),"")</f>
        <v>46252.4375</v>
      </c>
      <c r="AE297" s="11">
        <f>IFERROR(IF(MARÍTIMOS[[#This Row],[Etapa Despacho - Fin de Carga]]="","",MARÍTIMOS[[#This Row],[Etapa Despacho - Fin de Carga]]),"")</f>
        <v>46252.520833333336</v>
      </c>
      <c r="AF297" s="2" t="str">
        <f>IFERROR(IF(MARÍTIMOS[[#This Row],[Puerto de Embarque]]="","",MARÍTIMOS[[#This Row],[Puerto de Embarque]]),"")</f>
        <v>Paita</v>
      </c>
      <c r="AG297" s="2" t="str">
        <f>IFERROR(IF(MARÍTIMOS[[#This Row],[Almacén de Ingreso]]="","",MARÍTIMOS[[#This Row],[Almacén de Ingreso]]),"")</f>
        <v>TPE</v>
      </c>
      <c r="AH297" s="11">
        <f>IFERROR(IF(MARÍTIMOS[[#This Row],[Etapa Ingreso - Cita]]="","",MARÍTIMOS[[#This Row],[Etapa Ingreso - Cita]]),"")</f>
        <v>46253.291666666664</v>
      </c>
      <c r="AI297" s="11">
        <f>IFERROR(IF(MARÍTIMOS[[#This Row],[Etapa Ingreso - Llegada]]="","",MARÍTIMOS[[#This Row],[Etapa Ingreso - Llegada]]),"")</f>
        <v>46253.311805555553</v>
      </c>
      <c r="AJ297" s="11">
        <f>IFERROR(IF(MARÍTIMOS[[#This Row],[Etapa Ingreso - Ingeso]]="","",MARÍTIMOS[[#This Row],[Etapa Ingreso - Ingeso]]),"")</f>
        <v>46253.318055555559</v>
      </c>
      <c r="AK297" s="11">
        <f>IFERROR(IF(MARÍTIMOS[[#This Row],[Etapa Ingreso - Atención]]="","",MARÍTIMOS[[#This Row],[Etapa Ingreso - Atención]]),"")</f>
        <v>46253.320833333331</v>
      </c>
      <c r="AL297" s="11">
        <f>IFERROR(IF(MARÍTIMOS[[#This Row],[Etapa Ingreso - Salida]]="","",MARÍTIMOS[[#This Row],[Etapa Ingreso - Salida]]),"")</f>
        <v>46253.322916666664</v>
      </c>
      <c r="AM297" s="2">
        <f>IFERROR(IF(MARÍTIMOS[[#This Row],[FCL]]="","",MARÍTIMOS[[#This Row],[FCL]]),"")</f>
        <v>1</v>
      </c>
      <c r="AN2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7" s="4" t="str" cm="1">
        <f t="array" ref="AO2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7" s="5">
        <f>IFERROR(OLDBD[[#This Row],[Llegada a packing]]-OLDBD[[#This Row],[Inicio de Ruta]],"")</f>
        <v>0.82152777777810115</v>
      </c>
      <c r="AQ297" s="6">
        <f>IFERROR(OLDBD[[#This Row],[Inicio de Ruta]]-OLDBD[[#This Row],[Salida de almacén de retiro]],"")</f>
        <v>5.2083333335758653E-2</v>
      </c>
      <c r="AR2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297" s="8" t="str" cm="1">
        <f t="array" ref="AS2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297" s="9">
        <f>IFERROR(OLDBD[[#This Row],[Ingreso Packing]]-OLDBD[[#This Row],[Registro en Packing]],"")</f>
        <v>1.3888888890505768E-2</v>
      </c>
      <c r="AV297" s="9">
        <f>IFERROR(OLDBD[[#This Row],[Ingreso Packing]]-OLDBD[[#This Row],[Llegada a packing]],"")</f>
        <v>1.5972222223354038E-2</v>
      </c>
      <c r="AW2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297" s="5">
        <f>IFERROR(OLDBD[[#This Row],[Llegada Almacén de Ingreso]]-OLDBD[[#This Row],[Salida Packing]],"")</f>
        <v>0.79097222221753327</v>
      </c>
      <c r="AY297" s="4" t="str" cm="1">
        <f t="array" ref="AY2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2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297" s="43" t="s">
        <v>173</v>
      </c>
      <c r="BB297" s="47" t="str">
        <f>IFERROR(IF(MARÍTIMOS[[#This Row],[Estatus]]="","",MARÍTIMOS[[#This Row],[Estatus]]),"")</f>
        <v>Confirmado</v>
      </c>
      <c r="BC297" s="43"/>
      <c r="BD297" s="46">
        <f>IFERROR(OLDBD[[#This Row],[Salida de almacén de retiro]]-OLDBD[[#This Row],[Ingreso Almacén de retiro]],"")</f>
        <v>9.7222222175332718E-3</v>
      </c>
      <c r="BE297" s="46">
        <f>IFERROR(OLDBD[[#This Row],[Fin de Carga]]-OLDBD[[#This Row],[Inicio de Carga]],"")</f>
        <v>1.3888888890505768E-2</v>
      </c>
    </row>
    <row r="298" spans="1:57" customFormat="1" hidden="1">
      <c r="A298" s="1"/>
      <c r="B298" s="1">
        <f>IFERROR(IF(MARÍTIMOS[[#This Row],[PP]]="","",MARÍTIMOS[[#This Row],[PP]]),"")</f>
        <v>34</v>
      </c>
      <c r="C298" s="1" t="str">
        <f>IFERROR(IF(MARÍTIMOS[[#This Row],[Sede]]="","",MARÍTIMOS[[#This Row],[Sede]]),"")</f>
        <v>Chao</v>
      </c>
      <c r="D298" s="1" t="str">
        <f>IFERROR(IF(MARÍTIMOS[[#This Row],[Instruction]]="","",MARÍTIMOS[[#This Row],[Instruction]]),"")</f>
        <v>RH-0542</v>
      </c>
      <c r="E298" s="1"/>
      <c r="F298" s="2" t="str">
        <f>IFERROR(IF(MARÍTIMOS[[#This Row],[Transportista]]="","",MARÍTIMOS[[#This Row],[Transportista]]),"")</f>
        <v>LIP</v>
      </c>
      <c r="G298" s="2" t="str">
        <f>IFERROR(IF(MARÍTIMOS[[#This Row],[Tercero]]="","",MARÍTIMOS[[#This Row],[Tercero]]),"")</f>
        <v>SI</v>
      </c>
      <c r="H298" s="2" t="str">
        <f>IFERROR(IF(MARÍTIMOS[[#This Row],[Razón Social]]="","",MARÍTIMOS[[#This Row],[Razón Social]]),"")</f>
        <v>INVERSIONES LOS ALVARADO GROUP S.A.C</v>
      </c>
      <c r="I298" s="2">
        <f>IFERROR(IF(MARÍTIMOS[[#This Row],[RUC]]="","",MARÍTIMOS[[#This Row],[RUC]]),"")</f>
        <v>20609890771</v>
      </c>
      <c r="J298" s="2" t="str">
        <f>IFERROR(IF(MARÍTIMOS[[#This Row],[Placa Tracto]]="","",MARÍTIMOS[[#This Row],[Placa Tracto]]),"")</f>
        <v>C1Q-787</v>
      </c>
      <c r="K298" s="2" t="str">
        <f>IFERROR(IF(MARÍTIMOS[[#This Row],[Placa Carreta]]="","",MARÍTIMOS[[#This Row],[Placa Carreta]]),"")</f>
        <v>TNZ-978</v>
      </c>
      <c r="L298" s="44" t="str">
        <f>IFERROR(IF(MARÍTIMOS[[#This Row],[Conductor]]="","",MARÍTIMOS[[#This Row],[Conductor]]),"")</f>
        <v>LOZANO RODRIGUEZ PEDRO MARTIN</v>
      </c>
      <c r="M298" s="2" t="str">
        <f>IFERROR(IF(MARÍTIMOS[[#This Row],[Licencia]]="","",MARÍTIMOS[[#This Row],[Licencia]]),"")</f>
        <v>B03468982</v>
      </c>
      <c r="N298" s="2">
        <f>IFERROR(IF(MARÍTIMOS[[#This Row],[Número de Contacto]]="","",MARÍTIMOS[[#This Row],[Número de Contacto]]),"")</f>
        <v>970693376</v>
      </c>
      <c r="O298" s="10">
        <f>IFERROR(IF(MARÍTIMOS[[#This Row],[Booking|AWB|CRT]]="","",MARÍTIMOS[[#This Row],[Booking|AWB|CRT]]),"")</f>
        <v>275833094</v>
      </c>
      <c r="P298" s="2" t="str">
        <f>IFERROR(IF(MARÍTIMOS[[#This Row],[Contenedor]]="","",MARÍTIMOS[[#This Row],[Contenedor]]),"")</f>
        <v>MNBU9152081</v>
      </c>
      <c r="Q298" s="2" t="str">
        <f>IFERROR(IF(MARÍTIMOS[[#This Row],[Puerto de Retiro]]="","",MARÍTIMOS[[#This Row],[Puerto de Retiro]]),"")</f>
        <v>PAITA</v>
      </c>
      <c r="R298" s="2" t="str">
        <f>IFERROR(IF(MARÍTIMOS[[#This Row],[Almacén de Retiro]]="","",MARÍTIMOS[[#This Row],[Almacén de Retiro]]),"")</f>
        <v>APM</v>
      </c>
      <c r="S298" s="11">
        <f>IFERROR(IF(MARÍTIMOS[[#This Row],[Etapa Retiro - Cita]]="","",MARÍTIMOS[[#This Row],[Etapa Retiro - Cita]]),"")</f>
        <v>46251.625</v>
      </c>
      <c r="T298" s="11">
        <f>IFERROR(IF(MARÍTIMOS[[#This Row],[Etapa Retiro - Llegada]]="","",MARÍTIMOS[[#This Row],[Etapa Retiro - Llegada]]),"")</f>
        <v>46251.620138888888</v>
      </c>
      <c r="U298" s="11">
        <f>IFERROR(IF(MARÍTIMOS[[#This Row],[Etapa Retiro - Ingreso]]="","",MARÍTIMOS[[#This Row],[Etapa Retiro - Ingreso]]),"")</f>
        <v>46251.75</v>
      </c>
      <c r="V298" s="11">
        <f>IFERROR(IF(MARÍTIMOS[[#This Row],[Etapa Retiro - Atención]]="","",MARÍTIMOS[[#This Row],[Etapa Retiro - Atención]]),"")</f>
        <v>46251.75277777778</v>
      </c>
      <c r="W298" s="11">
        <f>IFERROR(IF(MARÍTIMOS[[#This Row],[Etapa Retiro - Atención]]="","",MARÍTIMOS[[#This Row],[Etapa Retiro - Atención]]),"")</f>
        <v>46251.75277777778</v>
      </c>
      <c r="X298" s="11">
        <f>IFERROR(IF(MARÍTIMOS[[#This Row],[Etapa Retiro - Inicio de Ruta]]="","",MARÍTIMOS[[#This Row],[Etapa Retiro - Inicio de Ruta]]),"")</f>
        <v>46251.771527777775</v>
      </c>
      <c r="Y298" s="11">
        <f>IFERROR(IF(MARÍTIMOS[[#This Row],[Hora de Posicionamiento]]="","",MARÍTIMOS[[#This Row],[Fecha de Carga]]+MARÍTIMOS[[#This Row],[Hora de Posicionamiento]]),"")</f>
        <v>46252.541666666664</v>
      </c>
      <c r="Z298" s="11">
        <f>IFERROR(IF(MARÍTIMOS[[#This Row],[Etapa Despacho - Llegada]]="","",MARÍTIMOS[[#This Row],[Etapa Despacho - Llegada]]),"")</f>
        <v>46252.519444444442</v>
      </c>
      <c r="AA298" s="11">
        <f>IFERROR(IF(MARÍTIMOS[[#This Row],[Etapa Despacho - Registro]]="","",MARÍTIMOS[[#This Row],[Etapa Despacho - Registro]]),"")</f>
        <v>46252.520138888889</v>
      </c>
      <c r="AB298" s="11">
        <f>IFERROR(IF(MARÍTIMOS[[#This Row],[Inspección Externa]]="","",MARÍTIMOS[[#This Row],[Inspección Externa]]),"")</f>
        <v>46252.59097222222</v>
      </c>
      <c r="AC298" s="11">
        <f>IFERROR(IF(MARÍTIMOS[[#This Row],[Etapa Despacho - Inicio de Carga]]="","",MARÍTIMOS[[#This Row],[Etapa Despacho - Inicio de Carga]]),"")</f>
        <v>46252.728472222225</v>
      </c>
      <c r="AD298" s="11">
        <f>IFERROR(IF(MARÍTIMOS[[#This Row],[Etapa Despacho - Mitad de Carga]]="","",MARÍTIMOS[[#This Row],[Etapa Despacho - Mitad de Carga]]),"")</f>
        <v>46252.742361111108</v>
      </c>
      <c r="AE298" s="11">
        <f>IFERROR(IF(MARÍTIMOS[[#This Row],[Etapa Despacho - Fin de Carga]]="","",MARÍTIMOS[[#This Row],[Etapa Despacho - Fin de Carga]]),"")</f>
        <v>46252.759027777778</v>
      </c>
      <c r="AF298" s="2" t="str">
        <f>IFERROR(IF(MARÍTIMOS[[#This Row],[Puerto de Embarque]]="","",MARÍTIMOS[[#This Row],[Puerto de Embarque]]),"")</f>
        <v>Paita</v>
      </c>
      <c r="AG298" s="2" t="str">
        <f>IFERROR(IF(MARÍTIMOS[[#This Row],[Almacén de Ingreso]]="","",MARÍTIMOS[[#This Row],[Almacén de Ingreso]]),"")</f>
        <v>TPE</v>
      </c>
      <c r="AH298" s="11">
        <f>IFERROR(IF(MARÍTIMOS[[#This Row],[Etapa Ingreso - Cita]]="","",MARÍTIMOS[[#This Row],[Etapa Ingreso - Cita]]),"")</f>
        <v>46253.666666666664</v>
      </c>
      <c r="AI298" s="11">
        <f>IFERROR(IF(MARÍTIMOS[[#This Row],[Etapa Ingreso - Llegada]]="","",MARÍTIMOS[[#This Row],[Etapa Ingreso - Llegada]]),"")</f>
        <v>46253.631944444445</v>
      </c>
      <c r="AJ298" s="11">
        <f>IFERROR(IF(MARÍTIMOS[[#This Row],[Etapa Ingreso - Ingeso]]="","",MARÍTIMOS[[#This Row],[Etapa Ingreso - Ingeso]]),"")</f>
        <v>46253.873611111114</v>
      </c>
      <c r="AK298" s="11">
        <f>IFERROR(IF(MARÍTIMOS[[#This Row],[Etapa Ingreso - Atención]]="","",MARÍTIMOS[[#This Row],[Etapa Ingreso - Atención]]),"")</f>
        <v>46253.878472222219</v>
      </c>
      <c r="AL298" s="11">
        <f>IFERROR(IF(MARÍTIMOS[[#This Row],[Etapa Ingreso - Salida]]="","",MARÍTIMOS[[#This Row],[Etapa Ingreso - Salida]]),"")</f>
        <v>46253.884027777778</v>
      </c>
      <c r="AM298" s="2">
        <f>IFERROR(IF(MARÍTIMOS[[#This Row],[FCL]]="","",MARÍTIMOS[[#This Row],[FCL]]),"")</f>
        <v>0.5</v>
      </c>
      <c r="AN2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8" s="4" t="str" cm="1">
        <f t="array" ref="AO2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8" s="5">
        <f>IFERROR(OLDBD[[#This Row],[Llegada a packing]]-OLDBD[[#This Row],[Inicio de Ruta]],"")</f>
        <v>0.74791666666715173</v>
      </c>
      <c r="AQ298" s="6">
        <f>IFERROR(OLDBD[[#This Row],[Inicio de Ruta]]-OLDBD[[#This Row],[Salida de almacén de retiro]],"")</f>
        <v>1.8749999995634425E-2</v>
      </c>
      <c r="AR2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98" s="8" t="str" cm="1">
        <f t="array" ref="AS2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2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98" s="9">
        <f>IFERROR(OLDBD[[#This Row],[Ingreso Packing]]-OLDBD[[#This Row],[Registro en Packing]],"")</f>
        <v>7.0833333331393078E-2</v>
      </c>
      <c r="AV298" s="9">
        <f>IFERROR(OLDBD[[#This Row],[Ingreso Packing]]-OLDBD[[#This Row],[Llegada a packing]],"")</f>
        <v>7.1527777778101154E-2</v>
      </c>
      <c r="AW2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298" s="5">
        <f>IFERROR(OLDBD[[#This Row],[Llegada Almacén de Ingreso]]-OLDBD[[#This Row],[Salida Packing]],"")</f>
        <v>0.87291666666715173</v>
      </c>
      <c r="AY298" s="4" t="str" cm="1">
        <f t="array" ref="AY2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2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98" s="43" t="s">
        <v>173</v>
      </c>
      <c r="BB298" s="47" t="str">
        <f>IFERROR(IF(MARÍTIMOS[[#This Row],[Estatus]]="","",MARÍTIMOS[[#This Row],[Estatus]]),"")</f>
        <v>Confirmado</v>
      </c>
      <c r="BC298" s="43"/>
      <c r="BD298" s="46">
        <f>IFERROR(OLDBD[[#This Row],[Salida de almacén de retiro]]-OLDBD[[#This Row],[Ingreso Almacén de retiro]],"")</f>
        <v>2.7777777795563452E-3</v>
      </c>
      <c r="BE298" s="46">
        <f>IFERROR(OLDBD[[#This Row],[Fin de Carga]]-OLDBD[[#This Row],[Inicio de Carga]],"")</f>
        <v>1.3888888883229811E-2</v>
      </c>
    </row>
    <row r="299" spans="1:57" customFormat="1" hidden="1">
      <c r="A299" s="1"/>
      <c r="B299" s="1">
        <f>IFERROR(IF(MARÍTIMOS[[#This Row],[PP]]="","",MARÍTIMOS[[#This Row],[PP]]),"")</f>
        <v>34</v>
      </c>
      <c r="C299" s="1" t="str">
        <f>IFERROR(IF(MARÍTIMOS[[#This Row],[Sede]]="","",MARÍTIMOS[[#This Row],[Sede]]),"")</f>
        <v>Olmos</v>
      </c>
      <c r="D299" s="1" t="str">
        <f>IFERROR(IF(MARÍTIMOS[[#This Row],[Instruction]]="","",MARÍTIMOS[[#This Row],[Instruction]]),"")</f>
        <v>RH-0542</v>
      </c>
      <c r="E299" s="1"/>
      <c r="F299" s="2" t="str">
        <f>IFERROR(IF(MARÍTIMOS[[#This Row],[Transportista]]="","",MARÍTIMOS[[#This Row],[Transportista]]),"")</f>
        <v>LIP</v>
      </c>
      <c r="G299" s="2" t="str">
        <f>IFERROR(IF(MARÍTIMOS[[#This Row],[Tercero]]="","",MARÍTIMOS[[#This Row],[Tercero]]),"")</f>
        <v>SI</v>
      </c>
      <c r="H299" s="2" t="str">
        <f>IFERROR(IF(MARÍTIMOS[[#This Row],[Razón Social]]="","",MARÍTIMOS[[#This Row],[Razón Social]]),"")</f>
        <v>INVERSIONES LOS ALVARADO GROUP S.A.C</v>
      </c>
      <c r="I299" s="2">
        <f>IFERROR(IF(MARÍTIMOS[[#This Row],[RUC]]="","",MARÍTIMOS[[#This Row],[RUC]]),"")</f>
        <v>20609890771</v>
      </c>
      <c r="J299" s="2" t="str">
        <f>IFERROR(IF(MARÍTIMOS[[#This Row],[Placa Tracto]]="","",MARÍTIMOS[[#This Row],[Placa Tracto]]),"")</f>
        <v>C1Q-787</v>
      </c>
      <c r="K299" s="2" t="str">
        <f>IFERROR(IF(MARÍTIMOS[[#This Row],[Placa Carreta]]="","",MARÍTIMOS[[#This Row],[Placa Carreta]]),"")</f>
        <v>TNZ-978</v>
      </c>
      <c r="L299" s="44" t="str">
        <f>IFERROR(IF(MARÍTIMOS[[#This Row],[Conductor]]="","",MARÍTIMOS[[#This Row],[Conductor]]),"")</f>
        <v>LOZANO RODRIGUEZ PEDRO MARTIN</v>
      </c>
      <c r="M299" s="2" t="str">
        <f>IFERROR(IF(MARÍTIMOS[[#This Row],[Licencia]]="","",MARÍTIMOS[[#This Row],[Licencia]]),"")</f>
        <v>B03468982</v>
      </c>
      <c r="N299" s="2">
        <f>IFERROR(IF(MARÍTIMOS[[#This Row],[Número de Contacto]]="","",MARÍTIMOS[[#This Row],[Número de Contacto]]),"")</f>
        <v>970693376</v>
      </c>
      <c r="O299" s="10">
        <f>IFERROR(IF(MARÍTIMOS[[#This Row],[Booking|AWB|CRT]]="","",MARÍTIMOS[[#This Row],[Booking|AWB|CRT]]),"")</f>
        <v>275833094</v>
      </c>
      <c r="P299" s="2" t="str">
        <f>IFERROR(IF(MARÍTIMOS[[#This Row],[Contenedor]]="","",MARÍTIMOS[[#This Row],[Contenedor]]),"")</f>
        <v>MNBU9152081</v>
      </c>
      <c r="Q299" s="2" t="str">
        <f>IFERROR(IF(MARÍTIMOS[[#This Row],[Puerto de Retiro]]="","",MARÍTIMOS[[#This Row],[Puerto de Retiro]]),"")</f>
        <v>PAITA</v>
      </c>
      <c r="R299" s="2" t="str">
        <f>IFERROR(IF(MARÍTIMOS[[#This Row],[Almacén de Retiro]]="","",MARÍTIMOS[[#This Row],[Almacén de Retiro]]),"")</f>
        <v>APM</v>
      </c>
      <c r="S299" s="11">
        <f>IFERROR(IF(MARÍTIMOS[[#This Row],[Etapa Retiro - Cita]]="","",MARÍTIMOS[[#This Row],[Etapa Retiro - Cita]]),"")</f>
        <v>46251.625</v>
      </c>
      <c r="T299" s="11">
        <f>IFERROR(IF(MARÍTIMOS[[#This Row],[Etapa Retiro - Llegada]]="","",MARÍTIMOS[[#This Row],[Etapa Retiro - Llegada]]),"")</f>
        <v>46251.620138888888</v>
      </c>
      <c r="U299" s="11">
        <f>IFERROR(IF(MARÍTIMOS[[#This Row],[Etapa Retiro - Ingreso]]="","",MARÍTIMOS[[#This Row],[Etapa Retiro - Ingreso]]),"")</f>
        <v>46251.75</v>
      </c>
      <c r="V299" s="11">
        <f>IFERROR(IF(MARÍTIMOS[[#This Row],[Etapa Retiro - Atención]]="","",MARÍTIMOS[[#This Row],[Etapa Retiro - Atención]]),"")</f>
        <v>46251.75277777778</v>
      </c>
      <c r="W299" s="11">
        <f>IFERROR(IF(MARÍTIMOS[[#This Row],[Etapa Retiro - Atención]]="","",MARÍTIMOS[[#This Row],[Etapa Retiro - Atención]]),"")</f>
        <v>46251.75277777778</v>
      </c>
      <c r="X299" s="11">
        <f>IFERROR(IF(MARÍTIMOS[[#This Row],[Etapa Retiro - Inicio de Ruta]]="","",MARÍTIMOS[[#This Row],[Etapa Retiro - Inicio de Ruta]]),"")</f>
        <v>46251.771527777775</v>
      </c>
      <c r="Y299" s="11">
        <f>IFERROR(IF(MARÍTIMOS[[#This Row],[Hora de Posicionamiento]]="","",MARÍTIMOS[[#This Row],[Fecha de Carga]]+MARÍTIMOS[[#This Row],[Hora de Posicionamiento]]),"")</f>
        <v>46253.333333333336</v>
      </c>
      <c r="Z299" s="11">
        <f>IFERROR(IF(MARÍTIMOS[[#This Row],[Etapa Despacho - Llegada]]="","",MARÍTIMOS[[#This Row],[Etapa Despacho - Llegada]]),"")</f>
        <v>46253.325694444444</v>
      </c>
      <c r="AA299" s="11">
        <f>IFERROR(IF(MARÍTIMOS[[#This Row],[Etapa Despacho - Registro]]="","",MARÍTIMOS[[#This Row],[Etapa Despacho - Registro]]),"")</f>
        <v>46253.332638888889</v>
      </c>
      <c r="AB299" s="11">
        <f>IFERROR(IF(MARÍTIMOS[[#This Row],[Inspección Externa]]="","",MARÍTIMOS[[#This Row],[Inspección Externa]]),"")</f>
        <v>46253.333333333336</v>
      </c>
      <c r="AC299" s="11">
        <f>IFERROR(IF(MARÍTIMOS[[#This Row],[Etapa Despacho - Inicio de Carga]]="","",MARÍTIMOS[[#This Row],[Etapa Despacho - Inicio de Carga]]),"")</f>
        <v>46253.598611111112</v>
      </c>
      <c r="AD299" s="11">
        <f>IFERROR(IF(MARÍTIMOS[[#This Row],[Etapa Despacho - Mitad de Carga]]="","",MARÍTIMOS[[#This Row],[Etapa Despacho - Mitad de Carga]]),"")</f>
        <v>46253.616666666669</v>
      </c>
      <c r="AE299" s="11">
        <f>IFERROR(IF(MARÍTIMOS[[#This Row],[Etapa Despacho - Fin de Carga]]="","",MARÍTIMOS[[#This Row],[Etapa Despacho - Fin de Carga]]),"")</f>
        <v>46253.625694444447</v>
      </c>
      <c r="AF299" s="2" t="str">
        <f>IFERROR(IF(MARÍTIMOS[[#This Row],[Puerto de Embarque]]="","",MARÍTIMOS[[#This Row],[Puerto de Embarque]]),"")</f>
        <v>Paita</v>
      </c>
      <c r="AG299" s="2" t="str">
        <f>IFERROR(IF(MARÍTIMOS[[#This Row],[Almacén de Ingreso]]="","",MARÍTIMOS[[#This Row],[Almacén de Ingreso]]),"")</f>
        <v>TPE</v>
      </c>
      <c r="AH299" s="11">
        <f>IFERROR(IF(MARÍTIMOS[[#This Row],[Etapa Ingreso - Cita]]="","",MARÍTIMOS[[#This Row],[Etapa Ingreso - Cita]]),"")</f>
        <v>46253.666666666664</v>
      </c>
      <c r="AI299" s="11">
        <f>IFERROR(IF(MARÍTIMOS[[#This Row],[Etapa Ingreso - Llegada]]="","",MARÍTIMOS[[#This Row],[Etapa Ingreso - Llegada]]),"")</f>
        <v>46253.631944444445</v>
      </c>
      <c r="AJ299" s="11">
        <f>IFERROR(IF(MARÍTIMOS[[#This Row],[Etapa Ingreso - Ingeso]]="","",MARÍTIMOS[[#This Row],[Etapa Ingreso - Ingeso]]),"")</f>
        <v>46253.873611111114</v>
      </c>
      <c r="AK299" s="11">
        <f>IFERROR(IF(MARÍTIMOS[[#This Row],[Etapa Ingreso - Atención]]="","",MARÍTIMOS[[#This Row],[Etapa Ingreso - Atención]]),"")</f>
        <v>46253.878472222219</v>
      </c>
      <c r="AL299" s="11">
        <f>IFERROR(IF(MARÍTIMOS[[#This Row],[Etapa Ingreso - Salida]]="","",MARÍTIMOS[[#This Row],[Etapa Ingreso - Salida]]),"")</f>
        <v>46253.884027777778</v>
      </c>
      <c r="AM299" s="2">
        <f>IFERROR(IF(MARÍTIMOS[[#This Row],[FCL]]="","",MARÍTIMOS[[#This Row],[FCL]]),"")</f>
        <v>0.5</v>
      </c>
      <c r="AN2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299" s="4" t="str" cm="1">
        <f t="array" ref="AO2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299" s="5">
        <f>IFERROR(OLDBD[[#This Row],[Llegada a packing]]-OLDBD[[#This Row],[Inicio de Ruta]],"")</f>
        <v>1.5541666666686069</v>
      </c>
      <c r="AQ299" s="6">
        <f>IFERROR(OLDBD[[#This Row],[Inicio de Ruta]]-OLDBD[[#This Row],[Salida de almacén de retiro]],"")</f>
        <v>1.8749999995634425E-2</v>
      </c>
      <c r="AR2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299" s="8" t="str" cm="1">
        <f t="array" ref="AS2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2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299" s="9">
        <f>IFERROR(OLDBD[[#This Row],[Ingreso Packing]]-OLDBD[[#This Row],[Registro en Packing]],"")</f>
        <v>6.944444467080757E-4</v>
      </c>
      <c r="AV299" s="9">
        <f>IFERROR(OLDBD[[#This Row],[Ingreso Packing]]-OLDBD[[#This Row],[Llegada a packing]],"")</f>
        <v>7.6388888919609599E-3</v>
      </c>
      <c r="AW2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299" s="5">
        <f>IFERROR(OLDBD[[#This Row],[Llegada Almacén de Ingreso]]-OLDBD[[#This Row],[Salida Packing]],"")</f>
        <v>6.2499999985448085E-3</v>
      </c>
      <c r="AY299" s="4" t="str" cm="1">
        <f t="array" ref="AY2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2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299" s="43" t="s">
        <v>173</v>
      </c>
      <c r="BB299" s="47" t="str">
        <f>IFERROR(IF(MARÍTIMOS[[#This Row],[Estatus]]="","",MARÍTIMOS[[#This Row],[Estatus]]),"")</f>
        <v>Confirmado</v>
      </c>
      <c r="BC299" s="43"/>
      <c r="BD299" s="46">
        <f>IFERROR(OLDBD[[#This Row],[Salida de almacén de retiro]]-OLDBD[[#This Row],[Ingreso Almacén de retiro]],"")</f>
        <v>2.7777777795563452E-3</v>
      </c>
      <c r="BE299" s="46">
        <f>IFERROR(OLDBD[[#This Row],[Fin de Carga]]-OLDBD[[#This Row],[Inicio de Carga]],"")</f>
        <v>1.8055555556202307E-2</v>
      </c>
    </row>
    <row r="300" spans="1:57" customFormat="1" hidden="1">
      <c r="A300" s="1"/>
      <c r="B300" s="1">
        <f>IFERROR(IF(MARÍTIMOS[[#This Row],[PP]]="","",MARÍTIMOS[[#This Row],[PP]]),"")</f>
        <v>34</v>
      </c>
      <c r="C300" s="1" t="str">
        <f>IFERROR(IF(MARÍTIMOS[[#This Row],[Sede]]="","",MARÍTIMOS[[#This Row],[Sede]]),"")</f>
        <v>Chao</v>
      </c>
      <c r="D300" s="1" t="str">
        <f>IFERROR(IF(MARÍTIMOS[[#This Row],[Instruction]]="","",MARÍTIMOS[[#This Row],[Instruction]]),"")</f>
        <v>RH-0579</v>
      </c>
      <c r="E300" s="1"/>
      <c r="F300" s="2" t="str">
        <f>IFERROR(IF(MARÍTIMOS[[#This Row],[Transportista]]="","",MARÍTIMOS[[#This Row],[Transportista]]),"")</f>
        <v>LIP</v>
      </c>
      <c r="G300" s="2" t="str">
        <f>IFERROR(IF(MARÍTIMOS[[#This Row],[Tercero]]="","",MARÍTIMOS[[#This Row],[Tercero]]),"")</f>
        <v>SI</v>
      </c>
      <c r="H300" s="2" t="str">
        <f>IFERROR(IF(MARÍTIMOS[[#This Row],[Razón Social]]="","",MARÍTIMOS[[#This Row],[Razón Social]]),"")</f>
        <v>LOGISTICS TRANSPORT SOCIEDAD ANONIMA CERRADA</v>
      </c>
      <c r="I300" s="2">
        <f>IFERROR(IF(MARÍTIMOS[[#This Row],[RUC]]="","",MARÍTIMOS[[#This Row],[RUC]]),"")</f>
        <v>20614402246</v>
      </c>
      <c r="J300" s="2" t="str">
        <f>IFERROR(IF(MARÍTIMOS[[#This Row],[Placa Tracto]]="","",MARÍTIMOS[[#This Row],[Placa Tracto]]),"")</f>
        <v>D4J-829</v>
      </c>
      <c r="K300" s="2" t="str">
        <f>IFERROR(IF(MARÍTIMOS[[#This Row],[Placa Carreta]]="","",MARÍTIMOS[[#This Row],[Placa Carreta]]),"")</f>
        <v>TJZ-980</v>
      </c>
      <c r="L300" s="44" t="str">
        <f>IFERROR(IF(MARÍTIMOS[[#This Row],[Conductor]]="","",MARÍTIMOS[[#This Row],[Conductor]]),"")</f>
        <v>CHIROQUE IMAN JOSE NICOLAS</v>
      </c>
      <c r="M300" s="2" t="str">
        <f>IFERROR(IF(MARÍTIMOS[[#This Row],[Licencia]]="","",MARÍTIMOS[[#This Row],[Licencia]]),"")</f>
        <v>C16578741</v>
      </c>
      <c r="N300" s="2">
        <f>IFERROR(IF(MARÍTIMOS[[#This Row],[Número de Contacto]]="","",MARÍTIMOS[[#This Row],[Número de Contacto]]),"")</f>
        <v>956485666</v>
      </c>
      <c r="O300" s="10" t="str">
        <f>IFERROR(IF(MARÍTIMOS[[#This Row],[Booking|AWB|CRT]]="","",MARÍTIMOS[[#This Row],[Booking|AWB|CRT]]),"")</f>
        <v>PER9193560A</v>
      </c>
      <c r="P300" s="2" t="str">
        <f>IFERROR(IF(MARÍTIMOS[[#This Row],[Contenedor]]="","",MARÍTIMOS[[#This Row],[Contenedor]]),"")</f>
        <v>CAAU4164188</v>
      </c>
      <c r="Q300" s="2" t="str">
        <f>IFERROR(IF(MARÍTIMOS[[#This Row],[Puerto de Retiro]]="","",MARÍTIMOS[[#This Row],[Puerto de Retiro]]),"")</f>
        <v>PAITA</v>
      </c>
      <c r="R300" s="2" t="str">
        <f>IFERROR(IF(MARÍTIMOS[[#This Row],[Almacén de Retiro]]="","",MARÍTIMOS[[#This Row],[Almacén de Retiro]]),"")</f>
        <v>DPW</v>
      </c>
      <c r="S300" s="11">
        <f>IFERROR(IF(MARÍTIMOS[[#This Row],[Etapa Retiro - Cita]]="","",MARÍTIMOS[[#This Row],[Etapa Retiro - Cita]]),"")</f>
        <v>46256.5</v>
      </c>
      <c r="T300" s="11">
        <f>IFERROR(IF(MARÍTIMOS[[#This Row],[Etapa Retiro - Llegada]]="","",MARÍTIMOS[[#This Row],[Etapa Retiro - Llegada]]),"")</f>
        <v>46256.517361111109</v>
      </c>
      <c r="U300" s="11">
        <f>IFERROR(IF(MARÍTIMOS[[#This Row],[Etapa Retiro - Ingreso]]="","",MARÍTIMOS[[#This Row],[Etapa Retiro - Ingreso]]),"")</f>
        <v>46256.531944444447</v>
      </c>
      <c r="V300" s="11">
        <f>IFERROR(IF(MARÍTIMOS[[#This Row],[Etapa Retiro - Atención]]="","",MARÍTIMOS[[#This Row],[Etapa Retiro - Atención]]),"")</f>
        <v>46256.538194444445</v>
      </c>
      <c r="W300" s="11">
        <f>IFERROR(IF(MARÍTIMOS[[#This Row],[Etapa Retiro - Atención]]="","",MARÍTIMOS[[#This Row],[Etapa Retiro - Atención]]),"")</f>
        <v>46256.538194444445</v>
      </c>
      <c r="X300" s="11">
        <f>IFERROR(IF(MARÍTIMOS[[#This Row],[Etapa Retiro - Inicio de Ruta]]="","",MARÍTIMOS[[#This Row],[Etapa Retiro - Inicio de Ruta]]),"")</f>
        <v>46256.625</v>
      </c>
      <c r="Y300" s="11">
        <f>IFERROR(IF(MARÍTIMOS[[#This Row],[Hora de Posicionamiento]]="","",MARÍTIMOS[[#This Row],[Fecha de Carga]]+MARÍTIMOS[[#This Row],[Hora de Posicionamiento]]),"")</f>
        <v>46257.583333333336</v>
      </c>
      <c r="Z300" s="11">
        <f>IFERROR(IF(MARÍTIMOS[[#This Row],[Etapa Despacho - Llegada]]="","",MARÍTIMOS[[#This Row],[Etapa Despacho - Llegada]]),"")</f>
        <v>46257.565972222219</v>
      </c>
      <c r="AA300" s="11">
        <f>IFERROR(IF(MARÍTIMOS[[#This Row],[Etapa Despacho - Registro]]="","",MARÍTIMOS[[#This Row],[Etapa Despacho - Registro]]),"")</f>
        <v>46257.569444444445</v>
      </c>
      <c r="AB300" s="11">
        <f>IFERROR(IF(MARÍTIMOS[[#This Row],[Inspección Externa]]="","",MARÍTIMOS[[#This Row],[Inspección Externa]]),"")</f>
        <v>46257.576388888891</v>
      </c>
      <c r="AC300" s="11">
        <f>IFERROR(IF(MARÍTIMOS[[#This Row],[Etapa Despacho - Inicio de Carga]]="","",MARÍTIMOS[[#This Row],[Etapa Despacho - Inicio de Carga]]),"")</f>
        <v>46257.586805555555</v>
      </c>
      <c r="AD300" s="11">
        <f>IFERROR(IF(MARÍTIMOS[[#This Row],[Etapa Despacho - Mitad de Carga]]="","",MARÍTIMOS[[#This Row],[Etapa Despacho - Mitad de Carga]]),"")</f>
        <v>46257.614583333336</v>
      </c>
      <c r="AE300" s="11">
        <f>IFERROR(IF(MARÍTIMOS[[#This Row],[Etapa Despacho - Fin de Carga]]="","",MARÍTIMOS[[#This Row],[Etapa Despacho - Fin de Carga]]),"")</f>
        <v>46257.770833333336</v>
      </c>
      <c r="AF300" s="2" t="str">
        <f>IFERROR(IF(MARÍTIMOS[[#This Row],[Puerto de Embarque]]="","",MARÍTIMOS[[#This Row],[Puerto de Embarque]]),"")</f>
        <v>Paita</v>
      </c>
      <c r="AG300" s="2" t="str">
        <f>IFERROR(IF(MARÍTIMOS[[#This Row],[Almacén de Ingreso]]="","",MARÍTIMOS[[#This Row],[Almacén de Ingreso]]),"")</f>
        <v>TPE</v>
      </c>
      <c r="AH300" s="11">
        <f>IFERROR(IF(MARÍTIMOS[[#This Row],[Etapa Ingreso - Cita]]="","",MARÍTIMOS[[#This Row],[Etapa Ingreso - Cita]]),"")</f>
        <v>46258.625</v>
      </c>
      <c r="AI300" s="11">
        <f>IFERROR(IF(MARÍTIMOS[[#This Row],[Etapa Ingreso - Llegada]]="","",MARÍTIMOS[[#This Row],[Etapa Ingreso - Llegada]]),"")</f>
        <v>46258.599305555559</v>
      </c>
      <c r="AJ300" s="11">
        <f>IFERROR(IF(MARÍTIMOS[[#This Row],[Etapa Ingreso - Ingeso]]="","",MARÍTIMOS[[#This Row],[Etapa Ingreso - Ingeso]]),"")</f>
        <v>46258.615277777775</v>
      </c>
      <c r="AK300" s="11">
        <f>IFERROR(IF(MARÍTIMOS[[#This Row],[Etapa Ingreso - Atención]]="","",MARÍTIMOS[[#This Row],[Etapa Ingreso - Atención]]),"")</f>
        <v>46258.618055555555</v>
      </c>
      <c r="AL300" s="11">
        <f>IFERROR(IF(MARÍTIMOS[[#This Row],[Etapa Ingreso - Salida]]="","",MARÍTIMOS[[#This Row],[Etapa Ingreso - Salida]]),"")</f>
        <v>46258.631944444445</v>
      </c>
      <c r="AM300" s="2">
        <f>IFERROR(IF(MARÍTIMOS[[#This Row],[FCL]]="","",MARÍTIMOS[[#This Row],[FCL]]),"")</f>
        <v>1</v>
      </c>
      <c r="AN3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00" s="4" t="str" cm="1">
        <f t="array" ref="AO3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0" s="5">
        <f>IFERROR(OLDBD[[#This Row],[Llegada a packing]]-OLDBD[[#This Row],[Inicio de Ruta]],"")</f>
        <v>0.94097222221898846</v>
      </c>
      <c r="AQ300" s="6">
        <f>IFERROR(OLDBD[[#This Row],[Inicio de Ruta]]-OLDBD[[#This Row],[Salida de almacén de retiro]],"")</f>
        <v>8.6805555554747116E-2</v>
      </c>
      <c r="AR3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00" s="8" t="str" cm="1">
        <f t="array" ref="AS3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00" s="9">
        <f>IFERROR(OLDBD[[#This Row],[Ingreso Packing]]-OLDBD[[#This Row],[Registro en Packing]],"")</f>
        <v>6.9444444452528842E-3</v>
      </c>
      <c r="AV300" s="9">
        <f>IFERROR(OLDBD[[#This Row],[Ingreso Packing]]-OLDBD[[#This Row],[Llegada a packing]],"")</f>
        <v>1.0416666671517305E-2</v>
      </c>
      <c r="AW3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00" s="5">
        <f>IFERROR(OLDBD[[#This Row],[Llegada Almacén de Ingreso]]-OLDBD[[#This Row],[Salida Packing]],"")</f>
        <v>0.82847222222335404</v>
      </c>
      <c r="AY300" s="4" t="str" cm="1">
        <f t="array" ref="AY3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00" s="43" t="s">
        <v>173</v>
      </c>
      <c r="BB300" s="47" t="str">
        <f>IFERROR(IF(MARÍTIMOS[[#This Row],[Estatus]]="","",MARÍTIMOS[[#This Row],[Estatus]]),"")</f>
        <v>Confirmado</v>
      </c>
      <c r="BC300" s="43"/>
      <c r="BD300" s="46">
        <f>IFERROR(OLDBD[[#This Row],[Salida de almacén de retiro]]-OLDBD[[#This Row],[Ingreso Almacén de retiro]],"")</f>
        <v>6.2499999985448085E-3</v>
      </c>
      <c r="BE300" s="46">
        <f>IFERROR(OLDBD[[#This Row],[Fin de Carga]]-OLDBD[[#This Row],[Inicio de Carga]],"")</f>
        <v>2.7777777781011537E-2</v>
      </c>
    </row>
    <row r="301" spans="1:57" customFormat="1" hidden="1">
      <c r="A301" s="1"/>
      <c r="B301" s="1">
        <f>IFERROR(IF(MARÍTIMOS[[#This Row],[PP]]="","",MARÍTIMOS[[#This Row],[PP]]),"")</f>
        <v>34</v>
      </c>
      <c r="C301" s="1" t="str">
        <f>IFERROR(IF(MARÍTIMOS[[#This Row],[Sede]]="","",MARÍTIMOS[[#This Row],[Sede]]),"")</f>
        <v>Chao</v>
      </c>
      <c r="D301" s="1" t="str">
        <f>IFERROR(IF(MARÍTIMOS[[#This Row],[Instruction]]="","",MARÍTIMOS[[#This Row],[Instruction]]),"")</f>
        <v>RH-0578</v>
      </c>
      <c r="E301" s="1"/>
      <c r="F301" s="2" t="str">
        <f>IFERROR(IF(MARÍTIMOS[[#This Row],[Transportista]]="","",MARÍTIMOS[[#This Row],[Transportista]]),"")</f>
        <v>LIP</v>
      </c>
      <c r="G301" s="2" t="str">
        <f>IFERROR(IF(MARÍTIMOS[[#This Row],[Tercero]]="","",MARÍTIMOS[[#This Row],[Tercero]]),"")</f>
        <v>SI</v>
      </c>
      <c r="H301" s="2" t="str">
        <f>IFERROR(IF(MARÍTIMOS[[#This Row],[Razón Social]]="","",MARÍTIMOS[[#This Row],[Razón Social]]),"")</f>
        <v>TRANSPORTES Y SERVICIOS UNITED FRIENDS S.A.C.</v>
      </c>
      <c r="I301" s="2">
        <f>IFERROR(IF(MARÍTIMOS[[#This Row],[RUC]]="","",MARÍTIMOS[[#This Row],[RUC]]),"")</f>
        <v>20601368766</v>
      </c>
      <c r="J301" s="2" t="str">
        <f>IFERROR(IF(MARÍTIMOS[[#This Row],[Placa Tracto]]="","",MARÍTIMOS[[#This Row],[Placa Tracto]]),"")</f>
        <v>BPQ-789</v>
      </c>
      <c r="K301" s="2" t="str">
        <f>IFERROR(IF(MARÍTIMOS[[#This Row],[Placa Carreta]]="","",MARÍTIMOS[[#This Row],[Placa Carreta]]),"")</f>
        <v>THK-970</v>
      </c>
      <c r="L301" s="44" t="str">
        <f>IFERROR(IF(MARÍTIMOS[[#This Row],[Conductor]]="","",MARÍTIMOS[[#This Row],[Conductor]]),"")</f>
        <v>CORDOVA OJEDA DANY JOEL</v>
      </c>
      <c r="M301" s="2" t="str">
        <f>IFERROR(IF(MARÍTIMOS[[#This Row],[Licencia]]="","",MARÍTIMOS[[#This Row],[Licencia]]),"")</f>
        <v>Q43207056</v>
      </c>
      <c r="N301" s="2">
        <f>IFERROR(IF(MARÍTIMOS[[#This Row],[Número de Contacto]]="","",MARÍTIMOS[[#This Row],[Número de Contacto]]),"")</f>
        <v>996875993</v>
      </c>
      <c r="O301" s="10" t="str">
        <f>IFERROR(IF(MARÍTIMOS[[#This Row],[Booking|AWB|CRT]]="","",MARÍTIMOS[[#This Row],[Booking|AWB|CRT]]),"")</f>
        <v>BN82197</v>
      </c>
      <c r="P301" s="2" t="str">
        <f>IFERROR(IF(MARÍTIMOS[[#This Row],[Contenedor]]="","",MARÍTIMOS[[#This Row],[Contenedor]]),"")</f>
        <v>TEMU9500614</v>
      </c>
      <c r="Q301" s="2" t="str">
        <f>IFERROR(IF(MARÍTIMOS[[#This Row],[Puerto de Retiro]]="","",MARÍTIMOS[[#This Row],[Puerto de Retiro]]),"")</f>
        <v>PAITA</v>
      </c>
      <c r="R301" s="2" t="str">
        <f>IFERROR(IF(MARÍTIMOS[[#This Row],[Almacén de Retiro]]="","",MARÍTIMOS[[#This Row],[Almacén de Retiro]]),"")</f>
        <v>DPW</v>
      </c>
      <c r="S301" s="11">
        <f>IFERROR(IF(MARÍTIMOS[[#This Row],[Etapa Retiro - Cita]]="","",MARÍTIMOS[[#This Row],[Etapa Retiro - Cita]]),"")</f>
        <v>46257.458333333336</v>
      </c>
      <c r="T301" s="11">
        <f>IFERROR(IF(MARÍTIMOS[[#This Row],[Etapa Retiro - Llegada]]="","",MARÍTIMOS[[#This Row],[Etapa Retiro - Llegada]]),"")</f>
        <v>46257.459722222222</v>
      </c>
      <c r="U301" s="11">
        <f>IFERROR(IF(MARÍTIMOS[[#This Row],[Etapa Retiro - Ingreso]]="","",MARÍTIMOS[[#This Row],[Etapa Retiro - Ingreso]]),"")</f>
        <v>46257.491666666669</v>
      </c>
      <c r="V301" s="11">
        <f>IFERROR(IF(MARÍTIMOS[[#This Row],[Etapa Retiro - Atención]]="","",MARÍTIMOS[[#This Row],[Etapa Retiro - Atención]]),"")</f>
        <v>46257.5</v>
      </c>
      <c r="W301" s="11">
        <f>IFERROR(IF(MARÍTIMOS[[#This Row],[Etapa Retiro - Atención]]="","",MARÍTIMOS[[#This Row],[Etapa Retiro - Atención]]),"")</f>
        <v>46257.5</v>
      </c>
      <c r="X301" s="11">
        <f>IFERROR(IF(MARÍTIMOS[[#This Row],[Etapa Retiro - Inicio de Ruta]]="","",MARÍTIMOS[[#This Row],[Etapa Retiro - Inicio de Ruta]]),"")</f>
        <v>46257.541666666664</v>
      </c>
      <c r="Y301" s="11">
        <f>IFERROR(IF(MARÍTIMOS[[#This Row],[Hora de Posicionamiento]]="","",MARÍTIMOS[[#This Row],[Fecha de Carga]]+MARÍTIMOS[[#This Row],[Hora de Posicionamiento]]),"")</f>
        <v>46258.5</v>
      </c>
      <c r="Z301" s="11">
        <f>IFERROR(IF(MARÍTIMOS[[#This Row],[Etapa Despacho - Llegada]]="","",MARÍTIMOS[[#This Row],[Etapa Despacho - Llegada]]),"")</f>
        <v>46258.413194444445</v>
      </c>
      <c r="AA301" s="11">
        <f>IFERROR(IF(MARÍTIMOS[[#This Row],[Etapa Despacho - Registro]]="","",MARÍTIMOS[[#This Row],[Etapa Despacho - Registro]]),"")</f>
        <v>46258.416666666664</v>
      </c>
      <c r="AB301" s="11">
        <f>IFERROR(IF(MARÍTIMOS[[#This Row],[Inspección Externa]]="","",MARÍTIMOS[[#This Row],[Inspección Externa]]),"")</f>
        <v>46258.423611111109</v>
      </c>
      <c r="AC301" s="11">
        <f>IFERROR(IF(MARÍTIMOS[[#This Row],[Etapa Despacho - Inicio de Carga]]="","",MARÍTIMOS[[#This Row],[Etapa Despacho - Inicio de Carga]]),"")</f>
        <v>46258.434027777781</v>
      </c>
      <c r="AD301" s="11">
        <f>IFERROR(IF(MARÍTIMOS[[#This Row],[Etapa Despacho - Mitad de Carga]]="","",MARÍTIMOS[[#This Row],[Etapa Despacho - Mitad de Carga]]),"")</f>
        <v>46258.454861111109</v>
      </c>
      <c r="AE301" s="11">
        <f>IFERROR(IF(MARÍTIMOS[[#This Row],[Etapa Despacho - Fin de Carga]]="","",MARÍTIMOS[[#This Row],[Etapa Despacho - Fin de Carga]]),"")</f>
        <v>46258.666666666664</v>
      </c>
      <c r="AF301" s="2" t="str">
        <f>IFERROR(IF(MARÍTIMOS[[#This Row],[Puerto de Embarque]]="","",MARÍTIMOS[[#This Row],[Puerto de Embarque]]),"")</f>
        <v>Paita</v>
      </c>
      <c r="AG301" s="2" t="str">
        <f>IFERROR(IF(MARÍTIMOS[[#This Row],[Almacén de Ingreso]]="","",MARÍTIMOS[[#This Row],[Almacén de Ingreso]]),"")</f>
        <v>TPE</v>
      </c>
      <c r="AH301" s="11">
        <f>IFERROR(IF(MARÍTIMOS[[#This Row],[Etapa Ingreso - Cita]]="","",MARÍTIMOS[[#This Row],[Etapa Ingreso - Cita]]),"")</f>
        <v>46259.458333333336</v>
      </c>
      <c r="AI301" s="11">
        <f>IFERROR(IF(MARÍTIMOS[[#This Row],[Etapa Ingreso - Llegada]]="","",MARÍTIMOS[[#This Row],[Etapa Ingreso - Llegada]]),"")</f>
        <v>46259.436111111114</v>
      </c>
      <c r="AJ301" s="11">
        <f>IFERROR(IF(MARÍTIMOS[[#This Row],[Etapa Ingreso - Ingeso]]="","",MARÍTIMOS[[#This Row],[Etapa Ingreso - Ingeso]]),"")</f>
        <v>46259.442361111112</v>
      </c>
      <c r="AK301" s="11">
        <f>IFERROR(IF(MARÍTIMOS[[#This Row],[Etapa Ingreso - Atención]]="","",MARÍTIMOS[[#This Row],[Etapa Ingreso - Atención]]),"")</f>
        <v>46259.444444444445</v>
      </c>
      <c r="AL301" s="11">
        <f>IFERROR(IF(MARÍTIMOS[[#This Row],[Etapa Ingreso - Salida]]="","",MARÍTIMOS[[#This Row],[Etapa Ingreso - Salida]]),"")</f>
        <v>46259.455555555556</v>
      </c>
      <c r="AM301" s="2">
        <f>IFERROR(IF(MARÍTIMOS[[#This Row],[FCL]]="","",MARÍTIMOS[[#This Row],[FCL]]),"")</f>
        <v>1</v>
      </c>
      <c r="AN3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01" s="4" t="str" cm="1">
        <f t="array" ref="AO3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1" s="5">
        <f>IFERROR(OLDBD[[#This Row],[Llegada a packing]]-OLDBD[[#This Row],[Inicio de Ruta]],"")</f>
        <v>0.87152777778101154</v>
      </c>
      <c r="AQ301" s="6">
        <f>IFERROR(OLDBD[[#This Row],[Inicio de Ruta]]-OLDBD[[#This Row],[Salida de almacén de retiro]],"")</f>
        <v>4.1666666664241347E-2</v>
      </c>
      <c r="AR3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01" s="8" t="str" cm="1">
        <f t="array" ref="AS3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01" s="9">
        <f>IFERROR(OLDBD[[#This Row],[Ingreso Packing]]-OLDBD[[#This Row],[Registro en Packing]],"")</f>
        <v>6.9444444452528842E-3</v>
      </c>
      <c r="AV301" s="9">
        <f>IFERROR(OLDBD[[#This Row],[Ingreso Packing]]-OLDBD[[#This Row],[Llegada a packing]],"")</f>
        <v>1.0416666664241347E-2</v>
      </c>
      <c r="AW3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01" s="5">
        <f>IFERROR(OLDBD[[#This Row],[Llegada Almacén de Ingreso]]-OLDBD[[#This Row],[Salida Packing]],"")</f>
        <v>0.76944444444961846</v>
      </c>
      <c r="AY301" s="4" t="str" cm="1">
        <f t="array" ref="AY3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01" s="43" t="s">
        <v>173</v>
      </c>
      <c r="BB301" s="47" t="str">
        <f>IFERROR(IF(MARÍTIMOS[[#This Row],[Estatus]]="","",MARÍTIMOS[[#This Row],[Estatus]]),"")</f>
        <v>Confirmado</v>
      </c>
      <c r="BC301" s="43"/>
      <c r="BD301" s="46">
        <f>IFERROR(OLDBD[[#This Row],[Salida de almacén de retiro]]-OLDBD[[#This Row],[Ingreso Almacén de retiro]],"")</f>
        <v>8.333333331393078E-3</v>
      </c>
      <c r="BE301" s="46">
        <f>IFERROR(OLDBD[[#This Row],[Fin de Carga]]-OLDBD[[#This Row],[Inicio de Carga]],"")</f>
        <v>2.0833333328482695E-2</v>
      </c>
    </row>
    <row r="302" spans="1:57" customFormat="1" hidden="1">
      <c r="A302" s="1"/>
      <c r="B302" s="1">
        <f>IFERROR(IF(MARÍTIMOS[[#This Row],[PP]]="","",MARÍTIMOS[[#This Row],[PP]]),"")</f>
        <v>34</v>
      </c>
      <c r="C302" s="1" t="str">
        <f>IFERROR(IF(MARÍTIMOS[[#This Row],[Sede]]="","",MARÍTIMOS[[#This Row],[Sede]]),"")</f>
        <v>Chao</v>
      </c>
      <c r="D302" s="1" t="str">
        <f>IFERROR(IF(MARÍTIMOS[[#This Row],[Instruction]]="","",MARÍTIMOS[[#This Row],[Instruction]]),"")</f>
        <v>RH-0569</v>
      </c>
      <c r="E302" s="1"/>
      <c r="F302" s="2" t="str">
        <f>IFERROR(IF(MARÍTIMOS[[#This Row],[Transportista]]="","",MARÍTIMOS[[#This Row],[Transportista]]),"")</f>
        <v>LIP</v>
      </c>
      <c r="G302" s="2" t="str">
        <f>IFERROR(IF(MARÍTIMOS[[#This Row],[Tercero]]="","",MARÍTIMOS[[#This Row],[Tercero]]),"")</f>
        <v>SI</v>
      </c>
      <c r="H302" s="2" t="str">
        <f>IFERROR(IF(MARÍTIMOS[[#This Row],[Razón Social]]="","",MARÍTIMOS[[#This Row],[Razón Social]]),"")</f>
        <v>TRANSCAR MATHEO SOCIEDAD ANONIMA CERRADA</v>
      </c>
      <c r="I302" s="2">
        <f>IFERROR(IF(MARÍTIMOS[[#This Row],[RUC]]="","",MARÍTIMOS[[#This Row],[RUC]]),"")</f>
        <v>20612886921</v>
      </c>
      <c r="J302" s="2" t="str">
        <f>IFERROR(IF(MARÍTIMOS[[#This Row],[Placa Tracto]]="","",MARÍTIMOS[[#This Row],[Placa Tracto]]),"")</f>
        <v>T9H-896</v>
      </c>
      <c r="K302" s="2" t="str">
        <f>IFERROR(IF(MARÍTIMOS[[#This Row],[Placa Carreta]]="","",MARÍTIMOS[[#This Row],[Placa Carreta]]),"")</f>
        <v>TNZ-974</v>
      </c>
      <c r="L302" s="44" t="str">
        <f>IFERROR(IF(MARÍTIMOS[[#This Row],[Conductor]]="","",MARÍTIMOS[[#This Row],[Conductor]]),"")</f>
        <v>CESPEDES SAAVEDRA PABLO ARTURO</v>
      </c>
      <c r="M302" s="2" t="str">
        <f>IFERROR(IF(MARÍTIMOS[[#This Row],[Licencia]]="","",MARÍTIMOS[[#This Row],[Licencia]]),"")</f>
        <v>B43072801</v>
      </c>
      <c r="N302" s="2">
        <f>IFERROR(IF(MARÍTIMOS[[#This Row],[Número de Contacto]]="","",MARÍTIMOS[[#This Row],[Número de Contacto]]),"")</f>
        <v>923785528</v>
      </c>
      <c r="O302" s="10" t="str">
        <f>IFERROR(IF(MARÍTIMOS[[#This Row],[Booking|AWB|CRT]]="","",MARÍTIMOS[[#This Row],[Booking|AWB|CRT]]),"")</f>
        <v>PER9193558A</v>
      </c>
      <c r="P302" s="2" t="str">
        <f>IFERROR(IF(MARÍTIMOS[[#This Row],[Contenedor]]="","",MARÍTIMOS[[#This Row],[Contenedor]]),"")</f>
        <v>SMLU5478767</v>
      </c>
      <c r="Q302" s="2" t="str">
        <f>IFERROR(IF(MARÍTIMOS[[#This Row],[Puerto de Retiro]]="","",MARÍTIMOS[[#This Row],[Puerto de Retiro]]),"")</f>
        <v>PAITA</v>
      </c>
      <c r="R302" s="2" t="str">
        <f>IFERROR(IF(MARÍTIMOS[[#This Row],[Almacén de Retiro]]="","",MARÍTIMOS[[#This Row],[Almacén de Retiro]]),"")</f>
        <v>DPW</v>
      </c>
      <c r="S302" s="11">
        <f>IFERROR(IF(MARÍTIMOS[[#This Row],[Etapa Retiro - Cita]]="","",MARÍTIMOS[[#This Row],[Etapa Retiro - Cita]]),"")</f>
        <v>46258.458333333336</v>
      </c>
      <c r="T302" s="11">
        <f>IFERROR(IF(MARÍTIMOS[[#This Row],[Etapa Retiro - Llegada]]="","",MARÍTIMOS[[#This Row],[Etapa Retiro - Llegada]]),"")</f>
        <v>46258.46875</v>
      </c>
      <c r="U302" s="11">
        <f>IFERROR(IF(MARÍTIMOS[[#This Row],[Etapa Retiro - Ingreso]]="","",MARÍTIMOS[[#This Row],[Etapa Retiro - Ingreso]]),"")</f>
        <v>46258.490277777775</v>
      </c>
      <c r="V302" s="11">
        <f>IFERROR(IF(MARÍTIMOS[[#This Row],[Etapa Retiro - Atención]]="","",MARÍTIMOS[[#This Row],[Etapa Retiro - Atención]]),"")</f>
        <v>46258.49722222222</v>
      </c>
      <c r="W302" s="11">
        <f>IFERROR(IF(MARÍTIMOS[[#This Row],[Etapa Retiro - Atención]]="","",MARÍTIMOS[[#This Row],[Etapa Retiro - Atención]]),"")</f>
        <v>46258.49722222222</v>
      </c>
      <c r="X302" s="11">
        <f>IFERROR(IF(MARÍTIMOS[[#This Row],[Etapa Retiro - Inicio de Ruta]]="","",MARÍTIMOS[[#This Row],[Etapa Retiro - Inicio de Ruta]]),"")</f>
        <v>46258.5625</v>
      </c>
      <c r="Y302" s="11">
        <f>IFERROR(IF(MARÍTIMOS[[#This Row],[Hora de Posicionamiento]]="","",MARÍTIMOS[[#This Row],[Fecha de Carga]]+MARÍTIMOS[[#This Row],[Hora de Posicionamiento]]),"")</f>
        <v>46259.375</v>
      </c>
      <c r="Z302" s="11">
        <f>IFERROR(IF(MARÍTIMOS[[#This Row],[Etapa Despacho - Llegada]]="","",MARÍTIMOS[[#This Row],[Etapa Despacho - Llegada]]),"")</f>
        <v>46259.334027777775</v>
      </c>
      <c r="AA302" s="11">
        <f>IFERROR(IF(MARÍTIMOS[[#This Row],[Etapa Despacho - Registro]]="","",MARÍTIMOS[[#This Row],[Etapa Despacho - Registro]]),"")</f>
        <v>46259.336805555555</v>
      </c>
      <c r="AB302" s="11">
        <f>IFERROR(IF(MARÍTIMOS[[#This Row],[Inspección Externa]]="","",MARÍTIMOS[[#This Row],[Inspección Externa]]),"")</f>
        <v>46259.34375</v>
      </c>
      <c r="AC302" s="11">
        <f>IFERROR(IF(MARÍTIMOS[[#This Row],[Etapa Despacho - Inicio de Carga]]="","",MARÍTIMOS[[#This Row],[Etapa Despacho - Inicio de Carga]]),"")</f>
        <v>46259.354166666664</v>
      </c>
      <c r="AD302" s="11">
        <f>IFERROR(IF(MARÍTIMOS[[#This Row],[Etapa Despacho - Mitad de Carga]]="","",MARÍTIMOS[[#This Row],[Etapa Despacho - Mitad de Carga]]),"")</f>
        <v>46259.4375</v>
      </c>
      <c r="AE302" s="11">
        <f>IFERROR(IF(MARÍTIMOS[[#This Row],[Etapa Despacho - Fin de Carga]]="","",MARÍTIMOS[[#This Row],[Etapa Despacho - Fin de Carga]]),"")</f>
        <v>46259.479166666664</v>
      </c>
      <c r="AF302" s="2" t="str">
        <f>IFERROR(IF(MARÍTIMOS[[#This Row],[Puerto de Embarque]]="","",MARÍTIMOS[[#This Row],[Puerto de Embarque]]),"")</f>
        <v>Paita</v>
      </c>
      <c r="AG302" s="2" t="str">
        <f>IFERROR(IF(MARÍTIMOS[[#This Row],[Almacén de Ingreso]]="","",MARÍTIMOS[[#This Row],[Almacén de Ingreso]]),"")</f>
        <v>TPE</v>
      </c>
      <c r="AH302" s="11">
        <f>IFERROR(IF(MARÍTIMOS[[#This Row],[Etapa Ingreso - Cita]]="","",MARÍTIMOS[[#This Row],[Etapa Ingreso - Cita]]),"")</f>
        <v>46260.291666666664</v>
      </c>
      <c r="AI302" s="11">
        <f>IFERROR(IF(MARÍTIMOS[[#This Row],[Etapa Ingreso - Llegada]]="","",MARÍTIMOS[[#This Row],[Etapa Ingreso - Llegada]]),"")</f>
        <v>46260.28402777778</v>
      </c>
      <c r="AJ302" s="11">
        <f>IFERROR(IF(MARÍTIMOS[[#This Row],[Etapa Ingreso - Ingeso]]="","",MARÍTIMOS[[#This Row],[Etapa Ingreso - Ingeso]]),"")</f>
        <v>46260.296527777777</v>
      </c>
      <c r="AK302" s="11">
        <f>IFERROR(IF(MARÍTIMOS[[#This Row],[Etapa Ingreso - Atención]]="","",MARÍTIMOS[[#This Row],[Etapa Ingreso - Atención]]),"")</f>
        <v>46260.298611111109</v>
      </c>
      <c r="AL302" s="11">
        <f>IFERROR(IF(MARÍTIMOS[[#This Row],[Etapa Ingreso - Salida]]="","",MARÍTIMOS[[#This Row],[Etapa Ingreso - Salida]]),"")</f>
        <v>46260.308333333334</v>
      </c>
      <c r="AM302" s="2">
        <f>IFERROR(IF(MARÍTIMOS[[#This Row],[FCL]]="","",MARÍTIMOS[[#This Row],[FCL]]),"")</f>
        <v>1</v>
      </c>
      <c r="AN3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02" s="4" t="str" cm="1">
        <f t="array" ref="AO3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2" s="5">
        <f>IFERROR(OLDBD[[#This Row],[Llegada a packing]]-OLDBD[[#This Row],[Inicio de Ruta]],"")</f>
        <v>0.77152777777519077</v>
      </c>
      <c r="AQ302" s="6">
        <f>IFERROR(OLDBD[[#This Row],[Inicio de Ruta]]-OLDBD[[#This Row],[Salida de almacén de retiro]],"")</f>
        <v>6.5277777779556345E-2</v>
      </c>
      <c r="AR3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02" s="8" t="str" cm="1">
        <f t="array" ref="AS3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02" s="9">
        <f>IFERROR(OLDBD[[#This Row],[Ingreso Packing]]-OLDBD[[#This Row],[Registro en Packing]],"")</f>
        <v>6.9444444452528842E-3</v>
      </c>
      <c r="AV302" s="9">
        <f>IFERROR(OLDBD[[#This Row],[Ingreso Packing]]-OLDBD[[#This Row],[Llegada a packing]],"")</f>
        <v>9.7222222248092294E-3</v>
      </c>
      <c r="AW3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2" s="5">
        <f>IFERROR(OLDBD[[#This Row],[Llegada Almacén de Ingreso]]-OLDBD[[#This Row],[Salida Packing]],"")</f>
        <v>0.804861111115315</v>
      </c>
      <c r="AY302" s="4" t="str" cm="1">
        <f t="array" ref="AY3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02" s="43" t="s">
        <v>173</v>
      </c>
      <c r="BB302" s="47" t="str">
        <f>IFERROR(IF(MARÍTIMOS[[#This Row],[Estatus]]="","",MARÍTIMOS[[#This Row],[Estatus]]),"")</f>
        <v>Confirmado</v>
      </c>
      <c r="BC302" s="43"/>
      <c r="BD302" s="46">
        <f>IFERROR(OLDBD[[#This Row],[Salida de almacén de retiro]]-OLDBD[[#This Row],[Ingreso Almacén de retiro]],"")</f>
        <v>6.9444444452528842E-3</v>
      </c>
      <c r="BE302" s="46">
        <f>IFERROR(OLDBD[[#This Row],[Fin de Carga]]-OLDBD[[#This Row],[Inicio de Carga]],"")</f>
        <v>8.3333333335758653E-2</v>
      </c>
    </row>
    <row r="303" spans="1:57" customFormat="1" hidden="1">
      <c r="A303" s="1"/>
      <c r="B303" s="1">
        <f>IFERROR(IF(MARÍTIMOS[[#This Row],[PP]]="","",MARÍTIMOS[[#This Row],[PP]]),"")</f>
        <v>34</v>
      </c>
      <c r="C303" s="1" t="str">
        <f>IFERROR(IF(MARÍTIMOS[[#This Row],[Sede]]="","",MARÍTIMOS[[#This Row],[Sede]]),"")</f>
        <v>Chao</v>
      </c>
      <c r="D303" s="1" t="str">
        <f>IFERROR(IF(MARÍTIMOS[[#This Row],[Instruction]]="","",MARÍTIMOS[[#This Row],[Instruction]]),"")</f>
        <v>RH-0570</v>
      </c>
      <c r="E303" s="1"/>
      <c r="F303" s="2" t="str">
        <f>IFERROR(IF(MARÍTIMOS[[#This Row],[Transportista]]="","",MARÍTIMOS[[#This Row],[Transportista]]),"")</f>
        <v>LIP</v>
      </c>
      <c r="G303" s="2" t="str">
        <f>IFERROR(IF(MARÍTIMOS[[#This Row],[Tercero]]="","",MARÍTIMOS[[#This Row],[Tercero]]),"")</f>
        <v>SI</v>
      </c>
      <c r="H303" s="2" t="str">
        <f>IFERROR(IF(MARÍTIMOS[[#This Row],[Razón Social]]="","",MARÍTIMOS[[#This Row],[Razón Social]]),"")</f>
        <v>LOGISTICS TRANSPORT SOCIEDAD ANONIMA CERRADA</v>
      </c>
      <c r="I303" s="2">
        <f>IFERROR(IF(MARÍTIMOS[[#This Row],[RUC]]="","",MARÍTIMOS[[#This Row],[RUC]]),"")</f>
        <v>20614402246</v>
      </c>
      <c r="J303" s="2" t="str">
        <f>IFERROR(IF(MARÍTIMOS[[#This Row],[Placa Tracto]]="","",MARÍTIMOS[[#This Row],[Placa Tracto]]),"")</f>
        <v>AVU-920</v>
      </c>
      <c r="K303" s="2" t="str">
        <f>IFERROR(IF(MARÍTIMOS[[#This Row],[Placa Carreta]]="","",MARÍTIMOS[[#This Row],[Placa Carreta]]),"")</f>
        <v>TPD-978</v>
      </c>
      <c r="L303" s="44" t="str">
        <f>IFERROR(IF(MARÍTIMOS[[#This Row],[Conductor]]="","",MARÍTIMOS[[#This Row],[Conductor]]),"")</f>
        <v>CORONADO VASQUEZ WILMER</v>
      </c>
      <c r="M303" s="2" t="str">
        <f>IFERROR(IF(MARÍTIMOS[[#This Row],[Licencia]]="","",MARÍTIMOS[[#This Row],[Licencia]]),"")</f>
        <v>B46695518</v>
      </c>
      <c r="N303" s="2" t="str">
        <f>IFERROR(IF(MARÍTIMOS[[#This Row],[Número de Contacto]]="","",MARÍTIMOS[[#This Row],[Número de Contacto]]),"")</f>
        <v>935 550 403</v>
      </c>
      <c r="O303" s="10" t="str">
        <f>IFERROR(IF(MARÍTIMOS[[#This Row],[Booking|AWB|CRT]]="","",MARÍTIMOS[[#This Row],[Booking|AWB|CRT]]),"")</f>
        <v>PER9193559A</v>
      </c>
      <c r="P303" s="2" t="str">
        <f>IFERROR(IF(MARÍTIMOS[[#This Row],[Contenedor]]="","",MARÍTIMOS[[#This Row],[Contenedor]]),"")</f>
        <v>CAAU4166658</v>
      </c>
      <c r="Q303" s="2" t="str">
        <f>IFERROR(IF(MARÍTIMOS[[#This Row],[Puerto de Retiro]]="","",MARÍTIMOS[[#This Row],[Puerto de Retiro]]),"")</f>
        <v>PAITA</v>
      </c>
      <c r="R303" s="2" t="str">
        <f>IFERROR(IF(MARÍTIMOS[[#This Row],[Almacén de Retiro]]="","",MARÍTIMOS[[#This Row],[Almacén de Retiro]]),"")</f>
        <v>DPW</v>
      </c>
      <c r="S303" s="11">
        <f>IFERROR(IF(MARÍTIMOS[[#This Row],[Etapa Retiro - Cita]]="","",MARÍTIMOS[[#This Row],[Etapa Retiro - Cita]]),"")</f>
        <v>46258.708333333336</v>
      </c>
      <c r="T303" s="11">
        <f>IFERROR(IF(MARÍTIMOS[[#This Row],[Etapa Retiro - Llegada]]="","",MARÍTIMOS[[#This Row],[Etapa Retiro - Llegada]]),"")</f>
        <v>46258.72152777778</v>
      </c>
      <c r="U303" s="11">
        <f>IFERROR(IF(MARÍTIMOS[[#This Row],[Etapa Retiro - Ingreso]]="","",MARÍTIMOS[[#This Row],[Etapa Retiro - Ingreso]]),"")</f>
        <v>46258.729166666664</v>
      </c>
      <c r="V303" s="11">
        <f>IFERROR(IF(MARÍTIMOS[[#This Row],[Etapa Retiro - Atención]]="","",MARÍTIMOS[[#This Row],[Etapa Retiro - Atención]]),"")</f>
        <v>46258.732638888891</v>
      </c>
      <c r="W303" s="11">
        <f>IFERROR(IF(MARÍTIMOS[[#This Row],[Etapa Retiro - Atención]]="","",MARÍTIMOS[[#This Row],[Etapa Retiro - Atención]]),"")</f>
        <v>46258.732638888891</v>
      </c>
      <c r="X303" s="11">
        <f>IFERROR(IF(MARÍTIMOS[[#This Row],[Etapa Retiro - Inicio de Ruta]]="","",MARÍTIMOS[[#This Row],[Etapa Retiro - Inicio de Ruta]]),"")</f>
        <v>46258.78125</v>
      </c>
      <c r="Y303" s="11">
        <f>IFERROR(IF(MARÍTIMOS[[#This Row],[Hora de Posicionamiento]]="","",MARÍTIMOS[[#This Row],[Fecha de Carga]]+MARÍTIMOS[[#This Row],[Hora de Posicionamiento]]),"")</f>
        <v>46259.375</v>
      </c>
      <c r="Z303" s="11">
        <f>IFERROR(IF(MARÍTIMOS[[#This Row],[Etapa Despacho - Llegada]]="","",MARÍTIMOS[[#This Row],[Etapa Despacho - Llegada]]),"")</f>
        <v>46259.379861111112</v>
      </c>
      <c r="AA303" s="11">
        <f>IFERROR(IF(MARÍTIMOS[[#This Row],[Etapa Despacho - Registro]]="","",MARÍTIMOS[[#This Row],[Etapa Despacho - Registro]]),"")</f>
        <v>46259.381944444445</v>
      </c>
      <c r="AB303" s="11">
        <f>IFERROR(IF(MARÍTIMOS[[#This Row],[Inspección Externa]]="","",MARÍTIMOS[[#This Row],[Inspección Externa]]),"")</f>
        <v>46259.388888888891</v>
      </c>
      <c r="AC303" s="11">
        <f>IFERROR(IF(MARÍTIMOS[[#This Row],[Etapa Despacho - Inicio de Carga]]="","",MARÍTIMOS[[#This Row],[Etapa Despacho - Inicio de Carga]]),"")</f>
        <v>46259.409722222219</v>
      </c>
      <c r="AD303" s="11">
        <f>IFERROR(IF(MARÍTIMOS[[#This Row],[Etapa Despacho - Mitad de Carga]]="","",MARÍTIMOS[[#This Row],[Etapa Despacho - Mitad de Carga]]),"")</f>
        <v>46259.416666666664</v>
      </c>
      <c r="AE303" s="11">
        <f>IFERROR(IF(MARÍTIMOS[[#This Row],[Etapa Despacho - Fin de Carga]]="","",MARÍTIMOS[[#This Row],[Etapa Despacho - Fin de Carga]]),"")</f>
        <v>46259.482638888891</v>
      </c>
      <c r="AF303" s="2" t="str">
        <f>IFERROR(IF(MARÍTIMOS[[#This Row],[Puerto de Embarque]]="","",MARÍTIMOS[[#This Row],[Puerto de Embarque]]),"")</f>
        <v>Paita</v>
      </c>
      <c r="AG303" s="2" t="str">
        <f>IFERROR(IF(MARÍTIMOS[[#This Row],[Almacén de Ingreso]]="","",MARÍTIMOS[[#This Row],[Almacén de Ingreso]]),"")</f>
        <v>TPE</v>
      </c>
      <c r="AH303" s="11">
        <f>IFERROR(IF(MARÍTIMOS[[#This Row],[Etapa Ingreso - Cita]]="","",MARÍTIMOS[[#This Row],[Etapa Ingreso - Cita]]),"")</f>
        <v>46260.083333333336</v>
      </c>
      <c r="AI303" s="11">
        <f>IFERROR(IF(MARÍTIMOS[[#This Row],[Etapa Ingreso - Llegada]]="","",MARÍTIMOS[[#This Row],[Etapa Ingreso - Llegada]]),"")</f>
        <v>46260.056944444441</v>
      </c>
      <c r="AJ303" s="11">
        <f>IFERROR(IF(MARÍTIMOS[[#This Row],[Etapa Ingreso - Ingeso]]="","",MARÍTIMOS[[#This Row],[Etapa Ingreso - Ingeso]]),"")</f>
        <v>46260.063194444447</v>
      </c>
      <c r="AK303" s="11">
        <f>IFERROR(IF(MARÍTIMOS[[#This Row],[Etapa Ingreso - Atención]]="","",MARÍTIMOS[[#This Row],[Etapa Ingreso - Atención]]),"")</f>
        <v>46260.064583333333</v>
      </c>
      <c r="AL303" s="11">
        <f>IFERROR(IF(MARÍTIMOS[[#This Row],[Etapa Ingreso - Salida]]="","",MARÍTIMOS[[#This Row],[Etapa Ingreso - Salida]]),"")</f>
        <v>46260.071527777778</v>
      </c>
      <c r="AM303" s="2">
        <f>IFERROR(IF(MARÍTIMOS[[#This Row],[FCL]]="","",MARÍTIMOS[[#This Row],[FCL]]),"")</f>
        <v>1</v>
      </c>
      <c r="AN3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03" s="4" t="str" cm="1">
        <f t="array" ref="AO3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3" s="5">
        <f>IFERROR(OLDBD[[#This Row],[Llegada a packing]]-OLDBD[[#This Row],[Inicio de Ruta]],"")</f>
        <v>0.59861111111240461</v>
      </c>
      <c r="AQ303" s="6">
        <f>IFERROR(OLDBD[[#This Row],[Inicio de Ruta]]-OLDBD[[#This Row],[Salida de almacén de retiro]],"")</f>
        <v>4.8611111109494232E-2</v>
      </c>
      <c r="AR3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03" s="8" t="str" cm="1">
        <f t="array" ref="AS3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03" s="9">
        <f>IFERROR(OLDBD[[#This Row],[Ingreso Packing]]-OLDBD[[#This Row],[Registro en Packing]],"")</f>
        <v>6.9444444452528842E-3</v>
      </c>
      <c r="AV303" s="9">
        <f>IFERROR(OLDBD[[#This Row],[Ingreso Packing]]-OLDBD[[#This Row],[Llegada a packing]],"")</f>
        <v>9.0277777781011537E-3</v>
      </c>
      <c r="AW3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3" s="5">
        <f>IFERROR(OLDBD[[#This Row],[Llegada Almacén de Ingreso]]-OLDBD[[#This Row],[Salida Packing]],"")</f>
        <v>0.57430555555038154</v>
      </c>
      <c r="AY303" s="4" t="str" cm="1">
        <f t="array" ref="AY3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03" s="43" t="s">
        <v>173</v>
      </c>
      <c r="BB303" s="47" t="str">
        <f>IFERROR(IF(MARÍTIMOS[[#This Row],[Estatus]]="","",MARÍTIMOS[[#This Row],[Estatus]]),"")</f>
        <v>Confirmado</v>
      </c>
      <c r="BC303" s="43"/>
      <c r="BD303" s="46">
        <f>IFERROR(OLDBD[[#This Row],[Salida de almacén de retiro]]-OLDBD[[#This Row],[Ingreso Almacén de retiro]],"")</f>
        <v>3.4722222262644209E-3</v>
      </c>
      <c r="BE303" s="46">
        <f>IFERROR(OLDBD[[#This Row],[Fin de Carga]]-OLDBD[[#This Row],[Inicio de Carga]],"")</f>
        <v>6.9444444452528842E-3</v>
      </c>
    </row>
    <row r="304" spans="1:57" customFormat="1" hidden="1">
      <c r="A304" s="1"/>
      <c r="B304" s="1">
        <f>IFERROR(IF(MARÍTIMOS[[#This Row],[PP]]="","",MARÍTIMOS[[#This Row],[PP]]),"")</f>
        <v>35</v>
      </c>
      <c r="C304" s="1" t="str">
        <f>IFERROR(IF(MARÍTIMOS[[#This Row],[Sede]]="","",MARÍTIMOS[[#This Row],[Sede]]),"")</f>
        <v>Olmos</v>
      </c>
      <c r="D304" s="1" t="str">
        <f>IFERROR(IF(MARÍTIMOS[[#This Row],[Instruction]]="","",MARÍTIMOS[[#This Row],[Instruction]]),"")</f>
        <v>RH-0598</v>
      </c>
      <c r="E304" s="1"/>
      <c r="F304" s="2" t="str">
        <f>IFERROR(IF(MARÍTIMOS[[#This Row],[Transportista]]="","",MARÍTIMOS[[#This Row],[Transportista]]),"")</f>
        <v>LIP</v>
      </c>
      <c r="G304" s="2" t="str">
        <f>IFERROR(IF(MARÍTIMOS[[#This Row],[Tercero]]="","",MARÍTIMOS[[#This Row],[Tercero]]),"")</f>
        <v>SI</v>
      </c>
      <c r="H304" s="2" t="str">
        <f>IFERROR(IF(MARÍTIMOS[[#This Row],[Razón Social]]="","",MARÍTIMOS[[#This Row],[Razón Social]]),"")</f>
        <v>INVERSIONES LOS ALVARADO GROUP S.A.C.</v>
      </c>
      <c r="I304" s="2">
        <f>IFERROR(IF(MARÍTIMOS[[#This Row],[RUC]]="","",MARÍTIMOS[[#This Row],[RUC]]),"")</f>
        <v>20609890771</v>
      </c>
      <c r="J304" s="2" t="str">
        <f>IFERROR(IF(MARÍTIMOS[[#This Row],[Placa Tracto]]="","",MARÍTIMOS[[#This Row],[Placa Tracto]]),"")</f>
        <v>C1Q-787</v>
      </c>
      <c r="K304" s="2" t="str">
        <f>IFERROR(IF(MARÍTIMOS[[#This Row],[Placa Carreta]]="","",MARÍTIMOS[[#This Row],[Placa Carreta]]),"")</f>
        <v>TNZ-978</v>
      </c>
      <c r="L304" s="44" t="str">
        <f>IFERROR(IF(MARÍTIMOS[[#This Row],[Conductor]]="","",MARÍTIMOS[[#This Row],[Conductor]]),"")</f>
        <v>LOZANO RODRIGUEZ PEDRO MARTIN</v>
      </c>
      <c r="M304" s="2" t="str">
        <f>IFERROR(IF(MARÍTIMOS[[#This Row],[Licencia]]="","",MARÍTIMOS[[#This Row],[Licencia]]),"")</f>
        <v>B03468982</v>
      </c>
      <c r="N304" s="2" t="str">
        <f>IFERROR(IF(MARÍTIMOS[[#This Row],[Número de Contacto]]="","",MARÍTIMOS[[#This Row],[Número de Contacto]]),"")</f>
        <v>970 693 376</v>
      </c>
      <c r="O304" s="10">
        <f>IFERROR(IF(MARÍTIMOS[[#This Row],[Booking|AWB|CRT]]="","",MARÍTIMOS[[#This Row],[Booking|AWB|CRT]]),"")</f>
        <v>276067709</v>
      </c>
      <c r="P304" s="2" t="str">
        <f>IFERROR(IF(MARÍTIMOS[[#This Row],[Contenedor]]="","",MARÍTIMOS[[#This Row],[Contenedor]]),"")</f>
        <v>MNBU3570551</v>
      </c>
      <c r="Q304" s="2" t="str">
        <f>IFERROR(IF(MARÍTIMOS[[#This Row],[Puerto de Retiro]]="","",MARÍTIMOS[[#This Row],[Puerto de Retiro]]),"")</f>
        <v>PAITA</v>
      </c>
      <c r="R304" s="2" t="str">
        <f>IFERROR(IF(MARÍTIMOS[[#This Row],[Almacén de Retiro]]="","",MARÍTIMOS[[#This Row],[Almacén de Retiro]]),"")</f>
        <v>APM</v>
      </c>
      <c r="S304" s="11">
        <f>IFERROR(IF(MARÍTIMOS[[#This Row],[Etapa Retiro - Cita]]="","",MARÍTIMOS[[#This Row],[Etapa Retiro - Cita]]),"")</f>
        <v>46258.958333333336</v>
      </c>
      <c r="T304" s="11">
        <f>IFERROR(IF(MARÍTIMOS[[#This Row],[Etapa Retiro - Llegada]]="","",MARÍTIMOS[[#This Row],[Etapa Retiro - Llegada]]),"")</f>
        <v>46258.930555555555</v>
      </c>
      <c r="U304" s="11">
        <f>IFERROR(IF(MARÍTIMOS[[#This Row],[Etapa Retiro - Ingreso]]="","",MARÍTIMOS[[#This Row],[Etapa Retiro - Ingreso]]),"")</f>
        <v>46258.98541666667</v>
      </c>
      <c r="V304" s="11">
        <f>IFERROR(IF(MARÍTIMOS[[#This Row],[Etapa Retiro - Atención]]="","",MARÍTIMOS[[#This Row],[Etapa Retiro - Atención]]),"")</f>
        <v>46258.992361111108</v>
      </c>
      <c r="W304" s="11">
        <f>IFERROR(IF(MARÍTIMOS[[#This Row],[Etapa Retiro - Atención]]="","",MARÍTIMOS[[#This Row],[Etapa Retiro - Atención]]),"")</f>
        <v>46258.992361111108</v>
      </c>
      <c r="X304" s="11">
        <f>IFERROR(IF(MARÍTIMOS[[#This Row],[Etapa Retiro - Inicio de Ruta]]="","",MARÍTIMOS[[#This Row],[Etapa Retiro - Inicio de Ruta]]),"")</f>
        <v>46259.010416666664</v>
      </c>
      <c r="Y304" s="11">
        <f>IFERROR(IF(MARÍTIMOS[[#This Row],[Hora de Posicionamiento]]="","",MARÍTIMOS[[#This Row],[Fecha de Carga]]+MARÍTIMOS[[#This Row],[Hora de Posicionamiento]]),"")</f>
        <v>46259.583333333336</v>
      </c>
      <c r="Z304" s="11">
        <f>IFERROR(IF(MARÍTIMOS[[#This Row],[Etapa Despacho - Llegada]]="","",MARÍTIMOS[[#This Row],[Etapa Despacho - Llegada]]),"")</f>
        <v>46259.393055555556</v>
      </c>
      <c r="AA304" s="11">
        <f>IFERROR(IF(MARÍTIMOS[[#This Row],[Etapa Despacho - Registro]]="","",MARÍTIMOS[[#This Row],[Etapa Despacho - Registro]]),"")</f>
        <v>46259.393750000003</v>
      </c>
      <c r="AB304" s="11">
        <f>IFERROR(IF(MARÍTIMOS[[#This Row],[Inspección Externa]]="","",MARÍTIMOS[[#This Row],[Inspección Externa]]),"")</f>
        <v>46259.417361111111</v>
      </c>
      <c r="AC304" s="11">
        <f>IFERROR(IF(MARÍTIMOS[[#This Row],[Etapa Despacho - Inicio de Carga]]="","",MARÍTIMOS[[#This Row],[Etapa Despacho - Inicio de Carga]]),"")</f>
        <v>46259.575694444444</v>
      </c>
      <c r="AD304" s="11">
        <f>IFERROR(IF(MARÍTIMOS[[#This Row],[Etapa Despacho - Mitad de Carga]]="","",MARÍTIMOS[[#This Row],[Etapa Despacho - Mitad de Carga]]),"")</f>
        <v>46259.593055555553</v>
      </c>
      <c r="AE304" s="11">
        <f>IFERROR(IF(MARÍTIMOS[[#This Row],[Etapa Despacho - Fin de Carga]]="","",MARÍTIMOS[[#This Row],[Etapa Despacho - Fin de Carga]]),"")</f>
        <v>46259.621527777781</v>
      </c>
      <c r="AF304" s="2" t="str">
        <f>IFERROR(IF(MARÍTIMOS[[#This Row],[Puerto de Embarque]]="","",MARÍTIMOS[[#This Row],[Puerto de Embarque]]),"")</f>
        <v>Paita</v>
      </c>
      <c r="AG304" s="2" t="str">
        <f>IFERROR(IF(MARÍTIMOS[[#This Row],[Almacén de Ingreso]]="","",MARÍTIMOS[[#This Row],[Almacén de Ingreso]]),"")</f>
        <v>TPE</v>
      </c>
      <c r="AH304" s="11">
        <f>IFERROR(IF(MARÍTIMOS[[#This Row],[Etapa Ingreso - Cita]]="","",MARÍTIMOS[[#This Row],[Etapa Ingreso - Cita]]),"")</f>
        <v>46261.125</v>
      </c>
      <c r="AI304" s="11">
        <f>IFERROR(IF(MARÍTIMOS[[#This Row],[Etapa Ingreso - Llegada]]="","",MARÍTIMOS[[#This Row],[Etapa Ingreso - Llegada]]),"")</f>
        <v>46261.114583333336</v>
      </c>
      <c r="AJ304" s="11">
        <f>IFERROR(IF(MARÍTIMOS[[#This Row],[Etapa Ingreso - Ingeso]]="","",MARÍTIMOS[[#This Row],[Etapa Ingreso - Ingeso]]),"")</f>
        <v>46261.120138888888</v>
      </c>
      <c r="AK304" s="11">
        <f>IFERROR(IF(MARÍTIMOS[[#This Row],[Etapa Ingreso - Atención]]="","",MARÍTIMOS[[#This Row],[Etapa Ingreso - Atención]]),"")</f>
        <v>46261.123611111114</v>
      </c>
      <c r="AL304" s="11">
        <f>IFERROR(IF(MARÍTIMOS[[#This Row],[Etapa Ingreso - Salida]]="","",MARÍTIMOS[[#This Row],[Etapa Ingreso - Salida]]),"")</f>
        <v>46261.128472222219</v>
      </c>
      <c r="AM304" s="2">
        <f>IFERROR(IF(MARÍTIMOS[[#This Row],[FCL]]="","",MARÍTIMOS[[#This Row],[FCL]]),"")</f>
        <v>0.5</v>
      </c>
      <c r="AN3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04" s="4" t="str" cm="1">
        <f t="array" ref="AO3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4" s="5">
        <f>IFERROR(OLDBD[[#This Row],[Llegada a packing]]-OLDBD[[#This Row],[Inicio de Ruta]],"")</f>
        <v>0.38263888889196096</v>
      </c>
      <c r="AQ304" s="6">
        <f>IFERROR(OLDBD[[#This Row],[Inicio de Ruta]]-OLDBD[[#This Row],[Salida de almacén de retiro]],"")</f>
        <v>1.8055555556202307E-2</v>
      </c>
      <c r="AR3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04" s="8" t="str" cm="1">
        <f t="array" ref="AS3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04" s="9">
        <f>IFERROR(OLDBD[[#This Row],[Ingreso Packing]]-OLDBD[[#This Row],[Registro en Packing]],"")</f>
        <v>2.361111110803904E-2</v>
      </c>
      <c r="AV304" s="9">
        <f>IFERROR(OLDBD[[#This Row],[Ingreso Packing]]-OLDBD[[#This Row],[Llegada a packing]],"")</f>
        <v>2.4305555554747116E-2</v>
      </c>
      <c r="AW3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4" s="5">
        <f>IFERROR(OLDBD[[#This Row],[Llegada Almacén de Ingreso]]-OLDBD[[#This Row],[Salida Packing]],"")</f>
        <v>1.4930555555547471</v>
      </c>
      <c r="AY304" s="4" t="str" cm="1">
        <f t="array" ref="AY3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04" s="43" t="s">
        <v>173</v>
      </c>
      <c r="BB304" s="47" t="str">
        <f>IFERROR(IF(MARÍTIMOS[[#This Row],[Estatus]]="","",MARÍTIMOS[[#This Row],[Estatus]]),"")</f>
        <v>Confirmado</v>
      </c>
      <c r="BC304" s="43"/>
      <c r="BD304" s="46">
        <f>IFERROR(OLDBD[[#This Row],[Salida de almacén de retiro]]-OLDBD[[#This Row],[Ingreso Almacén de retiro]],"")</f>
        <v>6.9444444379769266E-3</v>
      </c>
      <c r="BE304" s="46">
        <f>IFERROR(OLDBD[[#This Row],[Fin de Carga]]-OLDBD[[#This Row],[Inicio de Carga]],"")</f>
        <v>1.7361111109494232E-2</v>
      </c>
    </row>
    <row r="305" spans="1:57" customFormat="1" hidden="1">
      <c r="A305" s="1"/>
      <c r="B305" s="1">
        <f>IFERROR(IF(MARÍTIMOS[[#This Row],[PP]]="","",MARÍTIMOS[[#This Row],[PP]]),"")</f>
        <v>35</v>
      </c>
      <c r="C305" s="1" t="str">
        <f>IFERROR(IF(MARÍTIMOS[[#This Row],[Sede]]="","",MARÍTIMOS[[#This Row],[Sede]]),"")</f>
        <v>Chao</v>
      </c>
      <c r="D305" s="1" t="str">
        <f>IFERROR(IF(MARÍTIMOS[[#This Row],[Instruction]]="","",MARÍTIMOS[[#This Row],[Instruction]]),"")</f>
        <v>RH-0598</v>
      </c>
      <c r="E305" s="1"/>
      <c r="F305" s="2" t="str">
        <f>IFERROR(IF(MARÍTIMOS[[#This Row],[Transportista]]="","",MARÍTIMOS[[#This Row],[Transportista]]),"")</f>
        <v>LIP</v>
      </c>
      <c r="G305" s="2" t="str">
        <f>IFERROR(IF(MARÍTIMOS[[#This Row],[Tercero]]="","",MARÍTIMOS[[#This Row],[Tercero]]),"")</f>
        <v>SI</v>
      </c>
      <c r="H305" s="2" t="str">
        <f>IFERROR(IF(MARÍTIMOS[[#This Row],[Razón Social]]="","",MARÍTIMOS[[#This Row],[Razón Social]]),"")</f>
        <v>INVERSIONES LOS ALVARADO GROUP S.A.C.</v>
      </c>
      <c r="I305" s="2">
        <f>IFERROR(IF(MARÍTIMOS[[#This Row],[RUC]]="","",MARÍTIMOS[[#This Row],[RUC]]),"")</f>
        <v>20609890771</v>
      </c>
      <c r="J305" s="2" t="str">
        <f>IFERROR(IF(MARÍTIMOS[[#This Row],[Placa Tracto]]="","",MARÍTIMOS[[#This Row],[Placa Tracto]]),"")</f>
        <v>C1Q-787</v>
      </c>
      <c r="K305" s="2" t="str">
        <f>IFERROR(IF(MARÍTIMOS[[#This Row],[Placa Carreta]]="","",MARÍTIMOS[[#This Row],[Placa Carreta]]),"")</f>
        <v>TNZ-978</v>
      </c>
      <c r="L305" s="44" t="str">
        <f>IFERROR(IF(MARÍTIMOS[[#This Row],[Conductor]]="","",MARÍTIMOS[[#This Row],[Conductor]]),"")</f>
        <v>LOZANO RODRIGUEZ PEDRO MARTIN</v>
      </c>
      <c r="M305" s="2" t="str">
        <f>IFERROR(IF(MARÍTIMOS[[#This Row],[Licencia]]="","",MARÍTIMOS[[#This Row],[Licencia]]),"")</f>
        <v>B03468982</v>
      </c>
      <c r="N305" s="2" t="str">
        <f>IFERROR(IF(MARÍTIMOS[[#This Row],[Número de Contacto]]="","",MARÍTIMOS[[#This Row],[Número de Contacto]]),"")</f>
        <v>970 693 376</v>
      </c>
      <c r="O305" s="10">
        <f>IFERROR(IF(MARÍTIMOS[[#This Row],[Booking|AWB|CRT]]="","",MARÍTIMOS[[#This Row],[Booking|AWB|CRT]]),"")</f>
        <v>276067709</v>
      </c>
      <c r="P305" s="2" t="str">
        <f>IFERROR(IF(MARÍTIMOS[[#This Row],[Contenedor]]="","",MARÍTIMOS[[#This Row],[Contenedor]]),"")</f>
        <v>MNBU3570551</v>
      </c>
      <c r="Q305" s="2" t="str">
        <f>IFERROR(IF(MARÍTIMOS[[#This Row],[Puerto de Retiro]]="","",MARÍTIMOS[[#This Row],[Puerto de Retiro]]),"")</f>
        <v>PAITA</v>
      </c>
      <c r="R305" s="2" t="str">
        <f>IFERROR(IF(MARÍTIMOS[[#This Row],[Almacén de Retiro]]="","",MARÍTIMOS[[#This Row],[Almacén de Retiro]]),"")</f>
        <v>APM</v>
      </c>
      <c r="S305" s="11">
        <f>IFERROR(IF(MARÍTIMOS[[#This Row],[Etapa Retiro - Cita]]="","",MARÍTIMOS[[#This Row],[Etapa Retiro - Cita]]),"")</f>
        <v>46258.958333333336</v>
      </c>
      <c r="T305" s="11">
        <f>IFERROR(IF(MARÍTIMOS[[#This Row],[Etapa Retiro - Llegada]]="","",MARÍTIMOS[[#This Row],[Etapa Retiro - Llegada]]),"")</f>
        <v>46258.930555555555</v>
      </c>
      <c r="U305" s="11">
        <f>IFERROR(IF(MARÍTIMOS[[#This Row],[Etapa Retiro - Ingreso]]="","",MARÍTIMOS[[#This Row],[Etapa Retiro - Ingreso]]),"")</f>
        <v>46258.98541666667</v>
      </c>
      <c r="V305" s="11">
        <f>IFERROR(IF(MARÍTIMOS[[#This Row],[Etapa Retiro - Atención]]="","",MARÍTIMOS[[#This Row],[Etapa Retiro - Atención]]),"")</f>
        <v>46258.992361111108</v>
      </c>
      <c r="W305" s="11">
        <f>IFERROR(IF(MARÍTIMOS[[#This Row],[Etapa Retiro - Atención]]="","",MARÍTIMOS[[#This Row],[Etapa Retiro - Atención]]),"")</f>
        <v>46258.992361111108</v>
      </c>
      <c r="X305" s="11">
        <f>IFERROR(IF(MARÍTIMOS[[#This Row],[Etapa Retiro - Inicio de Ruta]]="","",MARÍTIMOS[[#This Row],[Etapa Retiro - Inicio de Ruta]]),"")</f>
        <v>46259.652777777781</v>
      </c>
      <c r="Y305" s="11">
        <f>IFERROR(IF(MARÍTIMOS[[#This Row],[Hora de Posicionamiento]]="","",MARÍTIMOS[[#This Row],[Fecha de Carga]]+MARÍTIMOS[[#This Row],[Hora de Posicionamiento]]),"")</f>
        <v>46260.416666666664</v>
      </c>
      <c r="Z305" s="11">
        <f>IFERROR(IF(MARÍTIMOS[[#This Row],[Etapa Despacho - Llegada]]="","",MARÍTIMOS[[#This Row],[Etapa Despacho - Llegada]]),"")</f>
        <v>46260.466666666667</v>
      </c>
      <c r="AA305" s="11">
        <f>IFERROR(IF(MARÍTIMOS[[#This Row],[Etapa Despacho - Registro]]="","",MARÍTIMOS[[#This Row],[Etapa Despacho - Registro]]),"")</f>
        <v>46260.467361111114</v>
      </c>
      <c r="AB305" s="11">
        <f>IFERROR(IF(MARÍTIMOS[[#This Row],[Inspección Externa]]="","",MARÍTIMOS[[#This Row],[Inspección Externa]]),"")</f>
        <v>46260.472916666666</v>
      </c>
      <c r="AC305" s="11">
        <f>IFERROR(IF(MARÍTIMOS[[#This Row],[Etapa Despacho - Inicio de Carga]]="","",MARÍTIMOS[[#This Row],[Etapa Despacho - Inicio de Carga]]),"")</f>
        <v>46260.500694444447</v>
      </c>
      <c r="AD305" s="11">
        <f>IFERROR(IF(MARÍTIMOS[[#This Row],[Etapa Despacho - Mitad de Carga]]="","",MARÍTIMOS[[#This Row],[Etapa Despacho - Mitad de Carga]]),"")</f>
        <v>46260.510416666664</v>
      </c>
      <c r="AE305" s="11">
        <f>IFERROR(IF(MARÍTIMOS[[#This Row],[Etapa Despacho - Fin de Carga]]="","",MARÍTIMOS[[#This Row],[Etapa Despacho - Fin de Carga]]),"")</f>
        <v>46260.52847222222</v>
      </c>
      <c r="AF305" s="2" t="str">
        <f>IFERROR(IF(MARÍTIMOS[[#This Row],[Puerto de Embarque]]="","",MARÍTIMOS[[#This Row],[Puerto de Embarque]]),"")</f>
        <v>Paita</v>
      </c>
      <c r="AG305" s="2" t="str">
        <f>IFERROR(IF(MARÍTIMOS[[#This Row],[Almacén de Ingreso]]="","",MARÍTIMOS[[#This Row],[Almacén de Ingreso]]),"")</f>
        <v>TPE</v>
      </c>
      <c r="AH305" s="11">
        <f>IFERROR(IF(MARÍTIMOS[[#This Row],[Etapa Ingreso - Cita]]="","",MARÍTIMOS[[#This Row],[Etapa Ingreso - Cita]]),"")</f>
        <v>46261.125</v>
      </c>
      <c r="AI305" s="11">
        <f>IFERROR(IF(MARÍTIMOS[[#This Row],[Etapa Ingreso - Llegada]]="","",MARÍTIMOS[[#This Row],[Etapa Ingreso - Llegada]]),"")</f>
        <v>46261.114583333336</v>
      </c>
      <c r="AJ305" s="11">
        <f>IFERROR(IF(MARÍTIMOS[[#This Row],[Etapa Ingreso - Ingeso]]="","",MARÍTIMOS[[#This Row],[Etapa Ingreso - Ingeso]]),"")</f>
        <v>46261.120138888888</v>
      </c>
      <c r="AK305" s="11">
        <f>IFERROR(IF(MARÍTIMOS[[#This Row],[Etapa Ingreso - Atención]]="","",MARÍTIMOS[[#This Row],[Etapa Ingreso - Atención]]),"")</f>
        <v>46261.123611111114</v>
      </c>
      <c r="AL305" s="11">
        <f>IFERROR(IF(MARÍTIMOS[[#This Row],[Etapa Ingreso - Salida]]="","",MARÍTIMOS[[#This Row],[Etapa Ingreso - Salida]]),"")</f>
        <v>46261.128472222219</v>
      </c>
      <c r="AM305" s="2">
        <f>IFERROR(IF(MARÍTIMOS[[#This Row],[FCL]]="","",MARÍTIMOS[[#This Row],[FCL]]),"")</f>
        <v>0.5</v>
      </c>
      <c r="AN3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05" s="4" t="str" cm="1">
        <f t="array" ref="AO3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5" s="5">
        <f>IFERROR(OLDBD[[#This Row],[Llegada a packing]]-OLDBD[[#This Row],[Inicio de Ruta]],"")</f>
        <v>0.81388888888614019</v>
      </c>
      <c r="AQ305" s="6">
        <f>IFERROR(OLDBD[[#This Row],[Inicio de Ruta]]-OLDBD[[#This Row],[Salida de almacén de retiro]],"")</f>
        <v>0.6604166666729725</v>
      </c>
      <c r="AR3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05" s="8" t="str" cm="1">
        <f t="array" ref="AS3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05" s="9">
        <f>IFERROR(OLDBD[[#This Row],[Ingreso Packing]]-OLDBD[[#This Row],[Registro en Packing]],"")</f>
        <v>5.5555555518367328E-3</v>
      </c>
      <c r="AV305" s="9">
        <f>IFERROR(OLDBD[[#This Row],[Ingreso Packing]]-OLDBD[[#This Row],[Llegada a packing]],"")</f>
        <v>6.2499999985448085E-3</v>
      </c>
      <c r="AW3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5" s="5">
        <f>IFERROR(OLDBD[[#This Row],[Llegada Almacén de Ingreso]]-OLDBD[[#This Row],[Salida Packing]],"")</f>
        <v>0.586111111115315</v>
      </c>
      <c r="AY305" s="4" t="str" cm="1">
        <f t="array" ref="AY3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05" s="43" t="s">
        <v>173</v>
      </c>
      <c r="BB305" s="47" t="str">
        <f>IFERROR(IF(MARÍTIMOS[[#This Row],[Estatus]]="","",MARÍTIMOS[[#This Row],[Estatus]]),"")</f>
        <v>Confirmado</v>
      </c>
      <c r="BC305" s="43"/>
      <c r="BD305" s="46">
        <f>IFERROR(OLDBD[[#This Row],[Salida de almacén de retiro]]-OLDBD[[#This Row],[Ingreso Almacén de retiro]],"")</f>
        <v>6.9444444379769266E-3</v>
      </c>
      <c r="BE305" s="46">
        <f>IFERROR(OLDBD[[#This Row],[Fin de Carga]]-OLDBD[[#This Row],[Inicio de Carga]],"")</f>
        <v>9.7222222175332718E-3</v>
      </c>
    </row>
    <row r="306" spans="1:57" customFormat="1" hidden="1">
      <c r="A306" s="1"/>
      <c r="B306" s="1">
        <f>IFERROR(IF(MARÍTIMOS[[#This Row],[PP]]="","",MARÍTIMOS[[#This Row],[PP]]),"")</f>
        <v>35</v>
      </c>
      <c r="C306" s="1" t="str">
        <f>IFERROR(IF(MARÍTIMOS[[#This Row],[Sede]]="","",MARÍTIMOS[[#This Row],[Sede]]),"")</f>
        <v>Olmos</v>
      </c>
      <c r="D306" s="1" t="str">
        <f>IFERROR(IF(MARÍTIMOS[[#This Row],[Instruction]]="","",MARÍTIMOS[[#This Row],[Instruction]]),"")</f>
        <v>RH-0601</v>
      </c>
      <c r="E306" s="1"/>
      <c r="F306" s="2" t="str">
        <f>IFERROR(IF(MARÍTIMOS[[#This Row],[Transportista]]="","",MARÍTIMOS[[#This Row],[Transportista]]),"")</f>
        <v>LIP</v>
      </c>
      <c r="G306" s="2" t="str">
        <f>IFERROR(IF(MARÍTIMOS[[#This Row],[Tercero]]="","",MARÍTIMOS[[#This Row],[Tercero]]),"")</f>
        <v>SI</v>
      </c>
      <c r="H306" s="2" t="str">
        <f>IFERROR(IF(MARÍTIMOS[[#This Row],[Razón Social]]="","",MARÍTIMOS[[#This Row],[Razón Social]]),"")</f>
        <v>TRANSCAR MATHEO SOCIEDAD ANONIMA CERRADA</v>
      </c>
      <c r="I306" s="2">
        <f>IFERROR(IF(MARÍTIMOS[[#This Row],[RUC]]="","",MARÍTIMOS[[#This Row],[RUC]]),"")</f>
        <v>20612886921</v>
      </c>
      <c r="J306" s="2" t="str">
        <f>IFERROR(IF(MARÍTIMOS[[#This Row],[Placa Tracto]]="","",MARÍTIMOS[[#This Row],[Placa Tracto]]),"")</f>
        <v>T0B-923</v>
      </c>
      <c r="K306" s="2" t="str">
        <f>IFERROR(IF(MARÍTIMOS[[#This Row],[Placa Carreta]]="","",MARÍTIMOS[[#This Row],[Placa Carreta]]),"")</f>
        <v>TOU-977</v>
      </c>
      <c r="L306" s="44" t="str">
        <f>IFERROR(IF(MARÍTIMOS[[#This Row],[Conductor]]="","",MARÍTIMOS[[#This Row],[Conductor]]),"")</f>
        <v>MORAN BRAVO JOSE ERNESTO</v>
      </c>
      <c r="M306" s="2" t="str">
        <f>IFERROR(IF(MARÍTIMOS[[#This Row],[Licencia]]="","",MARÍTIMOS[[#This Row],[Licencia]]),"")</f>
        <v>A41600762</v>
      </c>
      <c r="N306" s="2" t="str">
        <f>IFERROR(IF(MARÍTIMOS[[#This Row],[Número de Contacto]]="","",MARÍTIMOS[[#This Row],[Número de Contacto]]),"")</f>
        <v>923 218 633</v>
      </c>
      <c r="O306" s="10" t="str">
        <f>IFERROR(IF(MARÍTIMOS[[#This Row],[Booking|AWB|CRT]]="","",MARÍTIMOS[[#This Row],[Booking|AWB|CRT]]),"")</f>
        <v>MBM250067130</v>
      </c>
      <c r="P306" s="2" t="str">
        <f>IFERROR(IF(MARÍTIMOS[[#This Row],[Contenedor]]="","",MARÍTIMOS[[#This Row],[Contenedor]]),"")</f>
        <v>BMOU9651710</v>
      </c>
      <c r="Q306" s="2" t="str">
        <f>IFERROR(IF(MARÍTIMOS[[#This Row],[Puerto de Retiro]]="","",MARÍTIMOS[[#This Row],[Puerto de Retiro]]),"")</f>
        <v>PAITA</v>
      </c>
      <c r="R306" s="2" t="str">
        <f>IFERROR(IF(MARÍTIMOS[[#This Row],[Almacén de Retiro]]="","",MARÍTIMOS[[#This Row],[Almacén de Retiro]]),"")</f>
        <v>MACROMAR</v>
      </c>
      <c r="S306" s="11">
        <f>IFERROR(IF(MARÍTIMOS[[#This Row],[Etapa Retiro - Cita]]="","",MARÍTIMOS[[#This Row],[Etapa Retiro - Cita]]),"")</f>
        <v>46260.875</v>
      </c>
      <c r="T306" s="11">
        <f>IFERROR(IF(MARÍTIMOS[[#This Row],[Etapa Retiro - Llegada]]="","",MARÍTIMOS[[#This Row],[Etapa Retiro - Llegada]]),"")</f>
        <v>46260.843055555553</v>
      </c>
      <c r="U306" s="11">
        <f>IFERROR(IF(MARÍTIMOS[[#This Row],[Etapa Retiro - Ingreso]]="","",MARÍTIMOS[[#This Row],[Etapa Retiro - Ingreso]]),"")</f>
        <v>46260.899305555555</v>
      </c>
      <c r="V306" s="11">
        <f>IFERROR(IF(MARÍTIMOS[[#This Row],[Etapa Retiro - Atención]]="","",MARÍTIMOS[[#This Row],[Etapa Retiro - Atención]]),"")</f>
        <v>46260.902777777781</v>
      </c>
      <c r="W306" s="11">
        <f>IFERROR(IF(MARÍTIMOS[[#This Row],[Etapa Retiro - Atención]]="","",MARÍTIMOS[[#This Row],[Etapa Retiro - Atención]]),"")</f>
        <v>46260.902777777781</v>
      </c>
      <c r="X306" s="11">
        <f>IFERROR(IF(MARÍTIMOS[[#This Row],[Etapa Retiro - Inicio de Ruta]]="","",MARÍTIMOS[[#This Row],[Etapa Retiro - Inicio de Ruta]]),"")</f>
        <v>46260.996527777781</v>
      </c>
      <c r="Y306" s="11">
        <f>IFERROR(IF(MARÍTIMOS[[#This Row],[Hora de Posicionamiento]]="","",MARÍTIMOS[[#This Row],[Fecha de Carga]]+MARÍTIMOS[[#This Row],[Hora de Posicionamiento]]),"")</f>
        <v>46261.416666666664</v>
      </c>
      <c r="Z306" s="11">
        <f>IFERROR(IF(MARÍTIMOS[[#This Row],[Etapa Despacho - Llegada]]="","",MARÍTIMOS[[#This Row],[Etapa Despacho - Llegada]]),"")</f>
        <v>46261.435416666667</v>
      </c>
      <c r="AA306" s="11">
        <f>IFERROR(IF(MARÍTIMOS[[#This Row],[Etapa Despacho - Registro]]="","",MARÍTIMOS[[#This Row],[Etapa Despacho - Registro]]),"")</f>
        <v>46261.436805555553</v>
      </c>
      <c r="AB306" s="11">
        <f>IFERROR(IF(MARÍTIMOS[[#This Row],[Inspección Externa]]="","",MARÍTIMOS[[#This Row],[Inspección Externa]]),"")</f>
        <v>46261.444444444445</v>
      </c>
      <c r="AC306" s="11">
        <f>IFERROR(IF(MARÍTIMOS[[#This Row],[Etapa Despacho - Inicio de Carga]]="","",MARÍTIMOS[[#This Row],[Etapa Despacho - Inicio de Carga]]),"")</f>
        <v>46261.47152777778</v>
      </c>
      <c r="AD306" s="11">
        <f>IFERROR(IF(MARÍTIMOS[[#This Row],[Etapa Despacho - Mitad de Carga]]="","",MARÍTIMOS[[#This Row],[Etapa Despacho - Mitad de Carga]]),"")</f>
        <v>46261.482638888891</v>
      </c>
      <c r="AE306" s="11">
        <f>IFERROR(IF(MARÍTIMOS[[#This Row],[Etapa Despacho - Fin de Carga]]="","",MARÍTIMOS[[#This Row],[Etapa Despacho - Fin de Carga]]),"")</f>
        <v>46261.50277777778</v>
      </c>
      <c r="AF306" s="2" t="str">
        <f>IFERROR(IF(MARÍTIMOS[[#This Row],[Puerto de Embarque]]="","",MARÍTIMOS[[#This Row],[Puerto de Embarque]]),"")</f>
        <v>Paita</v>
      </c>
      <c r="AG306" s="2" t="str">
        <f>IFERROR(IF(MARÍTIMOS[[#This Row],[Almacén de Ingreso]]="","",MARÍTIMOS[[#This Row],[Almacén de Ingreso]]),"")</f>
        <v>TPE</v>
      </c>
      <c r="AH306" s="11">
        <f>IFERROR(IF(MARÍTIMOS[[#This Row],[Etapa Ingreso - Cita]]="","",MARÍTIMOS[[#This Row],[Etapa Ingreso - Cita]]),"")</f>
        <v>46263.208333333336</v>
      </c>
      <c r="AI306" s="11">
        <f>IFERROR(IF(MARÍTIMOS[[#This Row],[Etapa Ingreso - Llegada]]="","",MARÍTIMOS[[#This Row],[Etapa Ingreso - Llegada]]),"")</f>
        <v>46263.212500000001</v>
      </c>
      <c r="AJ306" s="11">
        <f>IFERROR(IF(MARÍTIMOS[[#This Row],[Etapa Ingreso - Ingeso]]="","",MARÍTIMOS[[#This Row],[Etapa Ingreso - Ingeso]]),"")</f>
        <v>46263.220833333333</v>
      </c>
      <c r="AK306" s="11">
        <f>IFERROR(IF(MARÍTIMOS[[#This Row],[Etapa Ingreso - Atención]]="","",MARÍTIMOS[[#This Row],[Etapa Ingreso - Atención]]),"")</f>
        <v>46263.224305555559</v>
      </c>
      <c r="AL306" s="11">
        <f>IFERROR(IF(MARÍTIMOS[[#This Row],[Etapa Ingreso - Salida]]="","",MARÍTIMOS[[#This Row],[Etapa Ingreso - Salida]]),"")</f>
        <v>46263.232638888891</v>
      </c>
      <c r="AM306" s="2">
        <f>IFERROR(IF(MARÍTIMOS[[#This Row],[FCL]]="","",MARÍTIMOS[[#This Row],[FCL]]),"")</f>
        <v>0.5</v>
      </c>
      <c r="AN3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06" s="4" t="str" cm="1">
        <f t="array" ref="AO3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6" s="5">
        <f>IFERROR(OLDBD[[#This Row],[Llegada a packing]]-OLDBD[[#This Row],[Inicio de Ruta]],"")</f>
        <v>0.43888888888614019</v>
      </c>
      <c r="AQ306" s="6">
        <f>IFERROR(OLDBD[[#This Row],[Inicio de Ruta]]-OLDBD[[#This Row],[Salida de almacén de retiro]],"")</f>
        <v>9.375E-2</v>
      </c>
      <c r="AR3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06" s="8" t="str" cm="1">
        <f t="array" ref="AS3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06" s="9">
        <f>IFERROR(OLDBD[[#This Row],[Ingreso Packing]]-OLDBD[[#This Row],[Registro en Packing]],"")</f>
        <v>7.6388888919609599E-3</v>
      </c>
      <c r="AV306" s="9">
        <f>IFERROR(OLDBD[[#This Row],[Ingreso Packing]]-OLDBD[[#This Row],[Llegada a packing]],"")</f>
        <v>9.0277777781011537E-3</v>
      </c>
      <c r="AW3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6" s="5">
        <f>IFERROR(OLDBD[[#This Row],[Llegada Almacén de Ingreso]]-OLDBD[[#This Row],[Salida Packing]],"")</f>
        <v>1.7097222222218988</v>
      </c>
      <c r="AY306" s="4" t="str" cm="1">
        <f t="array" ref="AY3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06" s="43" t="s">
        <v>173</v>
      </c>
      <c r="BB306" s="47" t="str">
        <f>IFERROR(IF(MARÍTIMOS[[#This Row],[Estatus]]="","",MARÍTIMOS[[#This Row],[Estatus]]),"")</f>
        <v>Confirmado</v>
      </c>
      <c r="BC306" s="43"/>
      <c r="BD306" s="46">
        <f>IFERROR(OLDBD[[#This Row],[Salida de almacén de retiro]]-OLDBD[[#This Row],[Ingreso Almacén de retiro]],"")</f>
        <v>3.4722222262644209E-3</v>
      </c>
      <c r="BE306" s="46">
        <f>IFERROR(OLDBD[[#This Row],[Fin de Carga]]-OLDBD[[#This Row],[Inicio de Carga]],"")</f>
        <v>1.1111111110949423E-2</v>
      </c>
    </row>
    <row r="307" spans="1:57" customFormat="1" hidden="1">
      <c r="A307" s="1"/>
      <c r="B307" s="1">
        <f>IFERROR(IF(MARÍTIMOS[[#This Row],[PP]]="","",MARÍTIMOS[[#This Row],[PP]]),"")</f>
        <v>35</v>
      </c>
      <c r="C307" s="1" t="str">
        <f>IFERROR(IF(MARÍTIMOS[[#This Row],[Sede]]="","",MARÍTIMOS[[#This Row],[Sede]]),"")</f>
        <v>Chao</v>
      </c>
      <c r="D307" s="1" t="str">
        <f>IFERROR(IF(MARÍTIMOS[[#This Row],[Instruction]]="","",MARÍTIMOS[[#This Row],[Instruction]]),"")</f>
        <v>RH-0601</v>
      </c>
      <c r="E307" s="1"/>
      <c r="F307" s="2" t="str">
        <f>IFERROR(IF(MARÍTIMOS[[#This Row],[Transportista]]="","",MARÍTIMOS[[#This Row],[Transportista]]),"")</f>
        <v>LIP</v>
      </c>
      <c r="G307" s="2" t="str">
        <f>IFERROR(IF(MARÍTIMOS[[#This Row],[Tercero]]="","",MARÍTIMOS[[#This Row],[Tercero]]),"")</f>
        <v>SI</v>
      </c>
      <c r="H307" s="2" t="str">
        <f>IFERROR(IF(MARÍTIMOS[[#This Row],[Razón Social]]="","",MARÍTIMOS[[#This Row],[Razón Social]]),"")</f>
        <v>TRANSCAR MATHEO SOCIEDAD ANONIMA CERRADA</v>
      </c>
      <c r="I307" s="2">
        <f>IFERROR(IF(MARÍTIMOS[[#This Row],[RUC]]="","",MARÍTIMOS[[#This Row],[RUC]]),"")</f>
        <v>20612886921</v>
      </c>
      <c r="J307" s="2" t="str">
        <f>IFERROR(IF(MARÍTIMOS[[#This Row],[Placa Tracto]]="","",MARÍTIMOS[[#This Row],[Placa Tracto]]),"")</f>
        <v>T0B-923</v>
      </c>
      <c r="K307" s="2" t="str">
        <f>IFERROR(IF(MARÍTIMOS[[#This Row],[Placa Carreta]]="","",MARÍTIMOS[[#This Row],[Placa Carreta]]),"")</f>
        <v>TOU-977</v>
      </c>
      <c r="L307" s="44" t="str">
        <f>IFERROR(IF(MARÍTIMOS[[#This Row],[Conductor]]="","",MARÍTIMOS[[#This Row],[Conductor]]),"")</f>
        <v>MORAN BRAVO JOSE ERNESTO</v>
      </c>
      <c r="M307" s="2" t="str">
        <f>IFERROR(IF(MARÍTIMOS[[#This Row],[Licencia]]="","",MARÍTIMOS[[#This Row],[Licencia]]),"")</f>
        <v>A41600762</v>
      </c>
      <c r="N307" s="2" t="str">
        <f>IFERROR(IF(MARÍTIMOS[[#This Row],[Número de Contacto]]="","",MARÍTIMOS[[#This Row],[Número de Contacto]]),"")</f>
        <v>923 218 633</v>
      </c>
      <c r="O307" s="10" t="str">
        <f>IFERROR(IF(MARÍTIMOS[[#This Row],[Booking|AWB|CRT]]="","",MARÍTIMOS[[#This Row],[Booking|AWB|CRT]]),"")</f>
        <v>MBM250067130</v>
      </c>
      <c r="P307" s="2" t="str">
        <f>IFERROR(IF(MARÍTIMOS[[#This Row],[Contenedor]]="","",MARÍTIMOS[[#This Row],[Contenedor]]),"")</f>
        <v>BMOU9651710</v>
      </c>
      <c r="Q307" s="2" t="str">
        <f>IFERROR(IF(MARÍTIMOS[[#This Row],[Puerto de Retiro]]="","",MARÍTIMOS[[#This Row],[Puerto de Retiro]]),"")</f>
        <v>PAITA</v>
      </c>
      <c r="R307" s="2" t="str">
        <f>IFERROR(IF(MARÍTIMOS[[#This Row],[Almacén de Retiro]]="","",MARÍTIMOS[[#This Row],[Almacén de Retiro]]),"")</f>
        <v>MACROMAR</v>
      </c>
      <c r="S307" s="11">
        <f>IFERROR(IF(MARÍTIMOS[[#This Row],[Etapa Retiro - Cita]]="","",MARÍTIMOS[[#This Row],[Etapa Retiro - Cita]]),"")</f>
        <v>46260.875</v>
      </c>
      <c r="T307" s="11">
        <f>IFERROR(IF(MARÍTIMOS[[#This Row],[Etapa Retiro - Llegada]]="","",MARÍTIMOS[[#This Row],[Etapa Retiro - Llegada]]),"")</f>
        <v>46260.843055555553</v>
      </c>
      <c r="U307" s="11">
        <f>IFERROR(IF(MARÍTIMOS[[#This Row],[Etapa Retiro - Ingreso]]="","",MARÍTIMOS[[#This Row],[Etapa Retiro - Ingreso]]),"")</f>
        <v>46260.899305555555</v>
      </c>
      <c r="V307" s="11">
        <f>IFERROR(IF(MARÍTIMOS[[#This Row],[Etapa Retiro - Atención]]="","",MARÍTIMOS[[#This Row],[Etapa Retiro - Atención]]),"")</f>
        <v>46260.902777777781</v>
      </c>
      <c r="W307" s="11">
        <f>IFERROR(IF(MARÍTIMOS[[#This Row],[Etapa Retiro - Atención]]="","",MARÍTIMOS[[#This Row],[Etapa Retiro - Atención]]),"")</f>
        <v>46260.902777777781</v>
      </c>
      <c r="X307" s="11">
        <f>IFERROR(IF(MARÍTIMOS[[#This Row],[Etapa Retiro - Inicio de Ruta]]="","",MARÍTIMOS[[#This Row],[Etapa Retiro - Inicio de Ruta]]),"")</f>
        <v>46261.529166666667</v>
      </c>
      <c r="Y307" s="11">
        <f>IFERROR(IF(MARÍTIMOS[[#This Row],[Hora de Posicionamiento]]="","",MARÍTIMOS[[#This Row],[Fecha de Carga]]+MARÍTIMOS[[#This Row],[Hora de Posicionamiento]]),"")</f>
        <v>46262.333333333336</v>
      </c>
      <c r="Z307" s="11">
        <f>IFERROR(IF(MARÍTIMOS[[#This Row],[Etapa Despacho - Llegada]]="","",MARÍTIMOS[[#This Row],[Etapa Despacho - Llegada]]),"")</f>
        <v>46262.326388888891</v>
      </c>
      <c r="AA307" s="11">
        <f>IFERROR(IF(MARÍTIMOS[[#This Row],[Etapa Despacho - Registro]]="","",MARÍTIMOS[[#This Row],[Etapa Despacho - Registro]]),"")</f>
        <v>46262.32708333333</v>
      </c>
      <c r="AB307" s="11">
        <f>IFERROR(IF(MARÍTIMOS[[#This Row],[Inspección Externa]]="","",MARÍTIMOS[[#This Row],[Inspección Externa]]),"")</f>
        <v>46262.413194444445</v>
      </c>
      <c r="AC307" s="11">
        <f>IFERROR(IF(MARÍTIMOS[[#This Row],[Etapa Despacho - Inicio de Carga]]="","",MARÍTIMOS[[#This Row],[Etapa Despacho - Inicio de Carga]]),"")</f>
        <v>46262.590277777781</v>
      </c>
      <c r="AD307" s="11">
        <f>IFERROR(IF(MARÍTIMOS[[#This Row],[Etapa Despacho - Mitad de Carga]]="","",MARÍTIMOS[[#This Row],[Etapa Despacho - Mitad de Carga]]),"")</f>
        <v>46262.597222222219</v>
      </c>
      <c r="AE307" s="11">
        <f>IFERROR(IF(MARÍTIMOS[[#This Row],[Etapa Despacho - Fin de Carga]]="","",MARÍTIMOS[[#This Row],[Etapa Despacho - Fin de Carga]]),"")</f>
        <v>46262.609722222223</v>
      </c>
      <c r="AF307" s="2" t="str">
        <f>IFERROR(IF(MARÍTIMOS[[#This Row],[Puerto de Embarque]]="","",MARÍTIMOS[[#This Row],[Puerto de Embarque]]),"")</f>
        <v>Paita</v>
      </c>
      <c r="AG307" s="2" t="str">
        <f>IFERROR(IF(MARÍTIMOS[[#This Row],[Almacén de Ingreso]]="","",MARÍTIMOS[[#This Row],[Almacén de Ingreso]]),"")</f>
        <v>TPE</v>
      </c>
      <c r="AH307" s="11">
        <f>IFERROR(IF(MARÍTIMOS[[#This Row],[Etapa Ingreso - Cita]]="","",MARÍTIMOS[[#This Row],[Etapa Ingreso - Cita]]),"")</f>
        <v>46263.208333333336</v>
      </c>
      <c r="AI307" s="11">
        <f>IFERROR(IF(MARÍTIMOS[[#This Row],[Etapa Ingreso - Llegada]]="","",MARÍTIMOS[[#This Row],[Etapa Ingreso - Llegada]]),"")</f>
        <v>46263.212500000001</v>
      </c>
      <c r="AJ307" s="11">
        <f>IFERROR(IF(MARÍTIMOS[[#This Row],[Etapa Ingreso - Ingeso]]="","",MARÍTIMOS[[#This Row],[Etapa Ingreso - Ingeso]]),"")</f>
        <v>46263.220833333333</v>
      </c>
      <c r="AK307" s="11">
        <f>IFERROR(IF(MARÍTIMOS[[#This Row],[Etapa Ingreso - Atención]]="","",MARÍTIMOS[[#This Row],[Etapa Ingreso - Atención]]),"")</f>
        <v>46263.224305555559</v>
      </c>
      <c r="AL307" s="11">
        <f>IFERROR(IF(MARÍTIMOS[[#This Row],[Etapa Ingreso - Salida]]="","",MARÍTIMOS[[#This Row],[Etapa Ingreso - Salida]]),"")</f>
        <v>46263.232638888891</v>
      </c>
      <c r="AM307" s="2">
        <f>IFERROR(IF(MARÍTIMOS[[#This Row],[FCL]]="","",MARÍTIMOS[[#This Row],[FCL]]),"")</f>
        <v>0.5</v>
      </c>
      <c r="AN3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07" s="4" t="str" cm="1">
        <f t="array" ref="AO3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7" s="5">
        <f>IFERROR(OLDBD[[#This Row],[Llegada a packing]]-OLDBD[[#This Row],[Inicio de Ruta]],"")</f>
        <v>0.79722222222335404</v>
      </c>
      <c r="AQ307" s="6">
        <f>IFERROR(OLDBD[[#This Row],[Inicio de Ruta]]-OLDBD[[#This Row],[Salida de almacén de retiro]],"")</f>
        <v>0.62638888888614019</v>
      </c>
      <c r="AR3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07" s="8" t="str" cm="1">
        <f t="array" ref="AS3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07" s="9">
        <f>IFERROR(OLDBD[[#This Row],[Ingreso Packing]]-OLDBD[[#This Row],[Registro en Packing]],"")</f>
        <v>8.6111111115314998E-2</v>
      </c>
      <c r="AV307" s="9">
        <f>IFERROR(OLDBD[[#This Row],[Ingreso Packing]]-OLDBD[[#This Row],[Llegada a packing]],"")</f>
        <v>8.6805555554747116E-2</v>
      </c>
      <c r="AW3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7" s="5">
        <f>IFERROR(OLDBD[[#This Row],[Llegada Almacén de Ingreso]]-OLDBD[[#This Row],[Salida Packing]],"")</f>
        <v>0.60277777777810115</v>
      </c>
      <c r="AY307" s="4" t="str" cm="1">
        <f t="array" ref="AY3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07" s="43" t="s">
        <v>173</v>
      </c>
      <c r="BB307" s="47" t="str">
        <f>IFERROR(IF(MARÍTIMOS[[#This Row],[Estatus]]="","",MARÍTIMOS[[#This Row],[Estatus]]),"")</f>
        <v>Confirmado</v>
      </c>
      <c r="BC307" s="43"/>
      <c r="BD307" s="46">
        <f>IFERROR(OLDBD[[#This Row],[Salida de almacén de retiro]]-OLDBD[[#This Row],[Ingreso Almacén de retiro]],"")</f>
        <v>3.4722222262644209E-3</v>
      </c>
      <c r="BE307" s="46">
        <f>IFERROR(OLDBD[[#This Row],[Fin de Carga]]-OLDBD[[#This Row],[Inicio de Carga]],"")</f>
        <v>6.9444444379769266E-3</v>
      </c>
    </row>
    <row r="308" spans="1:57" customFormat="1" hidden="1">
      <c r="A308" s="1"/>
      <c r="B308" s="1">
        <f>IFERROR(IF(MARÍTIMOS[[#This Row],[PP]]="","",MARÍTIMOS[[#This Row],[PP]]),"")</f>
        <v>35</v>
      </c>
      <c r="C308" s="1" t="str">
        <f>IFERROR(IF(MARÍTIMOS[[#This Row],[Sede]]="","",MARÍTIMOS[[#This Row],[Sede]]),"")</f>
        <v>Chao</v>
      </c>
      <c r="D308" s="1" t="str">
        <f>IFERROR(IF(MARÍTIMOS[[#This Row],[Instruction]]="","",MARÍTIMOS[[#This Row],[Instruction]]),"")</f>
        <v>RH-0605</v>
      </c>
      <c r="E308" s="1"/>
      <c r="F308" s="2" t="str">
        <f>IFERROR(IF(MARÍTIMOS[[#This Row],[Transportista]]="","",MARÍTIMOS[[#This Row],[Transportista]]),"")</f>
        <v>LIP</v>
      </c>
      <c r="G308" s="2" t="str">
        <f>IFERROR(IF(MARÍTIMOS[[#This Row],[Tercero]]="","",MARÍTIMOS[[#This Row],[Tercero]]),"")</f>
        <v>SI</v>
      </c>
      <c r="H308" s="2" t="str">
        <f>IFERROR(IF(MARÍTIMOS[[#This Row],[Razón Social]]="","",MARÍTIMOS[[#This Row],[Razón Social]]),"")</f>
        <v>LOGISTICS TRANSPORT SOCIEDAD ANONIMA CERRADA</v>
      </c>
      <c r="I308" s="2">
        <f>IFERROR(IF(MARÍTIMOS[[#This Row],[RUC]]="","",MARÍTIMOS[[#This Row],[RUC]]),"")</f>
        <v>20614402246</v>
      </c>
      <c r="J308" s="2" t="str">
        <f>IFERROR(IF(MARÍTIMOS[[#This Row],[Placa Tracto]]="","",MARÍTIMOS[[#This Row],[Placa Tracto]]),"")</f>
        <v>D4J-829</v>
      </c>
      <c r="K308" s="2" t="str">
        <f>IFERROR(IF(MARÍTIMOS[[#This Row],[Placa Carreta]]="","",MARÍTIMOS[[#This Row],[Placa Carreta]]),"")</f>
        <v>TJZ-980</v>
      </c>
      <c r="L308" s="44" t="str">
        <f>IFERROR(IF(MARÍTIMOS[[#This Row],[Conductor]]="","",MARÍTIMOS[[#This Row],[Conductor]]),"")</f>
        <v>CHIROQUE IMAN JOSE NICOLAS</v>
      </c>
      <c r="M308" s="2" t="str">
        <f>IFERROR(IF(MARÍTIMOS[[#This Row],[Licencia]]="","",MARÍTIMOS[[#This Row],[Licencia]]),"")</f>
        <v>C16578741</v>
      </c>
      <c r="N308" s="2">
        <f>IFERROR(IF(MARÍTIMOS[[#This Row],[Número de Contacto]]="","",MARÍTIMOS[[#This Row],[Número de Contacto]]),"")</f>
        <v>914113779</v>
      </c>
      <c r="O308" s="10" t="str">
        <f>IFERROR(IF(MARÍTIMOS[[#This Row],[Booking|AWB|CRT]]="","",MARÍTIMOS[[#This Row],[Booking|AWB|CRT]]),"")</f>
        <v>MBM250068052</v>
      </c>
      <c r="P308" s="2" t="str">
        <f>IFERROR(IF(MARÍTIMOS[[#This Row],[Contenedor]]="","",MARÍTIMOS[[#This Row],[Contenedor]]),"")</f>
        <v>CAIU5578610</v>
      </c>
      <c r="Q308" s="2" t="str">
        <f>IFERROR(IF(MARÍTIMOS[[#This Row],[Puerto de Retiro]]="","",MARÍTIMOS[[#This Row],[Puerto de Retiro]]),"")</f>
        <v>PAITA</v>
      </c>
      <c r="R308" s="2" t="str">
        <f>IFERROR(IF(MARÍTIMOS[[#This Row],[Almacén de Retiro]]="","",MARÍTIMOS[[#This Row],[Almacén de Retiro]]),"")</f>
        <v>MACROMAR</v>
      </c>
      <c r="S308" s="11">
        <f>IFERROR(IF(MARÍTIMOS[[#This Row],[Etapa Retiro - Cita]]="","",MARÍTIMOS[[#This Row],[Etapa Retiro - Cita]]),"")</f>
        <v>46260.75</v>
      </c>
      <c r="T308" s="11">
        <f>IFERROR(IF(MARÍTIMOS[[#This Row],[Etapa Retiro - Llegada]]="","",MARÍTIMOS[[#This Row],[Etapa Retiro - Llegada]]),"")</f>
        <v>46260.71875</v>
      </c>
      <c r="U308" s="11">
        <f>IFERROR(IF(MARÍTIMOS[[#This Row],[Etapa Retiro - Ingreso]]="","",MARÍTIMOS[[#This Row],[Etapa Retiro - Ingreso]]),"")</f>
        <v>46260.728472222225</v>
      </c>
      <c r="V308" s="11">
        <f>IFERROR(IF(MARÍTIMOS[[#This Row],[Etapa Retiro - Atención]]="","",MARÍTIMOS[[#This Row],[Etapa Retiro - Atención]]),"")</f>
        <v>46260.740277777775</v>
      </c>
      <c r="W308" s="11">
        <f>IFERROR(IF(MARÍTIMOS[[#This Row],[Etapa Retiro - Atención]]="","",MARÍTIMOS[[#This Row],[Etapa Retiro - Atención]]),"")</f>
        <v>46260.740277777775</v>
      </c>
      <c r="X308" s="11">
        <f>IFERROR(IF(MARÍTIMOS[[#This Row],[Etapa Retiro - Inicio de Ruta]]="","",MARÍTIMOS[[#This Row],[Etapa Retiro - Inicio de Ruta]]),"")</f>
        <v>46260.840277777781</v>
      </c>
      <c r="Y308" s="11">
        <f>IFERROR(IF(MARÍTIMOS[[#This Row],[Hora de Posicionamiento]]="","",MARÍTIMOS[[#This Row],[Fecha de Carga]]+MARÍTIMOS[[#This Row],[Hora de Posicionamiento]]),"")</f>
        <v>46261.5</v>
      </c>
      <c r="Z308" s="11">
        <f>IFERROR(IF(MARÍTIMOS[[#This Row],[Etapa Despacho - Llegada]]="","",MARÍTIMOS[[#This Row],[Etapa Despacho - Llegada]]),"")</f>
        <v>46261.5</v>
      </c>
      <c r="AA308" s="11">
        <f>IFERROR(IF(MARÍTIMOS[[#This Row],[Etapa Despacho - Registro]]="","",MARÍTIMOS[[#This Row],[Etapa Despacho - Registro]]),"")</f>
        <v>46261.503472222219</v>
      </c>
      <c r="AB308" s="11">
        <f>IFERROR(IF(MARÍTIMOS[[#This Row],[Inspección Externa]]="","",MARÍTIMOS[[#This Row],[Inspección Externa]]),"")</f>
        <v>46261.59097222222</v>
      </c>
      <c r="AC308" s="11">
        <f>IFERROR(IF(MARÍTIMOS[[#This Row],[Etapa Despacho - Inicio de Carga]]="","",MARÍTIMOS[[#This Row],[Etapa Despacho - Inicio de Carga]]),"")</f>
        <v>46261.698611111111</v>
      </c>
      <c r="AD308" s="11">
        <f>IFERROR(IF(MARÍTIMOS[[#This Row],[Etapa Despacho - Mitad de Carga]]="","",MARÍTIMOS[[#This Row],[Etapa Despacho - Mitad de Carga]]),"")</f>
        <v>46261.70208333333</v>
      </c>
      <c r="AE308" s="11">
        <f>IFERROR(IF(MARÍTIMOS[[#This Row],[Etapa Despacho - Fin de Carga]]="","",MARÍTIMOS[[#This Row],[Etapa Despacho - Fin de Carga]]),"")</f>
        <v>46261.714583333334</v>
      </c>
      <c r="AF308" s="2" t="str">
        <f>IFERROR(IF(MARÍTIMOS[[#This Row],[Puerto de Embarque]]="","",MARÍTIMOS[[#This Row],[Puerto de Embarque]]),"")</f>
        <v>Paita</v>
      </c>
      <c r="AG308" s="2" t="str">
        <f>IFERROR(IF(MARÍTIMOS[[#This Row],[Almacén de Ingreso]]="","",MARÍTIMOS[[#This Row],[Almacén de Ingreso]]),"")</f>
        <v>TPE</v>
      </c>
      <c r="AH308" s="11">
        <f>IFERROR(IF(MARÍTIMOS[[#This Row],[Etapa Ingreso - Cita]]="","",MARÍTIMOS[[#This Row],[Etapa Ingreso - Cita]]),"")</f>
        <v>46262.863888888889</v>
      </c>
      <c r="AI308" s="11">
        <f>IFERROR(IF(MARÍTIMOS[[#This Row],[Etapa Ingreso - Llegada]]="","",MARÍTIMOS[[#This Row],[Etapa Ingreso - Llegada]]),"")</f>
        <v>46262.822222222225</v>
      </c>
      <c r="AJ308" s="11">
        <f>IFERROR(IF(MARÍTIMOS[[#This Row],[Etapa Ingreso - Ingeso]]="","",MARÍTIMOS[[#This Row],[Etapa Ingreso - Ingeso]]),"")</f>
        <v>46262.837500000001</v>
      </c>
      <c r="AK308" s="11">
        <f>IFERROR(IF(MARÍTIMOS[[#This Row],[Etapa Ingreso - Atención]]="","",MARÍTIMOS[[#This Row],[Etapa Ingreso - Atención]]),"")</f>
        <v>46262.84097222222</v>
      </c>
      <c r="AL308" s="11">
        <f>IFERROR(IF(MARÍTIMOS[[#This Row],[Etapa Ingreso - Salida]]="","",MARÍTIMOS[[#This Row],[Etapa Ingreso - Salida]]),"")</f>
        <v>46262.844444444447</v>
      </c>
      <c r="AM308" s="2">
        <f>IFERROR(IF(MARÍTIMOS[[#This Row],[FCL]]="","",MARÍTIMOS[[#This Row],[FCL]]),"")</f>
        <v>0.5</v>
      </c>
      <c r="AN3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08" s="4" t="str" cm="1">
        <f t="array" ref="AO3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8" s="5">
        <f>IFERROR(OLDBD[[#This Row],[Llegada a packing]]-OLDBD[[#This Row],[Inicio de Ruta]],"")</f>
        <v>0.65972222221898846</v>
      </c>
      <c r="AQ308" s="6">
        <f>IFERROR(OLDBD[[#This Row],[Inicio de Ruta]]-OLDBD[[#This Row],[Salida de almacén de retiro]],"")</f>
        <v>0.10000000000582077</v>
      </c>
      <c r="AR3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08" s="8" t="str" cm="1">
        <f t="array" ref="AS3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08" s="9">
        <f>IFERROR(OLDBD[[#This Row],[Ingreso Packing]]-OLDBD[[#This Row],[Registro en Packing]],"")</f>
        <v>8.7500000001455192E-2</v>
      </c>
      <c r="AV308" s="9">
        <f>IFERROR(OLDBD[[#This Row],[Ingreso Packing]]-OLDBD[[#This Row],[Llegada a packing]],"")</f>
        <v>9.0972222220443655E-2</v>
      </c>
      <c r="AW3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8" s="5">
        <f>IFERROR(OLDBD[[#This Row],[Llegada Almacén de Ingreso]]-OLDBD[[#This Row],[Salida Packing]],"")</f>
        <v>1.1076388888905058</v>
      </c>
      <c r="AY308" s="4" t="str" cm="1">
        <f t="array" ref="AY3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08" s="43" t="s">
        <v>173</v>
      </c>
      <c r="BB308" s="47" t="str">
        <f>IFERROR(IF(MARÍTIMOS[[#This Row],[Estatus]]="","",MARÍTIMOS[[#This Row],[Estatus]]),"")</f>
        <v>Confirmado</v>
      </c>
      <c r="BC308" s="43"/>
      <c r="BD308" s="46">
        <f>IFERROR(OLDBD[[#This Row],[Salida de almacén de retiro]]-OLDBD[[#This Row],[Ingreso Almacén de retiro]],"")</f>
        <v>1.1805555550381541E-2</v>
      </c>
      <c r="BE308" s="46">
        <f>IFERROR(OLDBD[[#This Row],[Fin de Carga]]-OLDBD[[#This Row],[Inicio de Carga]],"")</f>
        <v>3.4722222189884633E-3</v>
      </c>
    </row>
    <row r="309" spans="1:57" customFormat="1" hidden="1">
      <c r="A309" s="1"/>
      <c r="B309" s="1">
        <f>IFERROR(IF(MARÍTIMOS[[#This Row],[PP]]="","",MARÍTIMOS[[#This Row],[PP]]),"")</f>
        <v>35</v>
      </c>
      <c r="C309" s="1" t="str">
        <f>IFERROR(IF(MARÍTIMOS[[#This Row],[Sede]]="","",MARÍTIMOS[[#This Row],[Sede]]),"")</f>
        <v>Olmos</v>
      </c>
      <c r="D309" s="1" t="str">
        <f>IFERROR(IF(MARÍTIMOS[[#This Row],[Instruction]]="","",MARÍTIMOS[[#This Row],[Instruction]]),"")</f>
        <v>RH-0605</v>
      </c>
      <c r="E309" s="1"/>
      <c r="F309" s="2" t="str">
        <f>IFERROR(IF(MARÍTIMOS[[#This Row],[Transportista]]="","",MARÍTIMOS[[#This Row],[Transportista]]),"")</f>
        <v>LIP</v>
      </c>
      <c r="G309" s="2" t="str">
        <f>IFERROR(IF(MARÍTIMOS[[#This Row],[Tercero]]="","",MARÍTIMOS[[#This Row],[Tercero]]),"")</f>
        <v>SI</v>
      </c>
      <c r="H309" s="2" t="str">
        <f>IFERROR(IF(MARÍTIMOS[[#This Row],[Razón Social]]="","",MARÍTIMOS[[#This Row],[Razón Social]]),"")</f>
        <v>LOGISTICS TRANSPORT SOCIEDAD ANONIMA CERRADA</v>
      </c>
      <c r="I309" s="2">
        <f>IFERROR(IF(MARÍTIMOS[[#This Row],[RUC]]="","",MARÍTIMOS[[#This Row],[RUC]]),"")</f>
        <v>20614402246</v>
      </c>
      <c r="J309" s="2" t="str">
        <f>IFERROR(IF(MARÍTIMOS[[#This Row],[Placa Tracto]]="","",MARÍTIMOS[[#This Row],[Placa Tracto]]),"")</f>
        <v>D4J-829</v>
      </c>
      <c r="K309" s="2" t="str">
        <f>IFERROR(IF(MARÍTIMOS[[#This Row],[Placa Carreta]]="","",MARÍTIMOS[[#This Row],[Placa Carreta]]),"")</f>
        <v>TJZ-980</v>
      </c>
      <c r="L309" s="44" t="str">
        <f>IFERROR(IF(MARÍTIMOS[[#This Row],[Conductor]]="","",MARÍTIMOS[[#This Row],[Conductor]]),"")</f>
        <v>CHIROQUE IMAN JOSE NICOLAS</v>
      </c>
      <c r="M309" s="2" t="str">
        <f>IFERROR(IF(MARÍTIMOS[[#This Row],[Licencia]]="","",MARÍTIMOS[[#This Row],[Licencia]]),"")</f>
        <v>C16578741</v>
      </c>
      <c r="N309" s="2">
        <f>IFERROR(IF(MARÍTIMOS[[#This Row],[Número de Contacto]]="","",MARÍTIMOS[[#This Row],[Número de Contacto]]),"")</f>
        <v>914113779</v>
      </c>
      <c r="O309" s="10" t="str">
        <f>IFERROR(IF(MARÍTIMOS[[#This Row],[Booking|AWB|CRT]]="","",MARÍTIMOS[[#This Row],[Booking|AWB|CRT]]),"")</f>
        <v>MBM250068052</v>
      </c>
      <c r="P309" s="2" t="str">
        <f>IFERROR(IF(MARÍTIMOS[[#This Row],[Contenedor]]="","",MARÍTIMOS[[#This Row],[Contenedor]]),"")</f>
        <v>CAIU5578610</v>
      </c>
      <c r="Q309" s="2" t="str">
        <f>IFERROR(IF(MARÍTIMOS[[#This Row],[Puerto de Retiro]]="","",MARÍTIMOS[[#This Row],[Puerto de Retiro]]),"")</f>
        <v>PAITA</v>
      </c>
      <c r="R309" s="2" t="str">
        <f>IFERROR(IF(MARÍTIMOS[[#This Row],[Almacén de Retiro]]="","",MARÍTIMOS[[#This Row],[Almacén de Retiro]]),"")</f>
        <v>MACROMAR</v>
      </c>
      <c r="S309" s="11">
        <f>IFERROR(IF(MARÍTIMOS[[#This Row],[Etapa Retiro - Cita]]="","",MARÍTIMOS[[#This Row],[Etapa Retiro - Cita]]),"")</f>
        <v>46260.75</v>
      </c>
      <c r="T309" s="11">
        <f>IFERROR(IF(MARÍTIMOS[[#This Row],[Etapa Retiro - Llegada]]="","",MARÍTIMOS[[#This Row],[Etapa Retiro - Llegada]]),"")</f>
        <v>46260.71875</v>
      </c>
      <c r="U309" s="11">
        <f>IFERROR(IF(MARÍTIMOS[[#This Row],[Etapa Retiro - Ingreso]]="","",MARÍTIMOS[[#This Row],[Etapa Retiro - Ingreso]]),"")</f>
        <v>46260.728472222225</v>
      </c>
      <c r="V309" s="11">
        <f>IFERROR(IF(MARÍTIMOS[[#This Row],[Etapa Retiro - Atención]]="","",MARÍTIMOS[[#This Row],[Etapa Retiro - Atención]]),"")</f>
        <v>46260.740277777775</v>
      </c>
      <c r="W309" s="11">
        <f>IFERROR(IF(MARÍTIMOS[[#This Row],[Etapa Retiro - Atención]]="","",MARÍTIMOS[[#This Row],[Etapa Retiro - Atención]]),"")</f>
        <v>46260.740277777775</v>
      </c>
      <c r="X309" s="11">
        <f>IFERROR(IF(MARÍTIMOS[[#This Row],[Etapa Retiro - Inicio de Ruta]]="","",MARÍTIMOS[[#This Row],[Etapa Retiro - Inicio de Ruta]]),"")</f>
        <v>46261.716666666667</v>
      </c>
      <c r="Y309" s="11">
        <f>IFERROR(IF(MARÍTIMOS[[#This Row],[Hora de Posicionamiento]]="","",MARÍTIMOS[[#This Row],[Fecha de Carga]]+MARÍTIMOS[[#This Row],[Hora de Posicionamiento]]),"")</f>
        <v>46262.333333333336</v>
      </c>
      <c r="Z309" s="11">
        <f>IFERROR(IF(MARÍTIMOS[[#This Row],[Etapa Despacho - Llegada]]="","",MARÍTIMOS[[#This Row],[Etapa Despacho - Llegada]]),"")</f>
        <v>46262.397222222222</v>
      </c>
      <c r="AA309" s="11">
        <f>IFERROR(IF(MARÍTIMOS[[#This Row],[Etapa Despacho - Registro]]="","",MARÍTIMOS[[#This Row],[Etapa Despacho - Registro]]),"")</f>
        <v>46262.402083333334</v>
      </c>
      <c r="AB309" s="11">
        <f>IFERROR(IF(MARÍTIMOS[[#This Row],[Inspección Externa]]="","",MARÍTIMOS[[#This Row],[Inspección Externa]]),"")</f>
        <v>46262.419444444444</v>
      </c>
      <c r="AC309" s="11">
        <f>IFERROR(IF(MARÍTIMOS[[#This Row],[Etapa Despacho - Inicio de Carga]]="","",MARÍTIMOS[[#This Row],[Etapa Despacho - Inicio de Carga]]),"")</f>
        <v>46262.540277777778</v>
      </c>
      <c r="AD309" s="11">
        <f>IFERROR(IF(MARÍTIMOS[[#This Row],[Etapa Despacho - Mitad de Carga]]="","",MARÍTIMOS[[#This Row],[Etapa Despacho - Mitad de Carga]]),"")</f>
        <v>46262.549305555556</v>
      </c>
      <c r="AE309" s="11">
        <f>IFERROR(IF(MARÍTIMOS[[#This Row],[Etapa Despacho - Fin de Carga]]="","",MARÍTIMOS[[#This Row],[Etapa Despacho - Fin de Carga]]),"")</f>
        <v>46262.569444444445</v>
      </c>
      <c r="AF309" s="2" t="str">
        <f>IFERROR(IF(MARÍTIMOS[[#This Row],[Puerto de Embarque]]="","",MARÍTIMOS[[#This Row],[Puerto de Embarque]]),"")</f>
        <v>Paita</v>
      </c>
      <c r="AG309" s="2" t="str">
        <f>IFERROR(IF(MARÍTIMOS[[#This Row],[Almacén de Ingreso]]="","",MARÍTIMOS[[#This Row],[Almacén de Ingreso]]),"")</f>
        <v>TPE</v>
      </c>
      <c r="AH309" s="11">
        <f>IFERROR(IF(MARÍTIMOS[[#This Row],[Etapa Ingreso - Cita]]="","",MARÍTIMOS[[#This Row],[Etapa Ingreso - Cita]]),"")</f>
        <v>46262.863888888889</v>
      </c>
      <c r="AI309" s="11">
        <f>IFERROR(IF(MARÍTIMOS[[#This Row],[Etapa Ingreso - Llegada]]="","",MARÍTIMOS[[#This Row],[Etapa Ingreso - Llegada]]),"")</f>
        <v>46262.822222222225</v>
      </c>
      <c r="AJ309" s="11">
        <f>IFERROR(IF(MARÍTIMOS[[#This Row],[Etapa Ingreso - Ingeso]]="","",MARÍTIMOS[[#This Row],[Etapa Ingreso - Ingeso]]),"")</f>
        <v>46262.837500000001</v>
      </c>
      <c r="AK309" s="11">
        <f>IFERROR(IF(MARÍTIMOS[[#This Row],[Etapa Ingreso - Atención]]="","",MARÍTIMOS[[#This Row],[Etapa Ingreso - Atención]]),"")</f>
        <v>46262.84097222222</v>
      </c>
      <c r="AL309" s="11">
        <f>IFERROR(IF(MARÍTIMOS[[#This Row],[Etapa Ingreso - Salida]]="","",MARÍTIMOS[[#This Row],[Etapa Ingreso - Salida]]),"")</f>
        <v>46262.844444444447</v>
      </c>
      <c r="AM309" s="2">
        <f>IFERROR(IF(MARÍTIMOS[[#This Row],[FCL]]="","",MARÍTIMOS[[#This Row],[FCL]]),"")</f>
        <v>0.5</v>
      </c>
      <c r="AN3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09" s="4" t="str" cm="1">
        <f t="array" ref="AO3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09" s="5">
        <f>IFERROR(OLDBD[[#This Row],[Llegada a packing]]-OLDBD[[#This Row],[Inicio de Ruta]],"")</f>
        <v>0.68055555555474712</v>
      </c>
      <c r="AQ309" s="6">
        <f>IFERROR(OLDBD[[#This Row],[Inicio de Ruta]]-OLDBD[[#This Row],[Salida de almacén de retiro]],"")</f>
        <v>0.97638888889196096</v>
      </c>
      <c r="AR3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09" s="8" t="str" cm="1">
        <f t="array" ref="AS3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09" s="9">
        <f>IFERROR(OLDBD[[#This Row],[Ingreso Packing]]-OLDBD[[#This Row],[Registro en Packing]],"")</f>
        <v>1.7361111109494232E-2</v>
      </c>
      <c r="AV309" s="9">
        <f>IFERROR(OLDBD[[#This Row],[Ingreso Packing]]-OLDBD[[#This Row],[Llegada a packing]],"")</f>
        <v>2.2222222221898846E-2</v>
      </c>
      <c r="AW3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09" s="5">
        <f>IFERROR(OLDBD[[#This Row],[Llegada Almacén de Ingreso]]-OLDBD[[#This Row],[Salida Packing]],"")</f>
        <v>0.25277777777955635</v>
      </c>
      <c r="AY309" s="4" t="str" cm="1">
        <f t="array" ref="AY3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09" s="43" t="s">
        <v>173</v>
      </c>
      <c r="BB309" s="47" t="str">
        <f>IFERROR(IF(MARÍTIMOS[[#This Row],[Estatus]]="","",MARÍTIMOS[[#This Row],[Estatus]]),"")</f>
        <v>Confirmado</v>
      </c>
      <c r="BC309" s="43"/>
      <c r="BD309" s="46">
        <f>IFERROR(OLDBD[[#This Row],[Salida de almacén de retiro]]-OLDBD[[#This Row],[Ingreso Almacén de retiro]],"")</f>
        <v>1.1805555550381541E-2</v>
      </c>
      <c r="BE309" s="46">
        <f>IFERROR(OLDBD[[#This Row],[Fin de Carga]]-OLDBD[[#This Row],[Inicio de Carga]],"")</f>
        <v>9.0277777781011537E-3</v>
      </c>
    </row>
    <row r="310" spans="1:57" customFormat="1" hidden="1">
      <c r="A310" s="1"/>
      <c r="B310" s="1">
        <f>IFERROR(IF(MARÍTIMOS[[#This Row],[PP]]="","",MARÍTIMOS[[#This Row],[PP]]),"")</f>
        <v>35</v>
      </c>
      <c r="C310" s="1" t="str">
        <f>IFERROR(IF(MARÍTIMOS[[#This Row],[Sede]]="","",MARÍTIMOS[[#This Row],[Sede]]),"")</f>
        <v>Chao</v>
      </c>
      <c r="D310" s="1" t="str">
        <f>IFERROR(IF(MARÍTIMOS[[#This Row],[Instruction]]="","",MARÍTIMOS[[#This Row],[Instruction]]),"")</f>
        <v>RH-0600</v>
      </c>
      <c r="E310" s="1"/>
      <c r="F310" s="2" t="str">
        <f>IFERROR(IF(MARÍTIMOS[[#This Row],[Transportista]]="","",MARÍTIMOS[[#This Row],[Transportista]]),"")</f>
        <v>LIP</v>
      </c>
      <c r="G310" s="2" t="str">
        <f>IFERROR(IF(MARÍTIMOS[[#This Row],[Tercero]]="","",MARÍTIMOS[[#This Row],[Tercero]]),"")</f>
        <v>NO</v>
      </c>
      <c r="H310" s="2" t="str">
        <f>IFERROR(IF(MARÍTIMOS[[#This Row],[Razón Social]]="","",MARÍTIMOS[[#This Row],[Razón Social]]),"")</f>
        <v>LOGISTICA INTERMODAL DEL PERU S.A.C.</v>
      </c>
      <c r="I310" s="2">
        <f>IFERROR(IF(MARÍTIMOS[[#This Row],[RUC]]="","",MARÍTIMOS[[#This Row],[RUC]]),"")</f>
        <v>20513040718</v>
      </c>
      <c r="J310" s="2" t="str">
        <f>IFERROR(IF(MARÍTIMOS[[#This Row],[Placa Tracto]]="","",MARÍTIMOS[[#This Row],[Placa Tracto]]),"")</f>
        <v>BBG-825</v>
      </c>
      <c r="K310" s="2" t="str">
        <f>IFERROR(IF(MARÍTIMOS[[#This Row],[Placa Carreta]]="","",MARÍTIMOS[[#This Row],[Placa Carreta]]),"")</f>
        <v>ANA-974</v>
      </c>
      <c r="L310" s="44" t="str">
        <f>IFERROR(IF(MARÍTIMOS[[#This Row],[Conductor]]="","",MARÍTIMOS[[#This Row],[Conductor]]),"")</f>
        <v>TAVARA SOLIS PAUL MARLON</v>
      </c>
      <c r="M310" s="2" t="str">
        <f>IFERROR(IF(MARÍTIMOS[[#This Row],[Licencia]]="","",MARÍTIMOS[[#This Row],[Licencia]]),"")</f>
        <v>C17625579</v>
      </c>
      <c r="N310" s="2">
        <f>IFERROR(IF(MARÍTIMOS[[#This Row],[Número de Contacto]]="","",MARÍTIMOS[[#This Row],[Número de Contacto]]),"")</f>
        <v>963590550</v>
      </c>
      <c r="O310" s="10" t="str">
        <f>IFERROR(IF(MARÍTIMOS[[#This Row],[Booking|AWB|CRT]]="","",MARÍTIMOS[[#This Row],[Booking|AWB|CRT]]),"")</f>
        <v>MBM250067129</v>
      </c>
      <c r="P310" s="2" t="str">
        <f>IFERROR(IF(MARÍTIMOS[[#This Row],[Contenedor]]="","",MARÍTIMOS[[#This Row],[Contenedor]]),"")</f>
        <v>BMOU9615311</v>
      </c>
      <c r="Q310" s="2" t="str">
        <f>IFERROR(IF(MARÍTIMOS[[#This Row],[Puerto de Retiro]]="","",MARÍTIMOS[[#This Row],[Puerto de Retiro]]),"")</f>
        <v>PAITA</v>
      </c>
      <c r="R310" s="2" t="str">
        <f>IFERROR(IF(MARÍTIMOS[[#This Row],[Almacén de Retiro]]="","",MARÍTIMOS[[#This Row],[Almacén de Retiro]]),"")</f>
        <v>MACROMAR</v>
      </c>
      <c r="S310" s="11">
        <f>IFERROR(IF(MARÍTIMOS[[#This Row],[Etapa Retiro - Cita]]="","",MARÍTIMOS[[#This Row],[Etapa Retiro - Cita]]),"")</f>
        <v>46261.5</v>
      </c>
      <c r="T310" s="11">
        <f>IFERROR(IF(MARÍTIMOS[[#This Row],[Etapa Retiro - Llegada]]="","",MARÍTIMOS[[#This Row],[Etapa Retiro - Llegada]]),"")</f>
        <v>46261.470833333333</v>
      </c>
      <c r="U310" s="11">
        <f>IFERROR(IF(MARÍTIMOS[[#This Row],[Etapa Retiro - Ingreso]]="","",MARÍTIMOS[[#This Row],[Etapa Retiro - Ingreso]]),"")</f>
        <v>46261.484027777777</v>
      </c>
      <c r="V310" s="11">
        <f>IFERROR(IF(MARÍTIMOS[[#This Row],[Etapa Retiro - Atención]]="","",MARÍTIMOS[[#This Row],[Etapa Retiro - Atención]]),"")</f>
        <v>46261.524305555555</v>
      </c>
      <c r="W310" s="11">
        <f>IFERROR(IF(MARÍTIMOS[[#This Row],[Etapa Retiro - Atención]]="","",MARÍTIMOS[[#This Row],[Etapa Retiro - Atención]]),"")</f>
        <v>46261.524305555555</v>
      </c>
      <c r="X310" s="11">
        <f>IFERROR(IF(MARÍTIMOS[[#This Row],[Etapa Retiro - Inicio de Ruta]]="","",MARÍTIMOS[[#This Row],[Etapa Retiro - Inicio de Ruta]]),"")</f>
        <v>46261.597222222219</v>
      </c>
      <c r="Y310" s="11">
        <f>IFERROR(IF(MARÍTIMOS[[#This Row],[Hora de Posicionamiento]]="","",MARÍTIMOS[[#This Row],[Fecha de Carga]]+MARÍTIMOS[[#This Row],[Hora de Posicionamiento]]),"")</f>
        <v>46262.333333333336</v>
      </c>
      <c r="Z310" s="11">
        <f>IFERROR(IF(MARÍTIMOS[[#This Row],[Etapa Despacho - Llegada]]="","",MARÍTIMOS[[#This Row],[Etapa Despacho - Llegada]]),"")</f>
        <v>46262.299305555556</v>
      </c>
      <c r="AA310" s="11">
        <f>IFERROR(IF(MARÍTIMOS[[#This Row],[Etapa Despacho - Registro]]="","",MARÍTIMOS[[#This Row],[Etapa Despacho - Registro]]),"")</f>
        <v>46262.302083333336</v>
      </c>
      <c r="AB310" s="11">
        <f>IFERROR(IF(MARÍTIMOS[[#This Row],[Inspección Externa]]="","",MARÍTIMOS[[#This Row],[Inspección Externa]]),"")</f>
        <v>46262.302777777775</v>
      </c>
      <c r="AC310" s="11">
        <f>IFERROR(IF(MARÍTIMOS[[#This Row],[Etapa Despacho - Inicio de Carga]]="","",MARÍTIMOS[[#This Row],[Etapa Despacho - Inicio de Carga]]),"")</f>
        <v>46262.5625</v>
      </c>
      <c r="AD310" s="11">
        <f>IFERROR(IF(MARÍTIMOS[[#This Row],[Etapa Despacho - Mitad de Carga]]="","",MARÍTIMOS[[#This Row],[Etapa Despacho - Mitad de Carga]]),"")</f>
        <v>46262.597222222219</v>
      </c>
      <c r="AE310" s="11">
        <f>IFERROR(IF(MARÍTIMOS[[#This Row],[Etapa Despacho - Fin de Carga]]="","",MARÍTIMOS[[#This Row],[Etapa Despacho - Fin de Carga]]),"")</f>
        <v>46262.614583333336</v>
      </c>
      <c r="AF310" s="2" t="str">
        <f>IFERROR(IF(MARÍTIMOS[[#This Row],[Puerto de Embarque]]="","",MARÍTIMOS[[#This Row],[Puerto de Embarque]]),"")</f>
        <v>Paita</v>
      </c>
      <c r="AG310" s="2" t="str">
        <f>IFERROR(IF(MARÍTIMOS[[#This Row],[Almacén de Ingreso]]="","",MARÍTIMOS[[#This Row],[Almacén de Ingreso]]),"")</f>
        <v>TPE</v>
      </c>
      <c r="AH310" s="11">
        <f>IFERROR(IF(MARÍTIMOS[[#This Row],[Etapa Ingreso - Cita]]="","",MARÍTIMOS[[#This Row],[Etapa Ingreso - Cita]]),"")</f>
        <v>46263.25</v>
      </c>
      <c r="AI310" s="11">
        <f>IFERROR(IF(MARÍTIMOS[[#This Row],[Etapa Ingreso - Llegada]]="","",MARÍTIMOS[[#This Row],[Etapa Ingreso - Llegada]]),"")</f>
        <v>46263.168055555558</v>
      </c>
      <c r="AJ310" s="11">
        <f>IFERROR(IF(MARÍTIMOS[[#This Row],[Etapa Ingreso - Ingeso]]="","",MARÍTIMOS[[#This Row],[Etapa Ingreso - Ingeso]]),"")</f>
        <v>46263.176388888889</v>
      </c>
      <c r="AK310" s="11">
        <f>IFERROR(IF(MARÍTIMOS[[#This Row],[Etapa Ingreso - Atención]]="","",MARÍTIMOS[[#This Row],[Etapa Ingreso - Atención]]),"")</f>
        <v>46263.184027777781</v>
      </c>
      <c r="AL310" s="11">
        <f>IFERROR(IF(MARÍTIMOS[[#This Row],[Etapa Ingreso - Salida]]="","",MARÍTIMOS[[#This Row],[Etapa Ingreso - Salida]]),"")</f>
        <v>46263.1875</v>
      </c>
      <c r="AM310" s="2">
        <f>IFERROR(IF(MARÍTIMOS[[#This Row],[FCL]]="","",MARÍTIMOS[[#This Row],[FCL]]),"")</f>
        <v>1</v>
      </c>
      <c r="AN3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10" s="4" t="str" cm="1">
        <f t="array" ref="AO3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0" s="5">
        <f>IFERROR(OLDBD[[#This Row],[Llegada a packing]]-OLDBD[[#This Row],[Inicio de Ruta]],"")</f>
        <v>0.70208333333721384</v>
      </c>
      <c r="AQ310" s="6">
        <f>IFERROR(OLDBD[[#This Row],[Inicio de Ruta]]-OLDBD[[#This Row],[Salida de almacén de retiro]],"")</f>
        <v>7.2916666664241347E-2</v>
      </c>
      <c r="AR3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0" s="8" t="str" cm="1">
        <f t="array" ref="AS3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10" s="9">
        <f>IFERROR(OLDBD[[#This Row],[Ingreso Packing]]-OLDBD[[#This Row],[Registro en Packing]],"")</f>
        <v>6.9444443943211809E-4</v>
      </c>
      <c r="AV310" s="9">
        <f>IFERROR(OLDBD[[#This Row],[Ingreso Packing]]-OLDBD[[#This Row],[Llegada a packing]],"")</f>
        <v>3.4722222189884633E-3</v>
      </c>
      <c r="AW3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310" s="5">
        <f>IFERROR(OLDBD[[#This Row],[Llegada Almacén de Ingreso]]-OLDBD[[#This Row],[Salida Packing]],"")</f>
        <v>0.55347222222189885</v>
      </c>
      <c r="AY310" s="4" t="str" cm="1">
        <f t="array" ref="AY3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10" s="43" t="s">
        <v>173</v>
      </c>
      <c r="BB310" s="47" t="str">
        <f>IFERROR(IF(MARÍTIMOS[[#This Row],[Estatus]]="","",MARÍTIMOS[[#This Row],[Estatus]]),"")</f>
        <v>Confirmado</v>
      </c>
      <c r="BC310" s="43"/>
      <c r="BD310" s="46">
        <f>IFERROR(OLDBD[[#This Row],[Salida de almacén de retiro]]-OLDBD[[#This Row],[Ingreso Almacén de retiro]],"")</f>
        <v>4.0277777778101154E-2</v>
      </c>
      <c r="BE310" s="46">
        <f>IFERROR(OLDBD[[#This Row],[Fin de Carga]]-OLDBD[[#This Row],[Inicio de Carga]],"")</f>
        <v>3.4722222218988463E-2</v>
      </c>
    </row>
    <row r="311" spans="1:57" customFormat="1" hidden="1">
      <c r="A311" s="1"/>
      <c r="B311" s="1">
        <f>IFERROR(IF(MARÍTIMOS[[#This Row],[PP]]="","",MARÍTIMOS[[#This Row],[PP]]),"")</f>
        <v>35</v>
      </c>
      <c r="C311" s="1" t="str">
        <f>IFERROR(IF(MARÍTIMOS[[#This Row],[Sede]]="","",MARÍTIMOS[[#This Row],[Sede]]),"")</f>
        <v>Chao</v>
      </c>
      <c r="D311" s="1" t="str">
        <f>IFERROR(IF(MARÍTIMOS[[#This Row],[Instruction]]="","",MARÍTIMOS[[#This Row],[Instruction]]),"")</f>
        <v>RH-0603</v>
      </c>
      <c r="E311" s="1"/>
      <c r="F311" s="2" t="str">
        <f>IFERROR(IF(MARÍTIMOS[[#This Row],[Transportista]]="","",MARÍTIMOS[[#This Row],[Transportista]]),"")</f>
        <v>LIP</v>
      </c>
      <c r="G311" s="2" t="str">
        <f>IFERROR(IF(MARÍTIMOS[[#This Row],[Tercero]]="","",MARÍTIMOS[[#This Row],[Tercero]]),"")</f>
        <v>SI</v>
      </c>
      <c r="H311" s="2" t="str">
        <f>IFERROR(IF(MARÍTIMOS[[#This Row],[Razón Social]]="","",MARÍTIMOS[[#This Row],[Razón Social]]),"")</f>
        <v>TRANSPORTES JAAC S.A.C.</v>
      </c>
      <c r="I311" s="2">
        <f>IFERROR(IF(MARÍTIMOS[[#This Row],[RUC]]="","",MARÍTIMOS[[#This Row],[RUC]]),"")</f>
        <v>20601962102</v>
      </c>
      <c r="J311" s="2" t="str">
        <f>IFERROR(IF(MARÍTIMOS[[#This Row],[Placa Tracto]]="","",MARÍTIMOS[[#This Row],[Placa Tracto]]),"")</f>
        <v>D4X-792</v>
      </c>
      <c r="K311" s="2" t="str">
        <f>IFERROR(IF(MARÍTIMOS[[#This Row],[Placa Carreta]]="","",MARÍTIMOS[[#This Row],[Placa Carreta]]),"")</f>
        <v>TJX-986</v>
      </c>
      <c r="L311" s="44" t="str">
        <f>IFERROR(IF(MARÍTIMOS[[#This Row],[Conductor]]="","",MARÍTIMOS[[#This Row],[Conductor]]),"")</f>
        <v>BARRIENTOS MIÑAN JUAN CHARLIE</v>
      </c>
      <c r="M311" s="2" t="str">
        <f>IFERROR(IF(MARÍTIMOS[[#This Row],[Licencia]]="","",MARÍTIMOS[[#This Row],[Licencia]]),"")</f>
        <v>B46376679</v>
      </c>
      <c r="N311" s="2">
        <f>IFERROR(IF(MARÍTIMOS[[#This Row],[Número de Contacto]]="","",MARÍTIMOS[[#This Row],[Número de Contacto]]),"")</f>
        <v>982701637</v>
      </c>
      <c r="O311" s="10" t="str">
        <f>IFERROR(IF(MARÍTIMOS[[#This Row],[Booking|AWB|CRT]]="","",MARÍTIMOS[[#This Row],[Booking|AWB|CRT]]),"")</f>
        <v>MBM250068051</v>
      </c>
      <c r="P311" s="2" t="str">
        <f>IFERROR(IF(MARÍTIMOS[[#This Row],[Contenedor]]="","",MARÍTIMOS[[#This Row],[Contenedor]]),"")</f>
        <v>CAIU5563518</v>
      </c>
      <c r="Q311" s="2" t="str">
        <f>IFERROR(IF(MARÍTIMOS[[#This Row],[Puerto de Retiro]]="","",MARÍTIMOS[[#This Row],[Puerto de Retiro]]),"")</f>
        <v>PAITA</v>
      </c>
      <c r="R311" s="2" t="str">
        <f>IFERROR(IF(MARÍTIMOS[[#This Row],[Almacén de Retiro]]="","",MARÍTIMOS[[#This Row],[Almacén de Retiro]]),"")</f>
        <v>MACROMAR</v>
      </c>
      <c r="S311" s="11">
        <f>IFERROR(IF(MARÍTIMOS[[#This Row],[Etapa Retiro - Cita]]="","",MARÍTIMOS[[#This Row],[Etapa Retiro - Cita]]),"")</f>
        <v>46261.458333333336</v>
      </c>
      <c r="T311" s="11">
        <f>IFERROR(IF(MARÍTIMOS[[#This Row],[Etapa Retiro - Llegada]]="","",MARÍTIMOS[[#This Row],[Etapa Retiro - Llegada]]),"")</f>
        <v>46261.477083333331</v>
      </c>
      <c r="U311" s="11">
        <f>IFERROR(IF(MARÍTIMOS[[#This Row],[Etapa Retiro - Ingreso]]="","",MARÍTIMOS[[#This Row],[Etapa Retiro - Ingreso]]),"")</f>
        <v>46261.48541666667</v>
      </c>
      <c r="V311" s="11">
        <f>IFERROR(IF(MARÍTIMOS[[#This Row],[Etapa Retiro - Atención]]="","",MARÍTIMOS[[#This Row],[Etapa Retiro - Atención]]),"")</f>
        <v>46261.489583333336</v>
      </c>
      <c r="W311" s="11">
        <f>IFERROR(IF(MARÍTIMOS[[#This Row],[Etapa Retiro - Atención]]="","",MARÍTIMOS[[#This Row],[Etapa Retiro - Atención]]),"")</f>
        <v>46261.489583333336</v>
      </c>
      <c r="X311" s="11">
        <f>IFERROR(IF(MARÍTIMOS[[#This Row],[Etapa Retiro - Inicio de Ruta]]="","",MARÍTIMOS[[#This Row],[Etapa Retiro - Inicio de Ruta]]),"")</f>
        <v>46261.611111111109</v>
      </c>
      <c r="Y311" s="11">
        <f>IFERROR(IF(MARÍTIMOS[[#This Row],[Hora de Posicionamiento]]="","",MARÍTIMOS[[#This Row],[Fecha de Carga]]+MARÍTIMOS[[#This Row],[Hora de Posicionamiento]]),"")</f>
        <v>46262.333333333336</v>
      </c>
      <c r="Z311" s="11">
        <f>IFERROR(IF(MARÍTIMOS[[#This Row],[Etapa Despacho - Llegada]]="","",MARÍTIMOS[[#This Row],[Etapa Despacho - Llegada]]),"")</f>
        <v>46262.100694444445</v>
      </c>
      <c r="AA311" s="11">
        <f>IFERROR(IF(MARÍTIMOS[[#This Row],[Etapa Despacho - Registro]]="","",MARÍTIMOS[[#This Row],[Etapa Despacho - Registro]]),"")</f>
        <v>46262.114583333336</v>
      </c>
      <c r="AB311" s="11">
        <f>IFERROR(IF(MARÍTIMOS[[#This Row],[Inspección Externa]]="","",MARÍTIMOS[[#This Row],[Inspección Externa]]),"")</f>
        <v>46262.121527777781</v>
      </c>
      <c r="AC311" s="11">
        <f>IFERROR(IF(MARÍTIMOS[[#This Row],[Etapa Despacho - Inicio de Carga]]="","",MARÍTIMOS[[#This Row],[Etapa Despacho - Inicio de Carga]]),"")</f>
        <v>46262.135416666664</v>
      </c>
      <c r="AD311" s="11">
        <f>IFERROR(IF(MARÍTIMOS[[#This Row],[Etapa Despacho - Mitad de Carga]]="","",MARÍTIMOS[[#This Row],[Etapa Despacho - Mitad de Carga]]),"")</f>
        <v>46262.135416666664</v>
      </c>
      <c r="AE311" s="11">
        <f>IFERROR(IF(MARÍTIMOS[[#This Row],[Etapa Despacho - Fin de Carga]]="","",MARÍTIMOS[[#This Row],[Etapa Despacho - Fin de Carga]]),"")</f>
        <v>46262.583333333336</v>
      </c>
      <c r="AF311" s="2" t="str">
        <f>IFERROR(IF(MARÍTIMOS[[#This Row],[Puerto de Embarque]]="","",MARÍTIMOS[[#This Row],[Puerto de Embarque]]),"")</f>
        <v>Paita</v>
      </c>
      <c r="AG311" s="2" t="str">
        <f>IFERROR(IF(MARÍTIMOS[[#This Row],[Almacén de Ingreso]]="","",MARÍTIMOS[[#This Row],[Almacén de Ingreso]]),"")</f>
        <v>TPE</v>
      </c>
      <c r="AH311" s="11">
        <f>IFERROR(IF(MARÍTIMOS[[#This Row],[Etapa Ingreso - Cita]]="","",MARÍTIMOS[[#This Row],[Etapa Ingreso - Cita]]),"")</f>
        <v>46263.125</v>
      </c>
      <c r="AI311" s="11">
        <f>IFERROR(IF(MARÍTIMOS[[#This Row],[Etapa Ingreso - Llegada]]="","",MARÍTIMOS[[#This Row],[Etapa Ingreso - Llegada]]),"")</f>
        <v>46263.129166666666</v>
      </c>
      <c r="AJ311" s="11">
        <f>IFERROR(IF(MARÍTIMOS[[#This Row],[Etapa Ingreso - Ingeso]]="","",MARÍTIMOS[[#This Row],[Etapa Ingreso - Ingeso]]),"")</f>
        <v>46263.132638888892</v>
      </c>
      <c r="AK311" s="11">
        <f>IFERROR(IF(MARÍTIMOS[[#This Row],[Etapa Ingreso - Atención]]="","",MARÍTIMOS[[#This Row],[Etapa Ingreso - Atención]]),"")</f>
        <v>46263.135416666664</v>
      </c>
      <c r="AL311" s="11">
        <f>IFERROR(IF(MARÍTIMOS[[#This Row],[Etapa Ingreso - Salida]]="","",MARÍTIMOS[[#This Row],[Etapa Ingreso - Salida]]),"")</f>
        <v>46263.143750000003</v>
      </c>
      <c r="AM311" s="2">
        <f>IFERROR(IF(MARÍTIMOS[[#This Row],[FCL]]="","",MARÍTIMOS[[#This Row],[FCL]]),"")</f>
        <v>1</v>
      </c>
      <c r="AN3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1" s="4" t="str" cm="1">
        <f t="array" ref="AO3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1" s="5">
        <f>IFERROR(OLDBD[[#This Row],[Llegada a packing]]-OLDBD[[#This Row],[Inicio de Ruta]],"")</f>
        <v>0.48958333333575865</v>
      </c>
      <c r="AQ311" s="6">
        <f>IFERROR(OLDBD[[#This Row],[Inicio de Ruta]]-OLDBD[[#This Row],[Salida de almacén de retiro]],"")</f>
        <v>0.12152777777373558</v>
      </c>
      <c r="AR3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1" s="8" t="str" cm="1">
        <f t="array" ref="AS3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1" s="9">
        <f>IFERROR(OLDBD[[#This Row],[Ingreso Packing]]-OLDBD[[#This Row],[Registro en Packing]],"")</f>
        <v>6.9444444452528842E-3</v>
      </c>
      <c r="AV311" s="9">
        <f>IFERROR(OLDBD[[#This Row],[Ingreso Packing]]-OLDBD[[#This Row],[Llegada a packing]],"")</f>
        <v>2.0833333335758653E-2</v>
      </c>
      <c r="AW3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11" s="5">
        <f>IFERROR(OLDBD[[#This Row],[Llegada Almacén de Ingreso]]-OLDBD[[#This Row],[Salida Packing]],"")</f>
        <v>0.54583333332993789</v>
      </c>
      <c r="AY311" s="4" t="str" cm="1">
        <f t="array" ref="AY3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1" s="43" t="s">
        <v>173</v>
      </c>
      <c r="BB311" s="47" t="str">
        <f>IFERROR(IF(MARÍTIMOS[[#This Row],[Estatus]]="","",MARÍTIMOS[[#This Row],[Estatus]]),"")</f>
        <v>Confirmado</v>
      </c>
      <c r="BC311" s="43"/>
      <c r="BD311" s="46">
        <f>IFERROR(OLDBD[[#This Row],[Salida de almacén de retiro]]-OLDBD[[#This Row],[Ingreso Almacén de retiro]],"")</f>
        <v>4.166666665696539E-3</v>
      </c>
      <c r="BE311" s="46">
        <f>IFERROR(OLDBD[[#This Row],[Fin de Carga]]-OLDBD[[#This Row],[Inicio de Carga]],"")</f>
        <v>0</v>
      </c>
    </row>
    <row r="312" spans="1:57" customFormat="1" hidden="1">
      <c r="A312" s="1"/>
      <c r="B312" s="1">
        <f>IFERROR(IF(MARÍTIMOS[[#This Row],[PP]]="","",MARÍTIMOS[[#This Row],[PP]]),"")</f>
        <v>35</v>
      </c>
      <c r="C312" s="1" t="str">
        <f>IFERROR(IF(MARÍTIMOS[[#This Row],[Sede]]="","",MARÍTIMOS[[#This Row],[Sede]]),"")</f>
        <v>Chao</v>
      </c>
      <c r="D312" s="1" t="str">
        <f>IFERROR(IF(MARÍTIMOS[[#This Row],[Instruction]]="","",MARÍTIMOS[[#This Row],[Instruction]]),"")</f>
        <v>RH-0611</v>
      </c>
      <c r="E312" s="1"/>
      <c r="F312" s="2" t="str">
        <f>IFERROR(IF(MARÍTIMOS[[#This Row],[Transportista]]="","",MARÍTIMOS[[#This Row],[Transportista]]),"")</f>
        <v>LIP</v>
      </c>
      <c r="G312" s="2" t="str">
        <f>IFERROR(IF(MARÍTIMOS[[#This Row],[Tercero]]="","",MARÍTIMOS[[#This Row],[Tercero]]),"")</f>
        <v>SI</v>
      </c>
      <c r="H312" s="2" t="str">
        <f>IFERROR(IF(MARÍTIMOS[[#This Row],[Razón Social]]="","",MARÍTIMOS[[#This Row],[Razón Social]]),"")</f>
        <v>LOGISTICS TRANSPORT SOCIEDAD ANONIMA CERRADA</v>
      </c>
      <c r="I312" s="2">
        <f>IFERROR(IF(MARÍTIMOS[[#This Row],[RUC]]="","",MARÍTIMOS[[#This Row],[RUC]]),"")</f>
        <v>20614402246</v>
      </c>
      <c r="J312" s="2" t="str">
        <f>IFERROR(IF(MARÍTIMOS[[#This Row],[Placa Tracto]]="","",MARÍTIMOS[[#This Row],[Placa Tracto]]),"")</f>
        <v>AVU-920</v>
      </c>
      <c r="K312" s="2" t="str">
        <f>IFERROR(IF(MARÍTIMOS[[#This Row],[Placa Carreta]]="","",MARÍTIMOS[[#This Row],[Placa Carreta]]),"")</f>
        <v>TPD-978</v>
      </c>
      <c r="L312" s="44" t="str">
        <f>IFERROR(IF(MARÍTIMOS[[#This Row],[Conductor]]="","",MARÍTIMOS[[#This Row],[Conductor]]),"")</f>
        <v>JOSE NICOLAS CHIROQUE IMAN</v>
      </c>
      <c r="M312" s="2" t="str">
        <f>IFERROR(IF(MARÍTIMOS[[#This Row],[Licencia]]="","",MARÍTIMOS[[#This Row],[Licencia]]),"")</f>
        <v>C16578741</v>
      </c>
      <c r="N312" s="2">
        <f>IFERROR(IF(MARÍTIMOS[[#This Row],[Número de Contacto]]="","",MARÍTIMOS[[#This Row],[Número de Contacto]]),"")</f>
        <v>914113779</v>
      </c>
      <c r="O312" s="10" t="str">
        <f>IFERROR(IF(MARÍTIMOS[[#This Row],[Booking|AWB|CRT]]="","",MARÍTIMOS[[#This Row],[Booking|AWB|CRT]]),"")</f>
        <v>PER9203929A</v>
      </c>
      <c r="P312" s="2" t="str">
        <f>IFERROR(IF(MARÍTIMOS[[#This Row],[Contenedor]]="","",MARÍTIMOS[[#This Row],[Contenedor]]),"")</f>
        <v>GCXU8024022</v>
      </c>
      <c r="Q312" s="2" t="str">
        <f>IFERROR(IF(MARÍTIMOS[[#This Row],[Puerto de Retiro]]="","",MARÍTIMOS[[#This Row],[Puerto de Retiro]]),"")</f>
        <v>PAITA</v>
      </c>
      <c r="R312" s="2" t="str">
        <f>IFERROR(IF(MARÍTIMOS[[#This Row],[Almacén de Retiro]]="","",MARÍTIMOS[[#This Row],[Almacén de Retiro]]),"")</f>
        <v>DPW</v>
      </c>
      <c r="S312" s="11">
        <f>IFERROR(IF(MARÍTIMOS[[#This Row],[Etapa Retiro - Cita]]="","",MARÍTIMOS[[#This Row],[Etapa Retiro - Cita]]),"")</f>
        <v>46263.458333333336</v>
      </c>
      <c r="T312" s="11">
        <f>IFERROR(IF(MARÍTIMOS[[#This Row],[Etapa Retiro - Llegada]]="","",MARÍTIMOS[[#This Row],[Etapa Retiro - Llegada]]),"")</f>
        <v>46263.468055555553</v>
      </c>
      <c r="U312" s="11">
        <f>IFERROR(IF(MARÍTIMOS[[#This Row],[Etapa Retiro - Ingreso]]="","",MARÍTIMOS[[#This Row],[Etapa Retiro - Ingreso]]),"")</f>
        <v>46263.474305555559</v>
      </c>
      <c r="V312" s="11">
        <f>IFERROR(IF(MARÍTIMOS[[#This Row],[Etapa Retiro - Atención]]="","",MARÍTIMOS[[#This Row],[Etapa Retiro - Atención]]),"")</f>
        <v>46263.489583333336</v>
      </c>
      <c r="W312" s="11">
        <f>IFERROR(IF(MARÍTIMOS[[#This Row],[Etapa Retiro - Atención]]="","",MARÍTIMOS[[#This Row],[Etapa Retiro - Atención]]),"")</f>
        <v>46263.489583333336</v>
      </c>
      <c r="X312" s="11">
        <f>IFERROR(IF(MARÍTIMOS[[#This Row],[Etapa Retiro - Inicio de Ruta]]="","",MARÍTIMOS[[#This Row],[Etapa Retiro - Inicio de Ruta]]),"")</f>
        <v>46263.569444444445</v>
      </c>
      <c r="Y312" s="11">
        <f>IFERROR(IF(MARÍTIMOS[[#This Row],[Hora de Posicionamiento]]="","",MARÍTIMOS[[#This Row],[Fecha de Carga]]+MARÍTIMOS[[#This Row],[Hora de Posicionamiento]]),"")</f>
        <v>46264.583333333336</v>
      </c>
      <c r="Z312" s="11">
        <f>IFERROR(IF(MARÍTIMOS[[#This Row],[Etapa Despacho - Llegada]]="","",MARÍTIMOS[[#This Row],[Etapa Despacho - Llegada]]),"")</f>
        <v>46264.667361111111</v>
      </c>
      <c r="AA312" s="11">
        <f>IFERROR(IF(MARÍTIMOS[[#This Row],[Etapa Despacho - Registro]]="","",MARÍTIMOS[[#This Row],[Etapa Despacho - Registro]]),"")</f>
        <v>46264.668749999997</v>
      </c>
      <c r="AB312" s="11">
        <f>IFERROR(IF(MARÍTIMOS[[#This Row],[Inspección Externa]]="","",MARÍTIMOS[[#This Row],[Inspección Externa]]),"")</f>
        <v>46264.672222222223</v>
      </c>
      <c r="AC312" s="11">
        <f>IFERROR(IF(MARÍTIMOS[[#This Row],[Etapa Despacho - Inicio de Carga]]="","",MARÍTIMOS[[#This Row],[Etapa Despacho - Inicio de Carga]]),"")</f>
        <v>46264.625</v>
      </c>
      <c r="AD312" s="11">
        <f>IFERROR(IF(MARÍTIMOS[[#This Row],[Etapa Despacho - Mitad de Carga]]="","",MARÍTIMOS[[#This Row],[Etapa Despacho - Mitad de Carga]]),"")</f>
        <v>46264.75</v>
      </c>
      <c r="AE312" s="11">
        <f>IFERROR(IF(MARÍTIMOS[[#This Row],[Etapa Despacho - Fin de Carga]]="","",MARÍTIMOS[[#This Row],[Etapa Despacho - Fin de Carga]]),"")</f>
        <v>46264.798611111109</v>
      </c>
      <c r="AF312" s="2" t="str">
        <f>IFERROR(IF(MARÍTIMOS[[#This Row],[Puerto de Embarque]]="","",MARÍTIMOS[[#This Row],[Puerto de Embarque]]),"")</f>
        <v>Paita</v>
      </c>
      <c r="AG312" s="2" t="str">
        <f>IFERROR(IF(MARÍTIMOS[[#This Row],[Almacén de Ingreso]]="","",MARÍTIMOS[[#This Row],[Almacén de Ingreso]]),"")</f>
        <v>TPE</v>
      </c>
      <c r="AH312" s="11">
        <f>IFERROR(IF(MARÍTIMOS[[#This Row],[Etapa Ingreso - Cita]]="","",MARÍTIMOS[[#This Row],[Etapa Ingreso - Cita]]),"")</f>
        <v>46265.541666666664</v>
      </c>
      <c r="AI312" s="11">
        <f>IFERROR(IF(MARÍTIMOS[[#This Row],[Etapa Ingreso - Llegada]]="","",MARÍTIMOS[[#This Row],[Etapa Ingreso - Llegada]]),"")</f>
        <v>46265.53402777778</v>
      </c>
      <c r="AJ312" s="11">
        <f>IFERROR(IF(MARÍTIMOS[[#This Row],[Etapa Ingreso - Ingeso]]="","",MARÍTIMOS[[#This Row],[Etapa Ingreso - Ingeso]]),"")</f>
        <v>46265.55</v>
      </c>
      <c r="AK312" s="11">
        <f>IFERROR(IF(MARÍTIMOS[[#This Row],[Etapa Ingreso - Atención]]="","",MARÍTIMOS[[#This Row],[Etapa Ingreso - Atención]]),"")</f>
        <v>46265.559027777781</v>
      </c>
      <c r="AL312" s="11">
        <f>IFERROR(IF(MARÍTIMOS[[#This Row],[Etapa Ingreso - Salida]]="","",MARÍTIMOS[[#This Row],[Etapa Ingreso - Salida]]),"")</f>
        <v>46265.563888888886</v>
      </c>
      <c r="AM312" s="2">
        <f>IFERROR(IF(MARÍTIMOS[[#This Row],[FCL]]="","",MARÍTIMOS[[#This Row],[FCL]]),"")</f>
        <v>1</v>
      </c>
      <c r="AN3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2" s="4" t="str" cm="1">
        <f t="array" ref="AO3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2" s="5">
        <f>IFERROR(OLDBD[[#This Row],[Llegada a packing]]-OLDBD[[#This Row],[Inicio de Ruta]],"")</f>
        <v>1.0979166666656965</v>
      </c>
      <c r="AQ312" s="6">
        <f>IFERROR(OLDBD[[#This Row],[Inicio de Ruta]]-OLDBD[[#This Row],[Salida de almacén de retiro]],"")</f>
        <v>7.9861111109494232E-2</v>
      </c>
      <c r="AR3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12" s="8" t="str" cm="1">
        <f t="array" ref="AS3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2" s="9">
        <f>IFERROR(OLDBD[[#This Row],[Ingreso Packing]]-OLDBD[[#This Row],[Registro en Packing]],"")</f>
        <v>3.4722222262644209E-3</v>
      </c>
      <c r="AV312" s="9">
        <f>IFERROR(OLDBD[[#This Row],[Ingreso Packing]]-OLDBD[[#This Row],[Llegada a packing]],"")</f>
        <v>4.8611111124046147E-3</v>
      </c>
      <c r="AW3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12" s="5">
        <f>IFERROR(OLDBD[[#This Row],[Llegada Almacén de Ingreso]]-OLDBD[[#This Row],[Salida Packing]],"")</f>
        <v>0.73541666667006211</v>
      </c>
      <c r="AY312" s="4" t="str" cm="1">
        <f t="array" ref="AY3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2" s="43" t="s">
        <v>173</v>
      </c>
      <c r="BB312" s="47" t="str">
        <f>IFERROR(IF(MARÍTIMOS[[#This Row],[Estatus]]="","",MARÍTIMOS[[#This Row],[Estatus]]),"")</f>
        <v>Confirmado</v>
      </c>
      <c r="BC312" s="43"/>
      <c r="BD312" s="46">
        <f>IFERROR(OLDBD[[#This Row],[Salida de almacén de retiro]]-OLDBD[[#This Row],[Ingreso Almacén de retiro]],"")</f>
        <v>1.5277777776645962E-2</v>
      </c>
      <c r="BE312" s="46">
        <f>IFERROR(OLDBD[[#This Row],[Fin de Carga]]-OLDBD[[#This Row],[Inicio de Carga]],"")</f>
        <v>0.125</v>
      </c>
    </row>
    <row r="313" spans="1:57" customFormat="1" hidden="1">
      <c r="A313" s="1"/>
      <c r="B313" s="1">
        <f>IFERROR(IF(MARÍTIMOS[[#This Row],[PP]]="","",MARÍTIMOS[[#This Row],[PP]]),"")</f>
        <v>35</v>
      </c>
      <c r="C313" s="1" t="str">
        <f>IFERROR(IF(MARÍTIMOS[[#This Row],[Sede]]="","",MARÍTIMOS[[#This Row],[Sede]]),"")</f>
        <v>Chao</v>
      </c>
      <c r="D313" s="1" t="str">
        <f>IFERROR(IF(MARÍTIMOS[[#This Row],[Instruction]]="","",MARÍTIMOS[[#This Row],[Instruction]]),"")</f>
        <v>RH-0609</v>
      </c>
      <c r="E313" s="1"/>
      <c r="F313" s="2" t="str">
        <f>IFERROR(IF(MARÍTIMOS[[#This Row],[Transportista]]="","",MARÍTIMOS[[#This Row],[Transportista]]),"")</f>
        <v>LIP</v>
      </c>
      <c r="G313" s="2" t="str">
        <f>IFERROR(IF(MARÍTIMOS[[#This Row],[Tercero]]="","",MARÍTIMOS[[#This Row],[Tercero]]),"")</f>
        <v>SI</v>
      </c>
      <c r="H313" s="2" t="str">
        <f>IFERROR(IF(MARÍTIMOS[[#This Row],[Razón Social]]="","",MARÍTIMOS[[#This Row],[Razón Social]]),"")</f>
        <v>TRANSCAR MATHEO SOCIEDAD ANONIMA CERRADA</v>
      </c>
      <c r="I313" s="2">
        <f>IFERROR(IF(MARÍTIMOS[[#This Row],[RUC]]="","",MARÍTIMOS[[#This Row],[RUC]]),"")</f>
        <v>20612886921</v>
      </c>
      <c r="J313" s="2" t="str">
        <f>IFERROR(IF(MARÍTIMOS[[#This Row],[Placa Tracto]]="","",MARÍTIMOS[[#This Row],[Placa Tracto]]),"")</f>
        <v>TAD-861</v>
      </c>
      <c r="K313" s="2" t="str">
        <f>IFERROR(IF(MARÍTIMOS[[#This Row],[Placa Carreta]]="","",MARÍTIMOS[[#This Row],[Placa Carreta]]),"")</f>
        <v>T0R-991</v>
      </c>
      <c r="L313" s="44" t="str">
        <f>IFERROR(IF(MARÍTIMOS[[#This Row],[Conductor]]="","",MARÍTIMOS[[#This Row],[Conductor]]),"")</f>
        <v>GIRON CORONADO LUIS HUMBERTO</v>
      </c>
      <c r="M313" s="2" t="str">
        <f>IFERROR(IF(MARÍTIMOS[[#This Row],[Licencia]]="","",MARÍTIMOS[[#This Row],[Licencia]]),"")</f>
        <v>B02838223</v>
      </c>
      <c r="N313" s="2">
        <f>IFERROR(IF(MARÍTIMOS[[#This Row],[Número de Contacto]]="","",MARÍTIMOS[[#This Row],[Número de Contacto]]),"")</f>
        <v>980865741</v>
      </c>
      <c r="O313" s="10" t="str">
        <f>IFERROR(IF(MARÍTIMOS[[#This Row],[Booking|AWB|CRT]]="","",MARÍTIMOS[[#This Row],[Booking|AWB|CRT]]),"")</f>
        <v>BN82234</v>
      </c>
      <c r="P313" s="2" t="str">
        <f>IFERROR(IF(MARÍTIMOS[[#This Row],[Contenedor]]="","",MARÍTIMOS[[#This Row],[Contenedor]]),"")</f>
        <v>OTPU6302251</v>
      </c>
      <c r="Q313" s="2" t="str">
        <f>IFERROR(IF(MARÍTIMOS[[#This Row],[Puerto de Retiro]]="","",MARÍTIMOS[[#This Row],[Puerto de Retiro]]),"")</f>
        <v>PAITA</v>
      </c>
      <c r="R313" s="2" t="str">
        <f>IFERROR(IF(MARÍTIMOS[[#This Row],[Almacén de Retiro]]="","",MARÍTIMOS[[#This Row],[Almacén de Retiro]]),"")</f>
        <v>DPW</v>
      </c>
      <c r="S313" s="11">
        <f>IFERROR(IF(MARÍTIMOS[[#This Row],[Etapa Retiro - Cita]]="","",MARÍTIMOS[[#This Row],[Etapa Retiro - Cita]]),"")</f>
        <v>46264.458333333336</v>
      </c>
      <c r="T313" s="11">
        <f>IFERROR(IF(MARÍTIMOS[[#This Row],[Etapa Retiro - Llegada]]="","",MARÍTIMOS[[#This Row],[Etapa Retiro - Llegada]]),"")</f>
        <v>46264.46597222222</v>
      </c>
      <c r="U313" s="11">
        <f>IFERROR(IF(MARÍTIMOS[[#This Row],[Etapa Retiro - Ingreso]]="","",MARÍTIMOS[[#This Row],[Etapa Retiro - Ingreso]]),"")</f>
        <v>46264.477083333331</v>
      </c>
      <c r="V313" s="11">
        <f>IFERROR(IF(MARÍTIMOS[[#This Row],[Etapa Retiro - Atención]]="","",MARÍTIMOS[[#This Row],[Etapa Retiro - Atención]]),"")</f>
        <v>46264.487500000003</v>
      </c>
      <c r="W313" s="11">
        <f>IFERROR(IF(MARÍTIMOS[[#This Row],[Etapa Retiro - Atención]]="","",MARÍTIMOS[[#This Row],[Etapa Retiro - Atención]]),"")</f>
        <v>46264.487500000003</v>
      </c>
      <c r="X313" s="11">
        <f>IFERROR(IF(MARÍTIMOS[[#This Row],[Etapa Retiro - Inicio de Ruta]]="","",MARÍTIMOS[[#This Row],[Etapa Retiro - Inicio de Ruta]]),"")</f>
        <v>46264.583333333336</v>
      </c>
      <c r="Y313" s="11">
        <f>IFERROR(IF(MARÍTIMOS[[#This Row],[Hora de Posicionamiento]]="","",MARÍTIMOS[[#This Row],[Fecha de Carga]]+MARÍTIMOS[[#This Row],[Hora de Posicionamiento]]),"")</f>
        <v>46265.5</v>
      </c>
      <c r="Z313" s="11">
        <f>IFERROR(IF(MARÍTIMOS[[#This Row],[Etapa Despacho - Llegada]]="","",MARÍTIMOS[[#This Row],[Etapa Despacho - Llegada]]),"")</f>
        <v>46264.988888888889</v>
      </c>
      <c r="AA313" s="11">
        <f>IFERROR(IF(MARÍTIMOS[[#This Row],[Etapa Despacho - Registro]]="","",MARÍTIMOS[[#This Row],[Etapa Despacho - Registro]]),"")</f>
        <v>46264.996527777781</v>
      </c>
      <c r="AB313" s="11">
        <f>IFERROR(IF(MARÍTIMOS[[#This Row],[Inspección Externa]]="","",MARÍTIMOS[[#This Row],[Inspección Externa]]),"")</f>
        <v>46265</v>
      </c>
      <c r="AC313" s="11">
        <f>IFERROR(IF(MARÍTIMOS[[#This Row],[Etapa Despacho - Inicio de Carga]]="","",MARÍTIMOS[[#This Row],[Etapa Despacho - Inicio de Carga]]),"")</f>
        <v>46265.013888888891</v>
      </c>
      <c r="AD313" s="11">
        <f>IFERROR(IF(MARÍTIMOS[[#This Row],[Etapa Despacho - Mitad de Carga]]="","",MARÍTIMOS[[#This Row],[Etapa Despacho - Mitad de Carga]]),"")</f>
        <v>46265.5</v>
      </c>
      <c r="AE313" s="11">
        <f>IFERROR(IF(MARÍTIMOS[[#This Row],[Etapa Despacho - Fin de Carga]]="","",MARÍTIMOS[[#This Row],[Etapa Despacho - Fin de Carga]]),"")</f>
        <v>46265.645833333336</v>
      </c>
      <c r="AF313" s="2" t="str">
        <f>IFERROR(IF(MARÍTIMOS[[#This Row],[Puerto de Embarque]]="","",MARÍTIMOS[[#This Row],[Puerto de Embarque]]),"")</f>
        <v>Paita</v>
      </c>
      <c r="AG313" s="2" t="str">
        <f>IFERROR(IF(MARÍTIMOS[[#This Row],[Almacén de Ingreso]]="","",MARÍTIMOS[[#This Row],[Almacén de Ingreso]]),"")</f>
        <v>TPE</v>
      </c>
      <c r="AH313" s="11">
        <f>IFERROR(IF(MARÍTIMOS[[#This Row],[Etapa Ingreso - Cita]]="","",MARÍTIMOS[[#This Row],[Etapa Ingreso - Cita]]),"")</f>
        <v>46266.125</v>
      </c>
      <c r="AI313" s="11">
        <f>IFERROR(IF(MARÍTIMOS[[#This Row],[Etapa Ingreso - Llegada]]="","",MARÍTIMOS[[#This Row],[Etapa Ingreso - Llegada]]),"")</f>
        <v>46266.138194444444</v>
      </c>
      <c r="AJ313" s="11">
        <f>IFERROR(IF(MARÍTIMOS[[#This Row],[Etapa Ingreso - Ingeso]]="","",MARÍTIMOS[[#This Row],[Etapa Ingreso - Ingeso]]),"")</f>
        <v>46266.149305555555</v>
      </c>
      <c r="AK313" s="11">
        <f>IFERROR(IF(MARÍTIMOS[[#This Row],[Etapa Ingreso - Atención]]="","",MARÍTIMOS[[#This Row],[Etapa Ingreso - Atención]]),"")</f>
        <v>46266.152777777781</v>
      </c>
      <c r="AL313" s="11">
        <f>IFERROR(IF(MARÍTIMOS[[#This Row],[Etapa Ingreso - Salida]]="","",MARÍTIMOS[[#This Row],[Etapa Ingreso - Salida]]),"")</f>
        <v>46266.168749999997</v>
      </c>
      <c r="AM313" s="2">
        <f>IFERROR(IF(MARÍTIMOS[[#This Row],[FCL]]="","",MARÍTIMOS[[#This Row],[FCL]]),"")</f>
        <v>1</v>
      </c>
      <c r="AN3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3" s="4" t="str" cm="1">
        <f t="array" ref="AO3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3" s="5">
        <f>IFERROR(OLDBD[[#This Row],[Llegada a packing]]-OLDBD[[#This Row],[Inicio de Ruta]],"")</f>
        <v>0.40555555555329192</v>
      </c>
      <c r="AQ313" s="6">
        <f>IFERROR(OLDBD[[#This Row],[Inicio de Ruta]]-OLDBD[[#This Row],[Salida de almacén de retiro]],"")</f>
        <v>9.5833333332848269E-2</v>
      </c>
      <c r="AR3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3" s="8" t="str" cm="1">
        <f t="array" ref="AS3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3" s="9">
        <f>IFERROR(OLDBD[[#This Row],[Ingreso Packing]]-OLDBD[[#This Row],[Registro en Packing]],"")</f>
        <v>3.4722222189884633E-3</v>
      </c>
      <c r="AV313" s="9">
        <f>IFERROR(OLDBD[[#This Row],[Ingreso Packing]]-OLDBD[[#This Row],[Llegada a packing]],"")</f>
        <v>1.1111111110949423E-2</v>
      </c>
      <c r="AW3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13" s="5">
        <f>IFERROR(OLDBD[[#This Row],[Llegada Almacén de Ingreso]]-OLDBD[[#This Row],[Salida Packing]],"")</f>
        <v>0.49236111110803904</v>
      </c>
      <c r="AY313" s="4" t="str" cm="1">
        <f t="array" ref="AY3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3" s="43" t="s">
        <v>173</v>
      </c>
      <c r="BB313" s="47" t="str">
        <f>IFERROR(IF(MARÍTIMOS[[#This Row],[Estatus]]="","",MARÍTIMOS[[#This Row],[Estatus]]),"")</f>
        <v>Confirmado</v>
      </c>
      <c r="BC313" s="43"/>
      <c r="BD313" s="46">
        <f>IFERROR(OLDBD[[#This Row],[Salida de almacén de retiro]]-OLDBD[[#This Row],[Ingreso Almacén de retiro]],"")</f>
        <v>1.0416666671517305E-2</v>
      </c>
      <c r="BE313" s="46">
        <f>IFERROR(OLDBD[[#This Row],[Fin de Carga]]-OLDBD[[#This Row],[Inicio de Carga]],"")</f>
        <v>0.48611111110949423</v>
      </c>
    </row>
    <row r="314" spans="1:57" customFormat="1" hidden="1">
      <c r="A314" s="1"/>
      <c r="B314" s="1">
        <f>IFERROR(IF(MARÍTIMOS[[#This Row],[PP]]="","",MARÍTIMOS[[#This Row],[PP]]),"")</f>
        <v>35</v>
      </c>
      <c r="C314" s="1" t="str">
        <f>IFERROR(IF(MARÍTIMOS[[#This Row],[Sede]]="","",MARÍTIMOS[[#This Row],[Sede]]),"")</f>
        <v>Chao</v>
      </c>
      <c r="D314" s="1" t="str">
        <f>IFERROR(IF(MARÍTIMOS[[#This Row],[Instruction]]="","",MARÍTIMOS[[#This Row],[Instruction]]),"")</f>
        <v>RH-0631</v>
      </c>
      <c r="E314" s="1"/>
      <c r="F314" s="2" t="str">
        <f>IFERROR(IF(MARÍTIMOS[[#This Row],[Transportista]]="","",MARÍTIMOS[[#This Row],[Transportista]]),"")</f>
        <v>LIP</v>
      </c>
      <c r="G314" s="2" t="str">
        <f>IFERROR(IF(MARÍTIMOS[[#This Row],[Tercero]]="","",MARÍTIMOS[[#This Row],[Tercero]]),"")</f>
        <v>SI</v>
      </c>
      <c r="H314" s="2" t="str">
        <f>IFERROR(IF(MARÍTIMOS[[#This Row],[Razón Social]]="","",MARÍTIMOS[[#This Row],[Razón Social]]),"")</f>
        <v>INVERSIONES LOS ALVARADO GROUP S.A.C.</v>
      </c>
      <c r="I314" s="2">
        <f>IFERROR(IF(MARÍTIMOS[[#This Row],[RUC]]="","",MARÍTIMOS[[#This Row],[RUC]]),"")</f>
        <v>20609890771</v>
      </c>
      <c r="J314" s="2" t="str">
        <f>IFERROR(IF(MARÍTIMOS[[#This Row],[Placa Tracto]]="","",MARÍTIMOS[[#This Row],[Placa Tracto]]),"")</f>
        <v>ALW-907</v>
      </c>
      <c r="K314" s="2" t="str">
        <f>IFERROR(IF(MARÍTIMOS[[#This Row],[Placa Carreta]]="","",MARÍTIMOS[[#This Row],[Placa Carreta]]),"")</f>
        <v>T0J-999</v>
      </c>
      <c r="L314" s="44" t="str">
        <f>IFERROR(IF(MARÍTIMOS[[#This Row],[Conductor]]="","",MARÍTIMOS[[#This Row],[Conductor]]),"")</f>
        <v>CAMPOS CORDOVA HAMILTON JAIRO</v>
      </c>
      <c r="M314" s="2" t="str">
        <f>IFERROR(IF(MARÍTIMOS[[#This Row],[Licencia]]="","",MARÍTIMOS[[#This Row],[Licencia]]),"")</f>
        <v>B44422939</v>
      </c>
      <c r="N314" s="2" t="str">
        <f>IFERROR(IF(MARÍTIMOS[[#This Row],[Número de Contacto]]="","",MARÍTIMOS[[#This Row],[Número de Contacto]]),"")</f>
        <v>920 808 102</v>
      </c>
      <c r="O314" s="10" t="str">
        <f>IFERROR(IF(MARÍTIMOS[[#This Row],[Booking|AWB|CRT]]="","",MARÍTIMOS[[#This Row],[Booking|AWB|CRT]]),"")</f>
        <v>PER9203962A</v>
      </c>
      <c r="P314" s="2" t="str">
        <f>IFERROR(IF(MARÍTIMOS[[#This Row],[Contenedor]]="","",MARÍTIMOS[[#This Row],[Contenedor]]),"")</f>
        <v>BEAU9706356</v>
      </c>
      <c r="Q314" s="2" t="str">
        <f>IFERROR(IF(MARÍTIMOS[[#This Row],[Puerto de Retiro]]="","",MARÍTIMOS[[#This Row],[Puerto de Retiro]]),"")</f>
        <v>PAITA</v>
      </c>
      <c r="R314" s="2" t="str">
        <f>IFERROR(IF(MARÍTIMOS[[#This Row],[Almacén de Retiro]]="","",MARÍTIMOS[[#This Row],[Almacén de Retiro]]),"")</f>
        <v>DPW</v>
      </c>
      <c r="S314" s="11">
        <f>IFERROR(IF(MARÍTIMOS[[#This Row],[Etapa Retiro - Cita]]="","",MARÍTIMOS[[#This Row],[Etapa Retiro - Cita]]),"")</f>
        <v>46264.458333333336</v>
      </c>
      <c r="T314" s="11">
        <f>IFERROR(IF(MARÍTIMOS[[#This Row],[Etapa Retiro - Llegada]]="","",MARÍTIMOS[[#This Row],[Etapa Retiro - Llegada]]),"")</f>
        <v>46264.447916666664</v>
      </c>
      <c r="U314" s="11">
        <f>IFERROR(IF(MARÍTIMOS[[#This Row],[Etapa Retiro - Ingreso]]="","",MARÍTIMOS[[#This Row],[Etapa Retiro - Ingreso]]),"")</f>
        <v>46264.500694444447</v>
      </c>
      <c r="V314" s="11">
        <f>IFERROR(IF(MARÍTIMOS[[#This Row],[Etapa Retiro - Atención]]="","",MARÍTIMOS[[#This Row],[Etapa Retiro - Atención]]),"")</f>
        <v>46264.520833333336</v>
      </c>
      <c r="W314" s="11">
        <f>IFERROR(IF(MARÍTIMOS[[#This Row],[Etapa Retiro - Atención]]="","",MARÍTIMOS[[#This Row],[Etapa Retiro - Atención]]),"")</f>
        <v>46264.520833333336</v>
      </c>
      <c r="X314" s="11">
        <f>IFERROR(IF(MARÍTIMOS[[#This Row],[Etapa Retiro - Inicio de Ruta]]="","",MARÍTIMOS[[#This Row],[Etapa Retiro - Inicio de Ruta]]),"")</f>
        <v>46264.583333333336</v>
      </c>
      <c r="Y314" s="11">
        <f>IFERROR(IF(MARÍTIMOS[[#This Row],[Hora de Posicionamiento]]="","",MARÍTIMOS[[#This Row],[Fecha de Carga]]+MARÍTIMOS[[#This Row],[Hora de Posicionamiento]]),"")</f>
        <v>46265.375</v>
      </c>
      <c r="Z314" s="11">
        <f>IFERROR(IF(MARÍTIMOS[[#This Row],[Etapa Despacho - Llegada]]="","",MARÍTIMOS[[#This Row],[Etapa Despacho - Llegada]]),"")</f>
        <v>46265.347222222219</v>
      </c>
      <c r="AA314" s="11">
        <f>IFERROR(IF(MARÍTIMOS[[#This Row],[Etapa Despacho - Registro]]="","",MARÍTIMOS[[#This Row],[Etapa Despacho - Registro]]),"")</f>
        <v>46265.349305555559</v>
      </c>
      <c r="AB314" s="11">
        <f>IFERROR(IF(MARÍTIMOS[[#This Row],[Inspección Externa]]="","",MARÍTIMOS[[#This Row],[Inspección Externa]]),"")</f>
        <v>46265.352777777778</v>
      </c>
      <c r="AC314" s="11">
        <f>IFERROR(IF(MARÍTIMOS[[#This Row],[Etapa Despacho - Inicio de Carga]]="","",MARÍTIMOS[[#This Row],[Etapa Despacho - Inicio de Carga]]),"")</f>
        <v>46265.4375</v>
      </c>
      <c r="AD314" s="11">
        <f>IFERROR(IF(MARÍTIMOS[[#This Row],[Etapa Despacho - Mitad de Carga]]="","",MARÍTIMOS[[#This Row],[Etapa Despacho - Mitad de Carga]]),"")</f>
        <v>46265.465277777781</v>
      </c>
      <c r="AE314" s="11">
        <f>IFERROR(IF(MARÍTIMOS[[#This Row],[Etapa Despacho - Fin de Carga]]="","",MARÍTIMOS[[#This Row],[Etapa Despacho - Fin de Carga]]),"")</f>
        <v>46265.520833333336</v>
      </c>
      <c r="AF314" s="2" t="str">
        <f>IFERROR(IF(MARÍTIMOS[[#This Row],[Puerto de Embarque]]="","",MARÍTIMOS[[#This Row],[Puerto de Embarque]]),"")</f>
        <v>Paita</v>
      </c>
      <c r="AG314" s="2" t="str">
        <f>IFERROR(IF(MARÍTIMOS[[#This Row],[Almacén de Ingreso]]="","",MARÍTIMOS[[#This Row],[Almacén de Ingreso]]),"")</f>
        <v>TPE</v>
      </c>
      <c r="AH314" s="11">
        <f>IFERROR(IF(MARÍTIMOS[[#This Row],[Etapa Ingreso - Cita]]="","",MARÍTIMOS[[#This Row],[Etapa Ingreso - Cita]]),"")</f>
        <v>46266.083333333336</v>
      </c>
      <c r="AI314" s="11">
        <f>IFERROR(IF(MARÍTIMOS[[#This Row],[Etapa Ingreso - Llegada]]="","",MARÍTIMOS[[#This Row],[Etapa Ingreso - Llegada]]),"")</f>
        <v>46266.068749999999</v>
      </c>
      <c r="AJ314" s="11">
        <f>IFERROR(IF(MARÍTIMOS[[#This Row],[Etapa Ingreso - Ingeso]]="","",MARÍTIMOS[[#This Row],[Etapa Ingreso - Ingeso]]),"")</f>
        <v>46266.072916666664</v>
      </c>
      <c r="AK314" s="11">
        <f>IFERROR(IF(MARÍTIMOS[[#This Row],[Etapa Ingreso - Atención]]="","",MARÍTIMOS[[#This Row],[Etapa Ingreso - Atención]]),"")</f>
        <v>46266.079861111109</v>
      </c>
      <c r="AL314" s="11">
        <f>IFERROR(IF(MARÍTIMOS[[#This Row],[Etapa Ingreso - Salida]]="","",MARÍTIMOS[[#This Row],[Etapa Ingreso - Salida]]),"")</f>
        <v>46266.084722222222</v>
      </c>
      <c r="AM314" s="2">
        <f>IFERROR(IF(MARÍTIMOS[[#This Row],[FCL]]="","",MARÍTIMOS[[#This Row],[FCL]]),"")</f>
        <v>1</v>
      </c>
      <c r="AN3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4" s="4" t="str" cm="1">
        <f t="array" ref="AO3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4" s="5">
        <f>IFERROR(OLDBD[[#This Row],[Llegada a packing]]-OLDBD[[#This Row],[Inicio de Ruta]],"")</f>
        <v>0.76388888888322981</v>
      </c>
      <c r="AQ314" s="6">
        <f>IFERROR(OLDBD[[#This Row],[Inicio de Ruta]]-OLDBD[[#This Row],[Salida de almacén de retiro]],"")</f>
        <v>6.25E-2</v>
      </c>
      <c r="AR3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4" s="8" t="str" cm="1">
        <f t="array" ref="AS3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4" s="9">
        <f>IFERROR(OLDBD[[#This Row],[Ingreso Packing]]-OLDBD[[#This Row],[Registro en Packing]],"")</f>
        <v>3.4722222189884633E-3</v>
      </c>
      <c r="AV314" s="9">
        <f>IFERROR(OLDBD[[#This Row],[Ingreso Packing]]-OLDBD[[#This Row],[Llegada a packing]],"")</f>
        <v>5.5555555591126904E-3</v>
      </c>
      <c r="AW3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14" s="5">
        <f>IFERROR(OLDBD[[#This Row],[Llegada Almacén de Ingreso]]-OLDBD[[#This Row],[Salida Packing]],"")</f>
        <v>0.54791666666278616</v>
      </c>
      <c r="AY314" s="4" t="str" cm="1">
        <f t="array" ref="AY3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4" s="43" t="s">
        <v>173</v>
      </c>
      <c r="BB314" s="47" t="str">
        <f>IFERROR(IF(MARÍTIMOS[[#This Row],[Estatus]]="","",MARÍTIMOS[[#This Row],[Estatus]]),"")</f>
        <v>Confirmado</v>
      </c>
      <c r="BC314" s="43"/>
      <c r="BD314" s="46">
        <f>IFERROR(OLDBD[[#This Row],[Salida de almacén de retiro]]-OLDBD[[#This Row],[Ingreso Almacén de retiro]],"")</f>
        <v>2.0138888889050577E-2</v>
      </c>
      <c r="BE314" s="46">
        <f>IFERROR(OLDBD[[#This Row],[Fin de Carga]]-OLDBD[[#This Row],[Inicio de Carga]],"")</f>
        <v>2.7777777781011537E-2</v>
      </c>
    </row>
    <row r="315" spans="1:57" customFormat="1" hidden="1">
      <c r="A315" s="1"/>
      <c r="B315" s="1">
        <f>IFERROR(IF(MARÍTIMOS[[#This Row],[PP]]="","",MARÍTIMOS[[#This Row],[PP]]),"")</f>
        <v>35</v>
      </c>
      <c r="C315" s="1" t="str">
        <f>IFERROR(IF(MARÍTIMOS[[#This Row],[Sede]]="","",MARÍTIMOS[[#This Row],[Sede]]),"")</f>
        <v>Chao</v>
      </c>
      <c r="D315" s="1" t="str">
        <f>IFERROR(IF(MARÍTIMOS[[#This Row],[Instruction]]="","",MARÍTIMOS[[#This Row],[Instruction]]),"")</f>
        <v>RH-0604</v>
      </c>
      <c r="E315" s="1"/>
      <c r="F315" s="2" t="str">
        <f>IFERROR(IF(MARÍTIMOS[[#This Row],[Transportista]]="","",MARÍTIMOS[[#This Row],[Transportista]]),"")</f>
        <v>LIP</v>
      </c>
      <c r="G315" s="2" t="str">
        <f>IFERROR(IF(MARÍTIMOS[[#This Row],[Tercero]]="","",MARÍTIMOS[[#This Row],[Tercero]]),"")</f>
        <v>SI</v>
      </c>
      <c r="H315" s="2" t="str">
        <f>IFERROR(IF(MARÍTIMOS[[#This Row],[Razón Social]]="","",MARÍTIMOS[[#This Row],[Razón Social]]),"")</f>
        <v>TRANSPORTES KALING SOCIEDAD ANONIMA CERRADA</v>
      </c>
      <c r="I315" s="2">
        <f>IFERROR(IF(MARÍTIMOS[[#This Row],[RUC]]="","",MARÍTIMOS[[#This Row],[RUC]]),"")</f>
        <v>20611958651</v>
      </c>
      <c r="J315" s="2" t="str">
        <f>IFERROR(IF(MARÍTIMOS[[#This Row],[Placa Tracto]]="","",MARÍTIMOS[[#This Row],[Placa Tracto]]),"")</f>
        <v>TFE-890</v>
      </c>
      <c r="K315" s="2" t="str">
        <f>IFERROR(IF(MARÍTIMOS[[#This Row],[Placa Carreta]]="","",MARÍTIMOS[[#This Row],[Placa Carreta]]),"")</f>
        <v>TPC-988</v>
      </c>
      <c r="L315" s="44" t="str">
        <f>IFERROR(IF(MARÍTIMOS[[#This Row],[Conductor]]="","",MARÍTIMOS[[#This Row],[Conductor]]),"")</f>
        <v>IPANAQUE JARAMILLO JOSE ENRIQUE</v>
      </c>
      <c r="M315" s="2" t="str">
        <f>IFERROR(IF(MARÍTIMOS[[#This Row],[Licencia]]="","",MARÍTIMOS[[#This Row],[Licencia]]),"")</f>
        <v>B76804385</v>
      </c>
      <c r="N315" s="2" t="str">
        <f>IFERROR(IF(MARÍTIMOS[[#This Row],[Número de Contacto]]="","",MARÍTIMOS[[#This Row],[Número de Contacto]]),"")</f>
        <v>966 520 613</v>
      </c>
      <c r="O315" s="10" t="str">
        <f>IFERROR(IF(MARÍTIMOS[[#This Row],[Booking|AWB|CRT]]="","",MARÍTIMOS[[#This Row],[Booking|AWB|CRT]]),"")</f>
        <v>PER9203961A</v>
      </c>
      <c r="P315" s="2" t="str">
        <f>IFERROR(IF(MARÍTIMOS[[#This Row],[Contenedor]]="","",MARÍTIMOS[[#This Row],[Contenedor]]),"")</f>
        <v>BEAU9712301</v>
      </c>
      <c r="Q315" s="2" t="str">
        <f>IFERROR(IF(MARÍTIMOS[[#This Row],[Puerto de Retiro]]="","",MARÍTIMOS[[#This Row],[Puerto de Retiro]]),"")</f>
        <v>PAITA</v>
      </c>
      <c r="R315" s="2" t="str">
        <f>IFERROR(IF(MARÍTIMOS[[#This Row],[Almacén de Retiro]]="","",MARÍTIMOS[[#This Row],[Almacén de Retiro]]),"")</f>
        <v>DPW</v>
      </c>
      <c r="S315" s="11">
        <f>IFERROR(IF(MARÍTIMOS[[#This Row],[Etapa Retiro - Cita]]="","",MARÍTIMOS[[#This Row],[Etapa Retiro - Cita]]),"")</f>
        <v>46264.458333333336</v>
      </c>
      <c r="T315" s="11">
        <f>IFERROR(IF(MARÍTIMOS[[#This Row],[Etapa Retiro - Llegada]]="","",MARÍTIMOS[[#This Row],[Etapa Retiro - Llegada]]),"")</f>
        <v>46264.490972222222</v>
      </c>
      <c r="U315" s="11">
        <f>IFERROR(IF(MARÍTIMOS[[#This Row],[Etapa Retiro - Ingreso]]="","",MARÍTIMOS[[#This Row],[Etapa Retiro - Ingreso]]),"")</f>
        <v>46264.503472222219</v>
      </c>
      <c r="V315" s="11">
        <f>IFERROR(IF(MARÍTIMOS[[#This Row],[Etapa Retiro - Atención]]="","",MARÍTIMOS[[#This Row],[Etapa Retiro - Atención]]),"")</f>
        <v>46264.506944444445</v>
      </c>
      <c r="W315" s="11">
        <f>IFERROR(IF(MARÍTIMOS[[#This Row],[Etapa Retiro - Atención]]="","",MARÍTIMOS[[#This Row],[Etapa Retiro - Atención]]),"")</f>
        <v>46264.506944444445</v>
      </c>
      <c r="X315" s="11">
        <f>IFERROR(IF(MARÍTIMOS[[#This Row],[Etapa Retiro - Inicio de Ruta]]="","",MARÍTIMOS[[#This Row],[Etapa Retiro - Inicio de Ruta]]),"")</f>
        <v>46264.5625</v>
      </c>
      <c r="Y315" s="11">
        <f>IFERROR(IF(MARÍTIMOS[[#This Row],[Hora de Posicionamiento]]="","",MARÍTIMOS[[#This Row],[Fecha de Carga]]+MARÍTIMOS[[#This Row],[Hora de Posicionamiento]]),"")</f>
        <v>46265.5</v>
      </c>
      <c r="Z315" s="11">
        <f>IFERROR(IF(MARÍTIMOS[[#This Row],[Etapa Despacho - Llegada]]="","",MARÍTIMOS[[#This Row],[Etapa Despacho - Llegada]]),"")</f>
        <v>46265.411805555559</v>
      </c>
      <c r="AA315" s="11">
        <f>IFERROR(IF(MARÍTIMOS[[#This Row],[Etapa Despacho - Registro]]="","",MARÍTIMOS[[#This Row],[Etapa Despacho - Registro]]),"")</f>
        <v>46265.416666666664</v>
      </c>
      <c r="AB315" s="11">
        <f>IFERROR(IF(MARÍTIMOS[[#This Row],[Inspección Externa]]="","",MARÍTIMOS[[#This Row],[Inspección Externa]]),"")</f>
        <v>46265.420138888891</v>
      </c>
      <c r="AC315" s="11">
        <f>IFERROR(IF(MARÍTIMOS[[#This Row],[Etapa Despacho - Inicio de Carga]]="","",MARÍTIMOS[[#This Row],[Etapa Despacho - Inicio de Carga]]),"")</f>
        <v>46265.434027777781</v>
      </c>
      <c r="AD315" s="11">
        <f>IFERROR(IF(MARÍTIMOS[[#This Row],[Etapa Despacho - Mitad de Carga]]="","",MARÍTIMOS[[#This Row],[Etapa Despacho - Mitad de Carga]]),"")</f>
        <v>46266.152777777781</v>
      </c>
      <c r="AE315" s="11">
        <f>IFERROR(IF(MARÍTIMOS[[#This Row],[Etapa Despacho - Fin de Carga]]="","",MARÍTIMOS[[#This Row],[Etapa Despacho - Fin de Carga]]),"")</f>
        <v>46266.229166666664</v>
      </c>
      <c r="AF315" s="2" t="str">
        <f>IFERROR(IF(MARÍTIMOS[[#This Row],[Puerto de Embarque]]="","",MARÍTIMOS[[#This Row],[Puerto de Embarque]]),"")</f>
        <v>Paita</v>
      </c>
      <c r="AG315" s="2" t="str">
        <f>IFERROR(IF(MARÍTIMOS[[#This Row],[Almacén de Ingreso]]="","",MARÍTIMOS[[#This Row],[Almacén de Ingreso]]),"")</f>
        <v>TPE</v>
      </c>
      <c r="AH315" s="11">
        <f>IFERROR(IF(MARÍTIMOS[[#This Row],[Etapa Ingreso - Cita]]="","",MARÍTIMOS[[#This Row],[Etapa Ingreso - Cita]]),"")</f>
        <v>46266.208333333336</v>
      </c>
      <c r="AI315" s="11">
        <f>IFERROR(IF(MARÍTIMOS[[#This Row],[Etapa Ingreso - Llegada]]="","",MARÍTIMOS[[#This Row],[Etapa Ingreso - Llegada]]),"")</f>
        <v>46266.22152777778</v>
      </c>
      <c r="AJ315" s="11">
        <f>IFERROR(IF(MARÍTIMOS[[#This Row],[Etapa Ingreso - Ingeso]]="","",MARÍTIMOS[[#This Row],[Etapa Ingreso - Ingeso]]),"")</f>
        <v>46266.229166666664</v>
      </c>
      <c r="AK315" s="11">
        <f>IFERROR(IF(MARÍTIMOS[[#This Row],[Etapa Ingreso - Atención]]="","",MARÍTIMOS[[#This Row],[Etapa Ingreso - Atención]]),"")</f>
        <v>46266.232638888891</v>
      </c>
      <c r="AL315" s="11">
        <f>IFERROR(IF(MARÍTIMOS[[#This Row],[Etapa Ingreso - Salida]]="","",MARÍTIMOS[[#This Row],[Etapa Ingreso - Salida]]),"")</f>
        <v>46266.238194444442</v>
      </c>
      <c r="AM315" s="2">
        <f>IFERROR(IF(MARÍTIMOS[[#This Row],[FCL]]="","",MARÍTIMOS[[#This Row],[FCL]]),"")</f>
        <v>1</v>
      </c>
      <c r="AN3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5" s="4" t="str" cm="1">
        <f t="array" ref="AO3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5" s="5">
        <f>IFERROR(OLDBD[[#This Row],[Llegada a packing]]-OLDBD[[#This Row],[Inicio de Ruta]],"")</f>
        <v>0.84930555555911269</v>
      </c>
      <c r="AQ315" s="6">
        <f>IFERROR(OLDBD[[#This Row],[Inicio de Ruta]]-OLDBD[[#This Row],[Salida de almacén de retiro]],"")</f>
        <v>5.5555555554747116E-2</v>
      </c>
      <c r="AR3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5" s="8" t="str" cm="1">
        <f t="array" ref="AS3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5" s="9">
        <f>IFERROR(OLDBD[[#This Row],[Ingreso Packing]]-OLDBD[[#This Row],[Registro en Packing]],"")</f>
        <v>3.4722222262644209E-3</v>
      </c>
      <c r="AV315" s="9">
        <f>IFERROR(OLDBD[[#This Row],[Ingreso Packing]]-OLDBD[[#This Row],[Llegada a packing]],"")</f>
        <v>8.333333331393078E-3</v>
      </c>
      <c r="AW3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15" s="5">
        <f>IFERROR(OLDBD[[#This Row],[Llegada Almacén de Ingreso]]-OLDBD[[#This Row],[Salida Packing]],"")</f>
        <v>-7.6388888846850023E-3</v>
      </c>
      <c r="AY315" s="4" t="str" cm="1">
        <f t="array" ref="AY3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5" s="43" t="s">
        <v>173</v>
      </c>
      <c r="BB315" s="47" t="str">
        <f>IFERROR(IF(MARÍTIMOS[[#This Row],[Estatus]]="","",MARÍTIMOS[[#This Row],[Estatus]]),"")</f>
        <v>Confirmado</v>
      </c>
      <c r="BC315" s="43"/>
      <c r="BD315" s="46">
        <f>IFERROR(OLDBD[[#This Row],[Salida de almacén de retiro]]-OLDBD[[#This Row],[Ingreso Almacén de retiro]],"")</f>
        <v>3.4722222262644209E-3</v>
      </c>
      <c r="BE315" s="46">
        <f>IFERROR(OLDBD[[#This Row],[Fin de Carga]]-OLDBD[[#This Row],[Inicio de Carga]],"")</f>
        <v>0.71875</v>
      </c>
    </row>
    <row r="316" spans="1:57" hidden="1">
      <c r="A316" s="52"/>
      <c r="B316" s="52">
        <f>IFERROR(IF(MARÍTIMOS[[#This Row],[PP]]="","",MARÍTIMOS[[#This Row],[PP]]),"")</f>
        <v>35</v>
      </c>
      <c r="C316" s="52" t="str">
        <f>IFERROR(IF(MARÍTIMOS[[#This Row],[Sede]]="","",MARÍTIMOS[[#This Row],[Sede]]),"")</f>
        <v>Chao</v>
      </c>
      <c r="D316" s="52" t="str">
        <f>IFERROR(IF(MARÍTIMOS[[#This Row],[Instruction]]="","",MARÍTIMOS[[#This Row],[Instruction]]),"")</f>
        <v>RH-0634</v>
      </c>
      <c r="E316" s="52"/>
      <c r="F316" s="53" t="str">
        <f>IFERROR(IF(MARÍTIMOS[[#This Row],[Transportista]]="","",MARÍTIMOS[[#This Row],[Transportista]]),"")</f>
        <v>LIP</v>
      </c>
      <c r="G316" s="53" t="str">
        <f>IFERROR(IF(MARÍTIMOS[[#This Row],[Tercero]]="","",MARÍTIMOS[[#This Row],[Tercero]]),"")</f>
        <v>NO</v>
      </c>
      <c r="H316" s="53" t="str">
        <f>IFERROR(IF(MARÍTIMOS[[#This Row],[Razón Social]]="","",MARÍTIMOS[[#This Row],[Razón Social]]),"")</f>
        <v>LOGISTICA INTERMODAL DEL PERU S.A.C.</v>
      </c>
      <c r="I316" s="53">
        <f>IFERROR(IF(MARÍTIMOS[[#This Row],[RUC]]="","",MARÍTIMOS[[#This Row],[RUC]]),"")</f>
        <v>20513040718</v>
      </c>
      <c r="J316" s="53" t="str">
        <f>IFERROR(IF(MARÍTIMOS[[#This Row],[Placa Tracto]]="","",MARÍTIMOS[[#This Row],[Placa Tracto]]),"")</f>
        <v>BHG-947</v>
      </c>
      <c r="K316" s="53" t="str">
        <f>IFERROR(IF(MARÍTIMOS[[#This Row],[Placa Carreta]]="","",MARÍTIMOS[[#This Row],[Placa Carreta]]),"")</f>
        <v>AZL-985</v>
      </c>
      <c r="L316" s="54" t="str">
        <f>IFERROR(IF(MARÍTIMOS[[#This Row],[Conductor]]="","",MARÍTIMOS[[#This Row],[Conductor]]),"")</f>
        <v>GUZMAN MENDOZA FERNANDO</v>
      </c>
      <c r="M316" s="53" t="str">
        <f>IFERROR(IF(MARÍTIMOS[[#This Row],[Licencia]]="","",MARÍTIMOS[[#This Row],[Licencia]]),"")</f>
        <v>Q18202916</v>
      </c>
      <c r="N316" s="53" t="str">
        <f>IFERROR(IF(MARÍTIMOS[[#This Row],[Número de Contacto]]="","",MARÍTIMOS[[#This Row],[Número de Contacto]]),"")</f>
        <v>941 367 356</v>
      </c>
      <c r="O316" s="55" t="str">
        <f>IFERROR(IF(MARÍTIMOS[[#This Row],[Booking|AWB|CRT]]="","",MARÍTIMOS[[#This Row],[Booking|AWB|CRT]]),"")</f>
        <v>PER9211727A</v>
      </c>
      <c r="P316" s="53" t="str">
        <f>IFERROR(IF(MARÍTIMOS[[#This Row],[Contenedor]]="","",MARÍTIMOS[[#This Row],[Contenedor]]),"")</f>
        <v>BEAU9707579</v>
      </c>
      <c r="Q316" s="53" t="str">
        <f>IFERROR(IF(MARÍTIMOS[[#This Row],[Puerto de Retiro]]="","",MARÍTIMOS[[#This Row],[Puerto de Retiro]]),"")</f>
        <v>PAITA</v>
      </c>
      <c r="R316" s="53" t="str">
        <f>IFERROR(IF(MARÍTIMOS[[#This Row],[Almacén de Retiro]]="","",MARÍTIMOS[[#This Row],[Almacén de Retiro]]),"")</f>
        <v>DPW</v>
      </c>
      <c r="S316" s="56">
        <f>IFERROR(IF(MARÍTIMOS[[#This Row],[Etapa Retiro - Cita]]="","",MARÍTIMOS[[#This Row],[Etapa Retiro - Cita]]),"")</f>
        <v>46265.458333333336</v>
      </c>
      <c r="T316" s="56">
        <f>IFERROR(IF(MARÍTIMOS[[#This Row],[Etapa Retiro - Llegada]]="","",MARÍTIMOS[[#This Row],[Etapa Retiro - Llegada]]),"")</f>
        <v>46265.486111111109</v>
      </c>
      <c r="U316" s="56">
        <f>IFERROR(IF(MARÍTIMOS[[#This Row],[Etapa Retiro - Ingreso]]="","",MARÍTIMOS[[#This Row],[Etapa Retiro - Ingreso]]),"")</f>
        <v>46265.498611111114</v>
      </c>
      <c r="V316" s="56">
        <f>IFERROR(IF(MARÍTIMOS[[#This Row],[Etapa Retiro - Atención]]="","",MARÍTIMOS[[#This Row],[Etapa Retiro - Atención]]),"")</f>
        <v>46265.499305555553</v>
      </c>
      <c r="W316" s="56">
        <f>IFERROR(IF(MARÍTIMOS[[#This Row],[Etapa Retiro - Atención]]="","",MARÍTIMOS[[#This Row],[Etapa Retiro - Atención]]),"")</f>
        <v>46265.499305555553</v>
      </c>
      <c r="X316" s="56">
        <f>IFERROR(IF(MARÍTIMOS[[#This Row],[Etapa Retiro - Inicio de Ruta]]="","",MARÍTIMOS[[#This Row],[Etapa Retiro - Inicio de Ruta]]),"")</f>
        <v>46265.59097222222</v>
      </c>
      <c r="Y316" s="56">
        <f>IFERROR(IF(MARÍTIMOS[[#This Row],[Hora de Posicionamiento]]="","",MARÍTIMOS[[#This Row],[Fecha de Carga]]+MARÍTIMOS[[#This Row],[Hora de Posicionamiento]]),"")</f>
        <v>46266.333333333336</v>
      </c>
      <c r="Z316" s="56">
        <f>IFERROR(IF(MARÍTIMOS[[#This Row],[Etapa Despacho - Llegada]]="","",MARÍTIMOS[[#This Row],[Etapa Despacho - Llegada]]),"")</f>
        <v>46266.361111111109</v>
      </c>
      <c r="AA316" s="56">
        <f>IFERROR(IF(MARÍTIMOS[[#This Row],[Etapa Despacho - Registro]]="","",MARÍTIMOS[[#This Row],[Etapa Despacho - Registro]]),"")</f>
        <v>46266.361805555556</v>
      </c>
      <c r="AB316" s="56">
        <f>IFERROR(IF(MARÍTIMOS[[#This Row],[Inspección Externa]]="","",MARÍTIMOS[[#This Row],[Inspección Externa]]),"")</f>
        <v>46266.361805555556</v>
      </c>
      <c r="AC316" s="56">
        <f>IFERROR(IF(MARÍTIMOS[[#This Row],[Etapa Despacho - Inicio de Carga]]="","",MARÍTIMOS[[#This Row],[Etapa Despacho - Inicio de Carga]]),"")</f>
        <v>46266.459722222222</v>
      </c>
      <c r="AD316" s="56">
        <f>IFERROR(IF(MARÍTIMOS[[#This Row],[Etapa Despacho - Mitad de Carga]]="","",MARÍTIMOS[[#This Row],[Etapa Despacho - Mitad de Carga]]),"")</f>
        <v>46266.47152777778</v>
      </c>
      <c r="AE316" s="56">
        <f>IFERROR(IF(MARÍTIMOS[[#This Row],[Etapa Despacho - Fin de Carga]]="","",MARÍTIMOS[[#This Row],[Etapa Despacho - Fin de Carga]]),"")</f>
        <v>46266.479861111111</v>
      </c>
      <c r="AF316" s="53" t="str">
        <f>IFERROR(IF(MARÍTIMOS[[#This Row],[Puerto de Embarque]]="","",MARÍTIMOS[[#This Row],[Puerto de Embarque]]),"")</f>
        <v>Paita</v>
      </c>
      <c r="AG316" s="53" t="str">
        <f>IFERROR(IF(MARÍTIMOS[[#This Row],[Almacén de Ingreso]]="","",MARÍTIMOS[[#This Row],[Almacén de Ingreso]]),"")</f>
        <v>TPE</v>
      </c>
      <c r="AH316" s="56">
        <f>IFERROR(IF(MARÍTIMOS[[#This Row],[Etapa Ingreso - Cita]]="","",MARÍTIMOS[[#This Row],[Etapa Ingreso - Cita]]),"")</f>
        <v>46267.416666666664</v>
      </c>
      <c r="AI316" s="56">
        <f>IFERROR(IF(MARÍTIMOS[[#This Row],[Etapa Ingreso - Llegada]]="","",MARÍTIMOS[[#This Row],[Etapa Ingreso - Llegada]]),"")</f>
        <v>46267.415972222225</v>
      </c>
      <c r="AJ316" s="56">
        <f>IFERROR(IF(MARÍTIMOS[[#This Row],[Etapa Ingreso - Ingeso]]="","",MARÍTIMOS[[#This Row],[Etapa Ingreso - Ingeso]]),"")</f>
        <v>46267.422222222223</v>
      </c>
      <c r="AK316" s="56">
        <f>IFERROR(IF(MARÍTIMOS[[#This Row],[Etapa Ingreso - Atención]]="","",MARÍTIMOS[[#This Row],[Etapa Ingreso - Atención]]),"")</f>
        <v>46267.425000000003</v>
      </c>
      <c r="AL316" s="56">
        <f>IFERROR(IF(MARÍTIMOS[[#This Row],[Etapa Ingreso - Salida]]="","",MARÍTIMOS[[#This Row],[Etapa Ingreso - Salida]]),"")</f>
        <v>46267.435416666667</v>
      </c>
      <c r="AM316" s="53">
        <f>IFERROR(IF(MARÍTIMOS[[#This Row],[FCL]]="","",MARÍTIMOS[[#This Row],[FCL]]),"")</f>
        <v>1</v>
      </c>
      <c r="AN316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6" s="4" t="str" cm="1">
        <f t="array" ref="AO3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6" s="6">
        <f>IFERROR(OLDBD[[#This Row],[Llegada a packing]]-OLDBD[[#This Row],[Inicio de Ruta]],"")</f>
        <v>0.77013888888905058</v>
      </c>
      <c r="AQ316" s="6">
        <f>IFERROR(OLDBD[[#This Row],[Inicio de Ruta]]-OLDBD[[#This Row],[Salida de almacén de retiro]],"")</f>
        <v>9.1666666667151731E-2</v>
      </c>
      <c r="AR316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16" s="8" t="str" cm="1">
        <f t="array" ref="AS3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6" s="9">
        <f>IFERROR(OLDBD[[#This Row],[Ingreso Packing]]-OLDBD[[#This Row],[Registro en Packing]],"")</f>
        <v>0</v>
      </c>
      <c r="AV316" s="9">
        <f>IFERROR(OLDBD[[#This Row],[Ingreso Packing]]-OLDBD[[#This Row],[Llegada a packing]],"")</f>
        <v>6.944444467080757E-4</v>
      </c>
      <c r="AW3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16" s="6">
        <f>IFERROR(OLDBD[[#This Row],[Llegada Almacén de Ingreso]]-OLDBD[[#This Row],[Salida Packing]],"")</f>
        <v>0.93611111111385981</v>
      </c>
      <c r="AY316" s="4" t="str" cm="1">
        <f t="array" ref="AY3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6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6" s="58" t="s">
        <v>173</v>
      </c>
      <c r="BB316" s="59" t="str">
        <f>IFERROR(IF(MARÍTIMOS[[#This Row],[Estatus]]="","",MARÍTIMOS[[#This Row],[Estatus]]),"")</f>
        <v>Confirmado</v>
      </c>
      <c r="BC316" s="58"/>
      <c r="BD316" s="60">
        <f>IFERROR(OLDBD[[#This Row],[Salida de almacén de retiro]]-OLDBD[[#This Row],[Ingreso Almacén de retiro]],"")</f>
        <v>6.9444443943211809E-4</v>
      </c>
      <c r="BE316" s="60">
        <f>IFERROR(OLDBD[[#This Row],[Fin de Carga]]-OLDBD[[#This Row],[Inicio de Carga]],"")</f>
        <v>1.1805555557657499E-2</v>
      </c>
    </row>
    <row r="317" spans="1:57" hidden="1">
      <c r="A317" s="52"/>
      <c r="B317" s="52">
        <f>IFERROR(IF(MARÍTIMOS[[#This Row],[PP]]="","",MARÍTIMOS[[#This Row],[PP]]),"")</f>
        <v>35</v>
      </c>
      <c r="C317" s="52" t="str">
        <f>IFERROR(IF(MARÍTIMOS[[#This Row],[Sede]]="","",MARÍTIMOS[[#This Row],[Sede]]),"")</f>
        <v>Chao</v>
      </c>
      <c r="D317" s="52" t="str">
        <f>IFERROR(IF(MARÍTIMOS[[#This Row],[Instruction]]="","",MARÍTIMOS[[#This Row],[Instruction]]),"")</f>
        <v>RH-0635</v>
      </c>
      <c r="E317" s="52"/>
      <c r="F317" s="53" t="str">
        <f>IFERROR(IF(MARÍTIMOS[[#This Row],[Transportista]]="","",MARÍTIMOS[[#This Row],[Transportista]]),"")</f>
        <v>LIP</v>
      </c>
      <c r="G317" s="53" t="str">
        <f>IFERROR(IF(MARÍTIMOS[[#This Row],[Tercero]]="","",MARÍTIMOS[[#This Row],[Tercero]]),"")</f>
        <v>SI</v>
      </c>
      <c r="H317" s="53" t="str">
        <f>IFERROR(IF(MARÍTIMOS[[#This Row],[Razón Social]]="","",MARÍTIMOS[[#This Row],[Razón Social]]),"")</f>
        <v>J.J. PACIFICO INVERSIONES E.I.R.L.</v>
      </c>
      <c r="I317" s="53">
        <f>IFERROR(IF(MARÍTIMOS[[#This Row],[RUC]]="","",MARÍTIMOS[[#This Row],[RUC]]),"")</f>
        <v>20608822098</v>
      </c>
      <c r="J317" s="53" t="str">
        <f>IFERROR(IF(MARÍTIMOS[[#This Row],[Placa Tracto]]="","",MARÍTIMOS[[#This Row],[Placa Tracto]]),"")</f>
        <v>TFN-825</v>
      </c>
      <c r="K317" s="53" t="str">
        <f>IFERROR(IF(MARÍTIMOS[[#This Row],[Placa Carreta]]="","",MARÍTIMOS[[#This Row],[Placa Carreta]]),"")</f>
        <v>TPC-985</v>
      </c>
      <c r="L317" s="54" t="str">
        <f>IFERROR(IF(MARÍTIMOS[[#This Row],[Conductor]]="","",MARÍTIMOS[[#This Row],[Conductor]]),"")</f>
        <v>HIDALGO ALBURQUEQUE MARLON DANIEL</v>
      </c>
      <c r="M317" s="53" t="str">
        <f>IFERROR(IF(MARÍTIMOS[[#This Row],[Licencia]]="","",MARÍTIMOS[[#This Row],[Licencia]]),"")</f>
        <v>B47740192</v>
      </c>
      <c r="N317" s="53">
        <f>IFERROR(IF(MARÍTIMOS[[#This Row],[Número de Contacto]]="","",MARÍTIMOS[[#This Row],[Número de Contacto]]),"")</f>
        <v>927328919</v>
      </c>
      <c r="O317" s="55" t="str">
        <f>IFERROR(IF(MARÍTIMOS[[#This Row],[Booking|AWB|CRT]]="","",MARÍTIMOS[[#This Row],[Booking|AWB|CRT]]),"")</f>
        <v>PER9211731A</v>
      </c>
      <c r="P317" s="53" t="str">
        <f>IFERROR(IF(MARÍTIMOS[[#This Row],[Contenedor]]="","",MARÍTIMOS[[#This Row],[Contenedor]]),"")</f>
        <v>SEKU9120422</v>
      </c>
      <c r="Q317" s="53" t="str">
        <f>IFERROR(IF(MARÍTIMOS[[#This Row],[Puerto de Retiro]]="","",MARÍTIMOS[[#This Row],[Puerto de Retiro]]),"")</f>
        <v>PAITA</v>
      </c>
      <c r="R317" s="53" t="str">
        <f>IFERROR(IF(MARÍTIMOS[[#This Row],[Almacén de Retiro]]="","",MARÍTIMOS[[#This Row],[Almacén de Retiro]]),"")</f>
        <v>DPW</v>
      </c>
      <c r="S317" s="56">
        <f>IFERROR(IF(MARÍTIMOS[[#This Row],[Etapa Retiro - Cita]]="","",MARÍTIMOS[[#This Row],[Etapa Retiro - Cita]]),"")</f>
        <v>46265.458333333336</v>
      </c>
      <c r="T317" s="56">
        <f>IFERROR(IF(MARÍTIMOS[[#This Row],[Etapa Retiro - Llegada]]="","",MARÍTIMOS[[#This Row],[Etapa Retiro - Llegada]]),"")</f>
        <v>46265.469444444447</v>
      </c>
      <c r="U317" s="56">
        <f>IFERROR(IF(MARÍTIMOS[[#This Row],[Etapa Retiro - Ingreso]]="","",MARÍTIMOS[[#This Row],[Etapa Retiro - Ingreso]]),"")</f>
        <v>46265.494444444441</v>
      </c>
      <c r="V317" s="56">
        <f>IFERROR(IF(MARÍTIMOS[[#This Row],[Etapa Retiro - Atención]]="","",MARÍTIMOS[[#This Row],[Etapa Retiro - Atención]]),"")</f>
        <v>46265.495833333334</v>
      </c>
      <c r="W317" s="56">
        <f>IFERROR(IF(MARÍTIMOS[[#This Row],[Etapa Retiro - Atención]]="","",MARÍTIMOS[[#This Row],[Etapa Retiro - Atención]]),"")</f>
        <v>46265.495833333334</v>
      </c>
      <c r="X317" s="56">
        <f>IFERROR(IF(MARÍTIMOS[[#This Row],[Etapa Retiro - Inicio de Ruta]]="","",MARÍTIMOS[[#This Row],[Etapa Retiro - Inicio de Ruta]]),"")</f>
        <v>46265.57708333333</v>
      </c>
      <c r="Y317" s="56">
        <f>IFERROR(IF(MARÍTIMOS[[#This Row],[Hora de Posicionamiento]]="","",MARÍTIMOS[[#This Row],[Fecha de Carga]]+MARÍTIMOS[[#This Row],[Hora de Posicionamiento]]),"")</f>
        <v>46266.333333333336</v>
      </c>
      <c r="Z317" s="56">
        <f>IFERROR(IF(MARÍTIMOS[[#This Row],[Etapa Despacho - Llegada]]="","",MARÍTIMOS[[#This Row],[Etapa Despacho - Llegada]]),"")</f>
        <v>46266.277083333334</v>
      </c>
      <c r="AA317" s="56">
        <f>IFERROR(IF(MARÍTIMOS[[#This Row],[Etapa Despacho - Registro]]="","",MARÍTIMOS[[#This Row],[Etapa Despacho - Registro]]),"")</f>
        <v>46266.279861111114</v>
      </c>
      <c r="AB317" s="56">
        <f>IFERROR(IF(MARÍTIMOS[[#This Row],[Inspección Externa]]="","",MARÍTIMOS[[#This Row],[Inspección Externa]]),"")</f>
        <v>46266.293749999997</v>
      </c>
      <c r="AC317" s="56">
        <f>IFERROR(IF(MARÍTIMOS[[#This Row],[Etapa Despacho - Inicio de Carga]]="","",MARÍTIMOS[[#This Row],[Etapa Despacho - Inicio de Carga]]),"")</f>
        <v>46266.400000000001</v>
      </c>
      <c r="AD317" s="56">
        <f>IFERROR(IF(MARÍTIMOS[[#This Row],[Etapa Despacho - Mitad de Carga]]="","",MARÍTIMOS[[#This Row],[Etapa Despacho - Mitad de Carga]]),"")</f>
        <v>46266.40902777778</v>
      </c>
      <c r="AE317" s="56">
        <f>IFERROR(IF(MARÍTIMOS[[#This Row],[Etapa Despacho - Fin de Carga]]="","",MARÍTIMOS[[#This Row],[Etapa Despacho - Fin de Carga]]),"")</f>
        <v>46266.425694444442</v>
      </c>
      <c r="AF317" s="53" t="str">
        <f>IFERROR(IF(MARÍTIMOS[[#This Row],[Puerto de Embarque]]="","",MARÍTIMOS[[#This Row],[Puerto de Embarque]]),"")</f>
        <v>Paita</v>
      </c>
      <c r="AG317" s="53" t="str">
        <f>IFERROR(IF(MARÍTIMOS[[#This Row],[Almacén de Ingreso]]="","",MARÍTIMOS[[#This Row],[Almacén de Ingreso]]),"")</f>
        <v>TPE</v>
      </c>
      <c r="AH317" s="56">
        <f>IFERROR(IF(MARÍTIMOS[[#This Row],[Etapa Ingreso - Cita]]="","",MARÍTIMOS[[#This Row],[Etapa Ingreso - Cita]]),"")</f>
        <v>46267.041666666664</v>
      </c>
      <c r="AI317" s="56">
        <f>IFERROR(IF(MARÍTIMOS[[#This Row],[Etapa Ingreso - Llegada]]="","",MARÍTIMOS[[#This Row],[Etapa Ingreso - Llegada]]),"")</f>
        <v>46267.024305555555</v>
      </c>
      <c r="AJ317" s="56">
        <f>IFERROR(IF(MARÍTIMOS[[#This Row],[Etapa Ingreso - Ingeso]]="","",MARÍTIMOS[[#This Row],[Etapa Ingreso - Ingeso]]),"")</f>
        <v>46267.037499999999</v>
      </c>
      <c r="AK317" s="56">
        <f>IFERROR(IF(MARÍTIMOS[[#This Row],[Etapa Ingreso - Atención]]="","",MARÍTIMOS[[#This Row],[Etapa Ingreso - Atención]]),"")</f>
        <v>46267.040972222225</v>
      </c>
      <c r="AL317" s="56">
        <f>IFERROR(IF(MARÍTIMOS[[#This Row],[Etapa Ingreso - Salida]]="","",MARÍTIMOS[[#This Row],[Etapa Ingreso - Salida]]),"")</f>
        <v>46267.053472222222</v>
      </c>
      <c r="AM317" s="53">
        <f>IFERROR(IF(MARÍTIMOS[[#This Row],[FCL]]="","",MARÍTIMOS[[#This Row],[FCL]]),"")</f>
        <v>1</v>
      </c>
      <c r="AN317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7" s="4" t="str" cm="1">
        <f t="array" ref="AO3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7" s="6">
        <f>IFERROR(OLDBD[[#This Row],[Llegada a packing]]-OLDBD[[#This Row],[Inicio de Ruta]],"")</f>
        <v>0.70000000000436557</v>
      </c>
      <c r="AQ317" s="6">
        <f>IFERROR(OLDBD[[#This Row],[Inicio de Ruta]]-OLDBD[[#This Row],[Salida de almacén de retiro]],"")</f>
        <v>8.1249999995634425E-2</v>
      </c>
      <c r="AR317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7" s="8" t="str" cm="1">
        <f t="array" ref="AS3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7" s="9">
        <f>IFERROR(OLDBD[[#This Row],[Ingreso Packing]]-OLDBD[[#This Row],[Registro en Packing]],"")</f>
        <v>1.3888888883229811E-2</v>
      </c>
      <c r="AV317" s="9">
        <f>IFERROR(OLDBD[[#This Row],[Ingreso Packing]]-OLDBD[[#This Row],[Llegada a packing]],"")</f>
        <v>1.6666666662786156E-2</v>
      </c>
      <c r="AW3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17" s="6">
        <f>IFERROR(OLDBD[[#This Row],[Llegada Almacén de Ingreso]]-OLDBD[[#This Row],[Salida Packing]],"")</f>
        <v>0.59861111111240461</v>
      </c>
      <c r="AY317" s="4" t="str" cm="1">
        <f t="array" ref="AY3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7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7" s="58" t="s">
        <v>173</v>
      </c>
      <c r="BB317" s="59" t="str">
        <f>IFERROR(IF(MARÍTIMOS[[#This Row],[Estatus]]="","",MARÍTIMOS[[#This Row],[Estatus]]),"")</f>
        <v>Confirmado</v>
      </c>
      <c r="BC317" s="58"/>
      <c r="BD317" s="60">
        <f>IFERROR(OLDBD[[#This Row],[Salida de almacén de retiro]]-OLDBD[[#This Row],[Ingreso Almacén de retiro]],"")</f>
        <v>1.3888888934161514E-3</v>
      </c>
      <c r="BE317" s="60">
        <f>IFERROR(OLDBD[[#This Row],[Fin de Carga]]-OLDBD[[#This Row],[Inicio de Carga]],"")</f>
        <v>9.0277777781011537E-3</v>
      </c>
    </row>
    <row r="318" spans="1:57" hidden="1">
      <c r="A318" s="52"/>
      <c r="B318" s="52">
        <f>IFERROR(IF(MARÍTIMOS[[#This Row],[PP]]="","",MARÍTIMOS[[#This Row],[PP]]),"")</f>
        <v>36</v>
      </c>
      <c r="C318" s="52" t="str">
        <f>IFERROR(IF(MARÍTIMOS[[#This Row],[Sede]]="","",MARÍTIMOS[[#This Row],[Sede]]),"")</f>
        <v>Olmos</v>
      </c>
      <c r="D318" s="52" t="str">
        <f>IFERROR(IF(MARÍTIMOS[[#This Row],[Instruction]]="","",MARÍTIMOS[[#This Row],[Instruction]]),"")</f>
        <v>RH-0672</v>
      </c>
      <c r="E318" s="52"/>
      <c r="F318" s="53" t="str">
        <f>IFERROR(IF(MARÍTIMOS[[#This Row],[Transportista]]="","",MARÍTIMOS[[#This Row],[Transportista]]),"")</f>
        <v>LIP</v>
      </c>
      <c r="G318" s="53" t="str">
        <f>IFERROR(IF(MARÍTIMOS[[#This Row],[Tercero]]="","",MARÍTIMOS[[#This Row],[Tercero]]),"")</f>
        <v>SI</v>
      </c>
      <c r="H318" s="53" t="str">
        <f>IFERROR(IF(MARÍTIMOS[[#This Row],[Razón Social]]="","",MARÍTIMOS[[#This Row],[Razón Social]]),"")</f>
        <v>TRANSCAR MATHEO SOCIEDAD ANONIMA CERRADA</v>
      </c>
      <c r="I318" s="53">
        <f>IFERROR(IF(MARÍTIMOS[[#This Row],[RUC]]="","",MARÍTIMOS[[#This Row],[RUC]]),"")</f>
        <v>20612886921</v>
      </c>
      <c r="J318" s="53" t="str">
        <f>IFERROR(IF(MARÍTIMOS[[#This Row],[Placa Tracto]]="","",MARÍTIMOS[[#This Row],[Placa Tracto]]),"")</f>
        <v>TAD-861</v>
      </c>
      <c r="K318" s="53" t="str">
        <f>IFERROR(IF(MARÍTIMOS[[#This Row],[Placa Carreta]]="","",MARÍTIMOS[[#This Row],[Placa Carreta]]),"")</f>
        <v>T0R-991</v>
      </c>
      <c r="L318" s="54" t="str">
        <f>IFERROR(IF(MARÍTIMOS[[#This Row],[Conductor]]="","",MARÍTIMOS[[#This Row],[Conductor]]),"")</f>
        <v>GIRON CORONADO LUIS HUMBERTO</v>
      </c>
      <c r="M318" s="53" t="str">
        <f>IFERROR(IF(MARÍTIMOS[[#This Row],[Licencia]]="","",MARÍTIMOS[[#This Row],[Licencia]]),"")</f>
        <v>B02838223</v>
      </c>
      <c r="N318" s="53" t="str">
        <f>IFERROR(IF(MARÍTIMOS[[#This Row],[Número de Contacto]]="","",MARÍTIMOS[[#This Row],[Número de Contacto]]),"")</f>
        <v>923 097 998</v>
      </c>
      <c r="O318" s="55" t="str">
        <f>IFERROR(IF(MARÍTIMOS[[#This Row],[Booking|AWB|CRT]]="","",MARÍTIMOS[[#This Row],[Booking|AWB|CRT]]),"")</f>
        <v>MBM250067137</v>
      </c>
      <c r="P318" s="53" t="str">
        <f>IFERROR(IF(MARÍTIMOS[[#This Row],[Contenedor]]="","",MARÍTIMOS[[#This Row],[Contenedor]]),"")</f>
        <v>CAIU5577738</v>
      </c>
      <c r="Q318" s="53" t="str">
        <f>IFERROR(IF(MARÍTIMOS[[#This Row],[Puerto de Retiro]]="","",MARÍTIMOS[[#This Row],[Puerto de Retiro]]),"")</f>
        <v>PAITA</v>
      </c>
      <c r="R318" s="53" t="str">
        <f>IFERROR(IF(MARÍTIMOS[[#This Row],[Almacén de Retiro]]="","",MARÍTIMOS[[#This Row],[Almacén de Retiro]]),"")</f>
        <v>MACROMAR</v>
      </c>
      <c r="S318" s="56">
        <f>IFERROR(IF(MARÍTIMOS[[#This Row],[Etapa Retiro - Cita]]="","",MARÍTIMOS[[#This Row],[Etapa Retiro - Cita]]),"")</f>
        <v>46236.666666666664</v>
      </c>
      <c r="T318" s="56">
        <f>IFERROR(IF(MARÍTIMOS[[#This Row],[Etapa Retiro - Llegada]]="","",MARÍTIMOS[[#This Row],[Etapa Retiro - Llegada]]),"")</f>
        <v>46236.652777777781</v>
      </c>
      <c r="U318" s="56">
        <f>IFERROR(IF(MARÍTIMOS[[#This Row],[Etapa Retiro - Ingreso]]="","",MARÍTIMOS[[#This Row],[Etapa Retiro - Ingreso]]),"")</f>
        <v>46236.661805555559</v>
      </c>
      <c r="V318" s="56">
        <f>IFERROR(IF(MARÍTIMOS[[#This Row],[Etapa Retiro - Atención]]="","",MARÍTIMOS[[#This Row],[Etapa Retiro - Atención]]),"")</f>
        <v>46236.662499999999</v>
      </c>
      <c r="W318" s="56">
        <f>IFERROR(IF(MARÍTIMOS[[#This Row],[Etapa Retiro - Atención]]="","",MARÍTIMOS[[#This Row],[Etapa Retiro - Atención]]),"")</f>
        <v>46236.662499999999</v>
      </c>
      <c r="X318" s="56">
        <f>IFERROR(IF(MARÍTIMOS[[#This Row],[Etapa Retiro - Inicio de Ruta]]="","",MARÍTIMOS[[#This Row],[Etapa Retiro - Inicio de Ruta]]),"")</f>
        <v>46236.78402777778</v>
      </c>
      <c r="Y318" s="56">
        <f>IFERROR(IF(MARÍTIMOS[[#This Row],[Hora de Posicionamiento]]="","",MARÍTIMOS[[#This Row],[Fecha de Carga]]+MARÍTIMOS[[#This Row],[Hora de Posicionamiento]]),"")</f>
        <v>46268.5</v>
      </c>
      <c r="Z318" s="56">
        <f>IFERROR(IF(MARÍTIMOS[[#This Row],[Etapa Despacho - Llegada]]="","",MARÍTIMOS[[#This Row],[Etapa Despacho - Llegada]]),"")</f>
        <v>46237.258333333331</v>
      </c>
      <c r="AA318" s="56">
        <f>IFERROR(IF(MARÍTIMOS[[#This Row],[Etapa Despacho - Registro]]="","",MARÍTIMOS[[#This Row],[Etapa Despacho - Registro]]),"")</f>
        <v>46237.259027777778</v>
      </c>
      <c r="AB318" s="56">
        <f>IFERROR(IF(MARÍTIMOS[[#This Row],[Inspección Externa]]="","",MARÍTIMOS[[#This Row],[Inspección Externa]]),"")</f>
        <v>46237.338888888888</v>
      </c>
      <c r="AC318" s="56">
        <f>IFERROR(IF(MARÍTIMOS[[#This Row],[Etapa Despacho - Inicio de Carga]]="","",MARÍTIMOS[[#This Row],[Etapa Despacho - Inicio de Carga]]),"")</f>
        <v>46237.621527777781</v>
      </c>
      <c r="AD318" s="56">
        <f>IFERROR(IF(MARÍTIMOS[[#This Row],[Etapa Despacho - Mitad de Carga]]="","",MARÍTIMOS[[#This Row],[Etapa Despacho - Mitad de Carga]]),"")</f>
        <v>46237.638194444444</v>
      </c>
      <c r="AE318" s="56">
        <f>IFERROR(IF(MARÍTIMOS[[#This Row],[Etapa Despacho - Fin de Carga]]="","",MARÍTIMOS[[#This Row],[Etapa Despacho - Fin de Carga]]),"")</f>
        <v>46237.652777777781</v>
      </c>
      <c r="AF318" s="53" t="str">
        <f>IFERROR(IF(MARÍTIMOS[[#This Row],[Puerto de Embarque]]="","",MARÍTIMOS[[#This Row],[Puerto de Embarque]]),"")</f>
        <v>Paita</v>
      </c>
      <c r="AG318" s="53" t="str">
        <f>IFERROR(IF(MARÍTIMOS[[#This Row],[Almacén de Ingreso]]="","",MARÍTIMOS[[#This Row],[Almacén de Ingreso]]),"")</f>
        <v>TPE</v>
      </c>
      <c r="AH318" s="56">
        <f>IFERROR(IF(MARÍTIMOS[[#This Row],[Etapa Ingreso - Cita]]="","",MARÍTIMOS[[#This Row],[Etapa Ingreso - Cita]]),"")</f>
        <v>46270.041666666664</v>
      </c>
      <c r="AI318" s="56">
        <f>IFERROR(IF(MARÍTIMOS[[#This Row],[Etapa Ingreso - Llegada]]="","",MARÍTIMOS[[#This Row],[Etapa Ingreso - Llegada]]),"")</f>
        <v>46270.027777777781</v>
      </c>
      <c r="AJ318" s="56">
        <f>IFERROR(IF(MARÍTIMOS[[#This Row],[Etapa Ingreso - Ingeso]]="","",MARÍTIMOS[[#This Row],[Etapa Ingreso - Ingeso]]),"")</f>
        <v>46270.031944444447</v>
      </c>
      <c r="AK318" s="56">
        <f>IFERROR(IF(MARÍTIMOS[[#This Row],[Etapa Ingreso - Atención]]="","",MARÍTIMOS[[#This Row],[Etapa Ingreso - Atención]]),"")</f>
        <v>46270.034722222219</v>
      </c>
      <c r="AL318" s="56">
        <f>IFERROR(IF(MARÍTIMOS[[#This Row],[Etapa Ingreso - Salida]]="","",MARÍTIMOS[[#This Row],[Etapa Ingreso - Salida]]),"")</f>
        <v>46270.04583333333</v>
      </c>
      <c r="AM318" s="53">
        <f>IFERROR(IF(MARÍTIMOS[[#This Row],[FCL]]="","",MARÍTIMOS[[#This Row],[FCL]]),"")</f>
        <v>0.5</v>
      </c>
      <c r="AN318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8" s="4" t="str" cm="1">
        <f t="array" ref="AO3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8" s="6">
        <f>IFERROR(OLDBD[[#This Row],[Llegada a packing]]-OLDBD[[#This Row],[Inicio de Ruta]],"")</f>
        <v>0.47430555555183673</v>
      </c>
      <c r="AQ318" s="6">
        <f>IFERROR(OLDBD[[#This Row],[Inicio de Ruta]]-OLDBD[[#This Row],[Salida de almacén de retiro]],"")</f>
        <v>0.12152777778101154</v>
      </c>
      <c r="AR318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8" s="8" t="str" cm="1">
        <f t="array" ref="AS3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8" s="9">
        <f>IFERROR(OLDBD[[#This Row],[Ingreso Packing]]-OLDBD[[#This Row],[Registro en Packing]],"")</f>
        <v>7.9861111109494232E-2</v>
      </c>
      <c r="AV318" s="9">
        <f>IFERROR(OLDBD[[#This Row],[Ingreso Packing]]-OLDBD[[#This Row],[Llegada a packing]],"")</f>
        <v>8.0555555556202307E-2</v>
      </c>
      <c r="AW3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318" s="6">
        <f>IFERROR(OLDBD[[#This Row],[Llegada Almacén de Ingreso]]-OLDBD[[#This Row],[Salida Packing]],"")</f>
        <v>32.375</v>
      </c>
      <c r="AY318" s="4" t="str" cm="1">
        <f t="array" ref="AY3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8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8" s="58" t="s">
        <v>173</v>
      </c>
      <c r="BB318" s="59" t="str">
        <f>IFERROR(IF(MARÍTIMOS[[#This Row],[Estatus]]="","",MARÍTIMOS[[#This Row],[Estatus]]),"")</f>
        <v>Confirmado</v>
      </c>
      <c r="BC318" s="58"/>
      <c r="BD318" s="60">
        <f>IFERROR(OLDBD[[#This Row],[Salida de almacén de retiro]]-OLDBD[[#This Row],[Ingreso Almacén de retiro]],"")</f>
        <v>6.9444443943211809E-4</v>
      </c>
      <c r="BE318" s="60">
        <f>IFERROR(OLDBD[[#This Row],[Fin de Carga]]-OLDBD[[#This Row],[Inicio de Carga]],"")</f>
        <v>1.6666666662786156E-2</v>
      </c>
    </row>
    <row r="319" spans="1:57" hidden="1">
      <c r="A319" s="52"/>
      <c r="B319" s="52">
        <f>IFERROR(IF(MARÍTIMOS[[#This Row],[PP]]="","",MARÍTIMOS[[#This Row],[PP]]),"")</f>
        <v>36</v>
      </c>
      <c r="C319" s="52" t="str">
        <f>IFERROR(IF(MARÍTIMOS[[#This Row],[Sede]]="","",MARÍTIMOS[[#This Row],[Sede]]),"")</f>
        <v>Chao</v>
      </c>
      <c r="D319" s="52" t="str">
        <f>IFERROR(IF(MARÍTIMOS[[#This Row],[Instruction]]="","",MARÍTIMOS[[#This Row],[Instruction]]),"")</f>
        <v>RH-0672</v>
      </c>
      <c r="E319" s="52"/>
      <c r="F319" s="53" t="str">
        <f>IFERROR(IF(MARÍTIMOS[[#This Row],[Transportista]]="","",MARÍTIMOS[[#This Row],[Transportista]]),"")</f>
        <v>LIP</v>
      </c>
      <c r="G319" s="53" t="str">
        <f>IFERROR(IF(MARÍTIMOS[[#This Row],[Tercero]]="","",MARÍTIMOS[[#This Row],[Tercero]]),"")</f>
        <v>SI</v>
      </c>
      <c r="H319" s="53" t="str">
        <f>IFERROR(IF(MARÍTIMOS[[#This Row],[Razón Social]]="","",MARÍTIMOS[[#This Row],[Razón Social]]),"")</f>
        <v>TRANSCAR MATHEO SOCIEDAD ANONIMA CERRADA</v>
      </c>
      <c r="I319" s="53">
        <f>IFERROR(IF(MARÍTIMOS[[#This Row],[RUC]]="","",MARÍTIMOS[[#This Row],[RUC]]),"")</f>
        <v>20612886921</v>
      </c>
      <c r="J319" s="53" t="str">
        <f>IFERROR(IF(MARÍTIMOS[[#This Row],[Placa Tracto]]="","",MARÍTIMOS[[#This Row],[Placa Tracto]]),"")</f>
        <v>TAD-861</v>
      </c>
      <c r="K319" s="53" t="str">
        <f>IFERROR(IF(MARÍTIMOS[[#This Row],[Placa Carreta]]="","",MARÍTIMOS[[#This Row],[Placa Carreta]]),"")</f>
        <v>T0R-991</v>
      </c>
      <c r="L319" s="54" t="str">
        <f>IFERROR(IF(MARÍTIMOS[[#This Row],[Conductor]]="","",MARÍTIMOS[[#This Row],[Conductor]]),"")</f>
        <v>GIRON CORONADO LUIS HUMBERTO</v>
      </c>
      <c r="M319" s="53" t="str">
        <f>IFERROR(IF(MARÍTIMOS[[#This Row],[Licencia]]="","",MARÍTIMOS[[#This Row],[Licencia]]),"")</f>
        <v>B02838223</v>
      </c>
      <c r="N319" s="53" t="str">
        <f>IFERROR(IF(MARÍTIMOS[[#This Row],[Número de Contacto]]="","",MARÍTIMOS[[#This Row],[Número de Contacto]]),"")</f>
        <v>923 097 998</v>
      </c>
      <c r="O319" s="55" t="str">
        <f>IFERROR(IF(MARÍTIMOS[[#This Row],[Booking|AWB|CRT]]="","",MARÍTIMOS[[#This Row],[Booking|AWB|CRT]]),"")</f>
        <v>MBM250067137</v>
      </c>
      <c r="P319" s="53" t="str">
        <f>IFERROR(IF(MARÍTIMOS[[#This Row],[Contenedor]]="","",MARÍTIMOS[[#This Row],[Contenedor]]),"")</f>
        <v>CAIU5577738</v>
      </c>
      <c r="Q319" s="53" t="str">
        <f>IFERROR(IF(MARÍTIMOS[[#This Row],[Puerto de Retiro]]="","",MARÍTIMOS[[#This Row],[Puerto de Retiro]]),"")</f>
        <v>PAITA</v>
      </c>
      <c r="R319" s="53" t="str">
        <f>IFERROR(IF(MARÍTIMOS[[#This Row],[Almacén de Retiro]]="","",MARÍTIMOS[[#This Row],[Almacén de Retiro]]),"")</f>
        <v>MACROMAR</v>
      </c>
      <c r="S319" s="56">
        <f>IFERROR(IF(MARÍTIMOS[[#This Row],[Etapa Retiro - Cita]]="","",MARÍTIMOS[[#This Row],[Etapa Retiro - Cita]]),"")</f>
        <v>46236.666666666664</v>
      </c>
      <c r="T319" s="56">
        <f>IFERROR(IF(MARÍTIMOS[[#This Row],[Etapa Retiro - Llegada]]="","",MARÍTIMOS[[#This Row],[Etapa Retiro - Llegada]]),"")</f>
        <v>46236.652777777781</v>
      </c>
      <c r="U319" s="56">
        <f>IFERROR(IF(MARÍTIMOS[[#This Row],[Etapa Retiro - Ingreso]]="","",MARÍTIMOS[[#This Row],[Etapa Retiro - Ingreso]]),"")</f>
        <v>46236.661805555559</v>
      </c>
      <c r="V319" s="56">
        <f>IFERROR(IF(MARÍTIMOS[[#This Row],[Etapa Retiro - Atención]]="","",MARÍTIMOS[[#This Row],[Etapa Retiro - Atención]]),"")</f>
        <v>46236.662499999999</v>
      </c>
      <c r="W319" s="56">
        <f>IFERROR(IF(MARÍTIMOS[[#This Row],[Etapa Retiro - Atención]]="","",MARÍTIMOS[[#This Row],[Etapa Retiro - Atención]]),"")</f>
        <v>46236.662499999999</v>
      </c>
      <c r="X319" s="56">
        <f>IFERROR(IF(MARÍTIMOS[[#This Row],[Etapa Retiro - Inicio de Ruta]]="","",MARÍTIMOS[[#This Row],[Etapa Retiro - Inicio de Ruta]]),"")</f>
        <v>46237.67291666667</v>
      </c>
      <c r="Y319" s="56">
        <f>IFERROR(IF(MARÍTIMOS[[#This Row],[Hora de Posicionamiento]]="","",MARÍTIMOS[[#This Row],[Fecha de Carga]]+MARÍTIMOS[[#This Row],[Hora de Posicionamiento]]),"")</f>
        <v>46269.375</v>
      </c>
      <c r="Z319" s="56">
        <f>IFERROR(IF(MARÍTIMOS[[#This Row],[Etapa Despacho - Llegada]]="","",MARÍTIMOS[[#This Row],[Etapa Despacho - Llegada]]),"")</f>
        <v>46238.294444444444</v>
      </c>
      <c r="AA319" s="56">
        <f>IFERROR(IF(MARÍTIMOS[[#This Row],[Etapa Despacho - Registro]]="","",MARÍTIMOS[[#This Row],[Etapa Despacho - Registro]]),"")</f>
        <v>46238.295138888891</v>
      </c>
      <c r="AB319" s="56">
        <f>IFERROR(IF(MARÍTIMOS[[#This Row],[Inspección Externa]]="","",MARÍTIMOS[[#This Row],[Inspección Externa]]),"")</f>
        <v>46238.341666666667</v>
      </c>
      <c r="AC319" s="56">
        <f>IFERROR(IF(MARÍTIMOS[[#This Row],[Etapa Despacho - Inicio de Carga]]="","",MARÍTIMOS[[#This Row],[Etapa Despacho - Inicio de Carga]]),"")</f>
        <v>46238.418749999997</v>
      </c>
      <c r="AD319" s="56">
        <f>IFERROR(IF(MARÍTIMOS[[#This Row],[Etapa Despacho - Mitad de Carga]]="","",MARÍTIMOS[[#This Row],[Etapa Despacho - Mitad de Carga]]),"")</f>
        <v>46238.429166666669</v>
      </c>
      <c r="AE319" s="56">
        <f>IFERROR(IF(MARÍTIMOS[[#This Row],[Etapa Despacho - Fin de Carga]]="","",MARÍTIMOS[[#This Row],[Etapa Despacho - Fin de Carga]]),"")</f>
        <v>46238.454861111109</v>
      </c>
      <c r="AF319" s="53" t="str">
        <f>IFERROR(IF(MARÍTIMOS[[#This Row],[Puerto de Embarque]]="","",MARÍTIMOS[[#This Row],[Puerto de Embarque]]),"")</f>
        <v>Paita</v>
      </c>
      <c r="AG319" s="53" t="str">
        <f>IFERROR(IF(MARÍTIMOS[[#This Row],[Almacén de Ingreso]]="","",MARÍTIMOS[[#This Row],[Almacén de Ingreso]]),"")</f>
        <v>TPE</v>
      </c>
      <c r="AH319" s="56">
        <f>IFERROR(IF(MARÍTIMOS[[#This Row],[Etapa Ingreso - Cita]]="","",MARÍTIMOS[[#This Row],[Etapa Ingreso - Cita]]),"")</f>
        <v>46270.041666666664</v>
      </c>
      <c r="AI319" s="56">
        <f>IFERROR(IF(MARÍTIMOS[[#This Row],[Etapa Ingreso - Llegada]]="","",MARÍTIMOS[[#This Row],[Etapa Ingreso - Llegada]]),"")</f>
        <v>46270.027777777781</v>
      </c>
      <c r="AJ319" s="56">
        <f>IFERROR(IF(MARÍTIMOS[[#This Row],[Etapa Ingreso - Ingeso]]="","",MARÍTIMOS[[#This Row],[Etapa Ingreso - Ingeso]]),"")</f>
        <v>46270.031944444447</v>
      </c>
      <c r="AK319" s="56">
        <f>IFERROR(IF(MARÍTIMOS[[#This Row],[Etapa Ingreso - Atención]]="","",MARÍTIMOS[[#This Row],[Etapa Ingreso - Atención]]),"")</f>
        <v>46270.034722222219</v>
      </c>
      <c r="AL319" s="56">
        <f>IFERROR(IF(MARÍTIMOS[[#This Row],[Etapa Ingreso - Salida]]="","",MARÍTIMOS[[#This Row],[Etapa Ingreso - Salida]]),"")</f>
        <v>46270.04583333333</v>
      </c>
      <c r="AM319" s="53">
        <f>IFERROR(IF(MARÍTIMOS[[#This Row],[FCL]]="","",MARÍTIMOS[[#This Row],[FCL]]),"")</f>
        <v>0.5</v>
      </c>
      <c r="AN319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19" s="4" t="str" cm="1">
        <f t="array" ref="AO3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19" s="6">
        <f>IFERROR(OLDBD[[#This Row],[Llegada a packing]]-OLDBD[[#This Row],[Inicio de Ruta]],"")</f>
        <v>0.62152777777373558</v>
      </c>
      <c r="AQ319" s="6">
        <f>IFERROR(OLDBD[[#This Row],[Inicio de Ruta]]-OLDBD[[#This Row],[Salida de almacén de retiro]],"")</f>
        <v>1.0104166666715173</v>
      </c>
      <c r="AR319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19" s="8" t="str" cm="1">
        <f t="array" ref="AS3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19" s="9">
        <f>IFERROR(OLDBD[[#This Row],[Ingreso Packing]]-OLDBD[[#This Row],[Registro en Packing]],"")</f>
        <v>4.6527777776645962E-2</v>
      </c>
      <c r="AV319" s="9">
        <f>IFERROR(OLDBD[[#This Row],[Ingreso Packing]]-OLDBD[[#This Row],[Llegada a packing]],"")</f>
        <v>4.7222222223354038E-2</v>
      </c>
      <c r="AW3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19" s="6">
        <f>IFERROR(OLDBD[[#This Row],[Llegada Almacén de Ingreso]]-OLDBD[[#This Row],[Salida Packing]],"")</f>
        <v>31.572916666671517</v>
      </c>
      <c r="AY319" s="4" t="str" cm="1">
        <f t="array" ref="AY3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19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19" s="58" t="s">
        <v>173</v>
      </c>
      <c r="BB319" s="59" t="str">
        <f>IFERROR(IF(MARÍTIMOS[[#This Row],[Estatus]]="","",MARÍTIMOS[[#This Row],[Estatus]]),"")</f>
        <v>Confirmado</v>
      </c>
      <c r="BC319" s="58"/>
      <c r="BD319" s="60">
        <f>IFERROR(OLDBD[[#This Row],[Salida de almacén de retiro]]-OLDBD[[#This Row],[Ingreso Almacén de retiro]],"")</f>
        <v>6.9444443943211809E-4</v>
      </c>
      <c r="BE319" s="60">
        <f>IFERROR(OLDBD[[#This Row],[Fin de Carga]]-OLDBD[[#This Row],[Inicio de Carga]],"")</f>
        <v>1.0416666671517305E-2</v>
      </c>
    </row>
    <row r="320" spans="1:57" hidden="1">
      <c r="A320" s="52"/>
      <c r="B320" s="52">
        <f>IFERROR(IF(MARÍTIMOS[[#This Row],[PP]]="","",MARÍTIMOS[[#This Row],[PP]]),"")</f>
        <v>36</v>
      </c>
      <c r="C320" s="52" t="str">
        <f>IFERROR(IF(MARÍTIMOS[[#This Row],[Sede]]="","",MARÍTIMOS[[#This Row],[Sede]]),"")</f>
        <v>Chao</v>
      </c>
      <c r="D320" s="52" t="str">
        <f>IFERROR(IF(MARÍTIMOS[[#This Row],[Instruction]]="","",MARÍTIMOS[[#This Row],[Instruction]]),"")</f>
        <v>RH-0668</v>
      </c>
      <c r="E320" s="52"/>
      <c r="F320" s="53" t="str">
        <f>IFERROR(IF(MARÍTIMOS[[#This Row],[Transportista]]="","",MARÍTIMOS[[#This Row],[Transportista]]),"")</f>
        <v>LIP</v>
      </c>
      <c r="G320" s="53" t="str">
        <f>IFERROR(IF(MARÍTIMOS[[#This Row],[Tercero]]="","",MARÍTIMOS[[#This Row],[Tercero]]),"")</f>
        <v>SI</v>
      </c>
      <c r="H320" s="53" t="str">
        <f>IFERROR(IF(MARÍTIMOS[[#This Row],[Razón Social]]="","",MARÍTIMOS[[#This Row],[Razón Social]]),"")</f>
        <v>TRANSPORTES JAAC S.A.C.</v>
      </c>
      <c r="I320" s="53">
        <f>IFERROR(IF(MARÍTIMOS[[#This Row],[RUC]]="","",MARÍTIMOS[[#This Row],[RUC]]),"")</f>
        <v>20601962102</v>
      </c>
      <c r="J320" s="53" t="str">
        <f>IFERROR(IF(MARÍTIMOS[[#This Row],[Placa Tracto]]="","",MARÍTIMOS[[#This Row],[Placa Tracto]]),"")</f>
        <v>D4X-792</v>
      </c>
      <c r="K320" s="53" t="str">
        <f>IFERROR(IF(MARÍTIMOS[[#This Row],[Placa Carreta]]="","",MARÍTIMOS[[#This Row],[Placa Carreta]]),"")</f>
        <v>TJX-986</v>
      </c>
      <c r="L320" s="54" t="str">
        <f>IFERROR(IF(MARÍTIMOS[[#This Row],[Conductor]]="","",MARÍTIMOS[[#This Row],[Conductor]]),"")</f>
        <v>BARRIENTOS MIÑAN JUAN CHARLIE</v>
      </c>
      <c r="M320" s="53" t="str">
        <f>IFERROR(IF(MARÍTIMOS[[#This Row],[Licencia]]="","",MARÍTIMOS[[#This Row],[Licencia]]),"")</f>
        <v>B46376679</v>
      </c>
      <c r="N320" s="53" t="str">
        <f>IFERROR(IF(MARÍTIMOS[[#This Row],[Número de Contacto]]="","",MARÍTIMOS[[#This Row],[Número de Contacto]]),"")</f>
        <v>901 965 217</v>
      </c>
      <c r="O320" s="55" t="str">
        <f>IFERROR(IF(MARÍTIMOS[[#This Row],[Booking|AWB|CRT]]="","",MARÍTIMOS[[#This Row],[Booking|AWB|CRT]]),"")</f>
        <v>MBM250067132</v>
      </c>
      <c r="P320" s="53" t="str">
        <f>IFERROR(IF(MARÍTIMOS[[#This Row],[Contenedor]]="","",MARÍTIMOS[[#This Row],[Contenedor]]),"")</f>
        <v>-</v>
      </c>
      <c r="Q320" s="53" t="str">
        <f>IFERROR(IF(MARÍTIMOS[[#This Row],[Puerto de Retiro]]="","",MARÍTIMOS[[#This Row],[Puerto de Retiro]]),"")</f>
        <v>PAITA</v>
      </c>
      <c r="R320" s="53" t="str">
        <f>IFERROR(IF(MARÍTIMOS[[#This Row],[Almacén de Retiro]]="","",MARÍTIMOS[[#This Row],[Almacén de Retiro]]),"")</f>
        <v>MACROMAR SAC</v>
      </c>
      <c r="S320" s="56">
        <f>IFERROR(IF(MARÍTIMOS[[#This Row],[Etapa Retiro - Cita]]="","",MARÍTIMOS[[#This Row],[Etapa Retiro - Cita]]),"")</f>
        <v>46267.621527777781</v>
      </c>
      <c r="T320" s="56">
        <f>IFERROR(IF(MARÍTIMOS[[#This Row],[Etapa Retiro - Llegada]]="","",MARÍTIMOS[[#This Row],[Etapa Retiro - Llegada]]),"")</f>
        <v>46267.579861111109</v>
      </c>
      <c r="U320" s="56">
        <f>IFERROR(IF(MARÍTIMOS[[#This Row],[Etapa Retiro - Ingreso]]="","",MARÍTIMOS[[#This Row],[Etapa Retiro - Ingreso]]),"")</f>
        <v>46267.59375</v>
      </c>
      <c r="V320" s="56">
        <f>IFERROR(IF(MARÍTIMOS[[#This Row],[Etapa Retiro - Atención]]="","",MARÍTIMOS[[#This Row],[Etapa Retiro - Atención]]),"")</f>
        <v>46267.594444444447</v>
      </c>
      <c r="W320" s="56">
        <f>IFERROR(IF(MARÍTIMOS[[#This Row],[Etapa Retiro - Atención]]="","",MARÍTIMOS[[#This Row],[Etapa Retiro - Atención]]),"")</f>
        <v>46267.594444444447</v>
      </c>
      <c r="X320" s="56" t="str">
        <f>IFERROR(IF(MARÍTIMOS[[#This Row],[Etapa Retiro - Inicio de Ruta]]="","",MARÍTIMOS[[#This Row],[Etapa Retiro - Inicio de Ruta]]),"")</f>
        <v/>
      </c>
      <c r="Y320" s="56">
        <f>IFERROR(IF(MARÍTIMOS[[#This Row],[Hora de Posicionamiento]]="","",MARÍTIMOS[[#This Row],[Fecha de Carga]]+MARÍTIMOS[[#This Row],[Hora de Posicionamiento]]),"")</f>
        <v>46268.5</v>
      </c>
      <c r="Z320" s="56" t="str">
        <f>IFERROR(IF(MARÍTIMOS[[#This Row],[Etapa Despacho - Llegada]]="","",MARÍTIMOS[[#This Row],[Etapa Despacho - Llegada]]),"")</f>
        <v/>
      </c>
      <c r="AA320" s="56" t="str">
        <f>IFERROR(IF(MARÍTIMOS[[#This Row],[Etapa Despacho - Registro]]="","",MARÍTIMOS[[#This Row],[Etapa Despacho - Registro]]),"")</f>
        <v/>
      </c>
      <c r="AB320" s="56" t="str">
        <f>IFERROR(IF(MARÍTIMOS[[#This Row],[Inspección Externa]]="","",MARÍTIMOS[[#This Row],[Inspección Externa]]),"")</f>
        <v/>
      </c>
      <c r="AC320" s="56" t="str">
        <f>IFERROR(IF(MARÍTIMOS[[#This Row],[Etapa Despacho - Inicio de Carga]]="","",MARÍTIMOS[[#This Row],[Etapa Despacho - Inicio de Carga]]),"")</f>
        <v/>
      </c>
      <c r="AD320" s="56" t="str">
        <f>IFERROR(IF(MARÍTIMOS[[#This Row],[Etapa Despacho - Mitad de Carga]]="","",MARÍTIMOS[[#This Row],[Etapa Despacho - Mitad de Carga]]),"")</f>
        <v/>
      </c>
      <c r="AE320" s="56" t="str">
        <f>IFERROR(IF(MARÍTIMOS[[#This Row],[Etapa Despacho - Fin de Carga]]="","",MARÍTIMOS[[#This Row],[Etapa Despacho - Fin de Carga]]),"")</f>
        <v/>
      </c>
      <c r="AF320" s="53" t="str">
        <f>IFERROR(IF(MARÍTIMOS[[#This Row],[Puerto de Embarque]]="","",MARÍTIMOS[[#This Row],[Puerto de Embarque]]),"")</f>
        <v>Paita</v>
      </c>
      <c r="AG320" s="53" t="str">
        <f>IFERROR(IF(MARÍTIMOS[[#This Row],[Almacén de Ingreso]]="","",MARÍTIMOS[[#This Row],[Almacén de Ingreso]]),"")</f>
        <v>TPE</v>
      </c>
      <c r="AH320" s="56" t="str">
        <f>IFERROR(IF(MARÍTIMOS[[#This Row],[Etapa Ingreso - Cita]]="","",MARÍTIMOS[[#This Row],[Etapa Ingreso - Cita]]),"")</f>
        <v/>
      </c>
      <c r="AI320" s="56" t="str">
        <f>IFERROR(IF(MARÍTIMOS[[#This Row],[Etapa Ingreso - Llegada]]="","",MARÍTIMOS[[#This Row],[Etapa Ingreso - Llegada]]),"")</f>
        <v/>
      </c>
      <c r="AJ320" s="56" t="str">
        <f>IFERROR(IF(MARÍTIMOS[[#This Row],[Etapa Ingreso - Ingeso]]="","",MARÍTIMOS[[#This Row],[Etapa Ingreso - Ingeso]]),"")</f>
        <v/>
      </c>
      <c r="AK320" s="56" t="str">
        <f>IFERROR(IF(MARÍTIMOS[[#This Row],[Etapa Ingreso - Atención]]="","",MARÍTIMOS[[#This Row],[Etapa Ingreso - Atención]]),"")</f>
        <v/>
      </c>
      <c r="AL320" s="56" t="str">
        <f>IFERROR(IF(MARÍTIMOS[[#This Row],[Etapa Ingreso - Salida]]="","",MARÍTIMOS[[#This Row],[Etapa Ingreso - Salida]]),"")</f>
        <v/>
      </c>
      <c r="AM320" s="53">
        <f>IFERROR(IF(MARÍTIMOS[[#This Row],[FCL]]="","",MARÍTIMOS[[#This Row],[FCL]]),"")</f>
        <v>1</v>
      </c>
      <c r="AN320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20" s="4" t="str" cm="1">
        <f t="array" ref="AO3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0" s="6" t="str">
        <f>IFERROR(OLDBD[[#This Row],[Llegada a packing]]-OLDBD[[#This Row],[Inicio de Ruta]],"")</f>
        <v/>
      </c>
      <c r="AQ320" s="6" t="str">
        <f>IFERROR(OLDBD[[#This Row],[Inicio de Ruta]]-OLDBD[[#This Row],[Salida de almacén de retiro]],"")</f>
        <v/>
      </c>
      <c r="AR320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20" s="8" t="str" cm="1">
        <f t="array" ref="AS3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20" s="9" t="str">
        <f>IFERROR(OLDBD[[#This Row],[Ingreso Packing]]-OLDBD[[#This Row],[Registro en Packing]],"")</f>
        <v/>
      </c>
      <c r="AV320" s="9" t="str">
        <f>IFERROR(OLDBD[[#This Row],[Ingreso Packing]]-OLDBD[[#This Row],[Llegada a packing]],"")</f>
        <v/>
      </c>
      <c r="AW3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20" s="6" t="str">
        <f>IFERROR(OLDBD[[#This Row],[Llegada Almacén de Ingreso]]-OLDBD[[#This Row],[Salida Packing]],"")</f>
        <v/>
      </c>
      <c r="AY320" s="4" t="str" cm="1">
        <f t="array" ref="AY3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320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20" s="58" t="s">
        <v>173</v>
      </c>
      <c r="BB320" s="59" t="str">
        <f>IFERROR(IF(MARÍTIMOS[[#This Row],[Estatus]]="","",MARÍTIMOS[[#This Row],[Estatus]]),"")</f>
        <v>Cancelado</v>
      </c>
      <c r="BC320" s="58"/>
      <c r="BD320" s="60">
        <f>IFERROR(OLDBD[[#This Row],[Salida de almacén de retiro]]-OLDBD[[#This Row],[Ingreso Almacén de retiro]],"")</f>
        <v>6.944444467080757E-4</v>
      </c>
      <c r="BE320" s="60" t="str">
        <f>IFERROR(OLDBD[[#This Row],[Fin de Carga]]-OLDBD[[#This Row],[Inicio de Carga]],"")</f>
        <v/>
      </c>
    </row>
    <row r="321" spans="1:57" hidden="1">
      <c r="A321" s="52"/>
      <c r="B321" s="52">
        <f>IFERROR(IF(MARÍTIMOS[[#This Row],[PP]]="","",MARÍTIMOS[[#This Row],[PP]]),"")</f>
        <v>36</v>
      </c>
      <c r="C321" s="52" t="str">
        <f>IFERROR(IF(MARÍTIMOS[[#This Row],[Sede]]="","",MARÍTIMOS[[#This Row],[Sede]]),"")</f>
        <v>Olmos</v>
      </c>
      <c r="D321" s="52" t="str">
        <f>IFERROR(IF(MARÍTIMOS[[#This Row],[Instruction]]="","",MARÍTIMOS[[#This Row],[Instruction]]),"")</f>
        <v>RH-0665</v>
      </c>
      <c r="E321" s="52"/>
      <c r="F321" s="53" t="str">
        <f>IFERROR(IF(MARÍTIMOS[[#This Row],[Transportista]]="","",MARÍTIMOS[[#This Row],[Transportista]]),"")</f>
        <v>LIP</v>
      </c>
      <c r="G321" s="53" t="str">
        <f>IFERROR(IF(MARÍTIMOS[[#This Row],[Tercero]]="","",MARÍTIMOS[[#This Row],[Tercero]]),"")</f>
        <v>SI</v>
      </c>
      <c r="H321" s="53" t="str">
        <f>IFERROR(IF(MARÍTIMOS[[#This Row],[Razón Social]]="","",MARÍTIMOS[[#This Row],[Razón Social]]),"")</f>
        <v>INVERSIONES LOS ALVARADO GROUP S.A.C.</v>
      </c>
      <c r="I321" s="53">
        <f>IFERROR(IF(MARÍTIMOS[[#This Row],[RUC]]="","",MARÍTIMOS[[#This Row],[RUC]]),"")</f>
        <v>20609890771</v>
      </c>
      <c r="J321" s="53" t="str">
        <f>IFERROR(IF(MARÍTIMOS[[#This Row],[Placa Tracto]]="","",MARÍTIMOS[[#This Row],[Placa Tracto]]),"")</f>
        <v>C1Q-787</v>
      </c>
      <c r="K321" s="53" t="str">
        <f>IFERROR(IF(MARÍTIMOS[[#This Row],[Placa Carreta]]="","",MARÍTIMOS[[#This Row],[Placa Carreta]]),"")</f>
        <v>TNZ-978</v>
      </c>
      <c r="L321" s="54" t="str">
        <f>IFERROR(IF(MARÍTIMOS[[#This Row],[Conductor]]="","",MARÍTIMOS[[#This Row],[Conductor]]),"")</f>
        <v>LOZANO RODRIGUEZ PEDRO MARTIN</v>
      </c>
      <c r="M321" s="53" t="str">
        <f>IFERROR(IF(MARÍTIMOS[[#This Row],[Licencia]]="","",MARÍTIMOS[[#This Row],[Licencia]]),"")</f>
        <v>B03468982</v>
      </c>
      <c r="N321" s="53" t="str">
        <f>IFERROR(IF(MARÍTIMOS[[#This Row],[Número de Contacto]]="","",MARÍTIMOS[[#This Row],[Número de Contacto]]),"")</f>
        <v>970 693 376</v>
      </c>
      <c r="O321" s="55" t="str">
        <f>IFERROR(IF(MARÍTIMOS[[#This Row],[Booking|AWB|CRT]]="","",MARÍTIMOS[[#This Row],[Booking|AWB|CRT]]),"")</f>
        <v>MBM250068054</v>
      </c>
      <c r="P321" s="53" t="str">
        <f>IFERROR(IF(MARÍTIMOS[[#This Row],[Contenedor]]="","",MARÍTIMOS[[#This Row],[Contenedor]]),"")</f>
        <v>SEGU9444962</v>
      </c>
      <c r="Q321" s="53" t="str">
        <f>IFERROR(IF(MARÍTIMOS[[#This Row],[Puerto de Retiro]]="","",MARÍTIMOS[[#This Row],[Puerto de Retiro]]),"")</f>
        <v>PAITA</v>
      </c>
      <c r="R321" s="53" t="str">
        <f>IFERROR(IF(MARÍTIMOS[[#This Row],[Almacén de Retiro]]="","",MARÍTIMOS[[#This Row],[Almacén de Retiro]]),"")</f>
        <v>MACROMAR</v>
      </c>
      <c r="S321" s="56">
        <f>IFERROR(IF(MARÍTIMOS[[#This Row],[Etapa Retiro - Cita]]="","",MARÍTIMOS[[#This Row],[Etapa Retiro - Cita]]),"")</f>
        <v>46236.625</v>
      </c>
      <c r="T321" s="56">
        <f>IFERROR(IF(MARÍTIMOS[[#This Row],[Etapa Retiro - Llegada]]="","",MARÍTIMOS[[#This Row],[Etapa Retiro - Llegada]]),"")</f>
        <v>46236.614583333336</v>
      </c>
      <c r="U321" s="56">
        <f>IFERROR(IF(MARÍTIMOS[[#This Row],[Etapa Retiro - Ingreso]]="","",MARÍTIMOS[[#This Row],[Etapa Retiro - Ingreso]]),"")</f>
        <v>46236.618055555555</v>
      </c>
      <c r="V321" s="56">
        <f>IFERROR(IF(MARÍTIMOS[[#This Row],[Etapa Retiro - Atención]]="","",MARÍTIMOS[[#This Row],[Etapa Retiro - Atención]]),"")</f>
        <v>46236.619444444441</v>
      </c>
      <c r="W321" s="56">
        <f>IFERROR(IF(MARÍTIMOS[[#This Row],[Etapa Retiro - Atención]]="","",MARÍTIMOS[[#This Row],[Etapa Retiro - Atención]]),"")</f>
        <v>46236.619444444441</v>
      </c>
      <c r="X321" s="56">
        <f>IFERROR(IF(MARÍTIMOS[[#This Row],[Etapa Retiro - Inicio de Ruta]]="","",MARÍTIMOS[[#This Row],[Etapa Retiro - Inicio de Ruta]]),"")</f>
        <v>46236.753472222219</v>
      </c>
      <c r="Y321" s="56">
        <f>IFERROR(IF(MARÍTIMOS[[#This Row],[Hora de Posicionamiento]]="","",MARÍTIMOS[[#This Row],[Fecha de Carga]]+MARÍTIMOS[[#This Row],[Hora de Posicionamiento]]),"")</f>
        <v>46268.5</v>
      </c>
      <c r="Z321" s="56">
        <f>IFERROR(IF(MARÍTIMOS[[#This Row],[Etapa Despacho - Llegada]]="","",MARÍTIMOS[[#This Row],[Etapa Despacho - Llegada]]),"")</f>
        <v>46237.411805555559</v>
      </c>
      <c r="AA321" s="56">
        <f>IFERROR(IF(MARÍTIMOS[[#This Row],[Etapa Despacho - Registro]]="","",MARÍTIMOS[[#This Row],[Etapa Despacho - Registro]]),"")</f>
        <v>46237.416666666664</v>
      </c>
      <c r="AB321" s="56">
        <f>IFERROR(IF(MARÍTIMOS[[#This Row],[Inspección Externa]]="","",MARÍTIMOS[[#This Row],[Inspección Externa]]),"")</f>
        <v>46237.420138888891</v>
      </c>
      <c r="AC321" s="56">
        <f>IFERROR(IF(MARÍTIMOS[[#This Row],[Etapa Despacho - Inicio de Carga]]="","",MARÍTIMOS[[#This Row],[Etapa Despacho - Inicio de Carga]]),"")</f>
        <v>46237.507638888892</v>
      </c>
      <c r="AD321" s="56">
        <f>IFERROR(IF(MARÍTIMOS[[#This Row],[Etapa Despacho - Mitad de Carga]]="","",MARÍTIMOS[[#This Row],[Etapa Despacho - Mitad de Carga]]),"")</f>
        <v>46237.561111111114</v>
      </c>
      <c r="AE321" s="56">
        <f>IFERROR(IF(MARÍTIMOS[[#This Row],[Etapa Despacho - Fin de Carga]]="","",MARÍTIMOS[[#This Row],[Etapa Despacho - Fin de Carga]]),"")</f>
        <v>46237.615972222222</v>
      </c>
      <c r="AF321" s="53" t="str">
        <f>IFERROR(IF(MARÍTIMOS[[#This Row],[Puerto de Embarque]]="","",MARÍTIMOS[[#This Row],[Puerto de Embarque]]),"")</f>
        <v>Paita</v>
      </c>
      <c r="AG321" s="53" t="str">
        <f>IFERROR(IF(MARÍTIMOS[[#This Row],[Almacén de Ingreso]]="","",MARÍTIMOS[[#This Row],[Almacén de Ingreso]]),"")</f>
        <v>TPE</v>
      </c>
      <c r="AH321" s="56">
        <f>IFERROR(IF(MARÍTIMOS[[#This Row],[Etapa Ingreso - Cita]]="","",MARÍTIMOS[[#This Row],[Etapa Ingreso - Cita]]),"")</f>
        <v>46270.083333333336</v>
      </c>
      <c r="AI321" s="56">
        <f>IFERROR(IF(MARÍTIMOS[[#This Row],[Etapa Ingreso - Llegada]]="","",MARÍTIMOS[[#This Row],[Etapa Ingreso - Llegada]]),"")</f>
        <v>46270.081944444442</v>
      </c>
      <c r="AJ321" s="56">
        <f>IFERROR(IF(MARÍTIMOS[[#This Row],[Etapa Ingreso - Ingeso]]="","",MARÍTIMOS[[#This Row],[Etapa Ingreso - Ingeso]]),"")</f>
        <v>46270.093055555553</v>
      </c>
      <c r="AK321" s="56">
        <f>IFERROR(IF(MARÍTIMOS[[#This Row],[Etapa Ingreso - Atención]]="","",MARÍTIMOS[[#This Row],[Etapa Ingreso - Atención]]),"")</f>
        <v>46270.09652777778</v>
      </c>
      <c r="AL321" s="56">
        <f>IFERROR(IF(MARÍTIMOS[[#This Row],[Etapa Ingreso - Salida]]="","",MARÍTIMOS[[#This Row],[Etapa Ingreso - Salida]]),"")</f>
        <v>46270.107638888891</v>
      </c>
      <c r="AM321" s="53">
        <f>IFERROR(IF(MARÍTIMOS[[#This Row],[FCL]]="","",MARÍTIMOS[[#This Row],[FCL]]),"")</f>
        <v>0.5</v>
      </c>
      <c r="AN321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21" s="4" t="str" cm="1">
        <f t="array" ref="AO3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1" s="6">
        <f>IFERROR(OLDBD[[#This Row],[Llegada a packing]]-OLDBD[[#This Row],[Inicio de Ruta]],"")</f>
        <v>0.65833333334012423</v>
      </c>
      <c r="AQ321" s="6">
        <f>IFERROR(OLDBD[[#This Row],[Inicio de Ruta]]-OLDBD[[#This Row],[Salida de almacén de retiro]],"")</f>
        <v>0.13402777777810115</v>
      </c>
      <c r="AR321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21" s="8" t="str" cm="1">
        <f t="array" ref="AS3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21" s="9">
        <f>IFERROR(OLDBD[[#This Row],[Ingreso Packing]]-OLDBD[[#This Row],[Registro en Packing]],"")</f>
        <v>3.4722222262644209E-3</v>
      </c>
      <c r="AV321" s="9">
        <f>IFERROR(OLDBD[[#This Row],[Ingreso Packing]]-OLDBD[[#This Row],[Llegada a packing]],"")</f>
        <v>8.333333331393078E-3</v>
      </c>
      <c r="AW3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1" s="6">
        <f>IFERROR(OLDBD[[#This Row],[Llegada Almacén de Ingreso]]-OLDBD[[#This Row],[Salida Packing]],"")</f>
        <v>32.465972222220444</v>
      </c>
      <c r="AY321" s="4" t="str" cm="1">
        <f t="array" ref="AY3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21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1" s="58" t="s">
        <v>173</v>
      </c>
      <c r="BB321" s="59" t="str">
        <f>IFERROR(IF(MARÍTIMOS[[#This Row],[Estatus]]="","",MARÍTIMOS[[#This Row],[Estatus]]),"")</f>
        <v>Confirmado</v>
      </c>
      <c r="BC321" s="58"/>
      <c r="BD321" s="60">
        <f>IFERROR(OLDBD[[#This Row],[Salida de almacén de retiro]]-OLDBD[[#This Row],[Ingreso Almacén de retiro]],"")</f>
        <v>1.3888888861401938E-3</v>
      </c>
      <c r="BE321" s="60">
        <f>IFERROR(OLDBD[[#This Row],[Fin de Carga]]-OLDBD[[#This Row],[Inicio de Carga]],"")</f>
        <v>5.3472222221898846E-2</v>
      </c>
    </row>
    <row r="322" spans="1:57" hidden="1">
      <c r="A322" s="52"/>
      <c r="B322" s="52">
        <f>IFERROR(IF(MARÍTIMOS[[#This Row],[PP]]="","",MARÍTIMOS[[#This Row],[PP]]),"")</f>
        <v>36</v>
      </c>
      <c r="C322" s="52" t="str">
        <f>IFERROR(IF(MARÍTIMOS[[#This Row],[Sede]]="","",MARÍTIMOS[[#This Row],[Sede]]),"")</f>
        <v>Chao</v>
      </c>
      <c r="D322" s="52" t="str">
        <f>IFERROR(IF(MARÍTIMOS[[#This Row],[Instruction]]="","",MARÍTIMOS[[#This Row],[Instruction]]),"")</f>
        <v>RH-0665</v>
      </c>
      <c r="E322" s="52"/>
      <c r="F322" s="53" t="str">
        <f>IFERROR(IF(MARÍTIMOS[[#This Row],[Transportista]]="","",MARÍTIMOS[[#This Row],[Transportista]]),"")</f>
        <v>LIP</v>
      </c>
      <c r="G322" s="53" t="str">
        <f>IFERROR(IF(MARÍTIMOS[[#This Row],[Tercero]]="","",MARÍTIMOS[[#This Row],[Tercero]]),"")</f>
        <v>SI</v>
      </c>
      <c r="H322" s="53" t="str">
        <f>IFERROR(IF(MARÍTIMOS[[#This Row],[Razón Social]]="","",MARÍTIMOS[[#This Row],[Razón Social]]),"")</f>
        <v>INVERSIONES LOS ALVARADO GROUP S.A.C.</v>
      </c>
      <c r="I322" s="53">
        <f>IFERROR(IF(MARÍTIMOS[[#This Row],[RUC]]="","",MARÍTIMOS[[#This Row],[RUC]]),"")</f>
        <v>20609890771</v>
      </c>
      <c r="J322" s="53" t="str">
        <f>IFERROR(IF(MARÍTIMOS[[#This Row],[Placa Tracto]]="","",MARÍTIMOS[[#This Row],[Placa Tracto]]),"")</f>
        <v>C1Q-787</v>
      </c>
      <c r="K322" s="53" t="str">
        <f>IFERROR(IF(MARÍTIMOS[[#This Row],[Placa Carreta]]="","",MARÍTIMOS[[#This Row],[Placa Carreta]]),"")</f>
        <v>TNZ-978</v>
      </c>
      <c r="L322" s="54" t="str">
        <f>IFERROR(IF(MARÍTIMOS[[#This Row],[Conductor]]="","",MARÍTIMOS[[#This Row],[Conductor]]),"")</f>
        <v>LOZANO RODRIGUEZ PEDRO MARTIN</v>
      </c>
      <c r="M322" s="53" t="str">
        <f>IFERROR(IF(MARÍTIMOS[[#This Row],[Licencia]]="","",MARÍTIMOS[[#This Row],[Licencia]]),"")</f>
        <v>B03468982</v>
      </c>
      <c r="N322" s="53" t="str">
        <f>IFERROR(IF(MARÍTIMOS[[#This Row],[Número de Contacto]]="","",MARÍTIMOS[[#This Row],[Número de Contacto]]),"")</f>
        <v>970 693 376</v>
      </c>
      <c r="O322" s="55" t="str">
        <f>IFERROR(IF(MARÍTIMOS[[#This Row],[Booking|AWB|CRT]]="","",MARÍTIMOS[[#This Row],[Booking|AWB|CRT]]),"")</f>
        <v>MBM250068054</v>
      </c>
      <c r="P322" s="53" t="str">
        <f>IFERROR(IF(MARÍTIMOS[[#This Row],[Contenedor]]="","",MARÍTIMOS[[#This Row],[Contenedor]]),"")</f>
        <v>SEGU9444962</v>
      </c>
      <c r="Q322" s="53" t="str">
        <f>IFERROR(IF(MARÍTIMOS[[#This Row],[Puerto de Retiro]]="","",MARÍTIMOS[[#This Row],[Puerto de Retiro]]),"")</f>
        <v>PAITA</v>
      </c>
      <c r="R322" s="53" t="str">
        <f>IFERROR(IF(MARÍTIMOS[[#This Row],[Almacén de Retiro]]="","",MARÍTIMOS[[#This Row],[Almacén de Retiro]]),"")</f>
        <v>MACROMAR</v>
      </c>
      <c r="S322" s="56">
        <f>IFERROR(IF(MARÍTIMOS[[#This Row],[Etapa Retiro - Cita]]="","",MARÍTIMOS[[#This Row],[Etapa Retiro - Cita]]),"")</f>
        <v>46236.625</v>
      </c>
      <c r="T322" s="56">
        <f>IFERROR(IF(MARÍTIMOS[[#This Row],[Etapa Retiro - Llegada]]="","",MARÍTIMOS[[#This Row],[Etapa Retiro - Llegada]]),"")</f>
        <v>46236.614583333336</v>
      </c>
      <c r="U322" s="56">
        <f>IFERROR(IF(MARÍTIMOS[[#This Row],[Etapa Retiro - Ingreso]]="","",MARÍTIMOS[[#This Row],[Etapa Retiro - Ingreso]]),"")</f>
        <v>46236.618055555555</v>
      </c>
      <c r="V322" s="56">
        <f>IFERROR(IF(MARÍTIMOS[[#This Row],[Etapa Retiro - Atención]]="","",MARÍTIMOS[[#This Row],[Etapa Retiro - Atención]]),"")</f>
        <v>46236.619444444441</v>
      </c>
      <c r="W322" s="56">
        <f>IFERROR(IF(MARÍTIMOS[[#This Row],[Etapa Retiro - Atención]]="","",MARÍTIMOS[[#This Row],[Etapa Retiro - Atención]]),"")</f>
        <v>46236.619444444441</v>
      </c>
      <c r="X322" s="56">
        <f>IFERROR(IF(MARÍTIMOS[[#This Row],[Etapa Retiro - Inicio de Ruta]]="","",MARÍTIMOS[[#This Row],[Etapa Retiro - Inicio de Ruta]]),"")</f>
        <v>46237.664583333331</v>
      </c>
      <c r="Y322" s="56">
        <f>IFERROR(IF(MARÍTIMOS[[#This Row],[Hora de Posicionamiento]]="","",MARÍTIMOS[[#This Row],[Fecha de Carga]]+MARÍTIMOS[[#This Row],[Hora de Posicionamiento]]),"")</f>
        <v>46269.416666666664</v>
      </c>
      <c r="Z322" s="56">
        <f>IFERROR(IF(MARÍTIMOS[[#This Row],[Etapa Despacho - Llegada]]="","",MARÍTIMOS[[#This Row],[Etapa Despacho - Llegada]]),"")</f>
        <v>46238.336111111108</v>
      </c>
      <c r="AA322" s="56">
        <f>IFERROR(IF(MARÍTIMOS[[#This Row],[Etapa Despacho - Registro]]="","",MARÍTIMOS[[#This Row],[Etapa Despacho - Registro]]),"")</f>
        <v>46238.336805555555</v>
      </c>
      <c r="AB322" s="56">
        <f>IFERROR(IF(MARÍTIMOS[[#This Row],[Inspección Externa]]="","",MARÍTIMOS[[#This Row],[Inspección Externa]]),"")</f>
        <v>46238.425000000003</v>
      </c>
      <c r="AC322" s="56">
        <f>IFERROR(IF(MARÍTIMOS[[#This Row],[Etapa Despacho - Inicio de Carga]]="","",MARÍTIMOS[[#This Row],[Etapa Despacho - Inicio de Carga]]),"")</f>
        <v>46238.459722222222</v>
      </c>
      <c r="AD322" s="56">
        <f>IFERROR(IF(MARÍTIMOS[[#This Row],[Etapa Despacho - Mitad de Carga]]="","",MARÍTIMOS[[#This Row],[Etapa Despacho - Mitad de Carga]]),"")</f>
        <v>46238.466666666667</v>
      </c>
      <c r="AE322" s="56">
        <f>IFERROR(IF(MARÍTIMOS[[#This Row],[Etapa Despacho - Fin de Carga]]="","",MARÍTIMOS[[#This Row],[Etapa Despacho - Fin de Carga]]),"")</f>
        <v>46238.48333333333</v>
      </c>
      <c r="AF322" s="53" t="str">
        <f>IFERROR(IF(MARÍTIMOS[[#This Row],[Puerto de Embarque]]="","",MARÍTIMOS[[#This Row],[Puerto de Embarque]]),"")</f>
        <v>Paita</v>
      </c>
      <c r="AG322" s="53" t="str">
        <f>IFERROR(IF(MARÍTIMOS[[#This Row],[Almacén de Ingreso]]="","",MARÍTIMOS[[#This Row],[Almacén de Ingreso]]),"")</f>
        <v>TPE</v>
      </c>
      <c r="AH322" s="56">
        <f>IFERROR(IF(MARÍTIMOS[[#This Row],[Etapa Ingreso - Cita]]="","",MARÍTIMOS[[#This Row],[Etapa Ingreso - Cita]]),"")</f>
        <v>46270.083333333336</v>
      </c>
      <c r="AI322" s="56">
        <f>IFERROR(IF(MARÍTIMOS[[#This Row],[Etapa Ingreso - Llegada]]="","",MARÍTIMOS[[#This Row],[Etapa Ingreso - Llegada]]),"")</f>
        <v>46270.081944444442</v>
      </c>
      <c r="AJ322" s="56">
        <f>IFERROR(IF(MARÍTIMOS[[#This Row],[Etapa Ingreso - Ingeso]]="","",MARÍTIMOS[[#This Row],[Etapa Ingreso - Ingeso]]),"")</f>
        <v>46270.093055555553</v>
      </c>
      <c r="AK322" s="56">
        <f>IFERROR(IF(MARÍTIMOS[[#This Row],[Etapa Ingreso - Atención]]="","",MARÍTIMOS[[#This Row],[Etapa Ingreso - Atención]]),"")</f>
        <v>46270.09652777778</v>
      </c>
      <c r="AL322" s="56">
        <f>IFERROR(IF(MARÍTIMOS[[#This Row],[Etapa Ingreso - Salida]]="","",MARÍTIMOS[[#This Row],[Etapa Ingreso - Salida]]),"")</f>
        <v>46270.107638888891</v>
      </c>
      <c r="AM322" s="53">
        <f>IFERROR(IF(MARÍTIMOS[[#This Row],[FCL]]="","",MARÍTIMOS[[#This Row],[FCL]]),"")</f>
        <v>0.5</v>
      </c>
      <c r="AN322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22" s="4" t="str" cm="1">
        <f t="array" ref="AO3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2" s="6">
        <f>IFERROR(OLDBD[[#This Row],[Llegada a packing]]-OLDBD[[#This Row],[Inicio de Ruta]],"")</f>
        <v>0.67152777777664596</v>
      </c>
      <c r="AQ322" s="6">
        <f>IFERROR(OLDBD[[#This Row],[Inicio de Ruta]]-OLDBD[[#This Row],[Salida de almacén de retiro]],"")</f>
        <v>1.0451388888905058</v>
      </c>
      <c r="AR322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22" s="8" t="str" cm="1">
        <f t="array" ref="AS3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22" s="9">
        <f>IFERROR(OLDBD[[#This Row],[Ingreso Packing]]-OLDBD[[#This Row],[Registro en Packing]],"")</f>
        <v>8.8194444448163267E-2</v>
      </c>
      <c r="AV322" s="9">
        <f>IFERROR(OLDBD[[#This Row],[Ingreso Packing]]-OLDBD[[#This Row],[Llegada a packing]],"")</f>
        <v>8.8888888894871343E-2</v>
      </c>
      <c r="AW3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2" s="6">
        <f>IFERROR(OLDBD[[#This Row],[Llegada Almacén de Ingreso]]-OLDBD[[#This Row],[Salida Packing]],"")</f>
        <v>31.598611111112405</v>
      </c>
      <c r="AY322" s="4" t="str" cm="1">
        <f t="array" ref="AY3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22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2" s="58" t="s">
        <v>173</v>
      </c>
      <c r="BB322" s="59" t="str">
        <f>IFERROR(IF(MARÍTIMOS[[#This Row],[Estatus]]="","",MARÍTIMOS[[#This Row],[Estatus]]),"")</f>
        <v>Confirmado</v>
      </c>
      <c r="BC322" s="58"/>
      <c r="BD322" s="60">
        <f>IFERROR(OLDBD[[#This Row],[Salida de almacén de retiro]]-OLDBD[[#This Row],[Ingreso Almacén de retiro]],"")</f>
        <v>1.3888888861401938E-3</v>
      </c>
      <c r="BE322" s="60">
        <f>IFERROR(OLDBD[[#This Row],[Fin de Carga]]-OLDBD[[#This Row],[Inicio de Carga]],"")</f>
        <v>6.9444444452528842E-3</v>
      </c>
    </row>
    <row r="323" spans="1:57" customFormat="1" hidden="1">
      <c r="A323" s="1"/>
      <c r="B323" s="1">
        <f>IFERROR(IF(MARÍTIMOS[[#This Row],[PP]]="","",MARÍTIMOS[[#This Row],[PP]]),"")</f>
        <v>36</v>
      </c>
      <c r="C323" s="1" t="str">
        <f>IFERROR(IF(MARÍTIMOS[[#This Row],[Sede]]="","",MARÍTIMOS[[#This Row],[Sede]]),"")</f>
        <v>Chao</v>
      </c>
      <c r="D323" s="1" t="str">
        <f>IFERROR(IF(MARÍTIMOS[[#This Row],[Instruction]]="","",MARÍTIMOS[[#This Row],[Instruction]]),"")</f>
        <v>RH-0670</v>
      </c>
      <c r="E323" s="1"/>
      <c r="F323" s="2" t="str">
        <f>IFERROR(IF(MARÍTIMOS[[#This Row],[Transportista]]="","",MARÍTIMOS[[#This Row],[Transportista]]),"")</f>
        <v>LIP</v>
      </c>
      <c r="G323" s="2" t="str">
        <f>IFERROR(IF(MARÍTIMOS[[#This Row],[Tercero]]="","",MARÍTIMOS[[#This Row],[Tercero]]),"")</f>
        <v>SI</v>
      </c>
      <c r="H323" s="2" t="str">
        <f>IFERROR(IF(MARÍTIMOS[[#This Row],[Razón Social]]="","",MARÍTIMOS[[#This Row],[Razón Social]]),"")</f>
        <v>INVERSIONES LOS ALVARADO GROUP S.A.C.</v>
      </c>
      <c r="I323" s="2">
        <f>IFERROR(IF(MARÍTIMOS[[#This Row],[RUC]]="","",MARÍTIMOS[[#This Row],[RUC]]),"")</f>
        <v>20609890771</v>
      </c>
      <c r="J323" s="2" t="str">
        <f>IFERROR(IF(MARÍTIMOS[[#This Row],[Placa Tracto]]="","",MARÍTIMOS[[#This Row],[Placa Tracto]]),"")</f>
        <v>ALW-907</v>
      </c>
      <c r="K323" s="2" t="str">
        <f>IFERROR(IF(MARÍTIMOS[[#This Row],[Placa Carreta]]="","",MARÍTIMOS[[#This Row],[Placa Carreta]]),"")</f>
        <v>T0J-999</v>
      </c>
      <c r="L323" s="44" t="str">
        <f>IFERROR(IF(MARÍTIMOS[[#This Row],[Conductor]]="","",MARÍTIMOS[[#This Row],[Conductor]]),"")</f>
        <v>CAMPOS CORDOVA HAMILTON JAIRO</v>
      </c>
      <c r="M323" s="2" t="str">
        <f>IFERROR(IF(MARÍTIMOS[[#This Row],[Licencia]]="","",MARÍTIMOS[[#This Row],[Licencia]]),"")</f>
        <v>B44422939</v>
      </c>
      <c r="N323" s="2" t="str">
        <f>IFERROR(IF(MARÍTIMOS[[#This Row],[Número de Contacto]]="","",MARÍTIMOS[[#This Row],[Número de Contacto]]),"")</f>
        <v>977 252 689</v>
      </c>
      <c r="O323" s="10" t="str">
        <f>IFERROR(IF(MARÍTIMOS[[#This Row],[Booking|AWB|CRT]]="","",MARÍTIMOS[[#This Row],[Booking|AWB|CRT]]),"")</f>
        <v>MBM250067134</v>
      </c>
      <c r="P323" s="2" t="str">
        <f>IFERROR(IF(MARÍTIMOS[[#This Row],[Contenedor]]="","",MARÍTIMOS[[#This Row],[Contenedor]]),"")</f>
        <v>BMOU9652151</v>
      </c>
      <c r="Q323" s="2" t="str">
        <f>IFERROR(IF(MARÍTIMOS[[#This Row],[Puerto de Retiro]]="","",MARÍTIMOS[[#This Row],[Puerto de Retiro]]),"")</f>
        <v>PAITA</v>
      </c>
      <c r="R323" s="2" t="str">
        <f>IFERROR(IF(MARÍTIMOS[[#This Row],[Almacén de Retiro]]="","",MARÍTIMOS[[#This Row],[Almacén de Retiro]]),"")</f>
        <v>MACROMAR</v>
      </c>
      <c r="S323" s="11">
        <f>IFERROR(IF(MARÍTIMOS[[#This Row],[Etapa Retiro - Cita]]="","",MARÍTIMOS[[#This Row],[Etapa Retiro - Cita]]),"")</f>
        <v>46268.583333333336</v>
      </c>
      <c r="T323" s="11">
        <f>IFERROR(IF(MARÍTIMOS[[#This Row],[Etapa Retiro - Llegada]]="","",MARÍTIMOS[[#This Row],[Etapa Retiro - Llegada]]),"")</f>
        <v>46268.54791666667</v>
      </c>
      <c r="U323" s="11">
        <f>IFERROR(IF(MARÍTIMOS[[#This Row],[Etapa Retiro - Ingreso]]="","",MARÍTIMOS[[#This Row],[Etapa Retiro - Ingreso]]),"")</f>
        <v>46268.600694444445</v>
      </c>
      <c r="V323" s="11">
        <f>IFERROR(IF(MARÍTIMOS[[#This Row],[Etapa Retiro - Atención]]="","",MARÍTIMOS[[#This Row],[Etapa Retiro - Atención]]),"")</f>
        <v>46268.62222222222</v>
      </c>
      <c r="W323" s="11">
        <f>IFERROR(IF(MARÍTIMOS[[#This Row],[Etapa Retiro - Atención]]="","",MARÍTIMOS[[#This Row],[Etapa Retiro - Atención]]),"")</f>
        <v>46268.62222222222</v>
      </c>
      <c r="X323" s="11">
        <f>IFERROR(IF(MARÍTIMOS[[#This Row],[Etapa Retiro - Inicio de Ruta]]="","",MARÍTIMOS[[#This Row],[Etapa Retiro - Inicio de Ruta]]),"")</f>
        <v>46268.756944444445</v>
      </c>
      <c r="Y323" s="11">
        <f>IFERROR(IF(MARÍTIMOS[[#This Row],[Hora de Posicionamiento]]="","",MARÍTIMOS[[#This Row],[Fecha de Carga]]+MARÍTIMOS[[#This Row],[Hora de Posicionamiento]]),"")</f>
        <v>46269.416666666664</v>
      </c>
      <c r="Z323" s="11">
        <f>IFERROR(IF(MARÍTIMOS[[#This Row],[Etapa Despacho - Llegada]]="","",MARÍTIMOS[[#This Row],[Etapa Despacho - Llegada]]),"")</f>
        <v>46269.342361111114</v>
      </c>
      <c r="AA323" s="11">
        <f>IFERROR(IF(MARÍTIMOS[[#This Row],[Etapa Despacho - Registro]]="","",MARÍTIMOS[[#This Row],[Etapa Despacho - Registro]]),"")</f>
        <v>46269.343055555553</v>
      </c>
      <c r="AB323" s="11">
        <f>IFERROR(IF(MARÍTIMOS[[#This Row],[Inspección Externa]]="","",MARÍTIMOS[[#This Row],[Inspección Externa]]),"")</f>
        <v>46269.367361111108</v>
      </c>
      <c r="AC323" s="11">
        <f>IFERROR(IF(MARÍTIMOS[[#This Row],[Etapa Despacho - Inicio de Carga]]="","",MARÍTIMOS[[#This Row],[Etapa Despacho - Inicio de Carga]]),"")</f>
        <v>46269.465277777781</v>
      </c>
      <c r="AD323" s="11">
        <f>IFERROR(IF(MARÍTIMOS[[#This Row],[Etapa Despacho - Mitad de Carga]]="","",MARÍTIMOS[[#This Row],[Etapa Despacho - Mitad de Carga]]),"")</f>
        <v>46269.488888888889</v>
      </c>
      <c r="AE323" s="11">
        <f>IFERROR(IF(MARÍTIMOS[[#This Row],[Etapa Despacho - Fin de Carga]]="","",MARÍTIMOS[[#This Row],[Etapa Despacho - Fin de Carga]]),"")</f>
        <v>46269.512499999997</v>
      </c>
      <c r="AF323" s="2" t="str">
        <f>IFERROR(IF(MARÍTIMOS[[#This Row],[Puerto de Embarque]]="","",MARÍTIMOS[[#This Row],[Puerto de Embarque]]),"")</f>
        <v>Paita</v>
      </c>
      <c r="AG323" s="2" t="str">
        <f>IFERROR(IF(MARÍTIMOS[[#This Row],[Almacén de Ingreso]]="","",MARÍTIMOS[[#This Row],[Almacén de Ingreso]]),"")</f>
        <v>TPE</v>
      </c>
      <c r="AH323" s="11">
        <f>IFERROR(IF(MARÍTIMOS[[#This Row],[Etapa Ingreso - Cita]]="","",MARÍTIMOS[[#This Row],[Etapa Ingreso - Cita]]),"")</f>
        <v>46270.083333333336</v>
      </c>
      <c r="AI323" s="11">
        <f>IFERROR(IF(MARÍTIMOS[[#This Row],[Etapa Ingreso - Llegada]]="","",MARÍTIMOS[[#This Row],[Etapa Ingreso - Llegada]]),"")</f>
        <v>46270.081944444442</v>
      </c>
      <c r="AJ323" s="11">
        <f>IFERROR(IF(MARÍTIMOS[[#This Row],[Etapa Ingreso - Ingeso]]="","",MARÍTIMOS[[#This Row],[Etapa Ingreso - Ingeso]]),"")</f>
        <v>46270.093055555553</v>
      </c>
      <c r="AK323" s="11">
        <f>IFERROR(IF(MARÍTIMOS[[#This Row],[Etapa Ingreso - Atención]]="","",MARÍTIMOS[[#This Row],[Etapa Ingreso - Atención]]),"")</f>
        <v>46270.09652777778</v>
      </c>
      <c r="AL323" s="11">
        <f>IFERROR(IF(MARÍTIMOS[[#This Row],[Etapa Ingreso - Salida]]="","",MARÍTIMOS[[#This Row],[Etapa Ingreso - Salida]]),"")</f>
        <v>46270.102083333331</v>
      </c>
      <c r="AM323" s="2">
        <f>IFERROR(IF(MARÍTIMOS[[#This Row],[FCL]]="","",MARÍTIMOS[[#This Row],[FCL]]),"")</f>
        <v>1</v>
      </c>
      <c r="AN3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23" s="4" t="str" cm="1">
        <f t="array" ref="AO3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3" s="5">
        <f>IFERROR(OLDBD[[#This Row],[Llegada a packing]]-OLDBD[[#This Row],[Inicio de Ruta]],"")</f>
        <v>0.58541666666860692</v>
      </c>
      <c r="AQ323" s="6">
        <f>IFERROR(OLDBD[[#This Row],[Inicio de Ruta]]-OLDBD[[#This Row],[Salida de almacén de retiro]],"")</f>
        <v>0.13472222222480923</v>
      </c>
      <c r="AR3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23" s="8" t="str" cm="1">
        <f t="array" ref="AS3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23" s="9">
        <f>IFERROR(OLDBD[[#This Row],[Ingreso Packing]]-OLDBD[[#This Row],[Registro en Packing]],"")</f>
        <v>2.4305555554747116E-2</v>
      </c>
      <c r="AV323" s="9">
        <f>IFERROR(OLDBD[[#This Row],[Ingreso Packing]]-OLDBD[[#This Row],[Llegada a packing]],"")</f>
        <v>2.4999999994179234E-2</v>
      </c>
      <c r="AW3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3" s="5">
        <f>IFERROR(OLDBD[[#This Row],[Llegada Almacén de Ingreso]]-OLDBD[[#This Row],[Salida Packing]],"")</f>
        <v>0.56944444444525288</v>
      </c>
      <c r="AY323" s="4" t="str" cm="1">
        <f t="array" ref="AY3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3" s="43" t="s">
        <v>173</v>
      </c>
      <c r="BB323" s="47" t="str">
        <f>IFERROR(IF(MARÍTIMOS[[#This Row],[Estatus]]="","",MARÍTIMOS[[#This Row],[Estatus]]),"")</f>
        <v>Confirmado</v>
      </c>
      <c r="BC323" s="43"/>
      <c r="BD323" s="46">
        <f>IFERROR(OLDBD[[#This Row],[Salida de almacén de retiro]]-OLDBD[[#This Row],[Ingreso Almacén de retiro]],"")</f>
        <v>2.1527777775190771E-2</v>
      </c>
      <c r="BE323" s="46">
        <f>IFERROR(OLDBD[[#This Row],[Fin de Carga]]-OLDBD[[#This Row],[Inicio de Carga]],"")</f>
        <v>2.361111110803904E-2</v>
      </c>
    </row>
    <row r="324" spans="1:57" customFormat="1" hidden="1">
      <c r="A324" s="1"/>
      <c r="B324" s="1">
        <f>IFERROR(IF(MARÍTIMOS[[#This Row],[PP]]="","",MARÍTIMOS[[#This Row],[PP]]),"")</f>
        <v>36</v>
      </c>
      <c r="C324" s="1" t="str">
        <f>IFERROR(IF(MARÍTIMOS[[#This Row],[Sede]]="","",MARÍTIMOS[[#This Row],[Sede]]),"")</f>
        <v>Chao</v>
      </c>
      <c r="D324" s="1" t="str">
        <f>IFERROR(IF(MARÍTIMOS[[#This Row],[Instruction]]="","",MARÍTIMOS[[#This Row],[Instruction]]),"")</f>
        <v>RH-0677</v>
      </c>
      <c r="E324" s="1"/>
      <c r="F324" s="2" t="str">
        <f>IFERROR(IF(MARÍTIMOS[[#This Row],[Transportista]]="","",MARÍTIMOS[[#This Row],[Transportista]]),"")</f>
        <v>LIP</v>
      </c>
      <c r="G324" s="2" t="str">
        <f>IFERROR(IF(MARÍTIMOS[[#This Row],[Tercero]]="","",MARÍTIMOS[[#This Row],[Tercero]]),"")</f>
        <v>NO</v>
      </c>
      <c r="H324" s="2" t="str">
        <f>IFERROR(IF(MARÍTIMOS[[#This Row],[Razón Social]]="","",MARÍTIMOS[[#This Row],[Razón Social]]),"")</f>
        <v>LOGISTICA INTERMODAL DEL PERU S.A.C.</v>
      </c>
      <c r="I324" s="2">
        <f>IFERROR(IF(MARÍTIMOS[[#This Row],[RUC]]="","",MARÍTIMOS[[#This Row],[RUC]]),"")</f>
        <v>20513040718</v>
      </c>
      <c r="J324" s="2" t="str">
        <f>IFERROR(IF(MARÍTIMOS[[#This Row],[Placa Tracto]]="","",MARÍTIMOS[[#This Row],[Placa Tracto]]),"")</f>
        <v>ASO-911</v>
      </c>
      <c r="K324" s="2" t="str">
        <f>IFERROR(IF(MARÍTIMOS[[#This Row],[Placa Carreta]]="","",MARÍTIMOS[[#This Row],[Placa Carreta]]),"")</f>
        <v>ADF-995</v>
      </c>
      <c r="L324" s="44" t="str">
        <f>IFERROR(IF(MARÍTIMOS[[#This Row],[Conductor]]="","",MARÍTIMOS[[#This Row],[Conductor]]),"")</f>
        <v>HUAYAMA GARCIA FRANK ANTONIO</v>
      </c>
      <c r="M324" s="2" t="str">
        <f>IFERROR(IF(MARÍTIMOS[[#This Row],[Licencia]]="","",MARÍTIMOS[[#This Row],[Licencia]]),"")</f>
        <v>B47436868</v>
      </c>
      <c r="N324" s="2" t="str">
        <f>IFERROR(IF(MARÍTIMOS[[#This Row],[Número de Contacto]]="","",MARÍTIMOS[[#This Row],[Número de Contacto]]),"")</f>
        <v>963 069 655</v>
      </c>
      <c r="O324" s="10" t="str">
        <f>IFERROR(IF(MARÍTIMOS[[#This Row],[Booking|AWB|CRT]]="","",MARÍTIMOS[[#This Row],[Booking|AWB|CRT]]),"")</f>
        <v>BN82789</v>
      </c>
      <c r="P324" s="2" t="str">
        <f>IFERROR(IF(MARÍTIMOS[[#This Row],[Contenedor]]="","",MARÍTIMOS[[#This Row],[Contenedor]]),"")</f>
        <v>TEMU9791926</v>
      </c>
      <c r="Q324" s="2" t="str">
        <f>IFERROR(IF(MARÍTIMOS[[#This Row],[Puerto de Retiro]]="","",MARÍTIMOS[[#This Row],[Puerto de Retiro]]),"")</f>
        <v>PAITA</v>
      </c>
      <c r="R324" s="2" t="str">
        <f>IFERROR(IF(MARÍTIMOS[[#This Row],[Almacén de Retiro]]="","",MARÍTIMOS[[#This Row],[Almacén de Retiro]]),"")</f>
        <v>DPW</v>
      </c>
      <c r="S324" s="11">
        <f>IFERROR(IF(MARÍTIMOS[[#This Row],[Etapa Retiro - Cita]]="","",MARÍTIMOS[[#This Row],[Etapa Retiro - Cita]]),"")</f>
        <v>46271.583333333336</v>
      </c>
      <c r="T324" s="11">
        <f>IFERROR(IF(MARÍTIMOS[[#This Row],[Etapa Retiro - Llegada]]="","",MARÍTIMOS[[#This Row],[Etapa Retiro - Llegada]]),"")</f>
        <v>46271.586111111108</v>
      </c>
      <c r="U324" s="11">
        <f>IFERROR(IF(MARÍTIMOS[[#This Row],[Etapa Retiro - Ingreso]]="","",MARÍTIMOS[[#This Row],[Etapa Retiro - Ingreso]]),"")</f>
        <v>46271.62222222222</v>
      </c>
      <c r="V324" s="11">
        <f>IFERROR(IF(MARÍTIMOS[[#This Row],[Etapa Retiro - Atención]]="","",MARÍTIMOS[[#This Row],[Etapa Retiro - Atención]]),"")</f>
        <v>46271.622916666667</v>
      </c>
      <c r="W324" s="11">
        <f>IFERROR(IF(MARÍTIMOS[[#This Row],[Etapa Retiro - Atención]]="","",MARÍTIMOS[[#This Row],[Etapa Retiro - Atención]]),"")</f>
        <v>46271.622916666667</v>
      </c>
      <c r="X324" s="11">
        <f>IFERROR(IF(MARÍTIMOS[[#This Row],[Etapa Retiro - Inicio de Ruta]]="","",MARÍTIMOS[[#This Row],[Etapa Retiro - Inicio de Ruta]]),"")</f>
        <v>46271.696527777778</v>
      </c>
      <c r="Y324" s="11">
        <f>IFERROR(IF(MARÍTIMOS[[#This Row],[Hora de Posicionamiento]]="","",MARÍTIMOS[[#This Row],[Fecha de Carga]]+MARÍTIMOS[[#This Row],[Hora de Posicionamiento]]),"")</f>
        <v>46272.375</v>
      </c>
      <c r="Z324" s="11">
        <f>IFERROR(IF(MARÍTIMOS[[#This Row],[Etapa Despacho - Llegada]]="","",MARÍTIMOS[[#This Row],[Etapa Despacho - Llegada]]),"")</f>
        <v>46272.379861111112</v>
      </c>
      <c r="AA324" s="11">
        <f>IFERROR(IF(MARÍTIMOS[[#This Row],[Etapa Despacho - Registro]]="","",MARÍTIMOS[[#This Row],[Etapa Despacho - Registro]]),"")</f>
        <v>46272.379861111112</v>
      </c>
      <c r="AB324" s="11">
        <f>IFERROR(IF(MARÍTIMOS[[#This Row],[Inspección Externa]]="","",MARÍTIMOS[[#This Row],[Inspección Externa]]),"")</f>
        <v>46272.469444444447</v>
      </c>
      <c r="AC324" s="11">
        <f>IFERROR(IF(MARÍTIMOS[[#This Row],[Etapa Despacho - Inicio de Carga]]="","",MARÍTIMOS[[#This Row],[Etapa Despacho - Inicio de Carga]]),"")</f>
        <v>46272.543055555558</v>
      </c>
      <c r="AD324" s="11">
        <f>IFERROR(IF(MARÍTIMOS[[#This Row],[Etapa Despacho - Mitad de Carga]]="","",MARÍTIMOS[[#This Row],[Etapa Despacho - Mitad de Carga]]),"")</f>
        <v>46272.557638888888</v>
      </c>
      <c r="AE324" s="11">
        <f>IFERROR(IF(MARÍTIMOS[[#This Row],[Etapa Despacho - Fin de Carga]]="","",MARÍTIMOS[[#This Row],[Etapa Despacho - Fin de Carga]]),"")</f>
        <v>46272.574305555558</v>
      </c>
      <c r="AF324" s="2" t="str">
        <f>IFERROR(IF(MARÍTIMOS[[#This Row],[Puerto de Embarque]]="","",MARÍTIMOS[[#This Row],[Puerto de Embarque]]),"")</f>
        <v>Paita</v>
      </c>
      <c r="AG324" s="2" t="str">
        <f>IFERROR(IF(MARÍTIMOS[[#This Row],[Almacén de Ingreso]]="","",MARÍTIMOS[[#This Row],[Almacén de Ingreso]]),"")</f>
        <v>TPE</v>
      </c>
      <c r="AH324" s="11">
        <f>IFERROR(IF(MARÍTIMOS[[#This Row],[Etapa Ingreso - Cita]]="","",MARÍTIMOS[[#This Row],[Etapa Ingreso - Cita]]),"")</f>
        <v>46273.333333333336</v>
      </c>
      <c r="AI324" s="11">
        <f>IFERROR(IF(MARÍTIMOS[[#This Row],[Etapa Ingreso - Llegada]]="","",MARÍTIMOS[[#This Row],[Etapa Ingreso - Llegada]]),"")</f>
        <v>46273.332638888889</v>
      </c>
      <c r="AJ324" s="11">
        <f>IFERROR(IF(MARÍTIMOS[[#This Row],[Etapa Ingreso - Ingeso]]="","",MARÍTIMOS[[#This Row],[Etapa Ingreso - Ingeso]]),"")</f>
        <v>46273.338194444441</v>
      </c>
      <c r="AK324" s="11">
        <f>IFERROR(IF(MARÍTIMOS[[#This Row],[Etapa Ingreso - Atención]]="","",MARÍTIMOS[[#This Row],[Etapa Ingreso - Atención]]),"")</f>
        <v>46273.340277777781</v>
      </c>
      <c r="AL324" s="11">
        <f>IFERROR(IF(MARÍTIMOS[[#This Row],[Etapa Ingreso - Salida]]="","",MARÍTIMOS[[#This Row],[Etapa Ingreso - Salida]]),"")</f>
        <v>46273.344444444447</v>
      </c>
      <c r="AM324" s="2">
        <f>IFERROR(IF(MARÍTIMOS[[#This Row],[FCL]]="","",MARÍTIMOS[[#This Row],[FCL]]),"")</f>
        <v>1</v>
      </c>
      <c r="AN3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24" s="4" t="str" cm="1">
        <f t="array" ref="AO3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4" s="5">
        <f>IFERROR(OLDBD[[#This Row],[Llegada a packing]]-OLDBD[[#This Row],[Inicio de Ruta]],"")</f>
        <v>0.68333333333430346</v>
      </c>
      <c r="AQ324" s="6">
        <f>IFERROR(OLDBD[[#This Row],[Inicio de Ruta]]-OLDBD[[#This Row],[Salida de almacén de retiro]],"")</f>
        <v>7.3611111110949423E-2</v>
      </c>
      <c r="AR3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24" s="8" t="str" cm="1">
        <f t="array" ref="AS3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24" s="9">
        <f>IFERROR(OLDBD[[#This Row],[Ingreso Packing]]-OLDBD[[#This Row],[Registro en Packing]],"")</f>
        <v>8.9583333334303461E-2</v>
      </c>
      <c r="AV324" s="9">
        <f>IFERROR(OLDBD[[#This Row],[Ingreso Packing]]-OLDBD[[#This Row],[Llegada a packing]],"")</f>
        <v>8.9583333334303461E-2</v>
      </c>
      <c r="AW3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4" s="5">
        <f>IFERROR(OLDBD[[#This Row],[Llegada Almacén de Ingreso]]-OLDBD[[#This Row],[Salida Packing]],"")</f>
        <v>0.75833333333139308</v>
      </c>
      <c r="AY324" s="4" t="str" cm="1">
        <f t="array" ref="AY3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4" s="43" t="s">
        <v>173</v>
      </c>
      <c r="BB324" s="47" t="str">
        <f>IFERROR(IF(MARÍTIMOS[[#This Row],[Estatus]]="","",MARÍTIMOS[[#This Row],[Estatus]]),"")</f>
        <v>Confirmado</v>
      </c>
      <c r="BC324" s="43"/>
      <c r="BD324" s="46">
        <f>IFERROR(OLDBD[[#This Row],[Salida de almacén de retiro]]-OLDBD[[#This Row],[Ingreso Almacén de retiro]],"")</f>
        <v>6.944444467080757E-4</v>
      </c>
      <c r="BE324" s="46">
        <f>IFERROR(OLDBD[[#This Row],[Fin de Carga]]-OLDBD[[#This Row],[Inicio de Carga]],"")</f>
        <v>1.4583333329937886E-2</v>
      </c>
    </row>
    <row r="325" spans="1:57" customFormat="1" hidden="1">
      <c r="A325" s="1"/>
      <c r="B325" s="1">
        <f>IFERROR(IF(MARÍTIMOS[[#This Row],[PP]]="","",MARÍTIMOS[[#This Row],[PP]]),"")</f>
        <v>36</v>
      </c>
      <c r="C325" s="1" t="str">
        <f>IFERROR(IF(MARÍTIMOS[[#This Row],[Sede]]="","",MARÍTIMOS[[#This Row],[Sede]]),"")</f>
        <v>Chao</v>
      </c>
      <c r="D325" s="1" t="str">
        <f>IFERROR(IF(MARÍTIMOS[[#This Row],[Instruction]]="","",MARÍTIMOS[[#This Row],[Instruction]]),"")</f>
        <v>RH-0678</v>
      </c>
      <c r="E325" s="1"/>
      <c r="F325" s="2" t="str">
        <f>IFERROR(IF(MARÍTIMOS[[#This Row],[Transportista]]="","",MARÍTIMOS[[#This Row],[Transportista]]),"")</f>
        <v>LIP</v>
      </c>
      <c r="G325" s="2" t="str">
        <f>IFERROR(IF(MARÍTIMOS[[#This Row],[Tercero]]="","",MARÍTIMOS[[#This Row],[Tercero]]),"")</f>
        <v>SI</v>
      </c>
      <c r="H325" s="2" t="str">
        <f>IFERROR(IF(MARÍTIMOS[[#This Row],[Razón Social]]="","",MARÍTIMOS[[#This Row],[Razón Social]]),"")</f>
        <v>TRANSCAR MATHEO SOCIEDAD ANONIMA CERRADA</v>
      </c>
      <c r="I325" s="2">
        <f>IFERROR(IF(MARÍTIMOS[[#This Row],[RUC]]="","",MARÍTIMOS[[#This Row],[RUC]]),"")</f>
        <v>20612886921</v>
      </c>
      <c r="J325" s="2" t="str">
        <f>IFERROR(IF(MARÍTIMOS[[#This Row],[Placa Tracto]]="","",MARÍTIMOS[[#This Row],[Placa Tracto]]),"")</f>
        <v>T9H-896</v>
      </c>
      <c r="K325" s="2" t="str">
        <f>IFERROR(IF(MARÍTIMOS[[#This Row],[Placa Carreta]]="","",MARÍTIMOS[[#This Row],[Placa Carreta]]),"")</f>
        <v>TNZ-974</v>
      </c>
      <c r="L325" s="44" t="str">
        <f>IFERROR(IF(MARÍTIMOS[[#This Row],[Conductor]]="","",MARÍTIMOS[[#This Row],[Conductor]]),"")</f>
        <v>CESPEDES SAAVEDRA PABLO ARTURO</v>
      </c>
      <c r="M325" s="2" t="str">
        <f>IFERROR(IF(MARÍTIMOS[[#This Row],[Licencia]]="","",MARÍTIMOS[[#This Row],[Licencia]]),"")</f>
        <v>B43072801</v>
      </c>
      <c r="N325" s="2">
        <f>IFERROR(IF(MARÍTIMOS[[#This Row],[Número de Contacto]]="","",MARÍTIMOS[[#This Row],[Número de Contacto]]),"")</f>
        <v>923785528</v>
      </c>
      <c r="O325" s="10" t="str">
        <f>IFERROR(IF(MARÍTIMOS[[#This Row],[Booking|AWB|CRT]]="","",MARÍTIMOS[[#This Row],[Booking|AWB|CRT]]),"")</f>
        <v>PEUW2638106</v>
      </c>
      <c r="P325" s="2" t="str">
        <f>IFERROR(IF(MARÍTIMOS[[#This Row],[Contenedor]]="","",MARÍTIMOS[[#This Row],[Contenedor]]),"")</f>
        <v>TEMU9618551</v>
      </c>
      <c r="Q325" s="2" t="str">
        <f>IFERROR(IF(MARÍTIMOS[[#This Row],[Puerto de Retiro]]="","",MARÍTIMOS[[#This Row],[Puerto de Retiro]]),"")</f>
        <v>PAITA</v>
      </c>
      <c r="R325" s="2" t="str">
        <f>IFERROR(IF(MARÍTIMOS[[#This Row],[Almacén de Retiro]]="","",MARÍTIMOS[[#This Row],[Almacén de Retiro]]),"")</f>
        <v>DPWL</v>
      </c>
      <c r="S325" s="11">
        <f>IFERROR(IF(MARÍTIMOS[[#This Row],[Etapa Retiro - Cita]]="","",MARÍTIMOS[[#This Row],[Etapa Retiro - Cita]]),"")</f>
        <v>46271.416666666664</v>
      </c>
      <c r="T325" s="11">
        <f>IFERROR(IF(MARÍTIMOS[[#This Row],[Etapa Retiro - Llegada]]="","",MARÍTIMOS[[#This Row],[Etapa Retiro - Llegada]]),"")</f>
        <v>46271.430555555555</v>
      </c>
      <c r="U325" s="11">
        <f>IFERROR(IF(MARÍTIMOS[[#This Row],[Etapa Retiro - Ingreso]]="","",MARÍTIMOS[[#This Row],[Etapa Retiro - Ingreso]]),"")</f>
        <v>46271.458333333336</v>
      </c>
      <c r="V325" s="11">
        <f>IFERROR(IF(MARÍTIMOS[[#This Row],[Etapa Retiro - Atención]]="","",MARÍTIMOS[[#This Row],[Etapa Retiro - Atención]]),"")</f>
        <v>46271.461805555555</v>
      </c>
      <c r="W325" s="11">
        <f>IFERROR(IF(MARÍTIMOS[[#This Row],[Etapa Retiro - Atención]]="","",MARÍTIMOS[[#This Row],[Etapa Retiro - Atención]]),"")</f>
        <v>46271.461805555555</v>
      </c>
      <c r="X325" s="11">
        <f>IFERROR(IF(MARÍTIMOS[[#This Row],[Etapa Retiro - Inicio de Ruta]]="","",MARÍTIMOS[[#This Row],[Etapa Retiro - Inicio de Ruta]]),"")</f>
        <v>46271.607638888891</v>
      </c>
      <c r="Y325" s="11">
        <f>IFERROR(IF(MARÍTIMOS[[#This Row],[Hora de Posicionamiento]]="","",MARÍTIMOS[[#This Row],[Fecha de Carga]]+MARÍTIMOS[[#This Row],[Hora de Posicionamiento]]),"")</f>
        <v>46272.416666666664</v>
      </c>
      <c r="Z325" s="11" t="str">
        <f>IFERROR(IF(MARÍTIMOS[[#This Row],[Etapa Despacho - Llegada]]="","",MARÍTIMOS[[#This Row],[Etapa Despacho - Llegada]]),"")</f>
        <v/>
      </c>
      <c r="AA325" s="11" t="str">
        <f>IFERROR(IF(MARÍTIMOS[[#This Row],[Etapa Despacho - Registro]]="","",MARÍTIMOS[[#This Row],[Etapa Despacho - Registro]]),"")</f>
        <v/>
      </c>
      <c r="AB325" s="11" t="str">
        <f>IFERROR(IF(MARÍTIMOS[[#This Row],[Inspección Externa]]="","",MARÍTIMOS[[#This Row],[Inspección Externa]]),"")</f>
        <v/>
      </c>
      <c r="AC325" s="11" t="str">
        <f>IFERROR(IF(MARÍTIMOS[[#This Row],[Etapa Despacho - Inicio de Carga]]="","",MARÍTIMOS[[#This Row],[Etapa Despacho - Inicio de Carga]]),"")</f>
        <v/>
      </c>
      <c r="AD325" s="11" t="str">
        <f>IFERROR(IF(MARÍTIMOS[[#This Row],[Etapa Despacho - Mitad de Carga]]="","",MARÍTIMOS[[#This Row],[Etapa Despacho - Mitad de Carga]]),"")</f>
        <v/>
      </c>
      <c r="AE325" s="11" t="str">
        <f>IFERROR(IF(MARÍTIMOS[[#This Row],[Etapa Despacho - Fin de Carga]]="","",MARÍTIMOS[[#This Row],[Etapa Despacho - Fin de Carga]]),"")</f>
        <v/>
      </c>
      <c r="AF325" s="2" t="str">
        <f>IFERROR(IF(MARÍTIMOS[[#This Row],[Puerto de Embarque]]="","",MARÍTIMOS[[#This Row],[Puerto de Embarque]]),"")</f>
        <v>Paita</v>
      </c>
      <c r="AG325" s="2" t="str">
        <f>IFERROR(IF(MARÍTIMOS[[#This Row],[Almacén de Ingreso]]="","",MARÍTIMOS[[#This Row],[Almacén de Ingreso]]),"")</f>
        <v>TPE</v>
      </c>
      <c r="AH325" s="11">
        <f>IFERROR(IF(MARÍTIMOS[[#This Row],[Etapa Ingreso - Cita]]="","",MARÍTIMOS[[#This Row],[Etapa Ingreso - Cita]]),"")</f>
        <v>46272.041666666664</v>
      </c>
      <c r="AI325" s="11">
        <f>IFERROR(IF(MARÍTIMOS[[#This Row],[Etapa Ingreso - Llegada]]="","",MARÍTIMOS[[#This Row],[Etapa Ingreso - Llegada]]),"")</f>
        <v>46272.059027777781</v>
      </c>
      <c r="AJ325" s="11">
        <f>IFERROR(IF(MARÍTIMOS[[#This Row],[Etapa Ingreso - Ingeso]]="","",MARÍTIMOS[[#This Row],[Etapa Ingreso - Ingeso]]),"")</f>
        <v>46272.48333333333</v>
      </c>
      <c r="AK325" s="11">
        <f>IFERROR(IF(MARÍTIMOS[[#This Row],[Etapa Ingreso - Atención]]="","",MARÍTIMOS[[#This Row],[Etapa Ingreso - Atención]]),"")</f>
        <v>46272.486111111109</v>
      </c>
      <c r="AL325" s="11">
        <f>IFERROR(IF(MARÍTIMOS[[#This Row],[Etapa Ingreso - Salida]]="","",MARÍTIMOS[[#This Row],[Etapa Ingreso - Salida]]),"")</f>
        <v>46272.493055555555</v>
      </c>
      <c r="AM325" s="2">
        <f>IFERROR(IF(MARÍTIMOS[[#This Row],[FCL]]="","",MARÍTIMOS[[#This Row],[FCL]]),"")</f>
        <v>1</v>
      </c>
      <c r="AN3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25" s="4" t="str" cm="1">
        <f t="array" ref="AO3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5" s="5" t="str">
        <f>IFERROR(OLDBD[[#This Row],[Llegada a packing]]-OLDBD[[#This Row],[Inicio de Ruta]],"")</f>
        <v/>
      </c>
      <c r="AQ325" s="6">
        <f>IFERROR(OLDBD[[#This Row],[Inicio de Ruta]]-OLDBD[[#This Row],[Salida de almacén de retiro]],"")</f>
        <v>0.14583333333575865</v>
      </c>
      <c r="AR3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25" s="8" t="str" cm="1">
        <f t="array" ref="AS3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25" s="9" t="str">
        <f>IFERROR(OLDBD[[#This Row],[Ingreso Packing]]-OLDBD[[#This Row],[Registro en Packing]],"")</f>
        <v/>
      </c>
      <c r="AV325" s="9" t="str">
        <f>IFERROR(OLDBD[[#This Row],[Ingreso Packing]]-OLDBD[[#This Row],[Llegada a packing]],"")</f>
        <v/>
      </c>
      <c r="AW3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25" s="5" t="str">
        <f>IFERROR(OLDBD[[#This Row],[Llegada Almacén de Ingreso]]-OLDBD[[#This Row],[Salida Packing]],"")</f>
        <v/>
      </c>
      <c r="AY325" s="4" t="str" cm="1">
        <f t="array" ref="AY3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3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5" s="43" t="s">
        <v>173</v>
      </c>
      <c r="BB325" s="47" t="str">
        <f>IFERROR(IF(MARÍTIMOS[[#This Row],[Estatus]]="","",MARÍTIMOS[[#This Row],[Estatus]]),"")</f>
        <v>Cancelado</v>
      </c>
      <c r="BC325" s="43"/>
      <c r="BD325" s="46">
        <f>IFERROR(OLDBD[[#This Row],[Salida de almacén de retiro]]-OLDBD[[#This Row],[Ingreso Almacén de retiro]],"")</f>
        <v>3.4722222189884633E-3</v>
      </c>
      <c r="BE325" s="46" t="str">
        <f>IFERROR(OLDBD[[#This Row],[Fin de Carga]]-OLDBD[[#This Row],[Inicio de Carga]],"")</f>
        <v/>
      </c>
    </row>
    <row r="326" spans="1:57" customFormat="1" hidden="1">
      <c r="A326" s="1"/>
      <c r="B326" s="1">
        <f>IFERROR(IF(MARÍTIMOS[[#This Row],[PP]]="","",MARÍTIMOS[[#This Row],[PP]]),"")</f>
        <v>36</v>
      </c>
      <c r="C326" s="1" t="str">
        <f>IFERROR(IF(MARÍTIMOS[[#This Row],[Sede]]="","",MARÍTIMOS[[#This Row],[Sede]]),"")</f>
        <v>Chao</v>
      </c>
      <c r="D326" s="1" t="str">
        <f>IFERROR(IF(MARÍTIMOS[[#This Row],[Instruction]]="","",MARÍTIMOS[[#This Row],[Instruction]]),"")</f>
        <v>RH-0683</v>
      </c>
      <c r="E326" s="1"/>
      <c r="F326" s="2" t="str">
        <f>IFERROR(IF(MARÍTIMOS[[#This Row],[Transportista]]="","",MARÍTIMOS[[#This Row],[Transportista]]),"")</f>
        <v>LIP</v>
      </c>
      <c r="G326" s="2" t="str">
        <f>IFERROR(IF(MARÍTIMOS[[#This Row],[Tercero]]="","",MARÍTIMOS[[#This Row],[Tercero]]),"")</f>
        <v>SI</v>
      </c>
      <c r="H326" s="2" t="str">
        <f>IFERROR(IF(MARÍTIMOS[[#This Row],[Razón Social]]="","",MARÍTIMOS[[#This Row],[Razón Social]]),"")</f>
        <v>TRANSPORTES KALING SOCIEDAD ANONIMA CERRADA</v>
      </c>
      <c r="I326" s="2">
        <f>IFERROR(IF(MARÍTIMOS[[#This Row],[RUC]]="","",MARÍTIMOS[[#This Row],[RUC]]),"")</f>
        <v>20611958651</v>
      </c>
      <c r="J326" s="2" t="str">
        <f>IFERROR(IF(MARÍTIMOS[[#This Row],[Placa Tracto]]="","",MARÍTIMOS[[#This Row],[Placa Tracto]]),"")</f>
        <v>T3D-768</v>
      </c>
      <c r="K326" s="2" t="str">
        <f>IFERROR(IF(MARÍTIMOS[[#This Row],[Placa Carreta]]="","",MARÍTIMOS[[#This Row],[Placa Carreta]]),"")</f>
        <v>BMD-986</v>
      </c>
      <c r="L326" s="44" t="str">
        <f>IFERROR(IF(MARÍTIMOS[[#This Row],[Conductor]]="","",MARÍTIMOS[[#This Row],[Conductor]]),"")</f>
        <v>JUAREZ VILLASECA FELIX WALTER</v>
      </c>
      <c r="M326" s="2" t="str">
        <f>IFERROR(IF(MARÍTIMOS[[#This Row],[Licencia]]="","",MARÍTIMOS[[#This Row],[Licencia]]),"")</f>
        <v>B03659725</v>
      </c>
      <c r="N326" s="2">
        <f>IFERROR(IF(MARÍTIMOS[[#This Row],[Número de Contacto]]="","",MARÍTIMOS[[#This Row],[Número de Contacto]]),"")</f>
        <v>934562102</v>
      </c>
      <c r="O326" s="10" t="str">
        <f>IFERROR(IF(MARÍTIMOS[[#This Row],[Booking|AWB|CRT]]="","",MARÍTIMOS[[#This Row],[Booking|AWB|CRT]]),"")</f>
        <v>PER9214281A</v>
      </c>
      <c r="P326" s="2" t="str">
        <f>IFERROR(IF(MARÍTIMOS[[#This Row],[Contenedor]]="","",MARÍTIMOS[[#This Row],[Contenedor]]),"")</f>
        <v xml:space="preserve">	SZLU7013548</v>
      </c>
      <c r="Q326" s="2" t="str">
        <f>IFERROR(IF(MARÍTIMOS[[#This Row],[Puerto de Retiro]]="","",MARÍTIMOS[[#This Row],[Puerto de Retiro]]),"")</f>
        <v>PAITA</v>
      </c>
      <c r="R326" s="2" t="str">
        <f>IFERROR(IF(MARÍTIMOS[[#This Row],[Almacén de Retiro]]="","",MARÍTIMOS[[#This Row],[Almacén de Retiro]]),"")</f>
        <v>DPW</v>
      </c>
      <c r="S326" s="11">
        <f>IFERROR(IF(MARÍTIMOS[[#This Row],[Etapa Retiro - Cita]]="","",MARÍTIMOS[[#This Row],[Etapa Retiro - Cita]]),"")</f>
        <v>46272.5</v>
      </c>
      <c r="T326" s="11">
        <f>IFERROR(IF(MARÍTIMOS[[#This Row],[Etapa Retiro - Llegada]]="","",MARÍTIMOS[[#This Row],[Etapa Retiro - Llegada]]),"")</f>
        <v>46272.490277777775</v>
      </c>
      <c r="U326" s="11">
        <f>IFERROR(IF(MARÍTIMOS[[#This Row],[Etapa Retiro - Ingreso]]="","",MARÍTIMOS[[#This Row],[Etapa Retiro - Ingreso]]),"")</f>
        <v>46272.511805555558</v>
      </c>
      <c r="V326" s="11">
        <f>IFERROR(IF(MARÍTIMOS[[#This Row],[Etapa Retiro - Atención]]="","",MARÍTIMOS[[#This Row],[Etapa Retiro - Atención]]),"")</f>
        <v>46272.541666666664</v>
      </c>
      <c r="W326" s="11">
        <f>IFERROR(IF(MARÍTIMOS[[#This Row],[Etapa Retiro - Atención]]="","",MARÍTIMOS[[#This Row],[Etapa Retiro - Atención]]),"")</f>
        <v>46272.541666666664</v>
      </c>
      <c r="X326" s="11">
        <f>IFERROR(IF(MARÍTIMOS[[#This Row],[Etapa Retiro - Inicio de Ruta]]="","",MARÍTIMOS[[#This Row],[Etapa Retiro - Inicio de Ruta]]),"")</f>
        <v>46272.645833333336</v>
      </c>
      <c r="Y326" s="11">
        <f>IFERROR(IF(MARÍTIMOS[[#This Row],[Hora de Posicionamiento]]="","",MARÍTIMOS[[#This Row],[Fecha de Carga]]+MARÍTIMOS[[#This Row],[Hora de Posicionamiento]]),"")</f>
        <v>46273.333333333336</v>
      </c>
      <c r="Z326" s="11">
        <f>IFERROR(IF(MARÍTIMOS[[#This Row],[Etapa Despacho - Llegada]]="","",MARÍTIMOS[[#This Row],[Etapa Despacho - Llegada]]),"")</f>
        <v>46273.315972222219</v>
      </c>
      <c r="AA326" s="11">
        <f>IFERROR(IF(MARÍTIMOS[[#This Row],[Etapa Despacho - Registro]]="","",MARÍTIMOS[[#This Row],[Etapa Despacho - Registro]]),"")</f>
        <v>46273.319444444445</v>
      </c>
      <c r="AB326" s="11">
        <f>IFERROR(IF(MARÍTIMOS[[#This Row],[Inspección Externa]]="","",MARÍTIMOS[[#This Row],[Inspección Externa]]),"")</f>
        <v>46273.322916666664</v>
      </c>
      <c r="AC326" s="11">
        <f>IFERROR(IF(MARÍTIMOS[[#This Row],[Etapa Despacho - Inicio de Carga]]="","",MARÍTIMOS[[#This Row],[Etapa Despacho - Inicio de Carga]]),"")</f>
        <v>46273.458333333336</v>
      </c>
      <c r="AD326" s="11">
        <f>IFERROR(IF(MARÍTIMOS[[#This Row],[Etapa Despacho - Mitad de Carga]]="","",MARÍTIMOS[[#This Row],[Etapa Despacho - Mitad de Carga]]),"")</f>
        <v>46273.5</v>
      </c>
      <c r="AE326" s="11">
        <f>IFERROR(IF(MARÍTIMOS[[#This Row],[Etapa Despacho - Fin de Carga]]="","",MARÍTIMOS[[#This Row],[Etapa Despacho - Fin de Carga]]),"")</f>
        <v>46273.53125</v>
      </c>
      <c r="AF326" s="2" t="str">
        <f>IFERROR(IF(MARÍTIMOS[[#This Row],[Puerto de Embarque]]="","",MARÍTIMOS[[#This Row],[Puerto de Embarque]]),"")</f>
        <v>Paita</v>
      </c>
      <c r="AG326" s="2" t="str">
        <f>IFERROR(IF(MARÍTIMOS[[#This Row],[Almacén de Ingreso]]="","",MARÍTIMOS[[#This Row],[Almacén de Ingreso]]),"")</f>
        <v>TPE</v>
      </c>
      <c r="AH326" s="11">
        <f>IFERROR(IF(MARÍTIMOS[[#This Row],[Etapa Ingreso - Cita]]="","",MARÍTIMOS[[#This Row],[Etapa Ingreso - Cita]]),"")</f>
        <v>46274.208333333336</v>
      </c>
      <c r="AI326" s="11">
        <f>IFERROR(IF(MARÍTIMOS[[#This Row],[Etapa Ingreso - Llegada]]="","",MARÍTIMOS[[#This Row],[Etapa Ingreso - Llegada]]),"")</f>
        <v>46274.263888888891</v>
      </c>
      <c r="AJ326" s="11">
        <f>IFERROR(IF(MARÍTIMOS[[#This Row],[Etapa Ingreso - Ingeso]]="","",MARÍTIMOS[[#This Row],[Etapa Ingreso - Ingeso]]),"")</f>
        <v>46274.277777777781</v>
      </c>
      <c r="AK326" s="11">
        <f>IFERROR(IF(MARÍTIMOS[[#This Row],[Etapa Ingreso - Atención]]="","",MARÍTIMOS[[#This Row],[Etapa Ingreso - Atención]]),"")</f>
        <v>46274.28125</v>
      </c>
      <c r="AL326" s="11">
        <f>IFERROR(IF(MARÍTIMOS[[#This Row],[Etapa Ingreso - Salida]]="","",MARÍTIMOS[[#This Row],[Etapa Ingreso - Salida]]),"")</f>
        <v>46274.288194444445</v>
      </c>
      <c r="AM326" s="2">
        <f>IFERROR(IF(MARÍTIMOS[[#This Row],[FCL]]="","",MARÍTIMOS[[#This Row],[FCL]]),"")</f>
        <v>1</v>
      </c>
      <c r="AN3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26" s="4" t="str" cm="1">
        <f t="array" ref="AO3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6" s="5">
        <f>IFERROR(OLDBD[[#This Row],[Llegada a packing]]-OLDBD[[#This Row],[Inicio de Ruta]],"")</f>
        <v>0.67013888888322981</v>
      </c>
      <c r="AQ326" s="6">
        <f>IFERROR(OLDBD[[#This Row],[Inicio de Ruta]]-OLDBD[[#This Row],[Salida de almacén de retiro]],"")</f>
        <v>0.10416666667151731</v>
      </c>
      <c r="AR3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26" s="8" t="str" cm="1">
        <f t="array" ref="AS3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26" s="9">
        <f>IFERROR(OLDBD[[#This Row],[Ingreso Packing]]-OLDBD[[#This Row],[Registro en Packing]],"")</f>
        <v>3.4722222189884633E-3</v>
      </c>
      <c r="AV326" s="9">
        <f>IFERROR(OLDBD[[#This Row],[Ingreso Packing]]-OLDBD[[#This Row],[Llegada a packing]],"")</f>
        <v>6.9444444452528842E-3</v>
      </c>
      <c r="AW3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6" s="5">
        <f>IFERROR(OLDBD[[#This Row],[Llegada Almacén de Ingreso]]-OLDBD[[#This Row],[Salida Packing]],"")</f>
        <v>0.73263888889050577</v>
      </c>
      <c r="AY326" s="4" t="str" cm="1">
        <f t="array" ref="AY3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6" s="43" t="s">
        <v>173</v>
      </c>
      <c r="BB326" s="47" t="str">
        <f>IFERROR(IF(MARÍTIMOS[[#This Row],[Estatus]]="","",MARÍTIMOS[[#This Row],[Estatus]]),"")</f>
        <v>Confirmado</v>
      </c>
      <c r="BC326" s="43"/>
      <c r="BD326" s="46">
        <f>IFERROR(OLDBD[[#This Row],[Salida de almacén de retiro]]-OLDBD[[#This Row],[Ingreso Almacén de retiro]],"")</f>
        <v>2.9861111106583849E-2</v>
      </c>
      <c r="BE326" s="46">
        <f>IFERROR(OLDBD[[#This Row],[Fin de Carga]]-OLDBD[[#This Row],[Inicio de Carga]],"")</f>
        <v>4.1666666664241347E-2</v>
      </c>
    </row>
    <row r="327" spans="1:57" customFormat="1" hidden="1">
      <c r="A327" s="1"/>
      <c r="B327" s="1">
        <f>IFERROR(IF(MARÍTIMOS[[#This Row],[PP]]="","",MARÍTIMOS[[#This Row],[PP]]),"")</f>
        <v>36</v>
      </c>
      <c r="C327" s="1" t="str">
        <f>IFERROR(IF(MARÍTIMOS[[#This Row],[Sede]]="","",MARÍTIMOS[[#This Row],[Sede]]),"")</f>
        <v>Chao</v>
      </c>
      <c r="D327" s="1" t="str">
        <f>IFERROR(IF(MARÍTIMOS[[#This Row],[Instruction]]="","",MARÍTIMOS[[#This Row],[Instruction]]),"")</f>
        <v>RH-0682</v>
      </c>
      <c r="E327" s="1"/>
      <c r="F327" s="2" t="str">
        <f>IFERROR(IF(MARÍTIMOS[[#This Row],[Transportista]]="","",MARÍTIMOS[[#This Row],[Transportista]]),"")</f>
        <v>LIP</v>
      </c>
      <c r="G327" s="2" t="str">
        <f>IFERROR(IF(MARÍTIMOS[[#This Row],[Tercero]]="","",MARÍTIMOS[[#This Row],[Tercero]]),"")</f>
        <v>SI</v>
      </c>
      <c r="H327" s="2" t="str">
        <f>IFERROR(IF(MARÍTIMOS[[#This Row],[Razón Social]]="","",MARÍTIMOS[[#This Row],[Razón Social]]),"")</f>
        <v>TRANSCAR MATHEO SOCIEDAD ANONIMA CERRADA</v>
      </c>
      <c r="I327" s="2">
        <f>IFERROR(IF(MARÍTIMOS[[#This Row],[RUC]]="","",MARÍTIMOS[[#This Row],[RUC]]),"")</f>
        <v>20612886921</v>
      </c>
      <c r="J327" s="2" t="str">
        <f>IFERROR(IF(MARÍTIMOS[[#This Row],[Placa Tracto]]="","",MARÍTIMOS[[#This Row],[Placa Tracto]]),"")</f>
        <v>T9H-896</v>
      </c>
      <c r="K327" s="2" t="str">
        <f>IFERROR(IF(MARÍTIMOS[[#This Row],[Placa Carreta]]="","",MARÍTIMOS[[#This Row],[Placa Carreta]]),"")</f>
        <v>TNZ-974</v>
      </c>
      <c r="L327" s="44" t="str">
        <f>IFERROR(IF(MARÍTIMOS[[#This Row],[Conductor]]="","",MARÍTIMOS[[#This Row],[Conductor]]),"")</f>
        <v>CESPEDES SAAVEDRA PABLO ARTURO</v>
      </c>
      <c r="M327" s="2" t="str">
        <f>IFERROR(IF(MARÍTIMOS[[#This Row],[Licencia]]="","",MARÍTIMOS[[#This Row],[Licencia]]),"")</f>
        <v>B43072801</v>
      </c>
      <c r="N327" s="2">
        <f>IFERROR(IF(MARÍTIMOS[[#This Row],[Número de Contacto]]="","",MARÍTIMOS[[#This Row],[Número de Contacto]]),"")</f>
        <v>923785528</v>
      </c>
      <c r="O327" s="10" t="str">
        <f>IFERROR(IF(MARÍTIMOS[[#This Row],[Booking|AWB|CRT]]="","",MARÍTIMOS[[#This Row],[Booking|AWB|CRT]]),"")</f>
        <v>PER9214280A</v>
      </c>
      <c r="P327" s="2" t="str">
        <f>IFERROR(IF(MARÍTIMOS[[#This Row],[Contenedor]]="","",MARÍTIMOS[[#This Row],[Contenedor]]),"")</f>
        <v>CAAU4168100</v>
      </c>
      <c r="Q327" s="2" t="str">
        <f>IFERROR(IF(MARÍTIMOS[[#This Row],[Puerto de Retiro]]="","",MARÍTIMOS[[#This Row],[Puerto de Retiro]]),"")</f>
        <v>PAITA</v>
      </c>
      <c r="R327" s="2" t="str">
        <f>IFERROR(IF(MARÍTIMOS[[#This Row],[Almacén de Retiro]]="","",MARÍTIMOS[[#This Row],[Almacén de Retiro]]),"")</f>
        <v>DPW</v>
      </c>
      <c r="S327" s="11">
        <f>IFERROR(IF(MARÍTIMOS[[#This Row],[Etapa Retiro - Cita]]="","",MARÍTIMOS[[#This Row],[Etapa Retiro - Cita]]),"")</f>
        <v>46272.458333333336</v>
      </c>
      <c r="T327" s="11">
        <f>IFERROR(IF(MARÍTIMOS[[#This Row],[Etapa Retiro - Llegada]]="","",MARÍTIMOS[[#This Row],[Etapa Retiro - Llegada]]),"")</f>
        <v>46272.467361111114</v>
      </c>
      <c r="U327" s="11">
        <f>IFERROR(IF(MARÍTIMOS[[#This Row],[Etapa Retiro - Ingreso]]="","",MARÍTIMOS[[#This Row],[Etapa Retiro - Ingreso]]),"")</f>
        <v>46272.484722222223</v>
      </c>
      <c r="V327" s="11">
        <f>IFERROR(IF(MARÍTIMOS[[#This Row],[Etapa Retiro - Atención]]="","",MARÍTIMOS[[#This Row],[Etapa Retiro - Atención]]),"")</f>
        <v>46272.48541666667</v>
      </c>
      <c r="W327" s="11">
        <f>IFERROR(IF(MARÍTIMOS[[#This Row],[Etapa Retiro - Atención]]="","",MARÍTIMOS[[#This Row],[Etapa Retiro - Atención]]),"")</f>
        <v>46272.48541666667</v>
      </c>
      <c r="X327" s="11">
        <f>IFERROR(IF(MARÍTIMOS[[#This Row],[Etapa Retiro - Inicio de Ruta]]="","",MARÍTIMOS[[#This Row],[Etapa Retiro - Inicio de Ruta]]),"")</f>
        <v>46272.572916666664</v>
      </c>
      <c r="Y327" s="11">
        <f>IFERROR(IF(MARÍTIMOS[[#This Row],[Hora de Posicionamiento]]="","",MARÍTIMOS[[#This Row],[Fecha de Carga]]+MARÍTIMOS[[#This Row],[Hora de Posicionamiento]]),"")</f>
        <v>46273.333333333336</v>
      </c>
      <c r="Z327" s="11">
        <f>IFERROR(IF(MARÍTIMOS[[#This Row],[Etapa Despacho - Llegada]]="","",MARÍTIMOS[[#This Row],[Etapa Despacho - Llegada]]),"")</f>
        <v>46273.20416666667</v>
      </c>
      <c r="AA327" s="11">
        <f>IFERROR(IF(MARÍTIMOS[[#This Row],[Etapa Despacho - Registro]]="","",MARÍTIMOS[[#This Row],[Etapa Despacho - Registro]]),"")</f>
        <v>46273.252083333333</v>
      </c>
      <c r="AB327" s="11">
        <f>IFERROR(IF(MARÍTIMOS[[#This Row],[Inspección Externa]]="","",MARÍTIMOS[[#This Row],[Inspección Externa]]),"")</f>
        <v>46273.344444444447</v>
      </c>
      <c r="AC327" s="11">
        <f>IFERROR(IF(MARÍTIMOS[[#This Row],[Etapa Despacho - Inicio de Carga]]="","",MARÍTIMOS[[#This Row],[Etapa Despacho - Inicio de Carga]]),"")</f>
        <v>46273.442361111112</v>
      </c>
      <c r="AD327" s="11">
        <f>IFERROR(IF(MARÍTIMOS[[#This Row],[Etapa Despacho - Mitad de Carga]]="","",MARÍTIMOS[[#This Row],[Etapa Despacho - Mitad de Carga]]),"")</f>
        <v>46273.458333333336</v>
      </c>
      <c r="AE327" s="11">
        <f>IFERROR(IF(MARÍTIMOS[[#This Row],[Etapa Despacho - Fin de Carga]]="","",MARÍTIMOS[[#This Row],[Etapa Despacho - Fin de Carga]]),"")</f>
        <v>46273.472916666666</v>
      </c>
      <c r="AF327" s="2" t="str">
        <f>IFERROR(IF(MARÍTIMOS[[#This Row],[Puerto de Embarque]]="","",MARÍTIMOS[[#This Row],[Puerto de Embarque]]),"")</f>
        <v>Paita</v>
      </c>
      <c r="AG327" s="2" t="str">
        <f>IFERROR(IF(MARÍTIMOS[[#This Row],[Almacén de Ingreso]]="","",MARÍTIMOS[[#This Row],[Almacén de Ingreso]]),"")</f>
        <v>TPE</v>
      </c>
      <c r="AH327" s="11">
        <f>IFERROR(IF(MARÍTIMOS[[#This Row],[Etapa Ingreso - Cita]]="","",MARÍTIMOS[[#This Row],[Etapa Ingreso - Cita]]),"")</f>
        <v>46274.291666666664</v>
      </c>
      <c r="AI327" s="11">
        <f>IFERROR(IF(MARÍTIMOS[[#This Row],[Etapa Ingreso - Llegada]]="","",MARÍTIMOS[[#This Row],[Etapa Ingreso - Llegada]]),"")</f>
        <v>46274.294444444444</v>
      </c>
      <c r="AJ327" s="11">
        <f>IFERROR(IF(MARÍTIMOS[[#This Row],[Etapa Ingreso - Ingeso]]="","",MARÍTIMOS[[#This Row],[Etapa Ingreso - Ingeso]]),"")</f>
        <v>46274.307638888888</v>
      </c>
      <c r="AK327" s="11">
        <f>IFERROR(IF(MARÍTIMOS[[#This Row],[Etapa Ingreso - Atención]]="","",MARÍTIMOS[[#This Row],[Etapa Ingreso - Atención]]),"")</f>
        <v>46274.311111111114</v>
      </c>
      <c r="AL327" s="11">
        <f>IFERROR(IF(MARÍTIMOS[[#This Row],[Etapa Ingreso - Salida]]="","",MARÍTIMOS[[#This Row],[Etapa Ingreso - Salida]]),"")</f>
        <v>46274.31527777778</v>
      </c>
      <c r="AM327" s="2">
        <f>IFERROR(IF(MARÍTIMOS[[#This Row],[FCL]]="","",MARÍTIMOS[[#This Row],[FCL]]),"")</f>
        <v>1</v>
      </c>
      <c r="AN3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27" s="4" t="str" cm="1">
        <f t="array" ref="AO3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7" s="5">
        <f>IFERROR(OLDBD[[#This Row],[Llegada a packing]]-OLDBD[[#This Row],[Inicio de Ruta]],"")</f>
        <v>0.63125000000582077</v>
      </c>
      <c r="AQ327" s="6">
        <f>IFERROR(OLDBD[[#This Row],[Inicio de Ruta]]-OLDBD[[#This Row],[Salida de almacén de retiro]],"")</f>
        <v>8.7499999994179234E-2</v>
      </c>
      <c r="AR3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27" s="8" t="str" cm="1">
        <f t="array" ref="AS3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27" s="9">
        <f>IFERROR(OLDBD[[#This Row],[Ingreso Packing]]-OLDBD[[#This Row],[Registro en Packing]],"")</f>
        <v>9.2361111113859806E-2</v>
      </c>
      <c r="AV327" s="9">
        <f>IFERROR(OLDBD[[#This Row],[Ingreso Packing]]-OLDBD[[#This Row],[Llegada a packing]],"")</f>
        <v>0.14027777777664596</v>
      </c>
      <c r="AW3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7" s="5">
        <f>IFERROR(OLDBD[[#This Row],[Llegada Almacén de Ingreso]]-OLDBD[[#This Row],[Salida Packing]],"")</f>
        <v>0.82152777777810115</v>
      </c>
      <c r="AY327" s="4" t="str" cm="1">
        <f t="array" ref="AY3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7" s="43" t="s">
        <v>173</v>
      </c>
      <c r="BB327" s="47" t="str">
        <f>IFERROR(IF(MARÍTIMOS[[#This Row],[Estatus]]="","",MARÍTIMOS[[#This Row],[Estatus]]),"")</f>
        <v>Confirmado</v>
      </c>
      <c r="BC327" s="43"/>
      <c r="BD327" s="46">
        <f>IFERROR(OLDBD[[#This Row],[Salida de almacén de retiro]]-OLDBD[[#This Row],[Ingreso Almacén de retiro]],"")</f>
        <v>6.944444467080757E-4</v>
      </c>
      <c r="BE327" s="46">
        <f>IFERROR(OLDBD[[#This Row],[Fin de Carga]]-OLDBD[[#This Row],[Inicio de Carga]],"")</f>
        <v>1.5972222223354038E-2</v>
      </c>
    </row>
    <row r="328" spans="1:57" customFormat="1" hidden="1">
      <c r="A328" s="1"/>
      <c r="B328" s="1">
        <f>IFERROR(IF(MARÍTIMOS[[#This Row],[PP]]="","",MARÍTIMOS[[#This Row],[PP]]),"")</f>
        <v>37</v>
      </c>
      <c r="C328" s="1" t="str">
        <f>IFERROR(IF(MARÍTIMOS[[#This Row],[Sede]]="","",MARÍTIMOS[[#This Row],[Sede]]),"")</f>
        <v>Olmos</v>
      </c>
      <c r="D328" s="1" t="str">
        <f>IFERROR(IF(MARÍTIMOS[[#This Row],[Instruction]]="","",MARÍTIMOS[[#This Row],[Instruction]]),"")</f>
        <v>RH-0752</v>
      </c>
      <c r="E328" s="1"/>
      <c r="F328" s="2" t="str">
        <f>IFERROR(IF(MARÍTIMOS[[#This Row],[Transportista]]="","",MARÍTIMOS[[#This Row],[Transportista]]),"")</f>
        <v>LIP</v>
      </c>
      <c r="G328" s="2" t="str">
        <f>IFERROR(IF(MARÍTIMOS[[#This Row],[Tercero]]="","",MARÍTIMOS[[#This Row],[Tercero]]),"")</f>
        <v>NO</v>
      </c>
      <c r="H328" s="2" t="str">
        <f>IFERROR(IF(MARÍTIMOS[[#This Row],[Razón Social]]="","",MARÍTIMOS[[#This Row],[Razón Social]]),"")</f>
        <v>LOGISTICA INTERMODAL DEL PERU S.A.C.</v>
      </c>
      <c r="I328" s="2">
        <f>IFERROR(IF(MARÍTIMOS[[#This Row],[RUC]]="","",MARÍTIMOS[[#This Row],[RUC]]),"")</f>
        <v>20513040718</v>
      </c>
      <c r="J328" s="2" t="str">
        <f>IFERROR(IF(MARÍTIMOS[[#This Row],[Placa Tracto]]="","",MARÍTIMOS[[#This Row],[Placa Tracto]]),"")</f>
        <v>AXD-842</v>
      </c>
      <c r="K328" s="2" t="str">
        <f>IFERROR(IF(MARÍTIMOS[[#This Row],[Placa Carreta]]="","",MARÍTIMOS[[#This Row],[Placa Carreta]]),"")</f>
        <v>ATW-991</v>
      </c>
      <c r="L328" s="44" t="str">
        <f>IFERROR(IF(MARÍTIMOS[[#This Row],[Conductor]]="","",MARÍTIMOS[[#This Row],[Conductor]]),"")</f>
        <v>CRUZ GARRO JORGE PORFIRIO</v>
      </c>
      <c r="M328" s="2" t="str">
        <f>IFERROR(IF(MARÍTIMOS[[#This Row],[Licencia]]="","",MARÍTIMOS[[#This Row],[Licencia]]),"")</f>
        <v>D42478220</v>
      </c>
      <c r="N328" s="2">
        <f>IFERROR(IF(MARÍTIMOS[[#This Row],[Número de Contacto]]="","",MARÍTIMOS[[#This Row],[Número de Contacto]]),"")</f>
        <v>948666455</v>
      </c>
      <c r="O328" s="10" t="str">
        <f>IFERROR(IF(MARÍTIMOS[[#This Row],[Booking|AWB|CRT]]="","",MARÍTIMOS[[#This Row],[Booking|AWB|CRT]]),"")</f>
        <v>MBM250068059</v>
      </c>
      <c r="P328" s="2" t="str">
        <f>IFERROR(IF(MARÍTIMOS[[#This Row],[Contenedor]]="","",MARÍTIMOS[[#This Row],[Contenedor]]),"")</f>
        <v>CAIU5564047</v>
      </c>
      <c r="Q328" s="2" t="str">
        <f>IFERROR(IF(MARÍTIMOS[[#This Row],[Puerto de Retiro]]="","",MARÍTIMOS[[#This Row],[Puerto de Retiro]]),"")</f>
        <v>PAITA</v>
      </c>
      <c r="R328" s="2" t="str">
        <f>IFERROR(IF(MARÍTIMOS[[#This Row],[Almacén de Retiro]]="","",MARÍTIMOS[[#This Row],[Almacén de Retiro]]),"")</f>
        <v>MACROMAR</v>
      </c>
      <c r="S328" s="11">
        <f>IFERROR(IF(MARÍTIMOS[[#This Row],[Etapa Retiro - Cita]]="","",MARÍTIMOS[[#This Row],[Etapa Retiro - Cita]]),"")</f>
        <v>46274.625</v>
      </c>
      <c r="T328" s="11">
        <f>IFERROR(IF(MARÍTIMOS[[#This Row],[Etapa Retiro - Llegada]]="","",MARÍTIMOS[[#This Row],[Etapa Retiro - Llegada]]),"")</f>
        <v>46274.602083333331</v>
      </c>
      <c r="U328" s="11">
        <f>IFERROR(IF(MARÍTIMOS[[#This Row],[Etapa Retiro - Ingreso]]="","",MARÍTIMOS[[#This Row],[Etapa Retiro - Ingreso]]),"")</f>
        <v>46274.615277777775</v>
      </c>
      <c r="V328" s="11">
        <f>IFERROR(IF(MARÍTIMOS[[#This Row],[Etapa Retiro - Atención]]="","",MARÍTIMOS[[#This Row],[Etapa Retiro - Atención]]),"")</f>
        <v>46274.625</v>
      </c>
      <c r="W328" s="11">
        <f>IFERROR(IF(MARÍTIMOS[[#This Row],[Etapa Retiro - Atención]]="","",MARÍTIMOS[[#This Row],[Etapa Retiro - Atención]]),"")</f>
        <v>46274.625</v>
      </c>
      <c r="X328" s="11">
        <f>IFERROR(IF(MARÍTIMOS[[#This Row],[Etapa Retiro - Inicio de Ruta]]="","",MARÍTIMOS[[#This Row],[Etapa Retiro - Inicio de Ruta]]),"")</f>
        <v>46274.742361111108</v>
      </c>
      <c r="Y328" s="11">
        <f>IFERROR(IF(MARÍTIMOS[[#This Row],[Hora de Posicionamiento]]="","",MARÍTIMOS[[#This Row],[Fecha de Carga]]+MARÍTIMOS[[#This Row],[Hora de Posicionamiento]]),"")</f>
        <v>46275.5</v>
      </c>
      <c r="Z328" s="11">
        <f>IFERROR(IF(MARÍTIMOS[[#This Row],[Etapa Despacho - Llegada]]="","",MARÍTIMOS[[#This Row],[Etapa Despacho - Llegada]]),"")</f>
        <v>46275.376388888886</v>
      </c>
      <c r="AA328" s="11">
        <f>IFERROR(IF(MARÍTIMOS[[#This Row],[Etapa Despacho - Registro]]="","",MARÍTIMOS[[#This Row],[Etapa Despacho - Registro]]),"")</f>
        <v>46275.381944444445</v>
      </c>
      <c r="AB328" s="11">
        <f>IFERROR(IF(MARÍTIMOS[[#This Row],[Inspección Externa]]="","",MARÍTIMOS[[#This Row],[Inspección Externa]]),"")</f>
        <v>46275.458333333336</v>
      </c>
      <c r="AC328" s="11">
        <f>IFERROR(IF(MARÍTIMOS[[#This Row],[Etapa Despacho - Inicio de Carga]]="","",MARÍTIMOS[[#This Row],[Etapa Despacho - Inicio de Carga]]),"")</f>
        <v>46275.554861111108</v>
      </c>
      <c r="AD328" s="11">
        <f>IFERROR(IF(MARÍTIMOS[[#This Row],[Etapa Despacho - Mitad de Carga]]="","",MARÍTIMOS[[#This Row],[Etapa Despacho - Mitad de Carga]]),"")</f>
        <v>46275.567361111112</v>
      </c>
      <c r="AE328" s="11">
        <f>IFERROR(IF(MARÍTIMOS[[#This Row],[Etapa Despacho - Fin de Carga]]="","",MARÍTIMOS[[#This Row],[Etapa Despacho - Fin de Carga]]),"")</f>
        <v>46275.585416666669</v>
      </c>
      <c r="AF328" s="2" t="str">
        <f>IFERROR(IF(MARÍTIMOS[[#This Row],[Puerto de Embarque]]="","",MARÍTIMOS[[#This Row],[Puerto de Embarque]]),"")</f>
        <v>Paita</v>
      </c>
      <c r="AG328" s="2" t="str">
        <f>IFERROR(IF(MARÍTIMOS[[#This Row],[Almacén de Ingreso]]="","",MARÍTIMOS[[#This Row],[Almacén de Ingreso]]),"")</f>
        <v>TPE</v>
      </c>
      <c r="AH328" s="11">
        <f>IFERROR(IF(MARÍTIMOS[[#This Row],[Etapa Ingreso - Cita]]="","",MARÍTIMOS[[#This Row],[Etapa Ingreso - Cita]]),"")</f>
        <v>46277.416666666664</v>
      </c>
      <c r="AI328" s="11">
        <f>IFERROR(IF(MARÍTIMOS[[#This Row],[Etapa Ingreso - Llegada]]="","",MARÍTIMOS[[#This Row],[Etapa Ingreso - Llegada]]),"")</f>
        <v>46277.413194444445</v>
      </c>
      <c r="AJ328" s="11">
        <f>IFERROR(IF(MARÍTIMOS[[#This Row],[Etapa Ingreso - Ingeso]]="","",MARÍTIMOS[[#This Row],[Etapa Ingreso - Ingeso]]),"")</f>
        <v>46277.418749999997</v>
      </c>
      <c r="AK328" s="11">
        <f>IFERROR(IF(MARÍTIMOS[[#This Row],[Etapa Ingreso - Atención]]="","",MARÍTIMOS[[#This Row],[Etapa Ingreso - Atención]]),"")</f>
        <v>46277.421527777777</v>
      </c>
      <c r="AL328" s="11">
        <f>IFERROR(IF(MARÍTIMOS[[#This Row],[Etapa Ingreso - Salida]]="","",MARÍTIMOS[[#This Row],[Etapa Ingreso - Salida]]),"")</f>
        <v>46277.433333333334</v>
      </c>
      <c r="AM328" s="2">
        <f>IFERROR(IF(MARÍTIMOS[[#This Row],[FCL]]="","",MARÍTIMOS[[#This Row],[FCL]]),"")</f>
        <v>0.5</v>
      </c>
      <c r="AN3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28" s="4" t="str" cm="1">
        <f t="array" ref="AO3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8" s="5">
        <f>IFERROR(OLDBD[[#This Row],[Llegada a packing]]-OLDBD[[#This Row],[Inicio de Ruta]],"")</f>
        <v>0.63402777777810115</v>
      </c>
      <c r="AQ328" s="6">
        <f>IFERROR(OLDBD[[#This Row],[Inicio de Ruta]]-OLDBD[[#This Row],[Salida de almacén de retiro]],"")</f>
        <v>0.11736111110803904</v>
      </c>
      <c r="AR3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28" s="8" t="str" cm="1">
        <f t="array" ref="AS3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28" s="9">
        <f>IFERROR(OLDBD[[#This Row],[Ingreso Packing]]-OLDBD[[#This Row],[Registro en Packing]],"")</f>
        <v>7.6388888890505768E-2</v>
      </c>
      <c r="AV328" s="9">
        <f>IFERROR(OLDBD[[#This Row],[Ingreso Packing]]-OLDBD[[#This Row],[Llegada a packing]],"")</f>
        <v>8.1944444449618459E-2</v>
      </c>
      <c r="AW3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8" s="5">
        <f>IFERROR(OLDBD[[#This Row],[Llegada Almacén de Ingreso]]-OLDBD[[#This Row],[Salida Packing]],"")</f>
        <v>1.827777777776646</v>
      </c>
      <c r="AY328" s="4" t="str" cm="1">
        <f t="array" ref="AY3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8" s="43" t="s">
        <v>173</v>
      </c>
      <c r="BB328" s="47" t="str">
        <f>IFERROR(IF(MARÍTIMOS[[#This Row],[Estatus]]="","",MARÍTIMOS[[#This Row],[Estatus]]),"")</f>
        <v>Confirmado</v>
      </c>
      <c r="BC328" s="43"/>
      <c r="BD328" s="46">
        <f>IFERROR(OLDBD[[#This Row],[Salida de almacén de retiro]]-OLDBD[[#This Row],[Ingreso Almacén de retiro]],"")</f>
        <v>9.7222222248092294E-3</v>
      </c>
      <c r="BE328" s="46">
        <f>IFERROR(OLDBD[[#This Row],[Fin de Carga]]-OLDBD[[#This Row],[Inicio de Carga]],"")</f>
        <v>1.2500000004365575E-2</v>
      </c>
    </row>
    <row r="329" spans="1:57" customFormat="1" hidden="1">
      <c r="A329" s="1"/>
      <c r="B329" s="1">
        <f>IFERROR(IF(MARÍTIMOS[[#This Row],[PP]]="","",MARÍTIMOS[[#This Row],[PP]]),"")</f>
        <v>37</v>
      </c>
      <c r="C329" s="1" t="str">
        <f>IFERROR(IF(MARÍTIMOS[[#This Row],[Sede]]="","",MARÍTIMOS[[#This Row],[Sede]]),"")</f>
        <v>Chao</v>
      </c>
      <c r="D329" s="1" t="str">
        <f>IFERROR(IF(MARÍTIMOS[[#This Row],[Instruction]]="","",MARÍTIMOS[[#This Row],[Instruction]]),"")</f>
        <v>RH-0752</v>
      </c>
      <c r="E329" s="1"/>
      <c r="F329" s="2" t="str">
        <f>IFERROR(IF(MARÍTIMOS[[#This Row],[Transportista]]="","",MARÍTIMOS[[#This Row],[Transportista]]),"")</f>
        <v>LIP</v>
      </c>
      <c r="G329" s="2" t="str">
        <f>IFERROR(IF(MARÍTIMOS[[#This Row],[Tercero]]="","",MARÍTIMOS[[#This Row],[Tercero]]),"")</f>
        <v>NO</v>
      </c>
      <c r="H329" s="2" t="str">
        <f>IFERROR(IF(MARÍTIMOS[[#This Row],[Razón Social]]="","",MARÍTIMOS[[#This Row],[Razón Social]]),"")</f>
        <v>LOGISTICA INTERMODAL DEL PERU S.A.C.</v>
      </c>
      <c r="I329" s="2">
        <f>IFERROR(IF(MARÍTIMOS[[#This Row],[RUC]]="","",MARÍTIMOS[[#This Row],[RUC]]),"")</f>
        <v>20513040718</v>
      </c>
      <c r="J329" s="2" t="str">
        <f>IFERROR(IF(MARÍTIMOS[[#This Row],[Placa Tracto]]="","",MARÍTIMOS[[#This Row],[Placa Tracto]]),"")</f>
        <v>AXD-842</v>
      </c>
      <c r="K329" s="2" t="str">
        <f>IFERROR(IF(MARÍTIMOS[[#This Row],[Placa Carreta]]="","",MARÍTIMOS[[#This Row],[Placa Carreta]]),"")</f>
        <v>ATW-991</v>
      </c>
      <c r="L329" s="44" t="str">
        <f>IFERROR(IF(MARÍTIMOS[[#This Row],[Conductor]]="","",MARÍTIMOS[[#This Row],[Conductor]]),"")</f>
        <v>CRUZ GARRO JORGE PORFIRIO</v>
      </c>
      <c r="M329" s="2" t="str">
        <f>IFERROR(IF(MARÍTIMOS[[#This Row],[Licencia]]="","",MARÍTIMOS[[#This Row],[Licencia]]),"")</f>
        <v>D42478220</v>
      </c>
      <c r="N329" s="2">
        <f>IFERROR(IF(MARÍTIMOS[[#This Row],[Número de Contacto]]="","",MARÍTIMOS[[#This Row],[Número de Contacto]]),"")</f>
        <v>948666455</v>
      </c>
      <c r="O329" s="10" t="str">
        <f>IFERROR(IF(MARÍTIMOS[[#This Row],[Booking|AWB|CRT]]="","",MARÍTIMOS[[#This Row],[Booking|AWB|CRT]]),"")</f>
        <v>MBM250068059</v>
      </c>
      <c r="P329" s="2" t="str">
        <f>IFERROR(IF(MARÍTIMOS[[#This Row],[Contenedor]]="","",MARÍTIMOS[[#This Row],[Contenedor]]),"")</f>
        <v>CAIU5564047</v>
      </c>
      <c r="Q329" s="2" t="str">
        <f>IFERROR(IF(MARÍTIMOS[[#This Row],[Puerto de Retiro]]="","",MARÍTIMOS[[#This Row],[Puerto de Retiro]]),"")</f>
        <v>PAITA</v>
      </c>
      <c r="R329" s="2" t="str">
        <f>IFERROR(IF(MARÍTIMOS[[#This Row],[Almacén de Retiro]]="","",MARÍTIMOS[[#This Row],[Almacén de Retiro]]),"")</f>
        <v>MACROMAR</v>
      </c>
      <c r="S329" s="11">
        <f>IFERROR(IF(MARÍTIMOS[[#This Row],[Etapa Retiro - Cita]]="","",MARÍTIMOS[[#This Row],[Etapa Retiro - Cita]]),"")</f>
        <v>46274.625</v>
      </c>
      <c r="T329" s="11">
        <f>IFERROR(IF(MARÍTIMOS[[#This Row],[Etapa Retiro - Llegada]]="","",MARÍTIMOS[[#This Row],[Etapa Retiro - Llegada]]),"")</f>
        <v>46274.602083333331</v>
      </c>
      <c r="U329" s="11">
        <f>IFERROR(IF(MARÍTIMOS[[#This Row],[Etapa Retiro - Ingreso]]="","",MARÍTIMOS[[#This Row],[Etapa Retiro - Ingreso]]),"")</f>
        <v>46274.615277777775</v>
      </c>
      <c r="V329" s="11">
        <f>IFERROR(IF(MARÍTIMOS[[#This Row],[Etapa Retiro - Atención]]="","",MARÍTIMOS[[#This Row],[Etapa Retiro - Atención]]),"")</f>
        <v>46274.625</v>
      </c>
      <c r="W329" s="11">
        <f>IFERROR(IF(MARÍTIMOS[[#This Row],[Etapa Retiro - Atención]]="","",MARÍTIMOS[[#This Row],[Etapa Retiro - Atención]]),"")</f>
        <v>46274.625</v>
      </c>
      <c r="X329" s="11">
        <f>IFERROR(IF(MARÍTIMOS[[#This Row],[Etapa Retiro - Inicio de Ruta]]="","",MARÍTIMOS[[#This Row],[Etapa Retiro - Inicio de Ruta]]),"")</f>
        <v>46275.722222222219</v>
      </c>
      <c r="Y329" s="11">
        <f>IFERROR(IF(MARÍTIMOS[[#This Row],[Hora de Posicionamiento]]="","",MARÍTIMOS[[#This Row],[Fecha de Carga]]+MARÍTIMOS[[#This Row],[Hora de Posicionamiento]]),"")</f>
        <v>46276.375</v>
      </c>
      <c r="Z329" s="11">
        <f>IFERROR(IF(MARÍTIMOS[[#This Row],[Etapa Despacho - Llegada]]="","",MARÍTIMOS[[#This Row],[Etapa Despacho - Llegada]]),"")</f>
        <v>46276.380555555559</v>
      </c>
      <c r="AA329" s="11">
        <f>IFERROR(IF(MARÍTIMOS[[#This Row],[Etapa Despacho - Registro]]="","",MARÍTIMOS[[#This Row],[Etapa Despacho - Registro]]),"")</f>
        <v>46276.381944444445</v>
      </c>
      <c r="AB329" s="11">
        <f>IFERROR(IF(MARÍTIMOS[[#This Row],[Inspección Externa]]="","",MARÍTIMOS[[#This Row],[Inspección Externa]]),"")</f>
        <v>46276.454861111109</v>
      </c>
      <c r="AC329" s="11">
        <f>IFERROR(IF(MARÍTIMOS[[#This Row],[Etapa Despacho - Inicio de Carga]]="","",MARÍTIMOS[[#This Row],[Etapa Despacho - Inicio de Carga]]),"")</f>
        <v>46276.500694444447</v>
      </c>
      <c r="AD329" s="11">
        <f>IFERROR(IF(MARÍTIMOS[[#This Row],[Etapa Despacho - Mitad de Carga]]="","",MARÍTIMOS[[#This Row],[Etapa Despacho - Mitad de Carga]]),"")</f>
        <v>46276.507638888892</v>
      </c>
      <c r="AE329" s="11">
        <f>IFERROR(IF(MARÍTIMOS[[#This Row],[Etapa Despacho - Fin de Carga]]="","",MARÍTIMOS[[#This Row],[Etapa Despacho - Fin de Carga]]),"")</f>
        <v>46276.525000000001</v>
      </c>
      <c r="AF329" s="2" t="str">
        <f>IFERROR(IF(MARÍTIMOS[[#This Row],[Puerto de Embarque]]="","",MARÍTIMOS[[#This Row],[Puerto de Embarque]]),"")</f>
        <v>Paita</v>
      </c>
      <c r="AG329" s="2" t="str">
        <f>IFERROR(IF(MARÍTIMOS[[#This Row],[Almacén de Ingreso]]="","",MARÍTIMOS[[#This Row],[Almacén de Ingreso]]),"")</f>
        <v>TPE</v>
      </c>
      <c r="AH329" s="11">
        <f>IFERROR(IF(MARÍTIMOS[[#This Row],[Etapa Ingreso - Cita]]="","",MARÍTIMOS[[#This Row],[Etapa Ingreso - Cita]]),"")</f>
        <v>46277.416666666664</v>
      </c>
      <c r="AI329" s="11">
        <f>IFERROR(IF(MARÍTIMOS[[#This Row],[Etapa Ingreso - Llegada]]="","",MARÍTIMOS[[#This Row],[Etapa Ingreso - Llegada]]),"")</f>
        <v>46277.413194444445</v>
      </c>
      <c r="AJ329" s="11">
        <f>IFERROR(IF(MARÍTIMOS[[#This Row],[Etapa Ingreso - Ingeso]]="","",MARÍTIMOS[[#This Row],[Etapa Ingreso - Ingeso]]),"")</f>
        <v>46277.418749999997</v>
      </c>
      <c r="AK329" s="11">
        <f>IFERROR(IF(MARÍTIMOS[[#This Row],[Etapa Ingreso - Atención]]="","",MARÍTIMOS[[#This Row],[Etapa Ingreso - Atención]]),"")</f>
        <v>46277.421527777777</v>
      </c>
      <c r="AL329" s="11">
        <f>IFERROR(IF(MARÍTIMOS[[#This Row],[Etapa Ingreso - Salida]]="","",MARÍTIMOS[[#This Row],[Etapa Ingreso - Salida]]),"")</f>
        <v>46277.433333333334</v>
      </c>
      <c r="AM329" s="2">
        <f>IFERROR(IF(MARÍTIMOS[[#This Row],[FCL]]="","",MARÍTIMOS[[#This Row],[FCL]]),"")</f>
        <v>0.5</v>
      </c>
      <c r="AN3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29" s="4" t="str" cm="1">
        <f t="array" ref="AO3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29" s="5">
        <f>IFERROR(OLDBD[[#This Row],[Llegada a packing]]-OLDBD[[#This Row],[Inicio de Ruta]],"")</f>
        <v>0.65833333334012423</v>
      </c>
      <c r="AQ329" s="6">
        <f>IFERROR(OLDBD[[#This Row],[Inicio de Ruta]]-OLDBD[[#This Row],[Salida de almacén de retiro]],"")</f>
        <v>1.0972222222189885</v>
      </c>
      <c r="AR3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29" s="8" t="str" cm="1">
        <f t="array" ref="AS3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29" s="9">
        <f>IFERROR(OLDBD[[#This Row],[Ingreso Packing]]-OLDBD[[#This Row],[Registro en Packing]],"")</f>
        <v>7.2916666664241347E-2</v>
      </c>
      <c r="AV329" s="9">
        <f>IFERROR(OLDBD[[#This Row],[Ingreso Packing]]-OLDBD[[#This Row],[Llegada a packing]],"")</f>
        <v>7.4305555550381541E-2</v>
      </c>
      <c r="AW3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29" s="5">
        <f>IFERROR(OLDBD[[#This Row],[Llegada Almacén de Ingreso]]-OLDBD[[#This Row],[Salida Packing]],"")</f>
        <v>0.88819444444379769</v>
      </c>
      <c r="AY329" s="4" t="str" cm="1">
        <f t="array" ref="AY3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29" s="43" t="s">
        <v>173</v>
      </c>
      <c r="BB329" s="47" t="str">
        <f>IFERROR(IF(MARÍTIMOS[[#This Row],[Estatus]]="","",MARÍTIMOS[[#This Row],[Estatus]]),"")</f>
        <v>Confirmado</v>
      </c>
      <c r="BC329" s="43"/>
      <c r="BD329" s="46">
        <f>IFERROR(OLDBD[[#This Row],[Salida de almacén de retiro]]-OLDBD[[#This Row],[Ingreso Almacén de retiro]],"")</f>
        <v>9.7222222248092294E-3</v>
      </c>
      <c r="BE329" s="46">
        <f>IFERROR(OLDBD[[#This Row],[Fin de Carga]]-OLDBD[[#This Row],[Inicio de Carga]],"")</f>
        <v>6.9444444452528842E-3</v>
      </c>
    </row>
    <row r="330" spans="1:57" customFormat="1" hidden="1">
      <c r="A330" s="1"/>
      <c r="B330" s="1">
        <f>IFERROR(IF(MARÍTIMOS[[#This Row],[PP]]="","",MARÍTIMOS[[#This Row],[PP]]),"")</f>
        <v>37</v>
      </c>
      <c r="C330" s="1" t="str">
        <f>IFERROR(IF(MARÍTIMOS[[#This Row],[Sede]]="","",MARÍTIMOS[[#This Row],[Sede]]),"")</f>
        <v>Chao</v>
      </c>
      <c r="D330" s="1" t="str">
        <f>IFERROR(IF(MARÍTIMOS[[#This Row],[Instruction]]="","",MARÍTIMOS[[#This Row],[Instruction]]),"")</f>
        <v>RH-0770</v>
      </c>
      <c r="E330" s="1"/>
      <c r="F330" s="2" t="str">
        <f>IFERROR(IF(MARÍTIMOS[[#This Row],[Transportista]]="","",MARÍTIMOS[[#This Row],[Transportista]]),"")</f>
        <v>LIP</v>
      </c>
      <c r="G330" s="2" t="str">
        <f>IFERROR(IF(MARÍTIMOS[[#This Row],[Tercero]]="","",MARÍTIMOS[[#This Row],[Tercero]]),"")</f>
        <v>SI</v>
      </c>
      <c r="H330" s="2" t="str">
        <f>IFERROR(IF(MARÍTIMOS[[#This Row],[Razón Social]]="","",MARÍTIMOS[[#This Row],[Razón Social]]),"")</f>
        <v>TRANSCAR MATHEO SOCIEDAD ANONIMA CERRADA</v>
      </c>
      <c r="I330" s="2">
        <f>IFERROR(IF(MARÍTIMOS[[#This Row],[RUC]]="","",MARÍTIMOS[[#This Row],[RUC]]),"")</f>
        <v>20612886921</v>
      </c>
      <c r="J330" s="2" t="str">
        <f>IFERROR(IF(MARÍTIMOS[[#This Row],[Placa Tracto]]="","",MARÍTIMOS[[#This Row],[Placa Tracto]]),"")</f>
        <v>T0Z-870</v>
      </c>
      <c r="K330" s="2" t="str">
        <f>IFERROR(IF(MARÍTIMOS[[#This Row],[Placa Carreta]]="","",MARÍTIMOS[[#This Row],[Placa Carreta]]),"")</f>
        <v>TOR-992</v>
      </c>
      <c r="L330" s="44" t="str">
        <f>IFERROR(IF(MARÍTIMOS[[#This Row],[Conductor]]="","",MARÍTIMOS[[#This Row],[Conductor]]),"")</f>
        <v>JUAREZ PRADO SANTOS</v>
      </c>
      <c r="M330" s="2" t="str">
        <f>IFERROR(IF(MARÍTIMOS[[#This Row],[Licencia]]="","",MARÍTIMOS[[#This Row],[Licencia]]),"")</f>
        <v>Q10512201</v>
      </c>
      <c r="N330" s="2" t="str">
        <f>IFERROR(IF(MARÍTIMOS[[#This Row],[Número de Contacto]]="","",MARÍTIMOS[[#This Row],[Número de Contacto]]),"")</f>
        <v>943567 332</v>
      </c>
      <c r="O330" s="10" t="str">
        <f>IFERROR(IF(MARÍTIMOS[[#This Row],[Booking|AWB|CRT]]="","",MARÍTIMOS[[#This Row],[Booking|AWB|CRT]]),"")</f>
        <v>MBM250067144</v>
      </c>
      <c r="P330" s="2" t="str">
        <f>IFERROR(IF(MARÍTIMOS[[#This Row],[Contenedor]]="","",MARÍTIMOS[[#This Row],[Contenedor]]),"")</f>
        <v>CAIU5563950</v>
      </c>
      <c r="Q330" s="2" t="str">
        <f>IFERROR(IF(MARÍTIMOS[[#This Row],[Puerto de Retiro]]="","",MARÍTIMOS[[#This Row],[Puerto de Retiro]]),"")</f>
        <v>PAITA</v>
      </c>
      <c r="R330" s="2" t="str">
        <f>IFERROR(IF(MARÍTIMOS[[#This Row],[Almacén de Retiro]]="","",MARÍTIMOS[[#This Row],[Almacén de Retiro]]),"")</f>
        <v>MACROMAR</v>
      </c>
      <c r="S330" s="11">
        <f>IFERROR(IF(MARÍTIMOS[[#This Row],[Etapa Retiro - Cita]]="","",MARÍTIMOS[[#This Row],[Etapa Retiro - Cita]]),"")</f>
        <v>46275.583333333336</v>
      </c>
      <c r="T330" s="11">
        <f>IFERROR(IF(MARÍTIMOS[[#This Row],[Etapa Retiro - Llegada]]="","",MARÍTIMOS[[#This Row],[Etapa Retiro - Llegada]]),"")</f>
        <v>46275.571527777778</v>
      </c>
      <c r="U330" s="11">
        <f>IFERROR(IF(MARÍTIMOS[[#This Row],[Etapa Retiro - Ingreso]]="","",MARÍTIMOS[[#This Row],[Etapa Retiro - Ingreso]]),"")</f>
        <v>46275.616666666669</v>
      </c>
      <c r="V330" s="11">
        <f>IFERROR(IF(MARÍTIMOS[[#This Row],[Etapa Retiro - Atención]]="","",MARÍTIMOS[[#This Row],[Etapa Retiro - Atención]]),"")</f>
        <v>46275.621527777781</v>
      </c>
      <c r="W330" s="11">
        <f>IFERROR(IF(MARÍTIMOS[[#This Row],[Etapa Retiro - Atención]]="","",MARÍTIMOS[[#This Row],[Etapa Retiro - Atención]]),"")</f>
        <v>46275.621527777781</v>
      </c>
      <c r="X330" s="11">
        <f>IFERROR(IF(MARÍTIMOS[[#This Row],[Etapa Retiro - Inicio de Ruta]]="","",MARÍTIMOS[[#This Row],[Etapa Retiro - Inicio de Ruta]]),"")</f>
        <v>46275.75</v>
      </c>
      <c r="Y330" s="11">
        <f>IFERROR(IF(MARÍTIMOS[[#This Row],[Hora de Posicionamiento]]="","",MARÍTIMOS[[#This Row],[Fecha de Carga]]+MARÍTIMOS[[#This Row],[Hora de Posicionamiento]]),"")</f>
        <v>46276.333333333336</v>
      </c>
      <c r="Z330" s="11">
        <f>IFERROR(IF(MARÍTIMOS[[#This Row],[Etapa Despacho - Llegada]]="","",MARÍTIMOS[[#This Row],[Etapa Despacho - Llegada]]),"")</f>
        <v>46276.245833333334</v>
      </c>
      <c r="AA330" s="11">
        <f>IFERROR(IF(MARÍTIMOS[[#This Row],[Etapa Despacho - Registro]]="","",MARÍTIMOS[[#This Row],[Etapa Despacho - Registro]]),"")</f>
        <v>46276.260416666664</v>
      </c>
      <c r="AB330" s="11">
        <f>IFERROR(IF(MARÍTIMOS[[#This Row],[Inspección Externa]]="","",MARÍTIMOS[[#This Row],[Inspección Externa]]),"")</f>
        <v>46276.270833333336</v>
      </c>
      <c r="AC330" s="11">
        <f>IFERROR(IF(MARÍTIMOS[[#This Row],[Etapa Despacho - Inicio de Carga]]="","",MARÍTIMOS[[#This Row],[Etapa Despacho - Inicio de Carga]]),"")</f>
        <v>46276.319444444445</v>
      </c>
      <c r="AD330" s="11">
        <f>IFERROR(IF(MARÍTIMOS[[#This Row],[Etapa Despacho - Mitad de Carga]]="","",MARÍTIMOS[[#This Row],[Etapa Despacho - Mitad de Carga]]),"")</f>
        <v>46276.541666666664</v>
      </c>
      <c r="AE330" s="11">
        <f>IFERROR(IF(MARÍTIMOS[[#This Row],[Etapa Despacho - Fin de Carga]]="","",MARÍTIMOS[[#This Row],[Etapa Despacho - Fin de Carga]]),"")</f>
        <v>46276.583333333336</v>
      </c>
      <c r="AF330" s="2" t="str">
        <f>IFERROR(IF(MARÍTIMOS[[#This Row],[Puerto de Embarque]]="","",MARÍTIMOS[[#This Row],[Puerto de Embarque]]),"")</f>
        <v>Paita</v>
      </c>
      <c r="AG330" s="2" t="str">
        <f>IFERROR(IF(MARÍTIMOS[[#This Row],[Almacén de Ingreso]]="","",MARÍTIMOS[[#This Row],[Almacén de Ingreso]]),"")</f>
        <v>TPE</v>
      </c>
      <c r="AH330" s="11">
        <f>IFERROR(IF(MARÍTIMOS[[#This Row],[Etapa Ingreso - Cita]]="","",MARÍTIMOS[[#This Row],[Etapa Ingreso - Cita]]),"")</f>
        <v>46277.166666666664</v>
      </c>
      <c r="AI330" s="11">
        <f>IFERROR(IF(MARÍTIMOS[[#This Row],[Etapa Ingreso - Llegada]]="","",MARÍTIMOS[[#This Row],[Etapa Ingreso - Llegada]]),"")</f>
        <v>46277.175694444442</v>
      </c>
      <c r="AJ330" s="11">
        <f>IFERROR(IF(MARÍTIMOS[[#This Row],[Etapa Ingreso - Ingeso]]="","",MARÍTIMOS[[#This Row],[Etapa Ingreso - Ingeso]]),"")</f>
        <v>46277.193749999999</v>
      </c>
      <c r="AK330" s="11">
        <f>IFERROR(IF(MARÍTIMOS[[#This Row],[Etapa Ingreso - Atención]]="","",MARÍTIMOS[[#This Row],[Etapa Ingreso - Atención]]),"")</f>
        <v>46277.195833333331</v>
      </c>
      <c r="AL330" s="11">
        <f>IFERROR(IF(MARÍTIMOS[[#This Row],[Etapa Ingreso - Salida]]="","",MARÍTIMOS[[#This Row],[Etapa Ingreso - Salida]]),"")</f>
        <v>46277.213194444441</v>
      </c>
      <c r="AM330" s="2">
        <f>IFERROR(IF(MARÍTIMOS[[#This Row],[FCL]]="","",MARÍTIMOS[[#This Row],[FCL]]),"")</f>
        <v>1</v>
      </c>
      <c r="AN3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0" s="4" t="str" cm="1">
        <f t="array" ref="AO3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0" s="5">
        <f>IFERROR(OLDBD[[#This Row],[Llegada a packing]]-OLDBD[[#This Row],[Inicio de Ruta]],"")</f>
        <v>0.49583333333430346</v>
      </c>
      <c r="AQ330" s="6">
        <f>IFERROR(OLDBD[[#This Row],[Inicio de Ruta]]-OLDBD[[#This Row],[Salida de almacén de retiro]],"")</f>
        <v>0.12847222221898846</v>
      </c>
      <c r="AR3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0" s="8" t="str" cm="1">
        <f t="array" ref="AS3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30" s="9">
        <f>IFERROR(OLDBD[[#This Row],[Ingreso Packing]]-OLDBD[[#This Row],[Registro en Packing]],"")</f>
        <v>1.0416666671517305E-2</v>
      </c>
      <c r="AV330" s="9">
        <f>IFERROR(OLDBD[[#This Row],[Ingreso Packing]]-OLDBD[[#This Row],[Llegada a packing]],"")</f>
        <v>2.5000000001455192E-2</v>
      </c>
      <c r="AW3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HIGH DELAY</v>
      </c>
      <c r="AX330" s="5">
        <f>IFERROR(OLDBD[[#This Row],[Llegada Almacén de Ingreso]]-OLDBD[[#This Row],[Salida Packing]],"")</f>
        <v>0.59236111110658385</v>
      </c>
      <c r="AY330" s="4" t="str" cm="1">
        <f t="array" ref="AY3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30" s="43" t="s">
        <v>173</v>
      </c>
      <c r="BB330" s="47" t="str">
        <f>IFERROR(IF(MARÍTIMOS[[#This Row],[Estatus]]="","",MARÍTIMOS[[#This Row],[Estatus]]),"")</f>
        <v>Confirmado</v>
      </c>
      <c r="BC330" s="43"/>
      <c r="BD330" s="46">
        <f>IFERROR(OLDBD[[#This Row],[Salida de almacén de retiro]]-OLDBD[[#This Row],[Ingreso Almacén de retiro]],"")</f>
        <v>4.8611111124046147E-3</v>
      </c>
      <c r="BE330" s="46">
        <f>IFERROR(OLDBD[[#This Row],[Fin de Carga]]-OLDBD[[#This Row],[Inicio de Carga]],"")</f>
        <v>0.22222222221898846</v>
      </c>
    </row>
    <row r="331" spans="1:57" customFormat="1" hidden="1">
      <c r="A331" s="1"/>
      <c r="B331" s="1">
        <f>IFERROR(IF(MARÍTIMOS[[#This Row],[PP]]="","",MARÍTIMOS[[#This Row],[PP]]),"")</f>
        <v>37</v>
      </c>
      <c r="C331" s="1" t="str">
        <f>IFERROR(IF(MARÍTIMOS[[#This Row],[Sede]]="","",MARÍTIMOS[[#This Row],[Sede]]),"")</f>
        <v>Chao</v>
      </c>
      <c r="D331" s="1" t="str">
        <f>IFERROR(IF(MARÍTIMOS[[#This Row],[Instruction]]="","",MARÍTIMOS[[#This Row],[Instruction]]),"")</f>
        <v>RH-0776</v>
      </c>
      <c r="E331" s="1"/>
      <c r="F331" s="2" t="str">
        <f>IFERROR(IF(MARÍTIMOS[[#This Row],[Transportista]]="","",MARÍTIMOS[[#This Row],[Transportista]]),"")</f>
        <v>LIP</v>
      </c>
      <c r="G331" s="2" t="str">
        <f>IFERROR(IF(MARÍTIMOS[[#This Row],[Tercero]]="","",MARÍTIMOS[[#This Row],[Tercero]]),"")</f>
        <v>NO</v>
      </c>
      <c r="H331" s="2" t="str">
        <f>IFERROR(IF(MARÍTIMOS[[#This Row],[Razón Social]]="","",MARÍTIMOS[[#This Row],[Razón Social]]),"")</f>
        <v>LOGISTICA INTERMODAL DEL PERU S.A.C.</v>
      </c>
      <c r="I331" s="2">
        <f>IFERROR(IF(MARÍTIMOS[[#This Row],[RUC]]="","",MARÍTIMOS[[#This Row],[RUC]]),"")</f>
        <v>20513040718</v>
      </c>
      <c r="J331" s="2" t="str">
        <f>IFERROR(IF(MARÍTIMOS[[#This Row],[Placa Tracto]]="","",MARÍTIMOS[[#This Row],[Placa Tracto]]),"")</f>
        <v>AYO-892</v>
      </c>
      <c r="K331" s="2" t="str">
        <f>IFERROR(IF(MARÍTIMOS[[#This Row],[Placa Carreta]]="","",MARÍTIMOS[[#This Row],[Placa Carreta]]),"")</f>
        <v>AJO-980</v>
      </c>
      <c r="L331" s="44" t="str">
        <f>IFERROR(IF(MARÍTIMOS[[#This Row],[Conductor]]="","",MARÍTIMOS[[#This Row],[Conductor]]),"")</f>
        <v>AVELLANEDA OTERO RENZO MARTIN</v>
      </c>
      <c r="M331" s="2" t="str">
        <f>IFERROR(IF(MARÍTIMOS[[#This Row],[Licencia]]="","",MARÍTIMOS[[#This Row],[Licencia]]),"")</f>
        <v>B40777868</v>
      </c>
      <c r="N331" s="2">
        <f>IFERROR(IF(MARÍTIMOS[[#This Row],[Número de Contacto]]="","",MARÍTIMOS[[#This Row],[Número de Contacto]]),"")</f>
        <v>941378144</v>
      </c>
      <c r="O331" s="10" t="str">
        <f>IFERROR(IF(MARÍTIMOS[[#This Row],[Booking|AWB|CRT]]="","",MARÍTIMOS[[#This Row],[Booking|AWB|CRT]]),"")</f>
        <v>BN83156</v>
      </c>
      <c r="P331" s="2" t="str">
        <f>IFERROR(IF(MARÍTIMOS[[#This Row],[Contenedor]]="","",MARÍTIMOS[[#This Row],[Contenedor]]),"")</f>
        <v>TEMU9594104</v>
      </c>
      <c r="Q331" s="2" t="str">
        <f>IFERROR(IF(MARÍTIMOS[[#This Row],[Puerto de Retiro]]="","",MARÍTIMOS[[#This Row],[Puerto de Retiro]]),"")</f>
        <v>PAITA</v>
      </c>
      <c r="R331" s="2" t="str">
        <f>IFERROR(IF(MARÍTIMOS[[#This Row],[Almacén de Retiro]]="","",MARÍTIMOS[[#This Row],[Almacén de Retiro]]),"")</f>
        <v>DPW</v>
      </c>
      <c r="S331" s="11">
        <f>IFERROR(IF(MARÍTIMOS[[#This Row],[Etapa Retiro - Cita]]="","",MARÍTIMOS[[#This Row],[Etapa Retiro - Cita]]),"")</f>
        <v>46278.583333333336</v>
      </c>
      <c r="T331" s="11">
        <f>IFERROR(IF(MARÍTIMOS[[#This Row],[Etapa Retiro - Llegada]]="","",MARÍTIMOS[[#This Row],[Etapa Retiro - Llegada]]),"")</f>
        <v>46278.59652777778</v>
      </c>
      <c r="U331" s="11">
        <f>IFERROR(IF(MARÍTIMOS[[#This Row],[Etapa Retiro - Ingreso]]="","",MARÍTIMOS[[#This Row],[Etapa Retiro - Ingreso]]),"")</f>
        <v>46278.627083333333</v>
      </c>
      <c r="V331" s="11">
        <f>IFERROR(IF(MARÍTIMOS[[#This Row],[Etapa Retiro - Atención]]="","",MARÍTIMOS[[#This Row],[Etapa Retiro - Atención]]),"")</f>
        <v>46278.628472222219</v>
      </c>
      <c r="W331" s="11">
        <f>IFERROR(IF(MARÍTIMOS[[#This Row],[Etapa Retiro - Atención]]="","",MARÍTIMOS[[#This Row],[Etapa Retiro - Atención]]),"")</f>
        <v>46278.628472222219</v>
      </c>
      <c r="X331" s="11">
        <f>IFERROR(IF(MARÍTIMOS[[#This Row],[Etapa Retiro - Inicio de Ruta]]="","",MARÍTIMOS[[#This Row],[Etapa Retiro - Inicio de Ruta]]),"")</f>
        <v>46278.725694444445</v>
      </c>
      <c r="Y331" s="11">
        <f>IFERROR(IF(MARÍTIMOS[[#This Row],[Hora de Posicionamiento]]="","",MARÍTIMOS[[#This Row],[Fecha de Carga]]+MARÍTIMOS[[#This Row],[Hora de Posicionamiento]]),"")</f>
        <v>46279.333333333336</v>
      </c>
      <c r="Z331" s="11">
        <f>IFERROR(IF(MARÍTIMOS[[#This Row],[Etapa Despacho - Llegada]]="","",MARÍTIMOS[[#This Row],[Etapa Despacho - Llegada]]),"")</f>
        <v>46279.314583333333</v>
      </c>
      <c r="AA331" s="11">
        <f>IFERROR(IF(MARÍTIMOS[[#This Row],[Etapa Despacho - Registro]]="","",MARÍTIMOS[[#This Row],[Etapa Despacho - Registro]]),"")</f>
        <v>46279.321527777778</v>
      </c>
      <c r="AB331" s="11">
        <f>IFERROR(IF(MARÍTIMOS[[#This Row],[Inspección Externa]]="","",MARÍTIMOS[[#This Row],[Inspección Externa]]),"")</f>
        <v>46279.328472222223</v>
      </c>
      <c r="AC331" s="11">
        <f>IFERROR(IF(MARÍTIMOS[[#This Row],[Etapa Despacho - Inicio de Carga]]="","",MARÍTIMOS[[#This Row],[Etapa Despacho - Inicio de Carga]]),"")</f>
        <v>46279.354166666664</v>
      </c>
      <c r="AD331" s="11">
        <f>IFERROR(IF(MARÍTIMOS[[#This Row],[Etapa Despacho - Mitad de Carga]]="","",MARÍTIMOS[[#This Row],[Etapa Despacho - Mitad de Carga]]),"")</f>
        <v>46279.416666666664</v>
      </c>
      <c r="AE331" s="11">
        <f>IFERROR(IF(MARÍTIMOS[[#This Row],[Etapa Despacho - Fin de Carga]]="","",MARÍTIMOS[[#This Row],[Etapa Despacho - Fin de Carga]]),"")</f>
        <v>46279.458333333336</v>
      </c>
      <c r="AF331" s="2" t="str">
        <f>IFERROR(IF(MARÍTIMOS[[#This Row],[Puerto de Embarque]]="","",MARÍTIMOS[[#This Row],[Puerto de Embarque]]),"")</f>
        <v>Paita</v>
      </c>
      <c r="AG331" s="2" t="str">
        <f>IFERROR(IF(MARÍTIMOS[[#This Row],[Almacén de Ingreso]]="","",MARÍTIMOS[[#This Row],[Almacén de Ingreso]]),"")</f>
        <v>TPE</v>
      </c>
      <c r="AH331" s="11">
        <f>IFERROR(IF(MARÍTIMOS[[#This Row],[Etapa Ingreso - Cita]]="","",MARÍTIMOS[[#This Row],[Etapa Ingreso - Cita]]),"")</f>
        <v>46280.458333333336</v>
      </c>
      <c r="AI331" s="11">
        <f>IFERROR(IF(MARÍTIMOS[[#This Row],[Etapa Ingreso - Llegada]]="","",MARÍTIMOS[[#This Row],[Etapa Ingreso - Llegada]]),"")</f>
        <v>46280.445833333331</v>
      </c>
      <c r="AJ331" s="11">
        <f>IFERROR(IF(MARÍTIMOS[[#This Row],[Etapa Ingreso - Ingeso]]="","",MARÍTIMOS[[#This Row],[Etapa Ingreso - Ingeso]]),"")</f>
        <v>46280.45208333333</v>
      </c>
      <c r="AK331" s="11">
        <f>IFERROR(IF(MARÍTIMOS[[#This Row],[Etapa Ingreso - Atención]]="","",MARÍTIMOS[[#This Row],[Etapa Ingreso - Atención]]),"")</f>
        <v>46280.454861111109</v>
      </c>
      <c r="AL331" s="11">
        <f>IFERROR(IF(MARÍTIMOS[[#This Row],[Etapa Ingreso - Salida]]="","",MARÍTIMOS[[#This Row],[Etapa Ingreso - Salida]]),"")</f>
        <v>46280.466666666667</v>
      </c>
      <c r="AM331" s="2">
        <f>IFERROR(IF(MARÍTIMOS[[#This Row],[FCL]]="","",MARÍTIMOS[[#This Row],[FCL]]),"")</f>
        <v>1</v>
      </c>
      <c r="AN3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1" s="4" t="str" cm="1">
        <f t="array" ref="AO3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1" s="5">
        <f>IFERROR(OLDBD[[#This Row],[Llegada a packing]]-OLDBD[[#This Row],[Inicio de Ruta]],"")</f>
        <v>0.58888888888759539</v>
      </c>
      <c r="AQ331" s="6">
        <f>IFERROR(OLDBD[[#This Row],[Inicio de Ruta]]-OLDBD[[#This Row],[Salida de almacén de retiro]],"")</f>
        <v>9.7222222226264421E-2</v>
      </c>
      <c r="AR3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1" s="8" t="str" cm="1">
        <f t="array" ref="AS3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31" s="9">
        <f>IFERROR(OLDBD[[#This Row],[Ingreso Packing]]-OLDBD[[#This Row],[Registro en Packing]],"")</f>
        <v>6.9444444452528842E-3</v>
      </c>
      <c r="AV331" s="9">
        <f>IFERROR(OLDBD[[#This Row],[Ingreso Packing]]-OLDBD[[#This Row],[Llegada a packing]],"")</f>
        <v>1.3888888890505768E-2</v>
      </c>
      <c r="AW3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1" s="5">
        <f>IFERROR(OLDBD[[#This Row],[Llegada Almacén de Ingreso]]-OLDBD[[#This Row],[Salida Packing]],"")</f>
        <v>0.98749999999563443</v>
      </c>
      <c r="AY331" s="4" t="str" cm="1">
        <f t="array" ref="AY3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31" s="43" t="s">
        <v>173</v>
      </c>
      <c r="BB331" s="47" t="str">
        <f>IFERROR(IF(MARÍTIMOS[[#This Row],[Estatus]]="","",MARÍTIMOS[[#This Row],[Estatus]]),"")</f>
        <v>Confirmado</v>
      </c>
      <c r="BC331" s="43"/>
      <c r="BD331" s="46">
        <f>IFERROR(OLDBD[[#This Row],[Salida de almacén de retiro]]-OLDBD[[#This Row],[Ingreso Almacén de retiro]],"")</f>
        <v>1.3888888861401938E-3</v>
      </c>
      <c r="BE331" s="46">
        <f>IFERROR(OLDBD[[#This Row],[Fin de Carga]]-OLDBD[[#This Row],[Inicio de Carga]],"")</f>
        <v>6.25E-2</v>
      </c>
    </row>
    <row r="332" spans="1:57" customFormat="1" hidden="1">
      <c r="A332" s="1"/>
      <c r="B332" s="1">
        <f>IFERROR(IF(MARÍTIMOS[[#This Row],[PP]]="","",MARÍTIMOS[[#This Row],[PP]]),"")</f>
        <v>37</v>
      </c>
      <c r="C332" s="1" t="str">
        <f>IFERROR(IF(MARÍTIMOS[[#This Row],[Sede]]="","",MARÍTIMOS[[#This Row],[Sede]]),"")</f>
        <v>Chao</v>
      </c>
      <c r="D332" s="1" t="str">
        <f>IFERROR(IF(MARÍTIMOS[[#This Row],[Instruction]]="","",MARÍTIMOS[[#This Row],[Instruction]]),"")</f>
        <v>RH-0777</v>
      </c>
      <c r="E332" s="1"/>
      <c r="F332" s="2" t="str">
        <f>IFERROR(IF(MARÍTIMOS[[#This Row],[Transportista]]="","",MARÍTIMOS[[#This Row],[Transportista]]),"")</f>
        <v>LIP</v>
      </c>
      <c r="G332" s="2" t="str">
        <f>IFERROR(IF(MARÍTIMOS[[#This Row],[Tercero]]="","",MARÍTIMOS[[#This Row],[Tercero]]),"")</f>
        <v>NO</v>
      </c>
      <c r="H332" s="2" t="str">
        <f>IFERROR(IF(MARÍTIMOS[[#This Row],[Razón Social]]="","",MARÍTIMOS[[#This Row],[Razón Social]]),"")</f>
        <v>LOGISTICA INTERMODAL DEL PERU S.A.C.</v>
      </c>
      <c r="I332" s="2">
        <f>IFERROR(IF(MARÍTIMOS[[#This Row],[RUC]]="","",MARÍTIMOS[[#This Row],[RUC]]),"")</f>
        <v>20513040718</v>
      </c>
      <c r="J332" s="2" t="str">
        <f>IFERROR(IF(MARÍTIMOS[[#This Row],[Placa Tracto]]="","",MARÍTIMOS[[#This Row],[Placa Tracto]]),"")</f>
        <v>BMU-724</v>
      </c>
      <c r="K332" s="2" t="str">
        <f>IFERROR(IF(MARÍTIMOS[[#This Row],[Placa Carreta]]="","",MARÍTIMOS[[#This Row],[Placa Carreta]]),"")</f>
        <v>AVY-986</v>
      </c>
      <c r="L332" s="44" t="str">
        <f>IFERROR(IF(MARÍTIMOS[[#This Row],[Conductor]]="","",MARÍTIMOS[[#This Row],[Conductor]]),"")</f>
        <v>CHERO MARRERO EDGAR ALFREDO</v>
      </c>
      <c r="M332" s="2" t="str">
        <f>IFERROR(IF(MARÍTIMOS[[#This Row],[Licencia]]="","",MARÍTIMOS[[#This Row],[Licencia]]),"")</f>
        <v>D19242591</v>
      </c>
      <c r="N332" s="2">
        <f>IFERROR(IF(MARÍTIMOS[[#This Row],[Número de Contacto]]="","",MARÍTIMOS[[#This Row],[Número de Contacto]]),"")</f>
        <v>988228821</v>
      </c>
      <c r="O332" s="10" t="str">
        <f>IFERROR(IF(MARÍTIMOS[[#This Row],[Booking|AWB|CRT]]="","",MARÍTIMOS[[#This Row],[Booking|AWB|CRT]]),"")</f>
        <v>PEUW2639101</v>
      </c>
      <c r="P332" s="2" t="str">
        <f>IFERROR(IF(MARÍTIMOS[[#This Row],[Contenedor]]="","",MARÍTIMOS[[#This Row],[Contenedor]]),"")</f>
        <v>TEMU9620707</v>
      </c>
      <c r="Q332" s="2" t="str">
        <f>IFERROR(IF(MARÍTIMOS[[#This Row],[Puerto de Retiro]]="","",MARÍTIMOS[[#This Row],[Puerto de Retiro]]),"")</f>
        <v>PAITA</v>
      </c>
      <c r="R332" s="2" t="str">
        <f>IFERROR(IF(MARÍTIMOS[[#This Row],[Almacén de Retiro]]="","",MARÍTIMOS[[#This Row],[Almacén de Retiro]]),"")</f>
        <v>MACROMAR</v>
      </c>
      <c r="S332" s="11">
        <f>IFERROR(IF(MARÍTIMOS[[#This Row],[Etapa Retiro - Cita]]="","",MARÍTIMOS[[#This Row],[Etapa Retiro - Cita]]),"")</f>
        <v>46278.583333333336</v>
      </c>
      <c r="T332" s="11">
        <f>IFERROR(IF(MARÍTIMOS[[#This Row],[Etapa Retiro - Llegada]]="","",MARÍTIMOS[[#This Row],[Etapa Retiro - Llegada]]),"")</f>
        <v>46278.593055555553</v>
      </c>
      <c r="U332" s="11">
        <f>IFERROR(IF(MARÍTIMOS[[#This Row],[Etapa Retiro - Ingreso]]="","",MARÍTIMOS[[#This Row],[Etapa Retiro - Ingreso]]),"")</f>
        <v>46278.600694444445</v>
      </c>
      <c r="V332" s="11">
        <f>IFERROR(IF(MARÍTIMOS[[#This Row],[Etapa Retiro - Atención]]="","",MARÍTIMOS[[#This Row],[Etapa Retiro - Atención]]),"")</f>
        <v>46278.601388888892</v>
      </c>
      <c r="W332" s="11">
        <f>IFERROR(IF(MARÍTIMOS[[#This Row],[Etapa Retiro - Atención]]="","",MARÍTIMOS[[#This Row],[Etapa Retiro - Atención]]),"")</f>
        <v>46278.601388888892</v>
      </c>
      <c r="X332" s="11">
        <f>IFERROR(IF(MARÍTIMOS[[#This Row],[Etapa Retiro - Inicio de Ruta]]="","",MARÍTIMOS[[#This Row],[Etapa Retiro - Inicio de Ruta]]),"")</f>
        <v>46278.720833333333</v>
      </c>
      <c r="Y332" s="11">
        <f>IFERROR(IF(MARÍTIMOS[[#This Row],[Hora de Posicionamiento]]="","",MARÍTIMOS[[#This Row],[Fecha de Carga]]+MARÍTIMOS[[#This Row],[Hora de Posicionamiento]]),"")</f>
        <v>46279.375</v>
      </c>
      <c r="Z332" s="11">
        <f>IFERROR(IF(MARÍTIMOS[[#This Row],[Etapa Despacho - Llegada]]="","",MARÍTIMOS[[#This Row],[Etapa Despacho - Llegada]]),"")</f>
        <v>46279.342361111114</v>
      </c>
      <c r="AA332" s="11">
        <f>IFERROR(IF(MARÍTIMOS[[#This Row],[Etapa Despacho - Registro]]="","",MARÍTIMOS[[#This Row],[Etapa Despacho - Registro]]),"")</f>
        <v>46279.342361111114</v>
      </c>
      <c r="AB332" s="11">
        <f>IFERROR(IF(MARÍTIMOS[[#This Row],[Inspección Externa]]="","",MARÍTIMOS[[#This Row],[Inspección Externa]]),"")</f>
        <v>46279.422222222223</v>
      </c>
      <c r="AC332" s="11">
        <f>IFERROR(IF(MARÍTIMOS[[#This Row],[Etapa Despacho - Inicio de Carga]]="","",MARÍTIMOS[[#This Row],[Etapa Despacho - Inicio de Carga]]),"")</f>
        <v>46279.589583333334</v>
      </c>
      <c r="AD332" s="11">
        <f>IFERROR(IF(MARÍTIMOS[[#This Row],[Etapa Despacho - Mitad de Carga]]="","",MARÍTIMOS[[#This Row],[Etapa Despacho - Mitad de Carga]]),"")</f>
        <v>46279.597222222219</v>
      </c>
      <c r="AE332" s="11">
        <f>IFERROR(IF(MARÍTIMOS[[#This Row],[Etapa Despacho - Fin de Carga]]="","",MARÍTIMOS[[#This Row],[Etapa Despacho - Fin de Carga]]),"")</f>
        <v>46279.617361111108</v>
      </c>
      <c r="AF332" s="2" t="str">
        <f>IFERROR(IF(MARÍTIMOS[[#This Row],[Puerto de Embarque]]="","",MARÍTIMOS[[#This Row],[Puerto de Embarque]]),"")</f>
        <v>Paita</v>
      </c>
      <c r="AG332" s="2" t="str">
        <f>IFERROR(IF(MARÍTIMOS[[#This Row],[Almacén de Ingreso]]="","",MARÍTIMOS[[#This Row],[Almacén de Ingreso]]),"")</f>
        <v>TPE</v>
      </c>
      <c r="AH332" s="11">
        <f>IFERROR(IF(MARÍTIMOS[[#This Row],[Etapa Ingreso - Cita]]="","",MARÍTIMOS[[#This Row],[Etapa Ingreso - Cita]]),"")</f>
        <v>46280.458333333336</v>
      </c>
      <c r="AI332" s="11">
        <f>IFERROR(IF(MARÍTIMOS[[#This Row],[Etapa Ingreso - Llegada]]="","",MARÍTIMOS[[#This Row],[Etapa Ingreso - Llegada]]),"")</f>
        <v>46280.454861111109</v>
      </c>
      <c r="AJ332" s="11">
        <f>IFERROR(IF(MARÍTIMOS[[#This Row],[Etapa Ingreso - Ingeso]]="","",MARÍTIMOS[[#This Row],[Etapa Ingreso - Ingeso]]),"")</f>
        <v>46280.459722222222</v>
      </c>
      <c r="AK332" s="11">
        <f>IFERROR(IF(MARÍTIMOS[[#This Row],[Etapa Ingreso - Atención]]="","",MARÍTIMOS[[#This Row],[Etapa Ingreso - Atención]]),"")</f>
        <v>46280.463194444441</v>
      </c>
      <c r="AL332" s="11">
        <f>IFERROR(IF(MARÍTIMOS[[#This Row],[Etapa Ingreso - Salida]]="","",MARÍTIMOS[[#This Row],[Etapa Ingreso - Salida]]),"")</f>
        <v>46280.468055555553</v>
      </c>
      <c r="AM332" s="2">
        <f>IFERROR(IF(MARÍTIMOS[[#This Row],[FCL]]="","",MARÍTIMOS[[#This Row],[FCL]]),"")</f>
        <v>1</v>
      </c>
      <c r="AN3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2" s="4" t="str" cm="1">
        <f t="array" ref="AO3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2" s="5">
        <f>IFERROR(OLDBD[[#This Row],[Llegada a packing]]-OLDBD[[#This Row],[Inicio de Ruta]],"")</f>
        <v>0.62152777778101154</v>
      </c>
      <c r="AQ332" s="6">
        <f>IFERROR(OLDBD[[#This Row],[Inicio de Ruta]]-OLDBD[[#This Row],[Salida de almacén de retiro]],"")</f>
        <v>0.11944444444088731</v>
      </c>
      <c r="AR3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2" s="8" t="str" cm="1">
        <f t="array" ref="AS3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32" s="9">
        <f>IFERROR(OLDBD[[#This Row],[Ingreso Packing]]-OLDBD[[#This Row],[Registro en Packing]],"")</f>
        <v>7.9861111109494232E-2</v>
      </c>
      <c r="AV332" s="9">
        <f>IFERROR(OLDBD[[#This Row],[Ingreso Packing]]-OLDBD[[#This Row],[Llegada a packing]],"")</f>
        <v>7.9861111109494232E-2</v>
      </c>
      <c r="AW3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2" s="5">
        <f>IFERROR(OLDBD[[#This Row],[Llegada Almacén de Ingreso]]-OLDBD[[#This Row],[Salida Packing]],"")</f>
        <v>0.83750000000145519</v>
      </c>
      <c r="AY332" s="4" t="str" cm="1">
        <f t="array" ref="AY3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32" s="43" t="s">
        <v>173</v>
      </c>
      <c r="BB332" s="47" t="str">
        <f>IFERROR(IF(MARÍTIMOS[[#This Row],[Estatus]]="","",MARÍTIMOS[[#This Row],[Estatus]]),"")</f>
        <v>Confirmado</v>
      </c>
      <c r="BC332" s="43"/>
      <c r="BD332" s="46">
        <f>IFERROR(OLDBD[[#This Row],[Salida de almacén de retiro]]-OLDBD[[#This Row],[Ingreso Almacén de retiro]],"")</f>
        <v>6.944444467080757E-4</v>
      </c>
      <c r="BE332" s="46">
        <f>IFERROR(OLDBD[[#This Row],[Fin de Carga]]-OLDBD[[#This Row],[Inicio de Carga]],"")</f>
        <v>7.6388888846850023E-3</v>
      </c>
    </row>
    <row r="333" spans="1:57" customFormat="1" hidden="1">
      <c r="A333" s="1"/>
      <c r="B333" s="1">
        <f>IFERROR(IF(MARÍTIMOS[[#This Row],[PP]]="","",MARÍTIMOS[[#This Row],[PP]]),"")</f>
        <v>37</v>
      </c>
      <c r="C333" s="1" t="str">
        <f>IFERROR(IF(MARÍTIMOS[[#This Row],[Sede]]="","",MARÍTIMOS[[#This Row],[Sede]]),"")</f>
        <v>Chao</v>
      </c>
      <c r="D333" s="1" t="str">
        <f>IFERROR(IF(MARÍTIMOS[[#This Row],[Instruction]]="","",MARÍTIMOS[[#This Row],[Instruction]]),"")</f>
        <v>RH-0785</v>
      </c>
      <c r="E333" s="1"/>
      <c r="F333" s="2" t="str">
        <f>IFERROR(IF(MARÍTIMOS[[#This Row],[Transportista]]="","",MARÍTIMOS[[#This Row],[Transportista]]),"")</f>
        <v>LIP</v>
      </c>
      <c r="G333" s="2" t="str">
        <f>IFERROR(IF(MARÍTIMOS[[#This Row],[Tercero]]="","",MARÍTIMOS[[#This Row],[Tercero]]),"")</f>
        <v>NO</v>
      </c>
      <c r="H333" s="2" t="str">
        <f>IFERROR(IF(MARÍTIMOS[[#This Row],[Razón Social]]="","",MARÍTIMOS[[#This Row],[Razón Social]]),"")</f>
        <v>LOGISTICA INTERMODAL DEL PERU S.A.C.</v>
      </c>
      <c r="I333" s="2">
        <f>IFERROR(IF(MARÍTIMOS[[#This Row],[RUC]]="","",MARÍTIMOS[[#This Row],[RUC]]),"")</f>
        <v>20513040718</v>
      </c>
      <c r="J333" s="2" t="str">
        <f>IFERROR(IF(MARÍTIMOS[[#This Row],[Placa Tracto]]="","",MARÍTIMOS[[#This Row],[Placa Tracto]]),"")</f>
        <v>AMP-867</v>
      </c>
      <c r="K333" s="2" t="str">
        <f>IFERROR(IF(MARÍTIMOS[[#This Row],[Placa Carreta]]="","",MARÍTIMOS[[#This Row],[Placa Carreta]]),"")</f>
        <v>AZL-979</v>
      </c>
      <c r="L333" s="44" t="str">
        <f>IFERROR(IF(MARÍTIMOS[[#This Row],[Conductor]]="","",MARÍTIMOS[[#This Row],[Conductor]]),"")</f>
        <v>CRUZ RUIZ LUIS GERARDO</v>
      </c>
      <c r="M333" s="2" t="str">
        <f>IFERROR(IF(MARÍTIMOS[[#This Row],[Licencia]]="","",MARÍTIMOS[[#This Row],[Licencia]]),"")</f>
        <v>Q41057227</v>
      </c>
      <c r="N333" s="2" t="str">
        <f>IFERROR(IF(MARÍTIMOS[[#This Row],[Número de Contacto]]="","",MARÍTIMOS[[#This Row],[Número de Contacto]]),"")</f>
        <v>963 896 326</v>
      </c>
      <c r="O333" s="10" t="str">
        <f>IFERROR(IF(MARÍTIMOS[[#This Row],[Booking|AWB|CRT]]="","",MARÍTIMOS[[#This Row],[Booking|AWB|CRT]]),"")</f>
        <v>PER9222203A</v>
      </c>
      <c r="P333" s="2" t="str">
        <f>IFERROR(IF(MARÍTIMOS[[#This Row],[Contenedor]]="","",MARÍTIMOS[[#This Row],[Contenedor]]),"")</f>
        <v>GCXU8023005</v>
      </c>
      <c r="Q333" s="2" t="str">
        <f>IFERROR(IF(MARÍTIMOS[[#This Row],[Puerto de Retiro]]="","",MARÍTIMOS[[#This Row],[Puerto de Retiro]]),"")</f>
        <v>PAITA</v>
      </c>
      <c r="R333" s="2" t="str">
        <f>IFERROR(IF(MARÍTIMOS[[#This Row],[Almacén de Retiro]]="","",MARÍTIMOS[[#This Row],[Almacén de Retiro]]),"")</f>
        <v>DPW</v>
      </c>
      <c r="S333" s="11">
        <f>IFERROR(IF(MARÍTIMOS[[#This Row],[Etapa Retiro - Cita]]="","",MARÍTIMOS[[#This Row],[Etapa Retiro - Cita]]),"")</f>
        <v>46279.583333333336</v>
      </c>
      <c r="T333" s="11">
        <f>IFERROR(IF(MARÍTIMOS[[#This Row],[Etapa Retiro - Llegada]]="","",MARÍTIMOS[[#This Row],[Etapa Retiro - Llegada]]),"")</f>
        <v>46279.573611111111</v>
      </c>
      <c r="U333" s="11">
        <f>IFERROR(IF(MARÍTIMOS[[#This Row],[Etapa Retiro - Ingreso]]="","",MARÍTIMOS[[#This Row],[Etapa Retiro - Ingreso]]),"")</f>
        <v>46279.628472222219</v>
      </c>
      <c r="V333" s="11">
        <f>IFERROR(IF(MARÍTIMOS[[#This Row],[Etapa Retiro - Atención]]="","",MARÍTIMOS[[#This Row],[Etapa Retiro - Atención]]),"")</f>
        <v>46279.629166666666</v>
      </c>
      <c r="W333" s="11">
        <f>IFERROR(IF(MARÍTIMOS[[#This Row],[Etapa Retiro - Atención]]="","",MARÍTIMOS[[#This Row],[Etapa Retiro - Atención]]),"")</f>
        <v>46279.629166666666</v>
      </c>
      <c r="X333" s="11">
        <f>IFERROR(IF(MARÍTIMOS[[#This Row],[Etapa Retiro - Inicio de Ruta]]="","",MARÍTIMOS[[#This Row],[Etapa Retiro - Inicio de Ruta]]),"")</f>
        <v>46279.723611111112</v>
      </c>
      <c r="Y333" s="11">
        <f>IFERROR(IF(MARÍTIMOS[[#This Row],[Hora de Posicionamiento]]="","",MARÍTIMOS[[#This Row],[Fecha de Carga]]+MARÍTIMOS[[#This Row],[Hora de Posicionamiento]]),"")</f>
        <v>46280.333333333336</v>
      </c>
      <c r="Z333" s="11">
        <f>IFERROR(IF(MARÍTIMOS[[#This Row],[Etapa Despacho - Llegada]]="","",MARÍTIMOS[[#This Row],[Etapa Despacho - Llegada]]),"")</f>
        <v>46280.367361111108</v>
      </c>
      <c r="AA333" s="11">
        <f>IFERROR(IF(MARÍTIMOS[[#This Row],[Etapa Despacho - Registro]]="","",MARÍTIMOS[[#This Row],[Etapa Despacho - Registro]]),"")</f>
        <v>46280.368055555555</v>
      </c>
      <c r="AB333" s="11">
        <f>IFERROR(IF(MARÍTIMOS[[#This Row],[Inspección Externa]]="","",MARÍTIMOS[[#This Row],[Inspección Externa]]),"")</f>
        <v>46280.390972222223</v>
      </c>
      <c r="AC333" s="11">
        <f>IFERROR(IF(MARÍTIMOS[[#This Row],[Etapa Despacho - Inicio de Carga]]="","",MARÍTIMOS[[#This Row],[Etapa Despacho - Inicio de Carga]]),"")</f>
        <v>46280.460416666669</v>
      </c>
      <c r="AD333" s="11">
        <f>IFERROR(IF(MARÍTIMOS[[#This Row],[Etapa Despacho - Mitad de Carga]]="","",MARÍTIMOS[[#This Row],[Etapa Despacho - Mitad de Carga]]),"")</f>
        <v>46280.480555555558</v>
      </c>
      <c r="AE333" s="11">
        <f>IFERROR(IF(MARÍTIMOS[[#This Row],[Etapa Despacho - Fin de Carga]]="","",MARÍTIMOS[[#This Row],[Etapa Despacho - Fin de Carga]]),"")</f>
        <v>46280.49722222222</v>
      </c>
      <c r="AF333" s="2" t="str">
        <f>IFERROR(IF(MARÍTIMOS[[#This Row],[Puerto de Embarque]]="","",MARÍTIMOS[[#This Row],[Puerto de Embarque]]),"")</f>
        <v>Paita</v>
      </c>
      <c r="AG333" s="2" t="str">
        <f>IFERROR(IF(MARÍTIMOS[[#This Row],[Almacén de Ingreso]]="","",MARÍTIMOS[[#This Row],[Almacén de Ingreso]]),"")</f>
        <v>TPE</v>
      </c>
      <c r="AH333" s="11">
        <f>IFERROR(IF(MARÍTIMOS[[#This Row],[Etapa Ingreso - Cita]]="","",MARÍTIMOS[[#This Row],[Etapa Ingreso - Cita]]),"")</f>
        <v>46281.333333333336</v>
      </c>
      <c r="AI333" s="11">
        <f>IFERROR(IF(MARÍTIMOS[[#This Row],[Etapa Ingreso - Llegada]]="","",MARÍTIMOS[[#This Row],[Etapa Ingreso - Llegada]]),"")</f>
        <v>46281.334027777775</v>
      </c>
      <c r="AJ333" s="11">
        <f>IFERROR(IF(MARÍTIMOS[[#This Row],[Etapa Ingreso - Ingeso]]="","",MARÍTIMOS[[#This Row],[Etapa Ingreso - Ingeso]]),"")</f>
        <v>46281.34097222222</v>
      </c>
      <c r="AK333" s="11">
        <f>IFERROR(IF(MARÍTIMOS[[#This Row],[Etapa Ingreso - Atención]]="","",MARÍTIMOS[[#This Row],[Etapa Ingreso - Atención]]),"")</f>
        <v>46281.344444444447</v>
      </c>
      <c r="AL333" s="11">
        <f>IFERROR(IF(MARÍTIMOS[[#This Row],[Etapa Ingreso - Salida]]="","",MARÍTIMOS[[#This Row],[Etapa Ingreso - Salida]]),"")</f>
        <v>46281.351388888892</v>
      </c>
      <c r="AM333" s="2">
        <f>IFERROR(IF(MARÍTIMOS[[#This Row],[FCL]]="","",MARÍTIMOS[[#This Row],[FCL]]),"")</f>
        <v>1</v>
      </c>
      <c r="AN3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3" s="4" t="str" cm="1">
        <f t="array" ref="AO3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3" s="5">
        <f>IFERROR(OLDBD[[#This Row],[Llegada a packing]]-OLDBD[[#This Row],[Inicio de Ruta]],"")</f>
        <v>0.64374999999563443</v>
      </c>
      <c r="AQ333" s="6">
        <f>IFERROR(OLDBD[[#This Row],[Inicio de Ruta]]-OLDBD[[#This Row],[Salida de almacén de retiro]],"")</f>
        <v>9.4444444446708076E-2</v>
      </c>
      <c r="AR3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33" s="8" t="str" cm="1">
        <f t="array" ref="AS3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33" s="9">
        <f>IFERROR(OLDBD[[#This Row],[Ingreso Packing]]-OLDBD[[#This Row],[Registro en Packing]],"")</f>
        <v>2.2916666668606922E-2</v>
      </c>
      <c r="AV333" s="9">
        <f>IFERROR(OLDBD[[#This Row],[Ingreso Packing]]-OLDBD[[#This Row],[Llegada a packing]],"")</f>
        <v>2.3611111115314998E-2</v>
      </c>
      <c r="AW3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3" s="5">
        <f>IFERROR(OLDBD[[#This Row],[Llegada Almacén de Ingreso]]-OLDBD[[#This Row],[Salida Packing]],"")</f>
        <v>0.83680555555474712</v>
      </c>
      <c r="AY333" s="4" t="str" cm="1">
        <f t="array" ref="AY3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33" s="43" t="s">
        <v>173</v>
      </c>
      <c r="BB333" s="47" t="str">
        <f>IFERROR(IF(MARÍTIMOS[[#This Row],[Estatus]]="","",MARÍTIMOS[[#This Row],[Estatus]]),"")</f>
        <v>Confirmado</v>
      </c>
      <c r="BC333" s="43"/>
      <c r="BD333" s="46">
        <f>IFERROR(OLDBD[[#This Row],[Salida de almacén de retiro]]-OLDBD[[#This Row],[Ingreso Almacén de retiro]],"")</f>
        <v>6.944444467080757E-4</v>
      </c>
      <c r="BE333" s="46">
        <f>IFERROR(OLDBD[[#This Row],[Fin de Carga]]-OLDBD[[#This Row],[Inicio de Carga]],"")</f>
        <v>2.0138888889050577E-2</v>
      </c>
    </row>
    <row r="334" spans="1:57" customFormat="1" hidden="1">
      <c r="A334" s="1"/>
      <c r="B334" s="1">
        <f>IFERROR(IF(MARÍTIMOS[[#This Row],[PP]]="","",MARÍTIMOS[[#This Row],[PP]]),"")</f>
        <v>37</v>
      </c>
      <c r="C334" s="1" t="str">
        <f>IFERROR(IF(MARÍTIMOS[[#This Row],[Sede]]="","",MARÍTIMOS[[#This Row],[Sede]]),"")</f>
        <v>Chao</v>
      </c>
      <c r="D334" s="1" t="str">
        <f>IFERROR(IF(MARÍTIMOS[[#This Row],[Instruction]]="","",MARÍTIMOS[[#This Row],[Instruction]]),"")</f>
        <v>RH-0786</v>
      </c>
      <c r="E334" s="1"/>
      <c r="F334" s="2" t="str">
        <f>IFERROR(IF(MARÍTIMOS[[#This Row],[Transportista]]="","",MARÍTIMOS[[#This Row],[Transportista]]),"")</f>
        <v>LIP</v>
      </c>
      <c r="G334" s="2" t="str">
        <f>IFERROR(IF(MARÍTIMOS[[#This Row],[Tercero]]="","",MARÍTIMOS[[#This Row],[Tercero]]),"")</f>
        <v>SI</v>
      </c>
      <c r="H334" s="2" t="str">
        <f>IFERROR(IF(MARÍTIMOS[[#This Row],[Razón Social]]="","",MARÍTIMOS[[#This Row],[Razón Social]]),"")</f>
        <v>J.J. PACIFICO INVERSIONES E.I.R.L.</v>
      </c>
      <c r="I334" s="2">
        <f>IFERROR(IF(MARÍTIMOS[[#This Row],[RUC]]="","",MARÍTIMOS[[#This Row],[RUC]]),"")</f>
        <v>20608822098</v>
      </c>
      <c r="J334" s="2" t="str">
        <f>IFERROR(IF(MARÍTIMOS[[#This Row],[Placa Tracto]]="","",MARÍTIMOS[[#This Row],[Placa Tracto]]),"")</f>
        <v>BWQ-755</v>
      </c>
      <c r="K334" s="2" t="str">
        <f>IFERROR(IF(MARÍTIMOS[[#This Row],[Placa Carreta]]="","",MARÍTIMOS[[#This Row],[Placa Carreta]]),"")</f>
        <v>TMK-982</v>
      </c>
      <c r="L334" s="44" t="str">
        <f>IFERROR(IF(MARÍTIMOS[[#This Row],[Conductor]]="","",MARÍTIMOS[[#This Row],[Conductor]]),"")</f>
        <v>GUTIERREZ GUTIERREZ MIGUEL ARGENES</v>
      </c>
      <c r="M334" s="2" t="str">
        <f>IFERROR(IF(MARÍTIMOS[[#This Row],[Licencia]]="","",MARÍTIMOS[[#This Row],[Licencia]]),"")</f>
        <v>B43303300</v>
      </c>
      <c r="N334" s="2">
        <f>IFERROR(IF(MARÍTIMOS[[#This Row],[Número de Contacto]]="","",MARÍTIMOS[[#This Row],[Número de Contacto]]),"")</f>
        <v>922823089</v>
      </c>
      <c r="O334" s="10" t="str">
        <f>IFERROR(IF(MARÍTIMOS[[#This Row],[Booking|AWB|CRT]]="","",MARÍTIMOS[[#This Row],[Booking|AWB|CRT]]),"")</f>
        <v>PER9222204A</v>
      </c>
      <c r="P334" s="2" t="str">
        <f>IFERROR(IF(MARÍTIMOS[[#This Row],[Contenedor]]="","",MARÍTIMOS[[#This Row],[Contenedor]]),"")</f>
        <v>BMOU9317873</v>
      </c>
      <c r="Q334" s="2" t="str">
        <f>IFERROR(IF(MARÍTIMOS[[#This Row],[Puerto de Retiro]]="","",MARÍTIMOS[[#This Row],[Puerto de Retiro]]),"")</f>
        <v>PAITA</v>
      </c>
      <c r="R334" s="2" t="str">
        <f>IFERROR(IF(MARÍTIMOS[[#This Row],[Almacén de Retiro]]="","",MARÍTIMOS[[#This Row],[Almacén de Retiro]]),"")</f>
        <v>DPW</v>
      </c>
      <c r="S334" s="11">
        <f>IFERROR(IF(MARÍTIMOS[[#This Row],[Etapa Retiro - Cita]]="","",MARÍTIMOS[[#This Row],[Etapa Retiro - Cita]]),"")</f>
        <v>46279.458333333336</v>
      </c>
      <c r="T334" s="11">
        <f>IFERROR(IF(MARÍTIMOS[[#This Row],[Etapa Retiro - Llegada]]="","",MARÍTIMOS[[#This Row],[Etapa Retiro - Llegada]]),"")</f>
        <v>46279.459722222222</v>
      </c>
      <c r="U334" s="11">
        <f>IFERROR(IF(MARÍTIMOS[[#This Row],[Etapa Retiro - Ingreso]]="","",MARÍTIMOS[[#This Row],[Etapa Retiro - Ingreso]]),"")</f>
        <v>46279.488194444442</v>
      </c>
      <c r="V334" s="11">
        <f>IFERROR(IF(MARÍTIMOS[[#This Row],[Etapa Retiro - Atención]]="","",MARÍTIMOS[[#This Row],[Etapa Retiro - Atención]]),"")</f>
        <v>46279.488888888889</v>
      </c>
      <c r="W334" s="11">
        <f>IFERROR(IF(MARÍTIMOS[[#This Row],[Etapa Retiro - Atención]]="","",MARÍTIMOS[[#This Row],[Etapa Retiro - Atención]]),"")</f>
        <v>46279.488888888889</v>
      </c>
      <c r="X334" s="11">
        <f>IFERROR(IF(MARÍTIMOS[[#This Row],[Etapa Retiro - Inicio de Ruta]]="","",MARÍTIMOS[[#This Row],[Etapa Retiro - Inicio de Ruta]]),"")</f>
        <v>46279.622916666667</v>
      </c>
      <c r="Y334" s="11">
        <f>IFERROR(IF(MARÍTIMOS[[#This Row],[Hora de Posicionamiento]]="","",MARÍTIMOS[[#This Row],[Fecha de Carga]]+MARÍTIMOS[[#This Row],[Hora de Posicionamiento]]),"")</f>
        <v>46280.416666666664</v>
      </c>
      <c r="Z334" s="11">
        <f>IFERROR(IF(MARÍTIMOS[[#This Row],[Etapa Despacho - Llegada]]="","",MARÍTIMOS[[#This Row],[Etapa Despacho - Llegada]]),"")</f>
        <v>46280.330555555556</v>
      </c>
      <c r="AA334" s="11">
        <f>IFERROR(IF(MARÍTIMOS[[#This Row],[Etapa Despacho - Registro]]="","",MARÍTIMOS[[#This Row],[Etapa Despacho - Registro]]),"")</f>
        <v>46280.331250000003</v>
      </c>
      <c r="AB334" s="11">
        <f>IFERROR(IF(MARÍTIMOS[[#This Row],[Inspección Externa]]="","",MARÍTIMOS[[#This Row],[Inspección Externa]]),"")</f>
        <v>46280.402777777781</v>
      </c>
      <c r="AC334" s="11">
        <f>IFERROR(IF(MARÍTIMOS[[#This Row],[Etapa Despacho - Inicio de Carga]]="","",MARÍTIMOS[[#This Row],[Etapa Despacho - Inicio de Carga]]),"")</f>
        <v>46280.452777777777</v>
      </c>
      <c r="AD334" s="11">
        <f>IFERROR(IF(MARÍTIMOS[[#This Row],[Etapa Despacho - Mitad de Carga]]="","",MARÍTIMOS[[#This Row],[Etapa Despacho - Mitad de Carga]]),"")</f>
        <v>46280.467361111114</v>
      </c>
      <c r="AE334" s="11">
        <f>IFERROR(IF(MARÍTIMOS[[#This Row],[Etapa Despacho - Fin de Carga]]="","",MARÍTIMOS[[#This Row],[Etapa Despacho - Fin de Carga]]),"")</f>
        <v>46280.479861111111</v>
      </c>
      <c r="AF334" s="2" t="str">
        <f>IFERROR(IF(MARÍTIMOS[[#This Row],[Puerto de Embarque]]="","",MARÍTIMOS[[#This Row],[Puerto de Embarque]]),"")</f>
        <v>Paita</v>
      </c>
      <c r="AG334" s="2" t="str">
        <f>IFERROR(IF(MARÍTIMOS[[#This Row],[Almacén de Ingreso]]="","",MARÍTIMOS[[#This Row],[Almacén de Ingreso]]),"")</f>
        <v>TPE</v>
      </c>
      <c r="AH334" s="11">
        <f>IFERROR(IF(MARÍTIMOS[[#This Row],[Etapa Ingreso - Cita]]="","",MARÍTIMOS[[#This Row],[Etapa Ingreso - Cita]]),"")</f>
        <v>46281.041666666664</v>
      </c>
      <c r="AI334" s="11">
        <f>IFERROR(IF(MARÍTIMOS[[#This Row],[Etapa Ingreso - Llegada]]="","",MARÍTIMOS[[#This Row],[Etapa Ingreso - Llegada]]),"")</f>
        <v>46281.043055555558</v>
      </c>
      <c r="AJ334" s="11">
        <f>IFERROR(IF(MARÍTIMOS[[#This Row],[Etapa Ingreso - Ingeso]]="","",MARÍTIMOS[[#This Row],[Etapa Ingreso - Ingeso]]),"")</f>
        <v>46281.055555555555</v>
      </c>
      <c r="AK334" s="11">
        <f>IFERROR(IF(MARÍTIMOS[[#This Row],[Etapa Ingreso - Atención]]="","",MARÍTIMOS[[#This Row],[Etapa Ingreso - Atención]]),"")</f>
        <v>46281.059027777781</v>
      </c>
      <c r="AL334" s="11">
        <f>IFERROR(IF(MARÍTIMOS[[#This Row],[Etapa Ingreso - Salida]]="","",MARÍTIMOS[[#This Row],[Etapa Ingreso - Salida]]),"")</f>
        <v>46281.065972222219</v>
      </c>
      <c r="AM334" s="2">
        <f>IFERROR(IF(MARÍTIMOS[[#This Row],[FCL]]="","",MARÍTIMOS[[#This Row],[FCL]]),"")</f>
        <v>1</v>
      </c>
      <c r="AN3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4" s="4" t="str" cm="1">
        <f t="array" ref="AO3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4" s="5">
        <f>IFERROR(OLDBD[[#This Row],[Llegada a packing]]-OLDBD[[#This Row],[Inicio de Ruta]],"")</f>
        <v>0.70763888888905058</v>
      </c>
      <c r="AQ334" s="6">
        <f>IFERROR(OLDBD[[#This Row],[Inicio de Ruta]]-OLDBD[[#This Row],[Salida de almacén de retiro]],"")</f>
        <v>0.13402777777810115</v>
      </c>
      <c r="AR3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4" s="8" t="str" cm="1">
        <f t="array" ref="AS3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34" s="9">
        <f>IFERROR(OLDBD[[#This Row],[Ingreso Packing]]-OLDBD[[#This Row],[Registro en Packing]],"")</f>
        <v>7.1527777778101154E-2</v>
      </c>
      <c r="AV334" s="9">
        <f>IFERROR(OLDBD[[#This Row],[Ingreso Packing]]-OLDBD[[#This Row],[Llegada a packing]],"")</f>
        <v>7.2222222224809229E-2</v>
      </c>
      <c r="AW3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4" s="5">
        <f>IFERROR(OLDBD[[#This Row],[Llegada Almacén de Ingreso]]-OLDBD[[#This Row],[Salida Packing]],"")</f>
        <v>0.56319444444670808</v>
      </c>
      <c r="AY334" s="4" t="str" cm="1">
        <f t="array" ref="AY3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34" s="43" t="s">
        <v>173</v>
      </c>
      <c r="BB334" s="47" t="str">
        <f>IFERROR(IF(MARÍTIMOS[[#This Row],[Estatus]]="","",MARÍTIMOS[[#This Row],[Estatus]]),"")</f>
        <v>Confirmado</v>
      </c>
      <c r="BC334" s="43"/>
      <c r="BD334" s="46">
        <f>IFERROR(OLDBD[[#This Row],[Salida de almacén de retiro]]-OLDBD[[#This Row],[Ingreso Almacén de retiro]],"")</f>
        <v>6.944444467080757E-4</v>
      </c>
      <c r="BE334" s="46">
        <f>IFERROR(OLDBD[[#This Row],[Fin de Carga]]-OLDBD[[#This Row],[Inicio de Carga]],"")</f>
        <v>1.4583333337213844E-2</v>
      </c>
    </row>
    <row r="335" spans="1:57" customFormat="1">
      <c r="A335" s="1"/>
      <c r="B335" s="1">
        <f>IFERROR(IF(MARÍTIMOS[[#This Row],[PP]]="","",MARÍTIMOS[[#This Row],[PP]]),"")</f>
        <v>38</v>
      </c>
      <c r="C335" s="1" t="str">
        <f>IFERROR(IF(MARÍTIMOS[[#This Row],[Sede]]="","",MARÍTIMOS[[#This Row],[Sede]]),"")</f>
        <v>Olmos</v>
      </c>
      <c r="D335" s="1" t="str">
        <f>IFERROR(IF(MARÍTIMOS[[#This Row],[Instruction]]="","",MARÍTIMOS[[#This Row],[Instruction]]),"")</f>
        <v>RH-0826</v>
      </c>
      <c r="E335" s="1"/>
      <c r="F335" s="2" t="str">
        <f>IFERROR(IF(MARÍTIMOS[[#This Row],[Transportista]]="","",MARÍTIMOS[[#This Row],[Transportista]]),"")</f>
        <v>LIP</v>
      </c>
      <c r="G335" s="2" t="str">
        <f>IFERROR(IF(MARÍTIMOS[[#This Row],[Tercero]]="","",MARÍTIMOS[[#This Row],[Tercero]]),"")</f>
        <v>SI</v>
      </c>
      <c r="H335" s="2" t="str">
        <f>IFERROR(IF(MARÍTIMOS[[#This Row],[Razón Social]]="","",MARÍTIMOS[[#This Row],[Razón Social]]),"")</f>
        <v>TRANSCAR MATHEO SOCIEDAD ANONIMA CERRADA</v>
      </c>
      <c r="I335" s="2">
        <f>IFERROR(IF(MARÍTIMOS[[#This Row],[RUC]]="","",MARÍTIMOS[[#This Row],[RUC]]),"")</f>
        <v>20612886921</v>
      </c>
      <c r="J335" s="2" t="str">
        <f>IFERROR(IF(MARÍTIMOS[[#This Row],[Placa Tracto]]="","",MARÍTIMOS[[#This Row],[Placa Tracto]]),"")</f>
        <v>AFF-745</v>
      </c>
      <c r="K335" s="2" t="str">
        <f>IFERROR(IF(MARÍTIMOS[[#This Row],[Placa Carreta]]="","",MARÍTIMOS[[#This Row],[Placa Carreta]]),"")</f>
        <v>TQM-978</v>
      </c>
      <c r="L335" s="44" t="str">
        <f>IFERROR(IF(MARÍTIMOS[[#This Row],[Conductor]]="","",MARÍTIMOS[[#This Row],[Conductor]]),"")</f>
        <v>ANDRADE SUNCION ALEXANDER GABRIEL</v>
      </c>
      <c r="M335" s="2" t="str">
        <f>IFERROR(IF(MARÍTIMOS[[#This Row],[Licencia]]="","",MARÍTIMOS[[#This Row],[Licencia]]),"")</f>
        <v>B44776623</v>
      </c>
      <c r="N335" s="2">
        <f>IFERROR(IF(MARÍTIMOS[[#This Row],[Número de Contacto]]="","",MARÍTIMOS[[#This Row],[Número de Contacto]]),"")</f>
        <v>922824613</v>
      </c>
      <c r="O335" s="10" t="str">
        <f>IFERROR(IF(MARÍTIMOS[[#This Row],[Booking|AWB|CRT]]="","",MARÍTIMOS[[#This Row],[Booking|AWB|CRT]]),"")</f>
        <v>MBM250068060</v>
      </c>
      <c r="P335" s="2" t="str">
        <f>IFERROR(IF(MARÍTIMOS[[#This Row],[Contenedor]]="","",MARÍTIMOS[[#This Row],[Contenedor]]),"")</f>
        <v>CAIU5578061</v>
      </c>
      <c r="Q335" s="2" t="str">
        <f>IFERROR(IF(MARÍTIMOS[[#This Row],[Puerto de Retiro]]="","",MARÍTIMOS[[#This Row],[Puerto de Retiro]]),"")</f>
        <v>PAITA</v>
      </c>
      <c r="R335" s="2" t="str">
        <f>IFERROR(IF(MARÍTIMOS[[#This Row],[Almacén de Retiro]]="","",MARÍTIMOS[[#This Row],[Almacén de Retiro]]),"")</f>
        <v>MACROMAR</v>
      </c>
      <c r="S335" s="11">
        <f>IFERROR(IF(MARÍTIMOS[[#This Row],[Etapa Retiro - Cita]]="","",MARÍTIMOS[[#This Row],[Etapa Retiro - Cita]]),"")</f>
        <v>46281.625</v>
      </c>
      <c r="T335" s="11">
        <f>IFERROR(IF(MARÍTIMOS[[#This Row],[Etapa Retiro - Llegada]]="","",MARÍTIMOS[[#This Row],[Etapa Retiro - Llegada]]),"")</f>
        <v>46281.620138888888</v>
      </c>
      <c r="U335" s="11">
        <f>IFERROR(IF(MARÍTIMOS[[#This Row],[Etapa Retiro - Ingreso]]="","",MARÍTIMOS[[#This Row],[Etapa Retiro - Ingreso]]),"")</f>
        <v>46281.624305555553</v>
      </c>
      <c r="V335" s="11">
        <f>IFERROR(IF(MARÍTIMOS[[#This Row],[Etapa Retiro - Atención]]="","",MARÍTIMOS[[#This Row],[Etapa Retiro - Atención]]),"")</f>
        <v>46281.625</v>
      </c>
      <c r="W335" s="11">
        <f>IFERROR(IF(MARÍTIMOS[[#This Row],[Etapa Retiro - Atención]]="","",MARÍTIMOS[[#This Row],[Etapa Retiro - Atención]]),"")</f>
        <v>46281.625</v>
      </c>
      <c r="X335" s="11">
        <f>IFERROR(IF(MARÍTIMOS[[#This Row],[Etapa Retiro - Inicio de Ruta]]="","",MARÍTIMOS[[#This Row],[Etapa Retiro - Inicio de Ruta]]),"")</f>
        <v>46281.741666666669</v>
      </c>
      <c r="Y335" s="11">
        <f>IFERROR(IF(MARÍTIMOS[[#This Row],[Hora de Posicionamiento]]="","",MARÍTIMOS[[#This Row],[Fecha de Carga]]+MARÍTIMOS[[#This Row],[Hora de Posicionamiento]]),"")</f>
        <v>46282.5</v>
      </c>
      <c r="Z335" s="11">
        <f>IFERROR(IF(MARÍTIMOS[[#This Row],[Etapa Despacho - Llegada]]="","",MARÍTIMOS[[#This Row],[Etapa Despacho - Llegada]]),"")</f>
        <v>46282.361805555556</v>
      </c>
      <c r="AA335" s="11">
        <f>IFERROR(IF(MARÍTIMOS[[#This Row],[Etapa Despacho - Registro]]="","",MARÍTIMOS[[#This Row],[Etapa Despacho - Registro]]),"")</f>
        <v>46282.361805555556</v>
      </c>
      <c r="AB335" s="11">
        <f>IFERROR(IF(MARÍTIMOS[[#This Row],[Inspección Externa]]="","",MARÍTIMOS[[#This Row],[Inspección Externa]]),"")</f>
        <v>46282.502083333333</v>
      </c>
      <c r="AC335" s="11">
        <f>IFERROR(IF(MARÍTIMOS[[#This Row],[Etapa Despacho - Inicio de Carga]]="","",MARÍTIMOS[[#This Row],[Etapa Despacho - Inicio de Carga]]),"")</f>
        <v>46282.632638888892</v>
      </c>
      <c r="AD335" s="11">
        <f>IFERROR(IF(MARÍTIMOS[[#This Row],[Etapa Despacho - Mitad de Carga]]="","",MARÍTIMOS[[#This Row],[Etapa Despacho - Mitad de Carga]]),"")</f>
        <v>46282.652777777781</v>
      </c>
      <c r="AE335" s="11">
        <f>IFERROR(IF(MARÍTIMOS[[#This Row],[Etapa Despacho - Fin de Carga]]="","",MARÍTIMOS[[#This Row],[Etapa Despacho - Fin de Carga]]),"")</f>
        <v>46282.667361111111</v>
      </c>
      <c r="AF335" s="2" t="str">
        <f>IFERROR(IF(MARÍTIMOS[[#This Row],[Puerto de Embarque]]="","",MARÍTIMOS[[#This Row],[Puerto de Embarque]]),"")</f>
        <v>Paita</v>
      </c>
      <c r="AG335" s="2" t="str">
        <f>IFERROR(IF(MARÍTIMOS[[#This Row],[Almacén de Ingreso]]="","",MARÍTIMOS[[#This Row],[Almacén de Ingreso]]),"")</f>
        <v>TPE</v>
      </c>
      <c r="AH335" s="11">
        <f>IFERROR(IF(MARÍTIMOS[[#This Row],[Etapa Ingreso - Cita]]="","",MARÍTIMOS[[#This Row],[Etapa Ingreso - Cita]]),"")</f>
        <v>46284.5</v>
      </c>
      <c r="AI335" s="11">
        <f>IFERROR(IF(MARÍTIMOS[[#This Row],[Etapa Ingreso - Llegada]]="","",MARÍTIMOS[[#This Row],[Etapa Ingreso - Llegada]]),"")</f>
        <v>46284.477777777778</v>
      </c>
      <c r="AJ335" s="11">
        <f>IFERROR(IF(MARÍTIMOS[[#This Row],[Etapa Ingreso - Ingeso]]="","",MARÍTIMOS[[#This Row],[Etapa Ingreso - Ingeso]]),"")</f>
        <v>46284.484722222223</v>
      </c>
      <c r="AK335" s="11">
        <f>IFERROR(IF(MARÍTIMOS[[#This Row],[Etapa Ingreso - Atención]]="","",MARÍTIMOS[[#This Row],[Etapa Ingreso - Atención]]),"")</f>
        <v>46284.487500000003</v>
      </c>
      <c r="AL335" s="11">
        <f>IFERROR(IF(MARÍTIMOS[[#This Row],[Etapa Ingreso - Salida]]="","",MARÍTIMOS[[#This Row],[Etapa Ingreso - Salida]]),"")</f>
        <v>46284.496527777781</v>
      </c>
      <c r="AM335" s="2">
        <f>IFERROR(IF(MARÍTIMOS[[#This Row],[FCL]]="","",MARÍTIMOS[[#This Row],[FCL]]),"")</f>
        <v>0.5</v>
      </c>
      <c r="AN3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5" s="4" t="str" cm="1">
        <f t="array" ref="AO3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5" s="5">
        <f>IFERROR(OLDBD[[#This Row],[Llegada a packing]]-OLDBD[[#This Row],[Inicio de Ruta]],"")</f>
        <v>0.62013888888759539</v>
      </c>
      <c r="AQ335" s="6">
        <f>IFERROR(OLDBD[[#This Row],[Inicio de Ruta]]-OLDBD[[#This Row],[Salida de almacén de retiro]],"")</f>
        <v>0.11666666666860692</v>
      </c>
      <c r="AR3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5" s="8" t="str" cm="1">
        <f t="array" ref="AS3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35" s="9">
        <f>IFERROR(OLDBD[[#This Row],[Ingreso Packing]]-OLDBD[[#This Row],[Registro en Packing]],"")</f>
        <v>0.14027777777664596</v>
      </c>
      <c r="AV335" s="9">
        <f>IFERROR(OLDBD[[#This Row],[Ingreso Packing]]-OLDBD[[#This Row],[Llegada a packing]],"")</f>
        <v>0.14027777777664596</v>
      </c>
      <c r="AW3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5" s="5">
        <f>IFERROR(OLDBD[[#This Row],[Llegada Almacén de Ingreso]]-OLDBD[[#This Row],[Salida Packing]],"")</f>
        <v>1.8104166666671517</v>
      </c>
      <c r="AY335" s="4" t="str" cm="1">
        <f t="array" ref="AY3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35" s="43" t="s">
        <v>173</v>
      </c>
      <c r="BB335" s="47" t="str">
        <f>IFERROR(IF(MARÍTIMOS[[#This Row],[Estatus]]="","",MARÍTIMOS[[#This Row],[Estatus]]),"")</f>
        <v>Confirmado</v>
      </c>
      <c r="BC335" s="43"/>
      <c r="BD335" s="46">
        <f>IFERROR(OLDBD[[#This Row],[Salida de almacén de retiro]]-OLDBD[[#This Row],[Ingreso Almacén de retiro]],"")</f>
        <v>6.944444467080757E-4</v>
      </c>
      <c r="BE335" s="46">
        <f>IFERROR(OLDBD[[#This Row],[Fin de Carga]]-OLDBD[[#This Row],[Inicio de Carga]],"")</f>
        <v>2.0138888889050577E-2</v>
      </c>
    </row>
    <row r="336" spans="1:57" customFormat="1">
      <c r="A336" s="1"/>
      <c r="B336" s="1">
        <f>IFERROR(IF(MARÍTIMOS[[#This Row],[PP]]="","",MARÍTIMOS[[#This Row],[PP]]),"")</f>
        <v>38</v>
      </c>
      <c r="C336" s="1" t="str">
        <f>IFERROR(IF(MARÍTIMOS[[#This Row],[Sede]]="","",MARÍTIMOS[[#This Row],[Sede]]),"")</f>
        <v>Chao</v>
      </c>
      <c r="D336" s="1" t="str">
        <f>IFERROR(IF(MARÍTIMOS[[#This Row],[Instruction]]="","",MARÍTIMOS[[#This Row],[Instruction]]),"")</f>
        <v>RH-0826</v>
      </c>
      <c r="E336" s="1"/>
      <c r="F336" s="2" t="str">
        <f>IFERROR(IF(MARÍTIMOS[[#This Row],[Transportista]]="","",MARÍTIMOS[[#This Row],[Transportista]]),"")</f>
        <v>LIP</v>
      </c>
      <c r="G336" s="2" t="str">
        <f>IFERROR(IF(MARÍTIMOS[[#This Row],[Tercero]]="","",MARÍTIMOS[[#This Row],[Tercero]]),"")</f>
        <v>SI</v>
      </c>
      <c r="H336" s="2" t="str">
        <f>IFERROR(IF(MARÍTIMOS[[#This Row],[Razón Social]]="","",MARÍTIMOS[[#This Row],[Razón Social]]),"")</f>
        <v>TRANSCAR MATHEO SOCIEDAD ANONIMA CERRADA</v>
      </c>
      <c r="I336" s="2">
        <f>IFERROR(IF(MARÍTIMOS[[#This Row],[RUC]]="","",MARÍTIMOS[[#This Row],[RUC]]),"")</f>
        <v>20612886921</v>
      </c>
      <c r="J336" s="2" t="str">
        <f>IFERROR(IF(MARÍTIMOS[[#This Row],[Placa Tracto]]="","",MARÍTIMOS[[#This Row],[Placa Tracto]]),"")</f>
        <v>AFF-745</v>
      </c>
      <c r="K336" s="2" t="str">
        <f>IFERROR(IF(MARÍTIMOS[[#This Row],[Placa Carreta]]="","",MARÍTIMOS[[#This Row],[Placa Carreta]]),"")</f>
        <v>TQM-978</v>
      </c>
      <c r="L336" s="44" t="str">
        <f>IFERROR(IF(MARÍTIMOS[[#This Row],[Conductor]]="","",MARÍTIMOS[[#This Row],[Conductor]]),"")</f>
        <v>ANDRADE SUNCION ALEXANDER GABRIEL</v>
      </c>
      <c r="M336" s="2" t="str">
        <f>IFERROR(IF(MARÍTIMOS[[#This Row],[Licencia]]="","",MARÍTIMOS[[#This Row],[Licencia]]),"")</f>
        <v>B44776623</v>
      </c>
      <c r="N336" s="2">
        <f>IFERROR(IF(MARÍTIMOS[[#This Row],[Número de Contacto]]="","",MARÍTIMOS[[#This Row],[Número de Contacto]]),"")</f>
        <v>922824613</v>
      </c>
      <c r="O336" s="10" t="str">
        <f>IFERROR(IF(MARÍTIMOS[[#This Row],[Booking|AWB|CRT]]="","",MARÍTIMOS[[#This Row],[Booking|AWB|CRT]]),"")</f>
        <v>MBM250068060</v>
      </c>
      <c r="P336" s="2" t="str">
        <f>IFERROR(IF(MARÍTIMOS[[#This Row],[Contenedor]]="","",MARÍTIMOS[[#This Row],[Contenedor]]),"")</f>
        <v>CAIU5578061</v>
      </c>
      <c r="Q336" s="2" t="str">
        <f>IFERROR(IF(MARÍTIMOS[[#This Row],[Puerto de Retiro]]="","",MARÍTIMOS[[#This Row],[Puerto de Retiro]]),"")</f>
        <v>PAITA</v>
      </c>
      <c r="R336" s="2" t="str">
        <f>IFERROR(IF(MARÍTIMOS[[#This Row],[Almacén de Retiro]]="","",MARÍTIMOS[[#This Row],[Almacén de Retiro]]),"")</f>
        <v>MACROMAR</v>
      </c>
      <c r="S336" s="11">
        <f>IFERROR(IF(MARÍTIMOS[[#This Row],[Etapa Retiro - Cita]]="","",MARÍTIMOS[[#This Row],[Etapa Retiro - Cita]]),"")</f>
        <v>46281.625</v>
      </c>
      <c r="T336" s="11">
        <f>IFERROR(IF(MARÍTIMOS[[#This Row],[Etapa Retiro - Llegada]]="","",MARÍTIMOS[[#This Row],[Etapa Retiro - Llegada]]),"")</f>
        <v>46281.620138888888</v>
      </c>
      <c r="U336" s="11">
        <f>IFERROR(IF(MARÍTIMOS[[#This Row],[Etapa Retiro - Ingreso]]="","",MARÍTIMOS[[#This Row],[Etapa Retiro - Ingreso]]),"")</f>
        <v>46281.624305555553</v>
      </c>
      <c r="V336" s="11">
        <f>IFERROR(IF(MARÍTIMOS[[#This Row],[Etapa Retiro - Atención]]="","",MARÍTIMOS[[#This Row],[Etapa Retiro - Atención]]),"")</f>
        <v>46281.625</v>
      </c>
      <c r="W336" s="11">
        <f>IFERROR(IF(MARÍTIMOS[[#This Row],[Etapa Retiro - Atención]]="","",MARÍTIMOS[[#This Row],[Etapa Retiro - Atención]]),"")</f>
        <v>46281.625</v>
      </c>
      <c r="X336" s="11">
        <f>IFERROR(IF(MARÍTIMOS[[#This Row],[Etapa Retiro - Inicio de Ruta]]="","",MARÍTIMOS[[#This Row],[Etapa Retiro - Inicio de Ruta]]),"")</f>
        <v>46282.70208333333</v>
      </c>
      <c r="Y336" s="11">
        <f>IFERROR(IF(MARÍTIMOS[[#This Row],[Hora de Posicionamiento]]="","",MARÍTIMOS[[#This Row],[Fecha de Carga]]+MARÍTIMOS[[#This Row],[Hora de Posicionamiento]]),"")</f>
        <v>46283.416666666664</v>
      </c>
      <c r="Z336" s="11">
        <f>IFERROR(IF(MARÍTIMOS[[#This Row],[Etapa Despacho - Llegada]]="","",MARÍTIMOS[[#This Row],[Etapa Despacho - Llegada]]),"")</f>
        <v>46283.357638888891</v>
      </c>
      <c r="AA336" s="11">
        <f>IFERROR(IF(MARÍTIMOS[[#This Row],[Etapa Despacho - Registro]]="","",MARÍTIMOS[[#This Row],[Etapa Despacho - Registro]]),"")</f>
        <v>46283.357638888891</v>
      </c>
      <c r="AB336" s="11">
        <f>IFERROR(IF(MARÍTIMOS[[#This Row],[Inspección Externa]]="","",MARÍTIMOS[[#This Row],[Inspección Externa]]),"")</f>
        <v>46283.463888888888</v>
      </c>
      <c r="AC336" s="11">
        <f>IFERROR(IF(MARÍTIMOS[[#This Row],[Etapa Despacho - Inicio de Carga]]="","",MARÍTIMOS[[#This Row],[Etapa Despacho - Inicio de Carga]]),"")</f>
        <v>46283.640972222223</v>
      </c>
      <c r="AD336" s="11">
        <f>IFERROR(IF(MARÍTIMOS[[#This Row],[Etapa Despacho - Mitad de Carga]]="","",MARÍTIMOS[[#This Row],[Etapa Despacho - Mitad de Carga]]),"")</f>
        <v>46283.665972222225</v>
      </c>
      <c r="AE336" s="11">
        <f>IFERROR(IF(MARÍTIMOS[[#This Row],[Etapa Despacho - Fin de Carga]]="","",MARÍTIMOS[[#This Row],[Etapa Despacho - Fin de Carga]]),"")</f>
        <v>46283.675694444442</v>
      </c>
      <c r="AF336" s="2" t="str">
        <f>IFERROR(IF(MARÍTIMOS[[#This Row],[Puerto de Embarque]]="","",MARÍTIMOS[[#This Row],[Puerto de Embarque]]),"")</f>
        <v>Paita</v>
      </c>
      <c r="AG336" s="2" t="str">
        <f>IFERROR(IF(MARÍTIMOS[[#This Row],[Almacén de Ingreso]]="","",MARÍTIMOS[[#This Row],[Almacén de Ingreso]]),"")</f>
        <v>TPE</v>
      </c>
      <c r="AH336" s="11">
        <f>IFERROR(IF(MARÍTIMOS[[#This Row],[Etapa Ingreso - Cita]]="","",MARÍTIMOS[[#This Row],[Etapa Ingreso - Cita]]),"")</f>
        <v>46284.5</v>
      </c>
      <c r="AI336" s="11">
        <f>IFERROR(IF(MARÍTIMOS[[#This Row],[Etapa Ingreso - Llegada]]="","",MARÍTIMOS[[#This Row],[Etapa Ingreso - Llegada]]),"")</f>
        <v>46284.477777777778</v>
      </c>
      <c r="AJ336" s="11">
        <f>IFERROR(IF(MARÍTIMOS[[#This Row],[Etapa Ingreso - Ingeso]]="","",MARÍTIMOS[[#This Row],[Etapa Ingreso - Ingeso]]),"")</f>
        <v>46284.484722222223</v>
      </c>
      <c r="AK336" s="11">
        <f>IFERROR(IF(MARÍTIMOS[[#This Row],[Etapa Ingreso - Atención]]="","",MARÍTIMOS[[#This Row],[Etapa Ingreso - Atención]]),"")</f>
        <v>46284.487500000003</v>
      </c>
      <c r="AL336" s="11">
        <f>IFERROR(IF(MARÍTIMOS[[#This Row],[Etapa Ingreso - Salida]]="","",MARÍTIMOS[[#This Row],[Etapa Ingreso - Salida]]),"")</f>
        <v>46284.496527777781</v>
      </c>
      <c r="AM336" s="2">
        <f>IFERROR(IF(MARÍTIMOS[[#This Row],[FCL]]="","",MARÍTIMOS[[#This Row],[FCL]]),"")</f>
        <v>0.5</v>
      </c>
      <c r="AN3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6" s="4" t="str" cm="1">
        <f t="array" ref="AO3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6" s="5">
        <f>IFERROR(OLDBD[[#This Row],[Llegada a packing]]-OLDBD[[#This Row],[Inicio de Ruta]],"")</f>
        <v>0.65555555556056788</v>
      </c>
      <c r="AQ336" s="6">
        <f>IFERROR(OLDBD[[#This Row],[Inicio de Ruta]]-OLDBD[[#This Row],[Salida de almacén de retiro]],"")</f>
        <v>1.0770833333299379</v>
      </c>
      <c r="AR3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6" s="8" t="str" cm="1">
        <f t="array" ref="AS3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36" s="9">
        <f>IFERROR(OLDBD[[#This Row],[Ingreso Packing]]-OLDBD[[#This Row],[Registro en Packing]],"")</f>
        <v>0.10624999999708962</v>
      </c>
      <c r="AV336" s="9">
        <f>IFERROR(OLDBD[[#This Row],[Ingreso Packing]]-OLDBD[[#This Row],[Llegada a packing]],"")</f>
        <v>0.10624999999708962</v>
      </c>
      <c r="AW3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6" s="5">
        <f>IFERROR(OLDBD[[#This Row],[Llegada Almacén de Ingreso]]-OLDBD[[#This Row],[Salida Packing]],"")</f>
        <v>0.80208333333575865</v>
      </c>
      <c r="AY336" s="4" t="str" cm="1">
        <f t="array" ref="AY3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36" s="43" t="s">
        <v>173</v>
      </c>
      <c r="BB336" s="47" t="str">
        <f>IFERROR(IF(MARÍTIMOS[[#This Row],[Estatus]]="","",MARÍTIMOS[[#This Row],[Estatus]]),"")</f>
        <v>Confirmado</v>
      </c>
      <c r="BC336" s="43"/>
      <c r="BD336" s="46">
        <f>IFERROR(OLDBD[[#This Row],[Salida de almacén de retiro]]-OLDBD[[#This Row],[Ingreso Almacén de retiro]],"")</f>
        <v>6.944444467080757E-4</v>
      </c>
      <c r="BE336" s="46">
        <f>IFERROR(OLDBD[[#This Row],[Fin de Carga]]-OLDBD[[#This Row],[Inicio de Carga]],"")</f>
        <v>2.5000000001455192E-2</v>
      </c>
    </row>
    <row r="337" spans="1:57" customFormat="1">
      <c r="A337" s="1"/>
      <c r="B337" s="1">
        <f>IFERROR(IF(MARÍTIMOS[[#This Row],[PP]]="","",MARÍTIMOS[[#This Row],[PP]]),"")</f>
        <v>38</v>
      </c>
      <c r="C337" s="1" t="str">
        <f>IFERROR(IF(MARÍTIMOS[[#This Row],[Sede]]="","",MARÍTIMOS[[#This Row],[Sede]]),"")</f>
        <v>Chao</v>
      </c>
      <c r="D337" s="1" t="str">
        <f>IFERROR(IF(MARÍTIMOS[[#This Row],[Instruction]]="","",MARÍTIMOS[[#This Row],[Instruction]]),"")</f>
        <v>RH-0829</v>
      </c>
      <c r="E337" s="1"/>
      <c r="F337" s="2" t="str">
        <f>IFERROR(IF(MARÍTIMOS[[#This Row],[Transportista]]="","",MARÍTIMOS[[#This Row],[Transportista]]),"")</f>
        <v>LIP</v>
      </c>
      <c r="G337" s="2" t="str">
        <f>IFERROR(IF(MARÍTIMOS[[#This Row],[Tercero]]="","",MARÍTIMOS[[#This Row],[Tercero]]),"")</f>
        <v>SI</v>
      </c>
      <c r="H337" s="2" t="str">
        <f>IFERROR(IF(MARÍTIMOS[[#This Row],[Razón Social]]="","",MARÍTIMOS[[#This Row],[Razón Social]]),"")</f>
        <v>JB TRANS SERVICE PERU S.A.C.</v>
      </c>
      <c r="I337" s="2">
        <f>IFERROR(IF(MARÍTIMOS[[#This Row],[RUC]]="","",MARÍTIMOS[[#This Row],[RUC]]),"")</f>
        <v>20608437712</v>
      </c>
      <c r="J337" s="2" t="str">
        <f>IFERROR(IF(MARÍTIMOS[[#This Row],[Placa Tracto]]="","",MARÍTIMOS[[#This Row],[Placa Tracto]]),"")</f>
        <v>BHJ-906</v>
      </c>
      <c r="K337" s="2" t="str">
        <f>IFERROR(IF(MARÍTIMOS[[#This Row],[Placa Carreta]]="","",MARÍTIMOS[[#This Row],[Placa Carreta]]),"")</f>
        <v>AUN-977</v>
      </c>
      <c r="L337" s="44" t="str">
        <f>IFERROR(IF(MARÍTIMOS[[#This Row],[Conductor]]="","",MARÍTIMOS[[#This Row],[Conductor]]),"")</f>
        <v>DURAND CHIROQUE RICHARD</v>
      </c>
      <c r="M337" s="2" t="str">
        <f>IFERROR(IF(MARÍTIMOS[[#This Row],[Licencia]]="","",MARÍTIMOS[[#This Row],[Licencia]]),"")</f>
        <v>B40525769</v>
      </c>
      <c r="N337" s="2">
        <f>IFERROR(IF(MARÍTIMOS[[#This Row],[Número de Contacto]]="","",MARÍTIMOS[[#This Row],[Número de Contacto]]),"")</f>
        <v>999826856</v>
      </c>
      <c r="O337" s="10" t="str">
        <f>IFERROR(IF(MARÍTIMOS[[#This Row],[Booking|AWB|CRT]]="","",MARÍTIMOS[[#This Row],[Booking|AWB|CRT]]),"")</f>
        <v>MBM250068061</v>
      </c>
      <c r="P337" s="2" t="str">
        <f>IFERROR(IF(MARÍTIMOS[[#This Row],[Contenedor]]="","",MARÍTIMOS[[#This Row],[Contenedor]]),"")</f>
        <v>CAIU5550402</v>
      </c>
      <c r="Q337" s="2" t="str">
        <f>IFERROR(IF(MARÍTIMOS[[#This Row],[Puerto de Retiro]]="","",MARÍTIMOS[[#This Row],[Puerto de Retiro]]),"")</f>
        <v>PAITA</v>
      </c>
      <c r="R337" s="2" t="str">
        <f>IFERROR(IF(MARÍTIMOS[[#This Row],[Almacén de Retiro]]="","",MARÍTIMOS[[#This Row],[Almacén de Retiro]]),"")</f>
        <v>MACROMAR</v>
      </c>
      <c r="S337" s="11">
        <f>IFERROR(IF(MARÍTIMOS[[#This Row],[Etapa Retiro - Cita]]="","",MARÍTIMOS[[#This Row],[Etapa Retiro - Cita]]),"")</f>
        <v>46281.5</v>
      </c>
      <c r="T337" s="11">
        <f>IFERROR(IF(MARÍTIMOS[[#This Row],[Etapa Retiro - Llegada]]="","",MARÍTIMOS[[#This Row],[Etapa Retiro - Llegada]]),"")</f>
        <v>46281.494444444441</v>
      </c>
      <c r="U337" s="11">
        <f>IFERROR(IF(MARÍTIMOS[[#This Row],[Etapa Retiro - Ingreso]]="","",MARÍTIMOS[[#This Row],[Etapa Retiro - Ingreso]]),"")</f>
        <v>46281.503472222219</v>
      </c>
      <c r="V337" s="11">
        <f>IFERROR(IF(MARÍTIMOS[[#This Row],[Etapa Retiro - Atención]]="","",MARÍTIMOS[[#This Row],[Etapa Retiro - Atención]]),"")</f>
        <v>46281.513888888891</v>
      </c>
      <c r="W337" s="11">
        <f>IFERROR(IF(MARÍTIMOS[[#This Row],[Etapa Retiro - Atención]]="","",MARÍTIMOS[[#This Row],[Etapa Retiro - Atención]]),"")</f>
        <v>46281.513888888891</v>
      </c>
      <c r="X337" s="11">
        <f>IFERROR(IF(MARÍTIMOS[[#This Row],[Etapa Retiro - Inicio de Ruta]]="","",MARÍTIMOS[[#This Row],[Etapa Retiro - Inicio de Ruta]]),"")</f>
        <v>46281.618055555555</v>
      </c>
      <c r="Y337" s="11">
        <f>IFERROR(IF(MARÍTIMOS[[#This Row],[Hora de Posicionamiento]]="","",MARÍTIMOS[[#This Row],[Fecha de Carga]]+MARÍTIMOS[[#This Row],[Hora de Posicionamiento]]),"")</f>
        <v>46282.666666666664</v>
      </c>
      <c r="Z337" s="11">
        <f>IFERROR(IF(MARÍTIMOS[[#This Row],[Etapa Despacho - Llegada]]="","",MARÍTIMOS[[#This Row],[Etapa Despacho - Llegada]]),"")</f>
        <v>46282.476388888892</v>
      </c>
      <c r="AA337" s="11">
        <f>IFERROR(IF(MARÍTIMOS[[#This Row],[Etapa Despacho - Registro]]="","",MARÍTIMOS[[#This Row],[Etapa Despacho - Registro]]),"")</f>
        <v>46282.482638888891</v>
      </c>
      <c r="AB337" s="11">
        <f>IFERROR(IF(MARÍTIMOS[[#This Row],[Inspección Externa]]="","",MARÍTIMOS[[#This Row],[Inspección Externa]]),"")</f>
        <v>46282.486111111109</v>
      </c>
      <c r="AC337" s="11">
        <f>IFERROR(IF(MARÍTIMOS[[#This Row],[Etapa Despacho - Inicio de Carga]]="","",MARÍTIMOS[[#This Row],[Etapa Despacho - Inicio de Carga]]),"")</f>
        <v>46282.496527777781</v>
      </c>
      <c r="AD337" s="11">
        <f>IFERROR(IF(MARÍTIMOS[[#This Row],[Etapa Despacho - Mitad de Carga]]="","",MARÍTIMOS[[#This Row],[Etapa Despacho - Mitad de Carga]]),"")</f>
        <v>46282.625</v>
      </c>
      <c r="AE337" s="11">
        <f>IFERROR(IF(MARÍTIMOS[[#This Row],[Etapa Despacho - Fin de Carga]]="","",MARÍTIMOS[[#This Row],[Etapa Despacho - Fin de Carga]]),"")</f>
        <v>46282.725694444445</v>
      </c>
      <c r="AF337" s="2" t="str">
        <f>IFERROR(IF(MARÍTIMOS[[#This Row],[Puerto de Embarque]]="","",MARÍTIMOS[[#This Row],[Puerto de Embarque]]),"")</f>
        <v>Paita</v>
      </c>
      <c r="AG337" s="2" t="str">
        <f>IFERROR(IF(MARÍTIMOS[[#This Row],[Almacén de Ingreso]]="","",MARÍTIMOS[[#This Row],[Almacén de Ingreso]]),"")</f>
        <v>TPE</v>
      </c>
      <c r="AH337" s="11">
        <f>IFERROR(IF(MARÍTIMOS[[#This Row],[Etapa Ingreso - Cita]]="","",MARÍTIMOS[[#This Row],[Etapa Ingreso - Cita]]),"")</f>
        <v>46283.416666666664</v>
      </c>
      <c r="AI337" s="11">
        <f>IFERROR(IF(MARÍTIMOS[[#This Row],[Etapa Ingreso - Llegada]]="","",MARÍTIMOS[[#This Row],[Etapa Ingreso - Llegada]]),"")</f>
        <v>46283.398611111108</v>
      </c>
      <c r="AJ337" s="11">
        <f>IFERROR(IF(MARÍTIMOS[[#This Row],[Etapa Ingreso - Ingeso]]="","",MARÍTIMOS[[#This Row],[Etapa Ingreso - Ingeso]]),"")</f>
        <v>46283.413194444445</v>
      </c>
      <c r="AK337" s="11">
        <f>IFERROR(IF(MARÍTIMOS[[#This Row],[Etapa Ingreso - Atención]]="","",MARÍTIMOS[[#This Row],[Etapa Ingreso - Atención]]),"")</f>
        <v>46283.416666666664</v>
      </c>
      <c r="AL337" s="11">
        <f>IFERROR(IF(MARÍTIMOS[[#This Row],[Etapa Ingreso - Salida]]="","",MARÍTIMOS[[#This Row],[Etapa Ingreso - Salida]]),"")</f>
        <v>46283.420138888891</v>
      </c>
      <c r="AM337" s="2">
        <f>IFERROR(IF(MARÍTIMOS[[#This Row],[FCL]]="","",MARÍTIMOS[[#This Row],[FCL]]),"")</f>
        <v>1</v>
      </c>
      <c r="AN3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7" s="4" t="str" cm="1">
        <f t="array" ref="AO3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7" s="5">
        <f>IFERROR(OLDBD[[#This Row],[Llegada a packing]]-OLDBD[[#This Row],[Inicio de Ruta]],"")</f>
        <v>0.85833333333721384</v>
      </c>
      <c r="AQ337" s="6">
        <f>IFERROR(OLDBD[[#This Row],[Inicio de Ruta]]-OLDBD[[#This Row],[Salida de almacén de retiro]],"")</f>
        <v>0.10416666666424135</v>
      </c>
      <c r="AR3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7" s="8" t="str" cm="1">
        <f t="array" ref="AS3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37" s="9">
        <f>IFERROR(OLDBD[[#This Row],[Ingreso Packing]]-OLDBD[[#This Row],[Registro en Packing]],"")</f>
        <v>3.4722222189884633E-3</v>
      </c>
      <c r="AV337" s="9">
        <f>IFERROR(OLDBD[[#This Row],[Ingreso Packing]]-OLDBD[[#This Row],[Llegada a packing]],"")</f>
        <v>9.7222222175332718E-3</v>
      </c>
      <c r="AW3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37" s="5">
        <f>IFERROR(OLDBD[[#This Row],[Llegada Almacén de Ingreso]]-OLDBD[[#This Row],[Salida Packing]],"")</f>
        <v>0.67291666666278616</v>
      </c>
      <c r="AY337" s="4" t="str" cm="1">
        <f t="array" ref="AY3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37" s="43" t="s">
        <v>173</v>
      </c>
      <c r="BB337" s="47" t="str">
        <f>IFERROR(IF(MARÍTIMOS[[#This Row],[Estatus]]="","",MARÍTIMOS[[#This Row],[Estatus]]),"")</f>
        <v>Confirmado</v>
      </c>
      <c r="BC337" s="43"/>
      <c r="BD337" s="46">
        <f>IFERROR(OLDBD[[#This Row],[Salida de almacén de retiro]]-OLDBD[[#This Row],[Ingreso Almacén de retiro]],"")</f>
        <v>1.0416666671517305E-2</v>
      </c>
      <c r="BE337" s="46">
        <f>IFERROR(OLDBD[[#This Row],[Fin de Carga]]-OLDBD[[#This Row],[Inicio de Carga]],"")</f>
        <v>0.12847222221898846</v>
      </c>
    </row>
    <row r="338" spans="1:57" customFormat="1">
      <c r="A338" s="1"/>
      <c r="B338" s="1">
        <f>IFERROR(IF(MARÍTIMOS[[#This Row],[PP]]="","",MARÍTIMOS[[#This Row],[PP]]),"")</f>
        <v>38</v>
      </c>
      <c r="C338" s="1" t="str">
        <f>IFERROR(IF(MARÍTIMOS[[#This Row],[Sede]]="","",MARÍTIMOS[[#This Row],[Sede]]),"")</f>
        <v>Olmos</v>
      </c>
      <c r="D338" s="1" t="str">
        <f>IFERROR(IF(MARÍTIMOS[[#This Row],[Instruction]]="","",MARÍTIMOS[[#This Row],[Instruction]]),"")</f>
        <v>RH-0833</v>
      </c>
      <c r="E338" s="1"/>
      <c r="F338" s="2" t="str">
        <f>IFERROR(IF(MARÍTIMOS[[#This Row],[Transportista]]="","",MARÍTIMOS[[#This Row],[Transportista]]),"")</f>
        <v>LIP</v>
      </c>
      <c r="G338" s="2" t="str">
        <f>IFERROR(IF(MARÍTIMOS[[#This Row],[Tercero]]="","",MARÍTIMOS[[#This Row],[Tercero]]),"")</f>
        <v>NO</v>
      </c>
      <c r="H338" s="2" t="str">
        <f>IFERROR(IF(MARÍTIMOS[[#This Row],[Razón Social]]="","",MARÍTIMOS[[#This Row],[Razón Social]]),"")</f>
        <v>LOGISTICA INTERMODAL DEL PERU S.A.C.</v>
      </c>
      <c r="I338" s="2">
        <f>IFERROR(IF(MARÍTIMOS[[#This Row],[RUC]]="","",MARÍTIMOS[[#This Row],[RUC]]),"")</f>
        <v>20513040718</v>
      </c>
      <c r="J338" s="2" t="str">
        <f>IFERROR(IF(MARÍTIMOS[[#This Row],[Placa Tracto]]="","",MARÍTIMOS[[#This Row],[Placa Tracto]]),"")</f>
        <v>AZH-828</v>
      </c>
      <c r="K338" s="2" t="str">
        <f>IFERROR(IF(MARÍTIMOS[[#This Row],[Placa Carreta]]="","",MARÍTIMOS[[#This Row],[Placa Carreta]]),"")</f>
        <v>AXO-972</v>
      </c>
      <c r="L338" s="44" t="str">
        <f>IFERROR(IF(MARÍTIMOS[[#This Row],[Conductor]]="","",MARÍTIMOS[[#This Row],[Conductor]]),"")</f>
        <v>VARGAS BARRIENTOS JESUS GERMAN</v>
      </c>
      <c r="M338" s="2" t="str">
        <f>IFERROR(IF(MARÍTIMOS[[#This Row],[Licencia]]="","",MARÍTIMOS[[#This Row],[Licencia]]),"")</f>
        <v>B72766316</v>
      </c>
      <c r="N338" s="2" t="str">
        <f>IFERROR(IF(MARÍTIMOS[[#This Row],[Número de Contacto]]="","",MARÍTIMOS[[#This Row],[Número de Contacto]]),"")</f>
        <v>954 015 437</v>
      </c>
      <c r="O338" s="10" t="str">
        <f>IFERROR(IF(MARÍTIMOS[[#This Row],[Booking|AWB|CRT]]="","",MARÍTIMOS[[#This Row],[Booking|AWB|CRT]]),"")</f>
        <v>PER9234504A</v>
      </c>
      <c r="P338" s="2" t="str">
        <f>IFERROR(IF(MARÍTIMOS[[#This Row],[Contenedor]]="","",MARÍTIMOS[[#This Row],[Contenedor]]),"")</f>
        <v>CAAU4077566</v>
      </c>
      <c r="Q338" s="2" t="str">
        <f>IFERROR(IF(MARÍTIMOS[[#This Row],[Puerto de Retiro]]="","",MARÍTIMOS[[#This Row],[Puerto de Retiro]]),"")</f>
        <v>PAITA</v>
      </c>
      <c r="R338" s="2" t="str">
        <f>IFERROR(IF(MARÍTIMOS[[#This Row],[Almacén de Retiro]]="","",MARÍTIMOS[[#This Row],[Almacén de Retiro]]),"")</f>
        <v>DPW</v>
      </c>
      <c r="S338" s="11">
        <f>IFERROR(IF(MARÍTIMOS[[#This Row],[Etapa Retiro - Cita]]="","",MARÍTIMOS[[#This Row],[Etapa Retiro - Cita]]),"")</f>
        <v>46283.708333333336</v>
      </c>
      <c r="T338" s="11">
        <f>IFERROR(IF(MARÍTIMOS[[#This Row],[Etapa Retiro - Llegada]]="","",MARÍTIMOS[[#This Row],[Etapa Retiro - Llegada]]),"")</f>
        <v>46283.703472222223</v>
      </c>
      <c r="U338" s="11">
        <f>IFERROR(IF(MARÍTIMOS[[#This Row],[Etapa Retiro - Ingreso]]="","",MARÍTIMOS[[#This Row],[Etapa Retiro - Ingreso]]),"")</f>
        <v>46283.722222222219</v>
      </c>
      <c r="V338" s="11">
        <f>IFERROR(IF(MARÍTIMOS[[#This Row],[Etapa Retiro - Atención]]="","",MARÍTIMOS[[#This Row],[Etapa Retiro - Atención]]),"")</f>
        <v>46283.722916666666</v>
      </c>
      <c r="W338" s="11">
        <f>IFERROR(IF(MARÍTIMOS[[#This Row],[Etapa Retiro - Atención]]="","",MARÍTIMOS[[#This Row],[Etapa Retiro - Atención]]),"")</f>
        <v>46283.722916666666</v>
      </c>
      <c r="X338" s="11">
        <f>IFERROR(IF(MARÍTIMOS[[#This Row],[Etapa Retiro - Inicio de Ruta]]="","",MARÍTIMOS[[#This Row],[Etapa Retiro - Inicio de Ruta]]),"")</f>
        <v>46283.763194444444</v>
      </c>
      <c r="Y338" s="11">
        <f>IFERROR(IF(MARÍTIMOS[[#This Row],[Hora de Posicionamiento]]="","",MARÍTIMOS[[#This Row],[Fecha de Carga]]+MARÍTIMOS[[#This Row],[Hora de Posicionamiento]]),"")</f>
        <v>46284.333333333336</v>
      </c>
      <c r="Z338" s="11">
        <f>IFERROR(IF(MARÍTIMOS[[#This Row],[Etapa Despacho - Llegada]]="","",MARÍTIMOS[[#This Row],[Etapa Despacho - Llegada]]),"")</f>
        <v>46284.3</v>
      </c>
      <c r="AA338" s="11">
        <f>IFERROR(IF(MARÍTIMOS[[#This Row],[Etapa Despacho - Registro]]="","",MARÍTIMOS[[#This Row],[Etapa Despacho - Registro]]),"")</f>
        <v>46284.300694444442</v>
      </c>
      <c r="AB338" s="11">
        <f>IFERROR(IF(MARÍTIMOS[[#This Row],[Inspección Externa]]="","",MARÍTIMOS[[#This Row],[Inspección Externa]]),"")</f>
        <v>46284.334722222222</v>
      </c>
      <c r="AC338" s="11">
        <f>IFERROR(IF(MARÍTIMOS[[#This Row],[Etapa Despacho - Inicio de Carga]]="","",MARÍTIMOS[[#This Row],[Etapa Despacho - Inicio de Carga]]),"")</f>
        <v>46284.424305555556</v>
      </c>
      <c r="AD338" s="11">
        <f>IFERROR(IF(MARÍTIMOS[[#This Row],[Etapa Despacho - Mitad de Carga]]="","",MARÍTIMOS[[#This Row],[Etapa Despacho - Mitad de Carga]]),"")</f>
        <v>46284.44027777778</v>
      </c>
      <c r="AE338" s="11">
        <f>IFERROR(IF(MARÍTIMOS[[#This Row],[Etapa Despacho - Fin de Carga]]="","",MARÍTIMOS[[#This Row],[Etapa Despacho - Fin de Carga]]),"")</f>
        <v>46284.45208333333</v>
      </c>
      <c r="AF338" s="2" t="str">
        <f>IFERROR(IF(MARÍTIMOS[[#This Row],[Puerto de Embarque]]="","",MARÍTIMOS[[#This Row],[Puerto de Embarque]]),"")</f>
        <v>Paita</v>
      </c>
      <c r="AG338" s="2" t="str">
        <f>IFERROR(IF(MARÍTIMOS[[#This Row],[Almacén de Ingreso]]="","",MARÍTIMOS[[#This Row],[Almacén de Ingreso]]),"")</f>
        <v>TPE</v>
      </c>
      <c r="AH338" s="11">
        <f>IFERROR(IF(MARÍTIMOS[[#This Row],[Etapa Ingreso - Cita]]="","",MARÍTIMOS[[#This Row],[Etapa Ingreso - Cita]]),"")</f>
        <v>46286.458333333336</v>
      </c>
      <c r="AI338" s="11">
        <f>IFERROR(IF(MARÍTIMOS[[#This Row],[Etapa Ingreso - Llegada]]="","",MARÍTIMOS[[#This Row],[Etapa Ingreso - Llegada]]),"")</f>
        <v>46286.4375</v>
      </c>
      <c r="AJ338" s="11">
        <f>IFERROR(IF(MARÍTIMOS[[#This Row],[Etapa Ingreso - Ingeso]]="","",MARÍTIMOS[[#This Row],[Etapa Ingreso - Ingeso]]),"")</f>
        <v>46286.443749999999</v>
      </c>
      <c r="AK338" s="11">
        <f>IFERROR(IF(MARÍTIMOS[[#This Row],[Etapa Ingreso - Atención]]="","",MARÍTIMOS[[#This Row],[Etapa Ingreso - Atención]]),"")</f>
        <v>46286.445833333331</v>
      </c>
      <c r="AL338" s="11">
        <f>IFERROR(IF(MARÍTIMOS[[#This Row],[Etapa Ingreso - Salida]]="","",MARÍTIMOS[[#This Row],[Etapa Ingreso - Salida]]),"")</f>
        <v>46286.451388888891</v>
      </c>
      <c r="AM338" s="2">
        <f>IFERROR(IF(MARÍTIMOS[[#This Row],[FCL]]="","",MARÍTIMOS[[#This Row],[FCL]]),"")</f>
        <v>0.5</v>
      </c>
      <c r="AN3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8" s="4" t="str" cm="1">
        <f t="array" ref="AO3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8" s="5">
        <f>IFERROR(OLDBD[[#This Row],[Llegada a packing]]-OLDBD[[#This Row],[Inicio de Ruta]],"")</f>
        <v>0.53680555555911269</v>
      </c>
      <c r="AQ338" s="6">
        <f>IFERROR(OLDBD[[#This Row],[Inicio de Ruta]]-OLDBD[[#This Row],[Salida de almacén de retiro]],"")</f>
        <v>4.0277777778101154E-2</v>
      </c>
      <c r="AR3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8" s="8" t="str" cm="1">
        <f t="array" ref="AS3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38" s="9">
        <f>IFERROR(OLDBD[[#This Row],[Ingreso Packing]]-OLDBD[[#This Row],[Registro en Packing]],"")</f>
        <v>3.4027777779556345E-2</v>
      </c>
      <c r="AV338" s="9">
        <f>IFERROR(OLDBD[[#This Row],[Ingreso Packing]]-OLDBD[[#This Row],[Llegada a packing]],"")</f>
        <v>3.4722222218988463E-2</v>
      </c>
      <c r="AW3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8" s="5">
        <f>IFERROR(OLDBD[[#This Row],[Llegada Almacén de Ingreso]]-OLDBD[[#This Row],[Salida Packing]],"")</f>
        <v>1.9854166666700621</v>
      </c>
      <c r="AY338" s="4" t="str" cm="1">
        <f t="array" ref="AY3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38" s="43" t="s">
        <v>173</v>
      </c>
      <c r="BB338" s="47" t="str">
        <f>IFERROR(IF(MARÍTIMOS[[#This Row],[Estatus]]="","",MARÍTIMOS[[#This Row],[Estatus]]),"")</f>
        <v>Confirmado</v>
      </c>
      <c r="BC338" s="43"/>
      <c r="BD338" s="46">
        <f>IFERROR(OLDBD[[#This Row],[Salida de almacén de retiro]]-OLDBD[[#This Row],[Ingreso Almacén de retiro]],"")</f>
        <v>6.944444467080757E-4</v>
      </c>
      <c r="BE338" s="46">
        <f>IFERROR(OLDBD[[#This Row],[Fin de Carga]]-OLDBD[[#This Row],[Inicio de Carga]],"")</f>
        <v>1.5972222223354038E-2</v>
      </c>
    </row>
    <row r="339" spans="1:57" customFormat="1">
      <c r="A339" s="1"/>
      <c r="B339" s="1">
        <f>IFERROR(IF(MARÍTIMOS[[#This Row],[PP]]="","",MARÍTIMOS[[#This Row],[PP]]),"")</f>
        <v>38</v>
      </c>
      <c r="C339" s="1" t="str">
        <f>IFERROR(IF(MARÍTIMOS[[#This Row],[Sede]]="","",MARÍTIMOS[[#This Row],[Sede]]),"")</f>
        <v>Chao</v>
      </c>
      <c r="D339" s="1" t="str">
        <f>IFERROR(IF(MARÍTIMOS[[#This Row],[Instruction]]="","",MARÍTIMOS[[#This Row],[Instruction]]),"")</f>
        <v>RH-0833</v>
      </c>
      <c r="E339" s="1"/>
      <c r="F339" s="2" t="str">
        <f>IFERROR(IF(MARÍTIMOS[[#This Row],[Transportista]]="","",MARÍTIMOS[[#This Row],[Transportista]]),"")</f>
        <v>LIP</v>
      </c>
      <c r="G339" s="2" t="str">
        <f>IFERROR(IF(MARÍTIMOS[[#This Row],[Tercero]]="","",MARÍTIMOS[[#This Row],[Tercero]]),"")</f>
        <v>NO</v>
      </c>
      <c r="H339" s="2" t="str">
        <f>IFERROR(IF(MARÍTIMOS[[#This Row],[Razón Social]]="","",MARÍTIMOS[[#This Row],[Razón Social]]),"")</f>
        <v>LOGISTICA INTERMODAL DEL PERU S.A.C.</v>
      </c>
      <c r="I339" s="2">
        <f>IFERROR(IF(MARÍTIMOS[[#This Row],[RUC]]="","",MARÍTIMOS[[#This Row],[RUC]]),"")</f>
        <v>20513040718</v>
      </c>
      <c r="J339" s="2" t="str">
        <f>IFERROR(IF(MARÍTIMOS[[#This Row],[Placa Tracto]]="","",MARÍTIMOS[[#This Row],[Placa Tracto]]),"")</f>
        <v>AZH-828</v>
      </c>
      <c r="K339" s="2" t="str">
        <f>IFERROR(IF(MARÍTIMOS[[#This Row],[Placa Carreta]]="","",MARÍTIMOS[[#This Row],[Placa Carreta]]),"")</f>
        <v>AXO-972</v>
      </c>
      <c r="L339" s="44" t="str">
        <f>IFERROR(IF(MARÍTIMOS[[#This Row],[Conductor]]="","",MARÍTIMOS[[#This Row],[Conductor]]),"")</f>
        <v>VARGAS BARRIENTOS JESUS GERMAN</v>
      </c>
      <c r="M339" s="2" t="str">
        <f>IFERROR(IF(MARÍTIMOS[[#This Row],[Licencia]]="","",MARÍTIMOS[[#This Row],[Licencia]]),"")</f>
        <v>B72766316</v>
      </c>
      <c r="N339" s="2" t="str">
        <f>IFERROR(IF(MARÍTIMOS[[#This Row],[Número de Contacto]]="","",MARÍTIMOS[[#This Row],[Número de Contacto]]),"")</f>
        <v>954 015 437</v>
      </c>
      <c r="O339" s="10" t="str">
        <f>IFERROR(IF(MARÍTIMOS[[#This Row],[Booking|AWB|CRT]]="","",MARÍTIMOS[[#This Row],[Booking|AWB|CRT]]),"")</f>
        <v>PER9234504A</v>
      </c>
      <c r="P339" s="2" t="str">
        <f>IFERROR(IF(MARÍTIMOS[[#This Row],[Contenedor]]="","",MARÍTIMOS[[#This Row],[Contenedor]]),"")</f>
        <v>CAAU4077566</v>
      </c>
      <c r="Q339" s="2" t="str">
        <f>IFERROR(IF(MARÍTIMOS[[#This Row],[Puerto de Retiro]]="","",MARÍTIMOS[[#This Row],[Puerto de Retiro]]),"")</f>
        <v>PAITA</v>
      </c>
      <c r="R339" s="2" t="str">
        <f>IFERROR(IF(MARÍTIMOS[[#This Row],[Almacén de Retiro]]="","",MARÍTIMOS[[#This Row],[Almacén de Retiro]]),"")</f>
        <v>DPW</v>
      </c>
      <c r="S339" s="11">
        <f>IFERROR(IF(MARÍTIMOS[[#This Row],[Etapa Retiro - Cita]]="","",MARÍTIMOS[[#This Row],[Etapa Retiro - Cita]]),"")</f>
        <v>46283.708333333336</v>
      </c>
      <c r="T339" s="11">
        <f>IFERROR(IF(MARÍTIMOS[[#This Row],[Etapa Retiro - Llegada]]="","",MARÍTIMOS[[#This Row],[Etapa Retiro - Llegada]]),"")</f>
        <v>46283.703472222223</v>
      </c>
      <c r="U339" s="11">
        <f>IFERROR(IF(MARÍTIMOS[[#This Row],[Etapa Retiro - Ingreso]]="","",MARÍTIMOS[[#This Row],[Etapa Retiro - Ingreso]]),"")</f>
        <v>46283.722222222219</v>
      </c>
      <c r="V339" s="11">
        <f>IFERROR(IF(MARÍTIMOS[[#This Row],[Etapa Retiro - Atención]]="","",MARÍTIMOS[[#This Row],[Etapa Retiro - Atención]]),"")</f>
        <v>46283.722916666666</v>
      </c>
      <c r="W339" s="11">
        <f>IFERROR(IF(MARÍTIMOS[[#This Row],[Etapa Retiro - Atención]]="","",MARÍTIMOS[[#This Row],[Etapa Retiro - Atención]]),"")</f>
        <v>46283.722916666666</v>
      </c>
      <c r="X339" s="11">
        <f>IFERROR(IF(MARÍTIMOS[[#This Row],[Etapa Retiro - Inicio de Ruta]]="","",MARÍTIMOS[[#This Row],[Etapa Retiro - Inicio de Ruta]]),"")</f>
        <v>46284.477083333331</v>
      </c>
      <c r="Y339" s="11">
        <f>IFERROR(IF(MARÍTIMOS[[#This Row],[Hora de Posicionamiento]]="","",MARÍTIMOS[[#This Row],[Fecha de Carga]]+MARÍTIMOS[[#This Row],[Hora de Posicionamiento]]),"")</f>
        <v>46285.583333333336</v>
      </c>
      <c r="Z339" s="11">
        <f>IFERROR(IF(MARÍTIMOS[[#This Row],[Etapa Despacho - Llegada]]="","",MARÍTIMOS[[#This Row],[Etapa Despacho - Llegada]]),"")</f>
        <v>46285.422222222223</v>
      </c>
      <c r="AA339" s="11">
        <f>IFERROR(IF(MARÍTIMOS[[#This Row],[Etapa Despacho - Registro]]="","",MARÍTIMOS[[#This Row],[Etapa Despacho - Registro]]),"")</f>
        <v>46285.42291666667</v>
      </c>
      <c r="AB339" s="11">
        <f>IFERROR(IF(MARÍTIMOS[[#This Row],[Inspección Externa]]="","",MARÍTIMOS[[#This Row],[Inspección Externa]]),"")</f>
        <v>46285.511111111111</v>
      </c>
      <c r="AC339" s="11">
        <f>IFERROR(IF(MARÍTIMOS[[#This Row],[Etapa Despacho - Inicio de Carga]]="","",MARÍTIMOS[[#This Row],[Etapa Despacho - Inicio de Carga]]),"")</f>
        <v>46285.665277777778</v>
      </c>
      <c r="AD339" s="11">
        <f>IFERROR(IF(MARÍTIMOS[[#This Row],[Etapa Despacho - Mitad de Carga]]="","",MARÍTIMOS[[#This Row],[Etapa Despacho - Mitad de Carga]]),"")</f>
        <v>46285.679861111108</v>
      </c>
      <c r="AE339" s="11">
        <f>IFERROR(IF(MARÍTIMOS[[#This Row],[Etapa Despacho - Fin de Carga]]="","",MARÍTIMOS[[#This Row],[Etapa Despacho - Fin de Carga]]),"")</f>
        <v>46285.698611111111</v>
      </c>
      <c r="AF339" s="2" t="str">
        <f>IFERROR(IF(MARÍTIMOS[[#This Row],[Puerto de Embarque]]="","",MARÍTIMOS[[#This Row],[Puerto de Embarque]]),"")</f>
        <v>Paita</v>
      </c>
      <c r="AG339" s="2" t="str">
        <f>IFERROR(IF(MARÍTIMOS[[#This Row],[Almacén de Ingreso]]="","",MARÍTIMOS[[#This Row],[Almacén de Ingreso]]),"")</f>
        <v>TPE</v>
      </c>
      <c r="AH339" s="11">
        <f>IFERROR(IF(MARÍTIMOS[[#This Row],[Etapa Ingreso - Cita]]="","",MARÍTIMOS[[#This Row],[Etapa Ingreso - Cita]]),"")</f>
        <v>46286.458333333336</v>
      </c>
      <c r="AI339" s="11">
        <f>IFERROR(IF(MARÍTIMOS[[#This Row],[Etapa Ingreso - Llegada]]="","",MARÍTIMOS[[#This Row],[Etapa Ingreso - Llegada]]),"")</f>
        <v>46286.4375</v>
      </c>
      <c r="AJ339" s="11">
        <f>IFERROR(IF(MARÍTIMOS[[#This Row],[Etapa Ingreso - Ingeso]]="","",MARÍTIMOS[[#This Row],[Etapa Ingreso - Ingeso]]),"")</f>
        <v>46286.443749999999</v>
      </c>
      <c r="AK339" s="11">
        <f>IFERROR(IF(MARÍTIMOS[[#This Row],[Etapa Ingreso - Atención]]="","",MARÍTIMOS[[#This Row],[Etapa Ingreso - Atención]]),"")</f>
        <v>46286.445833333331</v>
      </c>
      <c r="AL339" s="11">
        <f>IFERROR(IF(MARÍTIMOS[[#This Row],[Etapa Ingreso - Salida]]="","",MARÍTIMOS[[#This Row],[Etapa Ingreso - Salida]]),"")</f>
        <v>46286.451388888891</v>
      </c>
      <c r="AM339" s="2">
        <f>IFERROR(IF(MARÍTIMOS[[#This Row],[FCL]]="","",MARÍTIMOS[[#This Row],[FCL]]),"")</f>
        <v>0.5</v>
      </c>
      <c r="AN3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39" s="4" t="str" cm="1">
        <f t="array" ref="AO3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39" s="5">
        <f>IFERROR(OLDBD[[#This Row],[Llegada a packing]]-OLDBD[[#This Row],[Inicio de Ruta]],"")</f>
        <v>0.94513888889196096</v>
      </c>
      <c r="AQ339" s="6">
        <f>IFERROR(OLDBD[[#This Row],[Inicio de Ruta]]-OLDBD[[#This Row],[Salida de almacén de retiro]],"")</f>
        <v>0.75416666666569654</v>
      </c>
      <c r="AR3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39" s="8" t="str" cm="1">
        <f t="array" ref="AS3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39" s="9">
        <f>IFERROR(OLDBD[[#This Row],[Ingreso Packing]]-OLDBD[[#This Row],[Registro en Packing]],"")</f>
        <v>8.819444444088731E-2</v>
      </c>
      <c r="AV339" s="9">
        <f>IFERROR(OLDBD[[#This Row],[Ingreso Packing]]-OLDBD[[#This Row],[Llegada a packing]],"")</f>
        <v>8.8888888887595385E-2</v>
      </c>
      <c r="AW3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39" s="5">
        <f>IFERROR(OLDBD[[#This Row],[Llegada Almacén de Ingreso]]-OLDBD[[#This Row],[Salida Packing]],"")</f>
        <v>0.73888888888905058</v>
      </c>
      <c r="AY339" s="4" t="str" cm="1">
        <f t="array" ref="AY3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39" s="43" t="s">
        <v>173</v>
      </c>
      <c r="BB339" s="47" t="str">
        <f>IFERROR(IF(MARÍTIMOS[[#This Row],[Estatus]]="","",MARÍTIMOS[[#This Row],[Estatus]]),"")</f>
        <v>Confirmado</v>
      </c>
      <c r="BC339" s="43"/>
      <c r="BD339" s="46">
        <f>IFERROR(OLDBD[[#This Row],[Salida de almacén de retiro]]-OLDBD[[#This Row],[Ingreso Almacén de retiro]],"")</f>
        <v>6.944444467080757E-4</v>
      </c>
      <c r="BE339" s="46">
        <f>IFERROR(OLDBD[[#This Row],[Fin de Carga]]-OLDBD[[#This Row],[Inicio de Carga]],"")</f>
        <v>1.4583333329937886E-2</v>
      </c>
    </row>
    <row r="340" spans="1:57" customFormat="1">
      <c r="A340" s="1"/>
      <c r="B340" s="1">
        <f>IFERROR(IF(MARÍTIMOS[[#This Row],[PP]]="","",MARÍTIMOS[[#This Row],[PP]]),"")</f>
        <v>38</v>
      </c>
      <c r="C340" s="1" t="str">
        <f>IFERROR(IF(MARÍTIMOS[[#This Row],[Sede]]="","",MARÍTIMOS[[#This Row],[Sede]]),"")</f>
        <v>Chao</v>
      </c>
      <c r="D340" s="1" t="str">
        <f>IFERROR(IF(MARÍTIMOS[[#This Row],[Instruction]]="","",MARÍTIMOS[[#This Row],[Instruction]]),"")</f>
        <v>RH-0814</v>
      </c>
      <c r="E340" s="1"/>
      <c r="F340" s="2" t="str">
        <f>IFERROR(IF(MARÍTIMOS[[#This Row],[Transportista]]="","",MARÍTIMOS[[#This Row],[Transportista]]),"")</f>
        <v>LIP</v>
      </c>
      <c r="G340" s="2" t="str">
        <f>IFERROR(IF(MARÍTIMOS[[#This Row],[Tercero]]="","",MARÍTIMOS[[#This Row],[Tercero]]),"")</f>
        <v>SI</v>
      </c>
      <c r="H340" s="2" t="str">
        <f>IFERROR(IF(MARÍTIMOS[[#This Row],[Razón Social]]="","",MARÍTIMOS[[#This Row],[Razón Social]]),"")</f>
        <v>LOGISTICS TRANSPORT SOCIEDAD ANONIMA CERRADA</v>
      </c>
      <c r="I340" s="2">
        <f>IFERROR(IF(MARÍTIMOS[[#This Row],[RUC]]="","",MARÍTIMOS[[#This Row],[RUC]]),"")</f>
        <v>20614402246</v>
      </c>
      <c r="J340" s="2" t="str">
        <f>IFERROR(IF(MARÍTIMOS[[#This Row],[Placa Tracto]]="","",MARÍTIMOS[[#This Row],[Placa Tracto]]),"")</f>
        <v>AVU-920</v>
      </c>
      <c r="K340" s="2" t="str">
        <f>IFERROR(IF(MARÍTIMOS[[#This Row],[Placa Carreta]]="","",MARÍTIMOS[[#This Row],[Placa Carreta]]),"")</f>
        <v>TPD-978</v>
      </c>
      <c r="L340" s="44" t="str">
        <f>IFERROR(IF(MARÍTIMOS[[#This Row],[Conductor]]="","",MARÍTIMOS[[#This Row],[Conductor]]),"")</f>
        <v>LOPEZ GUERRERO JORGE</v>
      </c>
      <c r="M340" s="2" t="str">
        <f>IFERROR(IF(MARÍTIMOS[[#This Row],[Licencia]]="","",MARÍTIMOS[[#This Row],[Licencia]]),"")</f>
        <v>B41641255</v>
      </c>
      <c r="N340" s="2">
        <f>IFERROR(IF(MARÍTIMOS[[#This Row],[Número de Contacto]]="","",MARÍTIMOS[[#This Row],[Número de Contacto]]),"")</f>
        <v>944448184</v>
      </c>
      <c r="O340" s="10" t="str">
        <f>IFERROR(IF(MARÍTIMOS[[#This Row],[Booking|AWB|CRT]]="","",MARÍTIMOS[[#This Row],[Booking|AWB|CRT]]),"")</f>
        <v>PEUW2640101</v>
      </c>
      <c r="P340" s="2" t="str">
        <f>IFERROR(IF(MARÍTIMOS[[#This Row],[Contenedor]]="","",MARÍTIMOS[[#This Row],[Contenedor]]),"")</f>
        <v>TEMU9617196</v>
      </c>
      <c r="Q340" s="2" t="str">
        <f>IFERROR(IF(MARÍTIMOS[[#This Row],[Puerto de Retiro]]="","",MARÍTIMOS[[#This Row],[Puerto de Retiro]]),"")</f>
        <v>PAITA</v>
      </c>
      <c r="R340" s="2" t="str">
        <f>IFERROR(IF(MARÍTIMOS[[#This Row],[Almacén de Retiro]]="","",MARÍTIMOS[[#This Row],[Almacén de Retiro]]),"")</f>
        <v>MACROMAR</v>
      </c>
      <c r="S340" s="11">
        <f>IFERROR(IF(MARÍTIMOS[[#This Row],[Etapa Retiro - Cita]]="","",MARÍTIMOS[[#This Row],[Etapa Retiro - Cita]]),"")</f>
        <v>46284.75</v>
      </c>
      <c r="T340" s="11">
        <f>IFERROR(IF(MARÍTIMOS[[#This Row],[Etapa Retiro - Llegada]]="","",MARÍTIMOS[[#This Row],[Etapa Retiro - Llegada]]),"")</f>
        <v>46284.736111111109</v>
      </c>
      <c r="U340" s="11">
        <f>IFERROR(IF(MARÍTIMOS[[#This Row],[Etapa Retiro - Ingreso]]="","",MARÍTIMOS[[#This Row],[Etapa Retiro - Ingreso]]),"")</f>
        <v>46284.742361111108</v>
      </c>
      <c r="V340" s="11">
        <f>IFERROR(IF(MARÍTIMOS[[#This Row],[Etapa Retiro - Atención]]="","",MARÍTIMOS[[#This Row],[Etapa Retiro - Atención]]),"")</f>
        <v>46284.756249999999</v>
      </c>
      <c r="W340" s="11">
        <f>IFERROR(IF(MARÍTIMOS[[#This Row],[Etapa Retiro - Atención]]="","",MARÍTIMOS[[#This Row],[Etapa Retiro - Atención]]),"")</f>
        <v>46284.756249999999</v>
      </c>
      <c r="X340" s="11">
        <f>IFERROR(IF(MARÍTIMOS[[#This Row],[Etapa Retiro - Inicio de Ruta]]="","",MARÍTIMOS[[#This Row],[Etapa Retiro - Inicio de Ruta]]),"")</f>
        <v>46284.843055555553</v>
      </c>
      <c r="Y340" s="11">
        <f>IFERROR(IF(MARÍTIMOS[[#This Row],[Hora de Posicionamiento]]="","",MARÍTIMOS[[#This Row],[Fecha de Carga]]+MARÍTIMOS[[#This Row],[Hora de Posicionamiento]]),"")</f>
        <v>46285.666666666664</v>
      </c>
      <c r="Z340" s="11">
        <f>IFERROR(IF(MARÍTIMOS[[#This Row],[Etapa Despacho - Llegada]]="","",MARÍTIMOS[[#This Row],[Etapa Despacho - Llegada]]),"")</f>
        <v>46285.591666666667</v>
      </c>
      <c r="AA340" s="11">
        <f>IFERROR(IF(MARÍTIMOS[[#This Row],[Etapa Despacho - Registro]]="","",MARÍTIMOS[[#This Row],[Etapa Despacho - Registro]]),"")</f>
        <v>46285.592361111114</v>
      </c>
      <c r="AB340" s="11">
        <f>IFERROR(IF(MARÍTIMOS[[#This Row],[Inspección Externa]]="","",MARÍTIMOS[[#This Row],[Inspección Externa]]),"")</f>
        <v>46285.62222222222</v>
      </c>
      <c r="AC340" s="11">
        <f>IFERROR(IF(MARÍTIMOS[[#This Row],[Etapa Despacho - Inicio de Carga]]="","",MARÍTIMOS[[#This Row],[Etapa Despacho - Inicio de Carga]]),"")</f>
        <v>46285.758333333331</v>
      </c>
      <c r="AD340" s="11">
        <f>IFERROR(IF(MARÍTIMOS[[#This Row],[Etapa Despacho - Mitad de Carga]]="","",MARÍTIMOS[[#This Row],[Etapa Despacho - Mitad de Carga]]),"")</f>
        <v>46285.770833333336</v>
      </c>
      <c r="AE340" s="11">
        <f>IFERROR(IF(MARÍTIMOS[[#This Row],[Etapa Despacho - Fin de Carga]]="","",MARÍTIMOS[[#This Row],[Etapa Despacho - Fin de Carga]]),"")</f>
        <v>46285.785416666666</v>
      </c>
      <c r="AF340" s="2" t="str">
        <f>IFERROR(IF(MARÍTIMOS[[#This Row],[Puerto de Embarque]]="","",MARÍTIMOS[[#This Row],[Puerto de Embarque]]),"")</f>
        <v>Paita</v>
      </c>
      <c r="AG340" s="2" t="str">
        <f>IFERROR(IF(MARÍTIMOS[[#This Row],[Almacén de Ingreso]]="","",MARÍTIMOS[[#This Row],[Almacén de Ingreso]]),"")</f>
        <v>TPE</v>
      </c>
      <c r="AH340" s="11">
        <f>IFERROR(IF(MARÍTIMOS[[#This Row],[Etapa Ingreso - Cita]]="","",MARÍTIMOS[[#This Row],[Etapa Ingreso - Cita]]),"")</f>
        <v>46286.625</v>
      </c>
      <c r="AI340" s="11">
        <f>IFERROR(IF(MARÍTIMOS[[#This Row],[Etapa Ingreso - Llegada]]="","",MARÍTIMOS[[#This Row],[Etapa Ingreso - Llegada]]),"")</f>
        <v>46286.606944444444</v>
      </c>
      <c r="AJ340" s="11">
        <f>IFERROR(IF(MARÍTIMOS[[#This Row],[Etapa Ingreso - Ingeso]]="","",MARÍTIMOS[[#This Row],[Etapa Ingreso - Ingeso]]),"")</f>
        <v>46286.615277777775</v>
      </c>
      <c r="AK340" s="11">
        <f>IFERROR(IF(MARÍTIMOS[[#This Row],[Etapa Ingreso - Atención]]="","",MARÍTIMOS[[#This Row],[Etapa Ingreso - Atención]]),"")</f>
        <v>46286.618750000001</v>
      </c>
      <c r="AL340" s="11">
        <f>IFERROR(IF(MARÍTIMOS[[#This Row],[Etapa Ingreso - Salida]]="","",MARÍTIMOS[[#This Row],[Etapa Ingreso - Salida]]),"")</f>
        <v>46286.633333333331</v>
      </c>
      <c r="AM340" s="2">
        <f>IFERROR(IF(MARÍTIMOS[[#This Row],[FCL]]="","",MARÍTIMOS[[#This Row],[FCL]]),"")</f>
        <v>1</v>
      </c>
      <c r="AN3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40" s="4" t="str" cm="1">
        <f t="array" ref="AO3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40" s="5">
        <f>IFERROR(OLDBD[[#This Row],[Llegada a packing]]-OLDBD[[#This Row],[Inicio de Ruta]],"")</f>
        <v>0.74861111111385981</v>
      </c>
      <c r="AQ340" s="6">
        <f>IFERROR(OLDBD[[#This Row],[Inicio de Ruta]]-OLDBD[[#This Row],[Salida de almacén de retiro]],"")</f>
        <v>8.6805555554747116E-2</v>
      </c>
      <c r="AR3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40" s="8" t="str" cm="1">
        <f t="array" ref="AS3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40" s="9">
        <f>IFERROR(OLDBD[[#This Row],[Ingreso Packing]]-OLDBD[[#This Row],[Registro en Packing]],"")</f>
        <v>2.9861111106583849E-2</v>
      </c>
      <c r="AV340" s="9">
        <f>IFERROR(OLDBD[[#This Row],[Ingreso Packing]]-OLDBD[[#This Row],[Llegada a packing]],"")</f>
        <v>3.0555555553291924E-2</v>
      </c>
      <c r="AW3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40" s="5">
        <f>IFERROR(OLDBD[[#This Row],[Llegada Almacén de Ingreso]]-OLDBD[[#This Row],[Salida Packing]],"")</f>
        <v>0.82152777777810115</v>
      </c>
      <c r="AY340" s="4" t="str" cm="1">
        <f t="array" ref="AY3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40" s="43" t="s">
        <v>173</v>
      </c>
      <c r="BB340" s="47" t="str">
        <f>IFERROR(IF(MARÍTIMOS[[#This Row],[Estatus]]="","",MARÍTIMOS[[#This Row],[Estatus]]),"")</f>
        <v>Confirmado</v>
      </c>
      <c r="BC340" s="43"/>
      <c r="BD340" s="46">
        <f>IFERROR(OLDBD[[#This Row],[Salida de almacén de retiro]]-OLDBD[[#This Row],[Ingreso Almacén de retiro]],"")</f>
        <v>1.3888888890505768E-2</v>
      </c>
      <c r="BE340" s="46">
        <f>IFERROR(OLDBD[[#This Row],[Fin de Carga]]-OLDBD[[#This Row],[Inicio de Carga]],"")</f>
        <v>1.2500000004365575E-2</v>
      </c>
    </row>
    <row r="341" spans="1:57" customFormat="1">
      <c r="A341" s="1"/>
      <c r="B341" s="1">
        <f>IFERROR(IF(MARÍTIMOS[[#This Row],[PP]]="","",MARÍTIMOS[[#This Row],[PP]]),"")</f>
        <v>38</v>
      </c>
      <c r="C341" s="1" t="str">
        <f>IFERROR(IF(MARÍTIMOS[[#This Row],[Sede]]="","",MARÍTIMOS[[#This Row],[Sede]]),"")</f>
        <v>Chao</v>
      </c>
      <c r="D341" s="1" t="str">
        <f>IFERROR(IF(MARÍTIMOS[[#This Row],[Instruction]]="","",MARÍTIMOS[[#This Row],[Instruction]]),"")</f>
        <v>RH-0821</v>
      </c>
      <c r="E341" s="1"/>
      <c r="F341" s="2" t="str">
        <f>IFERROR(IF(MARÍTIMOS[[#This Row],[Transportista]]="","",MARÍTIMOS[[#This Row],[Transportista]]),"")</f>
        <v>LIP</v>
      </c>
      <c r="G341" s="2" t="str">
        <f>IFERROR(IF(MARÍTIMOS[[#This Row],[Tercero]]="","",MARÍTIMOS[[#This Row],[Tercero]]),"")</f>
        <v>SI</v>
      </c>
      <c r="H341" s="2" t="str">
        <f>IFERROR(IF(MARÍTIMOS[[#This Row],[Razón Social]]="","",MARÍTIMOS[[#This Row],[Razón Social]]),"")</f>
        <v>JB TRANS SERVICE PERU S.A.C.</v>
      </c>
      <c r="I341" s="2">
        <f>IFERROR(IF(MARÍTIMOS[[#This Row],[RUC]]="","",MARÍTIMOS[[#This Row],[RUC]]),"")</f>
        <v>20608437712</v>
      </c>
      <c r="J341" s="2" t="str">
        <f>IFERROR(IF(MARÍTIMOS[[#This Row],[Placa Tracto]]="","",MARÍTIMOS[[#This Row],[Placa Tracto]]),"")</f>
        <v>BHJ-906</v>
      </c>
      <c r="K341" s="2" t="str">
        <f>IFERROR(IF(MARÍTIMOS[[#This Row],[Placa Carreta]]="","",MARÍTIMOS[[#This Row],[Placa Carreta]]),"")</f>
        <v>AUN-977</v>
      </c>
      <c r="L341" s="44" t="str">
        <f>IFERROR(IF(MARÍTIMOS[[#This Row],[Conductor]]="","",MARÍTIMOS[[#This Row],[Conductor]]),"")</f>
        <v>DURAND CHIROQUE RICHARD</v>
      </c>
      <c r="M341" s="2" t="str">
        <f>IFERROR(IF(MARÍTIMOS[[#This Row],[Licencia]]="","",MARÍTIMOS[[#This Row],[Licencia]]),"")</f>
        <v>B40525769</v>
      </c>
      <c r="N341" s="2">
        <f>IFERROR(IF(MARÍTIMOS[[#This Row],[Número de Contacto]]="","",MARÍTIMOS[[#This Row],[Número de Contacto]]),"")</f>
        <v>902803963</v>
      </c>
      <c r="O341" s="10" t="str">
        <f>IFERROR(IF(MARÍTIMOS[[#This Row],[Booking|AWB|CRT]]="","",MARÍTIMOS[[#This Row],[Booking|AWB|CRT]]),"")</f>
        <v>PER9234383A</v>
      </c>
      <c r="P341" s="2" t="str">
        <f>IFERROR(IF(MARÍTIMOS[[#This Row],[Contenedor]]="","",MARÍTIMOS[[#This Row],[Contenedor]]),"")</f>
        <v>CAAU4166540</v>
      </c>
      <c r="Q341" s="2" t="str">
        <f>IFERROR(IF(MARÍTIMOS[[#This Row],[Puerto de Retiro]]="","",MARÍTIMOS[[#This Row],[Puerto de Retiro]]),"")</f>
        <v>PAITA</v>
      </c>
      <c r="R341" s="2" t="str">
        <f>IFERROR(IF(MARÍTIMOS[[#This Row],[Almacén de Retiro]]="","",MARÍTIMOS[[#This Row],[Almacén de Retiro]]),"")</f>
        <v>DPW</v>
      </c>
      <c r="S341" s="11">
        <f>IFERROR(IF(MARÍTIMOS[[#This Row],[Etapa Retiro - Cita]]="","",MARÍTIMOS[[#This Row],[Etapa Retiro - Cita]]),"")</f>
        <v>46284.458333333336</v>
      </c>
      <c r="T341" s="11">
        <f>IFERROR(IF(MARÍTIMOS[[#This Row],[Etapa Retiro - Llegada]]="","",MARÍTIMOS[[#This Row],[Etapa Retiro - Llegada]]),"")</f>
        <v>46284.441666666666</v>
      </c>
      <c r="U341" s="11">
        <f>IFERROR(IF(MARÍTIMOS[[#This Row],[Etapa Retiro - Ingreso]]="","",MARÍTIMOS[[#This Row],[Etapa Retiro - Ingreso]]),"")</f>
        <v>46284.5</v>
      </c>
      <c r="V341" s="11">
        <f>IFERROR(IF(MARÍTIMOS[[#This Row],[Etapa Retiro - Atención]]="","",MARÍTIMOS[[#This Row],[Etapa Retiro - Atención]]),"")</f>
        <v>46284.520833333336</v>
      </c>
      <c r="W341" s="11">
        <f>IFERROR(IF(MARÍTIMOS[[#This Row],[Etapa Retiro - Atención]]="","",MARÍTIMOS[[#This Row],[Etapa Retiro - Atención]]),"")</f>
        <v>46284.520833333336</v>
      </c>
      <c r="X341" s="11">
        <f>IFERROR(IF(MARÍTIMOS[[#This Row],[Etapa Retiro - Inicio de Ruta]]="","",MARÍTIMOS[[#This Row],[Etapa Retiro - Inicio de Ruta]]),"")</f>
        <v>46284.597222222219</v>
      </c>
      <c r="Y341" s="11">
        <f>IFERROR(IF(MARÍTIMOS[[#This Row],[Hora de Posicionamiento]]="","",MARÍTIMOS[[#This Row],[Fecha de Carga]]+MARÍTIMOS[[#This Row],[Hora de Posicionamiento]]),"")</f>
        <v>46285.625</v>
      </c>
      <c r="Z341" s="11">
        <f>IFERROR(IF(MARÍTIMOS[[#This Row],[Etapa Despacho - Llegada]]="","",MARÍTIMOS[[#This Row],[Etapa Despacho - Llegada]]),"")</f>
        <v>46285.459722222222</v>
      </c>
      <c r="AA341" s="11">
        <f>IFERROR(IF(MARÍTIMOS[[#This Row],[Etapa Despacho - Registro]]="","",MARÍTIMOS[[#This Row],[Etapa Despacho - Registro]]),"")</f>
        <v>46285.461805555555</v>
      </c>
      <c r="AB341" s="11">
        <f>IFERROR(IF(MARÍTIMOS[[#This Row],[Inspección Externa]]="","",MARÍTIMOS[[#This Row],[Inspección Externa]]),"")</f>
        <v>46285.46597222222</v>
      </c>
      <c r="AC341" s="11">
        <f>IFERROR(IF(MARÍTIMOS[[#This Row],[Etapa Despacho - Inicio de Carga]]="","",MARÍTIMOS[[#This Row],[Etapa Despacho - Inicio de Carga]]),"")</f>
        <v>46285.625</v>
      </c>
      <c r="AD341" s="11">
        <f>IFERROR(IF(MARÍTIMOS[[#This Row],[Etapa Despacho - Mitad de Carga]]="","",MARÍTIMOS[[#This Row],[Etapa Despacho - Mitad de Carga]]),"")</f>
        <v>46285.65625</v>
      </c>
      <c r="AE341" s="11">
        <f>IFERROR(IF(MARÍTIMOS[[#This Row],[Etapa Despacho - Fin de Carga]]="","",MARÍTIMOS[[#This Row],[Etapa Despacho - Fin de Carga]]),"")</f>
        <v>46285.680555555555</v>
      </c>
      <c r="AF341" s="2" t="str">
        <f>IFERROR(IF(MARÍTIMOS[[#This Row],[Puerto de Embarque]]="","",MARÍTIMOS[[#This Row],[Puerto de Embarque]]),"")</f>
        <v>Paita</v>
      </c>
      <c r="AG341" s="2" t="str">
        <f>IFERROR(IF(MARÍTIMOS[[#This Row],[Almacén de Ingreso]]="","",MARÍTIMOS[[#This Row],[Almacén de Ingreso]]),"")</f>
        <v>TPE</v>
      </c>
      <c r="AH341" s="11">
        <f>IFERROR(IF(MARÍTIMOS[[#This Row],[Etapa Ingreso - Cita]]="","",MARÍTIMOS[[#This Row],[Etapa Ingreso - Cita]]),"")</f>
        <v>46286.25</v>
      </c>
      <c r="AI341" s="11">
        <f>IFERROR(IF(MARÍTIMOS[[#This Row],[Etapa Ingreso - Llegada]]="","",MARÍTIMOS[[#This Row],[Etapa Ingreso - Llegada]]),"")</f>
        <v>46286.295138888891</v>
      </c>
      <c r="AJ341" s="11">
        <f>IFERROR(IF(MARÍTIMOS[[#This Row],[Etapa Ingreso - Ingeso]]="","",MARÍTIMOS[[#This Row],[Etapa Ingreso - Ingeso]]),"")</f>
        <v>46286.311111111114</v>
      </c>
      <c r="AK341" s="11">
        <f>IFERROR(IF(MARÍTIMOS[[#This Row],[Etapa Ingreso - Atención]]="","",MARÍTIMOS[[#This Row],[Etapa Ingreso - Atención]]),"")</f>
        <v>46286.315972222219</v>
      </c>
      <c r="AL341" s="11">
        <f>IFERROR(IF(MARÍTIMOS[[#This Row],[Etapa Ingreso - Salida]]="","",MARÍTIMOS[[#This Row],[Etapa Ingreso - Salida]]),"")</f>
        <v>46286.322916666664</v>
      </c>
      <c r="AM341" s="2">
        <f>IFERROR(IF(MARÍTIMOS[[#This Row],[FCL]]="","",MARÍTIMOS[[#This Row],[FCL]]),"")</f>
        <v>1</v>
      </c>
      <c r="AN3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41" s="4" t="str" cm="1">
        <f t="array" ref="AO3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41" s="5">
        <f>IFERROR(OLDBD[[#This Row],[Llegada a packing]]-OLDBD[[#This Row],[Inicio de Ruta]],"")</f>
        <v>0.86250000000291038</v>
      </c>
      <c r="AQ341" s="6">
        <f>IFERROR(OLDBD[[#This Row],[Inicio de Ruta]]-OLDBD[[#This Row],[Salida de almacén de retiro]],"")</f>
        <v>7.6388888883229811E-2</v>
      </c>
      <c r="AR3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41" s="8" t="str" cm="1">
        <f t="array" ref="AS3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41" s="9">
        <f>IFERROR(OLDBD[[#This Row],[Ingreso Packing]]-OLDBD[[#This Row],[Registro en Packing]],"")</f>
        <v>4.166666665696539E-3</v>
      </c>
      <c r="AV341" s="9">
        <f>IFERROR(OLDBD[[#This Row],[Ingreso Packing]]-OLDBD[[#This Row],[Llegada a packing]],"")</f>
        <v>6.2499999985448085E-3</v>
      </c>
      <c r="AW3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41" s="5">
        <f>IFERROR(OLDBD[[#This Row],[Llegada Almacén de Ingreso]]-OLDBD[[#This Row],[Salida Packing]],"")</f>
        <v>0.61458333333575865</v>
      </c>
      <c r="AY341" s="4" t="str" cm="1">
        <f t="array" ref="AY3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41" s="43" t="s">
        <v>173</v>
      </c>
      <c r="BB341" s="47" t="str">
        <f>IFERROR(IF(MARÍTIMOS[[#This Row],[Estatus]]="","",MARÍTIMOS[[#This Row],[Estatus]]),"")</f>
        <v>Confirmado</v>
      </c>
      <c r="BC341" s="43"/>
      <c r="BD341" s="46">
        <f>IFERROR(OLDBD[[#This Row],[Salida de almacén de retiro]]-OLDBD[[#This Row],[Ingreso Almacén de retiro]],"")</f>
        <v>2.0833333335758653E-2</v>
      </c>
      <c r="BE341" s="46">
        <f>IFERROR(OLDBD[[#This Row],[Fin de Carga]]-OLDBD[[#This Row],[Inicio de Carga]],"")</f>
        <v>3.125E-2</v>
      </c>
    </row>
    <row r="342" spans="1:57" customFormat="1">
      <c r="A342" s="1"/>
      <c r="B342" s="1">
        <f>IFERROR(IF(MARÍTIMOS[[#This Row],[PP]]="","",MARÍTIMOS[[#This Row],[PP]]),"")</f>
        <v>38</v>
      </c>
      <c r="C342" s="1" t="str">
        <f>IFERROR(IF(MARÍTIMOS[[#This Row],[Sede]]="","",MARÍTIMOS[[#This Row],[Sede]]),"")</f>
        <v>Chao</v>
      </c>
      <c r="D342" s="1" t="str">
        <f>IFERROR(IF(MARÍTIMOS[[#This Row],[Instruction]]="","",MARÍTIMOS[[#This Row],[Instruction]]),"")</f>
        <v>RH-0836</v>
      </c>
      <c r="E342" s="1"/>
      <c r="F342" s="2" t="str">
        <f>IFERROR(IF(MARÍTIMOS[[#This Row],[Transportista]]="","",MARÍTIMOS[[#This Row],[Transportista]]),"")</f>
        <v>LIP</v>
      </c>
      <c r="G342" s="2" t="str">
        <f>IFERROR(IF(MARÍTIMOS[[#This Row],[Tercero]]="","",MARÍTIMOS[[#This Row],[Tercero]]),"")</f>
        <v>SI</v>
      </c>
      <c r="H342" s="2" t="str">
        <f>IFERROR(IF(MARÍTIMOS[[#This Row],[Razón Social]]="","",MARÍTIMOS[[#This Row],[Razón Social]]),"")</f>
        <v>NEGOCIOS PESQUEROS AARON EIRL</v>
      </c>
      <c r="I342" s="2">
        <f>IFERROR(IF(MARÍTIMOS[[#This Row],[RUC]]="","",MARÍTIMOS[[#This Row],[RUC]]),"")</f>
        <v>20526125356</v>
      </c>
      <c r="J342" s="2" t="str">
        <f>IFERROR(IF(MARÍTIMOS[[#This Row],[Placa Tracto]]="","",MARÍTIMOS[[#This Row],[Placa Tracto]]),"")</f>
        <v>BCF-925</v>
      </c>
      <c r="K342" s="2" t="str">
        <f>IFERROR(IF(MARÍTIMOS[[#This Row],[Placa Carreta]]="","",MARÍTIMOS[[#This Row],[Placa Carreta]]),"")</f>
        <v>THM-977</v>
      </c>
      <c r="L342" s="44" t="str">
        <f>IFERROR(IF(MARÍTIMOS[[#This Row],[Conductor]]="","",MARÍTIMOS[[#This Row],[Conductor]]),"")</f>
        <v>PEÑA PATIÑO ESGARD</v>
      </c>
      <c r="M342" s="2" t="str">
        <f>IFERROR(IF(MARÍTIMOS[[#This Row],[Licencia]]="","",MARÍTIMOS[[#This Row],[Licencia]]),"")</f>
        <v>B46309013</v>
      </c>
      <c r="N342" s="2">
        <f>IFERROR(IF(MARÍTIMOS[[#This Row],[Número de Contacto]]="","",MARÍTIMOS[[#This Row],[Número de Contacto]]),"")</f>
        <v>973171716</v>
      </c>
      <c r="O342" s="10" t="str">
        <f>IFERROR(IF(MARÍTIMOS[[#This Row],[Booking|AWB|CRT]]="","",MARÍTIMOS[[#This Row],[Booking|AWB|CRT]]),"")</f>
        <v>PER9234396A</v>
      </c>
      <c r="P342" s="2" t="str">
        <f>IFERROR(IF(MARÍTIMOS[[#This Row],[Contenedor]]="","",MARÍTIMOS[[#This Row],[Contenedor]]),"")</f>
        <v>SEKU9381719</v>
      </c>
      <c r="Q342" s="2" t="str">
        <f>IFERROR(IF(MARÍTIMOS[[#This Row],[Puerto de Retiro]]="","",MARÍTIMOS[[#This Row],[Puerto de Retiro]]),"")</f>
        <v>PAITA</v>
      </c>
      <c r="R342" s="2" t="str">
        <f>IFERROR(IF(MARÍTIMOS[[#This Row],[Almacén de Retiro]]="","",MARÍTIMOS[[#This Row],[Almacén de Retiro]]),"")</f>
        <v>DPW</v>
      </c>
      <c r="S342" s="11">
        <f>IFERROR(IF(MARÍTIMOS[[#This Row],[Etapa Retiro - Cita]]="","",MARÍTIMOS[[#This Row],[Etapa Retiro - Cita]]),"")</f>
        <v>46284.416666666664</v>
      </c>
      <c r="T342" s="11">
        <f>IFERROR(IF(MARÍTIMOS[[#This Row],[Etapa Retiro - Llegada]]="","",MARÍTIMOS[[#This Row],[Etapa Retiro - Llegada]]),"")</f>
        <v>46284.427083333336</v>
      </c>
      <c r="U342" s="11">
        <f>IFERROR(IF(MARÍTIMOS[[#This Row],[Etapa Retiro - Ingreso]]="","",MARÍTIMOS[[#This Row],[Etapa Retiro - Ingreso]]),"")</f>
        <v>46284.442361111112</v>
      </c>
      <c r="V342" s="11">
        <f>IFERROR(IF(MARÍTIMOS[[#This Row],[Etapa Retiro - Atención]]="","",MARÍTIMOS[[#This Row],[Etapa Retiro - Atención]]),"")</f>
        <v>46284.449305555558</v>
      </c>
      <c r="W342" s="11">
        <f>IFERROR(IF(MARÍTIMOS[[#This Row],[Etapa Retiro - Atención]]="","",MARÍTIMOS[[#This Row],[Etapa Retiro - Atención]]),"")</f>
        <v>46284.449305555558</v>
      </c>
      <c r="X342" s="11">
        <f>IFERROR(IF(MARÍTIMOS[[#This Row],[Etapa Retiro - Inicio de Ruta]]="","",MARÍTIMOS[[#This Row],[Etapa Retiro - Inicio de Ruta]]),"")</f>
        <v>46284.545138888891</v>
      </c>
      <c r="Y342" s="11">
        <f>IFERROR(IF(MARÍTIMOS[[#This Row],[Hora de Posicionamiento]]="","",MARÍTIMOS[[#This Row],[Fecha de Carga]]+MARÍTIMOS[[#This Row],[Hora de Posicionamiento]]),"")</f>
        <v>46285.625</v>
      </c>
      <c r="Z342" s="11">
        <f>IFERROR(IF(MARÍTIMOS[[#This Row],[Etapa Despacho - Llegada]]="","",MARÍTIMOS[[#This Row],[Etapa Despacho - Llegada]]),"")</f>
        <v>46285.425000000003</v>
      </c>
      <c r="AA342" s="11">
        <f>IFERROR(IF(MARÍTIMOS[[#This Row],[Etapa Despacho - Registro]]="","",MARÍTIMOS[[#This Row],[Etapa Despacho - Registro]]),"")</f>
        <v>46285.425694444442</v>
      </c>
      <c r="AB342" s="11">
        <f>IFERROR(IF(MARÍTIMOS[[#This Row],[Inspección Externa]]="","",MARÍTIMOS[[#This Row],[Inspección Externa]]),"")</f>
        <v>46285.587500000001</v>
      </c>
      <c r="AC342" s="11">
        <f>IFERROR(IF(MARÍTIMOS[[#This Row],[Etapa Despacho - Inicio de Carga]]="","",MARÍTIMOS[[#This Row],[Etapa Despacho - Inicio de Carga]]),"")</f>
        <v>46285.770833333336</v>
      </c>
      <c r="AD342" s="11">
        <f>IFERROR(IF(MARÍTIMOS[[#This Row],[Etapa Despacho - Mitad de Carga]]="","",MARÍTIMOS[[#This Row],[Etapa Despacho - Mitad de Carga]]),"")</f>
        <v>46285.811111111114</v>
      </c>
      <c r="AE342" s="11">
        <f>IFERROR(IF(MARÍTIMOS[[#This Row],[Etapa Despacho - Fin de Carga]]="","",MARÍTIMOS[[#This Row],[Etapa Despacho - Fin de Carga]]),"")</f>
        <v>46285.835416666669</v>
      </c>
      <c r="AF342" s="2" t="str">
        <f>IFERROR(IF(MARÍTIMOS[[#This Row],[Puerto de Embarque]]="","",MARÍTIMOS[[#This Row],[Puerto de Embarque]]),"")</f>
        <v>Paita</v>
      </c>
      <c r="AG342" s="2" t="str">
        <f>IFERROR(IF(MARÍTIMOS[[#This Row],[Almacén de Ingreso]]="","",MARÍTIMOS[[#This Row],[Almacén de Ingreso]]),"")</f>
        <v>TPE</v>
      </c>
      <c r="AH342" s="11">
        <f>IFERROR(IF(MARÍTIMOS[[#This Row],[Etapa Ingreso - Cita]]="","",MARÍTIMOS[[#This Row],[Etapa Ingreso - Cita]]),"")</f>
        <v>46286.541666666664</v>
      </c>
      <c r="AI342" s="11">
        <f>IFERROR(IF(MARÍTIMOS[[#This Row],[Etapa Ingreso - Llegada]]="","",MARÍTIMOS[[#This Row],[Etapa Ingreso - Llegada]]),"")</f>
        <v>46286.53402777778</v>
      </c>
      <c r="AJ342" s="11">
        <f>IFERROR(IF(MARÍTIMOS[[#This Row],[Etapa Ingreso - Ingeso]]="","",MARÍTIMOS[[#This Row],[Etapa Ingreso - Ingeso]]),"")</f>
        <v>46286.578472222223</v>
      </c>
      <c r="AK342" s="11">
        <f>IFERROR(IF(MARÍTIMOS[[#This Row],[Etapa Ingreso - Atención]]="","",MARÍTIMOS[[#This Row],[Etapa Ingreso - Atención]]),"")</f>
        <v>46286.582638888889</v>
      </c>
      <c r="AL342" s="11">
        <f>IFERROR(IF(MARÍTIMOS[[#This Row],[Etapa Ingreso - Salida]]="","",MARÍTIMOS[[#This Row],[Etapa Ingreso - Salida]]),"")</f>
        <v>46286.6</v>
      </c>
      <c r="AM342" s="2">
        <f>IFERROR(IF(MARÍTIMOS[[#This Row],[FCL]]="","",MARÍTIMOS[[#This Row],[FCL]]),"")</f>
        <v>1</v>
      </c>
      <c r="AN3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42" s="4" t="str" cm="1">
        <f t="array" ref="AO3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42" s="5">
        <f>IFERROR(OLDBD[[#This Row],[Llegada a packing]]-OLDBD[[#This Row],[Inicio de Ruta]],"")</f>
        <v>0.87986111111240461</v>
      </c>
      <c r="AQ342" s="6">
        <f>IFERROR(OLDBD[[#This Row],[Inicio de Ruta]]-OLDBD[[#This Row],[Salida de almacén de retiro]],"")</f>
        <v>9.5833333332848269E-2</v>
      </c>
      <c r="AR3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42" s="8" t="str" cm="1">
        <f t="array" ref="AS3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42" s="9">
        <f>IFERROR(OLDBD[[#This Row],[Ingreso Packing]]-OLDBD[[#This Row],[Registro en Packing]],"")</f>
        <v>0.16180555555911269</v>
      </c>
      <c r="AV342" s="9">
        <f>IFERROR(OLDBD[[#This Row],[Ingreso Packing]]-OLDBD[[#This Row],[Llegada a packing]],"")</f>
        <v>0.16249999999854481</v>
      </c>
      <c r="AW3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42" s="5">
        <f>IFERROR(OLDBD[[#This Row],[Llegada Almacén de Ingreso]]-OLDBD[[#This Row],[Salida Packing]],"")</f>
        <v>0.69861111111094942</v>
      </c>
      <c r="AY342" s="4" t="str" cm="1">
        <f t="array" ref="AY3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42" s="43" t="s">
        <v>173</v>
      </c>
      <c r="BB342" s="47" t="str">
        <f>IFERROR(IF(MARÍTIMOS[[#This Row],[Estatus]]="","",MARÍTIMOS[[#This Row],[Estatus]]),"")</f>
        <v>Confirmado</v>
      </c>
      <c r="BC342" s="43"/>
      <c r="BD342" s="46">
        <f>IFERROR(OLDBD[[#This Row],[Salida de almacén de retiro]]-OLDBD[[#This Row],[Ingreso Almacén de retiro]],"")</f>
        <v>6.9444444452528842E-3</v>
      </c>
      <c r="BE342" s="46">
        <f>IFERROR(OLDBD[[#This Row],[Fin de Carga]]-OLDBD[[#This Row],[Inicio de Carga]],"")</f>
        <v>4.0277777778101154E-2</v>
      </c>
    </row>
    <row r="343" spans="1:57" customFormat="1">
      <c r="A343" s="1"/>
      <c r="B343" s="1">
        <f>IFERROR(IF(MARÍTIMOS[[#This Row],[PP]]="","",MARÍTIMOS[[#This Row],[PP]]),"")</f>
        <v>38</v>
      </c>
      <c r="C343" s="1" t="str">
        <f>IFERROR(IF(MARÍTIMOS[[#This Row],[Sede]]="","",MARÍTIMOS[[#This Row],[Sede]]),"")</f>
        <v>Chao</v>
      </c>
      <c r="D343" s="1" t="str">
        <f>IFERROR(IF(MARÍTIMOS[[#This Row],[Instruction]]="","",MARÍTIMOS[[#This Row],[Instruction]]),"")</f>
        <v>RH-0820</v>
      </c>
      <c r="E343" s="1"/>
      <c r="F343" s="2" t="str">
        <f>IFERROR(IF(MARÍTIMOS[[#This Row],[Transportista]]="","",MARÍTIMOS[[#This Row],[Transportista]]),"")</f>
        <v>LIP</v>
      </c>
      <c r="G343" s="2" t="str">
        <f>IFERROR(IF(MARÍTIMOS[[#This Row],[Tercero]]="","",MARÍTIMOS[[#This Row],[Tercero]]),"")</f>
        <v>SI</v>
      </c>
      <c r="H343" s="2" t="str">
        <f>IFERROR(IF(MARÍTIMOS[[#This Row],[Razón Social]]="","",MARÍTIMOS[[#This Row],[Razón Social]]),"")</f>
        <v>J.J. PACIFICO INVERSIONES E.I.R.L.</v>
      </c>
      <c r="I343" s="2">
        <f>IFERROR(IF(MARÍTIMOS[[#This Row],[RUC]]="","",MARÍTIMOS[[#This Row],[RUC]]),"")</f>
        <v>20608822098</v>
      </c>
      <c r="J343" s="2" t="str">
        <f>IFERROR(IF(MARÍTIMOS[[#This Row],[Placa Tracto]]="","",MARÍTIMOS[[#This Row],[Placa Tracto]]),"")</f>
        <v>TFN-825</v>
      </c>
      <c r="K343" s="2" t="str">
        <f>IFERROR(IF(MARÍTIMOS[[#This Row],[Placa Carreta]]="","",MARÍTIMOS[[#This Row],[Placa Carreta]]),"")</f>
        <v>TPC-985</v>
      </c>
      <c r="L343" s="44" t="str">
        <f>IFERROR(IF(MARÍTIMOS[[#This Row],[Conductor]]="","",MARÍTIMOS[[#This Row],[Conductor]]),"")</f>
        <v>HIDALGO ALBURQUEQUE MARLON DANIEL</v>
      </c>
      <c r="M343" s="2" t="str">
        <f>IFERROR(IF(MARÍTIMOS[[#This Row],[Licencia]]="","",MARÍTIMOS[[#This Row],[Licencia]]),"")</f>
        <v>B47740192</v>
      </c>
      <c r="N343" s="2">
        <f>IFERROR(IF(MARÍTIMOS[[#This Row],[Número de Contacto]]="","",MARÍTIMOS[[#This Row],[Número de Contacto]]),"")</f>
        <v>927328919</v>
      </c>
      <c r="O343" s="10" t="str">
        <f>IFERROR(IF(MARÍTIMOS[[#This Row],[Booking|AWB|CRT]]="","",MARÍTIMOS[[#This Row],[Booking|AWB|CRT]]),"")</f>
        <v>PER9234384A</v>
      </c>
      <c r="P343" s="2" t="str">
        <f>IFERROR(IF(MARÍTIMOS[[#This Row],[Contenedor]]="","",MARÍTIMOS[[#This Row],[Contenedor]]),"")</f>
        <v>CAAU4161614</v>
      </c>
      <c r="Q343" s="2" t="str">
        <f>IFERROR(IF(MARÍTIMOS[[#This Row],[Puerto de Retiro]]="","",MARÍTIMOS[[#This Row],[Puerto de Retiro]]),"")</f>
        <v>PAITA</v>
      </c>
      <c r="R343" s="2" t="str">
        <f>IFERROR(IF(MARÍTIMOS[[#This Row],[Almacén de Retiro]]="","",MARÍTIMOS[[#This Row],[Almacén de Retiro]]),"")</f>
        <v>DPW</v>
      </c>
      <c r="S343" s="11">
        <f>IFERROR(IF(MARÍTIMOS[[#This Row],[Etapa Retiro - Cita]]="","",MARÍTIMOS[[#This Row],[Etapa Retiro - Cita]]),"")</f>
        <v>46285.458333333336</v>
      </c>
      <c r="T343" s="11">
        <f>IFERROR(IF(MARÍTIMOS[[#This Row],[Etapa Retiro - Llegada]]="","",MARÍTIMOS[[#This Row],[Etapa Retiro - Llegada]]),"")</f>
        <v>46285.463888888888</v>
      </c>
      <c r="U343" s="11">
        <f>IFERROR(IF(MARÍTIMOS[[#This Row],[Etapa Retiro - Ingreso]]="","",MARÍTIMOS[[#This Row],[Etapa Retiro - Ingreso]]),"")</f>
        <v>46285.470138888886</v>
      </c>
      <c r="V343" s="11">
        <f>IFERROR(IF(MARÍTIMOS[[#This Row],[Etapa Retiro - Atención]]="","",MARÍTIMOS[[#This Row],[Etapa Retiro - Atención]]),"")</f>
        <v>46285.470833333333</v>
      </c>
      <c r="W343" s="11">
        <f>IFERROR(IF(MARÍTIMOS[[#This Row],[Etapa Retiro - Atención]]="","",MARÍTIMOS[[#This Row],[Etapa Retiro - Atención]]),"")</f>
        <v>46285.470833333333</v>
      </c>
      <c r="X343" s="11">
        <f>IFERROR(IF(MARÍTIMOS[[#This Row],[Etapa Retiro - Inicio de Ruta]]="","",MARÍTIMOS[[#This Row],[Etapa Retiro - Inicio de Ruta]]),"")</f>
        <v>46285.5625</v>
      </c>
      <c r="Y343" s="11">
        <f>IFERROR(IF(MARÍTIMOS[[#This Row],[Hora de Posicionamiento]]="","",MARÍTIMOS[[#This Row],[Fecha de Carga]]+MARÍTIMOS[[#This Row],[Hora de Posicionamiento]]),"")</f>
        <v>46286.75</v>
      </c>
      <c r="Z343" s="11">
        <f>IFERROR(IF(MARÍTIMOS[[#This Row],[Etapa Despacho - Llegada]]="","",MARÍTIMOS[[#This Row],[Etapa Despacho - Llegada]]),"")</f>
        <v>46286.401388888888</v>
      </c>
      <c r="AA343" s="11">
        <f>IFERROR(IF(MARÍTIMOS[[#This Row],[Etapa Despacho - Registro]]="","",MARÍTIMOS[[#This Row],[Etapa Despacho - Registro]]),"")</f>
        <v>46286.401388888888</v>
      </c>
      <c r="AB343" s="11">
        <f>IFERROR(IF(MARÍTIMOS[[#This Row],[Inspección Externa]]="","",MARÍTIMOS[[#This Row],[Inspección Externa]]),"")</f>
        <v>46286.615972222222</v>
      </c>
      <c r="AC343" s="11">
        <f>IFERROR(IF(MARÍTIMOS[[#This Row],[Etapa Despacho - Inicio de Carga]]="","",MARÍTIMOS[[#This Row],[Etapa Despacho - Inicio de Carga]]),"")</f>
        <v>46286.709027777775</v>
      </c>
      <c r="AD343" s="11">
        <f>IFERROR(IF(MARÍTIMOS[[#This Row],[Etapa Despacho - Mitad de Carga]]="","",MARÍTIMOS[[#This Row],[Etapa Despacho - Mitad de Carga]]),"")</f>
        <v>46286.719444444447</v>
      </c>
      <c r="AE343" s="11">
        <f>IFERROR(IF(MARÍTIMOS[[#This Row],[Etapa Despacho - Fin de Carga]]="","",MARÍTIMOS[[#This Row],[Etapa Despacho - Fin de Carga]]),"")</f>
        <v>46286.73541666667</v>
      </c>
      <c r="AF343" s="2" t="str">
        <f>IFERROR(IF(MARÍTIMOS[[#This Row],[Puerto de Embarque]]="","",MARÍTIMOS[[#This Row],[Puerto de Embarque]]),"")</f>
        <v>Paita</v>
      </c>
      <c r="AG343" s="2" t="str">
        <f>IFERROR(IF(MARÍTIMOS[[#This Row],[Almacén de Ingreso]]="","",MARÍTIMOS[[#This Row],[Almacén de Ingreso]]),"")</f>
        <v>TPE</v>
      </c>
      <c r="AH343" s="11">
        <f>IFERROR(IF(MARÍTIMOS[[#This Row],[Etapa Ingreso - Cita]]="","",MARÍTIMOS[[#This Row],[Etapa Ingreso - Cita]]),"")</f>
        <v>46287.416666666664</v>
      </c>
      <c r="AI343" s="11">
        <f>IFERROR(IF(MARÍTIMOS[[#This Row],[Etapa Ingreso - Llegada]]="","",MARÍTIMOS[[#This Row],[Etapa Ingreso - Llegada]]),"")</f>
        <v>46287.402083333334</v>
      </c>
      <c r="AJ343" s="11">
        <f>IFERROR(IF(MARÍTIMOS[[#This Row],[Etapa Ingreso - Ingeso]]="","",MARÍTIMOS[[#This Row],[Etapa Ingreso - Ingeso]]),"")</f>
        <v>46287.42291666667</v>
      </c>
      <c r="AK343" s="11">
        <f>IFERROR(IF(MARÍTIMOS[[#This Row],[Etapa Ingreso - Atención]]="","",MARÍTIMOS[[#This Row],[Etapa Ingreso - Atención]]),"")</f>
        <v>46287.425694444442</v>
      </c>
      <c r="AL343" s="11">
        <f>IFERROR(IF(MARÍTIMOS[[#This Row],[Etapa Ingreso - Salida]]="","",MARÍTIMOS[[#This Row],[Etapa Ingreso - Salida]]),"")</f>
        <v>46287.429166666669</v>
      </c>
      <c r="AM343" s="2">
        <f>IFERROR(IF(MARÍTIMOS[[#This Row],[FCL]]="","",MARÍTIMOS[[#This Row],[FCL]]),"")</f>
        <v>1</v>
      </c>
      <c r="AN3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43" s="4" t="str" cm="1">
        <f t="array" ref="AO3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43" s="5">
        <f>IFERROR(OLDBD[[#This Row],[Llegada a packing]]-OLDBD[[#This Row],[Inicio de Ruta]],"")</f>
        <v>0.83888888888759539</v>
      </c>
      <c r="AQ343" s="6">
        <f>IFERROR(OLDBD[[#This Row],[Inicio de Ruta]]-OLDBD[[#This Row],[Salida de almacén de retiro]],"")</f>
        <v>9.1666666667151731E-2</v>
      </c>
      <c r="AR3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43" s="8" t="str" cm="1">
        <f t="array" ref="AS3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43" s="9">
        <f>IFERROR(OLDBD[[#This Row],[Ingreso Packing]]-OLDBD[[#This Row],[Registro en Packing]],"")</f>
        <v>0.21458333333430346</v>
      </c>
      <c r="AV343" s="9">
        <f>IFERROR(OLDBD[[#This Row],[Ingreso Packing]]-OLDBD[[#This Row],[Llegada a packing]],"")</f>
        <v>0.21458333333430346</v>
      </c>
      <c r="AW3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43" s="5">
        <f>IFERROR(OLDBD[[#This Row],[Llegada Almacén de Ingreso]]-OLDBD[[#This Row],[Salida Packing]],"")</f>
        <v>0.66666666666424135</v>
      </c>
      <c r="AY343" s="4" t="str" cm="1">
        <f t="array" ref="AY3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43" s="43" t="s">
        <v>173</v>
      </c>
      <c r="BB343" s="47" t="str">
        <f>IFERROR(IF(MARÍTIMOS[[#This Row],[Estatus]]="","",MARÍTIMOS[[#This Row],[Estatus]]),"")</f>
        <v>Confirmado</v>
      </c>
      <c r="BC343" s="43"/>
      <c r="BD343" s="46">
        <f>IFERROR(OLDBD[[#This Row],[Salida de almacén de retiro]]-OLDBD[[#This Row],[Ingreso Almacén de retiro]],"")</f>
        <v>6.944444467080757E-4</v>
      </c>
      <c r="BE343" s="46">
        <f>IFERROR(OLDBD[[#This Row],[Fin de Carga]]-OLDBD[[#This Row],[Inicio de Carga]],"")</f>
        <v>1.0416666671517305E-2</v>
      </c>
    </row>
    <row r="344" spans="1:57" customFormat="1" hidden="1">
      <c r="A344" s="1"/>
      <c r="B344" s="1">
        <f>IFERROR(IF(MARÍTIMOS[[#This Row],[PP]]="","",MARÍTIMOS[[#This Row],[PP]]),"")</f>
        <v>39</v>
      </c>
      <c r="C344" s="1" t="str">
        <f>IFERROR(IF(MARÍTIMOS[[#This Row],[Sede]]="","",MARÍTIMOS[[#This Row],[Sede]]),"")</f>
        <v/>
      </c>
      <c r="D344" s="1" t="str">
        <f>IFERROR(IF(MARÍTIMOS[[#This Row],[Instruction]]="","",MARÍTIMOS[[#This Row],[Instruction]]),"")</f>
        <v>RH-0843</v>
      </c>
      <c r="E344" s="1"/>
      <c r="F344" s="2" t="str">
        <f>IFERROR(IF(MARÍTIMOS[[#This Row],[Transportista]]="","",MARÍTIMOS[[#This Row],[Transportista]]),"")</f>
        <v/>
      </c>
      <c r="G344" s="2" t="str">
        <f>IFERROR(IF(MARÍTIMOS[[#This Row],[Tercero]]="","",MARÍTIMOS[[#This Row],[Tercero]]),"")</f>
        <v/>
      </c>
      <c r="H344" s="2" t="str">
        <f>IFERROR(IF(MARÍTIMOS[[#This Row],[Razón Social]]="","",MARÍTIMOS[[#This Row],[Razón Social]]),"")</f>
        <v/>
      </c>
      <c r="I344" s="2" t="str">
        <f>IFERROR(IF(MARÍTIMOS[[#This Row],[RUC]]="","",MARÍTIMOS[[#This Row],[RUC]]),"")</f>
        <v/>
      </c>
      <c r="J344" s="2" t="str">
        <f>IFERROR(IF(MARÍTIMOS[[#This Row],[Placa Tracto]]="","",MARÍTIMOS[[#This Row],[Placa Tracto]]),"")</f>
        <v/>
      </c>
      <c r="K344" s="2" t="str">
        <f>IFERROR(IF(MARÍTIMOS[[#This Row],[Placa Carreta]]="","",MARÍTIMOS[[#This Row],[Placa Carreta]]),"")</f>
        <v/>
      </c>
      <c r="L344" s="44" t="str">
        <f>IFERROR(IF(MARÍTIMOS[[#This Row],[Conductor]]="","",MARÍTIMOS[[#This Row],[Conductor]]),"")</f>
        <v/>
      </c>
      <c r="M344" s="2" t="str">
        <f>IFERROR(IF(MARÍTIMOS[[#This Row],[Licencia]]="","",MARÍTIMOS[[#This Row],[Licencia]]),"")</f>
        <v/>
      </c>
      <c r="N344" s="2" t="str">
        <f>IFERROR(IF(MARÍTIMOS[[#This Row],[Número de Contacto]]="","",MARÍTIMOS[[#This Row],[Número de Contacto]]),"")</f>
        <v/>
      </c>
      <c r="O344" s="10" t="str">
        <f>IFERROR(IF(MARÍTIMOS[[#This Row],[Booking|AWB|CRT]]="","",MARÍTIMOS[[#This Row],[Booking|AWB|CRT]]),"")</f>
        <v>MBM250068064</v>
      </c>
      <c r="P344" s="2" t="str">
        <f>IFERROR(IF(MARÍTIMOS[[#This Row],[Contenedor]]="","",MARÍTIMOS[[#This Row],[Contenedor]]),"")</f>
        <v/>
      </c>
      <c r="Q344" s="2" t="str">
        <f>IFERROR(IF(MARÍTIMOS[[#This Row],[Puerto de Retiro]]="","",MARÍTIMOS[[#This Row],[Puerto de Retiro]]),"")</f>
        <v/>
      </c>
      <c r="R344" s="2" t="str">
        <f>IFERROR(IF(MARÍTIMOS[[#This Row],[Almacén de Retiro]]="","",MARÍTIMOS[[#This Row],[Almacén de Retiro]]),"")</f>
        <v/>
      </c>
      <c r="S344" s="11" t="str">
        <f>IFERROR(IF(MARÍTIMOS[[#This Row],[Etapa Retiro - Cita]]="","",MARÍTIMOS[[#This Row],[Etapa Retiro - Cita]]),"")</f>
        <v/>
      </c>
      <c r="T344" s="11" t="str">
        <f>IFERROR(IF(MARÍTIMOS[[#This Row],[Etapa Retiro - Llegada]]="","",MARÍTIMOS[[#This Row],[Etapa Retiro - Llegada]]),"")</f>
        <v/>
      </c>
      <c r="U344" s="11" t="str">
        <f>IFERROR(IF(MARÍTIMOS[[#This Row],[Etapa Retiro - Ingreso]]="","",MARÍTIMOS[[#This Row],[Etapa Retiro - Ingreso]]),"")</f>
        <v/>
      </c>
      <c r="V344" s="11" t="str">
        <f>IFERROR(IF(MARÍTIMOS[[#This Row],[Etapa Retiro - Atención]]="","",MARÍTIMOS[[#This Row],[Etapa Retiro - Atención]]),"")</f>
        <v/>
      </c>
      <c r="W344" s="11" t="str">
        <f>IFERROR(IF(MARÍTIMOS[[#This Row],[Etapa Retiro - Atención]]="","",MARÍTIMOS[[#This Row],[Etapa Retiro - Atención]]),"")</f>
        <v/>
      </c>
      <c r="X344" s="11" t="str">
        <f>IFERROR(IF(MARÍTIMOS[[#This Row],[Etapa Retiro - Inicio de Ruta]]="","",MARÍTIMOS[[#This Row],[Etapa Retiro - Inicio de Ruta]]),"")</f>
        <v/>
      </c>
      <c r="Y344" s="11" t="str">
        <f>IFERROR(IF(MARÍTIMOS[[#This Row],[Hora de Posicionamiento]]="","",MARÍTIMOS[[#This Row],[Fecha de Carga]]+MARÍTIMOS[[#This Row],[Hora de Posicionamiento]]),"")</f>
        <v/>
      </c>
      <c r="Z344" s="11" t="str">
        <f>IFERROR(IF(MARÍTIMOS[[#This Row],[Etapa Despacho - Llegada]]="","",MARÍTIMOS[[#This Row],[Etapa Despacho - Llegada]]),"")</f>
        <v/>
      </c>
      <c r="AA344" s="11" t="str">
        <f>IFERROR(IF(MARÍTIMOS[[#This Row],[Etapa Despacho - Registro]]="","",MARÍTIMOS[[#This Row],[Etapa Despacho - Registro]]),"")</f>
        <v/>
      </c>
      <c r="AB344" s="11" t="str">
        <f>IFERROR(IF(MARÍTIMOS[[#This Row],[Inspección Externa]]="","",MARÍTIMOS[[#This Row],[Inspección Externa]]),"")</f>
        <v/>
      </c>
      <c r="AC344" s="11" t="str">
        <f>IFERROR(IF(MARÍTIMOS[[#This Row],[Etapa Despacho - Inicio de Carga]]="","",MARÍTIMOS[[#This Row],[Etapa Despacho - Inicio de Carga]]),"")</f>
        <v/>
      </c>
      <c r="AD344" s="11" t="str">
        <f>IFERROR(IF(MARÍTIMOS[[#This Row],[Etapa Despacho - Mitad de Carga]]="","",MARÍTIMOS[[#This Row],[Etapa Despacho - Mitad de Carga]]),"")</f>
        <v/>
      </c>
      <c r="AE344" s="11" t="str">
        <f>IFERROR(IF(MARÍTIMOS[[#This Row],[Etapa Despacho - Fin de Carga]]="","",MARÍTIMOS[[#This Row],[Etapa Despacho - Fin de Carga]]),"")</f>
        <v/>
      </c>
      <c r="AF344" s="2" t="str">
        <f>IFERROR(IF(MARÍTIMOS[[#This Row],[Puerto de Embarque]]="","",MARÍTIMOS[[#This Row],[Puerto de Embarque]]),"")</f>
        <v/>
      </c>
      <c r="AG344" s="2" t="str">
        <f>IFERROR(IF(MARÍTIMOS[[#This Row],[Almacén de Ingreso]]="","",MARÍTIMOS[[#This Row],[Almacén de Ingreso]]),"")</f>
        <v/>
      </c>
      <c r="AH344" s="11" t="str">
        <f>IFERROR(IF(MARÍTIMOS[[#This Row],[Etapa Ingreso - Cita]]="","",MARÍTIMOS[[#This Row],[Etapa Ingreso - Cita]]),"")</f>
        <v/>
      </c>
      <c r="AI344" s="11" t="str">
        <f>IFERROR(IF(MARÍTIMOS[[#This Row],[Etapa Ingreso - Llegada]]="","",MARÍTIMOS[[#This Row],[Etapa Ingreso - Llegada]]),"")</f>
        <v/>
      </c>
      <c r="AJ344" s="11" t="str">
        <f>IFERROR(IF(MARÍTIMOS[[#This Row],[Etapa Ingreso - Ingeso]]="","",MARÍTIMOS[[#This Row],[Etapa Ingreso - Ingeso]]),"")</f>
        <v/>
      </c>
      <c r="AK344" s="11" t="str">
        <f>IFERROR(IF(MARÍTIMOS[[#This Row],[Etapa Ingreso - Atención]]="","",MARÍTIMOS[[#This Row],[Etapa Ingreso - Atención]]),"")</f>
        <v/>
      </c>
      <c r="AL344" s="11" t="str">
        <f>IFERROR(IF(MARÍTIMOS[[#This Row],[Etapa Ingreso - Salida]]="","",MARÍTIMOS[[#This Row],[Etapa Ingreso - Salida]]),"")</f>
        <v/>
      </c>
      <c r="AM344" s="2" t="str">
        <f>IFERROR(IF(MARÍTIMOS[[#This Row],[FCL]]="","",MARÍTIMOS[[#This Row],[FCL]]),"")</f>
        <v/>
      </c>
      <c r="AN3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344" s="4" t="str" cm="1">
        <f t="array" ref="AO3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344" s="5" t="str">
        <f>IFERROR(OLDBD[[#This Row],[Llegada a packing]]-OLDBD[[#This Row],[Inicio de Ruta]],"")</f>
        <v/>
      </c>
      <c r="AQ344" s="6" t="str">
        <f>IFERROR(OLDBD[[#This Row],[Inicio de Ruta]]-OLDBD[[#This Row],[Salida de almacén de retiro]],"")</f>
        <v/>
      </c>
      <c r="AR3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44" s="8" t="str" cm="1">
        <f t="array" ref="AS3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44" s="9" t="str">
        <f>IFERROR(OLDBD[[#This Row],[Ingreso Packing]]-OLDBD[[#This Row],[Registro en Packing]],"")</f>
        <v/>
      </c>
      <c r="AV344" s="9" t="str">
        <f>IFERROR(OLDBD[[#This Row],[Ingreso Packing]]-OLDBD[[#This Row],[Llegada a packing]],"")</f>
        <v/>
      </c>
      <c r="AW3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44" s="5" t="str">
        <f>IFERROR(OLDBD[[#This Row],[Llegada Almacén de Ingreso]]-OLDBD[[#This Row],[Salida Packing]],"")</f>
        <v/>
      </c>
      <c r="AY344" s="4" t="str" cm="1">
        <f t="array" ref="AY3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3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44" s="43" t="s">
        <v>173</v>
      </c>
      <c r="BB344" s="47" t="str">
        <f>IFERROR(IF(MARÍTIMOS[[#This Row],[Estatus]]="","",MARÍTIMOS[[#This Row],[Estatus]]),"")</f>
        <v/>
      </c>
      <c r="BC344" s="43"/>
      <c r="BD344" s="46" t="str">
        <f>IFERROR(OLDBD[[#This Row],[Salida de almacén de retiro]]-OLDBD[[#This Row],[Ingreso Almacén de retiro]],"")</f>
        <v/>
      </c>
      <c r="BE344" s="46" t="str">
        <f>IFERROR(OLDBD[[#This Row],[Fin de Carga]]-OLDBD[[#This Row],[Inicio de Carga]],"")</f>
        <v/>
      </c>
    </row>
    <row r="345" spans="1:57" customFormat="1" hidden="1">
      <c r="A345" s="1"/>
      <c r="B345" s="1">
        <f>IFERROR(IF(MARÍTIMOS[[#This Row],[PP]]="","",MARÍTIMOS[[#This Row],[PP]]),"")</f>
        <v>39</v>
      </c>
      <c r="C345" s="1" t="str">
        <f>IFERROR(IF(MARÍTIMOS[[#This Row],[Sede]]="","",MARÍTIMOS[[#This Row],[Sede]]),"")</f>
        <v/>
      </c>
      <c r="D345" s="1" t="str">
        <f>IFERROR(IF(MARÍTIMOS[[#This Row],[Instruction]]="","",MARÍTIMOS[[#This Row],[Instruction]]),"")</f>
        <v>RH-0843</v>
      </c>
      <c r="E345" s="1"/>
      <c r="F345" s="2" t="str">
        <f>IFERROR(IF(MARÍTIMOS[[#This Row],[Transportista]]="","",MARÍTIMOS[[#This Row],[Transportista]]),"")</f>
        <v/>
      </c>
      <c r="G345" s="2" t="str">
        <f>IFERROR(IF(MARÍTIMOS[[#This Row],[Tercero]]="","",MARÍTIMOS[[#This Row],[Tercero]]),"")</f>
        <v/>
      </c>
      <c r="H345" s="2" t="str">
        <f>IFERROR(IF(MARÍTIMOS[[#This Row],[Razón Social]]="","",MARÍTIMOS[[#This Row],[Razón Social]]),"")</f>
        <v/>
      </c>
      <c r="I345" s="2" t="str">
        <f>IFERROR(IF(MARÍTIMOS[[#This Row],[RUC]]="","",MARÍTIMOS[[#This Row],[RUC]]),"")</f>
        <v/>
      </c>
      <c r="J345" s="2" t="str">
        <f>IFERROR(IF(MARÍTIMOS[[#This Row],[Placa Tracto]]="","",MARÍTIMOS[[#This Row],[Placa Tracto]]),"")</f>
        <v/>
      </c>
      <c r="K345" s="2" t="str">
        <f>IFERROR(IF(MARÍTIMOS[[#This Row],[Placa Carreta]]="","",MARÍTIMOS[[#This Row],[Placa Carreta]]),"")</f>
        <v/>
      </c>
      <c r="L345" s="44" t="str">
        <f>IFERROR(IF(MARÍTIMOS[[#This Row],[Conductor]]="","",MARÍTIMOS[[#This Row],[Conductor]]),"")</f>
        <v/>
      </c>
      <c r="M345" s="2" t="str">
        <f>IFERROR(IF(MARÍTIMOS[[#This Row],[Licencia]]="","",MARÍTIMOS[[#This Row],[Licencia]]),"")</f>
        <v/>
      </c>
      <c r="N345" s="2" t="str">
        <f>IFERROR(IF(MARÍTIMOS[[#This Row],[Número de Contacto]]="","",MARÍTIMOS[[#This Row],[Número de Contacto]]),"")</f>
        <v/>
      </c>
      <c r="O345" s="10" t="str">
        <f>IFERROR(IF(MARÍTIMOS[[#This Row],[Booking|AWB|CRT]]="","",MARÍTIMOS[[#This Row],[Booking|AWB|CRT]]),"")</f>
        <v>MBM250068064</v>
      </c>
      <c r="P345" s="2" t="str">
        <f>IFERROR(IF(MARÍTIMOS[[#This Row],[Contenedor]]="","",MARÍTIMOS[[#This Row],[Contenedor]]),"")</f>
        <v/>
      </c>
      <c r="Q345" s="2" t="str">
        <f>IFERROR(IF(MARÍTIMOS[[#This Row],[Puerto de Retiro]]="","",MARÍTIMOS[[#This Row],[Puerto de Retiro]]),"")</f>
        <v/>
      </c>
      <c r="R345" s="2" t="str">
        <f>IFERROR(IF(MARÍTIMOS[[#This Row],[Almacén de Retiro]]="","",MARÍTIMOS[[#This Row],[Almacén de Retiro]]),"")</f>
        <v/>
      </c>
      <c r="S345" s="11" t="str">
        <f>IFERROR(IF(MARÍTIMOS[[#This Row],[Etapa Retiro - Cita]]="","",MARÍTIMOS[[#This Row],[Etapa Retiro - Cita]]),"")</f>
        <v/>
      </c>
      <c r="T345" s="11" t="str">
        <f>IFERROR(IF(MARÍTIMOS[[#This Row],[Etapa Retiro - Llegada]]="","",MARÍTIMOS[[#This Row],[Etapa Retiro - Llegada]]),"")</f>
        <v/>
      </c>
      <c r="U345" s="11" t="str">
        <f>IFERROR(IF(MARÍTIMOS[[#This Row],[Etapa Retiro - Ingreso]]="","",MARÍTIMOS[[#This Row],[Etapa Retiro - Ingreso]]),"")</f>
        <v/>
      </c>
      <c r="V345" s="11" t="str">
        <f>IFERROR(IF(MARÍTIMOS[[#This Row],[Etapa Retiro - Atención]]="","",MARÍTIMOS[[#This Row],[Etapa Retiro - Atención]]),"")</f>
        <v/>
      </c>
      <c r="W345" s="11" t="str">
        <f>IFERROR(IF(MARÍTIMOS[[#This Row],[Etapa Retiro - Atención]]="","",MARÍTIMOS[[#This Row],[Etapa Retiro - Atención]]),"")</f>
        <v/>
      </c>
      <c r="X345" s="11" t="str">
        <f>IFERROR(IF(MARÍTIMOS[[#This Row],[Etapa Retiro - Inicio de Ruta]]="","",MARÍTIMOS[[#This Row],[Etapa Retiro - Inicio de Ruta]]),"")</f>
        <v/>
      </c>
      <c r="Y345" s="11" t="str">
        <f>IFERROR(IF(MARÍTIMOS[[#This Row],[Hora de Posicionamiento]]="","",MARÍTIMOS[[#This Row],[Fecha de Carga]]+MARÍTIMOS[[#This Row],[Hora de Posicionamiento]]),"")</f>
        <v/>
      </c>
      <c r="Z345" s="11" t="str">
        <f>IFERROR(IF(MARÍTIMOS[[#This Row],[Etapa Despacho - Llegada]]="","",MARÍTIMOS[[#This Row],[Etapa Despacho - Llegada]]),"")</f>
        <v/>
      </c>
      <c r="AA345" s="11" t="str">
        <f>IFERROR(IF(MARÍTIMOS[[#This Row],[Etapa Despacho - Registro]]="","",MARÍTIMOS[[#This Row],[Etapa Despacho - Registro]]),"")</f>
        <v/>
      </c>
      <c r="AB345" s="11" t="str">
        <f>IFERROR(IF(MARÍTIMOS[[#This Row],[Inspección Externa]]="","",MARÍTIMOS[[#This Row],[Inspección Externa]]),"")</f>
        <v/>
      </c>
      <c r="AC345" s="11" t="str">
        <f>IFERROR(IF(MARÍTIMOS[[#This Row],[Etapa Despacho - Inicio de Carga]]="","",MARÍTIMOS[[#This Row],[Etapa Despacho - Inicio de Carga]]),"")</f>
        <v/>
      </c>
      <c r="AD345" s="11" t="str">
        <f>IFERROR(IF(MARÍTIMOS[[#This Row],[Etapa Despacho - Mitad de Carga]]="","",MARÍTIMOS[[#This Row],[Etapa Despacho - Mitad de Carga]]),"")</f>
        <v/>
      </c>
      <c r="AE345" s="11" t="str">
        <f>IFERROR(IF(MARÍTIMOS[[#This Row],[Etapa Despacho - Fin de Carga]]="","",MARÍTIMOS[[#This Row],[Etapa Despacho - Fin de Carga]]),"")</f>
        <v/>
      </c>
      <c r="AF345" s="2" t="str">
        <f>IFERROR(IF(MARÍTIMOS[[#This Row],[Puerto de Embarque]]="","",MARÍTIMOS[[#This Row],[Puerto de Embarque]]),"")</f>
        <v/>
      </c>
      <c r="AG345" s="2" t="str">
        <f>IFERROR(IF(MARÍTIMOS[[#This Row],[Almacén de Ingreso]]="","",MARÍTIMOS[[#This Row],[Almacén de Ingreso]]),"")</f>
        <v/>
      </c>
      <c r="AH345" s="11" t="str">
        <f>IFERROR(IF(MARÍTIMOS[[#This Row],[Etapa Ingreso - Cita]]="","",MARÍTIMOS[[#This Row],[Etapa Ingreso - Cita]]),"")</f>
        <v/>
      </c>
      <c r="AI345" s="11" t="str">
        <f>IFERROR(IF(MARÍTIMOS[[#This Row],[Etapa Ingreso - Llegada]]="","",MARÍTIMOS[[#This Row],[Etapa Ingreso - Llegada]]),"")</f>
        <v/>
      </c>
      <c r="AJ345" s="11" t="str">
        <f>IFERROR(IF(MARÍTIMOS[[#This Row],[Etapa Ingreso - Ingeso]]="","",MARÍTIMOS[[#This Row],[Etapa Ingreso - Ingeso]]),"")</f>
        <v/>
      </c>
      <c r="AK345" s="11" t="str">
        <f>IFERROR(IF(MARÍTIMOS[[#This Row],[Etapa Ingreso - Atención]]="","",MARÍTIMOS[[#This Row],[Etapa Ingreso - Atención]]),"")</f>
        <v/>
      </c>
      <c r="AL345" s="11" t="str">
        <f>IFERROR(IF(MARÍTIMOS[[#This Row],[Etapa Ingreso - Salida]]="","",MARÍTIMOS[[#This Row],[Etapa Ingreso - Salida]]),"")</f>
        <v/>
      </c>
      <c r="AM345" s="2" t="str">
        <f>IFERROR(IF(MARÍTIMOS[[#This Row],[FCL]]="","",MARÍTIMOS[[#This Row],[FCL]]),"")</f>
        <v/>
      </c>
      <c r="AN3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345" s="4" t="str" cm="1">
        <f t="array" ref="AO3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345" s="5" t="str">
        <f>IFERROR(OLDBD[[#This Row],[Llegada a packing]]-OLDBD[[#This Row],[Inicio de Ruta]],"")</f>
        <v/>
      </c>
      <c r="AQ345" s="6" t="str">
        <f>IFERROR(OLDBD[[#This Row],[Inicio de Ruta]]-OLDBD[[#This Row],[Salida de almacén de retiro]],"")</f>
        <v/>
      </c>
      <c r="AR3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45" s="8" t="str" cm="1">
        <f t="array" ref="AS3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45" s="9" t="str">
        <f>IFERROR(OLDBD[[#This Row],[Ingreso Packing]]-OLDBD[[#This Row],[Registro en Packing]],"")</f>
        <v/>
      </c>
      <c r="AV345" s="9" t="str">
        <f>IFERROR(OLDBD[[#This Row],[Ingreso Packing]]-OLDBD[[#This Row],[Llegada a packing]],"")</f>
        <v/>
      </c>
      <c r="AW3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45" s="5" t="str">
        <f>IFERROR(OLDBD[[#This Row],[Llegada Almacén de Ingreso]]-OLDBD[[#This Row],[Salida Packing]],"")</f>
        <v/>
      </c>
      <c r="AY345" s="4" t="str" cm="1">
        <f t="array" ref="AY3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3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45" s="43" t="s">
        <v>173</v>
      </c>
      <c r="BB345" s="47" t="str">
        <f>IFERROR(IF(MARÍTIMOS[[#This Row],[Estatus]]="","",MARÍTIMOS[[#This Row],[Estatus]]),"")</f>
        <v/>
      </c>
      <c r="BC345" s="43"/>
      <c r="BD345" s="46" t="str">
        <f>IFERROR(OLDBD[[#This Row],[Salida de almacén de retiro]]-OLDBD[[#This Row],[Ingreso Almacén de retiro]],"")</f>
        <v/>
      </c>
      <c r="BE345" s="46" t="str">
        <f>IFERROR(OLDBD[[#This Row],[Fin de Carga]]-OLDBD[[#This Row],[Inicio de Carga]],"")</f>
        <v/>
      </c>
    </row>
    <row r="346" spans="1:57" customFormat="1" hidden="1">
      <c r="A346" s="1"/>
      <c r="B346" s="1">
        <f>IFERROR(IF(MARÍTIMOS[[#This Row],[PP]]="","",MARÍTIMOS[[#This Row],[PP]]),"")</f>
        <v>39</v>
      </c>
      <c r="C346" s="1" t="str">
        <f>IFERROR(IF(MARÍTIMOS[[#This Row],[Sede]]="","",MARÍTIMOS[[#This Row],[Sede]]),"")</f>
        <v/>
      </c>
      <c r="D346" s="1" t="str">
        <f>IFERROR(IF(MARÍTIMOS[[#This Row],[Instruction]]="","",MARÍTIMOS[[#This Row],[Instruction]]),"")</f>
        <v>RH-0844</v>
      </c>
      <c r="E346" s="1"/>
      <c r="F346" s="2" t="str">
        <f>IFERROR(IF(MARÍTIMOS[[#This Row],[Transportista]]="","",MARÍTIMOS[[#This Row],[Transportista]]),"")</f>
        <v/>
      </c>
      <c r="G346" s="2" t="str">
        <f>IFERROR(IF(MARÍTIMOS[[#This Row],[Tercero]]="","",MARÍTIMOS[[#This Row],[Tercero]]),"")</f>
        <v/>
      </c>
      <c r="H346" s="2" t="str">
        <f>IFERROR(IF(MARÍTIMOS[[#This Row],[Razón Social]]="","",MARÍTIMOS[[#This Row],[Razón Social]]),"")</f>
        <v/>
      </c>
      <c r="I346" s="2" t="str">
        <f>IFERROR(IF(MARÍTIMOS[[#This Row],[RUC]]="","",MARÍTIMOS[[#This Row],[RUC]]),"")</f>
        <v/>
      </c>
      <c r="J346" s="2" t="str">
        <f>IFERROR(IF(MARÍTIMOS[[#This Row],[Placa Tracto]]="","",MARÍTIMOS[[#This Row],[Placa Tracto]]),"")</f>
        <v/>
      </c>
      <c r="K346" s="2" t="str">
        <f>IFERROR(IF(MARÍTIMOS[[#This Row],[Placa Carreta]]="","",MARÍTIMOS[[#This Row],[Placa Carreta]]),"")</f>
        <v/>
      </c>
      <c r="L346" s="44" t="str">
        <f>IFERROR(IF(MARÍTIMOS[[#This Row],[Conductor]]="","",MARÍTIMOS[[#This Row],[Conductor]]),"")</f>
        <v/>
      </c>
      <c r="M346" s="2" t="str">
        <f>IFERROR(IF(MARÍTIMOS[[#This Row],[Licencia]]="","",MARÍTIMOS[[#This Row],[Licencia]]),"")</f>
        <v/>
      </c>
      <c r="N346" s="2" t="str">
        <f>IFERROR(IF(MARÍTIMOS[[#This Row],[Número de Contacto]]="","",MARÍTIMOS[[#This Row],[Número de Contacto]]),"")</f>
        <v/>
      </c>
      <c r="O346" s="10" t="str">
        <f>IFERROR(IF(MARÍTIMOS[[#This Row],[Booking|AWB|CRT]]="","",MARÍTIMOS[[#This Row],[Booking|AWB|CRT]]),"")</f>
        <v>MBM250068062</v>
      </c>
      <c r="P346" s="2" t="str">
        <f>IFERROR(IF(MARÍTIMOS[[#This Row],[Contenedor]]="","",MARÍTIMOS[[#This Row],[Contenedor]]),"")</f>
        <v/>
      </c>
      <c r="Q346" s="2" t="str">
        <f>IFERROR(IF(MARÍTIMOS[[#This Row],[Puerto de Retiro]]="","",MARÍTIMOS[[#This Row],[Puerto de Retiro]]),"")</f>
        <v/>
      </c>
      <c r="R346" s="2" t="str">
        <f>IFERROR(IF(MARÍTIMOS[[#This Row],[Almacén de Retiro]]="","",MARÍTIMOS[[#This Row],[Almacén de Retiro]]),"")</f>
        <v/>
      </c>
      <c r="S346" s="11" t="str">
        <f>IFERROR(IF(MARÍTIMOS[[#This Row],[Etapa Retiro - Cita]]="","",MARÍTIMOS[[#This Row],[Etapa Retiro - Cita]]),"")</f>
        <v/>
      </c>
      <c r="T346" s="11" t="str">
        <f>IFERROR(IF(MARÍTIMOS[[#This Row],[Etapa Retiro - Llegada]]="","",MARÍTIMOS[[#This Row],[Etapa Retiro - Llegada]]),"")</f>
        <v/>
      </c>
      <c r="U346" s="11" t="str">
        <f>IFERROR(IF(MARÍTIMOS[[#This Row],[Etapa Retiro - Ingreso]]="","",MARÍTIMOS[[#This Row],[Etapa Retiro - Ingreso]]),"")</f>
        <v/>
      </c>
      <c r="V346" s="11" t="str">
        <f>IFERROR(IF(MARÍTIMOS[[#This Row],[Etapa Retiro - Atención]]="","",MARÍTIMOS[[#This Row],[Etapa Retiro - Atención]]),"")</f>
        <v/>
      </c>
      <c r="W346" s="11" t="str">
        <f>IFERROR(IF(MARÍTIMOS[[#This Row],[Etapa Retiro - Atención]]="","",MARÍTIMOS[[#This Row],[Etapa Retiro - Atención]]),"")</f>
        <v/>
      </c>
      <c r="X346" s="11" t="str">
        <f>IFERROR(IF(MARÍTIMOS[[#This Row],[Etapa Retiro - Inicio de Ruta]]="","",MARÍTIMOS[[#This Row],[Etapa Retiro - Inicio de Ruta]]),"")</f>
        <v/>
      </c>
      <c r="Y346" s="11" t="str">
        <f>IFERROR(IF(MARÍTIMOS[[#This Row],[Hora de Posicionamiento]]="","",MARÍTIMOS[[#This Row],[Fecha de Carga]]+MARÍTIMOS[[#This Row],[Hora de Posicionamiento]]),"")</f>
        <v/>
      </c>
      <c r="Z346" s="11" t="str">
        <f>IFERROR(IF(MARÍTIMOS[[#This Row],[Etapa Despacho - Llegada]]="","",MARÍTIMOS[[#This Row],[Etapa Despacho - Llegada]]),"")</f>
        <v/>
      </c>
      <c r="AA346" s="11" t="str">
        <f>IFERROR(IF(MARÍTIMOS[[#This Row],[Etapa Despacho - Registro]]="","",MARÍTIMOS[[#This Row],[Etapa Despacho - Registro]]),"")</f>
        <v/>
      </c>
      <c r="AB346" s="11" t="str">
        <f>IFERROR(IF(MARÍTIMOS[[#This Row],[Inspección Externa]]="","",MARÍTIMOS[[#This Row],[Inspección Externa]]),"")</f>
        <v/>
      </c>
      <c r="AC346" s="11" t="str">
        <f>IFERROR(IF(MARÍTIMOS[[#This Row],[Etapa Despacho - Inicio de Carga]]="","",MARÍTIMOS[[#This Row],[Etapa Despacho - Inicio de Carga]]),"")</f>
        <v/>
      </c>
      <c r="AD346" s="11" t="str">
        <f>IFERROR(IF(MARÍTIMOS[[#This Row],[Etapa Despacho - Mitad de Carga]]="","",MARÍTIMOS[[#This Row],[Etapa Despacho - Mitad de Carga]]),"")</f>
        <v/>
      </c>
      <c r="AE346" s="11" t="str">
        <f>IFERROR(IF(MARÍTIMOS[[#This Row],[Etapa Despacho - Fin de Carga]]="","",MARÍTIMOS[[#This Row],[Etapa Despacho - Fin de Carga]]),"")</f>
        <v/>
      </c>
      <c r="AF346" s="2" t="str">
        <f>IFERROR(IF(MARÍTIMOS[[#This Row],[Puerto de Embarque]]="","",MARÍTIMOS[[#This Row],[Puerto de Embarque]]),"")</f>
        <v/>
      </c>
      <c r="AG346" s="2" t="str">
        <f>IFERROR(IF(MARÍTIMOS[[#This Row],[Almacén de Ingreso]]="","",MARÍTIMOS[[#This Row],[Almacén de Ingreso]]),"")</f>
        <v/>
      </c>
      <c r="AH346" s="11" t="str">
        <f>IFERROR(IF(MARÍTIMOS[[#This Row],[Etapa Ingreso - Cita]]="","",MARÍTIMOS[[#This Row],[Etapa Ingreso - Cita]]),"")</f>
        <v/>
      </c>
      <c r="AI346" s="11" t="str">
        <f>IFERROR(IF(MARÍTIMOS[[#This Row],[Etapa Ingreso - Llegada]]="","",MARÍTIMOS[[#This Row],[Etapa Ingreso - Llegada]]),"")</f>
        <v/>
      </c>
      <c r="AJ346" s="11" t="str">
        <f>IFERROR(IF(MARÍTIMOS[[#This Row],[Etapa Ingreso - Ingeso]]="","",MARÍTIMOS[[#This Row],[Etapa Ingreso - Ingeso]]),"")</f>
        <v/>
      </c>
      <c r="AK346" s="11" t="str">
        <f>IFERROR(IF(MARÍTIMOS[[#This Row],[Etapa Ingreso - Atención]]="","",MARÍTIMOS[[#This Row],[Etapa Ingreso - Atención]]),"")</f>
        <v/>
      </c>
      <c r="AL346" s="11" t="str">
        <f>IFERROR(IF(MARÍTIMOS[[#This Row],[Etapa Ingreso - Salida]]="","",MARÍTIMOS[[#This Row],[Etapa Ingreso - Salida]]),"")</f>
        <v/>
      </c>
      <c r="AM346" s="2" t="str">
        <f>IFERROR(IF(MARÍTIMOS[[#This Row],[FCL]]="","",MARÍTIMOS[[#This Row],[FCL]]),"")</f>
        <v/>
      </c>
      <c r="AN3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346" s="4" t="str" cm="1">
        <f t="array" ref="AO3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346" s="5" t="str">
        <f>IFERROR(OLDBD[[#This Row],[Llegada a packing]]-OLDBD[[#This Row],[Inicio de Ruta]],"")</f>
        <v/>
      </c>
      <c r="AQ346" s="6" t="str">
        <f>IFERROR(OLDBD[[#This Row],[Inicio de Ruta]]-OLDBD[[#This Row],[Salida de almacén de retiro]],"")</f>
        <v/>
      </c>
      <c r="AR3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46" s="8" t="str" cm="1">
        <f t="array" ref="AS3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46" s="9" t="str">
        <f>IFERROR(OLDBD[[#This Row],[Ingreso Packing]]-OLDBD[[#This Row],[Registro en Packing]],"")</f>
        <v/>
      </c>
      <c r="AV346" s="9" t="str">
        <f>IFERROR(OLDBD[[#This Row],[Ingreso Packing]]-OLDBD[[#This Row],[Llegada a packing]],"")</f>
        <v/>
      </c>
      <c r="AW3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46" s="5" t="str">
        <f>IFERROR(OLDBD[[#This Row],[Llegada Almacén de Ingreso]]-OLDBD[[#This Row],[Salida Packing]],"")</f>
        <v/>
      </c>
      <c r="AY346" s="4" t="str" cm="1">
        <f t="array" ref="AY3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3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46" s="43" t="s">
        <v>173</v>
      </c>
      <c r="BB346" s="47" t="str">
        <f>IFERROR(IF(MARÍTIMOS[[#This Row],[Estatus]]="","",MARÍTIMOS[[#This Row],[Estatus]]),"")</f>
        <v/>
      </c>
      <c r="BC346" s="43"/>
      <c r="BD346" s="46" t="str">
        <f>IFERROR(OLDBD[[#This Row],[Salida de almacén de retiro]]-OLDBD[[#This Row],[Ingreso Almacén de retiro]],"")</f>
        <v/>
      </c>
      <c r="BE346" s="46" t="str">
        <f>IFERROR(OLDBD[[#This Row],[Fin de Carga]]-OLDBD[[#This Row],[Inicio de Carga]],"")</f>
        <v/>
      </c>
    </row>
    <row r="347" spans="1:57" customFormat="1" hidden="1">
      <c r="A347" s="1"/>
      <c r="B347" s="1">
        <f>IFERROR(IF(MARÍTIMOS[[#This Row],[PP]]="","",MARÍTIMOS[[#This Row],[PP]]),"")</f>
        <v>39</v>
      </c>
      <c r="C347" s="1" t="str">
        <f>IFERROR(IF(MARÍTIMOS[[#This Row],[Sede]]="","",MARÍTIMOS[[#This Row],[Sede]]),"")</f>
        <v/>
      </c>
      <c r="D347" s="1" t="str">
        <f>IFERROR(IF(MARÍTIMOS[[#This Row],[Instruction]]="","",MARÍTIMOS[[#This Row],[Instruction]]),"")</f>
        <v>RH-0844</v>
      </c>
      <c r="E347" s="1"/>
      <c r="F347" s="2" t="str">
        <f>IFERROR(IF(MARÍTIMOS[[#This Row],[Transportista]]="","",MARÍTIMOS[[#This Row],[Transportista]]),"")</f>
        <v/>
      </c>
      <c r="G347" s="2" t="str">
        <f>IFERROR(IF(MARÍTIMOS[[#This Row],[Tercero]]="","",MARÍTIMOS[[#This Row],[Tercero]]),"")</f>
        <v/>
      </c>
      <c r="H347" s="2" t="str">
        <f>IFERROR(IF(MARÍTIMOS[[#This Row],[Razón Social]]="","",MARÍTIMOS[[#This Row],[Razón Social]]),"")</f>
        <v/>
      </c>
      <c r="I347" s="2" t="str">
        <f>IFERROR(IF(MARÍTIMOS[[#This Row],[RUC]]="","",MARÍTIMOS[[#This Row],[RUC]]),"")</f>
        <v/>
      </c>
      <c r="J347" s="2" t="str">
        <f>IFERROR(IF(MARÍTIMOS[[#This Row],[Placa Tracto]]="","",MARÍTIMOS[[#This Row],[Placa Tracto]]),"")</f>
        <v/>
      </c>
      <c r="K347" s="2" t="str">
        <f>IFERROR(IF(MARÍTIMOS[[#This Row],[Placa Carreta]]="","",MARÍTIMOS[[#This Row],[Placa Carreta]]),"")</f>
        <v/>
      </c>
      <c r="L347" s="44" t="str">
        <f>IFERROR(IF(MARÍTIMOS[[#This Row],[Conductor]]="","",MARÍTIMOS[[#This Row],[Conductor]]),"")</f>
        <v/>
      </c>
      <c r="M347" s="2" t="str">
        <f>IFERROR(IF(MARÍTIMOS[[#This Row],[Licencia]]="","",MARÍTIMOS[[#This Row],[Licencia]]),"")</f>
        <v/>
      </c>
      <c r="N347" s="2" t="str">
        <f>IFERROR(IF(MARÍTIMOS[[#This Row],[Número de Contacto]]="","",MARÍTIMOS[[#This Row],[Número de Contacto]]),"")</f>
        <v/>
      </c>
      <c r="O347" s="10" t="str">
        <f>IFERROR(IF(MARÍTIMOS[[#This Row],[Booking|AWB|CRT]]="","",MARÍTIMOS[[#This Row],[Booking|AWB|CRT]]),"")</f>
        <v>MBM250068062</v>
      </c>
      <c r="P347" s="2" t="str">
        <f>IFERROR(IF(MARÍTIMOS[[#This Row],[Contenedor]]="","",MARÍTIMOS[[#This Row],[Contenedor]]),"")</f>
        <v/>
      </c>
      <c r="Q347" s="2" t="str">
        <f>IFERROR(IF(MARÍTIMOS[[#This Row],[Puerto de Retiro]]="","",MARÍTIMOS[[#This Row],[Puerto de Retiro]]),"")</f>
        <v/>
      </c>
      <c r="R347" s="2" t="str">
        <f>IFERROR(IF(MARÍTIMOS[[#This Row],[Almacén de Retiro]]="","",MARÍTIMOS[[#This Row],[Almacén de Retiro]]),"")</f>
        <v/>
      </c>
      <c r="S347" s="11" t="str">
        <f>IFERROR(IF(MARÍTIMOS[[#This Row],[Etapa Retiro - Cita]]="","",MARÍTIMOS[[#This Row],[Etapa Retiro - Cita]]),"")</f>
        <v/>
      </c>
      <c r="T347" s="11" t="str">
        <f>IFERROR(IF(MARÍTIMOS[[#This Row],[Etapa Retiro - Llegada]]="","",MARÍTIMOS[[#This Row],[Etapa Retiro - Llegada]]),"")</f>
        <v/>
      </c>
      <c r="U347" s="11" t="str">
        <f>IFERROR(IF(MARÍTIMOS[[#This Row],[Etapa Retiro - Ingreso]]="","",MARÍTIMOS[[#This Row],[Etapa Retiro - Ingreso]]),"")</f>
        <v/>
      </c>
      <c r="V347" s="11" t="str">
        <f>IFERROR(IF(MARÍTIMOS[[#This Row],[Etapa Retiro - Atención]]="","",MARÍTIMOS[[#This Row],[Etapa Retiro - Atención]]),"")</f>
        <v/>
      </c>
      <c r="W347" s="11" t="str">
        <f>IFERROR(IF(MARÍTIMOS[[#This Row],[Etapa Retiro - Atención]]="","",MARÍTIMOS[[#This Row],[Etapa Retiro - Atención]]),"")</f>
        <v/>
      </c>
      <c r="X347" s="11" t="str">
        <f>IFERROR(IF(MARÍTIMOS[[#This Row],[Etapa Retiro - Inicio de Ruta]]="","",MARÍTIMOS[[#This Row],[Etapa Retiro - Inicio de Ruta]]),"")</f>
        <v/>
      </c>
      <c r="Y347" s="11" t="str">
        <f>IFERROR(IF(MARÍTIMOS[[#This Row],[Hora de Posicionamiento]]="","",MARÍTIMOS[[#This Row],[Fecha de Carga]]+MARÍTIMOS[[#This Row],[Hora de Posicionamiento]]),"")</f>
        <v/>
      </c>
      <c r="Z347" s="11" t="str">
        <f>IFERROR(IF(MARÍTIMOS[[#This Row],[Etapa Despacho - Llegada]]="","",MARÍTIMOS[[#This Row],[Etapa Despacho - Llegada]]),"")</f>
        <v/>
      </c>
      <c r="AA347" s="11" t="str">
        <f>IFERROR(IF(MARÍTIMOS[[#This Row],[Etapa Despacho - Registro]]="","",MARÍTIMOS[[#This Row],[Etapa Despacho - Registro]]),"")</f>
        <v/>
      </c>
      <c r="AB347" s="11" t="str">
        <f>IFERROR(IF(MARÍTIMOS[[#This Row],[Inspección Externa]]="","",MARÍTIMOS[[#This Row],[Inspección Externa]]),"")</f>
        <v/>
      </c>
      <c r="AC347" s="11" t="str">
        <f>IFERROR(IF(MARÍTIMOS[[#This Row],[Etapa Despacho - Inicio de Carga]]="","",MARÍTIMOS[[#This Row],[Etapa Despacho - Inicio de Carga]]),"")</f>
        <v/>
      </c>
      <c r="AD347" s="11" t="str">
        <f>IFERROR(IF(MARÍTIMOS[[#This Row],[Etapa Despacho - Mitad de Carga]]="","",MARÍTIMOS[[#This Row],[Etapa Despacho - Mitad de Carga]]),"")</f>
        <v/>
      </c>
      <c r="AE347" s="11" t="str">
        <f>IFERROR(IF(MARÍTIMOS[[#This Row],[Etapa Despacho - Fin de Carga]]="","",MARÍTIMOS[[#This Row],[Etapa Despacho - Fin de Carga]]),"")</f>
        <v/>
      </c>
      <c r="AF347" s="2" t="str">
        <f>IFERROR(IF(MARÍTIMOS[[#This Row],[Puerto de Embarque]]="","",MARÍTIMOS[[#This Row],[Puerto de Embarque]]),"")</f>
        <v/>
      </c>
      <c r="AG347" s="2" t="str">
        <f>IFERROR(IF(MARÍTIMOS[[#This Row],[Almacén de Ingreso]]="","",MARÍTIMOS[[#This Row],[Almacén de Ingreso]]),"")</f>
        <v/>
      </c>
      <c r="AH347" s="11" t="str">
        <f>IFERROR(IF(MARÍTIMOS[[#This Row],[Etapa Ingreso - Cita]]="","",MARÍTIMOS[[#This Row],[Etapa Ingreso - Cita]]),"")</f>
        <v/>
      </c>
      <c r="AI347" s="11" t="str">
        <f>IFERROR(IF(MARÍTIMOS[[#This Row],[Etapa Ingreso - Llegada]]="","",MARÍTIMOS[[#This Row],[Etapa Ingreso - Llegada]]),"")</f>
        <v/>
      </c>
      <c r="AJ347" s="11" t="str">
        <f>IFERROR(IF(MARÍTIMOS[[#This Row],[Etapa Ingreso - Ingeso]]="","",MARÍTIMOS[[#This Row],[Etapa Ingreso - Ingeso]]),"")</f>
        <v/>
      </c>
      <c r="AK347" s="11" t="str">
        <f>IFERROR(IF(MARÍTIMOS[[#This Row],[Etapa Ingreso - Atención]]="","",MARÍTIMOS[[#This Row],[Etapa Ingreso - Atención]]),"")</f>
        <v/>
      </c>
      <c r="AL347" s="11" t="str">
        <f>IFERROR(IF(MARÍTIMOS[[#This Row],[Etapa Ingreso - Salida]]="","",MARÍTIMOS[[#This Row],[Etapa Ingreso - Salida]]),"")</f>
        <v/>
      </c>
      <c r="AM347" s="2" t="str">
        <f>IFERROR(IF(MARÍTIMOS[[#This Row],[FCL]]="","",MARÍTIMOS[[#This Row],[FCL]]),"")</f>
        <v/>
      </c>
      <c r="AN3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347" s="4" t="str" cm="1">
        <f t="array" ref="AO3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347" s="5" t="str">
        <f>IFERROR(OLDBD[[#This Row],[Llegada a packing]]-OLDBD[[#This Row],[Inicio de Ruta]],"")</f>
        <v/>
      </c>
      <c r="AQ347" s="6" t="str">
        <f>IFERROR(OLDBD[[#This Row],[Inicio de Ruta]]-OLDBD[[#This Row],[Salida de almacén de retiro]],"")</f>
        <v/>
      </c>
      <c r="AR3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47" s="8" t="str" cm="1">
        <f t="array" ref="AS3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47" s="9" t="str">
        <f>IFERROR(OLDBD[[#This Row],[Ingreso Packing]]-OLDBD[[#This Row],[Registro en Packing]],"")</f>
        <v/>
      </c>
      <c r="AV347" s="9" t="str">
        <f>IFERROR(OLDBD[[#This Row],[Ingreso Packing]]-OLDBD[[#This Row],[Llegada a packing]],"")</f>
        <v/>
      </c>
      <c r="AW3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47" s="5" t="str">
        <f>IFERROR(OLDBD[[#This Row],[Llegada Almacén de Ingreso]]-OLDBD[[#This Row],[Salida Packing]],"")</f>
        <v/>
      </c>
      <c r="AY347" s="4" t="str" cm="1">
        <f t="array" ref="AY3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3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47" s="43" t="s">
        <v>173</v>
      </c>
      <c r="BB347" s="47" t="str">
        <f>IFERROR(IF(MARÍTIMOS[[#This Row],[Estatus]]="","",MARÍTIMOS[[#This Row],[Estatus]]),"")</f>
        <v/>
      </c>
      <c r="BC347" s="43"/>
      <c r="BD347" s="46" t="str">
        <f>IFERROR(OLDBD[[#This Row],[Salida de almacén de retiro]]-OLDBD[[#This Row],[Ingreso Almacén de retiro]],"")</f>
        <v/>
      </c>
      <c r="BE347" s="46" t="str">
        <f>IFERROR(OLDBD[[#This Row],[Fin de Carga]]-OLDBD[[#This Row],[Inicio de Carga]],"")</f>
        <v/>
      </c>
    </row>
    <row r="348" spans="1:57" customFormat="1" hidden="1">
      <c r="A348" s="1"/>
      <c r="B348" s="1">
        <f>IFERROR(IF(MARÍTIMOS[[#This Row],[PP]]="","",MARÍTIMOS[[#This Row],[PP]]),"")</f>
        <v>39</v>
      </c>
      <c r="C348" s="1" t="str">
        <f>IFERROR(IF(MARÍTIMOS[[#This Row],[Sede]]="","",MARÍTIMOS[[#This Row],[Sede]]),"")</f>
        <v/>
      </c>
      <c r="D348" s="1" t="str">
        <f>IFERROR(IF(MARÍTIMOS[[#This Row],[Instruction]]="","",MARÍTIMOS[[#This Row],[Instruction]]),"")</f>
        <v>RH-0848</v>
      </c>
      <c r="E348" s="1"/>
      <c r="F348" s="2" t="str">
        <f>IFERROR(IF(MARÍTIMOS[[#This Row],[Transportista]]="","",MARÍTIMOS[[#This Row],[Transportista]]),"")</f>
        <v/>
      </c>
      <c r="G348" s="2" t="str">
        <f>IFERROR(IF(MARÍTIMOS[[#This Row],[Tercero]]="","",MARÍTIMOS[[#This Row],[Tercero]]),"")</f>
        <v/>
      </c>
      <c r="H348" s="2" t="str">
        <f>IFERROR(IF(MARÍTIMOS[[#This Row],[Razón Social]]="","",MARÍTIMOS[[#This Row],[Razón Social]]),"")</f>
        <v/>
      </c>
      <c r="I348" s="2" t="str">
        <f>IFERROR(IF(MARÍTIMOS[[#This Row],[RUC]]="","",MARÍTIMOS[[#This Row],[RUC]]),"")</f>
        <v/>
      </c>
      <c r="J348" s="2" t="str">
        <f>IFERROR(IF(MARÍTIMOS[[#This Row],[Placa Tracto]]="","",MARÍTIMOS[[#This Row],[Placa Tracto]]),"")</f>
        <v/>
      </c>
      <c r="K348" s="2" t="str">
        <f>IFERROR(IF(MARÍTIMOS[[#This Row],[Placa Carreta]]="","",MARÍTIMOS[[#This Row],[Placa Carreta]]),"")</f>
        <v/>
      </c>
      <c r="L348" s="44" t="str">
        <f>IFERROR(IF(MARÍTIMOS[[#This Row],[Conductor]]="","",MARÍTIMOS[[#This Row],[Conductor]]),"")</f>
        <v/>
      </c>
      <c r="M348" s="2" t="str">
        <f>IFERROR(IF(MARÍTIMOS[[#This Row],[Licencia]]="","",MARÍTIMOS[[#This Row],[Licencia]]),"")</f>
        <v/>
      </c>
      <c r="N348" s="2" t="str">
        <f>IFERROR(IF(MARÍTIMOS[[#This Row],[Número de Contacto]]="","",MARÍTIMOS[[#This Row],[Número de Contacto]]),"")</f>
        <v/>
      </c>
      <c r="O348" s="10" t="str">
        <f>IFERROR(IF(MARÍTIMOS[[#This Row],[Booking|AWB|CRT]]="","",MARÍTIMOS[[#This Row],[Booking|AWB|CRT]]),"")</f>
        <v>MBM250067162</v>
      </c>
      <c r="P348" s="2" t="str">
        <f>IFERROR(IF(MARÍTIMOS[[#This Row],[Contenedor]]="","",MARÍTIMOS[[#This Row],[Contenedor]]),"")</f>
        <v/>
      </c>
      <c r="Q348" s="2" t="str">
        <f>IFERROR(IF(MARÍTIMOS[[#This Row],[Puerto de Retiro]]="","",MARÍTIMOS[[#This Row],[Puerto de Retiro]]),"")</f>
        <v/>
      </c>
      <c r="R348" s="2" t="str">
        <f>IFERROR(IF(MARÍTIMOS[[#This Row],[Almacén de Retiro]]="","",MARÍTIMOS[[#This Row],[Almacén de Retiro]]),"")</f>
        <v/>
      </c>
      <c r="S348" s="11" t="str">
        <f>IFERROR(IF(MARÍTIMOS[[#This Row],[Etapa Retiro - Cita]]="","",MARÍTIMOS[[#This Row],[Etapa Retiro - Cita]]),"")</f>
        <v/>
      </c>
      <c r="T348" s="11" t="str">
        <f>IFERROR(IF(MARÍTIMOS[[#This Row],[Etapa Retiro - Llegada]]="","",MARÍTIMOS[[#This Row],[Etapa Retiro - Llegada]]),"")</f>
        <v/>
      </c>
      <c r="U348" s="11" t="str">
        <f>IFERROR(IF(MARÍTIMOS[[#This Row],[Etapa Retiro - Ingreso]]="","",MARÍTIMOS[[#This Row],[Etapa Retiro - Ingreso]]),"")</f>
        <v/>
      </c>
      <c r="V348" s="11" t="str">
        <f>IFERROR(IF(MARÍTIMOS[[#This Row],[Etapa Retiro - Atención]]="","",MARÍTIMOS[[#This Row],[Etapa Retiro - Atención]]),"")</f>
        <v/>
      </c>
      <c r="W348" s="11" t="str">
        <f>IFERROR(IF(MARÍTIMOS[[#This Row],[Etapa Retiro - Atención]]="","",MARÍTIMOS[[#This Row],[Etapa Retiro - Atención]]),"")</f>
        <v/>
      </c>
      <c r="X348" s="11" t="str">
        <f>IFERROR(IF(MARÍTIMOS[[#This Row],[Etapa Retiro - Inicio de Ruta]]="","",MARÍTIMOS[[#This Row],[Etapa Retiro - Inicio de Ruta]]),"")</f>
        <v/>
      </c>
      <c r="Y348" s="11" t="str">
        <f>IFERROR(IF(MARÍTIMOS[[#This Row],[Hora de Posicionamiento]]="","",MARÍTIMOS[[#This Row],[Fecha de Carga]]+MARÍTIMOS[[#This Row],[Hora de Posicionamiento]]),"")</f>
        <v/>
      </c>
      <c r="Z348" s="11" t="str">
        <f>IFERROR(IF(MARÍTIMOS[[#This Row],[Etapa Despacho - Llegada]]="","",MARÍTIMOS[[#This Row],[Etapa Despacho - Llegada]]),"")</f>
        <v/>
      </c>
      <c r="AA348" s="11" t="str">
        <f>IFERROR(IF(MARÍTIMOS[[#This Row],[Etapa Despacho - Registro]]="","",MARÍTIMOS[[#This Row],[Etapa Despacho - Registro]]),"")</f>
        <v/>
      </c>
      <c r="AB348" s="11" t="str">
        <f>IFERROR(IF(MARÍTIMOS[[#This Row],[Inspección Externa]]="","",MARÍTIMOS[[#This Row],[Inspección Externa]]),"")</f>
        <v/>
      </c>
      <c r="AC348" s="11" t="str">
        <f>IFERROR(IF(MARÍTIMOS[[#This Row],[Etapa Despacho - Inicio de Carga]]="","",MARÍTIMOS[[#This Row],[Etapa Despacho - Inicio de Carga]]),"")</f>
        <v/>
      </c>
      <c r="AD348" s="11" t="str">
        <f>IFERROR(IF(MARÍTIMOS[[#This Row],[Etapa Despacho - Mitad de Carga]]="","",MARÍTIMOS[[#This Row],[Etapa Despacho - Mitad de Carga]]),"")</f>
        <v/>
      </c>
      <c r="AE348" s="11" t="str">
        <f>IFERROR(IF(MARÍTIMOS[[#This Row],[Etapa Despacho - Fin de Carga]]="","",MARÍTIMOS[[#This Row],[Etapa Despacho - Fin de Carga]]),"")</f>
        <v/>
      </c>
      <c r="AF348" s="2" t="str">
        <f>IFERROR(IF(MARÍTIMOS[[#This Row],[Puerto de Embarque]]="","",MARÍTIMOS[[#This Row],[Puerto de Embarque]]),"")</f>
        <v/>
      </c>
      <c r="AG348" s="2" t="str">
        <f>IFERROR(IF(MARÍTIMOS[[#This Row],[Almacén de Ingreso]]="","",MARÍTIMOS[[#This Row],[Almacén de Ingreso]]),"")</f>
        <v/>
      </c>
      <c r="AH348" s="11" t="str">
        <f>IFERROR(IF(MARÍTIMOS[[#This Row],[Etapa Ingreso - Cita]]="","",MARÍTIMOS[[#This Row],[Etapa Ingreso - Cita]]),"")</f>
        <v/>
      </c>
      <c r="AI348" s="11" t="str">
        <f>IFERROR(IF(MARÍTIMOS[[#This Row],[Etapa Ingreso - Llegada]]="","",MARÍTIMOS[[#This Row],[Etapa Ingreso - Llegada]]),"")</f>
        <v/>
      </c>
      <c r="AJ348" s="11" t="str">
        <f>IFERROR(IF(MARÍTIMOS[[#This Row],[Etapa Ingreso - Ingeso]]="","",MARÍTIMOS[[#This Row],[Etapa Ingreso - Ingeso]]),"")</f>
        <v/>
      </c>
      <c r="AK348" s="11" t="str">
        <f>IFERROR(IF(MARÍTIMOS[[#This Row],[Etapa Ingreso - Atención]]="","",MARÍTIMOS[[#This Row],[Etapa Ingreso - Atención]]),"")</f>
        <v/>
      </c>
      <c r="AL348" s="11" t="str">
        <f>IFERROR(IF(MARÍTIMOS[[#This Row],[Etapa Ingreso - Salida]]="","",MARÍTIMOS[[#This Row],[Etapa Ingreso - Salida]]),"")</f>
        <v/>
      </c>
      <c r="AM348" s="2" t="str">
        <f>IFERROR(IF(MARÍTIMOS[[#This Row],[FCL]]="","",MARÍTIMOS[[#This Row],[FCL]]),"")</f>
        <v/>
      </c>
      <c r="AN3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348" s="4" t="str" cm="1">
        <f t="array" ref="AO3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348" s="5" t="str">
        <f>IFERROR(OLDBD[[#This Row],[Llegada a packing]]-OLDBD[[#This Row],[Inicio de Ruta]],"")</f>
        <v/>
      </c>
      <c r="AQ348" s="6" t="str">
        <f>IFERROR(OLDBD[[#This Row],[Inicio de Ruta]]-OLDBD[[#This Row],[Salida de almacén de retiro]],"")</f>
        <v/>
      </c>
      <c r="AR3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48" s="8" t="str" cm="1">
        <f t="array" ref="AS3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48" s="9" t="str">
        <f>IFERROR(OLDBD[[#This Row],[Ingreso Packing]]-OLDBD[[#This Row],[Registro en Packing]],"")</f>
        <v/>
      </c>
      <c r="AV348" s="9" t="str">
        <f>IFERROR(OLDBD[[#This Row],[Ingreso Packing]]-OLDBD[[#This Row],[Llegada a packing]],"")</f>
        <v/>
      </c>
      <c r="AW3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48" s="5" t="str">
        <f>IFERROR(OLDBD[[#This Row],[Llegada Almacén de Ingreso]]-OLDBD[[#This Row],[Salida Packing]],"")</f>
        <v/>
      </c>
      <c r="AY348" s="4" t="str" cm="1">
        <f t="array" ref="AY3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3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48" s="43" t="s">
        <v>173</v>
      </c>
      <c r="BB348" s="47" t="str">
        <f>IFERROR(IF(MARÍTIMOS[[#This Row],[Estatus]]="","",MARÍTIMOS[[#This Row],[Estatus]]),"")</f>
        <v/>
      </c>
      <c r="BC348" s="43"/>
      <c r="BD348" s="46" t="str">
        <f>IFERROR(OLDBD[[#This Row],[Salida de almacén de retiro]]-OLDBD[[#This Row],[Ingreso Almacén de retiro]],"")</f>
        <v/>
      </c>
      <c r="BE348" s="46" t="str">
        <f>IFERROR(OLDBD[[#This Row],[Fin de Carga]]-OLDBD[[#This Row],[Inicio de Carga]],"")</f>
        <v/>
      </c>
    </row>
    <row r="349" spans="1:57" customFormat="1" hidden="1">
      <c r="A349" s="1"/>
      <c r="B349" s="1">
        <f>IFERROR(IF(MARÍTIMOS[[#This Row],[PP]]="","",MARÍTIMOS[[#This Row],[PP]]),"")</f>
        <v>39</v>
      </c>
      <c r="C349" s="1" t="str">
        <f>IFERROR(IF(MARÍTIMOS[[#This Row],[Sede]]="","",MARÍTIMOS[[#This Row],[Sede]]),"")</f>
        <v/>
      </c>
      <c r="D349" s="1" t="str">
        <f>IFERROR(IF(MARÍTIMOS[[#This Row],[Instruction]]="","",MARÍTIMOS[[#This Row],[Instruction]]),"")</f>
        <v>RH-0859</v>
      </c>
      <c r="E349" s="1"/>
      <c r="F349" s="2" t="str">
        <f>IFERROR(IF(MARÍTIMOS[[#This Row],[Transportista]]="","",MARÍTIMOS[[#This Row],[Transportista]]),"")</f>
        <v/>
      </c>
      <c r="G349" s="2" t="str">
        <f>IFERROR(IF(MARÍTIMOS[[#This Row],[Tercero]]="","",MARÍTIMOS[[#This Row],[Tercero]]),"")</f>
        <v/>
      </c>
      <c r="H349" s="2" t="str">
        <f>IFERROR(IF(MARÍTIMOS[[#This Row],[Razón Social]]="","",MARÍTIMOS[[#This Row],[Razón Social]]),"")</f>
        <v/>
      </c>
      <c r="I349" s="2" t="str">
        <f>IFERROR(IF(MARÍTIMOS[[#This Row],[RUC]]="","",MARÍTIMOS[[#This Row],[RUC]]),"")</f>
        <v/>
      </c>
      <c r="J349" s="2" t="str">
        <f>IFERROR(IF(MARÍTIMOS[[#This Row],[Placa Tracto]]="","",MARÍTIMOS[[#This Row],[Placa Tracto]]),"")</f>
        <v/>
      </c>
      <c r="K349" s="2" t="str">
        <f>IFERROR(IF(MARÍTIMOS[[#This Row],[Placa Carreta]]="","",MARÍTIMOS[[#This Row],[Placa Carreta]]),"")</f>
        <v/>
      </c>
      <c r="L349" s="44" t="str">
        <f>IFERROR(IF(MARÍTIMOS[[#This Row],[Conductor]]="","",MARÍTIMOS[[#This Row],[Conductor]]),"")</f>
        <v/>
      </c>
      <c r="M349" s="2" t="str">
        <f>IFERROR(IF(MARÍTIMOS[[#This Row],[Licencia]]="","",MARÍTIMOS[[#This Row],[Licencia]]),"")</f>
        <v/>
      </c>
      <c r="N349" s="2" t="str">
        <f>IFERROR(IF(MARÍTIMOS[[#This Row],[Número de Contacto]]="","",MARÍTIMOS[[#This Row],[Número de Contacto]]),"")</f>
        <v/>
      </c>
      <c r="O349" s="10" t="str">
        <f>IFERROR(IF(MARÍTIMOS[[#This Row],[Booking|AWB|CRT]]="","",MARÍTIMOS[[#This Row],[Booking|AWB|CRT]]),"")</f>
        <v/>
      </c>
      <c r="P349" s="2" t="str">
        <f>IFERROR(IF(MARÍTIMOS[[#This Row],[Contenedor]]="","",MARÍTIMOS[[#This Row],[Contenedor]]),"")</f>
        <v/>
      </c>
      <c r="Q349" s="2" t="str">
        <f>IFERROR(IF(MARÍTIMOS[[#This Row],[Puerto de Retiro]]="","",MARÍTIMOS[[#This Row],[Puerto de Retiro]]),"")</f>
        <v/>
      </c>
      <c r="R349" s="2" t="str">
        <f>IFERROR(IF(MARÍTIMOS[[#This Row],[Almacén de Retiro]]="","",MARÍTIMOS[[#This Row],[Almacén de Retiro]]),"")</f>
        <v/>
      </c>
      <c r="S349" s="11" t="str">
        <f>IFERROR(IF(MARÍTIMOS[[#This Row],[Etapa Retiro - Cita]]="","",MARÍTIMOS[[#This Row],[Etapa Retiro - Cita]]),"")</f>
        <v/>
      </c>
      <c r="T349" s="11" t="str">
        <f>IFERROR(IF(MARÍTIMOS[[#This Row],[Etapa Retiro - Llegada]]="","",MARÍTIMOS[[#This Row],[Etapa Retiro - Llegada]]),"")</f>
        <v/>
      </c>
      <c r="U349" s="11" t="str">
        <f>IFERROR(IF(MARÍTIMOS[[#This Row],[Etapa Retiro - Ingreso]]="","",MARÍTIMOS[[#This Row],[Etapa Retiro - Ingreso]]),"")</f>
        <v/>
      </c>
      <c r="V349" s="11" t="str">
        <f>IFERROR(IF(MARÍTIMOS[[#This Row],[Etapa Retiro - Atención]]="","",MARÍTIMOS[[#This Row],[Etapa Retiro - Atención]]),"")</f>
        <v/>
      </c>
      <c r="W349" s="11" t="str">
        <f>IFERROR(IF(MARÍTIMOS[[#This Row],[Etapa Retiro - Atención]]="","",MARÍTIMOS[[#This Row],[Etapa Retiro - Atención]]),"")</f>
        <v/>
      </c>
      <c r="X349" s="11" t="str">
        <f>IFERROR(IF(MARÍTIMOS[[#This Row],[Etapa Retiro - Inicio de Ruta]]="","",MARÍTIMOS[[#This Row],[Etapa Retiro - Inicio de Ruta]]),"")</f>
        <v/>
      </c>
      <c r="Y349" s="11" t="str">
        <f>IFERROR(IF(MARÍTIMOS[[#This Row],[Hora de Posicionamiento]]="","",MARÍTIMOS[[#This Row],[Fecha de Carga]]+MARÍTIMOS[[#This Row],[Hora de Posicionamiento]]),"")</f>
        <v/>
      </c>
      <c r="Z349" s="11" t="str">
        <f>IFERROR(IF(MARÍTIMOS[[#This Row],[Etapa Despacho - Llegada]]="","",MARÍTIMOS[[#This Row],[Etapa Despacho - Llegada]]),"")</f>
        <v/>
      </c>
      <c r="AA349" s="11" t="str">
        <f>IFERROR(IF(MARÍTIMOS[[#This Row],[Etapa Despacho - Registro]]="","",MARÍTIMOS[[#This Row],[Etapa Despacho - Registro]]),"")</f>
        <v/>
      </c>
      <c r="AB349" s="11" t="str">
        <f>IFERROR(IF(MARÍTIMOS[[#This Row],[Inspección Externa]]="","",MARÍTIMOS[[#This Row],[Inspección Externa]]),"")</f>
        <v/>
      </c>
      <c r="AC349" s="11" t="str">
        <f>IFERROR(IF(MARÍTIMOS[[#This Row],[Etapa Despacho - Inicio de Carga]]="","",MARÍTIMOS[[#This Row],[Etapa Despacho - Inicio de Carga]]),"")</f>
        <v/>
      </c>
      <c r="AD349" s="11" t="str">
        <f>IFERROR(IF(MARÍTIMOS[[#This Row],[Etapa Despacho - Mitad de Carga]]="","",MARÍTIMOS[[#This Row],[Etapa Despacho - Mitad de Carga]]),"")</f>
        <v/>
      </c>
      <c r="AE349" s="11" t="str">
        <f>IFERROR(IF(MARÍTIMOS[[#This Row],[Etapa Despacho - Fin de Carga]]="","",MARÍTIMOS[[#This Row],[Etapa Despacho - Fin de Carga]]),"")</f>
        <v/>
      </c>
      <c r="AF349" s="2" t="str">
        <f>IFERROR(IF(MARÍTIMOS[[#This Row],[Puerto de Embarque]]="","",MARÍTIMOS[[#This Row],[Puerto de Embarque]]),"")</f>
        <v/>
      </c>
      <c r="AG349" s="2" t="str">
        <f>IFERROR(IF(MARÍTIMOS[[#This Row],[Almacén de Ingreso]]="","",MARÍTIMOS[[#This Row],[Almacén de Ingreso]]),"")</f>
        <v/>
      </c>
      <c r="AH349" s="11" t="str">
        <f>IFERROR(IF(MARÍTIMOS[[#This Row],[Etapa Ingreso - Cita]]="","",MARÍTIMOS[[#This Row],[Etapa Ingreso - Cita]]),"")</f>
        <v/>
      </c>
      <c r="AI349" s="11" t="str">
        <f>IFERROR(IF(MARÍTIMOS[[#This Row],[Etapa Ingreso - Llegada]]="","",MARÍTIMOS[[#This Row],[Etapa Ingreso - Llegada]]),"")</f>
        <v/>
      </c>
      <c r="AJ349" s="11" t="str">
        <f>IFERROR(IF(MARÍTIMOS[[#This Row],[Etapa Ingreso - Ingeso]]="","",MARÍTIMOS[[#This Row],[Etapa Ingreso - Ingeso]]),"")</f>
        <v/>
      </c>
      <c r="AK349" s="11" t="str">
        <f>IFERROR(IF(MARÍTIMOS[[#This Row],[Etapa Ingreso - Atención]]="","",MARÍTIMOS[[#This Row],[Etapa Ingreso - Atención]]),"")</f>
        <v/>
      </c>
      <c r="AL349" s="11" t="str">
        <f>IFERROR(IF(MARÍTIMOS[[#This Row],[Etapa Ingreso - Salida]]="","",MARÍTIMOS[[#This Row],[Etapa Ingreso - Salida]]),"")</f>
        <v/>
      </c>
      <c r="AM349" s="2" t="str">
        <f>IFERROR(IF(MARÍTIMOS[[#This Row],[FCL]]="","",MARÍTIMOS[[#This Row],[FCL]]),"")</f>
        <v/>
      </c>
      <c r="AN3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349" s="4" t="str" cm="1">
        <f t="array" ref="AO3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349" s="5" t="str">
        <f>IFERROR(OLDBD[[#This Row],[Llegada a packing]]-OLDBD[[#This Row],[Inicio de Ruta]],"")</f>
        <v/>
      </c>
      <c r="AQ349" s="6" t="str">
        <f>IFERROR(OLDBD[[#This Row],[Inicio de Ruta]]-OLDBD[[#This Row],[Salida de almacén de retiro]],"")</f>
        <v/>
      </c>
      <c r="AR3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49" s="8" t="str" cm="1">
        <f t="array" ref="AS3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49" s="9" t="str">
        <f>IFERROR(OLDBD[[#This Row],[Ingreso Packing]]-OLDBD[[#This Row],[Registro en Packing]],"")</f>
        <v/>
      </c>
      <c r="AV349" s="9" t="str">
        <f>IFERROR(OLDBD[[#This Row],[Ingreso Packing]]-OLDBD[[#This Row],[Llegada a packing]],"")</f>
        <v/>
      </c>
      <c r="AW3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49" s="5" t="str">
        <f>IFERROR(OLDBD[[#This Row],[Llegada Almacén de Ingreso]]-OLDBD[[#This Row],[Salida Packing]],"")</f>
        <v/>
      </c>
      <c r="AY349" s="4" t="str" cm="1">
        <f t="array" ref="AY3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3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49" s="43" t="s">
        <v>173</v>
      </c>
      <c r="BB349" s="47" t="str">
        <f>IFERROR(IF(MARÍTIMOS[[#This Row],[Estatus]]="","",MARÍTIMOS[[#This Row],[Estatus]]),"")</f>
        <v/>
      </c>
      <c r="BC349" s="43"/>
      <c r="BD349" s="46" t="str">
        <f>IFERROR(OLDBD[[#This Row],[Salida de almacén de retiro]]-OLDBD[[#This Row],[Ingreso Almacén de retiro]],"")</f>
        <v/>
      </c>
      <c r="BE349" s="46" t="str">
        <f>IFERROR(OLDBD[[#This Row],[Fin de Carga]]-OLDBD[[#This Row],[Inicio de Carga]],"")</f>
        <v/>
      </c>
    </row>
    <row r="350" spans="1:57" customFormat="1" hidden="1">
      <c r="A350" s="1"/>
      <c r="B350" s="1">
        <f>IFERROR(IF(MARÍTIMOS[[#This Row],[PP]]="","",MARÍTIMOS[[#This Row],[PP]]),"")</f>
        <v>39</v>
      </c>
      <c r="C350" s="1" t="str">
        <f>IFERROR(IF(MARÍTIMOS[[#This Row],[Sede]]="","",MARÍTIMOS[[#This Row],[Sede]]),"")</f>
        <v/>
      </c>
      <c r="D350" s="1" t="str">
        <f>IFERROR(IF(MARÍTIMOS[[#This Row],[Instruction]]="","",MARÍTIMOS[[#This Row],[Instruction]]),"")</f>
        <v>RH-0860</v>
      </c>
      <c r="E350" s="1"/>
      <c r="F350" s="2" t="str">
        <f>IFERROR(IF(MARÍTIMOS[[#This Row],[Transportista]]="","",MARÍTIMOS[[#This Row],[Transportista]]),"")</f>
        <v/>
      </c>
      <c r="G350" s="2" t="str">
        <f>IFERROR(IF(MARÍTIMOS[[#This Row],[Tercero]]="","",MARÍTIMOS[[#This Row],[Tercero]]),"")</f>
        <v/>
      </c>
      <c r="H350" s="2" t="str">
        <f>IFERROR(IF(MARÍTIMOS[[#This Row],[Razón Social]]="","",MARÍTIMOS[[#This Row],[Razón Social]]),"")</f>
        <v/>
      </c>
      <c r="I350" s="2" t="str">
        <f>IFERROR(IF(MARÍTIMOS[[#This Row],[RUC]]="","",MARÍTIMOS[[#This Row],[RUC]]),"")</f>
        <v/>
      </c>
      <c r="J350" s="2" t="str">
        <f>IFERROR(IF(MARÍTIMOS[[#This Row],[Placa Tracto]]="","",MARÍTIMOS[[#This Row],[Placa Tracto]]),"")</f>
        <v/>
      </c>
      <c r="K350" s="2" t="str">
        <f>IFERROR(IF(MARÍTIMOS[[#This Row],[Placa Carreta]]="","",MARÍTIMOS[[#This Row],[Placa Carreta]]),"")</f>
        <v/>
      </c>
      <c r="L350" s="44" t="str">
        <f>IFERROR(IF(MARÍTIMOS[[#This Row],[Conductor]]="","",MARÍTIMOS[[#This Row],[Conductor]]),"")</f>
        <v/>
      </c>
      <c r="M350" s="2" t="str">
        <f>IFERROR(IF(MARÍTIMOS[[#This Row],[Licencia]]="","",MARÍTIMOS[[#This Row],[Licencia]]),"")</f>
        <v/>
      </c>
      <c r="N350" s="2" t="str">
        <f>IFERROR(IF(MARÍTIMOS[[#This Row],[Número de Contacto]]="","",MARÍTIMOS[[#This Row],[Número de Contacto]]),"")</f>
        <v/>
      </c>
      <c r="O350" s="10" t="str">
        <f>IFERROR(IF(MARÍTIMOS[[#This Row],[Booking|AWB|CRT]]="","",MARÍTIMOS[[#This Row],[Booking|AWB|CRT]]),"")</f>
        <v/>
      </c>
      <c r="P350" s="2" t="str">
        <f>IFERROR(IF(MARÍTIMOS[[#This Row],[Contenedor]]="","",MARÍTIMOS[[#This Row],[Contenedor]]),"")</f>
        <v/>
      </c>
      <c r="Q350" s="2" t="str">
        <f>IFERROR(IF(MARÍTIMOS[[#This Row],[Puerto de Retiro]]="","",MARÍTIMOS[[#This Row],[Puerto de Retiro]]),"")</f>
        <v/>
      </c>
      <c r="R350" s="2" t="str">
        <f>IFERROR(IF(MARÍTIMOS[[#This Row],[Almacén de Retiro]]="","",MARÍTIMOS[[#This Row],[Almacén de Retiro]]),"")</f>
        <v/>
      </c>
      <c r="S350" s="11" t="str">
        <f>IFERROR(IF(MARÍTIMOS[[#This Row],[Etapa Retiro - Cita]]="","",MARÍTIMOS[[#This Row],[Etapa Retiro - Cita]]),"")</f>
        <v/>
      </c>
      <c r="T350" s="11" t="str">
        <f>IFERROR(IF(MARÍTIMOS[[#This Row],[Etapa Retiro - Llegada]]="","",MARÍTIMOS[[#This Row],[Etapa Retiro - Llegada]]),"")</f>
        <v/>
      </c>
      <c r="U350" s="11" t="str">
        <f>IFERROR(IF(MARÍTIMOS[[#This Row],[Etapa Retiro - Ingreso]]="","",MARÍTIMOS[[#This Row],[Etapa Retiro - Ingreso]]),"")</f>
        <v/>
      </c>
      <c r="V350" s="11" t="str">
        <f>IFERROR(IF(MARÍTIMOS[[#This Row],[Etapa Retiro - Atención]]="","",MARÍTIMOS[[#This Row],[Etapa Retiro - Atención]]),"")</f>
        <v/>
      </c>
      <c r="W350" s="11" t="str">
        <f>IFERROR(IF(MARÍTIMOS[[#This Row],[Etapa Retiro - Atención]]="","",MARÍTIMOS[[#This Row],[Etapa Retiro - Atención]]),"")</f>
        <v/>
      </c>
      <c r="X350" s="11" t="str">
        <f>IFERROR(IF(MARÍTIMOS[[#This Row],[Etapa Retiro - Inicio de Ruta]]="","",MARÍTIMOS[[#This Row],[Etapa Retiro - Inicio de Ruta]]),"")</f>
        <v/>
      </c>
      <c r="Y350" s="11" t="str">
        <f>IFERROR(IF(MARÍTIMOS[[#This Row],[Hora de Posicionamiento]]="","",MARÍTIMOS[[#This Row],[Fecha de Carga]]+MARÍTIMOS[[#This Row],[Hora de Posicionamiento]]),"")</f>
        <v/>
      </c>
      <c r="Z350" s="11" t="str">
        <f>IFERROR(IF(MARÍTIMOS[[#This Row],[Etapa Despacho - Llegada]]="","",MARÍTIMOS[[#This Row],[Etapa Despacho - Llegada]]),"")</f>
        <v/>
      </c>
      <c r="AA350" s="11" t="str">
        <f>IFERROR(IF(MARÍTIMOS[[#This Row],[Etapa Despacho - Registro]]="","",MARÍTIMOS[[#This Row],[Etapa Despacho - Registro]]),"")</f>
        <v/>
      </c>
      <c r="AB350" s="11" t="str">
        <f>IFERROR(IF(MARÍTIMOS[[#This Row],[Inspección Externa]]="","",MARÍTIMOS[[#This Row],[Inspección Externa]]),"")</f>
        <v/>
      </c>
      <c r="AC350" s="11" t="str">
        <f>IFERROR(IF(MARÍTIMOS[[#This Row],[Etapa Despacho - Inicio de Carga]]="","",MARÍTIMOS[[#This Row],[Etapa Despacho - Inicio de Carga]]),"")</f>
        <v/>
      </c>
      <c r="AD350" s="11" t="str">
        <f>IFERROR(IF(MARÍTIMOS[[#This Row],[Etapa Despacho - Mitad de Carga]]="","",MARÍTIMOS[[#This Row],[Etapa Despacho - Mitad de Carga]]),"")</f>
        <v/>
      </c>
      <c r="AE350" s="11" t="str">
        <f>IFERROR(IF(MARÍTIMOS[[#This Row],[Etapa Despacho - Fin de Carga]]="","",MARÍTIMOS[[#This Row],[Etapa Despacho - Fin de Carga]]),"")</f>
        <v/>
      </c>
      <c r="AF350" s="2" t="str">
        <f>IFERROR(IF(MARÍTIMOS[[#This Row],[Puerto de Embarque]]="","",MARÍTIMOS[[#This Row],[Puerto de Embarque]]),"")</f>
        <v/>
      </c>
      <c r="AG350" s="2" t="str">
        <f>IFERROR(IF(MARÍTIMOS[[#This Row],[Almacén de Ingreso]]="","",MARÍTIMOS[[#This Row],[Almacén de Ingreso]]),"")</f>
        <v/>
      </c>
      <c r="AH350" s="11" t="str">
        <f>IFERROR(IF(MARÍTIMOS[[#This Row],[Etapa Ingreso - Cita]]="","",MARÍTIMOS[[#This Row],[Etapa Ingreso - Cita]]),"")</f>
        <v/>
      </c>
      <c r="AI350" s="11" t="str">
        <f>IFERROR(IF(MARÍTIMOS[[#This Row],[Etapa Ingreso - Llegada]]="","",MARÍTIMOS[[#This Row],[Etapa Ingreso - Llegada]]),"")</f>
        <v/>
      </c>
      <c r="AJ350" s="11" t="str">
        <f>IFERROR(IF(MARÍTIMOS[[#This Row],[Etapa Ingreso - Ingeso]]="","",MARÍTIMOS[[#This Row],[Etapa Ingreso - Ingeso]]),"")</f>
        <v/>
      </c>
      <c r="AK350" s="11" t="str">
        <f>IFERROR(IF(MARÍTIMOS[[#This Row],[Etapa Ingreso - Atención]]="","",MARÍTIMOS[[#This Row],[Etapa Ingreso - Atención]]),"")</f>
        <v/>
      </c>
      <c r="AL350" s="11" t="str">
        <f>IFERROR(IF(MARÍTIMOS[[#This Row],[Etapa Ingreso - Salida]]="","",MARÍTIMOS[[#This Row],[Etapa Ingreso - Salida]]),"")</f>
        <v/>
      </c>
      <c r="AM350" s="2" t="str">
        <f>IFERROR(IF(MARÍTIMOS[[#This Row],[FCL]]="","",MARÍTIMOS[[#This Row],[FCL]]),"")</f>
        <v/>
      </c>
      <c r="AN3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350" s="4" t="str" cm="1">
        <f t="array" ref="AO3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350" s="5" t="str">
        <f>IFERROR(OLDBD[[#This Row],[Llegada a packing]]-OLDBD[[#This Row],[Inicio de Ruta]],"")</f>
        <v/>
      </c>
      <c r="AQ350" s="6" t="str">
        <f>IFERROR(OLDBD[[#This Row],[Inicio de Ruta]]-OLDBD[[#This Row],[Salida de almacén de retiro]],"")</f>
        <v/>
      </c>
      <c r="AR3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50" s="8" t="str" cm="1">
        <f t="array" ref="AS3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50" s="9" t="str">
        <f>IFERROR(OLDBD[[#This Row],[Ingreso Packing]]-OLDBD[[#This Row],[Registro en Packing]],"")</f>
        <v/>
      </c>
      <c r="AV350" s="9" t="str">
        <f>IFERROR(OLDBD[[#This Row],[Ingreso Packing]]-OLDBD[[#This Row],[Llegada a packing]],"")</f>
        <v/>
      </c>
      <c r="AW3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0" s="5" t="str">
        <f>IFERROR(OLDBD[[#This Row],[Llegada Almacén de Ingreso]]-OLDBD[[#This Row],[Salida Packing]],"")</f>
        <v/>
      </c>
      <c r="AY350" s="4" t="str" cm="1">
        <f t="array" ref="AY3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3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50" s="43" t="s">
        <v>173</v>
      </c>
      <c r="BB350" s="47" t="str">
        <f>IFERROR(IF(MARÍTIMOS[[#This Row],[Estatus]]="","",MARÍTIMOS[[#This Row],[Estatus]]),"")</f>
        <v/>
      </c>
      <c r="BC350" s="43"/>
      <c r="BD350" s="46" t="str">
        <f>IFERROR(OLDBD[[#This Row],[Salida de almacén de retiro]]-OLDBD[[#This Row],[Ingreso Almacén de retiro]],"")</f>
        <v/>
      </c>
      <c r="BE350" s="46" t="str">
        <f>IFERROR(OLDBD[[#This Row],[Fin de Carga]]-OLDBD[[#This Row],[Inicio de Carga]],"")</f>
        <v/>
      </c>
    </row>
    <row r="351" spans="1:57" customFormat="1" hidden="1">
      <c r="A351" s="1"/>
      <c r="B351" s="1">
        <f>IFERROR(IF(MARÍTIMOS[[#This Row],[PP]]="","",MARÍTIMOS[[#This Row],[PP]]),"")</f>
        <v>28</v>
      </c>
      <c r="C351" s="1" t="str">
        <f>IFERROR(IF(MARÍTIMOS[[#This Row],[Sede]]="","",MARÍTIMOS[[#This Row],[Sede]]),"")</f>
        <v>Chao</v>
      </c>
      <c r="D351" s="1" t="str">
        <f>IFERROR(IF(MARÍTIMOS[[#This Row],[Instruction]]="","",MARÍTIMOS[[#This Row],[Instruction]]),"")</f>
        <v>RH-0150</v>
      </c>
      <c r="E351" s="1"/>
      <c r="F351" s="2" t="str">
        <f>IFERROR(IF(MARÍTIMOS[[#This Row],[Transportista]]="","",MARÍTIMOS[[#This Row],[Transportista]]),"")</f>
        <v>Maersk</v>
      </c>
      <c r="G351" s="2" t="str">
        <f>IFERROR(IF(MARÍTIMOS[[#This Row],[Tercero]]="","",MARÍTIMOS[[#This Row],[Tercero]]),"")</f>
        <v>NO</v>
      </c>
      <c r="H351" s="2" t="str">
        <f>IFERROR(IF(MARÍTIMOS[[#This Row],[Razón Social]]="","",MARÍTIMOS[[#This Row],[Razón Social]]),"")</f>
        <v>MAERK LOGISTIC &amp; SERVICES PERU S.A</v>
      </c>
      <c r="I351" s="2">
        <f>IFERROR(IF(MARÍTIMOS[[#This Row],[RUC]]="","",MARÍTIMOS[[#This Row],[RUC]]),"")</f>
        <v>20107012011</v>
      </c>
      <c r="J351" s="2" t="str">
        <f>IFERROR(IF(MARÍTIMOS[[#This Row],[Placa Tracto]]="","",MARÍTIMOS[[#This Row],[Placa Tracto]]),"")</f>
        <v>BTE787</v>
      </c>
      <c r="K351" s="2" t="str">
        <f>IFERROR(IF(MARÍTIMOS[[#This Row],[Placa Carreta]]="","",MARÍTIMOS[[#This Row],[Placa Carreta]]),"")</f>
        <v>ATI981</v>
      </c>
      <c r="L351" s="44" t="str">
        <f>IFERROR(IF(MARÍTIMOS[[#This Row],[Conductor]]="","",MARÍTIMOS[[#This Row],[Conductor]]),"")</f>
        <v>JUANITO HUAMANI / MIGUEL POZO</v>
      </c>
      <c r="M351" s="2" t="str">
        <f>IFERROR(IF(MARÍTIMOS[[#This Row],[Licencia]]="","",MARÍTIMOS[[#This Row],[Licencia]]),"")</f>
        <v>Q41649189 / Q10069791</v>
      </c>
      <c r="N351" s="2" t="str">
        <f>IFERROR(IF(MARÍTIMOS[[#This Row],[Número de Contacto]]="","",MARÍTIMOS[[#This Row],[Número de Contacto]]),"")</f>
        <v xml:space="preserve">-  </v>
      </c>
      <c r="O351" s="10">
        <f>IFERROR(IF(MARÍTIMOS[[#This Row],[Booking|AWB|CRT]]="","",MARÍTIMOS[[#This Row],[Booking|AWB|CRT]]),"")</f>
        <v>274024236</v>
      </c>
      <c r="P351" s="2" t="str">
        <f>IFERROR(IF(MARÍTIMOS[[#This Row],[Contenedor]]="","",MARÍTIMOS[[#This Row],[Contenedor]]),"")</f>
        <v>MNBU0267346</v>
      </c>
      <c r="Q351" s="2" t="str">
        <f>IFERROR(IF(MARÍTIMOS[[#This Row],[Puerto de Retiro]]="","",MARÍTIMOS[[#This Row],[Puerto de Retiro]]),"")</f>
        <v>CALLAO</v>
      </c>
      <c r="R351" s="2" t="str">
        <f>IFERROR(IF(MARÍTIMOS[[#This Row],[Almacén de Retiro]]="","",MARÍTIMOS[[#This Row],[Almacén de Retiro]]),"")</f>
        <v>DEMARES</v>
      </c>
      <c r="S351" s="11">
        <f>IFERROR(IF(MARÍTIMOS[[#This Row],[Etapa Retiro - Cita]]="","",MARÍTIMOS[[#This Row],[Etapa Retiro - Cita]]),"")</f>
        <v>46211.625</v>
      </c>
      <c r="T351" s="11">
        <f>IFERROR(IF(MARÍTIMOS[[#This Row],[Etapa Retiro - Llegada]]="","",MARÍTIMOS[[#This Row],[Etapa Retiro - Llegada]]),"")</f>
        <v>46211.64166666667</v>
      </c>
      <c r="U351" s="11">
        <f>IFERROR(IF(MARÍTIMOS[[#This Row],[Etapa Retiro - Ingreso]]="","",MARÍTIMOS[[#This Row],[Etapa Retiro - Ingreso]]),"")</f>
        <v>46211.682638888888</v>
      </c>
      <c r="V351" s="11">
        <f>IFERROR(IF(MARÍTIMOS[[#This Row],[Etapa Retiro - Atención]]="","",MARÍTIMOS[[#This Row],[Etapa Retiro - Atención]]),"")</f>
        <v>46211.6875</v>
      </c>
      <c r="W351" s="11">
        <f>IFERROR(IF(MARÍTIMOS[[#This Row],[Etapa Retiro - Atención]]="","",MARÍTIMOS[[#This Row],[Etapa Retiro - Atención]]),"")</f>
        <v>46211.6875</v>
      </c>
      <c r="X351" s="11">
        <f>IFERROR(IF(MARÍTIMOS[[#This Row],[Etapa Retiro - Inicio de Ruta]]="","",MARÍTIMOS[[#This Row],[Etapa Retiro - Inicio de Ruta]]),"")</f>
        <v>46211.8125</v>
      </c>
      <c r="Y351" s="11">
        <f>IFERROR(IF(MARÍTIMOS[[#This Row],[Hora de Posicionamiento]]="","",MARÍTIMOS[[#This Row],[Fecha de Carga]]+MARÍTIMOS[[#This Row],[Hora de Posicionamiento]]),"")</f>
        <v>46212.333333333336</v>
      </c>
      <c r="Z351" s="11">
        <f>IFERROR(IF(MARÍTIMOS[[#This Row],[Etapa Despacho - Llegada]]="","",MARÍTIMOS[[#This Row],[Etapa Despacho - Llegada]]),"")</f>
        <v>46212.416666666664</v>
      </c>
      <c r="AA351" s="11">
        <f>IFERROR(IF(MARÍTIMOS[[#This Row],[Etapa Despacho - Registro]]="","",MARÍTIMOS[[#This Row],[Etapa Despacho - Registro]]),"")</f>
        <v>46212.422222222223</v>
      </c>
      <c r="AB351" s="11">
        <f>IFERROR(IF(MARÍTIMOS[[#This Row],[Inspección Externa]]="","",MARÍTIMOS[[#This Row],[Inspección Externa]]),"")</f>
        <v>46212.446527777778</v>
      </c>
      <c r="AC351" s="11">
        <f>IFERROR(IF(MARÍTIMOS[[#This Row],[Etapa Despacho - Inicio de Carga]]="","",MARÍTIMOS[[#This Row],[Etapa Despacho - Inicio de Carga]]),"")</f>
        <v>46212.479166666664</v>
      </c>
      <c r="AD351" s="11" t="str">
        <f>IFERROR(IF(MARÍTIMOS[[#This Row],[Etapa Despacho - Mitad de Carga]]="","",MARÍTIMOS[[#This Row],[Etapa Despacho - Mitad de Carga]]),"")</f>
        <v/>
      </c>
      <c r="AE351" s="11">
        <f>IFERROR(IF(MARÍTIMOS[[#This Row],[Etapa Despacho - Fin de Carga]]="","",MARÍTIMOS[[#This Row],[Etapa Despacho - Fin de Carga]]),"")</f>
        <v>46212.605555555558</v>
      </c>
      <c r="AF351" s="2" t="str">
        <f>IFERROR(IF(MARÍTIMOS[[#This Row],[Puerto de Embarque]]="","",MARÍTIMOS[[#This Row],[Puerto de Embarque]]),"")</f>
        <v>CALLAO</v>
      </c>
      <c r="AG351" s="2" t="str">
        <f>IFERROR(IF(MARÍTIMOS[[#This Row],[Almacén de Ingreso]]="","",MARÍTIMOS[[#This Row],[Almacén de Ingreso]]),"")</f>
        <v>APM</v>
      </c>
      <c r="AH351" s="11">
        <f>IFERROR(IF(MARÍTIMOS[[#This Row],[Etapa Ingreso - Cita]]="","",MARÍTIMOS[[#This Row],[Etapa Ingreso - Cita]]),"")</f>
        <v>46213.25</v>
      </c>
      <c r="AI351" s="11">
        <f>IFERROR(IF(MARÍTIMOS[[#This Row],[Etapa Ingreso - Llegada]]="","",MARÍTIMOS[[#This Row],[Etapa Ingreso - Llegada]]),"")</f>
        <v>46213.25</v>
      </c>
      <c r="AJ351" s="11">
        <f>IFERROR(IF(MARÍTIMOS[[#This Row],[Etapa Ingreso - Ingeso]]="","",MARÍTIMOS[[#This Row],[Etapa Ingreso - Ingeso]]),"")</f>
        <v>46213.341666666667</v>
      </c>
      <c r="AK351" s="11">
        <f>IFERROR(IF(MARÍTIMOS[[#This Row],[Etapa Ingreso - Atención]]="","",MARÍTIMOS[[#This Row],[Etapa Ingreso - Atención]]),"")</f>
        <v>46213.347222222219</v>
      </c>
      <c r="AL351" s="11">
        <f>IFERROR(IF(MARÍTIMOS[[#This Row],[Etapa Ingreso - Salida]]="","",MARÍTIMOS[[#This Row],[Etapa Ingreso - Salida]]),"")</f>
        <v>46213.352083333331</v>
      </c>
      <c r="AM351" s="2">
        <f>IFERROR(IF(MARÍTIMOS[[#This Row],[FCL]]="","",MARÍTIMOS[[#This Row],[FCL]]),"")</f>
        <v>1</v>
      </c>
      <c r="AN3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1" s="4" t="str" cm="1">
        <f t="array" ref="AO3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1" s="5">
        <f>IFERROR(OLDBD[[#This Row],[Llegada a packing]]-OLDBD[[#This Row],[Inicio de Ruta]],"")</f>
        <v>0.60416666666424135</v>
      </c>
      <c r="AQ351" s="6">
        <f>IFERROR(OLDBD[[#This Row],[Inicio de Ruta]]-OLDBD[[#This Row],[Salida de almacén de retiro]],"")</f>
        <v>0.125</v>
      </c>
      <c r="AR3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51" s="8" t="str" cm="1">
        <f t="array" ref="AS3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1" s="9">
        <f>IFERROR(OLDBD[[#This Row],[Ingreso Packing]]-OLDBD[[#This Row],[Registro en Packing]],"")</f>
        <v>2.4305555554747116E-2</v>
      </c>
      <c r="AV351" s="9">
        <f>IFERROR(OLDBD[[#This Row],[Ingreso Packing]]-OLDBD[[#This Row],[Llegada a packing]],"")</f>
        <v>2.9861111113859806E-2</v>
      </c>
      <c r="AW3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1" s="5">
        <f>IFERROR(OLDBD[[#This Row],[Llegada Almacén de Ingreso]]-OLDBD[[#This Row],[Salida Packing]],"")</f>
        <v>0.6444444444423425</v>
      </c>
      <c r="AY351" s="4" t="str" cm="1">
        <f t="array" ref="AY3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51" s="43" t="s">
        <v>173</v>
      </c>
      <c r="BB351" s="47" t="str">
        <f>IFERROR(IF(MARÍTIMOS[[#This Row],[Estatus]]="","",MARÍTIMOS[[#This Row],[Estatus]]),"")</f>
        <v>Confirmado</v>
      </c>
      <c r="BC351" s="43"/>
      <c r="BD351" s="46">
        <f>IFERROR(OLDBD[[#This Row],[Salida de almacén de retiro]]-OLDBD[[#This Row],[Ingreso Almacén de retiro]],"")</f>
        <v>4.8611111124046147E-3</v>
      </c>
      <c r="BE351" s="46" t="str">
        <f>IFERROR(OLDBD[[#This Row],[Fin de Carga]]-OLDBD[[#This Row],[Inicio de Carga]],"")</f>
        <v/>
      </c>
    </row>
    <row r="352" spans="1:57" customFormat="1" hidden="1">
      <c r="A352" s="1"/>
      <c r="B352" s="1">
        <f>IFERROR(IF(MARÍTIMOS[[#This Row],[PP]]="","",MARÍTIMOS[[#This Row],[PP]]),"")</f>
        <v>28</v>
      </c>
      <c r="C352" s="1" t="str">
        <f>IFERROR(IF(MARÍTIMOS[[#This Row],[Sede]]="","",MARÍTIMOS[[#This Row],[Sede]]),"")</f>
        <v>Chao</v>
      </c>
      <c r="D352" s="1" t="str">
        <f>IFERROR(IF(MARÍTIMOS[[#This Row],[Instruction]]="","",MARÍTIMOS[[#This Row],[Instruction]]),"")</f>
        <v>RH-0160</v>
      </c>
      <c r="E352" s="1"/>
      <c r="F352" s="2" t="str">
        <f>IFERROR(IF(MARÍTIMOS[[#This Row],[Transportista]]="","",MARÍTIMOS[[#This Row],[Transportista]]),"")</f>
        <v>Maersk</v>
      </c>
      <c r="G352" s="2" t="str">
        <f>IFERROR(IF(MARÍTIMOS[[#This Row],[Tercero]]="","",MARÍTIMOS[[#This Row],[Tercero]]),"")</f>
        <v>NO</v>
      </c>
      <c r="H352" s="2" t="str">
        <f>IFERROR(IF(MARÍTIMOS[[#This Row],[Razón Social]]="","",MARÍTIMOS[[#This Row],[Razón Social]]),"")</f>
        <v>MAERK LOGISTIC &amp; SERVICES PERU S.A</v>
      </c>
      <c r="I352" s="2">
        <f>IFERROR(IF(MARÍTIMOS[[#This Row],[RUC]]="","",MARÍTIMOS[[#This Row],[RUC]]),"")</f>
        <v>20107012011</v>
      </c>
      <c r="J352" s="2" t="str">
        <f>IFERROR(IF(MARÍTIMOS[[#This Row],[Placa Tracto]]="","",MARÍTIMOS[[#This Row],[Placa Tracto]]),"")</f>
        <v>APC756</v>
      </c>
      <c r="K352" s="2" t="str">
        <f>IFERROR(IF(MARÍTIMOS[[#This Row],[Placa Carreta]]="","",MARÍTIMOS[[#This Row],[Placa Carreta]]),"")</f>
        <v>BEC984</v>
      </c>
      <c r="L352" s="44" t="str">
        <f>IFERROR(IF(MARÍTIMOS[[#This Row],[Conductor]]="","",MARÍTIMOS[[#This Row],[Conductor]]),"")</f>
        <v>LUIS MENDOZA / CESAR GUTIERREZ</v>
      </c>
      <c r="M352" s="2" t="str">
        <f>IFERROR(IF(MARÍTIMOS[[#This Row],[Licencia]]="","",MARÍTIMOS[[#This Row],[Licencia]]),"")</f>
        <v>Q41419684 / Q25719865</v>
      </c>
      <c r="N352" s="2" t="str">
        <f>IFERROR(IF(MARÍTIMOS[[#This Row],[Número de Contacto]]="","",MARÍTIMOS[[#This Row],[Número de Contacto]]),"")</f>
        <v xml:space="preserve">-  </v>
      </c>
      <c r="O352" s="10">
        <f>IFERROR(IF(MARÍTIMOS[[#This Row],[Booking|AWB|CRT]]="","",MARÍTIMOS[[#This Row],[Booking|AWB|CRT]]),"")</f>
        <v>751600038522</v>
      </c>
      <c r="P352" s="2" t="str">
        <f>IFERROR(IF(MARÍTIMOS[[#This Row],[Contenedor]]="","",MARÍTIMOS[[#This Row],[Contenedor]]),"")</f>
        <v>EMCU5697765</v>
      </c>
      <c r="Q352" s="2" t="str">
        <f>IFERROR(IF(MARÍTIMOS[[#This Row],[Puerto de Retiro]]="","",MARÍTIMOS[[#This Row],[Puerto de Retiro]]),"")</f>
        <v>CALLAO</v>
      </c>
      <c r="R352" s="2" t="str">
        <f>IFERROR(IF(MARÍTIMOS[[#This Row],[Almacén de Retiro]]="","",MARÍTIMOS[[#This Row],[Almacén de Retiro]]),"")</f>
        <v>DPW</v>
      </c>
      <c r="S352" s="11">
        <f>IFERROR(IF(MARÍTIMOS[[#This Row],[Etapa Retiro - Cita]]="","",MARÍTIMOS[[#This Row],[Etapa Retiro - Cita]]),"")</f>
        <v>46212.583333333336</v>
      </c>
      <c r="T352" s="11">
        <f>IFERROR(IF(MARÍTIMOS[[#This Row],[Etapa Retiro - Llegada]]="","",MARÍTIMOS[[#This Row],[Etapa Retiro - Llegada]]),"")</f>
        <v>46212.557638888888</v>
      </c>
      <c r="U352" s="11">
        <f>IFERROR(IF(MARÍTIMOS[[#This Row],[Etapa Retiro - Ingreso]]="","",MARÍTIMOS[[#This Row],[Etapa Retiro - Ingreso]]),"")</f>
        <v>46212.593055555553</v>
      </c>
      <c r="V352" s="11">
        <f>IFERROR(IF(MARÍTIMOS[[#This Row],[Etapa Retiro - Atención]]="","",MARÍTIMOS[[#This Row],[Etapa Retiro - Atención]]),"")</f>
        <v>46212.598611111112</v>
      </c>
      <c r="W352" s="11">
        <f>IFERROR(IF(MARÍTIMOS[[#This Row],[Etapa Retiro - Atención]]="","",MARÍTIMOS[[#This Row],[Etapa Retiro - Atención]]),"")</f>
        <v>46212.598611111112</v>
      </c>
      <c r="X352" s="11">
        <f>IFERROR(IF(MARÍTIMOS[[#This Row],[Etapa Retiro - Inicio de Ruta]]="","",MARÍTIMOS[[#This Row],[Etapa Retiro - Inicio de Ruta]]),"")</f>
        <v>46212.668055555558</v>
      </c>
      <c r="Y352" s="11">
        <f>IFERROR(IF(MARÍTIMOS[[#This Row],[Hora de Posicionamiento]]="","",MARÍTIMOS[[#This Row],[Fecha de Carga]]+MARÍTIMOS[[#This Row],[Hora de Posicionamiento]]),"")</f>
        <v>46213.541666666664</v>
      </c>
      <c r="Z352" s="11">
        <f>IFERROR(IF(MARÍTIMOS[[#This Row],[Etapa Despacho - Llegada]]="","",MARÍTIMOS[[#This Row],[Etapa Despacho - Llegada]]),"")</f>
        <v>46213.263888888891</v>
      </c>
      <c r="AA352" s="11">
        <f>IFERROR(IF(MARÍTIMOS[[#This Row],[Etapa Despacho - Registro]]="","",MARÍTIMOS[[#This Row],[Etapa Despacho - Registro]]),"")</f>
        <v>46213.354166666664</v>
      </c>
      <c r="AB352" s="11">
        <f>IFERROR(IF(MARÍTIMOS[[#This Row],[Inspección Externa]]="","",MARÍTIMOS[[#This Row],[Inspección Externa]]),"")</f>
        <v>46213.384722222225</v>
      </c>
      <c r="AC352" s="11">
        <f>IFERROR(IF(MARÍTIMOS[[#This Row],[Etapa Despacho - Inicio de Carga]]="","",MARÍTIMOS[[#This Row],[Etapa Despacho - Inicio de Carga]]),"")</f>
        <v>46213.420138888891</v>
      </c>
      <c r="AD352" s="11" t="str">
        <f>IFERROR(IF(MARÍTIMOS[[#This Row],[Etapa Despacho - Mitad de Carga]]="","",MARÍTIMOS[[#This Row],[Etapa Despacho - Mitad de Carga]]),"")</f>
        <v/>
      </c>
      <c r="AE352" s="11">
        <f>IFERROR(IF(MARÍTIMOS[[#This Row],[Etapa Despacho - Fin de Carga]]="","",MARÍTIMOS[[#This Row],[Etapa Despacho - Fin de Carga]]),"")</f>
        <v>46213.725694444445</v>
      </c>
      <c r="AF352" s="2" t="str">
        <f>IFERROR(IF(MARÍTIMOS[[#This Row],[Puerto de Embarque]]="","",MARÍTIMOS[[#This Row],[Puerto de Embarque]]),"")</f>
        <v>CALLAO</v>
      </c>
      <c r="AG352" s="2" t="str">
        <f>IFERROR(IF(MARÍTIMOS[[#This Row],[Almacén de Ingreso]]="","",MARÍTIMOS[[#This Row],[Almacén de Ingreso]]),"")</f>
        <v>DPW</v>
      </c>
      <c r="AH352" s="11">
        <f>IFERROR(IF(MARÍTIMOS[[#This Row],[Etapa Ingreso - Cita]]="","",MARÍTIMOS[[#This Row],[Etapa Ingreso - Cita]]),"")</f>
        <v>46214.333333333336</v>
      </c>
      <c r="AI352" s="11">
        <f>IFERROR(IF(MARÍTIMOS[[#This Row],[Etapa Ingreso - Llegada]]="","",MARÍTIMOS[[#This Row],[Etapa Ingreso - Llegada]]),"")</f>
        <v>46214.34652777778</v>
      </c>
      <c r="AJ352" s="11">
        <f>IFERROR(IF(MARÍTIMOS[[#This Row],[Etapa Ingreso - Ingeso]]="","",MARÍTIMOS[[#This Row],[Etapa Ingreso - Ingeso]]),"")</f>
        <v>46214.355555555558</v>
      </c>
      <c r="AK352" s="11">
        <f>IFERROR(IF(MARÍTIMOS[[#This Row],[Etapa Ingreso - Atención]]="","",MARÍTIMOS[[#This Row],[Etapa Ingreso - Atención]]),"")</f>
        <v>46214.364583333336</v>
      </c>
      <c r="AL352" s="11">
        <f>IFERROR(IF(MARÍTIMOS[[#This Row],[Etapa Ingreso - Salida]]="","",MARÍTIMOS[[#This Row],[Etapa Ingreso - Salida]]),"")</f>
        <v>46214.372916666667</v>
      </c>
      <c r="AM352" s="2">
        <f>IFERROR(IF(MARÍTIMOS[[#This Row],[FCL]]="","",MARÍTIMOS[[#This Row],[FCL]]),"")</f>
        <v>1</v>
      </c>
      <c r="AN3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2" s="4" t="str" cm="1">
        <f t="array" ref="AO3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2" s="5">
        <f>IFERROR(OLDBD[[#This Row],[Llegada a packing]]-OLDBD[[#This Row],[Inicio de Ruta]],"")</f>
        <v>0.59583333333284827</v>
      </c>
      <c r="AQ352" s="6">
        <f>IFERROR(OLDBD[[#This Row],[Inicio de Ruta]]-OLDBD[[#This Row],[Salida de almacén de retiro]],"")</f>
        <v>6.9444444445252884E-2</v>
      </c>
      <c r="AR3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52" s="8" t="str" cm="1">
        <f t="array" ref="AS3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2" s="9">
        <f>IFERROR(OLDBD[[#This Row],[Ingreso Packing]]-OLDBD[[#This Row],[Registro en Packing]],"")</f>
        <v>3.0555555560567882E-2</v>
      </c>
      <c r="AV352" s="9">
        <f>IFERROR(OLDBD[[#This Row],[Ingreso Packing]]-OLDBD[[#This Row],[Llegada a packing]],"")</f>
        <v>0.12083333333430346</v>
      </c>
      <c r="AW3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2" s="5">
        <f>IFERROR(OLDBD[[#This Row],[Llegada Almacén de Ingreso]]-OLDBD[[#This Row],[Salida Packing]],"")</f>
        <v>0.62083333333430346</v>
      </c>
      <c r="AY352" s="4" t="str" cm="1">
        <f t="array" ref="AY3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52" s="43" t="s">
        <v>173</v>
      </c>
      <c r="BB352" s="47" t="str">
        <f>IFERROR(IF(MARÍTIMOS[[#This Row],[Estatus]]="","",MARÍTIMOS[[#This Row],[Estatus]]),"")</f>
        <v>Confirmado</v>
      </c>
      <c r="BC352" s="43"/>
      <c r="BD352" s="46">
        <f>IFERROR(OLDBD[[#This Row],[Salida de almacén de retiro]]-OLDBD[[#This Row],[Ingreso Almacén de retiro]],"")</f>
        <v>5.5555555591126904E-3</v>
      </c>
      <c r="BE352" s="46" t="str">
        <f>IFERROR(OLDBD[[#This Row],[Fin de Carga]]-OLDBD[[#This Row],[Inicio de Carga]],"")</f>
        <v/>
      </c>
    </row>
    <row r="353" spans="1:57" customFormat="1" hidden="1">
      <c r="A353" s="1"/>
      <c r="B353" s="1">
        <f>IFERROR(IF(MARÍTIMOS[[#This Row],[PP]]="","",MARÍTIMOS[[#This Row],[PP]]),"")</f>
        <v>28</v>
      </c>
      <c r="C353" s="1" t="str">
        <f>IFERROR(IF(MARÍTIMOS[[#This Row],[Sede]]="","",MARÍTIMOS[[#This Row],[Sede]]),"")</f>
        <v>Chao</v>
      </c>
      <c r="D353" s="1" t="str">
        <f>IFERROR(IF(MARÍTIMOS[[#This Row],[Instruction]]="","",MARÍTIMOS[[#This Row],[Instruction]]),"")</f>
        <v>RH-0141</v>
      </c>
      <c r="E353" s="1"/>
      <c r="F353" s="2" t="str">
        <f>IFERROR(IF(MARÍTIMOS[[#This Row],[Transportista]]="","",MARÍTIMOS[[#This Row],[Transportista]]),"")</f>
        <v>Maersk</v>
      </c>
      <c r="G353" s="2" t="str">
        <f>IFERROR(IF(MARÍTIMOS[[#This Row],[Tercero]]="","",MARÍTIMOS[[#This Row],[Tercero]]),"")</f>
        <v>NO</v>
      </c>
      <c r="H353" s="2" t="str">
        <f>IFERROR(IF(MARÍTIMOS[[#This Row],[Razón Social]]="","",MARÍTIMOS[[#This Row],[Razón Social]]),"")</f>
        <v>MAERK LOGISTIC &amp; SERVICES PERU S.A</v>
      </c>
      <c r="I353" s="2">
        <f>IFERROR(IF(MARÍTIMOS[[#This Row],[RUC]]="","",MARÍTIMOS[[#This Row],[RUC]]),"")</f>
        <v>20107012011</v>
      </c>
      <c r="J353" s="2" t="str">
        <f>IFERROR(IF(MARÍTIMOS[[#This Row],[Placa Tracto]]="","",MARÍTIMOS[[#This Row],[Placa Tracto]]),"")</f>
        <v>BTL946</v>
      </c>
      <c r="K353" s="2" t="str">
        <f>IFERROR(IF(MARÍTIMOS[[#This Row],[Placa Carreta]]="","",MARÍTIMOS[[#This Row],[Placa Carreta]]),"")</f>
        <v>D9Z973</v>
      </c>
      <c r="L353" s="44" t="str">
        <f>IFERROR(IF(MARÍTIMOS[[#This Row],[Conductor]]="","",MARÍTIMOS[[#This Row],[Conductor]]),"")</f>
        <v>HERLIN RIVERA / JORGE VERA</v>
      </c>
      <c r="M353" s="2" t="str">
        <f>IFERROR(IF(MARÍTIMOS[[#This Row],[Licencia]]="","",MARÍTIMOS[[#This Row],[Licencia]]),"")</f>
        <v>Q44998824 / Q08155962</v>
      </c>
      <c r="N353" s="2" t="str">
        <f>IFERROR(IF(MARÍTIMOS[[#This Row],[Número de Contacto]]="","",MARÍTIMOS[[#This Row],[Número de Contacto]]),"")</f>
        <v xml:space="preserve">-  </v>
      </c>
      <c r="O353" s="10">
        <f>IFERROR(IF(MARÍTIMOS[[#This Row],[Booking|AWB|CRT]]="","",MARÍTIMOS[[#This Row],[Booking|AWB|CRT]]),"")</f>
        <v>751600038726</v>
      </c>
      <c r="P353" s="2" t="str">
        <f>IFERROR(IF(MARÍTIMOS[[#This Row],[Contenedor]]="","",MARÍTIMOS[[#This Row],[Contenedor]]),"")</f>
        <v>EMCU5622750</v>
      </c>
      <c r="Q353" s="2" t="str">
        <f>IFERROR(IF(MARÍTIMOS[[#This Row],[Puerto de Retiro]]="","",MARÍTIMOS[[#This Row],[Puerto de Retiro]]),"")</f>
        <v>CALLAO</v>
      </c>
      <c r="R353" s="2" t="str">
        <f>IFERROR(IF(MARÍTIMOS[[#This Row],[Almacén de Retiro]]="","",MARÍTIMOS[[#This Row],[Almacén de Retiro]]),"")</f>
        <v>IMUPESA</v>
      </c>
      <c r="S353" s="11">
        <f>IFERROR(IF(MARÍTIMOS[[#This Row],[Etapa Retiro - Cita]]="","",MARÍTIMOS[[#This Row],[Etapa Retiro - Cita]]),"")</f>
        <v>46214.625</v>
      </c>
      <c r="T353" s="11">
        <f>IFERROR(IF(MARÍTIMOS[[#This Row],[Etapa Retiro - Llegada]]="","",MARÍTIMOS[[#This Row],[Etapa Retiro - Llegada]]),"")</f>
        <v>46214.628472222219</v>
      </c>
      <c r="U353" s="11">
        <f>IFERROR(IF(MARÍTIMOS[[#This Row],[Etapa Retiro - Ingreso]]="","",MARÍTIMOS[[#This Row],[Etapa Retiro - Ingreso]]),"")</f>
        <v>46214.645833333336</v>
      </c>
      <c r="V353" s="11">
        <f>IFERROR(IF(MARÍTIMOS[[#This Row],[Etapa Retiro - Atención]]="","",MARÍTIMOS[[#This Row],[Etapa Retiro - Atención]]),"")</f>
        <v>46214.663888888892</v>
      </c>
      <c r="W353" s="11">
        <f>IFERROR(IF(MARÍTIMOS[[#This Row],[Etapa Retiro - Atención]]="","",MARÍTIMOS[[#This Row],[Etapa Retiro - Atención]]),"")</f>
        <v>46214.663888888892</v>
      </c>
      <c r="X353" s="11">
        <f>IFERROR(IF(MARÍTIMOS[[#This Row],[Etapa Retiro - Inicio de Ruta]]="","",MARÍTIMOS[[#This Row],[Etapa Retiro - Inicio de Ruta]]),"")</f>
        <v>46214.995833333334</v>
      </c>
      <c r="Y353" s="11">
        <f>IFERROR(IF(MARÍTIMOS[[#This Row],[Hora de Posicionamiento]]="","",MARÍTIMOS[[#This Row],[Fecha de Carga]]+MARÍTIMOS[[#This Row],[Hora de Posicionamiento]]),"")</f>
        <v>46215.333333333336</v>
      </c>
      <c r="Z353" s="11">
        <f>IFERROR(IF(MARÍTIMOS[[#This Row],[Etapa Despacho - Llegada]]="","",MARÍTIMOS[[#This Row],[Etapa Despacho - Llegada]]),"")</f>
        <v>46215.495833333334</v>
      </c>
      <c r="AA353" s="11">
        <f>IFERROR(IF(MARÍTIMOS[[#This Row],[Etapa Despacho - Registro]]="","",MARÍTIMOS[[#This Row],[Etapa Despacho - Registro]]),"")</f>
        <v>46215.504166666666</v>
      </c>
      <c r="AB353" s="11">
        <f>IFERROR(IF(MARÍTIMOS[[#This Row],[Inspección Externa]]="","",MARÍTIMOS[[#This Row],[Inspección Externa]]),"")</f>
        <v>46215.509722222225</v>
      </c>
      <c r="AC353" s="11">
        <f>IFERROR(IF(MARÍTIMOS[[#This Row],[Etapa Despacho - Inicio de Carga]]="","",MARÍTIMOS[[#This Row],[Etapa Despacho - Inicio de Carga]]),"")</f>
        <v>46215.552083333336</v>
      </c>
      <c r="AD353" s="11" t="str">
        <f>IFERROR(IF(MARÍTIMOS[[#This Row],[Etapa Despacho - Mitad de Carga]]="","",MARÍTIMOS[[#This Row],[Etapa Despacho - Mitad de Carga]]),"")</f>
        <v/>
      </c>
      <c r="AE353" s="11">
        <f>IFERROR(IF(MARÍTIMOS[[#This Row],[Etapa Despacho - Fin de Carga]]="","",MARÍTIMOS[[#This Row],[Etapa Despacho - Fin de Carga]]),"")</f>
        <v>194.72222222222223</v>
      </c>
      <c r="AF353" s="2" t="str">
        <f>IFERROR(IF(MARÍTIMOS[[#This Row],[Puerto de Embarque]]="","",MARÍTIMOS[[#This Row],[Puerto de Embarque]]),"")</f>
        <v>CALLAO</v>
      </c>
      <c r="AG353" s="2" t="str">
        <f>IFERROR(IF(MARÍTIMOS[[#This Row],[Almacén de Ingreso]]="","",MARÍTIMOS[[#This Row],[Almacén de Ingreso]]),"")</f>
        <v>DPW</v>
      </c>
      <c r="AH353" s="11">
        <f>IFERROR(IF(MARÍTIMOS[[#This Row],[Etapa Ingreso - Cita]]="","",MARÍTIMOS[[#This Row],[Etapa Ingreso - Cita]]),"")</f>
        <v>46216.208333333336</v>
      </c>
      <c r="AI353" s="11">
        <f>IFERROR(IF(MARÍTIMOS[[#This Row],[Etapa Ingreso - Llegada]]="","",MARÍTIMOS[[#This Row],[Etapa Ingreso - Llegada]]),"")</f>
        <v>46216.195833333331</v>
      </c>
      <c r="AJ353" s="11">
        <f>IFERROR(IF(MARÍTIMOS[[#This Row],[Etapa Ingreso - Ingeso]]="","",MARÍTIMOS[[#This Row],[Etapa Ingreso - Ingeso]]),"")</f>
        <v>46216.202777777777</v>
      </c>
      <c r="AK353" s="11">
        <f>IFERROR(IF(MARÍTIMOS[[#This Row],[Etapa Ingreso - Atención]]="","",MARÍTIMOS[[#This Row],[Etapa Ingreso - Atención]]),"")</f>
        <v>46216.206944444442</v>
      </c>
      <c r="AL353" s="11">
        <f>IFERROR(IF(MARÍTIMOS[[#This Row],[Etapa Ingreso - Salida]]="","",MARÍTIMOS[[#This Row],[Etapa Ingreso - Salida]]),"")</f>
        <v>46216.215277777781</v>
      </c>
      <c r="AM353" s="2">
        <f>IFERROR(IF(MARÍTIMOS[[#This Row],[FCL]]="","",MARÍTIMOS[[#This Row],[FCL]]),"")</f>
        <v>1</v>
      </c>
      <c r="AN3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3" s="4" t="str" cm="1">
        <f t="array" ref="AO3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3" s="5">
        <f>IFERROR(OLDBD[[#This Row],[Llegada a packing]]-OLDBD[[#This Row],[Inicio de Ruta]],"")</f>
        <v>0.5</v>
      </c>
      <c r="AQ353" s="6">
        <f>IFERROR(OLDBD[[#This Row],[Inicio de Ruta]]-OLDBD[[#This Row],[Salida de almacén de retiro]],"")</f>
        <v>0.3319444444423425</v>
      </c>
      <c r="AR3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53" s="8" t="str" cm="1">
        <f t="array" ref="AS3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3" s="9">
        <f>IFERROR(OLDBD[[#This Row],[Ingreso Packing]]-OLDBD[[#This Row],[Registro en Packing]],"")</f>
        <v>5.5555555591126904E-3</v>
      </c>
      <c r="AV353" s="9">
        <f>IFERROR(OLDBD[[#This Row],[Ingreso Packing]]-OLDBD[[#This Row],[Llegada a packing]],"")</f>
        <v>1.3888888890505768E-2</v>
      </c>
      <c r="AW3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3" s="5">
        <f>IFERROR(OLDBD[[#This Row],[Llegada Almacén de Ingreso]]-OLDBD[[#This Row],[Salida Packing]],"")</f>
        <v>46021.473611111112</v>
      </c>
      <c r="AY353" s="4" t="str" cm="1">
        <f t="array" ref="AY3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53" s="43" t="s">
        <v>173</v>
      </c>
      <c r="BB353" s="47" t="str">
        <f>IFERROR(IF(MARÍTIMOS[[#This Row],[Estatus]]="","",MARÍTIMOS[[#This Row],[Estatus]]),"")</f>
        <v>Confirmado</v>
      </c>
      <c r="BC353" s="43"/>
      <c r="BD353" s="46">
        <f>IFERROR(OLDBD[[#This Row],[Salida de almacén de retiro]]-OLDBD[[#This Row],[Ingreso Almacén de retiro]],"")</f>
        <v>1.8055555556202307E-2</v>
      </c>
      <c r="BE353" s="46" t="str">
        <f>IFERROR(OLDBD[[#This Row],[Fin de Carga]]-OLDBD[[#This Row],[Inicio de Carga]],"")</f>
        <v/>
      </c>
    </row>
    <row r="354" spans="1:57" customFormat="1" hidden="1">
      <c r="A354" s="1"/>
      <c r="B354" s="1">
        <f>IFERROR(IF(MARÍTIMOS[[#This Row],[PP]]="","",MARÍTIMOS[[#This Row],[PP]]),"")</f>
        <v>28</v>
      </c>
      <c r="C354" s="1" t="str">
        <f>IFERROR(IF(MARÍTIMOS[[#This Row],[Sede]]="","",MARÍTIMOS[[#This Row],[Sede]]),"")</f>
        <v>Chao</v>
      </c>
      <c r="D354" s="1" t="str">
        <f>IFERROR(IF(MARÍTIMOS[[#This Row],[Instruction]]="","",MARÍTIMOS[[#This Row],[Instruction]]),"")</f>
        <v>RH-0142</v>
      </c>
      <c r="E354" s="1"/>
      <c r="F354" s="2" t="str">
        <f>IFERROR(IF(MARÍTIMOS[[#This Row],[Transportista]]="","",MARÍTIMOS[[#This Row],[Transportista]]),"")</f>
        <v>Maersk</v>
      </c>
      <c r="G354" s="2" t="str">
        <f>IFERROR(IF(MARÍTIMOS[[#This Row],[Tercero]]="","",MARÍTIMOS[[#This Row],[Tercero]]),"")</f>
        <v>NO</v>
      </c>
      <c r="H354" s="2" t="str">
        <f>IFERROR(IF(MARÍTIMOS[[#This Row],[Razón Social]]="","",MARÍTIMOS[[#This Row],[Razón Social]]),"")</f>
        <v>MAERK LOGISTIC &amp; SERVICES PERU S.A</v>
      </c>
      <c r="I354" s="2">
        <f>IFERROR(IF(MARÍTIMOS[[#This Row],[RUC]]="","",MARÍTIMOS[[#This Row],[RUC]]),"")</f>
        <v>20107012011</v>
      </c>
      <c r="J354" s="2" t="str">
        <f>IFERROR(IF(MARÍTIMOS[[#This Row],[Placa Tracto]]="","",MARÍTIMOS[[#This Row],[Placa Tracto]]),"")</f>
        <v>AJP729</v>
      </c>
      <c r="K354" s="2" t="str">
        <f>IFERROR(IF(MARÍTIMOS[[#This Row],[Placa Carreta]]="","",MARÍTIMOS[[#This Row],[Placa Carreta]]),"")</f>
        <v>BFJ970</v>
      </c>
      <c r="L354" s="44" t="str">
        <f>IFERROR(IF(MARÍTIMOS[[#This Row],[Conductor]]="","",MARÍTIMOS[[#This Row],[Conductor]]),"")</f>
        <v>LUIS VILLANUEVA / ROLANDO TICLIAHUANCA</v>
      </c>
      <c r="M354" s="2" t="str">
        <f>IFERROR(IF(MARÍTIMOS[[#This Row],[Licencia]]="","",MARÍTIMOS[[#This Row],[Licencia]]),"")</f>
        <v>P44024941 / Q42765284</v>
      </c>
      <c r="N354" s="2" t="str">
        <f>IFERROR(IF(MARÍTIMOS[[#This Row],[Número de Contacto]]="","",MARÍTIMOS[[#This Row],[Número de Contacto]]),"")</f>
        <v xml:space="preserve">-  </v>
      </c>
      <c r="O354" s="10">
        <f>IFERROR(IF(MARÍTIMOS[[#This Row],[Booking|AWB|CRT]]="","",MARÍTIMOS[[#This Row],[Booking|AWB|CRT]]),"")</f>
        <v>751600038742</v>
      </c>
      <c r="P354" s="2" t="str">
        <f>IFERROR(IF(MARÍTIMOS[[#This Row],[Contenedor]]="","",MARÍTIMOS[[#This Row],[Contenedor]]),"")</f>
        <v>EMCU5588050</v>
      </c>
      <c r="Q354" s="2" t="str">
        <f>IFERROR(IF(MARÍTIMOS[[#This Row],[Puerto de Retiro]]="","",MARÍTIMOS[[#This Row],[Puerto de Retiro]]),"")</f>
        <v>CALLAO</v>
      </c>
      <c r="R354" s="2" t="str">
        <f>IFERROR(IF(MARÍTIMOS[[#This Row],[Almacén de Retiro]]="","",MARÍTIMOS[[#This Row],[Almacén de Retiro]]),"")</f>
        <v>IMUPESA</v>
      </c>
      <c r="S354" s="11">
        <f>IFERROR(IF(MARÍTIMOS[[#This Row],[Etapa Retiro - Cita]]="","",MARÍTIMOS[[#This Row],[Etapa Retiro - Cita]]),"")</f>
        <v>46214.625</v>
      </c>
      <c r="T354" s="11">
        <f>IFERROR(IF(MARÍTIMOS[[#This Row],[Etapa Retiro - Llegada]]="","",MARÍTIMOS[[#This Row],[Etapa Retiro - Llegada]]),"")</f>
        <v>46214.7</v>
      </c>
      <c r="U354" s="11">
        <f>IFERROR(IF(MARÍTIMOS[[#This Row],[Etapa Retiro - Ingreso]]="","",MARÍTIMOS[[#This Row],[Etapa Retiro - Ingreso]]),"")</f>
        <v>46214.706250000003</v>
      </c>
      <c r="V354" s="11">
        <f>IFERROR(IF(MARÍTIMOS[[#This Row],[Etapa Retiro - Atención]]="","",MARÍTIMOS[[#This Row],[Etapa Retiro - Atención]]),"")</f>
        <v>46214.713888888888</v>
      </c>
      <c r="W354" s="11">
        <f>IFERROR(IF(MARÍTIMOS[[#This Row],[Etapa Retiro - Atención]]="","",MARÍTIMOS[[#This Row],[Etapa Retiro - Atención]]),"")</f>
        <v>46214.713888888888</v>
      </c>
      <c r="X354" s="11">
        <f>IFERROR(IF(MARÍTIMOS[[#This Row],[Etapa Retiro - Inicio de Ruta]]="","",MARÍTIMOS[[#This Row],[Etapa Retiro - Inicio de Ruta]]),"")</f>
        <v>46214.989583333336</v>
      </c>
      <c r="Y354" s="11">
        <f>IFERROR(IF(MARÍTIMOS[[#This Row],[Hora de Posicionamiento]]="","",MARÍTIMOS[[#This Row],[Fecha de Carga]]+MARÍTIMOS[[#This Row],[Hora de Posicionamiento]]),"")</f>
        <v>46215.333333333336</v>
      </c>
      <c r="Z354" s="11">
        <f>IFERROR(IF(MARÍTIMOS[[#This Row],[Etapa Despacho - Llegada]]="","",MARÍTIMOS[[#This Row],[Etapa Despacho - Llegada]]),"")</f>
        <v>46215.493055555555</v>
      </c>
      <c r="AA354" s="11">
        <f>IFERROR(IF(MARÍTIMOS[[#This Row],[Etapa Despacho - Registro]]="","",MARÍTIMOS[[#This Row],[Etapa Despacho - Registro]]),"")</f>
        <v>46215.5</v>
      </c>
      <c r="AB354" s="11">
        <f>IFERROR(IF(MARÍTIMOS[[#This Row],[Inspección Externa]]="","",MARÍTIMOS[[#This Row],[Inspección Externa]]),"")</f>
        <v>46215.506944444445</v>
      </c>
      <c r="AC354" s="11">
        <f>IFERROR(IF(MARÍTIMOS[[#This Row],[Etapa Despacho - Inicio de Carga]]="","",MARÍTIMOS[[#This Row],[Etapa Despacho - Inicio de Carga]]),"")</f>
        <v>46215.545138888891</v>
      </c>
      <c r="AD354" s="11" t="str">
        <f>IFERROR(IF(MARÍTIMOS[[#This Row],[Etapa Despacho - Mitad de Carga]]="","",MARÍTIMOS[[#This Row],[Etapa Despacho - Mitad de Carga]]),"")</f>
        <v/>
      </c>
      <c r="AE354" s="11">
        <f>IFERROR(IF(MARÍTIMOS[[#This Row],[Etapa Despacho - Fin de Carga]]="","",MARÍTIMOS[[#This Row],[Etapa Despacho - Fin de Carga]]),"")</f>
        <v>46215.736111111109</v>
      </c>
      <c r="AF354" s="2" t="str">
        <f>IFERROR(IF(MARÍTIMOS[[#This Row],[Puerto de Embarque]]="","",MARÍTIMOS[[#This Row],[Puerto de Embarque]]),"")</f>
        <v>CALLAO</v>
      </c>
      <c r="AG354" s="2" t="str">
        <f>IFERROR(IF(MARÍTIMOS[[#This Row],[Almacén de Ingreso]]="","",MARÍTIMOS[[#This Row],[Almacén de Ingreso]]),"")</f>
        <v>DPW</v>
      </c>
      <c r="AH354" s="11">
        <f>IFERROR(IF(MARÍTIMOS[[#This Row],[Etapa Ingreso - Cita]]="","",MARÍTIMOS[[#This Row],[Etapa Ingreso - Cita]]),"")</f>
        <v>46216.25</v>
      </c>
      <c r="AI354" s="11">
        <f>IFERROR(IF(MARÍTIMOS[[#This Row],[Etapa Ingreso - Llegada]]="","",MARÍTIMOS[[#This Row],[Etapa Ingreso - Llegada]]),"")</f>
        <v>46216.306944444441</v>
      </c>
      <c r="AJ354" s="11">
        <f>IFERROR(IF(MARÍTIMOS[[#This Row],[Etapa Ingreso - Ingeso]]="","",MARÍTIMOS[[#This Row],[Etapa Ingreso - Ingeso]]),"")</f>
        <v>46216.324999999997</v>
      </c>
      <c r="AK354" s="11">
        <f>IFERROR(IF(MARÍTIMOS[[#This Row],[Etapa Ingreso - Atención]]="","",MARÍTIMOS[[#This Row],[Etapa Ingreso - Atención]]),"")</f>
        <v>46216.327777777777</v>
      </c>
      <c r="AL354" s="11">
        <f>IFERROR(IF(MARÍTIMOS[[#This Row],[Etapa Ingreso - Salida]]="","",MARÍTIMOS[[#This Row],[Etapa Ingreso - Salida]]),"")</f>
        <v>46216.335416666669</v>
      </c>
      <c r="AM354" s="2">
        <f>IFERROR(IF(MARÍTIMOS[[#This Row],[FCL]]="","",MARÍTIMOS[[#This Row],[FCL]]),"")</f>
        <v>1</v>
      </c>
      <c r="AN3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4" s="4" t="str" cm="1">
        <f t="array" ref="AO3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4" s="5">
        <f>IFERROR(OLDBD[[#This Row],[Llegada a packing]]-OLDBD[[#This Row],[Inicio de Ruta]],"")</f>
        <v>0.50347222221898846</v>
      </c>
      <c r="AQ354" s="6">
        <f>IFERROR(OLDBD[[#This Row],[Inicio de Ruta]]-OLDBD[[#This Row],[Salida de almacén de retiro]],"")</f>
        <v>0.27569444444816327</v>
      </c>
      <c r="AR3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54" s="8" t="str" cm="1">
        <f t="array" ref="AS3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4" s="9">
        <f>IFERROR(OLDBD[[#This Row],[Ingreso Packing]]-OLDBD[[#This Row],[Registro en Packing]],"")</f>
        <v>6.9444444452528842E-3</v>
      </c>
      <c r="AV354" s="9">
        <f>IFERROR(OLDBD[[#This Row],[Ingreso Packing]]-OLDBD[[#This Row],[Llegada a packing]],"")</f>
        <v>1.3888888890505768E-2</v>
      </c>
      <c r="AW3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4" s="5">
        <f>IFERROR(OLDBD[[#This Row],[Llegada Almacén de Ingreso]]-OLDBD[[#This Row],[Salida Packing]],"")</f>
        <v>0.57083333333139308</v>
      </c>
      <c r="AY354" s="4" t="str" cm="1">
        <f t="array" ref="AY3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54" s="43" t="s">
        <v>173</v>
      </c>
      <c r="BB354" s="47" t="str">
        <f>IFERROR(IF(MARÍTIMOS[[#This Row],[Estatus]]="","",MARÍTIMOS[[#This Row],[Estatus]]),"")</f>
        <v>Confirmado</v>
      </c>
      <c r="BC354" s="43"/>
      <c r="BD354" s="46">
        <f>IFERROR(OLDBD[[#This Row],[Salida de almacén de retiro]]-OLDBD[[#This Row],[Ingreso Almacén de retiro]],"")</f>
        <v>7.6388888846850023E-3</v>
      </c>
      <c r="BE354" s="46" t="str">
        <f>IFERROR(OLDBD[[#This Row],[Fin de Carga]]-OLDBD[[#This Row],[Inicio de Carga]],"")</f>
        <v/>
      </c>
    </row>
    <row r="355" spans="1:57" customFormat="1" hidden="1">
      <c r="A355" s="1"/>
      <c r="B355" s="1">
        <f>IFERROR(IF(MARÍTIMOS[[#This Row],[PP]]="","",MARÍTIMOS[[#This Row],[PP]]),"")</f>
        <v>28</v>
      </c>
      <c r="C355" s="1" t="str">
        <f>IFERROR(IF(MARÍTIMOS[[#This Row],[Sede]]="","",MARÍTIMOS[[#This Row],[Sede]]),"")</f>
        <v>Chao</v>
      </c>
      <c r="D355" s="1" t="str">
        <f>IFERROR(IF(MARÍTIMOS[[#This Row],[Instruction]]="","",MARÍTIMOS[[#This Row],[Instruction]]),"")</f>
        <v>RH-0143</v>
      </c>
      <c r="E355" s="1"/>
      <c r="F355" s="2" t="str">
        <f>IFERROR(IF(MARÍTIMOS[[#This Row],[Transportista]]="","",MARÍTIMOS[[#This Row],[Transportista]]),"")</f>
        <v>Maersk</v>
      </c>
      <c r="G355" s="2" t="str">
        <f>IFERROR(IF(MARÍTIMOS[[#This Row],[Tercero]]="","",MARÍTIMOS[[#This Row],[Tercero]]),"")</f>
        <v>NO</v>
      </c>
      <c r="H355" s="2" t="str">
        <f>IFERROR(IF(MARÍTIMOS[[#This Row],[Razón Social]]="","",MARÍTIMOS[[#This Row],[Razón Social]]),"")</f>
        <v>MAERK LOGISTIC &amp; SERVICES PERU S.A</v>
      </c>
      <c r="I355" s="2">
        <f>IFERROR(IF(MARÍTIMOS[[#This Row],[RUC]]="","",MARÍTIMOS[[#This Row],[RUC]]),"")</f>
        <v>20107012011</v>
      </c>
      <c r="J355" s="2" t="str">
        <f>IFERROR(IF(MARÍTIMOS[[#This Row],[Placa Tracto]]="","",MARÍTIMOS[[#This Row],[Placa Tracto]]),"")</f>
        <v>APC756</v>
      </c>
      <c r="K355" s="2" t="str">
        <f>IFERROR(IF(MARÍTIMOS[[#This Row],[Placa Carreta]]="","",MARÍTIMOS[[#This Row],[Placa Carreta]]),"")</f>
        <v>BEC984</v>
      </c>
      <c r="L355" s="44" t="str">
        <f>IFERROR(IF(MARÍTIMOS[[#This Row],[Conductor]]="","",MARÍTIMOS[[#This Row],[Conductor]]),"")</f>
        <v>PATRICK ERIK ATENCIO/ LUIS MENDOZA</v>
      </c>
      <c r="M355" s="2" t="str">
        <f>IFERROR(IF(MARÍTIMOS[[#This Row],[Licencia]]="","",MARÍTIMOS[[#This Row],[Licencia]]),"")</f>
        <v>Q41655436 / Q41419684</v>
      </c>
      <c r="N355" s="2" t="str">
        <f>IFERROR(IF(MARÍTIMOS[[#This Row],[Número de Contacto]]="","",MARÍTIMOS[[#This Row],[Número de Contacto]]),"")</f>
        <v xml:space="preserve">-  </v>
      </c>
      <c r="O355" s="10">
        <f>IFERROR(IF(MARÍTIMOS[[#This Row],[Booking|AWB|CRT]]="","",MARÍTIMOS[[#This Row],[Booking|AWB|CRT]]),"")</f>
        <v>751600038751</v>
      </c>
      <c r="P355" s="2" t="str">
        <f>IFERROR(IF(MARÍTIMOS[[#This Row],[Contenedor]]="","",MARÍTIMOS[[#This Row],[Contenedor]]),"")</f>
        <v>EMCU5662394</v>
      </c>
      <c r="Q355" s="2" t="str">
        <f>IFERROR(IF(MARÍTIMOS[[#This Row],[Puerto de Retiro]]="","",MARÍTIMOS[[#This Row],[Puerto de Retiro]]),"")</f>
        <v>CALLAO</v>
      </c>
      <c r="R355" s="2" t="str">
        <f>IFERROR(IF(MARÍTIMOS[[#This Row],[Almacén de Retiro]]="","",MARÍTIMOS[[#This Row],[Almacén de Retiro]]),"")</f>
        <v>IMUPESA</v>
      </c>
      <c r="S355" s="11">
        <f>IFERROR(IF(MARÍTIMOS[[#This Row],[Etapa Retiro - Cita]]="","",MARÍTIMOS[[#This Row],[Etapa Retiro - Cita]]),"")</f>
        <v>46214.666666666664</v>
      </c>
      <c r="T355" s="11">
        <f>IFERROR(IF(MARÍTIMOS[[#This Row],[Etapa Retiro - Llegada]]="","",MARÍTIMOS[[#This Row],[Etapa Retiro - Llegada]]),"")</f>
        <v>46214.665277777778</v>
      </c>
      <c r="U355" s="11">
        <f>IFERROR(IF(MARÍTIMOS[[#This Row],[Etapa Retiro - Ingreso]]="","",MARÍTIMOS[[#This Row],[Etapa Retiro - Ingreso]]),"")</f>
        <v>46214.67083333333</v>
      </c>
      <c r="V355" s="11">
        <f>IFERROR(IF(MARÍTIMOS[[#This Row],[Etapa Retiro - Atención]]="","",MARÍTIMOS[[#This Row],[Etapa Retiro - Atención]]),"")</f>
        <v>46214.683333333334</v>
      </c>
      <c r="W355" s="11">
        <f>IFERROR(IF(MARÍTIMOS[[#This Row],[Etapa Retiro - Atención]]="","",MARÍTIMOS[[#This Row],[Etapa Retiro - Atención]]),"")</f>
        <v>46214.683333333334</v>
      </c>
      <c r="X355" s="11">
        <f>IFERROR(IF(MARÍTIMOS[[#This Row],[Etapa Retiro - Inicio de Ruta]]="","",MARÍTIMOS[[#This Row],[Etapa Retiro - Inicio de Ruta]]),"")</f>
        <v>46214.802777777775</v>
      </c>
      <c r="Y355" s="11">
        <f>IFERROR(IF(MARÍTIMOS[[#This Row],[Hora de Posicionamiento]]="","",MARÍTIMOS[[#This Row],[Fecha de Carga]]+MARÍTIMOS[[#This Row],[Hora de Posicionamiento]]),"")</f>
        <v>46216.333333333336</v>
      </c>
      <c r="Z355" s="11">
        <f>IFERROR(IF(MARÍTIMOS[[#This Row],[Etapa Despacho - Llegada]]="","",MARÍTIMOS[[#This Row],[Etapa Despacho - Llegada]]),"")</f>
        <v>46216.222222222219</v>
      </c>
      <c r="AA355" s="11">
        <f>IFERROR(IF(MARÍTIMOS[[#This Row],[Etapa Despacho - Registro]]="","",MARÍTIMOS[[#This Row],[Etapa Despacho - Registro]]),"")</f>
        <v>46216.28125</v>
      </c>
      <c r="AB355" s="11">
        <f>IFERROR(IF(MARÍTIMOS[[#This Row],[Inspección Externa]]="","",MARÍTIMOS[[#This Row],[Inspección Externa]]),"")</f>
        <v>46216.311805555553</v>
      </c>
      <c r="AC355" s="11">
        <f>IFERROR(IF(MARÍTIMOS[[#This Row],[Etapa Despacho - Inicio de Carga]]="","",MARÍTIMOS[[#This Row],[Etapa Despacho - Inicio de Carga]]),"")</f>
        <v>46216.354166666664</v>
      </c>
      <c r="AD355" s="11" t="str">
        <f>IFERROR(IF(MARÍTIMOS[[#This Row],[Etapa Despacho - Mitad de Carga]]="","",MARÍTIMOS[[#This Row],[Etapa Despacho - Mitad de Carga]]),"")</f>
        <v/>
      </c>
      <c r="AE355" s="11">
        <f>IFERROR(IF(MARÍTIMOS[[#This Row],[Etapa Despacho - Fin de Carga]]="","",MARÍTIMOS[[#This Row],[Etapa Despacho - Fin de Carga]]),"")</f>
        <v>46216.739583333336</v>
      </c>
      <c r="AF355" s="2" t="str">
        <f>IFERROR(IF(MARÍTIMOS[[#This Row],[Puerto de Embarque]]="","",MARÍTIMOS[[#This Row],[Puerto de Embarque]]),"")</f>
        <v>CALLAO</v>
      </c>
      <c r="AG355" s="2" t="str">
        <f>IFERROR(IF(MARÍTIMOS[[#This Row],[Almacén de Ingreso]]="","",MARÍTIMOS[[#This Row],[Almacén de Ingreso]]),"")</f>
        <v>DPW</v>
      </c>
      <c r="AH355" s="11">
        <f>IFERROR(IF(MARÍTIMOS[[#This Row],[Etapa Ingreso - Cita]]="","",MARÍTIMOS[[#This Row],[Etapa Ingreso - Cita]]),"")</f>
        <v>46217.291666666664</v>
      </c>
      <c r="AI355" s="11">
        <f>IFERROR(IF(MARÍTIMOS[[#This Row],[Etapa Ingreso - Llegada]]="","",MARÍTIMOS[[#This Row],[Etapa Ingreso - Llegada]]),"")</f>
        <v>46217.343055555553</v>
      </c>
      <c r="AJ355" s="11">
        <f>IFERROR(IF(MARÍTIMOS[[#This Row],[Etapa Ingreso - Ingeso]]="","",MARÍTIMOS[[#This Row],[Etapa Ingreso - Ingeso]]),"")</f>
        <v>46217.347222222219</v>
      </c>
      <c r="AK355" s="11">
        <f>IFERROR(IF(MARÍTIMOS[[#This Row],[Etapa Ingreso - Atención]]="","",MARÍTIMOS[[#This Row],[Etapa Ingreso - Atención]]),"")</f>
        <v>46217.361111111109</v>
      </c>
      <c r="AL355" s="11">
        <f>IFERROR(IF(MARÍTIMOS[[#This Row],[Etapa Ingreso - Salida]]="","",MARÍTIMOS[[#This Row],[Etapa Ingreso - Salida]]),"")</f>
        <v>46217.368750000001</v>
      </c>
      <c r="AM355" s="2">
        <f>IFERROR(IF(MARÍTIMOS[[#This Row],[FCL]]="","",MARÍTIMOS[[#This Row],[FCL]]),"")</f>
        <v>1</v>
      </c>
      <c r="AN3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5" s="4" t="str" cm="1">
        <f t="array" ref="AO3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5" s="5">
        <f>IFERROR(OLDBD[[#This Row],[Llegada a packing]]-OLDBD[[#This Row],[Inicio de Ruta]],"")</f>
        <v>1.4194444444437977</v>
      </c>
      <c r="AQ355" s="6">
        <f>IFERROR(OLDBD[[#This Row],[Inicio de Ruta]]-OLDBD[[#This Row],[Salida de almacén de retiro]],"")</f>
        <v>0.11944444444088731</v>
      </c>
      <c r="AR3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55" s="8" t="str" cm="1">
        <f t="array" ref="AS3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5" s="9">
        <f>IFERROR(OLDBD[[#This Row],[Ingreso Packing]]-OLDBD[[#This Row],[Registro en Packing]],"")</f>
        <v>3.0555555553291924E-2</v>
      </c>
      <c r="AV355" s="9">
        <f>IFERROR(OLDBD[[#This Row],[Ingreso Packing]]-OLDBD[[#This Row],[Llegada a packing]],"")</f>
        <v>8.9583333334303461E-2</v>
      </c>
      <c r="AW3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5" s="5">
        <f>IFERROR(OLDBD[[#This Row],[Llegada Almacén de Ingreso]]-OLDBD[[#This Row],[Salida Packing]],"")</f>
        <v>0.60347222221753327</v>
      </c>
      <c r="AY355" s="4" t="str" cm="1">
        <f t="array" ref="AY3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55" s="43" t="s">
        <v>173</v>
      </c>
      <c r="BB355" s="47" t="str">
        <f>IFERROR(IF(MARÍTIMOS[[#This Row],[Estatus]]="","",MARÍTIMOS[[#This Row],[Estatus]]),"")</f>
        <v>Confirmado</v>
      </c>
      <c r="BC355" s="43"/>
      <c r="BD355" s="46">
        <f>IFERROR(OLDBD[[#This Row],[Salida de almacén de retiro]]-OLDBD[[#This Row],[Ingreso Almacén de retiro]],"")</f>
        <v>1.2500000004365575E-2</v>
      </c>
      <c r="BE355" s="46" t="str">
        <f>IFERROR(OLDBD[[#This Row],[Fin de Carga]]-OLDBD[[#This Row],[Inicio de Carga]],"")</f>
        <v/>
      </c>
    </row>
    <row r="356" spans="1:57" customFormat="1" hidden="1">
      <c r="A356" s="1"/>
      <c r="B356" s="1">
        <f>IFERROR(IF(MARÍTIMOS[[#This Row],[PP]]="","",MARÍTIMOS[[#This Row],[PP]]),"")</f>
        <v>28</v>
      </c>
      <c r="C356" s="1" t="str">
        <f>IFERROR(IF(MARÍTIMOS[[#This Row],[Sede]]="","",MARÍTIMOS[[#This Row],[Sede]]),"")</f>
        <v>Chao</v>
      </c>
      <c r="D356" s="1" t="str">
        <f>IFERROR(IF(MARÍTIMOS[[#This Row],[Instruction]]="","",MARÍTIMOS[[#This Row],[Instruction]]),"")</f>
        <v>RH-0162</v>
      </c>
      <c r="E356" s="1"/>
      <c r="F356" s="2" t="str">
        <f>IFERROR(IF(MARÍTIMOS[[#This Row],[Transportista]]="","",MARÍTIMOS[[#This Row],[Transportista]]),"")</f>
        <v>Maersk</v>
      </c>
      <c r="G356" s="2" t="str">
        <f>IFERROR(IF(MARÍTIMOS[[#This Row],[Tercero]]="","",MARÍTIMOS[[#This Row],[Tercero]]),"")</f>
        <v>NO</v>
      </c>
      <c r="H356" s="2" t="str">
        <f>IFERROR(IF(MARÍTIMOS[[#This Row],[Razón Social]]="","",MARÍTIMOS[[#This Row],[Razón Social]]),"")</f>
        <v>MAERK LOGISTIC &amp; SERVICES PERU S.A</v>
      </c>
      <c r="I356" s="2">
        <f>IFERROR(IF(MARÍTIMOS[[#This Row],[RUC]]="","",MARÍTIMOS[[#This Row],[RUC]]),"")</f>
        <v>20107012011</v>
      </c>
      <c r="J356" s="2" t="str">
        <f>IFERROR(IF(MARÍTIMOS[[#This Row],[Placa Tracto]]="","",MARÍTIMOS[[#This Row],[Placa Tracto]]),"")</f>
        <v>BTM764</v>
      </c>
      <c r="K356" s="2" t="str">
        <f>IFERROR(IF(MARÍTIMOS[[#This Row],[Placa Carreta]]="","",MARÍTIMOS[[#This Row],[Placa Carreta]]),"")</f>
        <v>BDW976</v>
      </c>
      <c r="L356" s="44" t="str">
        <f>IFERROR(IF(MARÍTIMOS[[#This Row],[Conductor]]="","",MARÍTIMOS[[#This Row],[Conductor]]),"")</f>
        <v>WILDER IBAZETA / REMIGIO FLAVIO</v>
      </c>
      <c r="M356" s="2" t="str">
        <f>IFERROR(IF(MARÍTIMOS[[#This Row],[Licencia]]="","",MARÍTIMOS[[#This Row],[Licencia]]),"")</f>
        <v>E43472986 / E15756744</v>
      </c>
      <c r="N356" s="2" t="str">
        <f>IFERROR(IF(MARÍTIMOS[[#This Row],[Número de Contacto]]="","",MARÍTIMOS[[#This Row],[Número de Contacto]]),"")</f>
        <v xml:space="preserve">-  </v>
      </c>
      <c r="O356" s="10">
        <f>IFERROR(IF(MARÍTIMOS[[#This Row],[Booking|AWB|CRT]]="","",MARÍTIMOS[[#This Row],[Booking|AWB|CRT]]),"")</f>
        <v>751600038548</v>
      </c>
      <c r="P356" s="2" t="str">
        <f>IFERROR(IF(MARÍTIMOS[[#This Row],[Contenedor]]="","",MARÍTIMOS[[#This Row],[Contenedor]]),"")</f>
        <v>EMCU5714477</v>
      </c>
      <c r="Q356" s="2" t="str">
        <f>IFERROR(IF(MARÍTIMOS[[#This Row],[Puerto de Retiro]]="","",MARÍTIMOS[[#This Row],[Puerto de Retiro]]),"")</f>
        <v>CALLAO</v>
      </c>
      <c r="R356" s="2" t="str">
        <f>IFERROR(IF(MARÍTIMOS[[#This Row],[Almacén de Retiro]]="","",MARÍTIMOS[[#This Row],[Almacén de Retiro]]),"")</f>
        <v>DPW</v>
      </c>
      <c r="S356" s="11">
        <f>IFERROR(IF(MARÍTIMOS[[#This Row],[Etapa Retiro - Cita]]="","",MARÍTIMOS[[#This Row],[Etapa Retiro - Cita]]),"")</f>
        <v>46215.583333333336</v>
      </c>
      <c r="T356" s="11">
        <f>IFERROR(IF(MARÍTIMOS[[#This Row],[Etapa Retiro - Llegada]]="","",MARÍTIMOS[[#This Row],[Etapa Retiro - Llegada]]),"")</f>
        <v>46215.458333333336</v>
      </c>
      <c r="U356" s="11">
        <f>IFERROR(IF(MARÍTIMOS[[#This Row],[Etapa Retiro - Ingreso]]="","",MARÍTIMOS[[#This Row],[Etapa Retiro - Ingreso]]),"")</f>
        <v>46215.55</v>
      </c>
      <c r="V356" s="11">
        <f>IFERROR(IF(MARÍTIMOS[[#This Row],[Etapa Retiro - Atención]]="","",MARÍTIMOS[[#This Row],[Etapa Retiro - Atención]]),"")</f>
        <v>46215.588888888888</v>
      </c>
      <c r="W356" s="11">
        <f>IFERROR(IF(MARÍTIMOS[[#This Row],[Etapa Retiro - Atención]]="","",MARÍTIMOS[[#This Row],[Etapa Retiro - Atención]]),"")</f>
        <v>46215.588888888888</v>
      </c>
      <c r="X356" s="11">
        <f>IFERROR(IF(MARÍTIMOS[[#This Row],[Etapa Retiro - Inicio de Ruta]]="","",MARÍTIMOS[[#This Row],[Etapa Retiro - Inicio de Ruta]]),"")</f>
        <v>46215.936805555553</v>
      </c>
      <c r="Y356" s="11">
        <f>IFERROR(IF(MARÍTIMOS[[#This Row],[Hora de Posicionamiento]]="","",MARÍTIMOS[[#This Row],[Fecha de Carga]]+MARÍTIMOS[[#This Row],[Hora de Posicionamiento]]),"")</f>
        <v>46216.333333333336</v>
      </c>
      <c r="Z356" s="11">
        <f>IFERROR(IF(MARÍTIMOS[[#This Row],[Etapa Despacho - Llegada]]="","",MARÍTIMOS[[#This Row],[Etapa Despacho - Llegada]]),"")</f>
        <v>46216.362500000003</v>
      </c>
      <c r="AA356" s="11">
        <f>IFERROR(IF(MARÍTIMOS[[#This Row],[Etapa Despacho - Registro]]="","",MARÍTIMOS[[#This Row],[Etapa Despacho - Registro]]),"")</f>
        <v>46216.458333333336</v>
      </c>
      <c r="AB356" s="11">
        <f>IFERROR(IF(MARÍTIMOS[[#This Row],[Inspección Externa]]="","",MARÍTIMOS[[#This Row],[Inspección Externa]]),"")</f>
        <v>46216.474305555559</v>
      </c>
      <c r="AC356" s="11">
        <f>IFERROR(IF(MARÍTIMOS[[#This Row],[Etapa Despacho - Inicio de Carga]]="","",MARÍTIMOS[[#This Row],[Etapa Despacho - Inicio de Carga]]),"")</f>
        <v>46216.510416666664</v>
      </c>
      <c r="AD356" s="11" t="str">
        <f>IFERROR(IF(MARÍTIMOS[[#This Row],[Etapa Despacho - Mitad de Carga]]="","",MARÍTIMOS[[#This Row],[Etapa Despacho - Mitad de Carga]]),"")</f>
        <v/>
      </c>
      <c r="AE356" s="11">
        <f>IFERROR(IF(MARÍTIMOS[[#This Row],[Etapa Despacho - Fin de Carga]]="","",MARÍTIMOS[[#This Row],[Etapa Despacho - Fin de Carga]]),"")</f>
        <v>46216.819444444445</v>
      </c>
      <c r="AF356" s="2" t="str">
        <f>IFERROR(IF(MARÍTIMOS[[#This Row],[Puerto de Embarque]]="","",MARÍTIMOS[[#This Row],[Puerto de Embarque]]),"")</f>
        <v>CALLAO</v>
      </c>
      <c r="AG356" s="2" t="str">
        <f>IFERROR(IF(MARÍTIMOS[[#This Row],[Almacén de Ingreso]]="","",MARÍTIMOS[[#This Row],[Almacén de Ingreso]]),"")</f>
        <v>DPW</v>
      </c>
      <c r="AH356" s="11">
        <f>IFERROR(IF(MARÍTIMOS[[#This Row],[Etapa Ingreso - Cita]]="","",MARÍTIMOS[[#This Row],[Etapa Ingreso - Cita]]),"")</f>
        <v>46217.375</v>
      </c>
      <c r="AI356" s="11">
        <f>IFERROR(IF(MARÍTIMOS[[#This Row],[Etapa Ingreso - Llegada]]="","",MARÍTIMOS[[#This Row],[Etapa Ingreso - Llegada]]),"")</f>
        <v>46217.39166666667</v>
      </c>
      <c r="AJ356" s="11">
        <f>IFERROR(IF(MARÍTIMOS[[#This Row],[Etapa Ingreso - Ingeso]]="","",MARÍTIMOS[[#This Row],[Etapa Ingreso - Ingeso]]),"")</f>
        <v>46217.407638888886</v>
      </c>
      <c r="AK356" s="11">
        <f>IFERROR(IF(MARÍTIMOS[[#This Row],[Etapa Ingreso - Atención]]="","",MARÍTIMOS[[#This Row],[Etapa Ingreso - Atención]]),"")</f>
        <v>46217.4375</v>
      </c>
      <c r="AL356" s="11">
        <f>IFERROR(IF(MARÍTIMOS[[#This Row],[Etapa Ingreso - Salida]]="","",MARÍTIMOS[[#This Row],[Etapa Ingreso - Salida]]),"")</f>
        <v>46217.449305555558</v>
      </c>
      <c r="AM356" s="2">
        <v>1</v>
      </c>
      <c r="AN3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56" s="4" t="str" cm="1">
        <f t="array" ref="AO3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6" s="5">
        <f>IFERROR(OLDBD[[#This Row],[Llegada a packing]]-OLDBD[[#This Row],[Inicio de Ruta]],"")</f>
        <v>0.42569444444961846</v>
      </c>
      <c r="AQ356" s="6">
        <f>IFERROR(OLDBD[[#This Row],[Inicio de Ruta]]-OLDBD[[#This Row],[Salida de almacén de retiro]],"")</f>
        <v>0.34791666666569654</v>
      </c>
      <c r="AR3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56" s="8" t="str" cm="1">
        <f t="array" ref="AS3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56" s="9">
        <f>IFERROR(OLDBD[[#This Row],[Ingreso Packing]]-OLDBD[[#This Row],[Registro en Packing]],"")</f>
        <v>1.5972222223354038E-2</v>
      </c>
      <c r="AV356" s="9">
        <f>IFERROR(OLDBD[[#This Row],[Ingreso Packing]]-OLDBD[[#This Row],[Llegada a packing]],"")</f>
        <v>0.11180555555620231</v>
      </c>
      <c r="AW3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6" s="5">
        <f>IFERROR(OLDBD[[#This Row],[Llegada Almacén de Ingreso]]-OLDBD[[#This Row],[Salida Packing]],"")</f>
        <v>0.57222222222480923</v>
      </c>
      <c r="AY356" s="4" t="str" cm="1">
        <f t="array" ref="AY3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56" s="43" t="s">
        <v>173</v>
      </c>
      <c r="BB356" s="47" t="str">
        <f>IFERROR(IF(MARÍTIMOS[[#This Row],[Estatus]]="","",MARÍTIMOS[[#This Row],[Estatus]]),"")</f>
        <v>Confirmado</v>
      </c>
      <c r="BC356" s="43"/>
      <c r="BD356" s="46">
        <f>IFERROR(OLDBD[[#This Row],[Salida de almacén de retiro]]-OLDBD[[#This Row],[Ingreso Almacén de retiro]],"")</f>
        <v>3.8888888884685002E-2</v>
      </c>
      <c r="BE356" s="46" t="str">
        <f>IFERROR(OLDBD[[#This Row],[Fin de Carga]]-OLDBD[[#This Row],[Inicio de Carga]],"")</f>
        <v/>
      </c>
    </row>
    <row r="357" spans="1:57" customFormat="1" ht="14" hidden="1" customHeight="1">
      <c r="A357" s="1"/>
      <c r="B357" s="1">
        <f>IFERROR(IF(MARÍTIMOS[[#This Row],[PP]]="","",MARÍTIMOS[[#This Row],[PP]]),"")</f>
        <v>28</v>
      </c>
      <c r="C357" s="1" t="str">
        <f>IFERROR(IF(MARÍTIMOS[[#This Row],[Sede]]="","",MARÍTIMOS[[#This Row],[Sede]]),"")</f>
        <v>Chao</v>
      </c>
      <c r="D357" s="1" t="str">
        <f>IFERROR(IF(MARÍTIMOS[[#This Row],[Instruction]]="","",MARÍTIMOS[[#This Row],[Instruction]]),"")</f>
        <v>RH-0163</v>
      </c>
      <c r="E357" s="1"/>
      <c r="F357" s="2" t="str">
        <f>IFERROR(IF(MARÍTIMOS[[#This Row],[Transportista]]="","",MARÍTIMOS[[#This Row],[Transportista]]),"")</f>
        <v>Maersk</v>
      </c>
      <c r="G357" s="2" t="str">
        <f>IFERROR(IF(MARÍTIMOS[[#This Row],[Tercero]]="","",MARÍTIMOS[[#This Row],[Tercero]]),"")</f>
        <v>NO</v>
      </c>
      <c r="H357" s="2" t="str">
        <f>IFERROR(IF(MARÍTIMOS[[#This Row],[Razón Social]]="","",MARÍTIMOS[[#This Row],[Razón Social]]),"")</f>
        <v>MAERK LOGISTIC &amp; SERVICES PERU S.A</v>
      </c>
      <c r="I357" s="2">
        <f>IFERROR(IF(MARÍTIMOS[[#This Row],[RUC]]="","",MARÍTIMOS[[#This Row],[RUC]]),"")</f>
        <v>20107012011</v>
      </c>
      <c r="J357" s="2" t="str">
        <f>IFERROR(IF(MARÍTIMOS[[#This Row],[Placa Tracto]]="","",MARÍTIMOS[[#This Row],[Placa Tracto]]),"")</f>
        <v>BTF751</v>
      </c>
      <c r="K357" s="2" t="str">
        <f>IFERROR(IF(MARÍTIMOS[[#This Row],[Placa Carreta]]="","",MARÍTIMOS[[#This Row],[Placa Carreta]]),"")</f>
        <v>BDV980</v>
      </c>
      <c r="L357" s="44" t="str">
        <f>IFERROR(IF(MARÍTIMOS[[#This Row],[Conductor]]="","",MARÍTIMOS[[#This Row],[Conductor]]),"")</f>
        <v>JOEL  ALAMA / WILMER BAUTISTA</v>
      </c>
      <c r="M357" s="2" t="str">
        <f>IFERROR(IF(MARÍTIMOS[[#This Row],[Licencia]]="","",MARÍTIMOS[[#This Row],[Licencia]]),"")</f>
        <v>Q40411001</v>
      </c>
      <c r="N357" s="2" t="str">
        <f>IFERROR(IF(MARÍTIMOS[[#This Row],[Número de Contacto]]="","",MARÍTIMOS[[#This Row],[Número de Contacto]]),"")</f>
        <v xml:space="preserve">-  </v>
      </c>
      <c r="O357" s="10">
        <f>IFERROR(IF(MARÍTIMOS[[#This Row],[Booking|AWB|CRT]]="","",MARÍTIMOS[[#This Row],[Booking|AWB|CRT]]),"")</f>
        <v>751600038556</v>
      </c>
      <c r="P357" s="2" t="str">
        <f>IFERROR(IF(MARÍTIMOS[[#This Row],[Contenedor]]="","",MARÍTIMOS[[#This Row],[Contenedor]]),"")</f>
        <v>EMCU5972466</v>
      </c>
      <c r="Q357" s="2" t="str">
        <f>IFERROR(IF(MARÍTIMOS[[#This Row],[Puerto de Retiro]]="","",MARÍTIMOS[[#This Row],[Puerto de Retiro]]),"")</f>
        <v>CALLAO</v>
      </c>
      <c r="R357" s="2" t="str">
        <f>IFERROR(IF(MARÍTIMOS[[#This Row],[Almacén de Retiro]]="","",MARÍTIMOS[[#This Row],[Almacén de Retiro]]),"")</f>
        <v>DPW</v>
      </c>
      <c r="S357" s="11">
        <f>IFERROR(IF(MARÍTIMOS[[#This Row],[Etapa Retiro - Cita]]="","",MARÍTIMOS[[#This Row],[Etapa Retiro - Cita]]),"")</f>
        <v>46215.541666666664</v>
      </c>
      <c r="T357" s="11">
        <f>IFERROR(IF(MARÍTIMOS[[#This Row],[Etapa Retiro - Llegada]]="","",MARÍTIMOS[[#This Row],[Etapa Retiro - Llegada]]),"")</f>
        <v>46215.513888888891</v>
      </c>
      <c r="U357" s="11">
        <f>IFERROR(IF(MARÍTIMOS[[#This Row],[Etapa Retiro - Ingreso]]="","",MARÍTIMOS[[#This Row],[Etapa Retiro - Ingreso]]),"")</f>
        <v>46215.568055555559</v>
      </c>
      <c r="V357" s="11">
        <f>IFERROR(IF(MARÍTIMOS[[#This Row],[Etapa Retiro - Atención]]="","",MARÍTIMOS[[#This Row],[Etapa Retiro - Atención]]),"")</f>
        <v>46215.636805555558</v>
      </c>
      <c r="W357" s="11">
        <f>IFERROR(IF(MARÍTIMOS[[#This Row],[Etapa Retiro - Atención]]="","",MARÍTIMOS[[#This Row],[Etapa Retiro - Atención]]),"")</f>
        <v>46215.636805555558</v>
      </c>
      <c r="X357" s="11">
        <f>IFERROR(IF(MARÍTIMOS[[#This Row],[Etapa Retiro - Inicio de Ruta]]="","",MARÍTIMOS[[#This Row],[Etapa Retiro - Inicio de Ruta]]),"")</f>
        <v>46215.877083333333</v>
      </c>
      <c r="Y357" s="11">
        <f>IFERROR(IF(MARÍTIMOS[[#This Row],[Hora de Posicionamiento]]="","",MARÍTIMOS[[#This Row],[Fecha de Carga]]+MARÍTIMOS[[#This Row],[Hora de Posicionamiento]]),"")</f>
        <v>46216.333333333336</v>
      </c>
      <c r="Z357" s="11">
        <f>IFERROR(IF(MARÍTIMOS[[#This Row],[Etapa Despacho - Llegada]]="","",MARÍTIMOS[[#This Row],[Etapa Despacho - Llegada]]),"")</f>
        <v>46216.299305555556</v>
      </c>
      <c r="AA357" s="11">
        <f>IFERROR(IF(MARÍTIMOS[[#This Row],[Etapa Despacho - Registro]]="","",MARÍTIMOS[[#This Row],[Etapa Despacho - Registro]]),"")</f>
        <v>46216.336805555555</v>
      </c>
      <c r="AB357" s="11">
        <f>IFERROR(IF(MARÍTIMOS[[#This Row],[Inspección Externa]]="","",MARÍTIMOS[[#This Row],[Inspección Externa]]),"")</f>
        <v>46216.36041666667</v>
      </c>
      <c r="AC357" s="11">
        <f>IFERROR(IF(MARÍTIMOS[[#This Row],[Etapa Despacho - Inicio de Carga]]="","",MARÍTIMOS[[#This Row],[Etapa Despacho - Inicio de Carga]]),"")</f>
        <v>46216.402777777781</v>
      </c>
      <c r="AD357" s="11" t="str">
        <f>IFERROR(IF(MARÍTIMOS[[#This Row],[Etapa Despacho - Mitad de Carga]]="","",MARÍTIMOS[[#This Row],[Etapa Despacho - Mitad de Carga]]),"")</f>
        <v/>
      </c>
      <c r="AE357" s="11">
        <f>IFERROR(IF(MARÍTIMOS[[#This Row],[Etapa Despacho - Fin de Carga]]="","",MARÍTIMOS[[#This Row],[Etapa Despacho - Fin de Carga]]),"")</f>
        <v>46216.873611111114</v>
      </c>
      <c r="AF357" s="2" t="str">
        <f>IFERROR(IF(MARÍTIMOS[[#This Row],[Puerto de Embarque]]="","",MARÍTIMOS[[#This Row],[Puerto de Embarque]]),"")</f>
        <v>CALLAO</v>
      </c>
      <c r="AG357" s="2" t="str">
        <f>IFERROR(IF(MARÍTIMOS[[#This Row],[Almacén de Ingreso]]="","",MARÍTIMOS[[#This Row],[Almacén de Ingreso]]),"")</f>
        <v>DPW</v>
      </c>
      <c r="AH357" s="11">
        <f>IFERROR(IF(MARÍTIMOS[[#This Row],[Etapa Ingreso - Cita]]="","",MARÍTIMOS[[#This Row],[Etapa Ingreso - Cita]]),"")</f>
        <v>46216.458333333336</v>
      </c>
      <c r="AI357" s="11">
        <f>IFERROR(IF(MARÍTIMOS[[#This Row],[Etapa Ingreso - Llegada]]="","",MARÍTIMOS[[#This Row],[Etapa Ingreso - Llegada]]),"")</f>
        <v>46217.4</v>
      </c>
      <c r="AJ357" s="11">
        <f>IFERROR(IF(MARÍTIMOS[[#This Row],[Etapa Ingreso - Ingeso]]="","",MARÍTIMOS[[#This Row],[Etapa Ingreso - Ingeso]]),"")</f>
        <v>44026.412499999999</v>
      </c>
      <c r="AK357" s="11">
        <f>IFERROR(IF(MARÍTIMOS[[#This Row],[Etapa Ingreso - Atención]]="","",MARÍTIMOS[[#This Row],[Etapa Ingreso - Atención]]),"")</f>
        <v>46217.420138888891</v>
      </c>
      <c r="AL357" s="11">
        <f>IFERROR(IF(MARÍTIMOS[[#This Row],[Etapa Ingreso - Salida]]="","",MARÍTIMOS[[#This Row],[Etapa Ingreso - Salida]]),"")</f>
        <v>46217.433333333334</v>
      </c>
      <c r="AM357" s="2">
        <v>1</v>
      </c>
      <c r="AN3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7" s="4" t="str" cm="1">
        <f t="array" ref="AO3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7" s="5">
        <f>IFERROR(OLDBD[[#This Row],[Llegada a packing]]-OLDBD[[#This Row],[Inicio de Ruta]],"")</f>
        <v>0.42222222222335404</v>
      </c>
      <c r="AQ357" s="6">
        <f>IFERROR(OLDBD[[#This Row],[Inicio de Ruta]]-OLDBD[[#This Row],[Salida de almacén de retiro]],"")</f>
        <v>0.24027777777519077</v>
      </c>
      <c r="AR3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57" s="8" t="str" cm="1">
        <f t="array" ref="AS3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7" s="9">
        <f>IFERROR(OLDBD[[#This Row],[Ingreso Packing]]-OLDBD[[#This Row],[Registro en Packing]],"")</f>
        <v>2.3611111115314998E-2</v>
      </c>
      <c r="AV357" s="9">
        <f>IFERROR(OLDBD[[#This Row],[Ingreso Packing]]-OLDBD[[#This Row],[Llegada a packing]],"")</f>
        <v>6.1111111113859806E-2</v>
      </c>
      <c r="AW3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7" s="5">
        <f>IFERROR(OLDBD[[#This Row],[Llegada Almacén de Ingreso]]-OLDBD[[#This Row],[Salida Packing]],"")</f>
        <v>0.52638888888759539</v>
      </c>
      <c r="AY357" s="4" t="str" cm="1">
        <f t="array" ref="AY3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57" s="43" t="s">
        <v>173</v>
      </c>
      <c r="BB357" s="47" t="str">
        <f>IFERROR(IF(MARÍTIMOS[[#This Row],[Estatus]]="","",MARÍTIMOS[[#This Row],[Estatus]]),"")</f>
        <v>Confirmado</v>
      </c>
      <c r="BC357" s="43"/>
      <c r="BD357" s="46">
        <f>IFERROR(OLDBD[[#This Row],[Salida de almacén de retiro]]-OLDBD[[#This Row],[Ingreso Almacén de retiro]],"")</f>
        <v>6.8749999998544808E-2</v>
      </c>
      <c r="BE357" s="46" t="str">
        <f>IFERROR(OLDBD[[#This Row],[Fin de Carga]]-OLDBD[[#This Row],[Inicio de Carga]],"")</f>
        <v/>
      </c>
    </row>
    <row r="358" spans="1:57" customFormat="1" hidden="1">
      <c r="A358" s="1"/>
      <c r="B358" s="1">
        <f>IFERROR(IF(MARÍTIMOS[[#This Row],[PP]]="","",MARÍTIMOS[[#This Row],[PP]]),"")</f>
        <v>29</v>
      </c>
      <c r="C358" s="1" t="str">
        <f>IFERROR(IF(MARÍTIMOS[[#This Row],[Sede]]="","",MARÍTIMOS[[#This Row],[Sede]]),"")</f>
        <v>Chao</v>
      </c>
      <c r="D358" s="1" t="str">
        <f>IFERROR(IF(MARÍTIMOS[[#This Row],[Instruction]]="","",MARÍTIMOS[[#This Row],[Instruction]]),"")</f>
        <v>RH-0179</v>
      </c>
      <c r="E358" s="1"/>
      <c r="F358" s="2" t="str">
        <f>IFERROR(IF(MARÍTIMOS[[#This Row],[Transportista]]="","",MARÍTIMOS[[#This Row],[Transportista]]),"")</f>
        <v>Maersk</v>
      </c>
      <c r="G358" s="2" t="str">
        <f>IFERROR(IF(MARÍTIMOS[[#This Row],[Tercero]]="","",MARÍTIMOS[[#This Row],[Tercero]]),"")</f>
        <v>SI</v>
      </c>
      <c r="H358" s="2" t="str">
        <f>IFERROR(IF(MARÍTIMOS[[#This Row],[Razón Social]]="","",MARÍTIMOS[[#This Row],[Razón Social]]),"")</f>
        <v>TRANSPORTES ENERGIA LIMPIA S.A.C.</v>
      </c>
      <c r="I358" s="2">
        <f>IFERROR(IF(MARÍTIMOS[[#This Row],[RUC]]="","",MARÍTIMOS[[#This Row],[RUC]]),"")</f>
        <v>20604847142</v>
      </c>
      <c r="J358" s="2" t="str">
        <f>IFERROR(IF(MARÍTIMOS[[#This Row],[Placa Tracto]]="","",MARÍTIMOS[[#This Row],[Placa Tracto]]),"")</f>
        <v>ALR-741</v>
      </c>
      <c r="K358" s="2" t="str">
        <f>IFERROR(IF(MARÍTIMOS[[#This Row],[Placa Carreta]]="","",MARÍTIMOS[[#This Row],[Placa Carreta]]),"")</f>
        <v>ATP-984</v>
      </c>
      <c r="L358" s="44" t="str">
        <f>IFERROR(IF(MARÍTIMOS[[#This Row],[Conductor]]="","",MARÍTIMOS[[#This Row],[Conductor]]),"")</f>
        <v>GABINO CORAHUA FRANCO</v>
      </c>
      <c r="M358" s="2" t="str">
        <f>IFERROR(IF(MARÍTIMOS[[#This Row],[Licencia]]="","",MARÍTIMOS[[#This Row],[Licencia]]),"")</f>
        <v>Q42637753</v>
      </c>
      <c r="N358" s="2" t="str">
        <f>IFERROR(IF(MARÍTIMOS[[#This Row],[Número de Contacto]]="","",MARÍTIMOS[[#This Row],[Número de Contacto]]),"")</f>
        <v xml:space="preserve">-  </v>
      </c>
      <c r="O358" s="10">
        <f>IFERROR(IF(MARÍTIMOS[[#This Row],[Booking|AWB|CRT]]="","",MARÍTIMOS[[#This Row],[Booking|AWB|CRT]]),"")</f>
        <v>6508150050</v>
      </c>
      <c r="P358" s="2" t="str">
        <f>IFERROR(IF(MARÍTIMOS[[#This Row],[Contenedor]]="","",MARÍTIMOS[[#This Row],[Contenedor]]),"")</f>
        <v>FBIU5663004</v>
      </c>
      <c r="Q358" s="2" t="str">
        <f>IFERROR(IF(MARÍTIMOS[[#This Row],[Puerto de Retiro]]="","",MARÍTIMOS[[#This Row],[Puerto de Retiro]]),"")</f>
        <v>CHANCAY</v>
      </c>
      <c r="R358" s="2" t="str">
        <f>IFERROR(IF(MARÍTIMOS[[#This Row],[Almacén de Retiro]]="","",MARÍTIMOS[[#This Row],[Almacén de Retiro]]),"")</f>
        <v>CSPCP</v>
      </c>
      <c r="S358" s="11">
        <f>IFERROR(IF(MARÍTIMOS[[#This Row],[Etapa Retiro - Cita]]="","",MARÍTIMOS[[#This Row],[Etapa Retiro - Cita]]),"")</f>
        <v>46218.666666666664</v>
      </c>
      <c r="T358" s="11">
        <f>IFERROR(IF(MARÍTIMOS[[#This Row],[Etapa Retiro - Llegada]]="","",MARÍTIMOS[[#This Row],[Etapa Retiro - Llegada]]),"")</f>
        <v>46218.84375</v>
      </c>
      <c r="U358" s="11">
        <f>IFERROR(IF(MARÍTIMOS[[#This Row],[Etapa Retiro - Ingreso]]="","",MARÍTIMOS[[#This Row],[Etapa Retiro - Ingreso]]),"")</f>
        <v>46218.854166666664</v>
      </c>
      <c r="V358" s="11">
        <f>IFERROR(IF(MARÍTIMOS[[#This Row],[Etapa Retiro - Atención]]="","",MARÍTIMOS[[#This Row],[Etapa Retiro - Atención]]),"")</f>
        <v>46218.870138888888</v>
      </c>
      <c r="W358" s="11">
        <f>IFERROR(IF(MARÍTIMOS[[#This Row],[Etapa Retiro - Atención]]="","",MARÍTIMOS[[#This Row],[Etapa Retiro - Atención]]),"")</f>
        <v>46218.870138888888</v>
      </c>
      <c r="X358" s="11">
        <f>IFERROR(IF(MARÍTIMOS[[#This Row],[Etapa Retiro - Inicio de Ruta]]="","",MARÍTIMOS[[#This Row],[Etapa Retiro - Inicio de Ruta]]),"")</f>
        <v>46218.94027777778</v>
      </c>
      <c r="Y358" s="11">
        <f>IFERROR(IF(MARÍTIMOS[[#This Row],[Hora de Posicionamiento]]="","",MARÍTIMOS[[#This Row],[Fecha de Carga]]+MARÍTIMOS[[#This Row],[Hora de Posicionamiento]]),"")</f>
        <v>46219.333333333336</v>
      </c>
      <c r="Z358" s="11">
        <f>IFERROR(IF(MARÍTIMOS[[#This Row],[Etapa Despacho - Llegada]]="","",MARÍTIMOS[[#This Row],[Etapa Despacho - Llegada]]),"")</f>
        <v>46219.425694444442</v>
      </c>
      <c r="AA358" s="11">
        <f>IFERROR(IF(MARÍTIMOS[[#This Row],[Etapa Despacho - Registro]]="","",MARÍTIMOS[[#This Row],[Etapa Despacho - Registro]]),"")</f>
        <v>46219.426388888889</v>
      </c>
      <c r="AB358" s="11">
        <f>IFERROR(IF(MARÍTIMOS[[#This Row],[Inspección Externa]]="","",MARÍTIMOS[[#This Row],[Inspección Externa]]),"")</f>
        <v>46219.427083333336</v>
      </c>
      <c r="AC358" s="11">
        <f>IFERROR(IF(MARÍTIMOS[[#This Row],[Etapa Despacho - Inicio de Carga]]="","",MARÍTIMOS[[#This Row],[Etapa Despacho - Inicio de Carga]]),"")</f>
        <v>46219.465277777781</v>
      </c>
      <c r="AD358" s="11" t="str">
        <f>IFERROR(IF(MARÍTIMOS[[#This Row],[Etapa Despacho - Mitad de Carga]]="","",MARÍTIMOS[[#This Row],[Etapa Despacho - Mitad de Carga]]),"")</f>
        <v/>
      </c>
      <c r="AE358" s="11">
        <f>IFERROR(IF(MARÍTIMOS[[#This Row],[Etapa Despacho - Fin de Carga]]="","",MARÍTIMOS[[#This Row],[Etapa Despacho - Fin de Carga]]),"")</f>
        <v>46219.675000000003</v>
      </c>
      <c r="AF358" s="2" t="str">
        <f>IFERROR(IF(MARÍTIMOS[[#This Row],[Puerto de Embarque]]="","",MARÍTIMOS[[#This Row],[Puerto de Embarque]]),"")</f>
        <v>CHANCAY</v>
      </c>
      <c r="AG358" s="2" t="str">
        <f>IFERROR(IF(MARÍTIMOS[[#This Row],[Almacén de Ingreso]]="","",MARÍTIMOS[[#This Row],[Almacén de Ingreso]]),"")</f>
        <v>CSPCP</v>
      </c>
      <c r="AH358" s="11" t="str">
        <f>IFERROR(IF(MARÍTIMOS[[#This Row],[Etapa Ingreso - Cita]]="","",MARÍTIMOS[[#This Row],[Etapa Ingreso - Cita]]),"")</f>
        <v/>
      </c>
      <c r="AI358" s="11">
        <f>IFERROR(IF(MARÍTIMOS[[#This Row],[Etapa Ingreso - Llegada]]="","",MARÍTIMOS[[#This Row],[Etapa Ingreso - Llegada]]),"")</f>
        <v>39280.268750000003</v>
      </c>
      <c r="AJ358" s="11">
        <f>IFERROR(IF(MARÍTIMOS[[#This Row],[Etapa Ingreso - Ingeso]]="","",MARÍTIMOS[[#This Row],[Etapa Ingreso - Ingeso]]),"")</f>
        <v>46220.284722222219</v>
      </c>
      <c r="AK358" s="11">
        <f>IFERROR(IF(MARÍTIMOS[[#This Row],[Etapa Ingreso - Atención]]="","",MARÍTIMOS[[#This Row],[Etapa Ingreso - Atención]]),"")</f>
        <v>46220.291666666664</v>
      </c>
      <c r="AL358" s="11">
        <f>IFERROR(IF(MARÍTIMOS[[#This Row],[Etapa Ingreso - Salida]]="","",MARÍTIMOS[[#This Row],[Etapa Ingreso - Salida]]),"")</f>
        <v>46220.29791666667</v>
      </c>
      <c r="AM358" s="2">
        <f>IFERROR(IF(MARÍTIMOS[[#This Row],[FCL]]="","",MARÍTIMOS[[#This Row],[FCL]]),"")</f>
        <v>1</v>
      </c>
      <c r="AN3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8" s="4" t="str" cm="1">
        <f t="array" ref="AO3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8" s="5">
        <f>IFERROR(OLDBD[[#This Row],[Llegada a packing]]-OLDBD[[#This Row],[Inicio de Ruta]],"")</f>
        <v>0.48541666666278616</v>
      </c>
      <c r="AQ358" s="6">
        <f>IFERROR(OLDBD[[#This Row],[Inicio de Ruta]]-OLDBD[[#This Row],[Salida de almacén de retiro]],"")</f>
        <v>7.013888889196096E-2</v>
      </c>
      <c r="AR3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58" s="8" t="str" cm="1">
        <f t="array" ref="AS3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8" s="9">
        <f>IFERROR(OLDBD[[#This Row],[Ingreso Packing]]-OLDBD[[#This Row],[Registro en Packing]],"")</f>
        <v>6.944444467080757E-4</v>
      </c>
      <c r="AV358" s="9">
        <f>IFERROR(OLDBD[[#This Row],[Ingreso Packing]]-OLDBD[[#This Row],[Llegada a packing]],"")</f>
        <v>1.3888888934161514E-3</v>
      </c>
      <c r="AW3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8" s="5">
        <f>IFERROR(OLDBD[[#This Row],[Llegada Almacén de Ingreso]]-OLDBD[[#This Row],[Salida Packing]],"")</f>
        <v>-6939.40625</v>
      </c>
      <c r="AY358" s="4" t="str" cm="1">
        <f t="array" ref="AY3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3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58" s="43" t="s">
        <v>173</v>
      </c>
      <c r="BB358" s="47" t="str">
        <f>IFERROR(IF(MARÍTIMOS[[#This Row],[Estatus]]="","",MARÍTIMOS[[#This Row],[Estatus]]),"")</f>
        <v>Confirmado</v>
      </c>
      <c r="BC358" s="43"/>
      <c r="BD358" s="46">
        <f>IFERROR(OLDBD[[#This Row],[Salida de almacén de retiro]]-OLDBD[[#This Row],[Ingreso Almacén de retiro]],"")</f>
        <v>1.5972222223354038E-2</v>
      </c>
      <c r="BE358" s="46" t="str">
        <f>IFERROR(OLDBD[[#This Row],[Fin de Carga]]-OLDBD[[#This Row],[Inicio de Carga]],"")</f>
        <v/>
      </c>
    </row>
    <row r="359" spans="1:57" hidden="1">
      <c r="A359" s="52"/>
      <c r="B359" s="52">
        <f>IFERROR(IF(MARÍTIMOS[[#This Row],[PP]]="","",MARÍTIMOS[[#This Row],[PP]]),"")</f>
        <v>29</v>
      </c>
      <c r="C359" s="52" t="str">
        <f>IFERROR(IF(MARÍTIMOS[[#This Row],[Sede]]="","",MARÍTIMOS[[#This Row],[Sede]]),"")</f>
        <v>Chao</v>
      </c>
      <c r="D359" s="52" t="str">
        <f>IFERROR(IF(MARÍTIMOS[[#This Row],[Instruction]]="","",MARÍTIMOS[[#This Row],[Instruction]]),"")</f>
        <v>RH-0180</v>
      </c>
      <c r="E359" s="52"/>
      <c r="F359" s="53" t="str">
        <f>IFERROR(IF(MARÍTIMOS[[#This Row],[Transportista]]="","",MARÍTIMOS[[#This Row],[Transportista]]),"")</f>
        <v>Maersk</v>
      </c>
      <c r="G359" s="53" t="str">
        <f>IFERROR(IF(MARÍTIMOS[[#This Row],[Tercero]]="","",MARÍTIMOS[[#This Row],[Tercero]]),"")</f>
        <v>SI</v>
      </c>
      <c r="H359" s="53" t="str">
        <f>IFERROR(IF(MARÍTIMOS[[#This Row],[Razón Social]]="","",MARÍTIMOS[[#This Row],[Razón Social]]),"")</f>
        <v>TRANSPORTES ENERGIA LIMPIA S.A.C.</v>
      </c>
      <c r="I359" s="53">
        <f>IFERROR(IF(MARÍTIMOS[[#This Row],[RUC]]="","",MARÍTIMOS[[#This Row],[RUC]]),"")</f>
        <v>20604847142</v>
      </c>
      <c r="J359" s="53" t="str">
        <f>IFERROR(IF(MARÍTIMOS[[#This Row],[Placa Tracto]]="","",MARÍTIMOS[[#This Row],[Placa Tracto]]),"")</f>
        <v>F4R-748</v>
      </c>
      <c r="K359" s="53" t="str">
        <f>IFERROR(IF(MARÍTIMOS[[#This Row],[Placa Carreta]]="","",MARÍTIMOS[[#This Row],[Placa Carreta]]),"")</f>
        <v>C3O-984</v>
      </c>
      <c r="L359" s="54" t="str">
        <f>IFERROR(IF(MARÍTIMOS[[#This Row],[Conductor]]="","",MARÍTIMOS[[#This Row],[Conductor]]),"")</f>
        <v>CARLOS GRADOS TRINIDAD</v>
      </c>
      <c r="M359" s="53" t="str">
        <f>IFERROR(IF(MARÍTIMOS[[#This Row],[Licencia]]="","",MARÍTIMOS[[#This Row],[Licencia]]),"")</f>
        <v>Q42085812</v>
      </c>
      <c r="N359" s="53" t="str">
        <f>IFERROR(IF(MARÍTIMOS[[#This Row],[Número de Contacto]]="","",MARÍTIMOS[[#This Row],[Número de Contacto]]),"")</f>
        <v xml:space="preserve">-  </v>
      </c>
      <c r="O359" s="55">
        <f>IFERROR(IF(MARÍTIMOS[[#This Row],[Booking|AWB|CRT]]="","",MARÍTIMOS[[#This Row],[Booking|AWB|CRT]]),"")</f>
        <v>6508149950</v>
      </c>
      <c r="P359" s="53" t="str">
        <f>IFERROR(IF(MARÍTIMOS[[#This Row],[Contenedor]]="","",MARÍTIMOS[[#This Row],[Contenedor]]),"")</f>
        <v>FBIU5178863</v>
      </c>
      <c r="Q359" s="53" t="str">
        <f>IFERROR(IF(MARÍTIMOS[[#This Row],[Puerto de Retiro]]="","",MARÍTIMOS[[#This Row],[Puerto de Retiro]]),"")</f>
        <v>CHANCAY</v>
      </c>
      <c r="R359" s="53" t="str">
        <f>IFERROR(IF(MARÍTIMOS[[#This Row],[Almacén de Retiro]]="","",MARÍTIMOS[[#This Row],[Almacén de Retiro]]),"")</f>
        <v>CSPCP</v>
      </c>
      <c r="S359" s="56">
        <f>IFERROR(IF(MARÍTIMOS[[#This Row],[Etapa Retiro - Cita]]="","",MARÍTIMOS[[#This Row],[Etapa Retiro - Cita]]),"")</f>
        <v>46218.666666666664</v>
      </c>
      <c r="T359" s="56">
        <f>IFERROR(IF(MARÍTIMOS[[#This Row],[Etapa Retiro - Llegada]]="","",MARÍTIMOS[[#This Row],[Etapa Retiro - Llegada]]),"")</f>
        <v>46218.765972222223</v>
      </c>
      <c r="U359" s="56">
        <f>IFERROR(IF(MARÍTIMOS[[#This Row],[Etapa Retiro - Ingreso]]="","",MARÍTIMOS[[#This Row],[Etapa Retiro - Ingreso]]),"")</f>
        <v>46218.774305555555</v>
      </c>
      <c r="V359" s="56">
        <f>IFERROR(IF(MARÍTIMOS[[#This Row],[Etapa Retiro - Atención]]="","",MARÍTIMOS[[#This Row],[Etapa Retiro - Atención]]),"")</f>
        <v>46218.787499999999</v>
      </c>
      <c r="W359" s="56">
        <f>IFERROR(IF(MARÍTIMOS[[#This Row],[Etapa Retiro - Atención]]="","",MARÍTIMOS[[#This Row],[Etapa Retiro - Atención]]),"")</f>
        <v>46218.787499999999</v>
      </c>
      <c r="X359" s="56">
        <f>IFERROR(IF(MARÍTIMOS[[#This Row],[Etapa Retiro - Inicio de Ruta]]="","",MARÍTIMOS[[#This Row],[Etapa Retiro - Inicio de Ruta]]),"")</f>
        <v>46218.87222222222</v>
      </c>
      <c r="Y359" s="56">
        <f>IFERROR(IF(MARÍTIMOS[[#This Row],[Hora de Posicionamiento]]="","",MARÍTIMOS[[#This Row],[Fecha de Carga]]+MARÍTIMOS[[#This Row],[Hora de Posicionamiento]]),"")</f>
        <v>46219.333333333336</v>
      </c>
      <c r="Z359" s="56">
        <f>IFERROR(IF(MARÍTIMOS[[#This Row],[Etapa Despacho - Llegada]]="","",MARÍTIMOS[[#This Row],[Etapa Despacho - Llegada]]),"")</f>
        <v>46219.480555555558</v>
      </c>
      <c r="AA359" s="56">
        <f>IFERROR(IF(MARÍTIMOS[[#This Row],[Etapa Despacho - Registro]]="","",MARÍTIMOS[[#This Row],[Etapa Despacho - Registro]]),"")</f>
        <v>46219.493055555555</v>
      </c>
      <c r="AB359" s="56">
        <f>IFERROR(IF(MARÍTIMOS[[#This Row],[Inspección Externa]]="","",MARÍTIMOS[[#This Row],[Inspección Externa]]),"")</f>
        <v>46219.510416666664</v>
      </c>
      <c r="AC359" s="56">
        <f>IFERROR(IF(MARÍTIMOS[[#This Row],[Etapa Despacho - Inicio de Carga]]="","",MARÍTIMOS[[#This Row],[Etapa Despacho - Inicio de Carga]]),"")</f>
        <v>46219.552083333336</v>
      </c>
      <c r="AD359" s="56" t="str">
        <f>IFERROR(IF(MARÍTIMOS[[#This Row],[Etapa Despacho - Mitad de Carga]]="","",MARÍTIMOS[[#This Row],[Etapa Despacho - Mitad de Carga]]),"")</f>
        <v/>
      </c>
      <c r="AE359" s="56">
        <f>IFERROR(IF(MARÍTIMOS[[#This Row],[Etapa Despacho - Fin de Carga]]="","",MARÍTIMOS[[#This Row],[Etapa Despacho - Fin de Carga]]),"")</f>
        <v>46219.673611111109</v>
      </c>
      <c r="AF359" s="53" t="str">
        <f>IFERROR(IF(MARÍTIMOS[[#This Row],[Puerto de Embarque]]="","",MARÍTIMOS[[#This Row],[Puerto de Embarque]]),"")</f>
        <v>CHANCAY</v>
      </c>
      <c r="AG359" s="53" t="str">
        <f>IFERROR(IF(MARÍTIMOS[[#This Row],[Almacén de Ingreso]]="","",MARÍTIMOS[[#This Row],[Almacén de Ingreso]]),"")</f>
        <v>CSPCP</v>
      </c>
      <c r="AH359" s="56" t="str">
        <f>IFERROR(IF(MARÍTIMOS[[#This Row],[Etapa Ingreso - Cita]]="","",MARÍTIMOS[[#This Row],[Etapa Ingreso - Cita]]),"")</f>
        <v/>
      </c>
      <c r="AI359" s="56">
        <f>IFERROR(IF(MARÍTIMOS[[#This Row],[Etapa Ingreso - Llegada]]="","",MARÍTIMOS[[#This Row],[Etapa Ingreso - Llegada]]),"")</f>
        <v>46220.263194444444</v>
      </c>
      <c r="AJ359" s="56">
        <f>IFERROR(IF(MARÍTIMOS[[#This Row],[Etapa Ingreso - Ingeso]]="","",MARÍTIMOS[[#This Row],[Etapa Ingreso - Ingeso]]),"")</f>
        <v>46220.286111111112</v>
      </c>
      <c r="AK359" s="56">
        <f>IFERROR(IF(MARÍTIMOS[[#This Row],[Etapa Ingreso - Atención]]="","",MARÍTIMOS[[#This Row],[Etapa Ingreso - Atención]]),"")</f>
        <v>46220.290277777778</v>
      </c>
      <c r="AL359" s="56">
        <f>IFERROR(IF(MARÍTIMOS[[#This Row],[Etapa Ingreso - Salida]]="","",MARÍTIMOS[[#This Row],[Etapa Ingreso - Salida]]),"")</f>
        <v>46220.295138888891</v>
      </c>
      <c r="AM359" s="53">
        <f>IFERROR(IF(MARÍTIMOS[[#This Row],[FCL]]="","",MARÍTIMOS[[#This Row],[FCL]]),"")</f>
        <v>1</v>
      </c>
      <c r="AN359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59" s="4" t="str" cm="1">
        <f t="array" ref="AO3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59" s="6">
        <f>IFERROR(OLDBD[[#This Row],[Llegada a packing]]-OLDBD[[#This Row],[Inicio de Ruta]],"")</f>
        <v>0.60833333333721384</v>
      </c>
      <c r="AQ359" s="6">
        <f>IFERROR(OLDBD[[#This Row],[Inicio de Ruta]]-OLDBD[[#This Row],[Salida de almacén de retiro]],"")</f>
        <v>8.4722222221898846E-2</v>
      </c>
      <c r="AR359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59" s="8" t="str" cm="1">
        <f t="array" ref="AS3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59" s="9">
        <f>IFERROR(OLDBD[[#This Row],[Ingreso Packing]]-OLDBD[[#This Row],[Registro en Packing]],"")</f>
        <v>1.7361111109494232E-2</v>
      </c>
      <c r="AV359" s="9">
        <f>IFERROR(OLDBD[[#This Row],[Ingreso Packing]]-OLDBD[[#This Row],[Llegada a packing]],"")</f>
        <v>2.9861111106583849E-2</v>
      </c>
      <c r="AW3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59" s="6">
        <f>IFERROR(OLDBD[[#This Row],[Llegada Almacén de Ingreso]]-OLDBD[[#This Row],[Salida Packing]],"")</f>
        <v>0.58958333333430346</v>
      </c>
      <c r="AY359" s="4" t="str" cm="1">
        <f t="array" ref="AY3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59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59" s="58" t="s">
        <v>173</v>
      </c>
      <c r="BB359" s="59" t="str">
        <f>IFERROR(IF(MARÍTIMOS[[#This Row],[Estatus]]="","",MARÍTIMOS[[#This Row],[Estatus]]),"")</f>
        <v>Confirmado</v>
      </c>
      <c r="BC359" s="58"/>
      <c r="BD359" s="60">
        <f>IFERROR(OLDBD[[#This Row],[Salida de almacén de retiro]]-OLDBD[[#This Row],[Ingreso Almacén de retiro]],"")</f>
        <v>1.3194444443797693E-2</v>
      </c>
      <c r="BE359" s="60" t="str">
        <f>IFERROR(OLDBD[[#This Row],[Fin de Carga]]-OLDBD[[#This Row],[Inicio de Carga]],"")</f>
        <v/>
      </c>
    </row>
    <row r="360" spans="1:57" hidden="1">
      <c r="A360" s="52"/>
      <c r="B360" s="52">
        <f>IFERROR(IF(MARÍTIMOS[[#This Row],[PP]]="","",MARÍTIMOS[[#This Row],[PP]]),"")</f>
        <v>29</v>
      </c>
      <c r="C360" s="52" t="str">
        <f>IFERROR(IF(MARÍTIMOS[[#This Row],[Sede]]="","",MARÍTIMOS[[#This Row],[Sede]]),"")</f>
        <v>Chao</v>
      </c>
      <c r="D360" s="52" t="str">
        <f>IFERROR(IF(MARÍTIMOS[[#This Row],[Instruction]]="","",MARÍTIMOS[[#This Row],[Instruction]]),"")</f>
        <v>RH-0181</v>
      </c>
      <c r="E360" s="52"/>
      <c r="F360" s="53" t="str">
        <f>IFERROR(IF(MARÍTIMOS[[#This Row],[Transportista]]="","",MARÍTIMOS[[#This Row],[Transportista]]),"")</f>
        <v>Maersk</v>
      </c>
      <c r="G360" s="53" t="str">
        <f>IFERROR(IF(MARÍTIMOS[[#This Row],[Tercero]]="","",MARÍTIMOS[[#This Row],[Tercero]]),"")</f>
        <v>SI</v>
      </c>
      <c r="H360" s="53" t="str">
        <f>IFERROR(IF(MARÍTIMOS[[#This Row],[Razón Social]]="","",MARÍTIMOS[[#This Row],[Razón Social]]),"")</f>
        <v>GRUPO ANDIBA S.A.C.</v>
      </c>
      <c r="I360" s="53">
        <f>IFERROR(IF(MARÍTIMOS[[#This Row],[RUC]]="","",MARÍTIMOS[[#This Row],[RUC]]),"")</f>
        <v>20606818930</v>
      </c>
      <c r="J360" s="53" t="str">
        <f>IFERROR(IF(MARÍTIMOS[[#This Row],[Placa Tracto]]="","",MARÍTIMOS[[#This Row],[Placa Tracto]]),"")</f>
        <v>BNG736</v>
      </c>
      <c r="K360" s="53" t="str">
        <f>IFERROR(IF(MARÍTIMOS[[#This Row],[Placa Carreta]]="","",MARÍTIMOS[[#This Row],[Placa Carreta]]),"")</f>
        <v>TPQ987</v>
      </c>
      <c r="L360" s="54" t="str">
        <f>IFERROR(IF(MARÍTIMOS[[#This Row],[Conductor]]="","",MARÍTIMOS[[#This Row],[Conductor]]),"")</f>
        <v>JOSE ARTURO REYES ROJAS</v>
      </c>
      <c r="M360" s="53" t="str">
        <f>IFERROR(IF(MARÍTIMOS[[#This Row],[Licencia]]="","",MARÍTIMOS[[#This Row],[Licencia]]),"")</f>
        <v>E70471871</v>
      </c>
      <c r="N360" s="53" t="str">
        <f>IFERROR(IF(MARÍTIMOS[[#This Row],[Número de Contacto]]="","",MARÍTIMOS[[#This Row],[Número de Contacto]]),"")</f>
        <v xml:space="preserve">-  </v>
      </c>
      <c r="O360" s="55">
        <f>IFERROR(IF(MARÍTIMOS[[#This Row],[Booking|AWB|CRT]]="","",MARÍTIMOS[[#This Row],[Booking|AWB|CRT]]),"")</f>
        <v>6508149930</v>
      </c>
      <c r="P360" s="53" t="str">
        <f>IFERROR(IF(MARÍTIMOS[[#This Row],[Contenedor]]="","",MARÍTIMOS[[#This Row],[Contenedor]]),"")</f>
        <v>FBIU5627922</v>
      </c>
      <c r="Q360" s="53" t="str">
        <f>IFERROR(IF(MARÍTIMOS[[#This Row],[Puerto de Retiro]]="","",MARÍTIMOS[[#This Row],[Puerto de Retiro]]),"")</f>
        <v>CHANCAY</v>
      </c>
      <c r="R360" s="53" t="str">
        <f>IFERROR(IF(MARÍTIMOS[[#This Row],[Almacén de Retiro]]="","",MARÍTIMOS[[#This Row],[Almacén de Retiro]]),"")</f>
        <v>CSPCP</v>
      </c>
      <c r="S360" s="56">
        <f>IFERROR(IF(MARÍTIMOS[[#This Row],[Etapa Retiro - Cita]]="","",MARÍTIMOS[[#This Row],[Etapa Retiro - Cita]]),"")</f>
        <v>46218.666666666664</v>
      </c>
      <c r="T360" s="56">
        <f>IFERROR(IF(MARÍTIMOS[[#This Row],[Etapa Retiro - Llegada]]="","",MARÍTIMOS[[#This Row],[Etapa Retiro - Llegada]]),"")</f>
        <v>46218.925694444442</v>
      </c>
      <c r="U360" s="56">
        <f>IFERROR(IF(MARÍTIMOS[[#This Row],[Etapa Retiro - Ingreso]]="","",MARÍTIMOS[[#This Row],[Etapa Retiro - Ingreso]]),"")</f>
        <v>46218.947916666664</v>
      </c>
      <c r="V360" s="56">
        <f>IFERROR(IF(MARÍTIMOS[[#This Row],[Etapa Retiro - Atención]]="","",MARÍTIMOS[[#This Row],[Etapa Retiro - Atención]]),"")</f>
        <v>46218.95208333333</v>
      </c>
      <c r="W360" s="56">
        <f>IFERROR(IF(MARÍTIMOS[[#This Row],[Etapa Retiro - Atención]]="","",MARÍTIMOS[[#This Row],[Etapa Retiro - Atención]]),"")</f>
        <v>46218.95208333333</v>
      </c>
      <c r="X360" s="56">
        <f>IFERROR(IF(MARÍTIMOS[[#This Row],[Etapa Retiro - Inicio de Ruta]]="","",MARÍTIMOS[[#This Row],[Etapa Retiro - Inicio de Ruta]]),"")</f>
        <v>46219.027777777781</v>
      </c>
      <c r="Y360" s="56">
        <f>IFERROR(IF(MARÍTIMOS[[#This Row],[Hora de Posicionamiento]]="","",MARÍTIMOS[[#This Row],[Fecha de Carga]]+MARÍTIMOS[[#This Row],[Hora de Posicionamiento]]),"")</f>
        <v>46219.5</v>
      </c>
      <c r="Z360" s="56">
        <f>IFERROR(IF(MARÍTIMOS[[#This Row],[Etapa Despacho - Llegada]]="","",MARÍTIMOS[[#This Row],[Etapa Despacho - Llegada]]),"")</f>
        <v>46219.600694444445</v>
      </c>
      <c r="AA360" s="56">
        <f>IFERROR(IF(MARÍTIMOS[[#This Row],[Etapa Despacho - Registro]]="","",MARÍTIMOS[[#This Row],[Etapa Despacho - Registro]]),"")</f>
        <v>46219.637499999997</v>
      </c>
      <c r="AB360" s="56">
        <f>IFERROR(IF(MARÍTIMOS[[#This Row],[Inspección Externa]]="","",MARÍTIMOS[[#This Row],[Inspección Externa]]),"")</f>
        <v>46219.643750000003</v>
      </c>
      <c r="AC360" s="56">
        <f>IFERROR(IF(MARÍTIMOS[[#This Row],[Etapa Despacho - Inicio de Carga]]="","",MARÍTIMOS[[#This Row],[Etapa Despacho - Inicio de Carga]]),"")</f>
        <v>46219.680555555555</v>
      </c>
      <c r="AD360" s="56" t="str">
        <f>IFERROR(IF(MARÍTIMOS[[#This Row],[Etapa Despacho - Mitad de Carga]]="","",MARÍTIMOS[[#This Row],[Etapa Despacho - Mitad de Carga]]),"")</f>
        <v/>
      </c>
      <c r="AE360" s="56">
        <f>IFERROR(IF(MARÍTIMOS[[#This Row],[Etapa Despacho - Fin de Carga]]="","",MARÍTIMOS[[#This Row],[Etapa Despacho - Fin de Carga]]),"")</f>
        <v>46219.739583333336</v>
      </c>
      <c r="AF360" s="53" t="str">
        <f>IFERROR(IF(MARÍTIMOS[[#This Row],[Puerto de Embarque]]="","",MARÍTIMOS[[#This Row],[Puerto de Embarque]]),"")</f>
        <v>CHANCAY</v>
      </c>
      <c r="AG360" s="53" t="str">
        <f>IFERROR(IF(MARÍTIMOS[[#This Row],[Almacén de Ingreso]]="","",MARÍTIMOS[[#This Row],[Almacén de Ingreso]]),"")</f>
        <v>CSPCP</v>
      </c>
      <c r="AH360" s="56" t="str">
        <f>IFERROR(IF(MARÍTIMOS[[#This Row],[Etapa Ingreso - Cita]]="","",MARÍTIMOS[[#This Row],[Etapa Ingreso - Cita]]),"")</f>
        <v/>
      </c>
      <c r="AI360" s="56">
        <f>IFERROR(IF(MARÍTIMOS[[#This Row],[Etapa Ingreso - Llegada]]="","",MARÍTIMOS[[#This Row],[Etapa Ingreso - Llegada]]),"")</f>
        <v>46220.393750000003</v>
      </c>
      <c r="AJ360" s="56">
        <f>IFERROR(IF(MARÍTIMOS[[#This Row],[Etapa Ingreso - Ingeso]]="","",MARÍTIMOS[[#This Row],[Etapa Ingreso - Ingeso]]),"")</f>
        <v>46220.411805555559</v>
      </c>
      <c r="AK360" s="56">
        <f>IFERROR(IF(MARÍTIMOS[[#This Row],[Etapa Ingreso - Atención]]="","",MARÍTIMOS[[#This Row],[Etapa Ingreso - Atención]]),"")</f>
        <v>46220.417361111111</v>
      </c>
      <c r="AL360" s="56">
        <f>IFERROR(IF(MARÍTIMOS[[#This Row],[Etapa Ingreso - Salida]]="","",MARÍTIMOS[[#This Row],[Etapa Ingreso - Salida]]),"")</f>
        <v>46220.42291666667</v>
      </c>
      <c r="AM360" s="53">
        <f>IFERROR(IF(MARÍTIMOS[[#This Row],[FCL]]="","",MARÍTIMOS[[#This Row],[FCL]]),"")</f>
        <v>1</v>
      </c>
      <c r="AN360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0" s="4" t="str" cm="1">
        <f t="array" ref="AO3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0" s="6">
        <f>IFERROR(OLDBD[[#This Row],[Llegada a packing]]-OLDBD[[#This Row],[Inicio de Ruta]],"")</f>
        <v>0.57291666666424135</v>
      </c>
      <c r="AQ360" s="6">
        <f>IFERROR(OLDBD[[#This Row],[Inicio de Ruta]]-OLDBD[[#This Row],[Salida de almacén de retiro]],"")</f>
        <v>7.569444445107365E-2</v>
      </c>
      <c r="AR360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60" s="8" t="str" cm="1">
        <f t="array" ref="AS3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60" s="9">
        <f>IFERROR(OLDBD[[#This Row],[Ingreso Packing]]-OLDBD[[#This Row],[Registro en Packing]],"")</f>
        <v>6.2500000058207661E-3</v>
      </c>
      <c r="AV360" s="9">
        <f>IFERROR(OLDBD[[#This Row],[Ingreso Packing]]-OLDBD[[#This Row],[Llegada a packing]],"")</f>
        <v>4.3055555557657499E-2</v>
      </c>
      <c r="AW3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60" s="6">
        <f>IFERROR(OLDBD[[#This Row],[Llegada Almacén de Ingreso]]-OLDBD[[#This Row],[Salida Packing]],"")</f>
        <v>0.65416666666715173</v>
      </c>
      <c r="AY360" s="4" t="str" cm="1">
        <f t="array" ref="AY3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60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60" s="58" t="s">
        <v>173</v>
      </c>
      <c r="BB360" s="59" t="str">
        <f>IFERROR(IF(MARÍTIMOS[[#This Row],[Estatus]]="","",MARÍTIMOS[[#This Row],[Estatus]]),"")</f>
        <v>Confirmado</v>
      </c>
      <c r="BC360" s="58"/>
      <c r="BD360" s="60">
        <f>IFERROR(OLDBD[[#This Row],[Salida de almacén de retiro]]-OLDBD[[#This Row],[Ingreso Almacén de retiro]],"")</f>
        <v>4.166666665696539E-3</v>
      </c>
      <c r="BE360" s="60" t="str">
        <f>IFERROR(OLDBD[[#This Row],[Fin de Carga]]-OLDBD[[#This Row],[Inicio de Carga]],"")</f>
        <v/>
      </c>
    </row>
    <row r="361" spans="1:57" customFormat="1" hidden="1">
      <c r="A361" s="1"/>
      <c r="B361" s="1">
        <f>IFERROR(IF(MARÍTIMOS[[#This Row],[PP]]="","",MARÍTIMOS[[#This Row],[PP]]),"")</f>
        <v>29</v>
      </c>
      <c r="C361" s="1" t="str">
        <f>IFERROR(IF(MARÍTIMOS[[#This Row],[Sede]]="","",MARÍTIMOS[[#This Row],[Sede]]),"")</f>
        <v>Chao</v>
      </c>
      <c r="D361" s="1" t="str">
        <f>IFERROR(IF(MARÍTIMOS[[#This Row],[Instruction]]="","",MARÍTIMOS[[#This Row],[Instruction]]),"")</f>
        <v>RH-0183</v>
      </c>
      <c r="E361" s="1"/>
      <c r="F361" s="2" t="str">
        <f>IFERROR(IF(MARÍTIMOS[[#This Row],[Transportista]]="","",MARÍTIMOS[[#This Row],[Transportista]]),"")</f>
        <v>Maersk</v>
      </c>
      <c r="G361" s="2" t="str">
        <f>IFERROR(IF(MARÍTIMOS[[#This Row],[Tercero]]="","",MARÍTIMOS[[#This Row],[Tercero]]),"")</f>
        <v>NO</v>
      </c>
      <c r="H361" s="2" t="str">
        <f>IFERROR(IF(MARÍTIMOS[[#This Row],[Razón Social]]="","",MARÍTIMOS[[#This Row],[Razón Social]]),"")</f>
        <v>MAERK LOGISTIC &amp; SERVICES PERU S.A</v>
      </c>
      <c r="I361" s="2">
        <f>IFERROR(IF(MARÍTIMOS[[#This Row],[RUC]]="","",MARÍTIMOS[[#This Row],[RUC]]),"")</f>
        <v>20107012011</v>
      </c>
      <c r="J361" s="2" t="str">
        <f>IFERROR(IF(MARÍTIMOS[[#This Row],[Placa Tracto]]="","",MARÍTIMOS[[#This Row],[Placa Tracto]]),"")</f>
        <v>BTM764</v>
      </c>
      <c r="K361" s="2" t="str">
        <f>IFERROR(IF(MARÍTIMOS[[#This Row],[Placa Carreta]]="","",MARÍTIMOS[[#This Row],[Placa Carreta]]),"")</f>
        <v>BDW976</v>
      </c>
      <c r="L361" s="44" t="str">
        <f>IFERROR(IF(MARÍTIMOS[[#This Row],[Conductor]]="","",MARÍTIMOS[[#This Row],[Conductor]]),"")</f>
        <v>WILDER IBAZETA / REMIGIO FLAVIO</v>
      </c>
      <c r="M361" s="2" t="str">
        <f>IFERROR(IF(MARÍTIMOS[[#This Row],[Licencia]]="","",MARÍTIMOS[[#This Row],[Licencia]]),"")</f>
        <v>E43472986 / E15756744</v>
      </c>
      <c r="N361" s="2" t="str">
        <f>IFERROR(IF(MARÍTIMOS[[#This Row],[Número de Contacto]]="","",MARÍTIMOS[[#This Row],[Número de Contacto]]),"")</f>
        <v xml:space="preserve">-  </v>
      </c>
      <c r="O361" s="10">
        <f>IFERROR(IF(MARÍTIMOS[[#This Row],[Booking|AWB|CRT]]="","",MARÍTIMOS[[#This Row],[Booking|AWB|CRT]]),"")</f>
        <v>751600040135</v>
      </c>
      <c r="P361" s="2" t="str">
        <f>IFERROR(IF(MARÍTIMOS[[#This Row],[Contenedor]]="","",MARÍTIMOS[[#This Row],[Contenedor]]),"")</f>
        <v>EMCU5686014</v>
      </c>
      <c r="Q361" s="2" t="str">
        <f>IFERROR(IF(MARÍTIMOS[[#This Row],[Puerto de Retiro]]="","",MARÍTIMOS[[#This Row],[Puerto de Retiro]]),"")</f>
        <v>CALLAO</v>
      </c>
      <c r="R361" s="2" t="str">
        <f>IFERROR(IF(MARÍTIMOS[[#This Row],[Almacén de Retiro]]="","",MARÍTIMOS[[#This Row],[Almacén de Retiro]]),"")</f>
        <v>IMUPESA</v>
      </c>
      <c r="S361" s="11">
        <f>IFERROR(IF(MARÍTIMOS[[#This Row],[Etapa Retiro - Cita]]="","",MARÍTIMOS[[#This Row],[Etapa Retiro - Cita]]),"")</f>
        <v>46221.625</v>
      </c>
      <c r="T361" s="11">
        <f>IFERROR(IF(MARÍTIMOS[[#This Row],[Etapa Retiro - Llegada]]="","",MARÍTIMOS[[#This Row],[Etapa Retiro - Llegada]]),"")</f>
        <v>46221.815972222219</v>
      </c>
      <c r="U361" s="11">
        <f>IFERROR(IF(MARÍTIMOS[[#This Row],[Etapa Retiro - Ingreso]]="","",MARÍTIMOS[[#This Row],[Etapa Retiro - Ingreso]]),"")</f>
        <v>46221.897916666669</v>
      </c>
      <c r="V361" s="11">
        <f>IFERROR(IF(MARÍTIMOS[[#This Row],[Etapa Retiro - Atención]]="","",MARÍTIMOS[[#This Row],[Etapa Retiro - Atención]]),"")</f>
        <v>46221.925000000003</v>
      </c>
      <c r="W361" s="11">
        <f>IFERROR(IF(MARÍTIMOS[[#This Row],[Etapa Retiro - Atención]]="","",MARÍTIMOS[[#This Row],[Etapa Retiro - Atención]]),"")</f>
        <v>46221.925000000003</v>
      </c>
      <c r="X361" s="11">
        <f>IFERROR(IF(MARÍTIMOS[[#This Row],[Etapa Retiro - Inicio de Ruta]]="","",MARÍTIMOS[[#This Row],[Etapa Retiro - Inicio de Ruta]]),"")</f>
        <v>46222.069444444445</v>
      </c>
      <c r="Y361" s="11">
        <f>IFERROR(IF(MARÍTIMOS[[#This Row],[Hora de Posicionamiento]]="","",MARÍTIMOS[[#This Row],[Fecha de Carga]]+MARÍTIMOS[[#This Row],[Hora de Posicionamiento]]),"")</f>
        <v>46222.333333333336</v>
      </c>
      <c r="Z361" s="11">
        <f>IFERROR(IF(MARÍTIMOS[[#This Row],[Etapa Despacho - Llegada]]="","",MARÍTIMOS[[#This Row],[Etapa Despacho - Llegada]]),"")</f>
        <v>46222.451388888891</v>
      </c>
      <c r="AA361" s="11">
        <f>IFERROR(IF(MARÍTIMOS[[#This Row],[Etapa Despacho - Registro]]="","",MARÍTIMOS[[#This Row],[Etapa Despacho - Registro]]),"")</f>
        <v>46222.524305555555</v>
      </c>
      <c r="AB361" s="11">
        <f>IFERROR(IF(MARÍTIMOS[[#This Row],[Inspección Externa]]="","",MARÍTIMOS[[#This Row],[Inspección Externa]]),"")</f>
        <v>46222.534722222219</v>
      </c>
      <c r="AC361" s="11">
        <f>IFERROR(IF(MARÍTIMOS[[#This Row],[Etapa Despacho - Inicio de Carga]]="","",MARÍTIMOS[[#This Row],[Etapa Despacho - Inicio de Carga]]),"")</f>
        <v>46222.572916666664</v>
      </c>
      <c r="AD361" s="11" t="str">
        <f>IFERROR(IF(MARÍTIMOS[[#This Row],[Etapa Despacho - Mitad de Carga]]="","",MARÍTIMOS[[#This Row],[Etapa Despacho - Mitad de Carga]]),"")</f>
        <v/>
      </c>
      <c r="AE361" s="11">
        <f>IFERROR(IF(MARÍTIMOS[[#This Row],[Etapa Despacho - Fin de Carga]]="","",MARÍTIMOS[[#This Row],[Etapa Despacho - Fin de Carga]]),"")</f>
        <v>46222.672222222223</v>
      </c>
      <c r="AF361" s="2" t="str">
        <f>IFERROR(IF(MARÍTIMOS[[#This Row],[Puerto de Embarque]]="","",MARÍTIMOS[[#This Row],[Puerto de Embarque]]),"")</f>
        <v>CALLAO</v>
      </c>
      <c r="AG361" s="2" t="str">
        <f>IFERROR(IF(MARÍTIMOS[[#This Row],[Almacén de Ingreso]]="","",MARÍTIMOS[[#This Row],[Almacén de Ingreso]]),"")</f>
        <v>DPW</v>
      </c>
      <c r="AH361" s="11">
        <f>IFERROR(IF(MARÍTIMOS[[#This Row],[Etapa Ingreso - Cita]]="","",MARÍTIMOS[[#This Row],[Etapa Ingreso - Cita]]),"")</f>
        <v>46223.333333333336</v>
      </c>
      <c r="AI361" s="11">
        <f>IFERROR(IF(MARÍTIMOS[[#This Row],[Etapa Ingreso - Llegada]]="","",MARÍTIMOS[[#This Row],[Etapa Ingreso - Llegada]]),"")</f>
        <v>46223.257638888892</v>
      </c>
      <c r="AJ361" s="11">
        <f>IFERROR(IF(MARÍTIMOS[[#This Row],[Etapa Ingreso - Ingeso]]="","",MARÍTIMOS[[#This Row],[Etapa Ingreso - Ingeso]]),"")</f>
        <v>46223.284722222219</v>
      </c>
      <c r="AK361" s="11">
        <f>IFERROR(IF(MARÍTIMOS[[#This Row],[Etapa Ingreso - Atención]]="","",MARÍTIMOS[[#This Row],[Etapa Ingreso - Atención]]),"")</f>
        <v>46223.322916666664</v>
      </c>
      <c r="AL361" s="11">
        <f>IFERROR(IF(MARÍTIMOS[[#This Row],[Etapa Ingreso - Salida]]="","",MARÍTIMOS[[#This Row],[Etapa Ingreso - Salida]]),"")</f>
        <v>46223.333333333336</v>
      </c>
      <c r="AM361" s="2">
        <f>IFERROR(IF(MARÍTIMOS[[#This Row],[FCL]]="","",MARÍTIMOS[[#This Row],[FCL]]),"")</f>
        <v>1</v>
      </c>
      <c r="AN3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1" s="4" t="str" cm="1">
        <f t="array" ref="AO3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1" s="5">
        <f>IFERROR(OLDBD[[#This Row],[Llegada a packing]]-OLDBD[[#This Row],[Inicio de Ruta]],"")</f>
        <v>0.38194444444525288</v>
      </c>
      <c r="AQ361" s="6">
        <f>IFERROR(OLDBD[[#This Row],[Inicio de Ruta]]-OLDBD[[#This Row],[Salida de almacén de retiro]],"")</f>
        <v>0.1444444444423425</v>
      </c>
      <c r="AR3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61" s="8" t="str" cm="1">
        <f t="array" ref="AS3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61" s="9">
        <f>IFERROR(OLDBD[[#This Row],[Ingreso Packing]]-OLDBD[[#This Row],[Registro en Packing]],"")</f>
        <v>1.0416666664241347E-2</v>
      </c>
      <c r="AV361" s="9">
        <f>IFERROR(OLDBD[[#This Row],[Ingreso Packing]]-OLDBD[[#This Row],[Llegada a packing]],"")</f>
        <v>8.3333333328482695E-2</v>
      </c>
      <c r="AW3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61" s="5">
        <f>IFERROR(OLDBD[[#This Row],[Llegada Almacén de Ingreso]]-OLDBD[[#This Row],[Salida Packing]],"")</f>
        <v>0.58541666666860692</v>
      </c>
      <c r="AY361" s="4" t="str" cm="1">
        <f t="array" ref="AY3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61" s="43" t="s">
        <v>173</v>
      </c>
      <c r="BB361" s="47" t="str">
        <f>IFERROR(IF(MARÍTIMOS[[#This Row],[Estatus]]="","",MARÍTIMOS[[#This Row],[Estatus]]),"")</f>
        <v>Confirmado</v>
      </c>
      <c r="BC361" s="43"/>
      <c r="BD361" s="46">
        <f>IFERROR(OLDBD[[#This Row],[Salida de almacén de retiro]]-OLDBD[[#This Row],[Ingreso Almacén de retiro]],"")</f>
        <v>2.7083333334303461E-2</v>
      </c>
      <c r="BE361" s="46" t="str">
        <f>IFERROR(OLDBD[[#This Row],[Fin de Carga]]-OLDBD[[#This Row],[Inicio de Carga]],"")</f>
        <v/>
      </c>
    </row>
    <row r="362" spans="1:57" customFormat="1" hidden="1">
      <c r="A362" s="1"/>
      <c r="B362" s="1">
        <f>IFERROR(IF(MARÍTIMOS[[#This Row],[PP]]="","",MARÍTIMOS[[#This Row],[PP]]),"")</f>
        <v>29</v>
      </c>
      <c r="C362" s="1" t="str">
        <f>IFERROR(IF(MARÍTIMOS[[#This Row],[Sede]]="","",MARÍTIMOS[[#This Row],[Sede]]),"")</f>
        <v>Chao</v>
      </c>
      <c r="D362" s="1" t="str">
        <f>IFERROR(IF(MARÍTIMOS[[#This Row],[Instruction]]="","",MARÍTIMOS[[#This Row],[Instruction]]),"")</f>
        <v>RH-0184</v>
      </c>
      <c r="E362" s="1"/>
      <c r="F362" s="2" t="str">
        <f>IFERROR(IF(MARÍTIMOS[[#This Row],[Transportista]]="","",MARÍTIMOS[[#This Row],[Transportista]]),"")</f>
        <v>Maersk</v>
      </c>
      <c r="G362" s="2" t="str">
        <f>IFERROR(IF(MARÍTIMOS[[#This Row],[Tercero]]="","",MARÍTIMOS[[#This Row],[Tercero]]),"")</f>
        <v>NO</v>
      </c>
      <c r="H362" s="2" t="str">
        <f>IFERROR(IF(MARÍTIMOS[[#This Row],[Razón Social]]="","",MARÍTIMOS[[#This Row],[Razón Social]]),"")</f>
        <v>MAERK LOGISTIC &amp; SERVICES PERU S.A</v>
      </c>
      <c r="I362" s="2">
        <f>IFERROR(IF(MARÍTIMOS[[#This Row],[RUC]]="","",MARÍTIMOS[[#This Row],[RUC]]),"")</f>
        <v>20107012011</v>
      </c>
      <c r="J362" s="2" t="str">
        <f>IFERROR(IF(MARÍTIMOS[[#This Row],[Placa Tracto]]="","",MARÍTIMOS[[#This Row],[Placa Tracto]]),"")</f>
        <v>BTM725</v>
      </c>
      <c r="K362" s="2" t="str">
        <f>IFERROR(IF(MARÍTIMOS[[#This Row],[Placa Carreta]]="","",MARÍTIMOS[[#This Row],[Placa Carreta]]),"")</f>
        <v>BDV988</v>
      </c>
      <c r="L362" s="44" t="str">
        <f>IFERROR(IF(MARÍTIMOS[[#This Row],[Conductor]]="","",MARÍTIMOS[[#This Row],[Conductor]]),"")</f>
        <v>RODDY DE LA CRUZ / EMILIO CHIROQUE</v>
      </c>
      <c r="M362" s="2" t="str">
        <f>IFERROR(IF(MARÍTIMOS[[#This Row],[Licencia]]="","",MARÍTIMOS[[#This Row],[Licencia]]),"")</f>
        <v>B48103960 / Q40943334</v>
      </c>
      <c r="N362" s="2" t="str">
        <f>IFERROR(IF(MARÍTIMOS[[#This Row],[Número de Contacto]]="","",MARÍTIMOS[[#This Row],[Número de Contacto]]),"")</f>
        <v xml:space="preserve">-  </v>
      </c>
      <c r="O362" s="10">
        <f>IFERROR(IF(MARÍTIMOS[[#This Row],[Booking|AWB|CRT]]="","",MARÍTIMOS[[#This Row],[Booking|AWB|CRT]]),"")</f>
        <v>751600040143</v>
      </c>
      <c r="P362" s="2" t="str">
        <f>IFERROR(IF(MARÍTIMOS[[#This Row],[Contenedor]]="","",MARÍTIMOS[[#This Row],[Contenedor]]),"")</f>
        <v>EMCU5685091</v>
      </c>
      <c r="Q362" s="2" t="str">
        <f>IFERROR(IF(MARÍTIMOS[[#This Row],[Puerto de Retiro]]="","",MARÍTIMOS[[#This Row],[Puerto de Retiro]]),"")</f>
        <v>CALLAO</v>
      </c>
      <c r="R362" s="2" t="str">
        <f>IFERROR(IF(MARÍTIMOS[[#This Row],[Almacén de Retiro]]="","",MARÍTIMOS[[#This Row],[Almacén de Retiro]]),"")</f>
        <v>IMUPESA</v>
      </c>
      <c r="S362" s="11">
        <f>IFERROR(IF(MARÍTIMOS[[#This Row],[Etapa Retiro - Cita]]="","",MARÍTIMOS[[#This Row],[Etapa Retiro - Cita]]),"")</f>
        <v>46221.625</v>
      </c>
      <c r="T362" s="11">
        <f>IFERROR(IF(MARÍTIMOS[[#This Row],[Etapa Retiro - Llegada]]="","",MARÍTIMOS[[#This Row],[Etapa Retiro - Llegada]]),"")</f>
        <v>46221.673611111109</v>
      </c>
      <c r="U362" s="11">
        <f>IFERROR(IF(MARÍTIMOS[[#This Row],[Etapa Retiro - Ingreso]]="","",MARÍTIMOS[[#This Row],[Etapa Retiro - Ingreso]]),"")</f>
        <v>46221.791666666664</v>
      </c>
      <c r="V362" s="11">
        <f>IFERROR(IF(MARÍTIMOS[[#This Row],[Etapa Retiro - Atención]]="","",MARÍTIMOS[[#This Row],[Etapa Retiro - Atención]]),"")</f>
        <v>46221.853472222225</v>
      </c>
      <c r="W362" s="11">
        <f>IFERROR(IF(MARÍTIMOS[[#This Row],[Etapa Retiro - Atención]]="","",MARÍTIMOS[[#This Row],[Etapa Retiro - Atención]]),"")</f>
        <v>46221.853472222225</v>
      </c>
      <c r="X362" s="11">
        <f>IFERROR(IF(MARÍTIMOS[[#This Row],[Etapa Retiro - Inicio de Ruta]]="","",MARÍTIMOS[[#This Row],[Etapa Retiro - Inicio de Ruta]]),"")</f>
        <v>46222.020833333336</v>
      </c>
      <c r="Y362" s="11">
        <f>IFERROR(IF(MARÍTIMOS[[#This Row],[Hora de Posicionamiento]]="","",MARÍTIMOS[[#This Row],[Fecha de Carga]]+MARÍTIMOS[[#This Row],[Hora de Posicionamiento]]),"")</f>
        <v>46222.333333333336</v>
      </c>
      <c r="Z362" s="11">
        <f>IFERROR(IF(MARÍTIMOS[[#This Row],[Etapa Despacho - Llegada]]="","",MARÍTIMOS[[#This Row],[Etapa Despacho - Llegada]]),"")</f>
        <v>46222.455555555556</v>
      </c>
      <c r="AA362" s="11">
        <f>IFERROR(IF(MARÍTIMOS[[#This Row],[Etapa Despacho - Registro]]="","",MARÍTIMOS[[#This Row],[Etapa Despacho - Registro]]),"")</f>
        <v>46222.510416666664</v>
      </c>
      <c r="AB362" s="11">
        <f>IFERROR(IF(MARÍTIMOS[[#This Row],[Inspección Externa]]="","",MARÍTIMOS[[#This Row],[Inspección Externa]]),"")</f>
        <v>46222.531944444447</v>
      </c>
      <c r="AC362" s="11">
        <f>IFERROR(IF(MARÍTIMOS[[#This Row],[Etapa Despacho - Inicio de Carga]]="","",MARÍTIMOS[[#This Row],[Etapa Despacho - Inicio de Carga]]),"")</f>
        <v>46222.576388888891</v>
      </c>
      <c r="AD362" s="11" t="str">
        <f>IFERROR(IF(MARÍTIMOS[[#This Row],[Etapa Despacho - Mitad de Carga]]="","",MARÍTIMOS[[#This Row],[Etapa Despacho - Mitad de Carga]]),"")</f>
        <v/>
      </c>
      <c r="AE362" s="11">
        <f>IFERROR(IF(MARÍTIMOS[[#This Row],[Etapa Despacho - Fin de Carga]]="","",MARÍTIMOS[[#This Row],[Etapa Despacho - Fin de Carga]]),"")</f>
        <v>46222.673611111109</v>
      </c>
      <c r="AF362" s="2" t="str">
        <f>IFERROR(IF(MARÍTIMOS[[#This Row],[Puerto de Embarque]]="","",MARÍTIMOS[[#This Row],[Puerto de Embarque]]),"")</f>
        <v>CALLAO</v>
      </c>
      <c r="AG362" s="2" t="str">
        <f>IFERROR(IF(MARÍTIMOS[[#This Row],[Almacén de Ingreso]]="","",MARÍTIMOS[[#This Row],[Almacén de Ingreso]]),"")</f>
        <v>DPW</v>
      </c>
      <c r="AH362" s="11">
        <f>IFERROR(IF(MARÍTIMOS[[#This Row],[Etapa Ingreso - Cita]]="","",MARÍTIMOS[[#This Row],[Etapa Ingreso - Cita]]),"")</f>
        <v>46223.291666666664</v>
      </c>
      <c r="AI362" s="11">
        <f>IFERROR(IF(MARÍTIMOS[[#This Row],[Etapa Ingreso - Llegada]]="","",MARÍTIMOS[[#This Row],[Etapa Ingreso - Llegada]]),"")</f>
        <v>46223.209722222222</v>
      </c>
      <c r="AJ362" s="11">
        <f>IFERROR(IF(MARÍTIMOS[[#This Row],[Etapa Ingreso - Ingeso]]="","",MARÍTIMOS[[#This Row],[Etapa Ingreso - Ingeso]]),"")</f>
        <v>46223.229166666664</v>
      </c>
      <c r="AK362" s="11">
        <f>IFERROR(IF(MARÍTIMOS[[#This Row],[Etapa Ingreso - Atención]]="","",MARÍTIMOS[[#This Row],[Etapa Ingreso - Atención]]),"")</f>
        <v>46223.237500000003</v>
      </c>
      <c r="AL362" s="11">
        <f>IFERROR(IF(MARÍTIMOS[[#This Row],[Etapa Ingreso - Salida]]="","",MARÍTIMOS[[#This Row],[Etapa Ingreso - Salida]]),"")</f>
        <v>46223.244444444441</v>
      </c>
      <c r="AM362" s="2">
        <f>IFERROR(IF(MARÍTIMOS[[#This Row],[FCL]]="","",MARÍTIMOS[[#This Row],[FCL]]),"")</f>
        <v>1</v>
      </c>
      <c r="AN3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2" s="4" t="str" cm="1">
        <f t="array" ref="AO3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2" s="5">
        <f>IFERROR(OLDBD[[#This Row],[Llegada a packing]]-OLDBD[[#This Row],[Inicio de Ruta]],"")</f>
        <v>0.43472222222044365</v>
      </c>
      <c r="AQ362" s="6">
        <f>IFERROR(OLDBD[[#This Row],[Inicio de Ruta]]-OLDBD[[#This Row],[Salida de almacén de retiro]],"")</f>
        <v>0.16736111111094942</v>
      </c>
      <c r="AR3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62" s="8" t="str" cm="1">
        <f t="array" ref="AS3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62" s="9">
        <f>IFERROR(OLDBD[[#This Row],[Ingreso Packing]]-OLDBD[[#This Row],[Registro en Packing]],"")</f>
        <v>2.1527777782466728E-2</v>
      </c>
      <c r="AV362" s="9">
        <f>IFERROR(OLDBD[[#This Row],[Ingreso Packing]]-OLDBD[[#This Row],[Llegada a packing]],"")</f>
        <v>7.6388888890505768E-2</v>
      </c>
      <c r="AW3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62" s="5">
        <f>IFERROR(OLDBD[[#This Row],[Llegada Almacén de Ingreso]]-OLDBD[[#This Row],[Salida Packing]],"")</f>
        <v>0.53611111111240461</v>
      </c>
      <c r="AY362" s="4" t="str" cm="1">
        <f t="array" ref="AY3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62" s="43" t="s">
        <v>173</v>
      </c>
      <c r="BB362" s="47" t="str">
        <f>IFERROR(IF(MARÍTIMOS[[#This Row],[Estatus]]="","",MARÍTIMOS[[#This Row],[Estatus]]),"")</f>
        <v>Confirmado</v>
      </c>
      <c r="BC362" s="43"/>
      <c r="BD362" s="46">
        <f>IFERROR(OLDBD[[#This Row],[Salida de almacén de retiro]]-OLDBD[[#This Row],[Ingreso Almacén de retiro]],"")</f>
        <v>6.1805555560567882E-2</v>
      </c>
      <c r="BE362" s="46" t="str">
        <f>IFERROR(OLDBD[[#This Row],[Fin de Carga]]-OLDBD[[#This Row],[Inicio de Carga]],"")</f>
        <v/>
      </c>
    </row>
    <row r="363" spans="1:57" customFormat="1" hidden="1">
      <c r="A363" s="1"/>
      <c r="B363" s="1">
        <f>IFERROR(IF(MARÍTIMOS[[#This Row],[PP]]="","",MARÍTIMOS[[#This Row],[PP]]),"")</f>
        <v>30</v>
      </c>
      <c r="C363" s="1" t="str">
        <f>IFERROR(IF(MARÍTIMOS[[#This Row],[Sede]]="","",MARÍTIMOS[[#This Row],[Sede]]),"")</f>
        <v>Chao</v>
      </c>
      <c r="D363" s="1" t="str">
        <f>IFERROR(IF(MARÍTIMOS[[#This Row],[Instruction]]="","",MARÍTIMOS[[#This Row],[Instruction]]),"")</f>
        <v>RH-0249</v>
      </c>
      <c r="E363" s="1"/>
      <c r="F363" s="2" t="str">
        <f>IFERROR(IF(MARÍTIMOS[[#This Row],[Transportista]]="","",MARÍTIMOS[[#This Row],[Transportista]]),"")</f>
        <v>Maersk</v>
      </c>
      <c r="G363" s="2" t="str">
        <f>IFERROR(IF(MARÍTIMOS[[#This Row],[Tercero]]="","",MARÍTIMOS[[#This Row],[Tercero]]),"")</f>
        <v>NO</v>
      </c>
      <c r="H363" s="2" t="str">
        <f>IFERROR(IF(MARÍTIMOS[[#This Row],[Razón Social]]="","",MARÍTIMOS[[#This Row],[Razón Social]]),"")</f>
        <v>MAERK LOGISTIC &amp; SERVICES PERU S.A</v>
      </c>
      <c r="I363" s="2">
        <f>IFERROR(IF(MARÍTIMOS[[#This Row],[RUC]]="","",MARÍTIMOS[[#This Row],[RUC]]),"")</f>
        <v>20107012011</v>
      </c>
      <c r="J363" s="2" t="str">
        <f>IFERROR(IF(MARÍTIMOS[[#This Row],[Placa Tracto]]="","",MARÍTIMOS[[#This Row],[Placa Tracto]]),"")</f>
        <v>BTM788</v>
      </c>
      <c r="K363" s="2" t="str">
        <f>IFERROR(IF(MARÍTIMOS[[#This Row],[Placa Carreta]]="","",MARÍTIMOS[[#This Row],[Placa Carreta]]),"")</f>
        <v>BEC971</v>
      </c>
      <c r="L363" s="44" t="str">
        <f>IFERROR(IF(MARÍTIMOS[[#This Row],[Conductor]]="","",MARÍTIMOS[[#This Row],[Conductor]]),"")</f>
        <v>FERNANDEZ SALAZAR JAIME/ EDMUNDO EDUARDO DIAZ LEON</v>
      </c>
      <c r="M363" s="2" t="str">
        <f>IFERROR(IF(MARÍTIMOS[[#This Row],[Licencia]]="","",MARÍTIMOS[[#This Row],[Licencia]]),"")</f>
        <v>Q46559572 /Q42107613</v>
      </c>
      <c r="N363" s="2" t="str">
        <f>IFERROR(IF(MARÍTIMOS[[#This Row],[Número de Contacto]]="","",MARÍTIMOS[[#This Row],[Número de Contacto]]),"")</f>
        <v xml:space="preserve">-  </v>
      </c>
      <c r="O363" s="10">
        <f>IFERROR(IF(MARÍTIMOS[[#This Row],[Booking|AWB|CRT]]="","",MARÍTIMOS[[#This Row],[Booking|AWB|CRT]]),"")</f>
        <v>274512926</v>
      </c>
      <c r="P363" s="2" t="str">
        <f>IFERROR(IF(MARÍTIMOS[[#This Row],[Contenedor]]="","",MARÍTIMOS[[#This Row],[Contenedor]]),"")</f>
        <v>MNBU3017382</v>
      </c>
      <c r="Q363" s="2" t="str">
        <f>IFERROR(IF(MARÍTIMOS[[#This Row],[Puerto de Retiro]]="","",MARÍTIMOS[[#This Row],[Puerto de Retiro]]),"")</f>
        <v>CALLAO</v>
      </c>
      <c r="R363" s="2" t="str">
        <f>IFERROR(IF(MARÍTIMOS[[#This Row],[Almacén de Retiro]]="","",MARÍTIMOS[[#This Row],[Almacén de Retiro]]),"")</f>
        <v>DEMARES</v>
      </c>
      <c r="S363" s="11">
        <f>IFERROR(IF(MARÍTIMOS[[#This Row],[Etapa Retiro - Cita]]="","",MARÍTIMOS[[#This Row],[Etapa Retiro - Cita]]),"")</f>
        <v>46225.583333333336</v>
      </c>
      <c r="T363" s="11">
        <f>IFERROR(IF(MARÍTIMOS[[#This Row],[Etapa Retiro - Llegada]]="","",MARÍTIMOS[[#This Row],[Etapa Retiro - Llegada]]),"")</f>
        <v>46225.576388888891</v>
      </c>
      <c r="U363" s="11">
        <f>IFERROR(IF(MARÍTIMOS[[#This Row],[Etapa Retiro - Ingreso]]="","",MARÍTIMOS[[#This Row],[Etapa Retiro - Ingreso]]),"")</f>
        <v>46225.584027777775</v>
      </c>
      <c r="V363" s="11" t="str">
        <f>IFERROR(IF(MARÍTIMOS[[#This Row],[Etapa Retiro - Atención]]="","",MARÍTIMOS[[#This Row],[Etapa Retiro - Atención]]),"")</f>
        <v/>
      </c>
      <c r="W363" s="11" t="str">
        <f>IFERROR(IF(MARÍTIMOS[[#This Row],[Etapa Retiro - Atención]]="","",MARÍTIMOS[[#This Row],[Etapa Retiro - Atención]]),"")</f>
        <v/>
      </c>
      <c r="X363" s="11">
        <f>IFERROR(IF(MARÍTIMOS[[#This Row],[Etapa Retiro - Inicio de Ruta]]="","",MARÍTIMOS[[#This Row],[Etapa Retiro - Inicio de Ruta]]),"")</f>
        <v>46225.715277777781</v>
      </c>
      <c r="Y363" s="11">
        <f>IFERROR(IF(MARÍTIMOS[[#This Row],[Hora de Posicionamiento]]="","",MARÍTIMOS[[#This Row],[Fecha de Carga]]+MARÍTIMOS[[#This Row],[Hora de Posicionamiento]]),"")</f>
        <v>46226.333333333336</v>
      </c>
      <c r="Z363" s="11">
        <f>IFERROR(IF(MARÍTIMOS[[#This Row],[Etapa Despacho - Llegada]]="","",MARÍTIMOS[[#This Row],[Etapa Despacho - Llegada]]),"")</f>
        <v>46226.263194444444</v>
      </c>
      <c r="AA363" s="11">
        <f>IFERROR(IF(MARÍTIMOS[[#This Row],[Etapa Despacho - Registro]]="","",MARÍTIMOS[[#This Row],[Etapa Despacho - Registro]]),"")</f>
        <v>46226.338888888888</v>
      </c>
      <c r="AB363" s="11">
        <f>IFERROR(IF(MARÍTIMOS[[#This Row],[Inspección Externa]]="","",MARÍTIMOS[[#This Row],[Inspección Externa]]),"")</f>
        <v>46226.347222222219</v>
      </c>
      <c r="AC363" s="11">
        <f>IFERROR(IF(MARÍTIMOS[[#This Row],[Etapa Despacho - Inicio de Carga]]="","",MARÍTIMOS[[#This Row],[Etapa Despacho - Inicio de Carga]]),"")</f>
        <v>46226.387499999997</v>
      </c>
      <c r="AD363" s="11" t="str">
        <f>IFERROR(IF(MARÍTIMOS[[#This Row],[Etapa Despacho - Mitad de Carga]]="","",MARÍTIMOS[[#This Row],[Etapa Despacho - Mitad de Carga]]),"")</f>
        <v/>
      </c>
      <c r="AE363" s="11">
        <f>IFERROR(IF(MARÍTIMOS[[#This Row],[Etapa Despacho - Fin de Carga]]="","",MARÍTIMOS[[#This Row],[Etapa Despacho - Fin de Carga]]),"")</f>
        <v>46226.520833333336</v>
      </c>
      <c r="AF363" s="2" t="str">
        <f>IFERROR(IF(MARÍTIMOS[[#This Row],[Puerto de Embarque]]="","",MARÍTIMOS[[#This Row],[Puerto de Embarque]]),"")</f>
        <v>CALLAO</v>
      </c>
      <c r="AG363" s="2" t="str">
        <f>IFERROR(IF(MARÍTIMOS[[#This Row],[Almacén de Ingreso]]="","",MARÍTIMOS[[#This Row],[Almacén de Ingreso]]),"")</f>
        <v>APM</v>
      </c>
      <c r="AH363" s="11">
        <f>IFERROR(IF(MARÍTIMOS[[#This Row],[Etapa Ingreso - Cita]]="","",MARÍTIMOS[[#This Row],[Etapa Ingreso - Cita]]),"")</f>
        <v>46227.041666666664</v>
      </c>
      <c r="AI363" s="11">
        <f>IFERROR(IF(MARÍTIMOS[[#This Row],[Etapa Ingreso - Llegada]]="","",MARÍTIMOS[[#This Row],[Etapa Ingreso - Llegada]]),"")</f>
        <v>46227.043055555558</v>
      </c>
      <c r="AJ363" s="11">
        <f>IFERROR(IF(MARÍTIMOS[[#This Row],[Etapa Ingreso - Ingeso]]="","",MARÍTIMOS[[#This Row],[Etapa Ingreso - Ingeso]]),"")</f>
        <v>46227.145833333336</v>
      </c>
      <c r="AK363" s="11">
        <f>IFERROR(IF(MARÍTIMOS[[#This Row],[Etapa Ingreso - Atención]]="","",MARÍTIMOS[[#This Row],[Etapa Ingreso - Atención]]),"")</f>
        <v>46227.15625</v>
      </c>
      <c r="AL363" s="11">
        <f>IFERROR(IF(MARÍTIMOS[[#This Row],[Etapa Ingreso - Salida]]="","",MARÍTIMOS[[#This Row],[Etapa Ingreso - Salida]]),"")</f>
        <v>46227.169444444444</v>
      </c>
      <c r="AM363" s="2">
        <f>IFERROR(IF(MARÍTIMOS[[#This Row],[FCL]]="","",MARÍTIMOS[[#This Row],[FCL]]),"")</f>
        <v>1</v>
      </c>
      <c r="AN3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3" s="4" t="str" cm="1">
        <f t="array" ref="AO3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363" s="5">
        <f>IFERROR(OLDBD[[#This Row],[Llegada a packing]]-OLDBD[[#This Row],[Inicio de Ruta]],"")</f>
        <v>0.54791666666278616</v>
      </c>
      <c r="AQ363" s="6" t="str">
        <f>IFERROR(OLDBD[[#This Row],[Inicio de Ruta]]-OLDBD[[#This Row],[Salida de almacén de retiro]],"")</f>
        <v/>
      </c>
      <c r="AR3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63" s="8" t="str" cm="1">
        <f t="array" ref="AS3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63" s="9">
        <f>IFERROR(OLDBD[[#This Row],[Ingreso Packing]]-OLDBD[[#This Row],[Registro en Packing]],"")</f>
        <v>8.333333331393078E-3</v>
      </c>
      <c r="AV363" s="9">
        <f>IFERROR(OLDBD[[#This Row],[Ingreso Packing]]-OLDBD[[#This Row],[Llegada a packing]],"")</f>
        <v>8.4027777775190771E-2</v>
      </c>
      <c r="AW3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63" s="5">
        <f>IFERROR(OLDBD[[#This Row],[Llegada Almacén de Ingreso]]-OLDBD[[#This Row],[Salida Packing]],"")</f>
        <v>0.52222222222189885</v>
      </c>
      <c r="AY363" s="4" t="str" cm="1">
        <f t="array" ref="AY3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63" s="43" t="s">
        <v>173</v>
      </c>
      <c r="BB363" s="47" t="str">
        <f>IFERROR(IF(MARÍTIMOS[[#This Row],[Estatus]]="","",MARÍTIMOS[[#This Row],[Estatus]]),"")</f>
        <v>Confirmado</v>
      </c>
      <c r="BC363" s="43"/>
      <c r="BD363" s="46" t="str">
        <f>IFERROR(OLDBD[[#This Row],[Salida de almacén de retiro]]-OLDBD[[#This Row],[Ingreso Almacén de retiro]],"")</f>
        <v/>
      </c>
      <c r="BE363" s="46" t="str">
        <f>IFERROR(OLDBD[[#This Row],[Fin de Carga]]-OLDBD[[#This Row],[Inicio de Carga]],"")</f>
        <v/>
      </c>
    </row>
    <row r="364" spans="1:57" customFormat="1" hidden="1">
      <c r="A364" s="1"/>
      <c r="B364" s="1">
        <f>IFERROR(IF(MARÍTIMOS[[#This Row],[PP]]="","",MARÍTIMOS[[#This Row],[PP]]),"")</f>
        <v>30</v>
      </c>
      <c r="C364" s="1" t="str">
        <f>IFERROR(IF(MARÍTIMOS[[#This Row],[Sede]]="","",MARÍTIMOS[[#This Row],[Sede]]),"")</f>
        <v>Chao</v>
      </c>
      <c r="D364" s="1" t="str">
        <f>IFERROR(IF(MARÍTIMOS[[#This Row],[Instruction]]="","",MARÍTIMOS[[#This Row],[Instruction]]),"")</f>
        <v>RH-0243</v>
      </c>
      <c r="E364" s="1"/>
      <c r="F364" s="2" t="str">
        <f>IFERROR(IF(MARÍTIMOS[[#This Row],[Transportista]]="","",MARÍTIMOS[[#This Row],[Transportista]]),"")</f>
        <v>Maersk</v>
      </c>
      <c r="G364" s="2" t="str">
        <f>IFERROR(IF(MARÍTIMOS[[#This Row],[Tercero]]="","",MARÍTIMOS[[#This Row],[Tercero]]),"")</f>
        <v>NO</v>
      </c>
      <c r="H364" s="2" t="str">
        <f>IFERROR(IF(MARÍTIMOS[[#This Row],[Razón Social]]="","",MARÍTIMOS[[#This Row],[Razón Social]]),"")</f>
        <v>MAERK LOGISTIC &amp; SERVICES PERU S.A</v>
      </c>
      <c r="I364" s="2">
        <f>IFERROR(IF(MARÍTIMOS[[#This Row],[RUC]]="","",MARÍTIMOS[[#This Row],[RUC]]),"")</f>
        <v>20107012011</v>
      </c>
      <c r="J364" s="2" t="str">
        <f>IFERROR(IF(MARÍTIMOS[[#This Row],[Placa Tracto]]="","",MARÍTIMOS[[#This Row],[Placa Tracto]]),"")</f>
        <v>BTM788</v>
      </c>
      <c r="K364" s="2" t="str">
        <f>IFERROR(IF(MARÍTIMOS[[#This Row],[Placa Carreta]]="","",MARÍTIMOS[[#This Row],[Placa Carreta]]),"")</f>
        <v>BDU999</v>
      </c>
      <c r="L364" s="44" t="str">
        <f>IFERROR(IF(MARÍTIMOS[[#This Row],[Conductor]]="","",MARÍTIMOS[[#This Row],[Conductor]]),"")</f>
        <v>YEMBER JANAKA TORREJON DAGA/EDMUNDO EDUARDO DIAZ LEON</v>
      </c>
      <c r="M364" s="2" t="str">
        <f>IFERROR(IF(MARÍTIMOS[[#This Row],[Licencia]]="","",MARÍTIMOS[[#This Row],[Licencia]]),"")</f>
        <v>Q40908517/Q42107613</v>
      </c>
      <c r="N364" s="2" t="str">
        <f>IFERROR(IF(MARÍTIMOS[[#This Row],[Número de Contacto]]="","",MARÍTIMOS[[#This Row],[Número de Contacto]]),"")</f>
        <v xml:space="preserve">-  </v>
      </c>
      <c r="O364" s="10">
        <f>IFERROR(IF(MARÍTIMOS[[#This Row],[Booking|AWB|CRT]]="","",MARÍTIMOS[[#This Row],[Booking|AWB|CRT]]),"")</f>
        <v>751600040780</v>
      </c>
      <c r="P364" s="2" t="str">
        <f>IFERROR(IF(MARÍTIMOS[[#This Row],[Contenedor]]="","",MARÍTIMOS[[#This Row],[Contenedor]]),"")</f>
        <v>EMCU5687453</v>
      </c>
      <c r="Q364" s="2" t="str">
        <f>IFERROR(IF(MARÍTIMOS[[#This Row],[Puerto de Retiro]]="","",MARÍTIMOS[[#This Row],[Puerto de Retiro]]),"")</f>
        <v>CALLAO</v>
      </c>
      <c r="R364" s="2" t="str">
        <f>IFERROR(IF(MARÍTIMOS[[#This Row],[Almacén de Retiro]]="","",MARÍTIMOS[[#This Row],[Almacén de Retiro]]),"")</f>
        <v>DPW</v>
      </c>
      <c r="S364" s="11">
        <f>IFERROR(IF(MARÍTIMOS[[#This Row],[Etapa Retiro - Cita]]="","",MARÍTIMOS[[#This Row],[Etapa Retiro - Cita]]),"")</f>
        <v>46228.666666666664</v>
      </c>
      <c r="T364" s="11">
        <f>IFERROR(IF(MARÍTIMOS[[#This Row],[Etapa Retiro - Llegada]]="","",MARÍTIMOS[[#This Row],[Etapa Retiro - Llegada]]),"")</f>
        <v>46228.65347222222</v>
      </c>
      <c r="U364" s="11">
        <f>IFERROR(IF(MARÍTIMOS[[#This Row],[Etapa Retiro - Ingreso]]="","",MARÍTIMOS[[#This Row],[Etapa Retiro - Ingreso]]),"")</f>
        <v>46228.657638888886</v>
      </c>
      <c r="V364" s="11">
        <f>IFERROR(IF(MARÍTIMOS[[#This Row],[Etapa Retiro - Atención]]="","",MARÍTIMOS[[#This Row],[Etapa Retiro - Atención]]),"")</f>
        <v>46228.668055555558</v>
      </c>
      <c r="W364" s="11">
        <f>IFERROR(IF(MARÍTIMOS[[#This Row],[Etapa Retiro - Atención]]="","",MARÍTIMOS[[#This Row],[Etapa Retiro - Atención]]),"")</f>
        <v>46228.668055555558</v>
      </c>
      <c r="X364" s="11">
        <f>IFERROR(IF(MARÍTIMOS[[#This Row],[Etapa Retiro - Inicio de Ruta]]="","",MARÍTIMOS[[#This Row],[Etapa Retiro - Inicio de Ruta]]),"")</f>
        <v>46228.840277777781</v>
      </c>
      <c r="Y364" s="11">
        <f>IFERROR(IF(MARÍTIMOS[[#This Row],[Hora de Posicionamiento]]="","",MARÍTIMOS[[#This Row],[Fecha de Carga]]+MARÍTIMOS[[#This Row],[Hora de Posicionamiento]]),"")</f>
        <v>46229.333333333336</v>
      </c>
      <c r="Z364" s="11">
        <f>IFERROR(IF(MARÍTIMOS[[#This Row],[Etapa Despacho - Llegada]]="","",MARÍTIMOS[[#This Row],[Etapa Despacho - Llegada]]),"")</f>
        <v>46229.354861111111</v>
      </c>
      <c r="AA364" s="11">
        <f>IFERROR(IF(MARÍTIMOS[[#This Row],[Etapa Despacho - Registro]]="","",MARÍTIMOS[[#This Row],[Etapa Despacho - Registro]]),"")</f>
        <v>46229.413194444445</v>
      </c>
      <c r="AB364" s="11">
        <f>IFERROR(IF(MARÍTIMOS[[#This Row],[Inspección Externa]]="","",MARÍTIMOS[[#This Row],[Inspección Externa]]),"")</f>
        <v>46229.448611111111</v>
      </c>
      <c r="AC364" s="11">
        <f>IFERROR(IF(MARÍTIMOS[[#This Row],[Etapa Despacho - Inicio de Carga]]="","",MARÍTIMOS[[#This Row],[Etapa Despacho - Inicio de Carga]]),"")</f>
        <v>46229.493055555555</v>
      </c>
      <c r="AD364" s="11" t="str">
        <f>IFERROR(IF(MARÍTIMOS[[#This Row],[Etapa Despacho - Mitad de Carga]]="","",MARÍTIMOS[[#This Row],[Etapa Despacho - Mitad de Carga]]),"")</f>
        <v/>
      </c>
      <c r="AE364" s="11">
        <f>IFERROR(IF(MARÍTIMOS[[#This Row],[Etapa Despacho - Fin de Carga]]="","",MARÍTIMOS[[#This Row],[Etapa Despacho - Fin de Carga]]),"")</f>
        <v>46229.777777777781</v>
      </c>
      <c r="AF364" s="2" t="str">
        <f>IFERROR(IF(MARÍTIMOS[[#This Row],[Puerto de Embarque]]="","",MARÍTIMOS[[#This Row],[Puerto de Embarque]]),"")</f>
        <v>CALLAO</v>
      </c>
      <c r="AG364" s="2" t="str">
        <f>IFERROR(IF(MARÍTIMOS[[#This Row],[Almacén de Ingreso]]="","",MARÍTIMOS[[#This Row],[Almacén de Ingreso]]),"")</f>
        <v>DPW</v>
      </c>
      <c r="AH364" s="11">
        <f>IFERROR(IF(MARÍTIMOS[[#This Row],[Etapa Ingreso - Cita]]="","",MARÍTIMOS[[#This Row],[Etapa Ingreso - Cita]]),"")</f>
        <v>46230.416666666664</v>
      </c>
      <c r="AI364" s="11">
        <f>IFERROR(IF(MARÍTIMOS[[#This Row],[Etapa Ingreso - Llegada]]="","",MARÍTIMOS[[#This Row],[Etapa Ingreso - Llegada]]),"")</f>
        <v>46230.345138888886</v>
      </c>
      <c r="AJ364" s="11">
        <f>IFERROR(IF(MARÍTIMOS[[#This Row],[Etapa Ingreso - Ingeso]]="","",MARÍTIMOS[[#This Row],[Etapa Ingreso - Ingeso]]),"")</f>
        <v>46230.510416666664</v>
      </c>
      <c r="AK364" s="11">
        <f>IFERROR(IF(MARÍTIMOS[[#This Row],[Etapa Ingreso - Atención]]="","",MARÍTIMOS[[#This Row],[Etapa Ingreso - Atención]]),"")</f>
        <v>46230.515972222223</v>
      </c>
      <c r="AL364" s="11">
        <f>IFERROR(IF(MARÍTIMOS[[#This Row],[Etapa Ingreso - Salida]]="","",MARÍTIMOS[[#This Row],[Etapa Ingreso - Salida]]),"")</f>
        <v>46230.529166666667</v>
      </c>
      <c r="AM364" s="2">
        <f>IFERROR(IF(MARÍTIMOS[[#This Row],[FCL]]="","",MARÍTIMOS[[#This Row],[FCL]]),"")</f>
        <v>1</v>
      </c>
      <c r="AN3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4" s="4" t="str" cm="1">
        <f t="array" ref="AO3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4" s="5">
        <f>IFERROR(OLDBD[[#This Row],[Llegada a packing]]-OLDBD[[#This Row],[Inicio de Ruta]],"")</f>
        <v>0.51458333332993789</v>
      </c>
      <c r="AQ364" s="6">
        <f>IFERROR(OLDBD[[#This Row],[Inicio de Ruta]]-OLDBD[[#This Row],[Salida de almacén de retiro]],"")</f>
        <v>0.17222222222335404</v>
      </c>
      <c r="AR3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64" s="8" t="str" cm="1">
        <f t="array" ref="AS3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64" s="9">
        <f>IFERROR(OLDBD[[#This Row],[Ingreso Packing]]-OLDBD[[#This Row],[Registro en Packing]],"")</f>
        <v>3.5416666665696539E-2</v>
      </c>
      <c r="AV364" s="9">
        <f>IFERROR(OLDBD[[#This Row],[Ingreso Packing]]-OLDBD[[#This Row],[Llegada a packing]],"")</f>
        <v>9.375E-2</v>
      </c>
      <c r="AW3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64" s="5">
        <f>IFERROR(OLDBD[[#This Row],[Llegada Almacén de Ingreso]]-OLDBD[[#This Row],[Salida Packing]],"")</f>
        <v>0.56736111110512866</v>
      </c>
      <c r="AY364" s="4" t="str" cm="1">
        <f t="array" ref="AY3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3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64" s="43" t="s">
        <v>173</v>
      </c>
      <c r="BB364" s="47" t="str">
        <f>IFERROR(IF(MARÍTIMOS[[#This Row],[Estatus]]="","",MARÍTIMOS[[#This Row],[Estatus]]),"")</f>
        <v>Confirmado</v>
      </c>
      <c r="BC364" s="43"/>
      <c r="BD364" s="46">
        <f>IFERROR(OLDBD[[#This Row],[Salida de almacén de retiro]]-OLDBD[[#This Row],[Ingreso Almacén de retiro]],"")</f>
        <v>1.0416666671517305E-2</v>
      </c>
      <c r="BE364" s="46" t="str">
        <f>IFERROR(OLDBD[[#This Row],[Fin de Carga]]-OLDBD[[#This Row],[Inicio de Carga]],"")</f>
        <v/>
      </c>
    </row>
    <row r="365" spans="1:57" customFormat="1" hidden="1">
      <c r="A365" s="1"/>
      <c r="B365" s="1">
        <f>IFERROR(IF(MARÍTIMOS[[#This Row],[PP]]="","",MARÍTIMOS[[#This Row],[PP]]),"")</f>
        <v>31</v>
      </c>
      <c r="C365" s="1" t="str">
        <f>IFERROR(IF(MARÍTIMOS[[#This Row],[Sede]]="","",MARÍTIMOS[[#This Row],[Sede]]),"")</f>
        <v>Chao</v>
      </c>
      <c r="D365" s="1" t="str">
        <f>IFERROR(IF(MARÍTIMOS[[#This Row],[Instruction]]="","",MARÍTIMOS[[#This Row],[Instruction]]),"")</f>
        <v>RH-0330</v>
      </c>
      <c r="E365" s="1"/>
      <c r="F365" s="2" t="str">
        <f>IFERROR(IF(MARÍTIMOS[[#This Row],[Transportista]]="","",MARÍTIMOS[[#This Row],[Transportista]]),"")</f>
        <v>Maersk</v>
      </c>
      <c r="G365" s="2" t="str">
        <f>IFERROR(IF(MARÍTIMOS[[#This Row],[Tercero]]="","",MARÍTIMOS[[#This Row],[Tercero]]),"")</f>
        <v>NO</v>
      </c>
      <c r="H365" s="2" t="str">
        <f>IFERROR(IF(MARÍTIMOS[[#This Row],[Razón Social]]="","",MARÍTIMOS[[#This Row],[Razón Social]]),"")</f>
        <v>MAERK LOGISTIC &amp; SERVICES PERU S.A</v>
      </c>
      <c r="I365" s="2">
        <f>IFERROR(IF(MARÍTIMOS[[#This Row],[RUC]]="","",MARÍTIMOS[[#This Row],[RUC]]),"")</f>
        <v>20107012011</v>
      </c>
      <c r="J365" s="2" t="str">
        <f>IFERROR(IF(MARÍTIMOS[[#This Row],[Placa Tracto]]="","",MARÍTIMOS[[#This Row],[Placa Tracto]]),"")</f>
        <v>APC791</v>
      </c>
      <c r="K365" s="2" t="str">
        <f>IFERROR(IF(MARÍTIMOS[[#This Row],[Placa Carreta]]="","",MARÍTIMOS[[#This Row],[Placa Carreta]]),"")</f>
        <v>BFI994</v>
      </c>
      <c r="L365" s="44" t="str">
        <f>IFERROR(IF(MARÍTIMOS[[#This Row],[Conductor]]="","",MARÍTIMOS[[#This Row],[Conductor]]),"")</f>
        <v>PEDRO ERICO GERONIMO CHACALTANA/  JUAN VILCASTRO ROJAS</v>
      </c>
      <c r="M365" s="2" t="str">
        <f>IFERROR(IF(MARÍTIMOS[[#This Row],[Licencia]]="","",MARÍTIMOS[[#This Row],[Licencia]]),"")</f>
        <v>Q08459779/Q41598703</v>
      </c>
      <c r="N365" s="2" t="str">
        <f>IFERROR(IF(MARÍTIMOS[[#This Row],[Número de Contacto]]="","",MARÍTIMOS[[#This Row],[Número de Contacto]]),"")</f>
        <v xml:space="preserve">-  </v>
      </c>
      <c r="O365" s="10">
        <f>IFERROR(IF(MARÍTIMOS[[#This Row],[Booking|AWB|CRT]]="","",MARÍTIMOS[[#This Row],[Booking|AWB|CRT]]),"")</f>
        <v>274926136</v>
      </c>
      <c r="P365" s="2" t="str">
        <f>IFERROR(IF(MARÍTIMOS[[#This Row],[Contenedor]]="","",MARÍTIMOS[[#This Row],[Contenedor]]),"")</f>
        <v>MNBU0223353</v>
      </c>
      <c r="Q365" s="2" t="str">
        <f>IFERROR(IF(MARÍTIMOS[[#This Row],[Puerto de Retiro]]="","",MARÍTIMOS[[#This Row],[Puerto de Retiro]]),"")</f>
        <v>CALLAO</v>
      </c>
      <c r="R365" s="2" t="str">
        <f>IFERROR(IF(MARÍTIMOS[[#This Row],[Almacén de Retiro]]="","",MARÍTIMOS[[#This Row],[Almacén de Retiro]]),"")</f>
        <v>DEMARES</v>
      </c>
      <c r="S365" s="11">
        <f>IFERROR(IF(MARÍTIMOS[[#This Row],[Etapa Retiro - Cita]]="","",MARÍTIMOS[[#This Row],[Etapa Retiro - Cita]]),"")</f>
        <v>46232.583333333336</v>
      </c>
      <c r="T365" s="11">
        <f>IFERROR(IF(MARÍTIMOS[[#This Row],[Etapa Retiro - Llegada]]="","",MARÍTIMOS[[#This Row],[Etapa Retiro - Llegada]]),"")</f>
        <v>46232.879861111112</v>
      </c>
      <c r="U365" s="11">
        <f>IFERROR(IF(MARÍTIMOS[[#This Row],[Etapa Retiro - Ingreso]]="","",MARÍTIMOS[[#This Row],[Etapa Retiro - Ingreso]]),"")</f>
        <v>46232.993055555555</v>
      </c>
      <c r="V365" s="11">
        <f>IFERROR(IF(MARÍTIMOS[[#This Row],[Etapa Retiro - Atención]]="","",MARÍTIMOS[[#This Row],[Etapa Retiro - Atención]]),"")</f>
        <v>46233.008333333331</v>
      </c>
      <c r="W365" s="11">
        <f>IFERROR(IF(MARÍTIMOS[[#This Row],[Etapa Retiro - Atención]]="","",MARÍTIMOS[[#This Row],[Etapa Retiro - Atención]]),"")</f>
        <v>46233.008333333331</v>
      </c>
      <c r="X365" s="11">
        <f>IFERROR(IF(MARÍTIMOS[[#This Row],[Etapa Retiro - Inicio de Ruta]]="","",MARÍTIMOS[[#This Row],[Etapa Retiro - Inicio de Ruta]]),"")</f>
        <v>46233.050694444442</v>
      </c>
      <c r="Y365" s="11">
        <f>IFERROR(IF(MARÍTIMOS[[#This Row],[Hora de Posicionamiento]]="","",MARÍTIMOS[[#This Row],[Fecha de Carga]]+MARÍTIMOS[[#This Row],[Hora de Posicionamiento]]),"")</f>
        <v>46233.416666666664</v>
      </c>
      <c r="Z365" s="11">
        <f>IFERROR(IF(MARÍTIMOS[[#This Row],[Etapa Despacho - Llegada]]="","",MARÍTIMOS[[#This Row],[Etapa Despacho - Llegada]]),"")</f>
        <v>46233.565972222219</v>
      </c>
      <c r="AA365" s="11">
        <f>IFERROR(IF(MARÍTIMOS[[#This Row],[Etapa Despacho - Registro]]="","",MARÍTIMOS[[#This Row],[Etapa Despacho - Registro]]),"")</f>
        <v>46233.597222222219</v>
      </c>
      <c r="AB365" s="11">
        <f>IFERROR(IF(MARÍTIMOS[[#This Row],[Inspección Externa]]="","",MARÍTIMOS[[#This Row],[Inspección Externa]]),"")</f>
        <v>46233.675000000003</v>
      </c>
      <c r="AC365" s="11">
        <f>IFERROR(IF(MARÍTIMOS[[#This Row],[Etapa Despacho - Inicio de Carga]]="","",MARÍTIMOS[[#This Row],[Etapa Despacho - Inicio de Carga]]),"")</f>
        <v>46233.694444444445</v>
      </c>
      <c r="AD365" s="11">
        <f>IFERROR(IF(MARÍTIMOS[[#This Row],[Etapa Despacho - Mitad de Carga]]="","",MARÍTIMOS[[#This Row],[Etapa Despacho - Mitad de Carga]]),"")</f>
        <v>46233.717361111114</v>
      </c>
      <c r="AE365" s="11">
        <f>IFERROR(IF(MARÍTIMOS[[#This Row],[Etapa Despacho - Fin de Carga]]="","",MARÍTIMOS[[#This Row],[Etapa Despacho - Fin de Carga]]),"")</f>
        <v>46233.739583333336</v>
      </c>
      <c r="AF365" s="2" t="str">
        <f>IFERROR(IF(MARÍTIMOS[[#This Row],[Puerto de Embarque]]="","",MARÍTIMOS[[#This Row],[Puerto de Embarque]]),"")</f>
        <v>CALLAO</v>
      </c>
      <c r="AG365" s="2" t="str">
        <f>IFERROR(IF(MARÍTIMOS[[#This Row],[Almacén de Ingreso]]="","",MARÍTIMOS[[#This Row],[Almacén de Ingreso]]),"")</f>
        <v>APM</v>
      </c>
      <c r="AH365" s="11">
        <f>IFERROR(IF(MARÍTIMOS[[#This Row],[Etapa Ingreso - Cita]]="","",MARÍTIMOS[[#This Row],[Etapa Ingreso - Cita]]),"")</f>
        <v>46234.416666666664</v>
      </c>
      <c r="AI365" s="11">
        <f>IFERROR(IF(MARÍTIMOS[[#This Row],[Etapa Ingreso - Llegada]]="","",MARÍTIMOS[[#This Row],[Etapa Ingreso - Llegada]]),"")</f>
        <v>46234.3125</v>
      </c>
      <c r="AJ365" s="11">
        <f>IFERROR(IF(MARÍTIMOS[[#This Row],[Etapa Ingreso - Ingeso]]="","",MARÍTIMOS[[#This Row],[Etapa Ingreso - Ingeso]]),"")</f>
        <v>46234.392361111109</v>
      </c>
      <c r="AK365" s="11">
        <f>IFERROR(IF(MARÍTIMOS[[#This Row],[Etapa Ingreso - Atención]]="","",MARÍTIMOS[[#This Row],[Etapa Ingreso - Atención]]),"")</f>
        <v>46234.408333333333</v>
      </c>
      <c r="AL365" s="11">
        <f>IFERROR(IF(MARÍTIMOS[[#This Row],[Etapa Ingreso - Salida]]="","",MARÍTIMOS[[#This Row],[Etapa Ingreso - Salida]]),"")</f>
        <v>46234.417361111111</v>
      </c>
      <c r="AM365" s="2">
        <f>IFERROR(IF(MARÍTIMOS[[#This Row],[FCL]]="","",MARÍTIMOS[[#This Row],[FCL]]),"")</f>
        <v>1</v>
      </c>
      <c r="AN3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5" s="4" t="str" cm="1">
        <f t="array" ref="AO3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5" s="5">
        <f>IFERROR(OLDBD[[#This Row],[Llegada a packing]]-OLDBD[[#This Row],[Inicio de Ruta]],"")</f>
        <v>0.51527777777664596</v>
      </c>
      <c r="AQ365" s="6">
        <f>IFERROR(OLDBD[[#This Row],[Inicio de Ruta]]-OLDBD[[#This Row],[Salida de almacén de retiro]],"")</f>
        <v>4.2361111110949423E-2</v>
      </c>
      <c r="AR3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65" s="8" t="str" cm="1">
        <f t="array" ref="AS3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65" s="9">
        <f>IFERROR(OLDBD[[#This Row],[Ingreso Packing]]-OLDBD[[#This Row],[Registro en Packing]],"")</f>
        <v>7.777777778392192E-2</v>
      </c>
      <c r="AV365" s="9">
        <f>IFERROR(OLDBD[[#This Row],[Ingreso Packing]]-OLDBD[[#This Row],[Llegada a packing]],"")</f>
        <v>0.10902777778392192</v>
      </c>
      <c r="AW3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65" s="5">
        <f>IFERROR(OLDBD[[#This Row],[Llegada Almacén de Ingreso]]-OLDBD[[#This Row],[Salida Packing]],"")</f>
        <v>0.57291666666424135</v>
      </c>
      <c r="AY365" s="4" t="str" cm="1">
        <f t="array" ref="AY3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65" s="43" t="s">
        <v>173</v>
      </c>
      <c r="BB365" s="47" t="str">
        <f>IFERROR(IF(MARÍTIMOS[[#This Row],[Estatus]]="","",MARÍTIMOS[[#This Row],[Estatus]]),"")</f>
        <v>Confirmado</v>
      </c>
      <c r="BC365" s="43"/>
      <c r="BD365" s="46">
        <f>IFERROR(OLDBD[[#This Row],[Salida de almacén de retiro]]-OLDBD[[#This Row],[Ingreso Almacén de retiro]],"")</f>
        <v>1.5277777776645962E-2</v>
      </c>
      <c r="BE365" s="46">
        <f>IFERROR(OLDBD[[#This Row],[Fin de Carga]]-OLDBD[[#This Row],[Inicio de Carga]],"")</f>
        <v>2.2916666668606922E-2</v>
      </c>
    </row>
    <row r="366" spans="1:57" customFormat="1" hidden="1">
      <c r="A366" s="1"/>
      <c r="B366" s="1">
        <f>IFERROR(IF(MARÍTIMOS[[#This Row],[PP]]="","",MARÍTIMOS[[#This Row],[PP]]),"")</f>
        <v>31</v>
      </c>
      <c r="C366" s="1" t="str">
        <f>IFERROR(IF(MARÍTIMOS[[#This Row],[Sede]]="","",MARÍTIMOS[[#This Row],[Sede]]),"")</f>
        <v>Chao</v>
      </c>
      <c r="D366" s="1" t="str">
        <f>IFERROR(IF(MARÍTIMOS[[#This Row],[Instruction]]="","",MARÍTIMOS[[#This Row],[Instruction]]),"")</f>
        <v>RH-0324</v>
      </c>
      <c r="E366" s="1"/>
      <c r="F366" s="2" t="str">
        <f>IFERROR(IF(MARÍTIMOS[[#This Row],[Transportista]]="","",MARÍTIMOS[[#This Row],[Transportista]]),"")</f>
        <v>Maersk</v>
      </c>
      <c r="G366" s="2" t="str">
        <f>IFERROR(IF(MARÍTIMOS[[#This Row],[Tercero]]="","",MARÍTIMOS[[#This Row],[Tercero]]),"")</f>
        <v>NO</v>
      </c>
      <c r="H366" s="2" t="str">
        <f>IFERROR(IF(MARÍTIMOS[[#This Row],[Razón Social]]="","",MARÍTIMOS[[#This Row],[Razón Social]]),"")</f>
        <v>MAERK LOGISTIC &amp; SERVICES PERU S.A</v>
      </c>
      <c r="I366" s="2">
        <f>IFERROR(IF(MARÍTIMOS[[#This Row],[RUC]]="","",MARÍTIMOS[[#This Row],[RUC]]),"")</f>
        <v>20107012011</v>
      </c>
      <c r="J366" s="2" t="str">
        <f>IFERROR(IF(MARÍTIMOS[[#This Row],[Placa Tracto]]="","",MARÍTIMOS[[#This Row],[Placa Tracto]]),"")</f>
        <v>BTE787</v>
      </c>
      <c r="K366" s="2" t="str">
        <f>IFERROR(IF(MARÍTIMOS[[#This Row],[Placa Carreta]]="","",MARÍTIMOS[[#This Row],[Placa Carreta]]),"")</f>
        <v>ATI981</v>
      </c>
      <c r="L366" s="44" t="str">
        <f>IFERROR(IF(MARÍTIMOS[[#This Row],[Conductor]]="","",MARÍTIMOS[[#This Row],[Conductor]]),"")</f>
        <v>HELMER CIRILO HUAMANI HUAMANI/MIGUEL JACINTO POZO LUNA</v>
      </c>
      <c r="M366" s="2" t="str">
        <f>IFERROR(IF(MARÍTIMOS[[#This Row],[Licencia]]="","",MARÍTIMOS[[#This Row],[Licencia]]),"")</f>
        <v>Q44302459/Q10069791</v>
      </c>
      <c r="N366" s="2" t="str">
        <f>IFERROR(IF(MARÍTIMOS[[#This Row],[Número de Contacto]]="","",MARÍTIMOS[[#This Row],[Número de Contacto]]),"")</f>
        <v xml:space="preserve">-  </v>
      </c>
      <c r="O366" s="10">
        <f>IFERROR(IF(MARÍTIMOS[[#This Row],[Booking|AWB|CRT]]="","",MARÍTIMOS[[#This Row],[Booking|AWB|CRT]]),"")</f>
        <v>6509439020</v>
      </c>
      <c r="P366" s="2" t="str">
        <f>IFERROR(IF(MARÍTIMOS[[#This Row],[Contenedor]]="","",MARÍTIMOS[[#This Row],[Contenedor]]),"")</f>
        <v>FBIU5757865</v>
      </c>
      <c r="Q366" s="2" t="str">
        <f>IFERROR(IF(MARÍTIMOS[[#This Row],[Puerto de Retiro]]="","",MARÍTIMOS[[#This Row],[Puerto de Retiro]]),"")</f>
        <v>CALLAO</v>
      </c>
      <c r="R366" s="2" t="str">
        <f>IFERROR(IF(MARÍTIMOS[[#This Row],[Almacén de Retiro]]="","",MARÍTIMOS[[#This Row],[Almacén de Retiro]]),"")</f>
        <v>FARGOLINE</v>
      </c>
      <c r="S366" s="11">
        <f>IFERROR(IF(MARÍTIMOS[[#This Row],[Etapa Retiro - Cita]]="","",MARÍTIMOS[[#This Row],[Etapa Retiro - Cita]]),"")</f>
        <v>46235.708333333336</v>
      </c>
      <c r="T366" s="11">
        <f>IFERROR(IF(MARÍTIMOS[[#This Row],[Etapa Retiro - Llegada]]="","",MARÍTIMOS[[#This Row],[Etapa Retiro - Llegada]]),"")</f>
        <v>46235.734027777777</v>
      </c>
      <c r="U366" s="11">
        <f>IFERROR(IF(MARÍTIMOS[[#This Row],[Etapa Retiro - Ingreso]]="","",MARÍTIMOS[[#This Row],[Etapa Retiro - Ingreso]]),"")</f>
        <v>46235.743055555555</v>
      </c>
      <c r="V366" s="11">
        <f>IFERROR(IF(MARÍTIMOS[[#This Row],[Etapa Retiro - Atención]]="","",MARÍTIMOS[[#This Row],[Etapa Retiro - Atención]]),"")</f>
        <v>46235.758333333331</v>
      </c>
      <c r="W366" s="11">
        <f>IFERROR(IF(MARÍTIMOS[[#This Row],[Etapa Retiro - Atención]]="","",MARÍTIMOS[[#This Row],[Etapa Retiro - Atención]]),"")</f>
        <v>46235.758333333331</v>
      </c>
      <c r="X366" s="11">
        <f>IFERROR(IF(MARÍTIMOS[[#This Row],[Etapa Retiro - Inicio de Ruta]]="","",MARÍTIMOS[[#This Row],[Etapa Retiro - Inicio de Ruta]]),"")</f>
        <v>46235.847222222219</v>
      </c>
      <c r="Y366" s="11">
        <f>IFERROR(IF(MARÍTIMOS[[#This Row],[Hora de Posicionamiento]]="","",MARÍTIMOS[[#This Row],[Fecha de Carga]]+MARÍTIMOS[[#This Row],[Hora de Posicionamiento]]),"")</f>
        <v>46236.416666666664</v>
      </c>
      <c r="Z366" s="11">
        <f>IFERROR(IF(MARÍTIMOS[[#This Row],[Etapa Despacho - Llegada]]="","",MARÍTIMOS[[#This Row],[Etapa Despacho - Llegada]]),"")</f>
        <v>46236.4</v>
      </c>
      <c r="AA366" s="11">
        <f>IFERROR(IF(MARÍTIMOS[[#This Row],[Etapa Despacho - Registro]]="","",MARÍTIMOS[[#This Row],[Etapa Despacho - Registro]]),"")</f>
        <v>46236.422222222223</v>
      </c>
      <c r="AB366" s="11">
        <f>IFERROR(IF(MARÍTIMOS[[#This Row],[Inspección Externa]]="","",MARÍTIMOS[[#This Row],[Inspección Externa]]),"")</f>
        <v>46236.482638888891</v>
      </c>
      <c r="AC366" s="11">
        <f>IFERROR(IF(MARÍTIMOS[[#This Row],[Etapa Despacho - Inicio de Carga]]="","",MARÍTIMOS[[#This Row],[Etapa Despacho - Inicio de Carga]]),"")</f>
        <v>46236.526388888888</v>
      </c>
      <c r="AD366" s="11">
        <f>IFERROR(IF(MARÍTIMOS[[#This Row],[Etapa Despacho - Mitad de Carga]]="","",MARÍTIMOS[[#This Row],[Etapa Despacho - Mitad de Carga]]),"")</f>
        <v>46236.600694444445</v>
      </c>
      <c r="AE366" s="11">
        <f>IFERROR(IF(MARÍTIMOS[[#This Row],[Etapa Despacho - Fin de Carga]]="","",MARÍTIMOS[[#This Row],[Etapa Despacho - Fin de Carga]]),"")</f>
        <v>46236.675000000003</v>
      </c>
      <c r="AF366" s="2" t="str">
        <f>IFERROR(IF(MARÍTIMOS[[#This Row],[Puerto de Embarque]]="","",MARÍTIMOS[[#This Row],[Puerto de Embarque]]),"")</f>
        <v>CALLAO</v>
      </c>
      <c r="AG366" s="2" t="str">
        <f>IFERROR(IF(MARÍTIMOS[[#This Row],[Almacén de Ingreso]]="","",MARÍTIMOS[[#This Row],[Almacén de Ingreso]]),"")</f>
        <v>CSPCP</v>
      </c>
      <c r="AH366" s="11" t="str">
        <f>IFERROR(IF(MARÍTIMOS[[#This Row],[Etapa Ingreso - Cita]]="","",MARÍTIMOS[[#This Row],[Etapa Ingreso - Cita]]),"")</f>
        <v/>
      </c>
      <c r="AI366" s="11">
        <f>IFERROR(IF(MARÍTIMOS[[#This Row],[Etapa Ingreso - Llegada]]="","",MARÍTIMOS[[#This Row],[Etapa Ingreso - Llegada]]),"")</f>
        <v>46237.138194444444</v>
      </c>
      <c r="AJ366" s="11">
        <f>IFERROR(IF(MARÍTIMOS[[#This Row],[Etapa Ingreso - Ingeso]]="","",MARÍTIMOS[[#This Row],[Etapa Ingreso - Ingeso]]),"")</f>
        <v>46237.184027777781</v>
      </c>
      <c r="AK366" s="11">
        <f>IFERROR(IF(MARÍTIMOS[[#This Row],[Etapa Ingreso - Atención]]="","",MARÍTIMOS[[#This Row],[Etapa Ingreso - Atención]]),"")</f>
        <v>46237.195833333331</v>
      </c>
      <c r="AL366" s="11">
        <f>IFERROR(IF(MARÍTIMOS[[#This Row],[Etapa Ingreso - Salida]]="","",MARÍTIMOS[[#This Row],[Etapa Ingreso - Salida]]),"")</f>
        <v>46237.214583333334</v>
      </c>
      <c r="AM366" s="2">
        <f>IFERROR(IF(MARÍTIMOS[[#This Row],[FCL]]="","",MARÍTIMOS[[#This Row],[FCL]]),"")</f>
        <v>1</v>
      </c>
      <c r="AN3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6" s="4" t="str" cm="1">
        <f t="array" ref="AO3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6" s="5">
        <f>IFERROR(OLDBD[[#This Row],[Llegada a packing]]-OLDBD[[#This Row],[Inicio de Ruta]],"")</f>
        <v>0.55277777778246673</v>
      </c>
      <c r="AQ366" s="6">
        <f>IFERROR(OLDBD[[#This Row],[Inicio de Ruta]]-OLDBD[[#This Row],[Salida de almacén de retiro]],"")</f>
        <v>8.8888888887595385E-2</v>
      </c>
      <c r="AR3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66" s="8" t="str" cm="1">
        <f t="array" ref="AS3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66" s="9">
        <f>IFERROR(OLDBD[[#This Row],[Ingreso Packing]]-OLDBD[[#This Row],[Registro en Packing]],"")</f>
        <v>6.0416666667151731E-2</v>
      </c>
      <c r="AV366" s="9">
        <f>IFERROR(OLDBD[[#This Row],[Ingreso Packing]]-OLDBD[[#This Row],[Llegada a packing]],"")</f>
        <v>8.2638888889050577E-2</v>
      </c>
      <c r="AW3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66" s="5">
        <f>IFERROR(OLDBD[[#This Row],[Llegada Almacén de Ingreso]]-OLDBD[[#This Row],[Salida Packing]],"")</f>
        <v>0.46319444444088731</v>
      </c>
      <c r="AY366" s="4" t="str" cm="1">
        <f t="array" ref="AY3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66" s="43" t="s">
        <v>173</v>
      </c>
      <c r="BB366" s="47" t="str">
        <f>IFERROR(IF(MARÍTIMOS[[#This Row],[Estatus]]="","",MARÍTIMOS[[#This Row],[Estatus]]),"")</f>
        <v>Confirmado</v>
      </c>
      <c r="BC366" s="43"/>
      <c r="BD366" s="46">
        <f>IFERROR(OLDBD[[#This Row],[Salida de almacén de retiro]]-OLDBD[[#This Row],[Ingreso Almacén de retiro]],"")</f>
        <v>1.5277777776645962E-2</v>
      </c>
      <c r="BE366" s="46">
        <f>IFERROR(OLDBD[[#This Row],[Fin de Carga]]-OLDBD[[#This Row],[Inicio de Carga]],"")</f>
        <v>7.4305555557657499E-2</v>
      </c>
    </row>
    <row r="367" spans="1:57" customFormat="1" hidden="1">
      <c r="A367" s="1"/>
      <c r="B367" s="1">
        <f>IFERROR(IF(MARÍTIMOS[[#This Row],[PP]]="","",MARÍTIMOS[[#This Row],[PP]]),"")</f>
        <v>31</v>
      </c>
      <c r="C367" s="1" t="str">
        <f>IFERROR(IF(MARÍTIMOS[[#This Row],[Sede]]="","",MARÍTIMOS[[#This Row],[Sede]]),"")</f>
        <v>Chao</v>
      </c>
      <c r="D367" s="1" t="str">
        <f>IFERROR(IF(MARÍTIMOS[[#This Row],[Instruction]]="","",MARÍTIMOS[[#This Row],[Instruction]]),"")</f>
        <v>RH-0325</v>
      </c>
      <c r="E367" s="1"/>
      <c r="F367" s="2" t="str">
        <f>IFERROR(IF(MARÍTIMOS[[#This Row],[Transportista]]="","",MARÍTIMOS[[#This Row],[Transportista]]),"")</f>
        <v>Maersk</v>
      </c>
      <c r="G367" s="2" t="str">
        <f>IFERROR(IF(MARÍTIMOS[[#This Row],[Tercero]]="","",MARÍTIMOS[[#This Row],[Tercero]]),"")</f>
        <v>NO</v>
      </c>
      <c r="H367" s="2" t="str">
        <f>IFERROR(IF(MARÍTIMOS[[#This Row],[Razón Social]]="","",MARÍTIMOS[[#This Row],[Razón Social]]),"")</f>
        <v>MAERK LOGISTIC &amp; SERVICES PERU S.A</v>
      </c>
      <c r="I367" s="2">
        <f>IFERROR(IF(MARÍTIMOS[[#This Row],[RUC]]="","",MARÍTIMOS[[#This Row],[RUC]]),"")</f>
        <v>20107012011</v>
      </c>
      <c r="J367" s="2" t="str">
        <f>IFERROR(IF(MARÍTIMOS[[#This Row],[Placa Tracto]]="","",MARÍTIMOS[[#This Row],[Placa Tracto]]),"")</f>
        <v>BTL897</v>
      </c>
      <c r="K367" s="2" t="str">
        <f>IFERROR(IF(MARÍTIMOS[[#This Row],[Placa Carreta]]="","",MARÍTIMOS[[#This Row],[Placa Carreta]]),"")</f>
        <v>BEC970</v>
      </c>
      <c r="L367" s="44" t="str">
        <f>IFERROR(IF(MARÍTIMOS[[#This Row],[Conductor]]="","",MARÍTIMOS[[#This Row],[Conductor]]),"")</f>
        <v>MARCO ANTONIO CHAVEZ OSCANOA/ANGEL GABRIEL CLAROS ROMAN</v>
      </c>
      <c r="M367" s="2" t="str">
        <f>IFERROR(IF(MARÍTIMOS[[#This Row],[Licencia]]="","",MARÍTIMOS[[#This Row],[Licencia]]),"")</f>
        <v>Q20038840/Q44502727</v>
      </c>
      <c r="N367" s="2" t="str">
        <f>IFERROR(IF(MARÍTIMOS[[#This Row],[Número de Contacto]]="","",MARÍTIMOS[[#This Row],[Número de Contacto]]),"")</f>
        <v xml:space="preserve">-  </v>
      </c>
      <c r="O367" s="10">
        <f>IFERROR(IF(MARÍTIMOS[[#This Row],[Booking|AWB|CRT]]="","",MARÍTIMOS[[#This Row],[Booking|AWB|CRT]]),"")</f>
        <v>6509439010</v>
      </c>
      <c r="P367" s="2" t="str">
        <f>IFERROR(IF(MARÍTIMOS[[#This Row],[Contenedor]]="","",MARÍTIMOS[[#This Row],[Contenedor]]),"")</f>
        <v>FBIU5578216</v>
      </c>
      <c r="Q367" s="2" t="str">
        <f>IFERROR(IF(MARÍTIMOS[[#This Row],[Puerto de Retiro]]="","",MARÍTIMOS[[#This Row],[Puerto de Retiro]]),"")</f>
        <v>CALLAO</v>
      </c>
      <c r="R367" s="2" t="str">
        <f>IFERROR(IF(MARÍTIMOS[[#This Row],[Almacén de Retiro]]="","",MARÍTIMOS[[#This Row],[Almacén de Retiro]]),"")</f>
        <v>FARGOLINE</v>
      </c>
      <c r="S367" s="11">
        <f>IFERROR(IF(MARÍTIMOS[[#This Row],[Etapa Retiro - Cita]]="","",MARÍTIMOS[[#This Row],[Etapa Retiro - Cita]]),"")</f>
        <v>46235.708333333336</v>
      </c>
      <c r="T367" s="11">
        <f>IFERROR(IF(MARÍTIMOS[[#This Row],[Etapa Retiro - Llegada]]="","",MARÍTIMOS[[#This Row],[Etapa Retiro - Llegada]]),"")</f>
        <v>46235.734027777777</v>
      </c>
      <c r="U367" s="11">
        <f>IFERROR(IF(MARÍTIMOS[[#This Row],[Etapa Retiro - Ingreso]]="","",MARÍTIMOS[[#This Row],[Etapa Retiro - Ingreso]]),"")</f>
        <v>46235.742361111108</v>
      </c>
      <c r="V367" s="11">
        <f>IFERROR(IF(MARÍTIMOS[[#This Row],[Etapa Retiro - Atención]]="","",MARÍTIMOS[[#This Row],[Etapa Retiro - Atención]]),"")</f>
        <v>46235.770833333336</v>
      </c>
      <c r="W367" s="11">
        <f>IFERROR(IF(MARÍTIMOS[[#This Row],[Etapa Retiro - Atención]]="","",MARÍTIMOS[[#This Row],[Etapa Retiro - Atención]]),"")</f>
        <v>46235.770833333336</v>
      </c>
      <c r="X367" s="11">
        <f>IFERROR(IF(MARÍTIMOS[[#This Row],[Etapa Retiro - Inicio de Ruta]]="","",MARÍTIMOS[[#This Row],[Etapa Retiro - Inicio de Ruta]]),"")</f>
        <v>46235.958333333336</v>
      </c>
      <c r="Y367" s="11">
        <f>IFERROR(IF(MARÍTIMOS[[#This Row],[Hora de Posicionamiento]]="","",MARÍTIMOS[[#This Row],[Fecha de Carga]]+MARÍTIMOS[[#This Row],[Hora de Posicionamiento]]),"")</f>
        <v>46236.416666666664</v>
      </c>
      <c r="Z367" s="11">
        <f>IFERROR(IF(MARÍTIMOS[[#This Row],[Etapa Despacho - Llegada]]="","",MARÍTIMOS[[#This Row],[Etapa Despacho - Llegada]]),"")</f>
        <v>46236.390277777777</v>
      </c>
      <c r="AA367" s="11">
        <f>IFERROR(IF(MARÍTIMOS[[#This Row],[Etapa Despacho - Registro]]="","",MARÍTIMOS[[#This Row],[Etapa Despacho - Registro]]),"")</f>
        <v>46236.415277777778</v>
      </c>
      <c r="AB367" s="11">
        <f>IFERROR(IF(MARÍTIMOS[[#This Row],[Inspección Externa]]="","",MARÍTIMOS[[#This Row],[Inspección Externa]]),"")</f>
        <v>46236.481944444444</v>
      </c>
      <c r="AC367" s="11">
        <f>IFERROR(IF(MARÍTIMOS[[#This Row],[Etapa Despacho - Inicio de Carga]]="","",MARÍTIMOS[[#This Row],[Etapa Despacho - Inicio de Carga]]),"")</f>
        <v>46236.524305555555</v>
      </c>
      <c r="AD367" s="11">
        <f>IFERROR(IF(MARÍTIMOS[[#This Row],[Etapa Despacho - Mitad de Carga]]="","",MARÍTIMOS[[#This Row],[Etapa Despacho - Mitad de Carga]]),"")</f>
        <v>46236.601388888892</v>
      </c>
      <c r="AE367" s="11">
        <f>IFERROR(IF(MARÍTIMOS[[#This Row],[Etapa Despacho - Fin de Carga]]="","",MARÍTIMOS[[#This Row],[Etapa Despacho - Fin de Carga]]),"")</f>
        <v>46236.679166666669</v>
      </c>
      <c r="AF367" s="2" t="str">
        <f>IFERROR(IF(MARÍTIMOS[[#This Row],[Puerto de Embarque]]="","",MARÍTIMOS[[#This Row],[Puerto de Embarque]]),"")</f>
        <v>CALLAO</v>
      </c>
      <c r="AG367" s="2" t="str">
        <f>IFERROR(IF(MARÍTIMOS[[#This Row],[Almacén de Ingreso]]="","",MARÍTIMOS[[#This Row],[Almacén de Ingreso]]),"")</f>
        <v>CSPCP</v>
      </c>
      <c r="AH367" s="11" t="str">
        <f>IFERROR(IF(MARÍTIMOS[[#This Row],[Etapa Ingreso - Cita]]="","",MARÍTIMOS[[#This Row],[Etapa Ingreso - Cita]]),"")</f>
        <v/>
      </c>
      <c r="AI367" s="11">
        <f>IFERROR(IF(MARÍTIMOS[[#This Row],[Etapa Ingreso - Llegada]]="","",MARÍTIMOS[[#This Row],[Etapa Ingreso - Llegada]]),"")</f>
        <v>46237.138194444444</v>
      </c>
      <c r="AJ367" s="11">
        <f>IFERROR(IF(MARÍTIMOS[[#This Row],[Etapa Ingreso - Ingeso]]="","",MARÍTIMOS[[#This Row],[Etapa Ingreso - Ingeso]]),"")</f>
        <v>46237.178472222222</v>
      </c>
      <c r="AK367" s="11">
        <f>IFERROR(IF(MARÍTIMOS[[#This Row],[Etapa Ingreso - Atención]]="","",MARÍTIMOS[[#This Row],[Etapa Ingreso - Atención]]),"")</f>
        <v>46237.190972222219</v>
      </c>
      <c r="AL367" s="11">
        <f>IFERROR(IF(MARÍTIMOS[[#This Row],[Etapa Ingreso - Salida]]="","",MARÍTIMOS[[#This Row],[Etapa Ingreso - Salida]]),"")</f>
        <v>46237.207638888889</v>
      </c>
      <c r="AM367" s="2">
        <f>IFERROR(IF(MARÍTIMOS[[#This Row],[FCL]]="","",MARÍTIMOS[[#This Row],[FCL]]),"")</f>
        <v>1</v>
      </c>
      <c r="AN3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7" s="4" t="str" cm="1">
        <f t="array" ref="AO3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7" s="5">
        <f>IFERROR(OLDBD[[#This Row],[Llegada a packing]]-OLDBD[[#This Row],[Inicio de Ruta]],"")</f>
        <v>0.43194444444088731</v>
      </c>
      <c r="AQ367" s="6">
        <f>IFERROR(OLDBD[[#This Row],[Inicio de Ruta]]-OLDBD[[#This Row],[Salida de almacén de retiro]],"")</f>
        <v>0.1875</v>
      </c>
      <c r="AR3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67" s="8" t="str" cm="1">
        <f t="array" ref="AS3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67" s="9">
        <f>IFERROR(OLDBD[[#This Row],[Ingreso Packing]]-OLDBD[[#This Row],[Registro en Packing]],"")</f>
        <v>6.6666666665696539E-2</v>
      </c>
      <c r="AV367" s="9">
        <f>IFERROR(OLDBD[[#This Row],[Ingreso Packing]]-OLDBD[[#This Row],[Llegada a packing]],"")</f>
        <v>9.1666666667151731E-2</v>
      </c>
      <c r="AW3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67" s="5">
        <f>IFERROR(OLDBD[[#This Row],[Llegada Almacén de Ingreso]]-OLDBD[[#This Row],[Salida Packing]],"")</f>
        <v>0.45902777777519077</v>
      </c>
      <c r="AY367" s="4" t="str" cm="1">
        <f t="array" ref="AY3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67" s="43" t="s">
        <v>173</v>
      </c>
      <c r="BB367" s="47" t="str">
        <f>IFERROR(IF(MARÍTIMOS[[#This Row],[Estatus]]="","",MARÍTIMOS[[#This Row],[Estatus]]),"")</f>
        <v>Confirmado</v>
      </c>
      <c r="BC367" s="43"/>
      <c r="BD367" s="46">
        <f>IFERROR(OLDBD[[#This Row],[Salida de almacén de retiro]]-OLDBD[[#This Row],[Ingreso Almacén de retiro]],"")</f>
        <v>2.8472222227719612E-2</v>
      </c>
      <c r="BE367" s="46">
        <f>IFERROR(OLDBD[[#This Row],[Fin de Carga]]-OLDBD[[#This Row],[Inicio de Carga]],"")</f>
        <v>7.7083333337213844E-2</v>
      </c>
    </row>
    <row r="368" spans="1:57" customFormat="1" hidden="1">
      <c r="A368" s="1"/>
      <c r="B368" s="1">
        <f>IFERROR(IF(MARÍTIMOS[[#This Row],[PP]]="","",MARÍTIMOS[[#This Row],[PP]]),"")</f>
        <v>32</v>
      </c>
      <c r="C368" s="1" t="str">
        <f>IFERROR(IF(MARÍTIMOS[[#This Row],[Sede]]="","",MARÍTIMOS[[#This Row],[Sede]]),"")</f>
        <v>Chao</v>
      </c>
      <c r="D368" s="1" t="str">
        <f>IFERROR(IF(MARÍTIMOS[[#This Row],[Instruction]]="","",MARÍTIMOS[[#This Row],[Instruction]]),"")</f>
        <v>RH-0427</v>
      </c>
      <c r="E368" s="1"/>
      <c r="F368" s="2" t="str">
        <f>IFERROR(IF(MARÍTIMOS[[#This Row],[Transportista]]="","",MARÍTIMOS[[#This Row],[Transportista]]),"")</f>
        <v>Maersk</v>
      </c>
      <c r="G368" s="2" t="str">
        <f>IFERROR(IF(MARÍTIMOS[[#This Row],[Tercero]]="","",MARÍTIMOS[[#This Row],[Tercero]]),"")</f>
        <v>NO</v>
      </c>
      <c r="H368" s="2" t="str">
        <f>IFERROR(IF(MARÍTIMOS[[#This Row],[Razón Social]]="","",MARÍTIMOS[[#This Row],[Razón Social]]),"")</f>
        <v>MAERK LOGISTIC &amp; SERVICES PERU S.A</v>
      </c>
      <c r="I368" s="2">
        <f>IFERROR(IF(MARÍTIMOS[[#This Row],[RUC]]="","",MARÍTIMOS[[#This Row],[RUC]]),"")</f>
        <v>20107012011</v>
      </c>
      <c r="J368" s="2" t="str">
        <f>IFERROR(IF(MARÍTIMOS[[#This Row],[Placa Tracto]]="","",MARÍTIMOS[[#This Row],[Placa Tracto]]),"")</f>
        <v>BTF807</v>
      </c>
      <c r="K368" s="2" t="str">
        <f>IFERROR(IF(MARÍTIMOS[[#This Row],[Placa Carreta]]="","",MARÍTIMOS[[#This Row],[Placa Carreta]]),"")</f>
        <v>TBR992</v>
      </c>
      <c r="L368" s="44" t="str">
        <f>IFERROR(IF(MARÍTIMOS[[#This Row],[Conductor]]="","",MARÍTIMOS[[#This Row],[Conductor]]),"")</f>
        <v>VICTOR EDUARDO VILLAVICENCIO OBREGON/ ALFREDO AUCCAPURI MIYO</v>
      </c>
      <c r="M368" s="2" t="str">
        <f>IFERROR(IF(MARÍTIMOS[[#This Row],[Licencia]]="","",MARÍTIMOS[[#This Row],[Licencia]]),"")</f>
        <v>Q16023460/Q40993130</v>
      </c>
      <c r="N368" s="2" t="str">
        <f>IFERROR(IF(MARÍTIMOS[[#This Row],[Número de Contacto]]="","",MARÍTIMOS[[#This Row],[Número de Contacto]]),"")</f>
        <v xml:space="preserve">-  </v>
      </c>
      <c r="O368" s="10">
        <f>IFERROR(IF(MARÍTIMOS[[#This Row],[Booking|AWB|CRT]]="","",MARÍTIMOS[[#This Row],[Booking|AWB|CRT]]),"")</f>
        <v>275171571</v>
      </c>
      <c r="P368" s="2" t="str">
        <f>IFERROR(IF(MARÍTIMOS[[#This Row],[Contenedor]]="","",MARÍTIMOS[[#This Row],[Contenedor]]),"")</f>
        <v>MNBU3190470</v>
      </c>
      <c r="Q368" s="2" t="str">
        <f>IFERROR(IF(MARÍTIMOS[[#This Row],[Puerto de Retiro]]="","",MARÍTIMOS[[#This Row],[Puerto de Retiro]]),"")</f>
        <v>CALLAO</v>
      </c>
      <c r="R368" s="2" t="str">
        <f>IFERROR(IF(MARÍTIMOS[[#This Row],[Almacén de Retiro]]="","",MARÍTIMOS[[#This Row],[Almacén de Retiro]]),"")</f>
        <v>DEMARES</v>
      </c>
      <c r="S368" s="11">
        <f>IFERROR(IF(MARÍTIMOS[[#This Row],[Etapa Retiro - Cita]]="","",MARÍTIMOS[[#This Row],[Etapa Retiro - Cita]]),"")</f>
        <v>46239.583333333336</v>
      </c>
      <c r="T368" s="11">
        <f>IFERROR(IF(MARÍTIMOS[[#This Row],[Etapa Retiro - Llegada]]="","",MARÍTIMOS[[#This Row],[Etapa Retiro - Llegada]]),"")</f>
        <v>46239.788194444445</v>
      </c>
      <c r="U368" s="11">
        <f>IFERROR(IF(MARÍTIMOS[[#This Row],[Etapa Retiro - Ingreso]]="","",MARÍTIMOS[[#This Row],[Etapa Retiro - Ingreso]]),"")</f>
        <v>46239.887499999997</v>
      </c>
      <c r="V368" s="11">
        <f>IFERROR(IF(MARÍTIMOS[[#This Row],[Etapa Retiro - Atención]]="","",MARÍTIMOS[[#This Row],[Etapa Retiro - Atención]]),"")</f>
        <v>46239.916666666664</v>
      </c>
      <c r="W368" s="11">
        <f>IFERROR(IF(MARÍTIMOS[[#This Row],[Etapa Retiro - Atención]]="","",MARÍTIMOS[[#This Row],[Etapa Retiro - Atención]]),"")</f>
        <v>46239.916666666664</v>
      </c>
      <c r="X368" s="11">
        <f>IFERROR(IF(MARÍTIMOS[[#This Row],[Etapa Retiro - Inicio de Ruta]]="","",MARÍTIMOS[[#This Row],[Etapa Retiro - Inicio de Ruta]]),"")</f>
        <v>46240.070138888892</v>
      </c>
      <c r="Y368" s="11">
        <f>IFERROR(IF(MARÍTIMOS[[#This Row],[Hora de Posicionamiento]]="","",MARÍTIMOS[[#This Row],[Fecha de Carga]]+MARÍTIMOS[[#This Row],[Hora de Posicionamiento]]),"")</f>
        <v>46240.5</v>
      </c>
      <c r="Z368" s="11">
        <f>IFERROR(IF(MARÍTIMOS[[#This Row],[Etapa Despacho - Llegada]]="","",MARÍTIMOS[[#This Row],[Etapa Despacho - Llegada]]),"")</f>
        <v>46240.588194444441</v>
      </c>
      <c r="AA368" s="11">
        <f>IFERROR(IF(MARÍTIMOS[[#This Row],[Etapa Despacho - Registro]]="","",MARÍTIMOS[[#This Row],[Etapa Despacho - Registro]]),"")</f>
        <v>46240.62777777778</v>
      </c>
      <c r="AB368" s="11">
        <f>IFERROR(IF(MARÍTIMOS[[#This Row],[Inspección Externa]]="","",MARÍTIMOS[[#This Row],[Inspección Externa]]),"")</f>
        <v>46240.638888888891</v>
      </c>
      <c r="AC368" s="11">
        <f>IFERROR(IF(MARÍTIMOS[[#This Row],[Etapa Despacho - Inicio de Carga]]="","",MARÍTIMOS[[#This Row],[Etapa Despacho - Inicio de Carga]]),"")</f>
        <v>46240.665277777778</v>
      </c>
      <c r="AD368" s="11">
        <f>IFERROR(IF(MARÍTIMOS[[#This Row],[Etapa Despacho - Mitad de Carga]]="","",MARÍTIMOS[[#This Row],[Etapa Despacho - Mitad de Carga]]),"")</f>
        <v>46240.686805555553</v>
      </c>
      <c r="AE368" s="11">
        <f>IFERROR(IF(MARÍTIMOS[[#This Row],[Etapa Despacho - Fin de Carga]]="","",MARÍTIMOS[[#This Row],[Etapa Despacho - Fin de Carga]]),"")</f>
        <v>46240.708333333336</v>
      </c>
      <c r="AF368" s="2" t="str">
        <f>IFERROR(IF(MARÍTIMOS[[#This Row],[Puerto de Embarque]]="","",MARÍTIMOS[[#This Row],[Puerto de Embarque]]),"")</f>
        <v>CALLAO</v>
      </c>
      <c r="AG368" s="2" t="str">
        <f>IFERROR(IF(MARÍTIMOS[[#This Row],[Almacén de Ingreso]]="","",MARÍTIMOS[[#This Row],[Almacén de Ingreso]]),"")</f>
        <v>APM</v>
      </c>
      <c r="AH368" s="11">
        <f>IFERROR(IF(MARÍTIMOS[[#This Row],[Etapa Ingreso - Cita]]="","",MARÍTIMOS[[#This Row],[Etapa Ingreso - Cita]]),"")</f>
        <v>46241.166666666664</v>
      </c>
      <c r="AI368" s="11">
        <f>IFERROR(IF(MARÍTIMOS[[#This Row],[Etapa Ingreso - Llegada]]="","",MARÍTIMOS[[#This Row],[Etapa Ingreso - Llegada]]),"")</f>
        <v>46241.211111111108</v>
      </c>
      <c r="AJ368" s="11">
        <f>IFERROR(IF(MARÍTIMOS[[#This Row],[Etapa Ingreso - Ingeso]]="","",MARÍTIMOS[[#This Row],[Etapa Ingreso - Ingeso]]),"")</f>
        <v>46241.214583333334</v>
      </c>
      <c r="AK368" s="11">
        <f>IFERROR(IF(MARÍTIMOS[[#This Row],[Etapa Ingreso - Atención]]="","",MARÍTIMOS[[#This Row],[Etapa Ingreso - Atención]]),"")</f>
        <v>46241.21875</v>
      </c>
      <c r="AL368" s="11">
        <f>IFERROR(IF(MARÍTIMOS[[#This Row],[Etapa Ingreso - Salida]]="","",MARÍTIMOS[[#This Row],[Etapa Ingreso - Salida]]),"")</f>
        <v>46241.234027777777</v>
      </c>
      <c r="AM368" s="2">
        <f>IFERROR(IF(MARÍTIMOS[[#This Row],[FCL]]="","",MARÍTIMOS[[#This Row],[FCL]]),"")</f>
        <v>1</v>
      </c>
      <c r="AN3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8" s="4" t="str" cm="1">
        <f t="array" ref="AO3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8" s="5">
        <f>IFERROR(OLDBD[[#This Row],[Llegada a packing]]-OLDBD[[#This Row],[Inicio de Ruta]],"")</f>
        <v>0.51805555554892635</v>
      </c>
      <c r="AQ368" s="6">
        <f>IFERROR(OLDBD[[#This Row],[Inicio de Ruta]]-OLDBD[[#This Row],[Salida de almacén de retiro]],"")</f>
        <v>0.15347222222771961</v>
      </c>
      <c r="AR3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68" s="8" t="str" cm="1">
        <f t="array" ref="AS3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68" s="9">
        <f>IFERROR(OLDBD[[#This Row],[Ingreso Packing]]-OLDBD[[#This Row],[Registro en Packing]],"")</f>
        <v>1.1111111110949423E-2</v>
      </c>
      <c r="AV368" s="9">
        <f>IFERROR(OLDBD[[#This Row],[Ingreso Packing]]-OLDBD[[#This Row],[Llegada a packing]],"")</f>
        <v>5.0694444449618459E-2</v>
      </c>
      <c r="AW3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68" s="5">
        <f>IFERROR(OLDBD[[#This Row],[Llegada Almacén de Ingreso]]-OLDBD[[#This Row],[Salida Packing]],"")</f>
        <v>0.50277777777228039</v>
      </c>
      <c r="AY368" s="4" t="str" cm="1">
        <f t="array" ref="AY3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68" s="43" t="s">
        <v>173</v>
      </c>
      <c r="BB368" s="47" t="str">
        <f>IFERROR(IF(MARÍTIMOS[[#This Row],[Estatus]]="","",MARÍTIMOS[[#This Row],[Estatus]]),"")</f>
        <v>Confirmado</v>
      </c>
      <c r="BC368" s="43"/>
      <c r="BD368" s="46">
        <f>IFERROR(OLDBD[[#This Row],[Salida de almacén de retiro]]-OLDBD[[#This Row],[Ingreso Almacén de retiro]],"")</f>
        <v>2.9166666667151731E-2</v>
      </c>
      <c r="BE368" s="46">
        <f>IFERROR(OLDBD[[#This Row],[Fin de Carga]]-OLDBD[[#This Row],[Inicio de Carga]],"")</f>
        <v>2.1527777775190771E-2</v>
      </c>
    </row>
    <row r="369" spans="1:57" customFormat="1" hidden="1">
      <c r="A369" s="1"/>
      <c r="B369" s="1">
        <f>IFERROR(IF(MARÍTIMOS[[#This Row],[PP]]="","",MARÍTIMOS[[#This Row],[PP]]),"")</f>
        <v>32</v>
      </c>
      <c r="C369" s="1" t="str">
        <f>IFERROR(IF(MARÍTIMOS[[#This Row],[Sede]]="","",MARÍTIMOS[[#This Row],[Sede]]),"")</f>
        <v>Chao</v>
      </c>
      <c r="D369" s="1" t="str">
        <f>IFERROR(IF(MARÍTIMOS[[#This Row],[Instruction]]="","",MARÍTIMOS[[#This Row],[Instruction]]),"")</f>
        <v>RH-0428</v>
      </c>
      <c r="E369" s="1"/>
      <c r="F369" s="2" t="str">
        <f>IFERROR(IF(MARÍTIMOS[[#This Row],[Transportista]]="","",MARÍTIMOS[[#This Row],[Transportista]]),"")</f>
        <v>Maersk</v>
      </c>
      <c r="G369" s="2" t="str">
        <f>IFERROR(IF(MARÍTIMOS[[#This Row],[Tercero]]="","",MARÍTIMOS[[#This Row],[Tercero]]),"")</f>
        <v>NO</v>
      </c>
      <c r="H369" s="2" t="str">
        <f>IFERROR(IF(MARÍTIMOS[[#This Row],[Razón Social]]="","",MARÍTIMOS[[#This Row],[Razón Social]]),"")</f>
        <v>MAERK LOGISTIC &amp; SERVICES PERU S.A</v>
      </c>
      <c r="I369" s="2">
        <f>IFERROR(IF(MARÍTIMOS[[#This Row],[RUC]]="","",MARÍTIMOS[[#This Row],[RUC]]),"")</f>
        <v>20107012011</v>
      </c>
      <c r="J369" s="2" t="str">
        <f>IFERROR(IF(MARÍTIMOS[[#This Row],[Placa Tracto]]="","",MARÍTIMOS[[#This Row],[Placa Tracto]]),"")</f>
        <v>BTM788</v>
      </c>
      <c r="K369" s="2" t="str">
        <f>IFERROR(IF(MARÍTIMOS[[#This Row],[Placa Carreta]]="","",MARÍTIMOS[[#This Row],[Placa Carreta]]),"")</f>
        <v>BDU999</v>
      </c>
      <c r="L369" s="44" t="str">
        <f>IFERROR(IF(MARÍTIMOS[[#This Row],[Conductor]]="","",MARÍTIMOS[[#This Row],[Conductor]]),"")</f>
        <v>YEMBER JANAKA TORREJON DAGA/ EDMUNDO EDUARDO DIAZ LEON</v>
      </c>
      <c r="M369" s="2" t="str">
        <f>IFERROR(IF(MARÍTIMOS[[#This Row],[Licencia]]="","",MARÍTIMOS[[#This Row],[Licencia]]),"")</f>
        <v>Q40908517/ Q42107613</v>
      </c>
      <c r="N369" s="2" t="str">
        <f>IFERROR(IF(MARÍTIMOS[[#This Row],[Número de Contacto]]="","",MARÍTIMOS[[#This Row],[Número de Contacto]]),"")</f>
        <v xml:space="preserve">-  </v>
      </c>
      <c r="O369" s="10">
        <f>IFERROR(IF(MARÍTIMOS[[#This Row],[Booking|AWB|CRT]]="","",MARÍTIMOS[[#This Row],[Booking|AWB|CRT]]),"")</f>
        <v>275171607</v>
      </c>
      <c r="P369" s="2" t="str">
        <f>IFERROR(IF(MARÍTIMOS[[#This Row],[Contenedor]]="","",MARÍTIMOS[[#This Row],[Contenedor]]),"")</f>
        <v>MNBU3860606</v>
      </c>
      <c r="Q369" s="2" t="str">
        <f>IFERROR(IF(MARÍTIMOS[[#This Row],[Puerto de Retiro]]="","",MARÍTIMOS[[#This Row],[Puerto de Retiro]]),"")</f>
        <v>CALLAO</v>
      </c>
      <c r="R369" s="2" t="str">
        <f>IFERROR(IF(MARÍTIMOS[[#This Row],[Almacén de Retiro]]="","",MARÍTIMOS[[#This Row],[Almacén de Retiro]]),"")</f>
        <v>DEMARES</v>
      </c>
      <c r="S369" s="11">
        <f>IFERROR(IF(MARÍTIMOS[[#This Row],[Etapa Retiro - Cita]]="","",MARÍTIMOS[[#This Row],[Etapa Retiro - Cita]]),"")</f>
        <v>46239.583333333336</v>
      </c>
      <c r="T369" s="11">
        <f>IFERROR(IF(MARÍTIMOS[[#This Row],[Etapa Retiro - Llegada]]="","",MARÍTIMOS[[#This Row],[Etapa Retiro - Llegada]]),"")</f>
        <v>46240.045138888891</v>
      </c>
      <c r="U369" s="11">
        <f>IFERROR(IF(MARÍTIMOS[[#This Row],[Etapa Retiro - Ingreso]]="","",MARÍTIMOS[[#This Row],[Etapa Retiro - Ingreso]]),"")</f>
        <v>46240.140277777777</v>
      </c>
      <c r="V369" s="11">
        <f>IFERROR(IF(MARÍTIMOS[[#This Row],[Etapa Retiro - Atención]]="","",MARÍTIMOS[[#This Row],[Etapa Retiro - Atención]]),"")</f>
        <v>46240.15625</v>
      </c>
      <c r="W369" s="11">
        <f>IFERROR(IF(MARÍTIMOS[[#This Row],[Etapa Retiro - Atención]]="","",MARÍTIMOS[[#This Row],[Etapa Retiro - Atención]]),"")</f>
        <v>46240.15625</v>
      </c>
      <c r="X369" s="11">
        <f>IFERROR(IF(MARÍTIMOS[[#This Row],[Etapa Retiro - Inicio de Ruta]]="","",MARÍTIMOS[[#This Row],[Etapa Retiro - Inicio de Ruta]]),"")</f>
        <v>46240.23541666667</v>
      </c>
      <c r="Y369" s="11">
        <f>IFERROR(IF(MARÍTIMOS[[#This Row],[Hora de Posicionamiento]]="","",MARÍTIMOS[[#This Row],[Fecha de Carga]]+MARÍTIMOS[[#This Row],[Hora de Posicionamiento]]),"")</f>
        <v>46240.5</v>
      </c>
      <c r="Z369" s="11">
        <f>IFERROR(IF(MARÍTIMOS[[#This Row],[Etapa Despacho - Llegada]]="","",MARÍTIMOS[[#This Row],[Etapa Despacho - Llegada]]),"")</f>
        <v>46240.686111111114</v>
      </c>
      <c r="AA369" s="11">
        <f>IFERROR(IF(MARÍTIMOS[[#This Row],[Etapa Despacho - Registro]]="","",MARÍTIMOS[[#This Row],[Etapa Despacho - Registro]]),"")</f>
        <v>46240.695833333331</v>
      </c>
      <c r="AB369" s="11">
        <f>IFERROR(IF(MARÍTIMOS[[#This Row],[Inspección Externa]]="","",MARÍTIMOS[[#This Row],[Inspección Externa]]),"")</f>
        <v>46240.708333333336</v>
      </c>
      <c r="AC369" s="11">
        <f>IFERROR(IF(MARÍTIMOS[[#This Row],[Etapa Despacho - Inicio de Carga]]="","",MARÍTIMOS[[#This Row],[Etapa Despacho - Inicio de Carga]]),"")</f>
        <v>46240.722222222219</v>
      </c>
      <c r="AD369" s="11">
        <f>IFERROR(IF(MARÍTIMOS[[#This Row],[Etapa Despacho - Mitad de Carga]]="","",MARÍTIMOS[[#This Row],[Etapa Despacho - Mitad de Carga]]),"")</f>
        <v>46240.741666666669</v>
      </c>
      <c r="AE369" s="11">
        <f>IFERROR(IF(MARÍTIMOS[[#This Row],[Etapa Despacho - Fin de Carga]]="","",MARÍTIMOS[[#This Row],[Etapa Despacho - Fin de Carga]]),"")</f>
        <v>46240.760416666664</v>
      </c>
      <c r="AF369" s="2" t="str">
        <f>IFERROR(IF(MARÍTIMOS[[#This Row],[Puerto de Embarque]]="","",MARÍTIMOS[[#This Row],[Puerto de Embarque]]),"")</f>
        <v>CALLAO</v>
      </c>
      <c r="AG369" s="2" t="str">
        <f>IFERROR(IF(MARÍTIMOS[[#This Row],[Almacén de Ingreso]]="","",MARÍTIMOS[[#This Row],[Almacén de Ingreso]]),"")</f>
        <v>APM</v>
      </c>
      <c r="AH369" s="11">
        <f>IFERROR(IF(MARÍTIMOS[[#This Row],[Etapa Ingreso - Cita]]="","",MARÍTIMOS[[#This Row],[Etapa Ingreso - Cita]]),"")</f>
        <v>46241.5</v>
      </c>
      <c r="AI369" s="11">
        <f>IFERROR(IF(MARÍTIMOS[[#This Row],[Etapa Ingreso - Llegada]]="","",MARÍTIMOS[[#This Row],[Etapa Ingreso - Llegada]]),"")</f>
        <v>46241.460416666669</v>
      </c>
      <c r="AJ369" s="11">
        <f>IFERROR(IF(MARÍTIMOS[[#This Row],[Etapa Ingreso - Ingeso]]="","",MARÍTIMOS[[#This Row],[Etapa Ingreso - Ingeso]]),"")</f>
        <v>46241.463888888888</v>
      </c>
      <c r="AK369" s="11">
        <f>IFERROR(IF(MARÍTIMOS[[#This Row],[Etapa Ingreso - Atención]]="","",MARÍTIMOS[[#This Row],[Etapa Ingreso - Atención]]),"")</f>
        <v>46241.468055555553</v>
      </c>
      <c r="AL369" s="11">
        <f>IFERROR(IF(MARÍTIMOS[[#This Row],[Etapa Ingreso - Salida]]="","",MARÍTIMOS[[#This Row],[Etapa Ingreso - Salida]]),"")</f>
        <v>46241.481249999997</v>
      </c>
      <c r="AM369" s="2">
        <f>IFERROR(IF(MARÍTIMOS[[#This Row],[FCL]]="","",MARÍTIMOS[[#This Row],[FCL]]),"")</f>
        <v>1</v>
      </c>
      <c r="AN3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69" s="4" t="str" cm="1">
        <f t="array" ref="AO3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69" s="5">
        <f>IFERROR(OLDBD[[#This Row],[Llegada a packing]]-OLDBD[[#This Row],[Inicio de Ruta]],"")</f>
        <v>0.45069444444379769</v>
      </c>
      <c r="AQ369" s="6">
        <f>IFERROR(OLDBD[[#This Row],[Inicio de Ruta]]-OLDBD[[#This Row],[Salida de almacén de retiro]],"")</f>
        <v>7.9166666670062114E-2</v>
      </c>
      <c r="AR3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69" s="8" t="str" cm="1">
        <f t="array" ref="AS3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69" s="9">
        <f>IFERROR(OLDBD[[#This Row],[Ingreso Packing]]-OLDBD[[#This Row],[Registro en Packing]],"")</f>
        <v>1.2500000004365575E-2</v>
      </c>
      <c r="AV369" s="9">
        <f>IFERROR(OLDBD[[#This Row],[Ingreso Packing]]-OLDBD[[#This Row],[Llegada a packing]],"")</f>
        <v>2.2222222221898846E-2</v>
      </c>
      <c r="AW3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69" s="5">
        <f>IFERROR(OLDBD[[#This Row],[Llegada Almacén de Ingreso]]-OLDBD[[#This Row],[Salida Packing]],"")</f>
        <v>0.70000000000436557</v>
      </c>
      <c r="AY369" s="4" t="str" cm="1">
        <f t="array" ref="AY3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69" s="43" t="s">
        <v>173</v>
      </c>
      <c r="BB369" s="47" t="str">
        <f>IFERROR(IF(MARÍTIMOS[[#This Row],[Estatus]]="","",MARÍTIMOS[[#This Row],[Estatus]]),"")</f>
        <v>Confirmado</v>
      </c>
      <c r="BC369" s="43"/>
      <c r="BD369" s="46">
        <f>IFERROR(OLDBD[[#This Row],[Salida de almacén de retiro]]-OLDBD[[#This Row],[Ingreso Almacén de retiro]],"")</f>
        <v>1.5972222223354038E-2</v>
      </c>
      <c r="BE369" s="46">
        <f>IFERROR(OLDBD[[#This Row],[Fin de Carga]]-OLDBD[[#This Row],[Inicio de Carga]],"")</f>
        <v>1.9444444449618459E-2</v>
      </c>
    </row>
    <row r="370" spans="1:57" customFormat="1" hidden="1">
      <c r="A370" s="1"/>
      <c r="B370" s="1">
        <f>IFERROR(IF(MARÍTIMOS[[#This Row],[PP]]="","",MARÍTIMOS[[#This Row],[PP]]),"")</f>
        <v>32</v>
      </c>
      <c r="C370" s="1" t="str">
        <f>IFERROR(IF(MARÍTIMOS[[#This Row],[Sede]]="","",MARÍTIMOS[[#This Row],[Sede]]),"")</f>
        <v>Chao</v>
      </c>
      <c r="D370" s="1" t="str">
        <f>IFERROR(IF(MARÍTIMOS[[#This Row],[Instruction]]="","",MARÍTIMOS[[#This Row],[Instruction]]),"")</f>
        <v>RH-0422</v>
      </c>
      <c r="E370" s="1"/>
      <c r="F370" s="2" t="str">
        <f>IFERROR(IF(MARÍTIMOS[[#This Row],[Transportista]]="","",MARÍTIMOS[[#This Row],[Transportista]]),"")</f>
        <v>Maersk</v>
      </c>
      <c r="G370" s="2" t="str">
        <f>IFERROR(IF(MARÍTIMOS[[#This Row],[Tercero]]="","",MARÍTIMOS[[#This Row],[Tercero]]),"")</f>
        <v>SI</v>
      </c>
      <c r="H370" s="2" t="str">
        <f>IFERROR(IF(MARÍTIMOS[[#This Row],[Razón Social]]="","",MARÍTIMOS[[#This Row],[Razón Social]]),"")</f>
        <v>ROADPOWER FRESH LOGISTICS S.A.C.</v>
      </c>
      <c r="I370" s="2">
        <f>IFERROR(IF(MARÍTIMOS[[#This Row],[RUC]]="","",MARÍTIMOS[[#This Row],[RUC]]),"")</f>
        <v>20615410544</v>
      </c>
      <c r="J370" s="2" t="str">
        <f>IFERROR(IF(MARÍTIMOS[[#This Row],[Placa Tracto]]="","",MARÍTIMOS[[#This Row],[Placa Tracto]]),"")</f>
        <v>AXV848</v>
      </c>
      <c r="K370" s="2" t="str">
        <f>IFERROR(IF(MARÍTIMOS[[#This Row],[Placa Carreta]]="","",MARÍTIMOS[[#This Row],[Placa Carreta]]),"")</f>
        <v>AJZ987</v>
      </c>
      <c r="L370" s="44" t="str">
        <f>IFERROR(IF(MARÍTIMOS[[#This Row],[Conductor]]="","",MARÍTIMOS[[#This Row],[Conductor]]),"")</f>
        <v>WALTER CARUAJULCA</v>
      </c>
      <c r="M370" s="2" t="str">
        <f>IFERROR(IF(MARÍTIMOS[[#This Row],[Licencia]]="","",MARÍTIMOS[[#This Row],[Licencia]]),"")</f>
        <v>Q41054100</v>
      </c>
      <c r="N370" s="2" t="str">
        <f>IFERROR(IF(MARÍTIMOS[[#This Row],[Número de Contacto]]="","",MARÍTIMOS[[#This Row],[Número de Contacto]]),"")</f>
        <v xml:space="preserve">-  </v>
      </c>
      <c r="O370" s="10">
        <f>IFERROR(IF(MARÍTIMOS[[#This Row],[Booking|AWB|CRT]]="","",MARÍTIMOS[[#This Row],[Booking|AWB|CRT]]),"")</f>
        <v>6461847770</v>
      </c>
      <c r="P370" s="2" t="str">
        <f>IFERROR(IF(MARÍTIMOS[[#This Row],[Contenedor]]="","",MARÍTIMOS[[#This Row],[Contenedor]]),"")</f>
        <v>FBIU5459794</v>
      </c>
      <c r="Q370" s="2" t="str">
        <f>IFERROR(IF(MARÍTIMOS[[#This Row],[Puerto de Retiro]]="","",MARÍTIMOS[[#This Row],[Puerto de Retiro]]),"")</f>
        <v>CALLAO</v>
      </c>
      <c r="R370" s="2" t="str">
        <f>IFERROR(IF(MARÍTIMOS[[#This Row],[Almacén de Retiro]]="","",MARÍTIMOS[[#This Row],[Almacén de Retiro]]),"")</f>
        <v>FARGOLINE</v>
      </c>
      <c r="S370" s="11">
        <f>IFERROR(IF(MARÍTIMOS[[#This Row],[Etapa Retiro - Cita]]="","",MARÍTIMOS[[#This Row],[Etapa Retiro - Cita]]),"")</f>
        <v>46242.708333333336</v>
      </c>
      <c r="T370" s="11">
        <f>IFERROR(IF(MARÍTIMOS[[#This Row],[Etapa Retiro - Llegada]]="","",MARÍTIMOS[[#This Row],[Etapa Retiro - Llegada]]),"")</f>
        <v>46242.725694444445</v>
      </c>
      <c r="U370" s="11">
        <f>IFERROR(IF(MARÍTIMOS[[#This Row],[Etapa Retiro - Ingreso]]="","",MARÍTIMOS[[#This Row],[Etapa Retiro - Ingreso]]),"")</f>
        <v>46242.731944444444</v>
      </c>
      <c r="V370" s="11">
        <f>IFERROR(IF(MARÍTIMOS[[#This Row],[Etapa Retiro - Atención]]="","",MARÍTIMOS[[#This Row],[Etapa Retiro - Atención]]),"")</f>
        <v>46242.739583333336</v>
      </c>
      <c r="W370" s="11">
        <f>IFERROR(IF(MARÍTIMOS[[#This Row],[Etapa Retiro - Atención]]="","",MARÍTIMOS[[#This Row],[Etapa Retiro - Atención]]),"")</f>
        <v>46242.739583333336</v>
      </c>
      <c r="X370" s="11">
        <f>IFERROR(IF(MARÍTIMOS[[#This Row],[Etapa Retiro - Inicio de Ruta]]="","",MARÍTIMOS[[#This Row],[Etapa Retiro - Inicio de Ruta]]),"")</f>
        <v>46242.925694444442</v>
      </c>
      <c r="Y370" s="11">
        <f>IFERROR(IF(MARÍTIMOS[[#This Row],[Hora de Posicionamiento]]="","",MARÍTIMOS[[#This Row],[Fecha de Carga]]+MARÍTIMOS[[#This Row],[Hora de Posicionamiento]]),"")</f>
        <v>46243.583333333336</v>
      </c>
      <c r="Z370" s="11">
        <f>IFERROR(IF(MARÍTIMOS[[#This Row],[Etapa Despacho - Llegada]]="","",MARÍTIMOS[[#This Row],[Etapa Despacho - Llegada]]),"")</f>
        <v>46243.579861111109</v>
      </c>
      <c r="AA370" s="11">
        <f>IFERROR(IF(MARÍTIMOS[[#This Row],[Etapa Despacho - Registro]]="","",MARÍTIMOS[[#This Row],[Etapa Despacho - Registro]]),"")</f>
        <v>46243.584027777775</v>
      </c>
      <c r="AB370" s="11">
        <f>IFERROR(IF(MARÍTIMOS[[#This Row],[Inspección Externa]]="","",MARÍTIMOS[[#This Row],[Inspección Externa]]),"")</f>
        <v>46243.595138888886</v>
      </c>
      <c r="AC370" s="11">
        <f>IFERROR(IF(MARÍTIMOS[[#This Row],[Etapa Despacho - Inicio de Carga]]="","",MARÍTIMOS[[#This Row],[Etapa Despacho - Inicio de Carga]]),"")</f>
        <v>46243.618055555555</v>
      </c>
      <c r="AD370" s="11">
        <f>IFERROR(IF(MARÍTIMOS[[#This Row],[Etapa Despacho - Mitad de Carga]]="","",MARÍTIMOS[[#This Row],[Etapa Despacho - Mitad de Carga]]),"")</f>
        <v>46243.677083333336</v>
      </c>
      <c r="AE370" s="11">
        <f>IFERROR(IF(MARÍTIMOS[[#This Row],[Etapa Despacho - Fin de Carga]]="","",MARÍTIMOS[[#This Row],[Etapa Despacho - Fin de Carga]]),"")</f>
        <v>46243.753472222219</v>
      </c>
      <c r="AF370" s="2" t="str">
        <f>IFERROR(IF(MARÍTIMOS[[#This Row],[Puerto de Embarque]]="","",MARÍTIMOS[[#This Row],[Puerto de Embarque]]),"")</f>
        <v>CALLAO</v>
      </c>
      <c r="AG370" s="2" t="str">
        <f>IFERROR(IF(MARÍTIMOS[[#This Row],[Almacén de Ingreso]]="","",MARÍTIMOS[[#This Row],[Almacén de Ingreso]]),"")</f>
        <v>CSPCP</v>
      </c>
      <c r="AH370" s="11" t="str">
        <f>IFERROR(IF(MARÍTIMOS[[#This Row],[Etapa Ingreso - Cita]]="","",MARÍTIMOS[[#This Row],[Etapa Ingreso - Cita]]),"")</f>
        <v/>
      </c>
      <c r="AI370" s="11">
        <f>IFERROR(IF(MARÍTIMOS[[#This Row],[Etapa Ingreso - Llegada]]="","",MARÍTIMOS[[#This Row],[Etapa Ingreso - Llegada]]),"")</f>
        <v>46244.489583333336</v>
      </c>
      <c r="AJ370" s="11">
        <f>IFERROR(IF(MARÍTIMOS[[#This Row],[Etapa Ingreso - Ingeso]]="","",MARÍTIMOS[[#This Row],[Etapa Ingreso - Ingeso]]),"")</f>
        <v>46244.493055555555</v>
      </c>
      <c r="AK370" s="11">
        <f>IFERROR(IF(MARÍTIMOS[[#This Row],[Etapa Ingreso - Atención]]="","",MARÍTIMOS[[#This Row],[Etapa Ingreso - Atención]]),"")</f>
        <v>46244.5</v>
      </c>
      <c r="AL370" s="11">
        <f>IFERROR(IF(MARÍTIMOS[[#This Row],[Etapa Ingreso - Salida]]="","",MARÍTIMOS[[#This Row],[Etapa Ingreso - Salida]]),"")</f>
        <v>46244.515277777777</v>
      </c>
      <c r="AM370" s="2">
        <f>IFERROR(IF(MARÍTIMOS[[#This Row],[FCL]]="","",MARÍTIMOS[[#This Row],[FCL]]),"")</f>
        <v>1</v>
      </c>
      <c r="AN3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0" s="4" t="str" cm="1">
        <f t="array" ref="AO3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70" s="5">
        <f>IFERROR(OLDBD[[#This Row],[Llegada a packing]]-OLDBD[[#This Row],[Inicio de Ruta]],"")</f>
        <v>0.65416666666715173</v>
      </c>
      <c r="AQ370" s="6">
        <f>IFERROR(OLDBD[[#This Row],[Inicio de Ruta]]-OLDBD[[#This Row],[Salida de almacén de retiro]],"")</f>
        <v>0.18611111110658385</v>
      </c>
      <c r="AR3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70" s="8" t="str" cm="1">
        <f t="array" ref="AS3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0" s="9">
        <f>IFERROR(OLDBD[[#This Row],[Ingreso Packing]]-OLDBD[[#This Row],[Registro en Packing]],"")</f>
        <v>1.1111111110949423E-2</v>
      </c>
      <c r="AV370" s="9">
        <f>IFERROR(OLDBD[[#This Row],[Ingreso Packing]]-OLDBD[[#This Row],[Llegada a packing]],"")</f>
        <v>1.5277777776645962E-2</v>
      </c>
      <c r="AW3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70" s="5">
        <f>IFERROR(OLDBD[[#This Row],[Llegada Almacén de Ingreso]]-OLDBD[[#This Row],[Salida Packing]],"")</f>
        <v>0.73611111111677019</v>
      </c>
      <c r="AY370" s="4" t="str" cm="1">
        <f t="array" ref="AY3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70" s="43" t="s">
        <v>173</v>
      </c>
      <c r="BB370" s="47" t="str">
        <f>IFERROR(IF(MARÍTIMOS[[#This Row],[Estatus]]="","",MARÍTIMOS[[#This Row],[Estatus]]),"")</f>
        <v>Confirmado</v>
      </c>
      <c r="BC370" s="43"/>
      <c r="BD370" s="46">
        <f>IFERROR(OLDBD[[#This Row],[Salida de almacén de retiro]]-OLDBD[[#This Row],[Ingreso Almacén de retiro]],"")</f>
        <v>7.6388888919609599E-3</v>
      </c>
      <c r="BE370" s="46">
        <f>IFERROR(OLDBD[[#This Row],[Fin de Carga]]-OLDBD[[#This Row],[Inicio de Carga]],"")</f>
        <v>5.9027777781011537E-2</v>
      </c>
    </row>
    <row r="371" spans="1:57" customFormat="1" hidden="1">
      <c r="A371" s="1"/>
      <c r="B371" s="1">
        <f>IFERROR(IF(MARÍTIMOS[[#This Row],[PP]]="","",MARÍTIMOS[[#This Row],[PP]]),"")</f>
        <v>32</v>
      </c>
      <c r="C371" s="1" t="str">
        <f>IFERROR(IF(MARÍTIMOS[[#This Row],[Sede]]="","",MARÍTIMOS[[#This Row],[Sede]]),"")</f>
        <v>Chao</v>
      </c>
      <c r="D371" s="1" t="str">
        <f>IFERROR(IF(MARÍTIMOS[[#This Row],[Instruction]]="","",MARÍTIMOS[[#This Row],[Instruction]]),"")</f>
        <v>RH-0423</v>
      </c>
      <c r="E371" s="1"/>
      <c r="F371" s="2" t="str">
        <f>IFERROR(IF(MARÍTIMOS[[#This Row],[Transportista]]="","",MARÍTIMOS[[#This Row],[Transportista]]),"")</f>
        <v>Maersk</v>
      </c>
      <c r="G371" s="2" t="str">
        <f>IFERROR(IF(MARÍTIMOS[[#This Row],[Tercero]]="","",MARÍTIMOS[[#This Row],[Tercero]]),"")</f>
        <v>SI</v>
      </c>
      <c r="H371" s="2" t="str">
        <f>IFERROR(IF(MARÍTIMOS[[#This Row],[Razón Social]]="","",MARÍTIMOS[[#This Row],[Razón Social]]),"")</f>
        <v>CITITRANS S.A.C.</v>
      </c>
      <c r="I371" s="2">
        <f>IFERROR(IF(MARÍTIMOS[[#This Row],[RUC]]="","",MARÍTIMOS[[#This Row],[RUC]]),"")</f>
        <v>20609553376</v>
      </c>
      <c r="J371" s="2" t="str">
        <f>IFERROR(IF(MARÍTIMOS[[#This Row],[Placa Tracto]]="","",MARÍTIMOS[[#This Row],[Placa Tracto]]),"")</f>
        <v>BWP-883</v>
      </c>
      <c r="K371" s="2" t="str">
        <f>IFERROR(IF(MARÍTIMOS[[#This Row],[Placa Carreta]]="","",MARÍTIMOS[[#This Row],[Placa Carreta]]),"")</f>
        <v>BJU-988</v>
      </c>
      <c r="L371" s="44" t="str">
        <f>IFERROR(IF(MARÍTIMOS[[#This Row],[Conductor]]="","",MARÍTIMOS[[#This Row],[Conductor]]),"")</f>
        <v>ENGELTH JOSE MELENDEZ VILLALOBOS</v>
      </c>
      <c r="M371" s="2" t="str">
        <f>IFERROR(IF(MARÍTIMOS[[#This Row],[Licencia]]="","",MARÍTIMOS[[#This Row],[Licencia]]),"")</f>
        <v>Q002619828</v>
      </c>
      <c r="N371" s="2" t="str">
        <f>IFERROR(IF(MARÍTIMOS[[#This Row],[Número de Contacto]]="","",MARÍTIMOS[[#This Row],[Número de Contacto]]),"")</f>
        <v xml:space="preserve">-  </v>
      </c>
      <c r="O371" s="10">
        <f>IFERROR(IF(MARÍTIMOS[[#This Row],[Booking|AWB|CRT]]="","",MARÍTIMOS[[#This Row],[Booking|AWB|CRT]]),"")</f>
        <v>6461847730</v>
      </c>
      <c r="P371" s="2" t="str">
        <f>IFERROR(IF(MARÍTIMOS[[#This Row],[Contenedor]]="","",MARÍTIMOS[[#This Row],[Contenedor]]),"")</f>
        <v>SEKU9357184</v>
      </c>
      <c r="Q371" s="2" t="str">
        <f>IFERROR(IF(MARÍTIMOS[[#This Row],[Puerto de Retiro]]="","",MARÍTIMOS[[#This Row],[Puerto de Retiro]]),"")</f>
        <v>CALLAO</v>
      </c>
      <c r="R371" s="2" t="str">
        <f>IFERROR(IF(MARÍTIMOS[[#This Row],[Almacén de Retiro]]="","",MARÍTIMOS[[#This Row],[Almacén de Retiro]]),"")</f>
        <v>FARGOLINE</v>
      </c>
      <c r="S371" s="11">
        <f>IFERROR(IF(MARÍTIMOS[[#This Row],[Etapa Retiro - Cita]]="","",MARÍTIMOS[[#This Row],[Etapa Retiro - Cita]]),"")</f>
        <v>46242.666666666664</v>
      </c>
      <c r="T371" s="11">
        <f>IFERROR(IF(MARÍTIMOS[[#This Row],[Etapa Retiro - Llegada]]="","",MARÍTIMOS[[#This Row],[Etapa Retiro - Llegada]]),"")</f>
        <v>46242.683333333334</v>
      </c>
      <c r="U371" s="11">
        <f>IFERROR(IF(MARÍTIMOS[[#This Row],[Etapa Retiro - Ingreso]]="","",MARÍTIMOS[[#This Row],[Etapa Retiro - Ingreso]]),"")</f>
        <v>46242.6875</v>
      </c>
      <c r="V371" s="11">
        <f>IFERROR(IF(MARÍTIMOS[[#This Row],[Etapa Retiro - Atención]]="","",MARÍTIMOS[[#This Row],[Etapa Retiro - Atención]]),"")</f>
        <v>46242.824999999997</v>
      </c>
      <c r="W371" s="11">
        <f>IFERROR(IF(MARÍTIMOS[[#This Row],[Etapa Retiro - Atención]]="","",MARÍTIMOS[[#This Row],[Etapa Retiro - Atención]]),"")</f>
        <v>46242.824999999997</v>
      </c>
      <c r="X371" s="11">
        <f>IFERROR(IF(MARÍTIMOS[[#This Row],[Etapa Retiro - Inicio de Ruta]]="","",MARÍTIMOS[[#This Row],[Etapa Retiro - Inicio de Ruta]]),"")</f>
        <v>46242.943749999999</v>
      </c>
      <c r="Y371" s="11">
        <f>IFERROR(IF(MARÍTIMOS[[#This Row],[Hora de Posicionamiento]]="","",MARÍTIMOS[[#This Row],[Fecha de Carga]]+MARÍTIMOS[[#This Row],[Hora de Posicionamiento]]),"")</f>
        <v>46243.583333333336</v>
      </c>
      <c r="Z371" s="11">
        <f>IFERROR(IF(MARÍTIMOS[[#This Row],[Etapa Despacho - Llegada]]="","",MARÍTIMOS[[#This Row],[Etapa Despacho - Llegada]]),"")</f>
        <v>46243.634722222225</v>
      </c>
      <c r="AA371" s="11">
        <f>IFERROR(IF(MARÍTIMOS[[#This Row],[Etapa Despacho - Registro]]="","",MARÍTIMOS[[#This Row],[Etapa Despacho - Registro]]),"")</f>
        <v>46243.834027777775</v>
      </c>
      <c r="AB371" s="11">
        <f>IFERROR(IF(MARÍTIMOS[[#This Row],[Inspección Externa]]="","",MARÍTIMOS[[#This Row],[Inspección Externa]]),"")</f>
        <v>46243.842361111114</v>
      </c>
      <c r="AC371" s="11">
        <f>IFERROR(IF(MARÍTIMOS[[#This Row],[Etapa Despacho - Inicio de Carga]]="","",MARÍTIMOS[[#This Row],[Etapa Despacho - Inicio de Carga]]),"")</f>
        <v>46243.854166666664</v>
      </c>
      <c r="AD371" s="11">
        <f>IFERROR(IF(MARÍTIMOS[[#This Row],[Etapa Despacho - Mitad de Carga]]="","",MARÍTIMOS[[#This Row],[Etapa Despacho - Mitad de Carga]]),"")</f>
        <v>46243.867361111108</v>
      </c>
      <c r="AE371" s="11">
        <f>IFERROR(IF(MARÍTIMOS[[#This Row],[Etapa Despacho - Fin de Carga]]="","",MARÍTIMOS[[#This Row],[Etapa Despacho - Fin de Carga]]),"")</f>
        <v>46243.880555555559</v>
      </c>
      <c r="AF371" s="2" t="str">
        <f>IFERROR(IF(MARÍTIMOS[[#This Row],[Puerto de Embarque]]="","",MARÍTIMOS[[#This Row],[Puerto de Embarque]]),"")</f>
        <v>CALLAO</v>
      </c>
      <c r="AG371" s="2" t="str">
        <f>IFERROR(IF(MARÍTIMOS[[#This Row],[Almacén de Ingreso]]="","",MARÍTIMOS[[#This Row],[Almacén de Ingreso]]),"")</f>
        <v>CSPCP</v>
      </c>
      <c r="AH371" s="11" t="str">
        <f>IFERROR(IF(MARÍTIMOS[[#This Row],[Etapa Ingreso - Cita]]="","",MARÍTIMOS[[#This Row],[Etapa Ingreso - Cita]]),"")</f>
        <v/>
      </c>
      <c r="AI371" s="11">
        <f>IFERROR(IF(MARÍTIMOS[[#This Row],[Etapa Ingreso - Llegada]]="","",MARÍTIMOS[[#This Row],[Etapa Ingreso - Llegada]]),"")</f>
        <v>46244.513888888891</v>
      </c>
      <c r="AJ371" s="11">
        <f>IFERROR(IF(MARÍTIMOS[[#This Row],[Etapa Ingreso - Ingeso]]="","",MARÍTIMOS[[#This Row],[Etapa Ingreso - Ingeso]]),"")</f>
        <v>46244.51666666667</v>
      </c>
      <c r="AK371" s="11">
        <f>IFERROR(IF(MARÍTIMOS[[#This Row],[Etapa Ingreso - Atención]]="","",MARÍTIMOS[[#This Row],[Etapa Ingreso - Atención]]),"")</f>
        <v>46244.520833333336</v>
      </c>
      <c r="AL371" s="11">
        <f>IFERROR(IF(MARÍTIMOS[[#This Row],[Etapa Ingreso - Salida]]="","",MARÍTIMOS[[#This Row],[Etapa Ingreso - Salida]]),"")</f>
        <v>46244.527777777781</v>
      </c>
      <c r="AM371" s="2">
        <f>IFERROR(IF(MARÍTIMOS[[#This Row],[FCL]]="","",MARÍTIMOS[[#This Row],[FCL]]),"")</f>
        <v>1</v>
      </c>
      <c r="AN3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1" s="4" t="str" cm="1">
        <f t="array" ref="AO3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371" s="5">
        <f>IFERROR(OLDBD[[#This Row],[Llegada a packing]]-OLDBD[[#This Row],[Inicio de Ruta]],"")</f>
        <v>0.69097222222626442</v>
      </c>
      <c r="AQ371" s="6">
        <f>IFERROR(OLDBD[[#This Row],[Inicio de Ruta]]-OLDBD[[#This Row],[Salida de almacén de retiro]],"")</f>
        <v>0.11875000000145519</v>
      </c>
      <c r="AR3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71" s="8" t="str" cm="1">
        <f t="array" ref="AS3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71" s="9">
        <f>IFERROR(OLDBD[[#This Row],[Ingreso Packing]]-OLDBD[[#This Row],[Registro en Packing]],"")</f>
        <v>8.3333333386690356E-3</v>
      </c>
      <c r="AV371" s="9">
        <f>IFERROR(OLDBD[[#This Row],[Ingreso Packing]]-OLDBD[[#This Row],[Llegada a packing]],"")</f>
        <v>0.20763888888905058</v>
      </c>
      <c r="AW3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71" s="5">
        <f>IFERROR(OLDBD[[#This Row],[Llegada Almacén de Ingreso]]-OLDBD[[#This Row],[Salida Packing]],"")</f>
        <v>0.63333333333139308</v>
      </c>
      <c r="AY371" s="4" t="str" cm="1">
        <f t="array" ref="AY3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71" s="43" t="s">
        <v>173</v>
      </c>
      <c r="BB371" s="47" t="str">
        <f>IFERROR(IF(MARÍTIMOS[[#This Row],[Estatus]]="","",MARÍTIMOS[[#This Row],[Estatus]]),"")</f>
        <v>Confirmado</v>
      </c>
      <c r="BC371" s="43"/>
      <c r="BD371" s="46">
        <f>IFERROR(OLDBD[[#This Row],[Salida de almacén de retiro]]-OLDBD[[#This Row],[Ingreso Almacén de retiro]],"")</f>
        <v>0.13749999999708962</v>
      </c>
      <c r="BE371" s="46">
        <f>IFERROR(OLDBD[[#This Row],[Fin de Carga]]-OLDBD[[#This Row],[Inicio de Carga]],"")</f>
        <v>1.3194444443797693E-2</v>
      </c>
    </row>
    <row r="372" spans="1:57" customFormat="1" hidden="1">
      <c r="A372" s="1"/>
      <c r="B372" s="1">
        <f>IFERROR(IF(MARÍTIMOS[[#This Row],[PP]]="","",MARÍTIMOS[[#This Row],[PP]]),"")</f>
        <v>33</v>
      </c>
      <c r="C372" s="1" t="str">
        <f>IFERROR(IF(MARÍTIMOS[[#This Row],[Sede]]="","",MARÍTIMOS[[#This Row],[Sede]]),"")</f>
        <v>Chao</v>
      </c>
      <c r="D372" s="1" t="str">
        <f>IFERROR(IF(MARÍTIMOS[[#This Row],[Instruction]]="","",MARÍTIMOS[[#This Row],[Instruction]]),"")</f>
        <v>RH-0477</v>
      </c>
      <c r="E372" s="1"/>
      <c r="F372" s="2" t="str">
        <f>IFERROR(IF(MARÍTIMOS[[#This Row],[Transportista]]="","",MARÍTIMOS[[#This Row],[Transportista]]),"")</f>
        <v>Maersk</v>
      </c>
      <c r="G372" s="2" t="str">
        <f>IFERROR(IF(MARÍTIMOS[[#This Row],[Tercero]]="","",MARÍTIMOS[[#This Row],[Tercero]]),"")</f>
        <v>NO</v>
      </c>
      <c r="H372" s="2" t="str">
        <f>IFERROR(IF(MARÍTIMOS[[#This Row],[Razón Social]]="","",MARÍTIMOS[[#This Row],[Razón Social]]),"")</f>
        <v>MAERSK LOGISTICS &amp; SERVICES PERU S.A.</v>
      </c>
      <c r="I372" s="2">
        <f>IFERROR(IF(MARÍTIMOS[[#This Row],[RUC]]="","",MARÍTIMOS[[#This Row],[RUC]]),"")</f>
        <v>20107012011</v>
      </c>
      <c r="J372" s="2" t="str">
        <f>IFERROR(IF(MARÍTIMOS[[#This Row],[Placa Tracto]]="","",MARÍTIMOS[[#This Row],[Placa Tracto]]),"")</f>
        <v>BTM725</v>
      </c>
      <c r="K372" s="2" t="str">
        <f>IFERROR(IF(MARÍTIMOS[[#This Row],[Placa Carreta]]="","",MARÍTIMOS[[#This Row],[Placa Carreta]]),"")</f>
        <v>BDV988</v>
      </c>
      <c r="L372" s="44" t="str">
        <f>IFERROR(IF(MARÍTIMOS[[#This Row],[Conductor]]="","",MARÍTIMOS[[#This Row],[Conductor]]),"")</f>
        <v>RODDY JAVIER DE LA CRUZ VILLALTA/ ANGEL GABRIEL CLAROS ROMAN</v>
      </c>
      <c r="M372" s="2" t="str">
        <f>IFERROR(IF(MARÍTIMOS[[#This Row],[Licencia]]="","",MARÍTIMOS[[#This Row],[Licencia]]),"")</f>
        <v>B48103960</v>
      </c>
      <c r="N372" s="2" t="str">
        <f>IFERROR(IF(MARÍTIMOS[[#This Row],[Número de Contacto]]="","",MARÍTIMOS[[#This Row],[Número de Contacto]]),"")</f>
        <v xml:space="preserve">-  </v>
      </c>
      <c r="O372" s="10">
        <f>IFERROR(IF(MARÍTIMOS[[#This Row],[Booking|AWB|CRT]]="","",MARÍTIMOS[[#This Row],[Booking|AWB|CRT]]),"")</f>
        <v>275501236</v>
      </c>
      <c r="P372" s="2" t="str">
        <f>IFERROR(IF(MARÍTIMOS[[#This Row],[Contenedor]]="","",MARÍTIMOS[[#This Row],[Contenedor]]),"")</f>
        <v>MNBU3107594</v>
      </c>
      <c r="Q372" s="2" t="str">
        <f>IFERROR(IF(MARÍTIMOS[[#This Row],[Puerto de Retiro]]="","",MARÍTIMOS[[#This Row],[Puerto de Retiro]]),"")</f>
        <v>CALLAO</v>
      </c>
      <c r="R372" s="2" t="str">
        <f>IFERROR(IF(MARÍTIMOS[[#This Row],[Almacén de Retiro]]="","",MARÍTIMOS[[#This Row],[Almacén de Retiro]]),"")</f>
        <v>DEMARES</v>
      </c>
      <c r="S372" s="11">
        <f>IFERROR(IF(MARÍTIMOS[[#This Row],[Etapa Retiro - Cita]]="","",MARÍTIMOS[[#This Row],[Etapa Retiro - Cita]]),"")</f>
        <v>46247.166666666664</v>
      </c>
      <c r="T372" s="11">
        <f>IFERROR(IF(MARÍTIMOS[[#This Row],[Etapa Retiro - Llegada]]="","",MARÍTIMOS[[#This Row],[Etapa Retiro - Llegada]]),"")</f>
        <v>46247.076388888891</v>
      </c>
      <c r="U372" s="11">
        <f>IFERROR(IF(MARÍTIMOS[[#This Row],[Etapa Retiro - Ingreso]]="","",MARÍTIMOS[[#This Row],[Etapa Retiro - Ingreso]]),"")</f>
        <v>46247.378472222219</v>
      </c>
      <c r="V372" s="11">
        <f>IFERROR(IF(MARÍTIMOS[[#This Row],[Etapa Retiro - Atención]]="","",MARÍTIMOS[[#This Row],[Etapa Retiro - Atención]]),"")</f>
        <v>46247.388888888891</v>
      </c>
      <c r="W372" s="11">
        <f>IFERROR(IF(MARÍTIMOS[[#This Row],[Etapa Retiro - Atención]]="","",MARÍTIMOS[[#This Row],[Etapa Retiro - Atención]]),"")</f>
        <v>46247.388888888891</v>
      </c>
      <c r="X372" s="11">
        <f>IFERROR(IF(MARÍTIMOS[[#This Row],[Etapa Retiro - Inicio de Ruta]]="","",MARÍTIMOS[[#This Row],[Etapa Retiro - Inicio de Ruta]]),"")</f>
        <v>46247.426388888889</v>
      </c>
      <c r="Y372" s="11">
        <f>IFERROR(IF(MARÍTIMOS[[#This Row],[Hora de Posicionamiento]]="","",MARÍTIMOS[[#This Row],[Fecha de Carga]]+MARÍTIMOS[[#This Row],[Hora de Posicionamiento]]),"")</f>
        <v>46247.416666666664</v>
      </c>
      <c r="Z372" s="11">
        <f>IFERROR(IF(MARÍTIMOS[[#This Row],[Etapa Despacho - Llegada]]="","",MARÍTIMOS[[#This Row],[Etapa Despacho - Llegada]]),"")</f>
        <v>46247.92083333333</v>
      </c>
      <c r="AA372" s="11">
        <f>IFERROR(IF(MARÍTIMOS[[#This Row],[Etapa Despacho - Registro]]="","",MARÍTIMOS[[#This Row],[Etapa Despacho - Registro]]),"")</f>
        <v>46247.936111111114</v>
      </c>
      <c r="AB372" s="11">
        <f>IFERROR(IF(MARÍTIMOS[[#This Row],[Inspección Externa]]="","",MARÍTIMOS[[#This Row],[Inspección Externa]]),"")</f>
        <v>46247.944444444445</v>
      </c>
      <c r="AC372" s="11">
        <f>IFERROR(IF(MARÍTIMOS[[#This Row],[Etapa Despacho - Inicio de Carga]]="","",MARÍTIMOS[[#This Row],[Etapa Despacho - Inicio de Carga]]),"")</f>
        <v>46247.954861111109</v>
      </c>
      <c r="AD372" s="11">
        <f>IFERROR(IF(MARÍTIMOS[[#This Row],[Etapa Despacho - Mitad de Carga]]="","",MARÍTIMOS[[#This Row],[Etapa Despacho - Mitad de Carga]]),"")</f>
        <v>46248.001388888886</v>
      </c>
      <c r="AE372" s="11">
        <f>IFERROR(IF(MARÍTIMOS[[#This Row],[Etapa Despacho - Fin de Carga]]="","",MARÍTIMOS[[#This Row],[Etapa Despacho - Fin de Carga]]),"")</f>
        <v>46248.04791666667</v>
      </c>
      <c r="AF372" s="2" t="str">
        <f>IFERROR(IF(MARÍTIMOS[[#This Row],[Puerto de Embarque]]="","",MARÍTIMOS[[#This Row],[Puerto de Embarque]]),"")</f>
        <v>CALLAO</v>
      </c>
      <c r="AG372" s="2" t="str">
        <f>IFERROR(IF(MARÍTIMOS[[#This Row],[Almacén de Ingreso]]="","",MARÍTIMOS[[#This Row],[Almacén de Ingreso]]),"")</f>
        <v>APM</v>
      </c>
      <c r="AH372" s="11" t="str">
        <f>IFERROR(IF(MARÍTIMOS[[#This Row],[Etapa Ingreso - Cita]]="","",MARÍTIMOS[[#This Row],[Etapa Ingreso - Cita]]),"")</f>
        <v/>
      </c>
      <c r="AI372" s="11">
        <f>IFERROR(IF(MARÍTIMOS[[#This Row],[Etapa Ingreso - Llegada]]="","",MARÍTIMOS[[#This Row],[Etapa Ingreso - Llegada]]),"")</f>
        <v>46248.552777777775</v>
      </c>
      <c r="AJ372" s="11">
        <f>IFERROR(IF(MARÍTIMOS[[#This Row],[Etapa Ingreso - Ingeso]]="","",MARÍTIMOS[[#This Row],[Etapa Ingreso - Ingeso]]),"")</f>
        <v>46248.559027777781</v>
      </c>
      <c r="AK372" s="11">
        <f>IFERROR(IF(MARÍTIMOS[[#This Row],[Etapa Ingreso - Atención]]="","",MARÍTIMOS[[#This Row],[Etapa Ingreso - Atención]]),"")</f>
        <v>46248.574999999997</v>
      </c>
      <c r="AL372" s="11">
        <f>IFERROR(IF(MARÍTIMOS[[#This Row],[Etapa Ingreso - Salida]]="","",MARÍTIMOS[[#This Row],[Etapa Ingreso - Salida]]),"")</f>
        <v>46248.673611111109</v>
      </c>
      <c r="AM372" s="2">
        <f>IFERROR(IF(MARÍTIMOS[[#This Row],[FCL]]="","",MARÍTIMOS[[#This Row],[FCL]]),"")</f>
        <v>1</v>
      </c>
      <c r="AN3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72" s="4" t="str" cm="1">
        <f t="array" ref="AO3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72" s="5">
        <f>IFERROR(OLDBD[[#This Row],[Llegada a packing]]-OLDBD[[#This Row],[Inicio de Ruta]],"")</f>
        <v>0.49444444444088731</v>
      </c>
      <c r="AQ372" s="6">
        <f>IFERROR(OLDBD[[#This Row],[Inicio de Ruta]]-OLDBD[[#This Row],[Salida de almacén de retiro]],"")</f>
        <v>3.7499999998544808E-2</v>
      </c>
      <c r="AR3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72" s="8" t="str" cm="1">
        <f t="array" ref="AS3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2" s="9">
        <f>IFERROR(OLDBD[[#This Row],[Ingreso Packing]]-OLDBD[[#This Row],[Registro en Packing]],"")</f>
        <v>8.333333331393078E-3</v>
      </c>
      <c r="AV372" s="9">
        <f>IFERROR(OLDBD[[#This Row],[Ingreso Packing]]-OLDBD[[#This Row],[Llegada a packing]],"")</f>
        <v>2.3611111115314998E-2</v>
      </c>
      <c r="AW3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72" s="5">
        <f>IFERROR(OLDBD[[#This Row],[Llegada Almacén de Ingreso]]-OLDBD[[#This Row],[Salida Packing]],"")</f>
        <v>0.50486111110512866</v>
      </c>
      <c r="AY372" s="4" t="str" cm="1">
        <f t="array" ref="AY3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72" s="43" t="s">
        <v>173</v>
      </c>
      <c r="BB372" s="47" t="str">
        <f>IFERROR(IF(MARÍTIMOS[[#This Row],[Estatus]]="","",MARÍTIMOS[[#This Row],[Estatus]]),"")</f>
        <v>Confirmado</v>
      </c>
      <c r="BC372" s="43"/>
      <c r="BD372" s="46">
        <f>IFERROR(OLDBD[[#This Row],[Salida de almacén de retiro]]-OLDBD[[#This Row],[Ingreso Almacén de retiro]],"")</f>
        <v>1.0416666671517305E-2</v>
      </c>
      <c r="BE372" s="46">
        <f>IFERROR(OLDBD[[#This Row],[Fin de Carga]]-OLDBD[[#This Row],[Inicio de Carga]],"")</f>
        <v>4.6527777776645962E-2</v>
      </c>
    </row>
    <row r="373" spans="1:57" customFormat="1" hidden="1">
      <c r="A373" s="1"/>
      <c r="B373" s="1">
        <f>IFERROR(IF(MARÍTIMOS[[#This Row],[PP]]="","",MARÍTIMOS[[#This Row],[PP]]),"")</f>
        <v>33</v>
      </c>
      <c r="C373" s="1" t="str">
        <f>IFERROR(IF(MARÍTIMOS[[#This Row],[Sede]]="","",MARÍTIMOS[[#This Row],[Sede]]),"")</f>
        <v>Chao</v>
      </c>
      <c r="D373" s="1" t="str">
        <f>IFERROR(IF(MARÍTIMOS[[#This Row],[Instruction]]="","",MARÍTIMOS[[#This Row],[Instruction]]),"")</f>
        <v>RH-0476</v>
      </c>
      <c r="E373" s="1"/>
      <c r="F373" s="2" t="str">
        <f>IFERROR(IF(MARÍTIMOS[[#This Row],[Transportista]]="","",MARÍTIMOS[[#This Row],[Transportista]]),"")</f>
        <v>Maersk</v>
      </c>
      <c r="G373" s="2" t="str">
        <f>IFERROR(IF(MARÍTIMOS[[#This Row],[Tercero]]="","",MARÍTIMOS[[#This Row],[Tercero]]),"")</f>
        <v>SI</v>
      </c>
      <c r="H373" s="2" t="str">
        <f>IFERROR(IF(MARÍTIMOS[[#This Row],[Razón Social]]="","",MARÍTIMOS[[#This Row],[Razón Social]]),"")</f>
        <v>CITITRANS S.A.C.</v>
      </c>
      <c r="I373" s="2">
        <f>IFERROR(IF(MARÍTIMOS[[#This Row],[RUC]]="","",MARÍTIMOS[[#This Row],[RUC]]),"")</f>
        <v>20609553376</v>
      </c>
      <c r="J373" s="2" t="str">
        <f>IFERROR(IF(MARÍTIMOS[[#This Row],[Placa Tracto]]="","",MARÍTIMOS[[#This Row],[Placa Tracto]]),"")</f>
        <v>CHE855</v>
      </c>
      <c r="K373" s="2" t="str">
        <f>IFERROR(IF(MARÍTIMOS[[#This Row],[Placa Carreta]]="","",MARÍTIMOS[[#This Row],[Placa Carreta]]),"")</f>
        <v>BUQ972</v>
      </c>
      <c r="L373" s="44" t="str">
        <f>IFERROR(IF(MARÍTIMOS[[#This Row],[Conductor]]="","",MARÍTIMOS[[#This Row],[Conductor]]),"")</f>
        <v>JIMENEZ ESQUIVEL ESTEBAN PATRICIO</v>
      </c>
      <c r="M373" s="2" t="str">
        <f>IFERROR(IF(MARÍTIMOS[[#This Row],[Licencia]]="","",MARÍTIMOS[[#This Row],[Licencia]]),"")</f>
        <v>Q45141972</v>
      </c>
      <c r="N373" s="2" t="str">
        <f>IFERROR(IF(MARÍTIMOS[[#This Row],[Número de Contacto]]="","",MARÍTIMOS[[#This Row],[Número de Contacto]]),"")</f>
        <v xml:space="preserve">-  </v>
      </c>
      <c r="O373" s="10">
        <f>IFERROR(IF(MARÍTIMOS[[#This Row],[Booking|AWB|CRT]]="","",MARÍTIMOS[[#This Row],[Booking|AWB|CRT]]),"")</f>
        <v>6462784200</v>
      </c>
      <c r="P373" s="2" t="str">
        <f>IFERROR(IF(MARÍTIMOS[[#This Row],[Contenedor]]="","",MARÍTIMOS[[#This Row],[Contenedor]]),"")</f>
        <v>OERU4362692</v>
      </c>
      <c r="Q373" s="2" t="str">
        <f>IFERROR(IF(MARÍTIMOS[[#This Row],[Puerto de Retiro]]="","",MARÍTIMOS[[#This Row],[Puerto de Retiro]]),"")</f>
        <v>CHANCAY</v>
      </c>
      <c r="R373" s="2" t="str">
        <f>IFERROR(IF(MARÍTIMOS[[#This Row],[Almacén de Retiro]]="","",MARÍTIMOS[[#This Row],[Almacén de Retiro]]),"")</f>
        <v>CHANCAY</v>
      </c>
      <c r="S373" s="11">
        <f>IFERROR(IF(MARÍTIMOS[[#This Row],[Etapa Retiro - Cita]]="","",MARÍTIMOS[[#This Row],[Etapa Retiro - Cita]]),"")</f>
        <v>46246.791666666664</v>
      </c>
      <c r="T373" s="11">
        <f>IFERROR(IF(MARÍTIMOS[[#This Row],[Etapa Retiro - Llegada]]="","",MARÍTIMOS[[#This Row],[Etapa Retiro - Llegada]]),"")</f>
        <v>46246.856249999997</v>
      </c>
      <c r="U373" s="11">
        <f>IFERROR(IF(MARÍTIMOS[[#This Row],[Etapa Retiro - Ingreso]]="","",MARÍTIMOS[[#This Row],[Etapa Retiro - Ingreso]]),"")</f>
        <v>46246.886111111111</v>
      </c>
      <c r="V373" s="11">
        <f>IFERROR(IF(MARÍTIMOS[[#This Row],[Etapa Retiro - Atención]]="","",MARÍTIMOS[[#This Row],[Etapa Retiro - Atención]]),"")</f>
        <v>46246.90625</v>
      </c>
      <c r="W373" s="11">
        <f>IFERROR(IF(MARÍTIMOS[[#This Row],[Etapa Retiro - Atención]]="","",MARÍTIMOS[[#This Row],[Etapa Retiro - Atención]]),"")</f>
        <v>46246.90625</v>
      </c>
      <c r="X373" s="11">
        <f>IFERROR(IF(MARÍTIMOS[[#This Row],[Etapa Retiro - Inicio de Ruta]]="","",MARÍTIMOS[[#This Row],[Etapa Retiro - Inicio de Ruta]]),"")</f>
        <v>46246.9375</v>
      </c>
      <c r="Y373" s="11">
        <f>IFERROR(IF(MARÍTIMOS[[#This Row],[Hora de Posicionamiento]]="","",MARÍTIMOS[[#This Row],[Fecha de Carga]]+MARÍTIMOS[[#This Row],[Hora de Posicionamiento]]),"")</f>
        <v>46247.5</v>
      </c>
      <c r="Z373" s="11">
        <f>IFERROR(IF(MARÍTIMOS[[#This Row],[Etapa Despacho - Llegada]]="","",MARÍTIMOS[[#This Row],[Etapa Despacho - Llegada]]),"")</f>
        <v>46247.597222222219</v>
      </c>
      <c r="AA373" s="11">
        <f>IFERROR(IF(MARÍTIMOS[[#This Row],[Etapa Despacho - Registro]]="","",MARÍTIMOS[[#This Row],[Etapa Despacho - Registro]]),"")</f>
        <v>46247.613888888889</v>
      </c>
      <c r="AB373" s="11">
        <f>IFERROR(IF(MARÍTIMOS[[#This Row],[Inspección Externa]]="","",MARÍTIMOS[[#This Row],[Inspección Externa]]),"")</f>
        <v>46247.625</v>
      </c>
      <c r="AC373" s="11">
        <f>IFERROR(IF(MARÍTIMOS[[#This Row],[Etapa Despacho - Inicio de Carga]]="","",MARÍTIMOS[[#This Row],[Etapa Despacho - Inicio de Carga]]),"")</f>
        <v>46247.638888888891</v>
      </c>
      <c r="AD373" s="11">
        <f>IFERROR(IF(MARÍTIMOS[[#This Row],[Etapa Despacho - Mitad de Carga]]="","",MARÍTIMOS[[#This Row],[Etapa Despacho - Mitad de Carga]]),"")</f>
        <v>46247.670138888891</v>
      </c>
      <c r="AE373" s="11">
        <f>IFERROR(IF(MARÍTIMOS[[#This Row],[Etapa Despacho - Fin de Carga]]="","",MARÍTIMOS[[#This Row],[Etapa Despacho - Fin de Carga]]),"")</f>
        <v>46247.701388888891</v>
      </c>
      <c r="AF373" s="2" t="str">
        <f>IFERROR(IF(MARÍTIMOS[[#This Row],[Puerto de Embarque]]="","",MARÍTIMOS[[#This Row],[Puerto de Embarque]]),"")</f>
        <v>CALLAO</v>
      </c>
      <c r="AG373" s="2" t="str">
        <f>IFERROR(IF(MARÍTIMOS[[#This Row],[Almacén de Ingreso]]="","",MARÍTIMOS[[#This Row],[Almacén de Ingreso]]),"")</f>
        <v>CSPCP</v>
      </c>
      <c r="AH373" s="11" t="str">
        <f>IFERROR(IF(MARÍTIMOS[[#This Row],[Etapa Ingreso - Cita]]="","",MARÍTIMOS[[#This Row],[Etapa Ingreso - Cita]]),"")</f>
        <v/>
      </c>
      <c r="AI373" s="11">
        <f>IFERROR(IF(MARÍTIMOS[[#This Row],[Etapa Ingreso - Llegada]]="","",MARÍTIMOS[[#This Row],[Etapa Ingreso - Llegada]]),"")</f>
        <v>46248.119444444441</v>
      </c>
      <c r="AJ373" s="11">
        <f>IFERROR(IF(MARÍTIMOS[[#This Row],[Etapa Ingreso - Ingeso]]="","",MARÍTIMOS[[#This Row],[Etapa Ingreso - Ingeso]]),"")</f>
        <v>46248.124305555553</v>
      </c>
      <c r="AK373" s="11">
        <f>IFERROR(IF(MARÍTIMOS[[#This Row],[Etapa Ingreso - Atención]]="","",MARÍTIMOS[[#This Row],[Etapa Ingreso - Atención]]),"")</f>
        <v>46248.130555555559</v>
      </c>
      <c r="AL373" s="11">
        <f>IFERROR(IF(MARÍTIMOS[[#This Row],[Etapa Ingreso - Salida]]="","",MARÍTIMOS[[#This Row],[Etapa Ingreso - Salida]]),"")</f>
        <v>46248.143055555556</v>
      </c>
      <c r="AM373" s="2">
        <f>IFERROR(IF(MARÍTIMOS[[#This Row],[FCL]]="","",MARÍTIMOS[[#This Row],[FCL]]),"")</f>
        <v>1</v>
      </c>
      <c r="AN3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3" s="4" t="str" cm="1">
        <f t="array" ref="AO3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73" s="5">
        <f>IFERROR(OLDBD[[#This Row],[Llegada a packing]]-OLDBD[[#This Row],[Inicio de Ruta]],"")</f>
        <v>0.65972222221898846</v>
      </c>
      <c r="AQ373" s="6">
        <f>IFERROR(OLDBD[[#This Row],[Inicio de Ruta]]-OLDBD[[#This Row],[Salida de almacén de retiro]],"")</f>
        <v>3.125E-2</v>
      </c>
      <c r="AR3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73" s="8" t="str" cm="1">
        <f t="array" ref="AS3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3" s="9">
        <f>IFERROR(OLDBD[[#This Row],[Ingreso Packing]]-OLDBD[[#This Row],[Registro en Packing]],"")</f>
        <v>1.1111111110949423E-2</v>
      </c>
      <c r="AV373" s="9">
        <f>IFERROR(OLDBD[[#This Row],[Ingreso Packing]]-OLDBD[[#This Row],[Llegada a packing]],"")</f>
        <v>2.7777777781011537E-2</v>
      </c>
      <c r="AW3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73" s="5">
        <f>IFERROR(OLDBD[[#This Row],[Llegada Almacén de Ingreso]]-OLDBD[[#This Row],[Salida Packing]],"")</f>
        <v>0.41805555555038154</v>
      </c>
      <c r="AY373" s="4" t="str" cm="1">
        <f t="array" ref="AY3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373" s="43" t="s">
        <v>173</v>
      </c>
      <c r="BB373" s="47" t="str">
        <f>IFERROR(IF(MARÍTIMOS[[#This Row],[Estatus]]="","",MARÍTIMOS[[#This Row],[Estatus]]),"")</f>
        <v>Confirmado</v>
      </c>
      <c r="BC373" s="43"/>
      <c r="BD373" s="46">
        <f>IFERROR(OLDBD[[#This Row],[Salida de almacén de retiro]]-OLDBD[[#This Row],[Ingreso Almacén de retiro]],"")</f>
        <v>2.0138888889050577E-2</v>
      </c>
      <c r="BE373" s="46">
        <f>IFERROR(OLDBD[[#This Row],[Fin de Carga]]-OLDBD[[#This Row],[Inicio de Carga]],"")</f>
        <v>3.125E-2</v>
      </c>
    </row>
    <row r="374" spans="1:57" customFormat="1" hidden="1">
      <c r="A374" s="1"/>
      <c r="B374" s="1">
        <f>IFERROR(IF(MARÍTIMOS[[#This Row],[PP]]="","",MARÍTIMOS[[#This Row],[PP]]),"")</f>
        <v>34</v>
      </c>
      <c r="C374" s="1" t="str">
        <f>IFERROR(IF(MARÍTIMOS[[#This Row],[Sede]]="","",MARÍTIMOS[[#This Row],[Sede]]),"")</f>
        <v>Chao</v>
      </c>
      <c r="D374" s="1" t="str">
        <f>IFERROR(IF(MARÍTIMOS[[#This Row],[Instruction]]="","",MARÍTIMOS[[#This Row],[Instruction]]),"")</f>
        <v>RH-0543</v>
      </c>
      <c r="E374" s="1"/>
      <c r="F374" s="2" t="str">
        <f>IFERROR(IF(MARÍTIMOS[[#This Row],[Transportista]]="","",MARÍTIMOS[[#This Row],[Transportista]]),"")</f>
        <v>Maersk</v>
      </c>
      <c r="G374" s="2" t="str">
        <f>IFERROR(IF(MARÍTIMOS[[#This Row],[Tercero]]="","",MARÍTIMOS[[#This Row],[Tercero]]),"")</f>
        <v>NO</v>
      </c>
      <c r="H374" s="2" t="str">
        <f>IFERROR(IF(MARÍTIMOS[[#This Row],[Razón Social]]="","",MARÍTIMOS[[#This Row],[Razón Social]]),"")</f>
        <v>MAERK LOGISTIC &amp; SERVICES PERU S.A</v>
      </c>
      <c r="I374" s="2">
        <f>IFERROR(IF(MARÍTIMOS[[#This Row],[RUC]]="","",MARÍTIMOS[[#This Row],[RUC]]),"")</f>
        <v>20107012011</v>
      </c>
      <c r="J374" s="2" t="str">
        <f>IFERROR(IF(MARÍTIMOS[[#This Row],[Placa Tracto]]="","",MARÍTIMOS[[#This Row],[Placa Tracto]]),"")</f>
        <v>BTF789</v>
      </c>
      <c r="K374" s="2" t="str">
        <f>IFERROR(IF(MARÍTIMOS[[#This Row],[Placa Carreta]]="","",MARÍTIMOS[[#This Row],[Placa Carreta]]),"")</f>
        <v>BDV995</v>
      </c>
      <c r="L374" s="44" t="str">
        <f>IFERROR(IF(MARÍTIMOS[[#This Row],[Conductor]]="","",MARÍTIMOS[[#This Row],[Conductor]]),"")</f>
        <v>JUAN GIL CARPIO</v>
      </c>
      <c r="M374" s="2" t="str">
        <f>IFERROR(IF(MARÍTIMOS[[#This Row],[Licencia]]="","",MARÍTIMOS[[#This Row],[Licencia]]),"")</f>
        <v>Q44292669</v>
      </c>
      <c r="N374" s="2" t="str">
        <f>IFERROR(IF(MARÍTIMOS[[#This Row],[Número de Contacto]]="","",MARÍTIMOS[[#This Row],[Número de Contacto]]),"")</f>
        <v xml:space="preserve">-  </v>
      </c>
      <c r="O374" s="10" t="str">
        <f>IFERROR(IF(MARÍTIMOS[[#This Row],[Booking|AWB|CRT]]="","",MARÍTIMOS[[#This Row],[Booking|AWB|CRT]]),"")</f>
        <v>275767030</v>
      </c>
      <c r="P374" s="2" t="str">
        <f>IFERROR(IF(MARÍTIMOS[[#This Row],[Contenedor]]="","",MARÍTIMOS[[#This Row],[Contenedor]]),"")</f>
        <v>MMAU1209290</v>
      </c>
      <c r="Q374" s="2" t="str">
        <f>IFERROR(IF(MARÍTIMOS[[#This Row],[Puerto de Retiro]]="","",MARÍTIMOS[[#This Row],[Puerto de Retiro]]),"")</f>
        <v>CALLAO</v>
      </c>
      <c r="R374" s="2" t="str">
        <f>IFERROR(IF(MARÍTIMOS[[#This Row],[Almacén de Retiro]]="","",MARÍTIMOS[[#This Row],[Almacén de Retiro]]),"")</f>
        <v>DEMARES</v>
      </c>
      <c r="S374" s="11">
        <f>IFERROR(IF(MARÍTIMOS[[#This Row],[Etapa Retiro - Cita]]="","",MARÍTIMOS[[#This Row],[Etapa Retiro - Cita]]),"")</f>
        <v>46252.583333333336</v>
      </c>
      <c r="T374" s="11">
        <f>IFERROR(IF(MARÍTIMOS[[#This Row],[Etapa Retiro - Llegada]]="","",MARÍTIMOS[[#This Row],[Etapa Retiro - Llegada]]),"")</f>
        <v>46252.640972222223</v>
      </c>
      <c r="U374" s="11">
        <f>IFERROR(IF(MARÍTIMOS[[#This Row],[Etapa Retiro - Ingreso]]="","",MARÍTIMOS[[#This Row],[Etapa Retiro - Ingreso]]),"")</f>
        <v>46252.71875</v>
      </c>
      <c r="V374" s="11">
        <f>IFERROR(IF(MARÍTIMOS[[#This Row],[Etapa Retiro - Atención]]="","",MARÍTIMOS[[#This Row],[Etapa Retiro - Atención]]),"")</f>
        <v>46252.802083333336</v>
      </c>
      <c r="W374" s="11">
        <f>IFERROR(IF(MARÍTIMOS[[#This Row],[Etapa Retiro - Atención]]="","",MARÍTIMOS[[#This Row],[Etapa Retiro - Atención]]),"")</f>
        <v>46252.802083333336</v>
      </c>
      <c r="X374" s="11">
        <f>IFERROR(IF(MARÍTIMOS[[#This Row],[Etapa Retiro - Inicio de Ruta]]="","",MARÍTIMOS[[#This Row],[Etapa Retiro - Inicio de Ruta]]),"")</f>
        <v>46252.833333333336</v>
      </c>
      <c r="Y374" s="11">
        <f>IFERROR(IF(MARÍTIMOS[[#This Row],[Hora de Posicionamiento]]="","",MARÍTIMOS[[#This Row],[Fecha de Carga]]+MARÍTIMOS[[#This Row],[Hora de Posicionamiento]]),"")</f>
        <v>46253.5</v>
      </c>
      <c r="Z374" s="11">
        <f>IFERROR(IF(MARÍTIMOS[[#This Row],[Etapa Despacho - Llegada]]="","",MARÍTIMOS[[#This Row],[Etapa Despacho - Llegada]]),"")</f>
        <v>46253.392361111109</v>
      </c>
      <c r="AA374" s="11">
        <f>IFERROR(IF(MARÍTIMOS[[#This Row],[Etapa Despacho - Registro]]="","",MARÍTIMOS[[#This Row],[Etapa Despacho - Registro]]),"")</f>
        <v>46253.444444444445</v>
      </c>
      <c r="AB374" s="11">
        <f>IFERROR(IF(MARÍTIMOS[[#This Row],[Inspección Externa]]="","",MARÍTIMOS[[#This Row],[Inspección Externa]]),"")</f>
        <v>46253.454861111109</v>
      </c>
      <c r="AC374" s="11">
        <f>IFERROR(IF(MARÍTIMOS[[#This Row],[Etapa Despacho - Inicio de Carga]]="","",MARÍTIMOS[[#This Row],[Etapa Despacho - Inicio de Carga]]),"")</f>
        <v>46253.479166666664</v>
      </c>
      <c r="AD374" s="11">
        <f>IFERROR(IF(MARÍTIMOS[[#This Row],[Etapa Despacho - Mitad de Carga]]="","",MARÍTIMOS[[#This Row],[Etapa Despacho - Mitad de Carga]]),"")</f>
        <v>46253.54791666667</v>
      </c>
      <c r="AE374" s="11">
        <f>IFERROR(IF(MARÍTIMOS[[#This Row],[Etapa Despacho - Fin de Carga]]="","",MARÍTIMOS[[#This Row],[Etapa Despacho - Fin de Carga]]),"")</f>
        <v>46253.616666666669</v>
      </c>
      <c r="AF374" s="2" t="str">
        <f>IFERROR(IF(MARÍTIMOS[[#This Row],[Puerto de Embarque]]="","",MARÍTIMOS[[#This Row],[Puerto de Embarque]]),"")</f>
        <v>CALLAO</v>
      </c>
      <c r="AG374" s="2" t="str">
        <f>IFERROR(IF(MARÍTIMOS[[#This Row],[Almacén de Ingreso]]="","",MARÍTIMOS[[#This Row],[Almacén de Ingreso]]),"")</f>
        <v>APM</v>
      </c>
      <c r="AH374" s="11">
        <f>IFERROR(IF(MARÍTIMOS[[#This Row],[Etapa Ingreso - Cita]]="","",MARÍTIMOS[[#This Row],[Etapa Ingreso - Cita]]),"")</f>
        <v>46254.25</v>
      </c>
      <c r="AI374" s="11">
        <f>IFERROR(IF(MARÍTIMOS[[#This Row],[Etapa Ingreso - Llegada]]="","",MARÍTIMOS[[#This Row],[Etapa Ingreso - Llegada]]),"")</f>
        <v>46254.125</v>
      </c>
      <c r="AJ374" s="11">
        <f>IFERROR(IF(MARÍTIMOS[[#This Row],[Etapa Ingreso - Ingeso]]="","",MARÍTIMOS[[#This Row],[Etapa Ingreso - Ingeso]]),"")</f>
        <v>46254.145138888889</v>
      </c>
      <c r="AK374" s="11">
        <f>IFERROR(IF(MARÍTIMOS[[#This Row],[Etapa Ingreso - Atención]]="","",MARÍTIMOS[[#This Row],[Etapa Ingreso - Atención]]),"")</f>
        <v>46254.322916666664</v>
      </c>
      <c r="AL374" s="11">
        <f>IFERROR(IF(MARÍTIMOS[[#This Row],[Etapa Ingreso - Salida]]="","",MARÍTIMOS[[#This Row],[Etapa Ingreso - Salida]]),"")</f>
        <v>46254.335416666669</v>
      </c>
      <c r="AM374" s="2">
        <f>IFERROR(IF(MARÍTIMOS[[#This Row],[FCL]]="","",MARÍTIMOS[[#This Row],[FCL]]),"")</f>
        <v>1</v>
      </c>
      <c r="AN3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4" s="4" t="str" cm="1">
        <f t="array" ref="AO3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374" s="5">
        <f>IFERROR(OLDBD[[#This Row],[Llegada a packing]]-OLDBD[[#This Row],[Inicio de Ruta]],"")</f>
        <v>0.55902777777373558</v>
      </c>
      <c r="AQ374" s="6">
        <f>IFERROR(OLDBD[[#This Row],[Inicio de Ruta]]-OLDBD[[#This Row],[Salida de almacén de retiro]],"")</f>
        <v>3.125E-2</v>
      </c>
      <c r="AR3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74" s="8" t="str" cm="1">
        <f t="array" ref="AS3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4" s="9">
        <f>IFERROR(OLDBD[[#This Row],[Ingreso Packing]]-OLDBD[[#This Row],[Registro en Packing]],"")</f>
        <v>1.0416666664241347E-2</v>
      </c>
      <c r="AV374" s="9">
        <f>IFERROR(OLDBD[[#This Row],[Ingreso Packing]]-OLDBD[[#This Row],[Llegada a packing]],"")</f>
        <v>6.25E-2</v>
      </c>
      <c r="AW3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74" s="5">
        <f>IFERROR(OLDBD[[#This Row],[Llegada Almacén de Ingreso]]-OLDBD[[#This Row],[Salida Packing]],"")</f>
        <v>0.50833333333139308</v>
      </c>
      <c r="AY374" s="4" t="str" cm="1">
        <f t="array" ref="AY3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3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74" s="43" t="s">
        <v>173</v>
      </c>
      <c r="BB374" s="47" t="str">
        <f>IFERROR(IF(MARÍTIMOS[[#This Row],[Estatus]]="","",MARÍTIMOS[[#This Row],[Estatus]]),"")</f>
        <v>Confirmado</v>
      </c>
      <c r="BC374" s="43"/>
      <c r="BD374" s="46">
        <f>IFERROR(OLDBD[[#This Row],[Salida de almacén de retiro]]-OLDBD[[#This Row],[Ingreso Almacén de retiro]],"")</f>
        <v>8.3333333335758653E-2</v>
      </c>
      <c r="BE374" s="46">
        <f>IFERROR(OLDBD[[#This Row],[Fin de Carga]]-OLDBD[[#This Row],[Inicio de Carga]],"")</f>
        <v>6.8750000005820766E-2</v>
      </c>
    </row>
    <row r="375" spans="1:57" customFormat="1" hidden="1">
      <c r="A375" s="1"/>
      <c r="B375" s="1">
        <f>IFERROR(IF(MARÍTIMOS[[#This Row],[PP]]="","",MARÍTIMOS[[#This Row],[PP]]),"")</f>
        <v>35</v>
      </c>
      <c r="C375" s="1" t="str">
        <f>IFERROR(IF(MARÍTIMOS[[#This Row],[Sede]]="","",MARÍTIMOS[[#This Row],[Sede]]),"")</f>
        <v>Chao</v>
      </c>
      <c r="D375" s="1" t="str">
        <f>IFERROR(IF(MARÍTIMOS[[#This Row],[Instruction]]="","",MARÍTIMOS[[#This Row],[Instruction]]),"")</f>
        <v>RH-0623</v>
      </c>
      <c r="E375" s="1"/>
      <c r="F375" s="2" t="str">
        <f>IFERROR(IF(MARÍTIMOS[[#This Row],[Transportista]]="","",MARÍTIMOS[[#This Row],[Transportista]]),"")</f>
        <v>Maersk</v>
      </c>
      <c r="G375" s="2" t="str">
        <f>IFERROR(IF(MARÍTIMOS[[#This Row],[Tercero]]="","",MARÍTIMOS[[#This Row],[Tercero]]),"")</f>
        <v>NO</v>
      </c>
      <c r="H375" s="2" t="str">
        <f>IFERROR(IF(MARÍTIMOS[[#This Row],[Razón Social]]="","",MARÍTIMOS[[#This Row],[Razón Social]]),"")</f>
        <v>MAERK LOGISTIC &amp; SERVICES PERU S.A</v>
      </c>
      <c r="I375" s="2">
        <f>IFERROR(IF(MARÍTIMOS[[#This Row],[RUC]]="","",MARÍTIMOS[[#This Row],[RUC]]),"")</f>
        <v>20107012011</v>
      </c>
      <c r="J375" s="2" t="str">
        <f>IFERROR(IF(MARÍTIMOS[[#This Row],[Placa Tracto]]="","",MARÍTIMOS[[#This Row],[Placa Tracto]]),"")</f>
        <v>BTG701</v>
      </c>
      <c r="K375" s="2" t="str">
        <f>IFERROR(IF(MARÍTIMOS[[#This Row],[Placa Carreta]]="","",MARÍTIMOS[[#This Row],[Placa Carreta]]),"")</f>
        <v>BEC979</v>
      </c>
      <c r="L375" s="44" t="str">
        <f>IFERROR(IF(MARÍTIMOS[[#This Row],[Conductor]]="","",MARÍTIMOS[[#This Row],[Conductor]]),"")</f>
        <v>HUAMANI MONTES JUANITO IRON/ PALOMINO CABRERA AMADEO JESUS</v>
      </c>
      <c r="M375" s="2" t="str">
        <f>IFERROR(IF(MARÍTIMOS[[#This Row],[Licencia]]="","",MARÍTIMOS[[#This Row],[Licencia]]),"")</f>
        <v>Q41649189/Q80105290</v>
      </c>
      <c r="N375" s="2" t="str">
        <f>IFERROR(IF(MARÍTIMOS[[#This Row],[Número de Contacto]]="","",MARÍTIMOS[[#This Row],[Número de Contacto]]),"")</f>
        <v xml:space="preserve">-  </v>
      </c>
      <c r="O375" s="10">
        <f>IFERROR(IF(MARÍTIMOS[[#This Row],[Booking|AWB|CRT]]="","",MARÍTIMOS[[#This Row],[Booking|AWB|CRT]]),"")</f>
        <v>751600048322</v>
      </c>
      <c r="P375" s="2" t="str">
        <f>IFERROR(IF(MARÍTIMOS[[#This Row],[Contenedor]]="","",MARÍTIMOS[[#This Row],[Contenedor]]),"")</f>
        <v>EMCU5569960</v>
      </c>
      <c r="Q375" s="2" t="str">
        <f>IFERROR(IF(MARÍTIMOS[[#This Row],[Puerto de Retiro]]="","",MARÍTIMOS[[#This Row],[Puerto de Retiro]]),"")</f>
        <v>CALLAO</v>
      </c>
      <c r="R375" s="2" t="str">
        <f>IFERROR(IF(MARÍTIMOS[[#This Row],[Almacén de Retiro]]="","",MARÍTIMOS[[#This Row],[Almacén de Retiro]]),"")</f>
        <v>IMUPESA</v>
      </c>
      <c r="S375" s="11">
        <f>IFERROR(IF(MARÍTIMOS[[#This Row],[Etapa Retiro - Cita]]="","",MARÍTIMOS[[#This Row],[Etapa Retiro - Cita]]),"")</f>
        <v>46262.583333333336</v>
      </c>
      <c r="T375" s="11">
        <f>IFERROR(IF(MARÍTIMOS[[#This Row],[Etapa Retiro - Llegada]]="","",MARÍTIMOS[[#This Row],[Etapa Retiro - Llegada]]),"")</f>
        <v>46262.582638888889</v>
      </c>
      <c r="U375" s="11">
        <f>IFERROR(IF(MARÍTIMOS[[#This Row],[Etapa Retiro - Ingreso]]="","",MARÍTIMOS[[#This Row],[Etapa Retiro - Ingreso]]),"")</f>
        <v>46262.61041666667</v>
      </c>
      <c r="V375" s="11">
        <f>IFERROR(IF(MARÍTIMOS[[#This Row],[Etapa Retiro - Atención]]="","",MARÍTIMOS[[#This Row],[Etapa Retiro - Atención]]),"")</f>
        <v>46262.763888888891</v>
      </c>
      <c r="W375" s="11">
        <f>IFERROR(IF(MARÍTIMOS[[#This Row],[Etapa Retiro - Atención]]="","",MARÍTIMOS[[#This Row],[Etapa Retiro - Atención]]),"")</f>
        <v>46262.763888888891</v>
      </c>
      <c r="X375" s="11">
        <f>IFERROR(IF(MARÍTIMOS[[#This Row],[Etapa Retiro - Inicio de Ruta]]="","",MARÍTIMOS[[#This Row],[Etapa Retiro - Inicio de Ruta]]),"")</f>
        <v>46262.825694444444</v>
      </c>
      <c r="Y375" s="11">
        <f>IFERROR(IF(MARÍTIMOS[[#This Row],[Hora de Posicionamiento]]="","",MARÍTIMOS[[#This Row],[Fecha de Carga]]+MARÍTIMOS[[#This Row],[Hora de Posicionamiento]]),"")</f>
        <v>46263.583333333336</v>
      </c>
      <c r="Z375" s="11">
        <f>IFERROR(IF(MARÍTIMOS[[#This Row],[Etapa Despacho - Llegada]]="","",MARÍTIMOS[[#This Row],[Etapa Despacho - Llegada]]),"")</f>
        <v>46263.317361111112</v>
      </c>
      <c r="AA375" s="11">
        <f>IFERROR(IF(MARÍTIMOS[[#This Row],[Etapa Despacho - Registro]]="","",MARÍTIMOS[[#This Row],[Etapa Despacho - Registro]]),"")</f>
        <v>46263.369444444441</v>
      </c>
      <c r="AB375" s="11">
        <f>IFERROR(IF(MARÍTIMOS[[#This Row],[Inspección Externa]]="","",MARÍTIMOS[[#This Row],[Inspección Externa]]),"")</f>
        <v>46263.380555555559</v>
      </c>
      <c r="AC375" s="11">
        <f>IFERROR(IF(MARÍTIMOS[[#This Row],[Etapa Despacho - Inicio de Carga]]="","",MARÍTIMOS[[#This Row],[Etapa Despacho - Inicio de Carga]]),"")</f>
        <v>46263.416666666664</v>
      </c>
      <c r="AD375" s="11">
        <f>IFERROR(IF(MARÍTIMOS[[#This Row],[Etapa Despacho - Mitad de Carga]]="","",MARÍTIMOS[[#This Row],[Etapa Despacho - Mitad de Carga]]),"")</f>
        <v>46263.517361111109</v>
      </c>
      <c r="AE375" s="11">
        <f>IFERROR(IF(MARÍTIMOS[[#This Row],[Etapa Despacho - Fin de Carga]]="","",MARÍTIMOS[[#This Row],[Etapa Despacho - Fin de Carga]]),"")</f>
        <v>46263.618055555555</v>
      </c>
      <c r="AF375" s="2" t="str">
        <f>IFERROR(IF(MARÍTIMOS[[#This Row],[Puerto de Embarque]]="","",MARÍTIMOS[[#This Row],[Puerto de Embarque]]),"")</f>
        <v>CALLAO</v>
      </c>
      <c r="AG375" s="2" t="str">
        <f>IFERROR(IF(MARÍTIMOS[[#This Row],[Almacén de Ingreso]]="","",MARÍTIMOS[[#This Row],[Almacén de Ingreso]]),"")</f>
        <v>DPW</v>
      </c>
      <c r="AH375" s="11">
        <f>IFERROR(IF(MARÍTIMOS[[#This Row],[Etapa Ingreso - Cita]]="","",MARÍTIMOS[[#This Row],[Etapa Ingreso - Cita]]),"")</f>
        <v>46264.333333333336</v>
      </c>
      <c r="AI375" s="11">
        <f>IFERROR(IF(MARÍTIMOS[[#This Row],[Etapa Ingreso - Llegada]]="","",MARÍTIMOS[[#This Row],[Etapa Ingreso - Llegada]]),"")</f>
        <v>46264.243055555555</v>
      </c>
      <c r="AJ375" s="11">
        <f>IFERROR(IF(MARÍTIMOS[[#This Row],[Etapa Ingreso - Ingeso]]="","",MARÍTIMOS[[#This Row],[Etapa Ingreso - Ingeso]]),"")</f>
        <v>46264.263888888891</v>
      </c>
      <c r="AK375" s="11">
        <f>IFERROR(IF(MARÍTIMOS[[#This Row],[Etapa Ingreso - Atención]]="","",MARÍTIMOS[[#This Row],[Etapa Ingreso - Atención]]),"")</f>
        <v>46264.270833333336</v>
      </c>
      <c r="AL375" s="11">
        <f>IFERROR(IF(MARÍTIMOS[[#This Row],[Etapa Ingreso - Salida]]="","",MARÍTIMOS[[#This Row],[Etapa Ingreso - Salida]]),"")</f>
        <v>46264.277083333334</v>
      </c>
      <c r="AM375" s="2">
        <f>IFERROR(IF(MARÍTIMOS[[#This Row],[FCL]]="","",MARÍTIMOS[[#This Row],[FCL]]),"")</f>
        <v>1</v>
      </c>
      <c r="AN3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5" s="4" t="str" cm="1">
        <f t="array" ref="AO3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375" s="5">
        <f>IFERROR(OLDBD[[#This Row],[Llegada a packing]]-OLDBD[[#This Row],[Inicio de Ruta]],"")</f>
        <v>0.49166666666860692</v>
      </c>
      <c r="AQ375" s="6">
        <f>IFERROR(OLDBD[[#This Row],[Inicio de Ruta]]-OLDBD[[#This Row],[Salida de almacén de retiro]],"")</f>
        <v>6.1805555553291924E-2</v>
      </c>
      <c r="AR3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75" s="8" t="str" cm="1">
        <f t="array" ref="AS3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5" s="9">
        <f>IFERROR(OLDBD[[#This Row],[Ingreso Packing]]-OLDBD[[#This Row],[Registro en Packing]],"")</f>
        <v>1.1111111118225381E-2</v>
      </c>
      <c r="AV375" s="9">
        <f>IFERROR(OLDBD[[#This Row],[Ingreso Packing]]-OLDBD[[#This Row],[Llegada a packing]],"")</f>
        <v>6.3194444446708076E-2</v>
      </c>
      <c r="AW3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75" s="5">
        <f>IFERROR(OLDBD[[#This Row],[Llegada Almacén de Ingreso]]-OLDBD[[#This Row],[Salida Packing]],"")</f>
        <v>0.625</v>
      </c>
      <c r="AY375" s="4" t="str" cm="1">
        <f t="array" ref="AY3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75" s="43" t="s">
        <v>173</v>
      </c>
      <c r="BB375" s="47" t="str">
        <f>IFERROR(IF(MARÍTIMOS[[#This Row],[Estatus]]="","",MARÍTIMOS[[#This Row],[Estatus]]),"")</f>
        <v>Confirmado</v>
      </c>
      <c r="BC375" s="43"/>
      <c r="BD375" s="46">
        <f>IFERROR(OLDBD[[#This Row],[Salida de almacén de retiro]]-OLDBD[[#This Row],[Ingreso Almacén de retiro]],"")</f>
        <v>0.15347222222044365</v>
      </c>
      <c r="BE375" s="46">
        <f>IFERROR(OLDBD[[#This Row],[Fin de Carga]]-OLDBD[[#This Row],[Inicio de Carga]],"")</f>
        <v>0.10069444444525288</v>
      </c>
    </row>
    <row r="376" spans="1:57" customFormat="1" hidden="1">
      <c r="A376" s="1"/>
      <c r="B376" s="1">
        <f>IFERROR(IF(MARÍTIMOS[[#This Row],[PP]]="","",MARÍTIMOS[[#This Row],[PP]]),"")</f>
        <v>35</v>
      </c>
      <c r="C376" s="1" t="str">
        <f>IFERROR(IF(MARÍTIMOS[[#This Row],[Sede]]="","",MARÍTIMOS[[#This Row],[Sede]]),"")</f>
        <v>Chao</v>
      </c>
      <c r="D376" s="1" t="str">
        <f>IFERROR(IF(MARÍTIMOS[[#This Row],[Instruction]]="","",MARÍTIMOS[[#This Row],[Instruction]]),"")</f>
        <v>RH-0628</v>
      </c>
      <c r="E376" s="1"/>
      <c r="F376" s="2" t="str">
        <f>IFERROR(IF(MARÍTIMOS[[#This Row],[Transportista]]="","",MARÍTIMOS[[#This Row],[Transportista]]),"")</f>
        <v>Maersk</v>
      </c>
      <c r="G376" s="2" t="str">
        <f>IFERROR(IF(MARÍTIMOS[[#This Row],[Tercero]]="","",MARÍTIMOS[[#This Row],[Tercero]]),"")</f>
        <v>NO</v>
      </c>
      <c r="H376" s="2" t="str">
        <f>IFERROR(IF(MARÍTIMOS[[#This Row],[Razón Social]]="","",MARÍTIMOS[[#This Row],[Razón Social]]),"")</f>
        <v>MAERK LOGISTIC &amp; SERVICES PERU S.A</v>
      </c>
      <c r="I376" s="2">
        <f>IFERROR(IF(MARÍTIMOS[[#This Row],[RUC]]="","",MARÍTIMOS[[#This Row],[RUC]]),"")</f>
        <v>20107012011</v>
      </c>
      <c r="J376" s="2" t="str">
        <f>IFERROR(IF(MARÍTIMOS[[#This Row],[Placa Tracto]]="","",MARÍTIMOS[[#This Row],[Placa Tracto]]),"")</f>
        <v>BTM764</v>
      </c>
      <c r="K376" s="2" t="str">
        <f>IFERROR(IF(MARÍTIMOS[[#This Row],[Placa Carreta]]="","",MARÍTIMOS[[#This Row],[Placa Carreta]]),"")</f>
        <v>D0C973</v>
      </c>
      <c r="L376" s="44" t="str">
        <f>IFERROR(IF(MARÍTIMOS[[#This Row],[Conductor]]="","",MARÍTIMOS[[#This Row],[Conductor]]),"")</f>
        <v>HELMER CIRILO HUAMANI HUAMANI/ EDWIN FRANKLIN VILLEGAS BURGOS</v>
      </c>
      <c r="M376" s="2" t="str">
        <f>IFERROR(IF(MARÍTIMOS[[#This Row],[Licencia]]="","",MARÍTIMOS[[#This Row],[Licencia]]),"")</f>
        <v>Q44302459/Q70863668</v>
      </c>
      <c r="N376" s="2" t="str">
        <f>IFERROR(IF(MARÍTIMOS[[#This Row],[Número de Contacto]]="","",MARÍTIMOS[[#This Row],[Número de Contacto]]),"")</f>
        <v xml:space="preserve">-  </v>
      </c>
      <c r="O376" s="10">
        <f>IFERROR(IF(MARÍTIMOS[[#This Row],[Booking|AWB|CRT]]="","",MARÍTIMOS[[#This Row],[Booking|AWB|CRT]]),"")</f>
        <v>751600048276</v>
      </c>
      <c r="P376" s="2" t="str">
        <f>IFERROR(IF(MARÍTIMOS[[#This Row],[Contenedor]]="","",MARÍTIMOS[[#This Row],[Contenedor]]),"")</f>
        <v>EMCU5931934</v>
      </c>
      <c r="Q376" s="2" t="str">
        <f>IFERROR(IF(MARÍTIMOS[[#This Row],[Puerto de Retiro]]="","",MARÍTIMOS[[#This Row],[Puerto de Retiro]]),"")</f>
        <v>CALLAO</v>
      </c>
      <c r="R376" s="2" t="str">
        <f>IFERROR(IF(MARÍTIMOS[[#This Row],[Almacén de Retiro]]="","",MARÍTIMOS[[#This Row],[Almacén de Retiro]]),"")</f>
        <v>IMUPESA</v>
      </c>
      <c r="S376" s="11">
        <f>IFERROR(IF(MARÍTIMOS[[#This Row],[Etapa Retiro - Cita]]="","",MARÍTIMOS[[#This Row],[Etapa Retiro - Cita]]),"")</f>
        <v>46262.583333333336</v>
      </c>
      <c r="T376" s="11">
        <f>IFERROR(IF(MARÍTIMOS[[#This Row],[Etapa Retiro - Llegada]]="","",MARÍTIMOS[[#This Row],[Etapa Retiro - Llegada]]),"")</f>
        <v>46262.611111111109</v>
      </c>
      <c r="U376" s="11">
        <f>IFERROR(IF(MARÍTIMOS[[#This Row],[Etapa Retiro - Ingreso]]="","",MARÍTIMOS[[#This Row],[Etapa Retiro - Ingreso]]),"")</f>
        <v>46262.70416666667</v>
      </c>
      <c r="V376" s="11">
        <f>IFERROR(IF(MARÍTIMOS[[#This Row],[Etapa Retiro - Atención]]="","",MARÍTIMOS[[#This Row],[Etapa Retiro - Atención]]),"")</f>
        <v>46262.797222222223</v>
      </c>
      <c r="W376" s="11">
        <f>IFERROR(IF(MARÍTIMOS[[#This Row],[Etapa Retiro - Atención]]="","",MARÍTIMOS[[#This Row],[Etapa Retiro - Atención]]),"")</f>
        <v>46262.797222222223</v>
      </c>
      <c r="X376" s="11">
        <f>IFERROR(IF(MARÍTIMOS[[#This Row],[Etapa Retiro - Inicio de Ruta]]="","",MARÍTIMOS[[#This Row],[Etapa Retiro - Inicio de Ruta]]),"")</f>
        <v>46262.901388888888</v>
      </c>
      <c r="Y376" s="11">
        <f>IFERROR(IF(MARÍTIMOS[[#This Row],[Hora de Posicionamiento]]="","",MARÍTIMOS[[#This Row],[Fecha de Carga]]+MARÍTIMOS[[#This Row],[Hora de Posicionamiento]]),"")</f>
        <v>46263.666666666664</v>
      </c>
      <c r="Z376" s="11">
        <f>IFERROR(IF(MARÍTIMOS[[#This Row],[Etapa Despacho - Llegada]]="","",MARÍTIMOS[[#This Row],[Etapa Despacho - Llegada]]),"")</f>
        <v>46263.304861111108</v>
      </c>
      <c r="AA376" s="11">
        <f>IFERROR(IF(MARÍTIMOS[[#This Row],[Etapa Despacho - Registro]]="","",MARÍTIMOS[[#This Row],[Etapa Despacho - Registro]]),"")</f>
        <v>46263.429166666669</v>
      </c>
      <c r="AB376" s="11">
        <f>IFERROR(IF(MARÍTIMOS[[#This Row],[Inspección Externa]]="","",MARÍTIMOS[[#This Row],[Inspección Externa]]),"")</f>
        <v>46263.4375</v>
      </c>
      <c r="AC376" s="11">
        <f>IFERROR(IF(MARÍTIMOS[[#This Row],[Etapa Despacho - Inicio de Carga]]="","",MARÍTIMOS[[#This Row],[Etapa Despacho - Inicio de Carga]]),"")</f>
        <v>46263.464583333334</v>
      </c>
      <c r="AD376" s="11">
        <f>IFERROR(IF(MARÍTIMOS[[#This Row],[Etapa Despacho - Mitad de Carga]]="","",MARÍTIMOS[[#This Row],[Etapa Despacho - Mitad de Carga]]),"")</f>
        <v>46263.54583333333</v>
      </c>
      <c r="AE376" s="11">
        <f>IFERROR(IF(MARÍTIMOS[[#This Row],[Etapa Despacho - Fin de Carga]]="","",MARÍTIMOS[[#This Row],[Etapa Despacho - Fin de Carga]]),"")</f>
        <v>46263.62777777778</v>
      </c>
      <c r="AF376" s="2" t="str">
        <f>IFERROR(IF(MARÍTIMOS[[#This Row],[Puerto de Embarque]]="","",MARÍTIMOS[[#This Row],[Puerto de Embarque]]),"")</f>
        <v>CALLAO</v>
      </c>
      <c r="AG376" s="2" t="str">
        <f>IFERROR(IF(MARÍTIMOS[[#This Row],[Almacén de Ingreso]]="","",MARÍTIMOS[[#This Row],[Almacén de Ingreso]]),"")</f>
        <v>DPW</v>
      </c>
      <c r="AH376" s="11">
        <f>IFERROR(IF(MARÍTIMOS[[#This Row],[Etapa Ingreso - Cita]]="","",MARÍTIMOS[[#This Row],[Etapa Ingreso - Cita]]),"")</f>
        <v>46264.208333333336</v>
      </c>
      <c r="AI376" s="11">
        <f>IFERROR(IF(MARÍTIMOS[[#This Row],[Etapa Ingreso - Llegada]]="","",MARÍTIMOS[[#This Row],[Etapa Ingreso - Llegada]]),"")</f>
        <v>46264.118055555555</v>
      </c>
      <c r="AJ376" s="11">
        <f>IFERROR(IF(MARÍTIMOS[[#This Row],[Etapa Ingreso - Ingeso]]="","",MARÍTIMOS[[#This Row],[Etapa Ingreso - Ingeso]]),"")</f>
        <v>46264.131944444445</v>
      </c>
      <c r="AK376" s="11">
        <f>IFERROR(IF(MARÍTIMOS[[#This Row],[Etapa Ingreso - Atención]]="","",MARÍTIMOS[[#This Row],[Etapa Ingreso - Atención]]),"")</f>
        <v>46264.145833333336</v>
      </c>
      <c r="AL376" s="11">
        <f>IFERROR(IF(MARÍTIMOS[[#This Row],[Etapa Ingreso - Salida]]="","",MARÍTIMOS[[#This Row],[Etapa Ingreso - Salida]]),"")</f>
        <v>46264.15347222222</v>
      </c>
      <c r="AM376" s="2">
        <f>IFERROR(IF(MARÍTIMOS[[#This Row],[FCL]]="","",MARÍTIMOS[[#This Row],[FCL]]),"")</f>
        <v>1</v>
      </c>
      <c r="AN3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6" s="4" t="str" cm="1">
        <f t="array" ref="AO3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376" s="5">
        <f>IFERROR(OLDBD[[#This Row],[Llegada a packing]]-OLDBD[[#This Row],[Inicio de Ruta]],"")</f>
        <v>0.40347222222044365</v>
      </c>
      <c r="AQ376" s="6">
        <f>IFERROR(OLDBD[[#This Row],[Inicio de Ruta]]-OLDBD[[#This Row],[Salida de almacén de retiro]],"")</f>
        <v>0.10416666666424135</v>
      </c>
      <c r="AR3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76" s="8" t="str" cm="1">
        <f t="array" ref="AS3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6" s="9">
        <f>IFERROR(OLDBD[[#This Row],[Ingreso Packing]]-OLDBD[[#This Row],[Registro en Packing]],"")</f>
        <v>8.333333331393078E-3</v>
      </c>
      <c r="AV376" s="9">
        <f>IFERROR(OLDBD[[#This Row],[Ingreso Packing]]-OLDBD[[#This Row],[Llegada a packing]],"")</f>
        <v>0.13263888889196096</v>
      </c>
      <c r="AW3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76" s="5">
        <f>IFERROR(OLDBD[[#This Row],[Llegada Almacén de Ingreso]]-OLDBD[[#This Row],[Salida Packing]],"")</f>
        <v>0.49027777777519077</v>
      </c>
      <c r="AY376" s="4" t="str" cm="1">
        <f t="array" ref="AY3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76" s="43" t="s">
        <v>173</v>
      </c>
      <c r="BB376" s="47" t="str">
        <f>IFERROR(IF(MARÍTIMOS[[#This Row],[Estatus]]="","",MARÍTIMOS[[#This Row],[Estatus]]),"")</f>
        <v>Confirmado</v>
      </c>
      <c r="BC376" s="43"/>
      <c r="BD376" s="46">
        <f>IFERROR(OLDBD[[#This Row],[Salida de almacén de retiro]]-OLDBD[[#This Row],[Ingreso Almacén de retiro]],"")</f>
        <v>9.3055555553291924E-2</v>
      </c>
      <c r="BE376" s="46">
        <f>IFERROR(OLDBD[[#This Row],[Fin de Carga]]-OLDBD[[#This Row],[Inicio de Carga]],"")</f>
        <v>8.1249999995634425E-2</v>
      </c>
    </row>
    <row r="377" spans="1:57" customFormat="1" hidden="1">
      <c r="A377" s="1"/>
      <c r="B377" s="1">
        <f>IFERROR(IF(MARÍTIMOS[[#This Row],[PP]]="","",MARÍTIMOS[[#This Row],[PP]]),"")</f>
        <v>35</v>
      </c>
      <c r="C377" s="1" t="str">
        <f>IFERROR(IF(MARÍTIMOS[[#This Row],[Sede]]="","",MARÍTIMOS[[#This Row],[Sede]]),"")</f>
        <v>Chao</v>
      </c>
      <c r="D377" s="1" t="str">
        <f>IFERROR(IF(MARÍTIMOS[[#This Row],[Instruction]]="","",MARÍTIMOS[[#This Row],[Instruction]]),"")</f>
        <v>RH-0624</v>
      </c>
      <c r="E377" s="1"/>
      <c r="F377" s="2" t="str">
        <f>IFERROR(IF(MARÍTIMOS[[#This Row],[Transportista]]="","",MARÍTIMOS[[#This Row],[Transportista]]),"")</f>
        <v>Maersk</v>
      </c>
      <c r="G377" s="2" t="str">
        <f>IFERROR(IF(MARÍTIMOS[[#This Row],[Tercero]]="","",MARÍTIMOS[[#This Row],[Tercero]]),"")</f>
        <v>SI</v>
      </c>
      <c r="H377" s="2" t="str">
        <f>IFERROR(IF(MARÍTIMOS[[#This Row],[Razón Social]]="","",MARÍTIMOS[[#This Row],[Razón Social]]),"")</f>
        <v>SERVICIOS INTEGRALES METALURGICOS JAIRO E.I.R.L.</v>
      </c>
      <c r="I377" s="2">
        <f>IFERROR(IF(MARÍTIMOS[[#This Row],[RUC]]="","",MARÍTIMOS[[#This Row],[RUC]]),"")</f>
        <v>20602069550</v>
      </c>
      <c r="J377" s="2" t="str">
        <f>IFERROR(IF(MARÍTIMOS[[#This Row],[Placa Tracto]]="","",MARÍTIMOS[[#This Row],[Placa Tracto]]),"")</f>
        <v>TCH919</v>
      </c>
      <c r="K377" s="2" t="str">
        <f>IFERROR(IF(MARÍTIMOS[[#This Row],[Placa Carreta]]="","",MARÍTIMOS[[#This Row],[Placa Carreta]]),"")</f>
        <v>TKQ-971</v>
      </c>
      <c r="L377" s="44" t="str">
        <f>IFERROR(IF(MARÍTIMOS[[#This Row],[Conductor]]="","",MARÍTIMOS[[#This Row],[Conductor]]),"")</f>
        <v>DASAET DEL VALLE SÁNCHEZ OSORIO</v>
      </c>
      <c r="M377" s="2" t="str">
        <f>IFERROR(IF(MARÍTIMOS[[#This Row],[Licencia]]="","",MARÍTIMOS[[#This Row],[Licencia]]),"")</f>
        <v>Q003859023</v>
      </c>
      <c r="N377" s="2" t="str">
        <f>IFERROR(IF(MARÍTIMOS[[#This Row],[Número de Contacto]]="","",MARÍTIMOS[[#This Row],[Número de Contacto]]),"")</f>
        <v xml:space="preserve">-  </v>
      </c>
      <c r="O377" s="10">
        <f>IFERROR(IF(MARÍTIMOS[[#This Row],[Booking|AWB|CRT]]="","",MARÍTIMOS[[#This Row],[Booking|AWB|CRT]]),"")</f>
        <v>751600048331</v>
      </c>
      <c r="P377" s="2" t="str">
        <f>IFERROR(IF(MARÍTIMOS[[#This Row],[Contenedor]]="","",MARÍTIMOS[[#This Row],[Contenedor]]),"")</f>
        <v>EMCU5503387</v>
      </c>
      <c r="Q377" s="2" t="str">
        <f>IFERROR(IF(MARÍTIMOS[[#This Row],[Puerto de Retiro]]="","",MARÍTIMOS[[#This Row],[Puerto de Retiro]]),"")</f>
        <v>CALLAO</v>
      </c>
      <c r="R377" s="2" t="str">
        <f>IFERROR(IF(MARÍTIMOS[[#This Row],[Almacén de Retiro]]="","",MARÍTIMOS[[#This Row],[Almacén de Retiro]]),"")</f>
        <v>IMUPESA</v>
      </c>
      <c r="S377" s="11">
        <f>IFERROR(IF(MARÍTIMOS[[#This Row],[Etapa Retiro - Cita]]="","",MARÍTIMOS[[#This Row],[Etapa Retiro - Cita]]),"")</f>
        <v>46263.541666666664</v>
      </c>
      <c r="T377" s="11">
        <f>IFERROR(IF(MARÍTIMOS[[#This Row],[Etapa Retiro - Llegada]]="","",MARÍTIMOS[[#This Row],[Etapa Retiro - Llegada]]),"")</f>
        <v>46263.625</v>
      </c>
      <c r="U377" s="11">
        <f>IFERROR(IF(MARÍTIMOS[[#This Row],[Etapa Retiro - Ingreso]]="","",MARÍTIMOS[[#This Row],[Etapa Retiro - Ingreso]]),"")</f>
        <v>46263.632638888892</v>
      </c>
      <c r="V377" s="11">
        <f>IFERROR(IF(MARÍTIMOS[[#This Row],[Etapa Retiro - Atención]]="","",MARÍTIMOS[[#This Row],[Etapa Retiro - Atención]]),"")</f>
        <v>46263.694444444445</v>
      </c>
      <c r="W377" s="11">
        <f>IFERROR(IF(MARÍTIMOS[[#This Row],[Etapa Retiro - Atención]]="","",MARÍTIMOS[[#This Row],[Etapa Retiro - Atención]]),"")</f>
        <v>46263.694444444445</v>
      </c>
      <c r="X377" s="11">
        <f>IFERROR(IF(MARÍTIMOS[[#This Row],[Etapa Retiro - Inicio de Ruta]]="","",MARÍTIMOS[[#This Row],[Etapa Retiro - Inicio de Ruta]]),"")</f>
        <v>46263.746527777781</v>
      </c>
      <c r="Y377" s="11">
        <f>IFERROR(IF(MARÍTIMOS[[#This Row],[Hora de Posicionamiento]]="","",MARÍTIMOS[[#This Row],[Fecha de Carga]]+MARÍTIMOS[[#This Row],[Hora de Posicionamiento]]),"")</f>
        <v>46264.5</v>
      </c>
      <c r="Z377" s="11">
        <f>IFERROR(IF(MARÍTIMOS[[#This Row],[Etapa Despacho - Llegada]]="","",MARÍTIMOS[[#This Row],[Etapa Despacho - Llegada]]),"")</f>
        <v>46264.100694444445</v>
      </c>
      <c r="AA377" s="11">
        <f>IFERROR(IF(MARÍTIMOS[[#This Row],[Etapa Despacho - Registro]]="","",MARÍTIMOS[[#This Row],[Etapa Despacho - Registro]]),"")</f>
        <v>46264.583333333336</v>
      </c>
      <c r="AB377" s="11">
        <f>IFERROR(IF(MARÍTIMOS[[#This Row],[Inspección Externa]]="","",MARÍTIMOS[[#This Row],[Inspección Externa]]),"")</f>
        <v>46264.594444444447</v>
      </c>
      <c r="AC377" s="11">
        <f>IFERROR(IF(MARÍTIMOS[[#This Row],[Etapa Despacho - Inicio de Carga]]="","",MARÍTIMOS[[#This Row],[Etapa Despacho - Inicio de Carga]]),"")</f>
        <v>46264.614583333336</v>
      </c>
      <c r="AD377" s="11">
        <f>IFERROR(IF(MARÍTIMOS[[#This Row],[Etapa Despacho - Mitad de Carga]]="","",MARÍTIMOS[[#This Row],[Etapa Despacho - Mitad de Carga]]),"")</f>
        <v>46264.702777777777</v>
      </c>
      <c r="AE377" s="11">
        <f>IFERROR(IF(MARÍTIMOS[[#This Row],[Etapa Despacho - Fin de Carga]]="","",MARÍTIMOS[[#This Row],[Etapa Despacho - Fin de Carga]]),"")</f>
        <v>46264.790972222225</v>
      </c>
      <c r="AF377" s="2" t="str">
        <f>IFERROR(IF(MARÍTIMOS[[#This Row],[Puerto de Embarque]]="","",MARÍTIMOS[[#This Row],[Puerto de Embarque]]),"")</f>
        <v>CALLAO</v>
      </c>
      <c r="AG377" s="2" t="str">
        <f>IFERROR(IF(MARÍTIMOS[[#This Row],[Almacén de Ingreso]]="","",MARÍTIMOS[[#This Row],[Almacén de Ingreso]]),"")</f>
        <v>DPW</v>
      </c>
      <c r="AH377" s="11">
        <f>IFERROR(IF(MARÍTIMOS[[#This Row],[Etapa Ingreso - Cita]]="","",MARÍTIMOS[[#This Row],[Etapa Ingreso - Cita]]),"")</f>
        <v>46265.333333333336</v>
      </c>
      <c r="AI377" s="11">
        <f>IFERROR(IF(MARÍTIMOS[[#This Row],[Etapa Ingreso - Llegada]]="","",MARÍTIMOS[[#This Row],[Etapa Ingreso - Llegada]]),"")</f>
        <v>46265.170138888891</v>
      </c>
      <c r="AJ377" s="11">
        <f>IFERROR(IF(MARÍTIMOS[[#This Row],[Etapa Ingreso - Ingeso]]="","",MARÍTIMOS[[#This Row],[Etapa Ingreso - Ingeso]]),"")</f>
        <v>46265.310416666667</v>
      </c>
      <c r="AK377" s="11">
        <f>IFERROR(IF(MARÍTIMOS[[#This Row],[Etapa Ingreso - Atención]]="","",MARÍTIMOS[[#This Row],[Etapa Ingreso - Atención]]),"")</f>
        <v>46265.324999999997</v>
      </c>
      <c r="AL377" s="11">
        <f>IFERROR(IF(MARÍTIMOS[[#This Row],[Etapa Ingreso - Salida]]="","",MARÍTIMOS[[#This Row],[Etapa Ingreso - Salida]]),"")</f>
        <v>46265.334027777775</v>
      </c>
      <c r="AM377" s="2">
        <f>IFERROR(IF(MARÍTIMOS[[#This Row],[FCL]]="","",MARÍTIMOS[[#This Row],[FCL]]),"")</f>
        <v>1</v>
      </c>
      <c r="AN3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7" s="4" t="str" cm="1">
        <f t="array" ref="AO3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77" s="5">
        <f>IFERROR(OLDBD[[#This Row],[Llegada a packing]]-OLDBD[[#This Row],[Inicio de Ruta]],"")</f>
        <v>0.35416666666424135</v>
      </c>
      <c r="AQ377" s="6">
        <f>IFERROR(OLDBD[[#This Row],[Inicio de Ruta]]-OLDBD[[#This Row],[Salida de almacén de retiro]],"")</f>
        <v>5.2083333335758653E-2</v>
      </c>
      <c r="AR3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77" s="8" t="str" cm="1">
        <f t="array" ref="AS3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77" s="9">
        <f>IFERROR(OLDBD[[#This Row],[Ingreso Packing]]-OLDBD[[#This Row],[Registro en Packing]],"")</f>
        <v>1.1111111110949423E-2</v>
      </c>
      <c r="AV377" s="9">
        <f>IFERROR(OLDBD[[#This Row],[Ingreso Packing]]-OLDBD[[#This Row],[Llegada a packing]],"")</f>
        <v>0.49375000000145519</v>
      </c>
      <c r="AW3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77" s="5">
        <f>IFERROR(OLDBD[[#This Row],[Llegada Almacén de Ingreso]]-OLDBD[[#This Row],[Salida Packing]],"")</f>
        <v>0.37916666666569654</v>
      </c>
      <c r="AY377" s="4" t="str" cm="1">
        <f t="array" ref="AY3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77" s="43" t="s">
        <v>173</v>
      </c>
      <c r="BB377" s="47" t="str">
        <f>IFERROR(IF(MARÍTIMOS[[#This Row],[Estatus]]="","",MARÍTIMOS[[#This Row],[Estatus]]),"")</f>
        <v>Confirmado</v>
      </c>
      <c r="BC377" s="43"/>
      <c r="BD377" s="46">
        <f>IFERROR(OLDBD[[#This Row],[Salida de almacén de retiro]]-OLDBD[[#This Row],[Ingreso Almacén de retiro]],"")</f>
        <v>6.1805555553291924E-2</v>
      </c>
      <c r="BE377" s="46">
        <f>IFERROR(OLDBD[[#This Row],[Fin de Carga]]-OLDBD[[#This Row],[Inicio de Carga]],"")</f>
        <v>8.819444444088731E-2</v>
      </c>
    </row>
    <row r="378" spans="1:57" customFormat="1" hidden="1">
      <c r="A378" s="1"/>
      <c r="B378" s="1">
        <f>IFERROR(IF(MARÍTIMOS[[#This Row],[PP]]="","",MARÍTIMOS[[#This Row],[PP]]),"")</f>
        <v>36</v>
      </c>
      <c r="C378" s="1" t="str">
        <f>IFERROR(IF(MARÍTIMOS[[#This Row],[Sede]]="","",MARÍTIMOS[[#This Row],[Sede]]),"")</f>
        <v>Chao</v>
      </c>
      <c r="D378" s="1" t="str">
        <f>IFERROR(IF(MARÍTIMOS[[#This Row],[Instruction]]="","",MARÍTIMOS[[#This Row],[Instruction]]),"")</f>
        <v>RH-0661</v>
      </c>
      <c r="E378" s="1"/>
      <c r="F378" s="2" t="str">
        <f>IFERROR(IF(MARÍTIMOS[[#This Row],[Transportista]]="","",MARÍTIMOS[[#This Row],[Transportista]]),"")</f>
        <v>Maersk</v>
      </c>
      <c r="G378" s="2" t="str">
        <f>IFERROR(IF(MARÍTIMOS[[#This Row],[Tercero]]="","",MARÍTIMOS[[#This Row],[Tercero]]),"")</f>
        <v>NO</v>
      </c>
      <c r="H378" s="2" t="str">
        <f>IFERROR(IF(MARÍTIMOS[[#This Row],[Razón Social]]="","",MARÍTIMOS[[#This Row],[Razón Social]]),"")</f>
        <v>MAERSK LOGISTICS &amp; SERVICES PERU S.A.</v>
      </c>
      <c r="I378" s="2">
        <f>IFERROR(IF(MARÍTIMOS[[#This Row],[RUC]]="","",MARÍTIMOS[[#This Row],[RUC]]),"")</f>
        <v>20107012011</v>
      </c>
      <c r="J378" s="2" t="str">
        <f>IFERROR(IF(MARÍTIMOS[[#This Row],[Placa Tracto]]="","",MARÍTIMOS[[#This Row],[Placa Tracto]]),"")</f>
        <v>APC754</v>
      </c>
      <c r="K378" s="2" t="str">
        <f>IFERROR(IF(MARÍTIMOS[[#This Row],[Placa Carreta]]="","",MARÍTIMOS[[#This Row],[Placa Carreta]]),"")</f>
        <v>BEC971</v>
      </c>
      <c r="L378" s="44" t="str">
        <f>IFERROR(IF(MARÍTIMOS[[#This Row],[Conductor]]="","",MARÍTIMOS[[#This Row],[Conductor]]),"")</f>
        <v>EVER CINDOLFO CRUZ TELLO/NEPTALI RIDER VILLARREAL OSTOS</v>
      </c>
      <c r="M378" s="2" t="str">
        <f>IFERROR(IF(MARÍTIMOS[[#This Row],[Licencia]]="","",MARÍTIMOS[[#This Row],[Licencia]]),"")</f>
        <v>Q10747844 /Q09984974</v>
      </c>
      <c r="N378" s="2" t="str">
        <f>IFERROR(IF(MARÍTIMOS[[#This Row],[Número de Contacto]]="","",MARÍTIMOS[[#This Row],[Número de Contacto]]),"")</f>
        <v xml:space="preserve">-  </v>
      </c>
      <c r="O378" s="10">
        <f>IFERROR(IF(MARÍTIMOS[[#This Row],[Booking|AWB|CRT]]="","",MARÍTIMOS[[#This Row],[Booking|AWB|CRT]]),"")</f>
        <v>751600049558</v>
      </c>
      <c r="P378" s="2" t="str">
        <f>IFERROR(IF(MARÍTIMOS[[#This Row],[Contenedor]]="","",MARÍTIMOS[[#This Row],[Contenedor]]),"")</f>
        <v>EGSU5067702</v>
      </c>
      <c r="Q378" s="2" t="str">
        <f>IFERROR(IF(MARÍTIMOS[[#This Row],[Puerto de Retiro]]="","",MARÍTIMOS[[#This Row],[Puerto de Retiro]]),"")</f>
        <v>CALLAO</v>
      </c>
      <c r="R378" s="2" t="str">
        <f>IFERROR(IF(MARÍTIMOS[[#This Row],[Almacén de Retiro]]="","",MARÍTIMOS[[#This Row],[Almacén de Retiro]]),"")</f>
        <v>DPW</v>
      </c>
      <c r="S378" s="11">
        <f>IFERROR(IF(MARÍTIMOS[[#This Row],[Etapa Retiro - Cita]]="","",MARÍTIMOS[[#This Row],[Etapa Retiro - Cita]]),"")</f>
        <v>46269.583333333336</v>
      </c>
      <c r="T378" s="11">
        <f>IFERROR(IF(MARÍTIMOS[[#This Row],[Etapa Retiro - Llegada]]="","",MARÍTIMOS[[#This Row],[Etapa Retiro - Llegada]]),"")</f>
        <v>46269.658333333333</v>
      </c>
      <c r="U378" s="11">
        <f>IFERROR(IF(MARÍTIMOS[[#This Row],[Etapa Retiro - Ingreso]]="","",MARÍTIMOS[[#This Row],[Etapa Retiro - Ingreso]]),"")</f>
        <v>46269.709027777775</v>
      </c>
      <c r="V378" s="11">
        <f>IFERROR(IF(MARÍTIMOS[[#This Row],[Etapa Retiro - Atención]]="","",MARÍTIMOS[[#This Row],[Etapa Retiro - Atención]]),"")</f>
        <v>46269.760416666664</v>
      </c>
      <c r="W378" s="11">
        <f>IFERROR(IF(MARÍTIMOS[[#This Row],[Etapa Retiro - Atención]]="","",MARÍTIMOS[[#This Row],[Etapa Retiro - Atención]]),"")</f>
        <v>46269.760416666664</v>
      </c>
      <c r="X378" s="11">
        <f>IFERROR(IF(MARÍTIMOS[[#This Row],[Etapa Retiro - Inicio de Ruta]]="","",MARÍTIMOS[[#This Row],[Etapa Retiro - Inicio de Ruta]]),"")</f>
        <v>46269.829861111109</v>
      </c>
      <c r="Y378" s="11">
        <f>IFERROR(IF(MARÍTIMOS[[#This Row],[Hora de Posicionamiento]]="","",MARÍTIMOS[[#This Row],[Fecha de Carga]]+MARÍTIMOS[[#This Row],[Hora de Posicionamiento]]),"")</f>
        <v>46270.5</v>
      </c>
      <c r="Z378" s="11">
        <f>IFERROR(IF(MARÍTIMOS[[#This Row],[Etapa Despacho - Llegada]]="","",MARÍTIMOS[[#This Row],[Etapa Despacho - Llegada]]),"")</f>
        <v>46270.368750000001</v>
      </c>
      <c r="AA378" s="11">
        <f>IFERROR(IF(MARÍTIMOS[[#This Row],[Etapa Despacho - Registro]]="","",MARÍTIMOS[[#This Row],[Etapa Despacho - Registro]]),"")</f>
        <v>46270.375</v>
      </c>
      <c r="AB378" s="11">
        <f>IFERROR(IF(MARÍTIMOS[[#This Row],[Inspección Externa]]="","",MARÍTIMOS[[#This Row],[Inspección Externa]]),"")</f>
        <v>46270.387499999997</v>
      </c>
      <c r="AC378" s="11">
        <f>IFERROR(IF(MARÍTIMOS[[#This Row],[Etapa Despacho - Inicio de Carga]]="","",MARÍTIMOS[[#This Row],[Etapa Despacho - Inicio de Carga]]),"")</f>
        <v>46270.409722222219</v>
      </c>
      <c r="AD378" s="11">
        <f>IFERROR(IF(MARÍTIMOS[[#This Row],[Etapa Despacho - Mitad de Carga]]="","",MARÍTIMOS[[#This Row],[Etapa Despacho - Mitad de Carga]]),"")</f>
        <v>46270.56527777778</v>
      </c>
      <c r="AE378" s="11">
        <f>IFERROR(IF(MARÍTIMOS[[#This Row],[Etapa Despacho - Fin de Carga]]="","",MARÍTIMOS[[#This Row],[Etapa Despacho - Fin de Carga]]),"")</f>
        <v>46270.720833333333</v>
      </c>
      <c r="AF378" s="2" t="str">
        <f>IFERROR(IF(MARÍTIMOS[[#This Row],[Puerto de Embarque]]="","",MARÍTIMOS[[#This Row],[Puerto de Embarque]]),"")</f>
        <v>CALLAO</v>
      </c>
      <c r="AG378" s="2" t="str">
        <f>IFERROR(IF(MARÍTIMOS[[#This Row],[Almacén de Ingreso]]="","",MARÍTIMOS[[#This Row],[Almacén de Ingreso]]),"")</f>
        <v>DPW</v>
      </c>
      <c r="AH378" s="11">
        <f>IFERROR(IF(MARÍTIMOS[[#This Row],[Etapa Ingreso - Cita]]="","",MARÍTIMOS[[#This Row],[Etapa Ingreso - Cita]]),"")</f>
        <v>46271.208333333336</v>
      </c>
      <c r="AI378" s="11">
        <f>IFERROR(IF(MARÍTIMOS[[#This Row],[Etapa Ingreso - Llegada]]="","",MARÍTIMOS[[#This Row],[Etapa Ingreso - Llegada]]),"")</f>
        <v>46271.279861111114</v>
      </c>
      <c r="AJ378" s="11">
        <f>IFERROR(IF(MARÍTIMOS[[#This Row],[Etapa Ingreso - Ingeso]]="","",MARÍTIMOS[[#This Row],[Etapa Ingreso - Ingeso]]),"")</f>
        <v>46271.320833333331</v>
      </c>
      <c r="AK378" s="11">
        <f>IFERROR(IF(MARÍTIMOS[[#This Row],[Etapa Ingreso - Atención]]="","",MARÍTIMOS[[#This Row],[Etapa Ingreso - Atención]]),"")</f>
        <v>46271.355555555558</v>
      </c>
      <c r="AL378" s="11">
        <f>IFERROR(IF(MARÍTIMOS[[#This Row],[Etapa Ingreso - Salida]]="","",MARÍTIMOS[[#This Row],[Etapa Ingreso - Salida]]),"")</f>
        <v>46271.365972222222</v>
      </c>
      <c r="AM378" s="2">
        <f>IFERROR(IF(MARÍTIMOS[[#This Row],[FCL]]="","",MARÍTIMOS[[#This Row],[FCL]]),"")</f>
        <v>1</v>
      </c>
      <c r="AN3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8" s="4" t="str" cm="1">
        <f t="array" ref="AO3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78" s="5">
        <f>IFERROR(OLDBD[[#This Row],[Llegada a packing]]-OLDBD[[#This Row],[Inicio de Ruta]],"")</f>
        <v>0.53888888889196096</v>
      </c>
      <c r="AQ378" s="6">
        <f>IFERROR(OLDBD[[#This Row],[Inicio de Ruta]]-OLDBD[[#This Row],[Salida de almacén de retiro]],"")</f>
        <v>6.9444444445252884E-2</v>
      </c>
      <c r="AR3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78" s="8" t="str" cm="1">
        <f t="array" ref="AS3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8" s="9">
        <f>IFERROR(OLDBD[[#This Row],[Ingreso Packing]]-OLDBD[[#This Row],[Registro en Packing]],"")</f>
        <v>1.2499999997089617E-2</v>
      </c>
      <c r="AV378" s="9">
        <f>IFERROR(OLDBD[[#This Row],[Ingreso Packing]]-OLDBD[[#This Row],[Llegada a packing]],"")</f>
        <v>1.8749999995634425E-2</v>
      </c>
      <c r="AW3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78" s="5">
        <f>IFERROR(OLDBD[[#This Row],[Llegada Almacén de Ingreso]]-OLDBD[[#This Row],[Salida Packing]],"")</f>
        <v>0.55902777778101154</v>
      </c>
      <c r="AY378" s="4" t="str" cm="1">
        <f t="array" ref="AY3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78" s="43" t="s">
        <v>173</v>
      </c>
      <c r="BB378" s="47" t="str">
        <f>IFERROR(IF(MARÍTIMOS[[#This Row],[Estatus]]="","",MARÍTIMOS[[#This Row],[Estatus]]),"")</f>
        <v>Confirmado</v>
      </c>
      <c r="BC378" s="43"/>
      <c r="BD378" s="46">
        <f>IFERROR(OLDBD[[#This Row],[Salida de almacén de retiro]]-OLDBD[[#This Row],[Ingreso Almacén de retiro]],"")</f>
        <v>5.1388888889050577E-2</v>
      </c>
      <c r="BE378" s="46">
        <f>IFERROR(OLDBD[[#This Row],[Fin de Carga]]-OLDBD[[#This Row],[Inicio de Carga]],"")</f>
        <v>0.15555555556056788</v>
      </c>
    </row>
    <row r="379" spans="1:57" customFormat="1" hidden="1">
      <c r="A379" s="1"/>
      <c r="B379" s="1">
        <f>IFERROR(IF(MARÍTIMOS[[#This Row],[PP]]="","",MARÍTIMOS[[#This Row],[PP]]),"")</f>
        <v>36</v>
      </c>
      <c r="C379" s="1" t="str">
        <f>IFERROR(IF(MARÍTIMOS[[#This Row],[Sede]]="","",MARÍTIMOS[[#This Row],[Sede]]),"")</f>
        <v>Chao</v>
      </c>
      <c r="D379" s="1" t="str">
        <f>IFERROR(IF(MARÍTIMOS[[#This Row],[Instruction]]="","",MARÍTIMOS[[#This Row],[Instruction]]),"")</f>
        <v>RH-0659</v>
      </c>
      <c r="E379" s="1"/>
      <c r="F379" s="2" t="str">
        <f>IFERROR(IF(MARÍTIMOS[[#This Row],[Transportista]]="","",MARÍTIMOS[[#This Row],[Transportista]]),"")</f>
        <v>Maersk</v>
      </c>
      <c r="G379" s="2" t="str">
        <f>IFERROR(IF(MARÍTIMOS[[#This Row],[Tercero]]="","",MARÍTIMOS[[#This Row],[Tercero]]),"")</f>
        <v>SI</v>
      </c>
      <c r="H379" s="2" t="str">
        <f>IFERROR(IF(MARÍTIMOS[[#This Row],[Razón Social]]="","",MARÍTIMOS[[#This Row],[Razón Social]]),"")</f>
        <v>PLATINO TRANSPORT S.A.C.</v>
      </c>
      <c r="I379" s="2">
        <f>IFERROR(IF(MARÍTIMOS[[#This Row],[RUC]]="","",MARÍTIMOS[[#This Row],[RUC]]),"")</f>
        <v>20608874802</v>
      </c>
      <c r="J379" s="2" t="str">
        <f>IFERROR(IF(MARÍTIMOS[[#This Row],[Placa Tracto]]="","",MARÍTIMOS[[#This Row],[Placa Tracto]]),"")</f>
        <v>CEX713</v>
      </c>
      <c r="K379" s="2" t="str">
        <f>IFERROR(IF(MARÍTIMOS[[#This Row],[Placa Carreta]]="","",MARÍTIMOS[[#This Row],[Placa Carreta]]),"")</f>
        <v>TPF978</v>
      </c>
      <c r="L379" s="44" t="str">
        <f>IFERROR(IF(MARÍTIMOS[[#This Row],[Conductor]]="","",MARÍTIMOS[[#This Row],[Conductor]]),"")</f>
        <v>GUILLERMO DE JESUS GUERRA MANAURE</v>
      </c>
      <c r="M379" s="2" t="str">
        <f>IFERROR(IF(MARÍTIMOS[[#This Row],[Licencia]]="","",MARÍTIMOS[[#This Row],[Licencia]]),"")</f>
        <v>Q006478056</v>
      </c>
      <c r="N379" s="2" t="str">
        <f>IFERROR(IF(MARÍTIMOS[[#This Row],[Número de Contacto]]="","",MARÍTIMOS[[#This Row],[Número de Contacto]]),"")</f>
        <v xml:space="preserve">-  </v>
      </c>
      <c r="O379" s="10">
        <f>IFERROR(IF(MARÍTIMOS[[#This Row],[Booking|AWB|CRT]]="","",MARÍTIMOS[[#This Row],[Booking|AWB|CRT]]),"")</f>
        <v>751600049532</v>
      </c>
      <c r="P379" s="2" t="str">
        <f>IFERROR(IF(MARÍTIMOS[[#This Row],[Contenedor]]="","",MARÍTIMOS[[#This Row],[Contenedor]]),"")</f>
        <v>EMCU5408332</v>
      </c>
      <c r="Q379" s="2" t="str">
        <f>IFERROR(IF(MARÍTIMOS[[#This Row],[Puerto de Retiro]]="","",MARÍTIMOS[[#This Row],[Puerto de Retiro]]),"")</f>
        <v>CALLAO</v>
      </c>
      <c r="R379" s="2" t="str">
        <f>IFERROR(IF(MARÍTIMOS[[#This Row],[Almacén de Retiro]]="","",MARÍTIMOS[[#This Row],[Almacén de Retiro]]),"")</f>
        <v>DPW</v>
      </c>
      <c r="S379" s="11">
        <f>IFERROR(IF(MARÍTIMOS[[#This Row],[Etapa Retiro - Cita]]="","",MARÍTIMOS[[#This Row],[Etapa Retiro - Cita]]),"")</f>
        <v>46270.5</v>
      </c>
      <c r="T379" s="11">
        <f>IFERROR(IF(MARÍTIMOS[[#This Row],[Etapa Retiro - Llegada]]="","",MARÍTIMOS[[#This Row],[Etapa Retiro - Llegada]]),"")</f>
        <v>46270.484722222223</v>
      </c>
      <c r="U379" s="11">
        <f>IFERROR(IF(MARÍTIMOS[[#This Row],[Etapa Retiro - Ingreso]]="","",MARÍTIMOS[[#This Row],[Etapa Retiro - Ingreso]]),"")</f>
        <v>46270.570138888892</v>
      </c>
      <c r="V379" s="11">
        <f>IFERROR(IF(MARÍTIMOS[[#This Row],[Etapa Retiro - Atención]]="","",MARÍTIMOS[[#This Row],[Etapa Retiro - Atención]]),"")</f>
        <v>46270.595833333333</v>
      </c>
      <c r="W379" s="11">
        <f>IFERROR(IF(MARÍTIMOS[[#This Row],[Etapa Retiro - Atención]]="","",MARÍTIMOS[[#This Row],[Etapa Retiro - Atención]]),"")</f>
        <v>46270.595833333333</v>
      </c>
      <c r="X379" s="11">
        <f>IFERROR(IF(MARÍTIMOS[[#This Row],[Etapa Retiro - Inicio de Ruta]]="","",MARÍTIMOS[[#This Row],[Etapa Retiro - Inicio de Ruta]]),"")</f>
        <v>46270.631249999999</v>
      </c>
      <c r="Y379" s="11">
        <f>IFERROR(IF(MARÍTIMOS[[#This Row],[Hora de Posicionamiento]]="","",MARÍTIMOS[[#This Row],[Fecha de Carga]]+MARÍTIMOS[[#This Row],[Hora de Posicionamiento]]),"")</f>
        <v>46271.5</v>
      </c>
      <c r="Z379" s="11">
        <f>IFERROR(IF(MARÍTIMOS[[#This Row],[Etapa Despacho - Llegada]]="","",MARÍTIMOS[[#This Row],[Etapa Despacho - Llegada]]),"")</f>
        <v>46271.368055555555</v>
      </c>
      <c r="AA379" s="11">
        <f>IFERROR(IF(MARÍTIMOS[[#This Row],[Etapa Despacho - Registro]]="","",MARÍTIMOS[[#This Row],[Etapa Despacho - Registro]]),"")</f>
        <v>46271.378472222219</v>
      </c>
      <c r="AB379" s="11">
        <f>IFERROR(IF(MARÍTIMOS[[#This Row],[Inspección Externa]]="","",MARÍTIMOS[[#This Row],[Inspección Externa]]),"")</f>
        <v>46271.388888888891</v>
      </c>
      <c r="AC379" s="11">
        <f>IFERROR(IF(MARÍTIMOS[[#This Row],[Etapa Despacho - Inicio de Carga]]="","",MARÍTIMOS[[#This Row],[Etapa Despacho - Inicio de Carga]]),"")</f>
        <v>46271.416666666664</v>
      </c>
      <c r="AD379" s="11">
        <f>IFERROR(IF(MARÍTIMOS[[#This Row],[Etapa Despacho - Mitad de Carga]]="","",MARÍTIMOS[[#This Row],[Etapa Despacho - Mitad de Carga]]),"")</f>
        <v>46271.5625</v>
      </c>
      <c r="AE379" s="11">
        <f>IFERROR(IF(MARÍTIMOS[[#This Row],[Etapa Despacho - Fin de Carga]]="","",MARÍTIMOS[[#This Row],[Etapa Despacho - Fin de Carga]]),"")</f>
        <v>46271.708333333336</v>
      </c>
      <c r="AF379" s="2" t="str">
        <f>IFERROR(IF(MARÍTIMOS[[#This Row],[Puerto de Embarque]]="","",MARÍTIMOS[[#This Row],[Puerto de Embarque]]),"")</f>
        <v>CALLAO</v>
      </c>
      <c r="AG379" s="2" t="str">
        <f>IFERROR(IF(MARÍTIMOS[[#This Row],[Almacén de Ingreso]]="","",MARÍTIMOS[[#This Row],[Almacén de Ingreso]]),"")</f>
        <v>DPW</v>
      </c>
      <c r="AH379" s="11">
        <f>IFERROR(IF(MARÍTIMOS[[#This Row],[Etapa Ingreso - Cita]]="","",MARÍTIMOS[[#This Row],[Etapa Ingreso - Cita]]),"")</f>
        <v>46272.583333333336</v>
      </c>
      <c r="AI379" s="11">
        <f>IFERROR(IF(MARÍTIMOS[[#This Row],[Etapa Ingreso - Llegada]]="","",MARÍTIMOS[[#This Row],[Etapa Ingreso - Llegada]]),"")</f>
        <v>46272.531944444447</v>
      </c>
      <c r="AJ379" s="11">
        <f>IFERROR(IF(MARÍTIMOS[[#This Row],[Etapa Ingreso - Ingeso]]="","",MARÍTIMOS[[#This Row],[Etapa Ingreso - Ingeso]]),"")</f>
        <v>46272.549305555556</v>
      </c>
      <c r="AK379" s="11">
        <f>IFERROR(IF(MARÍTIMOS[[#This Row],[Etapa Ingreso - Atención]]="","",MARÍTIMOS[[#This Row],[Etapa Ingreso - Atención]]),"")</f>
        <v>46272.570833333331</v>
      </c>
      <c r="AL379" s="11">
        <f>IFERROR(IF(MARÍTIMOS[[#This Row],[Etapa Ingreso - Salida]]="","",MARÍTIMOS[[#This Row],[Etapa Ingreso - Salida]]),"")</f>
        <v>46272.581944444442</v>
      </c>
      <c r="AM379" s="2">
        <f>IFERROR(IF(MARÍTIMOS[[#This Row],[FCL]]="","",MARÍTIMOS[[#This Row],[FCL]]),"")</f>
        <v>1</v>
      </c>
      <c r="AN3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79" s="4" t="str" cm="1">
        <f t="array" ref="AO3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79" s="5">
        <f>IFERROR(OLDBD[[#This Row],[Llegada a packing]]-OLDBD[[#This Row],[Inicio de Ruta]],"")</f>
        <v>0.73680555555620231</v>
      </c>
      <c r="AQ379" s="6">
        <f>IFERROR(OLDBD[[#This Row],[Inicio de Ruta]]-OLDBD[[#This Row],[Salida de almacén de retiro]],"")</f>
        <v>3.5416666665696539E-2</v>
      </c>
      <c r="AR3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79" s="8" t="str" cm="1">
        <f t="array" ref="AS3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79" s="9">
        <f>IFERROR(OLDBD[[#This Row],[Ingreso Packing]]-OLDBD[[#This Row],[Registro en Packing]],"")</f>
        <v>1.0416666671517305E-2</v>
      </c>
      <c r="AV379" s="9">
        <f>IFERROR(OLDBD[[#This Row],[Ingreso Packing]]-OLDBD[[#This Row],[Llegada a packing]],"")</f>
        <v>2.0833333335758653E-2</v>
      </c>
      <c r="AW3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79" s="5">
        <f>IFERROR(OLDBD[[#This Row],[Llegada Almacén de Ingreso]]-OLDBD[[#This Row],[Salida Packing]],"")</f>
        <v>0.82361111111094942</v>
      </c>
      <c r="AY379" s="4" t="str" cm="1">
        <f t="array" ref="AY3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79" s="43" t="s">
        <v>173</v>
      </c>
      <c r="BB379" s="47" t="str">
        <f>IFERROR(IF(MARÍTIMOS[[#This Row],[Estatus]]="","",MARÍTIMOS[[#This Row],[Estatus]]),"")</f>
        <v>Confirmado</v>
      </c>
      <c r="BC379" s="43"/>
      <c r="BD379" s="46">
        <f>IFERROR(OLDBD[[#This Row],[Salida de almacén de retiro]]-OLDBD[[#This Row],[Ingreso Almacén de retiro]],"")</f>
        <v>2.569444444088731E-2</v>
      </c>
      <c r="BE379" s="46">
        <f>IFERROR(OLDBD[[#This Row],[Fin de Carga]]-OLDBD[[#This Row],[Inicio de Carga]],"")</f>
        <v>0.14583333333575865</v>
      </c>
    </row>
    <row r="380" spans="1:57" customFormat="1" hidden="1">
      <c r="A380" s="1"/>
      <c r="B380" s="1">
        <f>IFERROR(IF(MARÍTIMOS[[#This Row],[PP]]="","",MARÍTIMOS[[#This Row],[PP]]),"")</f>
        <v>36</v>
      </c>
      <c r="C380" s="1" t="str">
        <f>IFERROR(IF(MARÍTIMOS[[#This Row],[Sede]]="","",MARÍTIMOS[[#This Row],[Sede]]),"")</f>
        <v>Chao</v>
      </c>
      <c r="D380" s="1" t="str">
        <f>IFERROR(IF(MARÍTIMOS[[#This Row],[Instruction]]="","",MARÍTIMOS[[#This Row],[Instruction]]),"")</f>
        <v>RH-0660</v>
      </c>
      <c r="E380" s="1"/>
      <c r="F380" s="2" t="str">
        <f>IFERROR(IF(MARÍTIMOS[[#This Row],[Transportista]]="","",MARÍTIMOS[[#This Row],[Transportista]]),"")</f>
        <v>Maersk</v>
      </c>
      <c r="G380" s="2" t="str">
        <f>IFERROR(IF(MARÍTIMOS[[#This Row],[Tercero]]="","",MARÍTIMOS[[#This Row],[Tercero]]),"")</f>
        <v>SI</v>
      </c>
      <c r="H380" s="2" t="str">
        <f>IFERROR(IF(MARÍTIMOS[[#This Row],[Razón Social]]="","",MARÍTIMOS[[#This Row],[Razón Social]]),"")</f>
        <v>PLATINO TRANSPORT S.A.C.</v>
      </c>
      <c r="I380" s="2">
        <f>IFERROR(IF(MARÍTIMOS[[#This Row],[RUC]]="","",MARÍTIMOS[[#This Row],[RUC]]),"")</f>
        <v>20608874802</v>
      </c>
      <c r="J380" s="2" t="str">
        <f>IFERROR(IF(MARÍTIMOS[[#This Row],[Placa Tracto]]="","",MARÍTIMOS[[#This Row],[Placa Tracto]]),"")</f>
        <v>CEX703</v>
      </c>
      <c r="K380" s="2" t="str">
        <f>IFERROR(IF(MARÍTIMOS[[#This Row],[Placa Carreta]]="","",MARÍTIMOS[[#This Row],[Placa Carreta]]),"")</f>
        <v>TPD974</v>
      </c>
      <c r="L380" s="44" t="str">
        <f>IFERROR(IF(MARÍTIMOS[[#This Row],[Conductor]]="","",MARÍTIMOS[[#This Row],[Conductor]]),"")</f>
        <v>ANDRES ADHEMAR LOPEZ YUNCAR</v>
      </c>
      <c r="M380" s="2" t="str">
        <f>IFERROR(IF(MARÍTIMOS[[#This Row],[Licencia]]="","",MARÍTIMOS[[#This Row],[Licencia]]),"")</f>
        <v>Q45476350</v>
      </c>
      <c r="N380" s="2" t="str">
        <f>IFERROR(IF(MARÍTIMOS[[#This Row],[Número de Contacto]]="","",MARÍTIMOS[[#This Row],[Número de Contacto]]),"")</f>
        <v xml:space="preserve">-  </v>
      </c>
      <c r="O380" s="10">
        <f>IFERROR(IF(MARÍTIMOS[[#This Row],[Booking|AWB|CRT]]="","",MARÍTIMOS[[#This Row],[Booking|AWB|CRT]]),"")</f>
        <v>751600049540</v>
      </c>
      <c r="P380" s="2" t="str">
        <f>IFERROR(IF(MARÍTIMOS[[#This Row],[Contenedor]]="","",MARÍTIMOS[[#This Row],[Contenedor]]),"")</f>
        <v>EMCU5603241</v>
      </c>
      <c r="Q380" s="2" t="str">
        <f>IFERROR(IF(MARÍTIMOS[[#This Row],[Puerto de Retiro]]="","",MARÍTIMOS[[#This Row],[Puerto de Retiro]]),"")</f>
        <v>CALLAO</v>
      </c>
      <c r="R380" s="2" t="str">
        <f>IFERROR(IF(MARÍTIMOS[[#This Row],[Almacén de Retiro]]="","",MARÍTIMOS[[#This Row],[Almacén de Retiro]]),"")</f>
        <v>DPW</v>
      </c>
      <c r="S380" s="11">
        <f>IFERROR(IF(MARÍTIMOS[[#This Row],[Etapa Retiro - Cita]]="","",MARÍTIMOS[[#This Row],[Etapa Retiro - Cita]]),"")</f>
        <v>46270.541666666664</v>
      </c>
      <c r="T380" s="11">
        <f>IFERROR(IF(MARÍTIMOS[[#This Row],[Etapa Retiro - Llegada]]="","",MARÍTIMOS[[#This Row],[Etapa Retiro - Llegada]]),"")</f>
        <v>46270.502083333333</v>
      </c>
      <c r="U380" s="11">
        <f>IFERROR(IF(MARÍTIMOS[[#This Row],[Etapa Retiro - Ingreso]]="","",MARÍTIMOS[[#This Row],[Etapa Retiro - Ingreso]]),"")</f>
        <v>46270.574305555558</v>
      </c>
      <c r="V380" s="11">
        <f>IFERROR(IF(MARÍTIMOS[[#This Row],[Etapa Retiro - Atención]]="","",MARÍTIMOS[[#This Row],[Etapa Retiro - Atención]]),"")</f>
        <v>46270.614583333336</v>
      </c>
      <c r="W380" s="11">
        <f>IFERROR(IF(MARÍTIMOS[[#This Row],[Etapa Retiro - Atención]]="","",MARÍTIMOS[[#This Row],[Etapa Retiro - Atención]]),"")</f>
        <v>46270.614583333336</v>
      </c>
      <c r="X380" s="11">
        <f>IFERROR(IF(MARÍTIMOS[[#This Row],[Etapa Retiro - Inicio de Ruta]]="","",MARÍTIMOS[[#This Row],[Etapa Retiro - Inicio de Ruta]]),"")</f>
        <v>46270.631249999999</v>
      </c>
      <c r="Y380" s="11">
        <f>IFERROR(IF(MARÍTIMOS[[#This Row],[Hora de Posicionamiento]]="","",MARÍTIMOS[[#This Row],[Fecha de Carga]]+MARÍTIMOS[[#This Row],[Hora de Posicionamiento]]),"")</f>
        <v>46271.583333333336</v>
      </c>
      <c r="Z380" s="11">
        <f>IFERROR(IF(MARÍTIMOS[[#This Row],[Etapa Despacho - Llegada]]="","",MARÍTIMOS[[#This Row],[Etapa Despacho - Llegada]]),"")</f>
        <v>46271.614583333336</v>
      </c>
      <c r="AA380" s="11">
        <f>IFERROR(IF(MARÍTIMOS[[#This Row],[Etapa Despacho - Registro]]="","",MARÍTIMOS[[#This Row],[Etapa Despacho - Registro]]),"")</f>
        <v>46271.623611111114</v>
      </c>
      <c r="AB380" s="11">
        <f>IFERROR(IF(MARÍTIMOS[[#This Row],[Inspección Externa]]="","",MARÍTIMOS[[#This Row],[Inspección Externa]]),"")</f>
        <v>46271.635416666664</v>
      </c>
      <c r="AC380" s="11">
        <f>IFERROR(IF(MARÍTIMOS[[#This Row],[Etapa Despacho - Inicio de Carga]]="","",MARÍTIMOS[[#This Row],[Etapa Despacho - Inicio de Carga]]),"")</f>
        <v>46271.659722222219</v>
      </c>
      <c r="AD380" s="11">
        <f>IFERROR(IF(MARÍTIMOS[[#This Row],[Etapa Despacho - Mitad de Carga]]="","",MARÍTIMOS[[#This Row],[Etapa Despacho - Mitad de Carga]]),"")</f>
        <v>46271.679861111108</v>
      </c>
      <c r="AE380" s="11">
        <f>IFERROR(IF(MARÍTIMOS[[#This Row],[Etapa Despacho - Fin de Carga]]="","",MARÍTIMOS[[#This Row],[Etapa Despacho - Fin de Carga]]),"")</f>
        <v>46271.7</v>
      </c>
      <c r="AF380" s="2" t="str">
        <f>IFERROR(IF(MARÍTIMOS[[#This Row],[Puerto de Embarque]]="","",MARÍTIMOS[[#This Row],[Puerto de Embarque]]),"")</f>
        <v>CALLAO</v>
      </c>
      <c r="AG380" s="2" t="str">
        <f>IFERROR(IF(MARÍTIMOS[[#This Row],[Almacén de Ingreso]]="","",MARÍTIMOS[[#This Row],[Almacén de Ingreso]]),"")</f>
        <v>DPW</v>
      </c>
      <c r="AH380" s="11">
        <f>IFERROR(IF(MARÍTIMOS[[#This Row],[Etapa Ingreso - Cita]]="","",MARÍTIMOS[[#This Row],[Etapa Ingreso - Cita]]),"")</f>
        <v>46272.916666666664</v>
      </c>
      <c r="AI380" s="11">
        <f>IFERROR(IF(MARÍTIMOS[[#This Row],[Etapa Ingreso - Llegada]]="","",MARÍTIMOS[[#This Row],[Etapa Ingreso - Llegada]]),"")</f>
        <v>46272.82916666667</v>
      </c>
      <c r="AJ380" s="11">
        <f>IFERROR(IF(MARÍTIMOS[[#This Row],[Etapa Ingreso - Ingeso]]="","",MARÍTIMOS[[#This Row],[Etapa Ingreso - Ingeso]]),"")</f>
        <v>46272.880555555559</v>
      </c>
      <c r="AK380" s="11">
        <f>IFERROR(IF(MARÍTIMOS[[#This Row],[Etapa Ingreso - Atención]]="","",MARÍTIMOS[[#This Row],[Etapa Ingreso - Atención]]),"")</f>
        <v>46272.878472222219</v>
      </c>
      <c r="AL380" s="11">
        <f>IFERROR(IF(MARÍTIMOS[[#This Row],[Etapa Ingreso - Salida]]="","",MARÍTIMOS[[#This Row],[Etapa Ingreso - Salida]]),"")</f>
        <v>46272.89166666667</v>
      </c>
      <c r="AM380" s="2">
        <f>IFERROR(IF(MARÍTIMOS[[#This Row],[FCL]]="","",MARÍTIMOS[[#This Row],[FCL]]),"")</f>
        <v>1</v>
      </c>
      <c r="AN3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0" s="4" t="str" cm="1">
        <f t="array" ref="AO3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0" s="5">
        <f>IFERROR(OLDBD[[#This Row],[Llegada a packing]]-OLDBD[[#This Row],[Inicio de Ruta]],"")</f>
        <v>0.98333333333721384</v>
      </c>
      <c r="AQ380" s="6">
        <f>IFERROR(OLDBD[[#This Row],[Inicio de Ruta]]-OLDBD[[#This Row],[Salida de almacén de retiro]],"")</f>
        <v>1.6666666662786156E-2</v>
      </c>
      <c r="AR3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80" s="8" t="str" cm="1">
        <f t="array" ref="AS3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80" s="9">
        <f>IFERROR(OLDBD[[#This Row],[Ingreso Packing]]-OLDBD[[#This Row],[Registro en Packing]],"")</f>
        <v>1.1805555550381541E-2</v>
      </c>
      <c r="AV380" s="9">
        <f>IFERROR(OLDBD[[#This Row],[Ingreso Packing]]-OLDBD[[#This Row],[Llegada a packing]],"")</f>
        <v>2.0833333328482695E-2</v>
      </c>
      <c r="AW3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80" s="5">
        <f>IFERROR(OLDBD[[#This Row],[Llegada Almacén de Ingreso]]-OLDBD[[#This Row],[Salida Packing]],"")</f>
        <v>1.1291666666729725</v>
      </c>
      <c r="AY380" s="4" t="str" cm="1">
        <f t="array" ref="AY3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80" s="43" t="s">
        <v>173</v>
      </c>
      <c r="BB380" s="47" t="str">
        <f>IFERROR(IF(MARÍTIMOS[[#This Row],[Estatus]]="","",MARÍTIMOS[[#This Row],[Estatus]]),"")</f>
        <v>Confirmado</v>
      </c>
      <c r="BC380" s="43"/>
      <c r="BD380" s="46">
        <f>IFERROR(OLDBD[[#This Row],[Salida de almacén de retiro]]-OLDBD[[#This Row],[Ingreso Almacén de retiro]],"")</f>
        <v>4.0277777778101154E-2</v>
      </c>
      <c r="BE380" s="46">
        <f>IFERROR(OLDBD[[#This Row],[Fin de Carga]]-OLDBD[[#This Row],[Inicio de Carga]],"")</f>
        <v>2.0138888889050577E-2</v>
      </c>
    </row>
    <row r="381" spans="1:57" customFormat="1" hidden="1">
      <c r="A381" s="1"/>
      <c r="B381" s="1">
        <f>IFERROR(IF(MARÍTIMOS[[#This Row],[PP]]="","",MARÍTIMOS[[#This Row],[PP]]),"")</f>
        <v>37</v>
      </c>
      <c r="C381" s="1" t="str">
        <f>IFERROR(IF(MARÍTIMOS[[#This Row],[Sede]]="","",MARÍTIMOS[[#This Row],[Sede]]),"")</f>
        <v>Chao</v>
      </c>
      <c r="D381" s="1" t="str">
        <f>IFERROR(IF(MARÍTIMOS[[#This Row],[Instruction]]="","",MARÍTIMOS[[#This Row],[Instruction]]),"")</f>
        <v>RH-0764</v>
      </c>
      <c r="E381" s="1"/>
      <c r="F381" s="2" t="str">
        <f>IFERROR(IF(MARÍTIMOS[[#This Row],[Transportista]]="","",MARÍTIMOS[[#This Row],[Transportista]]),"")</f>
        <v>Maersk</v>
      </c>
      <c r="G381" s="2" t="str">
        <f>IFERROR(IF(MARÍTIMOS[[#This Row],[Tercero]]="","",MARÍTIMOS[[#This Row],[Tercero]]),"")</f>
        <v>NO</v>
      </c>
      <c r="H381" s="2" t="str">
        <f>IFERROR(IF(MARÍTIMOS[[#This Row],[Razón Social]]="","",MARÍTIMOS[[#This Row],[Razón Social]]),"")</f>
        <v>MAERSK LOGISTICS &amp; SERVICES PERU S.A.</v>
      </c>
      <c r="I381" s="2">
        <f>IFERROR(IF(MARÍTIMOS[[#This Row],[RUC]]="","",MARÍTIMOS[[#This Row],[RUC]]),"")</f>
        <v>20107012011</v>
      </c>
      <c r="J381" s="2" t="str">
        <f>IFERROR(IF(MARÍTIMOS[[#This Row],[Placa Tracto]]="","",MARÍTIMOS[[#This Row],[Placa Tracto]]),"")</f>
        <v>BTF807</v>
      </c>
      <c r="K381" s="2" t="str">
        <f>IFERROR(IF(MARÍTIMOS[[#This Row],[Placa Carreta]]="","",MARÍTIMOS[[#This Row],[Placa Carreta]]),"")</f>
        <v>TBR992</v>
      </c>
      <c r="L381" s="44" t="str">
        <f>IFERROR(IF(MARÍTIMOS[[#This Row],[Conductor]]="","",MARÍTIMOS[[#This Row],[Conductor]]),"")</f>
        <v>ALFREDO AUCCAPURI MIYO/ VICTOR EDUARDO VILLAVICENCIO OBREGON</v>
      </c>
      <c r="M381" s="2" t="str">
        <f>IFERROR(IF(MARÍTIMOS[[#This Row],[Licencia]]="","",MARÍTIMOS[[#This Row],[Licencia]]),"")</f>
        <v>Q40993130/ Q16023460</v>
      </c>
      <c r="N381" s="2" t="str">
        <f>IFERROR(IF(MARÍTIMOS[[#This Row],[Número de Contacto]]="","",MARÍTIMOS[[#This Row],[Número de Contacto]]),"")</f>
        <v xml:space="preserve">-  </v>
      </c>
      <c r="O381" s="10">
        <f>IFERROR(IF(MARÍTIMOS[[#This Row],[Booking|AWB|CRT]]="","",MARÍTIMOS[[#This Row],[Booking|AWB|CRT]]),"")</f>
        <v>276673619</v>
      </c>
      <c r="P381" s="2" t="str">
        <f>IFERROR(IF(MARÍTIMOS[[#This Row],[Contenedor]]="","",MARÍTIMOS[[#This Row],[Contenedor]]),"")</f>
        <v>MNBU4272628</v>
      </c>
      <c r="Q381" s="2" t="str">
        <f>IFERROR(IF(MARÍTIMOS[[#This Row],[Puerto de Retiro]]="","",MARÍTIMOS[[#This Row],[Puerto de Retiro]]),"")</f>
        <v>CALLAO</v>
      </c>
      <c r="R381" s="2" t="str">
        <f>IFERROR(IF(MARÍTIMOS[[#This Row],[Almacén de Retiro]]="","",MARÍTIMOS[[#This Row],[Almacén de Retiro]]),"")</f>
        <v>DEMARES</v>
      </c>
      <c r="S381" s="11">
        <f>IFERROR(IF(MARÍTIMOS[[#This Row],[Etapa Retiro - Cita]]="","",MARÍTIMOS[[#This Row],[Etapa Retiro - Cita]]),"")</f>
        <v>46274.583333333336</v>
      </c>
      <c r="T381" s="11">
        <f>IFERROR(IF(MARÍTIMOS[[#This Row],[Etapa Retiro - Llegada]]="","",MARÍTIMOS[[#This Row],[Etapa Retiro - Llegada]]),"")</f>
        <v>46274.631944444445</v>
      </c>
      <c r="U381" s="11">
        <f>IFERROR(IF(MARÍTIMOS[[#This Row],[Etapa Retiro - Ingreso]]="","",MARÍTIMOS[[#This Row],[Etapa Retiro - Ingreso]]),"")</f>
        <v>46274.833333333336</v>
      </c>
      <c r="V381" s="11">
        <f>IFERROR(IF(MARÍTIMOS[[#This Row],[Etapa Retiro - Atención]]="","",MARÍTIMOS[[#This Row],[Etapa Retiro - Atención]]),"")</f>
        <v>46274.855555555558</v>
      </c>
      <c r="W381" s="11">
        <f>IFERROR(IF(MARÍTIMOS[[#This Row],[Etapa Retiro - Atención]]="","",MARÍTIMOS[[#This Row],[Etapa Retiro - Atención]]),"")</f>
        <v>46274.855555555558</v>
      </c>
      <c r="X381" s="11">
        <f>IFERROR(IF(MARÍTIMOS[[#This Row],[Etapa Retiro - Inicio de Ruta]]="","",MARÍTIMOS[[#This Row],[Etapa Retiro - Inicio de Ruta]]),"")</f>
        <v>46274.902777777781</v>
      </c>
      <c r="Y381" s="11">
        <f>IFERROR(IF(MARÍTIMOS[[#This Row],[Hora de Posicionamiento]]="","",MARÍTIMOS[[#This Row],[Fecha de Carga]]+MARÍTIMOS[[#This Row],[Hora de Posicionamiento]]),"")</f>
        <v>46275.583333333336</v>
      </c>
      <c r="Z381" s="11">
        <f>IFERROR(IF(MARÍTIMOS[[#This Row],[Etapa Despacho - Llegada]]="","",MARÍTIMOS[[#This Row],[Etapa Despacho - Llegada]]),"")</f>
        <v>46304.372916666667</v>
      </c>
      <c r="AA381" s="11">
        <f>IFERROR(IF(MARÍTIMOS[[#This Row],[Etapa Despacho - Registro]]="","",MARÍTIMOS[[#This Row],[Etapa Despacho - Registro]]),"")</f>
        <v>46304.375</v>
      </c>
      <c r="AB381" s="11">
        <f>IFERROR(IF(MARÍTIMOS[[#This Row],[Inspección Externa]]="","",MARÍTIMOS[[#This Row],[Inspección Externa]]),"")</f>
        <v>46304.385416666664</v>
      </c>
      <c r="AC381" s="11">
        <f>IFERROR(IF(MARÍTIMOS[[#This Row],[Etapa Despacho - Inicio de Carga]]="","",MARÍTIMOS[[#This Row],[Etapa Despacho - Inicio de Carga]]),"")</f>
        <v>46304.409722222219</v>
      </c>
      <c r="AD381" s="11">
        <f>IFERROR(IF(MARÍTIMOS[[#This Row],[Etapa Despacho - Mitad de Carga]]="","",MARÍTIMOS[[#This Row],[Etapa Despacho - Mitad de Carga]]),"")</f>
        <v>46304.552083333336</v>
      </c>
      <c r="AE381" s="11">
        <f>IFERROR(IF(MARÍTIMOS[[#This Row],[Etapa Despacho - Fin de Carga]]="","",MARÍTIMOS[[#This Row],[Etapa Despacho - Fin de Carga]]),"")</f>
        <v>46304.694444444445</v>
      </c>
      <c r="AF381" s="2" t="str">
        <f>IFERROR(IF(MARÍTIMOS[[#This Row],[Puerto de Embarque]]="","",MARÍTIMOS[[#This Row],[Puerto de Embarque]]),"")</f>
        <v>CALLAO</v>
      </c>
      <c r="AG381" s="2" t="str">
        <f>IFERROR(IF(MARÍTIMOS[[#This Row],[Almacén de Ingreso]]="","",MARÍTIMOS[[#This Row],[Almacén de Ingreso]]),"")</f>
        <v>APM</v>
      </c>
      <c r="AH381" s="11">
        <f>IFERROR(IF(MARÍTIMOS[[#This Row],[Etapa Ingreso - Cita]]="","",MARÍTIMOS[[#This Row],[Etapa Ingreso - Cita]]),"")</f>
        <v>46335.375</v>
      </c>
      <c r="AI381" s="11">
        <f>IFERROR(IF(MARÍTIMOS[[#This Row],[Etapa Ingreso - Llegada]]="","",MARÍTIMOS[[#This Row],[Etapa Ingreso - Llegada]]),"")</f>
        <v>46335.331944444442</v>
      </c>
      <c r="AJ381" s="11">
        <f>IFERROR(IF(MARÍTIMOS[[#This Row],[Etapa Ingreso - Ingeso]]="","",MARÍTIMOS[[#This Row],[Etapa Ingreso - Ingeso]]),"")</f>
        <v>46335.353472222225</v>
      </c>
      <c r="AK381" s="11">
        <f>IFERROR(IF(MARÍTIMOS[[#This Row],[Etapa Ingreso - Atención]]="","",MARÍTIMOS[[#This Row],[Etapa Ingreso - Atención]]),"")</f>
        <v>46335.366666666669</v>
      </c>
      <c r="AL381" s="11">
        <f>IFERROR(IF(MARÍTIMOS[[#This Row],[Etapa Ingreso - Salida]]="","",MARÍTIMOS[[#This Row],[Etapa Ingreso - Salida]]),"")</f>
        <v>46335.374305555553</v>
      </c>
      <c r="AM381" s="2">
        <f>IFERROR(IF(MARÍTIMOS[[#This Row],[FCL]]="","",MARÍTIMOS[[#This Row],[FCL]]),"")</f>
        <v>1</v>
      </c>
      <c r="AN3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1" s="4" t="str" cm="1">
        <f t="array" ref="AO3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1" s="5">
        <f>IFERROR(OLDBD[[#This Row],[Llegada a packing]]-OLDBD[[#This Row],[Inicio de Ruta]],"")</f>
        <v>29.47013888888614</v>
      </c>
      <c r="AQ381" s="6">
        <f>IFERROR(OLDBD[[#This Row],[Inicio de Ruta]]-OLDBD[[#This Row],[Salida de almacén de retiro]],"")</f>
        <v>4.7222222223354038E-2</v>
      </c>
      <c r="AR3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381" s="8" t="str" cm="1">
        <f t="array" ref="AS3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81" s="9">
        <f>IFERROR(OLDBD[[#This Row],[Ingreso Packing]]-OLDBD[[#This Row],[Registro en Packing]],"")</f>
        <v>1.0416666664241347E-2</v>
      </c>
      <c r="AV381" s="9">
        <f>IFERROR(OLDBD[[#This Row],[Ingreso Packing]]-OLDBD[[#This Row],[Llegada a packing]],"")</f>
        <v>1.2499999997089617E-2</v>
      </c>
      <c r="AW3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CRITICAL DELAY</v>
      </c>
      <c r="AX381" s="5">
        <f>IFERROR(OLDBD[[#This Row],[Llegada Almacén de Ingreso]]-OLDBD[[#This Row],[Salida Packing]],"")</f>
        <v>30.63749999999709</v>
      </c>
      <c r="AY381" s="4" t="str" cm="1">
        <f t="array" ref="AY3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81" s="43" t="s">
        <v>173</v>
      </c>
      <c r="BB381" s="47" t="str">
        <f>IFERROR(IF(MARÍTIMOS[[#This Row],[Estatus]]="","",MARÍTIMOS[[#This Row],[Estatus]]),"")</f>
        <v>Confirmado</v>
      </c>
      <c r="BC381" s="43"/>
      <c r="BD381" s="46">
        <f>IFERROR(OLDBD[[#This Row],[Salida de almacén de retiro]]-OLDBD[[#This Row],[Ingreso Almacén de retiro]],"")</f>
        <v>2.2222222221898846E-2</v>
      </c>
      <c r="BE381" s="46">
        <f>IFERROR(OLDBD[[#This Row],[Fin de Carga]]-OLDBD[[#This Row],[Inicio de Carga]],"")</f>
        <v>0.14236111111677019</v>
      </c>
    </row>
    <row r="382" spans="1:57" customFormat="1" hidden="1">
      <c r="A382" s="1"/>
      <c r="B382" s="1">
        <f>IFERROR(IF(MARÍTIMOS[[#This Row],[PP]]="","",MARÍTIMOS[[#This Row],[PP]]),"")</f>
        <v>37</v>
      </c>
      <c r="C382" s="1" t="str">
        <f>IFERROR(IF(MARÍTIMOS[[#This Row],[Sede]]="","",MARÍTIMOS[[#This Row],[Sede]]),"")</f>
        <v>Chao</v>
      </c>
      <c r="D382" s="1" t="str">
        <f>IFERROR(IF(MARÍTIMOS[[#This Row],[Instruction]]="","",MARÍTIMOS[[#This Row],[Instruction]]),"")</f>
        <v>RH-0763</v>
      </c>
      <c r="E382" s="1"/>
      <c r="F382" s="2" t="str">
        <f>IFERROR(IF(MARÍTIMOS[[#This Row],[Transportista]]="","",MARÍTIMOS[[#This Row],[Transportista]]),"")</f>
        <v>Maersk</v>
      </c>
      <c r="G382" s="2" t="str">
        <f>IFERROR(IF(MARÍTIMOS[[#This Row],[Tercero]]="","",MARÍTIMOS[[#This Row],[Tercero]]),"")</f>
        <v>SI</v>
      </c>
      <c r="H382" s="2" t="str">
        <f>IFERROR(IF(MARÍTIMOS[[#This Row],[Razón Social]]="","",MARÍTIMOS[[#This Row],[Razón Social]]),"")</f>
        <v>JAVTRAN'S PERU S.A.C.</v>
      </c>
      <c r="I382" s="2">
        <f>IFERROR(IF(MARÍTIMOS[[#This Row],[RUC]]="","",MARÍTIMOS[[#This Row],[RUC]]),"")</f>
        <v>20616030133</v>
      </c>
      <c r="J382" s="2" t="str">
        <f>IFERROR(IF(MARÍTIMOS[[#This Row],[Placa Tracto]]="","",MARÍTIMOS[[#This Row],[Placa Tracto]]),"")</f>
        <v>B2H866</v>
      </c>
      <c r="K382" s="2" t="str">
        <f>IFERROR(IF(MARÍTIMOS[[#This Row],[Placa Carreta]]="","",MARÍTIMOS[[#This Row],[Placa Carreta]]),"")</f>
        <v>C0Q993</v>
      </c>
      <c r="L382" s="44" t="str">
        <f>IFERROR(IF(MARÍTIMOS[[#This Row],[Conductor]]="","",MARÍTIMOS[[#This Row],[Conductor]]),"")</f>
        <v>IRVIN CHRISTOPHER GARAY MORAN</v>
      </c>
      <c r="M382" s="2" t="str">
        <f>IFERROR(IF(MARÍTIMOS[[#This Row],[Licencia]]="","",MARÍTIMOS[[#This Row],[Licencia]]),"")</f>
        <v>Q46610011</v>
      </c>
      <c r="N382" s="2" t="str">
        <f>IFERROR(IF(MARÍTIMOS[[#This Row],[Número de Contacto]]="","",MARÍTIMOS[[#This Row],[Número de Contacto]]),"")</f>
        <v xml:space="preserve">-  </v>
      </c>
      <c r="O382" s="10">
        <f>IFERROR(IF(MARÍTIMOS[[#This Row],[Booking|AWB|CRT]]="","",MARÍTIMOS[[#This Row],[Booking|AWB|CRT]]),"")</f>
        <v>751600050645</v>
      </c>
      <c r="P382" s="2" t="str">
        <f>IFERROR(IF(MARÍTIMOS[[#This Row],[Contenedor]]="","",MARÍTIMOS[[#This Row],[Contenedor]]),"")</f>
        <v>EMCU5742000</v>
      </c>
      <c r="Q382" s="2" t="str">
        <f>IFERROR(IF(MARÍTIMOS[[#This Row],[Puerto de Retiro]]="","",MARÍTIMOS[[#This Row],[Puerto de Retiro]]),"")</f>
        <v>CALLAO</v>
      </c>
      <c r="R382" s="2" t="str">
        <f>IFERROR(IF(MARÍTIMOS[[#This Row],[Almacén de Retiro]]="","",MARÍTIMOS[[#This Row],[Almacén de Retiro]]),"")</f>
        <v>DPW</v>
      </c>
      <c r="S382" s="11">
        <f>IFERROR(IF(MARÍTIMOS[[#This Row],[Etapa Retiro - Cita]]="","",MARÍTIMOS[[#This Row],[Etapa Retiro - Cita]]),"")</f>
        <v>46278.458333333336</v>
      </c>
      <c r="T382" s="11">
        <f>IFERROR(IF(MARÍTIMOS[[#This Row],[Etapa Retiro - Llegada]]="","",MARÍTIMOS[[#This Row],[Etapa Retiro - Llegada]]),"")</f>
        <v>46278.543749999997</v>
      </c>
      <c r="U382" s="11">
        <f>IFERROR(IF(MARÍTIMOS[[#This Row],[Etapa Retiro - Ingreso]]="","",MARÍTIMOS[[#This Row],[Etapa Retiro - Ingreso]]),"")</f>
        <v>46278.570833333331</v>
      </c>
      <c r="V382" s="11">
        <f>IFERROR(IF(MARÍTIMOS[[#This Row],[Etapa Retiro - Atención]]="","",MARÍTIMOS[[#This Row],[Etapa Retiro - Atención]]),"")</f>
        <v>46278.683333333334</v>
      </c>
      <c r="W382" s="11">
        <f>IFERROR(IF(MARÍTIMOS[[#This Row],[Etapa Retiro - Atención]]="","",MARÍTIMOS[[#This Row],[Etapa Retiro - Atención]]),"")</f>
        <v>46278.683333333334</v>
      </c>
      <c r="X382" s="11">
        <f>IFERROR(IF(MARÍTIMOS[[#This Row],[Etapa Retiro - Inicio de Ruta]]="","",MARÍTIMOS[[#This Row],[Etapa Retiro - Inicio de Ruta]]),"")</f>
        <v>46278.714583333334</v>
      </c>
      <c r="Y382" s="11">
        <f>IFERROR(IF(MARÍTIMOS[[#This Row],[Hora de Posicionamiento]]="","",MARÍTIMOS[[#This Row],[Fecha de Carga]]+MARÍTIMOS[[#This Row],[Hora de Posicionamiento]]),"")</f>
        <v>46279.416666666664</v>
      </c>
      <c r="Z382" s="11">
        <f>IFERROR(IF(MARÍTIMOS[[#This Row],[Etapa Despacho - Llegada]]="","",MARÍTIMOS[[#This Row],[Etapa Despacho - Llegada]]),"")</f>
        <v>46279.414583333331</v>
      </c>
      <c r="AA382" s="11">
        <f>IFERROR(IF(MARÍTIMOS[[#This Row],[Etapa Despacho - Registro]]="","",MARÍTIMOS[[#This Row],[Etapa Despacho - Registro]]),"")</f>
        <v>46279.568055555559</v>
      </c>
      <c r="AB382" s="11">
        <f>IFERROR(IF(MARÍTIMOS[[#This Row],[Inspección Externa]]="","",MARÍTIMOS[[#This Row],[Inspección Externa]]),"")</f>
        <v>46279.579861111109</v>
      </c>
      <c r="AC382" s="11">
        <f>IFERROR(IF(MARÍTIMOS[[#This Row],[Etapa Despacho - Inicio de Carga]]="","",MARÍTIMOS[[#This Row],[Etapa Despacho - Inicio de Carga]]),"")</f>
        <v>46279.602777777778</v>
      </c>
      <c r="AD382" s="11">
        <f>IFERROR(IF(MARÍTIMOS[[#This Row],[Etapa Despacho - Mitad de Carga]]="","",MARÍTIMOS[[#This Row],[Etapa Despacho - Mitad de Carga]]),"")</f>
        <v>46279.665972222225</v>
      </c>
      <c r="AE382" s="11">
        <f>IFERROR(IF(MARÍTIMOS[[#This Row],[Etapa Despacho - Fin de Carga]]="","",MARÍTIMOS[[#This Row],[Etapa Despacho - Fin de Carga]]),"")</f>
        <v>46279.729166666664</v>
      </c>
      <c r="AF382" s="2" t="str">
        <f>IFERROR(IF(MARÍTIMOS[[#This Row],[Puerto de Embarque]]="","",MARÍTIMOS[[#This Row],[Puerto de Embarque]]),"")</f>
        <v>CALLAO</v>
      </c>
      <c r="AG382" s="2" t="str">
        <f>IFERROR(IF(MARÍTIMOS[[#This Row],[Almacén de Ingreso]]="","",MARÍTIMOS[[#This Row],[Almacén de Ingreso]]),"")</f>
        <v>DPW</v>
      </c>
      <c r="AH382" s="11">
        <f>IFERROR(IF(MARÍTIMOS[[#This Row],[Etapa Ingreso - Cita]]="","",MARÍTIMOS[[#This Row],[Etapa Ingreso - Cita]]),"")</f>
        <v>46280.291666666664</v>
      </c>
      <c r="AI382" s="11">
        <f>IFERROR(IF(MARÍTIMOS[[#This Row],[Etapa Ingreso - Llegada]]="","",MARÍTIMOS[[#This Row],[Etapa Ingreso - Llegada]]),"")</f>
        <v>46280.265972222223</v>
      </c>
      <c r="AJ382" s="11">
        <f>IFERROR(IF(MARÍTIMOS[[#This Row],[Etapa Ingreso - Ingeso]]="","",MARÍTIMOS[[#This Row],[Etapa Ingreso - Ingeso]]),"")</f>
        <v>46280.347222222219</v>
      </c>
      <c r="AK382" s="11">
        <f>IFERROR(IF(MARÍTIMOS[[#This Row],[Etapa Ingreso - Atención]]="","",MARÍTIMOS[[#This Row],[Etapa Ingreso - Atención]]),"")</f>
        <v>46280.357638888891</v>
      </c>
      <c r="AL382" s="11">
        <f>IFERROR(IF(MARÍTIMOS[[#This Row],[Etapa Ingreso - Salida]]="","",MARÍTIMOS[[#This Row],[Etapa Ingreso - Salida]]),"")</f>
        <v>46280.362500000003</v>
      </c>
      <c r="AM382" s="2">
        <f>IFERROR(IF(MARÍTIMOS[[#This Row],[FCL]]="","",MARÍTIMOS[[#This Row],[FCL]]),"")</f>
        <v>1</v>
      </c>
      <c r="AN3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2" s="4" t="str" cm="1">
        <f t="array" ref="AO3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382" s="5">
        <f>IFERROR(OLDBD[[#This Row],[Llegada a packing]]-OLDBD[[#This Row],[Inicio de Ruta]],"")</f>
        <v>0.69999999999708962</v>
      </c>
      <c r="AQ382" s="6">
        <f>IFERROR(OLDBD[[#This Row],[Inicio de Ruta]]-OLDBD[[#This Row],[Salida de almacén de retiro]],"")</f>
        <v>3.125E-2</v>
      </c>
      <c r="AR3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82" s="8" t="str" cm="1">
        <f t="array" ref="AS3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82" s="9">
        <f>IFERROR(OLDBD[[#This Row],[Ingreso Packing]]-OLDBD[[#This Row],[Registro en Packing]],"")</f>
        <v>1.1805555550381541E-2</v>
      </c>
      <c r="AV382" s="9">
        <f>IFERROR(OLDBD[[#This Row],[Ingreso Packing]]-OLDBD[[#This Row],[Llegada a packing]],"")</f>
        <v>0.16527777777810115</v>
      </c>
      <c r="AW3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82" s="5">
        <f>IFERROR(OLDBD[[#This Row],[Llegada Almacén de Ingreso]]-OLDBD[[#This Row],[Salida Packing]],"")</f>
        <v>0.53680555555911269</v>
      </c>
      <c r="AY382" s="4" t="str" cm="1">
        <f t="array" ref="AY3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82" s="43" t="s">
        <v>173</v>
      </c>
      <c r="BB382" s="47" t="str">
        <f>IFERROR(IF(MARÍTIMOS[[#This Row],[Estatus]]="","",MARÍTIMOS[[#This Row],[Estatus]]),"")</f>
        <v>Confirmado</v>
      </c>
      <c r="BC382" s="43"/>
      <c r="BD382" s="46">
        <f>IFERROR(OLDBD[[#This Row],[Salida de almacén de retiro]]-OLDBD[[#This Row],[Ingreso Almacén de retiro]],"")</f>
        <v>0.11250000000291038</v>
      </c>
      <c r="BE382" s="46">
        <f>IFERROR(OLDBD[[#This Row],[Fin de Carga]]-OLDBD[[#This Row],[Inicio de Carga]],"")</f>
        <v>6.3194444446708076E-2</v>
      </c>
    </row>
    <row r="383" spans="1:57" customFormat="1">
      <c r="A383" s="1"/>
      <c r="B383" s="1">
        <f>IFERROR(IF(MARÍTIMOS[[#This Row],[PP]]="","",MARÍTIMOS[[#This Row],[PP]]),"")</f>
        <v>38</v>
      </c>
      <c r="C383" s="1" t="str">
        <f>IFERROR(IF(MARÍTIMOS[[#This Row],[Sede]]="","",MARÍTIMOS[[#This Row],[Sede]]),"")</f>
        <v>Chao</v>
      </c>
      <c r="D383" s="1" t="str">
        <f>IFERROR(IF(MARÍTIMOS[[#This Row],[Instruction]]="","",MARÍTIMOS[[#This Row],[Instruction]]),"")</f>
        <v>RH-0802</v>
      </c>
      <c r="E383" s="1"/>
      <c r="F383" s="2" t="str">
        <f>IFERROR(IF(MARÍTIMOS[[#This Row],[Transportista]]="","",MARÍTIMOS[[#This Row],[Transportista]]),"")</f>
        <v>Maersk</v>
      </c>
      <c r="G383" s="2" t="str">
        <f>IFERROR(IF(MARÍTIMOS[[#This Row],[Tercero]]="","",MARÍTIMOS[[#This Row],[Tercero]]),"")</f>
        <v>SI</v>
      </c>
      <c r="H383" s="2" t="str">
        <f>IFERROR(IF(MARÍTIMOS[[#This Row],[Razón Social]]="","",MARÍTIMOS[[#This Row],[Razón Social]]),"")</f>
        <v>PLATINO TRANSPORT S.A.C.</v>
      </c>
      <c r="I383" s="2">
        <f>IFERROR(IF(MARÍTIMOS[[#This Row],[RUC]]="","",MARÍTIMOS[[#This Row],[RUC]]),"")</f>
        <v>20608874802</v>
      </c>
      <c r="J383" s="2" t="str">
        <f>IFERROR(IF(MARÍTIMOS[[#This Row],[Placa Tracto]]="","",MARÍTIMOS[[#This Row],[Placa Tracto]]),"")</f>
        <v>CEX800</v>
      </c>
      <c r="K383" s="2" t="str">
        <f>IFERROR(IF(MARÍTIMOS[[#This Row],[Placa Carreta]]="","",MARÍTIMOS[[#This Row],[Placa Carreta]]),"")</f>
        <v>TPD985</v>
      </c>
      <c r="L383" s="44" t="str">
        <f>IFERROR(IF(MARÍTIMOS[[#This Row],[Conductor]]="","",MARÍTIMOS[[#This Row],[Conductor]]),"")</f>
        <v>WILLY STARKY AYAUJA VALVERDE</v>
      </c>
      <c r="M383" s="2" t="str">
        <f>IFERROR(IF(MARÍTIMOS[[#This Row],[Licencia]]="","",MARÍTIMOS[[#This Row],[Licencia]]),"")</f>
        <v>Q43485508</v>
      </c>
      <c r="N383" s="2" t="str">
        <f>IFERROR(IF(MARÍTIMOS[[#This Row],[Número de Contacto]]="","",MARÍTIMOS[[#This Row],[Número de Contacto]]),"")</f>
        <v xml:space="preserve">-  </v>
      </c>
      <c r="O383" s="10" t="str">
        <f>IFERROR(IF(MARÍTIMOS[[#This Row],[Booking|AWB|CRT]]="","",MARÍTIMOS[[#This Row],[Booking|AWB|CRT]]),"")</f>
        <v>277118457</v>
      </c>
      <c r="P383" s="2" t="str">
        <f>IFERROR(IF(MARÍTIMOS[[#This Row],[Contenedor]]="","",MARÍTIMOS[[#This Row],[Contenedor]]),"")</f>
        <v>MNBU3616288</v>
      </c>
      <c r="Q383" s="2" t="str">
        <f>IFERROR(IF(MARÍTIMOS[[#This Row],[Puerto de Retiro]]="","",MARÍTIMOS[[#This Row],[Puerto de Retiro]]),"")</f>
        <v>CALLAO</v>
      </c>
      <c r="R383" s="2" t="str">
        <f>IFERROR(IF(MARÍTIMOS[[#This Row],[Almacén de Retiro]]="","",MARÍTIMOS[[#This Row],[Almacén de Retiro]]),"")</f>
        <v>DEMARES</v>
      </c>
      <c r="S383" s="11">
        <f>IFERROR(IF(MARÍTIMOS[[#This Row],[Etapa Retiro - Cita]]="","",MARÍTIMOS[[#This Row],[Etapa Retiro - Cita]]),"")</f>
        <v>46281</v>
      </c>
      <c r="T383" s="11">
        <f>IFERROR(IF(MARÍTIMOS[[#This Row],[Etapa Retiro - Llegada]]="","",MARÍTIMOS[[#This Row],[Etapa Retiro - Llegada]]),"")</f>
        <v>46281.484722222223</v>
      </c>
      <c r="U383" s="11">
        <f>IFERROR(IF(MARÍTIMOS[[#This Row],[Etapa Retiro - Ingreso]]="","",MARÍTIMOS[[#This Row],[Etapa Retiro - Ingreso]]),"")</f>
        <v>46281.503472222219</v>
      </c>
      <c r="V383" s="11">
        <f>IFERROR(IF(MARÍTIMOS[[#This Row],[Etapa Retiro - Atención]]="","",MARÍTIMOS[[#This Row],[Etapa Retiro - Atención]]),"")</f>
        <v>46281.504861111112</v>
      </c>
      <c r="W383" s="11">
        <f>IFERROR(IF(MARÍTIMOS[[#This Row],[Etapa Retiro - Atención]]="","",MARÍTIMOS[[#This Row],[Etapa Retiro - Atención]]),"")</f>
        <v>46281.504861111112</v>
      </c>
      <c r="X383" s="11">
        <f>IFERROR(IF(MARÍTIMOS[[#This Row],[Etapa Retiro - Inicio de Ruta]]="","",MARÍTIMOS[[#This Row],[Etapa Retiro - Inicio de Ruta]]),"")</f>
        <v>46281.513888888891</v>
      </c>
      <c r="Y383" s="11">
        <f>IFERROR(IF(MARÍTIMOS[[#This Row],[Hora de Posicionamiento]]="","",MARÍTIMOS[[#This Row],[Fecha de Carga]]+MARÍTIMOS[[#This Row],[Hora de Posicionamiento]]),"")</f>
        <v>46282.416666666664</v>
      </c>
      <c r="Z383" s="11">
        <f>IFERROR(IF(MARÍTIMOS[[#This Row],[Etapa Despacho - Llegada]]="","",MARÍTIMOS[[#This Row],[Etapa Despacho - Llegada]]),"")</f>
        <v>46282.454861111109</v>
      </c>
      <c r="AA383" s="11">
        <f>IFERROR(IF(MARÍTIMOS[[#This Row],[Etapa Despacho - Registro]]="","",MARÍTIMOS[[#This Row],[Etapa Despacho - Registro]]),"")</f>
        <v>46282.47152777778</v>
      </c>
      <c r="AB383" s="11">
        <f>IFERROR(IF(MARÍTIMOS[[#This Row],[Inspección Externa]]="","",MARÍTIMOS[[#This Row],[Inspección Externa]]),"")</f>
        <v>46282.488194444442</v>
      </c>
      <c r="AC383" s="11">
        <f>IFERROR(IF(MARÍTIMOS[[#This Row],[Etapa Despacho - Inicio de Carga]]="","",MARÍTIMOS[[#This Row],[Etapa Despacho - Inicio de Carga]]),"")</f>
        <v>46282.591666666667</v>
      </c>
      <c r="AD383" s="11">
        <f>IFERROR(IF(MARÍTIMOS[[#This Row],[Etapa Despacho - Mitad de Carga]]="","",MARÍTIMOS[[#This Row],[Etapa Despacho - Mitad de Carga]]),"")</f>
        <v>46282.6</v>
      </c>
      <c r="AE383" s="11">
        <f>IFERROR(IF(MARÍTIMOS[[#This Row],[Etapa Despacho - Fin de Carga]]="","",MARÍTIMOS[[#This Row],[Etapa Despacho - Fin de Carga]]),"")</f>
        <v>46282.605555555558</v>
      </c>
      <c r="AF383" s="2" t="str">
        <f>IFERROR(IF(MARÍTIMOS[[#This Row],[Puerto de Embarque]]="","",MARÍTIMOS[[#This Row],[Puerto de Embarque]]),"")</f>
        <v>CALLAO</v>
      </c>
      <c r="AG383" s="2" t="str">
        <f>IFERROR(IF(MARÍTIMOS[[#This Row],[Almacén de Ingreso]]="","",MARÍTIMOS[[#This Row],[Almacén de Ingreso]]),"")</f>
        <v>APM</v>
      </c>
      <c r="AH383" s="11">
        <f>IFERROR(IF(MARÍTIMOS[[#This Row],[Etapa Ingreso - Cita]]="","",MARÍTIMOS[[#This Row],[Etapa Ingreso - Cita]]),"")</f>
        <v>46283.583333333336</v>
      </c>
      <c r="AI383" s="11">
        <f>IFERROR(IF(MARÍTIMOS[[#This Row],[Etapa Ingreso - Llegada]]="","",MARÍTIMOS[[#This Row],[Etapa Ingreso - Llegada]]),"")</f>
        <v>46283.583333333336</v>
      </c>
      <c r="AJ383" s="11">
        <f>IFERROR(IF(MARÍTIMOS[[#This Row],[Etapa Ingreso - Ingeso]]="","",MARÍTIMOS[[#This Row],[Etapa Ingreso - Ingeso]]),"")</f>
        <v>46283.67291666667</v>
      </c>
      <c r="AK383" s="11">
        <f>IFERROR(IF(MARÍTIMOS[[#This Row],[Etapa Ingreso - Atención]]="","",MARÍTIMOS[[#This Row],[Etapa Ingreso - Atención]]),"")</f>
        <v>46283.760416666664</v>
      </c>
      <c r="AL383" s="11">
        <f>IFERROR(IF(MARÍTIMOS[[#This Row],[Etapa Ingreso - Salida]]="","",MARÍTIMOS[[#This Row],[Etapa Ingreso - Salida]]),"")</f>
        <v>46283.770833333336</v>
      </c>
      <c r="AM383" s="2">
        <f>IFERROR(IF(MARÍTIMOS[[#This Row],[FCL]]="","",MARÍTIMOS[[#This Row],[FCL]]),"")</f>
        <v>1</v>
      </c>
      <c r="AN3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3" s="4" t="str" cm="1">
        <f t="array" ref="AO3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3" s="5">
        <f>IFERROR(OLDBD[[#This Row],[Llegada a packing]]-OLDBD[[#This Row],[Inicio de Ruta]],"")</f>
        <v>0.94097222221898846</v>
      </c>
      <c r="AQ383" s="6">
        <f>IFERROR(OLDBD[[#This Row],[Inicio de Ruta]]-OLDBD[[#This Row],[Salida de almacén de retiro]],"")</f>
        <v>9.0277777781011537E-3</v>
      </c>
      <c r="AR3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83" s="8" t="str" cm="1">
        <f t="array" ref="AS3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83" s="9">
        <f>IFERROR(OLDBD[[#This Row],[Ingreso Packing]]-OLDBD[[#This Row],[Registro en Packing]],"")</f>
        <v>1.6666666662786156E-2</v>
      </c>
      <c r="AV383" s="9">
        <f>IFERROR(OLDBD[[#This Row],[Ingreso Packing]]-OLDBD[[#This Row],[Llegada a packing]],"")</f>
        <v>3.3333333332848269E-2</v>
      </c>
      <c r="AW3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83" s="5">
        <f>IFERROR(OLDBD[[#This Row],[Llegada Almacén de Ingreso]]-OLDBD[[#This Row],[Salida Packing]],"")</f>
        <v>0.97777777777810115</v>
      </c>
      <c r="AY383" s="4" t="str" cm="1">
        <f t="array" ref="AY3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3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83" s="43" t="s">
        <v>173</v>
      </c>
      <c r="BB383" s="47" t="str">
        <f>IFERROR(IF(MARÍTIMOS[[#This Row],[Estatus]]="","",MARÍTIMOS[[#This Row],[Estatus]]),"")</f>
        <v>Confirmado</v>
      </c>
      <c r="BC383" s="43"/>
      <c r="BD383" s="46">
        <f>IFERROR(OLDBD[[#This Row],[Salida de almacén de retiro]]-OLDBD[[#This Row],[Ingreso Almacén de retiro]],"")</f>
        <v>1.3888888934161514E-3</v>
      </c>
      <c r="BE383" s="46">
        <f>IFERROR(OLDBD[[#This Row],[Fin de Carga]]-OLDBD[[#This Row],[Inicio de Carga]],"")</f>
        <v>8.333333331393078E-3</v>
      </c>
    </row>
    <row r="384" spans="1:57" customFormat="1" hidden="1">
      <c r="A384" s="1"/>
      <c r="B384" s="1">
        <f>IFERROR(IF(MARÍTIMOS[[#This Row],[PP]]="","",MARÍTIMOS[[#This Row],[PP]]),"")</f>
        <v>39</v>
      </c>
      <c r="C384" s="1" t="str">
        <f>IFERROR(IF(MARÍTIMOS[[#This Row],[Sede]]="","",MARÍTIMOS[[#This Row],[Sede]]),"")</f>
        <v>Chao</v>
      </c>
      <c r="D384" s="1" t="str">
        <f>IFERROR(IF(MARÍTIMOS[[#This Row],[Instruction]]="","",MARÍTIMOS[[#This Row],[Instruction]]),"")</f>
        <v>RH-0849</v>
      </c>
      <c r="E384" s="1"/>
      <c r="F384" s="2" t="str">
        <f>IFERROR(IF(MARÍTIMOS[[#This Row],[Transportista]]="","",MARÍTIMOS[[#This Row],[Transportista]]),"")</f>
        <v>Maersk</v>
      </c>
      <c r="G384" s="2" t="str">
        <f>IFERROR(IF(MARÍTIMOS[[#This Row],[Tercero]]="","",MARÍTIMOS[[#This Row],[Tercero]]),"")</f>
        <v>SI</v>
      </c>
      <c r="H384" s="2" t="str">
        <f>IFERROR(IF(MARÍTIMOS[[#This Row],[Razón Social]]="","",MARÍTIMOS[[#This Row],[Razón Social]]),"")</f>
        <v>JAVTRAN'S PERU S.A.C.</v>
      </c>
      <c r="I384" s="2">
        <f>IFERROR(IF(MARÍTIMOS[[#This Row],[RUC]]="","",MARÍTIMOS[[#This Row],[RUC]]),"")</f>
        <v>20616030133</v>
      </c>
      <c r="J384" s="2" t="str">
        <f>IFERROR(IF(MARÍTIMOS[[#This Row],[Placa Tracto]]="","",MARÍTIMOS[[#This Row],[Placa Tracto]]),"")</f>
        <v>AFD885</v>
      </c>
      <c r="K384" s="2" t="str">
        <f>IFERROR(IF(MARÍTIMOS[[#This Row],[Placa Carreta]]="","",MARÍTIMOS[[#This Row],[Placa Carreta]]),"")</f>
        <v>BCO989</v>
      </c>
      <c r="L384" s="44" t="str">
        <f>IFERROR(IF(MARÍTIMOS[[#This Row],[Conductor]]="","",MARÍTIMOS[[#This Row],[Conductor]]),"")</f>
        <v>PEDRO ROJAS SIFUENTES</v>
      </c>
      <c r="M384" s="2" t="str">
        <f>IFERROR(IF(MARÍTIMOS[[#This Row],[Licencia]]="","",MARÍTIMOS[[#This Row],[Licencia]]),"")</f>
        <v>Q45434847</v>
      </c>
      <c r="N384" s="2" t="str">
        <f>IFERROR(IF(MARÍTIMOS[[#This Row],[Número de Contacto]]="","",MARÍTIMOS[[#This Row],[Número de Contacto]]),"")</f>
        <v xml:space="preserve">-  </v>
      </c>
      <c r="O384" s="10">
        <f>IFERROR(IF(MARÍTIMOS[[#This Row],[Booking|AWB|CRT]]="","",MARÍTIMOS[[#This Row],[Booking|AWB|CRT]]),"")</f>
        <v>277309205</v>
      </c>
      <c r="P384" s="2" t="str">
        <f>IFERROR(IF(MARÍTIMOS[[#This Row],[Contenedor]]="","",MARÍTIMOS[[#This Row],[Contenedor]]),"")</f>
        <v>MNBU0660013</v>
      </c>
      <c r="Q384" s="2" t="str">
        <f>IFERROR(IF(MARÍTIMOS[[#This Row],[Puerto de Retiro]]="","",MARÍTIMOS[[#This Row],[Puerto de Retiro]]),"")</f>
        <v>CALLAO</v>
      </c>
      <c r="R384" s="2" t="str">
        <f>IFERROR(IF(MARÍTIMOS[[#This Row],[Almacén de Retiro]]="","",MARÍTIMOS[[#This Row],[Almacén de Retiro]]),"")</f>
        <v>DEMARES</v>
      </c>
      <c r="S384" s="11">
        <f>IFERROR(IF(MARÍTIMOS[[#This Row],[Etapa Retiro - Cita]]="","",MARÍTIMOS[[#This Row],[Etapa Retiro - Cita]]),"")</f>
        <v>46288.5</v>
      </c>
      <c r="T384" s="11">
        <f>IFERROR(IF(MARÍTIMOS[[#This Row],[Etapa Retiro - Llegada]]="","",MARÍTIMOS[[#This Row],[Etapa Retiro - Llegada]]),"")</f>
        <v>46288.515972222223</v>
      </c>
      <c r="U384" s="11">
        <f>IFERROR(IF(MARÍTIMOS[[#This Row],[Etapa Retiro - Ingreso]]="","",MARÍTIMOS[[#This Row],[Etapa Retiro - Ingreso]]),"")</f>
        <v>46288.549305555556</v>
      </c>
      <c r="V384" s="11">
        <f>IFERROR(IF(MARÍTIMOS[[#This Row],[Etapa Retiro - Atención]]="","",MARÍTIMOS[[#This Row],[Etapa Retiro - Atención]]),"")</f>
        <v>46288.563888888886</v>
      </c>
      <c r="W384" s="11">
        <f>IFERROR(IF(MARÍTIMOS[[#This Row],[Etapa Retiro - Atención]]="","",MARÍTIMOS[[#This Row],[Etapa Retiro - Atención]]),"")</f>
        <v>46288.563888888886</v>
      </c>
      <c r="X384" s="11">
        <f>IFERROR(IF(MARÍTIMOS[[#This Row],[Etapa Retiro - Inicio de Ruta]]="","",MARÍTIMOS[[#This Row],[Etapa Retiro - Inicio de Ruta]]),"")</f>
        <v>46288.570833333331</v>
      </c>
      <c r="Y384" s="11">
        <f>IFERROR(IF(MARÍTIMOS[[#This Row],[Hora de Posicionamiento]]="","",MARÍTIMOS[[#This Row],[Fecha de Carga]]+MARÍTIMOS[[#This Row],[Hora de Posicionamiento]]),"")</f>
        <v>46289.416666666664</v>
      </c>
      <c r="Z384" s="11">
        <f>IFERROR(IF(MARÍTIMOS[[#This Row],[Etapa Despacho - Llegada]]="","",MARÍTIMOS[[#This Row],[Etapa Despacho - Llegada]]),"")</f>
        <v>46289.366666666669</v>
      </c>
      <c r="AA384" s="11">
        <f>IFERROR(IF(MARÍTIMOS[[#This Row],[Etapa Despacho - Registro]]="","",MARÍTIMOS[[#This Row],[Etapa Despacho - Registro]]),"")</f>
        <v>46289.368055555555</v>
      </c>
      <c r="AB384" s="11">
        <f>IFERROR(IF(MARÍTIMOS[[#This Row],[Inspección Externa]]="","",MARÍTIMOS[[#This Row],[Inspección Externa]]),"")</f>
        <v>46289.382638888892</v>
      </c>
      <c r="AC384" s="11">
        <f>IFERROR(IF(MARÍTIMOS[[#This Row],[Etapa Despacho - Inicio de Carga]]="","",MARÍTIMOS[[#This Row],[Etapa Despacho - Inicio de Carga]]),"")</f>
        <v>46289.495833333334</v>
      </c>
      <c r="AD384" s="11">
        <f>IFERROR(IF(MARÍTIMOS[[#This Row],[Etapa Despacho - Mitad de Carga]]="","",MARÍTIMOS[[#This Row],[Etapa Despacho - Mitad de Carga]]),"")</f>
        <v>46289.498611111114</v>
      </c>
      <c r="AE384" s="11">
        <f>IFERROR(IF(MARÍTIMOS[[#This Row],[Etapa Despacho - Fin de Carga]]="","",MARÍTIMOS[[#This Row],[Etapa Despacho - Fin de Carga]]),"")</f>
        <v>46289.504861111112</v>
      </c>
      <c r="AF384" s="2" t="str">
        <f>IFERROR(IF(MARÍTIMOS[[#This Row],[Puerto de Embarque]]="","",MARÍTIMOS[[#This Row],[Puerto de Embarque]]),"")</f>
        <v>CALLAO</v>
      </c>
      <c r="AG384" s="2" t="str">
        <f>IFERROR(IF(MARÍTIMOS[[#This Row],[Almacén de Ingreso]]="","",MARÍTIMOS[[#This Row],[Almacén de Ingreso]]),"")</f>
        <v>APM</v>
      </c>
      <c r="AH384" s="11">
        <f>IFERROR(IF(MARÍTIMOS[[#This Row],[Etapa Ingreso - Cita]]="","",MARÍTIMOS[[#This Row],[Etapa Ingreso - Cita]]),"")</f>
        <v>46290.25</v>
      </c>
      <c r="AI384" s="11">
        <f>IFERROR(IF(MARÍTIMOS[[#This Row],[Etapa Ingreso - Llegada]]="","",MARÍTIMOS[[#This Row],[Etapa Ingreso - Llegada]]),"")</f>
        <v>46290.224999999999</v>
      </c>
      <c r="AJ384" s="11">
        <f>IFERROR(IF(MARÍTIMOS[[#This Row],[Etapa Ingreso - Ingeso]]="","",MARÍTIMOS[[#This Row],[Etapa Ingreso - Ingeso]]),"")</f>
        <v>46290.240277777775</v>
      </c>
      <c r="AK384" s="11">
        <f>IFERROR(IF(MARÍTIMOS[[#This Row],[Etapa Ingreso - Atención]]="","",MARÍTIMOS[[#This Row],[Etapa Ingreso - Atención]]),"")</f>
        <v>46290.256944444445</v>
      </c>
      <c r="AL384" s="11">
        <f>IFERROR(IF(MARÍTIMOS[[#This Row],[Etapa Ingreso - Salida]]="","",MARÍTIMOS[[#This Row],[Etapa Ingreso - Salida]]),"")</f>
        <v>46290.260416666664</v>
      </c>
      <c r="AM384" s="2">
        <f>IFERROR(IF(MARÍTIMOS[[#This Row],[FCL]]="","",MARÍTIMOS[[#This Row],[FCL]]),"")</f>
        <v>1</v>
      </c>
      <c r="AN3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4" s="4" t="str" cm="1">
        <f t="array" ref="AO3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4" s="5">
        <f>IFERROR(OLDBD[[#This Row],[Llegada a packing]]-OLDBD[[#This Row],[Inicio de Ruta]],"")</f>
        <v>0.79583333333721384</v>
      </c>
      <c r="AQ384" s="6">
        <f>IFERROR(OLDBD[[#This Row],[Inicio de Ruta]]-OLDBD[[#This Row],[Salida de almacén de retiro]],"")</f>
        <v>6.9444444452528842E-3</v>
      </c>
      <c r="AR3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84" s="8" t="str" cm="1">
        <f t="array" ref="AS3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84" s="9">
        <f>IFERROR(OLDBD[[#This Row],[Ingreso Packing]]-OLDBD[[#This Row],[Registro en Packing]],"")</f>
        <v>1.4583333337213844E-2</v>
      </c>
      <c r="AV384" s="9">
        <f>IFERROR(OLDBD[[#This Row],[Ingreso Packing]]-OLDBD[[#This Row],[Llegada a packing]],"")</f>
        <v>1.5972222223354038E-2</v>
      </c>
      <c r="AW3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>ON TIME</v>
      </c>
      <c r="AX384" s="5">
        <f>IFERROR(OLDBD[[#This Row],[Llegada Almacén de Ingreso]]-OLDBD[[#This Row],[Salida Packing]],"")</f>
        <v>0.72013888888614019</v>
      </c>
      <c r="AY384" s="4" t="str" cm="1">
        <f t="array" ref="AY3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84" s="43" t="s">
        <v>173</v>
      </c>
      <c r="BB384" s="47" t="str">
        <f>IFERROR(IF(MARÍTIMOS[[#This Row],[Estatus]]="","",MARÍTIMOS[[#This Row],[Estatus]]),"")</f>
        <v>Confirmado</v>
      </c>
      <c r="BC384" s="43"/>
      <c r="BD384" s="46">
        <f>IFERROR(OLDBD[[#This Row],[Salida de almacén de retiro]]-OLDBD[[#This Row],[Ingreso Almacén de retiro]],"")</f>
        <v>1.4583333329937886E-2</v>
      </c>
      <c r="BE384" s="46">
        <f>IFERROR(OLDBD[[#This Row],[Fin de Carga]]-OLDBD[[#This Row],[Inicio de Carga]],"")</f>
        <v>2.7777777795563452E-3</v>
      </c>
    </row>
    <row r="385" spans="1:57" customFormat="1" hidden="1">
      <c r="A385" s="1"/>
      <c r="B385" s="1">
        <f>IFERROR(IF(MARÍTIMOS[[#This Row],[PP]]="","",MARÍTIMOS[[#This Row],[PP]]),"")</f>
        <v>28</v>
      </c>
      <c r="C385" s="1" t="str">
        <f>IFERROR(IF(MARÍTIMOS[[#This Row],[Sede]]="","",MARÍTIMOS[[#This Row],[Sede]]),"")</f>
        <v>Chao</v>
      </c>
      <c r="D385" s="1" t="str">
        <f>IFERROR(IF(MARÍTIMOS[[#This Row],[Instruction]]="","",MARÍTIMOS[[#This Row],[Instruction]]),"")</f>
        <v>RH-0144</v>
      </c>
      <c r="E385" s="1"/>
      <c r="F385" s="2" t="str">
        <f>IFERROR(IF(MARÍTIMOS[[#This Row],[Transportista]]="","",MARÍTIMOS[[#This Row],[Transportista]]),"")</f>
        <v>VESL</v>
      </c>
      <c r="G385" s="2" t="str">
        <f>IFERROR(IF(MARÍTIMOS[[#This Row],[Tercero]]="","",MARÍTIMOS[[#This Row],[Tercero]]),"")</f>
        <v>NO</v>
      </c>
      <c r="H385" s="2" t="str">
        <f>IFERROR(IF(MARÍTIMOS[[#This Row],[Razón Social]]="","",MARÍTIMOS[[#This Row],[Razón Social]]),"")</f>
        <v>VE SOLUCIONES LOGISTICAS SAC</v>
      </c>
      <c r="I385" s="2">
        <f>IFERROR(IF(MARÍTIMOS[[#This Row],[RUC]]="","",MARÍTIMOS[[#This Row],[RUC]]),"")</f>
        <v>20557679392</v>
      </c>
      <c r="J385" s="2" t="str">
        <f>IFERROR(IF(MARÍTIMOS[[#This Row],[Placa Tracto]]="","",MARÍTIMOS[[#This Row],[Placa Tracto]]),"")</f>
        <v>BYR886</v>
      </c>
      <c r="K385" s="2" t="str">
        <f>IFERROR(IF(MARÍTIMOS[[#This Row],[Placa Carreta]]="","",MARÍTIMOS[[#This Row],[Placa Carreta]]),"")</f>
        <v>AMQ-980</v>
      </c>
      <c r="L385" s="44" t="str">
        <f>IFERROR(IF(MARÍTIMOS[[#This Row],[Conductor]]="","",MARÍTIMOS[[#This Row],[Conductor]]),"")</f>
        <v>CHAVEZ SAUCEDO SEGUNDO PORFIRIO</v>
      </c>
      <c r="M385" s="2" t="str">
        <f>IFERROR(IF(MARÍTIMOS[[#This Row],[Licencia]]="","",MARÍTIMOS[[#This Row],[Licencia]]),"")</f>
        <v>Q07525965</v>
      </c>
      <c r="N385" s="2">
        <f>IFERROR(IF(MARÍTIMOS[[#This Row],[Número de Contacto]]="","",MARÍTIMOS[[#This Row],[Número de Contacto]]),"")</f>
        <v>0</v>
      </c>
      <c r="O385" s="10" t="str">
        <f>IFERROR(IF(MARÍTIMOS[[#This Row],[Booking|AWB|CRT]]="","",MARÍTIMOS[[#This Row],[Booking|AWB|CRT]]),"")</f>
        <v>LIM600238900</v>
      </c>
      <c r="P385" s="2" t="str">
        <f>IFERROR(IF(MARÍTIMOS[[#This Row],[Contenedor]]="","",MARÍTIMOS[[#This Row],[Contenedor]]),"")</f>
        <v>EMCU5749920</v>
      </c>
      <c r="Q385" s="2" t="str">
        <f>IFERROR(IF(MARÍTIMOS[[#This Row],[Puerto de Retiro]]="","",MARÍTIMOS[[#This Row],[Puerto de Retiro]]),"")</f>
        <v>CALLAO</v>
      </c>
      <c r="R385" s="2" t="str">
        <f>IFERROR(IF(MARÍTIMOS[[#This Row],[Almacén de Retiro]]="","",MARÍTIMOS[[#This Row],[Almacén de Retiro]]),"")</f>
        <v>TPP</v>
      </c>
      <c r="S385" s="11">
        <f>IFERROR(IF(MARÍTIMOS[[#This Row],[Etapa Retiro - Cita]]="","",MARÍTIMOS[[#This Row],[Etapa Retiro - Cita]]),"")</f>
        <v>46214.583333333336</v>
      </c>
      <c r="T385" s="11">
        <f>IFERROR(IF(MARÍTIMOS[[#This Row],[Etapa Retiro - Llegada]]="","",MARÍTIMOS[[#This Row],[Etapa Retiro - Llegada]]),"")</f>
        <v>46214.611111111109</v>
      </c>
      <c r="U385" s="11">
        <f>IFERROR(IF(MARÍTIMOS[[#This Row],[Etapa Retiro - Ingreso]]="","",MARÍTIMOS[[#This Row],[Etapa Retiro - Ingreso]]),"")</f>
        <v>46214.617361111108</v>
      </c>
      <c r="V385" s="11">
        <f>IFERROR(IF(MARÍTIMOS[[#This Row],[Etapa Retiro - Atención]]="","",MARÍTIMOS[[#This Row],[Etapa Retiro - Atención]]),"")</f>
        <v>46214.654861111114</v>
      </c>
      <c r="W385" s="11">
        <f>IFERROR(IF(MARÍTIMOS[[#This Row],[Etapa Retiro - Atención]]="","",MARÍTIMOS[[#This Row],[Etapa Retiro - Atención]]),"")</f>
        <v>46214.654861111114</v>
      </c>
      <c r="X385" s="11">
        <f>IFERROR(IF(MARÍTIMOS[[#This Row],[Etapa Retiro - Inicio de Ruta]]="","",MARÍTIMOS[[#This Row],[Etapa Retiro - Inicio de Ruta]]),"")</f>
        <v>46214.734027777777</v>
      </c>
      <c r="Y385" s="11">
        <f>IFERROR(IF(MARÍTIMOS[[#This Row],[Hora de Posicionamiento]]="","",MARÍTIMOS[[#This Row],[Fecha de Carga]]+MARÍTIMOS[[#This Row],[Hora de Posicionamiento]]),"")</f>
        <v>46215.5</v>
      </c>
      <c r="Z385" s="11">
        <f>IFERROR(IF(MARÍTIMOS[[#This Row],[Etapa Despacho - Llegada]]="","",MARÍTIMOS[[#This Row],[Etapa Despacho - Llegada]]),"")</f>
        <v>46215.356944444444</v>
      </c>
      <c r="AA385" s="11">
        <f>IFERROR(IF(MARÍTIMOS[[#This Row],[Etapa Despacho - Registro]]="","",MARÍTIMOS[[#This Row],[Etapa Despacho - Registro]]),"")</f>
        <v>46215.356944444444</v>
      </c>
      <c r="AB385" s="11">
        <f>IFERROR(IF(MARÍTIMOS[[#This Row],[Inspección Externa]]="","",MARÍTIMOS[[#This Row],[Inspección Externa]]),"")</f>
        <v>46363.37222222222</v>
      </c>
      <c r="AC385" s="11">
        <f>IFERROR(IF(MARÍTIMOS[[#This Row],[Etapa Despacho - Inicio de Carga]]="","",MARÍTIMOS[[#This Row],[Etapa Despacho - Inicio de Carga]]),"")</f>
        <v>46215.619444444441</v>
      </c>
      <c r="AD385" s="11" t="str">
        <f>IFERROR(IF(MARÍTIMOS[[#This Row],[Etapa Despacho - Mitad de Carga]]="","",MARÍTIMOS[[#This Row],[Etapa Despacho - Mitad de Carga]]),"")</f>
        <v/>
      </c>
      <c r="AE385" s="11">
        <f>IFERROR(IF(MARÍTIMOS[[#This Row],[Etapa Despacho - Fin de Carga]]="","",MARÍTIMOS[[#This Row],[Etapa Despacho - Fin de Carga]]),"")</f>
        <v>46215.702777777777</v>
      </c>
      <c r="AF385" s="2" t="str">
        <f>IFERROR(IF(MARÍTIMOS[[#This Row],[Puerto de Embarque]]="","",MARÍTIMOS[[#This Row],[Puerto de Embarque]]),"")</f>
        <v>Callao</v>
      </c>
      <c r="AG385" s="2" t="str">
        <f>IFERROR(IF(MARÍTIMOS[[#This Row],[Almacén de Ingreso]]="","",MARÍTIMOS[[#This Row],[Almacén de Ingreso]]),"")</f>
        <v>DPW</v>
      </c>
      <c r="AH385" s="11">
        <f>IFERROR(IF(MARÍTIMOS[[#This Row],[Etapa Ingreso - Cita]]="","",MARÍTIMOS[[#This Row],[Etapa Ingreso - Cita]]),"")</f>
        <v>46216.583333333336</v>
      </c>
      <c r="AI385" s="11">
        <f>IFERROR(IF(MARÍTIMOS[[#This Row],[Etapa Ingreso - Llegada]]="","",MARÍTIMOS[[#This Row],[Etapa Ingreso - Llegada]]),"")</f>
        <v>46216.482638888891</v>
      </c>
      <c r="AJ385" s="11">
        <f>IFERROR(IF(MARÍTIMOS[[#This Row],[Etapa Ingreso - Ingeso]]="","",MARÍTIMOS[[#This Row],[Etapa Ingreso - Ingeso]]),"")</f>
        <v>46216.584027777775</v>
      </c>
      <c r="AK385" s="11">
        <f>IFERROR(IF(MARÍTIMOS[[#This Row],[Etapa Ingreso - Atención]]="","",MARÍTIMOS[[#This Row],[Etapa Ingreso - Atención]]),"")</f>
        <v>46216.586805555555</v>
      </c>
      <c r="AL385" s="11">
        <f>IFERROR(IF(MARÍTIMOS[[#This Row],[Etapa Ingreso - Salida]]="","",MARÍTIMOS[[#This Row],[Etapa Ingreso - Salida]]),"")</f>
        <v>46216.59652777778</v>
      </c>
      <c r="AM385" s="2">
        <f>IFERROR(IF(MARÍTIMOS[[#This Row],[FCL]]="","",MARÍTIMOS[[#This Row],[FCL]]),"")</f>
        <v>1</v>
      </c>
      <c r="AN3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5" s="4" t="str" cm="1">
        <f t="array" ref="AO3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5" s="5">
        <f>IFERROR(OLDBD[[#This Row],[Llegada a packing]]-OLDBD[[#This Row],[Inicio de Ruta]],"")</f>
        <v>0.62291666666715173</v>
      </c>
      <c r="AQ385" s="6">
        <f>IFERROR(OLDBD[[#This Row],[Inicio de Ruta]]-OLDBD[[#This Row],[Salida de almacén de retiro]],"")</f>
        <v>7.9166666662786156E-2</v>
      </c>
      <c r="AR3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85" s="8" t="str" cm="1">
        <f t="array" ref="AS3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85" s="9">
        <f>IFERROR(OLDBD[[#This Row],[Ingreso Packing]]-OLDBD[[#This Row],[Registro en Packing]],"")</f>
        <v>148.01527777777665</v>
      </c>
      <c r="AV385" s="9">
        <f>IFERROR(OLDBD[[#This Row],[Ingreso Packing]]-OLDBD[[#This Row],[Llegada a packing]],"")</f>
        <v>148.01527777777665</v>
      </c>
      <c r="AW3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85" s="5">
        <f>IFERROR(OLDBD[[#This Row],[Llegada Almacén de Ingreso]]-OLDBD[[#This Row],[Salida Packing]],"")</f>
        <v>0.77986111111385981</v>
      </c>
      <c r="AY385" s="4" t="str" cm="1">
        <f t="array" ref="AY3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85" s="43" t="s">
        <v>173</v>
      </c>
      <c r="BB385" s="47" t="str">
        <f>IFERROR(IF(MARÍTIMOS[[#This Row],[Estatus]]="","",MARÍTIMOS[[#This Row],[Estatus]]),"")</f>
        <v>Confirmado</v>
      </c>
      <c r="BC385" s="43"/>
      <c r="BD385" s="46">
        <f>IFERROR(OLDBD[[#This Row],[Salida de almacén de retiro]]-OLDBD[[#This Row],[Ingreso Almacén de retiro]],"")</f>
        <v>3.7500000005820766E-2</v>
      </c>
      <c r="BE385" s="46" t="str">
        <f>IFERROR(OLDBD[[#This Row],[Fin de Carga]]-OLDBD[[#This Row],[Inicio de Carga]],"")</f>
        <v/>
      </c>
    </row>
    <row r="386" spans="1:57" customFormat="1" hidden="1">
      <c r="A386" s="1"/>
      <c r="B386" s="1">
        <f>IFERROR(IF(MARÍTIMOS[[#This Row],[PP]]="","",MARÍTIMOS[[#This Row],[PP]]),"")</f>
        <v>28</v>
      </c>
      <c r="C386" s="1" t="str">
        <f>IFERROR(IF(MARÍTIMOS[[#This Row],[Sede]]="","",MARÍTIMOS[[#This Row],[Sede]]),"")</f>
        <v>Chao</v>
      </c>
      <c r="D386" s="1" t="str">
        <f>IFERROR(IF(MARÍTIMOS[[#This Row],[Instruction]]="","",MARÍTIMOS[[#This Row],[Instruction]]),"")</f>
        <v>RH-0145</v>
      </c>
      <c r="E386" s="1"/>
      <c r="F386" s="2" t="str">
        <f>IFERROR(IF(MARÍTIMOS[[#This Row],[Transportista]]="","",MARÍTIMOS[[#This Row],[Transportista]]),"")</f>
        <v>VESL</v>
      </c>
      <c r="G386" s="2" t="str">
        <f>IFERROR(IF(MARÍTIMOS[[#This Row],[Tercero]]="","",MARÍTIMOS[[#This Row],[Tercero]]),"")</f>
        <v>NO</v>
      </c>
      <c r="H386" s="2" t="str">
        <f>IFERROR(IF(MARÍTIMOS[[#This Row],[Razón Social]]="","",MARÍTIMOS[[#This Row],[Razón Social]]),"")</f>
        <v>VE SOLUCIONES LOGISTICAS SAC</v>
      </c>
      <c r="I386" s="2">
        <f>IFERROR(IF(MARÍTIMOS[[#This Row],[RUC]]="","",MARÍTIMOS[[#This Row],[RUC]]),"")</f>
        <v>20557679392</v>
      </c>
      <c r="J386" s="2" t="str">
        <f>IFERROR(IF(MARÍTIMOS[[#This Row],[Placa Tracto]]="","",MARÍTIMOS[[#This Row],[Placa Tracto]]),"")</f>
        <v>BYS704</v>
      </c>
      <c r="K386" s="2" t="str">
        <f>IFERROR(IF(MARÍTIMOS[[#This Row],[Placa Carreta]]="","",MARÍTIMOS[[#This Row],[Placa Carreta]]),"")</f>
        <v>AMR-981</v>
      </c>
      <c r="L386" s="44" t="str">
        <f>IFERROR(IF(MARÍTIMOS[[#This Row],[Conductor]]="","",MARÍTIMOS[[#This Row],[Conductor]]),"")</f>
        <v>GALAN CHINCHAY DAVID ROGER</v>
      </c>
      <c r="M386" s="2" t="str">
        <f>IFERROR(IF(MARÍTIMOS[[#This Row],[Licencia]]="","",MARÍTIMOS[[#This Row],[Licencia]]),"")</f>
        <v>E77014924</v>
      </c>
      <c r="N386" s="2">
        <f>IFERROR(IF(MARÍTIMOS[[#This Row],[Número de Contacto]]="","",MARÍTIMOS[[#This Row],[Número de Contacto]]),"")</f>
        <v>0</v>
      </c>
      <c r="O386" s="10" t="str">
        <f>IFERROR(IF(MARÍTIMOS[[#This Row],[Booking|AWB|CRT]]="","",MARÍTIMOS[[#This Row],[Booking|AWB|CRT]]),"")</f>
        <v>LIM600239200</v>
      </c>
      <c r="P386" s="2" t="str">
        <f>IFERROR(IF(MARÍTIMOS[[#This Row],[Contenedor]]="","",MARÍTIMOS[[#This Row],[Contenedor]]),"")</f>
        <v>EMCU5926413</v>
      </c>
      <c r="Q386" s="2" t="str">
        <f>IFERROR(IF(MARÍTIMOS[[#This Row],[Puerto de Retiro]]="","",MARÍTIMOS[[#This Row],[Puerto de Retiro]]),"")</f>
        <v>CALLAO</v>
      </c>
      <c r="R386" s="2" t="str">
        <f>IFERROR(IF(MARÍTIMOS[[#This Row],[Almacén de Retiro]]="","",MARÍTIMOS[[#This Row],[Almacén de Retiro]]),"")</f>
        <v>TPP</v>
      </c>
      <c r="S386" s="11">
        <f>IFERROR(IF(MARÍTIMOS[[#This Row],[Etapa Retiro - Cita]]="","",MARÍTIMOS[[#This Row],[Etapa Retiro - Cita]]),"")</f>
        <v>46214.583333333336</v>
      </c>
      <c r="T386" s="11">
        <f>IFERROR(IF(MARÍTIMOS[[#This Row],[Etapa Retiro - Llegada]]="","",MARÍTIMOS[[#This Row],[Etapa Retiro - Llegada]]),"")</f>
        <v>46214.615277777775</v>
      </c>
      <c r="U386" s="11">
        <f>IFERROR(IF(MARÍTIMOS[[#This Row],[Etapa Retiro - Ingreso]]="","",MARÍTIMOS[[#This Row],[Etapa Retiro - Ingreso]]),"")</f>
        <v>46214.65</v>
      </c>
      <c r="V386" s="11">
        <f>IFERROR(IF(MARÍTIMOS[[#This Row],[Etapa Retiro - Atención]]="","",MARÍTIMOS[[#This Row],[Etapa Retiro - Atención]]),"")</f>
        <v>46214.704861111109</v>
      </c>
      <c r="W386" s="11">
        <f>IFERROR(IF(MARÍTIMOS[[#This Row],[Etapa Retiro - Atención]]="","",MARÍTIMOS[[#This Row],[Etapa Retiro - Atención]]),"")</f>
        <v>46214.704861111109</v>
      </c>
      <c r="X386" s="11">
        <f>IFERROR(IF(MARÍTIMOS[[#This Row],[Etapa Retiro - Inicio de Ruta]]="","",MARÍTIMOS[[#This Row],[Etapa Retiro - Inicio de Ruta]]),"")</f>
        <v>46214.783333333333</v>
      </c>
      <c r="Y386" s="11">
        <f>IFERROR(IF(MARÍTIMOS[[#This Row],[Hora de Posicionamiento]]="","",MARÍTIMOS[[#This Row],[Fecha de Carga]]+MARÍTIMOS[[#This Row],[Hora de Posicionamiento]]),"")</f>
        <v>46215.5</v>
      </c>
      <c r="Z386" s="11">
        <f>IFERROR(IF(MARÍTIMOS[[#This Row],[Etapa Despacho - Llegada]]="","",MARÍTIMOS[[#This Row],[Etapa Despacho - Llegada]]),"")</f>
        <v>46215.508333333331</v>
      </c>
      <c r="AA386" s="11">
        <f>IFERROR(IF(MARÍTIMOS[[#This Row],[Etapa Despacho - Registro]]="","",MARÍTIMOS[[#This Row],[Etapa Despacho - Registro]]),"")</f>
        <v>46215.508333333331</v>
      </c>
      <c r="AB386" s="11">
        <f>IFERROR(IF(MARÍTIMOS[[#This Row],[Inspección Externa]]="","",MARÍTIMOS[[#This Row],[Inspección Externa]]),"")</f>
        <v>46215.527777777781</v>
      </c>
      <c r="AC386" s="11">
        <f>IFERROR(IF(MARÍTIMOS[[#This Row],[Etapa Despacho - Inicio de Carga]]="","",MARÍTIMOS[[#This Row],[Etapa Despacho - Inicio de Carga]]),"")</f>
        <v>46215.645833333336</v>
      </c>
      <c r="AD386" s="11" t="str">
        <f>IFERROR(IF(MARÍTIMOS[[#This Row],[Etapa Despacho - Mitad de Carga]]="","",MARÍTIMOS[[#This Row],[Etapa Despacho - Mitad de Carga]]),"")</f>
        <v/>
      </c>
      <c r="AE386" s="11">
        <f>IFERROR(IF(MARÍTIMOS[[#This Row],[Etapa Despacho - Fin de Carga]]="","",MARÍTIMOS[[#This Row],[Etapa Despacho - Fin de Carga]]),"")</f>
        <v>46215.708333333336</v>
      </c>
      <c r="AF386" s="2" t="str">
        <f>IFERROR(IF(MARÍTIMOS[[#This Row],[Puerto de Embarque]]="","",MARÍTIMOS[[#This Row],[Puerto de Embarque]]),"")</f>
        <v>Callao</v>
      </c>
      <c r="AG386" s="2" t="str">
        <f>IFERROR(IF(MARÍTIMOS[[#This Row],[Almacén de Ingreso]]="","",MARÍTIMOS[[#This Row],[Almacén de Ingreso]]),"")</f>
        <v>DPW</v>
      </c>
      <c r="AH386" s="11">
        <f>IFERROR(IF(MARÍTIMOS[[#This Row],[Etapa Ingreso - Cita]]="","",MARÍTIMOS[[#This Row],[Etapa Ingreso - Cita]]),"")</f>
        <v>46216.583333333336</v>
      </c>
      <c r="AI386" s="11">
        <f>IFERROR(IF(MARÍTIMOS[[#This Row],[Etapa Ingreso - Llegada]]="","",MARÍTIMOS[[#This Row],[Etapa Ingreso - Llegada]]),"")</f>
        <v>46216.583333333336</v>
      </c>
      <c r="AJ386" s="11">
        <f>IFERROR(IF(MARÍTIMOS[[#This Row],[Etapa Ingreso - Ingeso]]="","",MARÍTIMOS[[#This Row],[Etapa Ingreso - Ingeso]]),"")</f>
        <v>46216.619444444441</v>
      </c>
      <c r="AK386" s="11">
        <f>IFERROR(IF(MARÍTIMOS[[#This Row],[Etapa Ingreso - Atención]]="","",MARÍTIMOS[[#This Row],[Etapa Ingreso - Atención]]),"")</f>
        <v>46216.621527777781</v>
      </c>
      <c r="AL386" s="11">
        <f>IFERROR(IF(MARÍTIMOS[[#This Row],[Etapa Ingreso - Salida]]="","",MARÍTIMOS[[#This Row],[Etapa Ingreso - Salida]]),"")</f>
        <v>46216.650694444441</v>
      </c>
      <c r="AM386" s="2">
        <f>IFERROR(IF(MARÍTIMOS[[#This Row],[FCL]]="","",MARÍTIMOS[[#This Row],[FCL]]),"")</f>
        <v>1</v>
      </c>
      <c r="AN3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6" s="4" t="str" cm="1">
        <f t="array" ref="AO3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6" s="5">
        <f>IFERROR(OLDBD[[#This Row],[Llegada a packing]]-OLDBD[[#This Row],[Inicio de Ruta]],"")</f>
        <v>0.72499999999854481</v>
      </c>
      <c r="AQ386" s="6">
        <f>IFERROR(OLDBD[[#This Row],[Inicio de Ruta]]-OLDBD[[#This Row],[Salida de almacén de retiro]],"")</f>
        <v>7.8472222223354038E-2</v>
      </c>
      <c r="AR3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86" s="8" t="str" cm="1">
        <f t="array" ref="AS3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86" s="9">
        <f>IFERROR(OLDBD[[#This Row],[Ingreso Packing]]-OLDBD[[#This Row],[Registro en Packing]],"")</f>
        <v>1.9444444449618459E-2</v>
      </c>
      <c r="AV386" s="9">
        <f>IFERROR(OLDBD[[#This Row],[Ingreso Packing]]-OLDBD[[#This Row],[Llegada a packing]],"")</f>
        <v>1.9444444449618459E-2</v>
      </c>
      <c r="AW3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86" s="5">
        <f>IFERROR(OLDBD[[#This Row],[Llegada Almacén de Ingreso]]-OLDBD[[#This Row],[Salida Packing]],"")</f>
        <v>0.875</v>
      </c>
      <c r="AY386" s="4" t="str" cm="1">
        <f t="array" ref="AY3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86" s="43" t="s">
        <v>173</v>
      </c>
      <c r="BB386" s="47" t="str">
        <f>IFERROR(IF(MARÍTIMOS[[#This Row],[Estatus]]="","",MARÍTIMOS[[#This Row],[Estatus]]),"")</f>
        <v>Confirmado</v>
      </c>
      <c r="BC386" s="43"/>
      <c r="BD386" s="46">
        <f>IFERROR(OLDBD[[#This Row],[Salida de almacén de retiro]]-OLDBD[[#This Row],[Ingreso Almacén de retiro]],"")</f>
        <v>5.486111110803904E-2</v>
      </c>
      <c r="BE386" s="46" t="str">
        <f>IFERROR(OLDBD[[#This Row],[Fin de Carga]]-OLDBD[[#This Row],[Inicio de Carga]],"")</f>
        <v/>
      </c>
    </row>
    <row r="387" spans="1:57" customFormat="1" hidden="1">
      <c r="A387" s="1"/>
      <c r="B387" s="1">
        <f>IFERROR(IF(MARÍTIMOS[[#This Row],[PP]]="","",MARÍTIMOS[[#This Row],[PP]]),"")</f>
        <v>28</v>
      </c>
      <c r="C387" s="1" t="str">
        <f>IFERROR(IF(MARÍTIMOS[[#This Row],[Sede]]="","",MARÍTIMOS[[#This Row],[Sede]]),"")</f>
        <v>Chao</v>
      </c>
      <c r="D387" s="1" t="str">
        <f>IFERROR(IF(MARÍTIMOS[[#This Row],[Instruction]]="","",MARÍTIMOS[[#This Row],[Instruction]]),"")</f>
        <v>RH-0168</v>
      </c>
      <c r="E387" s="1"/>
      <c r="F387" s="2" t="str">
        <f>IFERROR(IF(MARÍTIMOS[[#This Row],[Transportista]]="","",MARÍTIMOS[[#This Row],[Transportista]]),"")</f>
        <v>VESL</v>
      </c>
      <c r="G387" s="2" t="str">
        <f>IFERROR(IF(MARÍTIMOS[[#This Row],[Tercero]]="","",MARÍTIMOS[[#This Row],[Tercero]]),"")</f>
        <v>NO</v>
      </c>
      <c r="H387" s="2" t="str">
        <f>IFERROR(IF(MARÍTIMOS[[#This Row],[Razón Social]]="","",MARÍTIMOS[[#This Row],[Razón Social]]),"")</f>
        <v>VE SOLUCIONES LOGISTICAS SAC</v>
      </c>
      <c r="I387" s="2">
        <f>IFERROR(IF(MARÍTIMOS[[#This Row],[RUC]]="","",MARÍTIMOS[[#This Row],[RUC]]),"")</f>
        <v>20557679392</v>
      </c>
      <c r="J387" s="2" t="str">
        <f>IFERROR(IF(MARÍTIMOS[[#This Row],[Placa Tracto]]="","",MARÍTIMOS[[#This Row],[Placa Tracto]]),"")</f>
        <v>BYR898</v>
      </c>
      <c r="K387" s="2" t="str">
        <f>IFERROR(IF(MARÍTIMOS[[#This Row],[Placa Carreta]]="","",MARÍTIMOS[[#This Row],[Placa Carreta]]),"")</f>
        <v>AHV-972</v>
      </c>
      <c r="L387" s="44" t="str">
        <f>IFERROR(IF(MARÍTIMOS[[#This Row],[Conductor]]="","",MARÍTIMOS[[#This Row],[Conductor]]),"")</f>
        <v>DANIEL PADILLA DIESTRA</v>
      </c>
      <c r="M387" s="2" t="str">
        <f>IFERROR(IF(MARÍTIMOS[[#This Row],[Licencia]]="","",MARÍTIMOS[[#This Row],[Licencia]]),"")</f>
        <v>Q71081082</v>
      </c>
      <c r="N387" s="2">
        <f>IFERROR(IF(MARÍTIMOS[[#This Row],[Número de Contacto]]="","",MARÍTIMOS[[#This Row],[Número de Contacto]]),"")</f>
        <v>0</v>
      </c>
      <c r="O387" s="10">
        <f>IFERROR(IF(MARÍTIMOS[[#This Row],[Booking|AWB|CRT]]="","",MARÍTIMOS[[#This Row],[Booking|AWB|CRT]]),"")</f>
        <v>751600000000000</v>
      </c>
      <c r="P387" s="2" t="str">
        <f>IFERROR(IF(MARÍTIMOS[[#This Row],[Contenedor]]="","",MARÍTIMOS[[#This Row],[Contenedor]]),"")</f>
        <v>EGSU5062439</v>
      </c>
      <c r="Q387" s="2" t="str">
        <f>IFERROR(IF(MARÍTIMOS[[#This Row],[Puerto de Retiro]]="","",MARÍTIMOS[[#This Row],[Puerto de Retiro]]),"")</f>
        <v>CALLAO</v>
      </c>
      <c r="R387" s="2" t="str">
        <f>IFERROR(IF(MARÍTIMOS[[#This Row],[Almacén de Retiro]]="","",MARÍTIMOS[[#This Row],[Almacén de Retiro]]),"")</f>
        <v>TPP</v>
      </c>
      <c r="S387" s="11">
        <f>IFERROR(IF(MARÍTIMOS[[#This Row],[Etapa Retiro - Cita]]="","",MARÍTIMOS[[#This Row],[Etapa Retiro - Cita]]),"")</f>
        <v>46214.583333333336</v>
      </c>
      <c r="T387" s="11">
        <f>IFERROR(IF(MARÍTIMOS[[#This Row],[Etapa Retiro - Llegada]]="","",MARÍTIMOS[[#This Row],[Etapa Retiro - Llegada]]),"")</f>
        <v>46214.615972222222</v>
      </c>
      <c r="U387" s="11">
        <f>IFERROR(IF(MARÍTIMOS[[#This Row],[Etapa Retiro - Ingreso]]="","",MARÍTIMOS[[#This Row],[Etapa Retiro - Ingreso]]),"")</f>
        <v>46214.645138888889</v>
      </c>
      <c r="V387" s="11">
        <f>IFERROR(IF(MARÍTIMOS[[#This Row],[Etapa Retiro - Atención]]="","",MARÍTIMOS[[#This Row],[Etapa Retiro - Atención]]),"")</f>
        <v>46214.709027777775</v>
      </c>
      <c r="W387" s="11">
        <f>IFERROR(IF(MARÍTIMOS[[#This Row],[Etapa Retiro - Atención]]="","",MARÍTIMOS[[#This Row],[Etapa Retiro - Atención]]),"")</f>
        <v>46214.709027777775</v>
      </c>
      <c r="X387" s="11">
        <f>IFERROR(IF(MARÍTIMOS[[#This Row],[Etapa Retiro - Inicio de Ruta]]="","",MARÍTIMOS[[#This Row],[Etapa Retiro - Inicio de Ruta]]),"")</f>
        <v>46214.790972222225</v>
      </c>
      <c r="Y387" s="11">
        <f>IFERROR(IF(MARÍTIMOS[[#This Row],[Hora de Posicionamiento]]="","",MARÍTIMOS[[#This Row],[Fecha de Carga]]+MARÍTIMOS[[#This Row],[Hora de Posicionamiento]]),"")</f>
        <v>46215.5</v>
      </c>
      <c r="Z387" s="11">
        <f>IFERROR(IF(MARÍTIMOS[[#This Row],[Etapa Despacho - Llegada]]="","",MARÍTIMOS[[#This Row],[Etapa Despacho - Llegada]]),"")</f>
        <v>46215.513888888891</v>
      </c>
      <c r="AA387" s="11">
        <f>IFERROR(IF(MARÍTIMOS[[#This Row],[Etapa Despacho - Registro]]="","",MARÍTIMOS[[#This Row],[Etapa Despacho - Registro]]),"")</f>
        <v>46215.513888888891</v>
      </c>
      <c r="AB387" s="11">
        <f>IFERROR(IF(MARÍTIMOS[[#This Row],[Inspección Externa]]="","",MARÍTIMOS[[#This Row],[Inspección Externa]]),"")</f>
        <v>46215.536805555559</v>
      </c>
      <c r="AC387" s="11">
        <f>IFERROR(IF(MARÍTIMOS[[#This Row],[Etapa Despacho - Inicio de Carga]]="","",MARÍTIMOS[[#This Row],[Etapa Despacho - Inicio de Carga]]),"")</f>
        <v>46215.625</v>
      </c>
      <c r="AD387" s="11" t="str">
        <f>IFERROR(IF(MARÍTIMOS[[#This Row],[Etapa Despacho - Mitad de Carga]]="","",MARÍTIMOS[[#This Row],[Etapa Despacho - Mitad de Carga]]),"")</f>
        <v/>
      </c>
      <c r="AE387" s="11">
        <f>IFERROR(IF(MARÍTIMOS[[#This Row],[Etapa Despacho - Fin de Carga]]="","",MARÍTIMOS[[#This Row],[Etapa Despacho - Fin de Carga]]),"")</f>
        <v>46215.763194444444</v>
      </c>
      <c r="AF387" s="2" t="str">
        <f>IFERROR(IF(MARÍTIMOS[[#This Row],[Puerto de Embarque]]="","",MARÍTIMOS[[#This Row],[Puerto de Embarque]]),"")</f>
        <v>Callao</v>
      </c>
      <c r="AG387" s="2" t="str">
        <f>IFERROR(IF(MARÍTIMOS[[#This Row],[Almacén de Ingreso]]="","",MARÍTIMOS[[#This Row],[Almacén de Ingreso]]),"")</f>
        <v>DPW</v>
      </c>
      <c r="AH387" s="11">
        <f>IFERROR(IF(MARÍTIMOS[[#This Row],[Etapa Ingreso - Cita]]="","",MARÍTIMOS[[#This Row],[Etapa Ingreso - Cita]]),"")</f>
        <v>46216.583333333336</v>
      </c>
      <c r="AI387" s="11">
        <f>IFERROR(IF(MARÍTIMOS[[#This Row],[Etapa Ingreso - Llegada]]="","",MARÍTIMOS[[#This Row],[Etapa Ingreso - Llegada]]),"")</f>
        <v>46216.538888888892</v>
      </c>
      <c r="AJ387" s="11">
        <f>IFERROR(IF(MARÍTIMOS[[#This Row],[Etapa Ingreso - Ingeso]]="","",MARÍTIMOS[[#This Row],[Etapa Ingreso - Ingeso]]),"")</f>
        <v>46216.581944444442</v>
      </c>
      <c r="AK387" s="11">
        <f>IFERROR(IF(MARÍTIMOS[[#This Row],[Etapa Ingreso - Atención]]="","",MARÍTIMOS[[#This Row],[Etapa Ingreso - Atención]]),"")</f>
        <v>46216.585416666669</v>
      </c>
      <c r="AL387" s="11">
        <f>IFERROR(IF(MARÍTIMOS[[#This Row],[Etapa Ingreso - Salida]]="","",MARÍTIMOS[[#This Row],[Etapa Ingreso - Salida]]),"")</f>
        <v>46216.59375</v>
      </c>
      <c r="AM387" s="2">
        <f>IFERROR(IF(MARÍTIMOS[[#This Row],[FCL]]="","",MARÍTIMOS[[#This Row],[FCL]]),"")</f>
        <v>1</v>
      </c>
      <c r="AN3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7" s="4" t="str" cm="1">
        <f t="array" ref="AO3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7" s="5">
        <f>IFERROR(OLDBD[[#This Row],[Llegada a packing]]-OLDBD[[#This Row],[Inicio de Ruta]],"")</f>
        <v>0.72291666666569654</v>
      </c>
      <c r="AQ387" s="6">
        <f>IFERROR(OLDBD[[#This Row],[Inicio de Ruta]]-OLDBD[[#This Row],[Salida de almacén de retiro]],"")</f>
        <v>8.1944444449618459E-2</v>
      </c>
      <c r="AR3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87" s="8" t="str" cm="1">
        <f t="array" ref="AS3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87" s="9">
        <f>IFERROR(OLDBD[[#This Row],[Ingreso Packing]]-OLDBD[[#This Row],[Registro en Packing]],"")</f>
        <v>2.2916666668606922E-2</v>
      </c>
      <c r="AV387" s="9">
        <f>IFERROR(OLDBD[[#This Row],[Ingreso Packing]]-OLDBD[[#This Row],[Llegada a packing]],"")</f>
        <v>2.2916666668606922E-2</v>
      </c>
      <c r="AW3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87" s="5">
        <f>IFERROR(OLDBD[[#This Row],[Llegada Almacén de Ingreso]]-OLDBD[[#This Row],[Salida Packing]],"")</f>
        <v>0.77569444444816327</v>
      </c>
      <c r="AY387" s="4" t="str" cm="1">
        <f t="array" ref="AY3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87" s="43" t="s">
        <v>173</v>
      </c>
      <c r="BB387" s="47" t="str">
        <f>IFERROR(IF(MARÍTIMOS[[#This Row],[Estatus]]="","",MARÍTIMOS[[#This Row],[Estatus]]),"")</f>
        <v>Confirmado</v>
      </c>
      <c r="BC387" s="43"/>
      <c r="BD387" s="46">
        <f>IFERROR(OLDBD[[#This Row],[Salida de almacén de retiro]]-OLDBD[[#This Row],[Ingreso Almacén de retiro]],"")</f>
        <v>6.3888888886140194E-2</v>
      </c>
      <c r="BE387" s="46" t="str">
        <f>IFERROR(OLDBD[[#This Row],[Fin de Carga]]-OLDBD[[#This Row],[Inicio de Carga]],"")</f>
        <v/>
      </c>
    </row>
    <row r="388" spans="1:57" customFormat="1" hidden="1">
      <c r="A388" s="1"/>
      <c r="B388" s="1">
        <f>IFERROR(IF(MARÍTIMOS[[#This Row],[PP]]="","",MARÍTIMOS[[#This Row],[PP]]),"")</f>
        <v>29</v>
      </c>
      <c r="C388" s="1" t="str">
        <f>IFERROR(IF(MARÍTIMOS[[#This Row],[Sede]]="","",MARÍTIMOS[[#This Row],[Sede]]),"")</f>
        <v>Chao</v>
      </c>
      <c r="D388" s="1" t="str">
        <f>IFERROR(IF(MARÍTIMOS[[#This Row],[Instruction]]="","",MARÍTIMOS[[#This Row],[Instruction]]),"")</f>
        <v>RH-0188</v>
      </c>
      <c r="E388" s="1"/>
      <c r="F388" s="2" t="str">
        <f>IFERROR(IF(MARÍTIMOS[[#This Row],[Transportista]]="","",MARÍTIMOS[[#This Row],[Transportista]]),"")</f>
        <v>VESL</v>
      </c>
      <c r="G388" s="2" t="str">
        <f>IFERROR(IF(MARÍTIMOS[[#This Row],[Tercero]]="","",MARÍTIMOS[[#This Row],[Tercero]]),"")</f>
        <v>NO</v>
      </c>
      <c r="H388" s="2" t="str">
        <f>IFERROR(IF(MARÍTIMOS[[#This Row],[Razón Social]]="","",MARÍTIMOS[[#This Row],[Razón Social]]),"")</f>
        <v>VE SOLUCIONES LOGISTICAS SAC</v>
      </c>
      <c r="I388" s="2">
        <f>IFERROR(IF(MARÍTIMOS[[#This Row],[RUC]]="","",MARÍTIMOS[[#This Row],[RUC]]),"")</f>
        <v>20557679392</v>
      </c>
      <c r="J388" s="2" t="str">
        <f>IFERROR(IF(MARÍTIMOS[[#This Row],[Placa Tracto]]="","",MARÍTIMOS[[#This Row],[Placa Tracto]]),"")</f>
        <v>BYR873</v>
      </c>
      <c r="K388" s="2" t="str">
        <f>IFERROR(IF(MARÍTIMOS[[#This Row],[Placa Carreta]]="","",MARÍTIMOS[[#This Row],[Placa Carreta]]),"")</f>
        <v>AMQ983</v>
      </c>
      <c r="L388" s="44" t="str">
        <f>IFERROR(IF(MARÍTIMOS[[#This Row],[Conductor]]="","",MARÍTIMOS[[#This Row],[Conductor]]),"")</f>
        <v>ESPINOZA GOICOCHEA HUGO</v>
      </c>
      <c r="M388" s="2" t="str">
        <f>IFERROR(IF(MARÍTIMOS[[#This Row],[Licencia]]="","",MARÍTIMOS[[#This Row],[Licencia]]),"")</f>
        <v>Q06595377</v>
      </c>
      <c r="N388" s="2">
        <f>IFERROR(IF(MARÍTIMOS[[#This Row],[Número de Contacto]]="","",MARÍTIMOS[[#This Row],[Número de Contacto]]),"")</f>
        <v>0</v>
      </c>
      <c r="O388" s="10">
        <f>IFERROR(IF(MARÍTIMOS[[#This Row],[Booking|AWB|CRT]]="","",MARÍTIMOS[[#This Row],[Booking|AWB|CRT]]),"")</f>
        <v>751600040178</v>
      </c>
      <c r="P388" s="2" t="str">
        <f>IFERROR(IF(MARÍTIMOS[[#This Row],[Contenedor]]="","",MARÍTIMOS[[#This Row],[Contenedor]]),"")</f>
        <v>EMCU5699310</v>
      </c>
      <c r="Q388" s="2" t="str">
        <f>IFERROR(IF(MARÍTIMOS[[#This Row],[Puerto de Retiro]]="","",MARÍTIMOS[[#This Row],[Puerto de Retiro]]),"")</f>
        <v>CALLAO</v>
      </c>
      <c r="R388" s="2" t="str">
        <f>IFERROR(IF(MARÍTIMOS[[#This Row],[Almacén de Retiro]]="","",MARÍTIMOS[[#This Row],[Almacén de Retiro]]),"")</f>
        <v>IMUPESA</v>
      </c>
      <c r="S388" s="11">
        <f>IFERROR(IF(MARÍTIMOS[[#This Row],[Etapa Retiro - Cita]]="","",MARÍTIMOS[[#This Row],[Etapa Retiro - Cita]]),"")</f>
        <v>46221.583333333336</v>
      </c>
      <c r="T388" s="11">
        <f>IFERROR(IF(MARÍTIMOS[[#This Row],[Etapa Retiro - Llegada]]="","",MARÍTIMOS[[#This Row],[Etapa Retiro - Llegada]]),"")</f>
        <v>46221.594444444447</v>
      </c>
      <c r="U388" s="11">
        <f>IFERROR(IF(MARÍTIMOS[[#This Row],[Etapa Retiro - Ingreso]]="","",MARÍTIMOS[[#This Row],[Etapa Retiro - Ingreso]]),"")</f>
        <v>46221.614583333336</v>
      </c>
      <c r="V388" s="11">
        <f>IFERROR(IF(MARÍTIMOS[[#This Row],[Etapa Retiro - Atención]]="","",MARÍTIMOS[[#This Row],[Etapa Retiro - Atención]]),"")</f>
        <v>46221.675000000003</v>
      </c>
      <c r="W388" s="11">
        <f>IFERROR(IF(MARÍTIMOS[[#This Row],[Etapa Retiro - Atención]]="","",MARÍTIMOS[[#This Row],[Etapa Retiro - Atención]]),"")</f>
        <v>46221.675000000003</v>
      </c>
      <c r="X388" s="11">
        <f>IFERROR(IF(MARÍTIMOS[[#This Row],[Etapa Retiro - Inicio de Ruta]]="","",MARÍTIMOS[[#This Row],[Etapa Retiro - Inicio de Ruta]]),"")</f>
        <v>46221.886805555558</v>
      </c>
      <c r="Y388" s="11">
        <f>IFERROR(IF(MARÍTIMOS[[#This Row],[Hora de Posicionamiento]]="","",MARÍTIMOS[[#This Row],[Fecha de Carga]]+MARÍTIMOS[[#This Row],[Hora de Posicionamiento]]),"")</f>
        <v>46222.5</v>
      </c>
      <c r="Z388" s="11">
        <f>IFERROR(IF(MARÍTIMOS[[#This Row],[Etapa Despacho - Llegada]]="","",MARÍTIMOS[[#This Row],[Etapa Despacho - Llegada]]),"")</f>
        <v>46222.48333333333</v>
      </c>
      <c r="AA388" s="11">
        <f>IFERROR(IF(MARÍTIMOS[[#This Row],[Etapa Despacho - Registro]]="","",MARÍTIMOS[[#This Row],[Etapa Despacho - Registro]]),"")</f>
        <v>46222.486805555556</v>
      </c>
      <c r="AB388" s="11">
        <f>IFERROR(IF(MARÍTIMOS[[#This Row],[Inspección Externa]]="","",MARÍTIMOS[[#This Row],[Inspección Externa]]),"")</f>
        <v>46222.510416666664</v>
      </c>
      <c r="AC388" s="11">
        <f>IFERROR(IF(MARÍTIMOS[[#This Row],[Etapa Despacho - Inicio de Carga]]="","",MARÍTIMOS[[#This Row],[Etapa Despacho - Inicio de Carga]]),"")</f>
        <v>46222.590277777781</v>
      </c>
      <c r="AD388" s="11" t="str">
        <f>IFERROR(IF(MARÍTIMOS[[#This Row],[Etapa Despacho - Mitad de Carga]]="","",MARÍTIMOS[[#This Row],[Etapa Despacho - Mitad de Carga]]),"")</f>
        <v/>
      </c>
      <c r="AE388" s="11">
        <f>IFERROR(IF(MARÍTIMOS[[#This Row],[Etapa Despacho - Fin de Carga]]="","",MARÍTIMOS[[#This Row],[Etapa Despacho - Fin de Carga]]),"")</f>
        <v>46222.666666666664</v>
      </c>
      <c r="AF388" s="2" t="str">
        <f>IFERROR(IF(MARÍTIMOS[[#This Row],[Puerto de Embarque]]="","",MARÍTIMOS[[#This Row],[Puerto de Embarque]]),"")</f>
        <v>Callao</v>
      </c>
      <c r="AG388" s="2" t="str">
        <f>IFERROR(IF(MARÍTIMOS[[#This Row],[Almacén de Ingreso]]="","",MARÍTIMOS[[#This Row],[Almacén de Ingreso]]),"")</f>
        <v>DPW</v>
      </c>
      <c r="AH388" s="11">
        <f>IFERROR(IF(MARÍTIMOS[[#This Row],[Etapa Ingreso - Cita]]="","",MARÍTIMOS[[#This Row],[Etapa Ingreso - Cita]]),"")</f>
        <v>46223.416666666664</v>
      </c>
      <c r="AI388" s="11">
        <f>IFERROR(IF(MARÍTIMOS[[#This Row],[Etapa Ingreso - Llegada]]="","",MARÍTIMOS[[#This Row],[Etapa Ingreso - Llegada]]),"")</f>
        <v>46223.340277777781</v>
      </c>
      <c r="AJ388" s="11">
        <f>IFERROR(IF(MARÍTIMOS[[#This Row],[Etapa Ingreso - Ingeso]]="","",MARÍTIMOS[[#This Row],[Etapa Ingreso - Ingeso]]),"")</f>
        <v>46223.359722222223</v>
      </c>
      <c r="AK388" s="11">
        <f>IFERROR(IF(MARÍTIMOS[[#This Row],[Etapa Ingreso - Atención]]="","",MARÍTIMOS[[#This Row],[Etapa Ingreso - Atención]]),"")</f>
        <v>46223.362500000003</v>
      </c>
      <c r="AL388" s="11">
        <f>IFERROR(IF(MARÍTIMOS[[#This Row],[Etapa Ingreso - Salida]]="","",MARÍTIMOS[[#This Row],[Etapa Ingreso - Salida]]),"")</f>
        <v>46223.397222222222</v>
      </c>
      <c r="AM388" s="2">
        <f>IFERROR(IF(MARÍTIMOS[[#This Row],[FCL]]="","",MARÍTIMOS[[#This Row],[FCL]]),"")</f>
        <v>1</v>
      </c>
      <c r="AN3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8" s="4" t="str" cm="1">
        <f t="array" ref="AO3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8" s="5">
        <f>IFERROR(OLDBD[[#This Row],[Llegada a packing]]-OLDBD[[#This Row],[Inicio de Ruta]],"")</f>
        <v>0.59652777777228039</v>
      </c>
      <c r="AQ388" s="6">
        <f>IFERROR(OLDBD[[#This Row],[Inicio de Ruta]]-OLDBD[[#This Row],[Salida de almacén de retiro]],"")</f>
        <v>0.21180555555474712</v>
      </c>
      <c r="AR3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88" s="8" t="str" cm="1">
        <f t="array" ref="AS3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88" s="9">
        <f>IFERROR(OLDBD[[#This Row],[Ingreso Packing]]-OLDBD[[#This Row],[Registro en Packing]],"")</f>
        <v>2.361111110803904E-2</v>
      </c>
      <c r="AV388" s="9">
        <f>IFERROR(OLDBD[[#This Row],[Ingreso Packing]]-OLDBD[[#This Row],[Llegada a packing]],"")</f>
        <v>2.7083333334303461E-2</v>
      </c>
      <c r="AW3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88" s="5">
        <f>IFERROR(OLDBD[[#This Row],[Llegada Almacén de Ingreso]]-OLDBD[[#This Row],[Salida Packing]],"")</f>
        <v>0.67361111111677019</v>
      </c>
      <c r="AY388" s="4" t="str" cm="1">
        <f t="array" ref="AY3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88" s="43" t="s">
        <v>173</v>
      </c>
      <c r="BB388" s="47" t="str">
        <f>IFERROR(IF(MARÍTIMOS[[#This Row],[Estatus]]="","",MARÍTIMOS[[#This Row],[Estatus]]),"")</f>
        <v>Confirmado</v>
      </c>
      <c r="BC388" s="43"/>
      <c r="BD388" s="46">
        <f>IFERROR(OLDBD[[#This Row],[Salida de almacén de retiro]]-OLDBD[[#This Row],[Ingreso Almacén de retiro]],"")</f>
        <v>6.0416666667151731E-2</v>
      </c>
      <c r="BE388" s="46" t="str">
        <f>IFERROR(OLDBD[[#This Row],[Fin de Carga]]-OLDBD[[#This Row],[Inicio de Carga]],"")</f>
        <v/>
      </c>
    </row>
    <row r="389" spans="1:57" customFormat="1" hidden="1">
      <c r="A389" s="1"/>
      <c r="B389" s="1">
        <f>IFERROR(IF(MARÍTIMOS[[#This Row],[PP]]="","",MARÍTIMOS[[#This Row],[PP]]),"")</f>
        <v>29</v>
      </c>
      <c r="C389" s="1" t="str">
        <f>IFERROR(IF(MARÍTIMOS[[#This Row],[Sede]]="","",MARÍTIMOS[[#This Row],[Sede]]),"")</f>
        <v>Chao</v>
      </c>
      <c r="D389" s="1" t="str">
        <f>IFERROR(IF(MARÍTIMOS[[#This Row],[Instruction]]="","",MARÍTIMOS[[#This Row],[Instruction]]),"")</f>
        <v>RH-0189</v>
      </c>
      <c r="E389" s="1"/>
      <c r="F389" s="2" t="str">
        <f>IFERROR(IF(MARÍTIMOS[[#This Row],[Transportista]]="","",MARÍTIMOS[[#This Row],[Transportista]]),"")</f>
        <v>VESL</v>
      </c>
      <c r="G389" s="2" t="str">
        <f>IFERROR(IF(MARÍTIMOS[[#This Row],[Tercero]]="","",MARÍTIMOS[[#This Row],[Tercero]]),"")</f>
        <v>NO</v>
      </c>
      <c r="H389" s="2" t="str">
        <f>IFERROR(IF(MARÍTIMOS[[#This Row],[Razón Social]]="","",MARÍTIMOS[[#This Row],[Razón Social]]),"")</f>
        <v>VE SOLUCIONES LOGISTICAS SAC</v>
      </c>
      <c r="I389" s="2">
        <f>IFERROR(IF(MARÍTIMOS[[#This Row],[RUC]]="","",MARÍTIMOS[[#This Row],[RUC]]),"")</f>
        <v>20557679392</v>
      </c>
      <c r="J389" s="2" t="str">
        <f>IFERROR(IF(MARÍTIMOS[[#This Row],[Placa Tracto]]="","",MARÍTIMOS[[#This Row],[Placa Tracto]]),"")</f>
        <v>BYR886</v>
      </c>
      <c r="K389" s="2" t="str">
        <f>IFERROR(IF(MARÍTIMOS[[#This Row],[Placa Carreta]]="","",MARÍTIMOS[[#This Row],[Placa Carreta]]),"")</f>
        <v>AMQ980</v>
      </c>
      <c r="L389" s="44" t="str">
        <f>IFERROR(IF(MARÍTIMOS[[#This Row],[Conductor]]="","",MARÍTIMOS[[#This Row],[Conductor]]),"")</f>
        <v>CHAVEZ SAUCEDO SEGUNDO PORFIRIO</v>
      </c>
      <c r="M389" s="2" t="str">
        <f>IFERROR(IF(MARÍTIMOS[[#This Row],[Licencia]]="","",MARÍTIMOS[[#This Row],[Licencia]]),"")</f>
        <v>Q07525965</v>
      </c>
      <c r="N389" s="2">
        <f>IFERROR(IF(MARÍTIMOS[[#This Row],[Número de Contacto]]="","",MARÍTIMOS[[#This Row],[Número de Contacto]]),"")</f>
        <v>0</v>
      </c>
      <c r="O389" s="10">
        <f>IFERROR(IF(MARÍTIMOS[[#This Row],[Booking|AWB|CRT]]="","",MARÍTIMOS[[#This Row],[Booking|AWB|CRT]]),"")</f>
        <v>751600040186</v>
      </c>
      <c r="P389" s="2" t="str">
        <f>IFERROR(IF(MARÍTIMOS[[#This Row],[Contenedor]]="","",MARÍTIMOS[[#This Row],[Contenedor]]),"")</f>
        <v>EMCU5474571</v>
      </c>
      <c r="Q389" s="2" t="str">
        <f>IFERROR(IF(MARÍTIMOS[[#This Row],[Puerto de Retiro]]="","",MARÍTIMOS[[#This Row],[Puerto de Retiro]]),"")</f>
        <v>CALLAO</v>
      </c>
      <c r="R389" s="2" t="str">
        <f>IFERROR(IF(MARÍTIMOS[[#This Row],[Almacén de Retiro]]="","",MARÍTIMOS[[#This Row],[Almacén de Retiro]]),"")</f>
        <v>DPW</v>
      </c>
      <c r="S389" s="11">
        <f>IFERROR(IF(MARÍTIMOS[[#This Row],[Etapa Retiro - Cita]]="","",MARÍTIMOS[[#This Row],[Etapa Retiro - Cita]]),"")</f>
        <v>46221.583333333336</v>
      </c>
      <c r="T389" s="11">
        <f>IFERROR(IF(MARÍTIMOS[[#This Row],[Etapa Retiro - Llegada]]="","",MARÍTIMOS[[#This Row],[Etapa Retiro - Llegada]]),"")</f>
        <v>46221.583333333336</v>
      </c>
      <c r="U389" s="11">
        <f>IFERROR(IF(MARÍTIMOS[[#This Row],[Etapa Retiro - Ingreso]]="","",MARÍTIMOS[[#This Row],[Etapa Retiro - Ingreso]]),"")</f>
        <v>46221.618055555555</v>
      </c>
      <c r="V389" s="11">
        <f>IFERROR(IF(MARÍTIMOS[[#This Row],[Etapa Retiro - Atención]]="","",MARÍTIMOS[[#This Row],[Etapa Retiro - Atención]]),"")</f>
        <v>46221.631944444445</v>
      </c>
      <c r="W389" s="11">
        <f>IFERROR(IF(MARÍTIMOS[[#This Row],[Etapa Retiro - Atención]]="","",MARÍTIMOS[[#This Row],[Etapa Retiro - Atención]]),"")</f>
        <v>46221.631944444445</v>
      </c>
      <c r="X389" s="11">
        <f>IFERROR(IF(MARÍTIMOS[[#This Row],[Etapa Retiro - Inicio de Ruta]]="","",MARÍTIMOS[[#This Row],[Etapa Retiro - Inicio de Ruta]]),"")</f>
        <v>46221.740277777775</v>
      </c>
      <c r="Y389" s="11">
        <f>IFERROR(IF(MARÍTIMOS[[#This Row],[Hora de Posicionamiento]]="","",MARÍTIMOS[[#This Row],[Fecha de Carga]]+MARÍTIMOS[[#This Row],[Hora de Posicionamiento]]),"")</f>
        <v>46222.5</v>
      </c>
      <c r="Z389" s="11">
        <f>IFERROR(IF(MARÍTIMOS[[#This Row],[Etapa Despacho - Llegada]]="","",MARÍTIMOS[[#This Row],[Etapa Despacho - Llegada]]),"")</f>
        <v>46222.427083333336</v>
      </c>
      <c r="AA389" s="11">
        <f>IFERROR(IF(MARÍTIMOS[[#This Row],[Etapa Despacho - Registro]]="","",MARÍTIMOS[[#This Row],[Etapa Despacho - Registro]]),"")</f>
        <v>46222.427777777775</v>
      </c>
      <c r="AB389" s="11">
        <f>IFERROR(IF(MARÍTIMOS[[#This Row],[Inspección Externa]]="","",MARÍTIMOS[[#This Row],[Inspección Externa]]),"")</f>
        <v>46222.453472222223</v>
      </c>
      <c r="AC389" s="11">
        <f>IFERROR(IF(MARÍTIMOS[[#This Row],[Etapa Despacho - Inicio de Carga]]="","",MARÍTIMOS[[#This Row],[Etapa Despacho - Inicio de Carga]]),"")</f>
        <v>46222.640277777777</v>
      </c>
      <c r="AD389" s="11" t="str">
        <f>IFERROR(IF(MARÍTIMOS[[#This Row],[Etapa Despacho - Mitad de Carga]]="","",MARÍTIMOS[[#This Row],[Etapa Despacho - Mitad de Carga]]),"")</f>
        <v/>
      </c>
      <c r="AE389" s="11">
        <f>IFERROR(IF(MARÍTIMOS[[#This Row],[Etapa Despacho - Fin de Carga]]="","",MARÍTIMOS[[#This Row],[Etapa Despacho - Fin de Carga]]),"")</f>
        <v>46222.715277777781</v>
      </c>
      <c r="AF389" s="2" t="str">
        <f>IFERROR(IF(MARÍTIMOS[[#This Row],[Puerto de Embarque]]="","",MARÍTIMOS[[#This Row],[Puerto de Embarque]]),"")</f>
        <v>Callao</v>
      </c>
      <c r="AG389" s="2" t="str">
        <f>IFERROR(IF(MARÍTIMOS[[#This Row],[Almacén de Ingreso]]="","",MARÍTIMOS[[#This Row],[Almacén de Ingreso]]),"")</f>
        <v>DPW</v>
      </c>
      <c r="AH389" s="11">
        <f>IFERROR(IF(MARÍTIMOS[[#This Row],[Etapa Ingreso - Cita]]="","",MARÍTIMOS[[#This Row],[Etapa Ingreso - Cita]]),"")</f>
        <v>46223.416666666664</v>
      </c>
      <c r="AI389" s="11">
        <f>IFERROR(IF(MARÍTIMOS[[#This Row],[Etapa Ingreso - Llegada]]="","",MARÍTIMOS[[#This Row],[Etapa Ingreso - Llegada]]),"")</f>
        <v>46223.340277777781</v>
      </c>
      <c r="AJ389" s="11">
        <f>IFERROR(IF(MARÍTIMOS[[#This Row],[Etapa Ingreso - Ingeso]]="","",MARÍTIMOS[[#This Row],[Etapa Ingreso - Ingeso]]),"")</f>
        <v>46223.36041666667</v>
      </c>
      <c r="AK389" s="11">
        <f>IFERROR(IF(MARÍTIMOS[[#This Row],[Etapa Ingreso - Atención]]="","",MARÍTIMOS[[#This Row],[Etapa Ingreso - Atención]]),"")</f>
        <v>46223.362500000003</v>
      </c>
      <c r="AL389" s="11">
        <f>IFERROR(IF(MARÍTIMOS[[#This Row],[Etapa Ingreso - Salida]]="","",MARÍTIMOS[[#This Row],[Etapa Ingreso - Salida]]),"")</f>
        <v>46223.4</v>
      </c>
      <c r="AM389" s="2">
        <f>IFERROR(IF(MARÍTIMOS[[#This Row],[FCL]]="","",MARÍTIMOS[[#This Row],[FCL]]),"")</f>
        <v>1</v>
      </c>
      <c r="AN3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89" s="4" t="str" cm="1">
        <f t="array" ref="AO3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89" s="5">
        <f>IFERROR(OLDBD[[#This Row],[Llegada a packing]]-OLDBD[[#This Row],[Inicio de Ruta]],"")</f>
        <v>0.68680555556056788</v>
      </c>
      <c r="AQ389" s="6">
        <f>IFERROR(OLDBD[[#This Row],[Inicio de Ruta]]-OLDBD[[#This Row],[Salida de almacén de retiro]],"")</f>
        <v>0.10833333332993789</v>
      </c>
      <c r="AR3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89" s="8" t="str" cm="1">
        <f t="array" ref="AS3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89" s="9">
        <f>IFERROR(OLDBD[[#This Row],[Ingreso Packing]]-OLDBD[[#This Row],[Registro en Packing]],"")</f>
        <v>2.5694444448163267E-2</v>
      </c>
      <c r="AV389" s="9">
        <f>IFERROR(OLDBD[[#This Row],[Ingreso Packing]]-OLDBD[[#This Row],[Llegada a packing]],"")</f>
        <v>2.6388888887595385E-2</v>
      </c>
      <c r="AW3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89" s="5">
        <f>IFERROR(OLDBD[[#This Row],[Llegada Almacén de Ingreso]]-OLDBD[[#This Row],[Salida Packing]],"")</f>
        <v>0.625</v>
      </c>
      <c r="AY389" s="4" t="str" cm="1">
        <f t="array" ref="AY3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89" s="43" t="s">
        <v>173</v>
      </c>
      <c r="BB389" s="47" t="str">
        <f>IFERROR(IF(MARÍTIMOS[[#This Row],[Estatus]]="","",MARÍTIMOS[[#This Row],[Estatus]]),"")</f>
        <v>Confirmado</v>
      </c>
      <c r="BC389" s="43"/>
      <c r="BD389" s="46">
        <f>IFERROR(OLDBD[[#This Row],[Salida de almacén de retiro]]-OLDBD[[#This Row],[Ingreso Almacén de retiro]],"")</f>
        <v>1.3888888890505768E-2</v>
      </c>
      <c r="BE389" s="46" t="str">
        <f>IFERROR(OLDBD[[#This Row],[Fin de Carga]]-OLDBD[[#This Row],[Inicio de Carga]],"")</f>
        <v/>
      </c>
    </row>
    <row r="390" spans="1:57" customFormat="1" hidden="1">
      <c r="A390" s="1"/>
      <c r="B390" s="1">
        <f>IFERROR(IF(MARÍTIMOS[[#This Row],[PP]]="","",MARÍTIMOS[[#This Row],[PP]]),"")</f>
        <v>29</v>
      </c>
      <c r="C390" s="1" t="str">
        <f>IFERROR(IF(MARÍTIMOS[[#This Row],[Sede]]="","",MARÍTIMOS[[#This Row],[Sede]]),"")</f>
        <v>Chao</v>
      </c>
      <c r="D390" s="1" t="str">
        <f>IFERROR(IF(MARÍTIMOS[[#This Row],[Instruction]]="","",MARÍTIMOS[[#This Row],[Instruction]]),"")</f>
        <v>RH-0208</v>
      </c>
      <c r="E390" s="1"/>
      <c r="F390" s="2" t="str">
        <f>IFERROR(IF(MARÍTIMOS[[#This Row],[Transportista]]="","",MARÍTIMOS[[#This Row],[Transportista]]),"")</f>
        <v>VESL</v>
      </c>
      <c r="G390" s="2" t="str">
        <f>IFERROR(IF(MARÍTIMOS[[#This Row],[Tercero]]="","",MARÍTIMOS[[#This Row],[Tercero]]),"")</f>
        <v>NO</v>
      </c>
      <c r="H390" s="2" t="str">
        <f>IFERROR(IF(MARÍTIMOS[[#This Row],[Razón Social]]="","",MARÍTIMOS[[#This Row],[Razón Social]]),"")</f>
        <v>VE SOLUCIONES LOGISTICAS SAC</v>
      </c>
      <c r="I390" s="2">
        <f>IFERROR(IF(MARÍTIMOS[[#This Row],[RUC]]="","",MARÍTIMOS[[#This Row],[RUC]]),"")</f>
        <v>20557679392</v>
      </c>
      <c r="J390" s="2" t="str">
        <f>IFERROR(IF(MARÍTIMOS[[#This Row],[Placa Tracto]]="","",MARÍTIMOS[[#This Row],[Placa Tracto]]),"")</f>
        <v>BFY936</v>
      </c>
      <c r="K390" s="2" t="str">
        <f>IFERROR(IF(MARÍTIMOS[[#This Row],[Placa Carreta]]="","",MARÍTIMOS[[#This Row],[Placa Carreta]]),"")</f>
        <v>AUQ-993</v>
      </c>
      <c r="L390" s="44" t="str">
        <f>IFERROR(IF(MARÍTIMOS[[#This Row],[Conductor]]="","",MARÍTIMOS[[#This Row],[Conductor]]),"")</f>
        <v>EDWIN JESUS ANTON MARIN</v>
      </c>
      <c r="M390" s="2" t="str">
        <f>IFERROR(IF(MARÍTIMOS[[#This Row],[Licencia]]="","",MARÍTIMOS[[#This Row],[Licencia]]),"")</f>
        <v>B005015762</v>
      </c>
      <c r="N390" s="2">
        <f>IFERROR(IF(MARÍTIMOS[[#This Row],[Número de Contacto]]="","",MARÍTIMOS[[#This Row],[Número de Contacto]]),"")</f>
        <v>0</v>
      </c>
      <c r="O390" s="10" t="str">
        <f>IFERROR(IF(MARÍTIMOS[[#This Row],[Booking|AWB|CRT]]="","",MARÍTIMOS[[#This Row],[Booking|AWB|CRT]]),"")</f>
        <v>PER9150768A</v>
      </c>
      <c r="P390" s="2" t="str">
        <f>IFERROR(IF(MARÍTIMOS[[#This Row],[Contenedor]]="","",MARÍTIMOS[[#This Row],[Contenedor]]),"")</f>
        <v>CAAU4163052</v>
      </c>
      <c r="Q390" s="2" t="str">
        <f>IFERROR(IF(MARÍTIMOS[[#This Row],[Puerto de Retiro]]="","",MARÍTIMOS[[#This Row],[Puerto de Retiro]]),"")</f>
        <v>PAITA</v>
      </c>
      <c r="R390" s="2" t="str">
        <f>IFERROR(IF(MARÍTIMOS[[#This Row],[Almacén de Retiro]]="","",MARÍTIMOS[[#This Row],[Almacén de Retiro]]),"")</f>
        <v>DPW</v>
      </c>
      <c r="S390" s="11">
        <f>IFERROR(IF(MARÍTIMOS[[#This Row],[Etapa Retiro - Cita]]="","",MARÍTIMOS[[#This Row],[Etapa Retiro - Cita]]),"")</f>
        <v>46222.416666666664</v>
      </c>
      <c r="T390" s="11">
        <f>IFERROR(IF(MARÍTIMOS[[#This Row],[Etapa Retiro - Llegada]]="","",MARÍTIMOS[[#This Row],[Etapa Retiro - Llegada]]),"")</f>
        <v>46222.413194444445</v>
      </c>
      <c r="U390" s="11">
        <f>IFERROR(IF(MARÍTIMOS[[#This Row],[Etapa Retiro - Ingreso]]="","",MARÍTIMOS[[#This Row],[Etapa Retiro - Ingreso]]),"")</f>
        <v>46222.425694444442</v>
      </c>
      <c r="V390" s="11">
        <f>IFERROR(IF(MARÍTIMOS[[#This Row],[Etapa Retiro - Atención]]="","",MARÍTIMOS[[#This Row],[Etapa Retiro - Atención]]),"")</f>
        <v>46222.436111111114</v>
      </c>
      <c r="W390" s="11">
        <f>IFERROR(IF(MARÍTIMOS[[#This Row],[Etapa Retiro - Atención]]="","",MARÍTIMOS[[#This Row],[Etapa Retiro - Atención]]),"")</f>
        <v>46222.436111111114</v>
      </c>
      <c r="X390" s="11">
        <f>IFERROR(IF(MARÍTIMOS[[#This Row],[Etapa Retiro - Inicio de Ruta]]="","",MARÍTIMOS[[#This Row],[Etapa Retiro - Inicio de Ruta]]),"")</f>
        <v>46222.520138888889</v>
      </c>
      <c r="Y390" s="11">
        <f>IFERROR(IF(MARÍTIMOS[[#This Row],[Hora de Posicionamiento]]="","",MARÍTIMOS[[#This Row],[Fecha de Carga]]+MARÍTIMOS[[#This Row],[Hora de Posicionamiento]]),"")</f>
        <v>46223.333333333336</v>
      </c>
      <c r="Z390" s="11">
        <f>IFERROR(IF(MARÍTIMOS[[#This Row],[Etapa Despacho - Llegada]]="","",MARÍTIMOS[[#This Row],[Etapa Despacho - Llegada]]),"")</f>
        <v>46223.35833333333</v>
      </c>
      <c r="AA390" s="11">
        <f>IFERROR(IF(MARÍTIMOS[[#This Row],[Etapa Despacho - Registro]]="","",MARÍTIMOS[[#This Row],[Etapa Despacho - Registro]]),"")</f>
        <v>46223.362500000003</v>
      </c>
      <c r="AB390" s="11">
        <f>IFERROR(IF(MARÍTIMOS[[#This Row],[Inspección Externa]]="","",MARÍTIMOS[[#This Row],[Inspección Externa]]),"")</f>
        <v>46223.395138888889</v>
      </c>
      <c r="AC390" s="11">
        <f>IFERROR(IF(MARÍTIMOS[[#This Row],[Etapa Despacho - Inicio de Carga]]="","",MARÍTIMOS[[#This Row],[Etapa Despacho - Inicio de Carga]]),"")</f>
        <v>46223.5</v>
      </c>
      <c r="AD390" s="11" t="str">
        <f>IFERROR(IF(MARÍTIMOS[[#This Row],[Etapa Despacho - Mitad de Carga]]="","",MARÍTIMOS[[#This Row],[Etapa Despacho - Mitad de Carga]]),"")</f>
        <v/>
      </c>
      <c r="AE390" s="11">
        <f>IFERROR(IF(MARÍTIMOS[[#This Row],[Etapa Despacho - Fin de Carga]]="","",MARÍTIMOS[[#This Row],[Etapa Despacho - Fin de Carga]]),"")</f>
        <v>46223.555555555555</v>
      </c>
      <c r="AF390" s="2" t="str">
        <f>IFERROR(IF(MARÍTIMOS[[#This Row],[Puerto de Embarque]]="","",MARÍTIMOS[[#This Row],[Puerto de Embarque]]),"")</f>
        <v>Paita</v>
      </c>
      <c r="AG390" s="2" t="str">
        <f>IFERROR(IF(MARÍTIMOS[[#This Row],[Almacén de Ingreso]]="","",MARÍTIMOS[[#This Row],[Almacén de Ingreso]]),"")</f>
        <v>TPE</v>
      </c>
      <c r="AH390" s="11">
        <f>IFERROR(IF(MARÍTIMOS[[#This Row],[Etapa Ingreso - Cita]]="","",MARÍTIMOS[[#This Row],[Etapa Ingreso - Cita]]),"")</f>
        <v>46224.375</v>
      </c>
      <c r="AI390" s="11">
        <f>IFERROR(IF(MARÍTIMOS[[#This Row],[Etapa Ingreso - Llegada]]="","",MARÍTIMOS[[#This Row],[Etapa Ingreso - Llegada]]),"")</f>
        <v>46224.321527777778</v>
      </c>
      <c r="AJ390" s="11">
        <f>IFERROR(IF(MARÍTIMOS[[#This Row],[Etapa Ingreso - Ingeso]]="","",MARÍTIMOS[[#This Row],[Etapa Ingreso - Ingeso]]),"")</f>
        <v>46224.326388888891</v>
      </c>
      <c r="AK390" s="11">
        <f>IFERROR(IF(MARÍTIMOS[[#This Row],[Etapa Ingreso - Atención]]="","",MARÍTIMOS[[#This Row],[Etapa Ingreso - Atención]]),"")</f>
        <v>46224.328472222223</v>
      </c>
      <c r="AL390" s="11">
        <f>IFERROR(IF(MARÍTIMOS[[#This Row],[Etapa Ingreso - Salida]]="","",MARÍTIMOS[[#This Row],[Etapa Ingreso - Salida]]),"")</f>
        <v>46224.331250000003</v>
      </c>
      <c r="AM390" s="2">
        <f>IFERROR(IF(MARÍTIMOS[[#This Row],[FCL]]="","",MARÍTIMOS[[#This Row],[FCL]]),"")</f>
        <v>1</v>
      </c>
      <c r="AN3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90" s="4" t="str" cm="1">
        <f t="array" ref="AO3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0" s="5">
        <f>IFERROR(OLDBD[[#This Row],[Llegada a packing]]-OLDBD[[#This Row],[Inicio de Ruta]],"")</f>
        <v>0.83819444444088731</v>
      </c>
      <c r="AQ390" s="6">
        <f>IFERROR(OLDBD[[#This Row],[Inicio de Ruta]]-OLDBD[[#This Row],[Salida de almacén de retiro]],"")</f>
        <v>8.4027777775190771E-2</v>
      </c>
      <c r="AR3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90" s="8" t="str" cm="1">
        <f t="array" ref="AS3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90" s="9">
        <f>IFERROR(OLDBD[[#This Row],[Ingreso Packing]]-OLDBD[[#This Row],[Registro en Packing]],"")</f>
        <v>3.2638888886140194E-2</v>
      </c>
      <c r="AV390" s="9">
        <f>IFERROR(OLDBD[[#This Row],[Ingreso Packing]]-OLDBD[[#This Row],[Llegada a packing]],"")</f>
        <v>3.680555555911269E-2</v>
      </c>
      <c r="AW3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0" s="5">
        <f>IFERROR(OLDBD[[#This Row],[Llegada Almacén de Ingreso]]-OLDBD[[#This Row],[Salida Packing]],"")</f>
        <v>0.76597222222335404</v>
      </c>
      <c r="AY390" s="4" t="str" cm="1">
        <f t="array" ref="AY3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90" s="43" t="s">
        <v>173</v>
      </c>
      <c r="BB390" s="47" t="str">
        <f>IFERROR(IF(MARÍTIMOS[[#This Row],[Estatus]]="","",MARÍTIMOS[[#This Row],[Estatus]]),"")</f>
        <v>Confirmado</v>
      </c>
      <c r="BC390" s="43"/>
      <c r="BD390" s="46">
        <f>IFERROR(OLDBD[[#This Row],[Salida de almacén de retiro]]-OLDBD[[#This Row],[Ingreso Almacén de retiro]],"")</f>
        <v>1.0416666671517305E-2</v>
      </c>
      <c r="BE390" s="46" t="str">
        <f>IFERROR(OLDBD[[#This Row],[Fin de Carga]]-OLDBD[[#This Row],[Inicio de Carga]],"")</f>
        <v/>
      </c>
    </row>
    <row r="391" spans="1:57" customFormat="1" hidden="1">
      <c r="A391" s="1"/>
      <c r="B391" s="1">
        <f>IFERROR(IF(MARÍTIMOS[[#This Row],[PP]]="","",MARÍTIMOS[[#This Row],[PP]]),"")</f>
        <v>29</v>
      </c>
      <c r="C391" s="1" t="str">
        <f>IFERROR(IF(MARÍTIMOS[[#This Row],[Sede]]="","",MARÍTIMOS[[#This Row],[Sede]]),"")</f>
        <v>Chao</v>
      </c>
      <c r="D391" s="1" t="str">
        <f>IFERROR(IF(MARÍTIMOS[[#This Row],[Instruction]]="","",MARÍTIMOS[[#This Row],[Instruction]]),"")</f>
        <v>RH-0209</v>
      </c>
      <c r="E391" s="1"/>
      <c r="F391" s="2" t="str">
        <f>IFERROR(IF(MARÍTIMOS[[#This Row],[Transportista]]="","",MARÍTIMOS[[#This Row],[Transportista]]),"")</f>
        <v>VESL</v>
      </c>
      <c r="G391" s="2" t="str">
        <f>IFERROR(IF(MARÍTIMOS[[#This Row],[Tercero]]="","",MARÍTIMOS[[#This Row],[Tercero]]),"")</f>
        <v>NO</v>
      </c>
      <c r="H391" s="2" t="str">
        <f>IFERROR(IF(MARÍTIMOS[[#This Row],[Razón Social]]="","",MARÍTIMOS[[#This Row],[Razón Social]]),"")</f>
        <v>VE SOLUCIONES LOGISTICAS SAC</v>
      </c>
      <c r="I391" s="2">
        <f>IFERROR(IF(MARÍTIMOS[[#This Row],[RUC]]="","",MARÍTIMOS[[#This Row],[RUC]]),"")</f>
        <v>20557679392</v>
      </c>
      <c r="J391" s="2" t="str">
        <f>IFERROR(IF(MARÍTIMOS[[#This Row],[Placa Tracto]]="","",MARÍTIMOS[[#This Row],[Placa Tracto]]),"")</f>
        <v>AYP780</v>
      </c>
      <c r="K391" s="2" t="str">
        <f>IFERROR(IF(MARÍTIMOS[[#This Row],[Placa Carreta]]="","",MARÍTIMOS[[#This Row],[Placa Carreta]]),"")</f>
        <v>AUP-993</v>
      </c>
      <c r="L391" s="44" t="str">
        <f>IFERROR(IF(MARÍTIMOS[[#This Row],[Conductor]]="","",MARÍTIMOS[[#This Row],[Conductor]]),"")</f>
        <v>JOSE ALEJANDRO NUÑEZ VILLEGAS</v>
      </c>
      <c r="M391" s="2" t="str">
        <f>IFERROR(IF(MARÍTIMOS[[#This Row],[Licencia]]="","",MARÍTIMOS[[#This Row],[Licencia]]),"")</f>
        <v>Q49028656</v>
      </c>
      <c r="N391" s="2">
        <f>IFERROR(IF(MARÍTIMOS[[#This Row],[Número de Contacto]]="","",MARÍTIMOS[[#This Row],[Número de Contacto]]),"")</f>
        <v>0</v>
      </c>
      <c r="O391" s="10" t="str">
        <f>IFERROR(IF(MARÍTIMOS[[#This Row],[Booking|AWB|CRT]]="","",MARÍTIMOS[[#This Row],[Booking|AWB|CRT]]),"")</f>
        <v>PER9150770A</v>
      </c>
      <c r="P391" s="2" t="str">
        <f>IFERROR(IF(MARÍTIMOS[[#This Row],[Contenedor]]="","",MARÍTIMOS[[#This Row],[Contenedor]]),"")</f>
        <v>CAAU4079208</v>
      </c>
      <c r="Q391" s="2" t="str">
        <f>IFERROR(IF(MARÍTIMOS[[#This Row],[Puerto de Retiro]]="","",MARÍTIMOS[[#This Row],[Puerto de Retiro]]),"")</f>
        <v>PAITA</v>
      </c>
      <c r="R391" s="2" t="str">
        <f>IFERROR(IF(MARÍTIMOS[[#This Row],[Almacén de Retiro]]="","",MARÍTIMOS[[#This Row],[Almacén de Retiro]]),"")</f>
        <v>DPW</v>
      </c>
      <c r="S391" s="11">
        <f>IFERROR(IF(MARÍTIMOS[[#This Row],[Etapa Retiro - Cita]]="","",MARÍTIMOS[[#This Row],[Etapa Retiro - Cita]]),"")</f>
        <v>46222.416666666664</v>
      </c>
      <c r="T391" s="11">
        <f>IFERROR(IF(MARÍTIMOS[[#This Row],[Etapa Retiro - Llegada]]="","",MARÍTIMOS[[#This Row],[Etapa Retiro - Llegada]]),"")</f>
        <v>46222.418055555558</v>
      </c>
      <c r="U391" s="11">
        <f>IFERROR(IF(MARÍTIMOS[[#This Row],[Etapa Retiro - Ingreso]]="","",MARÍTIMOS[[#This Row],[Etapa Retiro - Ingreso]]),"")</f>
        <v>46222.428472222222</v>
      </c>
      <c r="V391" s="11">
        <f>IFERROR(IF(MARÍTIMOS[[#This Row],[Etapa Retiro - Atención]]="","",MARÍTIMOS[[#This Row],[Etapa Retiro - Atención]]),"")</f>
        <v>46222.436805555553</v>
      </c>
      <c r="W391" s="11">
        <f>IFERROR(IF(MARÍTIMOS[[#This Row],[Etapa Retiro - Atención]]="","",MARÍTIMOS[[#This Row],[Etapa Retiro - Atención]]),"")</f>
        <v>46222.436805555553</v>
      </c>
      <c r="X391" s="11">
        <f>IFERROR(IF(MARÍTIMOS[[#This Row],[Etapa Retiro - Inicio de Ruta]]="","",MARÍTIMOS[[#This Row],[Etapa Retiro - Inicio de Ruta]]),"")</f>
        <v>46222.504166666666</v>
      </c>
      <c r="Y391" s="11">
        <f>IFERROR(IF(MARÍTIMOS[[#This Row],[Hora de Posicionamiento]]="","",MARÍTIMOS[[#This Row],[Fecha de Carga]]+MARÍTIMOS[[#This Row],[Hora de Posicionamiento]]),"")</f>
        <v>46223.333333333336</v>
      </c>
      <c r="Z391" s="11">
        <f>IFERROR(IF(MARÍTIMOS[[#This Row],[Etapa Despacho - Llegada]]="","",MARÍTIMOS[[#This Row],[Etapa Despacho - Llegada]]),"")</f>
        <v>46223.359027777777</v>
      </c>
      <c r="AA391" s="11">
        <f>IFERROR(IF(MARÍTIMOS[[#This Row],[Etapa Despacho - Registro]]="","",MARÍTIMOS[[#This Row],[Etapa Despacho - Registro]]),"")</f>
        <v>46223.363194444442</v>
      </c>
      <c r="AB391" s="11">
        <f>IFERROR(IF(MARÍTIMOS[[#This Row],[Inspección Externa]]="","",MARÍTIMOS[[#This Row],[Inspección Externa]]),"")</f>
        <v>46223.390277777777</v>
      </c>
      <c r="AC391" s="11">
        <f>IFERROR(IF(MARÍTIMOS[[#This Row],[Etapa Despacho - Inicio de Carga]]="","",MARÍTIMOS[[#This Row],[Etapa Despacho - Inicio de Carga]]),"")</f>
        <v>46223.5</v>
      </c>
      <c r="AD391" s="11" t="str">
        <f>IFERROR(IF(MARÍTIMOS[[#This Row],[Etapa Despacho - Mitad de Carga]]="","",MARÍTIMOS[[#This Row],[Etapa Despacho - Mitad de Carga]]),"")</f>
        <v/>
      </c>
      <c r="AE391" s="11">
        <f>IFERROR(IF(MARÍTIMOS[[#This Row],[Etapa Despacho - Fin de Carga]]="","",MARÍTIMOS[[#This Row],[Etapa Despacho - Fin de Carga]]),"")</f>
        <v>46223.555555555555</v>
      </c>
      <c r="AF391" s="2" t="str">
        <f>IFERROR(IF(MARÍTIMOS[[#This Row],[Puerto de Embarque]]="","",MARÍTIMOS[[#This Row],[Puerto de Embarque]]),"")</f>
        <v>Paita</v>
      </c>
      <c r="AG391" s="2" t="str">
        <f>IFERROR(IF(MARÍTIMOS[[#This Row],[Almacén de Ingreso]]="","",MARÍTIMOS[[#This Row],[Almacén de Ingreso]]),"")</f>
        <v>TPE</v>
      </c>
      <c r="AH391" s="11">
        <f>IFERROR(IF(MARÍTIMOS[[#This Row],[Etapa Ingreso - Cita]]="","",MARÍTIMOS[[#This Row],[Etapa Ingreso - Cita]]),"")</f>
        <v>46224.375</v>
      </c>
      <c r="AI391" s="11">
        <f>IFERROR(IF(MARÍTIMOS[[#This Row],[Etapa Ingreso - Llegada]]="","",MARÍTIMOS[[#This Row],[Etapa Ingreso - Llegada]]),"")</f>
        <v>46224.32916666667</v>
      </c>
      <c r="AJ391" s="11">
        <f>IFERROR(IF(MARÍTIMOS[[#This Row],[Etapa Ingreso - Ingeso]]="","",MARÍTIMOS[[#This Row],[Etapa Ingreso - Ingeso]]),"")</f>
        <v>46224.332638888889</v>
      </c>
      <c r="AK391" s="11">
        <f>IFERROR(IF(MARÍTIMOS[[#This Row],[Etapa Ingreso - Atención]]="","",MARÍTIMOS[[#This Row],[Etapa Ingreso - Atención]]),"")</f>
        <v>46224.334027777775</v>
      </c>
      <c r="AL391" s="11">
        <f>IFERROR(IF(MARÍTIMOS[[#This Row],[Etapa Ingreso - Salida]]="","",MARÍTIMOS[[#This Row],[Etapa Ingreso - Salida]]),"")</f>
        <v>46224.339583333334</v>
      </c>
      <c r="AM391" s="2">
        <f>IFERROR(IF(MARÍTIMOS[[#This Row],[FCL]]="","",MARÍTIMOS[[#This Row],[FCL]]),"")</f>
        <v>1</v>
      </c>
      <c r="AN3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91" s="4" t="str" cm="1">
        <f t="array" ref="AO3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1" s="5">
        <f>IFERROR(OLDBD[[#This Row],[Llegada a packing]]-OLDBD[[#This Row],[Inicio de Ruta]],"")</f>
        <v>0.85486111111094942</v>
      </c>
      <c r="AQ391" s="6">
        <f>IFERROR(OLDBD[[#This Row],[Inicio de Ruta]]-OLDBD[[#This Row],[Salida de almacén de retiro]],"")</f>
        <v>6.7361111112404615E-2</v>
      </c>
      <c r="AR3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91" s="8" t="str" cm="1">
        <f t="array" ref="AS3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91" s="9">
        <f>IFERROR(OLDBD[[#This Row],[Ingreso Packing]]-OLDBD[[#This Row],[Registro en Packing]],"")</f>
        <v>2.7083333334303461E-2</v>
      </c>
      <c r="AV391" s="9">
        <f>IFERROR(OLDBD[[#This Row],[Ingreso Packing]]-OLDBD[[#This Row],[Llegada a packing]],"")</f>
        <v>3.125E-2</v>
      </c>
      <c r="AW3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1" s="5">
        <f>IFERROR(OLDBD[[#This Row],[Llegada Almacén de Ingreso]]-OLDBD[[#This Row],[Salida Packing]],"")</f>
        <v>0.773611111115315</v>
      </c>
      <c r="AY391" s="4" t="str" cm="1">
        <f t="array" ref="AY3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91" s="43" t="s">
        <v>173</v>
      </c>
      <c r="BB391" s="47" t="str">
        <f>IFERROR(IF(MARÍTIMOS[[#This Row],[Estatus]]="","",MARÍTIMOS[[#This Row],[Estatus]]),"")</f>
        <v>Confirmado</v>
      </c>
      <c r="BC391" s="43"/>
      <c r="BD391" s="46">
        <f>IFERROR(OLDBD[[#This Row],[Salida de almacén de retiro]]-OLDBD[[#This Row],[Ingreso Almacén de retiro]],"")</f>
        <v>8.333333331393078E-3</v>
      </c>
      <c r="BE391" s="46" t="str">
        <f>IFERROR(OLDBD[[#This Row],[Fin de Carga]]-OLDBD[[#This Row],[Inicio de Carga]],"")</f>
        <v/>
      </c>
    </row>
    <row r="392" spans="1:57" customFormat="1" hidden="1">
      <c r="A392" s="1"/>
      <c r="B392" s="1">
        <f>IFERROR(IF(MARÍTIMOS[[#This Row],[PP]]="","",MARÍTIMOS[[#This Row],[PP]]),"")</f>
        <v>29</v>
      </c>
      <c r="C392" s="1" t="str">
        <f>IFERROR(IF(MARÍTIMOS[[#This Row],[Sede]]="","",MARÍTIMOS[[#This Row],[Sede]]),"")</f>
        <v>Chao</v>
      </c>
      <c r="D392" s="1" t="str">
        <f>IFERROR(IF(MARÍTIMOS[[#This Row],[Instruction]]="","",MARÍTIMOS[[#This Row],[Instruction]]),"")</f>
        <v>RH-0206</v>
      </c>
      <c r="E392" s="1"/>
      <c r="F392" s="2" t="str">
        <f>IFERROR(IF(MARÍTIMOS[[#This Row],[Transportista]]="","",MARÍTIMOS[[#This Row],[Transportista]]),"")</f>
        <v>VESL</v>
      </c>
      <c r="G392" s="2" t="str">
        <f>IFERROR(IF(MARÍTIMOS[[#This Row],[Tercero]]="","",MARÍTIMOS[[#This Row],[Tercero]]),"")</f>
        <v>NO</v>
      </c>
      <c r="H392" s="2" t="str">
        <f>IFERROR(IF(MARÍTIMOS[[#This Row],[Razón Social]]="","",MARÍTIMOS[[#This Row],[Razón Social]]),"")</f>
        <v>VE SOLUCIONES LOGISTICAS SAC</v>
      </c>
      <c r="I392" s="2">
        <f>IFERROR(IF(MARÍTIMOS[[#This Row],[RUC]]="","",MARÍTIMOS[[#This Row],[RUC]]),"")</f>
        <v>20557679392</v>
      </c>
      <c r="J392" s="2" t="str">
        <f>IFERROR(IF(MARÍTIMOS[[#This Row],[Placa Tracto]]="","",MARÍTIMOS[[#This Row],[Placa Tracto]]),"")</f>
        <v>BFY932</v>
      </c>
      <c r="K392" s="2" t="str">
        <f>IFERROR(IF(MARÍTIMOS[[#This Row],[Placa Carreta]]="","",MARÍTIMOS[[#This Row],[Placa Carreta]]),"")</f>
        <v>AUR-970</v>
      </c>
      <c r="L392" s="44" t="str">
        <f>IFERROR(IF(MARÍTIMOS[[#This Row],[Conductor]]="","",MARÍTIMOS[[#This Row],[Conductor]]),"")</f>
        <v>YMMER JOSÉ CALDERON RODRIGUEZ</v>
      </c>
      <c r="M392" s="2" t="str">
        <f>IFERROR(IF(MARÍTIMOS[[#This Row],[Licencia]]="","",MARÍTIMOS[[#This Row],[Licencia]]),"")</f>
        <v>B008200945</v>
      </c>
      <c r="N392" s="2">
        <f>IFERROR(IF(MARÍTIMOS[[#This Row],[Número de Contacto]]="","",MARÍTIMOS[[#This Row],[Número de Contacto]]),"")</f>
        <v>0</v>
      </c>
      <c r="O392" s="10" t="str">
        <f>IFERROR(IF(MARÍTIMOS[[#This Row],[Booking|AWB|CRT]]="","",MARÍTIMOS[[#This Row],[Booking|AWB|CRT]]),"")</f>
        <v>PER9150729A</v>
      </c>
      <c r="P392" s="2" t="str">
        <f>IFERROR(IF(MARÍTIMOS[[#This Row],[Contenedor]]="","",MARÍTIMOS[[#This Row],[Contenedor]]),"")</f>
        <v>CAAU4162288</v>
      </c>
      <c r="Q392" s="2" t="str">
        <f>IFERROR(IF(MARÍTIMOS[[#This Row],[Puerto de Retiro]]="","",MARÍTIMOS[[#This Row],[Puerto de Retiro]]),"")</f>
        <v>PAITA</v>
      </c>
      <c r="R392" s="2" t="str">
        <f>IFERROR(IF(MARÍTIMOS[[#This Row],[Almacén de Retiro]]="","",MARÍTIMOS[[#This Row],[Almacén de Retiro]]),"")</f>
        <v>DPW</v>
      </c>
      <c r="S392" s="11">
        <f>IFERROR(IF(MARÍTIMOS[[#This Row],[Etapa Retiro - Cita]]="","",MARÍTIMOS[[#This Row],[Etapa Retiro - Cita]]),"")</f>
        <v>46223.583333333336</v>
      </c>
      <c r="T392" s="11">
        <f>IFERROR(IF(MARÍTIMOS[[#This Row],[Etapa Retiro - Llegada]]="","",MARÍTIMOS[[#This Row],[Etapa Retiro - Llegada]]),"")</f>
        <v>46223.613194444442</v>
      </c>
      <c r="U392" s="11">
        <f>IFERROR(IF(MARÍTIMOS[[#This Row],[Etapa Retiro - Ingreso]]="","",MARÍTIMOS[[#This Row],[Etapa Retiro - Ingreso]]),"")</f>
        <v>46223.647916666669</v>
      </c>
      <c r="V392" s="11">
        <f>IFERROR(IF(MARÍTIMOS[[#This Row],[Etapa Retiro - Atención]]="","",MARÍTIMOS[[#This Row],[Etapa Retiro - Atención]]),"")</f>
        <v>46223.661111111112</v>
      </c>
      <c r="W392" s="11">
        <f>IFERROR(IF(MARÍTIMOS[[#This Row],[Etapa Retiro - Atención]]="","",MARÍTIMOS[[#This Row],[Etapa Retiro - Atención]]),"")</f>
        <v>46223.661111111112</v>
      </c>
      <c r="X392" s="11">
        <f>IFERROR(IF(MARÍTIMOS[[#This Row],[Etapa Retiro - Inicio de Ruta]]="","",MARÍTIMOS[[#This Row],[Etapa Retiro - Inicio de Ruta]]),"")</f>
        <v>46223.724999999999</v>
      </c>
      <c r="Y392" s="11">
        <f>IFERROR(IF(MARÍTIMOS[[#This Row],[Hora de Posicionamiento]]="","",MARÍTIMOS[[#This Row],[Fecha de Carga]]+MARÍTIMOS[[#This Row],[Hora de Posicionamiento]]),"")</f>
        <v>46224.333333333336</v>
      </c>
      <c r="Z392" s="11">
        <f>IFERROR(IF(MARÍTIMOS[[#This Row],[Etapa Despacho - Llegada]]="","",MARÍTIMOS[[#This Row],[Etapa Despacho - Llegada]]),"")</f>
        <v>46224.332638888889</v>
      </c>
      <c r="AA392" s="11">
        <f>IFERROR(IF(MARÍTIMOS[[#This Row],[Etapa Despacho - Registro]]="","",MARÍTIMOS[[#This Row],[Etapa Despacho - Registro]]),"")</f>
        <v>46224.336805555555</v>
      </c>
      <c r="AB392" s="11">
        <f>IFERROR(IF(MARÍTIMOS[[#This Row],[Inspección Externa]]="","",MARÍTIMOS[[#This Row],[Inspección Externa]]),"")</f>
        <v>46224.334027777775</v>
      </c>
      <c r="AC392" s="11">
        <f>IFERROR(IF(MARÍTIMOS[[#This Row],[Etapa Despacho - Inicio de Carga]]="","",MARÍTIMOS[[#This Row],[Etapa Despacho - Inicio de Carga]]),"")</f>
        <v>46224.541666666664</v>
      </c>
      <c r="AD392" s="11" t="str">
        <f>IFERROR(IF(MARÍTIMOS[[#This Row],[Etapa Despacho - Mitad de Carga]]="","",MARÍTIMOS[[#This Row],[Etapa Despacho - Mitad de Carga]]),"")</f>
        <v/>
      </c>
      <c r="AE392" s="11">
        <f>IFERROR(IF(MARÍTIMOS[[#This Row],[Etapa Despacho - Fin de Carga]]="","",MARÍTIMOS[[#This Row],[Etapa Despacho - Fin de Carga]]),"")</f>
        <v>46224.604166666664</v>
      </c>
      <c r="AF392" s="2" t="str">
        <f>IFERROR(IF(MARÍTIMOS[[#This Row],[Puerto de Embarque]]="","",MARÍTIMOS[[#This Row],[Puerto de Embarque]]),"")</f>
        <v>Paita</v>
      </c>
      <c r="AG392" s="2" t="str">
        <f>IFERROR(IF(MARÍTIMOS[[#This Row],[Almacén de Ingreso]]="","",MARÍTIMOS[[#This Row],[Almacén de Ingreso]]),"")</f>
        <v>TPE</v>
      </c>
      <c r="AH392" s="11">
        <f>IFERROR(IF(MARÍTIMOS[[#This Row],[Etapa Ingreso - Cita]]="","",MARÍTIMOS[[#This Row],[Etapa Ingreso - Cita]]),"")</f>
        <v>46225.458333333336</v>
      </c>
      <c r="AI392" s="11">
        <f>IFERROR(IF(MARÍTIMOS[[#This Row],[Etapa Ingreso - Llegada]]="","",MARÍTIMOS[[#This Row],[Etapa Ingreso - Llegada]]),"")</f>
        <v>46225.427083333336</v>
      </c>
      <c r="AJ392" s="11">
        <f>IFERROR(IF(MARÍTIMOS[[#This Row],[Etapa Ingreso - Ingeso]]="","",MARÍTIMOS[[#This Row],[Etapa Ingreso - Ingeso]]),"")</f>
        <v>46225.429861111108</v>
      </c>
      <c r="AK392" s="11">
        <f>IFERROR(IF(MARÍTIMOS[[#This Row],[Etapa Ingreso - Atención]]="","",MARÍTIMOS[[#This Row],[Etapa Ingreso - Atención]]),"")</f>
        <v>46225.431944444441</v>
      </c>
      <c r="AL392" s="11">
        <f>IFERROR(IF(MARÍTIMOS[[#This Row],[Etapa Ingreso - Salida]]="","",MARÍTIMOS[[#This Row],[Etapa Ingreso - Salida]]),"")</f>
        <v>46225.436111111114</v>
      </c>
      <c r="AM392" s="2">
        <f>IFERROR(IF(MARÍTIMOS[[#This Row],[FCL]]="","",MARÍTIMOS[[#This Row],[FCL]]),"")</f>
        <v>1</v>
      </c>
      <c r="AN3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92" s="4" t="str" cm="1">
        <f t="array" ref="AO3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2" s="5">
        <f>IFERROR(OLDBD[[#This Row],[Llegada a packing]]-OLDBD[[#This Row],[Inicio de Ruta]],"")</f>
        <v>0.60763888889050577</v>
      </c>
      <c r="AQ392" s="6">
        <f>IFERROR(OLDBD[[#This Row],[Inicio de Ruta]]-OLDBD[[#This Row],[Salida de almacén de retiro]],"")</f>
        <v>6.3888888886140194E-2</v>
      </c>
      <c r="AR3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92" s="8" t="str" cm="1">
        <f t="array" ref="AS3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92" s="9">
        <f>IFERROR(OLDBD[[#This Row],[Ingreso Packing]]-OLDBD[[#This Row],[Registro en Packing]],"")</f>
        <v>-2.7777777795563452E-3</v>
      </c>
      <c r="AV392" s="9">
        <f>IFERROR(OLDBD[[#This Row],[Ingreso Packing]]-OLDBD[[#This Row],[Llegada a packing]],"")</f>
        <v>1.3888888861401938E-3</v>
      </c>
      <c r="AW3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2" s="5">
        <f>IFERROR(OLDBD[[#This Row],[Llegada Almacén de Ingreso]]-OLDBD[[#This Row],[Salida Packing]],"")</f>
        <v>0.82291666667151731</v>
      </c>
      <c r="AY392" s="4" t="str" cm="1">
        <f t="array" ref="AY3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92" s="43" t="s">
        <v>173</v>
      </c>
      <c r="BB392" s="47" t="str">
        <f>IFERROR(IF(MARÍTIMOS[[#This Row],[Estatus]]="","",MARÍTIMOS[[#This Row],[Estatus]]),"")</f>
        <v>Confirmado</v>
      </c>
      <c r="BC392" s="43"/>
      <c r="BD392" s="46">
        <f>IFERROR(OLDBD[[#This Row],[Salida de almacén de retiro]]-OLDBD[[#This Row],[Ingreso Almacén de retiro]],"")</f>
        <v>1.3194444443797693E-2</v>
      </c>
      <c r="BE392" s="46" t="str">
        <f>IFERROR(OLDBD[[#This Row],[Fin de Carga]]-OLDBD[[#This Row],[Inicio de Carga]],"")</f>
        <v/>
      </c>
    </row>
    <row r="393" spans="1:57" customFormat="1" hidden="1">
      <c r="A393" s="1"/>
      <c r="B393" s="1">
        <f>IFERROR(IF(MARÍTIMOS[[#This Row],[PP]]="","",MARÍTIMOS[[#This Row],[PP]]),"")</f>
        <v>29</v>
      </c>
      <c r="C393" s="1" t="str">
        <f>IFERROR(IF(MARÍTIMOS[[#This Row],[Sede]]="","",MARÍTIMOS[[#This Row],[Sede]]),"")</f>
        <v>Chao</v>
      </c>
      <c r="D393" s="1" t="str">
        <f>IFERROR(IF(MARÍTIMOS[[#This Row],[Instruction]]="","",MARÍTIMOS[[#This Row],[Instruction]]),"")</f>
        <v>RH-0210</v>
      </c>
      <c r="E393" s="1"/>
      <c r="F393" s="2" t="str">
        <f>IFERROR(IF(MARÍTIMOS[[#This Row],[Transportista]]="","",MARÍTIMOS[[#This Row],[Transportista]]),"")</f>
        <v>VESL</v>
      </c>
      <c r="G393" s="2" t="str">
        <f>IFERROR(IF(MARÍTIMOS[[#This Row],[Tercero]]="","",MARÍTIMOS[[#This Row],[Tercero]]),"")</f>
        <v>NO</v>
      </c>
      <c r="H393" s="2" t="str">
        <f>IFERROR(IF(MARÍTIMOS[[#This Row],[Razón Social]]="","",MARÍTIMOS[[#This Row],[Razón Social]]),"")</f>
        <v>VE SOLUCIONES LOGISTICAS SAC</v>
      </c>
      <c r="I393" s="2">
        <f>IFERROR(IF(MARÍTIMOS[[#This Row],[RUC]]="","",MARÍTIMOS[[#This Row],[RUC]]),"")</f>
        <v>20557679392</v>
      </c>
      <c r="J393" s="2" t="str">
        <f>IFERROR(IF(MARÍTIMOS[[#This Row],[Placa Tracto]]="","",MARÍTIMOS[[#This Row],[Placa Tracto]]),"")</f>
        <v>BFY931</v>
      </c>
      <c r="K393" s="2" t="str">
        <f>IFERROR(IF(MARÍTIMOS[[#This Row],[Placa Carreta]]="","",MARÍTIMOS[[#This Row],[Placa Carreta]]),"")</f>
        <v>F5X-983</v>
      </c>
      <c r="L393" s="44" t="str">
        <f>IFERROR(IF(MARÍTIMOS[[#This Row],[Conductor]]="","",MARÍTIMOS[[#This Row],[Conductor]]),"")</f>
        <v>RICHARD CLEY CALDERON RODRIGUEZ</v>
      </c>
      <c r="M393" s="2" t="str">
        <f>IFERROR(IF(MARÍTIMOS[[#This Row],[Licencia]]="","",MARÍTIMOS[[#This Row],[Licencia]]),"")</f>
        <v>B003228182</v>
      </c>
      <c r="N393" s="2">
        <f>IFERROR(IF(MARÍTIMOS[[#This Row],[Número de Contacto]]="","",MARÍTIMOS[[#This Row],[Número de Contacto]]),"")</f>
        <v>0</v>
      </c>
      <c r="O393" s="10" t="str">
        <f>IFERROR(IF(MARÍTIMOS[[#This Row],[Booking|AWB|CRT]]="","",MARÍTIMOS[[#This Row],[Booking|AWB|CRT]]),"")</f>
        <v>PER9150771A</v>
      </c>
      <c r="P393" s="2" t="str">
        <f>IFERROR(IF(MARÍTIMOS[[#This Row],[Contenedor]]="","",MARÍTIMOS[[#This Row],[Contenedor]]),"")</f>
        <v>TXGU9032157</v>
      </c>
      <c r="Q393" s="2" t="str">
        <f>IFERROR(IF(MARÍTIMOS[[#This Row],[Puerto de Retiro]]="","",MARÍTIMOS[[#This Row],[Puerto de Retiro]]),"")</f>
        <v>PAITA</v>
      </c>
      <c r="R393" s="2" t="str">
        <f>IFERROR(IF(MARÍTIMOS[[#This Row],[Almacén de Retiro]]="","",MARÍTIMOS[[#This Row],[Almacén de Retiro]]),"")</f>
        <v>DPW</v>
      </c>
      <c r="S393" s="11">
        <f>IFERROR(IF(MARÍTIMOS[[#This Row],[Etapa Retiro - Cita]]="","",MARÍTIMOS[[#This Row],[Etapa Retiro - Cita]]),"")</f>
        <v>46223.583333333336</v>
      </c>
      <c r="T393" s="11">
        <f>IFERROR(IF(MARÍTIMOS[[#This Row],[Etapa Retiro - Llegada]]="","",MARÍTIMOS[[#This Row],[Etapa Retiro - Llegada]]),"")</f>
        <v>46223.613888888889</v>
      </c>
      <c r="U393" s="11">
        <f>IFERROR(IF(MARÍTIMOS[[#This Row],[Etapa Retiro - Ingreso]]="","",MARÍTIMOS[[#This Row],[Etapa Retiro - Ingreso]]),"")</f>
        <v>46223.651388888888</v>
      </c>
      <c r="V393" s="11">
        <f>IFERROR(IF(MARÍTIMOS[[#This Row],[Etapa Retiro - Atención]]="","",MARÍTIMOS[[#This Row],[Etapa Retiro - Atención]]),"")</f>
        <v>46223.667361111111</v>
      </c>
      <c r="W393" s="11">
        <f>IFERROR(IF(MARÍTIMOS[[#This Row],[Etapa Retiro - Atención]]="","",MARÍTIMOS[[#This Row],[Etapa Retiro - Atención]]),"")</f>
        <v>46223.667361111111</v>
      </c>
      <c r="X393" s="11">
        <f>IFERROR(IF(MARÍTIMOS[[#This Row],[Etapa Retiro - Inicio de Ruta]]="","",MARÍTIMOS[[#This Row],[Etapa Retiro - Inicio de Ruta]]),"")</f>
        <v>46223.701388888891</v>
      </c>
      <c r="Y393" s="11">
        <f>IFERROR(IF(MARÍTIMOS[[#This Row],[Hora de Posicionamiento]]="","",MARÍTIMOS[[#This Row],[Fecha de Carga]]+MARÍTIMOS[[#This Row],[Hora de Posicionamiento]]),"")</f>
        <v>46224.333333333336</v>
      </c>
      <c r="Z393" s="11">
        <f>IFERROR(IF(MARÍTIMOS[[#This Row],[Etapa Despacho - Llegada]]="","",MARÍTIMOS[[#This Row],[Etapa Despacho - Llegada]]),"")</f>
        <v>46224.333333333336</v>
      </c>
      <c r="AA393" s="11">
        <f>IFERROR(IF(MARÍTIMOS[[#This Row],[Etapa Despacho - Registro]]="","",MARÍTIMOS[[#This Row],[Etapa Despacho - Registro]]),"")</f>
        <v>46224.336805555555</v>
      </c>
      <c r="AB393" s="11">
        <f>IFERROR(IF(MARÍTIMOS[[#This Row],[Inspección Externa]]="","",MARÍTIMOS[[#This Row],[Inspección Externa]]),"")</f>
        <v>46224.34375</v>
      </c>
      <c r="AC393" s="11">
        <f>IFERROR(IF(MARÍTIMOS[[#This Row],[Etapa Despacho - Inicio de Carga]]="","",MARÍTIMOS[[#This Row],[Etapa Despacho - Inicio de Carga]]),"")</f>
        <v>46224.5625</v>
      </c>
      <c r="AD393" s="11" t="str">
        <f>IFERROR(IF(MARÍTIMOS[[#This Row],[Etapa Despacho - Mitad de Carga]]="","",MARÍTIMOS[[#This Row],[Etapa Despacho - Mitad de Carga]]),"")</f>
        <v/>
      </c>
      <c r="AE393" s="11">
        <f>IFERROR(IF(MARÍTIMOS[[#This Row],[Etapa Despacho - Fin de Carga]]="","",MARÍTIMOS[[#This Row],[Etapa Despacho - Fin de Carga]]),"")</f>
        <v>46224.666666666664</v>
      </c>
      <c r="AF393" s="2" t="str">
        <f>IFERROR(IF(MARÍTIMOS[[#This Row],[Puerto de Embarque]]="","",MARÍTIMOS[[#This Row],[Puerto de Embarque]]),"")</f>
        <v>Paita</v>
      </c>
      <c r="AG393" s="2" t="str">
        <f>IFERROR(IF(MARÍTIMOS[[#This Row],[Almacén de Ingreso]]="","",MARÍTIMOS[[#This Row],[Almacén de Ingreso]]),"")</f>
        <v>TPE</v>
      </c>
      <c r="AH393" s="11">
        <f>IFERROR(IF(MARÍTIMOS[[#This Row],[Etapa Ingreso - Cita]]="","",MARÍTIMOS[[#This Row],[Etapa Ingreso - Cita]]),"")</f>
        <v>46225.458333333336</v>
      </c>
      <c r="AI393" s="11">
        <f>IFERROR(IF(MARÍTIMOS[[#This Row],[Etapa Ingreso - Llegada]]="","",MARÍTIMOS[[#This Row],[Etapa Ingreso - Llegada]]),"")</f>
        <v>46225.443055555559</v>
      </c>
      <c r="AJ393" s="11">
        <f>IFERROR(IF(MARÍTIMOS[[#This Row],[Etapa Ingreso - Ingeso]]="","",MARÍTIMOS[[#This Row],[Etapa Ingreso - Ingeso]]),"")</f>
        <v>46225.454861111109</v>
      </c>
      <c r="AK393" s="11">
        <f>IFERROR(IF(MARÍTIMOS[[#This Row],[Etapa Ingreso - Atención]]="","",MARÍTIMOS[[#This Row],[Etapa Ingreso - Atención]]),"")</f>
        <v>46225.459722222222</v>
      </c>
      <c r="AL393" s="11">
        <f>IFERROR(IF(MARÍTIMOS[[#This Row],[Etapa Ingreso - Salida]]="","",MARÍTIMOS[[#This Row],[Etapa Ingreso - Salida]]),"")</f>
        <v>46225.463888888888</v>
      </c>
      <c r="AM393" s="2">
        <f>IFERROR(IF(MARÍTIMOS[[#This Row],[FCL]]="","",MARÍTIMOS[[#This Row],[FCL]]),"")</f>
        <v>1</v>
      </c>
      <c r="AN3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93" s="4" t="str" cm="1">
        <f t="array" ref="AO3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3" s="5">
        <f>IFERROR(OLDBD[[#This Row],[Llegada a packing]]-OLDBD[[#This Row],[Inicio de Ruta]],"")</f>
        <v>0.63194444444525288</v>
      </c>
      <c r="AQ393" s="6">
        <f>IFERROR(OLDBD[[#This Row],[Inicio de Ruta]]-OLDBD[[#This Row],[Salida de almacén de retiro]],"")</f>
        <v>3.4027777779556345E-2</v>
      </c>
      <c r="AR3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93" s="8" t="str" cm="1">
        <f t="array" ref="AS3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93" s="9">
        <f>IFERROR(OLDBD[[#This Row],[Ingreso Packing]]-OLDBD[[#This Row],[Registro en Packing]],"")</f>
        <v>6.9444444452528842E-3</v>
      </c>
      <c r="AV393" s="9">
        <f>IFERROR(OLDBD[[#This Row],[Ingreso Packing]]-OLDBD[[#This Row],[Llegada a packing]],"")</f>
        <v>1.0416666664241347E-2</v>
      </c>
      <c r="AW3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3" s="5">
        <f>IFERROR(OLDBD[[#This Row],[Llegada Almacén de Ingreso]]-OLDBD[[#This Row],[Salida Packing]],"")</f>
        <v>0.77638888889487134</v>
      </c>
      <c r="AY393" s="4" t="str" cm="1">
        <f t="array" ref="AY3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93" s="43" t="s">
        <v>173</v>
      </c>
      <c r="BB393" s="47" t="str">
        <f>IFERROR(IF(MARÍTIMOS[[#This Row],[Estatus]]="","",MARÍTIMOS[[#This Row],[Estatus]]),"")</f>
        <v>Confirmado</v>
      </c>
      <c r="BC393" s="43"/>
      <c r="BD393" s="46">
        <f>IFERROR(OLDBD[[#This Row],[Salida de almacén de retiro]]-OLDBD[[#This Row],[Ingreso Almacén de retiro]],"")</f>
        <v>1.5972222223354038E-2</v>
      </c>
      <c r="BE393" s="46" t="str">
        <f>IFERROR(OLDBD[[#This Row],[Fin de Carga]]-OLDBD[[#This Row],[Inicio de Carga]],"")</f>
        <v/>
      </c>
    </row>
    <row r="394" spans="1:57" customFormat="1" hidden="1">
      <c r="A394" s="1"/>
      <c r="B394" s="1">
        <f>IFERROR(IF(MARÍTIMOS[[#This Row],[PP]]="","",MARÍTIMOS[[#This Row],[PP]]),"")</f>
        <v>29</v>
      </c>
      <c r="C394" s="1" t="str">
        <f>IFERROR(IF(MARÍTIMOS[[#This Row],[Sede]]="","",MARÍTIMOS[[#This Row],[Sede]]),"")</f>
        <v>Chao</v>
      </c>
      <c r="D394" s="1" t="str">
        <f>IFERROR(IF(MARÍTIMOS[[#This Row],[Instruction]]="","",MARÍTIMOS[[#This Row],[Instruction]]),"")</f>
        <v>RH-0211</v>
      </c>
      <c r="E394" s="1"/>
      <c r="F394" s="2" t="str">
        <f>IFERROR(IF(MARÍTIMOS[[#This Row],[Transportista]]="","",MARÍTIMOS[[#This Row],[Transportista]]),"")</f>
        <v>VESL</v>
      </c>
      <c r="G394" s="2" t="str">
        <f>IFERROR(IF(MARÍTIMOS[[#This Row],[Tercero]]="","",MARÍTIMOS[[#This Row],[Tercero]]),"")</f>
        <v>NO</v>
      </c>
      <c r="H394" s="2" t="str">
        <f>IFERROR(IF(MARÍTIMOS[[#This Row],[Razón Social]]="","",MARÍTIMOS[[#This Row],[Razón Social]]),"")</f>
        <v>VE SOLUCIONES LOGISTICAS SAC</v>
      </c>
      <c r="I394" s="2">
        <f>IFERROR(IF(MARÍTIMOS[[#This Row],[RUC]]="","",MARÍTIMOS[[#This Row],[RUC]]),"")</f>
        <v>20557679392</v>
      </c>
      <c r="J394" s="2" t="str">
        <f>IFERROR(IF(MARÍTIMOS[[#This Row],[Placa Tracto]]="","",MARÍTIMOS[[#This Row],[Placa Tracto]]),"")</f>
        <v>BFY937</v>
      </c>
      <c r="K394" s="2" t="str">
        <f>IFERROR(IF(MARÍTIMOS[[#This Row],[Placa Carreta]]="","",MARÍTIMOS[[#This Row],[Placa Carreta]]),"")</f>
        <v>AUT-994</v>
      </c>
      <c r="L394" s="44" t="str">
        <f>IFERROR(IF(MARÍTIMOS[[#This Row],[Conductor]]="","",MARÍTIMOS[[#This Row],[Conductor]]),"")</f>
        <v>JOSE ALBERTO TROYA GONZALEZ</v>
      </c>
      <c r="M394" s="2" t="str">
        <f>IFERROR(IF(MARÍTIMOS[[#This Row],[Licencia]]="","",MARÍTIMOS[[#This Row],[Licencia]]),"")</f>
        <v>B005147608</v>
      </c>
      <c r="N394" s="2">
        <f>IFERROR(IF(MARÍTIMOS[[#This Row],[Número de Contacto]]="","",MARÍTIMOS[[#This Row],[Número de Contacto]]),"")</f>
        <v>0</v>
      </c>
      <c r="O394" s="10" t="str">
        <f>IFERROR(IF(MARÍTIMOS[[#This Row],[Booking|AWB|CRT]]="","",MARÍTIMOS[[#This Row],[Booking|AWB|CRT]]),"")</f>
        <v>PER9150772A</v>
      </c>
      <c r="P394" s="2" t="str">
        <f>IFERROR(IF(MARÍTIMOS[[#This Row],[Contenedor]]="","",MARÍTIMOS[[#This Row],[Contenedor]]),"")</f>
        <v>CAAU4164275</v>
      </c>
      <c r="Q394" s="2" t="str">
        <f>IFERROR(IF(MARÍTIMOS[[#This Row],[Puerto de Retiro]]="","",MARÍTIMOS[[#This Row],[Puerto de Retiro]]),"")</f>
        <v>PAITA</v>
      </c>
      <c r="R394" s="2" t="str">
        <f>IFERROR(IF(MARÍTIMOS[[#This Row],[Almacén de Retiro]]="","",MARÍTIMOS[[#This Row],[Almacén de Retiro]]),"")</f>
        <v>DPW</v>
      </c>
      <c r="S394" s="11">
        <f>IFERROR(IF(MARÍTIMOS[[#This Row],[Etapa Retiro - Cita]]="","",MARÍTIMOS[[#This Row],[Etapa Retiro - Cita]]),"")</f>
        <v>46223.583333333336</v>
      </c>
      <c r="T394" s="11">
        <f>IFERROR(IF(MARÍTIMOS[[#This Row],[Etapa Retiro - Llegada]]="","",MARÍTIMOS[[#This Row],[Etapa Retiro - Llegada]]),"")</f>
        <v>46223.583333333336</v>
      </c>
      <c r="U394" s="11">
        <f>IFERROR(IF(MARÍTIMOS[[#This Row],[Etapa Retiro - Ingreso]]="","",MARÍTIMOS[[#This Row],[Etapa Retiro - Ingreso]]),"")</f>
        <v>46223.614583333336</v>
      </c>
      <c r="V394" s="11">
        <f>IFERROR(IF(MARÍTIMOS[[#This Row],[Etapa Retiro - Atención]]="","",MARÍTIMOS[[#This Row],[Etapa Retiro - Atención]]),"")</f>
        <v>46223.625</v>
      </c>
      <c r="W394" s="11">
        <f>IFERROR(IF(MARÍTIMOS[[#This Row],[Etapa Retiro - Atención]]="","",MARÍTIMOS[[#This Row],[Etapa Retiro - Atención]]),"")</f>
        <v>46223.625</v>
      </c>
      <c r="X394" s="11">
        <f>IFERROR(IF(MARÍTIMOS[[#This Row],[Etapa Retiro - Inicio de Ruta]]="","",MARÍTIMOS[[#This Row],[Etapa Retiro - Inicio de Ruta]]),"")</f>
        <v>46223.666666666664</v>
      </c>
      <c r="Y394" s="11">
        <f>IFERROR(IF(MARÍTIMOS[[#This Row],[Hora de Posicionamiento]]="","",MARÍTIMOS[[#This Row],[Fecha de Carga]]+MARÍTIMOS[[#This Row],[Hora de Posicionamiento]]),"")</f>
        <v>46224.333333333336</v>
      </c>
      <c r="Z394" s="11">
        <f>IFERROR(IF(MARÍTIMOS[[#This Row],[Etapa Despacho - Llegada]]="","",MARÍTIMOS[[#This Row],[Etapa Despacho - Llegada]]),"")</f>
        <v>46224.333333333336</v>
      </c>
      <c r="AA394" s="11">
        <f>IFERROR(IF(MARÍTIMOS[[#This Row],[Etapa Despacho - Registro]]="","",MARÍTIMOS[[#This Row],[Etapa Despacho - Registro]]),"")</f>
        <v>46224.337500000001</v>
      </c>
      <c r="AB394" s="11">
        <f>IFERROR(IF(MARÍTIMOS[[#This Row],[Inspección Externa]]="","",MARÍTIMOS[[#This Row],[Inspección Externa]]),"")</f>
        <v>46224.34375</v>
      </c>
      <c r="AC394" s="11">
        <f>IFERROR(IF(MARÍTIMOS[[#This Row],[Etapa Despacho - Inicio de Carga]]="","",MARÍTIMOS[[#This Row],[Etapa Despacho - Inicio de Carga]]),"")</f>
        <v>46224.583333333336</v>
      </c>
      <c r="AD394" s="11" t="str">
        <f>IFERROR(IF(MARÍTIMOS[[#This Row],[Etapa Despacho - Mitad de Carga]]="","",MARÍTIMOS[[#This Row],[Etapa Despacho - Mitad de Carga]]),"")</f>
        <v/>
      </c>
      <c r="AE394" s="11">
        <f>IFERROR(IF(MARÍTIMOS[[#This Row],[Etapa Despacho - Fin de Carga]]="","",MARÍTIMOS[[#This Row],[Etapa Despacho - Fin de Carga]]),"")</f>
        <v>46224.6875</v>
      </c>
      <c r="AF394" s="2" t="str">
        <f>IFERROR(IF(MARÍTIMOS[[#This Row],[Puerto de Embarque]]="","",MARÍTIMOS[[#This Row],[Puerto de Embarque]]),"")</f>
        <v>Paita</v>
      </c>
      <c r="AG394" s="2" t="str">
        <f>IFERROR(IF(MARÍTIMOS[[#This Row],[Almacén de Ingreso]]="","",MARÍTIMOS[[#This Row],[Almacén de Ingreso]]),"")</f>
        <v>TPE</v>
      </c>
      <c r="AH394" s="11">
        <f>IFERROR(IF(MARÍTIMOS[[#This Row],[Etapa Ingreso - Cita]]="","",MARÍTIMOS[[#This Row],[Etapa Ingreso - Cita]]),"")</f>
        <v>46225.25</v>
      </c>
      <c r="AI394" s="11">
        <f>IFERROR(IF(MARÍTIMOS[[#This Row],[Etapa Ingreso - Llegada]]="","",MARÍTIMOS[[#This Row],[Etapa Ingreso - Llegada]]),"")</f>
        <v>46225.191666666666</v>
      </c>
      <c r="AJ394" s="11">
        <f>IFERROR(IF(MARÍTIMOS[[#This Row],[Etapa Ingreso - Ingeso]]="","",MARÍTIMOS[[#This Row],[Etapa Ingreso - Ingeso]]),"")</f>
        <v>46225.198611111111</v>
      </c>
      <c r="AK394" s="11">
        <f>IFERROR(IF(MARÍTIMOS[[#This Row],[Etapa Ingreso - Atención]]="","",MARÍTIMOS[[#This Row],[Etapa Ingreso - Atención]]),"")</f>
        <v>46225.200694444444</v>
      </c>
      <c r="AL394" s="11">
        <f>IFERROR(IF(MARÍTIMOS[[#This Row],[Etapa Ingreso - Salida]]="","",MARÍTIMOS[[#This Row],[Etapa Ingreso - Salida]]),"")</f>
        <v>46225.202777777777</v>
      </c>
      <c r="AM394" s="2">
        <f>IFERROR(IF(MARÍTIMOS[[#This Row],[FCL]]="","",MARÍTIMOS[[#This Row],[FCL]]),"")</f>
        <v>1</v>
      </c>
      <c r="AN3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94" s="4" t="str" cm="1">
        <f t="array" ref="AO3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4" s="5">
        <f>IFERROR(OLDBD[[#This Row],[Llegada a packing]]-OLDBD[[#This Row],[Inicio de Ruta]],"")</f>
        <v>0.66666666667151731</v>
      </c>
      <c r="AQ394" s="6">
        <f>IFERROR(OLDBD[[#This Row],[Inicio de Ruta]]-OLDBD[[#This Row],[Salida de almacén de retiro]],"")</f>
        <v>4.1666666664241347E-2</v>
      </c>
      <c r="AR3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94" s="8" t="str" cm="1">
        <f t="array" ref="AS3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94" s="9">
        <f>IFERROR(OLDBD[[#This Row],[Ingreso Packing]]-OLDBD[[#This Row],[Registro en Packing]],"")</f>
        <v>6.2499999985448085E-3</v>
      </c>
      <c r="AV394" s="9">
        <f>IFERROR(OLDBD[[#This Row],[Ingreso Packing]]-OLDBD[[#This Row],[Llegada a packing]],"")</f>
        <v>1.0416666664241347E-2</v>
      </c>
      <c r="AW3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4" s="5">
        <f>IFERROR(OLDBD[[#This Row],[Llegada Almacén de Ingreso]]-OLDBD[[#This Row],[Salida Packing]],"")</f>
        <v>0.50416666666569654</v>
      </c>
      <c r="AY394" s="4" t="str" cm="1">
        <f t="array" ref="AY3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94" s="43" t="s">
        <v>173</v>
      </c>
      <c r="BB394" s="47" t="str">
        <f>IFERROR(IF(MARÍTIMOS[[#This Row],[Estatus]]="","",MARÍTIMOS[[#This Row],[Estatus]]),"")</f>
        <v>Confirmado</v>
      </c>
      <c r="BC394" s="43"/>
      <c r="BD394" s="46">
        <f>IFERROR(OLDBD[[#This Row],[Salida de almacén de retiro]]-OLDBD[[#This Row],[Ingreso Almacén de retiro]],"")</f>
        <v>1.0416666664241347E-2</v>
      </c>
      <c r="BE394" s="46" t="str">
        <f>IFERROR(OLDBD[[#This Row],[Fin de Carga]]-OLDBD[[#This Row],[Inicio de Carga]],"")</f>
        <v/>
      </c>
    </row>
    <row r="395" spans="1:57" customFormat="1" hidden="1">
      <c r="A395" s="1"/>
      <c r="B395" s="1">
        <f>IFERROR(IF(MARÍTIMOS[[#This Row],[PP]]="","",MARÍTIMOS[[#This Row],[PP]]),"")</f>
        <v>30</v>
      </c>
      <c r="C395" s="1" t="str">
        <f>IFERROR(IF(MARÍTIMOS[[#This Row],[Sede]]="","",MARÍTIMOS[[#This Row],[Sede]]),"")</f>
        <v>Chao</v>
      </c>
      <c r="D395" s="1" t="str">
        <f>IFERROR(IF(MARÍTIMOS[[#This Row],[Instruction]]="","",MARÍTIMOS[[#This Row],[Instruction]]),"")</f>
        <v>RH-0262</v>
      </c>
      <c r="E395" s="1"/>
      <c r="F395" s="2" t="str">
        <f>IFERROR(IF(MARÍTIMOS[[#This Row],[Transportista]]="","",MARÍTIMOS[[#This Row],[Transportista]]),"")</f>
        <v>VESL</v>
      </c>
      <c r="G395" s="2" t="str">
        <f>IFERROR(IF(MARÍTIMOS[[#This Row],[Tercero]]="","",MARÍTIMOS[[#This Row],[Tercero]]),"")</f>
        <v>NO</v>
      </c>
      <c r="H395" s="2" t="str">
        <f>IFERROR(IF(MARÍTIMOS[[#This Row],[Razón Social]]="","",MARÍTIMOS[[#This Row],[Razón Social]]),"")</f>
        <v>VE SOLUCIONES LOGISTICAS SAC</v>
      </c>
      <c r="I395" s="2">
        <f>IFERROR(IF(MARÍTIMOS[[#This Row],[RUC]]="","",MARÍTIMOS[[#This Row],[RUC]]),"")</f>
        <v>20557679392</v>
      </c>
      <c r="J395" s="2" t="str">
        <f>IFERROR(IF(MARÍTIMOS[[#This Row],[Placa Tracto]]="","",MARÍTIMOS[[#This Row],[Placa Tracto]]),"")</f>
        <v>BFY936</v>
      </c>
      <c r="K395" s="2" t="str">
        <f>IFERROR(IF(MARÍTIMOS[[#This Row],[Placa Carreta]]="","",MARÍTIMOS[[#This Row],[Placa Carreta]]),"")</f>
        <v>AUQ993</v>
      </c>
      <c r="L395" s="44" t="str">
        <f>IFERROR(IF(MARÍTIMOS[[#This Row],[Conductor]]="","",MARÍTIMOS[[#This Row],[Conductor]]),"")</f>
        <v>JESUS ALBERTO ZARRAGA ALVAREZ</v>
      </c>
      <c r="M395" s="2" t="str">
        <f>IFERROR(IF(MARÍTIMOS[[#This Row],[Licencia]]="","",MARÍTIMOS[[#This Row],[Licencia]]),"")</f>
        <v>B006469382</v>
      </c>
      <c r="N395" s="2">
        <f>IFERROR(IF(MARÍTIMOS[[#This Row],[Número de Contacto]]="","",MARÍTIMOS[[#This Row],[Número de Contacto]]),"")</f>
        <v>0</v>
      </c>
      <c r="O395" s="10" t="str">
        <f>IFERROR(IF(MARÍTIMOS[[#This Row],[Booking|AWB|CRT]]="","",MARÍTIMOS[[#This Row],[Booking|AWB|CRT]]),"")</f>
        <v>PER9160159A</v>
      </c>
      <c r="P395" s="2" t="str">
        <f>IFERROR(IF(MARÍTIMOS[[#This Row],[Contenedor]]="","",MARÍTIMOS[[#This Row],[Contenedor]]),"")</f>
        <v>SEKU9420564</v>
      </c>
      <c r="Q395" s="2" t="str">
        <f>IFERROR(IF(MARÍTIMOS[[#This Row],[Puerto de Retiro]]="","",MARÍTIMOS[[#This Row],[Puerto de Retiro]]),"")</f>
        <v>PAITA</v>
      </c>
      <c r="R395" s="2" t="str">
        <f>IFERROR(IF(MARÍTIMOS[[#This Row],[Almacén de Retiro]]="","",MARÍTIMOS[[#This Row],[Almacén de Retiro]]),"")</f>
        <v>DPW</v>
      </c>
      <c r="S395" s="11">
        <f>IFERROR(IF(MARÍTIMOS[[#This Row],[Etapa Retiro - Cita]]="","",MARÍTIMOS[[#This Row],[Etapa Retiro - Cita]]),"")</f>
        <v>46227.583333333336</v>
      </c>
      <c r="T395" s="11">
        <f>IFERROR(IF(MARÍTIMOS[[#This Row],[Etapa Retiro - Llegada]]="","",MARÍTIMOS[[#This Row],[Etapa Retiro - Llegada]]),"")</f>
        <v>46227.54791666667</v>
      </c>
      <c r="U395" s="11">
        <f>IFERROR(IF(MARÍTIMOS[[#This Row],[Etapa Retiro - Ingreso]]="","",MARÍTIMOS[[#This Row],[Etapa Retiro - Ingreso]]),"")</f>
        <v>46227.628472222219</v>
      </c>
      <c r="V395" s="11">
        <f>IFERROR(IF(MARÍTIMOS[[#This Row],[Etapa Retiro - Atención]]="","",MARÍTIMOS[[#This Row],[Etapa Retiro - Atención]]),"")</f>
        <v>46227.630555555559</v>
      </c>
      <c r="W395" s="11">
        <f>IFERROR(IF(MARÍTIMOS[[#This Row],[Etapa Retiro - Atención]]="","",MARÍTIMOS[[#This Row],[Etapa Retiro - Atención]]),"")</f>
        <v>46227.630555555559</v>
      </c>
      <c r="X395" s="11">
        <f>IFERROR(IF(MARÍTIMOS[[#This Row],[Etapa Retiro - Inicio de Ruta]]="","",MARÍTIMOS[[#This Row],[Etapa Retiro - Inicio de Ruta]]),"")</f>
        <v>46227.682638888888</v>
      </c>
      <c r="Y395" s="11">
        <f>IFERROR(IF(MARÍTIMOS[[#This Row],[Hora de Posicionamiento]]="","",MARÍTIMOS[[#This Row],[Fecha de Carga]]+MARÍTIMOS[[#This Row],[Hora de Posicionamiento]]),"")</f>
        <v>46229.5</v>
      </c>
      <c r="Z395" s="11" t="str">
        <f>IFERROR(IF(MARÍTIMOS[[#This Row],[Etapa Despacho - Llegada]]="","",MARÍTIMOS[[#This Row],[Etapa Despacho - Llegada]]),"")</f>
        <v/>
      </c>
      <c r="AA395" s="11" t="str">
        <f>IFERROR(IF(MARÍTIMOS[[#This Row],[Etapa Despacho - Registro]]="","",MARÍTIMOS[[#This Row],[Etapa Despacho - Registro]]),"")</f>
        <v/>
      </c>
      <c r="AB395" s="11" t="str">
        <f>IFERROR(IF(MARÍTIMOS[[#This Row],[Inspección Externa]]="","",MARÍTIMOS[[#This Row],[Inspección Externa]]),"")</f>
        <v/>
      </c>
      <c r="AC395" s="11" t="str">
        <f>IFERROR(IF(MARÍTIMOS[[#This Row],[Etapa Despacho - Inicio de Carga]]="","",MARÍTIMOS[[#This Row],[Etapa Despacho - Inicio de Carga]]),"")</f>
        <v/>
      </c>
      <c r="AD395" s="11" t="str">
        <f>IFERROR(IF(MARÍTIMOS[[#This Row],[Etapa Despacho - Mitad de Carga]]="","",MARÍTIMOS[[#This Row],[Etapa Despacho - Mitad de Carga]]),"")</f>
        <v/>
      </c>
      <c r="AE395" s="11" t="str">
        <f>IFERROR(IF(MARÍTIMOS[[#This Row],[Etapa Despacho - Fin de Carga]]="","",MARÍTIMOS[[#This Row],[Etapa Despacho - Fin de Carga]]),"")</f>
        <v/>
      </c>
      <c r="AF395" s="2" t="str">
        <f>IFERROR(IF(MARÍTIMOS[[#This Row],[Puerto de Embarque]]="","",MARÍTIMOS[[#This Row],[Puerto de Embarque]]),"")</f>
        <v>Paita</v>
      </c>
      <c r="AG395" s="2" t="str">
        <f>IFERROR(IF(MARÍTIMOS[[#This Row],[Almacén de Ingreso]]="","",MARÍTIMOS[[#This Row],[Almacén de Ingreso]]),"")</f>
        <v>TPE</v>
      </c>
      <c r="AH395" s="11">
        <f>IFERROR(IF(MARÍTIMOS[[#This Row],[Etapa Ingreso - Cita]]="","",MARÍTIMOS[[#This Row],[Etapa Ingreso - Cita]]),"")</f>
        <v>46227.833333333336</v>
      </c>
      <c r="AI395" s="11">
        <f>IFERROR(IF(MARÍTIMOS[[#This Row],[Etapa Ingreso - Llegada]]="","",MARÍTIMOS[[#This Row],[Etapa Ingreso - Llegada]]),"")</f>
        <v>46227.775000000001</v>
      </c>
      <c r="AJ395" s="11">
        <f>IFERROR(IF(MARÍTIMOS[[#This Row],[Etapa Ingreso - Ingeso]]="","",MARÍTIMOS[[#This Row],[Etapa Ingreso - Ingeso]]),"")</f>
        <v>46227.832638888889</v>
      </c>
      <c r="AK395" s="11">
        <f>IFERROR(IF(MARÍTIMOS[[#This Row],[Etapa Ingreso - Atención]]="","",MARÍTIMOS[[#This Row],[Etapa Ingreso - Atención]]),"")</f>
        <v>46227.833333333336</v>
      </c>
      <c r="AL395" s="11">
        <f>IFERROR(IF(MARÍTIMOS[[#This Row],[Etapa Ingreso - Salida]]="","",MARÍTIMOS[[#This Row],[Etapa Ingreso - Salida]]),"")</f>
        <v>46227.835416666669</v>
      </c>
      <c r="AM395" s="2" t="str">
        <f>IFERROR(IF(MARÍTIMOS[[#This Row],[FCL]]="","",MARÍTIMOS[[#This Row],[FCL]]),"")</f>
        <v>0.5</v>
      </c>
      <c r="AN3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95" s="4" t="str" cm="1">
        <f t="array" ref="AO3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5" s="5" t="str">
        <f>IFERROR(OLDBD[[#This Row],[Llegada a packing]]-OLDBD[[#This Row],[Inicio de Ruta]],"")</f>
        <v/>
      </c>
      <c r="AQ395" s="6">
        <f>IFERROR(OLDBD[[#This Row],[Inicio de Ruta]]-OLDBD[[#This Row],[Salida de almacén de retiro]],"")</f>
        <v>5.2083333328482695E-2</v>
      </c>
      <c r="AR3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395" s="8" t="str" cm="1">
        <f t="array" ref="AS3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3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395" s="9" t="str">
        <f>IFERROR(OLDBD[[#This Row],[Ingreso Packing]]-OLDBD[[#This Row],[Registro en Packing]],"")</f>
        <v/>
      </c>
      <c r="AV395" s="9" t="str">
        <f>IFERROR(OLDBD[[#This Row],[Ingreso Packing]]-OLDBD[[#This Row],[Llegada a packing]],"")</f>
        <v/>
      </c>
      <c r="AW3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5" s="5" t="str">
        <f>IFERROR(OLDBD[[#This Row],[Llegada Almacén de Ingreso]]-OLDBD[[#This Row],[Salida Packing]],"")</f>
        <v/>
      </c>
      <c r="AY395" s="4" t="str" cm="1">
        <f t="array" ref="AY3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3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395" s="43" t="s">
        <v>173</v>
      </c>
      <c r="BB395" s="47" t="str">
        <f>IFERROR(IF(MARÍTIMOS[[#This Row],[Estatus]]="","",MARÍTIMOS[[#This Row],[Estatus]]),"")</f>
        <v>Confirmado</v>
      </c>
      <c r="BC395" s="43"/>
      <c r="BD395" s="46">
        <f>IFERROR(OLDBD[[#This Row],[Salida de almacén de retiro]]-OLDBD[[#This Row],[Ingreso Almacén de retiro]],"")</f>
        <v>2.0833333401242271E-3</v>
      </c>
      <c r="BE395" s="46" t="str">
        <f>IFERROR(OLDBD[[#This Row],[Fin de Carga]]-OLDBD[[#This Row],[Inicio de Carga]],"")</f>
        <v/>
      </c>
    </row>
    <row r="396" spans="1:57" customFormat="1" hidden="1">
      <c r="A396" s="1"/>
      <c r="B396" s="1">
        <f>IFERROR(IF(MARÍTIMOS[[#This Row],[PP]]="","",MARÍTIMOS[[#This Row],[PP]]),"")</f>
        <v>30</v>
      </c>
      <c r="C396" s="1" t="str">
        <f>IFERROR(IF(MARÍTIMOS[[#This Row],[Sede]]="","",MARÍTIMOS[[#This Row],[Sede]]),"")</f>
        <v>Chao</v>
      </c>
      <c r="D396" s="1" t="str">
        <f>IFERROR(IF(MARÍTIMOS[[#This Row],[Instruction]]="","",MARÍTIMOS[[#This Row],[Instruction]]),"")</f>
        <v>RH-0270</v>
      </c>
      <c r="E396" s="1"/>
      <c r="F396" s="2" t="str">
        <f>IFERROR(IF(MARÍTIMOS[[#This Row],[Transportista]]="","",MARÍTIMOS[[#This Row],[Transportista]]),"")</f>
        <v>VESL</v>
      </c>
      <c r="G396" s="2" t="str">
        <f>IFERROR(IF(MARÍTIMOS[[#This Row],[Tercero]]="","",MARÍTIMOS[[#This Row],[Tercero]]),"")</f>
        <v>NO</v>
      </c>
      <c r="H396" s="2" t="str">
        <f>IFERROR(IF(MARÍTIMOS[[#This Row],[Razón Social]]="","",MARÍTIMOS[[#This Row],[Razón Social]]),"")</f>
        <v>VE SOLUCIONES LOGISTICAS SAC</v>
      </c>
      <c r="I396" s="2">
        <f>IFERROR(IF(MARÍTIMOS[[#This Row],[RUC]]="","",MARÍTIMOS[[#This Row],[RUC]]),"")</f>
        <v>20557679392</v>
      </c>
      <c r="J396" s="2" t="str">
        <f>IFERROR(IF(MARÍTIMOS[[#This Row],[Placa Tracto]]="","",MARÍTIMOS[[#This Row],[Placa Tracto]]),"")</f>
        <v>BAV867</v>
      </c>
      <c r="K396" s="2" t="str">
        <f>IFERROR(IF(MARÍTIMOS[[#This Row],[Placa Carreta]]="","",MARÍTIMOS[[#This Row],[Placa Carreta]]),"")</f>
        <v>F5V-990</v>
      </c>
      <c r="L396" s="44" t="str">
        <f>IFERROR(IF(MARÍTIMOS[[#This Row],[Conductor]]="","",MARÍTIMOS[[#This Row],[Conductor]]),"")</f>
        <v>JESUS ALBERTO ZARRAGA ALVAREZ</v>
      </c>
      <c r="M396" s="2" t="str">
        <f>IFERROR(IF(MARÍTIMOS[[#This Row],[Licencia]]="","",MARÍTIMOS[[#This Row],[Licencia]]),"")</f>
        <v>B006469382</v>
      </c>
      <c r="N396" s="2">
        <f>IFERROR(IF(MARÍTIMOS[[#This Row],[Número de Contacto]]="","",MARÍTIMOS[[#This Row],[Número de Contacto]]),"")</f>
        <v>0</v>
      </c>
      <c r="O396" s="10" t="str">
        <f>IFERROR(IF(MARÍTIMOS[[#This Row],[Booking|AWB|CRT]]="","",MARÍTIMOS[[#This Row],[Booking|AWB|CRT]]),"")</f>
        <v>PER9156800A</v>
      </c>
      <c r="P396" s="2" t="str">
        <f>IFERROR(IF(MARÍTIMOS[[#This Row],[Contenedor]]="","",MARÍTIMOS[[#This Row],[Contenedor]]),"")</f>
        <v>TXGU9028455</v>
      </c>
      <c r="Q396" s="2" t="str">
        <f>IFERROR(IF(MARÍTIMOS[[#This Row],[Puerto de Retiro]]="","",MARÍTIMOS[[#This Row],[Puerto de Retiro]]),"")</f>
        <v>PAITA</v>
      </c>
      <c r="R396" s="2" t="str">
        <f>IFERROR(IF(MARÍTIMOS[[#This Row],[Almacén de Retiro]]="","",MARÍTIMOS[[#This Row],[Almacén de Retiro]]),"")</f>
        <v>DPW</v>
      </c>
      <c r="S396" s="11">
        <f>IFERROR(IF(MARÍTIMOS[[#This Row],[Etapa Retiro - Cita]]="","",MARÍTIMOS[[#This Row],[Etapa Retiro - Cita]]),"")</f>
        <v>46227.583333333336</v>
      </c>
      <c r="T396" s="11">
        <f>IFERROR(IF(MARÍTIMOS[[#This Row],[Etapa Retiro - Llegada]]="","",MARÍTIMOS[[#This Row],[Etapa Retiro - Llegada]]),"")</f>
        <v>46227.616666666669</v>
      </c>
      <c r="U396" s="11">
        <f>IFERROR(IF(MARÍTIMOS[[#This Row],[Etapa Retiro - Ingreso]]="","",MARÍTIMOS[[#This Row],[Etapa Retiro - Ingreso]]),"")</f>
        <v>46227.627083333333</v>
      </c>
      <c r="V396" s="11">
        <f>IFERROR(IF(MARÍTIMOS[[#This Row],[Etapa Retiro - Atención]]="","",MARÍTIMOS[[#This Row],[Etapa Retiro - Atención]]),"")</f>
        <v>46227.631944444445</v>
      </c>
      <c r="W396" s="11">
        <f>IFERROR(IF(MARÍTIMOS[[#This Row],[Etapa Retiro - Atención]]="","",MARÍTIMOS[[#This Row],[Etapa Retiro - Atención]]),"")</f>
        <v>46227.631944444445</v>
      </c>
      <c r="X396" s="11">
        <f>IFERROR(IF(MARÍTIMOS[[#This Row],[Etapa Retiro - Inicio de Ruta]]="","",MARÍTIMOS[[#This Row],[Etapa Retiro - Inicio de Ruta]]),"")</f>
        <v>46228.611111111109</v>
      </c>
      <c r="Y396" s="11">
        <f>IFERROR(IF(MARÍTIMOS[[#This Row],[Hora de Posicionamiento]]="","",MARÍTIMOS[[#This Row],[Fecha de Carga]]+MARÍTIMOS[[#This Row],[Hora de Posicionamiento]]),"")</f>
        <v>46229.666666666664</v>
      </c>
      <c r="Z396" s="11">
        <f>IFERROR(IF(MARÍTIMOS[[#This Row],[Etapa Despacho - Llegada]]="","",MARÍTIMOS[[#This Row],[Etapa Despacho - Llegada]]),"")</f>
        <v>46229.399305555555</v>
      </c>
      <c r="AA396" s="11">
        <f>IFERROR(IF(MARÍTIMOS[[#This Row],[Etapa Despacho - Registro]]="","",MARÍTIMOS[[#This Row],[Etapa Despacho - Registro]]),"")</f>
        <v>46229.402777777781</v>
      </c>
      <c r="AB396" s="11">
        <f>IFERROR(IF(MARÍTIMOS[[#This Row],[Inspección Externa]]="","",MARÍTIMOS[[#This Row],[Inspección Externa]]),"")</f>
        <v>46229.772222222222</v>
      </c>
      <c r="AC396" s="11">
        <f>IFERROR(IF(MARÍTIMOS[[#This Row],[Etapa Despacho - Inicio de Carga]]="","",MARÍTIMOS[[#This Row],[Etapa Despacho - Inicio de Carga]]),"")</f>
        <v>46230.729166666664</v>
      </c>
      <c r="AD396" s="11" t="str">
        <f>IFERROR(IF(MARÍTIMOS[[#This Row],[Etapa Despacho - Mitad de Carga]]="","",MARÍTIMOS[[#This Row],[Etapa Despacho - Mitad de Carga]]),"")</f>
        <v/>
      </c>
      <c r="AE396" s="11">
        <f>IFERROR(IF(MARÍTIMOS[[#This Row],[Etapa Despacho - Fin de Carga]]="","",MARÍTIMOS[[#This Row],[Etapa Despacho - Fin de Carga]]),"")</f>
        <v>46230.784722222219</v>
      </c>
      <c r="AF396" s="2" t="str">
        <f>IFERROR(IF(MARÍTIMOS[[#This Row],[Puerto de Embarque]]="","",MARÍTIMOS[[#This Row],[Puerto de Embarque]]),"")</f>
        <v>Paita</v>
      </c>
      <c r="AG396" s="2" t="str">
        <f>IFERROR(IF(MARÍTIMOS[[#This Row],[Almacén de Ingreso]]="","",MARÍTIMOS[[#This Row],[Almacén de Ingreso]]),"")</f>
        <v>TPE</v>
      </c>
      <c r="AH396" s="11">
        <f>IFERROR(IF(MARÍTIMOS[[#This Row],[Etapa Ingreso - Cita]]="","",MARÍTIMOS[[#This Row],[Etapa Ingreso - Cita]]),"")</f>
        <v>46229.999305555553</v>
      </c>
      <c r="AI396" s="11">
        <f>IFERROR(IF(MARÍTIMOS[[#This Row],[Etapa Ingreso - Llegada]]="","",MARÍTIMOS[[#This Row],[Etapa Ingreso - Llegada]]),"")</f>
        <v>46231.548611111109</v>
      </c>
      <c r="AJ396" s="11">
        <f>IFERROR(IF(MARÍTIMOS[[#This Row],[Etapa Ingreso - Ingeso]]="","",MARÍTIMOS[[#This Row],[Etapa Ingreso - Ingeso]]),"")</f>
        <v>46231.570833333331</v>
      </c>
      <c r="AK396" s="11">
        <f>IFERROR(IF(MARÍTIMOS[[#This Row],[Etapa Ingreso - Atención]]="","",MARÍTIMOS[[#This Row],[Etapa Ingreso - Atención]]),"")</f>
        <v>46231.574999999997</v>
      </c>
      <c r="AL396" s="11">
        <f>IFERROR(IF(MARÍTIMOS[[#This Row],[Etapa Ingreso - Salida]]="","",MARÍTIMOS[[#This Row],[Etapa Ingreso - Salida]]),"")</f>
        <v>46231.575694444444</v>
      </c>
      <c r="AM396" s="2">
        <f>IFERROR(IF(MARÍTIMOS[[#This Row],[FCL]]="","",MARÍTIMOS[[#This Row],[FCL]]),"")</f>
        <v>1</v>
      </c>
      <c r="AN3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396" s="4" t="str" cm="1">
        <f t="array" ref="AO3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6" s="5">
        <f>IFERROR(OLDBD[[#This Row],[Llegada a packing]]-OLDBD[[#This Row],[Inicio de Ruta]],"")</f>
        <v>0.78819444444525288</v>
      </c>
      <c r="AQ396" s="6">
        <f>IFERROR(OLDBD[[#This Row],[Inicio de Ruta]]-OLDBD[[#This Row],[Salida de almacén de retiro]],"")</f>
        <v>0.97916666666424135</v>
      </c>
      <c r="AR3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396" s="8" t="str" cm="1">
        <f t="array" ref="AS3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3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96" s="9">
        <f>IFERROR(OLDBD[[#This Row],[Ingreso Packing]]-OLDBD[[#This Row],[Registro en Packing]],"")</f>
        <v>0.36944444444088731</v>
      </c>
      <c r="AV396" s="9">
        <f>IFERROR(OLDBD[[#This Row],[Ingreso Packing]]-OLDBD[[#This Row],[Llegada a packing]],"")</f>
        <v>0.37291666666715173</v>
      </c>
      <c r="AW3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6" s="5">
        <f>IFERROR(OLDBD[[#This Row],[Llegada Almacén de Ingreso]]-OLDBD[[#This Row],[Salida Packing]],"")</f>
        <v>0.76388888889050577</v>
      </c>
      <c r="AY396" s="4" t="str" cm="1">
        <f t="array" ref="AY3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96" s="43" t="s">
        <v>173</v>
      </c>
      <c r="BB396" s="47" t="str">
        <f>IFERROR(IF(MARÍTIMOS[[#This Row],[Estatus]]="","",MARÍTIMOS[[#This Row],[Estatus]]),"")</f>
        <v>Confirmado</v>
      </c>
      <c r="BC396" s="43"/>
      <c r="BD396" s="46">
        <f>IFERROR(OLDBD[[#This Row],[Salida de almacén de retiro]]-OLDBD[[#This Row],[Ingreso Almacén de retiro]],"")</f>
        <v>4.8611111124046147E-3</v>
      </c>
      <c r="BE396" s="46" t="str">
        <f>IFERROR(OLDBD[[#This Row],[Fin de Carga]]-OLDBD[[#This Row],[Inicio de Carga]],"")</f>
        <v/>
      </c>
    </row>
    <row r="397" spans="1:57" customFormat="1" hidden="1">
      <c r="A397" s="1"/>
      <c r="B397" s="1">
        <f>IFERROR(IF(MARÍTIMOS[[#This Row],[PP]]="","",MARÍTIMOS[[#This Row],[PP]]),"")</f>
        <v>30</v>
      </c>
      <c r="C397" s="1" t="str">
        <f>IFERROR(IF(MARÍTIMOS[[#This Row],[Sede]]="","",MARÍTIMOS[[#This Row],[Sede]]),"")</f>
        <v>Chao</v>
      </c>
      <c r="D397" s="1" t="str">
        <f>IFERROR(IF(MARÍTIMOS[[#This Row],[Instruction]]="","",MARÍTIMOS[[#This Row],[Instruction]]),"")</f>
        <v>RH-0278</v>
      </c>
      <c r="E397" s="1"/>
      <c r="F397" s="2" t="str">
        <f>IFERROR(IF(MARÍTIMOS[[#This Row],[Transportista]]="","",MARÍTIMOS[[#This Row],[Transportista]]),"")</f>
        <v>VESL</v>
      </c>
      <c r="G397" s="2" t="str">
        <f>IFERROR(IF(MARÍTIMOS[[#This Row],[Tercero]]="","",MARÍTIMOS[[#This Row],[Tercero]]),"")</f>
        <v>NO</v>
      </c>
      <c r="H397" s="2" t="str">
        <f>IFERROR(IF(MARÍTIMOS[[#This Row],[Razón Social]]="","",MARÍTIMOS[[#This Row],[Razón Social]]),"")</f>
        <v>VE SOLUCIONES LOGISTICAS SAC</v>
      </c>
      <c r="I397" s="2">
        <f>IFERROR(IF(MARÍTIMOS[[#This Row],[RUC]]="","",MARÍTIMOS[[#This Row],[RUC]]),"")</f>
        <v>20557679392</v>
      </c>
      <c r="J397" s="2" t="str">
        <f>IFERROR(IF(MARÍTIMOS[[#This Row],[Placa Tracto]]="","",MARÍTIMOS[[#This Row],[Placa Tracto]]),"")</f>
        <v>BYR765</v>
      </c>
      <c r="K397" s="2" t="str">
        <f>IFERROR(IF(MARÍTIMOS[[#This Row],[Placa Carreta]]="","",MARÍTIMOS[[#This Row],[Placa Carreta]]),"")</f>
        <v>BXM973</v>
      </c>
      <c r="L397" s="44" t="str">
        <f>IFERROR(IF(MARÍTIMOS[[#This Row],[Conductor]]="","",MARÍTIMOS[[#This Row],[Conductor]]),"")</f>
        <v>MEDINA QUISPE MIGUEL ANGEL</v>
      </c>
      <c r="M397" s="2" t="str">
        <f>IFERROR(IF(MARÍTIMOS[[#This Row],[Licencia]]="","",MARÍTIMOS[[#This Row],[Licencia]]),"")</f>
        <v>F42550466</v>
      </c>
      <c r="N397" s="2">
        <f>IFERROR(IF(MARÍTIMOS[[#This Row],[Número de Contacto]]="","",MARÍTIMOS[[#This Row],[Número de Contacto]]),"")</f>
        <v>0</v>
      </c>
      <c r="O397" s="10">
        <f>IFERROR(IF(MARÍTIMOS[[#This Row],[Booking|AWB|CRT]]="","",MARÍTIMOS[[#This Row],[Booking|AWB|CRT]]),"")</f>
        <v>6509285610</v>
      </c>
      <c r="P397" s="2" t="str">
        <f>IFERROR(IF(MARÍTIMOS[[#This Row],[Contenedor]]="","",MARÍTIMOS[[#This Row],[Contenedor]]),"")</f>
        <v>SEKU9359171</v>
      </c>
      <c r="Q397" s="2" t="str">
        <f>IFERROR(IF(MARÍTIMOS[[#This Row],[Puerto de Retiro]]="","",MARÍTIMOS[[#This Row],[Puerto de Retiro]]),"")</f>
        <v>CHANCAY</v>
      </c>
      <c r="R397" s="2" t="str">
        <f>IFERROR(IF(MARÍTIMOS[[#This Row],[Almacén de Retiro]]="","",MARÍTIMOS[[#This Row],[Almacén de Retiro]]),"")</f>
        <v>CSPCP</v>
      </c>
      <c r="S397" s="11">
        <f>IFERROR(IF(MARÍTIMOS[[#This Row],[Etapa Retiro - Cita]]="","",MARÍTIMOS[[#This Row],[Etapa Retiro - Cita]]),"")</f>
        <v>46228.999305555553</v>
      </c>
      <c r="T397" s="11">
        <f>IFERROR(IF(MARÍTIMOS[[#This Row],[Etapa Retiro - Llegada]]="","",MARÍTIMOS[[#This Row],[Etapa Retiro - Llegada]]),"")</f>
        <v>46227.769444444442</v>
      </c>
      <c r="U397" s="11">
        <f>IFERROR(IF(MARÍTIMOS[[#This Row],[Etapa Retiro - Ingreso]]="","",MARÍTIMOS[[#This Row],[Etapa Retiro - Ingreso]]),"")</f>
        <v>46227.772916666669</v>
      </c>
      <c r="V397" s="11">
        <f>IFERROR(IF(MARÍTIMOS[[#This Row],[Etapa Retiro - Atención]]="","",MARÍTIMOS[[#This Row],[Etapa Retiro - Atención]]),"")</f>
        <v>46227.77847222222</v>
      </c>
      <c r="W397" s="11">
        <f>IFERROR(IF(MARÍTIMOS[[#This Row],[Etapa Retiro - Atención]]="","",MARÍTIMOS[[#This Row],[Etapa Retiro - Atención]]),"")</f>
        <v>46227.77847222222</v>
      </c>
      <c r="X397" s="11">
        <f>IFERROR(IF(MARÍTIMOS[[#This Row],[Etapa Retiro - Inicio de Ruta]]="","",MARÍTIMOS[[#This Row],[Etapa Retiro - Inicio de Ruta]]),"")</f>
        <v>46227.833333333336</v>
      </c>
      <c r="Y397" s="11">
        <f>IFERROR(IF(MARÍTIMOS[[#This Row],[Hora de Posicionamiento]]="","",MARÍTIMOS[[#This Row],[Fecha de Carga]]+MARÍTIMOS[[#This Row],[Hora de Posicionamiento]]),"")</f>
        <v>46229.5</v>
      </c>
      <c r="Z397" s="11">
        <f>IFERROR(IF(MARÍTIMOS[[#This Row],[Etapa Despacho - Llegada]]="","",MARÍTIMOS[[#This Row],[Etapa Despacho - Llegada]]),"")</f>
        <v>46229.504166666666</v>
      </c>
      <c r="AA397" s="11">
        <f>IFERROR(IF(MARÍTIMOS[[#This Row],[Etapa Despacho - Registro]]="","",MARÍTIMOS[[#This Row],[Etapa Despacho - Registro]]),"")</f>
        <v>46229.505555555559</v>
      </c>
      <c r="AB397" s="11">
        <f>IFERROR(IF(MARÍTIMOS[[#This Row],[Inspección Externa]]="","",MARÍTIMOS[[#This Row],[Inspección Externa]]),"")</f>
        <v>46229.529861111114</v>
      </c>
      <c r="AC397" s="11">
        <f>IFERROR(IF(MARÍTIMOS[[#This Row],[Etapa Despacho - Inicio de Carga]]="","",MARÍTIMOS[[#This Row],[Etapa Despacho - Inicio de Carga]]),"")</f>
        <v>46229.621527777781</v>
      </c>
      <c r="AD397" s="11" t="str">
        <f>IFERROR(IF(MARÍTIMOS[[#This Row],[Etapa Despacho - Mitad de Carga]]="","",MARÍTIMOS[[#This Row],[Etapa Despacho - Mitad de Carga]]),"")</f>
        <v/>
      </c>
      <c r="AE397" s="11">
        <f>IFERROR(IF(MARÍTIMOS[[#This Row],[Etapa Despacho - Fin de Carga]]="","",MARÍTIMOS[[#This Row],[Etapa Despacho - Fin de Carga]]),"")</f>
        <v>46229.708333333336</v>
      </c>
      <c r="AF397" s="2" t="str">
        <f>IFERROR(IF(MARÍTIMOS[[#This Row],[Puerto de Embarque]]="","",MARÍTIMOS[[#This Row],[Puerto de Embarque]]),"")</f>
        <v>Chancay</v>
      </c>
      <c r="AG397" s="2" t="str">
        <f>IFERROR(IF(MARÍTIMOS[[#This Row],[Almacén de Ingreso]]="","",MARÍTIMOS[[#This Row],[Almacén de Ingreso]]),"")</f>
        <v>CSPCP</v>
      </c>
      <c r="AH397" s="11">
        <f>IFERROR(IF(MARÍTIMOS[[#This Row],[Etapa Ingreso - Cita]]="","",MARÍTIMOS[[#This Row],[Etapa Ingreso - Cita]]),"")</f>
        <v>46229.999305555553</v>
      </c>
      <c r="AI397" s="11">
        <f>IFERROR(IF(MARÍTIMOS[[#This Row],[Etapa Ingreso - Llegada]]="","",MARÍTIMOS[[#This Row],[Etapa Ingreso - Llegada]]),"")</f>
        <v>46230.606249999997</v>
      </c>
      <c r="AJ397" s="11">
        <f>IFERROR(IF(MARÍTIMOS[[#This Row],[Etapa Ingreso - Ingeso]]="","",MARÍTIMOS[[#This Row],[Etapa Ingreso - Ingeso]]),"")</f>
        <v>46230.615277777775</v>
      </c>
      <c r="AK397" s="11">
        <f>IFERROR(IF(MARÍTIMOS[[#This Row],[Etapa Ingreso - Atención]]="","",MARÍTIMOS[[#This Row],[Etapa Ingreso - Atención]]),"")</f>
        <v>46230.625694444447</v>
      </c>
      <c r="AL397" s="11">
        <f>IFERROR(IF(MARÍTIMOS[[#This Row],[Etapa Ingreso - Salida]]="","",MARÍTIMOS[[#This Row],[Etapa Ingreso - Salida]]),"")</f>
        <v>46230.634722222225</v>
      </c>
      <c r="AM397" s="2">
        <f>IFERROR(IF(MARÍTIMOS[[#This Row],[FCL]]="","",MARÍTIMOS[[#This Row],[FCL]]),"")</f>
        <v>1</v>
      </c>
      <c r="AN3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97" s="4" t="str" cm="1">
        <f t="array" ref="AO3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7" s="5">
        <f>IFERROR(OLDBD[[#This Row],[Llegada a packing]]-OLDBD[[#This Row],[Inicio de Ruta]],"")</f>
        <v>1.6708333333299379</v>
      </c>
      <c r="AQ397" s="6">
        <f>IFERROR(OLDBD[[#This Row],[Inicio de Ruta]]-OLDBD[[#This Row],[Salida de almacén de retiro]],"")</f>
        <v>5.4861111115314998E-2</v>
      </c>
      <c r="AR3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97" s="8" t="str" cm="1">
        <f t="array" ref="AS3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97" s="9">
        <f>IFERROR(OLDBD[[#This Row],[Ingreso Packing]]-OLDBD[[#This Row],[Registro en Packing]],"")</f>
        <v>2.4305555554747116E-2</v>
      </c>
      <c r="AV397" s="9">
        <f>IFERROR(OLDBD[[#This Row],[Ingreso Packing]]-OLDBD[[#This Row],[Llegada a packing]],"")</f>
        <v>2.5694444448163267E-2</v>
      </c>
      <c r="AW3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7" s="5">
        <f>IFERROR(OLDBD[[#This Row],[Llegada Almacén de Ingreso]]-OLDBD[[#This Row],[Salida Packing]],"")</f>
        <v>0.89791666666133096</v>
      </c>
      <c r="AY397" s="4" t="str" cm="1">
        <f t="array" ref="AY3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97" s="43" t="s">
        <v>173</v>
      </c>
      <c r="BB397" s="47" t="str">
        <f>IFERROR(IF(MARÍTIMOS[[#This Row],[Estatus]]="","",MARÍTIMOS[[#This Row],[Estatus]]),"")</f>
        <v>Confirmado</v>
      </c>
      <c r="BC397" s="43"/>
      <c r="BD397" s="46">
        <f>IFERROR(OLDBD[[#This Row],[Salida de almacén de retiro]]-OLDBD[[#This Row],[Ingreso Almacén de retiro]],"")</f>
        <v>5.5555555518367328E-3</v>
      </c>
      <c r="BE397" s="46" t="str">
        <f>IFERROR(OLDBD[[#This Row],[Fin de Carga]]-OLDBD[[#This Row],[Inicio de Carga]],"")</f>
        <v/>
      </c>
    </row>
    <row r="398" spans="1:57" customFormat="1" hidden="1">
      <c r="A398" s="1"/>
      <c r="B398" s="1">
        <f>IFERROR(IF(MARÍTIMOS[[#This Row],[PP]]="","",MARÍTIMOS[[#This Row],[PP]]),"")</f>
        <v>30</v>
      </c>
      <c r="C398" s="1" t="str">
        <f>IFERROR(IF(MARÍTIMOS[[#This Row],[Sede]]="","",MARÍTIMOS[[#This Row],[Sede]]),"")</f>
        <v>Chao</v>
      </c>
      <c r="D398" s="1" t="str">
        <f>IFERROR(IF(MARÍTIMOS[[#This Row],[Instruction]]="","",MARÍTIMOS[[#This Row],[Instruction]]),"")</f>
        <v>RH-0279</v>
      </c>
      <c r="E398" s="1"/>
      <c r="F398" s="2" t="str">
        <f>IFERROR(IF(MARÍTIMOS[[#This Row],[Transportista]]="","",MARÍTIMOS[[#This Row],[Transportista]]),"")</f>
        <v>VESL</v>
      </c>
      <c r="G398" s="2" t="str">
        <f>IFERROR(IF(MARÍTIMOS[[#This Row],[Tercero]]="","",MARÍTIMOS[[#This Row],[Tercero]]),"")</f>
        <v>NO</v>
      </c>
      <c r="H398" s="2" t="str">
        <f>IFERROR(IF(MARÍTIMOS[[#This Row],[Razón Social]]="","",MARÍTIMOS[[#This Row],[Razón Social]]),"")</f>
        <v>VE SOLUCIONES LOGISTICAS SAC</v>
      </c>
      <c r="I398" s="2">
        <f>IFERROR(IF(MARÍTIMOS[[#This Row],[RUC]]="","",MARÍTIMOS[[#This Row],[RUC]]),"")</f>
        <v>20557679392</v>
      </c>
      <c r="J398" s="2" t="str">
        <f>IFERROR(IF(MARÍTIMOS[[#This Row],[Placa Tracto]]="","",MARÍTIMOS[[#This Row],[Placa Tracto]]),"")</f>
        <v>BYR898</v>
      </c>
      <c r="K398" s="2" t="str">
        <f>IFERROR(IF(MARÍTIMOS[[#This Row],[Placa Carreta]]="","",MARÍTIMOS[[#This Row],[Placa Carreta]]),"")</f>
        <v>AHV972</v>
      </c>
      <c r="L398" s="44" t="str">
        <f>IFERROR(IF(MARÍTIMOS[[#This Row],[Conductor]]="","",MARÍTIMOS[[#This Row],[Conductor]]),"")</f>
        <v>DANIEL PADILLA DIESTRA</v>
      </c>
      <c r="M398" s="2" t="str">
        <f>IFERROR(IF(MARÍTIMOS[[#This Row],[Licencia]]="","",MARÍTIMOS[[#This Row],[Licencia]]),"")</f>
        <v>Q71081082</v>
      </c>
      <c r="N398" s="2">
        <f>IFERROR(IF(MARÍTIMOS[[#This Row],[Número de Contacto]]="","",MARÍTIMOS[[#This Row],[Número de Contacto]]),"")</f>
        <v>0</v>
      </c>
      <c r="O398" s="10">
        <f>IFERROR(IF(MARÍTIMOS[[#This Row],[Booking|AWB|CRT]]="","",MARÍTIMOS[[#This Row],[Booking|AWB|CRT]]),"")</f>
        <v>6509285630</v>
      </c>
      <c r="P398" s="2" t="str">
        <f>IFERROR(IF(MARÍTIMOS[[#This Row],[Contenedor]]="","",MARÍTIMOS[[#This Row],[Contenedor]]),"")</f>
        <v>FBIU5415944</v>
      </c>
      <c r="Q398" s="2" t="str">
        <f>IFERROR(IF(MARÍTIMOS[[#This Row],[Puerto de Retiro]]="","",MARÍTIMOS[[#This Row],[Puerto de Retiro]]),"")</f>
        <v>CHANCAY</v>
      </c>
      <c r="R398" s="2" t="str">
        <f>IFERROR(IF(MARÍTIMOS[[#This Row],[Almacén de Retiro]]="","",MARÍTIMOS[[#This Row],[Almacén de Retiro]]),"")</f>
        <v>CSPCP</v>
      </c>
      <c r="S398" s="11">
        <f>IFERROR(IF(MARÍTIMOS[[#This Row],[Etapa Retiro - Cita]]="","",MARÍTIMOS[[#This Row],[Etapa Retiro - Cita]]),"")</f>
        <v>46228.999305555553</v>
      </c>
      <c r="T398" s="11">
        <f>IFERROR(IF(MARÍTIMOS[[#This Row],[Etapa Retiro - Llegada]]="","",MARÍTIMOS[[#This Row],[Etapa Retiro - Llegada]]),"")</f>
        <v>46228.699305555558</v>
      </c>
      <c r="U398" s="11">
        <f>IFERROR(IF(MARÍTIMOS[[#This Row],[Etapa Retiro - Ingreso]]="","",MARÍTIMOS[[#This Row],[Etapa Retiro - Ingreso]]),"")</f>
        <v>46228.711111111108</v>
      </c>
      <c r="V398" s="11">
        <f>IFERROR(IF(MARÍTIMOS[[#This Row],[Etapa Retiro - Atención]]="","",MARÍTIMOS[[#This Row],[Etapa Retiro - Atención]]),"")</f>
        <v>46228.71875</v>
      </c>
      <c r="W398" s="11">
        <f>IFERROR(IF(MARÍTIMOS[[#This Row],[Etapa Retiro - Atención]]="","",MARÍTIMOS[[#This Row],[Etapa Retiro - Atención]]),"")</f>
        <v>46228.71875</v>
      </c>
      <c r="X398" s="11">
        <f>IFERROR(IF(MARÍTIMOS[[#This Row],[Etapa Retiro - Inicio de Ruta]]="","",MARÍTIMOS[[#This Row],[Etapa Retiro - Inicio de Ruta]]),"")</f>
        <v>46228.754166666666</v>
      </c>
      <c r="Y398" s="11">
        <f>IFERROR(IF(MARÍTIMOS[[#This Row],[Hora de Posicionamiento]]="","",MARÍTIMOS[[#This Row],[Fecha de Carga]]+MARÍTIMOS[[#This Row],[Hora de Posicionamiento]]),"")</f>
        <v>46229.5</v>
      </c>
      <c r="Z398" s="11">
        <f>IFERROR(IF(MARÍTIMOS[[#This Row],[Etapa Despacho - Llegada]]="","",MARÍTIMOS[[#This Row],[Etapa Despacho - Llegada]]),"")</f>
        <v>46229.50277777778</v>
      </c>
      <c r="AA398" s="11">
        <f>IFERROR(IF(MARÍTIMOS[[#This Row],[Etapa Despacho - Registro]]="","",MARÍTIMOS[[#This Row],[Etapa Despacho - Registro]]),"")</f>
        <v>46229.505555555559</v>
      </c>
      <c r="AB398" s="11">
        <f>IFERROR(IF(MARÍTIMOS[[#This Row],[Inspección Externa]]="","",MARÍTIMOS[[#This Row],[Inspección Externa]]),"")</f>
        <v>46229.536805555559</v>
      </c>
      <c r="AC398" s="11">
        <f>IFERROR(IF(MARÍTIMOS[[#This Row],[Etapa Despacho - Inicio de Carga]]="","",MARÍTIMOS[[#This Row],[Etapa Despacho - Inicio de Carga]]),"")</f>
        <v>46229.638888888891</v>
      </c>
      <c r="AD398" s="11" t="str">
        <f>IFERROR(IF(MARÍTIMOS[[#This Row],[Etapa Despacho - Mitad de Carga]]="","",MARÍTIMOS[[#This Row],[Etapa Despacho - Mitad de Carga]]),"")</f>
        <v/>
      </c>
      <c r="AE398" s="11">
        <f>IFERROR(IF(MARÍTIMOS[[#This Row],[Etapa Despacho - Fin de Carga]]="","",MARÍTIMOS[[#This Row],[Etapa Despacho - Fin de Carga]]),"")</f>
        <v>46229.722222222219</v>
      </c>
      <c r="AF398" s="2" t="str">
        <f>IFERROR(IF(MARÍTIMOS[[#This Row],[Puerto de Embarque]]="","",MARÍTIMOS[[#This Row],[Puerto de Embarque]]),"")</f>
        <v>Chancay</v>
      </c>
      <c r="AG398" s="2" t="str">
        <f>IFERROR(IF(MARÍTIMOS[[#This Row],[Almacén de Ingreso]]="","",MARÍTIMOS[[#This Row],[Almacén de Ingreso]]),"")</f>
        <v>CSPCP</v>
      </c>
      <c r="AH398" s="11">
        <f>IFERROR(IF(MARÍTIMOS[[#This Row],[Etapa Ingreso - Cita]]="","",MARÍTIMOS[[#This Row],[Etapa Ingreso - Cita]]),"")</f>
        <v>46229.999305555553</v>
      </c>
      <c r="AI398" s="11">
        <f>IFERROR(IF(MARÍTIMOS[[#This Row],[Etapa Ingreso - Llegada]]="","",MARÍTIMOS[[#This Row],[Etapa Ingreso - Llegada]]),"")</f>
        <v>46230.603472222225</v>
      </c>
      <c r="AJ398" s="11">
        <f>IFERROR(IF(MARÍTIMOS[[#This Row],[Etapa Ingreso - Ingeso]]="","",MARÍTIMOS[[#This Row],[Etapa Ingreso - Ingeso]]),"")</f>
        <v>46230.609722222223</v>
      </c>
      <c r="AK398" s="11">
        <f>IFERROR(IF(MARÍTIMOS[[#This Row],[Etapa Ingreso - Atención]]="","",MARÍTIMOS[[#This Row],[Etapa Ingreso - Atención]]),"")</f>
        <v>46230.621527777781</v>
      </c>
      <c r="AL398" s="11">
        <f>IFERROR(IF(MARÍTIMOS[[#This Row],[Etapa Ingreso - Salida]]="","",MARÍTIMOS[[#This Row],[Etapa Ingreso - Salida]]),"")</f>
        <v>46230.631944444445</v>
      </c>
      <c r="AM398" s="2">
        <f>IFERROR(IF(MARÍTIMOS[[#This Row],[FCL]]="","",MARÍTIMOS[[#This Row],[FCL]]),"")</f>
        <v>1</v>
      </c>
      <c r="AN3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98" s="4" t="str" cm="1">
        <f t="array" ref="AO3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8" s="5">
        <f>IFERROR(OLDBD[[#This Row],[Llegada a packing]]-OLDBD[[#This Row],[Inicio de Ruta]],"")</f>
        <v>0.74861111111385981</v>
      </c>
      <c r="AQ398" s="6">
        <f>IFERROR(OLDBD[[#This Row],[Inicio de Ruta]]-OLDBD[[#This Row],[Salida de almacén de retiro]],"")</f>
        <v>3.5416666665696539E-2</v>
      </c>
      <c r="AR3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98" s="8" t="str" cm="1">
        <f t="array" ref="AS3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3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398" s="9">
        <f>IFERROR(OLDBD[[#This Row],[Ingreso Packing]]-OLDBD[[#This Row],[Registro en Packing]],"")</f>
        <v>3.125E-2</v>
      </c>
      <c r="AV398" s="9">
        <f>IFERROR(OLDBD[[#This Row],[Ingreso Packing]]-OLDBD[[#This Row],[Llegada a packing]],"")</f>
        <v>3.4027777779556345E-2</v>
      </c>
      <c r="AW3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8" s="5">
        <f>IFERROR(OLDBD[[#This Row],[Llegada Almacén de Ingreso]]-OLDBD[[#This Row],[Salida Packing]],"")</f>
        <v>0.88125000000582077</v>
      </c>
      <c r="AY398" s="4" t="str" cm="1">
        <f t="array" ref="AY3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98" s="43" t="s">
        <v>173</v>
      </c>
      <c r="BB398" s="47" t="str">
        <f>IFERROR(IF(MARÍTIMOS[[#This Row],[Estatus]]="","",MARÍTIMOS[[#This Row],[Estatus]]),"")</f>
        <v>Confirmado</v>
      </c>
      <c r="BC398" s="43"/>
      <c r="BD398" s="46">
        <f>IFERROR(OLDBD[[#This Row],[Salida de almacén de retiro]]-OLDBD[[#This Row],[Ingreso Almacén de retiro]],"")</f>
        <v>7.6388888919609599E-3</v>
      </c>
      <c r="BE398" s="46" t="str">
        <f>IFERROR(OLDBD[[#This Row],[Fin de Carga]]-OLDBD[[#This Row],[Inicio de Carga]],"")</f>
        <v/>
      </c>
    </row>
    <row r="399" spans="1:57" customFormat="1" hidden="1">
      <c r="A399" s="1"/>
      <c r="B399" s="1">
        <f>IFERROR(IF(MARÍTIMOS[[#This Row],[PP]]="","",MARÍTIMOS[[#This Row],[PP]]),"")</f>
        <v>30</v>
      </c>
      <c r="C399" s="1" t="str">
        <f>IFERROR(IF(MARÍTIMOS[[#This Row],[Sede]]="","",MARÍTIMOS[[#This Row],[Sede]]),"")</f>
        <v>Chao</v>
      </c>
      <c r="D399" s="1" t="str">
        <f>IFERROR(IF(MARÍTIMOS[[#This Row],[Instruction]]="","",MARÍTIMOS[[#This Row],[Instruction]]),"")</f>
        <v>RH-0280</v>
      </c>
      <c r="E399" s="1"/>
      <c r="F399" s="2" t="str">
        <f>IFERROR(IF(MARÍTIMOS[[#This Row],[Transportista]]="","",MARÍTIMOS[[#This Row],[Transportista]]),"")</f>
        <v>VESL</v>
      </c>
      <c r="G399" s="2" t="str">
        <f>IFERROR(IF(MARÍTIMOS[[#This Row],[Tercero]]="","",MARÍTIMOS[[#This Row],[Tercero]]),"")</f>
        <v>NO</v>
      </c>
      <c r="H399" s="2" t="str">
        <f>IFERROR(IF(MARÍTIMOS[[#This Row],[Razón Social]]="","",MARÍTIMOS[[#This Row],[Razón Social]]),"")</f>
        <v>VE SOLUCIONES LOGISTICAS SAC</v>
      </c>
      <c r="I399" s="2">
        <f>IFERROR(IF(MARÍTIMOS[[#This Row],[RUC]]="","",MARÍTIMOS[[#This Row],[RUC]]),"")</f>
        <v>20557679392</v>
      </c>
      <c r="J399" s="2" t="str">
        <f>IFERROR(IF(MARÍTIMOS[[#This Row],[Placa Tracto]]="","",MARÍTIMOS[[#This Row],[Placa Tracto]]),"")</f>
        <v>BYR800</v>
      </c>
      <c r="K399" s="2" t="str">
        <f>IFERROR(IF(MARÍTIMOS[[#This Row],[Placa Carreta]]="","",MARÍTIMOS[[#This Row],[Placa Carreta]]),"")</f>
        <v>BXN981</v>
      </c>
      <c r="L399" s="44" t="str">
        <f>IFERROR(IF(MARÍTIMOS[[#This Row],[Conductor]]="","",MARÍTIMOS[[#This Row],[Conductor]]),"")</f>
        <v>EDUARD RAMON ROMERO CUBILLAN</v>
      </c>
      <c r="M399" s="2" t="str">
        <f>IFERROR(IF(MARÍTIMOS[[#This Row],[Licencia]]="","",MARÍTIMOS[[#This Row],[Licencia]]),"")</f>
        <v>Q003670158</v>
      </c>
      <c r="N399" s="2">
        <f>IFERROR(IF(MARÍTIMOS[[#This Row],[Número de Contacto]]="","",MARÍTIMOS[[#This Row],[Número de Contacto]]),"")</f>
        <v>0</v>
      </c>
      <c r="O399" s="10">
        <f>IFERROR(IF(MARÍTIMOS[[#This Row],[Booking|AWB|CRT]]="","",MARÍTIMOS[[#This Row],[Booking|AWB|CRT]]),"")</f>
        <v>6509285640</v>
      </c>
      <c r="P399" s="2" t="str">
        <f>IFERROR(IF(MARÍTIMOS[[#This Row],[Contenedor]]="","",MARÍTIMOS[[#This Row],[Contenedor]]),"")</f>
        <v>FBIU5292433</v>
      </c>
      <c r="Q399" s="2" t="str">
        <f>IFERROR(IF(MARÍTIMOS[[#This Row],[Puerto de Retiro]]="","",MARÍTIMOS[[#This Row],[Puerto de Retiro]]),"")</f>
        <v>CHANCAY</v>
      </c>
      <c r="R399" s="2" t="str">
        <f>IFERROR(IF(MARÍTIMOS[[#This Row],[Almacén de Retiro]]="","",MARÍTIMOS[[#This Row],[Almacén de Retiro]]),"")</f>
        <v>CSPCP</v>
      </c>
      <c r="S399" s="11">
        <f>IFERROR(IF(MARÍTIMOS[[#This Row],[Etapa Retiro - Cita]]="","",MARÍTIMOS[[#This Row],[Etapa Retiro - Cita]]),"")</f>
        <v>46228.999305555553</v>
      </c>
      <c r="T399" s="11">
        <f>IFERROR(IF(MARÍTIMOS[[#This Row],[Etapa Retiro - Llegada]]="","",MARÍTIMOS[[#This Row],[Etapa Retiro - Llegada]]),"")</f>
        <v>46228.746527777781</v>
      </c>
      <c r="U399" s="11">
        <f>IFERROR(IF(MARÍTIMOS[[#This Row],[Etapa Retiro - Ingreso]]="","",MARÍTIMOS[[#This Row],[Etapa Retiro - Ingreso]]),"")</f>
        <v>46228.748611111114</v>
      </c>
      <c r="V399" s="11">
        <f>IFERROR(IF(MARÍTIMOS[[#This Row],[Etapa Retiro - Atención]]="","",MARÍTIMOS[[#This Row],[Etapa Retiro - Atención]]),"")</f>
        <v>46227.756249999999</v>
      </c>
      <c r="W399" s="11">
        <f>IFERROR(IF(MARÍTIMOS[[#This Row],[Etapa Retiro - Atención]]="","",MARÍTIMOS[[#This Row],[Etapa Retiro - Atención]]),"")</f>
        <v>46227.756249999999</v>
      </c>
      <c r="X399" s="11">
        <f>IFERROR(IF(MARÍTIMOS[[#This Row],[Etapa Retiro - Inicio de Ruta]]="","",MARÍTIMOS[[#This Row],[Etapa Retiro - Inicio de Ruta]]),"")</f>
        <v>46227.8</v>
      </c>
      <c r="Y399" s="11">
        <f>IFERROR(IF(MARÍTIMOS[[#This Row],[Hora de Posicionamiento]]="","",MARÍTIMOS[[#This Row],[Fecha de Carga]]+MARÍTIMOS[[#This Row],[Hora de Posicionamiento]]),"")</f>
        <v>46229.5</v>
      </c>
      <c r="Z399" s="11">
        <f>IFERROR(IF(MARÍTIMOS[[#This Row],[Etapa Despacho - Llegada]]="","",MARÍTIMOS[[#This Row],[Etapa Despacho - Llegada]]),"")</f>
        <v>46229.50277777778</v>
      </c>
      <c r="AA399" s="11">
        <f>IFERROR(IF(MARÍTIMOS[[#This Row],[Etapa Despacho - Registro]]="","",MARÍTIMOS[[#This Row],[Etapa Despacho - Registro]]),"")</f>
        <v>46229.505555555559</v>
      </c>
      <c r="AB399" s="11">
        <f>IFERROR(IF(MARÍTIMOS[[#This Row],[Inspección Externa]]="","",MARÍTIMOS[[#This Row],[Inspección Externa]]),"")</f>
        <v>46229.527777777781</v>
      </c>
      <c r="AC399" s="11">
        <f>IFERROR(IF(MARÍTIMOS[[#This Row],[Etapa Despacho - Inicio de Carga]]="","",MARÍTIMOS[[#This Row],[Etapa Despacho - Inicio de Carga]]),"")</f>
        <v>46229.572916666664</v>
      </c>
      <c r="AD399" s="11" t="str">
        <f>IFERROR(IF(MARÍTIMOS[[#This Row],[Etapa Despacho - Mitad de Carga]]="","",MARÍTIMOS[[#This Row],[Etapa Despacho - Mitad de Carga]]),"")</f>
        <v/>
      </c>
      <c r="AE399" s="11">
        <f>IFERROR(IF(MARÍTIMOS[[#This Row],[Etapa Despacho - Fin de Carga]]="","",MARÍTIMOS[[#This Row],[Etapa Despacho - Fin de Carga]]),"")</f>
        <v>46229.78125</v>
      </c>
      <c r="AF399" s="2" t="str">
        <f>IFERROR(IF(MARÍTIMOS[[#This Row],[Puerto de Embarque]]="","",MARÍTIMOS[[#This Row],[Puerto de Embarque]]),"")</f>
        <v>Chancay</v>
      </c>
      <c r="AG399" s="2" t="str">
        <f>IFERROR(IF(MARÍTIMOS[[#This Row],[Almacén de Ingreso]]="","",MARÍTIMOS[[#This Row],[Almacén de Ingreso]]),"")</f>
        <v>CSPCP</v>
      </c>
      <c r="AH399" s="11">
        <f>IFERROR(IF(MARÍTIMOS[[#This Row],[Etapa Ingreso - Cita]]="","",MARÍTIMOS[[#This Row],[Etapa Ingreso - Cita]]),"")</f>
        <v>46229.999305555553</v>
      </c>
      <c r="AI399" s="11">
        <f>IFERROR(IF(MARÍTIMOS[[#This Row],[Etapa Ingreso - Llegada]]="","",MARÍTIMOS[[#This Row],[Etapa Ingreso - Llegada]]),"")</f>
        <v>46230.631944444445</v>
      </c>
      <c r="AJ399" s="11">
        <f>IFERROR(IF(MARÍTIMOS[[#This Row],[Etapa Ingreso - Ingeso]]="","",MARÍTIMOS[[#This Row],[Etapa Ingreso - Ingeso]]),"")</f>
        <v>46230.632638888892</v>
      </c>
      <c r="AK399" s="11">
        <f>IFERROR(IF(MARÍTIMOS[[#This Row],[Etapa Ingreso - Atención]]="","",MARÍTIMOS[[#This Row],[Etapa Ingreso - Atención]]),"")</f>
        <v>46230.642361111109</v>
      </c>
      <c r="AL399" s="11">
        <f>IFERROR(IF(MARÍTIMOS[[#This Row],[Etapa Ingreso - Salida]]="","",MARÍTIMOS[[#This Row],[Etapa Ingreso - Salida]]),"")</f>
        <v>46230.65347222222</v>
      </c>
      <c r="AM399" s="2">
        <f>IFERROR(IF(MARÍTIMOS[[#This Row],[FCL]]="","",MARÍTIMOS[[#This Row],[FCL]]),"")</f>
        <v>1</v>
      </c>
      <c r="AN3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399" s="4" t="str" cm="1">
        <f t="array" ref="AO3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399" s="5">
        <f>IFERROR(OLDBD[[#This Row],[Llegada a packing]]-OLDBD[[#This Row],[Inicio de Ruta]],"")</f>
        <v>1.702777777776646</v>
      </c>
      <c r="AQ399" s="6">
        <f>IFERROR(OLDBD[[#This Row],[Inicio de Ruta]]-OLDBD[[#This Row],[Salida de almacén de retiro]],"")</f>
        <v>4.3750000004365575E-2</v>
      </c>
      <c r="AR3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399" s="8" t="str" cm="1">
        <f t="array" ref="AS3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3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399" s="9">
        <f>IFERROR(OLDBD[[#This Row],[Ingreso Packing]]-OLDBD[[#This Row],[Registro en Packing]],"")</f>
        <v>2.2222222221898846E-2</v>
      </c>
      <c r="AV399" s="9">
        <f>IFERROR(OLDBD[[#This Row],[Ingreso Packing]]-OLDBD[[#This Row],[Llegada a packing]],"")</f>
        <v>2.5000000001455192E-2</v>
      </c>
      <c r="AW3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399" s="5">
        <f>IFERROR(OLDBD[[#This Row],[Llegada Almacén de Ingreso]]-OLDBD[[#This Row],[Salida Packing]],"")</f>
        <v>0.85069444444525288</v>
      </c>
      <c r="AY399" s="4" t="str" cm="1">
        <f t="array" ref="AY3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3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399" s="43" t="s">
        <v>173</v>
      </c>
      <c r="BB399" s="47" t="str">
        <f>IFERROR(IF(MARÍTIMOS[[#This Row],[Estatus]]="","",MARÍTIMOS[[#This Row],[Estatus]]),"")</f>
        <v>Confirmado</v>
      </c>
      <c r="BC399" s="43"/>
      <c r="BD399" s="46">
        <f>IFERROR(OLDBD[[#This Row],[Salida de almacén de retiro]]-OLDBD[[#This Row],[Ingreso Almacén de retiro]],"")</f>
        <v>-0.992361111115315</v>
      </c>
      <c r="BE399" s="46" t="str">
        <f>IFERROR(OLDBD[[#This Row],[Fin de Carga]]-OLDBD[[#This Row],[Inicio de Carga]],"")</f>
        <v/>
      </c>
    </row>
    <row r="400" spans="1:57" customFormat="1" hidden="1">
      <c r="A400" s="1"/>
      <c r="B400" s="1">
        <f>IFERROR(IF(MARÍTIMOS[[#This Row],[PP]]="","",MARÍTIMOS[[#This Row],[PP]]),"")</f>
        <v>31</v>
      </c>
      <c r="C400" s="1" t="str">
        <f>IFERROR(IF(MARÍTIMOS[[#This Row],[Sede]]="","",MARÍTIMOS[[#This Row],[Sede]]),"")</f>
        <v>Chao</v>
      </c>
      <c r="D400" s="1" t="str">
        <f>IFERROR(IF(MARÍTIMOS[[#This Row],[Instruction]]="","",MARÍTIMOS[[#This Row],[Instruction]]),"")</f>
        <v>RH-0344</v>
      </c>
      <c r="E400" s="1"/>
      <c r="F400" s="2" t="str">
        <f>IFERROR(IF(MARÍTIMOS[[#This Row],[Transportista]]="","",MARÍTIMOS[[#This Row],[Transportista]]),"")</f>
        <v>VESL</v>
      </c>
      <c r="G400" s="2" t="str">
        <f>IFERROR(IF(MARÍTIMOS[[#This Row],[Tercero]]="","",MARÍTIMOS[[#This Row],[Tercero]]),"")</f>
        <v>NO</v>
      </c>
      <c r="H400" s="2" t="str">
        <f>IFERROR(IF(MARÍTIMOS[[#This Row],[Razón Social]]="","",MARÍTIMOS[[#This Row],[Razón Social]]),"")</f>
        <v>VE SOLUCIONES LOGISTICAS SAC</v>
      </c>
      <c r="I400" s="2">
        <f>IFERROR(IF(MARÍTIMOS[[#This Row],[RUC]]="","",MARÍTIMOS[[#This Row],[RUC]]),"")</f>
        <v>20557679392</v>
      </c>
      <c r="J400" s="2" t="str">
        <f>IFERROR(IF(MARÍTIMOS[[#This Row],[Placa Tracto]]="","",MARÍTIMOS[[#This Row],[Placa Tracto]]),"")</f>
        <v>AYP780</v>
      </c>
      <c r="K400" s="2" t="str">
        <f>IFERROR(IF(MARÍTIMOS[[#This Row],[Placa Carreta]]="","",MARÍTIMOS[[#This Row],[Placa Carreta]]),"")</f>
        <v>F5V-990</v>
      </c>
      <c r="L400" s="44" t="str">
        <f>IFERROR(IF(MARÍTIMOS[[#This Row],[Conductor]]="","",MARÍTIMOS[[#This Row],[Conductor]]),"")</f>
        <v>JOSE ALEJANDRO NUÑEZ VILLEGAS</v>
      </c>
      <c r="M400" s="2" t="str">
        <f>IFERROR(IF(MARÍTIMOS[[#This Row],[Licencia]]="","",MARÍTIMOS[[#This Row],[Licencia]]),"")</f>
        <v>Q49028656</v>
      </c>
      <c r="N400" s="2">
        <f>IFERROR(IF(MARÍTIMOS[[#This Row],[Número de Contacto]]="","",MARÍTIMOS[[#This Row],[Número de Contacto]]),"")</f>
        <v>0</v>
      </c>
      <c r="O400" s="10" t="str">
        <f>IFERROR(IF(MARÍTIMOS[[#This Row],[Booking|AWB|CRT]]="","",MARÍTIMOS[[#This Row],[Booking|AWB|CRT]]),"")</f>
        <v>9166883A</v>
      </c>
      <c r="P400" s="2" t="str">
        <f>IFERROR(IF(MARÍTIMOS[[#This Row],[Contenedor]]="","",MARÍTIMOS[[#This Row],[Contenedor]]),"")</f>
        <v>SEKU9422037</v>
      </c>
      <c r="Q400" s="2" t="str">
        <f>IFERROR(IF(MARÍTIMOS[[#This Row],[Puerto de Retiro]]="","",MARÍTIMOS[[#This Row],[Puerto de Retiro]]),"")</f>
        <v>PAITA</v>
      </c>
      <c r="R400" s="2" t="str">
        <f>IFERROR(IF(MARÍTIMOS[[#This Row],[Almacén de Retiro]]="","",MARÍTIMOS[[#This Row],[Almacén de Retiro]]),"")</f>
        <v>TPP</v>
      </c>
      <c r="S400" s="11">
        <f>IFERROR(IF(MARÍTIMOS[[#This Row],[Etapa Retiro - Cita]]="","",MARÍTIMOS[[#This Row],[Etapa Retiro - Cita]]),"")</f>
        <v>46235.583333333336</v>
      </c>
      <c r="T400" s="11">
        <f>IFERROR(IF(MARÍTIMOS[[#This Row],[Etapa Retiro - Llegada]]="","",MARÍTIMOS[[#This Row],[Etapa Retiro - Llegada]]),"")</f>
        <v>46235.586111111108</v>
      </c>
      <c r="U400" s="11">
        <f>IFERROR(IF(MARÍTIMOS[[#This Row],[Etapa Retiro - Ingreso]]="","",MARÍTIMOS[[#This Row],[Etapa Retiro - Ingreso]]),"")</f>
        <v>46235.60833333333</v>
      </c>
      <c r="V400" s="11">
        <f>IFERROR(IF(MARÍTIMOS[[#This Row],[Etapa Retiro - Atención]]="","",MARÍTIMOS[[#This Row],[Etapa Retiro - Atención]]),"")</f>
        <v>46235.61041666667</v>
      </c>
      <c r="W400" s="11">
        <f>IFERROR(IF(MARÍTIMOS[[#This Row],[Etapa Retiro - Atención]]="","",MARÍTIMOS[[#This Row],[Etapa Retiro - Atención]]),"")</f>
        <v>46235.61041666667</v>
      </c>
      <c r="X400" s="11">
        <f>IFERROR(IF(MARÍTIMOS[[#This Row],[Etapa Retiro - Inicio de Ruta]]="","",MARÍTIMOS[[#This Row],[Etapa Retiro - Inicio de Ruta]]),"")</f>
        <v>46235.654166666667</v>
      </c>
      <c r="Y400" s="11">
        <f>IFERROR(IF(MARÍTIMOS[[#This Row],[Hora de Posicionamiento]]="","",MARÍTIMOS[[#This Row],[Fecha de Carga]]+MARÍTIMOS[[#This Row],[Hora de Posicionamiento]]),"")</f>
        <v>46236.666666666664</v>
      </c>
      <c r="Z400" s="11">
        <f>IFERROR(IF(MARÍTIMOS[[#This Row],[Etapa Despacho - Llegada]]="","",MARÍTIMOS[[#This Row],[Etapa Despacho - Llegada]]),"")</f>
        <v>46236.553472222222</v>
      </c>
      <c r="AA400" s="11">
        <f>IFERROR(IF(MARÍTIMOS[[#This Row],[Etapa Despacho - Registro]]="","",MARÍTIMOS[[#This Row],[Etapa Despacho - Registro]]),"")</f>
        <v>46236.559027777781</v>
      </c>
      <c r="AB400" s="11">
        <f>IFERROR(IF(MARÍTIMOS[[#This Row],[Inspección Externa]]="","",MARÍTIMOS[[#This Row],[Inspección Externa]]),"")</f>
        <v>46236.579861111109</v>
      </c>
      <c r="AC400" s="11">
        <f>IFERROR(IF(MARÍTIMOS[[#This Row],[Etapa Despacho - Inicio de Carga]]="","",MARÍTIMOS[[#This Row],[Etapa Despacho - Inicio de Carga]]),"")</f>
        <v>46236.850694444445</v>
      </c>
      <c r="AD400" s="11" t="str">
        <f>IFERROR(IF(MARÍTIMOS[[#This Row],[Etapa Despacho - Mitad de Carga]]="","",MARÍTIMOS[[#This Row],[Etapa Despacho - Mitad de Carga]]),"")</f>
        <v/>
      </c>
      <c r="AE400" s="11">
        <f>IFERROR(IF(MARÍTIMOS[[#This Row],[Etapa Despacho - Fin de Carga]]="","",MARÍTIMOS[[#This Row],[Etapa Despacho - Fin de Carga]]),"")</f>
        <v>46236.947916666664</v>
      </c>
      <c r="AF400" s="2" t="str">
        <f>IFERROR(IF(MARÍTIMOS[[#This Row],[Puerto de Embarque]]="","",MARÍTIMOS[[#This Row],[Puerto de Embarque]]),"")</f>
        <v>Paita</v>
      </c>
      <c r="AG400" s="2" t="str">
        <f>IFERROR(IF(MARÍTIMOS[[#This Row],[Almacén de Ingreso]]="","",MARÍTIMOS[[#This Row],[Almacén de Ingreso]]),"")</f>
        <v>TPE</v>
      </c>
      <c r="AH400" s="11">
        <f>IFERROR(IF(MARÍTIMOS[[#This Row],[Etapa Ingreso - Cita]]="","",MARÍTIMOS[[#This Row],[Etapa Ingreso - Cita]]),"")</f>
        <v>46237.625</v>
      </c>
      <c r="AI400" s="11">
        <f>IFERROR(IF(MARÍTIMOS[[#This Row],[Etapa Ingreso - Llegada]]="","",MARÍTIMOS[[#This Row],[Etapa Ingreso - Llegada]]),"")</f>
        <v>46237.604861111111</v>
      </c>
      <c r="AJ400" s="11">
        <f>IFERROR(IF(MARÍTIMOS[[#This Row],[Etapa Ingreso - Ingeso]]="","",MARÍTIMOS[[#This Row],[Etapa Ingreso - Ingeso]]),"")</f>
        <v>46237.620833333334</v>
      </c>
      <c r="AK400" s="11">
        <f>IFERROR(IF(MARÍTIMOS[[#This Row],[Etapa Ingreso - Atención]]="","",MARÍTIMOS[[#This Row],[Etapa Ingreso - Atención]]),"")</f>
        <v>46237.634722222225</v>
      </c>
      <c r="AL400" s="11">
        <f>IFERROR(IF(MARÍTIMOS[[#This Row],[Etapa Ingreso - Salida]]="","",MARÍTIMOS[[#This Row],[Etapa Ingreso - Salida]]),"")</f>
        <v>46237.637499999997</v>
      </c>
      <c r="AM400" s="2">
        <f>IFERROR(IF(MARÍTIMOS[[#This Row],[FCL]]="","",MARÍTIMOS[[#This Row],[FCL]]),"")</f>
        <v>1</v>
      </c>
      <c r="AN4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0" s="4" t="str" cm="1">
        <f t="array" ref="AO4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0" s="5">
        <f>IFERROR(OLDBD[[#This Row],[Llegada a packing]]-OLDBD[[#This Row],[Inicio de Ruta]],"")</f>
        <v>0.89930555555474712</v>
      </c>
      <c r="AQ400" s="6">
        <f>IFERROR(OLDBD[[#This Row],[Inicio de Ruta]]-OLDBD[[#This Row],[Salida de almacén de retiro]],"")</f>
        <v>4.3749999997089617E-2</v>
      </c>
      <c r="AR4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00" s="8" t="str" cm="1">
        <f t="array" ref="AS4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4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00" s="9">
        <f>IFERROR(OLDBD[[#This Row],[Ingreso Packing]]-OLDBD[[#This Row],[Registro en Packing]],"")</f>
        <v>2.0833333328482695E-2</v>
      </c>
      <c r="AV400" s="9">
        <f>IFERROR(OLDBD[[#This Row],[Ingreso Packing]]-OLDBD[[#This Row],[Llegada a packing]],"")</f>
        <v>2.6388888887595385E-2</v>
      </c>
      <c r="AW4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0" s="5">
        <f>IFERROR(OLDBD[[#This Row],[Llegada Almacén de Ingreso]]-OLDBD[[#This Row],[Salida Packing]],"")</f>
        <v>0.65694444444670808</v>
      </c>
      <c r="AY400" s="4" t="str" cm="1">
        <f t="array" ref="AY4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00" s="43" t="s">
        <v>173</v>
      </c>
      <c r="BB400" s="47" t="str">
        <f>IFERROR(IF(MARÍTIMOS[[#This Row],[Estatus]]="","",MARÍTIMOS[[#This Row],[Estatus]]),"")</f>
        <v>Confirmado</v>
      </c>
      <c r="BC400" s="43"/>
      <c r="BD400" s="46">
        <f>IFERROR(OLDBD[[#This Row],[Salida de almacén de retiro]]-OLDBD[[#This Row],[Ingreso Almacén de retiro]],"")</f>
        <v>2.0833333401242271E-3</v>
      </c>
      <c r="BE400" s="46" t="str">
        <f>IFERROR(OLDBD[[#This Row],[Fin de Carga]]-OLDBD[[#This Row],[Inicio de Carga]],"")</f>
        <v/>
      </c>
    </row>
    <row r="401" spans="1:57" customFormat="1" hidden="1">
      <c r="A401" s="1"/>
      <c r="B401" s="1">
        <f>IFERROR(IF(MARÍTIMOS[[#This Row],[PP]]="","",MARÍTIMOS[[#This Row],[PP]]),"")</f>
        <v>31</v>
      </c>
      <c r="C401" s="1" t="str">
        <f>IFERROR(IF(MARÍTIMOS[[#This Row],[Sede]]="","",MARÍTIMOS[[#This Row],[Sede]]),"")</f>
        <v>Chao</v>
      </c>
      <c r="D401" s="1" t="str">
        <f>IFERROR(IF(MARÍTIMOS[[#This Row],[Instruction]]="","",MARÍTIMOS[[#This Row],[Instruction]]),"")</f>
        <v>RH-0345</v>
      </c>
      <c r="E401" s="1"/>
      <c r="F401" s="2" t="str">
        <f>IFERROR(IF(MARÍTIMOS[[#This Row],[Transportista]]="","",MARÍTIMOS[[#This Row],[Transportista]]),"")</f>
        <v>VESL</v>
      </c>
      <c r="G401" s="2" t="str">
        <f>IFERROR(IF(MARÍTIMOS[[#This Row],[Tercero]]="","",MARÍTIMOS[[#This Row],[Tercero]]),"")</f>
        <v>NO</v>
      </c>
      <c r="H401" s="2" t="str">
        <f>IFERROR(IF(MARÍTIMOS[[#This Row],[Razón Social]]="","",MARÍTIMOS[[#This Row],[Razón Social]]),"")</f>
        <v>VE SOLUCIONES LOGISTICAS SAC</v>
      </c>
      <c r="I401" s="2">
        <f>IFERROR(IF(MARÍTIMOS[[#This Row],[RUC]]="","",MARÍTIMOS[[#This Row],[RUC]]),"")</f>
        <v>20557679392</v>
      </c>
      <c r="J401" s="2" t="str">
        <f>IFERROR(IF(MARÍTIMOS[[#This Row],[Placa Tracto]]="","",MARÍTIMOS[[#This Row],[Placa Tracto]]),"")</f>
        <v>BFY932</v>
      </c>
      <c r="K401" s="2" t="str">
        <f>IFERROR(IF(MARÍTIMOS[[#This Row],[Placa Carreta]]="","",MARÍTIMOS[[#This Row],[Placa Carreta]]),"")</f>
        <v>AUR-970</v>
      </c>
      <c r="L401" s="44" t="str">
        <f>IFERROR(IF(MARÍTIMOS[[#This Row],[Conductor]]="","",MARÍTIMOS[[#This Row],[Conductor]]),"")</f>
        <v>YMMER JOSÉ CALDERON RODRIGUEZ</v>
      </c>
      <c r="M401" s="2" t="str">
        <f>IFERROR(IF(MARÍTIMOS[[#This Row],[Licencia]]="","",MARÍTIMOS[[#This Row],[Licencia]]),"")</f>
        <v>B008200945</v>
      </c>
      <c r="N401" s="2">
        <f>IFERROR(IF(MARÍTIMOS[[#This Row],[Número de Contacto]]="","",MARÍTIMOS[[#This Row],[Número de Contacto]]),"")</f>
        <v>0</v>
      </c>
      <c r="O401" s="10" t="str">
        <f>IFERROR(IF(MARÍTIMOS[[#This Row],[Booking|AWB|CRT]]="","",MARÍTIMOS[[#This Row],[Booking|AWB|CRT]]),"")</f>
        <v>9166890A</v>
      </c>
      <c r="P401" s="2" t="str">
        <f>IFERROR(IF(MARÍTIMOS[[#This Row],[Contenedor]]="","",MARÍTIMOS[[#This Row],[Contenedor]]),"")</f>
        <v>SEKU9119587</v>
      </c>
      <c r="Q401" s="2" t="str">
        <f>IFERROR(IF(MARÍTIMOS[[#This Row],[Puerto de Retiro]]="","",MARÍTIMOS[[#This Row],[Puerto de Retiro]]),"")</f>
        <v>PAITA</v>
      </c>
      <c r="R401" s="2" t="str">
        <f>IFERROR(IF(MARÍTIMOS[[#This Row],[Almacén de Retiro]]="","",MARÍTIMOS[[#This Row],[Almacén de Retiro]]),"")</f>
        <v>TPP</v>
      </c>
      <c r="S401" s="11">
        <f>IFERROR(IF(MARÍTIMOS[[#This Row],[Etapa Retiro - Cita]]="","",MARÍTIMOS[[#This Row],[Etapa Retiro - Cita]]),"")</f>
        <v>46235.708333333336</v>
      </c>
      <c r="T401" s="11">
        <f>IFERROR(IF(MARÍTIMOS[[#This Row],[Etapa Retiro - Llegada]]="","",MARÍTIMOS[[#This Row],[Etapa Retiro - Llegada]]),"")</f>
        <v>46235.727083333331</v>
      </c>
      <c r="U401" s="11">
        <f>IFERROR(IF(MARÍTIMOS[[#This Row],[Etapa Retiro - Ingreso]]="","",MARÍTIMOS[[#This Row],[Etapa Retiro - Ingreso]]),"")</f>
        <v>46235.731249999997</v>
      </c>
      <c r="V401" s="11">
        <f>IFERROR(IF(MARÍTIMOS[[#This Row],[Etapa Retiro - Atención]]="","",MARÍTIMOS[[#This Row],[Etapa Retiro - Atención]]),"")</f>
        <v>46235.75</v>
      </c>
      <c r="W401" s="11">
        <f>IFERROR(IF(MARÍTIMOS[[#This Row],[Etapa Retiro - Atención]]="","",MARÍTIMOS[[#This Row],[Etapa Retiro - Atención]]),"")</f>
        <v>46235.75</v>
      </c>
      <c r="X401" s="11">
        <f>IFERROR(IF(MARÍTIMOS[[#This Row],[Etapa Retiro - Inicio de Ruta]]="","",MARÍTIMOS[[#This Row],[Etapa Retiro - Inicio de Ruta]]),"")</f>
        <v>46235.763888888891</v>
      </c>
      <c r="Y401" s="11">
        <f>IFERROR(IF(MARÍTIMOS[[#This Row],[Hora de Posicionamiento]]="","",MARÍTIMOS[[#This Row],[Fecha de Carga]]+MARÍTIMOS[[#This Row],[Hora de Posicionamiento]]),"")</f>
        <v>46236.666666666664</v>
      </c>
      <c r="Z401" s="11">
        <f>IFERROR(IF(MARÍTIMOS[[#This Row],[Etapa Despacho - Llegada]]="","",MARÍTIMOS[[#This Row],[Etapa Despacho - Llegada]]),"")</f>
        <v>46236.553472222222</v>
      </c>
      <c r="AA401" s="11">
        <f>IFERROR(IF(MARÍTIMOS[[#This Row],[Etapa Despacho - Registro]]="","",MARÍTIMOS[[#This Row],[Etapa Despacho - Registro]]),"")</f>
        <v>46236.559027777781</v>
      </c>
      <c r="AB401" s="11">
        <f>IFERROR(IF(MARÍTIMOS[[#This Row],[Inspección Externa]]="","",MARÍTIMOS[[#This Row],[Inspección Externa]]),"")</f>
        <v>46236.579861111109</v>
      </c>
      <c r="AC401" s="11">
        <f>IFERROR(IF(MARÍTIMOS[[#This Row],[Etapa Despacho - Inicio de Carga]]="","",MARÍTIMOS[[#This Row],[Etapa Despacho - Inicio de Carga]]),"")</f>
        <v>46236.78125</v>
      </c>
      <c r="AD401" s="11" t="str">
        <f>IFERROR(IF(MARÍTIMOS[[#This Row],[Etapa Despacho - Mitad de Carga]]="","",MARÍTIMOS[[#This Row],[Etapa Despacho - Mitad de Carga]]),"")</f>
        <v/>
      </c>
      <c r="AE401" s="11">
        <f>IFERROR(IF(MARÍTIMOS[[#This Row],[Etapa Despacho - Fin de Carga]]="","",MARÍTIMOS[[#This Row],[Etapa Despacho - Fin de Carga]]),"")</f>
        <v>46236.902777777781</v>
      </c>
      <c r="AF401" s="2" t="str">
        <f>IFERROR(IF(MARÍTIMOS[[#This Row],[Puerto de Embarque]]="","",MARÍTIMOS[[#This Row],[Puerto de Embarque]]),"")</f>
        <v>Paita</v>
      </c>
      <c r="AG401" s="2" t="str">
        <f>IFERROR(IF(MARÍTIMOS[[#This Row],[Almacén de Ingreso]]="","",MARÍTIMOS[[#This Row],[Almacén de Ingreso]]),"")</f>
        <v>TPE</v>
      </c>
      <c r="AH401" s="11">
        <f>IFERROR(IF(MARÍTIMOS[[#This Row],[Etapa Ingreso - Cita]]="","",MARÍTIMOS[[#This Row],[Etapa Ingreso - Cita]]),"")</f>
        <v>46237.666666666664</v>
      </c>
      <c r="AI401" s="11">
        <f>IFERROR(IF(MARÍTIMOS[[#This Row],[Etapa Ingreso - Llegada]]="","",MARÍTIMOS[[#This Row],[Etapa Ingreso - Llegada]]),"")</f>
        <v>46237.597222222219</v>
      </c>
      <c r="AJ401" s="11">
        <f>IFERROR(IF(MARÍTIMOS[[#This Row],[Etapa Ingreso - Ingeso]]="","",MARÍTIMOS[[#This Row],[Etapa Ingreso - Ingeso]]),"")</f>
        <v>46237.632638888892</v>
      </c>
      <c r="AK401" s="11">
        <f>IFERROR(IF(MARÍTIMOS[[#This Row],[Etapa Ingreso - Atención]]="","",MARÍTIMOS[[#This Row],[Etapa Ingreso - Atención]]),"")</f>
        <v>46237.635416666664</v>
      </c>
      <c r="AL401" s="11">
        <f>IFERROR(IF(MARÍTIMOS[[#This Row],[Etapa Ingreso - Salida]]="","",MARÍTIMOS[[#This Row],[Etapa Ingreso - Salida]]),"")</f>
        <v>46237.637499999997</v>
      </c>
      <c r="AM401" s="2">
        <f>IFERROR(IF(MARÍTIMOS[[#This Row],[FCL]]="","",MARÍTIMOS[[#This Row],[FCL]]),"")</f>
        <v>1</v>
      </c>
      <c r="AN4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1" s="4" t="str" cm="1">
        <f t="array" ref="AO4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1" s="5">
        <f>IFERROR(OLDBD[[#This Row],[Llegada a packing]]-OLDBD[[#This Row],[Inicio de Ruta]],"")</f>
        <v>0.78958333333139308</v>
      </c>
      <c r="AQ401" s="6">
        <f>IFERROR(OLDBD[[#This Row],[Inicio de Ruta]]-OLDBD[[#This Row],[Salida de almacén de retiro]],"")</f>
        <v>1.3888888890505768E-2</v>
      </c>
      <c r="AR4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01" s="8" t="str" cm="1">
        <f t="array" ref="AS4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4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01" s="9">
        <f>IFERROR(OLDBD[[#This Row],[Ingreso Packing]]-OLDBD[[#This Row],[Registro en Packing]],"")</f>
        <v>2.0833333328482695E-2</v>
      </c>
      <c r="AV401" s="9">
        <f>IFERROR(OLDBD[[#This Row],[Ingreso Packing]]-OLDBD[[#This Row],[Llegada a packing]],"")</f>
        <v>2.6388888887595385E-2</v>
      </c>
      <c r="AW4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1" s="5">
        <f>IFERROR(OLDBD[[#This Row],[Llegada Almacén de Ingreso]]-OLDBD[[#This Row],[Salida Packing]],"")</f>
        <v>0.69444444443797693</v>
      </c>
      <c r="AY401" s="4" t="str" cm="1">
        <f t="array" ref="AY4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1" s="43" t="s">
        <v>173</v>
      </c>
      <c r="BB401" s="47" t="str">
        <f>IFERROR(IF(MARÍTIMOS[[#This Row],[Estatus]]="","",MARÍTIMOS[[#This Row],[Estatus]]),"")</f>
        <v>Confirmado</v>
      </c>
      <c r="BC401" s="43"/>
      <c r="BD401" s="46">
        <f>IFERROR(OLDBD[[#This Row],[Salida de almacén de retiro]]-OLDBD[[#This Row],[Ingreso Almacén de retiro]],"")</f>
        <v>1.8750000002910383E-2</v>
      </c>
      <c r="BE401" s="46" t="str">
        <f>IFERROR(OLDBD[[#This Row],[Fin de Carga]]-OLDBD[[#This Row],[Inicio de Carga]],"")</f>
        <v/>
      </c>
    </row>
    <row r="402" spans="1:57" customFormat="1" hidden="1">
      <c r="A402" s="1"/>
      <c r="B402" s="1">
        <f>IFERROR(IF(MARÍTIMOS[[#This Row],[PP]]="","",MARÍTIMOS[[#This Row],[PP]]),"")</f>
        <v>31</v>
      </c>
      <c r="C402" s="1" t="str">
        <f>IFERROR(IF(MARÍTIMOS[[#This Row],[Sede]]="","",MARÍTIMOS[[#This Row],[Sede]]),"")</f>
        <v>Chao</v>
      </c>
      <c r="D402" s="1" t="str">
        <f>IFERROR(IF(MARÍTIMOS[[#This Row],[Instruction]]="","",MARÍTIMOS[[#This Row],[Instruction]]),"")</f>
        <v>RH-0353</v>
      </c>
      <c r="E402" s="1"/>
      <c r="F402" s="2" t="str">
        <f>IFERROR(IF(MARÍTIMOS[[#This Row],[Transportista]]="","",MARÍTIMOS[[#This Row],[Transportista]]),"")</f>
        <v>VESL</v>
      </c>
      <c r="G402" s="2" t="str">
        <f>IFERROR(IF(MARÍTIMOS[[#This Row],[Tercero]]="","",MARÍTIMOS[[#This Row],[Tercero]]),"")</f>
        <v>NO</v>
      </c>
      <c r="H402" s="2" t="str">
        <f>IFERROR(IF(MARÍTIMOS[[#This Row],[Razón Social]]="","",MARÍTIMOS[[#This Row],[Razón Social]]),"")</f>
        <v>VE SOLUCIONES LOGISTICAS SAC</v>
      </c>
      <c r="I402" s="2">
        <f>IFERROR(IF(MARÍTIMOS[[#This Row],[RUC]]="","",MARÍTIMOS[[#This Row],[RUC]]),"")</f>
        <v>20557679392</v>
      </c>
      <c r="J402" s="2" t="str">
        <f>IFERROR(IF(MARÍTIMOS[[#This Row],[Placa Tracto]]="","",MARÍTIMOS[[#This Row],[Placa Tracto]]),"")</f>
        <v>BAV867</v>
      </c>
      <c r="K402" s="2" t="str">
        <f>IFERROR(IF(MARÍTIMOS[[#This Row],[Placa Carreta]]="","",MARÍTIMOS[[#This Row],[Placa Carreta]]),"")</f>
        <v>F5V-990</v>
      </c>
      <c r="L402" s="44" t="str">
        <f>IFERROR(IF(MARÍTIMOS[[#This Row],[Conductor]]="","",MARÍTIMOS[[#This Row],[Conductor]]),"")</f>
        <v>JESUS ALBERTO ZARRAGA ALVAREZ</v>
      </c>
      <c r="M402" s="2" t="str">
        <f>IFERROR(IF(MARÍTIMOS[[#This Row],[Licencia]]="","",MARÍTIMOS[[#This Row],[Licencia]]),"")</f>
        <v>B006469382</v>
      </c>
      <c r="N402" s="2">
        <f>IFERROR(IF(MARÍTIMOS[[#This Row],[Número de Contacto]]="","",MARÍTIMOS[[#This Row],[Número de Contacto]]),"")</f>
        <v>0</v>
      </c>
      <c r="O402" s="10" t="str">
        <f>IFERROR(IF(MARÍTIMOS[[#This Row],[Booking|AWB|CRT]]="","",MARÍTIMOS[[#This Row],[Booking|AWB|CRT]]),"")</f>
        <v>9166841A</v>
      </c>
      <c r="P402" s="2" t="str">
        <f>IFERROR(IF(MARÍTIMOS[[#This Row],[Contenedor]]="","",MARÍTIMOS[[#This Row],[Contenedor]]),"")</f>
        <v>SZLU7011925</v>
      </c>
      <c r="Q402" s="2" t="str">
        <f>IFERROR(IF(MARÍTIMOS[[#This Row],[Puerto de Retiro]]="","",MARÍTIMOS[[#This Row],[Puerto de Retiro]]),"")</f>
        <v>PAITA</v>
      </c>
      <c r="R402" s="2" t="str">
        <f>IFERROR(IF(MARÍTIMOS[[#This Row],[Almacén de Retiro]]="","",MARÍTIMOS[[#This Row],[Almacén de Retiro]]),"")</f>
        <v>TPP</v>
      </c>
      <c r="S402" s="11">
        <f>IFERROR(IF(MARÍTIMOS[[#This Row],[Etapa Retiro - Cita]]="","",MARÍTIMOS[[#This Row],[Etapa Retiro - Cita]]),"")</f>
        <v>46236.375</v>
      </c>
      <c r="T402" s="11">
        <f>IFERROR(IF(MARÍTIMOS[[#This Row],[Etapa Retiro - Llegada]]="","",MARÍTIMOS[[#This Row],[Etapa Retiro - Llegada]]),"")</f>
        <v>46236.375</v>
      </c>
      <c r="U402" s="11">
        <f>IFERROR(IF(MARÍTIMOS[[#This Row],[Etapa Retiro - Ingreso]]="","",MARÍTIMOS[[#This Row],[Etapa Retiro - Ingreso]]),"")</f>
        <v>46236.381944444445</v>
      </c>
      <c r="V402" s="11">
        <f>IFERROR(IF(MARÍTIMOS[[#This Row],[Etapa Retiro - Atención]]="","",MARÍTIMOS[[#This Row],[Etapa Retiro - Atención]]),"")</f>
        <v>46236.381944444445</v>
      </c>
      <c r="W402" s="11">
        <f>IFERROR(IF(MARÍTIMOS[[#This Row],[Etapa Retiro - Atención]]="","",MARÍTIMOS[[#This Row],[Etapa Retiro - Atención]]),"")</f>
        <v>46236.381944444445</v>
      </c>
      <c r="X402" s="11">
        <f>IFERROR(IF(MARÍTIMOS[[#This Row],[Etapa Retiro - Inicio de Ruta]]="","",MARÍTIMOS[[#This Row],[Etapa Retiro - Inicio de Ruta]]),"")</f>
        <v>46236.425000000003</v>
      </c>
      <c r="Y402" s="11">
        <f>IFERROR(IF(MARÍTIMOS[[#This Row],[Hora de Posicionamiento]]="","",MARÍTIMOS[[#This Row],[Fecha de Carga]]+MARÍTIMOS[[#This Row],[Hora de Posicionamiento]]),"")</f>
        <v>46237.333333333336</v>
      </c>
      <c r="Z402" s="11">
        <f>IFERROR(IF(MARÍTIMOS[[#This Row],[Etapa Despacho - Llegada]]="","",MARÍTIMOS[[#This Row],[Etapa Despacho - Llegada]]),"")</f>
        <v>46237.34097222222</v>
      </c>
      <c r="AA402" s="11">
        <f>IFERROR(IF(MARÍTIMOS[[#This Row],[Etapa Despacho - Registro]]="","",MARÍTIMOS[[#This Row],[Etapa Despacho - Registro]]),"")</f>
        <v>46237.34652777778</v>
      </c>
      <c r="AB402" s="11">
        <f>IFERROR(IF(MARÍTIMOS[[#This Row],[Inspección Externa]]="","",MARÍTIMOS[[#This Row],[Inspección Externa]]),"")</f>
        <v>46237.359722222223</v>
      </c>
      <c r="AC402" s="11">
        <f>IFERROR(IF(MARÍTIMOS[[#This Row],[Etapa Despacho - Inicio de Carga]]="","",MARÍTIMOS[[#This Row],[Etapa Despacho - Inicio de Carga]]),"")</f>
        <v>46237.555555555555</v>
      </c>
      <c r="AD402" s="11" t="str">
        <f>IFERROR(IF(MARÍTIMOS[[#This Row],[Etapa Despacho - Mitad de Carga]]="","",MARÍTIMOS[[#This Row],[Etapa Despacho - Mitad de Carga]]),"")</f>
        <v/>
      </c>
      <c r="AE402" s="11">
        <f>IFERROR(IF(MARÍTIMOS[[#This Row],[Etapa Despacho - Fin de Carga]]="","",MARÍTIMOS[[#This Row],[Etapa Despacho - Fin de Carga]]),"")</f>
        <v>46237.6875</v>
      </c>
      <c r="AF402" s="2" t="str">
        <f>IFERROR(IF(MARÍTIMOS[[#This Row],[Puerto de Embarque]]="","",MARÍTIMOS[[#This Row],[Puerto de Embarque]]),"")</f>
        <v>Paita</v>
      </c>
      <c r="AG402" s="2" t="str">
        <f>IFERROR(IF(MARÍTIMOS[[#This Row],[Almacén de Ingreso]]="","",MARÍTIMOS[[#This Row],[Almacén de Ingreso]]),"")</f>
        <v>TPE</v>
      </c>
      <c r="AH402" s="11">
        <f>IFERROR(IF(MARÍTIMOS[[#This Row],[Etapa Ingreso - Cita]]="","",MARÍTIMOS[[#This Row],[Etapa Ingreso - Cita]]),"")</f>
        <v>46238.625</v>
      </c>
      <c r="AI402" s="11">
        <f>IFERROR(IF(MARÍTIMOS[[#This Row],[Etapa Ingreso - Llegada]]="","",MARÍTIMOS[[#This Row],[Etapa Ingreso - Llegada]]),"")</f>
        <v>46238.594444444447</v>
      </c>
      <c r="AJ402" s="11">
        <f>IFERROR(IF(MARÍTIMOS[[#This Row],[Etapa Ingreso - Ingeso]]="","",MARÍTIMOS[[#This Row],[Etapa Ingreso - Ingeso]]),"")</f>
        <v>46238.6</v>
      </c>
      <c r="AK402" s="11">
        <f>IFERROR(IF(MARÍTIMOS[[#This Row],[Etapa Ingreso - Atención]]="","",MARÍTIMOS[[#This Row],[Etapa Ingreso - Atención]]),"")</f>
        <v>46238.602777777778</v>
      </c>
      <c r="AL402" s="11">
        <f>IFERROR(IF(MARÍTIMOS[[#This Row],[Etapa Ingreso - Salida]]="","",MARÍTIMOS[[#This Row],[Etapa Ingreso - Salida]]),"")</f>
        <v>46238.612500000003</v>
      </c>
      <c r="AM402" s="2">
        <f>IFERROR(IF(MARÍTIMOS[[#This Row],[FCL]]="","",MARÍTIMOS[[#This Row],[FCL]]),"")</f>
        <v>1</v>
      </c>
      <c r="AN4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2" s="4" t="str" cm="1">
        <f t="array" ref="AO4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2" s="5">
        <f>IFERROR(OLDBD[[#This Row],[Llegada a packing]]-OLDBD[[#This Row],[Inicio de Ruta]],"")</f>
        <v>0.91597222221753327</v>
      </c>
      <c r="AQ402" s="6">
        <f>IFERROR(OLDBD[[#This Row],[Inicio de Ruta]]-OLDBD[[#This Row],[Salida de almacén de retiro]],"")</f>
        <v>4.3055555557657499E-2</v>
      </c>
      <c r="AR4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02" s="8" t="str" cm="1">
        <f t="array" ref="AS4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4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02" s="9">
        <f>IFERROR(OLDBD[[#This Row],[Ingreso Packing]]-OLDBD[[#This Row],[Registro en Packing]],"")</f>
        <v>1.3194444443797693E-2</v>
      </c>
      <c r="AV402" s="9">
        <f>IFERROR(OLDBD[[#This Row],[Ingreso Packing]]-OLDBD[[#This Row],[Llegada a packing]],"")</f>
        <v>1.8750000002910383E-2</v>
      </c>
      <c r="AW4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2" s="5">
        <f>IFERROR(OLDBD[[#This Row],[Llegada Almacén de Ingreso]]-OLDBD[[#This Row],[Salida Packing]],"")</f>
        <v>0.90694444444670808</v>
      </c>
      <c r="AY402" s="4" t="str" cm="1">
        <f t="array" ref="AY4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2" s="43" t="s">
        <v>173</v>
      </c>
      <c r="BB402" s="47" t="str">
        <f>IFERROR(IF(MARÍTIMOS[[#This Row],[Estatus]]="","",MARÍTIMOS[[#This Row],[Estatus]]),"")</f>
        <v>Confirmado</v>
      </c>
      <c r="BC402" s="43"/>
      <c r="BD402" s="46">
        <f>IFERROR(OLDBD[[#This Row],[Salida de almacén de retiro]]-OLDBD[[#This Row],[Ingreso Almacén de retiro]],"")</f>
        <v>0</v>
      </c>
      <c r="BE402" s="46" t="str">
        <f>IFERROR(OLDBD[[#This Row],[Fin de Carga]]-OLDBD[[#This Row],[Inicio de Carga]],"")</f>
        <v/>
      </c>
    </row>
    <row r="403" spans="1:57" hidden="1">
      <c r="A403" s="52"/>
      <c r="B403" s="52">
        <f>IFERROR(IF(MARÍTIMOS[[#This Row],[PP]]="","",MARÍTIMOS[[#This Row],[PP]]),"")</f>
        <v>31</v>
      </c>
      <c r="C403" s="52" t="str">
        <f>IFERROR(IF(MARÍTIMOS[[#This Row],[Sede]]="","",MARÍTIMOS[[#This Row],[Sede]]),"")</f>
        <v>Chao</v>
      </c>
      <c r="D403" s="52" t="str">
        <f>IFERROR(IF(MARÍTIMOS[[#This Row],[Instruction]]="","",MARÍTIMOS[[#This Row],[Instruction]]),"")</f>
        <v>RH-0350</v>
      </c>
      <c r="E403" s="52"/>
      <c r="F403" s="53" t="str">
        <f>IFERROR(IF(MARÍTIMOS[[#This Row],[Transportista]]="","",MARÍTIMOS[[#This Row],[Transportista]]),"")</f>
        <v>VESL</v>
      </c>
      <c r="G403" s="53" t="str">
        <f>IFERROR(IF(MARÍTIMOS[[#This Row],[Tercero]]="","",MARÍTIMOS[[#This Row],[Tercero]]),"")</f>
        <v>NO</v>
      </c>
      <c r="H403" s="53" t="str">
        <f>IFERROR(IF(MARÍTIMOS[[#This Row],[Razón Social]]="","",MARÍTIMOS[[#This Row],[Razón Social]]),"")</f>
        <v>VE SOLUCIONES LOGISTICAS SAC</v>
      </c>
      <c r="I403" s="53">
        <f>IFERROR(IF(MARÍTIMOS[[#This Row],[RUC]]="","",MARÍTIMOS[[#This Row],[RUC]]),"")</f>
        <v>20557679392</v>
      </c>
      <c r="J403" s="53" t="str">
        <f>IFERROR(IF(MARÍTIMOS[[#This Row],[Placa Tracto]]="","",MARÍTIMOS[[#This Row],[Placa Tracto]]),"")</f>
        <v>BFY931</v>
      </c>
      <c r="K403" s="53" t="str">
        <f>IFERROR(IF(MARÍTIMOS[[#This Row],[Placa Carreta]]="","",MARÍTIMOS[[#This Row],[Placa Carreta]]),"")</f>
        <v>F5X-983</v>
      </c>
      <c r="L403" s="54" t="str">
        <f>IFERROR(IF(MARÍTIMOS[[#This Row],[Conductor]]="","",MARÍTIMOS[[#This Row],[Conductor]]),"")</f>
        <v>RICHARD CLEY CALDERON RODRIGUEZ</v>
      </c>
      <c r="M403" s="53" t="str">
        <f>IFERROR(IF(MARÍTIMOS[[#This Row],[Licencia]]="","",MARÍTIMOS[[#This Row],[Licencia]]),"")</f>
        <v>B003228182</v>
      </c>
      <c r="N403" s="53">
        <f>IFERROR(IF(MARÍTIMOS[[#This Row],[Número de Contacto]]="","",MARÍTIMOS[[#This Row],[Número de Contacto]]),"")</f>
        <v>0</v>
      </c>
      <c r="O403" s="55" t="str">
        <f>IFERROR(IF(MARÍTIMOS[[#This Row],[Booking|AWB|CRT]]="","",MARÍTIMOS[[#This Row],[Booking|AWB|CRT]]),"")</f>
        <v>9166895A</v>
      </c>
      <c r="P403" s="53" t="str">
        <f>IFERROR(IF(MARÍTIMOS[[#This Row],[Contenedor]]="","",MARÍTIMOS[[#This Row],[Contenedor]]),"")</f>
        <v>CAAU4167525</v>
      </c>
      <c r="Q403" s="53" t="str">
        <f>IFERROR(IF(MARÍTIMOS[[#This Row],[Puerto de Retiro]]="","",MARÍTIMOS[[#This Row],[Puerto de Retiro]]),"")</f>
        <v>PAITA</v>
      </c>
      <c r="R403" s="53" t="str">
        <f>IFERROR(IF(MARÍTIMOS[[#This Row],[Almacén de Retiro]]="","",MARÍTIMOS[[#This Row],[Almacén de Retiro]]),"")</f>
        <v>TPP</v>
      </c>
      <c r="S403" s="56">
        <f>IFERROR(IF(MARÍTIMOS[[#This Row],[Etapa Retiro - Cita]]="","",MARÍTIMOS[[#This Row],[Etapa Retiro - Cita]]),"")</f>
        <v>46236.375</v>
      </c>
      <c r="T403" s="56">
        <f>IFERROR(IF(MARÍTIMOS[[#This Row],[Etapa Retiro - Llegada]]="","",MARÍTIMOS[[#This Row],[Etapa Retiro - Llegada]]),"")</f>
        <v>46236.375</v>
      </c>
      <c r="U403" s="56">
        <f>IFERROR(IF(MARÍTIMOS[[#This Row],[Etapa Retiro - Ingreso]]="","",MARÍTIMOS[[#This Row],[Etapa Retiro - Ingreso]]),"")</f>
        <v>46236.385416666664</v>
      </c>
      <c r="V403" s="56">
        <f>IFERROR(IF(MARÍTIMOS[[#This Row],[Etapa Retiro - Atención]]="","",MARÍTIMOS[[#This Row],[Etapa Retiro - Atención]]),"")</f>
        <v>46236.385416666664</v>
      </c>
      <c r="W403" s="56">
        <f>IFERROR(IF(MARÍTIMOS[[#This Row],[Etapa Retiro - Atención]]="","",MARÍTIMOS[[#This Row],[Etapa Retiro - Atención]]),"")</f>
        <v>46236.385416666664</v>
      </c>
      <c r="X403" s="56">
        <f>IFERROR(IF(MARÍTIMOS[[#This Row],[Etapa Retiro - Inicio de Ruta]]="","",MARÍTIMOS[[#This Row],[Etapa Retiro - Inicio de Ruta]]),"")</f>
        <v>46236.443749999999</v>
      </c>
      <c r="Y403" s="56">
        <f>IFERROR(IF(MARÍTIMOS[[#This Row],[Hora de Posicionamiento]]="","",MARÍTIMOS[[#This Row],[Fecha de Carga]]+MARÍTIMOS[[#This Row],[Hora de Posicionamiento]]),"")</f>
        <v>46237.333333333336</v>
      </c>
      <c r="Z403" s="56">
        <f>IFERROR(IF(MARÍTIMOS[[#This Row],[Etapa Despacho - Llegada]]="","",MARÍTIMOS[[#This Row],[Etapa Despacho - Llegada]]),"")</f>
        <v>46237.344444444447</v>
      </c>
      <c r="AA403" s="56">
        <f>IFERROR(IF(MARÍTIMOS[[#This Row],[Etapa Despacho - Registro]]="","",MARÍTIMOS[[#This Row],[Etapa Despacho - Registro]]),"")</f>
        <v>46237.345833333333</v>
      </c>
      <c r="AB403" s="56">
        <f>IFERROR(IF(MARÍTIMOS[[#This Row],[Inspección Externa]]="","",MARÍTIMOS[[#This Row],[Inspección Externa]]),"")</f>
        <v>46237.364583333336</v>
      </c>
      <c r="AC403" s="56">
        <f>IFERROR(IF(MARÍTIMOS[[#This Row],[Etapa Despacho - Inicio de Carga]]="","",MARÍTIMOS[[#This Row],[Etapa Despacho - Inicio de Carga]]),"")</f>
        <v>46237.600694444445</v>
      </c>
      <c r="AD403" s="56" t="str">
        <f>IFERROR(IF(MARÍTIMOS[[#This Row],[Etapa Despacho - Mitad de Carga]]="","",MARÍTIMOS[[#This Row],[Etapa Despacho - Mitad de Carga]]),"")</f>
        <v/>
      </c>
      <c r="AE403" s="56">
        <f>IFERROR(IF(MARÍTIMOS[[#This Row],[Etapa Despacho - Fin de Carga]]="","",MARÍTIMOS[[#This Row],[Etapa Despacho - Fin de Carga]]),"")</f>
        <v>46237.763888888891</v>
      </c>
      <c r="AF403" s="53" t="str">
        <f>IFERROR(IF(MARÍTIMOS[[#This Row],[Puerto de Embarque]]="","",MARÍTIMOS[[#This Row],[Puerto de Embarque]]),"")</f>
        <v>Paita</v>
      </c>
      <c r="AG403" s="53" t="str">
        <f>IFERROR(IF(MARÍTIMOS[[#This Row],[Almacén de Ingreso]]="","",MARÍTIMOS[[#This Row],[Almacén de Ingreso]]),"")</f>
        <v>TPE</v>
      </c>
      <c r="AH403" s="56">
        <f>IFERROR(IF(MARÍTIMOS[[#This Row],[Etapa Ingreso - Cita]]="","",MARÍTIMOS[[#This Row],[Etapa Ingreso - Cita]]),"")</f>
        <v>46238.583333333336</v>
      </c>
      <c r="AI403" s="56">
        <f>IFERROR(IF(MARÍTIMOS[[#This Row],[Etapa Ingreso - Llegada]]="","",MARÍTIMOS[[#This Row],[Etapa Ingreso - Llegada]]),"")</f>
        <v>46238.559027777781</v>
      </c>
      <c r="AJ403" s="56">
        <f>IFERROR(IF(MARÍTIMOS[[#This Row],[Etapa Ingreso - Ingeso]]="","",MARÍTIMOS[[#This Row],[Etapa Ingreso - Ingeso]]),"")</f>
        <v>46238.5625</v>
      </c>
      <c r="AK403" s="56">
        <f>IFERROR(IF(MARÍTIMOS[[#This Row],[Etapa Ingreso - Atención]]="","",MARÍTIMOS[[#This Row],[Etapa Ingreso - Atención]]),"")</f>
        <v>46238.564583333333</v>
      </c>
      <c r="AL403" s="56">
        <f>IFERROR(IF(MARÍTIMOS[[#This Row],[Etapa Ingreso - Salida]]="","",MARÍTIMOS[[#This Row],[Etapa Ingreso - Salida]]),"")</f>
        <v>46238.57708333333</v>
      </c>
      <c r="AM403" s="53">
        <f>IFERROR(IF(MARÍTIMOS[[#This Row],[FCL]]="","",MARÍTIMOS[[#This Row],[FCL]]),"")</f>
        <v>1</v>
      </c>
      <c r="AN403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3" s="4" t="str" cm="1">
        <f t="array" ref="AO4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3" s="6">
        <f>IFERROR(OLDBD[[#This Row],[Llegada a packing]]-OLDBD[[#This Row],[Inicio de Ruta]],"")</f>
        <v>0.90069444444816327</v>
      </c>
      <c r="AQ403" s="6">
        <f>IFERROR(OLDBD[[#This Row],[Inicio de Ruta]]-OLDBD[[#This Row],[Salida de almacén de retiro]],"")</f>
        <v>5.8333333334303461E-2</v>
      </c>
      <c r="AR403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03" s="8" t="str" cm="1">
        <f t="array" ref="AS4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4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03" s="9">
        <f>IFERROR(OLDBD[[#This Row],[Ingreso Packing]]-OLDBD[[#This Row],[Registro en Packing]],"")</f>
        <v>1.8750000002910383E-2</v>
      </c>
      <c r="AV403" s="9">
        <f>IFERROR(OLDBD[[#This Row],[Ingreso Packing]]-OLDBD[[#This Row],[Llegada a packing]],"")</f>
        <v>2.0138888889050577E-2</v>
      </c>
      <c r="AW4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3" s="6">
        <f>IFERROR(OLDBD[[#This Row],[Llegada Almacén de Ingreso]]-OLDBD[[#This Row],[Salida Packing]],"")</f>
        <v>0.79513888889050577</v>
      </c>
      <c r="AY403" s="4" t="str" cm="1">
        <f t="array" ref="AY4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3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3" s="58" t="s">
        <v>173</v>
      </c>
      <c r="BB403" s="59" t="str">
        <f>IFERROR(IF(MARÍTIMOS[[#This Row],[Estatus]]="","",MARÍTIMOS[[#This Row],[Estatus]]),"")</f>
        <v>Confirmado</v>
      </c>
      <c r="BC403" s="58"/>
      <c r="BD403" s="60">
        <f>IFERROR(OLDBD[[#This Row],[Salida de almacén de retiro]]-OLDBD[[#This Row],[Ingreso Almacén de retiro]],"")</f>
        <v>0</v>
      </c>
      <c r="BE403" s="60" t="str">
        <f>IFERROR(OLDBD[[#This Row],[Fin de Carga]]-OLDBD[[#This Row],[Inicio de Carga]],"")</f>
        <v/>
      </c>
    </row>
    <row r="404" spans="1:57" hidden="1">
      <c r="A404" s="52"/>
      <c r="B404" s="52">
        <f>IFERROR(IF(MARÍTIMOS[[#This Row],[PP]]="","",MARÍTIMOS[[#This Row],[PP]]),"")</f>
        <v>31</v>
      </c>
      <c r="C404" s="52" t="str">
        <f>IFERROR(IF(MARÍTIMOS[[#This Row],[Sede]]="","",MARÍTIMOS[[#This Row],[Sede]]),"")</f>
        <v>Chao</v>
      </c>
      <c r="D404" s="52" t="str">
        <f>IFERROR(IF(MARÍTIMOS[[#This Row],[Instruction]]="","",MARÍTIMOS[[#This Row],[Instruction]]),"")</f>
        <v>RH-0354</v>
      </c>
      <c r="E404" s="52"/>
      <c r="F404" s="53" t="str">
        <f>IFERROR(IF(MARÍTIMOS[[#This Row],[Transportista]]="","",MARÍTIMOS[[#This Row],[Transportista]]),"")</f>
        <v>VESL</v>
      </c>
      <c r="G404" s="53" t="str">
        <f>IFERROR(IF(MARÍTIMOS[[#This Row],[Tercero]]="","",MARÍTIMOS[[#This Row],[Tercero]]),"")</f>
        <v>NO</v>
      </c>
      <c r="H404" s="53" t="str">
        <f>IFERROR(IF(MARÍTIMOS[[#This Row],[Razón Social]]="","",MARÍTIMOS[[#This Row],[Razón Social]]),"")</f>
        <v>VE SOLUCIONES LOGISTICAS SAC</v>
      </c>
      <c r="I404" s="53">
        <f>IFERROR(IF(MARÍTIMOS[[#This Row],[RUC]]="","",MARÍTIMOS[[#This Row],[RUC]]),"")</f>
        <v>20557679392</v>
      </c>
      <c r="J404" s="53" t="str">
        <f>IFERROR(IF(MARÍTIMOS[[#This Row],[Placa Tracto]]="","",MARÍTIMOS[[#This Row],[Placa Tracto]]),"")</f>
        <v>BFY936</v>
      </c>
      <c r="K404" s="53" t="str">
        <f>IFERROR(IF(MARÍTIMOS[[#This Row],[Placa Carreta]]="","",MARÍTIMOS[[#This Row],[Placa Carreta]]),"")</f>
        <v>AUQ993</v>
      </c>
      <c r="L404" s="54" t="str">
        <f>IFERROR(IF(MARÍTIMOS[[#This Row],[Conductor]]="","",MARÍTIMOS[[#This Row],[Conductor]]),"")</f>
        <v>EDWIN JESUS ANTON MARIN</v>
      </c>
      <c r="M404" s="53" t="str">
        <f>IFERROR(IF(MARÍTIMOS[[#This Row],[Licencia]]="","",MARÍTIMOS[[#This Row],[Licencia]]),"")</f>
        <v>B005015762</v>
      </c>
      <c r="N404" s="53">
        <f>IFERROR(IF(MARÍTIMOS[[#This Row],[Número de Contacto]]="","",MARÍTIMOS[[#This Row],[Número de Contacto]]),"")</f>
        <v>0</v>
      </c>
      <c r="O404" s="55" t="str">
        <f>IFERROR(IF(MARÍTIMOS[[#This Row],[Booking|AWB|CRT]]="","",MARÍTIMOS[[#This Row],[Booking|AWB|CRT]]),"")</f>
        <v>9166845A</v>
      </c>
      <c r="P404" s="53" t="str">
        <f>IFERROR(IF(MARÍTIMOS[[#This Row],[Contenedor]]="","",MARÍTIMOS[[#This Row],[Contenedor]]),"")</f>
        <v>SZLU5023193</v>
      </c>
      <c r="Q404" s="53" t="str">
        <f>IFERROR(IF(MARÍTIMOS[[#This Row],[Puerto de Retiro]]="","",MARÍTIMOS[[#This Row],[Puerto de Retiro]]),"")</f>
        <v>PAITA</v>
      </c>
      <c r="R404" s="53" t="str">
        <f>IFERROR(IF(MARÍTIMOS[[#This Row],[Almacén de Retiro]]="","",MARÍTIMOS[[#This Row],[Almacén de Retiro]]),"")</f>
        <v>TPP</v>
      </c>
      <c r="S404" s="56">
        <f>IFERROR(IF(MARÍTIMOS[[#This Row],[Etapa Retiro - Cita]]="","",MARÍTIMOS[[#This Row],[Etapa Retiro - Cita]]),"")</f>
        <v>46236.375</v>
      </c>
      <c r="T404" s="56">
        <f>IFERROR(IF(MARÍTIMOS[[#This Row],[Etapa Retiro - Llegada]]="","",MARÍTIMOS[[#This Row],[Etapa Retiro - Llegada]]),"")</f>
        <v>46236.464583333334</v>
      </c>
      <c r="U404" s="56">
        <f>IFERROR(IF(MARÍTIMOS[[#This Row],[Etapa Retiro - Ingreso]]="","",MARÍTIMOS[[#This Row],[Etapa Retiro - Ingreso]]),"")</f>
        <v>46236.46875</v>
      </c>
      <c r="V404" s="56">
        <f>IFERROR(IF(MARÍTIMOS[[#This Row],[Etapa Retiro - Atención]]="","",MARÍTIMOS[[#This Row],[Etapa Retiro - Atención]]),"")</f>
        <v>46236.46875</v>
      </c>
      <c r="W404" s="56">
        <f>IFERROR(IF(MARÍTIMOS[[#This Row],[Etapa Retiro - Atención]]="","",MARÍTIMOS[[#This Row],[Etapa Retiro - Atención]]),"")</f>
        <v>46236.46875</v>
      </c>
      <c r="X404" s="56">
        <f>IFERROR(IF(MARÍTIMOS[[#This Row],[Etapa Retiro - Inicio de Ruta]]="","",MARÍTIMOS[[#This Row],[Etapa Retiro - Inicio de Ruta]]),"")</f>
        <v>46236.600694444445</v>
      </c>
      <c r="Y404" s="56">
        <f>IFERROR(IF(MARÍTIMOS[[#This Row],[Hora de Posicionamiento]]="","",MARÍTIMOS[[#This Row],[Fecha de Carga]]+MARÍTIMOS[[#This Row],[Hora de Posicionamiento]]),"")</f>
        <v>46237.333333333336</v>
      </c>
      <c r="Z404" s="56">
        <f>IFERROR(IF(MARÍTIMOS[[#This Row],[Etapa Despacho - Llegada]]="","",MARÍTIMOS[[#This Row],[Etapa Despacho - Llegada]]),"")</f>
        <v>46237.34097222222</v>
      </c>
      <c r="AA404" s="56">
        <f>IFERROR(IF(MARÍTIMOS[[#This Row],[Etapa Despacho - Registro]]="","",MARÍTIMOS[[#This Row],[Etapa Despacho - Registro]]),"")</f>
        <v>46237.345138888886</v>
      </c>
      <c r="AB404" s="56">
        <f>IFERROR(IF(MARÍTIMOS[[#This Row],[Inspección Externa]]="","",MARÍTIMOS[[#This Row],[Inspección Externa]]),"")</f>
        <v>46237.374305555553</v>
      </c>
      <c r="AC404" s="56">
        <f>IFERROR(IF(MARÍTIMOS[[#This Row],[Etapa Despacho - Inicio de Carga]]="","",MARÍTIMOS[[#This Row],[Etapa Despacho - Inicio de Carga]]),"")</f>
        <v>46237.65625</v>
      </c>
      <c r="AD404" s="56" t="str">
        <f>IFERROR(IF(MARÍTIMOS[[#This Row],[Etapa Despacho - Mitad de Carga]]="","",MARÍTIMOS[[#This Row],[Etapa Despacho - Mitad de Carga]]),"")</f>
        <v/>
      </c>
      <c r="AE404" s="56">
        <f>IFERROR(IF(MARÍTIMOS[[#This Row],[Etapa Despacho - Fin de Carga]]="","",MARÍTIMOS[[#This Row],[Etapa Despacho - Fin de Carga]]),"")</f>
        <v>46237.708333333336</v>
      </c>
      <c r="AF404" s="53" t="str">
        <f>IFERROR(IF(MARÍTIMOS[[#This Row],[Puerto de Embarque]]="","",MARÍTIMOS[[#This Row],[Puerto de Embarque]]),"")</f>
        <v>Paita</v>
      </c>
      <c r="AG404" s="53" t="str">
        <f>IFERROR(IF(MARÍTIMOS[[#This Row],[Almacén de Ingreso]]="","",MARÍTIMOS[[#This Row],[Almacén de Ingreso]]),"")</f>
        <v>TPE</v>
      </c>
      <c r="AH404" s="56">
        <f>IFERROR(IF(MARÍTIMOS[[#This Row],[Etapa Ingreso - Cita]]="","",MARÍTIMOS[[#This Row],[Etapa Ingreso - Cita]]),"")</f>
        <v>46238.541666666664</v>
      </c>
      <c r="AI404" s="56">
        <f>IFERROR(IF(MARÍTIMOS[[#This Row],[Etapa Ingreso - Llegada]]="","",MARÍTIMOS[[#This Row],[Etapa Ingreso - Llegada]]),"")</f>
        <v>46238.534722222219</v>
      </c>
      <c r="AJ404" s="56">
        <f>IFERROR(IF(MARÍTIMOS[[#This Row],[Etapa Ingreso - Ingeso]]="","",MARÍTIMOS[[#This Row],[Etapa Ingreso - Ingeso]]),"")</f>
        <v>46238.541666666664</v>
      </c>
      <c r="AK404" s="56">
        <f>IFERROR(IF(MARÍTIMOS[[#This Row],[Etapa Ingreso - Atención]]="","",MARÍTIMOS[[#This Row],[Etapa Ingreso - Atención]]),"")</f>
        <v>46238.543055555558</v>
      </c>
      <c r="AL404" s="56">
        <f>IFERROR(IF(MARÍTIMOS[[#This Row],[Etapa Ingreso - Salida]]="","",MARÍTIMOS[[#This Row],[Etapa Ingreso - Salida]]),"")</f>
        <v>46238.552083333336</v>
      </c>
      <c r="AM404" s="53">
        <f>IFERROR(IF(MARÍTIMOS[[#This Row],[FCL]]="","",MARÍTIMOS[[#This Row],[FCL]]),"")</f>
        <v>1</v>
      </c>
      <c r="AN404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4" s="4" t="str" cm="1">
        <f t="array" ref="AO4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4" s="6">
        <f>IFERROR(OLDBD[[#This Row],[Llegada a packing]]-OLDBD[[#This Row],[Inicio de Ruta]],"")</f>
        <v>0.74027777777519077</v>
      </c>
      <c r="AQ404" s="6">
        <f>IFERROR(OLDBD[[#This Row],[Inicio de Ruta]]-OLDBD[[#This Row],[Salida de almacén de retiro]],"")</f>
        <v>0.13194444444525288</v>
      </c>
      <c r="AR404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04" s="8" t="str" cm="1">
        <f t="array" ref="AS4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4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04" s="9">
        <f>IFERROR(OLDBD[[#This Row],[Ingreso Packing]]-OLDBD[[#This Row],[Registro en Packing]],"")</f>
        <v>2.9166666667151731E-2</v>
      </c>
      <c r="AV404" s="9">
        <f>IFERROR(OLDBD[[#This Row],[Ingreso Packing]]-OLDBD[[#This Row],[Llegada a packing]],"")</f>
        <v>3.3333333332848269E-2</v>
      </c>
      <c r="AW4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4" s="6">
        <f>IFERROR(OLDBD[[#This Row],[Llegada Almacén de Ingreso]]-OLDBD[[#This Row],[Salida Packing]],"")</f>
        <v>0.82638888888322981</v>
      </c>
      <c r="AY404" s="4" t="str" cm="1">
        <f t="array" ref="AY4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4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04" s="58" t="s">
        <v>173</v>
      </c>
      <c r="BB404" s="59" t="str">
        <f>IFERROR(IF(MARÍTIMOS[[#This Row],[Estatus]]="","",MARÍTIMOS[[#This Row],[Estatus]]),"")</f>
        <v>onfirmado</v>
      </c>
      <c r="BC404" s="58"/>
      <c r="BD404" s="60">
        <f>IFERROR(OLDBD[[#This Row],[Salida de almacén de retiro]]-OLDBD[[#This Row],[Ingreso Almacén de retiro]],"")</f>
        <v>0</v>
      </c>
      <c r="BE404" s="60" t="str">
        <f>IFERROR(OLDBD[[#This Row],[Fin de Carga]]-OLDBD[[#This Row],[Inicio de Carga]],"")</f>
        <v/>
      </c>
    </row>
    <row r="405" spans="1:57" hidden="1">
      <c r="A405" s="52"/>
      <c r="B405" s="52">
        <f>IFERROR(IF(MARÍTIMOS[[#This Row],[PP]]="","",MARÍTIMOS[[#This Row],[PP]]),"")</f>
        <v>32</v>
      </c>
      <c r="C405" s="52" t="str">
        <f>IFERROR(IF(MARÍTIMOS[[#This Row],[Sede]]="","",MARÍTIMOS[[#This Row],[Sede]]),"")</f>
        <v>Chao</v>
      </c>
      <c r="D405" s="52" t="str">
        <f>IFERROR(IF(MARÍTIMOS[[#This Row],[Instruction]]="","",MARÍTIMOS[[#This Row],[Instruction]]),"")</f>
        <v>RH-0455</v>
      </c>
      <c r="E405" s="52"/>
      <c r="F405" s="53" t="str">
        <f>IFERROR(IF(MARÍTIMOS[[#This Row],[Transportista]]="","",MARÍTIMOS[[#This Row],[Transportista]]),"")</f>
        <v>VESL</v>
      </c>
      <c r="G405" s="53" t="str">
        <f>IFERROR(IF(MARÍTIMOS[[#This Row],[Tercero]]="","",MARÍTIMOS[[#This Row],[Tercero]]),"")</f>
        <v>NO</v>
      </c>
      <c r="H405" s="53" t="str">
        <f>IFERROR(IF(MARÍTIMOS[[#This Row],[Razón Social]]="","",MARÍTIMOS[[#This Row],[Razón Social]]),"")</f>
        <v>VE SOLUCIONES LOGISTICAS SAC</v>
      </c>
      <c r="I405" s="53">
        <f>IFERROR(IF(MARÍTIMOS[[#This Row],[RUC]]="","",MARÍTIMOS[[#This Row],[RUC]]),"")</f>
        <v>20557679392</v>
      </c>
      <c r="J405" s="53" t="str">
        <f>IFERROR(IF(MARÍTIMOS[[#This Row],[Placa Tracto]]="","",MARÍTIMOS[[#This Row],[Placa Tracto]]),"")</f>
        <v>BFY936</v>
      </c>
      <c r="K405" s="53" t="str">
        <f>IFERROR(IF(MARÍTIMOS[[#This Row],[Placa Carreta]]="","",MARÍTIMOS[[#This Row],[Placa Carreta]]),"")</f>
        <v>AUQ-993</v>
      </c>
      <c r="L405" s="54" t="str">
        <f>IFERROR(IF(MARÍTIMOS[[#This Row],[Conductor]]="","",MARÍTIMOS[[#This Row],[Conductor]]),"")</f>
        <v>EDWIN JESUS ANTON MARIN</v>
      </c>
      <c r="M405" s="53" t="str">
        <f>IFERROR(IF(MARÍTIMOS[[#This Row],[Licencia]]="","",MARÍTIMOS[[#This Row],[Licencia]]),"")</f>
        <v>B005015762</v>
      </c>
      <c r="N405" s="53">
        <f>IFERROR(IF(MARÍTIMOS[[#This Row],[Número de Contacto]]="","",MARÍTIMOS[[#This Row],[Número de Contacto]]),"")</f>
        <v>0</v>
      </c>
      <c r="O405" s="55" t="str">
        <f>IFERROR(IF(MARÍTIMOS[[#This Row],[Booking|AWB|CRT]]="","",MARÍTIMOS[[#This Row],[Booking|AWB|CRT]]),"")</f>
        <v>PER9174386A</v>
      </c>
      <c r="P405" s="53" t="str">
        <f>IFERROR(IF(MARÍTIMOS[[#This Row],[Contenedor]]="","",MARÍTIMOS[[#This Row],[Contenedor]]),"")</f>
        <v>SEKU9385334</v>
      </c>
      <c r="Q405" s="53" t="str">
        <f>IFERROR(IF(MARÍTIMOS[[#This Row],[Puerto de Retiro]]="","",MARÍTIMOS[[#This Row],[Puerto de Retiro]]),"")</f>
        <v>PAITA</v>
      </c>
      <c r="R405" s="53" t="str">
        <f>IFERROR(IF(MARÍTIMOS[[#This Row],[Almacén de Retiro]]="","",MARÍTIMOS[[#This Row],[Almacén de Retiro]]),"")</f>
        <v>DPW</v>
      </c>
      <c r="S405" s="56">
        <f>IFERROR(IF(MARÍTIMOS[[#This Row],[Etapa Retiro - Cita]]="","",MARÍTIMOS[[#This Row],[Etapa Retiro - Cita]]),"")</f>
        <v>46241.583333333336</v>
      </c>
      <c r="T405" s="56">
        <f>IFERROR(IF(MARÍTIMOS[[#This Row],[Etapa Retiro - Llegada]]="","",MARÍTIMOS[[#This Row],[Etapa Retiro - Llegada]]),"")</f>
        <v>46241.601388888892</v>
      </c>
      <c r="U405" s="56">
        <f>IFERROR(IF(MARÍTIMOS[[#This Row],[Etapa Retiro - Ingreso]]="","",MARÍTIMOS[[#This Row],[Etapa Retiro - Ingreso]]),"")</f>
        <v>46241.636111111111</v>
      </c>
      <c r="V405" s="56">
        <f>IFERROR(IF(MARÍTIMOS[[#This Row],[Etapa Retiro - Atención]]="","",MARÍTIMOS[[#This Row],[Etapa Retiro - Atención]]),"")</f>
        <v>46241.660416666666</v>
      </c>
      <c r="W405" s="56">
        <f>IFERROR(IF(MARÍTIMOS[[#This Row],[Etapa Retiro - Atención]]="","",MARÍTIMOS[[#This Row],[Etapa Retiro - Atención]]),"")</f>
        <v>46241.660416666666</v>
      </c>
      <c r="X405" s="56">
        <f>IFERROR(IF(MARÍTIMOS[[#This Row],[Etapa Retiro - Inicio de Ruta]]="","",MARÍTIMOS[[#This Row],[Etapa Retiro - Inicio de Ruta]]),"")</f>
        <v>46241.683333333334</v>
      </c>
      <c r="Y405" s="56">
        <f>IFERROR(IF(MARÍTIMOS[[#This Row],[Hora de Posicionamiento]]="","",MARÍTIMOS[[#This Row],[Fecha de Carga]]+MARÍTIMOS[[#This Row],[Hora de Posicionamiento]]),"")</f>
        <v>46242.5</v>
      </c>
      <c r="Z405" s="56">
        <f>IFERROR(IF(MARÍTIMOS[[#This Row],[Etapa Despacho - Llegada]]="","",MARÍTIMOS[[#This Row],[Etapa Despacho - Llegada]]),"")</f>
        <v>46242.493750000001</v>
      </c>
      <c r="AA405" s="56">
        <f>IFERROR(IF(MARÍTIMOS[[#This Row],[Etapa Despacho - Registro]]="","",MARÍTIMOS[[#This Row],[Etapa Despacho - Registro]]),"")</f>
        <v>46242.500694444447</v>
      </c>
      <c r="AB405" s="56">
        <f>IFERROR(IF(MARÍTIMOS[[#This Row],[Inspección Externa]]="","",MARÍTIMOS[[#This Row],[Inspección Externa]]),"")</f>
        <v>46242.5</v>
      </c>
      <c r="AC405" s="56">
        <f>IFERROR(IF(MARÍTIMOS[[#This Row],[Etapa Despacho - Inicio de Carga]]="","",MARÍTIMOS[[#This Row],[Etapa Despacho - Inicio de Carga]]),"")</f>
        <v>46242.708333333336</v>
      </c>
      <c r="AD405" s="56" t="str">
        <f>IFERROR(IF(MARÍTIMOS[[#This Row],[Etapa Despacho - Mitad de Carga]]="","",MARÍTIMOS[[#This Row],[Etapa Despacho - Mitad de Carga]]),"")</f>
        <v/>
      </c>
      <c r="AE405" s="56">
        <f>IFERROR(IF(MARÍTIMOS[[#This Row],[Etapa Despacho - Fin de Carga]]="","",MARÍTIMOS[[#This Row],[Etapa Despacho - Fin de Carga]]),"")</f>
        <v>46242.8125</v>
      </c>
      <c r="AF405" s="53" t="str">
        <f>IFERROR(IF(MARÍTIMOS[[#This Row],[Puerto de Embarque]]="","",MARÍTIMOS[[#This Row],[Puerto de Embarque]]),"")</f>
        <v>Paita</v>
      </c>
      <c r="AG405" s="53" t="str">
        <f>IFERROR(IF(MARÍTIMOS[[#This Row],[Almacén de Ingreso]]="","",MARÍTIMOS[[#This Row],[Almacén de Ingreso]]),"")</f>
        <v>TPE</v>
      </c>
      <c r="AH405" s="56">
        <f>IFERROR(IF(MARÍTIMOS[[#This Row],[Etapa Ingreso - Cita]]="","",MARÍTIMOS[[#This Row],[Etapa Ingreso - Cita]]),"")</f>
        <v>46243.625</v>
      </c>
      <c r="AI405" s="56">
        <f>IFERROR(IF(MARÍTIMOS[[#This Row],[Etapa Ingreso - Llegada]]="","",MARÍTIMOS[[#This Row],[Etapa Ingreso - Llegada]]),"")</f>
        <v>46243.521527777775</v>
      </c>
      <c r="AJ405" s="56">
        <f>IFERROR(IF(MARÍTIMOS[[#This Row],[Etapa Ingreso - Ingeso]]="","",MARÍTIMOS[[#This Row],[Etapa Ingreso - Ingeso]]),"")</f>
        <v>46243.590277777781</v>
      </c>
      <c r="AK405" s="56">
        <f>IFERROR(IF(MARÍTIMOS[[#This Row],[Etapa Ingreso - Atención]]="","",MARÍTIMOS[[#This Row],[Etapa Ingreso - Atención]]),"")</f>
        <v>46243.591666666667</v>
      </c>
      <c r="AL405" s="56">
        <f>IFERROR(IF(MARÍTIMOS[[#This Row],[Etapa Ingreso - Salida]]="","",MARÍTIMOS[[#This Row],[Etapa Ingreso - Salida]]),"")</f>
        <v>46243.602777777778</v>
      </c>
      <c r="AM405" s="53">
        <f>IFERROR(IF(MARÍTIMOS[[#This Row],[FCL]]="","",MARÍTIMOS[[#This Row],[FCL]]),"")</f>
        <v>1</v>
      </c>
      <c r="AN405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5" s="4" t="str" cm="1">
        <f t="array" ref="AO4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5" s="6">
        <f>IFERROR(OLDBD[[#This Row],[Llegada a packing]]-OLDBD[[#This Row],[Inicio de Ruta]],"")</f>
        <v>0.81041666666715173</v>
      </c>
      <c r="AQ405" s="6">
        <f>IFERROR(OLDBD[[#This Row],[Inicio de Ruta]]-OLDBD[[#This Row],[Salida de almacén de retiro]],"")</f>
        <v>2.2916666668606922E-2</v>
      </c>
      <c r="AR405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05" s="8" t="str" cm="1">
        <f t="array" ref="AS4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HIGH DETENTION</v>
      </c>
      <c r="AT4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05" s="9">
        <f>IFERROR(OLDBD[[#This Row],[Ingreso Packing]]-OLDBD[[#This Row],[Registro en Packing]],"")</f>
        <v>-6.944444467080757E-4</v>
      </c>
      <c r="AV405" s="9">
        <f>IFERROR(OLDBD[[#This Row],[Ingreso Packing]]-OLDBD[[#This Row],[Llegada a packing]],"")</f>
        <v>6.2499999985448085E-3</v>
      </c>
      <c r="AW4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5" s="6">
        <f>IFERROR(OLDBD[[#This Row],[Llegada Almacén de Ingreso]]-OLDBD[[#This Row],[Salida Packing]],"")</f>
        <v>0.70902777777519077</v>
      </c>
      <c r="AY405" s="4" t="str" cm="1">
        <f t="array" ref="AY4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405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5" s="58" t="s">
        <v>173</v>
      </c>
      <c r="BB405" s="59" t="str">
        <f>IFERROR(IF(MARÍTIMOS[[#This Row],[Estatus]]="","",MARÍTIMOS[[#This Row],[Estatus]]),"")</f>
        <v>Confirmado</v>
      </c>
      <c r="BC405" s="58"/>
      <c r="BD405" s="60">
        <f>IFERROR(OLDBD[[#This Row],[Salida de almacén de retiro]]-OLDBD[[#This Row],[Ingreso Almacén de retiro]],"")</f>
        <v>2.4305555554747116E-2</v>
      </c>
      <c r="BE405" s="60" t="str">
        <f>IFERROR(OLDBD[[#This Row],[Fin de Carga]]-OLDBD[[#This Row],[Inicio de Carga]],"")</f>
        <v/>
      </c>
    </row>
    <row r="406" spans="1:57" hidden="1">
      <c r="A406" s="52"/>
      <c r="B406" s="52">
        <f>IFERROR(IF(MARÍTIMOS[[#This Row],[PP]]="","",MARÍTIMOS[[#This Row],[PP]]),"")</f>
        <v>32</v>
      </c>
      <c r="C406" s="52" t="str">
        <f>IFERROR(IF(MARÍTIMOS[[#This Row],[Sede]]="","",MARÍTIMOS[[#This Row],[Sede]]),"")</f>
        <v>Chao</v>
      </c>
      <c r="D406" s="52" t="str">
        <f>IFERROR(IF(MARÍTIMOS[[#This Row],[Instruction]]="","",MARÍTIMOS[[#This Row],[Instruction]]),"")</f>
        <v>RH-0459</v>
      </c>
      <c r="E406" s="52"/>
      <c r="F406" s="53" t="str">
        <f>IFERROR(IF(MARÍTIMOS[[#This Row],[Transportista]]="","",MARÍTIMOS[[#This Row],[Transportista]]),"")</f>
        <v>VESL</v>
      </c>
      <c r="G406" s="53" t="str">
        <f>IFERROR(IF(MARÍTIMOS[[#This Row],[Tercero]]="","",MARÍTIMOS[[#This Row],[Tercero]]),"")</f>
        <v>SI</v>
      </c>
      <c r="H406" s="53" t="str">
        <f>IFERROR(IF(MARÍTIMOS[[#This Row],[Razón Social]]="","",MARÍTIMOS[[#This Row],[Razón Social]]),"")</f>
        <v>RAMONA ISOLDA ALVAREZ VALDIVIEZO DE CORONADO</v>
      </c>
      <c r="I406" s="53">
        <f>IFERROR(IF(MARÍTIMOS[[#This Row],[RUC]]="","",MARÍTIMOS[[#This Row],[RUC]]),"")</f>
        <v>10035034264</v>
      </c>
      <c r="J406" s="53" t="str">
        <f>IFERROR(IF(MARÍTIMOS[[#This Row],[Placa Tracto]]="","",MARÍTIMOS[[#This Row],[Placa Tracto]]),"")</f>
        <v>T4E915</v>
      </c>
      <c r="K406" s="53" t="str">
        <f>IFERROR(IF(MARÍTIMOS[[#This Row],[Placa Carreta]]="","",MARÍTIMOS[[#This Row],[Placa Carreta]]),"")</f>
        <v>M4D982</v>
      </c>
      <c r="L406" s="54" t="str">
        <f>IFERROR(IF(MARÍTIMOS[[#This Row],[Conductor]]="","",MARÍTIMOS[[#This Row],[Conductor]]),"")</f>
        <v>JOSÉ PAUL MOGOLLÓN ESTRADA</v>
      </c>
      <c r="M406" s="53" t="str">
        <f>IFERROR(IF(MARÍTIMOS[[#This Row],[Licencia]]="","",MARÍTIMOS[[#This Row],[Licencia]]),"")</f>
        <v>B40896761</v>
      </c>
      <c r="N406" s="53">
        <f>IFERROR(IF(MARÍTIMOS[[#This Row],[Número de Contacto]]="","",MARÍTIMOS[[#This Row],[Número de Contacto]]),"")</f>
        <v>0</v>
      </c>
      <c r="O406" s="55" t="str">
        <f>IFERROR(IF(MARÍTIMOS[[#This Row],[Booking|AWB|CRT]]="","",MARÍTIMOS[[#This Row],[Booking|AWB|CRT]]),"")</f>
        <v>PER9174390A</v>
      </c>
      <c r="P406" s="53" t="str">
        <f>IFERROR(IF(MARÍTIMOS[[#This Row],[Contenedor]]="","",MARÍTIMOS[[#This Row],[Contenedor]]),"")</f>
        <v>BEAU9707368</v>
      </c>
      <c r="Q406" s="53" t="str">
        <f>IFERROR(IF(MARÍTIMOS[[#This Row],[Puerto de Retiro]]="","",MARÍTIMOS[[#This Row],[Puerto de Retiro]]),"")</f>
        <v>PAITA</v>
      </c>
      <c r="R406" s="53" t="str">
        <f>IFERROR(IF(MARÍTIMOS[[#This Row],[Almacén de Retiro]]="","",MARÍTIMOS[[#This Row],[Almacén de Retiro]]),"")</f>
        <v>DPW</v>
      </c>
      <c r="S406" s="56">
        <f>IFERROR(IF(MARÍTIMOS[[#This Row],[Etapa Retiro - Cita]]="","",MARÍTIMOS[[#This Row],[Etapa Retiro - Cita]]),"")</f>
        <v>46241.666666666664</v>
      </c>
      <c r="T406" s="56">
        <f>IFERROR(IF(MARÍTIMOS[[#This Row],[Etapa Retiro - Llegada]]="","",MARÍTIMOS[[#This Row],[Etapa Retiro - Llegada]]),"")</f>
        <v>46241.656944444447</v>
      </c>
      <c r="U406" s="56">
        <f>IFERROR(IF(MARÍTIMOS[[#This Row],[Etapa Retiro - Ingreso]]="","",MARÍTIMOS[[#This Row],[Etapa Retiro - Ingreso]]),"")</f>
        <v>46241.679166666669</v>
      </c>
      <c r="V406" s="56">
        <f>IFERROR(IF(MARÍTIMOS[[#This Row],[Etapa Retiro - Atención]]="","",MARÍTIMOS[[#This Row],[Etapa Retiro - Atención]]),"")</f>
        <v>46241.688194444447</v>
      </c>
      <c r="W406" s="56">
        <f>IFERROR(IF(MARÍTIMOS[[#This Row],[Etapa Retiro - Atención]]="","",MARÍTIMOS[[#This Row],[Etapa Retiro - Atención]]),"")</f>
        <v>46241.688194444447</v>
      </c>
      <c r="X406" s="56">
        <f>IFERROR(IF(MARÍTIMOS[[#This Row],[Etapa Retiro - Inicio de Ruta]]="","",MARÍTIMOS[[#This Row],[Etapa Retiro - Inicio de Ruta]]),"")</f>
        <v>46241.758333333331</v>
      </c>
      <c r="Y406" s="56">
        <f>IFERROR(IF(MARÍTIMOS[[#This Row],[Hora de Posicionamiento]]="","",MARÍTIMOS[[#This Row],[Fecha de Carga]]+MARÍTIMOS[[#This Row],[Hora de Posicionamiento]]),"")</f>
        <v>46242.5</v>
      </c>
      <c r="Z406" s="56">
        <f>IFERROR(IF(MARÍTIMOS[[#This Row],[Etapa Despacho - Llegada]]="","",MARÍTIMOS[[#This Row],[Etapa Despacho - Llegada]]),"")</f>
        <v>46242.413194444445</v>
      </c>
      <c r="AA406" s="56">
        <f>IFERROR(IF(MARÍTIMOS[[#This Row],[Etapa Despacho - Registro]]="","",MARÍTIMOS[[#This Row],[Etapa Despacho - Registro]]),"")</f>
        <v>46242.420138888891</v>
      </c>
      <c r="AB406" s="56">
        <f>IFERROR(IF(MARÍTIMOS[[#This Row],[Inspección Externa]]="","",MARÍTIMOS[[#This Row],[Inspección Externa]]),"")</f>
        <v>46242.454861111109</v>
      </c>
      <c r="AC406" s="56">
        <f>IFERROR(IF(MARÍTIMOS[[#This Row],[Etapa Despacho - Inicio de Carga]]="","",MARÍTIMOS[[#This Row],[Etapa Despacho - Inicio de Carga]]),"")</f>
        <v>46242.831250000003</v>
      </c>
      <c r="AD406" s="56" t="str">
        <f>IFERROR(IF(MARÍTIMOS[[#This Row],[Etapa Despacho - Mitad de Carga]]="","",MARÍTIMOS[[#This Row],[Etapa Despacho - Mitad de Carga]]),"")</f>
        <v/>
      </c>
      <c r="AE406" s="56">
        <f>IFERROR(IF(MARÍTIMOS[[#This Row],[Etapa Despacho - Fin de Carga]]="","",MARÍTIMOS[[#This Row],[Etapa Despacho - Fin de Carga]]),"")</f>
        <v>46242.864583333336</v>
      </c>
      <c r="AF406" s="53" t="str">
        <f>IFERROR(IF(MARÍTIMOS[[#This Row],[Puerto de Embarque]]="","",MARÍTIMOS[[#This Row],[Puerto de Embarque]]),"")</f>
        <v>Paita</v>
      </c>
      <c r="AG406" s="53" t="str">
        <f>IFERROR(IF(MARÍTIMOS[[#This Row],[Almacén de Ingreso]]="","",MARÍTIMOS[[#This Row],[Almacén de Ingreso]]),"")</f>
        <v>TPE</v>
      </c>
      <c r="AH406" s="56">
        <f>IFERROR(IF(MARÍTIMOS[[#This Row],[Etapa Ingreso - Cita]]="","",MARÍTIMOS[[#This Row],[Etapa Ingreso - Cita]]),"")</f>
        <v>46244</v>
      </c>
      <c r="AI406" s="56">
        <f>IFERROR(IF(MARÍTIMOS[[#This Row],[Etapa Ingreso - Llegada]]="","",MARÍTIMOS[[#This Row],[Etapa Ingreso - Llegada]]),"")</f>
        <v>46243.936805555553</v>
      </c>
      <c r="AJ406" s="56">
        <f>IFERROR(IF(MARÍTIMOS[[#This Row],[Etapa Ingreso - Ingeso]]="","",MARÍTIMOS[[#This Row],[Etapa Ingreso - Ingeso]]),"")</f>
        <v>46243.932638888888</v>
      </c>
      <c r="AK406" s="56">
        <f>IFERROR(IF(MARÍTIMOS[[#This Row],[Etapa Ingreso - Atención]]="","",MARÍTIMOS[[#This Row],[Etapa Ingreso - Atención]]),"")</f>
        <v>46243.947222222225</v>
      </c>
      <c r="AL406" s="56">
        <f>IFERROR(IF(MARÍTIMOS[[#This Row],[Etapa Ingreso - Salida]]="","",MARÍTIMOS[[#This Row],[Etapa Ingreso - Salida]]),"")</f>
        <v>46243.953472222223</v>
      </c>
      <c r="AM406" s="53">
        <f>IFERROR(IF(MARÍTIMOS[[#This Row],[FCL]]="","",MARÍTIMOS[[#This Row],[FCL]]),"")</f>
        <v>1</v>
      </c>
      <c r="AN406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6" s="4" t="str" cm="1">
        <f t="array" ref="AO4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6" s="6">
        <f>IFERROR(OLDBD[[#This Row],[Llegada a packing]]-OLDBD[[#This Row],[Inicio de Ruta]],"")</f>
        <v>0.65486111111385981</v>
      </c>
      <c r="AQ406" s="6">
        <f>IFERROR(OLDBD[[#This Row],[Inicio de Ruta]]-OLDBD[[#This Row],[Salida de almacén de retiro]],"")</f>
        <v>7.0138888884685002E-2</v>
      </c>
      <c r="AR406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06" s="8" t="str" cm="1">
        <f t="array" ref="AS4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CRITICAL DETENTION</v>
      </c>
      <c r="AT4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06" s="9">
        <f>IFERROR(OLDBD[[#This Row],[Ingreso Packing]]-OLDBD[[#This Row],[Registro en Packing]],"")</f>
        <v>3.4722222218988463E-2</v>
      </c>
      <c r="AV406" s="9">
        <f>IFERROR(OLDBD[[#This Row],[Ingreso Packing]]-OLDBD[[#This Row],[Llegada a packing]],"")</f>
        <v>4.1666666664241347E-2</v>
      </c>
      <c r="AW4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6" s="6">
        <f>IFERROR(OLDBD[[#This Row],[Llegada Almacén de Ingreso]]-OLDBD[[#This Row],[Salida Packing]],"")</f>
        <v>1.0722222222175333</v>
      </c>
      <c r="AY406" s="4" t="str" cm="1">
        <f t="array" ref="AY4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6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6" s="58" t="s">
        <v>173</v>
      </c>
      <c r="BB406" s="59" t="str">
        <f>IFERROR(IF(MARÍTIMOS[[#This Row],[Estatus]]="","",MARÍTIMOS[[#This Row],[Estatus]]),"")</f>
        <v>Confirmado</v>
      </c>
      <c r="BC406" s="58"/>
      <c r="BD406" s="60">
        <f>IFERROR(OLDBD[[#This Row],[Salida de almacén de retiro]]-OLDBD[[#This Row],[Ingreso Almacén de retiro]],"")</f>
        <v>9.0277777781011537E-3</v>
      </c>
      <c r="BE406" s="60" t="str">
        <f>IFERROR(OLDBD[[#This Row],[Fin de Carga]]-OLDBD[[#This Row],[Inicio de Carga]],"")</f>
        <v/>
      </c>
    </row>
    <row r="407" spans="1:57" hidden="1">
      <c r="A407" s="52"/>
      <c r="B407" s="52">
        <f>IFERROR(IF(MARÍTIMOS[[#This Row],[PP]]="","",MARÍTIMOS[[#This Row],[PP]]),"")</f>
        <v>32</v>
      </c>
      <c r="C407" s="52" t="str">
        <f>IFERROR(IF(MARÍTIMOS[[#This Row],[Sede]]="","",MARÍTIMOS[[#This Row],[Sede]]),"")</f>
        <v>Chao</v>
      </c>
      <c r="D407" s="52" t="str">
        <f>IFERROR(IF(MARÍTIMOS[[#This Row],[Instruction]]="","",MARÍTIMOS[[#This Row],[Instruction]]),"")</f>
        <v>RH-0426</v>
      </c>
      <c r="E407" s="52"/>
      <c r="F407" s="53" t="str">
        <f>IFERROR(IF(MARÍTIMOS[[#This Row],[Transportista]]="","",MARÍTIMOS[[#This Row],[Transportista]]),"")</f>
        <v>VESL</v>
      </c>
      <c r="G407" s="53" t="str">
        <f>IFERROR(IF(MARÍTIMOS[[#This Row],[Tercero]]="","",MARÍTIMOS[[#This Row],[Tercero]]),"")</f>
        <v>NO</v>
      </c>
      <c r="H407" s="53" t="str">
        <f>IFERROR(IF(MARÍTIMOS[[#This Row],[Razón Social]]="","",MARÍTIMOS[[#This Row],[Razón Social]]),"")</f>
        <v>VE SOLUCIONES LOGISTICAS SAC</v>
      </c>
      <c r="I407" s="53">
        <f>IFERROR(IF(MARÍTIMOS[[#This Row],[RUC]]="","",MARÍTIMOS[[#This Row],[RUC]]),"")</f>
        <v>20557679392</v>
      </c>
      <c r="J407" s="53" t="str">
        <f>IFERROR(IF(MARÍTIMOS[[#This Row],[Placa Tracto]]="","",MARÍTIMOS[[#This Row],[Placa Tracto]]),"")</f>
        <v>BFY937</v>
      </c>
      <c r="K407" s="53" t="str">
        <f>IFERROR(IF(MARÍTIMOS[[#This Row],[Placa Carreta]]="","",MARÍTIMOS[[#This Row],[Placa Carreta]]),"")</f>
        <v>AUT-994</v>
      </c>
      <c r="L407" s="54" t="str">
        <f>IFERROR(IF(MARÍTIMOS[[#This Row],[Conductor]]="","",MARÍTIMOS[[#This Row],[Conductor]]),"")</f>
        <v>JOSE ALBERTO TROYA GONZALEZ</v>
      </c>
      <c r="M407" s="53" t="str">
        <f>IFERROR(IF(MARÍTIMOS[[#This Row],[Licencia]]="","",MARÍTIMOS[[#This Row],[Licencia]]),"")</f>
        <v>B005147608</v>
      </c>
      <c r="N407" s="53">
        <f>IFERROR(IF(MARÍTIMOS[[#This Row],[Número de Contacto]]="","",MARÍTIMOS[[#This Row],[Número de Contacto]]),"")</f>
        <v>0</v>
      </c>
      <c r="O407" s="55" t="str">
        <f>IFERROR(IF(MARÍTIMOS[[#This Row],[Booking|AWB|CRT]]="","",MARÍTIMOS[[#This Row],[Booking|AWB|CRT]]),"")</f>
        <v>PER9178557A</v>
      </c>
      <c r="P407" s="53" t="str">
        <f>IFERROR(IF(MARÍTIMOS[[#This Row],[Contenedor]]="","",MARÍTIMOS[[#This Row],[Contenedor]]),"")</f>
        <v>SEKU9374556</v>
      </c>
      <c r="Q407" s="53" t="str">
        <f>IFERROR(IF(MARÍTIMOS[[#This Row],[Puerto de Retiro]]="","",MARÍTIMOS[[#This Row],[Puerto de Retiro]]),"")</f>
        <v>PAITA</v>
      </c>
      <c r="R407" s="53" t="str">
        <f>IFERROR(IF(MARÍTIMOS[[#This Row],[Almacén de Retiro]]="","",MARÍTIMOS[[#This Row],[Almacén de Retiro]]),"")</f>
        <v>DPW</v>
      </c>
      <c r="S407" s="56">
        <f>IFERROR(IF(MARÍTIMOS[[#This Row],[Etapa Retiro - Cita]]="","",MARÍTIMOS[[#This Row],[Etapa Retiro - Cita]]),"")</f>
        <v>46242.458333333336</v>
      </c>
      <c r="T407" s="56">
        <f>IFERROR(IF(MARÍTIMOS[[#This Row],[Etapa Retiro - Llegada]]="","",MARÍTIMOS[[#This Row],[Etapa Retiro - Llegada]]),"")</f>
        <v>46242.461805555555</v>
      </c>
      <c r="U407" s="56">
        <f>IFERROR(IF(MARÍTIMOS[[#This Row],[Etapa Retiro - Ingreso]]="","",MARÍTIMOS[[#This Row],[Etapa Retiro - Ingreso]]),"")</f>
        <v>46242.465277777781</v>
      </c>
      <c r="V407" s="56">
        <f>IFERROR(IF(MARÍTIMOS[[#This Row],[Etapa Retiro - Atención]]="","",MARÍTIMOS[[#This Row],[Etapa Retiro - Atención]]),"")</f>
        <v>46242.472222222219</v>
      </c>
      <c r="W407" s="56">
        <f>IFERROR(IF(MARÍTIMOS[[#This Row],[Etapa Retiro - Atención]]="","",MARÍTIMOS[[#This Row],[Etapa Retiro - Atención]]),"")</f>
        <v>46242.472222222219</v>
      </c>
      <c r="X407" s="56">
        <f>IFERROR(IF(MARÍTIMOS[[#This Row],[Etapa Retiro - Inicio de Ruta]]="","",MARÍTIMOS[[#This Row],[Etapa Retiro - Inicio de Ruta]]),"")</f>
        <v>46242.53402777778</v>
      </c>
      <c r="Y407" s="56">
        <f>IFERROR(IF(MARÍTIMOS[[#This Row],[Hora de Posicionamiento]]="","",MARÍTIMOS[[#This Row],[Fecha de Carga]]+MARÍTIMOS[[#This Row],[Hora de Posicionamiento]]),"")</f>
        <v>46243.583333333336</v>
      </c>
      <c r="Z407" s="56">
        <f>IFERROR(IF(MARÍTIMOS[[#This Row],[Etapa Despacho - Llegada]]="","",MARÍTIMOS[[#This Row],[Etapa Despacho - Llegada]]),"")</f>
        <v>46243.583333333336</v>
      </c>
      <c r="AA407" s="56">
        <f>IFERROR(IF(MARÍTIMOS[[#This Row],[Etapa Despacho - Registro]]="","",MARÍTIMOS[[#This Row],[Etapa Despacho - Registro]]),"")</f>
        <v>46243.586805555555</v>
      </c>
      <c r="AB407" s="56">
        <f>IFERROR(IF(MARÍTIMOS[[#This Row],[Inspección Externa]]="","",MARÍTIMOS[[#This Row],[Inspección Externa]]),"")</f>
        <v>46243.604166666664</v>
      </c>
      <c r="AC407" s="56">
        <f>IFERROR(IF(MARÍTIMOS[[#This Row],[Etapa Despacho - Inicio de Carga]]="","",MARÍTIMOS[[#This Row],[Etapa Despacho - Inicio de Carga]]),"")</f>
        <v>46243.6875</v>
      </c>
      <c r="AD407" s="56" t="str">
        <f>IFERROR(IF(MARÍTIMOS[[#This Row],[Etapa Despacho - Mitad de Carga]]="","",MARÍTIMOS[[#This Row],[Etapa Despacho - Mitad de Carga]]),"")</f>
        <v/>
      </c>
      <c r="AE407" s="56">
        <f>IFERROR(IF(MARÍTIMOS[[#This Row],[Etapa Despacho - Fin de Carga]]="","",MARÍTIMOS[[#This Row],[Etapa Despacho - Fin de Carga]]),"")</f>
        <v>46243.75</v>
      </c>
      <c r="AF407" s="53" t="str">
        <f>IFERROR(IF(MARÍTIMOS[[#This Row],[Puerto de Embarque]]="","",MARÍTIMOS[[#This Row],[Puerto de Embarque]]),"")</f>
        <v>Paita</v>
      </c>
      <c r="AG407" s="53" t="str">
        <f>IFERROR(IF(MARÍTIMOS[[#This Row],[Almacén de Ingreso]]="","",MARÍTIMOS[[#This Row],[Almacén de Ingreso]]),"")</f>
        <v>TPE</v>
      </c>
      <c r="AH407" s="56">
        <f>IFERROR(IF(MARÍTIMOS[[#This Row],[Etapa Ingreso - Cita]]="","",MARÍTIMOS[[#This Row],[Etapa Ingreso - Cita]]),"")</f>
        <v>46244.541666666664</v>
      </c>
      <c r="AI407" s="56">
        <f>IFERROR(IF(MARÍTIMOS[[#This Row],[Etapa Ingreso - Llegada]]="","",MARÍTIMOS[[#This Row],[Etapa Ingreso - Llegada]]),"")</f>
        <v>46244.48541666667</v>
      </c>
      <c r="AJ407" s="56">
        <f>IFERROR(IF(MARÍTIMOS[[#This Row],[Etapa Ingreso - Ingeso]]="","",MARÍTIMOS[[#This Row],[Etapa Ingreso - Ingeso]]),"")</f>
        <v>46244.484027777777</v>
      </c>
      <c r="AK407" s="56">
        <f>IFERROR(IF(MARÍTIMOS[[#This Row],[Etapa Ingreso - Atención]]="","",MARÍTIMOS[[#This Row],[Etapa Ingreso - Atención]]),"")</f>
        <v>46244.486111111109</v>
      </c>
      <c r="AL407" s="56">
        <f>IFERROR(IF(MARÍTIMOS[[#This Row],[Etapa Ingreso - Salida]]="","",MARÍTIMOS[[#This Row],[Etapa Ingreso - Salida]]),"")</f>
        <v>46244.492361111108</v>
      </c>
      <c r="AM407" s="53">
        <f>IFERROR(IF(MARÍTIMOS[[#This Row],[FCL]]="","",MARÍTIMOS[[#This Row],[FCL]]),"")</f>
        <v>1</v>
      </c>
      <c r="AN407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7" s="4" t="str" cm="1">
        <f t="array" ref="AO4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7" s="6">
        <f>IFERROR(OLDBD[[#This Row],[Llegada a packing]]-OLDBD[[#This Row],[Inicio de Ruta]],"")</f>
        <v>1.0493055555562023</v>
      </c>
      <c r="AQ407" s="6">
        <f>IFERROR(OLDBD[[#This Row],[Inicio de Ruta]]-OLDBD[[#This Row],[Salida de almacén de retiro]],"")</f>
        <v>6.1805555560567882E-2</v>
      </c>
      <c r="AR407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07" s="8" t="str" cm="1">
        <f t="array" ref="AS4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07" s="9">
        <f>IFERROR(OLDBD[[#This Row],[Ingreso Packing]]-OLDBD[[#This Row],[Registro en Packing]],"")</f>
        <v>1.7361111109494232E-2</v>
      </c>
      <c r="AV407" s="9">
        <f>IFERROR(OLDBD[[#This Row],[Ingreso Packing]]-OLDBD[[#This Row],[Llegada a packing]],"")</f>
        <v>2.0833333328482695E-2</v>
      </c>
      <c r="AW4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7" s="6">
        <f>IFERROR(OLDBD[[#This Row],[Llegada Almacén de Ingreso]]-OLDBD[[#This Row],[Salida Packing]],"")</f>
        <v>0.73541666667006211</v>
      </c>
      <c r="AY407" s="4" t="str" cm="1">
        <f t="array" ref="AY4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7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7" s="58" t="s">
        <v>173</v>
      </c>
      <c r="BB407" s="59" t="str">
        <f>IFERROR(IF(MARÍTIMOS[[#This Row],[Estatus]]="","",MARÍTIMOS[[#This Row],[Estatus]]),"")</f>
        <v>Confirmado</v>
      </c>
      <c r="BC407" s="58"/>
      <c r="BD407" s="60">
        <f>IFERROR(OLDBD[[#This Row],[Salida de almacén de retiro]]-OLDBD[[#This Row],[Ingreso Almacén de retiro]],"")</f>
        <v>6.9444444379769266E-3</v>
      </c>
      <c r="BE407" s="60" t="str">
        <f>IFERROR(OLDBD[[#This Row],[Fin de Carga]]-OLDBD[[#This Row],[Inicio de Carga]],"")</f>
        <v/>
      </c>
    </row>
    <row r="408" spans="1:57" hidden="1">
      <c r="A408" s="52"/>
      <c r="B408" s="52">
        <f>IFERROR(IF(MARÍTIMOS[[#This Row],[PP]]="","",MARÍTIMOS[[#This Row],[PP]]),"")</f>
        <v>33</v>
      </c>
      <c r="C408" s="52" t="str">
        <f>IFERROR(IF(MARÍTIMOS[[#This Row],[Sede]]="","",MARÍTIMOS[[#This Row],[Sede]]),"")</f>
        <v>Chao</v>
      </c>
      <c r="D408" s="52" t="str">
        <f>IFERROR(IF(MARÍTIMOS[[#This Row],[Instruction]]="","",MARÍTIMOS[[#This Row],[Instruction]]),"")</f>
        <v>RH-0503</v>
      </c>
      <c r="E408" s="52"/>
      <c r="F408" s="53" t="str">
        <f>IFERROR(IF(MARÍTIMOS[[#This Row],[Transportista]]="","",MARÍTIMOS[[#This Row],[Transportista]]),"")</f>
        <v>VESL</v>
      </c>
      <c r="G408" s="53" t="str">
        <f>IFERROR(IF(MARÍTIMOS[[#This Row],[Tercero]]="","",MARÍTIMOS[[#This Row],[Tercero]]),"")</f>
        <v>NO</v>
      </c>
      <c r="H408" s="53" t="str">
        <f>IFERROR(IF(MARÍTIMOS[[#This Row],[Razón Social]]="","",MARÍTIMOS[[#This Row],[Razón Social]]),"")</f>
        <v>VE SOLUCIONES LOGISTICAS SAC</v>
      </c>
      <c r="I408" s="53">
        <f>IFERROR(IF(MARÍTIMOS[[#This Row],[RUC]]="","",MARÍTIMOS[[#This Row],[RUC]]),"")</f>
        <v>20557679392</v>
      </c>
      <c r="J408" s="53" t="str">
        <f>IFERROR(IF(MARÍTIMOS[[#This Row],[Placa Tracto]]="","",MARÍTIMOS[[#This Row],[Placa Tracto]]),"")</f>
        <v>BAV867</v>
      </c>
      <c r="K408" s="53" t="str">
        <f>IFERROR(IF(MARÍTIMOS[[#This Row],[Placa Carreta]]="","",MARÍTIMOS[[#This Row],[Placa Carreta]]),"")</f>
        <v>F5V-990</v>
      </c>
      <c r="L408" s="54" t="str">
        <f>IFERROR(IF(MARÍTIMOS[[#This Row],[Conductor]]="","",MARÍTIMOS[[#This Row],[Conductor]]),"")</f>
        <v>JESUS ALBERTO ZARRAGA ALVAREZ</v>
      </c>
      <c r="M408" s="53" t="str">
        <f>IFERROR(IF(MARÍTIMOS[[#This Row],[Licencia]]="","",MARÍTIMOS[[#This Row],[Licencia]]),"")</f>
        <v>B006469382</v>
      </c>
      <c r="N408" s="53">
        <f>IFERROR(IF(MARÍTIMOS[[#This Row],[Número de Contacto]]="","",MARÍTIMOS[[#This Row],[Número de Contacto]]),"")</f>
        <v>0</v>
      </c>
      <c r="O408" s="55" t="str">
        <f>IFERROR(IF(MARÍTIMOS[[#This Row],[Booking|AWB|CRT]]="","",MARÍTIMOS[[#This Row],[Booking|AWB|CRT]]),"")</f>
        <v>PER9184419A</v>
      </c>
      <c r="P408" s="53" t="str">
        <f>IFERROR(IF(MARÍTIMOS[[#This Row],[Contenedor]]="","",MARÍTIMOS[[#This Row],[Contenedor]]),"")</f>
        <v>GCXU8016937</v>
      </c>
      <c r="Q408" s="53" t="str">
        <f>IFERROR(IF(MARÍTIMOS[[#This Row],[Puerto de Retiro]]="","",MARÍTIMOS[[#This Row],[Puerto de Retiro]]),"")</f>
        <v>PAITA</v>
      </c>
      <c r="R408" s="53" t="str">
        <f>IFERROR(IF(MARÍTIMOS[[#This Row],[Almacén de Retiro]]="","",MARÍTIMOS[[#This Row],[Almacén de Retiro]]),"")</f>
        <v>DPW</v>
      </c>
      <c r="S408" s="56">
        <f>IFERROR(IF(MARÍTIMOS[[#This Row],[Etapa Retiro - Cita]]="","",MARÍTIMOS[[#This Row],[Etapa Retiro - Cita]]),"")</f>
        <v>46249.583333333336</v>
      </c>
      <c r="T408" s="56">
        <f>IFERROR(IF(MARÍTIMOS[[#This Row],[Etapa Retiro - Llegada]]="","",MARÍTIMOS[[#This Row],[Etapa Retiro - Llegada]]),"")</f>
        <v>46249.630555555559</v>
      </c>
      <c r="U408" s="56">
        <f>IFERROR(IF(MARÍTIMOS[[#This Row],[Etapa Retiro - Ingreso]]="","",MARÍTIMOS[[#This Row],[Etapa Retiro - Ingreso]]),"")</f>
        <v>46249.645138888889</v>
      </c>
      <c r="V408" s="56">
        <f>IFERROR(IF(MARÍTIMOS[[#This Row],[Etapa Retiro - Atención]]="","",MARÍTIMOS[[#This Row],[Etapa Retiro - Atención]]),"")</f>
        <v>46249.651388888888</v>
      </c>
      <c r="W408" s="56">
        <f>IFERROR(IF(MARÍTIMOS[[#This Row],[Etapa Retiro - Atención]]="","",MARÍTIMOS[[#This Row],[Etapa Retiro - Atención]]),"")</f>
        <v>46249.651388888888</v>
      </c>
      <c r="X408" s="56">
        <f>IFERROR(IF(MARÍTIMOS[[#This Row],[Etapa Retiro - Inicio de Ruta]]="","",MARÍTIMOS[[#This Row],[Etapa Retiro - Inicio de Ruta]]),"")</f>
        <v>46249.802083333336</v>
      </c>
      <c r="Y408" s="56">
        <f>IFERROR(IF(MARÍTIMOS[[#This Row],[Hora de Posicionamiento]]="","",MARÍTIMOS[[#This Row],[Fecha de Carga]]+MARÍTIMOS[[#This Row],[Hora de Posicionamiento]]),"")</f>
        <v>46250.666666666664</v>
      </c>
      <c r="Z408" s="56">
        <f>IFERROR(IF(MARÍTIMOS[[#This Row],[Etapa Despacho - Llegada]]="","",MARÍTIMOS[[#This Row],[Etapa Despacho - Llegada]]),"")</f>
        <v>46250.590277777781</v>
      </c>
      <c r="AA408" s="56">
        <f>IFERROR(IF(MARÍTIMOS[[#This Row],[Etapa Despacho - Registro]]="","",MARÍTIMOS[[#This Row],[Etapa Despacho - Registro]]),"")</f>
        <v>46250.592361111114</v>
      </c>
      <c r="AB408" s="56">
        <f>IFERROR(IF(MARÍTIMOS[[#This Row],[Inspección Externa]]="","",MARÍTIMOS[[#This Row],[Inspección Externa]]),"")</f>
        <v>46251.444444444445</v>
      </c>
      <c r="AC408" s="56">
        <f>IFERROR(IF(MARÍTIMOS[[#This Row],[Etapa Despacho - Inicio de Carga]]="","",MARÍTIMOS[[#This Row],[Etapa Despacho - Inicio de Carga]]),"")</f>
        <v>46250.678472222222</v>
      </c>
      <c r="AD408" s="56" t="str">
        <f>IFERROR(IF(MARÍTIMOS[[#This Row],[Etapa Despacho - Mitad de Carga]]="","",MARÍTIMOS[[#This Row],[Etapa Despacho - Mitad de Carga]]),"")</f>
        <v/>
      </c>
      <c r="AE408" s="56">
        <f>IFERROR(IF(MARÍTIMOS[[#This Row],[Etapa Despacho - Fin de Carga]]="","",MARÍTIMOS[[#This Row],[Etapa Despacho - Fin de Carga]]),"")</f>
        <v>46250.739583333336</v>
      </c>
      <c r="AF408" s="53" t="str">
        <f>IFERROR(IF(MARÍTIMOS[[#This Row],[Puerto de Embarque]]="","",MARÍTIMOS[[#This Row],[Puerto de Embarque]]),"")</f>
        <v>Paita</v>
      </c>
      <c r="AG408" s="53" t="str">
        <f>IFERROR(IF(MARÍTIMOS[[#This Row],[Almacén de Ingreso]]="","",MARÍTIMOS[[#This Row],[Almacén de Ingreso]]),"")</f>
        <v>TPE</v>
      </c>
      <c r="AH408" s="56">
        <f>IFERROR(IF(MARÍTIMOS[[#This Row],[Etapa Ingreso - Cita]]="","",MARÍTIMOS[[#This Row],[Etapa Ingreso - Cita]]),"")</f>
        <v>46251.625</v>
      </c>
      <c r="AI408" s="56">
        <f>IFERROR(IF(MARÍTIMOS[[#This Row],[Etapa Ingreso - Llegada]]="","",MARÍTIMOS[[#This Row],[Etapa Ingreso - Llegada]]),"")</f>
        <v>46251.578472222223</v>
      </c>
      <c r="AJ408" s="56">
        <f>IFERROR(IF(MARÍTIMOS[[#This Row],[Etapa Ingreso - Ingeso]]="","",MARÍTIMOS[[#This Row],[Etapa Ingreso - Ingeso]]),"")</f>
        <v>46251.579861111109</v>
      </c>
      <c r="AK408" s="56">
        <f>IFERROR(IF(MARÍTIMOS[[#This Row],[Etapa Ingreso - Atención]]="","",MARÍTIMOS[[#This Row],[Etapa Ingreso - Atención]]),"")</f>
        <v>-618491.5944444444</v>
      </c>
      <c r="AL408" s="56">
        <f>IFERROR(IF(MARÍTIMOS[[#This Row],[Etapa Ingreso - Salida]]="","",MARÍTIMOS[[#This Row],[Etapa Ingreso - Salida]]),"")</f>
        <v>46251.601388888892</v>
      </c>
      <c r="AM408" s="53">
        <f>IFERROR(IF(MARÍTIMOS[[#This Row],[FCL]]="","",MARÍTIMOS[[#This Row],[FCL]]),"")</f>
        <v>1</v>
      </c>
      <c r="AN408" s="57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8" s="4" t="str" cm="1">
        <f t="array" ref="AO4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8" s="6">
        <f>IFERROR(OLDBD[[#This Row],[Llegada a packing]]-OLDBD[[#This Row],[Inicio de Ruta]],"")</f>
        <v>0.78819444444525288</v>
      </c>
      <c r="AQ408" s="6">
        <f>IFERROR(OLDBD[[#This Row],[Inicio de Ruta]]-OLDBD[[#This Row],[Salida de almacén de retiro]],"")</f>
        <v>0.15069444444816327</v>
      </c>
      <c r="AR408" s="8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08" s="8" t="str" cm="1">
        <f t="array" ref="AS4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08" s="9">
        <f>IFERROR(OLDBD[[#This Row],[Ingreso Packing]]-OLDBD[[#This Row],[Registro en Packing]],"")</f>
        <v>0.85208333333139308</v>
      </c>
      <c r="AV408" s="9">
        <f>IFERROR(OLDBD[[#This Row],[Ingreso Packing]]-OLDBD[[#This Row],[Llegada a packing]],"")</f>
        <v>0.85416666666424135</v>
      </c>
      <c r="AW4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8" s="6">
        <f>IFERROR(OLDBD[[#This Row],[Llegada Almacén de Ingreso]]-OLDBD[[#This Row],[Salida Packing]],"")</f>
        <v>0.83888888888759539</v>
      </c>
      <c r="AY408" s="4" t="str" cm="1">
        <f t="array" ref="AY4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8" s="57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8" s="58" t="s">
        <v>173</v>
      </c>
      <c r="BB408" s="59" t="str">
        <f>IFERROR(IF(MARÍTIMOS[[#This Row],[Estatus]]="","",MARÍTIMOS[[#This Row],[Estatus]]),"")</f>
        <v>Confirmado</v>
      </c>
      <c r="BC408" s="58"/>
      <c r="BD408" s="60">
        <f>IFERROR(OLDBD[[#This Row],[Salida de almacén de retiro]]-OLDBD[[#This Row],[Ingreso Almacén de retiro]],"")</f>
        <v>6.2499999985448085E-3</v>
      </c>
      <c r="BE408" s="60" t="str">
        <f>IFERROR(OLDBD[[#This Row],[Fin de Carga]]-OLDBD[[#This Row],[Inicio de Carga]],"")</f>
        <v/>
      </c>
    </row>
    <row r="409" spans="1:57" customFormat="1" hidden="1">
      <c r="A409" s="1"/>
      <c r="B409" s="1">
        <f>IFERROR(IF(MARÍTIMOS[[#This Row],[PP]]="","",MARÍTIMOS[[#This Row],[PP]]),"")</f>
        <v>33</v>
      </c>
      <c r="C409" s="1" t="str">
        <f>IFERROR(IF(MARÍTIMOS[[#This Row],[Sede]]="","",MARÍTIMOS[[#This Row],[Sede]]),"")</f>
        <v>Chao</v>
      </c>
      <c r="D409" s="1" t="str">
        <f>IFERROR(IF(MARÍTIMOS[[#This Row],[Instruction]]="","",MARÍTIMOS[[#This Row],[Instruction]]),"")</f>
        <v>RH-0504</v>
      </c>
      <c r="E409" s="1"/>
      <c r="F409" s="2" t="str">
        <f>IFERROR(IF(MARÍTIMOS[[#This Row],[Transportista]]="","",MARÍTIMOS[[#This Row],[Transportista]]),"")</f>
        <v>VESL</v>
      </c>
      <c r="G409" s="2" t="str">
        <f>IFERROR(IF(MARÍTIMOS[[#This Row],[Tercero]]="","",MARÍTIMOS[[#This Row],[Tercero]]),"")</f>
        <v>NO</v>
      </c>
      <c r="H409" s="2" t="str">
        <f>IFERROR(IF(MARÍTIMOS[[#This Row],[Razón Social]]="","",MARÍTIMOS[[#This Row],[Razón Social]]),"")</f>
        <v>VE SOLUCIONES LOGISTICAS SAC</v>
      </c>
      <c r="I409" s="2">
        <f>IFERROR(IF(MARÍTIMOS[[#This Row],[RUC]]="","",MARÍTIMOS[[#This Row],[RUC]]),"")</f>
        <v>20557679392</v>
      </c>
      <c r="J409" s="2" t="str">
        <f>IFERROR(IF(MARÍTIMOS[[#This Row],[Placa Tracto]]="","",MARÍTIMOS[[#This Row],[Placa Tracto]]),"")</f>
        <v>AYP780</v>
      </c>
      <c r="K409" s="2" t="str">
        <f>IFERROR(IF(MARÍTIMOS[[#This Row],[Placa Carreta]]="","",MARÍTIMOS[[#This Row],[Placa Carreta]]),"")</f>
        <v>AUP993</v>
      </c>
      <c r="L409" s="44" t="str">
        <f>IFERROR(IF(MARÍTIMOS[[#This Row],[Conductor]]="","",MARÍTIMOS[[#This Row],[Conductor]]),"")</f>
        <v>JOSE ALEJANDRO NUÑEZ VILLEGAS</v>
      </c>
      <c r="M409" s="2" t="str">
        <f>IFERROR(IF(MARÍTIMOS[[#This Row],[Licencia]]="","",MARÍTIMOS[[#This Row],[Licencia]]),"")</f>
        <v>Q49028656</v>
      </c>
      <c r="N409" s="2">
        <f>IFERROR(IF(MARÍTIMOS[[#This Row],[Número de Contacto]]="","",MARÍTIMOS[[#This Row],[Número de Contacto]]),"")</f>
        <v>0</v>
      </c>
      <c r="O409" s="10" t="str">
        <f>IFERROR(IF(MARÍTIMOS[[#This Row],[Booking|AWB|CRT]]="","",MARÍTIMOS[[#This Row],[Booking|AWB|CRT]]),"")</f>
        <v>PER9184420A</v>
      </c>
      <c r="P409" s="2" t="str">
        <f>IFERROR(IF(MARÍTIMOS[[#This Row],[Contenedor]]="","",MARÍTIMOS[[#This Row],[Contenedor]]),"")</f>
        <v>SEKU9120079</v>
      </c>
      <c r="Q409" s="2" t="str">
        <f>IFERROR(IF(MARÍTIMOS[[#This Row],[Puerto de Retiro]]="","",MARÍTIMOS[[#This Row],[Puerto de Retiro]]),"")</f>
        <v>PAITA</v>
      </c>
      <c r="R409" s="2" t="str">
        <f>IFERROR(IF(MARÍTIMOS[[#This Row],[Almacén de Retiro]]="","",MARÍTIMOS[[#This Row],[Almacén de Retiro]]),"")</f>
        <v>DPW</v>
      </c>
      <c r="S409" s="11">
        <f>IFERROR(IF(MARÍTIMOS[[#This Row],[Etapa Retiro - Cita]]="","",MARÍTIMOS[[#This Row],[Etapa Retiro - Cita]]),"")</f>
        <v>46250.416666666664</v>
      </c>
      <c r="T409" s="11">
        <f>IFERROR(IF(MARÍTIMOS[[#This Row],[Etapa Retiro - Llegada]]="","",MARÍTIMOS[[#This Row],[Etapa Retiro - Llegada]]),"")</f>
        <v>46250.426388888889</v>
      </c>
      <c r="U409" s="11">
        <f>IFERROR(IF(MARÍTIMOS[[#This Row],[Etapa Retiro - Ingreso]]="","",MARÍTIMOS[[#This Row],[Etapa Retiro - Ingreso]]),"")</f>
        <v>46250.44027777778</v>
      </c>
      <c r="V409" s="11">
        <f>IFERROR(IF(MARÍTIMOS[[#This Row],[Etapa Retiro - Atención]]="","",MARÍTIMOS[[#This Row],[Etapa Retiro - Atención]]),"")</f>
        <v>46250.443055555559</v>
      </c>
      <c r="W409" s="11">
        <f>IFERROR(IF(MARÍTIMOS[[#This Row],[Etapa Retiro - Atención]]="","",MARÍTIMOS[[#This Row],[Etapa Retiro - Atención]]),"")</f>
        <v>46250.443055555559</v>
      </c>
      <c r="X409" s="11">
        <f>IFERROR(IF(MARÍTIMOS[[#This Row],[Etapa Retiro - Inicio de Ruta]]="","",MARÍTIMOS[[#This Row],[Etapa Retiro - Inicio de Ruta]]),"")</f>
        <v>46250.731249999997</v>
      </c>
      <c r="Y409" s="11">
        <f>IFERROR(IF(MARÍTIMOS[[#This Row],[Hora de Posicionamiento]]="","",MARÍTIMOS[[#This Row],[Fecha de Carga]]+MARÍTIMOS[[#This Row],[Hora de Posicionamiento]]),"")</f>
        <v>46251.583333333336</v>
      </c>
      <c r="Z409" s="11">
        <f>IFERROR(IF(MARÍTIMOS[[#This Row],[Etapa Despacho - Llegada]]="","",MARÍTIMOS[[#This Row],[Etapa Despacho - Llegada]]),"")</f>
        <v>46251.444444444445</v>
      </c>
      <c r="AA409" s="11">
        <f>IFERROR(IF(MARÍTIMOS[[#This Row],[Etapa Despacho - Registro]]="","",MARÍTIMOS[[#This Row],[Etapa Despacho - Registro]]),"")</f>
        <v>46251.446527777778</v>
      </c>
      <c r="AB409" s="11">
        <f>IFERROR(IF(MARÍTIMOS[[#This Row],[Inspección Externa]]="","",MARÍTIMOS[[#This Row],[Inspección Externa]]),"")</f>
        <v>46251.444444444445</v>
      </c>
      <c r="AC409" s="11">
        <f>IFERROR(IF(MARÍTIMOS[[#This Row],[Etapa Despacho - Inicio de Carga]]="","",MARÍTIMOS[[#This Row],[Etapa Despacho - Inicio de Carga]]),"")</f>
        <v>46251.590277777781</v>
      </c>
      <c r="AD409" s="11" t="str">
        <f>IFERROR(IF(MARÍTIMOS[[#This Row],[Etapa Despacho - Mitad de Carga]]="","",MARÍTIMOS[[#This Row],[Etapa Despacho - Mitad de Carga]]),"")</f>
        <v/>
      </c>
      <c r="AE409" s="11">
        <f>IFERROR(IF(MARÍTIMOS[[#This Row],[Etapa Despacho - Fin de Carga]]="","",MARÍTIMOS[[#This Row],[Etapa Despacho - Fin de Carga]]),"")</f>
        <v>46251.646527777775</v>
      </c>
      <c r="AF409" s="2" t="str">
        <f>IFERROR(IF(MARÍTIMOS[[#This Row],[Puerto de Embarque]]="","",MARÍTIMOS[[#This Row],[Puerto de Embarque]]),"")</f>
        <v>Paita</v>
      </c>
      <c r="AG409" s="2" t="str">
        <f>IFERROR(IF(MARÍTIMOS[[#This Row],[Almacén de Ingreso]]="","",MARÍTIMOS[[#This Row],[Almacén de Ingreso]]),"")</f>
        <v>TPE</v>
      </c>
      <c r="AH409" s="11">
        <f>IFERROR(IF(MARÍTIMOS[[#This Row],[Etapa Ingreso - Cita]]="","",MARÍTIMOS[[#This Row],[Etapa Ingreso - Cita]]),"")</f>
        <v>46252.416666666664</v>
      </c>
      <c r="AI409" s="11">
        <f>IFERROR(IF(MARÍTIMOS[[#This Row],[Etapa Ingreso - Llegada]]="","",MARÍTIMOS[[#This Row],[Etapa Ingreso - Llegada]]),"")</f>
        <v>46252.394444444442</v>
      </c>
      <c r="AJ409" s="11">
        <f>IFERROR(IF(MARÍTIMOS[[#This Row],[Etapa Ingreso - Ingeso]]="","",MARÍTIMOS[[#This Row],[Etapa Ingreso - Ingeso]]),"")</f>
        <v>46252.397916666669</v>
      </c>
      <c r="AK409" s="11">
        <f>IFERROR(IF(MARÍTIMOS[[#This Row],[Etapa Ingreso - Atención]]="","",MARÍTIMOS[[#This Row],[Etapa Ingreso - Atención]]),"")</f>
        <v>46252.399305555555</v>
      </c>
      <c r="AL409" s="11">
        <f>IFERROR(IF(MARÍTIMOS[[#This Row],[Etapa Ingreso - Salida]]="","",MARÍTIMOS[[#This Row],[Etapa Ingreso - Salida]]),"")</f>
        <v>46252.40347222222</v>
      </c>
      <c r="AM409" s="2">
        <f>IFERROR(IF(MARÍTIMOS[[#This Row],[FCL]]="","",MARÍTIMOS[[#This Row],[FCL]]),"")</f>
        <v>1</v>
      </c>
      <c r="AN4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09" s="4" t="str" cm="1">
        <f t="array" ref="AO4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09" s="5">
        <f>IFERROR(OLDBD[[#This Row],[Llegada a packing]]-OLDBD[[#This Row],[Inicio de Ruta]],"")</f>
        <v>0.71319444444816327</v>
      </c>
      <c r="AQ409" s="6">
        <f>IFERROR(OLDBD[[#This Row],[Inicio de Ruta]]-OLDBD[[#This Row],[Salida de almacén de retiro]],"")</f>
        <v>0.28819444443797693</v>
      </c>
      <c r="AR4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09" s="8" t="str" cm="1">
        <f t="array" ref="AS4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09" s="9">
        <f>IFERROR(OLDBD[[#This Row],[Ingreso Packing]]-OLDBD[[#This Row],[Registro en Packing]],"")</f>
        <v>-2.0833333328482695E-3</v>
      </c>
      <c r="AV409" s="9">
        <f>IFERROR(OLDBD[[#This Row],[Ingreso Packing]]-OLDBD[[#This Row],[Llegada a packing]],"")</f>
        <v>0</v>
      </c>
      <c r="AW4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09" s="5">
        <f>IFERROR(OLDBD[[#This Row],[Llegada Almacén de Ingreso]]-OLDBD[[#This Row],[Salida Packing]],"")</f>
        <v>0.74791666666715173</v>
      </c>
      <c r="AY409" s="4" t="str" cm="1">
        <f t="array" ref="AY4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09" s="43" t="s">
        <v>173</v>
      </c>
      <c r="BB409" s="47" t="str">
        <f>IFERROR(IF(MARÍTIMOS[[#This Row],[Estatus]]="","",MARÍTIMOS[[#This Row],[Estatus]]),"")</f>
        <v>Confirmado</v>
      </c>
      <c r="BC409" s="43"/>
      <c r="BD409" s="46">
        <f>IFERROR(OLDBD[[#This Row],[Salida de almacén de retiro]]-OLDBD[[#This Row],[Ingreso Almacén de retiro]],"")</f>
        <v>2.7777777795563452E-3</v>
      </c>
      <c r="BE409" s="46" t="str">
        <f>IFERROR(OLDBD[[#This Row],[Fin de Carga]]-OLDBD[[#This Row],[Inicio de Carga]],"")</f>
        <v/>
      </c>
    </row>
    <row r="410" spans="1:57" customFormat="1" hidden="1">
      <c r="A410" s="1"/>
      <c r="B410" s="1">
        <f>IFERROR(IF(MARÍTIMOS[[#This Row],[PP]]="","",MARÍTIMOS[[#This Row],[PP]]),"")</f>
        <v>33</v>
      </c>
      <c r="C410" s="1" t="str">
        <f>IFERROR(IF(MARÍTIMOS[[#This Row],[Sede]]="","",MARÍTIMOS[[#This Row],[Sede]]),"")</f>
        <v>Chao</v>
      </c>
      <c r="D410" s="1" t="str">
        <f>IFERROR(IF(MARÍTIMOS[[#This Row],[Instruction]]="","",MARÍTIMOS[[#This Row],[Instruction]]),"")</f>
        <v>RH-0505</v>
      </c>
      <c r="E410" s="1"/>
      <c r="F410" s="2" t="str">
        <f>IFERROR(IF(MARÍTIMOS[[#This Row],[Transportista]]="","",MARÍTIMOS[[#This Row],[Transportista]]),"")</f>
        <v>VESL</v>
      </c>
      <c r="G410" s="2" t="str">
        <f>IFERROR(IF(MARÍTIMOS[[#This Row],[Tercero]]="","",MARÍTIMOS[[#This Row],[Tercero]]),"")</f>
        <v>NO</v>
      </c>
      <c r="H410" s="2" t="str">
        <f>IFERROR(IF(MARÍTIMOS[[#This Row],[Razón Social]]="","",MARÍTIMOS[[#This Row],[Razón Social]]),"")</f>
        <v>VE SOLUCIONES LOGISTICAS SAC</v>
      </c>
      <c r="I410" s="2">
        <f>IFERROR(IF(MARÍTIMOS[[#This Row],[RUC]]="","",MARÍTIMOS[[#This Row],[RUC]]),"")</f>
        <v>20557679392</v>
      </c>
      <c r="J410" s="2" t="str">
        <f>IFERROR(IF(MARÍTIMOS[[#This Row],[Placa Tracto]]="","",MARÍTIMOS[[#This Row],[Placa Tracto]]),"")</f>
        <v>BFY937</v>
      </c>
      <c r="K410" s="2" t="str">
        <f>IFERROR(IF(MARÍTIMOS[[#This Row],[Placa Carreta]]="","",MARÍTIMOS[[#This Row],[Placa Carreta]]),"")</f>
        <v>AUT-994</v>
      </c>
      <c r="L410" s="44" t="str">
        <f>IFERROR(IF(MARÍTIMOS[[#This Row],[Conductor]]="","",MARÍTIMOS[[#This Row],[Conductor]]),"")</f>
        <v>JOSE ALBERTO TROYA GONZALEZ</v>
      </c>
      <c r="M410" s="2" t="str">
        <f>IFERROR(IF(MARÍTIMOS[[#This Row],[Licencia]]="","",MARÍTIMOS[[#This Row],[Licencia]]),"")</f>
        <v>B005147608</v>
      </c>
      <c r="N410" s="2">
        <f>IFERROR(IF(MARÍTIMOS[[#This Row],[Número de Contacto]]="","",MARÍTIMOS[[#This Row],[Número de Contacto]]),"")</f>
        <v>0</v>
      </c>
      <c r="O410" s="10" t="str">
        <f>IFERROR(IF(MARÍTIMOS[[#This Row],[Booking|AWB|CRT]]="","",MARÍTIMOS[[#This Row],[Booking|AWB|CRT]]),"")</f>
        <v>PER9184421A</v>
      </c>
      <c r="P410" s="2" t="str">
        <f>IFERROR(IF(MARÍTIMOS[[#This Row],[Contenedor]]="","",MARÍTIMOS[[#This Row],[Contenedor]]),"")</f>
        <v>CAAU4189078</v>
      </c>
      <c r="Q410" s="2" t="str">
        <f>IFERROR(IF(MARÍTIMOS[[#This Row],[Puerto de Retiro]]="","",MARÍTIMOS[[#This Row],[Puerto de Retiro]]),"")</f>
        <v>PAITA</v>
      </c>
      <c r="R410" s="2" t="str">
        <f>IFERROR(IF(MARÍTIMOS[[#This Row],[Almacén de Retiro]]="","",MARÍTIMOS[[#This Row],[Almacén de Retiro]]),"")</f>
        <v>DPW</v>
      </c>
      <c r="S410" s="11">
        <f>IFERROR(IF(MARÍTIMOS[[#This Row],[Etapa Retiro - Cita]]="","",MARÍTIMOS[[#This Row],[Etapa Retiro - Cita]]),"")</f>
        <v>46250.416666666664</v>
      </c>
      <c r="T410" s="11">
        <f>IFERROR(IF(MARÍTIMOS[[#This Row],[Etapa Retiro - Llegada]]="","",MARÍTIMOS[[#This Row],[Etapa Retiro - Llegada]]),"")</f>
        <v>46250.426388888889</v>
      </c>
      <c r="U410" s="11">
        <f>IFERROR(IF(MARÍTIMOS[[#This Row],[Etapa Retiro - Ingreso]]="","",MARÍTIMOS[[#This Row],[Etapa Retiro - Ingreso]]),"")</f>
        <v>46250.444444444445</v>
      </c>
      <c r="V410" s="11">
        <f>IFERROR(IF(MARÍTIMOS[[#This Row],[Etapa Retiro - Atención]]="","",MARÍTIMOS[[#This Row],[Etapa Retiro - Atención]]),"")</f>
        <v>46250.450694444444</v>
      </c>
      <c r="W410" s="11">
        <f>IFERROR(IF(MARÍTIMOS[[#This Row],[Etapa Retiro - Atención]]="","",MARÍTIMOS[[#This Row],[Etapa Retiro - Atención]]),"")</f>
        <v>46250.450694444444</v>
      </c>
      <c r="X410" s="11">
        <f>IFERROR(IF(MARÍTIMOS[[#This Row],[Etapa Retiro - Inicio de Ruta]]="","",MARÍTIMOS[[#This Row],[Etapa Retiro - Inicio de Ruta]]),"")</f>
        <v>46250.652083333334</v>
      </c>
      <c r="Y410" s="11">
        <f>IFERROR(IF(MARÍTIMOS[[#This Row],[Hora de Posicionamiento]]="","",MARÍTIMOS[[#This Row],[Fecha de Carga]]+MARÍTIMOS[[#This Row],[Hora de Posicionamiento]]),"")</f>
        <v>46251.583333333336</v>
      </c>
      <c r="Z410" s="11">
        <f>IFERROR(IF(MARÍTIMOS[[#This Row],[Etapa Despacho - Llegada]]="","",MARÍTIMOS[[#This Row],[Etapa Despacho - Llegada]]),"")</f>
        <v>46251.501388888886</v>
      </c>
      <c r="AA410" s="11">
        <f>IFERROR(IF(MARÍTIMOS[[#This Row],[Etapa Despacho - Registro]]="","",MARÍTIMOS[[#This Row],[Etapa Despacho - Registro]]),"")</f>
        <v>46251.504861111112</v>
      </c>
      <c r="AB410" s="11">
        <f>IFERROR(IF(MARÍTIMOS[[#This Row],[Inspección Externa]]="","",MARÍTIMOS[[#This Row],[Inspección Externa]]),"")</f>
        <v>46251.5</v>
      </c>
      <c r="AC410" s="11">
        <f>IFERROR(IF(MARÍTIMOS[[#This Row],[Etapa Despacho - Inicio de Carga]]="","",MARÍTIMOS[[#This Row],[Etapa Despacho - Inicio de Carga]]),"")</f>
        <v>46251.583333333336</v>
      </c>
      <c r="AD410" s="11" t="str">
        <f>IFERROR(IF(MARÍTIMOS[[#This Row],[Etapa Despacho - Mitad de Carga]]="","",MARÍTIMOS[[#This Row],[Etapa Despacho - Mitad de Carga]]),"")</f>
        <v/>
      </c>
      <c r="AE410" s="11">
        <f>IFERROR(IF(MARÍTIMOS[[#This Row],[Etapa Despacho - Fin de Carga]]="","",MARÍTIMOS[[#This Row],[Etapa Despacho - Fin de Carga]]),"")</f>
        <v>46251.645833333336</v>
      </c>
      <c r="AF410" s="2" t="str">
        <f>IFERROR(IF(MARÍTIMOS[[#This Row],[Puerto de Embarque]]="","",MARÍTIMOS[[#This Row],[Puerto de Embarque]]),"")</f>
        <v>Paita</v>
      </c>
      <c r="AG410" s="2" t="str">
        <f>IFERROR(IF(MARÍTIMOS[[#This Row],[Almacén de Ingreso]]="","",MARÍTIMOS[[#This Row],[Almacén de Ingreso]]),"")</f>
        <v>TPE</v>
      </c>
      <c r="AH410" s="11">
        <f>IFERROR(IF(MARÍTIMOS[[#This Row],[Etapa Ingreso - Cita]]="","",MARÍTIMOS[[#This Row],[Etapa Ingreso - Cita]]),"")</f>
        <v>46252.416666666664</v>
      </c>
      <c r="AI410" s="11">
        <f>IFERROR(IF(MARÍTIMOS[[#This Row],[Etapa Ingreso - Llegada]]="","",MARÍTIMOS[[#This Row],[Etapa Ingreso - Llegada]]),"")</f>
        <v>46252.404861111114</v>
      </c>
      <c r="AJ410" s="11">
        <f>IFERROR(IF(MARÍTIMOS[[#This Row],[Etapa Ingreso - Ingeso]]="","",MARÍTIMOS[[#This Row],[Etapa Ingreso - Ingeso]]),"")</f>
        <v>46252.408333333333</v>
      </c>
      <c r="AK410" s="11">
        <f>IFERROR(IF(MARÍTIMOS[[#This Row],[Etapa Ingreso - Atención]]="","",MARÍTIMOS[[#This Row],[Etapa Ingreso - Atención]]),"")</f>
        <v>46252.410416666666</v>
      </c>
      <c r="AL410" s="11">
        <f>IFERROR(IF(MARÍTIMOS[[#This Row],[Etapa Ingreso - Salida]]="","",MARÍTIMOS[[#This Row],[Etapa Ingreso - Salida]]),"")</f>
        <v>46252.413194444445</v>
      </c>
      <c r="AM410" s="2">
        <f>IFERROR(IF(MARÍTIMOS[[#This Row],[FCL]]="","",MARÍTIMOS[[#This Row],[FCL]]),"")</f>
        <v>1</v>
      </c>
      <c r="AN4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0" s="4" t="str" cm="1">
        <f t="array" ref="AO4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0" s="5">
        <f>IFERROR(OLDBD[[#This Row],[Llegada a packing]]-OLDBD[[#This Row],[Inicio de Ruta]],"")</f>
        <v>0.84930555555183673</v>
      </c>
      <c r="AQ410" s="6">
        <f>IFERROR(OLDBD[[#This Row],[Inicio de Ruta]]-OLDBD[[#This Row],[Salida de almacén de retiro]],"")</f>
        <v>0.20138888889050577</v>
      </c>
      <c r="AR4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0" s="8" t="str" cm="1">
        <f t="array" ref="AS4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10" s="9">
        <f>IFERROR(OLDBD[[#This Row],[Ingreso Packing]]-OLDBD[[#This Row],[Registro en Packing]],"")</f>
        <v>-4.8611111124046147E-3</v>
      </c>
      <c r="AV410" s="9">
        <f>IFERROR(OLDBD[[#This Row],[Ingreso Packing]]-OLDBD[[#This Row],[Llegada a packing]],"")</f>
        <v>-1.3888888861401938E-3</v>
      </c>
      <c r="AW4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0" s="5">
        <f>IFERROR(OLDBD[[#This Row],[Llegada Almacén de Ingreso]]-OLDBD[[#This Row],[Salida Packing]],"")</f>
        <v>0.75902777777810115</v>
      </c>
      <c r="AY410" s="4" t="str" cm="1">
        <f t="array" ref="AY4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10" s="43" t="s">
        <v>173</v>
      </c>
      <c r="BB410" s="47" t="str">
        <f>IFERROR(IF(MARÍTIMOS[[#This Row],[Estatus]]="","",MARÍTIMOS[[#This Row],[Estatus]]),"")</f>
        <v>Confirmado</v>
      </c>
      <c r="BC410" s="43"/>
      <c r="BD410" s="46">
        <f>IFERROR(OLDBD[[#This Row],[Salida de almacén de retiro]]-OLDBD[[#This Row],[Ingreso Almacén de retiro]],"")</f>
        <v>6.2499999985448085E-3</v>
      </c>
      <c r="BE410" s="46" t="str">
        <f>IFERROR(OLDBD[[#This Row],[Fin de Carga]]-OLDBD[[#This Row],[Inicio de Carga]],"")</f>
        <v/>
      </c>
    </row>
    <row r="411" spans="1:57" customFormat="1" hidden="1">
      <c r="A411" s="1"/>
      <c r="B411" s="1">
        <f>IFERROR(IF(MARÍTIMOS[[#This Row],[PP]]="","",MARÍTIMOS[[#This Row],[PP]]),"")</f>
        <v>34</v>
      </c>
      <c r="C411" s="1" t="str">
        <f>IFERROR(IF(MARÍTIMOS[[#This Row],[Sede]]="","",MARÍTIMOS[[#This Row],[Sede]]),"")</f>
        <v>Chao</v>
      </c>
      <c r="D411" s="1" t="str">
        <f>IFERROR(IF(MARÍTIMOS[[#This Row],[Instruction]]="","",MARÍTIMOS[[#This Row],[Instruction]]),"")</f>
        <v>RH-0554</v>
      </c>
      <c r="E411" s="1"/>
      <c r="F411" s="2" t="str">
        <f>IFERROR(IF(MARÍTIMOS[[#This Row],[Transportista]]="","",MARÍTIMOS[[#This Row],[Transportista]]),"")</f>
        <v>VESL</v>
      </c>
      <c r="G411" s="2" t="str">
        <f>IFERROR(IF(MARÍTIMOS[[#This Row],[Tercero]]="","",MARÍTIMOS[[#This Row],[Tercero]]),"")</f>
        <v>SI</v>
      </c>
      <c r="H411" s="2" t="str">
        <f>IFERROR(IF(MARÍTIMOS[[#This Row],[Razón Social]]="","",MARÍTIMOS[[#This Row],[Razón Social]]),"")</f>
        <v>SEMINARIO TALLEDO LUIS ADRIAN</v>
      </c>
      <c r="I411" s="2">
        <f>IFERROR(IF(MARÍTIMOS[[#This Row],[RUC]]="","",MARÍTIMOS[[#This Row],[RUC]]),"")</f>
        <v>10730992144</v>
      </c>
      <c r="J411" s="2" t="str">
        <f>IFERROR(IF(MARÍTIMOS[[#This Row],[Placa Tracto]]="","",MARÍTIMOS[[#This Row],[Placa Tracto]]),"")</f>
        <v>BEI870</v>
      </c>
      <c r="K411" s="2" t="str">
        <f>IFERROR(IF(MARÍTIMOS[[#This Row],[Placa Carreta]]="","",MARÍTIMOS[[#This Row],[Placa Carreta]]),"")</f>
        <v>BPU-987.</v>
      </c>
      <c r="L411" s="44" t="str">
        <f>IFERROR(IF(MARÍTIMOS[[#This Row],[Conductor]]="","",MARÍTIMOS[[#This Row],[Conductor]]),"")</f>
        <v>ÁNGEL MERCEDES CHUNGA OBLEA</v>
      </c>
      <c r="M411" s="2" t="str">
        <f>IFERROR(IF(MARÍTIMOS[[#This Row],[Licencia]]="","",MARÍTIMOS[[#This Row],[Licencia]]),"")</f>
        <v>B47442174.</v>
      </c>
      <c r="N411" s="2">
        <f>IFERROR(IF(MARÍTIMOS[[#This Row],[Número de Contacto]]="","",MARÍTIMOS[[#This Row],[Número de Contacto]]),"")</f>
        <v>0</v>
      </c>
      <c r="O411" s="10" t="str">
        <f>IFERROR(IF(MARÍTIMOS[[#This Row],[Booking|AWB|CRT]]="","",MARÍTIMOS[[#This Row],[Booking|AWB|CRT]]),"")</f>
        <v>PER9194096A</v>
      </c>
      <c r="P411" s="2" t="str">
        <f>IFERROR(IF(MARÍTIMOS[[#This Row],[Contenedor]]="","",MARÍTIMOS[[#This Row],[Contenedor]]),"")</f>
        <v>SEGU9938332</v>
      </c>
      <c r="Q411" s="2" t="str">
        <f>IFERROR(IF(MARÍTIMOS[[#This Row],[Puerto de Retiro]]="","",MARÍTIMOS[[#This Row],[Puerto de Retiro]]),"")</f>
        <v>PAITA</v>
      </c>
      <c r="R411" s="2" t="str">
        <f>IFERROR(IF(MARÍTIMOS[[#This Row],[Almacén de Retiro]]="","",MARÍTIMOS[[#This Row],[Almacén de Retiro]]),"")</f>
        <v>DPW</v>
      </c>
      <c r="S411" s="11">
        <f>IFERROR(IF(MARÍTIMOS[[#This Row],[Etapa Retiro - Cita]]="","",MARÍTIMOS[[#This Row],[Etapa Retiro - Cita]]),"")</f>
        <v>46256.75</v>
      </c>
      <c r="T411" s="11">
        <f>IFERROR(IF(MARÍTIMOS[[#This Row],[Etapa Retiro - Llegada]]="","",MARÍTIMOS[[#This Row],[Etapa Retiro - Llegada]]),"")</f>
        <v>46256.793749999997</v>
      </c>
      <c r="U411" s="11">
        <f>IFERROR(IF(MARÍTIMOS[[#This Row],[Etapa Retiro - Ingreso]]="","",MARÍTIMOS[[#This Row],[Etapa Retiro - Ingreso]]),"")</f>
        <v>46256.802083333336</v>
      </c>
      <c r="V411" s="11">
        <f>IFERROR(IF(MARÍTIMOS[[#This Row],[Etapa Retiro - Atención]]="","",MARÍTIMOS[[#This Row],[Etapa Retiro - Atención]]),"")</f>
        <v>46256.930555555555</v>
      </c>
      <c r="W411" s="11">
        <f>IFERROR(IF(MARÍTIMOS[[#This Row],[Etapa Retiro - Atención]]="","",MARÍTIMOS[[#This Row],[Etapa Retiro - Atención]]),"")</f>
        <v>46256.930555555555</v>
      </c>
      <c r="X411" s="11">
        <f>IFERROR(IF(MARÍTIMOS[[#This Row],[Etapa Retiro - Inicio de Ruta]]="","",MARÍTIMOS[[#This Row],[Etapa Retiro - Inicio de Ruta]]),"")</f>
        <v>46256.960416666669</v>
      </c>
      <c r="Y411" s="11">
        <f>IFERROR(IF(MARÍTIMOS[[#This Row],[Hora de Posicionamiento]]="","",MARÍTIMOS[[#This Row],[Fecha de Carga]]+MARÍTIMOS[[#This Row],[Hora de Posicionamiento]]),"")</f>
        <v>46257.583333333336</v>
      </c>
      <c r="Z411" s="11">
        <f>IFERROR(IF(MARÍTIMOS[[#This Row],[Etapa Despacho - Llegada]]="","",MARÍTIMOS[[#This Row],[Etapa Despacho - Llegada]]),"")</f>
        <v>46257.613194444442</v>
      </c>
      <c r="AA411" s="11">
        <f>IFERROR(IF(MARÍTIMOS[[#This Row],[Etapa Despacho - Registro]]="","",MARÍTIMOS[[#This Row],[Etapa Despacho - Registro]]),"")</f>
        <v>46257.616666666669</v>
      </c>
      <c r="AB411" s="11" t="str">
        <f>IFERROR(IF(MARÍTIMOS[[#This Row],[Inspección Externa]]="","",MARÍTIMOS[[#This Row],[Inspección Externa]]),"")</f>
        <v/>
      </c>
      <c r="AC411" s="11">
        <f>IFERROR(IF(MARÍTIMOS[[#This Row],[Etapa Despacho - Inicio de Carga]]="","",MARÍTIMOS[[#This Row],[Etapa Despacho - Inicio de Carga]]),"")</f>
        <v>46257.666666666664</v>
      </c>
      <c r="AD411" s="11" t="str">
        <f>IFERROR(IF(MARÍTIMOS[[#This Row],[Etapa Despacho - Mitad de Carga]]="","",MARÍTIMOS[[#This Row],[Etapa Despacho - Mitad de Carga]]),"")</f>
        <v/>
      </c>
      <c r="AE411" s="11">
        <f>IFERROR(IF(MARÍTIMOS[[#This Row],[Etapa Despacho - Fin de Carga]]="","",MARÍTIMOS[[#This Row],[Etapa Despacho - Fin de Carga]]),"")</f>
        <v>46257.770833333336</v>
      </c>
      <c r="AF411" s="2" t="str">
        <f>IFERROR(IF(MARÍTIMOS[[#This Row],[Puerto de Embarque]]="","",MARÍTIMOS[[#This Row],[Puerto de Embarque]]),"")</f>
        <v>Paita</v>
      </c>
      <c r="AG411" s="2" t="str">
        <f>IFERROR(IF(MARÍTIMOS[[#This Row],[Almacén de Ingreso]]="","",MARÍTIMOS[[#This Row],[Almacén de Ingreso]]),"")</f>
        <v>TPE</v>
      </c>
      <c r="AH411" s="11">
        <f>IFERROR(IF(MARÍTIMOS[[#This Row],[Etapa Ingreso - Cita]]="","",MARÍTIMOS[[#This Row],[Etapa Ingreso - Cita]]),"")</f>
        <v>46258.5</v>
      </c>
      <c r="AI411" s="11">
        <f>IFERROR(IF(MARÍTIMOS[[#This Row],[Etapa Ingreso - Llegada]]="","",MARÍTIMOS[[#This Row],[Etapa Ingreso - Llegada]]),"")</f>
        <v>46258.461805555555</v>
      </c>
      <c r="AJ411" s="11">
        <f>IFERROR(IF(MARÍTIMOS[[#This Row],[Etapa Ingreso - Ingeso]]="","",MARÍTIMOS[[#This Row],[Etapa Ingreso - Ingeso]]),"")</f>
        <v>46258.465277777781</v>
      </c>
      <c r="AK411" s="11">
        <f>IFERROR(IF(MARÍTIMOS[[#This Row],[Etapa Ingreso - Atención]]="","",MARÍTIMOS[[#This Row],[Etapa Ingreso - Atención]]),"")</f>
        <v>46258.46875</v>
      </c>
      <c r="AL411" s="11">
        <f>IFERROR(IF(MARÍTIMOS[[#This Row],[Etapa Ingreso - Salida]]="","",MARÍTIMOS[[#This Row],[Etapa Ingreso - Salida]]),"")</f>
        <v>46258.484027777777</v>
      </c>
      <c r="AM411" s="2">
        <f>IFERROR(IF(MARÍTIMOS[[#This Row],[FCL]]="","",MARÍTIMOS[[#This Row],[FCL]]),"")</f>
        <v>1</v>
      </c>
      <c r="AN4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1" s="4" t="str" cm="1">
        <f t="array" ref="AO4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411" s="5">
        <f>IFERROR(OLDBD[[#This Row],[Llegada a packing]]-OLDBD[[#This Row],[Inicio de Ruta]],"")</f>
        <v>0.65277777777373558</v>
      </c>
      <c r="AQ411" s="6">
        <f>IFERROR(OLDBD[[#This Row],[Inicio de Ruta]]-OLDBD[[#This Row],[Salida de almacén de retiro]],"")</f>
        <v>2.9861111113859806E-2</v>
      </c>
      <c r="AR4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11" s="8" t="str" cm="1">
        <f t="array" ref="AS4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11" s="9" t="str">
        <f>IFERROR(OLDBD[[#This Row],[Ingreso Packing]]-OLDBD[[#This Row],[Registro en Packing]],"")</f>
        <v/>
      </c>
      <c r="AV411" s="9" t="str">
        <f>IFERROR(OLDBD[[#This Row],[Ingreso Packing]]-OLDBD[[#This Row],[Llegada a packing]],"")</f>
        <v/>
      </c>
      <c r="AW4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1" s="5">
        <f>IFERROR(OLDBD[[#This Row],[Llegada Almacén de Ingreso]]-OLDBD[[#This Row],[Salida Packing]],"")</f>
        <v>0.69097222221898846</v>
      </c>
      <c r="AY411" s="4" t="str" cm="1">
        <f t="array" ref="AY4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11" s="43" t="s">
        <v>173</v>
      </c>
      <c r="BB411" s="47" t="str">
        <f>IFERROR(IF(MARÍTIMOS[[#This Row],[Estatus]]="","",MARÍTIMOS[[#This Row],[Estatus]]),"")</f>
        <v>Confirmado</v>
      </c>
      <c r="BC411" s="43"/>
      <c r="BD411" s="46">
        <f>IFERROR(OLDBD[[#This Row],[Salida de almacén de retiro]]-OLDBD[[#This Row],[Ingreso Almacén de retiro]],"")</f>
        <v>0.12847222221898846</v>
      </c>
      <c r="BE411" s="46" t="str">
        <f>IFERROR(OLDBD[[#This Row],[Fin de Carga]]-OLDBD[[#This Row],[Inicio de Carga]],"")</f>
        <v/>
      </c>
    </row>
    <row r="412" spans="1:57" customFormat="1" hidden="1">
      <c r="A412" s="1"/>
      <c r="B412" s="1">
        <f>IFERROR(IF(MARÍTIMOS[[#This Row],[PP]]="","",MARÍTIMOS[[#This Row],[PP]]),"")</f>
        <v>34</v>
      </c>
      <c r="C412" s="1" t="str">
        <f>IFERROR(IF(MARÍTIMOS[[#This Row],[Sede]]="","",MARÍTIMOS[[#This Row],[Sede]]),"")</f>
        <v>Chao</v>
      </c>
      <c r="D412" s="1" t="str">
        <f>IFERROR(IF(MARÍTIMOS[[#This Row],[Instruction]]="","",MARÍTIMOS[[#This Row],[Instruction]]),"")</f>
        <v>RH-0559</v>
      </c>
      <c r="E412" s="1"/>
      <c r="F412" s="2" t="str">
        <f>IFERROR(IF(MARÍTIMOS[[#This Row],[Transportista]]="","",MARÍTIMOS[[#This Row],[Transportista]]),"")</f>
        <v>VESL</v>
      </c>
      <c r="G412" s="2" t="str">
        <f>IFERROR(IF(MARÍTIMOS[[#This Row],[Tercero]]="","",MARÍTIMOS[[#This Row],[Tercero]]),"")</f>
        <v>SI</v>
      </c>
      <c r="H412" s="2" t="str">
        <f>IFERROR(IF(MARÍTIMOS[[#This Row],[Razón Social]]="","",MARÍTIMOS[[#This Row],[Razón Social]]),"")</f>
        <v>MULTITRAC TRANSPORT EIRL</v>
      </c>
      <c r="I412" s="2">
        <f>IFERROR(IF(MARÍTIMOS[[#This Row],[RUC]]="","",MARÍTIMOS[[#This Row],[RUC]]),"")</f>
        <v>20613369083</v>
      </c>
      <c r="J412" s="2" t="str">
        <f>IFERROR(IF(MARÍTIMOS[[#This Row],[Placa Tracto]]="","",MARÍTIMOS[[#This Row],[Placa Tracto]]),"")</f>
        <v>A9O813</v>
      </c>
      <c r="K412" s="2" t="str">
        <f>IFERROR(IF(MARÍTIMOS[[#This Row],[Placa Carreta]]="","",MARÍTIMOS[[#This Row],[Placa Carreta]]),"")</f>
        <v>D1Y998</v>
      </c>
      <c r="L412" s="44" t="str">
        <f>IFERROR(IF(MARÍTIMOS[[#This Row],[Conductor]]="","",MARÍTIMOS[[#This Row],[Conductor]]),"")</f>
        <v>ALAN PATRICK CANOVA SANDOVAL</v>
      </c>
      <c r="M412" s="2" t="str">
        <f>IFERROR(IF(MARÍTIMOS[[#This Row],[Licencia]]="","",MARÍTIMOS[[#This Row],[Licencia]]),"")</f>
        <v>B43626000</v>
      </c>
      <c r="N412" s="2">
        <f>IFERROR(IF(MARÍTIMOS[[#This Row],[Número de Contacto]]="","",MARÍTIMOS[[#This Row],[Número de Contacto]]),"")</f>
        <v>0</v>
      </c>
      <c r="O412" s="10" t="str">
        <f>IFERROR(IF(MARÍTIMOS[[#This Row],[Booking|AWB|CRT]]="","",MARÍTIMOS[[#This Row],[Booking|AWB|CRT]]),"")</f>
        <v>BN81742</v>
      </c>
      <c r="P412" s="2" t="str">
        <f>IFERROR(IF(MARÍTIMOS[[#This Row],[Contenedor]]="","",MARÍTIMOS[[#This Row],[Contenedor]]),"")</f>
        <v>CAAU4076929</v>
      </c>
      <c r="Q412" s="2" t="str">
        <f>IFERROR(IF(MARÍTIMOS[[#This Row],[Puerto de Retiro]]="","",MARÍTIMOS[[#This Row],[Puerto de Retiro]]),"")</f>
        <v>PAITA</v>
      </c>
      <c r="R412" s="2" t="str">
        <f>IFERROR(IF(MARÍTIMOS[[#This Row],[Almacén de Retiro]]="","",MARÍTIMOS[[#This Row],[Almacén de Retiro]]),"")</f>
        <v>DPW</v>
      </c>
      <c r="S412" s="11">
        <f>IFERROR(IF(MARÍTIMOS[[#This Row],[Etapa Retiro - Cita]]="","",MARÍTIMOS[[#This Row],[Etapa Retiro - Cita]]),"")</f>
        <v>46256.75</v>
      </c>
      <c r="T412" s="11">
        <f>IFERROR(IF(MARÍTIMOS[[#This Row],[Etapa Retiro - Llegada]]="","",MARÍTIMOS[[#This Row],[Etapa Retiro - Llegada]]),"")</f>
        <v>46256.793749999997</v>
      </c>
      <c r="U412" s="11">
        <f>IFERROR(IF(MARÍTIMOS[[#This Row],[Etapa Retiro - Ingreso]]="","",MARÍTIMOS[[#This Row],[Etapa Retiro - Ingreso]]),"")</f>
        <v>46256.802083333336</v>
      </c>
      <c r="V412" s="11">
        <f>IFERROR(IF(MARÍTIMOS[[#This Row],[Etapa Retiro - Atención]]="","",MARÍTIMOS[[#This Row],[Etapa Retiro - Atención]]),"")</f>
        <v>46256.819444444445</v>
      </c>
      <c r="W412" s="11">
        <f>IFERROR(IF(MARÍTIMOS[[#This Row],[Etapa Retiro - Atención]]="","",MARÍTIMOS[[#This Row],[Etapa Retiro - Atención]]),"")</f>
        <v>46256.819444444445</v>
      </c>
      <c r="X412" s="11">
        <f>IFERROR(IF(MARÍTIMOS[[#This Row],[Etapa Retiro - Inicio de Ruta]]="","",MARÍTIMOS[[#This Row],[Etapa Retiro - Inicio de Ruta]]),"")</f>
        <v>46256.886111111111</v>
      </c>
      <c r="Y412" s="11">
        <f>IFERROR(IF(MARÍTIMOS[[#This Row],[Hora de Posicionamiento]]="","",MARÍTIMOS[[#This Row],[Fecha de Carga]]+MARÍTIMOS[[#This Row],[Hora de Posicionamiento]]),"")</f>
        <v>46257.583333333336</v>
      </c>
      <c r="Z412" s="11">
        <f>IFERROR(IF(MARÍTIMOS[[#This Row],[Etapa Despacho - Llegada]]="","",MARÍTIMOS[[#This Row],[Etapa Despacho - Llegada]]),"")</f>
        <v>46257.525694444441</v>
      </c>
      <c r="AA412" s="11">
        <f>IFERROR(IF(MARÍTIMOS[[#This Row],[Etapa Despacho - Registro]]="","",MARÍTIMOS[[#This Row],[Etapa Despacho - Registro]]),"")</f>
        <v>46257.53125</v>
      </c>
      <c r="AB412" s="11" t="str">
        <f>IFERROR(IF(MARÍTIMOS[[#This Row],[Inspección Externa]]="","",MARÍTIMOS[[#This Row],[Inspección Externa]]),"")</f>
        <v/>
      </c>
      <c r="AC412" s="11">
        <f>IFERROR(IF(MARÍTIMOS[[#This Row],[Etapa Despacho - Inicio de Carga]]="","",MARÍTIMOS[[#This Row],[Etapa Despacho - Inicio de Carga]]),"")</f>
        <v>46257.724999999999</v>
      </c>
      <c r="AD412" s="11" t="str">
        <f>IFERROR(IF(MARÍTIMOS[[#This Row],[Etapa Despacho - Mitad de Carga]]="","",MARÍTIMOS[[#This Row],[Etapa Despacho - Mitad de Carga]]),"")</f>
        <v/>
      </c>
      <c r="AE412" s="11">
        <f>IFERROR(IF(MARÍTIMOS[[#This Row],[Etapa Despacho - Fin de Carga]]="","",MARÍTIMOS[[#This Row],[Etapa Despacho - Fin de Carga]]),"")</f>
        <v>46257.76666666667</v>
      </c>
      <c r="AF412" s="2" t="str">
        <f>IFERROR(IF(MARÍTIMOS[[#This Row],[Puerto de Embarque]]="","",MARÍTIMOS[[#This Row],[Puerto de Embarque]]),"")</f>
        <v>Paita</v>
      </c>
      <c r="AG412" s="2" t="str">
        <f>IFERROR(IF(MARÍTIMOS[[#This Row],[Almacén de Ingreso]]="","",MARÍTIMOS[[#This Row],[Almacén de Ingreso]]),"")</f>
        <v>TPE</v>
      </c>
      <c r="AH412" s="11">
        <f>IFERROR(IF(MARÍTIMOS[[#This Row],[Etapa Ingreso - Cita]]="","",MARÍTIMOS[[#This Row],[Etapa Ingreso - Cita]]),"")</f>
        <v>46258.541666666664</v>
      </c>
      <c r="AI412" s="11">
        <f>IFERROR(IF(MARÍTIMOS[[#This Row],[Etapa Ingreso - Llegada]]="","",MARÍTIMOS[[#This Row],[Etapa Ingreso - Llegada]]),"")</f>
        <v>46258.572222222225</v>
      </c>
      <c r="AJ412" s="11">
        <f>IFERROR(IF(MARÍTIMOS[[#This Row],[Etapa Ingreso - Ingeso]]="","",MARÍTIMOS[[#This Row],[Etapa Ingreso - Ingeso]]),"")</f>
        <v>46258.575694444444</v>
      </c>
      <c r="AK412" s="11">
        <f>IFERROR(IF(MARÍTIMOS[[#This Row],[Etapa Ingreso - Atención]]="","",MARÍTIMOS[[#This Row],[Etapa Ingreso - Atención]]),"")</f>
        <v>46258.577777777777</v>
      </c>
      <c r="AL412" s="11">
        <f>IFERROR(IF(MARÍTIMOS[[#This Row],[Etapa Ingreso - Salida]]="","",MARÍTIMOS[[#This Row],[Etapa Ingreso - Salida]]),"")</f>
        <v>46258.580555555556</v>
      </c>
      <c r="AM412" s="2">
        <f>IFERROR(IF(MARÍTIMOS[[#This Row],[FCL]]="","",MARÍTIMOS[[#This Row],[FCL]]),"")</f>
        <v>1</v>
      </c>
      <c r="AN4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2" s="4" t="str" cm="1">
        <f t="array" ref="AO4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2" s="5">
        <f>IFERROR(OLDBD[[#This Row],[Llegada a packing]]-OLDBD[[#This Row],[Inicio de Ruta]],"")</f>
        <v>0.63958333332993789</v>
      </c>
      <c r="AQ412" s="6">
        <f>IFERROR(OLDBD[[#This Row],[Inicio de Ruta]]-OLDBD[[#This Row],[Salida de almacén de retiro]],"")</f>
        <v>6.6666666665696539E-2</v>
      </c>
      <c r="AR4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2" s="8" t="str" cm="1">
        <f t="array" ref="AS4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12" s="9" t="str">
        <f>IFERROR(OLDBD[[#This Row],[Ingreso Packing]]-OLDBD[[#This Row],[Registro en Packing]],"")</f>
        <v/>
      </c>
      <c r="AV412" s="9" t="str">
        <f>IFERROR(OLDBD[[#This Row],[Ingreso Packing]]-OLDBD[[#This Row],[Llegada a packing]],"")</f>
        <v/>
      </c>
      <c r="AW4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2" s="5">
        <f>IFERROR(OLDBD[[#This Row],[Llegada Almacén de Ingreso]]-OLDBD[[#This Row],[Salida Packing]],"")</f>
        <v>0.80555555555474712</v>
      </c>
      <c r="AY412" s="4" t="str" cm="1">
        <f t="array" ref="AY4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12" s="43" t="s">
        <v>173</v>
      </c>
      <c r="BB412" s="47" t="str">
        <f>IFERROR(IF(MARÍTIMOS[[#This Row],[Estatus]]="","",MARÍTIMOS[[#This Row],[Estatus]]),"")</f>
        <v>Confirmado</v>
      </c>
      <c r="BC412" s="43"/>
      <c r="BD412" s="46">
        <f>IFERROR(OLDBD[[#This Row],[Salida de almacén de retiro]]-OLDBD[[#This Row],[Ingreso Almacén de retiro]],"")</f>
        <v>1.7361111109494232E-2</v>
      </c>
      <c r="BE412" s="46" t="str">
        <f>IFERROR(OLDBD[[#This Row],[Fin de Carga]]-OLDBD[[#This Row],[Inicio de Carga]],"")</f>
        <v/>
      </c>
    </row>
    <row r="413" spans="1:57" customFormat="1" hidden="1">
      <c r="A413" s="1"/>
      <c r="B413" s="1">
        <f>IFERROR(IF(MARÍTIMOS[[#This Row],[PP]]="","",MARÍTIMOS[[#This Row],[PP]]),"")</f>
        <v>34</v>
      </c>
      <c r="C413" s="1" t="str">
        <f>IFERROR(IF(MARÍTIMOS[[#This Row],[Sede]]="","",MARÍTIMOS[[#This Row],[Sede]]),"")</f>
        <v>Chao</v>
      </c>
      <c r="D413" s="1" t="str">
        <f>IFERROR(IF(MARÍTIMOS[[#This Row],[Instruction]]="","",MARÍTIMOS[[#This Row],[Instruction]]),"")</f>
        <v>RH-0566</v>
      </c>
      <c r="E413" s="1"/>
      <c r="F413" s="2" t="str">
        <f>IFERROR(IF(MARÍTIMOS[[#This Row],[Transportista]]="","",MARÍTIMOS[[#This Row],[Transportista]]),"")</f>
        <v>VESL</v>
      </c>
      <c r="G413" s="2" t="str">
        <f>IFERROR(IF(MARÍTIMOS[[#This Row],[Tercero]]="","",MARÍTIMOS[[#This Row],[Tercero]]),"")</f>
        <v>SI</v>
      </c>
      <c r="H413" s="2" t="str">
        <f>IFERROR(IF(MARÍTIMOS[[#This Row],[Razón Social]]="","",MARÍTIMOS[[#This Row],[Razón Social]]),"")</f>
        <v>MULTITRAC TRANSPORT EIRL</v>
      </c>
      <c r="I413" s="2">
        <f>IFERROR(IF(MARÍTIMOS[[#This Row],[RUC]]="","",MARÍTIMOS[[#This Row],[RUC]]),"")</f>
        <v>20613369083</v>
      </c>
      <c r="J413" s="2" t="str">
        <f>IFERROR(IF(MARÍTIMOS[[#This Row],[Placa Tracto]]="","",MARÍTIMOS[[#This Row],[Placa Tracto]]),"")</f>
        <v>C0F854</v>
      </c>
      <c r="K413" s="2" t="str">
        <f>IFERROR(IF(MARÍTIMOS[[#This Row],[Placa Carreta]]="","",MARÍTIMOS[[#This Row],[Placa Carreta]]),"")</f>
        <v>TLX-989</v>
      </c>
      <c r="L413" s="44" t="str">
        <f>IFERROR(IF(MARÍTIMOS[[#This Row],[Conductor]]="","",MARÍTIMOS[[#This Row],[Conductor]]),"")</f>
        <v>JORGE LUIS ATOCHE RIVAS</v>
      </c>
      <c r="M413" s="2" t="str">
        <f>IFERROR(IF(MARÍTIMOS[[#This Row],[Licencia]]="","",MARÍTIMOS[[#This Row],[Licencia]]),"")</f>
        <v>B46528666</v>
      </c>
      <c r="N413" s="2" t="str">
        <f>IFERROR(IF(MARÍTIMOS[[#This Row],[Número de Contacto]]="","",MARÍTIMOS[[#This Row],[Número de Contacto]]),"")</f>
        <v>904 501 994</v>
      </c>
      <c r="O413" s="10" t="str">
        <f>IFERROR(IF(MARÍTIMOS[[#This Row],[Booking|AWB|CRT]]="","",MARÍTIMOS[[#This Row],[Booking|AWB|CRT]]),"")</f>
        <v>PER9193553A</v>
      </c>
      <c r="P413" s="2" t="str">
        <f>IFERROR(IF(MARÍTIMOS[[#This Row],[Contenedor]]="","",MARÍTIMOS[[#This Row],[Contenedor]]),"")</f>
        <v>GCXU8023026</v>
      </c>
      <c r="Q413" s="2" t="str">
        <f>IFERROR(IF(MARÍTIMOS[[#This Row],[Puerto de Retiro]]="","",MARÍTIMOS[[#This Row],[Puerto de Retiro]]),"")</f>
        <v>PAITA</v>
      </c>
      <c r="R413" s="2" t="str">
        <f>IFERROR(IF(MARÍTIMOS[[#This Row],[Almacén de Retiro]]="","",MARÍTIMOS[[#This Row],[Almacén de Retiro]]),"")</f>
        <v>DPW</v>
      </c>
      <c r="S413" s="11">
        <f>IFERROR(IF(MARÍTIMOS[[#This Row],[Etapa Retiro - Cita]]="","",MARÍTIMOS[[#This Row],[Etapa Retiro - Cita]]),"")</f>
        <v>46256.75</v>
      </c>
      <c r="T413" s="11">
        <f>IFERROR(IF(MARÍTIMOS[[#This Row],[Etapa Retiro - Llegada]]="","",MARÍTIMOS[[#This Row],[Etapa Retiro - Llegada]]),"")</f>
        <v>46256.75</v>
      </c>
      <c r="U413" s="11">
        <f>IFERROR(IF(MARÍTIMOS[[#This Row],[Etapa Retiro - Ingreso]]="","",MARÍTIMOS[[#This Row],[Etapa Retiro - Ingreso]]),"")</f>
        <v>46256.763888888891</v>
      </c>
      <c r="V413" s="11">
        <f>IFERROR(IF(MARÍTIMOS[[#This Row],[Etapa Retiro - Atención]]="","",MARÍTIMOS[[#This Row],[Etapa Retiro - Atención]]),"")</f>
        <v>46256.767361111109</v>
      </c>
      <c r="W413" s="11">
        <f>IFERROR(IF(MARÍTIMOS[[#This Row],[Etapa Retiro - Atención]]="","",MARÍTIMOS[[#This Row],[Etapa Retiro - Atención]]),"")</f>
        <v>46256.767361111109</v>
      </c>
      <c r="X413" s="11">
        <f>IFERROR(IF(MARÍTIMOS[[#This Row],[Etapa Retiro - Inicio de Ruta]]="","",MARÍTIMOS[[#This Row],[Etapa Retiro - Inicio de Ruta]]),"")</f>
        <v>46256.804861111108</v>
      </c>
      <c r="Y413" s="11">
        <f>IFERROR(IF(MARÍTIMOS[[#This Row],[Hora de Posicionamiento]]="","",MARÍTIMOS[[#This Row],[Fecha de Carga]]+MARÍTIMOS[[#This Row],[Hora de Posicionamiento]]),"")</f>
        <v>46257.583333333336</v>
      </c>
      <c r="Z413" s="11">
        <f>IFERROR(IF(MARÍTIMOS[[#This Row],[Etapa Despacho - Llegada]]="","",MARÍTIMOS[[#This Row],[Etapa Despacho - Llegada]]),"")</f>
        <v>46257.459722222222</v>
      </c>
      <c r="AA413" s="11">
        <f>IFERROR(IF(MARÍTIMOS[[#This Row],[Etapa Despacho - Registro]]="","",MARÍTIMOS[[#This Row],[Etapa Despacho - Registro]]),"")</f>
        <v>46257.463888888888</v>
      </c>
      <c r="AB413" s="11" t="str">
        <f>IFERROR(IF(MARÍTIMOS[[#This Row],[Inspección Externa]]="","",MARÍTIMOS[[#This Row],[Inspección Externa]]),"")</f>
        <v/>
      </c>
      <c r="AC413" s="11">
        <f>IFERROR(IF(MARÍTIMOS[[#This Row],[Etapa Despacho - Inicio de Carga]]="","",MARÍTIMOS[[#This Row],[Etapa Despacho - Inicio de Carga]]),"")</f>
        <v>46257.727083333331</v>
      </c>
      <c r="AD413" s="11" t="str">
        <f>IFERROR(IF(MARÍTIMOS[[#This Row],[Etapa Despacho - Mitad de Carga]]="","",MARÍTIMOS[[#This Row],[Etapa Despacho - Mitad de Carga]]),"")</f>
        <v/>
      </c>
      <c r="AE413" s="11">
        <f>IFERROR(IF(MARÍTIMOS[[#This Row],[Etapa Despacho - Fin de Carga]]="","",MARÍTIMOS[[#This Row],[Etapa Despacho - Fin de Carga]]),"")</f>
        <v>46257.772222222222</v>
      </c>
      <c r="AF413" s="2" t="str">
        <f>IFERROR(IF(MARÍTIMOS[[#This Row],[Puerto de Embarque]]="","",MARÍTIMOS[[#This Row],[Puerto de Embarque]]),"")</f>
        <v>Paita</v>
      </c>
      <c r="AG413" s="2" t="str">
        <f>IFERROR(IF(MARÍTIMOS[[#This Row],[Almacén de Ingreso]]="","",MARÍTIMOS[[#This Row],[Almacén de Ingreso]]),"")</f>
        <v>TPE</v>
      </c>
      <c r="AH413" s="11">
        <f>IFERROR(IF(MARÍTIMOS[[#This Row],[Etapa Ingreso - Cita]]="","",MARÍTIMOS[[#This Row],[Etapa Ingreso - Cita]]),"")</f>
        <v>46258.541666666664</v>
      </c>
      <c r="AI413" s="11">
        <f>IFERROR(IF(MARÍTIMOS[[#This Row],[Etapa Ingreso - Llegada]]="","",MARÍTIMOS[[#This Row],[Etapa Ingreso - Llegada]]),"")</f>
        <v>46258.553472222222</v>
      </c>
      <c r="AJ413" s="11">
        <f>IFERROR(IF(MARÍTIMOS[[#This Row],[Etapa Ingreso - Ingeso]]="","",MARÍTIMOS[[#This Row],[Etapa Ingreso - Ingeso]]),"")</f>
        <v>46258.556944444441</v>
      </c>
      <c r="AK413" s="11">
        <f>IFERROR(IF(MARÍTIMOS[[#This Row],[Etapa Ingreso - Atención]]="","",MARÍTIMOS[[#This Row],[Etapa Ingreso - Atención]]),"")</f>
        <v>46258.559027777781</v>
      </c>
      <c r="AL413" s="11">
        <f>IFERROR(IF(MARÍTIMOS[[#This Row],[Etapa Ingreso - Salida]]="","",MARÍTIMOS[[#This Row],[Etapa Ingreso - Salida]]),"")</f>
        <v>46258.565972222219</v>
      </c>
      <c r="AM413" s="2">
        <f>IFERROR(IF(MARÍTIMOS[[#This Row],[FCL]]="","",MARÍTIMOS[[#This Row],[FCL]]),"")</f>
        <v>1</v>
      </c>
      <c r="AN4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3" s="4" t="str" cm="1">
        <f t="array" ref="AO4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3" s="5">
        <f>IFERROR(OLDBD[[#This Row],[Llegada a packing]]-OLDBD[[#This Row],[Inicio de Ruta]],"")</f>
        <v>0.65486111111385981</v>
      </c>
      <c r="AQ413" s="6">
        <f>IFERROR(OLDBD[[#This Row],[Inicio de Ruta]]-OLDBD[[#This Row],[Salida de almacén de retiro]],"")</f>
        <v>3.7499999998544808E-2</v>
      </c>
      <c r="AR4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3" s="8" t="str" cm="1">
        <f t="array" ref="AS4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13" s="9" t="str">
        <f>IFERROR(OLDBD[[#This Row],[Ingreso Packing]]-OLDBD[[#This Row],[Registro en Packing]],"")</f>
        <v/>
      </c>
      <c r="AV413" s="9" t="str">
        <f>IFERROR(OLDBD[[#This Row],[Ingreso Packing]]-OLDBD[[#This Row],[Llegada a packing]],"")</f>
        <v/>
      </c>
      <c r="AW4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3" s="5">
        <f>IFERROR(OLDBD[[#This Row],[Llegada Almacén de Ingreso]]-OLDBD[[#This Row],[Salida Packing]],"")</f>
        <v>0.78125</v>
      </c>
      <c r="AY413" s="4" t="str" cm="1">
        <f t="array" ref="AY4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13" s="43" t="s">
        <v>173</v>
      </c>
      <c r="BB413" s="47" t="str">
        <f>IFERROR(IF(MARÍTIMOS[[#This Row],[Estatus]]="","",MARÍTIMOS[[#This Row],[Estatus]]),"")</f>
        <v>Confirmado</v>
      </c>
      <c r="BC413" s="43"/>
      <c r="BD413" s="46">
        <f>IFERROR(OLDBD[[#This Row],[Salida de almacén de retiro]]-OLDBD[[#This Row],[Ingreso Almacén de retiro]],"")</f>
        <v>3.4722222189884633E-3</v>
      </c>
      <c r="BE413" s="46" t="str">
        <f>IFERROR(OLDBD[[#This Row],[Fin de Carga]]-OLDBD[[#This Row],[Inicio de Carga]],"")</f>
        <v/>
      </c>
    </row>
    <row r="414" spans="1:57" customFormat="1" hidden="1">
      <c r="A414" s="1"/>
      <c r="B414" s="1">
        <f>IFERROR(IF(MARÍTIMOS[[#This Row],[PP]]="","",MARÍTIMOS[[#This Row],[PP]]),"")</f>
        <v>34</v>
      </c>
      <c r="C414" s="1" t="str">
        <f>IFERROR(IF(MARÍTIMOS[[#This Row],[Sede]]="","",MARÍTIMOS[[#This Row],[Sede]]),"")</f>
        <v>Chao</v>
      </c>
      <c r="D414" s="1" t="str">
        <f>IFERROR(IF(MARÍTIMOS[[#This Row],[Instruction]]="","",MARÍTIMOS[[#This Row],[Instruction]]),"")</f>
        <v>RH-0565</v>
      </c>
      <c r="E414" s="1"/>
      <c r="F414" s="2" t="str">
        <f>IFERROR(IF(MARÍTIMOS[[#This Row],[Transportista]]="","",MARÍTIMOS[[#This Row],[Transportista]]),"")</f>
        <v>VESL</v>
      </c>
      <c r="G414" s="2" t="str">
        <f>IFERROR(IF(MARÍTIMOS[[#This Row],[Tercero]]="","",MARÍTIMOS[[#This Row],[Tercero]]),"")</f>
        <v>NO</v>
      </c>
      <c r="H414" s="2" t="str">
        <f>IFERROR(IF(MARÍTIMOS[[#This Row],[Razón Social]]="","",MARÍTIMOS[[#This Row],[Razón Social]]),"")</f>
        <v>VE SOLUCIONES LOGISTICAS SAC</v>
      </c>
      <c r="I414" s="2">
        <f>IFERROR(IF(MARÍTIMOS[[#This Row],[RUC]]="","",MARÍTIMOS[[#This Row],[RUC]]),"")</f>
        <v>20557679392</v>
      </c>
      <c r="J414" s="2" t="str">
        <f>IFERROR(IF(MARÍTIMOS[[#This Row],[Placa Tracto]]="","",MARÍTIMOS[[#This Row],[Placa Tracto]]),"")</f>
        <v>BFY931</v>
      </c>
      <c r="K414" s="2" t="str">
        <f>IFERROR(IF(MARÍTIMOS[[#This Row],[Placa Carreta]]="","",MARÍTIMOS[[#This Row],[Placa Carreta]]),"")</f>
        <v>F5X-983</v>
      </c>
      <c r="L414" s="44" t="str">
        <f>IFERROR(IF(MARÍTIMOS[[#This Row],[Conductor]]="","",MARÍTIMOS[[#This Row],[Conductor]]),"")</f>
        <v>RICHARD CLEY CALDERON RODRIGUEZ</v>
      </c>
      <c r="M414" s="2" t="str">
        <f>IFERROR(IF(MARÍTIMOS[[#This Row],[Licencia]]="","",MARÍTIMOS[[#This Row],[Licencia]]),"")</f>
        <v>B003228182</v>
      </c>
      <c r="N414" s="2">
        <f>IFERROR(IF(MARÍTIMOS[[#This Row],[Número de Contacto]]="","",MARÍTIMOS[[#This Row],[Número de Contacto]]),"")</f>
        <v>0</v>
      </c>
      <c r="O414" s="10" t="str">
        <f>IFERROR(IF(MARÍTIMOS[[#This Row],[Booking|AWB|CRT]]="","",MARÍTIMOS[[#This Row],[Booking|AWB|CRT]]),"")</f>
        <v>PER9193561A</v>
      </c>
      <c r="P414" s="2" t="str">
        <f>IFERROR(IF(MARÍTIMOS[[#This Row],[Contenedor]]="","",MARÍTIMOS[[#This Row],[Contenedor]]),"")</f>
        <v>SEKU9419579</v>
      </c>
      <c r="Q414" s="2" t="str">
        <f>IFERROR(IF(MARÍTIMOS[[#This Row],[Puerto de Retiro]]="","",MARÍTIMOS[[#This Row],[Puerto de Retiro]]),"")</f>
        <v>PAITA</v>
      </c>
      <c r="R414" s="2" t="str">
        <f>IFERROR(IF(MARÍTIMOS[[#This Row],[Almacén de Retiro]]="","",MARÍTIMOS[[#This Row],[Almacén de Retiro]]),"")</f>
        <v>DPW</v>
      </c>
      <c r="S414" s="11">
        <f>IFERROR(IF(MARÍTIMOS[[#This Row],[Etapa Retiro - Cita]]="","",MARÍTIMOS[[#This Row],[Etapa Retiro - Cita]]),"")</f>
        <v>46196.583333333336</v>
      </c>
      <c r="T414" s="11">
        <f>IFERROR(IF(MARÍTIMOS[[#This Row],[Etapa Retiro - Llegada]]="","",MARÍTIMOS[[#This Row],[Etapa Retiro - Llegada]]),"")</f>
        <v>46257.580555555556</v>
      </c>
      <c r="U414" s="11">
        <f>IFERROR(IF(MARÍTIMOS[[#This Row],[Etapa Retiro - Ingreso]]="","",MARÍTIMOS[[#This Row],[Etapa Retiro - Ingreso]]),"")</f>
        <v>46257.605555555558</v>
      </c>
      <c r="V414" s="11">
        <f>IFERROR(IF(MARÍTIMOS[[#This Row],[Etapa Retiro - Atención]]="","",MARÍTIMOS[[#This Row],[Etapa Retiro - Atención]]),"")</f>
        <v>46257.619444444441</v>
      </c>
      <c r="W414" s="11">
        <f>IFERROR(IF(MARÍTIMOS[[#This Row],[Etapa Retiro - Atención]]="","",MARÍTIMOS[[#This Row],[Etapa Retiro - Atención]]),"")</f>
        <v>46257.619444444441</v>
      </c>
      <c r="X414" s="11">
        <f>IFERROR(IF(MARÍTIMOS[[#This Row],[Etapa Retiro - Inicio de Ruta]]="","",MARÍTIMOS[[#This Row],[Etapa Retiro - Inicio de Ruta]]),"")</f>
        <v>46257.642361111109</v>
      </c>
      <c r="Y414" s="11">
        <f>IFERROR(IF(MARÍTIMOS[[#This Row],[Hora de Posicionamiento]]="","",MARÍTIMOS[[#This Row],[Fecha de Carga]]+MARÍTIMOS[[#This Row],[Hora de Posicionamiento]]),"")</f>
        <v>46258.416666666664</v>
      </c>
      <c r="Z414" s="11">
        <f>IFERROR(IF(MARÍTIMOS[[#This Row],[Etapa Despacho - Llegada]]="","",MARÍTIMOS[[#This Row],[Etapa Despacho - Llegada]]),"")</f>
        <v>46257.344444444447</v>
      </c>
      <c r="AA414" s="11">
        <f>IFERROR(IF(MARÍTIMOS[[#This Row],[Etapa Despacho - Registro]]="","",MARÍTIMOS[[#This Row],[Etapa Despacho - Registro]]),"")</f>
        <v>46257.347222222219</v>
      </c>
      <c r="AB414" s="11" t="str">
        <f>IFERROR(IF(MARÍTIMOS[[#This Row],[Inspección Externa]]="","",MARÍTIMOS[[#This Row],[Inspección Externa]]),"")</f>
        <v/>
      </c>
      <c r="AC414" s="11">
        <f>IFERROR(IF(MARÍTIMOS[[#This Row],[Etapa Despacho - Inicio de Carga]]="","",MARÍTIMOS[[#This Row],[Etapa Despacho - Inicio de Carga]]),"")</f>
        <v>46257.493055555555</v>
      </c>
      <c r="AD414" s="11" t="str">
        <f>IFERROR(IF(MARÍTIMOS[[#This Row],[Etapa Despacho - Mitad de Carga]]="","",MARÍTIMOS[[#This Row],[Etapa Despacho - Mitad de Carga]]),"")</f>
        <v/>
      </c>
      <c r="AE414" s="11">
        <f>IFERROR(IF(MARÍTIMOS[[#This Row],[Etapa Despacho - Fin de Carga]]="","",MARÍTIMOS[[#This Row],[Etapa Despacho - Fin de Carga]]),"")</f>
        <v>46257.631944444445</v>
      </c>
      <c r="AF414" s="2" t="str">
        <f>IFERROR(IF(MARÍTIMOS[[#This Row],[Puerto de Embarque]]="","",MARÍTIMOS[[#This Row],[Puerto de Embarque]]),"")</f>
        <v>Paita</v>
      </c>
      <c r="AG414" s="2" t="str">
        <f>IFERROR(IF(MARÍTIMOS[[#This Row],[Almacén de Ingreso]]="","",MARÍTIMOS[[#This Row],[Almacén de Ingreso]]),"")</f>
        <v>TPE</v>
      </c>
      <c r="AH414" s="11">
        <f>IFERROR(IF(MARÍTIMOS[[#This Row],[Etapa Ingreso - Cita]]="","",MARÍTIMOS[[#This Row],[Etapa Ingreso - Cita]]),"")</f>
        <v>46259.541666666664</v>
      </c>
      <c r="AI414" s="11">
        <f>IFERROR(IF(MARÍTIMOS[[#This Row],[Etapa Ingreso - Llegada]]="","",MARÍTIMOS[[#This Row],[Etapa Ingreso - Llegada]]),"")</f>
        <v>46259.459027777775</v>
      </c>
      <c r="AJ414" s="11">
        <f>IFERROR(IF(MARÍTIMOS[[#This Row],[Etapa Ingreso - Ingeso]]="","",MARÍTIMOS[[#This Row],[Etapa Ingreso - Ingeso]]),"")</f>
        <v>46259.463888888888</v>
      </c>
      <c r="AK414" s="11">
        <f>IFERROR(IF(MARÍTIMOS[[#This Row],[Etapa Ingreso - Atención]]="","",MARÍTIMOS[[#This Row],[Etapa Ingreso - Atención]]),"")</f>
        <v>46259.468055555553</v>
      </c>
      <c r="AL414" s="11">
        <f>IFERROR(IF(MARÍTIMOS[[#This Row],[Etapa Ingreso - Salida]]="","",MARÍTIMOS[[#This Row],[Etapa Ingreso - Salida]]),"")</f>
        <v>46259.475694444445</v>
      </c>
      <c r="AM414" s="2">
        <f>IFERROR(IF(MARÍTIMOS[[#This Row],[FCL]]="","",MARÍTIMOS[[#This Row],[FCL]]),"")</f>
        <v>1</v>
      </c>
      <c r="AN4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4" s="4" t="str" cm="1">
        <f t="array" ref="AO4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4" s="5">
        <f>IFERROR(OLDBD[[#This Row],[Llegada a packing]]-OLDBD[[#This Row],[Inicio de Ruta]],"")</f>
        <v>-0.29791666666278616</v>
      </c>
      <c r="AQ414" s="6">
        <f>IFERROR(OLDBD[[#This Row],[Inicio de Ruta]]-OLDBD[[#This Row],[Salida de almacén de retiro]],"")</f>
        <v>2.2916666668606922E-2</v>
      </c>
      <c r="AR4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4" s="8" t="str" cm="1">
        <f t="array" ref="AS4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14" s="9" t="str">
        <f>IFERROR(OLDBD[[#This Row],[Ingreso Packing]]-OLDBD[[#This Row],[Registro en Packing]],"")</f>
        <v/>
      </c>
      <c r="AV414" s="9" t="str">
        <f>IFERROR(OLDBD[[#This Row],[Ingreso Packing]]-OLDBD[[#This Row],[Llegada a packing]],"")</f>
        <v/>
      </c>
      <c r="AW4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4" s="5">
        <f>IFERROR(OLDBD[[#This Row],[Llegada Almacén de Ingreso]]-OLDBD[[#This Row],[Salida Packing]],"")</f>
        <v>1.8270833333299379</v>
      </c>
      <c r="AY414" s="4" t="str" cm="1">
        <f t="array" ref="AY4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14" s="43" t="s">
        <v>173</v>
      </c>
      <c r="BB414" s="47" t="str">
        <f>IFERROR(IF(MARÍTIMOS[[#This Row],[Estatus]]="","",MARÍTIMOS[[#This Row],[Estatus]]),"")</f>
        <v>Confirmado</v>
      </c>
      <c r="BC414" s="43"/>
      <c r="BD414" s="46">
        <f>IFERROR(OLDBD[[#This Row],[Salida de almacén de retiro]]-OLDBD[[#This Row],[Ingreso Almacén de retiro]],"")</f>
        <v>1.3888888883229811E-2</v>
      </c>
      <c r="BE414" s="46" t="str">
        <f>IFERROR(OLDBD[[#This Row],[Fin de Carga]]-OLDBD[[#This Row],[Inicio de Carga]],"")</f>
        <v/>
      </c>
    </row>
    <row r="415" spans="1:57" customFormat="1" hidden="1">
      <c r="A415" s="1"/>
      <c r="B415" s="1">
        <f>IFERROR(IF(MARÍTIMOS[[#This Row],[PP]]="","",MARÍTIMOS[[#This Row],[PP]]),"")</f>
        <v>34</v>
      </c>
      <c r="C415" s="1" t="str">
        <f>IFERROR(IF(MARÍTIMOS[[#This Row],[Sede]]="","",MARÍTIMOS[[#This Row],[Sede]]),"")</f>
        <v>Chao</v>
      </c>
      <c r="D415" s="1" t="str">
        <f>IFERROR(IF(MARÍTIMOS[[#This Row],[Instruction]]="","",MARÍTIMOS[[#This Row],[Instruction]]),"")</f>
        <v>RH-0580</v>
      </c>
      <c r="E415" s="1"/>
      <c r="F415" s="2" t="str">
        <f>IFERROR(IF(MARÍTIMOS[[#This Row],[Transportista]]="","",MARÍTIMOS[[#This Row],[Transportista]]),"")</f>
        <v>VESL</v>
      </c>
      <c r="G415" s="2" t="str">
        <f>IFERROR(IF(MARÍTIMOS[[#This Row],[Tercero]]="","",MARÍTIMOS[[#This Row],[Tercero]]),"")</f>
        <v>NO</v>
      </c>
      <c r="H415" s="2" t="str">
        <f>IFERROR(IF(MARÍTIMOS[[#This Row],[Razón Social]]="","",MARÍTIMOS[[#This Row],[Razón Social]]),"")</f>
        <v>VE SOLUCIONES LOGISTICAS SAC</v>
      </c>
      <c r="I415" s="2">
        <f>IFERROR(IF(MARÍTIMOS[[#This Row],[RUC]]="","",MARÍTIMOS[[#This Row],[RUC]]),"")</f>
        <v>20557679392</v>
      </c>
      <c r="J415" s="2" t="str">
        <f>IFERROR(IF(MARÍTIMOS[[#This Row],[Placa Tracto]]="","",MARÍTIMOS[[#This Row],[Placa Tracto]]),"")</f>
        <v>BAV867</v>
      </c>
      <c r="K415" s="2" t="str">
        <f>IFERROR(IF(MARÍTIMOS[[#This Row],[Placa Carreta]]="","",MARÍTIMOS[[#This Row],[Placa Carreta]]),"")</f>
        <v>F5V-990</v>
      </c>
      <c r="L415" s="44" t="str">
        <f>IFERROR(IF(MARÍTIMOS[[#This Row],[Conductor]]="","",MARÍTIMOS[[#This Row],[Conductor]]),"")</f>
        <v>JESUS ALBERTO ZARRAGA ALVAREZ</v>
      </c>
      <c r="M415" s="2" t="str">
        <f>IFERROR(IF(MARÍTIMOS[[#This Row],[Licencia]]="","",MARÍTIMOS[[#This Row],[Licencia]]),"")</f>
        <v>B006469382</v>
      </c>
      <c r="N415" s="2">
        <f>IFERROR(IF(MARÍTIMOS[[#This Row],[Número de Contacto]]="","",MARÍTIMOS[[#This Row],[Número de Contacto]]),"")</f>
        <v>0</v>
      </c>
      <c r="O415" s="10" t="str">
        <f>IFERROR(IF(MARÍTIMOS[[#This Row],[Booking|AWB|CRT]]="","",MARÍTIMOS[[#This Row],[Booking|AWB|CRT]]),"")</f>
        <v>PER9202844A </v>
      </c>
      <c r="P415" s="2" t="str">
        <f>IFERROR(IF(MARÍTIMOS[[#This Row],[Contenedor]]="","",MARÍTIMOS[[#This Row],[Contenedor]]),"")</f>
        <v>TXGU9031192</v>
      </c>
      <c r="Q415" s="2" t="str">
        <f>IFERROR(IF(MARÍTIMOS[[#This Row],[Puerto de Retiro]]="","",MARÍTIMOS[[#This Row],[Puerto de Retiro]]),"")</f>
        <v>PAITA</v>
      </c>
      <c r="R415" s="2" t="str">
        <f>IFERROR(IF(MARÍTIMOS[[#This Row],[Almacén de Retiro]]="","",MARÍTIMOS[[#This Row],[Almacén de Retiro]]),"")</f>
        <v>DPW</v>
      </c>
      <c r="S415" s="11">
        <f>IFERROR(IF(MARÍTIMOS[[#This Row],[Etapa Retiro - Cita]]="","",MARÍTIMOS[[#This Row],[Etapa Retiro - Cita]]),"")</f>
        <v>46196.583333333336</v>
      </c>
      <c r="T415" s="11">
        <f>IFERROR(IF(MARÍTIMOS[[#This Row],[Etapa Retiro - Llegada]]="","",MARÍTIMOS[[#This Row],[Etapa Retiro - Llegada]]),"")</f>
        <v>46196.588888888888</v>
      </c>
      <c r="U415" s="11">
        <f>IFERROR(IF(MARÍTIMOS[[#This Row],[Etapa Retiro - Ingreso]]="","",MARÍTIMOS[[#This Row],[Etapa Retiro - Ingreso]]),"")</f>
        <v>46196.61041666667</v>
      </c>
      <c r="V415" s="11">
        <f>IFERROR(IF(MARÍTIMOS[[#This Row],[Etapa Retiro - Atención]]="","",MARÍTIMOS[[#This Row],[Etapa Retiro - Atención]]),"")</f>
        <v>46196.595833333333</v>
      </c>
      <c r="W415" s="11">
        <f>IFERROR(IF(MARÍTIMOS[[#This Row],[Etapa Retiro - Atención]]="","",MARÍTIMOS[[#This Row],[Etapa Retiro - Atención]]),"")</f>
        <v>46196.595833333333</v>
      </c>
      <c r="X415" s="11">
        <f>IFERROR(IF(MARÍTIMOS[[#This Row],[Etapa Retiro - Inicio de Ruta]]="","",MARÍTIMOS[[#This Row],[Etapa Retiro - Inicio de Ruta]]),"")</f>
        <v>46196.665972222225</v>
      </c>
      <c r="Y415" s="11">
        <f>IFERROR(IF(MARÍTIMOS[[#This Row],[Hora de Posicionamiento]]="","",MARÍTIMOS[[#This Row],[Fecha de Carga]]+MARÍTIMOS[[#This Row],[Hora de Posicionamiento]]),"")</f>
        <v>46258.333333333336</v>
      </c>
      <c r="Z415" s="11">
        <f>IFERROR(IF(MARÍTIMOS[[#This Row],[Etapa Despacho - Llegada]]="","",MARÍTIMOS[[#This Row],[Etapa Despacho - Llegada]]),"")</f>
        <v>46257.436805555553</v>
      </c>
      <c r="AA415" s="11">
        <f>IFERROR(IF(MARÍTIMOS[[#This Row],[Etapa Despacho - Registro]]="","",MARÍTIMOS[[#This Row],[Etapa Despacho - Registro]]),"")</f>
        <v>46257.44027777778</v>
      </c>
      <c r="AB415" s="11" t="str">
        <f>IFERROR(IF(MARÍTIMOS[[#This Row],[Inspección Externa]]="","",MARÍTIMOS[[#This Row],[Inspección Externa]]),"")</f>
        <v/>
      </c>
      <c r="AC415" s="11">
        <f>IFERROR(IF(MARÍTIMOS[[#This Row],[Etapa Despacho - Inicio de Carga]]="","",MARÍTIMOS[[#This Row],[Etapa Despacho - Inicio de Carga]]),"")</f>
        <v>46257.504861111112</v>
      </c>
      <c r="AD415" s="11" t="str">
        <f>IFERROR(IF(MARÍTIMOS[[#This Row],[Etapa Despacho - Mitad de Carga]]="","",MARÍTIMOS[[#This Row],[Etapa Despacho - Mitad de Carga]]),"")</f>
        <v/>
      </c>
      <c r="AE415" s="11">
        <f>IFERROR(IF(MARÍTIMOS[[#This Row],[Etapa Despacho - Fin de Carga]]="","",MARÍTIMOS[[#This Row],[Etapa Despacho - Fin de Carga]]),"")</f>
        <v>46257.651388888888</v>
      </c>
      <c r="AF415" s="2" t="str">
        <f>IFERROR(IF(MARÍTIMOS[[#This Row],[Puerto de Embarque]]="","",MARÍTIMOS[[#This Row],[Puerto de Embarque]]),"")</f>
        <v>Paita</v>
      </c>
      <c r="AG415" s="2" t="str">
        <f>IFERROR(IF(MARÍTIMOS[[#This Row],[Almacén de Ingreso]]="","",MARÍTIMOS[[#This Row],[Almacén de Ingreso]]),"")</f>
        <v>TPE</v>
      </c>
      <c r="AH415" s="11">
        <f>IFERROR(IF(MARÍTIMOS[[#This Row],[Etapa Ingreso - Cita]]="","",MARÍTIMOS[[#This Row],[Etapa Ingreso - Cita]]),"")</f>
        <v>46259.541666666664</v>
      </c>
      <c r="AI415" s="11">
        <f>IFERROR(IF(MARÍTIMOS[[#This Row],[Etapa Ingreso - Llegada]]="","",MARÍTIMOS[[#This Row],[Etapa Ingreso - Llegada]]),"")</f>
        <v>46259.492361111108</v>
      </c>
      <c r="AJ415" s="11">
        <f>IFERROR(IF(MARÍTIMOS[[#This Row],[Etapa Ingreso - Ingeso]]="","",MARÍTIMOS[[#This Row],[Etapa Ingreso - Ingeso]]),"")</f>
        <v>46259.49722222222</v>
      </c>
      <c r="AK415" s="11">
        <f>IFERROR(IF(MARÍTIMOS[[#This Row],[Etapa Ingreso - Atención]]="","",MARÍTIMOS[[#This Row],[Etapa Ingreso - Atención]]),"")</f>
        <v>46259.5</v>
      </c>
      <c r="AL415" s="11">
        <f>IFERROR(IF(MARÍTIMOS[[#This Row],[Etapa Ingreso - Salida]]="","",MARÍTIMOS[[#This Row],[Etapa Ingreso - Salida]]),"")</f>
        <v>46259.503472222219</v>
      </c>
      <c r="AM415" s="2">
        <f>IFERROR(IF(MARÍTIMOS[[#This Row],[FCL]]="","",MARÍTIMOS[[#This Row],[FCL]]),"")</f>
        <v>1</v>
      </c>
      <c r="AN4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5" s="4" t="str" cm="1">
        <f t="array" ref="AO4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5" s="5">
        <f>IFERROR(OLDBD[[#This Row],[Llegada a packing]]-OLDBD[[#This Row],[Inicio de Ruta]],"")</f>
        <v>60.770833333328483</v>
      </c>
      <c r="AQ415" s="6">
        <f>IFERROR(OLDBD[[#This Row],[Inicio de Ruta]]-OLDBD[[#This Row],[Salida de almacén de retiro]],"")</f>
        <v>7.013888889196096E-2</v>
      </c>
      <c r="AR4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5" s="8" t="str" cm="1">
        <f t="array" ref="AS4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15" s="9" t="str">
        <f>IFERROR(OLDBD[[#This Row],[Ingreso Packing]]-OLDBD[[#This Row],[Registro en Packing]],"")</f>
        <v/>
      </c>
      <c r="AV415" s="9" t="str">
        <f>IFERROR(OLDBD[[#This Row],[Ingreso Packing]]-OLDBD[[#This Row],[Llegada a packing]],"")</f>
        <v/>
      </c>
      <c r="AW4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5" s="5">
        <f>IFERROR(OLDBD[[#This Row],[Llegada Almacén de Ingreso]]-OLDBD[[#This Row],[Salida Packing]],"")</f>
        <v>1.8409722222204437</v>
      </c>
      <c r="AY415" s="4" t="str" cm="1">
        <f t="array" ref="AY4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15" s="43" t="s">
        <v>173</v>
      </c>
      <c r="BB415" s="47" t="str">
        <f>IFERROR(IF(MARÍTIMOS[[#This Row],[Estatus]]="","",MARÍTIMOS[[#This Row],[Estatus]]),"")</f>
        <v>Confirmado</v>
      </c>
      <c r="BC415" s="43"/>
      <c r="BD415" s="46">
        <f>IFERROR(OLDBD[[#This Row],[Salida de almacén de retiro]]-OLDBD[[#This Row],[Ingreso Almacén de retiro]],"")</f>
        <v>-1.4583333337213844E-2</v>
      </c>
      <c r="BE415" s="46" t="str">
        <f>IFERROR(OLDBD[[#This Row],[Fin de Carga]]-OLDBD[[#This Row],[Inicio de Carga]],"")</f>
        <v/>
      </c>
    </row>
    <row r="416" spans="1:57" customFormat="1" hidden="1">
      <c r="A416" s="1"/>
      <c r="B416" s="1">
        <f>IFERROR(IF(MARÍTIMOS[[#This Row],[PP]]="","",MARÍTIMOS[[#This Row],[PP]]),"")</f>
        <v>35</v>
      </c>
      <c r="C416" s="1" t="str">
        <f>IFERROR(IF(MARÍTIMOS[[#This Row],[Sede]]="","",MARÍTIMOS[[#This Row],[Sede]]),"")</f>
        <v>Chao</v>
      </c>
      <c r="D416" s="1" t="str">
        <f>IFERROR(IF(MARÍTIMOS[[#This Row],[Instruction]]="","",MARÍTIMOS[[#This Row],[Instruction]]),"")</f>
        <v>RH-0597</v>
      </c>
      <c r="E416" s="1"/>
      <c r="F416" s="2" t="str">
        <f>IFERROR(IF(MARÍTIMOS[[#This Row],[Transportista]]="","",MARÍTIMOS[[#This Row],[Transportista]]),"")</f>
        <v>VESL</v>
      </c>
      <c r="G416" s="2" t="str">
        <f>IFERROR(IF(MARÍTIMOS[[#This Row],[Tercero]]="","",MARÍTIMOS[[#This Row],[Tercero]]),"")</f>
        <v>NO</v>
      </c>
      <c r="H416" s="2" t="str">
        <f>IFERROR(IF(MARÍTIMOS[[#This Row],[Razón Social]]="","",MARÍTIMOS[[#This Row],[Razón Social]]),"")</f>
        <v>VE SOLUCIONES LOGISTICAS SAC</v>
      </c>
      <c r="I416" s="2">
        <f>IFERROR(IF(MARÍTIMOS[[#This Row],[RUC]]="","",MARÍTIMOS[[#This Row],[RUC]]),"")</f>
        <v>20557679392</v>
      </c>
      <c r="J416" s="2" t="str">
        <f>IFERROR(IF(MARÍTIMOS[[#This Row],[Placa Tracto]]="","",MARÍTIMOS[[#This Row],[Placa Tracto]]),"")</f>
        <v>BYR898</v>
      </c>
      <c r="K416" s="2" t="str">
        <f>IFERROR(IF(MARÍTIMOS[[#This Row],[Placa Carreta]]="","",MARÍTIMOS[[#This Row],[Placa Carreta]]),"")</f>
        <v>AHV972</v>
      </c>
      <c r="L416" s="44" t="str">
        <f>IFERROR(IF(MARÍTIMOS[[#This Row],[Conductor]]="","",MARÍTIMOS[[#This Row],[Conductor]]),"")</f>
        <v>DANIEL PADILLA DIESTRA</v>
      </c>
      <c r="M416" s="2" t="str">
        <f>IFERROR(IF(MARÍTIMOS[[#This Row],[Licencia]]="","",MARÍTIMOS[[#This Row],[Licencia]]),"")</f>
        <v>Q71081082</v>
      </c>
      <c r="N416" s="2">
        <f>IFERROR(IF(MARÍTIMOS[[#This Row],[Número de Contacto]]="","",MARÍTIMOS[[#This Row],[Número de Contacto]]),"")</f>
        <v>0</v>
      </c>
      <c r="O416" s="10">
        <f>IFERROR(IF(MARÍTIMOS[[#This Row],[Booking|AWB|CRT]]="","",MARÍTIMOS[[#This Row],[Booking|AWB|CRT]]),"")</f>
        <v>276067696</v>
      </c>
      <c r="P416" s="2" t="str">
        <f>IFERROR(IF(MARÍTIMOS[[#This Row],[Contenedor]]="","",MARÍTIMOS[[#This Row],[Contenedor]]),"")</f>
        <v>MNBU9014776</v>
      </c>
      <c r="Q416" s="2" t="str">
        <f>IFERROR(IF(MARÍTIMOS[[#This Row],[Puerto de Retiro]]="","",MARÍTIMOS[[#This Row],[Puerto de Retiro]]),"")</f>
        <v>CALLAO</v>
      </c>
      <c r="R416" s="2" t="str">
        <f>IFERROR(IF(MARÍTIMOS[[#This Row],[Almacén de Retiro]]="","",MARÍTIMOS[[#This Row],[Almacén de Retiro]]),"")</f>
        <v>DEMARES</v>
      </c>
      <c r="S416" s="11">
        <f>IFERROR(IF(MARÍTIMOS[[#This Row],[Etapa Retiro - Cita]]="","",MARÍTIMOS[[#This Row],[Etapa Retiro - Cita]]),"")</f>
        <v>46259.583333333336</v>
      </c>
      <c r="T416" s="11">
        <f>IFERROR(IF(MARÍTIMOS[[#This Row],[Etapa Retiro - Llegada]]="","",MARÍTIMOS[[#This Row],[Etapa Retiro - Llegada]]),"")</f>
        <v>46259.601388888892</v>
      </c>
      <c r="U416" s="11">
        <f>IFERROR(IF(MARÍTIMOS[[#This Row],[Etapa Retiro - Ingreso]]="","",MARÍTIMOS[[#This Row],[Etapa Retiro - Ingreso]]),"")</f>
        <v>46259.621527777781</v>
      </c>
      <c r="V416" s="11">
        <f>IFERROR(IF(MARÍTIMOS[[#This Row],[Etapa Retiro - Atención]]="","",MARÍTIMOS[[#This Row],[Etapa Retiro - Atención]]),"")</f>
        <v>46259.628472222219</v>
      </c>
      <c r="W416" s="11">
        <f>IFERROR(IF(MARÍTIMOS[[#This Row],[Etapa Retiro - Atención]]="","",MARÍTIMOS[[#This Row],[Etapa Retiro - Atención]]),"")</f>
        <v>46259.628472222219</v>
      </c>
      <c r="X416" s="11">
        <f>IFERROR(IF(MARÍTIMOS[[#This Row],[Etapa Retiro - Inicio de Ruta]]="","",MARÍTIMOS[[#This Row],[Etapa Retiro - Inicio de Ruta]]),"")</f>
        <v>46259.643750000003</v>
      </c>
      <c r="Y416" s="11">
        <f>IFERROR(IF(MARÍTIMOS[[#This Row],[Hora de Posicionamiento]]="","",MARÍTIMOS[[#This Row],[Fecha de Carga]]+MARÍTIMOS[[#This Row],[Hora de Posicionamiento]]),"")</f>
        <v>46260.5</v>
      </c>
      <c r="Z416" s="11">
        <f>IFERROR(IF(MARÍTIMOS[[#This Row],[Etapa Despacho - Llegada]]="","",MARÍTIMOS[[#This Row],[Etapa Despacho - Llegada]]),"")</f>
        <v>46260.418055555558</v>
      </c>
      <c r="AA416" s="11">
        <f>IFERROR(IF(MARÍTIMOS[[#This Row],[Etapa Despacho - Registro]]="","",MARÍTIMOS[[#This Row],[Etapa Despacho - Registro]]),"")</f>
        <v>46260.42083333333</v>
      </c>
      <c r="AB416" s="11" t="str">
        <f>IFERROR(IF(MARÍTIMOS[[#This Row],[Inspección Externa]]="","",MARÍTIMOS[[#This Row],[Inspección Externa]]),"")</f>
        <v/>
      </c>
      <c r="AC416" s="11">
        <f>IFERROR(IF(MARÍTIMOS[[#This Row],[Etapa Despacho - Inicio de Carga]]="","",MARÍTIMOS[[#This Row],[Etapa Despacho - Inicio de Carga]]),"")</f>
        <v>46260.45416666667</v>
      </c>
      <c r="AD416" s="11" t="str">
        <f>IFERROR(IF(MARÍTIMOS[[#This Row],[Etapa Despacho - Mitad de Carga]]="","",MARÍTIMOS[[#This Row],[Etapa Despacho - Mitad de Carga]]),"")</f>
        <v/>
      </c>
      <c r="AE416" s="11">
        <f>IFERROR(IF(MARÍTIMOS[[#This Row],[Etapa Despacho - Fin de Carga]]="","",MARÍTIMOS[[#This Row],[Etapa Despacho - Fin de Carga]]),"")</f>
        <v>46260.642361111109</v>
      </c>
      <c r="AF416" s="2" t="str">
        <f>IFERROR(IF(MARÍTIMOS[[#This Row],[Puerto de Embarque]]="","",MARÍTIMOS[[#This Row],[Puerto de Embarque]]),"")</f>
        <v>Callao</v>
      </c>
      <c r="AG416" s="2" t="str">
        <f>IFERROR(IF(MARÍTIMOS[[#This Row],[Almacén de Ingreso]]="","",MARÍTIMOS[[#This Row],[Almacén de Ingreso]]),"")</f>
        <v>APM</v>
      </c>
      <c r="AH416" s="11">
        <f>IFERROR(IF(MARÍTIMOS[[#This Row],[Etapa Ingreso - Cita]]="","",MARÍTIMOS[[#This Row],[Etapa Ingreso - Cita]]),"")</f>
        <v>46261.625</v>
      </c>
      <c r="AI416" s="11">
        <f>IFERROR(IF(MARÍTIMOS[[#This Row],[Etapa Ingreso - Llegada]]="","",MARÍTIMOS[[#This Row],[Etapa Ingreso - Llegada]]),"")</f>
        <v>46261.429861111108</v>
      </c>
      <c r="AJ416" s="11">
        <f>IFERROR(IF(MARÍTIMOS[[#This Row],[Etapa Ingreso - Ingeso]]="","",MARÍTIMOS[[#This Row],[Etapa Ingreso - Ingeso]]),"")</f>
        <v>46261.50277777778</v>
      </c>
      <c r="AK416" s="11">
        <f>IFERROR(IF(MARÍTIMOS[[#This Row],[Etapa Ingreso - Atención]]="","",MARÍTIMOS[[#This Row],[Etapa Ingreso - Atención]]),"")</f>
        <v>46261.504861111112</v>
      </c>
      <c r="AL416" s="11">
        <f>IFERROR(IF(MARÍTIMOS[[#This Row],[Etapa Ingreso - Salida]]="","",MARÍTIMOS[[#This Row],[Etapa Ingreso - Salida]]),"")</f>
        <v>46261.513888888891</v>
      </c>
      <c r="AM416" s="2">
        <f>IFERROR(IF(MARÍTIMOS[[#This Row],[FCL]]="","",MARÍTIMOS[[#This Row],[FCL]]),"")</f>
        <v>1</v>
      </c>
      <c r="AN4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6" s="4" t="str" cm="1">
        <f t="array" ref="AO4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6" s="5">
        <f>IFERROR(OLDBD[[#This Row],[Llegada a packing]]-OLDBD[[#This Row],[Inicio de Ruta]],"")</f>
        <v>0.77430555555474712</v>
      </c>
      <c r="AQ416" s="6">
        <f>IFERROR(OLDBD[[#This Row],[Inicio de Ruta]]-OLDBD[[#This Row],[Salida de almacén de retiro]],"")</f>
        <v>1.527777778392192E-2</v>
      </c>
      <c r="AR4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6" s="8" t="str" cm="1">
        <f t="array" ref="AS4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16" s="9" t="str">
        <f>IFERROR(OLDBD[[#This Row],[Ingreso Packing]]-OLDBD[[#This Row],[Registro en Packing]],"")</f>
        <v/>
      </c>
      <c r="AV416" s="9" t="str">
        <f>IFERROR(OLDBD[[#This Row],[Ingreso Packing]]-OLDBD[[#This Row],[Llegada a packing]],"")</f>
        <v/>
      </c>
      <c r="AW4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6" s="5">
        <f>IFERROR(OLDBD[[#This Row],[Llegada Almacén de Ingreso]]-OLDBD[[#This Row],[Salida Packing]],"")</f>
        <v>0.78749999999854481</v>
      </c>
      <c r="AY416" s="4" t="str" cm="1">
        <f t="array" ref="AY4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HIGH</v>
      </c>
      <c r="AZ4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16" s="43" t="s">
        <v>173</v>
      </c>
      <c r="BB416" s="47" t="str">
        <f>IFERROR(IF(MARÍTIMOS[[#This Row],[Estatus]]="","",MARÍTIMOS[[#This Row],[Estatus]]),"")</f>
        <v>onfirmado</v>
      </c>
      <c r="BC416" s="43"/>
      <c r="BD416" s="46">
        <f>IFERROR(OLDBD[[#This Row],[Salida de almacén de retiro]]-OLDBD[[#This Row],[Ingreso Almacén de retiro]],"")</f>
        <v>6.9444444379769266E-3</v>
      </c>
      <c r="BE416" s="46" t="str">
        <f>IFERROR(OLDBD[[#This Row],[Fin de Carga]]-OLDBD[[#This Row],[Inicio de Carga]],"")</f>
        <v/>
      </c>
    </row>
    <row r="417" spans="1:57" customFormat="1" hidden="1">
      <c r="A417" s="1"/>
      <c r="B417" s="1">
        <f>IFERROR(IF(MARÍTIMOS[[#This Row],[PP]]="","",MARÍTIMOS[[#This Row],[PP]]),"")</f>
        <v>35</v>
      </c>
      <c r="C417" s="1" t="str">
        <f>IFERROR(IF(MARÍTIMOS[[#This Row],[Sede]]="","",MARÍTIMOS[[#This Row],[Sede]]),"")</f>
        <v>Chao</v>
      </c>
      <c r="D417" s="1" t="str">
        <f>IFERROR(IF(MARÍTIMOS[[#This Row],[Instruction]]="","",MARÍTIMOS[[#This Row],[Instruction]]),"")</f>
        <v>RH-0599</v>
      </c>
      <c r="E417" s="1"/>
      <c r="F417" s="2" t="str">
        <f>IFERROR(IF(MARÍTIMOS[[#This Row],[Transportista]]="","",MARÍTIMOS[[#This Row],[Transportista]]),"")</f>
        <v>VESL</v>
      </c>
      <c r="G417" s="2" t="str">
        <f>IFERROR(IF(MARÍTIMOS[[#This Row],[Tercero]]="","",MARÍTIMOS[[#This Row],[Tercero]]),"")</f>
        <v>NO</v>
      </c>
      <c r="H417" s="2" t="str">
        <f>IFERROR(IF(MARÍTIMOS[[#This Row],[Razón Social]]="","",MARÍTIMOS[[#This Row],[Razón Social]]),"")</f>
        <v>VE SOLUCIONES LOGISTICAS SAC</v>
      </c>
      <c r="I417" s="2">
        <f>IFERROR(IF(MARÍTIMOS[[#This Row],[RUC]]="","",MARÍTIMOS[[#This Row],[RUC]]),"")</f>
        <v>20557679392</v>
      </c>
      <c r="J417" s="2" t="str">
        <f>IFERROR(IF(MARÍTIMOS[[#This Row],[Placa Tracto]]="","",MARÍTIMOS[[#This Row],[Placa Tracto]]),"")</f>
        <v>BFY931</v>
      </c>
      <c r="K417" s="2" t="str">
        <f>IFERROR(IF(MARÍTIMOS[[#This Row],[Placa Carreta]]="","",MARÍTIMOS[[#This Row],[Placa Carreta]]),"")</f>
        <v>F5X-983</v>
      </c>
      <c r="L417" s="44" t="str">
        <f>IFERROR(IF(MARÍTIMOS[[#This Row],[Conductor]]="","",MARÍTIMOS[[#This Row],[Conductor]]),"")</f>
        <v>RICHARD CLEY CALDERON RODRIGUEZ</v>
      </c>
      <c r="M417" s="2" t="str">
        <f>IFERROR(IF(MARÍTIMOS[[#This Row],[Licencia]]="","",MARÍTIMOS[[#This Row],[Licencia]]),"")</f>
        <v>B003228182</v>
      </c>
      <c r="N417" s="2">
        <f>IFERROR(IF(MARÍTIMOS[[#This Row],[Número de Contacto]]="","",MARÍTIMOS[[#This Row],[Número de Contacto]]),"")</f>
        <v>0</v>
      </c>
      <c r="O417" s="10" t="str">
        <f>IFERROR(IF(MARÍTIMOS[[#This Row],[Booking|AWB|CRT]]="","",MARÍTIMOS[[#This Row],[Booking|AWB|CRT]]),"")</f>
        <v>MBM250067128</v>
      </c>
      <c r="P417" s="2" t="str">
        <f>IFERROR(IF(MARÍTIMOS[[#This Row],[Contenedor]]="","",MARÍTIMOS[[#This Row],[Contenedor]]),"")</f>
        <v>CXRU1620249</v>
      </c>
      <c r="Q417" s="2" t="str">
        <f>IFERROR(IF(MARÍTIMOS[[#This Row],[Puerto de Retiro]]="","",MARÍTIMOS[[#This Row],[Puerto de Retiro]]),"")</f>
        <v>PAITA</v>
      </c>
      <c r="R417" s="2" t="str">
        <f>IFERROR(IF(MARÍTIMOS[[#This Row],[Almacén de Retiro]]="","",MARÍTIMOS[[#This Row],[Almacén de Retiro]]),"")</f>
        <v>MACROMAR</v>
      </c>
      <c r="S417" s="11">
        <f>IFERROR(IF(MARÍTIMOS[[#This Row],[Etapa Retiro - Cita]]="","",MARÍTIMOS[[#This Row],[Etapa Retiro - Cita]]),"")</f>
        <v>46261.625</v>
      </c>
      <c r="T417" s="11">
        <f>IFERROR(IF(MARÍTIMOS[[#This Row],[Etapa Retiro - Llegada]]="","",MARÍTIMOS[[#This Row],[Etapa Retiro - Llegada]]),"")</f>
        <v>46261.571527777778</v>
      </c>
      <c r="U417" s="11">
        <f>IFERROR(IF(MARÍTIMOS[[#This Row],[Etapa Retiro - Ingreso]]="","",MARÍTIMOS[[#This Row],[Etapa Retiro - Ingreso]]),"")</f>
        <v>46261.597222222219</v>
      </c>
      <c r="V417" s="11">
        <f>IFERROR(IF(MARÍTIMOS[[#This Row],[Etapa Retiro - Atención]]="","",MARÍTIMOS[[#This Row],[Etapa Retiro - Atención]]),"")</f>
        <v>46261.609722222223</v>
      </c>
      <c r="W417" s="11">
        <f>IFERROR(IF(MARÍTIMOS[[#This Row],[Etapa Retiro - Atención]]="","",MARÍTIMOS[[#This Row],[Etapa Retiro - Atención]]),"")</f>
        <v>46261.609722222223</v>
      </c>
      <c r="X417" s="11">
        <f>IFERROR(IF(MARÍTIMOS[[#This Row],[Etapa Retiro - Inicio de Ruta]]="","",MARÍTIMOS[[#This Row],[Etapa Retiro - Inicio de Ruta]]),"")</f>
        <v>46261.679166666669</v>
      </c>
      <c r="Y417" s="11">
        <f>IFERROR(IF(MARÍTIMOS[[#This Row],[Hora de Posicionamiento]]="","",MARÍTIMOS[[#This Row],[Fecha de Carga]]+MARÍTIMOS[[#This Row],[Hora de Posicionamiento]]),"")</f>
        <v>46262.333333333336</v>
      </c>
      <c r="Z417" s="11">
        <f>IFERROR(IF(MARÍTIMOS[[#This Row],[Etapa Despacho - Llegada]]="","",MARÍTIMOS[[#This Row],[Etapa Despacho - Llegada]]),"")</f>
        <v>46262.356944444444</v>
      </c>
      <c r="AA417" s="11">
        <f>IFERROR(IF(MARÍTIMOS[[#This Row],[Etapa Despacho - Registro]]="","",MARÍTIMOS[[#This Row],[Etapa Despacho - Registro]]),"")</f>
        <v>46262.359722222223</v>
      </c>
      <c r="AB417" s="11" t="str">
        <f>IFERROR(IF(MARÍTIMOS[[#This Row],[Inspección Externa]]="","",MARÍTIMOS[[#This Row],[Inspección Externa]]),"")</f>
        <v/>
      </c>
      <c r="AC417" s="11">
        <f>IFERROR(IF(MARÍTIMOS[[#This Row],[Etapa Despacho - Inicio de Carga]]="","",MARÍTIMOS[[#This Row],[Etapa Despacho - Inicio de Carga]]),"")</f>
        <v>46262.458333333336</v>
      </c>
      <c r="AD417" s="11" t="str">
        <f>IFERROR(IF(MARÍTIMOS[[#This Row],[Etapa Despacho - Mitad de Carga]]="","",MARÍTIMOS[[#This Row],[Etapa Despacho - Mitad de Carga]]),"")</f>
        <v/>
      </c>
      <c r="AE417" s="11">
        <f>IFERROR(IF(MARÍTIMOS[[#This Row],[Etapa Despacho - Fin de Carga]]="","",MARÍTIMOS[[#This Row],[Etapa Despacho - Fin de Carga]]),"")</f>
        <v>46262.583333333336</v>
      </c>
      <c r="AF417" s="2" t="str">
        <f>IFERROR(IF(MARÍTIMOS[[#This Row],[Puerto de Embarque]]="","",MARÍTIMOS[[#This Row],[Puerto de Embarque]]),"")</f>
        <v>Paita</v>
      </c>
      <c r="AG417" s="2" t="str">
        <f>IFERROR(IF(MARÍTIMOS[[#This Row],[Almacén de Ingreso]]="","",MARÍTIMOS[[#This Row],[Almacén de Ingreso]]),"")</f>
        <v>TPE</v>
      </c>
      <c r="AH417" s="11">
        <f>IFERROR(IF(MARÍTIMOS[[#This Row],[Etapa Ingreso - Cita]]="","",MARÍTIMOS[[#This Row],[Etapa Ingreso - Cita]]),"")</f>
        <v>46263.416666666664</v>
      </c>
      <c r="AI417" s="11">
        <f>IFERROR(IF(MARÍTIMOS[[#This Row],[Etapa Ingreso - Llegada]]="","",MARÍTIMOS[[#This Row],[Etapa Ingreso - Llegada]]),"")</f>
        <v>46263.452777777777</v>
      </c>
      <c r="AJ417" s="11">
        <f>IFERROR(IF(MARÍTIMOS[[#This Row],[Etapa Ingreso - Ingeso]]="","",MARÍTIMOS[[#This Row],[Etapa Ingreso - Ingeso]]),"")</f>
        <v>46263.456250000003</v>
      </c>
      <c r="AK417" s="11">
        <f>IFERROR(IF(MARÍTIMOS[[#This Row],[Etapa Ingreso - Atención]]="","",MARÍTIMOS[[#This Row],[Etapa Ingreso - Atención]]),"")</f>
        <v>46263.461805555555</v>
      </c>
      <c r="AL417" s="11">
        <f>IFERROR(IF(MARÍTIMOS[[#This Row],[Etapa Ingreso - Salida]]="","",MARÍTIMOS[[#This Row],[Etapa Ingreso - Salida]]),"")</f>
        <v>46263.46597222222</v>
      </c>
      <c r="AM417" s="2">
        <f>IFERROR(IF(MARÍTIMOS[[#This Row],[FCL]]="","",MARÍTIMOS[[#This Row],[FCL]]),"")</f>
        <v>1</v>
      </c>
      <c r="AN4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417" s="4" t="str" cm="1">
        <f t="array" ref="AO4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7" s="5">
        <f>IFERROR(OLDBD[[#This Row],[Llegada a packing]]-OLDBD[[#This Row],[Inicio de Ruta]],"")</f>
        <v>0.67777777777519077</v>
      </c>
      <c r="AQ417" s="6">
        <f>IFERROR(OLDBD[[#This Row],[Inicio de Ruta]]-OLDBD[[#This Row],[Salida de almacén de retiro]],"")</f>
        <v>6.9444444445252884E-2</v>
      </c>
      <c r="AR4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17" s="8" t="str" cm="1">
        <f t="array" ref="AS4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17" s="9" t="str">
        <f>IFERROR(OLDBD[[#This Row],[Ingreso Packing]]-OLDBD[[#This Row],[Registro en Packing]],"")</f>
        <v/>
      </c>
      <c r="AV417" s="9" t="str">
        <f>IFERROR(OLDBD[[#This Row],[Ingreso Packing]]-OLDBD[[#This Row],[Llegada a packing]],"")</f>
        <v/>
      </c>
      <c r="AW4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7" s="5">
        <f>IFERROR(OLDBD[[#This Row],[Llegada Almacén de Ingreso]]-OLDBD[[#This Row],[Salida Packing]],"")</f>
        <v>0.86944444444088731</v>
      </c>
      <c r="AY417" s="4" t="str" cm="1">
        <f t="array" ref="AY4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17" s="43" t="s">
        <v>173</v>
      </c>
      <c r="BB417" s="47" t="str">
        <f>IFERROR(IF(MARÍTIMOS[[#This Row],[Estatus]]="","",MARÍTIMOS[[#This Row],[Estatus]]),"")</f>
        <v>Confirmado</v>
      </c>
      <c r="BC417" s="43"/>
      <c r="BD417" s="46">
        <f>IFERROR(OLDBD[[#This Row],[Salida de almacén de retiro]]-OLDBD[[#This Row],[Ingreso Almacén de retiro]],"")</f>
        <v>1.2500000004365575E-2</v>
      </c>
      <c r="BE417" s="46" t="str">
        <f>IFERROR(OLDBD[[#This Row],[Fin de Carga]]-OLDBD[[#This Row],[Inicio de Carga]],"")</f>
        <v/>
      </c>
    </row>
    <row r="418" spans="1:57" customFormat="1" hidden="1">
      <c r="A418" s="1"/>
      <c r="B418" s="1">
        <f>IFERROR(IF(MARÍTIMOS[[#This Row],[PP]]="","",MARÍTIMOS[[#This Row],[PP]]),"")</f>
        <v>35</v>
      </c>
      <c r="C418" s="1" t="str">
        <f>IFERROR(IF(MARÍTIMOS[[#This Row],[Sede]]="","",MARÍTIMOS[[#This Row],[Sede]]),"")</f>
        <v>Chao</v>
      </c>
      <c r="D418" s="1" t="str">
        <f>IFERROR(IF(MARÍTIMOS[[#This Row],[Instruction]]="","",MARÍTIMOS[[#This Row],[Instruction]]),"")</f>
        <v>RH-0607</v>
      </c>
      <c r="E418" s="1"/>
      <c r="F418" s="2" t="str">
        <f>IFERROR(IF(MARÍTIMOS[[#This Row],[Transportista]]="","",MARÍTIMOS[[#This Row],[Transportista]]),"")</f>
        <v>VESL</v>
      </c>
      <c r="G418" s="2" t="str">
        <f>IFERROR(IF(MARÍTIMOS[[#This Row],[Tercero]]="","",MARÍTIMOS[[#This Row],[Tercero]]),"")</f>
        <v>NO</v>
      </c>
      <c r="H418" s="2" t="str">
        <f>IFERROR(IF(MARÍTIMOS[[#This Row],[Razón Social]]="","",MARÍTIMOS[[#This Row],[Razón Social]]),"")</f>
        <v>VE SOLUCIONES LOGISTICAS SAC</v>
      </c>
      <c r="I418" s="2">
        <f>IFERROR(IF(MARÍTIMOS[[#This Row],[RUC]]="","",MARÍTIMOS[[#This Row],[RUC]]),"")</f>
        <v>20557679392</v>
      </c>
      <c r="J418" s="2" t="str">
        <f>IFERROR(IF(MARÍTIMOS[[#This Row],[Placa Tracto]]="","",MARÍTIMOS[[#This Row],[Placa Tracto]]),"")</f>
        <v>AYP780</v>
      </c>
      <c r="K418" s="2" t="str">
        <f>IFERROR(IF(MARÍTIMOS[[#This Row],[Placa Carreta]]="","",MARÍTIMOS[[#This Row],[Placa Carreta]]),"")</f>
        <v>AUP-993</v>
      </c>
      <c r="L418" s="44" t="str">
        <f>IFERROR(IF(MARÍTIMOS[[#This Row],[Conductor]]="","",MARÍTIMOS[[#This Row],[Conductor]]),"")</f>
        <v>JOSE ALEJANDRO NUÑEZ VILLEGAS</v>
      </c>
      <c r="M418" s="2" t="str">
        <f>IFERROR(IF(MARÍTIMOS[[#This Row],[Licencia]]="","",MARÍTIMOS[[#This Row],[Licencia]]),"")</f>
        <v>Q49028656</v>
      </c>
      <c r="N418" s="2">
        <f>IFERROR(IF(MARÍTIMOS[[#This Row],[Número de Contacto]]="","",MARÍTIMOS[[#This Row],[Número de Contacto]]),"")</f>
        <v>0</v>
      </c>
      <c r="O418" s="10" t="str">
        <f>IFERROR(IF(MARÍTIMOS[[#This Row],[Booking|AWB|CRT]]="","",MARÍTIMOS[[#This Row],[Booking|AWB|CRT]]),"")</f>
        <v>9203887A</v>
      </c>
      <c r="P418" s="2" t="str">
        <f>IFERROR(IF(MARÍTIMOS[[#This Row],[Contenedor]]="","",MARÍTIMOS[[#This Row],[Contenedor]]),"")</f>
        <v>BEAU9711347</v>
      </c>
      <c r="Q418" s="2" t="str">
        <f>IFERROR(IF(MARÍTIMOS[[#This Row],[Puerto de Retiro]]="","",MARÍTIMOS[[#This Row],[Puerto de Retiro]]),"")</f>
        <v>PAITA</v>
      </c>
      <c r="R418" s="2" t="str">
        <f>IFERROR(IF(MARÍTIMOS[[#This Row],[Almacén de Retiro]]="","",MARÍTIMOS[[#This Row],[Almacén de Retiro]]),"")</f>
        <v>MACROMAR</v>
      </c>
      <c r="S418" s="11">
        <f>IFERROR(IF(MARÍTIMOS[[#This Row],[Etapa Retiro - Cita]]="","",MARÍTIMOS[[#This Row],[Etapa Retiro - Cita]]),"")</f>
        <v>46263.416666666664</v>
      </c>
      <c r="T418" s="11">
        <f>IFERROR(IF(MARÍTIMOS[[#This Row],[Etapa Retiro - Llegada]]="","",MARÍTIMOS[[#This Row],[Etapa Retiro - Llegada]]),"")</f>
        <v>46263.416666666664</v>
      </c>
      <c r="U418" s="11">
        <f>IFERROR(IF(MARÍTIMOS[[#This Row],[Etapa Retiro - Ingreso]]="","",MARÍTIMOS[[#This Row],[Etapa Retiro - Ingreso]]),"")</f>
        <v>46263.46875</v>
      </c>
      <c r="V418" s="11">
        <f>IFERROR(IF(MARÍTIMOS[[#This Row],[Etapa Retiro - Atención]]="","",MARÍTIMOS[[#This Row],[Etapa Retiro - Atención]]),"")</f>
        <v>46263.481249999997</v>
      </c>
      <c r="W418" s="11">
        <f>IFERROR(IF(MARÍTIMOS[[#This Row],[Etapa Retiro - Atención]]="","",MARÍTIMOS[[#This Row],[Etapa Retiro - Atención]]),"")</f>
        <v>46263.481249999997</v>
      </c>
      <c r="X418" s="11">
        <f>IFERROR(IF(MARÍTIMOS[[#This Row],[Etapa Retiro - Inicio de Ruta]]="","",MARÍTIMOS[[#This Row],[Etapa Retiro - Inicio de Ruta]]),"")</f>
        <v>46263.531944444447</v>
      </c>
      <c r="Y418" s="11">
        <f>IFERROR(IF(MARÍTIMOS[[#This Row],[Hora de Posicionamiento]]="","",MARÍTIMOS[[#This Row],[Fecha de Carga]]+MARÍTIMOS[[#This Row],[Hora de Posicionamiento]]),"")</f>
        <v>46264.583333333336</v>
      </c>
      <c r="Z418" s="11">
        <f>IFERROR(IF(MARÍTIMOS[[#This Row],[Etapa Despacho - Llegada]]="","",MARÍTIMOS[[#This Row],[Etapa Despacho - Llegada]]),"")</f>
        <v>46264.53125</v>
      </c>
      <c r="AA418" s="11">
        <f>IFERROR(IF(MARÍTIMOS[[#This Row],[Etapa Despacho - Registro]]="","",MARÍTIMOS[[#This Row],[Etapa Despacho - Registro]]),"")</f>
        <v>46264.53402777778</v>
      </c>
      <c r="AB418" s="11" t="str">
        <f>IFERROR(IF(MARÍTIMOS[[#This Row],[Inspección Externa]]="","",MARÍTIMOS[[#This Row],[Inspección Externa]]),"")</f>
        <v/>
      </c>
      <c r="AC418" s="11">
        <f>IFERROR(IF(MARÍTIMOS[[#This Row],[Etapa Despacho - Inicio de Carga]]="","",MARÍTIMOS[[#This Row],[Etapa Despacho - Inicio de Carga]]),"")</f>
        <v>46264.673611111109</v>
      </c>
      <c r="AD418" s="11" t="str">
        <f>IFERROR(IF(MARÍTIMOS[[#This Row],[Etapa Despacho - Mitad de Carga]]="","",MARÍTIMOS[[#This Row],[Etapa Despacho - Mitad de Carga]]),"")</f>
        <v/>
      </c>
      <c r="AE418" s="11">
        <f>IFERROR(IF(MARÍTIMOS[[#This Row],[Etapa Despacho - Fin de Carga]]="","",MARÍTIMOS[[#This Row],[Etapa Despacho - Fin de Carga]]),"")</f>
        <v>46264.729166666664</v>
      </c>
      <c r="AF418" s="2" t="str">
        <f>IFERROR(IF(MARÍTIMOS[[#This Row],[Puerto de Embarque]]="","",MARÍTIMOS[[#This Row],[Puerto de Embarque]]),"")</f>
        <v>Paita</v>
      </c>
      <c r="AG418" s="2" t="str">
        <f>IFERROR(IF(MARÍTIMOS[[#This Row],[Almacén de Ingreso]]="","",MARÍTIMOS[[#This Row],[Almacén de Ingreso]]),"")</f>
        <v>TPE</v>
      </c>
      <c r="AH418" s="11">
        <f>IFERROR(IF(MARÍTIMOS[[#This Row],[Etapa Ingreso - Cita]]="","",MARÍTIMOS[[#This Row],[Etapa Ingreso - Cita]]),"")</f>
        <v>46265.583333333336</v>
      </c>
      <c r="AI418" s="11">
        <f>IFERROR(IF(MARÍTIMOS[[#This Row],[Etapa Ingreso - Llegada]]="","",MARÍTIMOS[[#This Row],[Etapa Ingreso - Llegada]]),"")</f>
        <v>46265.555555555555</v>
      </c>
      <c r="AJ418" s="11">
        <f>IFERROR(IF(MARÍTIMOS[[#This Row],[Etapa Ingreso - Ingeso]]="","",MARÍTIMOS[[#This Row],[Etapa Ingreso - Ingeso]]),"")</f>
        <v>46265.5625</v>
      </c>
      <c r="AK418" s="11">
        <f>IFERROR(IF(MARÍTIMOS[[#This Row],[Etapa Ingreso - Atención]]="","",MARÍTIMOS[[#This Row],[Etapa Ingreso - Atención]]),"")</f>
        <v>46265.569444444445</v>
      </c>
      <c r="AL418" s="11">
        <f>IFERROR(IF(MARÍTIMOS[[#This Row],[Etapa Ingreso - Salida]]="","",MARÍTIMOS[[#This Row],[Etapa Ingreso - Salida]]),"")</f>
        <v>46265.585416666669</v>
      </c>
      <c r="AM418" s="2">
        <f>IFERROR(IF(MARÍTIMOS[[#This Row],[FCL]]="","",MARÍTIMOS[[#This Row],[FCL]]),"")</f>
        <v>1</v>
      </c>
      <c r="AN4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8" s="4" t="str" cm="1">
        <f t="array" ref="AO4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18" s="5">
        <f>IFERROR(OLDBD[[#This Row],[Llegada a packing]]-OLDBD[[#This Row],[Inicio de Ruta]],"")</f>
        <v>0.99930555555329192</v>
      </c>
      <c r="AQ418" s="6">
        <f>IFERROR(OLDBD[[#This Row],[Inicio de Ruta]]-OLDBD[[#This Row],[Salida de almacén de retiro]],"")</f>
        <v>5.0694444449618459E-2</v>
      </c>
      <c r="AR4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8" s="8" t="str" cm="1">
        <f t="array" ref="AS4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18" s="9" t="str">
        <f>IFERROR(OLDBD[[#This Row],[Ingreso Packing]]-OLDBD[[#This Row],[Registro en Packing]],"")</f>
        <v/>
      </c>
      <c r="AV418" s="9" t="str">
        <f>IFERROR(OLDBD[[#This Row],[Ingreso Packing]]-OLDBD[[#This Row],[Llegada a packing]],"")</f>
        <v/>
      </c>
      <c r="AW4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8" s="5">
        <f>IFERROR(OLDBD[[#This Row],[Llegada Almacén de Ingreso]]-OLDBD[[#This Row],[Salida Packing]],"")</f>
        <v>0.82638888889050577</v>
      </c>
      <c r="AY418" s="4" t="str" cm="1">
        <f t="array" ref="AY4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18" s="43" t="s">
        <v>173</v>
      </c>
      <c r="BB418" s="47" t="str">
        <f>IFERROR(IF(MARÍTIMOS[[#This Row],[Estatus]]="","",MARÍTIMOS[[#This Row],[Estatus]]),"")</f>
        <v>Confirmado</v>
      </c>
      <c r="BC418" s="43"/>
      <c r="BD418" s="46">
        <f>IFERROR(OLDBD[[#This Row],[Salida de almacén de retiro]]-OLDBD[[#This Row],[Ingreso Almacén de retiro]],"")</f>
        <v>1.2499999997089617E-2</v>
      </c>
      <c r="BE418" s="46" t="str">
        <f>IFERROR(OLDBD[[#This Row],[Fin de Carga]]-OLDBD[[#This Row],[Inicio de Carga]],"")</f>
        <v/>
      </c>
    </row>
    <row r="419" spans="1:57" customFormat="1" hidden="1">
      <c r="A419" s="1"/>
      <c r="B419" s="1">
        <f>IFERROR(IF(MARÍTIMOS[[#This Row],[PP]]="","",MARÍTIMOS[[#This Row],[PP]]),"")</f>
        <v>35</v>
      </c>
      <c r="C419" s="1" t="str">
        <f>IFERROR(IF(MARÍTIMOS[[#This Row],[Sede]]="","",MARÍTIMOS[[#This Row],[Sede]]),"")</f>
        <v>Chao</v>
      </c>
      <c r="D419" s="1" t="str">
        <f>IFERROR(IF(MARÍTIMOS[[#This Row],[Instruction]]="","",MARÍTIMOS[[#This Row],[Instruction]]),"")</f>
        <v>RH-0606</v>
      </c>
      <c r="E419" s="1"/>
      <c r="F419" s="2" t="str">
        <f>IFERROR(IF(MARÍTIMOS[[#This Row],[Transportista]]="","",MARÍTIMOS[[#This Row],[Transportista]]),"")</f>
        <v>VESL</v>
      </c>
      <c r="G419" s="2" t="str">
        <f>IFERROR(IF(MARÍTIMOS[[#This Row],[Tercero]]="","",MARÍTIMOS[[#This Row],[Tercero]]),"")</f>
        <v>NO</v>
      </c>
      <c r="H419" s="2" t="str">
        <f>IFERROR(IF(MARÍTIMOS[[#This Row],[Razón Social]]="","",MARÍTIMOS[[#This Row],[Razón Social]]),"")</f>
        <v>VE SOLUCIONES LOGISTICAS SAC</v>
      </c>
      <c r="I419" s="2">
        <f>IFERROR(IF(MARÍTIMOS[[#This Row],[RUC]]="","",MARÍTIMOS[[#This Row],[RUC]]),"")</f>
        <v>20557679392</v>
      </c>
      <c r="J419" s="2" t="str">
        <f>IFERROR(IF(MARÍTIMOS[[#This Row],[Placa Tracto]]="","",MARÍTIMOS[[#This Row],[Placa Tracto]]),"")</f>
        <v>BYR898</v>
      </c>
      <c r="K419" s="2" t="str">
        <f>IFERROR(IF(MARÍTIMOS[[#This Row],[Placa Carreta]]="","",MARÍTIMOS[[#This Row],[Placa Carreta]]),"")</f>
        <v>AHV972</v>
      </c>
      <c r="L419" s="44" t="str">
        <f>IFERROR(IF(MARÍTIMOS[[#This Row],[Conductor]]="","",MARÍTIMOS[[#This Row],[Conductor]]),"")</f>
        <v>DANIEL PADILLA DIESTRA</v>
      </c>
      <c r="M419" s="2" t="str">
        <f>IFERROR(IF(MARÍTIMOS[[#This Row],[Licencia]]="","",MARÍTIMOS[[#This Row],[Licencia]]),"")</f>
        <v>Q71081082</v>
      </c>
      <c r="N419" s="2">
        <f>IFERROR(IF(MARÍTIMOS[[#This Row],[Número de Contacto]]="","",MARÍTIMOS[[#This Row],[Número de Contacto]]),"")</f>
        <v>0</v>
      </c>
      <c r="O419" s="10" t="str">
        <f>IFERROR(IF(MARÍTIMOS[[#This Row],[Booking|AWB|CRT]]="","",MARÍTIMOS[[#This Row],[Booking|AWB|CRT]]),"")</f>
        <v>9203880A</v>
      </c>
      <c r="P419" s="2" t="str">
        <f>IFERROR(IF(MARÍTIMOS[[#This Row],[Contenedor]]="","",MARÍTIMOS[[#This Row],[Contenedor]]),"")</f>
        <v>EMCU5546938</v>
      </c>
      <c r="Q419" s="2" t="str">
        <f>IFERROR(IF(MARÍTIMOS[[#This Row],[Puerto de Retiro]]="","",MARÍTIMOS[[#This Row],[Puerto de Retiro]]),"")</f>
        <v>PAITA</v>
      </c>
      <c r="R419" s="2" t="str">
        <f>IFERROR(IF(MARÍTIMOS[[#This Row],[Almacén de Retiro]]="","",MARÍTIMOS[[#This Row],[Almacén de Retiro]]),"")</f>
        <v>IMUPESA</v>
      </c>
      <c r="S419" s="11">
        <f>IFERROR(IF(MARÍTIMOS[[#This Row],[Etapa Retiro - Cita]]="","",MARÍTIMOS[[#This Row],[Etapa Retiro - Cita]]),"")</f>
        <v>46264.5</v>
      </c>
      <c r="T419" s="11">
        <f>IFERROR(IF(MARÍTIMOS[[#This Row],[Etapa Retiro - Llegada]]="","",MARÍTIMOS[[#This Row],[Etapa Retiro - Llegada]]),"")</f>
        <v>46264.593055555553</v>
      </c>
      <c r="U419" s="11">
        <f>IFERROR(IF(MARÍTIMOS[[#This Row],[Etapa Retiro - Ingreso]]="","",MARÍTIMOS[[#This Row],[Etapa Retiro - Ingreso]]),"")</f>
        <v>46264.602777777778</v>
      </c>
      <c r="V419" s="11">
        <f>IFERROR(IF(MARÍTIMOS[[#This Row],[Etapa Retiro - Atención]]="","",MARÍTIMOS[[#This Row],[Etapa Retiro - Atención]]),"")</f>
        <v>46264.743055555555</v>
      </c>
      <c r="W419" s="11">
        <f>IFERROR(IF(MARÍTIMOS[[#This Row],[Etapa Retiro - Atención]]="","",MARÍTIMOS[[#This Row],[Etapa Retiro - Atención]]),"")</f>
        <v>46264.743055555555</v>
      </c>
      <c r="X419" s="11">
        <f>IFERROR(IF(MARÍTIMOS[[#This Row],[Etapa Retiro - Inicio de Ruta]]="","",MARÍTIMOS[[#This Row],[Etapa Retiro - Inicio de Ruta]]),"")</f>
        <v>46264.797222222223</v>
      </c>
      <c r="Y419" s="11">
        <f>IFERROR(IF(MARÍTIMOS[[#This Row],[Hora de Posicionamiento]]="","",MARÍTIMOS[[#This Row],[Fecha de Carga]]+MARÍTIMOS[[#This Row],[Hora de Posicionamiento]]),"")</f>
        <v>46265.583333333336</v>
      </c>
      <c r="Z419" s="11">
        <f>IFERROR(IF(MARÍTIMOS[[#This Row],[Etapa Despacho - Llegada]]="","",MARÍTIMOS[[#This Row],[Etapa Despacho - Llegada]]),"")</f>
        <v>46265.412499999999</v>
      </c>
      <c r="AA419" s="11">
        <f>IFERROR(IF(MARÍTIMOS[[#This Row],[Etapa Despacho - Registro]]="","",MARÍTIMOS[[#This Row],[Etapa Despacho - Registro]]),"")</f>
        <v>46265.412499999999</v>
      </c>
      <c r="AB419" s="11" t="str">
        <f>IFERROR(IF(MARÍTIMOS[[#This Row],[Inspección Externa]]="","",MARÍTIMOS[[#This Row],[Inspección Externa]]),"")</f>
        <v/>
      </c>
      <c r="AC419" s="11">
        <f>IFERROR(IF(MARÍTIMOS[[#This Row],[Etapa Despacho - Inicio de Carga]]="","",MARÍTIMOS[[#This Row],[Etapa Despacho - Inicio de Carga]]),"")</f>
        <v>46265.583333333336</v>
      </c>
      <c r="AD419" s="11" t="str">
        <f>IFERROR(IF(MARÍTIMOS[[#This Row],[Etapa Despacho - Mitad de Carga]]="","",MARÍTIMOS[[#This Row],[Etapa Despacho - Mitad de Carga]]),"")</f>
        <v/>
      </c>
      <c r="AE419" s="11">
        <f>IFERROR(IF(MARÍTIMOS[[#This Row],[Etapa Despacho - Fin de Carga]]="","",MARÍTIMOS[[#This Row],[Etapa Despacho - Fin de Carga]]),"")</f>
        <v>46265.673611111109</v>
      </c>
      <c r="AF419" s="2" t="str">
        <f>IFERROR(IF(MARÍTIMOS[[#This Row],[Puerto de Embarque]]="","",MARÍTIMOS[[#This Row],[Puerto de Embarque]]),"")</f>
        <v>Paita</v>
      </c>
      <c r="AG419" s="2" t="str">
        <f>IFERROR(IF(MARÍTIMOS[[#This Row],[Almacén de Ingreso]]="","",MARÍTIMOS[[#This Row],[Almacén de Ingreso]]),"")</f>
        <v>DPW</v>
      </c>
      <c r="AH419" s="11">
        <f>IFERROR(IF(MARÍTIMOS[[#This Row],[Etapa Ingreso - Cita]]="","",MARÍTIMOS[[#This Row],[Etapa Ingreso - Cita]]),"")</f>
        <v>46266.583333333336</v>
      </c>
      <c r="AI419" s="11">
        <f>IFERROR(IF(MARÍTIMOS[[#This Row],[Etapa Ingreso - Llegada]]="","",MARÍTIMOS[[#This Row],[Etapa Ingreso - Llegada]]),"")</f>
        <v>46266.458333333336</v>
      </c>
      <c r="AJ419" s="11">
        <f>IFERROR(IF(MARÍTIMOS[[#This Row],[Etapa Ingreso - Ingeso]]="","",MARÍTIMOS[[#This Row],[Etapa Ingreso - Ingeso]]),"")</f>
        <v>46266.552777777775</v>
      </c>
      <c r="AK419" s="11">
        <f>IFERROR(IF(MARÍTIMOS[[#This Row],[Etapa Ingreso - Atención]]="","",MARÍTIMOS[[#This Row],[Etapa Ingreso - Atención]]),"")</f>
        <v>46266.558333333334</v>
      </c>
      <c r="AL419" s="11">
        <f>IFERROR(IF(MARÍTIMOS[[#This Row],[Etapa Ingreso - Salida]]="","",MARÍTIMOS[[#This Row],[Etapa Ingreso - Salida]]),"")</f>
        <v>46266.5625</v>
      </c>
      <c r="AM419" s="2">
        <f>IFERROR(IF(MARÍTIMOS[[#This Row],[FCL]]="","",MARÍTIMOS[[#This Row],[FCL]]),"")</f>
        <v>1</v>
      </c>
      <c r="AN4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19" s="4" t="str" cm="1">
        <f t="array" ref="AO4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CRITICAL</v>
      </c>
      <c r="AP419" s="5">
        <f>IFERROR(OLDBD[[#This Row],[Llegada a packing]]-OLDBD[[#This Row],[Inicio de Ruta]],"")</f>
        <v>0.61527777777519077</v>
      </c>
      <c r="AQ419" s="6">
        <f>IFERROR(OLDBD[[#This Row],[Inicio de Ruta]]-OLDBD[[#This Row],[Salida de almacén de retiro]],"")</f>
        <v>5.4166666668606922E-2</v>
      </c>
      <c r="AR4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19" s="8" t="str" cm="1">
        <f t="array" ref="AS4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19" s="9" t="str">
        <f>IFERROR(OLDBD[[#This Row],[Ingreso Packing]]-OLDBD[[#This Row],[Registro en Packing]],"")</f>
        <v/>
      </c>
      <c r="AV419" s="9" t="str">
        <f>IFERROR(OLDBD[[#This Row],[Ingreso Packing]]-OLDBD[[#This Row],[Llegada a packing]],"")</f>
        <v/>
      </c>
      <c r="AW4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19" s="5">
        <f>IFERROR(OLDBD[[#This Row],[Llegada Almacén de Ingreso]]-OLDBD[[#This Row],[Salida Packing]],"")</f>
        <v>0.78472222222626442</v>
      </c>
      <c r="AY419" s="4" t="str" cm="1">
        <f t="array" ref="AY4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4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19" s="43" t="s">
        <v>173</v>
      </c>
      <c r="BB419" s="47" t="str">
        <f>IFERROR(IF(MARÍTIMOS[[#This Row],[Estatus]]="","",MARÍTIMOS[[#This Row],[Estatus]]),"")</f>
        <v>Confirmado</v>
      </c>
      <c r="BC419" s="43"/>
      <c r="BD419" s="46">
        <f>IFERROR(OLDBD[[#This Row],[Salida de almacén de retiro]]-OLDBD[[#This Row],[Ingreso Almacén de retiro]],"")</f>
        <v>0.14027777777664596</v>
      </c>
      <c r="BE419" s="46" t="str">
        <f>IFERROR(OLDBD[[#This Row],[Fin de Carga]]-OLDBD[[#This Row],[Inicio de Carga]],"")</f>
        <v/>
      </c>
    </row>
    <row r="420" spans="1:57" customFormat="1" hidden="1">
      <c r="A420" s="1"/>
      <c r="B420" s="1">
        <f>IFERROR(IF(MARÍTIMOS[[#This Row],[PP]]="","",MARÍTIMOS[[#This Row],[PP]]),"")</f>
        <v>35</v>
      </c>
      <c r="C420" s="1" t="str">
        <f>IFERROR(IF(MARÍTIMOS[[#This Row],[Sede]]="","",MARÍTIMOS[[#This Row],[Sede]]),"")</f>
        <v>Chao</v>
      </c>
      <c r="D420" s="1" t="str">
        <f>IFERROR(IF(MARÍTIMOS[[#This Row],[Instruction]]="","",MARÍTIMOS[[#This Row],[Instruction]]),"")</f>
        <v>RH-0625</v>
      </c>
      <c r="E420" s="1"/>
      <c r="F420" s="2" t="str">
        <f>IFERROR(IF(MARÍTIMOS[[#This Row],[Transportista]]="","",MARÍTIMOS[[#This Row],[Transportista]]),"")</f>
        <v>VESL</v>
      </c>
      <c r="G420" s="2" t="str">
        <f>IFERROR(IF(MARÍTIMOS[[#This Row],[Tercero]]="","",MARÍTIMOS[[#This Row],[Tercero]]),"")</f>
        <v>NO</v>
      </c>
      <c r="H420" s="2" t="str">
        <f>IFERROR(IF(MARÍTIMOS[[#This Row],[Razón Social]]="","",MARÍTIMOS[[#This Row],[Razón Social]]),"")</f>
        <v>VE SOLUCIONES LOGISTICAS SAC</v>
      </c>
      <c r="I420" s="2">
        <f>IFERROR(IF(MARÍTIMOS[[#This Row],[RUC]]="","",MARÍTIMOS[[#This Row],[RUC]]),"")</f>
        <v>20557679392</v>
      </c>
      <c r="J420" s="2" t="str">
        <f>IFERROR(IF(MARÍTIMOS[[#This Row],[Placa Tracto]]="","",MARÍTIMOS[[#This Row],[Placa Tracto]]),"")</f>
        <v>BFY932</v>
      </c>
      <c r="K420" s="2" t="str">
        <f>IFERROR(IF(MARÍTIMOS[[#This Row],[Placa Carreta]]="","",MARÍTIMOS[[#This Row],[Placa Carreta]]),"")</f>
        <v>AUR-970</v>
      </c>
      <c r="L420" s="44" t="str">
        <f>IFERROR(IF(MARÍTIMOS[[#This Row],[Conductor]]="","",MARÍTIMOS[[#This Row],[Conductor]]),"")</f>
        <v>YMMER JOSÉ CALDERON RODRIGUEZ</v>
      </c>
      <c r="M420" s="2" t="str">
        <f>IFERROR(IF(MARÍTIMOS[[#This Row],[Licencia]]="","",MARÍTIMOS[[#This Row],[Licencia]]),"")</f>
        <v>B008200945</v>
      </c>
      <c r="N420" s="2">
        <f>IFERROR(IF(MARÍTIMOS[[#This Row],[Número de Contacto]]="","",MARÍTIMOS[[#This Row],[Número de Contacto]]),"")</f>
        <v>0</v>
      </c>
      <c r="O420" s="10">
        <f>IFERROR(IF(MARÍTIMOS[[#This Row],[Booking|AWB|CRT]]="","",MARÍTIMOS[[#This Row],[Booking|AWB|CRT]]),"")</f>
        <v>751600000000000</v>
      </c>
      <c r="P420" s="2" t="str">
        <f>IFERROR(IF(MARÍTIMOS[[#This Row],[Contenedor]]="","",MARÍTIMOS[[#This Row],[Contenedor]]),"")</f>
        <v>BEAU9710802</v>
      </c>
      <c r="Q420" s="2" t="str">
        <f>IFERROR(IF(MARÍTIMOS[[#This Row],[Puerto de Retiro]]="","",MARÍTIMOS[[#This Row],[Puerto de Retiro]]),"")</f>
        <v>CALLAO</v>
      </c>
      <c r="R420" s="2" t="str">
        <f>IFERROR(IF(MARÍTIMOS[[#This Row],[Almacén de Retiro]]="","",MARÍTIMOS[[#This Row],[Almacén de Retiro]]),"")</f>
        <v>MACROMAR</v>
      </c>
      <c r="S420" s="11">
        <f>IFERROR(IF(MARÍTIMOS[[#This Row],[Etapa Retiro - Cita]]="","",MARÍTIMOS[[#This Row],[Etapa Retiro - Cita]]),"")</f>
        <v>46264.708333333336</v>
      </c>
      <c r="T420" s="11">
        <f>IFERROR(IF(MARÍTIMOS[[#This Row],[Etapa Retiro - Llegada]]="","",MARÍTIMOS[[#This Row],[Etapa Retiro - Llegada]]),"")</f>
        <v>46264.718055555553</v>
      </c>
      <c r="U420" s="11">
        <f>IFERROR(IF(MARÍTIMOS[[#This Row],[Etapa Retiro - Ingreso]]="","",MARÍTIMOS[[#This Row],[Etapa Retiro - Ingreso]]),"")</f>
        <v>46264.730555555558</v>
      </c>
      <c r="V420" s="11">
        <f>IFERROR(IF(MARÍTIMOS[[#This Row],[Etapa Retiro - Atención]]="","",MARÍTIMOS[[#This Row],[Etapa Retiro - Atención]]),"")</f>
        <v>46264.743055555555</v>
      </c>
      <c r="W420" s="11">
        <f>IFERROR(IF(MARÍTIMOS[[#This Row],[Etapa Retiro - Atención]]="","",MARÍTIMOS[[#This Row],[Etapa Retiro - Atención]]),"")</f>
        <v>46264.743055555555</v>
      </c>
      <c r="X420" s="11">
        <f>IFERROR(IF(MARÍTIMOS[[#This Row],[Etapa Retiro - Inicio de Ruta]]="","",MARÍTIMOS[[#This Row],[Etapa Retiro - Inicio de Ruta]]),"")</f>
        <v>46264.763194444444</v>
      </c>
      <c r="Y420" s="11">
        <f>IFERROR(IF(MARÍTIMOS[[#This Row],[Hora de Posicionamiento]]="","",MARÍTIMOS[[#This Row],[Fecha de Carga]]+MARÍTIMOS[[#This Row],[Hora de Posicionamiento]]),"")</f>
        <v>46265.5</v>
      </c>
      <c r="Z420" s="11">
        <f>IFERROR(IF(MARÍTIMOS[[#This Row],[Etapa Despacho - Llegada]]="","",MARÍTIMOS[[#This Row],[Etapa Despacho - Llegada]]),"")</f>
        <v>46265.496527777781</v>
      </c>
      <c r="AA420" s="11">
        <f>IFERROR(IF(MARÍTIMOS[[#This Row],[Etapa Despacho - Registro]]="","",MARÍTIMOS[[#This Row],[Etapa Despacho - Registro]]),"")</f>
        <v>46265.5</v>
      </c>
      <c r="AB420" s="11" t="str">
        <f>IFERROR(IF(MARÍTIMOS[[#This Row],[Inspección Externa]]="","",MARÍTIMOS[[#This Row],[Inspección Externa]]),"")</f>
        <v/>
      </c>
      <c r="AC420" s="11">
        <f>IFERROR(IF(MARÍTIMOS[[#This Row],[Etapa Despacho - Inicio de Carga]]="","",MARÍTIMOS[[#This Row],[Etapa Despacho - Inicio de Carga]]),"")</f>
        <v>46265.625</v>
      </c>
      <c r="AD420" s="11" t="str">
        <f>IFERROR(IF(MARÍTIMOS[[#This Row],[Etapa Despacho - Mitad de Carga]]="","",MARÍTIMOS[[#This Row],[Etapa Despacho - Mitad de Carga]]),"")</f>
        <v/>
      </c>
      <c r="AE420" s="11">
        <f>IFERROR(IF(MARÍTIMOS[[#This Row],[Etapa Despacho - Fin de Carga]]="","",MARÍTIMOS[[#This Row],[Etapa Despacho - Fin de Carga]]),"")</f>
        <v>46265.736111111109</v>
      </c>
      <c r="AF420" s="2" t="str">
        <f>IFERROR(IF(MARÍTIMOS[[#This Row],[Puerto de Embarque]]="","",MARÍTIMOS[[#This Row],[Puerto de Embarque]]),"")</f>
        <v>Callao</v>
      </c>
      <c r="AG420" s="2" t="str">
        <f>IFERROR(IF(MARÍTIMOS[[#This Row],[Almacén de Ingreso]]="","",MARÍTIMOS[[#This Row],[Almacén de Ingreso]]),"")</f>
        <v>TPE</v>
      </c>
      <c r="AH420" s="11">
        <f>IFERROR(IF(MARÍTIMOS[[#This Row],[Etapa Ingreso - Cita]]="","",MARÍTIMOS[[#This Row],[Etapa Ingreso - Cita]]),"")</f>
        <v>46266.416666666664</v>
      </c>
      <c r="AI420" s="11">
        <f>IFERROR(IF(MARÍTIMOS[[#This Row],[Etapa Ingreso - Llegada]]="","",MARÍTIMOS[[#This Row],[Etapa Ingreso - Llegada]]),"")</f>
        <v>46266.361805555556</v>
      </c>
      <c r="AJ420" s="11">
        <f>IFERROR(IF(MARÍTIMOS[[#This Row],[Etapa Ingreso - Ingeso]]="","",MARÍTIMOS[[#This Row],[Etapa Ingreso - Ingeso]]),"")</f>
        <v>46266.365972222222</v>
      </c>
      <c r="AK420" s="11">
        <f>IFERROR(IF(MARÍTIMOS[[#This Row],[Etapa Ingreso - Atención]]="","",MARÍTIMOS[[#This Row],[Etapa Ingreso - Atención]]),"")</f>
        <v>46266.368055555555</v>
      </c>
      <c r="AL420" s="11">
        <f>IFERROR(IF(MARÍTIMOS[[#This Row],[Etapa Ingreso - Salida]]="","",MARÍTIMOS[[#This Row],[Etapa Ingreso - Salida]]),"")</f>
        <v>46266.374305555553</v>
      </c>
      <c r="AM420" s="2">
        <f>IFERROR(IF(MARÍTIMOS[[#This Row],[FCL]]="","",MARÍTIMOS[[#This Row],[FCL]]),"")</f>
        <v>1</v>
      </c>
      <c r="AN4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20" s="4" t="str" cm="1">
        <f t="array" ref="AO4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0" s="5">
        <f>IFERROR(OLDBD[[#This Row],[Llegada a packing]]-OLDBD[[#This Row],[Inicio de Ruta]],"")</f>
        <v>0.73333333333721384</v>
      </c>
      <c r="AQ420" s="6">
        <f>IFERROR(OLDBD[[#This Row],[Inicio de Ruta]]-OLDBD[[#This Row],[Salida de almacén de retiro]],"")</f>
        <v>2.0138888889050577E-2</v>
      </c>
      <c r="AR4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20" s="8" t="str" cm="1">
        <f t="array" ref="AS4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20" s="9" t="str">
        <f>IFERROR(OLDBD[[#This Row],[Ingreso Packing]]-OLDBD[[#This Row],[Registro en Packing]],"")</f>
        <v/>
      </c>
      <c r="AV420" s="9" t="str">
        <f>IFERROR(OLDBD[[#This Row],[Ingreso Packing]]-OLDBD[[#This Row],[Llegada a packing]],"")</f>
        <v/>
      </c>
      <c r="AW4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0" s="5">
        <f>IFERROR(OLDBD[[#This Row],[Llegada Almacén de Ingreso]]-OLDBD[[#This Row],[Salida Packing]],"")</f>
        <v>0.62569444444670808</v>
      </c>
      <c r="AY420" s="4" t="str" cm="1">
        <f t="array" ref="AY4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20" s="43" t="s">
        <v>173</v>
      </c>
      <c r="BB420" s="47" t="str">
        <f>IFERROR(IF(MARÍTIMOS[[#This Row],[Estatus]]="","",MARÍTIMOS[[#This Row],[Estatus]]),"")</f>
        <v>Confirmado</v>
      </c>
      <c r="BC420" s="43"/>
      <c r="BD420" s="46">
        <f>IFERROR(OLDBD[[#This Row],[Salida de almacén de retiro]]-OLDBD[[#This Row],[Ingreso Almacén de retiro]],"")</f>
        <v>1.2499999997089617E-2</v>
      </c>
      <c r="BE420" s="46" t="str">
        <f>IFERROR(OLDBD[[#This Row],[Fin de Carga]]-OLDBD[[#This Row],[Inicio de Carga]],"")</f>
        <v/>
      </c>
    </row>
    <row r="421" spans="1:57" customFormat="1" hidden="1">
      <c r="A421" s="1"/>
      <c r="B421" s="1">
        <f>IFERROR(IF(MARÍTIMOS[[#This Row],[PP]]="","",MARÍTIMOS[[#This Row],[PP]]),"")</f>
        <v>36</v>
      </c>
      <c r="C421" s="1" t="str">
        <f>IFERROR(IF(MARÍTIMOS[[#This Row],[Sede]]="","",MARÍTIMOS[[#This Row],[Sede]]),"")</f>
        <v>Chao</v>
      </c>
      <c r="D421" s="1" t="str">
        <f>IFERROR(IF(MARÍTIMOS[[#This Row],[Instruction]]="","",MARÍTIMOS[[#This Row],[Instruction]]),"")</f>
        <v>RH-0671</v>
      </c>
      <c r="E421" s="1"/>
      <c r="F421" s="2" t="str">
        <f>IFERROR(IF(MARÍTIMOS[[#This Row],[Transportista]]="","",MARÍTIMOS[[#This Row],[Transportista]]),"")</f>
        <v>VESL</v>
      </c>
      <c r="G421" s="2" t="str">
        <f>IFERROR(IF(MARÍTIMOS[[#This Row],[Tercero]]="","",MARÍTIMOS[[#This Row],[Tercero]]),"")</f>
        <v>NO</v>
      </c>
      <c r="H421" s="2" t="str">
        <f>IFERROR(IF(MARÍTIMOS[[#This Row],[Razón Social]]="","",MARÍTIMOS[[#This Row],[Razón Social]]),"")</f>
        <v>VE SOLUCIONES LOGISTICAS SAC</v>
      </c>
      <c r="I421" s="2">
        <f>IFERROR(IF(MARÍTIMOS[[#This Row],[RUC]]="","",MARÍTIMOS[[#This Row],[RUC]]),"")</f>
        <v>20557679392</v>
      </c>
      <c r="J421" s="2" t="str">
        <f>IFERROR(IF(MARÍTIMOS[[#This Row],[Placa Tracto]]="","",MARÍTIMOS[[#This Row],[Placa Tracto]]),"")</f>
        <v>BFY936</v>
      </c>
      <c r="K421" s="2" t="str">
        <f>IFERROR(IF(MARÍTIMOS[[#This Row],[Placa Carreta]]="","",MARÍTIMOS[[#This Row],[Placa Carreta]]),"")</f>
        <v>AUQ-993</v>
      </c>
      <c r="L421" s="44" t="str">
        <f>IFERROR(IF(MARÍTIMOS[[#This Row],[Conductor]]="","",MARÍTIMOS[[#This Row],[Conductor]]),"")</f>
        <v>EDWIN JESUS ANTON MARIN</v>
      </c>
      <c r="M421" s="2" t="str">
        <f>IFERROR(IF(MARÍTIMOS[[#This Row],[Licencia]]="","",MARÍTIMOS[[#This Row],[Licencia]]),"")</f>
        <v>B005015762</v>
      </c>
      <c r="N421" s="2">
        <f>IFERROR(IF(MARÍTIMOS[[#This Row],[Número de Contacto]]="","",MARÍTIMOS[[#This Row],[Número de Contacto]]),"")</f>
        <v>0</v>
      </c>
      <c r="O421" s="10" t="str">
        <f>IFERROR(IF(MARÍTIMOS[[#This Row],[Booking|AWB|CRT]]="","",MARÍTIMOS[[#This Row],[Booking|AWB|CRT]]),"")</f>
        <v>MBM250067135</v>
      </c>
      <c r="P421" s="2" t="str">
        <f>IFERROR(IF(MARÍTIMOS[[#This Row],[Contenedor]]="","",MARÍTIMOS[[#This Row],[Contenedor]]),"")</f>
        <v>BMOU9651514</v>
      </c>
      <c r="Q421" s="2" t="str">
        <f>IFERROR(IF(MARÍTIMOS[[#This Row],[Puerto de Retiro]]="","",MARÍTIMOS[[#This Row],[Puerto de Retiro]]),"")</f>
        <v>PAITA</v>
      </c>
      <c r="R421" s="2" t="str">
        <f>IFERROR(IF(MARÍTIMOS[[#This Row],[Almacén de Retiro]]="","",MARÍTIMOS[[#This Row],[Almacén de Retiro]]),"")</f>
        <v>MACROMAR</v>
      </c>
      <c r="S421" s="11">
        <f>IFERROR(IF(MARÍTIMOS[[#This Row],[Etapa Retiro - Cita]]="","",MARÍTIMOS[[#This Row],[Etapa Retiro - Cita]]),"")</f>
        <v>46267.833333333336</v>
      </c>
      <c r="T421" s="11">
        <f>IFERROR(IF(MARÍTIMOS[[#This Row],[Etapa Retiro - Llegada]]="","",MARÍTIMOS[[#This Row],[Etapa Retiro - Llegada]]),"")</f>
        <v>46267.82916666667</v>
      </c>
      <c r="U421" s="11">
        <f>IFERROR(IF(MARÍTIMOS[[#This Row],[Etapa Retiro - Ingreso]]="","",MARÍTIMOS[[#This Row],[Etapa Retiro - Ingreso]]),"")</f>
        <v>46267.851388888892</v>
      </c>
      <c r="V421" s="11">
        <f>IFERROR(IF(MARÍTIMOS[[#This Row],[Etapa Retiro - Atención]]="","",MARÍTIMOS[[#This Row],[Etapa Retiro - Atención]]),"")</f>
        <v>46267.856944444444</v>
      </c>
      <c r="W421" s="11">
        <f>IFERROR(IF(MARÍTIMOS[[#This Row],[Etapa Retiro - Atención]]="","",MARÍTIMOS[[#This Row],[Etapa Retiro - Atención]]),"")</f>
        <v>46267.856944444444</v>
      </c>
      <c r="X421" s="11">
        <f>IFERROR(IF(MARÍTIMOS[[#This Row],[Etapa Retiro - Inicio de Ruta]]="","",MARÍTIMOS[[#This Row],[Etapa Retiro - Inicio de Ruta]]),"")</f>
        <v>46267.935416666667</v>
      </c>
      <c r="Y421" s="11">
        <f>IFERROR(IF(MARÍTIMOS[[#This Row],[Hora de Posicionamiento]]="","",MARÍTIMOS[[#This Row],[Fecha de Carga]]+MARÍTIMOS[[#This Row],[Hora de Posicionamiento]]),"")</f>
        <v>46268.5</v>
      </c>
      <c r="Z421" s="11">
        <f>IFERROR(IF(MARÍTIMOS[[#This Row],[Etapa Despacho - Llegada]]="","",MARÍTIMOS[[#This Row],[Etapa Despacho - Llegada]]),"")</f>
        <v>46268.642361111109</v>
      </c>
      <c r="AA421" s="11">
        <f>IFERROR(IF(MARÍTIMOS[[#This Row],[Etapa Despacho - Registro]]="","",MARÍTIMOS[[#This Row],[Etapa Despacho - Registro]]),"")</f>
        <v>46268.645833333336</v>
      </c>
      <c r="AB421" s="11">
        <f>IFERROR(IF(MARÍTIMOS[[#This Row],[Inspección Externa]]="","",MARÍTIMOS[[#This Row],[Inspección Externa]]),"")</f>
        <v>46268.645833333336</v>
      </c>
      <c r="AC421" s="11">
        <f>IFERROR(IF(MARÍTIMOS[[#This Row],[Etapa Despacho - Inicio de Carga]]="","",MARÍTIMOS[[#This Row],[Etapa Despacho - Inicio de Carga]]),"")</f>
        <v>46268.666666666664</v>
      </c>
      <c r="AD421" s="11" t="str">
        <f>IFERROR(IF(MARÍTIMOS[[#This Row],[Etapa Despacho - Mitad de Carga]]="","",MARÍTIMOS[[#This Row],[Etapa Despacho - Mitad de Carga]]),"")</f>
        <v/>
      </c>
      <c r="AE421" s="11">
        <f>IFERROR(IF(MARÍTIMOS[[#This Row],[Etapa Despacho - Fin de Carga]]="","",MARÍTIMOS[[#This Row],[Etapa Despacho - Fin de Carga]]),"")</f>
        <v>46268.715277777781</v>
      </c>
      <c r="AF421" s="2" t="str">
        <f>IFERROR(IF(MARÍTIMOS[[#This Row],[Puerto de Embarque]]="","",MARÍTIMOS[[#This Row],[Puerto de Embarque]]),"")</f>
        <v>Paita</v>
      </c>
      <c r="AG421" s="2" t="str">
        <f>IFERROR(IF(MARÍTIMOS[[#This Row],[Almacén de Ingreso]]="","",MARÍTIMOS[[#This Row],[Almacén de Ingreso]]),"")</f>
        <v>TPE</v>
      </c>
      <c r="AH421" s="11">
        <f>IFERROR(IF(MARÍTIMOS[[#This Row],[Etapa Ingreso - Cita]]="","",MARÍTIMOS[[#This Row],[Etapa Ingreso - Cita]]),"")</f>
        <v>46269.541666666664</v>
      </c>
      <c r="AI421" s="11">
        <f>IFERROR(IF(MARÍTIMOS[[#This Row],[Etapa Ingreso - Llegada]]="","",MARÍTIMOS[[#This Row],[Etapa Ingreso - Llegada]]),"")</f>
        <v>46269.513888888891</v>
      </c>
      <c r="AJ421" s="11">
        <f>IFERROR(IF(MARÍTIMOS[[#This Row],[Etapa Ingreso - Ingeso]]="","",MARÍTIMOS[[#This Row],[Etapa Ingreso - Ingeso]]),"")</f>
        <v>46269.526388888888</v>
      </c>
      <c r="AK421" s="11">
        <f>IFERROR(IF(MARÍTIMOS[[#This Row],[Etapa Ingreso - Atención]]="","",MARÍTIMOS[[#This Row],[Etapa Ingreso - Atención]]),"")</f>
        <v>46269.527777777781</v>
      </c>
      <c r="AL421" s="11">
        <f>IFERROR(IF(MARÍTIMOS[[#This Row],[Etapa Ingreso - Salida]]="","",MARÍTIMOS[[#This Row],[Etapa Ingreso - Salida]]),"")</f>
        <v>46269.536111111112</v>
      </c>
      <c r="AM421" s="2">
        <f>IFERROR(IF(MARÍTIMOS[[#This Row],[FCL]]="","",MARÍTIMOS[[#This Row],[FCL]]),"")</f>
        <v>1</v>
      </c>
      <c r="AN4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21" s="4" t="str" cm="1">
        <f t="array" ref="AO4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1" s="5">
        <f>IFERROR(OLDBD[[#This Row],[Llegada a packing]]-OLDBD[[#This Row],[Inicio de Ruta]],"")</f>
        <v>0.7069444444423425</v>
      </c>
      <c r="AQ421" s="6">
        <f>IFERROR(OLDBD[[#This Row],[Inicio de Ruta]]-OLDBD[[#This Row],[Salida de almacén de retiro]],"")</f>
        <v>7.8472222223354038E-2</v>
      </c>
      <c r="AR4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421" s="8" t="str" cm="1">
        <f t="array" ref="AS4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21" s="9">
        <f>IFERROR(OLDBD[[#This Row],[Ingreso Packing]]-OLDBD[[#This Row],[Registro en Packing]],"")</f>
        <v>0</v>
      </c>
      <c r="AV421" s="9">
        <f>IFERROR(OLDBD[[#This Row],[Ingreso Packing]]-OLDBD[[#This Row],[Llegada a packing]],"")</f>
        <v>3.4722222262644209E-3</v>
      </c>
      <c r="AW4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1" s="5">
        <f>IFERROR(OLDBD[[#This Row],[Llegada Almacén de Ingreso]]-OLDBD[[#This Row],[Salida Packing]],"")</f>
        <v>0.79861111110949423</v>
      </c>
      <c r="AY421" s="4" t="str" cm="1">
        <f t="array" ref="AY4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21" s="43" t="s">
        <v>173</v>
      </c>
      <c r="BB421" s="47" t="str">
        <f>IFERROR(IF(MARÍTIMOS[[#This Row],[Estatus]]="","",MARÍTIMOS[[#This Row],[Estatus]]),"")</f>
        <v>Confirmado</v>
      </c>
      <c r="BC421" s="43"/>
      <c r="BD421" s="46">
        <f>IFERROR(OLDBD[[#This Row],[Salida de almacén de retiro]]-OLDBD[[#This Row],[Ingreso Almacén de retiro]],"")</f>
        <v>5.5555555518367328E-3</v>
      </c>
      <c r="BE421" s="46" t="str">
        <f>IFERROR(OLDBD[[#This Row],[Fin de Carga]]-OLDBD[[#This Row],[Inicio de Carga]],"")</f>
        <v/>
      </c>
    </row>
    <row r="422" spans="1:57" customFormat="1" hidden="1">
      <c r="A422" s="1"/>
      <c r="B422" s="1">
        <f>IFERROR(IF(MARÍTIMOS[[#This Row],[PP]]="","",MARÍTIMOS[[#This Row],[PP]]),"")</f>
        <v>36</v>
      </c>
      <c r="C422" s="1" t="str">
        <f>IFERROR(IF(MARÍTIMOS[[#This Row],[Sede]]="","",MARÍTIMOS[[#This Row],[Sede]]),"")</f>
        <v>Chao</v>
      </c>
      <c r="D422" s="1" t="str">
        <f>IFERROR(IF(MARÍTIMOS[[#This Row],[Instruction]]="","",MARÍTIMOS[[#This Row],[Instruction]]),"")</f>
        <v>RH-0673</v>
      </c>
      <c r="E422" s="1"/>
      <c r="F422" s="2" t="str">
        <f>IFERROR(IF(MARÍTIMOS[[#This Row],[Transportista]]="","",MARÍTIMOS[[#This Row],[Transportista]]),"")</f>
        <v>VESL</v>
      </c>
      <c r="G422" s="2" t="str">
        <f>IFERROR(IF(MARÍTIMOS[[#This Row],[Tercero]]="","",MARÍTIMOS[[#This Row],[Tercero]]),"")</f>
        <v>NO</v>
      </c>
      <c r="H422" s="2" t="str">
        <f>IFERROR(IF(MARÍTIMOS[[#This Row],[Razón Social]]="","",MARÍTIMOS[[#This Row],[Razón Social]]),"")</f>
        <v>VE SOLUCIONES LOGISTICAS SAC</v>
      </c>
      <c r="I422" s="2">
        <f>IFERROR(IF(MARÍTIMOS[[#This Row],[RUC]]="","",MARÍTIMOS[[#This Row],[RUC]]),"")</f>
        <v>20557679392</v>
      </c>
      <c r="J422" s="2" t="str">
        <f>IFERROR(IF(MARÍTIMOS[[#This Row],[Placa Tracto]]="","",MARÍTIMOS[[#This Row],[Placa Tracto]]),"")</f>
        <v>BFY932</v>
      </c>
      <c r="K422" s="2" t="str">
        <f>IFERROR(IF(MARÍTIMOS[[#This Row],[Placa Carreta]]="","",MARÍTIMOS[[#This Row],[Placa Carreta]]),"")</f>
        <v>AUR-970</v>
      </c>
      <c r="L422" s="44" t="str">
        <f>IFERROR(IF(MARÍTIMOS[[#This Row],[Conductor]]="","",MARÍTIMOS[[#This Row],[Conductor]]),"")</f>
        <v>YMMER JOSÉ CALDERON RODRIGUEZ</v>
      </c>
      <c r="M422" s="2" t="str">
        <f>IFERROR(IF(MARÍTIMOS[[#This Row],[Licencia]]="","",MARÍTIMOS[[#This Row],[Licencia]]),"")</f>
        <v>B008200945</v>
      </c>
      <c r="N422" s="2">
        <f>IFERROR(IF(MARÍTIMOS[[#This Row],[Número de Contacto]]="","",MARÍTIMOS[[#This Row],[Número de Contacto]]),"")</f>
        <v>0</v>
      </c>
      <c r="O422" s="10" t="str">
        <f>IFERROR(IF(MARÍTIMOS[[#This Row],[Booking|AWB|CRT]]="","",MARÍTIMOS[[#This Row],[Booking|AWB|CRT]]),"")</f>
        <v>MBM250067136</v>
      </c>
      <c r="P422" s="2" t="str">
        <f>IFERROR(IF(MARÍTIMOS[[#This Row],[Contenedor]]="","",MARÍTIMOS[[#This Row],[Contenedor]]),"")</f>
        <v>CAIU5551055</v>
      </c>
      <c r="Q422" s="2" t="str">
        <f>IFERROR(IF(MARÍTIMOS[[#This Row],[Puerto de Retiro]]="","",MARÍTIMOS[[#This Row],[Puerto de Retiro]]),"")</f>
        <v>PAITA</v>
      </c>
      <c r="R422" s="2" t="str">
        <f>IFERROR(IF(MARÍTIMOS[[#This Row],[Almacén de Retiro]]="","",MARÍTIMOS[[#This Row],[Almacén de Retiro]]),"")</f>
        <v>MACROMAR</v>
      </c>
      <c r="S422" s="11">
        <f>IFERROR(IF(MARÍTIMOS[[#This Row],[Etapa Retiro - Cita]]="","",MARÍTIMOS[[#This Row],[Etapa Retiro - Cita]]),"")</f>
        <v>46268.75</v>
      </c>
      <c r="T422" s="11">
        <f>IFERROR(IF(MARÍTIMOS[[#This Row],[Etapa Retiro - Llegada]]="","",MARÍTIMOS[[#This Row],[Etapa Retiro - Llegada]]),"")</f>
        <v>46268.76458333333</v>
      </c>
      <c r="U422" s="11">
        <f>IFERROR(IF(MARÍTIMOS[[#This Row],[Etapa Retiro - Ingreso]]="","",MARÍTIMOS[[#This Row],[Etapa Retiro - Ingreso]]),"")</f>
        <v>46268.770138888889</v>
      </c>
      <c r="V422" s="11">
        <f>IFERROR(IF(MARÍTIMOS[[#This Row],[Etapa Retiro - Atención]]="","",MARÍTIMOS[[#This Row],[Etapa Retiro - Atención]]),"")</f>
        <v>46268.793749999997</v>
      </c>
      <c r="W422" s="11">
        <f>IFERROR(IF(MARÍTIMOS[[#This Row],[Etapa Retiro - Atención]]="","",MARÍTIMOS[[#This Row],[Etapa Retiro - Atención]]),"")</f>
        <v>46268.793749999997</v>
      </c>
      <c r="X422" s="11">
        <f>IFERROR(IF(MARÍTIMOS[[#This Row],[Etapa Retiro - Inicio de Ruta]]="","",MARÍTIMOS[[#This Row],[Etapa Retiro - Inicio de Ruta]]),"")</f>
        <v>46268.881249999999</v>
      </c>
      <c r="Y422" s="11">
        <f>IFERROR(IF(MARÍTIMOS[[#This Row],[Hora de Posicionamiento]]="","",MARÍTIMOS[[#This Row],[Fecha de Carga]]+MARÍTIMOS[[#This Row],[Hora de Posicionamiento]]),"")</f>
        <v>46268.5</v>
      </c>
      <c r="Z422" s="11">
        <f>IFERROR(IF(MARÍTIMOS[[#This Row],[Etapa Despacho - Llegada]]="","",MARÍTIMOS[[#This Row],[Etapa Despacho - Llegada]]),"")</f>
        <v>46269.520138888889</v>
      </c>
      <c r="AA422" s="11">
        <f>IFERROR(IF(MARÍTIMOS[[#This Row],[Etapa Despacho - Registro]]="","",MARÍTIMOS[[#This Row],[Etapa Despacho - Registro]]),"")</f>
        <v>46269.522222222222</v>
      </c>
      <c r="AB422" s="11">
        <f>IFERROR(IF(MARÍTIMOS[[#This Row],[Inspección Externa]]="","",MARÍTIMOS[[#This Row],[Inspección Externa]]),"")</f>
        <v>46269.537499999999</v>
      </c>
      <c r="AC422" s="11">
        <f>IFERROR(IF(MARÍTIMOS[[#This Row],[Etapa Despacho - Inicio de Carga]]="","",MARÍTIMOS[[#This Row],[Etapa Despacho - Inicio de Carga]]),"")</f>
        <v>46269.559027777781</v>
      </c>
      <c r="AD422" s="11" t="str">
        <f>IFERROR(IF(MARÍTIMOS[[#This Row],[Etapa Despacho - Mitad de Carga]]="","",MARÍTIMOS[[#This Row],[Etapa Despacho - Mitad de Carga]]),"")</f>
        <v/>
      </c>
      <c r="AE422" s="11">
        <f>IFERROR(IF(MARÍTIMOS[[#This Row],[Etapa Despacho - Fin de Carga]]="","",MARÍTIMOS[[#This Row],[Etapa Despacho - Fin de Carga]]),"")</f>
        <v>46269.652777777781</v>
      </c>
      <c r="AF422" s="2" t="str">
        <f>IFERROR(IF(MARÍTIMOS[[#This Row],[Puerto de Embarque]]="","",MARÍTIMOS[[#This Row],[Puerto de Embarque]]),"")</f>
        <v>Paita</v>
      </c>
      <c r="AG422" s="2" t="str">
        <f>IFERROR(IF(MARÍTIMOS[[#This Row],[Almacén de Ingreso]]="","",MARÍTIMOS[[#This Row],[Almacén de Ingreso]]),"")</f>
        <v>TPE</v>
      </c>
      <c r="AH422" s="11">
        <f>IFERROR(IF(MARÍTIMOS[[#This Row],[Etapa Ingreso - Cita]]="","",MARÍTIMOS[[#This Row],[Etapa Ingreso - Cita]]),"")</f>
        <v>46270.375</v>
      </c>
      <c r="AI422" s="11">
        <f>IFERROR(IF(MARÍTIMOS[[#This Row],[Etapa Ingreso - Llegada]]="","",MARÍTIMOS[[#This Row],[Etapa Ingreso - Llegada]]),"")</f>
        <v>46270.333333333336</v>
      </c>
      <c r="AJ422" s="11">
        <f>IFERROR(IF(MARÍTIMOS[[#This Row],[Etapa Ingreso - Ingeso]]="","",MARÍTIMOS[[#This Row],[Etapa Ingreso - Ingeso]]),"")</f>
        <v>46270.34375</v>
      </c>
      <c r="AK422" s="11">
        <f>IFERROR(IF(MARÍTIMOS[[#This Row],[Etapa Ingreso - Atención]]="","",MARÍTIMOS[[#This Row],[Etapa Ingreso - Atención]]),"")</f>
        <v>46270.344444444447</v>
      </c>
      <c r="AL422" s="11">
        <f>IFERROR(IF(MARÍTIMOS[[#This Row],[Etapa Ingreso - Salida]]="","",MARÍTIMOS[[#This Row],[Etapa Ingreso - Salida]]),"")</f>
        <v>46270.347916666666</v>
      </c>
      <c r="AM422" s="2">
        <f>IFERROR(IF(MARÍTIMOS[[#This Row],[FCL]]="","",MARÍTIMOS[[#This Row],[FCL]]),"")</f>
        <v>1</v>
      </c>
      <c r="AN4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22" s="4" t="str" cm="1">
        <f t="array" ref="AO4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2" s="5">
        <f>IFERROR(OLDBD[[#This Row],[Llegada a packing]]-OLDBD[[#This Row],[Inicio de Ruta]],"")</f>
        <v>0.63888888889050577</v>
      </c>
      <c r="AQ422" s="6">
        <f>IFERROR(OLDBD[[#This Row],[Inicio de Ruta]]-OLDBD[[#This Row],[Salida de almacén de retiro]],"")</f>
        <v>8.7500000001455192E-2</v>
      </c>
      <c r="AR4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422" s="8" t="str" cm="1">
        <f t="array" ref="AS4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22" s="9">
        <f>IFERROR(OLDBD[[#This Row],[Ingreso Packing]]-OLDBD[[#This Row],[Registro en Packing]],"")</f>
        <v>1.5277777776645962E-2</v>
      </c>
      <c r="AV422" s="9">
        <f>IFERROR(OLDBD[[#This Row],[Ingreso Packing]]-OLDBD[[#This Row],[Llegada a packing]],"")</f>
        <v>1.7361111109494232E-2</v>
      </c>
      <c r="AW4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2" s="5">
        <f>IFERROR(OLDBD[[#This Row],[Llegada Almacén de Ingreso]]-OLDBD[[#This Row],[Salida Packing]],"")</f>
        <v>0.68055555555474712</v>
      </c>
      <c r="AY422" s="4" t="str" cm="1">
        <f t="array" ref="AY4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22" s="43" t="s">
        <v>173</v>
      </c>
      <c r="BB422" s="47" t="str">
        <f>IFERROR(IF(MARÍTIMOS[[#This Row],[Estatus]]="","",MARÍTIMOS[[#This Row],[Estatus]]),"")</f>
        <v>Confirmado</v>
      </c>
      <c r="BC422" s="43"/>
      <c r="BD422" s="46">
        <f>IFERROR(OLDBD[[#This Row],[Salida de almacén de retiro]]-OLDBD[[#This Row],[Ingreso Almacén de retiro]],"")</f>
        <v>2.361111110803904E-2</v>
      </c>
      <c r="BE422" s="46" t="str">
        <f>IFERROR(OLDBD[[#This Row],[Fin de Carga]]-OLDBD[[#This Row],[Inicio de Carga]],"")</f>
        <v/>
      </c>
    </row>
    <row r="423" spans="1:57" customFormat="1" hidden="1">
      <c r="A423" s="1"/>
      <c r="B423" s="1">
        <f>IFERROR(IF(MARÍTIMOS[[#This Row],[PP]]="","",MARÍTIMOS[[#This Row],[PP]]),"")</f>
        <v>36</v>
      </c>
      <c r="C423" s="1" t="str">
        <f>IFERROR(IF(MARÍTIMOS[[#This Row],[Sede]]="","",MARÍTIMOS[[#This Row],[Sede]]),"")</f>
        <v>Chao</v>
      </c>
      <c r="D423" s="1" t="str">
        <f>IFERROR(IF(MARÍTIMOS[[#This Row],[Instruction]]="","",MARÍTIMOS[[#This Row],[Instruction]]),"")</f>
        <v>RH-0684</v>
      </c>
      <c r="E423" s="1"/>
      <c r="F423" s="2" t="str">
        <f>IFERROR(IF(MARÍTIMOS[[#This Row],[Transportista]]="","",MARÍTIMOS[[#This Row],[Transportista]]),"")</f>
        <v>VESL</v>
      </c>
      <c r="G423" s="2" t="str">
        <f>IFERROR(IF(MARÍTIMOS[[#This Row],[Tercero]]="","",MARÍTIMOS[[#This Row],[Tercero]]),"")</f>
        <v>SI</v>
      </c>
      <c r="H423" s="2" t="str">
        <f>IFERROR(IF(MARÍTIMOS[[#This Row],[Razón Social]]="","",MARÍTIMOS[[#This Row],[Razón Social]]),"")</f>
        <v>MULTITRAC TRANSPORT EIRL</v>
      </c>
      <c r="I423" s="2">
        <f>IFERROR(IF(MARÍTIMOS[[#This Row],[RUC]]="","",MARÍTIMOS[[#This Row],[RUC]]),"")</f>
        <v>20613369083</v>
      </c>
      <c r="J423" s="2" t="str">
        <f>IFERROR(IF(MARÍTIMOS[[#This Row],[Placa Tracto]]="","",MARÍTIMOS[[#This Row],[Placa Tracto]]),"")</f>
        <v>C0F854</v>
      </c>
      <c r="K423" s="2" t="str">
        <f>IFERROR(IF(MARÍTIMOS[[#This Row],[Placa Carreta]]="","",MARÍTIMOS[[#This Row],[Placa Carreta]]),"")</f>
        <v>TLX-989</v>
      </c>
      <c r="L423" s="44" t="str">
        <f>IFERROR(IF(MARÍTIMOS[[#This Row],[Conductor]]="","",MARÍTIMOS[[#This Row],[Conductor]]),"")</f>
        <v>JORGE LUIS ATOCHE RIVAS</v>
      </c>
      <c r="M423" s="2" t="str">
        <f>IFERROR(IF(MARÍTIMOS[[#This Row],[Licencia]]="","",MARÍTIMOS[[#This Row],[Licencia]]),"")</f>
        <v>B46528666</v>
      </c>
      <c r="N423" s="2" t="str">
        <f>IFERROR(IF(MARÍTIMOS[[#This Row],[Número de Contacto]]="","",MARÍTIMOS[[#This Row],[Número de Contacto]]),"")</f>
        <v>904 501 994</v>
      </c>
      <c r="O423" s="10" t="str">
        <f>IFERROR(IF(MARÍTIMOS[[#This Row],[Booking|AWB|CRT]]="","",MARÍTIMOS[[#This Row],[Booking|AWB|CRT]]),"")</f>
        <v>9214282A</v>
      </c>
      <c r="P423" s="2" t="str">
        <f>IFERROR(IF(MARÍTIMOS[[#This Row],[Contenedor]]="","",MARÍTIMOS[[#This Row],[Contenedor]]),"")</f>
        <v>SEKU9425376</v>
      </c>
      <c r="Q423" s="2" t="str">
        <f>IFERROR(IF(MARÍTIMOS[[#This Row],[Puerto de Retiro]]="","",MARÍTIMOS[[#This Row],[Puerto de Retiro]]),"")</f>
        <v>PAITA</v>
      </c>
      <c r="R423" s="2" t="str">
        <f>IFERROR(IF(MARÍTIMOS[[#This Row],[Almacén de Retiro]]="","",MARÍTIMOS[[#This Row],[Almacén de Retiro]]),"")</f>
        <v>DPW</v>
      </c>
      <c r="S423" s="11">
        <f>IFERROR(IF(MARÍTIMOS[[#This Row],[Etapa Retiro - Cita]]="","",MARÍTIMOS[[#This Row],[Etapa Retiro - Cita]]),"")</f>
        <v>46270.625</v>
      </c>
      <c r="T423" s="11">
        <f>IFERROR(IF(MARÍTIMOS[[#This Row],[Etapa Retiro - Llegada]]="","",MARÍTIMOS[[#This Row],[Etapa Retiro - Llegada]]),"")</f>
        <v>46270.568055555559</v>
      </c>
      <c r="U423" s="11">
        <f>IFERROR(IF(MARÍTIMOS[[#This Row],[Etapa Retiro - Ingreso]]="","",MARÍTIMOS[[#This Row],[Etapa Retiro - Ingreso]]),"")</f>
        <v>46270.62777777778</v>
      </c>
      <c r="V423" s="11">
        <f>IFERROR(IF(MARÍTIMOS[[#This Row],[Etapa Retiro - Atención]]="","",MARÍTIMOS[[#This Row],[Etapa Retiro - Atención]]),"")</f>
        <v>46270.642361111109</v>
      </c>
      <c r="W423" s="11">
        <f>IFERROR(IF(MARÍTIMOS[[#This Row],[Etapa Retiro - Atención]]="","",MARÍTIMOS[[#This Row],[Etapa Retiro - Atención]]),"")</f>
        <v>46270.642361111109</v>
      </c>
      <c r="X423" s="11">
        <f>IFERROR(IF(MARÍTIMOS[[#This Row],[Etapa Retiro - Inicio de Ruta]]="","",MARÍTIMOS[[#This Row],[Etapa Retiro - Inicio de Ruta]]),"")</f>
        <v>46270.6875</v>
      </c>
      <c r="Y423" s="11">
        <f>IFERROR(IF(MARÍTIMOS[[#This Row],[Hora de Posicionamiento]]="","",MARÍTIMOS[[#This Row],[Fecha de Carga]]+MARÍTIMOS[[#This Row],[Hora de Posicionamiento]]),"")</f>
        <v>46271.5</v>
      </c>
      <c r="Z423" s="11">
        <f>IFERROR(IF(MARÍTIMOS[[#This Row],[Etapa Despacho - Llegada]]="","",MARÍTIMOS[[#This Row],[Etapa Despacho - Llegada]]),"")</f>
        <v>46271.474999999999</v>
      </c>
      <c r="AA423" s="11">
        <f>IFERROR(IF(MARÍTIMOS[[#This Row],[Etapa Despacho - Registro]]="","",MARÍTIMOS[[#This Row],[Etapa Despacho - Registro]]),"")</f>
        <v>46271.479166666664</v>
      </c>
      <c r="AB423" s="11">
        <f>IFERROR(IF(MARÍTIMOS[[#This Row],[Inspección Externa]]="","",MARÍTIMOS[[#This Row],[Inspección Externa]]),"")</f>
        <v>46271.486111111109</v>
      </c>
      <c r="AC423" s="11">
        <f>IFERROR(IF(MARÍTIMOS[[#This Row],[Etapa Despacho - Inicio de Carga]]="","",MARÍTIMOS[[#This Row],[Etapa Despacho - Inicio de Carga]]),"")</f>
        <v>46271.65347222222</v>
      </c>
      <c r="AD423" s="11" t="str">
        <f>IFERROR(IF(MARÍTIMOS[[#This Row],[Etapa Despacho - Mitad de Carga]]="","",MARÍTIMOS[[#This Row],[Etapa Despacho - Mitad de Carga]]),"")</f>
        <v/>
      </c>
      <c r="AE423" s="11">
        <f>IFERROR(IF(MARÍTIMOS[[#This Row],[Etapa Despacho - Fin de Carga]]="","",MARÍTIMOS[[#This Row],[Etapa Despacho - Fin de Carga]]),"")</f>
        <v>46271.711805555555</v>
      </c>
      <c r="AF423" s="2" t="str">
        <f>IFERROR(IF(MARÍTIMOS[[#This Row],[Puerto de Embarque]]="","",MARÍTIMOS[[#This Row],[Puerto de Embarque]]),"")</f>
        <v>Paita</v>
      </c>
      <c r="AG423" s="2" t="str">
        <f>IFERROR(IF(MARÍTIMOS[[#This Row],[Almacén de Ingreso]]="","",MARÍTIMOS[[#This Row],[Almacén de Ingreso]]),"")</f>
        <v>TPE</v>
      </c>
      <c r="AH423" s="11">
        <f>IFERROR(IF(MARÍTIMOS[[#This Row],[Etapa Ingreso - Cita]]="","",MARÍTIMOS[[#This Row],[Etapa Ingreso - Cita]]),"")</f>
        <v>46272.583333333336</v>
      </c>
      <c r="AI423" s="11">
        <f>IFERROR(IF(MARÍTIMOS[[#This Row],[Etapa Ingreso - Llegada]]="","",MARÍTIMOS[[#This Row],[Etapa Ingreso - Llegada]]),"")</f>
        <v>46272.548611111109</v>
      </c>
      <c r="AJ423" s="11">
        <f>IFERROR(IF(MARÍTIMOS[[#This Row],[Etapa Ingreso - Ingeso]]="","",MARÍTIMOS[[#This Row],[Etapa Ingreso - Ingeso]]),"")</f>
        <v>46272.552777777775</v>
      </c>
      <c r="AK423" s="11">
        <f>IFERROR(IF(MARÍTIMOS[[#This Row],[Etapa Ingreso - Atención]]="","",MARÍTIMOS[[#This Row],[Etapa Ingreso - Atención]]),"")</f>
        <v>46272.563194444447</v>
      </c>
      <c r="AL423" s="11">
        <f>IFERROR(IF(MARÍTIMOS[[#This Row],[Etapa Ingreso - Salida]]="","",MARÍTIMOS[[#This Row],[Etapa Ingreso - Salida]]),"")</f>
        <v>46272.56527777778</v>
      </c>
      <c r="AM423" s="2">
        <f>IFERROR(IF(MARÍTIMOS[[#This Row],[FCL]]="","",MARÍTIMOS[[#This Row],[FCL]]),"")</f>
        <v>1</v>
      </c>
      <c r="AN4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423" s="4" t="str" cm="1">
        <f t="array" ref="AO4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3" s="5">
        <f>IFERROR(OLDBD[[#This Row],[Llegada a packing]]-OLDBD[[#This Row],[Inicio de Ruta]],"")</f>
        <v>0.78749999999854481</v>
      </c>
      <c r="AQ423" s="6">
        <f>IFERROR(OLDBD[[#This Row],[Inicio de Ruta]]-OLDBD[[#This Row],[Salida de almacén de retiro]],"")</f>
        <v>4.5138888890505768E-2</v>
      </c>
      <c r="AR4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23" s="8" t="str" cm="1">
        <f t="array" ref="AS4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OFF TRACK</v>
      </c>
      <c r="AU423" s="9">
        <f>IFERROR(OLDBD[[#This Row],[Ingreso Packing]]-OLDBD[[#This Row],[Registro en Packing]],"")</f>
        <v>6.9444444452528842E-3</v>
      </c>
      <c r="AV423" s="9">
        <f>IFERROR(OLDBD[[#This Row],[Ingreso Packing]]-OLDBD[[#This Row],[Llegada a packing]],"")</f>
        <v>1.1111111110949423E-2</v>
      </c>
      <c r="AW4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3" s="5">
        <f>IFERROR(OLDBD[[#This Row],[Llegada Almacén de Ingreso]]-OLDBD[[#This Row],[Salida Packing]],"")</f>
        <v>0.83680555555474712</v>
      </c>
      <c r="AY423" s="4" t="str" cm="1">
        <f t="array" ref="AY4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23" s="43" t="s">
        <v>173</v>
      </c>
      <c r="BB423" s="47" t="str">
        <f>IFERROR(IF(MARÍTIMOS[[#This Row],[Estatus]]="","",MARÍTIMOS[[#This Row],[Estatus]]),"")</f>
        <v>Confirmado</v>
      </c>
      <c r="BC423" s="43"/>
      <c r="BD423" s="46">
        <f>IFERROR(OLDBD[[#This Row],[Salida de almacén de retiro]]-OLDBD[[#This Row],[Ingreso Almacén de retiro]],"")</f>
        <v>1.4583333329937886E-2</v>
      </c>
      <c r="BE423" s="46" t="str">
        <f>IFERROR(OLDBD[[#This Row],[Fin de Carga]]-OLDBD[[#This Row],[Inicio de Carga]],"")</f>
        <v/>
      </c>
    </row>
    <row r="424" spans="1:57" customFormat="1" hidden="1">
      <c r="A424" s="1"/>
      <c r="B424" s="1">
        <f>IFERROR(IF(MARÍTIMOS[[#This Row],[PP]]="","",MARÍTIMOS[[#This Row],[PP]]),"")</f>
        <v>36</v>
      </c>
      <c r="C424" s="1" t="str">
        <f>IFERROR(IF(MARÍTIMOS[[#This Row],[Sede]]="","",MARÍTIMOS[[#This Row],[Sede]]),"")</f>
        <v>Chao</v>
      </c>
      <c r="D424" s="1" t="str">
        <f>IFERROR(IF(MARÍTIMOS[[#This Row],[Instruction]]="","",MARÍTIMOS[[#This Row],[Instruction]]),"")</f>
        <v>RH-0686</v>
      </c>
      <c r="E424" s="1"/>
      <c r="F424" s="2" t="str">
        <f>IFERROR(IF(MARÍTIMOS[[#This Row],[Transportista]]="","",MARÍTIMOS[[#This Row],[Transportista]]),"")</f>
        <v>VESL</v>
      </c>
      <c r="G424" s="2" t="str">
        <f>IFERROR(IF(MARÍTIMOS[[#This Row],[Tercero]]="","",MARÍTIMOS[[#This Row],[Tercero]]),"")</f>
        <v>SI</v>
      </c>
      <c r="H424" s="2" t="str">
        <f>IFERROR(IF(MARÍTIMOS[[#This Row],[Razón Social]]="","",MARÍTIMOS[[#This Row],[Razón Social]]),"")</f>
        <v>MULTITRAC TRANSPORT EIRL</v>
      </c>
      <c r="I424" s="2">
        <f>IFERROR(IF(MARÍTIMOS[[#This Row],[RUC]]="","",MARÍTIMOS[[#This Row],[RUC]]),"")</f>
        <v>20613369083</v>
      </c>
      <c r="J424" s="2" t="str">
        <f>IFERROR(IF(MARÍTIMOS[[#This Row],[Placa Tracto]]="","",MARÍTIMOS[[#This Row],[Placa Tracto]]),"")</f>
        <v>A9O813</v>
      </c>
      <c r="K424" s="2" t="str">
        <f>IFERROR(IF(MARÍTIMOS[[#This Row],[Placa Carreta]]="","",MARÍTIMOS[[#This Row],[Placa Carreta]]),"")</f>
        <v>D1Y998</v>
      </c>
      <c r="L424" s="44" t="str">
        <f>IFERROR(IF(MARÍTIMOS[[#This Row],[Conductor]]="","",MARÍTIMOS[[#This Row],[Conductor]]),"")</f>
        <v>ALAN PATRICK CANOVA SANDOVAL</v>
      </c>
      <c r="M424" s="2" t="str">
        <f>IFERROR(IF(MARÍTIMOS[[#This Row],[Licencia]]="","",MARÍTIMOS[[#This Row],[Licencia]]),"")</f>
        <v>B43626000</v>
      </c>
      <c r="N424" s="2">
        <f>IFERROR(IF(MARÍTIMOS[[#This Row],[Número de Contacto]]="","",MARÍTIMOS[[#This Row],[Número de Contacto]]),"")</f>
        <v>0</v>
      </c>
      <c r="O424" s="10" t="str">
        <f>IFERROR(IF(MARÍTIMOS[[#This Row],[Booking|AWB|CRT]]="","",MARÍTIMOS[[#This Row],[Booking|AWB|CRT]]),"")</f>
        <v>9214284A</v>
      </c>
      <c r="P424" s="2" t="str">
        <f>IFERROR(IF(MARÍTIMOS[[#This Row],[Contenedor]]="","",MARÍTIMOS[[#This Row],[Contenedor]]),"")</f>
        <v>SEKU9420543</v>
      </c>
      <c r="Q424" s="2" t="str">
        <f>IFERROR(IF(MARÍTIMOS[[#This Row],[Puerto de Retiro]]="","",MARÍTIMOS[[#This Row],[Puerto de Retiro]]),"")</f>
        <v>PAITA</v>
      </c>
      <c r="R424" s="2" t="str">
        <f>IFERROR(IF(MARÍTIMOS[[#This Row],[Almacén de Retiro]]="","",MARÍTIMOS[[#This Row],[Almacén de Retiro]]),"")</f>
        <v>DPW</v>
      </c>
      <c r="S424" s="11">
        <f>IFERROR(IF(MARÍTIMOS[[#This Row],[Etapa Retiro - Cita]]="","",MARÍTIMOS[[#This Row],[Etapa Retiro - Cita]]),"")</f>
        <v>46270.625</v>
      </c>
      <c r="T424" s="11">
        <f>IFERROR(IF(MARÍTIMOS[[#This Row],[Etapa Retiro - Llegada]]="","",MARÍTIMOS[[#This Row],[Etapa Retiro - Llegada]]),"")</f>
        <v>46270.647222222222</v>
      </c>
      <c r="U424" s="11">
        <f>IFERROR(IF(MARÍTIMOS[[#This Row],[Etapa Retiro - Ingreso]]="","",MARÍTIMOS[[#This Row],[Etapa Retiro - Ingreso]]),"")</f>
        <v>46270.663194444445</v>
      </c>
      <c r="V424" s="11">
        <f>IFERROR(IF(MARÍTIMOS[[#This Row],[Etapa Retiro - Atención]]="","",MARÍTIMOS[[#This Row],[Etapa Retiro - Atención]]),"")</f>
        <v>46270.680555555555</v>
      </c>
      <c r="W424" s="11">
        <f>IFERROR(IF(MARÍTIMOS[[#This Row],[Etapa Retiro - Atención]]="","",MARÍTIMOS[[#This Row],[Etapa Retiro - Atención]]),"")</f>
        <v>46270.680555555555</v>
      </c>
      <c r="X424" s="11">
        <f>IFERROR(IF(MARÍTIMOS[[#This Row],[Etapa Retiro - Inicio de Ruta]]="","",MARÍTIMOS[[#This Row],[Etapa Retiro - Inicio de Ruta]]),"")</f>
        <v>46270.726388888892</v>
      </c>
      <c r="Y424" s="11">
        <f>IFERROR(IF(MARÍTIMOS[[#This Row],[Hora de Posicionamiento]]="","",MARÍTIMOS[[#This Row],[Fecha de Carga]]+MARÍTIMOS[[#This Row],[Hora de Posicionamiento]]),"")</f>
        <v>46271.583333333336</v>
      </c>
      <c r="Z424" s="11">
        <f>IFERROR(IF(MARÍTIMOS[[#This Row],[Etapa Despacho - Llegada]]="","",MARÍTIMOS[[#This Row],[Etapa Despacho - Llegada]]),"")</f>
        <v>46271.592361111114</v>
      </c>
      <c r="AA424" s="11">
        <f>IFERROR(IF(MARÍTIMOS[[#This Row],[Etapa Despacho - Registro]]="","",MARÍTIMOS[[#This Row],[Etapa Despacho - Registro]]),"")</f>
        <v>46271.598611111112</v>
      </c>
      <c r="AB424" s="11">
        <f>IFERROR(IF(MARÍTIMOS[[#This Row],[Inspección Externa]]="","",MARÍTIMOS[[#This Row],[Inspección Externa]]),"")</f>
        <v>46271.604166666664</v>
      </c>
      <c r="AC424" s="11">
        <f>IFERROR(IF(MARÍTIMOS[[#This Row],[Etapa Despacho - Inicio de Carga]]="","",MARÍTIMOS[[#This Row],[Etapa Despacho - Inicio de Carga]]),"")</f>
        <v>46271.706944444442</v>
      </c>
      <c r="AD424" s="11" t="str">
        <f>IFERROR(IF(MARÍTIMOS[[#This Row],[Etapa Despacho - Mitad de Carga]]="","",MARÍTIMOS[[#This Row],[Etapa Despacho - Mitad de Carga]]),"")</f>
        <v/>
      </c>
      <c r="AE424" s="11">
        <f>IFERROR(IF(MARÍTIMOS[[#This Row],[Etapa Despacho - Fin de Carga]]="","",MARÍTIMOS[[#This Row],[Etapa Despacho - Fin de Carga]]),"")</f>
        <v>46271.745833333334</v>
      </c>
      <c r="AF424" s="2" t="str">
        <f>IFERROR(IF(MARÍTIMOS[[#This Row],[Puerto de Embarque]]="","",MARÍTIMOS[[#This Row],[Puerto de Embarque]]),"")</f>
        <v>Paita</v>
      </c>
      <c r="AG424" s="2" t="str">
        <f>IFERROR(IF(MARÍTIMOS[[#This Row],[Almacén de Ingreso]]="","",MARÍTIMOS[[#This Row],[Almacén de Ingreso]]),"")</f>
        <v>TPE</v>
      </c>
      <c r="AH424" s="11">
        <f>IFERROR(IF(MARÍTIMOS[[#This Row],[Etapa Ingreso - Cita]]="","",MARÍTIMOS[[#This Row],[Etapa Ingreso - Cita]]),"")</f>
        <v>46272.5</v>
      </c>
      <c r="AI424" s="11">
        <f>IFERROR(IF(MARÍTIMOS[[#This Row],[Etapa Ingreso - Llegada]]="","",MARÍTIMOS[[#This Row],[Etapa Ingreso - Llegada]]),"")</f>
        <v>46272.507638888892</v>
      </c>
      <c r="AJ424" s="11">
        <f>IFERROR(IF(MARÍTIMOS[[#This Row],[Etapa Ingreso - Ingeso]]="","",MARÍTIMOS[[#This Row],[Etapa Ingreso - Ingeso]]),"")</f>
        <v>46272.511111111111</v>
      </c>
      <c r="AK424" s="11">
        <f>IFERROR(IF(MARÍTIMOS[[#This Row],[Etapa Ingreso - Atención]]="","",MARÍTIMOS[[#This Row],[Etapa Ingreso - Atención]]),"")</f>
        <v>46272.522222222222</v>
      </c>
      <c r="AL424" s="11">
        <f>IFERROR(IF(MARÍTIMOS[[#This Row],[Etapa Ingreso - Salida]]="","",MARÍTIMOS[[#This Row],[Etapa Ingreso - Salida]]),"")</f>
        <v>46272.525694444441</v>
      </c>
      <c r="AM424" s="2">
        <f>IFERROR(IF(MARÍTIMOS[[#This Row],[FCL]]="","",MARÍTIMOS[[#This Row],[FCL]]),"")</f>
        <v>1</v>
      </c>
      <c r="AN4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24" s="4" t="str" cm="1">
        <f t="array" ref="AO4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4" s="5">
        <f>IFERROR(OLDBD[[#This Row],[Llegada a packing]]-OLDBD[[#This Row],[Inicio de Ruta]],"")</f>
        <v>0.86597222222189885</v>
      </c>
      <c r="AQ424" s="6">
        <f>IFERROR(OLDBD[[#This Row],[Inicio de Ruta]]-OLDBD[[#This Row],[Salida de almacén de retiro]],"")</f>
        <v>4.5833333337213844E-2</v>
      </c>
      <c r="AR4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24" s="8" t="str" cm="1">
        <f t="array" ref="AS4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24" s="9">
        <f>IFERROR(OLDBD[[#This Row],[Ingreso Packing]]-OLDBD[[#This Row],[Registro en Packing]],"")</f>
        <v>5.5555555518367328E-3</v>
      </c>
      <c r="AV424" s="9">
        <f>IFERROR(OLDBD[[#This Row],[Ingreso Packing]]-OLDBD[[#This Row],[Llegada a packing]],"")</f>
        <v>1.1805555550381541E-2</v>
      </c>
      <c r="AW4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4" s="5">
        <f>IFERROR(OLDBD[[#This Row],[Llegada Almacén de Ingreso]]-OLDBD[[#This Row],[Salida Packing]],"")</f>
        <v>0.7618055555576575</v>
      </c>
      <c r="AY424" s="4" t="str" cm="1">
        <f t="array" ref="AY4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24" s="43" t="s">
        <v>173</v>
      </c>
      <c r="BB424" s="47" t="str">
        <f>IFERROR(IF(MARÍTIMOS[[#This Row],[Estatus]]="","",MARÍTIMOS[[#This Row],[Estatus]]),"")</f>
        <v>Confirmado</v>
      </c>
      <c r="BC424" s="43"/>
      <c r="BD424" s="46">
        <f>IFERROR(OLDBD[[#This Row],[Salida de almacén de retiro]]-OLDBD[[#This Row],[Ingreso Almacén de retiro]],"")</f>
        <v>1.7361111109494232E-2</v>
      </c>
      <c r="BE424" s="46" t="str">
        <f>IFERROR(OLDBD[[#This Row],[Fin de Carga]]-OLDBD[[#This Row],[Inicio de Carga]],"")</f>
        <v/>
      </c>
    </row>
    <row r="425" spans="1:57" customFormat="1" hidden="1">
      <c r="A425" s="1"/>
      <c r="B425" s="1">
        <f>IFERROR(IF(MARÍTIMOS[[#This Row],[PP]]="","",MARÍTIMOS[[#This Row],[PP]]),"")</f>
        <v>36</v>
      </c>
      <c r="C425" s="1" t="str">
        <f>IFERROR(IF(MARÍTIMOS[[#This Row],[Sede]]="","",MARÍTIMOS[[#This Row],[Sede]]),"")</f>
        <v>Chao</v>
      </c>
      <c r="D425" s="1" t="str">
        <f>IFERROR(IF(MARÍTIMOS[[#This Row],[Instruction]]="","",MARÍTIMOS[[#This Row],[Instruction]]),"")</f>
        <v>RH-0675</v>
      </c>
      <c r="E425" s="1"/>
      <c r="F425" s="2" t="str">
        <f>IFERROR(IF(MARÍTIMOS[[#This Row],[Transportista]]="","",MARÍTIMOS[[#This Row],[Transportista]]),"")</f>
        <v>VESL</v>
      </c>
      <c r="G425" s="2" t="str">
        <f>IFERROR(IF(MARÍTIMOS[[#This Row],[Tercero]]="","",MARÍTIMOS[[#This Row],[Tercero]]),"")</f>
        <v>SI</v>
      </c>
      <c r="H425" s="2" t="str">
        <f>IFERROR(IF(MARÍTIMOS[[#This Row],[Razón Social]]="","",MARÍTIMOS[[#This Row],[Razón Social]]),"")</f>
        <v>MULTITRAC TRANSPORT EIRL</v>
      </c>
      <c r="I425" s="2">
        <f>IFERROR(IF(MARÍTIMOS[[#This Row],[RUC]]="","",MARÍTIMOS[[#This Row],[RUC]]),"")</f>
        <v>20613369083</v>
      </c>
      <c r="J425" s="2" t="str">
        <f>IFERROR(IF(MARÍTIMOS[[#This Row],[Placa Tracto]]="","",MARÍTIMOS[[#This Row],[Placa Tracto]]),"")</f>
        <v>C2W847</v>
      </c>
      <c r="K425" s="2" t="str">
        <f>IFERROR(IF(MARÍTIMOS[[#This Row],[Placa Carreta]]="","",MARÍTIMOS[[#This Row],[Placa Carreta]]),"")</f>
        <v>TAD-992</v>
      </c>
      <c r="L425" s="44" t="str">
        <f>IFERROR(IF(MARÍTIMOS[[#This Row],[Conductor]]="","",MARÍTIMOS[[#This Row],[Conductor]]),"")</f>
        <v>ESWIN OSWALDO JIMENEZ FLORES</v>
      </c>
      <c r="M425" s="2" t="str">
        <f>IFERROR(IF(MARÍTIMOS[[#This Row],[Licencia]]="","",MARÍTIMOS[[#This Row],[Licencia]]),"")</f>
        <v>B75168917</v>
      </c>
      <c r="N425" s="2">
        <f>IFERROR(IF(MARÍTIMOS[[#This Row],[Número de Contacto]]="","",MARÍTIMOS[[#This Row],[Número de Contacto]]),"")</f>
        <v>51966730138</v>
      </c>
      <c r="O425" s="10" t="str">
        <f>IFERROR(IF(MARÍTIMOS[[#This Row],[Booking|AWB|CRT]]="","",MARÍTIMOS[[#This Row],[Booking|AWB|CRT]]),"")</f>
        <v>9214276A</v>
      </c>
      <c r="P425" s="2" t="str">
        <f>IFERROR(IF(MARÍTIMOS[[#This Row],[Contenedor]]="","",MARÍTIMOS[[#This Row],[Contenedor]]),"")</f>
        <v>TXGU9032481</v>
      </c>
      <c r="Q425" s="2" t="str">
        <f>IFERROR(IF(MARÍTIMOS[[#This Row],[Puerto de Retiro]]="","",MARÍTIMOS[[#This Row],[Puerto de Retiro]]),"")</f>
        <v>PAITA</v>
      </c>
      <c r="R425" s="2" t="str">
        <f>IFERROR(IF(MARÍTIMOS[[#This Row],[Almacén de Retiro]]="","",MARÍTIMOS[[#This Row],[Almacén de Retiro]]),"")</f>
        <v>DPW</v>
      </c>
      <c r="S425" s="11">
        <f>IFERROR(IF(MARÍTIMOS[[#This Row],[Etapa Retiro - Cita]]="","",MARÍTIMOS[[#This Row],[Etapa Retiro - Cita]]),"")</f>
        <v>46271.833333333336</v>
      </c>
      <c r="T425" s="11">
        <f>IFERROR(IF(MARÍTIMOS[[#This Row],[Etapa Retiro - Llegada]]="","",MARÍTIMOS[[#This Row],[Etapa Retiro - Llegada]]),"")</f>
        <v>46271.810416666667</v>
      </c>
      <c r="U425" s="11">
        <f>IFERROR(IF(MARÍTIMOS[[#This Row],[Etapa Retiro - Ingreso]]="","",MARÍTIMOS[[#This Row],[Etapa Retiro - Ingreso]]),"")</f>
        <v>46271.826388888891</v>
      </c>
      <c r="V425" s="11">
        <f>IFERROR(IF(MARÍTIMOS[[#This Row],[Etapa Retiro - Atención]]="","",MARÍTIMOS[[#This Row],[Etapa Retiro - Atención]]),"")</f>
        <v>46271.833333333336</v>
      </c>
      <c r="W425" s="11">
        <f>IFERROR(IF(MARÍTIMOS[[#This Row],[Etapa Retiro - Atención]]="","",MARÍTIMOS[[#This Row],[Etapa Retiro - Atención]]),"")</f>
        <v>46271.833333333336</v>
      </c>
      <c r="X425" s="11">
        <f>IFERROR(IF(MARÍTIMOS[[#This Row],[Etapa Retiro - Inicio de Ruta]]="","",MARÍTIMOS[[#This Row],[Etapa Retiro - Inicio de Ruta]]),"")</f>
        <v>46271.93472222222</v>
      </c>
      <c r="Y425" s="11">
        <f>IFERROR(IF(MARÍTIMOS[[#This Row],[Hora de Posicionamiento]]="","",MARÍTIMOS[[#This Row],[Fecha de Carga]]+MARÍTIMOS[[#This Row],[Hora de Posicionamiento]]),"")</f>
        <v>46272.5</v>
      </c>
      <c r="Z425" s="11">
        <f>IFERROR(IF(MARÍTIMOS[[#This Row],[Etapa Despacho - Llegada]]="","",MARÍTIMOS[[#This Row],[Etapa Despacho - Llegada]]),"")</f>
        <v>46272.636111111111</v>
      </c>
      <c r="AA425" s="11">
        <f>IFERROR(IF(MARÍTIMOS[[#This Row],[Etapa Despacho - Registro]]="","",MARÍTIMOS[[#This Row],[Etapa Despacho - Registro]]),"")</f>
        <v>46272.638888888891</v>
      </c>
      <c r="AB425" s="11">
        <f>IFERROR(IF(MARÍTIMOS[[#This Row],[Inspección Externa]]="","",MARÍTIMOS[[#This Row],[Inspección Externa]]),"")</f>
        <v>46272.636111111111</v>
      </c>
      <c r="AC425" s="11">
        <f>IFERROR(IF(MARÍTIMOS[[#This Row],[Etapa Despacho - Inicio de Carga]]="","",MARÍTIMOS[[#This Row],[Etapa Despacho - Inicio de Carga]]),"")</f>
        <v>46272.678472222222</v>
      </c>
      <c r="AD425" s="11" t="str">
        <f>IFERROR(IF(MARÍTIMOS[[#This Row],[Etapa Despacho - Mitad de Carga]]="","",MARÍTIMOS[[#This Row],[Etapa Despacho - Mitad de Carga]]),"")</f>
        <v/>
      </c>
      <c r="AE425" s="11">
        <f>IFERROR(IF(MARÍTIMOS[[#This Row],[Etapa Despacho - Fin de Carga]]="","",MARÍTIMOS[[#This Row],[Etapa Despacho - Fin de Carga]]),"")</f>
        <v>46272.738194444442</v>
      </c>
      <c r="AF425" s="2" t="str">
        <f>IFERROR(IF(MARÍTIMOS[[#This Row],[Puerto de Embarque]]="","",MARÍTIMOS[[#This Row],[Puerto de Embarque]]),"")</f>
        <v>Paita</v>
      </c>
      <c r="AG425" s="2" t="str">
        <f>IFERROR(IF(MARÍTIMOS[[#This Row],[Almacén de Ingreso]]="","",MARÍTIMOS[[#This Row],[Almacén de Ingreso]]),"")</f>
        <v>TPE</v>
      </c>
      <c r="AH425" s="11">
        <f>IFERROR(IF(MARÍTIMOS[[#This Row],[Etapa Ingreso - Cita]]="","",MARÍTIMOS[[#This Row],[Etapa Ingreso - Cita]]),"")</f>
        <v>46273.583333333336</v>
      </c>
      <c r="AI425" s="11">
        <f>IFERROR(IF(MARÍTIMOS[[#This Row],[Etapa Ingreso - Llegada]]="","",MARÍTIMOS[[#This Row],[Etapa Ingreso - Llegada]]),"")</f>
        <v>47369.545138888891</v>
      </c>
      <c r="AJ425" s="11">
        <f>IFERROR(IF(MARÍTIMOS[[#This Row],[Etapa Ingreso - Ingeso]]="","",MARÍTIMOS[[#This Row],[Etapa Ingreso - Ingeso]]),"")</f>
        <v>47369.548611111109</v>
      </c>
      <c r="AK425" s="11">
        <f>IFERROR(IF(MARÍTIMOS[[#This Row],[Etapa Ingreso - Atención]]="","",MARÍTIMOS[[#This Row],[Etapa Ingreso - Atención]]),"")</f>
        <v>47369.554166666669</v>
      </c>
      <c r="AL425" s="11">
        <f>IFERROR(IF(MARÍTIMOS[[#This Row],[Etapa Ingreso - Salida]]="","",MARÍTIMOS[[#This Row],[Etapa Ingreso - Salida]]),"")</f>
        <v>47369.559027777781</v>
      </c>
      <c r="AM425" s="2">
        <f>IFERROR(IF(MARÍTIMOS[[#This Row],[FCL]]="","",MARÍTIMOS[[#This Row],[FCL]]),"")</f>
        <v>1</v>
      </c>
      <c r="AN4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425" s="4" t="str" cm="1">
        <f t="array" ref="AO4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5" s="5">
        <f>IFERROR(OLDBD[[#This Row],[Llegada a packing]]-OLDBD[[#This Row],[Inicio de Ruta]],"")</f>
        <v>0.70138888889050577</v>
      </c>
      <c r="AQ425" s="6">
        <f>IFERROR(OLDBD[[#This Row],[Inicio de Ruta]]-OLDBD[[#This Row],[Salida de almacén de retiro]],"")</f>
        <v>0.101388888884685</v>
      </c>
      <c r="AR4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425" s="8" t="str" cm="1">
        <f t="array" ref="AS4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25" s="9">
        <f>IFERROR(OLDBD[[#This Row],[Ingreso Packing]]-OLDBD[[#This Row],[Registro en Packing]],"")</f>
        <v>-2.7777777795563452E-3</v>
      </c>
      <c r="AV425" s="9">
        <f>IFERROR(OLDBD[[#This Row],[Ingreso Packing]]-OLDBD[[#This Row],[Llegada a packing]],"")</f>
        <v>0</v>
      </c>
      <c r="AW4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5" s="5">
        <f>IFERROR(OLDBD[[#This Row],[Llegada Almacén de Ingreso]]-OLDBD[[#This Row],[Salida Packing]],"")</f>
        <v>1096.8069444444482</v>
      </c>
      <c r="AY425" s="4" t="str" cm="1">
        <f t="array" ref="AY4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25" s="43" t="s">
        <v>173</v>
      </c>
      <c r="BB425" s="47" t="str">
        <f>IFERROR(IF(MARÍTIMOS[[#This Row],[Estatus]]="","",MARÍTIMOS[[#This Row],[Estatus]]),"")</f>
        <v>Confirmado</v>
      </c>
      <c r="BC425" s="43"/>
      <c r="BD425" s="46">
        <f>IFERROR(OLDBD[[#This Row],[Salida de almacén de retiro]]-OLDBD[[#This Row],[Ingreso Almacén de retiro]],"")</f>
        <v>6.9444444452528842E-3</v>
      </c>
      <c r="BE425" s="46" t="str">
        <f>IFERROR(OLDBD[[#This Row],[Fin de Carga]]-OLDBD[[#This Row],[Inicio de Carga]],"")</f>
        <v/>
      </c>
    </row>
    <row r="426" spans="1:57" customFormat="1" hidden="1">
      <c r="A426" s="1"/>
      <c r="B426" s="1">
        <f>IFERROR(IF(MARÍTIMOS[[#This Row],[PP]]="","",MARÍTIMOS[[#This Row],[PP]]),"")</f>
        <v>37</v>
      </c>
      <c r="C426" s="1" t="str">
        <f>IFERROR(IF(MARÍTIMOS[[#This Row],[Sede]]="","",MARÍTIMOS[[#This Row],[Sede]]),"")</f>
        <v>Chao</v>
      </c>
      <c r="D426" s="1" t="str">
        <f>IFERROR(IF(MARÍTIMOS[[#This Row],[Instruction]]="","",MARÍTIMOS[[#This Row],[Instruction]]),"")</f>
        <v>RH-0767</v>
      </c>
      <c r="E426" s="1"/>
      <c r="F426" s="2" t="str">
        <f>IFERROR(IF(MARÍTIMOS[[#This Row],[Transportista]]="","",MARÍTIMOS[[#This Row],[Transportista]]),"")</f>
        <v>VESL</v>
      </c>
      <c r="G426" s="2" t="str">
        <f>IFERROR(IF(MARÍTIMOS[[#This Row],[Tercero]]="","",MARÍTIMOS[[#This Row],[Tercero]]),"")</f>
        <v>NO</v>
      </c>
      <c r="H426" s="2" t="str">
        <f>IFERROR(IF(MARÍTIMOS[[#This Row],[Razón Social]]="","",MARÍTIMOS[[#This Row],[Razón Social]]),"")</f>
        <v>VE SOLUCIONES LOGISTICAS SAC</v>
      </c>
      <c r="I426" s="2">
        <f>IFERROR(IF(MARÍTIMOS[[#This Row],[RUC]]="","",MARÍTIMOS[[#This Row],[RUC]]),"")</f>
        <v>20557679392</v>
      </c>
      <c r="J426" s="2" t="str">
        <f>IFERROR(IF(MARÍTIMOS[[#This Row],[Placa Tracto]]="","",MARÍTIMOS[[#This Row],[Placa Tracto]]),"")</f>
        <v>BFY931</v>
      </c>
      <c r="K426" s="2" t="str">
        <f>IFERROR(IF(MARÍTIMOS[[#This Row],[Placa Carreta]]="","",MARÍTIMOS[[#This Row],[Placa Carreta]]),"")</f>
        <v>F5X983</v>
      </c>
      <c r="L426" s="44" t="str">
        <f>IFERROR(IF(MARÍTIMOS[[#This Row],[Conductor]]="","",MARÍTIMOS[[#This Row],[Conductor]]),"")</f>
        <v>RICHARD CLEY CALDERON RODRIGUEZ</v>
      </c>
      <c r="M426" s="2" t="str">
        <f>IFERROR(IF(MARÍTIMOS[[#This Row],[Licencia]]="","",MARÍTIMOS[[#This Row],[Licencia]]),"")</f>
        <v>B003228182</v>
      </c>
      <c r="N426" s="2">
        <f>IFERROR(IF(MARÍTIMOS[[#This Row],[Número de Contacto]]="","",MARÍTIMOS[[#This Row],[Número de Contacto]]),"")</f>
        <v>0</v>
      </c>
      <c r="O426" s="10" t="str">
        <f>IFERROR(IF(MARÍTIMOS[[#This Row],[Booking|AWB|CRT]]="","",MARÍTIMOS[[#This Row],[Booking|AWB|CRT]]),"")</f>
        <v>MBM250067141</v>
      </c>
      <c r="P426" s="2" t="str">
        <f>IFERROR(IF(MARÍTIMOS[[#This Row],[Contenedor]]="","",MARÍTIMOS[[#This Row],[Contenedor]]),"")</f>
        <v>SEGU9286825</v>
      </c>
      <c r="Q426" s="2" t="str">
        <f>IFERROR(IF(MARÍTIMOS[[#This Row],[Puerto de Retiro]]="","",MARÍTIMOS[[#This Row],[Puerto de Retiro]]),"")</f>
        <v>PAITA</v>
      </c>
      <c r="R426" s="2" t="str">
        <f>IFERROR(IF(MARÍTIMOS[[#This Row],[Almacén de Retiro]]="","",MARÍTIMOS[[#This Row],[Almacén de Retiro]]),"")</f>
        <v>MACROMAR</v>
      </c>
      <c r="S426" s="11">
        <f>IFERROR(IF(MARÍTIMOS[[#This Row],[Etapa Retiro - Cita]]="","",MARÍTIMOS[[#This Row],[Etapa Retiro - Cita]]),"")</f>
        <v>46274.833333333336</v>
      </c>
      <c r="T426" s="11">
        <f>IFERROR(IF(MARÍTIMOS[[#This Row],[Etapa Retiro - Llegada]]="","",MARÍTIMOS[[#This Row],[Etapa Retiro - Llegada]]),"")</f>
        <v>46274.824999999997</v>
      </c>
      <c r="U426" s="11">
        <f>IFERROR(IF(MARÍTIMOS[[#This Row],[Etapa Retiro - Ingreso]]="","",MARÍTIMOS[[#This Row],[Etapa Retiro - Ingreso]]),"")</f>
        <v>46274.849305555559</v>
      </c>
      <c r="V426" s="11">
        <f>IFERROR(IF(MARÍTIMOS[[#This Row],[Etapa Retiro - Atención]]="","",MARÍTIMOS[[#This Row],[Etapa Retiro - Atención]]),"")</f>
        <v>46274.854166666664</v>
      </c>
      <c r="W426" s="11">
        <f>IFERROR(IF(MARÍTIMOS[[#This Row],[Etapa Retiro - Atención]]="","",MARÍTIMOS[[#This Row],[Etapa Retiro - Atención]]),"")</f>
        <v>46274.854166666664</v>
      </c>
      <c r="X426" s="11">
        <f>IFERROR(IF(MARÍTIMOS[[#This Row],[Etapa Retiro - Inicio de Ruta]]="","",MARÍTIMOS[[#This Row],[Etapa Retiro - Inicio de Ruta]]),"")</f>
        <v>46274.913194444445</v>
      </c>
      <c r="Y426" s="11">
        <f>IFERROR(IF(MARÍTIMOS[[#This Row],[Hora de Posicionamiento]]="","",MARÍTIMOS[[#This Row],[Fecha de Carga]]+MARÍTIMOS[[#This Row],[Hora de Posicionamiento]]),"")</f>
        <v>46275.5</v>
      </c>
      <c r="Z426" s="11">
        <f>IFERROR(IF(MARÍTIMOS[[#This Row],[Etapa Despacho - Llegada]]="","",MARÍTIMOS[[#This Row],[Etapa Despacho - Llegada]]),"")</f>
        <v>46275.557638888888</v>
      </c>
      <c r="AA426" s="11">
        <f>IFERROR(IF(MARÍTIMOS[[#This Row],[Etapa Despacho - Registro]]="","",MARÍTIMOS[[#This Row],[Etapa Despacho - Registro]]),"")</f>
        <v>46275.561111111114</v>
      </c>
      <c r="AB426" s="11" t="str">
        <f>IFERROR(IF(MARÍTIMOS[[#This Row],[Inspección Externa]]="","",MARÍTIMOS[[#This Row],[Inspección Externa]]),"")</f>
        <v/>
      </c>
      <c r="AC426" s="11">
        <f>IFERROR(IF(MARÍTIMOS[[#This Row],[Etapa Despacho - Inicio de Carga]]="","",MARÍTIMOS[[#This Row],[Etapa Despacho - Inicio de Carga]]),"")</f>
        <v>46275.604166666664</v>
      </c>
      <c r="AD426" s="11" t="str">
        <f>IFERROR(IF(MARÍTIMOS[[#This Row],[Etapa Despacho - Mitad de Carga]]="","",MARÍTIMOS[[#This Row],[Etapa Despacho - Mitad de Carga]]),"")</f>
        <v/>
      </c>
      <c r="AE426" s="11">
        <f>IFERROR(IF(MARÍTIMOS[[#This Row],[Etapa Despacho - Fin de Carga]]="","",MARÍTIMOS[[#This Row],[Etapa Despacho - Fin de Carga]]),"")</f>
        <v>46275.666666666664</v>
      </c>
      <c r="AF426" s="2" t="str">
        <f>IFERROR(IF(MARÍTIMOS[[#This Row],[Puerto de Embarque]]="","",MARÍTIMOS[[#This Row],[Puerto de Embarque]]),"")</f>
        <v>Paita</v>
      </c>
      <c r="AG426" s="2" t="str">
        <f>IFERROR(IF(MARÍTIMOS[[#This Row],[Almacén de Ingreso]]="","",MARÍTIMOS[[#This Row],[Almacén de Ingreso]]),"")</f>
        <v>TPE</v>
      </c>
      <c r="AH426" s="11">
        <f>IFERROR(IF(MARÍTIMOS[[#This Row],[Etapa Ingreso - Cita]]="","",MARÍTIMOS[[#This Row],[Etapa Ingreso - Cita]]),"")</f>
        <v>46276.541666666664</v>
      </c>
      <c r="AI426" s="11">
        <f>IFERROR(IF(MARÍTIMOS[[#This Row],[Etapa Ingreso - Llegada]]="","",MARÍTIMOS[[#This Row],[Etapa Ingreso - Llegada]]),"")</f>
        <v>46335.541666666664</v>
      </c>
      <c r="AJ426" s="11">
        <f>IFERROR(IF(MARÍTIMOS[[#This Row],[Etapa Ingreso - Ingeso]]="","",MARÍTIMOS[[#This Row],[Etapa Ingreso - Ingeso]]),"")</f>
        <v>46335.556250000001</v>
      </c>
      <c r="AK426" s="11">
        <f>IFERROR(IF(MARÍTIMOS[[#This Row],[Etapa Ingreso - Atención]]="","",MARÍTIMOS[[#This Row],[Etapa Ingreso - Atención]]),"")</f>
        <v>46335.559027777781</v>
      </c>
      <c r="AL426" s="11">
        <f>IFERROR(IF(MARÍTIMOS[[#This Row],[Etapa Ingreso - Salida]]="","",MARÍTIMOS[[#This Row],[Etapa Ingreso - Salida]]),"")</f>
        <v>46335.568749999999</v>
      </c>
      <c r="AM426" s="2">
        <f>IFERROR(IF(MARÍTIMOS[[#This Row],[FCL]]="","",MARÍTIMOS[[#This Row],[FCL]]),"")</f>
        <v>1</v>
      </c>
      <c r="AN4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26" s="4" t="str" cm="1">
        <f t="array" ref="AO4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6" s="5">
        <f>IFERROR(OLDBD[[#This Row],[Llegada a packing]]-OLDBD[[#This Row],[Inicio de Ruta]],"")</f>
        <v>0.6444444444423425</v>
      </c>
      <c r="AQ426" s="6">
        <f>IFERROR(OLDBD[[#This Row],[Inicio de Ruta]]-OLDBD[[#This Row],[Salida de almacén de retiro]],"")</f>
        <v>5.9027777781011537E-2</v>
      </c>
      <c r="AR4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26" s="8" t="str" cm="1">
        <f t="array" ref="AS4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26" s="9" t="str">
        <f>IFERROR(OLDBD[[#This Row],[Ingreso Packing]]-OLDBD[[#This Row],[Registro en Packing]],"")</f>
        <v/>
      </c>
      <c r="AV426" s="9" t="str">
        <f>IFERROR(OLDBD[[#This Row],[Ingreso Packing]]-OLDBD[[#This Row],[Llegada a packing]],"")</f>
        <v/>
      </c>
      <c r="AW4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6" s="5">
        <f>IFERROR(OLDBD[[#This Row],[Llegada Almacén de Ingreso]]-OLDBD[[#This Row],[Salida Packing]],"")</f>
        <v>59.875</v>
      </c>
      <c r="AY426" s="4" t="str" cm="1">
        <f t="array" ref="AY4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26" s="43" t="s">
        <v>173</v>
      </c>
      <c r="BB426" s="47" t="str">
        <f>IFERROR(IF(MARÍTIMOS[[#This Row],[Estatus]]="","",MARÍTIMOS[[#This Row],[Estatus]]),"")</f>
        <v>Confirmado</v>
      </c>
      <c r="BC426" s="43"/>
      <c r="BD426" s="46">
        <f>IFERROR(OLDBD[[#This Row],[Salida de almacén de retiro]]-OLDBD[[#This Row],[Ingreso Almacén de retiro]],"")</f>
        <v>4.8611111051286571E-3</v>
      </c>
      <c r="BE426" s="46" t="str">
        <f>IFERROR(OLDBD[[#This Row],[Fin de Carga]]-OLDBD[[#This Row],[Inicio de Carga]],"")</f>
        <v/>
      </c>
    </row>
    <row r="427" spans="1:57" customFormat="1" hidden="1">
      <c r="A427" s="1"/>
      <c r="B427" s="1">
        <f>IFERROR(IF(MARÍTIMOS[[#This Row],[PP]]="","",MARÍTIMOS[[#This Row],[PP]]),"")</f>
        <v>37</v>
      </c>
      <c r="C427" s="1" t="str">
        <f>IFERROR(IF(MARÍTIMOS[[#This Row],[Sede]]="","",MARÍTIMOS[[#This Row],[Sede]]),"")</f>
        <v>Chao</v>
      </c>
      <c r="D427" s="1" t="str">
        <f>IFERROR(IF(MARÍTIMOS[[#This Row],[Instruction]]="","",MARÍTIMOS[[#This Row],[Instruction]]),"")</f>
        <v>RH-0771</v>
      </c>
      <c r="E427" s="1"/>
      <c r="F427" s="2" t="str">
        <f>IFERROR(IF(MARÍTIMOS[[#This Row],[Transportista]]="","",MARÍTIMOS[[#This Row],[Transportista]]),"")</f>
        <v>VESL</v>
      </c>
      <c r="G427" s="2" t="str">
        <f>IFERROR(IF(MARÍTIMOS[[#This Row],[Tercero]]="","",MARÍTIMOS[[#This Row],[Tercero]]),"")</f>
        <v>SI</v>
      </c>
      <c r="H427" s="2" t="str">
        <f>IFERROR(IF(MARÍTIMOS[[#This Row],[Razón Social]]="","",MARÍTIMOS[[#This Row],[Razón Social]]),"")</f>
        <v>MULTITRAC TRANSPORT EIRL</v>
      </c>
      <c r="I427" s="2">
        <f>IFERROR(IF(MARÍTIMOS[[#This Row],[RUC]]="","",MARÍTIMOS[[#This Row],[RUC]]),"")</f>
        <v>20613369083</v>
      </c>
      <c r="J427" s="2" t="str">
        <f>IFERROR(IF(MARÍTIMOS[[#This Row],[Placa Tracto]]="","",MARÍTIMOS[[#This Row],[Placa Tracto]]),"")</f>
        <v>C0F854</v>
      </c>
      <c r="K427" s="2" t="str">
        <f>IFERROR(IF(MARÍTIMOS[[#This Row],[Placa Carreta]]="","",MARÍTIMOS[[#This Row],[Placa Carreta]]),"")</f>
        <v>TLX989</v>
      </c>
      <c r="L427" s="44" t="str">
        <f>IFERROR(IF(MARÍTIMOS[[#This Row],[Conductor]]="","",MARÍTIMOS[[#This Row],[Conductor]]),"")</f>
        <v>JORGE LUIS ATOCHE RIVAS</v>
      </c>
      <c r="M427" s="2" t="str">
        <f>IFERROR(IF(MARÍTIMOS[[#This Row],[Licencia]]="","",MARÍTIMOS[[#This Row],[Licencia]]),"")</f>
        <v>B46528666</v>
      </c>
      <c r="N427" s="2" t="str">
        <f>IFERROR(IF(MARÍTIMOS[[#This Row],[Número de Contacto]]="","",MARÍTIMOS[[#This Row],[Número de Contacto]]),"")</f>
        <v>904 501 994</v>
      </c>
      <c r="O427" s="10" t="str">
        <f>IFERROR(IF(MARÍTIMOS[[#This Row],[Booking|AWB|CRT]]="","",MARÍTIMOS[[#This Row],[Booking|AWB|CRT]]),"")</f>
        <v>MBM250067145</v>
      </c>
      <c r="P427" s="2" t="str">
        <f>IFERROR(IF(MARÍTIMOS[[#This Row],[Contenedor]]="","",MARÍTIMOS[[#This Row],[Contenedor]]),"")</f>
        <v>CAIU5549715</v>
      </c>
      <c r="Q427" s="2" t="str">
        <f>IFERROR(IF(MARÍTIMOS[[#This Row],[Puerto de Retiro]]="","",MARÍTIMOS[[#This Row],[Puerto de Retiro]]),"")</f>
        <v>PAITA</v>
      </c>
      <c r="R427" s="2" t="str">
        <f>IFERROR(IF(MARÍTIMOS[[#This Row],[Almacén de Retiro]]="","",MARÍTIMOS[[#This Row],[Almacén de Retiro]]),"")</f>
        <v>MACROMAR</v>
      </c>
      <c r="S427" s="11">
        <f>IFERROR(IF(MARÍTIMOS[[#This Row],[Etapa Retiro - Cita]]="","",MARÍTIMOS[[#This Row],[Etapa Retiro - Cita]]),"")</f>
        <v>46275.75</v>
      </c>
      <c r="T427" s="11">
        <f>IFERROR(IF(MARÍTIMOS[[#This Row],[Etapa Retiro - Llegada]]="","",MARÍTIMOS[[#This Row],[Etapa Retiro - Llegada]]),"")</f>
        <v>46275.729166666664</v>
      </c>
      <c r="U427" s="11">
        <f>IFERROR(IF(MARÍTIMOS[[#This Row],[Etapa Retiro - Ingreso]]="","",MARÍTIMOS[[#This Row],[Etapa Retiro - Ingreso]]),"")</f>
        <v>46275.797222222223</v>
      </c>
      <c r="V427" s="11">
        <f>IFERROR(IF(MARÍTIMOS[[#This Row],[Etapa Retiro - Atención]]="","",MARÍTIMOS[[#This Row],[Etapa Retiro - Atención]]),"")</f>
        <v>46275.826388888891</v>
      </c>
      <c r="W427" s="11">
        <f>IFERROR(IF(MARÍTIMOS[[#This Row],[Etapa Retiro - Atención]]="","",MARÍTIMOS[[#This Row],[Etapa Retiro - Atención]]),"")</f>
        <v>46275.826388888891</v>
      </c>
      <c r="X427" s="11">
        <f>IFERROR(IF(MARÍTIMOS[[#This Row],[Etapa Retiro - Inicio de Ruta]]="","",MARÍTIMOS[[#This Row],[Etapa Retiro - Inicio de Ruta]]),"")</f>
        <v>46275.914583333331</v>
      </c>
      <c r="Y427" s="11">
        <f>IFERROR(IF(MARÍTIMOS[[#This Row],[Hora de Posicionamiento]]="","",MARÍTIMOS[[#This Row],[Fecha de Carga]]+MARÍTIMOS[[#This Row],[Hora de Posicionamiento]]),"")</f>
        <v>46276.333333333336</v>
      </c>
      <c r="Z427" s="11">
        <f>IFERROR(IF(MARÍTIMOS[[#This Row],[Etapa Despacho - Llegada]]="","",MARÍTIMOS[[#This Row],[Etapa Despacho - Llegada]]),"")</f>
        <v>46335.665277777778</v>
      </c>
      <c r="AA427" s="11">
        <f>IFERROR(IF(MARÍTIMOS[[#This Row],[Etapa Despacho - Registro]]="","",MARÍTIMOS[[#This Row],[Etapa Despacho - Registro]]),"")</f>
        <v>46335.666666666664</v>
      </c>
      <c r="AB427" s="11" t="str">
        <f>IFERROR(IF(MARÍTIMOS[[#This Row],[Inspección Externa]]="","",MARÍTIMOS[[#This Row],[Inspección Externa]]),"")</f>
        <v/>
      </c>
      <c r="AC427" s="11">
        <f>IFERROR(IF(MARÍTIMOS[[#This Row],[Etapa Despacho - Inicio de Carga]]="","",MARÍTIMOS[[#This Row],[Etapa Despacho - Inicio de Carga]]),"")</f>
        <v>46335.694444444445</v>
      </c>
      <c r="AD427" s="11" t="str">
        <f>IFERROR(IF(MARÍTIMOS[[#This Row],[Etapa Despacho - Mitad de Carga]]="","",MARÍTIMOS[[#This Row],[Etapa Despacho - Mitad de Carga]]),"")</f>
        <v/>
      </c>
      <c r="AE427" s="11">
        <f>IFERROR(IF(MARÍTIMOS[[#This Row],[Etapa Despacho - Fin de Carga]]="","",MARÍTIMOS[[#This Row],[Etapa Despacho - Fin de Carga]]),"")</f>
        <v>46335.768055555556</v>
      </c>
      <c r="AF427" s="2" t="str">
        <f>IFERROR(IF(MARÍTIMOS[[#This Row],[Puerto de Embarque]]="","",MARÍTIMOS[[#This Row],[Puerto de Embarque]]),"")</f>
        <v>Paita</v>
      </c>
      <c r="AG427" s="2" t="str">
        <f>IFERROR(IF(MARÍTIMOS[[#This Row],[Almacén de Ingreso]]="","",MARÍTIMOS[[#This Row],[Almacén de Ingreso]]),"")</f>
        <v>TPE</v>
      </c>
      <c r="AH427" s="11">
        <f>IFERROR(IF(MARÍTIMOS[[#This Row],[Etapa Ingreso - Cita]]="","",MARÍTIMOS[[#This Row],[Etapa Ingreso - Cita]]),"")</f>
        <v>46277.583333333336</v>
      </c>
      <c r="AI427" s="11">
        <f>IFERROR(IF(MARÍTIMOS[[#This Row],[Etapa Ingreso - Llegada]]="","",MARÍTIMOS[[#This Row],[Etapa Ingreso - Llegada]]),"")</f>
        <v>46365.541666666664</v>
      </c>
      <c r="AJ427" s="11">
        <f>IFERROR(IF(MARÍTIMOS[[#This Row],[Etapa Ingreso - Ingeso]]="","",MARÍTIMOS[[#This Row],[Etapa Ingreso - Ingeso]]),"")</f>
        <v>46365.552777777775</v>
      </c>
      <c r="AK427" s="11">
        <f>IFERROR(IF(MARÍTIMOS[[#This Row],[Etapa Ingreso - Atención]]="","",MARÍTIMOS[[#This Row],[Etapa Ingreso - Atención]]),"")</f>
        <v>46365.555555555555</v>
      </c>
      <c r="AL427" s="11">
        <f>IFERROR(IF(MARÍTIMOS[[#This Row],[Etapa Ingreso - Salida]]="","",MARÍTIMOS[[#This Row],[Etapa Ingreso - Salida]]),"")</f>
        <v>46365.564583333333</v>
      </c>
      <c r="AM427" s="2">
        <f>IFERROR(IF(MARÍTIMOS[[#This Row],[FCL]]="","",MARÍTIMOS[[#This Row],[FCL]]),"")</f>
        <v>1</v>
      </c>
      <c r="AN4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427" s="4" t="str" cm="1">
        <f t="array" ref="AO4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7" s="5">
        <f>IFERROR(OLDBD[[#This Row],[Llegada a packing]]-OLDBD[[#This Row],[Inicio de Ruta]],"")</f>
        <v>59.750694444446708</v>
      </c>
      <c r="AQ427" s="6">
        <f>IFERROR(OLDBD[[#This Row],[Inicio de Ruta]]-OLDBD[[#This Row],[Salida de almacén de retiro]],"")</f>
        <v>8.819444444088731E-2</v>
      </c>
      <c r="AR4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CRITICAL LATE</v>
      </c>
      <c r="AS427" s="8" t="str" cm="1">
        <f t="array" ref="AS4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27" s="9" t="str">
        <f>IFERROR(OLDBD[[#This Row],[Ingreso Packing]]-OLDBD[[#This Row],[Registro en Packing]],"")</f>
        <v/>
      </c>
      <c r="AV427" s="9" t="str">
        <f>IFERROR(OLDBD[[#This Row],[Ingreso Packing]]-OLDBD[[#This Row],[Llegada a packing]],"")</f>
        <v/>
      </c>
      <c r="AW4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7" s="5">
        <f>IFERROR(OLDBD[[#This Row],[Llegada Almacén de Ingreso]]-OLDBD[[#This Row],[Salida Packing]],"")</f>
        <v>29.773611111108039</v>
      </c>
      <c r="AY427" s="4" t="str" cm="1">
        <f t="array" ref="AY4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27" s="43" t="s">
        <v>173</v>
      </c>
      <c r="BB427" s="47" t="str">
        <f>IFERROR(IF(MARÍTIMOS[[#This Row],[Estatus]]="","",MARÍTIMOS[[#This Row],[Estatus]]),"")</f>
        <v>Confirmado</v>
      </c>
      <c r="BC427" s="43"/>
      <c r="BD427" s="46">
        <f>IFERROR(OLDBD[[#This Row],[Salida de almacén de retiro]]-OLDBD[[#This Row],[Ingreso Almacén de retiro]],"")</f>
        <v>2.9166666667151731E-2</v>
      </c>
      <c r="BE427" s="46" t="str">
        <f>IFERROR(OLDBD[[#This Row],[Fin de Carga]]-OLDBD[[#This Row],[Inicio de Carga]],"")</f>
        <v/>
      </c>
    </row>
    <row r="428" spans="1:57" customFormat="1" hidden="1">
      <c r="A428" s="1"/>
      <c r="B428" s="1">
        <f>IFERROR(IF(MARÍTIMOS[[#This Row],[PP]]="","",MARÍTIMOS[[#This Row],[PP]]),"")</f>
        <v>37</v>
      </c>
      <c r="C428" s="1" t="str">
        <f>IFERROR(IF(MARÍTIMOS[[#This Row],[Sede]]="","",MARÍTIMOS[[#This Row],[Sede]]),"")</f>
        <v>Chao</v>
      </c>
      <c r="D428" s="1" t="str">
        <f>IFERROR(IF(MARÍTIMOS[[#This Row],[Instruction]]="","",MARÍTIMOS[[#This Row],[Instruction]]),"")</f>
        <v>RH-0775</v>
      </c>
      <c r="E428" s="1"/>
      <c r="F428" s="2" t="str">
        <f>IFERROR(IF(MARÍTIMOS[[#This Row],[Transportista]]="","",MARÍTIMOS[[#This Row],[Transportista]]),"")</f>
        <v>VESL</v>
      </c>
      <c r="G428" s="2" t="str">
        <f>IFERROR(IF(MARÍTIMOS[[#This Row],[Tercero]]="","",MARÍTIMOS[[#This Row],[Tercero]]),"")</f>
        <v>NO</v>
      </c>
      <c r="H428" s="2" t="str">
        <f>IFERROR(IF(MARÍTIMOS[[#This Row],[Razón Social]]="","",MARÍTIMOS[[#This Row],[Razón Social]]),"")</f>
        <v>VE SOLUCIONES LOGISTICAS SAC</v>
      </c>
      <c r="I428" s="2">
        <f>IFERROR(IF(MARÍTIMOS[[#This Row],[RUC]]="","",MARÍTIMOS[[#This Row],[RUC]]),"")</f>
        <v>20557679392</v>
      </c>
      <c r="J428" s="2" t="str">
        <f>IFERROR(IF(MARÍTIMOS[[#This Row],[Placa Tracto]]="","",MARÍTIMOS[[#This Row],[Placa Tracto]]),"")</f>
        <v>BFY932</v>
      </c>
      <c r="K428" s="2" t="str">
        <f>IFERROR(IF(MARÍTIMOS[[#This Row],[Placa Carreta]]="","",MARÍTIMOS[[#This Row],[Placa Carreta]]),"")</f>
        <v>AUR970</v>
      </c>
      <c r="L428" s="44" t="str">
        <f>IFERROR(IF(MARÍTIMOS[[#This Row],[Conductor]]="","",MARÍTIMOS[[#This Row],[Conductor]]),"")</f>
        <v>YMMER JOSÉ CALDERON RODRIGUEZ</v>
      </c>
      <c r="M428" s="2" t="str">
        <f>IFERROR(IF(MARÍTIMOS[[#This Row],[Licencia]]="","",MARÍTIMOS[[#This Row],[Licencia]]),"")</f>
        <v>B008200945</v>
      </c>
      <c r="N428" s="2">
        <f>IFERROR(IF(MARÍTIMOS[[#This Row],[Número de Contacto]]="","",MARÍTIMOS[[#This Row],[Número de Contacto]]),"")</f>
        <v>0</v>
      </c>
      <c r="O428" s="10" t="str">
        <f>IFERROR(IF(MARÍTIMOS[[#This Row],[Booking|AWB|CRT]]="","",MARÍTIMOS[[#This Row],[Booking|AWB|CRT]]),"")</f>
        <v>BN83155</v>
      </c>
      <c r="P428" s="2" t="str">
        <f>IFERROR(IF(MARÍTIMOS[[#This Row],[Contenedor]]="","",MARÍTIMOS[[#This Row],[Contenedor]]),"")</f>
        <v>TEMU9502242</v>
      </c>
      <c r="Q428" s="2" t="str">
        <f>IFERROR(IF(MARÍTIMOS[[#This Row],[Puerto de Retiro]]="","",MARÍTIMOS[[#This Row],[Puerto de Retiro]]),"")</f>
        <v>PAITA</v>
      </c>
      <c r="R428" s="2" t="str">
        <f>IFERROR(IF(MARÍTIMOS[[#This Row],[Almacén de Retiro]]="","",MARÍTIMOS[[#This Row],[Almacén de Retiro]]),"")</f>
        <v>DPW</v>
      </c>
      <c r="S428" s="11">
        <f>IFERROR(IF(MARÍTIMOS[[#This Row],[Etapa Retiro - Cita]]="","",MARÍTIMOS[[#This Row],[Etapa Retiro - Cita]]),"")</f>
        <v>46277.583333333336</v>
      </c>
      <c r="T428" s="11">
        <f>IFERROR(IF(MARÍTIMOS[[#This Row],[Etapa Retiro - Llegada]]="","",MARÍTIMOS[[#This Row],[Etapa Retiro - Llegada]]),"")</f>
        <v>46365.616666666669</v>
      </c>
      <c r="U428" s="11">
        <f>IFERROR(IF(MARÍTIMOS[[#This Row],[Etapa Retiro - Ingreso]]="","",MARÍTIMOS[[#This Row],[Etapa Retiro - Ingreso]]),"")</f>
        <v>46365.620138888888</v>
      </c>
      <c r="V428" s="11">
        <f>IFERROR(IF(MARÍTIMOS[[#This Row],[Etapa Retiro - Atención]]="","",MARÍTIMOS[[#This Row],[Etapa Retiro - Atención]]),"")</f>
        <v>46365.626388888886</v>
      </c>
      <c r="W428" s="11">
        <f>IFERROR(IF(MARÍTIMOS[[#This Row],[Etapa Retiro - Atención]]="","",MARÍTIMOS[[#This Row],[Etapa Retiro - Atención]]),"")</f>
        <v>46365.626388888886</v>
      </c>
      <c r="X428" s="11">
        <f>IFERROR(IF(MARÍTIMOS[[#This Row],[Etapa Retiro - Inicio de Ruta]]="","",MARÍTIMOS[[#This Row],[Etapa Retiro - Inicio de Ruta]]),"")</f>
        <v>46365.669444444444</v>
      </c>
      <c r="Y428" s="11">
        <f>IFERROR(IF(MARÍTIMOS[[#This Row],[Hora de Posicionamiento]]="","",MARÍTIMOS[[#This Row],[Fecha de Carga]]+MARÍTIMOS[[#This Row],[Hora de Posicionamiento]]),"")</f>
        <v>46278.583333333336</v>
      </c>
      <c r="Z428" s="11">
        <f>IFERROR(IF(MARÍTIMOS[[#This Row],[Etapa Despacho - Llegada]]="","",MARÍTIMOS[[#This Row],[Etapa Despacho - Llegada]]),"")</f>
        <v>46278.515277777777</v>
      </c>
      <c r="AA428" s="11">
        <f>IFERROR(IF(MARÍTIMOS[[#This Row],[Etapa Despacho - Registro]]="","",MARÍTIMOS[[#This Row],[Etapa Despacho - Registro]]),"")</f>
        <v>46278.518055555556</v>
      </c>
      <c r="AB428" s="11" t="str">
        <f>IFERROR(IF(MARÍTIMOS[[#This Row],[Inspección Externa]]="","",MARÍTIMOS[[#This Row],[Inspección Externa]]),"")</f>
        <v/>
      </c>
      <c r="AC428" s="11">
        <f>IFERROR(IF(MARÍTIMOS[[#This Row],[Etapa Despacho - Inicio de Carga]]="","",MARÍTIMOS[[#This Row],[Etapa Despacho - Inicio de Carga]]),"")</f>
        <v>46278.666666666664</v>
      </c>
      <c r="AD428" s="11" t="str">
        <f>IFERROR(IF(MARÍTIMOS[[#This Row],[Etapa Despacho - Mitad de Carga]]="","",MARÍTIMOS[[#This Row],[Etapa Despacho - Mitad de Carga]]),"")</f>
        <v/>
      </c>
      <c r="AE428" s="11">
        <f>IFERROR(IF(MARÍTIMOS[[#This Row],[Etapa Despacho - Fin de Carga]]="","",MARÍTIMOS[[#This Row],[Etapa Despacho - Fin de Carga]]),"")</f>
        <v>46278.75</v>
      </c>
      <c r="AF428" s="2" t="str">
        <f>IFERROR(IF(MARÍTIMOS[[#This Row],[Puerto de Embarque]]="","",MARÍTIMOS[[#This Row],[Puerto de Embarque]]),"")</f>
        <v>Paita</v>
      </c>
      <c r="AG428" s="2" t="str">
        <f>IFERROR(IF(MARÍTIMOS[[#This Row],[Almacén de Ingreso]]="","",MARÍTIMOS[[#This Row],[Almacén de Ingreso]]),"")</f>
        <v>TPE</v>
      </c>
      <c r="AH428" s="11">
        <f>IFERROR(IF(MARÍTIMOS[[#This Row],[Etapa Ingreso - Cita]]="","",MARÍTIMOS[[#This Row],[Etapa Ingreso - Cita]]),"")</f>
        <v>46279.5</v>
      </c>
      <c r="AI428" s="11">
        <f>IFERROR(IF(MARÍTIMOS[[#This Row],[Etapa Ingreso - Llegada]]="","",MARÍTIMOS[[#This Row],[Etapa Ingreso - Llegada]]),"")</f>
        <v>46279.429166666669</v>
      </c>
      <c r="AJ428" s="11">
        <f>IFERROR(IF(MARÍTIMOS[[#This Row],[Etapa Ingreso - Ingeso]]="","",MARÍTIMOS[[#This Row],[Etapa Ingreso - Ingeso]]),"")</f>
        <v>46279.438888888886</v>
      </c>
      <c r="AK428" s="11">
        <f>IFERROR(IF(MARÍTIMOS[[#This Row],[Etapa Ingreso - Atención]]="","",MARÍTIMOS[[#This Row],[Etapa Ingreso - Atención]]),"")</f>
        <v>46279.439583333333</v>
      </c>
      <c r="AL428" s="11">
        <f>IFERROR(IF(MARÍTIMOS[[#This Row],[Etapa Ingreso - Salida]]="","",MARÍTIMOS[[#This Row],[Etapa Ingreso - Salida]]),"")</f>
        <v>46279.443055555559</v>
      </c>
      <c r="AM428" s="2">
        <f>IFERROR(IF(MARÍTIMOS[[#This Row],[FCL]]="","",MARÍTIMOS[[#This Row],[FCL]]),"")</f>
        <v>1</v>
      </c>
      <c r="AN4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28" s="4" t="str" cm="1">
        <f t="array" ref="AO4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8" s="5">
        <f>IFERROR(OLDBD[[#This Row],[Llegada a packing]]-OLDBD[[#This Row],[Inicio de Ruta]],"")</f>
        <v>-87.154166666667152</v>
      </c>
      <c r="AQ428" s="6">
        <f>IFERROR(OLDBD[[#This Row],[Inicio de Ruta]]-OLDBD[[#This Row],[Salida de almacén de retiro]],"")</f>
        <v>4.3055555557657499E-2</v>
      </c>
      <c r="AR4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28" s="8" t="str" cm="1">
        <f t="array" ref="AS4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28" s="9" t="str">
        <f>IFERROR(OLDBD[[#This Row],[Ingreso Packing]]-OLDBD[[#This Row],[Registro en Packing]],"")</f>
        <v/>
      </c>
      <c r="AV428" s="9" t="str">
        <f>IFERROR(OLDBD[[#This Row],[Ingreso Packing]]-OLDBD[[#This Row],[Llegada a packing]],"")</f>
        <v/>
      </c>
      <c r="AW4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8" s="5">
        <f>IFERROR(OLDBD[[#This Row],[Llegada Almacén de Ingreso]]-OLDBD[[#This Row],[Salida Packing]],"")</f>
        <v>0.67916666666860692</v>
      </c>
      <c r="AY428" s="4" t="str" cm="1">
        <f t="array" ref="AY4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28" s="43" t="s">
        <v>173</v>
      </c>
      <c r="BB428" s="47" t="str">
        <f>IFERROR(IF(MARÍTIMOS[[#This Row],[Estatus]]="","",MARÍTIMOS[[#This Row],[Estatus]]),"")</f>
        <v>Confirmado</v>
      </c>
      <c r="BC428" s="43"/>
      <c r="BD428" s="46">
        <f>IFERROR(OLDBD[[#This Row],[Salida de almacén de retiro]]-OLDBD[[#This Row],[Ingreso Almacén de retiro]],"")</f>
        <v>6.2499999985448085E-3</v>
      </c>
      <c r="BE428" s="46" t="str">
        <f>IFERROR(OLDBD[[#This Row],[Fin de Carga]]-OLDBD[[#This Row],[Inicio de Carga]],"")</f>
        <v/>
      </c>
    </row>
    <row r="429" spans="1:57" customFormat="1" hidden="1">
      <c r="A429" s="1"/>
      <c r="B429" s="1">
        <f>IFERROR(IF(MARÍTIMOS[[#This Row],[PP]]="","",MARÍTIMOS[[#This Row],[PP]]),"")</f>
        <v>37</v>
      </c>
      <c r="C429" s="1" t="str">
        <f>IFERROR(IF(MARÍTIMOS[[#This Row],[Sede]]="","",MARÍTIMOS[[#This Row],[Sede]]),"")</f>
        <v>Chao</v>
      </c>
      <c r="D429" s="1" t="str">
        <f>IFERROR(IF(MARÍTIMOS[[#This Row],[Instruction]]="","",MARÍTIMOS[[#This Row],[Instruction]]),"")</f>
        <v>RH-0780</v>
      </c>
      <c r="E429" s="1"/>
      <c r="F429" s="2" t="str">
        <f>IFERROR(IF(MARÍTIMOS[[#This Row],[Transportista]]="","",MARÍTIMOS[[#This Row],[Transportista]]),"")</f>
        <v>VESL</v>
      </c>
      <c r="G429" s="2" t="str">
        <f>IFERROR(IF(MARÍTIMOS[[#This Row],[Tercero]]="","",MARÍTIMOS[[#This Row],[Tercero]]),"")</f>
        <v>NO</v>
      </c>
      <c r="H429" s="2" t="str">
        <f>IFERROR(IF(MARÍTIMOS[[#This Row],[Razón Social]]="","",MARÍTIMOS[[#This Row],[Razón Social]]),"")</f>
        <v>VE SOLUCIONES LOGISTICAS SAC</v>
      </c>
      <c r="I429" s="2">
        <f>IFERROR(IF(MARÍTIMOS[[#This Row],[RUC]]="","",MARÍTIMOS[[#This Row],[RUC]]),"")</f>
        <v>20557679392</v>
      </c>
      <c r="J429" s="2" t="str">
        <f>IFERROR(IF(MARÍTIMOS[[#This Row],[Placa Tracto]]="","",MARÍTIMOS[[#This Row],[Placa Tracto]]),"")</f>
        <v>BFY931</v>
      </c>
      <c r="K429" s="2" t="str">
        <f>IFERROR(IF(MARÍTIMOS[[#This Row],[Placa Carreta]]="","",MARÍTIMOS[[#This Row],[Placa Carreta]]),"")</f>
        <v>F5X983</v>
      </c>
      <c r="L429" s="44" t="str">
        <f>IFERROR(IF(MARÍTIMOS[[#This Row],[Conductor]]="","",MARÍTIMOS[[#This Row],[Conductor]]),"")</f>
        <v>RICHARD CLEY CALDERON RODRIGUEZ</v>
      </c>
      <c r="M429" s="2" t="str">
        <f>IFERROR(IF(MARÍTIMOS[[#This Row],[Licencia]]="","",MARÍTIMOS[[#This Row],[Licencia]]),"")</f>
        <v>B003228182</v>
      </c>
      <c r="N429" s="2">
        <f>IFERROR(IF(MARÍTIMOS[[#This Row],[Número de Contacto]]="","",MARÍTIMOS[[#This Row],[Número de Contacto]]),"")</f>
        <v>0</v>
      </c>
      <c r="O429" s="10" t="str">
        <f>IFERROR(IF(MARÍTIMOS[[#This Row],[Booking|AWB|CRT]]="","",MARÍTIMOS[[#This Row],[Booking|AWB|CRT]]),"")</f>
        <v>9222198A</v>
      </c>
      <c r="P429" s="2" t="str">
        <f>IFERROR(IF(MARÍTIMOS[[#This Row],[Contenedor]]="","",MARÍTIMOS[[#This Row],[Contenedor]]),"")</f>
        <v>CAAU4167823</v>
      </c>
      <c r="Q429" s="2" t="str">
        <f>IFERROR(IF(MARÍTIMOS[[#This Row],[Puerto de Retiro]]="","",MARÍTIMOS[[#This Row],[Puerto de Retiro]]),"")</f>
        <v>PAITA</v>
      </c>
      <c r="R429" s="2" t="str">
        <f>IFERROR(IF(MARÍTIMOS[[#This Row],[Almacén de Retiro]]="","",MARÍTIMOS[[#This Row],[Almacén de Retiro]]),"")</f>
        <v>DPW</v>
      </c>
      <c r="S429" s="11">
        <f>IFERROR(IF(MARÍTIMOS[[#This Row],[Etapa Retiro - Cita]]="","",MARÍTIMOS[[#This Row],[Etapa Retiro - Cita]]),"")</f>
        <v>46277.583333333336</v>
      </c>
      <c r="T429" s="11">
        <f>IFERROR(IF(MARÍTIMOS[[#This Row],[Etapa Retiro - Llegada]]="","",MARÍTIMOS[[#This Row],[Etapa Retiro - Llegada]]),"")</f>
        <v>46365.594444444447</v>
      </c>
      <c r="U429" s="11">
        <f>IFERROR(IF(MARÍTIMOS[[#This Row],[Etapa Retiro - Ingreso]]="","",MARÍTIMOS[[#This Row],[Etapa Retiro - Ingreso]]),"")</f>
        <v>46365.61041666667</v>
      </c>
      <c r="V429" s="11">
        <f>IFERROR(IF(MARÍTIMOS[[#This Row],[Etapa Retiro - Atención]]="","",MARÍTIMOS[[#This Row],[Etapa Retiro - Atención]]),"")</f>
        <v>46365.623611111114</v>
      </c>
      <c r="W429" s="11">
        <f>IFERROR(IF(MARÍTIMOS[[#This Row],[Etapa Retiro - Atención]]="","",MARÍTIMOS[[#This Row],[Etapa Retiro - Atención]]),"")</f>
        <v>46365.623611111114</v>
      </c>
      <c r="X429" s="11">
        <f>IFERROR(IF(MARÍTIMOS[[#This Row],[Etapa Retiro - Inicio de Ruta]]="","",MARÍTIMOS[[#This Row],[Etapa Retiro - Inicio de Ruta]]),"")</f>
        <v>46365.664583333331</v>
      </c>
      <c r="Y429" s="11">
        <f>IFERROR(IF(MARÍTIMOS[[#This Row],[Hora de Posicionamiento]]="","",MARÍTIMOS[[#This Row],[Fecha de Carga]]+MARÍTIMOS[[#This Row],[Hora de Posicionamiento]]),"")</f>
        <v>46278.583333333336</v>
      </c>
      <c r="Z429" s="11">
        <f>IFERROR(IF(MARÍTIMOS[[#This Row],[Etapa Despacho - Llegada]]="","",MARÍTIMOS[[#This Row],[Etapa Despacho - Llegada]]),"")</f>
        <v>46278.490972222222</v>
      </c>
      <c r="AA429" s="11">
        <f>IFERROR(IF(MARÍTIMOS[[#This Row],[Etapa Despacho - Registro]]="","",MARÍTIMOS[[#This Row],[Etapa Despacho - Registro]]),"")</f>
        <v>46278.492361111108</v>
      </c>
      <c r="AB429" s="11" t="str">
        <f>IFERROR(IF(MARÍTIMOS[[#This Row],[Inspección Externa]]="","",MARÍTIMOS[[#This Row],[Inspección Externa]]),"")</f>
        <v/>
      </c>
      <c r="AC429" s="11">
        <f>IFERROR(IF(MARÍTIMOS[[#This Row],[Etapa Despacho - Inicio de Carga]]="","",MARÍTIMOS[[#This Row],[Etapa Despacho - Inicio de Carga]]),"")</f>
        <v>46278.604166666664</v>
      </c>
      <c r="AD429" s="11" t="str">
        <f>IFERROR(IF(MARÍTIMOS[[#This Row],[Etapa Despacho - Mitad de Carga]]="","",MARÍTIMOS[[#This Row],[Etapa Despacho - Mitad de Carga]]),"")</f>
        <v/>
      </c>
      <c r="AE429" s="11">
        <f>IFERROR(IF(MARÍTIMOS[[#This Row],[Etapa Despacho - Fin de Carga]]="","",MARÍTIMOS[[#This Row],[Etapa Despacho - Fin de Carga]]),"")</f>
        <v>46278.666666666664</v>
      </c>
      <c r="AF429" s="2" t="str">
        <f>IFERROR(IF(MARÍTIMOS[[#This Row],[Puerto de Embarque]]="","",MARÍTIMOS[[#This Row],[Puerto de Embarque]]),"")</f>
        <v>Paita</v>
      </c>
      <c r="AG429" s="2" t="str">
        <f>IFERROR(IF(MARÍTIMOS[[#This Row],[Almacén de Ingreso]]="","",MARÍTIMOS[[#This Row],[Almacén de Ingreso]]),"")</f>
        <v>TPE</v>
      </c>
      <c r="AH429" s="11">
        <f>IFERROR(IF(MARÍTIMOS[[#This Row],[Etapa Ingreso - Cita]]="","",MARÍTIMOS[[#This Row],[Etapa Ingreso - Cita]]),"")</f>
        <v>46279.5</v>
      </c>
      <c r="AI429" s="11">
        <f>IFERROR(IF(MARÍTIMOS[[#This Row],[Etapa Ingreso - Llegada]]="","",MARÍTIMOS[[#This Row],[Etapa Ingreso - Llegada]]),"")</f>
        <v>46279.446527777778</v>
      </c>
      <c r="AJ429" s="11">
        <f>IFERROR(IF(MARÍTIMOS[[#This Row],[Etapa Ingreso - Ingeso]]="","",MARÍTIMOS[[#This Row],[Etapa Ingreso - Ingeso]]),"")</f>
        <v>46279.456250000003</v>
      </c>
      <c r="AK429" s="11">
        <f>IFERROR(IF(MARÍTIMOS[[#This Row],[Etapa Ingreso - Atención]]="","",MARÍTIMOS[[#This Row],[Etapa Ingreso - Atención]]),"")</f>
        <v>46279.457638888889</v>
      </c>
      <c r="AL429" s="11">
        <f>IFERROR(IF(MARÍTIMOS[[#This Row],[Etapa Ingreso - Salida]]="","",MARÍTIMOS[[#This Row],[Etapa Ingreso - Salida]]),"")</f>
        <v>46279.461111111108</v>
      </c>
      <c r="AM429" s="2">
        <f>IFERROR(IF(MARÍTIMOS[[#This Row],[FCL]]="","",MARÍTIMOS[[#This Row],[FCL]]),"")</f>
        <v>1</v>
      </c>
      <c r="AN4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29" s="4" t="str" cm="1">
        <f t="array" ref="AO4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29" s="5">
        <f>IFERROR(OLDBD[[#This Row],[Llegada a packing]]-OLDBD[[#This Row],[Inicio de Ruta]],"")</f>
        <v>-87.173611111109494</v>
      </c>
      <c r="AQ429" s="6">
        <f>IFERROR(OLDBD[[#This Row],[Inicio de Ruta]]-OLDBD[[#This Row],[Salida de almacén de retiro]],"")</f>
        <v>4.0972222217533272E-2</v>
      </c>
      <c r="AR4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29" s="8" t="str" cm="1">
        <f t="array" ref="AS4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29" s="9" t="str">
        <f>IFERROR(OLDBD[[#This Row],[Ingreso Packing]]-OLDBD[[#This Row],[Registro en Packing]],"")</f>
        <v/>
      </c>
      <c r="AV429" s="9" t="str">
        <f>IFERROR(OLDBD[[#This Row],[Ingreso Packing]]-OLDBD[[#This Row],[Llegada a packing]],"")</f>
        <v/>
      </c>
      <c r="AW4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29" s="5">
        <f>IFERROR(OLDBD[[#This Row],[Llegada Almacén de Ingreso]]-OLDBD[[#This Row],[Salida Packing]],"")</f>
        <v>0.77986111111385981</v>
      </c>
      <c r="AY429" s="4" t="str" cm="1">
        <f t="array" ref="AY4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29" s="43" t="s">
        <v>173</v>
      </c>
      <c r="BB429" s="47" t="str">
        <f>IFERROR(IF(MARÍTIMOS[[#This Row],[Estatus]]="","",MARÍTIMOS[[#This Row],[Estatus]]),"")</f>
        <v>Confirmado</v>
      </c>
      <c r="BC429" s="43"/>
      <c r="BD429" s="46">
        <f>IFERROR(OLDBD[[#This Row],[Salida de almacén de retiro]]-OLDBD[[#This Row],[Ingreso Almacén de retiro]],"")</f>
        <v>1.3194444443797693E-2</v>
      </c>
      <c r="BE429" s="46" t="str">
        <f>IFERROR(OLDBD[[#This Row],[Fin de Carga]]-OLDBD[[#This Row],[Inicio de Carga]],"")</f>
        <v/>
      </c>
    </row>
    <row r="430" spans="1:57" customFormat="1" hidden="1">
      <c r="A430" s="1"/>
      <c r="B430" s="1">
        <f>IFERROR(IF(MARÍTIMOS[[#This Row],[PP]]="","",MARÍTIMOS[[#This Row],[PP]]),"")</f>
        <v>37</v>
      </c>
      <c r="C430" s="1" t="str">
        <f>IFERROR(IF(MARÍTIMOS[[#This Row],[Sede]]="","",MARÍTIMOS[[#This Row],[Sede]]),"")</f>
        <v>Chao</v>
      </c>
      <c r="D430" s="1" t="str">
        <f>IFERROR(IF(MARÍTIMOS[[#This Row],[Instruction]]="","",MARÍTIMOS[[#This Row],[Instruction]]),"")</f>
        <v>RH-0773</v>
      </c>
      <c r="E430" s="1"/>
      <c r="F430" s="2" t="str">
        <f>IFERROR(IF(MARÍTIMOS[[#This Row],[Transportista]]="","",MARÍTIMOS[[#This Row],[Transportista]]),"")</f>
        <v>VESL</v>
      </c>
      <c r="G430" s="2" t="str">
        <f>IFERROR(IF(MARÍTIMOS[[#This Row],[Tercero]]="","",MARÍTIMOS[[#This Row],[Tercero]]),"")</f>
        <v>NO</v>
      </c>
      <c r="H430" s="2" t="str">
        <f>IFERROR(IF(MARÍTIMOS[[#This Row],[Razón Social]]="","",MARÍTIMOS[[#This Row],[Razón Social]]),"")</f>
        <v>VE SOLUCIONES LOGISTICAS SAC</v>
      </c>
      <c r="I430" s="2">
        <f>IFERROR(IF(MARÍTIMOS[[#This Row],[RUC]]="","",MARÍTIMOS[[#This Row],[RUC]]),"")</f>
        <v>20557679392</v>
      </c>
      <c r="J430" s="2" t="str">
        <f>IFERROR(IF(MARÍTIMOS[[#This Row],[Placa Tracto]]="","",MARÍTIMOS[[#This Row],[Placa Tracto]]),"")</f>
        <v>BAV867</v>
      </c>
      <c r="K430" s="2" t="str">
        <f>IFERROR(IF(MARÍTIMOS[[#This Row],[Placa Carreta]]="","",MARÍTIMOS[[#This Row],[Placa Carreta]]),"")</f>
        <v>F5V990</v>
      </c>
      <c r="L430" s="44" t="str">
        <f>IFERROR(IF(MARÍTIMOS[[#This Row],[Conductor]]="","",MARÍTIMOS[[#This Row],[Conductor]]),"")</f>
        <v>JESUS ALBERTO ZARRAGA ALVAREZ</v>
      </c>
      <c r="M430" s="2" t="str">
        <f>IFERROR(IF(MARÍTIMOS[[#This Row],[Licencia]]="","",MARÍTIMOS[[#This Row],[Licencia]]),"")</f>
        <v>B006469382</v>
      </c>
      <c r="N430" s="2">
        <f>IFERROR(IF(MARÍTIMOS[[#This Row],[Número de Contacto]]="","",MARÍTIMOS[[#This Row],[Número de Contacto]]),"")</f>
        <v>0</v>
      </c>
      <c r="O430" s="10" t="str">
        <f>IFERROR(IF(MARÍTIMOS[[#This Row],[Booking|AWB|CRT]]="","",MARÍTIMOS[[#This Row],[Booking|AWB|CRT]]),"")</f>
        <v>9222182A</v>
      </c>
      <c r="P430" s="2" t="str">
        <f>IFERROR(IF(MARÍTIMOS[[#This Row],[Contenedor]]="","",MARÍTIMOS[[#This Row],[Contenedor]]),"")</f>
        <v>TXGU9031778</v>
      </c>
      <c r="Q430" s="2" t="str">
        <f>IFERROR(IF(MARÍTIMOS[[#This Row],[Puerto de Retiro]]="","",MARÍTIMOS[[#This Row],[Puerto de Retiro]]),"")</f>
        <v>PAITA</v>
      </c>
      <c r="R430" s="2" t="str">
        <f>IFERROR(IF(MARÍTIMOS[[#This Row],[Almacén de Retiro]]="","",MARÍTIMOS[[#This Row],[Almacén de Retiro]]),"")</f>
        <v>DPW</v>
      </c>
      <c r="S430" s="11">
        <f>IFERROR(IF(MARÍTIMOS[[#This Row],[Etapa Retiro - Cita]]="","",MARÍTIMOS[[#This Row],[Etapa Retiro - Cita]]),"")</f>
        <v>46278.666666666664</v>
      </c>
      <c r="T430" s="11">
        <f>IFERROR(IF(MARÍTIMOS[[#This Row],[Etapa Retiro - Llegada]]="","",MARÍTIMOS[[#This Row],[Etapa Retiro - Llegada]]),"")</f>
        <v>46278.675000000003</v>
      </c>
      <c r="U430" s="11">
        <f>IFERROR(IF(MARÍTIMOS[[#This Row],[Etapa Retiro - Ingreso]]="","",MARÍTIMOS[[#This Row],[Etapa Retiro - Ingreso]]),"")</f>
        <v>46278.688888888886</v>
      </c>
      <c r="V430" s="11">
        <f>IFERROR(IF(MARÍTIMOS[[#This Row],[Etapa Retiro - Atención]]="","",MARÍTIMOS[[#This Row],[Etapa Retiro - Atención]]),"")</f>
        <v>46278.700694444444</v>
      </c>
      <c r="W430" s="11">
        <f>IFERROR(IF(MARÍTIMOS[[#This Row],[Etapa Retiro - Atención]]="","",MARÍTIMOS[[#This Row],[Etapa Retiro - Atención]]),"")</f>
        <v>46278.700694444444</v>
      </c>
      <c r="X430" s="11">
        <f>IFERROR(IF(MARÍTIMOS[[#This Row],[Etapa Retiro - Inicio de Ruta]]="","",MARÍTIMOS[[#This Row],[Etapa Retiro - Inicio de Ruta]]),"")</f>
        <v>46278.732638888891</v>
      </c>
      <c r="Y430" s="11">
        <f>IFERROR(IF(MARÍTIMOS[[#This Row],[Hora de Posicionamiento]]="","",MARÍTIMOS[[#This Row],[Fecha de Carga]]+MARÍTIMOS[[#This Row],[Hora de Posicionamiento]]),"")</f>
        <v>46279.583333333336</v>
      </c>
      <c r="Z430" s="11">
        <f>IFERROR(IF(MARÍTIMOS[[#This Row],[Etapa Despacho - Llegada]]="","",MARÍTIMOS[[#This Row],[Etapa Despacho - Llegada]]),"")</f>
        <v>46279.488888888889</v>
      </c>
      <c r="AA430" s="11">
        <f>IFERROR(IF(MARÍTIMOS[[#This Row],[Etapa Despacho - Registro]]="","",MARÍTIMOS[[#This Row],[Etapa Despacho - Registro]]),"")</f>
        <v>46279.491666666669</v>
      </c>
      <c r="AB430" s="11" t="str">
        <f>IFERROR(IF(MARÍTIMOS[[#This Row],[Inspección Externa]]="","",MARÍTIMOS[[#This Row],[Inspección Externa]]),"")</f>
        <v/>
      </c>
      <c r="AC430" s="11">
        <f>IFERROR(IF(MARÍTIMOS[[#This Row],[Etapa Despacho - Inicio de Carga]]="","",MARÍTIMOS[[#This Row],[Etapa Despacho - Inicio de Carga]]),"")</f>
        <v>46279.594444444447</v>
      </c>
      <c r="AD430" s="11" t="str">
        <f>IFERROR(IF(MARÍTIMOS[[#This Row],[Etapa Despacho - Mitad de Carga]]="","",MARÍTIMOS[[#This Row],[Etapa Despacho - Mitad de Carga]]),"")</f>
        <v/>
      </c>
      <c r="AE430" s="11">
        <f>IFERROR(IF(MARÍTIMOS[[#This Row],[Etapa Despacho - Fin de Carga]]="","",MARÍTIMOS[[#This Row],[Etapa Despacho - Fin de Carga]]),"")</f>
        <v>46279.701388888891</v>
      </c>
      <c r="AF430" s="2" t="str">
        <f>IFERROR(IF(MARÍTIMOS[[#This Row],[Puerto de Embarque]]="","",MARÍTIMOS[[#This Row],[Puerto de Embarque]]),"")</f>
        <v>Paita</v>
      </c>
      <c r="AG430" s="2" t="str">
        <f>IFERROR(IF(MARÍTIMOS[[#This Row],[Almacén de Ingreso]]="","",MARÍTIMOS[[#This Row],[Almacén de Ingreso]]),"")</f>
        <v>TPE</v>
      </c>
      <c r="AH430" s="11">
        <f>IFERROR(IF(MARÍTIMOS[[#This Row],[Etapa Ingreso - Cita]]="","",MARÍTIMOS[[#This Row],[Etapa Ingreso - Cita]]),"")</f>
        <v>46280.541666666664</v>
      </c>
      <c r="AI430" s="11">
        <f>IFERROR(IF(MARÍTIMOS[[#This Row],[Etapa Ingreso - Llegada]]="","",MARÍTIMOS[[#This Row],[Etapa Ingreso - Llegada]]),"")</f>
        <v>46280.472222222219</v>
      </c>
      <c r="AJ430" s="11">
        <f>IFERROR(IF(MARÍTIMOS[[#This Row],[Etapa Ingreso - Ingeso]]="","",MARÍTIMOS[[#This Row],[Etapa Ingreso - Ingeso]]),"")</f>
        <v>46280.49722222222</v>
      </c>
      <c r="AK430" s="11">
        <f>IFERROR(IF(MARÍTIMOS[[#This Row],[Etapa Ingreso - Atención]]="","",MARÍTIMOS[[#This Row],[Etapa Ingreso - Atención]]),"")</f>
        <v>46280.505555555559</v>
      </c>
      <c r="AL430" s="11">
        <f>IFERROR(IF(MARÍTIMOS[[#This Row],[Etapa Ingreso - Salida]]="","",MARÍTIMOS[[#This Row],[Etapa Ingreso - Salida]]),"")</f>
        <v>46280.509722222225</v>
      </c>
      <c r="AM430" s="2">
        <f>IFERROR(IF(MARÍTIMOS[[#This Row],[FCL]]="","",MARÍTIMOS[[#This Row],[FCL]]),"")</f>
        <v>1</v>
      </c>
      <c r="AN4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30" s="4" t="str" cm="1">
        <f t="array" ref="AO4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30" s="5">
        <f>IFERROR(OLDBD[[#This Row],[Llegada a packing]]-OLDBD[[#This Row],[Inicio de Ruta]],"")</f>
        <v>0.75624999999854481</v>
      </c>
      <c r="AQ430" s="6">
        <f>IFERROR(OLDBD[[#This Row],[Inicio de Ruta]]-OLDBD[[#This Row],[Salida de almacén de retiro]],"")</f>
        <v>3.1944444446708076E-2</v>
      </c>
      <c r="AR4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30" s="8" t="str" cm="1">
        <f t="array" ref="AS4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30" s="9" t="str">
        <f>IFERROR(OLDBD[[#This Row],[Ingreso Packing]]-OLDBD[[#This Row],[Registro en Packing]],"")</f>
        <v/>
      </c>
      <c r="AV430" s="9" t="str">
        <f>IFERROR(OLDBD[[#This Row],[Ingreso Packing]]-OLDBD[[#This Row],[Llegada a packing]],"")</f>
        <v/>
      </c>
      <c r="AW4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0" s="5">
        <f>IFERROR(OLDBD[[#This Row],[Llegada Almacén de Ingreso]]-OLDBD[[#This Row],[Salida Packing]],"")</f>
        <v>0.77083333332848269</v>
      </c>
      <c r="AY430" s="4" t="str" cm="1">
        <f t="array" ref="AY4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30" s="43" t="s">
        <v>173</v>
      </c>
      <c r="BB430" s="47" t="str">
        <f>IFERROR(IF(MARÍTIMOS[[#This Row],[Estatus]]="","",MARÍTIMOS[[#This Row],[Estatus]]),"")</f>
        <v>Confirmado</v>
      </c>
      <c r="BC430" s="43"/>
      <c r="BD430" s="46">
        <f>IFERROR(OLDBD[[#This Row],[Salida de almacén de retiro]]-OLDBD[[#This Row],[Ingreso Almacén de retiro]],"")</f>
        <v>1.1805555557657499E-2</v>
      </c>
      <c r="BE430" s="46" t="str">
        <f>IFERROR(OLDBD[[#This Row],[Fin de Carga]]-OLDBD[[#This Row],[Inicio de Carga]],"")</f>
        <v/>
      </c>
    </row>
    <row r="431" spans="1:57" customFormat="1" hidden="1">
      <c r="A431" s="1"/>
      <c r="B431" s="1">
        <f>IFERROR(IF(MARÍTIMOS[[#This Row],[PP]]="","",MARÍTIMOS[[#This Row],[PP]]),"")</f>
        <v>37</v>
      </c>
      <c r="C431" s="1" t="str">
        <f>IFERROR(IF(MARÍTIMOS[[#This Row],[Sede]]="","",MARÍTIMOS[[#This Row],[Sede]]),"")</f>
        <v>Chao</v>
      </c>
      <c r="D431" s="1" t="str">
        <f>IFERROR(IF(MARÍTIMOS[[#This Row],[Instruction]]="","",MARÍTIMOS[[#This Row],[Instruction]]),"")</f>
        <v>RH-0781</v>
      </c>
      <c r="E431" s="1"/>
      <c r="F431" s="2" t="str">
        <f>IFERROR(IF(MARÍTIMOS[[#This Row],[Transportista]]="","",MARÍTIMOS[[#This Row],[Transportista]]),"")</f>
        <v>VESL</v>
      </c>
      <c r="G431" s="2" t="str">
        <f>IFERROR(IF(MARÍTIMOS[[#This Row],[Tercero]]="","",MARÍTIMOS[[#This Row],[Tercero]]),"")</f>
        <v>NO</v>
      </c>
      <c r="H431" s="2" t="str">
        <f>IFERROR(IF(MARÍTIMOS[[#This Row],[Razón Social]]="","",MARÍTIMOS[[#This Row],[Razón Social]]),"")</f>
        <v>VE SOLUCIONES LOGISTICAS SAC</v>
      </c>
      <c r="I431" s="2">
        <f>IFERROR(IF(MARÍTIMOS[[#This Row],[RUC]]="","",MARÍTIMOS[[#This Row],[RUC]]),"")</f>
        <v>20557679392</v>
      </c>
      <c r="J431" s="2" t="str">
        <f>IFERROR(IF(MARÍTIMOS[[#This Row],[Placa Tracto]]="","",MARÍTIMOS[[#This Row],[Placa Tracto]]),"")</f>
        <v>SC</v>
      </c>
      <c r="K431" s="2" t="str">
        <f>IFERROR(IF(MARÍTIMOS[[#This Row],[Placa Carreta]]="","",MARÍTIMOS[[#This Row],[Placa Carreta]]),"")</f>
        <v>SC</v>
      </c>
      <c r="L431" s="44" t="str">
        <f>IFERROR(IF(MARÍTIMOS[[#This Row],[Conductor]]="","",MARÍTIMOS[[#This Row],[Conductor]]),"")</f>
        <v>SC</v>
      </c>
      <c r="M431" s="2" t="str">
        <f>IFERROR(IF(MARÍTIMOS[[#This Row],[Licencia]]="","",MARÍTIMOS[[#This Row],[Licencia]]),"")</f>
        <v>SC</v>
      </c>
      <c r="N431" s="2" t="str">
        <f>IFERROR(IF(MARÍTIMOS[[#This Row],[Número de Contacto]]="","",MARÍTIMOS[[#This Row],[Número de Contacto]]),"")</f>
        <v>SC</v>
      </c>
      <c r="O431" s="10" t="str">
        <f>IFERROR(IF(MARÍTIMOS[[#This Row],[Booking|AWB|CRT]]="","",MARÍTIMOS[[#This Row],[Booking|AWB|CRT]]),"")</f>
        <v>9222199A</v>
      </c>
      <c r="P431" s="2" t="str">
        <f>IFERROR(IF(MARÍTIMOS[[#This Row],[Contenedor]]="","",MARÍTIMOS[[#This Row],[Contenedor]]),"")</f>
        <v>SC</v>
      </c>
      <c r="Q431" s="2" t="str">
        <f>IFERROR(IF(MARÍTIMOS[[#This Row],[Puerto de Retiro]]="","",MARÍTIMOS[[#This Row],[Puerto de Retiro]]),"")</f>
        <v>PAITA</v>
      </c>
      <c r="R431" s="2" t="str">
        <f>IFERROR(IF(MARÍTIMOS[[#This Row],[Almacén de Retiro]]="","",MARÍTIMOS[[#This Row],[Almacén de Retiro]]),"")</f>
        <v>SC</v>
      </c>
      <c r="S431" s="11">
        <f>IFERROR(IF(MARÍTIMOS[[#This Row],[Etapa Retiro - Cita]]="","",MARÍTIMOS[[#This Row],[Etapa Retiro - Cita]]),"")</f>
        <v>0</v>
      </c>
      <c r="T431" s="11">
        <f>IFERROR(IF(MARÍTIMOS[[#This Row],[Etapa Retiro - Llegada]]="","",MARÍTIMOS[[#This Row],[Etapa Retiro - Llegada]]),"")</f>
        <v>0</v>
      </c>
      <c r="U431" s="11">
        <f>IFERROR(IF(MARÍTIMOS[[#This Row],[Etapa Retiro - Ingreso]]="","",MARÍTIMOS[[#This Row],[Etapa Retiro - Ingreso]]),"")</f>
        <v>0</v>
      </c>
      <c r="V431" s="11">
        <f>IFERROR(IF(MARÍTIMOS[[#This Row],[Etapa Retiro - Atención]]="","",MARÍTIMOS[[#This Row],[Etapa Retiro - Atención]]),"")</f>
        <v>0</v>
      </c>
      <c r="W431" s="11">
        <f>IFERROR(IF(MARÍTIMOS[[#This Row],[Etapa Retiro - Atención]]="","",MARÍTIMOS[[#This Row],[Etapa Retiro - Atención]]),"")</f>
        <v>0</v>
      </c>
      <c r="X431" s="11">
        <f>IFERROR(IF(MARÍTIMOS[[#This Row],[Etapa Retiro - Inicio de Ruta]]="","",MARÍTIMOS[[#This Row],[Etapa Retiro - Inicio de Ruta]]),"")</f>
        <v>0</v>
      </c>
      <c r="Y431" s="11">
        <f>IFERROR(IF(MARÍTIMOS[[#This Row],[Hora de Posicionamiento]]="","",MARÍTIMOS[[#This Row],[Fecha de Carga]]+MARÍTIMOS[[#This Row],[Hora de Posicionamiento]]),"")</f>
        <v>46279.666666666664</v>
      </c>
      <c r="Z431" s="11">
        <f>IFERROR(IF(MARÍTIMOS[[#This Row],[Etapa Despacho - Llegada]]="","",MARÍTIMOS[[#This Row],[Etapa Despacho - Llegada]]),"")</f>
        <v>0</v>
      </c>
      <c r="AA431" s="11">
        <f>IFERROR(IF(MARÍTIMOS[[#This Row],[Etapa Despacho - Registro]]="","",MARÍTIMOS[[#This Row],[Etapa Despacho - Registro]]),"")</f>
        <v>0</v>
      </c>
      <c r="AB431" s="11" t="str">
        <f>IFERROR(IF(MARÍTIMOS[[#This Row],[Inspección Externa]]="","",MARÍTIMOS[[#This Row],[Inspección Externa]]),"")</f>
        <v/>
      </c>
      <c r="AC431" s="11">
        <f>IFERROR(IF(MARÍTIMOS[[#This Row],[Etapa Despacho - Inicio de Carga]]="","",MARÍTIMOS[[#This Row],[Etapa Despacho - Inicio de Carga]]),"")</f>
        <v>0</v>
      </c>
      <c r="AD431" s="11" t="str">
        <f>IFERROR(IF(MARÍTIMOS[[#This Row],[Etapa Despacho - Mitad de Carga]]="","",MARÍTIMOS[[#This Row],[Etapa Despacho - Mitad de Carga]]),"")</f>
        <v/>
      </c>
      <c r="AE431" s="11">
        <f>IFERROR(IF(MARÍTIMOS[[#This Row],[Etapa Despacho - Fin de Carga]]="","",MARÍTIMOS[[#This Row],[Etapa Despacho - Fin de Carga]]),"")</f>
        <v>0</v>
      </c>
      <c r="AF431" s="2" t="str">
        <f>IFERROR(IF(MARÍTIMOS[[#This Row],[Puerto de Embarque]]="","",MARÍTIMOS[[#This Row],[Puerto de Embarque]]),"")</f>
        <v>Paita</v>
      </c>
      <c r="AG431" s="2">
        <f>IFERROR(IF(MARÍTIMOS[[#This Row],[Almacén de Ingreso]]="","",MARÍTIMOS[[#This Row],[Almacén de Ingreso]]),"")</f>
        <v>0</v>
      </c>
      <c r="AH431" s="11">
        <f>IFERROR(IF(MARÍTIMOS[[#This Row],[Etapa Ingreso - Cita]]="","",MARÍTIMOS[[#This Row],[Etapa Ingreso - Cita]]),"")</f>
        <v>0</v>
      </c>
      <c r="AI431" s="11">
        <f>IFERROR(IF(MARÍTIMOS[[#This Row],[Etapa Ingreso - Llegada]]="","",MARÍTIMOS[[#This Row],[Etapa Ingreso - Llegada]]),"")</f>
        <v>0</v>
      </c>
      <c r="AJ431" s="11">
        <f>IFERROR(IF(MARÍTIMOS[[#This Row],[Etapa Ingreso - Ingeso]]="","",MARÍTIMOS[[#This Row],[Etapa Ingreso - Ingeso]]),"")</f>
        <v>0</v>
      </c>
      <c r="AK431" s="11">
        <f>IFERROR(IF(MARÍTIMOS[[#This Row],[Etapa Ingreso - Atención]]="","",MARÍTIMOS[[#This Row],[Etapa Ingreso - Atención]]),"")</f>
        <v>0</v>
      </c>
      <c r="AL431" s="11">
        <f>IFERROR(IF(MARÍTIMOS[[#This Row],[Etapa Ingreso - Salida]]="","",MARÍTIMOS[[#This Row],[Etapa Ingreso - Salida]]),"")</f>
        <v>0</v>
      </c>
      <c r="AM431" s="2">
        <f>IFERROR(IF(MARÍTIMOS[[#This Row],[FCL]]="","",MARÍTIMOS[[#This Row],[FCL]]),"")</f>
        <v>1</v>
      </c>
      <c r="AN4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31" s="4" t="str" cm="1">
        <f t="array" ref="AO4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31" s="5">
        <f>IFERROR(OLDBD[[#This Row],[Llegada a packing]]-OLDBD[[#This Row],[Inicio de Ruta]],"")</f>
        <v>0</v>
      </c>
      <c r="AQ431" s="6">
        <f>IFERROR(OLDBD[[#This Row],[Inicio de Ruta]]-OLDBD[[#This Row],[Salida de almacén de retiro]],"")</f>
        <v>0</v>
      </c>
      <c r="AR4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31" s="8" t="str" cm="1">
        <f t="array" ref="AS4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31" s="9" t="str">
        <f>IFERROR(OLDBD[[#This Row],[Ingreso Packing]]-OLDBD[[#This Row],[Registro en Packing]],"")</f>
        <v/>
      </c>
      <c r="AV431" s="9" t="str">
        <f>IFERROR(OLDBD[[#This Row],[Ingreso Packing]]-OLDBD[[#This Row],[Llegada a packing]],"")</f>
        <v/>
      </c>
      <c r="AW4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1" s="5">
        <f>IFERROR(OLDBD[[#This Row],[Llegada Almacén de Ingreso]]-OLDBD[[#This Row],[Salida Packing]],"")</f>
        <v>0</v>
      </c>
      <c r="AY431" s="4" t="str" cm="1">
        <f t="array" ref="AY4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31" s="43" t="s">
        <v>173</v>
      </c>
      <c r="BB431" s="47" t="str">
        <f>IFERROR(IF(MARÍTIMOS[[#This Row],[Estatus]]="","",MARÍTIMOS[[#This Row],[Estatus]]),"")</f>
        <v>Confirmado</v>
      </c>
      <c r="BC431" s="43"/>
      <c r="BD431" s="46">
        <f>IFERROR(OLDBD[[#This Row],[Salida de almacén de retiro]]-OLDBD[[#This Row],[Ingreso Almacén de retiro]],"")</f>
        <v>0</v>
      </c>
      <c r="BE431" s="46" t="str">
        <f>IFERROR(OLDBD[[#This Row],[Fin de Carga]]-OLDBD[[#This Row],[Inicio de Carga]],"")</f>
        <v/>
      </c>
    </row>
    <row r="432" spans="1:57" customFormat="1">
      <c r="A432" s="1"/>
      <c r="B432" s="1">
        <f>IFERROR(IF(MARÍTIMOS[[#This Row],[PP]]="","",MARÍTIMOS[[#This Row],[PP]]),"")</f>
        <v>38</v>
      </c>
      <c r="C432" s="1" t="str">
        <f>IFERROR(IF(MARÍTIMOS[[#This Row],[Sede]]="","",MARÍTIMOS[[#This Row],[Sede]]),"")</f>
        <v>Chao</v>
      </c>
      <c r="D432" s="1" t="str">
        <f>IFERROR(IF(MARÍTIMOS[[#This Row],[Instruction]]="","",MARÍTIMOS[[#This Row],[Instruction]]),"")</f>
        <v>RH-0805</v>
      </c>
      <c r="E432" s="1"/>
      <c r="F432" s="2" t="str">
        <f>IFERROR(IF(MARÍTIMOS[[#This Row],[Transportista]]="","",MARÍTIMOS[[#This Row],[Transportista]]),"")</f>
        <v>VESL</v>
      </c>
      <c r="G432" s="2" t="str">
        <f>IFERROR(IF(MARÍTIMOS[[#This Row],[Tercero]]="","",MARÍTIMOS[[#This Row],[Tercero]]),"")</f>
        <v>NO</v>
      </c>
      <c r="H432" s="2" t="str">
        <f>IFERROR(IF(MARÍTIMOS[[#This Row],[Razón Social]]="","",MARÍTIMOS[[#This Row],[Razón Social]]),"")</f>
        <v>VE SOLUCIONES LOGISTICAS SAC</v>
      </c>
      <c r="I432" s="2">
        <f>IFERROR(IF(MARÍTIMOS[[#This Row],[RUC]]="","",MARÍTIMOS[[#This Row],[RUC]]),"")</f>
        <v>20557679392</v>
      </c>
      <c r="J432" s="2" t="str">
        <f>IFERROR(IF(MARÍTIMOS[[#This Row],[Placa Tracto]]="","",MARÍTIMOS[[#This Row],[Placa Tracto]]),"")</f>
        <v>AYP780</v>
      </c>
      <c r="K432" s="2" t="str">
        <f>IFERROR(IF(MARÍTIMOS[[#This Row],[Placa Carreta]]="","",MARÍTIMOS[[#This Row],[Placa Carreta]]),"")</f>
        <v>AUP993</v>
      </c>
      <c r="L432" s="44" t="str">
        <f>IFERROR(IF(MARÍTIMOS[[#This Row],[Conductor]]="","",MARÍTIMOS[[#This Row],[Conductor]]),"")</f>
        <v>JOSE ALEJANDRO NUÑEZ VILLEGAS</v>
      </c>
      <c r="M432" s="2" t="str">
        <f>IFERROR(IF(MARÍTIMOS[[#This Row],[Licencia]]="","",MARÍTIMOS[[#This Row],[Licencia]]),"")</f>
        <v>Q49028656</v>
      </c>
      <c r="N432" s="2">
        <f>IFERROR(IF(MARÍTIMOS[[#This Row],[Número de Contacto]]="","",MARÍTIMOS[[#This Row],[Número de Contacto]]),"")</f>
        <v>0</v>
      </c>
      <c r="O432" s="10" t="str">
        <f>IFERROR(IF(MARÍTIMOS[[#This Row],[Booking|AWB|CRT]]="","",MARÍTIMOS[[#This Row],[Booking|AWB|CRT]]),"")</f>
        <v>MBM250067152</v>
      </c>
      <c r="P432" s="2" t="str">
        <f>IFERROR(IF(MARÍTIMOS[[#This Row],[Contenedor]]="","",MARÍTIMOS[[#This Row],[Contenedor]]),"")</f>
        <v>BMOU9622840</v>
      </c>
      <c r="Q432" s="2" t="str">
        <f>IFERROR(IF(MARÍTIMOS[[#This Row],[Puerto de Retiro]]="","",MARÍTIMOS[[#This Row],[Puerto de Retiro]]),"")</f>
        <v>PAITA</v>
      </c>
      <c r="R432" s="2" t="str">
        <f>IFERROR(IF(MARÍTIMOS[[#This Row],[Almacén de Retiro]]="","",MARÍTIMOS[[#This Row],[Almacén de Retiro]]),"")</f>
        <v>MACROMAR</v>
      </c>
      <c r="S432" s="11">
        <f>IFERROR(IF(MARÍTIMOS[[#This Row],[Etapa Retiro - Cita]]="","",MARÍTIMOS[[#This Row],[Etapa Retiro - Cita]]),"")</f>
        <v>46281.708333333336</v>
      </c>
      <c r="T432" s="11">
        <f>IFERROR(IF(MARÍTIMOS[[#This Row],[Etapa Retiro - Llegada]]="","",MARÍTIMOS[[#This Row],[Etapa Retiro - Llegada]]),"")</f>
        <v>46281.727777777778</v>
      </c>
      <c r="U432" s="11">
        <f>IFERROR(IF(MARÍTIMOS[[#This Row],[Etapa Retiro - Ingreso]]="","",MARÍTIMOS[[#This Row],[Etapa Retiro - Ingreso]]),"")</f>
        <v>46281.736111111109</v>
      </c>
      <c r="V432" s="11">
        <f>IFERROR(IF(MARÍTIMOS[[#This Row],[Etapa Retiro - Atención]]="","",MARÍTIMOS[[#This Row],[Etapa Retiro - Atención]]),"")</f>
        <v>46281.808333333334</v>
      </c>
      <c r="W432" s="11">
        <f>IFERROR(IF(MARÍTIMOS[[#This Row],[Etapa Retiro - Atención]]="","",MARÍTIMOS[[#This Row],[Etapa Retiro - Atención]]),"")</f>
        <v>46281.808333333334</v>
      </c>
      <c r="X432" s="11">
        <f>IFERROR(IF(MARÍTIMOS[[#This Row],[Etapa Retiro - Inicio de Ruta]]="","",MARÍTIMOS[[#This Row],[Etapa Retiro - Inicio de Ruta]]),"")</f>
        <v>46281.862500000003</v>
      </c>
      <c r="Y432" s="11">
        <f>IFERROR(IF(MARÍTIMOS[[#This Row],[Hora de Posicionamiento]]="","",MARÍTIMOS[[#This Row],[Fecha de Carga]]+MARÍTIMOS[[#This Row],[Hora de Posicionamiento]]),"")</f>
        <v>46282.583333333336</v>
      </c>
      <c r="Z432" s="11">
        <f>IFERROR(IF(MARÍTIMOS[[#This Row],[Etapa Despacho - Llegada]]="","",MARÍTIMOS[[#This Row],[Etapa Despacho - Llegada]]),"")</f>
        <v>46282.509027777778</v>
      </c>
      <c r="AA432" s="11">
        <f>IFERROR(IF(MARÍTIMOS[[#This Row],[Etapa Despacho - Registro]]="","",MARÍTIMOS[[#This Row],[Etapa Despacho - Registro]]),"")</f>
        <v>46282.510416666664</v>
      </c>
      <c r="AB432" s="11" t="str">
        <f>IFERROR(IF(MARÍTIMOS[[#This Row],[Inspección Externa]]="","",MARÍTIMOS[[#This Row],[Inspección Externa]]),"")</f>
        <v/>
      </c>
      <c r="AC432" s="11">
        <f>IFERROR(IF(MARÍTIMOS[[#This Row],[Etapa Despacho - Inicio de Carga]]="","",MARÍTIMOS[[#This Row],[Etapa Despacho - Inicio de Carga]]),"")</f>
        <v>46282.625</v>
      </c>
      <c r="AD432" s="11" t="str">
        <f>IFERROR(IF(MARÍTIMOS[[#This Row],[Etapa Despacho - Mitad de Carga]]="","",MARÍTIMOS[[#This Row],[Etapa Despacho - Mitad de Carga]]),"")</f>
        <v/>
      </c>
      <c r="AE432" s="11">
        <f>IFERROR(IF(MARÍTIMOS[[#This Row],[Etapa Despacho - Fin de Carga]]="","",MARÍTIMOS[[#This Row],[Etapa Despacho - Fin de Carga]]),"")</f>
        <v>46282.666666666664</v>
      </c>
      <c r="AF432" s="2" t="str">
        <f>IFERROR(IF(MARÍTIMOS[[#This Row],[Puerto de Embarque]]="","",MARÍTIMOS[[#This Row],[Puerto de Embarque]]),"")</f>
        <v>Paita</v>
      </c>
      <c r="AG432" s="2" t="str">
        <f>IFERROR(IF(MARÍTIMOS[[#This Row],[Almacén de Ingreso]]="","",MARÍTIMOS[[#This Row],[Almacén de Ingreso]]),"")</f>
        <v>TPE</v>
      </c>
      <c r="AH432" s="11">
        <f>IFERROR(IF(MARÍTIMOS[[#This Row],[Etapa Ingreso - Cita]]="","",MARÍTIMOS[[#This Row],[Etapa Ingreso - Cita]]),"")</f>
        <v>46283.375</v>
      </c>
      <c r="AI432" s="11">
        <f>IFERROR(IF(MARÍTIMOS[[#This Row],[Etapa Ingreso - Llegada]]="","",MARÍTIMOS[[#This Row],[Etapa Ingreso - Llegada]]),"")</f>
        <v>46283.319444444445</v>
      </c>
      <c r="AJ432" s="11">
        <f>IFERROR(IF(MARÍTIMOS[[#This Row],[Etapa Ingreso - Ingeso]]="","",MARÍTIMOS[[#This Row],[Etapa Ingreso - Ingeso]]),"")</f>
        <v>46283.342361111114</v>
      </c>
      <c r="AK432" s="11">
        <f>IFERROR(IF(MARÍTIMOS[[#This Row],[Etapa Ingreso - Atención]]="","",MARÍTIMOS[[#This Row],[Etapa Ingreso - Atención]]),"")</f>
        <v>46283.345833333333</v>
      </c>
      <c r="AL432" s="11">
        <f>IFERROR(IF(MARÍTIMOS[[#This Row],[Etapa Ingreso - Salida]]="","",MARÍTIMOS[[#This Row],[Etapa Ingreso - Salida]]),"")</f>
        <v>46283.351388888892</v>
      </c>
      <c r="AM432" s="2">
        <f>IFERROR(IF(MARÍTIMOS[[#This Row],[FCL]]="","",MARÍTIMOS[[#This Row],[FCL]]),"")</f>
        <v>1</v>
      </c>
      <c r="AN4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32" s="4" t="str" cm="1">
        <f t="array" ref="AO4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HIGH</v>
      </c>
      <c r="AP432" s="5">
        <f>IFERROR(OLDBD[[#This Row],[Llegada a packing]]-OLDBD[[#This Row],[Inicio de Ruta]],"")</f>
        <v>0.64652777777519077</v>
      </c>
      <c r="AQ432" s="6">
        <f>IFERROR(OLDBD[[#This Row],[Inicio de Ruta]]-OLDBD[[#This Row],[Salida de almacén de retiro]],"")</f>
        <v>5.4166666668606922E-2</v>
      </c>
      <c r="AR4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32" s="8" t="str" cm="1">
        <f t="array" ref="AS4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32" s="9" t="str">
        <f>IFERROR(OLDBD[[#This Row],[Ingreso Packing]]-OLDBD[[#This Row],[Registro en Packing]],"")</f>
        <v/>
      </c>
      <c r="AV432" s="9" t="str">
        <f>IFERROR(OLDBD[[#This Row],[Ingreso Packing]]-OLDBD[[#This Row],[Llegada a packing]],"")</f>
        <v/>
      </c>
      <c r="AW4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2" s="5">
        <f>IFERROR(OLDBD[[#This Row],[Llegada Almacén de Ingreso]]-OLDBD[[#This Row],[Salida Packing]],"")</f>
        <v>0.65277777778101154</v>
      </c>
      <c r="AY432" s="4" t="str" cm="1">
        <f t="array" ref="AY4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32" s="43" t="s">
        <v>173</v>
      </c>
      <c r="BB432" s="47" t="str">
        <f>IFERROR(IF(MARÍTIMOS[[#This Row],[Estatus]]="","",MARÍTIMOS[[#This Row],[Estatus]]),"")</f>
        <v>Confirmado</v>
      </c>
      <c r="BC432" s="43"/>
      <c r="BD432" s="46">
        <f>IFERROR(OLDBD[[#This Row],[Salida de almacén de retiro]]-OLDBD[[#This Row],[Ingreso Almacén de retiro]],"")</f>
        <v>7.2222222224809229E-2</v>
      </c>
      <c r="BE432" s="46" t="str">
        <f>IFERROR(OLDBD[[#This Row],[Fin de Carga]]-OLDBD[[#This Row],[Inicio de Carga]],"")</f>
        <v/>
      </c>
    </row>
    <row r="433" spans="1:57" customFormat="1">
      <c r="A433" s="1"/>
      <c r="B433" s="1">
        <f>IFERROR(IF(MARÍTIMOS[[#This Row],[PP]]="","",MARÍTIMOS[[#This Row],[PP]]),"")</f>
        <v>38</v>
      </c>
      <c r="C433" s="1" t="str">
        <f>IFERROR(IF(MARÍTIMOS[[#This Row],[Sede]]="","",MARÍTIMOS[[#This Row],[Sede]]),"")</f>
        <v>Chao</v>
      </c>
      <c r="D433" s="1" t="str">
        <f>IFERROR(IF(MARÍTIMOS[[#This Row],[Instruction]]="","",MARÍTIMOS[[#This Row],[Instruction]]),"")</f>
        <v>RH-0806</v>
      </c>
      <c r="E433" s="1"/>
      <c r="F433" s="2" t="str">
        <f>IFERROR(IF(MARÍTIMOS[[#This Row],[Transportista]]="","",MARÍTIMOS[[#This Row],[Transportista]]),"")</f>
        <v>VESL</v>
      </c>
      <c r="G433" s="2" t="str">
        <f>IFERROR(IF(MARÍTIMOS[[#This Row],[Tercero]]="","",MARÍTIMOS[[#This Row],[Tercero]]),"")</f>
        <v>NO</v>
      </c>
      <c r="H433" s="2" t="str">
        <f>IFERROR(IF(MARÍTIMOS[[#This Row],[Razón Social]]="","",MARÍTIMOS[[#This Row],[Razón Social]]),"")</f>
        <v>VE SOLUCIONES LOGISTICAS SAC</v>
      </c>
      <c r="I433" s="2">
        <f>IFERROR(IF(MARÍTIMOS[[#This Row],[RUC]]="","",MARÍTIMOS[[#This Row],[RUC]]),"")</f>
        <v>20557679392</v>
      </c>
      <c r="J433" s="2" t="str">
        <f>IFERROR(IF(MARÍTIMOS[[#This Row],[Placa Tracto]]="","",MARÍTIMOS[[#This Row],[Placa Tracto]]),"")</f>
        <v>BFY932</v>
      </c>
      <c r="K433" s="2" t="str">
        <f>IFERROR(IF(MARÍTIMOS[[#This Row],[Placa Carreta]]="","",MARÍTIMOS[[#This Row],[Placa Carreta]]),"")</f>
        <v>AUR-970</v>
      </c>
      <c r="L433" s="44" t="str">
        <f>IFERROR(IF(MARÍTIMOS[[#This Row],[Conductor]]="","",MARÍTIMOS[[#This Row],[Conductor]]),"")</f>
        <v>YMMER JOSÉ CALDERON RODRIGUEZ</v>
      </c>
      <c r="M433" s="2" t="str">
        <f>IFERROR(IF(MARÍTIMOS[[#This Row],[Licencia]]="","",MARÍTIMOS[[#This Row],[Licencia]]),"")</f>
        <v>B008200945</v>
      </c>
      <c r="N433" s="2">
        <f>IFERROR(IF(MARÍTIMOS[[#This Row],[Número de Contacto]]="","",MARÍTIMOS[[#This Row],[Número de Contacto]]),"")</f>
        <v>0</v>
      </c>
      <c r="O433" s="10" t="str">
        <f>IFERROR(IF(MARÍTIMOS[[#This Row],[Booking|AWB|CRT]]="","",MARÍTIMOS[[#This Row],[Booking|AWB|CRT]]),"")</f>
        <v>MBM250067153</v>
      </c>
      <c r="P433" s="2" t="str">
        <f>IFERROR(IF(MARÍTIMOS[[#This Row],[Contenedor]]="","",MARÍTIMOS[[#This Row],[Contenedor]]),"")</f>
        <v>CAIU5550064</v>
      </c>
      <c r="Q433" s="2" t="str">
        <f>IFERROR(IF(MARÍTIMOS[[#This Row],[Puerto de Retiro]]="","",MARÍTIMOS[[#This Row],[Puerto de Retiro]]),"")</f>
        <v>PAITA</v>
      </c>
      <c r="R433" s="2" t="str">
        <f>IFERROR(IF(MARÍTIMOS[[#This Row],[Almacén de Retiro]]="","",MARÍTIMOS[[#This Row],[Almacén de Retiro]]),"")</f>
        <v>MACROMAR</v>
      </c>
      <c r="S433" s="11">
        <f>IFERROR(IF(MARÍTIMOS[[#This Row],[Etapa Retiro - Cita]]="","",MARÍTIMOS[[#This Row],[Etapa Retiro - Cita]]),"")</f>
        <v>46281.75</v>
      </c>
      <c r="T433" s="11">
        <f>IFERROR(IF(MARÍTIMOS[[#This Row],[Etapa Retiro - Llegada]]="","",MARÍTIMOS[[#This Row],[Etapa Retiro - Llegada]]),"")</f>
        <v>46281.740972222222</v>
      </c>
      <c r="U433" s="11">
        <f>IFERROR(IF(MARÍTIMOS[[#This Row],[Etapa Retiro - Ingreso]]="","",MARÍTIMOS[[#This Row],[Etapa Retiro - Ingreso]]),"")</f>
        <v>46281.746527777781</v>
      </c>
      <c r="V433" s="11">
        <f>IFERROR(IF(MARÍTIMOS[[#This Row],[Etapa Retiro - Atención]]="","",MARÍTIMOS[[#This Row],[Etapa Retiro - Atención]]),"")</f>
        <v>46281.748611111114</v>
      </c>
      <c r="W433" s="11">
        <f>IFERROR(IF(MARÍTIMOS[[#This Row],[Etapa Retiro - Atención]]="","",MARÍTIMOS[[#This Row],[Etapa Retiro - Atención]]),"")</f>
        <v>46281.748611111114</v>
      </c>
      <c r="X433" s="11">
        <f>IFERROR(IF(MARÍTIMOS[[#This Row],[Etapa Retiro - Inicio de Ruta]]="","",MARÍTIMOS[[#This Row],[Etapa Retiro - Inicio de Ruta]]),"")</f>
        <v>46281.794444444444</v>
      </c>
      <c r="Y433" s="11">
        <f>IFERROR(IF(MARÍTIMOS[[#This Row],[Hora de Posicionamiento]]="","",MARÍTIMOS[[#This Row],[Fecha de Carga]]+MARÍTIMOS[[#This Row],[Hora de Posicionamiento]]),"")</f>
        <v>46282.583333333336</v>
      </c>
      <c r="Z433" s="11">
        <f>IFERROR(IF(MARÍTIMOS[[#This Row],[Etapa Despacho - Llegada]]="","",MARÍTIMOS[[#This Row],[Etapa Despacho - Llegada]]),"")</f>
        <v>46282.522222222222</v>
      </c>
      <c r="AA433" s="11">
        <f>IFERROR(IF(MARÍTIMOS[[#This Row],[Etapa Despacho - Registro]]="","",MARÍTIMOS[[#This Row],[Etapa Despacho - Registro]]),"")</f>
        <v>46282.524305555555</v>
      </c>
      <c r="AB433" s="11" t="str">
        <f>IFERROR(IF(MARÍTIMOS[[#This Row],[Inspección Externa]]="","",MARÍTIMOS[[#This Row],[Inspección Externa]]),"")</f>
        <v/>
      </c>
      <c r="AC433" s="11">
        <f>IFERROR(IF(MARÍTIMOS[[#This Row],[Etapa Despacho - Inicio de Carga]]="","",MARÍTIMOS[[#This Row],[Etapa Despacho - Inicio de Carga]]),"")</f>
        <v>46282.625</v>
      </c>
      <c r="AD433" s="11" t="str">
        <f>IFERROR(IF(MARÍTIMOS[[#This Row],[Etapa Despacho - Mitad de Carga]]="","",MARÍTIMOS[[#This Row],[Etapa Despacho - Mitad de Carga]]),"")</f>
        <v/>
      </c>
      <c r="AE433" s="11">
        <f>IFERROR(IF(MARÍTIMOS[[#This Row],[Etapa Despacho - Fin de Carga]]="","",MARÍTIMOS[[#This Row],[Etapa Despacho - Fin de Carga]]),"")</f>
        <v>46282.666666666664</v>
      </c>
      <c r="AF433" s="2" t="str">
        <f>IFERROR(IF(MARÍTIMOS[[#This Row],[Puerto de Embarque]]="","",MARÍTIMOS[[#This Row],[Puerto de Embarque]]),"")</f>
        <v>Paita</v>
      </c>
      <c r="AG433" s="2" t="str">
        <f>IFERROR(IF(MARÍTIMOS[[#This Row],[Almacén de Ingreso]]="","",MARÍTIMOS[[#This Row],[Almacén de Ingreso]]),"")</f>
        <v>TPE</v>
      </c>
      <c r="AH433" s="11">
        <f>IFERROR(IF(MARÍTIMOS[[#This Row],[Etapa Ingreso - Cita]]="","",MARÍTIMOS[[#This Row],[Etapa Ingreso - Cita]]),"")</f>
        <v>46283.375</v>
      </c>
      <c r="AI433" s="11">
        <f>IFERROR(IF(MARÍTIMOS[[#This Row],[Etapa Ingreso - Llegada]]="","",MARÍTIMOS[[#This Row],[Etapa Ingreso - Llegada]]),"")</f>
        <v>46283.319444444445</v>
      </c>
      <c r="AJ433" s="11">
        <f>IFERROR(IF(MARÍTIMOS[[#This Row],[Etapa Ingreso - Ingeso]]="","",MARÍTIMOS[[#This Row],[Etapa Ingreso - Ingeso]]),"")</f>
        <v>46283.340277777781</v>
      </c>
      <c r="AK433" s="11">
        <f>IFERROR(IF(MARÍTIMOS[[#This Row],[Etapa Ingreso - Atención]]="","",MARÍTIMOS[[#This Row],[Etapa Ingreso - Atención]]),"")</f>
        <v>46283.34375</v>
      </c>
      <c r="AL433" s="11">
        <f>IFERROR(IF(MARÍTIMOS[[#This Row],[Etapa Ingreso - Salida]]="","",MARÍTIMOS[[#This Row],[Etapa Ingreso - Salida]]),"")</f>
        <v>46283.348611111112</v>
      </c>
      <c r="AM433" s="2">
        <f>IFERROR(IF(MARÍTIMOS[[#This Row],[FCL]]="","",MARÍTIMOS[[#This Row],[FCL]]),"")</f>
        <v>1</v>
      </c>
      <c r="AN4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33" s="4" t="str" cm="1">
        <f t="array" ref="AO4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33" s="5">
        <f>IFERROR(OLDBD[[#This Row],[Llegada a packing]]-OLDBD[[#This Row],[Inicio de Ruta]],"")</f>
        <v>0.72777777777810115</v>
      </c>
      <c r="AQ433" s="6">
        <f>IFERROR(OLDBD[[#This Row],[Inicio de Ruta]]-OLDBD[[#This Row],[Salida de almacén de retiro]],"")</f>
        <v>4.5833333329937886E-2</v>
      </c>
      <c r="AR4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33" s="8" t="str" cm="1">
        <f t="array" ref="AS4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33" s="9" t="str">
        <f>IFERROR(OLDBD[[#This Row],[Ingreso Packing]]-OLDBD[[#This Row],[Registro en Packing]],"")</f>
        <v/>
      </c>
      <c r="AV433" s="9" t="str">
        <f>IFERROR(OLDBD[[#This Row],[Ingreso Packing]]-OLDBD[[#This Row],[Llegada a packing]],"")</f>
        <v/>
      </c>
      <c r="AW4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3" s="5">
        <f>IFERROR(OLDBD[[#This Row],[Llegada Almacén de Ingreso]]-OLDBD[[#This Row],[Salida Packing]],"")</f>
        <v>0.65277777778101154</v>
      </c>
      <c r="AY433" s="4" t="str" cm="1">
        <f t="array" ref="AY4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33" s="43" t="s">
        <v>173</v>
      </c>
      <c r="BB433" s="47" t="str">
        <f>IFERROR(IF(MARÍTIMOS[[#This Row],[Estatus]]="","",MARÍTIMOS[[#This Row],[Estatus]]),"")</f>
        <v>Confirmado</v>
      </c>
      <c r="BC433" s="43"/>
      <c r="BD433" s="46">
        <f>IFERROR(OLDBD[[#This Row],[Salida de almacén de retiro]]-OLDBD[[#This Row],[Ingreso Almacén de retiro]],"")</f>
        <v>2.0833333328482695E-3</v>
      </c>
      <c r="BE433" s="46" t="str">
        <f>IFERROR(OLDBD[[#This Row],[Fin de Carga]]-OLDBD[[#This Row],[Inicio de Carga]],"")</f>
        <v/>
      </c>
    </row>
    <row r="434" spans="1:57" customFormat="1">
      <c r="A434" s="1"/>
      <c r="B434" s="1">
        <f>IFERROR(IF(MARÍTIMOS[[#This Row],[PP]]="","",MARÍTIMOS[[#This Row],[PP]]),"")</f>
        <v>38</v>
      </c>
      <c r="C434" s="1" t="str">
        <f>IFERROR(IF(MARÍTIMOS[[#This Row],[Sede]]="","",MARÍTIMOS[[#This Row],[Sede]]),"")</f>
        <v>Chao</v>
      </c>
      <c r="D434" s="1" t="str">
        <f>IFERROR(IF(MARÍTIMOS[[#This Row],[Instruction]]="","",MARÍTIMOS[[#This Row],[Instruction]]),"")</f>
        <v>RH-0812</v>
      </c>
      <c r="E434" s="1"/>
      <c r="F434" s="2" t="str">
        <f>IFERROR(IF(MARÍTIMOS[[#This Row],[Transportista]]="","",MARÍTIMOS[[#This Row],[Transportista]]),"")</f>
        <v>VESL</v>
      </c>
      <c r="G434" s="2" t="str">
        <f>IFERROR(IF(MARÍTIMOS[[#This Row],[Tercero]]="","",MARÍTIMOS[[#This Row],[Tercero]]),"")</f>
        <v>NO</v>
      </c>
      <c r="H434" s="2" t="str">
        <f>IFERROR(IF(MARÍTIMOS[[#This Row],[Razón Social]]="","",MARÍTIMOS[[#This Row],[Razón Social]]),"")</f>
        <v>VE SOLUCIONES LOGISTICAS SAC</v>
      </c>
      <c r="I434" s="2">
        <f>IFERROR(IF(MARÍTIMOS[[#This Row],[RUC]]="","",MARÍTIMOS[[#This Row],[RUC]]),"")</f>
        <v>20557679392</v>
      </c>
      <c r="J434" s="2" t="str">
        <f>IFERROR(IF(MARÍTIMOS[[#This Row],[Placa Tracto]]="","",MARÍTIMOS[[#This Row],[Placa Tracto]]),"")</f>
        <v>BFY931</v>
      </c>
      <c r="K434" s="2" t="str">
        <f>IFERROR(IF(MARÍTIMOS[[#This Row],[Placa Carreta]]="","",MARÍTIMOS[[#This Row],[Placa Carreta]]),"")</f>
        <v>F5X983</v>
      </c>
      <c r="L434" s="44" t="str">
        <f>IFERROR(IF(MARÍTIMOS[[#This Row],[Conductor]]="","",MARÍTIMOS[[#This Row],[Conductor]]),"")</f>
        <v>RICHARD CLEY CALDERON RODRIGUEZ</v>
      </c>
      <c r="M434" s="2" t="str">
        <f>IFERROR(IF(MARÍTIMOS[[#This Row],[Licencia]]="","",MARÍTIMOS[[#This Row],[Licencia]]),"")</f>
        <v>B003228182</v>
      </c>
      <c r="N434" s="2">
        <f>IFERROR(IF(MARÍTIMOS[[#This Row],[Número de Contacto]]="","",MARÍTIMOS[[#This Row],[Número de Contacto]]),"")</f>
        <v>0</v>
      </c>
      <c r="O434" s="10" t="str">
        <f>IFERROR(IF(MARÍTIMOS[[#This Row],[Booking|AWB|CRT]]="","",MARÍTIMOS[[#This Row],[Booking|AWB|CRT]]),"")</f>
        <v>9234388A</v>
      </c>
      <c r="P434" s="2" t="str">
        <f>IFERROR(IF(MARÍTIMOS[[#This Row],[Contenedor]]="","",MARÍTIMOS[[#This Row],[Contenedor]]),"")</f>
        <v>GXCU8017044</v>
      </c>
      <c r="Q434" s="2" t="str">
        <f>IFERROR(IF(MARÍTIMOS[[#This Row],[Puerto de Retiro]]="","",MARÍTIMOS[[#This Row],[Puerto de Retiro]]),"")</f>
        <v>PAITA</v>
      </c>
      <c r="R434" s="2" t="str">
        <f>IFERROR(IF(MARÍTIMOS[[#This Row],[Almacén de Retiro]]="","",MARÍTIMOS[[#This Row],[Almacén de Retiro]]),"")</f>
        <v>DPW</v>
      </c>
      <c r="S434" s="11">
        <f>IFERROR(IF(MARÍTIMOS[[#This Row],[Etapa Retiro - Cita]]="","",MARÍTIMOS[[#This Row],[Etapa Retiro - Cita]]),"")</f>
        <v>46284.875</v>
      </c>
      <c r="T434" s="11">
        <f>IFERROR(IF(MARÍTIMOS[[#This Row],[Etapa Retiro - Llegada]]="","",MARÍTIMOS[[#This Row],[Etapa Retiro - Llegada]]),"")</f>
        <v>46284.868055555555</v>
      </c>
      <c r="U434" s="11">
        <f>IFERROR(IF(MARÍTIMOS[[#This Row],[Etapa Retiro - Ingreso]]="","",MARÍTIMOS[[#This Row],[Etapa Retiro - Ingreso]]),"")</f>
        <v>46284.876388888886</v>
      </c>
      <c r="V434" s="11">
        <f>IFERROR(IF(MARÍTIMOS[[#This Row],[Etapa Retiro - Atención]]="","",MARÍTIMOS[[#This Row],[Etapa Retiro - Atención]]),"")</f>
        <v>46284.881944444445</v>
      </c>
      <c r="W434" s="11">
        <f>IFERROR(IF(MARÍTIMOS[[#This Row],[Etapa Retiro - Atención]]="","",MARÍTIMOS[[#This Row],[Etapa Retiro - Atención]]),"")</f>
        <v>46284.881944444445</v>
      </c>
      <c r="X434" s="11">
        <f>IFERROR(IF(MARÍTIMOS[[#This Row],[Etapa Retiro - Inicio de Ruta]]="","",MARÍTIMOS[[#This Row],[Etapa Retiro - Inicio de Ruta]]),"")</f>
        <v>46284.927083333336</v>
      </c>
      <c r="Y434" s="11">
        <f>IFERROR(IF(MARÍTIMOS[[#This Row],[Hora de Posicionamiento]]="","",MARÍTIMOS[[#This Row],[Fecha de Carga]]+MARÍTIMOS[[#This Row],[Hora de Posicionamiento]]),"")</f>
        <v>46285.583333333336</v>
      </c>
      <c r="Z434" s="11">
        <f>IFERROR(IF(MARÍTIMOS[[#This Row],[Etapa Despacho - Llegada]]="","",MARÍTIMOS[[#This Row],[Etapa Despacho - Llegada]]),"")</f>
        <v>46285.569444444445</v>
      </c>
      <c r="AA434" s="11">
        <f>IFERROR(IF(MARÍTIMOS[[#This Row],[Etapa Despacho - Registro]]="","",MARÍTIMOS[[#This Row],[Etapa Despacho - Registro]]),"")</f>
        <v>46285.604166666664</v>
      </c>
      <c r="AB434" s="11" t="str">
        <f>IFERROR(IF(MARÍTIMOS[[#This Row],[Inspección Externa]]="","",MARÍTIMOS[[#This Row],[Inspección Externa]]),"")</f>
        <v/>
      </c>
      <c r="AC434" s="11">
        <f>IFERROR(IF(MARÍTIMOS[[#This Row],[Etapa Despacho - Inicio de Carga]]="","",MARÍTIMOS[[#This Row],[Etapa Despacho - Inicio de Carga]]),"")</f>
        <v>46285.652777777781</v>
      </c>
      <c r="AD434" s="11" t="str">
        <f>IFERROR(IF(MARÍTIMOS[[#This Row],[Etapa Despacho - Mitad de Carga]]="","",MARÍTIMOS[[#This Row],[Etapa Despacho - Mitad de Carga]]),"")</f>
        <v/>
      </c>
      <c r="AE434" s="11">
        <f>IFERROR(IF(MARÍTIMOS[[#This Row],[Etapa Despacho - Fin de Carga]]="","",MARÍTIMOS[[#This Row],[Etapa Despacho - Fin de Carga]]),"")</f>
        <v>46285.715277777781</v>
      </c>
      <c r="AF434" s="2" t="str">
        <f>IFERROR(IF(MARÍTIMOS[[#This Row],[Puerto de Embarque]]="","",MARÍTIMOS[[#This Row],[Puerto de Embarque]]),"")</f>
        <v>Paita</v>
      </c>
      <c r="AG434" s="2" t="str">
        <f>IFERROR(IF(MARÍTIMOS[[#This Row],[Almacén de Ingreso]]="","",MARÍTIMOS[[#This Row],[Almacén de Ingreso]]),"")</f>
        <v>TPE</v>
      </c>
      <c r="AH434" s="11">
        <f>IFERROR(IF(MARÍTIMOS[[#This Row],[Etapa Ingreso - Cita]]="","",MARÍTIMOS[[#This Row],[Etapa Ingreso - Cita]]),"")</f>
        <v>46286.625</v>
      </c>
      <c r="AI434" s="11">
        <f>IFERROR(IF(MARÍTIMOS[[#This Row],[Etapa Ingreso - Llegada]]="","",MARÍTIMOS[[#This Row],[Etapa Ingreso - Llegada]]),"")</f>
        <v>46286.546527777777</v>
      </c>
      <c r="AJ434" s="11">
        <f>IFERROR(IF(MARÍTIMOS[[#This Row],[Etapa Ingreso - Ingeso]]="","",MARÍTIMOS[[#This Row],[Etapa Ingreso - Ingeso]]),"")</f>
        <v>46286.622916666667</v>
      </c>
      <c r="AK434" s="11">
        <f>IFERROR(IF(MARÍTIMOS[[#This Row],[Etapa Ingreso - Atención]]="","",MARÍTIMOS[[#This Row],[Etapa Ingreso - Atención]]),"")</f>
        <v>46286.626388888886</v>
      </c>
      <c r="AL434" s="11">
        <f>IFERROR(IF(MARÍTIMOS[[#This Row],[Etapa Ingreso - Salida]]="","",MARÍTIMOS[[#This Row],[Etapa Ingreso - Salida]]),"")</f>
        <v>46286.630555555559</v>
      </c>
      <c r="AM434" s="2">
        <f>IFERROR(IF(MARÍTIMOS[[#This Row],[FCL]]="","",MARÍTIMOS[[#This Row],[FCL]]),"")</f>
        <v>1</v>
      </c>
      <c r="AN4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34" s="4" t="str" cm="1">
        <f t="array" ref="AO4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34" s="5">
        <f>IFERROR(OLDBD[[#This Row],[Llegada a packing]]-OLDBD[[#This Row],[Inicio de Ruta]],"")</f>
        <v>0.64236111110949423</v>
      </c>
      <c r="AQ434" s="6">
        <f>IFERROR(OLDBD[[#This Row],[Inicio de Ruta]]-OLDBD[[#This Row],[Salida de almacén de retiro]],"")</f>
        <v>4.5138888890505768E-2</v>
      </c>
      <c r="AR4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34" s="8" t="str" cm="1">
        <f t="array" ref="AS4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34" s="9" t="str">
        <f>IFERROR(OLDBD[[#This Row],[Ingreso Packing]]-OLDBD[[#This Row],[Registro en Packing]],"")</f>
        <v/>
      </c>
      <c r="AV434" s="9" t="str">
        <f>IFERROR(OLDBD[[#This Row],[Ingreso Packing]]-OLDBD[[#This Row],[Llegada a packing]],"")</f>
        <v/>
      </c>
      <c r="AW4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4" s="5">
        <f>IFERROR(OLDBD[[#This Row],[Llegada Almacén de Ingreso]]-OLDBD[[#This Row],[Salida Packing]],"")</f>
        <v>0.83124999999563443</v>
      </c>
      <c r="AY434" s="4" t="str" cm="1">
        <f t="array" ref="AY4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CRITICAL</v>
      </c>
      <c r="AZ4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34" s="43" t="s">
        <v>173</v>
      </c>
      <c r="BB434" s="47" t="str">
        <f>IFERROR(IF(MARÍTIMOS[[#This Row],[Estatus]]="","",MARÍTIMOS[[#This Row],[Estatus]]),"")</f>
        <v>Confirmado</v>
      </c>
      <c r="BC434" s="43"/>
      <c r="BD434" s="46">
        <f>IFERROR(OLDBD[[#This Row],[Salida de almacén de retiro]]-OLDBD[[#This Row],[Ingreso Almacén de retiro]],"")</f>
        <v>5.5555555591126904E-3</v>
      </c>
      <c r="BE434" s="46" t="str">
        <f>IFERROR(OLDBD[[#This Row],[Fin de Carga]]-OLDBD[[#This Row],[Inicio de Carga]],"")</f>
        <v/>
      </c>
    </row>
    <row r="435" spans="1:57" customFormat="1">
      <c r="A435" s="1"/>
      <c r="B435" s="1">
        <f>IFERROR(IF(MARÍTIMOS[[#This Row],[PP]]="","",MARÍTIMOS[[#This Row],[PP]]),"")</f>
        <v>38</v>
      </c>
      <c r="C435" s="1" t="str">
        <f>IFERROR(IF(MARÍTIMOS[[#This Row],[Sede]]="","",MARÍTIMOS[[#This Row],[Sede]]),"")</f>
        <v>Chao</v>
      </c>
      <c r="D435" s="1" t="str">
        <f>IFERROR(IF(MARÍTIMOS[[#This Row],[Instruction]]="","",MARÍTIMOS[[#This Row],[Instruction]]),"")</f>
        <v>RH-0817</v>
      </c>
      <c r="E435" s="1"/>
      <c r="F435" s="2" t="str">
        <f>IFERROR(IF(MARÍTIMOS[[#This Row],[Transportista]]="","",MARÍTIMOS[[#This Row],[Transportista]]),"")</f>
        <v>VESL</v>
      </c>
      <c r="G435" s="2" t="str">
        <f>IFERROR(IF(MARÍTIMOS[[#This Row],[Tercero]]="","",MARÍTIMOS[[#This Row],[Tercero]]),"")</f>
        <v>NO</v>
      </c>
      <c r="H435" s="2" t="str">
        <f>IFERROR(IF(MARÍTIMOS[[#This Row],[Razón Social]]="","",MARÍTIMOS[[#This Row],[Razón Social]]),"")</f>
        <v>VE SOLUCIONES LOGISTICAS SAC</v>
      </c>
      <c r="I435" s="2">
        <f>IFERROR(IF(MARÍTIMOS[[#This Row],[RUC]]="","",MARÍTIMOS[[#This Row],[RUC]]),"")</f>
        <v>20557679392</v>
      </c>
      <c r="J435" s="2" t="str">
        <f>IFERROR(IF(MARÍTIMOS[[#This Row],[Placa Tracto]]="","",MARÍTIMOS[[#This Row],[Placa Tracto]]),"")</f>
        <v>BAV867</v>
      </c>
      <c r="K435" s="2" t="str">
        <f>IFERROR(IF(MARÍTIMOS[[#This Row],[Placa Carreta]]="","",MARÍTIMOS[[#This Row],[Placa Carreta]]),"")</f>
        <v>F5V990</v>
      </c>
      <c r="L435" s="44" t="str">
        <f>IFERROR(IF(MARÍTIMOS[[#This Row],[Conductor]]="","",MARÍTIMOS[[#This Row],[Conductor]]),"")</f>
        <v>JESUS ALBERTO ZARRAGA ALVAREZ</v>
      </c>
      <c r="M435" s="2" t="str">
        <f>IFERROR(IF(MARÍTIMOS[[#This Row],[Licencia]]="","",MARÍTIMOS[[#This Row],[Licencia]]),"")</f>
        <v>B006469382</v>
      </c>
      <c r="N435" s="2">
        <f>IFERROR(IF(MARÍTIMOS[[#This Row],[Número de Contacto]]="","",MARÍTIMOS[[#This Row],[Número de Contacto]]),"")</f>
        <v>0</v>
      </c>
      <c r="O435" s="10" t="str">
        <f>IFERROR(IF(MARÍTIMOS[[#This Row],[Booking|AWB|CRT]]="","",MARÍTIMOS[[#This Row],[Booking|AWB|CRT]]),"")</f>
        <v>BN83728</v>
      </c>
      <c r="P435" s="2" t="str">
        <f>IFERROR(IF(MARÍTIMOS[[#This Row],[Contenedor]]="","",MARÍTIMOS[[#This Row],[Contenedor]]),"")</f>
        <v>TEMU9547416</v>
      </c>
      <c r="Q435" s="2" t="str">
        <f>IFERROR(IF(MARÍTIMOS[[#This Row],[Puerto de Retiro]]="","",MARÍTIMOS[[#This Row],[Puerto de Retiro]]),"")</f>
        <v>PAITA</v>
      </c>
      <c r="R435" s="2" t="str">
        <f>IFERROR(IF(MARÍTIMOS[[#This Row],[Almacén de Retiro]]="","",MARÍTIMOS[[#This Row],[Almacén de Retiro]]),"")</f>
        <v>DPW</v>
      </c>
      <c r="S435" s="11">
        <f>IFERROR(IF(MARÍTIMOS[[#This Row],[Etapa Retiro - Cita]]="","",MARÍTIMOS[[#This Row],[Etapa Retiro - Cita]]),"")</f>
        <v>46285.583333333336</v>
      </c>
      <c r="T435" s="11">
        <f>IFERROR(IF(MARÍTIMOS[[#This Row],[Etapa Retiro - Llegada]]="","",MARÍTIMOS[[#This Row],[Etapa Retiro - Llegada]]),"")</f>
        <v>46285.621527777781</v>
      </c>
      <c r="U435" s="11">
        <f>IFERROR(IF(MARÍTIMOS[[#This Row],[Etapa Retiro - Ingreso]]="","",MARÍTIMOS[[#This Row],[Etapa Retiro - Ingreso]]),"")</f>
        <v>46285.625</v>
      </c>
      <c r="V435" s="11">
        <f>IFERROR(IF(MARÍTIMOS[[#This Row],[Etapa Retiro - Atención]]="","",MARÍTIMOS[[#This Row],[Etapa Retiro - Atención]]),"")</f>
        <v>46285.633333333331</v>
      </c>
      <c r="W435" s="11">
        <f>IFERROR(IF(MARÍTIMOS[[#This Row],[Etapa Retiro - Atención]]="","",MARÍTIMOS[[#This Row],[Etapa Retiro - Atención]]),"")</f>
        <v>46285.633333333331</v>
      </c>
      <c r="X435" s="11">
        <f>IFERROR(IF(MARÍTIMOS[[#This Row],[Etapa Retiro - Inicio de Ruta]]="","",MARÍTIMOS[[#This Row],[Etapa Retiro - Inicio de Ruta]]),"")</f>
        <v>46285.675000000003</v>
      </c>
      <c r="Y435" s="11">
        <f>IFERROR(IF(MARÍTIMOS[[#This Row],[Hora de Posicionamiento]]="","",MARÍTIMOS[[#This Row],[Fecha de Carga]]+MARÍTIMOS[[#This Row],[Hora de Posicionamiento]]),"")</f>
        <v>46286.333333333336</v>
      </c>
      <c r="Z435" s="11">
        <f>IFERROR(IF(MARÍTIMOS[[#This Row],[Etapa Despacho - Llegada]]="","",MARÍTIMOS[[#This Row],[Etapa Despacho - Llegada]]),"")</f>
        <v>46286.390277777777</v>
      </c>
      <c r="AA435" s="11">
        <f>IFERROR(IF(MARÍTIMOS[[#This Row],[Etapa Despacho - Registro]]="","",MARÍTIMOS[[#This Row],[Etapa Despacho - Registro]]),"")</f>
        <v>46286.416666666664</v>
      </c>
      <c r="AB435" s="11" t="str">
        <f>IFERROR(IF(MARÍTIMOS[[#This Row],[Inspección Externa]]="","",MARÍTIMOS[[#This Row],[Inspección Externa]]),"")</f>
        <v/>
      </c>
      <c r="AC435" s="11">
        <f>IFERROR(IF(MARÍTIMOS[[#This Row],[Etapa Despacho - Inicio de Carga]]="","",MARÍTIMOS[[#This Row],[Etapa Despacho - Inicio de Carga]]),"")</f>
        <v>46286.482638888891</v>
      </c>
      <c r="AD435" s="11" t="str">
        <f>IFERROR(IF(MARÍTIMOS[[#This Row],[Etapa Despacho - Mitad de Carga]]="","",MARÍTIMOS[[#This Row],[Etapa Despacho - Mitad de Carga]]),"")</f>
        <v/>
      </c>
      <c r="AE435" s="11">
        <f>IFERROR(IF(MARÍTIMOS[[#This Row],[Etapa Despacho - Fin de Carga]]="","",MARÍTIMOS[[#This Row],[Etapa Despacho - Fin de Carga]]),"")</f>
        <v>46286.527777777781</v>
      </c>
      <c r="AF435" s="2" t="str">
        <f>IFERROR(IF(MARÍTIMOS[[#This Row],[Puerto de Embarque]]="","",MARÍTIMOS[[#This Row],[Puerto de Embarque]]),"")</f>
        <v>Paita</v>
      </c>
      <c r="AG435" s="2" t="str">
        <f>IFERROR(IF(MARÍTIMOS[[#This Row],[Almacén de Ingreso]]="","",MARÍTIMOS[[#This Row],[Almacén de Ingreso]]),"")</f>
        <v>TPE</v>
      </c>
      <c r="AH435" s="11">
        <f>IFERROR(IF(MARÍTIMOS[[#This Row],[Etapa Ingreso - Cita]]="","",MARÍTIMOS[[#This Row],[Etapa Ingreso - Cita]]),"")</f>
        <v>46287.375</v>
      </c>
      <c r="AI435" s="11">
        <f>IFERROR(IF(MARÍTIMOS[[#This Row],[Etapa Ingreso - Llegada]]="","",MARÍTIMOS[[#This Row],[Etapa Ingreso - Llegada]]),"")</f>
        <v>46287.347222222219</v>
      </c>
      <c r="AJ435" s="11">
        <f>IFERROR(IF(MARÍTIMOS[[#This Row],[Etapa Ingreso - Ingeso]]="","",MARÍTIMOS[[#This Row],[Etapa Ingreso - Ingeso]]),"")</f>
        <v>46287.371527777781</v>
      </c>
      <c r="AK435" s="11">
        <f>IFERROR(IF(MARÍTIMOS[[#This Row],[Etapa Ingreso - Atención]]="","",MARÍTIMOS[[#This Row],[Etapa Ingreso - Atención]]),"")</f>
        <v>46287.372916666667</v>
      </c>
      <c r="AL435" s="11">
        <f>IFERROR(IF(MARÍTIMOS[[#This Row],[Etapa Ingreso - Salida]]="","",MARÍTIMOS[[#This Row],[Etapa Ingreso - Salida]]),"")</f>
        <v>46287.376388888886</v>
      </c>
      <c r="AM435" s="2">
        <f>IFERROR(IF(MARÍTIMOS[[#This Row],[FCL]]="","",MARÍTIMOS[[#This Row],[FCL]]),"")</f>
        <v>1</v>
      </c>
      <c r="AN4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35" s="4" t="str" cm="1">
        <f t="array" ref="AO4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35" s="5">
        <f>IFERROR(OLDBD[[#This Row],[Llegada a packing]]-OLDBD[[#This Row],[Inicio de Ruta]],"")</f>
        <v>0.71527777777373558</v>
      </c>
      <c r="AQ435" s="6">
        <f>IFERROR(OLDBD[[#This Row],[Inicio de Ruta]]-OLDBD[[#This Row],[Salida de almacén de retiro]],"")</f>
        <v>4.1666666671517305E-2</v>
      </c>
      <c r="AR4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35" s="8" t="str" cm="1">
        <f t="array" ref="AS4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35" s="9" t="str">
        <f>IFERROR(OLDBD[[#This Row],[Ingreso Packing]]-OLDBD[[#This Row],[Registro en Packing]],"")</f>
        <v/>
      </c>
      <c r="AV435" s="9" t="str">
        <f>IFERROR(OLDBD[[#This Row],[Ingreso Packing]]-OLDBD[[#This Row],[Llegada a packing]],"")</f>
        <v/>
      </c>
      <c r="AW4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5" s="5">
        <f>IFERROR(OLDBD[[#This Row],[Llegada Almacén de Ingreso]]-OLDBD[[#This Row],[Salida Packing]],"")</f>
        <v>0.81944444443797693</v>
      </c>
      <c r="AY435" s="4" t="str" cm="1">
        <f t="array" ref="AY4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35" s="43" t="s">
        <v>173</v>
      </c>
      <c r="BB435" s="47" t="str">
        <f>IFERROR(IF(MARÍTIMOS[[#This Row],[Estatus]]="","",MARÍTIMOS[[#This Row],[Estatus]]),"")</f>
        <v>Confirmado</v>
      </c>
      <c r="BC435" s="43"/>
      <c r="BD435" s="46">
        <f>IFERROR(OLDBD[[#This Row],[Salida de almacén de retiro]]-OLDBD[[#This Row],[Ingreso Almacén de retiro]],"")</f>
        <v>8.333333331393078E-3</v>
      </c>
      <c r="BE435" s="46" t="str">
        <f>IFERROR(OLDBD[[#This Row],[Fin de Carga]]-OLDBD[[#This Row],[Inicio de Carga]],"")</f>
        <v/>
      </c>
    </row>
    <row r="436" spans="1:57" customFormat="1">
      <c r="A436" s="1"/>
      <c r="B436" s="1">
        <f>IFERROR(IF(MARÍTIMOS[[#This Row],[PP]]="","",MARÍTIMOS[[#This Row],[PP]]),"")</f>
        <v>38</v>
      </c>
      <c r="C436" s="1" t="str">
        <f>IFERROR(IF(MARÍTIMOS[[#This Row],[Sede]]="","",MARÍTIMOS[[#This Row],[Sede]]),"")</f>
        <v>Chao</v>
      </c>
      <c r="D436" s="1" t="str">
        <f>IFERROR(IF(MARÍTIMOS[[#This Row],[Instruction]]="","",MARÍTIMOS[[#This Row],[Instruction]]),"")</f>
        <v>RH-0818</v>
      </c>
      <c r="E436" s="1"/>
      <c r="F436" s="2" t="str">
        <f>IFERROR(IF(MARÍTIMOS[[#This Row],[Transportista]]="","",MARÍTIMOS[[#This Row],[Transportista]]),"")</f>
        <v>VESL</v>
      </c>
      <c r="G436" s="2" t="str">
        <f>IFERROR(IF(MARÍTIMOS[[#This Row],[Tercero]]="","",MARÍTIMOS[[#This Row],[Tercero]]),"")</f>
        <v>NO</v>
      </c>
      <c r="H436" s="2" t="str">
        <f>IFERROR(IF(MARÍTIMOS[[#This Row],[Razón Social]]="","",MARÍTIMOS[[#This Row],[Razón Social]]),"")</f>
        <v>VE SOLUCIONES LOGISTICAS SAC</v>
      </c>
      <c r="I436" s="2">
        <f>IFERROR(IF(MARÍTIMOS[[#This Row],[RUC]]="","",MARÍTIMOS[[#This Row],[RUC]]),"")</f>
        <v>20557679392</v>
      </c>
      <c r="J436" s="2" t="str">
        <f>IFERROR(IF(MARÍTIMOS[[#This Row],[Placa Tracto]]="","",MARÍTIMOS[[#This Row],[Placa Tracto]]),"")</f>
        <v>AYP780</v>
      </c>
      <c r="K436" s="2" t="str">
        <f>IFERROR(IF(MARÍTIMOS[[#This Row],[Placa Carreta]]="","",MARÍTIMOS[[#This Row],[Placa Carreta]]),"")</f>
        <v>AUP993</v>
      </c>
      <c r="L436" s="44" t="str">
        <f>IFERROR(IF(MARÍTIMOS[[#This Row],[Conductor]]="","",MARÍTIMOS[[#This Row],[Conductor]]),"")</f>
        <v>JOSE ALEJANDRO NUÑEZ VILLEGAS</v>
      </c>
      <c r="M436" s="2" t="str">
        <f>IFERROR(IF(MARÍTIMOS[[#This Row],[Licencia]]="","",MARÍTIMOS[[#This Row],[Licencia]]),"")</f>
        <v>Q49028656</v>
      </c>
      <c r="N436" s="2">
        <f>IFERROR(IF(MARÍTIMOS[[#This Row],[Número de Contacto]]="","",MARÍTIMOS[[#This Row],[Número de Contacto]]),"")</f>
        <v>0</v>
      </c>
      <c r="O436" s="10" t="str">
        <f>IFERROR(IF(MARÍTIMOS[[#This Row],[Booking|AWB|CRT]]="","",MARÍTIMOS[[#This Row],[Booking|AWB|CRT]]),"")</f>
        <v>BN83729</v>
      </c>
      <c r="P436" s="2" t="str">
        <f>IFERROR(IF(MARÍTIMOS[[#This Row],[Contenedor]]="","",MARÍTIMOS[[#This Row],[Contenedor]]),"")</f>
        <v>OTPU6303957</v>
      </c>
      <c r="Q436" s="2" t="str">
        <f>IFERROR(IF(MARÍTIMOS[[#This Row],[Puerto de Retiro]]="","",MARÍTIMOS[[#This Row],[Puerto de Retiro]]),"")</f>
        <v>PAITA</v>
      </c>
      <c r="R436" s="2" t="str">
        <f>IFERROR(IF(MARÍTIMOS[[#This Row],[Almacén de Retiro]]="","",MARÍTIMOS[[#This Row],[Almacén de Retiro]]),"")</f>
        <v>DPW</v>
      </c>
      <c r="S436" s="11">
        <f>IFERROR(IF(MARÍTIMOS[[#This Row],[Etapa Retiro - Cita]]="","",MARÍTIMOS[[#This Row],[Etapa Retiro - Cita]]),"")</f>
        <v>46285.333333333336</v>
      </c>
      <c r="T436" s="11">
        <f>IFERROR(IF(MARÍTIMOS[[#This Row],[Etapa Retiro - Llegada]]="","",MARÍTIMOS[[#This Row],[Etapa Retiro - Llegada]]),"")</f>
        <v>46285.370833333334</v>
      </c>
      <c r="U436" s="11">
        <f>IFERROR(IF(MARÍTIMOS[[#This Row],[Etapa Retiro - Ingreso]]="","",MARÍTIMOS[[#This Row],[Etapa Retiro - Ingreso]]),"")</f>
        <v>46285.376388888886</v>
      </c>
      <c r="V436" s="11">
        <f>IFERROR(IF(MARÍTIMOS[[#This Row],[Etapa Retiro - Atención]]="","",MARÍTIMOS[[#This Row],[Etapa Retiro - Atención]]),"")</f>
        <v>46285.4</v>
      </c>
      <c r="W436" s="11">
        <f>IFERROR(IF(MARÍTIMOS[[#This Row],[Etapa Retiro - Atención]]="","",MARÍTIMOS[[#This Row],[Etapa Retiro - Atención]]),"")</f>
        <v>46285.4</v>
      </c>
      <c r="X436" s="11">
        <f>IFERROR(IF(MARÍTIMOS[[#This Row],[Etapa Retiro - Inicio de Ruta]]="","",MARÍTIMOS[[#This Row],[Etapa Retiro - Inicio de Ruta]]),"")</f>
        <v>46285.470833333333</v>
      </c>
      <c r="Y436" s="11">
        <f>IFERROR(IF(MARÍTIMOS[[#This Row],[Hora de Posicionamiento]]="","",MARÍTIMOS[[#This Row],[Fecha de Carga]]+MARÍTIMOS[[#This Row],[Hora de Posicionamiento]]),"")</f>
        <v>46286.375</v>
      </c>
      <c r="Z436" s="11">
        <f>IFERROR(IF(MARÍTIMOS[[#This Row],[Etapa Despacho - Llegada]]="","",MARÍTIMOS[[#This Row],[Etapa Despacho - Llegada]]),"")</f>
        <v>46286.393055555556</v>
      </c>
      <c r="AA436" s="11">
        <f>IFERROR(IF(MARÍTIMOS[[#This Row],[Etapa Despacho - Registro]]="","",MARÍTIMOS[[#This Row],[Etapa Despacho - Registro]]),"")</f>
        <v>46286.416666666664</v>
      </c>
      <c r="AB436" s="11" t="str">
        <f>IFERROR(IF(MARÍTIMOS[[#This Row],[Inspección Externa]]="","",MARÍTIMOS[[#This Row],[Inspección Externa]]),"")</f>
        <v/>
      </c>
      <c r="AC436" s="11">
        <f>IFERROR(IF(MARÍTIMOS[[#This Row],[Etapa Despacho - Inicio de Carga]]="","",MARÍTIMOS[[#This Row],[Etapa Despacho - Inicio de Carga]]),"")</f>
        <v>46286.5</v>
      </c>
      <c r="AD436" s="11" t="str">
        <f>IFERROR(IF(MARÍTIMOS[[#This Row],[Etapa Despacho - Mitad de Carga]]="","",MARÍTIMOS[[#This Row],[Etapa Despacho - Mitad de Carga]]),"")</f>
        <v/>
      </c>
      <c r="AE436" s="11">
        <f>IFERROR(IF(MARÍTIMOS[[#This Row],[Etapa Despacho - Fin de Carga]]="","",MARÍTIMOS[[#This Row],[Etapa Despacho - Fin de Carga]]),"")</f>
        <v>46286.541666666664</v>
      </c>
      <c r="AF436" s="2" t="str">
        <f>IFERROR(IF(MARÍTIMOS[[#This Row],[Puerto de Embarque]]="","",MARÍTIMOS[[#This Row],[Puerto de Embarque]]),"")</f>
        <v>Paita</v>
      </c>
      <c r="AG436" s="2" t="str">
        <f>IFERROR(IF(MARÍTIMOS[[#This Row],[Almacén de Ingreso]]="","",MARÍTIMOS[[#This Row],[Almacén de Ingreso]]),"")</f>
        <v>TPE</v>
      </c>
      <c r="AH436" s="11">
        <f>IFERROR(IF(MARÍTIMOS[[#This Row],[Etapa Ingreso - Cita]]="","",MARÍTIMOS[[#This Row],[Etapa Ingreso - Cita]]),"")</f>
        <v>46287.375</v>
      </c>
      <c r="AI436" s="11">
        <f>IFERROR(IF(MARÍTIMOS[[#This Row],[Etapa Ingreso - Llegada]]="","",MARÍTIMOS[[#This Row],[Etapa Ingreso - Llegada]]),"")</f>
        <v>46287.333333333336</v>
      </c>
      <c r="AJ436" s="11">
        <f>IFERROR(IF(MARÍTIMOS[[#This Row],[Etapa Ingreso - Ingeso]]="","",MARÍTIMOS[[#This Row],[Etapa Ingreso - Ingeso]]),"")</f>
        <v>46287.350694444445</v>
      </c>
      <c r="AK436" s="11">
        <f>IFERROR(IF(MARÍTIMOS[[#This Row],[Etapa Ingreso - Atención]]="","",MARÍTIMOS[[#This Row],[Etapa Ingreso - Atención]]),"")</f>
        <v>46287.353472222225</v>
      </c>
      <c r="AL436" s="11">
        <f>IFERROR(IF(MARÍTIMOS[[#This Row],[Etapa Ingreso - Salida]]="","",MARÍTIMOS[[#This Row],[Etapa Ingreso - Salida]]),"")</f>
        <v>46287.356944444444</v>
      </c>
      <c r="AM436" s="2">
        <f>IFERROR(IF(MARÍTIMOS[[#This Row],[FCL]]="","",MARÍTIMOS[[#This Row],[FCL]]),"")</f>
        <v>1</v>
      </c>
      <c r="AN4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LATE</v>
      </c>
      <c r="AO436" s="4" t="str" cm="1">
        <f t="array" ref="AO4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36" s="5">
        <f>IFERROR(OLDBD[[#This Row],[Llegada a packing]]-OLDBD[[#This Row],[Inicio de Ruta]],"")</f>
        <v>0.92222222222335404</v>
      </c>
      <c r="AQ436" s="6">
        <f>IFERROR(OLDBD[[#This Row],[Inicio de Ruta]]-OLDBD[[#This Row],[Salida de almacén de retiro]],"")</f>
        <v>7.0833333331393078E-2</v>
      </c>
      <c r="AR4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LATE</v>
      </c>
      <c r="AS436" s="8" t="str" cm="1">
        <f t="array" ref="AS4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>NO DETENTION</v>
      </c>
      <c r="AT4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36" s="9" t="str">
        <f>IFERROR(OLDBD[[#This Row],[Ingreso Packing]]-OLDBD[[#This Row],[Registro en Packing]],"")</f>
        <v/>
      </c>
      <c r="AV436" s="9" t="str">
        <f>IFERROR(OLDBD[[#This Row],[Ingreso Packing]]-OLDBD[[#This Row],[Llegada a packing]],"")</f>
        <v/>
      </c>
      <c r="AW4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6" s="5">
        <f>IFERROR(OLDBD[[#This Row],[Llegada Almacén de Ingreso]]-OLDBD[[#This Row],[Salida Packing]],"")</f>
        <v>0.79166666667151731</v>
      </c>
      <c r="AY436" s="4" t="str" cm="1">
        <f t="array" ref="AY4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ON TIME</v>
      </c>
      <c r="BA436" s="43" t="s">
        <v>173</v>
      </c>
      <c r="BB436" s="47" t="str">
        <f>IFERROR(IF(MARÍTIMOS[[#This Row],[Estatus]]="","",MARÍTIMOS[[#This Row],[Estatus]]),"")</f>
        <v>Confirmado</v>
      </c>
      <c r="BC436" s="43"/>
      <c r="BD436" s="46">
        <f>IFERROR(OLDBD[[#This Row],[Salida de almacén de retiro]]-OLDBD[[#This Row],[Ingreso Almacén de retiro]],"")</f>
        <v>2.3611111115314998E-2</v>
      </c>
      <c r="BE436" s="46" t="str">
        <f>IFERROR(OLDBD[[#This Row],[Fin de Carga]]-OLDBD[[#This Row],[Inicio de Carga]],"")</f>
        <v/>
      </c>
    </row>
    <row r="437" spans="1:57" customFormat="1">
      <c r="A437" s="1"/>
      <c r="B437" s="1">
        <f>IFERROR(IF(MARÍTIMOS[[#This Row],[PP]]="","",MARÍTIMOS[[#This Row],[PP]]),"")</f>
        <v>38</v>
      </c>
      <c r="C437" s="1" t="str">
        <f>IFERROR(IF(MARÍTIMOS[[#This Row],[Sede]]="","",MARÍTIMOS[[#This Row],[Sede]]),"")</f>
        <v>Chao</v>
      </c>
      <c r="D437" s="1" t="str">
        <f>IFERROR(IF(MARÍTIMOS[[#This Row],[Instruction]]="","",MARÍTIMOS[[#This Row],[Instruction]]),"")</f>
        <v>RH-0835</v>
      </c>
      <c r="E437" s="1"/>
      <c r="F437" s="2" t="str">
        <f>IFERROR(IF(MARÍTIMOS[[#This Row],[Transportista]]="","",MARÍTIMOS[[#This Row],[Transportista]]),"")</f>
        <v>VESL</v>
      </c>
      <c r="G437" s="2" t="str">
        <f>IFERROR(IF(MARÍTIMOS[[#This Row],[Tercero]]="","",MARÍTIMOS[[#This Row],[Tercero]]),"")</f>
        <v>NO</v>
      </c>
      <c r="H437" s="2" t="str">
        <f>IFERROR(IF(MARÍTIMOS[[#This Row],[Razón Social]]="","",MARÍTIMOS[[#This Row],[Razón Social]]),"")</f>
        <v>VE SOLUCIONES LOGISTICAS SAC</v>
      </c>
      <c r="I437" s="2">
        <f>IFERROR(IF(MARÍTIMOS[[#This Row],[RUC]]="","",MARÍTIMOS[[#This Row],[RUC]]),"")</f>
        <v>20557679392</v>
      </c>
      <c r="J437" s="2" t="str">
        <f>IFERROR(IF(MARÍTIMOS[[#This Row],[Placa Tracto]]="","",MARÍTIMOS[[#This Row],[Placa Tracto]]),"")</f>
        <v>BAV768</v>
      </c>
      <c r="K437" s="2" t="str">
        <f>IFERROR(IF(MARÍTIMOS[[#This Row],[Placa Carreta]]="","",MARÍTIMOS[[#This Row],[Placa Carreta]]),"")</f>
        <v>BXL975</v>
      </c>
      <c r="L437" s="44" t="str">
        <f>IFERROR(IF(MARÍTIMOS[[#This Row],[Conductor]]="","",MARÍTIMOS[[#This Row],[Conductor]]),"")</f>
        <v>CORDOVA ENRIQUEZ JESUS ALBERTO</v>
      </c>
      <c r="M437" s="2" t="str">
        <f>IFERROR(IF(MARÍTIMOS[[#This Row],[Licencia]]="","",MARÍTIMOS[[#This Row],[Licencia]]),"")</f>
        <v>Q16010242</v>
      </c>
      <c r="N437" s="2" t="str">
        <f>IFERROR(IF(MARÍTIMOS[[#This Row],[Número de Contacto]]="","",MARÍTIMOS[[#This Row],[Número de Contacto]]),"")</f>
        <v>920 715 809</v>
      </c>
      <c r="O437" s="10">
        <f>IFERROR(IF(MARÍTIMOS[[#This Row],[Booking|AWB|CRT]]="","",MARÍTIMOS[[#This Row],[Booking|AWB|CRT]]),"")</f>
        <v>6468085340</v>
      </c>
      <c r="P437" s="2" t="str">
        <f>IFERROR(IF(MARÍTIMOS[[#This Row],[Contenedor]]="","",MARÍTIMOS[[#This Row],[Contenedor]]),"")</f>
        <v>OERU4382810</v>
      </c>
      <c r="Q437" s="2" t="str">
        <f>IFERROR(IF(MARÍTIMOS[[#This Row],[Puerto de Retiro]]="","",MARÍTIMOS[[#This Row],[Puerto de Retiro]]),"")</f>
        <v>PAITA</v>
      </c>
      <c r="R437" s="2" t="str">
        <f>IFERROR(IF(MARÍTIMOS[[#This Row],[Almacén de Retiro]]="","",MARÍTIMOS[[#This Row],[Almacén de Retiro]]),"")</f>
        <v>CSPCP</v>
      </c>
      <c r="S437" s="11">
        <f>IFERROR(IF(MARÍTIMOS[[#This Row],[Etapa Retiro - Cita]]="","",MARÍTIMOS[[#This Row],[Etapa Retiro - Cita]]),"")</f>
        <v>46287.499305555553</v>
      </c>
      <c r="T437" s="11">
        <f>IFERROR(IF(MARÍTIMOS[[#This Row],[Etapa Retiro - Llegada]]="","",MARÍTIMOS[[#This Row],[Etapa Retiro - Llegada]]),"")</f>
        <v>46287.004861111112</v>
      </c>
      <c r="U437" s="11">
        <f>IFERROR(IF(MARÍTIMOS[[#This Row],[Etapa Retiro - Ingreso]]="","",MARÍTIMOS[[#This Row],[Etapa Retiro - Ingreso]]),"")</f>
        <v>46287.027777777781</v>
      </c>
      <c r="V437" s="11">
        <f>IFERROR(IF(MARÍTIMOS[[#This Row],[Etapa Retiro - Atención]]="","",MARÍTIMOS[[#This Row],[Etapa Retiro - Atención]]),"")</f>
        <v>46287.034722222219</v>
      </c>
      <c r="W437" s="11">
        <f>IFERROR(IF(MARÍTIMOS[[#This Row],[Etapa Retiro - Atención]]="","",MARÍTIMOS[[#This Row],[Etapa Retiro - Atención]]),"")</f>
        <v>46287.034722222219</v>
      </c>
      <c r="X437" s="11">
        <f>IFERROR(IF(MARÍTIMOS[[#This Row],[Etapa Retiro - Inicio de Ruta]]="","",MARÍTIMOS[[#This Row],[Etapa Retiro - Inicio de Ruta]]),"")</f>
        <v>46287.069444444445</v>
      </c>
      <c r="Y437" s="11">
        <f>IFERROR(IF(MARÍTIMOS[[#This Row],[Hora de Posicionamiento]]="","",MARÍTIMOS[[#This Row],[Fecha de Carga]]+MARÍTIMOS[[#This Row],[Hora de Posicionamiento]]),"")</f>
        <v>46288.583333333336</v>
      </c>
      <c r="Z437" s="11">
        <f>IFERROR(IF(MARÍTIMOS[[#This Row],[Etapa Despacho - Llegada]]="","",MARÍTIMOS[[#This Row],[Etapa Despacho - Llegada]]),"")</f>
        <v>46287.570138888892</v>
      </c>
      <c r="AA437" s="11">
        <f>IFERROR(IF(MARÍTIMOS[[#This Row],[Etapa Despacho - Registro]]="","",MARÍTIMOS[[#This Row],[Etapa Despacho - Registro]]),"")</f>
        <v>46287.604166666664</v>
      </c>
      <c r="AB437" s="11" t="str">
        <f>IFERROR(IF(MARÍTIMOS[[#This Row],[Inspección Externa]]="","",MARÍTIMOS[[#This Row],[Inspección Externa]]),"")</f>
        <v/>
      </c>
      <c r="AC437" s="11">
        <f>IFERROR(IF(MARÍTIMOS[[#This Row],[Etapa Despacho - Inicio de Carga]]="","",MARÍTIMOS[[#This Row],[Etapa Despacho - Inicio de Carga]]),"")</f>
        <v>46287.672222222223</v>
      </c>
      <c r="AD437" s="11" t="str">
        <f>IFERROR(IF(MARÍTIMOS[[#This Row],[Etapa Despacho - Mitad de Carga]]="","",MARÍTIMOS[[#This Row],[Etapa Despacho - Mitad de Carga]]),"")</f>
        <v/>
      </c>
      <c r="AE437" s="11">
        <f>IFERROR(IF(MARÍTIMOS[[#This Row],[Etapa Despacho - Fin de Carga]]="","",MARÍTIMOS[[#This Row],[Etapa Despacho - Fin de Carga]]),"")</f>
        <v>46287.775694444441</v>
      </c>
      <c r="AF437" s="2" t="str">
        <f>IFERROR(IF(MARÍTIMOS[[#This Row],[Puerto de Embarque]]="","",MARÍTIMOS[[#This Row],[Puerto de Embarque]]),"")</f>
        <v>Chancay</v>
      </c>
      <c r="AG437" s="2" t="str">
        <f>IFERROR(IF(MARÍTIMOS[[#This Row],[Almacén de Ingreso]]="","",MARÍTIMOS[[#This Row],[Almacén de Ingreso]]),"")</f>
        <v xml:space="preserve">CSPCP </v>
      </c>
      <c r="AH437" s="11">
        <f>IFERROR(IF(MARÍTIMOS[[#This Row],[Etapa Ingreso - Cita]]="","",MARÍTIMOS[[#This Row],[Etapa Ingreso - Cita]]),"")</f>
        <v>0</v>
      </c>
      <c r="AI437" s="11">
        <f>IFERROR(IF(MARÍTIMOS[[#This Row],[Etapa Ingreso - Llegada]]="","",MARÍTIMOS[[#This Row],[Etapa Ingreso - Llegada]]),"")</f>
        <v>0</v>
      </c>
      <c r="AJ437" s="11">
        <f>IFERROR(IF(MARÍTIMOS[[#This Row],[Etapa Ingreso - Ingeso]]="","",MARÍTIMOS[[#This Row],[Etapa Ingreso - Ingeso]]),"")</f>
        <v>0</v>
      </c>
      <c r="AK437" s="11">
        <f>IFERROR(IF(MARÍTIMOS[[#This Row],[Etapa Ingreso - Atención]]="","",MARÍTIMOS[[#This Row],[Etapa Ingreso - Atención]]),"")</f>
        <v>0</v>
      </c>
      <c r="AL437" s="11">
        <f>IFERROR(IF(MARÍTIMOS[[#This Row],[Etapa Ingreso - Salida]]="","",MARÍTIMOS[[#This Row],[Etapa Ingreso - Salida]]),"")</f>
        <v>0</v>
      </c>
      <c r="AM437" s="2">
        <f>IFERROR(IF(MARÍTIMOS[[#This Row],[FCL]]="","",MARÍTIMOS[[#This Row],[FCL]]),"")</f>
        <v>1</v>
      </c>
      <c r="AN4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>ON TIME</v>
      </c>
      <c r="AO437" s="4" t="str" cm="1">
        <f t="array" ref="AO4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>STANDARD</v>
      </c>
      <c r="AP437" s="5">
        <f>IFERROR(OLDBD[[#This Row],[Llegada a packing]]-OLDBD[[#This Row],[Inicio de Ruta]],"")</f>
        <v>0.50069444444670808</v>
      </c>
      <c r="AQ437" s="6">
        <f>IFERROR(OLDBD[[#This Row],[Inicio de Ruta]]-OLDBD[[#This Row],[Salida de almacén de retiro]],"")</f>
        <v>3.4722222226264421E-2</v>
      </c>
      <c r="AR4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>ON TIME</v>
      </c>
      <c r="AS437" s="8" t="str" cm="1">
        <f t="array" ref="AS4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>ON TRACK</v>
      </c>
      <c r="AU437" s="9" t="str">
        <f>IFERROR(OLDBD[[#This Row],[Ingreso Packing]]-OLDBD[[#This Row],[Registro en Packing]],"")</f>
        <v/>
      </c>
      <c r="AV437" s="9" t="str">
        <f>IFERROR(OLDBD[[#This Row],[Ingreso Packing]]-OLDBD[[#This Row],[Llegada a packing]],"")</f>
        <v/>
      </c>
      <c r="AW4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7" s="5">
        <f>IFERROR(OLDBD[[#This Row],[Llegada Almacén de Ingreso]]-OLDBD[[#This Row],[Salida Packing]],"")</f>
        <v>-46287.775694444441</v>
      </c>
      <c r="AY437" s="4" t="str" cm="1">
        <f t="array" ref="AY4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>STANDARD</v>
      </c>
      <c r="AZ4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>LATE</v>
      </c>
      <c r="BA437" s="43" t="s">
        <v>173</v>
      </c>
      <c r="BB437" s="47" t="str">
        <f>IFERROR(IF(MARÍTIMOS[[#This Row],[Estatus]]="","",MARÍTIMOS[[#This Row],[Estatus]]),"")</f>
        <v>Confirmado</v>
      </c>
      <c r="BC437" s="43"/>
      <c r="BD437" s="46">
        <f>IFERROR(OLDBD[[#This Row],[Salida de almacén de retiro]]-OLDBD[[#This Row],[Ingreso Almacén de retiro]],"")</f>
        <v>6.9444444379769266E-3</v>
      </c>
      <c r="BE437" s="46" t="str">
        <f>IFERROR(OLDBD[[#This Row],[Fin de Carga]]-OLDBD[[#This Row],[Inicio de Carga]],"")</f>
        <v/>
      </c>
    </row>
    <row r="438" spans="1:57" customFormat="1" hidden="1">
      <c r="A438" s="1"/>
      <c r="B438" s="1" t="str">
        <f>IFERROR(IF(MARÍTIMOS[[#This Row],[PP]]="","",MARÍTIMOS[[#This Row],[PP]]),"")</f>
        <v/>
      </c>
      <c r="C438" s="1" t="str">
        <f>IFERROR(IF(MARÍTIMOS[[#This Row],[Sede]]="","",MARÍTIMOS[[#This Row],[Sede]]),"")</f>
        <v/>
      </c>
      <c r="D438" s="1" t="str">
        <f>IFERROR(IF(MARÍTIMOS[[#This Row],[Instruction]]="","",MARÍTIMOS[[#This Row],[Instruction]]),"")</f>
        <v/>
      </c>
      <c r="E438" s="1"/>
      <c r="F438" s="2" t="str">
        <f>IFERROR(IF(MARÍTIMOS[[#This Row],[Transportista]]="","",MARÍTIMOS[[#This Row],[Transportista]]),"")</f>
        <v/>
      </c>
      <c r="G438" s="2" t="str">
        <f>IFERROR(IF(MARÍTIMOS[[#This Row],[Tercero]]="","",MARÍTIMOS[[#This Row],[Tercero]]),"")</f>
        <v/>
      </c>
      <c r="H438" s="2" t="str">
        <f>IFERROR(IF(MARÍTIMOS[[#This Row],[Razón Social]]="","",MARÍTIMOS[[#This Row],[Razón Social]]),"")</f>
        <v/>
      </c>
      <c r="I438" s="2" t="str">
        <f>IFERROR(IF(MARÍTIMOS[[#This Row],[RUC]]="","",MARÍTIMOS[[#This Row],[RUC]]),"")</f>
        <v/>
      </c>
      <c r="J438" s="2" t="str">
        <f>IFERROR(IF(MARÍTIMOS[[#This Row],[Placa Tracto]]="","",MARÍTIMOS[[#This Row],[Placa Tracto]]),"")</f>
        <v/>
      </c>
      <c r="K438" s="2" t="str">
        <f>IFERROR(IF(MARÍTIMOS[[#This Row],[Placa Carreta]]="","",MARÍTIMOS[[#This Row],[Placa Carreta]]),"")</f>
        <v/>
      </c>
      <c r="L438" s="44" t="str">
        <f>IFERROR(IF(MARÍTIMOS[[#This Row],[Conductor]]="","",MARÍTIMOS[[#This Row],[Conductor]]),"")</f>
        <v/>
      </c>
      <c r="M438" s="2" t="str">
        <f>IFERROR(IF(MARÍTIMOS[[#This Row],[Licencia]]="","",MARÍTIMOS[[#This Row],[Licencia]]),"")</f>
        <v/>
      </c>
      <c r="N438" s="2" t="str">
        <f>IFERROR(IF(MARÍTIMOS[[#This Row],[Número de Contacto]]="","",MARÍTIMOS[[#This Row],[Número de Contacto]]),"")</f>
        <v/>
      </c>
      <c r="O438" s="10" t="str">
        <f>IFERROR(IF(MARÍTIMOS[[#This Row],[Booking|AWB|CRT]]="","",MARÍTIMOS[[#This Row],[Booking|AWB|CRT]]),"")</f>
        <v/>
      </c>
      <c r="P438" s="2" t="str">
        <f>IFERROR(IF(MARÍTIMOS[[#This Row],[Contenedor]]="","",MARÍTIMOS[[#This Row],[Contenedor]]),"")</f>
        <v/>
      </c>
      <c r="Q438" s="2" t="str">
        <f>IFERROR(IF(MARÍTIMOS[[#This Row],[Puerto de Retiro]]="","",MARÍTIMOS[[#This Row],[Puerto de Retiro]]),"")</f>
        <v/>
      </c>
      <c r="R438" s="2" t="str">
        <f>IFERROR(IF(MARÍTIMOS[[#This Row],[Almacén de Retiro]]="","",MARÍTIMOS[[#This Row],[Almacén de Retiro]]),"")</f>
        <v/>
      </c>
      <c r="S438" s="11" t="str">
        <f>IFERROR(IF(MARÍTIMOS[[#This Row],[Etapa Retiro - Cita]]="","",MARÍTIMOS[[#This Row],[Etapa Retiro - Cita]]),"")</f>
        <v/>
      </c>
      <c r="T438" s="11" t="str">
        <f>IFERROR(IF(MARÍTIMOS[[#This Row],[Etapa Retiro - Llegada]]="","",MARÍTIMOS[[#This Row],[Etapa Retiro - Llegada]]),"")</f>
        <v/>
      </c>
      <c r="U438" s="11" t="str">
        <f>IFERROR(IF(MARÍTIMOS[[#This Row],[Etapa Retiro - Ingreso]]="","",MARÍTIMOS[[#This Row],[Etapa Retiro - Ingreso]]),"")</f>
        <v/>
      </c>
      <c r="V438" s="11" t="str">
        <f>IFERROR(IF(MARÍTIMOS[[#This Row],[Etapa Retiro - Atención]]="","",MARÍTIMOS[[#This Row],[Etapa Retiro - Atención]]),"")</f>
        <v/>
      </c>
      <c r="W438" s="11" t="str">
        <f>IFERROR(IF(MARÍTIMOS[[#This Row],[Etapa Retiro - Atención]]="","",MARÍTIMOS[[#This Row],[Etapa Retiro - Atención]]),"")</f>
        <v/>
      </c>
      <c r="X438" s="11" t="str">
        <f>IFERROR(IF(MARÍTIMOS[[#This Row],[Etapa Retiro - Inicio de Ruta]]="","",MARÍTIMOS[[#This Row],[Etapa Retiro - Inicio de Ruta]]),"")</f>
        <v/>
      </c>
      <c r="Y438" s="11" t="str">
        <f>IFERROR(IF(MARÍTIMOS[[#This Row],[Hora de Posicionamiento]]="","",MARÍTIMOS[[#This Row],[Fecha de Carga]]+MARÍTIMOS[[#This Row],[Hora de Posicionamiento]]),"")</f>
        <v/>
      </c>
      <c r="Z438" s="11" t="str">
        <f>IFERROR(IF(MARÍTIMOS[[#This Row],[Etapa Despacho - Llegada]]="","",MARÍTIMOS[[#This Row],[Etapa Despacho - Llegada]]),"")</f>
        <v/>
      </c>
      <c r="AA438" s="11" t="str">
        <f>IFERROR(IF(MARÍTIMOS[[#This Row],[Etapa Despacho - Registro]]="","",MARÍTIMOS[[#This Row],[Etapa Despacho - Registro]]),"")</f>
        <v/>
      </c>
      <c r="AB438" s="11" t="str">
        <f>IFERROR(IF(MARÍTIMOS[[#This Row],[Inspección Externa]]="","",MARÍTIMOS[[#This Row],[Inspección Externa]]),"")</f>
        <v/>
      </c>
      <c r="AC438" s="11" t="str">
        <f>IFERROR(IF(MARÍTIMOS[[#This Row],[Etapa Despacho - Inicio de Carga]]="","",MARÍTIMOS[[#This Row],[Etapa Despacho - Inicio de Carga]]),"")</f>
        <v/>
      </c>
      <c r="AD438" s="11" t="str">
        <f>IFERROR(IF(MARÍTIMOS[[#This Row],[Etapa Despacho - Mitad de Carga]]="","",MARÍTIMOS[[#This Row],[Etapa Despacho - Mitad de Carga]]),"")</f>
        <v/>
      </c>
      <c r="AE438" s="11" t="str">
        <f>IFERROR(IF(MARÍTIMOS[[#This Row],[Etapa Despacho - Fin de Carga]]="","",MARÍTIMOS[[#This Row],[Etapa Despacho - Fin de Carga]]),"")</f>
        <v/>
      </c>
      <c r="AF438" s="2" t="str">
        <f>IFERROR(IF(MARÍTIMOS[[#This Row],[Puerto de Embarque]]="","",MARÍTIMOS[[#This Row],[Puerto de Embarque]]),"")</f>
        <v/>
      </c>
      <c r="AG438" s="2" t="str">
        <f>IFERROR(IF(MARÍTIMOS[[#This Row],[Almacén de Ingreso]]="","",MARÍTIMOS[[#This Row],[Almacén de Ingreso]]),"")</f>
        <v/>
      </c>
      <c r="AH438" s="11" t="str">
        <f>IFERROR(IF(MARÍTIMOS[[#This Row],[Etapa Ingreso - Cita]]="","",MARÍTIMOS[[#This Row],[Etapa Ingreso - Cita]]),"")</f>
        <v/>
      </c>
      <c r="AI438" s="11" t="str">
        <f>IFERROR(IF(MARÍTIMOS[[#This Row],[Etapa Ingreso - Llegada]]="","",MARÍTIMOS[[#This Row],[Etapa Ingreso - Llegada]]),"")</f>
        <v/>
      </c>
      <c r="AJ438" s="11" t="str">
        <f>IFERROR(IF(MARÍTIMOS[[#This Row],[Etapa Ingreso - Ingeso]]="","",MARÍTIMOS[[#This Row],[Etapa Ingreso - Ingeso]]),"")</f>
        <v/>
      </c>
      <c r="AK438" s="11" t="str">
        <f>IFERROR(IF(MARÍTIMOS[[#This Row],[Etapa Ingreso - Atención]]="","",MARÍTIMOS[[#This Row],[Etapa Ingreso - Atención]]),"")</f>
        <v/>
      </c>
      <c r="AL438" s="11" t="str">
        <f>IFERROR(IF(MARÍTIMOS[[#This Row],[Etapa Ingreso - Salida]]="","",MARÍTIMOS[[#This Row],[Etapa Ingreso - Salida]]),"")</f>
        <v/>
      </c>
      <c r="AM438" s="2" t="str">
        <f>IFERROR(IF(MARÍTIMOS[[#This Row],[FCL]]="","",MARÍTIMOS[[#This Row],[FCL]]),"")</f>
        <v/>
      </c>
      <c r="AN4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38" s="4" t="str" cm="1">
        <f t="array" ref="AO4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38" s="5" t="str">
        <f>IFERROR(OLDBD[[#This Row],[Llegada a packing]]-OLDBD[[#This Row],[Inicio de Ruta]],"")</f>
        <v/>
      </c>
      <c r="AQ438" s="6" t="str">
        <f>IFERROR(OLDBD[[#This Row],[Inicio de Ruta]]-OLDBD[[#This Row],[Salida de almacén de retiro]],"")</f>
        <v/>
      </c>
      <c r="AR4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38" s="8" t="str" cm="1">
        <f t="array" ref="AS4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38" s="9" t="str">
        <f>IFERROR(OLDBD[[#This Row],[Ingreso Packing]]-OLDBD[[#This Row],[Registro en Packing]],"")</f>
        <v/>
      </c>
      <c r="AV438" s="9" t="str">
        <f>IFERROR(OLDBD[[#This Row],[Ingreso Packing]]-OLDBD[[#This Row],[Llegada a packing]],"")</f>
        <v/>
      </c>
      <c r="AW4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8" s="5" t="str">
        <f>IFERROR(OLDBD[[#This Row],[Llegada Almacén de Ingreso]]-OLDBD[[#This Row],[Salida Packing]],"")</f>
        <v/>
      </c>
      <c r="AY438" s="4" t="str" cm="1">
        <f t="array" ref="AY4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38" s="43" t="s">
        <v>173</v>
      </c>
      <c r="BB438" s="47" t="str">
        <f>IFERROR(IF(MARÍTIMOS[[#This Row],[Estatus]]="","",MARÍTIMOS[[#This Row],[Estatus]]),"")</f>
        <v/>
      </c>
      <c r="BC438" s="43"/>
      <c r="BD438" s="46" t="str">
        <f>IFERROR(OLDBD[[#This Row],[Salida de almacén de retiro]]-OLDBD[[#This Row],[Ingreso Almacén de retiro]],"")</f>
        <v/>
      </c>
      <c r="BE438" s="46" t="str">
        <f>IFERROR(OLDBD[[#This Row],[Fin de Carga]]-OLDBD[[#This Row],[Inicio de Carga]],"")</f>
        <v/>
      </c>
    </row>
    <row r="439" spans="1:57" customFormat="1" hidden="1">
      <c r="A439" s="1"/>
      <c r="B439" s="1" t="str">
        <f>IFERROR(IF(MARÍTIMOS[[#This Row],[PP]]="","",MARÍTIMOS[[#This Row],[PP]]),"")</f>
        <v/>
      </c>
      <c r="C439" s="1" t="str">
        <f>IFERROR(IF(MARÍTIMOS[[#This Row],[Sede]]="","",MARÍTIMOS[[#This Row],[Sede]]),"")</f>
        <v/>
      </c>
      <c r="D439" s="1" t="str">
        <f>IFERROR(IF(MARÍTIMOS[[#This Row],[Instruction]]="","",MARÍTIMOS[[#This Row],[Instruction]]),"")</f>
        <v/>
      </c>
      <c r="E439" s="1"/>
      <c r="F439" s="2" t="str">
        <f>IFERROR(IF(MARÍTIMOS[[#This Row],[Transportista]]="","",MARÍTIMOS[[#This Row],[Transportista]]),"")</f>
        <v/>
      </c>
      <c r="G439" s="2" t="str">
        <f>IFERROR(IF(MARÍTIMOS[[#This Row],[Tercero]]="","",MARÍTIMOS[[#This Row],[Tercero]]),"")</f>
        <v/>
      </c>
      <c r="H439" s="2" t="str">
        <f>IFERROR(IF(MARÍTIMOS[[#This Row],[Razón Social]]="","",MARÍTIMOS[[#This Row],[Razón Social]]),"")</f>
        <v/>
      </c>
      <c r="I439" s="2" t="str">
        <f>IFERROR(IF(MARÍTIMOS[[#This Row],[RUC]]="","",MARÍTIMOS[[#This Row],[RUC]]),"")</f>
        <v/>
      </c>
      <c r="J439" s="2" t="str">
        <f>IFERROR(IF(MARÍTIMOS[[#This Row],[Placa Tracto]]="","",MARÍTIMOS[[#This Row],[Placa Tracto]]),"")</f>
        <v/>
      </c>
      <c r="K439" s="2" t="str">
        <f>IFERROR(IF(MARÍTIMOS[[#This Row],[Placa Carreta]]="","",MARÍTIMOS[[#This Row],[Placa Carreta]]),"")</f>
        <v/>
      </c>
      <c r="L439" s="44" t="str">
        <f>IFERROR(IF(MARÍTIMOS[[#This Row],[Conductor]]="","",MARÍTIMOS[[#This Row],[Conductor]]),"")</f>
        <v/>
      </c>
      <c r="M439" s="2" t="str">
        <f>IFERROR(IF(MARÍTIMOS[[#This Row],[Licencia]]="","",MARÍTIMOS[[#This Row],[Licencia]]),"")</f>
        <v/>
      </c>
      <c r="N439" s="2" t="str">
        <f>IFERROR(IF(MARÍTIMOS[[#This Row],[Número de Contacto]]="","",MARÍTIMOS[[#This Row],[Número de Contacto]]),"")</f>
        <v/>
      </c>
      <c r="O439" s="10" t="str">
        <f>IFERROR(IF(MARÍTIMOS[[#This Row],[Booking|AWB|CRT]]="","",MARÍTIMOS[[#This Row],[Booking|AWB|CRT]]),"")</f>
        <v/>
      </c>
      <c r="P439" s="2" t="str">
        <f>IFERROR(IF(MARÍTIMOS[[#This Row],[Contenedor]]="","",MARÍTIMOS[[#This Row],[Contenedor]]),"")</f>
        <v/>
      </c>
      <c r="Q439" s="2" t="str">
        <f>IFERROR(IF(MARÍTIMOS[[#This Row],[Puerto de Retiro]]="","",MARÍTIMOS[[#This Row],[Puerto de Retiro]]),"")</f>
        <v/>
      </c>
      <c r="R439" s="2" t="str">
        <f>IFERROR(IF(MARÍTIMOS[[#This Row],[Almacén de Retiro]]="","",MARÍTIMOS[[#This Row],[Almacén de Retiro]]),"")</f>
        <v/>
      </c>
      <c r="S439" s="11" t="str">
        <f>IFERROR(IF(MARÍTIMOS[[#This Row],[Etapa Retiro - Cita]]="","",MARÍTIMOS[[#This Row],[Etapa Retiro - Cita]]),"")</f>
        <v/>
      </c>
      <c r="T439" s="11" t="str">
        <f>IFERROR(IF(MARÍTIMOS[[#This Row],[Etapa Retiro - Llegada]]="","",MARÍTIMOS[[#This Row],[Etapa Retiro - Llegada]]),"")</f>
        <v/>
      </c>
      <c r="U439" s="11" t="str">
        <f>IFERROR(IF(MARÍTIMOS[[#This Row],[Etapa Retiro - Ingreso]]="","",MARÍTIMOS[[#This Row],[Etapa Retiro - Ingreso]]),"")</f>
        <v/>
      </c>
      <c r="V439" s="11" t="str">
        <f>IFERROR(IF(MARÍTIMOS[[#This Row],[Etapa Retiro - Atención]]="","",MARÍTIMOS[[#This Row],[Etapa Retiro - Atención]]),"")</f>
        <v/>
      </c>
      <c r="W439" s="11" t="str">
        <f>IFERROR(IF(MARÍTIMOS[[#This Row],[Etapa Retiro - Atención]]="","",MARÍTIMOS[[#This Row],[Etapa Retiro - Atención]]),"")</f>
        <v/>
      </c>
      <c r="X439" s="11" t="str">
        <f>IFERROR(IF(MARÍTIMOS[[#This Row],[Etapa Retiro - Inicio de Ruta]]="","",MARÍTIMOS[[#This Row],[Etapa Retiro - Inicio de Ruta]]),"")</f>
        <v/>
      </c>
      <c r="Y439" s="11" t="str">
        <f>IFERROR(IF(MARÍTIMOS[[#This Row],[Hora de Posicionamiento]]="","",MARÍTIMOS[[#This Row],[Fecha de Carga]]+MARÍTIMOS[[#This Row],[Hora de Posicionamiento]]),"")</f>
        <v/>
      </c>
      <c r="Z439" s="11" t="str">
        <f>IFERROR(IF(MARÍTIMOS[[#This Row],[Etapa Despacho - Llegada]]="","",MARÍTIMOS[[#This Row],[Etapa Despacho - Llegada]]),"")</f>
        <v/>
      </c>
      <c r="AA439" s="11" t="str">
        <f>IFERROR(IF(MARÍTIMOS[[#This Row],[Etapa Despacho - Registro]]="","",MARÍTIMOS[[#This Row],[Etapa Despacho - Registro]]),"")</f>
        <v/>
      </c>
      <c r="AB439" s="11" t="str">
        <f>IFERROR(IF(MARÍTIMOS[[#This Row],[Inspección Externa]]="","",MARÍTIMOS[[#This Row],[Inspección Externa]]),"")</f>
        <v/>
      </c>
      <c r="AC439" s="11" t="str">
        <f>IFERROR(IF(MARÍTIMOS[[#This Row],[Etapa Despacho - Inicio de Carga]]="","",MARÍTIMOS[[#This Row],[Etapa Despacho - Inicio de Carga]]),"")</f>
        <v/>
      </c>
      <c r="AD439" s="11" t="str">
        <f>IFERROR(IF(MARÍTIMOS[[#This Row],[Etapa Despacho - Mitad de Carga]]="","",MARÍTIMOS[[#This Row],[Etapa Despacho - Mitad de Carga]]),"")</f>
        <v/>
      </c>
      <c r="AE439" s="11" t="str">
        <f>IFERROR(IF(MARÍTIMOS[[#This Row],[Etapa Despacho - Fin de Carga]]="","",MARÍTIMOS[[#This Row],[Etapa Despacho - Fin de Carga]]),"")</f>
        <v/>
      </c>
      <c r="AF439" s="2" t="str">
        <f>IFERROR(IF(MARÍTIMOS[[#This Row],[Puerto de Embarque]]="","",MARÍTIMOS[[#This Row],[Puerto de Embarque]]),"")</f>
        <v/>
      </c>
      <c r="AG439" s="2" t="str">
        <f>IFERROR(IF(MARÍTIMOS[[#This Row],[Almacén de Ingreso]]="","",MARÍTIMOS[[#This Row],[Almacén de Ingreso]]),"")</f>
        <v/>
      </c>
      <c r="AH439" s="11" t="str">
        <f>IFERROR(IF(MARÍTIMOS[[#This Row],[Etapa Ingreso - Cita]]="","",MARÍTIMOS[[#This Row],[Etapa Ingreso - Cita]]),"")</f>
        <v/>
      </c>
      <c r="AI439" s="11" t="str">
        <f>IFERROR(IF(MARÍTIMOS[[#This Row],[Etapa Ingreso - Llegada]]="","",MARÍTIMOS[[#This Row],[Etapa Ingreso - Llegada]]),"")</f>
        <v/>
      </c>
      <c r="AJ439" s="11" t="str">
        <f>IFERROR(IF(MARÍTIMOS[[#This Row],[Etapa Ingreso - Ingeso]]="","",MARÍTIMOS[[#This Row],[Etapa Ingreso - Ingeso]]),"")</f>
        <v/>
      </c>
      <c r="AK439" s="11" t="str">
        <f>IFERROR(IF(MARÍTIMOS[[#This Row],[Etapa Ingreso - Atención]]="","",MARÍTIMOS[[#This Row],[Etapa Ingreso - Atención]]),"")</f>
        <v/>
      </c>
      <c r="AL439" s="11" t="str">
        <f>IFERROR(IF(MARÍTIMOS[[#This Row],[Etapa Ingreso - Salida]]="","",MARÍTIMOS[[#This Row],[Etapa Ingreso - Salida]]),"")</f>
        <v/>
      </c>
      <c r="AM439" s="2" t="str">
        <f>IFERROR(IF(MARÍTIMOS[[#This Row],[FCL]]="","",MARÍTIMOS[[#This Row],[FCL]]),"")</f>
        <v/>
      </c>
      <c r="AN4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39" s="4" t="str" cm="1">
        <f t="array" ref="AO4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39" s="5" t="str">
        <f>IFERROR(OLDBD[[#This Row],[Llegada a packing]]-OLDBD[[#This Row],[Inicio de Ruta]],"")</f>
        <v/>
      </c>
      <c r="AQ439" s="6" t="str">
        <f>IFERROR(OLDBD[[#This Row],[Inicio de Ruta]]-OLDBD[[#This Row],[Salida de almacén de retiro]],"")</f>
        <v/>
      </c>
      <c r="AR4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39" s="8" t="str" cm="1">
        <f t="array" ref="AS4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39" s="9" t="str">
        <f>IFERROR(OLDBD[[#This Row],[Ingreso Packing]]-OLDBD[[#This Row],[Registro en Packing]],"")</f>
        <v/>
      </c>
      <c r="AV439" s="9" t="str">
        <f>IFERROR(OLDBD[[#This Row],[Ingreso Packing]]-OLDBD[[#This Row],[Llegada a packing]],"")</f>
        <v/>
      </c>
      <c r="AW4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39" s="5" t="str">
        <f>IFERROR(OLDBD[[#This Row],[Llegada Almacén de Ingreso]]-OLDBD[[#This Row],[Salida Packing]],"")</f>
        <v/>
      </c>
      <c r="AY439" s="4" t="str" cm="1">
        <f t="array" ref="AY4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39" s="43" t="s">
        <v>173</v>
      </c>
      <c r="BB439" s="47" t="str">
        <f>IFERROR(IF(MARÍTIMOS[[#This Row],[Estatus]]="","",MARÍTIMOS[[#This Row],[Estatus]]),"")</f>
        <v/>
      </c>
      <c r="BC439" s="43"/>
      <c r="BD439" s="46" t="str">
        <f>IFERROR(OLDBD[[#This Row],[Salida de almacén de retiro]]-OLDBD[[#This Row],[Ingreso Almacén de retiro]],"")</f>
        <v/>
      </c>
      <c r="BE439" s="46" t="str">
        <f>IFERROR(OLDBD[[#This Row],[Fin de Carga]]-OLDBD[[#This Row],[Inicio de Carga]],"")</f>
        <v/>
      </c>
    </row>
    <row r="440" spans="1:57" customFormat="1" hidden="1">
      <c r="A440" s="1"/>
      <c r="B440" s="1" t="str">
        <f>IFERROR(IF(MARÍTIMOS[[#This Row],[PP]]="","",MARÍTIMOS[[#This Row],[PP]]),"")</f>
        <v/>
      </c>
      <c r="C440" s="1" t="str">
        <f>IFERROR(IF(MARÍTIMOS[[#This Row],[Sede]]="","",MARÍTIMOS[[#This Row],[Sede]]),"")</f>
        <v/>
      </c>
      <c r="D440" s="1" t="str">
        <f>IFERROR(IF(MARÍTIMOS[[#This Row],[Instruction]]="","",MARÍTIMOS[[#This Row],[Instruction]]),"")</f>
        <v/>
      </c>
      <c r="E440" s="1"/>
      <c r="F440" s="2" t="str">
        <f>IFERROR(IF(MARÍTIMOS[[#This Row],[Transportista]]="","",MARÍTIMOS[[#This Row],[Transportista]]),"")</f>
        <v/>
      </c>
      <c r="G440" s="2" t="str">
        <f>IFERROR(IF(MARÍTIMOS[[#This Row],[Tercero]]="","",MARÍTIMOS[[#This Row],[Tercero]]),"")</f>
        <v/>
      </c>
      <c r="H440" s="2" t="str">
        <f>IFERROR(IF(MARÍTIMOS[[#This Row],[Razón Social]]="","",MARÍTIMOS[[#This Row],[Razón Social]]),"")</f>
        <v/>
      </c>
      <c r="I440" s="2" t="str">
        <f>IFERROR(IF(MARÍTIMOS[[#This Row],[RUC]]="","",MARÍTIMOS[[#This Row],[RUC]]),"")</f>
        <v/>
      </c>
      <c r="J440" s="2" t="str">
        <f>IFERROR(IF(MARÍTIMOS[[#This Row],[Placa Tracto]]="","",MARÍTIMOS[[#This Row],[Placa Tracto]]),"")</f>
        <v/>
      </c>
      <c r="K440" s="2" t="str">
        <f>IFERROR(IF(MARÍTIMOS[[#This Row],[Placa Carreta]]="","",MARÍTIMOS[[#This Row],[Placa Carreta]]),"")</f>
        <v/>
      </c>
      <c r="L440" s="44" t="str">
        <f>IFERROR(IF(MARÍTIMOS[[#This Row],[Conductor]]="","",MARÍTIMOS[[#This Row],[Conductor]]),"")</f>
        <v/>
      </c>
      <c r="M440" s="2" t="str">
        <f>IFERROR(IF(MARÍTIMOS[[#This Row],[Licencia]]="","",MARÍTIMOS[[#This Row],[Licencia]]),"")</f>
        <v/>
      </c>
      <c r="N440" s="2" t="str">
        <f>IFERROR(IF(MARÍTIMOS[[#This Row],[Número de Contacto]]="","",MARÍTIMOS[[#This Row],[Número de Contacto]]),"")</f>
        <v/>
      </c>
      <c r="O440" s="10" t="str">
        <f>IFERROR(IF(MARÍTIMOS[[#This Row],[Booking|AWB|CRT]]="","",MARÍTIMOS[[#This Row],[Booking|AWB|CRT]]),"")</f>
        <v/>
      </c>
      <c r="P440" s="2" t="str">
        <f>IFERROR(IF(MARÍTIMOS[[#This Row],[Contenedor]]="","",MARÍTIMOS[[#This Row],[Contenedor]]),"")</f>
        <v/>
      </c>
      <c r="Q440" s="2" t="str">
        <f>IFERROR(IF(MARÍTIMOS[[#This Row],[Puerto de Retiro]]="","",MARÍTIMOS[[#This Row],[Puerto de Retiro]]),"")</f>
        <v/>
      </c>
      <c r="R440" s="2" t="str">
        <f>IFERROR(IF(MARÍTIMOS[[#This Row],[Almacén de Retiro]]="","",MARÍTIMOS[[#This Row],[Almacén de Retiro]]),"")</f>
        <v/>
      </c>
      <c r="S440" s="11" t="str">
        <f>IFERROR(IF(MARÍTIMOS[[#This Row],[Etapa Retiro - Cita]]="","",MARÍTIMOS[[#This Row],[Etapa Retiro - Cita]]),"")</f>
        <v/>
      </c>
      <c r="T440" s="11" t="str">
        <f>IFERROR(IF(MARÍTIMOS[[#This Row],[Etapa Retiro - Llegada]]="","",MARÍTIMOS[[#This Row],[Etapa Retiro - Llegada]]),"")</f>
        <v/>
      </c>
      <c r="U440" s="11" t="str">
        <f>IFERROR(IF(MARÍTIMOS[[#This Row],[Etapa Retiro - Ingreso]]="","",MARÍTIMOS[[#This Row],[Etapa Retiro - Ingreso]]),"")</f>
        <v/>
      </c>
      <c r="V440" s="11" t="str">
        <f>IFERROR(IF(MARÍTIMOS[[#This Row],[Etapa Retiro - Atención]]="","",MARÍTIMOS[[#This Row],[Etapa Retiro - Atención]]),"")</f>
        <v/>
      </c>
      <c r="W440" s="11" t="str">
        <f>IFERROR(IF(MARÍTIMOS[[#This Row],[Etapa Retiro - Atención]]="","",MARÍTIMOS[[#This Row],[Etapa Retiro - Atención]]),"")</f>
        <v/>
      </c>
      <c r="X440" s="11" t="str">
        <f>IFERROR(IF(MARÍTIMOS[[#This Row],[Etapa Retiro - Inicio de Ruta]]="","",MARÍTIMOS[[#This Row],[Etapa Retiro - Inicio de Ruta]]),"")</f>
        <v/>
      </c>
      <c r="Y440" s="11" t="str">
        <f>IFERROR(IF(MARÍTIMOS[[#This Row],[Hora de Posicionamiento]]="","",MARÍTIMOS[[#This Row],[Fecha de Carga]]+MARÍTIMOS[[#This Row],[Hora de Posicionamiento]]),"")</f>
        <v/>
      </c>
      <c r="Z440" s="11" t="str">
        <f>IFERROR(IF(MARÍTIMOS[[#This Row],[Etapa Despacho - Llegada]]="","",MARÍTIMOS[[#This Row],[Etapa Despacho - Llegada]]),"")</f>
        <v/>
      </c>
      <c r="AA440" s="11" t="str">
        <f>IFERROR(IF(MARÍTIMOS[[#This Row],[Etapa Despacho - Registro]]="","",MARÍTIMOS[[#This Row],[Etapa Despacho - Registro]]),"")</f>
        <v/>
      </c>
      <c r="AB440" s="11" t="str">
        <f>IFERROR(IF(MARÍTIMOS[[#This Row],[Inspección Externa]]="","",MARÍTIMOS[[#This Row],[Inspección Externa]]),"")</f>
        <v/>
      </c>
      <c r="AC440" s="11" t="str">
        <f>IFERROR(IF(MARÍTIMOS[[#This Row],[Etapa Despacho - Inicio de Carga]]="","",MARÍTIMOS[[#This Row],[Etapa Despacho - Inicio de Carga]]),"")</f>
        <v/>
      </c>
      <c r="AD440" s="11" t="str">
        <f>IFERROR(IF(MARÍTIMOS[[#This Row],[Etapa Despacho - Mitad de Carga]]="","",MARÍTIMOS[[#This Row],[Etapa Despacho - Mitad de Carga]]),"")</f>
        <v/>
      </c>
      <c r="AE440" s="11" t="str">
        <f>IFERROR(IF(MARÍTIMOS[[#This Row],[Etapa Despacho - Fin de Carga]]="","",MARÍTIMOS[[#This Row],[Etapa Despacho - Fin de Carga]]),"")</f>
        <v/>
      </c>
      <c r="AF440" s="2" t="str">
        <f>IFERROR(IF(MARÍTIMOS[[#This Row],[Puerto de Embarque]]="","",MARÍTIMOS[[#This Row],[Puerto de Embarque]]),"")</f>
        <v/>
      </c>
      <c r="AG440" s="2" t="str">
        <f>IFERROR(IF(MARÍTIMOS[[#This Row],[Almacén de Ingreso]]="","",MARÍTIMOS[[#This Row],[Almacén de Ingreso]]),"")</f>
        <v/>
      </c>
      <c r="AH440" s="11" t="str">
        <f>IFERROR(IF(MARÍTIMOS[[#This Row],[Etapa Ingreso - Cita]]="","",MARÍTIMOS[[#This Row],[Etapa Ingreso - Cita]]),"")</f>
        <v/>
      </c>
      <c r="AI440" s="11" t="str">
        <f>IFERROR(IF(MARÍTIMOS[[#This Row],[Etapa Ingreso - Llegada]]="","",MARÍTIMOS[[#This Row],[Etapa Ingreso - Llegada]]),"")</f>
        <v/>
      </c>
      <c r="AJ440" s="11" t="str">
        <f>IFERROR(IF(MARÍTIMOS[[#This Row],[Etapa Ingreso - Ingeso]]="","",MARÍTIMOS[[#This Row],[Etapa Ingreso - Ingeso]]),"")</f>
        <v/>
      </c>
      <c r="AK440" s="11" t="str">
        <f>IFERROR(IF(MARÍTIMOS[[#This Row],[Etapa Ingreso - Atención]]="","",MARÍTIMOS[[#This Row],[Etapa Ingreso - Atención]]),"")</f>
        <v/>
      </c>
      <c r="AL440" s="11" t="str">
        <f>IFERROR(IF(MARÍTIMOS[[#This Row],[Etapa Ingreso - Salida]]="","",MARÍTIMOS[[#This Row],[Etapa Ingreso - Salida]]),"")</f>
        <v/>
      </c>
      <c r="AM440" s="2" t="str">
        <f>IFERROR(IF(MARÍTIMOS[[#This Row],[FCL]]="","",MARÍTIMOS[[#This Row],[FCL]]),"")</f>
        <v/>
      </c>
      <c r="AN4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0" s="4" t="str" cm="1">
        <f t="array" ref="AO4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0" s="5" t="str">
        <f>IFERROR(OLDBD[[#This Row],[Llegada a packing]]-OLDBD[[#This Row],[Inicio de Ruta]],"")</f>
        <v/>
      </c>
      <c r="AQ440" s="6" t="str">
        <f>IFERROR(OLDBD[[#This Row],[Inicio de Ruta]]-OLDBD[[#This Row],[Salida de almacén de retiro]],"")</f>
        <v/>
      </c>
      <c r="AR4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0" s="8" t="str" cm="1">
        <f t="array" ref="AS4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0" s="9" t="str">
        <f>IFERROR(OLDBD[[#This Row],[Ingreso Packing]]-OLDBD[[#This Row],[Registro en Packing]],"")</f>
        <v/>
      </c>
      <c r="AV440" s="9" t="str">
        <f>IFERROR(OLDBD[[#This Row],[Ingreso Packing]]-OLDBD[[#This Row],[Llegada a packing]],"")</f>
        <v/>
      </c>
      <c r="AW4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0" s="5" t="str">
        <f>IFERROR(OLDBD[[#This Row],[Llegada Almacén de Ingreso]]-OLDBD[[#This Row],[Salida Packing]],"")</f>
        <v/>
      </c>
      <c r="AY440" s="4" t="str" cm="1">
        <f t="array" ref="AY4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0" s="43" t="s">
        <v>173</v>
      </c>
      <c r="BB440" s="47" t="str">
        <f>IFERROR(IF(MARÍTIMOS[[#This Row],[Estatus]]="","",MARÍTIMOS[[#This Row],[Estatus]]),"")</f>
        <v/>
      </c>
      <c r="BC440" s="43"/>
      <c r="BD440" s="46" t="str">
        <f>IFERROR(OLDBD[[#This Row],[Salida de almacén de retiro]]-OLDBD[[#This Row],[Ingreso Almacén de retiro]],"")</f>
        <v/>
      </c>
      <c r="BE440" s="46" t="str">
        <f>IFERROR(OLDBD[[#This Row],[Fin de Carga]]-OLDBD[[#This Row],[Inicio de Carga]],"")</f>
        <v/>
      </c>
    </row>
    <row r="441" spans="1:57" customFormat="1" hidden="1">
      <c r="A441" s="1"/>
      <c r="B441" s="1" t="str">
        <f>IFERROR(IF(MARÍTIMOS[[#This Row],[PP]]="","",MARÍTIMOS[[#This Row],[PP]]),"")</f>
        <v/>
      </c>
      <c r="C441" s="1" t="str">
        <f>IFERROR(IF(MARÍTIMOS[[#This Row],[Sede]]="","",MARÍTIMOS[[#This Row],[Sede]]),"")</f>
        <v/>
      </c>
      <c r="D441" s="1" t="str">
        <f>IFERROR(IF(MARÍTIMOS[[#This Row],[Instruction]]="","",MARÍTIMOS[[#This Row],[Instruction]]),"")</f>
        <v/>
      </c>
      <c r="E441" s="1"/>
      <c r="F441" s="2" t="str">
        <f>IFERROR(IF(MARÍTIMOS[[#This Row],[Transportista]]="","",MARÍTIMOS[[#This Row],[Transportista]]),"")</f>
        <v/>
      </c>
      <c r="G441" s="2" t="str">
        <f>IFERROR(IF(MARÍTIMOS[[#This Row],[Tercero]]="","",MARÍTIMOS[[#This Row],[Tercero]]),"")</f>
        <v/>
      </c>
      <c r="H441" s="2" t="str">
        <f>IFERROR(IF(MARÍTIMOS[[#This Row],[Razón Social]]="","",MARÍTIMOS[[#This Row],[Razón Social]]),"")</f>
        <v/>
      </c>
      <c r="I441" s="2" t="str">
        <f>IFERROR(IF(MARÍTIMOS[[#This Row],[RUC]]="","",MARÍTIMOS[[#This Row],[RUC]]),"")</f>
        <v/>
      </c>
      <c r="J441" s="2" t="str">
        <f>IFERROR(IF(MARÍTIMOS[[#This Row],[Placa Tracto]]="","",MARÍTIMOS[[#This Row],[Placa Tracto]]),"")</f>
        <v/>
      </c>
      <c r="K441" s="2" t="str">
        <f>IFERROR(IF(MARÍTIMOS[[#This Row],[Placa Carreta]]="","",MARÍTIMOS[[#This Row],[Placa Carreta]]),"")</f>
        <v/>
      </c>
      <c r="L441" s="44" t="str">
        <f>IFERROR(IF(MARÍTIMOS[[#This Row],[Conductor]]="","",MARÍTIMOS[[#This Row],[Conductor]]),"")</f>
        <v/>
      </c>
      <c r="M441" s="2" t="str">
        <f>IFERROR(IF(MARÍTIMOS[[#This Row],[Licencia]]="","",MARÍTIMOS[[#This Row],[Licencia]]),"")</f>
        <v/>
      </c>
      <c r="N441" s="2" t="str">
        <f>IFERROR(IF(MARÍTIMOS[[#This Row],[Número de Contacto]]="","",MARÍTIMOS[[#This Row],[Número de Contacto]]),"")</f>
        <v/>
      </c>
      <c r="O441" s="10" t="str">
        <f>IFERROR(IF(MARÍTIMOS[[#This Row],[Booking|AWB|CRT]]="","",MARÍTIMOS[[#This Row],[Booking|AWB|CRT]]),"")</f>
        <v/>
      </c>
      <c r="P441" s="2" t="str">
        <f>IFERROR(IF(MARÍTIMOS[[#This Row],[Contenedor]]="","",MARÍTIMOS[[#This Row],[Contenedor]]),"")</f>
        <v/>
      </c>
      <c r="Q441" s="2" t="str">
        <f>IFERROR(IF(MARÍTIMOS[[#This Row],[Puerto de Retiro]]="","",MARÍTIMOS[[#This Row],[Puerto de Retiro]]),"")</f>
        <v/>
      </c>
      <c r="R441" s="2" t="str">
        <f>IFERROR(IF(MARÍTIMOS[[#This Row],[Almacén de Retiro]]="","",MARÍTIMOS[[#This Row],[Almacén de Retiro]]),"")</f>
        <v/>
      </c>
      <c r="S441" s="11" t="str">
        <f>IFERROR(IF(MARÍTIMOS[[#This Row],[Etapa Retiro - Cita]]="","",MARÍTIMOS[[#This Row],[Etapa Retiro - Cita]]),"")</f>
        <v/>
      </c>
      <c r="T441" s="11" t="str">
        <f>IFERROR(IF(MARÍTIMOS[[#This Row],[Etapa Retiro - Llegada]]="","",MARÍTIMOS[[#This Row],[Etapa Retiro - Llegada]]),"")</f>
        <v/>
      </c>
      <c r="U441" s="11" t="str">
        <f>IFERROR(IF(MARÍTIMOS[[#This Row],[Etapa Retiro - Ingreso]]="","",MARÍTIMOS[[#This Row],[Etapa Retiro - Ingreso]]),"")</f>
        <v/>
      </c>
      <c r="V441" s="11" t="str">
        <f>IFERROR(IF(MARÍTIMOS[[#This Row],[Etapa Retiro - Atención]]="","",MARÍTIMOS[[#This Row],[Etapa Retiro - Atención]]),"")</f>
        <v/>
      </c>
      <c r="W441" s="11" t="str">
        <f>IFERROR(IF(MARÍTIMOS[[#This Row],[Etapa Retiro - Atención]]="","",MARÍTIMOS[[#This Row],[Etapa Retiro - Atención]]),"")</f>
        <v/>
      </c>
      <c r="X441" s="11" t="str">
        <f>IFERROR(IF(MARÍTIMOS[[#This Row],[Etapa Retiro - Inicio de Ruta]]="","",MARÍTIMOS[[#This Row],[Etapa Retiro - Inicio de Ruta]]),"")</f>
        <v/>
      </c>
      <c r="Y441" s="11" t="str">
        <f>IFERROR(IF(MARÍTIMOS[[#This Row],[Hora de Posicionamiento]]="","",MARÍTIMOS[[#This Row],[Fecha de Carga]]+MARÍTIMOS[[#This Row],[Hora de Posicionamiento]]),"")</f>
        <v/>
      </c>
      <c r="Z441" s="11" t="str">
        <f>IFERROR(IF(MARÍTIMOS[[#This Row],[Etapa Despacho - Llegada]]="","",MARÍTIMOS[[#This Row],[Etapa Despacho - Llegada]]),"")</f>
        <v/>
      </c>
      <c r="AA441" s="11" t="str">
        <f>IFERROR(IF(MARÍTIMOS[[#This Row],[Etapa Despacho - Registro]]="","",MARÍTIMOS[[#This Row],[Etapa Despacho - Registro]]),"")</f>
        <v/>
      </c>
      <c r="AB441" s="11" t="str">
        <f>IFERROR(IF(MARÍTIMOS[[#This Row],[Inspección Externa]]="","",MARÍTIMOS[[#This Row],[Inspección Externa]]),"")</f>
        <v/>
      </c>
      <c r="AC441" s="11" t="str">
        <f>IFERROR(IF(MARÍTIMOS[[#This Row],[Etapa Despacho - Inicio de Carga]]="","",MARÍTIMOS[[#This Row],[Etapa Despacho - Inicio de Carga]]),"")</f>
        <v/>
      </c>
      <c r="AD441" s="11" t="str">
        <f>IFERROR(IF(MARÍTIMOS[[#This Row],[Etapa Despacho - Mitad de Carga]]="","",MARÍTIMOS[[#This Row],[Etapa Despacho - Mitad de Carga]]),"")</f>
        <v/>
      </c>
      <c r="AE441" s="11" t="str">
        <f>IFERROR(IF(MARÍTIMOS[[#This Row],[Etapa Despacho - Fin de Carga]]="","",MARÍTIMOS[[#This Row],[Etapa Despacho - Fin de Carga]]),"")</f>
        <v/>
      </c>
      <c r="AF441" s="2" t="str">
        <f>IFERROR(IF(MARÍTIMOS[[#This Row],[Puerto de Embarque]]="","",MARÍTIMOS[[#This Row],[Puerto de Embarque]]),"")</f>
        <v/>
      </c>
      <c r="AG441" s="2" t="str">
        <f>IFERROR(IF(MARÍTIMOS[[#This Row],[Almacén de Ingreso]]="","",MARÍTIMOS[[#This Row],[Almacén de Ingreso]]),"")</f>
        <v/>
      </c>
      <c r="AH441" s="11" t="str">
        <f>IFERROR(IF(MARÍTIMOS[[#This Row],[Etapa Ingreso - Cita]]="","",MARÍTIMOS[[#This Row],[Etapa Ingreso - Cita]]),"")</f>
        <v/>
      </c>
      <c r="AI441" s="11" t="str">
        <f>IFERROR(IF(MARÍTIMOS[[#This Row],[Etapa Ingreso - Llegada]]="","",MARÍTIMOS[[#This Row],[Etapa Ingreso - Llegada]]),"")</f>
        <v/>
      </c>
      <c r="AJ441" s="11" t="str">
        <f>IFERROR(IF(MARÍTIMOS[[#This Row],[Etapa Ingreso - Ingeso]]="","",MARÍTIMOS[[#This Row],[Etapa Ingreso - Ingeso]]),"")</f>
        <v/>
      </c>
      <c r="AK441" s="11" t="str">
        <f>IFERROR(IF(MARÍTIMOS[[#This Row],[Etapa Ingreso - Atención]]="","",MARÍTIMOS[[#This Row],[Etapa Ingreso - Atención]]),"")</f>
        <v/>
      </c>
      <c r="AL441" s="11" t="str">
        <f>IFERROR(IF(MARÍTIMOS[[#This Row],[Etapa Ingreso - Salida]]="","",MARÍTIMOS[[#This Row],[Etapa Ingreso - Salida]]),"")</f>
        <v/>
      </c>
      <c r="AM441" s="2" t="str">
        <f>IFERROR(IF(MARÍTIMOS[[#This Row],[FCL]]="","",MARÍTIMOS[[#This Row],[FCL]]),"")</f>
        <v/>
      </c>
      <c r="AN4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1" s="4" t="str" cm="1">
        <f t="array" ref="AO4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1" s="5" t="str">
        <f>IFERROR(OLDBD[[#This Row],[Llegada a packing]]-OLDBD[[#This Row],[Inicio de Ruta]],"")</f>
        <v/>
      </c>
      <c r="AQ441" s="6" t="str">
        <f>IFERROR(OLDBD[[#This Row],[Inicio de Ruta]]-OLDBD[[#This Row],[Salida de almacén de retiro]],"")</f>
        <v/>
      </c>
      <c r="AR4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1" s="8" t="str" cm="1">
        <f t="array" ref="AS4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1" s="9" t="str">
        <f>IFERROR(OLDBD[[#This Row],[Ingreso Packing]]-OLDBD[[#This Row],[Registro en Packing]],"")</f>
        <v/>
      </c>
      <c r="AV441" s="9" t="str">
        <f>IFERROR(OLDBD[[#This Row],[Ingreso Packing]]-OLDBD[[#This Row],[Llegada a packing]],"")</f>
        <v/>
      </c>
      <c r="AW4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1" s="5" t="str">
        <f>IFERROR(OLDBD[[#This Row],[Llegada Almacén de Ingreso]]-OLDBD[[#This Row],[Salida Packing]],"")</f>
        <v/>
      </c>
      <c r="AY441" s="4" t="str" cm="1">
        <f t="array" ref="AY4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1" s="43" t="s">
        <v>173</v>
      </c>
      <c r="BB441" s="47" t="str">
        <f>IFERROR(IF(MARÍTIMOS[[#This Row],[Estatus]]="","",MARÍTIMOS[[#This Row],[Estatus]]),"")</f>
        <v/>
      </c>
      <c r="BC441" s="43"/>
      <c r="BD441" s="46" t="str">
        <f>IFERROR(OLDBD[[#This Row],[Salida de almacén de retiro]]-OLDBD[[#This Row],[Ingreso Almacén de retiro]],"")</f>
        <v/>
      </c>
      <c r="BE441" s="46" t="str">
        <f>IFERROR(OLDBD[[#This Row],[Fin de Carga]]-OLDBD[[#This Row],[Inicio de Carga]],"")</f>
        <v/>
      </c>
    </row>
    <row r="442" spans="1:57" customFormat="1" hidden="1">
      <c r="A442" s="1"/>
      <c r="B442" s="1" t="str">
        <f>IFERROR(IF(MARÍTIMOS[[#This Row],[PP]]="","",MARÍTIMOS[[#This Row],[PP]]),"")</f>
        <v/>
      </c>
      <c r="C442" s="1" t="str">
        <f>IFERROR(IF(MARÍTIMOS[[#This Row],[Sede]]="","",MARÍTIMOS[[#This Row],[Sede]]),"")</f>
        <v/>
      </c>
      <c r="D442" s="1" t="str">
        <f>IFERROR(IF(MARÍTIMOS[[#This Row],[Instruction]]="","",MARÍTIMOS[[#This Row],[Instruction]]),"")</f>
        <v/>
      </c>
      <c r="E442" s="1"/>
      <c r="F442" s="2" t="str">
        <f>IFERROR(IF(MARÍTIMOS[[#This Row],[Transportista]]="","",MARÍTIMOS[[#This Row],[Transportista]]),"")</f>
        <v/>
      </c>
      <c r="G442" s="2" t="str">
        <f>IFERROR(IF(MARÍTIMOS[[#This Row],[Tercero]]="","",MARÍTIMOS[[#This Row],[Tercero]]),"")</f>
        <v/>
      </c>
      <c r="H442" s="2" t="str">
        <f>IFERROR(IF(MARÍTIMOS[[#This Row],[Razón Social]]="","",MARÍTIMOS[[#This Row],[Razón Social]]),"")</f>
        <v/>
      </c>
      <c r="I442" s="2" t="str">
        <f>IFERROR(IF(MARÍTIMOS[[#This Row],[RUC]]="","",MARÍTIMOS[[#This Row],[RUC]]),"")</f>
        <v/>
      </c>
      <c r="J442" s="2" t="str">
        <f>IFERROR(IF(MARÍTIMOS[[#This Row],[Placa Tracto]]="","",MARÍTIMOS[[#This Row],[Placa Tracto]]),"")</f>
        <v/>
      </c>
      <c r="K442" s="2" t="str">
        <f>IFERROR(IF(MARÍTIMOS[[#This Row],[Placa Carreta]]="","",MARÍTIMOS[[#This Row],[Placa Carreta]]),"")</f>
        <v/>
      </c>
      <c r="L442" s="44" t="str">
        <f>IFERROR(IF(MARÍTIMOS[[#This Row],[Conductor]]="","",MARÍTIMOS[[#This Row],[Conductor]]),"")</f>
        <v/>
      </c>
      <c r="M442" s="2" t="str">
        <f>IFERROR(IF(MARÍTIMOS[[#This Row],[Licencia]]="","",MARÍTIMOS[[#This Row],[Licencia]]),"")</f>
        <v/>
      </c>
      <c r="N442" s="2" t="str">
        <f>IFERROR(IF(MARÍTIMOS[[#This Row],[Número de Contacto]]="","",MARÍTIMOS[[#This Row],[Número de Contacto]]),"")</f>
        <v/>
      </c>
      <c r="O442" s="10" t="str">
        <f>IFERROR(IF(MARÍTIMOS[[#This Row],[Booking|AWB|CRT]]="","",MARÍTIMOS[[#This Row],[Booking|AWB|CRT]]),"")</f>
        <v/>
      </c>
      <c r="P442" s="2" t="str">
        <f>IFERROR(IF(MARÍTIMOS[[#This Row],[Contenedor]]="","",MARÍTIMOS[[#This Row],[Contenedor]]),"")</f>
        <v/>
      </c>
      <c r="Q442" s="2" t="str">
        <f>IFERROR(IF(MARÍTIMOS[[#This Row],[Puerto de Retiro]]="","",MARÍTIMOS[[#This Row],[Puerto de Retiro]]),"")</f>
        <v/>
      </c>
      <c r="R442" s="2" t="str">
        <f>IFERROR(IF(MARÍTIMOS[[#This Row],[Almacén de Retiro]]="","",MARÍTIMOS[[#This Row],[Almacén de Retiro]]),"")</f>
        <v/>
      </c>
      <c r="S442" s="11" t="str">
        <f>IFERROR(IF(MARÍTIMOS[[#This Row],[Etapa Retiro - Cita]]="","",MARÍTIMOS[[#This Row],[Etapa Retiro - Cita]]),"")</f>
        <v/>
      </c>
      <c r="T442" s="11" t="str">
        <f>IFERROR(IF(MARÍTIMOS[[#This Row],[Etapa Retiro - Llegada]]="","",MARÍTIMOS[[#This Row],[Etapa Retiro - Llegada]]),"")</f>
        <v/>
      </c>
      <c r="U442" s="11" t="str">
        <f>IFERROR(IF(MARÍTIMOS[[#This Row],[Etapa Retiro - Ingreso]]="","",MARÍTIMOS[[#This Row],[Etapa Retiro - Ingreso]]),"")</f>
        <v/>
      </c>
      <c r="V442" s="11" t="str">
        <f>IFERROR(IF(MARÍTIMOS[[#This Row],[Etapa Retiro - Atención]]="","",MARÍTIMOS[[#This Row],[Etapa Retiro - Atención]]),"")</f>
        <v/>
      </c>
      <c r="W442" s="11" t="str">
        <f>IFERROR(IF(MARÍTIMOS[[#This Row],[Etapa Retiro - Atención]]="","",MARÍTIMOS[[#This Row],[Etapa Retiro - Atención]]),"")</f>
        <v/>
      </c>
      <c r="X442" s="11" t="str">
        <f>IFERROR(IF(MARÍTIMOS[[#This Row],[Etapa Retiro - Inicio de Ruta]]="","",MARÍTIMOS[[#This Row],[Etapa Retiro - Inicio de Ruta]]),"")</f>
        <v/>
      </c>
      <c r="Y442" s="11" t="str">
        <f>IFERROR(IF(MARÍTIMOS[[#This Row],[Hora de Posicionamiento]]="","",MARÍTIMOS[[#This Row],[Fecha de Carga]]+MARÍTIMOS[[#This Row],[Hora de Posicionamiento]]),"")</f>
        <v/>
      </c>
      <c r="Z442" s="11" t="str">
        <f>IFERROR(IF(MARÍTIMOS[[#This Row],[Etapa Despacho - Llegada]]="","",MARÍTIMOS[[#This Row],[Etapa Despacho - Llegada]]),"")</f>
        <v/>
      </c>
      <c r="AA442" s="11" t="str">
        <f>IFERROR(IF(MARÍTIMOS[[#This Row],[Etapa Despacho - Registro]]="","",MARÍTIMOS[[#This Row],[Etapa Despacho - Registro]]),"")</f>
        <v/>
      </c>
      <c r="AB442" s="11" t="str">
        <f>IFERROR(IF(MARÍTIMOS[[#This Row],[Inspección Externa]]="","",MARÍTIMOS[[#This Row],[Inspección Externa]]),"")</f>
        <v/>
      </c>
      <c r="AC442" s="11" t="str">
        <f>IFERROR(IF(MARÍTIMOS[[#This Row],[Etapa Despacho - Inicio de Carga]]="","",MARÍTIMOS[[#This Row],[Etapa Despacho - Inicio de Carga]]),"")</f>
        <v/>
      </c>
      <c r="AD442" s="11" t="str">
        <f>IFERROR(IF(MARÍTIMOS[[#This Row],[Etapa Despacho - Mitad de Carga]]="","",MARÍTIMOS[[#This Row],[Etapa Despacho - Mitad de Carga]]),"")</f>
        <v/>
      </c>
      <c r="AE442" s="11" t="str">
        <f>IFERROR(IF(MARÍTIMOS[[#This Row],[Etapa Despacho - Fin de Carga]]="","",MARÍTIMOS[[#This Row],[Etapa Despacho - Fin de Carga]]),"")</f>
        <v/>
      </c>
      <c r="AF442" s="2" t="str">
        <f>IFERROR(IF(MARÍTIMOS[[#This Row],[Puerto de Embarque]]="","",MARÍTIMOS[[#This Row],[Puerto de Embarque]]),"")</f>
        <v/>
      </c>
      <c r="AG442" s="2" t="str">
        <f>IFERROR(IF(MARÍTIMOS[[#This Row],[Almacén de Ingreso]]="","",MARÍTIMOS[[#This Row],[Almacén de Ingreso]]),"")</f>
        <v/>
      </c>
      <c r="AH442" s="11" t="str">
        <f>IFERROR(IF(MARÍTIMOS[[#This Row],[Etapa Ingreso - Cita]]="","",MARÍTIMOS[[#This Row],[Etapa Ingreso - Cita]]),"")</f>
        <v/>
      </c>
      <c r="AI442" s="11" t="str">
        <f>IFERROR(IF(MARÍTIMOS[[#This Row],[Etapa Ingreso - Llegada]]="","",MARÍTIMOS[[#This Row],[Etapa Ingreso - Llegada]]),"")</f>
        <v/>
      </c>
      <c r="AJ442" s="11" t="str">
        <f>IFERROR(IF(MARÍTIMOS[[#This Row],[Etapa Ingreso - Ingeso]]="","",MARÍTIMOS[[#This Row],[Etapa Ingreso - Ingeso]]),"")</f>
        <v/>
      </c>
      <c r="AK442" s="11" t="str">
        <f>IFERROR(IF(MARÍTIMOS[[#This Row],[Etapa Ingreso - Atención]]="","",MARÍTIMOS[[#This Row],[Etapa Ingreso - Atención]]),"")</f>
        <v/>
      </c>
      <c r="AL442" s="11" t="str">
        <f>IFERROR(IF(MARÍTIMOS[[#This Row],[Etapa Ingreso - Salida]]="","",MARÍTIMOS[[#This Row],[Etapa Ingreso - Salida]]),"")</f>
        <v/>
      </c>
      <c r="AM442" s="2" t="str">
        <f>IFERROR(IF(MARÍTIMOS[[#This Row],[FCL]]="","",MARÍTIMOS[[#This Row],[FCL]]),"")</f>
        <v/>
      </c>
      <c r="AN4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2" s="4" t="str" cm="1">
        <f t="array" ref="AO4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2" s="5" t="str">
        <f>IFERROR(OLDBD[[#This Row],[Llegada a packing]]-OLDBD[[#This Row],[Inicio de Ruta]],"")</f>
        <v/>
      </c>
      <c r="AQ442" s="6" t="str">
        <f>IFERROR(OLDBD[[#This Row],[Inicio de Ruta]]-OLDBD[[#This Row],[Salida de almacén de retiro]],"")</f>
        <v/>
      </c>
      <c r="AR4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2" s="8" t="str" cm="1">
        <f t="array" ref="AS4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2" s="9" t="str">
        <f>IFERROR(OLDBD[[#This Row],[Ingreso Packing]]-OLDBD[[#This Row],[Registro en Packing]],"")</f>
        <v/>
      </c>
      <c r="AV442" s="9" t="str">
        <f>IFERROR(OLDBD[[#This Row],[Ingreso Packing]]-OLDBD[[#This Row],[Llegada a packing]],"")</f>
        <v/>
      </c>
      <c r="AW4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2" s="5" t="str">
        <f>IFERROR(OLDBD[[#This Row],[Llegada Almacén de Ingreso]]-OLDBD[[#This Row],[Salida Packing]],"")</f>
        <v/>
      </c>
      <c r="AY442" s="4" t="str" cm="1">
        <f t="array" ref="AY4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2" s="43" t="s">
        <v>173</v>
      </c>
      <c r="BB442" s="47" t="str">
        <f>IFERROR(IF(MARÍTIMOS[[#This Row],[Estatus]]="","",MARÍTIMOS[[#This Row],[Estatus]]),"")</f>
        <v/>
      </c>
      <c r="BC442" s="43"/>
      <c r="BD442" s="46" t="str">
        <f>IFERROR(OLDBD[[#This Row],[Salida de almacén de retiro]]-OLDBD[[#This Row],[Ingreso Almacén de retiro]],"")</f>
        <v/>
      </c>
      <c r="BE442" s="46" t="str">
        <f>IFERROR(OLDBD[[#This Row],[Fin de Carga]]-OLDBD[[#This Row],[Inicio de Carga]],"")</f>
        <v/>
      </c>
    </row>
    <row r="443" spans="1:57" customFormat="1" hidden="1">
      <c r="A443" s="1"/>
      <c r="B443" s="1" t="str">
        <f>IFERROR(IF(MARÍTIMOS[[#This Row],[PP]]="","",MARÍTIMOS[[#This Row],[PP]]),"")</f>
        <v/>
      </c>
      <c r="C443" s="1" t="str">
        <f>IFERROR(IF(MARÍTIMOS[[#This Row],[Sede]]="","",MARÍTIMOS[[#This Row],[Sede]]),"")</f>
        <v/>
      </c>
      <c r="D443" s="1" t="str">
        <f>IFERROR(IF(MARÍTIMOS[[#This Row],[Instruction]]="","",MARÍTIMOS[[#This Row],[Instruction]]),"")</f>
        <v/>
      </c>
      <c r="E443" s="1"/>
      <c r="F443" s="2" t="str">
        <f>IFERROR(IF(MARÍTIMOS[[#This Row],[Transportista]]="","",MARÍTIMOS[[#This Row],[Transportista]]),"")</f>
        <v/>
      </c>
      <c r="G443" s="2" t="str">
        <f>IFERROR(IF(MARÍTIMOS[[#This Row],[Tercero]]="","",MARÍTIMOS[[#This Row],[Tercero]]),"")</f>
        <v/>
      </c>
      <c r="H443" s="2" t="str">
        <f>IFERROR(IF(MARÍTIMOS[[#This Row],[Razón Social]]="","",MARÍTIMOS[[#This Row],[Razón Social]]),"")</f>
        <v/>
      </c>
      <c r="I443" s="2" t="str">
        <f>IFERROR(IF(MARÍTIMOS[[#This Row],[RUC]]="","",MARÍTIMOS[[#This Row],[RUC]]),"")</f>
        <v/>
      </c>
      <c r="J443" s="2" t="str">
        <f>IFERROR(IF(MARÍTIMOS[[#This Row],[Placa Tracto]]="","",MARÍTIMOS[[#This Row],[Placa Tracto]]),"")</f>
        <v/>
      </c>
      <c r="K443" s="2" t="str">
        <f>IFERROR(IF(MARÍTIMOS[[#This Row],[Placa Carreta]]="","",MARÍTIMOS[[#This Row],[Placa Carreta]]),"")</f>
        <v/>
      </c>
      <c r="L443" s="44" t="str">
        <f>IFERROR(IF(MARÍTIMOS[[#This Row],[Conductor]]="","",MARÍTIMOS[[#This Row],[Conductor]]),"")</f>
        <v/>
      </c>
      <c r="M443" s="2" t="str">
        <f>IFERROR(IF(MARÍTIMOS[[#This Row],[Licencia]]="","",MARÍTIMOS[[#This Row],[Licencia]]),"")</f>
        <v/>
      </c>
      <c r="N443" s="2" t="str">
        <f>IFERROR(IF(MARÍTIMOS[[#This Row],[Número de Contacto]]="","",MARÍTIMOS[[#This Row],[Número de Contacto]]),"")</f>
        <v/>
      </c>
      <c r="O443" s="10" t="str">
        <f>IFERROR(IF(MARÍTIMOS[[#This Row],[Booking|AWB|CRT]]="","",MARÍTIMOS[[#This Row],[Booking|AWB|CRT]]),"")</f>
        <v/>
      </c>
      <c r="P443" s="2" t="str">
        <f>IFERROR(IF(MARÍTIMOS[[#This Row],[Contenedor]]="","",MARÍTIMOS[[#This Row],[Contenedor]]),"")</f>
        <v/>
      </c>
      <c r="Q443" s="2" t="str">
        <f>IFERROR(IF(MARÍTIMOS[[#This Row],[Puerto de Retiro]]="","",MARÍTIMOS[[#This Row],[Puerto de Retiro]]),"")</f>
        <v/>
      </c>
      <c r="R443" s="2" t="str">
        <f>IFERROR(IF(MARÍTIMOS[[#This Row],[Almacén de Retiro]]="","",MARÍTIMOS[[#This Row],[Almacén de Retiro]]),"")</f>
        <v/>
      </c>
      <c r="S443" s="11" t="str">
        <f>IFERROR(IF(MARÍTIMOS[[#This Row],[Etapa Retiro - Cita]]="","",MARÍTIMOS[[#This Row],[Etapa Retiro - Cita]]),"")</f>
        <v/>
      </c>
      <c r="T443" s="11" t="str">
        <f>IFERROR(IF(MARÍTIMOS[[#This Row],[Etapa Retiro - Llegada]]="","",MARÍTIMOS[[#This Row],[Etapa Retiro - Llegada]]),"")</f>
        <v/>
      </c>
      <c r="U443" s="11" t="str">
        <f>IFERROR(IF(MARÍTIMOS[[#This Row],[Etapa Retiro - Ingreso]]="","",MARÍTIMOS[[#This Row],[Etapa Retiro - Ingreso]]),"")</f>
        <v/>
      </c>
      <c r="V443" s="11" t="str">
        <f>IFERROR(IF(MARÍTIMOS[[#This Row],[Etapa Retiro - Atención]]="","",MARÍTIMOS[[#This Row],[Etapa Retiro - Atención]]),"")</f>
        <v/>
      </c>
      <c r="W443" s="11" t="str">
        <f>IFERROR(IF(MARÍTIMOS[[#This Row],[Etapa Retiro - Atención]]="","",MARÍTIMOS[[#This Row],[Etapa Retiro - Atención]]),"")</f>
        <v/>
      </c>
      <c r="X443" s="11" t="str">
        <f>IFERROR(IF(MARÍTIMOS[[#This Row],[Etapa Retiro - Inicio de Ruta]]="","",MARÍTIMOS[[#This Row],[Etapa Retiro - Inicio de Ruta]]),"")</f>
        <v/>
      </c>
      <c r="Y443" s="11" t="str">
        <f>IFERROR(IF(MARÍTIMOS[[#This Row],[Hora de Posicionamiento]]="","",MARÍTIMOS[[#This Row],[Fecha de Carga]]+MARÍTIMOS[[#This Row],[Hora de Posicionamiento]]),"")</f>
        <v/>
      </c>
      <c r="Z443" s="11" t="str">
        <f>IFERROR(IF(MARÍTIMOS[[#This Row],[Etapa Despacho - Llegada]]="","",MARÍTIMOS[[#This Row],[Etapa Despacho - Llegada]]),"")</f>
        <v/>
      </c>
      <c r="AA443" s="11" t="str">
        <f>IFERROR(IF(MARÍTIMOS[[#This Row],[Etapa Despacho - Registro]]="","",MARÍTIMOS[[#This Row],[Etapa Despacho - Registro]]),"")</f>
        <v/>
      </c>
      <c r="AB443" s="11" t="str">
        <f>IFERROR(IF(MARÍTIMOS[[#This Row],[Inspección Externa]]="","",MARÍTIMOS[[#This Row],[Inspección Externa]]),"")</f>
        <v/>
      </c>
      <c r="AC443" s="11" t="str">
        <f>IFERROR(IF(MARÍTIMOS[[#This Row],[Etapa Despacho - Inicio de Carga]]="","",MARÍTIMOS[[#This Row],[Etapa Despacho - Inicio de Carga]]),"")</f>
        <v/>
      </c>
      <c r="AD443" s="11" t="str">
        <f>IFERROR(IF(MARÍTIMOS[[#This Row],[Etapa Despacho - Mitad de Carga]]="","",MARÍTIMOS[[#This Row],[Etapa Despacho - Mitad de Carga]]),"")</f>
        <v/>
      </c>
      <c r="AE443" s="11" t="str">
        <f>IFERROR(IF(MARÍTIMOS[[#This Row],[Etapa Despacho - Fin de Carga]]="","",MARÍTIMOS[[#This Row],[Etapa Despacho - Fin de Carga]]),"")</f>
        <v/>
      </c>
      <c r="AF443" s="2" t="str">
        <f>IFERROR(IF(MARÍTIMOS[[#This Row],[Puerto de Embarque]]="","",MARÍTIMOS[[#This Row],[Puerto de Embarque]]),"")</f>
        <v/>
      </c>
      <c r="AG443" s="2" t="str">
        <f>IFERROR(IF(MARÍTIMOS[[#This Row],[Almacén de Ingreso]]="","",MARÍTIMOS[[#This Row],[Almacén de Ingreso]]),"")</f>
        <v/>
      </c>
      <c r="AH443" s="11" t="str">
        <f>IFERROR(IF(MARÍTIMOS[[#This Row],[Etapa Ingreso - Cita]]="","",MARÍTIMOS[[#This Row],[Etapa Ingreso - Cita]]),"")</f>
        <v/>
      </c>
      <c r="AI443" s="11" t="str">
        <f>IFERROR(IF(MARÍTIMOS[[#This Row],[Etapa Ingreso - Llegada]]="","",MARÍTIMOS[[#This Row],[Etapa Ingreso - Llegada]]),"")</f>
        <v/>
      </c>
      <c r="AJ443" s="11" t="str">
        <f>IFERROR(IF(MARÍTIMOS[[#This Row],[Etapa Ingreso - Ingeso]]="","",MARÍTIMOS[[#This Row],[Etapa Ingreso - Ingeso]]),"")</f>
        <v/>
      </c>
      <c r="AK443" s="11" t="str">
        <f>IFERROR(IF(MARÍTIMOS[[#This Row],[Etapa Ingreso - Atención]]="","",MARÍTIMOS[[#This Row],[Etapa Ingreso - Atención]]),"")</f>
        <v/>
      </c>
      <c r="AL443" s="11" t="str">
        <f>IFERROR(IF(MARÍTIMOS[[#This Row],[Etapa Ingreso - Salida]]="","",MARÍTIMOS[[#This Row],[Etapa Ingreso - Salida]]),"")</f>
        <v/>
      </c>
      <c r="AM443" s="2" t="str">
        <f>IFERROR(IF(MARÍTIMOS[[#This Row],[FCL]]="","",MARÍTIMOS[[#This Row],[FCL]]),"")</f>
        <v/>
      </c>
      <c r="AN4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3" s="4" t="str" cm="1">
        <f t="array" ref="AO4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3" s="5" t="str">
        <f>IFERROR(OLDBD[[#This Row],[Llegada a packing]]-OLDBD[[#This Row],[Inicio de Ruta]],"")</f>
        <v/>
      </c>
      <c r="AQ443" s="6" t="str">
        <f>IFERROR(OLDBD[[#This Row],[Inicio de Ruta]]-OLDBD[[#This Row],[Salida de almacén de retiro]],"")</f>
        <v/>
      </c>
      <c r="AR4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3" s="8" t="str" cm="1">
        <f t="array" ref="AS4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3" s="9" t="str">
        <f>IFERROR(OLDBD[[#This Row],[Ingreso Packing]]-OLDBD[[#This Row],[Registro en Packing]],"")</f>
        <v/>
      </c>
      <c r="AV443" s="9" t="str">
        <f>IFERROR(OLDBD[[#This Row],[Ingreso Packing]]-OLDBD[[#This Row],[Llegada a packing]],"")</f>
        <v/>
      </c>
      <c r="AW4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3" s="5" t="str">
        <f>IFERROR(OLDBD[[#This Row],[Llegada Almacén de Ingreso]]-OLDBD[[#This Row],[Salida Packing]],"")</f>
        <v/>
      </c>
      <c r="AY443" s="4" t="str" cm="1">
        <f t="array" ref="AY4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3" s="43" t="s">
        <v>173</v>
      </c>
      <c r="BB443" s="47" t="str">
        <f>IFERROR(IF(MARÍTIMOS[[#This Row],[Estatus]]="","",MARÍTIMOS[[#This Row],[Estatus]]),"")</f>
        <v/>
      </c>
      <c r="BC443" s="43"/>
      <c r="BD443" s="46" t="str">
        <f>IFERROR(OLDBD[[#This Row],[Salida de almacén de retiro]]-OLDBD[[#This Row],[Ingreso Almacén de retiro]],"")</f>
        <v/>
      </c>
      <c r="BE443" s="46" t="str">
        <f>IFERROR(OLDBD[[#This Row],[Fin de Carga]]-OLDBD[[#This Row],[Inicio de Carga]],"")</f>
        <v/>
      </c>
    </row>
    <row r="444" spans="1:57" customFormat="1" hidden="1">
      <c r="A444" s="1"/>
      <c r="B444" s="1" t="str">
        <f>IFERROR(IF(MARÍTIMOS[[#This Row],[PP]]="","",MARÍTIMOS[[#This Row],[PP]]),"")</f>
        <v/>
      </c>
      <c r="C444" s="1" t="str">
        <f>IFERROR(IF(MARÍTIMOS[[#This Row],[Sede]]="","",MARÍTIMOS[[#This Row],[Sede]]),"")</f>
        <v/>
      </c>
      <c r="D444" s="1" t="str">
        <f>IFERROR(IF(MARÍTIMOS[[#This Row],[Instruction]]="","",MARÍTIMOS[[#This Row],[Instruction]]),"")</f>
        <v/>
      </c>
      <c r="E444" s="1"/>
      <c r="F444" s="2" t="str">
        <f>IFERROR(IF(MARÍTIMOS[[#This Row],[Transportista]]="","",MARÍTIMOS[[#This Row],[Transportista]]),"")</f>
        <v/>
      </c>
      <c r="G444" s="2" t="str">
        <f>IFERROR(IF(MARÍTIMOS[[#This Row],[Tercero]]="","",MARÍTIMOS[[#This Row],[Tercero]]),"")</f>
        <v/>
      </c>
      <c r="H444" s="2" t="str">
        <f>IFERROR(IF(MARÍTIMOS[[#This Row],[Razón Social]]="","",MARÍTIMOS[[#This Row],[Razón Social]]),"")</f>
        <v/>
      </c>
      <c r="I444" s="2" t="str">
        <f>IFERROR(IF(MARÍTIMOS[[#This Row],[RUC]]="","",MARÍTIMOS[[#This Row],[RUC]]),"")</f>
        <v/>
      </c>
      <c r="J444" s="2" t="str">
        <f>IFERROR(IF(MARÍTIMOS[[#This Row],[Placa Tracto]]="","",MARÍTIMOS[[#This Row],[Placa Tracto]]),"")</f>
        <v/>
      </c>
      <c r="K444" s="2" t="str">
        <f>IFERROR(IF(MARÍTIMOS[[#This Row],[Placa Carreta]]="","",MARÍTIMOS[[#This Row],[Placa Carreta]]),"")</f>
        <v/>
      </c>
      <c r="L444" s="44" t="str">
        <f>IFERROR(IF(MARÍTIMOS[[#This Row],[Conductor]]="","",MARÍTIMOS[[#This Row],[Conductor]]),"")</f>
        <v/>
      </c>
      <c r="M444" s="2" t="str">
        <f>IFERROR(IF(MARÍTIMOS[[#This Row],[Licencia]]="","",MARÍTIMOS[[#This Row],[Licencia]]),"")</f>
        <v/>
      </c>
      <c r="N444" s="2" t="str">
        <f>IFERROR(IF(MARÍTIMOS[[#This Row],[Número de Contacto]]="","",MARÍTIMOS[[#This Row],[Número de Contacto]]),"")</f>
        <v/>
      </c>
      <c r="O444" s="10" t="str">
        <f>IFERROR(IF(MARÍTIMOS[[#This Row],[Booking|AWB|CRT]]="","",MARÍTIMOS[[#This Row],[Booking|AWB|CRT]]),"")</f>
        <v/>
      </c>
      <c r="P444" s="2" t="str">
        <f>IFERROR(IF(MARÍTIMOS[[#This Row],[Contenedor]]="","",MARÍTIMOS[[#This Row],[Contenedor]]),"")</f>
        <v/>
      </c>
      <c r="Q444" s="2" t="str">
        <f>IFERROR(IF(MARÍTIMOS[[#This Row],[Puerto de Retiro]]="","",MARÍTIMOS[[#This Row],[Puerto de Retiro]]),"")</f>
        <v/>
      </c>
      <c r="R444" s="2" t="str">
        <f>IFERROR(IF(MARÍTIMOS[[#This Row],[Almacén de Retiro]]="","",MARÍTIMOS[[#This Row],[Almacén de Retiro]]),"")</f>
        <v/>
      </c>
      <c r="S444" s="11" t="str">
        <f>IFERROR(IF(MARÍTIMOS[[#This Row],[Etapa Retiro - Cita]]="","",MARÍTIMOS[[#This Row],[Etapa Retiro - Cita]]),"")</f>
        <v/>
      </c>
      <c r="T444" s="11" t="str">
        <f>IFERROR(IF(MARÍTIMOS[[#This Row],[Etapa Retiro - Llegada]]="","",MARÍTIMOS[[#This Row],[Etapa Retiro - Llegada]]),"")</f>
        <v/>
      </c>
      <c r="U444" s="11" t="str">
        <f>IFERROR(IF(MARÍTIMOS[[#This Row],[Etapa Retiro - Ingreso]]="","",MARÍTIMOS[[#This Row],[Etapa Retiro - Ingreso]]),"")</f>
        <v/>
      </c>
      <c r="V444" s="11" t="str">
        <f>IFERROR(IF(MARÍTIMOS[[#This Row],[Etapa Retiro - Atención]]="","",MARÍTIMOS[[#This Row],[Etapa Retiro - Atención]]),"")</f>
        <v/>
      </c>
      <c r="W444" s="11" t="str">
        <f>IFERROR(IF(MARÍTIMOS[[#This Row],[Etapa Retiro - Atención]]="","",MARÍTIMOS[[#This Row],[Etapa Retiro - Atención]]),"")</f>
        <v/>
      </c>
      <c r="X444" s="11" t="str">
        <f>IFERROR(IF(MARÍTIMOS[[#This Row],[Etapa Retiro - Inicio de Ruta]]="","",MARÍTIMOS[[#This Row],[Etapa Retiro - Inicio de Ruta]]),"")</f>
        <v/>
      </c>
      <c r="Y444" s="11" t="str">
        <f>IFERROR(IF(MARÍTIMOS[[#This Row],[Hora de Posicionamiento]]="","",MARÍTIMOS[[#This Row],[Fecha de Carga]]+MARÍTIMOS[[#This Row],[Hora de Posicionamiento]]),"")</f>
        <v/>
      </c>
      <c r="Z444" s="11" t="str">
        <f>IFERROR(IF(MARÍTIMOS[[#This Row],[Etapa Despacho - Llegada]]="","",MARÍTIMOS[[#This Row],[Etapa Despacho - Llegada]]),"")</f>
        <v/>
      </c>
      <c r="AA444" s="11" t="str">
        <f>IFERROR(IF(MARÍTIMOS[[#This Row],[Etapa Despacho - Registro]]="","",MARÍTIMOS[[#This Row],[Etapa Despacho - Registro]]),"")</f>
        <v/>
      </c>
      <c r="AB444" s="11" t="str">
        <f>IFERROR(IF(MARÍTIMOS[[#This Row],[Inspección Externa]]="","",MARÍTIMOS[[#This Row],[Inspección Externa]]),"")</f>
        <v/>
      </c>
      <c r="AC444" s="11" t="str">
        <f>IFERROR(IF(MARÍTIMOS[[#This Row],[Etapa Despacho - Inicio de Carga]]="","",MARÍTIMOS[[#This Row],[Etapa Despacho - Inicio de Carga]]),"")</f>
        <v/>
      </c>
      <c r="AD444" s="11" t="str">
        <f>IFERROR(IF(MARÍTIMOS[[#This Row],[Etapa Despacho - Mitad de Carga]]="","",MARÍTIMOS[[#This Row],[Etapa Despacho - Mitad de Carga]]),"")</f>
        <v/>
      </c>
      <c r="AE444" s="11" t="str">
        <f>IFERROR(IF(MARÍTIMOS[[#This Row],[Etapa Despacho - Fin de Carga]]="","",MARÍTIMOS[[#This Row],[Etapa Despacho - Fin de Carga]]),"")</f>
        <v/>
      </c>
      <c r="AF444" s="2" t="str">
        <f>IFERROR(IF(MARÍTIMOS[[#This Row],[Puerto de Embarque]]="","",MARÍTIMOS[[#This Row],[Puerto de Embarque]]),"")</f>
        <v/>
      </c>
      <c r="AG444" s="2" t="str">
        <f>IFERROR(IF(MARÍTIMOS[[#This Row],[Almacén de Ingreso]]="","",MARÍTIMOS[[#This Row],[Almacén de Ingreso]]),"")</f>
        <v/>
      </c>
      <c r="AH444" s="11" t="str">
        <f>IFERROR(IF(MARÍTIMOS[[#This Row],[Etapa Ingreso - Cita]]="","",MARÍTIMOS[[#This Row],[Etapa Ingreso - Cita]]),"")</f>
        <v/>
      </c>
      <c r="AI444" s="11" t="str">
        <f>IFERROR(IF(MARÍTIMOS[[#This Row],[Etapa Ingreso - Llegada]]="","",MARÍTIMOS[[#This Row],[Etapa Ingreso - Llegada]]),"")</f>
        <v/>
      </c>
      <c r="AJ444" s="11" t="str">
        <f>IFERROR(IF(MARÍTIMOS[[#This Row],[Etapa Ingreso - Ingeso]]="","",MARÍTIMOS[[#This Row],[Etapa Ingreso - Ingeso]]),"")</f>
        <v/>
      </c>
      <c r="AK444" s="11" t="str">
        <f>IFERROR(IF(MARÍTIMOS[[#This Row],[Etapa Ingreso - Atención]]="","",MARÍTIMOS[[#This Row],[Etapa Ingreso - Atención]]),"")</f>
        <v/>
      </c>
      <c r="AL444" s="11" t="str">
        <f>IFERROR(IF(MARÍTIMOS[[#This Row],[Etapa Ingreso - Salida]]="","",MARÍTIMOS[[#This Row],[Etapa Ingreso - Salida]]),"")</f>
        <v/>
      </c>
      <c r="AM444" s="2" t="str">
        <f>IFERROR(IF(MARÍTIMOS[[#This Row],[FCL]]="","",MARÍTIMOS[[#This Row],[FCL]]),"")</f>
        <v/>
      </c>
      <c r="AN4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4" s="4" t="str" cm="1">
        <f t="array" ref="AO4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4" s="5" t="str">
        <f>IFERROR(OLDBD[[#This Row],[Llegada a packing]]-OLDBD[[#This Row],[Inicio de Ruta]],"")</f>
        <v/>
      </c>
      <c r="AQ444" s="6" t="str">
        <f>IFERROR(OLDBD[[#This Row],[Inicio de Ruta]]-OLDBD[[#This Row],[Salida de almacén de retiro]],"")</f>
        <v/>
      </c>
      <c r="AR4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4" s="8" t="str" cm="1">
        <f t="array" ref="AS4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4" s="9" t="str">
        <f>IFERROR(OLDBD[[#This Row],[Ingreso Packing]]-OLDBD[[#This Row],[Registro en Packing]],"")</f>
        <v/>
      </c>
      <c r="AV444" s="9" t="str">
        <f>IFERROR(OLDBD[[#This Row],[Ingreso Packing]]-OLDBD[[#This Row],[Llegada a packing]],"")</f>
        <v/>
      </c>
      <c r="AW4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4" s="5" t="str">
        <f>IFERROR(OLDBD[[#This Row],[Llegada Almacén de Ingreso]]-OLDBD[[#This Row],[Salida Packing]],"")</f>
        <v/>
      </c>
      <c r="AY444" s="4" t="str" cm="1">
        <f t="array" ref="AY4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4" s="43" t="s">
        <v>173</v>
      </c>
      <c r="BB444" s="47" t="str">
        <f>IFERROR(IF(MARÍTIMOS[[#This Row],[Estatus]]="","",MARÍTIMOS[[#This Row],[Estatus]]),"")</f>
        <v/>
      </c>
      <c r="BC444" s="43"/>
      <c r="BD444" s="46" t="str">
        <f>IFERROR(OLDBD[[#This Row],[Salida de almacén de retiro]]-OLDBD[[#This Row],[Ingreso Almacén de retiro]],"")</f>
        <v/>
      </c>
      <c r="BE444" s="46" t="str">
        <f>IFERROR(OLDBD[[#This Row],[Fin de Carga]]-OLDBD[[#This Row],[Inicio de Carga]],"")</f>
        <v/>
      </c>
    </row>
    <row r="445" spans="1:57" customFormat="1" hidden="1">
      <c r="A445" s="1"/>
      <c r="B445" s="1" t="str">
        <f>IFERROR(IF(MARÍTIMOS[[#This Row],[PP]]="","",MARÍTIMOS[[#This Row],[PP]]),"")</f>
        <v/>
      </c>
      <c r="C445" s="1" t="str">
        <f>IFERROR(IF(MARÍTIMOS[[#This Row],[Sede]]="","",MARÍTIMOS[[#This Row],[Sede]]),"")</f>
        <v/>
      </c>
      <c r="D445" s="1" t="str">
        <f>IFERROR(IF(MARÍTIMOS[[#This Row],[Instruction]]="","",MARÍTIMOS[[#This Row],[Instruction]]),"")</f>
        <v/>
      </c>
      <c r="E445" s="1"/>
      <c r="F445" s="2" t="str">
        <f>IFERROR(IF(MARÍTIMOS[[#This Row],[Transportista]]="","",MARÍTIMOS[[#This Row],[Transportista]]),"")</f>
        <v/>
      </c>
      <c r="G445" s="2" t="str">
        <f>IFERROR(IF(MARÍTIMOS[[#This Row],[Tercero]]="","",MARÍTIMOS[[#This Row],[Tercero]]),"")</f>
        <v/>
      </c>
      <c r="H445" s="2" t="str">
        <f>IFERROR(IF(MARÍTIMOS[[#This Row],[Razón Social]]="","",MARÍTIMOS[[#This Row],[Razón Social]]),"")</f>
        <v/>
      </c>
      <c r="I445" s="2" t="str">
        <f>IFERROR(IF(MARÍTIMOS[[#This Row],[RUC]]="","",MARÍTIMOS[[#This Row],[RUC]]),"")</f>
        <v/>
      </c>
      <c r="J445" s="2" t="str">
        <f>IFERROR(IF(MARÍTIMOS[[#This Row],[Placa Tracto]]="","",MARÍTIMOS[[#This Row],[Placa Tracto]]),"")</f>
        <v/>
      </c>
      <c r="K445" s="2" t="str">
        <f>IFERROR(IF(MARÍTIMOS[[#This Row],[Placa Carreta]]="","",MARÍTIMOS[[#This Row],[Placa Carreta]]),"")</f>
        <v/>
      </c>
      <c r="L445" s="44" t="str">
        <f>IFERROR(IF(MARÍTIMOS[[#This Row],[Conductor]]="","",MARÍTIMOS[[#This Row],[Conductor]]),"")</f>
        <v/>
      </c>
      <c r="M445" s="2" t="str">
        <f>IFERROR(IF(MARÍTIMOS[[#This Row],[Licencia]]="","",MARÍTIMOS[[#This Row],[Licencia]]),"")</f>
        <v/>
      </c>
      <c r="N445" s="2" t="str">
        <f>IFERROR(IF(MARÍTIMOS[[#This Row],[Número de Contacto]]="","",MARÍTIMOS[[#This Row],[Número de Contacto]]),"")</f>
        <v/>
      </c>
      <c r="O445" s="10" t="str">
        <f>IFERROR(IF(MARÍTIMOS[[#This Row],[Booking|AWB|CRT]]="","",MARÍTIMOS[[#This Row],[Booking|AWB|CRT]]),"")</f>
        <v/>
      </c>
      <c r="P445" s="2" t="str">
        <f>IFERROR(IF(MARÍTIMOS[[#This Row],[Contenedor]]="","",MARÍTIMOS[[#This Row],[Contenedor]]),"")</f>
        <v/>
      </c>
      <c r="Q445" s="2" t="str">
        <f>IFERROR(IF(MARÍTIMOS[[#This Row],[Puerto de Retiro]]="","",MARÍTIMOS[[#This Row],[Puerto de Retiro]]),"")</f>
        <v/>
      </c>
      <c r="R445" s="2" t="str">
        <f>IFERROR(IF(MARÍTIMOS[[#This Row],[Almacén de Retiro]]="","",MARÍTIMOS[[#This Row],[Almacén de Retiro]]),"")</f>
        <v/>
      </c>
      <c r="S445" s="11" t="str">
        <f>IFERROR(IF(MARÍTIMOS[[#This Row],[Etapa Retiro - Cita]]="","",MARÍTIMOS[[#This Row],[Etapa Retiro - Cita]]),"")</f>
        <v/>
      </c>
      <c r="T445" s="11" t="str">
        <f>IFERROR(IF(MARÍTIMOS[[#This Row],[Etapa Retiro - Llegada]]="","",MARÍTIMOS[[#This Row],[Etapa Retiro - Llegada]]),"")</f>
        <v/>
      </c>
      <c r="U445" s="11" t="str">
        <f>IFERROR(IF(MARÍTIMOS[[#This Row],[Etapa Retiro - Ingreso]]="","",MARÍTIMOS[[#This Row],[Etapa Retiro - Ingreso]]),"")</f>
        <v/>
      </c>
      <c r="V445" s="11" t="str">
        <f>IFERROR(IF(MARÍTIMOS[[#This Row],[Etapa Retiro - Atención]]="","",MARÍTIMOS[[#This Row],[Etapa Retiro - Atención]]),"")</f>
        <v/>
      </c>
      <c r="W445" s="11" t="str">
        <f>IFERROR(IF(MARÍTIMOS[[#This Row],[Etapa Retiro - Atención]]="","",MARÍTIMOS[[#This Row],[Etapa Retiro - Atención]]),"")</f>
        <v/>
      </c>
      <c r="X445" s="11" t="str">
        <f>IFERROR(IF(MARÍTIMOS[[#This Row],[Etapa Retiro - Inicio de Ruta]]="","",MARÍTIMOS[[#This Row],[Etapa Retiro - Inicio de Ruta]]),"")</f>
        <v/>
      </c>
      <c r="Y445" s="11" t="str">
        <f>IFERROR(IF(MARÍTIMOS[[#This Row],[Hora de Posicionamiento]]="","",MARÍTIMOS[[#This Row],[Fecha de Carga]]+MARÍTIMOS[[#This Row],[Hora de Posicionamiento]]),"")</f>
        <v/>
      </c>
      <c r="Z445" s="11" t="str">
        <f>IFERROR(IF(MARÍTIMOS[[#This Row],[Etapa Despacho - Llegada]]="","",MARÍTIMOS[[#This Row],[Etapa Despacho - Llegada]]),"")</f>
        <v/>
      </c>
      <c r="AA445" s="11" t="str">
        <f>IFERROR(IF(MARÍTIMOS[[#This Row],[Etapa Despacho - Registro]]="","",MARÍTIMOS[[#This Row],[Etapa Despacho - Registro]]),"")</f>
        <v/>
      </c>
      <c r="AB445" s="11" t="str">
        <f>IFERROR(IF(MARÍTIMOS[[#This Row],[Inspección Externa]]="","",MARÍTIMOS[[#This Row],[Inspección Externa]]),"")</f>
        <v/>
      </c>
      <c r="AC445" s="11" t="str">
        <f>IFERROR(IF(MARÍTIMOS[[#This Row],[Etapa Despacho - Inicio de Carga]]="","",MARÍTIMOS[[#This Row],[Etapa Despacho - Inicio de Carga]]),"")</f>
        <v/>
      </c>
      <c r="AD445" s="11" t="str">
        <f>IFERROR(IF(MARÍTIMOS[[#This Row],[Etapa Despacho - Mitad de Carga]]="","",MARÍTIMOS[[#This Row],[Etapa Despacho - Mitad de Carga]]),"")</f>
        <v/>
      </c>
      <c r="AE445" s="11" t="str">
        <f>IFERROR(IF(MARÍTIMOS[[#This Row],[Etapa Despacho - Fin de Carga]]="","",MARÍTIMOS[[#This Row],[Etapa Despacho - Fin de Carga]]),"")</f>
        <v/>
      </c>
      <c r="AF445" s="2" t="str">
        <f>IFERROR(IF(MARÍTIMOS[[#This Row],[Puerto de Embarque]]="","",MARÍTIMOS[[#This Row],[Puerto de Embarque]]),"")</f>
        <v/>
      </c>
      <c r="AG445" s="2" t="str">
        <f>IFERROR(IF(MARÍTIMOS[[#This Row],[Almacén de Ingreso]]="","",MARÍTIMOS[[#This Row],[Almacén de Ingreso]]),"")</f>
        <v/>
      </c>
      <c r="AH445" s="11" t="str">
        <f>IFERROR(IF(MARÍTIMOS[[#This Row],[Etapa Ingreso - Cita]]="","",MARÍTIMOS[[#This Row],[Etapa Ingreso - Cita]]),"")</f>
        <v/>
      </c>
      <c r="AI445" s="11" t="str">
        <f>IFERROR(IF(MARÍTIMOS[[#This Row],[Etapa Ingreso - Llegada]]="","",MARÍTIMOS[[#This Row],[Etapa Ingreso - Llegada]]),"")</f>
        <v/>
      </c>
      <c r="AJ445" s="11" t="str">
        <f>IFERROR(IF(MARÍTIMOS[[#This Row],[Etapa Ingreso - Ingeso]]="","",MARÍTIMOS[[#This Row],[Etapa Ingreso - Ingeso]]),"")</f>
        <v/>
      </c>
      <c r="AK445" s="11" t="str">
        <f>IFERROR(IF(MARÍTIMOS[[#This Row],[Etapa Ingreso - Atención]]="","",MARÍTIMOS[[#This Row],[Etapa Ingreso - Atención]]),"")</f>
        <v/>
      </c>
      <c r="AL445" s="11" t="str">
        <f>IFERROR(IF(MARÍTIMOS[[#This Row],[Etapa Ingreso - Salida]]="","",MARÍTIMOS[[#This Row],[Etapa Ingreso - Salida]]),"")</f>
        <v/>
      </c>
      <c r="AM445" s="2" t="str">
        <f>IFERROR(IF(MARÍTIMOS[[#This Row],[FCL]]="","",MARÍTIMOS[[#This Row],[FCL]]),"")</f>
        <v/>
      </c>
      <c r="AN4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5" s="4" t="str" cm="1">
        <f t="array" ref="AO4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5" s="5" t="str">
        <f>IFERROR(OLDBD[[#This Row],[Llegada a packing]]-OLDBD[[#This Row],[Inicio de Ruta]],"")</f>
        <v/>
      </c>
      <c r="AQ445" s="6" t="str">
        <f>IFERROR(OLDBD[[#This Row],[Inicio de Ruta]]-OLDBD[[#This Row],[Salida de almacén de retiro]],"")</f>
        <v/>
      </c>
      <c r="AR4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5" s="8" t="str" cm="1">
        <f t="array" ref="AS4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5" s="9" t="str">
        <f>IFERROR(OLDBD[[#This Row],[Ingreso Packing]]-OLDBD[[#This Row],[Registro en Packing]],"")</f>
        <v/>
      </c>
      <c r="AV445" s="9" t="str">
        <f>IFERROR(OLDBD[[#This Row],[Ingreso Packing]]-OLDBD[[#This Row],[Llegada a packing]],"")</f>
        <v/>
      </c>
      <c r="AW4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5" s="5" t="str">
        <f>IFERROR(OLDBD[[#This Row],[Llegada Almacén de Ingreso]]-OLDBD[[#This Row],[Salida Packing]],"")</f>
        <v/>
      </c>
      <c r="AY445" s="4" t="str" cm="1">
        <f t="array" ref="AY4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5" s="43" t="s">
        <v>173</v>
      </c>
      <c r="BB445" s="47" t="str">
        <f>IFERROR(IF(MARÍTIMOS[[#This Row],[Estatus]]="","",MARÍTIMOS[[#This Row],[Estatus]]),"")</f>
        <v/>
      </c>
      <c r="BC445" s="43"/>
      <c r="BD445" s="46" t="str">
        <f>IFERROR(OLDBD[[#This Row],[Salida de almacén de retiro]]-OLDBD[[#This Row],[Ingreso Almacén de retiro]],"")</f>
        <v/>
      </c>
      <c r="BE445" s="46" t="str">
        <f>IFERROR(OLDBD[[#This Row],[Fin de Carga]]-OLDBD[[#This Row],[Inicio de Carga]],"")</f>
        <v/>
      </c>
    </row>
    <row r="446" spans="1:57" customFormat="1" hidden="1">
      <c r="A446" s="1"/>
      <c r="B446" s="1" t="str">
        <f>IFERROR(IF(MARÍTIMOS[[#This Row],[PP]]="","",MARÍTIMOS[[#This Row],[PP]]),"")</f>
        <v/>
      </c>
      <c r="C446" s="1" t="str">
        <f>IFERROR(IF(MARÍTIMOS[[#This Row],[Sede]]="","",MARÍTIMOS[[#This Row],[Sede]]),"")</f>
        <v/>
      </c>
      <c r="D446" s="1" t="str">
        <f>IFERROR(IF(MARÍTIMOS[[#This Row],[Instruction]]="","",MARÍTIMOS[[#This Row],[Instruction]]),"")</f>
        <v/>
      </c>
      <c r="E446" s="1"/>
      <c r="F446" s="2" t="str">
        <f>IFERROR(IF(MARÍTIMOS[[#This Row],[Transportista]]="","",MARÍTIMOS[[#This Row],[Transportista]]),"")</f>
        <v/>
      </c>
      <c r="G446" s="2" t="str">
        <f>IFERROR(IF(MARÍTIMOS[[#This Row],[Tercero]]="","",MARÍTIMOS[[#This Row],[Tercero]]),"")</f>
        <v/>
      </c>
      <c r="H446" s="2" t="str">
        <f>IFERROR(IF(MARÍTIMOS[[#This Row],[Razón Social]]="","",MARÍTIMOS[[#This Row],[Razón Social]]),"")</f>
        <v/>
      </c>
      <c r="I446" s="2" t="str">
        <f>IFERROR(IF(MARÍTIMOS[[#This Row],[RUC]]="","",MARÍTIMOS[[#This Row],[RUC]]),"")</f>
        <v/>
      </c>
      <c r="J446" s="2" t="str">
        <f>IFERROR(IF(MARÍTIMOS[[#This Row],[Placa Tracto]]="","",MARÍTIMOS[[#This Row],[Placa Tracto]]),"")</f>
        <v/>
      </c>
      <c r="K446" s="2" t="str">
        <f>IFERROR(IF(MARÍTIMOS[[#This Row],[Placa Carreta]]="","",MARÍTIMOS[[#This Row],[Placa Carreta]]),"")</f>
        <v/>
      </c>
      <c r="L446" s="44" t="str">
        <f>IFERROR(IF(MARÍTIMOS[[#This Row],[Conductor]]="","",MARÍTIMOS[[#This Row],[Conductor]]),"")</f>
        <v/>
      </c>
      <c r="M446" s="2" t="str">
        <f>IFERROR(IF(MARÍTIMOS[[#This Row],[Licencia]]="","",MARÍTIMOS[[#This Row],[Licencia]]),"")</f>
        <v/>
      </c>
      <c r="N446" s="2" t="str">
        <f>IFERROR(IF(MARÍTIMOS[[#This Row],[Número de Contacto]]="","",MARÍTIMOS[[#This Row],[Número de Contacto]]),"")</f>
        <v/>
      </c>
      <c r="O446" s="10" t="str">
        <f>IFERROR(IF(MARÍTIMOS[[#This Row],[Booking|AWB|CRT]]="","",MARÍTIMOS[[#This Row],[Booking|AWB|CRT]]),"")</f>
        <v/>
      </c>
      <c r="P446" s="2" t="str">
        <f>IFERROR(IF(MARÍTIMOS[[#This Row],[Contenedor]]="","",MARÍTIMOS[[#This Row],[Contenedor]]),"")</f>
        <v/>
      </c>
      <c r="Q446" s="2" t="str">
        <f>IFERROR(IF(MARÍTIMOS[[#This Row],[Puerto de Retiro]]="","",MARÍTIMOS[[#This Row],[Puerto de Retiro]]),"")</f>
        <v/>
      </c>
      <c r="R446" s="2" t="str">
        <f>IFERROR(IF(MARÍTIMOS[[#This Row],[Almacén de Retiro]]="","",MARÍTIMOS[[#This Row],[Almacén de Retiro]]),"")</f>
        <v/>
      </c>
      <c r="S446" s="11" t="str">
        <f>IFERROR(IF(MARÍTIMOS[[#This Row],[Etapa Retiro - Cita]]="","",MARÍTIMOS[[#This Row],[Etapa Retiro - Cita]]),"")</f>
        <v/>
      </c>
      <c r="T446" s="11" t="str">
        <f>IFERROR(IF(MARÍTIMOS[[#This Row],[Etapa Retiro - Llegada]]="","",MARÍTIMOS[[#This Row],[Etapa Retiro - Llegada]]),"")</f>
        <v/>
      </c>
      <c r="U446" s="11" t="str">
        <f>IFERROR(IF(MARÍTIMOS[[#This Row],[Etapa Retiro - Ingreso]]="","",MARÍTIMOS[[#This Row],[Etapa Retiro - Ingreso]]),"")</f>
        <v/>
      </c>
      <c r="V446" s="11" t="str">
        <f>IFERROR(IF(MARÍTIMOS[[#This Row],[Etapa Retiro - Atención]]="","",MARÍTIMOS[[#This Row],[Etapa Retiro - Atención]]),"")</f>
        <v/>
      </c>
      <c r="W446" s="11" t="str">
        <f>IFERROR(IF(MARÍTIMOS[[#This Row],[Etapa Retiro - Atención]]="","",MARÍTIMOS[[#This Row],[Etapa Retiro - Atención]]),"")</f>
        <v/>
      </c>
      <c r="X446" s="11" t="str">
        <f>IFERROR(IF(MARÍTIMOS[[#This Row],[Etapa Retiro - Inicio de Ruta]]="","",MARÍTIMOS[[#This Row],[Etapa Retiro - Inicio de Ruta]]),"")</f>
        <v/>
      </c>
      <c r="Y446" s="11" t="str">
        <f>IFERROR(IF(MARÍTIMOS[[#This Row],[Hora de Posicionamiento]]="","",MARÍTIMOS[[#This Row],[Fecha de Carga]]+MARÍTIMOS[[#This Row],[Hora de Posicionamiento]]),"")</f>
        <v/>
      </c>
      <c r="Z446" s="11" t="str">
        <f>IFERROR(IF(MARÍTIMOS[[#This Row],[Etapa Despacho - Llegada]]="","",MARÍTIMOS[[#This Row],[Etapa Despacho - Llegada]]),"")</f>
        <v/>
      </c>
      <c r="AA446" s="11" t="str">
        <f>IFERROR(IF(MARÍTIMOS[[#This Row],[Etapa Despacho - Registro]]="","",MARÍTIMOS[[#This Row],[Etapa Despacho - Registro]]),"")</f>
        <v/>
      </c>
      <c r="AB446" s="11" t="str">
        <f>IFERROR(IF(MARÍTIMOS[[#This Row],[Inspección Externa]]="","",MARÍTIMOS[[#This Row],[Inspección Externa]]),"")</f>
        <v/>
      </c>
      <c r="AC446" s="11" t="str">
        <f>IFERROR(IF(MARÍTIMOS[[#This Row],[Etapa Despacho - Inicio de Carga]]="","",MARÍTIMOS[[#This Row],[Etapa Despacho - Inicio de Carga]]),"")</f>
        <v/>
      </c>
      <c r="AD446" s="11" t="str">
        <f>IFERROR(IF(MARÍTIMOS[[#This Row],[Etapa Despacho - Mitad de Carga]]="","",MARÍTIMOS[[#This Row],[Etapa Despacho - Mitad de Carga]]),"")</f>
        <v/>
      </c>
      <c r="AE446" s="11" t="str">
        <f>IFERROR(IF(MARÍTIMOS[[#This Row],[Etapa Despacho - Fin de Carga]]="","",MARÍTIMOS[[#This Row],[Etapa Despacho - Fin de Carga]]),"")</f>
        <v/>
      </c>
      <c r="AF446" s="2" t="str">
        <f>IFERROR(IF(MARÍTIMOS[[#This Row],[Puerto de Embarque]]="","",MARÍTIMOS[[#This Row],[Puerto de Embarque]]),"")</f>
        <v/>
      </c>
      <c r="AG446" s="2" t="str">
        <f>IFERROR(IF(MARÍTIMOS[[#This Row],[Almacén de Ingreso]]="","",MARÍTIMOS[[#This Row],[Almacén de Ingreso]]),"")</f>
        <v/>
      </c>
      <c r="AH446" s="11" t="str">
        <f>IFERROR(IF(MARÍTIMOS[[#This Row],[Etapa Ingreso - Cita]]="","",MARÍTIMOS[[#This Row],[Etapa Ingreso - Cita]]),"")</f>
        <v/>
      </c>
      <c r="AI446" s="11" t="str">
        <f>IFERROR(IF(MARÍTIMOS[[#This Row],[Etapa Ingreso - Llegada]]="","",MARÍTIMOS[[#This Row],[Etapa Ingreso - Llegada]]),"")</f>
        <v/>
      </c>
      <c r="AJ446" s="11" t="str">
        <f>IFERROR(IF(MARÍTIMOS[[#This Row],[Etapa Ingreso - Ingeso]]="","",MARÍTIMOS[[#This Row],[Etapa Ingreso - Ingeso]]),"")</f>
        <v/>
      </c>
      <c r="AK446" s="11" t="str">
        <f>IFERROR(IF(MARÍTIMOS[[#This Row],[Etapa Ingreso - Atención]]="","",MARÍTIMOS[[#This Row],[Etapa Ingreso - Atención]]),"")</f>
        <v/>
      </c>
      <c r="AL446" s="11" t="str">
        <f>IFERROR(IF(MARÍTIMOS[[#This Row],[Etapa Ingreso - Salida]]="","",MARÍTIMOS[[#This Row],[Etapa Ingreso - Salida]]),"")</f>
        <v/>
      </c>
      <c r="AM446" s="2" t="str">
        <f>IFERROR(IF(MARÍTIMOS[[#This Row],[FCL]]="","",MARÍTIMOS[[#This Row],[FCL]]),"")</f>
        <v/>
      </c>
      <c r="AN4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6" s="4" t="str" cm="1">
        <f t="array" ref="AO4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6" s="5" t="str">
        <f>IFERROR(OLDBD[[#This Row],[Llegada a packing]]-OLDBD[[#This Row],[Inicio de Ruta]],"")</f>
        <v/>
      </c>
      <c r="AQ446" s="6" t="str">
        <f>IFERROR(OLDBD[[#This Row],[Inicio de Ruta]]-OLDBD[[#This Row],[Salida de almacén de retiro]],"")</f>
        <v/>
      </c>
      <c r="AR4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6" s="8" t="str" cm="1">
        <f t="array" ref="AS4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6" s="9" t="str">
        <f>IFERROR(OLDBD[[#This Row],[Ingreso Packing]]-OLDBD[[#This Row],[Registro en Packing]],"")</f>
        <v/>
      </c>
      <c r="AV446" s="9" t="str">
        <f>IFERROR(OLDBD[[#This Row],[Ingreso Packing]]-OLDBD[[#This Row],[Llegada a packing]],"")</f>
        <v/>
      </c>
      <c r="AW4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6" s="5" t="str">
        <f>IFERROR(OLDBD[[#This Row],[Llegada Almacén de Ingreso]]-OLDBD[[#This Row],[Salida Packing]],"")</f>
        <v/>
      </c>
      <c r="AY446" s="4" t="str" cm="1">
        <f t="array" ref="AY4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6" s="43" t="s">
        <v>173</v>
      </c>
      <c r="BB446" s="47" t="str">
        <f>IFERROR(IF(MARÍTIMOS[[#This Row],[Estatus]]="","",MARÍTIMOS[[#This Row],[Estatus]]),"")</f>
        <v/>
      </c>
      <c r="BC446" s="43"/>
      <c r="BD446" s="46" t="str">
        <f>IFERROR(OLDBD[[#This Row],[Salida de almacén de retiro]]-OLDBD[[#This Row],[Ingreso Almacén de retiro]],"")</f>
        <v/>
      </c>
      <c r="BE446" s="46" t="str">
        <f>IFERROR(OLDBD[[#This Row],[Fin de Carga]]-OLDBD[[#This Row],[Inicio de Carga]],"")</f>
        <v/>
      </c>
    </row>
    <row r="447" spans="1:57" customFormat="1" hidden="1">
      <c r="A447" s="1"/>
      <c r="B447" s="1" t="str">
        <f>IFERROR(IF(MARÍTIMOS[[#This Row],[PP]]="","",MARÍTIMOS[[#This Row],[PP]]),"")</f>
        <v/>
      </c>
      <c r="C447" s="1" t="str">
        <f>IFERROR(IF(MARÍTIMOS[[#This Row],[Sede]]="","",MARÍTIMOS[[#This Row],[Sede]]),"")</f>
        <v/>
      </c>
      <c r="D447" s="1" t="str">
        <f>IFERROR(IF(MARÍTIMOS[[#This Row],[Instruction]]="","",MARÍTIMOS[[#This Row],[Instruction]]),"")</f>
        <v/>
      </c>
      <c r="E447" s="1"/>
      <c r="F447" s="2" t="str">
        <f>IFERROR(IF(MARÍTIMOS[[#This Row],[Transportista]]="","",MARÍTIMOS[[#This Row],[Transportista]]),"")</f>
        <v/>
      </c>
      <c r="G447" s="2" t="str">
        <f>IFERROR(IF(MARÍTIMOS[[#This Row],[Tercero]]="","",MARÍTIMOS[[#This Row],[Tercero]]),"")</f>
        <v/>
      </c>
      <c r="H447" s="2" t="str">
        <f>IFERROR(IF(MARÍTIMOS[[#This Row],[Razón Social]]="","",MARÍTIMOS[[#This Row],[Razón Social]]),"")</f>
        <v/>
      </c>
      <c r="I447" s="2" t="str">
        <f>IFERROR(IF(MARÍTIMOS[[#This Row],[RUC]]="","",MARÍTIMOS[[#This Row],[RUC]]),"")</f>
        <v/>
      </c>
      <c r="J447" s="2" t="str">
        <f>IFERROR(IF(MARÍTIMOS[[#This Row],[Placa Tracto]]="","",MARÍTIMOS[[#This Row],[Placa Tracto]]),"")</f>
        <v/>
      </c>
      <c r="K447" s="2" t="str">
        <f>IFERROR(IF(MARÍTIMOS[[#This Row],[Placa Carreta]]="","",MARÍTIMOS[[#This Row],[Placa Carreta]]),"")</f>
        <v/>
      </c>
      <c r="L447" s="44" t="str">
        <f>IFERROR(IF(MARÍTIMOS[[#This Row],[Conductor]]="","",MARÍTIMOS[[#This Row],[Conductor]]),"")</f>
        <v/>
      </c>
      <c r="M447" s="2" t="str">
        <f>IFERROR(IF(MARÍTIMOS[[#This Row],[Licencia]]="","",MARÍTIMOS[[#This Row],[Licencia]]),"")</f>
        <v/>
      </c>
      <c r="N447" s="2" t="str">
        <f>IFERROR(IF(MARÍTIMOS[[#This Row],[Número de Contacto]]="","",MARÍTIMOS[[#This Row],[Número de Contacto]]),"")</f>
        <v/>
      </c>
      <c r="O447" s="10" t="str">
        <f>IFERROR(IF(MARÍTIMOS[[#This Row],[Booking|AWB|CRT]]="","",MARÍTIMOS[[#This Row],[Booking|AWB|CRT]]),"")</f>
        <v/>
      </c>
      <c r="P447" s="2" t="str">
        <f>IFERROR(IF(MARÍTIMOS[[#This Row],[Contenedor]]="","",MARÍTIMOS[[#This Row],[Contenedor]]),"")</f>
        <v/>
      </c>
      <c r="Q447" s="2" t="str">
        <f>IFERROR(IF(MARÍTIMOS[[#This Row],[Puerto de Retiro]]="","",MARÍTIMOS[[#This Row],[Puerto de Retiro]]),"")</f>
        <v/>
      </c>
      <c r="R447" s="2" t="str">
        <f>IFERROR(IF(MARÍTIMOS[[#This Row],[Almacén de Retiro]]="","",MARÍTIMOS[[#This Row],[Almacén de Retiro]]),"")</f>
        <v/>
      </c>
      <c r="S447" s="11" t="str">
        <f>IFERROR(IF(MARÍTIMOS[[#This Row],[Etapa Retiro - Cita]]="","",MARÍTIMOS[[#This Row],[Etapa Retiro - Cita]]),"")</f>
        <v/>
      </c>
      <c r="T447" s="11" t="str">
        <f>IFERROR(IF(MARÍTIMOS[[#This Row],[Etapa Retiro - Llegada]]="","",MARÍTIMOS[[#This Row],[Etapa Retiro - Llegada]]),"")</f>
        <v/>
      </c>
      <c r="U447" s="11" t="str">
        <f>IFERROR(IF(MARÍTIMOS[[#This Row],[Etapa Retiro - Ingreso]]="","",MARÍTIMOS[[#This Row],[Etapa Retiro - Ingreso]]),"")</f>
        <v/>
      </c>
      <c r="V447" s="11" t="str">
        <f>IFERROR(IF(MARÍTIMOS[[#This Row],[Etapa Retiro - Atención]]="","",MARÍTIMOS[[#This Row],[Etapa Retiro - Atención]]),"")</f>
        <v/>
      </c>
      <c r="W447" s="11" t="str">
        <f>IFERROR(IF(MARÍTIMOS[[#This Row],[Etapa Retiro - Atención]]="","",MARÍTIMOS[[#This Row],[Etapa Retiro - Atención]]),"")</f>
        <v/>
      </c>
      <c r="X447" s="11" t="str">
        <f>IFERROR(IF(MARÍTIMOS[[#This Row],[Etapa Retiro - Inicio de Ruta]]="","",MARÍTIMOS[[#This Row],[Etapa Retiro - Inicio de Ruta]]),"")</f>
        <v/>
      </c>
      <c r="Y447" s="11" t="str">
        <f>IFERROR(IF(MARÍTIMOS[[#This Row],[Hora de Posicionamiento]]="","",MARÍTIMOS[[#This Row],[Fecha de Carga]]+MARÍTIMOS[[#This Row],[Hora de Posicionamiento]]),"")</f>
        <v/>
      </c>
      <c r="Z447" s="11" t="str">
        <f>IFERROR(IF(MARÍTIMOS[[#This Row],[Etapa Despacho - Llegada]]="","",MARÍTIMOS[[#This Row],[Etapa Despacho - Llegada]]),"")</f>
        <v/>
      </c>
      <c r="AA447" s="11" t="str">
        <f>IFERROR(IF(MARÍTIMOS[[#This Row],[Etapa Despacho - Registro]]="","",MARÍTIMOS[[#This Row],[Etapa Despacho - Registro]]),"")</f>
        <v/>
      </c>
      <c r="AB447" s="11" t="str">
        <f>IFERROR(IF(MARÍTIMOS[[#This Row],[Inspección Externa]]="","",MARÍTIMOS[[#This Row],[Inspección Externa]]),"")</f>
        <v/>
      </c>
      <c r="AC447" s="11" t="str">
        <f>IFERROR(IF(MARÍTIMOS[[#This Row],[Etapa Despacho - Inicio de Carga]]="","",MARÍTIMOS[[#This Row],[Etapa Despacho - Inicio de Carga]]),"")</f>
        <v/>
      </c>
      <c r="AD447" s="11" t="str">
        <f>IFERROR(IF(MARÍTIMOS[[#This Row],[Etapa Despacho - Mitad de Carga]]="","",MARÍTIMOS[[#This Row],[Etapa Despacho - Mitad de Carga]]),"")</f>
        <v/>
      </c>
      <c r="AE447" s="11" t="str">
        <f>IFERROR(IF(MARÍTIMOS[[#This Row],[Etapa Despacho - Fin de Carga]]="","",MARÍTIMOS[[#This Row],[Etapa Despacho - Fin de Carga]]),"")</f>
        <v/>
      </c>
      <c r="AF447" s="2" t="str">
        <f>IFERROR(IF(MARÍTIMOS[[#This Row],[Puerto de Embarque]]="","",MARÍTIMOS[[#This Row],[Puerto de Embarque]]),"")</f>
        <v/>
      </c>
      <c r="AG447" s="2" t="str">
        <f>IFERROR(IF(MARÍTIMOS[[#This Row],[Almacén de Ingreso]]="","",MARÍTIMOS[[#This Row],[Almacén de Ingreso]]),"")</f>
        <v/>
      </c>
      <c r="AH447" s="11" t="str">
        <f>IFERROR(IF(MARÍTIMOS[[#This Row],[Etapa Ingreso - Cita]]="","",MARÍTIMOS[[#This Row],[Etapa Ingreso - Cita]]),"")</f>
        <v/>
      </c>
      <c r="AI447" s="11" t="str">
        <f>IFERROR(IF(MARÍTIMOS[[#This Row],[Etapa Ingreso - Llegada]]="","",MARÍTIMOS[[#This Row],[Etapa Ingreso - Llegada]]),"")</f>
        <v/>
      </c>
      <c r="AJ447" s="11" t="str">
        <f>IFERROR(IF(MARÍTIMOS[[#This Row],[Etapa Ingreso - Ingeso]]="","",MARÍTIMOS[[#This Row],[Etapa Ingreso - Ingeso]]),"")</f>
        <v/>
      </c>
      <c r="AK447" s="11" t="str">
        <f>IFERROR(IF(MARÍTIMOS[[#This Row],[Etapa Ingreso - Atención]]="","",MARÍTIMOS[[#This Row],[Etapa Ingreso - Atención]]),"")</f>
        <v/>
      </c>
      <c r="AL447" s="11" t="str">
        <f>IFERROR(IF(MARÍTIMOS[[#This Row],[Etapa Ingreso - Salida]]="","",MARÍTIMOS[[#This Row],[Etapa Ingreso - Salida]]),"")</f>
        <v/>
      </c>
      <c r="AM447" s="2" t="str">
        <f>IFERROR(IF(MARÍTIMOS[[#This Row],[FCL]]="","",MARÍTIMOS[[#This Row],[FCL]]),"")</f>
        <v/>
      </c>
      <c r="AN4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7" s="4" t="str" cm="1">
        <f t="array" ref="AO4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7" s="5" t="str">
        <f>IFERROR(OLDBD[[#This Row],[Llegada a packing]]-OLDBD[[#This Row],[Inicio de Ruta]],"")</f>
        <v/>
      </c>
      <c r="AQ447" s="6" t="str">
        <f>IFERROR(OLDBD[[#This Row],[Inicio de Ruta]]-OLDBD[[#This Row],[Salida de almacén de retiro]],"")</f>
        <v/>
      </c>
      <c r="AR4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7" s="8" t="str" cm="1">
        <f t="array" ref="AS4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7" s="9" t="str">
        <f>IFERROR(OLDBD[[#This Row],[Ingreso Packing]]-OLDBD[[#This Row],[Registro en Packing]],"")</f>
        <v/>
      </c>
      <c r="AV447" s="9" t="str">
        <f>IFERROR(OLDBD[[#This Row],[Ingreso Packing]]-OLDBD[[#This Row],[Llegada a packing]],"")</f>
        <v/>
      </c>
      <c r="AW4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7" s="5" t="str">
        <f>IFERROR(OLDBD[[#This Row],[Llegada Almacén de Ingreso]]-OLDBD[[#This Row],[Salida Packing]],"")</f>
        <v/>
      </c>
      <c r="AY447" s="4" t="str" cm="1">
        <f t="array" ref="AY4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7" s="43" t="s">
        <v>173</v>
      </c>
      <c r="BB447" s="47" t="str">
        <f>IFERROR(IF(MARÍTIMOS[[#This Row],[Estatus]]="","",MARÍTIMOS[[#This Row],[Estatus]]),"")</f>
        <v/>
      </c>
      <c r="BC447" s="43"/>
      <c r="BD447" s="46" t="str">
        <f>IFERROR(OLDBD[[#This Row],[Salida de almacén de retiro]]-OLDBD[[#This Row],[Ingreso Almacén de retiro]],"")</f>
        <v/>
      </c>
      <c r="BE447" s="46" t="str">
        <f>IFERROR(OLDBD[[#This Row],[Fin de Carga]]-OLDBD[[#This Row],[Inicio de Carga]],"")</f>
        <v/>
      </c>
    </row>
    <row r="448" spans="1:57" customFormat="1" hidden="1">
      <c r="A448" s="1"/>
      <c r="B448" s="1" t="str">
        <f>IFERROR(IF(MARÍTIMOS[[#This Row],[PP]]="","",MARÍTIMOS[[#This Row],[PP]]),"")</f>
        <v/>
      </c>
      <c r="C448" s="1" t="str">
        <f>IFERROR(IF(MARÍTIMOS[[#This Row],[Sede]]="","",MARÍTIMOS[[#This Row],[Sede]]),"")</f>
        <v/>
      </c>
      <c r="D448" s="1" t="str">
        <f>IFERROR(IF(MARÍTIMOS[[#This Row],[Instruction]]="","",MARÍTIMOS[[#This Row],[Instruction]]),"")</f>
        <v/>
      </c>
      <c r="E448" s="1"/>
      <c r="F448" s="2" t="str">
        <f>IFERROR(IF(MARÍTIMOS[[#This Row],[Transportista]]="","",MARÍTIMOS[[#This Row],[Transportista]]),"")</f>
        <v/>
      </c>
      <c r="G448" s="2" t="str">
        <f>IFERROR(IF(MARÍTIMOS[[#This Row],[Tercero]]="","",MARÍTIMOS[[#This Row],[Tercero]]),"")</f>
        <v/>
      </c>
      <c r="H448" s="2" t="str">
        <f>IFERROR(IF(MARÍTIMOS[[#This Row],[Razón Social]]="","",MARÍTIMOS[[#This Row],[Razón Social]]),"")</f>
        <v/>
      </c>
      <c r="I448" s="2" t="str">
        <f>IFERROR(IF(MARÍTIMOS[[#This Row],[RUC]]="","",MARÍTIMOS[[#This Row],[RUC]]),"")</f>
        <v/>
      </c>
      <c r="J448" s="2" t="str">
        <f>IFERROR(IF(MARÍTIMOS[[#This Row],[Placa Tracto]]="","",MARÍTIMOS[[#This Row],[Placa Tracto]]),"")</f>
        <v/>
      </c>
      <c r="K448" s="2" t="str">
        <f>IFERROR(IF(MARÍTIMOS[[#This Row],[Placa Carreta]]="","",MARÍTIMOS[[#This Row],[Placa Carreta]]),"")</f>
        <v/>
      </c>
      <c r="L448" s="44" t="str">
        <f>IFERROR(IF(MARÍTIMOS[[#This Row],[Conductor]]="","",MARÍTIMOS[[#This Row],[Conductor]]),"")</f>
        <v/>
      </c>
      <c r="M448" s="2" t="str">
        <f>IFERROR(IF(MARÍTIMOS[[#This Row],[Licencia]]="","",MARÍTIMOS[[#This Row],[Licencia]]),"")</f>
        <v/>
      </c>
      <c r="N448" s="2" t="str">
        <f>IFERROR(IF(MARÍTIMOS[[#This Row],[Número de Contacto]]="","",MARÍTIMOS[[#This Row],[Número de Contacto]]),"")</f>
        <v/>
      </c>
      <c r="O448" s="10" t="str">
        <f>IFERROR(IF(MARÍTIMOS[[#This Row],[Booking|AWB|CRT]]="","",MARÍTIMOS[[#This Row],[Booking|AWB|CRT]]),"")</f>
        <v/>
      </c>
      <c r="P448" s="2" t="str">
        <f>IFERROR(IF(MARÍTIMOS[[#This Row],[Contenedor]]="","",MARÍTIMOS[[#This Row],[Contenedor]]),"")</f>
        <v/>
      </c>
      <c r="Q448" s="2" t="str">
        <f>IFERROR(IF(MARÍTIMOS[[#This Row],[Puerto de Retiro]]="","",MARÍTIMOS[[#This Row],[Puerto de Retiro]]),"")</f>
        <v/>
      </c>
      <c r="R448" s="2" t="str">
        <f>IFERROR(IF(MARÍTIMOS[[#This Row],[Almacén de Retiro]]="","",MARÍTIMOS[[#This Row],[Almacén de Retiro]]),"")</f>
        <v/>
      </c>
      <c r="S448" s="11" t="str">
        <f>IFERROR(IF(MARÍTIMOS[[#This Row],[Etapa Retiro - Cita]]="","",MARÍTIMOS[[#This Row],[Etapa Retiro - Cita]]),"")</f>
        <v/>
      </c>
      <c r="T448" s="11" t="str">
        <f>IFERROR(IF(MARÍTIMOS[[#This Row],[Etapa Retiro - Llegada]]="","",MARÍTIMOS[[#This Row],[Etapa Retiro - Llegada]]),"")</f>
        <v/>
      </c>
      <c r="U448" s="11" t="str">
        <f>IFERROR(IF(MARÍTIMOS[[#This Row],[Etapa Retiro - Ingreso]]="","",MARÍTIMOS[[#This Row],[Etapa Retiro - Ingreso]]),"")</f>
        <v/>
      </c>
      <c r="V448" s="11" t="str">
        <f>IFERROR(IF(MARÍTIMOS[[#This Row],[Etapa Retiro - Atención]]="","",MARÍTIMOS[[#This Row],[Etapa Retiro - Atención]]),"")</f>
        <v/>
      </c>
      <c r="W448" s="11" t="str">
        <f>IFERROR(IF(MARÍTIMOS[[#This Row],[Etapa Retiro - Atención]]="","",MARÍTIMOS[[#This Row],[Etapa Retiro - Atención]]),"")</f>
        <v/>
      </c>
      <c r="X448" s="11" t="str">
        <f>IFERROR(IF(MARÍTIMOS[[#This Row],[Etapa Retiro - Inicio de Ruta]]="","",MARÍTIMOS[[#This Row],[Etapa Retiro - Inicio de Ruta]]),"")</f>
        <v/>
      </c>
      <c r="Y448" s="11" t="str">
        <f>IFERROR(IF(MARÍTIMOS[[#This Row],[Hora de Posicionamiento]]="","",MARÍTIMOS[[#This Row],[Fecha de Carga]]+MARÍTIMOS[[#This Row],[Hora de Posicionamiento]]),"")</f>
        <v/>
      </c>
      <c r="Z448" s="11" t="str">
        <f>IFERROR(IF(MARÍTIMOS[[#This Row],[Etapa Despacho - Llegada]]="","",MARÍTIMOS[[#This Row],[Etapa Despacho - Llegada]]),"")</f>
        <v/>
      </c>
      <c r="AA448" s="11" t="str">
        <f>IFERROR(IF(MARÍTIMOS[[#This Row],[Etapa Despacho - Registro]]="","",MARÍTIMOS[[#This Row],[Etapa Despacho - Registro]]),"")</f>
        <v/>
      </c>
      <c r="AB448" s="11" t="str">
        <f>IFERROR(IF(MARÍTIMOS[[#This Row],[Inspección Externa]]="","",MARÍTIMOS[[#This Row],[Inspección Externa]]),"")</f>
        <v/>
      </c>
      <c r="AC448" s="11" t="str">
        <f>IFERROR(IF(MARÍTIMOS[[#This Row],[Etapa Despacho - Inicio de Carga]]="","",MARÍTIMOS[[#This Row],[Etapa Despacho - Inicio de Carga]]),"")</f>
        <v/>
      </c>
      <c r="AD448" s="11" t="str">
        <f>IFERROR(IF(MARÍTIMOS[[#This Row],[Etapa Despacho - Mitad de Carga]]="","",MARÍTIMOS[[#This Row],[Etapa Despacho - Mitad de Carga]]),"")</f>
        <v/>
      </c>
      <c r="AE448" s="11" t="str">
        <f>IFERROR(IF(MARÍTIMOS[[#This Row],[Etapa Despacho - Fin de Carga]]="","",MARÍTIMOS[[#This Row],[Etapa Despacho - Fin de Carga]]),"")</f>
        <v/>
      </c>
      <c r="AF448" s="2" t="str">
        <f>IFERROR(IF(MARÍTIMOS[[#This Row],[Puerto de Embarque]]="","",MARÍTIMOS[[#This Row],[Puerto de Embarque]]),"")</f>
        <v/>
      </c>
      <c r="AG448" s="2" t="str">
        <f>IFERROR(IF(MARÍTIMOS[[#This Row],[Almacén de Ingreso]]="","",MARÍTIMOS[[#This Row],[Almacén de Ingreso]]),"")</f>
        <v/>
      </c>
      <c r="AH448" s="11" t="str">
        <f>IFERROR(IF(MARÍTIMOS[[#This Row],[Etapa Ingreso - Cita]]="","",MARÍTIMOS[[#This Row],[Etapa Ingreso - Cita]]),"")</f>
        <v/>
      </c>
      <c r="AI448" s="11" t="str">
        <f>IFERROR(IF(MARÍTIMOS[[#This Row],[Etapa Ingreso - Llegada]]="","",MARÍTIMOS[[#This Row],[Etapa Ingreso - Llegada]]),"")</f>
        <v/>
      </c>
      <c r="AJ448" s="11" t="str">
        <f>IFERROR(IF(MARÍTIMOS[[#This Row],[Etapa Ingreso - Ingeso]]="","",MARÍTIMOS[[#This Row],[Etapa Ingreso - Ingeso]]),"")</f>
        <v/>
      </c>
      <c r="AK448" s="11" t="str">
        <f>IFERROR(IF(MARÍTIMOS[[#This Row],[Etapa Ingreso - Atención]]="","",MARÍTIMOS[[#This Row],[Etapa Ingreso - Atención]]),"")</f>
        <v/>
      </c>
      <c r="AL448" s="11" t="str">
        <f>IFERROR(IF(MARÍTIMOS[[#This Row],[Etapa Ingreso - Salida]]="","",MARÍTIMOS[[#This Row],[Etapa Ingreso - Salida]]),"")</f>
        <v/>
      </c>
      <c r="AM448" s="2" t="str">
        <f>IFERROR(IF(MARÍTIMOS[[#This Row],[FCL]]="","",MARÍTIMOS[[#This Row],[FCL]]),"")</f>
        <v/>
      </c>
      <c r="AN4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8" s="4" t="str" cm="1">
        <f t="array" ref="AO4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8" s="5" t="str">
        <f>IFERROR(OLDBD[[#This Row],[Llegada a packing]]-OLDBD[[#This Row],[Inicio de Ruta]],"")</f>
        <v/>
      </c>
      <c r="AQ448" s="6" t="str">
        <f>IFERROR(OLDBD[[#This Row],[Inicio de Ruta]]-OLDBD[[#This Row],[Salida de almacén de retiro]],"")</f>
        <v/>
      </c>
      <c r="AR4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8" s="8" t="str" cm="1">
        <f t="array" ref="AS4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8" s="9" t="str">
        <f>IFERROR(OLDBD[[#This Row],[Ingreso Packing]]-OLDBD[[#This Row],[Registro en Packing]],"")</f>
        <v/>
      </c>
      <c r="AV448" s="9" t="str">
        <f>IFERROR(OLDBD[[#This Row],[Ingreso Packing]]-OLDBD[[#This Row],[Llegada a packing]],"")</f>
        <v/>
      </c>
      <c r="AW4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8" s="5" t="str">
        <f>IFERROR(OLDBD[[#This Row],[Llegada Almacén de Ingreso]]-OLDBD[[#This Row],[Salida Packing]],"")</f>
        <v/>
      </c>
      <c r="AY448" s="4" t="str" cm="1">
        <f t="array" ref="AY4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8" s="43" t="s">
        <v>173</v>
      </c>
      <c r="BB448" s="47" t="str">
        <f>IFERROR(IF(MARÍTIMOS[[#This Row],[Estatus]]="","",MARÍTIMOS[[#This Row],[Estatus]]),"")</f>
        <v/>
      </c>
      <c r="BC448" s="43"/>
      <c r="BD448" s="46" t="str">
        <f>IFERROR(OLDBD[[#This Row],[Salida de almacén de retiro]]-OLDBD[[#This Row],[Ingreso Almacén de retiro]],"")</f>
        <v/>
      </c>
      <c r="BE448" s="46" t="str">
        <f>IFERROR(OLDBD[[#This Row],[Fin de Carga]]-OLDBD[[#This Row],[Inicio de Carga]],"")</f>
        <v/>
      </c>
    </row>
    <row r="449" spans="1:57" customFormat="1" hidden="1">
      <c r="A449" s="1"/>
      <c r="B449" s="1" t="str">
        <f>IFERROR(IF(MARÍTIMOS[[#This Row],[PP]]="","",MARÍTIMOS[[#This Row],[PP]]),"")</f>
        <v/>
      </c>
      <c r="C449" s="1" t="str">
        <f>IFERROR(IF(MARÍTIMOS[[#This Row],[Sede]]="","",MARÍTIMOS[[#This Row],[Sede]]),"")</f>
        <v/>
      </c>
      <c r="D449" s="1" t="str">
        <f>IFERROR(IF(MARÍTIMOS[[#This Row],[Instruction]]="","",MARÍTIMOS[[#This Row],[Instruction]]),"")</f>
        <v/>
      </c>
      <c r="E449" s="1"/>
      <c r="F449" s="2" t="str">
        <f>IFERROR(IF(MARÍTIMOS[[#This Row],[Transportista]]="","",MARÍTIMOS[[#This Row],[Transportista]]),"")</f>
        <v/>
      </c>
      <c r="G449" s="2" t="str">
        <f>IFERROR(IF(MARÍTIMOS[[#This Row],[Tercero]]="","",MARÍTIMOS[[#This Row],[Tercero]]),"")</f>
        <v/>
      </c>
      <c r="H449" s="2" t="str">
        <f>IFERROR(IF(MARÍTIMOS[[#This Row],[Razón Social]]="","",MARÍTIMOS[[#This Row],[Razón Social]]),"")</f>
        <v/>
      </c>
      <c r="I449" s="2" t="str">
        <f>IFERROR(IF(MARÍTIMOS[[#This Row],[RUC]]="","",MARÍTIMOS[[#This Row],[RUC]]),"")</f>
        <v/>
      </c>
      <c r="J449" s="2" t="str">
        <f>IFERROR(IF(MARÍTIMOS[[#This Row],[Placa Tracto]]="","",MARÍTIMOS[[#This Row],[Placa Tracto]]),"")</f>
        <v/>
      </c>
      <c r="K449" s="2" t="str">
        <f>IFERROR(IF(MARÍTIMOS[[#This Row],[Placa Carreta]]="","",MARÍTIMOS[[#This Row],[Placa Carreta]]),"")</f>
        <v/>
      </c>
      <c r="L449" s="44" t="str">
        <f>IFERROR(IF(MARÍTIMOS[[#This Row],[Conductor]]="","",MARÍTIMOS[[#This Row],[Conductor]]),"")</f>
        <v/>
      </c>
      <c r="M449" s="2" t="str">
        <f>IFERROR(IF(MARÍTIMOS[[#This Row],[Licencia]]="","",MARÍTIMOS[[#This Row],[Licencia]]),"")</f>
        <v/>
      </c>
      <c r="N449" s="2" t="str">
        <f>IFERROR(IF(MARÍTIMOS[[#This Row],[Número de Contacto]]="","",MARÍTIMOS[[#This Row],[Número de Contacto]]),"")</f>
        <v/>
      </c>
      <c r="O449" s="10" t="str">
        <f>IFERROR(IF(MARÍTIMOS[[#This Row],[Booking|AWB|CRT]]="","",MARÍTIMOS[[#This Row],[Booking|AWB|CRT]]),"")</f>
        <v/>
      </c>
      <c r="P449" s="2" t="str">
        <f>IFERROR(IF(MARÍTIMOS[[#This Row],[Contenedor]]="","",MARÍTIMOS[[#This Row],[Contenedor]]),"")</f>
        <v/>
      </c>
      <c r="Q449" s="2" t="str">
        <f>IFERROR(IF(MARÍTIMOS[[#This Row],[Puerto de Retiro]]="","",MARÍTIMOS[[#This Row],[Puerto de Retiro]]),"")</f>
        <v/>
      </c>
      <c r="R449" s="2" t="str">
        <f>IFERROR(IF(MARÍTIMOS[[#This Row],[Almacén de Retiro]]="","",MARÍTIMOS[[#This Row],[Almacén de Retiro]]),"")</f>
        <v/>
      </c>
      <c r="S449" s="11" t="str">
        <f>IFERROR(IF(MARÍTIMOS[[#This Row],[Etapa Retiro - Cita]]="","",MARÍTIMOS[[#This Row],[Etapa Retiro - Cita]]),"")</f>
        <v/>
      </c>
      <c r="T449" s="11" t="str">
        <f>IFERROR(IF(MARÍTIMOS[[#This Row],[Etapa Retiro - Llegada]]="","",MARÍTIMOS[[#This Row],[Etapa Retiro - Llegada]]),"")</f>
        <v/>
      </c>
      <c r="U449" s="11" t="str">
        <f>IFERROR(IF(MARÍTIMOS[[#This Row],[Etapa Retiro - Ingreso]]="","",MARÍTIMOS[[#This Row],[Etapa Retiro - Ingreso]]),"")</f>
        <v/>
      </c>
      <c r="V449" s="11" t="str">
        <f>IFERROR(IF(MARÍTIMOS[[#This Row],[Etapa Retiro - Atención]]="","",MARÍTIMOS[[#This Row],[Etapa Retiro - Atención]]),"")</f>
        <v/>
      </c>
      <c r="W449" s="11" t="str">
        <f>IFERROR(IF(MARÍTIMOS[[#This Row],[Etapa Retiro - Atención]]="","",MARÍTIMOS[[#This Row],[Etapa Retiro - Atención]]),"")</f>
        <v/>
      </c>
      <c r="X449" s="11" t="str">
        <f>IFERROR(IF(MARÍTIMOS[[#This Row],[Etapa Retiro - Inicio de Ruta]]="","",MARÍTIMOS[[#This Row],[Etapa Retiro - Inicio de Ruta]]),"")</f>
        <v/>
      </c>
      <c r="Y449" s="11" t="str">
        <f>IFERROR(IF(MARÍTIMOS[[#This Row],[Hora de Posicionamiento]]="","",MARÍTIMOS[[#This Row],[Fecha de Carga]]+MARÍTIMOS[[#This Row],[Hora de Posicionamiento]]),"")</f>
        <v/>
      </c>
      <c r="Z449" s="11" t="str">
        <f>IFERROR(IF(MARÍTIMOS[[#This Row],[Etapa Despacho - Llegada]]="","",MARÍTIMOS[[#This Row],[Etapa Despacho - Llegada]]),"")</f>
        <v/>
      </c>
      <c r="AA449" s="11" t="str">
        <f>IFERROR(IF(MARÍTIMOS[[#This Row],[Etapa Despacho - Registro]]="","",MARÍTIMOS[[#This Row],[Etapa Despacho - Registro]]),"")</f>
        <v/>
      </c>
      <c r="AB449" s="11" t="str">
        <f>IFERROR(IF(MARÍTIMOS[[#This Row],[Inspección Externa]]="","",MARÍTIMOS[[#This Row],[Inspección Externa]]),"")</f>
        <v/>
      </c>
      <c r="AC449" s="11" t="str">
        <f>IFERROR(IF(MARÍTIMOS[[#This Row],[Etapa Despacho - Inicio de Carga]]="","",MARÍTIMOS[[#This Row],[Etapa Despacho - Inicio de Carga]]),"")</f>
        <v/>
      </c>
      <c r="AD449" s="11" t="str">
        <f>IFERROR(IF(MARÍTIMOS[[#This Row],[Etapa Despacho - Mitad de Carga]]="","",MARÍTIMOS[[#This Row],[Etapa Despacho - Mitad de Carga]]),"")</f>
        <v/>
      </c>
      <c r="AE449" s="11" t="str">
        <f>IFERROR(IF(MARÍTIMOS[[#This Row],[Etapa Despacho - Fin de Carga]]="","",MARÍTIMOS[[#This Row],[Etapa Despacho - Fin de Carga]]),"")</f>
        <v/>
      </c>
      <c r="AF449" s="2" t="str">
        <f>IFERROR(IF(MARÍTIMOS[[#This Row],[Puerto de Embarque]]="","",MARÍTIMOS[[#This Row],[Puerto de Embarque]]),"")</f>
        <v/>
      </c>
      <c r="AG449" s="2" t="str">
        <f>IFERROR(IF(MARÍTIMOS[[#This Row],[Almacén de Ingreso]]="","",MARÍTIMOS[[#This Row],[Almacén de Ingreso]]),"")</f>
        <v/>
      </c>
      <c r="AH449" s="11" t="str">
        <f>IFERROR(IF(MARÍTIMOS[[#This Row],[Etapa Ingreso - Cita]]="","",MARÍTIMOS[[#This Row],[Etapa Ingreso - Cita]]),"")</f>
        <v/>
      </c>
      <c r="AI449" s="11" t="str">
        <f>IFERROR(IF(MARÍTIMOS[[#This Row],[Etapa Ingreso - Llegada]]="","",MARÍTIMOS[[#This Row],[Etapa Ingreso - Llegada]]),"")</f>
        <v/>
      </c>
      <c r="AJ449" s="11" t="str">
        <f>IFERROR(IF(MARÍTIMOS[[#This Row],[Etapa Ingreso - Ingeso]]="","",MARÍTIMOS[[#This Row],[Etapa Ingreso - Ingeso]]),"")</f>
        <v/>
      </c>
      <c r="AK449" s="11" t="str">
        <f>IFERROR(IF(MARÍTIMOS[[#This Row],[Etapa Ingreso - Atención]]="","",MARÍTIMOS[[#This Row],[Etapa Ingreso - Atención]]),"")</f>
        <v/>
      </c>
      <c r="AL449" s="11" t="str">
        <f>IFERROR(IF(MARÍTIMOS[[#This Row],[Etapa Ingreso - Salida]]="","",MARÍTIMOS[[#This Row],[Etapa Ingreso - Salida]]),"")</f>
        <v/>
      </c>
      <c r="AM449" s="2" t="str">
        <f>IFERROR(IF(MARÍTIMOS[[#This Row],[FCL]]="","",MARÍTIMOS[[#This Row],[FCL]]),"")</f>
        <v/>
      </c>
      <c r="AN4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49" s="4" t="str" cm="1">
        <f t="array" ref="AO4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49" s="5" t="str">
        <f>IFERROR(OLDBD[[#This Row],[Llegada a packing]]-OLDBD[[#This Row],[Inicio de Ruta]],"")</f>
        <v/>
      </c>
      <c r="AQ449" s="6" t="str">
        <f>IFERROR(OLDBD[[#This Row],[Inicio de Ruta]]-OLDBD[[#This Row],[Salida de almacén de retiro]],"")</f>
        <v/>
      </c>
      <c r="AR4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49" s="8" t="str" cm="1">
        <f t="array" ref="AS4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49" s="9" t="str">
        <f>IFERROR(OLDBD[[#This Row],[Ingreso Packing]]-OLDBD[[#This Row],[Registro en Packing]],"")</f>
        <v/>
      </c>
      <c r="AV449" s="9" t="str">
        <f>IFERROR(OLDBD[[#This Row],[Ingreso Packing]]-OLDBD[[#This Row],[Llegada a packing]],"")</f>
        <v/>
      </c>
      <c r="AW4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49" s="5" t="str">
        <f>IFERROR(OLDBD[[#This Row],[Llegada Almacén de Ingreso]]-OLDBD[[#This Row],[Salida Packing]],"")</f>
        <v/>
      </c>
      <c r="AY449" s="4" t="str" cm="1">
        <f t="array" ref="AY4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49" s="43" t="s">
        <v>173</v>
      </c>
      <c r="BB449" s="47" t="str">
        <f>IFERROR(IF(MARÍTIMOS[[#This Row],[Estatus]]="","",MARÍTIMOS[[#This Row],[Estatus]]),"")</f>
        <v/>
      </c>
      <c r="BC449" s="43"/>
      <c r="BD449" s="46" t="str">
        <f>IFERROR(OLDBD[[#This Row],[Salida de almacén de retiro]]-OLDBD[[#This Row],[Ingreso Almacén de retiro]],"")</f>
        <v/>
      </c>
      <c r="BE449" s="46" t="str">
        <f>IFERROR(OLDBD[[#This Row],[Fin de Carga]]-OLDBD[[#This Row],[Inicio de Carga]],"")</f>
        <v/>
      </c>
    </row>
    <row r="450" spans="1:57" customFormat="1" hidden="1">
      <c r="A450" s="1"/>
      <c r="B450" s="1" t="str">
        <f>IFERROR(IF(MARÍTIMOS[[#This Row],[PP]]="","",MARÍTIMOS[[#This Row],[PP]]),"")</f>
        <v/>
      </c>
      <c r="C450" s="1" t="str">
        <f>IFERROR(IF(MARÍTIMOS[[#This Row],[Sede]]="","",MARÍTIMOS[[#This Row],[Sede]]),"")</f>
        <v/>
      </c>
      <c r="D450" s="1" t="str">
        <f>IFERROR(IF(MARÍTIMOS[[#This Row],[Instruction]]="","",MARÍTIMOS[[#This Row],[Instruction]]),"")</f>
        <v/>
      </c>
      <c r="E450" s="1"/>
      <c r="F450" s="2" t="str">
        <f>IFERROR(IF(MARÍTIMOS[[#This Row],[Transportista]]="","",MARÍTIMOS[[#This Row],[Transportista]]),"")</f>
        <v/>
      </c>
      <c r="G450" s="2" t="str">
        <f>IFERROR(IF(MARÍTIMOS[[#This Row],[Tercero]]="","",MARÍTIMOS[[#This Row],[Tercero]]),"")</f>
        <v/>
      </c>
      <c r="H450" s="2" t="str">
        <f>IFERROR(IF(MARÍTIMOS[[#This Row],[Razón Social]]="","",MARÍTIMOS[[#This Row],[Razón Social]]),"")</f>
        <v/>
      </c>
      <c r="I450" s="2" t="str">
        <f>IFERROR(IF(MARÍTIMOS[[#This Row],[RUC]]="","",MARÍTIMOS[[#This Row],[RUC]]),"")</f>
        <v/>
      </c>
      <c r="J450" s="2" t="str">
        <f>IFERROR(IF(MARÍTIMOS[[#This Row],[Placa Tracto]]="","",MARÍTIMOS[[#This Row],[Placa Tracto]]),"")</f>
        <v/>
      </c>
      <c r="K450" s="2" t="str">
        <f>IFERROR(IF(MARÍTIMOS[[#This Row],[Placa Carreta]]="","",MARÍTIMOS[[#This Row],[Placa Carreta]]),"")</f>
        <v/>
      </c>
      <c r="L450" s="44" t="str">
        <f>IFERROR(IF(MARÍTIMOS[[#This Row],[Conductor]]="","",MARÍTIMOS[[#This Row],[Conductor]]),"")</f>
        <v/>
      </c>
      <c r="M450" s="2" t="str">
        <f>IFERROR(IF(MARÍTIMOS[[#This Row],[Licencia]]="","",MARÍTIMOS[[#This Row],[Licencia]]),"")</f>
        <v/>
      </c>
      <c r="N450" s="2" t="str">
        <f>IFERROR(IF(MARÍTIMOS[[#This Row],[Número de Contacto]]="","",MARÍTIMOS[[#This Row],[Número de Contacto]]),"")</f>
        <v/>
      </c>
      <c r="O450" s="10" t="str">
        <f>IFERROR(IF(MARÍTIMOS[[#This Row],[Booking|AWB|CRT]]="","",MARÍTIMOS[[#This Row],[Booking|AWB|CRT]]),"")</f>
        <v/>
      </c>
      <c r="P450" s="2" t="str">
        <f>IFERROR(IF(MARÍTIMOS[[#This Row],[Contenedor]]="","",MARÍTIMOS[[#This Row],[Contenedor]]),"")</f>
        <v/>
      </c>
      <c r="Q450" s="2" t="str">
        <f>IFERROR(IF(MARÍTIMOS[[#This Row],[Puerto de Retiro]]="","",MARÍTIMOS[[#This Row],[Puerto de Retiro]]),"")</f>
        <v/>
      </c>
      <c r="R450" s="2" t="str">
        <f>IFERROR(IF(MARÍTIMOS[[#This Row],[Almacén de Retiro]]="","",MARÍTIMOS[[#This Row],[Almacén de Retiro]]),"")</f>
        <v/>
      </c>
      <c r="S450" s="11" t="str">
        <f>IFERROR(IF(MARÍTIMOS[[#This Row],[Etapa Retiro - Cita]]="","",MARÍTIMOS[[#This Row],[Etapa Retiro - Cita]]),"")</f>
        <v/>
      </c>
      <c r="T450" s="11" t="str">
        <f>IFERROR(IF(MARÍTIMOS[[#This Row],[Etapa Retiro - Llegada]]="","",MARÍTIMOS[[#This Row],[Etapa Retiro - Llegada]]),"")</f>
        <v/>
      </c>
      <c r="U450" s="11" t="str">
        <f>IFERROR(IF(MARÍTIMOS[[#This Row],[Etapa Retiro - Ingreso]]="","",MARÍTIMOS[[#This Row],[Etapa Retiro - Ingreso]]),"")</f>
        <v/>
      </c>
      <c r="V450" s="11" t="str">
        <f>IFERROR(IF(MARÍTIMOS[[#This Row],[Etapa Retiro - Atención]]="","",MARÍTIMOS[[#This Row],[Etapa Retiro - Atención]]),"")</f>
        <v/>
      </c>
      <c r="W450" s="11" t="str">
        <f>IFERROR(IF(MARÍTIMOS[[#This Row],[Etapa Retiro - Atención]]="","",MARÍTIMOS[[#This Row],[Etapa Retiro - Atención]]),"")</f>
        <v/>
      </c>
      <c r="X450" s="11" t="str">
        <f>IFERROR(IF(MARÍTIMOS[[#This Row],[Etapa Retiro - Inicio de Ruta]]="","",MARÍTIMOS[[#This Row],[Etapa Retiro - Inicio de Ruta]]),"")</f>
        <v/>
      </c>
      <c r="Y450" s="11" t="str">
        <f>IFERROR(IF(MARÍTIMOS[[#This Row],[Hora de Posicionamiento]]="","",MARÍTIMOS[[#This Row],[Fecha de Carga]]+MARÍTIMOS[[#This Row],[Hora de Posicionamiento]]),"")</f>
        <v/>
      </c>
      <c r="Z450" s="11" t="str">
        <f>IFERROR(IF(MARÍTIMOS[[#This Row],[Etapa Despacho - Llegada]]="","",MARÍTIMOS[[#This Row],[Etapa Despacho - Llegada]]),"")</f>
        <v/>
      </c>
      <c r="AA450" s="11" t="str">
        <f>IFERROR(IF(MARÍTIMOS[[#This Row],[Etapa Despacho - Registro]]="","",MARÍTIMOS[[#This Row],[Etapa Despacho - Registro]]),"")</f>
        <v/>
      </c>
      <c r="AB450" s="11" t="str">
        <f>IFERROR(IF(MARÍTIMOS[[#This Row],[Inspección Externa]]="","",MARÍTIMOS[[#This Row],[Inspección Externa]]),"")</f>
        <v/>
      </c>
      <c r="AC450" s="11" t="str">
        <f>IFERROR(IF(MARÍTIMOS[[#This Row],[Etapa Despacho - Inicio de Carga]]="","",MARÍTIMOS[[#This Row],[Etapa Despacho - Inicio de Carga]]),"")</f>
        <v/>
      </c>
      <c r="AD450" s="11" t="str">
        <f>IFERROR(IF(MARÍTIMOS[[#This Row],[Etapa Despacho - Mitad de Carga]]="","",MARÍTIMOS[[#This Row],[Etapa Despacho - Mitad de Carga]]),"")</f>
        <v/>
      </c>
      <c r="AE450" s="11" t="str">
        <f>IFERROR(IF(MARÍTIMOS[[#This Row],[Etapa Despacho - Fin de Carga]]="","",MARÍTIMOS[[#This Row],[Etapa Despacho - Fin de Carga]]),"")</f>
        <v/>
      </c>
      <c r="AF450" s="2" t="str">
        <f>IFERROR(IF(MARÍTIMOS[[#This Row],[Puerto de Embarque]]="","",MARÍTIMOS[[#This Row],[Puerto de Embarque]]),"")</f>
        <v/>
      </c>
      <c r="AG450" s="2" t="str">
        <f>IFERROR(IF(MARÍTIMOS[[#This Row],[Almacén de Ingreso]]="","",MARÍTIMOS[[#This Row],[Almacén de Ingreso]]),"")</f>
        <v/>
      </c>
      <c r="AH450" s="11" t="str">
        <f>IFERROR(IF(MARÍTIMOS[[#This Row],[Etapa Ingreso - Cita]]="","",MARÍTIMOS[[#This Row],[Etapa Ingreso - Cita]]),"")</f>
        <v/>
      </c>
      <c r="AI450" s="11" t="str">
        <f>IFERROR(IF(MARÍTIMOS[[#This Row],[Etapa Ingreso - Llegada]]="","",MARÍTIMOS[[#This Row],[Etapa Ingreso - Llegada]]),"")</f>
        <v/>
      </c>
      <c r="AJ450" s="11" t="str">
        <f>IFERROR(IF(MARÍTIMOS[[#This Row],[Etapa Ingreso - Ingeso]]="","",MARÍTIMOS[[#This Row],[Etapa Ingreso - Ingeso]]),"")</f>
        <v/>
      </c>
      <c r="AK450" s="11" t="str">
        <f>IFERROR(IF(MARÍTIMOS[[#This Row],[Etapa Ingreso - Atención]]="","",MARÍTIMOS[[#This Row],[Etapa Ingreso - Atención]]),"")</f>
        <v/>
      </c>
      <c r="AL450" s="11" t="str">
        <f>IFERROR(IF(MARÍTIMOS[[#This Row],[Etapa Ingreso - Salida]]="","",MARÍTIMOS[[#This Row],[Etapa Ingreso - Salida]]),"")</f>
        <v/>
      </c>
      <c r="AM450" s="2" t="str">
        <f>IFERROR(IF(MARÍTIMOS[[#This Row],[FCL]]="","",MARÍTIMOS[[#This Row],[FCL]]),"")</f>
        <v/>
      </c>
      <c r="AN4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0" s="4" t="str" cm="1">
        <f t="array" ref="AO4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0" s="5" t="str">
        <f>IFERROR(OLDBD[[#This Row],[Llegada a packing]]-OLDBD[[#This Row],[Inicio de Ruta]],"")</f>
        <v/>
      </c>
      <c r="AQ450" s="6" t="str">
        <f>IFERROR(OLDBD[[#This Row],[Inicio de Ruta]]-OLDBD[[#This Row],[Salida de almacén de retiro]],"")</f>
        <v/>
      </c>
      <c r="AR4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0" s="8" t="str" cm="1">
        <f t="array" ref="AS4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0" s="9" t="str">
        <f>IFERROR(OLDBD[[#This Row],[Ingreso Packing]]-OLDBD[[#This Row],[Registro en Packing]],"")</f>
        <v/>
      </c>
      <c r="AV450" s="9" t="str">
        <f>IFERROR(OLDBD[[#This Row],[Ingreso Packing]]-OLDBD[[#This Row],[Llegada a packing]],"")</f>
        <v/>
      </c>
      <c r="AW4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0" s="5" t="str">
        <f>IFERROR(OLDBD[[#This Row],[Llegada Almacén de Ingreso]]-OLDBD[[#This Row],[Salida Packing]],"")</f>
        <v/>
      </c>
      <c r="AY450" s="4" t="str" cm="1">
        <f t="array" ref="AY4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0" s="43" t="s">
        <v>173</v>
      </c>
      <c r="BB450" s="47" t="str">
        <f>IFERROR(IF(MARÍTIMOS[[#This Row],[Estatus]]="","",MARÍTIMOS[[#This Row],[Estatus]]),"")</f>
        <v/>
      </c>
      <c r="BC450" s="43"/>
      <c r="BD450" s="46" t="str">
        <f>IFERROR(OLDBD[[#This Row],[Salida de almacén de retiro]]-OLDBD[[#This Row],[Ingreso Almacén de retiro]],"")</f>
        <v/>
      </c>
      <c r="BE450" s="46" t="str">
        <f>IFERROR(OLDBD[[#This Row],[Fin de Carga]]-OLDBD[[#This Row],[Inicio de Carga]],"")</f>
        <v/>
      </c>
    </row>
    <row r="451" spans="1:57" customFormat="1" hidden="1">
      <c r="A451" s="1"/>
      <c r="B451" s="1" t="str">
        <f>IFERROR(IF(MARÍTIMOS[[#This Row],[PP]]="","",MARÍTIMOS[[#This Row],[PP]]),"")</f>
        <v/>
      </c>
      <c r="C451" s="1" t="str">
        <f>IFERROR(IF(MARÍTIMOS[[#This Row],[Sede]]="","",MARÍTIMOS[[#This Row],[Sede]]),"")</f>
        <v/>
      </c>
      <c r="D451" s="1" t="str">
        <f>IFERROR(IF(MARÍTIMOS[[#This Row],[Instruction]]="","",MARÍTIMOS[[#This Row],[Instruction]]),"")</f>
        <v/>
      </c>
      <c r="E451" s="1"/>
      <c r="F451" s="2" t="str">
        <f>IFERROR(IF(MARÍTIMOS[[#This Row],[Transportista]]="","",MARÍTIMOS[[#This Row],[Transportista]]),"")</f>
        <v/>
      </c>
      <c r="G451" s="2" t="str">
        <f>IFERROR(IF(MARÍTIMOS[[#This Row],[Tercero]]="","",MARÍTIMOS[[#This Row],[Tercero]]),"")</f>
        <v/>
      </c>
      <c r="H451" s="2" t="str">
        <f>IFERROR(IF(MARÍTIMOS[[#This Row],[Razón Social]]="","",MARÍTIMOS[[#This Row],[Razón Social]]),"")</f>
        <v/>
      </c>
      <c r="I451" s="2" t="str">
        <f>IFERROR(IF(MARÍTIMOS[[#This Row],[RUC]]="","",MARÍTIMOS[[#This Row],[RUC]]),"")</f>
        <v/>
      </c>
      <c r="J451" s="2" t="str">
        <f>IFERROR(IF(MARÍTIMOS[[#This Row],[Placa Tracto]]="","",MARÍTIMOS[[#This Row],[Placa Tracto]]),"")</f>
        <v/>
      </c>
      <c r="K451" s="2" t="str">
        <f>IFERROR(IF(MARÍTIMOS[[#This Row],[Placa Carreta]]="","",MARÍTIMOS[[#This Row],[Placa Carreta]]),"")</f>
        <v/>
      </c>
      <c r="L451" s="44" t="str">
        <f>IFERROR(IF(MARÍTIMOS[[#This Row],[Conductor]]="","",MARÍTIMOS[[#This Row],[Conductor]]),"")</f>
        <v/>
      </c>
      <c r="M451" s="2" t="str">
        <f>IFERROR(IF(MARÍTIMOS[[#This Row],[Licencia]]="","",MARÍTIMOS[[#This Row],[Licencia]]),"")</f>
        <v/>
      </c>
      <c r="N451" s="2" t="str">
        <f>IFERROR(IF(MARÍTIMOS[[#This Row],[Número de Contacto]]="","",MARÍTIMOS[[#This Row],[Número de Contacto]]),"")</f>
        <v/>
      </c>
      <c r="O451" s="10" t="str">
        <f>IFERROR(IF(MARÍTIMOS[[#This Row],[Booking|AWB|CRT]]="","",MARÍTIMOS[[#This Row],[Booking|AWB|CRT]]),"")</f>
        <v/>
      </c>
      <c r="P451" s="2" t="str">
        <f>IFERROR(IF(MARÍTIMOS[[#This Row],[Contenedor]]="","",MARÍTIMOS[[#This Row],[Contenedor]]),"")</f>
        <v/>
      </c>
      <c r="Q451" s="2" t="str">
        <f>IFERROR(IF(MARÍTIMOS[[#This Row],[Puerto de Retiro]]="","",MARÍTIMOS[[#This Row],[Puerto de Retiro]]),"")</f>
        <v/>
      </c>
      <c r="R451" s="2" t="str">
        <f>IFERROR(IF(MARÍTIMOS[[#This Row],[Almacén de Retiro]]="","",MARÍTIMOS[[#This Row],[Almacén de Retiro]]),"")</f>
        <v/>
      </c>
      <c r="S451" s="11" t="str">
        <f>IFERROR(IF(MARÍTIMOS[[#This Row],[Etapa Retiro - Cita]]="","",MARÍTIMOS[[#This Row],[Etapa Retiro - Cita]]),"")</f>
        <v/>
      </c>
      <c r="T451" s="11" t="str">
        <f>IFERROR(IF(MARÍTIMOS[[#This Row],[Etapa Retiro - Llegada]]="","",MARÍTIMOS[[#This Row],[Etapa Retiro - Llegada]]),"")</f>
        <v/>
      </c>
      <c r="U451" s="11" t="str">
        <f>IFERROR(IF(MARÍTIMOS[[#This Row],[Etapa Retiro - Ingreso]]="","",MARÍTIMOS[[#This Row],[Etapa Retiro - Ingreso]]),"")</f>
        <v/>
      </c>
      <c r="V451" s="11" t="str">
        <f>IFERROR(IF(MARÍTIMOS[[#This Row],[Etapa Retiro - Atención]]="","",MARÍTIMOS[[#This Row],[Etapa Retiro - Atención]]),"")</f>
        <v/>
      </c>
      <c r="W451" s="11" t="str">
        <f>IFERROR(IF(MARÍTIMOS[[#This Row],[Etapa Retiro - Atención]]="","",MARÍTIMOS[[#This Row],[Etapa Retiro - Atención]]),"")</f>
        <v/>
      </c>
      <c r="X451" s="11" t="str">
        <f>IFERROR(IF(MARÍTIMOS[[#This Row],[Etapa Retiro - Inicio de Ruta]]="","",MARÍTIMOS[[#This Row],[Etapa Retiro - Inicio de Ruta]]),"")</f>
        <v/>
      </c>
      <c r="Y451" s="11" t="str">
        <f>IFERROR(IF(MARÍTIMOS[[#This Row],[Hora de Posicionamiento]]="","",MARÍTIMOS[[#This Row],[Fecha de Carga]]+MARÍTIMOS[[#This Row],[Hora de Posicionamiento]]),"")</f>
        <v/>
      </c>
      <c r="Z451" s="11" t="str">
        <f>IFERROR(IF(MARÍTIMOS[[#This Row],[Etapa Despacho - Llegada]]="","",MARÍTIMOS[[#This Row],[Etapa Despacho - Llegada]]),"")</f>
        <v/>
      </c>
      <c r="AA451" s="11" t="str">
        <f>IFERROR(IF(MARÍTIMOS[[#This Row],[Etapa Despacho - Registro]]="","",MARÍTIMOS[[#This Row],[Etapa Despacho - Registro]]),"")</f>
        <v/>
      </c>
      <c r="AB451" s="11" t="str">
        <f>IFERROR(IF(MARÍTIMOS[[#This Row],[Inspección Externa]]="","",MARÍTIMOS[[#This Row],[Inspección Externa]]),"")</f>
        <v/>
      </c>
      <c r="AC451" s="11" t="str">
        <f>IFERROR(IF(MARÍTIMOS[[#This Row],[Etapa Despacho - Inicio de Carga]]="","",MARÍTIMOS[[#This Row],[Etapa Despacho - Inicio de Carga]]),"")</f>
        <v/>
      </c>
      <c r="AD451" s="11" t="str">
        <f>IFERROR(IF(MARÍTIMOS[[#This Row],[Etapa Despacho - Mitad de Carga]]="","",MARÍTIMOS[[#This Row],[Etapa Despacho - Mitad de Carga]]),"")</f>
        <v/>
      </c>
      <c r="AE451" s="11" t="str">
        <f>IFERROR(IF(MARÍTIMOS[[#This Row],[Etapa Despacho - Fin de Carga]]="","",MARÍTIMOS[[#This Row],[Etapa Despacho - Fin de Carga]]),"")</f>
        <v/>
      </c>
      <c r="AF451" s="2" t="str">
        <f>IFERROR(IF(MARÍTIMOS[[#This Row],[Puerto de Embarque]]="","",MARÍTIMOS[[#This Row],[Puerto de Embarque]]),"")</f>
        <v/>
      </c>
      <c r="AG451" s="2" t="str">
        <f>IFERROR(IF(MARÍTIMOS[[#This Row],[Almacén de Ingreso]]="","",MARÍTIMOS[[#This Row],[Almacén de Ingreso]]),"")</f>
        <v/>
      </c>
      <c r="AH451" s="11" t="str">
        <f>IFERROR(IF(MARÍTIMOS[[#This Row],[Etapa Ingreso - Cita]]="","",MARÍTIMOS[[#This Row],[Etapa Ingreso - Cita]]),"")</f>
        <v/>
      </c>
      <c r="AI451" s="11" t="str">
        <f>IFERROR(IF(MARÍTIMOS[[#This Row],[Etapa Ingreso - Llegada]]="","",MARÍTIMOS[[#This Row],[Etapa Ingreso - Llegada]]),"")</f>
        <v/>
      </c>
      <c r="AJ451" s="11" t="str">
        <f>IFERROR(IF(MARÍTIMOS[[#This Row],[Etapa Ingreso - Ingeso]]="","",MARÍTIMOS[[#This Row],[Etapa Ingreso - Ingeso]]),"")</f>
        <v/>
      </c>
      <c r="AK451" s="11" t="str">
        <f>IFERROR(IF(MARÍTIMOS[[#This Row],[Etapa Ingreso - Atención]]="","",MARÍTIMOS[[#This Row],[Etapa Ingreso - Atención]]),"")</f>
        <v/>
      </c>
      <c r="AL451" s="11" t="str">
        <f>IFERROR(IF(MARÍTIMOS[[#This Row],[Etapa Ingreso - Salida]]="","",MARÍTIMOS[[#This Row],[Etapa Ingreso - Salida]]),"")</f>
        <v/>
      </c>
      <c r="AM451" s="2" t="str">
        <f>IFERROR(IF(MARÍTIMOS[[#This Row],[FCL]]="","",MARÍTIMOS[[#This Row],[FCL]]),"")</f>
        <v/>
      </c>
      <c r="AN4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1" s="4" t="str" cm="1">
        <f t="array" ref="AO4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1" s="5" t="str">
        <f>IFERROR(OLDBD[[#This Row],[Llegada a packing]]-OLDBD[[#This Row],[Inicio de Ruta]],"")</f>
        <v/>
      </c>
      <c r="AQ451" s="6" t="str">
        <f>IFERROR(OLDBD[[#This Row],[Inicio de Ruta]]-OLDBD[[#This Row],[Salida de almacén de retiro]],"")</f>
        <v/>
      </c>
      <c r="AR4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1" s="8" t="str" cm="1">
        <f t="array" ref="AS4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1" s="9" t="str">
        <f>IFERROR(OLDBD[[#This Row],[Ingreso Packing]]-OLDBD[[#This Row],[Registro en Packing]],"")</f>
        <v/>
      </c>
      <c r="AV451" s="9" t="str">
        <f>IFERROR(OLDBD[[#This Row],[Ingreso Packing]]-OLDBD[[#This Row],[Llegada a packing]],"")</f>
        <v/>
      </c>
      <c r="AW4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1" s="5" t="str">
        <f>IFERROR(OLDBD[[#This Row],[Llegada Almacén de Ingreso]]-OLDBD[[#This Row],[Salida Packing]],"")</f>
        <v/>
      </c>
      <c r="AY451" s="4" t="str" cm="1">
        <f t="array" ref="AY4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1" s="43" t="s">
        <v>173</v>
      </c>
      <c r="BB451" s="47" t="str">
        <f>IFERROR(IF(MARÍTIMOS[[#This Row],[Estatus]]="","",MARÍTIMOS[[#This Row],[Estatus]]),"")</f>
        <v/>
      </c>
      <c r="BC451" s="43"/>
      <c r="BD451" s="46" t="str">
        <f>IFERROR(OLDBD[[#This Row],[Salida de almacén de retiro]]-OLDBD[[#This Row],[Ingreso Almacén de retiro]],"")</f>
        <v/>
      </c>
      <c r="BE451" s="46" t="str">
        <f>IFERROR(OLDBD[[#This Row],[Fin de Carga]]-OLDBD[[#This Row],[Inicio de Carga]],"")</f>
        <v/>
      </c>
    </row>
    <row r="452" spans="1:57" customFormat="1" hidden="1">
      <c r="A452" s="1"/>
      <c r="B452" s="1" t="str">
        <f>IFERROR(IF(MARÍTIMOS[[#This Row],[PP]]="","",MARÍTIMOS[[#This Row],[PP]]),"")</f>
        <v/>
      </c>
      <c r="C452" s="1" t="str">
        <f>IFERROR(IF(MARÍTIMOS[[#This Row],[Sede]]="","",MARÍTIMOS[[#This Row],[Sede]]),"")</f>
        <v/>
      </c>
      <c r="D452" s="1" t="str">
        <f>IFERROR(IF(MARÍTIMOS[[#This Row],[Instruction]]="","",MARÍTIMOS[[#This Row],[Instruction]]),"")</f>
        <v/>
      </c>
      <c r="E452" s="1"/>
      <c r="F452" s="2" t="str">
        <f>IFERROR(IF(MARÍTIMOS[[#This Row],[Transportista]]="","",MARÍTIMOS[[#This Row],[Transportista]]),"")</f>
        <v/>
      </c>
      <c r="G452" s="2" t="str">
        <f>IFERROR(IF(MARÍTIMOS[[#This Row],[Tercero]]="","",MARÍTIMOS[[#This Row],[Tercero]]),"")</f>
        <v/>
      </c>
      <c r="H452" s="2" t="str">
        <f>IFERROR(IF(MARÍTIMOS[[#This Row],[Razón Social]]="","",MARÍTIMOS[[#This Row],[Razón Social]]),"")</f>
        <v/>
      </c>
      <c r="I452" s="2" t="str">
        <f>IFERROR(IF(MARÍTIMOS[[#This Row],[RUC]]="","",MARÍTIMOS[[#This Row],[RUC]]),"")</f>
        <v/>
      </c>
      <c r="J452" s="2" t="str">
        <f>IFERROR(IF(MARÍTIMOS[[#This Row],[Placa Tracto]]="","",MARÍTIMOS[[#This Row],[Placa Tracto]]),"")</f>
        <v/>
      </c>
      <c r="K452" s="2" t="str">
        <f>IFERROR(IF(MARÍTIMOS[[#This Row],[Placa Carreta]]="","",MARÍTIMOS[[#This Row],[Placa Carreta]]),"")</f>
        <v/>
      </c>
      <c r="L452" s="44" t="str">
        <f>IFERROR(IF(MARÍTIMOS[[#This Row],[Conductor]]="","",MARÍTIMOS[[#This Row],[Conductor]]),"")</f>
        <v/>
      </c>
      <c r="M452" s="2" t="str">
        <f>IFERROR(IF(MARÍTIMOS[[#This Row],[Licencia]]="","",MARÍTIMOS[[#This Row],[Licencia]]),"")</f>
        <v/>
      </c>
      <c r="N452" s="2" t="str">
        <f>IFERROR(IF(MARÍTIMOS[[#This Row],[Número de Contacto]]="","",MARÍTIMOS[[#This Row],[Número de Contacto]]),"")</f>
        <v/>
      </c>
      <c r="O452" s="10" t="str">
        <f>IFERROR(IF(MARÍTIMOS[[#This Row],[Booking|AWB|CRT]]="","",MARÍTIMOS[[#This Row],[Booking|AWB|CRT]]),"")</f>
        <v/>
      </c>
      <c r="P452" s="2" t="str">
        <f>IFERROR(IF(MARÍTIMOS[[#This Row],[Contenedor]]="","",MARÍTIMOS[[#This Row],[Contenedor]]),"")</f>
        <v/>
      </c>
      <c r="Q452" s="2" t="str">
        <f>IFERROR(IF(MARÍTIMOS[[#This Row],[Puerto de Retiro]]="","",MARÍTIMOS[[#This Row],[Puerto de Retiro]]),"")</f>
        <v/>
      </c>
      <c r="R452" s="2" t="str">
        <f>IFERROR(IF(MARÍTIMOS[[#This Row],[Almacén de Retiro]]="","",MARÍTIMOS[[#This Row],[Almacén de Retiro]]),"")</f>
        <v/>
      </c>
      <c r="S452" s="11" t="str">
        <f>IFERROR(IF(MARÍTIMOS[[#This Row],[Etapa Retiro - Cita]]="","",MARÍTIMOS[[#This Row],[Etapa Retiro - Cita]]),"")</f>
        <v/>
      </c>
      <c r="T452" s="11" t="str">
        <f>IFERROR(IF(MARÍTIMOS[[#This Row],[Etapa Retiro - Llegada]]="","",MARÍTIMOS[[#This Row],[Etapa Retiro - Llegada]]),"")</f>
        <v/>
      </c>
      <c r="U452" s="11" t="str">
        <f>IFERROR(IF(MARÍTIMOS[[#This Row],[Etapa Retiro - Ingreso]]="","",MARÍTIMOS[[#This Row],[Etapa Retiro - Ingreso]]),"")</f>
        <v/>
      </c>
      <c r="V452" s="11" t="str">
        <f>IFERROR(IF(MARÍTIMOS[[#This Row],[Etapa Retiro - Atención]]="","",MARÍTIMOS[[#This Row],[Etapa Retiro - Atención]]),"")</f>
        <v/>
      </c>
      <c r="W452" s="11" t="str">
        <f>IFERROR(IF(MARÍTIMOS[[#This Row],[Etapa Retiro - Atención]]="","",MARÍTIMOS[[#This Row],[Etapa Retiro - Atención]]),"")</f>
        <v/>
      </c>
      <c r="X452" s="11" t="str">
        <f>IFERROR(IF(MARÍTIMOS[[#This Row],[Etapa Retiro - Inicio de Ruta]]="","",MARÍTIMOS[[#This Row],[Etapa Retiro - Inicio de Ruta]]),"")</f>
        <v/>
      </c>
      <c r="Y452" s="11" t="str">
        <f>IFERROR(IF(MARÍTIMOS[[#This Row],[Hora de Posicionamiento]]="","",MARÍTIMOS[[#This Row],[Fecha de Carga]]+MARÍTIMOS[[#This Row],[Hora de Posicionamiento]]),"")</f>
        <v/>
      </c>
      <c r="Z452" s="11" t="str">
        <f>IFERROR(IF(MARÍTIMOS[[#This Row],[Etapa Despacho - Llegada]]="","",MARÍTIMOS[[#This Row],[Etapa Despacho - Llegada]]),"")</f>
        <v/>
      </c>
      <c r="AA452" s="11" t="str">
        <f>IFERROR(IF(MARÍTIMOS[[#This Row],[Etapa Despacho - Registro]]="","",MARÍTIMOS[[#This Row],[Etapa Despacho - Registro]]),"")</f>
        <v/>
      </c>
      <c r="AB452" s="11" t="str">
        <f>IFERROR(IF(MARÍTIMOS[[#This Row],[Inspección Externa]]="","",MARÍTIMOS[[#This Row],[Inspección Externa]]),"")</f>
        <v/>
      </c>
      <c r="AC452" s="11" t="str">
        <f>IFERROR(IF(MARÍTIMOS[[#This Row],[Etapa Despacho - Inicio de Carga]]="","",MARÍTIMOS[[#This Row],[Etapa Despacho - Inicio de Carga]]),"")</f>
        <v/>
      </c>
      <c r="AD452" s="11" t="str">
        <f>IFERROR(IF(MARÍTIMOS[[#This Row],[Etapa Despacho - Mitad de Carga]]="","",MARÍTIMOS[[#This Row],[Etapa Despacho - Mitad de Carga]]),"")</f>
        <v/>
      </c>
      <c r="AE452" s="11" t="str">
        <f>IFERROR(IF(MARÍTIMOS[[#This Row],[Etapa Despacho - Fin de Carga]]="","",MARÍTIMOS[[#This Row],[Etapa Despacho - Fin de Carga]]),"")</f>
        <v/>
      </c>
      <c r="AF452" s="2" t="str">
        <f>IFERROR(IF(MARÍTIMOS[[#This Row],[Puerto de Embarque]]="","",MARÍTIMOS[[#This Row],[Puerto de Embarque]]),"")</f>
        <v/>
      </c>
      <c r="AG452" s="2" t="str">
        <f>IFERROR(IF(MARÍTIMOS[[#This Row],[Almacén de Ingreso]]="","",MARÍTIMOS[[#This Row],[Almacén de Ingreso]]),"")</f>
        <v/>
      </c>
      <c r="AH452" s="11" t="str">
        <f>IFERROR(IF(MARÍTIMOS[[#This Row],[Etapa Ingreso - Cita]]="","",MARÍTIMOS[[#This Row],[Etapa Ingreso - Cita]]),"")</f>
        <v/>
      </c>
      <c r="AI452" s="11" t="str">
        <f>IFERROR(IF(MARÍTIMOS[[#This Row],[Etapa Ingreso - Llegada]]="","",MARÍTIMOS[[#This Row],[Etapa Ingreso - Llegada]]),"")</f>
        <v/>
      </c>
      <c r="AJ452" s="11" t="str">
        <f>IFERROR(IF(MARÍTIMOS[[#This Row],[Etapa Ingreso - Ingeso]]="","",MARÍTIMOS[[#This Row],[Etapa Ingreso - Ingeso]]),"")</f>
        <v/>
      </c>
      <c r="AK452" s="11" t="str">
        <f>IFERROR(IF(MARÍTIMOS[[#This Row],[Etapa Ingreso - Atención]]="","",MARÍTIMOS[[#This Row],[Etapa Ingreso - Atención]]),"")</f>
        <v/>
      </c>
      <c r="AL452" s="11" t="str">
        <f>IFERROR(IF(MARÍTIMOS[[#This Row],[Etapa Ingreso - Salida]]="","",MARÍTIMOS[[#This Row],[Etapa Ingreso - Salida]]),"")</f>
        <v/>
      </c>
      <c r="AM452" s="2" t="str">
        <f>IFERROR(IF(MARÍTIMOS[[#This Row],[FCL]]="","",MARÍTIMOS[[#This Row],[FCL]]),"")</f>
        <v/>
      </c>
      <c r="AN4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2" s="4" t="str" cm="1">
        <f t="array" ref="AO4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2" s="5" t="str">
        <f>IFERROR(OLDBD[[#This Row],[Llegada a packing]]-OLDBD[[#This Row],[Inicio de Ruta]],"")</f>
        <v/>
      </c>
      <c r="AQ452" s="6" t="str">
        <f>IFERROR(OLDBD[[#This Row],[Inicio de Ruta]]-OLDBD[[#This Row],[Salida de almacén de retiro]],"")</f>
        <v/>
      </c>
      <c r="AR4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2" s="8" t="str" cm="1">
        <f t="array" ref="AS4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2" s="9" t="str">
        <f>IFERROR(OLDBD[[#This Row],[Ingreso Packing]]-OLDBD[[#This Row],[Registro en Packing]],"")</f>
        <v/>
      </c>
      <c r="AV452" s="9" t="str">
        <f>IFERROR(OLDBD[[#This Row],[Ingreso Packing]]-OLDBD[[#This Row],[Llegada a packing]],"")</f>
        <v/>
      </c>
      <c r="AW4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2" s="5" t="str">
        <f>IFERROR(OLDBD[[#This Row],[Llegada Almacén de Ingreso]]-OLDBD[[#This Row],[Salida Packing]],"")</f>
        <v/>
      </c>
      <c r="AY452" s="4" t="str" cm="1">
        <f t="array" ref="AY4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2" s="43" t="s">
        <v>173</v>
      </c>
      <c r="BB452" s="47" t="str">
        <f>IFERROR(IF(MARÍTIMOS[[#This Row],[Estatus]]="","",MARÍTIMOS[[#This Row],[Estatus]]),"")</f>
        <v/>
      </c>
      <c r="BC452" s="43"/>
      <c r="BD452" s="46" t="str">
        <f>IFERROR(OLDBD[[#This Row],[Salida de almacén de retiro]]-OLDBD[[#This Row],[Ingreso Almacén de retiro]],"")</f>
        <v/>
      </c>
      <c r="BE452" s="46" t="str">
        <f>IFERROR(OLDBD[[#This Row],[Fin de Carga]]-OLDBD[[#This Row],[Inicio de Carga]],"")</f>
        <v/>
      </c>
    </row>
    <row r="453" spans="1:57" customFormat="1" hidden="1">
      <c r="A453" s="1"/>
      <c r="B453" s="1" t="str">
        <f>IFERROR(IF(MARÍTIMOS[[#This Row],[PP]]="","",MARÍTIMOS[[#This Row],[PP]]),"")</f>
        <v/>
      </c>
      <c r="C453" s="1" t="str">
        <f>IFERROR(IF(MARÍTIMOS[[#This Row],[Sede]]="","",MARÍTIMOS[[#This Row],[Sede]]),"")</f>
        <v/>
      </c>
      <c r="D453" s="1" t="str">
        <f>IFERROR(IF(MARÍTIMOS[[#This Row],[Instruction]]="","",MARÍTIMOS[[#This Row],[Instruction]]),"")</f>
        <v/>
      </c>
      <c r="E453" s="1"/>
      <c r="F453" s="2" t="str">
        <f>IFERROR(IF(MARÍTIMOS[[#This Row],[Transportista]]="","",MARÍTIMOS[[#This Row],[Transportista]]),"")</f>
        <v/>
      </c>
      <c r="G453" s="2" t="str">
        <f>IFERROR(IF(MARÍTIMOS[[#This Row],[Tercero]]="","",MARÍTIMOS[[#This Row],[Tercero]]),"")</f>
        <v/>
      </c>
      <c r="H453" s="2" t="str">
        <f>IFERROR(IF(MARÍTIMOS[[#This Row],[Razón Social]]="","",MARÍTIMOS[[#This Row],[Razón Social]]),"")</f>
        <v/>
      </c>
      <c r="I453" s="2" t="str">
        <f>IFERROR(IF(MARÍTIMOS[[#This Row],[RUC]]="","",MARÍTIMOS[[#This Row],[RUC]]),"")</f>
        <v/>
      </c>
      <c r="J453" s="2" t="str">
        <f>IFERROR(IF(MARÍTIMOS[[#This Row],[Placa Tracto]]="","",MARÍTIMOS[[#This Row],[Placa Tracto]]),"")</f>
        <v/>
      </c>
      <c r="K453" s="2" t="str">
        <f>IFERROR(IF(MARÍTIMOS[[#This Row],[Placa Carreta]]="","",MARÍTIMOS[[#This Row],[Placa Carreta]]),"")</f>
        <v/>
      </c>
      <c r="L453" s="44" t="str">
        <f>IFERROR(IF(MARÍTIMOS[[#This Row],[Conductor]]="","",MARÍTIMOS[[#This Row],[Conductor]]),"")</f>
        <v/>
      </c>
      <c r="M453" s="2" t="str">
        <f>IFERROR(IF(MARÍTIMOS[[#This Row],[Licencia]]="","",MARÍTIMOS[[#This Row],[Licencia]]),"")</f>
        <v/>
      </c>
      <c r="N453" s="2" t="str">
        <f>IFERROR(IF(MARÍTIMOS[[#This Row],[Número de Contacto]]="","",MARÍTIMOS[[#This Row],[Número de Contacto]]),"")</f>
        <v/>
      </c>
      <c r="O453" s="10" t="str">
        <f>IFERROR(IF(MARÍTIMOS[[#This Row],[Booking|AWB|CRT]]="","",MARÍTIMOS[[#This Row],[Booking|AWB|CRT]]),"")</f>
        <v/>
      </c>
      <c r="P453" s="2" t="str">
        <f>IFERROR(IF(MARÍTIMOS[[#This Row],[Contenedor]]="","",MARÍTIMOS[[#This Row],[Contenedor]]),"")</f>
        <v/>
      </c>
      <c r="Q453" s="2" t="str">
        <f>IFERROR(IF(MARÍTIMOS[[#This Row],[Puerto de Retiro]]="","",MARÍTIMOS[[#This Row],[Puerto de Retiro]]),"")</f>
        <v/>
      </c>
      <c r="R453" s="2" t="str">
        <f>IFERROR(IF(MARÍTIMOS[[#This Row],[Almacén de Retiro]]="","",MARÍTIMOS[[#This Row],[Almacén de Retiro]]),"")</f>
        <v/>
      </c>
      <c r="S453" s="11" t="str">
        <f>IFERROR(IF(MARÍTIMOS[[#This Row],[Etapa Retiro - Cita]]="","",MARÍTIMOS[[#This Row],[Etapa Retiro - Cita]]),"")</f>
        <v/>
      </c>
      <c r="T453" s="11" t="str">
        <f>IFERROR(IF(MARÍTIMOS[[#This Row],[Etapa Retiro - Llegada]]="","",MARÍTIMOS[[#This Row],[Etapa Retiro - Llegada]]),"")</f>
        <v/>
      </c>
      <c r="U453" s="11" t="str">
        <f>IFERROR(IF(MARÍTIMOS[[#This Row],[Etapa Retiro - Ingreso]]="","",MARÍTIMOS[[#This Row],[Etapa Retiro - Ingreso]]),"")</f>
        <v/>
      </c>
      <c r="V453" s="11" t="str">
        <f>IFERROR(IF(MARÍTIMOS[[#This Row],[Etapa Retiro - Atención]]="","",MARÍTIMOS[[#This Row],[Etapa Retiro - Atención]]),"")</f>
        <v/>
      </c>
      <c r="W453" s="11" t="str">
        <f>IFERROR(IF(MARÍTIMOS[[#This Row],[Etapa Retiro - Atención]]="","",MARÍTIMOS[[#This Row],[Etapa Retiro - Atención]]),"")</f>
        <v/>
      </c>
      <c r="X453" s="11" t="str">
        <f>IFERROR(IF(MARÍTIMOS[[#This Row],[Etapa Retiro - Inicio de Ruta]]="","",MARÍTIMOS[[#This Row],[Etapa Retiro - Inicio de Ruta]]),"")</f>
        <v/>
      </c>
      <c r="Y453" s="11" t="str">
        <f>IFERROR(IF(MARÍTIMOS[[#This Row],[Hora de Posicionamiento]]="","",MARÍTIMOS[[#This Row],[Fecha de Carga]]+MARÍTIMOS[[#This Row],[Hora de Posicionamiento]]),"")</f>
        <v/>
      </c>
      <c r="Z453" s="11" t="str">
        <f>IFERROR(IF(MARÍTIMOS[[#This Row],[Etapa Despacho - Llegada]]="","",MARÍTIMOS[[#This Row],[Etapa Despacho - Llegada]]),"")</f>
        <v/>
      </c>
      <c r="AA453" s="11" t="str">
        <f>IFERROR(IF(MARÍTIMOS[[#This Row],[Etapa Despacho - Registro]]="","",MARÍTIMOS[[#This Row],[Etapa Despacho - Registro]]),"")</f>
        <v/>
      </c>
      <c r="AB453" s="11" t="str">
        <f>IFERROR(IF(MARÍTIMOS[[#This Row],[Inspección Externa]]="","",MARÍTIMOS[[#This Row],[Inspección Externa]]),"")</f>
        <v/>
      </c>
      <c r="AC453" s="11" t="str">
        <f>IFERROR(IF(MARÍTIMOS[[#This Row],[Etapa Despacho - Inicio de Carga]]="","",MARÍTIMOS[[#This Row],[Etapa Despacho - Inicio de Carga]]),"")</f>
        <v/>
      </c>
      <c r="AD453" s="11" t="str">
        <f>IFERROR(IF(MARÍTIMOS[[#This Row],[Etapa Despacho - Mitad de Carga]]="","",MARÍTIMOS[[#This Row],[Etapa Despacho - Mitad de Carga]]),"")</f>
        <v/>
      </c>
      <c r="AE453" s="11" t="str">
        <f>IFERROR(IF(MARÍTIMOS[[#This Row],[Etapa Despacho - Fin de Carga]]="","",MARÍTIMOS[[#This Row],[Etapa Despacho - Fin de Carga]]),"")</f>
        <v/>
      </c>
      <c r="AF453" s="2" t="str">
        <f>IFERROR(IF(MARÍTIMOS[[#This Row],[Puerto de Embarque]]="","",MARÍTIMOS[[#This Row],[Puerto de Embarque]]),"")</f>
        <v/>
      </c>
      <c r="AG453" s="2" t="str">
        <f>IFERROR(IF(MARÍTIMOS[[#This Row],[Almacén de Ingreso]]="","",MARÍTIMOS[[#This Row],[Almacén de Ingreso]]),"")</f>
        <v/>
      </c>
      <c r="AH453" s="11" t="str">
        <f>IFERROR(IF(MARÍTIMOS[[#This Row],[Etapa Ingreso - Cita]]="","",MARÍTIMOS[[#This Row],[Etapa Ingreso - Cita]]),"")</f>
        <v/>
      </c>
      <c r="AI453" s="11" t="str">
        <f>IFERROR(IF(MARÍTIMOS[[#This Row],[Etapa Ingreso - Llegada]]="","",MARÍTIMOS[[#This Row],[Etapa Ingreso - Llegada]]),"")</f>
        <v/>
      </c>
      <c r="AJ453" s="11" t="str">
        <f>IFERROR(IF(MARÍTIMOS[[#This Row],[Etapa Ingreso - Ingeso]]="","",MARÍTIMOS[[#This Row],[Etapa Ingreso - Ingeso]]),"")</f>
        <v/>
      </c>
      <c r="AK453" s="11" t="str">
        <f>IFERROR(IF(MARÍTIMOS[[#This Row],[Etapa Ingreso - Atención]]="","",MARÍTIMOS[[#This Row],[Etapa Ingreso - Atención]]),"")</f>
        <v/>
      </c>
      <c r="AL453" s="11" t="str">
        <f>IFERROR(IF(MARÍTIMOS[[#This Row],[Etapa Ingreso - Salida]]="","",MARÍTIMOS[[#This Row],[Etapa Ingreso - Salida]]),"")</f>
        <v/>
      </c>
      <c r="AM453" s="2" t="str">
        <f>IFERROR(IF(MARÍTIMOS[[#This Row],[FCL]]="","",MARÍTIMOS[[#This Row],[FCL]]),"")</f>
        <v/>
      </c>
      <c r="AN4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3" s="4" t="str" cm="1">
        <f t="array" ref="AO4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3" s="5" t="str">
        <f>IFERROR(OLDBD[[#This Row],[Llegada a packing]]-OLDBD[[#This Row],[Inicio de Ruta]],"")</f>
        <v/>
      </c>
      <c r="AQ453" s="6" t="str">
        <f>IFERROR(OLDBD[[#This Row],[Inicio de Ruta]]-OLDBD[[#This Row],[Salida de almacén de retiro]],"")</f>
        <v/>
      </c>
      <c r="AR4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3" s="8" t="str" cm="1">
        <f t="array" ref="AS4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3" s="9" t="str">
        <f>IFERROR(OLDBD[[#This Row],[Ingreso Packing]]-OLDBD[[#This Row],[Registro en Packing]],"")</f>
        <v/>
      </c>
      <c r="AV453" s="9" t="str">
        <f>IFERROR(OLDBD[[#This Row],[Ingreso Packing]]-OLDBD[[#This Row],[Llegada a packing]],"")</f>
        <v/>
      </c>
      <c r="AW4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3" s="5" t="str">
        <f>IFERROR(OLDBD[[#This Row],[Llegada Almacén de Ingreso]]-OLDBD[[#This Row],[Salida Packing]],"")</f>
        <v/>
      </c>
      <c r="AY453" s="4" t="str" cm="1">
        <f t="array" ref="AY4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3" s="43" t="s">
        <v>173</v>
      </c>
      <c r="BB453" s="47" t="str">
        <f>IFERROR(IF(MARÍTIMOS[[#This Row],[Estatus]]="","",MARÍTIMOS[[#This Row],[Estatus]]),"")</f>
        <v/>
      </c>
      <c r="BC453" s="43"/>
      <c r="BD453" s="46" t="str">
        <f>IFERROR(OLDBD[[#This Row],[Salida de almacén de retiro]]-OLDBD[[#This Row],[Ingreso Almacén de retiro]],"")</f>
        <v/>
      </c>
      <c r="BE453" s="46" t="str">
        <f>IFERROR(OLDBD[[#This Row],[Fin de Carga]]-OLDBD[[#This Row],[Inicio de Carga]],"")</f>
        <v/>
      </c>
    </row>
    <row r="454" spans="1:57" customFormat="1" hidden="1">
      <c r="A454" s="1"/>
      <c r="B454" s="1" t="str">
        <f>IFERROR(IF(MARÍTIMOS[[#This Row],[PP]]="","",MARÍTIMOS[[#This Row],[PP]]),"")</f>
        <v/>
      </c>
      <c r="C454" s="1" t="str">
        <f>IFERROR(IF(MARÍTIMOS[[#This Row],[Sede]]="","",MARÍTIMOS[[#This Row],[Sede]]),"")</f>
        <v/>
      </c>
      <c r="D454" s="1" t="str">
        <f>IFERROR(IF(MARÍTIMOS[[#This Row],[Instruction]]="","",MARÍTIMOS[[#This Row],[Instruction]]),"")</f>
        <v/>
      </c>
      <c r="E454" s="1"/>
      <c r="F454" s="2" t="str">
        <f>IFERROR(IF(MARÍTIMOS[[#This Row],[Transportista]]="","",MARÍTIMOS[[#This Row],[Transportista]]),"")</f>
        <v/>
      </c>
      <c r="G454" s="2" t="str">
        <f>IFERROR(IF(MARÍTIMOS[[#This Row],[Tercero]]="","",MARÍTIMOS[[#This Row],[Tercero]]),"")</f>
        <v/>
      </c>
      <c r="H454" s="2" t="str">
        <f>IFERROR(IF(MARÍTIMOS[[#This Row],[Razón Social]]="","",MARÍTIMOS[[#This Row],[Razón Social]]),"")</f>
        <v/>
      </c>
      <c r="I454" s="2" t="str">
        <f>IFERROR(IF(MARÍTIMOS[[#This Row],[RUC]]="","",MARÍTIMOS[[#This Row],[RUC]]),"")</f>
        <v/>
      </c>
      <c r="J454" s="2" t="str">
        <f>IFERROR(IF(MARÍTIMOS[[#This Row],[Placa Tracto]]="","",MARÍTIMOS[[#This Row],[Placa Tracto]]),"")</f>
        <v/>
      </c>
      <c r="K454" s="2" t="str">
        <f>IFERROR(IF(MARÍTIMOS[[#This Row],[Placa Carreta]]="","",MARÍTIMOS[[#This Row],[Placa Carreta]]),"")</f>
        <v/>
      </c>
      <c r="L454" s="44" t="str">
        <f>IFERROR(IF(MARÍTIMOS[[#This Row],[Conductor]]="","",MARÍTIMOS[[#This Row],[Conductor]]),"")</f>
        <v/>
      </c>
      <c r="M454" s="2" t="str">
        <f>IFERROR(IF(MARÍTIMOS[[#This Row],[Licencia]]="","",MARÍTIMOS[[#This Row],[Licencia]]),"")</f>
        <v/>
      </c>
      <c r="N454" s="2" t="str">
        <f>IFERROR(IF(MARÍTIMOS[[#This Row],[Número de Contacto]]="","",MARÍTIMOS[[#This Row],[Número de Contacto]]),"")</f>
        <v/>
      </c>
      <c r="O454" s="10" t="str">
        <f>IFERROR(IF(MARÍTIMOS[[#This Row],[Booking|AWB|CRT]]="","",MARÍTIMOS[[#This Row],[Booking|AWB|CRT]]),"")</f>
        <v/>
      </c>
      <c r="P454" s="2" t="str">
        <f>IFERROR(IF(MARÍTIMOS[[#This Row],[Contenedor]]="","",MARÍTIMOS[[#This Row],[Contenedor]]),"")</f>
        <v/>
      </c>
      <c r="Q454" s="2" t="str">
        <f>IFERROR(IF(MARÍTIMOS[[#This Row],[Puerto de Retiro]]="","",MARÍTIMOS[[#This Row],[Puerto de Retiro]]),"")</f>
        <v/>
      </c>
      <c r="R454" s="2" t="str">
        <f>IFERROR(IF(MARÍTIMOS[[#This Row],[Almacén de Retiro]]="","",MARÍTIMOS[[#This Row],[Almacén de Retiro]]),"")</f>
        <v/>
      </c>
      <c r="S454" s="11" t="str">
        <f>IFERROR(IF(MARÍTIMOS[[#This Row],[Etapa Retiro - Cita]]="","",MARÍTIMOS[[#This Row],[Etapa Retiro - Cita]]),"")</f>
        <v/>
      </c>
      <c r="T454" s="11" t="str">
        <f>IFERROR(IF(MARÍTIMOS[[#This Row],[Etapa Retiro - Llegada]]="","",MARÍTIMOS[[#This Row],[Etapa Retiro - Llegada]]),"")</f>
        <v/>
      </c>
      <c r="U454" s="11" t="str">
        <f>IFERROR(IF(MARÍTIMOS[[#This Row],[Etapa Retiro - Ingreso]]="","",MARÍTIMOS[[#This Row],[Etapa Retiro - Ingreso]]),"")</f>
        <v/>
      </c>
      <c r="V454" s="11" t="str">
        <f>IFERROR(IF(MARÍTIMOS[[#This Row],[Etapa Retiro - Atención]]="","",MARÍTIMOS[[#This Row],[Etapa Retiro - Atención]]),"")</f>
        <v/>
      </c>
      <c r="W454" s="11" t="str">
        <f>IFERROR(IF(MARÍTIMOS[[#This Row],[Etapa Retiro - Atención]]="","",MARÍTIMOS[[#This Row],[Etapa Retiro - Atención]]),"")</f>
        <v/>
      </c>
      <c r="X454" s="11" t="str">
        <f>IFERROR(IF(MARÍTIMOS[[#This Row],[Etapa Retiro - Inicio de Ruta]]="","",MARÍTIMOS[[#This Row],[Etapa Retiro - Inicio de Ruta]]),"")</f>
        <v/>
      </c>
      <c r="Y454" s="11" t="str">
        <f>IFERROR(IF(MARÍTIMOS[[#This Row],[Hora de Posicionamiento]]="","",MARÍTIMOS[[#This Row],[Fecha de Carga]]+MARÍTIMOS[[#This Row],[Hora de Posicionamiento]]),"")</f>
        <v/>
      </c>
      <c r="Z454" s="11" t="str">
        <f>IFERROR(IF(MARÍTIMOS[[#This Row],[Etapa Despacho - Llegada]]="","",MARÍTIMOS[[#This Row],[Etapa Despacho - Llegada]]),"")</f>
        <v/>
      </c>
      <c r="AA454" s="11" t="str">
        <f>IFERROR(IF(MARÍTIMOS[[#This Row],[Etapa Despacho - Registro]]="","",MARÍTIMOS[[#This Row],[Etapa Despacho - Registro]]),"")</f>
        <v/>
      </c>
      <c r="AB454" s="11" t="str">
        <f>IFERROR(IF(MARÍTIMOS[[#This Row],[Inspección Externa]]="","",MARÍTIMOS[[#This Row],[Inspección Externa]]),"")</f>
        <v/>
      </c>
      <c r="AC454" s="11" t="str">
        <f>IFERROR(IF(MARÍTIMOS[[#This Row],[Etapa Despacho - Inicio de Carga]]="","",MARÍTIMOS[[#This Row],[Etapa Despacho - Inicio de Carga]]),"")</f>
        <v/>
      </c>
      <c r="AD454" s="11" t="str">
        <f>IFERROR(IF(MARÍTIMOS[[#This Row],[Etapa Despacho - Mitad de Carga]]="","",MARÍTIMOS[[#This Row],[Etapa Despacho - Mitad de Carga]]),"")</f>
        <v/>
      </c>
      <c r="AE454" s="11" t="str">
        <f>IFERROR(IF(MARÍTIMOS[[#This Row],[Etapa Despacho - Fin de Carga]]="","",MARÍTIMOS[[#This Row],[Etapa Despacho - Fin de Carga]]),"")</f>
        <v/>
      </c>
      <c r="AF454" s="2" t="str">
        <f>IFERROR(IF(MARÍTIMOS[[#This Row],[Puerto de Embarque]]="","",MARÍTIMOS[[#This Row],[Puerto de Embarque]]),"")</f>
        <v/>
      </c>
      <c r="AG454" s="2" t="str">
        <f>IFERROR(IF(MARÍTIMOS[[#This Row],[Almacén de Ingreso]]="","",MARÍTIMOS[[#This Row],[Almacén de Ingreso]]),"")</f>
        <v/>
      </c>
      <c r="AH454" s="11" t="str">
        <f>IFERROR(IF(MARÍTIMOS[[#This Row],[Etapa Ingreso - Cita]]="","",MARÍTIMOS[[#This Row],[Etapa Ingreso - Cita]]),"")</f>
        <v/>
      </c>
      <c r="AI454" s="11" t="str">
        <f>IFERROR(IF(MARÍTIMOS[[#This Row],[Etapa Ingreso - Llegada]]="","",MARÍTIMOS[[#This Row],[Etapa Ingreso - Llegada]]),"")</f>
        <v/>
      </c>
      <c r="AJ454" s="11" t="str">
        <f>IFERROR(IF(MARÍTIMOS[[#This Row],[Etapa Ingreso - Ingeso]]="","",MARÍTIMOS[[#This Row],[Etapa Ingreso - Ingeso]]),"")</f>
        <v/>
      </c>
      <c r="AK454" s="11" t="str">
        <f>IFERROR(IF(MARÍTIMOS[[#This Row],[Etapa Ingreso - Atención]]="","",MARÍTIMOS[[#This Row],[Etapa Ingreso - Atención]]),"")</f>
        <v/>
      </c>
      <c r="AL454" s="11" t="str">
        <f>IFERROR(IF(MARÍTIMOS[[#This Row],[Etapa Ingreso - Salida]]="","",MARÍTIMOS[[#This Row],[Etapa Ingreso - Salida]]),"")</f>
        <v/>
      </c>
      <c r="AM454" s="2" t="str">
        <f>IFERROR(IF(MARÍTIMOS[[#This Row],[FCL]]="","",MARÍTIMOS[[#This Row],[FCL]]),"")</f>
        <v/>
      </c>
      <c r="AN4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4" s="4" t="str" cm="1">
        <f t="array" ref="AO4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4" s="5" t="str">
        <f>IFERROR(OLDBD[[#This Row],[Llegada a packing]]-OLDBD[[#This Row],[Inicio de Ruta]],"")</f>
        <v/>
      </c>
      <c r="AQ454" s="6" t="str">
        <f>IFERROR(OLDBD[[#This Row],[Inicio de Ruta]]-OLDBD[[#This Row],[Salida de almacén de retiro]],"")</f>
        <v/>
      </c>
      <c r="AR4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4" s="8" t="str" cm="1">
        <f t="array" ref="AS4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4" s="9" t="str">
        <f>IFERROR(OLDBD[[#This Row],[Ingreso Packing]]-OLDBD[[#This Row],[Registro en Packing]],"")</f>
        <v/>
      </c>
      <c r="AV454" s="9" t="str">
        <f>IFERROR(OLDBD[[#This Row],[Ingreso Packing]]-OLDBD[[#This Row],[Llegada a packing]],"")</f>
        <v/>
      </c>
      <c r="AW4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4" s="5" t="str">
        <f>IFERROR(OLDBD[[#This Row],[Llegada Almacén de Ingreso]]-OLDBD[[#This Row],[Salida Packing]],"")</f>
        <v/>
      </c>
      <c r="AY454" s="4" t="str" cm="1">
        <f t="array" ref="AY4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4" s="43" t="s">
        <v>173</v>
      </c>
      <c r="BB454" s="47" t="str">
        <f>IFERROR(IF(MARÍTIMOS[[#This Row],[Estatus]]="","",MARÍTIMOS[[#This Row],[Estatus]]),"")</f>
        <v/>
      </c>
      <c r="BC454" s="43"/>
      <c r="BD454" s="46" t="str">
        <f>IFERROR(OLDBD[[#This Row],[Salida de almacén de retiro]]-OLDBD[[#This Row],[Ingreso Almacén de retiro]],"")</f>
        <v/>
      </c>
      <c r="BE454" s="46" t="str">
        <f>IFERROR(OLDBD[[#This Row],[Fin de Carga]]-OLDBD[[#This Row],[Inicio de Carga]],"")</f>
        <v/>
      </c>
    </row>
    <row r="455" spans="1:57" customFormat="1" hidden="1">
      <c r="A455" s="1"/>
      <c r="B455" s="1" t="str">
        <f>IFERROR(IF(MARÍTIMOS[[#This Row],[PP]]="","",MARÍTIMOS[[#This Row],[PP]]),"")</f>
        <v/>
      </c>
      <c r="C455" s="1" t="str">
        <f>IFERROR(IF(MARÍTIMOS[[#This Row],[Sede]]="","",MARÍTIMOS[[#This Row],[Sede]]),"")</f>
        <v/>
      </c>
      <c r="D455" s="1" t="str">
        <f>IFERROR(IF(MARÍTIMOS[[#This Row],[Instruction]]="","",MARÍTIMOS[[#This Row],[Instruction]]),"")</f>
        <v/>
      </c>
      <c r="E455" s="1"/>
      <c r="F455" s="2" t="str">
        <f>IFERROR(IF(MARÍTIMOS[[#This Row],[Transportista]]="","",MARÍTIMOS[[#This Row],[Transportista]]),"")</f>
        <v/>
      </c>
      <c r="G455" s="2" t="str">
        <f>IFERROR(IF(MARÍTIMOS[[#This Row],[Tercero]]="","",MARÍTIMOS[[#This Row],[Tercero]]),"")</f>
        <v/>
      </c>
      <c r="H455" s="2" t="str">
        <f>IFERROR(IF(MARÍTIMOS[[#This Row],[Razón Social]]="","",MARÍTIMOS[[#This Row],[Razón Social]]),"")</f>
        <v/>
      </c>
      <c r="I455" s="2" t="str">
        <f>IFERROR(IF(MARÍTIMOS[[#This Row],[RUC]]="","",MARÍTIMOS[[#This Row],[RUC]]),"")</f>
        <v/>
      </c>
      <c r="J455" s="2" t="str">
        <f>IFERROR(IF(MARÍTIMOS[[#This Row],[Placa Tracto]]="","",MARÍTIMOS[[#This Row],[Placa Tracto]]),"")</f>
        <v/>
      </c>
      <c r="K455" s="2" t="str">
        <f>IFERROR(IF(MARÍTIMOS[[#This Row],[Placa Carreta]]="","",MARÍTIMOS[[#This Row],[Placa Carreta]]),"")</f>
        <v/>
      </c>
      <c r="L455" s="44" t="str">
        <f>IFERROR(IF(MARÍTIMOS[[#This Row],[Conductor]]="","",MARÍTIMOS[[#This Row],[Conductor]]),"")</f>
        <v/>
      </c>
      <c r="M455" s="2" t="str">
        <f>IFERROR(IF(MARÍTIMOS[[#This Row],[Licencia]]="","",MARÍTIMOS[[#This Row],[Licencia]]),"")</f>
        <v/>
      </c>
      <c r="N455" s="2" t="str">
        <f>IFERROR(IF(MARÍTIMOS[[#This Row],[Número de Contacto]]="","",MARÍTIMOS[[#This Row],[Número de Contacto]]),"")</f>
        <v/>
      </c>
      <c r="O455" s="10" t="str">
        <f>IFERROR(IF(MARÍTIMOS[[#This Row],[Booking|AWB|CRT]]="","",MARÍTIMOS[[#This Row],[Booking|AWB|CRT]]),"")</f>
        <v/>
      </c>
      <c r="P455" s="2" t="str">
        <f>IFERROR(IF(MARÍTIMOS[[#This Row],[Contenedor]]="","",MARÍTIMOS[[#This Row],[Contenedor]]),"")</f>
        <v/>
      </c>
      <c r="Q455" s="2" t="str">
        <f>IFERROR(IF(MARÍTIMOS[[#This Row],[Puerto de Retiro]]="","",MARÍTIMOS[[#This Row],[Puerto de Retiro]]),"")</f>
        <v/>
      </c>
      <c r="R455" s="2" t="str">
        <f>IFERROR(IF(MARÍTIMOS[[#This Row],[Almacén de Retiro]]="","",MARÍTIMOS[[#This Row],[Almacén de Retiro]]),"")</f>
        <v/>
      </c>
      <c r="S455" s="11" t="str">
        <f>IFERROR(IF(MARÍTIMOS[[#This Row],[Etapa Retiro - Cita]]="","",MARÍTIMOS[[#This Row],[Etapa Retiro - Cita]]),"")</f>
        <v/>
      </c>
      <c r="T455" s="11" t="str">
        <f>IFERROR(IF(MARÍTIMOS[[#This Row],[Etapa Retiro - Llegada]]="","",MARÍTIMOS[[#This Row],[Etapa Retiro - Llegada]]),"")</f>
        <v/>
      </c>
      <c r="U455" s="11" t="str">
        <f>IFERROR(IF(MARÍTIMOS[[#This Row],[Etapa Retiro - Ingreso]]="","",MARÍTIMOS[[#This Row],[Etapa Retiro - Ingreso]]),"")</f>
        <v/>
      </c>
      <c r="V455" s="11" t="str">
        <f>IFERROR(IF(MARÍTIMOS[[#This Row],[Etapa Retiro - Atención]]="","",MARÍTIMOS[[#This Row],[Etapa Retiro - Atención]]),"")</f>
        <v/>
      </c>
      <c r="W455" s="11" t="str">
        <f>IFERROR(IF(MARÍTIMOS[[#This Row],[Etapa Retiro - Atención]]="","",MARÍTIMOS[[#This Row],[Etapa Retiro - Atención]]),"")</f>
        <v/>
      </c>
      <c r="X455" s="11" t="str">
        <f>IFERROR(IF(MARÍTIMOS[[#This Row],[Etapa Retiro - Inicio de Ruta]]="","",MARÍTIMOS[[#This Row],[Etapa Retiro - Inicio de Ruta]]),"")</f>
        <v/>
      </c>
      <c r="Y455" s="11" t="str">
        <f>IFERROR(IF(MARÍTIMOS[[#This Row],[Hora de Posicionamiento]]="","",MARÍTIMOS[[#This Row],[Fecha de Carga]]+MARÍTIMOS[[#This Row],[Hora de Posicionamiento]]),"")</f>
        <v/>
      </c>
      <c r="Z455" s="11" t="str">
        <f>IFERROR(IF(MARÍTIMOS[[#This Row],[Etapa Despacho - Llegada]]="","",MARÍTIMOS[[#This Row],[Etapa Despacho - Llegada]]),"")</f>
        <v/>
      </c>
      <c r="AA455" s="11" t="str">
        <f>IFERROR(IF(MARÍTIMOS[[#This Row],[Etapa Despacho - Registro]]="","",MARÍTIMOS[[#This Row],[Etapa Despacho - Registro]]),"")</f>
        <v/>
      </c>
      <c r="AB455" s="11" t="str">
        <f>IFERROR(IF(MARÍTIMOS[[#This Row],[Inspección Externa]]="","",MARÍTIMOS[[#This Row],[Inspección Externa]]),"")</f>
        <v/>
      </c>
      <c r="AC455" s="11" t="str">
        <f>IFERROR(IF(MARÍTIMOS[[#This Row],[Etapa Despacho - Inicio de Carga]]="","",MARÍTIMOS[[#This Row],[Etapa Despacho - Inicio de Carga]]),"")</f>
        <v/>
      </c>
      <c r="AD455" s="11" t="str">
        <f>IFERROR(IF(MARÍTIMOS[[#This Row],[Etapa Despacho - Mitad de Carga]]="","",MARÍTIMOS[[#This Row],[Etapa Despacho - Mitad de Carga]]),"")</f>
        <v/>
      </c>
      <c r="AE455" s="11" t="str">
        <f>IFERROR(IF(MARÍTIMOS[[#This Row],[Etapa Despacho - Fin de Carga]]="","",MARÍTIMOS[[#This Row],[Etapa Despacho - Fin de Carga]]),"")</f>
        <v/>
      </c>
      <c r="AF455" s="2" t="str">
        <f>IFERROR(IF(MARÍTIMOS[[#This Row],[Puerto de Embarque]]="","",MARÍTIMOS[[#This Row],[Puerto de Embarque]]),"")</f>
        <v/>
      </c>
      <c r="AG455" s="2" t="str">
        <f>IFERROR(IF(MARÍTIMOS[[#This Row],[Almacén de Ingreso]]="","",MARÍTIMOS[[#This Row],[Almacén de Ingreso]]),"")</f>
        <v/>
      </c>
      <c r="AH455" s="11" t="str">
        <f>IFERROR(IF(MARÍTIMOS[[#This Row],[Etapa Ingreso - Cita]]="","",MARÍTIMOS[[#This Row],[Etapa Ingreso - Cita]]),"")</f>
        <v/>
      </c>
      <c r="AI455" s="11" t="str">
        <f>IFERROR(IF(MARÍTIMOS[[#This Row],[Etapa Ingreso - Llegada]]="","",MARÍTIMOS[[#This Row],[Etapa Ingreso - Llegada]]),"")</f>
        <v/>
      </c>
      <c r="AJ455" s="11" t="str">
        <f>IFERROR(IF(MARÍTIMOS[[#This Row],[Etapa Ingreso - Ingeso]]="","",MARÍTIMOS[[#This Row],[Etapa Ingreso - Ingeso]]),"")</f>
        <v/>
      </c>
      <c r="AK455" s="11" t="str">
        <f>IFERROR(IF(MARÍTIMOS[[#This Row],[Etapa Ingreso - Atención]]="","",MARÍTIMOS[[#This Row],[Etapa Ingreso - Atención]]),"")</f>
        <v/>
      </c>
      <c r="AL455" s="11" t="str">
        <f>IFERROR(IF(MARÍTIMOS[[#This Row],[Etapa Ingreso - Salida]]="","",MARÍTIMOS[[#This Row],[Etapa Ingreso - Salida]]),"")</f>
        <v/>
      </c>
      <c r="AM455" s="2" t="str">
        <f>IFERROR(IF(MARÍTIMOS[[#This Row],[FCL]]="","",MARÍTIMOS[[#This Row],[FCL]]),"")</f>
        <v/>
      </c>
      <c r="AN4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5" s="4" t="str" cm="1">
        <f t="array" ref="AO4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5" s="5" t="str">
        <f>IFERROR(OLDBD[[#This Row],[Llegada a packing]]-OLDBD[[#This Row],[Inicio de Ruta]],"")</f>
        <v/>
      </c>
      <c r="AQ455" s="6" t="str">
        <f>IFERROR(OLDBD[[#This Row],[Inicio de Ruta]]-OLDBD[[#This Row],[Salida de almacén de retiro]],"")</f>
        <v/>
      </c>
      <c r="AR4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5" s="8" t="str" cm="1">
        <f t="array" ref="AS4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5" s="9" t="str">
        <f>IFERROR(OLDBD[[#This Row],[Ingreso Packing]]-OLDBD[[#This Row],[Registro en Packing]],"")</f>
        <v/>
      </c>
      <c r="AV455" s="9" t="str">
        <f>IFERROR(OLDBD[[#This Row],[Ingreso Packing]]-OLDBD[[#This Row],[Llegada a packing]],"")</f>
        <v/>
      </c>
      <c r="AW4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5" s="5" t="str">
        <f>IFERROR(OLDBD[[#This Row],[Llegada Almacén de Ingreso]]-OLDBD[[#This Row],[Salida Packing]],"")</f>
        <v/>
      </c>
      <c r="AY455" s="4" t="str" cm="1">
        <f t="array" ref="AY4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5" s="43" t="s">
        <v>173</v>
      </c>
      <c r="BB455" s="47" t="str">
        <f>IFERROR(IF(MARÍTIMOS[[#This Row],[Estatus]]="","",MARÍTIMOS[[#This Row],[Estatus]]),"")</f>
        <v/>
      </c>
      <c r="BC455" s="43"/>
      <c r="BD455" s="46" t="str">
        <f>IFERROR(OLDBD[[#This Row],[Salida de almacén de retiro]]-OLDBD[[#This Row],[Ingreso Almacén de retiro]],"")</f>
        <v/>
      </c>
      <c r="BE455" s="46" t="str">
        <f>IFERROR(OLDBD[[#This Row],[Fin de Carga]]-OLDBD[[#This Row],[Inicio de Carga]],"")</f>
        <v/>
      </c>
    </row>
    <row r="456" spans="1:57" customFormat="1" hidden="1">
      <c r="A456" s="1"/>
      <c r="B456" s="1" t="str">
        <f>IFERROR(IF(MARÍTIMOS[[#This Row],[PP]]="","",MARÍTIMOS[[#This Row],[PP]]),"")</f>
        <v/>
      </c>
      <c r="C456" s="1" t="str">
        <f>IFERROR(IF(MARÍTIMOS[[#This Row],[Sede]]="","",MARÍTIMOS[[#This Row],[Sede]]),"")</f>
        <v/>
      </c>
      <c r="D456" s="1" t="str">
        <f>IFERROR(IF(MARÍTIMOS[[#This Row],[Instruction]]="","",MARÍTIMOS[[#This Row],[Instruction]]),"")</f>
        <v/>
      </c>
      <c r="E456" s="1"/>
      <c r="F456" s="2" t="str">
        <f>IFERROR(IF(MARÍTIMOS[[#This Row],[Transportista]]="","",MARÍTIMOS[[#This Row],[Transportista]]),"")</f>
        <v/>
      </c>
      <c r="G456" s="2" t="str">
        <f>IFERROR(IF(MARÍTIMOS[[#This Row],[Tercero]]="","",MARÍTIMOS[[#This Row],[Tercero]]),"")</f>
        <v/>
      </c>
      <c r="H456" s="2" t="str">
        <f>IFERROR(IF(MARÍTIMOS[[#This Row],[Razón Social]]="","",MARÍTIMOS[[#This Row],[Razón Social]]),"")</f>
        <v/>
      </c>
      <c r="I456" s="2" t="str">
        <f>IFERROR(IF(MARÍTIMOS[[#This Row],[RUC]]="","",MARÍTIMOS[[#This Row],[RUC]]),"")</f>
        <v/>
      </c>
      <c r="J456" s="2" t="str">
        <f>IFERROR(IF(MARÍTIMOS[[#This Row],[Placa Tracto]]="","",MARÍTIMOS[[#This Row],[Placa Tracto]]),"")</f>
        <v/>
      </c>
      <c r="K456" s="2" t="str">
        <f>IFERROR(IF(MARÍTIMOS[[#This Row],[Placa Carreta]]="","",MARÍTIMOS[[#This Row],[Placa Carreta]]),"")</f>
        <v/>
      </c>
      <c r="L456" s="44" t="str">
        <f>IFERROR(IF(MARÍTIMOS[[#This Row],[Conductor]]="","",MARÍTIMOS[[#This Row],[Conductor]]),"")</f>
        <v/>
      </c>
      <c r="M456" s="2" t="str">
        <f>IFERROR(IF(MARÍTIMOS[[#This Row],[Licencia]]="","",MARÍTIMOS[[#This Row],[Licencia]]),"")</f>
        <v/>
      </c>
      <c r="N456" s="2" t="str">
        <f>IFERROR(IF(MARÍTIMOS[[#This Row],[Número de Contacto]]="","",MARÍTIMOS[[#This Row],[Número de Contacto]]),"")</f>
        <v/>
      </c>
      <c r="O456" s="10" t="str">
        <f>IFERROR(IF(MARÍTIMOS[[#This Row],[Booking|AWB|CRT]]="","",MARÍTIMOS[[#This Row],[Booking|AWB|CRT]]),"")</f>
        <v/>
      </c>
      <c r="P456" s="2" t="str">
        <f>IFERROR(IF(MARÍTIMOS[[#This Row],[Contenedor]]="","",MARÍTIMOS[[#This Row],[Contenedor]]),"")</f>
        <v/>
      </c>
      <c r="Q456" s="2" t="str">
        <f>IFERROR(IF(MARÍTIMOS[[#This Row],[Puerto de Retiro]]="","",MARÍTIMOS[[#This Row],[Puerto de Retiro]]),"")</f>
        <v/>
      </c>
      <c r="R456" s="2" t="str">
        <f>IFERROR(IF(MARÍTIMOS[[#This Row],[Almacén de Retiro]]="","",MARÍTIMOS[[#This Row],[Almacén de Retiro]]),"")</f>
        <v/>
      </c>
      <c r="S456" s="11" t="str">
        <f>IFERROR(IF(MARÍTIMOS[[#This Row],[Etapa Retiro - Cita]]="","",MARÍTIMOS[[#This Row],[Etapa Retiro - Cita]]),"")</f>
        <v/>
      </c>
      <c r="T456" s="11" t="str">
        <f>IFERROR(IF(MARÍTIMOS[[#This Row],[Etapa Retiro - Llegada]]="","",MARÍTIMOS[[#This Row],[Etapa Retiro - Llegada]]),"")</f>
        <v/>
      </c>
      <c r="U456" s="11" t="str">
        <f>IFERROR(IF(MARÍTIMOS[[#This Row],[Etapa Retiro - Ingreso]]="","",MARÍTIMOS[[#This Row],[Etapa Retiro - Ingreso]]),"")</f>
        <v/>
      </c>
      <c r="V456" s="11" t="str">
        <f>IFERROR(IF(MARÍTIMOS[[#This Row],[Etapa Retiro - Atención]]="","",MARÍTIMOS[[#This Row],[Etapa Retiro - Atención]]),"")</f>
        <v/>
      </c>
      <c r="W456" s="11" t="str">
        <f>IFERROR(IF(MARÍTIMOS[[#This Row],[Etapa Retiro - Atención]]="","",MARÍTIMOS[[#This Row],[Etapa Retiro - Atención]]),"")</f>
        <v/>
      </c>
      <c r="X456" s="11" t="str">
        <f>IFERROR(IF(MARÍTIMOS[[#This Row],[Etapa Retiro - Inicio de Ruta]]="","",MARÍTIMOS[[#This Row],[Etapa Retiro - Inicio de Ruta]]),"")</f>
        <v/>
      </c>
      <c r="Y456" s="11" t="str">
        <f>IFERROR(IF(MARÍTIMOS[[#This Row],[Hora de Posicionamiento]]="","",MARÍTIMOS[[#This Row],[Fecha de Carga]]+MARÍTIMOS[[#This Row],[Hora de Posicionamiento]]),"")</f>
        <v/>
      </c>
      <c r="Z456" s="11" t="str">
        <f>IFERROR(IF(MARÍTIMOS[[#This Row],[Etapa Despacho - Llegada]]="","",MARÍTIMOS[[#This Row],[Etapa Despacho - Llegada]]),"")</f>
        <v/>
      </c>
      <c r="AA456" s="11" t="str">
        <f>IFERROR(IF(MARÍTIMOS[[#This Row],[Etapa Despacho - Registro]]="","",MARÍTIMOS[[#This Row],[Etapa Despacho - Registro]]),"")</f>
        <v/>
      </c>
      <c r="AB456" s="11" t="str">
        <f>IFERROR(IF(MARÍTIMOS[[#This Row],[Inspección Externa]]="","",MARÍTIMOS[[#This Row],[Inspección Externa]]),"")</f>
        <v/>
      </c>
      <c r="AC456" s="11" t="str">
        <f>IFERROR(IF(MARÍTIMOS[[#This Row],[Etapa Despacho - Inicio de Carga]]="","",MARÍTIMOS[[#This Row],[Etapa Despacho - Inicio de Carga]]),"")</f>
        <v/>
      </c>
      <c r="AD456" s="11" t="str">
        <f>IFERROR(IF(MARÍTIMOS[[#This Row],[Etapa Despacho - Mitad de Carga]]="","",MARÍTIMOS[[#This Row],[Etapa Despacho - Mitad de Carga]]),"")</f>
        <v/>
      </c>
      <c r="AE456" s="11" t="str">
        <f>IFERROR(IF(MARÍTIMOS[[#This Row],[Etapa Despacho - Fin de Carga]]="","",MARÍTIMOS[[#This Row],[Etapa Despacho - Fin de Carga]]),"")</f>
        <v/>
      </c>
      <c r="AF456" s="2" t="str">
        <f>IFERROR(IF(MARÍTIMOS[[#This Row],[Puerto de Embarque]]="","",MARÍTIMOS[[#This Row],[Puerto de Embarque]]),"")</f>
        <v/>
      </c>
      <c r="AG456" s="2" t="str">
        <f>IFERROR(IF(MARÍTIMOS[[#This Row],[Almacén de Ingreso]]="","",MARÍTIMOS[[#This Row],[Almacén de Ingreso]]),"")</f>
        <v/>
      </c>
      <c r="AH456" s="11" t="str">
        <f>IFERROR(IF(MARÍTIMOS[[#This Row],[Etapa Ingreso - Cita]]="","",MARÍTIMOS[[#This Row],[Etapa Ingreso - Cita]]),"")</f>
        <v/>
      </c>
      <c r="AI456" s="11" t="str">
        <f>IFERROR(IF(MARÍTIMOS[[#This Row],[Etapa Ingreso - Llegada]]="","",MARÍTIMOS[[#This Row],[Etapa Ingreso - Llegada]]),"")</f>
        <v/>
      </c>
      <c r="AJ456" s="11" t="str">
        <f>IFERROR(IF(MARÍTIMOS[[#This Row],[Etapa Ingreso - Ingeso]]="","",MARÍTIMOS[[#This Row],[Etapa Ingreso - Ingeso]]),"")</f>
        <v/>
      </c>
      <c r="AK456" s="11" t="str">
        <f>IFERROR(IF(MARÍTIMOS[[#This Row],[Etapa Ingreso - Atención]]="","",MARÍTIMOS[[#This Row],[Etapa Ingreso - Atención]]),"")</f>
        <v/>
      </c>
      <c r="AL456" s="11" t="str">
        <f>IFERROR(IF(MARÍTIMOS[[#This Row],[Etapa Ingreso - Salida]]="","",MARÍTIMOS[[#This Row],[Etapa Ingreso - Salida]]),"")</f>
        <v/>
      </c>
      <c r="AM456" s="2" t="str">
        <f>IFERROR(IF(MARÍTIMOS[[#This Row],[FCL]]="","",MARÍTIMOS[[#This Row],[FCL]]),"")</f>
        <v/>
      </c>
      <c r="AN4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6" s="4" t="str" cm="1">
        <f t="array" ref="AO4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6" s="5" t="str">
        <f>IFERROR(OLDBD[[#This Row],[Llegada a packing]]-OLDBD[[#This Row],[Inicio de Ruta]],"")</f>
        <v/>
      </c>
      <c r="AQ456" s="6" t="str">
        <f>IFERROR(OLDBD[[#This Row],[Inicio de Ruta]]-OLDBD[[#This Row],[Salida de almacén de retiro]],"")</f>
        <v/>
      </c>
      <c r="AR4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6" s="8" t="str" cm="1">
        <f t="array" ref="AS4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6" s="9" t="str">
        <f>IFERROR(OLDBD[[#This Row],[Ingreso Packing]]-OLDBD[[#This Row],[Registro en Packing]],"")</f>
        <v/>
      </c>
      <c r="AV456" s="9" t="str">
        <f>IFERROR(OLDBD[[#This Row],[Ingreso Packing]]-OLDBD[[#This Row],[Llegada a packing]],"")</f>
        <v/>
      </c>
      <c r="AW4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6" s="5" t="str">
        <f>IFERROR(OLDBD[[#This Row],[Llegada Almacén de Ingreso]]-OLDBD[[#This Row],[Salida Packing]],"")</f>
        <v/>
      </c>
      <c r="AY456" s="4" t="str" cm="1">
        <f t="array" ref="AY4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6" s="43" t="s">
        <v>173</v>
      </c>
      <c r="BB456" s="47" t="str">
        <f>IFERROR(IF(MARÍTIMOS[[#This Row],[Estatus]]="","",MARÍTIMOS[[#This Row],[Estatus]]),"")</f>
        <v/>
      </c>
      <c r="BC456" s="43"/>
      <c r="BD456" s="46" t="str">
        <f>IFERROR(OLDBD[[#This Row],[Salida de almacén de retiro]]-OLDBD[[#This Row],[Ingreso Almacén de retiro]],"")</f>
        <v/>
      </c>
      <c r="BE456" s="46" t="str">
        <f>IFERROR(OLDBD[[#This Row],[Fin de Carga]]-OLDBD[[#This Row],[Inicio de Carga]],"")</f>
        <v/>
      </c>
    </row>
    <row r="457" spans="1:57" customFormat="1" hidden="1">
      <c r="A457" s="1"/>
      <c r="B457" s="1" t="str">
        <f>IFERROR(IF(MARÍTIMOS[[#This Row],[PP]]="","",MARÍTIMOS[[#This Row],[PP]]),"")</f>
        <v/>
      </c>
      <c r="C457" s="1" t="str">
        <f>IFERROR(IF(MARÍTIMOS[[#This Row],[Sede]]="","",MARÍTIMOS[[#This Row],[Sede]]),"")</f>
        <v/>
      </c>
      <c r="D457" s="1" t="str">
        <f>IFERROR(IF(MARÍTIMOS[[#This Row],[Instruction]]="","",MARÍTIMOS[[#This Row],[Instruction]]),"")</f>
        <v/>
      </c>
      <c r="E457" s="1"/>
      <c r="F457" s="2" t="str">
        <f>IFERROR(IF(MARÍTIMOS[[#This Row],[Transportista]]="","",MARÍTIMOS[[#This Row],[Transportista]]),"")</f>
        <v/>
      </c>
      <c r="G457" s="2" t="str">
        <f>IFERROR(IF(MARÍTIMOS[[#This Row],[Tercero]]="","",MARÍTIMOS[[#This Row],[Tercero]]),"")</f>
        <v/>
      </c>
      <c r="H457" s="2" t="str">
        <f>IFERROR(IF(MARÍTIMOS[[#This Row],[Razón Social]]="","",MARÍTIMOS[[#This Row],[Razón Social]]),"")</f>
        <v/>
      </c>
      <c r="I457" s="2" t="str">
        <f>IFERROR(IF(MARÍTIMOS[[#This Row],[RUC]]="","",MARÍTIMOS[[#This Row],[RUC]]),"")</f>
        <v/>
      </c>
      <c r="J457" s="2" t="str">
        <f>IFERROR(IF(MARÍTIMOS[[#This Row],[Placa Tracto]]="","",MARÍTIMOS[[#This Row],[Placa Tracto]]),"")</f>
        <v/>
      </c>
      <c r="K457" s="2" t="str">
        <f>IFERROR(IF(MARÍTIMOS[[#This Row],[Placa Carreta]]="","",MARÍTIMOS[[#This Row],[Placa Carreta]]),"")</f>
        <v/>
      </c>
      <c r="L457" s="44" t="str">
        <f>IFERROR(IF(MARÍTIMOS[[#This Row],[Conductor]]="","",MARÍTIMOS[[#This Row],[Conductor]]),"")</f>
        <v/>
      </c>
      <c r="M457" s="2" t="str">
        <f>IFERROR(IF(MARÍTIMOS[[#This Row],[Licencia]]="","",MARÍTIMOS[[#This Row],[Licencia]]),"")</f>
        <v/>
      </c>
      <c r="N457" s="2" t="str">
        <f>IFERROR(IF(MARÍTIMOS[[#This Row],[Número de Contacto]]="","",MARÍTIMOS[[#This Row],[Número de Contacto]]),"")</f>
        <v/>
      </c>
      <c r="O457" s="10" t="str">
        <f>IFERROR(IF(MARÍTIMOS[[#This Row],[Booking|AWB|CRT]]="","",MARÍTIMOS[[#This Row],[Booking|AWB|CRT]]),"")</f>
        <v/>
      </c>
      <c r="P457" s="2" t="str">
        <f>IFERROR(IF(MARÍTIMOS[[#This Row],[Contenedor]]="","",MARÍTIMOS[[#This Row],[Contenedor]]),"")</f>
        <v/>
      </c>
      <c r="Q457" s="2" t="str">
        <f>IFERROR(IF(MARÍTIMOS[[#This Row],[Puerto de Retiro]]="","",MARÍTIMOS[[#This Row],[Puerto de Retiro]]),"")</f>
        <v/>
      </c>
      <c r="R457" s="2" t="str">
        <f>IFERROR(IF(MARÍTIMOS[[#This Row],[Almacén de Retiro]]="","",MARÍTIMOS[[#This Row],[Almacén de Retiro]]),"")</f>
        <v/>
      </c>
      <c r="S457" s="11" t="str">
        <f>IFERROR(IF(MARÍTIMOS[[#This Row],[Etapa Retiro - Cita]]="","",MARÍTIMOS[[#This Row],[Etapa Retiro - Cita]]),"")</f>
        <v/>
      </c>
      <c r="T457" s="11" t="str">
        <f>IFERROR(IF(MARÍTIMOS[[#This Row],[Etapa Retiro - Llegada]]="","",MARÍTIMOS[[#This Row],[Etapa Retiro - Llegada]]),"")</f>
        <v/>
      </c>
      <c r="U457" s="11" t="str">
        <f>IFERROR(IF(MARÍTIMOS[[#This Row],[Etapa Retiro - Ingreso]]="","",MARÍTIMOS[[#This Row],[Etapa Retiro - Ingreso]]),"")</f>
        <v/>
      </c>
      <c r="V457" s="11" t="str">
        <f>IFERROR(IF(MARÍTIMOS[[#This Row],[Etapa Retiro - Atención]]="","",MARÍTIMOS[[#This Row],[Etapa Retiro - Atención]]),"")</f>
        <v/>
      </c>
      <c r="W457" s="11" t="str">
        <f>IFERROR(IF(MARÍTIMOS[[#This Row],[Etapa Retiro - Atención]]="","",MARÍTIMOS[[#This Row],[Etapa Retiro - Atención]]),"")</f>
        <v/>
      </c>
      <c r="X457" s="11" t="str">
        <f>IFERROR(IF(MARÍTIMOS[[#This Row],[Etapa Retiro - Inicio de Ruta]]="","",MARÍTIMOS[[#This Row],[Etapa Retiro - Inicio de Ruta]]),"")</f>
        <v/>
      </c>
      <c r="Y457" s="11" t="str">
        <f>IFERROR(IF(MARÍTIMOS[[#This Row],[Hora de Posicionamiento]]="","",MARÍTIMOS[[#This Row],[Fecha de Carga]]+MARÍTIMOS[[#This Row],[Hora de Posicionamiento]]),"")</f>
        <v/>
      </c>
      <c r="Z457" s="11" t="str">
        <f>IFERROR(IF(MARÍTIMOS[[#This Row],[Etapa Despacho - Llegada]]="","",MARÍTIMOS[[#This Row],[Etapa Despacho - Llegada]]),"")</f>
        <v/>
      </c>
      <c r="AA457" s="11" t="str">
        <f>IFERROR(IF(MARÍTIMOS[[#This Row],[Etapa Despacho - Registro]]="","",MARÍTIMOS[[#This Row],[Etapa Despacho - Registro]]),"")</f>
        <v/>
      </c>
      <c r="AB457" s="11" t="str">
        <f>IFERROR(IF(MARÍTIMOS[[#This Row],[Inspección Externa]]="","",MARÍTIMOS[[#This Row],[Inspección Externa]]),"")</f>
        <v/>
      </c>
      <c r="AC457" s="11" t="str">
        <f>IFERROR(IF(MARÍTIMOS[[#This Row],[Etapa Despacho - Inicio de Carga]]="","",MARÍTIMOS[[#This Row],[Etapa Despacho - Inicio de Carga]]),"")</f>
        <v/>
      </c>
      <c r="AD457" s="11" t="str">
        <f>IFERROR(IF(MARÍTIMOS[[#This Row],[Etapa Despacho - Mitad de Carga]]="","",MARÍTIMOS[[#This Row],[Etapa Despacho - Mitad de Carga]]),"")</f>
        <v/>
      </c>
      <c r="AE457" s="11" t="str">
        <f>IFERROR(IF(MARÍTIMOS[[#This Row],[Etapa Despacho - Fin de Carga]]="","",MARÍTIMOS[[#This Row],[Etapa Despacho - Fin de Carga]]),"")</f>
        <v/>
      </c>
      <c r="AF457" s="2" t="str">
        <f>IFERROR(IF(MARÍTIMOS[[#This Row],[Puerto de Embarque]]="","",MARÍTIMOS[[#This Row],[Puerto de Embarque]]),"")</f>
        <v/>
      </c>
      <c r="AG457" s="2" t="str">
        <f>IFERROR(IF(MARÍTIMOS[[#This Row],[Almacén de Ingreso]]="","",MARÍTIMOS[[#This Row],[Almacén de Ingreso]]),"")</f>
        <v/>
      </c>
      <c r="AH457" s="11" t="str">
        <f>IFERROR(IF(MARÍTIMOS[[#This Row],[Etapa Ingreso - Cita]]="","",MARÍTIMOS[[#This Row],[Etapa Ingreso - Cita]]),"")</f>
        <v/>
      </c>
      <c r="AI457" s="11" t="str">
        <f>IFERROR(IF(MARÍTIMOS[[#This Row],[Etapa Ingreso - Llegada]]="","",MARÍTIMOS[[#This Row],[Etapa Ingreso - Llegada]]),"")</f>
        <v/>
      </c>
      <c r="AJ457" s="11" t="str">
        <f>IFERROR(IF(MARÍTIMOS[[#This Row],[Etapa Ingreso - Ingeso]]="","",MARÍTIMOS[[#This Row],[Etapa Ingreso - Ingeso]]),"")</f>
        <v/>
      </c>
      <c r="AK457" s="11" t="str">
        <f>IFERROR(IF(MARÍTIMOS[[#This Row],[Etapa Ingreso - Atención]]="","",MARÍTIMOS[[#This Row],[Etapa Ingreso - Atención]]),"")</f>
        <v/>
      </c>
      <c r="AL457" s="11" t="str">
        <f>IFERROR(IF(MARÍTIMOS[[#This Row],[Etapa Ingreso - Salida]]="","",MARÍTIMOS[[#This Row],[Etapa Ingreso - Salida]]),"")</f>
        <v/>
      </c>
      <c r="AM457" s="2" t="str">
        <f>IFERROR(IF(MARÍTIMOS[[#This Row],[FCL]]="","",MARÍTIMOS[[#This Row],[FCL]]),"")</f>
        <v/>
      </c>
      <c r="AN4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7" s="4" t="str" cm="1">
        <f t="array" ref="AO4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7" s="5" t="str">
        <f>IFERROR(OLDBD[[#This Row],[Llegada a packing]]-OLDBD[[#This Row],[Inicio de Ruta]],"")</f>
        <v/>
      </c>
      <c r="AQ457" s="6" t="str">
        <f>IFERROR(OLDBD[[#This Row],[Inicio de Ruta]]-OLDBD[[#This Row],[Salida de almacén de retiro]],"")</f>
        <v/>
      </c>
      <c r="AR4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7" s="8" t="str" cm="1">
        <f t="array" ref="AS4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7" s="9" t="str">
        <f>IFERROR(OLDBD[[#This Row],[Ingreso Packing]]-OLDBD[[#This Row],[Registro en Packing]],"")</f>
        <v/>
      </c>
      <c r="AV457" s="9" t="str">
        <f>IFERROR(OLDBD[[#This Row],[Ingreso Packing]]-OLDBD[[#This Row],[Llegada a packing]],"")</f>
        <v/>
      </c>
      <c r="AW4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7" s="5" t="str">
        <f>IFERROR(OLDBD[[#This Row],[Llegada Almacén de Ingreso]]-OLDBD[[#This Row],[Salida Packing]],"")</f>
        <v/>
      </c>
      <c r="AY457" s="4" t="str" cm="1">
        <f t="array" ref="AY4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7" s="43" t="s">
        <v>173</v>
      </c>
      <c r="BB457" s="47" t="str">
        <f>IFERROR(IF(MARÍTIMOS[[#This Row],[Estatus]]="","",MARÍTIMOS[[#This Row],[Estatus]]),"")</f>
        <v/>
      </c>
      <c r="BC457" s="43"/>
      <c r="BD457" s="46" t="str">
        <f>IFERROR(OLDBD[[#This Row],[Salida de almacén de retiro]]-OLDBD[[#This Row],[Ingreso Almacén de retiro]],"")</f>
        <v/>
      </c>
      <c r="BE457" s="46" t="str">
        <f>IFERROR(OLDBD[[#This Row],[Fin de Carga]]-OLDBD[[#This Row],[Inicio de Carga]],"")</f>
        <v/>
      </c>
    </row>
    <row r="458" spans="1:57" customFormat="1" hidden="1">
      <c r="A458" s="1"/>
      <c r="B458" s="1" t="str">
        <f>IFERROR(IF(MARÍTIMOS[[#This Row],[PP]]="","",MARÍTIMOS[[#This Row],[PP]]),"")</f>
        <v/>
      </c>
      <c r="C458" s="1" t="str">
        <f>IFERROR(IF(MARÍTIMOS[[#This Row],[Sede]]="","",MARÍTIMOS[[#This Row],[Sede]]),"")</f>
        <v/>
      </c>
      <c r="D458" s="1" t="str">
        <f>IFERROR(IF(MARÍTIMOS[[#This Row],[Instruction]]="","",MARÍTIMOS[[#This Row],[Instruction]]),"")</f>
        <v/>
      </c>
      <c r="E458" s="1"/>
      <c r="F458" s="2" t="str">
        <f>IFERROR(IF(MARÍTIMOS[[#This Row],[Transportista]]="","",MARÍTIMOS[[#This Row],[Transportista]]),"")</f>
        <v/>
      </c>
      <c r="G458" s="2" t="str">
        <f>IFERROR(IF(MARÍTIMOS[[#This Row],[Tercero]]="","",MARÍTIMOS[[#This Row],[Tercero]]),"")</f>
        <v/>
      </c>
      <c r="H458" s="2" t="str">
        <f>IFERROR(IF(MARÍTIMOS[[#This Row],[Razón Social]]="","",MARÍTIMOS[[#This Row],[Razón Social]]),"")</f>
        <v/>
      </c>
      <c r="I458" s="2" t="str">
        <f>IFERROR(IF(MARÍTIMOS[[#This Row],[RUC]]="","",MARÍTIMOS[[#This Row],[RUC]]),"")</f>
        <v/>
      </c>
      <c r="J458" s="2" t="str">
        <f>IFERROR(IF(MARÍTIMOS[[#This Row],[Placa Tracto]]="","",MARÍTIMOS[[#This Row],[Placa Tracto]]),"")</f>
        <v/>
      </c>
      <c r="K458" s="2" t="str">
        <f>IFERROR(IF(MARÍTIMOS[[#This Row],[Placa Carreta]]="","",MARÍTIMOS[[#This Row],[Placa Carreta]]),"")</f>
        <v/>
      </c>
      <c r="L458" s="44" t="str">
        <f>IFERROR(IF(MARÍTIMOS[[#This Row],[Conductor]]="","",MARÍTIMOS[[#This Row],[Conductor]]),"")</f>
        <v/>
      </c>
      <c r="M458" s="2" t="str">
        <f>IFERROR(IF(MARÍTIMOS[[#This Row],[Licencia]]="","",MARÍTIMOS[[#This Row],[Licencia]]),"")</f>
        <v/>
      </c>
      <c r="N458" s="2" t="str">
        <f>IFERROR(IF(MARÍTIMOS[[#This Row],[Número de Contacto]]="","",MARÍTIMOS[[#This Row],[Número de Contacto]]),"")</f>
        <v/>
      </c>
      <c r="O458" s="10" t="str">
        <f>IFERROR(IF(MARÍTIMOS[[#This Row],[Booking|AWB|CRT]]="","",MARÍTIMOS[[#This Row],[Booking|AWB|CRT]]),"")</f>
        <v/>
      </c>
      <c r="P458" s="2" t="str">
        <f>IFERROR(IF(MARÍTIMOS[[#This Row],[Contenedor]]="","",MARÍTIMOS[[#This Row],[Contenedor]]),"")</f>
        <v/>
      </c>
      <c r="Q458" s="2" t="str">
        <f>IFERROR(IF(MARÍTIMOS[[#This Row],[Puerto de Retiro]]="","",MARÍTIMOS[[#This Row],[Puerto de Retiro]]),"")</f>
        <v/>
      </c>
      <c r="R458" s="2" t="str">
        <f>IFERROR(IF(MARÍTIMOS[[#This Row],[Almacén de Retiro]]="","",MARÍTIMOS[[#This Row],[Almacén de Retiro]]),"")</f>
        <v/>
      </c>
      <c r="S458" s="11" t="str">
        <f>IFERROR(IF(MARÍTIMOS[[#This Row],[Etapa Retiro - Cita]]="","",MARÍTIMOS[[#This Row],[Etapa Retiro - Cita]]),"")</f>
        <v/>
      </c>
      <c r="T458" s="11" t="str">
        <f>IFERROR(IF(MARÍTIMOS[[#This Row],[Etapa Retiro - Llegada]]="","",MARÍTIMOS[[#This Row],[Etapa Retiro - Llegada]]),"")</f>
        <v/>
      </c>
      <c r="U458" s="11" t="str">
        <f>IFERROR(IF(MARÍTIMOS[[#This Row],[Etapa Retiro - Ingreso]]="","",MARÍTIMOS[[#This Row],[Etapa Retiro - Ingreso]]),"")</f>
        <v/>
      </c>
      <c r="V458" s="11" t="str">
        <f>IFERROR(IF(MARÍTIMOS[[#This Row],[Etapa Retiro - Atención]]="","",MARÍTIMOS[[#This Row],[Etapa Retiro - Atención]]),"")</f>
        <v/>
      </c>
      <c r="W458" s="11" t="str">
        <f>IFERROR(IF(MARÍTIMOS[[#This Row],[Etapa Retiro - Atención]]="","",MARÍTIMOS[[#This Row],[Etapa Retiro - Atención]]),"")</f>
        <v/>
      </c>
      <c r="X458" s="11" t="str">
        <f>IFERROR(IF(MARÍTIMOS[[#This Row],[Etapa Retiro - Inicio de Ruta]]="","",MARÍTIMOS[[#This Row],[Etapa Retiro - Inicio de Ruta]]),"")</f>
        <v/>
      </c>
      <c r="Y458" s="11" t="str">
        <f>IFERROR(IF(MARÍTIMOS[[#This Row],[Hora de Posicionamiento]]="","",MARÍTIMOS[[#This Row],[Fecha de Carga]]+MARÍTIMOS[[#This Row],[Hora de Posicionamiento]]),"")</f>
        <v/>
      </c>
      <c r="Z458" s="11" t="str">
        <f>IFERROR(IF(MARÍTIMOS[[#This Row],[Etapa Despacho - Llegada]]="","",MARÍTIMOS[[#This Row],[Etapa Despacho - Llegada]]),"")</f>
        <v/>
      </c>
      <c r="AA458" s="11" t="str">
        <f>IFERROR(IF(MARÍTIMOS[[#This Row],[Etapa Despacho - Registro]]="","",MARÍTIMOS[[#This Row],[Etapa Despacho - Registro]]),"")</f>
        <v/>
      </c>
      <c r="AB458" s="11" t="str">
        <f>IFERROR(IF(MARÍTIMOS[[#This Row],[Inspección Externa]]="","",MARÍTIMOS[[#This Row],[Inspección Externa]]),"")</f>
        <v/>
      </c>
      <c r="AC458" s="11" t="str">
        <f>IFERROR(IF(MARÍTIMOS[[#This Row],[Etapa Despacho - Inicio de Carga]]="","",MARÍTIMOS[[#This Row],[Etapa Despacho - Inicio de Carga]]),"")</f>
        <v/>
      </c>
      <c r="AD458" s="11" t="str">
        <f>IFERROR(IF(MARÍTIMOS[[#This Row],[Etapa Despacho - Mitad de Carga]]="","",MARÍTIMOS[[#This Row],[Etapa Despacho - Mitad de Carga]]),"")</f>
        <v/>
      </c>
      <c r="AE458" s="11" t="str">
        <f>IFERROR(IF(MARÍTIMOS[[#This Row],[Etapa Despacho - Fin de Carga]]="","",MARÍTIMOS[[#This Row],[Etapa Despacho - Fin de Carga]]),"")</f>
        <v/>
      </c>
      <c r="AF458" s="2" t="str">
        <f>IFERROR(IF(MARÍTIMOS[[#This Row],[Puerto de Embarque]]="","",MARÍTIMOS[[#This Row],[Puerto de Embarque]]),"")</f>
        <v/>
      </c>
      <c r="AG458" s="2" t="str">
        <f>IFERROR(IF(MARÍTIMOS[[#This Row],[Almacén de Ingreso]]="","",MARÍTIMOS[[#This Row],[Almacén de Ingreso]]),"")</f>
        <v/>
      </c>
      <c r="AH458" s="11" t="str">
        <f>IFERROR(IF(MARÍTIMOS[[#This Row],[Etapa Ingreso - Cita]]="","",MARÍTIMOS[[#This Row],[Etapa Ingreso - Cita]]),"")</f>
        <v/>
      </c>
      <c r="AI458" s="11" t="str">
        <f>IFERROR(IF(MARÍTIMOS[[#This Row],[Etapa Ingreso - Llegada]]="","",MARÍTIMOS[[#This Row],[Etapa Ingreso - Llegada]]),"")</f>
        <v/>
      </c>
      <c r="AJ458" s="11" t="str">
        <f>IFERROR(IF(MARÍTIMOS[[#This Row],[Etapa Ingreso - Ingeso]]="","",MARÍTIMOS[[#This Row],[Etapa Ingreso - Ingeso]]),"")</f>
        <v/>
      </c>
      <c r="AK458" s="11" t="str">
        <f>IFERROR(IF(MARÍTIMOS[[#This Row],[Etapa Ingreso - Atención]]="","",MARÍTIMOS[[#This Row],[Etapa Ingreso - Atención]]),"")</f>
        <v/>
      </c>
      <c r="AL458" s="11" t="str">
        <f>IFERROR(IF(MARÍTIMOS[[#This Row],[Etapa Ingreso - Salida]]="","",MARÍTIMOS[[#This Row],[Etapa Ingreso - Salida]]),"")</f>
        <v/>
      </c>
      <c r="AM458" s="2" t="str">
        <f>IFERROR(IF(MARÍTIMOS[[#This Row],[FCL]]="","",MARÍTIMOS[[#This Row],[FCL]]),"")</f>
        <v/>
      </c>
      <c r="AN4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8" s="4" t="str" cm="1">
        <f t="array" ref="AO4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8" s="5" t="str">
        <f>IFERROR(OLDBD[[#This Row],[Llegada a packing]]-OLDBD[[#This Row],[Inicio de Ruta]],"")</f>
        <v/>
      </c>
      <c r="AQ458" s="6" t="str">
        <f>IFERROR(OLDBD[[#This Row],[Inicio de Ruta]]-OLDBD[[#This Row],[Salida de almacén de retiro]],"")</f>
        <v/>
      </c>
      <c r="AR4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8" s="8" t="str" cm="1">
        <f t="array" ref="AS4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8" s="9" t="str">
        <f>IFERROR(OLDBD[[#This Row],[Ingreso Packing]]-OLDBD[[#This Row],[Registro en Packing]],"")</f>
        <v/>
      </c>
      <c r="AV458" s="9" t="str">
        <f>IFERROR(OLDBD[[#This Row],[Ingreso Packing]]-OLDBD[[#This Row],[Llegada a packing]],"")</f>
        <v/>
      </c>
      <c r="AW4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8" s="5" t="str">
        <f>IFERROR(OLDBD[[#This Row],[Llegada Almacén de Ingreso]]-OLDBD[[#This Row],[Salida Packing]],"")</f>
        <v/>
      </c>
      <c r="AY458" s="4" t="str" cm="1">
        <f t="array" ref="AY4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8" s="43" t="s">
        <v>173</v>
      </c>
      <c r="BB458" s="47" t="str">
        <f>IFERROR(IF(MARÍTIMOS[[#This Row],[Estatus]]="","",MARÍTIMOS[[#This Row],[Estatus]]),"")</f>
        <v/>
      </c>
      <c r="BC458" s="43"/>
      <c r="BD458" s="46" t="str">
        <f>IFERROR(OLDBD[[#This Row],[Salida de almacén de retiro]]-OLDBD[[#This Row],[Ingreso Almacén de retiro]],"")</f>
        <v/>
      </c>
      <c r="BE458" s="46" t="str">
        <f>IFERROR(OLDBD[[#This Row],[Fin de Carga]]-OLDBD[[#This Row],[Inicio de Carga]],"")</f>
        <v/>
      </c>
    </row>
    <row r="459" spans="1:57" customFormat="1" hidden="1">
      <c r="A459" s="1"/>
      <c r="B459" s="1" t="str">
        <f>IFERROR(IF(MARÍTIMOS[[#This Row],[PP]]="","",MARÍTIMOS[[#This Row],[PP]]),"")</f>
        <v/>
      </c>
      <c r="C459" s="1" t="str">
        <f>IFERROR(IF(MARÍTIMOS[[#This Row],[Sede]]="","",MARÍTIMOS[[#This Row],[Sede]]),"")</f>
        <v/>
      </c>
      <c r="D459" s="1" t="str">
        <f>IFERROR(IF(MARÍTIMOS[[#This Row],[Instruction]]="","",MARÍTIMOS[[#This Row],[Instruction]]),"")</f>
        <v/>
      </c>
      <c r="E459" s="1"/>
      <c r="F459" s="2" t="str">
        <f>IFERROR(IF(MARÍTIMOS[[#This Row],[Transportista]]="","",MARÍTIMOS[[#This Row],[Transportista]]),"")</f>
        <v/>
      </c>
      <c r="G459" s="2" t="str">
        <f>IFERROR(IF(MARÍTIMOS[[#This Row],[Tercero]]="","",MARÍTIMOS[[#This Row],[Tercero]]),"")</f>
        <v/>
      </c>
      <c r="H459" s="2" t="str">
        <f>IFERROR(IF(MARÍTIMOS[[#This Row],[Razón Social]]="","",MARÍTIMOS[[#This Row],[Razón Social]]),"")</f>
        <v/>
      </c>
      <c r="I459" s="2" t="str">
        <f>IFERROR(IF(MARÍTIMOS[[#This Row],[RUC]]="","",MARÍTIMOS[[#This Row],[RUC]]),"")</f>
        <v/>
      </c>
      <c r="J459" s="2" t="str">
        <f>IFERROR(IF(MARÍTIMOS[[#This Row],[Placa Tracto]]="","",MARÍTIMOS[[#This Row],[Placa Tracto]]),"")</f>
        <v/>
      </c>
      <c r="K459" s="2" t="str">
        <f>IFERROR(IF(MARÍTIMOS[[#This Row],[Placa Carreta]]="","",MARÍTIMOS[[#This Row],[Placa Carreta]]),"")</f>
        <v/>
      </c>
      <c r="L459" s="44" t="str">
        <f>IFERROR(IF(MARÍTIMOS[[#This Row],[Conductor]]="","",MARÍTIMOS[[#This Row],[Conductor]]),"")</f>
        <v/>
      </c>
      <c r="M459" s="2" t="str">
        <f>IFERROR(IF(MARÍTIMOS[[#This Row],[Licencia]]="","",MARÍTIMOS[[#This Row],[Licencia]]),"")</f>
        <v/>
      </c>
      <c r="N459" s="2" t="str">
        <f>IFERROR(IF(MARÍTIMOS[[#This Row],[Número de Contacto]]="","",MARÍTIMOS[[#This Row],[Número de Contacto]]),"")</f>
        <v/>
      </c>
      <c r="O459" s="10" t="str">
        <f>IFERROR(IF(MARÍTIMOS[[#This Row],[Booking|AWB|CRT]]="","",MARÍTIMOS[[#This Row],[Booking|AWB|CRT]]),"")</f>
        <v/>
      </c>
      <c r="P459" s="2" t="str">
        <f>IFERROR(IF(MARÍTIMOS[[#This Row],[Contenedor]]="","",MARÍTIMOS[[#This Row],[Contenedor]]),"")</f>
        <v/>
      </c>
      <c r="Q459" s="2" t="str">
        <f>IFERROR(IF(MARÍTIMOS[[#This Row],[Puerto de Retiro]]="","",MARÍTIMOS[[#This Row],[Puerto de Retiro]]),"")</f>
        <v/>
      </c>
      <c r="R459" s="2" t="str">
        <f>IFERROR(IF(MARÍTIMOS[[#This Row],[Almacén de Retiro]]="","",MARÍTIMOS[[#This Row],[Almacén de Retiro]]),"")</f>
        <v/>
      </c>
      <c r="S459" s="11" t="str">
        <f>IFERROR(IF(MARÍTIMOS[[#This Row],[Etapa Retiro - Cita]]="","",MARÍTIMOS[[#This Row],[Etapa Retiro - Cita]]),"")</f>
        <v/>
      </c>
      <c r="T459" s="11" t="str">
        <f>IFERROR(IF(MARÍTIMOS[[#This Row],[Etapa Retiro - Llegada]]="","",MARÍTIMOS[[#This Row],[Etapa Retiro - Llegada]]),"")</f>
        <v/>
      </c>
      <c r="U459" s="11" t="str">
        <f>IFERROR(IF(MARÍTIMOS[[#This Row],[Etapa Retiro - Ingreso]]="","",MARÍTIMOS[[#This Row],[Etapa Retiro - Ingreso]]),"")</f>
        <v/>
      </c>
      <c r="V459" s="11" t="str">
        <f>IFERROR(IF(MARÍTIMOS[[#This Row],[Etapa Retiro - Atención]]="","",MARÍTIMOS[[#This Row],[Etapa Retiro - Atención]]),"")</f>
        <v/>
      </c>
      <c r="W459" s="11" t="str">
        <f>IFERROR(IF(MARÍTIMOS[[#This Row],[Etapa Retiro - Atención]]="","",MARÍTIMOS[[#This Row],[Etapa Retiro - Atención]]),"")</f>
        <v/>
      </c>
      <c r="X459" s="11" t="str">
        <f>IFERROR(IF(MARÍTIMOS[[#This Row],[Etapa Retiro - Inicio de Ruta]]="","",MARÍTIMOS[[#This Row],[Etapa Retiro - Inicio de Ruta]]),"")</f>
        <v/>
      </c>
      <c r="Y459" s="11" t="str">
        <f>IFERROR(IF(MARÍTIMOS[[#This Row],[Hora de Posicionamiento]]="","",MARÍTIMOS[[#This Row],[Fecha de Carga]]+MARÍTIMOS[[#This Row],[Hora de Posicionamiento]]),"")</f>
        <v/>
      </c>
      <c r="Z459" s="11" t="str">
        <f>IFERROR(IF(MARÍTIMOS[[#This Row],[Etapa Despacho - Llegada]]="","",MARÍTIMOS[[#This Row],[Etapa Despacho - Llegada]]),"")</f>
        <v/>
      </c>
      <c r="AA459" s="11" t="str">
        <f>IFERROR(IF(MARÍTIMOS[[#This Row],[Etapa Despacho - Registro]]="","",MARÍTIMOS[[#This Row],[Etapa Despacho - Registro]]),"")</f>
        <v/>
      </c>
      <c r="AB459" s="11" t="str">
        <f>IFERROR(IF(MARÍTIMOS[[#This Row],[Inspección Externa]]="","",MARÍTIMOS[[#This Row],[Inspección Externa]]),"")</f>
        <v/>
      </c>
      <c r="AC459" s="11" t="str">
        <f>IFERROR(IF(MARÍTIMOS[[#This Row],[Etapa Despacho - Inicio de Carga]]="","",MARÍTIMOS[[#This Row],[Etapa Despacho - Inicio de Carga]]),"")</f>
        <v/>
      </c>
      <c r="AD459" s="11" t="str">
        <f>IFERROR(IF(MARÍTIMOS[[#This Row],[Etapa Despacho - Mitad de Carga]]="","",MARÍTIMOS[[#This Row],[Etapa Despacho - Mitad de Carga]]),"")</f>
        <v/>
      </c>
      <c r="AE459" s="11" t="str">
        <f>IFERROR(IF(MARÍTIMOS[[#This Row],[Etapa Despacho - Fin de Carga]]="","",MARÍTIMOS[[#This Row],[Etapa Despacho - Fin de Carga]]),"")</f>
        <v/>
      </c>
      <c r="AF459" s="2" t="str">
        <f>IFERROR(IF(MARÍTIMOS[[#This Row],[Puerto de Embarque]]="","",MARÍTIMOS[[#This Row],[Puerto de Embarque]]),"")</f>
        <v/>
      </c>
      <c r="AG459" s="2" t="str">
        <f>IFERROR(IF(MARÍTIMOS[[#This Row],[Almacén de Ingreso]]="","",MARÍTIMOS[[#This Row],[Almacén de Ingreso]]),"")</f>
        <v/>
      </c>
      <c r="AH459" s="11" t="str">
        <f>IFERROR(IF(MARÍTIMOS[[#This Row],[Etapa Ingreso - Cita]]="","",MARÍTIMOS[[#This Row],[Etapa Ingreso - Cita]]),"")</f>
        <v/>
      </c>
      <c r="AI459" s="11" t="str">
        <f>IFERROR(IF(MARÍTIMOS[[#This Row],[Etapa Ingreso - Llegada]]="","",MARÍTIMOS[[#This Row],[Etapa Ingreso - Llegada]]),"")</f>
        <v/>
      </c>
      <c r="AJ459" s="11" t="str">
        <f>IFERROR(IF(MARÍTIMOS[[#This Row],[Etapa Ingreso - Ingeso]]="","",MARÍTIMOS[[#This Row],[Etapa Ingreso - Ingeso]]),"")</f>
        <v/>
      </c>
      <c r="AK459" s="11" t="str">
        <f>IFERROR(IF(MARÍTIMOS[[#This Row],[Etapa Ingreso - Atención]]="","",MARÍTIMOS[[#This Row],[Etapa Ingreso - Atención]]),"")</f>
        <v/>
      </c>
      <c r="AL459" s="11" t="str">
        <f>IFERROR(IF(MARÍTIMOS[[#This Row],[Etapa Ingreso - Salida]]="","",MARÍTIMOS[[#This Row],[Etapa Ingreso - Salida]]),"")</f>
        <v/>
      </c>
      <c r="AM459" s="2" t="str">
        <f>IFERROR(IF(MARÍTIMOS[[#This Row],[FCL]]="","",MARÍTIMOS[[#This Row],[FCL]]),"")</f>
        <v/>
      </c>
      <c r="AN4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59" s="4" t="str" cm="1">
        <f t="array" ref="AO4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59" s="5" t="str">
        <f>IFERROR(OLDBD[[#This Row],[Llegada a packing]]-OLDBD[[#This Row],[Inicio de Ruta]],"")</f>
        <v/>
      </c>
      <c r="AQ459" s="6" t="str">
        <f>IFERROR(OLDBD[[#This Row],[Inicio de Ruta]]-OLDBD[[#This Row],[Salida de almacén de retiro]],"")</f>
        <v/>
      </c>
      <c r="AR4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59" s="8" t="str" cm="1">
        <f t="array" ref="AS4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59" s="9" t="str">
        <f>IFERROR(OLDBD[[#This Row],[Ingreso Packing]]-OLDBD[[#This Row],[Registro en Packing]],"")</f>
        <v/>
      </c>
      <c r="AV459" s="9" t="str">
        <f>IFERROR(OLDBD[[#This Row],[Ingreso Packing]]-OLDBD[[#This Row],[Llegada a packing]],"")</f>
        <v/>
      </c>
      <c r="AW4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59" s="5" t="str">
        <f>IFERROR(OLDBD[[#This Row],[Llegada Almacén de Ingreso]]-OLDBD[[#This Row],[Salida Packing]],"")</f>
        <v/>
      </c>
      <c r="AY459" s="4" t="str" cm="1">
        <f t="array" ref="AY4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59" s="43" t="s">
        <v>173</v>
      </c>
      <c r="BB459" s="47" t="str">
        <f>IFERROR(IF(MARÍTIMOS[[#This Row],[Estatus]]="","",MARÍTIMOS[[#This Row],[Estatus]]),"")</f>
        <v/>
      </c>
      <c r="BC459" s="43"/>
      <c r="BD459" s="46" t="str">
        <f>IFERROR(OLDBD[[#This Row],[Salida de almacén de retiro]]-OLDBD[[#This Row],[Ingreso Almacén de retiro]],"")</f>
        <v/>
      </c>
      <c r="BE459" s="46" t="str">
        <f>IFERROR(OLDBD[[#This Row],[Fin de Carga]]-OLDBD[[#This Row],[Inicio de Carga]],"")</f>
        <v/>
      </c>
    </row>
    <row r="460" spans="1:57" customFormat="1" hidden="1">
      <c r="A460" s="1"/>
      <c r="B460" s="1" t="str">
        <f>IFERROR(IF(MARÍTIMOS[[#This Row],[PP]]="","",MARÍTIMOS[[#This Row],[PP]]),"")</f>
        <v/>
      </c>
      <c r="C460" s="1" t="str">
        <f>IFERROR(IF(MARÍTIMOS[[#This Row],[Sede]]="","",MARÍTIMOS[[#This Row],[Sede]]),"")</f>
        <v/>
      </c>
      <c r="D460" s="1" t="str">
        <f>IFERROR(IF(MARÍTIMOS[[#This Row],[Instruction]]="","",MARÍTIMOS[[#This Row],[Instruction]]),"")</f>
        <v/>
      </c>
      <c r="E460" s="1"/>
      <c r="F460" s="2" t="str">
        <f>IFERROR(IF(MARÍTIMOS[[#This Row],[Transportista]]="","",MARÍTIMOS[[#This Row],[Transportista]]),"")</f>
        <v/>
      </c>
      <c r="G460" s="2" t="str">
        <f>IFERROR(IF(MARÍTIMOS[[#This Row],[Tercero]]="","",MARÍTIMOS[[#This Row],[Tercero]]),"")</f>
        <v/>
      </c>
      <c r="H460" s="2" t="str">
        <f>IFERROR(IF(MARÍTIMOS[[#This Row],[Razón Social]]="","",MARÍTIMOS[[#This Row],[Razón Social]]),"")</f>
        <v/>
      </c>
      <c r="I460" s="2" t="str">
        <f>IFERROR(IF(MARÍTIMOS[[#This Row],[RUC]]="","",MARÍTIMOS[[#This Row],[RUC]]),"")</f>
        <v/>
      </c>
      <c r="J460" s="2" t="str">
        <f>IFERROR(IF(MARÍTIMOS[[#This Row],[Placa Tracto]]="","",MARÍTIMOS[[#This Row],[Placa Tracto]]),"")</f>
        <v/>
      </c>
      <c r="K460" s="2" t="str">
        <f>IFERROR(IF(MARÍTIMOS[[#This Row],[Placa Carreta]]="","",MARÍTIMOS[[#This Row],[Placa Carreta]]),"")</f>
        <v/>
      </c>
      <c r="L460" s="44" t="str">
        <f>IFERROR(IF(MARÍTIMOS[[#This Row],[Conductor]]="","",MARÍTIMOS[[#This Row],[Conductor]]),"")</f>
        <v/>
      </c>
      <c r="M460" s="2" t="str">
        <f>IFERROR(IF(MARÍTIMOS[[#This Row],[Licencia]]="","",MARÍTIMOS[[#This Row],[Licencia]]),"")</f>
        <v/>
      </c>
      <c r="N460" s="2" t="str">
        <f>IFERROR(IF(MARÍTIMOS[[#This Row],[Número de Contacto]]="","",MARÍTIMOS[[#This Row],[Número de Contacto]]),"")</f>
        <v/>
      </c>
      <c r="O460" s="10" t="str">
        <f>IFERROR(IF(MARÍTIMOS[[#This Row],[Booking|AWB|CRT]]="","",MARÍTIMOS[[#This Row],[Booking|AWB|CRT]]),"")</f>
        <v/>
      </c>
      <c r="P460" s="2" t="str">
        <f>IFERROR(IF(MARÍTIMOS[[#This Row],[Contenedor]]="","",MARÍTIMOS[[#This Row],[Contenedor]]),"")</f>
        <v/>
      </c>
      <c r="Q460" s="2" t="str">
        <f>IFERROR(IF(MARÍTIMOS[[#This Row],[Puerto de Retiro]]="","",MARÍTIMOS[[#This Row],[Puerto de Retiro]]),"")</f>
        <v/>
      </c>
      <c r="R460" s="2" t="str">
        <f>IFERROR(IF(MARÍTIMOS[[#This Row],[Almacén de Retiro]]="","",MARÍTIMOS[[#This Row],[Almacén de Retiro]]),"")</f>
        <v/>
      </c>
      <c r="S460" s="11" t="str">
        <f>IFERROR(IF(MARÍTIMOS[[#This Row],[Etapa Retiro - Cita]]="","",MARÍTIMOS[[#This Row],[Etapa Retiro - Cita]]),"")</f>
        <v/>
      </c>
      <c r="T460" s="11" t="str">
        <f>IFERROR(IF(MARÍTIMOS[[#This Row],[Etapa Retiro - Llegada]]="","",MARÍTIMOS[[#This Row],[Etapa Retiro - Llegada]]),"")</f>
        <v/>
      </c>
      <c r="U460" s="11" t="str">
        <f>IFERROR(IF(MARÍTIMOS[[#This Row],[Etapa Retiro - Ingreso]]="","",MARÍTIMOS[[#This Row],[Etapa Retiro - Ingreso]]),"")</f>
        <v/>
      </c>
      <c r="V460" s="11" t="str">
        <f>IFERROR(IF(MARÍTIMOS[[#This Row],[Etapa Retiro - Atención]]="","",MARÍTIMOS[[#This Row],[Etapa Retiro - Atención]]),"")</f>
        <v/>
      </c>
      <c r="W460" s="11" t="str">
        <f>IFERROR(IF(MARÍTIMOS[[#This Row],[Etapa Retiro - Atención]]="","",MARÍTIMOS[[#This Row],[Etapa Retiro - Atención]]),"")</f>
        <v/>
      </c>
      <c r="X460" s="11" t="str">
        <f>IFERROR(IF(MARÍTIMOS[[#This Row],[Etapa Retiro - Inicio de Ruta]]="","",MARÍTIMOS[[#This Row],[Etapa Retiro - Inicio de Ruta]]),"")</f>
        <v/>
      </c>
      <c r="Y460" s="11" t="str">
        <f>IFERROR(IF(MARÍTIMOS[[#This Row],[Hora de Posicionamiento]]="","",MARÍTIMOS[[#This Row],[Fecha de Carga]]+MARÍTIMOS[[#This Row],[Hora de Posicionamiento]]),"")</f>
        <v/>
      </c>
      <c r="Z460" s="11" t="str">
        <f>IFERROR(IF(MARÍTIMOS[[#This Row],[Etapa Despacho - Llegada]]="","",MARÍTIMOS[[#This Row],[Etapa Despacho - Llegada]]),"")</f>
        <v/>
      </c>
      <c r="AA460" s="11" t="str">
        <f>IFERROR(IF(MARÍTIMOS[[#This Row],[Etapa Despacho - Registro]]="","",MARÍTIMOS[[#This Row],[Etapa Despacho - Registro]]),"")</f>
        <v/>
      </c>
      <c r="AB460" s="11" t="str">
        <f>IFERROR(IF(MARÍTIMOS[[#This Row],[Inspección Externa]]="","",MARÍTIMOS[[#This Row],[Inspección Externa]]),"")</f>
        <v/>
      </c>
      <c r="AC460" s="11" t="str">
        <f>IFERROR(IF(MARÍTIMOS[[#This Row],[Etapa Despacho - Inicio de Carga]]="","",MARÍTIMOS[[#This Row],[Etapa Despacho - Inicio de Carga]]),"")</f>
        <v/>
      </c>
      <c r="AD460" s="11" t="str">
        <f>IFERROR(IF(MARÍTIMOS[[#This Row],[Etapa Despacho - Mitad de Carga]]="","",MARÍTIMOS[[#This Row],[Etapa Despacho - Mitad de Carga]]),"")</f>
        <v/>
      </c>
      <c r="AE460" s="11" t="str">
        <f>IFERROR(IF(MARÍTIMOS[[#This Row],[Etapa Despacho - Fin de Carga]]="","",MARÍTIMOS[[#This Row],[Etapa Despacho - Fin de Carga]]),"")</f>
        <v/>
      </c>
      <c r="AF460" s="2" t="str">
        <f>IFERROR(IF(MARÍTIMOS[[#This Row],[Puerto de Embarque]]="","",MARÍTIMOS[[#This Row],[Puerto de Embarque]]),"")</f>
        <v/>
      </c>
      <c r="AG460" s="2" t="str">
        <f>IFERROR(IF(MARÍTIMOS[[#This Row],[Almacén de Ingreso]]="","",MARÍTIMOS[[#This Row],[Almacén de Ingreso]]),"")</f>
        <v/>
      </c>
      <c r="AH460" s="11" t="str">
        <f>IFERROR(IF(MARÍTIMOS[[#This Row],[Etapa Ingreso - Cita]]="","",MARÍTIMOS[[#This Row],[Etapa Ingreso - Cita]]),"")</f>
        <v/>
      </c>
      <c r="AI460" s="11" t="str">
        <f>IFERROR(IF(MARÍTIMOS[[#This Row],[Etapa Ingreso - Llegada]]="","",MARÍTIMOS[[#This Row],[Etapa Ingreso - Llegada]]),"")</f>
        <v/>
      </c>
      <c r="AJ460" s="11" t="str">
        <f>IFERROR(IF(MARÍTIMOS[[#This Row],[Etapa Ingreso - Ingeso]]="","",MARÍTIMOS[[#This Row],[Etapa Ingreso - Ingeso]]),"")</f>
        <v/>
      </c>
      <c r="AK460" s="11" t="str">
        <f>IFERROR(IF(MARÍTIMOS[[#This Row],[Etapa Ingreso - Atención]]="","",MARÍTIMOS[[#This Row],[Etapa Ingreso - Atención]]),"")</f>
        <v/>
      </c>
      <c r="AL460" s="11" t="str">
        <f>IFERROR(IF(MARÍTIMOS[[#This Row],[Etapa Ingreso - Salida]]="","",MARÍTIMOS[[#This Row],[Etapa Ingreso - Salida]]),"")</f>
        <v/>
      </c>
      <c r="AM460" s="2" t="str">
        <f>IFERROR(IF(MARÍTIMOS[[#This Row],[FCL]]="","",MARÍTIMOS[[#This Row],[FCL]]),"")</f>
        <v/>
      </c>
      <c r="AN4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0" s="4" t="str" cm="1">
        <f t="array" ref="AO4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0" s="5" t="str">
        <f>IFERROR(OLDBD[[#This Row],[Llegada a packing]]-OLDBD[[#This Row],[Inicio de Ruta]],"")</f>
        <v/>
      </c>
      <c r="AQ460" s="6" t="str">
        <f>IFERROR(OLDBD[[#This Row],[Inicio de Ruta]]-OLDBD[[#This Row],[Salida de almacén de retiro]],"")</f>
        <v/>
      </c>
      <c r="AR4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0" s="8" t="str" cm="1">
        <f t="array" ref="AS4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0" s="9" t="str">
        <f>IFERROR(OLDBD[[#This Row],[Ingreso Packing]]-OLDBD[[#This Row],[Registro en Packing]],"")</f>
        <v/>
      </c>
      <c r="AV460" s="9" t="str">
        <f>IFERROR(OLDBD[[#This Row],[Ingreso Packing]]-OLDBD[[#This Row],[Llegada a packing]],"")</f>
        <v/>
      </c>
      <c r="AW4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0" s="5" t="str">
        <f>IFERROR(OLDBD[[#This Row],[Llegada Almacén de Ingreso]]-OLDBD[[#This Row],[Salida Packing]],"")</f>
        <v/>
      </c>
      <c r="AY460" s="4" t="str" cm="1">
        <f t="array" ref="AY4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0" s="43" t="s">
        <v>173</v>
      </c>
      <c r="BB460" s="47" t="str">
        <f>IFERROR(IF(MARÍTIMOS[[#This Row],[Estatus]]="","",MARÍTIMOS[[#This Row],[Estatus]]),"")</f>
        <v/>
      </c>
      <c r="BC460" s="43"/>
      <c r="BD460" s="46" t="str">
        <f>IFERROR(OLDBD[[#This Row],[Salida de almacén de retiro]]-OLDBD[[#This Row],[Ingreso Almacén de retiro]],"")</f>
        <v/>
      </c>
      <c r="BE460" s="46" t="str">
        <f>IFERROR(OLDBD[[#This Row],[Fin de Carga]]-OLDBD[[#This Row],[Inicio de Carga]],"")</f>
        <v/>
      </c>
    </row>
    <row r="461" spans="1:57" customFormat="1" hidden="1">
      <c r="A461" s="1"/>
      <c r="B461" s="1" t="str">
        <f>IFERROR(IF(MARÍTIMOS[[#This Row],[PP]]="","",MARÍTIMOS[[#This Row],[PP]]),"")</f>
        <v/>
      </c>
      <c r="C461" s="1" t="str">
        <f>IFERROR(IF(MARÍTIMOS[[#This Row],[Sede]]="","",MARÍTIMOS[[#This Row],[Sede]]),"")</f>
        <v/>
      </c>
      <c r="D461" s="1" t="str">
        <f>IFERROR(IF(MARÍTIMOS[[#This Row],[Instruction]]="","",MARÍTIMOS[[#This Row],[Instruction]]),"")</f>
        <v/>
      </c>
      <c r="E461" s="1"/>
      <c r="F461" s="2" t="str">
        <f>IFERROR(IF(MARÍTIMOS[[#This Row],[Transportista]]="","",MARÍTIMOS[[#This Row],[Transportista]]),"")</f>
        <v/>
      </c>
      <c r="G461" s="2" t="str">
        <f>IFERROR(IF(MARÍTIMOS[[#This Row],[Tercero]]="","",MARÍTIMOS[[#This Row],[Tercero]]),"")</f>
        <v/>
      </c>
      <c r="H461" s="2" t="str">
        <f>IFERROR(IF(MARÍTIMOS[[#This Row],[Razón Social]]="","",MARÍTIMOS[[#This Row],[Razón Social]]),"")</f>
        <v/>
      </c>
      <c r="I461" s="2" t="str">
        <f>IFERROR(IF(MARÍTIMOS[[#This Row],[RUC]]="","",MARÍTIMOS[[#This Row],[RUC]]),"")</f>
        <v/>
      </c>
      <c r="J461" s="2" t="str">
        <f>IFERROR(IF(MARÍTIMOS[[#This Row],[Placa Tracto]]="","",MARÍTIMOS[[#This Row],[Placa Tracto]]),"")</f>
        <v/>
      </c>
      <c r="K461" s="2" t="str">
        <f>IFERROR(IF(MARÍTIMOS[[#This Row],[Placa Carreta]]="","",MARÍTIMOS[[#This Row],[Placa Carreta]]),"")</f>
        <v/>
      </c>
      <c r="L461" s="44" t="str">
        <f>IFERROR(IF(MARÍTIMOS[[#This Row],[Conductor]]="","",MARÍTIMOS[[#This Row],[Conductor]]),"")</f>
        <v/>
      </c>
      <c r="M461" s="2" t="str">
        <f>IFERROR(IF(MARÍTIMOS[[#This Row],[Licencia]]="","",MARÍTIMOS[[#This Row],[Licencia]]),"")</f>
        <v/>
      </c>
      <c r="N461" s="2" t="str">
        <f>IFERROR(IF(MARÍTIMOS[[#This Row],[Número de Contacto]]="","",MARÍTIMOS[[#This Row],[Número de Contacto]]),"")</f>
        <v/>
      </c>
      <c r="O461" s="10" t="str">
        <f>IFERROR(IF(MARÍTIMOS[[#This Row],[Booking|AWB|CRT]]="","",MARÍTIMOS[[#This Row],[Booking|AWB|CRT]]),"")</f>
        <v/>
      </c>
      <c r="P461" s="2" t="str">
        <f>IFERROR(IF(MARÍTIMOS[[#This Row],[Contenedor]]="","",MARÍTIMOS[[#This Row],[Contenedor]]),"")</f>
        <v/>
      </c>
      <c r="Q461" s="2" t="str">
        <f>IFERROR(IF(MARÍTIMOS[[#This Row],[Puerto de Retiro]]="","",MARÍTIMOS[[#This Row],[Puerto de Retiro]]),"")</f>
        <v/>
      </c>
      <c r="R461" s="2" t="str">
        <f>IFERROR(IF(MARÍTIMOS[[#This Row],[Almacén de Retiro]]="","",MARÍTIMOS[[#This Row],[Almacén de Retiro]]),"")</f>
        <v/>
      </c>
      <c r="S461" s="11" t="str">
        <f>IFERROR(IF(MARÍTIMOS[[#This Row],[Etapa Retiro - Cita]]="","",MARÍTIMOS[[#This Row],[Etapa Retiro - Cita]]),"")</f>
        <v/>
      </c>
      <c r="T461" s="11" t="str">
        <f>IFERROR(IF(MARÍTIMOS[[#This Row],[Etapa Retiro - Llegada]]="","",MARÍTIMOS[[#This Row],[Etapa Retiro - Llegada]]),"")</f>
        <v/>
      </c>
      <c r="U461" s="11" t="str">
        <f>IFERROR(IF(MARÍTIMOS[[#This Row],[Etapa Retiro - Ingreso]]="","",MARÍTIMOS[[#This Row],[Etapa Retiro - Ingreso]]),"")</f>
        <v/>
      </c>
      <c r="V461" s="11" t="str">
        <f>IFERROR(IF(MARÍTIMOS[[#This Row],[Etapa Retiro - Atención]]="","",MARÍTIMOS[[#This Row],[Etapa Retiro - Atención]]),"")</f>
        <v/>
      </c>
      <c r="W461" s="11" t="str">
        <f>IFERROR(IF(MARÍTIMOS[[#This Row],[Etapa Retiro - Atención]]="","",MARÍTIMOS[[#This Row],[Etapa Retiro - Atención]]),"")</f>
        <v/>
      </c>
      <c r="X461" s="11" t="str">
        <f>IFERROR(IF(MARÍTIMOS[[#This Row],[Etapa Retiro - Inicio de Ruta]]="","",MARÍTIMOS[[#This Row],[Etapa Retiro - Inicio de Ruta]]),"")</f>
        <v/>
      </c>
      <c r="Y461" s="11" t="str">
        <f>IFERROR(IF(MARÍTIMOS[[#This Row],[Hora de Posicionamiento]]="","",MARÍTIMOS[[#This Row],[Fecha de Carga]]+MARÍTIMOS[[#This Row],[Hora de Posicionamiento]]),"")</f>
        <v/>
      </c>
      <c r="Z461" s="11" t="str">
        <f>IFERROR(IF(MARÍTIMOS[[#This Row],[Etapa Despacho - Llegada]]="","",MARÍTIMOS[[#This Row],[Etapa Despacho - Llegada]]),"")</f>
        <v/>
      </c>
      <c r="AA461" s="11" t="str">
        <f>IFERROR(IF(MARÍTIMOS[[#This Row],[Etapa Despacho - Registro]]="","",MARÍTIMOS[[#This Row],[Etapa Despacho - Registro]]),"")</f>
        <v/>
      </c>
      <c r="AB461" s="11" t="str">
        <f>IFERROR(IF(MARÍTIMOS[[#This Row],[Inspección Externa]]="","",MARÍTIMOS[[#This Row],[Inspección Externa]]),"")</f>
        <v/>
      </c>
      <c r="AC461" s="11" t="str">
        <f>IFERROR(IF(MARÍTIMOS[[#This Row],[Etapa Despacho - Inicio de Carga]]="","",MARÍTIMOS[[#This Row],[Etapa Despacho - Inicio de Carga]]),"")</f>
        <v/>
      </c>
      <c r="AD461" s="11" t="str">
        <f>IFERROR(IF(MARÍTIMOS[[#This Row],[Etapa Despacho - Mitad de Carga]]="","",MARÍTIMOS[[#This Row],[Etapa Despacho - Mitad de Carga]]),"")</f>
        <v/>
      </c>
      <c r="AE461" s="11" t="str">
        <f>IFERROR(IF(MARÍTIMOS[[#This Row],[Etapa Despacho - Fin de Carga]]="","",MARÍTIMOS[[#This Row],[Etapa Despacho - Fin de Carga]]),"")</f>
        <v/>
      </c>
      <c r="AF461" s="2" t="str">
        <f>IFERROR(IF(MARÍTIMOS[[#This Row],[Puerto de Embarque]]="","",MARÍTIMOS[[#This Row],[Puerto de Embarque]]),"")</f>
        <v/>
      </c>
      <c r="AG461" s="2" t="str">
        <f>IFERROR(IF(MARÍTIMOS[[#This Row],[Almacén de Ingreso]]="","",MARÍTIMOS[[#This Row],[Almacén de Ingreso]]),"")</f>
        <v/>
      </c>
      <c r="AH461" s="11" t="str">
        <f>IFERROR(IF(MARÍTIMOS[[#This Row],[Etapa Ingreso - Cita]]="","",MARÍTIMOS[[#This Row],[Etapa Ingreso - Cita]]),"")</f>
        <v/>
      </c>
      <c r="AI461" s="11" t="str">
        <f>IFERROR(IF(MARÍTIMOS[[#This Row],[Etapa Ingreso - Llegada]]="","",MARÍTIMOS[[#This Row],[Etapa Ingreso - Llegada]]),"")</f>
        <v/>
      </c>
      <c r="AJ461" s="11" t="str">
        <f>IFERROR(IF(MARÍTIMOS[[#This Row],[Etapa Ingreso - Ingeso]]="","",MARÍTIMOS[[#This Row],[Etapa Ingreso - Ingeso]]),"")</f>
        <v/>
      </c>
      <c r="AK461" s="11" t="str">
        <f>IFERROR(IF(MARÍTIMOS[[#This Row],[Etapa Ingreso - Atención]]="","",MARÍTIMOS[[#This Row],[Etapa Ingreso - Atención]]),"")</f>
        <v/>
      </c>
      <c r="AL461" s="11" t="str">
        <f>IFERROR(IF(MARÍTIMOS[[#This Row],[Etapa Ingreso - Salida]]="","",MARÍTIMOS[[#This Row],[Etapa Ingreso - Salida]]),"")</f>
        <v/>
      </c>
      <c r="AM461" s="2" t="str">
        <f>IFERROR(IF(MARÍTIMOS[[#This Row],[FCL]]="","",MARÍTIMOS[[#This Row],[FCL]]),"")</f>
        <v/>
      </c>
      <c r="AN4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1" s="4" t="str" cm="1">
        <f t="array" ref="AO4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1" s="5" t="str">
        <f>IFERROR(OLDBD[[#This Row],[Llegada a packing]]-OLDBD[[#This Row],[Inicio de Ruta]],"")</f>
        <v/>
      </c>
      <c r="AQ461" s="6" t="str">
        <f>IFERROR(OLDBD[[#This Row],[Inicio de Ruta]]-OLDBD[[#This Row],[Salida de almacén de retiro]],"")</f>
        <v/>
      </c>
      <c r="AR4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1" s="8" t="str" cm="1">
        <f t="array" ref="AS4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1" s="9" t="str">
        <f>IFERROR(OLDBD[[#This Row],[Ingreso Packing]]-OLDBD[[#This Row],[Registro en Packing]],"")</f>
        <v/>
      </c>
      <c r="AV461" s="9" t="str">
        <f>IFERROR(OLDBD[[#This Row],[Ingreso Packing]]-OLDBD[[#This Row],[Llegada a packing]],"")</f>
        <v/>
      </c>
      <c r="AW4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1" s="5" t="str">
        <f>IFERROR(OLDBD[[#This Row],[Llegada Almacén de Ingreso]]-OLDBD[[#This Row],[Salida Packing]],"")</f>
        <v/>
      </c>
      <c r="AY461" s="4" t="str" cm="1">
        <f t="array" ref="AY4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1" s="43" t="s">
        <v>173</v>
      </c>
      <c r="BB461" s="47" t="str">
        <f>IFERROR(IF(MARÍTIMOS[[#This Row],[Estatus]]="","",MARÍTIMOS[[#This Row],[Estatus]]),"")</f>
        <v/>
      </c>
      <c r="BC461" s="43"/>
      <c r="BD461" s="46" t="str">
        <f>IFERROR(OLDBD[[#This Row],[Salida de almacén de retiro]]-OLDBD[[#This Row],[Ingreso Almacén de retiro]],"")</f>
        <v/>
      </c>
      <c r="BE461" s="46" t="str">
        <f>IFERROR(OLDBD[[#This Row],[Fin de Carga]]-OLDBD[[#This Row],[Inicio de Carga]],"")</f>
        <v/>
      </c>
    </row>
    <row r="462" spans="1:57" customFormat="1" hidden="1">
      <c r="A462" s="1"/>
      <c r="B462" s="1" t="str">
        <f>IFERROR(IF(MARÍTIMOS[[#This Row],[PP]]="","",MARÍTIMOS[[#This Row],[PP]]),"")</f>
        <v/>
      </c>
      <c r="C462" s="1" t="str">
        <f>IFERROR(IF(MARÍTIMOS[[#This Row],[Sede]]="","",MARÍTIMOS[[#This Row],[Sede]]),"")</f>
        <v/>
      </c>
      <c r="D462" s="1" t="str">
        <f>IFERROR(IF(MARÍTIMOS[[#This Row],[Instruction]]="","",MARÍTIMOS[[#This Row],[Instruction]]),"")</f>
        <v/>
      </c>
      <c r="E462" s="1"/>
      <c r="F462" s="2" t="str">
        <f>IFERROR(IF(MARÍTIMOS[[#This Row],[Transportista]]="","",MARÍTIMOS[[#This Row],[Transportista]]),"")</f>
        <v/>
      </c>
      <c r="G462" s="2" t="str">
        <f>IFERROR(IF(MARÍTIMOS[[#This Row],[Tercero]]="","",MARÍTIMOS[[#This Row],[Tercero]]),"")</f>
        <v/>
      </c>
      <c r="H462" s="2" t="str">
        <f>IFERROR(IF(MARÍTIMOS[[#This Row],[Razón Social]]="","",MARÍTIMOS[[#This Row],[Razón Social]]),"")</f>
        <v/>
      </c>
      <c r="I462" s="2" t="str">
        <f>IFERROR(IF(MARÍTIMOS[[#This Row],[RUC]]="","",MARÍTIMOS[[#This Row],[RUC]]),"")</f>
        <v/>
      </c>
      <c r="J462" s="2" t="str">
        <f>IFERROR(IF(MARÍTIMOS[[#This Row],[Placa Tracto]]="","",MARÍTIMOS[[#This Row],[Placa Tracto]]),"")</f>
        <v/>
      </c>
      <c r="K462" s="2" t="str">
        <f>IFERROR(IF(MARÍTIMOS[[#This Row],[Placa Carreta]]="","",MARÍTIMOS[[#This Row],[Placa Carreta]]),"")</f>
        <v/>
      </c>
      <c r="L462" s="44" t="str">
        <f>IFERROR(IF(MARÍTIMOS[[#This Row],[Conductor]]="","",MARÍTIMOS[[#This Row],[Conductor]]),"")</f>
        <v/>
      </c>
      <c r="M462" s="2" t="str">
        <f>IFERROR(IF(MARÍTIMOS[[#This Row],[Licencia]]="","",MARÍTIMOS[[#This Row],[Licencia]]),"")</f>
        <v/>
      </c>
      <c r="N462" s="2" t="str">
        <f>IFERROR(IF(MARÍTIMOS[[#This Row],[Número de Contacto]]="","",MARÍTIMOS[[#This Row],[Número de Contacto]]),"")</f>
        <v/>
      </c>
      <c r="O462" s="10" t="str">
        <f>IFERROR(IF(MARÍTIMOS[[#This Row],[Booking|AWB|CRT]]="","",MARÍTIMOS[[#This Row],[Booking|AWB|CRT]]),"")</f>
        <v/>
      </c>
      <c r="P462" s="2" t="str">
        <f>IFERROR(IF(MARÍTIMOS[[#This Row],[Contenedor]]="","",MARÍTIMOS[[#This Row],[Contenedor]]),"")</f>
        <v/>
      </c>
      <c r="Q462" s="2" t="str">
        <f>IFERROR(IF(MARÍTIMOS[[#This Row],[Puerto de Retiro]]="","",MARÍTIMOS[[#This Row],[Puerto de Retiro]]),"")</f>
        <v/>
      </c>
      <c r="R462" s="2" t="str">
        <f>IFERROR(IF(MARÍTIMOS[[#This Row],[Almacén de Retiro]]="","",MARÍTIMOS[[#This Row],[Almacén de Retiro]]),"")</f>
        <v/>
      </c>
      <c r="S462" s="11" t="str">
        <f>IFERROR(IF(MARÍTIMOS[[#This Row],[Etapa Retiro - Cita]]="","",MARÍTIMOS[[#This Row],[Etapa Retiro - Cita]]),"")</f>
        <v/>
      </c>
      <c r="T462" s="11" t="str">
        <f>IFERROR(IF(MARÍTIMOS[[#This Row],[Etapa Retiro - Llegada]]="","",MARÍTIMOS[[#This Row],[Etapa Retiro - Llegada]]),"")</f>
        <v/>
      </c>
      <c r="U462" s="11" t="str">
        <f>IFERROR(IF(MARÍTIMOS[[#This Row],[Etapa Retiro - Ingreso]]="","",MARÍTIMOS[[#This Row],[Etapa Retiro - Ingreso]]),"")</f>
        <v/>
      </c>
      <c r="V462" s="11" t="str">
        <f>IFERROR(IF(MARÍTIMOS[[#This Row],[Etapa Retiro - Atención]]="","",MARÍTIMOS[[#This Row],[Etapa Retiro - Atención]]),"")</f>
        <v/>
      </c>
      <c r="W462" s="11" t="str">
        <f>IFERROR(IF(MARÍTIMOS[[#This Row],[Etapa Retiro - Atención]]="","",MARÍTIMOS[[#This Row],[Etapa Retiro - Atención]]),"")</f>
        <v/>
      </c>
      <c r="X462" s="11" t="str">
        <f>IFERROR(IF(MARÍTIMOS[[#This Row],[Etapa Retiro - Inicio de Ruta]]="","",MARÍTIMOS[[#This Row],[Etapa Retiro - Inicio de Ruta]]),"")</f>
        <v/>
      </c>
      <c r="Y462" s="11" t="str">
        <f>IFERROR(IF(MARÍTIMOS[[#This Row],[Hora de Posicionamiento]]="","",MARÍTIMOS[[#This Row],[Fecha de Carga]]+MARÍTIMOS[[#This Row],[Hora de Posicionamiento]]),"")</f>
        <v/>
      </c>
      <c r="Z462" s="11" t="str">
        <f>IFERROR(IF(MARÍTIMOS[[#This Row],[Etapa Despacho - Llegada]]="","",MARÍTIMOS[[#This Row],[Etapa Despacho - Llegada]]),"")</f>
        <v/>
      </c>
      <c r="AA462" s="11" t="str">
        <f>IFERROR(IF(MARÍTIMOS[[#This Row],[Etapa Despacho - Registro]]="","",MARÍTIMOS[[#This Row],[Etapa Despacho - Registro]]),"")</f>
        <v/>
      </c>
      <c r="AB462" s="11" t="str">
        <f>IFERROR(IF(MARÍTIMOS[[#This Row],[Inspección Externa]]="","",MARÍTIMOS[[#This Row],[Inspección Externa]]),"")</f>
        <v/>
      </c>
      <c r="AC462" s="11" t="str">
        <f>IFERROR(IF(MARÍTIMOS[[#This Row],[Etapa Despacho - Inicio de Carga]]="","",MARÍTIMOS[[#This Row],[Etapa Despacho - Inicio de Carga]]),"")</f>
        <v/>
      </c>
      <c r="AD462" s="11" t="str">
        <f>IFERROR(IF(MARÍTIMOS[[#This Row],[Etapa Despacho - Mitad de Carga]]="","",MARÍTIMOS[[#This Row],[Etapa Despacho - Mitad de Carga]]),"")</f>
        <v/>
      </c>
      <c r="AE462" s="11" t="str">
        <f>IFERROR(IF(MARÍTIMOS[[#This Row],[Etapa Despacho - Fin de Carga]]="","",MARÍTIMOS[[#This Row],[Etapa Despacho - Fin de Carga]]),"")</f>
        <v/>
      </c>
      <c r="AF462" s="2" t="str">
        <f>IFERROR(IF(MARÍTIMOS[[#This Row],[Puerto de Embarque]]="","",MARÍTIMOS[[#This Row],[Puerto de Embarque]]),"")</f>
        <v/>
      </c>
      <c r="AG462" s="2" t="str">
        <f>IFERROR(IF(MARÍTIMOS[[#This Row],[Almacén de Ingreso]]="","",MARÍTIMOS[[#This Row],[Almacén de Ingreso]]),"")</f>
        <v/>
      </c>
      <c r="AH462" s="11" t="str">
        <f>IFERROR(IF(MARÍTIMOS[[#This Row],[Etapa Ingreso - Cita]]="","",MARÍTIMOS[[#This Row],[Etapa Ingreso - Cita]]),"")</f>
        <v/>
      </c>
      <c r="AI462" s="11" t="str">
        <f>IFERROR(IF(MARÍTIMOS[[#This Row],[Etapa Ingreso - Llegada]]="","",MARÍTIMOS[[#This Row],[Etapa Ingreso - Llegada]]),"")</f>
        <v/>
      </c>
      <c r="AJ462" s="11" t="str">
        <f>IFERROR(IF(MARÍTIMOS[[#This Row],[Etapa Ingreso - Ingeso]]="","",MARÍTIMOS[[#This Row],[Etapa Ingreso - Ingeso]]),"")</f>
        <v/>
      </c>
      <c r="AK462" s="11" t="str">
        <f>IFERROR(IF(MARÍTIMOS[[#This Row],[Etapa Ingreso - Atención]]="","",MARÍTIMOS[[#This Row],[Etapa Ingreso - Atención]]),"")</f>
        <v/>
      </c>
      <c r="AL462" s="11" t="str">
        <f>IFERROR(IF(MARÍTIMOS[[#This Row],[Etapa Ingreso - Salida]]="","",MARÍTIMOS[[#This Row],[Etapa Ingreso - Salida]]),"")</f>
        <v/>
      </c>
      <c r="AM462" s="2" t="str">
        <f>IFERROR(IF(MARÍTIMOS[[#This Row],[FCL]]="","",MARÍTIMOS[[#This Row],[FCL]]),"")</f>
        <v/>
      </c>
      <c r="AN4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2" s="4" t="str" cm="1">
        <f t="array" ref="AO4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2" s="5" t="str">
        <f>IFERROR(OLDBD[[#This Row],[Llegada a packing]]-OLDBD[[#This Row],[Inicio de Ruta]],"")</f>
        <v/>
      </c>
      <c r="AQ462" s="6" t="str">
        <f>IFERROR(OLDBD[[#This Row],[Inicio de Ruta]]-OLDBD[[#This Row],[Salida de almacén de retiro]],"")</f>
        <v/>
      </c>
      <c r="AR4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2" s="8" t="str" cm="1">
        <f t="array" ref="AS4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2" s="9" t="str">
        <f>IFERROR(OLDBD[[#This Row],[Ingreso Packing]]-OLDBD[[#This Row],[Registro en Packing]],"")</f>
        <v/>
      </c>
      <c r="AV462" s="9" t="str">
        <f>IFERROR(OLDBD[[#This Row],[Ingreso Packing]]-OLDBD[[#This Row],[Llegada a packing]],"")</f>
        <v/>
      </c>
      <c r="AW4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2" s="5" t="str">
        <f>IFERROR(OLDBD[[#This Row],[Llegada Almacén de Ingreso]]-OLDBD[[#This Row],[Salida Packing]],"")</f>
        <v/>
      </c>
      <c r="AY462" s="4" t="str" cm="1">
        <f t="array" ref="AY4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2" s="43" t="s">
        <v>173</v>
      </c>
      <c r="BB462" s="47" t="str">
        <f>IFERROR(IF(MARÍTIMOS[[#This Row],[Estatus]]="","",MARÍTIMOS[[#This Row],[Estatus]]),"")</f>
        <v/>
      </c>
      <c r="BC462" s="43"/>
      <c r="BD462" s="46" t="str">
        <f>IFERROR(OLDBD[[#This Row],[Salida de almacén de retiro]]-OLDBD[[#This Row],[Ingreso Almacén de retiro]],"")</f>
        <v/>
      </c>
      <c r="BE462" s="46" t="str">
        <f>IFERROR(OLDBD[[#This Row],[Fin de Carga]]-OLDBD[[#This Row],[Inicio de Carga]],"")</f>
        <v/>
      </c>
    </row>
    <row r="463" spans="1:57" customFormat="1" hidden="1">
      <c r="A463" s="1"/>
      <c r="B463" s="1" t="str">
        <f>IFERROR(IF(MARÍTIMOS[[#This Row],[PP]]="","",MARÍTIMOS[[#This Row],[PP]]),"")</f>
        <v/>
      </c>
      <c r="C463" s="1" t="str">
        <f>IFERROR(IF(MARÍTIMOS[[#This Row],[Sede]]="","",MARÍTIMOS[[#This Row],[Sede]]),"")</f>
        <v/>
      </c>
      <c r="D463" s="1" t="str">
        <f>IFERROR(IF(MARÍTIMOS[[#This Row],[Instruction]]="","",MARÍTIMOS[[#This Row],[Instruction]]),"")</f>
        <v/>
      </c>
      <c r="E463" s="1"/>
      <c r="F463" s="2" t="str">
        <f>IFERROR(IF(MARÍTIMOS[[#This Row],[Transportista]]="","",MARÍTIMOS[[#This Row],[Transportista]]),"")</f>
        <v/>
      </c>
      <c r="G463" s="2" t="str">
        <f>IFERROR(IF(MARÍTIMOS[[#This Row],[Tercero]]="","",MARÍTIMOS[[#This Row],[Tercero]]),"")</f>
        <v/>
      </c>
      <c r="H463" s="2" t="str">
        <f>IFERROR(IF(MARÍTIMOS[[#This Row],[Razón Social]]="","",MARÍTIMOS[[#This Row],[Razón Social]]),"")</f>
        <v/>
      </c>
      <c r="I463" s="2" t="str">
        <f>IFERROR(IF(MARÍTIMOS[[#This Row],[RUC]]="","",MARÍTIMOS[[#This Row],[RUC]]),"")</f>
        <v/>
      </c>
      <c r="J463" s="2" t="str">
        <f>IFERROR(IF(MARÍTIMOS[[#This Row],[Placa Tracto]]="","",MARÍTIMOS[[#This Row],[Placa Tracto]]),"")</f>
        <v/>
      </c>
      <c r="K463" s="2" t="str">
        <f>IFERROR(IF(MARÍTIMOS[[#This Row],[Placa Carreta]]="","",MARÍTIMOS[[#This Row],[Placa Carreta]]),"")</f>
        <v/>
      </c>
      <c r="L463" s="44" t="str">
        <f>IFERROR(IF(MARÍTIMOS[[#This Row],[Conductor]]="","",MARÍTIMOS[[#This Row],[Conductor]]),"")</f>
        <v/>
      </c>
      <c r="M463" s="2" t="str">
        <f>IFERROR(IF(MARÍTIMOS[[#This Row],[Licencia]]="","",MARÍTIMOS[[#This Row],[Licencia]]),"")</f>
        <v/>
      </c>
      <c r="N463" s="2" t="str">
        <f>IFERROR(IF(MARÍTIMOS[[#This Row],[Número de Contacto]]="","",MARÍTIMOS[[#This Row],[Número de Contacto]]),"")</f>
        <v/>
      </c>
      <c r="O463" s="10" t="str">
        <f>IFERROR(IF(MARÍTIMOS[[#This Row],[Booking|AWB|CRT]]="","",MARÍTIMOS[[#This Row],[Booking|AWB|CRT]]),"")</f>
        <v/>
      </c>
      <c r="P463" s="2" t="str">
        <f>IFERROR(IF(MARÍTIMOS[[#This Row],[Contenedor]]="","",MARÍTIMOS[[#This Row],[Contenedor]]),"")</f>
        <v/>
      </c>
      <c r="Q463" s="2" t="str">
        <f>IFERROR(IF(MARÍTIMOS[[#This Row],[Puerto de Retiro]]="","",MARÍTIMOS[[#This Row],[Puerto de Retiro]]),"")</f>
        <v/>
      </c>
      <c r="R463" s="2" t="str">
        <f>IFERROR(IF(MARÍTIMOS[[#This Row],[Almacén de Retiro]]="","",MARÍTIMOS[[#This Row],[Almacén de Retiro]]),"")</f>
        <v/>
      </c>
      <c r="S463" s="11" t="str">
        <f>IFERROR(IF(MARÍTIMOS[[#This Row],[Etapa Retiro - Cita]]="","",MARÍTIMOS[[#This Row],[Etapa Retiro - Cita]]),"")</f>
        <v/>
      </c>
      <c r="T463" s="11" t="str">
        <f>IFERROR(IF(MARÍTIMOS[[#This Row],[Etapa Retiro - Llegada]]="","",MARÍTIMOS[[#This Row],[Etapa Retiro - Llegada]]),"")</f>
        <v/>
      </c>
      <c r="U463" s="11" t="str">
        <f>IFERROR(IF(MARÍTIMOS[[#This Row],[Etapa Retiro - Ingreso]]="","",MARÍTIMOS[[#This Row],[Etapa Retiro - Ingreso]]),"")</f>
        <v/>
      </c>
      <c r="V463" s="11" t="str">
        <f>IFERROR(IF(MARÍTIMOS[[#This Row],[Etapa Retiro - Atención]]="","",MARÍTIMOS[[#This Row],[Etapa Retiro - Atención]]),"")</f>
        <v/>
      </c>
      <c r="W463" s="11" t="str">
        <f>IFERROR(IF(MARÍTIMOS[[#This Row],[Etapa Retiro - Atención]]="","",MARÍTIMOS[[#This Row],[Etapa Retiro - Atención]]),"")</f>
        <v/>
      </c>
      <c r="X463" s="11" t="str">
        <f>IFERROR(IF(MARÍTIMOS[[#This Row],[Etapa Retiro - Inicio de Ruta]]="","",MARÍTIMOS[[#This Row],[Etapa Retiro - Inicio de Ruta]]),"")</f>
        <v/>
      </c>
      <c r="Y463" s="11" t="str">
        <f>IFERROR(IF(MARÍTIMOS[[#This Row],[Hora de Posicionamiento]]="","",MARÍTIMOS[[#This Row],[Fecha de Carga]]+MARÍTIMOS[[#This Row],[Hora de Posicionamiento]]),"")</f>
        <v/>
      </c>
      <c r="Z463" s="11" t="str">
        <f>IFERROR(IF(MARÍTIMOS[[#This Row],[Etapa Despacho - Llegada]]="","",MARÍTIMOS[[#This Row],[Etapa Despacho - Llegada]]),"")</f>
        <v/>
      </c>
      <c r="AA463" s="11" t="str">
        <f>IFERROR(IF(MARÍTIMOS[[#This Row],[Etapa Despacho - Registro]]="","",MARÍTIMOS[[#This Row],[Etapa Despacho - Registro]]),"")</f>
        <v/>
      </c>
      <c r="AB463" s="11" t="str">
        <f>IFERROR(IF(MARÍTIMOS[[#This Row],[Inspección Externa]]="","",MARÍTIMOS[[#This Row],[Inspección Externa]]),"")</f>
        <v/>
      </c>
      <c r="AC463" s="11" t="str">
        <f>IFERROR(IF(MARÍTIMOS[[#This Row],[Etapa Despacho - Inicio de Carga]]="","",MARÍTIMOS[[#This Row],[Etapa Despacho - Inicio de Carga]]),"")</f>
        <v/>
      </c>
      <c r="AD463" s="11" t="str">
        <f>IFERROR(IF(MARÍTIMOS[[#This Row],[Etapa Despacho - Mitad de Carga]]="","",MARÍTIMOS[[#This Row],[Etapa Despacho - Mitad de Carga]]),"")</f>
        <v/>
      </c>
      <c r="AE463" s="11" t="str">
        <f>IFERROR(IF(MARÍTIMOS[[#This Row],[Etapa Despacho - Fin de Carga]]="","",MARÍTIMOS[[#This Row],[Etapa Despacho - Fin de Carga]]),"")</f>
        <v/>
      </c>
      <c r="AF463" s="2" t="str">
        <f>IFERROR(IF(MARÍTIMOS[[#This Row],[Puerto de Embarque]]="","",MARÍTIMOS[[#This Row],[Puerto de Embarque]]),"")</f>
        <v/>
      </c>
      <c r="AG463" s="2" t="str">
        <f>IFERROR(IF(MARÍTIMOS[[#This Row],[Almacén de Ingreso]]="","",MARÍTIMOS[[#This Row],[Almacén de Ingreso]]),"")</f>
        <v/>
      </c>
      <c r="AH463" s="11" t="str">
        <f>IFERROR(IF(MARÍTIMOS[[#This Row],[Etapa Ingreso - Cita]]="","",MARÍTIMOS[[#This Row],[Etapa Ingreso - Cita]]),"")</f>
        <v/>
      </c>
      <c r="AI463" s="11" t="str">
        <f>IFERROR(IF(MARÍTIMOS[[#This Row],[Etapa Ingreso - Llegada]]="","",MARÍTIMOS[[#This Row],[Etapa Ingreso - Llegada]]),"")</f>
        <v/>
      </c>
      <c r="AJ463" s="11" t="str">
        <f>IFERROR(IF(MARÍTIMOS[[#This Row],[Etapa Ingreso - Ingeso]]="","",MARÍTIMOS[[#This Row],[Etapa Ingreso - Ingeso]]),"")</f>
        <v/>
      </c>
      <c r="AK463" s="11" t="str">
        <f>IFERROR(IF(MARÍTIMOS[[#This Row],[Etapa Ingreso - Atención]]="","",MARÍTIMOS[[#This Row],[Etapa Ingreso - Atención]]),"")</f>
        <v/>
      </c>
      <c r="AL463" s="11" t="str">
        <f>IFERROR(IF(MARÍTIMOS[[#This Row],[Etapa Ingreso - Salida]]="","",MARÍTIMOS[[#This Row],[Etapa Ingreso - Salida]]),"")</f>
        <v/>
      </c>
      <c r="AM463" s="2" t="str">
        <f>IFERROR(IF(MARÍTIMOS[[#This Row],[FCL]]="","",MARÍTIMOS[[#This Row],[FCL]]),"")</f>
        <v/>
      </c>
      <c r="AN4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3" s="4" t="str" cm="1">
        <f t="array" ref="AO4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3" s="5" t="str">
        <f>IFERROR(OLDBD[[#This Row],[Llegada a packing]]-OLDBD[[#This Row],[Inicio de Ruta]],"")</f>
        <v/>
      </c>
      <c r="AQ463" s="6" t="str">
        <f>IFERROR(OLDBD[[#This Row],[Inicio de Ruta]]-OLDBD[[#This Row],[Salida de almacén de retiro]],"")</f>
        <v/>
      </c>
      <c r="AR4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3" s="8" t="str" cm="1">
        <f t="array" ref="AS4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3" s="9" t="str">
        <f>IFERROR(OLDBD[[#This Row],[Ingreso Packing]]-OLDBD[[#This Row],[Registro en Packing]],"")</f>
        <v/>
      </c>
      <c r="AV463" s="9" t="str">
        <f>IFERROR(OLDBD[[#This Row],[Ingreso Packing]]-OLDBD[[#This Row],[Llegada a packing]],"")</f>
        <v/>
      </c>
      <c r="AW4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3" s="5" t="str">
        <f>IFERROR(OLDBD[[#This Row],[Llegada Almacén de Ingreso]]-OLDBD[[#This Row],[Salida Packing]],"")</f>
        <v/>
      </c>
      <c r="AY463" s="4" t="str" cm="1">
        <f t="array" ref="AY4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3" s="43" t="s">
        <v>173</v>
      </c>
      <c r="BB463" s="47" t="str">
        <f>IFERROR(IF(MARÍTIMOS[[#This Row],[Estatus]]="","",MARÍTIMOS[[#This Row],[Estatus]]),"")</f>
        <v/>
      </c>
      <c r="BC463" s="43"/>
      <c r="BD463" s="46" t="str">
        <f>IFERROR(OLDBD[[#This Row],[Salida de almacén de retiro]]-OLDBD[[#This Row],[Ingreso Almacén de retiro]],"")</f>
        <v/>
      </c>
      <c r="BE463" s="46" t="str">
        <f>IFERROR(OLDBD[[#This Row],[Fin de Carga]]-OLDBD[[#This Row],[Inicio de Carga]],"")</f>
        <v/>
      </c>
    </row>
    <row r="464" spans="1:57" customFormat="1" hidden="1">
      <c r="A464" s="1"/>
      <c r="B464" s="1" t="str">
        <f>IFERROR(IF(MARÍTIMOS[[#This Row],[PP]]="","",MARÍTIMOS[[#This Row],[PP]]),"")</f>
        <v/>
      </c>
      <c r="C464" s="1" t="str">
        <f>IFERROR(IF(MARÍTIMOS[[#This Row],[Sede]]="","",MARÍTIMOS[[#This Row],[Sede]]),"")</f>
        <v/>
      </c>
      <c r="D464" s="1" t="str">
        <f>IFERROR(IF(MARÍTIMOS[[#This Row],[Instruction]]="","",MARÍTIMOS[[#This Row],[Instruction]]),"")</f>
        <v/>
      </c>
      <c r="E464" s="1"/>
      <c r="F464" s="2" t="str">
        <f>IFERROR(IF(MARÍTIMOS[[#This Row],[Transportista]]="","",MARÍTIMOS[[#This Row],[Transportista]]),"")</f>
        <v/>
      </c>
      <c r="G464" s="2" t="str">
        <f>IFERROR(IF(MARÍTIMOS[[#This Row],[Tercero]]="","",MARÍTIMOS[[#This Row],[Tercero]]),"")</f>
        <v/>
      </c>
      <c r="H464" s="2" t="str">
        <f>IFERROR(IF(MARÍTIMOS[[#This Row],[Razón Social]]="","",MARÍTIMOS[[#This Row],[Razón Social]]),"")</f>
        <v/>
      </c>
      <c r="I464" s="2" t="str">
        <f>IFERROR(IF(MARÍTIMOS[[#This Row],[RUC]]="","",MARÍTIMOS[[#This Row],[RUC]]),"")</f>
        <v/>
      </c>
      <c r="J464" s="2" t="str">
        <f>IFERROR(IF(MARÍTIMOS[[#This Row],[Placa Tracto]]="","",MARÍTIMOS[[#This Row],[Placa Tracto]]),"")</f>
        <v/>
      </c>
      <c r="K464" s="2" t="str">
        <f>IFERROR(IF(MARÍTIMOS[[#This Row],[Placa Carreta]]="","",MARÍTIMOS[[#This Row],[Placa Carreta]]),"")</f>
        <v/>
      </c>
      <c r="L464" s="44" t="str">
        <f>IFERROR(IF(MARÍTIMOS[[#This Row],[Conductor]]="","",MARÍTIMOS[[#This Row],[Conductor]]),"")</f>
        <v/>
      </c>
      <c r="M464" s="2" t="str">
        <f>IFERROR(IF(MARÍTIMOS[[#This Row],[Licencia]]="","",MARÍTIMOS[[#This Row],[Licencia]]),"")</f>
        <v/>
      </c>
      <c r="N464" s="2" t="str">
        <f>IFERROR(IF(MARÍTIMOS[[#This Row],[Número de Contacto]]="","",MARÍTIMOS[[#This Row],[Número de Contacto]]),"")</f>
        <v/>
      </c>
      <c r="O464" s="10" t="str">
        <f>IFERROR(IF(MARÍTIMOS[[#This Row],[Booking|AWB|CRT]]="","",MARÍTIMOS[[#This Row],[Booking|AWB|CRT]]),"")</f>
        <v/>
      </c>
      <c r="P464" s="2" t="str">
        <f>IFERROR(IF(MARÍTIMOS[[#This Row],[Contenedor]]="","",MARÍTIMOS[[#This Row],[Contenedor]]),"")</f>
        <v/>
      </c>
      <c r="Q464" s="2" t="str">
        <f>IFERROR(IF(MARÍTIMOS[[#This Row],[Puerto de Retiro]]="","",MARÍTIMOS[[#This Row],[Puerto de Retiro]]),"")</f>
        <v/>
      </c>
      <c r="R464" s="2" t="str">
        <f>IFERROR(IF(MARÍTIMOS[[#This Row],[Almacén de Retiro]]="","",MARÍTIMOS[[#This Row],[Almacén de Retiro]]),"")</f>
        <v/>
      </c>
      <c r="S464" s="11" t="str">
        <f>IFERROR(IF(MARÍTIMOS[[#This Row],[Etapa Retiro - Cita]]="","",MARÍTIMOS[[#This Row],[Etapa Retiro - Cita]]),"")</f>
        <v/>
      </c>
      <c r="T464" s="11" t="str">
        <f>IFERROR(IF(MARÍTIMOS[[#This Row],[Etapa Retiro - Llegada]]="","",MARÍTIMOS[[#This Row],[Etapa Retiro - Llegada]]),"")</f>
        <v/>
      </c>
      <c r="U464" s="11" t="str">
        <f>IFERROR(IF(MARÍTIMOS[[#This Row],[Etapa Retiro - Ingreso]]="","",MARÍTIMOS[[#This Row],[Etapa Retiro - Ingreso]]),"")</f>
        <v/>
      </c>
      <c r="V464" s="11" t="str">
        <f>IFERROR(IF(MARÍTIMOS[[#This Row],[Etapa Retiro - Atención]]="","",MARÍTIMOS[[#This Row],[Etapa Retiro - Atención]]),"")</f>
        <v/>
      </c>
      <c r="W464" s="11" t="str">
        <f>IFERROR(IF(MARÍTIMOS[[#This Row],[Etapa Retiro - Atención]]="","",MARÍTIMOS[[#This Row],[Etapa Retiro - Atención]]),"")</f>
        <v/>
      </c>
      <c r="X464" s="11" t="str">
        <f>IFERROR(IF(MARÍTIMOS[[#This Row],[Etapa Retiro - Inicio de Ruta]]="","",MARÍTIMOS[[#This Row],[Etapa Retiro - Inicio de Ruta]]),"")</f>
        <v/>
      </c>
      <c r="Y464" s="11" t="str">
        <f>IFERROR(IF(MARÍTIMOS[[#This Row],[Hora de Posicionamiento]]="","",MARÍTIMOS[[#This Row],[Fecha de Carga]]+MARÍTIMOS[[#This Row],[Hora de Posicionamiento]]),"")</f>
        <v/>
      </c>
      <c r="Z464" s="11" t="str">
        <f>IFERROR(IF(MARÍTIMOS[[#This Row],[Etapa Despacho - Llegada]]="","",MARÍTIMOS[[#This Row],[Etapa Despacho - Llegada]]),"")</f>
        <v/>
      </c>
      <c r="AA464" s="11" t="str">
        <f>IFERROR(IF(MARÍTIMOS[[#This Row],[Etapa Despacho - Registro]]="","",MARÍTIMOS[[#This Row],[Etapa Despacho - Registro]]),"")</f>
        <v/>
      </c>
      <c r="AB464" s="11" t="str">
        <f>IFERROR(IF(MARÍTIMOS[[#This Row],[Inspección Externa]]="","",MARÍTIMOS[[#This Row],[Inspección Externa]]),"")</f>
        <v/>
      </c>
      <c r="AC464" s="11" t="str">
        <f>IFERROR(IF(MARÍTIMOS[[#This Row],[Etapa Despacho - Inicio de Carga]]="","",MARÍTIMOS[[#This Row],[Etapa Despacho - Inicio de Carga]]),"")</f>
        <v/>
      </c>
      <c r="AD464" s="11" t="str">
        <f>IFERROR(IF(MARÍTIMOS[[#This Row],[Etapa Despacho - Mitad de Carga]]="","",MARÍTIMOS[[#This Row],[Etapa Despacho - Mitad de Carga]]),"")</f>
        <v/>
      </c>
      <c r="AE464" s="11" t="str">
        <f>IFERROR(IF(MARÍTIMOS[[#This Row],[Etapa Despacho - Fin de Carga]]="","",MARÍTIMOS[[#This Row],[Etapa Despacho - Fin de Carga]]),"")</f>
        <v/>
      </c>
      <c r="AF464" s="2" t="str">
        <f>IFERROR(IF(MARÍTIMOS[[#This Row],[Puerto de Embarque]]="","",MARÍTIMOS[[#This Row],[Puerto de Embarque]]),"")</f>
        <v/>
      </c>
      <c r="AG464" s="2" t="str">
        <f>IFERROR(IF(MARÍTIMOS[[#This Row],[Almacén de Ingreso]]="","",MARÍTIMOS[[#This Row],[Almacén de Ingreso]]),"")</f>
        <v/>
      </c>
      <c r="AH464" s="11" t="str">
        <f>IFERROR(IF(MARÍTIMOS[[#This Row],[Etapa Ingreso - Cita]]="","",MARÍTIMOS[[#This Row],[Etapa Ingreso - Cita]]),"")</f>
        <v/>
      </c>
      <c r="AI464" s="11" t="str">
        <f>IFERROR(IF(MARÍTIMOS[[#This Row],[Etapa Ingreso - Llegada]]="","",MARÍTIMOS[[#This Row],[Etapa Ingreso - Llegada]]),"")</f>
        <v/>
      </c>
      <c r="AJ464" s="11" t="str">
        <f>IFERROR(IF(MARÍTIMOS[[#This Row],[Etapa Ingreso - Ingeso]]="","",MARÍTIMOS[[#This Row],[Etapa Ingreso - Ingeso]]),"")</f>
        <v/>
      </c>
      <c r="AK464" s="11" t="str">
        <f>IFERROR(IF(MARÍTIMOS[[#This Row],[Etapa Ingreso - Atención]]="","",MARÍTIMOS[[#This Row],[Etapa Ingreso - Atención]]),"")</f>
        <v/>
      </c>
      <c r="AL464" s="11" t="str">
        <f>IFERROR(IF(MARÍTIMOS[[#This Row],[Etapa Ingreso - Salida]]="","",MARÍTIMOS[[#This Row],[Etapa Ingreso - Salida]]),"")</f>
        <v/>
      </c>
      <c r="AM464" s="2" t="str">
        <f>IFERROR(IF(MARÍTIMOS[[#This Row],[FCL]]="","",MARÍTIMOS[[#This Row],[FCL]]),"")</f>
        <v/>
      </c>
      <c r="AN4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4" s="4" t="str" cm="1">
        <f t="array" ref="AO4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4" s="5" t="str">
        <f>IFERROR(OLDBD[[#This Row],[Llegada a packing]]-OLDBD[[#This Row],[Inicio de Ruta]],"")</f>
        <v/>
      </c>
      <c r="AQ464" s="6" t="str">
        <f>IFERROR(OLDBD[[#This Row],[Inicio de Ruta]]-OLDBD[[#This Row],[Salida de almacén de retiro]],"")</f>
        <v/>
      </c>
      <c r="AR4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4" s="8" t="str" cm="1">
        <f t="array" ref="AS4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4" s="9" t="str">
        <f>IFERROR(OLDBD[[#This Row],[Ingreso Packing]]-OLDBD[[#This Row],[Registro en Packing]],"")</f>
        <v/>
      </c>
      <c r="AV464" s="9" t="str">
        <f>IFERROR(OLDBD[[#This Row],[Ingreso Packing]]-OLDBD[[#This Row],[Llegada a packing]],"")</f>
        <v/>
      </c>
      <c r="AW4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4" s="5" t="str">
        <f>IFERROR(OLDBD[[#This Row],[Llegada Almacén de Ingreso]]-OLDBD[[#This Row],[Salida Packing]],"")</f>
        <v/>
      </c>
      <c r="AY464" s="4" t="str" cm="1">
        <f t="array" ref="AY4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4" s="43" t="s">
        <v>173</v>
      </c>
      <c r="BB464" s="47" t="str">
        <f>IFERROR(IF(MARÍTIMOS[[#This Row],[Estatus]]="","",MARÍTIMOS[[#This Row],[Estatus]]),"")</f>
        <v/>
      </c>
      <c r="BC464" s="43"/>
      <c r="BD464" s="46" t="str">
        <f>IFERROR(OLDBD[[#This Row],[Salida de almacén de retiro]]-OLDBD[[#This Row],[Ingreso Almacén de retiro]],"")</f>
        <v/>
      </c>
      <c r="BE464" s="46" t="str">
        <f>IFERROR(OLDBD[[#This Row],[Fin de Carga]]-OLDBD[[#This Row],[Inicio de Carga]],"")</f>
        <v/>
      </c>
    </row>
    <row r="465" spans="1:57" customFormat="1" hidden="1">
      <c r="A465" s="1"/>
      <c r="B465" s="1" t="str">
        <f>IFERROR(IF(MARÍTIMOS[[#This Row],[PP]]="","",MARÍTIMOS[[#This Row],[PP]]),"")</f>
        <v/>
      </c>
      <c r="C465" s="1" t="str">
        <f>IFERROR(IF(MARÍTIMOS[[#This Row],[Sede]]="","",MARÍTIMOS[[#This Row],[Sede]]),"")</f>
        <v/>
      </c>
      <c r="D465" s="1" t="str">
        <f>IFERROR(IF(MARÍTIMOS[[#This Row],[Instruction]]="","",MARÍTIMOS[[#This Row],[Instruction]]),"")</f>
        <v/>
      </c>
      <c r="E465" s="1"/>
      <c r="F465" s="2" t="str">
        <f>IFERROR(IF(MARÍTIMOS[[#This Row],[Transportista]]="","",MARÍTIMOS[[#This Row],[Transportista]]),"")</f>
        <v/>
      </c>
      <c r="G465" s="2" t="str">
        <f>IFERROR(IF(MARÍTIMOS[[#This Row],[Tercero]]="","",MARÍTIMOS[[#This Row],[Tercero]]),"")</f>
        <v/>
      </c>
      <c r="H465" s="2" t="str">
        <f>IFERROR(IF(MARÍTIMOS[[#This Row],[Razón Social]]="","",MARÍTIMOS[[#This Row],[Razón Social]]),"")</f>
        <v/>
      </c>
      <c r="I465" s="2" t="str">
        <f>IFERROR(IF(MARÍTIMOS[[#This Row],[RUC]]="","",MARÍTIMOS[[#This Row],[RUC]]),"")</f>
        <v/>
      </c>
      <c r="J465" s="2" t="str">
        <f>IFERROR(IF(MARÍTIMOS[[#This Row],[Placa Tracto]]="","",MARÍTIMOS[[#This Row],[Placa Tracto]]),"")</f>
        <v/>
      </c>
      <c r="K465" s="2" t="str">
        <f>IFERROR(IF(MARÍTIMOS[[#This Row],[Placa Carreta]]="","",MARÍTIMOS[[#This Row],[Placa Carreta]]),"")</f>
        <v/>
      </c>
      <c r="L465" s="44" t="str">
        <f>IFERROR(IF(MARÍTIMOS[[#This Row],[Conductor]]="","",MARÍTIMOS[[#This Row],[Conductor]]),"")</f>
        <v/>
      </c>
      <c r="M465" s="2" t="str">
        <f>IFERROR(IF(MARÍTIMOS[[#This Row],[Licencia]]="","",MARÍTIMOS[[#This Row],[Licencia]]),"")</f>
        <v/>
      </c>
      <c r="N465" s="2" t="str">
        <f>IFERROR(IF(MARÍTIMOS[[#This Row],[Número de Contacto]]="","",MARÍTIMOS[[#This Row],[Número de Contacto]]),"")</f>
        <v/>
      </c>
      <c r="O465" s="10" t="str">
        <f>IFERROR(IF(MARÍTIMOS[[#This Row],[Booking|AWB|CRT]]="","",MARÍTIMOS[[#This Row],[Booking|AWB|CRT]]),"")</f>
        <v/>
      </c>
      <c r="P465" s="2" t="str">
        <f>IFERROR(IF(MARÍTIMOS[[#This Row],[Contenedor]]="","",MARÍTIMOS[[#This Row],[Contenedor]]),"")</f>
        <v/>
      </c>
      <c r="Q465" s="2" t="str">
        <f>IFERROR(IF(MARÍTIMOS[[#This Row],[Puerto de Retiro]]="","",MARÍTIMOS[[#This Row],[Puerto de Retiro]]),"")</f>
        <v/>
      </c>
      <c r="R465" s="2" t="str">
        <f>IFERROR(IF(MARÍTIMOS[[#This Row],[Almacén de Retiro]]="","",MARÍTIMOS[[#This Row],[Almacén de Retiro]]),"")</f>
        <v/>
      </c>
      <c r="S465" s="11" t="str">
        <f>IFERROR(IF(MARÍTIMOS[[#This Row],[Etapa Retiro - Cita]]="","",MARÍTIMOS[[#This Row],[Etapa Retiro - Cita]]),"")</f>
        <v/>
      </c>
      <c r="T465" s="11" t="str">
        <f>IFERROR(IF(MARÍTIMOS[[#This Row],[Etapa Retiro - Llegada]]="","",MARÍTIMOS[[#This Row],[Etapa Retiro - Llegada]]),"")</f>
        <v/>
      </c>
      <c r="U465" s="11" t="str">
        <f>IFERROR(IF(MARÍTIMOS[[#This Row],[Etapa Retiro - Ingreso]]="","",MARÍTIMOS[[#This Row],[Etapa Retiro - Ingreso]]),"")</f>
        <v/>
      </c>
      <c r="V465" s="11" t="str">
        <f>IFERROR(IF(MARÍTIMOS[[#This Row],[Etapa Retiro - Atención]]="","",MARÍTIMOS[[#This Row],[Etapa Retiro - Atención]]),"")</f>
        <v/>
      </c>
      <c r="W465" s="11" t="str">
        <f>IFERROR(IF(MARÍTIMOS[[#This Row],[Etapa Retiro - Atención]]="","",MARÍTIMOS[[#This Row],[Etapa Retiro - Atención]]),"")</f>
        <v/>
      </c>
      <c r="X465" s="11" t="str">
        <f>IFERROR(IF(MARÍTIMOS[[#This Row],[Etapa Retiro - Inicio de Ruta]]="","",MARÍTIMOS[[#This Row],[Etapa Retiro - Inicio de Ruta]]),"")</f>
        <v/>
      </c>
      <c r="Y465" s="11" t="str">
        <f>IFERROR(IF(MARÍTIMOS[[#This Row],[Hora de Posicionamiento]]="","",MARÍTIMOS[[#This Row],[Fecha de Carga]]+MARÍTIMOS[[#This Row],[Hora de Posicionamiento]]),"")</f>
        <v/>
      </c>
      <c r="Z465" s="11" t="str">
        <f>IFERROR(IF(MARÍTIMOS[[#This Row],[Etapa Despacho - Llegada]]="","",MARÍTIMOS[[#This Row],[Etapa Despacho - Llegada]]),"")</f>
        <v/>
      </c>
      <c r="AA465" s="11" t="str">
        <f>IFERROR(IF(MARÍTIMOS[[#This Row],[Etapa Despacho - Registro]]="","",MARÍTIMOS[[#This Row],[Etapa Despacho - Registro]]),"")</f>
        <v/>
      </c>
      <c r="AB465" s="11" t="str">
        <f>IFERROR(IF(MARÍTIMOS[[#This Row],[Inspección Externa]]="","",MARÍTIMOS[[#This Row],[Inspección Externa]]),"")</f>
        <v/>
      </c>
      <c r="AC465" s="11" t="str">
        <f>IFERROR(IF(MARÍTIMOS[[#This Row],[Etapa Despacho - Inicio de Carga]]="","",MARÍTIMOS[[#This Row],[Etapa Despacho - Inicio de Carga]]),"")</f>
        <v/>
      </c>
      <c r="AD465" s="11" t="str">
        <f>IFERROR(IF(MARÍTIMOS[[#This Row],[Etapa Despacho - Mitad de Carga]]="","",MARÍTIMOS[[#This Row],[Etapa Despacho - Mitad de Carga]]),"")</f>
        <v/>
      </c>
      <c r="AE465" s="11" t="str">
        <f>IFERROR(IF(MARÍTIMOS[[#This Row],[Etapa Despacho - Fin de Carga]]="","",MARÍTIMOS[[#This Row],[Etapa Despacho - Fin de Carga]]),"")</f>
        <v/>
      </c>
      <c r="AF465" s="2" t="str">
        <f>IFERROR(IF(MARÍTIMOS[[#This Row],[Puerto de Embarque]]="","",MARÍTIMOS[[#This Row],[Puerto de Embarque]]),"")</f>
        <v/>
      </c>
      <c r="AG465" s="2" t="str">
        <f>IFERROR(IF(MARÍTIMOS[[#This Row],[Almacén de Ingreso]]="","",MARÍTIMOS[[#This Row],[Almacén de Ingreso]]),"")</f>
        <v/>
      </c>
      <c r="AH465" s="11" t="str">
        <f>IFERROR(IF(MARÍTIMOS[[#This Row],[Etapa Ingreso - Cita]]="","",MARÍTIMOS[[#This Row],[Etapa Ingreso - Cita]]),"")</f>
        <v/>
      </c>
      <c r="AI465" s="11" t="str">
        <f>IFERROR(IF(MARÍTIMOS[[#This Row],[Etapa Ingreso - Llegada]]="","",MARÍTIMOS[[#This Row],[Etapa Ingreso - Llegada]]),"")</f>
        <v/>
      </c>
      <c r="AJ465" s="11" t="str">
        <f>IFERROR(IF(MARÍTIMOS[[#This Row],[Etapa Ingreso - Ingeso]]="","",MARÍTIMOS[[#This Row],[Etapa Ingreso - Ingeso]]),"")</f>
        <v/>
      </c>
      <c r="AK465" s="11" t="str">
        <f>IFERROR(IF(MARÍTIMOS[[#This Row],[Etapa Ingreso - Atención]]="","",MARÍTIMOS[[#This Row],[Etapa Ingreso - Atención]]),"")</f>
        <v/>
      </c>
      <c r="AL465" s="11" t="str">
        <f>IFERROR(IF(MARÍTIMOS[[#This Row],[Etapa Ingreso - Salida]]="","",MARÍTIMOS[[#This Row],[Etapa Ingreso - Salida]]),"")</f>
        <v/>
      </c>
      <c r="AM465" s="2" t="str">
        <f>IFERROR(IF(MARÍTIMOS[[#This Row],[FCL]]="","",MARÍTIMOS[[#This Row],[FCL]]),"")</f>
        <v/>
      </c>
      <c r="AN4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5" s="4" t="str" cm="1">
        <f t="array" ref="AO4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5" s="5" t="str">
        <f>IFERROR(OLDBD[[#This Row],[Llegada a packing]]-OLDBD[[#This Row],[Inicio de Ruta]],"")</f>
        <v/>
      </c>
      <c r="AQ465" s="6" t="str">
        <f>IFERROR(OLDBD[[#This Row],[Inicio de Ruta]]-OLDBD[[#This Row],[Salida de almacén de retiro]],"")</f>
        <v/>
      </c>
      <c r="AR4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5" s="8" t="str" cm="1">
        <f t="array" ref="AS4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5" s="9" t="str">
        <f>IFERROR(OLDBD[[#This Row],[Ingreso Packing]]-OLDBD[[#This Row],[Registro en Packing]],"")</f>
        <v/>
      </c>
      <c r="AV465" s="9" t="str">
        <f>IFERROR(OLDBD[[#This Row],[Ingreso Packing]]-OLDBD[[#This Row],[Llegada a packing]],"")</f>
        <v/>
      </c>
      <c r="AW4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5" s="5" t="str">
        <f>IFERROR(OLDBD[[#This Row],[Llegada Almacén de Ingreso]]-OLDBD[[#This Row],[Salida Packing]],"")</f>
        <v/>
      </c>
      <c r="AY465" s="4" t="str" cm="1">
        <f t="array" ref="AY4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5" s="43" t="s">
        <v>173</v>
      </c>
      <c r="BB465" s="47" t="str">
        <f>IFERROR(IF(MARÍTIMOS[[#This Row],[Estatus]]="","",MARÍTIMOS[[#This Row],[Estatus]]),"")</f>
        <v/>
      </c>
      <c r="BC465" s="43"/>
      <c r="BD465" s="46" t="str">
        <f>IFERROR(OLDBD[[#This Row],[Salida de almacén de retiro]]-OLDBD[[#This Row],[Ingreso Almacén de retiro]],"")</f>
        <v/>
      </c>
      <c r="BE465" s="46" t="str">
        <f>IFERROR(OLDBD[[#This Row],[Fin de Carga]]-OLDBD[[#This Row],[Inicio de Carga]],"")</f>
        <v/>
      </c>
    </row>
    <row r="466" spans="1:57" customFormat="1" hidden="1">
      <c r="A466" s="1"/>
      <c r="B466" s="1" t="str">
        <f>IFERROR(IF(MARÍTIMOS[[#This Row],[PP]]="","",MARÍTIMOS[[#This Row],[PP]]),"")</f>
        <v/>
      </c>
      <c r="C466" s="1" t="str">
        <f>IFERROR(IF(MARÍTIMOS[[#This Row],[Sede]]="","",MARÍTIMOS[[#This Row],[Sede]]),"")</f>
        <v/>
      </c>
      <c r="D466" s="1" t="str">
        <f>IFERROR(IF(MARÍTIMOS[[#This Row],[Instruction]]="","",MARÍTIMOS[[#This Row],[Instruction]]),"")</f>
        <v/>
      </c>
      <c r="E466" s="1"/>
      <c r="F466" s="2" t="str">
        <f>IFERROR(IF(MARÍTIMOS[[#This Row],[Transportista]]="","",MARÍTIMOS[[#This Row],[Transportista]]),"")</f>
        <v/>
      </c>
      <c r="G466" s="2" t="str">
        <f>IFERROR(IF(MARÍTIMOS[[#This Row],[Tercero]]="","",MARÍTIMOS[[#This Row],[Tercero]]),"")</f>
        <v/>
      </c>
      <c r="H466" s="2" t="str">
        <f>IFERROR(IF(MARÍTIMOS[[#This Row],[Razón Social]]="","",MARÍTIMOS[[#This Row],[Razón Social]]),"")</f>
        <v/>
      </c>
      <c r="I466" s="2" t="str">
        <f>IFERROR(IF(MARÍTIMOS[[#This Row],[RUC]]="","",MARÍTIMOS[[#This Row],[RUC]]),"")</f>
        <v/>
      </c>
      <c r="J466" s="2" t="str">
        <f>IFERROR(IF(MARÍTIMOS[[#This Row],[Placa Tracto]]="","",MARÍTIMOS[[#This Row],[Placa Tracto]]),"")</f>
        <v/>
      </c>
      <c r="K466" s="2" t="str">
        <f>IFERROR(IF(MARÍTIMOS[[#This Row],[Placa Carreta]]="","",MARÍTIMOS[[#This Row],[Placa Carreta]]),"")</f>
        <v/>
      </c>
      <c r="L466" s="44" t="str">
        <f>IFERROR(IF(MARÍTIMOS[[#This Row],[Conductor]]="","",MARÍTIMOS[[#This Row],[Conductor]]),"")</f>
        <v/>
      </c>
      <c r="M466" s="2" t="str">
        <f>IFERROR(IF(MARÍTIMOS[[#This Row],[Licencia]]="","",MARÍTIMOS[[#This Row],[Licencia]]),"")</f>
        <v/>
      </c>
      <c r="N466" s="2" t="str">
        <f>IFERROR(IF(MARÍTIMOS[[#This Row],[Número de Contacto]]="","",MARÍTIMOS[[#This Row],[Número de Contacto]]),"")</f>
        <v/>
      </c>
      <c r="O466" s="10" t="str">
        <f>IFERROR(IF(MARÍTIMOS[[#This Row],[Booking|AWB|CRT]]="","",MARÍTIMOS[[#This Row],[Booking|AWB|CRT]]),"")</f>
        <v/>
      </c>
      <c r="P466" s="2" t="str">
        <f>IFERROR(IF(MARÍTIMOS[[#This Row],[Contenedor]]="","",MARÍTIMOS[[#This Row],[Contenedor]]),"")</f>
        <v/>
      </c>
      <c r="Q466" s="2" t="str">
        <f>IFERROR(IF(MARÍTIMOS[[#This Row],[Puerto de Retiro]]="","",MARÍTIMOS[[#This Row],[Puerto de Retiro]]),"")</f>
        <v/>
      </c>
      <c r="R466" s="2" t="str">
        <f>IFERROR(IF(MARÍTIMOS[[#This Row],[Almacén de Retiro]]="","",MARÍTIMOS[[#This Row],[Almacén de Retiro]]),"")</f>
        <v/>
      </c>
      <c r="S466" s="11" t="str">
        <f>IFERROR(IF(MARÍTIMOS[[#This Row],[Etapa Retiro - Cita]]="","",MARÍTIMOS[[#This Row],[Etapa Retiro - Cita]]),"")</f>
        <v/>
      </c>
      <c r="T466" s="11" t="str">
        <f>IFERROR(IF(MARÍTIMOS[[#This Row],[Etapa Retiro - Llegada]]="","",MARÍTIMOS[[#This Row],[Etapa Retiro - Llegada]]),"")</f>
        <v/>
      </c>
      <c r="U466" s="11" t="str">
        <f>IFERROR(IF(MARÍTIMOS[[#This Row],[Etapa Retiro - Ingreso]]="","",MARÍTIMOS[[#This Row],[Etapa Retiro - Ingreso]]),"")</f>
        <v/>
      </c>
      <c r="V466" s="11" t="str">
        <f>IFERROR(IF(MARÍTIMOS[[#This Row],[Etapa Retiro - Atención]]="","",MARÍTIMOS[[#This Row],[Etapa Retiro - Atención]]),"")</f>
        <v/>
      </c>
      <c r="W466" s="11" t="str">
        <f>IFERROR(IF(MARÍTIMOS[[#This Row],[Etapa Retiro - Atención]]="","",MARÍTIMOS[[#This Row],[Etapa Retiro - Atención]]),"")</f>
        <v/>
      </c>
      <c r="X466" s="11" t="str">
        <f>IFERROR(IF(MARÍTIMOS[[#This Row],[Etapa Retiro - Inicio de Ruta]]="","",MARÍTIMOS[[#This Row],[Etapa Retiro - Inicio de Ruta]]),"")</f>
        <v/>
      </c>
      <c r="Y466" s="11" t="str">
        <f>IFERROR(IF(MARÍTIMOS[[#This Row],[Hora de Posicionamiento]]="","",MARÍTIMOS[[#This Row],[Fecha de Carga]]+MARÍTIMOS[[#This Row],[Hora de Posicionamiento]]),"")</f>
        <v/>
      </c>
      <c r="Z466" s="11" t="str">
        <f>IFERROR(IF(MARÍTIMOS[[#This Row],[Etapa Despacho - Llegada]]="","",MARÍTIMOS[[#This Row],[Etapa Despacho - Llegada]]),"")</f>
        <v/>
      </c>
      <c r="AA466" s="11" t="str">
        <f>IFERROR(IF(MARÍTIMOS[[#This Row],[Etapa Despacho - Registro]]="","",MARÍTIMOS[[#This Row],[Etapa Despacho - Registro]]),"")</f>
        <v/>
      </c>
      <c r="AB466" s="11" t="str">
        <f>IFERROR(IF(MARÍTIMOS[[#This Row],[Inspección Externa]]="","",MARÍTIMOS[[#This Row],[Inspección Externa]]),"")</f>
        <v/>
      </c>
      <c r="AC466" s="11" t="str">
        <f>IFERROR(IF(MARÍTIMOS[[#This Row],[Etapa Despacho - Inicio de Carga]]="","",MARÍTIMOS[[#This Row],[Etapa Despacho - Inicio de Carga]]),"")</f>
        <v/>
      </c>
      <c r="AD466" s="11" t="str">
        <f>IFERROR(IF(MARÍTIMOS[[#This Row],[Etapa Despacho - Mitad de Carga]]="","",MARÍTIMOS[[#This Row],[Etapa Despacho - Mitad de Carga]]),"")</f>
        <v/>
      </c>
      <c r="AE466" s="11" t="str">
        <f>IFERROR(IF(MARÍTIMOS[[#This Row],[Etapa Despacho - Fin de Carga]]="","",MARÍTIMOS[[#This Row],[Etapa Despacho - Fin de Carga]]),"")</f>
        <v/>
      </c>
      <c r="AF466" s="2" t="str">
        <f>IFERROR(IF(MARÍTIMOS[[#This Row],[Puerto de Embarque]]="","",MARÍTIMOS[[#This Row],[Puerto de Embarque]]),"")</f>
        <v/>
      </c>
      <c r="AG466" s="2" t="str">
        <f>IFERROR(IF(MARÍTIMOS[[#This Row],[Almacén de Ingreso]]="","",MARÍTIMOS[[#This Row],[Almacén de Ingreso]]),"")</f>
        <v/>
      </c>
      <c r="AH466" s="11" t="str">
        <f>IFERROR(IF(MARÍTIMOS[[#This Row],[Etapa Ingreso - Cita]]="","",MARÍTIMOS[[#This Row],[Etapa Ingreso - Cita]]),"")</f>
        <v/>
      </c>
      <c r="AI466" s="11" t="str">
        <f>IFERROR(IF(MARÍTIMOS[[#This Row],[Etapa Ingreso - Llegada]]="","",MARÍTIMOS[[#This Row],[Etapa Ingreso - Llegada]]),"")</f>
        <v/>
      </c>
      <c r="AJ466" s="11" t="str">
        <f>IFERROR(IF(MARÍTIMOS[[#This Row],[Etapa Ingreso - Ingeso]]="","",MARÍTIMOS[[#This Row],[Etapa Ingreso - Ingeso]]),"")</f>
        <v/>
      </c>
      <c r="AK466" s="11" t="str">
        <f>IFERROR(IF(MARÍTIMOS[[#This Row],[Etapa Ingreso - Atención]]="","",MARÍTIMOS[[#This Row],[Etapa Ingreso - Atención]]),"")</f>
        <v/>
      </c>
      <c r="AL466" s="11" t="str">
        <f>IFERROR(IF(MARÍTIMOS[[#This Row],[Etapa Ingreso - Salida]]="","",MARÍTIMOS[[#This Row],[Etapa Ingreso - Salida]]),"")</f>
        <v/>
      </c>
      <c r="AM466" s="2" t="str">
        <f>IFERROR(IF(MARÍTIMOS[[#This Row],[FCL]]="","",MARÍTIMOS[[#This Row],[FCL]]),"")</f>
        <v/>
      </c>
      <c r="AN4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6" s="4" t="str" cm="1">
        <f t="array" ref="AO4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6" s="5" t="str">
        <f>IFERROR(OLDBD[[#This Row],[Llegada a packing]]-OLDBD[[#This Row],[Inicio de Ruta]],"")</f>
        <v/>
      </c>
      <c r="AQ466" s="6" t="str">
        <f>IFERROR(OLDBD[[#This Row],[Inicio de Ruta]]-OLDBD[[#This Row],[Salida de almacén de retiro]],"")</f>
        <v/>
      </c>
      <c r="AR4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6" s="8" t="str" cm="1">
        <f t="array" ref="AS4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6" s="9" t="str">
        <f>IFERROR(OLDBD[[#This Row],[Ingreso Packing]]-OLDBD[[#This Row],[Registro en Packing]],"")</f>
        <v/>
      </c>
      <c r="AV466" s="9" t="str">
        <f>IFERROR(OLDBD[[#This Row],[Ingreso Packing]]-OLDBD[[#This Row],[Llegada a packing]],"")</f>
        <v/>
      </c>
      <c r="AW4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6" s="5" t="str">
        <f>IFERROR(OLDBD[[#This Row],[Llegada Almacén de Ingreso]]-OLDBD[[#This Row],[Salida Packing]],"")</f>
        <v/>
      </c>
      <c r="AY466" s="4" t="str" cm="1">
        <f t="array" ref="AY4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6" s="43" t="s">
        <v>173</v>
      </c>
      <c r="BB466" s="47" t="str">
        <f>IFERROR(IF(MARÍTIMOS[[#This Row],[Estatus]]="","",MARÍTIMOS[[#This Row],[Estatus]]),"")</f>
        <v/>
      </c>
      <c r="BC466" s="43"/>
      <c r="BD466" s="46" t="str">
        <f>IFERROR(OLDBD[[#This Row],[Salida de almacén de retiro]]-OLDBD[[#This Row],[Ingreso Almacén de retiro]],"")</f>
        <v/>
      </c>
      <c r="BE466" s="46" t="str">
        <f>IFERROR(OLDBD[[#This Row],[Fin de Carga]]-OLDBD[[#This Row],[Inicio de Carga]],"")</f>
        <v/>
      </c>
    </row>
    <row r="467" spans="1:57" customFormat="1" hidden="1">
      <c r="A467" s="1"/>
      <c r="B467" s="1" t="str">
        <f>IFERROR(IF(MARÍTIMOS[[#This Row],[PP]]="","",MARÍTIMOS[[#This Row],[PP]]),"")</f>
        <v/>
      </c>
      <c r="C467" s="1" t="str">
        <f>IFERROR(IF(MARÍTIMOS[[#This Row],[Sede]]="","",MARÍTIMOS[[#This Row],[Sede]]),"")</f>
        <v/>
      </c>
      <c r="D467" s="1" t="str">
        <f>IFERROR(IF(MARÍTIMOS[[#This Row],[Instruction]]="","",MARÍTIMOS[[#This Row],[Instruction]]),"")</f>
        <v/>
      </c>
      <c r="E467" s="1"/>
      <c r="F467" s="2" t="str">
        <f>IFERROR(IF(MARÍTIMOS[[#This Row],[Transportista]]="","",MARÍTIMOS[[#This Row],[Transportista]]),"")</f>
        <v/>
      </c>
      <c r="G467" s="2" t="str">
        <f>IFERROR(IF(MARÍTIMOS[[#This Row],[Tercero]]="","",MARÍTIMOS[[#This Row],[Tercero]]),"")</f>
        <v/>
      </c>
      <c r="H467" s="2" t="str">
        <f>IFERROR(IF(MARÍTIMOS[[#This Row],[Razón Social]]="","",MARÍTIMOS[[#This Row],[Razón Social]]),"")</f>
        <v/>
      </c>
      <c r="I467" s="2" t="str">
        <f>IFERROR(IF(MARÍTIMOS[[#This Row],[RUC]]="","",MARÍTIMOS[[#This Row],[RUC]]),"")</f>
        <v/>
      </c>
      <c r="J467" s="2" t="str">
        <f>IFERROR(IF(MARÍTIMOS[[#This Row],[Placa Tracto]]="","",MARÍTIMOS[[#This Row],[Placa Tracto]]),"")</f>
        <v/>
      </c>
      <c r="K467" s="2" t="str">
        <f>IFERROR(IF(MARÍTIMOS[[#This Row],[Placa Carreta]]="","",MARÍTIMOS[[#This Row],[Placa Carreta]]),"")</f>
        <v/>
      </c>
      <c r="L467" s="44" t="str">
        <f>IFERROR(IF(MARÍTIMOS[[#This Row],[Conductor]]="","",MARÍTIMOS[[#This Row],[Conductor]]),"")</f>
        <v/>
      </c>
      <c r="M467" s="2" t="str">
        <f>IFERROR(IF(MARÍTIMOS[[#This Row],[Licencia]]="","",MARÍTIMOS[[#This Row],[Licencia]]),"")</f>
        <v/>
      </c>
      <c r="N467" s="2" t="str">
        <f>IFERROR(IF(MARÍTIMOS[[#This Row],[Número de Contacto]]="","",MARÍTIMOS[[#This Row],[Número de Contacto]]),"")</f>
        <v/>
      </c>
      <c r="O467" s="10" t="str">
        <f>IFERROR(IF(MARÍTIMOS[[#This Row],[Booking|AWB|CRT]]="","",MARÍTIMOS[[#This Row],[Booking|AWB|CRT]]),"")</f>
        <v/>
      </c>
      <c r="P467" s="2" t="str">
        <f>IFERROR(IF(MARÍTIMOS[[#This Row],[Contenedor]]="","",MARÍTIMOS[[#This Row],[Contenedor]]),"")</f>
        <v/>
      </c>
      <c r="Q467" s="2" t="str">
        <f>IFERROR(IF(MARÍTIMOS[[#This Row],[Puerto de Retiro]]="","",MARÍTIMOS[[#This Row],[Puerto de Retiro]]),"")</f>
        <v/>
      </c>
      <c r="R467" s="2" t="str">
        <f>IFERROR(IF(MARÍTIMOS[[#This Row],[Almacén de Retiro]]="","",MARÍTIMOS[[#This Row],[Almacén de Retiro]]),"")</f>
        <v/>
      </c>
      <c r="S467" s="11" t="str">
        <f>IFERROR(IF(MARÍTIMOS[[#This Row],[Etapa Retiro - Cita]]="","",MARÍTIMOS[[#This Row],[Etapa Retiro - Cita]]),"")</f>
        <v/>
      </c>
      <c r="T467" s="11" t="str">
        <f>IFERROR(IF(MARÍTIMOS[[#This Row],[Etapa Retiro - Llegada]]="","",MARÍTIMOS[[#This Row],[Etapa Retiro - Llegada]]),"")</f>
        <v/>
      </c>
      <c r="U467" s="11" t="str">
        <f>IFERROR(IF(MARÍTIMOS[[#This Row],[Etapa Retiro - Ingreso]]="","",MARÍTIMOS[[#This Row],[Etapa Retiro - Ingreso]]),"")</f>
        <v/>
      </c>
      <c r="V467" s="11" t="str">
        <f>IFERROR(IF(MARÍTIMOS[[#This Row],[Etapa Retiro - Atención]]="","",MARÍTIMOS[[#This Row],[Etapa Retiro - Atención]]),"")</f>
        <v/>
      </c>
      <c r="W467" s="11" t="str">
        <f>IFERROR(IF(MARÍTIMOS[[#This Row],[Etapa Retiro - Atención]]="","",MARÍTIMOS[[#This Row],[Etapa Retiro - Atención]]),"")</f>
        <v/>
      </c>
      <c r="X467" s="11" t="str">
        <f>IFERROR(IF(MARÍTIMOS[[#This Row],[Etapa Retiro - Inicio de Ruta]]="","",MARÍTIMOS[[#This Row],[Etapa Retiro - Inicio de Ruta]]),"")</f>
        <v/>
      </c>
      <c r="Y467" s="11" t="str">
        <f>IFERROR(IF(MARÍTIMOS[[#This Row],[Hora de Posicionamiento]]="","",MARÍTIMOS[[#This Row],[Fecha de Carga]]+MARÍTIMOS[[#This Row],[Hora de Posicionamiento]]),"")</f>
        <v/>
      </c>
      <c r="Z467" s="11" t="str">
        <f>IFERROR(IF(MARÍTIMOS[[#This Row],[Etapa Despacho - Llegada]]="","",MARÍTIMOS[[#This Row],[Etapa Despacho - Llegada]]),"")</f>
        <v/>
      </c>
      <c r="AA467" s="11" t="str">
        <f>IFERROR(IF(MARÍTIMOS[[#This Row],[Etapa Despacho - Registro]]="","",MARÍTIMOS[[#This Row],[Etapa Despacho - Registro]]),"")</f>
        <v/>
      </c>
      <c r="AB467" s="11" t="str">
        <f>IFERROR(IF(MARÍTIMOS[[#This Row],[Inspección Externa]]="","",MARÍTIMOS[[#This Row],[Inspección Externa]]),"")</f>
        <v/>
      </c>
      <c r="AC467" s="11" t="str">
        <f>IFERROR(IF(MARÍTIMOS[[#This Row],[Etapa Despacho - Inicio de Carga]]="","",MARÍTIMOS[[#This Row],[Etapa Despacho - Inicio de Carga]]),"")</f>
        <v/>
      </c>
      <c r="AD467" s="11" t="str">
        <f>IFERROR(IF(MARÍTIMOS[[#This Row],[Etapa Despacho - Mitad de Carga]]="","",MARÍTIMOS[[#This Row],[Etapa Despacho - Mitad de Carga]]),"")</f>
        <v/>
      </c>
      <c r="AE467" s="11" t="str">
        <f>IFERROR(IF(MARÍTIMOS[[#This Row],[Etapa Despacho - Fin de Carga]]="","",MARÍTIMOS[[#This Row],[Etapa Despacho - Fin de Carga]]),"")</f>
        <v/>
      </c>
      <c r="AF467" s="2" t="str">
        <f>IFERROR(IF(MARÍTIMOS[[#This Row],[Puerto de Embarque]]="","",MARÍTIMOS[[#This Row],[Puerto de Embarque]]),"")</f>
        <v/>
      </c>
      <c r="AG467" s="2" t="str">
        <f>IFERROR(IF(MARÍTIMOS[[#This Row],[Almacén de Ingreso]]="","",MARÍTIMOS[[#This Row],[Almacén de Ingreso]]),"")</f>
        <v/>
      </c>
      <c r="AH467" s="11" t="str">
        <f>IFERROR(IF(MARÍTIMOS[[#This Row],[Etapa Ingreso - Cita]]="","",MARÍTIMOS[[#This Row],[Etapa Ingreso - Cita]]),"")</f>
        <v/>
      </c>
      <c r="AI467" s="11" t="str">
        <f>IFERROR(IF(MARÍTIMOS[[#This Row],[Etapa Ingreso - Llegada]]="","",MARÍTIMOS[[#This Row],[Etapa Ingreso - Llegada]]),"")</f>
        <v/>
      </c>
      <c r="AJ467" s="11" t="str">
        <f>IFERROR(IF(MARÍTIMOS[[#This Row],[Etapa Ingreso - Ingeso]]="","",MARÍTIMOS[[#This Row],[Etapa Ingreso - Ingeso]]),"")</f>
        <v/>
      </c>
      <c r="AK467" s="11" t="str">
        <f>IFERROR(IF(MARÍTIMOS[[#This Row],[Etapa Ingreso - Atención]]="","",MARÍTIMOS[[#This Row],[Etapa Ingreso - Atención]]),"")</f>
        <v/>
      </c>
      <c r="AL467" s="11" t="str">
        <f>IFERROR(IF(MARÍTIMOS[[#This Row],[Etapa Ingreso - Salida]]="","",MARÍTIMOS[[#This Row],[Etapa Ingreso - Salida]]),"")</f>
        <v/>
      </c>
      <c r="AM467" s="2" t="str">
        <f>IFERROR(IF(MARÍTIMOS[[#This Row],[FCL]]="","",MARÍTIMOS[[#This Row],[FCL]]),"")</f>
        <v/>
      </c>
      <c r="AN4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7" s="4" t="str" cm="1">
        <f t="array" ref="AO4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7" s="5" t="str">
        <f>IFERROR(OLDBD[[#This Row],[Llegada a packing]]-OLDBD[[#This Row],[Inicio de Ruta]],"")</f>
        <v/>
      </c>
      <c r="AQ467" s="6" t="str">
        <f>IFERROR(OLDBD[[#This Row],[Inicio de Ruta]]-OLDBD[[#This Row],[Salida de almacén de retiro]],"")</f>
        <v/>
      </c>
      <c r="AR4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7" s="8" t="str" cm="1">
        <f t="array" ref="AS4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7" s="9" t="str">
        <f>IFERROR(OLDBD[[#This Row],[Ingreso Packing]]-OLDBD[[#This Row],[Registro en Packing]],"")</f>
        <v/>
      </c>
      <c r="AV467" s="9" t="str">
        <f>IFERROR(OLDBD[[#This Row],[Ingreso Packing]]-OLDBD[[#This Row],[Llegada a packing]],"")</f>
        <v/>
      </c>
      <c r="AW4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7" s="5" t="str">
        <f>IFERROR(OLDBD[[#This Row],[Llegada Almacén de Ingreso]]-OLDBD[[#This Row],[Salida Packing]],"")</f>
        <v/>
      </c>
      <c r="AY467" s="4" t="str" cm="1">
        <f t="array" ref="AY4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7" s="43" t="s">
        <v>173</v>
      </c>
      <c r="BB467" s="47" t="str">
        <f>IFERROR(IF(MARÍTIMOS[[#This Row],[Estatus]]="","",MARÍTIMOS[[#This Row],[Estatus]]),"")</f>
        <v/>
      </c>
      <c r="BC467" s="43"/>
      <c r="BD467" s="46" t="str">
        <f>IFERROR(OLDBD[[#This Row],[Salida de almacén de retiro]]-OLDBD[[#This Row],[Ingreso Almacén de retiro]],"")</f>
        <v/>
      </c>
      <c r="BE467" s="46" t="str">
        <f>IFERROR(OLDBD[[#This Row],[Fin de Carga]]-OLDBD[[#This Row],[Inicio de Carga]],"")</f>
        <v/>
      </c>
    </row>
    <row r="468" spans="1:57" customFormat="1" hidden="1">
      <c r="A468" s="1"/>
      <c r="B468" s="1" t="str">
        <f>IFERROR(IF(MARÍTIMOS[[#This Row],[PP]]="","",MARÍTIMOS[[#This Row],[PP]]),"")</f>
        <v/>
      </c>
      <c r="C468" s="1" t="str">
        <f>IFERROR(IF(MARÍTIMOS[[#This Row],[Sede]]="","",MARÍTIMOS[[#This Row],[Sede]]),"")</f>
        <v/>
      </c>
      <c r="D468" s="1" t="str">
        <f>IFERROR(IF(MARÍTIMOS[[#This Row],[Instruction]]="","",MARÍTIMOS[[#This Row],[Instruction]]),"")</f>
        <v/>
      </c>
      <c r="E468" s="1"/>
      <c r="F468" s="2" t="str">
        <f>IFERROR(IF(MARÍTIMOS[[#This Row],[Transportista]]="","",MARÍTIMOS[[#This Row],[Transportista]]),"")</f>
        <v/>
      </c>
      <c r="G468" s="2" t="str">
        <f>IFERROR(IF(MARÍTIMOS[[#This Row],[Tercero]]="","",MARÍTIMOS[[#This Row],[Tercero]]),"")</f>
        <v/>
      </c>
      <c r="H468" s="2" t="str">
        <f>IFERROR(IF(MARÍTIMOS[[#This Row],[Razón Social]]="","",MARÍTIMOS[[#This Row],[Razón Social]]),"")</f>
        <v/>
      </c>
      <c r="I468" s="2" t="str">
        <f>IFERROR(IF(MARÍTIMOS[[#This Row],[RUC]]="","",MARÍTIMOS[[#This Row],[RUC]]),"")</f>
        <v/>
      </c>
      <c r="J468" s="2" t="str">
        <f>IFERROR(IF(MARÍTIMOS[[#This Row],[Placa Tracto]]="","",MARÍTIMOS[[#This Row],[Placa Tracto]]),"")</f>
        <v/>
      </c>
      <c r="K468" s="2" t="str">
        <f>IFERROR(IF(MARÍTIMOS[[#This Row],[Placa Carreta]]="","",MARÍTIMOS[[#This Row],[Placa Carreta]]),"")</f>
        <v/>
      </c>
      <c r="L468" s="44" t="str">
        <f>IFERROR(IF(MARÍTIMOS[[#This Row],[Conductor]]="","",MARÍTIMOS[[#This Row],[Conductor]]),"")</f>
        <v/>
      </c>
      <c r="M468" s="2" t="str">
        <f>IFERROR(IF(MARÍTIMOS[[#This Row],[Licencia]]="","",MARÍTIMOS[[#This Row],[Licencia]]),"")</f>
        <v/>
      </c>
      <c r="N468" s="2" t="str">
        <f>IFERROR(IF(MARÍTIMOS[[#This Row],[Número de Contacto]]="","",MARÍTIMOS[[#This Row],[Número de Contacto]]),"")</f>
        <v/>
      </c>
      <c r="O468" s="10" t="str">
        <f>IFERROR(IF(MARÍTIMOS[[#This Row],[Booking|AWB|CRT]]="","",MARÍTIMOS[[#This Row],[Booking|AWB|CRT]]),"")</f>
        <v/>
      </c>
      <c r="P468" s="2" t="str">
        <f>IFERROR(IF(MARÍTIMOS[[#This Row],[Contenedor]]="","",MARÍTIMOS[[#This Row],[Contenedor]]),"")</f>
        <v/>
      </c>
      <c r="Q468" s="2" t="str">
        <f>IFERROR(IF(MARÍTIMOS[[#This Row],[Puerto de Retiro]]="","",MARÍTIMOS[[#This Row],[Puerto de Retiro]]),"")</f>
        <v/>
      </c>
      <c r="R468" s="2" t="str">
        <f>IFERROR(IF(MARÍTIMOS[[#This Row],[Almacén de Retiro]]="","",MARÍTIMOS[[#This Row],[Almacén de Retiro]]),"")</f>
        <v/>
      </c>
      <c r="S468" s="11" t="str">
        <f>IFERROR(IF(MARÍTIMOS[[#This Row],[Etapa Retiro - Cita]]="","",MARÍTIMOS[[#This Row],[Etapa Retiro - Cita]]),"")</f>
        <v/>
      </c>
      <c r="T468" s="11" t="str">
        <f>IFERROR(IF(MARÍTIMOS[[#This Row],[Etapa Retiro - Llegada]]="","",MARÍTIMOS[[#This Row],[Etapa Retiro - Llegada]]),"")</f>
        <v/>
      </c>
      <c r="U468" s="11" t="str">
        <f>IFERROR(IF(MARÍTIMOS[[#This Row],[Etapa Retiro - Ingreso]]="","",MARÍTIMOS[[#This Row],[Etapa Retiro - Ingreso]]),"")</f>
        <v/>
      </c>
      <c r="V468" s="11" t="str">
        <f>IFERROR(IF(MARÍTIMOS[[#This Row],[Etapa Retiro - Atención]]="","",MARÍTIMOS[[#This Row],[Etapa Retiro - Atención]]),"")</f>
        <v/>
      </c>
      <c r="W468" s="11" t="str">
        <f>IFERROR(IF(MARÍTIMOS[[#This Row],[Etapa Retiro - Atención]]="","",MARÍTIMOS[[#This Row],[Etapa Retiro - Atención]]),"")</f>
        <v/>
      </c>
      <c r="X468" s="11" t="str">
        <f>IFERROR(IF(MARÍTIMOS[[#This Row],[Etapa Retiro - Inicio de Ruta]]="","",MARÍTIMOS[[#This Row],[Etapa Retiro - Inicio de Ruta]]),"")</f>
        <v/>
      </c>
      <c r="Y468" s="11" t="str">
        <f>IFERROR(IF(MARÍTIMOS[[#This Row],[Hora de Posicionamiento]]="","",MARÍTIMOS[[#This Row],[Fecha de Carga]]+MARÍTIMOS[[#This Row],[Hora de Posicionamiento]]),"")</f>
        <v/>
      </c>
      <c r="Z468" s="11" t="str">
        <f>IFERROR(IF(MARÍTIMOS[[#This Row],[Etapa Despacho - Llegada]]="","",MARÍTIMOS[[#This Row],[Etapa Despacho - Llegada]]),"")</f>
        <v/>
      </c>
      <c r="AA468" s="11" t="str">
        <f>IFERROR(IF(MARÍTIMOS[[#This Row],[Etapa Despacho - Registro]]="","",MARÍTIMOS[[#This Row],[Etapa Despacho - Registro]]),"")</f>
        <v/>
      </c>
      <c r="AB468" s="11" t="str">
        <f>IFERROR(IF(MARÍTIMOS[[#This Row],[Inspección Externa]]="","",MARÍTIMOS[[#This Row],[Inspección Externa]]),"")</f>
        <v/>
      </c>
      <c r="AC468" s="11" t="str">
        <f>IFERROR(IF(MARÍTIMOS[[#This Row],[Etapa Despacho - Inicio de Carga]]="","",MARÍTIMOS[[#This Row],[Etapa Despacho - Inicio de Carga]]),"")</f>
        <v/>
      </c>
      <c r="AD468" s="11" t="str">
        <f>IFERROR(IF(MARÍTIMOS[[#This Row],[Etapa Despacho - Mitad de Carga]]="","",MARÍTIMOS[[#This Row],[Etapa Despacho - Mitad de Carga]]),"")</f>
        <v/>
      </c>
      <c r="AE468" s="11" t="str">
        <f>IFERROR(IF(MARÍTIMOS[[#This Row],[Etapa Despacho - Fin de Carga]]="","",MARÍTIMOS[[#This Row],[Etapa Despacho - Fin de Carga]]),"")</f>
        <v/>
      </c>
      <c r="AF468" s="2" t="str">
        <f>IFERROR(IF(MARÍTIMOS[[#This Row],[Puerto de Embarque]]="","",MARÍTIMOS[[#This Row],[Puerto de Embarque]]),"")</f>
        <v/>
      </c>
      <c r="AG468" s="2" t="str">
        <f>IFERROR(IF(MARÍTIMOS[[#This Row],[Almacén de Ingreso]]="","",MARÍTIMOS[[#This Row],[Almacén de Ingreso]]),"")</f>
        <v/>
      </c>
      <c r="AH468" s="11" t="str">
        <f>IFERROR(IF(MARÍTIMOS[[#This Row],[Etapa Ingreso - Cita]]="","",MARÍTIMOS[[#This Row],[Etapa Ingreso - Cita]]),"")</f>
        <v/>
      </c>
      <c r="AI468" s="11" t="str">
        <f>IFERROR(IF(MARÍTIMOS[[#This Row],[Etapa Ingreso - Llegada]]="","",MARÍTIMOS[[#This Row],[Etapa Ingreso - Llegada]]),"")</f>
        <v/>
      </c>
      <c r="AJ468" s="11" t="str">
        <f>IFERROR(IF(MARÍTIMOS[[#This Row],[Etapa Ingreso - Ingeso]]="","",MARÍTIMOS[[#This Row],[Etapa Ingreso - Ingeso]]),"")</f>
        <v/>
      </c>
      <c r="AK468" s="11" t="str">
        <f>IFERROR(IF(MARÍTIMOS[[#This Row],[Etapa Ingreso - Atención]]="","",MARÍTIMOS[[#This Row],[Etapa Ingreso - Atención]]),"")</f>
        <v/>
      </c>
      <c r="AL468" s="11" t="str">
        <f>IFERROR(IF(MARÍTIMOS[[#This Row],[Etapa Ingreso - Salida]]="","",MARÍTIMOS[[#This Row],[Etapa Ingreso - Salida]]),"")</f>
        <v/>
      </c>
      <c r="AM468" s="2" t="str">
        <f>IFERROR(IF(MARÍTIMOS[[#This Row],[FCL]]="","",MARÍTIMOS[[#This Row],[FCL]]),"")</f>
        <v/>
      </c>
      <c r="AN4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8" s="4" t="str" cm="1">
        <f t="array" ref="AO4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8" s="5" t="str">
        <f>IFERROR(OLDBD[[#This Row],[Llegada a packing]]-OLDBD[[#This Row],[Inicio de Ruta]],"")</f>
        <v/>
      </c>
      <c r="AQ468" s="6" t="str">
        <f>IFERROR(OLDBD[[#This Row],[Inicio de Ruta]]-OLDBD[[#This Row],[Salida de almacén de retiro]],"")</f>
        <v/>
      </c>
      <c r="AR4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8" s="8" t="str" cm="1">
        <f t="array" ref="AS4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8" s="9" t="str">
        <f>IFERROR(OLDBD[[#This Row],[Ingreso Packing]]-OLDBD[[#This Row],[Registro en Packing]],"")</f>
        <v/>
      </c>
      <c r="AV468" s="9" t="str">
        <f>IFERROR(OLDBD[[#This Row],[Ingreso Packing]]-OLDBD[[#This Row],[Llegada a packing]],"")</f>
        <v/>
      </c>
      <c r="AW4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8" s="5" t="str">
        <f>IFERROR(OLDBD[[#This Row],[Llegada Almacén de Ingreso]]-OLDBD[[#This Row],[Salida Packing]],"")</f>
        <v/>
      </c>
      <c r="AY468" s="4" t="str" cm="1">
        <f t="array" ref="AY4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8" s="43" t="s">
        <v>173</v>
      </c>
      <c r="BB468" s="47" t="str">
        <f>IFERROR(IF(MARÍTIMOS[[#This Row],[Estatus]]="","",MARÍTIMOS[[#This Row],[Estatus]]),"")</f>
        <v/>
      </c>
      <c r="BC468" s="43"/>
      <c r="BD468" s="46" t="str">
        <f>IFERROR(OLDBD[[#This Row],[Salida de almacén de retiro]]-OLDBD[[#This Row],[Ingreso Almacén de retiro]],"")</f>
        <v/>
      </c>
      <c r="BE468" s="46" t="str">
        <f>IFERROR(OLDBD[[#This Row],[Fin de Carga]]-OLDBD[[#This Row],[Inicio de Carga]],"")</f>
        <v/>
      </c>
    </row>
    <row r="469" spans="1:57" customFormat="1" hidden="1">
      <c r="A469" s="1"/>
      <c r="B469" s="1" t="str">
        <f>IFERROR(IF(MARÍTIMOS[[#This Row],[PP]]="","",MARÍTIMOS[[#This Row],[PP]]),"")</f>
        <v/>
      </c>
      <c r="C469" s="1" t="str">
        <f>IFERROR(IF(MARÍTIMOS[[#This Row],[Sede]]="","",MARÍTIMOS[[#This Row],[Sede]]),"")</f>
        <v/>
      </c>
      <c r="D469" s="1" t="str">
        <f>IFERROR(IF(MARÍTIMOS[[#This Row],[Instruction]]="","",MARÍTIMOS[[#This Row],[Instruction]]),"")</f>
        <v/>
      </c>
      <c r="E469" s="1"/>
      <c r="F469" s="2" t="str">
        <f>IFERROR(IF(MARÍTIMOS[[#This Row],[Transportista]]="","",MARÍTIMOS[[#This Row],[Transportista]]),"")</f>
        <v/>
      </c>
      <c r="G469" s="2" t="str">
        <f>IFERROR(IF(MARÍTIMOS[[#This Row],[Tercero]]="","",MARÍTIMOS[[#This Row],[Tercero]]),"")</f>
        <v/>
      </c>
      <c r="H469" s="2" t="str">
        <f>IFERROR(IF(MARÍTIMOS[[#This Row],[Razón Social]]="","",MARÍTIMOS[[#This Row],[Razón Social]]),"")</f>
        <v/>
      </c>
      <c r="I469" s="2" t="str">
        <f>IFERROR(IF(MARÍTIMOS[[#This Row],[RUC]]="","",MARÍTIMOS[[#This Row],[RUC]]),"")</f>
        <v/>
      </c>
      <c r="J469" s="2" t="str">
        <f>IFERROR(IF(MARÍTIMOS[[#This Row],[Placa Tracto]]="","",MARÍTIMOS[[#This Row],[Placa Tracto]]),"")</f>
        <v/>
      </c>
      <c r="K469" s="2" t="str">
        <f>IFERROR(IF(MARÍTIMOS[[#This Row],[Placa Carreta]]="","",MARÍTIMOS[[#This Row],[Placa Carreta]]),"")</f>
        <v/>
      </c>
      <c r="L469" s="44" t="str">
        <f>IFERROR(IF(MARÍTIMOS[[#This Row],[Conductor]]="","",MARÍTIMOS[[#This Row],[Conductor]]),"")</f>
        <v/>
      </c>
      <c r="M469" s="2" t="str">
        <f>IFERROR(IF(MARÍTIMOS[[#This Row],[Licencia]]="","",MARÍTIMOS[[#This Row],[Licencia]]),"")</f>
        <v/>
      </c>
      <c r="N469" s="2" t="str">
        <f>IFERROR(IF(MARÍTIMOS[[#This Row],[Número de Contacto]]="","",MARÍTIMOS[[#This Row],[Número de Contacto]]),"")</f>
        <v/>
      </c>
      <c r="O469" s="10" t="str">
        <f>IFERROR(IF(MARÍTIMOS[[#This Row],[Booking|AWB|CRT]]="","",MARÍTIMOS[[#This Row],[Booking|AWB|CRT]]),"")</f>
        <v/>
      </c>
      <c r="P469" s="2" t="str">
        <f>IFERROR(IF(MARÍTIMOS[[#This Row],[Contenedor]]="","",MARÍTIMOS[[#This Row],[Contenedor]]),"")</f>
        <v/>
      </c>
      <c r="Q469" s="2" t="str">
        <f>IFERROR(IF(MARÍTIMOS[[#This Row],[Puerto de Retiro]]="","",MARÍTIMOS[[#This Row],[Puerto de Retiro]]),"")</f>
        <v/>
      </c>
      <c r="R469" s="2" t="str">
        <f>IFERROR(IF(MARÍTIMOS[[#This Row],[Almacén de Retiro]]="","",MARÍTIMOS[[#This Row],[Almacén de Retiro]]),"")</f>
        <v/>
      </c>
      <c r="S469" s="11" t="str">
        <f>IFERROR(IF(MARÍTIMOS[[#This Row],[Etapa Retiro - Cita]]="","",MARÍTIMOS[[#This Row],[Etapa Retiro - Cita]]),"")</f>
        <v/>
      </c>
      <c r="T469" s="11" t="str">
        <f>IFERROR(IF(MARÍTIMOS[[#This Row],[Etapa Retiro - Llegada]]="","",MARÍTIMOS[[#This Row],[Etapa Retiro - Llegada]]),"")</f>
        <v/>
      </c>
      <c r="U469" s="11" t="str">
        <f>IFERROR(IF(MARÍTIMOS[[#This Row],[Etapa Retiro - Ingreso]]="","",MARÍTIMOS[[#This Row],[Etapa Retiro - Ingreso]]),"")</f>
        <v/>
      </c>
      <c r="V469" s="11" t="str">
        <f>IFERROR(IF(MARÍTIMOS[[#This Row],[Etapa Retiro - Atención]]="","",MARÍTIMOS[[#This Row],[Etapa Retiro - Atención]]),"")</f>
        <v/>
      </c>
      <c r="W469" s="11" t="str">
        <f>IFERROR(IF(MARÍTIMOS[[#This Row],[Etapa Retiro - Atención]]="","",MARÍTIMOS[[#This Row],[Etapa Retiro - Atención]]),"")</f>
        <v/>
      </c>
      <c r="X469" s="11" t="str">
        <f>IFERROR(IF(MARÍTIMOS[[#This Row],[Etapa Retiro - Inicio de Ruta]]="","",MARÍTIMOS[[#This Row],[Etapa Retiro - Inicio de Ruta]]),"")</f>
        <v/>
      </c>
      <c r="Y469" s="11" t="str">
        <f>IFERROR(IF(MARÍTIMOS[[#This Row],[Hora de Posicionamiento]]="","",MARÍTIMOS[[#This Row],[Fecha de Carga]]+MARÍTIMOS[[#This Row],[Hora de Posicionamiento]]),"")</f>
        <v/>
      </c>
      <c r="Z469" s="11" t="str">
        <f>IFERROR(IF(MARÍTIMOS[[#This Row],[Etapa Despacho - Llegada]]="","",MARÍTIMOS[[#This Row],[Etapa Despacho - Llegada]]),"")</f>
        <v/>
      </c>
      <c r="AA469" s="11" t="str">
        <f>IFERROR(IF(MARÍTIMOS[[#This Row],[Etapa Despacho - Registro]]="","",MARÍTIMOS[[#This Row],[Etapa Despacho - Registro]]),"")</f>
        <v/>
      </c>
      <c r="AB469" s="11" t="str">
        <f>IFERROR(IF(MARÍTIMOS[[#This Row],[Inspección Externa]]="","",MARÍTIMOS[[#This Row],[Inspección Externa]]),"")</f>
        <v/>
      </c>
      <c r="AC469" s="11" t="str">
        <f>IFERROR(IF(MARÍTIMOS[[#This Row],[Etapa Despacho - Inicio de Carga]]="","",MARÍTIMOS[[#This Row],[Etapa Despacho - Inicio de Carga]]),"")</f>
        <v/>
      </c>
      <c r="AD469" s="11" t="str">
        <f>IFERROR(IF(MARÍTIMOS[[#This Row],[Etapa Despacho - Mitad de Carga]]="","",MARÍTIMOS[[#This Row],[Etapa Despacho - Mitad de Carga]]),"")</f>
        <v/>
      </c>
      <c r="AE469" s="11" t="str">
        <f>IFERROR(IF(MARÍTIMOS[[#This Row],[Etapa Despacho - Fin de Carga]]="","",MARÍTIMOS[[#This Row],[Etapa Despacho - Fin de Carga]]),"")</f>
        <v/>
      </c>
      <c r="AF469" s="2" t="str">
        <f>IFERROR(IF(MARÍTIMOS[[#This Row],[Puerto de Embarque]]="","",MARÍTIMOS[[#This Row],[Puerto de Embarque]]),"")</f>
        <v/>
      </c>
      <c r="AG469" s="2" t="str">
        <f>IFERROR(IF(MARÍTIMOS[[#This Row],[Almacén de Ingreso]]="","",MARÍTIMOS[[#This Row],[Almacén de Ingreso]]),"")</f>
        <v/>
      </c>
      <c r="AH469" s="11" t="str">
        <f>IFERROR(IF(MARÍTIMOS[[#This Row],[Etapa Ingreso - Cita]]="","",MARÍTIMOS[[#This Row],[Etapa Ingreso - Cita]]),"")</f>
        <v/>
      </c>
      <c r="AI469" s="11" t="str">
        <f>IFERROR(IF(MARÍTIMOS[[#This Row],[Etapa Ingreso - Llegada]]="","",MARÍTIMOS[[#This Row],[Etapa Ingreso - Llegada]]),"")</f>
        <v/>
      </c>
      <c r="AJ469" s="11" t="str">
        <f>IFERROR(IF(MARÍTIMOS[[#This Row],[Etapa Ingreso - Ingeso]]="","",MARÍTIMOS[[#This Row],[Etapa Ingreso - Ingeso]]),"")</f>
        <v/>
      </c>
      <c r="AK469" s="11" t="str">
        <f>IFERROR(IF(MARÍTIMOS[[#This Row],[Etapa Ingreso - Atención]]="","",MARÍTIMOS[[#This Row],[Etapa Ingreso - Atención]]),"")</f>
        <v/>
      </c>
      <c r="AL469" s="11" t="str">
        <f>IFERROR(IF(MARÍTIMOS[[#This Row],[Etapa Ingreso - Salida]]="","",MARÍTIMOS[[#This Row],[Etapa Ingreso - Salida]]),"")</f>
        <v/>
      </c>
      <c r="AM469" s="2" t="str">
        <f>IFERROR(IF(MARÍTIMOS[[#This Row],[FCL]]="","",MARÍTIMOS[[#This Row],[FCL]]),"")</f>
        <v/>
      </c>
      <c r="AN4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69" s="4" t="str" cm="1">
        <f t="array" ref="AO4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69" s="5" t="str">
        <f>IFERROR(OLDBD[[#This Row],[Llegada a packing]]-OLDBD[[#This Row],[Inicio de Ruta]],"")</f>
        <v/>
      </c>
      <c r="AQ469" s="6" t="str">
        <f>IFERROR(OLDBD[[#This Row],[Inicio de Ruta]]-OLDBD[[#This Row],[Salida de almacén de retiro]],"")</f>
        <v/>
      </c>
      <c r="AR4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69" s="8" t="str" cm="1">
        <f t="array" ref="AS4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69" s="9" t="str">
        <f>IFERROR(OLDBD[[#This Row],[Ingreso Packing]]-OLDBD[[#This Row],[Registro en Packing]],"")</f>
        <v/>
      </c>
      <c r="AV469" s="9" t="str">
        <f>IFERROR(OLDBD[[#This Row],[Ingreso Packing]]-OLDBD[[#This Row],[Llegada a packing]],"")</f>
        <v/>
      </c>
      <c r="AW4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69" s="5" t="str">
        <f>IFERROR(OLDBD[[#This Row],[Llegada Almacén de Ingreso]]-OLDBD[[#This Row],[Salida Packing]],"")</f>
        <v/>
      </c>
      <c r="AY469" s="4" t="str" cm="1">
        <f t="array" ref="AY4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69" s="43" t="s">
        <v>173</v>
      </c>
      <c r="BB469" s="47" t="str">
        <f>IFERROR(IF(MARÍTIMOS[[#This Row],[Estatus]]="","",MARÍTIMOS[[#This Row],[Estatus]]),"")</f>
        <v/>
      </c>
      <c r="BC469" s="43"/>
      <c r="BD469" s="46" t="str">
        <f>IFERROR(OLDBD[[#This Row],[Salida de almacén de retiro]]-OLDBD[[#This Row],[Ingreso Almacén de retiro]],"")</f>
        <v/>
      </c>
      <c r="BE469" s="46" t="str">
        <f>IFERROR(OLDBD[[#This Row],[Fin de Carga]]-OLDBD[[#This Row],[Inicio de Carga]],"")</f>
        <v/>
      </c>
    </row>
    <row r="470" spans="1:57" customFormat="1" hidden="1">
      <c r="A470" s="1"/>
      <c r="B470" s="1" t="str">
        <f>IFERROR(IF(MARÍTIMOS[[#This Row],[PP]]="","",MARÍTIMOS[[#This Row],[PP]]),"")</f>
        <v/>
      </c>
      <c r="C470" s="1" t="str">
        <f>IFERROR(IF(MARÍTIMOS[[#This Row],[Sede]]="","",MARÍTIMOS[[#This Row],[Sede]]),"")</f>
        <v/>
      </c>
      <c r="D470" s="1" t="str">
        <f>IFERROR(IF(MARÍTIMOS[[#This Row],[Instruction]]="","",MARÍTIMOS[[#This Row],[Instruction]]),"")</f>
        <v/>
      </c>
      <c r="E470" s="1"/>
      <c r="F470" s="2" t="str">
        <f>IFERROR(IF(MARÍTIMOS[[#This Row],[Transportista]]="","",MARÍTIMOS[[#This Row],[Transportista]]),"")</f>
        <v/>
      </c>
      <c r="G470" s="2" t="str">
        <f>IFERROR(IF(MARÍTIMOS[[#This Row],[Tercero]]="","",MARÍTIMOS[[#This Row],[Tercero]]),"")</f>
        <v/>
      </c>
      <c r="H470" s="2" t="str">
        <f>IFERROR(IF(MARÍTIMOS[[#This Row],[Razón Social]]="","",MARÍTIMOS[[#This Row],[Razón Social]]),"")</f>
        <v/>
      </c>
      <c r="I470" s="2" t="str">
        <f>IFERROR(IF(MARÍTIMOS[[#This Row],[RUC]]="","",MARÍTIMOS[[#This Row],[RUC]]),"")</f>
        <v/>
      </c>
      <c r="J470" s="2" t="str">
        <f>IFERROR(IF(MARÍTIMOS[[#This Row],[Placa Tracto]]="","",MARÍTIMOS[[#This Row],[Placa Tracto]]),"")</f>
        <v/>
      </c>
      <c r="K470" s="2" t="str">
        <f>IFERROR(IF(MARÍTIMOS[[#This Row],[Placa Carreta]]="","",MARÍTIMOS[[#This Row],[Placa Carreta]]),"")</f>
        <v/>
      </c>
      <c r="L470" s="44" t="str">
        <f>IFERROR(IF(MARÍTIMOS[[#This Row],[Conductor]]="","",MARÍTIMOS[[#This Row],[Conductor]]),"")</f>
        <v/>
      </c>
      <c r="M470" s="2" t="str">
        <f>IFERROR(IF(MARÍTIMOS[[#This Row],[Licencia]]="","",MARÍTIMOS[[#This Row],[Licencia]]),"")</f>
        <v/>
      </c>
      <c r="N470" s="2" t="str">
        <f>IFERROR(IF(MARÍTIMOS[[#This Row],[Número de Contacto]]="","",MARÍTIMOS[[#This Row],[Número de Contacto]]),"")</f>
        <v/>
      </c>
      <c r="O470" s="10" t="str">
        <f>IFERROR(IF(MARÍTIMOS[[#This Row],[Booking|AWB|CRT]]="","",MARÍTIMOS[[#This Row],[Booking|AWB|CRT]]),"")</f>
        <v/>
      </c>
      <c r="P470" s="2" t="str">
        <f>IFERROR(IF(MARÍTIMOS[[#This Row],[Contenedor]]="","",MARÍTIMOS[[#This Row],[Contenedor]]),"")</f>
        <v/>
      </c>
      <c r="Q470" s="2" t="str">
        <f>IFERROR(IF(MARÍTIMOS[[#This Row],[Puerto de Retiro]]="","",MARÍTIMOS[[#This Row],[Puerto de Retiro]]),"")</f>
        <v/>
      </c>
      <c r="R470" s="2" t="str">
        <f>IFERROR(IF(MARÍTIMOS[[#This Row],[Almacén de Retiro]]="","",MARÍTIMOS[[#This Row],[Almacén de Retiro]]),"")</f>
        <v/>
      </c>
      <c r="S470" s="11" t="str">
        <f>IFERROR(IF(MARÍTIMOS[[#This Row],[Etapa Retiro - Cita]]="","",MARÍTIMOS[[#This Row],[Etapa Retiro - Cita]]),"")</f>
        <v/>
      </c>
      <c r="T470" s="11" t="str">
        <f>IFERROR(IF(MARÍTIMOS[[#This Row],[Etapa Retiro - Llegada]]="","",MARÍTIMOS[[#This Row],[Etapa Retiro - Llegada]]),"")</f>
        <v/>
      </c>
      <c r="U470" s="11" t="str">
        <f>IFERROR(IF(MARÍTIMOS[[#This Row],[Etapa Retiro - Ingreso]]="","",MARÍTIMOS[[#This Row],[Etapa Retiro - Ingreso]]),"")</f>
        <v/>
      </c>
      <c r="V470" s="11" t="str">
        <f>IFERROR(IF(MARÍTIMOS[[#This Row],[Etapa Retiro - Atención]]="","",MARÍTIMOS[[#This Row],[Etapa Retiro - Atención]]),"")</f>
        <v/>
      </c>
      <c r="W470" s="11" t="str">
        <f>IFERROR(IF(MARÍTIMOS[[#This Row],[Etapa Retiro - Atención]]="","",MARÍTIMOS[[#This Row],[Etapa Retiro - Atención]]),"")</f>
        <v/>
      </c>
      <c r="X470" s="11" t="str">
        <f>IFERROR(IF(MARÍTIMOS[[#This Row],[Etapa Retiro - Inicio de Ruta]]="","",MARÍTIMOS[[#This Row],[Etapa Retiro - Inicio de Ruta]]),"")</f>
        <v/>
      </c>
      <c r="Y470" s="11" t="str">
        <f>IFERROR(IF(MARÍTIMOS[[#This Row],[Hora de Posicionamiento]]="","",MARÍTIMOS[[#This Row],[Fecha de Carga]]+MARÍTIMOS[[#This Row],[Hora de Posicionamiento]]),"")</f>
        <v/>
      </c>
      <c r="Z470" s="11" t="str">
        <f>IFERROR(IF(MARÍTIMOS[[#This Row],[Etapa Despacho - Llegada]]="","",MARÍTIMOS[[#This Row],[Etapa Despacho - Llegada]]),"")</f>
        <v/>
      </c>
      <c r="AA470" s="11" t="str">
        <f>IFERROR(IF(MARÍTIMOS[[#This Row],[Etapa Despacho - Registro]]="","",MARÍTIMOS[[#This Row],[Etapa Despacho - Registro]]),"")</f>
        <v/>
      </c>
      <c r="AB470" s="11" t="str">
        <f>IFERROR(IF(MARÍTIMOS[[#This Row],[Inspección Externa]]="","",MARÍTIMOS[[#This Row],[Inspección Externa]]),"")</f>
        <v/>
      </c>
      <c r="AC470" s="11" t="str">
        <f>IFERROR(IF(MARÍTIMOS[[#This Row],[Etapa Despacho - Inicio de Carga]]="","",MARÍTIMOS[[#This Row],[Etapa Despacho - Inicio de Carga]]),"")</f>
        <v/>
      </c>
      <c r="AD470" s="11" t="str">
        <f>IFERROR(IF(MARÍTIMOS[[#This Row],[Etapa Despacho - Mitad de Carga]]="","",MARÍTIMOS[[#This Row],[Etapa Despacho - Mitad de Carga]]),"")</f>
        <v/>
      </c>
      <c r="AE470" s="11" t="str">
        <f>IFERROR(IF(MARÍTIMOS[[#This Row],[Etapa Despacho - Fin de Carga]]="","",MARÍTIMOS[[#This Row],[Etapa Despacho - Fin de Carga]]),"")</f>
        <v/>
      </c>
      <c r="AF470" s="2" t="str">
        <f>IFERROR(IF(MARÍTIMOS[[#This Row],[Puerto de Embarque]]="","",MARÍTIMOS[[#This Row],[Puerto de Embarque]]),"")</f>
        <v/>
      </c>
      <c r="AG470" s="2" t="str">
        <f>IFERROR(IF(MARÍTIMOS[[#This Row],[Almacén de Ingreso]]="","",MARÍTIMOS[[#This Row],[Almacén de Ingreso]]),"")</f>
        <v/>
      </c>
      <c r="AH470" s="11" t="str">
        <f>IFERROR(IF(MARÍTIMOS[[#This Row],[Etapa Ingreso - Cita]]="","",MARÍTIMOS[[#This Row],[Etapa Ingreso - Cita]]),"")</f>
        <v/>
      </c>
      <c r="AI470" s="11" t="str">
        <f>IFERROR(IF(MARÍTIMOS[[#This Row],[Etapa Ingreso - Llegada]]="","",MARÍTIMOS[[#This Row],[Etapa Ingreso - Llegada]]),"")</f>
        <v/>
      </c>
      <c r="AJ470" s="11" t="str">
        <f>IFERROR(IF(MARÍTIMOS[[#This Row],[Etapa Ingreso - Ingeso]]="","",MARÍTIMOS[[#This Row],[Etapa Ingreso - Ingeso]]),"")</f>
        <v/>
      </c>
      <c r="AK470" s="11" t="str">
        <f>IFERROR(IF(MARÍTIMOS[[#This Row],[Etapa Ingreso - Atención]]="","",MARÍTIMOS[[#This Row],[Etapa Ingreso - Atención]]),"")</f>
        <v/>
      </c>
      <c r="AL470" s="11" t="str">
        <f>IFERROR(IF(MARÍTIMOS[[#This Row],[Etapa Ingreso - Salida]]="","",MARÍTIMOS[[#This Row],[Etapa Ingreso - Salida]]),"")</f>
        <v/>
      </c>
      <c r="AM470" s="2" t="str">
        <f>IFERROR(IF(MARÍTIMOS[[#This Row],[FCL]]="","",MARÍTIMOS[[#This Row],[FCL]]),"")</f>
        <v/>
      </c>
      <c r="AN4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0" s="4" t="str" cm="1">
        <f t="array" ref="AO4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0" s="5" t="str">
        <f>IFERROR(OLDBD[[#This Row],[Llegada a packing]]-OLDBD[[#This Row],[Inicio de Ruta]],"")</f>
        <v/>
      </c>
      <c r="AQ470" s="6" t="str">
        <f>IFERROR(OLDBD[[#This Row],[Inicio de Ruta]]-OLDBD[[#This Row],[Salida de almacén de retiro]],"")</f>
        <v/>
      </c>
      <c r="AR4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0" s="8" t="str" cm="1">
        <f t="array" ref="AS4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0" s="9" t="str">
        <f>IFERROR(OLDBD[[#This Row],[Ingreso Packing]]-OLDBD[[#This Row],[Registro en Packing]],"")</f>
        <v/>
      </c>
      <c r="AV470" s="9" t="str">
        <f>IFERROR(OLDBD[[#This Row],[Ingreso Packing]]-OLDBD[[#This Row],[Llegada a packing]],"")</f>
        <v/>
      </c>
      <c r="AW4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0" s="5" t="str">
        <f>IFERROR(OLDBD[[#This Row],[Llegada Almacén de Ingreso]]-OLDBD[[#This Row],[Salida Packing]],"")</f>
        <v/>
      </c>
      <c r="AY470" s="4" t="str" cm="1">
        <f t="array" ref="AY4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0" s="43" t="s">
        <v>173</v>
      </c>
      <c r="BB470" s="47" t="str">
        <f>IFERROR(IF(MARÍTIMOS[[#This Row],[Estatus]]="","",MARÍTIMOS[[#This Row],[Estatus]]),"")</f>
        <v/>
      </c>
      <c r="BC470" s="43"/>
      <c r="BD470" s="46" t="str">
        <f>IFERROR(OLDBD[[#This Row],[Salida de almacén de retiro]]-OLDBD[[#This Row],[Ingreso Almacén de retiro]],"")</f>
        <v/>
      </c>
      <c r="BE470" s="46" t="str">
        <f>IFERROR(OLDBD[[#This Row],[Fin de Carga]]-OLDBD[[#This Row],[Inicio de Carga]],"")</f>
        <v/>
      </c>
    </row>
    <row r="471" spans="1:57" customFormat="1" hidden="1">
      <c r="A471" s="1"/>
      <c r="B471" s="1" t="str">
        <f>IFERROR(IF(MARÍTIMOS[[#This Row],[PP]]="","",MARÍTIMOS[[#This Row],[PP]]),"")</f>
        <v/>
      </c>
      <c r="C471" s="1" t="str">
        <f>IFERROR(IF(MARÍTIMOS[[#This Row],[Sede]]="","",MARÍTIMOS[[#This Row],[Sede]]),"")</f>
        <v/>
      </c>
      <c r="D471" s="1" t="str">
        <f>IFERROR(IF(MARÍTIMOS[[#This Row],[Instruction]]="","",MARÍTIMOS[[#This Row],[Instruction]]),"")</f>
        <v/>
      </c>
      <c r="E471" s="1"/>
      <c r="F471" s="2" t="str">
        <f>IFERROR(IF(MARÍTIMOS[[#This Row],[Transportista]]="","",MARÍTIMOS[[#This Row],[Transportista]]),"")</f>
        <v/>
      </c>
      <c r="G471" s="2" t="str">
        <f>IFERROR(IF(MARÍTIMOS[[#This Row],[Tercero]]="","",MARÍTIMOS[[#This Row],[Tercero]]),"")</f>
        <v/>
      </c>
      <c r="H471" s="2" t="str">
        <f>IFERROR(IF(MARÍTIMOS[[#This Row],[Razón Social]]="","",MARÍTIMOS[[#This Row],[Razón Social]]),"")</f>
        <v/>
      </c>
      <c r="I471" s="2" t="str">
        <f>IFERROR(IF(MARÍTIMOS[[#This Row],[RUC]]="","",MARÍTIMOS[[#This Row],[RUC]]),"")</f>
        <v/>
      </c>
      <c r="J471" s="2" t="str">
        <f>IFERROR(IF(MARÍTIMOS[[#This Row],[Placa Tracto]]="","",MARÍTIMOS[[#This Row],[Placa Tracto]]),"")</f>
        <v/>
      </c>
      <c r="K471" s="2" t="str">
        <f>IFERROR(IF(MARÍTIMOS[[#This Row],[Placa Carreta]]="","",MARÍTIMOS[[#This Row],[Placa Carreta]]),"")</f>
        <v/>
      </c>
      <c r="L471" s="44" t="str">
        <f>IFERROR(IF(MARÍTIMOS[[#This Row],[Conductor]]="","",MARÍTIMOS[[#This Row],[Conductor]]),"")</f>
        <v/>
      </c>
      <c r="M471" s="2" t="str">
        <f>IFERROR(IF(MARÍTIMOS[[#This Row],[Licencia]]="","",MARÍTIMOS[[#This Row],[Licencia]]),"")</f>
        <v/>
      </c>
      <c r="N471" s="2" t="str">
        <f>IFERROR(IF(MARÍTIMOS[[#This Row],[Número de Contacto]]="","",MARÍTIMOS[[#This Row],[Número de Contacto]]),"")</f>
        <v/>
      </c>
      <c r="O471" s="10" t="str">
        <f>IFERROR(IF(MARÍTIMOS[[#This Row],[Booking|AWB|CRT]]="","",MARÍTIMOS[[#This Row],[Booking|AWB|CRT]]),"")</f>
        <v/>
      </c>
      <c r="P471" s="2" t="str">
        <f>IFERROR(IF(MARÍTIMOS[[#This Row],[Contenedor]]="","",MARÍTIMOS[[#This Row],[Contenedor]]),"")</f>
        <v/>
      </c>
      <c r="Q471" s="2" t="str">
        <f>IFERROR(IF(MARÍTIMOS[[#This Row],[Puerto de Retiro]]="","",MARÍTIMOS[[#This Row],[Puerto de Retiro]]),"")</f>
        <v/>
      </c>
      <c r="R471" s="2" t="str">
        <f>IFERROR(IF(MARÍTIMOS[[#This Row],[Almacén de Retiro]]="","",MARÍTIMOS[[#This Row],[Almacén de Retiro]]),"")</f>
        <v/>
      </c>
      <c r="S471" s="11" t="str">
        <f>IFERROR(IF(MARÍTIMOS[[#This Row],[Etapa Retiro - Cita]]="","",MARÍTIMOS[[#This Row],[Etapa Retiro - Cita]]),"")</f>
        <v/>
      </c>
      <c r="T471" s="11" t="str">
        <f>IFERROR(IF(MARÍTIMOS[[#This Row],[Etapa Retiro - Llegada]]="","",MARÍTIMOS[[#This Row],[Etapa Retiro - Llegada]]),"")</f>
        <v/>
      </c>
      <c r="U471" s="11" t="str">
        <f>IFERROR(IF(MARÍTIMOS[[#This Row],[Etapa Retiro - Ingreso]]="","",MARÍTIMOS[[#This Row],[Etapa Retiro - Ingreso]]),"")</f>
        <v/>
      </c>
      <c r="V471" s="11" t="str">
        <f>IFERROR(IF(MARÍTIMOS[[#This Row],[Etapa Retiro - Atención]]="","",MARÍTIMOS[[#This Row],[Etapa Retiro - Atención]]),"")</f>
        <v/>
      </c>
      <c r="W471" s="11" t="str">
        <f>IFERROR(IF(MARÍTIMOS[[#This Row],[Etapa Retiro - Atención]]="","",MARÍTIMOS[[#This Row],[Etapa Retiro - Atención]]),"")</f>
        <v/>
      </c>
      <c r="X471" s="11" t="str">
        <f>IFERROR(IF(MARÍTIMOS[[#This Row],[Etapa Retiro - Inicio de Ruta]]="","",MARÍTIMOS[[#This Row],[Etapa Retiro - Inicio de Ruta]]),"")</f>
        <v/>
      </c>
      <c r="Y471" s="11" t="str">
        <f>IFERROR(IF(MARÍTIMOS[[#This Row],[Hora de Posicionamiento]]="","",MARÍTIMOS[[#This Row],[Fecha de Carga]]+MARÍTIMOS[[#This Row],[Hora de Posicionamiento]]),"")</f>
        <v/>
      </c>
      <c r="Z471" s="11" t="str">
        <f>IFERROR(IF(MARÍTIMOS[[#This Row],[Etapa Despacho - Llegada]]="","",MARÍTIMOS[[#This Row],[Etapa Despacho - Llegada]]),"")</f>
        <v/>
      </c>
      <c r="AA471" s="11" t="str">
        <f>IFERROR(IF(MARÍTIMOS[[#This Row],[Etapa Despacho - Registro]]="","",MARÍTIMOS[[#This Row],[Etapa Despacho - Registro]]),"")</f>
        <v/>
      </c>
      <c r="AB471" s="11" t="str">
        <f>IFERROR(IF(MARÍTIMOS[[#This Row],[Inspección Externa]]="","",MARÍTIMOS[[#This Row],[Inspección Externa]]),"")</f>
        <v/>
      </c>
      <c r="AC471" s="11" t="str">
        <f>IFERROR(IF(MARÍTIMOS[[#This Row],[Etapa Despacho - Inicio de Carga]]="","",MARÍTIMOS[[#This Row],[Etapa Despacho - Inicio de Carga]]),"")</f>
        <v/>
      </c>
      <c r="AD471" s="11" t="str">
        <f>IFERROR(IF(MARÍTIMOS[[#This Row],[Etapa Despacho - Mitad de Carga]]="","",MARÍTIMOS[[#This Row],[Etapa Despacho - Mitad de Carga]]),"")</f>
        <v/>
      </c>
      <c r="AE471" s="11" t="str">
        <f>IFERROR(IF(MARÍTIMOS[[#This Row],[Etapa Despacho - Fin de Carga]]="","",MARÍTIMOS[[#This Row],[Etapa Despacho - Fin de Carga]]),"")</f>
        <v/>
      </c>
      <c r="AF471" s="2" t="str">
        <f>IFERROR(IF(MARÍTIMOS[[#This Row],[Puerto de Embarque]]="","",MARÍTIMOS[[#This Row],[Puerto de Embarque]]),"")</f>
        <v/>
      </c>
      <c r="AG471" s="2" t="str">
        <f>IFERROR(IF(MARÍTIMOS[[#This Row],[Almacén de Ingreso]]="","",MARÍTIMOS[[#This Row],[Almacén de Ingreso]]),"")</f>
        <v/>
      </c>
      <c r="AH471" s="11" t="str">
        <f>IFERROR(IF(MARÍTIMOS[[#This Row],[Etapa Ingreso - Cita]]="","",MARÍTIMOS[[#This Row],[Etapa Ingreso - Cita]]),"")</f>
        <v/>
      </c>
      <c r="AI471" s="11" t="str">
        <f>IFERROR(IF(MARÍTIMOS[[#This Row],[Etapa Ingreso - Llegada]]="","",MARÍTIMOS[[#This Row],[Etapa Ingreso - Llegada]]),"")</f>
        <v/>
      </c>
      <c r="AJ471" s="11" t="str">
        <f>IFERROR(IF(MARÍTIMOS[[#This Row],[Etapa Ingreso - Ingeso]]="","",MARÍTIMOS[[#This Row],[Etapa Ingreso - Ingeso]]),"")</f>
        <v/>
      </c>
      <c r="AK471" s="11" t="str">
        <f>IFERROR(IF(MARÍTIMOS[[#This Row],[Etapa Ingreso - Atención]]="","",MARÍTIMOS[[#This Row],[Etapa Ingreso - Atención]]),"")</f>
        <v/>
      </c>
      <c r="AL471" s="11" t="str">
        <f>IFERROR(IF(MARÍTIMOS[[#This Row],[Etapa Ingreso - Salida]]="","",MARÍTIMOS[[#This Row],[Etapa Ingreso - Salida]]),"")</f>
        <v/>
      </c>
      <c r="AM471" s="2" t="str">
        <f>IFERROR(IF(MARÍTIMOS[[#This Row],[FCL]]="","",MARÍTIMOS[[#This Row],[FCL]]),"")</f>
        <v/>
      </c>
      <c r="AN4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1" s="4" t="str" cm="1">
        <f t="array" ref="AO4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1" s="5" t="str">
        <f>IFERROR(OLDBD[[#This Row],[Llegada a packing]]-OLDBD[[#This Row],[Inicio de Ruta]],"")</f>
        <v/>
      </c>
      <c r="AQ471" s="6" t="str">
        <f>IFERROR(OLDBD[[#This Row],[Inicio de Ruta]]-OLDBD[[#This Row],[Salida de almacén de retiro]],"")</f>
        <v/>
      </c>
      <c r="AR4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1" s="8" t="str" cm="1">
        <f t="array" ref="AS4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1" s="9" t="str">
        <f>IFERROR(OLDBD[[#This Row],[Ingreso Packing]]-OLDBD[[#This Row],[Registro en Packing]],"")</f>
        <v/>
      </c>
      <c r="AV471" s="9" t="str">
        <f>IFERROR(OLDBD[[#This Row],[Ingreso Packing]]-OLDBD[[#This Row],[Llegada a packing]],"")</f>
        <v/>
      </c>
      <c r="AW4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1" s="5" t="str">
        <f>IFERROR(OLDBD[[#This Row],[Llegada Almacén de Ingreso]]-OLDBD[[#This Row],[Salida Packing]],"")</f>
        <v/>
      </c>
      <c r="AY471" s="4" t="str" cm="1">
        <f t="array" ref="AY4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1" s="43" t="s">
        <v>173</v>
      </c>
      <c r="BB471" s="47" t="str">
        <f>IFERROR(IF(MARÍTIMOS[[#This Row],[Estatus]]="","",MARÍTIMOS[[#This Row],[Estatus]]),"")</f>
        <v/>
      </c>
      <c r="BC471" s="43"/>
      <c r="BD471" s="46" t="str">
        <f>IFERROR(OLDBD[[#This Row],[Salida de almacén de retiro]]-OLDBD[[#This Row],[Ingreso Almacén de retiro]],"")</f>
        <v/>
      </c>
      <c r="BE471" s="46" t="str">
        <f>IFERROR(OLDBD[[#This Row],[Fin de Carga]]-OLDBD[[#This Row],[Inicio de Carga]],"")</f>
        <v/>
      </c>
    </row>
    <row r="472" spans="1:57" customFormat="1" hidden="1">
      <c r="A472" s="1"/>
      <c r="B472" s="1" t="str">
        <f>IFERROR(IF(MARÍTIMOS[[#This Row],[PP]]="","",MARÍTIMOS[[#This Row],[PP]]),"")</f>
        <v/>
      </c>
      <c r="C472" s="1" t="str">
        <f>IFERROR(IF(MARÍTIMOS[[#This Row],[Sede]]="","",MARÍTIMOS[[#This Row],[Sede]]),"")</f>
        <v/>
      </c>
      <c r="D472" s="1" t="str">
        <f>IFERROR(IF(MARÍTIMOS[[#This Row],[Instruction]]="","",MARÍTIMOS[[#This Row],[Instruction]]),"")</f>
        <v/>
      </c>
      <c r="E472" s="1"/>
      <c r="F472" s="2" t="str">
        <f>IFERROR(IF(MARÍTIMOS[[#This Row],[Transportista]]="","",MARÍTIMOS[[#This Row],[Transportista]]),"")</f>
        <v/>
      </c>
      <c r="G472" s="2" t="str">
        <f>IFERROR(IF(MARÍTIMOS[[#This Row],[Tercero]]="","",MARÍTIMOS[[#This Row],[Tercero]]),"")</f>
        <v/>
      </c>
      <c r="H472" s="2" t="str">
        <f>IFERROR(IF(MARÍTIMOS[[#This Row],[Razón Social]]="","",MARÍTIMOS[[#This Row],[Razón Social]]),"")</f>
        <v/>
      </c>
      <c r="I472" s="2" t="str">
        <f>IFERROR(IF(MARÍTIMOS[[#This Row],[RUC]]="","",MARÍTIMOS[[#This Row],[RUC]]),"")</f>
        <v/>
      </c>
      <c r="J472" s="2" t="str">
        <f>IFERROR(IF(MARÍTIMOS[[#This Row],[Placa Tracto]]="","",MARÍTIMOS[[#This Row],[Placa Tracto]]),"")</f>
        <v/>
      </c>
      <c r="K472" s="2" t="str">
        <f>IFERROR(IF(MARÍTIMOS[[#This Row],[Placa Carreta]]="","",MARÍTIMOS[[#This Row],[Placa Carreta]]),"")</f>
        <v/>
      </c>
      <c r="L472" s="44" t="str">
        <f>IFERROR(IF(MARÍTIMOS[[#This Row],[Conductor]]="","",MARÍTIMOS[[#This Row],[Conductor]]),"")</f>
        <v/>
      </c>
      <c r="M472" s="2" t="str">
        <f>IFERROR(IF(MARÍTIMOS[[#This Row],[Licencia]]="","",MARÍTIMOS[[#This Row],[Licencia]]),"")</f>
        <v/>
      </c>
      <c r="N472" s="2" t="str">
        <f>IFERROR(IF(MARÍTIMOS[[#This Row],[Número de Contacto]]="","",MARÍTIMOS[[#This Row],[Número de Contacto]]),"")</f>
        <v/>
      </c>
      <c r="O472" s="10" t="str">
        <f>IFERROR(IF(MARÍTIMOS[[#This Row],[Booking|AWB|CRT]]="","",MARÍTIMOS[[#This Row],[Booking|AWB|CRT]]),"")</f>
        <v/>
      </c>
      <c r="P472" s="2" t="str">
        <f>IFERROR(IF(MARÍTIMOS[[#This Row],[Contenedor]]="","",MARÍTIMOS[[#This Row],[Contenedor]]),"")</f>
        <v/>
      </c>
      <c r="Q472" s="2" t="str">
        <f>IFERROR(IF(MARÍTIMOS[[#This Row],[Puerto de Retiro]]="","",MARÍTIMOS[[#This Row],[Puerto de Retiro]]),"")</f>
        <v/>
      </c>
      <c r="R472" s="2" t="str">
        <f>IFERROR(IF(MARÍTIMOS[[#This Row],[Almacén de Retiro]]="","",MARÍTIMOS[[#This Row],[Almacén de Retiro]]),"")</f>
        <v/>
      </c>
      <c r="S472" s="11" t="str">
        <f>IFERROR(IF(MARÍTIMOS[[#This Row],[Etapa Retiro - Cita]]="","",MARÍTIMOS[[#This Row],[Etapa Retiro - Cita]]),"")</f>
        <v/>
      </c>
      <c r="T472" s="11" t="str">
        <f>IFERROR(IF(MARÍTIMOS[[#This Row],[Etapa Retiro - Llegada]]="","",MARÍTIMOS[[#This Row],[Etapa Retiro - Llegada]]),"")</f>
        <v/>
      </c>
      <c r="U472" s="11" t="str">
        <f>IFERROR(IF(MARÍTIMOS[[#This Row],[Etapa Retiro - Ingreso]]="","",MARÍTIMOS[[#This Row],[Etapa Retiro - Ingreso]]),"")</f>
        <v/>
      </c>
      <c r="V472" s="11" t="str">
        <f>IFERROR(IF(MARÍTIMOS[[#This Row],[Etapa Retiro - Atención]]="","",MARÍTIMOS[[#This Row],[Etapa Retiro - Atención]]),"")</f>
        <v/>
      </c>
      <c r="W472" s="11" t="str">
        <f>IFERROR(IF(MARÍTIMOS[[#This Row],[Etapa Retiro - Atención]]="","",MARÍTIMOS[[#This Row],[Etapa Retiro - Atención]]),"")</f>
        <v/>
      </c>
      <c r="X472" s="11" t="str">
        <f>IFERROR(IF(MARÍTIMOS[[#This Row],[Etapa Retiro - Inicio de Ruta]]="","",MARÍTIMOS[[#This Row],[Etapa Retiro - Inicio de Ruta]]),"")</f>
        <v/>
      </c>
      <c r="Y472" s="11" t="str">
        <f>IFERROR(IF(MARÍTIMOS[[#This Row],[Hora de Posicionamiento]]="","",MARÍTIMOS[[#This Row],[Fecha de Carga]]+MARÍTIMOS[[#This Row],[Hora de Posicionamiento]]),"")</f>
        <v/>
      </c>
      <c r="Z472" s="11" t="str">
        <f>IFERROR(IF(MARÍTIMOS[[#This Row],[Etapa Despacho - Llegada]]="","",MARÍTIMOS[[#This Row],[Etapa Despacho - Llegada]]),"")</f>
        <v/>
      </c>
      <c r="AA472" s="11" t="str">
        <f>IFERROR(IF(MARÍTIMOS[[#This Row],[Etapa Despacho - Registro]]="","",MARÍTIMOS[[#This Row],[Etapa Despacho - Registro]]),"")</f>
        <v/>
      </c>
      <c r="AB472" s="11" t="str">
        <f>IFERROR(IF(MARÍTIMOS[[#This Row],[Inspección Externa]]="","",MARÍTIMOS[[#This Row],[Inspección Externa]]),"")</f>
        <v/>
      </c>
      <c r="AC472" s="11" t="str">
        <f>IFERROR(IF(MARÍTIMOS[[#This Row],[Etapa Despacho - Inicio de Carga]]="","",MARÍTIMOS[[#This Row],[Etapa Despacho - Inicio de Carga]]),"")</f>
        <v/>
      </c>
      <c r="AD472" s="11" t="str">
        <f>IFERROR(IF(MARÍTIMOS[[#This Row],[Etapa Despacho - Mitad de Carga]]="","",MARÍTIMOS[[#This Row],[Etapa Despacho - Mitad de Carga]]),"")</f>
        <v/>
      </c>
      <c r="AE472" s="11" t="str">
        <f>IFERROR(IF(MARÍTIMOS[[#This Row],[Etapa Despacho - Fin de Carga]]="","",MARÍTIMOS[[#This Row],[Etapa Despacho - Fin de Carga]]),"")</f>
        <v/>
      </c>
      <c r="AF472" s="2" t="str">
        <f>IFERROR(IF(MARÍTIMOS[[#This Row],[Puerto de Embarque]]="","",MARÍTIMOS[[#This Row],[Puerto de Embarque]]),"")</f>
        <v/>
      </c>
      <c r="AG472" s="2" t="str">
        <f>IFERROR(IF(MARÍTIMOS[[#This Row],[Almacén de Ingreso]]="","",MARÍTIMOS[[#This Row],[Almacén de Ingreso]]),"")</f>
        <v/>
      </c>
      <c r="AH472" s="11" t="str">
        <f>IFERROR(IF(MARÍTIMOS[[#This Row],[Etapa Ingreso - Cita]]="","",MARÍTIMOS[[#This Row],[Etapa Ingreso - Cita]]),"")</f>
        <v/>
      </c>
      <c r="AI472" s="11" t="str">
        <f>IFERROR(IF(MARÍTIMOS[[#This Row],[Etapa Ingreso - Llegada]]="","",MARÍTIMOS[[#This Row],[Etapa Ingreso - Llegada]]),"")</f>
        <v/>
      </c>
      <c r="AJ472" s="11" t="str">
        <f>IFERROR(IF(MARÍTIMOS[[#This Row],[Etapa Ingreso - Ingeso]]="","",MARÍTIMOS[[#This Row],[Etapa Ingreso - Ingeso]]),"")</f>
        <v/>
      </c>
      <c r="AK472" s="11" t="str">
        <f>IFERROR(IF(MARÍTIMOS[[#This Row],[Etapa Ingreso - Atención]]="","",MARÍTIMOS[[#This Row],[Etapa Ingreso - Atención]]),"")</f>
        <v/>
      </c>
      <c r="AL472" s="11" t="str">
        <f>IFERROR(IF(MARÍTIMOS[[#This Row],[Etapa Ingreso - Salida]]="","",MARÍTIMOS[[#This Row],[Etapa Ingreso - Salida]]),"")</f>
        <v/>
      </c>
      <c r="AM472" s="2" t="str">
        <f>IFERROR(IF(MARÍTIMOS[[#This Row],[FCL]]="","",MARÍTIMOS[[#This Row],[FCL]]),"")</f>
        <v/>
      </c>
      <c r="AN4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2" s="4" t="str" cm="1">
        <f t="array" ref="AO4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2" s="5" t="str">
        <f>IFERROR(OLDBD[[#This Row],[Llegada a packing]]-OLDBD[[#This Row],[Inicio de Ruta]],"")</f>
        <v/>
      </c>
      <c r="AQ472" s="6" t="str">
        <f>IFERROR(OLDBD[[#This Row],[Inicio de Ruta]]-OLDBD[[#This Row],[Salida de almacén de retiro]],"")</f>
        <v/>
      </c>
      <c r="AR4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2" s="8" t="str" cm="1">
        <f t="array" ref="AS4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2" s="9" t="str">
        <f>IFERROR(OLDBD[[#This Row],[Ingreso Packing]]-OLDBD[[#This Row],[Registro en Packing]],"")</f>
        <v/>
      </c>
      <c r="AV472" s="9" t="str">
        <f>IFERROR(OLDBD[[#This Row],[Ingreso Packing]]-OLDBD[[#This Row],[Llegada a packing]],"")</f>
        <v/>
      </c>
      <c r="AW4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2" s="5" t="str">
        <f>IFERROR(OLDBD[[#This Row],[Llegada Almacén de Ingreso]]-OLDBD[[#This Row],[Salida Packing]],"")</f>
        <v/>
      </c>
      <c r="AY472" s="4" t="str" cm="1">
        <f t="array" ref="AY4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2" s="43" t="s">
        <v>173</v>
      </c>
      <c r="BB472" s="47" t="str">
        <f>IFERROR(IF(MARÍTIMOS[[#This Row],[Estatus]]="","",MARÍTIMOS[[#This Row],[Estatus]]),"")</f>
        <v/>
      </c>
      <c r="BC472" s="43"/>
      <c r="BD472" s="46" t="str">
        <f>IFERROR(OLDBD[[#This Row],[Salida de almacén de retiro]]-OLDBD[[#This Row],[Ingreso Almacén de retiro]],"")</f>
        <v/>
      </c>
      <c r="BE472" s="46" t="str">
        <f>IFERROR(OLDBD[[#This Row],[Fin de Carga]]-OLDBD[[#This Row],[Inicio de Carga]],"")</f>
        <v/>
      </c>
    </row>
    <row r="473" spans="1:57" customFormat="1" hidden="1">
      <c r="A473" s="1"/>
      <c r="B473" s="1" t="str">
        <f>IFERROR(IF(MARÍTIMOS[[#This Row],[PP]]="","",MARÍTIMOS[[#This Row],[PP]]),"")</f>
        <v/>
      </c>
      <c r="C473" s="1" t="str">
        <f>IFERROR(IF(MARÍTIMOS[[#This Row],[Sede]]="","",MARÍTIMOS[[#This Row],[Sede]]),"")</f>
        <v/>
      </c>
      <c r="D473" s="1" t="str">
        <f>IFERROR(IF(MARÍTIMOS[[#This Row],[Instruction]]="","",MARÍTIMOS[[#This Row],[Instruction]]),"")</f>
        <v/>
      </c>
      <c r="E473" s="1"/>
      <c r="F473" s="2" t="str">
        <f>IFERROR(IF(MARÍTIMOS[[#This Row],[Transportista]]="","",MARÍTIMOS[[#This Row],[Transportista]]),"")</f>
        <v/>
      </c>
      <c r="G473" s="2" t="str">
        <f>IFERROR(IF(MARÍTIMOS[[#This Row],[Tercero]]="","",MARÍTIMOS[[#This Row],[Tercero]]),"")</f>
        <v/>
      </c>
      <c r="H473" s="2" t="str">
        <f>IFERROR(IF(MARÍTIMOS[[#This Row],[Razón Social]]="","",MARÍTIMOS[[#This Row],[Razón Social]]),"")</f>
        <v/>
      </c>
      <c r="I473" s="2" t="str">
        <f>IFERROR(IF(MARÍTIMOS[[#This Row],[RUC]]="","",MARÍTIMOS[[#This Row],[RUC]]),"")</f>
        <v/>
      </c>
      <c r="J473" s="2" t="str">
        <f>IFERROR(IF(MARÍTIMOS[[#This Row],[Placa Tracto]]="","",MARÍTIMOS[[#This Row],[Placa Tracto]]),"")</f>
        <v/>
      </c>
      <c r="K473" s="2" t="str">
        <f>IFERROR(IF(MARÍTIMOS[[#This Row],[Placa Carreta]]="","",MARÍTIMOS[[#This Row],[Placa Carreta]]),"")</f>
        <v/>
      </c>
      <c r="L473" s="44" t="str">
        <f>IFERROR(IF(MARÍTIMOS[[#This Row],[Conductor]]="","",MARÍTIMOS[[#This Row],[Conductor]]),"")</f>
        <v/>
      </c>
      <c r="M473" s="2" t="str">
        <f>IFERROR(IF(MARÍTIMOS[[#This Row],[Licencia]]="","",MARÍTIMOS[[#This Row],[Licencia]]),"")</f>
        <v/>
      </c>
      <c r="N473" s="2" t="str">
        <f>IFERROR(IF(MARÍTIMOS[[#This Row],[Número de Contacto]]="","",MARÍTIMOS[[#This Row],[Número de Contacto]]),"")</f>
        <v/>
      </c>
      <c r="O473" s="10" t="str">
        <f>IFERROR(IF(MARÍTIMOS[[#This Row],[Booking|AWB|CRT]]="","",MARÍTIMOS[[#This Row],[Booking|AWB|CRT]]),"")</f>
        <v/>
      </c>
      <c r="P473" s="2" t="str">
        <f>IFERROR(IF(MARÍTIMOS[[#This Row],[Contenedor]]="","",MARÍTIMOS[[#This Row],[Contenedor]]),"")</f>
        <v/>
      </c>
      <c r="Q473" s="2" t="str">
        <f>IFERROR(IF(MARÍTIMOS[[#This Row],[Puerto de Retiro]]="","",MARÍTIMOS[[#This Row],[Puerto de Retiro]]),"")</f>
        <v/>
      </c>
      <c r="R473" s="2" t="str">
        <f>IFERROR(IF(MARÍTIMOS[[#This Row],[Almacén de Retiro]]="","",MARÍTIMOS[[#This Row],[Almacén de Retiro]]),"")</f>
        <v/>
      </c>
      <c r="S473" s="11" t="str">
        <f>IFERROR(IF(MARÍTIMOS[[#This Row],[Etapa Retiro - Cita]]="","",MARÍTIMOS[[#This Row],[Etapa Retiro - Cita]]),"")</f>
        <v/>
      </c>
      <c r="T473" s="11" t="str">
        <f>IFERROR(IF(MARÍTIMOS[[#This Row],[Etapa Retiro - Llegada]]="","",MARÍTIMOS[[#This Row],[Etapa Retiro - Llegada]]),"")</f>
        <v/>
      </c>
      <c r="U473" s="11" t="str">
        <f>IFERROR(IF(MARÍTIMOS[[#This Row],[Etapa Retiro - Ingreso]]="","",MARÍTIMOS[[#This Row],[Etapa Retiro - Ingreso]]),"")</f>
        <v/>
      </c>
      <c r="V473" s="11" t="str">
        <f>IFERROR(IF(MARÍTIMOS[[#This Row],[Etapa Retiro - Atención]]="","",MARÍTIMOS[[#This Row],[Etapa Retiro - Atención]]),"")</f>
        <v/>
      </c>
      <c r="W473" s="11" t="str">
        <f>IFERROR(IF(MARÍTIMOS[[#This Row],[Etapa Retiro - Atención]]="","",MARÍTIMOS[[#This Row],[Etapa Retiro - Atención]]),"")</f>
        <v/>
      </c>
      <c r="X473" s="11" t="str">
        <f>IFERROR(IF(MARÍTIMOS[[#This Row],[Etapa Retiro - Inicio de Ruta]]="","",MARÍTIMOS[[#This Row],[Etapa Retiro - Inicio de Ruta]]),"")</f>
        <v/>
      </c>
      <c r="Y473" s="11" t="str">
        <f>IFERROR(IF(MARÍTIMOS[[#This Row],[Hora de Posicionamiento]]="","",MARÍTIMOS[[#This Row],[Fecha de Carga]]+MARÍTIMOS[[#This Row],[Hora de Posicionamiento]]),"")</f>
        <v/>
      </c>
      <c r="Z473" s="11" t="str">
        <f>IFERROR(IF(MARÍTIMOS[[#This Row],[Etapa Despacho - Llegada]]="","",MARÍTIMOS[[#This Row],[Etapa Despacho - Llegada]]),"")</f>
        <v/>
      </c>
      <c r="AA473" s="11" t="str">
        <f>IFERROR(IF(MARÍTIMOS[[#This Row],[Etapa Despacho - Registro]]="","",MARÍTIMOS[[#This Row],[Etapa Despacho - Registro]]),"")</f>
        <v/>
      </c>
      <c r="AB473" s="11" t="str">
        <f>IFERROR(IF(MARÍTIMOS[[#This Row],[Inspección Externa]]="","",MARÍTIMOS[[#This Row],[Inspección Externa]]),"")</f>
        <v/>
      </c>
      <c r="AC473" s="11" t="str">
        <f>IFERROR(IF(MARÍTIMOS[[#This Row],[Etapa Despacho - Inicio de Carga]]="","",MARÍTIMOS[[#This Row],[Etapa Despacho - Inicio de Carga]]),"")</f>
        <v/>
      </c>
      <c r="AD473" s="11" t="str">
        <f>IFERROR(IF(MARÍTIMOS[[#This Row],[Etapa Despacho - Mitad de Carga]]="","",MARÍTIMOS[[#This Row],[Etapa Despacho - Mitad de Carga]]),"")</f>
        <v/>
      </c>
      <c r="AE473" s="11" t="str">
        <f>IFERROR(IF(MARÍTIMOS[[#This Row],[Etapa Despacho - Fin de Carga]]="","",MARÍTIMOS[[#This Row],[Etapa Despacho - Fin de Carga]]),"")</f>
        <v/>
      </c>
      <c r="AF473" s="2" t="str">
        <f>IFERROR(IF(MARÍTIMOS[[#This Row],[Puerto de Embarque]]="","",MARÍTIMOS[[#This Row],[Puerto de Embarque]]),"")</f>
        <v/>
      </c>
      <c r="AG473" s="2" t="str">
        <f>IFERROR(IF(MARÍTIMOS[[#This Row],[Almacén de Ingreso]]="","",MARÍTIMOS[[#This Row],[Almacén de Ingreso]]),"")</f>
        <v/>
      </c>
      <c r="AH473" s="11" t="str">
        <f>IFERROR(IF(MARÍTIMOS[[#This Row],[Etapa Ingreso - Cita]]="","",MARÍTIMOS[[#This Row],[Etapa Ingreso - Cita]]),"")</f>
        <v/>
      </c>
      <c r="AI473" s="11" t="str">
        <f>IFERROR(IF(MARÍTIMOS[[#This Row],[Etapa Ingreso - Llegada]]="","",MARÍTIMOS[[#This Row],[Etapa Ingreso - Llegada]]),"")</f>
        <v/>
      </c>
      <c r="AJ473" s="11" t="str">
        <f>IFERROR(IF(MARÍTIMOS[[#This Row],[Etapa Ingreso - Ingeso]]="","",MARÍTIMOS[[#This Row],[Etapa Ingreso - Ingeso]]),"")</f>
        <v/>
      </c>
      <c r="AK473" s="11" t="str">
        <f>IFERROR(IF(MARÍTIMOS[[#This Row],[Etapa Ingreso - Atención]]="","",MARÍTIMOS[[#This Row],[Etapa Ingreso - Atención]]),"")</f>
        <v/>
      </c>
      <c r="AL473" s="11" t="str">
        <f>IFERROR(IF(MARÍTIMOS[[#This Row],[Etapa Ingreso - Salida]]="","",MARÍTIMOS[[#This Row],[Etapa Ingreso - Salida]]),"")</f>
        <v/>
      </c>
      <c r="AM473" s="2" t="str">
        <f>IFERROR(IF(MARÍTIMOS[[#This Row],[FCL]]="","",MARÍTIMOS[[#This Row],[FCL]]),"")</f>
        <v/>
      </c>
      <c r="AN4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3" s="4" t="str" cm="1">
        <f t="array" ref="AO4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3" s="5" t="str">
        <f>IFERROR(OLDBD[[#This Row],[Llegada a packing]]-OLDBD[[#This Row],[Inicio de Ruta]],"")</f>
        <v/>
      </c>
      <c r="AQ473" s="6" t="str">
        <f>IFERROR(OLDBD[[#This Row],[Inicio de Ruta]]-OLDBD[[#This Row],[Salida de almacén de retiro]],"")</f>
        <v/>
      </c>
      <c r="AR4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3" s="8" t="str" cm="1">
        <f t="array" ref="AS4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3" s="9" t="str">
        <f>IFERROR(OLDBD[[#This Row],[Ingreso Packing]]-OLDBD[[#This Row],[Registro en Packing]],"")</f>
        <v/>
      </c>
      <c r="AV473" s="9" t="str">
        <f>IFERROR(OLDBD[[#This Row],[Ingreso Packing]]-OLDBD[[#This Row],[Llegada a packing]],"")</f>
        <v/>
      </c>
      <c r="AW4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3" s="5" t="str">
        <f>IFERROR(OLDBD[[#This Row],[Llegada Almacén de Ingreso]]-OLDBD[[#This Row],[Salida Packing]],"")</f>
        <v/>
      </c>
      <c r="AY473" s="4" t="str" cm="1">
        <f t="array" ref="AY4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3" s="43" t="s">
        <v>173</v>
      </c>
      <c r="BB473" s="47" t="str">
        <f>IFERROR(IF(MARÍTIMOS[[#This Row],[Estatus]]="","",MARÍTIMOS[[#This Row],[Estatus]]),"")</f>
        <v/>
      </c>
      <c r="BC473" s="43"/>
      <c r="BD473" s="46" t="str">
        <f>IFERROR(OLDBD[[#This Row],[Salida de almacén de retiro]]-OLDBD[[#This Row],[Ingreso Almacén de retiro]],"")</f>
        <v/>
      </c>
      <c r="BE473" s="46" t="str">
        <f>IFERROR(OLDBD[[#This Row],[Fin de Carga]]-OLDBD[[#This Row],[Inicio de Carga]],"")</f>
        <v/>
      </c>
    </row>
    <row r="474" spans="1:57" customFormat="1" hidden="1">
      <c r="A474" s="1"/>
      <c r="B474" s="1" t="str">
        <f>IFERROR(IF(MARÍTIMOS[[#This Row],[PP]]="","",MARÍTIMOS[[#This Row],[PP]]),"")</f>
        <v/>
      </c>
      <c r="C474" s="1" t="str">
        <f>IFERROR(IF(MARÍTIMOS[[#This Row],[Sede]]="","",MARÍTIMOS[[#This Row],[Sede]]),"")</f>
        <v/>
      </c>
      <c r="D474" s="1" t="str">
        <f>IFERROR(IF(MARÍTIMOS[[#This Row],[Instruction]]="","",MARÍTIMOS[[#This Row],[Instruction]]),"")</f>
        <v/>
      </c>
      <c r="E474" s="1"/>
      <c r="F474" s="2" t="str">
        <f>IFERROR(IF(MARÍTIMOS[[#This Row],[Transportista]]="","",MARÍTIMOS[[#This Row],[Transportista]]),"")</f>
        <v/>
      </c>
      <c r="G474" s="2" t="str">
        <f>IFERROR(IF(MARÍTIMOS[[#This Row],[Tercero]]="","",MARÍTIMOS[[#This Row],[Tercero]]),"")</f>
        <v/>
      </c>
      <c r="H474" s="2" t="str">
        <f>IFERROR(IF(MARÍTIMOS[[#This Row],[Razón Social]]="","",MARÍTIMOS[[#This Row],[Razón Social]]),"")</f>
        <v/>
      </c>
      <c r="I474" s="2" t="str">
        <f>IFERROR(IF(MARÍTIMOS[[#This Row],[RUC]]="","",MARÍTIMOS[[#This Row],[RUC]]),"")</f>
        <v/>
      </c>
      <c r="J474" s="2" t="str">
        <f>IFERROR(IF(MARÍTIMOS[[#This Row],[Placa Tracto]]="","",MARÍTIMOS[[#This Row],[Placa Tracto]]),"")</f>
        <v/>
      </c>
      <c r="K474" s="2" t="str">
        <f>IFERROR(IF(MARÍTIMOS[[#This Row],[Placa Carreta]]="","",MARÍTIMOS[[#This Row],[Placa Carreta]]),"")</f>
        <v/>
      </c>
      <c r="L474" s="44" t="str">
        <f>IFERROR(IF(MARÍTIMOS[[#This Row],[Conductor]]="","",MARÍTIMOS[[#This Row],[Conductor]]),"")</f>
        <v/>
      </c>
      <c r="M474" s="2" t="str">
        <f>IFERROR(IF(MARÍTIMOS[[#This Row],[Licencia]]="","",MARÍTIMOS[[#This Row],[Licencia]]),"")</f>
        <v/>
      </c>
      <c r="N474" s="2" t="str">
        <f>IFERROR(IF(MARÍTIMOS[[#This Row],[Número de Contacto]]="","",MARÍTIMOS[[#This Row],[Número de Contacto]]),"")</f>
        <v/>
      </c>
      <c r="O474" s="10" t="str">
        <f>IFERROR(IF(MARÍTIMOS[[#This Row],[Booking|AWB|CRT]]="","",MARÍTIMOS[[#This Row],[Booking|AWB|CRT]]),"")</f>
        <v/>
      </c>
      <c r="P474" s="2" t="str">
        <f>IFERROR(IF(MARÍTIMOS[[#This Row],[Contenedor]]="","",MARÍTIMOS[[#This Row],[Contenedor]]),"")</f>
        <v/>
      </c>
      <c r="Q474" s="2" t="str">
        <f>IFERROR(IF(MARÍTIMOS[[#This Row],[Puerto de Retiro]]="","",MARÍTIMOS[[#This Row],[Puerto de Retiro]]),"")</f>
        <v/>
      </c>
      <c r="R474" s="2" t="str">
        <f>IFERROR(IF(MARÍTIMOS[[#This Row],[Almacén de Retiro]]="","",MARÍTIMOS[[#This Row],[Almacén de Retiro]]),"")</f>
        <v/>
      </c>
      <c r="S474" s="11" t="str">
        <f>IFERROR(IF(MARÍTIMOS[[#This Row],[Etapa Retiro - Cita]]="","",MARÍTIMOS[[#This Row],[Etapa Retiro - Cita]]),"")</f>
        <v/>
      </c>
      <c r="T474" s="11" t="str">
        <f>IFERROR(IF(MARÍTIMOS[[#This Row],[Etapa Retiro - Llegada]]="","",MARÍTIMOS[[#This Row],[Etapa Retiro - Llegada]]),"")</f>
        <v/>
      </c>
      <c r="U474" s="11" t="str">
        <f>IFERROR(IF(MARÍTIMOS[[#This Row],[Etapa Retiro - Ingreso]]="","",MARÍTIMOS[[#This Row],[Etapa Retiro - Ingreso]]),"")</f>
        <v/>
      </c>
      <c r="V474" s="11" t="str">
        <f>IFERROR(IF(MARÍTIMOS[[#This Row],[Etapa Retiro - Atención]]="","",MARÍTIMOS[[#This Row],[Etapa Retiro - Atención]]),"")</f>
        <v/>
      </c>
      <c r="W474" s="11" t="str">
        <f>IFERROR(IF(MARÍTIMOS[[#This Row],[Etapa Retiro - Atención]]="","",MARÍTIMOS[[#This Row],[Etapa Retiro - Atención]]),"")</f>
        <v/>
      </c>
      <c r="X474" s="11" t="str">
        <f>IFERROR(IF(MARÍTIMOS[[#This Row],[Etapa Retiro - Inicio de Ruta]]="","",MARÍTIMOS[[#This Row],[Etapa Retiro - Inicio de Ruta]]),"")</f>
        <v/>
      </c>
      <c r="Y474" s="11" t="str">
        <f>IFERROR(IF(MARÍTIMOS[[#This Row],[Hora de Posicionamiento]]="","",MARÍTIMOS[[#This Row],[Fecha de Carga]]+MARÍTIMOS[[#This Row],[Hora de Posicionamiento]]),"")</f>
        <v/>
      </c>
      <c r="Z474" s="11" t="str">
        <f>IFERROR(IF(MARÍTIMOS[[#This Row],[Etapa Despacho - Llegada]]="","",MARÍTIMOS[[#This Row],[Etapa Despacho - Llegada]]),"")</f>
        <v/>
      </c>
      <c r="AA474" s="11" t="str">
        <f>IFERROR(IF(MARÍTIMOS[[#This Row],[Etapa Despacho - Registro]]="","",MARÍTIMOS[[#This Row],[Etapa Despacho - Registro]]),"")</f>
        <v/>
      </c>
      <c r="AB474" s="11" t="str">
        <f>IFERROR(IF(MARÍTIMOS[[#This Row],[Inspección Externa]]="","",MARÍTIMOS[[#This Row],[Inspección Externa]]),"")</f>
        <v/>
      </c>
      <c r="AC474" s="11" t="str">
        <f>IFERROR(IF(MARÍTIMOS[[#This Row],[Etapa Despacho - Inicio de Carga]]="","",MARÍTIMOS[[#This Row],[Etapa Despacho - Inicio de Carga]]),"")</f>
        <v/>
      </c>
      <c r="AD474" s="11" t="str">
        <f>IFERROR(IF(MARÍTIMOS[[#This Row],[Etapa Despacho - Mitad de Carga]]="","",MARÍTIMOS[[#This Row],[Etapa Despacho - Mitad de Carga]]),"")</f>
        <v/>
      </c>
      <c r="AE474" s="11" t="str">
        <f>IFERROR(IF(MARÍTIMOS[[#This Row],[Etapa Despacho - Fin de Carga]]="","",MARÍTIMOS[[#This Row],[Etapa Despacho - Fin de Carga]]),"")</f>
        <v/>
      </c>
      <c r="AF474" s="2" t="str">
        <f>IFERROR(IF(MARÍTIMOS[[#This Row],[Puerto de Embarque]]="","",MARÍTIMOS[[#This Row],[Puerto de Embarque]]),"")</f>
        <v/>
      </c>
      <c r="AG474" s="2" t="str">
        <f>IFERROR(IF(MARÍTIMOS[[#This Row],[Almacén de Ingreso]]="","",MARÍTIMOS[[#This Row],[Almacén de Ingreso]]),"")</f>
        <v/>
      </c>
      <c r="AH474" s="11" t="str">
        <f>IFERROR(IF(MARÍTIMOS[[#This Row],[Etapa Ingreso - Cita]]="","",MARÍTIMOS[[#This Row],[Etapa Ingreso - Cita]]),"")</f>
        <v/>
      </c>
      <c r="AI474" s="11" t="str">
        <f>IFERROR(IF(MARÍTIMOS[[#This Row],[Etapa Ingreso - Llegada]]="","",MARÍTIMOS[[#This Row],[Etapa Ingreso - Llegada]]),"")</f>
        <v/>
      </c>
      <c r="AJ474" s="11" t="str">
        <f>IFERROR(IF(MARÍTIMOS[[#This Row],[Etapa Ingreso - Ingeso]]="","",MARÍTIMOS[[#This Row],[Etapa Ingreso - Ingeso]]),"")</f>
        <v/>
      </c>
      <c r="AK474" s="11" t="str">
        <f>IFERROR(IF(MARÍTIMOS[[#This Row],[Etapa Ingreso - Atención]]="","",MARÍTIMOS[[#This Row],[Etapa Ingreso - Atención]]),"")</f>
        <v/>
      </c>
      <c r="AL474" s="11" t="str">
        <f>IFERROR(IF(MARÍTIMOS[[#This Row],[Etapa Ingreso - Salida]]="","",MARÍTIMOS[[#This Row],[Etapa Ingreso - Salida]]),"")</f>
        <v/>
      </c>
      <c r="AM474" s="2" t="str">
        <f>IFERROR(IF(MARÍTIMOS[[#This Row],[FCL]]="","",MARÍTIMOS[[#This Row],[FCL]]),"")</f>
        <v/>
      </c>
      <c r="AN4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4" s="4" t="str" cm="1">
        <f t="array" ref="AO4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4" s="5" t="str">
        <f>IFERROR(OLDBD[[#This Row],[Llegada a packing]]-OLDBD[[#This Row],[Inicio de Ruta]],"")</f>
        <v/>
      </c>
      <c r="AQ474" s="6" t="str">
        <f>IFERROR(OLDBD[[#This Row],[Inicio de Ruta]]-OLDBD[[#This Row],[Salida de almacén de retiro]],"")</f>
        <v/>
      </c>
      <c r="AR4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4" s="8" t="str" cm="1">
        <f t="array" ref="AS4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4" s="9" t="str">
        <f>IFERROR(OLDBD[[#This Row],[Ingreso Packing]]-OLDBD[[#This Row],[Registro en Packing]],"")</f>
        <v/>
      </c>
      <c r="AV474" s="9" t="str">
        <f>IFERROR(OLDBD[[#This Row],[Ingreso Packing]]-OLDBD[[#This Row],[Llegada a packing]],"")</f>
        <v/>
      </c>
      <c r="AW4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4" s="5" t="str">
        <f>IFERROR(OLDBD[[#This Row],[Llegada Almacén de Ingreso]]-OLDBD[[#This Row],[Salida Packing]],"")</f>
        <v/>
      </c>
      <c r="AY474" s="4" t="str" cm="1">
        <f t="array" ref="AY4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4" s="43" t="s">
        <v>173</v>
      </c>
      <c r="BB474" s="47" t="str">
        <f>IFERROR(IF(MARÍTIMOS[[#This Row],[Estatus]]="","",MARÍTIMOS[[#This Row],[Estatus]]),"")</f>
        <v/>
      </c>
      <c r="BC474" s="43"/>
      <c r="BD474" s="46" t="str">
        <f>IFERROR(OLDBD[[#This Row],[Salida de almacén de retiro]]-OLDBD[[#This Row],[Ingreso Almacén de retiro]],"")</f>
        <v/>
      </c>
      <c r="BE474" s="46" t="str">
        <f>IFERROR(OLDBD[[#This Row],[Fin de Carga]]-OLDBD[[#This Row],[Inicio de Carga]],"")</f>
        <v/>
      </c>
    </row>
    <row r="475" spans="1:57" customFormat="1" hidden="1">
      <c r="A475" s="1"/>
      <c r="B475" s="1" t="str">
        <f>IFERROR(IF(MARÍTIMOS[[#This Row],[PP]]="","",MARÍTIMOS[[#This Row],[PP]]),"")</f>
        <v/>
      </c>
      <c r="C475" s="1" t="str">
        <f>IFERROR(IF(MARÍTIMOS[[#This Row],[Sede]]="","",MARÍTIMOS[[#This Row],[Sede]]),"")</f>
        <v/>
      </c>
      <c r="D475" s="1" t="str">
        <f>IFERROR(IF(MARÍTIMOS[[#This Row],[Instruction]]="","",MARÍTIMOS[[#This Row],[Instruction]]),"")</f>
        <v/>
      </c>
      <c r="E475" s="1"/>
      <c r="F475" s="2" t="str">
        <f>IFERROR(IF(MARÍTIMOS[[#This Row],[Transportista]]="","",MARÍTIMOS[[#This Row],[Transportista]]),"")</f>
        <v/>
      </c>
      <c r="G475" s="2" t="str">
        <f>IFERROR(IF(MARÍTIMOS[[#This Row],[Tercero]]="","",MARÍTIMOS[[#This Row],[Tercero]]),"")</f>
        <v/>
      </c>
      <c r="H475" s="2" t="str">
        <f>IFERROR(IF(MARÍTIMOS[[#This Row],[Razón Social]]="","",MARÍTIMOS[[#This Row],[Razón Social]]),"")</f>
        <v/>
      </c>
      <c r="I475" s="2" t="str">
        <f>IFERROR(IF(MARÍTIMOS[[#This Row],[RUC]]="","",MARÍTIMOS[[#This Row],[RUC]]),"")</f>
        <v/>
      </c>
      <c r="J475" s="2" t="str">
        <f>IFERROR(IF(MARÍTIMOS[[#This Row],[Placa Tracto]]="","",MARÍTIMOS[[#This Row],[Placa Tracto]]),"")</f>
        <v/>
      </c>
      <c r="K475" s="2" t="str">
        <f>IFERROR(IF(MARÍTIMOS[[#This Row],[Placa Carreta]]="","",MARÍTIMOS[[#This Row],[Placa Carreta]]),"")</f>
        <v/>
      </c>
      <c r="L475" s="44" t="str">
        <f>IFERROR(IF(MARÍTIMOS[[#This Row],[Conductor]]="","",MARÍTIMOS[[#This Row],[Conductor]]),"")</f>
        <v/>
      </c>
      <c r="M475" s="2" t="str">
        <f>IFERROR(IF(MARÍTIMOS[[#This Row],[Licencia]]="","",MARÍTIMOS[[#This Row],[Licencia]]),"")</f>
        <v/>
      </c>
      <c r="N475" s="2" t="str">
        <f>IFERROR(IF(MARÍTIMOS[[#This Row],[Número de Contacto]]="","",MARÍTIMOS[[#This Row],[Número de Contacto]]),"")</f>
        <v/>
      </c>
      <c r="O475" s="10" t="str">
        <f>IFERROR(IF(MARÍTIMOS[[#This Row],[Booking|AWB|CRT]]="","",MARÍTIMOS[[#This Row],[Booking|AWB|CRT]]),"")</f>
        <v/>
      </c>
      <c r="P475" s="2" t="str">
        <f>IFERROR(IF(MARÍTIMOS[[#This Row],[Contenedor]]="","",MARÍTIMOS[[#This Row],[Contenedor]]),"")</f>
        <v/>
      </c>
      <c r="Q475" s="2" t="str">
        <f>IFERROR(IF(MARÍTIMOS[[#This Row],[Puerto de Retiro]]="","",MARÍTIMOS[[#This Row],[Puerto de Retiro]]),"")</f>
        <v/>
      </c>
      <c r="R475" s="2" t="str">
        <f>IFERROR(IF(MARÍTIMOS[[#This Row],[Almacén de Retiro]]="","",MARÍTIMOS[[#This Row],[Almacén de Retiro]]),"")</f>
        <v/>
      </c>
      <c r="S475" s="11" t="str">
        <f>IFERROR(IF(MARÍTIMOS[[#This Row],[Etapa Retiro - Cita]]="","",MARÍTIMOS[[#This Row],[Etapa Retiro - Cita]]),"")</f>
        <v/>
      </c>
      <c r="T475" s="11" t="str">
        <f>IFERROR(IF(MARÍTIMOS[[#This Row],[Etapa Retiro - Llegada]]="","",MARÍTIMOS[[#This Row],[Etapa Retiro - Llegada]]),"")</f>
        <v/>
      </c>
      <c r="U475" s="11" t="str">
        <f>IFERROR(IF(MARÍTIMOS[[#This Row],[Etapa Retiro - Ingreso]]="","",MARÍTIMOS[[#This Row],[Etapa Retiro - Ingreso]]),"")</f>
        <v/>
      </c>
      <c r="V475" s="11" t="str">
        <f>IFERROR(IF(MARÍTIMOS[[#This Row],[Etapa Retiro - Atención]]="","",MARÍTIMOS[[#This Row],[Etapa Retiro - Atención]]),"")</f>
        <v/>
      </c>
      <c r="W475" s="11" t="str">
        <f>IFERROR(IF(MARÍTIMOS[[#This Row],[Etapa Retiro - Atención]]="","",MARÍTIMOS[[#This Row],[Etapa Retiro - Atención]]),"")</f>
        <v/>
      </c>
      <c r="X475" s="11" t="str">
        <f>IFERROR(IF(MARÍTIMOS[[#This Row],[Etapa Retiro - Inicio de Ruta]]="","",MARÍTIMOS[[#This Row],[Etapa Retiro - Inicio de Ruta]]),"")</f>
        <v/>
      </c>
      <c r="Y475" s="11" t="str">
        <f>IFERROR(IF(MARÍTIMOS[[#This Row],[Hora de Posicionamiento]]="","",MARÍTIMOS[[#This Row],[Fecha de Carga]]+MARÍTIMOS[[#This Row],[Hora de Posicionamiento]]),"")</f>
        <v/>
      </c>
      <c r="Z475" s="11" t="str">
        <f>IFERROR(IF(MARÍTIMOS[[#This Row],[Etapa Despacho - Llegada]]="","",MARÍTIMOS[[#This Row],[Etapa Despacho - Llegada]]),"")</f>
        <v/>
      </c>
      <c r="AA475" s="11" t="str">
        <f>IFERROR(IF(MARÍTIMOS[[#This Row],[Etapa Despacho - Registro]]="","",MARÍTIMOS[[#This Row],[Etapa Despacho - Registro]]),"")</f>
        <v/>
      </c>
      <c r="AB475" s="11" t="str">
        <f>IFERROR(IF(MARÍTIMOS[[#This Row],[Inspección Externa]]="","",MARÍTIMOS[[#This Row],[Inspección Externa]]),"")</f>
        <v/>
      </c>
      <c r="AC475" s="11" t="str">
        <f>IFERROR(IF(MARÍTIMOS[[#This Row],[Etapa Despacho - Inicio de Carga]]="","",MARÍTIMOS[[#This Row],[Etapa Despacho - Inicio de Carga]]),"")</f>
        <v/>
      </c>
      <c r="AD475" s="11" t="str">
        <f>IFERROR(IF(MARÍTIMOS[[#This Row],[Etapa Despacho - Mitad de Carga]]="","",MARÍTIMOS[[#This Row],[Etapa Despacho - Mitad de Carga]]),"")</f>
        <v/>
      </c>
      <c r="AE475" s="11" t="str">
        <f>IFERROR(IF(MARÍTIMOS[[#This Row],[Etapa Despacho - Fin de Carga]]="","",MARÍTIMOS[[#This Row],[Etapa Despacho - Fin de Carga]]),"")</f>
        <v/>
      </c>
      <c r="AF475" s="2" t="str">
        <f>IFERROR(IF(MARÍTIMOS[[#This Row],[Puerto de Embarque]]="","",MARÍTIMOS[[#This Row],[Puerto de Embarque]]),"")</f>
        <v/>
      </c>
      <c r="AG475" s="2" t="str">
        <f>IFERROR(IF(MARÍTIMOS[[#This Row],[Almacén de Ingreso]]="","",MARÍTIMOS[[#This Row],[Almacén de Ingreso]]),"")</f>
        <v/>
      </c>
      <c r="AH475" s="11" t="str">
        <f>IFERROR(IF(MARÍTIMOS[[#This Row],[Etapa Ingreso - Cita]]="","",MARÍTIMOS[[#This Row],[Etapa Ingreso - Cita]]),"")</f>
        <v/>
      </c>
      <c r="AI475" s="11" t="str">
        <f>IFERROR(IF(MARÍTIMOS[[#This Row],[Etapa Ingreso - Llegada]]="","",MARÍTIMOS[[#This Row],[Etapa Ingreso - Llegada]]),"")</f>
        <v/>
      </c>
      <c r="AJ475" s="11" t="str">
        <f>IFERROR(IF(MARÍTIMOS[[#This Row],[Etapa Ingreso - Ingeso]]="","",MARÍTIMOS[[#This Row],[Etapa Ingreso - Ingeso]]),"")</f>
        <v/>
      </c>
      <c r="AK475" s="11" t="str">
        <f>IFERROR(IF(MARÍTIMOS[[#This Row],[Etapa Ingreso - Atención]]="","",MARÍTIMOS[[#This Row],[Etapa Ingreso - Atención]]),"")</f>
        <v/>
      </c>
      <c r="AL475" s="11" t="str">
        <f>IFERROR(IF(MARÍTIMOS[[#This Row],[Etapa Ingreso - Salida]]="","",MARÍTIMOS[[#This Row],[Etapa Ingreso - Salida]]),"")</f>
        <v/>
      </c>
      <c r="AM475" s="2" t="str">
        <f>IFERROR(IF(MARÍTIMOS[[#This Row],[FCL]]="","",MARÍTIMOS[[#This Row],[FCL]]),"")</f>
        <v/>
      </c>
      <c r="AN4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5" s="4" t="str" cm="1">
        <f t="array" ref="AO4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5" s="5" t="str">
        <f>IFERROR(OLDBD[[#This Row],[Llegada a packing]]-OLDBD[[#This Row],[Inicio de Ruta]],"")</f>
        <v/>
      </c>
      <c r="AQ475" s="6" t="str">
        <f>IFERROR(OLDBD[[#This Row],[Inicio de Ruta]]-OLDBD[[#This Row],[Salida de almacén de retiro]],"")</f>
        <v/>
      </c>
      <c r="AR4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5" s="8" t="str" cm="1">
        <f t="array" ref="AS4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5" s="9" t="str">
        <f>IFERROR(OLDBD[[#This Row],[Ingreso Packing]]-OLDBD[[#This Row],[Registro en Packing]],"")</f>
        <v/>
      </c>
      <c r="AV475" s="9" t="str">
        <f>IFERROR(OLDBD[[#This Row],[Ingreso Packing]]-OLDBD[[#This Row],[Llegada a packing]],"")</f>
        <v/>
      </c>
      <c r="AW4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5" s="5" t="str">
        <f>IFERROR(OLDBD[[#This Row],[Llegada Almacén de Ingreso]]-OLDBD[[#This Row],[Salida Packing]],"")</f>
        <v/>
      </c>
      <c r="AY475" s="4" t="str" cm="1">
        <f t="array" ref="AY4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5" s="43" t="s">
        <v>173</v>
      </c>
      <c r="BB475" s="47" t="str">
        <f>IFERROR(IF(MARÍTIMOS[[#This Row],[Estatus]]="","",MARÍTIMOS[[#This Row],[Estatus]]),"")</f>
        <v/>
      </c>
      <c r="BC475" s="43"/>
      <c r="BD475" s="46" t="str">
        <f>IFERROR(OLDBD[[#This Row],[Salida de almacén de retiro]]-OLDBD[[#This Row],[Ingreso Almacén de retiro]],"")</f>
        <v/>
      </c>
      <c r="BE475" s="46" t="str">
        <f>IFERROR(OLDBD[[#This Row],[Fin de Carga]]-OLDBD[[#This Row],[Inicio de Carga]],"")</f>
        <v/>
      </c>
    </row>
    <row r="476" spans="1:57" customFormat="1" hidden="1">
      <c r="A476" s="1"/>
      <c r="B476" s="1" t="str">
        <f>IFERROR(IF(MARÍTIMOS[[#This Row],[PP]]="","",MARÍTIMOS[[#This Row],[PP]]),"")</f>
        <v/>
      </c>
      <c r="C476" s="1" t="str">
        <f>IFERROR(IF(MARÍTIMOS[[#This Row],[Sede]]="","",MARÍTIMOS[[#This Row],[Sede]]),"")</f>
        <v/>
      </c>
      <c r="D476" s="1" t="str">
        <f>IFERROR(IF(MARÍTIMOS[[#This Row],[Instruction]]="","",MARÍTIMOS[[#This Row],[Instruction]]),"")</f>
        <v/>
      </c>
      <c r="E476" s="1"/>
      <c r="F476" s="2" t="str">
        <f>IFERROR(IF(MARÍTIMOS[[#This Row],[Transportista]]="","",MARÍTIMOS[[#This Row],[Transportista]]),"")</f>
        <v/>
      </c>
      <c r="G476" s="2" t="str">
        <f>IFERROR(IF(MARÍTIMOS[[#This Row],[Tercero]]="","",MARÍTIMOS[[#This Row],[Tercero]]),"")</f>
        <v/>
      </c>
      <c r="H476" s="2" t="str">
        <f>IFERROR(IF(MARÍTIMOS[[#This Row],[Razón Social]]="","",MARÍTIMOS[[#This Row],[Razón Social]]),"")</f>
        <v/>
      </c>
      <c r="I476" s="2" t="str">
        <f>IFERROR(IF(MARÍTIMOS[[#This Row],[RUC]]="","",MARÍTIMOS[[#This Row],[RUC]]),"")</f>
        <v/>
      </c>
      <c r="J476" s="2" t="str">
        <f>IFERROR(IF(MARÍTIMOS[[#This Row],[Placa Tracto]]="","",MARÍTIMOS[[#This Row],[Placa Tracto]]),"")</f>
        <v/>
      </c>
      <c r="K476" s="2" t="str">
        <f>IFERROR(IF(MARÍTIMOS[[#This Row],[Placa Carreta]]="","",MARÍTIMOS[[#This Row],[Placa Carreta]]),"")</f>
        <v/>
      </c>
      <c r="L476" s="44" t="str">
        <f>IFERROR(IF(MARÍTIMOS[[#This Row],[Conductor]]="","",MARÍTIMOS[[#This Row],[Conductor]]),"")</f>
        <v/>
      </c>
      <c r="M476" s="2" t="str">
        <f>IFERROR(IF(MARÍTIMOS[[#This Row],[Licencia]]="","",MARÍTIMOS[[#This Row],[Licencia]]),"")</f>
        <v/>
      </c>
      <c r="N476" s="2" t="str">
        <f>IFERROR(IF(MARÍTIMOS[[#This Row],[Número de Contacto]]="","",MARÍTIMOS[[#This Row],[Número de Contacto]]),"")</f>
        <v/>
      </c>
      <c r="O476" s="10" t="str">
        <f>IFERROR(IF(MARÍTIMOS[[#This Row],[Booking|AWB|CRT]]="","",MARÍTIMOS[[#This Row],[Booking|AWB|CRT]]),"")</f>
        <v/>
      </c>
      <c r="P476" s="2" t="str">
        <f>IFERROR(IF(MARÍTIMOS[[#This Row],[Contenedor]]="","",MARÍTIMOS[[#This Row],[Contenedor]]),"")</f>
        <v/>
      </c>
      <c r="Q476" s="2" t="str">
        <f>IFERROR(IF(MARÍTIMOS[[#This Row],[Puerto de Retiro]]="","",MARÍTIMOS[[#This Row],[Puerto de Retiro]]),"")</f>
        <v/>
      </c>
      <c r="R476" s="2" t="str">
        <f>IFERROR(IF(MARÍTIMOS[[#This Row],[Almacén de Retiro]]="","",MARÍTIMOS[[#This Row],[Almacén de Retiro]]),"")</f>
        <v/>
      </c>
      <c r="S476" s="11" t="str">
        <f>IFERROR(IF(MARÍTIMOS[[#This Row],[Etapa Retiro - Cita]]="","",MARÍTIMOS[[#This Row],[Etapa Retiro - Cita]]),"")</f>
        <v/>
      </c>
      <c r="T476" s="11" t="str">
        <f>IFERROR(IF(MARÍTIMOS[[#This Row],[Etapa Retiro - Llegada]]="","",MARÍTIMOS[[#This Row],[Etapa Retiro - Llegada]]),"")</f>
        <v/>
      </c>
      <c r="U476" s="11" t="str">
        <f>IFERROR(IF(MARÍTIMOS[[#This Row],[Etapa Retiro - Ingreso]]="","",MARÍTIMOS[[#This Row],[Etapa Retiro - Ingreso]]),"")</f>
        <v/>
      </c>
      <c r="V476" s="11" t="str">
        <f>IFERROR(IF(MARÍTIMOS[[#This Row],[Etapa Retiro - Atención]]="","",MARÍTIMOS[[#This Row],[Etapa Retiro - Atención]]),"")</f>
        <v/>
      </c>
      <c r="W476" s="11" t="str">
        <f>IFERROR(IF(MARÍTIMOS[[#This Row],[Etapa Retiro - Atención]]="","",MARÍTIMOS[[#This Row],[Etapa Retiro - Atención]]),"")</f>
        <v/>
      </c>
      <c r="X476" s="11" t="str">
        <f>IFERROR(IF(MARÍTIMOS[[#This Row],[Etapa Retiro - Inicio de Ruta]]="","",MARÍTIMOS[[#This Row],[Etapa Retiro - Inicio de Ruta]]),"")</f>
        <v/>
      </c>
      <c r="Y476" s="11" t="str">
        <f>IFERROR(IF(MARÍTIMOS[[#This Row],[Hora de Posicionamiento]]="","",MARÍTIMOS[[#This Row],[Fecha de Carga]]+MARÍTIMOS[[#This Row],[Hora de Posicionamiento]]),"")</f>
        <v/>
      </c>
      <c r="Z476" s="11" t="str">
        <f>IFERROR(IF(MARÍTIMOS[[#This Row],[Etapa Despacho - Llegada]]="","",MARÍTIMOS[[#This Row],[Etapa Despacho - Llegada]]),"")</f>
        <v/>
      </c>
      <c r="AA476" s="11" t="str">
        <f>IFERROR(IF(MARÍTIMOS[[#This Row],[Etapa Despacho - Registro]]="","",MARÍTIMOS[[#This Row],[Etapa Despacho - Registro]]),"")</f>
        <v/>
      </c>
      <c r="AB476" s="11" t="str">
        <f>IFERROR(IF(MARÍTIMOS[[#This Row],[Inspección Externa]]="","",MARÍTIMOS[[#This Row],[Inspección Externa]]),"")</f>
        <v/>
      </c>
      <c r="AC476" s="11" t="str">
        <f>IFERROR(IF(MARÍTIMOS[[#This Row],[Etapa Despacho - Inicio de Carga]]="","",MARÍTIMOS[[#This Row],[Etapa Despacho - Inicio de Carga]]),"")</f>
        <v/>
      </c>
      <c r="AD476" s="11" t="str">
        <f>IFERROR(IF(MARÍTIMOS[[#This Row],[Etapa Despacho - Mitad de Carga]]="","",MARÍTIMOS[[#This Row],[Etapa Despacho - Mitad de Carga]]),"")</f>
        <v/>
      </c>
      <c r="AE476" s="11" t="str">
        <f>IFERROR(IF(MARÍTIMOS[[#This Row],[Etapa Despacho - Fin de Carga]]="","",MARÍTIMOS[[#This Row],[Etapa Despacho - Fin de Carga]]),"")</f>
        <v/>
      </c>
      <c r="AF476" s="2" t="str">
        <f>IFERROR(IF(MARÍTIMOS[[#This Row],[Puerto de Embarque]]="","",MARÍTIMOS[[#This Row],[Puerto de Embarque]]),"")</f>
        <v/>
      </c>
      <c r="AG476" s="2" t="str">
        <f>IFERROR(IF(MARÍTIMOS[[#This Row],[Almacén de Ingreso]]="","",MARÍTIMOS[[#This Row],[Almacén de Ingreso]]),"")</f>
        <v/>
      </c>
      <c r="AH476" s="11" t="str">
        <f>IFERROR(IF(MARÍTIMOS[[#This Row],[Etapa Ingreso - Cita]]="","",MARÍTIMOS[[#This Row],[Etapa Ingreso - Cita]]),"")</f>
        <v/>
      </c>
      <c r="AI476" s="11" t="str">
        <f>IFERROR(IF(MARÍTIMOS[[#This Row],[Etapa Ingreso - Llegada]]="","",MARÍTIMOS[[#This Row],[Etapa Ingreso - Llegada]]),"")</f>
        <v/>
      </c>
      <c r="AJ476" s="11" t="str">
        <f>IFERROR(IF(MARÍTIMOS[[#This Row],[Etapa Ingreso - Ingeso]]="","",MARÍTIMOS[[#This Row],[Etapa Ingreso - Ingeso]]),"")</f>
        <v/>
      </c>
      <c r="AK476" s="11" t="str">
        <f>IFERROR(IF(MARÍTIMOS[[#This Row],[Etapa Ingreso - Atención]]="","",MARÍTIMOS[[#This Row],[Etapa Ingreso - Atención]]),"")</f>
        <v/>
      </c>
      <c r="AL476" s="11" t="str">
        <f>IFERROR(IF(MARÍTIMOS[[#This Row],[Etapa Ingreso - Salida]]="","",MARÍTIMOS[[#This Row],[Etapa Ingreso - Salida]]),"")</f>
        <v/>
      </c>
      <c r="AM476" s="2" t="str">
        <f>IFERROR(IF(MARÍTIMOS[[#This Row],[FCL]]="","",MARÍTIMOS[[#This Row],[FCL]]),"")</f>
        <v/>
      </c>
      <c r="AN4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6" s="4" t="str" cm="1">
        <f t="array" ref="AO4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6" s="5" t="str">
        <f>IFERROR(OLDBD[[#This Row],[Llegada a packing]]-OLDBD[[#This Row],[Inicio de Ruta]],"")</f>
        <v/>
      </c>
      <c r="AQ476" s="6" t="str">
        <f>IFERROR(OLDBD[[#This Row],[Inicio de Ruta]]-OLDBD[[#This Row],[Salida de almacén de retiro]],"")</f>
        <v/>
      </c>
      <c r="AR4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6" s="8" t="str" cm="1">
        <f t="array" ref="AS4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6" s="9" t="str">
        <f>IFERROR(OLDBD[[#This Row],[Ingreso Packing]]-OLDBD[[#This Row],[Registro en Packing]],"")</f>
        <v/>
      </c>
      <c r="AV476" s="9" t="str">
        <f>IFERROR(OLDBD[[#This Row],[Ingreso Packing]]-OLDBD[[#This Row],[Llegada a packing]],"")</f>
        <v/>
      </c>
      <c r="AW4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6" s="5" t="str">
        <f>IFERROR(OLDBD[[#This Row],[Llegada Almacén de Ingreso]]-OLDBD[[#This Row],[Salida Packing]],"")</f>
        <v/>
      </c>
      <c r="AY476" s="4" t="str" cm="1">
        <f t="array" ref="AY4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6" s="43" t="s">
        <v>173</v>
      </c>
      <c r="BB476" s="47" t="str">
        <f>IFERROR(IF(MARÍTIMOS[[#This Row],[Estatus]]="","",MARÍTIMOS[[#This Row],[Estatus]]),"")</f>
        <v/>
      </c>
      <c r="BC476" s="43"/>
      <c r="BD476" s="46" t="str">
        <f>IFERROR(OLDBD[[#This Row],[Salida de almacén de retiro]]-OLDBD[[#This Row],[Ingreso Almacén de retiro]],"")</f>
        <v/>
      </c>
      <c r="BE476" s="46" t="str">
        <f>IFERROR(OLDBD[[#This Row],[Fin de Carga]]-OLDBD[[#This Row],[Inicio de Carga]],"")</f>
        <v/>
      </c>
    </row>
    <row r="477" spans="1:57" customFormat="1" hidden="1">
      <c r="A477" s="1"/>
      <c r="B477" s="1" t="str">
        <f>IFERROR(IF(MARÍTIMOS[[#This Row],[PP]]="","",MARÍTIMOS[[#This Row],[PP]]),"")</f>
        <v/>
      </c>
      <c r="C477" s="1" t="str">
        <f>IFERROR(IF(MARÍTIMOS[[#This Row],[Sede]]="","",MARÍTIMOS[[#This Row],[Sede]]),"")</f>
        <v/>
      </c>
      <c r="D477" s="1" t="str">
        <f>IFERROR(IF(MARÍTIMOS[[#This Row],[Instruction]]="","",MARÍTIMOS[[#This Row],[Instruction]]),"")</f>
        <v/>
      </c>
      <c r="E477" s="1"/>
      <c r="F477" s="2" t="str">
        <f>IFERROR(IF(MARÍTIMOS[[#This Row],[Transportista]]="","",MARÍTIMOS[[#This Row],[Transportista]]),"")</f>
        <v/>
      </c>
      <c r="G477" s="2" t="str">
        <f>IFERROR(IF(MARÍTIMOS[[#This Row],[Tercero]]="","",MARÍTIMOS[[#This Row],[Tercero]]),"")</f>
        <v/>
      </c>
      <c r="H477" s="2" t="str">
        <f>IFERROR(IF(MARÍTIMOS[[#This Row],[Razón Social]]="","",MARÍTIMOS[[#This Row],[Razón Social]]),"")</f>
        <v/>
      </c>
      <c r="I477" s="2" t="str">
        <f>IFERROR(IF(MARÍTIMOS[[#This Row],[RUC]]="","",MARÍTIMOS[[#This Row],[RUC]]),"")</f>
        <v/>
      </c>
      <c r="J477" s="2" t="str">
        <f>IFERROR(IF(MARÍTIMOS[[#This Row],[Placa Tracto]]="","",MARÍTIMOS[[#This Row],[Placa Tracto]]),"")</f>
        <v/>
      </c>
      <c r="K477" s="2" t="str">
        <f>IFERROR(IF(MARÍTIMOS[[#This Row],[Placa Carreta]]="","",MARÍTIMOS[[#This Row],[Placa Carreta]]),"")</f>
        <v/>
      </c>
      <c r="L477" s="44" t="str">
        <f>IFERROR(IF(MARÍTIMOS[[#This Row],[Conductor]]="","",MARÍTIMOS[[#This Row],[Conductor]]),"")</f>
        <v/>
      </c>
      <c r="M477" s="2" t="str">
        <f>IFERROR(IF(MARÍTIMOS[[#This Row],[Licencia]]="","",MARÍTIMOS[[#This Row],[Licencia]]),"")</f>
        <v/>
      </c>
      <c r="N477" s="2" t="str">
        <f>IFERROR(IF(MARÍTIMOS[[#This Row],[Número de Contacto]]="","",MARÍTIMOS[[#This Row],[Número de Contacto]]),"")</f>
        <v/>
      </c>
      <c r="O477" s="10" t="str">
        <f>IFERROR(IF(MARÍTIMOS[[#This Row],[Booking|AWB|CRT]]="","",MARÍTIMOS[[#This Row],[Booking|AWB|CRT]]),"")</f>
        <v/>
      </c>
      <c r="P477" s="2" t="str">
        <f>IFERROR(IF(MARÍTIMOS[[#This Row],[Contenedor]]="","",MARÍTIMOS[[#This Row],[Contenedor]]),"")</f>
        <v/>
      </c>
      <c r="Q477" s="2" t="str">
        <f>IFERROR(IF(MARÍTIMOS[[#This Row],[Puerto de Retiro]]="","",MARÍTIMOS[[#This Row],[Puerto de Retiro]]),"")</f>
        <v/>
      </c>
      <c r="R477" s="2" t="str">
        <f>IFERROR(IF(MARÍTIMOS[[#This Row],[Almacén de Retiro]]="","",MARÍTIMOS[[#This Row],[Almacén de Retiro]]),"")</f>
        <v/>
      </c>
      <c r="S477" s="11" t="str">
        <f>IFERROR(IF(MARÍTIMOS[[#This Row],[Etapa Retiro - Cita]]="","",MARÍTIMOS[[#This Row],[Etapa Retiro - Cita]]),"")</f>
        <v/>
      </c>
      <c r="T477" s="11" t="str">
        <f>IFERROR(IF(MARÍTIMOS[[#This Row],[Etapa Retiro - Llegada]]="","",MARÍTIMOS[[#This Row],[Etapa Retiro - Llegada]]),"")</f>
        <v/>
      </c>
      <c r="U477" s="11" t="str">
        <f>IFERROR(IF(MARÍTIMOS[[#This Row],[Etapa Retiro - Ingreso]]="","",MARÍTIMOS[[#This Row],[Etapa Retiro - Ingreso]]),"")</f>
        <v/>
      </c>
      <c r="V477" s="11" t="str">
        <f>IFERROR(IF(MARÍTIMOS[[#This Row],[Etapa Retiro - Atención]]="","",MARÍTIMOS[[#This Row],[Etapa Retiro - Atención]]),"")</f>
        <v/>
      </c>
      <c r="W477" s="11" t="str">
        <f>IFERROR(IF(MARÍTIMOS[[#This Row],[Etapa Retiro - Atención]]="","",MARÍTIMOS[[#This Row],[Etapa Retiro - Atención]]),"")</f>
        <v/>
      </c>
      <c r="X477" s="11" t="str">
        <f>IFERROR(IF(MARÍTIMOS[[#This Row],[Etapa Retiro - Inicio de Ruta]]="","",MARÍTIMOS[[#This Row],[Etapa Retiro - Inicio de Ruta]]),"")</f>
        <v/>
      </c>
      <c r="Y477" s="11" t="str">
        <f>IFERROR(IF(MARÍTIMOS[[#This Row],[Hora de Posicionamiento]]="","",MARÍTIMOS[[#This Row],[Fecha de Carga]]+MARÍTIMOS[[#This Row],[Hora de Posicionamiento]]),"")</f>
        <v/>
      </c>
      <c r="Z477" s="11" t="str">
        <f>IFERROR(IF(MARÍTIMOS[[#This Row],[Etapa Despacho - Llegada]]="","",MARÍTIMOS[[#This Row],[Etapa Despacho - Llegada]]),"")</f>
        <v/>
      </c>
      <c r="AA477" s="11" t="str">
        <f>IFERROR(IF(MARÍTIMOS[[#This Row],[Etapa Despacho - Registro]]="","",MARÍTIMOS[[#This Row],[Etapa Despacho - Registro]]),"")</f>
        <v/>
      </c>
      <c r="AB477" s="11" t="str">
        <f>IFERROR(IF(MARÍTIMOS[[#This Row],[Inspección Externa]]="","",MARÍTIMOS[[#This Row],[Inspección Externa]]),"")</f>
        <v/>
      </c>
      <c r="AC477" s="11" t="str">
        <f>IFERROR(IF(MARÍTIMOS[[#This Row],[Etapa Despacho - Inicio de Carga]]="","",MARÍTIMOS[[#This Row],[Etapa Despacho - Inicio de Carga]]),"")</f>
        <v/>
      </c>
      <c r="AD477" s="11" t="str">
        <f>IFERROR(IF(MARÍTIMOS[[#This Row],[Etapa Despacho - Mitad de Carga]]="","",MARÍTIMOS[[#This Row],[Etapa Despacho - Mitad de Carga]]),"")</f>
        <v/>
      </c>
      <c r="AE477" s="11" t="str">
        <f>IFERROR(IF(MARÍTIMOS[[#This Row],[Etapa Despacho - Fin de Carga]]="","",MARÍTIMOS[[#This Row],[Etapa Despacho - Fin de Carga]]),"")</f>
        <v/>
      </c>
      <c r="AF477" s="2" t="str">
        <f>IFERROR(IF(MARÍTIMOS[[#This Row],[Puerto de Embarque]]="","",MARÍTIMOS[[#This Row],[Puerto de Embarque]]),"")</f>
        <v/>
      </c>
      <c r="AG477" s="2" t="str">
        <f>IFERROR(IF(MARÍTIMOS[[#This Row],[Almacén de Ingreso]]="","",MARÍTIMOS[[#This Row],[Almacén de Ingreso]]),"")</f>
        <v/>
      </c>
      <c r="AH477" s="11" t="str">
        <f>IFERROR(IF(MARÍTIMOS[[#This Row],[Etapa Ingreso - Cita]]="","",MARÍTIMOS[[#This Row],[Etapa Ingreso - Cita]]),"")</f>
        <v/>
      </c>
      <c r="AI477" s="11" t="str">
        <f>IFERROR(IF(MARÍTIMOS[[#This Row],[Etapa Ingreso - Llegada]]="","",MARÍTIMOS[[#This Row],[Etapa Ingreso - Llegada]]),"")</f>
        <v/>
      </c>
      <c r="AJ477" s="11" t="str">
        <f>IFERROR(IF(MARÍTIMOS[[#This Row],[Etapa Ingreso - Ingeso]]="","",MARÍTIMOS[[#This Row],[Etapa Ingreso - Ingeso]]),"")</f>
        <v/>
      </c>
      <c r="AK477" s="11" t="str">
        <f>IFERROR(IF(MARÍTIMOS[[#This Row],[Etapa Ingreso - Atención]]="","",MARÍTIMOS[[#This Row],[Etapa Ingreso - Atención]]),"")</f>
        <v/>
      </c>
      <c r="AL477" s="11" t="str">
        <f>IFERROR(IF(MARÍTIMOS[[#This Row],[Etapa Ingreso - Salida]]="","",MARÍTIMOS[[#This Row],[Etapa Ingreso - Salida]]),"")</f>
        <v/>
      </c>
      <c r="AM477" s="2" t="str">
        <f>IFERROR(IF(MARÍTIMOS[[#This Row],[FCL]]="","",MARÍTIMOS[[#This Row],[FCL]]),"")</f>
        <v/>
      </c>
      <c r="AN4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7" s="4" t="str" cm="1">
        <f t="array" ref="AO4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7" s="5" t="str">
        <f>IFERROR(OLDBD[[#This Row],[Llegada a packing]]-OLDBD[[#This Row],[Inicio de Ruta]],"")</f>
        <v/>
      </c>
      <c r="AQ477" s="6" t="str">
        <f>IFERROR(OLDBD[[#This Row],[Inicio de Ruta]]-OLDBD[[#This Row],[Salida de almacén de retiro]],"")</f>
        <v/>
      </c>
      <c r="AR4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7" s="8" t="str" cm="1">
        <f t="array" ref="AS4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7" s="9" t="str">
        <f>IFERROR(OLDBD[[#This Row],[Ingreso Packing]]-OLDBD[[#This Row],[Registro en Packing]],"")</f>
        <v/>
      </c>
      <c r="AV477" s="9" t="str">
        <f>IFERROR(OLDBD[[#This Row],[Ingreso Packing]]-OLDBD[[#This Row],[Llegada a packing]],"")</f>
        <v/>
      </c>
      <c r="AW4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7" s="5" t="str">
        <f>IFERROR(OLDBD[[#This Row],[Llegada Almacén de Ingreso]]-OLDBD[[#This Row],[Salida Packing]],"")</f>
        <v/>
      </c>
      <c r="AY477" s="4" t="str" cm="1">
        <f t="array" ref="AY4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7" s="43" t="s">
        <v>173</v>
      </c>
      <c r="BB477" s="47" t="str">
        <f>IFERROR(IF(MARÍTIMOS[[#This Row],[Estatus]]="","",MARÍTIMOS[[#This Row],[Estatus]]),"")</f>
        <v/>
      </c>
      <c r="BC477" s="43"/>
      <c r="BD477" s="46" t="str">
        <f>IFERROR(OLDBD[[#This Row],[Salida de almacén de retiro]]-OLDBD[[#This Row],[Ingreso Almacén de retiro]],"")</f>
        <v/>
      </c>
      <c r="BE477" s="46" t="str">
        <f>IFERROR(OLDBD[[#This Row],[Fin de Carga]]-OLDBD[[#This Row],[Inicio de Carga]],"")</f>
        <v/>
      </c>
    </row>
    <row r="478" spans="1:57" customFormat="1" hidden="1">
      <c r="A478" s="1"/>
      <c r="B478" s="1" t="str">
        <f>IFERROR(IF(MARÍTIMOS[[#This Row],[PP]]="","",MARÍTIMOS[[#This Row],[PP]]),"")</f>
        <v/>
      </c>
      <c r="C478" s="1" t="str">
        <f>IFERROR(IF(MARÍTIMOS[[#This Row],[Sede]]="","",MARÍTIMOS[[#This Row],[Sede]]),"")</f>
        <v/>
      </c>
      <c r="D478" s="1" t="str">
        <f>IFERROR(IF(MARÍTIMOS[[#This Row],[Instruction]]="","",MARÍTIMOS[[#This Row],[Instruction]]),"")</f>
        <v/>
      </c>
      <c r="E478" s="1"/>
      <c r="F478" s="2" t="str">
        <f>IFERROR(IF(MARÍTIMOS[[#This Row],[Transportista]]="","",MARÍTIMOS[[#This Row],[Transportista]]),"")</f>
        <v/>
      </c>
      <c r="G478" s="2" t="str">
        <f>IFERROR(IF(MARÍTIMOS[[#This Row],[Tercero]]="","",MARÍTIMOS[[#This Row],[Tercero]]),"")</f>
        <v/>
      </c>
      <c r="H478" s="2" t="str">
        <f>IFERROR(IF(MARÍTIMOS[[#This Row],[Razón Social]]="","",MARÍTIMOS[[#This Row],[Razón Social]]),"")</f>
        <v/>
      </c>
      <c r="I478" s="2" t="str">
        <f>IFERROR(IF(MARÍTIMOS[[#This Row],[RUC]]="","",MARÍTIMOS[[#This Row],[RUC]]),"")</f>
        <v/>
      </c>
      <c r="J478" s="2" t="str">
        <f>IFERROR(IF(MARÍTIMOS[[#This Row],[Placa Tracto]]="","",MARÍTIMOS[[#This Row],[Placa Tracto]]),"")</f>
        <v/>
      </c>
      <c r="K478" s="2" t="str">
        <f>IFERROR(IF(MARÍTIMOS[[#This Row],[Placa Carreta]]="","",MARÍTIMOS[[#This Row],[Placa Carreta]]),"")</f>
        <v/>
      </c>
      <c r="L478" s="44" t="str">
        <f>IFERROR(IF(MARÍTIMOS[[#This Row],[Conductor]]="","",MARÍTIMOS[[#This Row],[Conductor]]),"")</f>
        <v/>
      </c>
      <c r="M478" s="2" t="str">
        <f>IFERROR(IF(MARÍTIMOS[[#This Row],[Licencia]]="","",MARÍTIMOS[[#This Row],[Licencia]]),"")</f>
        <v/>
      </c>
      <c r="N478" s="2" t="str">
        <f>IFERROR(IF(MARÍTIMOS[[#This Row],[Número de Contacto]]="","",MARÍTIMOS[[#This Row],[Número de Contacto]]),"")</f>
        <v/>
      </c>
      <c r="O478" s="10" t="str">
        <f>IFERROR(IF(MARÍTIMOS[[#This Row],[Booking|AWB|CRT]]="","",MARÍTIMOS[[#This Row],[Booking|AWB|CRT]]),"")</f>
        <v/>
      </c>
      <c r="P478" s="2" t="str">
        <f>IFERROR(IF(MARÍTIMOS[[#This Row],[Contenedor]]="","",MARÍTIMOS[[#This Row],[Contenedor]]),"")</f>
        <v/>
      </c>
      <c r="Q478" s="2" t="str">
        <f>IFERROR(IF(MARÍTIMOS[[#This Row],[Puerto de Retiro]]="","",MARÍTIMOS[[#This Row],[Puerto de Retiro]]),"")</f>
        <v/>
      </c>
      <c r="R478" s="2" t="str">
        <f>IFERROR(IF(MARÍTIMOS[[#This Row],[Almacén de Retiro]]="","",MARÍTIMOS[[#This Row],[Almacén de Retiro]]),"")</f>
        <v/>
      </c>
      <c r="S478" s="11" t="str">
        <f>IFERROR(IF(MARÍTIMOS[[#This Row],[Etapa Retiro - Cita]]="","",MARÍTIMOS[[#This Row],[Etapa Retiro - Cita]]),"")</f>
        <v/>
      </c>
      <c r="T478" s="11" t="str">
        <f>IFERROR(IF(MARÍTIMOS[[#This Row],[Etapa Retiro - Llegada]]="","",MARÍTIMOS[[#This Row],[Etapa Retiro - Llegada]]),"")</f>
        <v/>
      </c>
      <c r="U478" s="11" t="str">
        <f>IFERROR(IF(MARÍTIMOS[[#This Row],[Etapa Retiro - Ingreso]]="","",MARÍTIMOS[[#This Row],[Etapa Retiro - Ingreso]]),"")</f>
        <v/>
      </c>
      <c r="V478" s="11" t="str">
        <f>IFERROR(IF(MARÍTIMOS[[#This Row],[Etapa Retiro - Atención]]="","",MARÍTIMOS[[#This Row],[Etapa Retiro - Atención]]),"")</f>
        <v/>
      </c>
      <c r="W478" s="11" t="str">
        <f>IFERROR(IF(MARÍTIMOS[[#This Row],[Etapa Retiro - Atención]]="","",MARÍTIMOS[[#This Row],[Etapa Retiro - Atención]]),"")</f>
        <v/>
      </c>
      <c r="X478" s="11" t="str">
        <f>IFERROR(IF(MARÍTIMOS[[#This Row],[Etapa Retiro - Inicio de Ruta]]="","",MARÍTIMOS[[#This Row],[Etapa Retiro - Inicio de Ruta]]),"")</f>
        <v/>
      </c>
      <c r="Y478" s="11" t="str">
        <f>IFERROR(IF(MARÍTIMOS[[#This Row],[Hora de Posicionamiento]]="","",MARÍTIMOS[[#This Row],[Fecha de Carga]]+MARÍTIMOS[[#This Row],[Hora de Posicionamiento]]),"")</f>
        <v/>
      </c>
      <c r="Z478" s="11" t="str">
        <f>IFERROR(IF(MARÍTIMOS[[#This Row],[Etapa Despacho - Llegada]]="","",MARÍTIMOS[[#This Row],[Etapa Despacho - Llegada]]),"")</f>
        <v/>
      </c>
      <c r="AA478" s="11" t="str">
        <f>IFERROR(IF(MARÍTIMOS[[#This Row],[Etapa Despacho - Registro]]="","",MARÍTIMOS[[#This Row],[Etapa Despacho - Registro]]),"")</f>
        <v/>
      </c>
      <c r="AB478" s="11" t="str">
        <f>IFERROR(IF(MARÍTIMOS[[#This Row],[Inspección Externa]]="","",MARÍTIMOS[[#This Row],[Inspección Externa]]),"")</f>
        <v/>
      </c>
      <c r="AC478" s="11" t="str">
        <f>IFERROR(IF(MARÍTIMOS[[#This Row],[Etapa Despacho - Inicio de Carga]]="","",MARÍTIMOS[[#This Row],[Etapa Despacho - Inicio de Carga]]),"")</f>
        <v/>
      </c>
      <c r="AD478" s="11" t="str">
        <f>IFERROR(IF(MARÍTIMOS[[#This Row],[Etapa Despacho - Mitad de Carga]]="","",MARÍTIMOS[[#This Row],[Etapa Despacho - Mitad de Carga]]),"")</f>
        <v/>
      </c>
      <c r="AE478" s="11" t="str">
        <f>IFERROR(IF(MARÍTIMOS[[#This Row],[Etapa Despacho - Fin de Carga]]="","",MARÍTIMOS[[#This Row],[Etapa Despacho - Fin de Carga]]),"")</f>
        <v/>
      </c>
      <c r="AF478" s="2" t="str">
        <f>IFERROR(IF(MARÍTIMOS[[#This Row],[Puerto de Embarque]]="","",MARÍTIMOS[[#This Row],[Puerto de Embarque]]),"")</f>
        <v/>
      </c>
      <c r="AG478" s="2" t="str">
        <f>IFERROR(IF(MARÍTIMOS[[#This Row],[Almacén de Ingreso]]="","",MARÍTIMOS[[#This Row],[Almacén de Ingreso]]),"")</f>
        <v/>
      </c>
      <c r="AH478" s="11" t="str">
        <f>IFERROR(IF(MARÍTIMOS[[#This Row],[Etapa Ingreso - Cita]]="","",MARÍTIMOS[[#This Row],[Etapa Ingreso - Cita]]),"")</f>
        <v/>
      </c>
      <c r="AI478" s="11" t="str">
        <f>IFERROR(IF(MARÍTIMOS[[#This Row],[Etapa Ingreso - Llegada]]="","",MARÍTIMOS[[#This Row],[Etapa Ingreso - Llegada]]),"")</f>
        <v/>
      </c>
      <c r="AJ478" s="11" t="str">
        <f>IFERROR(IF(MARÍTIMOS[[#This Row],[Etapa Ingreso - Ingeso]]="","",MARÍTIMOS[[#This Row],[Etapa Ingreso - Ingeso]]),"")</f>
        <v/>
      </c>
      <c r="AK478" s="11" t="str">
        <f>IFERROR(IF(MARÍTIMOS[[#This Row],[Etapa Ingreso - Atención]]="","",MARÍTIMOS[[#This Row],[Etapa Ingreso - Atención]]),"")</f>
        <v/>
      </c>
      <c r="AL478" s="11" t="str">
        <f>IFERROR(IF(MARÍTIMOS[[#This Row],[Etapa Ingreso - Salida]]="","",MARÍTIMOS[[#This Row],[Etapa Ingreso - Salida]]),"")</f>
        <v/>
      </c>
      <c r="AM478" s="2" t="str">
        <f>IFERROR(IF(MARÍTIMOS[[#This Row],[FCL]]="","",MARÍTIMOS[[#This Row],[FCL]]),"")</f>
        <v/>
      </c>
      <c r="AN4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8" s="4" t="str" cm="1">
        <f t="array" ref="AO4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8" s="5" t="str">
        <f>IFERROR(OLDBD[[#This Row],[Llegada a packing]]-OLDBD[[#This Row],[Inicio de Ruta]],"")</f>
        <v/>
      </c>
      <c r="AQ478" s="6" t="str">
        <f>IFERROR(OLDBD[[#This Row],[Inicio de Ruta]]-OLDBD[[#This Row],[Salida de almacén de retiro]],"")</f>
        <v/>
      </c>
      <c r="AR4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8" s="8" t="str" cm="1">
        <f t="array" ref="AS4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8" s="9" t="str">
        <f>IFERROR(OLDBD[[#This Row],[Ingreso Packing]]-OLDBD[[#This Row],[Registro en Packing]],"")</f>
        <v/>
      </c>
      <c r="AV478" s="9" t="str">
        <f>IFERROR(OLDBD[[#This Row],[Ingreso Packing]]-OLDBD[[#This Row],[Llegada a packing]],"")</f>
        <v/>
      </c>
      <c r="AW4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8" s="5" t="str">
        <f>IFERROR(OLDBD[[#This Row],[Llegada Almacén de Ingreso]]-OLDBD[[#This Row],[Salida Packing]],"")</f>
        <v/>
      </c>
      <c r="AY478" s="4" t="str" cm="1">
        <f t="array" ref="AY4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8" s="43" t="s">
        <v>173</v>
      </c>
      <c r="BB478" s="47" t="str">
        <f>IFERROR(IF(MARÍTIMOS[[#This Row],[Estatus]]="","",MARÍTIMOS[[#This Row],[Estatus]]),"")</f>
        <v/>
      </c>
      <c r="BC478" s="43"/>
      <c r="BD478" s="46" t="str">
        <f>IFERROR(OLDBD[[#This Row],[Salida de almacén de retiro]]-OLDBD[[#This Row],[Ingreso Almacén de retiro]],"")</f>
        <v/>
      </c>
      <c r="BE478" s="46" t="str">
        <f>IFERROR(OLDBD[[#This Row],[Fin de Carga]]-OLDBD[[#This Row],[Inicio de Carga]],"")</f>
        <v/>
      </c>
    </row>
    <row r="479" spans="1:57" customFormat="1" hidden="1">
      <c r="A479" s="1"/>
      <c r="B479" s="1" t="str">
        <f>IFERROR(IF(MARÍTIMOS[[#This Row],[PP]]="","",MARÍTIMOS[[#This Row],[PP]]),"")</f>
        <v/>
      </c>
      <c r="C479" s="1" t="str">
        <f>IFERROR(IF(MARÍTIMOS[[#This Row],[Sede]]="","",MARÍTIMOS[[#This Row],[Sede]]),"")</f>
        <v/>
      </c>
      <c r="D479" s="1" t="str">
        <f>IFERROR(IF(MARÍTIMOS[[#This Row],[Instruction]]="","",MARÍTIMOS[[#This Row],[Instruction]]),"")</f>
        <v/>
      </c>
      <c r="E479" s="1"/>
      <c r="F479" s="2" t="str">
        <f>IFERROR(IF(MARÍTIMOS[[#This Row],[Transportista]]="","",MARÍTIMOS[[#This Row],[Transportista]]),"")</f>
        <v/>
      </c>
      <c r="G479" s="2" t="str">
        <f>IFERROR(IF(MARÍTIMOS[[#This Row],[Tercero]]="","",MARÍTIMOS[[#This Row],[Tercero]]),"")</f>
        <v/>
      </c>
      <c r="H479" s="2" t="str">
        <f>IFERROR(IF(MARÍTIMOS[[#This Row],[Razón Social]]="","",MARÍTIMOS[[#This Row],[Razón Social]]),"")</f>
        <v/>
      </c>
      <c r="I479" s="2" t="str">
        <f>IFERROR(IF(MARÍTIMOS[[#This Row],[RUC]]="","",MARÍTIMOS[[#This Row],[RUC]]),"")</f>
        <v/>
      </c>
      <c r="J479" s="2" t="str">
        <f>IFERROR(IF(MARÍTIMOS[[#This Row],[Placa Tracto]]="","",MARÍTIMOS[[#This Row],[Placa Tracto]]),"")</f>
        <v/>
      </c>
      <c r="K479" s="2" t="str">
        <f>IFERROR(IF(MARÍTIMOS[[#This Row],[Placa Carreta]]="","",MARÍTIMOS[[#This Row],[Placa Carreta]]),"")</f>
        <v/>
      </c>
      <c r="L479" s="44" t="str">
        <f>IFERROR(IF(MARÍTIMOS[[#This Row],[Conductor]]="","",MARÍTIMOS[[#This Row],[Conductor]]),"")</f>
        <v/>
      </c>
      <c r="M479" s="2" t="str">
        <f>IFERROR(IF(MARÍTIMOS[[#This Row],[Licencia]]="","",MARÍTIMOS[[#This Row],[Licencia]]),"")</f>
        <v/>
      </c>
      <c r="N479" s="2" t="str">
        <f>IFERROR(IF(MARÍTIMOS[[#This Row],[Número de Contacto]]="","",MARÍTIMOS[[#This Row],[Número de Contacto]]),"")</f>
        <v/>
      </c>
      <c r="O479" s="10" t="str">
        <f>IFERROR(IF(MARÍTIMOS[[#This Row],[Booking|AWB|CRT]]="","",MARÍTIMOS[[#This Row],[Booking|AWB|CRT]]),"")</f>
        <v/>
      </c>
      <c r="P479" s="2" t="str">
        <f>IFERROR(IF(MARÍTIMOS[[#This Row],[Contenedor]]="","",MARÍTIMOS[[#This Row],[Contenedor]]),"")</f>
        <v/>
      </c>
      <c r="Q479" s="2" t="str">
        <f>IFERROR(IF(MARÍTIMOS[[#This Row],[Puerto de Retiro]]="","",MARÍTIMOS[[#This Row],[Puerto de Retiro]]),"")</f>
        <v/>
      </c>
      <c r="R479" s="2" t="str">
        <f>IFERROR(IF(MARÍTIMOS[[#This Row],[Almacén de Retiro]]="","",MARÍTIMOS[[#This Row],[Almacén de Retiro]]),"")</f>
        <v/>
      </c>
      <c r="S479" s="11" t="str">
        <f>IFERROR(IF(MARÍTIMOS[[#This Row],[Etapa Retiro - Cita]]="","",MARÍTIMOS[[#This Row],[Etapa Retiro - Cita]]),"")</f>
        <v/>
      </c>
      <c r="T479" s="11" t="str">
        <f>IFERROR(IF(MARÍTIMOS[[#This Row],[Etapa Retiro - Llegada]]="","",MARÍTIMOS[[#This Row],[Etapa Retiro - Llegada]]),"")</f>
        <v/>
      </c>
      <c r="U479" s="11" t="str">
        <f>IFERROR(IF(MARÍTIMOS[[#This Row],[Etapa Retiro - Ingreso]]="","",MARÍTIMOS[[#This Row],[Etapa Retiro - Ingreso]]),"")</f>
        <v/>
      </c>
      <c r="V479" s="11" t="str">
        <f>IFERROR(IF(MARÍTIMOS[[#This Row],[Etapa Retiro - Atención]]="","",MARÍTIMOS[[#This Row],[Etapa Retiro - Atención]]),"")</f>
        <v/>
      </c>
      <c r="W479" s="11" t="str">
        <f>IFERROR(IF(MARÍTIMOS[[#This Row],[Etapa Retiro - Atención]]="","",MARÍTIMOS[[#This Row],[Etapa Retiro - Atención]]),"")</f>
        <v/>
      </c>
      <c r="X479" s="11" t="str">
        <f>IFERROR(IF(MARÍTIMOS[[#This Row],[Etapa Retiro - Inicio de Ruta]]="","",MARÍTIMOS[[#This Row],[Etapa Retiro - Inicio de Ruta]]),"")</f>
        <v/>
      </c>
      <c r="Y479" s="11" t="str">
        <f>IFERROR(IF(MARÍTIMOS[[#This Row],[Hora de Posicionamiento]]="","",MARÍTIMOS[[#This Row],[Fecha de Carga]]+MARÍTIMOS[[#This Row],[Hora de Posicionamiento]]),"")</f>
        <v/>
      </c>
      <c r="Z479" s="11" t="str">
        <f>IFERROR(IF(MARÍTIMOS[[#This Row],[Etapa Despacho - Llegada]]="","",MARÍTIMOS[[#This Row],[Etapa Despacho - Llegada]]),"")</f>
        <v/>
      </c>
      <c r="AA479" s="11" t="str">
        <f>IFERROR(IF(MARÍTIMOS[[#This Row],[Etapa Despacho - Registro]]="","",MARÍTIMOS[[#This Row],[Etapa Despacho - Registro]]),"")</f>
        <v/>
      </c>
      <c r="AB479" s="11" t="str">
        <f>IFERROR(IF(MARÍTIMOS[[#This Row],[Inspección Externa]]="","",MARÍTIMOS[[#This Row],[Inspección Externa]]),"")</f>
        <v/>
      </c>
      <c r="AC479" s="11" t="str">
        <f>IFERROR(IF(MARÍTIMOS[[#This Row],[Etapa Despacho - Inicio de Carga]]="","",MARÍTIMOS[[#This Row],[Etapa Despacho - Inicio de Carga]]),"")</f>
        <v/>
      </c>
      <c r="AD479" s="11" t="str">
        <f>IFERROR(IF(MARÍTIMOS[[#This Row],[Etapa Despacho - Mitad de Carga]]="","",MARÍTIMOS[[#This Row],[Etapa Despacho - Mitad de Carga]]),"")</f>
        <v/>
      </c>
      <c r="AE479" s="11" t="str">
        <f>IFERROR(IF(MARÍTIMOS[[#This Row],[Etapa Despacho - Fin de Carga]]="","",MARÍTIMOS[[#This Row],[Etapa Despacho - Fin de Carga]]),"")</f>
        <v/>
      </c>
      <c r="AF479" s="2" t="str">
        <f>IFERROR(IF(MARÍTIMOS[[#This Row],[Puerto de Embarque]]="","",MARÍTIMOS[[#This Row],[Puerto de Embarque]]),"")</f>
        <v/>
      </c>
      <c r="AG479" s="2" t="str">
        <f>IFERROR(IF(MARÍTIMOS[[#This Row],[Almacén de Ingreso]]="","",MARÍTIMOS[[#This Row],[Almacén de Ingreso]]),"")</f>
        <v/>
      </c>
      <c r="AH479" s="11" t="str">
        <f>IFERROR(IF(MARÍTIMOS[[#This Row],[Etapa Ingreso - Cita]]="","",MARÍTIMOS[[#This Row],[Etapa Ingreso - Cita]]),"")</f>
        <v/>
      </c>
      <c r="AI479" s="11" t="str">
        <f>IFERROR(IF(MARÍTIMOS[[#This Row],[Etapa Ingreso - Llegada]]="","",MARÍTIMOS[[#This Row],[Etapa Ingreso - Llegada]]),"")</f>
        <v/>
      </c>
      <c r="AJ479" s="11" t="str">
        <f>IFERROR(IF(MARÍTIMOS[[#This Row],[Etapa Ingreso - Ingeso]]="","",MARÍTIMOS[[#This Row],[Etapa Ingreso - Ingeso]]),"")</f>
        <v/>
      </c>
      <c r="AK479" s="11" t="str">
        <f>IFERROR(IF(MARÍTIMOS[[#This Row],[Etapa Ingreso - Atención]]="","",MARÍTIMOS[[#This Row],[Etapa Ingreso - Atención]]),"")</f>
        <v/>
      </c>
      <c r="AL479" s="11" t="str">
        <f>IFERROR(IF(MARÍTIMOS[[#This Row],[Etapa Ingreso - Salida]]="","",MARÍTIMOS[[#This Row],[Etapa Ingreso - Salida]]),"")</f>
        <v/>
      </c>
      <c r="AM479" s="2" t="str">
        <f>IFERROR(IF(MARÍTIMOS[[#This Row],[FCL]]="","",MARÍTIMOS[[#This Row],[FCL]]),"")</f>
        <v/>
      </c>
      <c r="AN4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79" s="4" t="str" cm="1">
        <f t="array" ref="AO4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79" s="5" t="str">
        <f>IFERROR(OLDBD[[#This Row],[Llegada a packing]]-OLDBD[[#This Row],[Inicio de Ruta]],"")</f>
        <v/>
      </c>
      <c r="AQ479" s="6" t="str">
        <f>IFERROR(OLDBD[[#This Row],[Inicio de Ruta]]-OLDBD[[#This Row],[Salida de almacén de retiro]],"")</f>
        <v/>
      </c>
      <c r="AR4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79" s="8" t="str" cm="1">
        <f t="array" ref="AS4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79" s="9" t="str">
        <f>IFERROR(OLDBD[[#This Row],[Ingreso Packing]]-OLDBD[[#This Row],[Registro en Packing]],"")</f>
        <v/>
      </c>
      <c r="AV479" s="9" t="str">
        <f>IFERROR(OLDBD[[#This Row],[Ingreso Packing]]-OLDBD[[#This Row],[Llegada a packing]],"")</f>
        <v/>
      </c>
      <c r="AW4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79" s="5" t="str">
        <f>IFERROR(OLDBD[[#This Row],[Llegada Almacén de Ingreso]]-OLDBD[[#This Row],[Salida Packing]],"")</f>
        <v/>
      </c>
      <c r="AY479" s="4" t="str" cm="1">
        <f t="array" ref="AY4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79" s="43" t="s">
        <v>173</v>
      </c>
      <c r="BB479" s="47" t="str">
        <f>IFERROR(IF(MARÍTIMOS[[#This Row],[Estatus]]="","",MARÍTIMOS[[#This Row],[Estatus]]),"")</f>
        <v/>
      </c>
      <c r="BC479" s="43"/>
      <c r="BD479" s="46" t="str">
        <f>IFERROR(OLDBD[[#This Row],[Salida de almacén de retiro]]-OLDBD[[#This Row],[Ingreso Almacén de retiro]],"")</f>
        <v/>
      </c>
      <c r="BE479" s="46" t="str">
        <f>IFERROR(OLDBD[[#This Row],[Fin de Carga]]-OLDBD[[#This Row],[Inicio de Carga]],"")</f>
        <v/>
      </c>
    </row>
    <row r="480" spans="1:57" customFormat="1" hidden="1">
      <c r="A480" s="1"/>
      <c r="B480" s="1" t="str">
        <f>IFERROR(IF(MARÍTIMOS[[#This Row],[PP]]="","",MARÍTIMOS[[#This Row],[PP]]),"")</f>
        <v/>
      </c>
      <c r="C480" s="1" t="str">
        <f>IFERROR(IF(MARÍTIMOS[[#This Row],[Sede]]="","",MARÍTIMOS[[#This Row],[Sede]]),"")</f>
        <v/>
      </c>
      <c r="D480" s="1" t="str">
        <f>IFERROR(IF(MARÍTIMOS[[#This Row],[Instruction]]="","",MARÍTIMOS[[#This Row],[Instruction]]),"")</f>
        <v/>
      </c>
      <c r="E480" s="1"/>
      <c r="F480" s="2" t="str">
        <f>IFERROR(IF(MARÍTIMOS[[#This Row],[Transportista]]="","",MARÍTIMOS[[#This Row],[Transportista]]),"")</f>
        <v/>
      </c>
      <c r="G480" s="2" t="str">
        <f>IFERROR(IF(MARÍTIMOS[[#This Row],[Tercero]]="","",MARÍTIMOS[[#This Row],[Tercero]]),"")</f>
        <v/>
      </c>
      <c r="H480" s="2" t="str">
        <f>IFERROR(IF(MARÍTIMOS[[#This Row],[Razón Social]]="","",MARÍTIMOS[[#This Row],[Razón Social]]),"")</f>
        <v/>
      </c>
      <c r="I480" s="2" t="str">
        <f>IFERROR(IF(MARÍTIMOS[[#This Row],[RUC]]="","",MARÍTIMOS[[#This Row],[RUC]]),"")</f>
        <v/>
      </c>
      <c r="J480" s="2" t="str">
        <f>IFERROR(IF(MARÍTIMOS[[#This Row],[Placa Tracto]]="","",MARÍTIMOS[[#This Row],[Placa Tracto]]),"")</f>
        <v/>
      </c>
      <c r="K480" s="2" t="str">
        <f>IFERROR(IF(MARÍTIMOS[[#This Row],[Placa Carreta]]="","",MARÍTIMOS[[#This Row],[Placa Carreta]]),"")</f>
        <v/>
      </c>
      <c r="L480" s="44" t="str">
        <f>IFERROR(IF(MARÍTIMOS[[#This Row],[Conductor]]="","",MARÍTIMOS[[#This Row],[Conductor]]),"")</f>
        <v/>
      </c>
      <c r="M480" s="2" t="str">
        <f>IFERROR(IF(MARÍTIMOS[[#This Row],[Licencia]]="","",MARÍTIMOS[[#This Row],[Licencia]]),"")</f>
        <v/>
      </c>
      <c r="N480" s="2" t="str">
        <f>IFERROR(IF(MARÍTIMOS[[#This Row],[Número de Contacto]]="","",MARÍTIMOS[[#This Row],[Número de Contacto]]),"")</f>
        <v/>
      </c>
      <c r="O480" s="10" t="str">
        <f>IFERROR(IF(MARÍTIMOS[[#This Row],[Booking|AWB|CRT]]="","",MARÍTIMOS[[#This Row],[Booking|AWB|CRT]]),"")</f>
        <v/>
      </c>
      <c r="P480" s="2" t="str">
        <f>IFERROR(IF(MARÍTIMOS[[#This Row],[Contenedor]]="","",MARÍTIMOS[[#This Row],[Contenedor]]),"")</f>
        <v/>
      </c>
      <c r="Q480" s="2" t="str">
        <f>IFERROR(IF(MARÍTIMOS[[#This Row],[Puerto de Retiro]]="","",MARÍTIMOS[[#This Row],[Puerto de Retiro]]),"")</f>
        <v/>
      </c>
      <c r="R480" s="2" t="str">
        <f>IFERROR(IF(MARÍTIMOS[[#This Row],[Almacén de Retiro]]="","",MARÍTIMOS[[#This Row],[Almacén de Retiro]]),"")</f>
        <v/>
      </c>
      <c r="S480" s="11" t="str">
        <f>IFERROR(IF(MARÍTIMOS[[#This Row],[Etapa Retiro - Cita]]="","",MARÍTIMOS[[#This Row],[Etapa Retiro - Cita]]),"")</f>
        <v/>
      </c>
      <c r="T480" s="11" t="str">
        <f>IFERROR(IF(MARÍTIMOS[[#This Row],[Etapa Retiro - Llegada]]="","",MARÍTIMOS[[#This Row],[Etapa Retiro - Llegada]]),"")</f>
        <v/>
      </c>
      <c r="U480" s="11" t="str">
        <f>IFERROR(IF(MARÍTIMOS[[#This Row],[Etapa Retiro - Ingreso]]="","",MARÍTIMOS[[#This Row],[Etapa Retiro - Ingreso]]),"")</f>
        <v/>
      </c>
      <c r="V480" s="11" t="str">
        <f>IFERROR(IF(MARÍTIMOS[[#This Row],[Etapa Retiro - Atención]]="","",MARÍTIMOS[[#This Row],[Etapa Retiro - Atención]]),"")</f>
        <v/>
      </c>
      <c r="W480" s="11" t="str">
        <f>IFERROR(IF(MARÍTIMOS[[#This Row],[Etapa Retiro - Atención]]="","",MARÍTIMOS[[#This Row],[Etapa Retiro - Atención]]),"")</f>
        <v/>
      </c>
      <c r="X480" s="11" t="str">
        <f>IFERROR(IF(MARÍTIMOS[[#This Row],[Etapa Retiro - Inicio de Ruta]]="","",MARÍTIMOS[[#This Row],[Etapa Retiro - Inicio de Ruta]]),"")</f>
        <v/>
      </c>
      <c r="Y480" s="11" t="str">
        <f>IFERROR(IF(MARÍTIMOS[[#This Row],[Hora de Posicionamiento]]="","",MARÍTIMOS[[#This Row],[Fecha de Carga]]+MARÍTIMOS[[#This Row],[Hora de Posicionamiento]]),"")</f>
        <v/>
      </c>
      <c r="Z480" s="11" t="str">
        <f>IFERROR(IF(MARÍTIMOS[[#This Row],[Etapa Despacho - Llegada]]="","",MARÍTIMOS[[#This Row],[Etapa Despacho - Llegada]]),"")</f>
        <v/>
      </c>
      <c r="AA480" s="11" t="str">
        <f>IFERROR(IF(MARÍTIMOS[[#This Row],[Etapa Despacho - Registro]]="","",MARÍTIMOS[[#This Row],[Etapa Despacho - Registro]]),"")</f>
        <v/>
      </c>
      <c r="AB480" s="11" t="str">
        <f>IFERROR(IF(MARÍTIMOS[[#This Row],[Inspección Externa]]="","",MARÍTIMOS[[#This Row],[Inspección Externa]]),"")</f>
        <v/>
      </c>
      <c r="AC480" s="11" t="str">
        <f>IFERROR(IF(MARÍTIMOS[[#This Row],[Etapa Despacho - Inicio de Carga]]="","",MARÍTIMOS[[#This Row],[Etapa Despacho - Inicio de Carga]]),"")</f>
        <v/>
      </c>
      <c r="AD480" s="11" t="str">
        <f>IFERROR(IF(MARÍTIMOS[[#This Row],[Etapa Despacho - Mitad de Carga]]="","",MARÍTIMOS[[#This Row],[Etapa Despacho - Mitad de Carga]]),"")</f>
        <v/>
      </c>
      <c r="AE480" s="11" t="str">
        <f>IFERROR(IF(MARÍTIMOS[[#This Row],[Etapa Despacho - Fin de Carga]]="","",MARÍTIMOS[[#This Row],[Etapa Despacho - Fin de Carga]]),"")</f>
        <v/>
      </c>
      <c r="AF480" s="2" t="str">
        <f>IFERROR(IF(MARÍTIMOS[[#This Row],[Puerto de Embarque]]="","",MARÍTIMOS[[#This Row],[Puerto de Embarque]]),"")</f>
        <v/>
      </c>
      <c r="AG480" s="2" t="str">
        <f>IFERROR(IF(MARÍTIMOS[[#This Row],[Almacén de Ingreso]]="","",MARÍTIMOS[[#This Row],[Almacén de Ingreso]]),"")</f>
        <v/>
      </c>
      <c r="AH480" s="11" t="str">
        <f>IFERROR(IF(MARÍTIMOS[[#This Row],[Etapa Ingreso - Cita]]="","",MARÍTIMOS[[#This Row],[Etapa Ingreso - Cita]]),"")</f>
        <v/>
      </c>
      <c r="AI480" s="11" t="str">
        <f>IFERROR(IF(MARÍTIMOS[[#This Row],[Etapa Ingreso - Llegada]]="","",MARÍTIMOS[[#This Row],[Etapa Ingreso - Llegada]]),"")</f>
        <v/>
      </c>
      <c r="AJ480" s="11" t="str">
        <f>IFERROR(IF(MARÍTIMOS[[#This Row],[Etapa Ingreso - Ingeso]]="","",MARÍTIMOS[[#This Row],[Etapa Ingreso - Ingeso]]),"")</f>
        <v/>
      </c>
      <c r="AK480" s="11" t="str">
        <f>IFERROR(IF(MARÍTIMOS[[#This Row],[Etapa Ingreso - Atención]]="","",MARÍTIMOS[[#This Row],[Etapa Ingreso - Atención]]),"")</f>
        <v/>
      </c>
      <c r="AL480" s="11" t="str">
        <f>IFERROR(IF(MARÍTIMOS[[#This Row],[Etapa Ingreso - Salida]]="","",MARÍTIMOS[[#This Row],[Etapa Ingreso - Salida]]),"")</f>
        <v/>
      </c>
      <c r="AM480" s="2" t="str">
        <f>IFERROR(IF(MARÍTIMOS[[#This Row],[FCL]]="","",MARÍTIMOS[[#This Row],[FCL]]),"")</f>
        <v/>
      </c>
      <c r="AN4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0" s="4" t="str" cm="1">
        <f t="array" ref="AO4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0" s="5" t="str">
        <f>IFERROR(OLDBD[[#This Row],[Llegada a packing]]-OLDBD[[#This Row],[Inicio de Ruta]],"")</f>
        <v/>
      </c>
      <c r="AQ480" s="6" t="str">
        <f>IFERROR(OLDBD[[#This Row],[Inicio de Ruta]]-OLDBD[[#This Row],[Salida de almacén de retiro]],"")</f>
        <v/>
      </c>
      <c r="AR4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0" s="8" t="str" cm="1">
        <f t="array" ref="AS4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0" s="9" t="str">
        <f>IFERROR(OLDBD[[#This Row],[Ingreso Packing]]-OLDBD[[#This Row],[Registro en Packing]],"")</f>
        <v/>
      </c>
      <c r="AV480" s="9" t="str">
        <f>IFERROR(OLDBD[[#This Row],[Ingreso Packing]]-OLDBD[[#This Row],[Llegada a packing]],"")</f>
        <v/>
      </c>
      <c r="AW4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0" s="5" t="str">
        <f>IFERROR(OLDBD[[#This Row],[Llegada Almacén de Ingreso]]-OLDBD[[#This Row],[Salida Packing]],"")</f>
        <v/>
      </c>
      <c r="AY480" s="4" t="str" cm="1">
        <f t="array" ref="AY4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0" s="43" t="s">
        <v>173</v>
      </c>
      <c r="BB480" s="47" t="str">
        <f>IFERROR(IF(MARÍTIMOS[[#This Row],[Estatus]]="","",MARÍTIMOS[[#This Row],[Estatus]]),"")</f>
        <v/>
      </c>
      <c r="BC480" s="43"/>
      <c r="BD480" s="46" t="str">
        <f>IFERROR(OLDBD[[#This Row],[Salida de almacén de retiro]]-OLDBD[[#This Row],[Ingreso Almacén de retiro]],"")</f>
        <v/>
      </c>
      <c r="BE480" s="46" t="str">
        <f>IFERROR(OLDBD[[#This Row],[Fin de Carga]]-OLDBD[[#This Row],[Inicio de Carga]],"")</f>
        <v/>
      </c>
    </row>
    <row r="481" spans="1:57" customFormat="1" hidden="1">
      <c r="A481" s="1"/>
      <c r="B481" s="1" t="str">
        <f>IFERROR(IF(MARÍTIMOS[[#This Row],[PP]]="","",MARÍTIMOS[[#This Row],[PP]]),"")</f>
        <v/>
      </c>
      <c r="C481" s="1" t="str">
        <f>IFERROR(IF(MARÍTIMOS[[#This Row],[Sede]]="","",MARÍTIMOS[[#This Row],[Sede]]),"")</f>
        <v/>
      </c>
      <c r="D481" s="1" t="str">
        <f>IFERROR(IF(MARÍTIMOS[[#This Row],[Instruction]]="","",MARÍTIMOS[[#This Row],[Instruction]]),"")</f>
        <v/>
      </c>
      <c r="E481" s="1"/>
      <c r="F481" s="2" t="str">
        <f>IFERROR(IF(MARÍTIMOS[[#This Row],[Transportista]]="","",MARÍTIMOS[[#This Row],[Transportista]]),"")</f>
        <v/>
      </c>
      <c r="G481" s="2" t="str">
        <f>IFERROR(IF(MARÍTIMOS[[#This Row],[Tercero]]="","",MARÍTIMOS[[#This Row],[Tercero]]),"")</f>
        <v/>
      </c>
      <c r="H481" s="2" t="str">
        <f>IFERROR(IF(MARÍTIMOS[[#This Row],[Razón Social]]="","",MARÍTIMOS[[#This Row],[Razón Social]]),"")</f>
        <v/>
      </c>
      <c r="I481" s="2" t="str">
        <f>IFERROR(IF(MARÍTIMOS[[#This Row],[RUC]]="","",MARÍTIMOS[[#This Row],[RUC]]),"")</f>
        <v/>
      </c>
      <c r="J481" s="2" t="str">
        <f>IFERROR(IF(MARÍTIMOS[[#This Row],[Placa Tracto]]="","",MARÍTIMOS[[#This Row],[Placa Tracto]]),"")</f>
        <v/>
      </c>
      <c r="K481" s="2" t="str">
        <f>IFERROR(IF(MARÍTIMOS[[#This Row],[Placa Carreta]]="","",MARÍTIMOS[[#This Row],[Placa Carreta]]),"")</f>
        <v/>
      </c>
      <c r="L481" s="44" t="str">
        <f>IFERROR(IF(MARÍTIMOS[[#This Row],[Conductor]]="","",MARÍTIMOS[[#This Row],[Conductor]]),"")</f>
        <v/>
      </c>
      <c r="M481" s="2" t="str">
        <f>IFERROR(IF(MARÍTIMOS[[#This Row],[Licencia]]="","",MARÍTIMOS[[#This Row],[Licencia]]),"")</f>
        <v/>
      </c>
      <c r="N481" s="2" t="str">
        <f>IFERROR(IF(MARÍTIMOS[[#This Row],[Número de Contacto]]="","",MARÍTIMOS[[#This Row],[Número de Contacto]]),"")</f>
        <v/>
      </c>
      <c r="O481" s="10" t="str">
        <f>IFERROR(IF(MARÍTIMOS[[#This Row],[Booking|AWB|CRT]]="","",MARÍTIMOS[[#This Row],[Booking|AWB|CRT]]),"")</f>
        <v/>
      </c>
      <c r="P481" s="2" t="str">
        <f>IFERROR(IF(MARÍTIMOS[[#This Row],[Contenedor]]="","",MARÍTIMOS[[#This Row],[Contenedor]]),"")</f>
        <v/>
      </c>
      <c r="Q481" s="2" t="str">
        <f>IFERROR(IF(MARÍTIMOS[[#This Row],[Puerto de Retiro]]="","",MARÍTIMOS[[#This Row],[Puerto de Retiro]]),"")</f>
        <v/>
      </c>
      <c r="R481" s="2" t="str">
        <f>IFERROR(IF(MARÍTIMOS[[#This Row],[Almacén de Retiro]]="","",MARÍTIMOS[[#This Row],[Almacén de Retiro]]),"")</f>
        <v/>
      </c>
      <c r="S481" s="11" t="str">
        <f>IFERROR(IF(MARÍTIMOS[[#This Row],[Etapa Retiro - Cita]]="","",MARÍTIMOS[[#This Row],[Etapa Retiro - Cita]]),"")</f>
        <v/>
      </c>
      <c r="T481" s="11" t="str">
        <f>IFERROR(IF(MARÍTIMOS[[#This Row],[Etapa Retiro - Llegada]]="","",MARÍTIMOS[[#This Row],[Etapa Retiro - Llegada]]),"")</f>
        <v/>
      </c>
      <c r="U481" s="11" t="str">
        <f>IFERROR(IF(MARÍTIMOS[[#This Row],[Etapa Retiro - Ingreso]]="","",MARÍTIMOS[[#This Row],[Etapa Retiro - Ingreso]]),"")</f>
        <v/>
      </c>
      <c r="V481" s="11" t="str">
        <f>IFERROR(IF(MARÍTIMOS[[#This Row],[Etapa Retiro - Atención]]="","",MARÍTIMOS[[#This Row],[Etapa Retiro - Atención]]),"")</f>
        <v/>
      </c>
      <c r="W481" s="11" t="str">
        <f>IFERROR(IF(MARÍTIMOS[[#This Row],[Etapa Retiro - Atención]]="","",MARÍTIMOS[[#This Row],[Etapa Retiro - Atención]]),"")</f>
        <v/>
      </c>
      <c r="X481" s="11" t="str">
        <f>IFERROR(IF(MARÍTIMOS[[#This Row],[Etapa Retiro - Inicio de Ruta]]="","",MARÍTIMOS[[#This Row],[Etapa Retiro - Inicio de Ruta]]),"")</f>
        <v/>
      </c>
      <c r="Y481" s="11" t="str">
        <f>IFERROR(IF(MARÍTIMOS[[#This Row],[Hora de Posicionamiento]]="","",MARÍTIMOS[[#This Row],[Fecha de Carga]]+MARÍTIMOS[[#This Row],[Hora de Posicionamiento]]),"")</f>
        <v/>
      </c>
      <c r="Z481" s="11" t="str">
        <f>IFERROR(IF(MARÍTIMOS[[#This Row],[Etapa Despacho - Llegada]]="","",MARÍTIMOS[[#This Row],[Etapa Despacho - Llegada]]),"")</f>
        <v/>
      </c>
      <c r="AA481" s="11" t="str">
        <f>IFERROR(IF(MARÍTIMOS[[#This Row],[Etapa Despacho - Registro]]="","",MARÍTIMOS[[#This Row],[Etapa Despacho - Registro]]),"")</f>
        <v/>
      </c>
      <c r="AB481" s="11" t="str">
        <f>IFERROR(IF(MARÍTIMOS[[#This Row],[Inspección Externa]]="","",MARÍTIMOS[[#This Row],[Inspección Externa]]),"")</f>
        <v/>
      </c>
      <c r="AC481" s="11" t="str">
        <f>IFERROR(IF(MARÍTIMOS[[#This Row],[Etapa Despacho - Inicio de Carga]]="","",MARÍTIMOS[[#This Row],[Etapa Despacho - Inicio de Carga]]),"")</f>
        <v/>
      </c>
      <c r="AD481" s="11" t="str">
        <f>IFERROR(IF(MARÍTIMOS[[#This Row],[Etapa Despacho - Mitad de Carga]]="","",MARÍTIMOS[[#This Row],[Etapa Despacho - Mitad de Carga]]),"")</f>
        <v/>
      </c>
      <c r="AE481" s="11" t="str">
        <f>IFERROR(IF(MARÍTIMOS[[#This Row],[Etapa Despacho - Fin de Carga]]="","",MARÍTIMOS[[#This Row],[Etapa Despacho - Fin de Carga]]),"")</f>
        <v/>
      </c>
      <c r="AF481" s="2" t="str">
        <f>IFERROR(IF(MARÍTIMOS[[#This Row],[Puerto de Embarque]]="","",MARÍTIMOS[[#This Row],[Puerto de Embarque]]),"")</f>
        <v/>
      </c>
      <c r="AG481" s="2" t="str">
        <f>IFERROR(IF(MARÍTIMOS[[#This Row],[Almacén de Ingreso]]="","",MARÍTIMOS[[#This Row],[Almacén de Ingreso]]),"")</f>
        <v/>
      </c>
      <c r="AH481" s="11" t="str">
        <f>IFERROR(IF(MARÍTIMOS[[#This Row],[Etapa Ingreso - Cita]]="","",MARÍTIMOS[[#This Row],[Etapa Ingreso - Cita]]),"")</f>
        <v/>
      </c>
      <c r="AI481" s="11" t="str">
        <f>IFERROR(IF(MARÍTIMOS[[#This Row],[Etapa Ingreso - Llegada]]="","",MARÍTIMOS[[#This Row],[Etapa Ingreso - Llegada]]),"")</f>
        <v/>
      </c>
      <c r="AJ481" s="11" t="str">
        <f>IFERROR(IF(MARÍTIMOS[[#This Row],[Etapa Ingreso - Ingeso]]="","",MARÍTIMOS[[#This Row],[Etapa Ingreso - Ingeso]]),"")</f>
        <v/>
      </c>
      <c r="AK481" s="11" t="str">
        <f>IFERROR(IF(MARÍTIMOS[[#This Row],[Etapa Ingreso - Atención]]="","",MARÍTIMOS[[#This Row],[Etapa Ingreso - Atención]]),"")</f>
        <v/>
      </c>
      <c r="AL481" s="11" t="str">
        <f>IFERROR(IF(MARÍTIMOS[[#This Row],[Etapa Ingreso - Salida]]="","",MARÍTIMOS[[#This Row],[Etapa Ingreso - Salida]]),"")</f>
        <v/>
      </c>
      <c r="AM481" s="2" t="str">
        <f>IFERROR(IF(MARÍTIMOS[[#This Row],[FCL]]="","",MARÍTIMOS[[#This Row],[FCL]]),"")</f>
        <v/>
      </c>
      <c r="AN4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1" s="4" t="str" cm="1">
        <f t="array" ref="AO4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1" s="5" t="str">
        <f>IFERROR(OLDBD[[#This Row],[Llegada a packing]]-OLDBD[[#This Row],[Inicio de Ruta]],"")</f>
        <v/>
      </c>
      <c r="AQ481" s="6" t="str">
        <f>IFERROR(OLDBD[[#This Row],[Inicio de Ruta]]-OLDBD[[#This Row],[Salida de almacén de retiro]],"")</f>
        <v/>
      </c>
      <c r="AR4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1" s="8" t="str" cm="1">
        <f t="array" ref="AS4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1" s="9" t="str">
        <f>IFERROR(OLDBD[[#This Row],[Ingreso Packing]]-OLDBD[[#This Row],[Registro en Packing]],"")</f>
        <v/>
      </c>
      <c r="AV481" s="9" t="str">
        <f>IFERROR(OLDBD[[#This Row],[Ingreso Packing]]-OLDBD[[#This Row],[Llegada a packing]],"")</f>
        <v/>
      </c>
      <c r="AW4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1" s="5" t="str">
        <f>IFERROR(OLDBD[[#This Row],[Llegada Almacén de Ingreso]]-OLDBD[[#This Row],[Salida Packing]],"")</f>
        <v/>
      </c>
      <c r="AY481" s="4" t="str" cm="1">
        <f t="array" ref="AY4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1" s="43" t="s">
        <v>173</v>
      </c>
      <c r="BB481" s="47" t="str">
        <f>IFERROR(IF(MARÍTIMOS[[#This Row],[Estatus]]="","",MARÍTIMOS[[#This Row],[Estatus]]),"")</f>
        <v/>
      </c>
      <c r="BC481" s="43"/>
      <c r="BD481" s="46" t="str">
        <f>IFERROR(OLDBD[[#This Row],[Salida de almacén de retiro]]-OLDBD[[#This Row],[Ingreso Almacén de retiro]],"")</f>
        <v/>
      </c>
      <c r="BE481" s="46" t="str">
        <f>IFERROR(OLDBD[[#This Row],[Fin de Carga]]-OLDBD[[#This Row],[Inicio de Carga]],"")</f>
        <v/>
      </c>
    </row>
    <row r="482" spans="1:57" customFormat="1" hidden="1">
      <c r="A482" s="1"/>
      <c r="B482" s="1" t="str">
        <f>IFERROR(IF(MARÍTIMOS[[#This Row],[PP]]="","",MARÍTIMOS[[#This Row],[PP]]),"")</f>
        <v/>
      </c>
      <c r="C482" s="1" t="str">
        <f>IFERROR(IF(MARÍTIMOS[[#This Row],[Sede]]="","",MARÍTIMOS[[#This Row],[Sede]]),"")</f>
        <v/>
      </c>
      <c r="D482" s="1" t="str">
        <f>IFERROR(IF(MARÍTIMOS[[#This Row],[Instruction]]="","",MARÍTIMOS[[#This Row],[Instruction]]),"")</f>
        <v/>
      </c>
      <c r="E482" s="1"/>
      <c r="F482" s="2" t="str">
        <f>IFERROR(IF(MARÍTIMOS[[#This Row],[Transportista]]="","",MARÍTIMOS[[#This Row],[Transportista]]),"")</f>
        <v/>
      </c>
      <c r="G482" s="2" t="str">
        <f>IFERROR(IF(MARÍTIMOS[[#This Row],[Tercero]]="","",MARÍTIMOS[[#This Row],[Tercero]]),"")</f>
        <v/>
      </c>
      <c r="H482" s="2" t="str">
        <f>IFERROR(IF(MARÍTIMOS[[#This Row],[Razón Social]]="","",MARÍTIMOS[[#This Row],[Razón Social]]),"")</f>
        <v/>
      </c>
      <c r="I482" s="2" t="str">
        <f>IFERROR(IF(MARÍTIMOS[[#This Row],[RUC]]="","",MARÍTIMOS[[#This Row],[RUC]]),"")</f>
        <v/>
      </c>
      <c r="J482" s="2" t="str">
        <f>IFERROR(IF(MARÍTIMOS[[#This Row],[Placa Tracto]]="","",MARÍTIMOS[[#This Row],[Placa Tracto]]),"")</f>
        <v/>
      </c>
      <c r="K482" s="2" t="str">
        <f>IFERROR(IF(MARÍTIMOS[[#This Row],[Placa Carreta]]="","",MARÍTIMOS[[#This Row],[Placa Carreta]]),"")</f>
        <v/>
      </c>
      <c r="L482" s="44" t="str">
        <f>IFERROR(IF(MARÍTIMOS[[#This Row],[Conductor]]="","",MARÍTIMOS[[#This Row],[Conductor]]),"")</f>
        <v/>
      </c>
      <c r="M482" s="2" t="str">
        <f>IFERROR(IF(MARÍTIMOS[[#This Row],[Licencia]]="","",MARÍTIMOS[[#This Row],[Licencia]]),"")</f>
        <v/>
      </c>
      <c r="N482" s="2" t="str">
        <f>IFERROR(IF(MARÍTIMOS[[#This Row],[Número de Contacto]]="","",MARÍTIMOS[[#This Row],[Número de Contacto]]),"")</f>
        <v/>
      </c>
      <c r="O482" s="10" t="str">
        <f>IFERROR(IF(MARÍTIMOS[[#This Row],[Booking|AWB|CRT]]="","",MARÍTIMOS[[#This Row],[Booking|AWB|CRT]]),"")</f>
        <v/>
      </c>
      <c r="P482" s="2" t="str">
        <f>IFERROR(IF(MARÍTIMOS[[#This Row],[Contenedor]]="","",MARÍTIMOS[[#This Row],[Contenedor]]),"")</f>
        <v/>
      </c>
      <c r="Q482" s="2" t="str">
        <f>IFERROR(IF(MARÍTIMOS[[#This Row],[Puerto de Retiro]]="","",MARÍTIMOS[[#This Row],[Puerto de Retiro]]),"")</f>
        <v/>
      </c>
      <c r="R482" s="2" t="str">
        <f>IFERROR(IF(MARÍTIMOS[[#This Row],[Almacén de Retiro]]="","",MARÍTIMOS[[#This Row],[Almacén de Retiro]]),"")</f>
        <v/>
      </c>
      <c r="S482" s="11" t="str">
        <f>IFERROR(IF(MARÍTIMOS[[#This Row],[Etapa Retiro - Cita]]="","",MARÍTIMOS[[#This Row],[Etapa Retiro - Cita]]),"")</f>
        <v/>
      </c>
      <c r="T482" s="11" t="str">
        <f>IFERROR(IF(MARÍTIMOS[[#This Row],[Etapa Retiro - Llegada]]="","",MARÍTIMOS[[#This Row],[Etapa Retiro - Llegada]]),"")</f>
        <v/>
      </c>
      <c r="U482" s="11" t="str">
        <f>IFERROR(IF(MARÍTIMOS[[#This Row],[Etapa Retiro - Ingreso]]="","",MARÍTIMOS[[#This Row],[Etapa Retiro - Ingreso]]),"")</f>
        <v/>
      </c>
      <c r="V482" s="11" t="str">
        <f>IFERROR(IF(MARÍTIMOS[[#This Row],[Etapa Retiro - Atención]]="","",MARÍTIMOS[[#This Row],[Etapa Retiro - Atención]]),"")</f>
        <v/>
      </c>
      <c r="W482" s="11" t="str">
        <f>IFERROR(IF(MARÍTIMOS[[#This Row],[Etapa Retiro - Atención]]="","",MARÍTIMOS[[#This Row],[Etapa Retiro - Atención]]),"")</f>
        <v/>
      </c>
      <c r="X482" s="11" t="str">
        <f>IFERROR(IF(MARÍTIMOS[[#This Row],[Etapa Retiro - Inicio de Ruta]]="","",MARÍTIMOS[[#This Row],[Etapa Retiro - Inicio de Ruta]]),"")</f>
        <v/>
      </c>
      <c r="Y482" s="11" t="str">
        <f>IFERROR(IF(MARÍTIMOS[[#This Row],[Hora de Posicionamiento]]="","",MARÍTIMOS[[#This Row],[Fecha de Carga]]+MARÍTIMOS[[#This Row],[Hora de Posicionamiento]]),"")</f>
        <v/>
      </c>
      <c r="Z482" s="11" t="str">
        <f>IFERROR(IF(MARÍTIMOS[[#This Row],[Etapa Despacho - Llegada]]="","",MARÍTIMOS[[#This Row],[Etapa Despacho - Llegada]]),"")</f>
        <v/>
      </c>
      <c r="AA482" s="11" t="str">
        <f>IFERROR(IF(MARÍTIMOS[[#This Row],[Etapa Despacho - Registro]]="","",MARÍTIMOS[[#This Row],[Etapa Despacho - Registro]]),"")</f>
        <v/>
      </c>
      <c r="AB482" s="11" t="str">
        <f>IFERROR(IF(MARÍTIMOS[[#This Row],[Inspección Externa]]="","",MARÍTIMOS[[#This Row],[Inspección Externa]]),"")</f>
        <v/>
      </c>
      <c r="AC482" s="11" t="str">
        <f>IFERROR(IF(MARÍTIMOS[[#This Row],[Etapa Despacho - Inicio de Carga]]="","",MARÍTIMOS[[#This Row],[Etapa Despacho - Inicio de Carga]]),"")</f>
        <v/>
      </c>
      <c r="AD482" s="11" t="str">
        <f>IFERROR(IF(MARÍTIMOS[[#This Row],[Etapa Despacho - Mitad de Carga]]="","",MARÍTIMOS[[#This Row],[Etapa Despacho - Mitad de Carga]]),"")</f>
        <v/>
      </c>
      <c r="AE482" s="11" t="str">
        <f>IFERROR(IF(MARÍTIMOS[[#This Row],[Etapa Despacho - Fin de Carga]]="","",MARÍTIMOS[[#This Row],[Etapa Despacho - Fin de Carga]]),"")</f>
        <v/>
      </c>
      <c r="AF482" s="2" t="str">
        <f>IFERROR(IF(MARÍTIMOS[[#This Row],[Puerto de Embarque]]="","",MARÍTIMOS[[#This Row],[Puerto de Embarque]]),"")</f>
        <v/>
      </c>
      <c r="AG482" s="2" t="str">
        <f>IFERROR(IF(MARÍTIMOS[[#This Row],[Almacén de Ingreso]]="","",MARÍTIMOS[[#This Row],[Almacén de Ingreso]]),"")</f>
        <v/>
      </c>
      <c r="AH482" s="11" t="str">
        <f>IFERROR(IF(MARÍTIMOS[[#This Row],[Etapa Ingreso - Cita]]="","",MARÍTIMOS[[#This Row],[Etapa Ingreso - Cita]]),"")</f>
        <v/>
      </c>
      <c r="AI482" s="11" t="str">
        <f>IFERROR(IF(MARÍTIMOS[[#This Row],[Etapa Ingreso - Llegada]]="","",MARÍTIMOS[[#This Row],[Etapa Ingreso - Llegada]]),"")</f>
        <v/>
      </c>
      <c r="AJ482" s="11" t="str">
        <f>IFERROR(IF(MARÍTIMOS[[#This Row],[Etapa Ingreso - Ingeso]]="","",MARÍTIMOS[[#This Row],[Etapa Ingreso - Ingeso]]),"")</f>
        <v/>
      </c>
      <c r="AK482" s="11" t="str">
        <f>IFERROR(IF(MARÍTIMOS[[#This Row],[Etapa Ingreso - Atención]]="","",MARÍTIMOS[[#This Row],[Etapa Ingreso - Atención]]),"")</f>
        <v/>
      </c>
      <c r="AL482" s="11" t="str">
        <f>IFERROR(IF(MARÍTIMOS[[#This Row],[Etapa Ingreso - Salida]]="","",MARÍTIMOS[[#This Row],[Etapa Ingreso - Salida]]),"")</f>
        <v/>
      </c>
      <c r="AM482" s="2" t="str">
        <f>IFERROR(IF(MARÍTIMOS[[#This Row],[FCL]]="","",MARÍTIMOS[[#This Row],[FCL]]),"")</f>
        <v/>
      </c>
      <c r="AN4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2" s="4" t="str" cm="1">
        <f t="array" ref="AO4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2" s="5" t="str">
        <f>IFERROR(OLDBD[[#This Row],[Llegada a packing]]-OLDBD[[#This Row],[Inicio de Ruta]],"")</f>
        <v/>
      </c>
      <c r="AQ482" s="6" t="str">
        <f>IFERROR(OLDBD[[#This Row],[Inicio de Ruta]]-OLDBD[[#This Row],[Salida de almacén de retiro]],"")</f>
        <v/>
      </c>
      <c r="AR4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2" s="8" t="str" cm="1">
        <f t="array" ref="AS4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2" s="9" t="str">
        <f>IFERROR(OLDBD[[#This Row],[Ingreso Packing]]-OLDBD[[#This Row],[Registro en Packing]],"")</f>
        <v/>
      </c>
      <c r="AV482" s="9" t="str">
        <f>IFERROR(OLDBD[[#This Row],[Ingreso Packing]]-OLDBD[[#This Row],[Llegada a packing]],"")</f>
        <v/>
      </c>
      <c r="AW4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2" s="5" t="str">
        <f>IFERROR(OLDBD[[#This Row],[Llegada Almacén de Ingreso]]-OLDBD[[#This Row],[Salida Packing]],"")</f>
        <v/>
      </c>
      <c r="AY482" s="4" t="str" cm="1">
        <f t="array" ref="AY4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2" s="43" t="s">
        <v>173</v>
      </c>
      <c r="BB482" s="47" t="str">
        <f>IFERROR(IF(MARÍTIMOS[[#This Row],[Estatus]]="","",MARÍTIMOS[[#This Row],[Estatus]]),"")</f>
        <v/>
      </c>
      <c r="BC482" s="43"/>
      <c r="BD482" s="46" t="str">
        <f>IFERROR(OLDBD[[#This Row],[Salida de almacén de retiro]]-OLDBD[[#This Row],[Ingreso Almacén de retiro]],"")</f>
        <v/>
      </c>
      <c r="BE482" s="46" t="str">
        <f>IFERROR(OLDBD[[#This Row],[Fin de Carga]]-OLDBD[[#This Row],[Inicio de Carga]],"")</f>
        <v/>
      </c>
    </row>
    <row r="483" spans="1:57" customFormat="1" hidden="1">
      <c r="A483" s="1"/>
      <c r="B483" s="1" t="str">
        <f>IFERROR(IF(MARÍTIMOS[[#This Row],[PP]]="","",MARÍTIMOS[[#This Row],[PP]]),"")</f>
        <v/>
      </c>
      <c r="C483" s="1" t="str">
        <f>IFERROR(IF(MARÍTIMOS[[#This Row],[Sede]]="","",MARÍTIMOS[[#This Row],[Sede]]),"")</f>
        <v/>
      </c>
      <c r="D483" s="1" t="str">
        <f>IFERROR(IF(MARÍTIMOS[[#This Row],[Instruction]]="","",MARÍTIMOS[[#This Row],[Instruction]]),"")</f>
        <v/>
      </c>
      <c r="E483" s="1"/>
      <c r="F483" s="2" t="str">
        <f>IFERROR(IF(MARÍTIMOS[[#This Row],[Transportista]]="","",MARÍTIMOS[[#This Row],[Transportista]]),"")</f>
        <v/>
      </c>
      <c r="G483" s="2" t="str">
        <f>IFERROR(IF(MARÍTIMOS[[#This Row],[Tercero]]="","",MARÍTIMOS[[#This Row],[Tercero]]),"")</f>
        <v/>
      </c>
      <c r="H483" s="2" t="str">
        <f>IFERROR(IF(MARÍTIMOS[[#This Row],[Razón Social]]="","",MARÍTIMOS[[#This Row],[Razón Social]]),"")</f>
        <v/>
      </c>
      <c r="I483" s="2" t="str">
        <f>IFERROR(IF(MARÍTIMOS[[#This Row],[RUC]]="","",MARÍTIMOS[[#This Row],[RUC]]),"")</f>
        <v/>
      </c>
      <c r="J483" s="2" t="str">
        <f>IFERROR(IF(MARÍTIMOS[[#This Row],[Placa Tracto]]="","",MARÍTIMOS[[#This Row],[Placa Tracto]]),"")</f>
        <v/>
      </c>
      <c r="K483" s="2" t="str">
        <f>IFERROR(IF(MARÍTIMOS[[#This Row],[Placa Carreta]]="","",MARÍTIMOS[[#This Row],[Placa Carreta]]),"")</f>
        <v/>
      </c>
      <c r="L483" s="44" t="str">
        <f>IFERROR(IF(MARÍTIMOS[[#This Row],[Conductor]]="","",MARÍTIMOS[[#This Row],[Conductor]]),"")</f>
        <v/>
      </c>
      <c r="M483" s="2" t="str">
        <f>IFERROR(IF(MARÍTIMOS[[#This Row],[Licencia]]="","",MARÍTIMOS[[#This Row],[Licencia]]),"")</f>
        <v/>
      </c>
      <c r="N483" s="2" t="str">
        <f>IFERROR(IF(MARÍTIMOS[[#This Row],[Número de Contacto]]="","",MARÍTIMOS[[#This Row],[Número de Contacto]]),"")</f>
        <v/>
      </c>
      <c r="O483" s="10" t="str">
        <f>IFERROR(IF(MARÍTIMOS[[#This Row],[Booking|AWB|CRT]]="","",MARÍTIMOS[[#This Row],[Booking|AWB|CRT]]),"")</f>
        <v/>
      </c>
      <c r="P483" s="2" t="str">
        <f>IFERROR(IF(MARÍTIMOS[[#This Row],[Contenedor]]="","",MARÍTIMOS[[#This Row],[Contenedor]]),"")</f>
        <v/>
      </c>
      <c r="Q483" s="2" t="str">
        <f>IFERROR(IF(MARÍTIMOS[[#This Row],[Puerto de Retiro]]="","",MARÍTIMOS[[#This Row],[Puerto de Retiro]]),"")</f>
        <v/>
      </c>
      <c r="R483" s="2" t="str">
        <f>IFERROR(IF(MARÍTIMOS[[#This Row],[Almacén de Retiro]]="","",MARÍTIMOS[[#This Row],[Almacén de Retiro]]),"")</f>
        <v/>
      </c>
      <c r="S483" s="11" t="str">
        <f>IFERROR(IF(MARÍTIMOS[[#This Row],[Etapa Retiro - Cita]]="","",MARÍTIMOS[[#This Row],[Etapa Retiro - Cita]]),"")</f>
        <v/>
      </c>
      <c r="T483" s="11" t="str">
        <f>IFERROR(IF(MARÍTIMOS[[#This Row],[Etapa Retiro - Llegada]]="","",MARÍTIMOS[[#This Row],[Etapa Retiro - Llegada]]),"")</f>
        <v/>
      </c>
      <c r="U483" s="11" t="str">
        <f>IFERROR(IF(MARÍTIMOS[[#This Row],[Etapa Retiro - Ingreso]]="","",MARÍTIMOS[[#This Row],[Etapa Retiro - Ingreso]]),"")</f>
        <v/>
      </c>
      <c r="V483" s="11" t="str">
        <f>IFERROR(IF(MARÍTIMOS[[#This Row],[Etapa Retiro - Atención]]="","",MARÍTIMOS[[#This Row],[Etapa Retiro - Atención]]),"")</f>
        <v/>
      </c>
      <c r="W483" s="11" t="str">
        <f>IFERROR(IF(MARÍTIMOS[[#This Row],[Etapa Retiro - Atención]]="","",MARÍTIMOS[[#This Row],[Etapa Retiro - Atención]]),"")</f>
        <v/>
      </c>
      <c r="X483" s="11" t="str">
        <f>IFERROR(IF(MARÍTIMOS[[#This Row],[Etapa Retiro - Inicio de Ruta]]="","",MARÍTIMOS[[#This Row],[Etapa Retiro - Inicio de Ruta]]),"")</f>
        <v/>
      </c>
      <c r="Y483" s="11" t="str">
        <f>IFERROR(IF(MARÍTIMOS[[#This Row],[Hora de Posicionamiento]]="","",MARÍTIMOS[[#This Row],[Fecha de Carga]]+MARÍTIMOS[[#This Row],[Hora de Posicionamiento]]),"")</f>
        <v/>
      </c>
      <c r="Z483" s="11" t="str">
        <f>IFERROR(IF(MARÍTIMOS[[#This Row],[Etapa Despacho - Llegada]]="","",MARÍTIMOS[[#This Row],[Etapa Despacho - Llegada]]),"")</f>
        <v/>
      </c>
      <c r="AA483" s="11" t="str">
        <f>IFERROR(IF(MARÍTIMOS[[#This Row],[Etapa Despacho - Registro]]="","",MARÍTIMOS[[#This Row],[Etapa Despacho - Registro]]),"")</f>
        <v/>
      </c>
      <c r="AB483" s="11" t="str">
        <f>IFERROR(IF(MARÍTIMOS[[#This Row],[Inspección Externa]]="","",MARÍTIMOS[[#This Row],[Inspección Externa]]),"")</f>
        <v/>
      </c>
      <c r="AC483" s="11" t="str">
        <f>IFERROR(IF(MARÍTIMOS[[#This Row],[Etapa Despacho - Inicio de Carga]]="","",MARÍTIMOS[[#This Row],[Etapa Despacho - Inicio de Carga]]),"")</f>
        <v/>
      </c>
      <c r="AD483" s="11" t="str">
        <f>IFERROR(IF(MARÍTIMOS[[#This Row],[Etapa Despacho - Mitad de Carga]]="","",MARÍTIMOS[[#This Row],[Etapa Despacho - Mitad de Carga]]),"")</f>
        <v/>
      </c>
      <c r="AE483" s="11" t="str">
        <f>IFERROR(IF(MARÍTIMOS[[#This Row],[Etapa Despacho - Fin de Carga]]="","",MARÍTIMOS[[#This Row],[Etapa Despacho - Fin de Carga]]),"")</f>
        <v/>
      </c>
      <c r="AF483" s="2" t="str">
        <f>IFERROR(IF(MARÍTIMOS[[#This Row],[Puerto de Embarque]]="","",MARÍTIMOS[[#This Row],[Puerto de Embarque]]),"")</f>
        <v/>
      </c>
      <c r="AG483" s="2" t="str">
        <f>IFERROR(IF(MARÍTIMOS[[#This Row],[Almacén de Ingreso]]="","",MARÍTIMOS[[#This Row],[Almacén de Ingreso]]),"")</f>
        <v/>
      </c>
      <c r="AH483" s="11" t="str">
        <f>IFERROR(IF(MARÍTIMOS[[#This Row],[Etapa Ingreso - Cita]]="","",MARÍTIMOS[[#This Row],[Etapa Ingreso - Cita]]),"")</f>
        <v/>
      </c>
      <c r="AI483" s="11" t="str">
        <f>IFERROR(IF(MARÍTIMOS[[#This Row],[Etapa Ingreso - Llegada]]="","",MARÍTIMOS[[#This Row],[Etapa Ingreso - Llegada]]),"")</f>
        <v/>
      </c>
      <c r="AJ483" s="11" t="str">
        <f>IFERROR(IF(MARÍTIMOS[[#This Row],[Etapa Ingreso - Ingeso]]="","",MARÍTIMOS[[#This Row],[Etapa Ingreso - Ingeso]]),"")</f>
        <v/>
      </c>
      <c r="AK483" s="11" t="str">
        <f>IFERROR(IF(MARÍTIMOS[[#This Row],[Etapa Ingreso - Atención]]="","",MARÍTIMOS[[#This Row],[Etapa Ingreso - Atención]]),"")</f>
        <v/>
      </c>
      <c r="AL483" s="11" t="str">
        <f>IFERROR(IF(MARÍTIMOS[[#This Row],[Etapa Ingreso - Salida]]="","",MARÍTIMOS[[#This Row],[Etapa Ingreso - Salida]]),"")</f>
        <v/>
      </c>
      <c r="AM483" s="2" t="str">
        <f>IFERROR(IF(MARÍTIMOS[[#This Row],[FCL]]="","",MARÍTIMOS[[#This Row],[FCL]]),"")</f>
        <v/>
      </c>
      <c r="AN4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3" s="4" t="str" cm="1">
        <f t="array" ref="AO4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3" s="5" t="str">
        <f>IFERROR(OLDBD[[#This Row],[Llegada a packing]]-OLDBD[[#This Row],[Inicio de Ruta]],"")</f>
        <v/>
      </c>
      <c r="AQ483" s="6" t="str">
        <f>IFERROR(OLDBD[[#This Row],[Inicio de Ruta]]-OLDBD[[#This Row],[Salida de almacén de retiro]],"")</f>
        <v/>
      </c>
      <c r="AR4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3" s="8" t="str" cm="1">
        <f t="array" ref="AS4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3" s="9" t="str">
        <f>IFERROR(OLDBD[[#This Row],[Ingreso Packing]]-OLDBD[[#This Row],[Registro en Packing]],"")</f>
        <v/>
      </c>
      <c r="AV483" s="9" t="str">
        <f>IFERROR(OLDBD[[#This Row],[Ingreso Packing]]-OLDBD[[#This Row],[Llegada a packing]],"")</f>
        <v/>
      </c>
      <c r="AW4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3" s="5" t="str">
        <f>IFERROR(OLDBD[[#This Row],[Llegada Almacén de Ingreso]]-OLDBD[[#This Row],[Salida Packing]],"")</f>
        <v/>
      </c>
      <c r="AY483" s="4" t="str" cm="1">
        <f t="array" ref="AY4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3" s="43" t="s">
        <v>173</v>
      </c>
      <c r="BB483" s="47" t="str">
        <f>IFERROR(IF(MARÍTIMOS[[#This Row],[Estatus]]="","",MARÍTIMOS[[#This Row],[Estatus]]),"")</f>
        <v/>
      </c>
      <c r="BC483" s="43"/>
      <c r="BD483" s="46" t="str">
        <f>IFERROR(OLDBD[[#This Row],[Salida de almacén de retiro]]-OLDBD[[#This Row],[Ingreso Almacén de retiro]],"")</f>
        <v/>
      </c>
      <c r="BE483" s="46" t="str">
        <f>IFERROR(OLDBD[[#This Row],[Fin de Carga]]-OLDBD[[#This Row],[Inicio de Carga]],"")</f>
        <v/>
      </c>
    </row>
    <row r="484" spans="1:57" customFormat="1" hidden="1">
      <c r="A484" s="1"/>
      <c r="B484" s="1" t="str">
        <f>IFERROR(IF(MARÍTIMOS[[#This Row],[PP]]="","",MARÍTIMOS[[#This Row],[PP]]),"")</f>
        <v/>
      </c>
      <c r="C484" s="1" t="str">
        <f>IFERROR(IF(MARÍTIMOS[[#This Row],[Sede]]="","",MARÍTIMOS[[#This Row],[Sede]]),"")</f>
        <v/>
      </c>
      <c r="D484" s="1" t="str">
        <f>IFERROR(IF(MARÍTIMOS[[#This Row],[Instruction]]="","",MARÍTIMOS[[#This Row],[Instruction]]),"")</f>
        <v/>
      </c>
      <c r="E484" s="1"/>
      <c r="F484" s="2" t="str">
        <f>IFERROR(IF(MARÍTIMOS[[#This Row],[Transportista]]="","",MARÍTIMOS[[#This Row],[Transportista]]),"")</f>
        <v/>
      </c>
      <c r="G484" s="2" t="str">
        <f>IFERROR(IF(MARÍTIMOS[[#This Row],[Tercero]]="","",MARÍTIMOS[[#This Row],[Tercero]]),"")</f>
        <v/>
      </c>
      <c r="H484" s="2" t="str">
        <f>IFERROR(IF(MARÍTIMOS[[#This Row],[Razón Social]]="","",MARÍTIMOS[[#This Row],[Razón Social]]),"")</f>
        <v/>
      </c>
      <c r="I484" s="2" t="str">
        <f>IFERROR(IF(MARÍTIMOS[[#This Row],[RUC]]="","",MARÍTIMOS[[#This Row],[RUC]]),"")</f>
        <v/>
      </c>
      <c r="J484" s="2" t="str">
        <f>IFERROR(IF(MARÍTIMOS[[#This Row],[Placa Tracto]]="","",MARÍTIMOS[[#This Row],[Placa Tracto]]),"")</f>
        <v/>
      </c>
      <c r="K484" s="2" t="str">
        <f>IFERROR(IF(MARÍTIMOS[[#This Row],[Placa Carreta]]="","",MARÍTIMOS[[#This Row],[Placa Carreta]]),"")</f>
        <v/>
      </c>
      <c r="L484" s="44" t="str">
        <f>IFERROR(IF(MARÍTIMOS[[#This Row],[Conductor]]="","",MARÍTIMOS[[#This Row],[Conductor]]),"")</f>
        <v/>
      </c>
      <c r="M484" s="2" t="str">
        <f>IFERROR(IF(MARÍTIMOS[[#This Row],[Licencia]]="","",MARÍTIMOS[[#This Row],[Licencia]]),"")</f>
        <v/>
      </c>
      <c r="N484" s="2" t="str">
        <f>IFERROR(IF(MARÍTIMOS[[#This Row],[Número de Contacto]]="","",MARÍTIMOS[[#This Row],[Número de Contacto]]),"")</f>
        <v/>
      </c>
      <c r="O484" s="10" t="str">
        <f>IFERROR(IF(MARÍTIMOS[[#This Row],[Booking|AWB|CRT]]="","",MARÍTIMOS[[#This Row],[Booking|AWB|CRT]]),"")</f>
        <v/>
      </c>
      <c r="P484" s="2" t="str">
        <f>IFERROR(IF(MARÍTIMOS[[#This Row],[Contenedor]]="","",MARÍTIMOS[[#This Row],[Contenedor]]),"")</f>
        <v/>
      </c>
      <c r="Q484" s="2" t="str">
        <f>IFERROR(IF(MARÍTIMOS[[#This Row],[Puerto de Retiro]]="","",MARÍTIMOS[[#This Row],[Puerto de Retiro]]),"")</f>
        <v/>
      </c>
      <c r="R484" s="2" t="str">
        <f>IFERROR(IF(MARÍTIMOS[[#This Row],[Almacén de Retiro]]="","",MARÍTIMOS[[#This Row],[Almacén de Retiro]]),"")</f>
        <v/>
      </c>
      <c r="S484" s="11" t="str">
        <f>IFERROR(IF(MARÍTIMOS[[#This Row],[Etapa Retiro - Cita]]="","",MARÍTIMOS[[#This Row],[Etapa Retiro - Cita]]),"")</f>
        <v/>
      </c>
      <c r="T484" s="11" t="str">
        <f>IFERROR(IF(MARÍTIMOS[[#This Row],[Etapa Retiro - Llegada]]="","",MARÍTIMOS[[#This Row],[Etapa Retiro - Llegada]]),"")</f>
        <v/>
      </c>
      <c r="U484" s="11" t="str">
        <f>IFERROR(IF(MARÍTIMOS[[#This Row],[Etapa Retiro - Ingreso]]="","",MARÍTIMOS[[#This Row],[Etapa Retiro - Ingreso]]),"")</f>
        <v/>
      </c>
      <c r="V484" s="11" t="str">
        <f>IFERROR(IF(MARÍTIMOS[[#This Row],[Etapa Retiro - Atención]]="","",MARÍTIMOS[[#This Row],[Etapa Retiro - Atención]]),"")</f>
        <v/>
      </c>
      <c r="W484" s="11" t="str">
        <f>IFERROR(IF(MARÍTIMOS[[#This Row],[Etapa Retiro - Atención]]="","",MARÍTIMOS[[#This Row],[Etapa Retiro - Atención]]),"")</f>
        <v/>
      </c>
      <c r="X484" s="11" t="str">
        <f>IFERROR(IF(MARÍTIMOS[[#This Row],[Etapa Retiro - Inicio de Ruta]]="","",MARÍTIMOS[[#This Row],[Etapa Retiro - Inicio de Ruta]]),"")</f>
        <v/>
      </c>
      <c r="Y484" s="11" t="str">
        <f>IFERROR(IF(MARÍTIMOS[[#This Row],[Hora de Posicionamiento]]="","",MARÍTIMOS[[#This Row],[Fecha de Carga]]+MARÍTIMOS[[#This Row],[Hora de Posicionamiento]]),"")</f>
        <v/>
      </c>
      <c r="Z484" s="11" t="str">
        <f>IFERROR(IF(MARÍTIMOS[[#This Row],[Etapa Despacho - Llegada]]="","",MARÍTIMOS[[#This Row],[Etapa Despacho - Llegada]]),"")</f>
        <v/>
      </c>
      <c r="AA484" s="11" t="str">
        <f>IFERROR(IF(MARÍTIMOS[[#This Row],[Etapa Despacho - Registro]]="","",MARÍTIMOS[[#This Row],[Etapa Despacho - Registro]]),"")</f>
        <v/>
      </c>
      <c r="AB484" s="11" t="str">
        <f>IFERROR(IF(MARÍTIMOS[[#This Row],[Inspección Externa]]="","",MARÍTIMOS[[#This Row],[Inspección Externa]]),"")</f>
        <v/>
      </c>
      <c r="AC484" s="11" t="str">
        <f>IFERROR(IF(MARÍTIMOS[[#This Row],[Etapa Despacho - Inicio de Carga]]="","",MARÍTIMOS[[#This Row],[Etapa Despacho - Inicio de Carga]]),"")</f>
        <v/>
      </c>
      <c r="AD484" s="11" t="str">
        <f>IFERROR(IF(MARÍTIMOS[[#This Row],[Etapa Despacho - Mitad de Carga]]="","",MARÍTIMOS[[#This Row],[Etapa Despacho - Mitad de Carga]]),"")</f>
        <v/>
      </c>
      <c r="AE484" s="11" t="str">
        <f>IFERROR(IF(MARÍTIMOS[[#This Row],[Etapa Despacho - Fin de Carga]]="","",MARÍTIMOS[[#This Row],[Etapa Despacho - Fin de Carga]]),"")</f>
        <v/>
      </c>
      <c r="AF484" s="2" t="str">
        <f>IFERROR(IF(MARÍTIMOS[[#This Row],[Puerto de Embarque]]="","",MARÍTIMOS[[#This Row],[Puerto de Embarque]]),"")</f>
        <v/>
      </c>
      <c r="AG484" s="2" t="str">
        <f>IFERROR(IF(MARÍTIMOS[[#This Row],[Almacén de Ingreso]]="","",MARÍTIMOS[[#This Row],[Almacén de Ingreso]]),"")</f>
        <v/>
      </c>
      <c r="AH484" s="11" t="str">
        <f>IFERROR(IF(MARÍTIMOS[[#This Row],[Etapa Ingreso - Cita]]="","",MARÍTIMOS[[#This Row],[Etapa Ingreso - Cita]]),"")</f>
        <v/>
      </c>
      <c r="AI484" s="11" t="str">
        <f>IFERROR(IF(MARÍTIMOS[[#This Row],[Etapa Ingreso - Llegada]]="","",MARÍTIMOS[[#This Row],[Etapa Ingreso - Llegada]]),"")</f>
        <v/>
      </c>
      <c r="AJ484" s="11" t="str">
        <f>IFERROR(IF(MARÍTIMOS[[#This Row],[Etapa Ingreso - Ingeso]]="","",MARÍTIMOS[[#This Row],[Etapa Ingreso - Ingeso]]),"")</f>
        <v/>
      </c>
      <c r="AK484" s="11" t="str">
        <f>IFERROR(IF(MARÍTIMOS[[#This Row],[Etapa Ingreso - Atención]]="","",MARÍTIMOS[[#This Row],[Etapa Ingreso - Atención]]),"")</f>
        <v/>
      </c>
      <c r="AL484" s="11" t="str">
        <f>IFERROR(IF(MARÍTIMOS[[#This Row],[Etapa Ingreso - Salida]]="","",MARÍTIMOS[[#This Row],[Etapa Ingreso - Salida]]),"")</f>
        <v/>
      </c>
      <c r="AM484" s="2" t="str">
        <f>IFERROR(IF(MARÍTIMOS[[#This Row],[FCL]]="","",MARÍTIMOS[[#This Row],[FCL]]),"")</f>
        <v/>
      </c>
      <c r="AN4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4" s="4" t="str" cm="1">
        <f t="array" ref="AO4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4" s="5" t="str">
        <f>IFERROR(OLDBD[[#This Row],[Llegada a packing]]-OLDBD[[#This Row],[Inicio de Ruta]],"")</f>
        <v/>
      </c>
      <c r="AQ484" s="6" t="str">
        <f>IFERROR(OLDBD[[#This Row],[Inicio de Ruta]]-OLDBD[[#This Row],[Salida de almacén de retiro]],"")</f>
        <v/>
      </c>
      <c r="AR4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4" s="8" t="str" cm="1">
        <f t="array" ref="AS4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4" s="9" t="str">
        <f>IFERROR(OLDBD[[#This Row],[Ingreso Packing]]-OLDBD[[#This Row],[Registro en Packing]],"")</f>
        <v/>
      </c>
      <c r="AV484" s="9" t="str">
        <f>IFERROR(OLDBD[[#This Row],[Ingreso Packing]]-OLDBD[[#This Row],[Llegada a packing]],"")</f>
        <v/>
      </c>
      <c r="AW4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4" s="5" t="str">
        <f>IFERROR(OLDBD[[#This Row],[Llegada Almacén de Ingreso]]-OLDBD[[#This Row],[Salida Packing]],"")</f>
        <v/>
      </c>
      <c r="AY484" s="4" t="str" cm="1">
        <f t="array" ref="AY4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4" s="43" t="s">
        <v>173</v>
      </c>
      <c r="BB484" s="47" t="str">
        <f>IFERROR(IF(MARÍTIMOS[[#This Row],[Estatus]]="","",MARÍTIMOS[[#This Row],[Estatus]]),"")</f>
        <v/>
      </c>
      <c r="BC484" s="43"/>
      <c r="BD484" s="46" t="str">
        <f>IFERROR(OLDBD[[#This Row],[Salida de almacén de retiro]]-OLDBD[[#This Row],[Ingreso Almacén de retiro]],"")</f>
        <v/>
      </c>
      <c r="BE484" s="46" t="str">
        <f>IFERROR(OLDBD[[#This Row],[Fin de Carga]]-OLDBD[[#This Row],[Inicio de Carga]],"")</f>
        <v/>
      </c>
    </row>
    <row r="485" spans="1:57" customFormat="1" hidden="1">
      <c r="A485" s="1"/>
      <c r="B485" s="1" t="str">
        <f>IFERROR(IF(MARÍTIMOS[[#This Row],[PP]]="","",MARÍTIMOS[[#This Row],[PP]]),"")</f>
        <v/>
      </c>
      <c r="C485" s="1" t="str">
        <f>IFERROR(IF(MARÍTIMOS[[#This Row],[Sede]]="","",MARÍTIMOS[[#This Row],[Sede]]),"")</f>
        <v/>
      </c>
      <c r="D485" s="1" t="str">
        <f>IFERROR(IF(MARÍTIMOS[[#This Row],[Instruction]]="","",MARÍTIMOS[[#This Row],[Instruction]]),"")</f>
        <v/>
      </c>
      <c r="E485" s="1"/>
      <c r="F485" s="2" t="str">
        <f>IFERROR(IF(MARÍTIMOS[[#This Row],[Transportista]]="","",MARÍTIMOS[[#This Row],[Transportista]]),"")</f>
        <v/>
      </c>
      <c r="G485" s="2" t="str">
        <f>IFERROR(IF(MARÍTIMOS[[#This Row],[Tercero]]="","",MARÍTIMOS[[#This Row],[Tercero]]),"")</f>
        <v/>
      </c>
      <c r="H485" s="2" t="str">
        <f>IFERROR(IF(MARÍTIMOS[[#This Row],[Razón Social]]="","",MARÍTIMOS[[#This Row],[Razón Social]]),"")</f>
        <v/>
      </c>
      <c r="I485" s="2" t="str">
        <f>IFERROR(IF(MARÍTIMOS[[#This Row],[RUC]]="","",MARÍTIMOS[[#This Row],[RUC]]),"")</f>
        <v/>
      </c>
      <c r="J485" s="2" t="str">
        <f>IFERROR(IF(MARÍTIMOS[[#This Row],[Placa Tracto]]="","",MARÍTIMOS[[#This Row],[Placa Tracto]]),"")</f>
        <v/>
      </c>
      <c r="K485" s="2" t="str">
        <f>IFERROR(IF(MARÍTIMOS[[#This Row],[Placa Carreta]]="","",MARÍTIMOS[[#This Row],[Placa Carreta]]),"")</f>
        <v/>
      </c>
      <c r="L485" s="44" t="str">
        <f>IFERROR(IF(MARÍTIMOS[[#This Row],[Conductor]]="","",MARÍTIMOS[[#This Row],[Conductor]]),"")</f>
        <v/>
      </c>
      <c r="M485" s="2" t="str">
        <f>IFERROR(IF(MARÍTIMOS[[#This Row],[Licencia]]="","",MARÍTIMOS[[#This Row],[Licencia]]),"")</f>
        <v/>
      </c>
      <c r="N485" s="2" t="str">
        <f>IFERROR(IF(MARÍTIMOS[[#This Row],[Número de Contacto]]="","",MARÍTIMOS[[#This Row],[Número de Contacto]]),"")</f>
        <v/>
      </c>
      <c r="O485" s="10" t="str">
        <f>IFERROR(IF(MARÍTIMOS[[#This Row],[Booking|AWB|CRT]]="","",MARÍTIMOS[[#This Row],[Booking|AWB|CRT]]),"")</f>
        <v/>
      </c>
      <c r="P485" s="2" t="str">
        <f>IFERROR(IF(MARÍTIMOS[[#This Row],[Contenedor]]="","",MARÍTIMOS[[#This Row],[Contenedor]]),"")</f>
        <v/>
      </c>
      <c r="Q485" s="2" t="str">
        <f>IFERROR(IF(MARÍTIMOS[[#This Row],[Puerto de Retiro]]="","",MARÍTIMOS[[#This Row],[Puerto de Retiro]]),"")</f>
        <v/>
      </c>
      <c r="R485" s="2" t="str">
        <f>IFERROR(IF(MARÍTIMOS[[#This Row],[Almacén de Retiro]]="","",MARÍTIMOS[[#This Row],[Almacén de Retiro]]),"")</f>
        <v/>
      </c>
      <c r="S485" s="11" t="str">
        <f>IFERROR(IF(MARÍTIMOS[[#This Row],[Etapa Retiro - Cita]]="","",MARÍTIMOS[[#This Row],[Etapa Retiro - Cita]]),"")</f>
        <v/>
      </c>
      <c r="T485" s="11" t="str">
        <f>IFERROR(IF(MARÍTIMOS[[#This Row],[Etapa Retiro - Llegada]]="","",MARÍTIMOS[[#This Row],[Etapa Retiro - Llegada]]),"")</f>
        <v/>
      </c>
      <c r="U485" s="11" t="str">
        <f>IFERROR(IF(MARÍTIMOS[[#This Row],[Etapa Retiro - Ingreso]]="","",MARÍTIMOS[[#This Row],[Etapa Retiro - Ingreso]]),"")</f>
        <v/>
      </c>
      <c r="V485" s="11" t="str">
        <f>IFERROR(IF(MARÍTIMOS[[#This Row],[Etapa Retiro - Atención]]="","",MARÍTIMOS[[#This Row],[Etapa Retiro - Atención]]),"")</f>
        <v/>
      </c>
      <c r="W485" s="11" t="str">
        <f>IFERROR(IF(MARÍTIMOS[[#This Row],[Etapa Retiro - Atención]]="","",MARÍTIMOS[[#This Row],[Etapa Retiro - Atención]]),"")</f>
        <v/>
      </c>
      <c r="X485" s="11" t="str">
        <f>IFERROR(IF(MARÍTIMOS[[#This Row],[Etapa Retiro - Inicio de Ruta]]="","",MARÍTIMOS[[#This Row],[Etapa Retiro - Inicio de Ruta]]),"")</f>
        <v/>
      </c>
      <c r="Y485" s="11" t="str">
        <f>IFERROR(IF(MARÍTIMOS[[#This Row],[Hora de Posicionamiento]]="","",MARÍTIMOS[[#This Row],[Fecha de Carga]]+MARÍTIMOS[[#This Row],[Hora de Posicionamiento]]),"")</f>
        <v/>
      </c>
      <c r="Z485" s="11" t="str">
        <f>IFERROR(IF(MARÍTIMOS[[#This Row],[Etapa Despacho - Llegada]]="","",MARÍTIMOS[[#This Row],[Etapa Despacho - Llegada]]),"")</f>
        <v/>
      </c>
      <c r="AA485" s="11" t="str">
        <f>IFERROR(IF(MARÍTIMOS[[#This Row],[Etapa Despacho - Registro]]="","",MARÍTIMOS[[#This Row],[Etapa Despacho - Registro]]),"")</f>
        <v/>
      </c>
      <c r="AB485" s="11" t="str">
        <f>IFERROR(IF(MARÍTIMOS[[#This Row],[Inspección Externa]]="","",MARÍTIMOS[[#This Row],[Inspección Externa]]),"")</f>
        <v/>
      </c>
      <c r="AC485" s="11" t="str">
        <f>IFERROR(IF(MARÍTIMOS[[#This Row],[Etapa Despacho - Inicio de Carga]]="","",MARÍTIMOS[[#This Row],[Etapa Despacho - Inicio de Carga]]),"")</f>
        <v/>
      </c>
      <c r="AD485" s="11" t="str">
        <f>IFERROR(IF(MARÍTIMOS[[#This Row],[Etapa Despacho - Mitad de Carga]]="","",MARÍTIMOS[[#This Row],[Etapa Despacho - Mitad de Carga]]),"")</f>
        <v/>
      </c>
      <c r="AE485" s="11" t="str">
        <f>IFERROR(IF(MARÍTIMOS[[#This Row],[Etapa Despacho - Fin de Carga]]="","",MARÍTIMOS[[#This Row],[Etapa Despacho - Fin de Carga]]),"")</f>
        <v/>
      </c>
      <c r="AF485" s="2" t="str">
        <f>IFERROR(IF(MARÍTIMOS[[#This Row],[Puerto de Embarque]]="","",MARÍTIMOS[[#This Row],[Puerto de Embarque]]),"")</f>
        <v/>
      </c>
      <c r="AG485" s="2" t="str">
        <f>IFERROR(IF(MARÍTIMOS[[#This Row],[Almacén de Ingreso]]="","",MARÍTIMOS[[#This Row],[Almacén de Ingreso]]),"")</f>
        <v/>
      </c>
      <c r="AH485" s="11" t="str">
        <f>IFERROR(IF(MARÍTIMOS[[#This Row],[Etapa Ingreso - Cita]]="","",MARÍTIMOS[[#This Row],[Etapa Ingreso - Cita]]),"")</f>
        <v/>
      </c>
      <c r="AI485" s="11" t="str">
        <f>IFERROR(IF(MARÍTIMOS[[#This Row],[Etapa Ingreso - Llegada]]="","",MARÍTIMOS[[#This Row],[Etapa Ingreso - Llegada]]),"")</f>
        <v/>
      </c>
      <c r="AJ485" s="11" t="str">
        <f>IFERROR(IF(MARÍTIMOS[[#This Row],[Etapa Ingreso - Ingeso]]="","",MARÍTIMOS[[#This Row],[Etapa Ingreso - Ingeso]]),"")</f>
        <v/>
      </c>
      <c r="AK485" s="11" t="str">
        <f>IFERROR(IF(MARÍTIMOS[[#This Row],[Etapa Ingreso - Atención]]="","",MARÍTIMOS[[#This Row],[Etapa Ingreso - Atención]]),"")</f>
        <v/>
      </c>
      <c r="AL485" s="11" t="str">
        <f>IFERROR(IF(MARÍTIMOS[[#This Row],[Etapa Ingreso - Salida]]="","",MARÍTIMOS[[#This Row],[Etapa Ingreso - Salida]]),"")</f>
        <v/>
      </c>
      <c r="AM485" s="2" t="str">
        <f>IFERROR(IF(MARÍTIMOS[[#This Row],[FCL]]="","",MARÍTIMOS[[#This Row],[FCL]]),"")</f>
        <v/>
      </c>
      <c r="AN4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5" s="4" t="str" cm="1">
        <f t="array" ref="AO4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5" s="5" t="str">
        <f>IFERROR(OLDBD[[#This Row],[Llegada a packing]]-OLDBD[[#This Row],[Inicio de Ruta]],"")</f>
        <v/>
      </c>
      <c r="AQ485" s="6" t="str">
        <f>IFERROR(OLDBD[[#This Row],[Inicio de Ruta]]-OLDBD[[#This Row],[Salida de almacén de retiro]],"")</f>
        <v/>
      </c>
      <c r="AR4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5" s="8" t="str" cm="1">
        <f t="array" ref="AS4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5" s="9" t="str">
        <f>IFERROR(OLDBD[[#This Row],[Ingreso Packing]]-OLDBD[[#This Row],[Registro en Packing]],"")</f>
        <v/>
      </c>
      <c r="AV485" s="9" t="str">
        <f>IFERROR(OLDBD[[#This Row],[Ingreso Packing]]-OLDBD[[#This Row],[Llegada a packing]],"")</f>
        <v/>
      </c>
      <c r="AW4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5" s="5" t="str">
        <f>IFERROR(OLDBD[[#This Row],[Llegada Almacén de Ingreso]]-OLDBD[[#This Row],[Salida Packing]],"")</f>
        <v/>
      </c>
      <c r="AY485" s="4" t="str" cm="1">
        <f t="array" ref="AY4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5" s="43" t="s">
        <v>173</v>
      </c>
      <c r="BB485" s="47" t="str">
        <f>IFERROR(IF(MARÍTIMOS[[#This Row],[Estatus]]="","",MARÍTIMOS[[#This Row],[Estatus]]),"")</f>
        <v/>
      </c>
      <c r="BC485" s="43"/>
      <c r="BD485" s="46" t="str">
        <f>IFERROR(OLDBD[[#This Row],[Salida de almacén de retiro]]-OLDBD[[#This Row],[Ingreso Almacén de retiro]],"")</f>
        <v/>
      </c>
      <c r="BE485" s="46" t="str">
        <f>IFERROR(OLDBD[[#This Row],[Fin de Carga]]-OLDBD[[#This Row],[Inicio de Carga]],"")</f>
        <v/>
      </c>
    </row>
    <row r="486" spans="1:57" customFormat="1" hidden="1">
      <c r="A486" s="1"/>
      <c r="B486" s="1" t="str">
        <f>IFERROR(IF(MARÍTIMOS[[#This Row],[PP]]="","",MARÍTIMOS[[#This Row],[PP]]),"")</f>
        <v/>
      </c>
      <c r="C486" s="1" t="str">
        <f>IFERROR(IF(MARÍTIMOS[[#This Row],[Sede]]="","",MARÍTIMOS[[#This Row],[Sede]]),"")</f>
        <v/>
      </c>
      <c r="D486" s="1" t="str">
        <f>IFERROR(IF(MARÍTIMOS[[#This Row],[Instruction]]="","",MARÍTIMOS[[#This Row],[Instruction]]),"")</f>
        <v/>
      </c>
      <c r="E486" s="1"/>
      <c r="F486" s="2" t="str">
        <f>IFERROR(IF(MARÍTIMOS[[#This Row],[Transportista]]="","",MARÍTIMOS[[#This Row],[Transportista]]),"")</f>
        <v/>
      </c>
      <c r="G486" s="2" t="str">
        <f>IFERROR(IF(MARÍTIMOS[[#This Row],[Tercero]]="","",MARÍTIMOS[[#This Row],[Tercero]]),"")</f>
        <v/>
      </c>
      <c r="H486" s="2" t="str">
        <f>IFERROR(IF(MARÍTIMOS[[#This Row],[Razón Social]]="","",MARÍTIMOS[[#This Row],[Razón Social]]),"")</f>
        <v/>
      </c>
      <c r="I486" s="2" t="str">
        <f>IFERROR(IF(MARÍTIMOS[[#This Row],[RUC]]="","",MARÍTIMOS[[#This Row],[RUC]]),"")</f>
        <v/>
      </c>
      <c r="J486" s="2" t="str">
        <f>IFERROR(IF(MARÍTIMOS[[#This Row],[Placa Tracto]]="","",MARÍTIMOS[[#This Row],[Placa Tracto]]),"")</f>
        <v/>
      </c>
      <c r="K486" s="2" t="str">
        <f>IFERROR(IF(MARÍTIMOS[[#This Row],[Placa Carreta]]="","",MARÍTIMOS[[#This Row],[Placa Carreta]]),"")</f>
        <v/>
      </c>
      <c r="L486" s="44" t="str">
        <f>IFERROR(IF(MARÍTIMOS[[#This Row],[Conductor]]="","",MARÍTIMOS[[#This Row],[Conductor]]),"")</f>
        <v/>
      </c>
      <c r="M486" s="2" t="str">
        <f>IFERROR(IF(MARÍTIMOS[[#This Row],[Licencia]]="","",MARÍTIMOS[[#This Row],[Licencia]]),"")</f>
        <v/>
      </c>
      <c r="N486" s="2" t="str">
        <f>IFERROR(IF(MARÍTIMOS[[#This Row],[Número de Contacto]]="","",MARÍTIMOS[[#This Row],[Número de Contacto]]),"")</f>
        <v/>
      </c>
      <c r="O486" s="10" t="str">
        <f>IFERROR(IF(MARÍTIMOS[[#This Row],[Booking|AWB|CRT]]="","",MARÍTIMOS[[#This Row],[Booking|AWB|CRT]]),"")</f>
        <v/>
      </c>
      <c r="P486" s="2" t="str">
        <f>IFERROR(IF(MARÍTIMOS[[#This Row],[Contenedor]]="","",MARÍTIMOS[[#This Row],[Contenedor]]),"")</f>
        <v/>
      </c>
      <c r="Q486" s="2" t="str">
        <f>IFERROR(IF(MARÍTIMOS[[#This Row],[Puerto de Retiro]]="","",MARÍTIMOS[[#This Row],[Puerto de Retiro]]),"")</f>
        <v/>
      </c>
      <c r="R486" s="2" t="str">
        <f>IFERROR(IF(MARÍTIMOS[[#This Row],[Almacén de Retiro]]="","",MARÍTIMOS[[#This Row],[Almacén de Retiro]]),"")</f>
        <v/>
      </c>
      <c r="S486" s="11" t="str">
        <f>IFERROR(IF(MARÍTIMOS[[#This Row],[Etapa Retiro - Cita]]="","",MARÍTIMOS[[#This Row],[Etapa Retiro - Cita]]),"")</f>
        <v/>
      </c>
      <c r="T486" s="11" t="str">
        <f>IFERROR(IF(MARÍTIMOS[[#This Row],[Etapa Retiro - Llegada]]="","",MARÍTIMOS[[#This Row],[Etapa Retiro - Llegada]]),"")</f>
        <v/>
      </c>
      <c r="U486" s="11" t="str">
        <f>IFERROR(IF(MARÍTIMOS[[#This Row],[Etapa Retiro - Ingreso]]="","",MARÍTIMOS[[#This Row],[Etapa Retiro - Ingreso]]),"")</f>
        <v/>
      </c>
      <c r="V486" s="11" t="str">
        <f>IFERROR(IF(MARÍTIMOS[[#This Row],[Etapa Retiro - Atención]]="","",MARÍTIMOS[[#This Row],[Etapa Retiro - Atención]]),"")</f>
        <v/>
      </c>
      <c r="W486" s="11" t="str">
        <f>IFERROR(IF(MARÍTIMOS[[#This Row],[Etapa Retiro - Atención]]="","",MARÍTIMOS[[#This Row],[Etapa Retiro - Atención]]),"")</f>
        <v/>
      </c>
      <c r="X486" s="11" t="str">
        <f>IFERROR(IF(MARÍTIMOS[[#This Row],[Etapa Retiro - Inicio de Ruta]]="","",MARÍTIMOS[[#This Row],[Etapa Retiro - Inicio de Ruta]]),"")</f>
        <v/>
      </c>
      <c r="Y486" s="11" t="str">
        <f>IFERROR(IF(MARÍTIMOS[[#This Row],[Hora de Posicionamiento]]="","",MARÍTIMOS[[#This Row],[Fecha de Carga]]+MARÍTIMOS[[#This Row],[Hora de Posicionamiento]]),"")</f>
        <v/>
      </c>
      <c r="Z486" s="11" t="str">
        <f>IFERROR(IF(MARÍTIMOS[[#This Row],[Etapa Despacho - Llegada]]="","",MARÍTIMOS[[#This Row],[Etapa Despacho - Llegada]]),"")</f>
        <v/>
      </c>
      <c r="AA486" s="11" t="str">
        <f>IFERROR(IF(MARÍTIMOS[[#This Row],[Etapa Despacho - Registro]]="","",MARÍTIMOS[[#This Row],[Etapa Despacho - Registro]]),"")</f>
        <v/>
      </c>
      <c r="AB486" s="11" t="str">
        <f>IFERROR(IF(MARÍTIMOS[[#This Row],[Inspección Externa]]="","",MARÍTIMOS[[#This Row],[Inspección Externa]]),"")</f>
        <v/>
      </c>
      <c r="AC486" s="11" t="str">
        <f>IFERROR(IF(MARÍTIMOS[[#This Row],[Etapa Despacho - Inicio de Carga]]="","",MARÍTIMOS[[#This Row],[Etapa Despacho - Inicio de Carga]]),"")</f>
        <v/>
      </c>
      <c r="AD486" s="11" t="str">
        <f>IFERROR(IF(MARÍTIMOS[[#This Row],[Etapa Despacho - Mitad de Carga]]="","",MARÍTIMOS[[#This Row],[Etapa Despacho - Mitad de Carga]]),"")</f>
        <v/>
      </c>
      <c r="AE486" s="11" t="str">
        <f>IFERROR(IF(MARÍTIMOS[[#This Row],[Etapa Despacho - Fin de Carga]]="","",MARÍTIMOS[[#This Row],[Etapa Despacho - Fin de Carga]]),"")</f>
        <v/>
      </c>
      <c r="AF486" s="2" t="str">
        <f>IFERROR(IF(MARÍTIMOS[[#This Row],[Puerto de Embarque]]="","",MARÍTIMOS[[#This Row],[Puerto de Embarque]]),"")</f>
        <v/>
      </c>
      <c r="AG486" s="2" t="str">
        <f>IFERROR(IF(MARÍTIMOS[[#This Row],[Almacén de Ingreso]]="","",MARÍTIMOS[[#This Row],[Almacén de Ingreso]]),"")</f>
        <v/>
      </c>
      <c r="AH486" s="11" t="str">
        <f>IFERROR(IF(MARÍTIMOS[[#This Row],[Etapa Ingreso - Cita]]="","",MARÍTIMOS[[#This Row],[Etapa Ingreso - Cita]]),"")</f>
        <v/>
      </c>
      <c r="AI486" s="11" t="str">
        <f>IFERROR(IF(MARÍTIMOS[[#This Row],[Etapa Ingreso - Llegada]]="","",MARÍTIMOS[[#This Row],[Etapa Ingreso - Llegada]]),"")</f>
        <v/>
      </c>
      <c r="AJ486" s="11" t="str">
        <f>IFERROR(IF(MARÍTIMOS[[#This Row],[Etapa Ingreso - Ingeso]]="","",MARÍTIMOS[[#This Row],[Etapa Ingreso - Ingeso]]),"")</f>
        <v/>
      </c>
      <c r="AK486" s="11" t="str">
        <f>IFERROR(IF(MARÍTIMOS[[#This Row],[Etapa Ingreso - Atención]]="","",MARÍTIMOS[[#This Row],[Etapa Ingreso - Atención]]),"")</f>
        <v/>
      </c>
      <c r="AL486" s="11" t="str">
        <f>IFERROR(IF(MARÍTIMOS[[#This Row],[Etapa Ingreso - Salida]]="","",MARÍTIMOS[[#This Row],[Etapa Ingreso - Salida]]),"")</f>
        <v/>
      </c>
      <c r="AM486" s="2" t="str">
        <f>IFERROR(IF(MARÍTIMOS[[#This Row],[FCL]]="","",MARÍTIMOS[[#This Row],[FCL]]),"")</f>
        <v/>
      </c>
      <c r="AN4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6" s="4" t="str" cm="1">
        <f t="array" ref="AO4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6" s="5" t="str">
        <f>IFERROR(OLDBD[[#This Row],[Llegada a packing]]-OLDBD[[#This Row],[Inicio de Ruta]],"")</f>
        <v/>
      </c>
      <c r="AQ486" s="6" t="str">
        <f>IFERROR(OLDBD[[#This Row],[Inicio de Ruta]]-OLDBD[[#This Row],[Salida de almacén de retiro]],"")</f>
        <v/>
      </c>
      <c r="AR4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6" s="8" t="str" cm="1">
        <f t="array" ref="AS4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6" s="9" t="str">
        <f>IFERROR(OLDBD[[#This Row],[Ingreso Packing]]-OLDBD[[#This Row],[Registro en Packing]],"")</f>
        <v/>
      </c>
      <c r="AV486" s="9" t="str">
        <f>IFERROR(OLDBD[[#This Row],[Ingreso Packing]]-OLDBD[[#This Row],[Llegada a packing]],"")</f>
        <v/>
      </c>
      <c r="AW4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6" s="5" t="str">
        <f>IFERROR(OLDBD[[#This Row],[Llegada Almacén de Ingreso]]-OLDBD[[#This Row],[Salida Packing]],"")</f>
        <v/>
      </c>
      <c r="AY486" s="4" t="str" cm="1">
        <f t="array" ref="AY4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6" s="43" t="s">
        <v>173</v>
      </c>
      <c r="BB486" s="47" t="str">
        <f>IFERROR(IF(MARÍTIMOS[[#This Row],[Estatus]]="","",MARÍTIMOS[[#This Row],[Estatus]]),"")</f>
        <v/>
      </c>
      <c r="BC486" s="43"/>
      <c r="BD486" s="46" t="str">
        <f>IFERROR(OLDBD[[#This Row],[Salida de almacén de retiro]]-OLDBD[[#This Row],[Ingreso Almacén de retiro]],"")</f>
        <v/>
      </c>
      <c r="BE486" s="46" t="str">
        <f>IFERROR(OLDBD[[#This Row],[Fin de Carga]]-OLDBD[[#This Row],[Inicio de Carga]],"")</f>
        <v/>
      </c>
    </row>
    <row r="487" spans="1:57" customFormat="1" hidden="1">
      <c r="A487" s="1"/>
      <c r="B487" s="1" t="str">
        <f>IFERROR(IF(MARÍTIMOS[[#This Row],[PP]]="","",MARÍTIMOS[[#This Row],[PP]]),"")</f>
        <v/>
      </c>
      <c r="C487" s="1" t="str">
        <f>IFERROR(IF(MARÍTIMOS[[#This Row],[Sede]]="","",MARÍTIMOS[[#This Row],[Sede]]),"")</f>
        <v/>
      </c>
      <c r="D487" s="1" t="str">
        <f>IFERROR(IF(MARÍTIMOS[[#This Row],[Instruction]]="","",MARÍTIMOS[[#This Row],[Instruction]]),"")</f>
        <v/>
      </c>
      <c r="E487" s="1"/>
      <c r="F487" s="2" t="str">
        <f>IFERROR(IF(MARÍTIMOS[[#This Row],[Transportista]]="","",MARÍTIMOS[[#This Row],[Transportista]]),"")</f>
        <v/>
      </c>
      <c r="G487" s="2" t="str">
        <f>IFERROR(IF(MARÍTIMOS[[#This Row],[Tercero]]="","",MARÍTIMOS[[#This Row],[Tercero]]),"")</f>
        <v/>
      </c>
      <c r="H487" s="2" t="str">
        <f>IFERROR(IF(MARÍTIMOS[[#This Row],[Razón Social]]="","",MARÍTIMOS[[#This Row],[Razón Social]]),"")</f>
        <v/>
      </c>
      <c r="I487" s="2" t="str">
        <f>IFERROR(IF(MARÍTIMOS[[#This Row],[RUC]]="","",MARÍTIMOS[[#This Row],[RUC]]),"")</f>
        <v/>
      </c>
      <c r="J487" s="2" t="str">
        <f>IFERROR(IF(MARÍTIMOS[[#This Row],[Placa Tracto]]="","",MARÍTIMOS[[#This Row],[Placa Tracto]]),"")</f>
        <v/>
      </c>
      <c r="K487" s="2" t="str">
        <f>IFERROR(IF(MARÍTIMOS[[#This Row],[Placa Carreta]]="","",MARÍTIMOS[[#This Row],[Placa Carreta]]),"")</f>
        <v/>
      </c>
      <c r="L487" s="44" t="str">
        <f>IFERROR(IF(MARÍTIMOS[[#This Row],[Conductor]]="","",MARÍTIMOS[[#This Row],[Conductor]]),"")</f>
        <v/>
      </c>
      <c r="M487" s="2" t="str">
        <f>IFERROR(IF(MARÍTIMOS[[#This Row],[Licencia]]="","",MARÍTIMOS[[#This Row],[Licencia]]),"")</f>
        <v/>
      </c>
      <c r="N487" s="2" t="str">
        <f>IFERROR(IF(MARÍTIMOS[[#This Row],[Número de Contacto]]="","",MARÍTIMOS[[#This Row],[Número de Contacto]]),"")</f>
        <v/>
      </c>
      <c r="O487" s="10" t="str">
        <f>IFERROR(IF(MARÍTIMOS[[#This Row],[Booking|AWB|CRT]]="","",MARÍTIMOS[[#This Row],[Booking|AWB|CRT]]),"")</f>
        <v/>
      </c>
      <c r="P487" s="2" t="str">
        <f>IFERROR(IF(MARÍTIMOS[[#This Row],[Contenedor]]="","",MARÍTIMOS[[#This Row],[Contenedor]]),"")</f>
        <v/>
      </c>
      <c r="Q487" s="2" t="str">
        <f>IFERROR(IF(MARÍTIMOS[[#This Row],[Puerto de Retiro]]="","",MARÍTIMOS[[#This Row],[Puerto de Retiro]]),"")</f>
        <v/>
      </c>
      <c r="R487" s="2" t="str">
        <f>IFERROR(IF(MARÍTIMOS[[#This Row],[Almacén de Retiro]]="","",MARÍTIMOS[[#This Row],[Almacén de Retiro]]),"")</f>
        <v/>
      </c>
      <c r="S487" s="11" t="str">
        <f>IFERROR(IF(MARÍTIMOS[[#This Row],[Etapa Retiro - Cita]]="","",MARÍTIMOS[[#This Row],[Etapa Retiro - Cita]]),"")</f>
        <v/>
      </c>
      <c r="T487" s="11" t="str">
        <f>IFERROR(IF(MARÍTIMOS[[#This Row],[Etapa Retiro - Llegada]]="","",MARÍTIMOS[[#This Row],[Etapa Retiro - Llegada]]),"")</f>
        <v/>
      </c>
      <c r="U487" s="11" t="str">
        <f>IFERROR(IF(MARÍTIMOS[[#This Row],[Etapa Retiro - Ingreso]]="","",MARÍTIMOS[[#This Row],[Etapa Retiro - Ingreso]]),"")</f>
        <v/>
      </c>
      <c r="V487" s="11" t="str">
        <f>IFERROR(IF(MARÍTIMOS[[#This Row],[Etapa Retiro - Atención]]="","",MARÍTIMOS[[#This Row],[Etapa Retiro - Atención]]),"")</f>
        <v/>
      </c>
      <c r="W487" s="11" t="str">
        <f>IFERROR(IF(MARÍTIMOS[[#This Row],[Etapa Retiro - Atención]]="","",MARÍTIMOS[[#This Row],[Etapa Retiro - Atención]]),"")</f>
        <v/>
      </c>
      <c r="X487" s="11" t="str">
        <f>IFERROR(IF(MARÍTIMOS[[#This Row],[Etapa Retiro - Inicio de Ruta]]="","",MARÍTIMOS[[#This Row],[Etapa Retiro - Inicio de Ruta]]),"")</f>
        <v/>
      </c>
      <c r="Y487" s="11" t="str">
        <f>IFERROR(IF(MARÍTIMOS[[#This Row],[Hora de Posicionamiento]]="","",MARÍTIMOS[[#This Row],[Fecha de Carga]]+MARÍTIMOS[[#This Row],[Hora de Posicionamiento]]),"")</f>
        <v/>
      </c>
      <c r="Z487" s="11" t="str">
        <f>IFERROR(IF(MARÍTIMOS[[#This Row],[Etapa Despacho - Llegada]]="","",MARÍTIMOS[[#This Row],[Etapa Despacho - Llegada]]),"")</f>
        <v/>
      </c>
      <c r="AA487" s="11" t="str">
        <f>IFERROR(IF(MARÍTIMOS[[#This Row],[Etapa Despacho - Registro]]="","",MARÍTIMOS[[#This Row],[Etapa Despacho - Registro]]),"")</f>
        <v/>
      </c>
      <c r="AB487" s="11" t="str">
        <f>IFERROR(IF(MARÍTIMOS[[#This Row],[Inspección Externa]]="","",MARÍTIMOS[[#This Row],[Inspección Externa]]),"")</f>
        <v/>
      </c>
      <c r="AC487" s="11" t="str">
        <f>IFERROR(IF(MARÍTIMOS[[#This Row],[Etapa Despacho - Inicio de Carga]]="","",MARÍTIMOS[[#This Row],[Etapa Despacho - Inicio de Carga]]),"")</f>
        <v/>
      </c>
      <c r="AD487" s="11" t="str">
        <f>IFERROR(IF(MARÍTIMOS[[#This Row],[Etapa Despacho - Mitad de Carga]]="","",MARÍTIMOS[[#This Row],[Etapa Despacho - Mitad de Carga]]),"")</f>
        <v/>
      </c>
      <c r="AE487" s="11" t="str">
        <f>IFERROR(IF(MARÍTIMOS[[#This Row],[Etapa Despacho - Fin de Carga]]="","",MARÍTIMOS[[#This Row],[Etapa Despacho - Fin de Carga]]),"")</f>
        <v/>
      </c>
      <c r="AF487" s="2" t="str">
        <f>IFERROR(IF(MARÍTIMOS[[#This Row],[Puerto de Embarque]]="","",MARÍTIMOS[[#This Row],[Puerto de Embarque]]),"")</f>
        <v/>
      </c>
      <c r="AG487" s="2" t="str">
        <f>IFERROR(IF(MARÍTIMOS[[#This Row],[Almacén de Ingreso]]="","",MARÍTIMOS[[#This Row],[Almacén de Ingreso]]),"")</f>
        <v/>
      </c>
      <c r="AH487" s="11" t="str">
        <f>IFERROR(IF(MARÍTIMOS[[#This Row],[Etapa Ingreso - Cita]]="","",MARÍTIMOS[[#This Row],[Etapa Ingreso - Cita]]),"")</f>
        <v/>
      </c>
      <c r="AI487" s="11" t="str">
        <f>IFERROR(IF(MARÍTIMOS[[#This Row],[Etapa Ingreso - Llegada]]="","",MARÍTIMOS[[#This Row],[Etapa Ingreso - Llegada]]),"")</f>
        <v/>
      </c>
      <c r="AJ487" s="11" t="str">
        <f>IFERROR(IF(MARÍTIMOS[[#This Row],[Etapa Ingreso - Ingeso]]="","",MARÍTIMOS[[#This Row],[Etapa Ingreso - Ingeso]]),"")</f>
        <v/>
      </c>
      <c r="AK487" s="11" t="str">
        <f>IFERROR(IF(MARÍTIMOS[[#This Row],[Etapa Ingreso - Atención]]="","",MARÍTIMOS[[#This Row],[Etapa Ingreso - Atención]]),"")</f>
        <v/>
      </c>
      <c r="AL487" s="11" t="str">
        <f>IFERROR(IF(MARÍTIMOS[[#This Row],[Etapa Ingreso - Salida]]="","",MARÍTIMOS[[#This Row],[Etapa Ingreso - Salida]]),"")</f>
        <v/>
      </c>
      <c r="AM487" s="2" t="str">
        <f>IFERROR(IF(MARÍTIMOS[[#This Row],[FCL]]="","",MARÍTIMOS[[#This Row],[FCL]]),"")</f>
        <v/>
      </c>
      <c r="AN4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7" s="4" t="str" cm="1">
        <f t="array" ref="AO4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7" s="5" t="str">
        <f>IFERROR(OLDBD[[#This Row],[Llegada a packing]]-OLDBD[[#This Row],[Inicio de Ruta]],"")</f>
        <v/>
      </c>
      <c r="AQ487" s="6" t="str">
        <f>IFERROR(OLDBD[[#This Row],[Inicio de Ruta]]-OLDBD[[#This Row],[Salida de almacén de retiro]],"")</f>
        <v/>
      </c>
      <c r="AR4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7" s="8" t="str" cm="1">
        <f t="array" ref="AS4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7" s="9" t="str">
        <f>IFERROR(OLDBD[[#This Row],[Ingreso Packing]]-OLDBD[[#This Row],[Registro en Packing]],"")</f>
        <v/>
      </c>
      <c r="AV487" s="9" t="str">
        <f>IFERROR(OLDBD[[#This Row],[Ingreso Packing]]-OLDBD[[#This Row],[Llegada a packing]],"")</f>
        <v/>
      </c>
      <c r="AW4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7" s="5" t="str">
        <f>IFERROR(OLDBD[[#This Row],[Llegada Almacén de Ingreso]]-OLDBD[[#This Row],[Salida Packing]],"")</f>
        <v/>
      </c>
      <c r="AY487" s="4" t="str" cm="1">
        <f t="array" ref="AY4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7" s="43" t="s">
        <v>173</v>
      </c>
      <c r="BB487" s="47" t="str">
        <f>IFERROR(IF(MARÍTIMOS[[#This Row],[Estatus]]="","",MARÍTIMOS[[#This Row],[Estatus]]),"")</f>
        <v/>
      </c>
      <c r="BC487" s="43"/>
      <c r="BD487" s="46" t="str">
        <f>IFERROR(OLDBD[[#This Row],[Salida de almacén de retiro]]-OLDBD[[#This Row],[Ingreso Almacén de retiro]],"")</f>
        <v/>
      </c>
      <c r="BE487" s="46" t="str">
        <f>IFERROR(OLDBD[[#This Row],[Fin de Carga]]-OLDBD[[#This Row],[Inicio de Carga]],"")</f>
        <v/>
      </c>
    </row>
    <row r="488" spans="1:57" customFormat="1" hidden="1">
      <c r="A488" s="1"/>
      <c r="B488" s="1" t="str">
        <f>IFERROR(IF(MARÍTIMOS[[#This Row],[PP]]="","",MARÍTIMOS[[#This Row],[PP]]),"")</f>
        <v/>
      </c>
      <c r="C488" s="1" t="str">
        <f>IFERROR(IF(MARÍTIMOS[[#This Row],[Sede]]="","",MARÍTIMOS[[#This Row],[Sede]]),"")</f>
        <v/>
      </c>
      <c r="D488" s="1" t="str">
        <f>IFERROR(IF(MARÍTIMOS[[#This Row],[Instruction]]="","",MARÍTIMOS[[#This Row],[Instruction]]),"")</f>
        <v/>
      </c>
      <c r="E488" s="1"/>
      <c r="F488" s="2" t="str">
        <f>IFERROR(IF(MARÍTIMOS[[#This Row],[Transportista]]="","",MARÍTIMOS[[#This Row],[Transportista]]),"")</f>
        <v/>
      </c>
      <c r="G488" s="2" t="str">
        <f>IFERROR(IF(MARÍTIMOS[[#This Row],[Tercero]]="","",MARÍTIMOS[[#This Row],[Tercero]]),"")</f>
        <v/>
      </c>
      <c r="H488" s="2" t="str">
        <f>IFERROR(IF(MARÍTIMOS[[#This Row],[Razón Social]]="","",MARÍTIMOS[[#This Row],[Razón Social]]),"")</f>
        <v/>
      </c>
      <c r="I488" s="2" t="str">
        <f>IFERROR(IF(MARÍTIMOS[[#This Row],[RUC]]="","",MARÍTIMOS[[#This Row],[RUC]]),"")</f>
        <v/>
      </c>
      <c r="J488" s="2" t="str">
        <f>IFERROR(IF(MARÍTIMOS[[#This Row],[Placa Tracto]]="","",MARÍTIMOS[[#This Row],[Placa Tracto]]),"")</f>
        <v/>
      </c>
      <c r="K488" s="2" t="str">
        <f>IFERROR(IF(MARÍTIMOS[[#This Row],[Placa Carreta]]="","",MARÍTIMOS[[#This Row],[Placa Carreta]]),"")</f>
        <v/>
      </c>
      <c r="L488" s="44" t="str">
        <f>IFERROR(IF(MARÍTIMOS[[#This Row],[Conductor]]="","",MARÍTIMOS[[#This Row],[Conductor]]),"")</f>
        <v/>
      </c>
      <c r="M488" s="2" t="str">
        <f>IFERROR(IF(MARÍTIMOS[[#This Row],[Licencia]]="","",MARÍTIMOS[[#This Row],[Licencia]]),"")</f>
        <v/>
      </c>
      <c r="N488" s="2" t="str">
        <f>IFERROR(IF(MARÍTIMOS[[#This Row],[Número de Contacto]]="","",MARÍTIMOS[[#This Row],[Número de Contacto]]),"")</f>
        <v/>
      </c>
      <c r="O488" s="10" t="str">
        <f>IFERROR(IF(MARÍTIMOS[[#This Row],[Booking|AWB|CRT]]="","",MARÍTIMOS[[#This Row],[Booking|AWB|CRT]]),"")</f>
        <v/>
      </c>
      <c r="P488" s="2" t="str">
        <f>IFERROR(IF(MARÍTIMOS[[#This Row],[Contenedor]]="","",MARÍTIMOS[[#This Row],[Contenedor]]),"")</f>
        <v/>
      </c>
      <c r="Q488" s="2" t="str">
        <f>IFERROR(IF(MARÍTIMOS[[#This Row],[Puerto de Retiro]]="","",MARÍTIMOS[[#This Row],[Puerto de Retiro]]),"")</f>
        <v/>
      </c>
      <c r="R488" s="2" t="str">
        <f>IFERROR(IF(MARÍTIMOS[[#This Row],[Almacén de Retiro]]="","",MARÍTIMOS[[#This Row],[Almacén de Retiro]]),"")</f>
        <v/>
      </c>
      <c r="S488" s="11" t="str">
        <f>IFERROR(IF(MARÍTIMOS[[#This Row],[Etapa Retiro - Cita]]="","",MARÍTIMOS[[#This Row],[Etapa Retiro - Cita]]),"")</f>
        <v/>
      </c>
      <c r="T488" s="11" t="str">
        <f>IFERROR(IF(MARÍTIMOS[[#This Row],[Etapa Retiro - Llegada]]="","",MARÍTIMOS[[#This Row],[Etapa Retiro - Llegada]]),"")</f>
        <v/>
      </c>
      <c r="U488" s="11" t="str">
        <f>IFERROR(IF(MARÍTIMOS[[#This Row],[Etapa Retiro - Ingreso]]="","",MARÍTIMOS[[#This Row],[Etapa Retiro - Ingreso]]),"")</f>
        <v/>
      </c>
      <c r="V488" s="11" t="str">
        <f>IFERROR(IF(MARÍTIMOS[[#This Row],[Etapa Retiro - Atención]]="","",MARÍTIMOS[[#This Row],[Etapa Retiro - Atención]]),"")</f>
        <v/>
      </c>
      <c r="W488" s="11" t="str">
        <f>IFERROR(IF(MARÍTIMOS[[#This Row],[Etapa Retiro - Atención]]="","",MARÍTIMOS[[#This Row],[Etapa Retiro - Atención]]),"")</f>
        <v/>
      </c>
      <c r="X488" s="11" t="str">
        <f>IFERROR(IF(MARÍTIMOS[[#This Row],[Etapa Retiro - Inicio de Ruta]]="","",MARÍTIMOS[[#This Row],[Etapa Retiro - Inicio de Ruta]]),"")</f>
        <v/>
      </c>
      <c r="Y488" s="11" t="str">
        <f>IFERROR(IF(MARÍTIMOS[[#This Row],[Hora de Posicionamiento]]="","",MARÍTIMOS[[#This Row],[Fecha de Carga]]+MARÍTIMOS[[#This Row],[Hora de Posicionamiento]]),"")</f>
        <v/>
      </c>
      <c r="Z488" s="11" t="str">
        <f>IFERROR(IF(MARÍTIMOS[[#This Row],[Etapa Despacho - Llegada]]="","",MARÍTIMOS[[#This Row],[Etapa Despacho - Llegada]]),"")</f>
        <v/>
      </c>
      <c r="AA488" s="11" t="str">
        <f>IFERROR(IF(MARÍTIMOS[[#This Row],[Etapa Despacho - Registro]]="","",MARÍTIMOS[[#This Row],[Etapa Despacho - Registro]]),"")</f>
        <v/>
      </c>
      <c r="AB488" s="11" t="str">
        <f>IFERROR(IF(MARÍTIMOS[[#This Row],[Inspección Externa]]="","",MARÍTIMOS[[#This Row],[Inspección Externa]]),"")</f>
        <v/>
      </c>
      <c r="AC488" s="11" t="str">
        <f>IFERROR(IF(MARÍTIMOS[[#This Row],[Etapa Despacho - Inicio de Carga]]="","",MARÍTIMOS[[#This Row],[Etapa Despacho - Inicio de Carga]]),"")</f>
        <v/>
      </c>
      <c r="AD488" s="11" t="str">
        <f>IFERROR(IF(MARÍTIMOS[[#This Row],[Etapa Despacho - Mitad de Carga]]="","",MARÍTIMOS[[#This Row],[Etapa Despacho - Mitad de Carga]]),"")</f>
        <v/>
      </c>
      <c r="AE488" s="11" t="str">
        <f>IFERROR(IF(MARÍTIMOS[[#This Row],[Etapa Despacho - Fin de Carga]]="","",MARÍTIMOS[[#This Row],[Etapa Despacho - Fin de Carga]]),"")</f>
        <v/>
      </c>
      <c r="AF488" s="2" t="str">
        <f>IFERROR(IF(MARÍTIMOS[[#This Row],[Puerto de Embarque]]="","",MARÍTIMOS[[#This Row],[Puerto de Embarque]]),"")</f>
        <v/>
      </c>
      <c r="AG488" s="2" t="str">
        <f>IFERROR(IF(MARÍTIMOS[[#This Row],[Almacén de Ingreso]]="","",MARÍTIMOS[[#This Row],[Almacén de Ingreso]]),"")</f>
        <v/>
      </c>
      <c r="AH488" s="11" t="str">
        <f>IFERROR(IF(MARÍTIMOS[[#This Row],[Etapa Ingreso - Cita]]="","",MARÍTIMOS[[#This Row],[Etapa Ingreso - Cita]]),"")</f>
        <v/>
      </c>
      <c r="AI488" s="11" t="str">
        <f>IFERROR(IF(MARÍTIMOS[[#This Row],[Etapa Ingreso - Llegada]]="","",MARÍTIMOS[[#This Row],[Etapa Ingreso - Llegada]]),"")</f>
        <v/>
      </c>
      <c r="AJ488" s="11" t="str">
        <f>IFERROR(IF(MARÍTIMOS[[#This Row],[Etapa Ingreso - Ingeso]]="","",MARÍTIMOS[[#This Row],[Etapa Ingreso - Ingeso]]),"")</f>
        <v/>
      </c>
      <c r="AK488" s="11" t="str">
        <f>IFERROR(IF(MARÍTIMOS[[#This Row],[Etapa Ingreso - Atención]]="","",MARÍTIMOS[[#This Row],[Etapa Ingreso - Atención]]),"")</f>
        <v/>
      </c>
      <c r="AL488" s="11" t="str">
        <f>IFERROR(IF(MARÍTIMOS[[#This Row],[Etapa Ingreso - Salida]]="","",MARÍTIMOS[[#This Row],[Etapa Ingreso - Salida]]),"")</f>
        <v/>
      </c>
      <c r="AM488" s="2" t="str">
        <f>IFERROR(IF(MARÍTIMOS[[#This Row],[FCL]]="","",MARÍTIMOS[[#This Row],[FCL]]),"")</f>
        <v/>
      </c>
      <c r="AN4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8" s="4" t="str" cm="1">
        <f t="array" ref="AO4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8" s="5" t="str">
        <f>IFERROR(OLDBD[[#This Row],[Llegada a packing]]-OLDBD[[#This Row],[Inicio de Ruta]],"")</f>
        <v/>
      </c>
      <c r="AQ488" s="6" t="str">
        <f>IFERROR(OLDBD[[#This Row],[Inicio de Ruta]]-OLDBD[[#This Row],[Salida de almacén de retiro]],"")</f>
        <v/>
      </c>
      <c r="AR4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8" s="8" t="str" cm="1">
        <f t="array" ref="AS4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8" s="9" t="str">
        <f>IFERROR(OLDBD[[#This Row],[Ingreso Packing]]-OLDBD[[#This Row],[Registro en Packing]],"")</f>
        <v/>
      </c>
      <c r="AV488" s="9" t="str">
        <f>IFERROR(OLDBD[[#This Row],[Ingreso Packing]]-OLDBD[[#This Row],[Llegada a packing]],"")</f>
        <v/>
      </c>
      <c r="AW4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8" s="5" t="str">
        <f>IFERROR(OLDBD[[#This Row],[Llegada Almacén de Ingreso]]-OLDBD[[#This Row],[Salida Packing]],"")</f>
        <v/>
      </c>
      <c r="AY488" s="4" t="str" cm="1">
        <f t="array" ref="AY4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8" s="43" t="s">
        <v>173</v>
      </c>
      <c r="BB488" s="47" t="str">
        <f>IFERROR(IF(MARÍTIMOS[[#This Row],[Estatus]]="","",MARÍTIMOS[[#This Row],[Estatus]]),"")</f>
        <v/>
      </c>
      <c r="BC488" s="43"/>
      <c r="BD488" s="46" t="str">
        <f>IFERROR(OLDBD[[#This Row],[Salida de almacén de retiro]]-OLDBD[[#This Row],[Ingreso Almacén de retiro]],"")</f>
        <v/>
      </c>
      <c r="BE488" s="46" t="str">
        <f>IFERROR(OLDBD[[#This Row],[Fin de Carga]]-OLDBD[[#This Row],[Inicio de Carga]],"")</f>
        <v/>
      </c>
    </row>
    <row r="489" spans="1:57" customFormat="1" hidden="1">
      <c r="A489" s="1"/>
      <c r="B489" s="1" t="str">
        <f>IFERROR(IF(MARÍTIMOS[[#This Row],[PP]]="","",MARÍTIMOS[[#This Row],[PP]]),"")</f>
        <v/>
      </c>
      <c r="C489" s="1" t="str">
        <f>IFERROR(IF(MARÍTIMOS[[#This Row],[Sede]]="","",MARÍTIMOS[[#This Row],[Sede]]),"")</f>
        <v/>
      </c>
      <c r="D489" s="1" t="str">
        <f>IFERROR(IF(MARÍTIMOS[[#This Row],[Instruction]]="","",MARÍTIMOS[[#This Row],[Instruction]]),"")</f>
        <v/>
      </c>
      <c r="E489" s="1"/>
      <c r="F489" s="2" t="str">
        <f>IFERROR(IF(MARÍTIMOS[[#This Row],[Transportista]]="","",MARÍTIMOS[[#This Row],[Transportista]]),"")</f>
        <v/>
      </c>
      <c r="G489" s="2" t="str">
        <f>IFERROR(IF(MARÍTIMOS[[#This Row],[Tercero]]="","",MARÍTIMOS[[#This Row],[Tercero]]),"")</f>
        <v/>
      </c>
      <c r="H489" s="2" t="str">
        <f>IFERROR(IF(MARÍTIMOS[[#This Row],[Razón Social]]="","",MARÍTIMOS[[#This Row],[Razón Social]]),"")</f>
        <v/>
      </c>
      <c r="I489" s="2" t="str">
        <f>IFERROR(IF(MARÍTIMOS[[#This Row],[RUC]]="","",MARÍTIMOS[[#This Row],[RUC]]),"")</f>
        <v/>
      </c>
      <c r="J489" s="2" t="str">
        <f>IFERROR(IF(MARÍTIMOS[[#This Row],[Placa Tracto]]="","",MARÍTIMOS[[#This Row],[Placa Tracto]]),"")</f>
        <v/>
      </c>
      <c r="K489" s="2" t="str">
        <f>IFERROR(IF(MARÍTIMOS[[#This Row],[Placa Carreta]]="","",MARÍTIMOS[[#This Row],[Placa Carreta]]),"")</f>
        <v/>
      </c>
      <c r="L489" s="44" t="str">
        <f>IFERROR(IF(MARÍTIMOS[[#This Row],[Conductor]]="","",MARÍTIMOS[[#This Row],[Conductor]]),"")</f>
        <v/>
      </c>
      <c r="M489" s="2" t="str">
        <f>IFERROR(IF(MARÍTIMOS[[#This Row],[Licencia]]="","",MARÍTIMOS[[#This Row],[Licencia]]),"")</f>
        <v/>
      </c>
      <c r="N489" s="2" t="str">
        <f>IFERROR(IF(MARÍTIMOS[[#This Row],[Número de Contacto]]="","",MARÍTIMOS[[#This Row],[Número de Contacto]]),"")</f>
        <v/>
      </c>
      <c r="O489" s="10" t="str">
        <f>IFERROR(IF(MARÍTIMOS[[#This Row],[Booking|AWB|CRT]]="","",MARÍTIMOS[[#This Row],[Booking|AWB|CRT]]),"")</f>
        <v/>
      </c>
      <c r="P489" s="2" t="str">
        <f>IFERROR(IF(MARÍTIMOS[[#This Row],[Contenedor]]="","",MARÍTIMOS[[#This Row],[Contenedor]]),"")</f>
        <v/>
      </c>
      <c r="Q489" s="2" t="str">
        <f>IFERROR(IF(MARÍTIMOS[[#This Row],[Puerto de Retiro]]="","",MARÍTIMOS[[#This Row],[Puerto de Retiro]]),"")</f>
        <v/>
      </c>
      <c r="R489" s="2" t="str">
        <f>IFERROR(IF(MARÍTIMOS[[#This Row],[Almacén de Retiro]]="","",MARÍTIMOS[[#This Row],[Almacén de Retiro]]),"")</f>
        <v/>
      </c>
      <c r="S489" s="11" t="str">
        <f>IFERROR(IF(MARÍTIMOS[[#This Row],[Etapa Retiro - Cita]]="","",MARÍTIMOS[[#This Row],[Etapa Retiro - Cita]]),"")</f>
        <v/>
      </c>
      <c r="T489" s="11" t="str">
        <f>IFERROR(IF(MARÍTIMOS[[#This Row],[Etapa Retiro - Llegada]]="","",MARÍTIMOS[[#This Row],[Etapa Retiro - Llegada]]),"")</f>
        <v/>
      </c>
      <c r="U489" s="11" t="str">
        <f>IFERROR(IF(MARÍTIMOS[[#This Row],[Etapa Retiro - Ingreso]]="","",MARÍTIMOS[[#This Row],[Etapa Retiro - Ingreso]]),"")</f>
        <v/>
      </c>
      <c r="V489" s="11" t="str">
        <f>IFERROR(IF(MARÍTIMOS[[#This Row],[Etapa Retiro - Atención]]="","",MARÍTIMOS[[#This Row],[Etapa Retiro - Atención]]),"")</f>
        <v/>
      </c>
      <c r="W489" s="11" t="str">
        <f>IFERROR(IF(MARÍTIMOS[[#This Row],[Etapa Retiro - Atención]]="","",MARÍTIMOS[[#This Row],[Etapa Retiro - Atención]]),"")</f>
        <v/>
      </c>
      <c r="X489" s="11" t="str">
        <f>IFERROR(IF(MARÍTIMOS[[#This Row],[Etapa Retiro - Inicio de Ruta]]="","",MARÍTIMOS[[#This Row],[Etapa Retiro - Inicio de Ruta]]),"")</f>
        <v/>
      </c>
      <c r="Y489" s="11" t="str">
        <f>IFERROR(IF(MARÍTIMOS[[#This Row],[Hora de Posicionamiento]]="","",MARÍTIMOS[[#This Row],[Fecha de Carga]]+MARÍTIMOS[[#This Row],[Hora de Posicionamiento]]),"")</f>
        <v/>
      </c>
      <c r="Z489" s="11" t="str">
        <f>IFERROR(IF(MARÍTIMOS[[#This Row],[Etapa Despacho - Llegada]]="","",MARÍTIMOS[[#This Row],[Etapa Despacho - Llegada]]),"")</f>
        <v/>
      </c>
      <c r="AA489" s="11" t="str">
        <f>IFERROR(IF(MARÍTIMOS[[#This Row],[Etapa Despacho - Registro]]="","",MARÍTIMOS[[#This Row],[Etapa Despacho - Registro]]),"")</f>
        <v/>
      </c>
      <c r="AB489" s="11" t="str">
        <f>IFERROR(IF(MARÍTIMOS[[#This Row],[Inspección Externa]]="","",MARÍTIMOS[[#This Row],[Inspección Externa]]),"")</f>
        <v/>
      </c>
      <c r="AC489" s="11" t="str">
        <f>IFERROR(IF(MARÍTIMOS[[#This Row],[Etapa Despacho - Inicio de Carga]]="","",MARÍTIMOS[[#This Row],[Etapa Despacho - Inicio de Carga]]),"")</f>
        <v/>
      </c>
      <c r="AD489" s="11" t="str">
        <f>IFERROR(IF(MARÍTIMOS[[#This Row],[Etapa Despacho - Mitad de Carga]]="","",MARÍTIMOS[[#This Row],[Etapa Despacho - Mitad de Carga]]),"")</f>
        <v/>
      </c>
      <c r="AE489" s="11" t="str">
        <f>IFERROR(IF(MARÍTIMOS[[#This Row],[Etapa Despacho - Fin de Carga]]="","",MARÍTIMOS[[#This Row],[Etapa Despacho - Fin de Carga]]),"")</f>
        <v/>
      </c>
      <c r="AF489" s="2" t="str">
        <f>IFERROR(IF(MARÍTIMOS[[#This Row],[Puerto de Embarque]]="","",MARÍTIMOS[[#This Row],[Puerto de Embarque]]),"")</f>
        <v/>
      </c>
      <c r="AG489" s="2" t="str">
        <f>IFERROR(IF(MARÍTIMOS[[#This Row],[Almacén de Ingreso]]="","",MARÍTIMOS[[#This Row],[Almacén de Ingreso]]),"")</f>
        <v/>
      </c>
      <c r="AH489" s="11" t="str">
        <f>IFERROR(IF(MARÍTIMOS[[#This Row],[Etapa Ingreso - Cita]]="","",MARÍTIMOS[[#This Row],[Etapa Ingreso - Cita]]),"")</f>
        <v/>
      </c>
      <c r="AI489" s="11" t="str">
        <f>IFERROR(IF(MARÍTIMOS[[#This Row],[Etapa Ingreso - Llegada]]="","",MARÍTIMOS[[#This Row],[Etapa Ingreso - Llegada]]),"")</f>
        <v/>
      </c>
      <c r="AJ489" s="11" t="str">
        <f>IFERROR(IF(MARÍTIMOS[[#This Row],[Etapa Ingreso - Ingeso]]="","",MARÍTIMOS[[#This Row],[Etapa Ingreso - Ingeso]]),"")</f>
        <v/>
      </c>
      <c r="AK489" s="11" t="str">
        <f>IFERROR(IF(MARÍTIMOS[[#This Row],[Etapa Ingreso - Atención]]="","",MARÍTIMOS[[#This Row],[Etapa Ingreso - Atención]]),"")</f>
        <v/>
      </c>
      <c r="AL489" s="11" t="str">
        <f>IFERROR(IF(MARÍTIMOS[[#This Row],[Etapa Ingreso - Salida]]="","",MARÍTIMOS[[#This Row],[Etapa Ingreso - Salida]]),"")</f>
        <v/>
      </c>
      <c r="AM489" s="2" t="str">
        <f>IFERROR(IF(MARÍTIMOS[[#This Row],[FCL]]="","",MARÍTIMOS[[#This Row],[FCL]]),"")</f>
        <v/>
      </c>
      <c r="AN4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89" s="4" t="str" cm="1">
        <f t="array" ref="AO4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89" s="5" t="str">
        <f>IFERROR(OLDBD[[#This Row],[Llegada a packing]]-OLDBD[[#This Row],[Inicio de Ruta]],"")</f>
        <v/>
      </c>
      <c r="AQ489" s="6" t="str">
        <f>IFERROR(OLDBD[[#This Row],[Inicio de Ruta]]-OLDBD[[#This Row],[Salida de almacén de retiro]],"")</f>
        <v/>
      </c>
      <c r="AR4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89" s="8" t="str" cm="1">
        <f t="array" ref="AS4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89" s="9" t="str">
        <f>IFERROR(OLDBD[[#This Row],[Ingreso Packing]]-OLDBD[[#This Row],[Registro en Packing]],"")</f>
        <v/>
      </c>
      <c r="AV489" s="9" t="str">
        <f>IFERROR(OLDBD[[#This Row],[Ingreso Packing]]-OLDBD[[#This Row],[Llegada a packing]],"")</f>
        <v/>
      </c>
      <c r="AW4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89" s="5" t="str">
        <f>IFERROR(OLDBD[[#This Row],[Llegada Almacén de Ingreso]]-OLDBD[[#This Row],[Salida Packing]],"")</f>
        <v/>
      </c>
      <c r="AY489" s="4" t="str" cm="1">
        <f t="array" ref="AY4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89" s="43" t="s">
        <v>173</v>
      </c>
      <c r="BB489" s="47" t="str">
        <f>IFERROR(IF(MARÍTIMOS[[#This Row],[Estatus]]="","",MARÍTIMOS[[#This Row],[Estatus]]),"")</f>
        <v/>
      </c>
      <c r="BC489" s="43"/>
      <c r="BD489" s="46" t="str">
        <f>IFERROR(OLDBD[[#This Row],[Salida de almacén de retiro]]-OLDBD[[#This Row],[Ingreso Almacén de retiro]],"")</f>
        <v/>
      </c>
      <c r="BE489" s="46" t="str">
        <f>IFERROR(OLDBD[[#This Row],[Fin de Carga]]-OLDBD[[#This Row],[Inicio de Carga]],"")</f>
        <v/>
      </c>
    </row>
    <row r="490" spans="1:57" customFormat="1" hidden="1">
      <c r="A490" s="1"/>
      <c r="B490" s="1" t="str">
        <f>IFERROR(IF(MARÍTIMOS[[#This Row],[PP]]="","",MARÍTIMOS[[#This Row],[PP]]),"")</f>
        <v/>
      </c>
      <c r="C490" s="1" t="str">
        <f>IFERROR(IF(MARÍTIMOS[[#This Row],[Sede]]="","",MARÍTIMOS[[#This Row],[Sede]]),"")</f>
        <v/>
      </c>
      <c r="D490" s="1" t="str">
        <f>IFERROR(IF(MARÍTIMOS[[#This Row],[Instruction]]="","",MARÍTIMOS[[#This Row],[Instruction]]),"")</f>
        <v/>
      </c>
      <c r="E490" s="1"/>
      <c r="F490" s="2" t="str">
        <f>IFERROR(IF(MARÍTIMOS[[#This Row],[Transportista]]="","",MARÍTIMOS[[#This Row],[Transportista]]),"")</f>
        <v/>
      </c>
      <c r="G490" s="2" t="str">
        <f>IFERROR(IF(MARÍTIMOS[[#This Row],[Tercero]]="","",MARÍTIMOS[[#This Row],[Tercero]]),"")</f>
        <v/>
      </c>
      <c r="H490" s="2" t="str">
        <f>IFERROR(IF(MARÍTIMOS[[#This Row],[Razón Social]]="","",MARÍTIMOS[[#This Row],[Razón Social]]),"")</f>
        <v/>
      </c>
      <c r="I490" s="2" t="str">
        <f>IFERROR(IF(MARÍTIMOS[[#This Row],[RUC]]="","",MARÍTIMOS[[#This Row],[RUC]]),"")</f>
        <v/>
      </c>
      <c r="J490" s="2" t="str">
        <f>IFERROR(IF(MARÍTIMOS[[#This Row],[Placa Tracto]]="","",MARÍTIMOS[[#This Row],[Placa Tracto]]),"")</f>
        <v/>
      </c>
      <c r="K490" s="2" t="str">
        <f>IFERROR(IF(MARÍTIMOS[[#This Row],[Placa Carreta]]="","",MARÍTIMOS[[#This Row],[Placa Carreta]]),"")</f>
        <v/>
      </c>
      <c r="L490" s="44" t="str">
        <f>IFERROR(IF(MARÍTIMOS[[#This Row],[Conductor]]="","",MARÍTIMOS[[#This Row],[Conductor]]),"")</f>
        <v/>
      </c>
      <c r="M490" s="2" t="str">
        <f>IFERROR(IF(MARÍTIMOS[[#This Row],[Licencia]]="","",MARÍTIMOS[[#This Row],[Licencia]]),"")</f>
        <v/>
      </c>
      <c r="N490" s="2" t="str">
        <f>IFERROR(IF(MARÍTIMOS[[#This Row],[Número de Contacto]]="","",MARÍTIMOS[[#This Row],[Número de Contacto]]),"")</f>
        <v/>
      </c>
      <c r="O490" s="10" t="str">
        <f>IFERROR(IF(MARÍTIMOS[[#This Row],[Booking|AWB|CRT]]="","",MARÍTIMOS[[#This Row],[Booking|AWB|CRT]]),"")</f>
        <v/>
      </c>
      <c r="P490" s="2" t="str">
        <f>IFERROR(IF(MARÍTIMOS[[#This Row],[Contenedor]]="","",MARÍTIMOS[[#This Row],[Contenedor]]),"")</f>
        <v/>
      </c>
      <c r="Q490" s="2" t="str">
        <f>IFERROR(IF(MARÍTIMOS[[#This Row],[Puerto de Retiro]]="","",MARÍTIMOS[[#This Row],[Puerto de Retiro]]),"")</f>
        <v/>
      </c>
      <c r="R490" s="2" t="str">
        <f>IFERROR(IF(MARÍTIMOS[[#This Row],[Almacén de Retiro]]="","",MARÍTIMOS[[#This Row],[Almacén de Retiro]]),"")</f>
        <v/>
      </c>
      <c r="S490" s="11" t="str">
        <f>IFERROR(IF(MARÍTIMOS[[#This Row],[Etapa Retiro - Cita]]="","",MARÍTIMOS[[#This Row],[Etapa Retiro - Cita]]),"")</f>
        <v/>
      </c>
      <c r="T490" s="11" t="str">
        <f>IFERROR(IF(MARÍTIMOS[[#This Row],[Etapa Retiro - Llegada]]="","",MARÍTIMOS[[#This Row],[Etapa Retiro - Llegada]]),"")</f>
        <v/>
      </c>
      <c r="U490" s="11" t="str">
        <f>IFERROR(IF(MARÍTIMOS[[#This Row],[Etapa Retiro - Ingreso]]="","",MARÍTIMOS[[#This Row],[Etapa Retiro - Ingreso]]),"")</f>
        <v/>
      </c>
      <c r="V490" s="11" t="str">
        <f>IFERROR(IF(MARÍTIMOS[[#This Row],[Etapa Retiro - Atención]]="","",MARÍTIMOS[[#This Row],[Etapa Retiro - Atención]]),"")</f>
        <v/>
      </c>
      <c r="W490" s="11" t="str">
        <f>IFERROR(IF(MARÍTIMOS[[#This Row],[Etapa Retiro - Atención]]="","",MARÍTIMOS[[#This Row],[Etapa Retiro - Atención]]),"")</f>
        <v/>
      </c>
      <c r="X490" s="11" t="str">
        <f>IFERROR(IF(MARÍTIMOS[[#This Row],[Etapa Retiro - Inicio de Ruta]]="","",MARÍTIMOS[[#This Row],[Etapa Retiro - Inicio de Ruta]]),"")</f>
        <v/>
      </c>
      <c r="Y490" s="11" t="str">
        <f>IFERROR(IF(MARÍTIMOS[[#This Row],[Hora de Posicionamiento]]="","",MARÍTIMOS[[#This Row],[Fecha de Carga]]+MARÍTIMOS[[#This Row],[Hora de Posicionamiento]]),"")</f>
        <v/>
      </c>
      <c r="Z490" s="11" t="str">
        <f>IFERROR(IF(MARÍTIMOS[[#This Row],[Etapa Despacho - Llegada]]="","",MARÍTIMOS[[#This Row],[Etapa Despacho - Llegada]]),"")</f>
        <v/>
      </c>
      <c r="AA490" s="11" t="str">
        <f>IFERROR(IF(MARÍTIMOS[[#This Row],[Etapa Despacho - Registro]]="","",MARÍTIMOS[[#This Row],[Etapa Despacho - Registro]]),"")</f>
        <v/>
      </c>
      <c r="AB490" s="11" t="str">
        <f>IFERROR(IF(MARÍTIMOS[[#This Row],[Inspección Externa]]="","",MARÍTIMOS[[#This Row],[Inspección Externa]]),"")</f>
        <v/>
      </c>
      <c r="AC490" s="11" t="str">
        <f>IFERROR(IF(MARÍTIMOS[[#This Row],[Etapa Despacho - Inicio de Carga]]="","",MARÍTIMOS[[#This Row],[Etapa Despacho - Inicio de Carga]]),"")</f>
        <v/>
      </c>
      <c r="AD490" s="11" t="str">
        <f>IFERROR(IF(MARÍTIMOS[[#This Row],[Etapa Despacho - Mitad de Carga]]="","",MARÍTIMOS[[#This Row],[Etapa Despacho - Mitad de Carga]]),"")</f>
        <v/>
      </c>
      <c r="AE490" s="11" t="str">
        <f>IFERROR(IF(MARÍTIMOS[[#This Row],[Etapa Despacho - Fin de Carga]]="","",MARÍTIMOS[[#This Row],[Etapa Despacho - Fin de Carga]]),"")</f>
        <v/>
      </c>
      <c r="AF490" s="2" t="str">
        <f>IFERROR(IF(MARÍTIMOS[[#This Row],[Puerto de Embarque]]="","",MARÍTIMOS[[#This Row],[Puerto de Embarque]]),"")</f>
        <v/>
      </c>
      <c r="AG490" s="2" t="str">
        <f>IFERROR(IF(MARÍTIMOS[[#This Row],[Almacén de Ingreso]]="","",MARÍTIMOS[[#This Row],[Almacén de Ingreso]]),"")</f>
        <v/>
      </c>
      <c r="AH490" s="11" t="str">
        <f>IFERROR(IF(MARÍTIMOS[[#This Row],[Etapa Ingreso - Cita]]="","",MARÍTIMOS[[#This Row],[Etapa Ingreso - Cita]]),"")</f>
        <v/>
      </c>
      <c r="AI490" s="11" t="str">
        <f>IFERROR(IF(MARÍTIMOS[[#This Row],[Etapa Ingreso - Llegada]]="","",MARÍTIMOS[[#This Row],[Etapa Ingreso - Llegada]]),"")</f>
        <v/>
      </c>
      <c r="AJ490" s="11" t="str">
        <f>IFERROR(IF(MARÍTIMOS[[#This Row],[Etapa Ingreso - Ingeso]]="","",MARÍTIMOS[[#This Row],[Etapa Ingreso - Ingeso]]),"")</f>
        <v/>
      </c>
      <c r="AK490" s="11" t="str">
        <f>IFERROR(IF(MARÍTIMOS[[#This Row],[Etapa Ingreso - Atención]]="","",MARÍTIMOS[[#This Row],[Etapa Ingreso - Atención]]),"")</f>
        <v/>
      </c>
      <c r="AL490" s="11" t="str">
        <f>IFERROR(IF(MARÍTIMOS[[#This Row],[Etapa Ingreso - Salida]]="","",MARÍTIMOS[[#This Row],[Etapa Ingreso - Salida]]),"")</f>
        <v/>
      </c>
      <c r="AM490" s="2" t="str">
        <f>IFERROR(IF(MARÍTIMOS[[#This Row],[FCL]]="","",MARÍTIMOS[[#This Row],[FCL]]),"")</f>
        <v/>
      </c>
      <c r="AN4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0" s="4" t="str" cm="1">
        <f t="array" ref="AO4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0" s="5" t="str">
        <f>IFERROR(OLDBD[[#This Row],[Llegada a packing]]-OLDBD[[#This Row],[Inicio de Ruta]],"")</f>
        <v/>
      </c>
      <c r="AQ490" s="6" t="str">
        <f>IFERROR(OLDBD[[#This Row],[Inicio de Ruta]]-OLDBD[[#This Row],[Salida de almacén de retiro]],"")</f>
        <v/>
      </c>
      <c r="AR4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0" s="8" t="str" cm="1">
        <f t="array" ref="AS4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0" s="9" t="str">
        <f>IFERROR(OLDBD[[#This Row],[Ingreso Packing]]-OLDBD[[#This Row],[Registro en Packing]],"")</f>
        <v/>
      </c>
      <c r="AV490" s="9" t="str">
        <f>IFERROR(OLDBD[[#This Row],[Ingreso Packing]]-OLDBD[[#This Row],[Llegada a packing]],"")</f>
        <v/>
      </c>
      <c r="AW4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0" s="5" t="str">
        <f>IFERROR(OLDBD[[#This Row],[Llegada Almacén de Ingreso]]-OLDBD[[#This Row],[Salida Packing]],"")</f>
        <v/>
      </c>
      <c r="AY490" s="4" t="str" cm="1">
        <f t="array" ref="AY4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0" s="43" t="s">
        <v>173</v>
      </c>
      <c r="BB490" s="47" t="str">
        <f>IFERROR(IF(MARÍTIMOS[[#This Row],[Estatus]]="","",MARÍTIMOS[[#This Row],[Estatus]]),"")</f>
        <v/>
      </c>
      <c r="BC490" s="43"/>
      <c r="BD490" s="46" t="str">
        <f>IFERROR(OLDBD[[#This Row],[Salida de almacén de retiro]]-OLDBD[[#This Row],[Ingreso Almacén de retiro]],"")</f>
        <v/>
      </c>
      <c r="BE490" s="46" t="str">
        <f>IFERROR(OLDBD[[#This Row],[Fin de Carga]]-OLDBD[[#This Row],[Inicio de Carga]],"")</f>
        <v/>
      </c>
    </row>
    <row r="491" spans="1:57" customFormat="1" hidden="1">
      <c r="A491" s="1"/>
      <c r="B491" s="1" t="str">
        <f>IFERROR(IF(MARÍTIMOS[[#This Row],[PP]]="","",MARÍTIMOS[[#This Row],[PP]]),"")</f>
        <v/>
      </c>
      <c r="C491" s="1" t="str">
        <f>IFERROR(IF(MARÍTIMOS[[#This Row],[Sede]]="","",MARÍTIMOS[[#This Row],[Sede]]),"")</f>
        <v/>
      </c>
      <c r="D491" s="1" t="str">
        <f>IFERROR(IF(MARÍTIMOS[[#This Row],[Instruction]]="","",MARÍTIMOS[[#This Row],[Instruction]]),"")</f>
        <v/>
      </c>
      <c r="E491" s="1"/>
      <c r="F491" s="2" t="str">
        <f>IFERROR(IF(MARÍTIMOS[[#This Row],[Transportista]]="","",MARÍTIMOS[[#This Row],[Transportista]]),"")</f>
        <v/>
      </c>
      <c r="G491" s="2" t="str">
        <f>IFERROR(IF(MARÍTIMOS[[#This Row],[Tercero]]="","",MARÍTIMOS[[#This Row],[Tercero]]),"")</f>
        <v/>
      </c>
      <c r="H491" s="2" t="str">
        <f>IFERROR(IF(MARÍTIMOS[[#This Row],[Razón Social]]="","",MARÍTIMOS[[#This Row],[Razón Social]]),"")</f>
        <v/>
      </c>
      <c r="I491" s="2" t="str">
        <f>IFERROR(IF(MARÍTIMOS[[#This Row],[RUC]]="","",MARÍTIMOS[[#This Row],[RUC]]),"")</f>
        <v/>
      </c>
      <c r="J491" s="2" t="str">
        <f>IFERROR(IF(MARÍTIMOS[[#This Row],[Placa Tracto]]="","",MARÍTIMOS[[#This Row],[Placa Tracto]]),"")</f>
        <v/>
      </c>
      <c r="K491" s="2" t="str">
        <f>IFERROR(IF(MARÍTIMOS[[#This Row],[Placa Carreta]]="","",MARÍTIMOS[[#This Row],[Placa Carreta]]),"")</f>
        <v/>
      </c>
      <c r="L491" s="44" t="str">
        <f>IFERROR(IF(MARÍTIMOS[[#This Row],[Conductor]]="","",MARÍTIMOS[[#This Row],[Conductor]]),"")</f>
        <v/>
      </c>
      <c r="M491" s="2" t="str">
        <f>IFERROR(IF(MARÍTIMOS[[#This Row],[Licencia]]="","",MARÍTIMOS[[#This Row],[Licencia]]),"")</f>
        <v/>
      </c>
      <c r="N491" s="2" t="str">
        <f>IFERROR(IF(MARÍTIMOS[[#This Row],[Número de Contacto]]="","",MARÍTIMOS[[#This Row],[Número de Contacto]]),"")</f>
        <v/>
      </c>
      <c r="O491" s="10" t="str">
        <f>IFERROR(IF(MARÍTIMOS[[#This Row],[Booking|AWB|CRT]]="","",MARÍTIMOS[[#This Row],[Booking|AWB|CRT]]),"")</f>
        <v/>
      </c>
      <c r="P491" s="2" t="str">
        <f>IFERROR(IF(MARÍTIMOS[[#This Row],[Contenedor]]="","",MARÍTIMOS[[#This Row],[Contenedor]]),"")</f>
        <v/>
      </c>
      <c r="Q491" s="2" t="str">
        <f>IFERROR(IF(MARÍTIMOS[[#This Row],[Puerto de Retiro]]="","",MARÍTIMOS[[#This Row],[Puerto de Retiro]]),"")</f>
        <v/>
      </c>
      <c r="R491" s="2" t="str">
        <f>IFERROR(IF(MARÍTIMOS[[#This Row],[Almacén de Retiro]]="","",MARÍTIMOS[[#This Row],[Almacén de Retiro]]),"")</f>
        <v/>
      </c>
      <c r="S491" s="11" t="str">
        <f>IFERROR(IF(MARÍTIMOS[[#This Row],[Etapa Retiro - Cita]]="","",MARÍTIMOS[[#This Row],[Etapa Retiro - Cita]]),"")</f>
        <v/>
      </c>
      <c r="T491" s="11" t="str">
        <f>IFERROR(IF(MARÍTIMOS[[#This Row],[Etapa Retiro - Llegada]]="","",MARÍTIMOS[[#This Row],[Etapa Retiro - Llegada]]),"")</f>
        <v/>
      </c>
      <c r="U491" s="11" t="str">
        <f>IFERROR(IF(MARÍTIMOS[[#This Row],[Etapa Retiro - Ingreso]]="","",MARÍTIMOS[[#This Row],[Etapa Retiro - Ingreso]]),"")</f>
        <v/>
      </c>
      <c r="V491" s="11" t="str">
        <f>IFERROR(IF(MARÍTIMOS[[#This Row],[Etapa Retiro - Atención]]="","",MARÍTIMOS[[#This Row],[Etapa Retiro - Atención]]),"")</f>
        <v/>
      </c>
      <c r="W491" s="11" t="str">
        <f>IFERROR(IF(MARÍTIMOS[[#This Row],[Etapa Retiro - Atención]]="","",MARÍTIMOS[[#This Row],[Etapa Retiro - Atención]]),"")</f>
        <v/>
      </c>
      <c r="X491" s="11" t="str">
        <f>IFERROR(IF(MARÍTIMOS[[#This Row],[Etapa Retiro - Inicio de Ruta]]="","",MARÍTIMOS[[#This Row],[Etapa Retiro - Inicio de Ruta]]),"")</f>
        <v/>
      </c>
      <c r="Y491" s="11" t="str">
        <f>IFERROR(IF(MARÍTIMOS[[#This Row],[Hora de Posicionamiento]]="","",MARÍTIMOS[[#This Row],[Fecha de Carga]]+MARÍTIMOS[[#This Row],[Hora de Posicionamiento]]),"")</f>
        <v/>
      </c>
      <c r="Z491" s="11" t="str">
        <f>IFERROR(IF(MARÍTIMOS[[#This Row],[Etapa Despacho - Llegada]]="","",MARÍTIMOS[[#This Row],[Etapa Despacho - Llegada]]),"")</f>
        <v/>
      </c>
      <c r="AA491" s="11" t="str">
        <f>IFERROR(IF(MARÍTIMOS[[#This Row],[Etapa Despacho - Registro]]="","",MARÍTIMOS[[#This Row],[Etapa Despacho - Registro]]),"")</f>
        <v/>
      </c>
      <c r="AB491" s="11" t="str">
        <f>IFERROR(IF(MARÍTIMOS[[#This Row],[Inspección Externa]]="","",MARÍTIMOS[[#This Row],[Inspección Externa]]),"")</f>
        <v/>
      </c>
      <c r="AC491" s="11" t="str">
        <f>IFERROR(IF(MARÍTIMOS[[#This Row],[Etapa Despacho - Inicio de Carga]]="","",MARÍTIMOS[[#This Row],[Etapa Despacho - Inicio de Carga]]),"")</f>
        <v/>
      </c>
      <c r="AD491" s="11" t="str">
        <f>IFERROR(IF(MARÍTIMOS[[#This Row],[Etapa Despacho - Mitad de Carga]]="","",MARÍTIMOS[[#This Row],[Etapa Despacho - Mitad de Carga]]),"")</f>
        <v/>
      </c>
      <c r="AE491" s="11" t="str">
        <f>IFERROR(IF(MARÍTIMOS[[#This Row],[Etapa Despacho - Fin de Carga]]="","",MARÍTIMOS[[#This Row],[Etapa Despacho - Fin de Carga]]),"")</f>
        <v/>
      </c>
      <c r="AF491" s="2" t="str">
        <f>IFERROR(IF(MARÍTIMOS[[#This Row],[Puerto de Embarque]]="","",MARÍTIMOS[[#This Row],[Puerto de Embarque]]),"")</f>
        <v/>
      </c>
      <c r="AG491" s="2" t="str">
        <f>IFERROR(IF(MARÍTIMOS[[#This Row],[Almacén de Ingreso]]="","",MARÍTIMOS[[#This Row],[Almacén de Ingreso]]),"")</f>
        <v/>
      </c>
      <c r="AH491" s="11" t="str">
        <f>IFERROR(IF(MARÍTIMOS[[#This Row],[Etapa Ingreso - Cita]]="","",MARÍTIMOS[[#This Row],[Etapa Ingreso - Cita]]),"")</f>
        <v/>
      </c>
      <c r="AI491" s="11" t="str">
        <f>IFERROR(IF(MARÍTIMOS[[#This Row],[Etapa Ingreso - Llegada]]="","",MARÍTIMOS[[#This Row],[Etapa Ingreso - Llegada]]),"")</f>
        <v/>
      </c>
      <c r="AJ491" s="11" t="str">
        <f>IFERROR(IF(MARÍTIMOS[[#This Row],[Etapa Ingreso - Ingeso]]="","",MARÍTIMOS[[#This Row],[Etapa Ingreso - Ingeso]]),"")</f>
        <v/>
      </c>
      <c r="AK491" s="11" t="str">
        <f>IFERROR(IF(MARÍTIMOS[[#This Row],[Etapa Ingreso - Atención]]="","",MARÍTIMOS[[#This Row],[Etapa Ingreso - Atención]]),"")</f>
        <v/>
      </c>
      <c r="AL491" s="11" t="str">
        <f>IFERROR(IF(MARÍTIMOS[[#This Row],[Etapa Ingreso - Salida]]="","",MARÍTIMOS[[#This Row],[Etapa Ingreso - Salida]]),"")</f>
        <v/>
      </c>
      <c r="AM491" s="2" t="str">
        <f>IFERROR(IF(MARÍTIMOS[[#This Row],[FCL]]="","",MARÍTIMOS[[#This Row],[FCL]]),"")</f>
        <v/>
      </c>
      <c r="AN4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1" s="4" t="str" cm="1">
        <f t="array" ref="AO4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1" s="5" t="str">
        <f>IFERROR(OLDBD[[#This Row],[Llegada a packing]]-OLDBD[[#This Row],[Inicio de Ruta]],"")</f>
        <v/>
      </c>
      <c r="AQ491" s="6" t="str">
        <f>IFERROR(OLDBD[[#This Row],[Inicio de Ruta]]-OLDBD[[#This Row],[Salida de almacén de retiro]],"")</f>
        <v/>
      </c>
      <c r="AR4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1" s="8" t="str" cm="1">
        <f t="array" ref="AS4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1" s="9" t="str">
        <f>IFERROR(OLDBD[[#This Row],[Ingreso Packing]]-OLDBD[[#This Row],[Registro en Packing]],"")</f>
        <v/>
      </c>
      <c r="AV491" s="9" t="str">
        <f>IFERROR(OLDBD[[#This Row],[Ingreso Packing]]-OLDBD[[#This Row],[Llegada a packing]],"")</f>
        <v/>
      </c>
      <c r="AW4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1" s="5" t="str">
        <f>IFERROR(OLDBD[[#This Row],[Llegada Almacén de Ingreso]]-OLDBD[[#This Row],[Salida Packing]],"")</f>
        <v/>
      </c>
      <c r="AY491" s="4" t="str" cm="1">
        <f t="array" ref="AY4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1" s="43" t="s">
        <v>173</v>
      </c>
      <c r="BB491" s="47" t="str">
        <f>IFERROR(IF(MARÍTIMOS[[#This Row],[Estatus]]="","",MARÍTIMOS[[#This Row],[Estatus]]),"")</f>
        <v/>
      </c>
      <c r="BC491" s="43"/>
      <c r="BD491" s="46" t="str">
        <f>IFERROR(OLDBD[[#This Row],[Salida de almacén de retiro]]-OLDBD[[#This Row],[Ingreso Almacén de retiro]],"")</f>
        <v/>
      </c>
      <c r="BE491" s="46" t="str">
        <f>IFERROR(OLDBD[[#This Row],[Fin de Carga]]-OLDBD[[#This Row],[Inicio de Carga]],"")</f>
        <v/>
      </c>
    </row>
    <row r="492" spans="1:57" customFormat="1" hidden="1">
      <c r="A492" s="1"/>
      <c r="B492" s="1" t="str">
        <f>IFERROR(IF(MARÍTIMOS[[#This Row],[PP]]="","",MARÍTIMOS[[#This Row],[PP]]),"")</f>
        <v/>
      </c>
      <c r="C492" s="1" t="str">
        <f>IFERROR(IF(MARÍTIMOS[[#This Row],[Sede]]="","",MARÍTIMOS[[#This Row],[Sede]]),"")</f>
        <v/>
      </c>
      <c r="D492" s="1" t="str">
        <f>IFERROR(IF(MARÍTIMOS[[#This Row],[Instruction]]="","",MARÍTIMOS[[#This Row],[Instruction]]),"")</f>
        <v/>
      </c>
      <c r="E492" s="1"/>
      <c r="F492" s="2" t="str">
        <f>IFERROR(IF(MARÍTIMOS[[#This Row],[Transportista]]="","",MARÍTIMOS[[#This Row],[Transportista]]),"")</f>
        <v/>
      </c>
      <c r="G492" s="2" t="str">
        <f>IFERROR(IF(MARÍTIMOS[[#This Row],[Tercero]]="","",MARÍTIMOS[[#This Row],[Tercero]]),"")</f>
        <v/>
      </c>
      <c r="H492" s="2" t="str">
        <f>IFERROR(IF(MARÍTIMOS[[#This Row],[Razón Social]]="","",MARÍTIMOS[[#This Row],[Razón Social]]),"")</f>
        <v/>
      </c>
      <c r="I492" s="2" t="str">
        <f>IFERROR(IF(MARÍTIMOS[[#This Row],[RUC]]="","",MARÍTIMOS[[#This Row],[RUC]]),"")</f>
        <v/>
      </c>
      <c r="J492" s="2" t="str">
        <f>IFERROR(IF(MARÍTIMOS[[#This Row],[Placa Tracto]]="","",MARÍTIMOS[[#This Row],[Placa Tracto]]),"")</f>
        <v/>
      </c>
      <c r="K492" s="2" t="str">
        <f>IFERROR(IF(MARÍTIMOS[[#This Row],[Placa Carreta]]="","",MARÍTIMOS[[#This Row],[Placa Carreta]]),"")</f>
        <v/>
      </c>
      <c r="L492" s="44" t="str">
        <f>IFERROR(IF(MARÍTIMOS[[#This Row],[Conductor]]="","",MARÍTIMOS[[#This Row],[Conductor]]),"")</f>
        <v/>
      </c>
      <c r="M492" s="2" t="str">
        <f>IFERROR(IF(MARÍTIMOS[[#This Row],[Licencia]]="","",MARÍTIMOS[[#This Row],[Licencia]]),"")</f>
        <v/>
      </c>
      <c r="N492" s="2" t="str">
        <f>IFERROR(IF(MARÍTIMOS[[#This Row],[Número de Contacto]]="","",MARÍTIMOS[[#This Row],[Número de Contacto]]),"")</f>
        <v/>
      </c>
      <c r="O492" s="10" t="str">
        <f>IFERROR(IF(MARÍTIMOS[[#This Row],[Booking|AWB|CRT]]="","",MARÍTIMOS[[#This Row],[Booking|AWB|CRT]]),"")</f>
        <v/>
      </c>
      <c r="P492" s="2" t="str">
        <f>IFERROR(IF(MARÍTIMOS[[#This Row],[Contenedor]]="","",MARÍTIMOS[[#This Row],[Contenedor]]),"")</f>
        <v/>
      </c>
      <c r="Q492" s="2" t="str">
        <f>IFERROR(IF(MARÍTIMOS[[#This Row],[Puerto de Retiro]]="","",MARÍTIMOS[[#This Row],[Puerto de Retiro]]),"")</f>
        <v/>
      </c>
      <c r="R492" s="2" t="str">
        <f>IFERROR(IF(MARÍTIMOS[[#This Row],[Almacén de Retiro]]="","",MARÍTIMOS[[#This Row],[Almacén de Retiro]]),"")</f>
        <v/>
      </c>
      <c r="S492" s="11" t="str">
        <f>IFERROR(IF(MARÍTIMOS[[#This Row],[Etapa Retiro - Cita]]="","",MARÍTIMOS[[#This Row],[Etapa Retiro - Cita]]),"")</f>
        <v/>
      </c>
      <c r="T492" s="11" t="str">
        <f>IFERROR(IF(MARÍTIMOS[[#This Row],[Etapa Retiro - Llegada]]="","",MARÍTIMOS[[#This Row],[Etapa Retiro - Llegada]]),"")</f>
        <v/>
      </c>
      <c r="U492" s="11" t="str">
        <f>IFERROR(IF(MARÍTIMOS[[#This Row],[Etapa Retiro - Ingreso]]="","",MARÍTIMOS[[#This Row],[Etapa Retiro - Ingreso]]),"")</f>
        <v/>
      </c>
      <c r="V492" s="11" t="str">
        <f>IFERROR(IF(MARÍTIMOS[[#This Row],[Etapa Retiro - Atención]]="","",MARÍTIMOS[[#This Row],[Etapa Retiro - Atención]]),"")</f>
        <v/>
      </c>
      <c r="W492" s="11" t="str">
        <f>IFERROR(IF(MARÍTIMOS[[#This Row],[Etapa Retiro - Atención]]="","",MARÍTIMOS[[#This Row],[Etapa Retiro - Atención]]),"")</f>
        <v/>
      </c>
      <c r="X492" s="11" t="str">
        <f>IFERROR(IF(MARÍTIMOS[[#This Row],[Etapa Retiro - Inicio de Ruta]]="","",MARÍTIMOS[[#This Row],[Etapa Retiro - Inicio de Ruta]]),"")</f>
        <v/>
      </c>
      <c r="Y492" s="11" t="str">
        <f>IFERROR(IF(MARÍTIMOS[[#This Row],[Hora de Posicionamiento]]="","",MARÍTIMOS[[#This Row],[Fecha de Carga]]+MARÍTIMOS[[#This Row],[Hora de Posicionamiento]]),"")</f>
        <v/>
      </c>
      <c r="Z492" s="11" t="str">
        <f>IFERROR(IF(MARÍTIMOS[[#This Row],[Etapa Despacho - Llegada]]="","",MARÍTIMOS[[#This Row],[Etapa Despacho - Llegada]]),"")</f>
        <v/>
      </c>
      <c r="AA492" s="11" t="str">
        <f>IFERROR(IF(MARÍTIMOS[[#This Row],[Etapa Despacho - Registro]]="","",MARÍTIMOS[[#This Row],[Etapa Despacho - Registro]]),"")</f>
        <v/>
      </c>
      <c r="AB492" s="11" t="str">
        <f>IFERROR(IF(MARÍTIMOS[[#This Row],[Inspección Externa]]="","",MARÍTIMOS[[#This Row],[Inspección Externa]]),"")</f>
        <v/>
      </c>
      <c r="AC492" s="11" t="str">
        <f>IFERROR(IF(MARÍTIMOS[[#This Row],[Etapa Despacho - Inicio de Carga]]="","",MARÍTIMOS[[#This Row],[Etapa Despacho - Inicio de Carga]]),"")</f>
        <v/>
      </c>
      <c r="AD492" s="11" t="str">
        <f>IFERROR(IF(MARÍTIMOS[[#This Row],[Etapa Despacho - Mitad de Carga]]="","",MARÍTIMOS[[#This Row],[Etapa Despacho - Mitad de Carga]]),"")</f>
        <v/>
      </c>
      <c r="AE492" s="11" t="str">
        <f>IFERROR(IF(MARÍTIMOS[[#This Row],[Etapa Despacho - Fin de Carga]]="","",MARÍTIMOS[[#This Row],[Etapa Despacho - Fin de Carga]]),"")</f>
        <v/>
      </c>
      <c r="AF492" s="2" t="str">
        <f>IFERROR(IF(MARÍTIMOS[[#This Row],[Puerto de Embarque]]="","",MARÍTIMOS[[#This Row],[Puerto de Embarque]]),"")</f>
        <v/>
      </c>
      <c r="AG492" s="2" t="str">
        <f>IFERROR(IF(MARÍTIMOS[[#This Row],[Almacén de Ingreso]]="","",MARÍTIMOS[[#This Row],[Almacén de Ingreso]]),"")</f>
        <v/>
      </c>
      <c r="AH492" s="11" t="str">
        <f>IFERROR(IF(MARÍTIMOS[[#This Row],[Etapa Ingreso - Cita]]="","",MARÍTIMOS[[#This Row],[Etapa Ingreso - Cita]]),"")</f>
        <v/>
      </c>
      <c r="AI492" s="11" t="str">
        <f>IFERROR(IF(MARÍTIMOS[[#This Row],[Etapa Ingreso - Llegada]]="","",MARÍTIMOS[[#This Row],[Etapa Ingreso - Llegada]]),"")</f>
        <v/>
      </c>
      <c r="AJ492" s="11" t="str">
        <f>IFERROR(IF(MARÍTIMOS[[#This Row],[Etapa Ingreso - Ingeso]]="","",MARÍTIMOS[[#This Row],[Etapa Ingreso - Ingeso]]),"")</f>
        <v/>
      </c>
      <c r="AK492" s="11" t="str">
        <f>IFERROR(IF(MARÍTIMOS[[#This Row],[Etapa Ingreso - Atención]]="","",MARÍTIMOS[[#This Row],[Etapa Ingreso - Atención]]),"")</f>
        <v/>
      </c>
      <c r="AL492" s="11" t="str">
        <f>IFERROR(IF(MARÍTIMOS[[#This Row],[Etapa Ingreso - Salida]]="","",MARÍTIMOS[[#This Row],[Etapa Ingreso - Salida]]),"")</f>
        <v/>
      </c>
      <c r="AM492" s="2" t="str">
        <f>IFERROR(IF(MARÍTIMOS[[#This Row],[FCL]]="","",MARÍTIMOS[[#This Row],[FCL]]),"")</f>
        <v/>
      </c>
      <c r="AN4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2" s="4" t="str" cm="1">
        <f t="array" ref="AO4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2" s="5" t="str">
        <f>IFERROR(OLDBD[[#This Row],[Llegada a packing]]-OLDBD[[#This Row],[Inicio de Ruta]],"")</f>
        <v/>
      </c>
      <c r="AQ492" s="6" t="str">
        <f>IFERROR(OLDBD[[#This Row],[Inicio de Ruta]]-OLDBD[[#This Row],[Salida de almacén de retiro]],"")</f>
        <v/>
      </c>
      <c r="AR4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2" s="8" t="str" cm="1">
        <f t="array" ref="AS4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2" s="9" t="str">
        <f>IFERROR(OLDBD[[#This Row],[Ingreso Packing]]-OLDBD[[#This Row],[Registro en Packing]],"")</f>
        <v/>
      </c>
      <c r="AV492" s="9" t="str">
        <f>IFERROR(OLDBD[[#This Row],[Ingreso Packing]]-OLDBD[[#This Row],[Llegada a packing]],"")</f>
        <v/>
      </c>
      <c r="AW4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2" s="5" t="str">
        <f>IFERROR(OLDBD[[#This Row],[Llegada Almacén de Ingreso]]-OLDBD[[#This Row],[Salida Packing]],"")</f>
        <v/>
      </c>
      <c r="AY492" s="4" t="str" cm="1">
        <f t="array" ref="AY4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2" s="43" t="s">
        <v>173</v>
      </c>
      <c r="BB492" s="47" t="str">
        <f>IFERROR(IF(MARÍTIMOS[[#This Row],[Estatus]]="","",MARÍTIMOS[[#This Row],[Estatus]]),"")</f>
        <v/>
      </c>
      <c r="BC492" s="43"/>
      <c r="BD492" s="46" t="str">
        <f>IFERROR(OLDBD[[#This Row],[Salida de almacén de retiro]]-OLDBD[[#This Row],[Ingreso Almacén de retiro]],"")</f>
        <v/>
      </c>
      <c r="BE492" s="46" t="str">
        <f>IFERROR(OLDBD[[#This Row],[Fin de Carga]]-OLDBD[[#This Row],[Inicio de Carga]],"")</f>
        <v/>
      </c>
    </row>
    <row r="493" spans="1:57" customFormat="1" hidden="1">
      <c r="A493" s="1"/>
      <c r="B493" s="1" t="str">
        <f>IFERROR(IF(MARÍTIMOS[[#This Row],[PP]]="","",MARÍTIMOS[[#This Row],[PP]]),"")</f>
        <v/>
      </c>
      <c r="C493" s="1" t="str">
        <f>IFERROR(IF(MARÍTIMOS[[#This Row],[Sede]]="","",MARÍTIMOS[[#This Row],[Sede]]),"")</f>
        <v/>
      </c>
      <c r="D493" s="1" t="str">
        <f>IFERROR(IF(MARÍTIMOS[[#This Row],[Instruction]]="","",MARÍTIMOS[[#This Row],[Instruction]]),"")</f>
        <v/>
      </c>
      <c r="E493" s="1"/>
      <c r="F493" s="2" t="str">
        <f>IFERROR(IF(MARÍTIMOS[[#This Row],[Transportista]]="","",MARÍTIMOS[[#This Row],[Transportista]]),"")</f>
        <v/>
      </c>
      <c r="G493" s="2" t="str">
        <f>IFERROR(IF(MARÍTIMOS[[#This Row],[Tercero]]="","",MARÍTIMOS[[#This Row],[Tercero]]),"")</f>
        <v/>
      </c>
      <c r="H493" s="2" t="str">
        <f>IFERROR(IF(MARÍTIMOS[[#This Row],[Razón Social]]="","",MARÍTIMOS[[#This Row],[Razón Social]]),"")</f>
        <v/>
      </c>
      <c r="I493" s="2" t="str">
        <f>IFERROR(IF(MARÍTIMOS[[#This Row],[RUC]]="","",MARÍTIMOS[[#This Row],[RUC]]),"")</f>
        <v/>
      </c>
      <c r="J493" s="2" t="str">
        <f>IFERROR(IF(MARÍTIMOS[[#This Row],[Placa Tracto]]="","",MARÍTIMOS[[#This Row],[Placa Tracto]]),"")</f>
        <v/>
      </c>
      <c r="K493" s="2" t="str">
        <f>IFERROR(IF(MARÍTIMOS[[#This Row],[Placa Carreta]]="","",MARÍTIMOS[[#This Row],[Placa Carreta]]),"")</f>
        <v/>
      </c>
      <c r="L493" s="44" t="str">
        <f>IFERROR(IF(MARÍTIMOS[[#This Row],[Conductor]]="","",MARÍTIMOS[[#This Row],[Conductor]]),"")</f>
        <v/>
      </c>
      <c r="M493" s="2" t="str">
        <f>IFERROR(IF(MARÍTIMOS[[#This Row],[Licencia]]="","",MARÍTIMOS[[#This Row],[Licencia]]),"")</f>
        <v/>
      </c>
      <c r="N493" s="2" t="str">
        <f>IFERROR(IF(MARÍTIMOS[[#This Row],[Número de Contacto]]="","",MARÍTIMOS[[#This Row],[Número de Contacto]]),"")</f>
        <v/>
      </c>
      <c r="O493" s="10" t="str">
        <f>IFERROR(IF(MARÍTIMOS[[#This Row],[Booking|AWB|CRT]]="","",MARÍTIMOS[[#This Row],[Booking|AWB|CRT]]),"")</f>
        <v/>
      </c>
      <c r="P493" s="2" t="str">
        <f>IFERROR(IF(MARÍTIMOS[[#This Row],[Contenedor]]="","",MARÍTIMOS[[#This Row],[Contenedor]]),"")</f>
        <v/>
      </c>
      <c r="Q493" s="2" t="str">
        <f>IFERROR(IF(MARÍTIMOS[[#This Row],[Puerto de Retiro]]="","",MARÍTIMOS[[#This Row],[Puerto de Retiro]]),"")</f>
        <v/>
      </c>
      <c r="R493" s="2" t="str">
        <f>IFERROR(IF(MARÍTIMOS[[#This Row],[Almacén de Retiro]]="","",MARÍTIMOS[[#This Row],[Almacén de Retiro]]),"")</f>
        <v/>
      </c>
      <c r="S493" s="11" t="str">
        <f>IFERROR(IF(MARÍTIMOS[[#This Row],[Etapa Retiro - Cita]]="","",MARÍTIMOS[[#This Row],[Etapa Retiro - Cita]]),"")</f>
        <v/>
      </c>
      <c r="T493" s="11" t="str">
        <f>IFERROR(IF(MARÍTIMOS[[#This Row],[Etapa Retiro - Llegada]]="","",MARÍTIMOS[[#This Row],[Etapa Retiro - Llegada]]),"")</f>
        <v/>
      </c>
      <c r="U493" s="11" t="str">
        <f>IFERROR(IF(MARÍTIMOS[[#This Row],[Etapa Retiro - Ingreso]]="","",MARÍTIMOS[[#This Row],[Etapa Retiro - Ingreso]]),"")</f>
        <v/>
      </c>
      <c r="V493" s="11" t="str">
        <f>IFERROR(IF(MARÍTIMOS[[#This Row],[Etapa Retiro - Atención]]="","",MARÍTIMOS[[#This Row],[Etapa Retiro - Atención]]),"")</f>
        <v/>
      </c>
      <c r="W493" s="11" t="str">
        <f>IFERROR(IF(MARÍTIMOS[[#This Row],[Etapa Retiro - Atención]]="","",MARÍTIMOS[[#This Row],[Etapa Retiro - Atención]]),"")</f>
        <v/>
      </c>
      <c r="X493" s="11" t="str">
        <f>IFERROR(IF(MARÍTIMOS[[#This Row],[Etapa Retiro - Inicio de Ruta]]="","",MARÍTIMOS[[#This Row],[Etapa Retiro - Inicio de Ruta]]),"")</f>
        <v/>
      </c>
      <c r="Y493" s="11" t="str">
        <f>IFERROR(IF(MARÍTIMOS[[#This Row],[Hora de Posicionamiento]]="","",MARÍTIMOS[[#This Row],[Fecha de Carga]]+MARÍTIMOS[[#This Row],[Hora de Posicionamiento]]),"")</f>
        <v/>
      </c>
      <c r="Z493" s="11" t="str">
        <f>IFERROR(IF(MARÍTIMOS[[#This Row],[Etapa Despacho - Llegada]]="","",MARÍTIMOS[[#This Row],[Etapa Despacho - Llegada]]),"")</f>
        <v/>
      </c>
      <c r="AA493" s="11" t="str">
        <f>IFERROR(IF(MARÍTIMOS[[#This Row],[Etapa Despacho - Registro]]="","",MARÍTIMOS[[#This Row],[Etapa Despacho - Registro]]),"")</f>
        <v/>
      </c>
      <c r="AB493" s="11" t="str">
        <f>IFERROR(IF(MARÍTIMOS[[#This Row],[Inspección Externa]]="","",MARÍTIMOS[[#This Row],[Inspección Externa]]),"")</f>
        <v/>
      </c>
      <c r="AC493" s="11" t="str">
        <f>IFERROR(IF(MARÍTIMOS[[#This Row],[Etapa Despacho - Inicio de Carga]]="","",MARÍTIMOS[[#This Row],[Etapa Despacho - Inicio de Carga]]),"")</f>
        <v/>
      </c>
      <c r="AD493" s="11" t="str">
        <f>IFERROR(IF(MARÍTIMOS[[#This Row],[Etapa Despacho - Mitad de Carga]]="","",MARÍTIMOS[[#This Row],[Etapa Despacho - Mitad de Carga]]),"")</f>
        <v/>
      </c>
      <c r="AE493" s="11" t="str">
        <f>IFERROR(IF(MARÍTIMOS[[#This Row],[Etapa Despacho - Fin de Carga]]="","",MARÍTIMOS[[#This Row],[Etapa Despacho - Fin de Carga]]),"")</f>
        <v/>
      </c>
      <c r="AF493" s="2" t="str">
        <f>IFERROR(IF(MARÍTIMOS[[#This Row],[Puerto de Embarque]]="","",MARÍTIMOS[[#This Row],[Puerto de Embarque]]),"")</f>
        <v/>
      </c>
      <c r="AG493" s="2" t="str">
        <f>IFERROR(IF(MARÍTIMOS[[#This Row],[Almacén de Ingreso]]="","",MARÍTIMOS[[#This Row],[Almacén de Ingreso]]),"")</f>
        <v/>
      </c>
      <c r="AH493" s="11" t="str">
        <f>IFERROR(IF(MARÍTIMOS[[#This Row],[Etapa Ingreso - Cita]]="","",MARÍTIMOS[[#This Row],[Etapa Ingreso - Cita]]),"")</f>
        <v/>
      </c>
      <c r="AI493" s="11" t="str">
        <f>IFERROR(IF(MARÍTIMOS[[#This Row],[Etapa Ingreso - Llegada]]="","",MARÍTIMOS[[#This Row],[Etapa Ingreso - Llegada]]),"")</f>
        <v/>
      </c>
      <c r="AJ493" s="11" t="str">
        <f>IFERROR(IF(MARÍTIMOS[[#This Row],[Etapa Ingreso - Ingeso]]="","",MARÍTIMOS[[#This Row],[Etapa Ingreso - Ingeso]]),"")</f>
        <v/>
      </c>
      <c r="AK493" s="11" t="str">
        <f>IFERROR(IF(MARÍTIMOS[[#This Row],[Etapa Ingreso - Atención]]="","",MARÍTIMOS[[#This Row],[Etapa Ingreso - Atención]]),"")</f>
        <v/>
      </c>
      <c r="AL493" s="11" t="str">
        <f>IFERROR(IF(MARÍTIMOS[[#This Row],[Etapa Ingreso - Salida]]="","",MARÍTIMOS[[#This Row],[Etapa Ingreso - Salida]]),"")</f>
        <v/>
      </c>
      <c r="AM493" s="2" t="str">
        <f>IFERROR(IF(MARÍTIMOS[[#This Row],[FCL]]="","",MARÍTIMOS[[#This Row],[FCL]]),"")</f>
        <v/>
      </c>
      <c r="AN4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3" s="4" t="str" cm="1">
        <f t="array" ref="AO4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3" s="5" t="str">
        <f>IFERROR(OLDBD[[#This Row],[Llegada a packing]]-OLDBD[[#This Row],[Inicio de Ruta]],"")</f>
        <v/>
      </c>
      <c r="AQ493" s="6" t="str">
        <f>IFERROR(OLDBD[[#This Row],[Inicio de Ruta]]-OLDBD[[#This Row],[Salida de almacén de retiro]],"")</f>
        <v/>
      </c>
      <c r="AR4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3" s="8" t="str" cm="1">
        <f t="array" ref="AS4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3" s="9" t="str">
        <f>IFERROR(OLDBD[[#This Row],[Ingreso Packing]]-OLDBD[[#This Row],[Registro en Packing]],"")</f>
        <v/>
      </c>
      <c r="AV493" s="9" t="str">
        <f>IFERROR(OLDBD[[#This Row],[Ingreso Packing]]-OLDBD[[#This Row],[Llegada a packing]],"")</f>
        <v/>
      </c>
      <c r="AW4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3" s="5" t="str">
        <f>IFERROR(OLDBD[[#This Row],[Llegada Almacén de Ingreso]]-OLDBD[[#This Row],[Salida Packing]],"")</f>
        <v/>
      </c>
      <c r="AY493" s="4" t="str" cm="1">
        <f t="array" ref="AY4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3" s="43" t="s">
        <v>173</v>
      </c>
      <c r="BB493" s="47" t="str">
        <f>IFERROR(IF(MARÍTIMOS[[#This Row],[Estatus]]="","",MARÍTIMOS[[#This Row],[Estatus]]),"")</f>
        <v/>
      </c>
      <c r="BC493" s="43"/>
      <c r="BD493" s="46" t="str">
        <f>IFERROR(OLDBD[[#This Row],[Salida de almacén de retiro]]-OLDBD[[#This Row],[Ingreso Almacén de retiro]],"")</f>
        <v/>
      </c>
      <c r="BE493" s="46" t="str">
        <f>IFERROR(OLDBD[[#This Row],[Fin de Carga]]-OLDBD[[#This Row],[Inicio de Carga]],"")</f>
        <v/>
      </c>
    </row>
    <row r="494" spans="1:57" customFormat="1" hidden="1">
      <c r="A494" s="1"/>
      <c r="B494" s="1" t="str">
        <f>IFERROR(IF(MARÍTIMOS[[#This Row],[PP]]="","",MARÍTIMOS[[#This Row],[PP]]),"")</f>
        <v/>
      </c>
      <c r="C494" s="1" t="str">
        <f>IFERROR(IF(MARÍTIMOS[[#This Row],[Sede]]="","",MARÍTIMOS[[#This Row],[Sede]]),"")</f>
        <v/>
      </c>
      <c r="D494" s="1" t="str">
        <f>IFERROR(IF(MARÍTIMOS[[#This Row],[Instruction]]="","",MARÍTIMOS[[#This Row],[Instruction]]),"")</f>
        <v/>
      </c>
      <c r="E494" s="1"/>
      <c r="F494" s="2" t="str">
        <f>IFERROR(IF(MARÍTIMOS[[#This Row],[Transportista]]="","",MARÍTIMOS[[#This Row],[Transportista]]),"")</f>
        <v/>
      </c>
      <c r="G494" s="2" t="str">
        <f>IFERROR(IF(MARÍTIMOS[[#This Row],[Tercero]]="","",MARÍTIMOS[[#This Row],[Tercero]]),"")</f>
        <v/>
      </c>
      <c r="H494" s="2" t="str">
        <f>IFERROR(IF(MARÍTIMOS[[#This Row],[Razón Social]]="","",MARÍTIMOS[[#This Row],[Razón Social]]),"")</f>
        <v/>
      </c>
      <c r="I494" s="2" t="str">
        <f>IFERROR(IF(MARÍTIMOS[[#This Row],[RUC]]="","",MARÍTIMOS[[#This Row],[RUC]]),"")</f>
        <v/>
      </c>
      <c r="J494" s="2" t="str">
        <f>IFERROR(IF(MARÍTIMOS[[#This Row],[Placa Tracto]]="","",MARÍTIMOS[[#This Row],[Placa Tracto]]),"")</f>
        <v/>
      </c>
      <c r="K494" s="2" t="str">
        <f>IFERROR(IF(MARÍTIMOS[[#This Row],[Placa Carreta]]="","",MARÍTIMOS[[#This Row],[Placa Carreta]]),"")</f>
        <v/>
      </c>
      <c r="L494" s="44" t="str">
        <f>IFERROR(IF(MARÍTIMOS[[#This Row],[Conductor]]="","",MARÍTIMOS[[#This Row],[Conductor]]),"")</f>
        <v/>
      </c>
      <c r="M494" s="2" t="str">
        <f>IFERROR(IF(MARÍTIMOS[[#This Row],[Licencia]]="","",MARÍTIMOS[[#This Row],[Licencia]]),"")</f>
        <v/>
      </c>
      <c r="N494" s="2" t="str">
        <f>IFERROR(IF(MARÍTIMOS[[#This Row],[Número de Contacto]]="","",MARÍTIMOS[[#This Row],[Número de Contacto]]),"")</f>
        <v/>
      </c>
      <c r="O494" s="10" t="str">
        <f>IFERROR(IF(MARÍTIMOS[[#This Row],[Booking|AWB|CRT]]="","",MARÍTIMOS[[#This Row],[Booking|AWB|CRT]]),"")</f>
        <v/>
      </c>
      <c r="P494" s="2" t="str">
        <f>IFERROR(IF(MARÍTIMOS[[#This Row],[Contenedor]]="","",MARÍTIMOS[[#This Row],[Contenedor]]),"")</f>
        <v/>
      </c>
      <c r="Q494" s="2" t="str">
        <f>IFERROR(IF(MARÍTIMOS[[#This Row],[Puerto de Retiro]]="","",MARÍTIMOS[[#This Row],[Puerto de Retiro]]),"")</f>
        <v/>
      </c>
      <c r="R494" s="2" t="str">
        <f>IFERROR(IF(MARÍTIMOS[[#This Row],[Almacén de Retiro]]="","",MARÍTIMOS[[#This Row],[Almacén de Retiro]]),"")</f>
        <v/>
      </c>
      <c r="S494" s="11" t="str">
        <f>IFERROR(IF(MARÍTIMOS[[#This Row],[Etapa Retiro - Cita]]="","",MARÍTIMOS[[#This Row],[Etapa Retiro - Cita]]),"")</f>
        <v/>
      </c>
      <c r="T494" s="11" t="str">
        <f>IFERROR(IF(MARÍTIMOS[[#This Row],[Etapa Retiro - Llegada]]="","",MARÍTIMOS[[#This Row],[Etapa Retiro - Llegada]]),"")</f>
        <v/>
      </c>
      <c r="U494" s="11" t="str">
        <f>IFERROR(IF(MARÍTIMOS[[#This Row],[Etapa Retiro - Ingreso]]="","",MARÍTIMOS[[#This Row],[Etapa Retiro - Ingreso]]),"")</f>
        <v/>
      </c>
      <c r="V494" s="11" t="str">
        <f>IFERROR(IF(MARÍTIMOS[[#This Row],[Etapa Retiro - Atención]]="","",MARÍTIMOS[[#This Row],[Etapa Retiro - Atención]]),"")</f>
        <v/>
      </c>
      <c r="W494" s="11" t="str">
        <f>IFERROR(IF(MARÍTIMOS[[#This Row],[Etapa Retiro - Atención]]="","",MARÍTIMOS[[#This Row],[Etapa Retiro - Atención]]),"")</f>
        <v/>
      </c>
      <c r="X494" s="11" t="str">
        <f>IFERROR(IF(MARÍTIMOS[[#This Row],[Etapa Retiro - Inicio de Ruta]]="","",MARÍTIMOS[[#This Row],[Etapa Retiro - Inicio de Ruta]]),"")</f>
        <v/>
      </c>
      <c r="Y494" s="11" t="str">
        <f>IFERROR(IF(MARÍTIMOS[[#This Row],[Hora de Posicionamiento]]="","",MARÍTIMOS[[#This Row],[Fecha de Carga]]+MARÍTIMOS[[#This Row],[Hora de Posicionamiento]]),"")</f>
        <v/>
      </c>
      <c r="Z494" s="11" t="str">
        <f>IFERROR(IF(MARÍTIMOS[[#This Row],[Etapa Despacho - Llegada]]="","",MARÍTIMOS[[#This Row],[Etapa Despacho - Llegada]]),"")</f>
        <v/>
      </c>
      <c r="AA494" s="11" t="str">
        <f>IFERROR(IF(MARÍTIMOS[[#This Row],[Etapa Despacho - Registro]]="","",MARÍTIMOS[[#This Row],[Etapa Despacho - Registro]]),"")</f>
        <v/>
      </c>
      <c r="AB494" s="11" t="str">
        <f>IFERROR(IF(MARÍTIMOS[[#This Row],[Inspección Externa]]="","",MARÍTIMOS[[#This Row],[Inspección Externa]]),"")</f>
        <v/>
      </c>
      <c r="AC494" s="11" t="str">
        <f>IFERROR(IF(MARÍTIMOS[[#This Row],[Etapa Despacho - Inicio de Carga]]="","",MARÍTIMOS[[#This Row],[Etapa Despacho - Inicio de Carga]]),"")</f>
        <v/>
      </c>
      <c r="AD494" s="11" t="str">
        <f>IFERROR(IF(MARÍTIMOS[[#This Row],[Etapa Despacho - Mitad de Carga]]="","",MARÍTIMOS[[#This Row],[Etapa Despacho - Mitad de Carga]]),"")</f>
        <v/>
      </c>
      <c r="AE494" s="11" t="str">
        <f>IFERROR(IF(MARÍTIMOS[[#This Row],[Etapa Despacho - Fin de Carga]]="","",MARÍTIMOS[[#This Row],[Etapa Despacho - Fin de Carga]]),"")</f>
        <v/>
      </c>
      <c r="AF494" s="2" t="str">
        <f>IFERROR(IF(MARÍTIMOS[[#This Row],[Puerto de Embarque]]="","",MARÍTIMOS[[#This Row],[Puerto de Embarque]]),"")</f>
        <v/>
      </c>
      <c r="AG494" s="2" t="str">
        <f>IFERROR(IF(MARÍTIMOS[[#This Row],[Almacén de Ingreso]]="","",MARÍTIMOS[[#This Row],[Almacén de Ingreso]]),"")</f>
        <v/>
      </c>
      <c r="AH494" s="11" t="str">
        <f>IFERROR(IF(MARÍTIMOS[[#This Row],[Etapa Ingreso - Cita]]="","",MARÍTIMOS[[#This Row],[Etapa Ingreso - Cita]]),"")</f>
        <v/>
      </c>
      <c r="AI494" s="11" t="str">
        <f>IFERROR(IF(MARÍTIMOS[[#This Row],[Etapa Ingreso - Llegada]]="","",MARÍTIMOS[[#This Row],[Etapa Ingreso - Llegada]]),"")</f>
        <v/>
      </c>
      <c r="AJ494" s="11" t="str">
        <f>IFERROR(IF(MARÍTIMOS[[#This Row],[Etapa Ingreso - Ingeso]]="","",MARÍTIMOS[[#This Row],[Etapa Ingreso - Ingeso]]),"")</f>
        <v/>
      </c>
      <c r="AK494" s="11" t="str">
        <f>IFERROR(IF(MARÍTIMOS[[#This Row],[Etapa Ingreso - Atención]]="","",MARÍTIMOS[[#This Row],[Etapa Ingreso - Atención]]),"")</f>
        <v/>
      </c>
      <c r="AL494" s="11" t="str">
        <f>IFERROR(IF(MARÍTIMOS[[#This Row],[Etapa Ingreso - Salida]]="","",MARÍTIMOS[[#This Row],[Etapa Ingreso - Salida]]),"")</f>
        <v/>
      </c>
      <c r="AM494" s="2" t="str">
        <f>IFERROR(IF(MARÍTIMOS[[#This Row],[FCL]]="","",MARÍTIMOS[[#This Row],[FCL]]),"")</f>
        <v/>
      </c>
      <c r="AN4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4" s="4" t="str" cm="1">
        <f t="array" ref="AO4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4" s="5" t="str">
        <f>IFERROR(OLDBD[[#This Row],[Llegada a packing]]-OLDBD[[#This Row],[Inicio de Ruta]],"")</f>
        <v/>
      </c>
      <c r="AQ494" s="6" t="str">
        <f>IFERROR(OLDBD[[#This Row],[Inicio de Ruta]]-OLDBD[[#This Row],[Salida de almacén de retiro]],"")</f>
        <v/>
      </c>
      <c r="AR4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4" s="8" t="str" cm="1">
        <f t="array" ref="AS4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4" s="9" t="str">
        <f>IFERROR(OLDBD[[#This Row],[Ingreso Packing]]-OLDBD[[#This Row],[Registro en Packing]],"")</f>
        <v/>
      </c>
      <c r="AV494" s="9" t="str">
        <f>IFERROR(OLDBD[[#This Row],[Ingreso Packing]]-OLDBD[[#This Row],[Llegada a packing]],"")</f>
        <v/>
      </c>
      <c r="AW4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4" s="5" t="str">
        <f>IFERROR(OLDBD[[#This Row],[Llegada Almacén de Ingreso]]-OLDBD[[#This Row],[Salida Packing]],"")</f>
        <v/>
      </c>
      <c r="AY494" s="4" t="str" cm="1">
        <f t="array" ref="AY4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4" s="43" t="s">
        <v>173</v>
      </c>
      <c r="BB494" s="47" t="str">
        <f>IFERROR(IF(MARÍTIMOS[[#This Row],[Estatus]]="","",MARÍTIMOS[[#This Row],[Estatus]]),"")</f>
        <v/>
      </c>
      <c r="BC494" s="43"/>
      <c r="BD494" s="46" t="str">
        <f>IFERROR(OLDBD[[#This Row],[Salida de almacén de retiro]]-OLDBD[[#This Row],[Ingreso Almacén de retiro]],"")</f>
        <v/>
      </c>
      <c r="BE494" s="46" t="str">
        <f>IFERROR(OLDBD[[#This Row],[Fin de Carga]]-OLDBD[[#This Row],[Inicio de Carga]],"")</f>
        <v/>
      </c>
    </row>
    <row r="495" spans="1:57" customFormat="1" hidden="1">
      <c r="A495" s="1"/>
      <c r="B495" s="1" t="str">
        <f>IFERROR(IF(MARÍTIMOS[[#This Row],[PP]]="","",MARÍTIMOS[[#This Row],[PP]]),"")</f>
        <v/>
      </c>
      <c r="C495" s="1" t="str">
        <f>IFERROR(IF(MARÍTIMOS[[#This Row],[Sede]]="","",MARÍTIMOS[[#This Row],[Sede]]),"")</f>
        <v/>
      </c>
      <c r="D495" s="1" t="str">
        <f>IFERROR(IF(MARÍTIMOS[[#This Row],[Instruction]]="","",MARÍTIMOS[[#This Row],[Instruction]]),"")</f>
        <v/>
      </c>
      <c r="E495" s="1"/>
      <c r="F495" s="2" t="str">
        <f>IFERROR(IF(MARÍTIMOS[[#This Row],[Transportista]]="","",MARÍTIMOS[[#This Row],[Transportista]]),"")</f>
        <v/>
      </c>
      <c r="G495" s="2" t="str">
        <f>IFERROR(IF(MARÍTIMOS[[#This Row],[Tercero]]="","",MARÍTIMOS[[#This Row],[Tercero]]),"")</f>
        <v/>
      </c>
      <c r="H495" s="2" t="str">
        <f>IFERROR(IF(MARÍTIMOS[[#This Row],[Razón Social]]="","",MARÍTIMOS[[#This Row],[Razón Social]]),"")</f>
        <v/>
      </c>
      <c r="I495" s="2" t="str">
        <f>IFERROR(IF(MARÍTIMOS[[#This Row],[RUC]]="","",MARÍTIMOS[[#This Row],[RUC]]),"")</f>
        <v/>
      </c>
      <c r="J495" s="2" t="str">
        <f>IFERROR(IF(MARÍTIMOS[[#This Row],[Placa Tracto]]="","",MARÍTIMOS[[#This Row],[Placa Tracto]]),"")</f>
        <v/>
      </c>
      <c r="K495" s="2" t="str">
        <f>IFERROR(IF(MARÍTIMOS[[#This Row],[Placa Carreta]]="","",MARÍTIMOS[[#This Row],[Placa Carreta]]),"")</f>
        <v/>
      </c>
      <c r="L495" s="44" t="str">
        <f>IFERROR(IF(MARÍTIMOS[[#This Row],[Conductor]]="","",MARÍTIMOS[[#This Row],[Conductor]]),"")</f>
        <v/>
      </c>
      <c r="M495" s="2" t="str">
        <f>IFERROR(IF(MARÍTIMOS[[#This Row],[Licencia]]="","",MARÍTIMOS[[#This Row],[Licencia]]),"")</f>
        <v/>
      </c>
      <c r="N495" s="2" t="str">
        <f>IFERROR(IF(MARÍTIMOS[[#This Row],[Número de Contacto]]="","",MARÍTIMOS[[#This Row],[Número de Contacto]]),"")</f>
        <v/>
      </c>
      <c r="O495" s="10" t="str">
        <f>IFERROR(IF(MARÍTIMOS[[#This Row],[Booking|AWB|CRT]]="","",MARÍTIMOS[[#This Row],[Booking|AWB|CRT]]),"")</f>
        <v/>
      </c>
      <c r="P495" s="2" t="str">
        <f>IFERROR(IF(MARÍTIMOS[[#This Row],[Contenedor]]="","",MARÍTIMOS[[#This Row],[Contenedor]]),"")</f>
        <v/>
      </c>
      <c r="Q495" s="2" t="str">
        <f>IFERROR(IF(MARÍTIMOS[[#This Row],[Puerto de Retiro]]="","",MARÍTIMOS[[#This Row],[Puerto de Retiro]]),"")</f>
        <v/>
      </c>
      <c r="R495" s="2" t="str">
        <f>IFERROR(IF(MARÍTIMOS[[#This Row],[Almacén de Retiro]]="","",MARÍTIMOS[[#This Row],[Almacén de Retiro]]),"")</f>
        <v/>
      </c>
      <c r="S495" s="11" t="str">
        <f>IFERROR(IF(MARÍTIMOS[[#This Row],[Etapa Retiro - Cita]]="","",MARÍTIMOS[[#This Row],[Etapa Retiro - Cita]]),"")</f>
        <v/>
      </c>
      <c r="T495" s="11" t="str">
        <f>IFERROR(IF(MARÍTIMOS[[#This Row],[Etapa Retiro - Llegada]]="","",MARÍTIMOS[[#This Row],[Etapa Retiro - Llegada]]),"")</f>
        <v/>
      </c>
      <c r="U495" s="11" t="str">
        <f>IFERROR(IF(MARÍTIMOS[[#This Row],[Etapa Retiro - Ingreso]]="","",MARÍTIMOS[[#This Row],[Etapa Retiro - Ingreso]]),"")</f>
        <v/>
      </c>
      <c r="V495" s="11" t="str">
        <f>IFERROR(IF(MARÍTIMOS[[#This Row],[Etapa Retiro - Atención]]="","",MARÍTIMOS[[#This Row],[Etapa Retiro - Atención]]),"")</f>
        <v/>
      </c>
      <c r="W495" s="11" t="str">
        <f>IFERROR(IF(MARÍTIMOS[[#This Row],[Etapa Retiro - Atención]]="","",MARÍTIMOS[[#This Row],[Etapa Retiro - Atención]]),"")</f>
        <v/>
      </c>
      <c r="X495" s="11" t="str">
        <f>IFERROR(IF(MARÍTIMOS[[#This Row],[Etapa Retiro - Inicio de Ruta]]="","",MARÍTIMOS[[#This Row],[Etapa Retiro - Inicio de Ruta]]),"")</f>
        <v/>
      </c>
      <c r="Y495" s="11" t="str">
        <f>IFERROR(IF(MARÍTIMOS[[#This Row],[Hora de Posicionamiento]]="","",MARÍTIMOS[[#This Row],[Fecha de Carga]]+MARÍTIMOS[[#This Row],[Hora de Posicionamiento]]),"")</f>
        <v/>
      </c>
      <c r="Z495" s="11" t="str">
        <f>IFERROR(IF(MARÍTIMOS[[#This Row],[Etapa Despacho - Llegada]]="","",MARÍTIMOS[[#This Row],[Etapa Despacho - Llegada]]),"")</f>
        <v/>
      </c>
      <c r="AA495" s="11" t="str">
        <f>IFERROR(IF(MARÍTIMOS[[#This Row],[Etapa Despacho - Registro]]="","",MARÍTIMOS[[#This Row],[Etapa Despacho - Registro]]),"")</f>
        <v/>
      </c>
      <c r="AB495" s="11" t="str">
        <f>IFERROR(IF(MARÍTIMOS[[#This Row],[Inspección Externa]]="","",MARÍTIMOS[[#This Row],[Inspección Externa]]),"")</f>
        <v/>
      </c>
      <c r="AC495" s="11" t="str">
        <f>IFERROR(IF(MARÍTIMOS[[#This Row],[Etapa Despacho - Inicio de Carga]]="","",MARÍTIMOS[[#This Row],[Etapa Despacho - Inicio de Carga]]),"")</f>
        <v/>
      </c>
      <c r="AD495" s="11" t="str">
        <f>IFERROR(IF(MARÍTIMOS[[#This Row],[Etapa Despacho - Mitad de Carga]]="","",MARÍTIMOS[[#This Row],[Etapa Despacho - Mitad de Carga]]),"")</f>
        <v/>
      </c>
      <c r="AE495" s="11" t="str">
        <f>IFERROR(IF(MARÍTIMOS[[#This Row],[Etapa Despacho - Fin de Carga]]="","",MARÍTIMOS[[#This Row],[Etapa Despacho - Fin de Carga]]),"")</f>
        <v/>
      </c>
      <c r="AF495" s="2" t="str">
        <f>IFERROR(IF(MARÍTIMOS[[#This Row],[Puerto de Embarque]]="","",MARÍTIMOS[[#This Row],[Puerto de Embarque]]),"")</f>
        <v/>
      </c>
      <c r="AG495" s="2" t="str">
        <f>IFERROR(IF(MARÍTIMOS[[#This Row],[Almacén de Ingreso]]="","",MARÍTIMOS[[#This Row],[Almacén de Ingreso]]),"")</f>
        <v/>
      </c>
      <c r="AH495" s="11" t="str">
        <f>IFERROR(IF(MARÍTIMOS[[#This Row],[Etapa Ingreso - Cita]]="","",MARÍTIMOS[[#This Row],[Etapa Ingreso - Cita]]),"")</f>
        <v/>
      </c>
      <c r="AI495" s="11" t="str">
        <f>IFERROR(IF(MARÍTIMOS[[#This Row],[Etapa Ingreso - Llegada]]="","",MARÍTIMOS[[#This Row],[Etapa Ingreso - Llegada]]),"")</f>
        <v/>
      </c>
      <c r="AJ495" s="11" t="str">
        <f>IFERROR(IF(MARÍTIMOS[[#This Row],[Etapa Ingreso - Ingeso]]="","",MARÍTIMOS[[#This Row],[Etapa Ingreso - Ingeso]]),"")</f>
        <v/>
      </c>
      <c r="AK495" s="11" t="str">
        <f>IFERROR(IF(MARÍTIMOS[[#This Row],[Etapa Ingreso - Atención]]="","",MARÍTIMOS[[#This Row],[Etapa Ingreso - Atención]]),"")</f>
        <v/>
      </c>
      <c r="AL495" s="11" t="str">
        <f>IFERROR(IF(MARÍTIMOS[[#This Row],[Etapa Ingreso - Salida]]="","",MARÍTIMOS[[#This Row],[Etapa Ingreso - Salida]]),"")</f>
        <v/>
      </c>
      <c r="AM495" s="2" t="str">
        <f>IFERROR(IF(MARÍTIMOS[[#This Row],[FCL]]="","",MARÍTIMOS[[#This Row],[FCL]]),"")</f>
        <v/>
      </c>
      <c r="AN4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5" s="4" t="str" cm="1">
        <f t="array" ref="AO4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5" s="5" t="str">
        <f>IFERROR(OLDBD[[#This Row],[Llegada a packing]]-OLDBD[[#This Row],[Inicio de Ruta]],"")</f>
        <v/>
      </c>
      <c r="AQ495" s="6" t="str">
        <f>IFERROR(OLDBD[[#This Row],[Inicio de Ruta]]-OLDBD[[#This Row],[Salida de almacén de retiro]],"")</f>
        <v/>
      </c>
      <c r="AR4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5" s="8" t="str" cm="1">
        <f t="array" ref="AS4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5" s="9" t="str">
        <f>IFERROR(OLDBD[[#This Row],[Ingreso Packing]]-OLDBD[[#This Row],[Registro en Packing]],"")</f>
        <v/>
      </c>
      <c r="AV495" s="9" t="str">
        <f>IFERROR(OLDBD[[#This Row],[Ingreso Packing]]-OLDBD[[#This Row],[Llegada a packing]],"")</f>
        <v/>
      </c>
      <c r="AW4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5" s="5" t="str">
        <f>IFERROR(OLDBD[[#This Row],[Llegada Almacén de Ingreso]]-OLDBD[[#This Row],[Salida Packing]],"")</f>
        <v/>
      </c>
      <c r="AY495" s="4" t="str" cm="1">
        <f t="array" ref="AY4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5" s="43" t="s">
        <v>173</v>
      </c>
      <c r="BB495" s="47" t="str">
        <f>IFERROR(IF(MARÍTIMOS[[#This Row],[Estatus]]="","",MARÍTIMOS[[#This Row],[Estatus]]),"")</f>
        <v/>
      </c>
      <c r="BC495" s="43"/>
      <c r="BD495" s="46" t="str">
        <f>IFERROR(OLDBD[[#This Row],[Salida de almacén de retiro]]-OLDBD[[#This Row],[Ingreso Almacén de retiro]],"")</f>
        <v/>
      </c>
      <c r="BE495" s="46" t="str">
        <f>IFERROR(OLDBD[[#This Row],[Fin de Carga]]-OLDBD[[#This Row],[Inicio de Carga]],"")</f>
        <v/>
      </c>
    </row>
    <row r="496" spans="1:57" customFormat="1" hidden="1">
      <c r="A496" s="1"/>
      <c r="B496" s="1" t="str">
        <f>IFERROR(IF(MARÍTIMOS[[#This Row],[PP]]="","",MARÍTIMOS[[#This Row],[PP]]),"")</f>
        <v/>
      </c>
      <c r="C496" s="1" t="str">
        <f>IFERROR(IF(MARÍTIMOS[[#This Row],[Sede]]="","",MARÍTIMOS[[#This Row],[Sede]]),"")</f>
        <v/>
      </c>
      <c r="D496" s="1" t="str">
        <f>IFERROR(IF(MARÍTIMOS[[#This Row],[Instruction]]="","",MARÍTIMOS[[#This Row],[Instruction]]),"")</f>
        <v/>
      </c>
      <c r="E496" s="1"/>
      <c r="F496" s="2" t="str">
        <f>IFERROR(IF(MARÍTIMOS[[#This Row],[Transportista]]="","",MARÍTIMOS[[#This Row],[Transportista]]),"")</f>
        <v/>
      </c>
      <c r="G496" s="2" t="str">
        <f>IFERROR(IF(MARÍTIMOS[[#This Row],[Tercero]]="","",MARÍTIMOS[[#This Row],[Tercero]]),"")</f>
        <v/>
      </c>
      <c r="H496" s="2" t="str">
        <f>IFERROR(IF(MARÍTIMOS[[#This Row],[Razón Social]]="","",MARÍTIMOS[[#This Row],[Razón Social]]),"")</f>
        <v/>
      </c>
      <c r="I496" s="2" t="str">
        <f>IFERROR(IF(MARÍTIMOS[[#This Row],[RUC]]="","",MARÍTIMOS[[#This Row],[RUC]]),"")</f>
        <v/>
      </c>
      <c r="J496" s="2" t="str">
        <f>IFERROR(IF(MARÍTIMOS[[#This Row],[Placa Tracto]]="","",MARÍTIMOS[[#This Row],[Placa Tracto]]),"")</f>
        <v/>
      </c>
      <c r="K496" s="2" t="str">
        <f>IFERROR(IF(MARÍTIMOS[[#This Row],[Placa Carreta]]="","",MARÍTIMOS[[#This Row],[Placa Carreta]]),"")</f>
        <v/>
      </c>
      <c r="L496" s="44" t="str">
        <f>IFERROR(IF(MARÍTIMOS[[#This Row],[Conductor]]="","",MARÍTIMOS[[#This Row],[Conductor]]),"")</f>
        <v/>
      </c>
      <c r="M496" s="2" t="str">
        <f>IFERROR(IF(MARÍTIMOS[[#This Row],[Licencia]]="","",MARÍTIMOS[[#This Row],[Licencia]]),"")</f>
        <v/>
      </c>
      <c r="N496" s="2" t="str">
        <f>IFERROR(IF(MARÍTIMOS[[#This Row],[Número de Contacto]]="","",MARÍTIMOS[[#This Row],[Número de Contacto]]),"")</f>
        <v/>
      </c>
      <c r="O496" s="10" t="str">
        <f>IFERROR(IF(MARÍTIMOS[[#This Row],[Booking|AWB|CRT]]="","",MARÍTIMOS[[#This Row],[Booking|AWB|CRT]]),"")</f>
        <v/>
      </c>
      <c r="P496" s="2" t="str">
        <f>IFERROR(IF(MARÍTIMOS[[#This Row],[Contenedor]]="","",MARÍTIMOS[[#This Row],[Contenedor]]),"")</f>
        <v/>
      </c>
      <c r="Q496" s="2" t="str">
        <f>IFERROR(IF(MARÍTIMOS[[#This Row],[Puerto de Retiro]]="","",MARÍTIMOS[[#This Row],[Puerto de Retiro]]),"")</f>
        <v/>
      </c>
      <c r="R496" s="2" t="str">
        <f>IFERROR(IF(MARÍTIMOS[[#This Row],[Almacén de Retiro]]="","",MARÍTIMOS[[#This Row],[Almacén de Retiro]]),"")</f>
        <v/>
      </c>
      <c r="S496" s="11" t="str">
        <f>IFERROR(IF(MARÍTIMOS[[#This Row],[Etapa Retiro - Cita]]="","",MARÍTIMOS[[#This Row],[Etapa Retiro - Cita]]),"")</f>
        <v/>
      </c>
      <c r="T496" s="11" t="str">
        <f>IFERROR(IF(MARÍTIMOS[[#This Row],[Etapa Retiro - Llegada]]="","",MARÍTIMOS[[#This Row],[Etapa Retiro - Llegada]]),"")</f>
        <v/>
      </c>
      <c r="U496" s="11" t="str">
        <f>IFERROR(IF(MARÍTIMOS[[#This Row],[Etapa Retiro - Ingreso]]="","",MARÍTIMOS[[#This Row],[Etapa Retiro - Ingreso]]),"")</f>
        <v/>
      </c>
      <c r="V496" s="11" t="str">
        <f>IFERROR(IF(MARÍTIMOS[[#This Row],[Etapa Retiro - Atención]]="","",MARÍTIMOS[[#This Row],[Etapa Retiro - Atención]]),"")</f>
        <v/>
      </c>
      <c r="W496" s="11" t="str">
        <f>IFERROR(IF(MARÍTIMOS[[#This Row],[Etapa Retiro - Atención]]="","",MARÍTIMOS[[#This Row],[Etapa Retiro - Atención]]),"")</f>
        <v/>
      </c>
      <c r="X496" s="11" t="str">
        <f>IFERROR(IF(MARÍTIMOS[[#This Row],[Etapa Retiro - Inicio de Ruta]]="","",MARÍTIMOS[[#This Row],[Etapa Retiro - Inicio de Ruta]]),"")</f>
        <v/>
      </c>
      <c r="Y496" s="11" t="str">
        <f>IFERROR(IF(MARÍTIMOS[[#This Row],[Hora de Posicionamiento]]="","",MARÍTIMOS[[#This Row],[Fecha de Carga]]+MARÍTIMOS[[#This Row],[Hora de Posicionamiento]]),"")</f>
        <v/>
      </c>
      <c r="Z496" s="11" t="str">
        <f>IFERROR(IF(MARÍTIMOS[[#This Row],[Etapa Despacho - Llegada]]="","",MARÍTIMOS[[#This Row],[Etapa Despacho - Llegada]]),"")</f>
        <v/>
      </c>
      <c r="AA496" s="11" t="str">
        <f>IFERROR(IF(MARÍTIMOS[[#This Row],[Etapa Despacho - Registro]]="","",MARÍTIMOS[[#This Row],[Etapa Despacho - Registro]]),"")</f>
        <v/>
      </c>
      <c r="AB496" s="11" t="str">
        <f>IFERROR(IF(MARÍTIMOS[[#This Row],[Inspección Externa]]="","",MARÍTIMOS[[#This Row],[Inspección Externa]]),"")</f>
        <v/>
      </c>
      <c r="AC496" s="11" t="str">
        <f>IFERROR(IF(MARÍTIMOS[[#This Row],[Etapa Despacho - Inicio de Carga]]="","",MARÍTIMOS[[#This Row],[Etapa Despacho - Inicio de Carga]]),"")</f>
        <v/>
      </c>
      <c r="AD496" s="11" t="str">
        <f>IFERROR(IF(MARÍTIMOS[[#This Row],[Etapa Despacho - Mitad de Carga]]="","",MARÍTIMOS[[#This Row],[Etapa Despacho - Mitad de Carga]]),"")</f>
        <v/>
      </c>
      <c r="AE496" s="11" t="str">
        <f>IFERROR(IF(MARÍTIMOS[[#This Row],[Etapa Despacho - Fin de Carga]]="","",MARÍTIMOS[[#This Row],[Etapa Despacho - Fin de Carga]]),"")</f>
        <v/>
      </c>
      <c r="AF496" s="2" t="str">
        <f>IFERROR(IF(MARÍTIMOS[[#This Row],[Puerto de Embarque]]="","",MARÍTIMOS[[#This Row],[Puerto de Embarque]]),"")</f>
        <v/>
      </c>
      <c r="AG496" s="2" t="str">
        <f>IFERROR(IF(MARÍTIMOS[[#This Row],[Almacén de Ingreso]]="","",MARÍTIMOS[[#This Row],[Almacén de Ingreso]]),"")</f>
        <v/>
      </c>
      <c r="AH496" s="11" t="str">
        <f>IFERROR(IF(MARÍTIMOS[[#This Row],[Etapa Ingreso - Cita]]="","",MARÍTIMOS[[#This Row],[Etapa Ingreso - Cita]]),"")</f>
        <v/>
      </c>
      <c r="AI496" s="11" t="str">
        <f>IFERROR(IF(MARÍTIMOS[[#This Row],[Etapa Ingreso - Llegada]]="","",MARÍTIMOS[[#This Row],[Etapa Ingreso - Llegada]]),"")</f>
        <v/>
      </c>
      <c r="AJ496" s="11" t="str">
        <f>IFERROR(IF(MARÍTIMOS[[#This Row],[Etapa Ingreso - Ingeso]]="","",MARÍTIMOS[[#This Row],[Etapa Ingreso - Ingeso]]),"")</f>
        <v/>
      </c>
      <c r="AK496" s="11" t="str">
        <f>IFERROR(IF(MARÍTIMOS[[#This Row],[Etapa Ingreso - Atención]]="","",MARÍTIMOS[[#This Row],[Etapa Ingreso - Atención]]),"")</f>
        <v/>
      </c>
      <c r="AL496" s="11" t="str">
        <f>IFERROR(IF(MARÍTIMOS[[#This Row],[Etapa Ingreso - Salida]]="","",MARÍTIMOS[[#This Row],[Etapa Ingreso - Salida]]),"")</f>
        <v/>
      </c>
      <c r="AM496" s="2" t="str">
        <f>IFERROR(IF(MARÍTIMOS[[#This Row],[FCL]]="","",MARÍTIMOS[[#This Row],[FCL]]),"")</f>
        <v/>
      </c>
      <c r="AN4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6" s="4" t="str" cm="1">
        <f t="array" ref="AO4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6" s="5" t="str">
        <f>IFERROR(OLDBD[[#This Row],[Llegada a packing]]-OLDBD[[#This Row],[Inicio de Ruta]],"")</f>
        <v/>
      </c>
      <c r="AQ496" s="6" t="str">
        <f>IFERROR(OLDBD[[#This Row],[Inicio de Ruta]]-OLDBD[[#This Row],[Salida de almacén de retiro]],"")</f>
        <v/>
      </c>
      <c r="AR4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6" s="8" t="str" cm="1">
        <f t="array" ref="AS4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6" s="9" t="str">
        <f>IFERROR(OLDBD[[#This Row],[Ingreso Packing]]-OLDBD[[#This Row],[Registro en Packing]],"")</f>
        <v/>
      </c>
      <c r="AV496" s="9" t="str">
        <f>IFERROR(OLDBD[[#This Row],[Ingreso Packing]]-OLDBD[[#This Row],[Llegada a packing]],"")</f>
        <v/>
      </c>
      <c r="AW4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6" s="5" t="str">
        <f>IFERROR(OLDBD[[#This Row],[Llegada Almacén de Ingreso]]-OLDBD[[#This Row],[Salida Packing]],"")</f>
        <v/>
      </c>
      <c r="AY496" s="4" t="str" cm="1">
        <f t="array" ref="AY4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6" s="43" t="s">
        <v>173</v>
      </c>
      <c r="BB496" s="47" t="str">
        <f>IFERROR(IF(MARÍTIMOS[[#This Row],[Estatus]]="","",MARÍTIMOS[[#This Row],[Estatus]]),"")</f>
        <v/>
      </c>
      <c r="BC496" s="43"/>
      <c r="BD496" s="46" t="str">
        <f>IFERROR(OLDBD[[#This Row],[Salida de almacén de retiro]]-OLDBD[[#This Row],[Ingreso Almacén de retiro]],"")</f>
        <v/>
      </c>
      <c r="BE496" s="46" t="str">
        <f>IFERROR(OLDBD[[#This Row],[Fin de Carga]]-OLDBD[[#This Row],[Inicio de Carga]],"")</f>
        <v/>
      </c>
    </row>
    <row r="497" spans="1:57" customFormat="1" hidden="1">
      <c r="A497" s="1"/>
      <c r="B497" s="1" t="str">
        <f>IFERROR(IF(MARÍTIMOS[[#This Row],[PP]]="","",MARÍTIMOS[[#This Row],[PP]]),"")</f>
        <v/>
      </c>
      <c r="C497" s="1" t="str">
        <f>IFERROR(IF(MARÍTIMOS[[#This Row],[Sede]]="","",MARÍTIMOS[[#This Row],[Sede]]),"")</f>
        <v/>
      </c>
      <c r="D497" s="1" t="str">
        <f>IFERROR(IF(MARÍTIMOS[[#This Row],[Instruction]]="","",MARÍTIMOS[[#This Row],[Instruction]]),"")</f>
        <v/>
      </c>
      <c r="E497" s="1"/>
      <c r="F497" s="2" t="str">
        <f>IFERROR(IF(MARÍTIMOS[[#This Row],[Transportista]]="","",MARÍTIMOS[[#This Row],[Transportista]]),"")</f>
        <v/>
      </c>
      <c r="G497" s="2" t="str">
        <f>IFERROR(IF(MARÍTIMOS[[#This Row],[Tercero]]="","",MARÍTIMOS[[#This Row],[Tercero]]),"")</f>
        <v/>
      </c>
      <c r="H497" s="2" t="str">
        <f>IFERROR(IF(MARÍTIMOS[[#This Row],[Razón Social]]="","",MARÍTIMOS[[#This Row],[Razón Social]]),"")</f>
        <v/>
      </c>
      <c r="I497" s="2" t="str">
        <f>IFERROR(IF(MARÍTIMOS[[#This Row],[RUC]]="","",MARÍTIMOS[[#This Row],[RUC]]),"")</f>
        <v/>
      </c>
      <c r="J497" s="2" t="str">
        <f>IFERROR(IF(MARÍTIMOS[[#This Row],[Placa Tracto]]="","",MARÍTIMOS[[#This Row],[Placa Tracto]]),"")</f>
        <v/>
      </c>
      <c r="K497" s="2" t="str">
        <f>IFERROR(IF(MARÍTIMOS[[#This Row],[Placa Carreta]]="","",MARÍTIMOS[[#This Row],[Placa Carreta]]),"")</f>
        <v/>
      </c>
      <c r="L497" s="44" t="str">
        <f>IFERROR(IF(MARÍTIMOS[[#This Row],[Conductor]]="","",MARÍTIMOS[[#This Row],[Conductor]]),"")</f>
        <v/>
      </c>
      <c r="M497" s="2" t="str">
        <f>IFERROR(IF(MARÍTIMOS[[#This Row],[Licencia]]="","",MARÍTIMOS[[#This Row],[Licencia]]),"")</f>
        <v/>
      </c>
      <c r="N497" s="2" t="str">
        <f>IFERROR(IF(MARÍTIMOS[[#This Row],[Número de Contacto]]="","",MARÍTIMOS[[#This Row],[Número de Contacto]]),"")</f>
        <v/>
      </c>
      <c r="O497" s="10" t="str">
        <f>IFERROR(IF(MARÍTIMOS[[#This Row],[Booking|AWB|CRT]]="","",MARÍTIMOS[[#This Row],[Booking|AWB|CRT]]),"")</f>
        <v/>
      </c>
      <c r="P497" s="2" t="str">
        <f>IFERROR(IF(MARÍTIMOS[[#This Row],[Contenedor]]="","",MARÍTIMOS[[#This Row],[Contenedor]]),"")</f>
        <v/>
      </c>
      <c r="Q497" s="2" t="str">
        <f>IFERROR(IF(MARÍTIMOS[[#This Row],[Puerto de Retiro]]="","",MARÍTIMOS[[#This Row],[Puerto de Retiro]]),"")</f>
        <v/>
      </c>
      <c r="R497" s="2" t="str">
        <f>IFERROR(IF(MARÍTIMOS[[#This Row],[Almacén de Retiro]]="","",MARÍTIMOS[[#This Row],[Almacén de Retiro]]),"")</f>
        <v/>
      </c>
      <c r="S497" s="11" t="str">
        <f>IFERROR(IF(MARÍTIMOS[[#This Row],[Etapa Retiro - Cita]]="","",MARÍTIMOS[[#This Row],[Etapa Retiro - Cita]]),"")</f>
        <v/>
      </c>
      <c r="T497" s="11" t="str">
        <f>IFERROR(IF(MARÍTIMOS[[#This Row],[Etapa Retiro - Llegada]]="","",MARÍTIMOS[[#This Row],[Etapa Retiro - Llegada]]),"")</f>
        <v/>
      </c>
      <c r="U497" s="11" t="str">
        <f>IFERROR(IF(MARÍTIMOS[[#This Row],[Etapa Retiro - Ingreso]]="","",MARÍTIMOS[[#This Row],[Etapa Retiro - Ingreso]]),"")</f>
        <v/>
      </c>
      <c r="V497" s="11" t="str">
        <f>IFERROR(IF(MARÍTIMOS[[#This Row],[Etapa Retiro - Atención]]="","",MARÍTIMOS[[#This Row],[Etapa Retiro - Atención]]),"")</f>
        <v/>
      </c>
      <c r="W497" s="11" t="str">
        <f>IFERROR(IF(MARÍTIMOS[[#This Row],[Etapa Retiro - Atención]]="","",MARÍTIMOS[[#This Row],[Etapa Retiro - Atención]]),"")</f>
        <v/>
      </c>
      <c r="X497" s="11" t="str">
        <f>IFERROR(IF(MARÍTIMOS[[#This Row],[Etapa Retiro - Inicio de Ruta]]="","",MARÍTIMOS[[#This Row],[Etapa Retiro - Inicio de Ruta]]),"")</f>
        <v/>
      </c>
      <c r="Y497" s="11" t="str">
        <f>IFERROR(IF(MARÍTIMOS[[#This Row],[Hora de Posicionamiento]]="","",MARÍTIMOS[[#This Row],[Fecha de Carga]]+MARÍTIMOS[[#This Row],[Hora de Posicionamiento]]),"")</f>
        <v/>
      </c>
      <c r="Z497" s="11" t="str">
        <f>IFERROR(IF(MARÍTIMOS[[#This Row],[Etapa Despacho - Llegada]]="","",MARÍTIMOS[[#This Row],[Etapa Despacho - Llegada]]),"")</f>
        <v/>
      </c>
      <c r="AA497" s="11" t="str">
        <f>IFERROR(IF(MARÍTIMOS[[#This Row],[Etapa Despacho - Registro]]="","",MARÍTIMOS[[#This Row],[Etapa Despacho - Registro]]),"")</f>
        <v/>
      </c>
      <c r="AB497" s="11" t="str">
        <f>IFERROR(IF(MARÍTIMOS[[#This Row],[Inspección Externa]]="","",MARÍTIMOS[[#This Row],[Inspección Externa]]),"")</f>
        <v/>
      </c>
      <c r="AC497" s="11" t="str">
        <f>IFERROR(IF(MARÍTIMOS[[#This Row],[Etapa Despacho - Inicio de Carga]]="","",MARÍTIMOS[[#This Row],[Etapa Despacho - Inicio de Carga]]),"")</f>
        <v/>
      </c>
      <c r="AD497" s="11" t="str">
        <f>IFERROR(IF(MARÍTIMOS[[#This Row],[Etapa Despacho - Mitad de Carga]]="","",MARÍTIMOS[[#This Row],[Etapa Despacho - Mitad de Carga]]),"")</f>
        <v/>
      </c>
      <c r="AE497" s="11" t="str">
        <f>IFERROR(IF(MARÍTIMOS[[#This Row],[Etapa Despacho - Fin de Carga]]="","",MARÍTIMOS[[#This Row],[Etapa Despacho - Fin de Carga]]),"")</f>
        <v/>
      </c>
      <c r="AF497" s="2" t="str">
        <f>IFERROR(IF(MARÍTIMOS[[#This Row],[Puerto de Embarque]]="","",MARÍTIMOS[[#This Row],[Puerto de Embarque]]),"")</f>
        <v/>
      </c>
      <c r="AG497" s="2" t="str">
        <f>IFERROR(IF(MARÍTIMOS[[#This Row],[Almacén de Ingreso]]="","",MARÍTIMOS[[#This Row],[Almacén de Ingreso]]),"")</f>
        <v/>
      </c>
      <c r="AH497" s="11" t="str">
        <f>IFERROR(IF(MARÍTIMOS[[#This Row],[Etapa Ingreso - Cita]]="","",MARÍTIMOS[[#This Row],[Etapa Ingreso - Cita]]),"")</f>
        <v/>
      </c>
      <c r="AI497" s="11" t="str">
        <f>IFERROR(IF(MARÍTIMOS[[#This Row],[Etapa Ingreso - Llegada]]="","",MARÍTIMOS[[#This Row],[Etapa Ingreso - Llegada]]),"")</f>
        <v/>
      </c>
      <c r="AJ497" s="11" t="str">
        <f>IFERROR(IF(MARÍTIMOS[[#This Row],[Etapa Ingreso - Ingeso]]="","",MARÍTIMOS[[#This Row],[Etapa Ingreso - Ingeso]]),"")</f>
        <v/>
      </c>
      <c r="AK497" s="11" t="str">
        <f>IFERROR(IF(MARÍTIMOS[[#This Row],[Etapa Ingreso - Atención]]="","",MARÍTIMOS[[#This Row],[Etapa Ingreso - Atención]]),"")</f>
        <v/>
      </c>
      <c r="AL497" s="11" t="str">
        <f>IFERROR(IF(MARÍTIMOS[[#This Row],[Etapa Ingreso - Salida]]="","",MARÍTIMOS[[#This Row],[Etapa Ingreso - Salida]]),"")</f>
        <v/>
      </c>
      <c r="AM497" s="2" t="str">
        <f>IFERROR(IF(MARÍTIMOS[[#This Row],[FCL]]="","",MARÍTIMOS[[#This Row],[FCL]]),"")</f>
        <v/>
      </c>
      <c r="AN4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7" s="4" t="str" cm="1">
        <f t="array" ref="AO4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7" s="5" t="str">
        <f>IFERROR(OLDBD[[#This Row],[Llegada a packing]]-OLDBD[[#This Row],[Inicio de Ruta]],"")</f>
        <v/>
      </c>
      <c r="AQ497" s="6" t="str">
        <f>IFERROR(OLDBD[[#This Row],[Inicio de Ruta]]-OLDBD[[#This Row],[Salida de almacén de retiro]],"")</f>
        <v/>
      </c>
      <c r="AR4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7" s="8" t="str" cm="1">
        <f t="array" ref="AS4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7" s="9" t="str">
        <f>IFERROR(OLDBD[[#This Row],[Ingreso Packing]]-OLDBD[[#This Row],[Registro en Packing]],"")</f>
        <v/>
      </c>
      <c r="AV497" s="9" t="str">
        <f>IFERROR(OLDBD[[#This Row],[Ingreso Packing]]-OLDBD[[#This Row],[Llegada a packing]],"")</f>
        <v/>
      </c>
      <c r="AW4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7" s="5" t="str">
        <f>IFERROR(OLDBD[[#This Row],[Llegada Almacén de Ingreso]]-OLDBD[[#This Row],[Salida Packing]],"")</f>
        <v/>
      </c>
      <c r="AY497" s="4" t="str" cm="1">
        <f t="array" ref="AY4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7" s="43" t="s">
        <v>173</v>
      </c>
      <c r="BB497" s="47" t="str">
        <f>IFERROR(IF(MARÍTIMOS[[#This Row],[Estatus]]="","",MARÍTIMOS[[#This Row],[Estatus]]),"")</f>
        <v/>
      </c>
      <c r="BC497" s="43"/>
      <c r="BD497" s="46" t="str">
        <f>IFERROR(OLDBD[[#This Row],[Salida de almacén de retiro]]-OLDBD[[#This Row],[Ingreso Almacén de retiro]],"")</f>
        <v/>
      </c>
      <c r="BE497" s="46" t="str">
        <f>IFERROR(OLDBD[[#This Row],[Fin de Carga]]-OLDBD[[#This Row],[Inicio de Carga]],"")</f>
        <v/>
      </c>
    </row>
    <row r="498" spans="1:57" customFormat="1" hidden="1">
      <c r="A498" s="1"/>
      <c r="B498" s="1" t="str">
        <f>IFERROR(IF(MARÍTIMOS[[#This Row],[PP]]="","",MARÍTIMOS[[#This Row],[PP]]),"")</f>
        <v/>
      </c>
      <c r="C498" s="1" t="str">
        <f>IFERROR(IF(MARÍTIMOS[[#This Row],[Sede]]="","",MARÍTIMOS[[#This Row],[Sede]]),"")</f>
        <v/>
      </c>
      <c r="D498" s="1" t="str">
        <f>IFERROR(IF(MARÍTIMOS[[#This Row],[Instruction]]="","",MARÍTIMOS[[#This Row],[Instruction]]),"")</f>
        <v/>
      </c>
      <c r="E498" s="1"/>
      <c r="F498" s="2" t="str">
        <f>IFERROR(IF(MARÍTIMOS[[#This Row],[Transportista]]="","",MARÍTIMOS[[#This Row],[Transportista]]),"")</f>
        <v/>
      </c>
      <c r="G498" s="2" t="str">
        <f>IFERROR(IF(MARÍTIMOS[[#This Row],[Tercero]]="","",MARÍTIMOS[[#This Row],[Tercero]]),"")</f>
        <v/>
      </c>
      <c r="H498" s="2" t="str">
        <f>IFERROR(IF(MARÍTIMOS[[#This Row],[Razón Social]]="","",MARÍTIMOS[[#This Row],[Razón Social]]),"")</f>
        <v/>
      </c>
      <c r="I498" s="2" t="str">
        <f>IFERROR(IF(MARÍTIMOS[[#This Row],[RUC]]="","",MARÍTIMOS[[#This Row],[RUC]]),"")</f>
        <v/>
      </c>
      <c r="J498" s="2" t="str">
        <f>IFERROR(IF(MARÍTIMOS[[#This Row],[Placa Tracto]]="","",MARÍTIMOS[[#This Row],[Placa Tracto]]),"")</f>
        <v/>
      </c>
      <c r="K498" s="2" t="str">
        <f>IFERROR(IF(MARÍTIMOS[[#This Row],[Placa Carreta]]="","",MARÍTIMOS[[#This Row],[Placa Carreta]]),"")</f>
        <v/>
      </c>
      <c r="L498" s="44" t="str">
        <f>IFERROR(IF(MARÍTIMOS[[#This Row],[Conductor]]="","",MARÍTIMOS[[#This Row],[Conductor]]),"")</f>
        <v/>
      </c>
      <c r="M498" s="2" t="str">
        <f>IFERROR(IF(MARÍTIMOS[[#This Row],[Licencia]]="","",MARÍTIMOS[[#This Row],[Licencia]]),"")</f>
        <v/>
      </c>
      <c r="N498" s="2" t="str">
        <f>IFERROR(IF(MARÍTIMOS[[#This Row],[Número de Contacto]]="","",MARÍTIMOS[[#This Row],[Número de Contacto]]),"")</f>
        <v/>
      </c>
      <c r="O498" s="10" t="str">
        <f>IFERROR(IF(MARÍTIMOS[[#This Row],[Booking|AWB|CRT]]="","",MARÍTIMOS[[#This Row],[Booking|AWB|CRT]]),"")</f>
        <v/>
      </c>
      <c r="P498" s="2" t="str">
        <f>IFERROR(IF(MARÍTIMOS[[#This Row],[Contenedor]]="","",MARÍTIMOS[[#This Row],[Contenedor]]),"")</f>
        <v/>
      </c>
      <c r="Q498" s="2" t="str">
        <f>IFERROR(IF(MARÍTIMOS[[#This Row],[Puerto de Retiro]]="","",MARÍTIMOS[[#This Row],[Puerto de Retiro]]),"")</f>
        <v/>
      </c>
      <c r="R498" s="2" t="str">
        <f>IFERROR(IF(MARÍTIMOS[[#This Row],[Almacén de Retiro]]="","",MARÍTIMOS[[#This Row],[Almacén de Retiro]]),"")</f>
        <v/>
      </c>
      <c r="S498" s="11" t="str">
        <f>IFERROR(IF(MARÍTIMOS[[#This Row],[Etapa Retiro - Cita]]="","",MARÍTIMOS[[#This Row],[Etapa Retiro - Cita]]),"")</f>
        <v/>
      </c>
      <c r="T498" s="11" t="str">
        <f>IFERROR(IF(MARÍTIMOS[[#This Row],[Etapa Retiro - Llegada]]="","",MARÍTIMOS[[#This Row],[Etapa Retiro - Llegada]]),"")</f>
        <v/>
      </c>
      <c r="U498" s="11" t="str">
        <f>IFERROR(IF(MARÍTIMOS[[#This Row],[Etapa Retiro - Ingreso]]="","",MARÍTIMOS[[#This Row],[Etapa Retiro - Ingreso]]),"")</f>
        <v/>
      </c>
      <c r="V498" s="11" t="str">
        <f>IFERROR(IF(MARÍTIMOS[[#This Row],[Etapa Retiro - Atención]]="","",MARÍTIMOS[[#This Row],[Etapa Retiro - Atención]]),"")</f>
        <v/>
      </c>
      <c r="W498" s="11" t="str">
        <f>IFERROR(IF(MARÍTIMOS[[#This Row],[Etapa Retiro - Atención]]="","",MARÍTIMOS[[#This Row],[Etapa Retiro - Atención]]),"")</f>
        <v/>
      </c>
      <c r="X498" s="11" t="str">
        <f>IFERROR(IF(MARÍTIMOS[[#This Row],[Etapa Retiro - Inicio de Ruta]]="","",MARÍTIMOS[[#This Row],[Etapa Retiro - Inicio de Ruta]]),"")</f>
        <v/>
      </c>
      <c r="Y498" s="11" t="str">
        <f>IFERROR(IF(MARÍTIMOS[[#This Row],[Hora de Posicionamiento]]="","",MARÍTIMOS[[#This Row],[Fecha de Carga]]+MARÍTIMOS[[#This Row],[Hora de Posicionamiento]]),"")</f>
        <v/>
      </c>
      <c r="Z498" s="11" t="str">
        <f>IFERROR(IF(MARÍTIMOS[[#This Row],[Etapa Despacho - Llegada]]="","",MARÍTIMOS[[#This Row],[Etapa Despacho - Llegada]]),"")</f>
        <v/>
      </c>
      <c r="AA498" s="11" t="str">
        <f>IFERROR(IF(MARÍTIMOS[[#This Row],[Etapa Despacho - Registro]]="","",MARÍTIMOS[[#This Row],[Etapa Despacho - Registro]]),"")</f>
        <v/>
      </c>
      <c r="AB498" s="11" t="str">
        <f>IFERROR(IF(MARÍTIMOS[[#This Row],[Inspección Externa]]="","",MARÍTIMOS[[#This Row],[Inspección Externa]]),"")</f>
        <v/>
      </c>
      <c r="AC498" s="11" t="str">
        <f>IFERROR(IF(MARÍTIMOS[[#This Row],[Etapa Despacho - Inicio de Carga]]="","",MARÍTIMOS[[#This Row],[Etapa Despacho - Inicio de Carga]]),"")</f>
        <v/>
      </c>
      <c r="AD498" s="11" t="str">
        <f>IFERROR(IF(MARÍTIMOS[[#This Row],[Etapa Despacho - Mitad de Carga]]="","",MARÍTIMOS[[#This Row],[Etapa Despacho - Mitad de Carga]]),"")</f>
        <v/>
      </c>
      <c r="AE498" s="11" t="str">
        <f>IFERROR(IF(MARÍTIMOS[[#This Row],[Etapa Despacho - Fin de Carga]]="","",MARÍTIMOS[[#This Row],[Etapa Despacho - Fin de Carga]]),"")</f>
        <v/>
      </c>
      <c r="AF498" s="2" t="str">
        <f>IFERROR(IF(MARÍTIMOS[[#This Row],[Puerto de Embarque]]="","",MARÍTIMOS[[#This Row],[Puerto de Embarque]]),"")</f>
        <v/>
      </c>
      <c r="AG498" s="2" t="str">
        <f>IFERROR(IF(MARÍTIMOS[[#This Row],[Almacén de Ingreso]]="","",MARÍTIMOS[[#This Row],[Almacén de Ingreso]]),"")</f>
        <v/>
      </c>
      <c r="AH498" s="11" t="str">
        <f>IFERROR(IF(MARÍTIMOS[[#This Row],[Etapa Ingreso - Cita]]="","",MARÍTIMOS[[#This Row],[Etapa Ingreso - Cita]]),"")</f>
        <v/>
      </c>
      <c r="AI498" s="11" t="str">
        <f>IFERROR(IF(MARÍTIMOS[[#This Row],[Etapa Ingreso - Llegada]]="","",MARÍTIMOS[[#This Row],[Etapa Ingreso - Llegada]]),"")</f>
        <v/>
      </c>
      <c r="AJ498" s="11" t="str">
        <f>IFERROR(IF(MARÍTIMOS[[#This Row],[Etapa Ingreso - Ingeso]]="","",MARÍTIMOS[[#This Row],[Etapa Ingreso - Ingeso]]),"")</f>
        <v/>
      </c>
      <c r="AK498" s="11" t="str">
        <f>IFERROR(IF(MARÍTIMOS[[#This Row],[Etapa Ingreso - Atención]]="","",MARÍTIMOS[[#This Row],[Etapa Ingreso - Atención]]),"")</f>
        <v/>
      </c>
      <c r="AL498" s="11" t="str">
        <f>IFERROR(IF(MARÍTIMOS[[#This Row],[Etapa Ingreso - Salida]]="","",MARÍTIMOS[[#This Row],[Etapa Ingreso - Salida]]),"")</f>
        <v/>
      </c>
      <c r="AM498" s="2" t="str">
        <f>IFERROR(IF(MARÍTIMOS[[#This Row],[FCL]]="","",MARÍTIMOS[[#This Row],[FCL]]),"")</f>
        <v/>
      </c>
      <c r="AN4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8" s="4" t="str" cm="1">
        <f t="array" ref="AO4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8" s="5" t="str">
        <f>IFERROR(OLDBD[[#This Row],[Llegada a packing]]-OLDBD[[#This Row],[Inicio de Ruta]],"")</f>
        <v/>
      </c>
      <c r="AQ498" s="6" t="str">
        <f>IFERROR(OLDBD[[#This Row],[Inicio de Ruta]]-OLDBD[[#This Row],[Salida de almacén de retiro]],"")</f>
        <v/>
      </c>
      <c r="AR4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8" s="8" t="str" cm="1">
        <f t="array" ref="AS4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8" s="9" t="str">
        <f>IFERROR(OLDBD[[#This Row],[Ingreso Packing]]-OLDBD[[#This Row],[Registro en Packing]],"")</f>
        <v/>
      </c>
      <c r="AV498" s="9" t="str">
        <f>IFERROR(OLDBD[[#This Row],[Ingreso Packing]]-OLDBD[[#This Row],[Llegada a packing]],"")</f>
        <v/>
      </c>
      <c r="AW4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8" s="5" t="str">
        <f>IFERROR(OLDBD[[#This Row],[Llegada Almacén de Ingreso]]-OLDBD[[#This Row],[Salida Packing]],"")</f>
        <v/>
      </c>
      <c r="AY498" s="4" t="str" cm="1">
        <f t="array" ref="AY4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8" s="43" t="s">
        <v>173</v>
      </c>
      <c r="BB498" s="47" t="str">
        <f>IFERROR(IF(MARÍTIMOS[[#This Row],[Estatus]]="","",MARÍTIMOS[[#This Row],[Estatus]]),"")</f>
        <v/>
      </c>
      <c r="BC498" s="43"/>
      <c r="BD498" s="46" t="str">
        <f>IFERROR(OLDBD[[#This Row],[Salida de almacén de retiro]]-OLDBD[[#This Row],[Ingreso Almacén de retiro]],"")</f>
        <v/>
      </c>
      <c r="BE498" s="46" t="str">
        <f>IFERROR(OLDBD[[#This Row],[Fin de Carga]]-OLDBD[[#This Row],[Inicio de Carga]],"")</f>
        <v/>
      </c>
    </row>
    <row r="499" spans="1:57" customFormat="1" hidden="1">
      <c r="A499" s="1"/>
      <c r="B499" s="1" t="str">
        <f>IFERROR(IF(MARÍTIMOS[[#This Row],[PP]]="","",MARÍTIMOS[[#This Row],[PP]]),"")</f>
        <v/>
      </c>
      <c r="C499" s="1" t="str">
        <f>IFERROR(IF(MARÍTIMOS[[#This Row],[Sede]]="","",MARÍTIMOS[[#This Row],[Sede]]),"")</f>
        <v/>
      </c>
      <c r="D499" s="1" t="str">
        <f>IFERROR(IF(MARÍTIMOS[[#This Row],[Instruction]]="","",MARÍTIMOS[[#This Row],[Instruction]]),"")</f>
        <v/>
      </c>
      <c r="E499" s="1"/>
      <c r="F499" s="2" t="str">
        <f>IFERROR(IF(MARÍTIMOS[[#This Row],[Transportista]]="","",MARÍTIMOS[[#This Row],[Transportista]]),"")</f>
        <v/>
      </c>
      <c r="G499" s="2" t="str">
        <f>IFERROR(IF(MARÍTIMOS[[#This Row],[Tercero]]="","",MARÍTIMOS[[#This Row],[Tercero]]),"")</f>
        <v/>
      </c>
      <c r="H499" s="2" t="str">
        <f>IFERROR(IF(MARÍTIMOS[[#This Row],[Razón Social]]="","",MARÍTIMOS[[#This Row],[Razón Social]]),"")</f>
        <v/>
      </c>
      <c r="I499" s="2" t="str">
        <f>IFERROR(IF(MARÍTIMOS[[#This Row],[RUC]]="","",MARÍTIMOS[[#This Row],[RUC]]),"")</f>
        <v/>
      </c>
      <c r="J499" s="2" t="str">
        <f>IFERROR(IF(MARÍTIMOS[[#This Row],[Placa Tracto]]="","",MARÍTIMOS[[#This Row],[Placa Tracto]]),"")</f>
        <v/>
      </c>
      <c r="K499" s="2" t="str">
        <f>IFERROR(IF(MARÍTIMOS[[#This Row],[Placa Carreta]]="","",MARÍTIMOS[[#This Row],[Placa Carreta]]),"")</f>
        <v/>
      </c>
      <c r="L499" s="44" t="str">
        <f>IFERROR(IF(MARÍTIMOS[[#This Row],[Conductor]]="","",MARÍTIMOS[[#This Row],[Conductor]]),"")</f>
        <v/>
      </c>
      <c r="M499" s="2" t="str">
        <f>IFERROR(IF(MARÍTIMOS[[#This Row],[Licencia]]="","",MARÍTIMOS[[#This Row],[Licencia]]),"")</f>
        <v/>
      </c>
      <c r="N499" s="2" t="str">
        <f>IFERROR(IF(MARÍTIMOS[[#This Row],[Número de Contacto]]="","",MARÍTIMOS[[#This Row],[Número de Contacto]]),"")</f>
        <v/>
      </c>
      <c r="O499" s="10" t="str">
        <f>IFERROR(IF(MARÍTIMOS[[#This Row],[Booking|AWB|CRT]]="","",MARÍTIMOS[[#This Row],[Booking|AWB|CRT]]),"")</f>
        <v/>
      </c>
      <c r="P499" s="2" t="str">
        <f>IFERROR(IF(MARÍTIMOS[[#This Row],[Contenedor]]="","",MARÍTIMOS[[#This Row],[Contenedor]]),"")</f>
        <v/>
      </c>
      <c r="Q499" s="2" t="str">
        <f>IFERROR(IF(MARÍTIMOS[[#This Row],[Puerto de Retiro]]="","",MARÍTIMOS[[#This Row],[Puerto de Retiro]]),"")</f>
        <v/>
      </c>
      <c r="R499" s="2" t="str">
        <f>IFERROR(IF(MARÍTIMOS[[#This Row],[Almacén de Retiro]]="","",MARÍTIMOS[[#This Row],[Almacén de Retiro]]),"")</f>
        <v/>
      </c>
      <c r="S499" s="11" t="str">
        <f>IFERROR(IF(MARÍTIMOS[[#This Row],[Etapa Retiro - Cita]]="","",MARÍTIMOS[[#This Row],[Etapa Retiro - Cita]]),"")</f>
        <v/>
      </c>
      <c r="T499" s="11" t="str">
        <f>IFERROR(IF(MARÍTIMOS[[#This Row],[Etapa Retiro - Llegada]]="","",MARÍTIMOS[[#This Row],[Etapa Retiro - Llegada]]),"")</f>
        <v/>
      </c>
      <c r="U499" s="11" t="str">
        <f>IFERROR(IF(MARÍTIMOS[[#This Row],[Etapa Retiro - Ingreso]]="","",MARÍTIMOS[[#This Row],[Etapa Retiro - Ingreso]]),"")</f>
        <v/>
      </c>
      <c r="V499" s="11" t="str">
        <f>IFERROR(IF(MARÍTIMOS[[#This Row],[Etapa Retiro - Atención]]="","",MARÍTIMOS[[#This Row],[Etapa Retiro - Atención]]),"")</f>
        <v/>
      </c>
      <c r="W499" s="11" t="str">
        <f>IFERROR(IF(MARÍTIMOS[[#This Row],[Etapa Retiro - Atención]]="","",MARÍTIMOS[[#This Row],[Etapa Retiro - Atención]]),"")</f>
        <v/>
      </c>
      <c r="X499" s="11" t="str">
        <f>IFERROR(IF(MARÍTIMOS[[#This Row],[Etapa Retiro - Inicio de Ruta]]="","",MARÍTIMOS[[#This Row],[Etapa Retiro - Inicio de Ruta]]),"")</f>
        <v/>
      </c>
      <c r="Y499" s="11" t="str">
        <f>IFERROR(IF(MARÍTIMOS[[#This Row],[Hora de Posicionamiento]]="","",MARÍTIMOS[[#This Row],[Fecha de Carga]]+MARÍTIMOS[[#This Row],[Hora de Posicionamiento]]),"")</f>
        <v/>
      </c>
      <c r="Z499" s="11" t="str">
        <f>IFERROR(IF(MARÍTIMOS[[#This Row],[Etapa Despacho - Llegada]]="","",MARÍTIMOS[[#This Row],[Etapa Despacho - Llegada]]),"")</f>
        <v/>
      </c>
      <c r="AA499" s="11" t="str">
        <f>IFERROR(IF(MARÍTIMOS[[#This Row],[Etapa Despacho - Registro]]="","",MARÍTIMOS[[#This Row],[Etapa Despacho - Registro]]),"")</f>
        <v/>
      </c>
      <c r="AB499" s="11" t="str">
        <f>IFERROR(IF(MARÍTIMOS[[#This Row],[Inspección Externa]]="","",MARÍTIMOS[[#This Row],[Inspección Externa]]),"")</f>
        <v/>
      </c>
      <c r="AC499" s="11" t="str">
        <f>IFERROR(IF(MARÍTIMOS[[#This Row],[Etapa Despacho - Inicio de Carga]]="","",MARÍTIMOS[[#This Row],[Etapa Despacho - Inicio de Carga]]),"")</f>
        <v/>
      </c>
      <c r="AD499" s="11" t="str">
        <f>IFERROR(IF(MARÍTIMOS[[#This Row],[Etapa Despacho - Mitad de Carga]]="","",MARÍTIMOS[[#This Row],[Etapa Despacho - Mitad de Carga]]),"")</f>
        <v/>
      </c>
      <c r="AE499" s="11" t="str">
        <f>IFERROR(IF(MARÍTIMOS[[#This Row],[Etapa Despacho - Fin de Carga]]="","",MARÍTIMOS[[#This Row],[Etapa Despacho - Fin de Carga]]),"")</f>
        <v/>
      </c>
      <c r="AF499" s="2" t="str">
        <f>IFERROR(IF(MARÍTIMOS[[#This Row],[Puerto de Embarque]]="","",MARÍTIMOS[[#This Row],[Puerto de Embarque]]),"")</f>
        <v/>
      </c>
      <c r="AG499" s="2" t="str">
        <f>IFERROR(IF(MARÍTIMOS[[#This Row],[Almacén de Ingreso]]="","",MARÍTIMOS[[#This Row],[Almacén de Ingreso]]),"")</f>
        <v/>
      </c>
      <c r="AH499" s="11" t="str">
        <f>IFERROR(IF(MARÍTIMOS[[#This Row],[Etapa Ingreso - Cita]]="","",MARÍTIMOS[[#This Row],[Etapa Ingreso - Cita]]),"")</f>
        <v/>
      </c>
      <c r="AI499" s="11" t="str">
        <f>IFERROR(IF(MARÍTIMOS[[#This Row],[Etapa Ingreso - Llegada]]="","",MARÍTIMOS[[#This Row],[Etapa Ingreso - Llegada]]),"")</f>
        <v/>
      </c>
      <c r="AJ499" s="11" t="str">
        <f>IFERROR(IF(MARÍTIMOS[[#This Row],[Etapa Ingreso - Ingeso]]="","",MARÍTIMOS[[#This Row],[Etapa Ingreso - Ingeso]]),"")</f>
        <v/>
      </c>
      <c r="AK499" s="11" t="str">
        <f>IFERROR(IF(MARÍTIMOS[[#This Row],[Etapa Ingreso - Atención]]="","",MARÍTIMOS[[#This Row],[Etapa Ingreso - Atención]]),"")</f>
        <v/>
      </c>
      <c r="AL499" s="11" t="str">
        <f>IFERROR(IF(MARÍTIMOS[[#This Row],[Etapa Ingreso - Salida]]="","",MARÍTIMOS[[#This Row],[Etapa Ingreso - Salida]]),"")</f>
        <v/>
      </c>
      <c r="AM499" s="2" t="str">
        <f>IFERROR(IF(MARÍTIMOS[[#This Row],[FCL]]="","",MARÍTIMOS[[#This Row],[FCL]]),"")</f>
        <v/>
      </c>
      <c r="AN4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499" s="4" t="str" cm="1">
        <f t="array" ref="AO4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499" s="5" t="str">
        <f>IFERROR(OLDBD[[#This Row],[Llegada a packing]]-OLDBD[[#This Row],[Inicio de Ruta]],"")</f>
        <v/>
      </c>
      <c r="AQ499" s="6" t="str">
        <f>IFERROR(OLDBD[[#This Row],[Inicio de Ruta]]-OLDBD[[#This Row],[Salida de almacén de retiro]],"")</f>
        <v/>
      </c>
      <c r="AR4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499" s="8" t="str" cm="1">
        <f t="array" ref="AS4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4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499" s="9" t="str">
        <f>IFERROR(OLDBD[[#This Row],[Ingreso Packing]]-OLDBD[[#This Row],[Registro en Packing]],"")</f>
        <v/>
      </c>
      <c r="AV499" s="9" t="str">
        <f>IFERROR(OLDBD[[#This Row],[Ingreso Packing]]-OLDBD[[#This Row],[Llegada a packing]],"")</f>
        <v/>
      </c>
      <c r="AW4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499" s="5" t="str">
        <f>IFERROR(OLDBD[[#This Row],[Llegada Almacén de Ingreso]]-OLDBD[[#This Row],[Salida Packing]],"")</f>
        <v/>
      </c>
      <c r="AY499" s="4" t="str" cm="1">
        <f t="array" ref="AY4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4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499" s="43" t="s">
        <v>173</v>
      </c>
      <c r="BB499" s="47" t="str">
        <f>IFERROR(IF(MARÍTIMOS[[#This Row],[Estatus]]="","",MARÍTIMOS[[#This Row],[Estatus]]),"")</f>
        <v/>
      </c>
      <c r="BC499" s="43"/>
      <c r="BD499" s="46" t="str">
        <f>IFERROR(OLDBD[[#This Row],[Salida de almacén de retiro]]-OLDBD[[#This Row],[Ingreso Almacén de retiro]],"")</f>
        <v/>
      </c>
      <c r="BE499" s="46" t="str">
        <f>IFERROR(OLDBD[[#This Row],[Fin de Carga]]-OLDBD[[#This Row],[Inicio de Carga]],"")</f>
        <v/>
      </c>
    </row>
    <row r="500" spans="1:57" customFormat="1" hidden="1">
      <c r="A500" s="1"/>
      <c r="B500" s="1" t="str">
        <f>IFERROR(IF(MARÍTIMOS[[#This Row],[PP]]="","",MARÍTIMOS[[#This Row],[PP]]),"")</f>
        <v/>
      </c>
      <c r="C500" s="1" t="str">
        <f>IFERROR(IF(MARÍTIMOS[[#This Row],[Sede]]="","",MARÍTIMOS[[#This Row],[Sede]]),"")</f>
        <v/>
      </c>
      <c r="D500" s="1" t="str">
        <f>IFERROR(IF(MARÍTIMOS[[#This Row],[Instruction]]="","",MARÍTIMOS[[#This Row],[Instruction]]),"")</f>
        <v/>
      </c>
      <c r="E500" s="1"/>
      <c r="F500" s="2" t="str">
        <f>IFERROR(IF(MARÍTIMOS[[#This Row],[Transportista]]="","",MARÍTIMOS[[#This Row],[Transportista]]),"")</f>
        <v/>
      </c>
      <c r="G500" s="2" t="str">
        <f>IFERROR(IF(MARÍTIMOS[[#This Row],[Tercero]]="","",MARÍTIMOS[[#This Row],[Tercero]]),"")</f>
        <v/>
      </c>
      <c r="H500" s="2" t="str">
        <f>IFERROR(IF(MARÍTIMOS[[#This Row],[Razón Social]]="","",MARÍTIMOS[[#This Row],[Razón Social]]),"")</f>
        <v/>
      </c>
      <c r="I500" s="2" t="str">
        <f>IFERROR(IF(MARÍTIMOS[[#This Row],[RUC]]="","",MARÍTIMOS[[#This Row],[RUC]]),"")</f>
        <v/>
      </c>
      <c r="J500" s="2" t="str">
        <f>IFERROR(IF(MARÍTIMOS[[#This Row],[Placa Tracto]]="","",MARÍTIMOS[[#This Row],[Placa Tracto]]),"")</f>
        <v/>
      </c>
      <c r="K500" s="2" t="str">
        <f>IFERROR(IF(MARÍTIMOS[[#This Row],[Placa Carreta]]="","",MARÍTIMOS[[#This Row],[Placa Carreta]]),"")</f>
        <v/>
      </c>
      <c r="L500" s="44" t="str">
        <f>IFERROR(IF(MARÍTIMOS[[#This Row],[Conductor]]="","",MARÍTIMOS[[#This Row],[Conductor]]),"")</f>
        <v/>
      </c>
      <c r="M500" s="2" t="str">
        <f>IFERROR(IF(MARÍTIMOS[[#This Row],[Licencia]]="","",MARÍTIMOS[[#This Row],[Licencia]]),"")</f>
        <v/>
      </c>
      <c r="N500" s="2" t="str">
        <f>IFERROR(IF(MARÍTIMOS[[#This Row],[Número de Contacto]]="","",MARÍTIMOS[[#This Row],[Número de Contacto]]),"")</f>
        <v/>
      </c>
      <c r="O500" s="10" t="str">
        <f>IFERROR(IF(MARÍTIMOS[[#This Row],[Booking|AWB|CRT]]="","",MARÍTIMOS[[#This Row],[Booking|AWB|CRT]]),"")</f>
        <v/>
      </c>
      <c r="P500" s="2" t="str">
        <f>IFERROR(IF(MARÍTIMOS[[#This Row],[Contenedor]]="","",MARÍTIMOS[[#This Row],[Contenedor]]),"")</f>
        <v/>
      </c>
      <c r="Q500" s="2" t="str">
        <f>IFERROR(IF(MARÍTIMOS[[#This Row],[Puerto de Retiro]]="","",MARÍTIMOS[[#This Row],[Puerto de Retiro]]),"")</f>
        <v/>
      </c>
      <c r="R500" s="2" t="str">
        <f>IFERROR(IF(MARÍTIMOS[[#This Row],[Almacén de Retiro]]="","",MARÍTIMOS[[#This Row],[Almacén de Retiro]]),"")</f>
        <v/>
      </c>
      <c r="S500" s="11" t="str">
        <f>IFERROR(IF(MARÍTIMOS[[#This Row],[Etapa Retiro - Cita]]="","",MARÍTIMOS[[#This Row],[Etapa Retiro - Cita]]),"")</f>
        <v/>
      </c>
      <c r="T500" s="11" t="str">
        <f>IFERROR(IF(MARÍTIMOS[[#This Row],[Etapa Retiro - Llegada]]="","",MARÍTIMOS[[#This Row],[Etapa Retiro - Llegada]]),"")</f>
        <v/>
      </c>
      <c r="U500" s="11" t="str">
        <f>IFERROR(IF(MARÍTIMOS[[#This Row],[Etapa Retiro - Ingreso]]="","",MARÍTIMOS[[#This Row],[Etapa Retiro - Ingreso]]),"")</f>
        <v/>
      </c>
      <c r="V500" s="11" t="str">
        <f>IFERROR(IF(MARÍTIMOS[[#This Row],[Etapa Retiro - Atención]]="","",MARÍTIMOS[[#This Row],[Etapa Retiro - Atención]]),"")</f>
        <v/>
      </c>
      <c r="W500" s="11" t="str">
        <f>IFERROR(IF(MARÍTIMOS[[#This Row],[Etapa Retiro - Atención]]="","",MARÍTIMOS[[#This Row],[Etapa Retiro - Atención]]),"")</f>
        <v/>
      </c>
      <c r="X500" s="11" t="str">
        <f>IFERROR(IF(MARÍTIMOS[[#This Row],[Etapa Retiro - Inicio de Ruta]]="","",MARÍTIMOS[[#This Row],[Etapa Retiro - Inicio de Ruta]]),"")</f>
        <v/>
      </c>
      <c r="Y500" s="11" t="str">
        <f>IFERROR(IF(MARÍTIMOS[[#This Row],[Hora de Posicionamiento]]="","",MARÍTIMOS[[#This Row],[Fecha de Carga]]+MARÍTIMOS[[#This Row],[Hora de Posicionamiento]]),"")</f>
        <v/>
      </c>
      <c r="Z500" s="11" t="str">
        <f>IFERROR(IF(MARÍTIMOS[[#This Row],[Etapa Despacho - Llegada]]="","",MARÍTIMOS[[#This Row],[Etapa Despacho - Llegada]]),"")</f>
        <v/>
      </c>
      <c r="AA500" s="11" t="str">
        <f>IFERROR(IF(MARÍTIMOS[[#This Row],[Etapa Despacho - Registro]]="","",MARÍTIMOS[[#This Row],[Etapa Despacho - Registro]]),"")</f>
        <v/>
      </c>
      <c r="AB500" s="11" t="str">
        <f>IFERROR(IF(MARÍTIMOS[[#This Row],[Inspección Externa]]="","",MARÍTIMOS[[#This Row],[Inspección Externa]]),"")</f>
        <v/>
      </c>
      <c r="AC500" s="11" t="str">
        <f>IFERROR(IF(MARÍTIMOS[[#This Row],[Etapa Despacho - Inicio de Carga]]="","",MARÍTIMOS[[#This Row],[Etapa Despacho - Inicio de Carga]]),"")</f>
        <v/>
      </c>
      <c r="AD500" s="11" t="str">
        <f>IFERROR(IF(MARÍTIMOS[[#This Row],[Etapa Despacho - Mitad de Carga]]="","",MARÍTIMOS[[#This Row],[Etapa Despacho - Mitad de Carga]]),"")</f>
        <v/>
      </c>
      <c r="AE500" s="11" t="str">
        <f>IFERROR(IF(MARÍTIMOS[[#This Row],[Etapa Despacho - Fin de Carga]]="","",MARÍTIMOS[[#This Row],[Etapa Despacho - Fin de Carga]]),"")</f>
        <v/>
      </c>
      <c r="AF500" s="2" t="str">
        <f>IFERROR(IF(MARÍTIMOS[[#This Row],[Puerto de Embarque]]="","",MARÍTIMOS[[#This Row],[Puerto de Embarque]]),"")</f>
        <v/>
      </c>
      <c r="AG500" s="2" t="str">
        <f>IFERROR(IF(MARÍTIMOS[[#This Row],[Almacén de Ingreso]]="","",MARÍTIMOS[[#This Row],[Almacén de Ingreso]]),"")</f>
        <v/>
      </c>
      <c r="AH500" s="11" t="str">
        <f>IFERROR(IF(MARÍTIMOS[[#This Row],[Etapa Ingreso - Cita]]="","",MARÍTIMOS[[#This Row],[Etapa Ingreso - Cita]]),"")</f>
        <v/>
      </c>
      <c r="AI500" s="11" t="str">
        <f>IFERROR(IF(MARÍTIMOS[[#This Row],[Etapa Ingreso - Llegada]]="","",MARÍTIMOS[[#This Row],[Etapa Ingreso - Llegada]]),"")</f>
        <v/>
      </c>
      <c r="AJ500" s="11" t="str">
        <f>IFERROR(IF(MARÍTIMOS[[#This Row],[Etapa Ingreso - Ingeso]]="","",MARÍTIMOS[[#This Row],[Etapa Ingreso - Ingeso]]),"")</f>
        <v/>
      </c>
      <c r="AK500" s="11" t="str">
        <f>IFERROR(IF(MARÍTIMOS[[#This Row],[Etapa Ingreso - Atención]]="","",MARÍTIMOS[[#This Row],[Etapa Ingreso - Atención]]),"")</f>
        <v/>
      </c>
      <c r="AL500" s="11" t="str">
        <f>IFERROR(IF(MARÍTIMOS[[#This Row],[Etapa Ingreso - Salida]]="","",MARÍTIMOS[[#This Row],[Etapa Ingreso - Salida]]),"")</f>
        <v/>
      </c>
      <c r="AM500" s="2" t="str">
        <f>IFERROR(IF(MARÍTIMOS[[#This Row],[FCL]]="","",MARÍTIMOS[[#This Row],[FCL]]),"")</f>
        <v/>
      </c>
      <c r="AN5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0" s="4" t="str" cm="1">
        <f t="array" ref="AO5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0" s="5" t="str">
        <f>IFERROR(OLDBD[[#This Row],[Llegada a packing]]-OLDBD[[#This Row],[Inicio de Ruta]],"")</f>
        <v/>
      </c>
      <c r="AQ500" s="6" t="str">
        <f>IFERROR(OLDBD[[#This Row],[Inicio de Ruta]]-OLDBD[[#This Row],[Salida de almacén de retiro]],"")</f>
        <v/>
      </c>
      <c r="AR5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0" s="8" t="str" cm="1">
        <f t="array" ref="AS5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0" s="9" t="str">
        <f>IFERROR(OLDBD[[#This Row],[Ingreso Packing]]-OLDBD[[#This Row],[Registro en Packing]],"")</f>
        <v/>
      </c>
      <c r="AV500" s="9" t="str">
        <f>IFERROR(OLDBD[[#This Row],[Ingreso Packing]]-OLDBD[[#This Row],[Llegada a packing]],"")</f>
        <v/>
      </c>
      <c r="AW5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0" s="5" t="str">
        <f>IFERROR(OLDBD[[#This Row],[Llegada Almacén de Ingreso]]-OLDBD[[#This Row],[Salida Packing]],"")</f>
        <v/>
      </c>
      <c r="AY500" s="4" t="str" cm="1">
        <f t="array" ref="AY5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0" s="43" t="s">
        <v>173</v>
      </c>
      <c r="BB500" s="47" t="str">
        <f>IFERROR(IF(MARÍTIMOS[[#This Row],[Estatus]]="","",MARÍTIMOS[[#This Row],[Estatus]]),"")</f>
        <v/>
      </c>
      <c r="BC500" s="43"/>
      <c r="BD500" s="46" t="str">
        <f>IFERROR(OLDBD[[#This Row],[Salida de almacén de retiro]]-OLDBD[[#This Row],[Ingreso Almacén de retiro]],"")</f>
        <v/>
      </c>
      <c r="BE500" s="46" t="str">
        <f>IFERROR(OLDBD[[#This Row],[Fin de Carga]]-OLDBD[[#This Row],[Inicio de Carga]],"")</f>
        <v/>
      </c>
    </row>
    <row r="501" spans="1:57" customFormat="1" hidden="1">
      <c r="A501" s="1"/>
      <c r="B501" s="1" t="str">
        <f>IFERROR(IF(MARÍTIMOS[[#This Row],[PP]]="","",MARÍTIMOS[[#This Row],[PP]]),"")</f>
        <v/>
      </c>
      <c r="C501" s="1" t="str">
        <f>IFERROR(IF(MARÍTIMOS[[#This Row],[Sede]]="","",MARÍTIMOS[[#This Row],[Sede]]),"")</f>
        <v/>
      </c>
      <c r="D501" s="1" t="str">
        <f>IFERROR(IF(MARÍTIMOS[[#This Row],[Instruction]]="","",MARÍTIMOS[[#This Row],[Instruction]]),"")</f>
        <v/>
      </c>
      <c r="E501" s="1"/>
      <c r="F501" s="2" t="str">
        <f>IFERROR(IF(MARÍTIMOS[[#This Row],[Transportista]]="","",MARÍTIMOS[[#This Row],[Transportista]]),"")</f>
        <v/>
      </c>
      <c r="G501" s="2" t="str">
        <f>IFERROR(IF(MARÍTIMOS[[#This Row],[Tercero]]="","",MARÍTIMOS[[#This Row],[Tercero]]),"")</f>
        <v/>
      </c>
      <c r="H501" s="2" t="str">
        <f>IFERROR(IF(MARÍTIMOS[[#This Row],[Razón Social]]="","",MARÍTIMOS[[#This Row],[Razón Social]]),"")</f>
        <v/>
      </c>
      <c r="I501" s="2" t="str">
        <f>IFERROR(IF(MARÍTIMOS[[#This Row],[RUC]]="","",MARÍTIMOS[[#This Row],[RUC]]),"")</f>
        <v/>
      </c>
      <c r="J501" s="2" t="str">
        <f>IFERROR(IF(MARÍTIMOS[[#This Row],[Placa Tracto]]="","",MARÍTIMOS[[#This Row],[Placa Tracto]]),"")</f>
        <v/>
      </c>
      <c r="K501" s="2" t="str">
        <f>IFERROR(IF(MARÍTIMOS[[#This Row],[Placa Carreta]]="","",MARÍTIMOS[[#This Row],[Placa Carreta]]),"")</f>
        <v/>
      </c>
      <c r="L501" s="44" t="str">
        <f>IFERROR(IF(MARÍTIMOS[[#This Row],[Conductor]]="","",MARÍTIMOS[[#This Row],[Conductor]]),"")</f>
        <v/>
      </c>
      <c r="M501" s="2" t="str">
        <f>IFERROR(IF(MARÍTIMOS[[#This Row],[Licencia]]="","",MARÍTIMOS[[#This Row],[Licencia]]),"")</f>
        <v/>
      </c>
      <c r="N501" s="2" t="str">
        <f>IFERROR(IF(MARÍTIMOS[[#This Row],[Número de Contacto]]="","",MARÍTIMOS[[#This Row],[Número de Contacto]]),"")</f>
        <v/>
      </c>
      <c r="O501" s="10" t="str">
        <f>IFERROR(IF(MARÍTIMOS[[#This Row],[Booking|AWB|CRT]]="","",MARÍTIMOS[[#This Row],[Booking|AWB|CRT]]),"")</f>
        <v/>
      </c>
      <c r="P501" s="2" t="str">
        <f>IFERROR(IF(MARÍTIMOS[[#This Row],[Contenedor]]="","",MARÍTIMOS[[#This Row],[Contenedor]]),"")</f>
        <v/>
      </c>
      <c r="Q501" s="2" t="str">
        <f>IFERROR(IF(MARÍTIMOS[[#This Row],[Puerto de Retiro]]="","",MARÍTIMOS[[#This Row],[Puerto de Retiro]]),"")</f>
        <v/>
      </c>
      <c r="R501" s="2" t="str">
        <f>IFERROR(IF(MARÍTIMOS[[#This Row],[Almacén de Retiro]]="","",MARÍTIMOS[[#This Row],[Almacén de Retiro]]),"")</f>
        <v/>
      </c>
      <c r="S501" s="11" t="str">
        <f>IFERROR(IF(MARÍTIMOS[[#This Row],[Etapa Retiro - Cita]]="","",MARÍTIMOS[[#This Row],[Etapa Retiro - Cita]]),"")</f>
        <v/>
      </c>
      <c r="T501" s="11" t="str">
        <f>IFERROR(IF(MARÍTIMOS[[#This Row],[Etapa Retiro - Llegada]]="","",MARÍTIMOS[[#This Row],[Etapa Retiro - Llegada]]),"")</f>
        <v/>
      </c>
      <c r="U501" s="11" t="str">
        <f>IFERROR(IF(MARÍTIMOS[[#This Row],[Etapa Retiro - Ingreso]]="","",MARÍTIMOS[[#This Row],[Etapa Retiro - Ingreso]]),"")</f>
        <v/>
      </c>
      <c r="V501" s="11" t="str">
        <f>IFERROR(IF(MARÍTIMOS[[#This Row],[Etapa Retiro - Atención]]="","",MARÍTIMOS[[#This Row],[Etapa Retiro - Atención]]),"")</f>
        <v/>
      </c>
      <c r="W501" s="11" t="str">
        <f>IFERROR(IF(MARÍTIMOS[[#This Row],[Etapa Retiro - Atención]]="","",MARÍTIMOS[[#This Row],[Etapa Retiro - Atención]]),"")</f>
        <v/>
      </c>
      <c r="X501" s="11" t="str">
        <f>IFERROR(IF(MARÍTIMOS[[#This Row],[Etapa Retiro - Inicio de Ruta]]="","",MARÍTIMOS[[#This Row],[Etapa Retiro - Inicio de Ruta]]),"")</f>
        <v/>
      </c>
      <c r="Y501" s="11" t="str">
        <f>IFERROR(IF(MARÍTIMOS[[#This Row],[Hora de Posicionamiento]]="","",MARÍTIMOS[[#This Row],[Fecha de Carga]]+MARÍTIMOS[[#This Row],[Hora de Posicionamiento]]),"")</f>
        <v/>
      </c>
      <c r="Z501" s="11" t="str">
        <f>IFERROR(IF(MARÍTIMOS[[#This Row],[Etapa Despacho - Llegada]]="","",MARÍTIMOS[[#This Row],[Etapa Despacho - Llegada]]),"")</f>
        <v/>
      </c>
      <c r="AA501" s="11" t="str">
        <f>IFERROR(IF(MARÍTIMOS[[#This Row],[Etapa Despacho - Registro]]="","",MARÍTIMOS[[#This Row],[Etapa Despacho - Registro]]),"")</f>
        <v/>
      </c>
      <c r="AB501" s="11" t="str">
        <f>IFERROR(IF(MARÍTIMOS[[#This Row],[Inspección Externa]]="","",MARÍTIMOS[[#This Row],[Inspección Externa]]),"")</f>
        <v/>
      </c>
      <c r="AC501" s="11" t="str">
        <f>IFERROR(IF(MARÍTIMOS[[#This Row],[Etapa Despacho - Inicio de Carga]]="","",MARÍTIMOS[[#This Row],[Etapa Despacho - Inicio de Carga]]),"")</f>
        <v/>
      </c>
      <c r="AD501" s="11" t="str">
        <f>IFERROR(IF(MARÍTIMOS[[#This Row],[Etapa Despacho - Mitad de Carga]]="","",MARÍTIMOS[[#This Row],[Etapa Despacho - Mitad de Carga]]),"")</f>
        <v/>
      </c>
      <c r="AE501" s="11" t="str">
        <f>IFERROR(IF(MARÍTIMOS[[#This Row],[Etapa Despacho - Fin de Carga]]="","",MARÍTIMOS[[#This Row],[Etapa Despacho - Fin de Carga]]),"")</f>
        <v/>
      </c>
      <c r="AF501" s="2" t="str">
        <f>IFERROR(IF(MARÍTIMOS[[#This Row],[Puerto de Embarque]]="","",MARÍTIMOS[[#This Row],[Puerto de Embarque]]),"")</f>
        <v/>
      </c>
      <c r="AG501" s="2" t="str">
        <f>IFERROR(IF(MARÍTIMOS[[#This Row],[Almacén de Ingreso]]="","",MARÍTIMOS[[#This Row],[Almacén de Ingreso]]),"")</f>
        <v/>
      </c>
      <c r="AH501" s="11" t="str">
        <f>IFERROR(IF(MARÍTIMOS[[#This Row],[Etapa Ingreso - Cita]]="","",MARÍTIMOS[[#This Row],[Etapa Ingreso - Cita]]),"")</f>
        <v/>
      </c>
      <c r="AI501" s="11" t="str">
        <f>IFERROR(IF(MARÍTIMOS[[#This Row],[Etapa Ingreso - Llegada]]="","",MARÍTIMOS[[#This Row],[Etapa Ingreso - Llegada]]),"")</f>
        <v/>
      </c>
      <c r="AJ501" s="11" t="str">
        <f>IFERROR(IF(MARÍTIMOS[[#This Row],[Etapa Ingreso - Ingeso]]="","",MARÍTIMOS[[#This Row],[Etapa Ingreso - Ingeso]]),"")</f>
        <v/>
      </c>
      <c r="AK501" s="11" t="str">
        <f>IFERROR(IF(MARÍTIMOS[[#This Row],[Etapa Ingreso - Atención]]="","",MARÍTIMOS[[#This Row],[Etapa Ingreso - Atención]]),"")</f>
        <v/>
      </c>
      <c r="AL501" s="11" t="str">
        <f>IFERROR(IF(MARÍTIMOS[[#This Row],[Etapa Ingreso - Salida]]="","",MARÍTIMOS[[#This Row],[Etapa Ingreso - Salida]]),"")</f>
        <v/>
      </c>
      <c r="AM501" s="2" t="str">
        <f>IFERROR(IF(MARÍTIMOS[[#This Row],[FCL]]="","",MARÍTIMOS[[#This Row],[FCL]]),"")</f>
        <v/>
      </c>
      <c r="AN5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1" s="4" t="str" cm="1">
        <f t="array" ref="AO5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1" s="5" t="str">
        <f>IFERROR(OLDBD[[#This Row],[Llegada a packing]]-OLDBD[[#This Row],[Inicio de Ruta]],"")</f>
        <v/>
      </c>
      <c r="AQ501" s="6" t="str">
        <f>IFERROR(OLDBD[[#This Row],[Inicio de Ruta]]-OLDBD[[#This Row],[Salida de almacén de retiro]],"")</f>
        <v/>
      </c>
      <c r="AR5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1" s="8" t="str" cm="1">
        <f t="array" ref="AS5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1" s="9" t="str">
        <f>IFERROR(OLDBD[[#This Row],[Ingreso Packing]]-OLDBD[[#This Row],[Registro en Packing]],"")</f>
        <v/>
      </c>
      <c r="AV501" s="9" t="str">
        <f>IFERROR(OLDBD[[#This Row],[Ingreso Packing]]-OLDBD[[#This Row],[Llegada a packing]],"")</f>
        <v/>
      </c>
      <c r="AW5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1" s="5" t="str">
        <f>IFERROR(OLDBD[[#This Row],[Llegada Almacén de Ingreso]]-OLDBD[[#This Row],[Salida Packing]],"")</f>
        <v/>
      </c>
      <c r="AY501" s="4" t="str" cm="1">
        <f t="array" ref="AY5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1" s="43" t="s">
        <v>173</v>
      </c>
      <c r="BB501" s="47" t="str">
        <f>IFERROR(IF(MARÍTIMOS[[#This Row],[Estatus]]="","",MARÍTIMOS[[#This Row],[Estatus]]),"")</f>
        <v/>
      </c>
      <c r="BC501" s="43"/>
      <c r="BD501" s="46" t="str">
        <f>IFERROR(OLDBD[[#This Row],[Salida de almacén de retiro]]-OLDBD[[#This Row],[Ingreso Almacén de retiro]],"")</f>
        <v/>
      </c>
      <c r="BE501" s="46" t="str">
        <f>IFERROR(OLDBD[[#This Row],[Fin de Carga]]-OLDBD[[#This Row],[Inicio de Carga]],"")</f>
        <v/>
      </c>
    </row>
    <row r="502" spans="1:57" customFormat="1" hidden="1">
      <c r="A502" s="1"/>
      <c r="B502" s="1" t="str">
        <f>IFERROR(IF(MARÍTIMOS[[#This Row],[PP]]="","",MARÍTIMOS[[#This Row],[PP]]),"")</f>
        <v/>
      </c>
      <c r="C502" s="1" t="str">
        <f>IFERROR(IF(MARÍTIMOS[[#This Row],[Sede]]="","",MARÍTIMOS[[#This Row],[Sede]]),"")</f>
        <v/>
      </c>
      <c r="D502" s="1" t="str">
        <f>IFERROR(IF(MARÍTIMOS[[#This Row],[Instruction]]="","",MARÍTIMOS[[#This Row],[Instruction]]),"")</f>
        <v/>
      </c>
      <c r="E502" s="1"/>
      <c r="F502" s="2" t="str">
        <f>IFERROR(IF(MARÍTIMOS[[#This Row],[Transportista]]="","",MARÍTIMOS[[#This Row],[Transportista]]),"")</f>
        <v/>
      </c>
      <c r="G502" s="2" t="str">
        <f>IFERROR(IF(MARÍTIMOS[[#This Row],[Tercero]]="","",MARÍTIMOS[[#This Row],[Tercero]]),"")</f>
        <v/>
      </c>
      <c r="H502" s="2" t="str">
        <f>IFERROR(IF(MARÍTIMOS[[#This Row],[Razón Social]]="","",MARÍTIMOS[[#This Row],[Razón Social]]),"")</f>
        <v/>
      </c>
      <c r="I502" s="2" t="str">
        <f>IFERROR(IF(MARÍTIMOS[[#This Row],[RUC]]="","",MARÍTIMOS[[#This Row],[RUC]]),"")</f>
        <v/>
      </c>
      <c r="J502" s="2" t="str">
        <f>IFERROR(IF(MARÍTIMOS[[#This Row],[Placa Tracto]]="","",MARÍTIMOS[[#This Row],[Placa Tracto]]),"")</f>
        <v/>
      </c>
      <c r="K502" s="2" t="str">
        <f>IFERROR(IF(MARÍTIMOS[[#This Row],[Placa Carreta]]="","",MARÍTIMOS[[#This Row],[Placa Carreta]]),"")</f>
        <v/>
      </c>
      <c r="L502" s="44" t="str">
        <f>IFERROR(IF(MARÍTIMOS[[#This Row],[Conductor]]="","",MARÍTIMOS[[#This Row],[Conductor]]),"")</f>
        <v/>
      </c>
      <c r="M502" s="2" t="str">
        <f>IFERROR(IF(MARÍTIMOS[[#This Row],[Licencia]]="","",MARÍTIMOS[[#This Row],[Licencia]]),"")</f>
        <v/>
      </c>
      <c r="N502" s="2" t="str">
        <f>IFERROR(IF(MARÍTIMOS[[#This Row],[Número de Contacto]]="","",MARÍTIMOS[[#This Row],[Número de Contacto]]),"")</f>
        <v/>
      </c>
      <c r="O502" s="10" t="str">
        <f>IFERROR(IF(MARÍTIMOS[[#This Row],[Booking|AWB|CRT]]="","",MARÍTIMOS[[#This Row],[Booking|AWB|CRT]]),"")</f>
        <v/>
      </c>
      <c r="P502" s="2" t="str">
        <f>IFERROR(IF(MARÍTIMOS[[#This Row],[Contenedor]]="","",MARÍTIMOS[[#This Row],[Contenedor]]),"")</f>
        <v/>
      </c>
      <c r="Q502" s="2" t="str">
        <f>IFERROR(IF(MARÍTIMOS[[#This Row],[Puerto de Retiro]]="","",MARÍTIMOS[[#This Row],[Puerto de Retiro]]),"")</f>
        <v/>
      </c>
      <c r="R502" s="2" t="str">
        <f>IFERROR(IF(MARÍTIMOS[[#This Row],[Almacén de Retiro]]="","",MARÍTIMOS[[#This Row],[Almacén de Retiro]]),"")</f>
        <v/>
      </c>
      <c r="S502" s="11" t="str">
        <f>IFERROR(IF(MARÍTIMOS[[#This Row],[Etapa Retiro - Cita]]="","",MARÍTIMOS[[#This Row],[Etapa Retiro - Cita]]),"")</f>
        <v/>
      </c>
      <c r="T502" s="11" t="str">
        <f>IFERROR(IF(MARÍTIMOS[[#This Row],[Etapa Retiro - Llegada]]="","",MARÍTIMOS[[#This Row],[Etapa Retiro - Llegada]]),"")</f>
        <v/>
      </c>
      <c r="U502" s="11" t="str">
        <f>IFERROR(IF(MARÍTIMOS[[#This Row],[Etapa Retiro - Ingreso]]="","",MARÍTIMOS[[#This Row],[Etapa Retiro - Ingreso]]),"")</f>
        <v/>
      </c>
      <c r="V502" s="11" t="str">
        <f>IFERROR(IF(MARÍTIMOS[[#This Row],[Etapa Retiro - Atención]]="","",MARÍTIMOS[[#This Row],[Etapa Retiro - Atención]]),"")</f>
        <v/>
      </c>
      <c r="W502" s="11" t="str">
        <f>IFERROR(IF(MARÍTIMOS[[#This Row],[Etapa Retiro - Atención]]="","",MARÍTIMOS[[#This Row],[Etapa Retiro - Atención]]),"")</f>
        <v/>
      </c>
      <c r="X502" s="11" t="str">
        <f>IFERROR(IF(MARÍTIMOS[[#This Row],[Etapa Retiro - Inicio de Ruta]]="","",MARÍTIMOS[[#This Row],[Etapa Retiro - Inicio de Ruta]]),"")</f>
        <v/>
      </c>
      <c r="Y502" s="11" t="str">
        <f>IFERROR(IF(MARÍTIMOS[[#This Row],[Hora de Posicionamiento]]="","",MARÍTIMOS[[#This Row],[Fecha de Carga]]+MARÍTIMOS[[#This Row],[Hora de Posicionamiento]]),"")</f>
        <v/>
      </c>
      <c r="Z502" s="11" t="str">
        <f>IFERROR(IF(MARÍTIMOS[[#This Row],[Etapa Despacho - Llegada]]="","",MARÍTIMOS[[#This Row],[Etapa Despacho - Llegada]]),"")</f>
        <v/>
      </c>
      <c r="AA502" s="11" t="str">
        <f>IFERROR(IF(MARÍTIMOS[[#This Row],[Etapa Despacho - Registro]]="","",MARÍTIMOS[[#This Row],[Etapa Despacho - Registro]]),"")</f>
        <v/>
      </c>
      <c r="AB502" s="11" t="str">
        <f>IFERROR(IF(MARÍTIMOS[[#This Row],[Inspección Externa]]="","",MARÍTIMOS[[#This Row],[Inspección Externa]]),"")</f>
        <v/>
      </c>
      <c r="AC502" s="11" t="str">
        <f>IFERROR(IF(MARÍTIMOS[[#This Row],[Etapa Despacho - Inicio de Carga]]="","",MARÍTIMOS[[#This Row],[Etapa Despacho - Inicio de Carga]]),"")</f>
        <v/>
      </c>
      <c r="AD502" s="11" t="str">
        <f>IFERROR(IF(MARÍTIMOS[[#This Row],[Etapa Despacho - Mitad de Carga]]="","",MARÍTIMOS[[#This Row],[Etapa Despacho - Mitad de Carga]]),"")</f>
        <v/>
      </c>
      <c r="AE502" s="11" t="str">
        <f>IFERROR(IF(MARÍTIMOS[[#This Row],[Etapa Despacho - Fin de Carga]]="","",MARÍTIMOS[[#This Row],[Etapa Despacho - Fin de Carga]]),"")</f>
        <v/>
      </c>
      <c r="AF502" s="2" t="str">
        <f>IFERROR(IF(MARÍTIMOS[[#This Row],[Puerto de Embarque]]="","",MARÍTIMOS[[#This Row],[Puerto de Embarque]]),"")</f>
        <v/>
      </c>
      <c r="AG502" s="2" t="str">
        <f>IFERROR(IF(MARÍTIMOS[[#This Row],[Almacén de Ingreso]]="","",MARÍTIMOS[[#This Row],[Almacén de Ingreso]]),"")</f>
        <v/>
      </c>
      <c r="AH502" s="11" t="str">
        <f>IFERROR(IF(MARÍTIMOS[[#This Row],[Etapa Ingreso - Cita]]="","",MARÍTIMOS[[#This Row],[Etapa Ingreso - Cita]]),"")</f>
        <v/>
      </c>
      <c r="AI502" s="11" t="str">
        <f>IFERROR(IF(MARÍTIMOS[[#This Row],[Etapa Ingreso - Llegada]]="","",MARÍTIMOS[[#This Row],[Etapa Ingreso - Llegada]]),"")</f>
        <v/>
      </c>
      <c r="AJ502" s="11" t="str">
        <f>IFERROR(IF(MARÍTIMOS[[#This Row],[Etapa Ingreso - Ingeso]]="","",MARÍTIMOS[[#This Row],[Etapa Ingreso - Ingeso]]),"")</f>
        <v/>
      </c>
      <c r="AK502" s="11" t="str">
        <f>IFERROR(IF(MARÍTIMOS[[#This Row],[Etapa Ingreso - Atención]]="","",MARÍTIMOS[[#This Row],[Etapa Ingreso - Atención]]),"")</f>
        <v/>
      </c>
      <c r="AL502" s="11" t="str">
        <f>IFERROR(IF(MARÍTIMOS[[#This Row],[Etapa Ingreso - Salida]]="","",MARÍTIMOS[[#This Row],[Etapa Ingreso - Salida]]),"")</f>
        <v/>
      </c>
      <c r="AM502" s="2" t="str">
        <f>IFERROR(IF(MARÍTIMOS[[#This Row],[FCL]]="","",MARÍTIMOS[[#This Row],[FCL]]),"")</f>
        <v/>
      </c>
      <c r="AN5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2" s="4" t="str" cm="1">
        <f t="array" ref="AO5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2" s="5" t="str">
        <f>IFERROR(OLDBD[[#This Row],[Llegada a packing]]-OLDBD[[#This Row],[Inicio de Ruta]],"")</f>
        <v/>
      </c>
      <c r="AQ502" s="6" t="str">
        <f>IFERROR(OLDBD[[#This Row],[Inicio de Ruta]]-OLDBD[[#This Row],[Salida de almacén de retiro]],"")</f>
        <v/>
      </c>
      <c r="AR5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2" s="8" t="str" cm="1">
        <f t="array" ref="AS5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2" s="9" t="str">
        <f>IFERROR(OLDBD[[#This Row],[Ingreso Packing]]-OLDBD[[#This Row],[Registro en Packing]],"")</f>
        <v/>
      </c>
      <c r="AV502" s="9" t="str">
        <f>IFERROR(OLDBD[[#This Row],[Ingreso Packing]]-OLDBD[[#This Row],[Llegada a packing]],"")</f>
        <v/>
      </c>
      <c r="AW5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2" s="5" t="str">
        <f>IFERROR(OLDBD[[#This Row],[Llegada Almacén de Ingreso]]-OLDBD[[#This Row],[Salida Packing]],"")</f>
        <v/>
      </c>
      <c r="AY502" s="4" t="str" cm="1">
        <f t="array" ref="AY5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2" s="43" t="s">
        <v>173</v>
      </c>
      <c r="BB502" s="47" t="str">
        <f>IFERROR(IF(MARÍTIMOS[[#This Row],[Estatus]]="","",MARÍTIMOS[[#This Row],[Estatus]]),"")</f>
        <v/>
      </c>
      <c r="BC502" s="43"/>
      <c r="BD502" s="46" t="str">
        <f>IFERROR(OLDBD[[#This Row],[Salida de almacén de retiro]]-OLDBD[[#This Row],[Ingreso Almacén de retiro]],"")</f>
        <v/>
      </c>
      <c r="BE502" s="46" t="str">
        <f>IFERROR(OLDBD[[#This Row],[Fin de Carga]]-OLDBD[[#This Row],[Inicio de Carga]],"")</f>
        <v/>
      </c>
    </row>
    <row r="503" spans="1:57" customFormat="1" hidden="1">
      <c r="A503" s="1"/>
      <c r="B503" s="1" t="str">
        <f>IFERROR(IF(MARÍTIMOS[[#This Row],[PP]]="","",MARÍTIMOS[[#This Row],[PP]]),"")</f>
        <v/>
      </c>
      <c r="C503" s="1" t="str">
        <f>IFERROR(IF(MARÍTIMOS[[#This Row],[Sede]]="","",MARÍTIMOS[[#This Row],[Sede]]),"")</f>
        <v/>
      </c>
      <c r="D503" s="1" t="str">
        <f>IFERROR(IF(MARÍTIMOS[[#This Row],[Instruction]]="","",MARÍTIMOS[[#This Row],[Instruction]]),"")</f>
        <v/>
      </c>
      <c r="E503" s="1"/>
      <c r="F503" s="2" t="str">
        <f>IFERROR(IF(MARÍTIMOS[[#This Row],[Transportista]]="","",MARÍTIMOS[[#This Row],[Transportista]]),"")</f>
        <v/>
      </c>
      <c r="G503" s="2" t="str">
        <f>IFERROR(IF(MARÍTIMOS[[#This Row],[Tercero]]="","",MARÍTIMOS[[#This Row],[Tercero]]),"")</f>
        <v/>
      </c>
      <c r="H503" s="2" t="str">
        <f>IFERROR(IF(MARÍTIMOS[[#This Row],[Razón Social]]="","",MARÍTIMOS[[#This Row],[Razón Social]]),"")</f>
        <v/>
      </c>
      <c r="I503" s="2" t="str">
        <f>IFERROR(IF(MARÍTIMOS[[#This Row],[RUC]]="","",MARÍTIMOS[[#This Row],[RUC]]),"")</f>
        <v/>
      </c>
      <c r="J503" s="2" t="str">
        <f>IFERROR(IF(MARÍTIMOS[[#This Row],[Placa Tracto]]="","",MARÍTIMOS[[#This Row],[Placa Tracto]]),"")</f>
        <v/>
      </c>
      <c r="K503" s="2" t="str">
        <f>IFERROR(IF(MARÍTIMOS[[#This Row],[Placa Carreta]]="","",MARÍTIMOS[[#This Row],[Placa Carreta]]),"")</f>
        <v/>
      </c>
      <c r="L503" s="44" t="str">
        <f>IFERROR(IF(MARÍTIMOS[[#This Row],[Conductor]]="","",MARÍTIMOS[[#This Row],[Conductor]]),"")</f>
        <v/>
      </c>
      <c r="M503" s="2" t="str">
        <f>IFERROR(IF(MARÍTIMOS[[#This Row],[Licencia]]="","",MARÍTIMOS[[#This Row],[Licencia]]),"")</f>
        <v/>
      </c>
      <c r="N503" s="2" t="str">
        <f>IFERROR(IF(MARÍTIMOS[[#This Row],[Número de Contacto]]="","",MARÍTIMOS[[#This Row],[Número de Contacto]]),"")</f>
        <v/>
      </c>
      <c r="O503" s="10" t="str">
        <f>IFERROR(IF(MARÍTIMOS[[#This Row],[Booking|AWB|CRT]]="","",MARÍTIMOS[[#This Row],[Booking|AWB|CRT]]),"")</f>
        <v/>
      </c>
      <c r="P503" s="2" t="str">
        <f>IFERROR(IF(MARÍTIMOS[[#This Row],[Contenedor]]="","",MARÍTIMOS[[#This Row],[Contenedor]]),"")</f>
        <v/>
      </c>
      <c r="Q503" s="2" t="str">
        <f>IFERROR(IF(MARÍTIMOS[[#This Row],[Puerto de Retiro]]="","",MARÍTIMOS[[#This Row],[Puerto de Retiro]]),"")</f>
        <v/>
      </c>
      <c r="R503" s="2" t="str">
        <f>IFERROR(IF(MARÍTIMOS[[#This Row],[Almacén de Retiro]]="","",MARÍTIMOS[[#This Row],[Almacén de Retiro]]),"")</f>
        <v/>
      </c>
      <c r="S503" s="11" t="str">
        <f>IFERROR(IF(MARÍTIMOS[[#This Row],[Etapa Retiro - Cita]]="","",MARÍTIMOS[[#This Row],[Etapa Retiro - Cita]]),"")</f>
        <v/>
      </c>
      <c r="T503" s="11" t="str">
        <f>IFERROR(IF(MARÍTIMOS[[#This Row],[Etapa Retiro - Llegada]]="","",MARÍTIMOS[[#This Row],[Etapa Retiro - Llegada]]),"")</f>
        <v/>
      </c>
      <c r="U503" s="11" t="str">
        <f>IFERROR(IF(MARÍTIMOS[[#This Row],[Etapa Retiro - Ingreso]]="","",MARÍTIMOS[[#This Row],[Etapa Retiro - Ingreso]]),"")</f>
        <v/>
      </c>
      <c r="V503" s="11" t="str">
        <f>IFERROR(IF(MARÍTIMOS[[#This Row],[Etapa Retiro - Atención]]="","",MARÍTIMOS[[#This Row],[Etapa Retiro - Atención]]),"")</f>
        <v/>
      </c>
      <c r="W503" s="11" t="str">
        <f>IFERROR(IF(MARÍTIMOS[[#This Row],[Etapa Retiro - Atención]]="","",MARÍTIMOS[[#This Row],[Etapa Retiro - Atención]]),"")</f>
        <v/>
      </c>
      <c r="X503" s="11" t="str">
        <f>IFERROR(IF(MARÍTIMOS[[#This Row],[Etapa Retiro - Inicio de Ruta]]="","",MARÍTIMOS[[#This Row],[Etapa Retiro - Inicio de Ruta]]),"")</f>
        <v/>
      </c>
      <c r="Y503" s="11" t="str">
        <f>IFERROR(IF(MARÍTIMOS[[#This Row],[Hora de Posicionamiento]]="","",MARÍTIMOS[[#This Row],[Fecha de Carga]]+MARÍTIMOS[[#This Row],[Hora de Posicionamiento]]),"")</f>
        <v/>
      </c>
      <c r="Z503" s="11" t="str">
        <f>IFERROR(IF(MARÍTIMOS[[#This Row],[Etapa Despacho - Llegada]]="","",MARÍTIMOS[[#This Row],[Etapa Despacho - Llegada]]),"")</f>
        <v/>
      </c>
      <c r="AA503" s="11" t="str">
        <f>IFERROR(IF(MARÍTIMOS[[#This Row],[Etapa Despacho - Registro]]="","",MARÍTIMOS[[#This Row],[Etapa Despacho - Registro]]),"")</f>
        <v/>
      </c>
      <c r="AB503" s="11" t="str">
        <f>IFERROR(IF(MARÍTIMOS[[#This Row],[Inspección Externa]]="","",MARÍTIMOS[[#This Row],[Inspección Externa]]),"")</f>
        <v/>
      </c>
      <c r="AC503" s="11" t="str">
        <f>IFERROR(IF(MARÍTIMOS[[#This Row],[Etapa Despacho - Inicio de Carga]]="","",MARÍTIMOS[[#This Row],[Etapa Despacho - Inicio de Carga]]),"")</f>
        <v/>
      </c>
      <c r="AD503" s="11" t="str">
        <f>IFERROR(IF(MARÍTIMOS[[#This Row],[Etapa Despacho - Mitad de Carga]]="","",MARÍTIMOS[[#This Row],[Etapa Despacho - Mitad de Carga]]),"")</f>
        <v/>
      </c>
      <c r="AE503" s="11" t="str">
        <f>IFERROR(IF(MARÍTIMOS[[#This Row],[Etapa Despacho - Fin de Carga]]="","",MARÍTIMOS[[#This Row],[Etapa Despacho - Fin de Carga]]),"")</f>
        <v/>
      </c>
      <c r="AF503" s="2" t="str">
        <f>IFERROR(IF(MARÍTIMOS[[#This Row],[Puerto de Embarque]]="","",MARÍTIMOS[[#This Row],[Puerto de Embarque]]),"")</f>
        <v/>
      </c>
      <c r="AG503" s="2" t="str">
        <f>IFERROR(IF(MARÍTIMOS[[#This Row],[Almacén de Ingreso]]="","",MARÍTIMOS[[#This Row],[Almacén de Ingreso]]),"")</f>
        <v/>
      </c>
      <c r="AH503" s="11" t="str">
        <f>IFERROR(IF(MARÍTIMOS[[#This Row],[Etapa Ingreso - Cita]]="","",MARÍTIMOS[[#This Row],[Etapa Ingreso - Cita]]),"")</f>
        <v/>
      </c>
      <c r="AI503" s="11" t="str">
        <f>IFERROR(IF(MARÍTIMOS[[#This Row],[Etapa Ingreso - Llegada]]="","",MARÍTIMOS[[#This Row],[Etapa Ingreso - Llegada]]),"")</f>
        <v/>
      </c>
      <c r="AJ503" s="11" t="str">
        <f>IFERROR(IF(MARÍTIMOS[[#This Row],[Etapa Ingreso - Ingeso]]="","",MARÍTIMOS[[#This Row],[Etapa Ingreso - Ingeso]]),"")</f>
        <v/>
      </c>
      <c r="AK503" s="11" t="str">
        <f>IFERROR(IF(MARÍTIMOS[[#This Row],[Etapa Ingreso - Atención]]="","",MARÍTIMOS[[#This Row],[Etapa Ingreso - Atención]]),"")</f>
        <v/>
      </c>
      <c r="AL503" s="11" t="str">
        <f>IFERROR(IF(MARÍTIMOS[[#This Row],[Etapa Ingreso - Salida]]="","",MARÍTIMOS[[#This Row],[Etapa Ingreso - Salida]]),"")</f>
        <v/>
      </c>
      <c r="AM503" s="2" t="str">
        <f>IFERROR(IF(MARÍTIMOS[[#This Row],[FCL]]="","",MARÍTIMOS[[#This Row],[FCL]]),"")</f>
        <v/>
      </c>
      <c r="AN5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3" s="4" t="str" cm="1">
        <f t="array" ref="AO5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3" s="5" t="str">
        <f>IFERROR(OLDBD[[#This Row],[Llegada a packing]]-OLDBD[[#This Row],[Inicio de Ruta]],"")</f>
        <v/>
      </c>
      <c r="AQ503" s="6" t="str">
        <f>IFERROR(OLDBD[[#This Row],[Inicio de Ruta]]-OLDBD[[#This Row],[Salida de almacén de retiro]],"")</f>
        <v/>
      </c>
      <c r="AR5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3" s="8" t="str" cm="1">
        <f t="array" ref="AS5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3" s="9" t="str">
        <f>IFERROR(OLDBD[[#This Row],[Ingreso Packing]]-OLDBD[[#This Row],[Registro en Packing]],"")</f>
        <v/>
      </c>
      <c r="AV503" s="9" t="str">
        <f>IFERROR(OLDBD[[#This Row],[Ingreso Packing]]-OLDBD[[#This Row],[Llegada a packing]],"")</f>
        <v/>
      </c>
      <c r="AW5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3" s="5" t="str">
        <f>IFERROR(OLDBD[[#This Row],[Llegada Almacén de Ingreso]]-OLDBD[[#This Row],[Salida Packing]],"")</f>
        <v/>
      </c>
      <c r="AY503" s="4" t="str" cm="1">
        <f t="array" ref="AY5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3" s="43" t="s">
        <v>173</v>
      </c>
      <c r="BB503" s="47" t="str">
        <f>IFERROR(IF(MARÍTIMOS[[#This Row],[Estatus]]="","",MARÍTIMOS[[#This Row],[Estatus]]),"")</f>
        <v/>
      </c>
      <c r="BC503" s="43"/>
      <c r="BD503" s="46" t="str">
        <f>IFERROR(OLDBD[[#This Row],[Salida de almacén de retiro]]-OLDBD[[#This Row],[Ingreso Almacén de retiro]],"")</f>
        <v/>
      </c>
      <c r="BE503" s="46" t="str">
        <f>IFERROR(OLDBD[[#This Row],[Fin de Carga]]-OLDBD[[#This Row],[Inicio de Carga]],"")</f>
        <v/>
      </c>
    </row>
    <row r="504" spans="1:57" customFormat="1" hidden="1">
      <c r="A504" s="1"/>
      <c r="B504" s="1" t="str">
        <f>IFERROR(IF(MARÍTIMOS[[#This Row],[PP]]="","",MARÍTIMOS[[#This Row],[PP]]),"")</f>
        <v/>
      </c>
      <c r="C504" s="1" t="str">
        <f>IFERROR(IF(MARÍTIMOS[[#This Row],[Sede]]="","",MARÍTIMOS[[#This Row],[Sede]]),"")</f>
        <v/>
      </c>
      <c r="D504" s="1" t="str">
        <f>IFERROR(IF(MARÍTIMOS[[#This Row],[Instruction]]="","",MARÍTIMOS[[#This Row],[Instruction]]),"")</f>
        <v/>
      </c>
      <c r="E504" s="1"/>
      <c r="F504" s="2" t="str">
        <f>IFERROR(IF(MARÍTIMOS[[#This Row],[Transportista]]="","",MARÍTIMOS[[#This Row],[Transportista]]),"")</f>
        <v/>
      </c>
      <c r="G504" s="2" t="str">
        <f>IFERROR(IF(MARÍTIMOS[[#This Row],[Tercero]]="","",MARÍTIMOS[[#This Row],[Tercero]]),"")</f>
        <v/>
      </c>
      <c r="H504" s="2" t="str">
        <f>IFERROR(IF(MARÍTIMOS[[#This Row],[Razón Social]]="","",MARÍTIMOS[[#This Row],[Razón Social]]),"")</f>
        <v/>
      </c>
      <c r="I504" s="2" t="str">
        <f>IFERROR(IF(MARÍTIMOS[[#This Row],[RUC]]="","",MARÍTIMOS[[#This Row],[RUC]]),"")</f>
        <v/>
      </c>
      <c r="J504" s="2" t="str">
        <f>IFERROR(IF(MARÍTIMOS[[#This Row],[Placa Tracto]]="","",MARÍTIMOS[[#This Row],[Placa Tracto]]),"")</f>
        <v/>
      </c>
      <c r="K504" s="2" t="str">
        <f>IFERROR(IF(MARÍTIMOS[[#This Row],[Placa Carreta]]="","",MARÍTIMOS[[#This Row],[Placa Carreta]]),"")</f>
        <v/>
      </c>
      <c r="L504" s="44" t="str">
        <f>IFERROR(IF(MARÍTIMOS[[#This Row],[Conductor]]="","",MARÍTIMOS[[#This Row],[Conductor]]),"")</f>
        <v/>
      </c>
      <c r="M504" s="2" t="str">
        <f>IFERROR(IF(MARÍTIMOS[[#This Row],[Licencia]]="","",MARÍTIMOS[[#This Row],[Licencia]]),"")</f>
        <v/>
      </c>
      <c r="N504" s="2" t="str">
        <f>IFERROR(IF(MARÍTIMOS[[#This Row],[Número de Contacto]]="","",MARÍTIMOS[[#This Row],[Número de Contacto]]),"")</f>
        <v/>
      </c>
      <c r="O504" s="10" t="str">
        <f>IFERROR(IF(MARÍTIMOS[[#This Row],[Booking|AWB|CRT]]="","",MARÍTIMOS[[#This Row],[Booking|AWB|CRT]]),"")</f>
        <v/>
      </c>
      <c r="P504" s="2" t="str">
        <f>IFERROR(IF(MARÍTIMOS[[#This Row],[Contenedor]]="","",MARÍTIMOS[[#This Row],[Contenedor]]),"")</f>
        <v/>
      </c>
      <c r="Q504" s="2" t="str">
        <f>IFERROR(IF(MARÍTIMOS[[#This Row],[Puerto de Retiro]]="","",MARÍTIMOS[[#This Row],[Puerto de Retiro]]),"")</f>
        <v/>
      </c>
      <c r="R504" s="2" t="str">
        <f>IFERROR(IF(MARÍTIMOS[[#This Row],[Almacén de Retiro]]="","",MARÍTIMOS[[#This Row],[Almacén de Retiro]]),"")</f>
        <v/>
      </c>
      <c r="S504" s="11" t="str">
        <f>IFERROR(IF(MARÍTIMOS[[#This Row],[Etapa Retiro - Cita]]="","",MARÍTIMOS[[#This Row],[Etapa Retiro - Cita]]),"")</f>
        <v/>
      </c>
      <c r="T504" s="11" t="str">
        <f>IFERROR(IF(MARÍTIMOS[[#This Row],[Etapa Retiro - Llegada]]="","",MARÍTIMOS[[#This Row],[Etapa Retiro - Llegada]]),"")</f>
        <v/>
      </c>
      <c r="U504" s="11" t="str">
        <f>IFERROR(IF(MARÍTIMOS[[#This Row],[Etapa Retiro - Ingreso]]="","",MARÍTIMOS[[#This Row],[Etapa Retiro - Ingreso]]),"")</f>
        <v/>
      </c>
      <c r="V504" s="11" t="str">
        <f>IFERROR(IF(MARÍTIMOS[[#This Row],[Etapa Retiro - Atención]]="","",MARÍTIMOS[[#This Row],[Etapa Retiro - Atención]]),"")</f>
        <v/>
      </c>
      <c r="W504" s="11" t="str">
        <f>IFERROR(IF(MARÍTIMOS[[#This Row],[Etapa Retiro - Atención]]="","",MARÍTIMOS[[#This Row],[Etapa Retiro - Atención]]),"")</f>
        <v/>
      </c>
      <c r="X504" s="11" t="str">
        <f>IFERROR(IF(MARÍTIMOS[[#This Row],[Etapa Retiro - Inicio de Ruta]]="","",MARÍTIMOS[[#This Row],[Etapa Retiro - Inicio de Ruta]]),"")</f>
        <v/>
      </c>
      <c r="Y504" s="11" t="str">
        <f>IFERROR(IF(MARÍTIMOS[[#This Row],[Hora de Posicionamiento]]="","",MARÍTIMOS[[#This Row],[Fecha de Carga]]+MARÍTIMOS[[#This Row],[Hora de Posicionamiento]]),"")</f>
        <v/>
      </c>
      <c r="Z504" s="11" t="str">
        <f>IFERROR(IF(MARÍTIMOS[[#This Row],[Etapa Despacho - Llegada]]="","",MARÍTIMOS[[#This Row],[Etapa Despacho - Llegada]]),"")</f>
        <v/>
      </c>
      <c r="AA504" s="11" t="str">
        <f>IFERROR(IF(MARÍTIMOS[[#This Row],[Etapa Despacho - Registro]]="","",MARÍTIMOS[[#This Row],[Etapa Despacho - Registro]]),"")</f>
        <v/>
      </c>
      <c r="AB504" s="11" t="str">
        <f>IFERROR(IF(MARÍTIMOS[[#This Row],[Inspección Externa]]="","",MARÍTIMOS[[#This Row],[Inspección Externa]]),"")</f>
        <v/>
      </c>
      <c r="AC504" s="11" t="str">
        <f>IFERROR(IF(MARÍTIMOS[[#This Row],[Etapa Despacho - Inicio de Carga]]="","",MARÍTIMOS[[#This Row],[Etapa Despacho - Inicio de Carga]]),"")</f>
        <v/>
      </c>
      <c r="AD504" s="11" t="str">
        <f>IFERROR(IF(MARÍTIMOS[[#This Row],[Etapa Despacho - Mitad de Carga]]="","",MARÍTIMOS[[#This Row],[Etapa Despacho - Mitad de Carga]]),"")</f>
        <v/>
      </c>
      <c r="AE504" s="11" t="str">
        <f>IFERROR(IF(MARÍTIMOS[[#This Row],[Etapa Despacho - Fin de Carga]]="","",MARÍTIMOS[[#This Row],[Etapa Despacho - Fin de Carga]]),"")</f>
        <v/>
      </c>
      <c r="AF504" s="2" t="str">
        <f>IFERROR(IF(MARÍTIMOS[[#This Row],[Puerto de Embarque]]="","",MARÍTIMOS[[#This Row],[Puerto de Embarque]]),"")</f>
        <v/>
      </c>
      <c r="AG504" s="2" t="str">
        <f>IFERROR(IF(MARÍTIMOS[[#This Row],[Almacén de Ingreso]]="","",MARÍTIMOS[[#This Row],[Almacén de Ingreso]]),"")</f>
        <v/>
      </c>
      <c r="AH504" s="11" t="str">
        <f>IFERROR(IF(MARÍTIMOS[[#This Row],[Etapa Ingreso - Cita]]="","",MARÍTIMOS[[#This Row],[Etapa Ingreso - Cita]]),"")</f>
        <v/>
      </c>
      <c r="AI504" s="11" t="str">
        <f>IFERROR(IF(MARÍTIMOS[[#This Row],[Etapa Ingreso - Llegada]]="","",MARÍTIMOS[[#This Row],[Etapa Ingreso - Llegada]]),"")</f>
        <v/>
      </c>
      <c r="AJ504" s="11" t="str">
        <f>IFERROR(IF(MARÍTIMOS[[#This Row],[Etapa Ingreso - Ingeso]]="","",MARÍTIMOS[[#This Row],[Etapa Ingreso - Ingeso]]),"")</f>
        <v/>
      </c>
      <c r="AK504" s="11" t="str">
        <f>IFERROR(IF(MARÍTIMOS[[#This Row],[Etapa Ingreso - Atención]]="","",MARÍTIMOS[[#This Row],[Etapa Ingreso - Atención]]),"")</f>
        <v/>
      </c>
      <c r="AL504" s="11" t="str">
        <f>IFERROR(IF(MARÍTIMOS[[#This Row],[Etapa Ingreso - Salida]]="","",MARÍTIMOS[[#This Row],[Etapa Ingreso - Salida]]),"")</f>
        <v/>
      </c>
      <c r="AM504" s="2" t="str">
        <f>IFERROR(IF(MARÍTIMOS[[#This Row],[FCL]]="","",MARÍTIMOS[[#This Row],[FCL]]),"")</f>
        <v/>
      </c>
      <c r="AN5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4" s="4" t="str" cm="1">
        <f t="array" ref="AO5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4" s="5" t="str">
        <f>IFERROR(OLDBD[[#This Row],[Llegada a packing]]-OLDBD[[#This Row],[Inicio de Ruta]],"")</f>
        <v/>
      </c>
      <c r="AQ504" s="6" t="str">
        <f>IFERROR(OLDBD[[#This Row],[Inicio de Ruta]]-OLDBD[[#This Row],[Salida de almacén de retiro]],"")</f>
        <v/>
      </c>
      <c r="AR5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4" s="8" t="str" cm="1">
        <f t="array" ref="AS5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4" s="9" t="str">
        <f>IFERROR(OLDBD[[#This Row],[Ingreso Packing]]-OLDBD[[#This Row],[Registro en Packing]],"")</f>
        <v/>
      </c>
      <c r="AV504" s="9" t="str">
        <f>IFERROR(OLDBD[[#This Row],[Ingreso Packing]]-OLDBD[[#This Row],[Llegada a packing]],"")</f>
        <v/>
      </c>
      <c r="AW5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4" s="5" t="str">
        <f>IFERROR(OLDBD[[#This Row],[Llegada Almacén de Ingreso]]-OLDBD[[#This Row],[Salida Packing]],"")</f>
        <v/>
      </c>
      <c r="AY504" s="4" t="str" cm="1">
        <f t="array" ref="AY5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4" s="43" t="s">
        <v>173</v>
      </c>
      <c r="BB504" s="47" t="str">
        <f>IFERROR(IF(MARÍTIMOS[[#This Row],[Estatus]]="","",MARÍTIMOS[[#This Row],[Estatus]]),"")</f>
        <v/>
      </c>
      <c r="BC504" s="43"/>
      <c r="BD504" s="46" t="str">
        <f>IFERROR(OLDBD[[#This Row],[Salida de almacén de retiro]]-OLDBD[[#This Row],[Ingreso Almacén de retiro]],"")</f>
        <v/>
      </c>
      <c r="BE504" s="46" t="str">
        <f>IFERROR(OLDBD[[#This Row],[Fin de Carga]]-OLDBD[[#This Row],[Inicio de Carga]],"")</f>
        <v/>
      </c>
    </row>
    <row r="505" spans="1:57" customFormat="1" hidden="1">
      <c r="A505" s="1"/>
      <c r="B505" s="1" t="str">
        <f>IFERROR(IF(MARÍTIMOS[[#This Row],[PP]]="","",MARÍTIMOS[[#This Row],[PP]]),"")</f>
        <v/>
      </c>
      <c r="C505" s="1" t="str">
        <f>IFERROR(IF(MARÍTIMOS[[#This Row],[Sede]]="","",MARÍTIMOS[[#This Row],[Sede]]),"")</f>
        <v/>
      </c>
      <c r="D505" s="1" t="str">
        <f>IFERROR(IF(MARÍTIMOS[[#This Row],[Instruction]]="","",MARÍTIMOS[[#This Row],[Instruction]]),"")</f>
        <v/>
      </c>
      <c r="E505" s="1"/>
      <c r="F505" s="2" t="str">
        <f>IFERROR(IF(MARÍTIMOS[[#This Row],[Transportista]]="","",MARÍTIMOS[[#This Row],[Transportista]]),"")</f>
        <v/>
      </c>
      <c r="G505" s="2" t="str">
        <f>IFERROR(IF(MARÍTIMOS[[#This Row],[Tercero]]="","",MARÍTIMOS[[#This Row],[Tercero]]),"")</f>
        <v/>
      </c>
      <c r="H505" s="2" t="str">
        <f>IFERROR(IF(MARÍTIMOS[[#This Row],[Razón Social]]="","",MARÍTIMOS[[#This Row],[Razón Social]]),"")</f>
        <v/>
      </c>
      <c r="I505" s="2" t="str">
        <f>IFERROR(IF(MARÍTIMOS[[#This Row],[RUC]]="","",MARÍTIMOS[[#This Row],[RUC]]),"")</f>
        <v/>
      </c>
      <c r="J505" s="2" t="str">
        <f>IFERROR(IF(MARÍTIMOS[[#This Row],[Placa Tracto]]="","",MARÍTIMOS[[#This Row],[Placa Tracto]]),"")</f>
        <v/>
      </c>
      <c r="K505" s="2" t="str">
        <f>IFERROR(IF(MARÍTIMOS[[#This Row],[Placa Carreta]]="","",MARÍTIMOS[[#This Row],[Placa Carreta]]),"")</f>
        <v/>
      </c>
      <c r="L505" s="44" t="str">
        <f>IFERROR(IF(MARÍTIMOS[[#This Row],[Conductor]]="","",MARÍTIMOS[[#This Row],[Conductor]]),"")</f>
        <v/>
      </c>
      <c r="M505" s="2" t="str">
        <f>IFERROR(IF(MARÍTIMOS[[#This Row],[Licencia]]="","",MARÍTIMOS[[#This Row],[Licencia]]),"")</f>
        <v/>
      </c>
      <c r="N505" s="2" t="str">
        <f>IFERROR(IF(MARÍTIMOS[[#This Row],[Número de Contacto]]="","",MARÍTIMOS[[#This Row],[Número de Contacto]]),"")</f>
        <v/>
      </c>
      <c r="O505" s="10" t="str">
        <f>IFERROR(IF(MARÍTIMOS[[#This Row],[Booking|AWB|CRT]]="","",MARÍTIMOS[[#This Row],[Booking|AWB|CRT]]),"")</f>
        <v/>
      </c>
      <c r="P505" s="2" t="str">
        <f>IFERROR(IF(MARÍTIMOS[[#This Row],[Contenedor]]="","",MARÍTIMOS[[#This Row],[Contenedor]]),"")</f>
        <v/>
      </c>
      <c r="Q505" s="2" t="str">
        <f>IFERROR(IF(MARÍTIMOS[[#This Row],[Puerto de Retiro]]="","",MARÍTIMOS[[#This Row],[Puerto de Retiro]]),"")</f>
        <v/>
      </c>
      <c r="R505" s="2" t="str">
        <f>IFERROR(IF(MARÍTIMOS[[#This Row],[Almacén de Retiro]]="","",MARÍTIMOS[[#This Row],[Almacén de Retiro]]),"")</f>
        <v/>
      </c>
      <c r="S505" s="11" t="str">
        <f>IFERROR(IF(MARÍTIMOS[[#This Row],[Etapa Retiro - Cita]]="","",MARÍTIMOS[[#This Row],[Etapa Retiro - Cita]]),"")</f>
        <v/>
      </c>
      <c r="T505" s="11" t="str">
        <f>IFERROR(IF(MARÍTIMOS[[#This Row],[Etapa Retiro - Llegada]]="","",MARÍTIMOS[[#This Row],[Etapa Retiro - Llegada]]),"")</f>
        <v/>
      </c>
      <c r="U505" s="11" t="str">
        <f>IFERROR(IF(MARÍTIMOS[[#This Row],[Etapa Retiro - Ingreso]]="","",MARÍTIMOS[[#This Row],[Etapa Retiro - Ingreso]]),"")</f>
        <v/>
      </c>
      <c r="V505" s="11" t="str">
        <f>IFERROR(IF(MARÍTIMOS[[#This Row],[Etapa Retiro - Atención]]="","",MARÍTIMOS[[#This Row],[Etapa Retiro - Atención]]),"")</f>
        <v/>
      </c>
      <c r="W505" s="11" t="str">
        <f>IFERROR(IF(MARÍTIMOS[[#This Row],[Etapa Retiro - Atención]]="","",MARÍTIMOS[[#This Row],[Etapa Retiro - Atención]]),"")</f>
        <v/>
      </c>
      <c r="X505" s="11" t="str">
        <f>IFERROR(IF(MARÍTIMOS[[#This Row],[Etapa Retiro - Inicio de Ruta]]="","",MARÍTIMOS[[#This Row],[Etapa Retiro - Inicio de Ruta]]),"")</f>
        <v/>
      </c>
      <c r="Y505" s="11" t="str">
        <f>IFERROR(IF(MARÍTIMOS[[#This Row],[Hora de Posicionamiento]]="","",MARÍTIMOS[[#This Row],[Fecha de Carga]]+MARÍTIMOS[[#This Row],[Hora de Posicionamiento]]),"")</f>
        <v/>
      </c>
      <c r="Z505" s="11" t="str">
        <f>IFERROR(IF(MARÍTIMOS[[#This Row],[Etapa Despacho - Llegada]]="","",MARÍTIMOS[[#This Row],[Etapa Despacho - Llegada]]),"")</f>
        <v/>
      </c>
      <c r="AA505" s="11" t="str">
        <f>IFERROR(IF(MARÍTIMOS[[#This Row],[Etapa Despacho - Registro]]="","",MARÍTIMOS[[#This Row],[Etapa Despacho - Registro]]),"")</f>
        <v/>
      </c>
      <c r="AB505" s="11" t="str">
        <f>IFERROR(IF(MARÍTIMOS[[#This Row],[Inspección Externa]]="","",MARÍTIMOS[[#This Row],[Inspección Externa]]),"")</f>
        <v/>
      </c>
      <c r="AC505" s="11" t="str">
        <f>IFERROR(IF(MARÍTIMOS[[#This Row],[Etapa Despacho - Inicio de Carga]]="","",MARÍTIMOS[[#This Row],[Etapa Despacho - Inicio de Carga]]),"")</f>
        <v/>
      </c>
      <c r="AD505" s="11" t="str">
        <f>IFERROR(IF(MARÍTIMOS[[#This Row],[Etapa Despacho - Mitad de Carga]]="","",MARÍTIMOS[[#This Row],[Etapa Despacho - Mitad de Carga]]),"")</f>
        <v/>
      </c>
      <c r="AE505" s="11" t="str">
        <f>IFERROR(IF(MARÍTIMOS[[#This Row],[Etapa Despacho - Fin de Carga]]="","",MARÍTIMOS[[#This Row],[Etapa Despacho - Fin de Carga]]),"")</f>
        <v/>
      </c>
      <c r="AF505" s="2" t="str">
        <f>IFERROR(IF(MARÍTIMOS[[#This Row],[Puerto de Embarque]]="","",MARÍTIMOS[[#This Row],[Puerto de Embarque]]),"")</f>
        <v/>
      </c>
      <c r="AG505" s="2" t="str">
        <f>IFERROR(IF(MARÍTIMOS[[#This Row],[Almacén de Ingreso]]="","",MARÍTIMOS[[#This Row],[Almacén de Ingreso]]),"")</f>
        <v/>
      </c>
      <c r="AH505" s="11" t="str">
        <f>IFERROR(IF(MARÍTIMOS[[#This Row],[Etapa Ingreso - Cita]]="","",MARÍTIMOS[[#This Row],[Etapa Ingreso - Cita]]),"")</f>
        <v/>
      </c>
      <c r="AI505" s="11" t="str">
        <f>IFERROR(IF(MARÍTIMOS[[#This Row],[Etapa Ingreso - Llegada]]="","",MARÍTIMOS[[#This Row],[Etapa Ingreso - Llegada]]),"")</f>
        <v/>
      </c>
      <c r="AJ505" s="11" t="str">
        <f>IFERROR(IF(MARÍTIMOS[[#This Row],[Etapa Ingreso - Ingeso]]="","",MARÍTIMOS[[#This Row],[Etapa Ingreso - Ingeso]]),"")</f>
        <v/>
      </c>
      <c r="AK505" s="11" t="str">
        <f>IFERROR(IF(MARÍTIMOS[[#This Row],[Etapa Ingreso - Atención]]="","",MARÍTIMOS[[#This Row],[Etapa Ingreso - Atención]]),"")</f>
        <v/>
      </c>
      <c r="AL505" s="11" t="str">
        <f>IFERROR(IF(MARÍTIMOS[[#This Row],[Etapa Ingreso - Salida]]="","",MARÍTIMOS[[#This Row],[Etapa Ingreso - Salida]]),"")</f>
        <v/>
      </c>
      <c r="AM505" s="2" t="str">
        <f>IFERROR(IF(MARÍTIMOS[[#This Row],[FCL]]="","",MARÍTIMOS[[#This Row],[FCL]]),"")</f>
        <v/>
      </c>
      <c r="AN5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5" s="4" t="str" cm="1">
        <f t="array" ref="AO5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5" s="5" t="str">
        <f>IFERROR(OLDBD[[#This Row],[Llegada a packing]]-OLDBD[[#This Row],[Inicio de Ruta]],"")</f>
        <v/>
      </c>
      <c r="AQ505" s="6" t="str">
        <f>IFERROR(OLDBD[[#This Row],[Inicio de Ruta]]-OLDBD[[#This Row],[Salida de almacén de retiro]],"")</f>
        <v/>
      </c>
      <c r="AR5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5" s="8" t="str" cm="1">
        <f t="array" ref="AS5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5" s="9" t="str">
        <f>IFERROR(OLDBD[[#This Row],[Ingreso Packing]]-OLDBD[[#This Row],[Registro en Packing]],"")</f>
        <v/>
      </c>
      <c r="AV505" s="9" t="str">
        <f>IFERROR(OLDBD[[#This Row],[Ingreso Packing]]-OLDBD[[#This Row],[Llegada a packing]],"")</f>
        <v/>
      </c>
      <c r="AW5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5" s="5" t="str">
        <f>IFERROR(OLDBD[[#This Row],[Llegada Almacén de Ingreso]]-OLDBD[[#This Row],[Salida Packing]],"")</f>
        <v/>
      </c>
      <c r="AY505" s="4" t="str" cm="1">
        <f t="array" ref="AY5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5" s="43" t="s">
        <v>173</v>
      </c>
      <c r="BB505" s="47" t="str">
        <f>IFERROR(IF(MARÍTIMOS[[#This Row],[Estatus]]="","",MARÍTIMOS[[#This Row],[Estatus]]),"")</f>
        <v/>
      </c>
      <c r="BC505" s="43"/>
      <c r="BD505" s="46" t="str">
        <f>IFERROR(OLDBD[[#This Row],[Salida de almacén de retiro]]-OLDBD[[#This Row],[Ingreso Almacén de retiro]],"")</f>
        <v/>
      </c>
      <c r="BE505" s="46" t="str">
        <f>IFERROR(OLDBD[[#This Row],[Fin de Carga]]-OLDBD[[#This Row],[Inicio de Carga]],"")</f>
        <v/>
      </c>
    </row>
    <row r="506" spans="1:57" customFormat="1" hidden="1">
      <c r="A506" s="1"/>
      <c r="B506" s="1" t="str">
        <f>IFERROR(IF(MARÍTIMOS[[#This Row],[PP]]="","",MARÍTIMOS[[#This Row],[PP]]),"")</f>
        <v/>
      </c>
      <c r="C506" s="1" t="str">
        <f>IFERROR(IF(MARÍTIMOS[[#This Row],[Sede]]="","",MARÍTIMOS[[#This Row],[Sede]]),"")</f>
        <v/>
      </c>
      <c r="D506" s="1" t="str">
        <f>IFERROR(IF(MARÍTIMOS[[#This Row],[Instruction]]="","",MARÍTIMOS[[#This Row],[Instruction]]),"")</f>
        <v/>
      </c>
      <c r="E506" s="1"/>
      <c r="F506" s="2" t="str">
        <f>IFERROR(IF(MARÍTIMOS[[#This Row],[Transportista]]="","",MARÍTIMOS[[#This Row],[Transportista]]),"")</f>
        <v/>
      </c>
      <c r="G506" s="2" t="str">
        <f>IFERROR(IF(MARÍTIMOS[[#This Row],[Tercero]]="","",MARÍTIMOS[[#This Row],[Tercero]]),"")</f>
        <v/>
      </c>
      <c r="H506" s="2" t="str">
        <f>IFERROR(IF(MARÍTIMOS[[#This Row],[Razón Social]]="","",MARÍTIMOS[[#This Row],[Razón Social]]),"")</f>
        <v/>
      </c>
      <c r="I506" s="2" t="str">
        <f>IFERROR(IF(MARÍTIMOS[[#This Row],[RUC]]="","",MARÍTIMOS[[#This Row],[RUC]]),"")</f>
        <v/>
      </c>
      <c r="J506" s="2" t="str">
        <f>IFERROR(IF(MARÍTIMOS[[#This Row],[Placa Tracto]]="","",MARÍTIMOS[[#This Row],[Placa Tracto]]),"")</f>
        <v/>
      </c>
      <c r="K506" s="2" t="str">
        <f>IFERROR(IF(MARÍTIMOS[[#This Row],[Placa Carreta]]="","",MARÍTIMOS[[#This Row],[Placa Carreta]]),"")</f>
        <v/>
      </c>
      <c r="L506" s="44" t="str">
        <f>IFERROR(IF(MARÍTIMOS[[#This Row],[Conductor]]="","",MARÍTIMOS[[#This Row],[Conductor]]),"")</f>
        <v/>
      </c>
      <c r="M506" s="2" t="str">
        <f>IFERROR(IF(MARÍTIMOS[[#This Row],[Licencia]]="","",MARÍTIMOS[[#This Row],[Licencia]]),"")</f>
        <v/>
      </c>
      <c r="N506" s="2" t="str">
        <f>IFERROR(IF(MARÍTIMOS[[#This Row],[Número de Contacto]]="","",MARÍTIMOS[[#This Row],[Número de Contacto]]),"")</f>
        <v/>
      </c>
      <c r="O506" s="10" t="str">
        <f>IFERROR(IF(MARÍTIMOS[[#This Row],[Booking|AWB|CRT]]="","",MARÍTIMOS[[#This Row],[Booking|AWB|CRT]]),"")</f>
        <v/>
      </c>
      <c r="P506" s="2" t="str">
        <f>IFERROR(IF(MARÍTIMOS[[#This Row],[Contenedor]]="","",MARÍTIMOS[[#This Row],[Contenedor]]),"")</f>
        <v/>
      </c>
      <c r="Q506" s="2" t="str">
        <f>IFERROR(IF(MARÍTIMOS[[#This Row],[Puerto de Retiro]]="","",MARÍTIMOS[[#This Row],[Puerto de Retiro]]),"")</f>
        <v/>
      </c>
      <c r="R506" s="2" t="str">
        <f>IFERROR(IF(MARÍTIMOS[[#This Row],[Almacén de Retiro]]="","",MARÍTIMOS[[#This Row],[Almacén de Retiro]]),"")</f>
        <v/>
      </c>
      <c r="S506" s="11" t="str">
        <f>IFERROR(IF(MARÍTIMOS[[#This Row],[Etapa Retiro - Cita]]="","",MARÍTIMOS[[#This Row],[Etapa Retiro - Cita]]),"")</f>
        <v/>
      </c>
      <c r="T506" s="11" t="str">
        <f>IFERROR(IF(MARÍTIMOS[[#This Row],[Etapa Retiro - Llegada]]="","",MARÍTIMOS[[#This Row],[Etapa Retiro - Llegada]]),"")</f>
        <v/>
      </c>
      <c r="U506" s="11" t="str">
        <f>IFERROR(IF(MARÍTIMOS[[#This Row],[Etapa Retiro - Ingreso]]="","",MARÍTIMOS[[#This Row],[Etapa Retiro - Ingreso]]),"")</f>
        <v/>
      </c>
      <c r="V506" s="11" t="str">
        <f>IFERROR(IF(MARÍTIMOS[[#This Row],[Etapa Retiro - Atención]]="","",MARÍTIMOS[[#This Row],[Etapa Retiro - Atención]]),"")</f>
        <v/>
      </c>
      <c r="W506" s="11" t="str">
        <f>IFERROR(IF(MARÍTIMOS[[#This Row],[Etapa Retiro - Atención]]="","",MARÍTIMOS[[#This Row],[Etapa Retiro - Atención]]),"")</f>
        <v/>
      </c>
      <c r="X506" s="11" t="str">
        <f>IFERROR(IF(MARÍTIMOS[[#This Row],[Etapa Retiro - Inicio de Ruta]]="","",MARÍTIMOS[[#This Row],[Etapa Retiro - Inicio de Ruta]]),"")</f>
        <v/>
      </c>
      <c r="Y506" s="11" t="str">
        <f>IFERROR(IF(MARÍTIMOS[[#This Row],[Hora de Posicionamiento]]="","",MARÍTIMOS[[#This Row],[Fecha de Carga]]+MARÍTIMOS[[#This Row],[Hora de Posicionamiento]]),"")</f>
        <v/>
      </c>
      <c r="Z506" s="11" t="str">
        <f>IFERROR(IF(MARÍTIMOS[[#This Row],[Etapa Despacho - Llegada]]="","",MARÍTIMOS[[#This Row],[Etapa Despacho - Llegada]]),"")</f>
        <v/>
      </c>
      <c r="AA506" s="11" t="str">
        <f>IFERROR(IF(MARÍTIMOS[[#This Row],[Etapa Despacho - Registro]]="","",MARÍTIMOS[[#This Row],[Etapa Despacho - Registro]]),"")</f>
        <v/>
      </c>
      <c r="AB506" s="11" t="str">
        <f>IFERROR(IF(MARÍTIMOS[[#This Row],[Inspección Externa]]="","",MARÍTIMOS[[#This Row],[Inspección Externa]]),"")</f>
        <v/>
      </c>
      <c r="AC506" s="11" t="str">
        <f>IFERROR(IF(MARÍTIMOS[[#This Row],[Etapa Despacho - Inicio de Carga]]="","",MARÍTIMOS[[#This Row],[Etapa Despacho - Inicio de Carga]]),"")</f>
        <v/>
      </c>
      <c r="AD506" s="11" t="str">
        <f>IFERROR(IF(MARÍTIMOS[[#This Row],[Etapa Despacho - Mitad de Carga]]="","",MARÍTIMOS[[#This Row],[Etapa Despacho - Mitad de Carga]]),"")</f>
        <v/>
      </c>
      <c r="AE506" s="11" t="str">
        <f>IFERROR(IF(MARÍTIMOS[[#This Row],[Etapa Despacho - Fin de Carga]]="","",MARÍTIMOS[[#This Row],[Etapa Despacho - Fin de Carga]]),"")</f>
        <v/>
      </c>
      <c r="AF506" s="2" t="str">
        <f>IFERROR(IF(MARÍTIMOS[[#This Row],[Puerto de Embarque]]="","",MARÍTIMOS[[#This Row],[Puerto de Embarque]]),"")</f>
        <v/>
      </c>
      <c r="AG506" s="2" t="str">
        <f>IFERROR(IF(MARÍTIMOS[[#This Row],[Almacén de Ingreso]]="","",MARÍTIMOS[[#This Row],[Almacén de Ingreso]]),"")</f>
        <v/>
      </c>
      <c r="AH506" s="11" t="str">
        <f>IFERROR(IF(MARÍTIMOS[[#This Row],[Etapa Ingreso - Cita]]="","",MARÍTIMOS[[#This Row],[Etapa Ingreso - Cita]]),"")</f>
        <v/>
      </c>
      <c r="AI506" s="11" t="str">
        <f>IFERROR(IF(MARÍTIMOS[[#This Row],[Etapa Ingreso - Llegada]]="","",MARÍTIMOS[[#This Row],[Etapa Ingreso - Llegada]]),"")</f>
        <v/>
      </c>
      <c r="AJ506" s="11" t="str">
        <f>IFERROR(IF(MARÍTIMOS[[#This Row],[Etapa Ingreso - Ingeso]]="","",MARÍTIMOS[[#This Row],[Etapa Ingreso - Ingeso]]),"")</f>
        <v/>
      </c>
      <c r="AK506" s="11" t="str">
        <f>IFERROR(IF(MARÍTIMOS[[#This Row],[Etapa Ingreso - Atención]]="","",MARÍTIMOS[[#This Row],[Etapa Ingreso - Atención]]),"")</f>
        <v/>
      </c>
      <c r="AL506" s="11" t="str">
        <f>IFERROR(IF(MARÍTIMOS[[#This Row],[Etapa Ingreso - Salida]]="","",MARÍTIMOS[[#This Row],[Etapa Ingreso - Salida]]),"")</f>
        <v/>
      </c>
      <c r="AM506" s="2" t="str">
        <f>IFERROR(IF(MARÍTIMOS[[#This Row],[FCL]]="","",MARÍTIMOS[[#This Row],[FCL]]),"")</f>
        <v/>
      </c>
      <c r="AN5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6" s="4" t="str" cm="1">
        <f t="array" ref="AO5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6" s="5" t="str">
        <f>IFERROR(OLDBD[[#This Row],[Llegada a packing]]-OLDBD[[#This Row],[Inicio de Ruta]],"")</f>
        <v/>
      </c>
      <c r="AQ506" s="6" t="str">
        <f>IFERROR(OLDBD[[#This Row],[Inicio de Ruta]]-OLDBD[[#This Row],[Salida de almacén de retiro]],"")</f>
        <v/>
      </c>
      <c r="AR5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6" s="8" t="str" cm="1">
        <f t="array" ref="AS5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6" s="9" t="str">
        <f>IFERROR(OLDBD[[#This Row],[Ingreso Packing]]-OLDBD[[#This Row],[Registro en Packing]],"")</f>
        <v/>
      </c>
      <c r="AV506" s="9" t="str">
        <f>IFERROR(OLDBD[[#This Row],[Ingreso Packing]]-OLDBD[[#This Row],[Llegada a packing]],"")</f>
        <v/>
      </c>
      <c r="AW5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6" s="5" t="str">
        <f>IFERROR(OLDBD[[#This Row],[Llegada Almacén de Ingreso]]-OLDBD[[#This Row],[Salida Packing]],"")</f>
        <v/>
      </c>
      <c r="AY506" s="4" t="str" cm="1">
        <f t="array" ref="AY5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6" s="43" t="s">
        <v>173</v>
      </c>
      <c r="BB506" s="47" t="str">
        <f>IFERROR(IF(MARÍTIMOS[[#This Row],[Estatus]]="","",MARÍTIMOS[[#This Row],[Estatus]]),"")</f>
        <v/>
      </c>
      <c r="BC506" s="43"/>
      <c r="BD506" s="46" t="str">
        <f>IFERROR(OLDBD[[#This Row],[Salida de almacén de retiro]]-OLDBD[[#This Row],[Ingreso Almacén de retiro]],"")</f>
        <v/>
      </c>
      <c r="BE506" s="46" t="str">
        <f>IFERROR(OLDBD[[#This Row],[Fin de Carga]]-OLDBD[[#This Row],[Inicio de Carga]],"")</f>
        <v/>
      </c>
    </row>
    <row r="507" spans="1:57" customFormat="1" hidden="1">
      <c r="A507" s="1"/>
      <c r="B507" s="1" t="str">
        <f>IFERROR(IF(MARÍTIMOS[[#This Row],[PP]]="","",MARÍTIMOS[[#This Row],[PP]]),"")</f>
        <v/>
      </c>
      <c r="C507" s="1" t="str">
        <f>IFERROR(IF(MARÍTIMOS[[#This Row],[Sede]]="","",MARÍTIMOS[[#This Row],[Sede]]),"")</f>
        <v/>
      </c>
      <c r="D507" s="1" t="str">
        <f>IFERROR(IF(MARÍTIMOS[[#This Row],[Instruction]]="","",MARÍTIMOS[[#This Row],[Instruction]]),"")</f>
        <v/>
      </c>
      <c r="E507" s="1"/>
      <c r="F507" s="2" t="str">
        <f>IFERROR(IF(MARÍTIMOS[[#This Row],[Transportista]]="","",MARÍTIMOS[[#This Row],[Transportista]]),"")</f>
        <v/>
      </c>
      <c r="G507" s="2" t="str">
        <f>IFERROR(IF(MARÍTIMOS[[#This Row],[Tercero]]="","",MARÍTIMOS[[#This Row],[Tercero]]),"")</f>
        <v/>
      </c>
      <c r="H507" s="2" t="str">
        <f>IFERROR(IF(MARÍTIMOS[[#This Row],[Razón Social]]="","",MARÍTIMOS[[#This Row],[Razón Social]]),"")</f>
        <v/>
      </c>
      <c r="I507" s="2" t="str">
        <f>IFERROR(IF(MARÍTIMOS[[#This Row],[RUC]]="","",MARÍTIMOS[[#This Row],[RUC]]),"")</f>
        <v/>
      </c>
      <c r="J507" s="2" t="str">
        <f>IFERROR(IF(MARÍTIMOS[[#This Row],[Placa Tracto]]="","",MARÍTIMOS[[#This Row],[Placa Tracto]]),"")</f>
        <v/>
      </c>
      <c r="K507" s="2" t="str">
        <f>IFERROR(IF(MARÍTIMOS[[#This Row],[Placa Carreta]]="","",MARÍTIMOS[[#This Row],[Placa Carreta]]),"")</f>
        <v/>
      </c>
      <c r="L507" s="44" t="str">
        <f>IFERROR(IF(MARÍTIMOS[[#This Row],[Conductor]]="","",MARÍTIMOS[[#This Row],[Conductor]]),"")</f>
        <v/>
      </c>
      <c r="M507" s="2" t="str">
        <f>IFERROR(IF(MARÍTIMOS[[#This Row],[Licencia]]="","",MARÍTIMOS[[#This Row],[Licencia]]),"")</f>
        <v/>
      </c>
      <c r="N507" s="2" t="str">
        <f>IFERROR(IF(MARÍTIMOS[[#This Row],[Número de Contacto]]="","",MARÍTIMOS[[#This Row],[Número de Contacto]]),"")</f>
        <v/>
      </c>
      <c r="O507" s="10" t="str">
        <f>IFERROR(IF(MARÍTIMOS[[#This Row],[Booking|AWB|CRT]]="","",MARÍTIMOS[[#This Row],[Booking|AWB|CRT]]),"")</f>
        <v/>
      </c>
      <c r="P507" s="2" t="str">
        <f>IFERROR(IF(MARÍTIMOS[[#This Row],[Contenedor]]="","",MARÍTIMOS[[#This Row],[Contenedor]]),"")</f>
        <v/>
      </c>
      <c r="Q507" s="2" t="str">
        <f>IFERROR(IF(MARÍTIMOS[[#This Row],[Puerto de Retiro]]="","",MARÍTIMOS[[#This Row],[Puerto de Retiro]]),"")</f>
        <v/>
      </c>
      <c r="R507" s="2" t="str">
        <f>IFERROR(IF(MARÍTIMOS[[#This Row],[Almacén de Retiro]]="","",MARÍTIMOS[[#This Row],[Almacén de Retiro]]),"")</f>
        <v/>
      </c>
      <c r="S507" s="11" t="str">
        <f>IFERROR(IF(MARÍTIMOS[[#This Row],[Etapa Retiro - Cita]]="","",MARÍTIMOS[[#This Row],[Etapa Retiro - Cita]]),"")</f>
        <v/>
      </c>
      <c r="T507" s="11" t="str">
        <f>IFERROR(IF(MARÍTIMOS[[#This Row],[Etapa Retiro - Llegada]]="","",MARÍTIMOS[[#This Row],[Etapa Retiro - Llegada]]),"")</f>
        <v/>
      </c>
      <c r="U507" s="11" t="str">
        <f>IFERROR(IF(MARÍTIMOS[[#This Row],[Etapa Retiro - Ingreso]]="","",MARÍTIMOS[[#This Row],[Etapa Retiro - Ingreso]]),"")</f>
        <v/>
      </c>
      <c r="V507" s="11" t="str">
        <f>IFERROR(IF(MARÍTIMOS[[#This Row],[Etapa Retiro - Atención]]="","",MARÍTIMOS[[#This Row],[Etapa Retiro - Atención]]),"")</f>
        <v/>
      </c>
      <c r="W507" s="11" t="str">
        <f>IFERROR(IF(MARÍTIMOS[[#This Row],[Etapa Retiro - Atención]]="","",MARÍTIMOS[[#This Row],[Etapa Retiro - Atención]]),"")</f>
        <v/>
      </c>
      <c r="X507" s="11" t="str">
        <f>IFERROR(IF(MARÍTIMOS[[#This Row],[Etapa Retiro - Inicio de Ruta]]="","",MARÍTIMOS[[#This Row],[Etapa Retiro - Inicio de Ruta]]),"")</f>
        <v/>
      </c>
      <c r="Y507" s="11" t="str">
        <f>IFERROR(IF(MARÍTIMOS[[#This Row],[Hora de Posicionamiento]]="","",MARÍTIMOS[[#This Row],[Fecha de Carga]]+MARÍTIMOS[[#This Row],[Hora de Posicionamiento]]),"")</f>
        <v/>
      </c>
      <c r="Z507" s="11" t="str">
        <f>IFERROR(IF(MARÍTIMOS[[#This Row],[Etapa Despacho - Llegada]]="","",MARÍTIMOS[[#This Row],[Etapa Despacho - Llegada]]),"")</f>
        <v/>
      </c>
      <c r="AA507" s="11" t="str">
        <f>IFERROR(IF(MARÍTIMOS[[#This Row],[Etapa Despacho - Registro]]="","",MARÍTIMOS[[#This Row],[Etapa Despacho - Registro]]),"")</f>
        <v/>
      </c>
      <c r="AB507" s="11" t="str">
        <f>IFERROR(IF(MARÍTIMOS[[#This Row],[Inspección Externa]]="","",MARÍTIMOS[[#This Row],[Inspección Externa]]),"")</f>
        <v/>
      </c>
      <c r="AC507" s="11" t="str">
        <f>IFERROR(IF(MARÍTIMOS[[#This Row],[Etapa Despacho - Inicio de Carga]]="","",MARÍTIMOS[[#This Row],[Etapa Despacho - Inicio de Carga]]),"")</f>
        <v/>
      </c>
      <c r="AD507" s="11" t="str">
        <f>IFERROR(IF(MARÍTIMOS[[#This Row],[Etapa Despacho - Mitad de Carga]]="","",MARÍTIMOS[[#This Row],[Etapa Despacho - Mitad de Carga]]),"")</f>
        <v/>
      </c>
      <c r="AE507" s="11" t="str">
        <f>IFERROR(IF(MARÍTIMOS[[#This Row],[Etapa Despacho - Fin de Carga]]="","",MARÍTIMOS[[#This Row],[Etapa Despacho - Fin de Carga]]),"")</f>
        <v/>
      </c>
      <c r="AF507" s="2" t="str">
        <f>IFERROR(IF(MARÍTIMOS[[#This Row],[Puerto de Embarque]]="","",MARÍTIMOS[[#This Row],[Puerto de Embarque]]),"")</f>
        <v/>
      </c>
      <c r="AG507" s="2" t="str">
        <f>IFERROR(IF(MARÍTIMOS[[#This Row],[Almacén de Ingreso]]="","",MARÍTIMOS[[#This Row],[Almacén de Ingreso]]),"")</f>
        <v/>
      </c>
      <c r="AH507" s="11" t="str">
        <f>IFERROR(IF(MARÍTIMOS[[#This Row],[Etapa Ingreso - Cita]]="","",MARÍTIMOS[[#This Row],[Etapa Ingreso - Cita]]),"")</f>
        <v/>
      </c>
      <c r="AI507" s="11" t="str">
        <f>IFERROR(IF(MARÍTIMOS[[#This Row],[Etapa Ingreso - Llegada]]="","",MARÍTIMOS[[#This Row],[Etapa Ingreso - Llegada]]),"")</f>
        <v/>
      </c>
      <c r="AJ507" s="11" t="str">
        <f>IFERROR(IF(MARÍTIMOS[[#This Row],[Etapa Ingreso - Ingeso]]="","",MARÍTIMOS[[#This Row],[Etapa Ingreso - Ingeso]]),"")</f>
        <v/>
      </c>
      <c r="AK507" s="11" t="str">
        <f>IFERROR(IF(MARÍTIMOS[[#This Row],[Etapa Ingreso - Atención]]="","",MARÍTIMOS[[#This Row],[Etapa Ingreso - Atención]]),"")</f>
        <v/>
      </c>
      <c r="AL507" s="11" t="str">
        <f>IFERROR(IF(MARÍTIMOS[[#This Row],[Etapa Ingreso - Salida]]="","",MARÍTIMOS[[#This Row],[Etapa Ingreso - Salida]]),"")</f>
        <v/>
      </c>
      <c r="AM507" s="2" t="str">
        <f>IFERROR(IF(MARÍTIMOS[[#This Row],[FCL]]="","",MARÍTIMOS[[#This Row],[FCL]]),"")</f>
        <v/>
      </c>
      <c r="AN5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7" s="4" t="str" cm="1">
        <f t="array" ref="AO5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7" s="5" t="str">
        <f>IFERROR(OLDBD[[#This Row],[Llegada a packing]]-OLDBD[[#This Row],[Inicio de Ruta]],"")</f>
        <v/>
      </c>
      <c r="AQ507" s="6" t="str">
        <f>IFERROR(OLDBD[[#This Row],[Inicio de Ruta]]-OLDBD[[#This Row],[Salida de almacén de retiro]],"")</f>
        <v/>
      </c>
      <c r="AR5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7" s="8" t="str" cm="1">
        <f t="array" ref="AS5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7" s="9" t="str">
        <f>IFERROR(OLDBD[[#This Row],[Ingreso Packing]]-OLDBD[[#This Row],[Registro en Packing]],"")</f>
        <v/>
      </c>
      <c r="AV507" s="9" t="str">
        <f>IFERROR(OLDBD[[#This Row],[Ingreso Packing]]-OLDBD[[#This Row],[Llegada a packing]],"")</f>
        <v/>
      </c>
      <c r="AW5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7" s="5" t="str">
        <f>IFERROR(OLDBD[[#This Row],[Llegada Almacén de Ingreso]]-OLDBD[[#This Row],[Salida Packing]],"")</f>
        <v/>
      </c>
      <c r="AY507" s="4" t="str" cm="1">
        <f t="array" ref="AY5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7" s="43" t="s">
        <v>173</v>
      </c>
      <c r="BB507" s="47" t="str">
        <f>IFERROR(IF(MARÍTIMOS[[#This Row],[Estatus]]="","",MARÍTIMOS[[#This Row],[Estatus]]),"")</f>
        <v/>
      </c>
      <c r="BC507" s="43"/>
      <c r="BD507" s="46" t="str">
        <f>IFERROR(OLDBD[[#This Row],[Salida de almacén de retiro]]-OLDBD[[#This Row],[Ingreso Almacén de retiro]],"")</f>
        <v/>
      </c>
      <c r="BE507" s="46" t="str">
        <f>IFERROR(OLDBD[[#This Row],[Fin de Carga]]-OLDBD[[#This Row],[Inicio de Carga]],"")</f>
        <v/>
      </c>
    </row>
    <row r="508" spans="1:57" customFormat="1" hidden="1">
      <c r="A508" s="1"/>
      <c r="B508" s="1" t="str">
        <f>IFERROR(IF(MARÍTIMOS[[#This Row],[PP]]="","",MARÍTIMOS[[#This Row],[PP]]),"")</f>
        <v/>
      </c>
      <c r="C508" s="1" t="str">
        <f>IFERROR(IF(MARÍTIMOS[[#This Row],[Sede]]="","",MARÍTIMOS[[#This Row],[Sede]]),"")</f>
        <v/>
      </c>
      <c r="D508" s="1" t="str">
        <f>IFERROR(IF(MARÍTIMOS[[#This Row],[Instruction]]="","",MARÍTIMOS[[#This Row],[Instruction]]),"")</f>
        <v/>
      </c>
      <c r="E508" s="1"/>
      <c r="F508" s="2" t="str">
        <f>IFERROR(IF(MARÍTIMOS[[#This Row],[Transportista]]="","",MARÍTIMOS[[#This Row],[Transportista]]),"")</f>
        <v/>
      </c>
      <c r="G508" s="2" t="str">
        <f>IFERROR(IF(MARÍTIMOS[[#This Row],[Tercero]]="","",MARÍTIMOS[[#This Row],[Tercero]]),"")</f>
        <v/>
      </c>
      <c r="H508" s="2" t="str">
        <f>IFERROR(IF(MARÍTIMOS[[#This Row],[Razón Social]]="","",MARÍTIMOS[[#This Row],[Razón Social]]),"")</f>
        <v/>
      </c>
      <c r="I508" s="2" t="str">
        <f>IFERROR(IF(MARÍTIMOS[[#This Row],[RUC]]="","",MARÍTIMOS[[#This Row],[RUC]]),"")</f>
        <v/>
      </c>
      <c r="J508" s="2" t="str">
        <f>IFERROR(IF(MARÍTIMOS[[#This Row],[Placa Tracto]]="","",MARÍTIMOS[[#This Row],[Placa Tracto]]),"")</f>
        <v/>
      </c>
      <c r="K508" s="2" t="str">
        <f>IFERROR(IF(MARÍTIMOS[[#This Row],[Placa Carreta]]="","",MARÍTIMOS[[#This Row],[Placa Carreta]]),"")</f>
        <v/>
      </c>
      <c r="L508" s="44" t="str">
        <f>IFERROR(IF(MARÍTIMOS[[#This Row],[Conductor]]="","",MARÍTIMOS[[#This Row],[Conductor]]),"")</f>
        <v/>
      </c>
      <c r="M508" s="2" t="str">
        <f>IFERROR(IF(MARÍTIMOS[[#This Row],[Licencia]]="","",MARÍTIMOS[[#This Row],[Licencia]]),"")</f>
        <v/>
      </c>
      <c r="N508" s="2" t="str">
        <f>IFERROR(IF(MARÍTIMOS[[#This Row],[Número de Contacto]]="","",MARÍTIMOS[[#This Row],[Número de Contacto]]),"")</f>
        <v/>
      </c>
      <c r="O508" s="10" t="str">
        <f>IFERROR(IF(MARÍTIMOS[[#This Row],[Booking|AWB|CRT]]="","",MARÍTIMOS[[#This Row],[Booking|AWB|CRT]]),"")</f>
        <v/>
      </c>
      <c r="P508" s="2" t="str">
        <f>IFERROR(IF(MARÍTIMOS[[#This Row],[Contenedor]]="","",MARÍTIMOS[[#This Row],[Contenedor]]),"")</f>
        <v/>
      </c>
      <c r="Q508" s="2" t="str">
        <f>IFERROR(IF(MARÍTIMOS[[#This Row],[Puerto de Retiro]]="","",MARÍTIMOS[[#This Row],[Puerto de Retiro]]),"")</f>
        <v/>
      </c>
      <c r="R508" s="2" t="str">
        <f>IFERROR(IF(MARÍTIMOS[[#This Row],[Almacén de Retiro]]="","",MARÍTIMOS[[#This Row],[Almacén de Retiro]]),"")</f>
        <v/>
      </c>
      <c r="S508" s="11" t="str">
        <f>IFERROR(IF(MARÍTIMOS[[#This Row],[Etapa Retiro - Cita]]="","",MARÍTIMOS[[#This Row],[Etapa Retiro - Cita]]),"")</f>
        <v/>
      </c>
      <c r="T508" s="11" t="str">
        <f>IFERROR(IF(MARÍTIMOS[[#This Row],[Etapa Retiro - Llegada]]="","",MARÍTIMOS[[#This Row],[Etapa Retiro - Llegada]]),"")</f>
        <v/>
      </c>
      <c r="U508" s="11" t="str">
        <f>IFERROR(IF(MARÍTIMOS[[#This Row],[Etapa Retiro - Ingreso]]="","",MARÍTIMOS[[#This Row],[Etapa Retiro - Ingreso]]),"")</f>
        <v/>
      </c>
      <c r="V508" s="11" t="str">
        <f>IFERROR(IF(MARÍTIMOS[[#This Row],[Etapa Retiro - Atención]]="","",MARÍTIMOS[[#This Row],[Etapa Retiro - Atención]]),"")</f>
        <v/>
      </c>
      <c r="W508" s="11" t="str">
        <f>IFERROR(IF(MARÍTIMOS[[#This Row],[Etapa Retiro - Atención]]="","",MARÍTIMOS[[#This Row],[Etapa Retiro - Atención]]),"")</f>
        <v/>
      </c>
      <c r="X508" s="11" t="str">
        <f>IFERROR(IF(MARÍTIMOS[[#This Row],[Etapa Retiro - Inicio de Ruta]]="","",MARÍTIMOS[[#This Row],[Etapa Retiro - Inicio de Ruta]]),"")</f>
        <v/>
      </c>
      <c r="Y508" s="11" t="str">
        <f>IFERROR(IF(MARÍTIMOS[[#This Row],[Hora de Posicionamiento]]="","",MARÍTIMOS[[#This Row],[Fecha de Carga]]+MARÍTIMOS[[#This Row],[Hora de Posicionamiento]]),"")</f>
        <v/>
      </c>
      <c r="Z508" s="11" t="str">
        <f>IFERROR(IF(MARÍTIMOS[[#This Row],[Etapa Despacho - Llegada]]="","",MARÍTIMOS[[#This Row],[Etapa Despacho - Llegada]]),"")</f>
        <v/>
      </c>
      <c r="AA508" s="11" t="str">
        <f>IFERROR(IF(MARÍTIMOS[[#This Row],[Etapa Despacho - Registro]]="","",MARÍTIMOS[[#This Row],[Etapa Despacho - Registro]]),"")</f>
        <v/>
      </c>
      <c r="AB508" s="11" t="str">
        <f>IFERROR(IF(MARÍTIMOS[[#This Row],[Inspección Externa]]="","",MARÍTIMOS[[#This Row],[Inspección Externa]]),"")</f>
        <v/>
      </c>
      <c r="AC508" s="11" t="str">
        <f>IFERROR(IF(MARÍTIMOS[[#This Row],[Etapa Despacho - Inicio de Carga]]="","",MARÍTIMOS[[#This Row],[Etapa Despacho - Inicio de Carga]]),"")</f>
        <v/>
      </c>
      <c r="AD508" s="11" t="str">
        <f>IFERROR(IF(MARÍTIMOS[[#This Row],[Etapa Despacho - Mitad de Carga]]="","",MARÍTIMOS[[#This Row],[Etapa Despacho - Mitad de Carga]]),"")</f>
        <v/>
      </c>
      <c r="AE508" s="11" t="str">
        <f>IFERROR(IF(MARÍTIMOS[[#This Row],[Etapa Despacho - Fin de Carga]]="","",MARÍTIMOS[[#This Row],[Etapa Despacho - Fin de Carga]]),"")</f>
        <v/>
      </c>
      <c r="AF508" s="2" t="str">
        <f>IFERROR(IF(MARÍTIMOS[[#This Row],[Puerto de Embarque]]="","",MARÍTIMOS[[#This Row],[Puerto de Embarque]]),"")</f>
        <v/>
      </c>
      <c r="AG508" s="2" t="str">
        <f>IFERROR(IF(MARÍTIMOS[[#This Row],[Almacén de Ingreso]]="","",MARÍTIMOS[[#This Row],[Almacén de Ingreso]]),"")</f>
        <v/>
      </c>
      <c r="AH508" s="11" t="str">
        <f>IFERROR(IF(MARÍTIMOS[[#This Row],[Etapa Ingreso - Cita]]="","",MARÍTIMOS[[#This Row],[Etapa Ingreso - Cita]]),"")</f>
        <v/>
      </c>
      <c r="AI508" s="11" t="str">
        <f>IFERROR(IF(MARÍTIMOS[[#This Row],[Etapa Ingreso - Llegada]]="","",MARÍTIMOS[[#This Row],[Etapa Ingreso - Llegada]]),"")</f>
        <v/>
      </c>
      <c r="AJ508" s="11" t="str">
        <f>IFERROR(IF(MARÍTIMOS[[#This Row],[Etapa Ingreso - Ingeso]]="","",MARÍTIMOS[[#This Row],[Etapa Ingreso - Ingeso]]),"")</f>
        <v/>
      </c>
      <c r="AK508" s="11" t="str">
        <f>IFERROR(IF(MARÍTIMOS[[#This Row],[Etapa Ingreso - Atención]]="","",MARÍTIMOS[[#This Row],[Etapa Ingreso - Atención]]),"")</f>
        <v/>
      </c>
      <c r="AL508" s="11" t="str">
        <f>IFERROR(IF(MARÍTIMOS[[#This Row],[Etapa Ingreso - Salida]]="","",MARÍTIMOS[[#This Row],[Etapa Ingreso - Salida]]),"")</f>
        <v/>
      </c>
      <c r="AM508" s="2" t="str">
        <f>IFERROR(IF(MARÍTIMOS[[#This Row],[FCL]]="","",MARÍTIMOS[[#This Row],[FCL]]),"")</f>
        <v/>
      </c>
      <c r="AN5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8" s="4" t="str" cm="1">
        <f t="array" ref="AO5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8" s="5" t="str">
        <f>IFERROR(OLDBD[[#This Row],[Llegada a packing]]-OLDBD[[#This Row],[Inicio de Ruta]],"")</f>
        <v/>
      </c>
      <c r="AQ508" s="6" t="str">
        <f>IFERROR(OLDBD[[#This Row],[Inicio de Ruta]]-OLDBD[[#This Row],[Salida de almacén de retiro]],"")</f>
        <v/>
      </c>
      <c r="AR5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8" s="8" t="str" cm="1">
        <f t="array" ref="AS5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8" s="9" t="str">
        <f>IFERROR(OLDBD[[#This Row],[Ingreso Packing]]-OLDBD[[#This Row],[Registro en Packing]],"")</f>
        <v/>
      </c>
      <c r="AV508" s="9" t="str">
        <f>IFERROR(OLDBD[[#This Row],[Ingreso Packing]]-OLDBD[[#This Row],[Llegada a packing]],"")</f>
        <v/>
      </c>
      <c r="AW5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8" s="5" t="str">
        <f>IFERROR(OLDBD[[#This Row],[Llegada Almacén de Ingreso]]-OLDBD[[#This Row],[Salida Packing]],"")</f>
        <v/>
      </c>
      <c r="AY508" s="4" t="str" cm="1">
        <f t="array" ref="AY5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8" s="43" t="s">
        <v>173</v>
      </c>
      <c r="BB508" s="47" t="str">
        <f>IFERROR(IF(MARÍTIMOS[[#This Row],[Estatus]]="","",MARÍTIMOS[[#This Row],[Estatus]]),"")</f>
        <v/>
      </c>
      <c r="BC508" s="43"/>
      <c r="BD508" s="46" t="str">
        <f>IFERROR(OLDBD[[#This Row],[Salida de almacén de retiro]]-OLDBD[[#This Row],[Ingreso Almacén de retiro]],"")</f>
        <v/>
      </c>
      <c r="BE508" s="46" t="str">
        <f>IFERROR(OLDBD[[#This Row],[Fin de Carga]]-OLDBD[[#This Row],[Inicio de Carga]],"")</f>
        <v/>
      </c>
    </row>
    <row r="509" spans="1:57" customFormat="1" hidden="1">
      <c r="A509" s="1"/>
      <c r="B509" s="1" t="str">
        <f>IFERROR(IF(MARÍTIMOS[[#This Row],[PP]]="","",MARÍTIMOS[[#This Row],[PP]]),"")</f>
        <v/>
      </c>
      <c r="C509" s="1" t="str">
        <f>IFERROR(IF(MARÍTIMOS[[#This Row],[Sede]]="","",MARÍTIMOS[[#This Row],[Sede]]),"")</f>
        <v/>
      </c>
      <c r="D509" s="1" t="str">
        <f>IFERROR(IF(MARÍTIMOS[[#This Row],[Instruction]]="","",MARÍTIMOS[[#This Row],[Instruction]]),"")</f>
        <v/>
      </c>
      <c r="E509" s="1"/>
      <c r="F509" s="2" t="str">
        <f>IFERROR(IF(MARÍTIMOS[[#This Row],[Transportista]]="","",MARÍTIMOS[[#This Row],[Transportista]]),"")</f>
        <v/>
      </c>
      <c r="G509" s="2" t="str">
        <f>IFERROR(IF(MARÍTIMOS[[#This Row],[Tercero]]="","",MARÍTIMOS[[#This Row],[Tercero]]),"")</f>
        <v/>
      </c>
      <c r="H509" s="2" t="str">
        <f>IFERROR(IF(MARÍTIMOS[[#This Row],[Razón Social]]="","",MARÍTIMOS[[#This Row],[Razón Social]]),"")</f>
        <v/>
      </c>
      <c r="I509" s="2" t="str">
        <f>IFERROR(IF(MARÍTIMOS[[#This Row],[RUC]]="","",MARÍTIMOS[[#This Row],[RUC]]),"")</f>
        <v/>
      </c>
      <c r="J509" s="2" t="str">
        <f>IFERROR(IF(MARÍTIMOS[[#This Row],[Placa Tracto]]="","",MARÍTIMOS[[#This Row],[Placa Tracto]]),"")</f>
        <v/>
      </c>
      <c r="K509" s="2" t="str">
        <f>IFERROR(IF(MARÍTIMOS[[#This Row],[Placa Carreta]]="","",MARÍTIMOS[[#This Row],[Placa Carreta]]),"")</f>
        <v/>
      </c>
      <c r="L509" s="44" t="str">
        <f>IFERROR(IF(MARÍTIMOS[[#This Row],[Conductor]]="","",MARÍTIMOS[[#This Row],[Conductor]]),"")</f>
        <v/>
      </c>
      <c r="M509" s="2" t="str">
        <f>IFERROR(IF(MARÍTIMOS[[#This Row],[Licencia]]="","",MARÍTIMOS[[#This Row],[Licencia]]),"")</f>
        <v/>
      </c>
      <c r="N509" s="2" t="str">
        <f>IFERROR(IF(MARÍTIMOS[[#This Row],[Número de Contacto]]="","",MARÍTIMOS[[#This Row],[Número de Contacto]]),"")</f>
        <v/>
      </c>
      <c r="O509" s="10" t="str">
        <f>IFERROR(IF(MARÍTIMOS[[#This Row],[Booking|AWB|CRT]]="","",MARÍTIMOS[[#This Row],[Booking|AWB|CRT]]),"")</f>
        <v/>
      </c>
      <c r="P509" s="2" t="str">
        <f>IFERROR(IF(MARÍTIMOS[[#This Row],[Contenedor]]="","",MARÍTIMOS[[#This Row],[Contenedor]]),"")</f>
        <v/>
      </c>
      <c r="Q509" s="2" t="str">
        <f>IFERROR(IF(MARÍTIMOS[[#This Row],[Puerto de Retiro]]="","",MARÍTIMOS[[#This Row],[Puerto de Retiro]]),"")</f>
        <v/>
      </c>
      <c r="R509" s="2" t="str">
        <f>IFERROR(IF(MARÍTIMOS[[#This Row],[Almacén de Retiro]]="","",MARÍTIMOS[[#This Row],[Almacén de Retiro]]),"")</f>
        <v/>
      </c>
      <c r="S509" s="11" t="str">
        <f>IFERROR(IF(MARÍTIMOS[[#This Row],[Etapa Retiro - Cita]]="","",MARÍTIMOS[[#This Row],[Etapa Retiro - Cita]]),"")</f>
        <v/>
      </c>
      <c r="T509" s="11" t="str">
        <f>IFERROR(IF(MARÍTIMOS[[#This Row],[Etapa Retiro - Llegada]]="","",MARÍTIMOS[[#This Row],[Etapa Retiro - Llegada]]),"")</f>
        <v/>
      </c>
      <c r="U509" s="11" t="str">
        <f>IFERROR(IF(MARÍTIMOS[[#This Row],[Etapa Retiro - Ingreso]]="","",MARÍTIMOS[[#This Row],[Etapa Retiro - Ingreso]]),"")</f>
        <v/>
      </c>
      <c r="V509" s="11" t="str">
        <f>IFERROR(IF(MARÍTIMOS[[#This Row],[Etapa Retiro - Atención]]="","",MARÍTIMOS[[#This Row],[Etapa Retiro - Atención]]),"")</f>
        <v/>
      </c>
      <c r="W509" s="11" t="str">
        <f>IFERROR(IF(MARÍTIMOS[[#This Row],[Etapa Retiro - Atención]]="","",MARÍTIMOS[[#This Row],[Etapa Retiro - Atención]]),"")</f>
        <v/>
      </c>
      <c r="X509" s="11" t="str">
        <f>IFERROR(IF(MARÍTIMOS[[#This Row],[Etapa Retiro - Inicio de Ruta]]="","",MARÍTIMOS[[#This Row],[Etapa Retiro - Inicio de Ruta]]),"")</f>
        <v/>
      </c>
      <c r="Y509" s="11" t="str">
        <f>IFERROR(IF(MARÍTIMOS[[#This Row],[Hora de Posicionamiento]]="","",MARÍTIMOS[[#This Row],[Fecha de Carga]]+MARÍTIMOS[[#This Row],[Hora de Posicionamiento]]),"")</f>
        <v/>
      </c>
      <c r="Z509" s="11" t="str">
        <f>IFERROR(IF(MARÍTIMOS[[#This Row],[Etapa Despacho - Llegada]]="","",MARÍTIMOS[[#This Row],[Etapa Despacho - Llegada]]),"")</f>
        <v/>
      </c>
      <c r="AA509" s="11" t="str">
        <f>IFERROR(IF(MARÍTIMOS[[#This Row],[Etapa Despacho - Registro]]="","",MARÍTIMOS[[#This Row],[Etapa Despacho - Registro]]),"")</f>
        <v/>
      </c>
      <c r="AB509" s="11" t="str">
        <f>IFERROR(IF(MARÍTIMOS[[#This Row],[Inspección Externa]]="","",MARÍTIMOS[[#This Row],[Inspección Externa]]),"")</f>
        <v/>
      </c>
      <c r="AC509" s="11" t="str">
        <f>IFERROR(IF(MARÍTIMOS[[#This Row],[Etapa Despacho - Inicio de Carga]]="","",MARÍTIMOS[[#This Row],[Etapa Despacho - Inicio de Carga]]),"")</f>
        <v/>
      </c>
      <c r="AD509" s="11" t="str">
        <f>IFERROR(IF(MARÍTIMOS[[#This Row],[Etapa Despacho - Mitad de Carga]]="","",MARÍTIMOS[[#This Row],[Etapa Despacho - Mitad de Carga]]),"")</f>
        <v/>
      </c>
      <c r="AE509" s="11" t="str">
        <f>IFERROR(IF(MARÍTIMOS[[#This Row],[Etapa Despacho - Fin de Carga]]="","",MARÍTIMOS[[#This Row],[Etapa Despacho - Fin de Carga]]),"")</f>
        <v/>
      </c>
      <c r="AF509" s="2" t="str">
        <f>IFERROR(IF(MARÍTIMOS[[#This Row],[Puerto de Embarque]]="","",MARÍTIMOS[[#This Row],[Puerto de Embarque]]),"")</f>
        <v/>
      </c>
      <c r="AG509" s="2" t="str">
        <f>IFERROR(IF(MARÍTIMOS[[#This Row],[Almacén de Ingreso]]="","",MARÍTIMOS[[#This Row],[Almacén de Ingreso]]),"")</f>
        <v/>
      </c>
      <c r="AH509" s="11" t="str">
        <f>IFERROR(IF(MARÍTIMOS[[#This Row],[Etapa Ingreso - Cita]]="","",MARÍTIMOS[[#This Row],[Etapa Ingreso - Cita]]),"")</f>
        <v/>
      </c>
      <c r="AI509" s="11" t="str">
        <f>IFERROR(IF(MARÍTIMOS[[#This Row],[Etapa Ingreso - Llegada]]="","",MARÍTIMOS[[#This Row],[Etapa Ingreso - Llegada]]),"")</f>
        <v/>
      </c>
      <c r="AJ509" s="11" t="str">
        <f>IFERROR(IF(MARÍTIMOS[[#This Row],[Etapa Ingreso - Ingeso]]="","",MARÍTIMOS[[#This Row],[Etapa Ingreso - Ingeso]]),"")</f>
        <v/>
      </c>
      <c r="AK509" s="11" t="str">
        <f>IFERROR(IF(MARÍTIMOS[[#This Row],[Etapa Ingreso - Atención]]="","",MARÍTIMOS[[#This Row],[Etapa Ingreso - Atención]]),"")</f>
        <v/>
      </c>
      <c r="AL509" s="11" t="str">
        <f>IFERROR(IF(MARÍTIMOS[[#This Row],[Etapa Ingreso - Salida]]="","",MARÍTIMOS[[#This Row],[Etapa Ingreso - Salida]]),"")</f>
        <v/>
      </c>
      <c r="AM509" s="2" t="str">
        <f>IFERROR(IF(MARÍTIMOS[[#This Row],[FCL]]="","",MARÍTIMOS[[#This Row],[FCL]]),"")</f>
        <v/>
      </c>
      <c r="AN5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09" s="4" t="str" cm="1">
        <f t="array" ref="AO5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09" s="5" t="str">
        <f>IFERROR(OLDBD[[#This Row],[Llegada a packing]]-OLDBD[[#This Row],[Inicio de Ruta]],"")</f>
        <v/>
      </c>
      <c r="AQ509" s="6" t="str">
        <f>IFERROR(OLDBD[[#This Row],[Inicio de Ruta]]-OLDBD[[#This Row],[Salida de almacén de retiro]],"")</f>
        <v/>
      </c>
      <c r="AR5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09" s="8" t="str" cm="1">
        <f t="array" ref="AS5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09" s="9" t="str">
        <f>IFERROR(OLDBD[[#This Row],[Ingreso Packing]]-OLDBD[[#This Row],[Registro en Packing]],"")</f>
        <v/>
      </c>
      <c r="AV509" s="9" t="str">
        <f>IFERROR(OLDBD[[#This Row],[Ingreso Packing]]-OLDBD[[#This Row],[Llegada a packing]],"")</f>
        <v/>
      </c>
      <c r="AW5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09" s="5" t="str">
        <f>IFERROR(OLDBD[[#This Row],[Llegada Almacén de Ingreso]]-OLDBD[[#This Row],[Salida Packing]],"")</f>
        <v/>
      </c>
      <c r="AY509" s="4" t="str" cm="1">
        <f t="array" ref="AY5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09" s="43" t="s">
        <v>173</v>
      </c>
      <c r="BB509" s="47" t="str">
        <f>IFERROR(IF(MARÍTIMOS[[#This Row],[Estatus]]="","",MARÍTIMOS[[#This Row],[Estatus]]),"")</f>
        <v/>
      </c>
      <c r="BC509" s="43"/>
      <c r="BD509" s="46" t="str">
        <f>IFERROR(OLDBD[[#This Row],[Salida de almacén de retiro]]-OLDBD[[#This Row],[Ingreso Almacén de retiro]],"")</f>
        <v/>
      </c>
      <c r="BE509" s="46" t="str">
        <f>IFERROR(OLDBD[[#This Row],[Fin de Carga]]-OLDBD[[#This Row],[Inicio de Carga]],"")</f>
        <v/>
      </c>
    </row>
    <row r="510" spans="1:57" customFormat="1" hidden="1">
      <c r="A510" s="1"/>
      <c r="B510" s="1" t="str">
        <f>IFERROR(IF(MARÍTIMOS[[#This Row],[PP]]="","",MARÍTIMOS[[#This Row],[PP]]),"")</f>
        <v/>
      </c>
      <c r="C510" s="1" t="str">
        <f>IFERROR(IF(MARÍTIMOS[[#This Row],[Sede]]="","",MARÍTIMOS[[#This Row],[Sede]]),"")</f>
        <v/>
      </c>
      <c r="D510" s="1" t="str">
        <f>IFERROR(IF(MARÍTIMOS[[#This Row],[Instruction]]="","",MARÍTIMOS[[#This Row],[Instruction]]),"")</f>
        <v/>
      </c>
      <c r="E510" s="1"/>
      <c r="F510" s="2" t="str">
        <f>IFERROR(IF(MARÍTIMOS[[#This Row],[Transportista]]="","",MARÍTIMOS[[#This Row],[Transportista]]),"")</f>
        <v/>
      </c>
      <c r="G510" s="2" t="str">
        <f>IFERROR(IF(MARÍTIMOS[[#This Row],[Tercero]]="","",MARÍTIMOS[[#This Row],[Tercero]]),"")</f>
        <v/>
      </c>
      <c r="H510" s="2" t="str">
        <f>IFERROR(IF(MARÍTIMOS[[#This Row],[Razón Social]]="","",MARÍTIMOS[[#This Row],[Razón Social]]),"")</f>
        <v/>
      </c>
      <c r="I510" s="2" t="str">
        <f>IFERROR(IF(MARÍTIMOS[[#This Row],[RUC]]="","",MARÍTIMOS[[#This Row],[RUC]]),"")</f>
        <v/>
      </c>
      <c r="J510" s="2" t="str">
        <f>IFERROR(IF(MARÍTIMOS[[#This Row],[Placa Tracto]]="","",MARÍTIMOS[[#This Row],[Placa Tracto]]),"")</f>
        <v/>
      </c>
      <c r="K510" s="2" t="str">
        <f>IFERROR(IF(MARÍTIMOS[[#This Row],[Placa Carreta]]="","",MARÍTIMOS[[#This Row],[Placa Carreta]]),"")</f>
        <v/>
      </c>
      <c r="L510" s="44" t="str">
        <f>IFERROR(IF(MARÍTIMOS[[#This Row],[Conductor]]="","",MARÍTIMOS[[#This Row],[Conductor]]),"")</f>
        <v/>
      </c>
      <c r="M510" s="2" t="str">
        <f>IFERROR(IF(MARÍTIMOS[[#This Row],[Licencia]]="","",MARÍTIMOS[[#This Row],[Licencia]]),"")</f>
        <v/>
      </c>
      <c r="N510" s="2" t="str">
        <f>IFERROR(IF(MARÍTIMOS[[#This Row],[Número de Contacto]]="","",MARÍTIMOS[[#This Row],[Número de Contacto]]),"")</f>
        <v/>
      </c>
      <c r="O510" s="10" t="str">
        <f>IFERROR(IF(MARÍTIMOS[[#This Row],[Booking|AWB|CRT]]="","",MARÍTIMOS[[#This Row],[Booking|AWB|CRT]]),"")</f>
        <v/>
      </c>
      <c r="P510" s="2" t="str">
        <f>IFERROR(IF(MARÍTIMOS[[#This Row],[Contenedor]]="","",MARÍTIMOS[[#This Row],[Contenedor]]),"")</f>
        <v/>
      </c>
      <c r="Q510" s="2" t="str">
        <f>IFERROR(IF(MARÍTIMOS[[#This Row],[Puerto de Retiro]]="","",MARÍTIMOS[[#This Row],[Puerto de Retiro]]),"")</f>
        <v/>
      </c>
      <c r="R510" s="2" t="str">
        <f>IFERROR(IF(MARÍTIMOS[[#This Row],[Almacén de Retiro]]="","",MARÍTIMOS[[#This Row],[Almacén de Retiro]]),"")</f>
        <v/>
      </c>
      <c r="S510" s="11" t="str">
        <f>IFERROR(IF(MARÍTIMOS[[#This Row],[Etapa Retiro - Cita]]="","",MARÍTIMOS[[#This Row],[Etapa Retiro - Cita]]),"")</f>
        <v/>
      </c>
      <c r="T510" s="11" t="str">
        <f>IFERROR(IF(MARÍTIMOS[[#This Row],[Etapa Retiro - Llegada]]="","",MARÍTIMOS[[#This Row],[Etapa Retiro - Llegada]]),"")</f>
        <v/>
      </c>
      <c r="U510" s="11" t="str">
        <f>IFERROR(IF(MARÍTIMOS[[#This Row],[Etapa Retiro - Ingreso]]="","",MARÍTIMOS[[#This Row],[Etapa Retiro - Ingreso]]),"")</f>
        <v/>
      </c>
      <c r="V510" s="11" t="str">
        <f>IFERROR(IF(MARÍTIMOS[[#This Row],[Etapa Retiro - Atención]]="","",MARÍTIMOS[[#This Row],[Etapa Retiro - Atención]]),"")</f>
        <v/>
      </c>
      <c r="W510" s="11" t="str">
        <f>IFERROR(IF(MARÍTIMOS[[#This Row],[Etapa Retiro - Atención]]="","",MARÍTIMOS[[#This Row],[Etapa Retiro - Atención]]),"")</f>
        <v/>
      </c>
      <c r="X510" s="11" t="str">
        <f>IFERROR(IF(MARÍTIMOS[[#This Row],[Etapa Retiro - Inicio de Ruta]]="","",MARÍTIMOS[[#This Row],[Etapa Retiro - Inicio de Ruta]]),"")</f>
        <v/>
      </c>
      <c r="Y510" s="11" t="str">
        <f>IFERROR(IF(MARÍTIMOS[[#This Row],[Hora de Posicionamiento]]="","",MARÍTIMOS[[#This Row],[Fecha de Carga]]+MARÍTIMOS[[#This Row],[Hora de Posicionamiento]]),"")</f>
        <v/>
      </c>
      <c r="Z510" s="11" t="str">
        <f>IFERROR(IF(MARÍTIMOS[[#This Row],[Etapa Despacho - Llegada]]="","",MARÍTIMOS[[#This Row],[Etapa Despacho - Llegada]]),"")</f>
        <v/>
      </c>
      <c r="AA510" s="11" t="str">
        <f>IFERROR(IF(MARÍTIMOS[[#This Row],[Etapa Despacho - Registro]]="","",MARÍTIMOS[[#This Row],[Etapa Despacho - Registro]]),"")</f>
        <v/>
      </c>
      <c r="AB510" s="11" t="str">
        <f>IFERROR(IF(MARÍTIMOS[[#This Row],[Inspección Externa]]="","",MARÍTIMOS[[#This Row],[Inspección Externa]]),"")</f>
        <v/>
      </c>
      <c r="AC510" s="11" t="str">
        <f>IFERROR(IF(MARÍTIMOS[[#This Row],[Etapa Despacho - Inicio de Carga]]="","",MARÍTIMOS[[#This Row],[Etapa Despacho - Inicio de Carga]]),"")</f>
        <v/>
      </c>
      <c r="AD510" s="11" t="str">
        <f>IFERROR(IF(MARÍTIMOS[[#This Row],[Etapa Despacho - Mitad de Carga]]="","",MARÍTIMOS[[#This Row],[Etapa Despacho - Mitad de Carga]]),"")</f>
        <v/>
      </c>
      <c r="AE510" s="11" t="str">
        <f>IFERROR(IF(MARÍTIMOS[[#This Row],[Etapa Despacho - Fin de Carga]]="","",MARÍTIMOS[[#This Row],[Etapa Despacho - Fin de Carga]]),"")</f>
        <v/>
      </c>
      <c r="AF510" s="2" t="str">
        <f>IFERROR(IF(MARÍTIMOS[[#This Row],[Puerto de Embarque]]="","",MARÍTIMOS[[#This Row],[Puerto de Embarque]]),"")</f>
        <v/>
      </c>
      <c r="AG510" s="2" t="str">
        <f>IFERROR(IF(MARÍTIMOS[[#This Row],[Almacén de Ingreso]]="","",MARÍTIMOS[[#This Row],[Almacén de Ingreso]]),"")</f>
        <v/>
      </c>
      <c r="AH510" s="11" t="str">
        <f>IFERROR(IF(MARÍTIMOS[[#This Row],[Etapa Ingreso - Cita]]="","",MARÍTIMOS[[#This Row],[Etapa Ingreso - Cita]]),"")</f>
        <v/>
      </c>
      <c r="AI510" s="11" t="str">
        <f>IFERROR(IF(MARÍTIMOS[[#This Row],[Etapa Ingreso - Llegada]]="","",MARÍTIMOS[[#This Row],[Etapa Ingreso - Llegada]]),"")</f>
        <v/>
      </c>
      <c r="AJ510" s="11" t="str">
        <f>IFERROR(IF(MARÍTIMOS[[#This Row],[Etapa Ingreso - Ingeso]]="","",MARÍTIMOS[[#This Row],[Etapa Ingreso - Ingeso]]),"")</f>
        <v/>
      </c>
      <c r="AK510" s="11" t="str">
        <f>IFERROR(IF(MARÍTIMOS[[#This Row],[Etapa Ingreso - Atención]]="","",MARÍTIMOS[[#This Row],[Etapa Ingreso - Atención]]),"")</f>
        <v/>
      </c>
      <c r="AL510" s="11" t="str">
        <f>IFERROR(IF(MARÍTIMOS[[#This Row],[Etapa Ingreso - Salida]]="","",MARÍTIMOS[[#This Row],[Etapa Ingreso - Salida]]),"")</f>
        <v/>
      </c>
      <c r="AM510" s="2" t="str">
        <f>IFERROR(IF(MARÍTIMOS[[#This Row],[FCL]]="","",MARÍTIMOS[[#This Row],[FCL]]),"")</f>
        <v/>
      </c>
      <c r="AN5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0" s="4" t="str" cm="1">
        <f t="array" ref="AO5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0" s="5" t="str">
        <f>IFERROR(OLDBD[[#This Row],[Llegada a packing]]-OLDBD[[#This Row],[Inicio de Ruta]],"")</f>
        <v/>
      </c>
      <c r="AQ510" s="6" t="str">
        <f>IFERROR(OLDBD[[#This Row],[Inicio de Ruta]]-OLDBD[[#This Row],[Salida de almacén de retiro]],"")</f>
        <v/>
      </c>
      <c r="AR5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0" s="8" t="str" cm="1">
        <f t="array" ref="AS5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0" s="9" t="str">
        <f>IFERROR(OLDBD[[#This Row],[Ingreso Packing]]-OLDBD[[#This Row],[Registro en Packing]],"")</f>
        <v/>
      </c>
      <c r="AV510" s="9" t="str">
        <f>IFERROR(OLDBD[[#This Row],[Ingreso Packing]]-OLDBD[[#This Row],[Llegada a packing]],"")</f>
        <v/>
      </c>
      <c r="AW5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0" s="5" t="str">
        <f>IFERROR(OLDBD[[#This Row],[Llegada Almacén de Ingreso]]-OLDBD[[#This Row],[Salida Packing]],"")</f>
        <v/>
      </c>
      <c r="AY510" s="4" t="str" cm="1">
        <f t="array" ref="AY5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0" s="43" t="s">
        <v>173</v>
      </c>
      <c r="BB510" s="47" t="str">
        <f>IFERROR(IF(MARÍTIMOS[[#This Row],[Estatus]]="","",MARÍTIMOS[[#This Row],[Estatus]]),"")</f>
        <v/>
      </c>
      <c r="BC510" s="43"/>
      <c r="BD510" s="46" t="str">
        <f>IFERROR(OLDBD[[#This Row],[Salida de almacén de retiro]]-OLDBD[[#This Row],[Ingreso Almacén de retiro]],"")</f>
        <v/>
      </c>
      <c r="BE510" s="46" t="str">
        <f>IFERROR(OLDBD[[#This Row],[Fin de Carga]]-OLDBD[[#This Row],[Inicio de Carga]],"")</f>
        <v/>
      </c>
    </row>
    <row r="511" spans="1:57" customFormat="1" hidden="1">
      <c r="A511" s="1"/>
      <c r="B511" s="1" t="str">
        <f>IFERROR(IF(MARÍTIMOS[[#This Row],[PP]]="","",MARÍTIMOS[[#This Row],[PP]]),"")</f>
        <v/>
      </c>
      <c r="C511" s="1" t="str">
        <f>IFERROR(IF(MARÍTIMOS[[#This Row],[Sede]]="","",MARÍTIMOS[[#This Row],[Sede]]),"")</f>
        <v/>
      </c>
      <c r="D511" s="1" t="str">
        <f>IFERROR(IF(MARÍTIMOS[[#This Row],[Instruction]]="","",MARÍTIMOS[[#This Row],[Instruction]]),"")</f>
        <v/>
      </c>
      <c r="E511" s="1"/>
      <c r="F511" s="2" t="str">
        <f>IFERROR(IF(MARÍTIMOS[[#This Row],[Transportista]]="","",MARÍTIMOS[[#This Row],[Transportista]]),"")</f>
        <v/>
      </c>
      <c r="G511" s="2" t="str">
        <f>IFERROR(IF(MARÍTIMOS[[#This Row],[Tercero]]="","",MARÍTIMOS[[#This Row],[Tercero]]),"")</f>
        <v/>
      </c>
      <c r="H511" s="2" t="str">
        <f>IFERROR(IF(MARÍTIMOS[[#This Row],[Razón Social]]="","",MARÍTIMOS[[#This Row],[Razón Social]]),"")</f>
        <v/>
      </c>
      <c r="I511" s="2" t="str">
        <f>IFERROR(IF(MARÍTIMOS[[#This Row],[RUC]]="","",MARÍTIMOS[[#This Row],[RUC]]),"")</f>
        <v/>
      </c>
      <c r="J511" s="2" t="str">
        <f>IFERROR(IF(MARÍTIMOS[[#This Row],[Placa Tracto]]="","",MARÍTIMOS[[#This Row],[Placa Tracto]]),"")</f>
        <v/>
      </c>
      <c r="K511" s="2" t="str">
        <f>IFERROR(IF(MARÍTIMOS[[#This Row],[Placa Carreta]]="","",MARÍTIMOS[[#This Row],[Placa Carreta]]),"")</f>
        <v/>
      </c>
      <c r="L511" s="44" t="str">
        <f>IFERROR(IF(MARÍTIMOS[[#This Row],[Conductor]]="","",MARÍTIMOS[[#This Row],[Conductor]]),"")</f>
        <v/>
      </c>
      <c r="M511" s="2" t="str">
        <f>IFERROR(IF(MARÍTIMOS[[#This Row],[Licencia]]="","",MARÍTIMOS[[#This Row],[Licencia]]),"")</f>
        <v/>
      </c>
      <c r="N511" s="2" t="str">
        <f>IFERROR(IF(MARÍTIMOS[[#This Row],[Número de Contacto]]="","",MARÍTIMOS[[#This Row],[Número de Contacto]]),"")</f>
        <v/>
      </c>
      <c r="O511" s="10" t="str">
        <f>IFERROR(IF(MARÍTIMOS[[#This Row],[Booking|AWB|CRT]]="","",MARÍTIMOS[[#This Row],[Booking|AWB|CRT]]),"")</f>
        <v/>
      </c>
      <c r="P511" s="2" t="str">
        <f>IFERROR(IF(MARÍTIMOS[[#This Row],[Contenedor]]="","",MARÍTIMOS[[#This Row],[Contenedor]]),"")</f>
        <v/>
      </c>
      <c r="Q511" s="2" t="str">
        <f>IFERROR(IF(MARÍTIMOS[[#This Row],[Puerto de Retiro]]="","",MARÍTIMOS[[#This Row],[Puerto de Retiro]]),"")</f>
        <v/>
      </c>
      <c r="R511" s="2" t="str">
        <f>IFERROR(IF(MARÍTIMOS[[#This Row],[Almacén de Retiro]]="","",MARÍTIMOS[[#This Row],[Almacén de Retiro]]),"")</f>
        <v/>
      </c>
      <c r="S511" s="11" t="str">
        <f>IFERROR(IF(MARÍTIMOS[[#This Row],[Etapa Retiro - Cita]]="","",MARÍTIMOS[[#This Row],[Etapa Retiro - Cita]]),"")</f>
        <v/>
      </c>
      <c r="T511" s="11" t="str">
        <f>IFERROR(IF(MARÍTIMOS[[#This Row],[Etapa Retiro - Llegada]]="","",MARÍTIMOS[[#This Row],[Etapa Retiro - Llegada]]),"")</f>
        <v/>
      </c>
      <c r="U511" s="11" t="str">
        <f>IFERROR(IF(MARÍTIMOS[[#This Row],[Etapa Retiro - Ingreso]]="","",MARÍTIMOS[[#This Row],[Etapa Retiro - Ingreso]]),"")</f>
        <v/>
      </c>
      <c r="V511" s="11" t="str">
        <f>IFERROR(IF(MARÍTIMOS[[#This Row],[Etapa Retiro - Atención]]="","",MARÍTIMOS[[#This Row],[Etapa Retiro - Atención]]),"")</f>
        <v/>
      </c>
      <c r="W511" s="11" t="str">
        <f>IFERROR(IF(MARÍTIMOS[[#This Row],[Etapa Retiro - Atención]]="","",MARÍTIMOS[[#This Row],[Etapa Retiro - Atención]]),"")</f>
        <v/>
      </c>
      <c r="X511" s="11" t="str">
        <f>IFERROR(IF(MARÍTIMOS[[#This Row],[Etapa Retiro - Inicio de Ruta]]="","",MARÍTIMOS[[#This Row],[Etapa Retiro - Inicio de Ruta]]),"")</f>
        <v/>
      </c>
      <c r="Y511" s="11" t="str">
        <f>IFERROR(IF(MARÍTIMOS[[#This Row],[Hora de Posicionamiento]]="","",MARÍTIMOS[[#This Row],[Fecha de Carga]]+MARÍTIMOS[[#This Row],[Hora de Posicionamiento]]),"")</f>
        <v/>
      </c>
      <c r="Z511" s="11" t="str">
        <f>IFERROR(IF(MARÍTIMOS[[#This Row],[Etapa Despacho - Llegada]]="","",MARÍTIMOS[[#This Row],[Etapa Despacho - Llegada]]),"")</f>
        <v/>
      </c>
      <c r="AA511" s="11" t="str">
        <f>IFERROR(IF(MARÍTIMOS[[#This Row],[Etapa Despacho - Registro]]="","",MARÍTIMOS[[#This Row],[Etapa Despacho - Registro]]),"")</f>
        <v/>
      </c>
      <c r="AB511" s="11" t="str">
        <f>IFERROR(IF(MARÍTIMOS[[#This Row],[Inspección Externa]]="","",MARÍTIMOS[[#This Row],[Inspección Externa]]),"")</f>
        <v/>
      </c>
      <c r="AC511" s="11" t="str">
        <f>IFERROR(IF(MARÍTIMOS[[#This Row],[Etapa Despacho - Inicio de Carga]]="","",MARÍTIMOS[[#This Row],[Etapa Despacho - Inicio de Carga]]),"")</f>
        <v/>
      </c>
      <c r="AD511" s="11" t="str">
        <f>IFERROR(IF(MARÍTIMOS[[#This Row],[Etapa Despacho - Mitad de Carga]]="","",MARÍTIMOS[[#This Row],[Etapa Despacho - Mitad de Carga]]),"")</f>
        <v/>
      </c>
      <c r="AE511" s="11" t="str">
        <f>IFERROR(IF(MARÍTIMOS[[#This Row],[Etapa Despacho - Fin de Carga]]="","",MARÍTIMOS[[#This Row],[Etapa Despacho - Fin de Carga]]),"")</f>
        <v/>
      </c>
      <c r="AF511" s="2" t="str">
        <f>IFERROR(IF(MARÍTIMOS[[#This Row],[Puerto de Embarque]]="","",MARÍTIMOS[[#This Row],[Puerto de Embarque]]),"")</f>
        <v/>
      </c>
      <c r="AG511" s="2" t="str">
        <f>IFERROR(IF(MARÍTIMOS[[#This Row],[Almacén de Ingreso]]="","",MARÍTIMOS[[#This Row],[Almacén de Ingreso]]),"")</f>
        <v/>
      </c>
      <c r="AH511" s="11" t="str">
        <f>IFERROR(IF(MARÍTIMOS[[#This Row],[Etapa Ingreso - Cita]]="","",MARÍTIMOS[[#This Row],[Etapa Ingreso - Cita]]),"")</f>
        <v/>
      </c>
      <c r="AI511" s="11" t="str">
        <f>IFERROR(IF(MARÍTIMOS[[#This Row],[Etapa Ingreso - Llegada]]="","",MARÍTIMOS[[#This Row],[Etapa Ingreso - Llegada]]),"")</f>
        <v/>
      </c>
      <c r="AJ511" s="11" t="str">
        <f>IFERROR(IF(MARÍTIMOS[[#This Row],[Etapa Ingreso - Ingeso]]="","",MARÍTIMOS[[#This Row],[Etapa Ingreso - Ingeso]]),"")</f>
        <v/>
      </c>
      <c r="AK511" s="11" t="str">
        <f>IFERROR(IF(MARÍTIMOS[[#This Row],[Etapa Ingreso - Atención]]="","",MARÍTIMOS[[#This Row],[Etapa Ingreso - Atención]]),"")</f>
        <v/>
      </c>
      <c r="AL511" s="11" t="str">
        <f>IFERROR(IF(MARÍTIMOS[[#This Row],[Etapa Ingreso - Salida]]="","",MARÍTIMOS[[#This Row],[Etapa Ingreso - Salida]]),"")</f>
        <v/>
      </c>
      <c r="AM511" s="2" t="str">
        <f>IFERROR(IF(MARÍTIMOS[[#This Row],[FCL]]="","",MARÍTIMOS[[#This Row],[FCL]]),"")</f>
        <v/>
      </c>
      <c r="AN5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1" s="4" t="str" cm="1">
        <f t="array" ref="AO5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1" s="5" t="str">
        <f>IFERROR(OLDBD[[#This Row],[Llegada a packing]]-OLDBD[[#This Row],[Inicio de Ruta]],"")</f>
        <v/>
      </c>
      <c r="AQ511" s="6" t="str">
        <f>IFERROR(OLDBD[[#This Row],[Inicio de Ruta]]-OLDBD[[#This Row],[Salida de almacén de retiro]],"")</f>
        <v/>
      </c>
      <c r="AR5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1" s="8" t="str" cm="1">
        <f t="array" ref="AS5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1" s="9" t="str">
        <f>IFERROR(OLDBD[[#This Row],[Ingreso Packing]]-OLDBD[[#This Row],[Registro en Packing]],"")</f>
        <v/>
      </c>
      <c r="AV511" s="9" t="str">
        <f>IFERROR(OLDBD[[#This Row],[Ingreso Packing]]-OLDBD[[#This Row],[Llegada a packing]],"")</f>
        <v/>
      </c>
      <c r="AW5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1" s="5" t="str">
        <f>IFERROR(OLDBD[[#This Row],[Llegada Almacén de Ingreso]]-OLDBD[[#This Row],[Salida Packing]],"")</f>
        <v/>
      </c>
      <c r="AY511" s="4" t="str" cm="1">
        <f t="array" ref="AY5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1" s="43" t="s">
        <v>173</v>
      </c>
      <c r="BB511" s="47" t="str">
        <f>IFERROR(IF(MARÍTIMOS[[#This Row],[Estatus]]="","",MARÍTIMOS[[#This Row],[Estatus]]),"")</f>
        <v/>
      </c>
      <c r="BC511" s="43"/>
      <c r="BD511" s="46" t="str">
        <f>IFERROR(OLDBD[[#This Row],[Salida de almacén de retiro]]-OLDBD[[#This Row],[Ingreso Almacén de retiro]],"")</f>
        <v/>
      </c>
      <c r="BE511" s="46" t="str">
        <f>IFERROR(OLDBD[[#This Row],[Fin de Carga]]-OLDBD[[#This Row],[Inicio de Carga]],"")</f>
        <v/>
      </c>
    </row>
    <row r="512" spans="1:57" customFormat="1" hidden="1">
      <c r="A512" s="1"/>
      <c r="B512" s="1" t="str">
        <f>IFERROR(IF(MARÍTIMOS[[#This Row],[PP]]="","",MARÍTIMOS[[#This Row],[PP]]),"")</f>
        <v/>
      </c>
      <c r="C512" s="1" t="str">
        <f>IFERROR(IF(MARÍTIMOS[[#This Row],[Sede]]="","",MARÍTIMOS[[#This Row],[Sede]]),"")</f>
        <v/>
      </c>
      <c r="D512" s="1" t="str">
        <f>IFERROR(IF(MARÍTIMOS[[#This Row],[Instruction]]="","",MARÍTIMOS[[#This Row],[Instruction]]),"")</f>
        <v/>
      </c>
      <c r="E512" s="1"/>
      <c r="F512" s="2" t="str">
        <f>IFERROR(IF(MARÍTIMOS[[#This Row],[Transportista]]="","",MARÍTIMOS[[#This Row],[Transportista]]),"")</f>
        <v/>
      </c>
      <c r="G512" s="2" t="str">
        <f>IFERROR(IF(MARÍTIMOS[[#This Row],[Tercero]]="","",MARÍTIMOS[[#This Row],[Tercero]]),"")</f>
        <v/>
      </c>
      <c r="H512" s="2" t="str">
        <f>IFERROR(IF(MARÍTIMOS[[#This Row],[Razón Social]]="","",MARÍTIMOS[[#This Row],[Razón Social]]),"")</f>
        <v/>
      </c>
      <c r="I512" s="2" t="str">
        <f>IFERROR(IF(MARÍTIMOS[[#This Row],[RUC]]="","",MARÍTIMOS[[#This Row],[RUC]]),"")</f>
        <v/>
      </c>
      <c r="J512" s="2" t="str">
        <f>IFERROR(IF(MARÍTIMOS[[#This Row],[Placa Tracto]]="","",MARÍTIMOS[[#This Row],[Placa Tracto]]),"")</f>
        <v/>
      </c>
      <c r="K512" s="2" t="str">
        <f>IFERROR(IF(MARÍTIMOS[[#This Row],[Placa Carreta]]="","",MARÍTIMOS[[#This Row],[Placa Carreta]]),"")</f>
        <v/>
      </c>
      <c r="L512" s="44" t="str">
        <f>IFERROR(IF(MARÍTIMOS[[#This Row],[Conductor]]="","",MARÍTIMOS[[#This Row],[Conductor]]),"")</f>
        <v/>
      </c>
      <c r="M512" s="2" t="str">
        <f>IFERROR(IF(MARÍTIMOS[[#This Row],[Licencia]]="","",MARÍTIMOS[[#This Row],[Licencia]]),"")</f>
        <v/>
      </c>
      <c r="N512" s="2" t="str">
        <f>IFERROR(IF(MARÍTIMOS[[#This Row],[Número de Contacto]]="","",MARÍTIMOS[[#This Row],[Número de Contacto]]),"")</f>
        <v/>
      </c>
      <c r="O512" s="10" t="str">
        <f>IFERROR(IF(MARÍTIMOS[[#This Row],[Booking|AWB|CRT]]="","",MARÍTIMOS[[#This Row],[Booking|AWB|CRT]]),"")</f>
        <v/>
      </c>
      <c r="P512" s="2" t="str">
        <f>IFERROR(IF(MARÍTIMOS[[#This Row],[Contenedor]]="","",MARÍTIMOS[[#This Row],[Contenedor]]),"")</f>
        <v/>
      </c>
      <c r="Q512" s="2" t="str">
        <f>IFERROR(IF(MARÍTIMOS[[#This Row],[Puerto de Retiro]]="","",MARÍTIMOS[[#This Row],[Puerto de Retiro]]),"")</f>
        <v/>
      </c>
      <c r="R512" s="2" t="str">
        <f>IFERROR(IF(MARÍTIMOS[[#This Row],[Almacén de Retiro]]="","",MARÍTIMOS[[#This Row],[Almacén de Retiro]]),"")</f>
        <v/>
      </c>
      <c r="S512" s="11" t="str">
        <f>IFERROR(IF(MARÍTIMOS[[#This Row],[Etapa Retiro - Cita]]="","",MARÍTIMOS[[#This Row],[Etapa Retiro - Cita]]),"")</f>
        <v/>
      </c>
      <c r="T512" s="11" t="str">
        <f>IFERROR(IF(MARÍTIMOS[[#This Row],[Etapa Retiro - Llegada]]="","",MARÍTIMOS[[#This Row],[Etapa Retiro - Llegada]]),"")</f>
        <v/>
      </c>
      <c r="U512" s="11" t="str">
        <f>IFERROR(IF(MARÍTIMOS[[#This Row],[Etapa Retiro - Ingreso]]="","",MARÍTIMOS[[#This Row],[Etapa Retiro - Ingreso]]),"")</f>
        <v/>
      </c>
      <c r="V512" s="11" t="str">
        <f>IFERROR(IF(MARÍTIMOS[[#This Row],[Etapa Retiro - Atención]]="","",MARÍTIMOS[[#This Row],[Etapa Retiro - Atención]]),"")</f>
        <v/>
      </c>
      <c r="W512" s="11" t="str">
        <f>IFERROR(IF(MARÍTIMOS[[#This Row],[Etapa Retiro - Atención]]="","",MARÍTIMOS[[#This Row],[Etapa Retiro - Atención]]),"")</f>
        <v/>
      </c>
      <c r="X512" s="11" t="str">
        <f>IFERROR(IF(MARÍTIMOS[[#This Row],[Etapa Retiro - Inicio de Ruta]]="","",MARÍTIMOS[[#This Row],[Etapa Retiro - Inicio de Ruta]]),"")</f>
        <v/>
      </c>
      <c r="Y512" s="11" t="str">
        <f>IFERROR(IF(MARÍTIMOS[[#This Row],[Hora de Posicionamiento]]="","",MARÍTIMOS[[#This Row],[Fecha de Carga]]+MARÍTIMOS[[#This Row],[Hora de Posicionamiento]]),"")</f>
        <v/>
      </c>
      <c r="Z512" s="11" t="str">
        <f>IFERROR(IF(MARÍTIMOS[[#This Row],[Etapa Despacho - Llegada]]="","",MARÍTIMOS[[#This Row],[Etapa Despacho - Llegada]]),"")</f>
        <v/>
      </c>
      <c r="AA512" s="11" t="str">
        <f>IFERROR(IF(MARÍTIMOS[[#This Row],[Etapa Despacho - Registro]]="","",MARÍTIMOS[[#This Row],[Etapa Despacho - Registro]]),"")</f>
        <v/>
      </c>
      <c r="AB512" s="11" t="str">
        <f>IFERROR(IF(MARÍTIMOS[[#This Row],[Inspección Externa]]="","",MARÍTIMOS[[#This Row],[Inspección Externa]]),"")</f>
        <v/>
      </c>
      <c r="AC512" s="11" t="str">
        <f>IFERROR(IF(MARÍTIMOS[[#This Row],[Etapa Despacho - Inicio de Carga]]="","",MARÍTIMOS[[#This Row],[Etapa Despacho - Inicio de Carga]]),"")</f>
        <v/>
      </c>
      <c r="AD512" s="11" t="str">
        <f>IFERROR(IF(MARÍTIMOS[[#This Row],[Etapa Despacho - Mitad de Carga]]="","",MARÍTIMOS[[#This Row],[Etapa Despacho - Mitad de Carga]]),"")</f>
        <v/>
      </c>
      <c r="AE512" s="11" t="str">
        <f>IFERROR(IF(MARÍTIMOS[[#This Row],[Etapa Despacho - Fin de Carga]]="","",MARÍTIMOS[[#This Row],[Etapa Despacho - Fin de Carga]]),"")</f>
        <v/>
      </c>
      <c r="AF512" s="2" t="str">
        <f>IFERROR(IF(MARÍTIMOS[[#This Row],[Puerto de Embarque]]="","",MARÍTIMOS[[#This Row],[Puerto de Embarque]]),"")</f>
        <v/>
      </c>
      <c r="AG512" s="2" t="str">
        <f>IFERROR(IF(MARÍTIMOS[[#This Row],[Almacén de Ingreso]]="","",MARÍTIMOS[[#This Row],[Almacén de Ingreso]]),"")</f>
        <v/>
      </c>
      <c r="AH512" s="11" t="str">
        <f>IFERROR(IF(MARÍTIMOS[[#This Row],[Etapa Ingreso - Cita]]="","",MARÍTIMOS[[#This Row],[Etapa Ingreso - Cita]]),"")</f>
        <v/>
      </c>
      <c r="AI512" s="11" t="str">
        <f>IFERROR(IF(MARÍTIMOS[[#This Row],[Etapa Ingreso - Llegada]]="","",MARÍTIMOS[[#This Row],[Etapa Ingreso - Llegada]]),"")</f>
        <v/>
      </c>
      <c r="AJ512" s="11" t="str">
        <f>IFERROR(IF(MARÍTIMOS[[#This Row],[Etapa Ingreso - Ingeso]]="","",MARÍTIMOS[[#This Row],[Etapa Ingreso - Ingeso]]),"")</f>
        <v/>
      </c>
      <c r="AK512" s="11" t="str">
        <f>IFERROR(IF(MARÍTIMOS[[#This Row],[Etapa Ingreso - Atención]]="","",MARÍTIMOS[[#This Row],[Etapa Ingreso - Atención]]),"")</f>
        <v/>
      </c>
      <c r="AL512" s="11" t="str">
        <f>IFERROR(IF(MARÍTIMOS[[#This Row],[Etapa Ingreso - Salida]]="","",MARÍTIMOS[[#This Row],[Etapa Ingreso - Salida]]),"")</f>
        <v/>
      </c>
      <c r="AM512" s="2" t="str">
        <f>IFERROR(IF(MARÍTIMOS[[#This Row],[FCL]]="","",MARÍTIMOS[[#This Row],[FCL]]),"")</f>
        <v/>
      </c>
      <c r="AN5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2" s="4" t="str" cm="1">
        <f t="array" ref="AO5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2" s="5" t="str">
        <f>IFERROR(OLDBD[[#This Row],[Llegada a packing]]-OLDBD[[#This Row],[Inicio de Ruta]],"")</f>
        <v/>
      </c>
      <c r="AQ512" s="6" t="str">
        <f>IFERROR(OLDBD[[#This Row],[Inicio de Ruta]]-OLDBD[[#This Row],[Salida de almacén de retiro]],"")</f>
        <v/>
      </c>
      <c r="AR5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2" s="8" t="str" cm="1">
        <f t="array" ref="AS5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2" s="9" t="str">
        <f>IFERROR(OLDBD[[#This Row],[Ingreso Packing]]-OLDBD[[#This Row],[Registro en Packing]],"")</f>
        <v/>
      </c>
      <c r="AV512" s="9" t="str">
        <f>IFERROR(OLDBD[[#This Row],[Ingreso Packing]]-OLDBD[[#This Row],[Llegada a packing]],"")</f>
        <v/>
      </c>
      <c r="AW5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2" s="5" t="str">
        <f>IFERROR(OLDBD[[#This Row],[Llegada Almacén de Ingreso]]-OLDBD[[#This Row],[Salida Packing]],"")</f>
        <v/>
      </c>
      <c r="AY512" s="4" t="str" cm="1">
        <f t="array" ref="AY5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2" s="43" t="s">
        <v>173</v>
      </c>
      <c r="BB512" s="47" t="str">
        <f>IFERROR(IF(MARÍTIMOS[[#This Row],[Estatus]]="","",MARÍTIMOS[[#This Row],[Estatus]]),"")</f>
        <v/>
      </c>
      <c r="BC512" s="43"/>
      <c r="BD512" s="46" t="str">
        <f>IFERROR(OLDBD[[#This Row],[Salida de almacén de retiro]]-OLDBD[[#This Row],[Ingreso Almacén de retiro]],"")</f>
        <v/>
      </c>
      <c r="BE512" s="46" t="str">
        <f>IFERROR(OLDBD[[#This Row],[Fin de Carga]]-OLDBD[[#This Row],[Inicio de Carga]],"")</f>
        <v/>
      </c>
    </row>
    <row r="513" spans="1:57" customFormat="1" hidden="1">
      <c r="A513" s="1"/>
      <c r="B513" s="1" t="str">
        <f>IFERROR(IF(MARÍTIMOS[[#This Row],[PP]]="","",MARÍTIMOS[[#This Row],[PP]]),"")</f>
        <v/>
      </c>
      <c r="C513" s="1" t="str">
        <f>IFERROR(IF(MARÍTIMOS[[#This Row],[Sede]]="","",MARÍTIMOS[[#This Row],[Sede]]),"")</f>
        <v/>
      </c>
      <c r="D513" s="1" t="str">
        <f>IFERROR(IF(MARÍTIMOS[[#This Row],[Instruction]]="","",MARÍTIMOS[[#This Row],[Instruction]]),"")</f>
        <v/>
      </c>
      <c r="E513" s="1"/>
      <c r="F513" s="2" t="str">
        <f>IFERROR(IF(MARÍTIMOS[[#This Row],[Transportista]]="","",MARÍTIMOS[[#This Row],[Transportista]]),"")</f>
        <v/>
      </c>
      <c r="G513" s="2" t="str">
        <f>IFERROR(IF(MARÍTIMOS[[#This Row],[Tercero]]="","",MARÍTIMOS[[#This Row],[Tercero]]),"")</f>
        <v/>
      </c>
      <c r="H513" s="2" t="str">
        <f>IFERROR(IF(MARÍTIMOS[[#This Row],[Razón Social]]="","",MARÍTIMOS[[#This Row],[Razón Social]]),"")</f>
        <v/>
      </c>
      <c r="I513" s="2" t="str">
        <f>IFERROR(IF(MARÍTIMOS[[#This Row],[RUC]]="","",MARÍTIMOS[[#This Row],[RUC]]),"")</f>
        <v/>
      </c>
      <c r="J513" s="2" t="str">
        <f>IFERROR(IF(MARÍTIMOS[[#This Row],[Placa Tracto]]="","",MARÍTIMOS[[#This Row],[Placa Tracto]]),"")</f>
        <v/>
      </c>
      <c r="K513" s="2" t="str">
        <f>IFERROR(IF(MARÍTIMOS[[#This Row],[Placa Carreta]]="","",MARÍTIMOS[[#This Row],[Placa Carreta]]),"")</f>
        <v/>
      </c>
      <c r="L513" s="44" t="str">
        <f>IFERROR(IF(MARÍTIMOS[[#This Row],[Conductor]]="","",MARÍTIMOS[[#This Row],[Conductor]]),"")</f>
        <v/>
      </c>
      <c r="M513" s="2" t="str">
        <f>IFERROR(IF(MARÍTIMOS[[#This Row],[Licencia]]="","",MARÍTIMOS[[#This Row],[Licencia]]),"")</f>
        <v/>
      </c>
      <c r="N513" s="2" t="str">
        <f>IFERROR(IF(MARÍTIMOS[[#This Row],[Número de Contacto]]="","",MARÍTIMOS[[#This Row],[Número de Contacto]]),"")</f>
        <v/>
      </c>
      <c r="O513" s="10" t="str">
        <f>IFERROR(IF(MARÍTIMOS[[#This Row],[Booking|AWB|CRT]]="","",MARÍTIMOS[[#This Row],[Booking|AWB|CRT]]),"")</f>
        <v/>
      </c>
      <c r="P513" s="2" t="str">
        <f>IFERROR(IF(MARÍTIMOS[[#This Row],[Contenedor]]="","",MARÍTIMOS[[#This Row],[Contenedor]]),"")</f>
        <v/>
      </c>
      <c r="Q513" s="2" t="str">
        <f>IFERROR(IF(MARÍTIMOS[[#This Row],[Puerto de Retiro]]="","",MARÍTIMOS[[#This Row],[Puerto de Retiro]]),"")</f>
        <v/>
      </c>
      <c r="R513" s="2" t="str">
        <f>IFERROR(IF(MARÍTIMOS[[#This Row],[Almacén de Retiro]]="","",MARÍTIMOS[[#This Row],[Almacén de Retiro]]),"")</f>
        <v/>
      </c>
      <c r="S513" s="11" t="str">
        <f>IFERROR(IF(MARÍTIMOS[[#This Row],[Etapa Retiro - Cita]]="","",MARÍTIMOS[[#This Row],[Etapa Retiro - Cita]]),"")</f>
        <v/>
      </c>
      <c r="T513" s="11" t="str">
        <f>IFERROR(IF(MARÍTIMOS[[#This Row],[Etapa Retiro - Llegada]]="","",MARÍTIMOS[[#This Row],[Etapa Retiro - Llegada]]),"")</f>
        <v/>
      </c>
      <c r="U513" s="11" t="str">
        <f>IFERROR(IF(MARÍTIMOS[[#This Row],[Etapa Retiro - Ingreso]]="","",MARÍTIMOS[[#This Row],[Etapa Retiro - Ingreso]]),"")</f>
        <v/>
      </c>
      <c r="V513" s="11" t="str">
        <f>IFERROR(IF(MARÍTIMOS[[#This Row],[Etapa Retiro - Atención]]="","",MARÍTIMOS[[#This Row],[Etapa Retiro - Atención]]),"")</f>
        <v/>
      </c>
      <c r="W513" s="11" t="str">
        <f>IFERROR(IF(MARÍTIMOS[[#This Row],[Etapa Retiro - Atención]]="","",MARÍTIMOS[[#This Row],[Etapa Retiro - Atención]]),"")</f>
        <v/>
      </c>
      <c r="X513" s="11" t="str">
        <f>IFERROR(IF(MARÍTIMOS[[#This Row],[Etapa Retiro - Inicio de Ruta]]="","",MARÍTIMOS[[#This Row],[Etapa Retiro - Inicio de Ruta]]),"")</f>
        <v/>
      </c>
      <c r="Y513" s="11" t="str">
        <f>IFERROR(IF(MARÍTIMOS[[#This Row],[Hora de Posicionamiento]]="","",MARÍTIMOS[[#This Row],[Fecha de Carga]]+MARÍTIMOS[[#This Row],[Hora de Posicionamiento]]),"")</f>
        <v/>
      </c>
      <c r="Z513" s="11" t="str">
        <f>IFERROR(IF(MARÍTIMOS[[#This Row],[Etapa Despacho - Llegada]]="","",MARÍTIMOS[[#This Row],[Etapa Despacho - Llegada]]),"")</f>
        <v/>
      </c>
      <c r="AA513" s="11" t="str">
        <f>IFERROR(IF(MARÍTIMOS[[#This Row],[Etapa Despacho - Registro]]="","",MARÍTIMOS[[#This Row],[Etapa Despacho - Registro]]),"")</f>
        <v/>
      </c>
      <c r="AB513" s="11" t="str">
        <f>IFERROR(IF(MARÍTIMOS[[#This Row],[Inspección Externa]]="","",MARÍTIMOS[[#This Row],[Inspección Externa]]),"")</f>
        <v/>
      </c>
      <c r="AC513" s="11" t="str">
        <f>IFERROR(IF(MARÍTIMOS[[#This Row],[Etapa Despacho - Inicio de Carga]]="","",MARÍTIMOS[[#This Row],[Etapa Despacho - Inicio de Carga]]),"")</f>
        <v/>
      </c>
      <c r="AD513" s="11" t="str">
        <f>IFERROR(IF(MARÍTIMOS[[#This Row],[Etapa Despacho - Mitad de Carga]]="","",MARÍTIMOS[[#This Row],[Etapa Despacho - Mitad de Carga]]),"")</f>
        <v/>
      </c>
      <c r="AE513" s="11" t="str">
        <f>IFERROR(IF(MARÍTIMOS[[#This Row],[Etapa Despacho - Fin de Carga]]="","",MARÍTIMOS[[#This Row],[Etapa Despacho - Fin de Carga]]),"")</f>
        <v/>
      </c>
      <c r="AF513" s="2" t="str">
        <f>IFERROR(IF(MARÍTIMOS[[#This Row],[Puerto de Embarque]]="","",MARÍTIMOS[[#This Row],[Puerto de Embarque]]),"")</f>
        <v/>
      </c>
      <c r="AG513" s="2" t="str">
        <f>IFERROR(IF(MARÍTIMOS[[#This Row],[Almacén de Ingreso]]="","",MARÍTIMOS[[#This Row],[Almacén de Ingreso]]),"")</f>
        <v/>
      </c>
      <c r="AH513" s="11" t="str">
        <f>IFERROR(IF(MARÍTIMOS[[#This Row],[Etapa Ingreso - Cita]]="","",MARÍTIMOS[[#This Row],[Etapa Ingreso - Cita]]),"")</f>
        <v/>
      </c>
      <c r="AI513" s="11" t="str">
        <f>IFERROR(IF(MARÍTIMOS[[#This Row],[Etapa Ingreso - Llegada]]="","",MARÍTIMOS[[#This Row],[Etapa Ingreso - Llegada]]),"")</f>
        <v/>
      </c>
      <c r="AJ513" s="11" t="str">
        <f>IFERROR(IF(MARÍTIMOS[[#This Row],[Etapa Ingreso - Ingeso]]="","",MARÍTIMOS[[#This Row],[Etapa Ingreso - Ingeso]]),"")</f>
        <v/>
      </c>
      <c r="AK513" s="11" t="str">
        <f>IFERROR(IF(MARÍTIMOS[[#This Row],[Etapa Ingreso - Atención]]="","",MARÍTIMOS[[#This Row],[Etapa Ingreso - Atención]]),"")</f>
        <v/>
      </c>
      <c r="AL513" s="11" t="str">
        <f>IFERROR(IF(MARÍTIMOS[[#This Row],[Etapa Ingreso - Salida]]="","",MARÍTIMOS[[#This Row],[Etapa Ingreso - Salida]]),"")</f>
        <v/>
      </c>
      <c r="AM513" s="2" t="str">
        <f>IFERROR(IF(MARÍTIMOS[[#This Row],[FCL]]="","",MARÍTIMOS[[#This Row],[FCL]]),"")</f>
        <v/>
      </c>
      <c r="AN5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3" s="4" t="str" cm="1">
        <f t="array" ref="AO5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3" s="5" t="str">
        <f>IFERROR(OLDBD[[#This Row],[Llegada a packing]]-OLDBD[[#This Row],[Inicio de Ruta]],"")</f>
        <v/>
      </c>
      <c r="AQ513" s="6" t="str">
        <f>IFERROR(OLDBD[[#This Row],[Inicio de Ruta]]-OLDBD[[#This Row],[Salida de almacén de retiro]],"")</f>
        <v/>
      </c>
      <c r="AR5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3" s="8" t="str" cm="1">
        <f t="array" ref="AS5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3" s="9" t="str">
        <f>IFERROR(OLDBD[[#This Row],[Ingreso Packing]]-OLDBD[[#This Row],[Registro en Packing]],"")</f>
        <v/>
      </c>
      <c r="AV513" s="9" t="str">
        <f>IFERROR(OLDBD[[#This Row],[Ingreso Packing]]-OLDBD[[#This Row],[Llegada a packing]],"")</f>
        <v/>
      </c>
      <c r="AW5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3" s="5" t="str">
        <f>IFERROR(OLDBD[[#This Row],[Llegada Almacén de Ingreso]]-OLDBD[[#This Row],[Salida Packing]],"")</f>
        <v/>
      </c>
      <c r="AY513" s="4" t="str" cm="1">
        <f t="array" ref="AY5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3" s="43" t="s">
        <v>173</v>
      </c>
      <c r="BB513" s="47" t="str">
        <f>IFERROR(IF(MARÍTIMOS[[#This Row],[Estatus]]="","",MARÍTIMOS[[#This Row],[Estatus]]),"")</f>
        <v/>
      </c>
      <c r="BC513" s="43"/>
      <c r="BD513" s="46" t="str">
        <f>IFERROR(OLDBD[[#This Row],[Salida de almacén de retiro]]-OLDBD[[#This Row],[Ingreso Almacén de retiro]],"")</f>
        <v/>
      </c>
      <c r="BE513" s="46" t="str">
        <f>IFERROR(OLDBD[[#This Row],[Fin de Carga]]-OLDBD[[#This Row],[Inicio de Carga]],"")</f>
        <v/>
      </c>
    </row>
    <row r="514" spans="1:57" customFormat="1" hidden="1">
      <c r="A514" s="1"/>
      <c r="B514" s="1" t="str">
        <f>IFERROR(IF(MARÍTIMOS[[#This Row],[PP]]="","",MARÍTIMOS[[#This Row],[PP]]),"")</f>
        <v/>
      </c>
      <c r="C514" s="1" t="str">
        <f>IFERROR(IF(MARÍTIMOS[[#This Row],[Sede]]="","",MARÍTIMOS[[#This Row],[Sede]]),"")</f>
        <v/>
      </c>
      <c r="D514" s="1" t="str">
        <f>IFERROR(IF(MARÍTIMOS[[#This Row],[Instruction]]="","",MARÍTIMOS[[#This Row],[Instruction]]),"")</f>
        <v/>
      </c>
      <c r="E514" s="1"/>
      <c r="F514" s="2" t="str">
        <f>IFERROR(IF(MARÍTIMOS[[#This Row],[Transportista]]="","",MARÍTIMOS[[#This Row],[Transportista]]),"")</f>
        <v/>
      </c>
      <c r="G514" s="2" t="str">
        <f>IFERROR(IF(MARÍTIMOS[[#This Row],[Tercero]]="","",MARÍTIMOS[[#This Row],[Tercero]]),"")</f>
        <v/>
      </c>
      <c r="H514" s="2" t="str">
        <f>IFERROR(IF(MARÍTIMOS[[#This Row],[Razón Social]]="","",MARÍTIMOS[[#This Row],[Razón Social]]),"")</f>
        <v/>
      </c>
      <c r="I514" s="2" t="str">
        <f>IFERROR(IF(MARÍTIMOS[[#This Row],[RUC]]="","",MARÍTIMOS[[#This Row],[RUC]]),"")</f>
        <v/>
      </c>
      <c r="J514" s="2" t="str">
        <f>IFERROR(IF(MARÍTIMOS[[#This Row],[Placa Tracto]]="","",MARÍTIMOS[[#This Row],[Placa Tracto]]),"")</f>
        <v/>
      </c>
      <c r="K514" s="2" t="str">
        <f>IFERROR(IF(MARÍTIMOS[[#This Row],[Placa Carreta]]="","",MARÍTIMOS[[#This Row],[Placa Carreta]]),"")</f>
        <v/>
      </c>
      <c r="L514" s="44" t="str">
        <f>IFERROR(IF(MARÍTIMOS[[#This Row],[Conductor]]="","",MARÍTIMOS[[#This Row],[Conductor]]),"")</f>
        <v/>
      </c>
      <c r="M514" s="2" t="str">
        <f>IFERROR(IF(MARÍTIMOS[[#This Row],[Licencia]]="","",MARÍTIMOS[[#This Row],[Licencia]]),"")</f>
        <v/>
      </c>
      <c r="N514" s="2" t="str">
        <f>IFERROR(IF(MARÍTIMOS[[#This Row],[Número de Contacto]]="","",MARÍTIMOS[[#This Row],[Número de Contacto]]),"")</f>
        <v/>
      </c>
      <c r="O514" s="10" t="str">
        <f>IFERROR(IF(MARÍTIMOS[[#This Row],[Booking|AWB|CRT]]="","",MARÍTIMOS[[#This Row],[Booking|AWB|CRT]]),"")</f>
        <v/>
      </c>
      <c r="P514" s="2" t="str">
        <f>IFERROR(IF(MARÍTIMOS[[#This Row],[Contenedor]]="","",MARÍTIMOS[[#This Row],[Contenedor]]),"")</f>
        <v/>
      </c>
      <c r="Q514" s="2" t="str">
        <f>IFERROR(IF(MARÍTIMOS[[#This Row],[Puerto de Retiro]]="","",MARÍTIMOS[[#This Row],[Puerto de Retiro]]),"")</f>
        <v/>
      </c>
      <c r="R514" s="2" t="str">
        <f>IFERROR(IF(MARÍTIMOS[[#This Row],[Almacén de Retiro]]="","",MARÍTIMOS[[#This Row],[Almacén de Retiro]]),"")</f>
        <v/>
      </c>
      <c r="S514" s="11" t="str">
        <f>IFERROR(IF(MARÍTIMOS[[#This Row],[Etapa Retiro - Cita]]="","",MARÍTIMOS[[#This Row],[Etapa Retiro - Cita]]),"")</f>
        <v/>
      </c>
      <c r="T514" s="11" t="str">
        <f>IFERROR(IF(MARÍTIMOS[[#This Row],[Etapa Retiro - Llegada]]="","",MARÍTIMOS[[#This Row],[Etapa Retiro - Llegada]]),"")</f>
        <v/>
      </c>
      <c r="U514" s="11" t="str">
        <f>IFERROR(IF(MARÍTIMOS[[#This Row],[Etapa Retiro - Ingreso]]="","",MARÍTIMOS[[#This Row],[Etapa Retiro - Ingreso]]),"")</f>
        <v/>
      </c>
      <c r="V514" s="11" t="str">
        <f>IFERROR(IF(MARÍTIMOS[[#This Row],[Etapa Retiro - Atención]]="","",MARÍTIMOS[[#This Row],[Etapa Retiro - Atención]]),"")</f>
        <v/>
      </c>
      <c r="W514" s="11" t="str">
        <f>IFERROR(IF(MARÍTIMOS[[#This Row],[Etapa Retiro - Atención]]="","",MARÍTIMOS[[#This Row],[Etapa Retiro - Atención]]),"")</f>
        <v/>
      </c>
      <c r="X514" s="11" t="str">
        <f>IFERROR(IF(MARÍTIMOS[[#This Row],[Etapa Retiro - Inicio de Ruta]]="","",MARÍTIMOS[[#This Row],[Etapa Retiro - Inicio de Ruta]]),"")</f>
        <v/>
      </c>
      <c r="Y514" s="11" t="str">
        <f>IFERROR(IF(MARÍTIMOS[[#This Row],[Hora de Posicionamiento]]="","",MARÍTIMOS[[#This Row],[Fecha de Carga]]+MARÍTIMOS[[#This Row],[Hora de Posicionamiento]]),"")</f>
        <v/>
      </c>
      <c r="Z514" s="11" t="str">
        <f>IFERROR(IF(MARÍTIMOS[[#This Row],[Etapa Despacho - Llegada]]="","",MARÍTIMOS[[#This Row],[Etapa Despacho - Llegada]]),"")</f>
        <v/>
      </c>
      <c r="AA514" s="11" t="str">
        <f>IFERROR(IF(MARÍTIMOS[[#This Row],[Etapa Despacho - Registro]]="","",MARÍTIMOS[[#This Row],[Etapa Despacho - Registro]]),"")</f>
        <v/>
      </c>
      <c r="AB514" s="11" t="str">
        <f>IFERROR(IF(MARÍTIMOS[[#This Row],[Inspección Externa]]="","",MARÍTIMOS[[#This Row],[Inspección Externa]]),"")</f>
        <v/>
      </c>
      <c r="AC514" s="11" t="str">
        <f>IFERROR(IF(MARÍTIMOS[[#This Row],[Etapa Despacho - Inicio de Carga]]="","",MARÍTIMOS[[#This Row],[Etapa Despacho - Inicio de Carga]]),"")</f>
        <v/>
      </c>
      <c r="AD514" s="11" t="str">
        <f>IFERROR(IF(MARÍTIMOS[[#This Row],[Etapa Despacho - Mitad de Carga]]="","",MARÍTIMOS[[#This Row],[Etapa Despacho - Mitad de Carga]]),"")</f>
        <v/>
      </c>
      <c r="AE514" s="11" t="str">
        <f>IFERROR(IF(MARÍTIMOS[[#This Row],[Etapa Despacho - Fin de Carga]]="","",MARÍTIMOS[[#This Row],[Etapa Despacho - Fin de Carga]]),"")</f>
        <v/>
      </c>
      <c r="AF514" s="2" t="str">
        <f>IFERROR(IF(MARÍTIMOS[[#This Row],[Puerto de Embarque]]="","",MARÍTIMOS[[#This Row],[Puerto de Embarque]]),"")</f>
        <v/>
      </c>
      <c r="AG514" s="2" t="str">
        <f>IFERROR(IF(MARÍTIMOS[[#This Row],[Almacén de Ingreso]]="","",MARÍTIMOS[[#This Row],[Almacén de Ingreso]]),"")</f>
        <v/>
      </c>
      <c r="AH514" s="11" t="str">
        <f>IFERROR(IF(MARÍTIMOS[[#This Row],[Etapa Ingreso - Cita]]="","",MARÍTIMOS[[#This Row],[Etapa Ingreso - Cita]]),"")</f>
        <v/>
      </c>
      <c r="AI514" s="11" t="str">
        <f>IFERROR(IF(MARÍTIMOS[[#This Row],[Etapa Ingreso - Llegada]]="","",MARÍTIMOS[[#This Row],[Etapa Ingreso - Llegada]]),"")</f>
        <v/>
      </c>
      <c r="AJ514" s="11" t="str">
        <f>IFERROR(IF(MARÍTIMOS[[#This Row],[Etapa Ingreso - Ingeso]]="","",MARÍTIMOS[[#This Row],[Etapa Ingreso - Ingeso]]),"")</f>
        <v/>
      </c>
      <c r="AK514" s="11" t="str">
        <f>IFERROR(IF(MARÍTIMOS[[#This Row],[Etapa Ingreso - Atención]]="","",MARÍTIMOS[[#This Row],[Etapa Ingreso - Atención]]),"")</f>
        <v/>
      </c>
      <c r="AL514" s="11" t="str">
        <f>IFERROR(IF(MARÍTIMOS[[#This Row],[Etapa Ingreso - Salida]]="","",MARÍTIMOS[[#This Row],[Etapa Ingreso - Salida]]),"")</f>
        <v/>
      </c>
      <c r="AM514" s="2" t="str">
        <f>IFERROR(IF(MARÍTIMOS[[#This Row],[FCL]]="","",MARÍTIMOS[[#This Row],[FCL]]),"")</f>
        <v/>
      </c>
      <c r="AN5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4" s="4" t="str" cm="1">
        <f t="array" ref="AO5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4" s="5" t="str">
        <f>IFERROR(OLDBD[[#This Row],[Llegada a packing]]-OLDBD[[#This Row],[Inicio de Ruta]],"")</f>
        <v/>
      </c>
      <c r="AQ514" s="6" t="str">
        <f>IFERROR(OLDBD[[#This Row],[Inicio de Ruta]]-OLDBD[[#This Row],[Salida de almacén de retiro]],"")</f>
        <v/>
      </c>
      <c r="AR5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4" s="8" t="str" cm="1">
        <f t="array" ref="AS5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4" s="9" t="str">
        <f>IFERROR(OLDBD[[#This Row],[Ingreso Packing]]-OLDBD[[#This Row],[Registro en Packing]],"")</f>
        <v/>
      </c>
      <c r="AV514" s="9" t="str">
        <f>IFERROR(OLDBD[[#This Row],[Ingreso Packing]]-OLDBD[[#This Row],[Llegada a packing]],"")</f>
        <v/>
      </c>
      <c r="AW5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4" s="5" t="str">
        <f>IFERROR(OLDBD[[#This Row],[Llegada Almacén de Ingreso]]-OLDBD[[#This Row],[Salida Packing]],"")</f>
        <v/>
      </c>
      <c r="AY514" s="4" t="str" cm="1">
        <f t="array" ref="AY5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4" s="43" t="s">
        <v>173</v>
      </c>
      <c r="BB514" s="47" t="str">
        <f>IFERROR(IF(MARÍTIMOS[[#This Row],[Estatus]]="","",MARÍTIMOS[[#This Row],[Estatus]]),"")</f>
        <v/>
      </c>
      <c r="BC514" s="43"/>
      <c r="BD514" s="46" t="str">
        <f>IFERROR(OLDBD[[#This Row],[Salida de almacén de retiro]]-OLDBD[[#This Row],[Ingreso Almacén de retiro]],"")</f>
        <v/>
      </c>
      <c r="BE514" s="46" t="str">
        <f>IFERROR(OLDBD[[#This Row],[Fin de Carga]]-OLDBD[[#This Row],[Inicio de Carga]],"")</f>
        <v/>
      </c>
    </row>
    <row r="515" spans="1:57" customFormat="1" hidden="1">
      <c r="A515" s="1"/>
      <c r="B515" s="1" t="str">
        <f>IFERROR(IF(MARÍTIMOS[[#This Row],[PP]]="","",MARÍTIMOS[[#This Row],[PP]]),"")</f>
        <v/>
      </c>
      <c r="C515" s="1" t="str">
        <f>IFERROR(IF(MARÍTIMOS[[#This Row],[Sede]]="","",MARÍTIMOS[[#This Row],[Sede]]),"")</f>
        <v/>
      </c>
      <c r="D515" s="1" t="str">
        <f>IFERROR(IF(MARÍTIMOS[[#This Row],[Instruction]]="","",MARÍTIMOS[[#This Row],[Instruction]]),"")</f>
        <v/>
      </c>
      <c r="E515" s="1"/>
      <c r="F515" s="2" t="str">
        <f>IFERROR(IF(MARÍTIMOS[[#This Row],[Transportista]]="","",MARÍTIMOS[[#This Row],[Transportista]]),"")</f>
        <v/>
      </c>
      <c r="G515" s="2" t="str">
        <f>IFERROR(IF(MARÍTIMOS[[#This Row],[Tercero]]="","",MARÍTIMOS[[#This Row],[Tercero]]),"")</f>
        <v/>
      </c>
      <c r="H515" s="2" t="str">
        <f>IFERROR(IF(MARÍTIMOS[[#This Row],[Razón Social]]="","",MARÍTIMOS[[#This Row],[Razón Social]]),"")</f>
        <v/>
      </c>
      <c r="I515" s="2" t="str">
        <f>IFERROR(IF(MARÍTIMOS[[#This Row],[RUC]]="","",MARÍTIMOS[[#This Row],[RUC]]),"")</f>
        <v/>
      </c>
      <c r="J515" s="2" t="str">
        <f>IFERROR(IF(MARÍTIMOS[[#This Row],[Placa Tracto]]="","",MARÍTIMOS[[#This Row],[Placa Tracto]]),"")</f>
        <v/>
      </c>
      <c r="K515" s="2" t="str">
        <f>IFERROR(IF(MARÍTIMOS[[#This Row],[Placa Carreta]]="","",MARÍTIMOS[[#This Row],[Placa Carreta]]),"")</f>
        <v/>
      </c>
      <c r="L515" s="44" t="str">
        <f>IFERROR(IF(MARÍTIMOS[[#This Row],[Conductor]]="","",MARÍTIMOS[[#This Row],[Conductor]]),"")</f>
        <v/>
      </c>
      <c r="M515" s="2" t="str">
        <f>IFERROR(IF(MARÍTIMOS[[#This Row],[Licencia]]="","",MARÍTIMOS[[#This Row],[Licencia]]),"")</f>
        <v/>
      </c>
      <c r="N515" s="2" t="str">
        <f>IFERROR(IF(MARÍTIMOS[[#This Row],[Número de Contacto]]="","",MARÍTIMOS[[#This Row],[Número de Contacto]]),"")</f>
        <v/>
      </c>
      <c r="O515" s="10" t="str">
        <f>IFERROR(IF(MARÍTIMOS[[#This Row],[Booking|AWB|CRT]]="","",MARÍTIMOS[[#This Row],[Booking|AWB|CRT]]),"")</f>
        <v/>
      </c>
      <c r="P515" s="2" t="str">
        <f>IFERROR(IF(MARÍTIMOS[[#This Row],[Contenedor]]="","",MARÍTIMOS[[#This Row],[Contenedor]]),"")</f>
        <v/>
      </c>
      <c r="Q515" s="2" t="str">
        <f>IFERROR(IF(MARÍTIMOS[[#This Row],[Puerto de Retiro]]="","",MARÍTIMOS[[#This Row],[Puerto de Retiro]]),"")</f>
        <v/>
      </c>
      <c r="R515" s="2" t="str">
        <f>IFERROR(IF(MARÍTIMOS[[#This Row],[Almacén de Retiro]]="","",MARÍTIMOS[[#This Row],[Almacén de Retiro]]),"")</f>
        <v/>
      </c>
      <c r="S515" s="11" t="str">
        <f>IFERROR(IF(MARÍTIMOS[[#This Row],[Etapa Retiro - Cita]]="","",MARÍTIMOS[[#This Row],[Etapa Retiro - Cita]]),"")</f>
        <v/>
      </c>
      <c r="T515" s="11" t="str">
        <f>IFERROR(IF(MARÍTIMOS[[#This Row],[Etapa Retiro - Llegada]]="","",MARÍTIMOS[[#This Row],[Etapa Retiro - Llegada]]),"")</f>
        <v/>
      </c>
      <c r="U515" s="11" t="str">
        <f>IFERROR(IF(MARÍTIMOS[[#This Row],[Etapa Retiro - Ingreso]]="","",MARÍTIMOS[[#This Row],[Etapa Retiro - Ingreso]]),"")</f>
        <v/>
      </c>
      <c r="V515" s="11" t="str">
        <f>IFERROR(IF(MARÍTIMOS[[#This Row],[Etapa Retiro - Atención]]="","",MARÍTIMOS[[#This Row],[Etapa Retiro - Atención]]),"")</f>
        <v/>
      </c>
      <c r="W515" s="11" t="str">
        <f>IFERROR(IF(MARÍTIMOS[[#This Row],[Etapa Retiro - Atención]]="","",MARÍTIMOS[[#This Row],[Etapa Retiro - Atención]]),"")</f>
        <v/>
      </c>
      <c r="X515" s="11" t="str">
        <f>IFERROR(IF(MARÍTIMOS[[#This Row],[Etapa Retiro - Inicio de Ruta]]="","",MARÍTIMOS[[#This Row],[Etapa Retiro - Inicio de Ruta]]),"")</f>
        <v/>
      </c>
      <c r="Y515" s="11" t="str">
        <f>IFERROR(IF(MARÍTIMOS[[#This Row],[Hora de Posicionamiento]]="","",MARÍTIMOS[[#This Row],[Fecha de Carga]]+MARÍTIMOS[[#This Row],[Hora de Posicionamiento]]),"")</f>
        <v/>
      </c>
      <c r="Z515" s="11" t="str">
        <f>IFERROR(IF(MARÍTIMOS[[#This Row],[Etapa Despacho - Llegada]]="","",MARÍTIMOS[[#This Row],[Etapa Despacho - Llegada]]),"")</f>
        <v/>
      </c>
      <c r="AA515" s="11" t="str">
        <f>IFERROR(IF(MARÍTIMOS[[#This Row],[Etapa Despacho - Registro]]="","",MARÍTIMOS[[#This Row],[Etapa Despacho - Registro]]),"")</f>
        <v/>
      </c>
      <c r="AB515" s="11" t="str">
        <f>IFERROR(IF(MARÍTIMOS[[#This Row],[Inspección Externa]]="","",MARÍTIMOS[[#This Row],[Inspección Externa]]),"")</f>
        <v/>
      </c>
      <c r="AC515" s="11" t="str">
        <f>IFERROR(IF(MARÍTIMOS[[#This Row],[Etapa Despacho - Inicio de Carga]]="","",MARÍTIMOS[[#This Row],[Etapa Despacho - Inicio de Carga]]),"")</f>
        <v/>
      </c>
      <c r="AD515" s="11" t="str">
        <f>IFERROR(IF(MARÍTIMOS[[#This Row],[Etapa Despacho - Mitad de Carga]]="","",MARÍTIMOS[[#This Row],[Etapa Despacho - Mitad de Carga]]),"")</f>
        <v/>
      </c>
      <c r="AE515" s="11" t="str">
        <f>IFERROR(IF(MARÍTIMOS[[#This Row],[Etapa Despacho - Fin de Carga]]="","",MARÍTIMOS[[#This Row],[Etapa Despacho - Fin de Carga]]),"")</f>
        <v/>
      </c>
      <c r="AF515" s="2" t="str">
        <f>IFERROR(IF(MARÍTIMOS[[#This Row],[Puerto de Embarque]]="","",MARÍTIMOS[[#This Row],[Puerto de Embarque]]),"")</f>
        <v/>
      </c>
      <c r="AG515" s="2" t="str">
        <f>IFERROR(IF(MARÍTIMOS[[#This Row],[Almacén de Ingreso]]="","",MARÍTIMOS[[#This Row],[Almacén de Ingreso]]),"")</f>
        <v/>
      </c>
      <c r="AH515" s="11" t="str">
        <f>IFERROR(IF(MARÍTIMOS[[#This Row],[Etapa Ingreso - Cita]]="","",MARÍTIMOS[[#This Row],[Etapa Ingreso - Cita]]),"")</f>
        <v/>
      </c>
      <c r="AI515" s="11" t="str">
        <f>IFERROR(IF(MARÍTIMOS[[#This Row],[Etapa Ingreso - Llegada]]="","",MARÍTIMOS[[#This Row],[Etapa Ingreso - Llegada]]),"")</f>
        <v/>
      </c>
      <c r="AJ515" s="11" t="str">
        <f>IFERROR(IF(MARÍTIMOS[[#This Row],[Etapa Ingreso - Ingeso]]="","",MARÍTIMOS[[#This Row],[Etapa Ingreso - Ingeso]]),"")</f>
        <v/>
      </c>
      <c r="AK515" s="11" t="str">
        <f>IFERROR(IF(MARÍTIMOS[[#This Row],[Etapa Ingreso - Atención]]="","",MARÍTIMOS[[#This Row],[Etapa Ingreso - Atención]]),"")</f>
        <v/>
      </c>
      <c r="AL515" s="11" t="str">
        <f>IFERROR(IF(MARÍTIMOS[[#This Row],[Etapa Ingreso - Salida]]="","",MARÍTIMOS[[#This Row],[Etapa Ingreso - Salida]]),"")</f>
        <v/>
      </c>
      <c r="AM515" s="2" t="str">
        <f>IFERROR(IF(MARÍTIMOS[[#This Row],[FCL]]="","",MARÍTIMOS[[#This Row],[FCL]]),"")</f>
        <v/>
      </c>
      <c r="AN5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5" s="4" t="str" cm="1">
        <f t="array" ref="AO5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5" s="5" t="str">
        <f>IFERROR(OLDBD[[#This Row],[Llegada a packing]]-OLDBD[[#This Row],[Inicio de Ruta]],"")</f>
        <v/>
      </c>
      <c r="AQ515" s="6" t="str">
        <f>IFERROR(OLDBD[[#This Row],[Inicio de Ruta]]-OLDBD[[#This Row],[Salida de almacén de retiro]],"")</f>
        <v/>
      </c>
      <c r="AR5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5" s="8" t="str" cm="1">
        <f t="array" ref="AS5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5" s="9" t="str">
        <f>IFERROR(OLDBD[[#This Row],[Ingreso Packing]]-OLDBD[[#This Row],[Registro en Packing]],"")</f>
        <v/>
      </c>
      <c r="AV515" s="9" t="str">
        <f>IFERROR(OLDBD[[#This Row],[Ingreso Packing]]-OLDBD[[#This Row],[Llegada a packing]],"")</f>
        <v/>
      </c>
      <c r="AW5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5" s="5" t="str">
        <f>IFERROR(OLDBD[[#This Row],[Llegada Almacén de Ingreso]]-OLDBD[[#This Row],[Salida Packing]],"")</f>
        <v/>
      </c>
      <c r="AY515" s="4" t="str" cm="1">
        <f t="array" ref="AY5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5" s="43" t="s">
        <v>173</v>
      </c>
      <c r="BB515" s="47" t="str">
        <f>IFERROR(IF(MARÍTIMOS[[#This Row],[Estatus]]="","",MARÍTIMOS[[#This Row],[Estatus]]),"")</f>
        <v/>
      </c>
      <c r="BC515" s="43"/>
      <c r="BD515" s="46" t="str">
        <f>IFERROR(OLDBD[[#This Row],[Salida de almacén de retiro]]-OLDBD[[#This Row],[Ingreso Almacén de retiro]],"")</f>
        <v/>
      </c>
      <c r="BE515" s="46" t="str">
        <f>IFERROR(OLDBD[[#This Row],[Fin de Carga]]-OLDBD[[#This Row],[Inicio de Carga]],"")</f>
        <v/>
      </c>
    </row>
    <row r="516" spans="1:57" customFormat="1" hidden="1">
      <c r="A516" s="1"/>
      <c r="B516" s="1" t="str">
        <f>IFERROR(IF(MARÍTIMOS[[#This Row],[PP]]="","",MARÍTIMOS[[#This Row],[PP]]),"")</f>
        <v/>
      </c>
      <c r="C516" s="1" t="str">
        <f>IFERROR(IF(MARÍTIMOS[[#This Row],[Sede]]="","",MARÍTIMOS[[#This Row],[Sede]]),"")</f>
        <v/>
      </c>
      <c r="D516" s="1" t="str">
        <f>IFERROR(IF(MARÍTIMOS[[#This Row],[Instruction]]="","",MARÍTIMOS[[#This Row],[Instruction]]),"")</f>
        <v/>
      </c>
      <c r="E516" s="1"/>
      <c r="F516" s="2" t="str">
        <f>IFERROR(IF(MARÍTIMOS[[#This Row],[Transportista]]="","",MARÍTIMOS[[#This Row],[Transportista]]),"")</f>
        <v/>
      </c>
      <c r="G516" s="2" t="str">
        <f>IFERROR(IF(MARÍTIMOS[[#This Row],[Tercero]]="","",MARÍTIMOS[[#This Row],[Tercero]]),"")</f>
        <v/>
      </c>
      <c r="H516" s="2" t="str">
        <f>IFERROR(IF(MARÍTIMOS[[#This Row],[Razón Social]]="","",MARÍTIMOS[[#This Row],[Razón Social]]),"")</f>
        <v/>
      </c>
      <c r="I516" s="2" t="str">
        <f>IFERROR(IF(MARÍTIMOS[[#This Row],[RUC]]="","",MARÍTIMOS[[#This Row],[RUC]]),"")</f>
        <v/>
      </c>
      <c r="J516" s="2" t="str">
        <f>IFERROR(IF(MARÍTIMOS[[#This Row],[Placa Tracto]]="","",MARÍTIMOS[[#This Row],[Placa Tracto]]),"")</f>
        <v/>
      </c>
      <c r="K516" s="2" t="str">
        <f>IFERROR(IF(MARÍTIMOS[[#This Row],[Placa Carreta]]="","",MARÍTIMOS[[#This Row],[Placa Carreta]]),"")</f>
        <v/>
      </c>
      <c r="L516" s="44" t="str">
        <f>IFERROR(IF(MARÍTIMOS[[#This Row],[Conductor]]="","",MARÍTIMOS[[#This Row],[Conductor]]),"")</f>
        <v/>
      </c>
      <c r="M516" s="2" t="str">
        <f>IFERROR(IF(MARÍTIMOS[[#This Row],[Licencia]]="","",MARÍTIMOS[[#This Row],[Licencia]]),"")</f>
        <v/>
      </c>
      <c r="N516" s="2" t="str">
        <f>IFERROR(IF(MARÍTIMOS[[#This Row],[Número de Contacto]]="","",MARÍTIMOS[[#This Row],[Número de Contacto]]),"")</f>
        <v/>
      </c>
      <c r="O516" s="10" t="str">
        <f>IFERROR(IF(MARÍTIMOS[[#This Row],[Booking|AWB|CRT]]="","",MARÍTIMOS[[#This Row],[Booking|AWB|CRT]]),"")</f>
        <v/>
      </c>
      <c r="P516" s="2" t="str">
        <f>IFERROR(IF(MARÍTIMOS[[#This Row],[Contenedor]]="","",MARÍTIMOS[[#This Row],[Contenedor]]),"")</f>
        <v/>
      </c>
      <c r="Q516" s="2" t="str">
        <f>IFERROR(IF(MARÍTIMOS[[#This Row],[Puerto de Retiro]]="","",MARÍTIMOS[[#This Row],[Puerto de Retiro]]),"")</f>
        <v/>
      </c>
      <c r="R516" s="2" t="str">
        <f>IFERROR(IF(MARÍTIMOS[[#This Row],[Almacén de Retiro]]="","",MARÍTIMOS[[#This Row],[Almacén de Retiro]]),"")</f>
        <v/>
      </c>
      <c r="S516" s="11" t="str">
        <f>IFERROR(IF(MARÍTIMOS[[#This Row],[Etapa Retiro - Cita]]="","",MARÍTIMOS[[#This Row],[Etapa Retiro - Cita]]),"")</f>
        <v/>
      </c>
      <c r="T516" s="11" t="str">
        <f>IFERROR(IF(MARÍTIMOS[[#This Row],[Etapa Retiro - Llegada]]="","",MARÍTIMOS[[#This Row],[Etapa Retiro - Llegada]]),"")</f>
        <v/>
      </c>
      <c r="U516" s="11" t="str">
        <f>IFERROR(IF(MARÍTIMOS[[#This Row],[Etapa Retiro - Ingreso]]="","",MARÍTIMOS[[#This Row],[Etapa Retiro - Ingreso]]),"")</f>
        <v/>
      </c>
      <c r="V516" s="11" t="str">
        <f>IFERROR(IF(MARÍTIMOS[[#This Row],[Etapa Retiro - Atención]]="","",MARÍTIMOS[[#This Row],[Etapa Retiro - Atención]]),"")</f>
        <v/>
      </c>
      <c r="W516" s="11" t="str">
        <f>IFERROR(IF(MARÍTIMOS[[#This Row],[Etapa Retiro - Atención]]="","",MARÍTIMOS[[#This Row],[Etapa Retiro - Atención]]),"")</f>
        <v/>
      </c>
      <c r="X516" s="11" t="str">
        <f>IFERROR(IF(MARÍTIMOS[[#This Row],[Etapa Retiro - Inicio de Ruta]]="","",MARÍTIMOS[[#This Row],[Etapa Retiro - Inicio de Ruta]]),"")</f>
        <v/>
      </c>
      <c r="Y516" s="11" t="str">
        <f>IFERROR(IF(MARÍTIMOS[[#This Row],[Hora de Posicionamiento]]="","",MARÍTIMOS[[#This Row],[Fecha de Carga]]+MARÍTIMOS[[#This Row],[Hora de Posicionamiento]]),"")</f>
        <v/>
      </c>
      <c r="Z516" s="11" t="str">
        <f>IFERROR(IF(MARÍTIMOS[[#This Row],[Etapa Despacho - Llegada]]="","",MARÍTIMOS[[#This Row],[Etapa Despacho - Llegada]]),"")</f>
        <v/>
      </c>
      <c r="AA516" s="11" t="str">
        <f>IFERROR(IF(MARÍTIMOS[[#This Row],[Etapa Despacho - Registro]]="","",MARÍTIMOS[[#This Row],[Etapa Despacho - Registro]]),"")</f>
        <v/>
      </c>
      <c r="AB516" s="11" t="str">
        <f>IFERROR(IF(MARÍTIMOS[[#This Row],[Inspección Externa]]="","",MARÍTIMOS[[#This Row],[Inspección Externa]]),"")</f>
        <v/>
      </c>
      <c r="AC516" s="11" t="str">
        <f>IFERROR(IF(MARÍTIMOS[[#This Row],[Etapa Despacho - Inicio de Carga]]="","",MARÍTIMOS[[#This Row],[Etapa Despacho - Inicio de Carga]]),"")</f>
        <v/>
      </c>
      <c r="AD516" s="11" t="str">
        <f>IFERROR(IF(MARÍTIMOS[[#This Row],[Etapa Despacho - Mitad de Carga]]="","",MARÍTIMOS[[#This Row],[Etapa Despacho - Mitad de Carga]]),"")</f>
        <v/>
      </c>
      <c r="AE516" s="11" t="str">
        <f>IFERROR(IF(MARÍTIMOS[[#This Row],[Etapa Despacho - Fin de Carga]]="","",MARÍTIMOS[[#This Row],[Etapa Despacho - Fin de Carga]]),"")</f>
        <v/>
      </c>
      <c r="AF516" s="2" t="str">
        <f>IFERROR(IF(MARÍTIMOS[[#This Row],[Puerto de Embarque]]="","",MARÍTIMOS[[#This Row],[Puerto de Embarque]]),"")</f>
        <v/>
      </c>
      <c r="AG516" s="2" t="str">
        <f>IFERROR(IF(MARÍTIMOS[[#This Row],[Almacén de Ingreso]]="","",MARÍTIMOS[[#This Row],[Almacén de Ingreso]]),"")</f>
        <v/>
      </c>
      <c r="AH516" s="11" t="str">
        <f>IFERROR(IF(MARÍTIMOS[[#This Row],[Etapa Ingreso - Cita]]="","",MARÍTIMOS[[#This Row],[Etapa Ingreso - Cita]]),"")</f>
        <v/>
      </c>
      <c r="AI516" s="11" t="str">
        <f>IFERROR(IF(MARÍTIMOS[[#This Row],[Etapa Ingreso - Llegada]]="","",MARÍTIMOS[[#This Row],[Etapa Ingreso - Llegada]]),"")</f>
        <v/>
      </c>
      <c r="AJ516" s="11" t="str">
        <f>IFERROR(IF(MARÍTIMOS[[#This Row],[Etapa Ingreso - Ingeso]]="","",MARÍTIMOS[[#This Row],[Etapa Ingreso - Ingeso]]),"")</f>
        <v/>
      </c>
      <c r="AK516" s="11" t="str">
        <f>IFERROR(IF(MARÍTIMOS[[#This Row],[Etapa Ingreso - Atención]]="","",MARÍTIMOS[[#This Row],[Etapa Ingreso - Atención]]),"")</f>
        <v/>
      </c>
      <c r="AL516" s="11" t="str">
        <f>IFERROR(IF(MARÍTIMOS[[#This Row],[Etapa Ingreso - Salida]]="","",MARÍTIMOS[[#This Row],[Etapa Ingreso - Salida]]),"")</f>
        <v/>
      </c>
      <c r="AM516" s="2" t="str">
        <f>IFERROR(IF(MARÍTIMOS[[#This Row],[FCL]]="","",MARÍTIMOS[[#This Row],[FCL]]),"")</f>
        <v/>
      </c>
      <c r="AN5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6" s="4" t="str" cm="1">
        <f t="array" ref="AO5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6" s="5" t="str">
        <f>IFERROR(OLDBD[[#This Row],[Llegada a packing]]-OLDBD[[#This Row],[Inicio de Ruta]],"")</f>
        <v/>
      </c>
      <c r="AQ516" s="6" t="str">
        <f>IFERROR(OLDBD[[#This Row],[Inicio de Ruta]]-OLDBD[[#This Row],[Salida de almacén de retiro]],"")</f>
        <v/>
      </c>
      <c r="AR5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6" s="8" t="str" cm="1">
        <f t="array" ref="AS5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6" s="9" t="str">
        <f>IFERROR(OLDBD[[#This Row],[Ingreso Packing]]-OLDBD[[#This Row],[Registro en Packing]],"")</f>
        <v/>
      </c>
      <c r="AV516" s="9" t="str">
        <f>IFERROR(OLDBD[[#This Row],[Ingreso Packing]]-OLDBD[[#This Row],[Llegada a packing]],"")</f>
        <v/>
      </c>
      <c r="AW5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6" s="5" t="str">
        <f>IFERROR(OLDBD[[#This Row],[Llegada Almacén de Ingreso]]-OLDBD[[#This Row],[Salida Packing]],"")</f>
        <v/>
      </c>
      <c r="AY516" s="4" t="str" cm="1">
        <f t="array" ref="AY5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6" s="43" t="s">
        <v>173</v>
      </c>
      <c r="BB516" s="47" t="str">
        <f>IFERROR(IF(MARÍTIMOS[[#This Row],[Estatus]]="","",MARÍTIMOS[[#This Row],[Estatus]]),"")</f>
        <v/>
      </c>
      <c r="BC516" s="43"/>
      <c r="BD516" s="46" t="str">
        <f>IFERROR(OLDBD[[#This Row],[Salida de almacén de retiro]]-OLDBD[[#This Row],[Ingreso Almacén de retiro]],"")</f>
        <v/>
      </c>
      <c r="BE516" s="46" t="str">
        <f>IFERROR(OLDBD[[#This Row],[Fin de Carga]]-OLDBD[[#This Row],[Inicio de Carga]],"")</f>
        <v/>
      </c>
    </row>
    <row r="517" spans="1:57" customFormat="1" hidden="1">
      <c r="A517" s="1"/>
      <c r="B517" s="1" t="str">
        <f>IFERROR(IF(MARÍTIMOS[[#This Row],[PP]]="","",MARÍTIMOS[[#This Row],[PP]]),"")</f>
        <v/>
      </c>
      <c r="C517" s="1" t="str">
        <f>IFERROR(IF(MARÍTIMOS[[#This Row],[Sede]]="","",MARÍTIMOS[[#This Row],[Sede]]),"")</f>
        <v/>
      </c>
      <c r="D517" s="1" t="str">
        <f>IFERROR(IF(MARÍTIMOS[[#This Row],[Instruction]]="","",MARÍTIMOS[[#This Row],[Instruction]]),"")</f>
        <v/>
      </c>
      <c r="E517" s="1"/>
      <c r="F517" s="2" t="str">
        <f>IFERROR(IF(MARÍTIMOS[[#This Row],[Transportista]]="","",MARÍTIMOS[[#This Row],[Transportista]]),"")</f>
        <v/>
      </c>
      <c r="G517" s="2" t="str">
        <f>IFERROR(IF(MARÍTIMOS[[#This Row],[Tercero]]="","",MARÍTIMOS[[#This Row],[Tercero]]),"")</f>
        <v/>
      </c>
      <c r="H517" s="2" t="str">
        <f>IFERROR(IF(MARÍTIMOS[[#This Row],[Razón Social]]="","",MARÍTIMOS[[#This Row],[Razón Social]]),"")</f>
        <v/>
      </c>
      <c r="I517" s="2" t="str">
        <f>IFERROR(IF(MARÍTIMOS[[#This Row],[RUC]]="","",MARÍTIMOS[[#This Row],[RUC]]),"")</f>
        <v/>
      </c>
      <c r="J517" s="2" t="str">
        <f>IFERROR(IF(MARÍTIMOS[[#This Row],[Placa Tracto]]="","",MARÍTIMOS[[#This Row],[Placa Tracto]]),"")</f>
        <v/>
      </c>
      <c r="K517" s="2" t="str">
        <f>IFERROR(IF(MARÍTIMOS[[#This Row],[Placa Carreta]]="","",MARÍTIMOS[[#This Row],[Placa Carreta]]),"")</f>
        <v/>
      </c>
      <c r="L517" s="44" t="str">
        <f>IFERROR(IF(MARÍTIMOS[[#This Row],[Conductor]]="","",MARÍTIMOS[[#This Row],[Conductor]]),"")</f>
        <v/>
      </c>
      <c r="M517" s="2" t="str">
        <f>IFERROR(IF(MARÍTIMOS[[#This Row],[Licencia]]="","",MARÍTIMOS[[#This Row],[Licencia]]),"")</f>
        <v/>
      </c>
      <c r="N517" s="2" t="str">
        <f>IFERROR(IF(MARÍTIMOS[[#This Row],[Número de Contacto]]="","",MARÍTIMOS[[#This Row],[Número de Contacto]]),"")</f>
        <v/>
      </c>
      <c r="O517" s="10" t="str">
        <f>IFERROR(IF(MARÍTIMOS[[#This Row],[Booking|AWB|CRT]]="","",MARÍTIMOS[[#This Row],[Booking|AWB|CRT]]),"")</f>
        <v/>
      </c>
      <c r="P517" s="2" t="str">
        <f>IFERROR(IF(MARÍTIMOS[[#This Row],[Contenedor]]="","",MARÍTIMOS[[#This Row],[Contenedor]]),"")</f>
        <v/>
      </c>
      <c r="Q517" s="2" t="str">
        <f>IFERROR(IF(MARÍTIMOS[[#This Row],[Puerto de Retiro]]="","",MARÍTIMOS[[#This Row],[Puerto de Retiro]]),"")</f>
        <v/>
      </c>
      <c r="R517" s="2" t="str">
        <f>IFERROR(IF(MARÍTIMOS[[#This Row],[Almacén de Retiro]]="","",MARÍTIMOS[[#This Row],[Almacén de Retiro]]),"")</f>
        <v/>
      </c>
      <c r="S517" s="11" t="str">
        <f>IFERROR(IF(MARÍTIMOS[[#This Row],[Etapa Retiro - Cita]]="","",MARÍTIMOS[[#This Row],[Etapa Retiro - Cita]]),"")</f>
        <v/>
      </c>
      <c r="T517" s="11" t="str">
        <f>IFERROR(IF(MARÍTIMOS[[#This Row],[Etapa Retiro - Llegada]]="","",MARÍTIMOS[[#This Row],[Etapa Retiro - Llegada]]),"")</f>
        <v/>
      </c>
      <c r="U517" s="11" t="str">
        <f>IFERROR(IF(MARÍTIMOS[[#This Row],[Etapa Retiro - Ingreso]]="","",MARÍTIMOS[[#This Row],[Etapa Retiro - Ingreso]]),"")</f>
        <v/>
      </c>
      <c r="V517" s="11" t="str">
        <f>IFERROR(IF(MARÍTIMOS[[#This Row],[Etapa Retiro - Atención]]="","",MARÍTIMOS[[#This Row],[Etapa Retiro - Atención]]),"")</f>
        <v/>
      </c>
      <c r="W517" s="11" t="str">
        <f>IFERROR(IF(MARÍTIMOS[[#This Row],[Etapa Retiro - Atención]]="","",MARÍTIMOS[[#This Row],[Etapa Retiro - Atención]]),"")</f>
        <v/>
      </c>
      <c r="X517" s="11" t="str">
        <f>IFERROR(IF(MARÍTIMOS[[#This Row],[Etapa Retiro - Inicio de Ruta]]="","",MARÍTIMOS[[#This Row],[Etapa Retiro - Inicio de Ruta]]),"")</f>
        <v/>
      </c>
      <c r="Y517" s="11" t="str">
        <f>IFERROR(IF(MARÍTIMOS[[#This Row],[Hora de Posicionamiento]]="","",MARÍTIMOS[[#This Row],[Fecha de Carga]]+MARÍTIMOS[[#This Row],[Hora de Posicionamiento]]),"")</f>
        <v/>
      </c>
      <c r="Z517" s="11" t="str">
        <f>IFERROR(IF(MARÍTIMOS[[#This Row],[Etapa Despacho - Llegada]]="","",MARÍTIMOS[[#This Row],[Etapa Despacho - Llegada]]),"")</f>
        <v/>
      </c>
      <c r="AA517" s="11" t="str">
        <f>IFERROR(IF(MARÍTIMOS[[#This Row],[Etapa Despacho - Registro]]="","",MARÍTIMOS[[#This Row],[Etapa Despacho - Registro]]),"")</f>
        <v/>
      </c>
      <c r="AB517" s="11" t="str">
        <f>IFERROR(IF(MARÍTIMOS[[#This Row],[Inspección Externa]]="","",MARÍTIMOS[[#This Row],[Inspección Externa]]),"")</f>
        <v/>
      </c>
      <c r="AC517" s="11" t="str">
        <f>IFERROR(IF(MARÍTIMOS[[#This Row],[Etapa Despacho - Inicio de Carga]]="","",MARÍTIMOS[[#This Row],[Etapa Despacho - Inicio de Carga]]),"")</f>
        <v/>
      </c>
      <c r="AD517" s="11" t="str">
        <f>IFERROR(IF(MARÍTIMOS[[#This Row],[Etapa Despacho - Mitad de Carga]]="","",MARÍTIMOS[[#This Row],[Etapa Despacho - Mitad de Carga]]),"")</f>
        <v/>
      </c>
      <c r="AE517" s="11" t="str">
        <f>IFERROR(IF(MARÍTIMOS[[#This Row],[Etapa Despacho - Fin de Carga]]="","",MARÍTIMOS[[#This Row],[Etapa Despacho - Fin de Carga]]),"")</f>
        <v/>
      </c>
      <c r="AF517" s="2" t="str">
        <f>IFERROR(IF(MARÍTIMOS[[#This Row],[Puerto de Embarque]]="","",MARÍTIMOS[[#This Row],[Puerto de Embarque]]),"")</f>
        <v/>
      </c>
      <c r="AG517" s="2" t="str">
        <f>IFERROR(IF(MARÍTIMOS[[#This Row],[Almacén de Ingreso]]="","",MARÍTIMOS[[#This Row],[Almacén de Ingreso]]),"")</f>
        <v/>
      </c>
      <c r="AH517" s="11" t="str">
        <f>IFERROR(IF(MARÍTIMOS[[#This Row],[Etapa Ingreso - Cita]]="","",MARÍTIMOS[[#This Row],[Etapa Ingreso - Cita]]),"")</f>
        <v/>
      </c>
      <c r="AI517" s="11" t="str">
        <f>IFERROR(IF(MARÍTIMOS[[#This Row],[Etapa Ingreso - Llegada]]="","",MARÍTIMOS[[#This Row],[Etapa Ingreso - Llegada]]),"")</f>
        <v/>
      </c>
      <c r="AJ517" s="11" t="str">
        <f>IFERROR(IF(MARÍTIMOS[[#This Row],[Etapa Ingreso - Ingeso]]="","",MARÍTIMOS[[#This Row],[Etapa Ingreso - Ingeso]]),"")</f>
        <v/>
      </c>
      <c r="AK517" s="11" t="str">
        <f>IFERROR(IF(MARÍTIMOS[[#This Row],[Etapa Ingreso - Atención]]="","",MARÍTIMOS[[#This Row],[Etapa Ingreso - Atención]]),"")</f>
        <v/>
      </c>
      <c r="AL517" s="11" t="str">
        <f>IFERROR(IF(MARÍTIMOS[[#This Row],[Etapa Ingreso - Salida]]="","",MARÍTIMOS[[#This Row],[Etapa Ingreso - Salida]]),"")</f>
        <v/>
      </c>
      <c r="AM517" s="2" t="str">
        <f>IFERROR(IF(MARÍTIMOS[[#This Row],[FCL]]="","",MARÍTIMOS[[#This Row],[FCL]]),"")</f>
        <v/>
      </c>
      <c r="AN5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7" s="4" t="str" cm="1">
        <f t="array" ref="AO5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7" s="5" t="str">
        <f>IFERROR(OLDBD[[#This Row],[Llegada a packing]]-OLDBD[[#This Row],[Inicio de Ruta]],"")</f>
        <v/>
      </c>
      <c r="AQ517" s="6" t="str">
        <f>IFERROR(OLDBD[[#This Row],[Inicio de Ruta]]-OLDBD[[#This Row],[Salida de almacén de retiro]],"")</f>
        <v/>
      </c>
      <c r="AR5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7" s="8" t="str" cm="1">
        <f t="array" ref="AS5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7" s="9" t="str">
        <f>IFERROR(OLDBD[[#This Row],[Ingreso Packing]]-OLDBD[[#This Row],[Registro en Packing]],"")</f>
        <v/>
      </c>
      <c r="AV517" s="9" t="str">
        <f>IFERROR(OLDBD[[#This Row],[Ingreso Packing]]-OLDBD[[#This Row],[Llegada a packing]],"")</f>
        <v/>
      </c>
      <c r="AW5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7" s="5" t="str">
        <f>IFERROR(OLDBD[[#This Row],[Llegada Almacén de Ingreso]]-OLDBD[[#This Row],[Salida Packing]],"")</f>
        <v/>
      </c>
      <c r="AY517" s="4" t="str" cm="1">
        <f t="array" ref="AY5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7" s="43" t="s">
        <v>173</v>
      </c>
      <c r="BB517" s="47" t="str">
        <f>IFERROR(IF(MARÍTIMOS[[#This Row],[Estatus]]="","",MARÍTIMOS[[#This Row],[Estatus]]),"")</f>
        <v/>
      </c>
      <c r="BC517" s="43"/>
      <c r="BD517" s="46" t="str">
        <f>IFERROR(OLDBD[[#This Row],[Salida de almacén de retiro]]-OLDBD[[#This Row],[Ingreso Almacén de retiro]],"")</f>
        <v/>
      </c>
      <c r="BE517" s="46" t="str">
        <f>IFERROR(OLDBD[[#This Row],[Fin de Carga]]-OLDBD[[#This Row],[Inicio de Carga]],"")</f>
        <v/>
      </c>
    </row>
    <row r="518" spans="1:57" customFormat="1" hidden="1">
      <c r="A518" s="1"/>
      <c r="B518" s="1" t="str">
        <f>IFERROR(IF(MARÍTIMOS[[#This Row],[PP]]="","",MARÍTIMOS[[#This Row],[PP]]),"")</f>
        <v/>
      </c>
      <c r="C518" s="1" t="str">
        <f>IFERROR(IF(MARÍTIMOS[[#This Row],[Sede]]="","",MARÍTIMOS[[#This Row],[Sede]]),"")</f>
        <v/>
      </c>
      <c r="D518" s="1" t="str">
        <f>IFERROR(IF(MARÍTIMOS[[#This Row],[Instruction]]="","",MARÍTIMOS[[#This Row],[Instruction]]),"")</f>
        <v/>
      </c>
      <c r="E518" s="1"/>
      <c r="F518" s="2" t="str">
        <f>IFERROR(IF(MARÍTIMOS[[#This Row],[Transportista]]="","",MARÍTIMOS[[#This Row],[Transportista]]),"")</f>
        <v/>
      </c>
      <c r="G518" s="2" t="str">
        <f>IFERROR(IF(MARÍTIMOS[[#This Row],[Tercero]]="","",MARÍTIMOS[[#This Row],[Tercero]]),"")</f>
        <v/>
      </c>
      <c r="H518" s="2" t="str">
        <f>IFERROR(IF(MARÍTIMOS[[#This Row],[Razón Social]]="","",MARÍTIMOS[[#This Row],[Razón Social]]),"")</f>
        <v/>
      </c>
      <c r="I518" s="2" t="str">
        <f>IFERROR(IF(MARÍTIMOS[[#This Row],[RUC]]="","",MARÍTIMOS[[#This Row],[RUC]]),"")</f>
        <v/>
      </c>
      <c r="J518" s="2" t="str">
        <f>IFERROR(IF(MARÍTIMOS[[#This Row],[Placa Tracto]]="","",MARÍTIMOS[[#This Row],[Placa Tracto]]),"")</f>
        <v/>
      </c>
      <c r="K518" s="2" t="str">
        <f>IFERROR(IF(MARÍTIMOS[[#This Row],[Placa Carreta]]="","",MARÍTIMOS[[#This Row],[Placa Carreta]]),"")</f>
        <v/>
      </c>
      <c r="L518" s="44" t="str">
        <f>IFERROR(IF(MARÍTIMOS[[#This Row],[Conductor]]="","",MARÍTIMOS[[#This Row],[Conductor]]),"")</f>
        <v/>
      </c>
      <c r="M518" s="2" t="str">
        <f>IFERROR(IF(MARÍTIMOS[[#This Row],[Licencia]]="","",MARÍTIMOS[[#This Row],[Licencia]]),"")</f>
        <v/>
      </c>
      <c r="N518" s="2" t="str">
        <f>IFERROR(IF(MARÍTIMOS[[#This Row],[Número de Contacto]]="","",MARÍTIMOS[[#This Row],[Número de Contacto]]),"")</f>
        <v/>
      </c>
      <c r="O518" s="10" t="str">
        <f>IFERROR(IF(MARÍTIMOS[[#This Row],[Booking|AWB|CRT]]="","",MARÍTIMOS[[#This Row],[Booking|AWB|CRT]]),"")</f>
        <v/>
      </c>
      <c r="P518" s="2" t="str">
        <f>IFERROR(IF(MARÍTIMOS[[#This Row],[Contenedor]]="","",MARÍTIMOS[[#This Row],[Contenedor]]),"")</f>
        <v/>
      </c>
      <c r="Q518" s="2" t="str">
        <f>IFERROR(IF(MARÍTIMOS[[#This Row],[Puerto de Retiro]]="","",MARÍTIMOS[[#This Row],[Puerto de Retiro]]),"")</f>
        <v/>
      </c>
      <c r="R518" s="2" t="str">
        <f>IFERROR(IF(MARÍTIMOS[[#This Row],[Almacén de Retiro]]="","",MARÍTIMOS[[#This Row],[Almacén de Retiro]]),"")</f>
        <v/>
      </c>
      <c r="S518" s="11" t="str">
        <f>IFERROR(IF(MARÍTIMOS[[#This Row],[Etapa Retiro - Cita]]="","",MARÍTIMOS[[#This Row],[Etapa Retiro - Cita]]),"")</f>
        <v/>
      </c>
      <c r="T518" s="11" t="str">
        <f>IFERROR(IF(MARÍTIMOS[[#This Row],[Etapa Retiro - Llegada]]="","",MARÍTIMOS[[#This Row],[Etapa Retiro - Llegada]]),"")</f>
        <v/>
      </c>
      <c r="U518" s="11" t="str">
        <f>IFERROR(IF(MARÍTIMOS[[#This Row],[Etapa Retiro - Ingreso]]="","",MARÍTIMOS[[#This Row],[Etapa Retiro - Ingreso]]),"")</f>
        <v/>
      </c>
      <c r="V518" s="11" t="str">
        <f>IFERROR(IF(MARÍTIMOS[[#This Row],[Etapa Retiro - Atención]]="","",MARÍTIMOS[[#This Row],[Etapa Retiro - Atención]]),"")</f>
        <v/>
      </c>
      <c r="W518" s="11" t="str">
        <f>IFERROR(IF(MARÍTIMOS[[#This Row],[Etapa Retiro - Atención]]="","",MARÍTIMOS[[#This Row],[Etapa Retiro - Atención]]),"")</f>
        <v/>
      </c>
      <c r="X518" s="11" t="str">
        <f>IFERROR(IF(MARÍTIMOS[[#This Row],[Etapa Retiro - Inicio de Ruta]]="","",MARÍTIMOS[[#This Row],[Etapa Retiro - Inicio de Ruta]]),"")</f>
        <v/>
      </c>
      <c r="Y518" s="11" t="str">
        <f>IFERROR(IF(MARÍTIMOS[[#This Row],[Hora de Posicionamiento]]="","",MARÍTIMOS[[#This Row],[Fecha de Carga]]+MARÍTIMOS[[#This Row],[Hora de Posicionamiento]]),"")</f>
        <v/>
      </c>
      <c r="Z518" s="11" t="str">
        <f>IFERROR(IF(MARÍTIMOS[[#This Row],[Etapa Despacho - Llegada]]="","",MARÍTIMOS[[#This Row],[Etapa Despacho - Llegada]]),"")</f>
        <v/>
      </c>
      <c r="AA518" s="11" t="str">
        <f>IFERROR(IF(MARÍTIMOS[[#This Row],[Etapa Despacho - Registro]]="","",MARÍTIMOS[[#This Row],[Etapa Despacho - Registro]]),"")</f>
        <v/>
      </c>
      <c r="AB518" s="11" t="str">
        <f>IFERROR(IF(MARÍTIMOS[[#This Row],[Inspección Externa]]="","",MARÍTIMOS[[#This Row],[Inspección Externa]]),"")</f>
        <v/>
      </c>
      <c r="AC518" s="11" t="str">
        <f>IFERROR(IF(MARÍTIMOS[[#This Row],[Etapa Despacho - Inicio de Carga]]="","",MARÍTIMOS[[#This Row],[Etapa Despacho - Inicio de Carga]]),"")</f>
        <v/>
      </c>
      <c r="AD518" s="11" t="str">
        <f>IFERROR(IF(MARÍTIMOS[[#This Row],[Etapa Despacho - Mitad de Carga]]="","",MARÍTIMOS[[#This Row],[Etapa Despacho - Mitad de Carga]]),"")</f>
        <v/>
      </c>
      <c r="AE518" s="11" t="str">
        <f>IFERROR(IF(MARÍTIMOS[[#This Row],[Etapa Despacho - Fin de Carga]]="","",MARÍTIMOS[[#This Row],[Etapa Despacho - Fin de Carga]]),"")</f>
        <v/>
      </c>
      <c r="AF518" s="2" t="str">
        <f>IFERROR(IF(MARÍTIMOS[[#This Row],[Puerto de Embarque]]="","",MARÍTIMOS[[#This Row],[Puerto de Embarque]]),"")</f>
        <v/>
      </c>
      <c r="AG518" s="2" t="str">
        <f>IFERROR(IF(MARÍTIMOS[[#This Row],[Almacén de Ingreso]]="","",MARÍTIMOS[[#This Row],[Almacén de Ingreso]]),"")</f>
        <v/>
      </c>
      <c r="AH518" s="11" t="str">
        <f>IFERROR(IF(MARÍTIMOS[[#This Row],[Etapa Ingreso - Cita]]="","",MARÍTIMOS[[#This Row],[Etapa Ingreso - Cita]]),"")</f>
        <v/>
      </c>
      <c r="AI518" s="11" t="str">
        <f>IFERROR(IF(MARÍTIMOS[[#This Row],[Etapa Ingreso - Llegada]]="","",MARÍTIMOS[[#This Row],[Etapa Ingreso - Llegada]]),"")</f>
        <v/>
      </c>
      <c r="AJ518" s="11" t="str">
        <f>IFERROR(IF(MARÍTIMOS[[#This Row],[Etapa Ingreso - Ingeso]]="","",MARÍTIMOS[[#This Row],[Etapa Ingreso - Ingeso]]),"")</f>
        <v/>
      </c>
      <c r="AK518" s="11" t="str">
        <f>IFERROR(IF(MARÍTIMOS[[#This Row],[Etapa Ingreso - Atención]]="","",MARÍTIMOS[[#This Row],[Etapa Ingreso - Atención]]),"")</f>
        <v/>
      </c>
      <c r="AL518" s="11" t="str">
        <f>IFERROR(IF(MARÍTIMOS[[#This Row],[Etapa Ingreso - Salida]]="","",MARÍTIMOS[[#This Row],[Etapa Ingreso - Salida]]),"")</f>
        <v/>
      </c>
      <c r="AM518" s="2" t="str">
        <f>IFERROR(IF(MARÍTIMOS[[#This Row],[FCL]]="","",MARÍTIMOS[[#This Row],[FCL]]),"")</f>
        <v/>
      </c>
      <c r="AN5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8" s="4" t="str" cm="1">
        <f t="array" ref="AO5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8" s="5" t="str">
        <f>IFERROR(OLDBD[[#This Row],[Llegada a packing]]-OLDBD[[#This Row],[Inicio de Ruta]],"")</f>
        <v/>
      </c>
      <c r="AQ518" s="6" t="str">
        <f>IFERROR(OLDBD[[#This Row],[Inicio de Ruta]]-OLDBD[[#This Row],[Salida de almacén de retiro]],"")</f>
        <v/>
      </c>
      <c r="AR5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8" s="8" t="str" cm="1">
        <f t="array" ref="AS5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8" s="9" t="str">
        <f>IFERROR(OLDBD[[#This Row],[Ingreso Packing]]-OLDBD[[#This Row],[Registro en Packing]],"")</f>
        <v/>
      </c>
      <c r="AV518" s="9" t="str">
        <f>IFERROR(OLDBD[[#This Row],[Ingreso Packing]]-OLDBD[[#This Row],[Llegada a packing]],"")</f>
        <v/>
      </c>
      <c r="AW5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8" s="5" t="str">
        <f>IFERROR(OLDBD[[#This Row],[Llegada Almacén de Ingreso]]-OLDBD[[#This Row],[Salida Packing]],"")</f>
        <v/>
      </c>
      <c r="AY518" s="4" t="str" cm="1">
        <f t="array" ref="AY5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8" s="43" t="s">
        <v>173</v>
      </c>
      <c r="BB518" s="47" t="str">
        <f>IFERROR(IF(MARÍTIMOS[[#This Row],[Estatus]]="","",MARÍTIMOS[[#This Row],[Estatus]]),"")</f>
        <v/>
      </c>
      <c r="BC518" s="43"/>
      <c r="BD518" s="46" t="str">
        <f>IFERROR(OLDBD[[#This Row],[Salida de almacén de retiro]]-OLDBD[[#This Row],[Ingreso Almacén de retiro]],"")</f>
        <v/>
      </c>
      <c r="BE518" s="46" t="str">
        <f>IFERROR(OLDBD[[#This Row],[Fin de Carga]]-OLDBD[[#This Row],[Inicio de Carga]],"")</f>
        <v/>
      </c>
    </row>
    <row r="519" spans="1:57" customFormat="1" hidden="1">
      <c r="A519" s="1"/>
      <c r="B519" s="1" t="str">
        <f>IFERROR(IF(MARÍTIMOS[[#This Row],[PP]]="","",MARÍTIMOS[[#This Row],[PP]]),"")</f>
        <v/>
      </c>
      <c r="C519" s="1" t="str">
        <f>IFERROR(IF(MARÍTIMOS[[#This Row],[Sede]]="","",MARÍTIMOS[[#This Row],[Sede]]),"")</f>
        <v/>
      </c>
      <c r="D519" s="1" t="str">
        <f>IFERROR(IF(MARÍTIMOS[[#This Row],[Instruction]]="","",MARÍTIMOS[[#This Row],[Instruction]]),"")</f>
        <v/>
      </c>
      <c r="E519" s="1"/>
      <c r="F519" s="2" t="str">
        <f>IFERROR(IF(MARÍTIMOS[[#This Row],[Transportista]]="","",MARÍTIMOS[[#This Row],[Transportista]]),"")</f>
        <v/>
      </c>
      <c r="G519" s="2" t="str">
        <f>IFERROR(IF(MARÍTIMOS[[#This Row],[Tercero]]="","",MARÍTIMOS[[#This Row],[Tercero]]),"")</f>
        <v/>
      </c>
      <c r="H519" s="2" t="str">
        <f>IFERROR(IF(MARÍTIMOS[[#This Row],[Razón Social]]="","",MARÍTIMOS[[#This Row],[Razón Social]]),"")</f>
        <v/>
      </c>
      <c r="I519" s="2" t="str">
        <f>IFERROR(IF(MARÍTIMOS[[#This Row],[RUC]]="","",MARÍTIMOS[[#This Row],[RUC]]),"")</f>
        <v/>
      </c>
      <c r="J519" s="2" t="str">
        <f>IFERROR(IF(MARÍTIMOS[[#This Row],[Placa Tracto]]="","",MARÍTIMOS[[#This Row],[Placa Tracto]]),"")</f>
        <v/>
      </c>
      <c r="K519" s="2" t="str">
        <f>IFERROR(IF(MARÍTIMOS[[#This Row],[Placa Carreta]]="","",MARÍTIMOS[[#This Row],[Placa Carreta]]),"")</f>
        <v/>
      </c>
      <c r="L519" s="44" t="str">
        <f>IFERROR(IF(MARÍTIMOS[[#This Row],[Conductor]]="","",MARÍTIMOS[[#This Row],[Conductor]]),"")</f>
        <v/>
      </c>
      <c r="M519" s="2" t="str">
        <f>IFERROR(IF(MARÍTIMOS[[#This Row],[Licencia]]="","",MARÍTIMOS[[#This Row],[Licencia]]),"")</f>
        <v/>
      </c>
      <c r="N519" s="2" t="str">
        <f>IFERROR(IF(MARÍTIMOS[[#This Row],[Número de Contacto]]="","",MARÍTIMOS[[#This Row],[Número de Contacto]]),"")</f>
        <v/>
      </c>
      <c r="O519" s="10" t="str">
        <f>IFERROR(IF(MARÍTIMOS[[#This Row],[Booking|AWB|CRT]]="","",MARÍTIMOS[[#This Row],[Booking|AWB|CRT]]),"")</f>
        <v/>
      </c>
      <c r="P519" s="2" t="str">
        <f>IFERROR(IF(MARÍTIMOS[[#This Row],[Contenedor]]="","",MARÍTIMOS[[#This Row],[Contenedor]]),"")</f>
        <v/>
      </c>
      <c r="Q519" s="2" t="str">
        <f>IFERROR(IF(MARÍTIMOS[[#This Row],[Puerto de Retiro]]="","",MARÍTIMOS[[#This Row],[Puerto de Retiro]]),"")</f>
        <v/>
      </c>
      <c r="R519" s="2" t="str">
        <f>IFERROR(IF(MARÍTIMOS[[#This Row],[Almacén de Retiro]]="","",MARÍTIMOS[[#This Row],[Almacén de Retiro]]),"")</f>
        <v/>
      </c>
      <c r="S519" s="11" t="str">
        <f>IFERROR(IF(MARÍTIMOS[[#This Row],[Etapa Retiro - Cita]]="","",MARÍTIMOS[[#This Row],[Etapa Retiro - Cita]]),"")</f>
        <v/>
      </c>
      <c r="T519" s="11" t="str">
        <f>IFERROR(IF(MARÍTIMOS[[#This Row],[Etapa Retiro - Llegada]]="","",MARÍTIMOS[[#This Row],[Etapa Retiro - Llegada]]),"")</f>
        <v/>
      </c>
      <c r="U519" s="11" t="str">
        <f>IFERROR(IF(MARÍTIMOS[[#This Row],[Etapa Retiro - Ingreso]]="","",MARÍTIMOS[[#This Row],[Etapa Retiro - Ingreso]]),"")</f>
        <v/>
      </c>
      <c r="V519" s="11" t="str">
        <f>IFERROR(IF(MARÍTIMOS[[#This Row],[Etapa Retiro - Atención]]="","",MARÍTIMOS[[#This Row],[Etapa Retiro - Atención]]),"")</f>
        <v/>
      </c>
      <c r="W519" s="11" t="str">
        <f>IFERROR(IF(MARÍTIMOS[[#This Row],[Etapa Retiro - Atención]]="","",MARÍTIMOS[[#This Row],[Etapa Retiro - Atención]]),"")</f>
        <v/>
      </c>
      <c r="X519" s="11" t="str">
        <f>IFERROR(IF(MARÍTIMOS[[#This Row],[Etapa Retiro - Inicio de Ruta]]="","",MARÍTIMOS[[#This Row],[Etapa Retiro - Inicio de Ruta]]),"")</f>
        <v/>
      </c>
      <c r="Y519" s="11" t="str">
        <f>IFERROR(IF(MARÍTIMOS[[#This Row],[Hora de Posicionamiento]]="","",MARÍTIMOS[[#This Row],[Fecha de Carga]]+MARÍTIMOS[[#This Row],[Hora de Posicionamiento]]),"")</f>
        <v/>
      </c>
      <c r="Z519" s="11" t="str">
        <f>IFERROR(IF(MARÍTIMOS[[#This Row],[Etapa Despacho - Llegada]]="","",MARÍTIMOS[[#This Row],[Etapa Despacho - Llegada]]),"")</f>
        <v/>
      </c>
      <c r="AA519" s="11" t="str">
        <f>IFERROR(IF(MARÍTIMOS[[#This Row],[Etapa Despacho - Registro]]="","",MARÍTIMOS[[#This Row],[Etapa Despacho - Registro]]),"")</f>
        <v/>
      </c>
      <c r="AB519" s="11" t="str">
        <f>IFERROR(IF(MARÍTIMOS[[#This Row],[Inspección Externa]]="","",MARÍTIMOS[[#This Row],[Inspección Externa]]),"")</f>
        <v/>
      </c>
      <c r="AC519" s="11" t="str">
        <f>IFERROR(IF(MARÍTIMOS[[#This Row],[Etapa Despacho - Inicio de Carga]]="","",MARÍTIMOS[[#This Row],[Etapa Despacho - Inicio de Carga]]),"")</f>
        <v/>
      </c>
      <c r="AD519" s="11" t="str">
        <f>IFERROR(IF(MARÍTIMOS[[#This Row],[Etapa Despacho - Mitad de Carga]]="","",MARÍTIMOS[[#This Row],[Etapa Despacho - Mitad de Carga]]),"")</f>
        <v/>
      </c>
      <c r="AE519" s="11" t="str">
        <f>IFERROR(IF(MARÍTIMOS[[#This Row],[Etapa Despacho - Fin de Carga]]="","",MARÍTIMOS[[#This Row],[Etapa Despacho - Fin de Carga]]),"")</f>
        <v/>
      </c>
      <c r="AF519" s="2" t="str">
        <f>IFERROR(IF(MARÍTIMOS[[#This Row],[Puerto de Embarque]]="","",MARÍTIMOS[[#This Row],[Puerto de Embarque]]),"")</f>
        <v/>
      </c>
      <c r="AG519" s="2" t="str">
        <f>IFERROR(IF(MARÍTIMOS[[#This Row],[Almacén de Ingreso]]="","",MARÍTIMOS[[#This Row],[Almacén de Ingreso]]),"")</f>
        <v/>
      </c>
      <c r="AH519" s="11" t="str">
        <f>IFERROR(IF(MARÍTIMOS[[#This Row],[Etapa Ingreso - Cita]]="","",MARÍTIMOS[[#This Row],[Etapa Ingreso - Cita]]),"")</f>
        <v/>
      </c>
      <c r="AI519" s="11" t="str">
        <f>IFERROR(IF(MARÍTIMOS[[#This Row],[Etapa Ingreso - Llegada]]="","",MARÍTIMOS[[#This Row],[Etapa Ingreso - Llegada]]),"")</f>
        <v/>
      </c>
      <c r="AJ519" s="11" t="str">
        <f>IFERROR(IF(MARÍTIMOS[[#This Row],[Etapa Ingreso - Ingeso]]="","",MARÍTIMOS[[#This Row],[Etapa Ingreso - Ingeso]]),"")</f>
        <v/>
      </c>
      <c r="AK519" s="11" t="str">
        <f>IFERROR(IF(MARÍTIMOS[[#This Row],[Etapa Ingreso - Atención]]="","",MARÍTIMOS[[#This Row],[Etapa Ingreso - Atención]]),"")</f>
        <v/>
      </c>
      <c r="AL519" s="11" t="str">
        <f>IFERROR(IF(MARÍTIMOS[[#This Row],[Etapa Ingreso - Salida]]="","",MARÍTIMOS[[#This Row],[Etapa Ingreso - Salida]]),"")</f>
        <v/>
      </c>
      <c r="AM519" s="2" t="str">
        <f>IFERROR(IF(MARÍTIMOS[[#This Row],[FCL]]="","",MARÍTIMOS[[#This Row],[FCL]]),"")</f>
        <v/>
      </c>
      <c r="AN5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19" s="4" t="str" cm="1">
        <f t="array" ref="AO5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19" s="5" t="str">
        <f>IFERROR(OLDBD[[#This Row],[Llegada a packing]]-OLDBD[[#This Row],[Inicio de Ruta]],"")</f>
        <v/>
      </c>
      <c r="AQ519" s="6" t="str">
        <f>IFERROR(OLDBD[[#This Row],[Inicio de Ruta]]-OLDBD[[#This Row],[Salida de almacén de retiro]],"")</f>
        <v/>
      </c>
      <c r="AR5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19" s="8" t="str" cm="1">
        <f t="array" ref="AS5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19" s="9" t="str">
        <f>IFERROR(OLDBD[[#This Row],[Ingreso Packing]]-OLDBD[[#This Row],[Registro en Packing]],"")</f>
        <v/>
      </c>
      <c r="AV519" s="9" t="str">
        <f>IFERROR(OLDBD[[#This Row],[Ingreso Packing]]-OLDBD[[#This Row],[Llegada a packing]],"")</f>
        <v/>
      </c>
      <c r="AW5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19" s="5" t="str">
        <f>IFERROR(OLDBD[[#This Row],[Llegada Almacén de Ingreso]]-OLDBD[[#This Row],[Salida Packing]],"")</f>
        <v/>
      </c>
      <c r="AY519" s="4" t="str" cm="1">
        <f t="array" ref="AY5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19" s="43" t="s">
        <v>173</v>
      </c>
      <c r="BB519" s="47" t="str">
        <f>IFERROR(IF(MARÍTIMOS[[#This Row],[Estatus]]="","",MARÍTIMOS[[#This Row],[Estatus]]),"")</f>
        <v/>
      </c>
      <c r="BC519" s="43"/>
      <c r="BD519" s="46" t="str">
        <f>IFERROR(OLDBD[[#This Row],[Salida de almacén de retiro]]-OLDBD[[#This Row],[Ingreso Almacén de retiro]],"")</f>
        <v/>
      </c>
      <c r="BE519" s="46" t="str">
        <f>IFERROR(OLDBD[[#This Row],[Fin de Carga]]-OLDBD[[#This Row],[Inicio de Carga]],"")</f>
        <v/>
      </c>
    </row>
    <row r="520" spans="1:57" customFormat="1" hidden="1">
      <c r="A520" s="1"/>
      <c r="B520" s="1" t="str">
        <f>IFERROR(IF(MARÍTIMOS[[#This Row],[PP]]="","",MARÍTIMOS[[#This Row],[PP]]),"")</f>
        <v/>
      </c>
      <c r="C520" s="1" t="str">
        <f>IFERROR(IF(MARÍTIMOS[[#This Row],[Sede]]="","",MARÍTIMOS[[#This Row],[Sede]]),"")</f>
        <v/>
      </c>
      <c r="D520" s="1" t="str">
        <f>IFERROR(IF(MARÍTIMOS[[#This Row],[Instruction]]="","",MARÍTIMOS[[#This Row],[Instruction]]),"")</f>
        <v/>
      </c>
      <c r="E520" s="1"/>
      <c r="F520" s="2" t="str">
        <f>IFERROR(IF(MARÍTIMOS[[#This Row],[Transportista]]="","",MARÍTIMOS[[#This Row],[Transportista]]),"")</f>
        <v/>
      </c>
      <c r="G520" s="2" t="str">
        <f>IFERROR(IF(MARÍTIMOS[[#This Row],[Tercero]]="","",MARÍTIMOS[[#This Row],[Tercero]]),"")</f>
        <v/>
      </c>
      <c r="H520" s="2" t="str">
        <f>IFERROR(IF(MARÍTIMOS[[#This Row],[Razón Social]]="","",MARÍTIMOS[[#This Row],[Razón Social]]),"")</f>
        <v/>
      </c>
      <c r="I520" s="2" t="str">
        <f>IFERROR(IF(MARÍTIMOS[[#This Row],[RUC]]="","",MARÍTIMOS[[#This Row],[RUC]]),"")</f>
        <v/>
      </c>
      <c r="J520" s="2" t="str">
        <f>IFERROR(IF(MARÍTIMOS[[#This Row],[Placa Tracto]]="","",MARÍTIMOS[[#This Row],[Placa Tracto]]),"")</f>
        <v/>
      </c>
      <c r="K520" s="2" t="str">
        <f>IFERROR(IF(MARÍTIMOS[[#This Row],[Placa Carreta]]="","",MARÍTIMOS[[#This Row],[Placa Carreta]]),"")</f>
        <v/>
      </c>
      <c r="L520" s="44" t="str">
        <f>IFERROR(IF(MARÍTIMOS[[#This Row],[Conductor]]="","",MARÍTIMOS[[#This Row],[Conductor]]),"")</f>
        <v/>
      </c>
      <c r="M520" s="2" t="str">
        <f>IFERROR(IF(MARÍTIMOS[[#This Row],[Licencia]]="","",MARÍTIMOS[[#This Row],[Licencia]]),"")</f>
        <v/>
      </c>
      <c r="N520" s="2" t="str">
        <f>IFERROR(IF(MARÍTIMOS[[#This Row],[Número de Contacto]]="","",MARÍTIMOS[[#This Row],[Número de Contacto]]),"")</f>
        <v/>
      </c>
      <c r="O520" s="10" t="str">
        <f>IFERROR(IF(MARÍTIMOS[[#This Row],[Booking|AWB|CRT]]="","",MARÍTIMOS[[#This Row],[Booking|AWB|CRT]]),"")</f>
        <v/>
      </c>
      <c r="P520" s="2" t="str">
        <f>IFERROR(IF(MARÍTIMOS[[#This Row],[Contenedor]]="","",MARÍTIMOS[[#This Row],[Contenedor]]),"")</f>
        <v/>
      </c>
      <c r="Q520" s="2" t="str">
        <f>IFERROR(IF(MARÍTIMOS[[#This Row],[Puerto de Retiro]]="","",MARÍTIMOS[[#This Row],[Puerto de Retiro]]),"")</f>
        <v/>
      </c>
      <c r="R520" s="2" t="str">
        <f>IFERROR(IF(MARÍTIMOS[[#This Row],[Almacén de Retiro]]="","",MARÍTIMOS[[#This Row],[Almacén de Retiro]]),"")</f>
        <v/>
      </c>
      <c r="S520" s="11" t="str">
        <f>IFERROR(IF(MARÍTIMOS[[#This Row],[Etapa Retiro - Cita]]="","",MARÍTIMOS[[#This Row],[Etapa Retiro - Cita]]),"")</f>
        <v/>
      </c>
      <c r="T520" s="11" t="str">
        <f>IFERROR(IF(MARÍTIMOS[[#This Row],[Etapa Retiro - Llegada]]="","",MARÍTIMOS[[#This Row],[Etapa Retiro - Llegada]]),"")</f>
        <v/>
      </c>
      <c r="U520" s="11" t="str">
        <f>IFERROR(IF(MARÍTIMOS[[#This Row],[Etapa Retiro - Ingreso]]="","",MARÍTIMOS[[#This Row],[Etapa Retiro - Ingreso]]),"")</f>
        <v/>
      </c>
      <c r="V520" s="11" t="str">
        <f>IFERROR(IF(MARÍTIMOS[[#This Row],[Etapa Retiro - Atención]]="","",MARÍTIMOS[[#This Row],[Etapa Retiro - Atención]]),"")</f>
        <v/>
      </c>
      <c r="W520" s="11" t="str">
        <f>IFERROR(IF(MARÍTIMOS[[#This Row],[Etapa Retiro - Atención]]="","",MARÍTIMOS[[#This Row],[Etapa Retiro - Atención]]),"")</f>
        <v/>
      </c>
      <c r="X520" s="11" t="str">
        <f>IFERROR(IF(MARÍTIMOS[[#This Row],[Etapa Retiro - Inicio de Ruta]]="","",MARÍTIMOS[[#This Row],[Etapa Retiro - Inicio de Ruta]]),"")</f>
        <v/>
      </c>
      <c r="Y520" s="11" t="str">
        <f>IFERROR(IF(MARÍTIMOS[[#This Row],[Hora de Posicionamiento]]="","",MARÍTIMOS[[#This Row],[Fecha de Carga]]+MARÍTIMOS[[#This Row],[Hora de Posicionamiento]]),"")</f>
        <v/>
      </c>
      <c r="Z520" s="11" t="str">
        <f>IFERROR(IF(MARÍTIMOS[[#This Row],[Etapa Despacho - Llegada]]="","",MARÍTIMOS[[#This Row],[Etapa Despacho - Llegada]]),"")</f>
        <v/>
      </c>
      <c r="AA520" s="11" t="str">
        <f>IFERROR(IF(MARÍTIMOS[[#This Row],[Etapa Despacho - Registro]]="","",MARÍTIMOS[[#This Row],[Etapa Despacho - Registro]]),"")</f>
        <v/>
      </c>
      <c r="AB520" s="11" t="str">
        <f>IFERROR(IF(MARÍTIMOS[[#This Row],[Inspección Externa]]="","",MARÍTIMOS[[#This Row],[Inspección Externa]]),"")</f>
        <v/>
      </c>
      <c r="AC520" s="11" t="str">
        <f>IFERROR(IF(MARÍTIMOS[[#This Row],[Etapa Despacho - Inicio de Carga]]="","",MARÍTIMOS[[#This Row],[Etapa Despacho - Inicio de Carga]]),"")</f>
        <v/>
      </c>
      <c r="AD520" s="11" t="str">
        <f>IFERROR(IF(MARÍTIMOS[[#This Row],[Etapa Despacho - Mitad de Carga]]="","",MARÍTIMOS[[#This Row],[Etapa Despacho - Mitad de Carga]]),"")</f>
        <v/>
      </c>
      <c r="AE520" s="11" t="str">
        <f>IFERROR(IF(MARÍTIMOS[[#This Row],[Etapa Despacho - Fin de Carga]]="","",MARÍTIMOS[[#This Row],[Etapa Despacho - Fin de Carga]]),"")</f>
        <v/>
      </c>
      <c r="AF520" s="2" t="str">
        <f>IFERROR(IF(MARÍTIMOS[[#This Row],[Puerto de Embarque]]="","",MARÍTIMOS[[#This Row],[Puerto de Embarque]]),"")</f>
        <v/>
      </c>
      <c r="AG520" s="2" t="str">
        <f>IFERROR(IF(MARÍTIMOS[[#This Row],[Almacén de Ingreso]]="","",MARÍTIMOS[[#This Row],[Almacén de Ingreso]]),"")</f>
        <v/>
      </c>
      <c r="AH520" s="11" t="str">
        <f>IFERROR(IF(MARÍTIMOS[[#This Row],[Etapa Ingreso - Cita]]="","",MARÍTIMOS[[#This Row],[Etapa Ingreso - Cita]]),"")</f>
        <v/>
      </c>
      <c r="AI520" s="11" t="str">
        <f>IFERROR(IF(MARÍTIMOS[[#This Row],[Etapa Ingreso - Llegada]]="","",MARÍTIMOS[[#This Row],[Etapa Ingreso - Llegada]]),"")</f>
        <v/>
      </c>
      <c r="AJ520" s="11" t="str">
        <f>IFERROR(IF(MARÍTIMOS[[#This Row],[Etapa Ingreso - Ingeso]]="","",MARÍTIMOS[[#This Row],[Etapa Ingreso - Ingeso]]),"")</f>
        <v/>
      </c>
      <c r="AK520" s="11" t="str">
        <f>IFERROR(IF(MARÍTIMOS[[#This Row],[Etapa Ingreso - Atención]]="","",MARÍTIMOS[[#This Row],[Etapa Ingreso - Atención]]),"")</f>
        <v/>
      </c>
      <c r="AL520" s="11" t="str">
        <f>IFERROR(IF(MARÍTIMOS[[#This Row],[Etapa Ingreso - Salida]]="","",MARÍTIMOS[[#This Row],[Etapa Ingreso - Salida]]),"")</f>
        <v/>
      </c>
      <c r="AM520" s="2" t="str">
        <f>IFERROR(IF(MARÍTIMOS[[#This Row],[FCL]]="","",MARÍTIMOS[[#This Row],[FCL]]),"")</f>
        <v/>
      </c>
      <c r="AN5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0" s="4" t="str" cm="1">
        <f t="array" ref="AO5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0" s="5" t="str">
        <f>IFERROR(OLDBD[[#This Row],[Llegada a packing]]-OLDBD[[#This Row],[Inicio de Ruta]],"")</f>
        <v/>
      </c>
      <c r="AQ520" s="6" t="str">
        <f>IFERROR(OLDBD[[#This Row],[Inicio de Ruta]]-OLDBD[[#This Row],[Salida de almacén de retiro]],"")</f>
        <v/>
      </c>
      <c r="AR5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0" s="8" t="str" cm="1">
        <f t="array" ref="AS5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0" s="9" t="str">
        <f>IFERROR(OLDBD[[#This Row],[Ingreso Packing]]-OLDBD[[#This Row],[Registro en Packing]],"")</f>
        <v/>
      </c>
      <c r="AV520" s="9" t="str">
        <f>IFERROR(OLDBD[[#This Row],[Ingreso Packing]]-OLDBD[[#This Row],[Llegada a packing]],"")</f>
        <v/>
      </c>
      <c r="AW5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0" s="5" t="str">
        <f>IFERROR(OLDBD[[#This Row],[Llegada Almacén de Ingreso]]-OLDBD[[#This Row],[Salida Packing]],"")</f>
        <v/>
      </c>
      <c r="AY520" s="4" t="str" cm="1">
        <f t="array" ref="AY5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0" s="43" t="s">
        <v>173</v>
      </c>
      <c r="BB520" s="47" t="str">
        <f>IFERROR(IF(MARÍTIMOS[[#This Row],[Estatus]]="","",MARÍTIMOS[[#This Row],[Estatus]]),"")</f>
        <v/>
      </c>
      <c r="BC520" s="43"/>
      <c r="BD520" s="46" t="str">
        <f>IFERROR(OLDBD[[#This Row],[Salida de almacén de retiro]]-OLDBD[[#This Row],[Ingreso Almacén de retiro]],"")</f>
        <v/>
      </c>
      <c r="BE520" s="46" t="str">
        <f>IFERROR(OLDBD[[#This Row],[Fin de Carga]]-OLDBD[[#This Row],[Inicio de Carga]],"")</f>
        <v/>
      </c>
    </row>
    <row r="521" spans="1:57" customFormat="1" hidden="1">
      <c r="A521" s="1"/>
      <c r="B521" s="1" t="str">
        <f>IFERROR(IF(MARÍTIMOS[[#This Row],[PP]]="","",MARÍTIMOS[[#This Row],[PP]]),"")</f>
        <v/>
      </c>
      <c r="C521" s="1" t="str">
        <f>IFERROR(IF(MARÍTIMOS[[#This Row],[Sede]]="","",MARÍTIMOS[[#This Row],[Sede]]),"")</f>
        <v/>
      </c>
      <c r="D521" s="1" t="str">
        <f>IFERROR(IF(MARÍTIMOS[[#This Row],[Instruction]]="","",MARÍTIMOS[[#This Row],[Instruction]]),"")</f>
        <v/>
      </c>
      <c r="E521" s="1"/>
      <c r="F521" s="2" t="str">
        <f>IFERROR(IF(MARÍTIMOS[[#This Row],[Transportista]]="","",MARÍTIMOS[[#This Row],[Transportista]]),"")</f>
        <v/>
      </c>
      <c r="G521" s="2" t="str">
        <f>IFERROR(IF(MARÍTIMOS[[#This Row],[Tercero]]="","",MARÍTIMOS[[#This Row],[Tercero]]),"")</f>
        <v/>
      </c>
      <c r="H521" s="2" t="str">
        <f>IFERROR(IF(MARÍTIMOS[[#This Row],[Razón Social]]="","",MARÍTIMOS[[#This Row],[Razón Social]]),"")</f>
        <v/>
      </c>
      <c r="I521" s="2" t="str">
        <f>IFERROR(IF(MARÍTIMOS[[#This Row],[RUC]]="","",MARÍTIMOS[[#This Row],[RUC]]),"")</f>
        <v/>
      </c>
      <c r="J521" s="2" t="str">
        <f>IFERROR(IF(MARÍTIMOS[[#This Row],[Placa Tracto]]="","",MARÍTIMOS[[#This Row],[Placa Tracto]]),"")</f>
        <v/>
      </c>
      <c r="K521" s="2" t="str">
        <f>IFERROR(IF(MARÍTIMOS[[#This Row],[Placa Carreta]]="","",MARÍTIMOS[[#This Row],[Placa Carreta]]),"")</f>
        <v/>
      </c>
      <c r="L521" s="44" t="str">
        <f>IFERROR(IF(MARÍTIMOS[[#This Row],[Conductor]]="","",MARÍTIMOS[[#This Row],[Conductor]]),"")</f>
        <v/>
      </c>
      <c r="M521" s="2" t="str">
        <f>IFERROR(IF(MARÍTIMOS[[#This Row],[Licencia]]="","",MARÍTIMOS[[#This Row],[Licencia]]),"")</f>
        <v/>
      </c>
      <c r="N521" s="2" t="str">
        <f>IFERROR(IF(MARÍTIMOS[[#This Row],[Número de Contacto]]="","",MARÍTIMOS[[#This Row],[Número de Contacto]]),"")</f>
        <v/>
      </c>
      <c r="O521" s="10" t="str">
        <f>IFERROR(IF(MARÍTIMOS[[#This Row],[Booking|AWB|CRT]]="","",MARÍTIMOS[[#This Row],[Booking|AWB|CRT]]),"")</f>
        <v/>
      </c>
      <c r="P521" s="2" t="str">
        <f>IFERROR(IF(MARÍTIMOS[[#This Row],[Contenedor]]="","",MARÍTIMOS[[#This Row],[Contenedor]]),"")</f>
        <v/>
      </c>
      <c r="Q521" s="2" t="str">
        <f>IFERROR(IF(MARÍTIMOS[[#This Row],[Puerto de Retiro]]="","",MARÍTIMOS[[#This Row],[Puerto de Retiro]]),"")</f>
        <v/>
      </c>
      <c r="R521" s="2" t="str">
        <f>IFERROR(IF(MARÍTIMOS[[#This Row],[Almacén de Retiro]]="","",MARÍTIMOS[[#This Row],[Almacén de Retiro]]),"")</f>
        <v/>
      </c>
      <c r="S521" s="11" t="str">
        <f>IFERROR(IF(MARÍTIMOS[[#This Row],[Etapa Retiro - Cita]]="","",MARÍTIMOS[[#This Row],[Etapa Retiro - Cita]]),"")</f>
        <v/>
      </c>
      <c r="T521" s="11" t="str">
        <f>IFERROR(IF(MARÍTIMOS[[#This Row],[Etapa Retiro - Llegada]]="","",MARÍTIMOS[[#This Row],[Etapa Retiro - Llegada]]),"")</f>
        <v/>
      </c>
      <c r="U521" s="11" t="str">
        <f>IFERROR(IF(MARÍTIMOS[[#This Row],[Etapa Retiro - Ingreso]]="","",MARÍTIMOS[[#This Row],[Etapa Retiro - Ingreso]]),"")</f>
        <v/>
      </c>
      <c r="V521" s="11" t="str">
        <f>IFERROR(IF(MARÍTIMOS[[#This Row],[Etapa Retiro - Atención]]="","",MARÍTIMOS[[#This Row],[Etapa Retiro - Atención]]),"")</f>
        <v/>
      </c>
      <c r="W521" s="11" t="str">
        <f>IFERROR(IF(MARÍTIMOS[[#This Row],[Etapa Retiro - Atención]]="","",MARÍTIMOS[[#This Row],[Etapa Retiro - Atención]]),"")</f>
        <v/>
      </c>
      <c r="X521" s="11" t="str">
        <f>IFERROR(IF(MARÍTIMOS[[#This Row],[Etapa Retiro - Inicio de Ruta]]="","",MARÍTIMOS[[#This Row],[Etapa Retiro - Inicio de Ruta]]),"")</f>
        <v/>
      </c>
      <c r="Y521" s="11" t="str">
        <f>IFERROR(IF(MARÍTIMOS[[#This Row],[Hora de Posicionamiento]]="","",MARÍTIMOS[[#This Row],[Fecha de Carga]]+MARÍTIMOS[[#This Row],[Hora de Posicionamiento]]),"")</f>
        <v/>
      </c>
      <c r="Z521" s="11" t="str">
        <f>IFERROR(IF(MARÍTIMOS[[#This Row],[Etapa Despacho - Llegada]]="","",MARÍTIMOS[[#This Row],[Etapa Despacho - Llegada]]),"")</f>
        <v/>
      </c>
      <c r="AA521" s="11" t="str">
        <f>IFERROR(IF(MARÍTIMOS[[#This Row],[Etapa Despacho - Registro]]="","",MARÍTIMOS[[#This Row],[Etapa Despacho - Registro]]),"")</f>
        <v/>
      </c>
      <c r="AB521" s="11" t="str">
        <f>IFERROR(IF(MARÍTIMOS[[#This Row],[Inspección Externa]]="","",MARÍTIMOS[[#This Row],[Inspección Externa]]),"")</f>
        <v/>
      </c>
      <c r="AC521" s="11" t="str">
        <f>IFERROR(IF(MARÍTIMOS[[#This Row],[Etapa Despacho - Inicio de Carga]]="","",MARÍTIMOS[[#This Row],[Etapa Despacho - Inicio de Carga]]),"")</f>
        <v/>
      </c>
      <c r="AD521" s="11" t="str">
        <f>IFERROR(IF(MARÍTIMOS[[#This Row],[Etapa Despacho - Mitad de Carga]]="","",MARÍTIMOS[[#This Row],[Etapa Despacho - Mitad de Carga]]),"")</f>
        <v/>
      </c>
      <c r="AE521" s="11" t="str">
        <f>IFERROR(IF(MARÍTIMOS[[#This Row],[Etapa Despacho - Fin de Carga]]="","",MARÍTIMOS[[#This Row],[Etapa Despacho - Fin de Carga]]),"")</f>
        <v/>
      </c>
      <c r="AF521" s="2" t="str">
        <f>IFERROR(IF(MARÍTIMOS[[#This Row],[Puerto de Embarque]]="","",MARÍTIMOS[[#This Row],[Puerto de Embarque]]),"")</f>
        <v/>
      </c>
      <c r="AG521" s="2" t="str">
        <f>IFERROR(IF(MARÍTIMOS[[#This Row],[Almacén de Ingreso]]="","",MARÍTIMOS[[#This Row],[Almacén de Ingreso]]),"")</f>
        <v/>
      </c>
      <c r="AH521" s="11" t="str">
        <f>IFERROR(IF(MARÍTIMOS[[#This Row],[Etapa Ingreso - Cita]]="","",MARÍTIMOS[[#This Row],[Etapa Ingreso - Cita]]),"")</f>
        <v/>
      </c>
      <c r="AI521" s="11" t="str">
        <f>IFERROR(IF(MARÍTIMOS[[#This Row],[Etapa Ingreso - Llegada]]="","",MARÍTIMOS[[#This Row],[Etapa Ingreso - Llegada]]),"")</f>
        <v/>
      </c>
      <c r="AJ521" s="11" t="str">
        <f>IFERROR(IF(MARÍTIMOS[[#This Row],[Etapa Ingreso - Ingeso]]="","",MARÍTIMOS[[#This Row],[Etapa Ingreso - Ingeso]]),"")</f>
        <v/>
      </c>
      <c r="AK521" s="11" t="str">
        <f>IFERROR(IF(MARÍTIMOS[[#This Row],[Etapa Ingreso - Atención]]="","",MARÍTIMOS[[#This Row],[Etapa Ingreso - Atención]]),"")</f>
        <v/>
      </c>
      <c r="AL521" s="11" t="str">
        <f>IFERROR(IF(MARÍTIMOS[[#This Row],[Etapa Ingreso - Salida]]="","",MARÍTIMOS[[#This Row],[Etapa Ingreso - Salida]]),"")</f>
        <v/>
      </c>
      <c r="AM521" s="2" t="str">
        <f>IFERROR(IF(MARÍTIMOS[[#This Row],[FCL]]="","",MARÍTIMOS[[#This Row],[FCL]]),"")</f>
        <v/>
      </c>
      <c r="AN5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1" s="4" t="str" cm="1">
        <f t="array" ref="AO5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1" s="5" t="str">
        <f>IFERROR(OLDBD[[#This Row],[Llegada a packing]]-OLDBD[[#This Row],[Inicio de Ruta]],"")</f>
        <v/>
      </c>
      <c r="AQ521" s="6" t="str">
        <f>IFERROR(OLDBD[[#This Row],[Inicio de Ruta]]-OLDBD[[#This Row],[Salida de almacén de retiro]],"")</f>
        <v/>
      </c>
      <c r="AR5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1" s="8" t="str" cm="1">
        <f t="array" ref="AS5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1" s="9" t="str">
        <f>IFERROR(OLDBD[[#This Row],[Ingreso Packing]]-OLDBD[[#This Row],[Registro en Packing]],"")</f>
        <v/>
      </c>
      <c r="AV521" s="9" t="str">
        <f>IFERROR(OLDBD[[#This Row],[Ingreso Packing]]-OLDBD[[#This Row],[Llegada a packing]],"")</f>
        <v/>
      </c>
      <c r="AW5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1" s="5" t="str">
        <f>IFERROR(OLDBD[[#This Row],[Llegada Almacén de Ingreso]]-OLDBD[[#This Row],[Salida Packing]],"")</f>
        <v/>
      </c>
      <c r="AY521" s="4" t="str" cm="1">
        <f t="array" ref="AY5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1" s="43" t="s">
        <v>173</v>
      </c>
      <c r="BB521" s="47" t="str">
        <f>IFERROR(IF(MARÍTIMOS[[#This Row],[Estatus]]="","",MARÍTIMOS[[#This Row],[Estatus]]),"")</f>
        <v/>
      </c>
      <c r="BC521" s="43"/>
      <c r="BD521" s="46" t="str">
        <f>IFERROR(OLDBD[[#This Row],[Salida de almacén de retiro]]-OLDBD[[#This Row],[Ingreso Almacén de retiro]],"")</f>
        <v/>
      </c>
      <c r="BE521" s="46" t="str">
        <f>IFERROR(OLDBD[[#This Row],[Fin de Carga]]-OLDBD[[#This Row],[Inicio de Carga]],"")</f>
        <v/>
      </c>
    </row>
    <row r="522" spans="1:57" customFormat="1" hidden="1">
      <c r="A522" s="1"/>
      <c r="B522" s="1" t="str">
        <f>IFERROR(IF(MARÍTIMOS[[#This Row],[PP]]="","",MARÍTIMOS[[#This Row],[PP]]),"")</f>
        <v/>
      </c>
      <c r="C522" s="1" t="str">
        <f>IFERROR(IF(MARÍTIMOS[[#This Row],[Sede]]="","",MARÍTIMOS[[#This Row],[Sede]]),"")</f>
        <v/>
      </c>
      <c r="D522" s="1" t="str">
        <f>IFERROR(IF(MARÍTIMOS[[#This Row],[Instruction]]="","",MARÍTIMOS[[#This Row],[Instruction]]),"")</f>
        <v/>
      </c>
      <c r="E522" s="1"/>
      <c r="F522" s="2" t="str">
        <f>IFERROR(IF(MARÍTIMOS[[#This Row],[Transportista]]="","",MARÍTIMOS[[#This Row],[Transportista]]),"")</f>
        <v/>
      </c>
      <c r="G522" s="2" t="str">
        <f>IFERROR(IF(MARÍTIMOS[[#This Row],[Tercero]]="","",MARÍTIMOS[[#This Row],[Tercero]]),"")</f>
        <v/>
      </c>
      <c r="H522" s="2" t="str">
        <f>IFERROR(IF(MARÍTIMOS[[#This Row],[Razón Social]]="","",MARÍTIMOS[[#This Row],[Razón Social]]),"")</f>
        <v/>
      </c>
      <c r="I522" s="2" t="str">
        <f>IFERROR(IF(MARÍTIMOS[[#This Row],[RUC]]="","",MARÍTIMOS[[#This Row],[RUC]]),"")</f>
        <v/>
      </c>
      <c r="J522" s="2" t="str">
        <f>IFERROR(IF(MARÍTIMOS[[#This Row],[Placa Tracto]]="","",MARÍTIMOS[[#This Row],[Placa Tracto]]),"")</f>
        <v/>
      </c>
      <c r="K522" s="2" t="str">
        <f>IFERROR(IF(MARÍTIMOS[[#This Row],[Placa Carreta]]="","",MARÍTIMOS[[#This Row],[Placa Carreta]]),"")</f>
        <v/>
      </c>
      <c r="L522" s="44" t="str">
        <f>IFERROR(IF(MARÍTIMOS[[#This Row],[Conductor]]="","",MARÍTIMOS[[#This Row],[Conductor]]),"")</f>
        <v/>
      </c>
      <c r="M522" s="2" t="str">
        <f>IFERROR(IF(MARÍTIMOS[[#This Row],[Licencia]]="","",MARÍTIMOS[[#This Row],[Licencia]]),"")</f>
        <v/>
      </c>
      <c r="N522" s="2" t="str">
        <f>IFERROR(IF(MARÍTIMOS[[#This Row],[Número de Contacto]]="","",MARÍTIMOS[[#This Row],[Número de Contacto]]),"")</f>
        <v/>
      </c>
      <c r="O522" s="10" t="str">
        <f>IFERROR(IF(MARÍTIMOS[[#This Row],[Booking|AWB|CRT]]="","",MARÍTIMOS[[#This Row],[Booking|AWB|CRT]]),"")</f>
        <v/>
      </c>
      <c r="P522" s="2" t="str">
        <f>IFERROR(IF(MARÍTIMOS[[#This Row],[Contenedor]]="","",MARÍTIMOS[[#This Row],[Contenedor]]),"")</f>
        <v/>
      </c>
      <c r="Q522" s="2" t="str">
        <f>IFERROR(IF(MARÍTIMOS[[#This Row],[Puerto de Retiro]]="","",MARÍTIMOS[[#This Row],[Puerto de Retiro]]),"")</f>
        <v/>
      </c>
      <c r="R522" s="2" t="str">
        <f>IFERROR(IF(MARÍTIMOS[[#This Row],[Almacén de Retiro]]="","",MARÍTIMOS[[#This Row],[Almacén de Retiro]]),"")</f>
        <v/>
      </c>
      <c r="S522" s="11" t="str">
        <f>IFERROR(IF(MARÍTIMOS[[#This Row],[Etapa Retiro - Cita]]="","",MARÍTIMOS[[#This Row],[Etapa Retiro - Cita]]),"")</f>
        <v/>
      </c>
      <c r="T522" s="11" t="str">
        <f>IFERROR(IF(MARÍTIMOS[[#This Row],[Etapa Retiro - Llegada]]="","",MARÍTIMOS[[#This Row],[Etapa Retiro - Llegada]]),"")</f>
        <v/>
      </c>
      <c r="U522" s="11" t="str">
        <f>IFERROR(IF(MARÍTIMOS[[#This Row],[Etapa Retiro - Ingreso]]="","",MARÍTIMOS[[#This Row],[Etapa Retiro - Ingreso]]),"")</f>
        <v/>
      </c>
      <c r="V522" s="11" t="str">
        <f>IFERROR(IF(MARÍTIMOS[[#This Row],[Etapa Retiro - Atención]]="","",MARÍTIMOS[[#This Row],[Etapa Retiro - Atención]]),"")</f>
        <v/>
      </c>
      <c r="W522" s="11" t="str">
        <f>IFERROR(IF(MARÍTIMOS[[#This Row],[Etapa Retiro - Atención]]="","",MARÍTIMOS[[#This Row],[Etapa Retiro - Atención]]),"")</f>
        <v/>
      </c>
      <c r="X522" s="11" t="str">
        <f>IFERROR(IF(MARÍTIMOS[[#This Row],[Etapa Retiro - Inicio de Ruta]]="","",MARÍTIMOS[[#This Row],[Etapa Retiro - Inicio de Ruta]]),"")</f>
        <v/>
      </c>
      <c r="Y522" s="11" t="str">
        <f>IFERROR(IF(MARÍTIMOS[[#This Row],[Hora de Posicionamiento]]="","",MARÍTIMOS[[#This Row],[Fecha de Carga]]+MARÍTIMOS[[#This Row],[Hora de Posicionamiento]]),"")</f>
        <v/>
      </c>
      <c r="Z522" s="11" t="str">
        <f>IFERROR(IF(MARÍTIMOS[[#This Row],[Etapa Despacho - Llegada]]="","",MARÍTIMOS[[#This Row],[Etapa Despacho - Llegada]]),"")</f>
        <v/>
      </c>
      <c r="AA522" s="11" t="str">
        <f>IFERROR(IF(MARÍTIMOS[[#This Row],[Etapa Despacho - Registro]]="","",MARÍTIMOS[[#This Row],[Etapa Despacho - Registro]]),"")</f>
        <v/>
      </c>
      <c r="AB522" s="11" t="str">
        <f>IFERROR(IF(MARÍTIMOS[[#This Row],[Inspección Externa]]="","",MARÍTIMOS[[#This Row],[Inspección Externa]]),"")</f>
        <v/>
      </c>
      <c r="AC522" s="11" t="str">
        <f>IFERROR(IF(MARÍTIMOS[[#This Row],[Etapa Despacho - Inicio de Carga]]="","",MARÍTIMOS[[#This Row],[Etapa Despacho - Inicio de Carga]]),"")</f>
        <v/>
      </c>
      <c r="AD522" s="11" t="str">
        <f>IFERROR(IF(MARÍTIMOS[[#This Row],[Etapa Despacho - Mitad de Carga]]="","",MARÍTIMOS[[#This Row],[Etapa Despacho - Mitad de Carga]]),"")</f>
        <v/>
      </c>
      <c r="AE522" s="11" t="str">
        <f>IFERROR(IF(MARÍTIMOS[[#This Row],[Etapa Despacho - Fin de Carga]]="","",MARÍTIMOS[[#This Row],[Etapa Despacho - Fin de Carga]]),"")</f>
        <v/>
      </c>
      <c r="AF522" s="2" t="str">
        <f>IFERROR(IF(MARÍTIMOS[[#This Row],[Puerto de Embarque]]="","",MARÍTIMOS[[#This Row],[Puerto de Embarque]]),"")</f>
        <v/>
      </c>
      <c r="AG522" s="2" t="str">
        <f>IFERROR(IF(MARÍTIMOS[[#This Row],[Almacén de Ingreso]]="","",MARÍTIMOS[[#This Row],[Almacén de Ingreso]]),"")</f>
        <v/>
      </c>
      <c r="AH522" s="11" t="str">
        <f>IFERROR(IF(MARÍTIMOS[[#This Row],[Etapa Ingreso - Cita]]="","",MARÍTIMOS[[#This Row],[Etapa Ingreso - Cita]]),"")</f>
        <v/>
      </c>
      <c r="AI522" s="11" t="str">
        <f>IFERROR(IF(MARÍTIMOS[[#This Row],[Etapa Ingreso - Llegada]]="","",MARÍTIMOS[[#This Row],[Etapa Ingreso - Llegada]]),"")</f>
        <v/>
      </c>
      <c r="AJ522" s="11" t="str">
        <f>IFERROR(IF(MARÍTIMOS[[#This Row],[Etapa Ingreso - Ingeso]]="","",MARÍTIMOS[[#This Row],[Etapa Ingreso - Ingeso]]),"")</f>
        <v/>
      </c>
      <c r="AK522" s="11" t="str">
        <f>IFERROR(IF(MARÍTIMOS[[#This Row],[Etapa Ingreso - Atención]]="","",MARÍTIMOS[[#This Row],[Etapa Ingreso - Atención]]),"")</f>
        <v/>
      </c>
      <c r="AL522" s="11" t="str">
        <f>IFERROR(IF(MARÍTIMOS[[#This Row],[Etapa Ingreso - Salida]]="","",MARÍTIMOS[[#This Row],[Etapa Ingreso - Salida]]),"")</f>
        <v/>
      </c>
      <c r="AM522" s="2" t="str">
        <f>IFERROR(IF(MARÍTIMOS[[#This Row],[FCL]]="","",MARÍTIMOS[[#This Row],[FCL]]),"")</f>
        <v/>
      </c>
      <c r="AN5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2" s="4" t="str" cm="1">
        <f t="array" ref="AO5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2" s="5" t="str">
        <f>IFERROR(OLDBD[[#This Row],[Llegada a packing]]-OLDBD[[#This Row],[Inicio de Ruta]],"")</f>
        <v/>
      </c>
      <c r="AQ522" s="6" t="str">
        <f>IFERROR(OLDBD[[#This Row],[Inicio de Ruta]]-OLDBD[[#This Row],[Salida de almacén de retiro]],"")</f>
        <v/>
      </c>
      <c r="AR5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2" s="8" t="str" cm="1">
        <f t="array" ref="AS5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2" s="9" t="str">
        <f>IFERROR(OLDBD[[#This Row],[Ingreso Packing]]-OLDBD[[#This Row],[Registro en Packing]],"")</f>
        <v/>
      </c>
      <c r="AV522" s="9" t="str">
        <f>IFERROR(OLDBD[[#This Row],[Ingreso Packing]]-OLDBD[[#This Row],[Llegada a packing]],"")</f>
        <v/>
      </c>
      <c r="AW5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2" s="5" t="str">
        <f>IFERROR(OLDBD[[#This Row],[Llegada Almacén de Ingreso]]-OLDBD[[#This Row],[Salida Packing]],"")</f>
        <v/>
      </c>
      <c r="AY522" s="4" t="str" cm="1">
        <f t="array" ref="AY5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2" s="43" t="s">
        <v>173</v>
      </c>
      <c r="BB522" s="47" t="str">
        <f>IFERROR(IF(MARÍTIMOS[[#This Row],[Estatus]]="","",MARÍTIMOS[[#This Row],[Estatus]]),"")</f>
        <v/>
      </c>
      <c r="BC522" s="43"/>
      <c r="BD522" s="46" t="str">
        <f>IFERROR(OLDBD[[#This Row],[Salida de almacén de retiro]]-OLDBD[[#This Row],[Ingreso Almacén de retiro]],"")</f>
        <v/>
      </c>
      <c r="BE522" s="46" t="str">
        <f>IFERROR(OLDBD[[#This Row],[Fin de Carga]]-OLDBD[[#This Row],[Inicio de Carga]],"")</f>
        <v/>
      </c>
    </row>
    <row r="523" spans="1:57" customFormat="1" hidden="1">
      <c r="A523" s="1"/>
      <c r="B523" s="1" t="str">
        <f>IFERROR(IF(MARÍTIMOS[[#This Row],[PP]]="","",MARÍTIMOS[[#This Row],[PP]]),"")</f>
        <v/>
      </c>
      <c r="C523" s="1" t="str">
        <f>IFERROR(IF(MARÍTIMOS[[#This Row],[Sede]]="","",MARÍTIMOS[[#This Row],[Sede]]),"")</f>
        <v/>
      </c>
      <c r="D523" s="1" t="str">
        <f>IFERROR(IF(MARÍTIMOS[[#This Row],[Instruction]]="","",MARÍTIMOS[[#This Row],[Instruction]]),"")</f>
        <v/>
      </c>
      <c r="E523" s="1"/>
      <c r="F523" s="2" t="str">
        <f>IFERROR(IF(MARÍTIMOS[[#This Row],[Transportista]]="","",MARÍTIMOS[[#This Row],[Transportista]]),"")</f>
        <v/>
      </c>
      <c r="G523" s="2" t="str">
        <f>IFERROR(IF(MARÍTIMOS[[#This Row],[Tercero]]="","",MARÍTIMOS[[#This Row],[Tercero]]),"")</f>
        <v/>
      </c>
      <c r="H523" s="2" t="str">
        <f>IFERROR(IF(MARÍTIMOS[[#This Row],[Razón Social]]="","",MARÍTIMOS[[#This Row],[Razón Social]]),"")</f>
        <v/>
      </c>
      <c r="I523" s="2" t="str">
        <f>IFERROR(IF(MARÍTIMOS[[#This Row],[RUC]]="","",MARÍTIMOS[[#This Row],[RUC]]),"")</f>
        <v/>
      </c>
      <c r="J523" s="2" t="str">
        <f>IFERROR(IF(MARÍTIMOS[[#This Row],[Placa Tracto]]="","",MARÍTIMOS[[#This Row],[Placa Tracto]]),"")</f>
        <v/>
      </c>
      <c r="K523" s="2" t="str">
        <f>IFERROR(IF(MARÍTIMOS[[#This Row],[Placa Carreta]]="","",MARÍTIMOS[[#This Row],[Placa Carreta]]),"")</f>
        <v/>
      </c>
      <c r="L523" s="44" t="str">
        <f>IFERROR(IF(MARÍTIMOS[[#This Row],[Conductor]]="","",MARÍTIMOS[[#This Row],[Conductor]]),"")</f>
        <v/>
      </c>
      <c r="M523" s="2" t="str">
        <f>IFERROR(IF(MARÍTIMOS[[#This Row],[Licencia]]="","",MARÍTIMOS[[#This Row],[Licencia]]),"")</f>
        <v/>
      </c>
      <c r="N523" s="2" t="str">
        <f>IFERROR(IF(MARÍTIMOS[[#This Row],[Número de Contacto]]="","",MARÍTIMOS[[#This Row],[Número de Contacto]]),"")</f>
        <v/>
      </c>
      <c r="O523" s="10" t="str">
        <f>IFERROR(IF(MARÍTIMOS[[#This Row],[Booking|AWB|CRT]]="","",MARÍTIMOS[[#This Row],[Booking|AWB|CRT]]),"")</f>
        <v/>
      </c>
      <c r="P523" s="2" t="str">
        <f>IFERROR(IF(MARÍTIMOS[[#This Row],[Contenedor]]="","",MARÍTIMOS[[#This Row],[Contenedor]]),"")</f>
        <v/>
      </c>
      <c r="Q523" s="2" t="str">
        <f>IFERROR(IF(MARÍTIMOS[[#This Row],[Puerto de Retiro]]="","",MARÍTIMOS[[#This Row],[Puerto de Retiro]]),"")</f>
        <v/>
      </c>
      <c r="R523" s="2" t="str">
        <f>IFERROR(IF(MARÍTIMOS[[#This Row],[Almacén de Retiro]]="","",MARÍTIMOS[[#This Row],[Almacén de Retiro]]),"")</f>
        <v/>
      </c>
      <c r="S523" s="11" t="str">
        <f>IFERROR(IF(MARÍTIMOS[[#This Row],[Etapa Retiro - Cita]]="","",MARÍTIMOS[[#This Row],[Etapa Retiro - Cita]]),"")</f>
        <v/>
      </c>
      <c r="T523" s="11" t="str">
        <f>IFERROR(IF(MARÍTIMOS[[#This Row],[Etapa Retiro - Llegada]]="","",MARÍTIMOS[[#This Row],[Etapa Retiro - Llegada]]),"")</f>
        <v/>
      </c>
      <c r="U523" s="11" t="str">
        <f>IFERROR(IF(MARÍTIMOS[[#This Row],[Etapa Retiro - Ingreso]]="","",MARÍTIMOS[[#This Row],[Etapa Retiro - Ingreso]]),"")</f>
        <v/>
      </c>
      <c r="V523" s="11" t="str">
        <f>IFERROR(IF(MARÍTIMOS[[#This Row],[Etapa Retiro - Atención]]="","",MARÍTIMOS[[#This Row],[Etapa Retiro - Atención]]),"")</f>
        <v/>
      </c>
      <c r="W523" s="11" t="str">
        <f>IFERROR(IF(MARÍTIMOS[[#This Row],[Etapa Retiro - Atención]]="","",MARÍTIMOS[[#This Row],[Etapa Retiro - Atención]]),"")</f>
        <v/>
      </c>
      <c r="X523" s="11" t="str">
        <f>IFERROR(IF(MARÍTIMOS[[#This Row],[Etapa Retiro - Inicio de Ruta]]="","",MARÍTIMOS[[#This Row],[Etapa Retiro - Inicio de Ruta]]),"")</f>
        <v/>
      </c>
      <c r="Y523" s="11" t="str">
        <f>IFERROR(IF(MARÍTIMOS[[#This Row],[Hora de Posicionamiento]]="","",MARÍTIMOS[[#This Row],[Fecha de Carga]]+MARÍTIMOS[[#This Row],[Hora de Posicionamiento]]),"")</f>
        <v/>
      </c>
      <c r="Z523" s="11" t="str">
        <f>IFERROR(IF(MARÍTIMOS[[#This Row],[Etapa Despacho - Llegada]]="","",MARÍTIMOS[[#This Row],[Etapa Despacho - Llegada]]),"")</f>
        <v/>
      </c>
      <c r="AA523" s="11" t="str">
        <f>IFERROR(IF(MARÍTIMOS[[#This Row],[Etapa Despacho - Registro]]="","",MARÍTIMOS[[#This Row],[Etapa Despacho - Registro]]),"")</f>
        <v/>
      </c>
      <c r="AB523" s="11" t="str">
        <f>IFERROR(IF(MARÍTIMOS[[#This Row],[Inspección Externa]]="","",MARÍTIMOS[[#This Row],[Inspección Externa]]),"")</f>
        <v/>
      </c>
      <c r="AC523" s="11" t="str">
        <f>IFERROR(IF(MARÍTIMOS[[#This Row],[Etapa Despacho - Inicio de Carga]]="","",MARÍTIMOS[[#This Row],[Etapa Despacho - Inicio de Carga]]),"")</f>
        <v/>
      </c>
      <c r="AD523" s="11" t="str">
        <f>IFERROR(IF(MARÍTIMOS[[#This Row],[Etapa Despacho - Mitad de Carga]]="","",MARÍTIMOS[[#This Row],[Etapa Despacho - Mitad de Carga]]),"")</f>
        <v/>
      </c>
      <c r="AE523" s="11" t="str">
        <f>IFERROR(IF(MARÍTIMOS[[#This Row],[Etapa Despacho - Fin de Carga]]="","",MARÍTIMOS[[#This Row],[Etapa Despacho - Fin de Carga]]),"")</f>
        <v/>
      </c>
      <c r="AF523" s="2" t="str">
        <f>IFERROR(IF(MARÍTIMOS[[#This Row],[Puerto de Embarque]]="","",MARÍTIMOS[[#This Row],[Puerto de Embarque]]),"")</f>
        <v/>
      </c>
      <c r="AG523" s="2" t="str">
        <f>IFERROR(IF(MARÍTIMOS[[#This Row],[Almacén de Ingreso]]="","",MARÍTIMOS[[#This Row],[Almacén de Ingreso]]),"")</f>
        <v/>
      </c>
      <c r="AH523" s="11" t="str">
        <f>IFERROR(IF(MARÍTIMOS[[#This Row],[Etapa Ingreso - Cita]]="","",MARÍTIMOS[[#This Row],[Etapa Ingreso - Cita]]),"")</f>
        <v/>
      </c>
      <c r="AI523" s="11" t="str">
        <f>IFERROR(IF(MARÍTIMOS[[#This Row],[Etapa Ingreso - Llegada]]="","",MARÍTIMOS[[#This Row],[Etapa Ingreso - Llegada]]),"")</f>
        <v/>
      </c>
      <c r="AJ523" s="11" t="str">
        <f>IFERROR(IF(MARÍTIMOS[[#This Row],[Etapa Ingreso - Ingeso]]="","",MARÍTIMOS[[#This Row],[Etapa Ingreso - Ingeso]]),"")</f>
        <v/>
      </c>
      <c r="AK523" s="11" t="str">
        <f>IFERROR(IF(MARÍTIMOS[[#This Row],[Etapa Ingreso - Atención]]="","",MARÍTIMOS[[#This Row],[Etapa Ingreso - Atención]]),"")</f>
        <v/>
      </c>
      <c r="AL523" s="11" t="str">
        <f>IFERROR(IF(MARÍTIMOS[[#This Row],[Etapa Ingreso - Salida]]="","",MARÍTIMOS[[#This Row],[Etapa Ingreso - Salida]]),"")</f>
        <v/>
      </c>
      <c r="AM523" s="2" t="str">
        <f>IFERROR(IF(MARÍTIMOS[[#This Row],[FCL]]="","",MARÍTIMOS[[#This Row],[FCL]]),"")</f>
        <v/>
      </c>
      <c r="AN5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3" s="4" t="str" cm="1">
        <f t="array" ref="AO5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3" s="5" t="str">
        <f>IFERROR(OLDBD[[#This Row],[Llegada a packing]]-OLDBD[[#This Row],[Inicio de Ruta]],"")</f>
        <v/>
      </c>
      <c r="AQ523" s="6" t="str">
        <f>IFERROR(OLDBD[[#This Row],[Inicio de Ruta]]-OLDBD[[#This Row],[Salida de almacén de retiro]],"")</f>
        <v/>
      </c>
      <c r="AR5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3" s="8" t="str" cm="1">
        <f t="array" ref="AS5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3" s="9" t="str">
        <f>IFERROR(OLDBD[[#This Row],[Ingreso Packing]]-OLDBD[[#This Row],[Registro en Packing]],"")</f>
        <v/>
      </c>
      <c r="AV523" s="9" t="str">
        <f>IFERROR(OLDBD[[#This Row],[Ingreso Packing]]-OLDBD[[#This Row],[Llegada a packing]],"")</f>
        <v/>
      </c>
      <c r="AW5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3" s="5" t="str">
        <f>IFERROR(OLDBD[[#This Row],[Llegada Almacén de Ingreso]]-OLDBD[[#This Row],[Salida Packing]],"")</f>
        <v/>
      </c>
      <c r="AY523" s="4" t="str" cm="1">
        <f t="array" ref="AY5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3" s="43" t="s">
        <v>173</v>
      </c>
      <c r="BB523" s="47" t="str">
        <f>IFERROR(IF(MARÍTIMOS[[#This Row],[Estatus]]="","",MARÍTIMOS[[#This Row],[Estatus]]),"")</f>
        <v/>
      </c>
      <c r="BC523" s="43"/>
      <c r="BD523" s="46" t="str">
        <f>IFERROR(OLDBD[[#This Row],[Salida de almacén de retiro]]-OLDBD[[#This Row],[Ingreso Almacén de retiro]],"")</f>
        <v/>
      </c>
      <c r="BE523" s="46" t="str">
        <f>IFERROR(OLDBD[[#This Row],[Fin de Carga]]-OLDBD[[#This Row],[Inicio de Carga]],"")</f>
        <v/>
      </c>
    </row>
    <row r="524" spans="1:57" customFormat="1" hidden="1">
      <c r="A524" s="1"/>
      <c r="B524" s="1" t="str">
        <f>IFERROR(IF(MARÍTIMOS[[#This Row],[PP]]="","",MARÍTIMOS[[#This Row],[PP]]),"")</f>
        <v/>
      </c>
      <c r="C524" s="1" t="str">
        <f>IFERROR(IF(MARÍTIMOS[[#This Row],[Sede]]="","",MARÍTIMOS[[#This Row],[Sede]]),"")</f>
        <v/>
      </c>
      <c r="D524" s="1" t="str">
        <f>IFERROR(IF(MARÍTIMOS[[#This Row],[Instruction]]="","",MARÍTIMOS[[#This Row],[Instruction]]),"")</f>
        <v/>
      </c>
      <c r="E524" s="1"/>
      <c r="F524" s="2" t="str">
        <f>IFERROR(IF(MARÍTIMOS[[#This Row],[Transportista]]="","",MARÍTIMOS[[#This Row],[Transportista]]),"")</f>
        <v/>
      </c>
      <c r="G524" s="2" t="str">
        <f>IFERROR(IF(MARÍTIMOS[[#This Row],[Tercero]]="","",MARÍTIMOS[[#This Row],[Tercero]]),"")</f>
        <v/>
      </c>
      <c r="H524" s="2" t="str">
        <f>IFERROR(IF(MARÍTIMOS[[#This Row],[Razón Social]]="","",MARÍTIMOS[[#This Row],[Razón Social]]),"")</f>
        <v/>
      </c>
      <c r="I524" s="2" t="str">
        <f>IFERROR(IF(MARÍTIMOS[[#This Row],[RUC]]="","",MARÍTIMOS[[#This Row],[RUC]]),"")</f>
        <v/>
      </c>
      <c r="J524" s="2" t="str">
        <f>IFERROR(IF(MARÍTIMOS[[#This Row],[Placa Tracto]]="","",MARÍTIMOS[[#This Row],[Placa Tracto]]),"")</f>
        <v/>
      </c>
      <c r="K524" s="2" t="str">
        <f>IFERROR(IF(MARÍTIMOS[[#This Row],[Placa Carreta]]="","",MARÍTIMOS[[#This Row],[Placa Carreta]]),"")</f>
        <v/>
      </c>
      <c r="L524" s="44" t="str">
        <f>IFERROR(IF(MARÍTIMOS[[#This Row],[Conductor]]="","",MARÍTIMOS[[#This Row],[Conductor]]),"")</f>
        <v/>
      </c>
      <c r="M524" s="2" t="str">
        <f>IFERROR(IF(MARÍTIMOS[[#This Row],[Licencia]]="","",MARÍTIMOS[[#This Row],[Licencia]]),"")</f>
        <v/>
      </c>
      <c r="N524" s="2" t="str">
        <f>IFERROR(IF(MARÍTIMOS[[#This Row],[Número de Contacto]]="","",MARÍTIMOS[[#This Row],[Número de Contacto]]),"")</f>
        <v/>
      </c>
      <c r="O524" s="10" t="str">
        <f>IFERROR(IF(MARÍTIMOS[[#This Row],[Booking|AWB|CRT]]="","",MARÍTIMOS[[#This Row],[Booking|AWB|CRT]]),"")</f>
        <v/>
      </c>
      <c r="P524" s="2" t="str">
        <f>IFERROR(IF(MARÍTIMOS[[#This Row],[Contenedor]]="","",MARÍTIMOS[[#This Row],[Contenedor]]),"")</f>
        <v/>
      </c>
      <c r="Q524" s="2" t="str">
        <f>IFERROR(IF(MARÍTIMOS[[#This Row],[Puerto de Retiro]]="","",MARÍTIMOS[[#This Row],[Puerto de Retiro]]),"")</f>
        <v/>
      </c>
      <c r="R524" s="2" t="str">
        <f>IFERROR(IF(MARÍTIMOS[[#This Row],[Almacén de Retiro]]="","",MARÍTIMOS[[#This Row],[Almacén de Retiro]]),"")</f>
        <v/>
      </c>
      <c r="S524" s="11" t="str">
        <f>IFERROR(IF(MARÍTIMOS[[#This Row],[Etapa Retiro - Cita]]="","",MARÍTIMOS[[#This Row],[Etapa Retiro - Cita]]),"")</f>
        <v/>
      </c>
      <c r="T524" s="11" t="str">
        <f>IFERROR(IF(MARÍTIMOS[[#This Row],[Etapa Retiro - Llegada]]="","",MARÍTIMOS[[#This Row],[Etapa Retiro - Llegada]]),"")</f>
        <v/>
      </c>
      <c r="U524" s="11" t="str">
        <f>IFERROR(IF(MARÍTIMOS[[#This Row],[Etapa Retiro - Ingreso]]="","",MARÍTIMOS[[#This Row],[Etapa Retiro - Ingreso]]),"")</f>
        <v/>
      </c>
      <c r="V524" s="11" t="str">
        <f>IFERROR(IF(MARÍTIMOS[[#This Row],[Etapa Retiro - Atención]]="","",MARÍTIMOS[[#This Row],[Etapa Retiro - Atención]]),"")</f>
        <v/>
      </c>
      <c r="W524" s="11" t="str">
        <f>IFERROR(IF(MARÍTIMOS[[#This Row],[Etapa Retiro - Atención]]="","",MARÍTIMOS[[#This Row],[Etapa Retiro - Atención]]),"")</f>
        <v/>
      </c>
      <c r="X524" s="11" t="str">
        <f>IFERROR(IF(MARÍTIMOS[[#This Row],[Etapa Retiro - Inicio de Ruta]]="","",MARÍTIMOS[[#This Row],[Etapa Retiro - Inicio de Ruta]]),"")</f>
        <v/>
      </c>
      <c r="Y524" s="11" t="str">
        <f>IFERROR(IF(MARÍTIMOS[[#This Row],[Hora de Posicionamiento]]="","",MARÍTIMOS[[#This Row],[Fecha de Carga]]+MARÍTIMOS[[#This Row],[Hora de Posicionamiento]]),"")</f>
        <v/>
      </c>
      <c r="Z524" s="11" t="str">
        <f>IFERROR(IF(MARÍTIMOS[[#This Row],[Etapa Despacho - Llegada]]="","",MARÍTIMOS[[#This Row],[Etapa Despacho - Llegada]]),"")</f>
        <v/>
      </c>
      <c r="AA524" s="11" t="str">
        <f>IFERROR(IF(MARÍTIMOS[[#This Row],[Etapa Despacho - Registro]]="","",MARÍTIMOS[[#This Row],[Etapa Despacho - Registro]]),"")</f>
        <v/>
      </c>
      <c r="AB524" s="11" t="str">
        <f>IFERROR(IF(MARÍTIMOS[[#This Row],[Inspección Externa]]="","",MARÍTIMOS[[#This Row],[Inspección Externa]]),"")</f>
        <v/>
      </c>
      <c r="AC524" s="11" t="str">
        <f>IFERROR(IF(MARÍTIMOS[[#This Row],[Etapa Despacho - Inicio de Carga]]="","",MARÍTIMOS[[#This Row],[Etapa Despacho - Inicio de Carga]]),"")</f>
        <v/>
      </c>
      <c r="AD524" s="11" t="str">
        <f>IFERROR(IF(MARÍTIMOS[[#This Row],[Etapa Despacho - Mitad de Carga]]="","",MARÍTIMOS[[#This Row],[Etapa Despacho - Mitad de Carga]]),"")</f>
        <v/>
      </c>
      <c r="AE524" s="11" t="str">
        <f>IFERROR(IF(MARÍTIMOS[[#This Row],[Etapa Despacho - Fin de Carga]]="","",MARÍTIMOS[[#This Row],[Etapa Despacho - Fin de Carga]]),"")</f>
        <v/>
      </c>
      <c r="AF524" s="2" t="str">
        <f>IFERROR(IF(MARÍTIMOS[[#This Row],[Puerto de Embarque]]="","",MARÍTIMOS[[#This Row],[Puerto de Embarque]]),"")</f>
        <v/>
      </c>
      <c r="AG524" s="2" t="str">
        <f>IFERROR(IF(MARÍTIMOS[[#This Row],[Almacén de Ingreso]]="","",MARÍTIMOS[[#This Row],[Almacén de Ingreso]]),"")</f>
        <v/>
      </c>
      <c r="AH524" s="11" t="str">
        <f>IFERROR(IF(MARÍTIMOS[[#This Row],[Etapa Ingreso - Cita]]="","",MARÍTIMOS[[#This Row],[Etapa Ingreso - Cita]]),"")</f>
        <v/>
      </c>
      <c r="AI524" s="11" t="str">
        <f>IFERROR(IF(MARÍTIMOS[[#This Row],[Etapa Ingreso - Llegada]]="","",MARÍTIMOS[[#This Row],[Etapa Ingreso - Llegada]]),"")</f>
        <v/>
      </c>
      <c r="AJ524" s="11" t="str">
        <f>IFERROR(IF(MARÍTIMOS[[#This Row],[Etapa Ingreso - Ingeso]]="","",MARÍTIMOS[[#This Row],[Etapa Ingreso - Ingeso]]),"")</f>
        <v/>
      </c>
      <c r="AK524" s="11" t="str">
        <f>IFERROR(IF(MARÍTIMOS[[#This Row],[Etapa Ingreso - Atención]]="","",MARÍTIMOS[[#This Row],[Etapa Ingreso - Atención]]),"")</f>
        <v/>
      </c>
      <c r="AL524" s="11" t="str">
        <f>IFERROR(IF(MARÍTIMOS[[#This Row],[Etapa Ingreso - Salida]]="","",MARÍTIMOS[[#This Row],[Etapa Ingreso - Salida]]),"")</f>
        <v/>
      </c>
      <c r="AM524" s="2" t="str">
        <f>IFERROR(IF(MARÍTIMOS[[#This Row],[FCL]]="","",MARÍTIMOS[[#This Row],[FCL]]),"")</f>
        <v/>
      </c>
      <c r="AN5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4" s="4" t="str" cm="1">
        <f t="array" ref="AO5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4" s="5" t="str">
        <f>IFERROR(OLDBD[[#This Row],[Llegada a packing]]-OLDBD[[#This Row],[Inicio de Ruta]],"")</f>
        <v/>
      </c>
      <c r="AQ524" s="6" t="str">
        <f>IFERROR(OLDBD[[#This Row],[Inicio de Ruta]]-OLDBD[[#This Row],[Salida de almacén de retiro]],"")</f>
        <v/>
      </c>
      <c r="AR5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4" s="8" t="str" cm="1">
        <f t="array" ref="AS5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4" s="9" t="str">
        <f>IFERROR(OLDBD[[#This Row],[Ingreso Packing]]-OLDBD[[#This Row],[Registro en Packing]],"")</f>
        <v/>
      </c>
      <c r="AV524" s="9" t="str">
        <f>IFERROR(OLDBD[[#This Row],[Ingreso Packing]]-OLDBD[[#This Row],[Llegada a packing]],"")</f>
        <v/>
      </c>
      <c r="AW5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4" s="5" t="str">
        <f>IFERROR(OLDBD[[#This Row],[Llegada Almacén de Ingreso]]-OLDBD[[#This Row],[Salida Packing]],"")</f>
        <v/>
      </c>
      <c r="AY524" s="4" t="str" cm="1">
        <f t="array" ref="AY5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4" s="43" t="s">
        <v>173</v>
      </c>
      <c r="BB524" s="47" t="str">
        <f>IFERROR(IF(MARÍTIMOS[[#This Row],[Estatus]]="","",MARÍTIMOS[[#This Row],[Estatus]]),"")</f>
        <v/>
      </c>
      <c r="BC524" s="43"/>
      <c r="BD524" s="46" t="str">
        <f>IFERROR(OLDBD[[#This Row],[Salida de almacén de retiro]]-OLDBD[[#This Row],[Ingreso Almacén de retiro]],"")</f>
        <v/>
      </c>
      <c r="BE524" s="46" t="str">
        <f>IFERROR(OLDBD[[#This Row],[Fin de Carga]]-OLDBD[[#This Row],[Inicio de Carga]],"")</f>
        <v/>
      </c>
    </row>
    <row r="525" spans="1:57" customFormat="1" hidden="1">
      <c r="A525" s="1"/>
      <c r="B525" s="1" t="str">
        <f>IFERROR(IF(MARÍTIMOS[[#This Row],[PP]]="","",MARÍTIMOS[[#This Row],[PP]]),"")</f>
        <v/>
      </c>
      <c r="C525" s="1" t="str">
        <f>IFERROR(IF(MARÍTIMOS[[#This Row],[Sede]]="","",MARÍTIMOS[[#This Row],[Sede]]),"")</f>
        <v/>
      </c>
      <c r="D525" s="1" t="str">
        <f>IFERROR(IF(MARÍTIMOS[[#This Row],[Instruction]]="","",MARÍTIMOS[[#This Row],[Instruction]]),"")</f>
        <v/>
      </c>
      <c r="E525" s="1"/>
      <c r="F525" s="2" t="str">
        <f>IFERROR(IF(MARÍTIMOS[[#This Row],[Transportista]]="","",MARÍTIMOS[[#This Row],[Transportista]]),"")</f>
        <v/>
      </c>
      <c r="G525" s="2" t="str">
        <f>IFERROR(IF(MARÍTIMOS[[#This Row],[Tercero]]="","",MARÍTIMOS[[#This Row],[Tercero]]),"")</f>
        <v/>
      </c>
      <c r="H525" s="2" t="str">
        <f>IFERROR(IF(MARÍTIMOS[[#This Row],[Razón Social]]="","",MARÍTIMOS[[#This Row],[Razón Social]]),"")</f>
        <v/>
      </c>
      <c r="I525" s="2" t="str">
        <f>IFERROR(IF(MARÍTIMOS[[#This Row],[RUC]]="","",MARÍTIMOS[[#This Row],[RUC]]),"")</f>
        <v/>
      </c>
      <c r="J525" s="2" t="str">
        <f>IFERROR(IF(MARÍTIMOS[[#This Row],[Placa Tracto]]="","",MARÍTIMOS[[#This Row],[Placa Tracto]]),"")</f>
        <v/>
      </c>
      <c r="K525" s="2" t="str">
        <f>IFERROR(IF(MARÍTIMOS[[#This Row],[Placa Carreta]]="","",MARÍTIMOS[[#This Row],[Placa Carreta]]),"")</f>
        <v/>
      </c>
      <c r="L525" s="44" t="str">
        <f>IFERROR(IF(MARÍTIMOS[[#This Row],[Conductor]]="","",MARÍTIMOS[[#This Row],[Conductor]]),"")</f>
        <v/>
      </c>
      <c r="M525" s="2" t="str">
        <f>IFERROR(IF(MARÍTIMOS[[#This Row],[Licencia]]="","",MARÍTIMOS[[#This Row],[Licencia]]),"")</f>
        <v/>
      </c>
      <c r="N525" s="2" t="str">
        <f>IFERROR(IF(MARÍTIMOS[[#This Row],[Número de Contacto]]="","",MARÍTIMOS[[#This Row],[Número de Contacto]]),"")</f>
        <v/>
      </c>
      <c r="O525" s="10" t="str">
        <f>IFERROR(IF(MARÍTIMOS[[#This Row],[Booking|AWB|CRT]]="","",MARÍTIMOS[[#This Row],[Booking|AWB|CRT]]),"")</f>
        <v/>
      </c>
      <c r="P525" s="2" t="str">
        <f>IFERROR(IF(MARÍTIMOS[[#This Row],[Contenedor]]="","",MARÍTIMOS[[#This Row],[Contenedor]]),"")</f>
        <v/>
      </c>
      <c r="Q525" s="2" t="str">
        <f>IFERROR(IF(MARÍTIMOS[[#This Row],[Puerto de Retiro]]="","",MARÍTIMOS[[#This Row],[Puerto de Retiro]]),"")</f>
        <v/>
      </c>
      <c r="R525" s="2" t="str">
        <f>IFERROR(IF(MARÍTIMOS[[#This Row],[Almacén de Retiro]]="","",MARÍTIMOS[[#This Row],[Almacén de Retiro]]),"")</f>
        <v/>
      </c>
      <c r="S525" s="11" t="str">
        <f>IFERROR(IF(MARÍTIMOS[[#This Row],[Etapa Retiro - Cita]]="","",MARÍTIMOS[[#This Row],[Etapa Retiro - Cita]]),"")</f>
        <v/>
      </c>
      <c r="T525" s="11" t="str">
        <f>IFERROR(IF(MARÍTIMOS[[#This Row],[Etapa Retiro - Llegada]]="","",MARÍTIMOS[[#This Row],[Etapa Retiro - Llegada]]),"")</f>
        <v/>
      </c>
      <c r="U525" s="11" t="str">
        <f>IFERROR(IF(MARÍTIMOS[[#This Row],[Etapa Retiro - Ingreso]]="","",MARÍTIMOS[[#This Row],[Etapa Retiro - Ingreso]]),"")</f>
        <v/>
      </c>
      <c r="V525" s="11" t="str">
        <f>IFERROR(IF(MARÍTIMOS[[#This Row],[Etapa Retiro - Atención]]="","",MARÍTIMOS[[#This Row],[Etapa Retiro - Atención]]),"")</f>
        <v/>
      </c>
      <c r="W525" s="11" t="str">
        <f>IFERROR(IF(MARÍTIMOS[[#This Row],[Etapa Retiro - Atención]]="","",MARÍTIMOS[[#This Row],[Etapa Retiro - Atención]]),"")</f>
        <v/>
      </c>
      <c r="X525" s="11" t="str">
        <f>IFERROR(IF(MARÍTIMOS[[#This Row],[Etapa Retiro - Inicio de Ruta]]="","",MARÍTIMOS[[#This Row],[Etapa Retiro - Inicio de Ruta]]),"")</f>
        <v/>
      </c>
      <c r="Y525" s="11" t="str">
        <f>IFERROR(IF(MARÍTIMOS[[#This Row],[Hora de Posicionamiento]]="","",MARÍTIMOS[[#This Row],[Fecha de Carga]]+MARÍTIMOS[[#This Row],[Hora de Posicionamiento]]),"")</f>
        <v/>
      </c>
      <c r="Z525" s="11" t="str">
        <f>IFERROR(IF(MARÍTIMOS[[#This Row],[Etapa Despacho - Llegada]]="","",MARÍTIMOS[[#This Row],[Etapa Despacho - Llegada]]),"")</f>
        <v/>
      </c>
      <c r="AA525" s="11" t="str">
        <f>IFERROR(IF(MARÍTIMOS[[#This Row],[Etapa Despacho - Registro]]="","",MARÍTIMOS[[#This Row],[Etapa Despacho - Registro]]),"")</f>
        <v/>
      </c>
      <c r="AB525" s="11" t="str">
        <f>IFERROR(IF(MARÍTIMOS[[#This Row],[Inspección Externa]]="","",MARÍTIMOS[[#This Row],[Inspección Externa]]),"")</f>
        <v/>
      </c>
      <c r="AC525" s="11" t="str">
        <f>IFERROR(IF(MARÍTIMOS[[#This Row],[Etapa Despacho - Inicio de Carga]]="","",MARÍTIMOS[[#This Row],[Etapa Despacho - Inicio de Carga]]),"")</f>
        <v/>
      </c>
      <c r="AD525" s="11" t="str">
        <f>IFERROR(IF(MARÍTIMOS[[#This Row],[Etapa Despacho - Mitad de Carga]]="","",MARÍTIMOS[[#This Row],[Etapa Despacho - Mitad de Carga]]),"")</f>
        <v/>
      </c>
      <c r="AE525" s="11" t="str">
        <f>IFERROR(IF(MARÍTIMOS[[#This Row],[Etapa Despacho - Fin de Carga]]="","",MARÍTIMOS[[#This Row],[Etapa Despacho - Fin de Carga]]),"")</f>
        <v/>
      </c>
      <c r="AF525" s="2" t="str">
        <f>IFERROR(IF(MARÍTIMOS[[#This Row],[Puerto de Embarque]]="","",MARÍTIMOS[[#This Row],[Puerto de Embarque]]),"")</f>
        <v/>
      </c>
      <c r="AG525" s="2" t="str">
        <f>IFERROR(IF(MARÍTIMOS[[#This Row],[Almacén de Ingreso]]="","",MARÍTIMOS[[#This Row],[Almacén de Ingreso]]),"")</f>
        <v/>
      </c>
      <c r="AH525" s="11" t="str">
        <f>IFERROR(IF(MARÍTIMOS[[#This Row],[Etapa Ingreso - Cita]]="","",MARÍTIMOS[[#This Row],[Etapa Ingreso - Cita]]),"")</f>
        <v/>
      </c>
      <c r="AI525" s="11" t="str">
        <f>IFERROR(IF(MARÍTIMOS[[#This Row],[Etapa Ingreso - Llegada]]="","",MARÍTIMOS[[#This Row],[Etapa Ingreso - Llegada]]),"")</f>
        <v/>
      </c>
      <c r="AJ525" s="11" t="str">
        <f>IFERROR(IF(MARÍTIMOS[[#This Row],[Etapa Ingreso - Ingeso]]="","",MARÍTIMOS[[#This Row],[Etapa Ingreso - Ingeso]]),"")</f>
        <v/>
      </c>
      <c r="AK525" s="11" t="str">
        <f>IFERROR(IF(MARÍTIMOS[[#This Row],[Etapa Ingreso - Atención]]="","",MARÍTIMOS[[#This Row],[Etapa Ingreso - Atención]]),"")</f>
        <v/>
      </c>
      <c r="AL525" s="11" t="str">
        <f>IFERROR(IF(MARÍTIMOS[[#This Row],[Etapa Ingreso - Salida]]="","",MARÍTIMOS[[#This Row],[Etapa Ingreso - Salida]]),"")</f>
        <v/>
      </c>
      <c r="AM525" s="2" t="str">
        <f>IFERROR(IF(MARÍTIMOS[[#This Row],[FCL]]="","",MARÍTIMOS[[#This Row],[FCL]]),"")</f>
        <v/>
      </c>
      <c r="AN5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5" s="4" t="str" cm="1">
        <f t="array" ref="AO5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5" s="5" t="str">
        <f>IFERROR(OLDBD[[#This Row],[Llegada a packing]]-OLDBD[[#This Row],[Inicio de Ruta]],"")</f>
        <v/>
      </c>
      <c r="AQ525" s="6" t="str">
        <f>IFERROR(OLDBD[[#This Row],[Inicio de Ruta]]-OLDBD[[#This Row],[Salida de almacén de retiro]],"")</f>
        <v/>
      </c>
      <c r="AR5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5" s="8" t="str" cm="1">
        <f t="array" ref="AS5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5" s="9" t="str">
        <f>IFERROR(OLDBD[[#This Row],[Ingreso Packing]]-OLDBD[[#This Row],[Registro en Packing]],"")</f>
        <v/>
      </c>
      <c r="AV525" s="9" t="str">
        <f>IFERROR(OLDBD[[#This Row],[Ingreso Packing]]-OLDBD[[#This Row],[Llegada a packing]],"")</f>
        <v/>
      </c>
      <c r="AW5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5" s="5" t="str">
        <f>IFERROR(OLDBD[[#This Row],[Llegada Almacén de Ingreso]]-OLDBD[[#This Row],[Salida Packing]],"")</f>
        <v/>
      </c>
      <c r="AY525" s="4" t="str" cm="1">
        <f t="array" ref="AY5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5" s="43" t="s">
        <v>173</v>
      </c>
      <c r="BB525" s="47" t="str">
        <f>IFERROR(IF(MARÍTIMOS[[#This Row],[Estatus]]="","",MARÍTIMOS[[#This Row],[Estatus]]),"")</f>
        <v/>
      </c>
      <c r="BC525" s="43"/>
      <c r="BD525" s="46" t="str">
        <f>IFERROR(OLDBD[[#This Row],[Salida de almacén de retiro]]-OLDBD[[#This Row],[Ingreso Almacén de retiro]],"")</f>
        <v/>
      </c>
      <c r="BE525" s="46" t="str">
        <f>IFERROR(OLDBD[[#This Row],[Fin de Carga]]-OLDBD[[#This Row],[Inicio de Carga]],"")</f>
        <v/>
      </c>
    </row>
    <row r="526" spans="1:57" customFormat="1" hidden="1">
      <c r="A526" s="1"/>
      <c r="B526" s="1" t="str">
        <f>IFERROR(IF(MARÍTIMOS[[#This Row],[PP]]="","",MARÍTIMOS[[#This Row],[PP]]),"")</f>
        <v/>
      </c>
      <c r="C526" s="1" t="str">
        <f>IFERROR(IF(MARÍTIMOS[[#This Row],[Sede]]="","",MARÍTIMOS[[#This Row],[Sede]]),"")</f>
        <v/>
      </c>
      <c r="D526" s="1" t="str">
        <f>IFERROR(IF(MARÍTIMOS[[#This Row],[Instruction]]="","",MARÍTIMOS[[#This Row],[Instruction]]),"")</f>
        <v/>
      </c>
      <c r="E526" s="1"/>
      <c r="F526" s="2" t="str">
        <f>IFERROR(IF(MARÍTIMOS[[#This Row],[Transportista]]="","",MARÍTIMOS[[#This Row],[Transportista]]),"")</f>
        <v/>
      </c>
      <c r="G526" s="2" t="str">
        <f>IFERROR(IF(MARÍTIMOS[[#This Row],[Tercero]]="","",MARÍTIMOS[[#This Row],[Tercero]]),"")</f>
        <v/>
      </c>
      <c r="H526" s="2" t="str">
        <f>IFERROR(IF(MARÍTIMOS[[#This Row],[Razón Social]]="","",MARÍTIMOS[[#This Row],[Razón Social]]),"")</f>
        <v/>
      </c>
      <c r="I526" s="2" t="str">
        <f>IFERROR(IF(MARÍTIMOS[[#This Row],[RUC]]="","",MARÍTIMOS[[#This Row],[RUC]]),"")</f>
        <v/>
      </c>
      <c r="J526" s="2" t="str">
        <f>IFERROR(IF(MARÍTIMOS[[#This Row],[Placa Tracto]]="","",MARÍTIMOS[[#This Row],[Placa Tracto]]),"")</f>
        <v/>
      </c>
      <c r="K526" s="2" t="str">
        <f>IFERROR(IF(MARÍTIMOS[[#This Row],[Placa Carreta]]="","",MARÍTIMOS[[#This Row],[Placa Carreta]]),"")</f>
        <v/>
      </c>
      <c r="L526" s="44" t="str">
        <f>IFERROR(IF(MARÍTIMOS[[#This Row],[Conductor]]="","",MARÍTIMOS[[#This Row],[Conductor]]),"")</f>
        <v/>
      </c>
      <c r="M526" s="2" t="str">
        <f>IFERROR(IF(MARÍTIMOS[[#This Row],[Licencia]]="","",MARÍTIMOS[[#This Row],[Licencia]]),"")</f>
        <v/>
      </c>
      <c r="N526" s="2" t="str">
        <f>IFERROR(IF(MARÍTIMOS[[#This Row],[Número de Contacto]]="","",MARÍTIMOS[[#This Row],[Número de Contacto]]),"")</f>
        <v/>
      </c>
      <c r="O526" s="10" t="str">
        <f>IFERROR(IF(MARÍTIMOS[[#This Row],[Booking|AWB|CRT]]="","",MARÍTIMOS[[#This Row],[Booking|AWB|CRT]]),"")</f>
        <v/>
      </c>
      <c r="P526" s="2" t="str">
        <f>IFERROR(IF(MARÍTIMOS[[#This Row],[Contenedor]]="","",MARÍTIMOS[[#This Row],[Contenedor]]),"")</f>
        <v/>
      </c>
      <c r="Q526" s="2" t="str">
        <f>IFERROR(IF(MARÍTIMOS[[#This Row],[Puerto de Retiro]]="","",MARÍTIMOS[[#This Row],[Puerto de Retiro]]),"")</f>
        <v/>
      </c>
      <c r="R526" s="2" t="str">
        <f>IFERROR(IF(MARÍTIMOS[[#This Row],[Almacén de Retiro]]="","",MARÍTIMOS[[#This Row],[Almacén de Retiro]]),"")</f>
        <v/>
      </c>
      <c r="S526" s="11" t="str">
        <f>IFERROR(IF(MARÍTIMOS[[#This Row],[Etapa Retiro - Cita]]="","",MARÍTIMOS[[#This Row],[Etapa Retiro - Cita]]),"")</f>
        <v/>
      </c>
      <c r="T526" s="11" t="str">
        <f>IFERROR(IF(MARÍTIMOS[[#This Row],[Etapa Retiro - Llegada]]="","",MARÍTIMOS[[#This Row],[Etapa Retiro - Llegada]]),"")</f>
        <v/>
      </c>
      <c r="U526" s="11" t="str">
        <f>IFERROR(IF(MARÍTIMOS[[#This Row],[Etapa Retiro - Ingreso]]="","",MARÍTIMOS[[#This Row],[Etapa Retiro - Ingreso]]),"")</f>
        <v/>
      </c>
      <c r="V526" s="11" t="str">
        <f>IFERROR(IF(MARÍTIMOS[[#This Row],[Etapa Retiro - Atención]]="","",MARÍTIMOS[[#This Row],[Etapa Retiro - Atención]]),"")</f>
        <v/>
      </c>
      <c r="W526" s="11" t="str">
        <f>IFERROR(IF(MARÍTIMOS[[#This Row],[Etapa Retiro - Atención]]="","",MARÍTIMOS[[#This Row],[Etapa Retiro - Atención]]),"")</f>
        <v/>
      </c>
      <c r="X526" s="11" t="str">
        <f>IFERROR(IF(MARÍTIMOS[[#This Row],[Etapa Retiro - Inicio de Ruta]]="","",MARÍTIMOS[[#This Row],[Etapa Retiro - Inicio de Ruta]]),"")</f>
        <v/>
      </c>
      <c r="Y526" s="11" t="str">
        <f>IFERROR(IF(MARÍTIMOS[[#This Row],[Hora de Posicionamiento]]="","",MARÍTIMOS[[#This Row],[Fecha de Carga]]+MARÍTIMOS[[#This Row],[Hora de Posicionamiento]]),"")</f>
        <v/>
      </c>
      <c r="Z526" s="11" t="str">
        <f>IFERROR(IF(MARÍTIMOS[[#This Row],[Etapa Despacho - Llegada]]="","",MARÍTIMOS[[#This Row],[Etapa Despacho - Llegada]]),"")</f>
        <v/>
      </c>
      <c r="AA526" s="11" t="str">
        <f>IFERROR(IF(MARÍTIMOS[[#This Row],[Etapa Despacho - Registro]]="","",MARÍTIMOS[[#This Row],[Etapa Despacho - Registro]]),"")</f>
        <v/>
      </c>
      <c r="AB526" s="11" t="str">
        <f>IFERROR(IF(MARÍTIMOS[[#This Row],[Inspección Externa]]="","",MARÍTIMOS[[#This Row],[Inspección Externa]]),"")</f>
        <v/>
      </c>
      <c r="AC526" s="11" t="str">
        <f>IFERROR(IF(MARÍTIMOS[[#This Row],[Etapa Despacho - Inicio de Carga]]="","",MARÍTIMOS[[#This Row],[Etapa Despacho - Inicio de Carga]]),"")</f>
        <v/>
      </c>
      <c r="AD526" s="11" t="str">
        <f>IFERROR(IF(MARÍTIMOS[[#This Row],[Etapa Despacho - Mitad de Carga]]="","",MARÍTIMOS[[#This Row],[Etapa Despacho - Mitad de Carga]]),"")</f>
        <v/>
      </c>
      <c r="AE526" s="11" t="str">
        <f>IFERROR(IF(MARÍTIMOS[[#This Row],[Etapa Despacho - Fin de Carga]]="","",MARÍTIMOS[[#This Row],[Etapa Despacho - Fin de Carga]]),"")</f>
        <v/>
      </c>
      <c r="AF526" s="2" t="str">
        <f>IFERROR(IF(MARÍTIMOS[[#This Row],[Puerto de Embarque]]="","",MARÍTIMOS[[#This Row],[Puerto de Embarque]]),"")</f>
        <v/>
      </c>
      <c r="AG526" s="2" t="str">
        <f>IFERROR(IF(MARÍTIMOS[[#This Row],[Almacén de Ingreso]]="","",MARÍTIMOS[[#This Row],[Almacén de Ingreso]]),"")</f>
        <v/>
      </c>
      <c r="AH526" s="11" t="str">
        <f>IFERROR(IF(MARÍTIMOS[[#This Row],[Etapa Ingreso - Cita]]="","",MARÍTIMOS[[#This Row],[Etapa Ingreso - Cita]]),"")</f>
        <v/>
      </c>
      <c r="AI526" s="11" t="str">
        <f>IFERROR(IF(MARÍTIMOS[[#This Row],[Etapa Ingreso - Llegada]]="","",MARÍTIMOS[[#This Row],[Etapa Ingreso - Llegada]]),"")</f>
        <v/>
      </c>
      <c r="AJ526" s="11" t="str">
        <f>IFERROR(IF(MARÍTIMOS[[#This Row],[Etapa Ingreso - Ingeso]]="","",MARÍTIMOS[[#This Row],[Etapa Ingreso - Ingeso]]),"")</f>
        <v/>
      </c>
      <c r="AK526" s="11" t="str">
        <f>IFERROR(IF(MARÍTIMOS[[#This Row],[Etapa Ingreso - Atención]]="","",MARÍTIMOS[[#This Row],[Etapa Ingreso - Atención]]),"")</f>
        <v/>
      </c>
      <c r="AL526" s="11" t="str">
        <f>IFERROR(IF(MARÍTIMOS[[#This Row],[Etapa Ingreso - Salida]]="","",MARÍTIMOS[[#This Row],[Etapa Ingreso - Salida]]),"")</f>
        <v/>
      </c>
      <c r="AM526" s="2" t="str">
        <f>IFERROR(IF(MARÍTIMOS[[#This Row],[FCL]]="","",MARÍTIMOS[[#This Row],[FCL]]),"")</f>
        <v/>
      </c>
      <c r="AN5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6" s="4" t="str" cm="1">
        <f t="array" ref="AO5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6" s="5" t="str">
        <f>IFERROR(OLDBD[[#This Row],[Llegada a packing]]-OLDBD[[#This Row],[Inicio de Ruta]],"")</f>
        <v/>
      </c>
      <c r="AQ526" s="6" t="str">
        <f>IFERROR(OLDBD[[#This Row],[Inicio de Ruta]]-OLDBD[[#This Row],[Salida de almacén de retiro]],"")</f>
        <v/>
      </c>
      <c r="AR5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6" s="8" t="str" cm="1">
        <f t="array" ref="AS5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6" s="9" t="str">
        <f>IFERROR(OLDBD[[#This Row],[Ingreso Packing]]-OLDBD[[#This Row],[Registro en Packing]],"")</f>
        <v/>
      </c>
      <c r="AV526" s="9" t="str">
        <f>IFERROR(OLDBD[[#This Row],[Ingreso Packing]]-OLDBD[[#This Row],[Llegada a packing]],"")</f>
        <v/>
      </c>
      <c r="AW5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6" s="5" t="str">
        <f>IFERROR(OLDBD[[#This Row],[Llegada Almacén de Ingreso]]-OLDBD[[#This Row],[Salida Packing]],"")</f>
        <v/>
      </c>
      <c r="AY526" s="4" t="str" cm="1">
        <f t="array" ref="AY5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6" s="43" t="s">
        <v>173</v>
      </c>
      <c r="BB526" s="47" t="str">
        <f>IFERROR(IF(MARÍTIMOS[[#This Row],[Estatus]]="","",MARÍTIMOS[[#This Row],[Estatus]]),"")</f>
        <v/>
      </c>
      <c r="BC526" s="43"/>
      <c r="BD526" s="46" t="str">
        <f>IFERROR(OLDBD[[#This Row],[Salida de almacén de retiro]]-OLDBD[[#This Row],[Ingreso Almacén de retiro]],"")</f>
        <v/>
      </c>
      <c r="BE526" s="46" t="str">
        <f>IFERROR(OLDBD[[#This Row],[Fin de Carga]]-OLDBD[[#This Row],[Inicio de Carga]],"")</f>
        <v/>
      </c>
    </row>
    <row r="527" spans="1:57" customFormat="1" hidden="1">
      <c r="A527" s="1"/>
      <c r="B527" s="1" t="str">
        <f>IFERROR(IF(MARÍTIMOS[[#This Row],[PP]]="","",MARÍTIMOS[[#This Row],[PP]]),"")</f>
        <v/>
      </c>
      <c r="C527" s="1" t="str">
        <f>IFERROR(IF(MARÍTIMOS[[#This Row],[Sede]]="","",MARÍTIMOS[[#This Row],[Sede]]),"")</f>
        <v/>
      </c>
      <c r="D527" s="1" t="str">
        <f>IFERROR(IF(MARÍTIMOS[[#This Row],[Instruction]]="","",MARÍTIMOS[[#This Row],[Instruction]]),"")</f>
        <v/>
      </c>
      <c r="E527" s="1"/>
      <c r="F527" s="2" t="str">
        <f>IFERROR(IF(MARÍTIMOS[[#This Row],[Transportista]]="","",MARÍTIMOS[[#This Row],[Transportista]]),"")</f>
        <v/>
      </c>
      <c r="G527" s="2" t="str">
        <f>IFERROR(IF(MARÍTIMOS[[#This Row],[Tercero]]="","",MARÍTIMOS[[#This Row],[Tercero]]),"")</f>
        <v/>
      </c>
      <c r="H527" s="2" t="str">
        <f>IFERROR(IF(MARÍTIMOS[[#This Row],[Razón Social]]="","",MARÍTIMOS[[#This Row],[Razón Social]]),"")</f>
        <v/>
      </c>
      <c r="I527" s="2" t="str">
        <f>IFERROR(IF(MARÍTIMOS[[#This Row],[RUC]]="","",MARÍTIMOS[[#This Row],[RUC]]),"")</f>
        <v/>
      </c>
      <c r="J527" s="2" t="str">
        <f>IFERROR(IF(MARÍTIMOS[[#This Row],[Placa Tracto]]="","",MARÍTIMOS[[#This Row],[Placa Tracto]]),"")</f>
        <v/>
      </c>
      <c r="K527" s="2" t="str">
        <f>IFERROR(IF(MARÍTIMOS[[#This Row],[Placa Carreta]]="","",MARÍTIMOS[[#This Row],[Placa Carreta]]),"")</f>
        <v/>
      </c>
      <c r="L527" s="44" t="str">
        <f>IFERROR(IF(MARÍTIMOS[[#This Row],[Conductor]]="","",MARÍTIMOS[[#This Row],[Conductor]]),"")</f>
        <v/>
      </c>
      <c r="M527" s="2" t="str">
        <f>IFERROR(IF(MARÍTIMOS[[#This Row],[Licencia]]="","",MARÍTIMOS[[#This Row],[Licencia]]),"")</f>
        <v/>
      </c>
      <c r="N527" s="2" t="str">
        <f>IFERROR(IF(MARÍTIMOS[[#This Row],[Número de Contacto]]="","",MARÍTIMOS[[#This Row],[Número de Contacto]]),"")</f>
        <v/>
      </c>
      <c r="O527" s="10" t="str">
        <f>IFERROR(IF(MARÍTIMOS[[#This Row],[Booking|AWB|CRT]]="","",MARÍTIMOS[[#This Row],[Booking|AWB|CRT]]),"")</f>
        <v/>
      </c>
      <c r="P527" s="2" t="str">
        <f>IFERROR(IF(MARÍTIMOS[[#This Row],[Contenedor]]="","",MARÍTIMOS[[#This Row],[Contenedor]]),"")</f>
        <v/>
      </c>
      <c r="Q527" s="2" t="str">
        <f>IFERROR(IF(MARÍTIMOS[[#This Row],[Puerto de Retiro]]="","",MARÍTIMOS[[#This Row],[Puerto de Retiro]]),"")</f>
        <v/>
      </c>
      <c r="R527" s="2" t="str">
        <f>IFERROR(IF(MARÍTIMOS[[#This Row],[Almacén de Retiro]]="","",MARÍTIMOS[[#This Row],[Almacén de Retiro]]),"")</f>
        <v/>
      </c>
      <c r="S527" s="11" t="str">
        <f>IFERROR(IF(MARÍTIMOS[[#This Row],[Etapa Retiro - Cita]]="","",MARÍTIMOS[[#This Row],[Etapa Retiro - Cita]]),"")</f>
        <v/>
      </c>
      <c r="T527" s="11" t="str">
        <f>IFERROR(IF(MARÍTIMOS[[#This Row],[Etapa Retiro - Llegada]]="","",MARÍTIMOS[[#This Row],[Etapa Retiro - Llegada]]),"")</f>
        <v/>
      </c>
      <c r="U527" s="11" t="str">
        <f>IFERROR(IF(MARÍTIMOS[[#This Row],[Etapa Retiro - Ingreso]]="","",MARÍTIMOS[[#This Row],[Etapa Retiro - Ingreso]]),"")</f>
        <v/>
      </c>
      <c r="V527" s="11" t="str">
        <f>IFERROR(IF(MARÍTIMOS[[#This Row],[Etapa Retiro - Atención]]="","",MARÍTIMOS[[#This Row],[Etapa Retiro - Atención]]),"")</f>
        <v/>
      </c>
      <c r="W527" s="11" t="str">
        <f>IFERROR(IF(MARÍTIMOS[[#This Row],[Etapa Retiro - Atención]]="","",MARÍTIMOS[[#This Row],[Etapa Retiro - Atención]]),"")</f>
        <v/>
      </c>
      <c r="X527" s="11" t="str">
        <f>IFERROR(IF(MARÍTIMOS[[#This Row],[Etapa Retiro - Inicio de Ruta]]="","",MARÍTIMOS[[#This Row],[Etapa Retiro - Inicio de Ruta]]),"")</f>
        <v/>
      </c>
      <c r="Y527" s="11" t="str">
        <f>IFERROR(IF(MARÍTIMOS[[#This Row],[Hora de Posicionamiento]]="","",MARÍTIMOS[[#This Row],[Fecha de Carga]]+MARÍTIMOS[[#This Row],[Hora de Posicionamiento]]),"")</f>
        <v/>
      </c>
      <c r="Z527" s="11" t="str">
        <f>IFERROR(IF(MARÍTIMOS[[#This Row],[Etapa Despacho - Llegada]]="","",MARÍTIMOS[[#This Row],[Etapa Despacho - Llegada]]),"")</f>
        <v/>
      </c>
      <c r="AA527" s="11" t="str">
        <f>IFERROR(IF(MARÍTIMOS[[#This Row],[Etapa Despacho - Registro]]="","",MARÍTIMOS[[#This Row],[Etapa Despacho - Registro]]),"")</f>
        <v/>
      </c>
      <c r="AB527" s="11" t="str">
        <f>IFERROR(IF(MARÍTIMOS[[#This Row],[Inspección Externa]]="","",MARÍTIMOS[[#This Row],[Inspección Externa]]),"")</f>
        <v/>
      </c>
      <c r="AC527" s="11" t="str">
        <f>IFERROR(IF(MARÍTIMOS[[#This Row],[Etapa Despacho - Inicio de Carga]]="","",MARÍTIMOS[[#This Row],[Etapa Despacho - Inicio de Carga]]),"")</f>
        <v/>
      </c>
      <c r="AD527" s="11" t="str">
        <f>IFERROR(IF(MARÍTIMOS[[#This Row],[Etapa Despacho - Mitad de Carga]]="","",MARÍTIMOS[[#This Row],[Etapa Despacho - Mitad de Carga]]),"")</f>
        <v/>
      </c>
      <c r="AE527" s="11" t="str">
        <f>IFERROR(IF(MARÍTIMOS[[#This Row],[Etapa Despacho - Fin de Carga]]="","",MARÍTIMOS[[#This Row],[Etapa Despacho - Fin de Carga]]),"")</f>
        <v/>
      </c>
      <c r="AF527" s="2" t="str">
        <f>IFERROR(IF(MARÍTIMOS[[#This Row],[Puerto de Embarque]]="","",MARÍTIMOS[[#This Row],[Puerto de Embarque]]),"")</f>
        <v/>
      </c>
      <c r="AG527" s="2" t="str">
        <f>IFERROR(IF(MARÍTIMOS[[#This Row],[Almacén de Ingreso]]="","",MARÍTIMOS[[#This Row],[Almacén de Ingreso]]),"")</f>
        <v/>
      </c>
      <c r="AH527" s="11" t="str">
        <f>IFERROR(IF(MARÍTIMOS[[#This Row],[Etapa Ingreso - Cita]]="","",MARÍTIMOS[[#This Row],[Etapa Ingreso - Cita]]),"")</f>
        <v/>
      </c>
      <c r="AI527" s="11" t="str">
        <f>IFERROR(IF(MARÍTIMOS[[#This Row],[Etapa Ingreso - Llegada]]="","",MARÍTIMOS[[#This Row],[Etapa Ingreso - Llegada]]),"")</f>
        <v/>
      </c>
      <c r="AJ527" s="11" t="str">
        <f>IFERROR(IF(MARÍTIMOS[[#This Row],[Etapa Ingreso - Ingeso]]="","",MARÍTIMOS[[#This Row],[Etapa Ingreso - Ingeso]]),"")</f>
        <v/>
      </c>
      <c r="AK527" s="11" t="str">
        <f>IFERROR(IF(MARÍTIMOS[[#This Row],[Etapa Ingreso - Atención]]="","",MARÍTIMOS[[#This Row],[Etapa Ingreso - Atención]]),"")</f>
        <v/>
      </c>
      <c r="AL527" s="11" t="str">
        <f>IFERROR(IF(MARÍTIMOS[[#This Row],[Etapa Ingreso - Salida]]="","",MARÍTIMOS[[#This Row],[Etapa Ingreso - Salida]]),"")</f>
        <v/>
      </c>
      <c r="AM527" s="2" t="str">
        <f>IFERROR(IF(MARÍTIMOS[[#This Row],[FCL]]="","",MARÍTIMOS[[#This Row],[FCL]]),"")</f>
        <v/>
      </c>
      <c r="AN5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7" s="4" t="str" cm="1">
        <f t="array" ref="AO5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7" s="5" t="str">
        <f>IFERROR(OLDBD[[#This Row],[Llegada a packing]]-OLDBD[[#This Row],[Inicio de Ruta]],"")</f>
        <v/>
      </c>
      <c r="AQ527" s="6" t="str">
        <f>IFERROR(OLDBD[[#This Row],[Inicio de Ruta]]-OLDBD[[#This Row],[Salida de almacén de retiro]],"")</f>
        <v/>
      </c>
      <c r="AR5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7" s="8" t="str" cm="1">
        <f t="array" ref="AS5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7" s="9" t="str">
        <f>IFERROR(OLDBD[[#This Row],[Ingreso Packing]]-OLDBD[[#This Row],[Registro en Packing]],"")</f>
        <v/>
      </c>
      <c r="AV527" s="9" t="str">
        <f>IFERROR(OLDBD[[#This Row],[Ingreso Packing]]-OLDBD[[#This Row],[Llegada a packing]],"")</f>
        <v/>
      </c>
      <c r="AW5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7" s="5" t="str">
        <f>IFERROR(OLDBD[[#This Row],[Llegada Almacén de Ingreso]]-OLDBD[[#This Row],[Salida Packing]],"")</f>
        <v/>
      </c>
      <c r="AY527" s="4" t="str" cm="1">
        <f t="array" ref="AY5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7" s="43" t="s">
        <v>173</v>
      </c>
      <c r="BB527" s="47" t="str">
        <f>IFERROR(IF(MARÍTIMOS[[#This Row],[Estatus]]="","",MARÍTIMOS[[#This Row],[Estatus]]),"")</f>
        <v/>
      </c>
      <c r="BC527" s="43"/>
      <c r="BD527" s="46" t="str">
        <f>IFERROR(OLDBD[[#This Row],[Salida de almacén de retiro]]-OLDBD[[#This Row],[Ingreso Almacén de retiro]],"")</f>
        <v/>
      </c>
      <c r="BE527" s="46" t="str">
        <f>IFERROR(OLDBD[[#This Row],[Fin de Carga]]-OLDBD[[#This Row],[Inicio de Carga]],"")</f>
        <v/>
      </c>
    </row>
    <row r="528" spans="1:57" customFormat="1" hidden="1">
      <c r="A528" s="1"/>
      <c r="B528" s="1" t="str">
        <f>IFERROR(IF(MARÍTIMOS[[#This Row],[PP]]="","",MARÍTIMOS[[#This Row],[PP]]),"")</f>
        <v/>
      </c>
      <c r="C528" s="1" t="str">
        <f>IFERROR(IF(MARÍTIMOS[[#This Row],[Sede]]="","",MARÍTIMOS[[#This Row],[Sede]]),"")</f>
        <v/>
      </c>
      <c r="D528" s="1" t="str">
        <f>IFERROR(IF(MARÍTIMOS[[#This Row],[Instruction]]="","",MARÍTIMOS[[#This Row],[Instruction]]),"")</f>
        <v/>
      </c>
      <c r="E528" s="1"/>
      <c r="F528" s="2" t="str">
        <f>IFERROR(IF(MARÍTIMOS[[#This Row],[Transportista]]="","",MARÍTIMOS[[#This Row],[Transportista]]),"")</f>
        <v/>
      </c>
      <c r="G528" s="2" t="str">
        <f>IFERROR(IF(MARÍTIMOS[[#This Row],[Tercero]]="","",MARÍTIMOS[[#This Row],[Tercero]]),"")</f>
        <v/>
      </c>
      <c r="H528" s="2" t="str">
        <f>IFERROR(IF(MARÍTIMOS[[#This Row],[Razón Social]]="","",MARÍTIMOS[[#This Row],[Razón Social]]),"")</f>
        <v/>
      </c>
      <c r="I528" s="2" t="str">
        <f>IFERROR(IF(MARÍTIMOS[[#This Row],[RUC]]="","",MARÍTIMOS[[#This Row],[RUC]]),"")</f>
        <v/>
      </c>
      <c r="J528" s="2" t="str">
        <f>IFERROR(IF(MARÍTIMOS[[#This Row],[Placa Tracto]]="","",MARÍTIMOS[[#This Row],[Placa Tracto]]),"")</f>
        <v/>
      </c>
      <c r="K528" s="2" t="str">
        <f>IFERROR(IF(MARÍTIMOS[[#This Row],[Placa Carreta]]="","",MARÍTIMOS[[#This Row],[Placa Carreta]]),"")</f>
        <v/>
      </c>
      <c r="L528" s="44" t="str">
        <f>IFERROR(IF(MARÍTIMOS[[#This Row],[Conductor]]="","",MARÍTIMOS[[#This Row],[Conductor]]),"")</f>
        <v/>
      </c>
      <c r="M528" s="2" t="str">
        <f>IFERROR(IF(MARÍTIMOS[[#This Row],[Licencia]]="","",MARÍTIMOS[[#This Row],[Licencia]]),"")</f>
        <v/>
      </c>
      <c r="N528" s="2" t="str">
        <f>IFERROR(IF(MARÍTIMOS[[#This Row],[Número de Contacto]]="","",MARÍTIMOS[[#This Row],[Número de Contacto]]),"")</f>
        <v/>
      </c>
      <c r="O528" s="10" t="str">
        <f>IFERROR(IF(MARÍTIMOS[[#This Row],[Booking|AWB|CRT]]="","",MARÍTIMOS[[#This Row],[Booking|AWB|CRT]]),"")</f>
        <v/>
      </c>
      <c r="P528" s="2" t="str">
        <f>IFERROR(IF(MARÍTIMOS[[#This Row],[Contenedor]]="","",MARÍTIMOS[[#This Row],[Contenedor]]),"")</f>
        <v/>
      </c>
      <c r="Q528" s="2" t="str">
        <f>IFERROR(IF(MARÍTIMOS[[#This Row],[Puerto de Retiro]]="","",MARÍTIMOS[[#This Row],[Puerto de Retiro]]),"")</f>
        <v/>
      </c>
      <c r="R528" s="2" t="str">
        <f>IFERROR(IF(MARÍTIMOS[[#This Row],[Almacén de Retiro]]="","",MARÍTIMOS[[#This Row],[Almacén de Retiro]]),"")</f>
        <v/>
      </c>
      <c r="S528" s="11" t="str">
        <f>IFERROR(IF(MARÍTIMOS[[#This Row],[Etapa Retiro - Cita]]="","",MARÍTIMOS[[#This Row],[Etapa Retiro - Cita]]),"")</f>
        <v/>
      </c>
      <c r="T528" s="11" t="str">
        <f>IFERROR(IF(MARÍTIMOS[[#This Row],[Etapa Retiro - Llegada]]="","",MARÍTIMOS[[#This Row],[Etapa Retiro - Llegada]]),"")</f>
        <v/>
      </c>
      <c r="U528" s="11" t="str">
        <f>IFERROR(IF(MARÍTIMOS[[#This Row],[Etapa Retiro - Ingreso]]="","",MARÍTIMOS[[#This Row],[Etapa Retiro - Ingreso]]),"")</f>
        <v/>
      </c>
      <c r="V528" s="11" t="str">
        <f>IFERROR(IF(MARÍTIMOS[[#This Row],[Etapa Retiro - Atención]]="","",MARÍTIMOS[[#This Row],[Etapa Retiro - Atención]]),"")</f>
        <v/>
      </c>
      <c r="W528" s="11" t="str">
        <f>IFERROR(IF(MARÍTIMOS[[#This Row],[Etapa Retiro - Atención]]="","",MARÍTIMOS[[#This Row],[Etapa Retiro - Atención]]),"")</f>
        <v/>
      </c>
      <c r="X528" s="11" t="str">
        <f>IFERROR(IF(MARÍTIMOS[[#This Row],[Etapa Retiro - Inicio de Ruta]]="","",MARÍTIMOS[[#This Row],[Etapa Retiro - Inicio de Ruta]]),"")</f>
        <v/>
      </c>
      <c r="Y528" s="11" t="str">
        <f>IFERROR(IF(MARÍTIMOS[[#This Row],[Hora de Posicionamiento]]="","",MARÍTIMOS[[#This Row],[Fecha de Carga]]+MARÍTIMOS[[#This Row],[Hora de Posicionamiento]]),"")</f>
        <v/>
      </c>
      <c r="Z528" s="11" t="str">
        <f>IFERROR(IF(MARÍTIMOS[[#This Row],[Etapa Despacho - Llegada]]="","",MARÍTIMOS[[#This Row],[Etapa Despacho - Llegada]]),"")</f>
        <v/>
      </c>
      <c r="AA528" s="11" t="str">
        <f>IFERROR(IF(MARÍTIMOS[[#This Row],[Etapa Despacho - Registro]]="","",MARÍTIMOS[[#This Row],[Etapa Despacho - Registro]]),"")</f>
        <v/>
      </c>
      <c r="AB528" s="11" t="str">
        <f>IFERROR(IF(MARÍTIMOS[[#This Row],[Inspección Externa]]="","",MARÍTIMOS[[#This Row],[Inspección Externa]]),"")</f>
        <v/>
      </c>
      <c r="AC528" s="11" t="str">
        <f>IFERROR(IF(MARÍTIMOS[[#This Row],[Etapa Despacho - Inicio de Carga]]="","",MARÍTIMOS[[#This Row],[Etapa Despacho - Inicio de Carga]]),"")</f>
        <v/>
      </c>
      <c r="AD528" s="11" t="str">
        <f>IFERROR(IF(MARÍTIMOS[[#This Row],[Etapa Despacho - Mitad de Carga]]="","",MARÍTIMOS[[#This Row],[Etapa Despacho - Mitad de Carga]]),"")</f>
        <v/>
      </c>
      <c r="AE528" s="11" t="str">
        <f>IFERROR(IF(MARÍTIMOS[[#This Row],[Etapa Despacho - Fin de Carga]]="","",MARÍTIMOS[[#This Row],[Etapa Despacho - Fin de Carga]]),"")</f>
        <v/>
      </c>
      <c r="AF528" s="2" t="str">
        <f>IFERROR(IF(MARÍTIMOS[[#This Row],[Puerto de Embarque]]="","",MARÍTIMOS[[#This Row],[Puerto de Embarque]]),"")</f>
        <v/>
      </c>
      <c r="AG528" s="2" t="str">
        <f>IFERROR(IF(MARÍTIMOS[[#This Row],[Almacén de Ingreso]]="","",MARÍTIMOS[[#This Row],[Almacén de Ingreso]]),"")</f>
        <v/>
      </c>
      <c r="AH528" s="11" t="str">
        <f>IFERROR(IF(MARÍTIMOS[[#This Row],[Etapa Ingreso - Cita]]="","",MARÍTIMOS[[#This Row],[Etapa Ingreso - Cita]]),"")</f>
        <v/>
      </c>
      <c r="AI528" s="11" t="str">
        <f>IFERROR(IF(MARÍTIMOS[[#This Row],[Etapa Ingreso - Llegada]]="","",MARÍTIMOS[[#This Row],[Etapa Ingreso - Llegada]]),"")</f>
        <v/>
      </c>
      <c r="AJ528" s="11" t="str">
        <f>IFERROR(IF(MARÍTIMOS[[#This Row],[Etapa Ingreso - Ingeso]]="","",MARÍTIMOS[[#This Row],[Etapa Ingreso - Ingeso]]),"")</f>
        <v/>
      </c>
      <c r="AK528" s="11" t="str">
        <f>IFERROR(IF(MARÍTIMOS[[#This Row],[Etapa Ingreso - Atención]]="","",MARÍTIMOS[[#This Row],[Etapa Ingreso - Atención]]),"")</f>
        <v/>
      </c>
      <c r="AL528" s="11" t="str">
        <f>IFERROR(IF(MARÍTIMOS[[#This Row],[Etapa Ingreso - Salida]]="","",MARÍTIMOS[[#This Row],[Etapa Ingreso - Salida]]),"")</f>
        <v/>
      </c>
      <c r="AM528" s="2" t="str">
        <f>IFERROR(IF(MARÍTIMOS[[#This Row],[FCL]]="","",MARÍTIMOS[[#This Row],[FCL]]),"")</f>
        <v/>
      </c>
      <c r="AN5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8" s="4" t="str" cm="1">
        <f t="array" ref="AO5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8" s="5" t="str">
        <f>IFERROR(OLDBD[[#This Row],[Llegada a packing]]-OLDBD[[#This Row],[Inicio de Ruta]],"")</f>
        <v/>
      </c>
      <c r="AQ528" s="6" t="str">
        <f>IFERROR(OLDBD[[#This Row],[Inicio de Ruta]]-OLDBD[[#This Row],[Salida de almacén de retiro]],"")</f>
        <v/>
      </c>
      <c r="AR5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8" s="8" t="str" cm="1">
        <f t="array" ref="AS5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8" s="9" t="str">
        <f>IFERROR(OLDBD[[#This Row],[Ingreso Packing]]-OLDBD[[#This Row],[Registro en Packing]],"")</f>
        <v/>
      </c>
      <c r="AV528" s="9" t="str">
        <f>IFERROR(OLDBD[[#This Row],[Ingreso Packing]]-OLDBD[[#This Row],[Llegada a packing]],"")</f>
        <v/>
      </c>
      <c r="AW5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8" s="5" t="str">
        <f>IFERROR(OLDBD[[#This Row],[Llegada Almacén de Ingreso]]-OLDBD[[#This Row],[Salida Packing]],"")</f>
        <v/>
      </c>
      <c r="AY528" s="4" t="str" cm="1">
        <f t="array" ref="AY5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8" s="43" t="s">
        <v>173</v>
      </c>
      <c r="BB528" s="47" t="str">
        <f>IFERROR(IF(MARÍTIMOS[[#This Row],[Estatus]]="","",MARÍTIMOS[[#This Row],[Estatus]]),"")</f>
        <v/>
      </c>
      <c r="BC528" s="43"/>
      <c r="BD528" s="46" t="str">
        <f>IFERROR(OLDBD[[#This Row],[Salida de almacén de retiro]]-OLDBD[[#This Row],[Ingreso Almacén de retiro]],"")</f>
        <v/>
      </c>
      <c r="BE528" s="46" t="str">
        <f>IFERROR(OLDBD[[#This Row],[Fin de Carga]]-OLDBD[[#This Row],[Inicio de Carga]],"")</f>
        <v/>
      </c>
    </row>
    <row r="529" spans="1:57" customFormat="1" hidden="1">
      <c r="A529" s="1"/>
      <c r="B529" s="1" t="str">
        <f>IFERROR(IF(MARÍTIMOS[[#This Row],[PP]]="","",MARÍTIMOS[[#This Row],[PP]]),"")</f>
        <v/>
      </c>
      <c r="C529" s="1" t="str">
        <f>IFERROR(IF(MARÍTIMOS[[#This Row],[Sede]]="","",MARÍTIMOS[[#This Row],[Sede]]),"")</f>
        <v/>
      </c>
      <c r="D529" s="1" t="str">
        <f>IFERROR(IF(MARÍTIMOS[[#This Row],[Instruction]]="","",MARÍTIMOS[[#This Row],[Instruction]]),"")</f>
        <v/>
      </c>
      <c r="E529" s="1"/>
      <c r="F529" s="2" t="str">
        <f>IFERROR(IF(MARÍTIMOS[[#This Row],[Transportista]]="","",MARÍTIMOS[[#This Row],[Transportista]]),"")</f>
        <v/>
      </c>
      <c r="G529" s="2" t="str">
        <f>IFERROR(IF(MARÍTIMOS[[#This Row],[Tercero]]="","",MARÍTIMOS[[#This Row],[Tercero]]),"")</f>
        <v/>
      </c>
      <c r="H529" s="2" t="str">
        <f>IFERROR(IF(MARÍTIMOS[[#This Row],[Razón Social]]="","",MARÍTIMOS[[#This Row],[Razón Social]]),"")</f>
        <v/>
      </c>
      <c r="I529" s="2" t="str">
        <f>IFERROR(IF(MARÍTIMOS[[#This Row],[RUC]]="","",MARÍTIMOS[[#This Row],[RUC]]),"")</f>
        <v/>
      </c>
      <c r="J529" s="2" t="str">
        <f>IFERROR(IF(MARÍTIMOS[[#This Row],[Placa Tracto]]="","",MARÍTIMOS[[#This Row],[Placa Tracto]]),"")</f>
        <v/>
      </c>
      <c r="K529" s="2" t="str">
        <f>IFERROR(IF(MARÍTIMOS[[#This Row],[Placa Carreta]]="","",MARÍTIMOS[[#This Row],[Placa Carreta]]),"")</f>
        <v/>
      </c>
      <c r="L529" s="44" t="str">
        <f>IFERROR(IF(MARÍTIMOS[[#This Row],[Conductor]]="","",MARÍTIMOS[[#This Row],[Conductor]]),"")</f>
        <v/>
      </c>
      <c r="M529" s="2" t="str">
        <f>IFERROR(IF(MARÍTIMOS[[#This Row],[Licencia]]="","",MARÍTIMOS[[#This Row],[Licencia]]),"")</f>
        <v/>
      </c>
      <c r="N529" s="2" t="str">
        <f>IFERROR(IF(MARÍTIMOS[[#This Row],[Número de Contacto]]="","",MARÍTIMOS[[#This Row],[Número de Contacto]]),"")</f>
        <v/>
      </c>
      <c r="O529" s="10" t="str">
        <f>IFERROR(IF(MARÍTIMOS[[#This Row],[Booking|AWB|CRT]]="","",MARÍTIMOS[[#This Row],[Booking|AWB|CRT]]),"")</f>
        <v/>
      </c>
      <c r="P529" s="2" t="str">
        <f>IFERROR(IF(MARÍTIMOS[[#This Row],[Contenedor]]="","",MARÍTIMOS[[#This Row],[Contenedor]]),"")</f>
        <v/>
      </c>
      <c r="Q529" s="2" t="str">
        <f>IFERROR(IF(MARÍTIMOS[[#This Row],[Puerto de Retiro]]="","",MARÍTIMOS[[#This Row],[Puerto de Retiro]]),"")</f>
        <v/>
      </c>
      <c r="R529" s="2" t="str">
        <f>IFERROR(IF(MARÍTIMOS[[#This Row],[Almacén de Retiro]]="","",MARÍTIMOS[[#This Row],[Almacén de Retiro]]),"")</f>
        <v/>
      </c>
      <c r="S529" s="11" t="str">
        <f>IFERROR(IF(MARÍTIMOS[[#This Row],[Etapa Retiro - Cita]]="","",MARÍTIMOS[[#This Row],[Etapa Retiro - Cita]]),"")</f>
        <v/>
      </c>
      <c r="T529" s="11" t="str">
        <f>IFERROR(IF(MARÍTIMOS[[#This Row],[Etapa Retiro - Llegada]]="","",MARÍTIMOS[[#This Row],[Etapa Retiro - Llegada]]),"")</f>
        <v/>
      </c>
      <c r="U529" s="11" t="str">
        <f>IFERROR(IF(MARÍTIMOS[[#This Row],[Etapa Retiro - Ingreso]]="","",MARÍTIMOS[[#This Row],[Etapa Retiro - Ingreso]]),"")</f>
        <v/>
      </c>
      <c r="V529" s="11" t="str">
        <f>IFERROR(IF(MARÍTIMOS[[#This Row],[Etapa Retiro - Atención]]="","",MARÍTIMOS[[#This Row],[Etapa Retiro - Atención]]),"")</f>
        <v/>
      </c>
      <c r="W529" s="11" t="str">
        <f>IFERROR(IF(MARÍTIMOS[[#This Row],[Etapa Retiro - Atención]]="","",MARÍTIMOS[[#This Row],[Etapa Retiro - Atención]]),"")</f>
        <v/>
      </c>
      <c r="X529" s="11" t="str">
        <f>IFERROR(IF(MARÍTIMOS[[#This Row],[Etapa Retiro - Inicio de Ruta]]="","",MARÍTIMOS[[#This Row],[Etapa Retiro - Inicio de Ruta]]),"")</f>
        <v/>
      </c>
      <c r="Y529" s="11" t="str">
        <f>IFERROR(IF(MARÍTIMOS[[#This Row],[Hora de Posicionamiento]]="","",MARÍTIMOS[[#This Row],[Fecha de Carga]]+MARÍTIMOS[[#This Row],[Hora de Posicionamiento]]),"")</f>
        <v/>
      </c>
      <c r="Z529" s="11" t="str">
        <f>IFERROR(IF(MARÍTIMOS[[#This Row],[Etapa Despacho - Llegada]]="","",MARÍTIMOS[[#This Row],[Etapa Despacho - Llegada]]),"")</f>
        <v/>
      </c>
      <c r="AA529" s="11" t="str">
        <f>IFERROR(IF(MARÍTIMOS[[#This Row],[Etapa Despacho - Registro]]="","",MARÍTIMOS[[#This Row],[Etapa Despacho - Registro]]),"")</f>
        <v/>
      </c>
      <c r="AB529" s="11" t="str">
        <f>IFERROR(IF(MARÍTIMOS[[#This Row],[Inspección Externa]]="","",MARÍTIMOS[[#This Row],[Inspección Externa]]),"")</f>
        <v/>
      </c>
      <c r="AC529" s="11" t="str">
        <f>IFERROR(IF(MARÍTIMOS[[#This Row],[Etapa Despacho - Inicio de Carga]]="","",MARÍTIMOS[[#This Row],[Etapa Despacho - Inicio de Carga]]),"")</f>
        <v/>
      </c>
      <c r="AD529" s="11" t="str">
        <f>IFERROR(IF(MARÍTIMOS[[#This Row],[Etapa Despacho - Mitad de Carga]]="","",MARÍTIMOS[[#This Row],[Etapa Despacho - Mitad de Carga]]),"")</f>
        <v/>
      </c>
      <c r="AE529" s="11" t="str">
        <f>IFERROR(IF(MARÍTIMOS[[#This Row],[Etapa Despacho - Fin de Carga]]="","",MARÍTIMOS[[#This Row],[Etapa Despacho - Fin de Carga]]),"")</f>
        <v/>
      </c>
      <c r="AF529" s="2" t="str">
        <f>IFERROR(IF(MARÍTIMOS[[#This Row],[Puerto de Embarque]]="","",MARÍTIMOS[[#This Row],[Puerto de Embarque]]),"")</f>
        <v/>
      </c>
      <c r="AG529" s="2" t="str">
        <f>IFERROR(IF(MARÍTIMOS[[#This Row],[Almacén de Ingreso]]="","",MARÍTIMOS[[#This Row],[Almacén de Ingreso]]),"")</f>
        <v/>
      </c>
      <c r="AH529" s="11" t="str">
        <f>IFERROR(IF(MARÍTIMOS[[#This Row],[Etapa Ingreso - Cita]]="","",MARÍTIMOS[[#This Row],[Etapa Ingreso - Cita]]),"")</f>
        <v/>
      </c>
      <c r="AI529" s="11" t="str">
        <f>IFERROR(IF(MARÍTIMOS[[#This Row],[Etapa Ingreso - Llegada]]="","",MARÍTIMOS[[#This Row],[Etapa Ingreso - Llegada]]),"")</f>
        <v/>
      </c>
      <c r="AJ529" s="11" t="str">
        <f>IFERROR(IF(MARÍTIMOS[[#This Row],[Etapa Ingreso - Ingeso]]="","",MARÍTIMOS[[#This Row],[Etapa Ingreso - Ingeso]]),"")</f>
        <v/>
      </c>
      <c r="AK529" s="11" t="str">
        <f>IFERROR(IF(MARÍTIMOS[[#This Row],[Etapa Ingreso - Atención]]="","",MARÍTIMOS[[#This Row],[Etapa Ingreso - Atención]]),"")</f>
        <v/>
      </c>
      <c r="AL529" s="11" t="str">
        <f>IFERROR(IF(MARÍTIMOS[[#This Row],[Etapa Ingreso - Salida]]="","",MARÍTIMOS[[#This Row],[Etapa Ingreso - Salida]]),"")</f>
        <v/>
      </c>
      <c r="AM529" s="2" t="str">
        <f>IFERROR(IF(MARÍTIMOS[[#This Row],[FCL]]="","",MARÍTIMOS[[#This Row],[FCL]]),"")</f>
        <v/>
      </c>
      <c r="AN5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29" s="4" t="str" cm="1">
        <f t="array" ref="AO5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29" s="5" t="str">
        <f>IFERROR(OLDBD[[#This Row],[Llegada a packing]]-OLDBD[[#This Row],[Inicio de Ruta]],"")</f>
        <v/>
      </c>
      <c r="AQ529" s="6" t="str">
        <f>IFERROR(OLDBD[[#This Row],[Inicio de Ruta]]-OLDBD[[#This Row],[Salida de almacén de retiro]],"")</f>
        <v/>
      </c>
      <c r="AR5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29" s="8" t="str" cm="1">
        <f t="array" ref="AS5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29" s="9" t="str">
        <f>IFERROR(OLDBD[[#This Row],[Ingreso Packing]]-OLDBD[[#This Row],[Registro en Packing]],"")</f>
        <v/>
      </c>
      <c r="AV529" s="9" t="str">
        <f>IFERROR(OLDBD[[#This Row],[Ingreso Packing]]-OLDBD[[#This Row],[Llegada a packing]],"")</f>
        <v/>
      </c>
      <c r="AW5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29" s="5" t="str">
        <f>IFERROR(OLDBD[[#This Row],[Llegada Almacén de Ingreso]]-OLDBD[[#This Row],[Salida Packing]],"")</f>
        <v/>
      </c>
      <c r="AY529" s="4" t="str" cm="1">
        <f t="array" ref="AY5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29" s="43" t="s">
        <v>173</v>
      </c>
      <c r="BB529" s="47" t="str">
        <f>IFERROR(IF(MARÍTIMOS[[#This Row],[Estatus]]="","",MARÍTIMOS[[#This Row],[Estatus]]),"")</f>
        <v/>
      </c>
      <c r="BC529" s="43"/>
      <c r="BD529" s="46" t="str">
        <f>IFERROR(OLDBD[[#This Row],[Salida de almacén de retiro]]-OLDBD[[#This Row],[Ingreso Almacén de retiro]],"")</f>
        <v/>
      </c>
      <c r="BE529" s="46" t="str">
        <f>IFERROR(OLDBD[[#This Row],[Fin de Carga]]-OLDBD[[#This Row],[Inicio de Carga]],"")</f>
        <v/>
      </c>
    </row>
    <row r="530" spans="1:57" customFormat="1" hidden="1">
      <c r="A530" s="1"/>
      <c r="B530" s="1" t="str">
        <f>IFERROR(IF(MARÍTIMOS[[#This Row],[PP]]="","",MARÍTIMOS[[#This Row],[PP]]),"")</f>
        <v/>
      </c>
      <c r="C530" s="1" t="str">
        <f>IFERROR(IF(MARÍTIMOS[[#This Row],[Sede]]="","",MARÍTIMOS[[#This Row],[Sede]]),"")</f>
        <v/>
      </c>
      <c r="D530" s="1" t="str">
        <f>IFERROR(IF(MARÍTIMOS[[#This Row],[Instruction]]="","",MARÍTIMOS[[#This Row],[Instruction]]),"")</f>
        <v/>
      </c>
      <c r="E530" s="1"/>
      <c r="F530" s="2" t="str">
        <f>IFERROR(IF(MARÍTIMOS[[#This Row],[Transportista]]="","",MARÍTIMOS[[#This Row],[Transportista]]),"")</f>
        <v/>
      </c>
      <c r="G530" s="2" t="str">
        <f>IFERROR(IF(MARÍTIMOS[[#This Row],[Tercero]]="","",MARÍTIMOS[[#This Row],[Tercero]]),"")</f>
        <v/>
      </c>
      <c r="H530" s="2" t="str">
        <f>IFERROR(IF(MARÍTIMOS[[#This Row],[Razón Social]]="","",MARÍTIMOS[[#This Row],[Razón Social]]),"")</f>
        <v/>
      </c>
      <c r="I530" s="2" t="str">
        <f>IFERROR(IF(MARÍTIMOS[[#This Row],[RUC]]="","",MARÍTIMOS[[#This Row],[RUC]]),"")</f>
        <v/>
      </c>
      <c r="J530" s="2" t="str">
        <f>IFERROR(IF(MARÍTIMOS[[#This Row],[Placa Tracto]]="","",MARÍTIMOS[[#This Row],[Placa Tracto]]),"")</f>
        <v/>
      </c>
      <c r="K530" s="2" t="str">
        <f>IFERROR(IF(MARÍTIMOS[[#This Row],[Placa Carreta]]="","",MARÍTIMOS[[#This Row],[Placa Carreta]]),"")</f>
        <v/>
      </c>
      <c r="L530" s="44" t="str">
        <f>IFERROR(IF(MARÍTIMOS[[#This Row],[Conductor]]="","",MARÍTIMOS[[#This Row],[Conductor]]),"")</f>
        <v/>
      </c>
      <c r="M530" s="2" t="str">
        <f>IFERROR(IF(MARÍTIMOS[[#This Row],[Licencia]]="","",MARÍTIMOS[[#This Row],[Licencia]]),"")</f>
        <v/>
      </c>
      <c r="N530" s="2" t="str">
        <f>IFERROR(IF(MARÍTIMOS[[#This Row],[Número de Contacto]]="","",MARÍTIMOS[[#This Row],[Número de Contacto]]),"")</f>
        <v/>
      </c>
      <c r="O530" s="10" t="str">
        <f>IFERROR(IF(MARÍTIMOS[[#This Row],[Booking|AWB|CRT]]="","",MARÍTIMOS[[#This Row],[Booking|AWB|CRT]]),"")</f>
        <v/>
      </c>
      <c r="P530" s="2" t="str">
        <f>IFERROR(IF(MARÍTIMOS[[#This Row],[Contenedor]]="","",MARÍTIMOS[[#This Row],[Contenedor]]),"")</f>
        <v/>
      </c>
      <c r="Q530" s="2" t="str">
        <f>IFERROR(IF(MARÍTIMOS[[#This Row],[Puerto de Retiro]]="","",MARÍTIMOS[[#This Row],[Puerto de Retiro]]),"")</f>
        <v/>
      </c>
      <c r="R530" s="2" t="str">
        <f>IFERROR(IF(MARÍTIMOS[[#This Row],[Almacén de Retiro]]="","",MARÍTIMOS[[#This Row],[Almacén de Retiro]]),"")</f>
        <v/>
      </c>
      <c r="S530" s="11" t="str">
        <f>IFERROR(IF(MARÍTIMOS[[#This Row],[Etapa Retiro - Cita]]="","",MARÍTIMOS[[#This Row],[Etapa Retiro - Cita]]),"")</f>
        <v/>
      </c>
      <c r="T530" s="11" t="str">
        <f>IFERROR(IF(MARÍTIMOS[[#This Row],[Etapa Retiro - Llegada]]="","",MARÍTIMOS[[#This Row],[Etapa Retiro - Llegada]]),"")</f>
        <v/>
      </c>
      <c r="U530" s="11" t="str">
        <f>IFERROR(IF(MARÍTIMOS[[#This Row],[Etapa Retiro - Ingreso]]="","",MARÍTIMOS[[#This Row],[Etapa Retiro - Ingreso]]),"")</f>
        <v/>
      </c>
      <c r="V530" s="11" t="str">
        <f>IFERROR(IF(MARÍTIMOS[[#This Row],[Etapa Retiro - Atención]]="","",MARÍTIMOS[[#This Row],[Etapa Retiro - Atención]]),"")</f>
        <v/>
      </c>
      <c r="W530" s="11" t="str">
        <f>IFERROR(IF(MARÍTIMOS[[#This Row],[Etapa Retiro - Atención]]="","",MARÍTIMOS[[#This Row],[Etapa Retiro - Atención]]),"")</f>
        <v/>
      </c>
      <c r="X530" s="11" t="str">
        <f>IFERROR(IF(MARÍTIMOS[[#This Row],[Etapa Retiro - Inicio de Ruta]]="","",MARÍTIMOS[[#This Row],[Etapa Retiro - Inicio de Ruta]]),"")</f>
        <v/>
      </c>
      <c r="Y530" s="11" t="str">
        <f>IFERROR(IF(MARÍTIMOS[[#This Row],[Hora de Posicionamiento]]="","",MARÍTIMOS[[#This Row],[Fecha de Carga]]+MARÍTIMOS[[#This Row],[Hora de Posicionamiento]]),"")</f>
        <v/>
      </c>
      <c r="Z530" s="11" t="str">
        <f>IFERROR(IF(MARÍTIMOS[[#This Row],[Etapa Despacho - Llegada]]="","",MARÍTIMOS[[#This Row],[Etapa Despacho - Llegada]]),"")</f>
        <v/>
      </c>
      <c r="AA530" s="11" t="str">
        <f>IFERROR(IF(MARÍTIMOS[[#This Row],[Etapa Despacho - Registro]]="","",MARÍTIMOS[[#This Row],[Etapa Despacho - Registro]]),"")</f>
        <v/>
      </c>
      <c r="AB530" s="11" t="str">
        <f>IFERROR(IF(MARÍTIMOS[[#This Row],[Inspección Externa]]="","",MARÍTIMOS[[#This Row],[Inspección Externa]]),"")</f>
        <v/>
      </c>
      <c r="AC530" s="11" t="str">
        <f>IFERROR(IF(MARÍTIMOS[[#This Row],[Etapa Despacho - Inicio de Carga]]="","",MARÍTIMOS[[#This Row],[Etapa Despacho - Inicio de Carga]]),"")</f>
        <v/>
      </c>
      <c r="AD530" s="11" t="str">
        <f>IFERROR(IF(MARÍTIMOS[[#This Row],[Etapa Despacho - Mitad de Carga]]="","",MARÍTIMOS[[#This Row],[Etapa Despacho - Mitad de Carga]]),"")</f>
        <v/>
      </c>
      <c r="AE530" s="11" t="str">
        <f>IFERROR(IF(MARÍTIMOS[[#This Row],[Etapa Despacho - Fin de Carga]]="","",MARÍTIMOS[[#This Row],[Etapa Despacho - Fin de Carga]]),"")</f>
        <v/>
      </c>
      <c r="AF530" s="2" t="str">
        <f>IFERROR(IF(MARÍTIMOS[[#This Row],[Puerto de Embarque]]="","",MARÍTIMOS[[#This Row],[Puerto de Embarque]]),"")</f>
        <v/>
      </c>
      <c r="AG530" s="2" t="str">
        <f>IFERROR(IF(MARÍTIMOS[[#This Row],[Almacén de Ingreso]]="","",MARÍTIMOS[[#This Row],[Almacén de Ingreso]]),"")</f>
        <v/>
      </c>
      <c r="AH530" s="11" t="str">
        <f>IFERROR(IF(MARÍTIMOS[[#This Row],[Etapa Ingreso - Cita]]="","",MARÍTIMOS[[#This Row],[Etapa Ingreso - Cita]]),"")</f>
        <v/>
      </c>
      <c r="AI530" s="11" t="str">
        <f>IFERROR(IF(MARÍTIMOS[[#This Row],[Etapa Ingreso - Llegada]]="","",MARÍTIMOS[[#This Row],[Etapa Ingreso - Llegada]]),"")</f>
        <v/>
      </c>
      <c r="AJ530" s="11" t="str">
        <f>IFERROR(IF(MARÍTIMOS[[#This Row],[Etapa Ingreso - Ingeso]]="","",MARÍTIMOS[[#This Row],[Etapa Ingreso - Ingeso]]),"")</f>
        <v/>
      </c>
      <c r="AK530" s="11" t="str">
        <f>IFERROR(IF(MARÍTIMOS[[#This Row],[Etapa Ingreso - Atención]]="","",MARÍTIMOS[[#This Row],[Etapa Ingreso - Atención]]),"")</f>
        <v/>
      </c>
      <c r="AL530" s="11" t="str">
        <f>IFERROR(IF(MARÍTIMOS[[#This Row],[Etapa Ingreso - Salida]]="","",MARÍTIMOS[[#This Row],[Etapa Ingreso - Salida]]),"")</f>
        <v/>
      </c>
      <c r="AM530" s="2" t="str">
        <f>IFERROR(IF(MARÍTIMOS[[#This Row],[FCL]]="","",MARÍTIMOS[[#This Row],[FCL]]),"")</f>
        <v/>
      </c>
      <c r="AN5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0" s="4" t="str" cm="1">
        <f t="array" ref="AO5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0" s="5" t="str">
        <f>IFERROR(OLDBD[[#This Row],[Llegada a packing]]-OLDBD[[#This Row],[Inicio de Ruta]],"")</f>
        <v/>
      </c>
      <c r="AQ530" s="6" t="str">
        <f>IFERROR(OLDBD[[#This Row],[Inicio de Ruta]]-OLDBD[[#This Row],[Salida de almacén de retiro]],"")</f>
        <v/>
      </c>
      <c r="AR5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0" s="8" t="str" cm="1">
        <f t="array" ref="AS5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0" s="9" t="str">
        <f>IFERROR(OLDBD[[#This Row],[Ingreso Packing]]-OLDBD[[#This Row],[Registro en Packing]],"")</f>
        <v/>
      </c>
      <c r="AV530" s="9" t="str">
        <f>IFERROR(OLDBD[[#This Row],[Ingreso Packing]]-OLDBD[[#This Row],[Llegada a packing]],"")</f>
        <v/>
      </c>
      <c r="AW5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0" s="5" t="str">
        <f>IFERROR(OLDBD[[#This Row],[Llegada Almacén de Ingreso]]-OLDBD[[#This Row],[Salida Packing]],"")</f>
        <v/>
      </c>
      <c r="AY530" s="4" t="str" cm="1">
        <f t="array" ref="AY5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0" s="43" t="s">
        <v>173</v>
      </c>
      <c r="BB530" s="47" t="str">
        <f>IFERROR(IF(MARÍTIMOS[[#This Row],[Estatus]]="","",MARÍTIMOS[[#This Row],[Estatus]]),"")</f>
        <v/>
      </c>
      <c r="BC530" s="43"/>
      <c r="BD530" s="46" t="str">
        <f>IFERROR(OLDBD[[#This Row],[Salida de almacén de retiro]]-OLDBD[[#This Row],[Ingreso Almacén de retiro]],"")</f>
        <v/>
      </c>
      <c r="BE530" s="46" t="str">
        <f>IFERROR(OLDBD[[#This Row],[Fin de Carga]]-OLDBD[[#This Row],[Inicio de Carga]],"")</f>
        <v/>
      </c>
    </row>
    <row r="531" spans="1:57" customFormat="1" hidden="1">
      <c r="A531" s="1"/>
      <c r="B531" s="1" t="str">
        <f>IFERROR(IF(MARÍTIMOS[[#This Row],[PP]]="","",MARÍTIMOS[[#This Row],[PP]]),"")</f>
        <v/>
      </c>
      <c r="C531" s="1" t="str">
        <f>IFERROR(IF(MARÍTIMOS[[#This Row],[Sede]]="","",MARÍTIMOS[[#This Row],[Sede]]),"")</f>
        <v/>
      </c>
      <c r="D531" s="1" t="str">
        <f>IFERROR(IF(MARÍTIMOS[[#This Row],[Instruction]]="","",MARÍTIMOS[[#This Row],[Instruction]]),"")</f>
        <v/>
      </c>
      <c r="E531" s="1"/>
      <c r="F531" s="2" t="str">
        <f>IFERROR(IF(MARÍTIMOS[[#This Row],[Transportista]]="","",MARÍTIMOS[[#This Row],[Transportista]]),"")</f>
        <v/>
      </c>
      <c r="G531" s="2" t="str">
        <f>IFERROR(IF(MARÍTIMOS[[#This Row],[Tercero]]="","",MARÍTIMOS[[#This Row],[Tercero]]),"")</f>
        <v/>
      </c>
      <c r="H531" s="2" t="str">
        <f>IFERROR(IF(MARÍTIMOS[[#This Row],[Razón Social]]="","",MARÍTIMOS[[#This Row],[Razón Social]]),"")</f>
        <v/>
      </c>
      <c r="I531" s="2" t="str">
        <f>IFERROR(IF(MARÍTIMOS[[#This Row],[RUC]]="","",MARÍTIMOS[[#This Row],[RUC]]),"")</f>
        <v/>
      </c>
      <c r="J531" s="2" t="str">
        <f>IFERROR(IF(MARÍTIMOS[[#This Row],[Placa Tracto]]="","",MARÍTIMOS[[#This Row],[Placa Tracto]]),"")</f>
        <v/>
      </c>
      <c r="K531" s="2" t="str">
        <f>IFERROR(IF(MARÍTIMOS[[#This Row],[Placa Carreta]]="","",MARÍTIMOS[[#This Row],[Placa Carreta]]),"")</f>
        <v/>
      </c>
      <c r="L531" s="44" t="str">
        <f>IFERROR(IF(MARÍTIMOS[[#This Row],[Conductor]]="","",MARÍTIMOS[[#This Row],[Conductor]]),"")</f>
        <v/>
      </c>
      <c r="M531" s="2" t="str">
        <f>IFERROR(IF(MARÍTIMOS[[#This Row],[Licencia]]="","",MARÍTIMOS[[#This Row],[Licencia]]),"")</f>
        <v/>
      </c>
      <c r="N531" s="2" t="str">
        <f>IFERROR(IF(MARÍTIMOS[[#This Row],[Número de Contacto]]="","",MARÍTIMOS[[#This Row],[Número de Contacto]]),"")</f>
        <v/>
      </c>
      <c r="O531" s="10" t="str">
        <f>IFERROR(IF(MARÍTIMOS[[#This Row],[Booking|AWB|CRT]]="","",MARÍTIMOS[[#This Row],[Booking|AWB|CRT]]),"")</f>
        <v/>
      </c>
      <c r="P531" s="2" t="str">
        <f>IFERROR(IF(MARÍTIMOS[[#This Row],[Contenedor]]="","",MARÍTIMOS[[#This Row],[Contenedor]]),"")</f>
        <v/>
      </c>
      <c r="Q531" s="2" t="str">
        <f>IFERROR(IF(MARÍTIMOS[[#This Row],[Puerto de Retiro]]="","",MARÍTIMOS[[#This Row],[Puerto de Retiro]]),"")</f>
        <v/>
      </c>
      <c r="R531" s="2" t="str">
        <f>IFERROR(IF(MARÍTIMOS[[#This Row],[Almacén de Retiro]]="","",MARÍTIMOS[[#This Row],[Almacén de Retiro]]),"")</f>
        <v/>
      </c>
      <c r="S531" s="11" t="str">
        <f>IFERROR(IF(MARÍTIMOS[[#This Row],[Etapa Retiro - Cita]]="","",MARÍTIMOS[[#This Row],[Etapa Retiro - Cita]]),"")</f>
        <v/>
      </c>
      <c r="T531" s="11" t="str">
        <f>IFERROR(IF(MARÍTIMOS[[#This Row],[Etapa Retiro - Llegada]]="","",MARÍTIMOS[[#This Row],[Etapa Retiro - Llegada]]),"")</f>
        <v/>
      </c>
      <c r="U531" s="11" t="str">
        <f>IFERROR(IF(MARÍTIMOS[[#This Row],[Etapa Retiro - Ingreso]]="","",MARÍTIMOS[[#This Row],[Etapa Retiro - Ingreso]]),"")</f>
        <v/>
      </c>
      <c r="V531" s="11" t="str">
        <f>IFERROR(IF(MARÍTIMOS[[#This Row],[Etapa Retiro - Atención]]="","",MARÍTIMOS[[#This Row],[Etapa Retiro - Atención]]),"")</f>
        <v/>
      </c>
      <c r="W531" s="11" t="str">
        <f>IFERROR(IF(MARÍTIMOS[[#This Row],[Etapa Retiro - Atención]]="","",MARÍTIMOS[[#This Row],[Etapa Retiro - Atención]]),"")</f>
        <v/>
      </c>
      <c r="X531" s="11" t="str">
        <f>IFERROR(IF(MARÍTIMOS[[#This Row],[Etapa Retiro - Inicio de Ruta]]="","",MARÍTIMOS[[#This Row],[Etapa Retiro - Inicio de Ruta]]),"")</f>
        <v/>
      </c>
      <c r="Y531" s="11" t="str">
        <f>IFERROR(IF(MARÍTIMOS[[#This Row],[Hora de Posicionamiento]]="","",MARÍTIMOS[[#This Row],[Fecha de Carga]]+MARÍTIMOS[[#This Row],[Hora de Posicionamiento]]),"")</f>
        <v/>
      </c>
      <c r="Z531" s="11" t="str">
        <f>IFERROR(IF(MARÍTIMOS[[#This Row],[Etapa Despacho - Llegada]]="","",MARÍTIMOS[[#This Row],[Etapa Despacho - Llegada]]),"")</f>
        <v/>
      </c>
      <c r="AA531" s="11" t="str">
        <f>IFERROR(IF(MARÍTIMOS[[#This Row],[Etapa Despacho - Registro]]="","",MARÍTIMOS[[#This Row],[Etapa Despacho - Registro]]),"")</f>
        <v/>
      </c>
      <c r="AB531" s="11" t="str">
        <f>IFERROR(IF(MARÍTIMOS[[#This Row],[Inspección Externa]]="","",MARÍTIMOS[[#This Row],[Inspección Externa]]),"")</f>
        <v/>
      </c>
      <c r="AC531" s="11" t="str">
        <f>IFERROR(IF(MARÍTIMOS[[#This Row],[Etapa Despacho - Inicio de Carga]]="","",MARÍTIMOS[[#This Row],[Etapa Despacho - Inicio de Carga]]),"")</f>
        <v/>
      </c>
      <c r="AD531" s="11" t="str">
        <f>IFERROR(IF(MARÍTIMOS[[#This Row],[Etapa Despacho - Mitad de Carga]]="","",MARÍTIMOS[[#This Row],[Etapa Despacho - Mitad de Carga]]),"")</f>
        <v/>
      </c>
      <c r="AE531" s="11" t="str">
        <f>IFERROR(IF(MARÍTIMOS[[#This Row],[Etapa Despacho - Fin de Carga]]="","",MARÍTIMOS[[#This Row],[Etapa Despacho - Fin de Carga]]),"")</f>
        <v/>
      </c>
      <c r="AF531" s="2" t="str">
        <f>IFERROR(IF(MARÍTIMOS[[#This Row],[Puerto de Embarque]]="","",MARÍTIMOS[[#This Row],[Puerto de Embarque]]),"")</f>
        <v/>
      </c>
      <c r="AG531" s="2" t="str">
        <f>IFERROR(IF(MARÍTIMOS[[#This Row],[Almacén de Ingreso]]="","",MARÍTIMOS[[#This Row],[Almacén de Ingreso]]),"")</f>
        <v/>
      </c>
      <c r="AH531" s="11" t="str">
        <f>IFERROR(IF(MARÍTIMOS[[#This Row],[Etapa Ingreso - Cita]]="","",MARÍTIMOS[[#This Row],[Etapa Ingreso - Cita]]),"")</f>
        <v/>
      </c>
      <c r="AI531" s="11" t="str">
        <f>IFERROR(IF(MARÍTIMOS[[#This Row],[Etapa Ingreso - Llegada]]="","",MARÍTIMOS[[#This Row],[Etapa Ingreso - Llegada]]),"")</f>
        <v/>
      </c>
      <c r="AJ531" s="11" t="str">
        <f>IFERROR(IF(MARÍTIMOS[[#This Row],[Etapa Ingreso - Ingeso]]="","",MARÍTIMOS[[#This Row],[Etapa Ingreso - Ingeso]]),"")</f>
        <v/>
      </c>
      <c r="AK531" s="11" t="str">
        <f>IFERROR(IF(MARÍTIMOS[[#This Row],[Etapa Ingreso - Atención]]="","",MARÍTIMOS[[#This Row],[Etapa Ingreso - Atención]]),"")</f>
        <v/>
      </c>
      <c r="AL531" s="11" t="str">
        <f>IFERROR(IF(MARÍTIMOS[[#This Row],[Etapa Ingreso - Salida]]="","",MARÍTIMOS[[#This Row],[Etapa Ingreso - Salida]]),"")</f>
        <v/>
      </c>
      <c r="AM531" s="2" t="str">
        <f>IFERROR(IF(MARÍTIMOS[[#This Row],[FCL]]="","",MARÍTIMOS[[#This Row],[FCL]]),"")</f>
        <v/>
      </c>
      <c r="AN5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1" s="4" t="str" cm="1">
        <f t="array" ref="AO5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1" s="5" t="str">
        <f>IFERROR(OLDBD[[#This Row],[Llegada a packing]]-OLDBD[[#This Row],[Inicio de Ruta]],"")</f>
        <v/>
      </c>
      <c r="AQ531" s="6" t="str">
        <f>IFERROR(OLDBD[[#This Row],[Inicio de Ruta]]-OLDBD[[#This Row],[Salida de almacén de retiro]],"")</f>
        <v/>
      </c>
      <c r="AR5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1" s="8" t="str" cm="1">
        <f t="array" ref="AS5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1" s="9" t="str">
        <f>IFERROR(OLDBD[[#This Row],[Ingreso Packing]]-OLDBD[[#This Row],[Registro en Packing]],"")</f>
        <v/>
      </c>
      <c r="AV531" s="9" t="str">
        <f>IFERROR(OLDBD[[#This Row],[Ingreso Packing]]-OLDBD[[#This Row],[Llegada a packing]],"")</f>
        <v/>
      </c>
      <c r="AW5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1" s="5" t="str">
        <f>IFERROR(OLDBD[[#This Row],[Llegada Almacén de Ingreso]]-OLDBD[[#This Row],[Salida Packing]],"")</f>
        <v/>
      </c>
      <c r="AY531" s="4" t="str" cm="1">
        <f t="array" ref="AY5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1" s="43" t="s">
        <v>173</v>
      </c>
      <c r="BB531" s="47" t="str">
        <f>IFERROR(IF(MARÍTIMOS[[#This Row],[Estatus]]="","",MARÍTIMOS[[#This Row],[Estatus]]),"")</f>
        <v/>
      </c>
      <c r="BC531" s="43"/>
      <c r="BD531" s="46" t="str">
        <f>IFERROR(OLDBD[[#This Row],[Salida de almacén de retiro]]-OLDBD[[#This Row],[Ingreso Almacén de retiro]],"")</f>
        <v/>
      </c>
      <c r="BE531" s="46" t="str">
        <f>IFERROR(OLDBD[[#This Row],[Fin de Carga]]-OLDBD[[#This Row],[Inicio de Carga]],"")</f>
        <v/>
      </c>
    </row>
    <row r="532" spans="1:57" customFormat="1" hidden="1">
      <c r="A532" s="1"/>
      <c r="B532" s="1" t="str">
        <f>IFERROR(IF(MARÍTIMOS[[#This Row],[PP]]="","",MARÍTIMOS[[#This Row],[PP]]),"")</f>
        <v/>
      </c>
      <c r="C532" s="1" t="str">
        <f>IFERROR(IF(MARÍTIMOS[[#This Row],[Sede]]="","",MARÍTIMOS[[#This Row],[Sede]]),"")</f>
        <v/>
      </c>
      <c r="D532" s="1" t="str">
        <f>IFERROR(IF(MARÍTIMOS[[#This Row],[Instruction]]="","",MARÍTIMOS[[#This Row],[Instruction]]),"")</f>
        <v/>
      </c>
      <c r="E532" s="1"/>
      <c r="F532" s="2" t="str">
        <f>IFERROR(IF(MARÍTIMOS[[#This Row],[Transportista]]="","",MARÍTIMOS[[#This Row],[Transportista]]),"")</f>
        <v/>
      </c>
      <c r="G532" s="2" t="str">
        <f>IFERROR(IF(MARÍTIMOS[[#This Row],[Tercero]]="","",MARÍTIMOS[[#This Row],[Tercero]]),"")</f>
        <v/>
      </c>
      <c r="H532" s="2" t="str">
        <f>IFERROR(IF(MARÍTIMOS[[#This Row],[Razón Social]]="","",MARÍTIMOS[[#This Row],[Razón Social]]),"")</f>
        <v/>
      </c>
      <c r="I532" s="2" t="str">
        <f>IFERROR(IF(MARÍTIMOS[[#This Row],[RUC]]="","",MARÍTIMOS[[#This Row],[RUC]]),"")</f>
        <v/>
      </c>
      <c r="J532" s="2" t="str">
        <f>IFERROR(IF(MARÍTIMOS[[#This Row],[Placa Tracto]]="","",MARÍTIMOS[[#This Row],[Placa Tracto]]),"")</f>
        <v/>
      </c>
      <c r="K532" s="2" t="str">
        <f>IFERROR(IF(MARÍTIMOS[[#This Row],[Placa Carreta]]="","",MARÍTIMOS[[#This Row],[Placa Carreta]]),"")</f>
        <v/>
      </c>
      <c r="L532" s="44" t="str">
        <f>IFERROR(IF(MARÍTIMOS[[#This Row],[Conductor]]="","",MARÍTIMOS[[#This Row],[Conductor]]),"")</f>
        <v/>
      </c>
      <c r="M532" s="2" t="str">
        <f>IFERROR(IF(MARÍTIMOS[[#This Row],[Licencia]]="","",MARÍTIMOS[[#This Row],[Licencia]]),"")</f>
        <v/>
      </c>
      <c r="N532" s="2" t="str">
        <f>IFERROR(IF(MARÍTIMOS[[#This Row],[Número de Contacto]]="","",MARÍTIMOS[[#This Row],[Número de Contacto]]),"")</f>
        <v/>
      </c>
      <c r="O532" s="10" t="str">
        <f>IFERROR(IF(MARÍTIMOS[[#This Row],[Booking|AWB|CRT]]="","",MARÍTIMOS[[#This Row],[Booking|AWB|CRT]]),"")</f>
        <v/>
      </c>
      <c r="P532" s="2" t="str">
        <f>IFERROR(IF(MARÍTIMOS[[#This Row],[Contenedor]]="","",MARÍTIMOS[[#This Row],[Contenedor]]),"")</f>
        <v/>
      </c>
      <c r="Q532" s="2" t="str">
        <f>IFERROR(IF(MARÍTIMOS[[#This Row],[Puerto de Retiro]]="","",MARÍTIMOS[[#This Row],[Puerto de Retiro]]),"")</f>
        <v/>
      </c>
      <c r="R532" s="2" t="str">
        <f>IFERROR(IF(MARÍTIMOS[[#This Row],[Almacén de Retiro]]="","",MARÍTIMOS[[#This Row],[Almacén de Retiro]]),"")</f>
        <v/>
      </c>
      <c r="S532" s="11" t="str">
        <f>IFERROR(IF(MARÍTIMOS[[#This Row],[Etapa Retiro - Cita]]="","",MARÍTIMOS[[#This Row],[Etapa Retiro - Cita]]),"")</f>
        <v/>
      </c>
      <c r="T532" s="11" t="str">
        <f>IFERROR(IF(MARÍTIMOS[[#This Row],[Etapa Retiro - Llegada]]="","",MARÍTIMOS[[#This Row],[Etapa Retiro - Llegada]]),"")</f>
        <v/>
      </c>
      <c r="U532" s="11" t="str">
        <f>IFERROR(IF(MARÍTIMOS[[#This Row],[Etapa Retiro - Ingreso]]="","",MARÍTIMOS[[#This Row],[Etapa Retiro - Ingreso]]),"")</f>
        <v/>
      </c>
      <c r="V532" s="11" t="str">
        <f>IFERROR(IF(MARÍTIMOS[[#This Row],[Etapa Retiro - Atención]]="","",MARÍTIMOS[[#This Row],[Etapa Retiro - Atención]]),"")</f>
        <v/>
      </c>
      <c r="W532" s="11" t="str">
        <f>IFERROR(IF(MARÍTIMOS[[#This Row],[Etapa Retiro - Atención]]="","",MARÍTIMOS[[#This Row],[Etapa Retiro - Atención]]),"")</f>
        <v/>
      </c>
      <c r="X532" s="11" t="str">
        <f>IFERROR(IF(MARÍTIMOS[[#This Row],[Etapa Retiro - Inicio de Ruta]]="","",MARÍTIMOS[[#This Row],[Etapa Retiro - Inicio de Ruta]]),"")</f>
        <v/>
      </c>
      <c r="Y532" s="11" t="str">
        <f>IFERROR(IF(MARÍTIMOS[[#This Row],[Hora de Posicionamiento]]="","",MARÍTIMOS[[#This Row],[Fecha de Carga]]+MARÍTIMOS[[#This Row],[Hora de Posicionamiento]]),"")</f>
        <v/>
      </c>
      <c r="Z532" s="11" t="str">
        <f>IFERROR(IF(MARÍTIMOS[[#This Row],[Etapa Despacho - Llegada]]="","",MARÍTIMOS[[#This Row],[Etapa Despacho - Llegada]]),"")</f>
        <v/>
      </c>
      <c r="AA532" s="11" t="str">
        <f>IFERROR(IF(MARÍTIMOS[[#This Row],[Etapa Despacho - Registro]]="","",MARÍTIMOS[[#This Row],[Etapa Despacho - Registro]]),"")</f>
        <v/>
      </c>
      <c r="AB532" s="11" t="str">
        <f>IFERROR(IF(MARÍTIMOS[[#This Row],[Inspección Externa]]="","",MARÍTIMOS[[#This Row],[Inspección Externa]]),"")</f>
        <v/>
      </c>
      <c r="AC532" s="11" t="str">
        <f>IFERROR(IF(MARÍTIMOS[[#This Row],[Etapa Despacho - Inicio de Carga]]="","",MARÍTIMOS[[#This Row],[Etapa Despacho - Inicio de Carga]]),"")</f>
        <v/>
      </c>
      <c r="AD532" s="11" t="str">
        <f>IFERROR(IF(MARÍTIMOS[[#This Row],[Etapa Despacho - Mitad de Carga]]="","",MARÍTIMOS[[#This Row],[Etapa Despacho - Mitad de Carga]]),"")</f>
        <v/>
      </c>
      <c r="AE532" s="11" t="str">
        <f>IFERROR(IF(MARÍTIMOS[[#This Row],[Etapa Despacho - Fin de Carga]]="","",MARÍTIMOS[[#This Row],[Etapa Despacho - Fin de Carga]]),"")</f>
        <v/>
      </c>
      <c r="AF532" s="2" t="str">
        <f>IFERROR(IF(MARÍTIMOS[[#This Row],[Puerto de Embarque]]="","",MARÍTIMOS[[#This Row],[Puerto de Embarque]]),"")</f>
        <v/>
      </c>
      <c r="AG532" s="2" t="str">
        <f>IFERROR(IF(MARÍTIMOS[[#This Row],[Almacén de Ingreso]]="","",MARÍTIMOS[[#This Row],[Almacén de Ingreso]]),"")</f>
        <v/>
      </c>
      <c r="AH532" s="11" t="str">
        <f>IFERROR(IF(MARÍTIMOS[[#This Row],[Etapa Ingreso - Cita]]="","",MARÍTIMOS[[#This Row],[Etapa Ingreso - Cita]]),"")</f>
        <v/>
      </c>
      <c r="AI532" s="11" t="str">
        <f>IFERROR(IF(MARÍTIMOS[[#This Row],[Etapa Ingreso - Llegada]]="","",MARÍTIMOS[[#This Row],[Etapa Ingreso - Llegada]]),"")</f>
        <v/>
      </c>
      <c r="AJ532" s="11" t="str">
        <f>IFERROR(IF(MARÍTIMOS[[#This Row],[Etapa Ingreso - Ingeso]]="","",MARÍTIMOS[[#This Row],[Etapa Ingreso - Ingeso]]),"")</f>
        <v/>
      </c>
      <c r="AK532" s="11" t="str">
        <f>IFERROR(IF(MARÍTIMOS[[#This Row],[Etapa Ingreso - Atención]]="","",MARÍTIMOS[[#This Row],[Etapa Ingreso - Atención]]),"")</f>
        <v/>
      </c>
      <c r="AL532" s="11" t="str">
        <f>IFERROR(IF(MARÍTIMOS[[#This Row],[Etapa Ingreso - Salida]]="","",MARÍTIMOS[[#This Row],[Etapa Ingreso - Salida]]),"")</f>
        <v/>
      </c>
      <c r="AM532" s="2" t="str">
        <f>IFERROR(IF(MARÍTIMOS[[#This Row],[FCL]]="","",MARÍTIMOS[[#This Row],[FCL]]),"")</f>
        <v/>
      </c>
      <c r="AN5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2" s="4" t="str" cm="1">
        <f t="array" ref="AO5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2" s="5" t="str">
        <f>IFERROR(OLDBD[[#This Row],[Llegada a packing]]-OLDBD[[#This Row],[Inicio de Ruta]],"")</f>
        <v/>
      </c>
      <c r="AQ532" s="6" t="str">
        <f>IFERROR(OLDBD[[#This Row],[Inicio de Ruta]]-OLDBD[[#This Row],[Salida de almacén de retiro]],"")</f>
        <v/>
      </c>
      <c r="AR5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2" s="8" t="str" cm="1">
        <f t="array" ref="AS5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2" s="9" t="str">
        <f>IFERROR(OLDBD[[#This Row],[Ingreso Packing]]-OLDBD[[#This Row],[Registro en Packing]],"")</f>
        <v/>
      </c>
      <c r="AV532" s="9" t="str">
        <f>IFERROR(OLDBD[[#This Row],[Ingreso Packing]]-OLDBD[[#This Row],[Llegada a packing]],"")</f>
        <v/>
      </c>
      <c r="AW5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2" s="5" t="str">
        <f>IFERROR(OLDBD[[#This Row],[Llegada Almacén de Ingreso]]-OLDBD[[#This Row],[Salida Packing]],"")</f>
        <v/>
      </c>
      <c r="AY532" s="4" t="str" cm="1">
        <f t="array" ref="AY5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2" s="43" t="s">
        <v>173</v>
      </c>
      <c r="BB532" s="47" t="str">
        <f>IFERROR(IF(MARÍTIMOS[[#This Row],[Estatus]]="","",MARÍTIMOS[[#This Row],[Estatus]]),"")</f>
        <v/>
      </c>
      <c r="BC532" s="43"/>
      <c r="BD532" s="46" t="str">
        <f>IFERROR(OLDBD[[#This Row],[Salida de almacén de retiro]]-OLDBD[[#This Row],[Ingreso Almacén de retiro]],"")</f>
        <v/>
      </c>
      <c r="BE532" s="46" t="str">
        <f>IFERROR(OLDBD[[#This Row],[Fin de Carga]]-OLDBD[[#This Row],[Inicio de Carga]],"")</f>
        <v/>
      </c>
    </row>
    <row r="533" spans="1:57" customFormat="1" hidden="1">
      <c r="A533" s="1"/>
      <c r="B533" s="1" t="str">
        <f>IFERROR(IF(MARÍTIMOS[[#This Row],[PP]]="","",MARÍTIMOS[[#This Row],[PP]]),"")</f>
        <v/>
      </c>
      <c r="C533" s="1" t="str">
        <f>IFERROR(IF(MARÍTIMOS[[#This Row],[Sede]]="","",MARÍTIMOS[[#This Row],[Sede]]),"")</f>
        <v/>
      </c>
      <c r="D533" s="1" t="str">
        <f>IFERROR(IF(MARÍTIMOS[[#This Row],[Instruction]]="","",MARÍTIMOS[[#This Row],[Instruction]]),"")</f>
        <v/>
      </c>
      <c r="E533" s="1"/>
      <c r="F533" s="2" t="str">
        <f>IFERROR(IF(MARÍTIMOS[[#This Row],[Transportista]]="","",MARÍTIMOS[[#This Row],[Transportista]]),"")</f>
        <v/>
      </c>
      <c r="G533" s="2" t="str">
        <f>IFERROR(IF(MARÍTIMOS[[#This Row],[Tercero]]="","",MARÍTIMOS[[#This Row],[Tercero]]),"")</f>
        <v/>
      </c>
      <c r="H533" s="2" t="str">
        <f>IFERROR(IF(MARÍTIMOS[[#This Row],[Razón Social]]="","",MARÍTIMOS[[#This Row],[Razón Social]]),"")</f>
        <v/>
      </c>
      <c r="I533" s="2" t="str">
        <f>IFERROR(IF(MARÍTIMOS[[#This Row],[RUC]]="","",MARÍTIMOS[[#This Row],[RUC]]),"")</f>
        <v/>
      </c>
      <c r="J533" s="2" t="str">
        <f>IFERROR(IF(MARÍTIMOS[[#This Row],[Placa Tracto]]="","",MARÍTIMOS[[#This Row],[Placa Tracto]]),"")</f>
        <v/>
      </c>
      <c r="K533" s="2" t="str">
        <f>IFERROR(IF(MARÍTIMOS[[#This Row],[Placa Carreta]]="","",MARÍTIMOS[[#This Row],[Placa Carreta]]),"")</f>
        <v/>
      </c>
      <c r="L533" s="44" t="str">
        <f>IFERROR(IF(MARÍTIMOS[[#This Row],[Conductor]]="","",MARÍTIMOS[[#This Row],[Conductor]]),"")</f>
        <v/>
      </c>
      <c r="M533" s="2" t="str">
        <f>IFERROR(IF(MARÍTIMOS[[#This Row],[Licencia]]="","",MARÍTIMOS[[#This Row],[Licencia]]),"")</f>
        <v/>
      </c>
      <c r="N533" s="2" t="str">
        <f>IFERROR(IF(MARÍTIMOS[[#This Row],[Número de Contacto]]="","",MARÍTIMOS[[#This Row],[Número de Contacto]]),"")</f>
        <v/>
      </c>
      <c r="O533" s="10" t="str">
        <f>IFERROR(IF(MARÍTIMOS[[#This Row],[Booking|AWB|CRT]]="","",MARÍTIMOS[[#This Row],[Booking|AWB|CRT]]),"")</f>
        <v/>
      </c>
      <c r="P533" s="2" t="str">
        <f>IFERROR(IF(MARÍTIMOS[[#This Row],[Contenedor]]="","",MARÍTIMOS[[#This Row],[Contenedor]]),"")</f>
        <v/>
      </c>
      <c r="Q533" s="2" t="str">
        <f>IFERROR(IF(MARÍTIMOS[[#This Row],[Puerto de Retiro]]="","",MARÍTIMOS[[#This Row],[Puerto de Retiro]]),"")</f>
        <v/>
      </c>
      <c r="R533" s="2" t="str">
        <f>IFERROR(IF(MARÍTIMOS[[#This Row],[Almacén de Retiro]]="","",MARÍTIMOS[[#This Row],[Almacén de Retiro]]),"")</f>
        <v/>
      </c>
      <c r="S533" s="11" t="str">
        <f>IFERROR(IF(MARÍTIMOS[[#This Row],[Etapa Retiro - Cita]]="","",MARÍTIMOS[[#This Row],[Etapa Retiro - Cita]]),"")</f>
        <v/>
      </c>
      <c r="T533" s="11" t="str">
        <f>IFERROR(IF(MARÍTIMOS[[#This Row],[Etapa Retiro - Llegada]]="","",MARÍTIMOS[[#This Row],[Etapa Retiro - Llegada]]),"")</f>
        <v/>
      </c>
      <c r="U533" s="11" t="str">
        <f>IFERROR(IF(MARÍTIMOS[[#This Row],[Etapa Retiro - Ingreso]]="","",MARÍTIMOS[[#This Row],[Etapa Retiro - Ingreso]]),"")</f>
        <v/>
      </c>
      <c r="V533" s="11" t="str">
        <f>IFERROR(IF(MARÍTIMOS[[#This Row],[Etapa Retiro - Atención]]="","",MARÍTIMOS[[#This Row],[Etapa Retiro - Atención]]),"")</f>
        <v/>
      </c>
      <c r="W533" s="11" t="str">
        <f>IFERROR(IF(MARÍTIMOS[[#This Row],[Etapa Retiro - Atención]]="","",MARÍTIMOS[[#This Row],[Etapa Retiro - Atención]]),"")</f>
        <v/>
      </c>
      <c r="X533" s="11" t="str">
        <f>IFERROR(IF(MARÍTIMOS[[#This Row],[Etapa Retiro - Inicio de Ruta]]="","",MARÍTIMOS[[#This Row],[Etapa Retiro - Inicio de Ruta]]),"")</f>
        <v/>
      </c>
      <c r="Y533" s="11" t="str">
        <f>IFERROR(IF(MARÍTIMOS[[#This Row],[Hora de Posicionamiento]]="","",MARÍTIMOS[[#This Row],[Fecha de Carga]]+MARÍTIMOS[[#This Row],[Hora de Posicionamiento]]),"")</f>
        <v/>
      </c>
      <c r="Z533" s="11" t="str">
        <f>IFERROR(IF(MARÍTIMOS[[#This Row],[Etapa Despacho - Llegada]]="","",MARÍTIMOS[[#This Row],[Etapa Despacho - Llegada]]),"")</f>
        <v/>
      </c>
      <c r="AA533" s="11" t="str">
        <f>IFERROR(IF(MARÍTIMOS[[#This Row],[Etapa Despacho - Registro]]="","",MARÍTIMOS[[#This Row],[Etapa Despacho - Registro]]),"")</f>
        <v/>
      </c>
      <c r="AB533" s="11" t="str">
        <f>IFERROR(IF(MARÍTIMOS[[#This Row],[Inspección Externa]]="","",MARÍTIMOS[[#This Row],[Inspección Externa]]),"")</f>
        <v/>
      </c>
      <c r="AC533" s="11" t="str">
        <f>IFERROR(IF(MARÍTIMOS[[#This Row],[Etapa Despacho - Inicio de Carga]]="","",MARÍTIMOS[[#This Row],[Etapa Despacho - Inicio de Carga]]),"")</f>
        <v/>
      </c>
      <c r="AD533" s="11" t="str">
        <f>IFERROR(IF(MARÍTIMOS[[#This Row],[Etapa Despacho - Mitad de Carga]]="","",MARÍTIMOS[[#This Row],[Etapa Despacho - Mitad de Carga]]),"")</f>
        <v/>
      </c>
      <c r="AE533" s="11" t="str">
        <f>IFERROR(IF(MARÍTIMOS[[#This Row],[Etapa Despacho - Fin de Carga]]="","",MARÍTIMOS[[#This Row],[Etapa Despacho - Fin de Carga]]),"")</f>
        <v/>
      </c>
      <c r="AF533" s="2" t="str">
        <f>IFERROR(IF(MARÍTIMOS[[#This Row],[Puerto de Embarque]]="","",MARÍTIMOS[[#This Row],[Puerto de Embarque]]),"")</f>
        <v/>
      </c>
      <c r="AG533" s="2" t="str">
        <f>IFERROR(IF(MARÍTIMOS[[#This Row],[Almacén de Ingreso]]="","",MARÍTIMOS[[#This Row],[Almacén de Ingreso]]),"")</f>
        <v/>
      </c>
      <c r="AH533" s="11" t="str">
        <f>IFERROR(IF(MARÍTIMOS[[#This Row],[Etapa Ingreso - Cita]]="","",MARÍTIMOS[[#This Row],[Etapa Ingreso - Cita]]),"")</f>
        <v/>
      </c>
      <c r="AI533" s="11" t="str">
        <f>IFERROR(IF(MARÍTIMOS[[#This Row],[Etapa Ingreso - Llegada]]="","",MARÍTIMOS[[#This Row],[Etapa Ingreso - Llegada]]),"")</f>
        <v/>
      </c>
      <c r="AJ533" s="11" t="str">
        <f>IFERROR(IF(MARÍTIMOS[[#This Row],[Etapa Ingreso - Ingeso]]="","",MARÍTIMOS[[#This Row],[Etapa Ingreso - Ingeso]]),"")</f>
        <v/>
      </c>
      <c r="AK533" s="11" t="str">
        <f>IFERROR(IF(MARÍTIMOS[[#This Row],[Etapa Ingreso - Atención]]="","",MARÍTIMOS[[#This Row],[Etapa Ingreso - Atención]]),"")</f>
        <v/>
      </c>
      <c r="AL533" s="11" t="str">
        <f>IFERROR(IF(MARÍTIMOS[[#This Row],[Etapa Ingreso - Salida]]="","",MARÍTIMOS[[#This Row],[Etapa Ingreso - Salida]]),"")</f>
        <v/>
      </c>
      <c r="AM533" s="2" t="str">
        <f>IFERROR(IF(MARÍTIMOS[[#This Row],[FCL]]="","",MARÍTIMOS[[#This Row],[FCL]]),"")</f>
        <v/>
      </c>
      <c r="AN5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3" s="4" t="str" cm="1">
        <f t="array" ref="AO5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3" s="5" t="str">
        <f>IFERROR(OLDBD[[#This Row],[Llegada a packing]]-OLDBD[[#This Row],[Inicio de Ruta]],"")</f>
        <v/>
      </c>
      <c r="AQ533" s="6" t="str">
        <f>IFERROR(OLDBD[[#This Row],[Inicio de Ruta]]-OLDBD[[#This Row],[Salida de almacén de retiro]],"")</f>
        <v/>
      </c>
      <c r="AR5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3" s="8" t="str" cm="1">
        <f t="array" ref="AS5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3" s="9" t="str">
        <f>IFERROR(OLDBD[[#This Row],[Ingreso Packing]]-OLDBD[[#This Row],[Registro en Packing]],"")</f>
        <v/>
      </c>
      <c r="AV533" s="9" t="str">
        <f>IFERROR(OLDBD[[#This Row],[Ingreso Packing]]-OLDBD[[#This Row],[Llegada a packing]],"")</f>
        <v/>
      </c>
      <c r="AW5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3" s="5" t="str">
        <f>IFERROR(OLDBD[[#This Row],[Llegada Almacén de Ingreso]]-OLDBD[[#This Row],[Salida Packing]],"")</f>
        <v/>
      </c>
      <c r="AY533" s="4" t="str" cm="1">
        <f t="array" ref="AY5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3" s="43" t="s">
        <v>173</v>
      </c>
      <c r="BB533" s="47" t="str">
        <f>IFERROR(IF(MARÍTIMOS[[#This Row],[Estatus]]="","",MARÍTIMOS[[#This Row],[Estatus]]),"")</f>
        <v/>
      </c>
      <c r="BC533" s="43"/>
      <c r="BD533" s="46" t="str">
        <f>IFERROR(OLDBD[[#This Row],[Salida de almacén de retiro]]-OLDBD[[#This Row],[Ingreso Almacén de retiro]],"")</f>
        <v/>
      </c>
      <c r="BE533" s="46" t="str">
        <f>IFERROR(OLDBD[[#This Row],[Fin de Carga]]-OLDBD[[#This Row],[Inicio de Carga]],"")</f>
        <v/>
      </c>
    </row>
    <row r="534" spans="1:57" customFormat="1" hidden="1">
      <c r="A534" s="1"/>
      <c r="B534" s="1" t="str">
        <f>IFERROR(IF(MARÍTIMOS[[#This Row],[PP]]="","",MARÍTIMOS[[#This Row],[PP]]),"")</f>
        <v/>
      </c>
      <c r="C534" s="1" t="str">
        <f>IFERROR(IF(MARÍTIMOS[[#This Row],[Sede]]="","",MARÍTIMOS[[#This Row],[Sede]]),"")</f>
        <v/>
      </c>
      <c r="D534" s="1" t="str">
        <f>IFERROR(IF(MARÍTIMOS[[#This Row],[Instruction]]="","",MARÍTIMOS[[#This Row],[Instruction]]),"")</f>
        <v/>
      </c>
      <c r="E534" s="1"/>
      <c r="F534" s="2" t="str">
        <f>IFERROR(IF(MARÍTIMOS[[#This Row],[Transportista]]="","",MARÍTIMOS[[#This Row],[Transportista]]),"")</f>
        <v/>
      </c>
      <c r="G534" s="2" t="str">
        <f>IFERROR(IF(MARÍTIMOS[[#This Row],[Tercero]]="","",MARÍTIMOS[[#This Row],[Tercero]]),"")</f>
        <v/>
      </c>
      <c r="H534" s="2" t="str">
        <f>IFERROR(IF(MARÍTIMOS[[#This Row],[Razón Social]]="","",MARÍTIMOS[[#This Row],[Razón Social]]),"")</f>
        <v/>
      </c>
      <c r="I534" s="2" t="str">
        <f>IFERROR(IF(MARÍTIMOS[[#This Row],[RUC]]="","",MARÍTIMOS[[#This Row],[RUC]]),"")</f>
        <v/>
      </c>
      <c r="J534" s="2" t="str">
        <f>IFERROR(IF(MARÍTIMOS[[#This Row],[Placa Tracto]]="","",MARÍTIMOS[[#This Row],[Placa Tracto]]),"")</f>
        <v/>
      </c>
      <c r="K534" s="2" t="str">
        <f>IFERROR(IF(MARÍTIMOS[[#This Row],[Placa Carreta]]="","",MARÍTIMOS[[#This Row],[Placa Carreta]]),"")</f>
        <v/>
      </c>
      <c r="L534" s="44" t="str">
        <f>IFERROR(IF(MARÍTIMOS[[#This Row],[Conductor]]="","",MARÍTIMOS[[#This Row],[Conductor]]),"")</f>
        <v/>
      </c>
      <c r="M534" s="2" t="str">
        <f>IFERROR(IF(MARÍTIMOS[[#This Row],[Licencia]]="","",MARÍTIMOS[[#This Row],[Licencia]]),"")</f>
        <v/>
      </c>
      <c r="N534" s="2" t="str">
        <f>IFERROR(IF(MARÍTIMOS[[#This Row],[Número de Contacto]]="","",MARÍTIMOS[[#This Row],[Número de Contacto]]),"")</f>
        <v/>
      </c>
      <c r="O534" s="10" t="str">
        <f>IFERROR(IF(MARÍTIMOS[[#This Row],[Booking|AWB|CRT]]="","",MARÍTIMOS[[#This Row],[Booking|AWB|CRT]]),"")</f>
        <v/>
      </c>
      <c r="P534" s="2" t="str">
        <f>IFERROR(IF(MARÍTIMOS[[#This Row],[Contenedor]]="","",MARÍTIMOS[[#This Row],[Contenedor]]),"")</f>
        <v/>
      </c>
      <c r="Q534" s="2" t="str">
        <f>IFERROR(IF(MARÍTIMOS[[#This Row],[Puerto de Retiro]]="","",MARÍTIMOS[[#This Row],[Puerto de Retiro]]),"")</f>
        <v/>
      </c>
      <c r="R534" s="2" t="str">
        <f>IFERROR(IF(MARÍTIMOS[[#This Row],[Almacén de Retiro]]="","",MARÍTIMOS[[#This Row],[Almacén de Retiro]]),"")</f>
        <v/>
      </c>
      <c r="S534" s="11" t="str">
        <f>IFERROR(IF(MARÍTIMOS[[#This Row],[Etapa Retiro - Cita]]="","",MARÍTIMOS[[#This Row],[Etapa Retiro - Cita]]),"")</f>
        <v/>
      </c>
      <c r="T534" s="11" t="str">
        <f>IFERROR(IF(MARÍTIMOS[[#This Row],[Etapa Retiro - Llegada]]="","",MARÍTIMOS[[#This Row],[Etapa Retiro - Llegada]]),"")</f>
        <v/>
      </c>
      <c r="U534" s="11" t="str">
        <f>IFERROR(IF(MARÍTIMOS[[#This Row],[Etapa Retiro - Ingreso]]="","",MARÍTIMOS[[#This Row],[Etapa Retiro - Ingreso]]),"")</f>
        <v/>
      </c>
      <c r="V534" s="11" t="str">
        <f>IFERROR(IF(MARÍTIMOS[[#This Row],[Etapa Retiro - Atención]]="","",MARÍTIMOS[[#This Row],[Etapa Retiro - Atención]]),"")</f>
        <v/>
      </c>
      <c r="W534" s="11" t="str">
        <f>IFERROR(IF(MARÍTIMOS[[#This Row],[Etapa Retiro - Atención]]="","",MARÍTIMOS[[#This Row],[Etapa Retiro - Atención]]),"")</f>
        <v/>
      </c>
      <c r="X534" s="11" t="str">
        <f>IFERROR(IF(MARÍTIMOS[[#This Row],[Etapa Retiro - Inicio de Ruta]]="","",MARÍTIMOS[[#This Row],[Etapa Retiro - Inicio de Ruta]]),"")</f>
        <v/>
      </c>
      <c r="Y534" s="11" t="str">
        <f>IFERROR(IF(MARÍTIMOS[[#This Row],[Hora de Posicionamiento]]="","",MARÍTIMOS[[#This Row],[Fecha de Carga]]+MARÍTIMOS[[#This Row],[Hora de Posicionamiento]]),"")</f>
        <v/>
      </c>
      <c r="Z534" s="11" t="str">
        <f>IFERROR(IF(MARÍTIMOS[[#This Row],[Etapa Despacho - Llegada]]="","",MARÍTIMOS[[#This Row],[Etapa Despacho - Llegada]]),"")</f>
        <v/>
      </c>
      <c r="AA534" s="11" t="str">
        <f>IFERROR(IF(MARÍTIMOS[[#This Row],[Etapa Despacho - Registro]]="","",MARÍTIMOS[[#This Row],[Etapa Despacho - Registro]]),"")</f>
        <v/>
      </c>
      <c r="AB534" s="11" t="str">
        <f>IFERROR(IF(MARÍTIMOS[[#This Row],[Inspección Externa]]="","",MARÍTIMOS[[#This Row],[Inspección Externa]]),"")</f>
        <v/>
      </c>
      <c r="AC534" s="11" t="str">
        <f>IFERROR(IF(MARÍTIMOS[[#This Row],[Etapa Despacho - Inicio de Carga]]="","",MARÍTIMOS[[#This Row],[Etapa Despacho - Inicio de Carga]]),"")</f>
        <v/>
      </c>
      <c r="AD534" s="11" t="str">
        <f>IFERROR(IF(MARÍTIMOS[[#This Row],[Etapa Despacho - Mitad de Carga]]="","",MARÍTIMOS[[#This Row],[Etapa Despacho - Mitad de Carga]]),"")</f>
        <v/>
      </c>
      <c r="AE534" s="11" t="str">
        <f>IFERROR(IF(MARÍTIMOS[[#This Row],[Etapa Despacho - Fin de Carga]]="","",MARÍTIMOS[[#This Row],[Etapa Despacho - Fin de Carga]]),"")</f>
        <v/>
      </c>
      <c r="AF534" s="2" t="str">
        <f>IFERROR(IF(MARÍTIMOS[[#This Row],[Puerto de Embarque]]="","",MARÍTIMOS[[#This Row],[Puerto de Embarque]]),"")</f>
        <v/>
      </c>
      <c r="AG534" s="2" t="str">
        <f>IFERROR(IF(MARÍTIMOS[[#This Row],[Almacén de Ingreso]]="","",MARÍTIMOS[[#This Row],[Almacén de Ingreso]]),"")</f>
        <v/>
      </c>
      <c r="AH534" s="11" t="str">
        <f>IFERROR(IF(MARÍTIMOS[[#This Row],[Etapa Ingreso - Cita]]="","",MARÍTIMOS[[#This Row],[Etapa Ingreso - Cita]]),"")</f>
        <v/>
      </c>
      <c r="AI534" s="11" t="str">
        <f>IFERROR(IF(MARÍTIMOS[[#This Row],[Etapa Ingreso - Llegada]]="","",MARÍTIMOS[[#This Row],[Etapa Ingreso - Llegada]]),"")</f>
        <v/>
      </c>
      <c r="AJ534" s="11" t="str">
        <f>IFERROR(IF(MARÍTIMOS[[#This Row],[Etapa Ingreso - Ingeso]]="","",MARÍTIMOS[[#This Row],[Etapa Ingreso - Ingeso]]),"")</f>
        <v/>
      </c>
      <c r="AK534" s="11" t="str">
        <f>IFERROR(IF(MARÍTIMOS[[#This Row],[Etapa Ingreso - Atención]]="","",MARÍTIMOS[[#This Row],[Etapa Ingreso - Atención]]),"")</f>
        <v/>
      </c>
      <c r="AL534" s="11" t="str">
        <f>IFERROR(IF(MARÍTIMOS[[#This Row],[Etapa Ingreso - Salida]]="","",MARÍTIMOS[[#This Row],[Etapa Ingreso - Salida]]),"")</f>
        <v/>
      </c>
      <c r="AM534" s="2" t="str">
        <f>IFERROR(IF(MARÍTIMOS[[#This Row],[FCL]]="","",MARÍTIMOS[[#This Row],[FCL]]),"")</f>
        <v/>
      </c>
      <c r="AN5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4" s="4" t="str" cm="1">
        <f t="array" ref="AO5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4" s="5" t="str">
        <f>IFERROR(OLDBD[[#This Row],[Llegada a packing]]-OLDBD[[#This Row],[Inicio de Ruta]],"")</f>
        <v/>
      </c>
      <c r="AQ534" s="6" t="str">
        <f>IFERROR(OLDBD[[#This Row],[Inicio de Ruta]]-OLDBD[[#This Row],[Salida de almacén de retiro]],"")</f>
        <v/>
      </c>
      <c r="AR5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4" s="8" t="str" cm="1">
        <f t="array" ref="AS5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4" s="9" t="str">
        <f>IFERROR(OLDBD[[#This Row],[Ingreso Packing]]-OLDBD[[#This Row],[Registro en Packing]],"")</f>
        <v/>
      </c>
      <c r="AV534" s="9" t="str">
        <f>IFERROR(OLDBD[[#This Row],[Ingreso Packing]]-OLDBD[[#This Row],[Llegada a packing]],"")</f>
        <v/>
      </c>
      <c r="AW5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4" s="5" t="str">
        <f>IFERROR(OLDBD[[#This Row],[Llegada Almacén de Ingreso]]-OLDBD[[#This Row],[Salida Packing]],"")</f>
        <v/>
      </c>
      <c r="AY534" s="4" t="str" cm="1">
        <f t="array" ref="AY5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4" s="43" t="s">
        <v>173</v>
      </c>
      <c r="BB534" s="47" t="str">
        <f>IFERROR(IF(MARÍTIMOS[[#This Row],[Estatus]]="","",MARÍTIMOS[[#This Row],[Estatus]]),"")</f>
        <v/>
      </c>
      <c r="BC534" s="43"/>
      <c r="BD534" s="46" t="str">
        <f>IFERROR(OLDBD[[#This Row],[Salida de almacén de retiro]]-OLDBD[[#This Row],[Ingreso Almacén de retiro]],"")</f>
        <v/>
      </c>
      <c r="BE534" s="46" t="str">
        <f>IFERROR(OLDBD[[#This Row],[Fin de Carga]]-OLDBD[[#This Row],[Inicio de Carga]],"")</f>
        <v/>
      </c>
    </row>
    <row r="535" spans="1:57" customFormat="1" hidden="1">
      <c r="A535" s="1"/>
      <c r="B535" s="1" t="str">
        <f>IFERROR(IF(MARÍTIMOS[[#This Row],[PP]]="","",MARÍTIMOS[[#This Row],[PP]]),"")</f>
        <v/>
      </c>
      <c r="C535" s="1" t="str">
        <f>IFERROR(IF(MARÍTIMOS[[#This Row],[Sede]]="","",MARÍTIMOS[[#This Row],[Sede]]),"")</f>
        <v/>
      </c>
      <c r="D535" s="1" t="str">
        <f>IFERROR(IF(MARÍTIMOS[[#This Row],[Instruction]]="","",MARÍTIMOS[[#This Row],[Instruction]]),"")</f>
        <v/>
      </c>
      <c r="E535" s="1"/>
      <c r="F535" s="2" t="str">
        <f>IFERROR(IF(MARÍTIMOS[[#This Row],[Transportista]]="","",MARÍTIMOS[[#This Row],[Transportista]]),"")</f>
        <v/>
      </c>
      <c r="G535" s="2" t="str">
        <f>IFERROR(IF(MARÍTIMOS[[#This Row],[Tercero]]="","",MARÍTIMOS[[#This Row],[Tercero]]),"")</f>
        <v/>
      </c>
      <c r="H535" s="2" t="str">
        <f>IFERROR(IF(MARÍTIMOS[[#This Row],[Razón Social]]="","",MARÍTIMOS[[#This Row],[Razón Social]]),"")</f>
        <v/>
      </c>
      <c r="I535" s="2" t="str">
        <f>IFERROR(IF(MARÍTIMOS[[#This Row],[RUC]]="","",MARÍTIMOS[[#This Row],[RUC]]),"")</f>
        <v/>
      </c>
      <c r="J535" s="2" t="str">
        <f>IFERROR(IF(MARÍTIMOS[[#This Row],[Placa Tracto]]="","",MARÍTIMOS[[#This Row],[Placa Tracto]]),"")</f>
        <v/>
      </c>
      <c r="K535" s="2" t="str">
        <f>IFERROR(IF(MARÍTIMOS[[#This Row],[Placa Carreta]]="","",MARÍTIMOS[[#This Row],[Placa Carreta]]),"")</f>
        <v/>
      </c>
      <c r="L535" s="44" t="str">
        <f>IFERROR(IF(MARÍTIMOS[[#This Row],[Conductor]]="","",MARÍTIMOS[[#This Row],[Conductor]]),"")</f>
        <v/>
      </c>
      <c r="M535" s="2" t="str">
        <f>IFERROR(IF(MARÍTIMOS[[#This Row],[Licencia]]="","",MARÍTIMOS[[#This Row],[Licencia]]),"")</f>
        <v/>
      </c>
      <c r="N535" s="2" t="str">
        <f>IFERROR(IF(MARÍTIMOS[[#This Row],[Número de Contacto]]="","",MARÍTIMOS[[#This Row],[Número de Contacto]]),"")</f>
        <v/>
      </c>
      <c r="O535" s="10" t="str">
        <f>IFERROR(IF(MARÍTIMOS[[#This Row],[Booking|AWB|CRT]]="","",MARÍTIMOS[[#This Row],[Booking|AWB|CRT]]),"")</f>
        <v/>
      </c>
      <c r="P535" s="2" t="str">
        <f>IFERROR(IF(MARÍTIMOS[[#This Row],[Contenedor]]="","",MARÍTIMOS[[#This Row],[Contenedor]]),"")</f>
        <v/>
      </c>
      <c r="Q535" s="2" t="str">
        <f>IFERROR(IF(MARÍTIMOS[[#This Row],[Puerto de Retiro]]="","",MARÍTIMOS[[#This Row],[Puerto de Retiro]]),"")</f>
        <v/>
      </c>
      <c r="R535" s="2" t="str">
        <f>IFERROR(IF(MARÍTIMOS[[#This Row],[Almacén de Retiro]]="","",MARÍTIMOS[[#This Row],[Almacén de Retiro]]),"")</f>
        <v/>
      </c>
      <c r="S535" s="11" t="str">
        <f>IFERROR(IF(MARÍTIMOS[[#This Row],[Etapa Retiro - Cita]]="","",MARÍTIMOS[[#This Row],[Etapa Retiro - Cita]]),"")</f>
        <v/>
      </c>
      <c r="T535" s="11" t="str">
        <f>IFERROR(IF(MARÍTIMOS[[#This Row],[Etapa Retiro - Llegada]]="","",MARÍTIMOS[[#This Row],[Etapa Retiro - Llegada]]),"")</f>
        <v/>
      </c>
      <c r="U535" s="11" t="str">
        <f>IFERROR(IF(MARÍTIMOS[[#This Row],[Etapa Retiro - Ingreso]]="","",MARÍTIMOS[[#This Row],[Etapa Retiro - Ingreso]]),"")</f>
        <v/>
      </c>
      <c r="V535" s="11" t="str">
        <f>IFERROR(IF(MARÍTIMOS[[#This Row],[Etapa Retiro - Atención]]="","",MARÍTIMOS[[#This Row],[Etapa Retiro - Atención]]),"")</f>
        <v/>
      </c>
      <c r="W535" s="11" t="str">
        <f>IFERROR(IF(MARÍTIMOS[[#This Row],[Etapa Retiro - Atención]]="","",MARÍTIMOS[[#This Row],[Etapa Retiro - Atención]]),"")</f>
        <v/>
      </c>
      <c r="X535" s="11" t="str">
        <f>IFERROR(IF(MARÍTIMOS[[#This Row],[Etapa Retiro - Inicio de Ruta]]="","",MARÍTIMOS[[#This Row],[Etapa Retiro - Inicio de Ruta]]),"")</f>
        <v/>
      </c>
      <c r="Y535" s="11" t="str">
        <f>IFERROR(IF(MARÍTIMOS[[#This Row],[Hora de Posicionamiento]]="","",MARÍTIMOS[[#This Row],[Fecha de Carga]]+MARÍTIMOS[[#This Row],[Hora de Posicionamiento]]),"")</f>
        <v/>
      </c>
      <c r="Z535" s="11" t="str">
        <f>IFERROR(IF(MARÍTIMOS[[#This Row],[Etapa Despacho - Llegada]]="","",MARÍTIMOS[[#This Row],[Etapa Despacho - Llegada]]),"")</f>
        <v/>
      </c>
      <c r="AA535" s="11" t="str">
        <f>IFERROR(IF(MARÍTIMOS[[#This Row],[Etapa Despacho - Registro]]="","",MARÍTIMOS[[#This Row],[Etapa Despacho - Registro]]),"")</f>
        <v/>
      </c>
      <c r="AB535" s="11" t="str">
        <f>IFERROR(IF(MARÍTIMOS[[#This Row],[Inspección Externa]]="","",MARÍTIMOS[[#This Row],[Inspección Externa]]),"")</f>
        <v/>
      </c>
      <c r="AC535" s="11" t="str">
        <f>IFERROR(IF(MARÍTIMOS[[#This Row],[Etapa Despacho - Inicio de Carga]]="","",MARÍTIMOS[[#This Row],[Etapa Despacho - Inicio de Carga]]),"")</f>
        <v/>
      </c>
      <c r="AD535" s="11" t="str">
        <f>IFERROR(IF(MARÍTIMOS[[#This Row],[Etapa Despacho - Mitad de Carga]]="","",MARÍTIMOS[[#This Row],[Etapa Despacho - Mitad de Carga]]),"")</f>
        <v/>
      </c>
      <c r="AE535" s="11" t="str">
        <f>IFERROR(IF(MARÍTIMOS[[#This Row],[Etapa Despacho - Fin de Carga]]="","",MARÍTIMOS[[#This Row],[Etapa Despacho - Fin de Carga]]),"")</f>
        <v/>
      </c>
      <c r="AF535" s="2" t="str">
        <f>IFERROR(IF(MARÍTIMOS[[#This Row],[Puerto de Embarque]]="","",MARÍTIMOS[[#This Row],[Puerto de Embarque]]),"")</f>
        <v/>
      </c>
      <c r="AG535" s="2" t="str">
        <f>IFERROR(IF(MARÍTIMOS[[#This Row],[Almacén de Ingreso]]="","",MARÍTIMOS[[#This Row],[Almacén de Ingreso]]),"")</f>
        <v/>
      </c>
      <c r="AH535" s="11" t="str">
        <f>IFERROR(IF(MARÍTIMOS[[#This Row],[Etapa Ingreso - Cita]]="","",MARÍTIMOS[[#This Row],[Etapa Ingreso - Cita]]),"")</f>
        <v/>
      </c>
      <c r="AI535" s="11" t="str">
        <f>IFERROR(IF(MARÍTIMOS[[#This Row],[Etapa Ingreso - Llegada]]="","",MARÍTIMOS[[#This Row],[Etapa Ingreso - Llegada]]),"")</f>
        <v/>
      </c>
      <c r="AJ535" s="11" t="str">
        <f>IFERROR(IF(MARÍTIMOS[[#This Row],[Etapa Ingreso - Ingeso]]="","",MARÍTIMOS[[#This Row],[Etapa Ingreso - Ingeso]]),"")</f>
        <v/>
      </c>
      <c r="AK535" s="11" t="str">
        <f>IFERROR(IF(MARÍTIMOS[[#This Row],[Etapa Ingreso - Atención]]="","",MARÍTIMOS[[#This Row],[Etapa Ingreso - Atención]]),"")</f>
        <v/>
      </c>
      <c r="AL535" s="11" t="str">
        <f>IFERROR(IF(MARÍTIMOS[[#This Row],[Etapa Ingreso - Salida]]="","",MARÍTIMOS[[#This Row],[Etapa Ingreso - Salida]]),"")</f>
        <v/>
      </c>
      <c r="AM535" s="2" t="str">
        <f>IFERROR(IF(MARÍTIMOS[[#This Row],[FCL]]="","",MARÍTIMOS[[#This Row],[FCL]]),"")</f>
        <v/>
      </c>
      <c r="AN5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5" s="4" t="str" cm="1">
        <f t="array" ref="AO5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5" s="5" t="str">
        <f>IFERROR(OLDBD[[#This Row],[Llegada a packing]]-OLDBD[[#This Row],[Inicio de Ruta]],"")</f>
        <v/>
      </c>
      <c r="AQ535" s="6" t="str">
        <f>IFERROR(OLDBD[[#This Row],[Inicio de Ruta]]-OLDBD[[#This Row],[Salida de almacén de retiro]],"")</f>
        <v/>
      </c>
      <c r="AR5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5" s="8" t="str" cm="1">
        <f t="array" ref="AS5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5" s="9" t="str">
        <f>IFERROR(OLDBD[[#This Row],[Ingreso Packing]]-OLDBD[[#This Row],[Registro en Packing]],"")</f>
        <v/>
      </c>
      <c r="AV535" s="9" t="str">
        <f>IFERROR(OLDBD[[#This Row],[Ingreso Packing]]-OLDBD[[#This Row],[Llegada a packing]],"")</f>
        <v/>
      </c>
      <c r="AW5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5" s="5" t="str">
        <f>IFERROR(OLDBD[[#This Row],[Llegada Almacén de Ingreso]]-OLDBD[[#This Row],[Salida Packing]],"")</f>
        <v/>
      </c>
      <c r="AY535" s="4" t="str" cm="1">
        <f t="array" ref="AY5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5" s="43" t="s">
        <v>173</v>
      </c>
      <c r="BB535" s="47" t="str">
        <f>IFERROR(IF(MARÍTIMOS[[#This Row],[Estatus]]="","",MARÍTIMOS[[#This Row],[Estatus]]),"")</f>
        <v/>
      </c>
      <c r="BC535" s="43"/>
      <c r="BD535" s="46" t="str">
        <f>IFERROR(OLDBD[[#This Row],[Salida de almacén de retiro]]-OLDBD[[#This Row],[Ingreso Almacén de retiro]],"")</f>
        <v/>
      </c>
      <c r="BE535" s="46" t="str">
        <f>IFERROR(OLDBD[[#This Row],[Fin de Carga]]-OLDBD[[#This Row],[Inicio de Carga]],"")</f>
        <v/>
      </c>
    </row>
    <row r="536" spans="1:57" customFormat="1" hidden="1">
      <c r="A536" s="1"/>
      <c r="B536" s="1" t="str">
        <f>IFERROR(IF(MARÍTIMOS[[#This Row],[PP]]="","",MARÍTIMOS[[#This Row],[PP]]),"")</f>
        <v/>
      </c>
      <c r="C536" s="1" t="str">
        <f>IFERROR(IF(MARÍTIMOS[[#This Row],[Sede]]="","",MARÍTIMOS[[#This Row],[Sede]]),"")</f>
        <v/>
      </c>
      <c r="D536" s="1" t="str">
        <f>IFERROR(IF(MARÍTIMOS[[#This Row],[Instruction]]="","",MARÍTIMOS[[#This Row],[Instruction]]),"")</f>
        <v/>
      </c>
      <c r="E536" s="1"/>
      <c r="F536" s="2" t="str">
        <f>IFERROR(IF(MARÍTIMOS[[#This Row],[Transportista]]="","",MARÍTIMOS[[#This Row],[Transportista]]),"")</f>
        <v/>
      </c>
      <c r="G536" s="2" t="str">
        <f>IFERROR(IF(MARÍTIMOS[[#This Row],[Tercero]]="","",MARÍTIMOS[[#This Row],[Tercero]]),"")</f>
        <v/>
      </c>
      <c r="H536" s="2" t="str">
        <f>IFERROR(IF(MARÍTIMOS[[#This Row],[Razón Social]]="","",MARÍTIMOS[[#This Row],[Razón Social]]),"")</f>
        <v/>
      </c>
      <c r="I536" s="2" t="str">
        <f>IFERROR(IF(MARÍTIMOS[[#This Row],[RUC]]="","",MARÍTIMOS[[#This Row],[RUC]]),"")</f>
        <v/>
      </c>
      <c r="J536" s="2" t="str">
        <f>IFERROR(IF(MARÍTIMOS[[#This Row],[Placa Tracto]]="","",MARÍTIMOS[[#This Row],[Placa Tracto]]),"")</f>
        <v/>
      </c>
      <c r="K536" s="2" t="str">
        <f>IFERROR(IF(MARÍTIMOS[[#This Row],[Placa Carreta]]="","",MARÍTIMOS[[#This Row],[Placa Carreta]]),"")</f>
        <v/>
      </c>
      <c r="L536" s="44" t="str">
        <f>IFERROR(IF(MARÍTIMOS[[#This Row],[Conductor]]="","",MARÍTIMOS[[#This Row],[Conductor]]),"")</f>
        <v/>
      </c>
      <c r="M536" s="2" t="str">
        <f>IFERROR(IF(MARÍTIMOS[[#This Row],[Licencia]]="","",MARÍTIMOS[[#This Row],[Licencia]]),"")</f>
        <v/>
      </c>
      <c r="N536" s="2" t="str">
        <f>IFERROR(IF(MARÍTIMOS[[#This Row],[Número de Contacto]]="","",MARÍTIMOS[[#This Row],[Número de Contacto]]),"")</f>
        <v/>
      </c>
      <c r="O536" s="10" t="str">
        <f>IFERROR(IF(MARÍTIMOS[[#This Row],[Booking|AWB|CRT]]="","",MARÍTIMOS[[#This Row],[Booking|AWB|CRT]]),"")</f>
        <v/>
      </c>
      <c r="P536" s="2" t="str">
        <f>IFERROR(IF(MARÍTIMOS[[#This Row],[Contenedor]]="","",MARÍTIMOS[[#This Row],[Contenedor]]),"")</f>
        <v/>
      </c>
      <c r="Q536" s="2" t="str">
        <f>IFERROR(IF(MARÍTIMOS[[#This Row],[Puerto de Retiro]]="","",MARÍTIMOS[[#This Row],[Puerto de Retiro]]),"")</f>
        <v/>
      </c>
      <c r="R536" s="2" t="str">
        <f>IFERROR(IF(MARÍTIMOS[[#This Row],[Almacén de Retiro]]="","",MARÍTIMOS[[#This Row],[Almacén de Retiro]]),"")</f>
        <v/>
      </c>
      <c r="S536" s="11" t="str">
        <f>IFERROR(IF(MARÍTIMOS[[#This Row],[Etapa Retiro - Cita]]="","",MARÍTIMOS[[#This Row],[Etapa Retiro - Cita]]),"")</f>
        <v/>
      </c>
      <c r="T536" s="11" t="str">
        <f>IFERROR(IF(MARÍTIMOS[[#This Row],[Etapa Retiro - Llegada]]="","",MARÍTIMOS[[#This Row],[Etapa Retiro - Llegada]]),"")</f>
        <v/>
      </c>
      <c r="U536" s="11" t="str">
        <f>IFERROR(IF(MARÍTIMOS[[#This Row],[Etapa Retiro - Ingreso]]="","",MARÍTIMOS[[#This Row],[Etapa Retiro - Ingreso]]),"")</f>
        <v/>
      </c>
      <c r="V536" s="11" t="str">
        <f>IFERROR(IF(MARÍTIMOS[[#This Row],[Etapa Retiro - Atención]]="","",MARÍTIMOS[[#This Row],[Etapa Retiro - Atención]]),"")</f>
        <v/>
      </c>
      <c r="W536" s="11" t="str">
        <f>IFERROR(IF(MARÍTIMOS[[#This Row],[Etapa Retiro - Atención]]="","",MARÍTIMOS[[#This Row],[Etapa Retiro - Atención]]),"")</f>
        <v/>
      </c>
      <c r="X536" s="11" t="str">
        <f>IFERROR(IF(MARÍTIMOS[[#This Row],[Etapa Retiro - Inicio de Ruta]]="","",MARÍTIMOS[[#This Row],[Etapa Retiro - Inicio de Ruta]]),"")</f>
        <v/>
      </c>
      <c r="Y536" s="11" t="str">
        <f>IFERROR(IF(MARÍTIMOS[[#This Row],[Hora de Posicionamiento]]="","",MARÍTIMOS[[#This Row],[Fecha de Carga]]+MARÍTIMOS[[#This Row],[Hora de Posicionamiento]]),"")</f>
        <v/>
      </c>
      <c r="Z536" s="11" t="str">
        <f>IFERROR(IF(MARÍTIMOS[[#This Row],[Etapa Despacho - Llegada]]="","",MARÍTIMOS[[#This Row],[Etapa Despacho - Llegada]]),"")</f>
        <v/>
      </c>
      <c r="AA536" s="11" t="str">
        <f>IFERROR(IF(MARÍTIMOS[[#This Row],[Etapa Despacho - Registro]]="","",MARÍTIMOS[[#This Row],[Etapa Despacho - Registro]]),"")</f>
        <v/>
      </c>
      <c r="AB536" s="11" t="str">
        <f>IFERROR(IF(MARÍTIMOS[[#This Row],[Inspección Externa]]="","",MARÍTIMOS[[#This Row],[Inspección Externa]]),"")</f>
        <v/>
      </c>
      <c r="AC536" s="11" t="str">
        <f>IFERROR(IF(MARÍTIMOS[[#This Row],[Etapa Despacho - Inicio de Carga]]="","",MARÍTIMOS[[#This Row],[Etapa Despacho - Inicio de Carga]]),"")</f>
        <v/>
      </c>
      <c r="AD536" s="11" t="str">
        <f>IFERROR(IF(MARÍTIMOS[[#This Row],[Etapa Despacho - Mitad de Carga]]="","",MARÍTIMOS[[#This Row],[Etapa Despacho - Mitad de Carga]]),"")</f>
        <v/>
      </c>
      <c r="AE536" s="11" t="str">
        <f>IFERROR(IF(MARÍTIMOS[[#This Row],[Etapa Despacho - Fin de Carga]]="","",MARÍTIMOS[[#This Row],[Etapa Despacho - Fin de Carga]]),"")</f>
        <v/>
      </c>
      <c r="AF536" s="2" t="str">
        <f>IFERROR(IF(MARÍTIMOS[[#This Row],[Puerto de Embarque]]="","",MARÍTIMOS[[#This Row],[Puerto de Embarque]]),"")</f>
        <v/>
      </c>
      <c r="AG536" s="2" t="str">
        <f>IFERROR(IF(MARÍTIMOS[[#This Row],[Almacén de Ingreso]]="","",MARÍTIMOS[[#This Row],[Almacén de Ingreso]]),"")</f>
        <v/>
      </c>
      <c r="AH536" s="11" t="str">
        <f>IFERROR(IF(MARÍTIMOS[[#This Row],[Etapa Ingreso - Cita]]="","",MARÍTIMOS[[#This Row],[Etapa Ingreso - Cita]]),"")</f>
        <v/>
      </c>
      <c r="AI536" s="11" t="str">
        <f>IFERROR(IF(MARÍTIMOS[[#This Row],[Etapa Ingreso - Llegada]]="","",MARÍTIMOS[[#This Row],[Etapa Ingreso - Llegada]]),"")</f>
        <v/>
      </c>
      <c r="AJ536" s="11" t="str">
        <f>IFERROR(IF(MARÍTIMOS[[#This Row],[Etapa Ingreso - Ingeso]]="","",MARÍTIMOS[[#This Row],[Etapa Ingreso - Ingeso]]),"")</f>
        <v/>
      </c>
      <c r="AK536" s="11" t="str">
        <f>IFERROR(IF(MARÍTIMOS[[#This Row],[Etapa Ingreso - Atención]]="","",MARÍTIMOS[[#This Row],[Etapa Ingreso - Atención]]),"")</f>
        <v/>
      </c>
      <c r="AL536" s="11" t="str">
        <f>IFERROR(IF(MARÍTIMOS[[#This Row],[Etapa Ingreso - Salida]]="","",MARÍTIMOS[[#This Row],[Etapa Ingreso - Salida]]),"")</f>
        <v/>
      </c>
      <c r="AM536" s="2" t="str">
        <f>IFERROR(IF(MARÍTIMOS[[#This Row],[FCL]]="","",MARÍTIMOS[[#This Row],[FCL]]),"")</f>
        <v/>
      </c>
      <c r="AN5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6" s="4" t="str" cm="1">
        <f t="array" ref="AO5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6" s="5" t="str">
        <f>IFERROR(OLDBD[[#This Row],[Llegada a packing]]-OLDBD[[#This Row],[Inicio de Ruta]],"")</f>
        <v/>
      </c>
      <c r="AQ536" s="6" t="str">
        <f>IFERROR(OLDBD[[#This Row],[Inicio de Ruta]]-OLDBD[[#This Row],[Salida de almacén de retiro]],"")</f>
        <v/>
      </c>
      <c r="AR5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6" s="8" t="str" cm="1">
        <f t="array" ref="AS5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6" s="9" t="str">
        <f>IFERROR(OLDBD[[#This Row],[Ingreso Packing]]-OLDBD[[#This Row],[Registro en Packing]],"")</f>
        <v/>
      </c>
      <c r="AV536" s="9" t="str">
        <f>IFERROR(OLDBD[[#This Row],[Ingreso Packing]]-OLDBD[[#This Row],[Llegada a packing]],"")</f>
        <v/>
      </c>
      <c r="AW5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6" s="5" t="str">
        <f>IFERROR(OLDBD[[#This Row],[Llegada Almacén de Ingreso]]-OLDBD[[#This Row],[Salida Packing]],"")</f>
        <v/>
      </c>
      <c r="AY536" s="4" t="str" cm="1">
        <f t="array" ref="AY5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6" s="43" t="s">
        <v>173</v>
      </c>
      <c r="BB536" s="47" t="str">
        <f>IFERROR(IF(MARÍTIMOS[[#This Row],[Estatus]]="","",MARÍTIMOS[[#This Row],[Estatus]]),"")</f>
        <v/>
      </c>
      <c r="BC536" s="43"/>
      <c r="BD536" s="46" t="str">
        <f>IFERROR(OLDBD[[#This Row],[Salida de almacén de retiro]]-OLDBD[[#This Row],[Ingreso Almacén de retiro]],"")</f>
        <v/>
      </c>
      <c r="BE536" s="46" t="str">
        <f>IFERROR(OLDBD[[#This Row],[Fin de Carga]]-OLDBD[[#This Row],[Inicio de Carga]],"")</f>
        <v/>
      </c>
    </row>
    <row r="537" spans="1:57" customFormat="1" hidden="1">
      <c r="A537" s="1"/>
      <c r="B537" s="1" t="str">
        <f>IFERROR(IF(MARÍTIMOS[[#This Row],[PP]]="","",MARÍTIMOS[[#This Row],[PP]]),"")</f>
        <v/>
      </c>
      <c r="C537" s="1" t="str">
        <f>IFERROR(IF(MARÍTIMOS[[#This Row],[Sede]]="","",MARÍTIMOS[[#This Row],[Sede]]),"")</f>
        <v/>
      </c>
      <c r="D537" s="1" t="str">
        <f>IFERROR(IF(MARÍTIMOS[[#This Row],[Instruction]]="","",MARÍTIMOS[[#This Row],[Instruction]]),"")</f>
        <v/>
      </c>
      <c r="E537" s="1"/>
      <c r="F537" s="2" t="str">
        <f>IFERROR(IF(MARÍTIMOS[[#This Row],[Transportista]]="","",MARÍTIMOS[[#This Row],[Transportista]]),"")</f>
        <v/>
      </c>
      <c r="G537" s="2" t="str">
        <f>IFERROR(IF(MARÍTIMOS[[#This Row],[Tercero]]="","",MARÍTIMOS[[#This Row],[Tercero]]),"")</f>
        <v/>
      </c>
      <c r="H537" s="2" t="str">
        <f>IFERROR(IF(MARÍTIMOS[[#This Row],[Razón Social]]="","",MARÍTIMOS[[#This Row],[Razón Social]]),"")</f>
        <v/>
      </c>
      <c r="I537" s="2" t="str">
        <f>IFERROR(IF(MARÍTIMOS[[#This Row],[RUC]]="","",MARÍTIMOS[[#This Row],[RUC]]),"")</f>
        <v/>
      </c>
      <c r="J537" s="2" t="str">
        <f>IFERROR(IF(MARÍTIMOS[[#This Row],[Placa Tracto]]="","",MARÍTIMOS[[#This Row],[Placa Tracto]]),"")</f>
        <v/>
      </c>
      <c r="K537" s="2" t="str">
        <f>IFERROR(IF(MARÍTIMOS[[#This Row],[Placa Carreta]]="","",MARÍTIMOS[[#This Row],[Placa Carreta]]),"")</f>
        <v/>
      </c>
      <c r="L537" s="44" t="str">
        <f>IFERROR(IF(MARÍTIMOS[[#This Row],[Conductor]]="","",MARÍTIMOS[[#This Row],[Conductor]]),"")</f>
        <v/>
      </c>
      <c r="M537" s="2" t="str">
        <f>IFERROR(IF(MARÍTIMOS[[#This Row],[Licencia]]="","",MARÍTIMOS[[#This Row],[Licencia]]),"")</f>
        <v/>
      </c>
      <c r="N537" s="2" t="str">
        <f>IFERROR(IF(MARÍTIMOS[[#This Row],[Número de Contacto]]="","",MARÍTIMOS[[#This Row],[Número de Contacto]]),"")</f>
        <v/>
      </c>
      <c r="O537" s="10" t="str">
        <f>IFERROR(IF(MARÍTIMOS[[#This Row],[Booking|AWB|CRT]]="","",MARÍTIMOS[[#This Row],[Booking|AWB|CRT]]),"")</f>
        <v/>
      </c>
      <c r="P537" s="2" t="str">
        <f>IFERROR(IF(MARÍTIMOS[[#This Row],[Contenedor]]="","",MARÍTIMOS[[#This Row],[Contenedor]]),"")</f>
        <v/>
      </c>
      <c r="Q537" s="2" t="str">
        <f>IFERROR(IF(MARÍTIMOS[[#This Row],[Puerto de Retiro]]="","",MARÍTIMOS[[#This Row],[Puerto de Retiro]]),"")</f>
        <v/>
      </c>
      <c r="R537" s="2" t="str">
        <f>IFERROR(IF(MARÍTIMOS[[#This Row],[Almacén de Retiro]]="","",MARÍTIMOS[[#This Row],[Almacén de Retiro]]),"")</f>
        <v/>
      </c>
      <c r="S537" s="11" t="str">
        <f>IFERROR(IF(MARÍTIMOS[[#This Row],[Etapa Retiro - Cita]]="","",MARÍTIMOS[[#This Row],[Etapa Retiro - Cita]]),"")</f>
        <v/>
      </c>
      <c r="T537" s="11" t="str">
        <f>IFERROR(IF(MARÍTIMOS[[#This Row],[Etapa Retiro - Llegada]]="","",MARÍTIMOS[[#This Row],[Etapa Retiro - Llegada]]),"")</f>
        <v/>
      </c>
      <c r="U537" s="11" t="str">
        <f>IFERROR(IF(MARÍTIMOS[[#This Row],[Etapa Retiro - Ingreso]]="","",MARÍTIMOS[[#This Row],[Etapa Retiro - Ingreso]]),"")</f>
        <v/>
      </c>
      <c r="V537" s="11" t="str">
        <f>IFERROR(IF(MARÍTIMOS[[#This Row],[Etapa Retiro - Atención]]="","",MARÍTIMOS[[#This Row],[Etapa Retiro - Atención]]),"")</f>
        <v/>
      </c>
      <c r="W537" s="11" t="str">
        <f>IFERROR(IF(MARÍTIMOS[[#This Row],[Etapa Retiro - Atención]]="","",MARÍTIMOS[[#This Row],[Etapa Retiro - Atención]]),"")</f>
        <v/>
      </c>
      <c r="X537" s="11" t="str">
        <f>IFERROR(IF(MARÍTIMOS[[#This Row],[Etapa Retiro - Inicio de Ruta]]="","",MARÍTIMOS[[#This Row],[Etapa Retiro - Inicio de Ruta]]),"")</f>
        <v/>
      </c>
      <c r="Y537" s="11" t="str">
        <f>IFERROR(IF(MARÍTIMOS[[#This Row],[Hora de Posicionamiento]]="","",MARÍTIMOS[[#This Row],[Fecha de Carga]]+MARÍTIMOS[[#This Row],[Hora de Posicionamiento]]),"")</f>
        <v/>
      </c>
      <c r="Z537" s="11" t="str">
        <f>IFERROR(IF(MARÍTIMOS[[#This Row],[Etapa Despacho - Llegada]]="","",MARÍTIMOS[[#This Row],[Etapa Despacho - Llegada]]),"")</f>
        <v/>
      </c>
      <c r="AA537" s="11" t="str">
        <f>IFERROR(IF(MARÍTIMOS[[#This Row],[Etapa Despacho - Registro]]="","",MARÍTIMOS[[#This Row],[Etapa Despacho - Registro]]),"")</f>
        <v/>
      </c>
      <c r="AB537" s="11" t="str">
        <f>IFERROR(IF(MARÍTIMOS[[#This Row],[Inspección Externa]]="","",MARÍTIMOS[[#This Row],[Inspección Externa]]),"")</f>
        <v/>
      </c>
      <c r="AC537" s="11" t="str">
        <f>IFERROR(IF(MARÍTIMOS[[#This Row],[Etapa Despacho - Inicio de Carga]]="","",MARÍTIMOS[[#This Row],[Etapa Despacho - Inicio de Carga]]),"")</f>
        <v/>
      </c>
      <c r="AD537" s="11" t="str">
        <f>IFERROR(IF(MARÍTIMOS[[#This Row],[Etapa Despacho - Mitad de Carga]]="","",MARÍTIMOS[[#This Row],[Etapa Despacho - Mitad de Carga]]),"")</f>
        <v/>
      </c>
      <c r="AE537" s="11" t="str">
        <f>IFERROR(IF(MARÍTIMOS[[#This Row],[Etapa Despacho - Fin de Carga]]="","",MARÍTIMOS[[#This Row],[Etapa Despacho - Fin de Carga]]),"")</f>
        <v/>
      </c>
      <c r="AF537" s="2" t="str">
        <f>IFERROR(IF(MARÍTIMOS[[#This Row],[Puerto de Embarque]]="","",MARÍTIMOS[[#This Row],[Puerto de Embarque]]),"")</f>
        <v/>
      </c>
      <c r="AG537" s="2" t="str">
        <f>IFERROR(IF(MARÍTIMOS[[#This Row],[Almacén de Ingreso]]="","",MARÍTIMOS[[#This Row],[Almacén de Ingreso]]),"")</f>
        <v/>
      </c>
      <c r="AH537" s="11" t="str">
        <f>IFERROR(IF(MARÍTIMOS[[#This Row],[Etapa Ingreso - Cita]]="","",MARÍTIMOS[[#This Row],[Etapa Ingreso - Cita]]),"")</f>
        <v/>
      </c>
      <c r="AI537" s="11" t="str">
        <f>IFERROR(IF(MARÍTIMOS[[#This Row],[Etapa Ingreso - Llegada]]="","",MARÍTIMOS[[#This Row],[Etapa Ingreso - Llegada]]),"")</f>
        <v/>
      </c>
      <c r="AJ537" s="11" t="str">
        <f>IFERROR(IF(MARÍTIMOS[[#This Row],[Etapa Ingreso - Ingeso]]="","",MARÍTIMOS[[#This Row],[Etapa Ingreso - Ingeso]]),"")</f>
        <v/>
      </c>
      <c r="AK537" s="11" t="str">
        <f>IFERROR(IF(MARÍTIMOS[[#This Row],[Etapa Ingreso - Atención]]="","",MARÍTIMOS[[#This Row],[Etapa Ingreso - Atención]]),"")</f>
        <v/>
      </c>
      <c r="AL537" s="11" t="str">
        <f>IFERROR(IF(MARÍTIMOS[[#This Row],[Etapa Ingreso - Salida]]="","",MARÍTIMOS[[#This Row],[Etapa Ingreso - Salida]]),"")</f>
        <v/>
      </c>
      <c r="AM537" s="2" t="str">
        <f>IFERROR(IF(MARÍTIMOS[[#This Row],[FCL]]="","",MARÍTIMOS[[#This Row],[FCL]]),"")</f>
        <v/>
      </c>
      <c r="AN5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7" s="4" t="str" cm="1">
        <f t="array" ref="AO5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7" s="5" t="str">
        <f>IFERROR(OLDBD[[#This Row],[Llegada a packing]]-OLDBD[[#This Row],[Inicio de Ruta]],"")</f>
        <v/>
      </c>
      <c r="AQ537" s="6" t="str">
        <f>IFERROR(OLDBD[[#This Row],[Inicio de Ruta]]-OLDBD[[#This Row],[Salida de almacén de retiro]],"")</f>
        <v/>
      </c>
      <c r="AR5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7" s="8" t="str" cm="1">
        <f t="array" ref="AS5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7" s="9" t="str">
        <f>IFERROR(OLDBD[[#This Row],[Ingreso Packing]]-OLDBD[[#This Row],[Registro en Packing]],"")</f>
        <v/>
      </c>
      <c r="AV537" s="9" t="str">
        <f>IFERROR(OLDBD[[#This Row],[Ingreso Packing]]-OLDBD[[#This Row],[Llegada a packing]],"")</f>
        <v/>
      </c>
      <c r="AW5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7" s="5" t="str">
        <f>IFERROR(OLDBD[[#This Row],[Llegada Almacén de Ingreso]]-OLDBD[[#This Row],[Salida Packing]],"")</f>
        <v/>
      </c>
      <c r="AY537" s="4" t="str" cm="1">
        <f t="array" ref="AY5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7" s="43" t="s">
        <v>173</v>
      </c>
      <c r="BB537" s="47" t="str">
        <f>IFERROR(IF(MARÍTIMOS[[#This Row],[Estatus]]="","",MARÍTIMOS[[#This Row],[Estatus]]),"")</f>
        <v/>
      </c>
      <c r="BC537" s="43"/>
      <c r="BD537" s="46" t="str">
        <f>IFERROR(OLDBD[[#This Row],[Salida de almacén de retiro]]-OLDBD[[#This Row],[Ingreso Almacén de retiro]],"")</f>
        <v/>
      </c>
      <c r="BE537" s="46" t="str">
        <f>IFERROR(OLDBD[[#This Row],[Fin de Carga]]-OLDBD[[#This Row],[Inicio de Carga]],"")</f>
        <v/>
      </c>
    </row>
    <row r="538" spans="1:57" customFormat="1" hidden="1">
      <c r="A538" s="1"/>
      <c r="B538" s="1" t="str">
        <f>IFERROR(IF(MARÍTIMOS[[#This Row],[PP]]="","",MARÍTIMOS[[#This Row],[PP]]),"")</f>
        <v/>
      </c>
      <c r="C538" s="1" t="str">
        <f>IFERROR(IF(MARÍTIMOS[[#This Row],[Sede]]="","",MARÍTIMOS[[#This Row],[Sede]]),"")</f>
        <v/>
      </c>
      <c r="D538" s="1" t="str">
        <f>IFERROR(IF(MARÍTIMOS[[#This Row],[Instruction]]="","",MARÍTIMOS[[#This Row],[Instruction]]),"")</f>
        <v/>
      </c>
      <c r="E538" s="1"/>
      <c r="F538" s="2" t="str">
        <f>IFERROR(IF(MARÍTIMOS[[#This Row],[Transportista]]="","",MARÍTIMOS[[#This Row],[Transportista]]),"")</f>
        <v/>
      </c>
      <c r="G538" s="2" t="str">
        <f>IFERROR(IF(MARÍTIMOS[[#This Row],[Tercero]]="","",MARÍTIMOS[[#This Row],[Tercero]]),"")</f>
        <v/>
      </c>
      <c r="H538" s="2" t="str">
        <f>IFERROR(IF(MARÍTIMOS[[#This Row],[Razón Social]]="","",MARÍTIMOS[[#This Row],[Razón Social]]),"")</f>
        <v/>
      </c>
      <c r="I538" s="2" t="str">
        <f>IFERROR(IF(MARÍTIMOS[[#This Row],[RUC]]="","",MARÍTIMOS[[#This Row],[RUC]]),"")</f>
        <v/>
      </c>
      <c r="J538" s="2" t="str">
        <f>IFERROR(IF(MARÍTIMOS[[#This Row],[Placa Tracto]]="","",MARÍTIMOS[[#This Row],[Placa Tracto]]),"")</f>
        <v/>
      </c>
      <c r="K538" s="2" t="str">
        <f>IFERROR(IF(MARÍTIMOS[[#This Row],[Placa Carreta]]="","",MARÍTIMOS[[#This Row],[Placa Carreta]]),"")</f>
        <v/>
      </c>
      <c r="L538" s="44" t="str">
        <f>IFERROR(IF(MARÍTIMOS[[#This Row],[Conductor]]="","",MARÍTIMOS[[#This Row],[Conductor]]),"")</f>
        <v/>
      </c>
      <c r="M538" s="2" t="str">
        <f>IFERROR(IF(MARÍTIMOS[[#This Row],[Licencia]]="","",MARÍTIMOS[[#This Row],[Licencia]]),"")</f>
        <v/>
      </c>
      <c r="N538" s="2" t="str">
        <f>IFERROR(IF(MARÍTIMOS[[#This Row],[Número de Contacto]]="","",MARÍTIMOS[[#This Row],[Número de Contacto]]),"")</f>
        <v/>
      </c>
      <c r="O538" s="10" t="str">
        <f>IFERROR(IF(MARÍTIMOS[[#This Row],[Booking|AWB|CRT]]="","",MARÍTIMOS[[#This Row],[Booking|AWB|CRT]]),"")</f>
        <v/>
      </c>
      <c r="P538" s="2" t="str">
        <f>IFERROR(IF(MARÍTIMOS[[#This Row],[Contenedor]]="","",MARÍTIMOS[[#This Row],[Contenedor]]),"")</f>
        <v/>
      </c>
      <c r="Q538" s="2" t="str">
        <f>IFERROR(IF(MARÍTIMOS[[#This Row],[Puerto de Retiro]]="","",MARÍTIMOS[[#This Row],[Puerto de Retiro]]),"")</f>
        <v/>
      </c>
      <c r="R538" s="2" t="str">
        <f>IFERROR(IF(MARÍTIMOS[[#This Row],[Almacén de Retiro]]="","",MARÍTIMOS[[#This Row],[Almacén de Retiro]]),"")</f>
        <v/>
      </c>
      <c r="S538" s="11" t="str">
        <f>IFERROR(IF(MARÍTIMOS[[#This Row],[Etapa Retiro - Cita]]="","",MARÍTIMOS[[#This Row],[Etapa Retiro - Cita]]),"")</f>
        <v/>
      </c>
      <c r="T538" s="11" t="str">
        <f>IFERROR(IF(MARÍTIMOS[[#This Row],[Etapa Retiro - Llegada]]="","",MARÍTIMOS[[#This Row],[Etapa Retiro - Llegada]]),"")</f>
        <v/>
      </c>
      <c r="U538" s="11" t="str">
        <f>IFERROR(IF(MARÍTIMOS[[#This Row],[Etapa Retiro - Ingreso]]="","",MARÍTIMOS[[#This Row],[Etapa Retiro - Ingreso]]),"")</f>
        <v/>
      </c>
      <c r="V538" s="11" t="str">
        <f>IFERROR(IF(MARÍTIMOS[[#This Row],[Etapa Retiro - Atención]]="","",MARÍTIMOS[[#This Row],[Etapa Retiro - Atención]]),"")</f>
        <v/>
      </c>
      <c r="W538" s="11" t="str">
        <f>IFERROR(IF(MARÍTIMOS[[#This Row],[Etapa Retiro - Atención]]="","",MARÍTIMOS[[#This Row],[Etapa Retiro - Atención]]),"")</f>
        <v/>
      </c>
      <c r="X538" s="11" t="str">
        <f>IFERROR(IF(MARÍTIMOS[[#This Row],[Etapa Retiro - Inicio de Ruta]]="","",MARÍTIMOS[[#This Row],[Etapa Retiro - Inicio de Ruta]]),"")</f>
        <v/>
      </c>
      <c r="Y538" s="11" t="str">
        <f>IFERROR(IF(MARÍTIMOS[[#This Row],[Hora de Posicionamiento]]="","",MARÍTIMOS[[#This Row],[Fecha de Carga]]+MARÍTIMOS[[#This Row],[Hora de Posicionamiento]]),"")</f>
        <v/>
      </c>
      <c r="Z538" s="11" t="str">
        <f>IFERROR(IF(MARÍTIMOS[[#This Row],[Etapa Despacho - Llegada]]="","",MARÍTIMOS[[#This Row],[Etapa Despacho - Llegada]]),"")</f>
        <v/>
      </c>
      <c r="AA538" s="11" t="str">
        <f>IFERROR(IF(MARÍTIMOS[[#This Row],[Etapa Despacho - Registro]]="","",MARÍTIMOS[[#This Row],[Etapa Despacho - Registro]]),"")</f>
        <v/>
      </c>
      <c r="AB538" s="11" t="str">
        <f>IFERROR(IF(MARÍTIMOS[[#This Row],[Inspección Externa]]="","",MARÍTIMOS[[#This Row],[Inspección Externa]]),"")</f>
        <v/>
      </c>
      <c r="AC538" s="11" t="str">
        <f>IFERROR(IF(MARÍTIMOS[[#This Row],[Etapa Despacho - Inicio de Carga]]="","",MARÍTIMOS[[#This Row],[Etapa Despacho - Inicio de Carga]]),"")</f>
        <v/>
      </c>
      <c r="AD538" s="11" t="str">
        <f>IFERROR(IF(MARÍTIMOS[[#This Row],[Etapa Despacho - Mitad de Carga]]="","",MARÍTIMOS[[#This Row],[Etapa Despacho - Mitad de Carga]]),"")</f>
        <v/>
      </c>
      <c r="AE538" s="11" t="str">
        <f>IFERROR(IF(MARÍTIMOS[[#This Row],[Etapa Despacho - Fin de Carga]]="","",MARÍTIMOS[[#This Row],[Etapa Despacho - Fin de Carga]]),"")</f>
        <v/>
      </c>
      <c r="AF538" s="2" t="str">
        <f>IFERROR(IF(MARÍTIMOS[[#This Row],[Puerto de Embarque]]="","",MARÍTIMOS[[#This Row],[Puerto de Embarque]]),"")</f>
        <v/>
      </c>
      <c r="AG538" s="2" t="str">
        <f>IFERROR(IF(MARÍTIMOS[[#This Row],[Almacén de Ingreso]]="","",MARÍTIMOS[[#This Row],[Almacén de Ingreso]]),"")</f>
        <v/>
      </c>
      <c r="AH538" s="11" t="str">
        <f>IFERROR(IF(MARÍTIMOS[[#This Row],[Etapa Ingreso - Cita]]="","",MARÍTIMOS[[#This Row],[Etapa Ingreso - Cita]]),"")</f>
        <v/>
      </c>
      <c r="AI538" s="11" t="str">
        <f>IFERROR(IF(MARÍTIMOS[[#This Row],[Etapa Ingreso - Llegada]]="","",MARÍTIMOS[[#This Row],[Etapa Ingreso - Llegada]]),"")</f>
        <v/>
      </c>
      <c r="AJ538" s="11" t="str">
        <f>IFERROR(IF(MARÍTIMOS[[#This Row],[Etapa Ingreso - Ingeso]]="","",MARÍTIMOS[[#This Row],[Etapa Ingreso - Ingeso]]),"")</f>
        <v/>
      </c>
      <c r="AK538" s="11" t="str">
        <f>IFERROR(IF(MARÍTIMOS[[#This Row],[Etapa Ingreso - Atención]]="","",MARÍTIMOS[[#This Row],[Etapa Ingreso - Atención]]),"")</f>
        <v/>
      </c>
      <c r="AL538" s="11" t="str">
        <f>IFERROR(IF(MARÍTIMOS[[#This Row],[Etapa Ingreso - Salida]]="","",MARÍTIMOS[[#This Row],[Etapa Ingreso - Salida]]),"")</f>
        <v/>
      </c>
      <c r="AM538" s="2" t="str">
        <f>IFERROR(IF(MARÍTIMOS[[#This Row],[FCL]]="","",MARÍTIMOS[[#This Row],[FCL]]),"")</f>
        <v/>
      </c>
      <c r="AN5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8" s="4" t="str" cm="1">
        <f t="array" ref="AO5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8" s="5" t="str">
        <f>IFERROR(OLDBD[[#This Row],[Llegada a packing]]-OLDBD[[#This Row],[Inicio de Ruta]],"")</f>
        <v/>
      </c>
      <c r="AQ538" s="6" t="str">
        <f>IFERROR(OLDBD[[#This Row],[Inicio de Ruta]]-OLDBD[[#This Row],[Salida de almacén de retiro]],"")</f>
        <v/>
      </c>
      <c r="AR5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8" s="8" t="str" cm="1">
        <f t="array" ref="AS5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8" s="9" t="str">
        <f>IFERROR(OLDBD[[#This Row],[Ingreso Packing]]-OLDBD[[#This Row],[Registro en Packing]],"")</f>
        <v/>
      </c>
      <c r="AV538" s="9" t="str">
        <f>IFERROR(OLDBD[[#This Row],[Ingreso Packing]]-OLDBD[[#This Row],[Llegada a packing]],"")</f>
        <v/>
      </c>
      <c r="AW5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8" s="5" t="str">
        <f>IFERROR(OLDBD[[#This Row],[Llegada Almacén de Ingreso]]-OLDBD[[#This Row],[Salida Packing]],"")</f>
        <v/>
      </c>
      <c r="AY538" s="4" t="str" cm="1">
        <f t="array" ref="AY5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8" s="43" t="s">
        <v>173</v>
      </c>
      <c r="BB538" s="47" t="str">
        <f>IFERROR(IF(MARÍTIMOS[[#This Row],[Estatus]]="","",MARÍTIMOS[[#This Row],[Estatus]]),"")</f>
        <v/>
      </c>
      <c r="BC538" s="43"/>
      <c r="BD538" s="46" t="str">
        <f>IFERROR(OLDBD[[#This Row],[Salida de almacén de retiro]]-OLDBD[[#This Row],[Ingreso Almacén de retiro]],"")</f>
        <v/>
      </c>
      <c r="BE538" s="46" t="str">
        <f>IFERROR(OLDBD[[#This Row],[Fin de Carga]]-OLDBD[[#This Row],[Inicio de Carga]],"")</f>
        <v/>
      </c>
    </row>
    <row r="539" spans="1:57" customFormat="1" hidden="1">
      <c r="A539" s="1"/>
      <c r="B539" s="1" t="str">
        <f>IFERROR(IF(MARÍTIMOS[[#This Row],[PP]]="","",MARÍTIMOS[[#This Row],[PP]]),"")</f>
        <v/>
      </c>
      <c r="C539" s="1" t="str">
        <f>IFERROR(IF(MARÍTIMOS[[#This Row],[Sede]]="","",MARÍTIMOS[[#This Row],[Sede]]),"")</f>
        <v/>
      </c>
      <c r="D539" s="1" t="str">
        <f>IFERROR(IF(MARÍTIMOS[[#This Row],[Instruction]]="","",MARÍTIMOS[[#This Row],[Instruction]]),"")</f>
        <v/>
      </c>
      <c r="E539" s="1"/>
      <c r="F539" s="2" t="str">
        <f>IFERROR(IF(MARÍTIMOS[[#This Row],[Transportista]]="","",MARÍTIMOS[[#This Row],[Transportista]]),"")</f>
        <v/>
      </c>
      <c r="G539" s="2" t="str">
        <f>IFERROR(IF(MARÍTIMOS[[#This Row],[Tercero]]="","",MARÍTIMOS[[#This Row],[Tercero]]),"")</f>
        <v/>
      </c>
      <c r="H539" s="2" t="str">
        <f>IFERROR(IF(MARÍTIMOS[[#This Row],[Razón Social]]="","",MARÍTIMOS[[#This Row],[Razón Social]]),"")</f>
        <v/>
      </c>
      <c r="I539" s="2" t="str">
        <f>IFERROR(IF(MARÍTIMOS[[#This Row],[RUC]]="","",MARÍTIMOS[[#This Row],[RUC]]),"")</f>
        <v/>
      </c>
      <c r="J539" s="2" t="str">
        <f>IFERROR(IF(MARÍTIMOS[[#This Row],[Placa Tracto]]="","",MARÍTIMOS[[#This Row],[Placa Tracto]]),"")</f>
        <v/>
      </c>
      <c r="K539" s="2" t="str">
        <f>IFERROR(IF(MARÍTIMOS[[#This Row],[Placa Carreta]]="","",MARÍTIMOS[[#This Row],[Placa Carreta]]),"")</f>
        <v/>
      </c>
      <c r="L539" s="44" t="str">
        <f>IFERROR(IF(MARÍTIMOS[[#This Row],[Conductor]]="","",MARÍTIMOS[[#This Row],[Conductor]]),"")</f>
        <v/>
      </c>
      <c r="M539" s="2" t="str">
        <f>IFERROR(IF(MARÍTIMOS[[#This Row],[Licencia]]="","",MARÍTIMOS[[#This Row],[Licencia]]),"")</f>
        <v/>
      </c>
      <c r="N539" s="2" t="str">
        <f>IFERROR(IF(MARÍTIMOS[[#This Row],[Número de Contacto]]="","",MARÍTIMOS[[#This Row],[Número de Contacto]]),"")</f>
        <v/>
      </c>
      <c r="O539" s="10" t="str">
        <f>IFERROR(IF(MARÍTIMOS[[#This Row],[Booking|AWB|CRT]]="","",MARÍTIMOS[[#This Row],[Booking|AWB|CRT]]),"")</f>
        <v/>
      </c>
      <c r="P539" s="2" t="str">
        <f>IFERROR(IF(MARÍTIMOS[[#This Row],[Contenedor]]="","",MARÍTIMOS[[#This Row],[Contenedor]]),"")</f>
        <v/>
      </c>
      <c r="Q539" s="2" t="str">
        <f>IFERROR(IF(MARÍTIMOS[[#This Row],[Puerto de Retiro]]="","",MARÍTIMOS[[#This Row],[Puerto de Retiro]]),"")</f>
        <v/>
      </c>
      <c r="R539" s="2" t="str">
        <f>IFERROR(IF(MARÍTIMOS[[#This Row],[Almacén de Retiro]]="","",MARÍTIMOS[[#This Row],[Almacén de Retiro]]),"")</f>
        <v/>
      </c>
      <c r="S539" s="11" t="str">
        <f>IFERROR(IF(MARÍTIMOS[[#This Row],[Etapa Retiro - Cita]]="","",MARÍTIMOS[[#This Row],[Etapa Retiro - Cita]]),"")</f>
        <v/>
      </c>
      <c r="T539" s="11" t="str">
        <f>IFERROR(IF(MARÍTIMOS[[#This Row],[Etapa Retiro - Llegada]]="","",MARÍTIMOS[[#This Row],[Etapa Retiro - Llegada]]),"")</f>
        <v/>
      </c>
      <c r="U539" s="11" t="str">
        <f>IFERROR(IF(MARÍTIMOS[[#This Row],[Etapa Retiro - Ingreso]]="","",MARÍTIMOS[[#This Row],[Etapa Retiro - Ingreso]]),"")</f>
        <v/>
      </c>
      <c r="V539" s="11" t="str">
        <f>IFERROR(IF(MARÍTIMOS[[#This Row],[Etapa Retiro - Atención]]="","",MARÍTIMOS[[#This Row],[Etapa Retiro - Atención]]),"")</f>
        <v/>
      </c>
      <c r="W539" s="11" t="str">
        <f>IFERROR(IF(MARÍTIMOS[[#This Row],[Etapa Retiro - Atención]]="","",MARÍTIMOS[[#This Row],[Etapa Retiro - Atención]]),"")</f>
        <v/>
      </c>
      <c r="X539" s="11" t="str">
        <f>IFERROR(IF(MARÍTIMOS[[#This Row],[Etapa Retiro - Inicio de Ruta]]="","",MARÍTIMOS[[#This Row],[Etapa Retiro - Inicio de Ruta]]),"")</f>
        <v/>
      </c>
      <c r="Y539" s="11" t="str">
        <f>IFERROR(IF(MARÍTIMOS[[#This Row],[Hora de Posicionamiento]]="","",MARÍTIMOS[[#This Row],[Fecha de Carga]]+MARÍTIMOS[[#This Row],[Hora de Posicionamiento]]),"")</f>
        <v/>
      </c>
      <c r="Z539" s="11" t="str">
        <f>IFERROR(IF(MARÍTIMOS[[#This Row],[Etapa Despacho - Llegada]]="","",MARÍTIMOS[[#This Row],[Etapa Despacho - Llegada]]),"")</f>
        <v/>
      </c>
      <c r="AA539" s="11" t="str">
        <f>IFERROR(IF(MARÍTIMOS[[#This Row],[Etapa Despacho - Registro]]="","",MARÍTIMOS[[#This Row],[Etapa Despacho - Registro]]),"")</f>
        <v/>
      </c>
      <c r="AB539" s="11" t="str">
        <f>IFERROR(IF(MARÍTIMOS[[#This Row],[Inspección Externa]]="","",MARÍTIMOS[[#This Row],[Inspección Externa]]),"")</f>
        <v/>
      </c>
      <c r="AC539" s="11" t="str">
        <f>IFERROR(IF(MARÍTIMOS[[#This Row],[Etapa Despacho - Inicio de Carga]]="","",MARÍTIMOS[[#This Row],[Etapa Despacho - Inicio de Carga]]),"")</f>
        <v/>
      </c>
      <c r="AD539" s="11" t="str">
        <f>IFERROR(IF(MARÍTIMOS[[#This Row],[Etapa Despacho - Mitad de Carga]]="","",MARÍTIMOS[[#This Row],[Etapa Despacho - Mitad de Carga]]),"")</f>
        <v/>
      </c>
      <c r="AE539" s="11" t="str">
        <f>IFERROR(IF(MARÍTIMOS[[#This Row],[Etapa Despacho - Fin de Carga]]="","",MARÍTIMOS[[#This Row],[Etapa Despacho - Fin de Carga]]),"")</f>
        <v/>
      </c>
      <c r="AF539" s="2" t="str">
        <f>IFERROR(IF(MARÍTIMOS[[#This Row],[Puerto de Embarque]]="","",MARÍTIMOS[[#This Row],[Puerto de Embarque]]),"")</f>
        <v/>
      </c>
      <c r="AG539" s="2" t="str">
        <f>IFERROR(IF(MARÍTIMOS[[#This Row],[Almacén de Ingreso]]="","",MARÍTIMOS[[#This Row],[Almacén de Ingreso]]),"")</f>
        <v/>
      </c>
      <c r="AH539" s="11" t="str">
        <f>IFERROR(IF(MARÍTIMOS[[#This Row],[Etapa Ingreso - Cita]]="","",MARÍTIMOS[[#This Row],[Etapa Ingreso - Cita]]),"")</f>
        <v/>
      </c>
      <c r="AI539" s="11" t="str">
        <f>IFERROR(IF(MARÍTIMOS[[#This Row],[Etapa Ingreso - Llegada]]="","",MARÍTIMOS[[#This Row],[Etapa Ingreso - Llegada]]),"")</f>
        <v/>
      </c>
      <c r="AJ539" s="11" t="str">
        <f>IFERROR(IF(MARÍTIMOS[[#This Row],[Etapa Ingreso - Ingeso]]="","",MARÍTIMOS[[#This Row],[Etapa Ingreso - Ingeso]]),"")</f>
        <v/>
      </c>
      <c r="AK539" s="11" t="str">
        <f>IFERROR(IF(MARÍTIMOS[[#This Row],[Etapa Ingreso - Atención]]="","",MARÍTIMOS[[#This Row],[Etapa Ingreso - Atención]]),"")</f>
        <v/>
      </c>
      <c r="AL539" s="11" t="str">
        <f>IFERROR(IF(MARÍTIMOS[[#This Row],[Etapa Ingreso - Salida]]="","",MARÍTIMOS[[#This Row],[Etapa Ingreso - Salida]]),"")</f>
        <v/>
      </c>
      <c r="AM539" s="2" t="str">
        <f>IFERROR(IF(MARÍTIMOS[[#This Row],[FCL]]="","",MARÍTIMOS[[#This Row],[FCL]]),"")</f>
        <v/>
      </c>
      <c r="AN5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39" s="4" t="str" cm="1">
        <f t="array" ref="AO5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39" s="5" t="str">
        <f>IFERROR(OLDBD[[#This Row],[Llegada a packing]]-OLDBD[[#This Row],[Inicio de Ruta]],"")</f>
        <v/>
      </c>
      <c r="AQ539" s="6" t="str">
        <f>IFERROR(OLDBD[[#This Row],[Inicio de Ruta]]-OLDBD[[#This Row],[Salida de almacén de retiro]],"")</f>
        <v/>
      </c>
      <c r="AR5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39" s="8" t="str" cm="1">
        <f t="array" ref="AS5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39" s="9" t="str">
        <f>IFERROR(OLDBD[[#This Row],[Ingreso Packing]]-OLDBD[[#This Row],[Registro en Packing]],"")</f>
        <v/>
      </c>
      <c r="AV539" s="9" t="str">
        <f>IFERROR(OLDBD[[#This Row],[Ingreso Packing]]-OLDBD[[#This Row],[Llegada a packing]],"")</f>
        <v/>
      </c>
      <c r="AW5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39" s="5" t="str">
        <f>IFERROR(OLDBD[[#This Row],[Llegada Almacén de Ingreso]]-OLDBD[[#This Row],[Salida Packing]],"")</f>
        <v/>
      </c>
      <c r="AY539" s="4" t="str" cm="1">
        <f t="array" ref="AY5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39" s="43" t="s">
        <v>173</v>
      </c>
      <c r="BB539" s="47" t="str">
        <f>IFERROR(IF(MARÍTIMOS[[#This Row],[Estatus]]="","",MARÍTIMOS[[#This Row],[Estatus]]),"")</f>
        <v/>
      </c>
      <c r="BC539" s="43"/>
      <c r="BD539" s="46" t="str">
        <f>IFERROR(OLDBD[[#This Row],[Salida de almacén de retiro]]-OLDBD[[#This Row],[Ingreso Almacén de retiro]],"")</f>
        <v/>
      </c>
      <c r="BE539" s="46" t="str">
        <f>IFERROR(OLDBD[[#This Row],[Fin de Carga]]-OLDBD[[#This Row],[Inicio de Carga]],"")</f>
        <v/>
      </c>
    </row>
    <row r="540" spans="1:57" customFormat="1" hidden="1">
      <c r="A540" s="1"/>
      <c r="B540" s="1" t="str">
        <f>IFERROR(IF(MARÍTIMOS[[#This Row],[PP]]="","",MARÍTIMOS[[#This Row],[PP]]),"")</f>
        <v/>
      </c>
      <c r="C540" s="1" t="str">
        <f>IFERROR(IF(MARÍTIMOS[[#This Row],[Sede]]="","",MARÍTIMOS[[#This Row],[Sede]]),"")</f>
        <v/>
      </c>
      <c r="D540" s="1" t="str">
        <f>IFERROR(IF(MARÍTIMOS[[#This Row],[Instruction]]="","",MARÍTIMOS[[#This Row],[Instruction]]),"")</f>
        <v/>
      </c>
      <c r="E540" s="1"/>
      <c r="F540" s="2" t="str">
        <f>IFERROR(IF(MARÍTIMOS[[#This Row],[Transportista]]="","",MARÍTIMOS[[#This Row],[Transportista]]),"")</f>
        <v/>
      </c>
      <c r="G540" s="2" t="str">
        <f>IFERROR(IF(MARÍTIMOS[[#This Row],[Tercero]]="","",MARÍTIMOS[[#This Row],[Tercero]]),"")</f>
        <v/>
      </c>
      <c r="H540" s="2" t="str">
        <f>IFERROR(IF(MARÍTIMOS[[#This Row],[Razón Social]]="","",MARÍTIMOS[[#This Row],[Razón Social]]),"")</f>
        <v/>
      </c>
      <c r="I540" s="2" t="str">
        <f>IFERROR(IF(MARÍTIMOS[[#This Row],[RUC]]="","",MARÍTIMOS[[#This Row],[RUC]]),"")</f>
        <v/>
      </c>
      <c r="J540" s="2" t="str">
        <f>IFERROR(IF(MARÍTIMOS[[#This Row],[Placa Tracto]]="","",MARÍTIMOS[[#This Row],[Placa Tracto]]),"")</f>
        <v/>
      </c>
      <c r="K540" s="2" t="str">
        <f>IFERROR(IF(MARÍTIMOS[[#This Row],[Placa Carreta]]="","",MARÍTIMOS[[#This Row],[Placa Carreta]]),"")</f>
        <v/>
      </c>
      <c r="L540" s="44" t="str">
        <f>IFERROR(IF(MARÍTIMOS[[#This Row],[Conductor]]="","",MARÍTIMOS[[#This Row],[Conductor]]),"")</f>
        <v/>
      </c>
      <c r="M540" s="2" t="str">
        <f>IFERROR(IF(MARÍTIMOS[[#This Row],[Licencia]]="","",MARÍTIMOS[[#This Row],[Licencia]]),"")</f>
        <v/>
      </c>
      <c r="N540" s="2" t="str">
        <f>IFERROR(IF(MARÍTIMOS[[#This Row],[Número de Contacto]]="","",MARÍTIMOS[[#This Row],[Número de Contacto]]),"")</f>
        <v/>
      </c>
      <c r="O540" s="10" t="str">
        <f>IFERROR(IF(MARÍTIMOS[[#This Row],[Booking|AWB|CRT]]="","",MARÍTIMOS[[#This Row],[Booking|AWB|CRT]]),"")</f>
        <v/>
      </c>
      <c r="P540" s="2" t="str">
        <f>IFERROR(IF(MARÍTIMOS[[#This Row],[Contenedor]]="","",MARÍTIMOS[[#This Row],[Contenedor]]),"")</f>
        <v/>
      </c>
      <c r="Q540" s="2" t="str">
        <f>IFERROR(IF(MARÍTIMOS[[#This Row],[Puerto de Retiro]]="","",MARÍTIMOS[[#This Row],[Puerto de Retiro]]),"")</f>
        <v/>
      </c>
      <c r="R540" s="2" t="str">
        <f>IFERROR(IF(MARÍTIMOS[[#This Row],[Almacén de Retiro]]="","",MARÍTIMOS[[#This Row],[Almacén de Retiro]]),"")</f>
        <v/>
      </c>
      <c r="S540" s="11" t="str">
        <f>IFERROR(IF(MARÍTIMOS[[#This Row],[Etapa Retiro - Cita]]="","",MARÍTIMOS[[#This Row],[Etapa Retiro - Cita]]),"")</f>
        <v/>
      </c>
      <c r="T540" s="11" t="str">
        <f>IFERROR(IF(MARÍTIMOS[[#This Row],[Etapa Retiro - Llegada]]="","",MARÍTIMOS[[#This Row],[Etapa Retiro - Llegada]]),"")</f>
        <v/>
      </c>
      <c r="U540" s="11" t="str">
        <f>IFERROR(IF(MARÍTIMOS[[#This Row],[Etapa Retiro - Ingreso]]="","",MARÍTIMOS[[#This Row],[Etapa Retiro - Ingreso]]),"")</f>
        <v/>
      </c>
      <c r="V540" s="11" t="str">
        <f>IFERROR(IF(MARÍTIMOS[[#This Row],[Etapa Retiro - Atención]]="","",MARÍTIMOS[[#This Row],[Etapa Retiro - Atención]]),"")</f>
        <v/>
      </c>
      <c r="W540" s="11" t="str">
        <f>IFERROR(IF(MARÍTIMOS[[#This Row],[Etapa Retiro - Atención]]="","",MARÍTIMOS[[#This Row],[Etapa Retiro - Atención]]),"")</f>
        <v/>
      </c>
      <c r="X540" s="11" t="str">
        <f>IFERROR(IF(MARÍTIMOS[[#This Row],[Etapa Retiro - Inicio de Ruta]]="","",MARÍTIMOS[[#This Row],[Etapa Retiro - Inicio de Ruta]]),"")</f>
        <v/>
      </c>
      <c r="Y540" s="11" t="str">
        <f>IFERROR(IF(MARÍTIMOS[[#This Row],[Hora de Posicionamiento]]="","",MARÍTIMOS[[#This Row],[Fecha de Carga]]+MARÍTIMOS[[#This Row],[Hora de Posicionamiento]]),"")</f>
        <v/>
      </c>
      <c r="Z540" s="11" t="str">
        <f>IFERROR(IF(MARÍTIMOS[[#This Row],[Etapa Despacho - Llegada]]="","",MARÍTIMOS[[#This Row],[Etapa Despacho - Llegada]]),"")</f>
        <v/>
      </c>
      <c r="AA540" s="11" t="str">
        <f>IFERROR(IF(MARÍTIMOS[[#This Row],[Etapa Despacho - Registro]]="","",MARÍTIMOS[[#This Row],[Etapa Despacho - Registro]]),"")</f>
        <v/>
      </c>
      <c r="AB540" s="11" t="str">
        <f>IFERROR(IF(MARÍTIMOS[[#This Row],[Inspección Externa]]="","",MARÍTIMOS[[#This Row],[Inspección Externa]]),"")</f>
        <v/>
      </c>
      <c r="AC540" s="11" t="str">
        <f>IFERROR(IF(MARÍTIMOS[[#This Row],[Etapa Despacho - Inicio de Carga]]="","",MARÍTIMOS[[#This Row],[Etapa Despacho - Inicio de Carga]]),"")</f>
        <v/>
      </c>
      <c r="AD540" s="11" t="str">
        <f>IFERROR(IF(MARÍTIMOS[[#This Row],[Etapa Despacho - Mitad de Carga]]="","",MARÍTIMOS[[#This Row],[Etapa Despacho - Mitad de Carga]]),"")</f>
        <v/>
      </c>
      <c r="AE540" s="11" t="str">
        <f>IFERROR(IF(MARÍTIMOS[[#This Row],[Etapa Despacho - Fin de Carga]]="","",MARÍTIMOS[[#This Row],[Etapa Despacho - Fin de Carga]]),"")</f>
        <v/>
      </c>
      <c r="AF540" s="2" t="str">
        <f>IFERROR(IF(MARÍTIMOS[[#This Row],[Puerto de Embarque]]="","",MARÍTIMOS[[#This Row],[Puerto de Embarque]]),"")</f>
        <v/>
      </c>
      <c r="AG540" s="2" t="str">
        <f>IFERROR(IF(MARÍTIMOS[[#This Row],[Almacén de Ingreso]]="","",MARÍTIMOS[[#This Row],[Almacén de Ingreso]]),"")</f>
        <v/>
      </c>
      <c r="AH540" s="11" t="str">
        <f>IFERROR(IF(MARÍTIMOS[[#This Row],[Etapa Ingreso - Cita]]="","",MARÍTIMOS[[#This Row],[Etapa Ingreso - Cita]]),"")</f>
        <v/>
      </c>
      <c r="AI540" s="11" t="str">
        <f>IFERROR(IF(MARÍTIMOS[[#This Row],[Etapa Ingreso - Llegada]]="","",MARÍTIMOS[[#This Row],[Etapa Ingreso - Llegada]]),"")</f>
        <v/>
      </c>
      <c r="AJ540" s="11" t="str">
        <f>IFERROR(IF(MARÍTIMOS[[#This Row],[Etapa Ingreso - Ingeso]]="","",MARÍTIMOS[[#This Row],[Etapa Ingreso - Ingeso]]),"")</f>
        <v/>
      </c>
      <c r="AK540" s="11" t="str">
        <f>IFERROR(IF(MARÍTIMOS[[#This Row],[Etapa Ingreso - Atención]]="","",MARÍTIMOS[[#This Row],[Etapa Ingreso - Atención]]),"")</f>
        <v/>
      </c>
      <c r="AL540" s="11" t="str">
        <f>IFERROR(IF(MARÍTIMOS[[#This Row],[Etapa Ingreso - Salida]]="","",MARÍTIMOS[[#This Row],[Etapa Ingreso - Salida]]),"")</f>
        <v/>
      </c>
      <c r="AM540" s="2" t="str">
        <f>IFERROR(IF(MARÍTIMOS[[#This Row],[FCL]]="","",MARÍTIMOS[[#This Row],[FCL]]),"")</f>
        <v/>
      </c>
      <c r="AN5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0" s="4" t="str" cm="1">
        <f t="array" ref="AO5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0" s="5" t="str">
        <f>IFERROR(OLDBD[[#This Row],[Llegada a packing]]-OLDBD[[#This Row],[Inicio de Ruta]],"")</f>
        <v/>
      </c>
      <c r="AQ540" s="6" t="str">
        <f>IFERROR(OLDBD[[#This Row],[Inicio de Ruta]]-OLDBD[[#This Row],[Salida de almacén de retiro]],"")</f>
        <v/>
      </c>
      <c r="AR5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0" s="8" t="str" cm="1">
        <f t="array" ref="AS5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0" s="9" t="str">
        <f>IFERROR(OLDBD[[#This Row],[Ingreso Packing]]-OLDBD[[#This Row],[Registro en Packing]],"")</f>
        <v/>
      </c>
      <c r="AV540" s="9" t="str">
        <f>IFERROR(OLDBD[[#This Row],[Ingreso Packing]]-OLDBD[[#This Row],[Llegada a packing]],"")</f>
        <v/>
      </c>
      <c r="AW5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0" s="5" t="str">
        <f>IFERROR(OLDBD[[#This Row],[Llegada Almacén de Ingreso]]-OLDBD[[#This Row],[Salida Packing]],"")</f>
        <v/>
      </c>
      <c r="AY540" s="4" t="str" cm="1">
        <f t="array" ref="AY5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0" s="43" t="s">
        <v>173</v>
      </c>
      <c r="BB540" s="47" t="str">
        <f>IFERROR(IF(MARÍTIMOS[[#This Row],[Estatus]]="","",MARÍTIMOS[[#This Row],[Estatus]]),"")</f>
        <v/>
      </c>
      <c r="BC540" s="43"/>
      <c r="BD540" s="46" t="str">
        <f>IFERROR(OLDBD[[#This Row],[Salida de almacén de retiro]]-OLDBD[[#This Row],[Ingreso Almacén de retiro]],"")</f>
        <v/>
      </c>
      <c r="BE540" s="46" t="str">
        <f>IFERROR(OLDBD[[#This Row],[Fin de Carga]]-OLDBD[[#This Row],[Inicio de Carga]],"")</f>
        <v/>
      </c>
    </row>
    <row r="541" spans="1:57" customFormat="1" hidden="1">
      <c r="A541" s="1"/>
      <c r="B541" s="1" t="str">
        <f>IFERROR(IF(MARÍTIMOS[[#This Row],[PP]]="","",MARÍTIMOS[[#This Row],[PP]]),"")</f>
        <v/>
      </c>
      <c r="C541" s="1" t="str">
        <f>IFERROR(IF(MARÍTIMOS[[#This Row],[Sede]]="","",MARÍTIMOS[[#This Row],[Sede]]),"")</f>
        <v/>
      </c>
      <c r="D541" s="1" t="str">
        <f>IFERROR(IF(MARÍTIMOS[[#This Row],[Instruction]]="","",MARÍTIMOS[[#This Row],[Instruction]]),"")</f>
        <v/>
      </c>
      <c r="E541" s="1"/>
      <c r="F541" s="2" t="str">
        <f>IFERROR(IF(MARÍTIMOS[[#This Row],[Transportista]]="","",MARÍTIMOS[[#This Row],[Transportista]]),"")</f>
        <v/>
      </c>
      <c r="G541" s="2" t="str">
        <f>IFERROR(IF(MARÍTIMOS[[#This Row],[Tercero]]="","",MARÍTIMOS[[#This Row],[Tercero]]),"")</f>
        <v/>
      </c>
      <c r="H541" s="2" t="str">
        <f>IFERROR(IF(MARÍTIMOS[[#This Row],[Razón Social]]="","",MARÍTIMOS[[#This Row],[Razón Social]]),"")</f>
        <v/>
      </c>
      <c r="I541" s="2" t="str">
        <f>IFERROR(IF(MARÍTIMOS[[#This Row],[RUC]]="","",MARÍTIMOS[[#This Row],[RUC]]),"")</f>
        <v/>
      </c>
      <c r="J541" s="2" t="str">
        <f>IFERROR(IF(MARÍTIMOS[[#This Row],[Placa Tracto]]="","",MARÍTIMOS[[#This Row],[Placa Tracto]]),"")</f>
        <v/>
      </c>
      <c r="K541" s="2" t="str">
        <f>IFERROR(IF(MARÍTIMOS[[#This Row],[Placa Carreta]]="","",MARÍTIMOS[[#This Row],[Placa Carreta]]),"")</f>
        <v/>
      </c>
      <c r="L541" s="44" t="str">
        <f>IFERROR(IF(MARÍTIMOS[[#This Row],[Conductor]]="","",MARÍTIMOS[[#This Row],[Conductor]]),"")</f>
        <v/>
      </c>
      <c r="M541" s="2" t="str">
        <f>IFERROR(IF(MARÍTIMOS[[#This Row],[Licencia]]="","",MARÍTIMOS[[#This Row],[Licencia]]),"")</f>
        <v/>
      </c>
      <c r="N541" s="2" t="str">
        <f>IFERROR(IF(MARÍTIMOS[[#This Row],[Número de Contacto]]="","",MARÍTIMOS[[#This Row],[Número de Contacto]]),"")</f>
        <v/>
      </c>
      <c r="O541" s="10" t="str">
        <f>IFERROR(IF(MARÍTIMOS[[#This Row],[Booking|AWB|CRT]]="","",MARÍTIMOS[[#This Row],[Booking|AWB|CRT]]),"")</f>
        <v/>
      </c>
      <c r="P541" s="2" t="str">
        <f>IFERROR(IF(MARÍTIMOS[[#This Row],[Contenedor]]="","",MARÍTIMOS[[#This Row],[Contenedor]]),"")</f>
        <v/>
      </c>
      <c r="Q541" s="2" t="str">
        <f>IFERROR(IF(MARÍTIMOS[[#This Row],[Puerto de Retiro]]="","",MARÍTIMOS[[#This Row],[Puerto de Retiro]]),"")</f>
        <v/>
      </c>
      <c r="R541" s="2" t="str">
        <f>IFERROR(IF(MARÍTIMOS[[#This Row],[Almacén de Retiro]]="","",MARÍTIMOS[[#This Row],[Almacén de Retiro]]),"")</f>
        <v/>
      </c>
      <c r="S541" s="11" t="str">
        <f>IFERROR(IF(MARÍTIMOS[[#This Row],[Etapa Retiro - Cita]]="","",MARÍTIMOS[[#This Row],[Etapa Retiro - Cita]]),"")</f>
        <v/>
      </c>
      <c r="T541" s="11" t="str">
        <f>IFERROR(IF(MARÍTIMOS[[#This Row],[Etapa Retiro - Llegada]]="","",MARÍTIMOS[[#This Row],[Etapa Retiro - Llegada]]),"")</f>
        <v/>
      </c>
      <c r="U541" s="11" t="str">
        <f>IFERROR(IF(MARÍTIMOS[[#This Row],[Etapa Retiro - Ingreso]]="","",MARÍTIMOS[[#This Row],[Etapa Retiro - Ingreso]]),"")</f>
        <v/>
      </c>
      <c r="V541" s="11" t="str">
        <f>IFERROR(IF(MARÍTIMOS[[#This Row],[Etapa Retiro - Atención]]="","",MARÍTIMOS[[#This Row],[Etapa Retiro - Atención]]),"")</f>
        <v/>
      </c>
      <c r="W541" s="11" t="str">
        <f>IFERROR(IF(MARÍTIMOS[[#This Row],[Etapa Retiro - Atención]]="","",MARÍTIMOS[[#This Row],[Etapa Retiro - Atención]]),"")</f>
        <v/>
      </c>
      <c r="X541" s="11" t="str">
        <f>IFERROR(IF(MARÍTIMOS[[#This Row],[Etapa Retiro - Inicio de Ruta]]="","",MARÍTIMOS[[#This Row],[Etapa Retiro - Inicio de Ruta]]),"")</f>
        <v/>
      </c>
      <c r="Y541" s="11" t="str">
        <f>IFERROR(IF(MARÍTIMOS[[#This Row],[Hora de Posicionamiento]]="","",MARÍTIMOS[[#This Row],[Fecha de Carga]]+MARÍTIMOS[[#This Row],[Hora de Posicionamiento]]),"")</f>
        <v/>
      </c>
      <c r="Z541" s="11" t="str">
        <f>IFERROR(IF(MARÍTIMOS[[#This Row],[Etapa Despacho - Llegada]]="","",MARÍTIMOS[[#This Row],[Etapa Despacho - Llegada]]),"")</f>
        <v/>
      </c>
      <c r="AA541" s="11" t="str">
        <f>IFERROR(IF(MARÍTIMOS[[#This Row],[Etapa Despacho - Registro]]="","",MARÍTIMOS[[#This Row],[Etapa Despacho - Registro]]),"")</f>
        <v/>
      </c>
      <c r="AB541" s="11" t="str">
        <f>IFERROR(IF(MARÍTIMOS[[#This Row],[Inspección Externa]]="","",MARÍTIMOS[[#This Row],[Inspección Externa]]),"")</f>
        <v/>
      </c>
      <c r="AC541" s="11" t="str">
        <f>IFERROR(IF(MARÍTIMOS[[#This Row],[Etapa Despacho - Inicio de Carga]]="","",MARÍTIMOS[[#This Row],[Etapa Despacho - Inicio de Carga]]),"")</f>
        <v/>
      </c>
      <c r="AD541" s="11" t="str">
        <f>IFERROR(IF(MARÍTIMOS[[#This Row],[Etapa Despacho - Mitad de Carga]]="","",MARÍTIMOS[[#This Row],[Etapa Despacho - Mitad de Carga]]),"")</f>
        <v/>
      </c>
      <c r="AE541" s="11" t="str">
        <f>IFERROR(IF(MARÍTIMOS[[#This Row],[Etapa Despacho - Fin de Carga]]="","",MARÍTIMOS[[#This Row],[Etapa Despacho - Fin de Carga]]),"")</f>
        <v/>
      </c>
      <c r="AF541" s="2" t="str">
        <f>IFERROR(IF(MARÍTIMOS[[#This Row],[Puerto de Embarque]]="","",MARÍTIMOS[[#This Row],[Puerto de Embarque]]),"")</f>
        <v/>
      </c>
      <c r="AG541" s="2" t="str">
        <f>IFERROR(IF(MARÍTIMOS[[#This Row],[Almacén de Ingreso]]="","",MARÍTIMOS[[#This Row],[Almacén de Ingreso]]),"")</f>
        <v/>
      </c>
      <c r="AH541" s="11" t="str">
        <f>IFERROR(IF(MARÍTIMOS[[#This Row],[Etapa Ingreso - Cita]]="","",MARÍTIMOS[[#This Row],[Etapa Ingreso - Cita]]),"")</f>
        <v/>
      </c>
      <c r="AI541" s="11" t="str">
        <f>IFERROR(IF(MARÍTIMOS[[#This Row],[Etapa Ingreso - Llegada]]="","",MARÍTIMOS[[#This Row],[Etapa Ingreso - Llegada]]),"")</f>
        <v/>
      </c>
      <c r="AJ541" s="11" t="str">
        <f>IFERROR(IF(MARÍTIMOS[[#This Row],[Etapa Ingreso - Ingeso]]="","",MARÍTIMOS[[#This Row],[Etapa Ingreso - Ingeso]]),"")</f>
        <v/>
      </c>
      <c r="AK541" s="11" t="str">
        <f>IFERROR(IF(MARÍTIMOS[[#This Row],[Etapa Ingreso - Atención]]="","",MARÍTIMOS[[#This Row],[Etapa Ingreso - Atención]]),"")</f>
        <v/>
      </c>
      <c r="AL541" s="11" t="str">
        <f>IFERROR(IF(MARÍTIMOS[[#This Row],[Etapa Ingreso - Salida]]="","",MARÍTIMOS[[#This Row],[Etapa Ingreso - Salida]]),"")</f>
        <v/>
      </c>
      <c r="AM541" s="2" t="str">
        <f>IFERROR(IF(MARÍTIMOS[[#This Row],[FCL]]="","",MARÍTIMOS[[#This Row],[FCL]]),"")</f>
        <v/>
      </c>
      <c r="AN5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1" s="4" t="str" cm="1">
        <f t="array" ref="AO5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1" s="5" t="str">
        <f>IFERROR(OLDBD[[#This Row],[Llegada a packing]]-OLDBD[[#This Row],[Inicio de Ruta]],"")</f>
        <v/>
      </c>
      <c r="AQ541" s="6" t="str">
        <f>IFERROR(OLDBD[[#This Row],[Inicio de Ruta]]-OLDBD[[#This Row],[Salida de almacén de retiro]],"")</f>
        <v/>
      </c>
      <c r="AR5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1" s="8" t="str" cm="1">
        <f t="array" ref="AS5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1" s="9" t="str">
        <f>IFERROR(OLDBD[[#This Row],[Ingreso Packing]]-OLDBD[[#This Row],[Registro en Packing]],"")</f>
        <v/>
      </c>
      <c r="AV541" s="9" t="str">
        <f>IFERROR(OLDBD[[#This Row],[Ingreso Packing]]-OLDBD[[#This Row],[Llegada a packing]],"")</f>
        <v/>
      </c>
      <c r="AW5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1" s="5" t="str">
        <f>IFERROR(OLDBD[[#This Row],[Llegada Almacén de Ingreso]]-OLDBD[[#This Row],[Salida Packing]],"")</f>
        <v/>
      </c>
      <c r="AY541" s="4" t="str" cm="1">
        <f t="array" ref="AY5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1" s="43" t="s">
        <v>173</v>
      </c>
      <c r="BB541" s="47" t="str">
        <f>IFERROR(IF(MARÍTIMOS[[#This Row],[Estatus]]="","",MARÍTIMOS[[#This Row],[Estatus]]),"")</f>
        <v/>
      </c>
      <c r="BC541" s="43"/>
      <c r="BD541" s="46" t="str">
        <f>IFERROR(OLDBD[[#This Row],[Salida de almacén de retiro]]-OLDBD[[#This Row],[Ingreso Almacén de retiro]],"")</f>
        <v/>
      </c>
      <c r="BE541" s="46" t="str">
        <f>IFERROR(OLDBD[[#This Row],[Fin de Carga]]-OLDBD[[#This Row],[Inicio de Carga]],"")</f>
        <v/>
      </c>
    </row>
    <row r="542" spans="1:57" customFormat="1" hidden="1">
      <c r="A542" s="1"/>
      <c r="B542" s="1" t="str">
        <f>IFERROR(IF(MARÍTIMOS[[#This Row],[PP]]="","",MARÍTIMOS[[#This Row],[PP]]),"")</f>
        <v/>
      </c>
      <c r="C542" s="1" t="str">
        <f>IFERROR(IF(MARÍTIMOS[[#This Row],[Sede]]="","",MARÍTIMOS[[#This Row],[Sede]]),"")</f>
        <v/>
      </c>
      <c r="D542" s="1" t="str">
        <f>IFERROR(IF(MARÍTIMOS[[#This Row],[Instruction]]="","",MARÍTIMOS[[#This Row],[Instruction]]),"")</f>
        <v/>
      </c>
      <c r="E542" s="1"/>
      <c r="F542" s="2" t="str">
        <f>IFERROR(IF(MARÍTIMOS[[#This Row],[Transportista]]="","",MARÍTIMOS[[#This Row],[Transportista]]),"")</f>
        <v/>
      </c>
      <c r="G542" s="2" t="str">
        <f>IFERROR(IF(MARÍTIMOS[[#This Row],[Tercero]]="","",MARÍTIMOS[[#This Row],[Tercero]]),"")</f>
        <v/>
      </c>
      <c r="H542" s="2" t="str">
        <f>IFERROR(IF(MARÍTIMOS[[#This Row],[Razón Social]]="","",MARÍTIMOS[[#This Row],[Razón Social]]),"")</f>
        <v/>
      </c>
      <c r="I542" s="2" t="str">
        <f>IFERROR(IF(MARÍTIMOS[[#This Row],[RUC]]="","",MARÍTIMOS[[#This Row],[RUC]]),"")</f>
        <v/>
      </c>
      <c r="J542" s="2" t="str">
        <f>IFERROR(IF(MARÍTIMOS[[#This Row],[Placa Tracto]]="","",MARÍTIMOS[[#This Row],[Placa Tracto]]),"")</f>
        <v/>
      </c>
      <c r="K542" s="2" t="str">
        <f>IFERROR(IF(MARÍTIMOS[[#This Row],[Placa Carreta]]="","",MARÍTIMOS[[#This Row],[Placa Carreta]]),"")</f>
        <v/>
      </c>
      <c r="L542" s="44" t="str">
        <f>IFERROR(IF(MARÍTIMOS[[#This Row],[Conductor]]="","",MARÍTIMOS[[#This Row],[Conductor]]),"")</f>
        <v/>
      </c>
      <c r="M542" s="2" t="str">
        <f>IFERROR(IF(MARÍTIMOS[[#This Row],[Licencia]]="","",MARÍTIMOS[[#This Row],[Licencia]]),"")</f>
        <v/>
      </c>
      <c r="N542" s="2" t="str">
        <f>IFERROR(IF(MARÍTIMOS[[#This Row],[Número de Contacto]]="","",MARÍTIMOS[[#This Row],[Número de Contacto]]),"")</f>
        <v/>
      </c>
      <c r="O542" s="10" t="str">
        <f>IFERROR(IF(MARÍTIMOS[[#This Row],[Booking|AWB|CRT]]="","",MARÍTIMOS[[#This Row],[Booking|AWB|CRT]]),"")</f>
        <v/>
      </c>
      <c r="P542" s="2" t="str">
        <f>IFERROR(IF(MARÍTIMOS[[#This Row],[Contenedor]]="","",MARÍTIMOS[[#This Row],[Contenedor]]),"")</f>
        <v/>
      </c>
      <c r="Q542" s="2" t="str">
        <f>IFERROR(IF(MARÍTIMOS[[#This Row],[Puerto de Retiro]]="","",MARÍTIMOS[[#This Row],[Puerto de Retiro]]),"")</f>
        <v/>
      </c>
      <c r="R542" s="2" t="str">
        <f>IFERROR(IF(MARÍTIMOS[[#This Row],[Almacén de Retiro]]="","",MARÍTIMOS[[#This Row],[Almacén de Retiro]]),"")</f>
        <v/>
      </c>
      <c r="S542" s="11" t="str">
        <f>IFERROR(IF(MARÍTIMOS[[#This Row],[Etapa Retiro - Cita]]="","",MARÍTIMOS[[#This Row],[Etapa Retiro - Cita]]),"")</f>
        <v/>
      </c>
      <c r="T542" s="11" t="str">
        <f>IFERROR(IF(MARÍTIMOS[[#This Row],[Etapa Retiro - Llegada]]="","",MARÍTIMOS[[#This Row],[Etapa Retiro - Llegada]]),"")</f>
        <v/>
      </c>
      <c r="U542" s="11" t="str">
        <f>IFERROR(IF(MARÍTIMOS[[#This Row],[Etapa Retiro - Ingreso]]="","",MARÍTIMOS[[#This Row],[Etapa Retiro - Ingreso]]),"")</f>
        <v/>
      </c>
      <c r="V542" s="11" t="str">
        <f>IFERROR(IF(MARÍTIMOS[[#This Row],[Etapa Retiro - Atención]]="","",MARÍTIMOS[[#This Row],[Etapa Retiro - Atención]]),"")</f>
        <v/>
      </c>
      <c r="W542" s="11" t="str">
        <f>IFERROR(IF(MARÍTIMOS[[#This Row],[Etapa Retiro - Atención]]="","",MARÍTIMOS[[#This Row],[Etapa Retiro - Atención]]),"")</f>
        <v/>
      </c>
      <c r="X542" s="11" t="str">
        <f>IFERROR(IF(MARÍTIMOS[[#This Row],[Etapa Retiro - Inicio de Ruta]]="","",MARÍTIMOS[[#This Row],[Etapa Retiro - Inicio de Ruta]]),"")</f>
        <v/>
      </c>
      <c r="Y542" s="11" t="str">
        <f>IFERROR(IF(MARÍTIMOS[[#This Row],[Hora de Posicionamiento]]="","",MARÍTIMOS[[#This Row],[Fecha de Carga]]+MARÍTIMOS[[#This Row],[Hora de Posicionamiento]]),"")</f>
        <v/>
      </c>
      <c r="Z542" s="11" t="str">
        <f>IFERROR(IF(MARÍTIMOS[[#This Row],[Etapa Despacho - Llegada]]="","",MARÍTIMOS[[#This Row],[Etapa Despacho - Llegada]]),"")</f>
        <v/>
      </c>
      <c r="AA542" s="11" t="str">
        <f>IFERROR(IF(MARÍTIMOS[[#This Row],[Etapa Despacho - Registro]]="","",MARÍTIMOS[[#This Row],[Etapa Despacho - Registro]]),"")</f>
        <v/>
      </c>
      <c r="AB542" s="11" t="str">
        <f>IFERROR(IF(MARÍTIMOS[[#This Row],[Inspección Externa]]="","",MARÍTIMOS[[#This Row],[Inspección Externa]]),"")</f>
        <v/>
      </c>
      <c r="AC542" s="11" t="str">
        <f>IFERROR(IF(MARÍTIMOS[[#This Row],[Etapa Despacho - Inicio de Carga]]="","",MARÍTIMOS[[#This Row],[Etapa Despacho - Inicio de Carga]]),"")</f>
        <v/>
      </c>
      <c r="AD542" s="11" t="str">
        <f>IFERROR(IF(MARÍTIMOS[[#This Row],[Etapa Despacho - Mitad de Carga]]="","",MARÍTIMOS[[#This Row],[Etapa Despacho - Mitad de Carga]]),"")</f>
        <v/>
      </c>
      <c r="AE542" s="11" t="str">
        <f>IFERROR(IF(MARÍTIMOS[[#This Row],[Etapa Despacho - Fin de Carga]]="","",MARÍTIMOS[[#This Row],[Etapa Despacho - Fin de Carga]]),"")</f>
        <v/>
      </c>
      <c r="AF542" s="2" t="str">
        <f>IFERROR(IF(MARÍTIMOS[[#This Row],[Puerto de Embarque]]="","",MARÍTIMOS[[#This Row],[Puerto de Embarque]]),"")</f>
        <v/>
      </c>
      <c r="AG542" s="2" t="str">
        <f>IFERROR(IF(MARÍTIMOS[[#This Row],[Almacén de Ingreso]]="","",MARÍTIMOS[[#This Row],[Almacén de Ingreso]]),"")</f>
        <v/>
      </c>
      <c r="AH542" s="11" t="str">
        <f>IFERROR(IF(MARÍTIMOS[[#This Row],[Etapa Ingreso - Cita]]="","",MARÍTIMOS[[#This Row],[Etapa Ingreso - Cita]]),"")</f>
        <v/>
      </c>
      <c r="AI542" s="11" t="str">
        <f>IFERROR(IF(MARÍTIMOS[[#This Row],[Etapa Ingreso - Llegada]]="","",MARÍTIMOS[[#This Row],[Etapa Ingreso - Llegada]]),"")</f>
        <v/>
      </c>
      <c r="AJ542" s="11" t="str">
        <f>IFERROR(IF(MARÍTIMOS[[#This Row],[Etapa Ingreso - Ingeso]]="","",MARÍTIMOS[[#This Row],[Etapa Ingreso - Ingeso]]),"")</f>
        <v/>
      </c>
      <c r="AK542" s="11" t="str">
        <f>IFERROR(IF(MARÍTIMOS[[#This Row],[Etapa Ingreso - Atención]]="","",MARÍTIMOS[[#This Row],[Etapa Ingreso - Atención]]),"")</f>
        <v/>
      </c>
      <c r="AL542" s="11" t="str">
        <f>IFERROR(IF(MARÍTIMOS[[#This Row],[Etapa Ingreso - Salida]]="","",MARÍTIMOS[[#This Row],[Etapa Ingreso - Salida]]),"")</f>
        <v/>
      </c>
      <c r="AM542" s="2" t="str">
        <f>IFERROR(IF(MARÍTIMOS[[#This Row],[FCL]]="","",MARÍTIMOS[[#This Row],[FCL]]),"")</f>
        <v/>
      </c>
      <c r="AN5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2" s="4" t="str" cm="1">
        <f t="array" ref="AO5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2" s="5" t="str">
        <f>IFERROR(OLDBD[[#This Row],[Llegada a packing]]-OLDBD[[#This Row],[Inicio de Ruta]],"")</f>
        <v/>
      </c>
      <c r="AQ542" s="6" t="str">
        <f>IFERROR(OLDBD[[#This Row],[Inicio de Ruta]]-OLDBD[[#This Row],[Salida de almacén de retiro]],"")</f>
        <v/>
      </c>
      <c r="AR5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2" s="8" t="str" cm="1">
        <f t="array" ref="AS5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2" s="9" t="str">
        <f>IFERROR(OLDBD[[#This Row],[Ingreso Packing]]-OLDBD[[#This Row],[Registro en Packing]],"")</f>
        <v/>
      </c>
      <c r="AV542" s="9" t="str">
        <f>IFERROR(OLDBD[[#This Row],[Ingreso Packing]]-OLDBD[[#This Row],[Llegada a packing]],"")</f>
        <v/>
      </c>
      <c r="AW5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2" s="5" t="str">
        <f>IFERROR(OLDBD[[#This Row],[Llegada Almacén de Ingreso]]-OLDBD[[#This Row],[Salida Packing]],"")</f>
        <v/>
      </c>
      <c r="AY542" s="4" t="str" cm="1">
        <f t="array" ref="AY5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2" s="43" t="s">
        <v>173</v>
      </c>
      <c r="BB542" s="47" t="str">
        <f>IFERROR(IF(MARÍTIMOS[[#This Row],[Estatus]]="","",MARÍTIMOS[[#This Row],[Estatus]]),"")</f>
        <v/>
      </c>
      <c r="BC542" s="43"/>
      <c r="BD542" s="46" t="str">
        <f>IFERROR(OLDBD[[#This Row],[Salida de almacén de retiro]]-OLDBD[[#This Row],[Ingreso Almacén de retiro]],"")</f>
        <v/>
      </c>
      <c r="BE542" s="46" t="str">
        <f>IFERROR(OLDBD[[#This Row],[Fin de Carga]]-OLDBD[[#This Row],[Inicio de Carga]],"")</f>
        <v/>
      </c>
    </row>
    <row r="543" spans="1:57" customFormat="1" hidden="1">
      <c r="A543" s="1"/>
      <c r="B543" s="1" t="str">
        <f>IFERROR(IF(MARÍTIMOS[[#This Row],[PP]]="","",MARÍTIMOS[[#This Row],[PP]]),"")</f>
        <v/>
      </c>
      <c r="C543" s="1" t="str">
        <f>IFERROR(IF(MARÍTIMOS[[#This Row],[Sede]]="","",MARÍTIMOS[[#This Row],[Sede]]),"")</f>
        <v/>
      </c>
      <c r="D543" s="1" t="str">
        <f>IFERROR(IF(MARÍTIMOS[[#This Row],[Instruction]]="","",MARÍTIMOS[[#This Row],[Instruction]]),"")</f>
        <v/>
      </c>
      <c r="E543" s="1"/>
      <c r="F543" s="2" t="str">
        <f>IFERROR(IF(MARÍTIMOS[[#This Row],[Transportista]]="","",MARÍTIMOS[[#This Row],[Transportista]]),"")</f>
        <v/>
      </c>
      <c r="G543" s="2" t="str">
        <f>IFERROR(IF(MARÍTIMOS[[#This Row],[Tercero]]="","",MARÍTIMOS[[#This Row],[Tercero]]),"")</f>
        <v/>
      </c>
      <c r="H543" s="2" t="str">
        <f>IFERROR(IF(MARÍTIMOS[[#This Row],[Razón Social]]="","",MARÍTIMOS[[#This Row],[Razón Social]]),"")</f>
        <v/>
      </c>
      <c r="I543" s="2" t="str">
        <f>IFERROR(IF(MARÍTIMOS[[#This Row],[RUC]]="","",MARÍTIMOS[[#This Row],[RUC]]),"")</f>
        <v/>
      </c>
      <c r="J543" s="2" t="str">
        <f>IFERROR(IF(MARÍTIMOS[[#This Row],[Placa Tracto]]="","",MARÍTIMOS[[#This Row],[Placa Tracto]]),"")</f>
        <v/>
      </c>
      <c r="K543" s="2" t="str">
        <f>IFERROR(IF(MARÍTIMOS[[#This Row],[Placa Carreta]]="","",MARÍTIMOS[[#This Row],[Placa Carreta]]),"")</f>
        <v/>
      </c>
      <c r="L543" s="44" t="str">
        <f>IFERROR(IF(MARÍTIMOS[[#This Row],[Conductor]]="","",MARÍTIMOS[[#This Row],[Conductor]]),"")</f>
        <v/>
      </c>
      <c r="M543" s="2" t="str">
        <f>IFERROR(IF(MARÍTIMOS[[#This Row],[Licencia]]="","",MARÍTIMOS[[#This Row],[Licencia]]),"")</f>
        <v/>
      </c>
      <c r="N543" s="2" t="str">
        <f>IFERROR(IF(MARÍTIMOS[[#This Row],[Número de Contacto]]="","",MARÍTIMOS[[#This Row],[Número de Contacto]]),"")</f>
        <v/>
      </c>
      <c r="O543" s="10" t="str">
        <f>IFERROR(IF(MARÍTIMOS[[#This Row],[Booking|AWB|CRT]]="","",MARÍTIMOS[[#This Row],[Booking|AWB|CRT]]),"")</f>
        <v/>
      </c>
      <c r="P543" s="2" t="str">
        <f>IFERROR(IF(MARÍTIMOS[[#This Row],[Contenedor]]="","",MARÍTIMOS[[#This Row],[Contenedor]]),"")</f>
        <v/>
      </c>
      <c r="Q543" s="2" t="str">
        <f>IFERROR(IF(MARÍTIMOS[[#This Row],[Puerto de Retiro]]="","",MARÍTIMOS[[#This Row],[Puerto de Retiro]]),"")</f>
        <v/>
      </c>
      <c r="R543" s="2" t="str">
        <f>IFERROR(IF(MARÍTIMOS[[#This Row],[Almacén de Retiro]]="","",MARÍTIMOS[[#This Row],[Almacén de Retiro]]),"")</f>
        <v/>
      </c>
      <c r="S543" s="11" t="str">
        <f>IFERROR(IF(MARÍTIMOS[[#This Row],[Etapa Retiro - Cita]]="","",MARÍTIMOS[[#This Row],[Etapa Retiro - Cita]]),"")</f>
        <v/>
      </c>
      <c r="T543" s="11" t="str">
        <f>IFERROR(IF(MARÍTIMOS[[#This Row],[Etapa Retiro - Llegada]]="","",MARÍTIMOS[[#This Row],[Etapa Retiro - Llegada]]),"")</f>
        <v/>
      </c>
      <c r="U543" s="11" t="str">
        <f>IFERROR(IF(MARÍTIMOS[[#This Row],[Etapa Retiro - Ingreso]]="","",MARÍTIMOS[[#This Row],[Etapa Retiro - Ingreso]]),"")</f>
        <v/>
      </c>
      <c r="V543" s="11" t="str">
        <f>IFERROR(IF(MARÍTIMOS[[#This Row],[Etapa Retiro - Atención]]="","",MARÍTIMOS[[#This Row],[Etapa Retiro - Atención]]),"")</f>
        <v/>
      </c>
      <c r="W543" s="11" t="str">
        <f>IFERROR(IF(MARÍTIMOS[[#This Row],[Etapa Retiro - Atención]]="","",MARÍTIMOS[[#This Row],[Etapa Retiro - Atención]]),"")</f>
        <v/>
      </c>
      <c r="X543" s="11" t="str">
        <f>IFERROR(IF(MARÍTIMOS[[#This Row],[Etapa Retiro - Inicio de Ruta]]="","",MARÍTIMOS[[#This Row],[Etapa Retiro - Inicio de Ruta]]),"")</f>
        <v/>
      </c>
      <c r="Y543" s="11" t="str">
        <f>IFERROR(IF(MARÍTIMOS[[#This Row],[Hora de Posicionamiento]]="","",MARÍTIMOS[[#This Row],[Fecha de Carga]]+MARÍTIMOS[[#This Row],[Hora de Posicionamiento]]),"")</f>
        <v/>
      </c>
      <c r="Z543" s="11" t="str">
        <f>IFERROR(IF(MARÍTIMOS[[#This Row],[Etapa Despacho - Llegada]]="","",MARÍTIMOS[[#This Row],[Etapa Despacho - Llegada]]),"")</f>
        <v/>
      </c>
      <c r="AA543" s="11" t="str">
        <f>IFERROR(IF(MARÍTIMOS[[#This Row],[Etapa Despacho - Registro]]="","",MARÍTIMOS[[#This Row],[Etapa Despacho - Registro]]),"")</f>
        <v/>
      </c>
      <c r="AB543" s="11" t="str">
        <f>IFERROR(IF(MARÍTIMOS[[#This Row],[Inspección Externa]]="","",MARÍTIMOS[[#This Row],[Inspección Externa]]),"")</f>
        <v/>
      </c>
      <c r="AC543" s="11" t="str">
        <f>IFERROR(IF(MARÍTIMOS[[#This Row],[Etapa Despacho - Inicio de Carga]]="","",MARÍTIMOS[[#This Row],[Etapa Despacho - Inicio de Carga]]),"")</f>
        <v/>
      </c>
      <c r="AD543" s="11" t="str">
        <f>IFERROR(IF(MARÍTIMOS[[#This Row],[Etapa Despacho - Mitad de Carga]]="","",MARÍTIMOS[[#This Row],[Etapa Despacho - Mitad de Carga]]),"")</f>
        <v/>
      </c>
      <c r="AE543" s="11" t="str">
        <f>IFERROR(IF(MARÍTIMOS[[#This Row],[Etapa Despacho - Fin de Carga]]="","",MARÍTIMOS[[#This Row],[Etapa Despacho - Fin de Carga]]),"")</f>
        <v/>
      </c>
      <c r="AF543" s="2" t="str">
        <f>IFERROR(IF(MARÍTIMOS[[#This Row],[Puerto de Embarque]]="","",MARÍTIMOS[[#This Row],[Puerto de Embarque]]),"")</f>
        <v/>
      </c>
      <c r="AG543" s="2" t="str">
        <f>IFERROR(IF(MARÍTIMOS[[#This Row],[Almacén de Ingreso]]="","",MARÍTIMOS[[#This Row],[Almacén de Ingreso]]),"")</f>
        <v/>
      </c>
      <c r="AH543" s="11" t="str">
        <f>IFERROR(IF(MARÍTIMOS[[#This Row],[Etapa Ingreso - Cita]]="","",MARÍTIMOS[[#This Row],[Etapa Ingreso - Cita]]),"")</f>
        <v/>
      </c>
      <c r="AI543" s="11" t="str">
        <f>IFERROR(IF(MARÍTIMOS[[#This Row],[Etapa Ingreso - Llegada]]="","",MARÍTIMOS[[#This Row],[Etapa Ingreso - Llegada]]),"")</f>
        <v/>
      </c>
      <c r="AJ543" s="11" t="str">
        <f>IFERROR(IF(MARÍTIMOS[[#This Row],[Etapa Ingreso - Ingeso]]="","",MARÍTIMOS[[#This Row],[Etapa Ingreso - Ingeso]]),"")</f>
        <v/>
      </c>
      <c r="AK543" s="11" t="str">
        <f>IFERROR(IF(MARÍTIMOS[[#This Row],[Etapa Ingreso - Atención]]="","",MARÍTIMOS[[#This Row],[Etapa Ingreso - Atención]]),"")</f>
        <v/>
      </c>
      <c r="AL543" s="11" t="str">
        <f>IFERROR(IF(MARÍTIMOS[[#This Row],[Etapa Ingreso - Salida]]="","",MARÍTIMOS[[#This Row],[Etapa Ingreso - Salida]]),"")</f>
        <v/>
      </c>
      <c r="AM543" s="2" t="str">
        <f>IFERROR(IF(MARÍTIMOS[[#This Row],[FCL]]="","",MARÍTIMOS[[#This Row],[FCL]]),"")</f>
        <v/>
      </c>
      <c r="AN5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3" s="4" t="str" cm="1">
        <f t="array" ref="AO5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3" s="5" t="str">
        <f>IFERROR(OLDBD[[#This Row],[Llegada a packing]]-OLDBD[[#This Row],[Inicio de Ruta]],"")</f>
        <v/>
      </c>
      <c r="AQ543" s="6" t="str">
        <f>IFERROR(OLDBD[[#This Row],[Inicio de Ruta]]-OLDBD[[#This Row],[Salida de almacén de retiro]],"")</f>
        <v/>
      </c>
      <c r="AR5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3" s="8" t="str" cm="1">
        <f t="array" ref="AS5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3" s="9" t="str">
        <f>IFERROR(OLDBD[[#This Row],[Ingreso Packing]]-OLDBD[[#This Row],[Registro en Packing]],"")</f>
        <v/>
      </c>
      <c r="AV543" s="9" t="str">
        <f>IFERROR(OLDBD[[#This Row],[Ingreso Packing]]-OLDBD[[#This Row],[Llegada a packing]],"")</f>
        <v/>
      </c>
      <c r="AW5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3" s="5" t="str">
        <f>IFERROR(OLDBD[[#This Row],[Llegada Almacén de Ingreso]]-OLDBD[[#This Row],[Salida Packing]],"")</f>
        <v/>
      </c>
      <c r="AY543" s="4" t="str" cm="1">
        <f t="array" ref="AY5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3" s="43" t="s">
        <v>173</v>
      </c>
      <c r="BB543" s="47" t="str">
        <f>IFERROR(IF(MARÍTIMOS[[#This Row],[Estatus]]="","",MARÍTIMOS[[#This Row],[Estatus]]),"")</f>
        <v/>
      </c>
      <c r="BC543" s="43"/>
      <c r="BD543" s="46" t="str">
        <f>IFERROR(OLDBD[[#This Row],[Salida de almacén de retiro]]-OLDBD[[#This Row],[Ingreso Almacén de retiro]],"")</f>
        <v/>
      </c>
      <c r="BE543" s="46" t="str">
        <f>IFERROR(OLDBD[[#This Row],[Fin de Carga]]-OLDBD[[#This Row],[Inicio de Carga]],"")</f>
        <v/>
      </c>
    </row>
    <row r="544" spans="1:57" customFormat="1" hidden="1">
      <c r="A544" s="1"/>
      <c r="B544" s="1" t="str">
        <f>IFERROR(IF(MARÍTIMOS[[#This Row],[PP]]="","",MARÍTIMOS[[#This Row],[PP]]),"")</f>
        <v/>
      </c>
      <c r="C544" s="1" t="str">
        <f>IFERROR(IF(MARÍTIMOS[[#This Row],[Sede]]="","",MARÍTIMOS[[#This Row],[Sede]]),"")</f>
        <v/>
      </c>
      <c r="D544" s="1" t="str">
        <f>IFERROR(IF(MARÍTIMOS[[#This Row],[Instruction]]="","",MARÍTIMOS[[#This Row],[Instruction]]),"")</f>
        <v/>
      </c>
      <c r="E544" s="1"/>
      <c r="F544" s="2" t="str">
        <f>IFERROR(IF(MARÍTIMOS[[#This Row],[Transportista]]="","",MARÍTIMOS[[#This Row],[Transportista]]),"")</f>
        <v/>
      </c>
      <c r="G544" s="2" t="str">
        <f>IFERROR(IF(MARÍTIMOS[[#This Row],[Tercero]]="","",MARÍTIMOS[[#This Row],[Tercero]]),"")</f>
        <v/>
      </c>
      <c r="H544" s="2" t="str">
        <f>IFERROR(IF(MARÍTIMOS[[#This Row],[Razón Social]]="","",MARÍTIMOS[[#This Row],[Razón Social]]),"")</f>
        <v/>
      </c>
      <c r="I544" s="2" t="str">
        <f>IFERROR(IF(MARÍTIMOS[[#This Row],[RUC]]="","",MARÍTIMOS[[#This Row],[RUC]]),"")</f>
        <v/>
      </c>
      <c r="J544" s="2" t="str">
        <f>IFERROR(IF(MARÍTIMOS[[#This Row],[Placa Tracto]]="","",MARÍTIMOS[[#This Row],[Placa Tracto]]),"")</f>
        <v/>
      </c>
      <c r="K544" s="2" t="str">
        <f>IFERROR(IF(MARÍTIMOS[[#This Row],[Placa Carreta]]="","",MARÍTIMOS[[#This Row],[Placa Carreta]]),"")</f>
        <v/>
      </c>
      <c r="L544" s="44" t="str">
        <f>IFERROR(IF(MARÍTIMOS[[#This Row],[Conductor]]="","",MARÍTIMOS[[#This Row],[Conductor]]),"")</f>
        <v/>
      </c>
      <c r="M544" s="2" t="str">
        <f>IFERROR(IF(MARÍTIMOS[[#This Row],[Licencia]]="","",MARÍTIMOS[[#This Row],[Licencia]]),"")</f>
        <v/>
      </c>
      <c r="N544" s="2" t="str">
        <f>IFERROR(IF(MARÍTIMOS[[#This Row],[Número de Contacto]]="","",MARÍTIMOS[[#This Row],[Número de Contacto]]),"")</f>
        <v/>
      </c>
      <c r="O544" s="10" t="str">
        <f>IFERROR(IF(MARÍTIMOS[[#This Row],[Booking|AWB|CRT]]="","",MARÍTIMOS[[#This Row],[Booking|AWB|CRT]]),"")</f>
        <v/>
      </c>
      <c r="P544" s="2" t="str">
        <f>IFERROR(IF(MARÍTIMOS[[#This Row],[Contenedor]]="","",MARÍTIMOS[[#This Row],[Contenedor]]),"")</f>
        <v/>
      </c>
      <c r="Q544" s="2" t="str">
        <f>IFERROR(IF(MARÍTIMOS[[#This Row],[Puerto de Retiro]]="","",MARÍTIMOS[[#This Row],[Puerto de Retiro]]),"")</f>
        <v/>
      </c>
      <c r="R544" s="2" t="str">
        <f>IFERROR(IF(MARÍTIMOS[[#This Row],[Almacén de Retiro]]="","",MARÍTIMOS[[#This Row],[Almacén de Retiro]]),"")</f>
        <v/>
      </c>
      <c r="S544" s="11" t="str">
        <f>IFERROR(IF(MARÍTIMOS[[#This Row],[Etapa Retiro - Cita]]="","",MARÍTIMOS[[#This Row],[Etapa Retiro - Cita]]),"")</f>
        <v/>
      </c>
      <c r="T544" s="11" t="str">
        <f>IFERROR(IF(MARÍTIMOS[[#This Row],[Etapa Retiro - Llegada]]="","",MARÍTIMOS[[#This Row],[Etapa Retiro - Llegada]]),"")</f>
        <v/>
      </c>
      <c r="U544" s="11" t="str">
        <f>IFERROR(IF(MARÍTIMOS[[#This Row],[Etapa Retiro - Ingreso]]="","",MARÍTIMOS[[#This Row],[Etapa Retiro - Ingreso]]),"")</f>
        <v/>
      </c>
      <c r="V544" s="11" t="str">
        <f>IFERROR(IF(MARÍTIMOS[[#This Row],[Etapa Retiro - Atención]]="","",MARÍTIMOS[[#This Row],[Etapa Retiro - Atención]]),"")</f>
        <v/>
      </c>
      <c r="W544" s="11" t="str">
        <f>IFERROR(IF(MARÍTIMOS[[#This Row],[Etapa Retiro - Atención]]="","",MARÍTIMOS[[#This Row],[Etapa Retiro - Atención]]),"")</f>
        <v/>
      </c>
      <c r="X544" s="11" t="str">
        <f>IFERROR(IF(MARÍTIMOS[[#This Row],[Etapa Retiro - Inicio de Ruta]]="","",MARÍTIMOS[[#This Row],[Etapa Retiro - Inicio de Ruta]]),"")</f>
        <v/>
      </c>
      <c r="Y544" s="11" t="str">
        <f>IFERROR(IF(MARÍTIMOS[[#This Row],[Hora de Posicionamiento]]="","",MARÍTIMOS[[#This Row],[Fecha de Carga]]+MARÍTIMOS[[#This Row],[Hora de Posicionamiento]]),"")</f>
        <v/>
      </c>
      <c r="Z544" s="11" t="str">
        <f>IFERROR(IF(MARÍTIMOS[[#This Row],[Etapa Despacho - Llegada]]="","",MARÍTIMOS[[#This Row],[Etapa Despacho - Llegada]]),"")</f>
        <v/>
      </c>
      <c r="AA544" s="11" t="str">
        <f>IFERROR(IF(MARÍTIMOS[[#This Row],[Etapa Despacho - Registro]]="","",MARÍTIMOS[[#This Row],[Etapa Despacho - Registro]]),"")</f>
        <v/>
      </c>
      <c r="AB544" s="11" t="str">
        <f>IFERROR(IF(MARÍTIMOS[[#This Row],[Inspección Externa]]="","",MARÍTIMOS[[#This Row],[Inspección Externa]]),"")</f>
        <v/>
      </c>
      <c r="AC544" s="11" t="str">
        <f>IFERROR(IF(MARÍTIMOS[[#This Row],[Etapa Despacho - Inicio de Carga]]="","",MARÍTIMOS[[#This Row],[Etapa Despacho - Inicio de Carga]]),"")</f>
        <v/>
      </c>
      <c r="AD544" s="11" t="str">
        <f>IFERROR(IF(MARÍTIMOS[[#This Row],[Etapa Despacho - Mitad de Carga]]="","",MARÍTIMOS[[#This Row],[Etapa Despacho - Mitad de Carga]]),"")</f>
        <v/>
      </c>
      <c r="AE544" s="11" t="str">
        <f>IFERROR(IF(MARÍTIMOS[[#This Row],[Etapa Despacho - Fin de Carga]]="","",MARÍTIMOS[[#This Row],[Etapa Despacho - Fin de Carga]]),"")</f>
        <v/>
      </c>
      <c r="AF544" s="2" t="str">
        <f>IFERROR(IF(MARÍTIMOS[[#This Row],[Puerto de Embarque]]="","",MARÍTIMOS[[#This Row],[Puerto de Embarque]]),"")</f>
        <v/>
      </c>
      <c r="AG544" s="2" t="str">
        <f>IFERROR(IF(MARÍTIMOS[[#This Row],[Almacén de Ingreso]]="","",MARÍTIMOS[[#This Row],[Almacén de Ingreso]]),"")</f>
        <v/>
      </c>
      <c r="AH544" s="11" t="str">
        <f>IFERROR(IF(MARÍTIMOS[[#This Row],[Etapa Ingreso - Cita]]="","",MARÍTIMOS[[#This Row],[Etapa Ingreso - Cita]]),"")</f>
        <v/>
      </c>
      <c r="AI544" s="11" t="str">
        <f>IFERROR(IF(MARÍTIMOS[[#This Row],[Etapa Ingreso - Llegada]]="","",MARÍTIMOS[[#This Row],[Etapa Ingreso - Llegada]]),"")</f>
        <v/>
      </c>
      <c r="AJ544" s="11" t="str">
        <f>IFERROR(IF(MARÍTIMOS[[#This Row],[Etapa Ingreso - Ingeso]]="","",MARÍTIMOS[[#This Row],[Etapa Ingreso - Ingeso]]),"")</f>
        <v/>
      </c>
      <c r="AK544" s="11" t="str">
        <f>IFERROR(IF(MARÍTIMOS[[#This Row],[Etapa Ingreso - Atención]]="","",MARÍTIMOS[[#This Row],[Etapa Ingreso - Atención]]),"")</f>
        <v/>
      </c>
      <c r="AL544" s="11" t="str">
        <f>IFERROR(IF(MARÍTIMOS[[#This Row],[Etapa Ingreso - Salida]]="","",MARÍTIMOS[[#This Row],[Etapa Ingreso - Salida]]),"")</f>
        <v/>
      </c>
      <c r="AM544" s="2" t="str">
        <f>IFERROR(IF(MARÍTIMOS[[#This Row],[FCL]]="","",MARÍTIMOS[[#This Row],[FCL]]),"")</f>
        <v/>
      </c>
      <c r="AN5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4" s="4" t="str" cm="1">
        <f t="array" ref="AO5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4" s="5" t="str">
        <f>IFERROR(OLDBD[[#This Row],[Llegada a packing]]-OLDBD[[#This Row],[Inicio de Ruta]],"")</f>
        <v/>
      </c>
      <c r="AQ544" s="6" t="str">
        <f>IFERROR(OLDBD[[#This Row],[Inicio de Ruta]]-OLDBD[[#This Row],[Salida de almacén de retiro]],"")</f>
        <v/>
      </c>
      <c r="AR5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4" s="8" t="str" cm="1">
        <f t="array" ref="AS5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4" s="9" t="str">
        <f>IFERROR(OLDBD[[#This Row],[Ingreso Packing]]-OLDBD[[#This Row],[Registro en Packing]],"")</f>
        <v/>
      </c>
      <c r="AV544" s="9" t="str">
        <f>IFERROR(OLDBD[[#This Row],[Ingreso Packing]]-OLDBD[[#This Row],[Llegada a packing]],"")</f>
        <v/>
      </c>
      <c r="AW5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4" s="5" t="str">
        <f>IFERROR(OLDBD[[#This Row],[Llegada Almacén de Ingreso]]-OLDBD[[#This Row],[Salida Packing]],"")</f>
        <v/>
      </c>
      <c r="AY544" s="4" t="str" cm="1">
        <f t="array" ref="AY5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4" s="43" t="s">
        <v>173</v>
      </c>
      <c r="BB544" s="47" t="str">
        <f>IFERROR(IF(MARÍTIMOS[[#This Row],[Estatus]]="","",MARÍTIMOS[[#This Row],[Estatus]]),"")</f>
        <v/>
      </c>
      <c r="BC544" s="43"/>
      <c r="BD544" s="46" t="str">
        <f>IFERROR(OLDBD[[#This Row],[Salida de almacén de retiro]]-OLDBD[[#This Row],[Ingreso Almacén de retiro]],"")</f>
        <v/>
      </c>
      <c r="BE544" s="46" t="str">
        <f>IFERROR(OLDBD[[#This Row],[Fin de Carga]]-OLDBD[[#This Row],[Inicio de Carga]],"")</f>
        <v/>
      </c>
    </row>
    <row r="545" spans="1:57" customFormat="1" hidden="1">
      <c r="A545" s="1"/>
      <c r="B545" s="1" t="str">
        <f>IFERROR(IF(MARÍTIMOS[[#This Row],[PP]]="","",MARÍTIMOS[[#This Row],[PP]]),"")</f>
        <v/>
      </c>
      <c r="C545" s="1" t="str">
        <f>IFERROR(IF(MARÍTIMOS[[#This Row],[Sede]]="","",MARÍTIMOS[[#This Row],[Sede]]),"")</f>
        <v/>
      </c>
      <c r="D545" s="1" t="str">
        <f>IFERROR(IF(MARÍTIMOS[[#This Row],[Instruction]]="","",MARÍTIMOS[[#This Row],[Instruction]]),"")</f>
        <v/>
      </c>
      <c r="E545" s="1"/>
      <c r="F545" s="2" t="str">
        <f>IFERROR(IF(MARÍTIMOS[[#This Row],[Transportista]]="","",MARÍTIMOS[[#This Row],[Transportista]]),"")</f>
        <v/>
      </c>
      <c r="G545" s="2" t="str">
        <f>IFERROR(IF(MARÍTIMOS[[#This Row],[Tercero]]="","",MARÍTIMOS[[#This Row],[Tercero]]),"")</f>
        <v/>
      </c>
      <c r="H545" s="2" t="str">
        <f>IFERROR(IF(MARÍTIMOS[[#This Row],[Razón Social]]="","",MARÍTIMOS[[#This Row],[Razón Social]]),"")</f>
        <v/>
      </c>
      <c r="I545" s="2" t="str">
        <f>IFERROR(IF(MARÍTIMOS[[#This Row],[RUC]]="","",MARÍTIMOS[[#This Row],[RUC]]),"")</f>
        <v/>
      </c>
      <c r="J545" s="2" t="str">
        <f>IFERROR(IF(MARÍTIMOS[[#This Row],[Placa Tracto]]="","",MARÍTIMOS[[#This Row],[Placa Tracto]]),"")</f>
        <v/>
      </c>
      <c r="K545" s="2" t="str">
        <f>IFERROR(IF(MARÍTIMOS[[#This Row],[Placa Carreta]]="","",MARÍTIMOS[[#This Row],[Placa Carreta]]),"")</f>
        <v/>
      </c>
      <c r="L545" s="44" t="str">
        <f>IFERROR(IF(MARÍTIMOS[[#This Row],[Conductor]]="","",MARÍTIMOS[[#This Row],[Conductor]]),"")</f>
        <v/>
      </c>
      <c r="M545" s="2" t="str">
        <f>IFERROR(IF(MARÍTIMOS[[#This Row],[Licencia]]="","",MARÍTIMOS[[#This Row],[Licencia]]),"")</f>
        <v/>
      </c>
      <c r="N545" s="2" t="str">
        <f>IFERROR(IF(MARÍTIMOS[[#This Row],[Número de Contacto]]="","",MARÍTIMOS[[#This Row],[Número de Contacto]]),"")</f>
        <v/>
      </c>
      <c r="O545" s="10" t="str">
        <f>IFERROR(IF(MARÍTIMOS[[#This Row],[Booking|AWB|CRT]]="","",MARÍTIMOS[[#This Row],[Booking|AWB|CRT]]),"")</f>
        <v/>
      </c>
      <c r="P545" s="2" t="str">
        <f>IFERROR(IF(MARÍTIMOS[[#This Row],[Contenedor]]="","",MARÍTIMOS[[#This Row],[Contenedor]]),"")</f>
        <v/>
      </c>
      <c r="Q545" s="2" t="str">
        <f>IFERROR(IF(MARÍTIMOS[[#This Row],[Puerto de Retiro]]="","",MARÍTIMOS[[#This Row],[Puerto de Retiro]]),"")</f>
        <v/>
      </c>
      <c r="R545" s="2" t="str">
        <f>IFERROR(IF(MARÍTIMOS[[#This Row],[Almacén de Retiro]]="","",MARÍTIMOS[[#This Row],[Almacén de Retiro]]),"")</f>
        <v/>
      </c>
      <c r="S545" s="11" t="str">
        <f>IFERROR(IF(MARÍTIMOS[[#This Row],[Etapa Retiro - Cita]]="","",MARÍTIMOS[[#This Row],[Etapa Retiro - Cita]]),"")</f>
        <v/>
      </c>
      <c r="T545" s="11" t="str">
        <f>IFERROR(IF(MARÍTIMOS[[#This Row],[Etapa Retiro - Llegada]]="","",MARÍTIMOS[[#This Row],[Etapa Retiro - Llegada]]),"")</f>
        <v/>
      </c>
      <c r="U545" s="11" t="str">
        <f>IFERROR(IF(MARÍTIMOS[[#This Row],[Etapa Retiro - Ingreso]]="","",MARÍTIMOS[[#This Row],[Etapa Retiro - Ingreso]]),"")</f>
        <v/>
      </c>
      <c r="V545" s="11" t="str">
        <f>IFERROR(IF(MARÍTIMOS[[#This Row],[Etapa Retiro - Atención]]="","",MARÍTIMOS[[#This Row],[Etapa Retiro - Atención]]),"")</f>
        <v/>
      </c>
      <c r="W545" s="11" t="str">
        <f>IFERROR(IF(MARÍTIMOS[[#This Row],[Etapa Retiro - Atención]]="","",MARÍTIMOS[[#This Row],[Etapa Retiro - Atención]]),"")</f>
        <v/>
      </c>
      <c r="X545" s="11" t="str">
        <f>IFERROR(IF(MARÍTIMOS[[#This Row],[Etapa Retiro - Inicio de Ruta]]="","",MARÍTIMOS[[#This Row],[Etapa Retiro - Inicio de Ruta]]),"")</f>
        <v/>
      </c>
      <c r="Y545" s="11" t="str">
        <f>IFERROR(IF(MARÍTIMOS[[#This Row],[Hora de Posicionamiento]]="","",MARÍTIMOS[[#This Row],[Fecha de Carga]]+MARÍTIMOS[[#This Row],[Hora de Posicionamiento]]),"")</f>
        <v/>
      </c>
      <c r="Z545" s="11" t="str">
        <f>IFERROR(IF(MARÍTIMOS[[#This Row],[Etapa Despacho - Llegada]]="","",MARÍTIMOS[[#This Row],[Etapa Despacho - Llegada]]),"")</f>
        <v/>
      </c>
      <c r="AA545" s="11" t="str">
        <f>IFERROR(IF(MARÍTIMOS[[#This Row],[Etapa Despacho - Registro]]="","",MARÍTIMOS[[#This Row],[Etapa Despacho - Registro]]),"")</f>
        <v/>
      </c>
      <c r="AB545" s="11" t="str">
        <f>IFERROR(IF(MARÍTIMOS[[#This Row],[Inspección Externa]]="","",MARÍTIMOS[[#This Row],[Inspección Externa]]),"")</f>
        <v/>
      </c>
      <c r="AC545" s="11" t="str">
        <f>IFERROR(IF(MARÍTIMOS[[#This Row],[Etapa Despacho - Inicio de Carga]]="","",MARÍTIMOS[[#This Row],[Etapa Despacho - Inicio de Carga]]),"")</f>
        <v/>
      </c>
      <c r="AD545" s="11" t="str">
        <f>IFERROR(IF(MARÍTIMOS[[#This Row],[Etapa Despacho - Mitad de Carga]]="","",MARÍTIMOS[[#This Row],[Etapa Despacho - Mitad de Carga]]),"")</f>
        <v/>
      </c>
      <c r="AE545" s="11" t="str">
        <f>IFERROR(IF(MARÍTIMOS[[#This Row],[Etapa Despacho - Fin de Carga]]="","",MARÍTIMOS[[#This Row],[Etapa Despacho - Fin de Carga]]),"")</f>
        <v/>
      </c>
      <c r="AF545" s="2" t="str">
        <f>IFERROR(IF(MARÍTIMOS[[#This Row],[Puerto de Embarque]]="","",MARÍTIMOS[[#This Row],[Puerto de Embarque]]),"")</f>
        <v/>
      </c>
      <c r="AG545" s="2" t="str">
        <f>IFERROR(IF(MARÍTIMOS[[#This Row],[Almacén de Ingreso]]="","",MARÍTIMOS[[#This Row],[Almacén de Ingreso]]),"")</f>
        <v/>
      </c>
      <c r="AH545" s="11" t="str">
        <f>IFERROR(IF(MARÍTIMOS[[#This Row],[Etapa Ingreso - Cita]]="","",MARÍTIMOS[[#This Row],[Etapa Ingreso - Cita]]),"")</f>
        <v/>
      </c>
      <c r="AI545" s="11" t="str">
        <f>IFERROR(IF(MARÍTIMOS[[#This Row],[Etapa Ingreso - Llegada]]="","",MARÍTIMOS[[#This Row],[Etapa Ingreso - Llegada]]),"")</f>
        <v/>
      </c>
      <c r="AJ545" s="11" t="str">
        <f>IFERROR(IF(MARÍTIMOS[[#This Row],[Etapa Ingreso - Ingeso]]="","",MARÍTIMOS[[#This Row],[Etapa Ingreso - Ingeso]]),"")</f>
        <v/>
      </c>
      <c r="AK545" s="11" t="str">
        <f>IFERROR(IF(MARÍTIMOS[[#This Row],[Etapa Ingreso - Atención]]="","",MARÍTIMOS[[#This Row],[Etapa Ingreso - Atención]]),"")</f>
        <v/>
      </c>
      <c r="AL545" s="11" t="str">
        <f>IFERROR(IF(MARÍTIMOS[[#This Row],[Etapa Ingreso - Salida]]="","",MARÍTIMOS[[#This Row],[Etapa Ingreso - Salida]]),"")</f>
        <v/>
      </c>
      <c r="AM545" s="2" t="str">
        <f>IFERROR(IF(MARÍTIMOS[[#This Row],[FCL]]="","",MARÍTIMOS[[#This Row],[FCL]]),"")</f>
        <v/>
      </c>
      <c r="AN5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5" s="4" t="str" cm="1">
        <f t="array" ref="AO5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5" s="5" t="str">
        <f>IFERROR(OLDBD[[#This Row],[Llegada a packing]]-OLDBD[[#This Row],[Inicio de Ruta]],"")</f>
        <v/>
      </c>
      <c r="AQ545" s="6" t="str">
        <f>IFERROR(OLDBD[[#This Row],[Inicio de Ruta]]-OLDBD[[#This Row],[Salida de almacén de retiro]],"")</f>
        <v/>
      </c>
      <c r="AR5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5" s="8" t="str" cm="1">
        <f t="array" ref="AS5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5" s="9" t="str">
        <f>IFERROR(OLDBD[[#This Row],[Ingreso Packing]]-OLDBD[[#This Row],[Registro en Packing]],"")</f>
        <v/>
      </c>
      <c r="AV545" s="9" t="str">
        <f>IFERROR(OLDBD[[#This Row],[Ingreso Packing]]-OLDBD[[#This Row],[Llegada a packing]],"")</f>
        <v/>
      </c>
      <c r="AW5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5" s="5" t="str">
        <f>IFERROR(OLDBD[[#This Row],[Llegada Almacén de Ingreso]]-OLDBD[[#This Row],[Salida Packing]],"")</f>
        <v/>
      </c>
      <c r="AY545" s="4" t="str" cm="1">
        <f t="array" ref="AY5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5" s="43" t="s">
        <v>173</v>
      </c>
      <c r="BB545" s="47" t="str">
        <f>IFERROR(IF(MARÍTIMOS[[#This Row],[Estatus]]="","",MARÍTIMOS[[#This Row],[Estatus]]),"")</f>
        <v/>
      </c>
      <c r="BC545" s="43"/>
      <c r="BD545" s="46" t="str">
        <f>IFERROR(OLDBD[[#This Row],[Salida de almacén de retiro]]-OLDBD[[#This Row],[Ingreso Almacén de retiro]],"")</f>
        <v/>
      </c>
      <c r="BE545" s="46" t="str">
        <f>IFERROR(OLDBD[[#This Row],[Fin de Carga]]-OLDBD[[#This Row],[Inicio de Carga]],"")</f>
        <v/>
      </c>
    </row>
    <row r="546" spans="1:57" customFormat="1" hidden="1">
      <c r="A546" s="1"/>
      <c r="B546" s="1" t="str">
        <f>IFERROR(IF(MARÍTIMOS[[#This Row],[PP]]="","",MARÍTIMOS[[#This Row],[PP]]),"")</f>
        <v/>
      </c>
      <c r="C546" s="1" t="str">
        <f>IFERROR(IF(MARÍTIMOS[[#This Row],[Sede]]="","",MARÍTIMOS[[#This Row],[Sede]]),"")</f>
        <v/>
      </c>
      <c r="D546" s="1" t="str">
        <f>IFERROR(IF(MARÍTIMOS[[#This Row],[Instruction]]="","",MARÍTIMOS[[#This Row],[Instruction]]),"")</f>
        <v/>
      </c>
      <c r="E546" s="1"/>
      <c r="F546" s="2" t="str">
        <f>IFERROR(IF(MARÍTIMOS[[#This Row],[Transportista]]="","",MARÍTIMOS[[#This Row],[Transportista]]),"")</f>
        <v/>
      </c>
      <c r="G546" s="2" t="str">
        <f>IFERROR(IF(MARÍTIMOS[[#This Row],[Tercero]]="","",MARÍTIMOS[[#This Row],[Tercero]]),"")</f>
        <v/>
      </c>
      <c r="H546" s="2" t="str">
        <f>IFERROR(IF(MARÍTIMOS[[#This Row],[Razón Social]]="","",MARÍTIMOS[[#This Row],[Razón Social]]),"")</f>
        <v/>
      </c>
      <c r="I546" s="2" t="str">
        <f>IFERROR(IF(MARÍTIMOS[[#This Row],[RUC]]="","",MARÍTIMOS[[#This Row],[RUC]]),"")</f>
        <v/>
      </c>
      <c r="J546" s="2" t="str">
        <f>IFERROR(IF(MARÍTIMOS[[#This Row],[Placa Tracto]]="","",MARÍTIMOS[[#This Row],[Placa Tracto]]),"")</f>
        <v/>
      </c>
      <c r="K546" s="2" t="str">
        <f>IFERROR(IF(MARÍTIMOS[[#This Row],[Placa Carreta]]="","",MARÍTIMOS[[#This Row],[Placa Carreta]]),"")</f>
        <v/>
      </c>
      <c r="L546" s="44" t="str">
        <f>IFERROR(IF(MARÍTIMOS[[#This Row],[Conductor]]="","",MARÍTIMOS[[#This Row],[Conductor]]),"")</f>
        <v/>
      </c>
      <c r="M546" s="2" t="str">
        <f>IFERROR(IF(MARÍTIMOS[[#This Row],[Licencia]]="","",MARÍTIMOS[[#This Row],[Licencia]]),"")</f>
        <v/>
      </c>
      <c r="N546" s="2" t="str">
        <f>IFERROR(IF(MARÍTIMOS[[#This Row],[Número de Contacto]]="","",MARÍTIMOS[[#This Row],[Número de Contacto]]),"")</f>
        <v/>
      </c>
      <c r="O546" s="10" t="str">
        <f>IFERROR(IF(MARÍTIMOS[[#This Row],[Booking|AWB|CRT]]="","",MARÍTIMOS[[#This Row],[Booking|AWB|CRT]]),"")</f>
        <v/>
      </c>
      <c r="P546" s="2" t="str">
        <f>IFERROR(IF(MARÍTIMOS[[#This Row],[Contenedor]]="","",MARÍTIMOS[[#This Row],[Contenedor]]),"")</f>
        <v/>
      </c>
      <c r="Q546" s="2" t="str">
        <f>IFERROR(IF(MARÍTIMOS[[#This Row],[Puerto de Retiro]]="","",MARÍTIMOS[[#This Row],[Puerto de Retiro]]),"")</f>
        <v/>
      </c>
      <c r="R546" s="2" t="str">
        <f>IFERROR(IF(MARÍTIMOS[[#This Row],[Almacén de Retiro]]="","",MARÍTIMOS[[#This Row],[Almacén de Retiro]]),"")</f>
        <v/>
      </c>
      <c r="S546" s="11" t="str">
        <f>IFERROR(IF(MARÍTIMOS[[#This Row],[Etapa Retiro - Cita]]="","",MARÍTIMOS[[#This Row],[Etapa Retiro - Cita]]),"")</f>
        <v/>
      </c>
      <c r="T546" s="11" t="str">
        <f>IFERROR(IF(MARÍTIMOS[[#This Row],[Etapa Retiro - Llegada]]="","",MARÍTIMOS[[#This Row],[Etapa Retiro - Llegada]]),"")</f>
        <v/>
      </c>
      <c r="U546" s="11" t="str">
        <f>IFERROR(IF(MARÍTIMOS[[#This Row],[Etapa Retiro - Ingreso]]="","",MARÍTIMOS[[#This Row],[Etapa Retiro - Ingreso]]),"")</f>
        <v/>
      </c>
      <c r="V546" s="11" t="str">
        <f>IFERROR(IF(MARÍTIMOS[[#This Row],[Etapa Retiro - Atención]]="","",MARÍTIMOS[[#This Row],[Etapa Retiro - Atención]]),"")</f>
        <v/>
      </c>
      <c r="W546" s="11" t="str">
        <f>IFERROR(IF(MARÍTIMOS[[#This Row],[Etapa Retiro - Atención]]="","",MARÍTIMOS[[#This Row],[Etapa Retiro - Atención]]),"")</f>
        <v/>
      </c>
      <c r="X546" s="11" t="str">
        <f>IFERROR(IF(MARÍTIMOS[[#This Row],[Etapa Retiro - Inicio de Ruta]]="","",MARÍTIMOS[[#This Row],[Etapa Retiro - Inicio de Ruta]]),"")</f>
        <v/>
      </c>
      <c r="Y546" s="11" t="str">
        <f>IFERROR(IF(MARÍTIMOS[[#This Row],[Hora de Posicionamiento]]="","",MARÍTIMOS[[#This Row],[Fecha de Carga]]+MARÍTIMOS[[#This Row],[Hora de Posicionamiento]]),"")</f>
        <v/>
      </c>
      <c r="Z546" s="11" t="str">
        <f>IFERROR(IF(MARÍTIMOS[[#This Row],[Etapa Despacho - Llegada]]="","",MARÍTIMOS[[#This Row],[Etapa Despacho - Llegada]]),"")</f>
        <v/>
      </c>
      <c r="AA546" s="11" t="str">
        <f>IFERROR(IF(MARÍTIMOS[[#This Row],[Etapa Despacho - Registro]]="","",MARÍTIMOS[[#This Row],[Etapa Despacho - Registro]]),"")</f>
        <v/>
      </c>
      <c r="AB546" s="11" t="str">
        <f>IFERROR(IF(MARÍTIMOS[[#This Row],[Inspección Externa]]="","",MARÍTIMOS[[#This Row],[Inspección Externa]]),"")</f>
        <v/>
      </c>
      <c r="AC546" s="11" t="str">
        <f>IFERROR(IF(MARÍTIMOS[[#This Row],[Etapa Despacho - Inicio de Carga]]="","",MARÍTIMOS[[#This Row],[Etapa Despacho - Inicio de Carga]]),"")</f>
        <v/>
      </c>
      <c r="AD546" s="11" t="str">
        <f>IFERROR(IF(MARÍTIMOS[[#This Row],[Etapa Despacho - Mitad de Carga]]="","",MARÍTIMOS[[#This Row],[Etapa Despacho - Mitad de Carga]]),"")</f>
        <v/>
      </c>
      <c r="AE546" s="11" t="str">
        <f>IFERROR(IF(MARÍTIMOS[[#This Row],[Etapa Despacho - Fin de Carga]]="","",MARÍTIMOS[[#This Row],[Etapa Despacho - Fin de Carga]]),"")</f>
        <v/>
      </c>
      <c r="AF546" s="2" t="str">
        <f>IFERROR(IF(MARÍTIMOS[[#This Row],[Puerto de Embarque]]="","",MARÍTIMOS[[#This Row],[Puerto de Embarque]]),"")</f>
        <v/>
      </c>
      <c r="AG546" s="2" t="str">
        <f>IFERROR(IF(MARÍTIMOS[[#This Row],[Almacén de Ingreso]]="","",MARÍTIMOS[[#This Row],[Almacén de Ingreso]]),"")</f>
        <v/>
      </c>
      <c r="AH546" s="11" t="str">
        <f>IFERROR(IF(MARÍTIMOS[[#This Row],[Etapa Ingreso - Cita]]="","",MARÍTIMOS[[#This Row],[Etapa Ingreso - Cita]]),"")</f>
        <v/>
      </c>
      <c r="AI546" s="11" t="str">
        <f>IFERROR(IF(MARÍTIMOS[[#This Row],[Etapa Ingreso - Llegada]]="","",MARÍTIMOS[[#This Row],[Etapa Ingreso - Llegada]]),"")</f>
        <v/>
      </c>
      <c r="AJ546" s="11" t="str">
        <f>IFERROR(IF(MARÍTIMOS[[#This Row],[Etapa Ingreso - Ingeso]]="","",MARÍTIMOS[[#This Row],[Etapa Ingreso - Ingeso]]),"")</f>
        <v/>
      </c>
      <c r="AK546" s="11" t="str">
        <f>IFERROR(IF(MARÍTIMOS[[#This Row],[Etapa Ingreso - Atención]]="","",MARÍTIMOS[[#This Row],[Etapa Ingreso - Atención]]),"")</f>
        <v/>
      </c>
      <c r="AL546" s="11" t="str">
        <f>IFERROR(IF(MARÍTIMOS[[#This Row],[Etapa Ingreso - Salida]]="","",MARÍTIMOS[[#This Row],[Etapa Ingreso - Salida]]),"")</f>
        <v/>
      </c>
      <c r="AM546" s="2" t="str">
        <f>IFERROR(IF(MARÍTIMOS[[#This Row],[FCL]]="","",MARÍTIMOS[[#This Row],[FCL]]),"")</f>
        <v/>
      </c>
      <c r="AN5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6" s="4" t="str" cm="1">
        <f t="array" ref="AO5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6" s="5" t="str">
        <f>IFERROR(OLDBD[[#This Row],[Llegada a packing]]-OLDBD[[#This Row],[Inicio de Ruta]],"")</f>
        <v/>
      </c>
      <c r="AQ546" s="6" t="str">
        <f>IFERROR(OLDBD[[#This Row],[Inicio de Ruta]]-OLDBD[[#This Row],[Salida de almacén de retiro]],"")</f>
        <v/>
      </c>
      <c r="AR5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6" s="8" t="str" cm="1">
        <f t="array" ref="AS5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6" s="9" t="str">
        <f>IFERROR(OLDBD[[#This Row],[Ingreso Packing]]-OLDBD[[#This Row],[Registro en Packing]],"")</f>
        <v/>
      </c>
      <c r="AV546" s="9" t="str">
        <f>IFERROR(OLDBD[[#This Row],[Ingreso Packing]]-OLDBD[[#This Row],[Llegada a packing]],"")</f>
        <v/>
      </c>
      <c r="AW5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6" s="5" t="str">
        <f>IFERROR(OLDBD[[#This Row],[Llegada Almacén de Ingreso]]-OLDBD[[#This Row],[Salida Packing]],"")</f>
        <v/>
      </c>
      <c r="AY546" s="4" t="str" cm="1">
        <f t="array" ref="AY5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6" s="43" t="s">
        <v>173</v>
      </c>
      <c r="BB546" s="47" t="str">
        <f>IFERROR(IF(MARÍTIMOS[[#This Row],[Estatus]]="","",MARÍTIMOS[[#This Row],[Estatus]]),"")</f>
        <v/>
      </c>
      <c r="BC546" s="43"/>
      <c r="BD546" s="46" t="str">
        <f>IFERROR(OLDBD[[#This Row],[Salida de almacén de retiro]]-OLDBD[[#This Row],[Ingreso Almacén de retiro]],"")</f>
        <v/>
      </c>
      <c r="BE546" s="46" t="str">
        <f>IFERROR(OLDBD[[#This Row],[Fin de Carga]]-OLDBD[[#This Row],[Inicio de Carga]],"")</f>
        <v/>
      </c>
    </row>
    <row r="547" spans="1:57" customFormat="1" hidden="1">
      <c r="A547" s="1"/>
      <c r="B547" s="1" t="str">
        <f>IFERROR(IF(MARÍTIMOS[[#This Row],[PP]]="","",MARÍTIMOS[[#This Row],[PP]]),"")</f>
        <v/>
      </c>
      <c r="C547" s="1" t="str">
        <f>IFERROR(IF(MARÍTIMOS[[#This Row],[Sede]]="","",MARÍTIMOS[[#This Row],[Sede]]),"")</f>
        <v/>
      </c>
      <c r="D547" s="1" t="str">
        <f>IFERROR(IF(MARÍTIMOS[[#This Row],[Instruction]]="","",MARÍTIMOS[[#This Row],[Instruction]]),"")</f>
        <v/>
      </c>
      <c r="E547" s="1"/>
      <c r="F547" s="2" t="str">
        <f>IFERROR(IF(MARÍTIMOS[[#This Row],[Transportista]]="","",MARÍTIMOS[[#This Row],[Transportista]]),"")</f>
        <v/>
      </c>
      <c r="G547" s="2" t="str">
        <f>IFERROR(IF(MARÍTIMOS[[#This Row],[Tercero]]="","",MARÍTIMOS[[#This Row],[Tercero]]),"")</f>
        <v/>
      </c>
      <c r="H547" s="2" t="str">
        <f>IFERROR(IF(MARÍTIMOS[[#This Row],[Razón Social]]="","",MARÍTIMOS[[#This Row],[Razón Social]]),"")</f>
        <v/>
      </c>
      <c r="I547" s="2" t="str">
        <f>IFERROR(IF(MARÍTIMOS[[#This Row],[RUC]]="","",MARÍTIMOS[[#This Row],[RUC]]),"")</f>
        <v/>
      </c>
      <c r="J547" s="2" t="str">
        <f>IFERROR(IF(MARÍTIMOS[[#This Row],[Placa Tracto]]="","",MARÍTIMOS[[#This Row],[Placa Tracto]]),"")</f>
        <v/>
      </c>
      <c r="K547" s="2" t="str">
        <f>IFERROR(IF(MARÍTIMOS[[#This Row],[Placa Carreta]]="","",MARÍTIMOS[[#This Row],[Placa Carreta]]),"")</f>
        <v/>
      </c>
      <c r="L547" s="44" t="str">
        <f>IFERROR(IF(MARÍTIMOS[[#This Row],[Conductor]]="","",MARÍTIMOS[[#This Row],[Conductor]]),"")</f>
        <v/>
      </c>
      <c r="M547" s="2" t="str">
        <f>IFERROR(IF(MARÍTIMOS[[#This Row],[Licencia]]="","",MARÍTIMOS[[#This Row],[Licencia]]),"")</f>
        <v/>
      </c>
      <c r="N547" s="2" t="str">
        <f>IFERROR(IF(MARÍTIMOS[[#This Row],[Número de Contacto]]="","",MARÍTIMOS[[#This Row],[Número de Contacto]]),"")</f>
        <v/>
      </c>
      <c r="O547" s="10" t="str">
        <f>IFERROR(IF(MARÍTIMOS[[#This Row],[Booking|AWB|CRT]]="","",MARÍTIMOS[[#This Row],[Booking|AWB|CRT]]),"")</f>
        <v/>
      </c>
      <c r="P547" s="2" t="str">
        <f>IFERROR(IF(MARÍTIMOS[[#This Row],[Contenedor]]="","",MARÍTIMOS[[#This Row],[Contenedor]]),"")</f>
        <v/>
      </c>
      <c r="Q547" s="2" t="str">
        <f>IFERROR(IF(MARÍTIMOS[[#This Row],[Puerto de Retiro]]="","",MARÍTIMOS[[#This Row],[Puerto de Retiro]]),"")</f>
        <v/>
      </c>
      <c r="R547" s="2" t="str">
        <f>IFERROR(IF(MARÍTIMOS[[#This Row],[Almacén de Retiro]]="","",MARÍTIMOS[[#This Row],[Almacén de Retiro]]),"")</f>
        <v/>
      </c>
      <c r="S547" s="11" t="str">
        <f>IFERROR(IF(MARÍTIMOS[[#This Row],[Etapa Retiro - Cita]]="","",MARÍTIMOS[[#This Row],[Etapa Retiro - Cita]]),"")</f>
        <v/>
      </c>
      <c r="T547" s="11" t="str">
        <f>IFERROR(IF(MARÍTIMOS[[#This Row],[Etapa Retiro - Llegada]]="","",MARÍTIMOS[[#This Row],[Etapa Retiro - Llegada]]),"")</f>
        <v/>
      </c>
      <c r="U547" s="11" t="str">
        <f>IFERROR(IF(MARÍTIMOS[[#This Row],[Etapa Retiro - Ingreso]]="","",MARÍTIMOS[[#This Row],[Etapa Retiro - Ingreso]]),"")</f>
        <v/>
      </c>
      <c r="V547" s="11" t="str">
        <f>IFERROR(IF(MARÍTIMOS[[#This Row],[Etapa Retiro - Atención]]="","",MARÍTIMOS[[#This Row],[Etapa Retiro - Atención]]),"")</f>
        <v/>
      </c>
      <c r="W547" s="11" t="str">
        <f>IFERROR(IF(MARÍTIMOS[[#This Row],[Etapa Retiro - Atención]]="","",MARÍTIMOS[[#This Row],[Etapa Retiro - Atención]]),"")</f>
        <v/>
      </c>
      <c r="X547" s="11" t="str">
        <f>IFERROR(IF(MARÍTIMOS[[#This Row],[Etapa Retiro - Inicio de Ruta]]="","",MARÍTIMOS[[#This Row],[Etapa Retiro - Inicio de Ruta]]),"")</f>
        <v/>
      </c>
      <c r="Y547" s="11" t="str">
        <f>IFERROR(IF(MARÍTIMOS[[#This Row],[Hora de Posicionamiento]]="","",MARÍTIMOS[[#This Row],[Fecha de Carga]]+MARÍTIMOS[[#This Row],[Hora de Posicionamiento]]),"")</f>
        <v/>
      </c>
      <c r="Z547" s="11" t="str">
        <f>IFERROR(IF(MARÍTIMOS[[#This Row],[Etapa Despacho - Llegada]]="","",MARÍTIMOS[[#This Row],[Etapa Despacho - Llegada]]),"")</f>
        <v/>
      </c>
      <c r="AA547" s="11" t="str">
        <f>IFERROR(IF(MARÍTIMOS[[#This Row],[Etapa Despacho - Registro]]="","",MARÍTIMOS[[#This Row],[Etapa Despacho - Registro]]),"")</f>
        <v/>
      </c>
      <c r="AB547" s="11" t="str">
        <f>IFERROR(IF(MARÍTIMOS[[#This Row],[Inspección Externa]]="","",MARÍTIMOS[[#This Row],[Inspección Externa]]),"")</f>
        <v/>
      </c>
      <c r="AC547" s="11" t="str">
        <f>IFERROR(IF(MARÍTIMOS[[#This Row],[Etapa Despacho - Inicio de Carga]]="","",MARÍTIMOS[[#This Row],[Etapa Despacho - Inicio de Carga]]),"")</f>
        <v/>
      </c>
      <c r="AD547" s="11" t="str">
        <f>IFERROR(IF(MARÍTIMOS[[#This Row],[Etapa Despacho - Mitad de Carga]]="","",MARÍTIMOS[[#This Row],[Etapa Despacho - Mitad de Carga]]),"")</f>
        <v/>
      </c>
      <c r="AE547" s="11" t="str">
        <f>IFERROR(IF(MARÍTIMOS[[#This Row],[Etapa Despacho - Fin de Carga]]="","",MARÍTIMOS[[#This Row],[Etapa Despacho - Fin de Carga]]),"")</f>
        <v/>
      </c>
      <c r="AF547" s="2" t="str">
        <f>IFERROR(IF(MARÍTIMOS[[#This Row],[Puerto de Embarque]]="","",MARÍTIMOS[[#This Row],[Puerto de Embarque]]),"")</f>
        <v/>
      </c>
      <c r="AG547" s="2" t="str">
        <f>IFERROR(IF(MARÍTIMOS[[#This Row],[Almacén de Ingreso]]="","",MARÍTIMOS[[#This Row],[Almacén de Ingreso]]),"")</f>
        <v/>
      </c>
      <c r="AH547" s="11" t="str">
        <f>IFERROR(IF(MARÍTIMOS[[#This Row],[Etapa Ingreso - Cita]]="","",MARÍTIMOS[[#This Row],[Etapa Ingreso - Cita]]),"")</f>
        <v/>
      </c>
      <c r="AI547" s="11" t="str">
        <f>IFERROR(IF(MARÍTIMOS[[#This Row],[Etapa Ingreso - Llegada]]="","",MARÍTIMOS[[#This Row],[Etapa Ingreso - Llegada]]),"")</f>
        <v/>
      </c>
      <c r="AJ547" s="11" t="str">
        <f>IFERROR(IF(MARÍTIMOS[[#This Row],[Etapa Ingreso - Ingeso]]="","",MARÍTIMOS[[#This Row],[Etapa Ingreso - Ingeso]]),"")</f>
        <v/>
      </c>
      <c r="AK547" s="11" t="str">
        <f>IFERROR(IF(MARÍTIMOS[[#This Row],[Etapa Ingreso - Atención]]="","",MARÍTIMOS[[#This Row],[Etapa Ingreso - Atención]]),"")</f>
        <v/>
      </c>
      <c r="AL547" s="11" t="str">
        <f>IFERROR(IF(MARÍTIMOS[[#This Row],[Etapa Ingreso - Salida]]="","",MARÍTIMOS[[#This Row],[Etapa Ingreso - Salida]]),"")</f>
        <v/>
      </c>
      <c r="AM547" s="2" t="str">
        <f>IFERROR(IF(MARÍTIMOS[[#This Row],[FCL]]="","",MARÍTIMOS[[#This Row],[FCL]]),"")</f>
        <v/>
      </c>
      <c r="AN5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7" s="4" t="str" cm="1">
        <f t="array" ref="AO5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7" s="5" t="str">
        <f>IFERROR(OLDBD[[#This Row],[Llegada a packing]]-OLDBD[[#This Row],[Inicio de Ruta]],"")</f>
        <v/>
      </c>
      <c r="AQ547" s="6" t="str">
        <f>IFERROR(OLDBD[[#This Row],[Inicio de Ruta]]-OLDBD[[#This Row],[Salida de almacén de retiro]],"")</f>
        <v/>
      </c>
      <c r="AR5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7" s="8" t="str" cm="1">
        <f t="array" ref="AS5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7" s="9" t="str">
        <f>IFERROR(OLDBD[[#This Row],[Ingreso Packing]]-OLDBD[[#This Row],[Registro en Packing]],"")</f>
        <v/>
      </c>
      <c r="AV547" s="9" t="str">
        <f>IFERROR(OLDBD[[#This Row],[Ingreso Packing]]-OLDBD[[#This Row],[Llegada a packing]],"")</f>
        <v/>
      </c>
      <c r="AW5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7" s="5" t="str">
        <f>IFERROR(OLDBD[[#This Row],[Llegada Almacén de Ingreso]]-OLDBD[[#This Row],[Salida Packing]],"")</f>
        <v/>
      </c>
      <c r="AY547" s="4" t="str" cm="1">
        <f t="array" ref="AY5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7" s="43" t="s">
        <v>173</v>
      </c>
      <c r="BB547" s="47" t="str">
        <f>IFERROR(IF(MARÍTIMOS[[#This Row],[Estatus]]="","",MARÍTIMOS[[#This Row],[Estatus]]),"")</f>
        <v/>
      </c>
      <c r="BC547" s="43"/>
      <c r="BD547" s="46" t="str">
        <f>IFERROR(OLDBD[[#This Row],[Salida de almacén de retiro]]-OLDBD[[#This Row],[Ingreso Almacén de retiro]],"")</f>
        <v/>
      </c>
      <c r="BE547" s="46" t="str">
        <f>IFERROR(OLDBD[[#This Row],[Fin de Carga]]-OLDBD[[#This Row],[Inicio de Carga]],"")</f>
        <v/>
      </c>
    </row>
    <row r="548" spans="1:57" customFormat="1" hidden="1">
      <c r="A548" s="1"/>
      <c r="B548" s="1" t="str">
        <f>IFERROR(IF(MARÍTIMOS[[#This Row],[PP]]="","",MARÍTIMOS[[#This Row],[PP]]),"")</f>
        <v/>
      </c>
      <c r="C548" s="1" t="str">
        <f>IFERROR(IF(MARÍTIMOS[[#This Row],[Sede]]="","",MARÍTIMOS[[#This Row],[Sede]]),"")</f>
        <v/>
      </c>
      <c r="D548" s="1" t="str">
        <f>IFERROR(IF(MARÍTIMOS[[#This Row],[Instruction]]="","",MARÍTIMOS[[#This Row],[Instruction]]),"")</f>
        <v/>
      </c>
      <c r="E548" s="1"/>
      <c r="F548" s="2" t="str">
        <f>IFERROR(IF(MARÍTIMOS[[#This Row],[Transportista]]="","",MARÍTIMOS[[#This Row],[Transportista]]),"")</f>
        <v/>
      </c>
      <c r="G548" s="2" t="str">
        <f>IFERROR(IF(MARÍTIMOS[[#This Row],[Tercero]]="","",MARÍTIMOS[[#This Row],[Tercero]]),"")</f>
        <v/>
      </c>
      <c r="H548" s="2" t="str">
        <f>IFERROR(IF(MARÍTIMOS[[#This Row],[Razón Social]]="","",MARÍTIMOS[[#This Row],[Razón Social]]),"")</f>
        <v/>
      </c>
      <c r="I548" s="2" t="str">
        <f>IFERROR(IF(MARÍTIMOS[[#This Row],[RUC]]="","",MARÍTIMOS[[#This Row],[RUC]]),"")</f>
        <v/>
      </c>
      <c r="J548" s="2" t="str">
        <f>IFERROR(IF(MARÍTIMOS[[#This Row],[Placa Tracto]]="","",MARÍTIMOS[[#This Row],[Placa Tracto]]),"")</f>
        <v/>
      </c>
      <c r="K548" s="2" t="str">
        <f>IFERROR(IF(MARÍTIMOS[[#This Row],[Placa Carreta]]="","",MARÍTIMOS[[#This Row],[Placa Carreta]]),"")</f>
        <v/>
      </c>
      <c r="L548" s="44" t="str">
        <f>IFERROR(IF(MARÍTIMOS[[#This Row],[Conductor]]="","",MARÍTIMOS[[#This Row],[Conductor]]),"")</f>
        <v/>
      </c>
      <c r="M548" s="2" t="str">
        <f>IFERROR(IF(MARÍTIMOS[[#This Row],[Licencia]]="","",MARÍTIMOS[[#This Row],[Licencia]]),"")</f>
        <v/>
      </c>
      <c r="N548" s="2" t="str">
        <f>IFERROR(IF(MARÍTIMOS[[#This Row],[Número de Contacto]]="","",MARÍTIMOS[[#This Row],[Número de Contacto]]),"")</f>
        <v/>
      </c>
      <c r="O548" s="10" t="str">
        <f>IFERROR(IF(MARÍTIMOS[[#This Row],[Booking|AWB|CRT]]="","",MARÍTIMOS[[#This Row],[Booking|AWB|CRT]]),"")</f>
        <v/>
      </c>
      <c r="P548" s="2" t="str">
        <f>IFERROR(IF(MARÍTIMOS[[#This Row],[Contenedor]]="","",MARÍTIMOS[[#This Row],[Contenedor]]),"")</f>
        <v/>
      </c>
      <c r="Q548" s="2" t="str">
        <f>IFERROR(IF(MARÍTIMOS[[#This Row],[Puerto de Retiro]]="","",MARÍTIMOS[[#This Row],[Puerto de Retiro]]),"")</f>
        <v/>
      </c>
      <c r="R548" s="2" t="str">
        <f>IFERROR(IF(MARÍTIMOS[[#This Row],[Almacén de Retiro]]="","",MARÍTIMOS[[#This Row],[Almacén de Retiro]]),"")</f>
        <v/>
      </c>
      <c r="S548" s="11" t="str">
        <f>IFERROR(IF(MARÍTIMOS[[#This Row],[Etapa Retiro - Cita]]="","",MARÍTIMOS[[#This Row],[Etapa Retiro - Cita]]),"")</f>
        <v/>
      </c>
      <c r="T548" s="11" t="str">
        <f>IFERROR(IF(MARÍTIMOS[[#This Row],[Etapa Retiro - Llegada]]="","",MARÍTIMOS[[#This Row],[Etapa Retiro - Llegada]]),"")</f>
        <v/>
      </c>
      <c r="U548" s="11" t="str">
        <f>IFERROR(IF(MARÍTIMOS[[#This Row],[Etapa Retiro - Ingreso]]="","",MARÍTIMOS[[#This Row],[Etapa Retiro - Ingreso]]),"")</f>
        <v/>
      </c>
      <c r="V548" s="11" t="str">
        <f>IFERROR(IF(MARÍTIMOS[[#This Row],[Etapa Retiro - Atención]]="","",MARÍTIMOS[[#This Row],[Etapa Retiro - Atención]]),"")</f>
        <v/>
      </c>
      <c r="W548" s="11" t="str">
        <f>IFERROR(IF(MARÍTIMOS[[#This Row],[Etapa Retiro - Atención]]="","",MARÍTIMOS[[#This Row],[Etapa Retiro - Atención]]),"")</f>
        <v/>
      </c>
      <c r="X548" s="11" t="str">
        <f>IFERROR(IF(MARÍTIMOS[[#This Row],[Etapa Retiro - Inicio de Ruta]]="","",MARÍTIMOS[[#This Row],[Etapa Retiro - Inicio de Ruta]]),"")</f>
        <v/>
      </c>
      <c r="Y548" s="11" t="str">
        <f>IFERROR(IF(MARÍTIMOS[[#This Row],[Hora de Posicionamiento]]="","",MARÍTIMOS[[#This Row],[Fecha de Carga]]+MARÍTIMOS[[#This Row],[Hora de Posicionamiento]]),"")</f>
        <v/>
      </c>
      <c r="Z548" s="11" t="str">
        <f>IFERROR(IF(MARÍTIMOS[[#This Row],[Etapa Despacho - Llegada]]="","",MARÍTIMOS[[#This Row],[Etapa Despacho - Llegada]]),"")</f>
        <v/>
      </c>
      <c r="AA548" s="11" t="str">
        <f>IFERROR(IF(MARÍTIMOS[[#This Row],[Etapa Despacho - Registro]]="","",MARÍTIMOS[[#This Row],[Etapa Despacho - Registro]]),"")</f>
        <v/>
      </c>
      <c r="AB548" s="11" t="str">
        <f>IFERROR(IF(MARÍTIMOS[[#This Row],[Inspección Externa]]="","",MARÍTIMOS[[#This Row],[Inspección Externa]]),"")</f>
        <v/>
      </c>
      <c r="AC548" s="11" t="str">
        <f>IFERROR(IF(MARÍTIMOS[[#This Row],[Etapa Despacho - Inicio de Carga]]="","",MARÍTIMOS[[#This Row],[Etapa Despacho - Inicio de Carga]]),"")</f>
        <v/>
      </c>
      <c r="AD548" s="11" t="str">
        <f>IFERROR(IF(MARÍTIMOS[[#This Row],[Etapa Despacho - Mitad de Carga]]="","",MARÍTIMOS[[#This Row],[Etapa Despacho - Mitad de Carga]]),"")</f>
        <v/>
      </c>
      <c r="AE548" s="11" t="str">
        <f>IFERROR(IF(MARÍTIMOS[[#This Row],[Etapa Despacho - Fin de Carga]]="","",MARÍTIMOS[[#This Row],[Etapa Despacho - Fin de Carga]]),"")</f>
        <v/>
      </c>
      <c r="AF548" s="2" t="str">
        <f>IFERROR(IF(MARÍTIMOS[[#This Row],[Puerto de Embarque]]="","",MARÍTIMOS[[#This Row],[Puerto de Embarque]]),"")</f>
        <v/>
      </c>
      <c r="AG548" s="2" t="str">
        <f>IFERROR(IF(MARÍTIMOS[[#This Row],[Almacén de Ingreso]]="","",MARÍTIMOS[[#This Row],[Almacén de Ingreso]]),"")</f>
        <v/>
      </c>
      <c r="AH548" s="11" t="str">
        <f>IFERROR(IF(MARÍTIMOS[[#This Row],[Etapa Ingreso - Cita]]="","",MARÍTIMOS[[#This Row],[Etapa Ingreso - Cita]]),"")</f>
        <v/>
      </c>
      <c r="AI548" s="11" t="str">
        <f>IFERROR(IF(MARÍTIMOS[[#This Row],[Etapa Ingreso - Llegada]]="","",MARÍTIMOS[[#This Row],[Etapa Ingreso - Llegada]]),"")</f>
        <v/>
      </c>
      <c r="AJ548" s="11" t="str">
        <f>IFERROR(IF(MARÍTIMOS[[#This Row],[Etapa Ingreso - Ingeso]]="","",MARÍTIMOS[[#This Row],[Etapa Ingreso - Ingeso]]),"")</f>
        <v/>
      </c>
      <c r="AK548" s="11" t="str">
        <f>IFERROR(IF(MARÍTIMOS[[#This Row],[Etapa Ingreso - Atención]]="","",MARÍTIMOS[[#This Row],[Etapa Ingreso - Atención]]),"")</f>
        <v/>
      </c>
      <c r="AL548" s="11" t="str">
        <f>IFERROR(IF(MARÍTIMOS[[#This Row],[Etapa Ingreso - Salida]]="","",MARÍTIMOS[[#This Row],[Etapa Ingreso - Salida]]),"")</f>
        <v/>
      </c>
      <c r="AM548" s="2" t="str">
        <f>IFERROR(IF(MARÍTIMOS[[#This Row],[FCL]]="","",MARÍTIMOS[[#This Row],[FCL]]),"")</f>
        <v/>
      </c>
      <c r="AN5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8" s="4" t="str" cm="1">
        <f t="array" ref="AO5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8" s="5" t="str">
        <f>IFERROR(OLDBD[[#This Row],[Llegada a packing]]-OLDBD[[#This Row],[Inicio de Ruta]],"")</f>
        <v/>
      </c>
      <c r="AQ548" s="6" t="str">
        <f>IFERROR(OLDBD[[#This Row],[Inicio de Ruta]]-OLDBD[[#This Row],[Salida de almacén de retiro]],"")</f>
        <v/>
      </c>
      <c r="AR5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8" s="8" t="str" cm="1">
        <f t="array" ref="AS5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8" s="9" t="str">
        <f>IFERROR(OLDBD[[#This Row],[Ingreso Packing]]-OLDBD[[#This Row],[Registro en Packing]],"")</f>
        <v/>
      </c>
      <c r="AV548" s="9" t="str">
        <f>IFERROR(OLDBD[[#This Row],[Ingreso Packing]]-OLDBD[[#This Row],[Llegada a packing]],"")</f>
        <v/>
      </c>
      <c r="AW5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8" s="5" t="str">
        <f>IFERROR(OLDBD[[#This Row],[Llegada Almacén de Ingreso]]-OLDBD[[#This Row],[Salida Packing]],"")</f>
        <v/>
      </c>
      <c r="AY548" s="4" t="str" cm="1">
        <f t="array" ref="AY5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8" s="43" t="s">
        <v>173</v>
      </c>
      <c r="BB548" s="47" t="str">
        <f>IFERROR(IF(MARÍTIMOS[[#This Row],[Estatus]]="","",MARÍTIMOS[[#This Row],[Estatus]]),"")</f>
        <v/>
      </c>
      <c r="BC548" s="43"/>
      <c r="BD548" s="46" t="str">
        <f>IFERROR(OLDBD[[#This Row],[Salida de almacén de retiro]]-OLDBD[[#This Row],[Ingreso Almacén de retiro]],"")</f>
        <v/>
      </c>
      <c r="BE548" s="46" t="str">
        <f>IFERROR(OLDBD[[#This Row],[Fin de Carga]]-OLDBD[[#This Row],[Inicio de Carga]],"")</f>
        <v/>
      </c>
    </row>
    <row r="549" spans="1:57" customFormat="1" hidden="1">
      <c r="A549" s="1"/>
      <c r="B549" s="1" t="str">
        <f>IFERROR(IF(MARÍTIMOS[[#This Row],[PP]]="","",MARÍTIMOS[[#This Row],[PP]]),"")</f>
        <v/>
      </c>
      <c r="C549" s="1" t="str">
        <f>IFERROR(IF(MARÍTIMOS[[#This Row],[Sede]]="","",MARÍTIMOS[[#This Row],[Sede]]),"")</f>
        <v/>
      </c>
      <c r="D549" s="1" t="str">
        <f>IFERROR(IF(MARÍTIMOS[[#This Row],[Instruction]]="","",MARÍTIMOS[[#This Row],[Instruction]]),"")</f>
        <v/>
      </c>
      <c r="E549" s="1"/>
      <c r="F549" s="2" t="str">
        <f>IFERROR(IF(MARÍTIMOS[[#This Row],[Transportista]]="","",MARÍTIMOS[[#This Row],[Transportista]]),"")</f>
        <v/>
      </c>
      <c r="G549" s="2" t="str">
        <f>IFERROR(IF(MARÍTIMOS[[#This Row],[Tercero]]="","",MARÍTIMOS[[#This Row],[Tercero]]),"")</f>
        <v/>
      </c>
      <c r="H549" s="2" t="str">
        <f>IFERROR(IF(MARÍTIMOS[[#This Row],[Razón Social]]="","",MARÍTIMOS[[#This Row],[Razón Social]]),"")</f>
        <v/>
      </c>
      <c r="I549" s="2" t="str">
        <f>IFERROR(IF(MARÍTIMOS[[#This Row],[RUC]]="","",MARÍTIMOS[[#This Row],[RUC]]),"")</f>
        <v/>
      </c>
      <c r="J549" s="2" t="str">
        <f>IFERROR(IF(MARÍTIMOS[[#This Row],[Placa Tracto]]="","",MARÍTIMOS[[#This Row],[Placa Tracto]]),"")</f>
        <v/>
      </c>
      <c r="K549" s="2" t="str">
        <f>IFERROR(IF(MARÍTIMOS[[#This Row],[Placa Carreta]]="","",MARÍTIMOS[[#This Row],[Placa Carreta]]),"")</f>
        <v/>
      </c>
      <c r="L549" s="44" t="str">
        <f>IFERROR(IF(MARÍTIMOS[[#This Row],[Conductor]]="","",MARÍTIMOS[[#This Row],[Conductor]]),"")</f>
        <v/>
      </c>
      <c r="M549" s="2" t="str">
        <f>IFERROR(IF(MARÍTIMOS[[#This Row],[Licencia]]="","",MARÍTIMOS[[#This Row],[Licencia]]),"")</f>
        <v/>
      </c>
      <c r="N549" s="2" t="str">
        <f>IFERROR(IF(MARÍTIMOS[[#This Row],[Número de Contacto]]="","",MARÍTIMOS[[#This Row],[Número de Contacto]]),"")</f>
        <v/>
      </c>
      <c r="O549" s="10" t="str">
        <f>IFERROR(IF(MARÍTIMOS[[#This Row],[Booking|AWB|CRT]]="","",MARÍTIMOS[[#This Row],[Booking|AWB|CRT]]),"")</f>
        <v/>
      </c>
      <c r="P549" s="2" t="str">
        <f>IFERROR(IF(MARÍTIMOS[[#This Row],[Contenedor]]="","",MARÍTIMOS[[#This Row],[Contenedor]]),"")</f>
        <v/>
      </c>
      <c r="Q549" s="2" t="str">
        <f>IFERROR(IF(MARÍTIMOS[[#This Row],[Puerto de Retiro]]="","",MARÍTIMOS[[#This Row],[Puerto de Retiro]]),"")</f>
        <v/>
      </c>
      <c r="R549" s="2" t="str">
        <f>IFERROR(IF(MARÍTIMOS[[#This Row],[Almacén de Retiro]]="","",MARÍTIMOS[[#This Row],[Almacén de Retiro]]),"")</f>
        <v/>
      </c>
      <c r="S549" s="11" t="str">
        <f>IFERROR(IF(MARÍTIMOS[[#This Row],[Etapa Retiro - Cita]]="","",MARÍTIMOS[[#This Row],[Etapa Retiro - Cita]]),"")</f>
        <v/>
      </c>
      <c r="T549" s="11" t="str">
        <f>IFERROR(IF(MARÍTIMOS[[#This Row],[Etapa Retiro - Llegada]]="","",MARÍTIMOS[[#This Row],[Etapa Retiro - Llegada]]),"")</f>
        <v/>
      </c>
      <c r="U549" s="11" t="str">
        <f>IFERROR(IF(MARÍTIMOS[[#This Row],[Etapa Retiro - Ingreso]]="","",MARÍTIMOS[[#This Row],[Etapa Retiro - Ingreso]]),"")</f>
        <v/>
      </c>
      <c r="V549" s="11" t="str">
        <f>IFERROR(IF(MARÍTIMOS[[#This Row],[Etapa Retiro - Atención]]="","",MARÍTIMOS[[#This Row],[Etapa Retiro - Atención]]),"")</f>
        <v/>
      </c>
      <c r="W549" s="11" t="str">
        <f>IFERROR(IF(MARÍTIMOS[[#This Row],[Etapa Retiro - Atención]]="","",MARÍTIMOS[[#This Row],[Etapa Retiro - Atención]]),"")</f>
        <v/>
      </c>
      <c r="X549" s="11" t="str">
        <f>IFERROR(IF(MARÍTIMOS[[#This Row],[Etapa Retiro - Inicio de Ruta]]="","",MARÍTIMOS[[#This Row],[Etapa Retiro - Inicio de Ruta]]),"")</f>
        <v/>
      </c>
      <c r="Y549" s="11" t="str">
        <f>IFERROR(IF(MARÍTIMOS[[#This Row],[Hora de Posicionamiento]]="","",MARÍTIMOS[[#This Row],[Fecha de Carga]]+MARÍTIMOS[[#This Row],[Hora de Posicionamiento]]),"")</f>
        <v/>
      </c>
      <c r="Z549" s="11" t="str">
        <f>IFERROR(IF(MARÍTIMOS[[#This Row],[Etapa Despacho - Llegada]]="","",MARÍTIMOS[[#This Row],[Etapa Despacho - Llegada]]),"")</f>
        <v/>
      </c>
      <c r="AA549" s="11" t="str">
        <f>IFERROR(IF(MARÍTIMOS[[#This Row],[Etapa Despacho - Registro]]="","",MARÍTIMOS[[#This Row],[Etapa Despacho - Registro]]),"")</f>
        <v/>
      </c>
      <c r="AB549" s="11" t="str">
        <f>IFERROR(IF(MARÍTIMOS[[#This Row],[Inspección Externa]]="","",MARÍTIMOS[[#This Row],[Inspección Externa]]),"")</f>
        <v/>
      </c>
      <c r="AC549" s="11" t="str">
        <f>IFERROR(IF(MARÍTIMOS[[#This Row],[Etapa Despacho - Inicio de Carga]]="","",MARÍTIMOS[[#This Row],[Etapa Despacho - Inicio de Carga]]),"")</f>
        <v/>
      </c>
      <c r="AD549" s="11" t="str">
        <f>IFERROR(IF(MARÍTIMOS[[#This Row],[Etapa Despacho - Mitad de Carga]]="","",MARÍTIMOS[[#This Row],[Etapa Despacho - Mitad de Carga]]),"")</f>
        <v/>
      </c>
      <c r="AE549" s="11" t="str">
        <f>IFERROR(IF(MARÍTIMOS[[#This Row],[Etapa Despacho - Fin de Carga]]="","",MARÍTIMOS[[#This Row],[Etapa Despacho - Fin de Carga]]),"")</f>
        <v/>
      </c>
      <c r="AF549" s="2" t="str">
        <f>IFERROR(IF(MARÍTIMOS[[#This Row],[Puerto de Embarque]]="","",MARÍTIMOS[[#This Row],[Puerto de Embarque]]),"")</f>
        <v/>
      </c>
      <c r="AG549" s="2" t="str">
        <f>IFERROR(IF(MARÍTIMOS[[#This Row],[Almacén de Ingreso]]="","",MARÍTIMOS[[#This Row],[Almacén de Ingreso]]),"")</f>
        <v/>
      </c>
      <c r="AH549" s="11" t="str">
        <f>IFERROR(IF(MARÍTIMOS[[#This Row],[Etapa Ingreso - Cita]]="","",MARÍTIMOS[[#This Row],[Etapa Ingreso - Cita]]),"")</f>
        <v/>
      </c>
      <c r="AI549" s="11" t="str">
        <f>IFERROR(IF(MARÍTIMOS[[#This Row],[Etapa Ingreso - Llegada]]="","",MARÍTIMOS[[#This Row],[Etapa Ingreso - Llegada]]),"")</f>
        <v/>
      </c>
      <c r="AJ549" s="11" t="str">
        <f>IFERROR(IF(MARÍTIMOS[[#This Row],[Etapa Ingreso - Ingeso]]="","",MARÍTIMOS[[#This Row],[Etapa Ingreso - Ingeso]]),"")</f>
        <v/>
      </c>
      <c r="AK549" s="11" t="str">
        <f>IFERROR(IF(MARÍTIMOS[[#This Row],[Etapa Ingreso - Atención]]="","",MARÍTIMOS[[#This Row],[Etapa Ingreso - Atención]]),"")</f>
        <v/>
      </c>
      <c r="AL549" s="11" t="str">
        <f>IFERROR(IF(MARÍTIMOS[[#This Row],[Etapa Ingreso - Salida]]="","",MARÍTIMOS[[#This Row],[Etapa Ingreso - Salida]]),"")</f>
        <v/>
      </c>
      <c r="AM549" s="2" t="str">
        <f>IFERROR(IF(MARÍTIMOS[[#This Row],[FCL]]="","",MARÍTIMOS[[#This Row],[FCL]]),"")</f>
        <v/>
      </c>
      <c r="AN5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49" s="4" t="str" cm="1">
        <f t="array" ref="AO5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49" s="5" t="str">
        <f>IFERROR(OLDBD[[#This Row],[Llegada a packing]]-OLDBD[[#This Row],[Inicio de Ruta]],"")</f>
        <v/>
      </c>
      <c r="AQ549" s="6" t="str">
        <f>IFERROR(OLDBD[[#This Row],[Inicio de Ruta]]-OLDBD[[#This Row],[Salida de almacén de retiro]],"")</f>
        <v/>
      </c>
      <c r="AR5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49" s="8" t="str" cm="1">
        <f t="array" ref="AS5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49" s="9" t="str">
        <f>IFERROR(OLDBD[[#This Row],[Ingreso Packing]]-OLDBD[[#This Row],[Registro en Packing]],"")</f>
        <v/>
      </c>
      <c r="AV549" s="9" t="str">
        <f>IFERROR(OLDBD[[#This Row],[Ingreso Packing]]-OLDBD[[#This Row],[Llegada a packing]],"")</f>
        <v/>
      </c>
      <c r="AW5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49" s="5" t="str">
        <f>IFERROR(OLDBD[[#This Row],[Llegada Almacén de Ingreso]]-OLDBD[[#This Row],[Salida Packing]],"")</f>
        <v/>
      </c>
      <c r="AY549" s="4" t="str" cm="1">
        <f t="array" ref="AY5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49" s="43" t="s">
        <v>173</v>
      </c>
      <c r="BB549" s="47" t="str">
        <f>IFERROR(IF(MARÍTIMOS[[#This Row],[Estatus]]="","",MARÍTIMOS[[#This Row],[Estatus]]),"")</f>
        <v/>
      </c>
      <c r="BC549" s="43"/>
      <c r="BD549" s="46" t="str">
        <f>IFERROR(OLDBD[[#This Row],[Salida de almacén de retiro]]-OLDBD[[#This Row],[Ingreso Almacén de retiro]],"")</f>
        <v/>
      </c>
      <c r="BE549" s="46" t="str">
        <f>IFERROR(OLDBD[[#This Row],[Fin de Carga]]-OLDBD[[#This Row],[Inicio de Carga]],"")</f>
        <v/>
      </c>
    </row>
    <row r="550" spans="1:57" customFormat="1" hidden="1">
      <c r="A550" s="1"/>
      <c r="B550" s="1" t="str">
        <f>IFERROR(IF(MARÍTIMOS[[#This Row],[PP]]="","",MARÍTIMOS[[#This Row],[PP]]),"")</f>
        <v/>
      </c>
      <c r="C550" s="1" t="str">
        <f>IFERROR(IF(MARÍTIMOS[[#This Row],[Sede]]="","",MARÍTIMOS[[#This Row],[Sede]]),"")</f>
        <v/>
      </c>
      <c r="D550" s="1" t="str">
        <f>IFERROR(IF(MARÍTIMOS[[#This Row],[Instruction]]="","",MARÍTIMOS[[#This Row],[Instruction]]),"")</f>
        <v/>
      </c>
      <c r="E550" s="1"/>
      <c r="F550" s="2" t="str">
        <f>IFERROR(IF(MARÍTIMOS[[#This Row],[Transportista]]="","",MARÍTIMOS[[#This Row],[Transportista]]),"")</f>
        <v/>
      </c>
      <c r="G550" s="2" t="str">
        <f>IFERROR(IF(MARÍTIMOS[[#This Row],[Tercero]]="","",MARÍTIMOS[[#This Row],[Tercero]]),"")</f>
        <v/>
      </c>
      <c r="H550" s="2" t="str">
        <f>IFERROR(IF(MARÍTIMOS[[#This Row],[Razón Social]]="","",MARÍTIMOS[[#This Row],[Razón Social]]),"")</f>
        <v/>
      </c>
      <c r="I550" s="2" t="str">
        <f>IFERROR(IF(MARÍTIMOS[[#This Row],[RUC]]="","",MARÍTIMOS[[#This Row],[RUC]]),"")</f>
        <v/>
      </c>
      <c r="J550" s="2" t="str">
        <f>IFERROR(IF(MARÍTIMOS[[#This Row],[Placa Tracto]]="","",MARÍTIMOS[[#This Row],[Placa Tracto]]),"")</f>
        <v/>
      </c>
      <c r="K550" s="2" t="str">
        <f>IFERROR(IF(MARÍTIMOS[[#This Row],[Placa Carreta]]="","",MARÍTIMOS[[#This Row],[Placa Carreta]]),"")</f>
        <v/>
      </c>
      <c r="L550" s="44" t="str">
        <f>IFERROR(IF(MARÍTIMOS[[#This Row],[Conductor]]="","",MARÍTIMOS[[#This Row],[Conductor]]),"")</f>
        <v/>
      </c>
      <c r="M550" s="2" t="str">
        <f>IFERROR(IF(MARÍTIMOS[[#This Row],[Licencia]]="","",MARÍTIMOS[[#This Row],[Licencia]]),"")</f>
        <v/>
      </c>
      <c r="N550" s="2" t="str">
        <f>IFERROR(IF(MARÍTIMOS[[#This Row],[Número de Contacto]]="","",MARÍTIMOS[[#This Row],[Número de Contacto]]),"")</f>
        <v/>
      </c>
      <c r="O550" s="10" t="str">
        <f>IFERROR(IF(MARÍTIMOS[[#This Row],[Booking|AWB|CRT]]="","",MARÍTIMOS[[#This Row],[Booking|AWB|CRT]]),"")</f>
        <v/>
      </c>
      <c r="P550" s="2" t="str">
        <f>IFERROR(IF(MARÍTIMOS[[#This Row],[Contenedor]]="","",MARÍTIMOS[[#This Row],[Contenedor]]),"")</f>
        <v/>
      </c>
      <c r="Q550" s="2" t="str">
        <f>IFERROR(IF(MARÍTIMOS[[#This Row],[Puerto de Retiro]]="","",MARÍTIMOS[[#This Row],[Puerto de Retiro]]),"")</f>
        <v/>
      </c>
      <c r="R550" s="2" t="str">
        <f>IFERROR(IF(MARÍTIMOS[[#This Row],[Almacén de Retiro]]="","",MARÍTIMOS[[#This Row],[Almacén de Retiro]]),"")</f>
        <v/>
      </c>
      <c r="S550" s="11" t="str">
        <f>IFERROR(IF(MARÍTIMOS[[#This Row],[Etapa Retiro - Cita]]="","",MARÍTIMOS[[#This Row],[Etapa Retiro - Cita]]),"")</f>
        <v/>
      </c>
      <c r="T550" s="11" t="str">
        <f>IFERROR(IF(MARÍTIMOS[[#This Row],[Etapa Retiro - Llegada]]="","",MARÍTIMOS[[#This Row],[Etapa Retiro - Llegada]]),"")</f>
        <v/>
      </c>
      <c r="U550" s="11" t="str">
        <f>IFERROR(IF(MARÍTIMOS[[#This Row],[Etapa Retiro - Ingreso]]="","",MARÍTIMOS[[#This Row],[Etapa Retiro - Ingreso]]),"")</f>
        <v/>
      </c>
      <c r="V550" s="11" t="str">
        <f>IFERROR(IF(MARÍTIMOS[[#This Row],[Etapa Retiro - Atención]]="","",MARÍTIMOS[[#This Row],[Etapa Retiro - Atención]]),"")</f>
        <v/>
      </c>
      <c r="W550" s="11" t="str">
        <f>IFERROR(IF(MARÍTIMOS[[#This Row],[Etapa Retiro - Atención]]="","",MARÍTIMOS[[#This Row],[Etapa Retiro - Atención]]),"")</f>
        <v/>
      </c>
      <c r="X550" s="11" t="str">
        <f>IFERROR(IF(MARÍTIMOS[[#This Row],[Etapa Retiro - Inicio de Ruta]]="","",MARÍTIMOS[[#This Row],[Etapa Retiro - Inicio de Ruta]]),"")</f>
        <v/>
      </c>
      <c r="Y550" s="11" t="str">
        <f>IFERROR(IF(MARÍTIMOS[[#This Row],[Hora de Posicionamiento]]="","",MARÍTIMOS[[#This Row],[Fecha de Carga]]+MARÍTIMOS[[#This Row],[Hora de Posicionamiento]]),"")</f>
        <v/>
      </c>
      <c r="Z550" s="11" t="str">
        <f>IFERROR(IF(MARÍTIMOS[[#This Row],[Etapa Despacho - Llegada]]="","",MARÍTIMOS[[#This Row],[Etapa Despacho - Llegada]]),"")</f>
        <v/>
      </c>
      <c r="AA550" s="11" t="str">
        <f>IFERROR(IF(MARÍTIMOS[[#This Row],[Etapa Despacho - Registro]]="","",MARÍTIMOS[[#This Row],[Etapa Despacho - Registro]]),"")</f>
        <v/>
      </c>
      <c r="AB550" s="11" t="str">
        <f>IFERROR(IF(MARÍTIMOS[[#This Row],[Inspección Externa]]="","",MARÍTIMOS[[#This Row],[Inspección Externa]]),"")</f>
        <v/>
      </c>
      <c r="AC550" s="11" t="str">
        <f>IFERROR(IF(MARÍTIMOS[[#This Row],[Etapa Despacho - Inicio de Carga]]="","",MARÍTIMOS[[#This Row],[Etapa Despacho - Inicio de Carga]]),"")</f>
        <v/>
      </c>
      <c r="AD550" s="11" t="str">
        <f>IFERROR(IF(MARÍTIMOS[[#This Row],[Etapa Despacho - Mitad de Carga]]="","",MARÍTIMOS[[#This Row],[Etapa Despacho - Mitad de Carga]]),"")</f>
        <v/>
      </c>
      <c r="AE550" s="11" t="str">
        <f>IFERROR(IF(MARÍTIMOS[[#This Row],[Etapa Despacho - Fin de Carga]]="","",MARÍTIMOS[[#This Row],[Etapa Despacho - Fin de Carga]]),"")</f>
        <v/>
      </c>
      <c r="AF550" s="2" t="str">
        <f>IFERROR(IF(MARÍTIMOS[[#This Row],[Puerto de Embarque]]="","",MARÍTIMOS[[#This Row],[Puerto de Embarque]]),"")</f>
        <v/>
      </c>
      <c r="AG550" s="2" t="str">
        <f>IFERROR(IF(MARÍTIMOS[[#This Row],[Almacén de Ingreso]]="","",MARÍTIMOS[[#This Row],[Almacén de Ingreso]]),"")</f>
        <v/>
      </c>
      <c r="AH550" s="11" t="str">
        <f>IFERROR(IF(MARÍTIMOS[[#This Row],[Etapa Ingreso - Cita]]="","",MARÍTIMOS[[#This Row],[Etapa Ingreso - Cita]]),"")</f>
        <v/>
      </c>
      <c r="AI550" s="11" t="str">
        <f>IFERROR(IF(MARÍTIMOS[[#This Row],[Etapa Ingreso - Llegada]]="","",MARÍTIMOS[[#This Row],[Etapa Ingreso - Llegada]]),"")</f>
        <v/>
      </c>
      <c r="AJ550" s="11" t="str">
        <f>IFERROR(IF(MARÍTIMOS[[#This Row],[Etapa Ingreso - Ingeso]]="","",MARÍTIMOS[[#This Row],[Etapa Ingreso - Ingeso]]),"")</f>
        <v/>
      </c>
      <c r="AK550" s="11" t="str">
        <f>IFERROR(IF(MARÍTIMOS[[#This Row],[Etapa Ingreso - Atención]]="","",MARÍTIMOS[[#This Row],[Etapa Ingreso - Atención]]),"")</f>
        <v/>
      </c>
      <c r="AL550" s="11" t="str">
        <f>IFERROR(IF(MARÍTIMOS[[#This Row],[Etapa Ingreso - Salida]]="","",MARÍTIMOS[[#This Row],[Etapa Ingreso - Salida]]),"")</f>
        <v/>
      </c>
      <c r="AM550" s="2" t="str">
        <f>IFERROR(IF(MARÍTIMOS[[#This Row],[FCL]]="","",MARÍTIMOS[[#This Row],[FCL]]),"")</f>
        <v/>
      </c>
      <c r="AN5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0" s="4" t="str" cm="1">
        <f t="array" ref="AO5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0" s="5" t="str">
        <f>IFERROR(OLDBD[[#This Row],[Llegada a packing]]-OLDBD[[#This Row],[Inicio de Ruta]],"")</f>
        <v/>
      </c>
      <c r="AQ550" s="6" t="str">
        <f>IFERROR(OLDBD[[#This Row],[Inicio de Ruta]]-OLDBD[[#This Row],[Salida de almacén de retiro]],"")</f>
        <v/>
      </c>
      <c r="AR5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0" s="8" t="str" cm="1">
        <f t="array" ref="AS5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0" s="9" t="str">
        <f>IFERROR(OLDBD[[#This Row],[Ingreso Packing]]-OLDBD[[#This Row],[Registro en Packing]],"")</f>
        <v/>
      </c>
      <c r="AV550" s="9" t="str">
        <f>IFERROR(OLDBD[[#This Row],[Ingreso Packing]]-OLDBD[[#This Row],[Llegada a packing]],"")</f>
        <v/>
      </c>
      <c r="AW5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0" s="5" t="str">
        <f>IFERROR(OLDBD[[#This Row],[Llegada Almacén de Ingreso]]-OLDBD[[#This Row],[Salida Packing]],"")</f>
        <v/>
      </c>
      <c r="AY550" s="4" t="str" cm="1">
        <f t="array" ref="AY5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0" s="43" t="s">
        <v>173</v>
      </c>
      <c r="BB550" s="47" t="str">
        <f>IFERROR(IF(MARÍTIMOS[[#This Row],[Estatus]]="","",MARÍTIMOS[[#This Row],[Estatus]]),"")</f>
        <v/>
      </c>
      <c r="BC550" s="43"/>
      <c r="BD550" s="46" t="str">
        <f>IFERROR(OLDBD[[#This Row],[Salida de almacén de retiro]]-OLDBD[[#This Row],[Ingreso Almacén de retiro]],"")</f>
        <v/>
      </c>
      <c r="BE550" s="46" t="str">
        <f>IFERROR(OLDBD[[#This Row],[Fin de Carga]]-OLDBD[[#This Row],[Inicio de Carga]],"")</f>
        <v/>
      </c>
    </row>
    <row r="551" spans="1:57" customFormat="1" hidden="1">
      <c r="A551" s="1"/>
      <c r="B551" s="1" t="str">
        <f>IFERROR(IF(MARÍTIMOS[[#This Row],[PP]]="","",MARÍTIMOS[[#This Row],[PP]]),"")</f>
        <v/>
      </c>
      <c r="C551" s="1" t="str">
        <f>IFERROR(IF(MARÍTIMOS[[#This Row],[Sede]]="","",MARÍTIMOS[[#This Row],[Sede]]),"")</f>
        <v/>
      </c>
      <c r="D551" s="1" t="str">
        <f>IFERROR(IF(MARÍTIMOS[[#This Row],[Instruction]]="","",MARÍTIMOS[[#This Row],[Instruction]]),"")</f>
        <v/>
      </c>
      <c r="E551" s="1"/>
      <c r="F551" s="2" t="str">
        <f>IFERROR(IF(MARÍTIMOS[[#This Row],[Transportista]]="","",MARÍTIMOS[[#This Row],[Transportista]]),"")</f>
        <v/>
      </c>
      <c r="G551" s="2" t="str">
        <f>IFERROR(IF(MARÍTIMOS[[#This Row],[Tercero]]="","",MARÍTIMOS[[#This Row],[Tercero]]),"")</f>
        <v/>
      </c>
      <c r="H551" s="2" t="str">
        <f>IFERROR(IF(MARÍTIMOS[[#This Row],[Razón Social]]="","",MARÍTIMOS[[#This Row],[Razón Social]]),"")</f>
        <v/>
      </c>
      <c r="I551" s="2" t="str">
        <f>IFERROR(IF(MARÍTIMOS[[#This Row],[RUC]]="","",MARÍTIMOS[[#This Row],[RUC]]),"")</f>
        <v/>
      </c>
      <c r="J551" s="2" t="str">
        <f>IFERROR(IF(MARÍTIMOS[[#This Row],[Placa Tracto]]="","",MARÍTIMOS[[#This Row],[Placa Tracto]]),"")</f>
        <v/>
      </c>
      <c r="K551" s="2" t="str">
        <f>IFERROR(IF(MARÍTIMOS[[#This Row],[Placa Carreta]]="","",MARÍTIMOS[[#This Row],[Placa Carreta]]),"")</f>
        <v/>
      </c>
      <c r="L551" s="44" t="str">
        <f>IFERROR(IF(MARÍTIMOS[[#This Row],[Conductor]]="","",MARÍTIMOS[[#This Row],[Conductor]]),"")</f>
        <v/>
      </c>
      <c r="M551" s="2" t="str">
        <f>IFERROR(IF(MARÍTIMOS[[#This Row],[Licencia]]="","",MARÍTIMOS[[#This Row],[Licencia]]),"")</f>
        <v/>
      </c>
      <c r="N551" s="2" t="str">
        <f>IFERROR(IF(MARÍTIMOS[[#This Row],[Número de Contacto]]="","",MARÍTIMOS[[#This Row],[Número de Contacto]]),"")</f>
        <v/>
      </c>
      <c r="O551" s="10" t="str">
        <f>IFERROR(IF(MARÍTIMOS[[#This Row],[Booking|AWB|CRT]]="","",MARÍTIMOS[[#This Row],[Booking|AWB|CRT]]),"")</f>
        <v/>
      </c>
      <c r="P551" s="2" t="str">
        <f>IFERROR(IF(MARÍTIMOS[[#This Row],[Contenedor]]="","",MARÍTIMOS[[#This Row],[Contenedor]]),"")</f>
        <v/>
      </c>
      <c r="Q551" s="2" t="str">
        <f>IFERROR(IF(MARÍTIMOS[[#This Row],[Puerto de Retiro]]="","",MARÍTIMOS[[#This Row],[Puerto de Retiro]]),"")</f>
        <v/>
      </c>
      <c r="R551" s="2" t="str">
        <f>IFERROR(IF(MARÍTIMOS[[#This Row],[Almacén de Retiro]]="","",MARÍTIMOS[[#This Row],[Almacén de Retiro]]),"")</f>
        <v/>
      </c>
      <c r="S551" s="11" t="str">
        <f>IFERROR(IF(MARÍTIMOS[[#This Row],[Etapa Retiro - Cita]]="","",MARÍTIMOS[[#This Row],[Etapa Retiro - Cita]]),"")</f>
        <v/>
      </c>
      <c r="T551" s="11" t="str">
        <f>IFERROR(IF(MARÍTIMOS[[#This Row],[Etapa Retiro - Llegada]]="","",MARÍTIMOS[[#This Row],[Etapa Retiro - Llegada]]),"")</f>
        <v/>
      </c>
      <c r="U551" s="11" t="str">
        <f>IFERROR(IF(MARÍTIMOS[[#This Row],[Etapa Retiro - Ingreso]]="","",MARÍTIMOS[[#This Row],[Etapa Retiro - Ingreso]]),"")</f>
        <v/>
      </c>
      <c r="V551" s="11" t="str">
        <f>IFERROR(IF(MARÍTIMOS[[#This Row],[Etapa Retiro - Atención]]="","",MARÍTIMOS[[#This Row],[Etapa Retiro - Atención]]),"")</f>
        <v/>
      </c>
      <c r="W551" s="11" t="str">
        <f>IFERROR(IF(MARÍTIMOS[[#This Row],[Etapa Retiro - Atención]]="","",MARÍTIMOS[[#This Row],[Etapa Retiro - Atención]]),"")</f>
        <v/>
      </c>
      <c r="X551" s="11" t="str">
        <f>IFERROR(IF(MARÍTIMOS[[#This Row],[Etapa Retiro - Inicio de Ruta]]="","",MARÍTIMOS[[#This Row],[Etapa Retiro - Inicio de Ruta]]),"")</f>
        <v/>
      </c>
      <c r="Y551" s="11" t="str">
        <f>IFERROR(IF(MARÍTIMOS[[#This Row],[Hora de Posicionamiento]]="","",MARÍTIMOS[[#This Row],[Fecha de Carga]]+MARÍTIMOS[[#This Row],[Hora de Posicionamiento]]),"")</f>
        <v/>
      </c>
      <c r="Z551" s="11" t="str">
        <f>IFERROR(IF(MARÍTIMOS[[#This Row],[Etapa Despacho - Llegada]]="","",MARÍTIMOS[[#This Row],[Etapa Despacho - Llegada]]),"")</f>
        <v/>
      </c>
      <c r="AA551" s="11" t="str">
        <f>IFERROR(IF(MARÍTIMOS[[#This Row],[Etapa Despacho - Registro]]="","",MARÍTIMOS[[#This Row],[Etapa Despacho - Registro]]),"")</f>
        <v/>
      </c>
      <c r="AB551" s="11" t="str">
        <f>IFERROR(IF(MARÍTIMOS[[#This Row],[Inspección Externa]]="","",MARÍTIMOS[[#This Row],[Inspección Externa]]),"")</f>
        <v/>
      </c>
      <c r="AC551" s="11" t="str">
        <f>IFERROR(IF(MARÍTIMOS[[#This Row],[Etapa Despacho - Inicio de Carga]]="","",MARÍTIMOS[[#This Row],[Etapa Despacho - Inicio de Carga]]),"")</f>
        <v/>
      </c>
      <c r="AD551" s="11" t="str">
        <f>IFERROR(IF(MARÍTIMOS[[#This Row],[Etapa Despacho - Mitad de Carga]]="","",MARÍTIMOS[[#This Row],[Etapa Despacho - Mitad de Carga]]),"")</f>
        <v/>
      </c>
      <c r="AE551" s="11" t="str">
        <f>IFERROR(IF(MARÍTIMOS[[#This Row],[Etapa Despacho - Fin de Carga]]="","",MARÍTIMOS[[#This Row],[Etapa Despacho - Fin de Carga]]),"")</f>
        <v/>
      </c>
      <c r="AF551" s="2" t="str">
        <f>IFERROR(IF(MARÍTIMOS[[#This Row],[Puerto de Embarque]]="","",MARÍTIMOS[[#This Row],[Puerto de Embarque]]),"")</f>
        <v/>
      </c>
      <c r="AG551" s="2" t="str">
        <f>IFERROR(IF(MARÍTIMOS[[#This Row],[Almacén de Ingreso]]="","",MARÍTIMOS[[#This Row],[Almacén de Ingreso]]),"")</f>
        <v/>
      </c>
      <c r="AH551" s="11" t="str">
        <f>IFERROR(IF(MARÍTIMOS[[#This Row],[Etapa Ingreso - Cita]]="","",MARÍTIMOS[[#This Row],[Etapa Ingreso - Cita]]),"")</f>
        <v/>
      </c>
      <c r="AI551" s="11" t="str">
        <f>IFERROR(IF(MARÍTIMOS[[#This Row],[Etapa Ingreso - Llegada]]="","",MARÍTIMOS[[#This Row],[Etapa Ingreso - Llegada]]),"")</f>
        <v/>
      </c>
      <c r="AJ551" s="11" t="str">
        <f>IFERROR(IF(MARÍTIMOS[[#This Row],[Etapa Ingreso - Ingeso]]="","",MARÍTIMOS[[#This Row],[Etapa Ingreso - Ingeso]]),"")</f>
        <v/>
      </c>
      <c r="AK551" s="11" t="str">
        <f>IFERROR(IF(MARÍTIMOS[[#This Row],[Etapa Ingreso - Atención]]="","",MARÍTIMOS[[#This Row],[Etapa Ingreso - Atención]]),"")</f>
        <v/>
      </c>
      <c r="AL551" s="11" t="str">
        <f>IFERROR(IF(MARÍTIMOS[[#This Row],[Etapa Ingreso - Salida]]="","",MARÍTIMOS[[#This Row],[Etapa Ingreso - Salida]]),"")</f>
        <v/>
      </c>
      <c r="AM551" s="2" t="str">
        <f>IFERROR(IF(MARÍTIMOS[[#This Row],[FCL]]="","",MARÍTIMOS[[#This Row],[FCL]]),"")</f>
        <v/>
      </c>
      <c r="AN5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1" s="4" t="str" cm="1">
        <f t="array" ref="AO5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1" s="5" t="str">
        <f>IFERROR(OLDBD[[#This Row],[Llegada a packing]]-OLDBD[[#This Row],[Inicio de Ruta]],"")</f>
        <v/>
      </c>
      <c r="AQ551" s="6" t="str">
        <f>IFERROR(OLDBD[[#This Row],[Inicio de Ruta]]-OLDBD[[#This Row],[Salida de almacén de retiro]],"")</f>
        <v/>
      </c>
      <c r="AR5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1" s="8" t="str" cm="1">
        <f t="array" ref="AS5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1" s="9" t="str">
        <f>IFERROR(OLDBD[[#This Row],[Ingreso Packing]]-OLDBD[[#This Row],[Registro en Packing]],"")</f>
        <v/>
      </c>
      <c r="AV551" s="9" t="str">
        <f>IFERROR(OLDBD[[#This Row],[Ingreso Packing]]-OLDBD[[#This Row],[Llegada a packing]],"")</f>
        <v/>
      </c>
      <c r="AW5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1" s="5" t="str">
        <f>IFERROR(OLDBD[[#This Row],[Llegada Almacén de Ingreso]]-OLDBD[[#This Row],[Salida Packing]],"")</f>
        <v/>
      </c>
      <c r="AY551" s="4" t="str" cm="1">
        <f t="array" ref="AY5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1" s="43" t="s">
        <v>173</v>
      </c>
      <c r="BB551" s="47" t="str">
        <f>IFERROR(IF(MARÍTIMOS[[#This Row],[Estatus]]="","",MARÍTIMOS[[#This Row],[Estatus]]),"")</f>
        <v/>
      </c>
      <c r="BC551" s="43"/>
      <c r="BD551" s="46" t="str">
        <f>IFERROR(OLDBD[[#This Row],[Salida de almacén de retiro]]-OLDBD[[#This Row],[Ingreso Almacén de retiro]],"")</f>
        <v/>
      </c>
      <c r="BE551" s="46" t="str">
        <f>IFERROR(OLDBD[[#This Row],[Fin de Carga]]-OLDBD[[#This Row],[Inicio de Carga]],"")</f>
        <v/>
      </c>
    </row>
    <row r="552" spans="1:57" customFormat="1" hidden="1">
      <c r="A552" s="1"/>
      <c r="B552" s="1" t="str">
        <f>IFERROR(IF(MARÍTIMOS[[#This Row],[PP]]="","",MARÍTIMOS[[#This Row],[PP]]),"")</f>
        <v/>
      </c>
      <c r="C552" s="1" t="str">
        <f>IFERROR(IF(MARÍTIMOS[[#This Row],[Sede]]="","",MARÍTIMOS[[#This Row],[Sede]]),"")</f>
        <v/>
      </c>
      <c r="D552" s="1" t="str">
        <f>IFERROR(IF(MARÍTIMOS[[#This Row],[Instruction]]="","",MARÍTIMOS[[#This Row],[Instruction]]),"")</f>
        <v/>
      </c>
      <c r="E552" s="1"/>
      <c r="F552" s="2" t="str">
        <f>IFERROR(IF(MARÍTIMOS[[#This Row],[Transportista]]="","",MARÍTIMOS[[#This Row],[Transportista]]),"")</f>
        <v/>
      </c>
      <c r="G552" s="2" t="str">
        <f>IFERROR(IF(MARÍTIMOS[[#This Row],[Tercero]]="","",MARÍTIMOS[[#This Row],[Tercero]]),"")</f>
        <v/>
      </c>
      <c r="H552" s="2" t="str">
        <f>IFERROR(IF(MARÍTIMOS[[#This Row],[Razón Social]]="","",MARÍTIMOS[[#This Row],[Razón Social]]),"")</f>
        <v/>
      </c>
      <c r="I552" s="2" t="str">
        <f>IFERROR(IF(MARÍTIMOS[[#This Row],[RUC]]="","",MARÍTIMOS[[#This Row],[RUC]]),"")</f>
        <v/>
      </c>
      <c r="J552" s="2" t="str">
        <f>IFERROR(IF(MARÍTIMOS[[#This Row],[Placa Tracto]]="","",MARÍTIMOS[[#This Row],[Placa Tracto]]),"")</f>
        <v/>
      </c>
      <c r="K552" s="2" t="str">
        <f>IFERROR(IF(MARÍTIMOS[[#This Row],[Placa Carreta]]="","",MARÍTIMOS[[#This Row],[Placa Carreta]]),"")</f>
        <v/>
      </c>
      <c r="L552" s="44" t="str">
        <f>IFERROR(IF(MARÍTIMOS[[#This Row],[Conductor]]="","",MARÍTIMOS[[#This Row],[Conductor]]),"")</f>
        <v/>
      </c>
      <c r="M552" s="2" t="str">
        <f>IFERROR(IF(MARÍTIMOS[[#This Row],[Licencia]]="","",MARÍTIMOS[[#This Row],[Licencia]]),"")</f>
        <v/>
      </c>
      <c r="N552" s="2" t="str">
        <f>IFERROR(IF(MARÍTIMOS[[#This Row],[Número de Contacto]]="","",MARÍTIMOS[[#This Row],[Número de Contacto]]),"")</f>
        <v/>
      </c>
      <c r="O552" s="10" t="str">
        <f>IFERROR(IF(MARÍTIMOS[[#This Row],[Booking|AWB|CRT]]="","",MARÍTIMOS[[#This Row],[Booking|AWB|CRT]]),"")</f>
        <v/>
      </c>
      <c r="P552" s="2" t="str">
        <f>IFERROR(IF(MARÍTIMOS[[#This Row],[Contenedor]]="","",MARÍTIMOS[[#This Row],[Contenedor]]),"")</f>
        <v/>
      </c>
      <c r="Q552" s="2" t="str">
        <f>IFERROR(IF(MARÍTIMOS[[#This Row],[Puerto de Retiro]]="","",MARÍTIMOS[[#This Row],[Puerto de Retiro]]),"")</f>
        <v/>
      </c>
      <c r="R552" s="2" t="str">
        <f>IFERROR(IF(MARÍTIMOS[[#This Row],[Almacén de Retiro]]="","",MARÍTIMOS[[#This Row],[Almacén de Retiro]]),"")</f>
        <v/>
      </c>
      <c r="S552" s="11" t="str">
        <f>IFERROR(IF(MARÍTIMOS[[#This Row],[Etapa Retiro - Cita]]="","",MARÍTIMOS[[#This Row],[Etapa Retiro - Cita]]),"")</f>
        <v/>
      </c>
      <c r="T552" s="11" t="str">
        <f>IFERROR(IF(MARÍTIMOS[[#This Row],[Etapa Retiro - Llegada]]="","",MARÍTIMOS[[#This Row],[Etapa Retiro - Llegada]]),"")</f>
        <v/>
      </c>
      <c r="U552" s="11" t="str">
        <f>IFERROR(IF(MARÍTIMOS[[#This Row],[Etapa Retiro - Ingreso]]="","",MARÍTIMOS[[#This Row],[Etapa Retiro - Ingreso]]),"")</f>
        <v/>
      </c>
      <c r="V552" s="11" t="str">
        <f>IFERROR(IF(MARÍTIMOS[[#This Row],[Etapa Retiro - Atención]]="","",MARÍTIMOS[[#This Row],[Etapa Retiro - Atención]]),"")</f>
        <v/>
      </c>
      <c r="W552" s="11" t="str">
        <f>IFERROR(IF(MARÍTIMOS[[#This Row],[Etapa Retiro - Atención]]="","",MARÍTIMOS[[#This Row],[Etapa Retiro - Atención]]),"")</f>
        <v/>
      </c>
      <c r="X552" s="11" t="str">
        <f>IFERROR(IF(MARÍTIMOS[[#This Row],[Etapa Retiro - Inicio de Ruta]]="","",MARÍTIMOS[[#This Row],[Etapa Retiro - Inicio de Ruta]]),"")</f>
        <v/>
      </c>
      <c r="Y552" s="11" t="str">
        <f>IFERROR(IF(MARÍTIMOS[[#This Row],[Hora de Posicionamiento]]="","",MARÍTIMOS[[#This Row],[Fecha de Carga]]+MARÍTIMOS[[#This Row],[Hora de Posicionamiento]]),"")</f>
        <v/>
      </c>
      <c r="Z552" s="11" t="str">
        <f>IFERROR(IF(MARÍTIMOS[[#This Row],[Etapa Despacho - Llegada]]="","",MARÍTIMOS[[#This Row],[Etapa Despacho - Llegada]]),"")</f>
        <v/>
      </c>
      <c r="AA552" s="11" t="str">
        <f>IFERROR(IF(MARÍTIMOS[[#This Row],[Etapa Despacho - Registro]]="","",MARÍTIMOS[[#This Row],[Etapa Despacho - Registro]]),"")</f>
        <v/>
      </c>
      <c r="AB552" s="11" t="str">
        <f>IFERROR(IF(MARÍTIMOS[[#This Row],[Inspección Externa]]="","",MARÍTIMOS[[#This Row],[Inspección Externa]]),"")</f>
        <v/>
      </c>
      <c r="AC552" s="11" t="str">
        <f>IFERROR(IF(MARÍTIMOS[[#This Row],[Etapa Despacho - Inicio de Carga]]="","",MARÍTIMOS[[#This Row],[Etapa Despacho - Inicio de Carga]]),"")</f>
        <v/>
      </c>
      <c r="AD552" s="11" t="str">
        <f>IFERROR(IF(MARÍTIMOS[[#This Row],[Etapa Despacho - Mitad de Carga]]="","",MARÍTIMOS[[#This Row],[Etapa Despacho - Mitad de Carga]]),"")</f>
        <v/>
      </c>
      <c r="AE552" s="11" t="str">
        <f>IFERROR(IF(MARÍTIMOS[[#This Row],[Etapa Despacho - Fin de Carga]]="","",MARÍTIMOS[[#This Row],[Etapa Despacho - Fin de Carga]]),"")</f>
        <v/>
      </c>
      <c r="AF552" s="2" t="str">
        <f>IFERROR(IF(MARÍTIMOS[[#This Row],[Puerto de Embarque]]="","",MARÍTIMOS[[#This Row],[Puerto de Embarque]]),"")</f>
        <v/>
      </c>
      <c r="AG552" s="2" t="str">
        <f>IFERROR(IF(MARÍTIMOS[[#This Row],[Almacén de Ingreso]]="","",MARÍTIMOS[[#This Row],[Almacén de Ingreso]]),"")</f>
        <v/>
      </c>
      <c r="AH552" s="11" t="str">
        <f>IFERROR(IF(MARÍTIMOS[[#This Row],[Etapa Ingreso - Cita]]="","",MARÍTIMOS[[#This Row],[Etapa Ingreso - Cita]]),"")</f>
        <v/>
      </c>
      <c r="AI552" s="11" t="str">
        <f>IFERROR(IF(MARÍTIMOS[[#This Row],[Etapa Ingreso - Llegada]]="","",MARÍTIMOS[[#This Row],[Etapa Ingreso - Llegada]]),"")</f>
        <v/>
      </c>
      <c r="AJ552" s="11" t="str">
        <f>IFERROR(IF(MARÍTIMOS[[#This Row],[Etapa Ingreso - Ingeso]]="","",MARÍTIMOS[[#This Row],[Etapa Ingreso - Ingeso]]),"")</f>
        <v/>
      </c>
      <c r="AK552" s="11" t="str">
        <f>IFERROR(IF(MARÍTIMOS[[#This Row],[Etapa Ingreso - Atención]]="","",MARÍTIMOS[[#This Row],[Etapa Ingreso - Atención]]),"")</f>
        <v/>
      </c>
      <c r="AL552" s="11" t="str">
        <f>IFERROR(IF(MARÍTIMOS[[#This Row],[Etapa Ingreso - Salida]]="","",MARÍTIMOS[[#This Row],[Etapa Ingreso - Salida]]),"")</f>
        <v/>
      </c>
      <c r="AM552" s="2" t="str">
        <f>IFERROR(IF(MARÍTIMOS[[#This Row],[FCL]]="","",MARÍTIMOS[[#This Row],[FCL]]),"")</f>
        <v/>
      </c>
      <c r="AN5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2" s="4" t="str" cm="1">
        <f t="array" ref="AO5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2" s="5" t="str">
        <f>IFERROR(OLDBD[[#This Row],[Llegada a packing]]-OLDBD[[#This Row],[Inicio de Ruta]],"")</f>
        <v/>
      </c>
      <c r="AQ552" s="6" t="str">
        <f>IFERROR(OLDBD[[#This Row],[Inicio de Ruta]]-OLDBD[[#This Row],[Salida de almacén de retiro]],"")</f>
        <v/>
      </c>
      <c r="AR5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2" s="8" t="str" cm="1">
        <f t="array" ref="AS5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2" s="9" t="str">
        <f>IFERROR(OLDBD[[#This Row],[Ingreso Packing]]-OLDBD[[#This Row],[Registro en Packing]],"")</f>
        <v/>
      </c>
      <c r="AV552" s="9" t="str">
        <f>IFERROR(OLDBD[[#This Row],[Ingreso Packing]]-OLDBD[[#This Row],[Llegada a packing]],"")</f>
        <v/>
      </c>
      <c r="AW5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2" s="5" t="str">
        <f>IFERROR(OLDBD[[#This Row],[Llegada Almacén de Ingreso]]-OLDBD[[#This Row],[Salida Packing]],"")</f>
        <v/>
      </c>
      <c r="AY552" s="4" t="str" cm="1">
        <f t="array" ref="AY5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2" s="43" t="s">
        <v>173</v>
      </c>
      <c r="BB552" s="47" t="str">
        <f>IFERROR(IF(MARÍTIMOS[[#This Row],[Estatus]]="","",MARÍTIMOS[[#This Row],[Estatus]]),"")</f>
        <v/>
      </c>
      <c r="BC552" s="43"/>
      <c r="BD552" s="46" t="str">
        <f>IFERROR(OLDBD[[#This Row],[Salida de almacén de retiro]]-OLDBD[[#This Row],[Ingreso Almacén de retiro]],"")</f>
        <v/>
      </c>
      <c r="BE552" s="46" t="str">
        <f>IFERROR(OLDBD[[#This Row],[Fin de Carga]]-OLDBD[[#This Row],[Inicio de Carga]],"")</f>
        <v/>
      </c>
    </row>
    <row r="553" spans="1:57" customFormat="1" hidden="1">
      <c r="A553" s="1"/>
      <c r="B553" s="1" t="str">
        <f>IFERROR(IF(MARÍTIMOS[[#This Row],[PP]]="","",MARÍTIMOS[[#This Row],[PP]]),"")</f>
        <v/>
      </c>
      <c r="C553" s="1" t="str">
        <f>IFERROR(IF(MARÍTIMOS[[#This Row],[Sede]]="","",MARÍTIMOS[[#This Row],[Sede]]),"")</f>
        <v/>
      </c>
      <c r="D553" s="1" t="str">
        <f>IFERROR(IF(MARÍTIMOS[[#This Row],[Instruction]]="","",MARÍTIMOS[[#This Row],[Instruction]]),"")</f>
        <v/>
      </c>
      <c r="E553" s="1"/>
      <c r="F553" s="2" t="str">
        <f>IFERROR(IF(MARÍTIMOS[[#This Row],[Transportista]]="","",MARÍTIMOS[[#This Row],[Transportista]]),"")</f>
        <v/>
      </c>
      <c r="G553" s="2" t="str">
        <f>IFERROR(IF(MARÍTIMOS[[#This Row],[Tercero]]="","",MARÍTIMOS[[#This Row],[Tercero]]),"")</f>
        <v/>
      </c>
      <c r="H553" s="2" t="str">
        <f>IFERROR(IF(MARÍTIMOS[[#This Row],[Razón Social]]="","",MARÍTIMOS[[#This Row],[Razón Social]]),"")</f>
        <v/>
      </c>
      <c r="I553" s="2" t="str">
        <f>IFERROR(IF(MARÍTIMOS[[#This Row],[RUC]]="","",MARÍTIMOS[[#This Row],[RUC]]),"")</f>
        <v/>
      </c>
      <c r="J553" s="2" t="str">
        <f>IFERROR(IF(MARÍTIMOS[[#This Row],[Placa Tracto]]="","",MARÍTIMOS[[#This Row],[Placa Tracto]]),"")</f>
        <v/>
      </c>
      <c r="K553" s="2" t="str">
        <f>IFERROR(IF(MARÍTIMOS[[#This Row],[Placa Carreta]]="","",MARÍTIMOS[[#This Row],[Placa Carreta]]),"")</f>
        <v/>
      </c>
      <c r="L553" s="44" t="str">
        <f>IFERROR(IF(MARÍTIMOS[[#This Row],[Conductor]]="","",MARÍTIMOS[[#This Row],[Conductor]]),"")</f>
        <v/>
      </c>
      <c r="M553" s="2" t="str">
        <f>IFERROR(IF(MARÍTIMOS[[#This Row],[Licencia]]="","",MARÍTIMOS[[#This Row],[Licencia]]),"")</f>
        <v/>
      </c>
      <c r="N553" s="2" t="str">
        <f>IFERROR(IF(MARÍTIMOS[[#This Row],[Número de Contacto]]="","",MARÍTIMOS[[#This Row],[Número de Contacto]]),"")</f>
        <v/>
      </c>
      <c r="O553" s="10" t="str">
        <f>IFERROR(IF(MARÍTIMOS[[#This Row],[Booking|AWB|CRT]]="","",MARÍTIMOS[[#This Row],[Booking|AWB|CRT]]),"")</f>
        <v/>
      </c>
      <c r="P553" s="2" t="str">
        <f>IFERROR(IF(MARÍTIMOS[[#This Row],[Contenedor]]="","",MARÍTIMOS[[#This Row],[Contenedor]]),"")</f>
        <v/>
      </c>
      <c r="Q553" s="2" t="str">
        <f>IFERROR(IF(MARÍTIMOS[[#This Row],[Puerto de Retiro]]="","",MARÍTIMOS[[#This Row],[Puerto de Retiro]]),"")</f>
        <v/>
      </c>
      <c r="R553" s="2" t="str">
        <f>IFERROR(IF(MARÍTIMOS[[#This Row],[Almacén de Retiro]]="","",MARÍTIMOS[[#This Row],[Almacén de Retiro]]),"")</f>
        <v/>
      </c>
      <c r="S553" s="11" t="str">
        <f>IFERROR(IF(MARÍTIMOS[[#This Row],[Etapa Retiro - Cita]]="","",MARÍTIMOS[[#This Row],[Etapa Retiro - Cita]]),"")</f>
        <v/>
      </c>
      <c r="T553" s="11" t="str">
        <f>IFERROR(IF(MARÍTIMOS[[#This Row],[Etapa Retiro - Llegada]]="","",MARÍTIMOS[[#This Row],[Etapa Retiro - Llegada]]),"")</f>
        <v/>
      </c>
      <c r="U553" s="11" t="str">
        <f>IFERROR(IF(MARÍTIMOS[[#This Row],[Etapa Retiro - Ingreso]]="","",MARÍTIMOS[[#This Row],[Etapa Retiro - Ingreso]]),"")</f>
        <v/>
      </c>
      <c r="V553" s="11" t="str">
        <f>IFERROR(IF(MARÍTIMOS[[#This Row],[Etapa Retiro - Atención]]="","",MARÍTIMOS[[#This Row],[Etapa Retiro - Atención]]),"")</f>
        <v/>
      </c>
      <c r="W553" s="11" t="str">
        <f>IFERROR(IF(MARÍTIMOS[[#This Row],[Etapa Retiro - Atención]]="","",MARÍTIMOS[[#This Row],[Etapa Retiro - Atención]]),"")</f>
        <v/>
      </c>
      <c r="X553" s="11" t="str">
        <f>IFERROR(IF(MARÍTIMOS[[#This Row],[Etapa Retiro - Inicio de Ruta]]="","",MARÍTIMOS[[#This Row],[Etapa Retiro - Inicio de Ruta]]),"")</f>
        <v/>
      </c>
      <c r="Y553" s="11" t="str">
        <f>IFERROR(IF(MARÍTIMOS[[#This Row],[Hora de Posicionamiento]]="","",MARÍTIMOS[[#This Row],[Fecha de Carga]]+MARÍTIMOS[[#This Row],[Hora de Posicionamiento]]),"")</f>
        <v/>
      </c>
      <c r="Z553" s="11" t="str">
        <f>IFERROR(IF(MARÍTIMOS[[#This Row],[Etapa Despacho - Llegada]]="","",MARÍTIMOS[[#This Row],[Etapa Despacho - Llegada]]),"")</f>
        <v/>
      </c>
      <c r="AA553" s="11" t="str">
        <f>IFERROR(IF(MARÍTIMOS[[#This Row],[Etapa Despacho - Registro]]="","",MARÍTIMOS[[#This Row],[Etapa Despacho - Registro]]),"")</f>
        <v/>
      </c>
      <c r="AB553" s="11" t="str">
        <f>IFERROR(IF(MARÍTIMOS[[#This Row],[Inspección Externa]]="","",MARÍTIMOS[[#This Row],[Inspección Externa]]),"")</f>
        <v/>
      </c>
      <c r="AC553" s="11" t="str">
        <f>IFERROR(IF(MARÍTIMOS[[#This Row],[Etapa Despacho - Inicio de Carga]]="","",MARÍTIMOS[[#This Row],[Etapa Despacho - Inicio de Carga]]),"")</f>
        <v/>
      </c>
      <c r="AD553" s="11" t="str">
        <f>IFERROR(IF(MARÍTIMOS[[#This Row],[Etapa Despacho - Mitad de Carga]]="","",MARÍTIMOS[[#This Row],[Etapa Despacho - Mitad de Carga]]),"")</f>
        <v/>
      </c>
      <c r="AE553" s="11" t="str">
        <f>IFERROR(IF(MARÍTIMOS[[#This Row],[Etapa Despacho - Fin de Carga]]="","",MARÍTIMOS[[#This Row],[Etapa Despacho - Fin de Carga]]),"")</f>
        <v/>
      </c>
      <c r="AF553" s="2" t="str">
        <f>IFERROR(IF(MARÍTIMOS[[#This Row],[Puerto de Embarque]]="","",MARÍTIMOS[[#This Row],[Puerto de Embarque]]),"")</f>
        <v/>
      </c>
      <c r="AG553" s="2" t="str">
        <f>IFERROR(IF(MARÍTIMOS[[#This Row],[Almacén de Ingreso]]="","",MARÍTIMOS[[#This Row],[Almacén de Ingreso]]),"")</f>
        <v/>
      </c>
      <c r="AH553" s="11" t="str">
        <f>IFERROR(IF(MARÍTIMOS[[#This Row],[Etapa Ingreso - Cita]]="","",MARÍTIMOS[[#This Row],[Etapa Ingreso - Cita]]),"")</f>
        <v/>
      </c>
      <c r="AI553" s="11" t="str">
        <f>IFERROR(IF(MARÍTIMOS[[#This Row],[Etapa Ingreso - Llegada]]="","",MARÍTIMOS[[#This Row],[Etapa Ingreso - Llegada]]),"")</f>
        <v/>
      </c>
      <c r="AJ553" s="11" t="str">
        <f>IFERROR(IF(MARÍTIMOS[[#This Row],[Etapa Ingreso - Ingeso]]="","",MARÍTIMOS[[#This Row],[Etapa Ingreso - Ingeso]]),"")</f>
        <v/>
      </c>
      <c r="AK553" s="11" t="str">
        <f>IFERROR(IF(MARÍTIMOS[[#This Row],[Etapa Ingreso - Atención]]="","",MARÍTIMOS[[#This Row],[Etapa Ingreso - Atención]]),"")</f>
        <v/>
      </c>
      <c r="AL553" s="11" t="str">
        <f>IFERROR(IF(MARÍTIMOS[[#This Row],[Etapa Ingreso - Salida]]="","",MARÍTIMOS[[#This Row],[Etapa Ingreso - Salida]]),"")</f>
        <v/>
      </c>
      <c r="AM553" s="2" t="str">
        <f>IFERROR(IF(MARÍTIMOS[[#This Row],[FCL]]="","",MARÍTIMOS[[#This Row],[FCL]]),"")</f>
        <v/>
      </c>
      <c r="AN5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3" s="4" t="str" cm="1">
        <f t="array" ref="AO5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3" s="5" t="str">
        <f>IFERROR(OLDBD[[#This Row],[Llegada a packing]]-OLDBD[[#This Row],[Inicio de Ruta]],"")</f>
        <v/>
      </c>
      <c r="AQ553" s="6" t="str">
        <f>IFERROR(OLDBD[[#This Row],[Inicio de Ruta]]-OLDBD[[#This Row],[Salida de almacén de retiro]],"")</f>
        <v/>
      </c>
      <c r="AR5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3" s="8" t="str" cm="1">
        <f t="array" ref="AS5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3" s="9" t="str">
        <f>IFERROR(OLDBD[[#This Row],[Ingreso Packing]]-OLDBD[[#This Row],[Registro en Packing]],"")</f>
        <v/>
      </c>
      <c r="AV553" s="9" t="str">
        <f>IFERROR(OLDBD[[#This Row],[Ingreso Packing]]-OLDBD[[#This Row],[Llegada a packing]],"")</f>
        <v/>
      </c>
      <c r="AW5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3" s="5" t="str">
        <f>IFERROR(OLDBD[[#This Row],[Llegada Almacén de Ingreso]]-OLDBD[[#This Row],[Salida Packing]],"")</f>
        <v/>
      </c>
      <c r="AY553" s="4" t="str" cm="1">
        <f t="array" ref="AY5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3" s="43" t="s">
        <v>173</v>
      </c>
      <c r="BB553" s="47" t="str">
        <f>IFERROR(IF(MARÍTIMOS[[#This Row],[Estatus]]="","",MARÍTIMOS[[#This Row],[Estatus]]),"")</f>
        <v/>
      </c>
      <c r="BC553" s="43"/>
      <c r="BD553" s="46" t="str">
        <f>IFERROR(OLDBD[[#This Row],[Salida de almacén de retiro]]-OLDBD[[#This Row],[Ingreso Almacén de retiro]],"")</f>
        <v/>
      </c>
      <c r="BE553" s="46" t="str">
        <f>IFERROR(OLDBD[[#This Row],[Fin de Carga]]-OLDBD[[#This Row],[Inicio de Carga]],"")</f>
        <v/>
      </c>
    </row>
    <row r="554" spans="1:57" customFormat="1" hidden="1">
      <c r="A554" s="1"/>
      <c r="B554" s="1" t="str">
        <f>IFERROR(IF(MARÍTIMOS[[#This Row],[PP]]="","",MARÍTIMOS[[#This Row],[PP]]),"")</f>
        <v/>
      </c>
      <c r="C554" s="1" t="str">
        <f>IFERROR(IF(MARÍTIMOS[[#This Row],[Sede]]="","",MARÍTIMOS[[#This Row],[Sede]]),"")</f>
        <v/>
      </c>
      <c r="D554" s="1" t="str">
        <f>IFERROR(IF(MARÍTIMOS[[#This Row],[Instruction]]="","",MARÍTIMOS[[#This Row],[Instruction]]),"")</f>
        <v/>
      </c>
      <c r="E554" s="1"/>
      <c r="F554" s="2" t="str">
        <f>IFERROR(IF(MARÍTIMOS[[#This Row],[Transportista]]="","",MARÍTIMOS[[#This Row],[Transportista]]),"")</f>
        <v/>
      </c>
      <c r="G554" s="2" t="str">
        <f>IFERROR(IF(MARÍTIMOS[[#This Row],[Tercero]]="","",MARÍTIMOS[[#This Row],[Tercero]]),"")</f>
        <v/>
      </c>
      <c r="H554" s="2" t="str">
        <f>IFERROR(IF(MARÍTIMOS[[#This Row],[Razón Social]]="","",MARÍTIMOS[[#This Row],[Razón Social]]),"")</f>
        <v/>
      </c>
      <c r="I554" s="2" t="str">
        <f>IFERROR(IF(MARÍTIMOS[[#This Row],[RUC]]="","",MARÍTIMOS[[#This Row],[RUC]]),"")</f>
        <v/>
      </c>
      <c r="J554" s="2" t="str">
        <f>IFERROR(IF(MARÍTIMOS[[#This Row],[Placa Tracto]]="","",MARÍTIMOS[[#This Row],[Placa Tracto]]),"")</f>
        <v/>
      </c>
      <c r="K554" s="2" t="str">
        <f>IFERROR(IF(MARÍTIMOS[[#This Row],[Placa Carreta]]="","",MARÍTIMOS[[#This Row],[Placa Carreta]]),"")</f>
        <v/>
      </c>
      <c r="L554" s="44" t="str">
        <f>IFERROR(IF(MARÍTIMOS[[#This Row],[Conductor]]="","",MARÍTIMOS[[#This Row],[Conductor]]),"")</f>
        <v/>
      </c>
      <c r="M554" s="2" t="str">
        <f>IFERROR(IF(MARÍTIMOS[[#This Row],[Licencia]]="","",MARÍTIMOS[[#This Row],[Licencia]]),"")</f>
        <v/>
      </c>
      <c r="N554" s="2" t="str">
        <f>IFERROR(IF(MARÍTIMOS[[#This Row],[Número de Contacto]]="","",MARÍTIMOS[[#This Row],[Número de Contacto]]),"")</f>
        <v/>
      </c>
      <c r="O554" s="10" t="str">
        <f>IFERROR(IF(MARÍTIMOS[[#This Row],[Booking|AWB|CRT]]="","",MARÍTIMOS[[#This Row],[Booking|AWB|CRT]]),"")</f>
        <v/>
      </c>
      <c r="P554" s="2" t="str">
        <f>IFERROR(IF(MARÍTIMOS[[#This Row],[Contenedor]]="","",MARÍTIMOS[[#This Row],[Contenedor]]),"")</f>
        <v/>
      </c>
      <c r="Q554" s="2" t="str">
        <f>IFERROR(IF(MARÍTIMOS[[#This Row],[Puerto de Retiro]]="","",MARÍTIMOS[[#This Row],[Puerto de Retiro]]),"")</f>
        <v/>
      </c>
      <c r="R554" s="2" t="str">
        <f>IFERROR(IF(MARÍTIMOS[[#This Row],[Almacén de Retiro]]="","",MARÍTIMOS[[#This Row],[Almacén de Retiro]]),"")</f>
        <v/>
      </c>
      <c r="S554" s="11" t="str">
        <f>IFERROR(IF(MARÍTIMOS[[#This Row],[Etapa Retiro - Cita]]="","",MARÍTIMOS[[#This Row],[Etapa Retiro - Cita]]),"")</f>
        <v/>
      </c>
      <c r="T554" s="11" t="str">
        <f>IFERROR(IF(MARÍTIMOS[[#This Row],[Etapa Retiro - Llegada]]="","",MARÍTIMOS[[#This Row],[Etapa Retiro - Llegada]]),"")</f>
        <v/>
      </c>
      <c r="U554" s="11" t="str">
        <f>IFERROR(IF(MARÍTIMOS[[#This Row],[Etapa Retiro - Ingreso]]="","",MARÍTIMOS[[#This Row],[Etapa Retiro - Ingreso]]),"")</f>
        <v/>
      </c>
      <c r="V554" s="11" t="str">
        <f>IFERROR(IF(MARÍTIMOS[[#This Row],[Etapa Retiro - Atención]]="","",MARÍTIMOS[[#This Row],[Etapa Retiro - Atención]]),"")</f>
        <v/>
      </c>
      <c r="W554" s="11" t="str">
        <f>IFERROR(IF(MARÍTIMOS[[#This Row],[Etapa Retiro - Atención]]="","",MARÍTIMOS[[#This Row],[Etapa Retiro - Atención]]),"")</f>
        <v/>
      </c>
      <c r="X554" s="11" t="str">
        <f>IFERROR(IF(MARÍTIMOS[[#This Row],[Etapa Retiro - Inicio de Ruta]]="","",MARÍTIMOS[[#This Row],[Etapa Retiro - Inicio de Ruta]]),"")</f>
        <v/>
      </c>
      <c r="Y554" s="11" t="str">
        <f>IFERROR(IF(MARÍTIMOS[[#This Row],[Hora de Posicionamiento]]="","",MARÍTIMOS[[#This Row],[Fecha de Carga]]+MARÍTIMOS[[#This Row],[Hora de Posicionamiento]]),"")</f>
        <v/>
      </c>
      <c r="Z554" s="11" t="str">
        <f>IFERROR(IF(MARÍTIMOS[[#This Row],[Etapa Despacho - Llegada]]="","",MARÍTIMOS[[#This Row],[Etapa Despacho - Llegada]]),"")</f>
        <v/>
      </c>
      <c r="AA554" s="11" t="str">
        <f>IFERROR(IF(MARÍTIMOS[[#This Row],[Etapa Despacho - Registro]]="","",MARÍTIMOS[[#This Row],[Etapa Despacho - Registro]]),"")</f>
        <v/>
      </c>
      <c r="AB554" s="11" t="str">
        <f>IFERROR(IF(MARÍTIMOS[[#This Row],[Inspección Externa]]="","",MARÍTIMOS[[#This Row],[Inspección Externa]]),"")</f>
        <v/>
      </c>
      <c r="AC554" s="11" t="str">
        <f>IFERROR(IF(MARÍTIMOS[[#This Row],[Etapa Despacho - Inicio de Carga]]="","",MARÍTIMOS[[#This Row],[Etapa Despacho - Inicio de Carga]]),"")</f>
        <v/>
      </c>
      <c r="AD554" s="11" t="str">
        <f>IFERROR(IF(MARÍTIMOS[[#This Row],[Etapa Despacho - Mitad de Carga]]="","",MARÍTIMOS[[#This Row],[Etapa Despacho - Mitad de Carga]]),"")</f>
        <v/>
      </c>
      <c r="AE554" s="11" t="str">
        <f>IFERROR(IF(MARÍTIMOS[[#This Row],[Etapa Despacho - Fin de Carga]]="","",MARÍTIMOS[[#This Row],[Etapa Despacho - Fin de Carga]]),"")</f>
        <v/>
      </c>
      <c r="AF554" s="2" t="str">
        <f>IFERROR(IF(MARÍTIMOS[[#This Row],[Puerto de Embarque]]="","",MARÍTIMOS[[#This Row],[Puerto de Embarque]]),"")</f>
        <v/>
      </c>
      <c r="AG554" s="2" t="str">
        <f>IFERROR(IF(MARÍTIMOS[[#This Row],[Almacén de Ingreso]]="","",MARÍTIMOS[[#This Row],[Almacén de Ingreso]]),"")</f>
        <v/>
      </c>
      <c r="AH554" s="11" t="str">
        <f>IFERROR(IF(MARÍTIMOS[[#This Row],[Etapa Ingreso - Cita]]="","",MARÍTIMOS[[#This Row],[Etapa Ingreso - Cita]]),"")</f>
        <v/>
      </c>
      <c r="AI554" s="11" t="str">
        <f>IFERROR(IF(MARÍTIMOS[[#This Row],[Etapa Ingreso - Llegada]]="","",MARÍTIMOS[[#This Row],[Etapa Ingreso - Llegada]]),"")</f>
        <v/>
      </c>
      <c r="AJ554" s="11" t="str">
        <f>IFERROR(IF(MARÍTIMOS[[#This Row],[Etapa Ingreso - Ingeso]]="","",MARÍTIMOS[[#This Row],[Etapa Ingreso - Ingeso]]),"")</f>
        <v/>
      </c>
      <c r="AK554" s="11" t="str">
        <f>IFERROR(IF(MARÍTIMOS[[#This Row],[Etapa Ingreso - Atención]]="","",MARÍTIMOS[[#This Row],[Etapa Ingreso - Atención]]),"")</f>
        <v/>
      </c>
      <c r="AL554" s="11" t="str">
        <f>IFERROR(IF(MARÍTIMOS[[#This Row],[Etapa Ingreso - Salida]]="","",MARÍTIMOS[[#This Row],[Etapa Ingreso - Salida]]),"")</f>
        <v/>
      </c>
      <c r="AM554" s="2" t="str">
        <f>IFERROR(IF(MARÍTIMOS[[#This Row],[FCL]]="","",MARÍTIMOS[[#This Row],[FCL]]),"")</f>
        <v/>
      </c>
      <c r="AN5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4" s="4" t="str" cm="1">
        <f t="array" ref="AO5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4" s="5" t="str">
        <f>IFERROR(OLDBD[[#This Row],[Llegada a packing]]-OLDBD[[#This Row],[Inicio de Ruta]],"")</f>
        <v/>
      </c>
      <c r="AQ554" s="6" t="str">
        <f>IFERROR(OLDBD[[#This Row],[Inicio de Ruta]]-OLDBD[[#This Row],[Salida de almacén de retiro]],"")</f>
        <v/>
      </c>
      <c r="AR5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4" s="8" t="str" cm="1">
        <f t="array" ref="AS5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4" s="9" t="str">
        <f>IFERROR(OLDBD[[#This Row],[Ingreso Packing]]-OLDBD[[#This Row],[Registro en Packing]],"")</f>
        <v/>
      </c>
      <c r="AV554" s="9" t="str">
        <f>IFERROR(OLDBD[[#This Row],[Ingreso Packing]]-OLDBD[[#This Row],[Llegada a packing]],"")</f>
        <v/>
      </c>
      <c r="AW5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4" s="5" t="str">
        <f>IFERROR(OLDBD[[#This Row],[Llegada Almacén de Ingreso]]-OLDBD[[#This Row],[Salida Packing]],"")</f>
        <v/>
      </c>
      <c r="AY554" s="4" t="str" cm="1">
        <f t="array" ref="AY5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4" s="43" t="s">
        <v>173</v>
      </c>
      <c r="BB554" s="47" t="str">
        <f>IFERROR(IF(MARÍTIMOS[[#This Row],[Estatus]]="","",MARÍTIMOS[[#This Row],[Estatus]]),"")</f>
        <v/>
      </c>
      <c r="BC554" s="43"/>
      <c r="BD554" s="46" t="str">
        <f>IFERROR(OLDBD[[#This Row],[Salida de almacén de retiro]]-OLDBD[[#This Row],[Ingreso Almacén de retiro]],"")</f>
        <v/>
      </c>
      <c r="BE554" s="46" t="str">
        <f>IFERROR(OLDBD[[#This Row],[Fin de Carga]]-OLDBD[[#This Row],[Inicio de Carga]],"")</f>
        <v/>
      </c>
    </row>
    <row r="555" spans="1:57" customFormat="1" hidden="1">
      <c r="A555" s="1"/>
      <c r="B555" s="1" t="str">
        <f>IFERROR(IF(MARÍTIMOS[[#This Row],[PP]]="","",MARÍTIMOS[[#This Row],[PP]]),"")</f>
        <v/>
      </c>
      <c r="C555" s="1" t="str">
        <f>IFERROR(IF(MARÍTIMOS[[#This Row],[Sede]]="","",MARÍTIMOS[[#This Row],[Sede]]),"")</f>
        <v/>
      </c>
      <c r="D555" s="1" t="str">
        <f>IFERROR(IF(MARÍTIMOS[[#This Row],[Instruction]]="","",MARÍTIMOS[[#This Row],[Instruction]]),"")</f>
        <v/>
      </c>
      <c r="E555" s="1"/>
      <c r="F555" s="2" t="str">
        <f>IFERROR(IF(MARÍTIMOS[[#This Row],[Transportista]]="","",MARÍTIMOS[[#This Row],[Transportista]]),"")</f>
        <v/>
      </c>
      <c r="G555" s="2" t="str">
        <f>IFERROR(IF(MARÍTIMOS[[#This Row],[Tercero]]="","",MARÍTIMOS[[#This Row],[Tercero]]),"")</f>
        <v/>
      </c>
      <c r="H555" s="2" t="str">
        <f>IFERROR(IF(MARÍTIMOS[[#This Row],[Razón Social]]="","",MARÍTIMOS[[#This Row],[Razón Social]]),"")</f>
        <v/>
      </c>
      <c r="I555" s="2" t="str">
        <f>IFERROR(IF(MARÍTIMOS[[#This Row],[RUC]]="","",MARÍTIMOS[[#This Row],[RUC]]),"")</f>
        <v/>
      </c>
      <c r="J555" s="2" t="str">
        <f>IFERROR(IF(MARÍTIMOS[[#This Row],[Placa Tracto]]="","",MARÍTIMOS[[#This Row],[Placa Tracto]]),"")</f>
        <v/>
      </c>
      <c r="K555" s="2" t="str">
        <f>IFERROR(IF(MARÍTIMOS[[#This Row],[Placa Carreta]]="","",MARÍTIMOS[[#This Row],[Placa Carreta]]),"")</f>
        <v/>
      </c>
      <c r="L555" s="44" t="str">
        <f>IFERROR(IF(MARÍTIMOS[[#This Row],[Conductor]]="","",MARÍTIMOS[[#This Row],[Conductor]]),"")</f>
        <v/>
      </c>
      <c r="M555" s="2" t="str">
        <f>IFERROR(IF(MARÍTIMOS[[#This Row],[Licencia]]="","",MARÍTIMOS[[#This Row],[Licencia]]),"")</f>
        <v/>
      </c>
      <c r="N555" s="2" t="str">
        <f>IFERROR(IF(MARÍTIMOS[[#This Row],[Número de Contacto]]="","",MARÍTIMOS[[#This Row],[Número de Contacto]]),"")</f>
        <v/>
      </c>
      <c r="O555" s="10" t="str">
        <f>IFERROR(IF(MARÍTIMOS[[#This Row],[Booking|AWB|CRT]]="","",MARÍTIMOS[[#This Row],[Booking|AWB|CRT]]),"")</f>
        <v/>
      </c>
      <c r="P555" s="2" t="str">
        <f>IFERROR(IF(MARÍTIMOS[[#This Row],[Contenedor]]="","",MARÍTIMOS[[#This Row],[Contenedor]]),"")</f>
        <v/>
      </c>
      <c r="Q555" s="2" t="str">
        <f>IFERROR(IF(MARÍTIMOS[[#This Row],[Puerto de Retiro]]="","",MARÍTIMOS[[#This Row],[Puerto de Retiro]]),"")</f>
        <v/>
      </c>
      <c r="R555" s="2" t="str">
        <f>IFERROR(IF(MARÍTIMOS[[#This Row],[Almacén de Retiro]]="","",MARÍTIMOS[[#This Row],[Almacén de Retiro]]),"")</f>
        <v/>
      </c>
      <c r="S555" s="11" t="str">
        <f>IFERROR(IF(MARÍTIMOS[[#This Row],[Etapa Retiro - Cita]]="","",MARÍTIMOS[[#This Row],[Etapa Retiro - Cita]]),"")</f>
        <v/>
      </c>
      <c r="T555" s="11" t="str">
        <f>IFERROR(IF(MARÍTIMOS[[#This Row],[Etapa Retiro - Llegada]]="","",MARÍTIMOS[[#This Row],[Etapa Retiro - Llegada]]),"")</f>
        <v/>
      </c>
      <c r="U555" s="11" t="str">
        <f>IFERROR(IF(MARÍTIMOS[[#This Row],[Etapa Retiro - Ingreso]]="","",MARÍTIMOS[[#This Row],[Etapa Retiro - Ingreso]]),"")</f>
        <v/>
      </c>
      <c r="V555" s="11" t="str">
        <f>IFERROR(IF(MARÍTIMOS[[#This Row],[Etapa Retiro - Atención]]="","",MARÍTIMOS[[#This Row],[Etapa Retiro - Atención]]),"")</f>
        <v/>
      </c>
      <c r="W555" s="11" t="str">
        <f>IFERROR(IF(MARÍTIMOS[[#This Row],[Etapa Retiro - Atención]]="","",MARÍTIMOS[[#This Row],[Etapa Retiro - Atención]]),"")</f>
        <v/>
      </c>
      <c r="X555" s="11" t="str">
        <f>IFERROR(IF(MARÍTIMOS[[#This Row],[Etapa Retiro - Inicio de Ruta]]="","",MARÍTIMOS[[#This Row],[Etapa Retiro - Inicio de Ruta]]),"")</f>
        <v/>
      </c>
      <c r="Y555" s="11" t="str">
        <f>IFERROR(IF(MARÍTIMOS[[#This Row],[Hora de Posicionamiento]]="","",MARÍTIMOS[[#This Row],[Fecha de Carga]]+MARÍTIMOS[[#This Row],[Hora de Posicionamiento]]),"")</f>
        <v/>
      </c>
      <c r="Z555" s="11" t="str">
        <f>IFERROR(IF(MARÍTIMOS[[#This Row],[Etapa Despacho - Llegada]]="","",MARÍTIMOS[[#This Row],[Etapa Despacho - Llegada]]),"")</f>
        <v/>
      </c>
      <c r="AA555" s="11" t="str">
        <f>IFERROR(IF(MARÍTIMOS[[#This Row],[Etapa Despacho - Registro]]="","",MARÍTIMOS[[#This Row],[Etapa Despacho - Registro]]),"")</f>
        <v/>
      </c>
      <c r="AB555" s="11" t="str">
        <f>IFERROR(IF(MARÍTIMOS[[#This Row],[Inspección Externa]]="","",MARÍTIMOS[[#This Row],[Inspección Externa]]),"")</f>
        <v/>
      </c>
      <c r="AC555" s="11" t="str">
        <f>IFERROR(IF(MARÍTIMOS[[#This Row],[Etapa Despacho - Inicio de Carga]]="","",MARÍTIMOS[[#This Row],[Etapa Despacho - Inicio de Carga]]),"")</f>
        <v/>
      </c>
      <c r="AD555" s="11" t="str">
        <f>IFERROR(IF(MARÍTIMOS[[#This Row],[Etapa Despacho - Mitad de Carga]]="","",MARÍTIMOS[[#This Row],[Etapa Despacho - Mitad de Carga]]),"")</f>
        <v/>
      </c>
      <c r="AE555" s="11" t="str">
        <f>IFERROR(IF(MARÍTIMOS[[#This Row],[Etapa Despacho - Fin de Carga]]="","",MARÍTIMOS[[#This Row],[Etapa Despacho - Fin de Carga]]),"")</f>
        <v/>
      </c>
      <c r="AF555" s="2" t="str">
        <f>IFERROR(IF(MARÍTIMOS[[#This Row],[Puerto de Embarque]]="","",MARÍTIMOS[[#This Row],[Puerto de Embarque]]),"")</f>
        <v/>
      </c>
      <c r="AG555" s="2" t="str">
        <f>IFERROR(IF(MARÍTIMOS[[#This Row],[Almacén de Ingreso]]="","",MARÍTIMOS[[#This Row],[Almacén de Ingreso]]),"")</f>
        <v/>
      </c>
      <c r="AH555" s="11" t="str">
        <f>IFERROR(IF(MARÍTIMOS[[#This Row],[Etapa Ingreso - Cita]]="","",MARÍTIMOS[[#This Row],[Etapa Ingreso - Cita]]),"")</f>
        <v/>
      </c>
      <c r="AI555" s="11" t="str">
        <f>IFERROR(IF(MARÍTIMOS[[#This Row],[Etapa Ingreso - Llegada]]="","",MARÍTIMOS[[#This Row],[Etapa Ingreso - Llegada]]),"")</f>
        <v/>
      </c>
      <c r="AJ555" s="11" t="str">
        <f>IFERROR(IF(MARÍTIMOS[[#This Row],[Etapa Ingreso - Ingeso]]="","",MARÍTIMOS[[#This Row],[Etapa Ingreso - Ingeso]]),"")</f>
        <v/>
      </c>
      <c r="AK555" s="11" t="str">
        <f>IFERROR(IF(MARÍTIMOS[[#This Row],[Etapa Ingreso - Atención]]="","",MARÍTIMOS[[#This Row],[Etapa Ingreso - Atención]]),"")</f>
        <v/>
      </c>
      <c r="AL555" s="11" t="str">
        <f>IFERROR(IF(MARÍTIMOS[[#This Row],[Etapa Ingreso - Salida]]="","",MARÍTIMOS[[#This Row],[Etapa Ingreso - Salida]]),"")</f>
        <v/>
      </c>
      <c r="AM555" s="2" t="str">
        <f>IFERROR(IF(MARÍTIMOS[[#This Row],[FCL]]="","",MARÍTIMOS[[#This Row],[FCL]]),"")</f>
        <v/>
      </c>
      <c r="AN5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5" s="4" t="str" cm="1">
        <f t="array" ref="AO5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5" s="5" t="str">
        <f>IFERROR(OLDBD[[#This Row],[Llegada a packing]]-OLDBD[[#This Row],[Inicio de Ruta]],"")</f>
        <v/>
      </c>
      <c r="AQ555" s="6" t="str">
        <f>IFERROR(OLDBD[[#This Row],[Inicio de Ruta]]-OLDBD[[#This Row],[Salida de almacén de retiro]],"")</f>
        <v/>
      </c>
      <c r="AR5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5" s="8" t="str" cm="1">
        <f t="array" ref="AS5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5" s="9" t="str">
        <f>IFERROR(OLDBD[[#This Row],[Ingreso Packing]]-OLDBD[[#This Row],[Registro en Packing]],"")</f>
        <v/>
      </c>
      <c r="AV555" s="9" t="str">
        <f>IFERROR(OLDBD[[#This Row],[Ingreso Packing]]-OLDBD[[#This Row],[Llegada a packing]],"")</f>
        <v/>
      </c>
      <c r="AW5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5" s="5" t="str">
        <f>IFERROR(OLDBD[[#This Row],[Llegada Almacén de Ingreso]]-OLDBD[[#This Row],[Salida Packing]],"")</f>
        <v/>
      </c>
      <c r="AY555" s="4" t="str" cm="1">
        <f t="array" ref="AY5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5" s="43" t="s">
        <v>173</v>
      </c>
      <c r="BB555" s="47" t="str">
        <f>IFERROR(IF(MARÍTIMOS[[#This Row],[Estatus]]="","",MARÍTIMOS[[#This Row],[Estatus]]),"")</f>
        <v/>
      </c>
      <c r="BC555" s="43"/>
      <c r="BD555" s="46" t="str">
        <f>IFERROR(OLDBD[[#This Row],[Salida de almacén de retiro]]-OLDBD[[#This Row],[Ingreso Almacén de retiro]],"")</f>
        <v/>
      </c>
      <c r="BE555" s="46" t="str">
        <f>IFERROR(OLDBD[[#This Row],[Fin de Carga]]-OLDBD[[#This Row],[Inicio de Carga]],"")</f>
        <v/>
      </c>
    </row>
    <row r="556" spans="1:57" customFormat="1" hidden="1">
      <c r="A556" s="1"/>
      <c r="B556" s="1" t="str">
        <f>IFERROR(IF(MARÍTIMOS[[#This Row],[PP]]="","",MARÍTIMOS[[#This Row],[PP]]),"")</f>
        <v/>
      </c>
      <c r="C556" s="1" t="str">
        <f>IFERROR(IF(MARÍTIMOS[[#This Row],[Sede]]="","",MARÍTIMOS[[#This Row],[Sede]]),"")</f>
        <v/>
      </c>
      <c r="D556" s="1" t="str">
        <f>IFERROR(IF(MARÍTIMOS[[#This Row],[Instruction]]="","",MARÍTIMOS[[#This Row],[Instruction]]),"")</f>
        <v/>
      </c>
      <c r="E556" s="1"/>
      <c r="F556" s="2" t="str">
        <f>IFERROR(IF(MARÍTIMOS[[#This Row],[Transportista]]="","",MARÍTIMOS[[#This Row],[Transportista]]),"")</f>
        <v/>
      </c>
      <c r="G556" s="2" t="str">
        <f>IFERROR(IF(MARÍTIMOS[[#This Row],[Tercero]]="","",MARÍTIMOS[[#This Row],[Tercero]]),"")</f>
        <v/>
      </c>
      <c r="H556" s="2" t="str">
        <f>IFERROR(IF(MARÍTIMOS[[#This Row],[Razón Social]]="","",MARÍTIMOS[[#This Row],[Razón Social]]),"")</f>
        <v/>
      </c>
      <c r="I556" s="2" t="str">
        <f>IFERROR(IF(MARÍTIMOS[[#This Row],[RUC]]="","",MARÍTIMOS[[#This Row],[RUC]]),"")</f>
        <v/>
      </c>
      <c r="J556" s="2" t="str">
        <f>IFERROR(IF(MARÍTIMOS[[#This Row],[Placa Tracto]]="","",MARÍTIMOS[[#This Row],[Placa Tracto]]),"")</f>
        <v/>
      </c>
      <c r="K556" s="2" t="str">
        <f>IFERROR(IF(MARÍTIMOS[[#This Row],[Placa Carreta]]="","",MARÍTIMOS[[#This Row],[Placa Carreta]]),"")</f>
        <v/>
      </c>
      <c r="L556" s="44" t="str">
        <f>IFERROR(IF(MARÍTIMOS[[#This Row],[Conductor]]="","",MARÍTIMOS[[#This Row],[Conductor]]),"")</f>
        <v/>
      </c>
      <c r="M556" s="2" t="str">
        <f>IFERROR(IF(MARÍTIMOS[[#This Row],[Licencia]]="","",MARÍTIMOS[[#This Row],[Licencia]]),"")</f>
        <v/>
      </c>
      <c r="N556" s="2" t="str">
        <f>IFERROR(IF(MARÍTIMOS[[#This Row],[Número de Contacto]]="","",MARÍTIMOS[[#This Row],[Número de Contacto]]),"")</f>
        <v/>
      </c>
      <c r="O556" s="10" t="str">
        <f>IFERROR(IF(MARÍTIMOS[[#This Row],[Booking|AWB|CRT]]="","",MARÍTIMOS[[#This Row],[Booking|AWB|CRT]]),"")</f>
        <v/>
      </c>
      <c r="P556" s="2" t="str">
        <f>IFERROR(IF(MARÍTIMOS[[#This Row],[Contenedor]]="","",MARÍTIMOS[[#This Row],[Contenedor]]),"")</f>
        <v/>
      </c>
      <c r="Q556" s="2" t="str">
        <f>IFERROR(IF(MARÍTIMOS[[#This Row],[Puerto de Retiro]]="","",MARÍTIMOS[[#This Row],[Puerto de Retiro]]),"")</f>
        <v/>
      </c>
      <c r="R556" s="2" t="str">
        <f>IFERROR(IF(MARÍTIMOS[[#This Row],[Almacén de Retiro]]="","",MARÍTIMOS[[#This Row],[Almacén de Retiro]]),"")</f>
        <v/>
      </c>
      <c r="S556" s="11" t="str">
        <f>IFERROR(IF(MARÍTIMOS[[#This Row],[Etapa Retiro - Cita]]="","",MARÍTIMOS[[#This Row],[Etapa Retiro - Cita]]),"")</f>
        <v/>
      </c>
      <c r="T556" s="11" t="str">
        <f>IFERROR(IF(MARÍTIMOS[[#This Row],[Etapa Retiro - Llegada]]="","",MARÍTIMOS[[#This Row],[Etapa Retiro - Llegada]]),"")</f>
        <v/>
      </c>
      <c r="U556" s="11" t="str">
        <f>IFERROR(IF(MARÍTIMOS[[#This Row],[Etapa Retiro - Ingreso]]="","",MARÍTIMOS[[#This Row],[Etapa Retiro - Ingreso]]),"")</f>
        <v/>
      </c>
      <c r="V556" s="11" t="str">
        <f>IFERROR(IF(MARÍTIMOS[[#This Row],[Etapa Retiro - Atención]]="","",MARÍTIMOS[[#This Row],[Etapa Retiro - Atención]]),"")</f>
        <v/>
      </c>
      <c r="W556" s="11" t="str">
        <f>IFERROR(IF(MARÍTIMOS[[#This Row],[Etapa Retiro - Atención]]="","",MARÍTIMOS[[#This Row],[Etapa Retiro - Atención]]),"")</f>
        <v/>
      </c>
      <c r="X556" s="11" t="str">
        <f>IFERROR(IF(MARÍTIMOS[[#This Row],[Etapa Retiro - Inicio de Ruta]]="","",MARÍTIMOS[[#This Row],[Etapa Retiro - Inicio de Ruta]]),"")</f>
        <v/>
      </c>
      <c r="Y556" s="11" t="str">
        <f>IFERROR(IF(MARÍTIMOS[[#This Row],[Hora de Posicionamiento]]="","",MARÍTIMOS[[#This Row],[Fecha de Carga]]+MARÍTIMOS[[#This Row],[Hora de Posicionamiento]]),"")</f>
        <v/>
      </c>
      <c r="Z556" s="11" t="str">
        <f>IFERROR(IF(MARÍTIMOS[[#This Row],[Etapa Despacho - Llegada]]="","",MARÍTIMOS[[#This Row],[Etapa Despacho - Llegada]]),"")</f>
        <v/>
      </c>
      <c r="AA556" s="11" t="str">
        <f>IFERROR(IF(MARÍTIMOS[[#This Row],[Etapa Despacho - Registro]]="","",MARÍTIMOS[[#This Row],[Etapa Despacho - Registro]]),"")</f>
        <v/>
      </c>
      <c r="AB556" s="11" t="str">
        <f>IFERROR(IF(MARÍTIMOS[[#This Row],[Inspección Externa]]="","",MARÍTIMOS[[#This Row],[Inspección Externa]]),"")</f>
        <v/>
      </c>
      <c r="AC556" s="11" t="str">
        <f>IFERROR(IF(MARÍTIMOS[[#This Row],[Etapa Despacho - Inicio de Carga]]="","",MARÍTIMOS[[#This Row],[Etapa Despacho - Inicio de Carga]]),"")</f>
        <v/>
      </c>
      <c r="AD556" s="11" t="str">
        <f>IFERROR(IF(MARÍTIMOS[[#This Row],[Etapa Despacho - Mitad de Carga]]="","",MARÍTIMOS[[#This Row],[Etapa Despacho - Mitad de Carga]]),"")</f>
        <v/>
      </c>
      <c r="AE556" s="11" t="str">
        <f>IFERROR(IF(MARÍTIMOS[[#This Row],[Etapa Despacho - Fin de Carga]]="","",MARÍTIMOS[[#This Row],[Etapa Despacho - Fin de Carga]]),"")</f>
        <v/>
      </c>
      <c r="AF556" s="2" t="str">
        <f>IFERROR(IF(MARÍTIMOS[[#This Row],[Puerto de Embarque]]="","",MARÍTIMOS[[#This Row],[Puerto de Embarque]]),"")</f>
        <v/>
      </c>
      <c r="AG556" s="2" t="str">
        <f>IFERROR(IF(MARÍTIMOS[[#This Row],[Almacén de Ingreso]]="","",MARÍTIMOS[[#This Row],[Almacén de Ingreso]]),"")</f>
        <v/>
      </c>
      <c r="AH556" s="11" t="str">
        <f>IFERROR(IF(MARÍTIMOS[[#This Row],[Etapa Ingreso - Cita]]="","",MARÍTIMOS[[#This Row],[Etapa Ingreso - Cita]]),"")</f>
        <v/>
      </c>
      <c r="AI556" s="11" t="str">
        <f>IFERROR(IF(MARÍTIMOS[[#This Row],[Etapa Ingreso - Llegada]]="","",MARÍTIMOS[[#This Row],[Etapa Ingreso - Llegada]]),"")</f>
        <v/>
      </c>
      <c r="AJ556" s="11" t="str">
        <f>IFERROR(IF(MARÍTIMOS[[#This Row],[Etapa Ingreso - Ingeso]]="","",MARÍTIMOS[[#This Row],[Etapa Ingreso - Ingeso]]),"")</f>
        <v/>
      </c>
      <c r="AK556" s="11" t="str">
        <f>IFERROR(IF(MARÍTIMOS[[#This Row],[Etapa Ingreso - Atención]]="","",MARÍTIMOS[[#This Row],[Etapa Ingreso - Atención]]),"")</f>
        <v/>
      </c>
      <c r="AL556" s="11" t="str">
        <f>IFERROR(IF(MARÍTIMOS[[#This Row],[Etapa Ingreso - Salida]]="","",MARÍTIMOS[[#This Row],[Etapa Ingreso - Salida]]),"")</f>
        <v/>
      </c>
      <c r="AM556" s="2" t="str">
        <f>IFERROR(IF(MARÍTIMOS[[#This Row],[FCL]]="","",MARÍTIMOS[[#This Row],[FCL]]),"")</f>
        <v/>
      </c>
      <c r="AN5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6" s="4" t="str" cm="1">
        <f t="array" ref="AO5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6" s="5" t="str">
        <f>IFERROR(OLDBD[[#This Row],[Llegada a packing]]-OLDBD[[#This Row],[Inicio de Ruta]],"")</f>
        <v/>
      </c>
      <c r="AQ556" s="6" t="str">
        <f>IFERROR(OLDBD[[#This Row],[Inicio de Ruta]]-OLDBD[[#This Row],[Salida de almacén de retiro]],"")</f>
        <v/>
      </c>
      <c r="AR5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6" s="8" t="str" cm="1">
        <f t="array" ref="AS5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6" s="9" t="str">
        <f>IFERROR(OLDBD[[#This Row],[Ingreso Packing]]-OLDBD[[#This Row],[Registro en Packing]],"")</f>
        <v/>
      </c>
      <c r="AV556" s="9" t="str">
        <f>IFERROR(OLDBD[[#This Row],[Ingreso Packing]]-OLDBD[[#This Row],[Llegada a packing]],"")</f>
        <v/>
      </c>
      <c r="AW5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6" s="5" t="str">
        <f>IFERROR(OLDBD[[#This Row],[Llegada Almacén de Ingreso]]-OLDBD[[#This Row],[Salida Packing]],"")</f>
        <v/>
      </c>
      <c r="AY556" s="4" t="str" cm="1">
        <f t="array" ref="AY5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6" s="43" t="s">
        <v>173</v>
      </c>
      <c r="BB556" s="47" t="str">
        <f>IFERROR(IF(MARÍTIMOS[[#This Row],[Estatus]]="","",MARÍTIMOS[[#This Row],[Estatus]]),"")</f>
        <v/>
      </c>
      <c r="BC556" s="43"/>
      <c r="BD556" s="46" t="str">
        <f>IFERROR(OLDBD[[#This Row],[Salida de almacén de retiro]]-OLDBD[[#This Row],[Ingreso Almacén de retiro]],"")</f>
        <v/>
      </c>
      <c r="BE556" s="46" t="str">
        <f>IFERROR(OLDBD[[#This Row],[Fin de Carga]]-OLDBD[[#This Row],[Inicio de Carga]],"")</f>
        <v/>
      </c>
    </row>
    <row r="557" spans="1:57" customFormat="1" hidden="1">
      <c r="A557" s="1"/>
      <c r="B557" s="1" t="str">
        <f>IFERROR(IF(MARÍTIMOS[[#This Row],[PP]]="","",MARÍTIMOS[[#This Row],[PP]]),"")</f>
        <v/>
      </c>
      <c r="C557" s="1" t="str">
        <f>IFERROR(IF(MARÍTIMOS[[#This Row],[Sede]]="","",MARÍTIMOS[[#This Row],[Sede]]),"")</f>
        <v/>
      </c>
      <c r="D557" s="1" t="str">
        <f>IFERROR(IF(MARÍTIMOS[[#This Row],[Instruction]]="","",MARÍTIMOS[[#This Row],[Instruction]]),"")</f>
        <v/>
      </c>
      <c r="E557" s="1"/>
      <c r="F557" s="2" t="str">
        <f>IFERROR(IF(MARÍTIMOS[[#This Row],[Transportista]]="","",MARÍTIMOS[[#This Row],[Transportista]]),"")</f>
        <v/>
      </c>
      <c r="G557" s="2" t="str">
        <f>IFERROR(IF(MARÍTIMOS[[#This Row],[Tercero]]="","",MARÍTIMOS[[#This Row],[Tercero]]),"")</f>
        <v/>
      </c>
      <c r="H557" s="2" t="str">
        <f>IFERROR(IF(MARÍTIMOS[[#This Row],[Razón Social]]="","",MARÍTIMOS[[#This Row],[Razón Social]]),"")</f>
        <v/>
      </c>
      <c r="I557" s="2" t="str">
        <f>IFERROR(IF(MARÍTIMOS[[#This Row],[RUC]]="","",MARÍTIMOS[[#This Row],[RUC]]),"")</f>
        <v/>
      </c>
      <c r="J557" s="2" t="str">
        <f>IFERROR(IF(MARÍTIMOS[[#This Row],[Placa Tracto]]="","",MARÍTIMOS[[#This Row],[Placa Tracto]]),"")</f>
        <v/>
      </c>
      <c r="K557" s="2" t="str">
        <f>IFERROR(IF(MARÍTIMOS[[#This Row],[Placa Carreta]]="","",MARÍTIMOS[[#This Row],[Placa Carreta]]),"")</f>
        <v/>
      </c>
      <c r="L557" s="44" t="str">
        <f>IFERROR(IF(MARÍTIMOS[[#This Row],[Conductor]]="","",MARÍTIMOS[[#This Row],[Conductor]]),"")</f>
        <v/>
      </c>
      <c r="M557" s="2" t="str">
        <f>IFERROR(IF(MARÍTIMOS[[#This Row],[Licencia]]="","",MARÍTIMOS[[#This Row],[Licencia]]),"")</f>
        <v/>
      </c>
      <c r="N557" s="2" t="str">
        <f>IFERROR(IF(MARÍTIMOS[[#This Row],[Número de Contacto]]="","",MARÍTIMOS[[#This Row],[Número de Contacto]]),"")</f>
        <v/>
      </c>
      <c r="O557" s="10" t="str">
        <f>IFERROR(IF(MARÍTIMOS[[#This Row],[Booking|AWB|CRT]]="","",MARÍTIMOS[[#This Row],[Booking|AWB|CRT]]),"")</f>
        <v/>
      </c>
      <c r="P557" s="2" t="str">
        <f>IFERROR(IF(MARÍTIMOS[[#This Row],[Contenedor]]="","",MARÍTIMOS[[#This Row],[Contenedor]]),"")</f>
        <v/>
      </c>
      <c r="Q557" s="2" t="str">
        <f>IFERROR(IF(MARÍTIMOS[[#This Row],[Puerto de Retiro]]="","",MARÍTIMOS[[#This Row],[Puerto de Retiro]]),"")</f>
        <v/>
      </c>
      <c r="R557" s="2" t="str">
        <f>IFERROR(IF(MARÍTIMOS[[#This Row],[Almacén de Retiro]]="","",MARÍTIMOS[[#This Row],[Almacén de Retiro]]),"")</f>
        <v/>
      </c>
      <c r="S557" s="11" t="str">
        <f>IFERROR(IF(MARÍTIMOS[[#This Row],[Etapa Retiro - Cita]]="","",MARÍTIMOS[[#This Row],[Etapa Retiro - Cita]]),"")</f>
        <v/>
      </c>
      <c r="T557" s="11" t="str">
        <f>IFERROR(IF(MARÍTIMOS[[#This Row],[Etapa Retiro - Llegada]]="","",MARÍTIMOS[[#This Row],[Etapa Retiro - Llegada]]),"")</f>
        <v/>
      </c>
      <c r="U557" s="11" t="str">
        <f>IFERROR(IF(MARÍTIMOS[[#This Row],[Etapa Retiro - Ingreso]]="","",MARÍTIMOS[[#This Row],[Etapa Retiro - Ingreso]]),"")</f>
        <v/>
      </c>
      <c r="V557" s="11" t="str">
        <f>IFERROR(IF(MARÍTIMOS[[#This Row],[Etapa Retiro - Atención]]="","",MARÍTIMOS[[#This Row],[Etapa Retiro - Atención]]),"")</f>
        <v/>
      </c>
      <c r="W557" s="11" t="str">
        <f>IFERROR(IF(MARÍTIMOS[[#This Row],[Etapa Retiro - Atención]]="","",MARÍTIMOS[[#This Row],[Etapa Retiro - Atención]]),"")</f>
        <v/>
      </c>
      <c r="X557" s="11" t="str">
        <f>IFERROR(IF(MARÍTIMOS[[#This Row],[Etapa Retiro - Inicio de Ruta]]="","",MARÍTIMOS[[#This Row],[Etapa Retiro - Inicio de Ruta]]),"")</f>
        <v/>
      </c>
      <c r="Y557" s="11" t="str">
        <f>IFERROR(IF(MARÍTIMOS[[#This Row],[Hora de Posicionamiento]]="","",MARÍTIMOS[[#This Row],[Fecha de Carga]]+MARÍTIMOS[[#This Row],[Hora de Posicionamiento]]),"")</f>
        <v/>
      </c>
      <c r="Z557" s="11" t="str">
        <f>IFERROR(IF(MARÍTIMOS[[#This Row],[Etapa Despacho - Llegada]]="","",MARÍTIMOS[[#This Row],[Etapa Despacho - Llegada]]),"")</f>
        <v/>
      </c>
      <c r="AA557" s="11" t="str">
        <f>IFERROR(IF(MARÍTIMOS[[#This Row],[Etapa Despacho - Registro]]="","",MARÍTIMOS[[#This Row],[Etapa Despacho - Registro]]),"")</f>
        <v/>
      </c>
      <c r="AB557" s="11" t="str">
        <f>IFERROR(IF(MARÍTIMOS[[#This Row],[Inspección Externa]]="","",MARÍTIMOS[[#This Row],[Inspección Externa]]),"")</f>
        <v/>
      </c>
      <c r="AC557" s="11" t="str">
        <f>IFERROR(IF(MARÍTIMOS[[#This Row],[Etapa Despacho - Inicio de Carga]]="","",MARÍTIMOS[[#This Row],[Etapa Despacho - Inicio de Carga]]),"")</f>
        <v/>
      </c>
      <c r="AD557" s="11" t="str">
        <f>IFERROR(IF(MARÍTIMOS[[#This Row],[Etapa Despacho - Mitad de Carga]]="","",MARÍTIMOS[[#This Row],[Etapa Despacho - Mitad de Carga]]),"")</f>
        <v/>
      </c>
      <c r="AE557" s="11" t="str">
        <f>IFERROR(IF(MARÍTIMOS[[#This Row],[Etapa Despacho - Fin de Carga]]="","",MARÍTIMOS[[#This Row],[Etapa Despacho - Fin de Carga]]),"")</f>
        <v/>
      </c>
      <c r="AF557" s="2" t="str">
        <f>IFERROR(IF(MARÍTIMOS[[#This Row],[Puerto de Embarque]]="","",MARÍTIMOS[[#This Row],[Puerto de Embarque]]),"")</f>
        <v/>
      </c>
      <c r="AG557" s="2" t="str">
        <f>IFERROR(IF(MARÍTIMOS[[#This Row],[Almacén de Ingreso]]="","",MARÍTIMOS[[#This Row],[Almacén de Ingreso]]),"")</f>
        <v/>
      </c>
      <c r="AH557" s="11" t="str">
        <f>IFERROR(IF(MARÍTIMOS[[#This Row],[Etapa Ingreso - Cita]]="","",MARÍTIMOS[[#This Row],[Etapa Ingreso - Cita]]),"")</f>
        <v/>
      </c>
      <c r="AI557" s="11" t="str">
        <f>IFERROR(IF(MARÍTIMOS[[#This Row],[Etapa Ingreso - Llegada]]="","",MARÍTIMOS[[#This Row],[Etapa Ingreso - Llegada]]),"")</f>
        <v/>
      </c>
      <c r="AJ557" s="11" t="str">
        <f>IFERROR(IF(MARÍTIMOS[[#This Row],[Etapa Ingreso - Ingeso]]="","",MARÍTIMOS[[#This Row],[Etapa Ingreso - Ingeso]]),"")</f>
        <v/>
      </c>
      <c r="AK557" s="11" t="str">
        <f>IFERROR(IF(MARÍTIMOS[[#This Row],[Etapa Ingreso - Atención]]="","",MARÍTIMOS[[#This Row],[Etapa Ingreso - Atención]]),"")</f>
        <v/>
      </c>
      <c r="AL557" s="11" t="str">
        <f>IFERROR(IF(MARÍTIMOS[[#This Row],[Etapa Ingreso - Salida]]="","",MARÍTIMOS[[#This Row],[Etapa Ingreso - Salida]]),"")</f>
        <v/>
      </c>
      <c r="AM557" s="2" t="str">
        <f>IFERROR(IF(MARÍTIMOS[[#This Row],[FCL]]="","",MARÍTIMOS[[#This Row],[FCL]]),"")</f>
        <v/>
      </c>
      <c r="AN5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7" s="4" t="str" cm="1">
        <f t="array" ref="AO5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7" s="5" t="str">
        <f>IFERROR(OLDBD[[#This Row],[Llegada a packing]]-OLDBD[[#This Row],[Inicio de Ruta]],"")</f>
        <v/>
      </c>
      <c r="AQ557" s="6" t="str">
        <f>IFERROR(OLDBD[[#This Row],[Inicio de Ruta]]-OLDBD[[#This Row],[Salida de almacén de retiro]],"")</f>
        <v/>
      </c>
      <c r="AR5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7" s="8" t="str" cm="1">
        <f t="array" ref="AS5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7" s="9" t="str">
        <f>IFERROR(OLDBD[[#This Row],[Ingreso Packing]]-OLDBD[[#This Row],[Registro en Packing]],"")</f>
        <v/>
      </c>
      <c r="AV557" s="9" t="str">
        <f>IFERROR(OLDBD[[#This Row],[Ingreso Packing]]-OLDBD[[#This Row],[Llegada a packing]],"")</f>
        <v/>
      </c>
      <c r="AW5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7" s="5" t="str">
        <f>IFERROR(OLDBD[[#This Row],[Llegada Almacén de Ingreso]]-OLDBD[[#This Row],[Salida Packing]],"")</f>
        <v/>
      </c>
      <c r="AY557" s="4" t="str" cm="1">
        <f t="array" ref="AY5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7" s="43" t="s">
        <v>173</v>
      </c>
      <c r="BB557" s="47" t="str">
        <f>IFERROR(IF(MARÍTIMOS[[#This Row],[Estatus]]="","",MARÍTIMOS[[#This Row],[Estatus]]),"")</f>
        <v/>
      </c>
      <c r="BC557" s="43"/>
      <c r="BD557" s="46" t="str">
        <f>IFERROR(OLDBD[[#This Row],[Salida de almacén de retiro]]-OLDBD[[#This Row],[Ingreso Almacén de retiro]],"")</f>
        <v/>
      </c>
      <c r="BE557" s="46" t="str">
        <f>IFERROR(OLDBD[[#This Row],[Fin de Carga]]-OLDBD[[#This Row],[Inicio de Carga]],"")</f>
        <v/>
      </c>
    </row>
    <row r="558" spans="1:57" customFormat="1" hidden="1">
      <c r="A558" s="1"/>
      <c r="B558" s="1" t="str">
        <f>IFERROR(IF(MARÍTIMOS[[#This Row],[PP]]="","",MARÍTIMOS[[#This Row],[PP]]),"")</f>
        <v/>
      </c>
      <c r="C558" s="1" t="str">
        <f>IFERROR(IF(MARÍTIMOS[[#This Row],[Sede]]="","",MARÍTIMOS[[#This Row],[Sede]]),"")</f>
        <v/>
      </c>
      <c r="D558" s="1" t="str">
        <f>IFERROR(IF(MARÍTIMOS[[#This Row],[Instruction]]="","",MARÍTIMOS[[#This Row],[Instruction]]),"")</f>
        <v/>
      </c>
      <c r="E558" s="1"/>
      <c r="F558" s="2" t="str">
        <f>IFERROR(IF(MARÍTIMOS[[#This Row],[Transportista]]="","",MARÍTIMOS[[#This Row],[Transportista]]),"")</f>
        <v/>
      </c>
      <c r="G558" s="2" t="str">
        <f>IFERROR(IF(MARÍTIMOS[[#This Row],[Tercero]]="","",MARÍTIMOS[[#This Row],[Tercero]]),"")</f>
        <v/>
      </c>
      <c r="H558" s="2" t="str">
        <f>IFERROR(IF(MARÍTIMOS[[#This Row],[Razón Social]]="","",MARÍTIMOS[[#This Row],[Razón Social]]),"")</f>
        <v/>
      </c>
      <c r="I558" s="2" t="str">
        <f>IFERROR(IF(MARÍTIMOS[[#This Row],[RUC]]="","",MARÍTIMOS[[#This Row],[RUC]]),"")</f>
        <v/>
      </c>
      <c r="J558" s="2" t="str">
        <f>IFERROR(IF(MARÍTIMOS[[#This Row],[Placa Tracto]]="","",MARÍTIMOS[[#This Row],[Placa Tracto]]),"")</f>
        <v/>
      </c>
      <c r="K558" s="2" t="str">
        <f>IFERROR(IF(MARÍTIMOS[[#This Row],[Placa Carreta]]="","",MARÍTIMOS[[#This Row],[Placa Carreta]]),"")</f>
        <v/>
      </c>
      <c r="L558" s="44" t="str">
        <f>IFERROR(IF(MARÍTIMOS[[#This Row],[Conductor]]="","",MARÍTIMOS[[#This Row],[Conductor]]),"")</f>
        <v/>
      </c>
      <c r="M558" s="2" t="str">
        <f>IFERROR(IF(MARÍTIMOS[[#This Row],[Licencia]]="","",MARÍTIMOS[[#This Row],[Licencia]]),"")</f>
        <v/>
      </c>
      <c r="N558" s="2" t="str">
        <f>IFERROR(IF(MARÍTIMOS[[#This Row],[Número de Contacto]]="","",MARÍTIMOS[[#This Row],[Número de Contacto]]),"")</f>
        <v/>
      </c>
      <c r="O558" s="10" t="str">
        <f>IFERROR(IF(MARÍTIMOS[[#This Row],[Booking|AWB|CRT]]="","",MARÍTIMOS[[#This Row],[Booking|AWB|CRT]]),"")</f>
        <v/>
      </c>
      <c r="P558" s="2" t="str">
        <f>IFERROR(IF(MARÍTIMOS[[#This Row],[Contenedor]]="","",MARÍTIMOS[[#This Row],[Contenedor]]),"")</f>
        <v/>
      </c>
      <c r="Q558" s="2" t="str">
        <f>IFERROR(IF(MARÍTIMOS[[#This Row],[Puerto de Retiro]]="","",MARÍTIMOS[[#This Row],[Puerto de Retiro]]),"")</f>
        <v/>
      </c>
      <c r="R558" s="2" t="str">
        <f>IFERROR(IF(MARÍTIMOS[[#This Row],[Almacén de Retiro]]="","",MARÍTIMOS[[#This Row],[Almacén de Retiro]]),"")</f>
        <v/>
      </c>
      <c r="S558" s="11" t="str">
        <f>IFERROR(IF(MARÍTIMOS[[#This Row],[Etapa Retiro - Cita]]="","",MARÍTIMOS[[#This Row],[Etapa Retiro - Cita]]),"")</f>
        <v/>
      </c>
      <c r="T558" s="11" t="str">
        <f>IFERROR(IF(MARÍTIMOS[[#This Row],[Etapa Retiro - Llegada]]="","",MARÍTIMOS[[#This Row],[Etapa Retiro - Llegada]]),"")</f>
        <v/>
      </c>
      <c r="U558" s="11" t="str">
        <f>IFERROR(IF(MARÍTIMOS[[#This Row],[Etapa Retiro - Ingreso]]="","",MARÍTIMOS[[#This Row],[Etapa Retiro - Ingreso]]),"")</f>
        <v/>
      </c>
      <c r="V558" s="11" t="str">
        <f>IFERROR(IF(MARÍTIMOS[[#This Row],[Etapa Retiro - Atención]]="","",MARÍTIMOS[[#This Row],[Etapa Retiro - Atención]]),"")</f>
        <v/>
      </c>
      <c r="W558" s="11" t="str">
        <f>IFERROR(IF(MARÍTIMOS[[#This Row],[Etapa Retiro - Atención]]="","",MARÍTIMOS[[#This Row],[Etapa Retiro - Atención]]),"")</f>
        <v/>
      </c>
      <c r="X558" s="11" t="str">
        <f>IFERROR(IF(MARÍTIMOS[[#This Row],[Etapa Retiro - Inicio de Ruta]]="","",MARÍTIMOS[[#This Row],[Etapa Retiro - Inicio de Ruta]]),"")</f>
        <v/>
      </c>
      <c r="Y558" s="11" t="str">
        <f>IFERROR(IF(MARÍTIMOS[[#This Row],[Hora de Posicionamiento]]="","",MARÍTIMOS[[#This Row],[Fecha de Carga]]+MARÍTIMOS[[#This Row],[Hora de Posicionamiento]]),"")</f>
        <v/>
      </c>
      <c r="Z558" s="11" t="str">
        <f>IFERROR(IF(MARÍTIMOS[[#This Row],[Etapa Despacho - Llegada]]="","",MARÍTIMOS[[#This Row],[Etapa Despacho - Llegada]]),"")</f>
        <v/>
      </c>
      <c r="AA558" s="11" t="str">
        <f>IFERROR(IF(MARÍTIMOS[[#This Row],[Etapa Despacho - Registro]]="","",MARÍTIMOS[[#This Row],[Etapa Despacho - Registro]]),"")</f>
        <v/>
      </c>
      <c r="AB558" s="11" t="str">
        <f>IFERROR(IF(MARÍTIMOS[[#This Row],[Inspección Externa]]="","",MARÍTIMOS[[#This Row],[Inspección Externa]]),"")</f>
        <v/>
      </c>
      <c r="AC558" s="11" t="str">
        <f>IFERROR(IF(MARÍTIMOS[[#This Row],[Etapa Despacho - Inicio de Carga]]="","",MARÍTIMOS[[#This Row],[Etapa Despacho - Inicio de Carga]]),"")</f>
        <v/>
      </c>
      <c r="AD558" s="11" t="str">
        <f>IFERROR(IF(MARÍTIMOS[[#This Row],[Etapa Despacho - Mitad de Carga]]="","",MARÍTIMOS[[#This Row],[Etapa Despacho - Mitad de Carga]]),"")</f>
        <v/>
      </c>
      <c r="AE558" s="11" t="str">
        <f>IFERROR(IF(MARÍTIMOS[[#This Row],[Etapa Despacho - Fin de Carga]]="","",MARÍTIMOS[[#This Row],[Etapa Despacho - Fin de Carga]]),"")</f>
        <v/>
      </c>
      <c r="AF558" s="2" t="str">
        <f>IFERROR(IF(MARÍTIMOS[[#This Row],[Puerto de Embarque]]="","",MARÍTIMOS[[#This Row],[Puerto de Embarque]]),"")</f>
        <v/>
      </c>
      <c r="AG558" s="2" t="str">
        <f>IFERROR(IF(MARÍTIMOS[[#This Row],[Almacén de Ingreso]]="","",MARÍTIMOS[[#This Row],[Almacén de Ingreso]]),"")</f>
        <v/>
      </c>
      <c r="AH558" s="11" t="str">
        <f>IFERROR(IF(MARÍTIMOS[[#This Row],[Etapa Ingreso - Cita]]="","",MARÍTIMOS[[#This Row],[Etapa Ingreso - Cita]]),"")</f>
        <v/>
      </c>
      <c r="AI558" s="11" t="str">
        <f>IFERROR(IF(MARÍTIMOS[[#This Row],[Etapa Ingreso - Llegada]]="","",MARÍTIMOS[[#This Row],[Etapa Ingreso - Llegada]]),"")</f>
        <v/>
      </c>
      <c r="AJ558" s="11" t="str">
        <f>IFERROR(IF(MARÍTIMOS[[#This Row],[Etapa Ingreso - Ingeso]]="","",MARÍTIMOS[[#This Row],[Etapa Ingreso - Ingeso]]),"")</f>
        <v/>
      </c>
      <c r="AK558" s="11" t="str">
        <f>IFERROR(IF(MARÍTIMOS[[#This Row],[Etapa Ingreso - Atención]]="","",MARÍTIMOS[[#This Row],[Etapa Ingreso - Atención]]),"")</f>
        <v/>
      </c>
      <c r="AL558" s="11" t="str">
        <f>IFERROR(IF(MARÍTIMOS[[#This Row],[Etapa Ingreso - Salida]]="","",MARÍTIMOS[[#This Row],[Etapa Ingreso - Salida]]),"")</f>
        <v/>
      </c>
      <c r="AM558" s="2" t="str">
        <f>IFERROR(IF(MARÍTIMOS[[#This Row],[FCL]]="","",MARÍTIMOS[[#This Row],[FCL]]),"")</f>
        <v/>
      </c>
      <c r="AN5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8" s="4" t="str" cm="1">
        <f t="array" ref="AO5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8" s="5" t="str">
        <f>IFERROR(OLDBD[[#This Row],[Llegada a packing]]-OLDBD[[#This Row],[Inicio de Ruta]],"")</f>
        <v/>
      </c>
      <c r="AQ558" s="6" t="str">
        <f>IFERROR(OLDBD[[#This Row],[Inicio de Ruta]]-OLDBD[[#This Row],[Salida de almacén de retiro]],"")</f>
        <v/>
      </c>
      <c r="AR5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8" s="8" t="str" cm="1">
        <f t="array" ref="AS5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8" s="9" t="str">
        <f>IFERROR(OLDBD[[#This Row],[Ingreso Packing]]-OLDBD[[#This Row],[Registro en Packing]],"")</f>
        <v/>
      </c>
      <c r="AV558" s="9" t="str">
        <f>IFERROR(OLDBD[[#This Row],[Ingreso Packing]]-OLDBD[[#This Row],[Llegada a packing]],"")</f>
        <v/>
      </c>
      <c r="AW5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8" s="5" t="str">
        <f>IFERROR(OLDBD[[#This Row],[Llegada Almacén de Ingreso]]-OLDBD[[#This Row],[Salida Packing]],"")</f>
        <v/>
      </c>
      <c r="AY558" s="4" t="str" cm="1">
        <f t="array" ref="AY5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8" s="43" t="s">
        <v>173</v>
      </c>
      <c r="BB558" s="47" t="str">
        <f>IFERROR(IF(MARÍTIMOS[[#This Row],[Estatus]]="","",MARÍTIMOS[[#This Row],[Estatus]]),"")</f>
        <v/>
      </c>
      <c r="BC558" s="43"/>
      <c r="BD558" s="46" t="str">
        <f>IFERROR(OLDBD[[#This Row],[Salida de almacén de retiro]]-OLDBD[[#This Row],[Ingreso Almacén de retiro]],"")</f>
        <v/>
      </c>
      <c r="BE558" s="46" t="str">
        <f>IFERROR(OLDBD[[#This Row],[Fin de Carga]]-OLDBD[[#This Row],[Inicio de Carga]],"")</f>
        <v/>
      </c>
    </row>
    <row r="559" spans="1:57" customFormat="1" hidden="1">
      <c r="A559" s="1"/>
      <c r="B559" s="1" t="str">
        <f>IFERROR(IF(MARÍTIMOS[[#This Row],[PP]]="","",MARÍTIMOS[[#This Row],[PP]]),"")</f>
        <v/>
      </c>
      <c r="C559" s="1" t="str">
        <f>IFERROR(IF(MARÍTIMOS[[#This Row],[Sede]]="","",MARÍTIMOS[[#This Row],[Sede]]),"")</f>
        <v/>
      </c>
      <c r="D559" s="1" t="str">
        <f>IFERROR(IF(MARÍTIMOS[[#This Row],[Instruction]]="","",MARÍTIMOS[[#This Row],[Instruction]]),"")</f>
        <v/>
      </c>
      <c r="E559" s="1"/>
      <c r="F559" s="2" t="str">
        <f>IFERROR(IF(MARÍTIMOS[[#This Row],[Transportista]]="","",MARÍTIMOS[[#This Row],[Transportista]]),"")</f>
        <v/>
      </c>
      <c r="G559" s="2" t="str">
        <f>IFERROR(IF(MARÍTIMOS[[#This Row],[Tercero]]="","",MARÍTIMOS[[#This Row],[Tercero]]),"")</f>
        <v/>
      </c>
      <c r="H559" s="2" t="str">
        <f>IFERROR(IF(MARÍTIMOS[[#This Row],[Razón Social]]="","",MARÍTIMOS[[#This Row],[Razón Social]]),"")</f>
        <v/>
      </c>
      <c r="I559" s="2" t="str">
        <f>IFERROR(IF(MARÍTIMOS[[#This Row],[RUC]]="","",MARÍTIMOS[[#This Row],[RUC]]),"")</f>
        <v/>
      </c>
      <c r="J559" s="2" t="str">
        <f>IFERROR(IF(MARÍTIMOS[[#This Row],[Placa Tracto]]="","",MARÍTIMOS[[#This Row],[Placa Tracto]]),"")</f>
        <v/>
      </c>
      <c r="K559" s="2" t="str">
        <f>IFERROR(IF(MARÍTIMOS[[#This Row],[Placa Carreta]]="","",MARÍTIMOS[[#This Row],[Placa Carreta]]),"")</f>
        <v/>
      </c>
      <c r="L559" s="44" t="str">
        <f>IFERROR(IF(MARÍTIMOS[[#This Row],[Conductor]]="","",MARÍTIMOS[[#This Row],[Conductor]]),"")</f>
        <v/>
      </c>
      <c r="M559" s="2" t="str">
        <f>IFERROR(IF(MARÍTIMOS[[#This Row],[Licencia]]="","",MARÍTIMOS[[#This Row],[Licencia]]),"")</f>
        <v/>
      </c>
      <c r="N559" s="2" t="str">
        <f>IFERROR(IF(MARÍTIMOS[[#This Row],[Número de Contacto]]="","",MARÍTIMOS[[#This Row],[Número de Contacto]]),"")</f>
        <v/>
      </c>
      <c r="O559" s="10" t="str">
        <f>IFERROR(IF(MARÍTIMOS[[#This Row],[Booking|AWB|CRT]]="","",MARÍTIMOS[[#This Row],[Booking|AWB|CRT]]),"")</f>
        <v/>
      </c>
      <c r="P559" s="2" t="str">
        <f>IFERROR(IF(MARÍTIMOS[[#This Row],[Contenedor]]="","",MARÍTIMOS[[#This Row],[Contenedor]]),"")</f>
        <v/>
      </c>
      <c r="Q559" s="2" t="str">
        <f>IFERROR(IF(MARÍTIMOS[[#This Row],[Puerto de Retiro]]="","",MARÍTIMOS[[#This Row],[Puerto de Retiro]]),"")</f>
        <v/>
      </c>
      <c r="R559" s="2" t="str">
        <f>IFERROR(IF(MARÍTIMOS[[#This Row],[Almacén de Retiro]]="","",MARÍTIMOS[[#This Row],[Almacén de Retiro]]),"")</f>
        <v/>
      </c>
      <c r="S559" s="11" t="str">
        <f>IFERROR(IF(MARÍTIMOS[[#This Row],[Etapa Retiro - Cita]]="","",MARÍTIMOS[[#This Row],[Etapa Retiro - Cita]]),"")</f>
        <v/>
      </c>
      <c r="T559" s="11" t="str">
        <f>IFERROR(IF(MARÍTIMOS[[#This Row],[Etapa Retiro - Llegada]]="","",MARÍTIMOS[[#This Row],[Etapa Retiro - Llegada]]),"")</f>
        <v/>
      </c>
      <c r="U559" s="11" t="str">
        <f>IFERROR(IF(MARÍTIMOS[[#This Row],[Etapa Retiro - Ingreso]]="","",MARÍTIMOS[[#This Row],[Etapa Retiro - Ingreso]]),"")</f>
        <v/>
      </c>
      <c r="V559" s="11" t="str">
        <f>IFERROR(IF(MARÍTIMOS[[#This Row],[Etapa Retiro - Atención]]="","",MARÍTIMOS[[#This Row],[Etapa Retiro - Atención]]),"")</f>
        <v/>
      </c>
      <c r="W559" s="11" t="str">
        <f>IFERROR(IF(MARÍTIMOS[[#This Row],[Etapa Retiro - Atención]]="","",MARÍTIMOS[[#This Row],[Etapa Retiro - Atención]]),"")</f>
        <v/>
      </c>
      <c r="X559" s="11" t="str">
        <f>IFERROR(IF(MARÍTIMOS[[#This Row],[Etapa Retiro - Inicio de Ruta]]="","",MARÍTIMOS[[#This Row],[Etapa Retiro - Inicio de Ruta]]),"")</f>
        <v/>
      </c>
      <c r="Y559" s="11" t="str">
        <f>IFERROR(IF(MARÍTIMOS[[#This Row],[Hora de Posicionamiento]]="","",MARÍTIMOS[[#This Row],[Fecha de Carga]]+MARÍTIMOS[[#This Row],[Hora de Posicionamiento]]),"")</f>
        <v/>
      </c>
      <c r="Z559" s="11" t="str">
        <f>IFERROR(IF(MARÍTIMOS[[#This Row],[Etapa Despacho - Llegada]]="","",MARÍTIMOS[[#This Row],[Etapa Despacho - Llegada]]),"")</f>
        <v/>
      </c>
      <c r="AA559" s="11" t="str">
        <f>IFERROR(IF(MARÍTIMOS[[#This Row],[Etapa Despacho - Registro]]="","",MARÍTIMOS[[#This Row],[Etapa Despacho - Registro]]),"")</f>
        <v/>
      </c>
      <c r="AB559" s="11" t="str">
        <f>IFERROR(IF(MARÍTIMOS[[#This Row],[Inspección Externa]]="","",MARÍTIMOS[[#This Row],[Inspección Externa]]),"")</f>
        <v/>
      </c>
      <c r="AC559" s="11" t="str">
        <f>IFERROR(IF(MARÍTIMOS[[#This Row],[Etapa Despacho - Inicio de Carga]]="","",MARÍTIMOS[[#This Row],[Etapa Despacho - Inicio de Carga]]),"")</f>
        <v/>
      </c>
      <c r="AD559" s="11" t="str">
        <f>IFERROR(IF(MARÍTIMOS[[#This Row],[Etapa Despacho - Mitad de Carga]]="","",MARÍTIMOS[[#This Row],[Etapa Despacho - Mitad de Carga]]),"")</f>
        <v/>
      </c>
      <c r="AE559" s="11" t="str">
        <f>IFERROR(IF(MARÍTIMOS[[#This Row],[Etapa Despacho - Fin de Carga]]="","",MARÍTIMOS[[#This Row],[Etapa Despacho - Fin de Carga]]),"")</f>
        <v/>
      </c>
      <c r="AF559" s="2" t="str">
        <f>IFERROR(IF(MARÍTIMOS[[#This Row],[Puerto de Embarque]]="","",MARÍTIMOS[[#This Row],[Puerto de Embarque]]),"")</f>
        <v/>
      </c>
      <c r="AG559" s="2" t="str">
        <f>IFERROR(IF(MARÍTIMOS[[#This Row],[Almacén de Ingreso]]="","",MARÍTIMOS[[#This Row],[Almacén de Ingreso]]),"")</f>
        <v/>
      </c>
      <c r="AH559" s="11" t="str">
        <f>IFERROR(IF(MARÍTIMOS[[#This Row],[Etapa Ingreso - Cita]]="","",MARÍTIMOS[[#This Row],[Etapa Ingreso - Cita]]),"")</f>
        <v/>
      </c>
      <c r="AI559" s="11" t="str">
        <f>IFERROR(IF(MARÍTIMOS[[#This Row],[Etapa Ingreso - Llegada]]="","",MARÍTIMOS[[#This Row],[Etapa Ingreso - Llegada]]),"")</f>
        <v/>
      </c>
      <c r="AJ559" s="11" t="str">
        <f>IFERROR(IF(MARÍTIMOS[[#This Row],[Etapa Ingreso - Ingeso]]="","",MARÍTIMOS[[#This Row],[Etapa Ingreso - Ingeso]]),"")</f>
        <v/>
      </c>
      <c r="AK559" s="11" t="str">
        <f>IFERROR(IF(MARÍTIMOS[[#This Row],[Etapa Ingreso - Atención]]="","",MARÍTIMOS[[#This Row],[Etapa Ingreso - Atención]]),"")</f>
        <v/>
      </c>
      <c r="AL559" s="11" t="str">
        <f>IFERROR(IF(MARÍTIMOS[[#This Row],[Etapa Ingreso - Salida]]="","",MARÍTIMOS[[#This Row],[Etapa Ingreso - Salida]]),"")</f>
        <v/>
      </c>
      <c r="AM559" s="2" t="str">
        <f>IFERROR(IF(MARÍTIMOS[[#This Row],[FCL]]="","",MARÍTIMOS[[#This Row],[FCL]]),"")</f>
        <v/>
      </c>
      <c r="AN5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59" s="4" t="str" cm="1">
        <f t="array" ref="AO5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59" s="5" t="str">
        <f>IFERROR(OLDBD[[#This Row],[Llegada a packing]]-OLDBD[[#This Row],[Inicio de Ruta]],"")</f>
        <v/>
      </c>
      <c r="AQ559" s="6" t="str">
        <f>IFERROR(OLDBD[[#This Row],[Inicio de Ruta]]-OLDBD[[#This Row],[Salida de almacén de retiro]],"")</f>
        <v/>
      </c>
      <c r="AR5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59" s="8" t="str" cm="1">
        <f t="array" ref="AS5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59" s="9" t="str">
        <f>IFERROR(OLDBD[[#This Row],[Ingreso Packing]]-OLDBD[[#This Row],[Registro en Packing]],"")</f>
        <v/>
      </c>
      <c r="AV559" s="9" t="str">
        <f>IFERROR(OLDBD[[#This Row],[Ingreso Packing]]-OLDBD[[#This Row],[Llegada a packing]],"")</f>
        <v/>
      </c>
      <c r="AW5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59" s="5" t="str">
        <f>IFERROR(OLDBD[[#This Row],[Llegada Almacén de Ingreso]]-OLDBD[[#This Row],[Salida Packing]],"")</f>
        <v/>
      </c>
      <c r="AY559" s="4" t="str" cm="1">
        <f t="array" ref="AY5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59" s="43" t="s">
        <v>173</v>
      </c>
      <c r="BB559" s="47" t="str">
        <f>IFERROR(IF(MARÍTIMOS[[#This Row],[Estatus]]="","",MARÍTIMOS[[#This Row],[Estatus]]),"")</f>
        <v/>
      </c>
      <c r="BC559" s="43"/>
      <c r="BD559" s="46" t="str">
        <f>IFERROR(OLDBD[[#This Row],[Salida de almacén de retiro]]-OLDBD[[#This Row],[Ingreso Almacén de retiro]],"")</f>
        <v/>
      </c>
      <c r="BE559" s="46" t="str">
        <f>IFERROR(OLDBD[[#This Row],[Fin de Carga]]-OLDBD[[#This Row],[Inicio de Carga]],"")</f>
        <v/>
      </c>
    </row>
    <row r="560" spans="1:57" customFormat="1" hidden="1">
      <c r="A560" s="1"/>
      <c r="B560" s="1" t="str">
        <f>IFERROR(IF(MARÍTIMOS[[#This Row],[PP]]="","",MARÍTIMOS[[#This Row],[PP]]),"")</f>
        <v/>
      </c>
      <c r="C560" s="1" t="str">
        <f>IFERROR(IF(MARÍTIMOS[[#This Row],[Sede]]="","",MARÍTIMOS[[#This Row],[Sede]]),"")</f>
        <v/>
      </c>
      <c r="D560" s="1" t="str">
        <f>IFERROR(IF(MARÍTIMOS[[#This Row],[Instruction]]="","",MARÍTIMOS[[#This Row],[Instruction]]),"")</f>
        <v/>
      </c>
      <c r="E560" s="1"/>
      <c r="F560" s="2" t="str">
        <f>IFERROR(IF(MARÍTIMOS[[#This Row],[Transportista]]="","",MARÍTIMOS[[#This Row],[Transportista]]),"")</f>
        <v/>
      </c>
      <c r="G560" s="2" t="str">
        <f>IFERROR(IF(MARÍTIMOS[[#This Row],[Tercero]]="","",MARÍTIMOS[[#This Row],[Tercero]]),"")</f>
        <v/>
      </c>
      <c r="H560" s="2" t="str">
        <f>IFERROR(IF(MARÍTIMOS[[#This Row],[Razón Social]]="","",MARÍTIMOS[[#This Row],[Razón Social]]),"")</f>
        <v/>
      </c>
      <c r="I560" s="2" t="str">
        <f>IFERROR(IF(MARÍTIMOS[[#This Row],[RUC]]="","",MARÍTIMOS[[#This Row],[RUC]]),"")</f>
        <v/>
      </c>
      <c r="J560" s="2" t="str">
        <f>IFERROR(IF(MARÍTIMOS[[#This Row],[Placa Tracto]]="","",MARÍTIMOS[[#This Row],[Placa Tracto]]),"")</f>
        <v/>
      </c>
      <c r="K560" s="2" t="str">
        <f>IFERROR(IF(MARÍTIMOS[[#This Row],[Placa Carreta]]="","",MARÍTIMOS[[#This Row],[Placa Carreta]]),"")</f>
        <v/>
      </c>
      <c r="L560" s="44" t="str">
        <f>IFERROR(IF(MARÍTIMOS[[#This Row],[Conductor]]="","",MARÍTIMOS[[#This Row],[Conductor]]),"")</f>
        <v/>
      </c>
      <c r="M560" s="2" t="str">
        <f>IFERROR(IF(MARÍTIMOS[[#This Row],[Licencia]]="","",MARÍTIMOS[[#This Row],[Licencia]]),"")</f>
        <v/>
      </c>
      <c r="N560" s="2" t="str">
        <f>IFERROR(IF(MARÍTIMOS[[#This Row],[Número de Contacto]]="","",MARÍTIMOS[[#This Row],[Número de Contacto]]),"")</f>
        <v/>
      </c>
      <c r="O560" s="10" t="str">
        <f>IFERROR(IF(MARÍTIMOS[[#This Row],[Booking|AWB|CRT]]="","",MARÍTIMOS[[#This Row],[Booking|AWB|CRT]]),"")</f>
        <v/>
      </c>
      <c r="P560" s="2" t="str">
        <f>IFERROR(IF(MARÍTIMOS[[#This Row],[Contenedor]]="","",MARÍTIMOS[[#This Row],[Contenedor]]),"")</f>
        <v/>
      </c>
      <c r="Q560" s="2" t="str">
        <f>IFERROR(IF(MARÍTIMOS[[#This Row],[Puerto de Retiro]]="","",MARÍTIMOS[[#This Row],[Puerto de Retiro]]),"")</f>
        <v/>
      </c>
      <c r="R560" s="2" t="str">
        <f>IFERROR(IF(MARÍTIMOS[[#This Row],[Almacén de Retiro]]="","",MARÍTIMOS[[#This Row],[Almacén de Retiro]]),"")</f>
        <v/>
      </c>
      <c r="S560" s="11" t="str">
        <f>IFERROR(IF(MARÍTIMOS[[#This Row],[Etapa Retiro - Cita]]="","",MARÍTIMOS[[#This Row],[Etapa Retiro - Cita]]),"")</f>
        <v/>
      </c>
      <c r="T560" s="11" t="str">
        <f>IFERROR(IF(MARÍTIMOS[[#This Row],[Etapa Retiro - Llegada]]="","",MARÍTIMOS[[#This Row],[Etapa Retiro - Llegada]]),"")</f>
        <v/>
      </c>
      <c r="U560" s="11" t="str">
        <f>IFERROR(IF(MARÍTIMOS[[#This Row],[Etapa Retiro - Ingreso]]="","",MARÍTIMOS[[#This Row],[Etapa Retiro - Ingreso]]),"")</f>
        <v/>
      </c>
      <c r="V560" s="11" t="str">
        <f>IFERROR(IF(MARÍTIMOS[[#This Row],[Etapa Retiro - Atención]]="","",MARÍTIMOS[[#This Row],[Etapa Retiro - Atención]]),"")</f>
        <v/>
      </c>
      <c r="W560" s="11" t="str">
        <f>IFERROR(IF(MARÍTIMOS[[#This Row],[Etapa Retiro - Atención]]="","",MARÍTIMOS[[#This Row],[Etapa Retiro - Atención]]),"")</f>
        <v/>
      </c>
      <c r="X560" s="11" t="str">
        <f>IFERROR(IF(MARÍTIMOS[[#This Row],[Etapa Retiro - Inicio de Ruta]]="","",MARÍTIMOS[[#This Row],[Etapa Retiro - Inicio de Ruta]]),"")</f>
        <v/>
      </c>
      <c r="Y560" s="11" t="str">
        <f>IFERROR(IF(MARÍTIMOS[[#This Row],[Hora de Posicionamiento]]="","",MARÍTIMOS[[#This Row],[Fecha de Carga]]+MARÍTIMOS[[#This Row],[Hora de Posicionamiento]]),"")</f>
        <v/>
      </c>
      <c r="Z560" s="11" t="str">
        <f>IFERROR(IF(MARÍTIMOS[[#This Row],[Etapa Despacho - Llegada]]="","",MARÍTIMOS[[#This Row],[Etapa Despacho - Llegada]]),"")</f>
        <v/>
      </c>
      <c r="AA560" s="11" t="str">
        <f>IFERROR(IF(MARÍTIMOS[[#This Row],[Etapa Despacho - Registro]]="","",MARÍTIMOS[[#This Row],[Etapa Despacho - Registro]]),"")</f>
        <v/>
      </c>
      <c r="AB560" s="11" t="str">
        <f>IFERROR(IF(MARÍTIMOS[[#This Row],[Inspección Externa]]="","",MARÍTIMOS[[#This Row],[Inspección Externa]]),"")</f>
        <v/>
      </c>
      <c r="AC560" s="11" t="str">
        <f>IFERROR(IF(MARÍTIMOS[[#This Row],[Etapa Despacho - Inicio de Carga]]="","",MARÍTIMOS[[#This Row],[Etapa Despacho - Inicio de Carga]]),"")</f>
        <v/>
      </c>
      <c r="AD560" s="11" t="str">
        <f>IFERROR(IF(MARÍTIMOS[[#This Row],[Etapa Despacho - Mitad de Carga]]="","",MARÍTIMOS[[#This Row],[Etapa Despacho - Mitad de Carga]]),"")</f>
        <v/>
      </c>
      <c r="AE560" s="11" t="str">
        <f>IFERROR(IF(MARÍTIMOS[[#This Row],[Etapa Despacho - Fin de Carga]]="","",MARÍTIMOS[[#This Row],[Etapa Despacho - Fin de Carga]]),"")</f>
        <v/>
      </c>
      <c r="AF560" s="2" t="str">
        <f>IFERROR(IF(MARÍTIMOS[[#This Row],[Puerto de Embarque]]="","",MARÍTIMOS[[#This Row],[Puerto de Embarque]]),"")</f>
        <v/>
      </c>
      <c r="AG560" s="2" t="str">
        <f>IFERROR(IF(MARÍTIMOS[[#This Row],[Almacén de Ingreso]]="","",MARÍTIMOS[[#This Row],[Almacén de Ingreso]]),"")</f>
        <v/>
      </c>
      <c r="AH560" s="11" t="str">
        <f>IFERROR(IF(MARÍTIMOS[[#This Row],[Etapa Ingreso - Cita]]="","",MARÍTIMOS[[#This Row],[Etapa Ingreso - Cita]]),"")</f>
        <v/>
      </c>
      <c r="AI560" s="11" t="str">
        <f>IFERROR(IF(MARÍTIMOS[[#This Row],[Etapa Ingreso - Llegada]]="","",MARÍTIMOS[[#This Row],[Etapa Ingreso - Llegada]]),"")</f>
        <v/>
      </c>
      <c r="AJ560" s="11" t="str">
        <f>IFERROR(IF(MARÍTIMOS[[#This Row],[Etapa Ingreso - Ingeso]]="","",MARÍTIMOS[[#This Row],[Etapa Ingreso - Ingeso]]),"")</f>
        <v/>
      </c>
      <c r="AK560" s="11" t="str">
        <f>IFERROR(IF(MARÍTIMOS[[#This Row],[Etapa Ingreso - Atención]]="","",MARÍTIMOS[[#This Row],[Etapa Ingreso - Atención]]),"")</f>
        <v/>
      </c>
      <c r="AL560" s="11" t="str">
        <f>IFERROR(IF(MARÍTIMOS[[#This Row],[Etapa Ingreso - Salida]]="","",MARÍTIMOS[[#This Row],[Etapa Ingreso - Salida]]),"")</f>
        <v/>
      </c>
      <c r="AM560" s="2" t="str">
        <f>IFERROR(IF(MARÍTIMOS[[#This Row],[FCL]]="","",MARÍTIMOS[[#This Row],[FCL]]),"")</f>
        <v/>
      </c>
      <c r="AN5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0" s="4" t="str" cm="1">
        <f t="array" ref="AO5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0" s="5" t="str">
        <f>IFERROR(OLDBD[[#This Row],[Llegada a packing]]-OLDBD[[#This Row],[Inicio de Ruta]],"")</f>
        <v/>
      </c>
      <c r="AQ560" s="6" t="str">
        <f>IFERROR(OLDBD[[#This Row],[Inicio de Ruta]]-OLDBD[[#This Row],[Salida de almacén de retiro]],"")</f>
        <v/>
      </c>
      <c r="AR5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0" s="8" t="str" cm="1">
        <f t="array" ref="AS5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0" s="9" t="str">
        <f>IFERROR(OLDBD[[#This Row],[Ingreso Packing]]-OLDBD[[#This Row],[Registro en Packing]],"")</f>
        <v/>
      </c>
      <c r="AV560" s="9" t="str">
        <f>IFERROR(OLDBD[[#This Row],[Ingreso Packing]]-OLDBD[[#This Row],[Llegada a packing]],"")</f>
        <v/>
      </c>
      <c r="AW5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0" s="5" t="str">
        <f>IFERROR(OLDBD[[#This Row],[Llegada Almacén de Ingreso]]-OLDBD[[#This Row],[Salida Packing]],"")</f>
        <v/>
      </c>
      <c r="AY560" s="4" t="str" cm="1">
        <f t="array" ref="AY5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0" s="43" t="s">
        <v>173</v>
      </c>
      <c r="BB560" s="47" t="str">
        <f>IFERROR(IF(MARÍTIMOS[[#This Row],[Estatus]]="","",MARÍTIMOS[[#This Row],[Estatus]]),"")</f>
        <v/>
      </c>
      <c r="BC560" s="43"/>
      <c r="BD560" s="46" t="str">
        <f>IFERROR(OLDBD[[#This Row],[Salida de almacén de retiro]]-OLDBD[[#This Row],[Ingreso Almacén de retiro]],"")</f>
        <v/>
      </c>
      <c r="BE560" s="46" t="str">
        <f>IFERROR(OLDBD[[#This Row],[Fin de Carga]]-OLDBD[[#This Row],[Inicio de Carga]],"")</f>
        <v/>
      </c>
    </row>
    <row r="561" spans="1:57" customFormat="1" hidden="1">
      <c r="A561" s="1"/>
      <c r="B561" s="1" t="str">
        <f>IFERROR(IF(MARÍTIMOS[[#This Row],[PP]]="","",MARÍTIMOS[[#This Row],[PP]]),"")</f>
        <v/>
      </c>
      <c r="C561" s="1" t="str">
        <f>IFERROR(IF(MARÍTIMOS[[#This Row],[Sede]]="","",MARÍTIMOS[[#This Row],[Sede]]),"")</f>
        <v/>
      </c>
      <c r="D561" s="1" t="str">
        <f>IFERROR(IF(MARÍTIMOS[[#This Row],[Instruction]]="","",MARÍTIMOS[[#This Row],[Instruction]]),"")</f>
        <v/>
      </c>
      <c r="E561" s="1"/>
      <c r="F561" s="2" t="str">
        <f>IFERROR(IF(MARÍTIMOS[[#This Row],[Transportista]]="","",MARÍTIMOS[[#This Row],[Transportista]]),"")</f>
        <v/>
      </c>
      <c r="G561" s="2" t="str">
        <f>IFERROR(IF(MARÍTIMOS[[#This Row],[Tercero]]="","",MARÍTIMOS[[#This Row],[Tercero]]),"")</f>
        <v/>
      </c>
      <c r="H561" s="2" t="str">
        <f>IFERROR(IF(MARÍTIMOS[[#This Row],[Razón Social]]="","",MARÍTIMOS[[#This Row],[Razón Social]]),"")</f>
        <v/>
      </c>
      <c r="I561" s="2" t="str">
        <f>IFERROR(IF(MARÍTIMOS[[#This Row],[RUC]]="","",MARÍTIMOS[[#This Row],[RUC]]),"")</f>
        <v/>
      </c>
      <c r="J561" s="2" t="str">
        <f>IFERROR(IF(MARÍTIMOS[[#This Row],[Placa Tracto]]="","",MARÍTIMOS[[#This Row],[Placa Tracto]]),"")</f>
        <v/>
      </c>
      <c r="K561" s="2" t="str">
        <f>IFERROR(IF(MARÍTIMOS[[#This Row],[Placa Carreta]]="","",MARÍTIMOS[[#This Row],[Placa Carreta]]),"")</f>
        <v/>
      </c>
      <c r="L561" s="44" t="str">
        <f>IFERROR(IF(MARÍTIMOS[[#This Row],[Conductor]]="","",MARÍTIMOS[[#This Row],[Conductor]]),"")</f>
        <v/>
      </c>
      <c r="M561" s="2" t="str">
        <f>IFERROR(IF(MARÍTIMOS[[#This Row],[Licencia]]="","",MARÍTIMOS[[#This Row],[Licencia]]),"")</f>
        <v/>
      </c>
      <c r="N561" s="2" t="str">
        <f>IFERROR(IF(MARÍTIMOS[[#This Row],[Número de Contacto]]="","",MARÍTIMOS[[#This Row],[Número de Contacto]]),"")</f>
        <v/>
      </c>
      <c r="O561" s="10" t="str">
        <f>IFERROR(IF(MARÍTIMOS[[#This Row],[Booking|AWB|CRT]]="","",MARÍTIMOS[[#This Row],[Booking|AWB|CRT]]),"")</f>
        <v/>
      </c>
      <c r="P561" s="2" t="str">
        <f>IFERROR(IF(MARÍTIMOS[[#This Row],[Contenedor]]="","",MARÍTIMOS[[#This Row],[Contenedor]]),"")</f>
        <v/>
      </c>
      <c r="Q561" s="2" t="str">
        <f>IFERROR(IF(MARÍTIMOS[[#This Row],[Puerto de Retiro]]="","",MARÍTIMOS[[#This Row],[Puerto de Retiro]]),"")</f>
        <v/>
      </c>
      <c r="R561" s="2" t="str">
        <f>IFERROR(IF(MARÍTIMOS[[#This Row],[Almacén de Retiro]]="","",MARÍTIMOS[[#This Row],[Almacén de Retiro]]),"")</f>
        <v/>
      </c>
      <c r="S561" s="11" t="str">
        <f>IFERROR(IF(MARÍTIMOS[[#This Row],[Etapa Retiro - Cita]]="","",MARÍTIMOS[[#This Row],[Etapa Retiro - Cita]]),"")</f>
        <v/>
      </c>
      <c r="T561" s="11" t="str">
        <f>IFERROR(IF(MARÍTIMOS[[#This Row],[Etapa Retiro - Llegada]]="","",MARÍTIMOS[[#This Row],[Etapa Retiro - Llegada]]),"")</f>
        <v/>
      </c>
      <c r="U561" s="11" t="str">
        <f>IFERROR(IF(MARÍTIMOS[[#This Row],[Etapa Retiro - Ingreso]]="","",MARÍTIMOS[[#This Row],[Etapa Retiro - Ingreso]]),"")</f>
        <v/>
      </c>
      <c r="V561" s="11" t="str">
        <f>IFERROR(IF(MARÍTIMOS[[#This Row],[Etapa Retiro - Atención]]="","",MARÍTIMOS[[#This Row],[Etapa Retiro - Atención]]),"")</f>
        <v/>
      </c>
      <c r="W561" s="11" t="str">
        <f>IFERROR(IF(MARÍTIMOS[[#This Row],[Etapa Retiro - Atención]]="","",MARÍTIMOS[[#This Row],[Etapa Retiro - Atención]]),"")</f>
        <v/>
      </c>
      <c r="X561" s="11" t="str">
        <f>IFERROR(IF(MARÍTIMOS[[#This Row],[Etapa Retiro - Inicio de Ruta]]="","",MARÍTIMOS[[#This Row],[Etapa Retiro - Inicio de Ruta]]),"")</f>
        <v/>
      </c>
      <c r="Y561" s="11" t="str">
        <f>IFERROR(IF(MARÍTIMOS[[#This Row],[Hora de Posicionamiento]]="","",MARÍTIMOS[[#This Row],[Fecha de Carga]]+MARÍTIMOS[[#This Row],[Hora de Posicionamiento]]),"")</f>
        <v/>
      </c>
      <c r="Z561" s="11" t="str">
        <f>IFERROR(IF(MARÍTIMOS[[#This Row],[Etapa Despacho - Llegada]]="","",MARÍTIMOS[[#This Row],[Etapa Despacho - Llegada]]),"")</f>
        <v/>
      </c>
      <c r="AA561" s="11" t="str">
        <f>IFERROR(IF(MARÍTIMOS[[#This Row],[Etapa Despacho - Registro]]="","",MARÍTIMOS[[#This Row],[Etapa Despacho - Registro]]),"")</f>
        <v/>
      </c>
      <c r="AB561" s="11" t="str">
        <f>IFERROR(IF(MARÍTIMOS[[#This Row],[Inspección Externa]]="","",MARÍTIMOS[[#This Row],[Inspección Externa]]),"")</f>
        <v/>
      </c>
      <c r="AC561" s="11" t="str">
        <f>IFERROR(IF(MARÍTIMOS[[#This Row],[Etapa Despacho - Inicio de Carga]]="","",MARÍTIMOS[[#This Row],[Etapa Despacho - Inicio de Carga]]),"")</f>
        <v/>
      </c>
      <c r="AD561" s="11" t="str">
        <f>IFERROR(IF(MARÍTIMOS[[#This Row],[Etapa Despacho - Mitad de Carga]]="","",MARÍTIMOS[[#This Row],[Etapa Despacho - Mitad de Carga]]),"")</f>
        <v/>
      </c>
      <c r="AE561" s="11" t="str">
        <f>IFERROR(IF(MARÍTIMOS[[#This Row],[Etapa Despacho - Fin de Carga]]="","",MARÍTIMOS[[#This Row],[Etapa Despacho - Fin de Carga]]),"")</f>
        <v/>
      </c>
      <c r="AF561" s="2" t="str">
        <f>IFERROR(IF(MARÍTIMOS[[#This Row],[Puerto de Embarque]]="","",MARÍTIMOS[[#This Row],[Puerto de Embarque]]),"")</f>
        <v/>
      </c>
      <c r="AG561" s="2" t="str">
        <f>IFERROR(IF(MARÍTIMOS[[#This Row],[Almacén de Ingreso]]="","",MARÍTIMOS[[#This Row],[Almacén de Ingreso]]),"")</f>
        <v/>
      </c>
      <c r="AH561" s="11" t="str">
        <f>IFERROR(IF(MARÍTIMOS[[#This Row],[Etapa Ingreso - Cita]]="","",MARÍTIMOS[[#This Row],[Etapa Ingreso - Cita]]),"")</f>
        <v/>
      </c>
      <c r="AI561" s="11" t="str">
        <f>IFERROR(IF(MARÍTIMOS[[#This Row],[Etapa Ingreso - Llegada]]="","",MARÍTIMOS[[#This Row],[Etapa Ingreso - Llegada]]),"")</f>
        <v/>
      </c>
      <c r="AJ561" s="11" t="str">
        <f>IFERROR(IF(MARÍTIMOS[[#This Row],[Etapa Ingreso - Ingeso]]="","",MARÍTIMOS[[#This Row],[Etapa Ingreso - Ingeso]]),"")</f>
        <v/>
      </c>
      <c r="AK561" s="11" t="str">
        <f>IFERROR(IF(MARÍTIMOS[[#This Row],[Etapa Ingreso - Atención]]="","",MARÍTIMOS[[#This Row],[Etapa Ingreso - Atención]]),"")</f>
        <v/>
      </c>
      <c r="AL561" s="11" t="str">
        <f>IFERROR(IF(MARÍTIMOS[[#This Row],[Etapa Ingreso - Salida]]="","",MARÍTIMOS[[#This Row],[Etapa Ingreso - Salida]]),"")</f>
        <v/>
      </c>
      <c r="AM561" s="2" t="str">
        <f>IFERROR(IF(MARÍTIMOS[[#This Row],[FCL]]="","",MARÍTIMOS[[#This Row],[FCL]]),"")</f>
        <v/>
      </c>
      <c r="AN5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1" s="4" t="str" cm="1">
        <f t="array" ref="AO5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1" s="5" t="str">
        <f>IFERROR(OLDBD[[#This Row],[Llegada a packing]]-OLDBD[[#This Row],[Inicio de Ruta]],"")</f>
        <v/>
      </c>
      <c r="AQ561" s="6" t="str">
        <f>IFERROR(OLDBD[[#This Row],[Inicio de Ruta]]-OLDBD[[#This Row],[Salida de almacén de retiro]],"")</f>
        <v/>
      </c>
      <c r="AR5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1" s="8" t="str" cm="1">
        <f t="array" ref="AS5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1" s="9" t="str">
        <f>IFERROR(OLDBD[[#This Row],[Ingreso Packing]]-OLDBD[[#This Row],[Registro en Packing]],"")</f>
        <v/>
      </c>
      <c r="AV561" s="9" t="str">
        <f>IFERROR(OLDBD[[#This Row],[Ingreso Packing]]-OLDBD[[#This Row],[Llegada a packing]],"")</f>
        <v/>
      </c>
      <c r="AW5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1" s="5" t="str">
        <f>IFERROR(OLDBD[[#This Row],[Llegada Almacén de Ingreso]]-OLDBD[[#This Row],[Salida Packing]],"")</f>
        <v/>
      </c>
      <c r="AY561" s="4" t="str" cm="1">
        <f t="array" ref="AY5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1" s="43" t="s">
        <v>173</v>
      </c>
      <c r="BB561" s="47" t="str">
        <f>IFERROR(IF(MARÍTIMOS[[#This Row],[Estatus]]="","",MARÍTIMOS[[#This Row],[Estatus]]),"")</f>
        <v/>
      </c>
      <c r="BC561" s="43"/>
      <c r="BD561" s="46" t="str">
        <f>IFERROR(OLDBD[[#This Row],[Salida de almacén de retiro]]-OLDBD[[#This Row],[Ingreso Almacén de retiro]],"")</f>
        <v/>
      </c>
      <c r="BE561" s="46" t="str">
        <f>IFERROR(OLDBD[[#This Row],[Fin de Carga]]-OLDBD[[#This Row],[Inicio de Carga]],"")</f>
        <v/>
      </c>
    </row>
    <row r="562" spans="1:57" customFormat="1" hidden="1">
      <c r="A562" s="1"/>
      <c r="B562" s="1" t="str">
        <f>IFERROR(IF(MARÍTIMOS[[#This Row],[PP]]="","",MARÍTIMOS[[#This Row],[PP]]),"")</f>
        <v/>
      </c>
      <c r="C562" s="1" t="str">
        <f>IFERROR(IF(MARÍTIMOS[[#This Row],[Sede]]="","",MARÍTIMOS[[#This Row],[Sede]]),"")</f>
        <v/>
      </c>
      <c r="D562" s="1" t="str">
        <f>IFERROR(IF(MARÍTIMOS[[#This Row],[Instruction]]="","",MARÍTIMOS[[#This Row],[Instruction]]),"")</f>
        <v/>
      </c>
      <c r="E562" s="1"/>
      <c r="F562" s="2" t="str">
        <f>IFERROR(IF(MARÍTIMOS[[#This Row],[Transportista]]="","",MARÍTIMOS[[#This Row],[Transportista]]),"")</f>
        <v/>
      </c>
      <c r="G562" s="2" t="str">
        <f>IFERROR(IF(MARÍTIMOS[[#This Row],[Tercero]]="","",MARÍTIMOS[[#This Row],[Tercero]]),"")</f>
        <v/>
      </c>
      <c r="H562" s="2" t="str">
        <f>IFERROR(IF(MARÍTIMOS[[#This Row],[Razón Social]]="","",MARÍTIMOS[[#This Row],[Razón Social]]),"")</f>
        <v/>
      </c>
      <c r="I562" s="2" t="str">
        <f>IFERROR(IF(MARÍTIMOS[[#This Row],[RUC]]="","",MARÍTIMOS[[#This Row],[RUC]]),"")</f>
        <v/>
      </c>
      <c r="J562" s="2" t="str">
        <f>IFERROR(IF(MARÍTIMOS[[#This Row],[Placa Tracto]]="","",MARÍTIMOS[[#This Row],[Placa Tracto]]),"")</f>
        <v/>
      </c>
      <c r="K562" s="2" t="str">
        <f>IFERROR(IF(MARÍTIMOS[[#This Row],[Placa Carreta]]="","",MARÍTIMOS[[#This Row],[Placa Carreta]]),"")</f>
        <v/>
      </c>
      <c r="L562" s="44" t="str">
        <f>IFERROR(IF(MARÍTIMOS[[#This Row],[Conductor]]="","",MARÍTIMOS[[#This Row],[Conductor]]),"")</f>
        <v/>
      </c>
      <c r="M562" s="2" t="str">
        <f>IFERROR(IF(MARÍTIMOS[[#This Row],[Licencia]]="","",MARÍTIMOS[[#This Row],[Licencia]]),"")</f>
        <v/>
      </c>
      <c r="N562" s="2" t="str">
        <f>IFERROR(IF(MARÍTIMOS[[#This Row],[Número de Contacto]]="","",MARÍTIMOS[[#This Row],[Número de Contacto]]),"")</f>
        <v/>
      </c>
      <c r="O562" s="10" t="str">
        <f>IFERROR(IF(MARÍTIMOS[[#This Row],[Booking|AWB|CRT]]="","",MARÍTIMOS[[#This Row],[Booking|AWB|CRT]]),"")</f>
        <v/>
      </c>
      <c r="P562" s="2" t="str">
        <f>IFERROR(IF(MARÍTIMOS[[#This Row],[Contenedor]]="","",MARÍTIMOS[[#This Row],[Contenedor]]),"")</f>
        <v/>
      </c>
      <c r="Q562" s="2" t="str">
        <f>IFERROR(IF(MARÍTIMOS[[#This Row],[Puerto de Retiro]]="","",MARÍTIMOS[[#This Row],[Puerto de Retiro]]),"")</f>
        <v/>
      </c>
      <c r="R562" s="2" t="str">
        <f>IFERROR(IF(MARÍTIMOS[[#This Row],[Almacén de Retiro]]="","",MARÍTIMOS[[#This Row],[Almacén de Retiro]]),"")</f>
        <v/>
      </c>
      <c r="S562" s="11" t="str">
        <f>IFERROR(IF(MARÍTIMOS[[#This Row],[Etapa Retiro - Cita]]="","",MARÍTIMOS[[#This Row],[Etapa Retiro - Cita]]),"")</f>
        <v/>
      </c>
      <c r="T562" s="11" t="str">
        <f>IFERROR(IF(MARÍTIMOS[[#This Row],[Etapa Retiro - Llegada]]="","",MARÍTIMOS[[#This Row],[Etapa Retiro - Llegada]]),"")</f>
        <v/>
      </c>
      <c r="U562" s="11" t="str">
        <f>IFERROR(IF(MARÍTIMOS[[#This Row],[Etapa Retiro - Ingreso]]="","",MARÍTIMOS[[#This Row],[Etapa Retiro - Ingreso]]),"")</f>
        <v/>
      </c>
      <c r="V562" s="11" t="str">
        <f>IFERROR(IF(MARÍTIMOS[[#This Row],[Etapa Retiro - Atención]]="","",MARÍTIMOS[[#This Row],[Etapa Retiro - Atención]]),"")</f>
        <v/>
      </c>
      <c r="W562" s="11" t="str">
        <f>IFERROR(IF(MARÍTIMOS[[#This Row],[Etapa Retiro - Atención]]="","",MARÍTIMOS[[#This Row],[Etapa Retiro - Atención]]),"")</f>
        <v/>
      </c>
      <c r="X562" s="11" t="str">
        <f>IFERROR(IF(MARÍTIMOS[[#This Row],[Etapa Retiro - Inicio de Ruta]]="","",MARÍTIMOS[[#This Row],[Etapa Retiro - Inicio de Ruta]]),"")</f>
        <v/>
      </c>
      <c r="Y562" s="11" t="str">
        <f>IFERROR(IF(MARÍTIMOS[[#This Row],[Hora de Posicionamiento]]="","",MARÍTIMOS[[#This Row],[Fecha de Carga]]+MARÍTIMOS[[#This Row],[Hora de Posicionamiento]]),"")</f>
        <v/>
      </c>
      <c r="Z562" s="11" t="str">
        <f>IFERROR(IF(MARÍTIMOS[[#This Row],[Etapa Despacho - Llegada]]="","",MARÍTIMOS[[#This Row],[Etapa Despacho - Llegada]]),"")</f>
        <v/>
      </c>
      <c r="AA562" s="11" t="str">
        <f>IFERROR(IF(MARÍTIMOS[[#This Row],[Etapa Despacho - Registro]]="","",MARÍTIMOS[[#This Row],[Etapa Despacho - Registro]]),"")</f>
        <v/>
      </c>
      <c r="AB562" s="11" t="str">
        <f>IFERROR(IF(MARÍTIMOS[[#This Row],[Inspección Externa]]="","",MARÍTIMOS[[#This Row],[Inspección Externa]]),"")</f>
        <v/>
      </c>
      <c r="AC562" s="11" t="str">
        <f>IFERROR(IF(MARÍTIMOS[[#This Row],[Etapa Despacho - Inicio de Carga]]="","",MARÍTIMOS[[#This Row],[Etapa Despacho - Inicio de Carga]]),"")</f>
        <v/>
      </c>
      <c r="AD562" s="11" t="str">
        <f>IFERROR(IF(MARÍTIMOS[[#This Row],[Etapa Despacho - Mitad de Carga]]="","",MARÍTIMOS[[#This Row],[Etapa Despacho - Mitad de Carga]]),"")</f>
        <v/>
      </c>
      <c r="AE562" s="11" t="str">
        <f>IFERROR(IF(MARÍTIMOS[[#This Row],[Etapa Despacho - Fin de Carga]]="","",MARÍTIMOS[[#This Row],[Etapa Despacho - Fin de Carga]]),"")</f>
        <v/>
      </c>
      <c r="AF562" s="2" t="str">
        <f>IFERROR(IF(MARÍTIMOS[[#This Row],[Puerto de Embarque]]="","",MARÍTIMOS[[#This Row],[Puerto de Embarque]]),"")</f>
        <v/>
      </c>
      <c r="AG562" s="2" t="str">
        <f>IFERROR(IF(MARÍTIMOS[[#This Row],[Almacén de Ingreso]]="","",MARÍTIMOS[[#This Row],[Almacén de Ingreso]]),"")</f>
        <v/>
      </c>
      <c r="AH562" s="11" t="str">
        <f>IFERROR(IF(MARÍTIMOS[[#This Row],[Etapa Ingreso - Cita]]="","",MARÍTIMOS[[#This Row],[Etapa Ingreso - Cita]]),"")</f>
        <v/>
      </c>
      <c r="AI562" s="11" t="str">
        <f>IFERROR(IF(MARÍTIMOS[[#This Row],[Etapa Ingreso - Llegada]]="","",MARÍTIMOS[[#This Row],[Etapa Ingreso - Llegada]]),"")</f>
        <v/>
      </c>
      <c r="AJ562" s="11" t="str">
        <f>IFERROR(IF(MARÍTIMOS[[#This Row],[Etapa Ingreso - Ingeso]]="","",MARÍTIMOS[[#This Row],[Etapa Ingreso - Ingeso]]),"")</f>
        <v/>
      </c>
      <c r="AK562" s="11" t="str">
        <f>IFERROR(IF(MARÍTIMOS[[#This Row],[Etapa Ingreso - Atención]]="","",MARÍTIMOS[[#This Row],[Etapa Ingreso - Atención]]),"")</f>
        <v/>
      </c>
      <c r="AL562" s="11" t="str">
        <f>IFERROR(IF(MARÍTIMOS[[#This Row],[Etapa Ingreso - Salida]]="","",MARÍTIMOS[[#This Row],[Etapa Ingreso - Salida]]),"")</f>
        <v/>
      </c>
      <c r="AM562" s="2" t="str">
        <f>IFERROR(IF(MARÍTIMOS[[#This Row],[FCL]]="","",MARÍTIMOS[[#This Row],[FCL]]),"")</f>
        <v/>
      </c>
      <c r="AN5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2" s="4" t="str" cm="1">
        <f t="array" ref="AO5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2" s="5" t="str">
        <f>IFERROR(OLDBD[[#This Row],[Llegada a packing]]-OLDBD[[#This Row],[Inicio de Ruta]],"")</f>
        <v/>
      </c>
      <c r="AQ562" s="6" t="str">
        <f>IFERROR(OLDBD[[#This Row],[Inicio de Ruta]]-OLDBD[[#This Row],[Salida de almacén de retiro]],"")</f>
        <v/>
      </c>
      <c r="AR5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2" s="8" t="str" cm="1">
        <f t="array" ref="AS5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2" s="9" t="str">
        <f>IFERROR(OLDBD[[#This Row],[Ingreso Packing]]-OLDBD[[#This Row],[Registro en Packing]],"")</f>
        <v/>
      </c>
      <c r="AV562" s="9" t="str">
        <f>IFERROR(OLDBD[[#This Row],[Ingreso Packing]]-OLDBD[[#This Row],[Llegada a packing]],"")</f>
        <v/>
      </c>
      <c r="AW5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2" s="5" t="str">
        <f>IFERROR(OLDBD[[#This Row],[Llegada Almacén de Ingreso]]-OLDBD[[#This Row],[Salida Packing]],"")</f>
        <v/>
      </c>
      <c r="AY562" s="4" t="str" cm="1">
        <f t="array" ref="AY5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2" s="43" t="s">
        <v>173</v>
      </c>
      <c r="BB562" s="47" t="str">
        <f>IFERROR(IF(MARÍTIMOS[[#This Row],[Estatus]]="","",MARÍTIMOS[[#This Row],[Estatus]]),"")</f>
        <v/>
      </c>
      <c r="BC562" s="43"/>
      <c r="BD562" s="46" t="str">
        <f>IFERROR(OLDBD[[#This Row],[Salida de almacén de retiro]]-OLDBD[[#This Row],[Ingreso Almacén de retiro]],"")</f>
        <v/>
      </c>
      <c r="BE562" s="46" t="str">
        <f>IFERROR(OLDBD[[#This Row],[Fin de Carga]]-OLDBD[[#This Row],[Inicio de Carga]],"")</f>
        <v/>
      </c>
    </row>
    <row r="563" spans="1:57" customFormat="1" hidden="1">
      <c r="A563" s="1"/>
      <c r="B563" s="1" t="str">
        <f>IFERROR(IF(MARÍTIMOS[[#This Row],[PP]]="","",MARÍTIMOS[[#This Row],[PP]]),"")</f>
        <v/>
      </c>
      <c r="C563" s="1" t="str">
        <f>IFERROR(IF(MARÍTIMOS[[#This Row],[Sede]]="","",MARÍTIMOS[[#This Row],[Sede]]),"")</f>
        <v/>
      </c>
      <c r="D563" s="1" t="str">
        <f>IFERROR(IF(MARÍTIMOS[[#This Row],[Instruction]]="","",MARÍTIMOS[[#This Row],[Instruction]]),"")</f>
        <v/>
      </c>
      <c r="E563" s="1"/>
      <c r="F563" s="2" t="str">
        <f>IFERROR(IF(MARÍTIMOS[[#This Row],[Transportista]]="","",MARÍTIMOS[[#This Row],[Transportista]]),"")</f>
        <v/>
      </c>
      <c r="G563" s="2" t="str">
        <f>IFERROR(IF(MARÍTIMOS[[#This Row],[Tercero]]="","",MARÍTIMOS[[#This Row],[Tercero]]),"")</f>
        <v/>
      </c>
      <c r="H563" s="2" t="str">
        <f>IFERROR(IF(MARÍTIMOS[[#This Row],[Razón Social]]="","",MARÍTIMOS[[#This Row],[Razón Social]]),"")</f>
        <v/>
      </c>
      <c r="I563" s="2" t="str">
        <f>IFERROR(IF(MARÍTIMOS[[#This Row],[RUC]]="","",MARÍTIMOS[[#This Row],[RUC]]),"")</f>
        <v/>
      </c>
      <c r="J563" s="2" t="str">
        <f>IFERROR(IF(MARÍTIMOS[[#This Row],[Placa Tracto]]="","",MARÍTIMOS[[#This Row],[Placa Tracto]]),"")</f>
        <v/>
      </c>
      <c r="K563" s="2" t="str">
        <f>IFERROR(IF(MARÍTIMOS[[#This Row],[Placa Carreta]]="","",MARÍTIMOS[[#This Row],[Placa Carreta]]),"")</f>
        <v/>
      </c>
      <c r="L563" s="44" t="str">
        <f>IFERROR(IF(MARÍTIMOS[[#This Row],[Conductor]]="","",MARÍTIMOS[[#This Row],[Conductor]]),"")</f>
        <v/>
      </c>
      <c r="M563" s="2" t="str">
        <f>IFERROR(IF(MARÍTIMOS[[#This Row],[Licencia]]="","",MARÍTIMOS[[#This Row],[Licencia]]),"")</f>
        <v/>
      </c>
      <c r="N563" s="2" t="str">
        <f>IFERROR(IF(MARÍTIMOS[[#This Row],[Número de Contacto]]="","",MARÍTIMOS[[#This Row],[Número de Contacto]]),"")</f>
        <v/>
      </c>
      <c r="O563" s="10" t="str">
        <f>IFERROR(IF(MARÍTIMOS[[#This Row],[Booking|AWB|CRT]]="","",MARÍTIMOS[[#This Row],[Booking|AWB|CRT]]),"")</f>
        <v/>
      </c>
      <c r="P563" s="2" t="str">
        <f>IFERROR(IF(MARÍTIMOS[[#This Row],[Contenedor]]="","",MARÍTIMOS[[#This Row],[Contenedor]]),"")</f>
        <v/>
      </c>
      <c r="Q563" s="2" t="str">
        <f>IFERROR(IF(MARÍTIMOS[[#This Row],[Puerto de Retiro]]="","",MARÍTIMOS[[#This Row],[Puerto de Retiro]]),"")</f>
        <v/>
      </c>
      <c r="R563" s="2" t="str">
        <f>IFERROR(IF(MARÍTIMOS[[#This Row],[Almacén de Retiro]]="","",MARÍTIMOS[[#This Row],[Almacén de Retiro]]),"")</f>
        <v/>
      </c>
      <c r="S563" s="11" t="str">
        <f>IFERROR(IF(MARÍTIMOS[[#This Row],[Etapa Retiro - Cita]]="","",MARÍTIMOS[[#This Row],[Etapa Retiro - Cita]]),"")</f>
        <v/>
      </c>
      <c r="T563" s="11" t="str">
        <f>IFERROR(IF(MARÍTIMOS[[#This Row],[Etapa Retiro - Llegada]]="","",MARÍTIMOS[[#This Row],[Etapa Retiro - Llegada]]),"")</f>
        <v/>
      </c>
      <c r="U563" s="11" t="str">
        <f>IFERROR(IF(MARÍTIMOS[[#This Row],[Etapa Retiro - Ingreso]]="","",MARÍTIMOS[[#This Row],[Etapa Retiro - Ingreso]]),"")</f>
        <v/>
      </c>
      <c r="V563" s="11" t="str">
        <f>IFERROR(IF(MARÍTIMOS[[#This Row],[Etapa Retiro - Atención]]="","",MARÍTIMOS[[#This Row],[Etapa Retiro - Atención]]),"")</f>
        <v/>
      </c>
      <c r="W563" s="11" t="str">
        <f>IFERROR(IF(MARÍTIMOS[[#This Row],[Etapa Retiro - Atención]]="","",MARÍTIMOS[[#This Row],[Etapa Retiro - Atención]]),"")</f>
        <v/>
      </c>
      <c r="X563" s="11" t="str">
        <f>IFERROR(IF(MARÍTIMOS[[#This Row],[Etapa Retiro - Inicio de Ruta]]="","",MARÍTIMOS[[#This Row],[Etapa Retiro - Inicio de Ruta]]),"")</f>
        <v/>
      </c>
      <c r="Y563" s="11" t="str">
        <f>IFERROR(IF(MARÍTIMOS[[#This Row],[Hora de Posicionamiento]]="","",MARÍTIMOS[[#This Row],[Fecha de Carga]]+MARÍTIMOS[[#This Row],[Hora de Posicionamiento]]),"")</f>
        <v/>
      </c>
      <c r="Z563" s="11" t="str">
        <f>IFERROR(IF(MARÍTIMOS[[#This Row],[Etapa Despacho - Llegada]]="","",MARÍTIMOS[[#This Row],[Etapa Despacho - Llegada]]),"")</f>
        <v/>
      </c>
      <c r="AA563" s="11" t="str">
        <f>IFERROR(IF(MARÍTIMOS[[#This Row],[Etapa Despacho - Registro]]="","",MARÍTIMOS[[#This Row],[Etapa Despacho - Registro]]),"")</f>
        <v/>
      </c>
      <c r="AB563" s="11" t="str">
        <f>IFERROR(IF(MARÍTIMOS[[#This Row],[Inspección Externa]]="","",MARÍTIMOS[[#This Row],[Inspección Externa]]),"")</f>
        <v/>
      </c>
      <c r="AC563" s="11" t="str">
        <f>IFERROR(IF(MARÍTIMOS[[#This Row],[Etapa Despacho - Inicio de Carga]]="","",MARÍTIMOS[[#This Row],[Etapa Despacho - Inicio de Carga]]),"")</f>
        <v/>
      </c>
      <c r="AD563" s="11" t="str">
        <f>IFERROR(IF(MARÍTIMOS[[#This Row],[Etapa Despacho - Mitad de Carga]]="","",MARÍTIMOS[[#This Row],[Etapa Despacho - Mitad de Carga]]),"")</f>
        <v/>
      </c>
      <c r="AE563" s="11" t="str">
        <f>IFERROR(IF(MARÍTIMOS[[#This Row],[Etapa Despacho - Fin de Carga]]="","",MARÍTIMOS[[#This Row],[Etapa Despacho - Fin de Carga]]),"")</f>
        <v/>
      </c>
      <c r="AF563" s="2" t="str">
        <f>IFERROR(IF(MARÍTIMOS[[#This Row],[Puerto de Embarque]]="","",MARÍTIMOS[[#This Row],[Puerto de Embarque]]),"")</f>
        <v/>
      </c>
      <c r="AG563" s="2" t="str">
        <f>IFERROR(IF(MARÍTIMOS[[#This Row],[Almacén de Ingreso]]="","",MARÍTIMOS[[#This Row],[Almacén de Ingreso]]),"")</f>
        <v/>
      </c>
      <c r="AH563" s="11" t="str">
        <f>IFERROR(IF(MARÍTIMOS[[#This Row],[Etapa Ingreso - Cita]]="","",MARÍTIMOS[[#This Row],[Etapa Ingreso - Cita]]),"")</f>
        <v/>
      </c>
      <c r="AI563" s="11" t="str">
        <f>IFERROR(IF(MARÍTIMOS[[#This Row],[Etapa Ingreso - Llegada]]="","",MARÍTIMOS[[#This Row],[Etapa Ingreso - Llegada]]),"")</f>
        <v/>
      </c>
      <c r="AJ563" s="11" t="str">
        <f>IFERROR(IF(MARÍTIMOS[[#This Row],[Etapa Ingreso - Ingeso]]="","",MARÍTIMOS[[#This Row],[Etapa Ingreso - Ingeso]]),"")</f>
        <v/>
      </c>
      <c r="AK563" s="11" t="str">
        <f>IFERROR(IF(MARÍTIMOS[[#This Row],[Etapa Ingreso - Atención]]="","",MARÍTIMOS[[#This Row],[Etapa Ingreso - Atención]]),"")</f>
        <v/>
      </c>
      <c r="AL563" s="11" t="str">
        <f>IFERROR(IF(MARÍTIMOS[[#This Row],[Etapa Ingreso - Salida]]="","",MARÍTIMOS[[#This Row],[Etapa Ingreso - Salida]]),"")</f>
        <v/>
      </c>
      <c r="AM563" s="2" t="str">
        <f>IFERROR(IF(MARÍTIMOS[[#This Row],[FCL]]="","",MARÍTIMOS[[#This Row],[FCL]]),"")</f>
        <v/>
      </c>
      <c r="AN5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3" s="4" t="str" cm="1">
        <f t="array" ref="AO5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3" s="5" t="str">
        <f>IFERROR(OLDBD[[#This Row],[Llegada a packing]]-OLDBD[[#This Row],[Inicio de Ruta]],"")</f>
        <v/>
      </c>
      <c r="AQ563" s="6" t="str">
        <f>IFERROR(OLDBD[[#This Row],[Inicio de Ruta]]-OLDBD[[#This Row],[Salida de almacén de retiro]],"")</f>
        <v/>
      </c>
      <c r="AR5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3" s="8" t="str" cm="1">
        <f t="array" ref="AS5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3" s="9" t="str">
        <f>IFERROR(OLDBD[[#This Row],[Ingreso Packing]]-OLDBD[[#This Row],[Registro en Packing]],"")</f>
        <v/>
      </c>
      <c r="AV563" s="9" t="str">
        <f>IFERROR(OLDBD[[#This Row],[Ingreso Packing]]-OLDBD[[#This Row],[Llegada a packing]],"")</f>
        <v/>
      </c>
      <c r="AW5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3" s="5" t="str">
        <f>IFERROR(OLDBD[[#This Row],[Llegada Almacén de Ingreso]]-OLDBD[[#This Row],[Salida Packing]],"")</f>
        <v/>
      </c>
      <c r="AY563" s="4" t="str" cm="1">
        <f t="array" ref="AY5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3" s="43" t="s">
        <v>173</v>
      </c>
      <c r="BB563" s="47" t="str">
        <f>IFERROR(IF(MARÍTIMOS[[#This Row],[Estatus]]="","",MARÍTIMOS[[#This Row],[Estatus]]),"")</f>
        <v/>
      </c>
      <c r="BC563" s="43"/>
      <c r="BD563" s="46" t="str">
        <f>IFERROR(OLDBD[[#This Row],[Salida de almacén de retiro]]-OLDBD[[#This Row],[Ingreso Almacén de retiro]],"")</f>
        <v/>
      </c>
      <c r="BE563" s="46" t="str">
        <f>IFERROR(OLDBD[[#This Row],[Fin de Carga]]-OLDBD[[#This Row],[Inicio de Carga]],"")</f>
        <v/>
      </c>
    </row>
    <row r="564" spans="1:57" customFormat="1" hidden="1">
      <c r="A564" s="1"/>
      <c r="B564" s="1" t="str">
        <f>IFERROR(IF(MARÍTIMOS[[#This Row],[PP]]="","",MARÍTIMOS[[#This Row],[PP]]),"")</f>
        <v/>
      </c>
      <c r="C564" s="1" t="str">
        <f>IFERROR(IF(MARÍTIMOS[[#This Row],[Sede]]="","",MARÍTIMOS[[#This Row],[Sede]]),"")</f>
        <v/>
      </c>
      <c r="D564" s="1" t="str">
        <f>IFERROR(IF(MARÍTIMOS[[#This Row],[Instruction]]="","",MARÍTIMOS[[#This Row],[Instruction]]),"")</f>
        <v/>
      </c>
      <c r="E564" s="1"/>
      <c r="F564" s="2" t="str">
        <f>IFERROR(IF(MARÍTIMOS[[#This Row],[Transportista]]="","",MARÍTIMOS[[#This Row],[Transportista]]),"")</f>
        <v/>
      </c>
      <c r="G564" s="2" t="str">
        <f>IFERROR(IF(MARÍTIMOS[[#This Row],[Tercero]]="","",MARÍTIMOS[[#This Row],[Tercero]]),"")</f>
        <v/>
      </c>
      <c r="H564" s="2" t="str">
        <f>IFERROR(IF(MARÍTIMOS[[#This Row],[Razón Social]]="","",MARÍTIMOS[[#This Row],[Razón Social]]),"")</f>
        <v/>
      </c>
      <c r="I564" s="2" t="str">
        <f>IFERROR(IF(MARÍTIMOS[[#This Row],[RUC]]="","",MARÍTIMOS[[#This Row],[RUC]]),"")</f>
        <v/>
      </c>
      <c r="J564" s="2" t="str">
        <f>IFERROR(IF(MARÍTIMOS[[#This Row],[Placa Tracto]]="","",MARÍTIMOS[[#This Row],[Placa Tracto]]),"")</f>
        <v/>
      </c>
      <c r="K564" s="2" t="str">
        <f>IFERROR(IF(MARÍTIMOS[[#This Row],[Placa Carreta]]="","",MARÍTIMOS[[#This Row],[Placa Carreta]]),"")</f>
        <v/>
      </c>
      <c r="L564" s="44" t="str">
        <f>IFERROR(IF(MARÍTIMOS[[#This Row],[Conductor]]="","",MARÍTIMOS[[#This Row],[Conductor]]),"")</f>
        <v/>
      </c>
      <c r="M564" s="2" t="str">
        <f>IFERROR(IF(MARÍTIMOS[[#This Row],[Licencia]]="","",MARÍTIMOS[[#This Row],[Licencia]]),"")</f>
        <v/>
      </c>
      <c r="N564" s="2" t="str">
        <f>IFERROR(IF(MARÍTIMOS[[#This Row],[Número de Contacto]]="","",MARÍTIMOS[[#This Row],[Número de Contacto]]),"")</f>
        <v/>
      </c>
      <c r="O564" s="10" t="str">
        <f>IFERROR(IF(MARÍTIMOS[[#This Row],[Booking|AWB|CRT]]="","",MARÍTIMOS[[#This Row],[Booking|AWB|CRT]]),"")</f>
        <v/>
      </c>
      <c r="P564" s="2" t="str">
        <f>IFERROR(IF(MARÍTIMOS[[#This Row],[Contenedor]]="","",MARÍTIMOS[[#This Row],[Contenedor]]),"")</f>
        <v/>
      </c>
      <c r="Q564" s="2" t="str">
        <f>IFERROR(IF(MARÍTIMOS[[#This Row],[Puerto de Retiro]]="","",MARÍTIMOS[[#This Row],[Puerto de Retiro]]),"")</f>
        <v/>
      </c>
      <c r="R564" s="2" t="str">
        <f>IFERROR(IF(MARÍTIMOS[[#This Row],[Almacén de Retiro]]="","",MARÍTIMOS[[#This Row],[Almacén de Retiro]]),"")</f>
        <v/>
      </c>
      <c r="S564" s="11" t="str">
        <f>IFERROR(IF(MARÍTIMOS[[#This Row],[Etapa Retiro - Cita]]="","",MARÍTIMOS[[#This Row],[Etapa Retiro - Cita]]),"")</f>
        <v/>
      </c>
      <c r="T564" s="11" t="str">
        <f>IFERROR(IF(MARÍTIMOS[[#This Row],[Etapa Retiro - Llegada]]="","",MARÍTIMOS[[#This Row],[Etapa Retiro - Llegada]]),"")</f>
        <v/>
      </c>
      <c r="U564" s="11" t="str">
        <f>IFERROR(IF(MARÍTIMOS[[#This Row],[Etapa Retiro - Ingreso]]="","",MARÍTIMOS[[#This Row],[Etapa Retiro - Ingreso]]),"")</f>
        <v/>
      </c>
      <c r="V564" s="11" t="str">
        <f>IFERROR(IF(MARÍTIMOS[[#This Row],[Etapa Retiro - Atención]]="","",MARÍTIMOS[[#This Row],[Etapa Retiro - Atención]]),"")</f>
        <v/>
      </c>
      <c r="W564" s="11" t="str">
        <f>IFERROR(IF(MARÍTIMOS[[#This Row],[Etapa Retiro - Atención]]="","",MARÍTIMOS[[#This Row],[Etapa Retiro - Atención]]),"")</f>
        <v/>
      </c>
      <c r="X564" s="11" t="str">
        <f>IFERROR(IF(MARÍTIMOS[[#This Row],[Etapa Retiro - Inicio de Ruta]]="","",MARÍTIMOS[[#This Row],[Etapa Retiro - Inicio de Ruta]]),"")</f>
        <v/>
      </c>
      <c r="Y564" s="11" t="str">
        <f>IFERROR(IF(MARÍTIMOS[[#This Row],[Hora de Posicionamiento]]="","",MARÍTIMOS[[#This Row],[Fecha de Carga]]+MARÍTIMOS[[#This Row],[Hora de Posicionamiento]]),"")</f>
        <v/>
      </c>
      <c r="Z564" s="11" t="str">
        <f>IFERROR(IF(MARÍTIMOS[[#This Row],[Etapa Despacho - Llegada]]="","",MARÍTIMOS[[#This Row],[Etapa Despacho - Llegada]]),"")</f>
        <v/>
      </c>
      <c r="AA564" s="11" t="str">
        <f>IFERROR(IF(MARÍTIMOS[[#This Row],[Etapa Despacho - Registro]]="","",MARÍTIMOS[[#This Row],[Etapa Despacho - Registro]]),"")</f>
        <v/>
      </c>
      <c r="AB564" s="11" t="str">
        <f>IFERROR(IF(MARÍTIMOS[[#This Row],[Inspección Externa]]="","",MARÍTIMOS[[#This Row],[Inspección Externa]]),"")</f>
        <v/>
      </c>
      <c r="AC564" s="11" t="str">
        <f>IFERROR(IF(MARÍTIMOS[[#This Row],[Etapa Despacho - Inicio de Carga]]="","",MARÍTIMOS[[#This Row],[Etapa Despacho - Inicio de Carga]]),"")</f>
        <v/>
      </c>
      <c r="AD564" s="11" t="str">
        <f>IFERROR(IF(MARÍTIMOS[[#This Row],[Etapa Despacho - Mitad de Carga]]="","",MARÍTIMOS[[#This Row],[Etapa Despacho - Mitad de Carga]]),"")</f>
        <v/>
      </c>
      <c r="AE564" s="11" t="str">
        <f>IFERROR(IF(MARÍTIMOS[[#This Row],[Etapa Despacho - Fin de Carga]]="","",MARÍTIMOS[[#This Row],[Etapa Despacho - Fin de Carga]]),"")</f>
        <v/>
      </c>
      <c r="AF564" s="2" t="str">
        <f>IFERROR(IF(MARÍTIMOS[[#This Row],[Puerto de Embarque]]="","",MARÍTIMOS[[#This Row],[Puerto de Embarque]]),"")</f>
        <v/>
      </c>
      <c r="AG564" s="2" t="str">
        <f>IFERROR(IF(MARÍTIMOS[[#This Row],[Almacén de Ingreso]]="","",MARÍTIMOS[[#This Row],[Almacén de Ingreso]]),"")</f>
        <v/>
      </c>
      <c r="AH564" s="11" t="str">
        <f>IFERROR(IF(MARÍTIMOS[[#This Row],[Etapa Ingreso - Cita]]="","",MARÍTIMOS[[#This Row],[Etapa Ingreso - Cita]]),"")</f>
        <v/>
      </c>
      <c r="AI564" s="11" t="str">
        <f>IFERROR(IF(MARÍTIMOS[[#This Row],[Etapa Ingreso - Llegada]]="","",MARÍTIMOS[[#This Row],[Etapa Ingreso - Llegada]]),"")</f>
        <v/>
      </c>
      <c r="AJ564" s="11" t="str">
        <f>IFERROR(IF(MARÍTIMOS[[#This Row],[Etapa Ingreso - Ingeso]]="","",MARÍTIMOS[[#This Row],[Etapa Ingreso - Ingeso]]),"")</f>
        <v/>
      </c>
      <c r="AK564" s="11" t="str">
        <f>IFERROR(IF(MARÍTIMOS[[#This Row],[Etapa Ingreso - Atención]]="","",MARÍTIMOS[[#This Row],[Etapa Ingreso - Atención]]),"")</f>
        <v/>
      </c>
      <c r="AL564" s="11" t="str">
        <f>IFERROR(IF(MARÍTIMOS[[#This Row],[Etapa Ingreso - Salida]]="","",MARÍTIMOS[[#This Row],[Etapa Ingreso - Salida]]),"")</f>
        <v/>
      </c>
      <c r="AM564" s="2" t="str">
        <f>IFERROR(IF(MARÍTIMOS[[#This Row],[FCL]]="","",MARÍTIMOS[[#This Row],[FCL]]),"")</f>
        <v/>
      </c>
      <c r="AN5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4" s="4" t="str" cm="1">
        <f t="array" ref="AO5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4" s="5" t="str">
        <f>IFERROR(OLDBD[[#This Row],[Llegada a packing]]-OLDBD[[#This Row],[Inicio de Ruta]],"")</f>
        <v/>
      </c>
      <c r="AQ564" s="6" t="str">
        <f>IFERROR(OLDBD[[#This Row],[Inicio de Ruta]]-OLDBD[[#This Row],[Salida de almacén de retiro]],"")</f>
        <v/>
      </c>
      <c r="AR5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4" s="8" t="str" cm="1">
        <f t="array" ref="AS5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4" s="9" t="str">
        <f>IFERROR(OLDBD[[#This Row],[Ingreso Packing]]-OLDBD[[#This Row],[Registro en Packing]],"")</f>
        <v/>
      </c>
      <c r="AV564" s="9" t="str">
        <f>IFERROR(OLDBD[[#This Row],[Ingreso Packing]]-OLDBD[[#This Row],[Llegada a packing]],"")</f>
        <v/>
      </c>
      <c r="AW5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4" s="5" t="str">
        <f>IFERROR(OLDBD[[#This Row],[Llegada Almacén de Ingreso]]-OLDBD[[#This Row],[Salida Packing]],"")</f>
        <v/>
      </c>
      <c r="AY564" s="4" t="str" cm="1">
        <f t="array" ref="AY5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4" s="43" t="s">
        <v>173</v>
      </c>
      <c r="BB564" s="47" t="str">
        <f>IFERROR(IF(MARÍTIMOS[[#This Row],[Estatus]]="","",MARÍTIMOS[[#This Row],[Estatus]]),"")</f>
        <v/>
      </c>
      <c r="BC564" s="43"/>
      <c r="BD564" s="46" t="str">
        <f>IFERROR(OLDBD[[#This Row],[Salida de almacén de retiro]]-OLDBD[[#This Row],[Ingreso Almacén de retiro]],"")</f>
        <v/>
      </c>
      <c r="BE564" s="46" t="str">
        <f>IFERROR(OLDBD[[#This Row],[Fin de Carga]]-OLDBD[[#This Row],[Inicio de Carga]],"")</f>
        <v/>
      </c>
    </row>
    <row r="565" spans="1:57" customFormat="1" hidden="1">
      <c r="A565" s="1"/>
      <c r="B565" s="1" t="str">
        <f>IFERROR(IF(MARÍTIMOS[[#This Row],[PP]]="","",MARÍTIMOS[[#This Row],[PP]]),"")</f>
        <v/>
      </c>
      <c r="C565" s="1" t="str">
        <f>IFERROR(IF(MARÍTIMOS[[#This Row],[Sede]]="","",MARÍTIMOS[[#This Row],[Sede]]),"")</f>
        <v/>
      </c>
      <c r="D565" s="1" t="str">
        <f>IFERROR(IF(MARÍTIMOS[[#This Row],[Instruction]]="","",MARÍTIMOS[[#This Row],[Instruction]]),"")</f>
        <v/>
      </c>
      <c r="E565" s="1"/>
      <c r="F565" s="2" t="str">
        <f>IFERROR(IF(MARÍTIMOS[[#This Row],[Transportista]]="","",MARÍTIMOS[[#This Row],[Transportista]]),"")</f>
        <v/>
      </c>
      <c r="G565" s="2" t="str">
        <f>IFERROR(IF(MARÍTIMOS[[#This Row],[Tercero]]="","",MARÍTIMOS[[#This Row],[Tercero]]),"")</f>
        <v/>
      </c>
      <c r="H565" s="2" t="str">
        <f>IFERROR(IF(MARÍTIMOS[[#This Row],[Razón Social]]="","",MARÍTIMOS[[#This Row],[Razón Social]]),"")</f>
        <v/>
      </c>
      <c r="I565" s="2" t="str">
        <f>IFERROR(IF(MARÍTIMOS[[#This Row],[RUC]]="","",MARÍTIMOS[[#This Row],[RUC]]),"")</f>
        <v/>
      </c>
      <c r="J565" s="2" t="str">
        <f>IFERROR(IF(MARÍTIMOS[[#This Row],[Placa Tracto]]="","",MARÍTIMOS[[#This Row],[Placa Tracto]]),"")</f>
        <v/>
      </c>
      <c r="K565" s="2" t="str">
        <f>IFERROR(IF(MARÍTIMOS[[#This Row],[Placa Carreta]]="","",MARÍTIMOS[[#This Row],[Placa Carreta]]),"")</f>
        <v/>
      </c>
      <c r="L565" s="44" t="str">
        <f>IFERROR(IF(MARÍTIMOS[[#This Row],[Conductor]]="","",MARÍTIMOS[[#This Row],[Conductor]]),"")</f>
        <v/>
      </c>
      <c r="M565" s="2" t="str">
        <f>IFERROR(IF(MARÍTIMOS[[#This Row],[Licencia]]="","",MARÍTIMOS[[#This Row],[Licencia]]),"")</f>
        <v/>
      </c>
      <c r="N565" s="2" t="str">
        <f>IFERROR(IF(MARÍTIMOS[[#This Row],[Número de Contacto]]="","",MARÍTIMOS[[#This Row],[Número de Contacto]]),"")</f>
        <v/>
      </c>
      <c r="O565" s="10" t="str">
        <f>IFERROR(IF(MARÍTIMOS[[#This Row],[Booking|AWB|CRT]]="","",MARÍTIMOS[[#This Row],[Booking|AWB|CRT]]),"")</f>
        <v/>
      </c>
      <c r="P565" s="2" t="str">
        <f>IFERROR(IF(MARÍTIMOS[[#This Row],[Contenedor]]="","",MARÍTIMOS[[#This Row],[Contenedor]]),"")</f>
        <v/>
      </c>
      <c r="Q565" s="2" t="str">
        <f>IFERROR(IF(MARÍTIMOS[[#This Row],[Puerto de Retiro]]="","",MARÍTIMOS[[#This Row],[Puerto de Retiro]]),"")</f>
        <v/>
      </c>
      <c r="R565" s="2" t="str">
        <f>IFERROR(IF(MARÍTIMOS[[#This Row],[Almacén de Retiro]]="","",MARÍTIMOS[[#This Row],[Almacén de Retiro]]),"")</f>
        <v/>
      </c>
      <c r="S565" s="11" t="str">
        <f>IFERROR(IF(MARÍTIMOS[[#This Row],[Etapa Retiro - Cita]]="","",MARÍTIMOS[[#This Row],[Etapa Retiro - Cita]]),"")</f>
        <v/>
      </c>
      <c r="T565" s="11" t="str">
        <f>IFERROR(IF(MARÍTIMOS[[#This Row],[Etapa Retiro - Llegada]]="","",MARÍTIMOS[[#This Row],[Etapa Retiro - Llegada]]),"")</f>
        <v/>
      </c>
      <c r="U565" s="11" t="str">
        <f>IFERROR(IF(MARÍTIMOS[[#This Row],[Etapa Retiro - Ingreso]]="","",MARÍTIMOS[[#This Row],[Etapa Retiro - Ingreso]]),"")</f>
        <v/>
      </c>
      <c r="V565" s="11" t="str">
        <f>IFERROR(IF(MARÍTIMOS[[#This Row],[Etapa Retiro - Atención]]="","",MARÍTIMOS[[#This Row],[Etapa Retiro - Atención]]),"")</f>
        <v/>
      </c>
      <c r="W565" s="11" t="str">
        <f>IFERROR(IF(MARÍTIMOS[[#This Row],[Etapa Retiro - Atención]]="","",MARÍTIMOS[[#This Row],[Etapa Retiro - Atención]]),"")</f>
        <v/>
      </c>
      <c r="X565" s="11" t="str">
        <f>IFERROR(IF(MARÍTIMOS[[#This Row],[Etapa Retiro - Inicio de Ruta]]="","",MARÍTIMOS[[#This Row],[Etapa Retiro - Inicio de Ruta]]),"")</f>
        <v/>
      </c>
      <c r="Y565" s="11" t="str">
        <f>IFERROR(IF(MARÍTIMOS[[#This Row],[Hora de Posicionamiento]]="","",MARÍTIMOS[[#This Row],[Fecha de Carga]]+MARÍTIMOS[[#This Row],[Hora de Posicionamiento]]),"")</f>
        <v/>
      </c>
      <c r="Z565" s="11" t="str">
        <f>IFERROR(IF(MARÍTIMOS[[#This Row],[Etapa Despacho - Llegada]]="","",MARÍTIMOS[[#This Row],[Etapa Despacho - Llegada]]),"")</f>
        <v/>
      </c>
      <c r="AA565" s="11" t="str">
        <f>IFERROR(IF(MARÍTIMOS[[#This Row],[Etapa Despacho - Registro]]="","",MARÍTIMOS[[#This Row],[Etapa Despacho - Registro]]),"")</f>
        <v/>
      </c>
      <c r="AB565" s="11" t="str">
        <f>IFERROR(IF(MARÍTIMOS[[#This Row],[Inspección Externa]]="","",MARÍTIMOS[[#This Row],[Inspección Externa]]),"")</f>
        <v/>
      </c>
      <c r="AC565" s="11" t="str">
        <f>IFERROR(IF(MARÍTIMOS[[#This Row],[Etapa Despacho - Inicio de Carga]]="","",MARÍTIMOS[[#This Row],[Etapa Despacho - Inicio de Carga]]),"")</f>
        <v/>
      </c>
      <c r="AD565" s="11" t="str">
        <f>IFERROR(IF(MARÍTIMOS[[#This Row],[Etapa Despacho - Mitad de Carga]]="","",MARÍTIMOS[[#This Row],[Etapa Despacho - Mitad de Carga]]),"")</f>
        <v/>
      </c>
      <c r="AE565" s="11" t="str">
        <f>IFERROR(IF(MARÍTIMOS[[#This Row],[Etapa Despacho - Fin de Carga]]="","",MARÍTIMOS[[#This Row],[Etapa Despacho - Fin de Carga]]),"")</f>
        <v/>
      </c>
      <c r="AF565" s="2" t="str">
        <f>IFERROR(IF(MARÍTIMOS[[#This Row],[Puerto de Embarque]]="","",MARÍTIMOS[[#This Row],[Puerto de Embarque]]),"")</f>
        <v/>
      </c>
      <c r="AG565" s="2" t="str">
        <f>IFERROR(IF(MARÍTIMOS[[#This Row],[Almacén de Ingreso]]="","",MARÍTIMOS[[#This Row],[Almacén de Ingreso]]),"")</f>
        <v/>
      </c>
      <c r="AH565" s="11" t="str">
        <f>IFERROR(IF(MARÍTIMOS[[#This Row],[Etapa Ingreso - Cita]]="","",MARÍTIMOS[[#This Row],[Etapa Ingreso - Cita]]),"")</f>
        <v/>
      </c>
      <c r="AI565" s="11" t="str">
        <f>IFERROR(IF(MARÍTIMOS[[#This Row],[Etapa Ingreso - Llegada]]="","",MARÍTIMOS[[#This Row],[Etapa Ingreso - Llegada]]),"")</f>
        <v/>
      </c>
      <c r="AJ565" s="11" t="str">
        <f>IFERROR(IF(MARÍTIMOS[[#This Row],[Etapa Ingreso - Ingeso]]="","",MARÍTIMOS[[#This Row],[Etapa Ingreso - Ingeso]]),"")</f>
        <v/>
      </c>
      <c r="AK565" s="11" t="str">
        <f>IFERROR(IF(MARÍTIMOS[[#This Row],[Etapa Ingreso - Atención]]="","",MARÍTIMOS[[#This Row],[Etapa Ingreso - Atención]]),"")</f>
        <v/>
      </c>
      <c r="AL565" s="11" t="str">
        <f>IFERROR(IF(MARÍTIMOS[[#This Row],[Etapa Ingreso - Salida]]="","",MARÍTIMOS[[#This Row],[Etapa Ingreso - Salida]]),"")</f>
        <v/>
      </c>
      <c r="AM565" s="2" t="str">
        <f>IFERROR(IF(MARÍTIMOS[[#This Row],[FCL]]="","",MARÍTIMOS[[#This Row],[FCL]]),"")</f>
        <v/>
      </c>
      <c r="AN5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5" s="4" t="str" cm="1">
        <f t="array" ref="AO5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5" s="5" t="str">
        <f>IFERROR(OLDBD[[#This Row],[Llegada a packing]]-OLDBD[[#This Row],[Inicio de Ruta]],"")</f>
        <v/>
      </c>
      <c r="AQ565" s="6" t="str">
        <f>IFERROR(OLDBD[[#This Row],[Inicio de Ruta]]-OLDBD[[#This Row],[Salida de almacén de retiro]],"")</f>
        <v/>
      </c>
      <c r="AR5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5" s="8" t="str" cm="1">
        <f t="array" ref="AS5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5" s="9" t="str">
        <f>IFERROR(OLDBD[[#This Row],[Ingreso Packing]]-OLDBD[[#This Row],[Registro en Packing]],"")</f>
        <v/>
      </c>
      <c r="AV565" s="9" t="str">
        <f>IFERROR(OLDBD[[#This Row],[Ingreso Packing]]-OLDBD[[#This Row],[Llegada a packing]],"")</f>
        <v/>
      </c>
      <c r="AW5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5" s="5" t="str">
        <f>IFERROR(OLDBD[[#This Row],[Llegada Almacén de Ingreso]]-OLDBD[[#This Row],[Salida Packing]],"")</f>
        <v/>
      </c>
      <c r="AY565" s="4" t="str" cm="1">
        <f t="array" ref="AY5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5" s="43" t="s">
        <v>173</v>
      </c>
      <c r="BB565" s="47" t="str">
        <f>IFERROR(IF(MARÍTIMOS[[#This Row],[Estatus]]="","",MARÍTIMOS[[#This Row],[Estatus]]),"")</f>
        <v/>
      </c>
      <c r="BC565" s="43"/>
      <c r="BD565" s="46" t="str">
        <f>IFERROR(OLDBD[[#This Row],[Salida de almacén de retiro]]-OLDBD[[#This Row],[Ingreso Almacén de retiro]],"")</f>
        <v/>
      </c>
      <c r="BE565" s="46" t="str">
        <f>IFERROR(OLDBD[[#This Row],[Fin de Carga]]-OLDBD[[#This Row],[Inicio de Carga]],"")</f>
        <v/>
      </c>
    </row>
    <row r="566" spans="1:57" customFormat="1" hidden="1">
      <c r="A566" s="1"/>
      <c r="B566" s="1" t="str">
        <f>IFERROR(IF(MARÍTIMOS[[#This Row],[PP]]="","",MARÍTIMOS[[#This Row],[PP]]),"")</f>
        <v/>
      </c>
      <c r="C566" s="1" t="str">
        <f>IFERROR(IF(MARÍTIMOS[[#This Row],[Sede]]="","",MARÍTIMOS[[#This Row],[Sede]]),"")</f>
        <v/>
      </c>
      <c r="D566" s="1" t="str">
        <f>IFERROR(IF(MARÍTIMOS[[#This Row],[Instruction]]="","",MARÍTIMOS[[#This Row],[Instruction]]),"")</f>
        <v/>
      </c>
      <c r="E566" s="1"/>
      <c r="F566" s="2" t="str">
        <f>IFERROR(IF(MARÍTIMOS[[#This Row],[Transportista]]="","",MARÍTIMOS[[#This Row],[Transportista]]),"")</f>
        <v/>
      </c>
      <c r="G566" s="2" t="str">
        <f>IFERROR(IF(MARÍTIMOS[[#This Row],[Tercero]]="","",MARÍTIMOS[[#This Row],[Tercero]]),"")</f>
        <v/>
      </c>
      <c r="H566" s="2" t="str">
        <f>IFERROR(IF(MARÍTIMOS[[#This Row],[Razón Social]]="","",MARÍTIMOS[[#This Row],[Razón Social]]),"")</f>
        <v/>
      </c>
      <c r="I566" s="2" t="str">
        <f>IFERROR(IF(MARÍTIMOS[[#This Row],[RUC]]="","",MARÍTIMOS[[#This Row],[RUC]]),"")</f>
        <v/>
      </c>
      <c r="J566" s="2" t="str">
        <f>IFERROR(IF(MARÍTIMOS[[#This Row],[Placa Tracto]]="","",MARÍTIMOS[[#This Row],[Placa Tracto]]),"")</f>
        <v/>
      </c>
      <c r="K566" s="2" t="str">
        <f>IFERROR(IF(MARÍTIMOS[[#This Row],[Placa Carreta]]="","",MARÍTIMOS[[#This Row],[Placa Carreta]]),"")</f>
        <v/>
      </c>
      <c r="L566" s="44" t="str">
        <f>IFERROR(IF(MARÍTIMOS[[#This Row],[Conductor]]="","",MARÍTIMOS[[#This Row],[Conductor]]),"")</f>
        <v/>
      </c>
      <c r="M566" s="2" t="str">
        <f>IFERROR(IF(MARÍTIMOS[[#This Row],[Licencia]]="","",MARÍTIMOS[[#This Row],[Licencia]]),"")</f>
        <v/>
      </c>
      <c r="N566" s="2" t="str">
        <f>IFERROR(IF(MARÍTIMOS[[#This Row],[Número de Contacto]]="","",MARÍTIMOS[[#This Row],[Número de Contacto]]),"")</f>
        <v/>
      </c>
      <c r="O566" s="10" t="str">
        <f>IFERROR(IF(MARÍTIMOS[[#This Row],[Booking|AWB|CRT]]="","",MARÍTIMOS[[#This Row],[Booking|AWB|CRT]]),"")</f>
        <v/>
      </c>
      <c r="P566" s="2" t="str">
        <f>IFERROR(IF(MARÍTIMOS[[#This Row],[Contenedor]]="","",MARÍTIMOS[[#This Row],[Contenedor]]),"")</f>
        <v/>
      </c>
      <c r="Q566" s="2" t="str">
        <f>IFERROR(IF(MARÍTIMOS[[#This Row],[Puerto de Retiro]]="","",MARÍTIMOS[[#This Row],[Puerto de Retiro]]),"")</f>
        <v/>
      </c>
      <c r="R566" s="2" t="str">
        <f>IFERROR(IF(MARÍTIMOS[[#This Row],[Almacén de Retiro]]="","",MARÍTIMOS[[#This Row],[Almacén de Retiro]]),"")</f>
        <v/>
      </c>
      <c r="S566" s="11" t="str">
        <f>IFERROR(IF(MARÍTIMOS[[#This Row],[Etapa Retiro - Cita]]="","",MARÍTIMOS[[#This Row],[Etapa Retiro - Cita]]),"")</f>
        <v/>
      </c>
      <c r="T566" s="11" t="str">
        <f>IFERROR(IF(MARÍTIMOS[[#This Row],[Etapa Retiro - Llegada]]="","",MARÍTIMOS[[#This Row],[Etapa Retiro - Llegada]]),"")</f>
        <v/>
      </c>
      <c r="U566" s="11" t="str">
        <f>IFERROR(IF(MARÍTIMOS[[#This Row],[Etapa Retiro - Ingreso]]="","",MARÍTIMOS[[#This Row],[Etapa Retiro - Ingreso]]),"")</f>
        <v/>
      </c>
      <c r="V566" s="11" t="str">
        <f>IFERROR(IF(MARÍTIMOS[[#This Row],[Etapa Retiro - Atención]]="","",MARÍTIMOS[[#This Row],[Etapa Retiro - Atención]]),"")</f>
        <v/>
      </c>
      <c r="W566" s="11" t="str">
        <f>IFERROR(IF(MARÍTIMOS[[#This Row],[Etapa Retiro - Atención]]="","",MARÍTIMOS[[#This Row],[Etapa Retiro - Atención]]),"")</f>
        <v/>
      </c>
      <c r="X566" s="11" t="str">
        <f>IFERROR(IF(MARÍTIMOS[[#This Row],[Etapa Retiro - Inicio de Ruta]]="","",MARÍTIMOS[[#This Row],[Etapa Retiro - Inicio de Ruta]]),"")</f>
        <v/>
      </c>
      <c r="Y566" s="11" t="str">
        <f>IFERROR(IF(MARÍTIMOS[[#This Row],[Hora de Posicionamiento]]="","",MARÍTIMOS[[#This Row],[Fecha de Carga]]+MARÍTIMOS[[#This Row],[Hora de Posicionamiento]]),"")</f>
        <v/>
      </c>
      <c r="Z566" s="11" t="str">
        <f>IFERROR(IF(MARÍTIMOS[[#This Row],[Etapa Despacho - Llegada]]="","",MARÍTIMOS[[#This Row],[Etapa Despacho - Llegada]]),"")</f>
        <v/>
      </c>
      <c r="AA566" s="11" t="str">
        <f>IFERROR(IF(MARÍTIMOS[[#This Row],[Etapa Despacho - Registro]]="","",MARÍTIMOS[[#This Row],[Etapa Despacho - Registro]]),"")</f>
        <v/>
      </c>
      <c r="AB566" s="11" t="str">
        <f>IFERROR(IF(MARÍTIMOS[[#This Row],[Inspección Externa]]="","",MARÍTIMOS[[#This Row],[Inspección Externa]]),"")</f>
        <v/>
      </c>
      <c r="AC566" s="11" t="str">
        <f>IFERROR(IF(MARÍTIMOS[[#This Row],[Etapa Despacho - Inicio de Carga]]="","",MARÍTIMOS[[#This Row],[Etapa Despacho - Inicio de Carga]]),"")</f>
        <v/>
      </c>
      <c r="AD566" s="11" t="str">
        <f>IFERROR(IF(MARÍTIMOS[[#This Row],[Etapa Despacho - Mitad de Carga]]="","",MARÍTIMOS[[#This Row],[Etapa Despacho - Mitad de Carga]]),"")</f>
        <v/>
      </c>
      <c r="AE566" s="11" t="str">
        <f>IFERROR(IF(MARÍTIMOS[[#This Row],[Etapa Despacho - Fin de Carga]]="","",MARÍTIMOS[[#This Row],[Etapa Despacho - Fin de Carga]]),"")</f>
        <v/>
      </c>
      <c r="AF566" s="2" t="str">
        <f>IFERROR(IF(MARÍTIMOS[[#This Row],[Puerto de Embarque]]="","",MARÍTIMOS[[#This Row],[Puerto de Embarque]]),"")</f>
        <v/>
      </c>
      <c r="AG566" s="2" t="str">
        <f>IFERROR(IF(MARÍTIMOS[[#This Row],[Almacén de Ingreso]]="","",MARÍTIMOS[[#This Row],[Almacén de Ingreso]]),"")</f>
        <v/>
      </c>
      <c r="AH566" s="11" t="str">
        <f>IFERROR(IF(MARÍTIMOS[[#This Row],[Etapa Ingreso - Cita]]="","",MARÍTIMOS[[#This Row],[Etapa Ingreso - Cita]]),"")</f>
        <v/>
      </c>
      <c r="AI566" s="11" t="str">
        <f>IFERROR(IF(MARÍTIMOS[[#This Row],[Etapa Ingreso - Llegada]]="","",MARÍTIMOS[[#This Row],[Etapa Ingreso - Llegada]]),"")</f>
        <v/>
      </c>
      <c r="AJ566" s="11" t="str">
        <f>IFERROR(IF(MARÍTIMOS[[#This Row],[Etapa Ingreso - Ingeso]]="","",MARÍTIMOS[[#This Row],[Etapa Ingreso - Ingeso]]),"")</f>
        <v/>
      </c>
      <c r="AK566" s="11" t="str">
        <f>IFERROR(IF(MARÍTIMOS[[#This Row],[Etapa Ingreso - Atención]]="","",MARÍTIMOS[[#This Row],[Etapa Ingreso - Atención]]),"")</f>
        <v/>
      </c>
      <c r="AL566" s="11" t="str">
        <f>IFERROR(IF(MARÍTIMOS[[#This Row],[Etapa Ingreso - Salida]]="","",MARÍTIMOS[[#This Row],[Etapa Ingreso - Salida]]),"")</f>
        <v/>
      </c>
      <c r="AM566" s="2" t="str">
        <f>IFERROR(IF(MARÍTIMOS[[#This Row],[FCL]]="","",MARÍTIMOS[[#This Row],[FCL]]),"")</f>
        <v/>
      </c>
      <c r="AN5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6" s="4" t="str" cm="1">
        <f t="array" ref="AO5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6" s="5" t="str">
        <f>IFERROR(OLDBD[[#This Row],[Llegada a packing]]-OLDBD[[#This Row],[Inicio de Ruta]],"")</f>
        <v/>
      </c>
      <c r="AQ566" s="6" t="str">
        <f>IFERROR(OLDBD[[#This Row],[Inicio de Ruta]]-OLDBD[[#This Row],[Salida de almacén de retiro]],"")</f>
        <v/>
      </c>
      <c r="AR5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6" s="8" t="str" cm="1">
        <f t="array" ref="AS5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6" s="9" t="str">
        <f>IFERROR(OLDBD[[#This Row],[Ingreso Packing]]-OLDBD[[#This Row],[Registro en Packing]],"")</f>
        <v/>
      </c>
      <c r="AV566" s="9" t="str">
        <f>IFERROR(OLDBD[[#This Row],[Ingreso Packing]]-OLDBD[[#This Row],[Llegada a packing]],"")</f>
        <v/>
      </c>
      <c r="AW5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6" s="5" t="str">
        <f>IFERROR(OLDBD[[#This Row],[Llegada Almacén de Ingreso]]-OLDBD[[#This Row],[Salida Packing]],"")</f>
        <v/>
      </c>
      <c r="AY566" s="4" t="str" cm="1">
        <f t="array" ref="AY5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6" s="43" t="s">
        <v>173</v>
      </c>
      <c r="BB566" s="47" t="str">
        <f>IFERROR(IF(MARÍTIMOS[[#This Row],[Estatus]]="","",MARÍTIMOS[[#This Row],[Estatus]]),"")</f>
        <v/>
      </c>
      <c r="BC566" s="43"/>
      <c r="BD566" s="46" t="str">
        <f>IFERROR(OLDBD[[#This Row],[Salida de almacén de retiro]]-OLDBD[[#This Row],[Ingreso Almacén de retiro]],"")</f>
        <v/>
      </c>
      <c r="BE566" s="46" t="str">
        <f>IFERROR(OLDBD[[#This Row],[Fin de Carga]]-OLDBD[[#This Row],[Inicio de Carga]],"")</f>
        <v/>
      </c>
    </row>
    <row r="567" spans="1:57" customFormat="1" hidden="1">
      <c r="A567" s="1"/>
      <c r="B567" s="1" t="str">
        <f>IFERROR(IF(MARÍTIMOS[[#This Row],[PP]]="","",MARÍTIMOS[[#This Row],[PP]]),"")</f>
        <v/>
      </c>
      <c r="C567" s="1" t="str">
        <f>IFERROR(IF(MARÍTIMOS[[#This Row],[Sede]]="","",MARÍTIMOS[[#This Row],[Sede]]),"")</f>
        <v/>
      </c>
      <c r="D567" s="1" t="str">
        <f>IFERROR(IF(MARÍTIMOS[[#This Row],[Instruction]]="","",MARÍTIMOS[[#This Row],[Instruction]]),"")</f>
        <v/>
      </c>
      <c r="E567" s="1"/>
      <c r="F567" s="2" t="str">
        <f>IFERROR(IF(MARÍTIMOS[[#This Row],[Transportista]]="","",MARÍTIMOS[[#This Row],[Transportista]]),"")</f>
        <v/>
      </c>
      <c r="G567" s="2" t="str">
        <f>IFERROR(IF(MARÍTIMOS[[#This Row],[Tercero]]="","",MARÍTIMOS[[#This Row],[Tercero]]),"")</f>
        <v/>
      </c>
      <c r="H567" s="2" t="str">
        <f>IFERROR(IF(MARÍTIMOS[[#This Row],[Razón Social]]="","",MARÍTIMOS[[#This Row],[Razón Social]]),"")</f>
        <v/>
      </c>
      <c r="I567" s="2" t="str">
        <f>IFERROR(IF(MARÍTIMOS[[#This Row],[RUC]]="","",MARÍTIMOS[[#This Row],[RUC]]),"")</f>
        <v/>
      </c>
      <c r="J567" s="2" t="str">
        <f>IFERROR(IF(MARÍTIMOS[[#This Row],[Placa Tracto]]="","",MARÍTIMOS[[#This Row],[Placa Tracto]]),"")</f>
        <v/>
      </c>
      <c r="K567" s="2" t="str">
        <f>IFERROR(IF(MARÍTIMOS[[#This Row],[Placa Carreta]]="","",MARÍTIMOS[[#This Row],[Placa Carreta]]),"")</f>
        <v/>
      </c>
      <c r="L567" s="44" t="str">
        <f>IFERROR(IF(MARÍTIMOS[[#This Row],[Conductor]]="","",MARÍTIMOS[[#This Row],[Conductor]]),"")</f>
        <v/>
      </c>
      <c r="M567" s="2" t="str">
        <f>IFERROR(IF(MARÍTIMOS[[#This Row],[Licencia]]="","",MARÍTIMOS[[#This Row],[Licencia]]),"")</f>
        <v/>
      </c>
      <c r="N567" s="2" t="str">
        <f>IFERROR(IF(MARÍTIMOS[[#This Row],[Número de Contacto]]="","",MARÍTIMOS[[#This Row],[Número de Contacto]]),"")</f>
        <v/>
      </c>
      <c r="O567" s="10" t="str">
        <f>IFERROR(IF(MARÍTIMOS[[#This Row],[Booking|AWB|CRT]]="","",MARÍTIMOS[[#This Row],[Booking|AWB|CRT]]),"")</f>
        <v/>
      </c>
      <c r="P567" s="2" t="str">
        <f>IFERROR(IF(MARÍTIMOS[[#This Row],[Contenedor]]="","",MARÍTIMOS[[#This Row],[Contenedor]]),"")</f>
        <v/>
      </c>
      <c r="Q567" s="2" t="str">
        <f>IFERROR(IF(MARÍTIMOS[[#This Row],[Puerto de Retiro]]="","",MARÍTIMOS[[#This Row],[Puerto de Retiro]]),"")</f>
        <v/>
      </c>
      <c r="R567" s="2" t="str">
        <f>IFERROR(IF(MARÍTIMOS[[#This Row],[Almacén de Retiro]]="","",MARÍTIMOS[[#This Row],[Almacén de Retiro]]),"")</f>
        <v/>
      </c>
      <c r="S567" s="11" t="str">
        <f>IFERROR(IF(MARÍTIMOS[[#This Row],[Etapa Retiro - Cita]]="","",MARÍTIMOS[[#This Row],[Etapa Retiro - Cita]]),"")</f>
        <v/>
      </c>
      <c r="T567" s="11" t="str">
        <f>IFERROR(IF(MARÍTIMOS[[#This Row],[Etapa Retiro - Llegada]]="","",MARÍTIMOS[[#This Row],[Etapa Retiro - Llegada]]),"")</f>
        <v/>
      </c>
      <c r="U567" s="11" t="str">
        <f>IFERROR(IF(MARÍTIMOS[[#This Row],[Etapa Retiro - Ingreso]]="","",MARÍTIMOS[[#This Row],[Etapa Retiro - Ingreso]]),"")</f>
        <v/>
      </c>
      <c r="V567" s="11" t="str">
        <f>IFERROR(IF(MARÍTIMOS[[#This Row],[Etapa Retiro - Atención]]="","",MARÍTIMOS[[#This Row],[Etapa Retiro - Atención]]),"")</f>
        <v/>
      </c>
      <c r="W567" s="11" t="str">
        <f>IFERROR(IF(MARÍTIMOS[[#This Row],[Etapa Retiro - Atención]]="","",MARÍTIMOS[[#This Row],[Etapa Retiro - Atención]]),"")</f>
        <v/>
      </c>
      <c r="X567" s="11" t="str">
        <f>IFERROR(IF(MARÍTIMOS[[#This Row],[Etapa Retiro - Inicio de Ruta]]="","",MARÍTIMOS[[#This Row],[Etapa Retiro - Inicio de Ruta]]),"")</f>
        <v/>
      </c>
      <c r="Y567" s="11" t="str">
        <f>IFERROR(IF(MARÍTIMOS[[#This Row],[Hora de Posicionamiento]]="","",MARÍTIMOS[[#This Row],[Fecha de Carga]]+MARÍTIMOS[[#This Row],[Hora de Posicionamiento]]),"")</f>
        <v/>
      </c>
      <c r="Z567" s="11" t="str">
        <f>IFERROR(IF(MARÍTIMOS[[#This Row],[Etapa Despacho - Llegada]]="","",MARÍTIMOS[[#This Row],[Etapa Despacho - Llegada]]),"")</f>
        <v/>
      </c>
      <c r="AA567" s="11" t="str">
        <f>IFERROR(IF(MARÍTIMOS[[#This Row],[Etapa Despacho - Registro]]="","",MARÍTIMOS[[#This Row],[Etapa Despacho - Registro]]),"")</f>
        <v/>
      </c>
      <c r="AB567" s="11" t="str">
        <f>IFERROR(IF(MARÍTIMOS[[#This Row],[Inspección Externa]]="","",MARÍTIMOS[[#This Row],[Inspección Externa]]),"")</f>
        <v/>
      </c>
      <c r="AC567" s="11" t="str">
        <f>IFERROR(IF(MARÍTIMOS[[#This Row],[Etapa Despacho - Inicio de Carga]]="","",MARÍTIMOS[[#This Row],[Etapa Despacho - Inicio de Carga]]),"")</f>
        <v/>
      </c>
      <c r="AD567" s="11" t="str">
        <f>IFERROR(IF(MARÍTIMOS[[#This Row],[Etapa Despacho - Mitad de Carga]]="","",MARÍTIMOS[[#This Row],[Etapa Despacho - Mitad de Carga]]),"")</f>
        <v/>
      </c>
      <c r="AE567" s="11" t="str">
        <f>IFERROR(IF(MARÍTIMOS[[#This Row],[Etapa Despacho - Fin de Carga]]="","",MARÍTIMOS[[#This Row],[Etapa Despacho - Fin de Carga]]),"")</f>
        <v/>
      </c>
      <c r="AF567" s="2" t="str">
        <f>IFERROR(IF(MARÍTIMOS[[#This Row],[Puerto de Embarque]]="","",MARÍTIMOS[[#This Row],[Puerto de Embarque]]),"")</f>
        <v/>
      </c>
      <c r="AG567" s="2" t="str">
        <f>IFERROR(IF(MARÍTIMOS[[#This Row],[Almacén de Ingreso]]="","",MARÍTIMOS[[#This Row],[Almacén de Ingreso]]),"")</f>
        <v/>
      </c>
      <c r="AH567" s="11" t="str">
        <f>IFERROR(IF(MARÍTIMOS[[#This Row],[Etapa Ingreso - Cita]]="","",MARÍTIMOS[[#This Row],[Etapa Ingreso - Cita]]),"")</f>
        <v/>
      </c>
      <c r="AI567" s="11" t="str">
        <f>IFERROR(IF(MARÍTIMOS[[#This Row],[Etapa Ingreso - Llegada]]="","",MARÍTIMOS[[#This Row],[Etapa Ingreso - Llegada]]),"")</f>
        <v/>
      </c>
      <c r="AJ567" s="11" t="str">
        <f>IFERROR(IF(MARÍTIMOS[[#This Row],[Etapa Ingreso - Ingeso]]="","",MARÍTIMOS[[#This Row],[Etapa Ingreso - Ingeso]]),"")</f>
        <v/>
      </c>
      <c r="AK567" s="11" t="str">
        <f>IFERROR(IF(MARÍTIMOS[[#This Row],[Etapa Ingreso - Atención]]="","",MARÍTIMOS[[#This Row],[Etapa Ingreso - Atención]]),"")</f>
        <v/>
      </c>
      <c r="AL567" s="11" t="str">
        <f>IFERROR(IF(MARÍTIMOS[[#This Row],[Etapa Ingreso - Salida]]="","",MARÍTIMOS[[#This Row],[Etapa Ingreso - Salida]]),"")</f>
        <v/>
      </c>
      <c r="AM567" s="2" t="str">
        <f>IFERROR(IF(MARÍTIMOS[[#This Row],[FCL]]="","",MARÍTIMOS[[#This Row],[FCL]]),"")</f>
        <v/>
      </c>
      <c r="AN5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7" s="4" t="str" cm="1">
        <f t="array" ref="AO5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7" s="5" t="str">
        <f>IFERROR(OLDBD[[#This Row],[Llegada a packing]]-OLDBD[[#This Row],[Inicio de Ruta]],"")</f>
        <v/>
      </c>
      <c r="AQ567" s="6" t="str">
        <f>IFERROR(OLDBD[[#This Row],[Inicio de Ruta]]-OLDBD[[#This Row],[Salida de almacén de retiro]],"")</f>
        <v/>
      </c>
      <c r="AR5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7" s="8" t="str" cm="1">
        <f t="array" ref="AS5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7" s="9" t="str">
        <f>IFERROR(OLDBD[[#This Row],[Ingreso Packing]]-OLDBD[[#This Row],[Registro en Packing]],"")</f>
        <v/>
      </c>
      <c r="AV567" s="9" t="str">
        <f>IFERROR(OLDBD[[#This Row],[Ingreso Packing]]-OLDBD[[#This Row],[Llegada a packing]],"")</f>
        <v/>
      </c>
      <c r="AW5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7" s="5" t="str">
        <f>IFERROR(OLDBD[[#This Row],[Llegada Almacén de Ingreso]]-OLDBD[[#This Row],[Salida Packing]],"")</f>
        <v/>
      </c>
      <c r="AY567" s="4" t="str" cm="1">
        <f t="array" ref="AY5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7" s="43" t="s">
        <v>173</v>
      </c>
      <c r="BB567" s="47" t="str">
        <f>IFERROR(IF(MARÍTIMOS[[#This Row],[Estatus]]="","",MARÍTIMOS[[#This Row],[Estatus]]),"")</f>
        <v/>
      </c>
      <c r="BC567" s="43"/>
      <c r="BD567" s="46" t="str">
        <f>IFERROR(OLDBD[[#This Row],[Salida de almacén de retiro]]-OLDBD[[#This Row],[Ingreso Almacén de retiro]],"")</f>
        <v/>
      </c>
      <c r="BE567" s="46" t="str">
        <f>IFERROR(OLDBD[[#This Row],[Fin de Carga]]-OLDBD[[#This Row],[Inicio de Carga]],"")</f>
        <v/>
      </c>
    </row>
    <row r="568" spans="1:57" customFormat="1" hidden="1">
      <c r="A568" s="1"/>
      <c r="B568" s="1" t="str">
        <f>IFERROR(IF(MARÍTIMOS[[#This Row],[PP]]="","",MARÍTIMOS[[#This Row],[PP]]),"")</f>
        <v/>
      </c>
      <c r="C568" s="1" t="str">
        <f>IFERROR(IF(MARÍTIMOS[[#This Row],[Sede]]="","",MARÍTIMOS[[#This Row],[Sede]]),"")</f>
        <v/>
      </c>
      <c r="D568" s="1" t="str">
        <f>IFERROR(IF(MARÍTIMOS[[#This Row],[Instruction]]="","",MARÍTIMOS[[#This Row],[Instruction]]),"")</f>
        <v/>
      </c>
      <c r="E568" s="1"/>
      <c r="F568" s="2" t="str">
        <f>IFERROR(IF(MARÍTIMOS[[#This Row],[Transportista]]="","",MARÍTIMOS[[#This Row],[Transportista]]),"")</f>
        <v/>
      </c>
      <c r="G568" s="2" t="str">
        <f>IFERROR(IF(MARÍTIMOS[[#This Row],[Tercero]]="","",MARÍTIMOS[[#This Row],[Tercero]]),"")</f>
        <v/>
      </c>
      <c r="H568" s="2" t="str">
        <f>IFERROR(IF(MARÍTIMOS[[#This Row],[Razón Social]]="","",MARÍTIMOS[[#This Row],[Razón Social]]),"")</f>
        <v/>
      </c>
      <c r="I568" s="2" t="str">
        <f>IFERROR(IF(MARÍTIMOS[[#This Row],[RUC]]="","",MARÍTIMOS[[#This Row],[RUC]]),"")</f>
        <v/>
      </c>
      <c r="J568" s="2" t="str">
        <f>IFERROR(IF(MARÍTIMOS[[#This Row],[Placa Tracto]]="","",MARÍTIMOS[[#This Row],[Placa Tracto]]),"")</f>
        <v/>
      </c>
      <c r="K568" s="2" t="str">
        <f>IFERROR(IF(MARÍTIMOS[[#This Row],[Placa Carreta]]="","",MARÍTIMOS[[#This Row],[Placa Carreta]]),"")</f>
        <v/>
      </c>
      <c r="L568" s="44" t="str">
        <f>IFERROR(IF(MARÍTIMOS[[#This Row],[Conductor]]="","",MARÍTIMOS[[#This Row],[Conductor]]),"")</f>
        <v/>
      </c>
      <c r="M568" s="2" t="str">
        <f>IFERROR(IF(MARÍTIMOS[[#This Row],[Licencia]]="","",MARÍTIMOS[[#This Row],[Licencia]]),"")</f>
        <v/>
      </c>
      <c r="N568" s="2" t="str">
        <f>IFERROR(IF(MARÍTIMOS[[#This Row],[Número de Contacto]]="","",MARÍTIMOS[[#This Row],[Número de Contacto]]),"")</f>
        <v/>
      </c>
      <c r="O568" s="10" t="str">
        <f>IFERROR(IF(MARÍTIMOS[[#This Row],[Booking|AWB|CRT]]="","",MARÍTIMOS[[#This Row],[Booking|AWB|CRT]]),"")</f>
        <v/>
      </c>
      <c r="P568" s="2" t="str">
        <f>IFERROR(IF(MARÍTIMOS[[#This Row],[Contenedor]]="","",MARÍTIMOS[[#This Row],[Contenedor]]),"")</f>
        <v/>
      </c>
      <c r="Q568" s="2" t="str">
        <f>IFERROR(IF(MARÍTIMOS[[#This Row],[Puerto de Retiro]]="","",MARÍTIMOS[[#This Row],[Puerto de Retiro]]),"")</f>
        <v/>
      </c>
      <c r="R568" s="2" t="str">
        <f>IFERROR(IF(MARÍTIMOS[[#This Row],[Almacén de Retiro]]="","",MARÍTIMOS[[#This Row],[Almacén de Retiro]]),"")</f>
        <v/>
      </c>
      <c r="S568" s="11" t="str">
        <f>IFERROR(IF(MARÍTIMOS[[#This Row],[Etapa Retiro - Cita]]="","",MARÍTIMOS[[#This Row],[Etapa Retiro - Cita]]),"")</f>
        <v/>
      </c>
      <c r="T568" s="11" t="str">
        <f>IFERROR(IF(MARÍTIMOS[[#This Row],[Etapa Retiro - Llegada]]="","",MARÍTIMOS[[#This Row],[Etapa Retiro - Llegada]]),"")</f>
        <v/>
      </c>
      <c r="U568" s="11" t="str">
        <f>IFERROR(IF(MARÍTIMOS[[#This Row],[Etapa Retiro - Ingreso]]="","",MARÍTIMOS[[#This Row],[Etapa Retiro - Ingreso]]),"")</f>
        <v/>
      </c>
      <c r="V568" s="11" t="str">
        <f>IFERROR(IF(MARÍTIMOS[[#This Row],[Etapa Retiro - Atención]]="","",MARÍTIMOS[[#This Row],[Etapa Retiro - Atención]]),"")</f>
        <v/>
      </c>
      <c r="W568" s="11" t="str">
        <f>IFERROR(IF(MARÍTIMOS[[#This Row],[Etapa Retiro - Atención]]="","",MARÍTIMOS[[#This Row],[Etapa Retiro - Atención]]),"")</f>
        <v/>
      </c>
      <c r="X568" s="11" t="str">
        <f>IFERROR(IF(MARÍTIMOS[[#This Row],[Etapa Retiro - Inicio de Ruta]]="","",MARÍTIMOS[[#This Row],[Etapa Retiro - Inicio de Ruta]]),"")</f>
        <v/>
      </c>
      <c r="Y568" s="11" t="str">
        <f>IFERROR(IF(MARÍTIMOS[[#This Row],[Hora de Posicionamiento]]="","",MARÍTIMOS[[#This Row],[Fecha de Carga]]+MARÍTIMOS[[#This Row],[Hora de Posicionamiento]]),"")</f>
        <v/>
      </c>
      <c r="Z568" s="11" t="str">
        <f>IFERROR(IF(MARÍTIMOS[[#This Row],[Etapa Despacho - Llegada]]="","",MARÍTIMOS[[#This Row],[Etapa Despacho - Llegada]]),"")</f>
        <v/>
      </c>
      <c r="AA568" s="11" t="str">
        <f>IFERROR(IF(MARÍTIMOS[[#This Row],[Etapa Despacho - Registro]]="","",MARÍTIMOS[[#This Row],[Etapa Despacho - Registro]]),"")</f>
        <v/>
      </c>
      <c r="AB568" s="11" t="str">
        <f>IFERROR(IF(MARÍTIMOS[[#This Row],[Inspección Externa]]="","",MARÍTIMOS[[#This Row],[Inspección Externa]]),"")</f>
        <v/>
      </c>
      <c r="AC568" s="11" t="str">
        <f>IFERROR(IF(MARÍTIMOS[[#This Row],[Etapa Despacho - Inicio de Carga]]="","",MARÍTIMOS[[#This Row],[Etapa Despacho - Inicio de Carga]]),"")</f>
        <v/>
      </c>
      <c r="AD568" s="11" t="str">
        <f>IFERROR(IF(MARÍTIMOS[[#This Row],[Etapa Despacho - Mitad de Carga]]="","",MARÍTIMOS[[#This Row],[Etapa Despacho - Mitad de Carga]]),"")</f>
        <v/>
      </c>
      <c r="AE568" s="11" t="str">
        <f>IFERROR(IF(MARÍTIMOS[[#This Row],[Etapa Despacho - Fin de Carga]]="","",MARÍTIMOS[[#This Row],[Etapa Despacho - Fin de Carga]]),"")</f>
        <v/>
      </c>
      <c r="AF568" s="2" t="str">
        <f>IFERROR(IF(MARÍTIMOS[[#This Row],[Puerto de Embarque]]="","",MARÍTIMOS[[#This Row],[Puerto de Embarque]]),"")</f>
        <v/>
      </c>
      <c r="AG568" s="2" t="str">
        <f>IFERROR(IF(MARÍTIMOS[[#This Row],[Almacén de Ingreso]]="","",MARÍTIMOS[[#This Row],[Almacén de Ingreso]]),"")</f>
        <v/>
      </c>
      <c r="AH568" s="11" t="str">
        <f>IFERROR(IF(MARÍTIMOS[[#This Row],[Etapa Ingreso - Cita]]="","",MARÍTIMOS[[#This Row],[Etapa Ingreso - Cita]]),"")</f>
        <v/>
      </c>
      <c r="AI568" s="11" t="str">
        <f>IFERROR(IF(MARÍTIMOS[[#This Row],[Etapa Ingreso - Llegada]]="","",MARÍTIMOS[[#This Row],[Etapa Ingreso - Llegada]]),"")</f>
        <v/>
      </c>
      <c r="AJ568" s="11" t="str">
        <f>IFERROR(IF(MARÍTIMOS[[#This Row],[Etapa Ingreso - Ingeso]]="","",MARÍTIMOS[[#This Row],[Etapa Ingreso - Ingeso]]),"")</f>
        <v/>
      </c>
      <c r="AK568" s="11" t="str">
        <f>IFERROR(IF(MARÍTIMOS[[#This Row],[Etapa Ingreso - Atención]]="","",MARÍTIMOS[[#This Row],[Etapa Ingreso - Atención]]),"")</f>
        <v/>
      </c>
      <c r="AL568" s="11" t="str">
        <f>IFERROR(IF(MARÍTIMOS[[#This Row],[Etapa Ingreso - Salida]]="","",MARÍTIMOS[[#This Row],[Etapa Ingreso - Salida]]),"")</f>
        <v/>
      </c>
      <c r="AM568" s="2" t="str">
        <f>IFERROR(IF(MARÍTIMOS[[#This Row],[FCL]]="","",MARÍTIMOS[[#This Row],[FCL]]),"")</f>
        <v/>
      </c>
      <c r="AN5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8" s="4" t="str" cm="1">
        <f t="array" ref="AO5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8" s="5" t="str">
        <f>IFERROR(OLDBD[[#This Row],[Llegada a packing]]-OLDBD[[#This Row],[Inicio de Ruta]],"")</f>
        <v/>
      </c>
      <c r="AQ568" s="6" t="str">
        <f>IFERROR(OLDBD[[#This Row],[Inicio de Ruta]]-OLDBD[[#This Row],[Salida de almacén de retiro]],"")</f>
        <v/>
      </c>
      <c r="AR5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8" s="8" t="str" cm="1">
        <f t="array" ref="AS5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8" s="9" t="str">
        <f>IFERROR(OLDBD[[#This Row],[Ingreso Packing]]-OLDBD[[#This Row],[Registro en Packing]],"")</f>
        <v/>
      </c>
      <c r="AV568" s="9" t="str">
        <f>IFERROR(OLDBD[[#This Row],[Ingreso Packing]]-OLDBD[[#This Row],[Llegada a packing]],"")</f>
        <v/>
      </c>
      <c r="AW5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8" s="5" t="str">
        <f>IFERROR(OLDBD[[#This Row],[Llegada Almacén de Ingreso]]-OLDBD[[#This Row],[Salida Packing]],"")</f>
        <v/>
      </c>
      <c r="AY568" s="4" t="str" cm="1">
        <f t="array" ref="AY5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8" s="43" t="s">
        <v>173</v>
      </c>
      <c r="BB568" s="47" t="str">
        <f>IFERROR(IF(MARÍTIMOS[[#This Row],[Estatus]]="","",MARÍTIMOS[[#This Row],[Estatus]]),"")</f>
        <v/>
      </c>
      <c r="BC568" s="43"/>
      <c r="BD568" s="46" t="str">
        <f>IFERROR(OLDBD[[#This Row],[Salida de almacén de retiro]]-OLDBD[[#This Row],[Ingreso Almacén de retiro]],"")</f>
        <v/>
      </c>
      <c r="BE568" s="46" t="str">
        <f>IFERROR(OLDBD[[#This Row],[Fin de Carga]]-OLDBD[[#This Row],[Inicio de Carga]],"")</f>
        <v/>
      </c>
    </row>
    <row r="569" spans="1:57" customFormat="1" hidden="1">
      <c r="A569" s="1"/>
      <c r="B569" s="1" t="str">
        <f>IFERROR(IF(MARÍTIMOS[[#This Row],[PP]]="","",MARÍTIMOS[[#This Row],[PP]]),"")</f>
        <v/>
      </c>
      <c r="C569" s="1" t="str">
        <f>IFERROR(IF(MARÍTIMOS[[#This Row],[Sede]]="","",MARÍTIMOS[[#This Row],[Sede]]),"")</f>
        <v/>
      </c>
      <c r="D569" s="1" t="str">
        <f>IFERROR(IF(MARÍTIMOS[[#This Row],[Instruction]]="","",MARÍTIMOS[[#This Row],[Instruction]]),"")</f>
        <v/>
      </c>
      <c r="E569" s="1"/>
      <c r="F569" s="2" t="str">
        <f>IFERROR(IF(MARÍTIMOS[[#This Row],[Transportista]]="","",MARÍTIMOS[[#This Row],[Transportista]]),"")</f>
        <v/>
      </c>
      <c r="G569" s="2" t="str">
        <f>IFERROR(IF(MARÍTIMOS[[#This Row],[Tercero]]="","",MARÍTIMOS[[#This Row],[Tercero]]),"")</f>
        <v/>
      </c>
      <c r="H569" s="2" t="str">
        <f>IFERROR(IF(MARÍTIMOS[[#This Row],[Razón Social]]="","",MARÍTIMOS[[#This Row],[Razón Social]]),"")</f>
        <v/>
      </c>
      <c r="I569" s="2" t="str">
        <f>IFERROR(IF(MARÍTIMOS[[#This Row],[RUC]]="","",MARÍTIMOS[[#This Row],[RUC]]),"")</f>
        <v/>
      </c>
      <c r="J569" s="2" t="str">
        <f>IFERROR(IF(MARÍTIMOS[[#This Row],[Placa Tracto]]="","",MARÍTIMOS[[#This Row],[Placa Tracto]]),"")</f>
        <v/>
      </c>
      <c r="K569" s="2" t="str">
        <f>IFERROR(IF(MARÍTIMOS[[#This Row],[Placa Carreta]]="","",MARÍTIMOS[[#This Row],[Placa Carreta]]),"")</f>
        <v/>
      </c>
      <c r="L569" s="44" t="str">
        <f>IFERROR(IF(MARÍTIMOS[[#This Row],[Conductor]]="","",MARÍTIMOS[[#This Row],[Conductor]]),"")</f>
        <v/>
      </c>
      <c r="M569" s="2" t="str">
        <f>IFERROR(IF(MARÍTIMOS[[#This Row],[Licencia]]="","",MARÍTIMOS[[#This Row],[Licencia]]),"")</f>
        <v/>
      </c>
      <c r="N569" s="2" t="str">
        <f>IFERROR(IF(MARÍTIMOS[[#This Row],[Número de Contacto]]="","",MARÍTIMOS[[#This Row],[Número de Contacto]]),"")</f>
        <v/>
      </c>
      <c r="O569" s="10" t="str">
        <f>IFERROR(IF(MARÍTIMOS[[#This Row],[Booking|AWB|CRT]]="","",MARÍTIMOS[[#This Row],[Booking|AWB|CRT]]),"")</f>
        <v/>
      </c>
      <c r="P569" s="2" t="str">
        <f>IFERROR(IF(MARÍTIMOS[[#This Row],[Contenedor]]="","",MARÍTIMOS[[#This Row],[Contenedor]]),"")</f>
        <v/>
      </c>
      <c r="Q569" s="2" t="str">
        <f>IFERROR(IF(MARÍTIMOS[[#This Row],[Puerto de Retiro]]="","",MARÍTIMOS[[#This Row],[Puerto de Retiro]]),"")</f>
        <v/>
      </c>
      <c r="R569" s="2" t="str">
        <f>IFERROR(IF(MARÍTIMOS[[#This Row],[Almacén de Retiro]]="","",MARÍTIMOS[[#This Row],[Almacén de Retiro]]),"")</f>
        <v/>
      </c>
      <c r="S569" s="11" t="str">
        <f>IFERROR(IF(MARÍTIMOS[[#This Row],[Etapa Retiro - Cita]]="","",MARÍTIMOS[[#This Row],[Etapa Retiro - Cita]]),"")</f>
        <v/>
      </c>
      <c r="T569" s="11" t="str">
        <f>IFERROR(IF(MARÍTIMOS[[#This Row],[Etapa Retiro - Llegada]]="","",MARÍTIMOS[[#This Row],[Etapa Retiro - Llegada]]),"")</f>
        <v/>
      </c>
      <c r="U569" s="11" t="str">
        <f>IFERROR(IF(MARÍTIMOS[[#This Row],[Etapa Retiro - Ingreso]]="","",MARÍTIMOS[[#This Row],[Etapa Retiro - Ingreso]]),"")</f>
        <v/>
      </c>
      <c r="V569" s="11" t="str">
        <f>IFERROR(IF(MARÍTIMOS[[#This Row],[Etapa Retiro - Atención]]="","",MARÍTIMOS[[#This Row],[Etapa Retiro - Atención]]),"")</f>
        <v/>
      </c>
      <c r="W569" s="11" t="str">
        <f>IFERROR(IF(MARÍTIMOS[[#This Row],[Etapa Retiro - Atención]]="","",MARÍTIMOS[[#This Row],[Etapa Retiro - Atención]]),"")</f>
        <v/>
      </c>
      <c r="X569" s="11" t="str">
        <f>IFERROR(IF(MARÍTIMOS[[#This Row],[Etapa Retiro - Inicio de Ruta]]="","",MARÍTIMOS[[#This Row],[Etapa Retiro - Inicio de Ruta]]),"")</f>
        <v/>
      </c>
      <c r="Y569" s="11" t="str">
        <f>IFERROR(IF(MARÍTIMOS[[#This Row],[Hora de Posicionamiento]]="","",MARÍTIMOS[[#This Row],[Fecha de Carga]]+MARÍTIMOS[[#This Row],[Hora de Posicionamiento]]),"")</f>
        <v/>
      </c>
      <c r="Z569" s="11" t="str">
        <f>IFERROR(IF(MARÍTIMOS[[#This Row],[Etapa Despacho - Llegada]]="","",MARÍTIMOS[[#This Row],[Etapa Despacho - Llegada]]),"")</f>
        <v/>
      </c>
      <c r="AA569" s="11" t="str">
        <f>IFERROR(IF(MARÍTIMOS[[#This Row],[Etapa Despacho - Registro]]="","",MARÍTIMOS[[#This Row],[Etapa Despacho - Registro]]),"")</f>
        <v/>
      </c>
      <c r="AB569" s="11" t="str">
        <f>IFERROR(IF(MARÍTIMOS[[#This Row],[Inspección Externa]]="","",MARÍTIMOS[[#This Row],[Inspección Externa]]),"")</f>
        <v/>
      </c>
      <c r="AC569" s="11" t="str">
        <f>IFERROR(IF(MARÍTIMOS[[#This Row],[Etapa Despacho - Inicio de Carga]]="","",MARÍTIMOS[[#This Row],[Etapa Despacho - Inicio de Carga]]),"")</f>
        <v/>
      </c>
      <c r="AD569" s="11" t="str">
        <f>IFERROR(IF(MARÍTIMOS[[#This Row],[Etapa Despacho - Mitad de Carga]]="","",MARÍTIMOS[[#This Row],[Etapa Despacho - Mitad de Carga]]),"")</f>
        <v/>
      </c>
      <c r="AE569" s="11" t="str">
        <f>IFERROR(IF(MARÍTIMOS[[#This Row],[Etapa Despacho - Fin de Carga]]="","",MARÍTIMOS[[#This Row],[Etapa Despacho - Fin de Carga]]),"")</f>
        <v/>
      </c>
      <c r="AF569" s="2" t="str">
        <f>IFERROR(IF(MARÍTIMOS[[#This Row],[Puerto de Embarque]]="","",MARÍTIMOS[[#This Row],[Puerto de Embarque]]),"")</f>
        <v/>
      </c>
      <c r="AG569" s="2" t="str">
        <f>IFERROR(IF(MARÍTIMOS[[#This Row],[Almacén de Ingreso]]="","",MARÍTIMOS[[#This Row],[Almacén de Ingreso]]),"")</f>
        <v/>
      </c>
      <c r="AH569" s="11" t="str">
        <f>IFERROR(IF(MARÍTIMOS[[#This Row],[Etapa Ingreso - Cita]]="","",MARÍTIMOS[[#This Row],[Etapa Ingreso - Cita]]),"")</f>
        <v/>
      </c>
      <c r="AI569" s="11" t="str">
        <f>IFERROR(IF(MARÍTIMOS[[#This Row],[Etapa Ingreso - Llegada]]="","",MARÍTIMOS[[#This Row],[Etapa Ingreso - Llegada]]),"")</f>
        <v/>
      </c>
      <c r="AJ569" s="11" t="str">
        <f>IFERROR(IF(MARÍTIMOS[[#This Row],[Etapa Ingreso - Ingeso]]="","",MARÍTIMOS[[#This Row],[Etapa Ingreso - Ingeso]]),"")</f>
        <v/>
      </c>
      <c r="AK569" s="11" t="str">
        <f>IFERROR(IF(MARÍTIMOS[[#This Row],[Etapa Ingreso - Atención]]="","",MARÍTIMOS[[#This Row],[Etapa Ingreso - Atención]]),"")</f>
        <v/>
      </c>
      <c r="AL569" s="11" t="str">
        <f>IFERROR(IF(MARÍTIMOS[[#This Row],[Etapa Ingreso - Salida]]="","",MARÍTIMOS[[#This Row],[Etapa Ingreso - Salida]]),"")</f>
        <v/>
      </c>
      <c r="AM569" s="2" t="str">
        <f>IFERROR(IF(MARÍTIMOS[[#This Row],[FCL]]="","",MARÍTIMOS[[#This Row],[FCL]]),"")</f>
        <v/>
      </c>
      <c r="AN5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69" s="4" t="str" cm="1">
        <f t="array" ref="AO5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69" s="5" t="str">
        <f>IFERROR(OLDBD[[#This Row],[Llegada a packing]]-OLDBD[[#This Row],[Inicio de Ruta]],"")</f>
        <v/>
      </c>
      <c r="AQ569" s="6" t="str">
        <f>IFERROR(OLDBD[[#This Row],[Inicio de Ruta]]-OLDBD[[#This Row],[Salida de almacén de retiro]],"")</f>
        <v/>
      </c>
      <c r="AR5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69" s="8" t="str" cm="1">
        <f t="array" ref="AS5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69" s="9" t="str">
        <f>IFERROR(OLDBD[[#This Row],[Ingreso Packing]]-OLDBD[[#This Row],[Registro en Packing]],"")</f>
        <v/>
      </c>
      <c r="AV569" s="9" t="str">
        <f>IFERROR(OLDBD[[#This Row],[Ingreso Packing]]-OLDBD[[#This Row],[Llegada a packing]],"")</f>
        <v/>
      </c>
      <c r="AW5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69" s="5" t="str">
        <f>IFERROR(OLDBD[[#This Row],[Llegada Almacén de Ingreso]]-OLDBD[[#This Row],[Salida Packing]],"")</f>
        <v/>
      </c>
      <c r="AY569" s="4" t="str" cm="1">
        <f t="array" ref="AY5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69" s="43" t="s">
        <v>173</v>
      </c>
      <c r="BB569" s="47" t="str">
        <f>IFERROR(IF(MARÍTIMOS[[#This Row],[Estatus]]="","",MARÍTIMOS[[#This Row],[Estatus]]),"")</f>
        <v/>
      </c>
      <c r="BC569" s="43"/>
      <c r="BD569" s="46" t="str">
        <f>IFERROR(OLDBD[[#This Row],[Salida de almacén de retiro]]-OLDBD[[#This Row],[Ingreso Almacén de retiro]],"")</f>
        <v/>
      </c>
      <c r="BE569" s="46" t="str">
        <f>IFERROR(OLDBD[[#This Row],[Fin de Carga]]-OLDBD[[#This Row],[Inicio de Carga]],"")</f>
        <v/>
      </c>
    </row>
    <row r="570" spans="1:57" customFormat="1" hidden="1">
      <c r="A570" s="1"/>
      <c r="B570" s="1" t="str">
        <f>IFERROR(IF(MARÍTIMOS[[#This Row],[PP]]="","",MARÍTIMOS[[#This Row],[PP]]),"")</f>
        <v/>
      </c>
      <c r="C570" s="1" t="str">
        <f>IFERROR(IF(MARÍTIMOS[[#This Row],[Sede]]="","",MARÍTIMOS[[#This Row],[Sede]]),"")</f>
        <v/>
      </c>
      <c r="D570" s="1" t="str">
        <f>IFERROR(IF(MARÍTIMOS[[#This Row],[Instruction]]="","",MARÍTIMOS[[#This Row],[Instruction]]),"")</f>
        <v/>
      </c>
      <c r="E570" s="1"/>
      <c r="F570" s="2" t="str">
        <f>IFERROR(IF(MARÍTIMOS[[#This Row],[Transportista]]="","",MARÍTIMOS[[#This Row],[Transportista]]),"")</f>
        <v/>
      </c>
      <c r="G570" s="2" t="str">
        <f>IFERROR(IF(MARÍTIMOS[[#This Row],[Tercero]]="","",MARÍTIMOS[[#This Row],[Tercero]]),"")</f>
        <v/>
      </c>
      <c r="H570" s="2" t="str">
        <f>IFERROR(IF(MARÍTIMOS[[#This Row],[Razón Social]]="","",MARÍTIMOS[[#This Row],[Razón Social]]),"")</f>
        <v/>
      </c>
      <c r="I570" s="2" t="str">
        <f>IFERROR(IF(MARÍTIMOS[[#This Row],[RUC]]="","",MARÍTIMOS[[#This Row],[RUC]]),"")</f>
        <v/>
      </c>
      <c r="J570" s="2" t="str">
        <f>IFERROR(IF(MARÍTIMOS[[#This Row],[Placa Tracto]]="","",MARÍTIMOS[[#This Row],[Placa Tracto]]),"")</f>
        <v/>
      </c>
      <c r="K570" s="2" t="str">
        <f>IFERROR(IF(MARÍTIMOS[[#This Row],[Placa Carreta]]="","",MARÍTIMOS[[#This Row],[Placa Carreta]]),"")</f>
        <v/>
      </c>
      <c r="L570" s="44" t="str">
        <f>IFERROR(IF(MARÍTIMOS[[#This Row],[Conductor]]="","",MARÍTIMOS[[#This Row],[Conductor]]),"")</f>
        <v/>
      </c>
      <c r="M570" s="2" t="str">
        <f>IFERROR(IF(MARÍTIMOS[[#This Row],[Licencia]]="","",MARÍTIMOS[[#This Row],[Licencia]]),"")</f>
        <v/>
      </c>
      <c r="N570" s="2" t="str">
        <f>IFERROR(IF(MARÍTIMOS[[#This Row],[Número de Contacto]]="","",MARÍTIMOS[[#This Row],[Número de Contacto]]),"")</f>
        <v/>
      </c>
      <c r="O570" s="10" t="str">
        <f>IFERROR(IF(MARÍTIMOS[[#This Row],[Booking|AWB|CRT]]="","",MARÍTIMOS[[#This Row],[Booking|AWB|CRT]]),"")</f>
        <v/>
      </c>
      <c r="P570" s="2" t="str">
        <f>IFERROR(IF(MARÍTIMOS[[#This Row],[Contenedor]]="","",MARÍTIMOS[[#This Row],[Contenedor]]),"")</f>
        <v/>
      </c>
      <c r="Q570" s="2" t="str">
        <f>IFERROR(IF(MARÍTIMOS[[#This Row],[Puerto de Retiro]]="","",MARÍTIMOS[[#This Row],[Puerto de Retiro]]),"")</f>
        <v/>
      </c>
      <c r="R570" s="2" t="str">
        <f>IFERROR(IF(MARÍTIMOS[[#This Row],[Almacén de Retiro]]="","",MARÍTIMOS[[#This Row],[Almacén de Retiro]]),"")</f>
        <v/>
      </c>
      <c r="S570" s="11" t="str">
        <f>IFERROR(IF(MARÍTIMOS[[#This Row],[Etapa Retiro - Cita]]="","",MARÍTIMOS[[#This Row],[Etapa Retiro - Cita]]),"")</f>
        <v/>
      </c>
      <c r="T570" s="11" t="str">
        <f>IFERROR(IF(MARÍTIMOS[[#This Row],[Etapa Retiro - Llegada]]="","",MARÍTIMOS[[#This Row],[Etapa Retiro - Llegada]]),"")</f>
        <v/>
      </c>
      <c r="U570" s="11" t="str">
        <f>IFERROR(IF(MARÍTIMOS[[#This Row],[Etapa Retiro - Ingreso]]="","",MARÍTIMOS[[#This Row],[Etapa Retiro - Ingreso]]),"")</f>
        <v/>
      </c>
      <c r="V570" s="11" t="str">
        <f>IFERROR(IF(MARÍTIMOS[[#This Row],[Etapa Retiro - Atención]]="","",MARÍTIMOS[[#This Row],[Etapa Retiro - Atención]]),"")</f>
        <v/>
      </c>
      <c r="W570" s="11" t="str">
        <f>IFERROR(IF(MARÍTIMOS[[#This Row],[Etapa Retiro - Atención]]="","",MARÍTIMOS[[#This Row],[Etapa Retiro - Atención]]),"")</f>
        <v/>
      </c>
      <c r="X570" s="11" t="str">
        <f>IFERROR(IF(MARÍTIMOS[[#This Row],[Etapa Retiro - Inicio de Ruta]]="","",MARÍTIMOS[[#This Row],[Etapa Retiro - Inicio de Ruta]]),"")</f>
        <v/>
      </c>
      <c r="Y570" s="11" t="str">
        <f>IFERROR(IF(MARÍTIMOS[[#This Row],[Hora de Posicionamiento]]="","",MARÍTIMOS[[#This Row],[Fecha de Carga]]+MARÍTIMOS[[#This Row],[Hora de Posicionamiento]]),"")</f>
        <v/>
      </c>
      <c r="Z570" s="11" t="str">
        <f>IFERROR(IF(MARÍTIMOS[[#This Row],[Etapa Despacho - Llegada]]="","",MARÍTIMOS[[#This Row],[Etapa Despacho - Llegada]]),"")</f>
        <v/>
      </c>
      <c r="AA570" s="11" t="str">
        <f>IFERROR(IF(MARÍTIMOS[[#This Row],[Etapa Despacho - Registro]]="","",MARÍTIMOS[[#This Row],[Etapa Despacho - Registro]]),"")</f>
        <v/>
      </c>
      <c r="AB570" s="11" t="str">
        <f>IFERROR(IF(MARÍTIMOS[[#This Row],[Inspección Externa]]="","",MARÍTIMOS[[#This Row],[Inspección Externa]]),"")</f>
        <v/>
      </c>
      <c r="AC570" s="11" t="str">
        <f>IFERROR(IF(MARÍTIMOS[[#This Row],[Etapa Despacho - Inicio de Carga]]="","",MARÍTIMOS[[#This Row],[Etapa Despacho - Inicio de Carga]]),"")</f>
        <v/>
      </c>
      <c r="AD570" s="11" t="str">
        <f>IFERROR(IF(MARÍTIMOS[[#This Row],[Etapa Despacho - Mitad de Carga]]="","",MARÍTIMOS[[#This Row],[Etapa Despacho - Mitad de Carga]]),"")</f>
        <v/>
      </c>
      <c r="AE570" s="11" t="str">
        <f>IFERROR(IF(MARÍTIMOS[[#This Row],[Etapa Despacho - Fin de Carga]]="","",MARÍTIMOS[[#This Row],[Etapa Despacho - Fin de Carga]]),"")</f>
        <v/>
      </c>
      <c r="AF570" s="2" t="str">
        <f>IFERROR(IF(MARÍTIMOS[[#This Row],[Puerto de Embarque]]="","",MARÍTIMOS[[#This Row],[Puerto de Embarque]]),"")</f>
        <v/>
      </c>
      <c r="AG570" s="2" t="str">
        <f>IFERROR(IF(MARÍTIMOS[[#This Row],[Almacén de Ingreso]]="","",MARÍTIMOS[[#This Row],[Almacén de Ingreso]]),"")</f>
        <v/>
      </c>
      <c r="AH570" s="11" t="str">
        <f>IFERROR(IF(MARÍTIMOS[[#This Row],[Etapa Ingreso - Cita]]="","",MARÍTIMOS[[#This Row],[Etapa Ingreso - Cita]]),"")</f>
        <v/>
      </c>
      <c r="AI570" s="11" t="str">
        <f>IFERROR(IF(MARÍTIMOS[[#This Row],[Etapa Ingreso - Llegada]]="","",MARÍTIMOS[[#This Row],[Etapa Ingreso - Llegada]]),"")</f>
        <v/>
      </c>
      <c r="AJ570" s="11" t="str">
        <f>IFERROR(IF(MARÍTIMOS[[#This Row],[Etapa Ingreso - Ingeso]]="","",MARÍTIMOS[[#This Row],[Etapa Ingreso - Ingeso]]),"")</f>
        <v/>
      </c>
      <c r="AK570" s="11" t="str">
        <f>IFERROR(IF(MARÍTIMOS[[#This Row],[Etapa Ingreso - Atención]]="","",MARÍTIMOS[[#This Row],[Etapa Ingreso - Atención]]),"")</f>
        <v/>
      </c>
      <c r="AL570" s="11" t="str">
        <f>IFERROR(IF(MARÍTIMOS[[#This Row],[Etapa Ingreso - Salida]]="","",MARÍTIMOS[[#This Row],[Etapa Ingreso - Salida]]),"")</f>
        <v/>
      </c>
      <c r="AM570" s="2" t="str">
        <f>IFERROR(IF(MARÍTIMOS[[#This Row],[FCL]]="","",MARÍTIMOS[[#This Row],[FCL]]),"")</f>
        <v/>
      </c>
      <c r="AN5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0" s="4" t="str" cm="1">
        <f t="array" ref="AO5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0" s="5" t="str">
        <f>IFERROR(OLDBD[[#This Row],[Llegada a packing]]-OLDBD[[#This Row],[Inicio de Ruta]],"")</f>
        <v/>
      </c>
      <c r="AQ570" s="6" t="str">
        <f>IFERROR(OLDBD[[#This Row],[Inicio de Ruta]]-OLDBD[[#This Row],[Salida de almacén de retiro]],"")</f>
        <v/>
      </c>
      <c r="AR5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0" s="8" t="str" cm="1">
        <f t="array" ref="AS5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0" s="9" t="str">
        <f>IFERROR(OLDBD[[#This Row],[Ingreso Packing]]-OLDBD[[#This Row],[Registro en Packing]],"")</f>
        <v/>
      </c>
      <c r="AV570" s="9" t="str">
        <f>IFERROR(OLDBD[[#This Row],[Ingreso Packing]]-OLDBD[[#This Row],[Llegada a packing]],"")</f>
        <v/>
      </c>
      <c r="AW5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0" s="5" t="str">
        <f>IFERROR(OLDBD[[#This Row],[Llegada Almacén de Ingreso]]-OLDBD[[#This Row],[Salida Packing]],"")</f>
        <v/>
      </c>
      <c r="AY570" s="4" t="str" cm="1">
        <f t="array" ref="AY5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0" s="43" t="s">
        <v>173</v>
      </c>
      <c r="BB570" s="47" t="str">
        <f>IFERROR(IF(MARÍTIMOS[[#This Row],[Estatus]]="","",MARÍTIMOS[[#This Row],[Estatus]]),"")</f>
        <v/>
      </c>
      <c r="BC570" s="43"/>
      <c r="BD570" s="46" t="str">
        <f>IFERROR(OLDBD[[#This Row],[Salida de almacén de retiro]]-OLDBD[[#This Row],[Ingreso Almacén de retiro]],"")</f>
        <v/>
      </c>
      <c r="BE570" s="46" t="str">
        <f>IFERROR(OLDBD[[#This Row],[Fin de Carga]]-OLDBD[[#This Row],[Inicio de Carga]],"")</f>
        <v/>
      </c>
    </row>
    <row r="571" spans="1:57" customFormat="1" hidden="1">
      <c r="A571" s="1"/>
      <c r="B571" s="1" t="str">
        <f>IFERROR(IF(MARÍTIMOS[[#This Row],[PP]]="","",MARÍTIMOS[[#This Row],[PP]]),"")</f>
        <v/>
      </c>
      <c r="C571" s="1" t="str">
        <f>IFERROR(IF(MARÍTIMOS[[#This Row],[Sede]]="","",MARÍTIMOS[[#This Row],[Sede]]),"")</f>
        <v/>
      </c>
      <c r="D571" s="1" t="str">
        <f>IFERROR(IF(MARÍTIMOS[[#This Row],[Instruction]]="","",MARÍTIMOS[[#This Row],[Instruction]]),"")</f>
        <v/>
      </c>
      <c r="E571" s="1"/>
      <c r="F571" s="2" t="str">
        <f>IFERROR(IF(MARÍTIMOS[[#This Row],[Transportista]]="","",MARÍTIMOS[[#This Row],[Transportista]]),"")</f>
        <v/>
      </c>
      <c r="G571" s="2" t="str">
        <f>IFERROR(IF(MARÍTIMOS[[#This Row],[Tercero]]="","",MARÍTIMOS[[#This Row],[Tercero]]),"")</f>
        <v/>
      </c>
      <c r="H571" s="2" t="str">
        <f>IFERROR(IF(MARÍTIMOS[[#This Row],[Razón Social]]="","",MARÍTIMOS[[#This Row],[Razón Social]]),"")</f>
        <v/>
      </c>
      <c r="I571" s="2" t="str">
        <f>IFERROR(IF(MARÍTIMOS[[#This Row],[RUC]]="","",MARÍTIMOS[[#This Row],[RUC]]),"")</f>
        <v/>
      </c>
      <c r="J571" s="2" t="str">
        <f>IFERROR(IF(MARÍTIMOS[[#This Row],[Placa Tracto]]="","",MARÍTIMOS[[#This Row],[Placa Tracto]]),"")</f>
        <v/>
      </c>
      <c r="K571" s="2" t="str">
        <f>IFERROR(IF(MARÍTIMOS[[#This Row],[Placa Carreta]]="","",MARÍTIMOS[[#This Row],[Placa Carreta]]),"")</f>
        <v/>
      </c>
      <c r="L571" s="44" t="str">
        <f>IFERROR(IF(MARÍTIMOS[[#This Row],[Conductor]]="","",MARÍTIMOS[[#This Row],[Conductor]]),"")</f>
        <v/>
      </c>
      <c r="M571" s="2" t="str">
        <f>IFERROR(IF(MARÍTIMOS[[#This Row],[Licencia]]="","",MARÍTIMOS[[#This Row],[Licencia]]),"")</f>
        <v/>
      </c>
      <c r="N571" s="2" t="str">
        <f>IFERROR(IF(MARÍTIMOS[[#This Row],[Número de Contacto]]="","",MARÍTIMOS[[#This Row],[Número de Contacto]]),"")</f>
        <v/>
      </c>
      <c r="O571" s="10" t="str">
        <f>IFERROR(IF(MARÍTIMOS[[#This Row],[Booking|AWB|CRT]]="","",MARÍTIMOS[[#This Row],[Booking|AWB|CRT]]),"")</f>
        <v/>
      </c>
      <c r="P571" s="2" t="str">
        <f>IFERROR(IF(MARÍTIMOS[[#This Row],[Contenedor]]="","",MARÍTIMOS[[#This Row],[Contenedor]]),"")</f>
        <v/>
      </c>
      <c r="Q571" s="2" t="str">
        <f>IFERROR(IF(MARÍTIMOS[[#This Row],[Puerto de Retiro]]="","",MARÍTIMOS[[#This Row],[Puerto de Retiro]]),"")</f>
        <v/>
      </c>
      <c r="R571" s="2" t="str">
        <f>IFERROR(IF(MARÍTIMOS[[#This Row],[Almacén de Retiro]]="","",MARÍTIMOS[[#This Row],[Almacén de Retiro]]),"")</f>
        <v/>
      </c>
      <c r="S571" s="11" t="str">
        <f>IFERROR(IF(MARÍTIMOS[[#This Row],[Etapa Retiro - Cita]]="","",MARÍTIMOS[[#This Row],[Etapa Retiro - Cita]]),"")</f>
        <v/>
      </c>
      <c r="T571" s="11" t="str">
        <f>IFERROR(IF(MARÍTIMOS[[#This Row],[Etapa Retiro - Llegada]]="","",MARÍTIMOS[[#This Row],[Etapa Retiro - Llegada]]),"")</f>
        <v/>
      </c>
      <c r="U571" s="11" t="str">
        <f>IFERROR(IF(MARÍTIMOS[[#This Row],[Etapa Retiro - Ingreso]]="","",MARÍTIMOS[[#This Row],[Etapa Retiro - Ingreso]]),"")</f>
        <v/>
      </c>
      <c r="V571" s="11" t="str">
        <f>IFERROR(IF(MARÍTIMOS[[#This Row],[Etapa Retiro - Atención]]="","",MARÍTIMOS[[#This Row],[Etapa Retiro - Atención]]),"")</f>
        <v/>
      </c>
      <c r="W571" s="11" t="str">
        <f>IFERROR(IF(MARÍTIMOS[[#This Row],[Etapa Retiro - Atención]]="","",MARÍTIMOS[[#This Row],[Etapa Retiro - Atención]]),"")</f>
        <v/>
      </c>
      <c r="X571" s="11" t="str">
        <f>IFERROR(IF(MARÍTIMOS[[#This Row],[Etapa Retiro - Inicio de Ruta]]="","",MARÍTIMOS[[#This Row],[Etapa Retiro - Inicio de Ruta]]),"")</f>
        <v/>
      </c>
      <c r="Y571" s="11" t="str">
        <f>IFERROR(IF(MARÍTIMOS[[#This Row],[Hora de Posicionamiento]]="","",MARÍTIMOS[[#This Row],[Fecha de Carga]]+MARÍTIMOS[[#This Row],[Hora de Posicionamiento]]),"")</f>
        <v/>
      </c>
      <c r="Z571" s="11" t="str">
        <f>IFERROR(IF(MARÍTIMOS[[#This Row],[Etapa Despacho - Llegada]]="","",MARÍTIMOS[[#This Row],[Etapa Despacho - Llegada]]),"")</f>
        <v/>
      </c>
      <c r="AA571" s="11" t="str">
        <f>IFERROR(IF(MARÍTIMOS[[#This Row],[Etapa Despacho - Registro]]="","",MARÍTIMOS[[#This Row],[Etapa Despacho - Registro]]),"")</f>
        <v/>
      </c>
      <c r="AB571" s="11" t="str">
        <f>IFERROR(IF(MARÍTIMOS[[#This Row],[Inspección Externa]]="","",MARÍTIMOS[[#This Row],[Inspección Externa]]),"")</f>
        <v/>
      </c>
      <c r="AC571" s="11" t="str">
        <f>IFERROR(IF(MARÍTIMOS[[#This Row],[Etapa Despacho - Inicio de Carga]]="","",MARÍTIMOS[[#This Row],[Etapa Despacho - Inicio de Carga]]),"")</f>
        <v/>
      </c>
      <c r="AD571" s="11" t="str">
        <f>IFERROR(IF(MARÍTIMOS[[#This Row],[Etapa Despacho - Mitad de Carga]]="","",MARÍTIMOS[[#This Row],[Etapa Despacho - Mitad de Carga]]),"")</f>
        <v/>
      </c>
      <c r="AE571" s="11" t="str">
        <f>IFERROR(IF(MARÍTIMOS[[#This Row],[Etapa Despacho - Fin de Carga]]="","",MARÍTIMOS[[#This Row],[Etapa Despacho - Fin de Carga]]),"")</f>
        <v/>
      </c>
      <c r="AF571" s="2" t="str">
        <f>IFERROR(IF(MARÍTIMOS[[#This Row],[Puerto de Embarque]]="","",MARÍTIMOS[[#This Row],[Puerto de Embarque]]),"")</f>
        <v/>
      </c>
      <c r="AG571" s="2" t="str">
        <f>IFERROR(IF(MARÍTIMOS[[#This Row],[Almacén de Ingreso]]="","",MARÍTIMOS[[#This Row],[Almacén de Ingreso]]),"")</f>
        <v/>
      </c>
      <c r="AH571" s="11" t="str">
        <f>IFERROR(IF(MARÍTIMOS[[#This Row],[Etapa Ingreso - Cita]]="","",MARÍTIMOS[[#This Row],[Etapa Ingreso - Cita]]),"")</f>
        <v/>
      </c>
      <c r="AI571" s="11" t="str">
        <f>IFERROR(IF(MARÍTIMOS[[#This Row],[Etapa Ingreso - Llegada]]="","",MARÍTIMOS[[#This Row],[Etapa Ingreso - Llegada]]),"")</f>
        <v/>
      </c>
      <c r="AJ571" s="11" t="str">
        <f>IFERROR(IF(MARÍTIMOS[[#This Row],[Etapa Ingreso - Ingeso]]="","",MARÍTIMOS[[#This Row],[Etapa Ingreso - Ingeso]]),"")</f>
        <v/>
      </c>
      <c r="AK571" s="11" t="str">
        <f>IFERROR(IF(MARÍTIMOS[[#This Row],[Etapa Ingreso - Atención]]="","",MARÍTIMOS[[#This Row],[Etapa Ingreso - Atención]]),"")</f>
        <v/>
      </c>
      <c r="AL571" s="11" t="str">
        <f>IFERROR(IF(MARÍTIMOS[[#This Row],[Etapa Ingreso - Salida]]="","",MARÍTIMOS[[#This Row],[Etapa Ingreso - Salida]]),"")</f>
        <v/>
      </c>
      <c r="AM571" s="2" t="str">
        <f>IFERROR(IF(MARÍTIMOS[[#This Row],[FCL]]="","",MARÍTIMOS[[#This Row],[FCL]]),"")</f>
        <v/>
      </c>
      <c r="AN5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1" s="4" t="str" cm="1">
        <f t="array" ref="AO5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1" s="5" t="str">
        <f>IFERROR(OLDBD[[#This Row],[Llegada a packing]]-OLDBD[[#This Row],[Inicio de Ruta]],"")</f>
        <v/>
      </c>
      <c r="AQ571" s="6" t="str">
        <f>IFERROR(OLDBD[[#This Row],[Inicio de Ruta]]-OLDBD[[#This Row],[Salida de almacén de retiro]],"")</f>
        <v/>
      </c>
      <c r="AR5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1" s="8" t="str" cm="1">
        <f t="array" ref="AS5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1" s="9" t="str">
        <f>IFERROR(OLDBD[[#This Row],[Ingreso Packing]]-OLDBD[[#This Row],[Registro en Packing]],"")</f>
        <v/>
      </c>
      <c r="AV571" s="9" t="str">
        <f>IFERROR(OLDBD[[#This Row],[Ingreso Packing]]-OLDBD[[#This Row],[Llegada a packing]],"")</f>
        <v/>
      </c>
      <c r="AW5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1" s="5" t="str">
        <f>IFERROR(OLDBD[[#This Row],[Llegada Almacén de Ingreso]]-OLDBD[[#This Row],[Salida Packing]],"")</f>
        <v/>
      </c>
      <c r="AY571" s="4" t="str" cm="1">
        <f t="array" ref="AY5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1" s="43" t="s">
        <v>173</v>
      </c>
      <c r="BB571" s="47" t="str">
        <f>IFERROR(IF(MARÍTIMOS[[#This Row],[Estatus]]="","",MARÍTIMOS[[#This Row],[Estatus]]),"")</f>
        <v/>
      </c>
      <c r="BC571" s="43"/>
      <c r="BD571" s="46" t="str">
        <f>IFERROR(OLDBD[[#This Row],[Salida de almacén de retiro]]-OLDBD[[#This Row],[Ingreso Almacén de retiro]],"")</f>
        <v/>
      </c>
      <c r="BE571" s="46" t="str">
        <f>IFERROR(OLDBD[[#This Row],[Fin de Carga]]-OLDBD[[#This Row],[Inicio de Carga]],"")</f>
        <v/>
      </c>
    </row>
    <row r="572" spans="1:57" customFormat="1" hidden="1">
      <c r="A572" s="1"/>
      <c r="B572" s="1" t="str">
        <f>IFERROR(IF(MARÍTIMOS[[#This Row],[PP]]="","",MARÍTIMOS[[#This Row],[PP]]),"")</f>
        <v/>
      </c>
      <c r="C572" s="1" t="str">
        <f>IFERROR(IF(MARÍTIMOS[[#This Row],[Sede]]="","",MARÍTIMOS[[#This Row],[Sede]]),"")</f>
        <v/>
      </c>
      <c r="D572" s="1" t="str">
        <f>IFERROR(IF(MARÍTIMOS[[#This Row],[Instruction]]="","",MARÍTIMOS[[#This Row],[Instruction]]),"")</f>
        <v/>
      </c>
      <c r="E572" s="1"/>
      <c r="F572" s="2" t="str">
        <f>IFERROR(IF(MARÍTIMOS[[#This Row],[Transportista]]="","",MARÍTIMOS[[#This Row],[Transportista]]),"")</f>
        <v/>
      </c>
      <c r="G572" s="2" t="str">
        <f>IFERROR(IF(MARÍTIMOS[[#This Row],[Tercero]]="","",MARÍTIMOS[[#This Row],[Tercero]]),"")</f>
        <v/>
      </c>
      <c r="H572" s="2" t="str">
        <f>IFERROR(IF(MARÍTIMOS[[#This Row],[Razón Social]]="","",MARÍTIMOS[[#This Row],[Razón Social]]),"")</f>
        <v/>
      </c>
      <c r="I572" s="2" t="str">
        <f>IFERROR(IF(MARÍTIMOS[[#This Row],[RUC]]="","",MARÍTIMOS[[#This Row],[RUC]]),"")</f>
        <v/>
      </c>
      <c r="J572" s="2" t="str">
        <f>IFERROR(IF(MARÍTIMOS[[#This Row],[Placa Tracto]]="","",MARÍTIMOS[[#This Row],[Placa Tracto]]),"")</f>
        <v/>
      </c>
      <c r="K572" s="2" t="str">
        <f>IFERROR(IF(MARÍTIMOS[[#This Row],[Placa Carreta]]="","",MARÍTIMOS[[#This Row],[Placa Carreta]]),"")</f>
        <v/>
      </c>
      <c r="L572" s="44" t="str">
        <f>IFERROR(IF(MARÍTIMOS[[#This Row],[Conductor]]="","",MARÍTIMOS[[#This Row],[Conductor]]),"")</f>
        <v/>
      </c>
      <c r="M572" s="2" t="str">
        <f>IFERROR(IF(MARÍTIMOS[[#This Row],[Licencia]]="","",MARÍTIMOS[[#This Row],[Licencia]]),"")</f>
        <v/>
      </c>
      <c r="N572" s="2" t="str">
        <f>IFERROR(IF(MARÍTIMOS[[#This Row],[Número de Contacto]]="","",MARÍTIMOS[[#This Row],[Número de Contacto]]),"")</f>
        <v/>
      </c>
      <c r="O572" s="10" t="str">
        <f>IFERROR(IF(MARÍTIMOS[[#This Row],[Booking|AWB|CRT]]="","",MARÍTIMOS[[#This Row],[Booking|AWB|CRT]]),"")</f>
        <v/>
      </c>
      <c r="P572" s="2" t="str">
        <f>IFERROR(IF(MARÍTIMOS[[#This Row],[Contenedor]]="","",MARÍTIMOS[[#This Row],[Contenedor]]),"")</f>
        <v/>
      </c>
      <c r="Q572" s="2" t="str">
        <f>IFERROR(IF(MARÍTIMOS[[#This Row],[Puerto de Retiro]]="","",MARÍTIMOS[[#This Row],[Puerto de Retiro]]),"")</f>
        <v/>
      </c>
      <c r="R572" s="2" t="str">
        <f>IFERROR(IF(MARÍTIMOS[[#This Row],[Almacén de Retiro]]="","",MARÍTIMOS[[#This Row],[Almacén de Retiro]]),"")</f>
        <v/>
      </c>
      <c r="S572" s="11" t="str">
        <f>IFERROR(IF(MARÍTIMOS[[#This Row],[Etapa Retiro - Cita]]="","",MARÍTIMOS[[#This Row],[Etapa Retiro - Cita]]),"")</f>
        <v/>
      </c>
      <c r="T572" s="11" t="str">
        <f>IFERROR(IF(MARÍTIMOS[[#This Row],[Etapa Retiro - Llegada]]="","",MARÍTIMOS[[#This Row],[Etapa Retiro - Llegada]]),"")</f>
        <v/>
      </c>
      <c r="U572" s="11" t="str">
        <f>IFERROR(IF(MARÍTIMOS[[#This Row],[Etapa Retiro - Ingreso]]="","",MARÍTIMOS[[#This Row],[Etapa Retiro - Ingreso]]),"")</f>
        <v/>
      </c>
      <c r="V572" s="11" t="str">
        <f>IFERROR(IF(MARÍTIMOS[[#This Row],[Etapa Retiro - Atención]]="","",MARÍTIMOS[[#This Row],[Etapa Retiro - Atención]]),"")</f>
        <v/>
      </c>
      <c r="W572" s="11" t="str">
        <f>IFERROR(IF(MARÍTIMOS[[#This Row],[Etapa Retiro - Atención]]="","",MARÍTIMOS[[#This Row],[Etapa Retiro - Atención]]),"")</f>
        <v/>
      </c>
      <c r="X572" s="11" t="str">
        <f>IFERROR(IF(MARÍTIMOS[[#This Row],[Etapa Retiro - Inicio de Ruta]]="","",MARÍTIMOS[[#This Row],[Etapa Retiro - Inicio de Ruta]]),"")</f>
        <v/>
      </c>
      <c r="Y572" s="11" t="str">
        <f>IFERROR(IF(MARÍTIMOS[[#This Row],[Hora de Posicionamiento]]="","",MARÍTIMOS[[#This Row],[Fecha de Carga]]+MARÍTIMOS[[#This Row],[Hora de Posicionamiento]]),"")</f>
        <v/>
      </c>
      <c r="Z572" s="11" t="str">
        <f>IFERROR(IF(MARÍTIMOS[[#This Row],[Etapa Despacho - Llegada]]="","",MARÍTIMOS[[#This Row],[Etapa Despacho - Llegada]]),"")</f>
        <v/>
      </c>
      <c r="AA572" s="11" t="str">
        <f>IFERROR(IF(MARÍTIMOS[[#This Row],[Etapa Despacho - Registro]]="","",MARÍTIMOS[[#This Row],[Etapa Despacho - Registro]]),"")</f>
        <v/>
      </c>
      <c r="AB572" s="11" t="str">
        <f>IFERROR(IF(MARÍTIMOS[[#This Row],[Inspección Externa]]="","",MARÍTIMOS[[#This Row],[Inspección Externa]]),"")</f>
        <v/>
      </c>
      <c r="AC572" s="11" t="str">
        <f>IFERROR(IF(MARÍTIMOS[[#This Row],[Etapa Despacho - Inicio de Carga]]="","",MARÍTIMOS[[#This Row],[Etapa Despacho - Inicio de Carga]]),"")</f>
        <v/>
      </c>
      <c r="AD572" s="11" t="str">
        <f>IFERROR(IF(MARÍTIMOS[[#This Row],[Etapa Despacho - Mitad de Carga]]="","",MARÍTIMOS[[#This Row],[Etapa Despacho - Mitad de Carga]]),"")</f>
        <v/>
      </c>
      <c r="AE572" s="11" t="str">
        <f>IFERROR(IF(MARÍTIMOS[[#This Row],[Etapa Despacho - Fin de Carga]]="","",MARÍTIMOS[[#This Row],[Etapa Despacho - Fin de Carga]]),"")</f>
        <v/>
      </c>
      <c r="AF572" s="2" t="str">
        <f>IFERROR(IF(MARÍTIMOS[[#This Row],[Puerto de Embarque]]="","",MARÍTIMOS[[#This Row],[Puerto de Embarque]]),"")</f>
        <v/>
      </c>
      <c r="AG572" s="2" t="str">
        <f>IFERROR(IF(MARÍTIMOS[[#This Row],[Almacén de Ingreso]]="","",MARÍTIMOS[[#This Row],[Almacén de Ingreso]]),"")</f>
        <v/>
      </c>
      <c r="AH572" s="11" t="str">
        <f>IFERROR(IF(MARÍTIMOS[[#This Row],[Etapa Ingreso - Cita]]="","",MARÍTIMOS[[#This Row],[Etapa Ingreso - Cita]]),"")</f>
        <v/>
      </c>
      <c r="AI572" s="11" t="str">
        <f>IFERROR(IF(MARÍTIMOS[[#This Row],[Etapa Ingreso - Llegada]]="","",MARÍTIMOS[[#This Row],[Etapa Ingreso - Llegada]]),"")</f>
        <v/>
      </c>
      <c r="AJ572" s="11" t="str">
        <f>IFERROR(IF(MARÍTIMOS[[#This Row],[Etapa Ingreso - Ingeso]]="","",MARÍTIMOS[[#This Row],[Etapa Ingreso - Ingeso]]),"")</f>
        <v/>
      </c>
      <c r="AK572" s="11" t="str">
        <f>IFERROR(IF(MARÍTIMOS[[#This Row],[Etapa Ingreso - Atención]]="","",MARÍTIMOS[[#This Row],[Etapa Ingreso - Atención]]),"")</f>
        <v/>
      </c>
      <c r="AL572" s="11" t="str">
        <f>IFERROR(IF(MARÍTIMOS[[#This Row],[Etapa Ingreso - Salida]]="","",MARÍTIMOS[[#This Row],[Etapa Ingreso - Salida]]),"")</f>
        <v/>
      </c>
      <c r="AM572" s="2" t="str">
        <f>IFERROR(IF(MARÍTIMOS[[#This Row],[FCL]]="","",MARÍTIMOS[[#This Row],[FCL]]),"")</f>
        <v/>
      </c>
      <c r="AN5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2" s="4" t="str" cm="1">
        <f t="array" ref="AO5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2" s="5" t="str">
        <f>IFERROR(OLDBD[[#This Row],[Llegada a packing]]-OLDBD[[#This Row],[Inicio de Ruta]],"")</f>
        <v/>
      </c>
      <c r="AQ572" s="6" t="str">
        <f>IFERROR(OLDBD[[#This Row],[Inicio de Ruta]]-OLDBD[[#This Row],[Salida de almacén de retiro]],"")</f>
        <v/>
      </c>
      <c r="AR5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2" s="8" t="str" cm="1">
        <f t="array" ref="AS5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2" s="9" t="str">
        <f>IFERROR(OLDBD[[#This Row],[Ingreso Packing]]-OLDBD[[#This Row],[Registro en Packing]],"")</f>
        <v/>
      </c>
      <c r="AV572" s="9" t="str">
        <f>IFERROR(OLDBD[[#This Row],[Ingreso Packing]]-OLDBD[[#This Row],[Llegada a packing]],"")</f>
        <v/>
      </c>
      <c r="AW5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2" s="5" t="str">
        <f>IFERROR(OLDBD[[#This Row],[Llegada Almacén de Ingreso]]-OLDBD[[#This Row],[Salida Packing]],"")</f>
        <v/>
      </c>
      <c r="AY572" s="4" t="str" cm="1">
        <f t="array" ref="AY5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2" s="43" t="s">
        <v>173</v>
      </c>
      <c r="BB572" s="47" t="str">
        <f>IFERROR(IF(MARÍTIMOS[[#This Row],[Estatus]]="","",MARÍTIMOS[[#This Row],[Estatus]]),"")</f>
        <v/>
      </c>
      <c r="BC572" s="43"/>
      <c r="BD572" s="46" t="str">
        <f>IFERROR(OLDBD[[#This Row],[Salida de almacén de retiro]]-OLDBD[[#This Row],[Ingreso Almacén de retiro]],"")</f>
        <v/>
      </c>
      <c r="BE572" s="46" t="str">
        <f>IFERROR(OLDBD[[#This Row],[Fin de Carga]]-OLDBD[[#This Row],[Inicio de Carga]],"")</f>
        <v/>
      </c>
    </row>
    <row r="573" spans="1:57" customFormat="1" hidden="1">
      <c r="A573" s="1"/>
      <c r="B573" s="1" t="str">
        <f>IFERROR(IF(MARÍTIMOS[[#This Row],[PP]]="","",MARÍTIMOS[[#This Row],[PP]]),"")</f>
        <v/>
      </c>
      <c r="C573" s="1" t="str">
        <f>IFERROR(IF(MARÍTIMOS[[#This Row],[Sede]]="","",MARÍTIMOS[[#This Row],[Sede]]),"")</f>
        <v/>
      </c>
      <c r="D573" s="1" t="str">
        <f>IFERROR(IF(MARÍTIMOS[[#This Row],[Instruction]]="","",MARÍTIMOS[[#This Row],[Instruction]]),"")</f>
        <v/>
      </c>
      <c r="E573" s="1"/>
      <c r="F573" s="2" t="str">
        <f>IFERROR(IF(MARÍTIMOS[[#This Row],[Transportista]]="","",MARÍTIMOS[[#This Row],[Transportista]]),"")</f>
        <v/>
      </c>
      <c r="G573" s="2" t="str">
        <f>IFERROR(IF(MARÍTIMOS[[#This Row],[Tercero]]="","",MARÍTIMOS[[#This Row],[Tercero]]),"")</f>
        <v/>
      </c>
      <c r="H573" s="2" t="str">
        <f>IFERROR(IF(MARÍTIMOS[[#This Row],[Razón Social]]="","",MARÍTIMOS[[#This Row],[Razón Social]]),"")</f>
        <v/>
      </c>
      <c r="I573" s="2" t="str">
        <f>IFERROR(IF(MARÍTIMOS[[#This Row],[RUC]]="","",MARÍTIMOS[[#This Row],[RUC]]),"")</f>
        <v/>
      </c>
      <c r="J573" s="2" t="str">
        <f>IFERROR(IF(MARÍTIMOS[[#This Row],[Placa Tracto]]="","",MARÍTIMOS[[#This Row],[Placa Tracto]]),"")</f>
        <v/>
      </c>
      <c r="K573" s="2" t="str">
        <f>IFERROR(IF(MARÍTIMOS[[#This Row],[Placa Carreta]]="","",MARÍTIMOS[[#This Row],[Placa Carreta]]),"")</f>
        <v/>
      </c>
      <c r="L573" s="44" t="str">
        <f>IFERROR(IF(MARÍTIMOS[[#This Row],[Conductor]]="","",MARÍTIMOS[[#This Row],[Conductor]]),"")</f>
        <v/>
      </c>
      <c r="M573" s="2" t="str">
        <f>IFERROR(IF(MARÍTIMOS[[#This Row],[Licencia]]="","",MARÍTIMOS[[#This Row],[Licencia]]),"")</f>
        <v/>
      </c>
      <c r="N573" s="2" t="str">
        <f>IFERROR(IF(MARÍTIMOS[[#This Row],[Número de Contacto]]="","",MARÍTIMOS[[#This Row],[Número de Contacto]]),"")</f>
        <v/>
      </c>
      <c r="O573" s="10" t="str">
        <f>IFERROR(IF(MARÍTIMOS[[#This Row],[Booking|AWB|CRT]]="","",MARÍTIMOS[[#This Row],[Booking|AWB|CRT]]),"")</f>
        <v/>
      </c>
      <c r="P573" s="2" t="str">
        <f>IFERROR(IF(MARÍTIMOS[[#This Row],[Contenedor]]="","",MARÍTIMOS[[#This Row],[Contenedor]]),"")</f>
        <v/>
      </c>
      <c r="Q573" s="2" t="str">
        <f>IFERROR(IF(MARÍTIMOS[[#This Row],[Puerto de Retiro]]="","",MARÍTIMOS[[#This Row],[Puerto de Retiro]]),"")</f>
        <v/>
      </c>
      <c r="R573" s="2" t="str">
        <f>IFERROR(IF(MARÍTIMOS[[#This Row],[Almacén de Retiro]]="","",MARÍTIMOS[[#This Row],[Almacén de Retiro]]),"")</f>
        <v/>
      </c>
      <c r="S573" s="11" t="str">
        <f>IFERROR(IF(MARÍTIMOS[[#This Row],[Etapa Retiro - Cita]]="","",MARÍTIMOS[[#This Row],[Etapa Retiro - Cita]]),"")</f>
        <v/>
      </c>
      <c r="T573" s="11" t="str">
        <f>IFERROR(IF(MARÍTIMOS[[#This Row],[Etapa Retiro - Llegada]]="","",MARÍTIMOS[[#This Row],[Etapa Retiro - Llegada]]),"")</f>
        <v/>
      </c>
      <c r="U573" s="11" t="str">
        <f>IFERROR(IF(MARÍTIMOS[[#This Row],[Etapa Retiro - Ingreso]]="","",MARÍTIMOS[[#This Row],[Etapa Retiro - Ingreso]]),"")</f>
        <v/>
      </c>
      <c r="V573" s="11" t="str">
        <f>IFERROR(IF(MARÍTIMOS[[#This Row],[Etapa Retiro - Atención]]="","",MARÍTIMOS[[#This Row],[Etapa Retiro - Atención]]),"")</f>
        <v/>
      </c>
      <c r="W573" s="11" t="str">
        <f>IFERROR(IF(MARÍTIMOS[[#This Row],[Etapa Retiro - Atención]]="","",MARÍTIMOS[[#This Row],[Etapa Retiro - Atención]]),"")</f>
        <v/>
      </c>
      <c r="X573" s="11" t="str">
        <f>IFERROR(IF(MARÍTIMOS[[#This Row],[Etapa Retiro - Inicio de Ruta]]="","",MARÍTIMOS[[#This Row],[Etapa Retiro - Inicio de Ruta]]),"")</f>
        <v/>
      </c>
      <c r="Y573" s="11" t="str">
        <f>IFERROR(IF(MARÍTIMOS[[#This Row],[Hora de Posicionamiento]]="","",MARÍTIMOS[[#This Row],[Fecha de Carga]]+MARÍTIMOS[[#This Row],[Hora de Posicionamiento]]),"")</f>
        <v/>
      </c>
      <c r="Z573" s="11" t="str">
        <f>IFERROR(IF(MARÍTIMOS[[#This Row],[Etapa Despacho - Llegada]]="","",MARÍTIMOS[[#This Row],[Etapa Despacho - Llegada]]),"")</f>
        <v/>
      </c>
      <c r="AA573" s="11" t="str">
        <f>IFERROR(IF(MARÍTIMOS[[#This Row],[Etapa Despacho - Registro]]="","",MARÍTIMOS[[#This Row],[Etapa Despacho - Registro]]),"")</f>
        <v/>
      </c>
      <c r="AB573" s="11" t="str">
        <f>IFERROR(IF(MARÍTIMOS[[#This Row],[Inspección Externa]]="","",MARÍTIMOS[[#This Row],[Inspección Externa]]),"")</f>
        <v/>
      </c>
      <c r="AC573" s="11" t="str">
        <f>IFERROR(IF(MARÍTIMOS[[#This Row],[Etapa Despacho - Inicio de Carga]]="","",MARÍTIMOS[[#This Row],[Etapa Despacho - Inicio de Carga]]),"")</f>
        <v/>
      </c>
      <c r="AD573" s="11" t="str">
        <f>IFERROR(IF(MARÍTIMOS[[#This Row],[Etapa Despacho - Mitad de Carga]]="","",MARÍTIMOS[[#This Row],[Etapa Despacho - Mitad de Carga]]),"")</f>
        <v/>
      </c>
      <c r="AE573" s="11" t="str">
        <f>IFERROR(IF(MARÍTIMOS[[#This Row],[Etapa Despacho - Fin de Carga]]="","",MARÍTIMOS[[#This Row],[Etapa Despacho - Fin de Carga]]),"")</f>
        <v/>
      </c>
      <c r="AF573" s="2" t="str">
        <f>IFERROR(IF(MARÍTIMOS[[#This Row],[Puerto de Embarque]]="","",MARÍTIMOS[[#This Row],[Puerto de Embarque]]),"")</f>
        <v/>
      </c>
      <c r="AG573" s="2" t="str">
        <f>IFERROR(IF(MARÍTIMOS[[#This Row],[Almacén de Ingreso]]="","",MARÍTIMOS[[#This Row],[Almacén de Ingreso]]),"")</f>
        <v/>
      </c>
      <c r="AH573" s="11" t="str">
        <f>IFERROR(IF(MARÍTIMOS[[#This Row],[Etapa Ingreso - Cita]]="","",MARÍTIMOS[[#This Row],[Etapa Ingreso - Cita]]),"")</f>
        <v/>
      </c>
      <c r="AI573" s="11" t="str">
        <f>IFERROR(IF(MARÍTIMOS[[#This Row],[Etapa Ingreso - Llegada]]="","",MARÍTIMOS[[#This Row],[Etapa Ingreso - Llegada]]),"")</f>
        <v/>
      </c>
      <c r="AJ573" s="11" t="str">
        <f>IFERROR(IF(MARÍTIMOS[[#This Row],[Etapa Ingreso - Ingeso]]="","",MARÍTIMOS[[#This Row],[Etapa Ingreso - Ingeso]]),"")</f>
        <v/>
      </c>
      <c r="AK573" s="11" t="str">
        <f>IFERROR(IF(MARÍTIMOS[[#This Row],[Etapa Ingreso - Atención]]="","",MARÍTIMOS[[#This Row],[Etapa Ingreso - Atención]]),"")</f>
        <v/>
      </c>
      <c r="AL573" s="11" t="str">
        <f>IFERROR(IF(MARÍTIMOS[[#This Row],[Etapa Ingreso - Salida]]="","",MARÍTIMOS[[#This Row],[Etapa Ingreso - Salida]]),"")</f>
        <v/>
      </c>
      <c r="AM573" s="2" t="str">
        <f>IFERROR(IF(MARÍTIMOS[[#This Row],[FCL]]="","",MARÍTIMOS[[#This Row],[FCL]]),"")</f>
        <v/>
      </c>
      <c r="AN5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3" s="4" t="str" cm="1">
        <f t="array" ref="AO5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3" s="5" t="str">
        <f>IFERROR(OLDBD[[#This Row],[Llegada a packing]]-OLDBD[[#This Row],[Inicio de Ruta]],"")</f>
        <v/>
      </c>
      <c r="AQ573" s="6" t="str">
        <f>IFERROR(OLDBD[[#This Row],[Inicio de Ruta]]-OLDBD[[#This Row],[Salida de almacén de retiro]],"")</f>
        <v/>
      </c>
      <c r="AR5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3" s="8" t="str" cm="1">
        <f t="array" ref="AS5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3" s="9" t="str">
        <f>IFERROR(OLDBD[[#This Row],[Ingreso Packing]]-OLDBD[[#This Row],[Registro en Packing]],"")</f>
        <v/>
      </c>
      <c r="AV573" s="9" t="str">
        <f>IFERROR(OLDBD[[#This Row],[Ingreso Packing]]-OLDBD[[#This Row],[Llegada a packing]],"")</f>
        <v/>
      </c>
      <c r="AW5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3" s="5" t="str">
        <f>IFERROR(OLDBD[[#This Row],[Llegada Almacén de Ingreso]]-OLDBD[[#This Row],[Salida Packing]],"")</f>
        <v/>
      </c>
      <c r="AY573" s="4" t="str" cm="1">
        <f t="array" ref="AY5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3" s="43" t="s">
        <v>173</v>
      </c>
      <c r="BB573" s="47" t="str">
        <f>IFERROR(IF(MARÍTIMOS[[#This Row],[Estatus]]="","",MARÍTIMOS[[#This Row],[Estatus]]),"")</f>
        <v/>
      </c>
      <c r="BC573" s="43"/>
      <c r="BD573" s="46" t="str">
        <f>IFERROR(OLDBD[[#This Row],[Salida de almacén de retiro]]-OLDBD[[#This Row],[Ingreso Almacén de retiro]],"")</f>
        <v/>
      </c>
      <c r="BE573" s="46" t="str">
        <f>IFERROR(OLDBD[[#This Row],[Fin de Carga]]-OLDBD[[#This Row],[Inicio de Carga]],"")</f>
        <v/>
      </c>
    </row>
    <row r="574" spans="1:57" customFormat="1" hidden="1">
      <c r="A574" s="1"/>
      <c r="B574" s="1" t="str">
        <f>IFERROR(IF(MARÍTIMOS[[#This Row],[PP]]="","",MARÍTIMOS[[#This Row],[PP]]),"")</f>
        <v/>
      </c>
      <c r="C574" s="1" t="str">
        <f>IFERROR(IF(MARÍTIMOS[[#This Row],[Sede]]="","",MARÍTIMOS[[#This Row],[Sede]]),"")</f>
        <v/>
      </c>
      <c r="D574" s="1" t="str">
        <f>IFERROR(IF(MARÍTIMOS[[#This Row],[Instruction]]="","",MARÍTIMOS[[#This Row],[Instruction]]),"")</f>
        <v/>
      </c>
      <c r="E574" s="1"/>
      <c r="F574" s="2" t="str">
        <f>IFERROR(IF(MARÍTIMOS[[#This Row],[Transportista]]="","",MARÍTIMOS[[#This Row],[Transportista]]),"")</f>
        <v/>
      </c>
      <c r="G574" s="2" t="str">
        <f>IFERROR(IF(MARÍTIMOS[[#This Row],[Tercero]]="","",MARÍTIMOS[[#This Row],[Tercero]]),"")</f>
        <v/>
      </c>
      <c r="H574" s="2" t="str">
        <f>IFERROR(IF(MARÍTIMOS[[#This Row],[Razón Social]]="","",MARÍTIMOS[[#This Row],[Razón Social]]),"")</f>
        <v/>
      </c>
      <c r="I574" s="2" t="str">
        <f>IFERROR(IF(MARÍTIMOS[[#This Row],[RUC]]="","",MARÍTIMOS[[#This Row],[RUC]]),"")</f>
        <v/>
      </c>
      <c r="J574" s="2" t="str">
        <f>IFERROR(IF(MARÍTIMOS[[#This Row],[Placa Tracto]]="","",MARÍTIMOS[[#This Row],[Placa Tracto]]),"")</f>
        <v/>
      </c>
      <c r="K574" s="2" t="str">
        <f>IFERROR(IF(MARÍTIMOS[[#This Row],[Placa Carreta]]="","",MARÍTIMOS[[#This Row],[Placa Carreta]]),"")</f>
        <v/>
      </c>
      <c r="L574" s="44" t="str">
        <f>IFERROR(IF(MARÍTIMOS[[#This Row],[Conductor]]="","",MARÍTIMOS[[#This Row],[Conductor]]),"")</f>
        <v/>
      </c>
      <c r="M574" s="2" t="str">
        <f>IFERROR(IF(MARÍTIMOS[[#This Row],[Licencia]]="","",MARÍTIMOS[[#This Row],[Licencia]]),"")</f>
        <v/>
      </c>
      <c r="N574" s="2" t="str">
        <f>IFERROR(IF(MARÍTIMOS[[#This Row],[Número de Contacto]]="","",MARÍTIMOS[[#This Row],[Número de Contacto]]),"")</f>
        <v/>
      </c>
      <c r="O574" s="10" t="str">
        <f>IFERROR(IF(MARÍTIMOS[[#This Row],[Booking|AWB|CRT]]="","",MARÍTIMOS[[#This Row],[Booking|AWB|CRT]]),"")</f>
        <v/>
      </c>
      <c r="P574" s="2" t="str">
        <f>IFERROR(IF(MARÍTIMOS[[#This Row],[Contenedor]]="","",MARÍTIMOS[[#This Row],[Contenedor]]),"")</f>
        <v/>
      </c>
      <c r="Q574" s="2" t="str">
        <f>IFERROR(IF(MARÍTIMOS[[#This Row],[Puerto de Retiro]]="","",MARÍTIMOS[[#This Row],[Puerto de Retiro]]),"")</f>
        <v/>
      </c>
      <c r="R574" s="2" t="str">
        <f>IFERROR(IF(MARÍTIMOS[[#This Row],[Almacén de Retiro]]="","",MARÍTIMOS[[#This Row],[Almacén de Retiro]]),"")</f>
        <v/>
      </c>
      <c r="S574" s="11" t="str">
        <f>IFERROR(IF(MARÍTIMOS[[#This Row],[Etapa Retiro - Cita]]="","",MARÍTIMOS[[#This Row],[Etapa Retiro - Cita]]),"")</f>
        <v/>
      </c>
      <c r="T574" s="11" t="str">
        <f>IFERROR(IF(MARÍTIMOS[[#This Row],[Etapa Retiro - Llegada]]="","",MARÍTIMOS[[#This Row],[Etapa Retiro - Llegada]]),"")</f>
        <v/>
      </c>
      <c r="U574" s="11" t="str">
        <f>IFERROR(IF(MARÍTIMOS[[#This Row],[Etapa Retiro - Ingreso]]="","",MARÍTIMOS[[#This Row],[Etapa Retiro - Ingreso]]),"")</f>
        <v/>
      </c>
      <c r="V574" s="11" t="str">
        <f>IFERROR(IF(MARÍTIMOS[[#This Row],[Etapa Retiro - Atención]]="","",MARÍTIMOS[[#This Row],[Etapa Retiro - Atención]]),"")</f>
        <v/>
      </c>
      <c r="W574" s="11" t="str">
        <f>IFERROR(IF(MARÍTIMOS[[#This Row],[Etapa Retiro - Atención]]="","",MARÍTIMOS[[#This Row],[Etapa Retiro - Atención]]),"")</f>
        <v/>
      </c>
      <c r="X574" s="11" t="str">
        <f>IFERROR(IF(MARÍTIMOS[[#This Row],[Etapa Retiro - Inicio de Ruta]]="","",MARÍTIMOS[[#This Row],[Etapa Retiro - Inicio de Ruta]]),"")</f>
        <v/>
      </c>
      <c r="Y574" s="11" t="str">
        <f>IFERROR(IF(MARÍTIMOS[[#This Row],[Hora de Posicionamiento]]="","",MARÍTIMOS[[#This Row],[Fecha de Carga]]+MARÍTIMOS[[#This Row],[Hora de Posicionamiento]]),"")</f>
        <v/>
      </c>
      <c r="Z574" s="11" t="str">
        <f>IFERROR(IF(MARÍTIMOS[[#This Row],[Etapa Despacho - Llegada]]="","",MARÍTIMOS[[#This Row],[Etapa Despacho - Llegada]]),"")</f>
        <v/>
      </c>
      <c r="AA574" s="11" t="str">
        <f>IFERROR(IF(MARÍTIMOS[[#This Row],[Etapa Despacho - Registro]]="","",MARÍTIMOS[[#This Row],[Etapa Despacho - Registro]]),"")</f>
        <v/>
      </c>
      <c r="AB574" s="11" t="str">
        <f>IFERROR(IF(MARÍTIMOS[[#This Row],[Inspección Externa]]="","",MARÍTIMOS[[#This Row],[Inspección Externa]]),"")</f>
        <v/>
      </c>
      <c r="AC574" s="11" t="str">
        <f>IFERROR(IF(MARÍTIMOS[[#This Row],[Etapa Despacho - Inicio de Carga]]="","",MARÍTIMOS[[#This Row],[Etapa Despacho - Inicio de Carga]]),"")</f>
        <v/>
      </c>
      <c r="AD574" s="11" t="str">
        <f>IFERROR(IF(MARÍTIMOS[[#This Row],[Etapa Despacho - Mitad de Carga]]="","",MARÍTIMOS[[#This Row],[Etapa Despacho - Mitad de Carga]]),"")</f>
        <v/>
      </c>
      <c r="AE574" s="11" t="str">
        <f>IFERROR(IF(MARÍTIMOS[[#This Row],[Etapa Despacho - Fin de Carga]]="","",MARÍTIMOS[[#This Row],[Etapa Despacho - Fin de Carga]]),"")</f>
        <v/>
      </c>
      <c r="AF574" s="2" t="str">
        <f>IFERROR(IF(MARÍTIMOS[[#This Row],[Puerto de Embarque]]="","",MARÍTIMOS[[#This Row],[Puerto de Embarque]]),"")</f>
        <v/>
      </c>
      <c r="AG574" s="2" t="str">
        <f>IFERROR(IF(MARÍTIMOS[[#This Row],[Almacén de Ingreso]]="","",MARÍTIMOS[[#This Row],[Almacén de Ingreso]]),"")</f>
        <v/>
      </c>
      <c r="AH574" s="11" t="str">
        <f>IFERROR(IF(MARÍTIMOS[[#This Row],[Etapa Ingreso - Cita]]="","",MARÍTIMOS[[#This Row],[Etapa Ingreso - Cita]]),"")</f>
        <v/>
      </c>
      <c r="AI574" s="11" t="str">
        <f>IFERROR(IF(MARÍTIMOS[[#This Row],[Etapa Ingreso - Llegada]]="","",MARÍTIMOS[[#This Row],[Etapa Ingreso - Llegada]]),"")</f>
        <v/>
      </c>
      <c r="AJ574" s="11" t="str">
        <f>IFERROR(IF(MARÍTIMOS[[#This Row],[Etapa Ingreso - Ingeso]]="","",MARÍTIMOS[[#This Row],[Etapa Ingreso - Ingeso]]),"")</f>
        <v/>
      </c>
      <c r="AK574" s="11" t="str">
        <f>IFERROR(IF(MARÍTIMOS[[#This Row],[Etapa Ingreso - Atención]]="","",MARÍTIMOS[[#This Row],[Etapa Ingreso - Atención]]),"")</f>
        <v/>
      </c>
      <c r="AL574" s="11" t="str">
        <f>IFERROR(IF(MARÍTIMOS[[#This Row],[Etapa Ingreso - Salida]]="","",MARÍTIMOS[[#This Row],[Etapa Ingreso - Salida]]),"")</f>
        <v/>
      </c>
      <c r="AM574" s="2" t="str">
        <f>IFERROR(IF(MARÍTIMOS[[#This Row],[FCL]]="","",MARÍTIMOS[[#This Row],[FCL]]),"")</f>
        <v/>
      </c>
      <c r="AN5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4" s="4" t="str" cm="1">
        <f t="array" ref="AO5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4" s="5" t="str">
        <f>IFERROR(OLDBD[[#This Row],[Llegada a packing]]-OLDBD[[#This Row],[Inicio de Ruta]],"")</f>
        <v/>
      </c>
      <c r="AQ574" s="6" t="str">
        <f>IFERROR(OLDBD[[#This Row],[Inicio de Ruta]]-OLDBD[[#This Row],[Salida de almacén de retiro]],"")</f>
        <v/>
      </c>
      <c r="AR5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4" s="8" t="str" cm="1">
        <f t="array" ref="AS5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4" s="9" t="str">
        <f>IFERROR(OLDBD[[#This Row],[Ingreso Packing]]-OLDBD[[#This Row],[Registro en Packing]],"")</f>
        <v/>
      </c>
      <c r="AV574" s="9" t="str">
        <f>IFERROR(OLDBD[[#This Row],[Ingreso Packing]]-OLDBD[[#This Row],[Llegada a packing]],"")</f>
        <v/>
      </c>
      <c r="AW5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4" s="5" t="str">
        <f>IFERROR(OLDBD[[#This Row],[Llegada Almacén de Ingreso]]-OLDBD[[#This Row],[Salida Packing]],"")</f>
        <v/>
      </c>
      <c r="AY574" s="4" t="str" cm="1">
        <f t="array" ref="AY5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4" s="43" t="s">
        <v>173</v>
      </c>
      <c r="BB574" s="47" t="str">
        <f>IFERROR(IF(MARÍTIMOS[[#This Row],[Estatus]]="","",MARÍTIMOS[[#This Row],[Estatus]]),"")</f>
        <v/>
      </c>
      <c r="BC574" s="43"/>
      <c r="BD574" s="46" t="str">
        <f>IFERROR(OLDBD[[#This Row],[Salida de almacén de retiro]]-OLDBD[[#This Row],[Ingreso Almacén de retiro]],"")</f>
        <v/>
      </c>
      <c r="BE574" s="46" t="str">
        <f>IFERROR(OLDBD[[#This Row],[Fin de Carga]]-OLDBD[[#This Row],[Inicio de Carga]],"")</f>
        <v/>
      </c>
    </row>
    <row r="575" spans="1:57" customFormat="1" hidden="1">
      <c r="A575" s="1"/>
      <c r="B575" s="1" t="str">
        <f>IFERROR(IF(MARÍTIMOS[[#This Row],[PP]]="","",MARÍTIMOS[[#This Row],[PP]]),"")</f>
        <v/>
      </c>
      <c r="C575" s="1" t="str">
        <f>IFERROR(IF(MARÍTIMOS[[#This Row],[Sede]]="","",MARÍTIMOS[[#This Row],[Sede]]),"")</f>
        <v/>
      </c>
      <c r="D575" s="1" t="str">
        <f>IFERROR(IF(MARÍTIMOS[[#This Row],[Instruction]]="","",MARÍTIMOS[[#This Row],[Instruction]]),"")</f>
        <v/>
      </c>
      <c r="E575" s="1"/>
      <c r="F575" s="2" t="str">
        <f>IFERROR(IF(MARÍTIMOS[[#This Row],[Transportista]]="","",MARÍTIMOS[[#This Row],[Transportista]]),"")</f>
        <v/>
      </c>
      <c r="G575" s="2" t="str">
        <f>IFERROR(IF(MARÍTIMOS[[#This Row],[Tercero]]="","",MARÍTIMOS[[#This Row],[Tercero]]),"")</f>
        <v/>
      </c>
      <c r="H575" s="2" t="str">
        <f>IFERROR(IF(MARÍTIMOS[[#This Row],[Razón Social]]="","",MARÍTIMOS[[#This Row],[Razón Social]]),"")</f>
        <v/>
      </c>
      <c r="I575" s="2" t="str">
        <f>IFERROR(IF(MARÍTIMOS[[#This Row],[RUC]]="","",MARÍTIMOS[[#This Row],[RUC]]),"")</f>
        <v/>
      </c>
      <c r="J575" s="2" t="str">
        <f>IFERROR(IF(MARÍTIMOS[[#This Row],[Placa Tracto]]="","",MARÍTIMOS[[#This Row],[Placa Tracto]]),"")</f>
        <v/>
      </c>
      <c r="K575" s="2" t="str">
        <f>IFERROR(IF(MARÍTIMOS[[#This Row],[Placa Carreta]]="","",MARÍTIMOS[[#This Row],[Placa Carreta]]),"")</f>
        <v/>
      </c>
      <c r="L575" s="44" t="str">
        <f>IFERROR(IF(MARÍTIMOS[[#This Row],[Conductor]]="","",MARÍTIMOS[[#This Row],[Conductor]]),"")</f>
        <v/>
      </c>
      <c r="M575" s="2" t="str">
        <f>IFERROR(IF(MARÍTIMOS[[#This Row],[Licencia]]="","",MARÍTIMOS[[#This Row],[Licencia]]),"")</f>
        <v/>
      </c>
      <c r="N575" s="2" t="str">
        <f>IFERROR(IF(MARÍTIMOS[[#This Row],[Número de Contacto]]="","",MARÍTIMOS[[#This Row],[Número de Contacto]]),"")</f>
        <v/>
      </c>
      <c r="O575" s="10" t="str">
        <f>IFERROR(IF(MARÍTIMOS[[#This Row],[Booking|AWB|CRT]]="","",MARÍTIMOS[[#This Row],[Booking|AWB|CRT]]),"")</f>
        <v/>
      </c>
      <c r="P575" s="2" t="str">
        <f>IFERROR(IF(MARÍTIMOS[[#This Row],[Contenedor]]="","",MARÍTIMOS[[#This Row],[Contenedor]]),"")</f>
        <v/>
      </c>
      <c r="Q575" s="2" t="str">
        <f>IFERROR(IF(MARÍTIMOS[[#This Row],[Puerto de Retiro]]="","",MARÍTIMOS[[#This Row],[Puerto de Retiro]]),"")</f>
        <v/>
      </c>
      <c r="R575" s="2" t="str">
        <f>IFERROR(IF(MARÍTIMOS[[#This Row],[Almacén de Retiro]]="","",MARÍTIMOS[[#This Row],[Almacén de Retiro]]),"")</f>
        <v/>
      </c>
      <c r="S575" s="11" t="str">
        <f>IFERROR(IF(MARÍTIMOS[[#This Row],[Etapa Retiro - Cita]]="","",MARÍTIMOS[[#This Row],[Etapa Retiro - Cita]]),"")</f>
        <v/>
      </c>
      <c r="T575" s="11" t="str">
        <f>IFERROR(IF(MARÍTIMOS[[#This Row],[Etapa Retiro - Llegada]]="","",MARÍTIMOS[[#This Row],[Etapa Retiro - Llegada]]),"")</f>
        <v/>
      </c>
      <c r="U575" s="11" t="str">
        <f>IFERROR(IF(MARÍTIMOS[[#This Row],[Etapa Retiro - Ingreso]]="","",MARÍTIMOS[[#This Row],[Etapa Retiro - Ingreso]]),"")</f>
        <v/>
      </c>
      <c r="V575" s="11" t="str">
        <f>IFERROR(IF(MARÍTIMOS[[#This Row],[Etapa Retiro - Atención]]="","",MARÍTIMOS[[#This Row],[Etapa Retiro - Atención]]),"")</f>
        <v/>
      </c>
      <c r="W575" s="11" t="str">
        <f>IFERROR(IF(MARÍTIMOS[[#This Row],[Etapa Retiro - Atención]]="","",MARÍTIMOS[[#This Row],[Etapa Retiro - Atención]]),"")</f>
        <v/>
      </c>
      <c r="X575" s="11" t="str">
        <f>IFERROR(IF(MARÍTIMOS[[#This Row],[Etapa Retiro - Inicio de Ruta]]="","",MARÍTIMOS[[#This Row],[Etapa Retiro - Inicio de Ruta]]),"")</f>
        <v/>
      </c>
      <c r="Y575" s="11" t="str">
        <f>IFERROR(IF(MARÍTIMOS[[#This Row],[Hora de Posicionamiento]]="","",MARÍTIMOS[[#This Row],[Fecha de Carga]]+MARÍTIMOS[[#This Row],[Hora de Posicionamiento]]),"")</f>
        <v/>
      </c>
      <c r="Z575" s="11" t="str">
        <f>IFERROR(IF(MARÍTIMOS[[#This Row],[Etapa Despacho - Llegada]]="","",MARÍTIMOS[[#This Row],[Etapa Despacho - Llegada]]),"")</f>
        <v/>
      </c>
      <c r="AA575" s="11" t="str">
        <f>IFERROR(IF(MARÍTIMOS[[#This Row],[Etapa Despacho - Registro]]="","",MARÍTIMOS[[#This Row],[Etapa Despacho - Registro]]),"")</f>
        <v/>
      </c>
      <c r="AB575" s="11" t="str">
        <f>IFERROR(IF(MARÍTIMOS[[#This Row],[Inspección Externa]]="","",MARÍTIMOS[[#This Row],[Inspección Externa]]),"")</f>
        <v/>
      </c>
      <c r="AC575" s="11" t="str">
        <f>IFERROR(IF(MARÍTIMOS[[#This Row],[Etapa Despacho - Inicio de Carga]]="","",MARÍTIMOS[[#This Row],[Etapa Despacho - Inicio de Carga]]),"")</f>
        <v/>
      </c>
      <c r="AD575" s="11" t="str">
        <f>IFERROR(IF(MARÍTIMOS[[#This Row],[Etapa Despacho - Mitad de Carga]]="","",MARÍTIMOS[[#This Row],[Etapa Despacho - Mitad de Carga]]),"")</f>
        <v/>
      </c>
      <c r="AE575" s="11" t="str">
        <f>IFERROR(IF(MARÍTIMOS[[#This Row],[Etapa Despacho - Fin de Carga]]="","",MARÍTIMOS[[#This Row],[Etapa Despacho - Fin de Carga]]),"")</f>
        <v/>
      </c>
      <c r="AF575" s="2" t="str">
        <f>IFERROR(IF(MARÍTIMOS[[#This Row],[Puerto de Embarque]]="","",MARÍTIMOS[[#This Row],[Puerto de Embarque]]),"")</f>
        <v/>
      </c>
      <c r="AG575" s="2" t="str">
        <f>IFERROR(IF(MARÍTIMOS[[#This Row],[Almacén de Ingreso]]="","",MARÍTIMOS[[#This Row],[Almacén de Ingreso]]),"")</f>
        <v/>
      </c>
      <c r="AH575" s="11" t="str">
        <f>IFERROR(IF(MARÍTIMOS[[#This Row],[Etapa Ingreso - Cita]]="","",MARÍTIMOS[[#This Row],[Etapa Ingreso - Cita]]),"")</f>
        <v/>
      </c>
      <c r="AI575" s="11" t="str">
        <f>IFERROR(IF(MARÍTIMOS[[#This Row],[Etapa Ingreso - Llegada]]="","",MARÍTIMOS[[#This Row],[Etapa Ingreso - Llegada]]),"")</f>
        <v/>
      </c>
      <c r="AJ575" s="11" t="str">
        <f>IFERROR(IF(MARÍTIMOS[[#This Row],[Etapa Ingreso - Ingeso]]="","",MARÍTIMOS[[#This Row],[Etapa Ingreso - Ingeso]]),"")</f>
        <v/>
      </c>
      <c r="AK575" s="11" t="str">
        <f>IFERROR(IF(MARÍTIMOS[[#This Row],[Etapa Ingreso - Atención]]="","",MARÍTIMOS[[#This Row],[Etapa Ingreso - Atención]]),"")</f>
        <v/>
      </c>
      <c r="AL575" s="11" t="str">
        <f>IFERROR(IF(MARÍTIMOS[[#This Row],[Etapa Ingreso - Salida]]="","",MARÍTIMOS[[#This Row],[Etapa Ingreso - Salida]]),"")</f>
        <v/>
      </c>
      <c r="AM575" s="2" t="str">
        <f>IFERROR(IF(MARÍTIMOS[[#This Row],[FCL]]="","",MARÍTIMOS[[#This Row],[FCL]]),"")</f>
        <v/>
      </c>
      <c r="AN5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5" s="4" t="str" cm="1">
        <f t="array" ref="AO5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5" s="5" t="str">
        <f>IFERROR(OLDBD[[#This Row],[Llegada a packing]]-OLDBD[[#This Row],[Inicio de Ruta]],"")</f>
        <v/>
      </c>
      <c r="AQ575" s="6" t="str">
        <f>IFERROR(OLDBD[[#This Row],[Inicio de Ruta]]-OLDBD[[#This Row],[Salida de almacén de retiro]],"")</f>
        <v/>
      </c>
      <c r="AR5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5" s="8" t="str" cm="1">
        <f t="array" ref="AS5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5" s="9" t="str">
        <f>IFERROR(OLDBD[[#This Row],[Ingreso Packing]]-OLDBD[[#This Row],[Registro en Packing]],"")</f>
        <v/>
      </c>
      <c r="AV575" s="9" t="str">
        <f>IFERROR(OLDBD[[#This Row],[Ingreso Packing]]-OLDBD[[#This Row],[Llegada a packing]],"")</f>
        <v/>
      </c>
      <c r="AW5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5" s="5" t="str">
        <f>IFERROR(OLDBD[[#This Row],[Llegada Almacén de Ingreso]]-OLDBD[[#This Row],[Salida Packing]],"")</f>
        <v/>
      </c>
      <c r="AY575" s="4" t="str" cm="1">
        <f t="array" ref="AY5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5" s="43" t="s">
        <v>173</v>
      </c>
      <c r="BB575" s="47" t="str">
        <f>IFERROR(IF(MARÍTIMOS[[#This Row],[Estatus]]="","",MARÍTIMOS[[#This Row],[Estatus]]),"")</f>
        <v/>
      </c>
      <c r="BC575" s="43"/>
      <c r="BD575" s="46" t="str">
        <f>IFERROR(OLDBD[[#This Row],[Salida de almacén de retiro]]-OLDBD[[#This Row],[Ingreso Almacén de retiro]],"")</f>
        <v/>
      </c>
      <c r="BE575" s="46" t="str">
        <f>IFERROR(OLDBD[[#This Row],[Fin de Carga]]-OLDBD[[#This Row],[Inicio de Carga]],"")</f>
        <v/>
      </c>
    </row>
    <row r="576" spans="1:57" customFormat="1" hidden="1">
      <c r="A576" s="1"/>
      <c r="B576" s="1" t="str">
        <f>IFERROR(IF(MARÍTIMOS[[#This Row],[PP]]="","",MARÍTIMOS[[#This Row],[PP]]),"")</f>
        <v/>
      </c>
      <c r="C576" s="1" t="str">
        <f>IFERROR(IF(MARÍTIMOS[[#This Row],[Sede]]="","",MARÍTIMOS[[#This Row],[Sede]]),"")</f>
        <v/>
      </c>
      <c r="D576" s="1" t="str">
        <f>IFERROR(IF(MARÍTIMOS[[#This Row],[Instruction]]="","",MARÍTIMOS[[#This Row],[Instruction]]),"")</f>
        <v/>
      </c>
      <c r="E576" s="1"/>
      <c r="F576" s="2" t="str">
        <f>IFERROR(IF(MARÍTIMOS[[#This Row],[Transportista]]="","",MARÍTIMOS[[#This Row],[Transportista]]),"")</f>
        <v/>
      </c>
      <c r="G576" s="2" t="str">
        <f>IFERROR(IF(MARÍTIMOS[[#This Row],[Tercero]]="","",MARÍTIMOS[[#This Row],[Tercero]]),"")</f>
        <v/>
      </c>
      <c r="H576" s="2" t="str">
        <f>IFERROR(IF(MARÍTIMOS[[#This Row],[Razón Social]]="","",MARÍTIMOS[[#This Row],[Razón Social]]),"")</f>
        <v/>
      </c>
      <c r="I576" s="2" t="str">
        <f>IFERROR(IF(MARÍTIMOS[[#This Row],[RUC]]="","",MARÍTIMOS[[#This Row],[RUC]]),"")</f>
        <v/>
      </c>
      <c r="J576" s="2" t="str">
        <f>IFERROR(IF(MARÍTIMOS[[#This Row],[Placa Tracto]]="","",MARÍTIMOS[[#This Row],[Placa Tracto]]),"")</f>
        <v/>
      </c>
      <c r="K576" s="2" t="str">
        <f>IFERROR(IF(MARÍTIMOS[[#This Row],[Placa Carreta]]="","",MARÍTIMOS[[#This Row],[Placa Carreta]]),"")</f>
        <v/>
      </c>
      <c r="L576" s="44" t="str">
        <f>IFERROR(IF(MARÍTIMOS[[#This Row],[Conductor]]="","",MARÍTIMOS[[#This Row],[Conductor]]),"")</f>
        <v/>
      </c>
      <c r="M576" s="2" t="str">
        <f>IFERROR(IF(MARÍTIMOS[[#This Row],[Licencia]]="","",MARÍTIMOS[[#This Row],[Licencia]]),"")</f>
        <v/>
      </c>
      <c r="N576" s="2" t="str">
        <f>IFERROR(IF(MARÍTIMOS[[#This Row],[Número de Contacto]]="","",MARÍTIMOS[[#This Row],[Número de Contacto]]),"")</f>
        <v/>
      </c>
      <c r="O576" s="10" t="str">
        <f>IFERROR(IF(MARÍTIMOS[[#This Row],[Booking|AWB|CRT]]="","",MARÍTIMOS[[#This Row],[Booking|AWB|CRT]]),"")</f>
        <v/>
      </c>
      <c r="P576" s="2" t="str">
        <f>IFERROR(IF(MARÍTIMOS[[#This Row],[Contenedor]]="","",MARÍTIMOS[[#This Row],[Contenedor]]),"")</f>
        <v/>
      </c>
      <c r="Q576" s="2" t="str">
        <f>IFERROR(IF(MARÍTIMOS[[#This Row],[Puerto de Retiro]]="","",MARÍTIMOS[[#This Row],[Puerto de Retiro]]),"")</f>
        <v/>
      </c>
      <c r="R576" s="2" t="str">
        <f>IFERROR(IF(MARÍTIMOS[[#This Row],[Almacén de Retiro]]="","",MARÍTIMOS[[#This Row],[Almacén de Retiro]]),"")</f>
        <v/>
      </c>
      <c r="S576" s="11" t="str">
        <f>IFERROR(IF(MARÍTIMOS[[#This Row],[Etapa Retiro - Cita]]="","",MARÍTIMOS[[#This Row],[Etapa Retiro - Cita]]),"")</f>
        <v/>
      </c>
      <c r="T576" s="11" t="str">
        <f>IFERROR(IF(MARÍTIMOS[[#This Row],[Etapa Retiro - Llegada]]="","",MARÍTIMOS[[#This Row],[Etapa Retiro - Llegada]]),"")</f>
        <v/>
      </c>
      <c r="U576" s="11" t="str">
        <f>IFERROR(IF(MARÍTIMOS[[#This Row],[Etapa Retiro - Ingreso]]="","",MARÍTIMOS[[#This Row],[Etapa Retiro - Ingreso]]),"")</f>
        <v/>
      </c>
      <c r="V576" s="11" t="str">
        <f>IFERROR(IF(MARÍTIMOS[[#This Row],[Etapa Retiro - Atención]]="","",MARÍTIMOS[[#This Row],[Etapa Retiro - Atención]]),"")</f>
        <v/>
      </c>
      <c r="W576" s="11" t="str">
        <f>IFERROR(IF(MARÍTIMOS[[#This Row],[Etapa Retiro - Atención]]="","",MARÍTIMOS[[#This Row],[Etapa Retiro - Atención]]),"")</f>
        <v/>
      </c>
      <c r="X576" s="11" t="str">
        <f>IFERROR(IF(MARÍTIMOS[[#This Row],[Etapa Retiro - Inicio de Ruta]]="","",MARÍTIMOS[[#This Row],[Etapa Retiro - Inicio de Ruta]]),"")</f>
        <v/>
      </c>
      <c r="Y576" s="11" t="str">
        <f>IFERROR(IF(MARÍTIMOS[[#This Row],[Hora de Posicionamiento]]="","",MARÍTIMOS[[#This Row],[Fecha de Carga]]+MARÍTIMOS[[#This Row],[Hora de Posicionamiento]]),"")</f>
        <v/>
      </c>
      <c r="Z576" s="11" t="str">
        <f>IFERROR(IF(MARÍTIMOS[[#This Row],[Etapa Despacho - Llegada]]="","",MARÍTIMOS[[#This Row],[Etapa Despacho - Llegada]]),"")</f>
        <v/>
      </c>
      <c r="AA576" s="11" t="str">
        <f>IFERROR(IF(MARÍTIMOS[[#This Row],[Etapa Despacho - Registro]]="","",MARÍTIMOS[[#This Row],[Etapa Despacho - Registro]]),"")</f>
        <v/>
      </c>
      <c r="AB576" s="11" t="str">
        <f>IFERROR(IF(MARÍTIMOS[[#This Row],[Inspección Externa]]="","",MARÍTIMOS[[#This Row],[Inspección Externa]]),"")</f>
        <v/>
      </c>
      <c r="AC576" s="11" t="str">
        <f>IFERROR(IF(MARÍTIMOS[[#This Row],[Etapa Despacho - Inicio de Carga]]="","",MARÍTIMOS[[#This Row],[Etapa Despacho - Inicio de Carga]]),"")</f>
        <v/>
      </c>
      <c r="AD576" s="11" t="str">
        <f>IFERROR(IF(MARÍTIMOS[[#This Row],[Etapa Despacho - Mitad de Carga]]="","",MARÍTIMOS[[#This Row],[Etapa Despacho - Mitad de Carga]]),"")</f>
        <v/>
      </c>
      <c r="AE576" s="11" t="str">
        <f>IFERROR(IF(MARÍTIMOS[[#This Row],[Etapa Despacho - Fin de Carga]]="","",MARÍTIMOS[[#This Row],[Etapa Despacho - Fin de Carga]]),"")</f>
        <v/>
      </c>
      <c r="AF576" s="2" t="str">
        <f>IFERROR(IF(MARÍTIMOS[[#This Row],[Puerto de Embarque]]="","",MARÍTIMOS[[#This Row],[Puerto de Embarque]]),"")</f>
        <v/>
      </c>
      <c r="AG576" s="2" t="str">
        <f>IFERROR(IF(MARÍTIMOS[[#This Row],[Almacén de Ingreso]]="","",MARÍTIMOS[[#This Row],[Almacén de Ingreso]]),"")</f>
        <v/>
      </c>
      <c r="AH576" s="11" t="str">
        <f>IFERROR(IF(MARÍTIMOS[[#This Row],[Etapa Ingreso - Cita]]="","",MARÍTIMOS[[#This Row],[Etapa Ingreso - Cita]]),"")</f>
        <v/>
      </c>
      <c r="AI576" s="11" t="str">
        <f>IFERROR(IF(MARÍTIMOS[[#This Row],[Etapa Ingreso - Llegada]]="","",MARÍTIMOS[[#This Row],[Etapa Ingreso - Llegada]]),"")</f>
        <v/>
      </c>
      <c r="AJ576" s="11" t="str">
        <f>IFERROR(IF(MARÍTIMOS[[#This Row],[Etapa Ingreso - Ingeso]]="","",MARÍTIMOS[[#This Row],[Etapa Ingreso - Ingeso]]),"")</f>
        <v/>
      </c>
      <c r="AK576" s="11" t="str">
        <f>IFERROR(IF(MARÍTIMOS[[#This Row],[Etapa Ingreso - Atención]]="","",MARÍTIMOS[[#This Row],[Etapa Ingreso - Atención]]),"")</f>
        <v/>
      </c>
      <c r="AL576" s="11" t="str">
        <f>IFERROR(IF(MARÍTIMOS[[#This Row],[Etapa Ingreso - Salida]]="","",MARÍTIMOS[[#This Row],[Etapa Ingreso - Salida]]),"")</f>
        <v/>
      </c>
      <c r="AM576" s="2" t="str">
        <f>IFERROR(IF(MARÍTIMOS[[#This Row],[FCL]]="","",MARÍTIMOS[[#This Row],[FCL]]),"")</f>
        <v/>
      </c>
      <c r="AN5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6" s="4" t="str" cm="1">
        <f t="array" ref="AO5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6" s="5" t="str">
        <f>IFERROR(OLDBD[[#This Row],[Llegada a packing]]-OLDBD[[#This Row],[Inicio de Ruta]],"")</f>
        <v/>
      </c>
      <c r="AQ576" s="6" t="str">
        <f>IFERROR(OLDBD[[#This Row],[Inicio de Ruta]]-OLDBD[[#This Row],[Salida de almacén de retiro]],"")</f>
        <v/>
      </c>
      <c r="AR5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6" s="8" t="str" cm="1">
        <f t="array" ref="AS5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6" s="9" t="str">
        <f>IFERROR(OLDBD[[#This Row],[Ingreso Packing]]-OLDBD[[#This Row],[Registro en Packing]],"")</f>
        <v/>
      </c>
      <c r="AV576" s="9" t="str">
        <f>IFERROR(OLDBD[[#This Row],[Ingreso Packing]]-OLDBD[[#This Row],[Llegada a packing]],"")</f>
        <v/>
      </c>
      <c r="AW5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6" s="5" t="str">
        <f>IFERROR(OLDBD[[#This Row],[Llegada Almacén de Ingreso]]-OLDBD[[#This Row],[Salida Packing]],"")</f>
        <v/>
      </c>
      <c r="AY576" s="4" t="str" cm="1">
        <f t="array" ref="AY5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6" s="43" t="s">
        <v>173</v>
      </c>
      <c r="BB576" s="47" t="str">
        <f>IFERROR(IF(MARÍTIMOS[[#This Row],[Estatus]]="","",MARÍTIMOS[[#This Row],[Estatus]]),"")</f>
        <v/>
      </c>
      <c r="BC576" s="43"/>
      <c r="BD576" s="46" t="str">
        <f>IFERROR(OLDBD[[#This Row],[Salida de almacén de retiro]]-OLDBD[[#This Row],[Ingreso Almacén de retiro]],"")</f>
        <v/>
      </c>
      <c r="BE576" s="46" t="str">
        <f>IFERROR(OLDBD[[#This Row],[Fin de Carga]]-OLDBD[[#This Row],[Inicio de Carga]],"")</f>
        <v/>
      </c>
    </row>
    <row r="577" spans="1:57" customFormat="1" hidden="1">
      <c r="A577" s="1"/>
      <c r="B577" s="1" t="str">
        <f>IFERROR(IF(MARÍTIMOS[[#This Row],[PP]]="","",MARÍTIMOS[[#This Row],[PP]]),"")</f>
        <v/>
      </c>
      <c r="C577" s="1" t="str">
        <f>IFERROR(IF(MARÍTIMOS[[#This Row],[Sede]]="","",MARÍTIMOS[[#This Row],[Sede]]),"")</f>
        <v/>
      </c>
      <c r="D577" s="1" t="str">
        <f>IFERROR(IF(MARÍTIMOS[[#This Row],[Instruction]]="","",MARÍTIMOS[[#This Row],[Instruction]]),"")</f>
        <v/>
      </c>
      <c r="E577" s="1"/>
      <c r="F577" s="2" t="str">
        <f>IFERROR(IF(MARÍTIMOS[[#This Row],[Transportista]]="","",MARÍTIMOS[[#This Row],[Transportista]]),"")</f>
        <v/>
      </c>
      <c r="G577" s="2" t="str">
        <f>IFERROR(IF(MARÍTIMOS[[#This Row],[Tercero]]="","",MARÍTIMOS[[#This Row],[Tercero]]),"")</f>
        <v/>
      </c>
      <c r="H577" s="2" t="str">
        <f>IFERROR(IF(MARÍTIMOS[[#This Row],[Razón Social]]="","",MARÍTIMOS[[#This Row],[Razón Social]]),"")</f>
        <v/>
      </c>
      <c r="I577" s="2" t="str">
        <f>IFERROR(IF(MARÍTIMOS[[#This Row],[RUC]]="","",MARÍTIMOS[[#This Row],[RUC]]),"")</f>
        <v/>
      </c>
      <c r="J577" s="2" t="str">
        <f>IFERROR(IF(MARÍTIMOS[[#This Row],[Placa Tracto]]="","",MARÍTIMOS[[#This Row],[Placa Tracto]]),"")</f>
        <v/>
      </c>
      <c r="K577" s="2" t="str">
        <f>IFERROR(IF(MARÍTIMOS[[#This Row],[Placa Carreta]]="","",MARÍTIMOS[[#This Row],[Placa Carreta]]),"")</f>
        <v/>
      </c>
      <c r="L577" s="44" t="str">
        <f>IFERROR(IF(MARÍTIMOS[[#This Row],[Conductor]]="","",MARÍTIMOS[[#This Row],[Conductor]]),"")</f>
        <v/>
      </c>
      <c r="M577" s="2" t="str">
        <f>IFERROR(IF(MARÍTIMOS[[#This Row],[Licencia]]="","",MARÍTIMOS[[#This Row],[Licencia]]),"")</f>
        <v/>
      </c>
      <c r="N577" s="2" t="str">
        <f>IFERROR(IF(MARÍTIMOS[[#This Row],[Número de Contacto]]="","",MARÍTIMOS[[#This Row],[Número de Contacto]]),"")</f>
        <v/>
      </c>
      <c r="O577" s="10" t="str">
        <f>IFERROR(IF(MARÍTIMOS[[#This Row],[Booking|AWB|CRT]]="","",MARÍTIMOS[[#This Row],[Booking|AWB|CRT]]),"")</f>
        <v/>
      </c>
      <c r="P577" s="2" t="str">
        <f>IFERROR(IF(MARÍTIMOS[[#This Row],[Contenedor]]="","",MARÍTIMOS[[#This Row],[Contenedor]]),"")</f>
        <v/>
      </c>
      <c r="Q577" s="2" t="str">
        <f>IFERROR(IF(MARÍTIMOS[[#This Row],[Puerto de Retiro]]="","",MARÍTIMOS[[#This Row],[Puerto de Retiro]]),"")</f>
        <v/>
      </c>
      <c r="R577" s="2" t="str">
        <f>IFERROR(IF(MARÍTIMOS[[#This Row],[Almacén de Retiro]]="","",MARÍTIMOS[[#This Row],[Almacén de Retiro]]),"")</f>
        <v/>
      </c>
      <c r="S577" s="11" t="str">
        <f>IFERROR(IF(MARÍTIMOS[[#This Row],[Etapa Retiro - Cita]]="","",MARÍTIMOS[[#This Row],[Etapa Retiro - Cita]]),"")</f>
        <v/>
      </c>
      <c r="T577" s="11" t="str">
        <f>IFERROR(IF(MARÍTIMOS[[#This Row],[Etapa Retiro - Llegada]]="","",MARÍTIMOS[[#This Row],[Etapa Retiro - Llegada]]),"")</f>
        <v/>
      </c>
      <c r="U577" s="11" t="str">
        <f>IFERROR(IF(MARÍTIMOS[[#This Row],[Etapa Retiro - Ingreso]]="","",MARÍTIMOS[[#This Row],[Etapa Retiro - Ingreso]]),"")</f>
        <v/>
      </c>
      <c r="V577" s="11" t="str">
        <f>IFERROR(IF(MARÍTIMOS[[#This Row],[Etapa Retiro - Atención]]="","",MARÍTIMOS[[#This Row],[Etapa Retiro - Atención]]),"")</f>
        <v/>
      </c>
      <c r="W577" s="11" t="str">
        <f>IFERROR(IF(MARÍTIMOS[[#This Row],[Etapa Retiro - Atención]]="","",MARÍTIMOS[[#This Row],[Etapa Retiro - Atención]]),"")</f>
        <v/>
      </c>
      <c r="X577" s="11" t="str">
        <f>IFERROR(IF(MARÍTIMOS[[#This Row],[Etapa Retiro - Inicio de Ruta]]="","",MARÍTIMOS[[#This Row],[Etapa Retiro - Inicio de Ruta]]),"")</f>
        <v/>
      </c>
      <c r="Y577" s="11" t="str">
        <f>IFERROR(IF(MARÍTIMOS[[#This Row],[Hora de Posicionamiento]]="","",MARÍTIMOS[[#This Row],[Fecha de Carga]]+MARÍTIMOS[[#This Row],[Hora de Posicionamiento]]),"")</f>
        <v/>
      </c>
      <c r="Z577" s="11" t="str">
        <f>IFERROR(IF(MARÍTIMOS[[#This Row],[Etapa Despacho - Llegada]]="","",MARÍTIMOS[[#This Row],[Etapa Despacho - Llegada]]),"")</f>
        <v/>
      </c>
      <c r="AA577" s="11" t="str">
        <f>IFERROR(IF(MARÍTIMOS[[#This Row],[Etapa Despacho - Registro]]="","",MARÍTIMOS[[#This Row],[Etapa Despacho - Registro]]),"")</f>
        <v/>
      </c>
      <c r="AB577" s="11" t="str">
        <f>IFERROR(IF(MARÍTIMOS[[#This Row],[Inspección Externa]]="","",MARÍTIMOS[[#This Row],[Inspección Externa]]),"")</f>
        <v/>
      </c>
      <c r="AC577" s="11" t="str">
        <f>IFERROR(IF(MARÍTIMOS[[#This Row],[Etapa Despacho - Inicio de Carga]]="","",MARÍTIMOS[[#This Row],[Etapa Despacho - Inicio de Carga]]),"")</f>
        <v/>
      </c>
      <c r="AD577" s="11" t="str">
        <f>IFERROR(IF(MARÍTIMOS[[#This Row],[Etapa Despacho - Mitad de Carga]]="","",MARÍTIMOS[[#This Row],[Etapa Despacho - Mitad de Carga]]),"")</f>
        <v/>
      </c>
      <c r="AE577" s="11" t="str">
        <f>IFERROR(IF(MARÍTIMOS[[#This Row],[Etapa Despacho - Fin de Carga]]="","",MARÍTIMOS[[#This Row],[Etapa Despacho - Fin de Carga]]),"")</f>
        <v/>
      </c>
      <c r="AF577" s="2" t="str">
        <f>IFERROR(IF(MARÍTIMOS[[#This Row],[Puerto de Embarque]]="","",MARÍTIMOS[[#This Row],[Puerto de Embarque]]),"")</f>
        <v/>
      </c>
      <c r="AG577" s="2" t="str">
        <f>IFERROR(IF(MARÍTIMOS[[#This Row],[Almacén de Ingreso]]="","",MARÍTIMOS[[#This Row],[Almacén de Ingreso]]),"")</f>
        <v/>
      </c>
      <c r="AH577" s="11" t="str">
        <f>IFERROR(IF(MARÍTIMOS[[#This Row],[Etapa Ingreso - Cita]]="","",MARÍTIMOS[[#This Row],[Etapa Ingreso - Cita]]),"")</f>
        <v/>
      </c>
      <c r="AI577" s="11" t="str">
        <f>IFERROR(IF(MARÍTIMOS[[#This Row],[Etapa Ingreso - Llegada]]="","",MARÍTIMOS[[#This Row],[Etapa Ingreso - Llegada]]),"")</f>
        <v/>
      </c>
      <c r="AJ577" s="11" t="str">
        <f>IFERROR(IF(MARÍTIMOS[[#This Row],[Etapa Ingreso - Ingeso]]="","",MARÍTIMOS[[#This Row],[Etapa Ingreso - Ingeso]]),"")</f>
        <v/>
      </c>
      <c r="AK577" s="11" t="str">
        <f>IFERROR(IF(MARÍTIMOS[[#This Row],[Etapa Ingreso - Atención]]="","",MARÍTIMOS[[#This Row],[Etapa Ingreso - Atención]]),"")</f>
        <v/>
      </c>
      <c r="AL577" s="11" t="str">
        <f>IFERROR(IF(MARÍTIMOS[[#This Row],[Etapa Ingreso - Salida]]="","",MARÍTIMOS[[#This Row],[Etapa Ingreso - Salida]]),"")</f>
        <v/>
      </c>
      <c r="AM577" s="2" t="str">
        <f>IFERROR(IF(MARÍTIMOS[[#This Row],[FCL]]="","",MARÍTIMOS[[#This Row],[FCL]]),"")</f>
        <v/>
      </c>
      <c r="AN5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7" s="4" t="str" cm="1">
        <f t="array" ref="AO5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7" s="5" t="str">
        <f>IFERROR(OLDBD[[#This Row],[Llegada a packing]]-OLDBD[[#This Row],[Inicio de Ruta]],"")</f>
        <v/>
      </c>
      <c r="AQ577" s="6" t="str">
        <f>IFERROR(OLDBD[[#This Row],[Inicio de Ruta]]-OLDBD[[#This Row],[Salida de almacén de retiro]],"")</f>
        <v/>
      </c>
      <c r="AR5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7" s="8" t="str" cm="1">
        <f t="array" ref="AS5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7" s="9" t="str">
        <f>IFERROR(OLDBD[[#This Row],[Ingreso Packing]]-OLDBD[[#This Row],[Registro en Packing]],"")</f>
        <v/>
      </c>
      <c r="AV577" s="9" t="str">
        <f>IFERROR(OLDBD[[#This Row],[Ingreso Packing]]-OLDBD[[#This Row],[Llegada a packing]],"")</f>
        <v/>
      </c>
      <c r="AW5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7" s="5" t="str">
        <f>IFERROR(OLDBD[[#This Row],[Llegada Almacén de Ingreso]]-OLDBD[[#This Row],[Salida Packing]],"")</f>
        <v/>
      </c>
      <c r="AY577" s="4" t="str" cm="1">
        <f t="array" ref="AY5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7" s="43" t="s">
        <v>173</v>
      </c>
      <c r="BB577" s="47" t="str">
        <f>IFERROR(IF(MARÍTIMOS[[#This Row],[Estatus]]="","",MARÍTIMOS[[#This Row],[Estatus]]),"")</f>
        <v/>
      </c>
      <c r="BC577" s="43"/>
      <c r="BD577" s="46" t="str">
        <f>IFERROR(OLDBD[[#This Row],[Salida de almacén de retiro]]-OLDBD[[#This Row],[Ingreso Almacén de retiro]],"")</f>
        <v/>
      </c>
      <c r="BE577" s="46" t="str">
        <f>IFERROR(OLDBD[[#This Row],[Fin de Carga]]-OLDBD[[#This Row],[Inicio de Carga]],"")</f>
        <v/>
      </c>
    </row>
    <row r="578" spans="1:57" customFormat="1" hidden="1">
      <c r="A578" s="1"/>
      <c r="B578" s="1" t="str">
        <f>IFERROR(IF(MARÍTIMOS[[#This Row],[PP]]="","",MARÍTIMOS[[#This Row],[PP]]),"")</f>
        <v/>
      </c>
      <c r="C578" s="1" t="str">
        <f>IFERROR(IF(MARÍTIMOS[[#This Row],[Sede]]="","",MARÍTIMOS[[#This Row],[Sede]]),"")</f>
        <v/>
      </c>
      <c r="D578" s="1" t="str">
        <f>IFERROR(IF(MARÍTIMOS[[#This Row],[Instruction]]="","",MARÍTIMOS[[#This Row],[Instruction]]),"")</f>
        <v/>
      </c>
      <c r="E578" s="1"/>
      <c r="F578" s="2" t="str">
        <f>IFERROR(IF(MARÍTIMOS[[#This Row],[Transportista]]="","",MARÍTIMOS[[#This Row],[Transportista]]),"")</f>
        <v/>
      </c>
      <c r="G578" s="2" t="str">
        <f>IFERROR(IF(MARÍTIMOS[[#This Row],[Tercero]]="","",MARÍTIMOS[[#This Row],[Tercero]]),"")</f>
        <v/>
      </c>
      <c r="H578" s="2" t="str">
        <f>IFERROR(IF(MARÍTIMOS[[#This Row],[Razón Social]]="","",MARÍTIMOS[[#This Row],[Razón Social]]),"")</f>
        <v/>
      </c>
      <c r="I578" s="2" t="str">
        <f>IFERROR(IF(MARÍTIMOS[[#This Row],[RUC]]="","",MARÍTIMOS[[#This Row],[RUC]]),"")</f>
        <v/>
      </c>
      <c r="J578" s="2" t="str">
        <f>IFERROR(IF(MARÍTIMOS[[#This Row],[Placa Tracto]]="","",MARÍTIMOS[[#This Row],[Placa Tracto]]),"")</f>
        <v/>
      </c>
      <c r="K578" s="2" t="str">
        <f>IFERROR(IF(MARÍTIMOS[[#This Row],[Placa Carreta]]="","",MARÍTIMOS[[#This Row],[Placa Carreta]]),"")</f>
        <v/>
      </c>
      <c r="L578" s="44" t="str">
        <f>IFERROR(IF(MARÍTIMOS[[#This Row],[Conductor]]="","",MARÍTIMOS[[#This Row],[Conductor]]),"")</f>
        <v/>
      </c>
      <c r="M578" s="2" t="str">
        <f>IFERROR(IF(MARÍTIMOS[[#This Row],[Licencia]]="","",MARÍTIMOS[[#This Row],[Licencia]]),"")</f>
        <v/>
      </c>
      <c r="N578" s="2" t="str">
        <f>IFERROR(IF(MARÍTIMOS[[#This Row],[Número de Contacto]]="","",MARÍTIMOS[[#This Row],[Número de Contacto]]),"")</f>
        <v/>
      </c>
      <c r="O578" s="10" t="str">
        <f>IFERROR(IF(MARÍTIMOS[[#This Row],[Booking|AWB|CRT]]="","",MARÍTIMOS[[#This Row],[Booking|AWB|CRT]]),"")</f>
        <v/>
      </c>
      <c r="P578" s="2" t="str">
        <f>IFERROR(IF(MARÍTIMOS[[#This Row],[Contenedor]]="","",MARÍTIMOS[[#This Row],[Contenedor]]),"")</f>
        <v/>
      </c>
      <c r="Q578" s="2" t="str">
        <f>IFERROR(IF(MARÍTIMOS[[#This Row],[Puerto de Retiro]]="","",MARÍTIMOS[[#This Row],[Puerto de Retiro]]),"")</f>
        <v/>
      </c>
      <c r="R578" s="2" t="str">
        <f>IFERROR(IF(MARÍTIMOS[[#This Row],[Almacén de Retiro]]="","",MARÍTIMOS[[#This Row],[Almacén de Retiro]]),"")</f>
        <v/>
      </c>
      <c r="S578" s="11" t="str">
        <f>IFERROR(IF(MARÍTIMOS[[#This Row],[Etapa Retiro - Cita]]="","",MARÍTIMOS[[#This Row],[Etapa Retiro - Cita]]),"")</f>
        <v/>
      </c>
      <c r="T578" s="11" t="str">
        <f>IFERROR(IF(MARÍTIMOS[[#This Row],[Etapa Retiro - Llegada]]="","",MARÍTIMOS[[#This Row],[Etapa Retiro - Llegada]]),"")</f>
        <v/>
      </c>
      <c r="U578" s="11" t="str">
        <f>IFERROR(IF(MARÍTIMOS[[#This Row],[Etapa Retiro - Ingreso]]="","",MARÍTIMOS[[#This Row],[Etapa Retiro - Ingreso]]),"")</f>
        <v/>
      </c>
      <c r="V578" s="11" t="str">
        <f>IFERROR(IF(MARÍTIMOS[[#This Row],[Etapa Retiro - Atención]]="","",MARÍTIMOS[[#This Row],[Etapa Retiro - Atención]]),"")</f>
        <v/>
      </c>
      <c r="W578" s="11" t="str">
        <f>IFERROR(IF(MARÍTIMOS[[#This Row],[Etapa Retiro - Atención]]="","",MARÍTIMOS[[#This Row],[Etapa Retiro - Atención]]),"")</f>
        <v/>
      </c>
      <c r="X578" s="11" t="str">
        <f>IFERROR(IF(MARÍTIMOS[[#This Row],[Etapa Retiro - Inicio de Ruta]]="","",MARÍTIMOS[[#This Row],[Etapa Retiro - Inicio de Ruta]]),"")</f>
        <v/>
      </c>
      <c r="Y578" s="11" t="str">
        <f>IFERROR(IF(MARÍTIMOS[[#This Row],[Hora de Posicionamiento]]="","",MARÍTIMOS[[#This Row],[Fecha de Carga]]+MARÍTIMOS[[#This Row],[Hora de Posicionamiento]]),"")</f>
        <v/>
      </c>
      <c r="Z578" s="11" t="str">
        <f>IFERROR(IF(MARÍTIMOS[[#This Row],[Etapa Despacho - Llegada]]="","",MARÍTIMOS[[#This Row],[Etapa Despacho - Llegada]]),"")</f>
        <v/>
      </c>
      <c r="AA578" s="11" t="str">
        <f>IFERROR(IF(MARÍTIMOS[[#This Row],[Etapa Despacho - Registro]]="","",MARÍTIMOS[[#This Row],[Etapa Despacho - Registro]]),"")</f>
        <v/>
      </c>
      <c r="AB578" s="11" t="str">
        <f>IFERROR(IF(MARÍTIMOS[[#This Row],[Inspección Externa]]="","",MARÍTIMOS[[#This Row],[Inspección Externa]]),"")</f>
        <v/>
      </c>
      <c r="AC578" s="11" t="str">
        <f>IFERROR(IF(MARÍTIMOS[[#This Row],[Etapa Despacho - Inicio de Carga]]="","",MARÍTIMOS[[#This Row],[Etapa Despacho - Inicio de Carga]]),"")</f>
        <v/>
      </c>
      <c r="AD578" s="11" t="str">
        <f>IFERROR(IF(MARÍTIMOS[[#This Row],[Etapa Despacho - Mitad de Carga]]="","",MARÍTIMOS[[#This Row],[Etapa Despacho - Mitad de Carga]]),"")</f>
        <v/>
      </c>
      <c r="AE578" s="11" t="str">
        <f>IFERROR(IF(MARÍTIMOS[[#This Row],[Etapa Despacho - Fin de Carga]]="","",MARÍTIMOS[[#This Row],[Etapa Despacho - Fin de Carga]]),"")</f>
        <v/>
      </c>
      <c r="AF578" s="2" t="str">
        <f>IFERROR(IF(MARÍTIMOS[[#This Row],[Puerto de Embarque]]="","",MARÍTIMOS[[#This Row],[Puerto de Embarque]]),"")</f>
        <v/>
      </c>
      <c r="AG578" s="2" t="str">
        <f>IFERROR(IF(MARÍTIMOS[[#This Row],[Almacén de Ingreso]]="","",MARÍTIMOS[[#This Row],[Almacén de Ingreso]]),"")</f>
        <v/>
      </c>
      <c r="AH578" s="11" t="str">
        <f>IFERROR(IF(MARÍTIMOS[[#This Row],[Etapa Ingreso - Cita]]="","",MARÍTIMOS[[#This Row],[Etapa Ingreso - Cita]]),"")</f>
        <v/>
      </c>
      <c r="AI578" s="11" t="str">
        <f>IFERROR(IF(MARÍTIMOS[[#This Row],[Etapa Ingreso - Llegada]]="","",MARÍTIMOS[[#This Row],[Etapa Ingreso - Llegada]]),"")</f>
        <v/>
      </c>
      <c r="AJ578" s="11" t="str">
        <f>IFERROR(IF(MARÍTIMOS[[#This Row],[Etapa Ingreso - Ingeso]]="","",MARÍTIMOS[[#This Row],[Etapa Ingreso - Ingeso]]),"")</f>
        <v/>
      </c>
      <c r="AK578" s="11" t="str">
        <f>IFERROR(IF(MARÍTIMOS[[#This Row],[Etapa Ingreso - Atención]]="","",MARÍTIMOS[[#This Row],[Etapa Ingreso - Atención]]),"")</f>
        <v/>
      </c>
      <c r="AL578" s="11" t="str">
        <f>IFERROR(IF(MARÍTIMOS[[#This Row],[Etapa Ingreso - Salida]]="","",MARÍTIMOS[[#This Row],[Etapa Ingreso - Salida]]),"")</f>
        <v/>
      </c>
      <c r="AM578" s="2" t="str">
        <f>IFERROR(IF(MARÍTIMOS[[#This Row],[FCL]]="","",MARÍTIMOS[[#This Row],[FCL]]),"")</f>
        <v/>
      </c>
      <c r="AN5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8" s="4" t="str" cm="1">
        <f t="array" ref="AO5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8" s="5" t="str">
        <f>IFERROR(OLDBD[[#This Row],[Llegada a packing]]-OLDBD[[#This Row],[Inicio de Ruta]],"")</f>
        <v/>
      </c>
      <c r="AQ578" s="6" t="str">
        <f>IFERROR(OLDBD[[#This Row],[Inicio de Ruta]]-OLDBD[[#This Row],[Salida de almacén de retiro]],"")</f>
        <v/>
      </c>
      <c r="AR5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8" s="8" t="str" cm="1">
        <f t="array" ref="AS5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8" s="9" t="str">
        <f>IFERROR(OLDBD[[#This Row],[Ingreso Packing]]-OLDBD[[#This Row],[Registro en Packing]],"")</f>
        <v/>
      </c>
      <c r="AV578" s="9" t="str">
        <f>IFERROR(OLDBD[[#This Row],[Ingreso Packing]]-OLDBD[[#This Row],[Llegada a packing]],"")</f>
        <v/>
      </c>
      <c r="AW5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8" s="5" t="str">
        <f>IFERROR(OLDBD[[#This Row],[Llegada Almacén de Ingreso]]-OLDBD[[#This Row],[Salida Packing]],"")</f>
        <v/>
      </c>
      <c r="AY578" s="4" t="str" cm="1">
        <f t="array" ref="AY5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8" s="43" t="s">
        <v>173</v>
      </c>
      <c r="BB578" s="47" t="str">
        <f>IFERROR(IF(MARÍTIMOS[[#This Row],[Estatus]]="","",MARÍTIMOS[[#This Row],[Estatus]]),"")</f>
        <v/>
      </c>
      <c r="BC578" s="43"/>
      <c r="BD578" s="46" t="str">
        <f>IFERROR(OLDBD[[#This Row],[Salida de almacén de retiro]]-OLDBD[[#This Row],[Ingreso Almacén de retiro]],"")</f>
        <v/>
      </c>
      <c r="BE578" s="46" t="str">
        <f>IFERROR(OLDBD[[#This Row],[Fin de Carga]]-OLDBD[[#This Row],[Inicio de Carga]],"")</f>
        <v/>
      </c>
    </row>
    <row r="579" spans="1:57" customFormat="1" hidden="1">
      <c r="A579" s="1"/>
      <c r="B579" s="1" t="str">
        <f>IFERROR(IF(MARÍTIMOS[[#This Row],[PP]]="","",MARÍTIMOS[[#This Row],[PP]]),"")</f>
        <v/>
      </c>
      <c r="C579" s="1" t="str">
        <f>IFERROR(IF(MARÍTIMOS[[#This Row],[Sede]]="","",MARÍTIMOS[[#This Row],[Sede]]),"")</f>
        <v/>
      </c>
      <c r="D579" s="1" t="str">
        <f>IFERROR(IF(MARÍTIMOS[[#This Row],[Instruction]]="","",MARÍTIMOS[[#This Row],[Instruction]]),"")</f>
        <v/>
      </c>
      <c r="E579" s="1"/>
      <c r="F579" s="2" t="str">
        <f>IFERROR(IF(MARÍTIMOS[[#This Row],[Transportista]]="","",MARÍTIMOS[[#This Row],[Transportista]]),"")</f>
        <v/>
      </c>
      <c r="G579" s="2" t="str">
        <f>IFERROR(IF(MARÍTIMOS[[#This Row],[Tercero]]="","",MARÍTIMOS[[#This Row],[Tercero]]),"")</f>
        <v/>
      </c>
      <c r="H579" s="2" t="str">
        <f>IFERROR(IF(MARÍTIMOS[[#This Row],[Razón Social]]="","",MARÍTIMOS[[#This Row],[Razón Social]]),"")</f>
        <v/>
      </c>
      <c r="I579" s="2" t="str">
        <f>IFERROR(IF(MARÍTIMOS[[#This Row],[RUC]]="","",MARÍTIMOS[[#This Row],[RUC]]),"")</f>
        <v/>
      </c>
      <c r="J579" s="2" t="str">
        <f>IFERROR(IF(MARÍTIMOS[[#This Row],[Placa Tracto]]="","",MARÍTIMOS[[#This Row],[Placa Tracto]]),"")</f>
        <v/>
      </c>
      <c r="K579" s="2" t="str">
        <f>IFERROR(IF(MARÍTIMOS[[#This Row],[Placa Carreta]]="","",MARÍTIMOS[[#This Row],[Placa Carreta]]),"")</f>
        <v/>
      </c>
      <c r="L579" s="44" t="str">
        <f>IFERROR(IF(MARÍTIMOS[[#This Row],[Conductor]]="","",MARÍTIMOS[[#This Row],[Conductor]]),"")</f>
        <v/>
      </c>
      <c r="M579" s="2" t="str">
        <f>IFERROR(IF(MARÍTIMOS[[#This Row],[Licencia]]="","",MARÍTIMOS[[#This Row],[Licencia]]),"")</f>
        <v/>
      </c>
      <c r="N579" s="2" t="str">
        <f>IFERROR(IF(MARÍTIMOS[[#This Row],[Número de Contacto]]="","",MARÍTIMOS[[#This Row],[Número de Contacto]]),"")</f>
        <v/>
      </c>
      <c r="O579" s="10" t="str">
        <f>IFERROR(IF(MARÍTIMOS[[#This Row],[Booking|AWB|CRT]]="","",MARÍTIMOS[[#This Row],[Booking|AWB|CRT]]),"")</f>
        <v/>
      </c>
      <c r="P579" s="2" t="str">
        <f>IFERROR(IF(MARÍTIMOS[[#This Row],[Contenedor]]="","",MARÍTIMOS[[#This Row],[Contenedor]]),"")</f>
        <v/>
      </c>
      <c r="Q579" s="2" t="str">
        <f>IFERROR(IF(MARÍTIMOS[[#This Row],[Puerto de Retiro]]="","",MARÍTIMOS[[#This Row],[Puerto de Retiro]]),"")</f>
        <v/>
      </c>
      <c r="R579" s="2" t="str">
        <f>IFERROR(IF(MARÍTIMOS[[#This Row],[Almacén de Retiro]]="","",MARÍTIMOS[[#This Row],[Almacén de Retiro]]),"")</f>
        <v/>
      </c>
      <c r="S579" s="11" t="str">
        <f>IFERROR(IF(MARÍTIMOS[[#This Row],[Etapa Retiro - Cita]]="","",MARÍTIMOS[[#This Row],[Etapa Retiro - Cita]]),"")</f>
        <v/>
      </c>
      <c r="T579" s="11" t="str">
        <f>IFERROR(IF(MARÍTIMOS[[#This Row],[Etapa Retiro - Llegada]]="","",MARÍTIMOS[[#This Row],[Etapa Retiro - Llegada]]),"")</f>
        <v/>
      </c>
      <c r="U579" s="11" t="str">
        <f>IFERROR(IF(MARÍTIMOS[[#This Row],[Etapa Retiro - Ingreso]]="","",MARÍTIMOS[[#This Row],[Etapa Retiro - Ingreso]]),"")</f>
        <v/>
      </c>
      <c r="V579" s="11" t="str">
        <f>IFERROR(IF(MARÍTIMOS[[#This Row],[Etapa Retiro - Atención]]="","",MARÍTIMOS[[#This Row],[Etapa Retiro - Atención]]),"")</f>
        <v/>
      </c>
      <c r="W579" s="11" t="str">
        <f>IFERROR(IF(MARÍTIMOS[[#This Row],[Etapa Retiro - Atención]]="","",MARÍTIMOS[[#This Row],[Etapa Retiro - Atención]]),"")</f>
        <v/>
      </c>
      <c r="X579" s="11" t="str">
        <f>IFERROR(IF(MARÍTIMOS[[#This Row],[Etapa Retiro - Inicio de Ruta]]="","",MARÍTIMOS[[#This Row],[Etapa Retiro - Inicio de Ruta]]),"")</f>
        <v/>
      </c>
      <c r="Y579" s="11" t="str">
        <f>IFERROR(IF(MARÍTIMOS[[#This Row],[Hora de Posicionamiento]]="","",MARÍTIMOS[[#This Row],[Fecha de Carga]]+MARÍTIMOS[[#This Row],[Hora de Posicionamiento]]),"")</f>
        <v/>
      </c>
      <c r="Z579" s="11" t="str">
        <f>IFERROR(IF(MARÍTIMOS[[#This Row],[Etapa Despacho - Llegada]]="","",MARÍTIMOS[[#This Row],[Etapa Despacho - Llegada]]),"")</f>
        <v/>
      </c>
      <c r="AA579" s="11" t="str">
        <f>IFERROR(IF(MARÍTIMOS[[#This Row],[Etapa Despacho - Registro]]="","",MARÍTIMOS[[#This Row],[Etapa Despacho - Registro]]),"")</f>
        <v/>
      </c>
      <c r="AB579" s="11" t="str">
        <f>IFERROR(IF(MARÍTIMOS[[#This Row],[Inspección Externa]]="","",MARÍTIMOS[[#This Row],[Inspección Externa]]),"")</f>
        <v/>
      </c>
      <c r="AC579" s="11" t="str">
        <f>IFERROR(IF(MARÍTIMOS[[#This Row],[Etapa Despacho - Inicio de Carga]]="","",MARÍTIMOS[[#This Row],[Etapa Despacho - Inicio de Carga]]),"")</f>
        <v/>
      </c>
      <c r="AD579" s="11" t="str">
        <f>IFERROR(IF(MARÍTIMOS[[#This Row],[Etapa Despacho - Mitad de Carga]]="","",MARÍTIMOS[[#This Row],[Etapa Despacho - Mitad de Carga]]),"")</f>
        <v/>
      </c>
      <c r="AE579" s="11" t="str">
        <f>IFERROR(IF(MARÍTIMOS[[#This Row],[Etapa Despacho - Fin de Carga]]="","",MARÍTIMOS[[#This Row],[Etapa Despacho - Fin de Carga]]),"")</f>
        <v/>
      </c>
      <c r="AF579" s="2" t="str">
        <f>IFERROR(IF(MARÍTIMOS[[#This Row],[Puerto de Embarque]]="","",MARÍTIMOS[[#This Row],[Puerto de Embarque]]),"")</f>
        <v/>
      </c>
      <c r="AG579" s="2" t="str">
        <f>IFERROR(IF(MARÍTIMOS[[#This Row],[Almacén de Ingreso]]="","",MARÍTIMOS[[#This Row],[Almacén de Ingreso]]),"")</f>
        <v/>
      </c>
      <c r="AH579" s="11" t="str">
        <f>IFERROR(IF(MARÍTIMOS[[#This Row],[Etapa Ingreso - Cita]]="","",MARÍTIMOS[[#This Row],[Etapa Ingreso - Cita]]),"")</f>
        <v/>
      </c>
      <c r="AI579" s="11" t="str">
        <f>IFERROR(IF(MARÍTIMOS[[#This Row],[Etapa Ingreso - Llegada]]="","",MARÍTIMOS[[#This Row],[Etapa Ingreso - Llegada]]),"")</f>
        <v/>
      </c>
      <c r="AJ579" s="11" t="str">
        <f>IFERROR(IF(MARÍTIMOS[[#This Row],[Etapa Ingreso - Ingeso]]="","",MARÍTIMOS[[#This Row],[Etapa Ingreso - Ingeso]]),"")</f>
        <v/>
      </c>
      <c r="AK579" s="11" t="str">
        <f>IFERROR(IF(MARÍTIMOS[[#This Row],[Etapa Ingreso - Atención]]="","",MARÍTIMOS[[#This Row],[Etapa Ingreso - Atención]]),"")</f>
        <v/>
      </c>
      <c r="AL579" s="11" t="str">
        <f>IFERROR(IF(MARÍTIMOS[[#This Row],[Etapa Ingreso - Salida]]="","",MARÍTIMOS[[#This Row],[Etapa Ingreso - Salida]]),"")</f>
        <v/>
      </c>
      <c r="AM579" s="2" t="str">
        <f>IFERROR(IF(MARÍTIMOS[[#This Row],[FCL]]="","",MARÍTIMOS[[#This Row],[FCL]]),"")</f>
        <v/>
      </c>
      <c r="AN5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79" s="4" t="str" cm="1">
        <f t="array" ref="AO5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79" s="5" t="str">
        <f>IFERROR(OLDBD[[#This Row],[Llegada a packing]]-OLDBD[[#This Row],[Inicio de Ruta]],"")</f>
        <v/>
      </c>
      <c r="AQ579" s="6" t="str">
        <f>IFERROR(OLDBD[[#This Row],[Inicio de Ruta]]-OLDBD[[#This Row],[Salida de almacén de retiro]],"")</f>
        <v/>
      </c>
      <c r="AR5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79" s="8" t="str" cm="1">
        <f t="array" ref="AS5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79" s="9" t="str">
        <f>IFERROR(OLDBD[[#This Row],[Ingreso Packing]]-OLDBD[[#This Row],[Registro en Packing]],"")</f>
        <v/>
      </c>
      <c r="AV579" s="9" t="str">
        <f>IFERROR(OLDBD[[#This Row],[Ingreso Packing]]-OLDBD[[#This Row],[Llegada a packing]],"")</f>
        <v/>
      </c>
      <c r="AW5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79" s="5" t="str">
        <f>IFERROR(OLDBD[[#This Row],[Llegada Almacén de Ingreso]]-OLDBD[[#This Row],[Salida Packing]],"")</f>
        <v/>
      </c>
      <c r="AY579" s="4" t="str" cm="1">
        <f t="array" ref="AY5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79" s="43" t="s">
        <v>173</v>
      </c>
      <c r="BB579" s="47" t="str">
        <f>IFERROR(IF(MARÍTIMOS[[#This Row],[Estatus]]="","",MARÍTIMOS[[#This Row],[Estatus]]),"")</f>
        <v/>
      </c>
      <c r="BC579" s="43"/>
      <c r="BD579" s="46" t="str">
        <f>IFERROR(OLDBD[[#This Row],[Salida de almacén de retiro]]-OLDBD[[#This Row],[Ingreso Almacén de retiro]],"")</f>
        <v/>
      </c>
      <c r="BE579" s="46" t="str">
        <f>IFERROR(OLDBD[[#This Row],[Fin de Carga]]-OLDBD[[#This Row],[Inicio de Carga]],"")</f>
        <v/>
      </c>
    </row>
    <row r="580" spans="1:57" customFormat="1" hidden="1">
      <c r="A580" s="1"/>
      <c r="B580" s="1" t="str">
        <f>IFERROR(IF(MARÍTIMOS[[#This Row],[PP]]="","",MARÍTIMOS[[#This Row],[PP]]),"")</f>
        <v/>
      </c>
      <c r="C580" s="1" t="str">
        <f>IFERROR(IF(MARÍTIMOS[[#This Row],[Sede]]="","",MARÍTIMOS[[#This Row],[Sede]]),"")</f>
        <v/>
      </c>
      <c r="D580" s="1" t="str">
        <f>IFERROR(IF(MARÍTIMOS[[#This Row],[Instruction]]="","",MARÍTIMOS[[#This Row],[Instruction]]),"")</f>
        <v/>
      </c>
      <c r="E580" s="1"/>
      <c r="F580" s="2" t="str">
        <f>IFERROR(IF(MARÍTIMOS[[#This Row],[Transportista]]="","",MARÍTIMOS[[#This Row],[Transportista]]),"")</f>
        <v/>
      </c>
      <c r="G580" s="2" t="str">
        <f>IFERROR(IF(MARÍTIMOS[[#This Row],[Tercero]]="","",MARÍTIMOS[[#This Row],[Tercero]]),"")</f>
        <v/>
      </c>
      <c r="H580" s="2" t="str">
        <f>IFERROR(IF(MARÍTIMOS[[#This Row],[Razón Social]]="","",MARÍTIMOS[[#This Row],[Razón Social]]),"")</f>
        <v/>
      </c>
      <c r="I580" s="2" t="str">
        <f>IFERROR(IF(MARÍTIMOS[[#This Row],[RUC]]="","",MARÍTIMOS[[#This Row],[RUC]]),"")</f>
        <v/>
      </c>
      <c r="J580" s="2" t="str">
        <f>IFERROR(IF(MARÍTIMOS[[#This Row],[Placa Tracto]]="","",MARÍTIMOS[[#This Row],[Placa Tracto]]),"")</f>
        <v/>
      </c>
      <c r="K580" s="2" t="str">
        <f>IFERROR(IF(MARÍTIMOS[[#This Row],[Placa Carreta]]="","",MARÍTIMOS[[#This Row],[Placa Carreta]]),"")</f>
        <v/>
      </c>
      <c r="L580" s="44" t="str">
        <f>IFERROR(IF(MARÍTIMOS[[#This Row],[Conductor]]="","",MARÍTIMOS[[#This Row],[Conductor]]),"")</f>
        <v/>
      </c>
      <c r="M580" s="2" t="str">
        <f>IFERROR(IF(MARÍTIMOS[[#This Row],[Licencia]]="","",MARÍTIMOS[[#This Row],[Licencia]]),"")</f>
        <v/>
      </c>
      <c r="N580" s="2" t="str">
        <f>IFERROR(IF(MARÍTIMOS[[#This Row],[Número de Contacto]]="","",MARÍTIMOS[[#This Row],[Número de Contacto]]),"")</f>
        <v/>
      </c>
      <c r="O580" s="10" t="str">
        <f>IFERROR(IF(MARÍTIMOS[[#This Row],[Booking|AWB|CRT]]="","",MARÍTIMOS[[#This Row],[Booking|AWB|CRT]]),"")</f>
        <v/>
      </c>
      <c r="P580" s="2" t="str">
        <f>IFERROR(IF(MARÍTIMOS[[#This Row],[Contenedor]]="","",MARÍTIMOS[[#This Row],[Contenedor]]),"")</f>
        <v/>
      </c>
      <c r="Q580" s="2" t="str">
        <f>IFERROR(IF(MARÍTIMOS[[#This Row],[Puerto de Retiro]]="","",MARÍTIMOS[[#This Row],[Puerto de Retiro]]),"")</f>
        <v/>
      </c>
      <c r="R580" s="2" t="str">
        <f>IFERROR(IF(MARÍTIMOS[[#This Row],[Almacén de Retiro]]="","",MARÍTIMOS[[#This Row],[Almacén de Retiro]]),"")</f>
        <v/>
      </c>
      <c r="S580" s="11" t="str">
        <f>IFERROR(IF(MARÍTIMOS[[#This Row],[Etapa Retiro - Cita]]="","",MARÍTIMOS[[#This Row],[Etapa Retiro - Cita]]),"")</f>
        <v/>
      </c>
      <c r="T580" s="11" t="str">
        <f>IFERROR(IF(MARÍTIMOS[[#This Row],[Etapa Retiro - Llegada]]="","",MARÍTIMOS[[#This Row],[Etapa Retiro - Llegada]]),"")</f>
        <v/>
      </c>
      <c r="U580" s="11" t="str">
        <f>IFERROR(IF(MARÍTIMOS[[#This Row],[Etapa Retiro - Ingreso]]="","",MARÍTIMOS[[#This Row],[Etapa Retiro - Ingreso]]),"")</f>
        <v/>
      </c>
      <c r="V580" s="11" t="str">
        <f>IFERROR(IF(MARÍTIMOS[[#This Row],[Etapa Retiro - Atención]]="","",MARÍTIMOS[[#This Row],[Etapa Retiro - Atención]]),"")</f>
        <v/>
      </c>
      <c r="W580" s="11" t="str">
        <f>IFERROR(IF(MARÍTIMOS[[#This Row],[Etapa Retiro - Atención]]="","",MARÍTIMOS[[#This Row],[Etapa Retiro - Atención]]),"")</f>
        <v/>
      </c>
      <c r="X580" s="11" t="str">
        <f>IFERROR(IF(MARÍTIMOS[[#This Row],[Etapa Retiro - Inicio de Ruta]]="","",MARÍTIMOS[[#This Row],[Etapa Retiro - Inicio de Ruta]]),"")</f>
        <v/>
      </c>
      <c r="Y580" s="11" t="str">
        <f>IFERROR(IF(MARÍTIMOS[[#This Row],[Hora de Posicionamiento]]="","",MARÍTIMOS[[#This Row],[Fecha de Carga]]+MARÍTIMOS[[#This Row],[Hora de Posicionamiento]]),"")</f>
        <v/>
      </c>
      <c r="Z580" s="11" t="str">
        <f>IFERROR(IF(MARÍTIMOS[[#This Row],[Etapa Despacho - Llegada]]="","",MARÍTIMOS[[#This Row],[Etapa Despacho - Llegada]]),"")</f>
        <v/>
      </c>
      <c r="AA580" s="11" t="str">
        <f>IFERROR(IF(MARÍTIMOS[[#This Row],[Etapa Despacho - Registro]]="","",MARÍTIMOS[[#This Row],[Etapa Despacho - Registro]]),"")</f>
        <v/>
      </c>
      <c r="AB580" s="11" t="str">
        <f>IFERROR(IF(MARÍTIMOS[[#This Row],[Inspección Externa]]="","",MARÍTIMOS[[#This Row],[Inspección Externa]]),"")</f>
        <v/>
      </c>
      <c r="AC580" s="11" t="str">
        <f>IFERROR(IF(MARÍTIMOS[[#This Row],[Etapa Despacho - Inicio de Carga]]="","",MARÍTIMOS[[#This Row],[Etapa Despacho - Inicio de Carga]]),"")</f>
        <v/>
      </c>
      <c r="AD580" s="11" t="str">
        <f>IFERROR(IF(MARÍTIMOS[[#This Row],[Etapa Despacho - Mitad de Carga]]="","",MARÍTIMOS[[#This Row],[Etapa Despacho - Mitad de Carga]]),"")</f>
        <v/>
      </c>
      <c r="AE580" s="11" t="str">
        <f>IFERROR(IF(MARÍTIMOS[[#This Row],[Etapa Despacho - Fin de Carga]]="","",MARÍTIMOS[[#This Row],[Etapa Despacho - Fin de Carga]]),"")</f>
        <v/>
      </c>
      <c r="AF580" s="2" t="str">
        <f>IFERROR(IF(MARÍTIMOS[[#This Row],[Puerto de Embarque]]="","",MARÍTIMOS[[#This Row],[Puerto de Embarque]]),"")</f>
        <v/>
      </c>
      <c r="AG580" s="2" t="str">
        <f>IFERROR(IF(MARÍTIMOS[[#This Row],[Almacén de Ingreso]]="","",MARÍTIMOS[[#This Row],[Almacén de Ingreso]]),"")</f>
        <v/>
      </c>
      <c r="AH580" s="11" t="str">
        <f>IFERROR(IF(MARÍTIMOS[[#This Row],[Etapa Ingreso - Cita]]="","",MARÍTIMOS[[#This Row],[Etapa Ingreso - Cita]]),"")</f>
        <v/>
      </c>
      <c r="AI580" s="11" t="str">
        <f>IFERROR(IF(MARÍTIMOS[[#This Row],[Etapa Ingreso - Llegada]]="","",MARÍTIMOS[[#This Row],[Etapa Ingreso - Llegada]]),"")</f>
        <v/>
      </c>
      <c r="AJ580" s="11" t="str">
        <f>IFERROR(IF(MARÍTIMOS[[#This Row],[Etapa Ingreso - Ingeso]]="","",MARÍTIMOS[[#This Row],[Etapa Ingreso - Ingeso]]),"")</f>
        <v/>
      </c>
      <c r="AK580" s="11" t="str">
        <f>IFERROR(IF(MARÍTIMOS[[#This Row],[Etapa Ingreso - Atención]]="","",MARÍTIMOS[[#This Row],[Etapa Ingreso - Atención]]),"")</f>
        <v/>
      </c>
      <c r="AL580" s="11" t="str">
        <f>IFERROR(IF(MARÍTIMOS[[#This Row],[Etapa Ingreso - Salida]]="","",MARÍTIMOS[[#This Row],[Etapa Ingreso - Salida]]),"")</f>
        <v/>
      </c>
      <c r="AM580" s="2" t="str">
        <f>IFERROR(IF(MARÍTIMOS[[#This Row],[FCL]]="","",MARÍTIMOS[[#This Row],[FCL]]),"")</f>
        <v/>
      </c>
      <c r="AN5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0" s="4" t="str" cm="1">
        <f t="array" ref="AO5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0" s="5" t="str">
        <f>IFERROR(OLDBD[[#This Row],[Llegada a packing]]-OLDBD[[#This Row],[Inicio de Ruta]],"")</f>
        <v/>
      </c>
      <c r="AQ580" s="6" t="str">
        <f>IFERROR(OLDBD[[#This Row],[Inicio de Ruta]]-OLDBD[[#This Row],[Salida de almacén de retiro]],"")</f>
        <v/>
      </c>
      <c r="AR5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0" s="8" t="str" cm="1">
        <f t="array" ref="AS5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0" s="9" t="str">
        <f>IFERROR(OLDBD[[#This Row],[Ingreso Packing]]-OLDBD[[#This Row],[Registro en Packing]],"")</f>
        <v/>
      </c>
      <c r="AV580" s="9" t="str">
        <f>IFERROR(OLDBD[[#This Row],[Ingreso Packing]]-OLDBD[[#This Row],[Llegada a packing]],"")</f>
        <v/>
      </c>
      <c r="AW5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0" s="5" t="str">
        <f>IFERROR(OLDBD[[#This Row],[Llegada Almacén de Ingreso]]-OLDBD[[#This Row],[Salida Packing]],"")</f>
        <v/>
      </c>
      <c r="AY580" s="4" t="str" cm="1">
        <f t="array" ref="AY5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0" s="43" t="s">
        <v>173</v>
      </c>
      <c r="BB580" s="47" t="str">
        <f>IFERROR(IF(MARÍTIMOS[[#This Row],[Estatus]]="","",MARÍTIMOS[[#This Row],[Estatus]]),"")</f>
        <v/>
      </c>
      <c r="BC580" s="43"/>
      <c r="BD580" s="46" t="str">
        <f>IFERROR(OLDBD[[#This Row],[Salida de almacén de retiro]]-OLDBD[[#This Row],[Ingreso Almacén de retiro]],"")</f>
        <v/>
      </c>
      <c r="BE580" s="46" t="str">
        <f>IFERROR(OLDBD[[#This Row],[Fin de Carga]]-OLDBD[[#This Row],[Inicio de Carga]],"")</f>
        <v/>
      </c>
    </row>
    <row r="581" spans="1:57" customFormat="1" hidden="1">
      <c r="A581" s="1"/>
      <c r="B581" s="1" t="str">
        <f>IFERROR(IF(MARÍTIMOS[[#This Row],[PP]]="","",MARÍTIMOS[[#This Row],[PP]]),"")</f>
        <v/>
      </c>
      <c r="C581" s="1" t="str">
        <f>IFERROR(IF(MARÍTIMOS[[#This Row],[Sede]]="","",MARÍTIMOS[[#This Row],[Sede]]),"")</f>
        <v/>
      </c>
      <c r="D581" s="1" t="str">
        <f>IFERROR(IF(MARÍTIMOS[[#This Row],[Instruction]]="","",MARÍTIMOS[[#This Row],[Instruction]]),"")</f>
        <v/>
      </c>
      <c r="E581" s="1"/>
      <c r="F581" s="2" t="str">
        <f>IFERROR(IF(MARÍTIMOS[[#This Row],[Transportista]]="","",MARÍTIMOS[[#This Row],[Transportista]]),"")</f>
        <v/>
      </c>
      <c r="G581" s="2" t="str">
        <f>IFERROR(IF(MARÍTIMOS[[#This Row],[Tercero]]="","",MARÍTIMOS[[#This Row],[Tercero]]),"")</f>
        <v/>
      </c>
      <c r="H581" s="2" t="str">
        <f>IFERROR(IF(MARÍTIMOS[[#This Row],[Razón Social]]="","",MARÍTIMOS[[#This Row],[Razón Social]]),"")</f>
        <v/>
      </c>
      <c r="I581" s="2" t="str">
        <f>IFERROR(IF(MARÍTIMOS[[#This Row],[RUC]]="","",MARÍTIMOS[[#This Row],[RUC]]),"")</f>
        <v/>
      </c>
      <c r="J581" s="2" t="str">
        <f>IFERROR(IF(MARÍTIMOS[[#This Row],[Placa Tracto]]="","",MARÍTIMOS[[#This Row],[Placa Tracto]]),"")</f>
        <v/>
      </c>
      <c r="K581" s="2" t="str">
        <f>IFERROR(IF(MARÍTIMOS[[#This Row],[Placa Carreta]]="","",MARÍTIMOS[[#This Row],[Placa Carreta]]),"")</f>
        <v/>
      </c>
      <c r="L581" s="44" t="str">
        <f>IFERROR(IF(MARÍTIMOS[[#This Row],[Conductor]]="","",MARÍTIMOS[[#This Row],[Conductor]]),"")</f>
        <v/>
      </c>
      <c r="M581" s="2" t="str">
        <f>IFERROR(IF(MARÍTIMOS[[#This Row],[Licencia]]="","",MARÍTIMOS[[#This Row],[Licencia]]),"")</f>
        <v/>
      </c>
      <c r="N581" s="2" t="str">
        <f>IFERROR(IF(MARÍTIMOS[[#This Row],[Número de Contacto]]="","",MARÍTIMOS[[#This Row],[Número de Contacto]]),"")</f>
        <v/>
      </c>
      <c r="O581" s="10" t="str">
        <f>IFERROR(IF(MARÍTIMOS[[#This Row],[Booking|AWB|CRT]]="","",MARÍTIMOS[[#This Row],[Booking|AWB|CRT]]),"")</f>
        <v/>
      </c>
      <c r="P581" s="2" t="str">
        <f>IFERROR(IF(MARÍTIMOS[[#This Row],[Contenedor]]="","",MARÍTIMOS[[#This Row],[Contenedor]]),"")</f>
        <v/>
      </c>
      <c r="Q581" s="2" t="str">
        <f>IFERROR(IF(MARÍTIMOS[[#This Row],[Puerto de Retiro]]="","",MARÍTIMOS[[#This Row],[Puerto de Retiro]]),"")</f>
        <v/>
      </c>
      <c r="R581" s="2" t="str">
        <f>IFERROR(IF(MARÍTIMOS[[#This Row],[Almacén de Retiro]]="","",MARÍTIMOS[[#This Row],[Almacén de Retiro]]),"")</f>
        <v/>
      </c>
      <c r="S581" s="11" t="str">
        <f>IFERROR(IF(MARÍTIMOS[[#This Row],[Etapa Retiro - Cita]]="","",MARÍTIMOS[[#This Row],[Etapa Retiro - Cita]]),"")</f>
        <v/>
      </c>
      <c r="T581" s="11" t="str">
        <f>IFERROR(IF(MARÍTIMOS[[#This Row],[Etapa Retiro - Llegada]]="","",MARÍTIMOS[[#This Row],[Etapa Retiro - Llegada]]),"")</f>
        <v/>
      </c>
      <c r="U581" s="11" t="str">
        <f>IFERROR(IF(MARÍTIMOS[[#This Row],[Etapa Retiro - Ingreso]]="","",MARÍTIMOS[[#This Row],[Etapa Retiro - Ingreso]]),"")</f>
        <v/>
      </c>
      <c r="V581" s="11" t="str">
        <f>IFERROR(IF(MARÍTIMOS[[#This Row],[Etapa Retiro - Atención]]="","",MARÍTIMOS[[#This Row],[Etapa Retiro - Atención]]),"")</f>
        <v/>
      </c>
      <c r="W581" s="11" t="str">
        <f>IFERROR(IF(MARÍTIMOS[[#This Row],[Etapa Retiro - Atención]]="","",MARÍTIMOS[[#This Row],[Etapa Retiro - Atención]]),"")</f>
        <v/>
      </c>
      <c r="X581" s="11" t="str">
        <f>IFERROR(IF(MARÍTIMOS[[#This Row],[Etapa Retiro - Inicio de Ruta]]="","",MARÍTIMOS[[#This Row],[Etapa Retiro - Inicio de Ruta]]),"")</f>
        <v/>
      </c>
      <c r="Y581" s="11" t="str">
        <f>IFERROR(IF(MARÍTIMOS[[#This Row],[Hora de Posicionamiento]]="","",MARÍTIMOS[[#This Row],[Fecha de Carga]]+MARÍTIMOS[[#This Row],[Hora de Posicionamiento]]),"")</f>
        <v/>
      </c>
      <c r="Z581" s="11" t="str">
        <f>IFERROR(IF(MARÍTIMOS[[#This Row],[Etapa Despacho - Llegada]]="","",MARÍTIMOS[[#This Row],[Etapa Despacho - Llegada]]),"")</f>
        <v/>
      </c>
      <c r="AA581" s="11" t="str">
        <f>IFERROR(IF(MARÍTIMOS[[#This Row],[Etapa Despacho - Registro]]="","",MARÍTIMOS[[#This Row],[Etapa Despacho - Registro]]),"")</f>
        <v/>
      </c>
      <c r="AB581" s="11" t="str">
        <f>IFERROR(IF(MARÍTIMOS[[#This Row],[Inspección Externa]]="","",MARÍTIMOS[[#This Row],[Inspección Externa]]),"")</f>
        <v/>
      </c>
      <c r="AC581" s="11" t="str">
        <f>IFERROR(IF(MARÍTIMOS[[#This Row],[Etapa Despacho - Inicio de Carga]]="","",MARÍTIMOS[[#This Row],[Etapa Despacho - Inicio de Carga]]),"")</f>
        <v/>
      </c>
      <c r="AD581" s="11" t="str">
        <f>IFERROR(IF(MARÍTIMOS[[#This Row],[Etapa Despacho - Mitad de Carga]]="","",MARÍTIMOS[[#This Row],[Etapa Despacho - Mitad de Carga]]),"")</f>
        <v/>
      </c>
      <c r="AE581" s="11" t="str">
        <f>IFERROR(IF(MARÍTIMOS[[#This Row],[Etapa Despacho - Fin de Carga]]="","",MARÍTIMOS[[#This Row],[Etapa Despacho - Fin de Carga]]),"")</f>
        <v/>
      </c>
      <c r="AF581" s="2" t="str">
        <f>IFERROR(IF(MARÍTIMOS[[#This Row],[Puerto de Embarque]]="","",MARÍTIMOS[[#This Row],[Puerto de Embarque]]),"")</f>
        <v/>
      </c>
      <c r="AG581" s="2" t="str">
        <f>IFERROR(IF(MARÍTIMOS[[#This Row],[Almacén de Ingreso]]="","",MARÍTIMOS[[#This Row],[Almacén de Ingreso]]),"")</f>
        <v/>
      </c>
      <c r="AH581" s="11" t="str">
        <f>IFERROR(IF(MARÍTIMOS[[#This Row],[Etapa Ingreso - Cita]]="","",MARÍTIMOS[[#This Row],[Etapa Ingreso - Cita]]),"")</f>
        <v/>
      </c>
      <c r="AI581" s="11" t="str">
        <f>IFERROR(IF(MARÍTIMOS[[#This Row],[Etapa Ingreso - Llegada]]="","",MARÍTIMOS[[#This Row],[Etapa Ingreso - Llegada]]),"")</f>
        <v/>
      </c>
      <c r="AJ581" s="11" t="str">
        <f>IFERROR(IF(MARÍTIMOS[[#This Row],[Etapa Ingreso - Ingeso]]="","",MARÍTIMOS[[#This Row],[Etapa Ingreso - Ingeso]]),"")</f>
        <v/>
      </c>
      <c r="AK581" s="11" t="str">
        <f>IFERROR(IF(MARÍTIMOS[[#This Row],[Etapa Ingreso - Atención]]="","",MARÍTIMOS[[#This Row],[Etapa Ingreso - Atención]]),"")</f>
        <v/>
      </c>
      <c r="AL581" s="11" t="str">
        <f>IFERROR(IF(MARÍTIMOS[[#This Row],[Etapa Ingreso - Salida]]="","",MARÍTIMOS[[#This Row],[Etapa Ingreso - Salida]]),"")</f>
        <v/>
      </c>
      <c r="AM581" s="2" t="str">
        <f>IFERROR(IF(MARÍTIMOS[[#This Row],[FCL]]="","",MARÍTIMOS[[#This Row],[FCL]]),"")</f>
        <v/>
      </c>
      <c r="AN5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1" s="4" t="str" cm="1">
        <f t="array" ref="AO5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1" s="5" t="str">
        <f>IFERROR(OLDBD[[#This Row],[Llegada a packing]]-OLDBD[[#This Row],[Inicio de Ruta]],"")</f>
        <v/>
      </c>
      <c r="AQ581" s="6" t="str">
        <f>IFERROR(OLDBD[[#This Row],[Inicio de Ruta]]-OLDBD[[#This Row],[Salida de almacén de retiro]],"")</f>
        <v/>
      </c>
      <c r="AR5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1" s="8" t="str" cm="1">
        <f t="array" ref="AS5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1" s="9" t="str">
        <f>IFERROR(OLDBD[[#This Row],[Ingreso Packing]]-OLDBD[[#This Row],[Registro en Packing]],"")</f>
        <v/>
      </c>
      <c r="AV581" s="9" t="str">
        <f>IFERROR(OLDBD[[#This Row],[Ingreso Packing]]-OLDBD[[#This Row],[Llegada a packing]],"")</f>
        <v/>
      </c>
      <c r="AW5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1" s="5" t="str">
        <f>IFERROR(OLDBD[[#This Row],[Llegada Almacén de Ingreso]]-OLDBD[[#This Row],[Salida Packing]],"")</f>
        <v/>
      </c>
      <c r="AY581" s="4" t="str" cm="1">
        <f t="array" ref="AY5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1" s="43" t="s">
        <v>173</v>
      </c>
      <c r="BB581" s="47" t="str">
        <f>IFERROR(IF(MARÍTIMOS[[#This Row],[Estatus]]="","",MARÍTIMOS[[#This Row],[Estatus]]),"")</f>
        <v/>
      </c>
      <c r="BC581" s="43"/>
      <c r="BD581" s="46" t="str">
        <f>IFERROR(OLDBD[[#This Row],[Salida de almacén de retiro]]-OLDBD[[#This Row],[Ingreso Almacén de retiro]],"")</f>
        <v/>
      </c>
      <c r="BE581" s="46" t="str">
        <f>IFERROR(OLDBD[[#This Row],[Fin de Carga]]-OLDBD[[#This Row],[Inicio de Carga]],"")</f>
        <v/>
      </c>
    </row>
    <row r="582" spans="1:57" customFormat="1" hidden="1">
      <c r="A582" s="1"/>
      <c r="B582" s="1" t="str">
        <f>IFERROR(IF(MARÍTIMOS[[#This Row],[PP]]="","",MARÍTIMOS[[#This Row],[PP]]),"")</f>
        <v/>
      </c>
      <c r="C582" s="1" t="str">
        <f>IFERROR(IF(MARÍTIMOS[[#This Row],[Sede]]="","",MARÍTIMOS[[#This Row],[Sede]]),"")</f>
        <v/>
      </c>
      <c r="D582" s="1" t="str">
        <f>IFERROR(IF(MARÍTIMOS[[#This Row],[Instruction]]="","",MARÍTIMOS[[#This Row],[Instruction]]),"")</f>
        <v/>
      </c>
      <c r="E582" s="1"/>
      <c r="F582" s="2" t="str">
        <f>IFERROR(IF(MARÍTIMOS[[#This Row],[Transportista]]="","",MARÍTIMOS[[#This Row],[Transportista]]),"")</f>
        <v/>
      </c>
      <c r="G582" s="2" t="str">
        <f>IFERROR(IF(MARÍTIMOS[[#This Row],[Tercero]]="","",MARÍTIMOS[[#This Row],[Tercero]]),"")</f>
        <v/>
      </c>
      <c r="H582" s="2" t="str">
        <f>IFERROR(IF(MARÍTIMOS[[#This Row],[Razón Social]]="","",MARÍTIMOS[[#This Row],[Razón Social]]),"")</f>
        <v/>
      </c>
      <c r="I582" s="2" t="str">
        <f>IFERROR(IF(MARÍTIMOS[[#This Row],[RUC]]="","",MARÍTIMOS[[#This Row],[RUC]]),"")</f>
        <v/>
      </c>
      <c r="J582" s="2" t="str">
        <f>IFERROR(IF(MARÍTIMOS[[#This Row],[Placa Tracto]]="","",MARÍTIMOS[[#This Row],[Placa Tracto]]),"")</f>
        <v/>
      </c>
      <c r="K582" s="2" t="str">
        <f>IFERROR(IF(MARÍTIMOS[[#This Row],[Placa Carreta]]="","",MARÍTIMOS[[#This Row],[Placa Carreta]]),"")</f>
        <v/>
      </c>
      <c r="L582" s="44" t="str">
        <f>IFERROR(IF(MARÍTIMOS[[#This Row],[Conductor]]="","",MARÍTIMOS[[#This Row],[Conductor]]),"")</f>
        <v/>
      </c>
      <c r="M582" s="2" t="str">
        <f>IFERROR(IF(MARÍTIMOS[[#This Row],[Licencia]]="","",MARÍTIMOS[[#This Row],[Licencia]]),"")</f>
        <v/>
      </c>
      <c r="N582" s="2" t="str">
        <f>IFERROR(IF(MARÍTIMOS[[#This Row],[Número de Contacto]]="","",MARÍTIMOS[[#This Row],[Número de Contacto]]),"")</f>
        <v/>
      </c>
      <c r="O582" s="10" t="str">
        <f>IFERROR(IF(MARÍTIMOS[[#This Row],[Booking|AWB|CRT]]="","",MARÍTIMOS[[#This Row],[Booking|AWB|CRT]]),"")</f>
        <v/>
      </c>
      <c r="P582" s="2" t="str">
        <f>IFERROR(IF(MARÍTIMOS[[#This Row],[Contenedor]]="","",MARÍTIMOS[[#This Row],[Contenedor]]),"")</f>
        <v/>
      </c>
      <c r="Q582" s="2" t="str">
        <f>IFERROR(IF(MARÍTIMOS[[#This Row],[Puerto de Retiro]]="","",MARÍTIMOS[[#This Row],[Puerto de Retiro]]),"")</f>
        <v/>
      </c>
      <c r="R582" s="2" t="str">
        <f>IFERROR(IF(MARÍTIMOS[[#This Row],[Almacén de Retiro]]="","",MARÍTIMOS[[#This Row],[Almacén de Retiro]]),"")</f>
        <v/>
      </c>
      <c r="S582" s="11" t="str">
        <f>IFERROR(IF(MARÍTIMOS[[#This Row],[Etapa Retiro - Cita]]="","",MARÍTIMOS[[#This Row],[Etapa Retiro - Cita]]),"")</f>
        <v/>
      </c>
      <c r="T582" s="11" t="str">
        <f>IFERROR(IF(MARÍTIMOS[[#This Row],[Etapa Retiro - Llegada]]="","",MARÍTIMOS[[#This Row],[Etapa Retiro - Llegada]]),"")</f>
        <v/>
      </c>
      <c r="U582" s="11" t="str">
        <f>IFERROR(IF(MARÍTIMOS[[#This Row],[Etapa Retiro - Ingreso]]="","",MARÍTIMOS[[#This Row],[Etapa Retiro - Ingreso]]),"")</f>
        <v/>
      </c>
      <c r="V582" s="11" t="str">
        <f>IFERROR(IF(MARÍTIMOS[[#This Row],[Etapa Retiro - Atención]]="","",MARÍTIMOS[[#This Row],[Etapa Retiro - Atención]]),"")</f>
        <v/>
      </c>
      <c r="W582" s="11" t="str">
        <f>IFERROR(IF(MARÍTIMOS[[#This Row],[Etapa Retiro - Atención]]="","",MARÍTIMOS[[#This Row],[Etapa Retiro - Atención]]),"")</f>
        <v/>
      </c>
      <c r="X582" s="11" t="str">
        <f>IFERROR(IF(MARÍTIMOS[[#This Row],[Etapa Retiro - Inicio de Ruta]]="","",MARÍTIMOS[[#This Row],[Etapa Retiro - Inicio de Ruta]]),"")</f>
        <v/>
      </c>
      <c r="Y582" s="11" t="str">
        <f>IFERROR(IF(MARÍTIMOS[[#This Row],[Hora de Posicionamiento]]="","",MARÍTIMOS[[#This Row],[Fecha de Carga]]+MARÍTIMOS[[#This Row],[Hora de Posicionamiento]]),"")</f>
        <v/>
      </c>
      <c r="Z582" s="11" t="str">
        <f>IFERROR(IF(MARÍTIMOS[[#This Row],[Etapa Despacho - Llegada]]="","",MARÍTIMOS[[#This Row],[Etapa Despacho - Llegada]]),"")</f>
        <v/>
      </c>
      <c r="AA582" s="11" t="str">
        <f>IFERROR(IF(MARÍTIMOS[[#This Row],[Etapa Despacho - Registro]]="","",MARÍTIMOS[[#This Row],[Etapa Despacho - Registro]]),"")</f>
        <v/>
      </c>
      <c r="AB582" s="11" t="str">
        <f>IFERROR(IF(MARÍTIMOS[[#This Row],[Inspección Externa]]="","",MARÍTIMOS[[#This Row],[Inspección Externa]]),"")</f>
        <v/>
      </c>
      <c r="AC582" s="11" t="str">
        <f>IFERROR(IF(MARÍTIMOS[[#This Row],[Etapa Despacho - Inicio de Carga]]="","",MARÍTIMOS[[#This Row],[Etapa Despacho - Inicio de Carga]]),"")</f>
        <v/>
      </c>
      <c r="AD582" s="11" t="str">
        <f>IFERROR(IF(MARÍTIMOS[[#This Row],[Etapa Despacho - Mitad de Carga]]="","",MARÍTIMOS[[#This Row],[Etapa Despacho - Mitad de Carga]]),"")</f>
        <v/>
      </c>
      <c r="AE582" s="11" t="str">
        <f>IFERROR(IF(MARÍTIMOS[[#This Row],[Etapa Despacho - Fin de Carga]]="","",MARÍTIMOS[[#This Row],[Etapa Despacho - Fin de Carga]]),"")</f>
        <v/>
      </c>
      <c r="AF582" s="2" t="str">
        <f>IFERROR(IF(MARÍTIMOS[[#This Row],[Puerto de Embarque]]="","",MARÍTIMOS[[#This Row],[Puerto de Embarque]]),"")</f>
        <v/>
      </c>
      <c r="AG582" s="2" t="str">
        <f>IFERROR(IF(MARÍTIMOS[[#This Row],[Almacén de Ingreso]]="","",MARÍTIMOS[[#This Row],[Almacén de Ingreso]]),"")</f>
        <v/>
      </c>
      <c r="AH582" s="11" t="str">
        <f>IFERROR(IF(MARÍTIMOS[[#This Row],[Etapa Ingreso - Cita]]="","",MARÍTIMOS[[#This Row],[Etapa Ingreso - Cita]]),"")</f>
        <v/>
      </c>
      <c r="AI582" s="11" t="str">
        <f>IFERROR(IF(MARÍTIMOS[[#This Row],[Etapa Ingreso - Llegada]]="","",MARÍTIMOS[[#This Row],[Etapa Ingreso - Llegada]]),"")</f>
        <v/>
      </c>
      <c r="AJ582" s="11" t="str">
        <f>IFERROR(IF(MARÍTIMOS[[#This Row],[Etapa Ingreso - Ingeso]]="","",MARÍTIMOS[[#This Row],[Etapa Ingreso - Ingeso]]),"")</f>
        <v/>
      </c>
      <c r="AK582" s="11" t="str">
        <f>IFERROR(IF(MARÍTIMOS[[#This Row],[Etapa Ingreso - Atención]]="","",MARÍTIMOS[[#This Row],[Etapa Ingreso - Atención]]),"")</f>
        <v/>
      </c>
      <c r="AL582" s="11" t="str">
        <f>IFERROR(IF(MARÍTIMOS[[#This Row],[Etapa Ingreso - Salida]]="","",MARÍTIMOS[[#This Row],[Etapa Ingreso - Salida]]),"")</f>
        <v/>
      </c>
      <c r="AM582" s="2" t="str">
        <f>IFERROR(IF(MARÍTIMOS[[#This Row],[FCL]]="","",MARÍTIMOS[[#This Row],[FCL]]),"")</f>
        <v/>
      </c>
      <c r="AN5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2" s="4" t="str" cm="1">
        <f t="array" ref="AO5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2" s="5" t="str">
        <f>IFERROR(OLDBD[[#This Row],[Llegada a packing]]-OLDBD[[#This Row],[Inicio de Ruta]],"")</f>
        <v/>
      </c>
      <c r="AQ582" s="6" t="str">
        <f>IFERROR(OLDBD[[#This Row],[Inicio de Ruta]]-OLDBD[[#This Row],[Salida de almacén de retiro]],"")</f>
        <v/>
      </c>
      <c r="AR5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2" s="8" t="str" cm="1">
        <f t="array" ref="AS5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2" s="9" t="str">
        <f>IFERROR(OLDBD[[#This Row],[Ingreso Packing]]-OLDBD[[#This Row],[Registro en Packing]],"")</f>
        <v/>
      </c>
      <c r="AV582" s="9" t="str">
        <f>IFERROR(OLDBD[[#This Row],[Ingreso Packing]]-OLDBD[[#This Row],[Llegada a packing]],"")</f>
        <v/>
      </c>
      <c r="AW5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2" s="5" t="str">
        <f>IFERROR(OLDBD[[#This Row],[Llegada Almacén de Ingreso]]-OLDBD[[#This Row],[Salida Packing]],"")</f>
        <v/>
      </c>
      <c r="AY582" s="4" t="str" cm="1">
        <f t="array" ref="AY5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2" s="43" t="s">
        <v>173</v>
      </c>
      <c r="BB582" s="47" t="str">
        <f>IFERROR(IF(MARÍTIMOS[[#This Row],[Estatus]]="","",MARÍTIMOS[[#This Row],[Estatus]]),"")</f>
        <v/>
      </c>
      <c r="BC582" s="43"/>
      <c r="BD582" s="46" t="str">
        <f>IFERROR(OLDBD[[#This Row],[Salida de almacén de retiro]]-OLDBD[[#This Row],[Ingreso Almacén de retiro]],"")</f>
        <v/>
      </c>
      <c r="BE582" s="46" t="str">
        <f>IFERROR(OLDBD[[#This Row],[Fin de Carga]]-OLDBD[[#This Row],[Inicio de Carga]],"")</f>
        <v/>
      </c>
    </row>
    <row r="583" spans="1:57" customFormat="1" hidden="1">
      <c r="A583" s="1"/>
      <c r="B583" s="1" t="str">
        <f>IFERROR(IF(MARÍTIMOS[[#This Row],[PP]]="","",MARÍTIMOS[[#This Row],[PP]]),"")</f>
        <v/>
      </c>
      <c r="C583" s="1" t="str">
        <f>IFERROR(IF(MARÍTIMOS[[#This Row],[Sede]]="","",MARÍTIMOS[[#This Row],[Sede]]),"")</f>
        <v/>
      </c>
      <c r="D583" s="1" t="str">
        <f>IFERROR(IF(MARÍTIMOS[[#This Row],[Instruction]]="","",MARÍTIMOS[[#This Row],[Instruction]]),"")</f>
        <v/>
      </c>
      <c r="E583" s="1"/>
      <c r="F583" s="2" t="str">
        <f>IFERROR(IF(MARÍTIMOS[[#This Row],[Transportista]]="","",MARÍTIMOS[[#This Row],[Transportista]]),"")</f>
        <v/>
      </c>
      <c r="G583" s="2" t="str">
        <f>IFERROR(IF(MARÍTIMOS[[#This Row],[Tercero]]="","",MARÍTIMOS[[#This Row],[Tercero]]),"")</f>
        <v/>
      </c>
      <c r="H583" s="2" t="str">
        <f>IFERROR(IF(MARÍTIMOS[[#This Row],[Razón Social]]="","",MARÍTIMOS[[#This Row],[Razón Social]]),"")</f>
        <v/>
      </c>
      <c r="I583" s="2" t="str">
        <f>IFERROR(IF(MARÍTIMOS[[#This Row],[RUC]]="","",MARÍTIMOS[[#This Row],[RUC]]),"")</f>
        <v/>
      </c>
      <c r="J583" s="2" t="str">
        <f>IFERROR(IF(MARÍTIMOS[[#This Row],[Placa Tracto]]="","",MARÍTIMOS[[#This Row],[Placa Tracto]]),"")</f>
        <v/>
      </c>
      <c r="K583" s="2" t="str">
        <f>IFERROR(IF(MARÍTIMOS[[#This Row],[Placa Carreta]]="","",MARÍTIMOS[[#This Row],[Placa Carreta]]),"")</f>
        <v/>
      </c>
      <c r="L583" s="44" t="str">
        <f>IFERROR(IF(MARÍTIMOS[[#This Row],[Conductor]]="","",MARÍTIMOS[[#This Row],[Conductor]]),"")</f>
        <v/>
      </c>
      <c r="M583" s="2" t="str">
        <f>IFERROR(IF(MARÍTIMOS[[#This Row],[Licencia]]="","",MARÍTIMOS[[#This Row],[Licencia]]),"")</f>
        <v/>
      </c>
      <c r="N583" s="2" t="str">
        <f>IFERROR(IF(MARÍTIMOS[[#This Row],[Número de Contacto]]="","",MARÍTIMOS[[#This Row],[Número de Contacto]]),"")</f>
        <v/>
      </c>
      <c r="O583" s="10" t="str">
        <f>IFERROR(IF(MARÍTIMOS[[#This Row],[Booking|AWB|CRT]]="","",MARÍTIMOS[[#This Row],[Booking|AWB|CRT]]),"")</f>
        <v/>
      </c>
      <c r="P583" s="2" t="str">
        <f>IFERROR(IF(MARÍTIMOS[[#This Row],[Contenedor]]="","",MARÍTIMOS[[#This Row],[Contenedor]]),"")</f>
        <v/>
      </c>
      <c r="Q583" s="2" t="str">
        <f>IFERROR(IF(MARÍTIMOS[[#This Row],[Puerto de Retiro]]="","",MARÍTIMOS[[#This Row],[Puerto de Retiro]]),"")</f>
        <v/>
      </c>
      <c r="R583" s="2" t="str">
        <f>IFERROR(IF(MARÍTIMOS[[#This Row],[Almacén de Retiro]]="","",MARÍTIMOS[[#This Row],[Almacén de Retiro]]),"")</f>
        <v/>
      </c>
      <c r="S583" s="11" t="str">
        <f>IFERROR(IF(MARÍTIMOS[[#This Row],[Etapa Retiro - Cita]]="","",MARÍTIMOS[[#This Row],[Etapa Retiro - Cita]]),"")</f>
        <v/>
      </c>
      <c r="T583" s="11" t="str">
        <f>IFERROR(IF(MARÍTIMOS[[#This Row],[Etapa Retiro - Llegada]]="","",MARÍTIMOS[[#This Row],[Etapa Retiro - Llegada]]),"")</f>
        <v/>
      </c>
      <c r="U583" s="11" t="str">
        <f>IFERROR(IF(MARÍTIMOS[[#This Row],[Etapa Retiro - Ingreso]]="","",MARÍTIMOS[[#This Row],[Etapa Retiro - Ingreso]]),"")</f>
        <v/>
      </c>
      <c r="V583" s="11" t="str">
        <f>IFERROR(IF(MARÍTIMOS[[#This Row],[Etapa Retiro - Atención]]="","",MARÍTIMOS[[#This Row],[Etapa Retiro - Atención]]),"")</f>
        <v/>
      </c>
      <c r="W583" s="11" t="str">
        <f>IFERROR(IF(MARÍTIMOS[[#This Row],[Etapa Retiro - Atención]]="","",MARÍTIMOS[[#This Row],[Etapa Retiro - Atención]]),"")</f>
        <v/>
      </c>
      <c r="X583" s="11" t="str">
        <f>IFERROR(IF(MARÍTIMOS[[#This Row],[Etapa Retiro - Inicio de Ruta]]="","",MARÍTIMOS[[#This Row],[Etapa Retiro - Inicio de Ruta]]),"")</f>
        <v/>
      </c>
      <c r="Y583" s="11" t="str">
        <f>IFERROR(IF(MARÍTIMOS[[#This Row],[Hora de Posicionamiento]]="","",MARÍTIMOS[[#This Row],[Fecha de Carga]]+MARÍTIMOS[[#This Row],[Hora de Posicionamiento]]),"")</f>
        <v/>
      </c>
      <c r="Z583" s="11" t="str">
        <f>IFERROR(IF(MARÍTIMOS[[#This Row],[Etapa Despacho - Llegada]]="","",MARÍTIMOS[[#This Row],[Etapa Despacho - Llegada]]),"")</f>
        <v/>
      </c>
      <c r="AA583" s="11" t="str">
        <f>IFERROR(IF(MARÍTIMOS[[#This Row],[Etapa Despacho - Registro]]="","",MARÍTIMOS[[#This Row],[Etapa Despacho - Registro]]),"")</f>
        <v/>
      </c>
      <c r="AB583" s="11" t="str">
        <f>IFERROR(IF(MARÍTIMOS[[#This Row],[Inspección Externa]]="","",MARÍTIMOS[[#This Row],[Inspección Externa]]),"")</f>
        <v/>
      </c>
      <c r="AC583" s="11" t="str">
        <f>IFERROR(IF(MARÍTIMOS[[#This Row],[Etapa Despacho - Inicio de Carga]]="","",MARÍTIMOS[[#This Row],[Etapa Despacho - Inicio de Carga]]),"")</f>
        <v/>
      </c>
      <c r="AD583" s="11" t="str">
        <f>IFERROR(IF(MARÍTIMOS[[#This Row],[Etapa Despacho - Mitad de Carga]]="","",MARÍTIMOS[[#This Row],[Etapa Despacho - Mitad de Carga]]),"")</f>
        <v/>
      </c>
      <c r="AE583" s="11" t="str">
        <f>IFERROR(IF(MARÍTIMOS[[#This Row],[Etapa Despacho - Fin de Carga]]="","",MARÍTIMOS[[#This Row],[Etapa Despacho - Fin de Carga]]),"")</f>
        <v/>
      </c>
      <c r="AF583" s="2" t="str">
        <f>IFERROR(IF(MARÍTIMOS[[#This Row],[Puerto de Embarque]]="","",MARÍTIMOS[[#This Row],[Puerto de Embarque]]),"")</f>
        <v/>
      </c>
      <c r="AG583" s="2" t="str">
        <f>IFERROR(IF(MARÍTIMOS[[#This Row],[Almacén de Ingreso]]="","",MARÍTIMOS[[#This Row],[Almacén de Ingreso]]),"")</f>
        <v/>
      </c>
      <c r="AH583" s="11" t="str">
        <f>IFERROR(IF(MARÍTIMOS[[#This Row],[Etapa Ingreso - Cita]]="","",MARÍTIMOS[[#This Row],[Etapa Ingreso - Cita]]),"")</f>
        <v/>
      </c>
      <c r="AI583" s="11" t="str">
        <f>IFERROR(IF(MARÍTIMOS[[#This Row],[Etapa Ingreso - Llegada]]="","",MARÍTIMOS[[#This Row],[Etapa Ingreso - Llegada]]),"")</f>
        <v/>
      </c>
      <c r="AJ583" s="11" t="str">
        <f>IFERROR(IF(MARÍTIMOS[[#This Row],[Etapa Ingreso - Ingeso]]="","",MARÍTIMOS[[#This Row],[Etapa Ingreso - Ingeso]]),"")</f>
        <v/>
      </c>
      <c r="AK583" s="11" t="str">
        <f>IFERROR(IF(MARÍTIMOS[[#This Row],[Etapa Ingreso - Atención]]="","",MARÍTIMOS[[#This Row],[Etapa Ingreso - Atención]]),"")</f>
        <v/>
      </c>
      <c r="AL583" s="11" t="str">
        <f>IFERROR(IF(MARÍTIMOS[[#This Row],[Etapa Ingreso - Salida]]="","",MARÍTIMOS[[#This Row],[Etapa Ingreso - Salida]]),"")</f>
        <v/>
      </c>
      <c r="AM583" s="2" t="str">
        <f>IFERROR(IF(MARÍTIMOS[[#This Row],[FCL]]="","",MARÍTIMOS[[#This Row],[FCL]]),"")</f>
        <v/>
      </c>
      <c r="AN5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3" s="4" t="str" cm="1">
        <f t="array" ref="AO5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3" s="5" t="str">
        <f>IFERROR(OLDBD[[#This Row],[Llegada a packing]]-OLDBD[[#This Row],[Inicio de Ruta]],"")</f>
        <v/>
      </c>
      <c r="AQ583" s="6" t="str">
        <f>IFERROR(OLDBD[[#This Row],[Inicio de Ruta]]-OLDBD[[#This Row],[Salida de almacén de retiro]],"")</f>
        <v/>
      </c>
      <c r="AR5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3" s="8" t="str" cm="1">
        <f t="array" ref="AS5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3" s="9" t="str">
        <f>IFERROR(OLDBD[[#This Row],[Ingreso Packing]]-OLDBD[[#This Row],[Registro en Packing]],"")</f>
        <v/>
      </c>
      <c r="AV583" s="9" t="str">
        <f>IFERROR(OLDBD[[#This Row],[Ingreso Packing]]-OLDBD[[#This Row],[Llegada a packing]],"")</f>
        <v/>
      </c>
      <c r="AW5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3" s="5" t="str">
        <f>IFERROR(OLDBD[[#This Row],[Llegada Almacén de Ingreso]]-OLDBD[[#This Row],[Salida Packing]],"")</f>
        <v/>
      </c>
      <c r="AY583" s="4" t="str" cm="1">
        <f t="array" ref="AY5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3" s="43" t="s">
        <v>173</v>
      </c>
      <c r="BB583" s="47" t="str">
        <f>IFERROR(IF(MARÍTIMOS[[#This Row],[Estatus]]="","",MARÍTIMOS[[#This Row],[Estatus]]),"")</f>
        <v/>
      </c>
      <c r="BC583" s="43"/>
      <c r="BD583" s="46" t="str">
        <f>IFERROR(OLDBD[[#This Row],[Salida de almacén de retiro]]-OLDBD[[#This Row],[Ingreso Almacén de retiro]],"")</f>
        <v/>
      </c>
      <c r="BE583" s="46" t="str">
        <f>IFERROR(OLDBD[[#This Row],[Fin de Carga]]-OLDBD[[#This Row],[Inicio de Carga]],"")</f>
        <v/>
      </c>
    </row>
    <row r="584" spans="1:57" customFormat="1" hidden="1">
      <c r="A584" s="1"/>
      <c r="B584" s="1" t="str">
        <f>IFERROR(IF(MARÍTIMOS[[#This Row],[PP]]="","",MARÍTIMOS[[#This Row],[PP]]),"")</f>
        <v/>
      </c>
      <c r="C584" s="1" t="str">
        <f>IFERROR(IF(MARÍTIMOS[[#This Row],[Sede]]="","",MARÍTIMOS[[#This Row],[Sede]]),"")</f>
        <v/>
      </c>
      <c r="D584" s="1" t="str">
        <f>IFERROR(IF(MARÍTIMOS[[#This Row],[Instruction]]="","",MARÍTIMOS[[#This Row],[Instruction]]),"")</f>
        <v/>
      </c>
      <c r="E584" s="1"/>
      <c r="F584" s="2" t="str">
        <f>IFERROR(IF(MARÍTIMOS[[#This Row],[Transportista]]="","",MARÍTIMOS[[#This Row],[Transportista]]),"")</f>
        <v/>
      </c>
      <c r="G584" s="2" t="str">
        <f>IFERROR(IF(MARÍTIMOS[[#This Row],[Tercero]]="","",MARÍTIMOS[[#This Row],[Tercero]]),"")</f>
        <v/>
      </c>
      <c r="H584" s="2" t="str">
        <f>IFERROR(IF(MARÍTIMOS[[#This Row],[Razón Social]]="","",MARÍTIMOS[[#This Row],[Razón Social]]),"")</f>
        <v/>
      </c>
      <c r="I584" s="2" t="str">
        <f>IFERROR(IF(MARÍTIMOS[[#This Row],[RUC]]="","",MARÍTIMOS[[#This Row],[RUC]]),"")</f>
        <v/>
      </c>
      <c r="J584" s="2" t="str">
        <f>IFERROR(IF(MARÍTIMOS[[#This Row],[Placa Tracto]]="","",MARÍTIMOS[[#This Row],[Placa Tracto]]),"")</f>
        <v/>
      </c>
      <c r="K584" s="2" t="str">
        <f>IFERROR(IF(MARÍTIMOS[[#This Row],[Placa Carreta]]="","",MARÍTIMOS[[#This Row],[Placa Carreta]]),"")</f>
        <v/>
      </c>
      <c r="L584" s="44" t="str">
        <f>IFERROR(IF(MARÍTIMOS[[#This Row],[Conductor]]="","",MARÍTIMOS[[#This Row],[Conductor]]),"")</f>
        <v/>
      </c>
      <c r="M584" s="2" t="str">
        <f>IFERROR(IF(MARÍTIMOS[[#This Row],[Licencia]]="","",MARÍTIMOS[[#This Row],[Licencia]]),"")</f>
        <v/>
      </c>
      <c r="N584" s="2" t="str">
        <f>IFERROR(IF(MARÍTIMOS[[#This Row],[Número de Contacto]]="","",MARÍTIMOS[[#This Row],[Número de Contacto]]),"")</f>
        <v/>
      </c>
      <c r="O584" s="10" t="str">
        <f>IFERROR(IF(MARÍTIMOS[[#This Row],[Booking|AWB|CRT]]="","",MARÍTIMOS[[#This Row],[Booking|AWB|CRT]]),"")</f>
        <v/>
      </c>
      <c r="P584" s="2" t="str">
        <f>IFERROR(IF(MARÍTIMOS[[#This Row],[Contenedor]]="","",MARÍTIMOS[[#This Row],[Contenedor]]),"")</f>
        <v/>
      </c>
      <c r="Q584" s="2" t="str">
        <f>IFERROR(IF(MARÍTIMOS[[#This Row],[Puerto de Retiro]]="","",MARÍTIMOS[[#This Row],[Puerto de Retiro]]),"")</f>
        <v/>
      </c>
      <c r="R584" s="2" t="str">
        <f>IFERROR(IF(MARÍTIMOS[[#This Row],[Almacén de Retiro]]="","",MARÍTIMOS[[#This Row],[Almacén de Retiro]]),"")</f>
        <v/>
      </c>
      <c r="S584" s="11" t="str">
        <f>IFERROR(IF(MARÍTIMOS[[#This Row],[Etapa Retiro - Cita]]="","",MARÍTIMOS[[#This Row],[Etapa Retiro - Cita]]),"")</f>
        <v/>
      </c>
      <c r="T584" s="11" t="str">
        <f>IFERROR(IF(MARÍTIMOS[[#This Row],[Etapa Retiro - Llegada]]="","",MARÍTIMOS[[#This Row],[Etapa Retiro - Llegada]]),"")</f>
        <v/>
      </c>
      <c r="U584" s="11" t="str">
        <f>IFERROR(IF(MARÍTIMOS[[#This Row],[Etapa Retiro - Ingreso]]="","",MARÍTIMOS[[#This Row],[Etapa Retiro - Ingreso]]),"")</f>
        <v/>
      </c>
      <c r="V584" s="11" t="str">
        <f>IFERROR(IF(MARÍTIMOS[[#This Row],[Etapa Retiro - Atención]]="","",MARÍTIMOS[[#This Row],[Etapa Retiro - Atención]]),"")</f>
        <v/>
      </c>
      <c r="W584" s="11" t="str">
        <f>IFERROR(IF(MARÍTIMOS[[#This Row],[Etapa Retiro - Atención]]="","",MARÍTIMOS[[#This Row],[Etapa Retiro - Atención]]),"")</f>
        <v/>
      </c>
      <c r="X584" s="11" t="str">
        <f>IFERROR(IF(MARÍTIMOS[[#This Row],[Etapa Retiro - Inicio de Ruta]]="","",MARÍTIMOS[[#This Row],[Etapa Retiro - Inicio de Ruta]]),"")</f>
        <v/>
      </c>
      <c r="Y584" s="11" t="str">
        <f>IFERROR(IF(MARÍTIMOS[[#This Row],[Hora de Posicionamiento]]="","",MARÍTIMOS[[#This Row],[Fecha de Carga]]+MARÍTIMOS[[#This Row],[Hora de Posicionamiento]]),"")</f>
        <v/>
      </c>
      <c r="Z584" s="11" t="str">
        <f>IFERROR(IF(MARÍTIMOS[[#This Row],[Etapa Despacho - Llegada]]="","",MARÍTIMOS[[#This Row],[Etapa Despacho - Llegada]]),"")</f>
        <v/>
      </c>
      <c r="AA584" s="11" t="str">
        <f>IFERROR(IF(MARÍTIMOS[[#This Row],[Etapa Despacho - Registro]]="","",MARÍTIMOS[[#This Row],[Etapa Despacho - Registro]]),"")</f>
        <v/>
      </c>
      <c r="AB584" s="11" t="str">
        <f>IFERROR(IF(MARÍTIMOS[[#This Row],[Inspección Externa]]="","",MARÍTIMOS[[#This Row],[Inspección Externa]]),"")</f>
        <v/>
      </c>
      <c r="AC584" s="11" t="str">
        <f>IFERROR(IF(MARÍTIMOS[[#This Row],[Etapa Despacho - Inicio de Carga]]="","",MARÍTIMOS[[#This Row],[Etapa Despacho - Inicio de Carga]]),"")</f>
        <v/>
      </c>
      <c r="AD584" s="11" t="str">
        <f>IFERROR(IF(MARÍTIMOS[[#This Row],[Etapa Despacho - Mitad de Carga]]="","",MARÍTIMOS[[#This Row],[Etapa Despacho - Mitad de Carga]]),"")</f>
        <v/>
      </c>
      <c r="AE584" s="11" t="str">
        <f>IFERROR(IF(MARÍTIMOS[[#This Row],[Etapa Despacho - Fin de Carga]]="","",MARÍTIMOS[[#This Row],[Etapa Despacho - Fin de Carga]]),"")</f>
        <v/>
      </c>
      <c r="AF584" s="2" t="str">
        <f>IFERROR(IF(MARÍTIMOS[[#This Row],[Puerto de Embarque]]="","",MARÍTIMOS[[#This Row],[Puerto de Embarque]]),"")</f>
        <v/>
      </c>
      <c r="AG584" s="2" t="str">
        <f>IFERROR(IF(MARÍTIMOS[[#This Row],[Almacén de Ingreso]]="","",MARÍTIMOS[[#This Row],[Almacén de Ingreso]]),"")</f>
        <v/>
      </c>
      <c r="AH584" s="11" t="str">
        <f>IFERROR(IF(MARÍTIMOS[[#This Row],[Etapa Ingreso - Cita]]="","",MARÍTIMOS[[#This Row],[Etapa Ingreso - Cita]]),"")</f>
        <v/>
      </c>
      <c r="AI584" s="11" t="str">
        <f>IFERROR(IF(MARÍTIMOS[[#This Row],[Etapa Ingreso - Llegada]]="","",MARÍTIMOS[[#This Row],[Etapa Ingreso - Llegada]]),"")</f>
        <v/>
      </c>
      <c r="AJ584" s="11" t="str">
        <f>IFERROR(IF(MARÍTIMOS[[#This Row],[Etapa Ingreso - Ingeso]]="","",MARÍTIMOS[[#This Row],[Etapa Ingreso - Ingeso]]),"")</f>
        <v/>
      </c>
      <c r="AK584" s="11" t="str">
        <f>IFERROR(IF(MARÍTIMOS[[#This Row],[Etapa Ingreso - Atención]]="","",MARÍTIMOS[[#This Row],[Etapa Ingreso - Atención]]),"")</f>
        <v/>
      </c>
      <c r="AL584" s="11" t="str">
        <f>IFERROR(IF(MARÍTIMOS[[#This Row],[Etapa Ingreso - Salida]]="","",MARÍTIMOS[[#This Row],[Etapa Ingreso - Salida]]),"")</f>
        <v/>
      </c>
      <c r="AM584" s="2" t="str">
        <f>IFERROR(IF(MARÍTIMOS[[#This Row],[FCL]]="","",MARÍTIMOS[[#This Row],[FCL]]),"")</f>
        <v/>
      </c>
      <c r="AN5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4" s="4" t="str" cm="1">
        <f t="array" ref="AO5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4" s="5" t="str">
        <f>IFERROR(OLDBD[[#This Row],[Llegada a packing]]-OLDBD[[#This Row],[Inicio de Ruta]],"")</f>
        <v/>
      </c>
      <c r="AQ584" s="6" t="str">
        <f>IFERROR(OLDBD[[#This Row],[Inicio de Ruta]]-OLDBD[[#This Row],[Salida de almacén de retiro]],"")</f>
        <v/>
      </c>
      <c r="AR5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4" s="8" t="str" cm="1">
        <f t="array" ref="AS5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4" s="9" t="str">
        <f>IFERROR(OLDBD[[#This Row],[Ingreso Packing]]-OLDBD[[#This Row],[Registro en Packing]],"")</f>
        <v/>
      </c>
      <c r="AV584" s="9" t="str">
        <f>IFERROR(OLDBD[[#This Row],[Ingreso Packing]]-OLDBD[[#This Row],[Llegada a packing]],"")</f>
        <v/>
      </c>
      <c r="AW5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4" s="5" t="str">
        <f>IFERROR(OLDBD[[#This Row],[Llegada Almacén de Ingreso]]-OLDBD[[#This Row],[Salida Packing]],"")</f>
        <v/>
      </c>
      <c r="AY584" s="4" t="str" cm="1">
        <f t="array" ref="AY5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4" s="43" t="s">
        <v>173</v>
      </c>
      <c r="BB584" s="47" t="str">
        <f>IFERROR(IF(MARÍTIMOS[[#This Row],[Estatus]]="","",MARÍTIMOS[[#This Row],[Estatus]]),"")</f>
        <v/>
      </c>
      <c r="BC584" s="43"/>
      <c r="BD584" s="46" t="str">
        <f>IFERROR(OLDBD[[#This Row],[Salida de almacén de retiro]]-OLDBD[[#This Row],[Ingreso Almacén de retiro]],"")</f>
        <v/>
      </c>
      <c r="BE584" s="46" t="str">
        <f>IFERROR(OLDBD[[#This Row],[Fin de Carga]]-OLDBD[[#This Row],[Inicio de Carga]],"")</f>
        <v/>
      </c>
    </row>
    <row r="585" spans="1:57" customFormat="1" hidden="1">
      <c r="A585" s="1"/>
      <c r="B585" s="1" t="str">
        <f>IFERROR(IF(MARÍTIMOS[[#This Row],[PP]]="","",MARÍTIMOS[[#This Row],[PP]]),"")</f>
        <v/>
      </c>
      <c r="C585" s="1" t="str">
        <f>IFERROR(IF(MARÍTIMOS[[#This Row],[Sede]]="","",MARÍTIMOS[[#This Row],[Sede]]),"")</f>
        <v/>
      </c>
      <c r="D585" s="1" t="str">
        <f>IFERROR(IF(MARÍTIMOS[[#This Row],[Instruction]]="","",MARÍTIMOS[[#This Row],[Instruction]]),"")</f>
        <v/>
      </c>
      <c r="E585" s="1"/>
      <c r="F585" s="2" t="str">
        <f>IFERROR(IF(MARÍTIMOS[[#This Row],[Transportista]]="","",MARÍTIMOS[[#This Row],[Transportista]]),"")</f>
        <v/>
      </c>
      <c r="G585" s="2" t="str">
        <f>IFERROR(IF(MARÍTIMOS[[#This Row],[Tercero]]="","",MARÍTIMOS[[#This Row],[Tercero]]),"")</f>
        <v/>
      </c>
      <c r="H585" s="2" t="str">
        <f>IFERROR(IF(MARÍTIMOS[[#This Row],[Razón Social]]="","",MARÍTIMOS[[#This Row],[Razón Social]]),"")</f>
        <v/>
      </c>
      <c r="I585" s="2" t="str">
        <f>IFERROR(IF(MARÍTIMOS[[#This Row],[RUC]]="","",MARÍTIMOS[[#This Row],[RUC]]),"")</f>
        <v/>
      </c>
      <c r="J585" s="2" t="str">
        <f>IFERROR(IF(MARÍTIMOS[[#This Row],[Placa Tracto]]="","",MARÍTIMOS[[#This Row],[Placa Tracto]]),"")</f>
        <v/>
      </c>
      <c r="K585" s="2" t="str">
        <f>IFERROR(IF(MARÍTIMOS[[#This Row],[Placa Carreta]]="","",MARÍTIMOS[[#This Row],[Placa Carreta]]),"")</f>
        <v/>
      </c>
      <c r="L585" s="44" t="str">
        <f>IFERROR(IF(MARÍTIMOS[[#This Row],[Conductor]]="","",MARÍTIMOS[[#This Row],[Conductor]]),"")</f>
        <v/>
      </c>
      <c r="M585" s="2" t="str">
        <f>IFERROR(IF(MARÍTIMOS[[#This Row],[Licencia]]="","",MARÍTIMOS[[#This Row],[Licencia]]),"")</f>
        <v/>
      </c>
      <c r="N585" s="2" t="str">
        <f>IFERROR(IF(MARÍTIMOS[[#This Row],[Número de Contacto]]="","",MARÍTIMOS[[#This Row],[Número de Contacto]]),"")</f>
        <v/>
      </c>
      <c r="O585" s="10" t="str">
        <f>IFERROR(IF(MARÍTIMOS[[#This Row],[Booking|AWB|CRT]]="","",MARÍTIMOS[[#This Row],[Booking|AWB|CRT]]),"")</f>
        <v/>
      </c>
      <c r="P585" s="2" t="str">
        <f>IFERROR(IF(MARÍTIMOS[[#This Row],[Contenedor]]="","",MARÍTIMOS[[#This Row],[Contenedor]]),"")</f>
        <v/>
      </c>
      <c r="Q585" s="2" t="str">
        <f>IFERROR(IF(MARÍTIMOS[[#This Row],[Puerto de Retiro]]="","",MARÍTIMOS[[#This Row],[Puerto de Retiro]]),"")</f>
        <v/>
      </c>
      <c r="R585" s="2" t="str">
        <f>IFERROR(IF(MARÍTIMOS[[#This Row],[Almacén de Retiro]]="","",MARÍTIMOS[[#This Row],[Almacén de Retiro]]),"")</f>
        <v/>
      </c>
      <c r="S585" s="11" t="str">
        <f>IFERROR(IF(MARÍTIMOS[[#This Row],[Etapa Retiro - Cita]]="","",MARÍTIMOS[[#This Row],[Etapa Retiro - Cita]]),"")</f>
        <v/>
      </c>
      <c r="T585" s="11" t="str">
        <f>IFERROR(IF(MARÍTIMOS[[#This Row],[Etapa Retiro - Llegada]]="","",MARÍTIMOS[[#This Row],[Etapa Retiro - Llegada]]),"")</f>
        <v/>
      </c>
      <c r="U585" s="11" t="str">
        <f>IFERROR(IF(MARÍTIMOS[[#This Row],[Etapa Retiro - Ingreso]]="","",MARÍTIMOS[[#This Row],[Etapa Retiro - Ingreso]]),"")</f>
        <v/>
      </c>
      <c r="V585" s="11" t="str">
        <f>IFERROR(IF(MARÍTIMOS[[#This Row],[Etapa Retiro - Atención]]="","",MARÍTIMOS[[#This Row],[Etapa Retiro - Atención]]),"")</f>
        <v/>
      </c>
      <c r="W585" s="11" t="str">
        <f>IFERROR(IF(MARÍTIMOS[[#This Row],[Etapa Retiro - Atención]]="","",MARÍTIMOS[[#This Row],[Etapa Retiro - Atención]]),"")</f>
        <v/>
      </c>
      <c r="X585" s="11" t="str">
        <f>IFERROR(IF(MARÍTIMOS[[#This Row],[Etapa Retiro - Inicio de Ruta]]="","",MARÍTIMOS[[#This Row],[Etapa Retiro - Inicio de Ruta]]),"")</f>
        <v/>
      </c>
      <c r="Y585" s="11" t="str">
        <f>IFERROR(IF(MARÍTIMOS[[#This Row],[Hora de Posicionamiento]]="","",MARÍTIMOS[[#This Row],[Fecha de Carga]]+MARÍTIMOS[[#This Row],[Hora de Posicionamiento]]),"")</f>
        <v/>
      </c>
      <c r="Z585" s="11" t="str">
        <f>IFERROR(IF(MARÍTIMOS[[#This Row],[Etapa Despacho - Llegada]]="","",MARÍTIMOS[[#This Row],[Etapa Despacho - Llegada]]),"")</f>
        <v/>
      </c>
      <c r="AA585" s="11" t="str">
        <f>IFERROR(IF(MARÍTIMOS[[#This Row],[Etapa Despacho - Registro]]="","",MARÍTIMOS[[#This Row],[Etapa Despacho - Registro]]),"")</f>
        <v/>
      </c>
      <c r="AB585" s="11" t="str">
        <f>IFERROR(IF(MARÍTIMOS[[#This Row],[Inspección Externa]]="","",MARÍTIMOS[[#This Row],[Inspección Externa]]),"")</f>
        <v/>
      </c>
      <c r="AC585" s="11" t="str">
        <f>IFERROR(IF(MARÍTIMOS[[#This Row],[Etapa Despacho - Inicio de Carga]]="","",MARÍTIMOS[[#This Row],[Etapa Despacho - Inicio de Carga]]),"")</f>
        <v/>
      </c>
      <c r="AD585" s="11" t="str">
        <f>IFERROR(IF(MARÍTIMOS[[#This Row],[Etapa Despacho - Mitad de Carga]]="","",MARÍTIMOS[[#This Row],[Etapa Despacho - Mitad de Carga]]),"")</f>
        <v/>
      </c>
      <c r="AE585" s="11" t="str">
        <f>IFERROR(IF(MARÍTIMOS[[#This Row],[Etapa Despacho - Fin de Carga]]="","",MARÍTIMOS[[#This Row],[Etapa Despacho - Fin de Carga]]),"")</f>
        <v/>
      </c>
      <c r="AF585" s="2" t="str">
        <f>IFERROR(IF(MARÍTIMOS[[#This Row],[Puerto de Embarque]]="","",MARÍTIMOS[[#This Row],[Puerto de Embarque]]),"")</f>
        <v/>
      </c>
      <c r="AG585" s="2" t="str">
        <f>IFERROR(IF(MARÍTIMOS[[#This Row],[Almacén de Ingreso]]="","",MARÍTIMOS[[#This Row],[Almacén de Ingreso]]),"")</f>
        <v/>
      </c>
      <c r="AH585" s="11" t="str">
        <f>IFERROR(IF(MARÍTIMOS[[#This Row],[Etapa Ingreso - Cita]]="","",MARÍTIMOS[[#This Row],[Etapa Ingreso - Cita]]),"")</f>
        <v/>
      </c>
      <c r="AI585" s="11" t="str">
        <f>IFERROR(IF(MARÍTIMOS[[#This Row],[Etapa Ingreso - Llegada]]="","",MARÍTIMOS[[#This Row],[Etapa Ingreso - Llegada]]),"")</f>
        <v/>
      </c>
      <c r="AJ585" s="11" t="str">
        <f>IFERROR(IF(MARÍTIMOS[[#This Row],[Etapa Ingreso - Ingeso]]="","",MARÍTIMOS[[#This Row],[Etapa Ingreso - Ingeso]]),"")</f>
        <v/>
      </c>
      <c r="AK585" s="11" t="str">
        <f>IFERROR(IF(MARÍTIMOS[[#This Row],[Etapa Ingreso - Atención]]="","",MARÍTIMOS[[#This Row],[Etapa Ingreso - Atención]]),"")</f>
        <v/>
      </c>
      <c r="AL585" s="11" t="str">
        <f>IFERROR(IF(MARÍTIMOS[[#This Row],[Etapa Ingreso - Salida]]="","",MARÍTIMOS[[#This Row],[Etapa Ingreso - Salida]]),"")</f>
        <v/>
      </c>
      <c r="AM585" s="2" t="str">
        <f>IFERROR(IF(MARÍTIMOS[[#This Row],[FCL]]="","",MARÍTIMOS[[#This Row],[FCL]]),"")</f>
        <v/>
      </c>
      <c r="AN5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5" s="4" t="str" cm="1">
        <f t="array" ref="AO5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5" s="5" t="str">
        <f>IFERROR(OLDBD[[#This Row],[Llegada a packing]]-OLDBD[[#This Row],[Inicio de Ruta]],"")</f>
        <v/>
      </c>
      <c r="AQ585" s="6" t="str">
        <f>IFERROR(OLDBD[[#This Row],[Inicio de Ruta]]-OLDBD[[#This Row],[Salida de almacén de retiro]],"")</f>
        <v/>
      </c>
      <c r="AR5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5" s="8" t="str" cm="1">
        <f t="array" ref="AS5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5" s="9" t="str">
        <f>IFERROR(OLDBD[[#This Row],[Ingreso Packing]]-OLDBD[[#This Row],[Registro en Packing]],"")</f>
        <v/>
      </c>
      <c r="AV585" s="9" t="str">
        <f>IFERROR(OLDBD[[#This Row],[Ingreso Packing]]-OLDBD[[#This Row],[Llegada a packing]],"")</f>
        <v/>
      </c>
      <c r="AW5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5" s="5" t="str">
        <f>IFERROR(OLDBD[[#This Row],[Llegada Almacén de Ingreso]]-OLDBD[[#This Row],[Salida Packing]],"")</f>
        <v/>
      </c>
      <c r="AY585" s="4" t="str" cm="1">
        <f t="array" ref="AY5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5" s="43" t="s">
        <v>173</v>
      </c>
      <c r="BB585" s="47" t="str">
        <f>IFERROR(IF(MARÍTIMOS[[#This Row],[Estatus]]="","",MARÍTIMOS[[#This Row],[Estatus]]),"")</f>
        <v/>
      </c>
      <c r="BC585" s="43"/>
      <c r="BD585" s="46" t="str">
        <f>IFERROR(OLDBD[[#This Row],[Salida de almacén de retiro]]-OLDBD[[#This Row],[Ingreso Almacén de retiro]],"")</f>
        <v/>
      </c>
      <c r="BE585" s="46" t="str">
        <f>IFERROR(OLDBD[[#This Row],[Fin de Carga]]-OLDBD[[#This Row],[Inicio de Carga]],"")</f>
        <v/>
      </c>
    </row>
    <row r="586" spans="1:57" customFormat="1" hidden="1">
      <c r="A586" s="1"/>
      <c r="B586" s="1" t="str">
        <f>IFERROR(IF(MARÍTIMOS[[#This Row],[PP]]="","",MARÍTIMOS[[#This Row],[PP]]),"")</f>
        <v/>
      </c>
      <c r="C586" s="1" t="str">
        <f>IFERROR(IF(MARÍTIMOS[[#This Row],[Sede]]="","",MARÍTIMOS[[#This Row],[Sede]]),"")</f>
        <v/>
      </c>
      <c r="D586" s="1" t="str">
        <f>IFERROR(IF(MARÍTIMOS[[#This Row],[Instruction]]="","",MARÍTIMOS[[#This Row],[Instruction]]),"")</f>
        <v/>
      </c>
      <c r="E586" s="1"/>
      <c r="F586" s="2" t="str">
        <f>IFERROR(IF(MARÍTIMOS[[#This Row],[Transportista]]="","",MARÍTIMOS[[#This Row],[Transportista]]),"")</f>
        <v/>
      </c>
      <c r="G586" s="2" t="str">
        <f>IFERROR(IF(MARÍTIMOS[[#This Row],[Tercero]]="","",MARÍTIMOS[[#This Row],[Tercero]]),"")</f>
        <v/>
      </c>
      <c r="H586" s="2" t="str">
        <f>IFERROR(IF(MARÍTIMOS[[#This Row],[Razón Social]]="","",MARÍTIMOS[[#This Row],[Razón Social]]),"")</f>
        <v/>
      </c>
      <c r="I586" s="2" t="str">
        <f>IFERROR(IF(MARÍTIMOS[[#This Row],[RUC]]="","",MARÍTIMOS[[#This Row],[RUC]]),"")</f>
        <v/>
      </c>
      <c r="J586" s="2" t="str">
        <f>IFERROR(IF(MARÍTIMOS[[#This Row],[Placa Tracto]]="","",MARÍTIMOS[[#This Row],[Placa Tracto]]),"")</f>
        <v/>
      </c>
      <c r="K586" s="2" t="str">
        <f>IFERROR(IF(MARÍTIMOS[[#This Row],[Placa Carreta]]="","",MARÍTIMOS[[#This Row],[Placa Carreta]]),"")</f>
        <v/>
      </c>
      <c r="L586" s="44" t="str">
        <f>IFERROR(IF(MARÍTIMOS[[#This Row],[Conductor]]="","",MARÍTIMOS[[#This Row],[Conductor]]),"")</f>
        <v/>
      </c>
      <c r="M586" s="2" t="str">
        <f>IFERROR(IF(MARÍTIMOS[[#This Row],[Licencia]]="","",MARÍTIMOS[[#This Row],[Licencia]]),"")</f>
        <v/>
      </c>
      <c r="N586" s="2" t="str">
        <f>IFERROR(IF(MARÍTIMOS[[#This Row],[Número de Contacto]]="","",MARÍTIMOS[[#This Row],[Número de Contacto]]),"")</f>
        <v/>
      </c>
      <c r="O586" s="10" t="str">
        <f>IFERROR(IF(MARÍTIMOS[[#This Row],[Booking|AWB|CRT]]="","",MARÍTIMOS[[#This Row],[Booking|AWB|CRT]]),"")</f>
        <v/>
      </c>
      <c r="P586" s="2" t="str">
        <f>IFERROR(IF(MARÍTIMOS[[#This Row],[Contenedor]]="","",MARÍTIMOS[[#This Row],[Contenedor]]),"")</f>
        <v/>
      </c>
      <c r="Q586" s="2" t="str">
        <f>IFERROR(IF(MARÍTIMOS[[#This Row],[Puerto de Retiro]]="","",MARÍTIMOS[[#This Row],[Puerto de Retiro]]),"")</f>
        <v/>
      </c>
      <c r="R586" s="2" t="str">
        <f>IFERROR(IF(MARÍTIMOS[[#This Row],[Almacén de Retiro]]="","",MARÍTIMOS[[#This Row],[Almacén de Retiro]]),"")</f>
        <v/>
      </c>
      <c r="S586" s="11" t="str">
        <f>IFERROR(IF(MARÍTIMOS[[#This Row],[Etapa Retiro - Cita]]="","",MARÍTIMOS[[#This Row],[Etapa Retiro - Cita]]),"")</f>
        <v/>
      </c>
      <c r="T586" s="11" t="str">
        <f>IFERROR(IF(MARÍTIMOS[[#This Row],[Etapa Retiro - Llegada]]="","",MARÍTIMOS[[#This Row],[Etapa Retiro - Llegada]]),"")</f>
        <v/>
      </c>
      <c r="U586" s="11" t="str">
        <f>IFERROR(IF(MARÍTIMOS[[#This Row],[Etapa Retiro - Ingreso]]="","",MARÍTIMOS[[#This Row],[Etapa Retiro - Ingreso]]),"")</f>
        <v/>
      </c>
      <c r="V586" s="11" t="str">
        <f>IFERROR(IF(MARÍTIMOS[[#This Row],[Etapa Retiro - Atención]]="","",MARÍTIMOS[[#This Row],[Etapa Retiro - Atención]]),"")</f>
        <v/>
      </c>
      <c r="W586" s="11" t="str">
        <f>IFERROR(IF(MARÍTIMOS[[#This Row],[Etapa Retiro - Atención]]="","",MARÍTIMOS[[#This Row],[Etapa Retiro - Atención]]),"")</f>
        <v/>
      </c>
      <c r="X586" s="11" t="str">
        <f>IFERROR(IF(MARÍTIMOS[[#This Row],[Etapa Retiro - Inicio de Ruta]]="","",MARÍTIMOS[[#This Row],[Etapa Retiro - Inicio de Ruta]]),"")</f>
        <v/>
      </c>
      <c r="Y586" s="11" t="str">
        <f>IFERROR(IF(MARÍTIMOS[[#This Row],[Hora de Posicionamiento]]="","",MARÍTIMOS[[#This Row],[Fecha de Carga]]+MARÍTIMOS[[#This Row],[Hora de Posicionamiento]]),"")</f>
        <v/>
      </c>
      <c r="Z586" s="11" t="str">
        <f>IFERROR(IF(MARÍTIMOS[[#This Row],[Etapa Despacho - Llegada]]="","",MARÍTIMOS[[#This Row],[Etapa Despacho - Llegada]]),"")</f>
        <v/>
      </c>
      <c r="AA586" s="11" t="str">
        <f>IFERROR(IF(MARÍTIMOS[[#This Row],[Etapa Despacho - Registro]]="","",MARÍTIMOS[[#This Row],[Etapa Despacho - Registro]]),"")</f>
        <v/>
      </c>
      <c r="AB586" s="11" t="str">
        <f>IFERROR(IF(MARÍTIMOS[[#This Row],[Inspección Externa]]="","",MARÍTIMOS[[#This Row],[Inspección Externa]]),"")</f>
        <v/>
      </c>
      <c r="AC586" s="11" t="str">
        <f>IFERROR(IF(MARÍTIMOS[[#This Row],[Etapa Despacho - Inicio de Carga]]="","",MARÍTIMOS[[#This Row],[Etapa Despacho - Inicio de Carga]]),"")</f>
        <v/>
      </c>
      <c r="AD586" s="11" t="str">
        <f>IFERROR(IF(MARÍTIMOS[[#This Row],[Etapa Despacho - Mitad de Carga]]="","",MARÍTIMOS[[#This Row],[Etapa Despacho - Mitad de Carga]]),"")</f>
        <v/>
      </c>
      <c r="AE586" s="11" t="str">
        <f>IFERROR(IF(MARÍTIMOS[[#This Row],[Etapa Despacho - Fin de Carga]]="","",MARÍTIMOS[[#This Row],[Etapa Despacho - Fin de Carga]]),"")</f>
        <v/>
      </c>
      <c r="AF586" s="2" t="str">
        <f>IFERROR(IF(MARÍTIMOS[[#This Row],[Puerto de Embarque]]="","",MARÍTIMOS[[#This Row],[Puerto de Embarque]]),"")</f>
        <v/>
      </c>
      <c r="AG586" s="2" t="str">
        <f>IFERROR(IF(MARÍTIMOS[[#This Row],[Almacén de Ingreso]]="","",MARÍTIMOS[[#This Row],[Almacén de Ingreso]]),"")</f>
        <v/>
      </c>
      <c r="AH586" s="11" t="str">
        <f>IFERROR(IF(MARÍTIMOS[[#This Row],[Etapa Ingreso - Cita]]="","",MARÍTIMOS[[#This Row],[Etapa Ingreso - Cita]]),"")</f>
        <v/>
      </c>
      <c r="AI586" s="11" t="str">
        <f>IFERROR(IF(MARÍTIMOS[[#This Row],[Etapa Ingreso - Llegada]]="","",MARÍTIMOS[[#This Row],[Etapa Ingreso - Llegada]]),"")</f>
        <v/>
      </c>
      <c r="AJ586" s="11" t="str">
        <f>IFERROR(IF(MARÍTIMOS[[#This Row],[Etapa Ingreso - Ingeso]]="","",MARÍTIMOS[[#This Row],[Etapa Ingreso - Ingeso]]),"")</f>
        <v/>
      </c>
      <c r="AK586" s="11" t="str">
        <f>IFERROR(IF(MARÍTIMOS[[#This Row],[Etapa Ingreso - Atención]]="","",MARÍTIMOS[[#This Row],[Etapa Ingreso - Atención]]),"")</f>
        <v/>
      </c>
      <c r="AL586" s="11" t="str">
        <f>IFERROR(IF(MARÍTIMOS[[#This Row],[Etapa Ingreso - Salida]]="","",MARÍTIMOS[[#This Row],[Etapa Ingreso - Salida]]),"")</f>
        <v/>
      </c>
      <c r="AM586" s="2" t="str">
        <f>IFERROR(IF(MARÍTIMOS[[#This Row],[FCL]]="","",MARÍTIMOS[[#This Row],[FCL]]),"")</f>
        <v/>
      </c>
      <c r="AN5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6" s="4" t="str" cm="1">
        <f t="array" ref="AO5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6" s="5" t="str">
        <f>IFERROR(OLDBD[[#This Row],[Llegada a packing]]-OLDBD[[#This Row],[Inicio de Ruta]],"")</f>
        <v/>
      </c>
      <c r="AQ586" s="6" t="str">
        <f>IFERROR(OLDBD[[#This Row],[Inicio de Ruta]]-OLDBD[[#This Row],[Salida de almacén de retiro]],"")</f>
        <v/>
      </c>
      <c r="AR5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6" s="8" t="str" cm="1">
        <f t="array" ref="AS5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6" s="9" t="str">
        <f>IFERROR(OLDBD[[#This Row],[Ingreso Packing]]-OLDBD[[#This Row],[Registro en Packing]],"")</f>
        <v/>
      </c>
      <c r="AV586" s="9" t="str">
        <f>IFERROR(OLDBD[[#This Row],[Ingreso Packing]]-OLDBD[[#This Row],[Llegada a packing]],"")</f>
        <v/>
      </c>
      <c r="AW5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6" s="5" t="str">
        <f>IFERROR(OLDBD[[#This Row],[Llegada Almacén de Ingreso]]-OLDBD[[#This Row],[Salida Packing]],"")</f>
        <v/>
      </c>
      <c r="AY586" s="4" t="str" cm="1">
        <f t="array" ref="AY5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6" s="43" t="s">
        <v>173</v>
      </c>
      <c r="BB586" s="47" t="str">
        <f>IFERROR(IF(MARÍTIMOS[[#This Row],[Estatus]]="","",MARÍTIMOS[[#This Row],[Estatus]]),"")</f>
        <v/>
      </c>
      <c r="BC586" s="43"/>
      <c r="BD586" s="46" t="str">
        <f>IFERROR(OLDBD[[#This Row],[Salida de almacén de retiro]]-OLDBD[[#This Row],[Ingreso Almacén de retiro]],"")</f>
        <v/>
      </c>
      <c r="BE586" s="46" t="str">
        <f>IFERROR(OLDBD[[#This Row],[Fin de Carga]]-OLDBD[[#This Row],[Inicio de Carga]],"")</f>
        <v/>
      </c>
    </row>
    <row r="587" spans="1:57" customFormat="1" hidden="1">
      <c r="A587" s="1"/>
      <c r="B587" s="1" t="str">
        <f>IFERROR(IF(MARÍTIMOS[[#This Row],[PP]]="","",MARÍTIMOS[[#This Row],[PP]]),"")</f>
        <v/>
      </c>
      <c r="C587" s="1" t="str">
        <f>IFERROR(IF(MARÍTIMOS[[#This Row],[Sede]]="","",MARÍTIMOS[[#This Row],[Sede]]),"")</f>
        <v/>
      </c>
      <c r="D587" s="1" t="str">
        <f>IFERROR(IF(MARÍTIMOS[[#This Row],[Instruction]]="","",MARÍTIMOS[[#This Row],[Instruction]]),"")</f>
        <v/>
      </c>
      <c r="E587" s="1"/>
      <c r="F587" s="2" t="str">
        <f>IFERROR(IF(MARÍTIMOS[[#This Row],[Transportista]]="","",MARÍTIMOS[[#This Row],[Transportista]]),"")</f>
        <v/>
      </c>
      <c r="G587" s="2" t="str">
        <f>IFERROR(IF(MARÍTIMOS[[#This Row],[Tercero]]="","",MARÍTIMOS[[#This Row],[Tercero]]),"")</f>
        <v/>
      </c>
      <c r="H587" s="2" t="str">
        <f>IFERROR(IF(MARÍTIMOS[[#This Row],[Razón Social]]="","",MARÍTIMOS[[#This Row],[Razón Social]]),"")</f>
        <v/>
      </c>
      <c r="I587" s="2" t="str">
        <f>IFERROR(IF(MARÍTIMOS[[#This Row],[RUC]]="","",MARÍTIMOS[[#This Row],[RUC]]),"")</f>
        <v/>
      </c>
      <c r="J587" s="2" t="str">
        <f>IFERROR(IF(MARÍTIMOS[[#This Row],[Placa Tracto]]="","",MARÍTIMOS[[#This Row],[Placa Tracto]]),"")</f>
        <v/>
      </c>
      <c r="K587" s="2" t="str">
        <f>IFERROR(IF(MARÍTIMOS[[#This Row],[Placa Carreta]]="","",MARÍTIMOS[[#This Row],[Placa Carreta]]),"")</f>
        <v/>
      </c>
      <c r="L587" s="44" t="str">
        <f>IFERROR(IF(MARÍTIMOS[[#This Row],[Conductor]]="","",MARÍTIMOS[[#This Row],[Conductor]]),"")</f>
        <v/>
      </c>
      <c r="M587" s="2" t="str">
        <f>IFERROR(IF(MARÍTIMOS[[#This Row],[Licencia]]="","",MARÍTIMOS[[#This Row],[Licencia]]),"")</f>
        <v/>
      </c>
      <c r="N587" s="2" t="str">
        <f>IFERROR(IF(MARÍTIMOS[[#This Row],[Número de Contacto]]="","",MARÍTIMOS[[#This Row],[Número de Contacto]]),"")</f>
        <v/>
      </c>
      <c r="O587" s="10" t="str">
        <f>IFERROR(IF(MARÍTIMOS[[#This Row],[Booking|AWB|CRT]]="","",MARÍTIMOS[[#This Row],[Booking|AWB|CRT]]),"")</f>
        <v/>
      </c>
      <c r="P587" s="2" t="str">
        <f>IFERROR(IF(MARÍTIMOS[[#This Row],[Contenedor]]="","",MARÍTIMOS[[#This Row],[Contenedor]]),"")</f>
        <v/>
      </c>
      <c r="Q587" s="2" t="str">
        <f>IFERROR(IF(MARÍTIMOS[[#This Row],[Puerto de Retiro]]="","",MARÍTIMOS[[#This Row],[Puerto de Retiro]]),"")</f>
        <v/>
      </c>
      <c r="R587" s="2" t="str">
        <f>IFERROR(IF(MARÍTIMOS[[#This Row],[Almacén de Retiro]]="","",MARÍTIMOS[[#This Row],[Almacén de Retiro]]),"")</f>
        <v/>
      </c>
      <c r="S587" s="11" t="str">
        <f>IFERROR(IF(MARÍTIMOS[[#This Row],[Etapa Retiro - Cita]]="","",MARÍTIMOS[[#This Row],[Etapa Retiro - Cita]]),"")</f>
        <v/>
      </c>
      <c r="T587" s="11" t="str">
        <f>IFERROR(IF(MARÍTIMOS[[#This Row],[Etapa Retiro - Llegada]]="","",MARÍTIMOS[[#This Row],[Etapa Retiro - Llegada]]),"")</f>
        <v/>
      </c>
      <c r="U587" s="11" t="str">
        <f>IFERROR(IF(MARÍTIMOS[[#This Row],[Etapa Retiro - Ingreso]]="","",MARÍTIMOS[[#This Row],[Etapa Retiro - Ingreso]]),"")</f>
        <v/>
      </c>
      <c r="V587" s="11" t="str">
        <f>IFERROR(IF(MARÍTIMOS[[#This Row],[Etapa Retiro - Atención]]="","",MARÍTIMOS[[#This Row],[Etapa Retiro - Atención]]),"")</f>
        <v/>
      </c>
      <c r="W587" s="11" t="str">
        <f>IFERROR(IF(MARÍTIMOS[[#This Row],[Etapa Retiro - Atención]]="","",MARÍTIMOS[[#This Row],[Etapa Retiro - Atención]]),"")</f>
        <v/>
      </c>
      <c r="X587" s="11" t="str">
        <f>IFERROR(IF(MARÍTIMOS[[#This Row],[Etapa Retiro - Inicio de Ruta]]="","",MARÍTIMOS[[#This Row],[Etapa Retiro - Inicio de Ruta]]),"")</f>
        <v/>
      </c>
      <c r="Y587" s="11" t="str">
        <f>IFERROR(IF(MARÍTIMOS[[#This Row],[Hora de Posicionamiento]]="","",MARÍTIMOS[[#This Row],[Fecha de Carga]]+MARÍTIMOS[[#This Row],[Hora de Posicionamiento]]),"")</f>
        <v/>
      </c>
      <c r="Z587" s="11" t="str">
        <f>IFERROR(IF(MARÍTIMOS[[#This Row],[Etapa Despacho - Llegada]]="","",MARÍTIMOS[[#This Row],[Etapa Despacho - Llegada]]),"")</f>
        <v/>
      </c>
      <c r="AA587" s="11" t="str">
        <f>IFERROR(IF(MARÍTIMOS[[#This Row],[Etapa Despacho - Registro]]="","",MARÍTIMOS[[#This Row],[Etapa Despacho - Registro]]),"")</f>
        <v/>
      </c>
      <c r="AB587" s="11" t="str">
        <f>IFERROR(IF(MARÍTIMOS[[#This Row],[Inspección Externa]]="","",MARÍTIMOS[[#This Row],[Inspección Externa]]),"")</f>
        <v/>
      </c>
      <c r="AC587" s="11" t="str">
        <f>IFERROR(IF(MARÍTIMOS[[#This Row],[Etapa Despacho - Inicio de Carga]]="","",MARÍTIMOS[[#This Row],[Etapa Despacho - Inicio de Carga]]),"")</f>
        <v/>
      </c>
      <c r="AD587" s="11" t="str">
        <f>IFERROR(IF(MARÍTIMOS[[#This Row],[Etapa Despacho - Mitad de Carga]]="","",MARÍTIMOS[[#This Row],[Etapa Despacho - Mitad de Carga]]),"")</f>
        <v/>
      </c>
      <c r="AE587" s="11" t="str">
        <f>IFERROR(IF(MARÍTIMOS[[#This Row],[Etapa Despacho - Fin de Carga]]="","",MARÍTIMOS[[#This Row],[Etapa Despacho - Fin de Carga]]),"")</f>
        <v/>
      </c>
      <c r="AF587" s="2" t="str">
        <f>IFERROR(IF(MARÍTIMOS[[#This Row],[Puerto de Embarque]]="","",MARÍTIMOS[[#This Row],[Puerto de Embarque]]),"")</f>
        <v/>
      </c>
      <c r="AG587" s="2" t="str">
        <f>IFERROR(IF(MARÍTIMOS[[#This Row],[Almacén de Ingreso]]="","",MARÍTIMOS[[#This Row],[Almacén de Ingreso]]),"")</f>
        <v/>
      </c>
      <c r="AH587" s="11" t="str">
        <f>IFERROR(IF(MARÍTIMOS[[#This Row],[Etapa Ingreso - Cita]]="","",MARÍTIMOS[[#This Row],[Etapa Ingreso - Cita]]),"")</f>
        <v/>
      </c>
      <c r="AI587" s="11" t="str">
        <f>IFERROR(IF(MARÍTIMOS[[#This Row],[Etapa Ingreso - Llegada]]="","",MARÍTIMOS[[#This Row],[Etapa Ingreso - Llegada]]),"")</f>
        <v/>
      </c>
      <c r="AJ587" s="11" t="str">
        <f>IFERROR(IF(MARÍTIMOS[[#This Row],[Etapa Ingreso - Ingeso]]="","",MARÍTIMOS[[#This Row],[Etapa Ingreso - Ingeso]]),"")</f>
        <v/>
      </c>
      <c r="AK587" s="11" t="str">
        <f>IFERROR(IF(MARÍTIMOS[[#This Row],[Etapa Ingreso - Atención]]="","",MARÍTIMOS[[#This Row],[Etapa Ingreso - Atención]]),"")</f>
        <v/>
      </c>
      <c r="AL587" s="11" t="str">
        <f>IFERROR(IF(MARÍTIMOS[[#This Row],[Etapa Ingreso - Salida]]="","",MARÍTIMOS[[#This Row],[Etapa Ingreso - Salida]]),"")</f>
        <v/>
      </c>
      <c r="AM587" s="2" t="str">
        <f>IFERROR(IF(MARÍTIMOS[[#This Row],[FCL]]="","",MARÍTIMOS[[#This Row],[FCL]]),"")</f>
        <v/>
      </c>
      <c r="AN5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7" s="4" t="str" cm="1">
        <f t="array" ref="AO5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7" s="5" t="str">
        <f>IFERROR(OLDBD[[#This Row],[Llegada a packing]]-OLDBD[[#This Row],[Inicio de Ruta]],"")</f>
        <v/>
      </c>
      <c r="AQ587" s="6" t="str">
        <f>IFERROR(OLDBD[[#This Row],[Inicio de Ruta]]-OLDBD[[#This Row],[Salida de almacén de retiro]],"")</f>
        <v/>
      </c>
      <c r="AR5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7" s="8" t="str" cm="1">
        <f t="array" ref="AS5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7" s="9" t="str">
        <f>IFERROR(OLDBD[[#This Row],[Ingreso Packing]]-OLDBD[[#This Row],[Registro en Packing]],"")</f>
        <v/>
      </c>
      <c r="AV587" s="9" t="str">
        <f>IFERROR(OLDBD[[#This Row],[Ingreso Packing]]-OLDBD[[#This Row],[Llegada a packing]],"")</f>
        <v/>
      </c>
      <c r="AW5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7" s="5" t="str">
        <f>IFERROR(OLDBD[[#This Row],[Llegada Almacén de Ingreso]]-OLDBD[[#This Row],[Salida Packing]],"")</f>
        <v/>
      </c>
      <c r="AY587" s="4" t="str" cm="1">
        <f t="array" ref="AY5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7" s="43" t="s">
        <v>173</v>
      </c>
      <c r="BB587" s="47" t="str">
        <f>IFERROR(IF(MARÍTIMOS[[#This Row],[Estatus]]="","",MARÍTIMOS[[#This Row],[Estatus]]),"")</f>
        <v/>
      </c>
      <c r="BC587" s="43"/>
      <c r="BD587" s="46" t="str">
        <f>IFERROR(OLDBD[[#This Row],[Salida de almacén de retiro]]-OLDBD[[#This Row],[Ingreso Almacén de retiro]],"")</f>
        <v/>
      </c>
      <c r="BE587" s="46" t="str">
        <f>IFERROR(OLDBD[[#This Row],[Fin de Carga]]-OLDBD[[#This Row],[Inicio de Carga]],"")</f>
        <v/>
      </c>
    </row>
    <row r="588" spans="1:57" customFormat="1" hidden="1">
      <c r="A588" s="1"/>
      <c r="B588" s="1" t="str">
        <f>IFERROR(IF(MARÍTIMOS[[#This Row],[PP]]="","",MARÍTIMOS[[#This Row],[PP]]),"")</f>
        <v/>
      </c>
      <c r="C588" s="1" t="str">
        <f>IFERROR(IF(MARÍTIMOS[[#This Row],[Sede]]="","",MARÍTIMOS[[#This Row],[Sede]]),"")</f>
        <v/>
      </c>
      <c r="D588" s="1" t="str">
        <f>IFERROR(IF(MARÍTIMOS[[#This Row],[Instruction]]="","",MARÍTIMOS[[#This Row],[Instruction]]),"")</f>
        <v/>
      </c>
      <c r="E588" s="1"/>
      <c r="F588" s="2" t="str">
        <f>IFERROR(IF(MARÍTIMOS[[#This Row],[Transportista]]="","",MARÍTIMOS[[#This Row],[Transportista]]),"")</f>
        <v/>
      </c>
      <c r="G588" s="2" t="str">
        <f>IFERROR(IF(MARÍTIMOS[[#This Row],[Tercero]]="","",MARÍTIMOS[[#This Row],[Tercero]]),"")</f>
        <v/>
      </c>
      <c r="H588" s="2" t="str">
        <f>IFERROR(IF(MARÍTIMOS[[#This Row],[Razón Social]]="","",MARÍTIMOS[[#This Row],[Razón Social]]),"")</f>
        <v/>
      </c>
      <c r="I588" s="2" t="str">
        <f>IFERROR(IF(MARÍTIMOS[[#This Row],[RUC]]="","",MARÍTIMOS[[#This Row],[RUC]]),"")</f>
        <v/>
      </c>
      <c r="J588" s="2" t="str">
        <f>IFERROR(IF(MARÍTIMOS[[#This Row],[Placa Tracto]]="","",MARÍTIMOS[[#This Row],[Placa Tracto]]),"")</f>
        <v/>
      </c>
      <c r="K588" s="2" t="str">
        <f>IFERROR(IF(MARÍTIMOS[[#This Row],[Placa Carreta]]="","",MARÍTIMOS[[#This Row],[Placa Carreta]]),"")</f>
        <v/>
      </c>
      <c r="L588" s="44" t="str">
        <f>IFERROR(IF(MARÍTIMOS[[#This Row],[Conductor]]="","",MARÍTIMOS[[#This Row],[Conductor]]),"")</f>
        <v/>
      </c>
      <c r="M588" s="2" t="str">
        <f>IFERROR(IF(MARÍTIMOS[[#This Row],[Licencia]]="","",MARÍTIMOS[[#This Row],[Licencia]]),"")</f>
        <v/>
      </c>
      <c r="N588" s="2" t="str">
        <f>IFERROR(IF(MARÍTIMOS[[#This Row],[Número de Contacto]]="","",MARÍTIMOS[[#This Row],[Número de Contacto]]),"")</f>
        <v/>
      </c>
      <c r="O588" s="10" t="str">
        <f>IFERROR(IF(MARÍTIMOS[[#This Row],[Booking|AWB|CRT]]="","",MARÍTIMOS[[#This Row],[Booking|AWB|CRT]]),"")</f>
        <v/>
      </c>
      <c r="P588" s="2" t="str">
        <f>IFERROR(IF(MARÍTIMOS[[#This Row],[Contenedor]]="","",MARÍTIMOS[[#This Row],[Contenedor]]),"")</f>
        <v/>
      </c>
      <c r="Q588" s="2" t="str">
        <f>IFERROR(IF(MARÍTIMOS[[#This Row],[Puerto de Retiro]]="","",MARÍTIMOS[[#This Row],[Puerto de Retiro]]),"")</f>
        <v/>
      </c>
      <c r="R588" s="2" t="str">
        <f>IFERROR(IF(MARÍTIMOS[[#This Row],[Almacén de Retiro]]="","",MARÍTIMOS[[#This Row],[Almacén de Retiro]]),"")</f>
        <v/>
      </c>
      <c r="S588" s="11" t="str">
        <f>IFERROR(IF(MARÍTIMOS[[#This Row],[Etapa Retiro - Cita]]="","",MARÍTIMOS[[#This Row],[Etapa Retiro - Cita]]),"")</f>
        <v/>
      </c>
      <c r="T588" s="11" t="str">
        <f>IFERROR(IF(MARÍTIMOS[[#This Row],[Etapa Retiro - Llegada]]="","",MARÍTIMOS[[#This Row],[Etapa Retiro - Llegada]]),"")</f>
        <v/>
      </c>
      <c r="U588" s="11" t="str">
        <f>IFERROR(IF(MARÍTIMOS[[#This Row],[Etapa Retiro - Ingreso]]="","",MARÍTIMOS[[#This Row],[Etapa Retiro - Ingreso]]),"")</f>
        <v/>
      </c>
      <c r="V588" s="11" t="str">
        <f>IFERROR(IF(MARÍTIMOS[[#This Row],[Etapa Retiro - Atención]]="","",MARÍTIMOS[[#This Row],[Etapa Retiro - Atención]]),"")</f>
        <v/>
      </c>
      <c r="W588" s="11" t="str">
        <f>IFERROR(IF(MARÍTIMOS[[#This Row],[Etapa Retiro - Atención]]="","",MARÍTIMOS[[#This Row],[Etapa Retiro - Atención]]),"")</f>
        <v/>
      </c>
      <c r="X588" s="11" t="str">
        <f>IFERROR(IF(MARÍTIMOS[[#This Row],[Etapa Retiro - Inicio de Ruta]]="","",MARÍTIMOS[[#This Row],[Etapa Retiro - Inicio de Ruta]]),"")</f>
        <v/>
      </c>
      <c r="Y588" s="11" t="str">
        <f>IFERROR(IF(MARÍTIMOS[[#This Row],[Hora de Posicionamiento]]="","",MARÍTIMOS[[#This Row],[Fecha de Carga]]+MARÍTIMOS[[#This Row],[Hora de Posicionamiento]]),"")</f>
        <v/>
      </c>
      <c r="Z588" s="11" t="str">
        <f>IFERROR(IF(MARÍTIMOS[[#This Row],[Etapa Despacho - Llegada]]="","",MARÍTIMOS[[#This Row],[Etapa Despacho - Llegada]]),"")</f>
        <v/>
      </c>
      <c r="AA588" s="11" t="str">
        <f>IFERROR(IF(MARÍTIMOS[[#This Row],[Etapa Despacho - Registro]]="","",MARÍTIMOS[[#This Row],[Etapa Despacho - Registro]]),"")</f>
        <v/>
      </c>
      <c r="AB588" s="11" t="str">
        <f>IFERROR(IF(MARÍTIMOS[[#This Row],[Inspección Externa]]="","",MARÍTIMOS[[#This Row],[Inspección Externa]]),"")</f>
        <v/>
      </c>
      <c r="AC588" s="11" t="str">
        <f>IFERROR(IF(MARÍTIMOS[[#This Row],[Etapa Despacho - Inicio de Carga]]="","",MARÍTIMOS[[#This Row],[Etapa Despacho - Inicio de Carga]]),"")</f>
        <v/>
      </c>
      <c r="AD588" s="11" t="str">
        <f>IFERROR(IF(MARÍTIMOS[[#This Row],[Etapa Despacho - Mitad de Carga]]="","",MARÍTIMOS[[#This Row],[Etapa Despacho - Mitad de Carga]]),"")</f>
        <v/>
      </c>
      <c r="AE588" s="11" t="str">
        <f>IFERROR(IF(MARÍTIMOS[[#This Row],[Etapa Despacho - Fin de Carga]]="","",MARÍTIMOS[[#This Row],[Etapa Despacho - Fin de Carga]]),"")</f>
        <v/>
      </c>
      <c r="AF588" s="2" t="str">
        <f>IFERROR(IF(MARÍTIMOS[[#This Row],[Puerto de Embarque]]="","",MARÍTIMOS[[#This Row],[Puerto de Embarque]]),"")</f>
        <v/>
      </c>
      <c r="AG588" s="2" t="str">
        <f>IFERROR(IF(MARÍTIMOS[[#This Row],[Almacén de Ingreso]]="","",MARÍTIMOS[[#This Row],[Almacén de Ingreso]]),"")</f>
        <v/>
      </c>
      <c r="AH588" s="11" t="str">
        <f>IFERROR(IF(MARÍTIMOS[[#This Row],[Etapa Ingreso - Cita]]="","",MARÍTIMOS[[#This Row],[Etapa Ingreso - Cita]]),"")</f>
        <v/>
      </c>
      <c r="AI588" s="11" t="str">
        <f>IFERROR(IF(MARÍTIMOS[[#This Row],[Etapa Ingreso - Llegada]]="","",MARÍTIMOS[[#This Row],[Etapa Ingreso - Llegada]]),"")</f>
        <v/>
      </c>
      <c r="AJ588" s="11" t="str">
        <f>IFERROR(IF(MARÍTIMOS[[#This Row],[Etapa Ingreso - Ingeso]]="","",MARÍTIMOS[[#This Row],[Etapa Ingreso - Ingeso]]),"")</f>
        <v/>
      </c>
      <c r="AK588" s="11" t="str">
        <f>IFERROR(IF(MARÍTIMOS[[#This Row],[Etapa Ingreso - Atención]]="","",MARÍTIMOS[[#This Row],[Etapa Ingreso - Atención]]),"")</f>
        <v/>
      </c>
      <c r="AL588" s="11" t="str">
        <f>IFERROR(IF(MARÍTIMOS[[#This Row],[Etapa Ingreso - Salida]]="","",MARÍTIMOS[[#This Row],[Etapa Ingreso - Salida]]),"")</f>
        <v/>
      </c>
      <c r="AM588" s="2" t="str">
        <f>IFERROR(IF(MARÍTIMOS[[#This Row],[FCL]]="","",MARÍTIMOS[[#This Row],[FCL]]),"")</f>
        <v/>
      </c>
      <c r="AN5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8" s="4" t="str" cm="1">
        <f t="array" ref="AO5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8" s="5" t="str">
        <f>IFERROR(OLDBD[[#This Row],[Llegada a packing]]-OLDBD[[#This Row],[Inicio de Ruta]],"")</f>
        <v/>
      </c>
      <c r="AQ588" s="6" t="str">
        <f>IFERROR(OLDBD[[#This Row],[Inicio de Ruta]]-OLDBD[[#This Row],[Salida de almacén de retiro]],"")</f>
        <v/>
      </c>
      <c r="AR5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8" s="8" t="str" cm="1">
        <f t="array" ref="AS5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8" s="9" t="str">
        <f>IFERROR(OLDBD[[#This Row],[Ingreso Packing]]-OLDBD[[#This Row],[Registro en Packing]],"")</f>
        <v/>
      </c>
      <c r="AV588" s="9" t="str">
        <f>IFERROR(OLDBD[[#This Row],[Ingreso Packing]]-OLDBD[[#This Row],[Llegada a packing]],"")</f>
        <v/>
      </c>
      <c r="AW5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8" s="5" t="str">
        <f>IFERROR(OLDBD[[#This Row],[Llegada Almacén de Ingreso]]-OLDBD[[#This Row],[Salida Packing]],"")</f>
        <v/>
      </c>
      <c r="AY588" s="4" t="str" cm="1">
        <f t="array" ref="AY5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8" s="43" t="s">
        <v>173</v>
      </c>
      <c r="BB588" s="47" t="str">
        <f>IFERROR(IF(MARÍTIMOS[[#This Row],[Estatus]]="","",MARÍTIMOS[[#This Row],[Estatus]]),"")</f>
        <v/>
      </c>
      <c r="BC588" s="43"/>
      <c r="BD588" s="46" t="str">
        <f>IFERROR(OLDBD[[#This Row],[Salida de almacén de retiro]]-OLDBD[[#This Row],[Ingreso Almacén de retiro]],"")</f>
        <v/>
      </c>
      <c r="BE588" s="46" t="str">
        <f>IFERROR(OLDBD[[#This Row],[Fin de Carga]]-OLDBD[[#This Row],[Inicio de Carga]],"")</f>
        <v/>
      </c>
    </row>
    <row r="589" spans="1:57" customFormat="1" hidden="1">
      <c r="A589" s="1"/>
      <c r="B589" s="1" t="str">
        <f>IFERROR(IF(MARÍTIMOS[[#This Row],[PP]]="","",MARÍTIMOS[[#This Row],[PP]]),"")</f>
        <v/>
      </c>
      <c r="C589" s="1" t="str">
        <f>IFERROR(IF(MARÍTIMOS[[#This Row],[Sede]]="","",MARÍTIMOS[[#This Row],[Sede]]),"")</f>
        <v/>
      </c>
      <c r="D589" s="1" t="str">
        <f>IFERROR(IF(MARÍTIMOS[[#This Row],[Instruction]]="","",MARÍTIMOS[[#This Row],[Instruction]]),"")</f>
        <v/>
      </c>
      <c r="E589" s="1"/>
      <c r="F589" s="2" t="str">
        <f>IFERROR(IF(MARÍTIMOS[[#This Row],[Transportista]]="","",MARÍTIMOS[[#This Row],[Transportista]]),"")</f>
        <v/>
      </c>
      <c r="G589" s="2" t="str">
        <f>IFERROR(IF(MARÍTIMOS[[#This Row],[Tercero]]="","",MARÍTIMOS[[#This Row],[Tercero]]),"")</f>
        <v/>
      </c>
      <c r="H589" s="2" t="str">
        <f>IFERROR(IF(MARÍTIMOS[[#This Row],[Razón Social]]="","",MARÍTIMOS[[#This Row],[Razón Social]]),"")</f>
        <v/>
      </c>
      <c r="I589" s="2" t="str">
        <f>IFERROR(IF(MARÍTIMOS[[#This Row],[RUC]]="","",MARÍTIMOS[[#This Row],[RUC]]),"")</f>
        <v/>
      </c>
      <c r="J589" s="2" t="str">
        <f>IFERROR(IF(MARÍTIMOS[[#This Row],[Placa Tracto]]="","",MARÍTIMOS[[#This Row],[Placa Tracto]]),"")</f>
        <v/>
      </c>
      <c r="K589" s="2" t="str">
        <f>IFERROR(IF(MARÍTIMOS[[#This Row],[Placa Carreta]]="","",MARÍTIMOS[[#This Row],[Placa Carreta]]),"")</f>
        <v/>
      </c>
      <c r="L589" s="44" t="str">
        <f>IFERROR(IF(MARÍTIMOS[[#This Row],[Conductor]]="","",MARÍTIMOS[[#This Row],[Conductor]]),"")</f>
        <v/>
      </c>
      <c r="M589" s="2" t="str">
        <f>IFERROR(IF(MARÍTIMOS[[#This Row],[Licencia]]="","",MARÍTIMOS[[#This Row],[Licencia]]),"")</f>
        <v/>
      </c>
      <c r="N589" s="2" t="str">
        <f>IFERROR(IF(MARÍTIMOS[[#This Row],[Número de Contacto]]="","",MARÍTIMOS[[#This Row],[Número de Contacto]]),"")</f>
        <v/>
      </c>
      <c r="O589" s="10" t="str">
        <f>IFERROR(IF(MARÍTIMOS[[#This Row],[Booking|AWB|CRT]]="","",MARÍTIMOS[[#This Row],[Booking|AWB|CRT]]),"")</f>
        <v/>
      </c>
      <c r="P589" s="2" t="str">
        <f>IFERROR(IF(MARÍTIMOS[[#This Row],[Contenedor]]="","",MARÍTIMOS[[#This Row],[Contenedor]]),"")</f>
        <v/>
      </c>
      <c r="Q589" s="2" t="str">
        <f>IFERROR(IF(MARÍTIMOS[[#This Row],[Puerto de Retiro]]="","",MARÍTIMOS[[#This Row],[Puerto de Retiro]]),"")</f>
        <v/>
      </c>
      <c r="R589" s="2" t="str">
        <f>IFERROR(IF(MARÍTIMOS[[#This Row],[Almacén de Retiro]]="","",MARÍTIMOS[[#This Row],[Almacén de Retiro]]),"")</f>
        <v/>
      </c>
      <c r="S589" s="11" t="str">
        <f>IFERROR(IF(MARÍTIMOS[[#This Row],[Etapa Retiro - Cita]]="","",MARÍTIMOS[[#This Row],[Etapa Retiro - Cita]]),"")</f>
        <v/>
      </c>
      <c r="T589" s="11" t="str">
        <f>IFERROR(IF(MARÍTIMOS[[#This Row],[Etapa Retiro - Llegada]]="","",MARÍTIMOS[[#This Row],[Etapa Retiro - Llegada]]),"")</f>
        <v/>
      </c>
      <c r="U589" s="11" t="str">
        <f>IFERROR(IF(MARÍTIMOS[[#This Row],[Etapa Retiro - Ingreso]]="","",MARÍTIMOS[[#This Row],[Etapa Retiro - Ingreso]]),"")</f>
        <v/>
      </c>
      <c r="V589" s="11" t="str">
        <f>IFERROR(IF(MARÍTIMOS[[#This Row],[Etapa Retiro - Atención]]="","",MARÍTIMOS[[#This Row],[Etapa Retiro - Atención]]),"")</f>
        <v/>
      </c>
      <c r="W589" s="11" t="str">
        <f>IFERROR(IF(MARÍTIMOS[[#This Row],[Etapa Retiro - Atención]]="","",MARÍTIMOS[[#This Row],[Etapa Retiro - Atención]]),"")</f>
        <v/>
      </c>
      <c r="X589" s="11" t="str">
        <f>IFERROR(IF(MARÍTIMOS[[#This Row],[Etapa Retiro - Inicio de Ruta]]="","",MARÍTIMOS[[#This Row],[Etapa Retiro - Inicio de Ruta]]),"")</f>
        <v/>
      </c>
      <c r="Y589" s="11" t="str">
        <f>IFERROR(IF(MARÍTIMOS[[#This Row],[Hora de Posicionamiento]]="","",MARÍTIMOS[[#This Row],[Fecha de Carga]]+MARÍTIMOS[[#This Row],[Hora de Posicionamiento]]),"")</f>
        <v/>
      </c>
      <c r="Z589" s="11" t="str">
        <f>IFERROR(IF(MARÍTIMOS[[#This Row],[Etapa Despacho - Llegada]]="","",MARÍTIMOS[[#This Row],[Etapa Despacho - Llegada]]),"")</f>
        <v/>
      </c>
      <c r="AA589" s="11" t="str">
        <f>IFERROR(IF(MARÍTIMOS[[#This Row],[Etapa Despacho - Registro]]="","",MARÍTIMOS[[#This Row],[Etapa Despacho - Registro]]),"")</f>
        <v/>
      </c>
      <c r="AB589" s="11" t="str">
        <f>IFERROR(IF(MARÍTIMOS[[#This Row],[Inspección Externa]]="","",MARÍTIMOS[[#This Row],[Inspección Externa]]),"")</f>
        <v/>
      </c>
      <c r="AC589" s="11" t="str">
        <f>IFERROR(IF(MARÍTIMOS[[#This Row],[Etapa Despacho - Inicio de Carga]]="","",MARÍTIMOS[[#This Row],[Etapa Despacho - Inicio de Carga]]),"")</f>
        <v/>
      </c>
      <c r="AD589" s="11" t="str">
        <f>IFERROR(IF(MARÍTIMOS[[#This Row],[Etapa Despacho - Mitad de Carga]]="","",MARÍTIMOS[[#This Row],[Etapa Despacho - Mitad de Carga]]),"")</f>
        <v/>
      </c>
      <c r="AE589" s="11" t="str">
        <f>IFERROR(IF(MARÍTIMOS[[#This Row],[Etapa Despacho - Fin de Carga]]="","",MARÍTIMOS[[#This Row],[Etapa Despacho - Fin de Carga]]),"")</f>
        <v/>
      </c>
      <c r="AF589" s="2" t="str">
        <f>IFERROR(IF(MARÍTIMOS[[#This Row],[Puerto de Embarque]]="","",MARÍTIMOS[[#This Row],[Puerto de Embarque]]),"")</f>
        <v/>
      </c>
      <c r="AG589" s="2" t="str">
        <f>IFERROR(IF(MARÍTIMOS[[#This Row],[Almacén de Ingreso]]="","",MARÍTIMOS[[#This Row],[Almacén de Ingreso]]),"")</f>
        <v/>
      </c>
      <c r="AH589" s="11" t="str">
        <f>IFERROR(IF(MARÍTIMOS[[#This Row],[Etapa Ingreso - Cita]]="","",MARÍTIMOS[[#This Row],[Etapa Ingreso - Cita]]),"")</f>
        <v/>
      </c>
      <c r="AI589" s="11" t="str">
        <f>IFERROR(IF(MARÍTIMOS[[#This Row],[Etapa Ingreso - Llegada]]="","",MARÍTIMOS[[#This Row],[Etapa Ingreso - Llegada]]),"")</f>
        <v/>
      </c>
      <c r="AJ589" s="11" t="str">
        <f>IFERROR(IF(MARÍTIMOS[[#This Row],[Etapa Ingreso - Ingeso]]="","",MARÍTIMOS[[#This Row],[Etapa Ingreso - Ingeso]]),"")</f>
        <v/>
      </c>
      <c r="AK589" s="11" t="str">
        <f>IFERROR(IF(MARÍTIMOS[[#This Row],[Etapa Ingreso - Atención]]="","",MARÍTIMOS[[#This Row],[Etapa Ingreso - Atención]]),"")</f>
        <v/>
      </c>
      <c r="AL589" s="11" t="str">
        <f>IFERROR(IF(MARÍTIMOS[[#This Row],[Etapa Ingreso - Salida]]="","",MARÍTIMOS[[#This Row],[Etapa Ingreso - Salida]]),"")</f>
        <v/>
      </c>
      <c r="AM589" s="2" t="str">
        <f>IFERROR(IF(MARÍTIMOS[[#This Row],[FCL]]="","",MARÍTIMOS[[#This Row],[FCL]]),"")</f>
        <v/>
      </c>
      <c r="AN5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89" s="4" t="str" cm="1">
        <f t="array" ref="AO5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89" s="5" t="str">
        <f>IFERROR(OLDBD[[#This Row],[Llegada a packing]]-OLDBD[[#This Row],[Inicio de Ruta]],"")</f>
        <v/>
      </c>
      <c r="AQ589" s="6" t="str">
        <f>IFERROR(OLDBD[[#This Row],[Inicio de Ruta]]-OLDBD[[#This Row],[Salida de almacén de retiro]],"")</f>
        <v/>
      </c>
      <c r="AR5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89" s="8" t="str" cm="1">
        <f t="array" ref="AS5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89" s="9" t="str">
        <f>IFERROR(OLDBD[[#This Row],[Ingreso Packing]]-OLDBD[[#This Row],[Registro en Packing]],"")</f>
        <v/>
      </c>
      <c r="AV589" s="9" t="str">
        <f>IFERROR(OLDBD[[#This Row],[Ingreso Packing]]-OLDBD[[#This Row],[Llegada a packing]],"")</f>
        <v/>
      </c>
      <c r="AW5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89" s="5" t="str">
        <f>IFERROR(OLDBD[[#This Row],[Llegada Almacén de Ingreso]]-OLDBD[[#This Row],[Salida Packing]],"")</f>
        <v/>
      </c>
      <c r="AY589" s="4" t="str" cm="1">
        <f t="array" ref="AY5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89" s="43" t="s">
        <v>173</v>
      </c>
      <c r="BB589" s="47" t="str">
        <f>IFERROR(IF(MARÍTIMOS[[#This Row],[Estatus]]="","",MARÍTIMOS[[#This Row],[Estatus]]),"")</f>
        <v/>
      </c>
      <c r="BC589" s="43"/>
      <c r="BD589" s="46" t="str">
        <f>IFERROR(OLDBD[[#This Row],[Salida de almacén de retiro]]-OLDBD[[#This Row],[Ingreso Almacén de retiro]],"")</f>
        <v/>
      </c>
      <c r="BE589" s="46" t="str">
        <f>IFERROR(OLDBD[[#This Row],[Fin de Carga]]-OLDBD[[#This Row],[Inicio de Carga]],"")</f>
        <v/>
      </c>
    </row>
    <row r="590" spans="1:57" customFormat="1" hidden="1">
      <c r="A590" s="1"/>
      <c r="B590" s="1" t="str">
        <f>IFERROR(IF(MARÍTIMOS[[#This Row],[PP]]="","",MARÍTIMOS[[#This Row],[PP]]),"")</f>
        <v/>
      </c>
      <c r="C590" s="1" t="str">
        <f>IFERROR(IF(MARÍTIMOS[[#This Row],[Sede]]="","",MARÍTIMOS[[#This Row],[Sede]]),"")</f>
        <v/>
      </c>
      <c r="D590" s="1" t="str">
        <f>IFERROR(IF(MARÍTIMOS[[#This Row],[Instruction]]="","",MARÍTIMOS[[#This Row],[Instruction]]),"")</f>
        <v/>
      </c>
      <c r="E590" s="1"/>
      <c r="F590" s="2" t="str">
        <f>IFERROR(IF(MARÍTIMOS[[#This Row],[Transportista]]="","",MARÍTIMOS[[#This Row],[Transportista]]),"")</f>
        <v/>
      </c>
      <c r="G590" s="2" t="str">
        <f>IFERROR(IF(MARÍTIMOS[[#This Row],[Tercero]]="","",MARÍTIMOS[[#This Row],[Tercero]]),"")</f>
        <v/>
      </c>
      <c r="H590" s="2" t="str">
        <f>IFERROR(IF(MARÍTIMOS[[#This Row],[Razón Social]]="","",MARÍTIMOS[[#This Row],[Razón Social]]),"")</f>
        <v/>
      </c>
      <c r="I590" s="2" t="str">
        <f>IFERROR(IF(MARÍTIMOS[[#This Row],[RUC]]="","",MARÍTIMOS[[#This Row],[RUC]]),"")</f>
        <v/>
      </c>
      <c r="J590" s="2" t="str">
        <f>IFERROR(IF(MARÍTIMOS[[#This Row],[Placa Tracto]]="","",MARÍTIMOS[[#This Row],[Placa Tracto]]),"")</f>
        <v/>
      </c>
      <c r="K590" s="2" t="str">
        <f>IFERROR(IF(MARÍTIMOS[[#This Row],[Placa Carreta]]="","",MARÍTIMOS[[#This Row],[Placa Carreta]]),"")</f>
        <v/>
      </c>
      <c r="L590" s="44" t="str">
        <f>IFERROR(IF(MARÍTIMOS[[#This Row],[Conductor]]="","",MARÍTIMOS[[#This Row],[Conductor]]),"")</f>
        <v/>
      </c>
      <c r="M590" s="2" t="str">
        <f>IFERROR(IF(MARÍTIMOS[[#This Row],[Licencia]]="","",MARÍTIMOS[[#This Row],[Licencia]]),"")</f>
        <v/>
      </c>
      <c r="N590" s="2" t="str">
        <f>IFERROR(IF(MARÍTIMOS[[#This Row],[Número de Contacto]]="","",MARÍTIMOS[[#This Row],[Número de Contacto]]),"")</f>
        <v/>
      </c>
      <c r="O590" s="10" t="str">
        <f>IFERROR(IF(MARÍTIMOS[[#This Row],[Booking|AWB|CRT]]="","",MARÍTIMOS[[#This Row],[Booking|AWB|CRT]]),"")</f>
        <v/>
      </c>
      <c r="P590" s="2" t="str">
        <f>IFERROR(IF(MARÍTIMOS[[#This Row],[Contenedor]]="","",MARÍTIMOS[[#This Row],[Contenedor]]),"")</f>
        <v/>
      </c>
      <c r="Q590" s="2" t="str">
        <f>IFERROR(IF(MARÍTIMOS[[#This Row],[Puerto de Retiro]]="","",MARÍTIMOS[[#This Row],[Puerto de Retiro]]),"")</f>
        <v/>
      </c>
      <c r="R590" s="2" t="str">
        <f>IFERROR(IF(MARÍTIMOS[[#This Row],[Almacén de Retiro]]="","",MARÍTIMOS[[#This Row],[Almacén de Retiro]]),"")</f>
        <v/>
      </c>
      <c r="S590" s="11" t="str">
        <f>IFERROR(IF(MARÍTIMOS[[#This Row],[Etapa Retiro - Cita]]="","",MARÍTIMOS[[#This Row],[Etapa Retiro - Cita]]),"")</f>
        <v/>
      </c>
      <c r="T590" s="11" t="str">
        <f>IFERROR(IF(MARÍTIMOS[[#This Row],[Etapa Retiro - Llegada]]="","",MARÍTIMOS[[#This Row],[Etapa Retiro - Llegada]]),"")</f>
        <v/>
      </c>
      <c r="U590" s="11" t="str">
        <f>IFERROR(IF(MARÍTIMOS[[#This Row],[Etapa Retiro - Ingreso]]="","",MARÍTIMOS[[#This Row],[Etapa Retiro - Ingreso]]),"")</f>
        <v/>
      </c>
      <c r="V590" s="11" t="str">
        <f>IFERROR(IF(MARÍTIMOS[[#This Row],[Etapa Retiro - Atención]]="","",MARÍTIMOS[[#This Row],[Etapa Retiro - Atención]]),"")</f>
        <v/>
      </c>
      <c r="W590" s="11" t="str">
        <f>IFERROR(IF(MARÍTIMOS[[#This Row],[Etapa Retiro - Atención]]="","",MARÍTIMOS[[#This Row],[Etapa Retiro - Atención]]),"")</f>
        <v/>
      </c>
      <c r="X590" s="11" t="str">
        <f>IFERROR(IF(MARÍTIMOS[[#This Row],[Etapa Retiro - Inicio de Ruta]]="","",MARÍTIMOS[[#This Row],[Etapa Retiro - Inicio de Ruta]]),"")</f>
        <v/>
      </c>
      <c r="Y590" s="11" t="str">
        <f>IFERROR(IF(MARÍTIMOS[[#This Row],[Hora de Posicionamiento]]="","",MARÍTIMOS[[#This Row],[Fecha de Carga]]+MARÍTIMOS[[#This Row],[Hora de Posicionamiento]]),"")</f>
        <v/>
      </c>
      <c r="Z590" s="11" t="str">
        <f>IFERROR(IF(MARÍTIMOS[[#This Row],[Etapa Despacho - Llegada]]="","",MARÍTIMOS[[#This Row],[Etapa Despacho - Llegada]]),"")</f>
        <v/>
      </c>
      <c r="AA590" s="11" t="str">
        <f>IFERROR(IF(MARÍTIMOS[[#This Row],[Etapa Despacho - Registro]]="","",MARÍTIMOS[[#This Row],[Etapa Despacho - Registro]]),"")</f>
        <v/>
      </c>
      <c r="AB590" s="11" t="str">
        <f>IFERROR(IF(MARÍTIMOS[[#This Row],[Inspección Externa]]="","",MARÍTIMOS[[#This Row],[Inspección Externa]]),"")</f>
        <v/>
      </c>
      <c r="AC590" s="11" t="str">
        <f>IFERROR(IF(MARÍTIMOS[[#This Row],[Etapa Despacho - Inicio de Carga]]="","",MARÍTIMOS[[#This Row],[Etapa Despacho - Inicio de Carga]]),"")</f>
        <v/>
      </c>
      <c r="AD590" s="11" t="str">
        <f>IFERROR(IF(MARÍTIMOS[[#This Row],[Etapa Despacho - Mitad de Carga]]="","",MARÍTIMOS[[#This Row],[Etapa Despacho - Mitad de Carga]]),"")</f>
        <v/>
      </c>
      <c r="AE590" s="11" t="str">
        <f>IFERROR(IF(MARÍTIMOS[[#This Row],[Etapa Despacho - Fin de Carga]]="","",MARÍTIMOS[[#This Row],[Etapa Despacho - Fin de Carga]]),"")</f>
        <v/>
      </c>
      <c r="AF590" s="2" t="str">
        <f>IFERROR(IF(MARÍTIMOS[[#This Row],[Puerto de Embarque]]="","",MARÍTIMOS[[#This Row],[Puerto de Embarque]]),"")</f>
        <v/>
      </c>
      <c r="AG590" s="2" t="str">
        <f>IFERROR(IF(MARÍTIMOS[[#This Row],[Almacén de Ingreso]]="","",MARÍTIMOS[[#This Row],[Almacén de Ingreso]]),"")</f>
        <v/>
      </c>
      <c r="AH590" s="11" t="str">
        <f>IFERROR(IF(MARÍTIMOS[[#This Row],[Etapa Ingreso - Cita]]="","",MARÍTIMOS[[#This Row],[Etapa Ingreso - Cita]]),"")</f>
        <v/>
      </c>
      <c r="AI590" s="11" t="str">
        <f>IFERROR(IF(MARÍTIMOS[[#This Row],[Etapa Ingreso - Llegada]]="","",MARÍTIMOS[[#This Row],[Etapa Ingreso - Llegada]]),"")</f>
        <v/>
      </c>
      <c r="AJ590" s="11" t="str">
        <f>IFERROR(IF(MARÍTIMOS[[#This Row],[Etapa Ingreso - Ingeso]]="","",MARÍTIMOS[[#This Row],[Etapa Ingreso - Ingeso]]),"")</f>
        <v/>
      </c>
      <c r="AK590" s="11" t="str">
        <f>IFERROR(IF(MARÍTIMOS[[#This Row],[Etapa Ingreso - Atención]]="","",MARÍTIMOS[[#This Row],[Etapa Ingreso - Atención]]),"")</f>
        <v/>
      </c>
      <c r="AL590" s="11" t="str">
        <f>IFERROR(IF(MARÍTIMOS[[#This Row],[Etapa Ingreso - Salida]]="","",MARÍTIMOS[[#This Row],[Etapa Ingreso - Salida]]),"")</f>
        <v/>
      </c>
      <c r="AM590" s="2" t="str">
        <f>IFERROR(IF(MARÍTIMOS[[#This Row],[FCL]]="","",MARÍTIMOS[[#This Row],[FCL]]),"")</f>
        <v/>
      </c>
      <c r="AN5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0" s="4" t="str" cm="1">
        <f t="array" ref="AO5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0" s="5" t="str">
        <f>IFERROR(OLDBD[[#This Row],[Llegada a packing]]-OLDBD[[#This Row],[Inicio de Ruta]],"")</f>
        <v/>
      </c>
      <c r="AQ590" s="6" t="str">
        <f>IFERROR(OLDBD[[#This Row],[Inicio de Ruta]]-OLDBD[[#This Row],[Salida de almacén de retiro]],"")</f>
        <v/>
      </c>
      <c r="AR5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0" s="8" t="str" cm="1">
        <f t="array" ref="AS5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0" s="9" t="str">
        <f>IFERROR(OLDBD[[#This Row],[Ingreso Packing]]-OLDBD[[#This Row],[Registro en Packing]],"")</f>
        <v/>
      </c>
      <c r="AV590" s="9" t="str">
        <f>IFERROR(OLDBD[[#This Row],[Ingreso Packing]]-OLDBD[[#This Row],[Llegada a packing]],"")</f>
        <v/>
      </c>
      <c r="AW5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0" s="5" t="str">
        <f>IFERROR(OLDBD[[#This Row],[Llegada Almacén de Ingreso]]-OLDBD[[#This Row],[Salida Packing]],"")</f>
        <v/>
      </c>
      <c r="AY590" s="4" t="str" cm="1">
        <f t="array" ref="AY5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0" s="43" t="s">
        <v>173</v>
      </c>
      <c r="BB590" s="47" t="str">
        <f>IFERROR(IF(MARÍTIMOS[[#This Row],[Estatus]]="","",MARÍTIMOS[[#This Row],[Estatus]]),"")</f>
        <v/>
      </c>
      <c r="BC590" s="43"/>
      <c r="BD590" s="46" t="str">
        <f>IFERROR(OLDBD[[#This Row],[Salida de almacén de retiro]]-OLDBD[[#This Row],[Ingreso Almacén de retiro]],"")</f>
        <v/>
      </c>
      <c r="BE590" s="46" t="str">
        <f>IFERROR(OLDBD[[#This Row],[Fin de Carga]]-OLDBD[[#This Row],[Inicio de Carga]],"")</f>
        <v/>
      </c>
    </row>
    <row r="591" spans="1:57" customFormat="1" hidden="1">
      <c r="A591" s="1"/>
      <c r="B591" s="1" t="str">
        <f>IFERROR(IF(MARÍTIMOS[[#This Row],[PP]]="","",MARÍTIMOS[[#This Row],[PP]]),"")</f>
        <v/>
      </c>
      <c r="C591" s="1" t="str">
        <f>IFERROR(IF(MARÍTIMOS[[#This Row],[Sede]]="","",MARÍTIMOS[[#This Row],[Sede]]),"")</f>
        <v/>
      </c>
      <c r="D591" s="1" t="str">
        <f>IFERROR(IF(MARÍTIMOS[[#This Row],[Instruction]]="","",MARÍTIMOS[[#This Row],[Instruction]]),"")</f>
        <v/>
      </c>
      <c r="E591" s="1"/>
      <c r="F591" s="2" t="str">
        <f>IFERROR(IF(MARÍTIMOS[[#This Row],[Transportista]]="","",MARÍTIMOS[[#This Row],[Transportista]]),"")</f>
        <v/>
      </c>
      <c r="G591" s="2" t="str">
        <f>IFERROR(IF(MARÍTIMOS[[#This Row],[Tercero]]="","",MARÍTIMOS[[#This Row],[Tercero]]),"")</f>
        <v/>
      </c>
      <c r="H591" s="2" t="str">
        <f>IFERROR(IF(MARÍTIMOS[[#This Row],[Razón Social]]="","",MARÍTIMOS[[#This Row],[Razón Social]]),"")</f>
        <v/>
      </c>
      <c r="I591" s="2" t="str">
        <f>IFERROR(IF(MARÍTIMOS[[#This Row],[RUC]]="","",MARÍTIMOS[[#This Row],[RUC]]),"")</f>
        <v/>
      </c>
      <c r="J591" s="2" t="str">
        <f>IFERROR(IF(MARÍTIMOS[[#This Row],[Placa Tracto]]="","",MARÍTIMOS[[#This Row],[Placa Tracto]]),"")</f>
        <v/>
      </c>
      <c r="K591" s="2" t="str">
        <f>IFERROR(IF(MARÍTIMOS[[#This Row],[Placa Carreta]]="","",MARÍTIMOS[[#This Row],[Placa Carreta]]),"")</f>
        <v/>
      </c>
      <c r="L591" s="44" t="str">
        <f>IFERROR(IF(MARÍTIMOS[[#This Row],[Conductor]]="","",MARÍTIMOS[[#This Row],[Conductor]]),"")</f>
        <v/>
      </c>
      <c r="M591" s="2" t="str">
        <f>IFERROR(IF(MARÍTIMOS[[#This Row],[Licencia]]="","",MARÍTIMOS[[#This Row],[Licencia]]),"")</f>
        <v/>
      </c>
      <c r="N591" s="2" t="str">
        <f>IFERROR(IF(MARÍTIMOS[[#This Row],[Número de Contacto]]="","",MARÍTIMOS[[#This Row],[Número de Contacto]]),"")</f>
        <v/>
      </c>
      <c r="O591" s="10" t="str">
        <f>IFERROR(IF(MARÍTIMOS[[#This Row],[Booking|AWB|CRT]]="","",MARÍTIMOS[[#This Row],[Booking|AWB|CRT]]),"")</f>
        <v/>
      </c>
      <c r="P591" s="2" t="str">
        <f>IFERROR(IF(MARÍTIMOS[[#This Row],[Contenedor]]="","",MARÍTIMOS[[#This Row],[Contenedor]]),"")</f>
        <v/>
      </c>
      <c r="Q591" s="2" t="str">
        <f>IFERROR(IF(MARÍTIMOS[[#This Row],[Puerto de Retiro]]="","",MARÍTIMOS[[#This Row],[Puerto de Retiro]]),"")</f>
        <v/>
      </c>
      <c r="R591" s="2" t="str">
        <f>IFERROR(IF(MARÍTIMOS[[#This Row],[Almacén de Retiro]]="","",MARÍTIMOS[[#This Row],[Almacén de Retiro]]),"")</f>
        <v/>
      </c>
      <c r="S591" s="11" t="str">
        <f>IFERROR(IF(MARÍTIMOS[[#This Row],[Etapa Retiro - Cita]]="","",MARÍTIMOS[[#This Row],[Etapa Retiro - Cita]]),"")</f>
        <v/>
      </c>
      <c r="T591" s="11" t="str">
        <f>IFERROR(IF(MARÍTIMOS[[#This Row],[Etapa Retiro - Llegada]]="","",MARÍTIMOS[[#This Row],[Etapa Retiro - Llegada]]),"")</f>
        <v/>
      </c>
      <c r="U591" s="11" t="str">
        <f>IFERROR(IF(MARÍTIMOS[[#This Row],[Etapa Retiro - Ingreso]]="","",MARÍTIMOS[[#This Row],[Etapa Retiro - Ingreso]]),"")</f>
        <v/>
      </c>
      <c r="V591" s="11" t="str">
        <f>IFERROR(IF(MARÍTIMOS[[#This Row],[Etapa Retiro - Atención]]="","",MARÍTIMOS[[#This Row],[Etapa Retiro - Atención]]),"")</f>
        <v/>
      </c>
      <c r="W591" s="11" t="str">
        <f>IFERROR(IF(MARÍTIMOS[[#This Row],[Etapa Retiro - Atención]]="","",MARÍTIMOS[[#This Row],[Etapa Retiro - Atención]]),"")</f>
        <v/>
      </c>
      <c r="X591" s="11" t="str">
        <f>IFERROR(IF(MARÍTIMOS[[#This Row],[Etapa Retiro - Inicio de Ruta]]="","",MARÍTIMOS[[#This Row],[Etapa Retiro - Inicio de Ruta]]),"")</f>
        <v/>
      </c>
      <c r="Y591" s="11" t="str">
        <f>IFERROR(IF(MARÍTIMOS[[#This Row],[Hora de Posicionamiento]]="","",MARÍTIMOS[[#This Row],[Fecha de Carga]]+MARÍTIMOS[[#This Row],[Hora de Posicionamiento]]),"")</f>
        <v/>
      </c>
      <c r="Z591" s="11" t="str">
        <f>IFERROR(IF(MARÍTIMOS[[#This Row],[Etapa Despacho - Llegada]]="","",MARÍTIMOS[[#This Row],[Etapa Despacho - Llegada]]),"")</f>
        <v/>
      </c>
      <c r="AA591" s="11" t="str">
        <f>IFERROR(IF(MARÍTIMOS[[#This Row],[Etapa Despacho - Registro]]="","",MARÍTIMOS[[#This Row],[Etapa Despacho - Registro]]),"")</f>
        <v/>
      </c>
      <c r="AB591" s="11" t="str">
        <f>IFERROR(IF(MARÍTIMOS[[#This Row],[Inspección Externa]]="","",MARÍTIMOS[[#This Row],[Inspección Externa]]),"")</f>
        <v/>
      </c>
      <c r="AC591" s="11" t="str">
        <f>IFERROR(IF(MARÍTIMOS[[#This Row],[Etapa Despacho - Inicio de Carga]]="","",MARÍTIMOS[[#This Row],[Etapa Despacho - Inicio de Carga]]),"")</f>
        <v/>
      </c>
      <c r="AD591" s="11" t="str">
        <f>IFERROR(IF(MARÍTIMOS[[#This Row],[Etapa Despacho - Mitad de Carga]]="","",MARÍTIMOS[[#This Row],[Etapa Despacho - Mitad de Carga]]),"")</f>
        <v/>
      </c>
      <c r="AE591" s="11" t="str">
        <f>IFERROR(IF(MARÍTIMOS[[#This Row],[Etapa Despacho - Fin de Carga]]="","",MARÍTIMOS[[#This Row],[Etapa Despacho - Fin de Carga]]),"")</f>
        <v/>
      </c>
      <c r="AF591" s="2" t="str">
        <f>IFERROR(IF(MARÍTIMOS[[#This Row],[Puerto de Embarque]]="","",MARÍTIMOS[[#This Row],[Puerto de Embarque]]),"")</f>
        <v/>
      </c>
      <c r="AG591" s="2" t="str">
        <f>IFERROR(IF(MARÍTIMOS[[#This Row],[Almacén de Ingreso]]="","",MARÍTIMOS[[#This Row],[Almacén de Ingreso]]),"")</f>
        <v/>
      </c>
      <c r="AH591" s="11" t="str">
        <f>IFERROR(IF(MARÍTIMOS[[#This Row],[Etapa Ingreso - Cita]]="","",MARÍTIMOS[[#This Row],[Etapa Ingreso - Cita]]),"")</f>
        <v/>
      </c>
      <c r="AI591" s="11" t="str">
        <f>IFERROR(IF(MARÍTIMOS[[#This Row],[Etapa Ingreso - Llegada]]="","",MARÍTIMOS[[#This Row],[Etapa Ingreso - Llegada]]),"")</f>
        <v/>
      </c>
      <c r="AJ591" s="11" t="str">
        <f>IFERROR(IF(MARÍTIMOS[[#This Row],[Etapa Ingreso - Ingeso]]="","",MARÍTIMOS[[#This Row],[Etapa Ingreso - Ingeso]]),"")</f>
        <v/>
      </c>
      <c r="AK591" s="11" t="str">
        <f>IFERROR(IF(MARÍTIMOS[[#This Row],[Etapa Ingreso - Atención]]="","",MARÍTIMOS[[#This Row],[Etapa Ingreso - Atención]]),"")</f>
        <v/>
      </c>
      <c r="AL591" s="11" t="str">
        <f>IFERROR(IF(MARÍTIMOS[[#This Row],[Etapa Ingreso - Salida]]="","",MARÍTIMOS[[#This Row],[Etapa Ingreso - Salida]]),"")</f>
        <v/>
      </c>
      <c r="AM591" s="2" t="str">
        <f>IFERROR(IF(MARÍTIMOS[[#This Row],[FCL]]="","",MARÍTIMOS[[#This Row],[FCL]]),"")</f>
        <v/>
      </c>
      <c r="AN5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1" s="4" t="str" cm="1">
        <f t="array" ref="AO5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1" s="5" t="str">
        <f>IFERROR(OLDBD[[#This Row],[Llegada a packing]]-OLDBD[[#This Row],[Inicio de Ruta]],"")</f>
        <v/>
      </c>
      <c r="AQ591" s="6" t="str">
        <f>IFERROR(OLDBD[[#This Row],[Inicio de Ruta]]-OLDBD[[#This Row],[Salida de almacén de retiro]],"")</f>
        <v/>
      </c>
      <c r="AR5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1" s="8" t="str" cm="1">
        <f t="array" ref="AS5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1" s="9" t="str">
        <f>IFERROR(OLDBD[[#This Row],[Ingreso Packing]]-OLDBD[[#This Row],[Registro en Packing]],"")</f>
        <v/>
      </c>
      <c r="AV591" s="9" t="str">
        <f>IFERROR(OLDBD[[#This Row],[Ingreso Packing]]-OLDBD[[#This Row],[Llegada a packing]],"")</f>
        <v/>
      </c>
      <c r="AW5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1" s="5" t="str">
        <f>IFERROR(OLDBD[[#This Row],[Llegada Almacén de Ingreso]]-OLDBD[[#This Row],[Salida Packing]],"")</f>
        <v/>
      </c>
      <c r="AY591" s="4" t="str" cm="1">
        <f t="array" ref="AY5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1" s="43" t="s">
        <v>173</v>
      </c>
      <c r="BB591" s="47" t="str">
        <f>IFERROR(IF(MARÍTIMOS[[#This Row],[Estatus]]="","",MARÍTIMOS[[#This Row],[Estatus]]),"")</f>
        <v/>
      </c>
      <c r="BC591" s="43"/>
      <c r="BD591" s="46" t="str">
        <f>IFERROR(OLDBD[[#This Row],[Salida de almacén de retiro]]-OLDBD[[#This Row],[Ingreso Almacén de retiro]],"")</f>
        <v/>
      </c>
      <c r="BE591" s="46" t="str">
        <f>IFERROR(OLDBD[[#This Row],[Fin de Carga]]-OLDBD[[#This Row],[Inicio de Carga]],"")</f>
        <v/>
      </c>
    </row>
    <row r="592" spans="1:57" customFormat="1" hidden="1">
      <c r="A592" s="1"/>
      <c r="B592" s="1" t="str">
        <f>IFERROR(IF(MARÍTIMOS[[#This Row],[PP]]="","",MARÍTIMOS[[#This Row],[PP]]),"")</f>
        <v/>
      </c>
      <c r="C592" s="1" t="str">
        <f>IFERROR(IF(MARÍTIMOS[[#This Row],[Sede]]="","",MARÍTIMOS[[#This Row],[Sede]]),"")</f>
        <v/>
      </c>
      <c r="D592" s="1" t="str">
        <f>IFERROR(IF(MARÍTIMOS[[#This Row],[Instruction]]="","",MARÍTIMOS[[#This Row],[Instruction]]),"")</f>
        <v/>
      </c>
      <c r="E592" s="1"/>
      <c r="F592" s="2" t="str">
        <f>IFERROR(IF(MARÍTIMOS[[#This Row],[Transportista]]="","",MARÍTIMOS[[#This Row],[Transportista]]),"")</f>
        <v/>
      </c>
      <c r="G592" s="2" t="str">
        <f>IFERROR(IF(MARÍTIMOS[[#This Row],[Tercero]]="","",MARÍTIMOS[[#This Row],[Tercero]]),"")</f>
        <v/>
      </c>
      <c r="H592" s="2" t="str">
        <f>IFERROR(IF(MARÍTIMOS[[#This Row],[Razón Social]]="","",MARÍTIMOS[[#This Row],[Razón Social]]),"")</f>
        <v/>
      </c>
      <c r="I592" s="2" t="str">
        <f>IFERROR(IF(MARÍTIMOS[[#This Row],[RUC]]="","",MARÍTIMOS[[#This Row],[RUC]]),"")</f>
        <v/>
      </c>
      <c r="J592" s="2" t="str">
        <f>IFERROR(IF(MARÍTIMOS[[#This Row],[Placa Tracto]]="","",MARÍTIMOS[[#This Row],[Placa Tracto]]),"")</f>
        <v/>
      </c>
      <c r="K592" s="2" t="str">
        <f>IFERROR(IF(MARÍTIMOS[[#This Row],[Placa Carreta]]="","",MARÍTIMOS[[#This Row],[Placa Carreta]]),"")</f>
        <v/>
      </c>
      <c r="L592" s="44" t="str">
        <f>IFERROR(IF(MARÍTIMOS[[#This Row],[Conductor]]="","",MARÍTIMOS[[#This Row],[Conductor]]),"")</f>
        <v/>
      </c>
      <c r="M592" s="2" t="str">
        <f>IFERROR(IF(MARÍTIMOS[[#This Row],[Licencia]]="","",MARÍTIMOS[[#This Row],[Licencia]]),"")</f>
        <v/>
      </c>
      <c r="N592" s="2" t="str">
        <f>IFERROR(IF(MARÍTIMOS[[#This Row],[Número de Contacto]]="","",MARÍTIMOS[[#This Row],[Número de Contacto]]),"")</f>
        <v/>
      </c>
      <c r="O592" s="10" t="str">
        <f>IFERROR(IF(MARÍTIMOS[[#This Row],[Booking|AWB|CRT]]="","",MARÍTIMOS[[#This Row],[Booking|AWB|CRT]]),"")</f>
        <v/>
      </c>
      <c r="P592" s="2" t="str">
        <f>IFERROR(IF(MARÍTIMOS[[#This Row],[Contenedor]]="","",MARÍTIMOS[[#This Row],[Contenedor]]),"")</f>
        <v/>
      </c>
      <c r="Q592" s="2" t="str">
        <f>IFERROR(IF(MARÍTIMOS[[#This Row],[Puerto de Retiro]]="","",MARÍTIMOS[[#This Row],[Puerto de Retiro]]),"")</f>
        <v/>
      </c>
      <c r="R592" s="2" t="str">
        <f>IFERROR(IF(MARÍTIMOS[[#This Row],[Almacén de Retiro]]="","",MARÍTIMOS[[#This Row],[Almacén de Retiro]]),"")</f>
        <v/>
      </c>
      <c r="S592" s="11" t="str">
        <f>IFERROR(IF(MARÍTIMOS[[#This Row],[Etapa Retiro - Cita]]="","",MARÍTIMOS[[#This Row],[Etapa Retiro - Cita]]),"")</f>
        <v/>
      </c>
      <c r="T592" s="11" t="str">
        <f>IFERROR(IF(MARÍTIMOS[[#This Row],[Etapa Retiro - Llegada]]="","",MARÍTIMOS[[#This Row],[Etapa Retiro - Llegada]]),"")</f>
        <v/>
      </c>
      <c r="U592" s="11" t="str">
        <f>IFERROR(IF(MARÍTIMOS[[#This Row],[Etapa Retiro - Ingreso]]="","",MARÍTIMOS[[#This Row],[Etapa Retiro - Ingreso]]),"")</f>
        <v/>
      </c>
      <c r="V592" s="11" t="str">
        <f>IFERROR(IF(MARÍTIMOS[[#This Row],[Etapa Retiro - Atención]]="","",MARÍTIMOS[[#This Row],[Etapa Retiro - Atención]]),"")</f>
        <v/>
      </c>
      <c r="W592" s="11" t="str">
        <f>IFERROR(IF(MARÍTIMOS[[#This Row],[Etapa Retiro - Atención]]="","",MARÍTIMOS[[#This Row],[Etapa Retiro - Atención]]),"")</f>
        <v/>
      </c>
      <c r="X592" s="11" t="str">
        <f>IFERROR(IF(MARÍTIMOS[[#This Row],[Etapa Retiro - Inicio de Ruta]]="","",MARÍTIMOS[[#This Row],[Etapa Retiro - Inicio de Ruta]]),"")</f>
        <v/>
      </c>
      <c r="Y592" s="11" t="str">
        <f>IFERROR(IF(MARÍTIMOS[[#This Row],[Hora de Posicionamiento]]="","",MARÍTIMOS[[#This Row],[Fecha de Carga]]+MARÍTIMOS[[#This Row],[Hora de Posicionamiento]]),"")</f>
        <v/>
      </c>
      <c r="Z592" s="11" t="str">
        <f>IFERROR(IF(MARÍTIMOS[[#This Row],[Etapa Despacho - Llegada]]="","",MARÍTIMOS[[#This Row],[Etapa Despacho - Llegada]]),"")</f>
        <v/>
      </c>
      <c r="AA592" s="11" t="str">
        <f>IFERROR(IF(MARÍTIMOS[[#This Row],[Etapa Despacho - Registro]]="","",MARÍTIMOS[[#This Row],[Etapa Despacho - Registro]]),"")</f>
        <v/>
      </c>
      <c r="AB592" s="11" t="str">
        <f>IFERROR(IF(MARÍTIMOS[[#This Row],[Inspección Externa]]="","",MARÍTIMOS[[#This Row],[Inspección Externa]]),"")</f>
        <v/>
      </c>
      <c r="AC592" s="11" t="str">
        <f>IFERROR(IF(MARÍTIMOS[[#This Row],[Etapa Despacho - Inicio de Carga]]="","",MARÍTIMOS[[#This Row],[Etapa Despacho - Inicio de Carga]]),"")</f>
        <v/>
      </c>
      <c r="AD592" s="11" t="str">
        <f>IFERROR(IF(MARÍTIMOS[[#This Row],[Etapa Despacho - Mitad de Carga]]="","",MARÍTIMOS[[#This Row],[Etapa Despacho - Mitad de Carga]]),"")</f>
        <v/>
      </c>
      <c r="AE592" s="11" t="str">
        <f>IFERROR(IF(MARÍTIMOS[[#This Row],[Etapa Despacho - Fin de Carga]]="","",MARÍTIMOS[[#This Row],[Etapa Despacho - Fin de Carga]]),"")</f>
        <v/>
      </c>
      <c r="AF592" s="2" t="str">
        <f>IFERROR(IF(MARÍTIMOS[[#This Row],[Puerto de Embarque]]="","",MARÍTIMOS[[#This Row],[Puerto de Embarque]]),"")</f>
        <v/>
      </c>
      <c r="AG592" s="2" t="str">
        <f>IFERROR(IF(MARÍTIMOS[[#This Row],[Almacén de Ingreso]]="","",MARÍTIMOS[[#This Row],[Almacén de Ingreso]]),"")</f>
        <v/>
      </c>
      <c r="AH592" s="11" t="str">
        <f>IFERROR(IF(MARÍTIMOS[[#This Row],[Etapa Ingreso - Cita]]="","",MARÍTIMOS[[#This Row],[Etapa Ingreso - Cita]]),"")</f>
        <v/>
      </c>
      <c r="AI592" s="11" t="str">
        <f>IFERROR(IF(MARÍTIMOS[[#This Row],[Etapa Ingreso - Llegada]]="","",MARÍTIMOS[[#This Row],[Etapa Ingreso - Llegada]]),"")</f>
        <v/>
      </c>
      <c r="AJ592" s="11" t="str">
        <f>IFERROR(IF(MARÍTIMOS[[#This Row],[Etapa Ingreso - Ingeso]]="","",MARÍTIMOS[[#This Row],[Etapa Ingreso - Ingeso]]),"")</f>
        <v/>
      </c>
      <c r="AK592" s="11" t="str">
        <f>IFERROR(IF(MARÍTIMOS[[#This Row],[Etapa Ingreso - Atención]]="","",MARÍTIMOS[[#This Row],[Etapa Ingreso - Atención]]),"")</f>
        <v/>
      </c>
      <c r="AL592" s="11" t="str">
        <f>IFERROR(IF(MARÍTIMOS[[#This Row],[Etapa Ingreso - Salida]]="","",MARÍTIMOS[[#This Row],[Etapa Ingreso - Salida]]),"")</f>
        <v/>
      </c>
      <c r="AM592" s="2" t="str">
        <f>IFERROR(IF(MARÍTIMOS[[#This Row],[FCL]]="","",MARÍTIMOS[[#This Row],[FCL]]),"")</f>
        <v/>
      </c>
      <c r="AN5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2" s="4" t="str" cm="1">
        <f t="array" ref="AO5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2" s="5" t="str">
        <f>IFERROR(OLDBD[[#This Row],[Llegada a packing]]-OLDBD[[#This Row],[Inicio de Ruta]],"")</f>
        <v/>
      </c>
      <c r="AQ592" s="6" t="str">
        <f>IFERROR(OLDBD[[#This Row],[Inicio de Ruta]]-OLDBD[[#This Row],[Salida de almacén de retiro]],"")</f>
        <v/>
      </c>
      <c r="AR5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2" s="8" t="str" cm="1">
        <f t="array" ref="AS5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2" s="9" t="str">
        <f>IFERROR(OLDBD[[#This Row],[Ingreso Packing]]-OLDBD[[#This Row],[Registro en Packing]],"")</f>
        <v/>
      </c>
      <c r="AV592" s="9" t="str">
        <f>IFERROR(OLDBD[[#This Row],[Ingreso Packing]]-OLDBD[[#This Row],[Llegada a packing]],"")</f>
        <v/>
      </c>
      <c r="AW5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2" s="5" t="str">
        <f>IFERROR(OLDBD[[#This Row],[Llegada Almacén de Ingreso]]-OLDBD[[#This Row],[Salida Packing]],"")</f>
        <v/>
      </c>
      <c r="AY592" s="4" t="str" cm="1">
        <f t="array" ref="AY5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2" s="43" t="s">
        <v>173</v>
      </c>
      <c r="BB592" s="47" t="str">
        <f>IFERROR(IF(MARÍTIMOS[[#This Row],[Estatus]]="","",MARÍTIMOS[[#This Row],[Estatus]]),"")</f>
        <v/>
      </c>
      <c r="BC592" s="43"/>
      <c r="BD592" s="46" t="str">
        <f>IFERROR(OLDBD[[#This Row],[Salida de almacén de retiro]]-OLDBD[[#This Row],[Ingreso Almacén de retiro]],"")</f>
        <v/>
      </c>
      <c r="BE592" s="46" t="str">
        <f>IFERROR(OLDBD[[#This Row],[Fin de Carga]]-OLDBD[[#This Row],[Inicio de Carga]],"")</f>
        <v/>
      </c>
    </row>
    <row r="593" spans="1:57" customFormat="1" hidden="1">
      <c r="A593" s="1"/>
      <c r="B593" s="1" t="str">
        <f>IFERROR(IF(MARÍTIMOS[[#This Row],[PP]]="","",MARÍTIMOS[[#This Row],[PP]]),"")</f>
        <v/>
      </c>
      <c r="C593" s="1" t="str">
        <f>IFERROR(IF(MARÍTIMOS[[#This Row],[Sede]]="","",MARÍTIMOS[[#This Row],[Sede]]),"")</f>
        <v/>
      </c>
      <c r="D593" s="1" t="str">
        <f>IFERROR(IF(MARÍTIMOS[[#This Row],[Instruction]]="","",MARÍTIMOS[[#This Row],[Instruction]]),"")</f>
        <v/>
      </c>
      <c r="E593" s="1"/>
      <c r="F593" s="2" t="str">
        <f>IFERROR(IF(MARÍTIMOS[[#This Row],[Transportista]]="","",MARÍTIMOS[[#This Row],[Transportista]]),"")</f>
        <v/>
      </c>
      <c r="G593" s="2" t="str">
        <f>IFERROR(IF(MARÍTIMOS[[#This Row],[Tercero]]="","",MARÍTIMOS[[#This Row],[Tercero]]),"")</f>
        <v/>
      </c>
      <c r="H593" s="2" t="str">
        <f>IFERROR(IF(MARÍTIMOS[[#This Row],[Razón Social]]="","",MARÍTIMOS[[#This Row],[Razón Social]]),"")</f>
        <v/>
      </c>
      <c r="I593" s="2" t="str">
        <f>IFERROR(IF(MARÍTIMOS[[#This Row],[RUC]]="","",MARÍTIMOS[[#This Row],[RUC]]),"")</f>
        <v/>
      </c>
      <c r="J593" s="2" t="str">
        <f>IFERROR(IF(MARÍTIMOS[[#This Row],[Placa Tracto]]="","",MARÍTIMOS[[#This Row],[Placa Tracto]]),"")</f>
        <v/>
      </c>
      <c r="K593" s="2" t="str">
        <f>IFERROR(IF(MARÍTIMOS[[#This Row],[Placa Carreta]]="","",MARÍTIMOS[[#This Row],[Placa Carreta]]),"")</f>
        <v/>
      </c>
      <c r="L593" s="44" t="str">
        <f>IFERROR(IF(MARÍTIMOS[[#This Row],[Conductor]]="","",MARÍTIMOS[[#This Row],[Conductor]]),"")</f>
        <v/>
      </c>
      <c r="M593" s="2" t="str">
        <f>IFERROR(IF(MARÍTIMOS[[#This Row],[Licencia]]="","",MARÍTIMOS[[#This Row],[Licencia]]),"")</f>
        <v/>
      </c>
      <c r="N593" s="2" t="str">
        <f>IFERROR(IF(MARÍTIMOS[[#This Row],[Número de Contacto]]="","",MARÍTIMOS[[#This Row],[Número de Contacto]]),"")</f>
        <v/>
      </c>
      <c r="O593" s="10" t="str">
        <f>IFERROR(IF(MARÍTIMOS[[#This Row],[Booking|AWB|CRT]]="","",MARÍTIMOS[[#This Row],[Booking|AWB|CRT]]),"")</f>
        <v/>
      </c>
      <c r="P593" s="2" t="str">
        <f>IFERROR(IF(MARÍTIMOS[[#This Row],[Contenedor]]="","",MARÍTIMOS[[#This Row],[Contenedor]]),"")</f>
        <v/>
      </c>
      <c r="Q593" s="2" t="str">
        <f>IFERROR(IF(MARÍTIMOS[[#This Row],[Puerto de Retiro]]="","",MARÍTIMOS[[#This Row],[Puerto de Retiro]]),"")</f>
        <v/>
      </c>
      <c r="R593" s="2" t="str">
        <f>IFERROR(IF(MARÍTIMOS[[#This Row],[Almacén de Retiro]]="","",MARÍTIMOS[[#This Row],[Almacén de Retiro]]),"")</f>
        <v/>
      </c>
      <c r="S593" s="11" t="str">
        <f>IFERROR(IF(MARÍTIMOS[[#This Row],[Etapa Retiro - Cita]]="","",MARÍTIMOS[[#This Row],[Etapa Retiro - Cita]]),"")</f>
        <v/>
      </c>
      <c r="T593" s="11" t="str">
        <f>IFERROR(IF(MARÍTIMOS[[#This Row],[Etapa Retiro - Llegada]]="","",MARÍTIMOS[[#This Row],[Etapa Retiro - Llegada]]),"")</f>
        <v/>
      </c>
      <c r="U593" s="11" t="str">
        <f>IFERROR(IF(MARÍTIMOS[[#This Row],[Etapa Retiro - Ingreso]]="","",MARÍTIMOS[[#This Row],[Etapa Retiro - Ingreso]]),"")</f>
        <v/>
      </c>
      <c r="V593" s="11" t="str">
        <f>IFERROR(IF(MARÍTIMOS[[#This Row],[Etapa Retiro - Atención]]="","",MARÍTIMOS[[#This Row],[Etapa Retiro - Atención]]),"")</f>
        <v/>
      </c>
      <c r="W593" s="11" t="str">
        <f>IFERROR(IF(MARÍTIMOS[[#This Row],[Etapa Retiro - Atención]]="","",MARÍTIMOS[[#This Row],[Etapa Retiro - Atención]]),"")</f>
        <v/>
      </c>
      <c r="X593" s="11" t="str">
        <f>IFERROR(IF(MARÍTIMOS[[#This Row],[Etapa Retiro - Inicio de Ruta]]="","",MARÍTIMOS[[#This Row],[Etapa Retiro - Inicio de Ruta]]),"")</f>
        <v/>
      </c>
      <c r="Y593" s="11" t="str">
        <f>IFERROR(IF(MARÍTIMOS[[#This Row],[Hora de Posicionamiento]]="","",MARÍTIMOS[[#This Row],[Fecha de Carga]]+MARÍTIMOS[[#This Row],[Hora de Posicionamiento]]),"")</f>
        <v/>
      </c>
      <c r="Z593" s="11" t="str">
        <f>IFERROR(IF(MARÍTIMOS[[#This Row],[Etapa Despacho - Llegada]]="","",MARÍTIMOS[[#This Row],[Etapa Despacho - Llegada]]),"")</f>
        <v/>
      </c>
      <c r="AA593" s="11" t="str">
        <f>IFERROR(IF(MARÍTIMOS[[#This Row],[Etapa Despacho - Registro]]="","",MARÍTIMOS[[#This Row],[Etapa Despacho - Registro]]),"")</f>
        <v/>
      </c>
      <c r="AB593" s="11" t="str">
        <f>IFERROR(IF(MARÍTIMOS[[#This Row],[Inspección Externa]]="","",MARÍTIMOS[[#This Row],[Inspección Externa]]),"")</f>
        <v/>
      </c>
      <c r="AC593" s="11" t="str">
        <f>IFERROR(IF(MARÍTIMOS[[#This Row],[Etapa Despacho - Inicio de Carga]]="","",MARÍTIMOS[[#This Row],[Etapa Despacho - Inicio de Carga]]),"")</f>
        <v/>
      </c>
      <c r="AD593" s="11" t="str">
        <f>IFERROR(IF(MARÍTIMOS[[#This Row],[Etapa Despacho - Mitad de Carga]]="","",MARÍTIMOS[[#This Row],[Etapa Despacho - Mitad de Carga]]),"")</f>
        <v/>
      </c>
      <c r="AE593" s="11" t="str">
        <f>IFERROR(IF(MARÍTIMOS[[#This Row],[Etapa Despacho - Fin de Carga]]="","",MARÍTIMOS[[#This Row],[Etapa Despacho - Fin de Carga]]),"")</f>
        <v/>
      </c>
      <c r="AF593" s="2" t="str">
        <f>IFERROR(IF(MARÍTIMOS[[#This Row],[Puerto de Embarque]]="","",MARÍTIMOS[[#This Row],[Puerto de Embarque]]),"")</f>
        <v/>
      </c>
      <c r="AG593" s="2" t="str">
        <f>IFERROR(IF(MARÍTIMOS[[#This Row],[Almacén de Ingreso]]="","",MARÍTIMOS[[#This Row],[Almacén de Ingreso]]),"")</f>
        <v/>
      </c>
      <c r="AH593" s="11" t="str">
        <f>IFERROR(IF(MARÍTIMOS[[#This Row],[Etapa Ingreso - Cita]]="","",MARÍTIMOS[[#This Row],[Etapa Ingreso - Cita]]),"")</f>
        <v/>
      </c>
      <c r="AI593" s="11" t="str">
        <f>IFERROR(IF(MARÍTIMOS[[#This Row],[Etapa Ingreso - Llegada]]="","",MARÍTIMOS[[#This Row],[Etapa Ingreso - Llegada]]),"")</f>
        <v/>
      </c>
      <c r="AJ593" s="11" t="str">
        <f>IFERROR(IF(MARÍTIMOS[[#This Row],[Etapa Ingreso - Ingeso]]="","",MARÍTIMOS[[#This Row],[Etapa Ingreso - Ingeso]]),"")</f>
        <v/>
      </c>
      <c r="AK593" s="11" t="str">
        <f>IFERROR(IF(MARÍTIMOS[[#This Row],[Etapa Ingreso - Atención]]="","",MARÍTIMOS[[#This Row],[Etapa Ingreso - Atención]]),"")</f>
        <v/>
      </c>
      <c r="AL593" s="11" t="str">
        <f>IFERROR(IF(MARÍTIMOS[[#This Row],[Etapa Ingreso - Salida]]="","",MARÍTIMOS[[#This Row],[Etapa Ingreso - Salida]]),"")</f>
        <v/>
      </c>
      <c r="AM593" s="2" t="str">
        <f>IFERROR(IF(MARÍTIMOS[[#This Row],[FCL]]="","",MARÍTIMOS[[#This Row],[FCL]]),"")</f>
        <v/>
      </c>
      <c r="AN5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3" s="4" t="str" cm="1">
        <f t="array" ref="AO5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3" s="5" t="str">
        <f>IFERROR(OLDBD[[#This Row],[Llegada a packing]]-OLDBD[[#This Row],[Inicio de Ruta]],"")</f>
        <v/>
      </c>
      <c r="AQ593" s="6" t="str">
        <f>IFERROR(OLDBD[[#This Row],[Inicio de Ruta]]-OLDBD[[#This Row],[Salida de almacén de retiro]],"")</f>
        <v/>
      </c>
      <c r="AR5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3" s="8" t="str" cm="1">
        <f t="array" ref="AS5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3" s="9" t="str">
        <f>IFERROR(OLDBD[[#This Row],[Ingreso Packing]]-OLDBD[[#This Row],[Registro en Packing]],"")</f>
        <v/>
      </c>
      <c r="AV593" s="9" t="str">
        <f>IFERROR(OLDBD[[#This Row],[Ingreso Packing]]-OLDBD[[#This Row],[Llegada a packing]],"")</f>
        <v/>
      </c>
      <c r="AW5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3" s="5" t="str">
        <f>IFERROR(OLDBD[[#This Row],[Llegada Almacén de Ingreso]]-OLDBD[[#This Row],[Salida Packing]],"")</f>
        <v/>
      </c>
      <c r="AY593" s="4" t="str" cm="1">
        <f t="array" ref="AY5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3" s="43" t="s">
        <v>173</v>
      </c>
      <c r="BB593" s="47" t="str">
        <f>IFERROR(IF(MARÍTIMOS[[#This Row],[Estatus]]="","",MARÍTIMOS[[#This Row],[Estatus]]),"")</f>
        <v/>
      </c>
      <c r="BC593" s="43"/>
      <c r="BD593" s="46" t="str">
        <f>IFERROR(OLDBD[[#This Row],[Salida de almacén de retiro]]-OLDBD[[#This Row],[Ingreso Almacén de retiro]],"")</f>
        <v/>
      </c>
      <c r="BE593" s="46" t="str">
        <f>IFERROR(OLDBD[[#This Row],[Fin de Carga]]-OLDBD[[#This Row],[Inicio de Carga]],"")</f>
        <v/>
      </c>
    </row>
    <row r="594" spans="1:57" customFormat="1" hidden="1">
      <c r="A594" s="1"/>
      <c r="B594" s="1" t="str">
        <f>IFERROR(IF(MARÍTIMOS[[#This Row],[PP]]="","",MARÍTIMOS[[#This Row],[PP]]),"")</f>
        <v/>
      </c>
      <c r="C594" s="1" t="str">
        <f>IFERROR(IF(MARÍTIMOS[[#This Row],[Sede]]="","",MARÍTIMOS[[#This Row],[Sede]]),"")</f>
        <v/>
      </c>
      <c r="D594" s="1" t="str">
        <f>IFERROR(IF(MARÍTIMOS[[#This Row],[Instruction]]="","",MARÍTIMOS[[#This Row],[Instruction]]),"")</f>
        <v/>
      </c>
      <c r="E594" s="1"/>
      <c r="F594" s="2" t="str">
        <f>IFERROR(IF(MARÍTIMOS[[#This Row],[Transportista]]="","",MARÍTIMOS[[#This Row],[Transportista]]),"")</f>
        <v/>
      </c>
      <c r="G594" s="2" t="str">
        <f>IFERROR(IF(MARÍTIMOS[[#This Row],[Tercero]]="","",MARÍTIMOS[[#This Row],[Tercero]]),"")</f>
        <v/>
      </c>
      <c r="H594" s="2" t="str">
        <f>IFERROR(IF(MARÍTIMOS[[#This Row],[Razón Social]]="","",MARÍTIMOS[[#This Row],[Razón Social]]),"")</f>
        <v/>
      </c>
      <c r="I594" s="2" t="str">
        <f>IFERROR(IF(MARÍTIMOS[[#This Row],[RUC]]="","",MARÍTIMOS[[#This Row],[RUC]]),"")</f>
        <v/>
      </c>
      <c r="J594" s="2" t="str">
        <f>IFERROR(IF(MARÍTIMOS[[#This Row],[Placa Tracto]]="","",MARÍTIMOS[[#This Row],[Placa Tracto]]),"")</f>
        <v/>
      </c>
      <c r="K594" s="2" t="str">
        <f>IFERROR(IF(MARÍTIMOS[[#This Row],[Placa Carreta]]="","",MARÍTIMOS[[#This Row],[Placa Carreta]]),"")</f>
        <v/>
      </c>
      <c r="L594" s="44" t="str">
        <f>IFERROR(IF(MARÍTIMOS[[#This Row],[Conductor]]="","",MARÍTIMOS[[#This Row],[Conductor]]),"")</f>
        <v/>
      </c>
      <c r="M594" s="2" t="str">
        <f>IFERROR(IF(MARÍTIMOS[[#This Row],[Licencia]]="","",MARÍTIMOS[[#This Row],[Licencia]]),"")</f>
        <v/>
      </c>
      <c r="N594" s="2" t="str">
        <f>IFERROR(IF(MARÍTIMOS[[#This Row],[Número de Contacto]]="","",MARÍTIMOS[[#This Row],[Número de Contacto]]),"")</f>
        <v/>
      </c>
      <c r="O594" s="10" t="str">
        <f>IFERROR(IF(MARÍTIMOS[[#This Row],[Booking|AWB|CRT]]="","",MARÍTIMOS[[#This Row],[Booking|AWB|CRT]]),"")</f>
        <v/>
      </c>
      <c r="P594" s="2" t="str">
        <f>IFERROR(IF(MARÍTIMOS[[#This Row],[Contenedor]]="","",MARÍTIMOS[[#This Row],[Contenedor]]),"")</f>
        <v/>
      </c>
      <c r="Q594" s="2" t="str">
        <f>IFERROR(IF(MARÍTIMOS[[#This Row],[Puerto de Retiro]]="","",MARÍTIMOS[[#This Row],[Puerto de Retiro]]),"")</f>
        <v/>
      </c>
      <c r="R594" s="2" t="str">
        <f>IFERROR(IF(MARÍTIMOS[[#This Row],[Almacén de Retiro]]="","",MARÍTIMOS[[#This Row],[Almacén de Retiro]]),"")</f>
        <v/>
      </c>
      <c r="S594" s="11" t="str">
        <f>IFERROR(IF(MARÍTIMOS[[#This Row],[Etapa Retiro - Cita]]="","",MARÍTIMOS[[#This Row],[Etapa Retiro - Cita]]),"")</f>
        <v/>
      </c>
      <c r="T594" s="11" t="str">
        <f>IFERROR(IF(MARÍTIMOS[[#This Row],[Etapa Retiro - Llegada]]="","",MARÍTIMOS[[#This Row],[Etapa Retiro - Llegada]]),"")</f>
        <v/>
      </c>
      <c r="U594" s="11" t="str">
        <f>IFERROR(IF(MARÍTIMOS[[#This Row],[Etapa Retiro - Ingreso]]="","",MARÍTIMOS[[#This Row],[Etapa Retiro - Ingreso]]),"")</f>
        <v/>
      </c>
      <c r="V594" s="11" t="str">
        <f>IFERROR(IF(MARÍTIMOS[[#This Row],[Etapa Retiro - Atención]]="","",MARÍTIMOS[[#This Row],[Etapa Retiro - Atención]]),"")</f>
        <v/>
      </c>
      <c r="W594" s="11" t="str">
        <f>IFERROR(IF(MARÍTIMOS[[#This Row],[Etapa Retiro - Atención]]="","",MARÍTIMOS[[#This Row],[Etapa Retiro - Atención]]),"")</f>
        <v/>
      </c>
      <c r="X594" s="11" t="str">
        <f>IFERROR(IF(MARÍTIMOS[[#This Row],[Etapa Retiro - Inicio de Ruta]]="","",MARÍTIMOS[[#This Row],[Etapa Retiro - Inicio de Ruta]]),"")</f>
        <v/>
      </c>
      <c r="Y594" s="11" t="str">
        <f>IFERROR(IF(MARÍTIMOS[[#This Row],[Hora de Posicionamiento]]="","",MARÍTIMOS[[#This Row],[Fecha de Carga]]+MARÍTIMOS[[#This Row],[Hora de Posicionamiento]]),"")</f>
        <v/>
      </c>
      <c r="Z594" s="11" t="str">
        <f>IFERROR(IF(MARÍTIMOS[[#This Row],[Etapa Despacho - Llegada]]="","",MARÍTIMOS[[#This Row],[Etapa Despacho - Llegada]]),"")</f>
        <v/>
      </c>
      <c r="AA594" s="11" t="str">
        <f>IFERROR(IF(MARÍTIMOS[[#This Row],[Etapa Despacho - Registro]]="","",MARÍTIMOS[[#This Row],[Etapa Despacho - Registro]]),"")</f>
        <v/>
      </c>
      <c r="AB594" s="11" t="str">
        <f>IFERROR(IF(MARÍTIMOS[[#This Row],[Inspección Externa]]="","",MARÍTIMOS[[#This Row],[Inspección Externa]]),"")</f>
        <v/>
      </c>
      <c r="AC594" s="11" t="str">
        <f>IFERROR(IF(MARÍTIMOS[[#This Row],[Etapa Despacho - Inicio de Carga]]="","",MARÍTIMOS[[#This Row],[Etapa Despacho - Inicio de Carga]]),"")</f>
        <v/>
      </c>
      <c r="AD594" s="11" t="str">
        <f>IFERROR(IF(MARÍTIMOS[[#This Row],[Etapa Despacho - Mitad de Carga]]="","",MARÍTIMOS[[#This Row],[Etapa Despacho - Mitad de Carga]]),"")</f>
        <v/>
      </c>
      <c r="AE594" s="11" t="str">
        <f>IFERROR(IF(MARÍTIMOS[[#This Row],[Etapa Despacho - Fin de Carga]]="","",MARÍTIMOS[[#This Row],[Etapa Despacho - Fin de Carga]]),"")</f>
        <v/>
      </c>
      <c r="AF594" s="2" t="str">
        <f>IFERROR(IF(MARÍTIMOS[[#This Row],[Puerto de Embarque]]="","",MARÍTIMOS[[#This Row],[Puerto de Embarque]]),"")</f>
        <v/>
      </c>
      <c r="AG594" s="2" t="str">
        <f>IFERROR(IF(MARÍTIMOS[[#This Row],[Almacén de Ingreso]]="","",MARÍTIMOS[[#This Row],[Almacén de Ingreso]]),"")</f>
        <v/>
      </c>
      <c r="AH594" s="11" t="str">
        <f>IFERROR(IF(MARÍTIMOS[[#This Row],[Etapa Ingreso - Cita]]="","",MARÍTIMOS[[#This Row],[Etapa Ingreso - Cita]]),"")</f>
        <v/>
      </c>
      <c r="AI594" s="11" t="str">
        <f>IFERROR(IF(MARÍTIMOS[[#This Row],[Etapa Ingreso - Llegada]]="","",MARÍTIMOS[[#This Row],[Etapa Ingreso - Llegada]]),"")</f>
        <v/>
      </c>
      <c r="AJ594" s="11" t="str">
        <f>IFERROR(IF(MARÍTIMOS[[#This Row],[Etapa Ingreso - Ingeso]]="","",MARÍTIMOS[[#This Row],[Etapa Ingreso - Ingeso]]),"")</f>
        <v/>
      </c>
      <c r="AK594" s="11" t="str">
        <f>IFERROR(IF(MARÍTIMOS[[#This Row],[Etapa Ingreso - Atención]]="","",MARÍTIMOS[[#This Row],[Etapa Ingreso - Atención]]),"")</f>
        <v/>
      </c>
      <c r="AL594" s="11" t="str">
        <f>IFERROR(IF(MARÍTIMOS[[#This Row],[Etapa Ingreso - Salida]]="","",MARÍTIMOS[[#This Row],[Etapa Ingreso - Salida]]),"")</f>
        <v/>
      </c>
      <c r="AM594" s="2" t="str">
        <f>IFERROR(IF(MARÍTIMOS[[#This Row],[FCL]]="","",MARÍTIMOS[[#This Row],[FCL]]),"")</f>
        <v/>
      </c>
      <c r="AN5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4" s="4" t="str" cm="1">
        <f t="array" ref="AO5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4" s="5" t="str">
        <f>IFERROR(OLDBD[[#This Row],[Llegada a packing]]-OLDBD[[#This Row],[Inicio de Ruta]],"")</f>
        <v/>
      </c>
      <c r="AQ594" s="6" t="str">
        <f>IFERROR(OLDBD[[#This Row],[Inicio de Ruta]]-OLDBD[[#This Row],[Salida de almacén de retiro]],"")</f>
        <v/>
      </c>
      <c r="AR5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4" s="8" t="str" cm="1">
        <f t="array" ref="AS5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4" s="9" t="str">
        <f>IFERROR(OLDBD[[#This Row],[Ingreso Packing]]-OLDBD[[#This Row],[Registro en Packing]],"")</f>
        <v/>
      </c>
      <c r="AV594" s="9" t="str">
        <f>IFERROR(OLDBD[[#This Row],[Ingreso Packing]]-OLDBD[[#This Row],[Llegada a packing]],"")</f>
        <v/>
      </c>
      <c r="AW5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4" s="5" t="str">
        <f>IFERROR(OLDBD[[#This Row],[Llegada Almacén de Ingreso]]-OLDBD[[#This Row],[Salida Packing]],"")</f>
        <v/>
      </c>
      <c r="AY594" s="4" t="str" cm="1">
        <f t="array" ref="AY5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4" s="43" t="s">
        <v>173</v>
      </c>
      <c r="BB594" s="47" t="str">
        <f>IFERROR(IF(MARÍTIMOS[[#This Row],[Estatus]]="","",MARÍTIMOS[[#This Row],[Estatus]]),"")</f>
        <v/>
      </c>
      <c r="BC594" s="43"/>
      <c r="BD594" s="46" t="str">
        <f>IFERROR(OLDBD[[#This Row],[Salida de almacén de retiro]]-OLDBD[[#This Row],[Ingreso Almacén de retiro]],"")</f>
        <v/>
      </c>
      <c r="BE594" s="46" t="str">
        <f>IFERROR(OLDBD[[#This Row],[Fin de Carga]]-OLDBD[[#This Row],[Inicio de Carga]],"")</f>
        <v/>
      </c>
    </row>
    <row r="595" spans="1:57" customFormat="1" hidden="1">
      <c r="A595" s="1"/>
      <c r="B595" s="1" t="str">
        <f>IFERROR(IF(MARÍTIMOS[[#This Row],[PP]]="","",MARÍTIMOS[[#This Row],[PP]]),"")</f>
        <v/>
      </c>
      <c r="C595" s="1" t="str">
        <f>IFERROR(IF(MARÍTIMOS[[#This Row],[Sede]]="","",MARÍTIMOS[[#This Row],[Sede]]),"")</f>
        <v/>
      </c>
      <c r="D595" s="1" t="str">
        <f>IFERROR(IF(MARÍTIMOS[[#This Row],[Instruction]]="","",MARÍTIMOS[[#This Row],[Instruction]]),"")</f>
        <v/>
      </c>
      <c r="E595" s="1"/>
      <c r="F595" s="2" t="str">
        <f>IFERROR(IF(MARÍTIMOS[[#This Row],[Transportista]]="","",MARÍTIMOS[[#This Row],[Transportista]]),"")</f>
        <v/>
      </c>
      <c r="G595" s="2" t="str">
        <f>IFERROR(IF(MARÍTIMOS[[#This Row],[Tercero]]="","",MARÍTIMOS[[#This Row],[Tercero]]),"")</f>
        <v/>
      </c>
      <c r="H595" s="2" t="str">
        <f>IFERROR(IF(MARÍTIMOS[[#This Row],[Razón Social]]="","",MARÍTIMOS[[#This Row],[Razón Social]]),"")</f>
        <v/>
      </c>
      <c r="I595" s="2" t="str">
        <f>IFERROR(IF(MARÍTIMOS[[#This Row],[RUC]]="","",MARÍTIMOS[[#This Row],[RUC]]),"")</f>
        <v/>
      </c>
      <c r="J595" s="2" t="str">
        <f>IFERROR(IF(MARÍTIMOS[[#This Row],[Placa Tracto]]="","",MARÍTIMOS[[#This Row],[Placa Tracto]]),"")</f>
        <v/>
      </c>
      <c r="K595" s="2" t="str">
        <f>IFERROR(IF(MARÍTIMOS[[#This Row],[Placa Carreta]]="","",MARÍTIMOS[[#This Row],[Placa Carreta]]),"")</f>
        <v/>
      </c>
      <c r="L595" s="44" t="str">
        <f>IFERROR(IF(MARÍTIMOS[[#This Row],[Conductor]]="","",MARÍTIMOS[[#This Row],[Conductor]]),"")</f>
        <v/>
      </c>
      <c r="M595" s="2" t="str">
        <f>IFERROR(IF(MARÍTIMOS[[#This Row],[Licencia]]="","",MARÍTIMOS[[#This Row],[Licencia]]),"")</f>
        <v/>
      </c>
      <c r="N595" s="2" t="str">
        <f>IFERROR(IF(MARÍTIMOS[[#This Row],[Número de Contacto]]="","",MARÍTIMOS[[#This Row],[Número de Contacto]]),"")</f>
        <v/>
      </c>
      <c r="O595" s="10" t="str">
        <f>IFERROR(IF(MARÍTIMOS[[#This Row],[Booking|AWB|CRT]]="","",MARÍTIMOS[[#This Row],[Booking|AWB|CRT]]),"")</f>
        <v/>
      </c>
      <c r="P595" s="2" t="str">
        <f>IFERROR(IF(MARÍTIMOS[[#This Row],[Contenedor]]="","",MARÍTIMOS[[#This Row],[Contenedor]]),"")</f>
        <v/>
      </c>
      <c r="Q595" s="2" t="str">
        <f>IFERROR(IF(MARÍTIMOS[[#This Row],[Puerto de Retiro]]="","",MARÍTIMOS[[#This Row],[Puerto de Retiro]]),"")</f>
        <v/>
      </c>
      <c r="R595" s="2" t="str">
        <f>IFERROR(IF(MARÍTIMOS[[#This Row],[Almacén de Retiro]]="","",MARÍTIMOS[[#This Row],[Almacén de Retiro]]),"")</f>
        <v/>
      </c>
      <c r="S595" s="11" t="str">
        <f>IFERROR(IF(MARÍTIMOS[[#This Row],[Etapa Retiro - Cita]]="","",MARÍTIMOS[[#This Row],[Etapa Retiro - Cita]]),"")</f>
        <v/>
      </c>
      <c r="T595" s="11" t="str">
        <f>IFERROR(IF(MARÍTIMOS[[#This Row],[Etapa Retiro - Llegada]]="","",MARÍTIMOS[[#This Row],[Etapa Retiro - Llegada]]),"")</f>
        <v/>
      </c>
      <c r="U595" s="11" t="str">
        <f>IFERROR(IF(MARÍTIMOS[[#This Row],[Etapa Retiro - Ingreso]]="","",MARÍTIMOS[[#This Row],[Etapa Retiro - Ingreso]]),"")</f>
        <v/>
      </c>
      <c r="V595" s="11" t="str">
        <f>IFERROR(IF(MARÍTIMOS[[#This Row],[Etapa Retiro - Atención]]="","",MARÍTIMOS[[#This Row],[Etapa Retiro - Atención]]),"")</f>
        <v/>
      </c>
      <c r="W595" s="11" t="str">
        <f>IFERROR(IF(MARÍTIMOS[[#This Row],[Etapa Retiro - Atención]]="","",MARÍTIMOS[[#This Row],[Etapa Retiro - Atención]]),"")</f>
        <v/>
      </c>
      <c r="X595" s="11" t="str">
        <f>IFERROR(IF(MARÍTIMOS[[#This Row],[Etapa Retiro - Inicio de Ruta]]="","",MARÍTIMOS[[#This Row],[Etapa Retiro - Inicio de Ruta]]),"")</f>
        <v/>
      </c>
      <c r="Y595" s="11" t="str">
        <f>IFERROR(IF(MARÍTIMOS[[#This Row],[Hora de Posicionamiento]]="","",MARÍTIMOS[[#This Row],[Fecha de Carga]]+MARÍTIMOS[[#This Row],[Hora de Posicionamiento]]),"")</f>
        <v/>
      </c>
      <c r="Z595" s="11" t="str">
        <f>IFERROR(IF(MARÍTIMOS[[#This Row],[Etapa Despacho - Llegada]]="","",MARÍTIMOS[[#This Row],[Etapa Despacho - Llegada]]),"")</f>
        <v/>
      </c>
      <c r="AA595" s="11" t="str">
        <f>IFERROR(IF(MARÍTIMOS[[#This Row],[Etapa Despacho - Registro]]="","",MARÍTIMOS[[#This Row],[Etapa Despacho - Registro]]),"")</f>
        <v/>
      </c>
      <c r="AB595" s="11" t="str">
        <f>IFERROR(IF(MARÍTIMOS[[#This Row],[Inspección Externa]]="","",MARÍTIMOS[[#This Row],[Inspección Externa]]),"")</f>
        <v/>
      </c>
      <c r="AC595" s="11" t="str">
        <f>IFERROR(IF(MARÍTIMOS[[#This Row],[Etapa Despacho - Inicio de Carga]]="","",MARÍTIMOS[[#This Row],[Etapa Despacho - Inicio de Carga]]),"")</f>
        <v/>
      </c>
      <c r="AD595" s="11" t="str">
        <f>IFERROR(IF(MARÍTIMOS[[#This Row],[Etapa Despacho - Mitad de Carga]]="","",MARÍTIMOS[[#This Row],[Etapa Despacho - Mitad de Carga]]),"")</f>
        <v/>
      </c>
      <c r="AE595" s="11" t="str">
        <f>IFERROR(IF(MARÍTIMOS[[#This Row],[Etapa Despacho - Fin de Carga]]="","",MARÍTIMOS[[#This Row],[Etapa Despacho - Fin de Carga]]),"")</f>
        <v/>
      </c>
      <c r="AF595" s="2" t="str">
        <f>IFERROR(IF(MARÍTIMOS[[#This Row],[Puerto de Embarque]]="","",MARÍTIMOS[[#This Row],[Puerto de Embarque]]),"")</f>
        <v/>
      </c>
      <c r="AG595" s="2" t="str">
        <f>IFERROR(IF(MARÍTIMOS[[#This Row],[Almacén de Ingreso]]="","",MARÍTIMOS[[#This Row],[Almacén de Ingreso]]),"")</f>
        <v/>
      </c>
      <c r="AH595" s="11" t="str">
        <f>IFERROR(IF(MARÍTIMOS[[#This Row],[Etapa Ingreso - Cita]]="","",MARÍTIMOS[[#This Row],[Etapa Ingreso - Cita]]),"")</f>
        <v/>
      </c>
      <c r="AI595" s="11" t="str">
        <f>IFERROR(IF(MARÍTIMOS[[#This Row],[Etapa Ingreso - Llegada]]="","",MARÍTIMOS[[#This Row],[Etapa Ingreso - Llegada]]),"")</f>
        <v/>
      </c>
      <c r="AJ595" s="11" t="str">
        <f>IFERROR(IF(MARÍTIMOS[[#This Row],[Etapa Ingreso - Ingeso]]="","",MARÍTIMOS[[#This Row],[Etapa Ingreso - Ingeso]]),"")</f>
        <v/>
      </c>
      <c r="AK595" s="11" t="str">
        <f>IFERROR(IF(MARÍTIMOS[[#This Row],[Etapa Ingreso - Atención]]="","",MARÍTIMOS[[#This Row],[Etapa Ingreso - Atención]]),"")</f>
        <v/>
      </c>
      <c r="AL595" s="11" t="str">
        <f>IFERROR(IF(MARÍTIMOS[[#This Row],[Etapa Ingreso - Salida]]="","",MARÍTIMOS[[#This Row],[Etapa Ingreso - Salida]]),"")</f>
        <v/>
      </c>
      <c r="AM595" s="2" t="str">
        <f>IFERROR(IF(MARÍTIMOS[[#This Row],[FCL]]="","",MARÍTIMOS[[#This Row],[FCL]]),"")</f>
        <v/>
      </c>
      <c r="AN5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5" s="4" t="str" cm="1">
        <f t="array" ref="AO5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5" s="5" t="str">
        <f>IFERROR(OLDBD[[#This Row],[Llegada a packing]]-OLDBD[[#This Row],[Inicio de Ruta]],"")</f>
        <v/>
      </c>
      <c r="AQ595" s="6" t="str">
        <f>IFERROR(OLDBD[[#This Row],[Inicio de Ruta]]-OLDBD[[#This Row],[Salida de almacén de retiro]],"")</f>
        <v/>
      </c>
      <c r="AR5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5" s="8" t="str" cm="1">
        <f t="array" ref="AS5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5" s="9" t="str">
        <f>IFERROR(OLDBD[[#This Row],[Ingreso Packing]]-OLDBD[[#This Row],[Registro en Packing]],"")</f>
        <v/>
      </c>
      <c r="AV595" s="9" t="str">
        <f>IFERROR(OLDBD[[#This Row],[Ingreso Packing]]-OLDBD[[#This Row],[Llegada a packing]],"")</f>
        <v/>
      </c>
      <c r="AW5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5" s="5" t="str">
        <f>IFERROR(OLDBD[[#This Row],[Llegada Almacén de Ingreso]]-OLDBD[[#This Row],[Salida Packing]],"")</f>
        <v/>
      </c>
      <c r="AY595" s="4" t="str" cm="1">
        <f t="array" ref="AY5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5" s="43" t="s">
        <v>173</v>
      </c>
      <c r="BB595" s="47" t="str">
        <f>IFERROR(IF(MARÍTIMOS[[#This Row],[Estatus]]="","",MARÍTIMOS[[#This Row],[Estatus]]),"")</f>
        <v/>
      </c>
      <c r="BC595" s="43"/>
      <c r="BD595" s="46" t="str">
        <f>IFERROR(OLDBD[[#This Row],[Salida de almacén de retiro]]-OLDBD[[#This Row],[Ingreso Almacén de retiro]],"")</f>
        <v/>
      </c>
      <c r="BE595" s="46" t="str">
        <f>IFERROR(OLDBD[[#This Row],[Fin de Carga]]-OLDBD[[#This Row],[Inicio de Carga]],"")</f>
        <v/>
      </c>
    </row>
    <row r="596" spans="1:57" customFormat="1" hidden="1">
      <c r="A596" s="1"/>
      <c r="B596" s="1" t="str">
        <f>IFERROR(IF(MARÍTIMOS[[#This Row],[PP]]="","",MARÍTIMOS[[#This Row],[PP]]),"")</f>
        <v/>
      </c>
      <c r="C596" s="1" t="str">
        <f>IFERROR(IF(MARÍTIMOS[[#This Row],[Sede]]="","",MARÍTIMOS[[#This Row],[Sede]]),"")</f>
        <v/>
      </c>
      <c r="D596" s="1" t="str">
        <f>IFERROR(IF(MARÍTIMOS[[#This Row],[Instruction]]="","",MARÍTIMOS[[#This Row],[Instruction]]),"")</f>
        <v/>
      </c>
      <c r="E596" s="1"/>
      <c r="F596" s="2" t="str">
        <f>IFERROR(IF(MARÍTIMOS[[#This Row],[Transportista]]="","",MARÍTIMOS[[#This Row],[Transportista]]),"")</f>
        <v/>
      </c>
      <c r="G596" s="2" t="str">
        <f>IFERROR(IF(MARÍTIMOS[[#This Row],[Tercero]]="","",MARÍTIMOS[[#This Row],[Tercero]]),"")</f>
        <v/>
      </c>
      <c r="H596" s="2" t="str">
        <f>IFERROR(IF(MARÍTIMOS[[#This Row],[Razón Social]]="","",MARÍTIMOS[[#This Row],[Razón Social]]),"")</f>
        <v/>
      </c>
      <c r="I596" s="2" t="str">
        <f>IFERROR(IF(MARÍTIMOS[[#This Row],[RUC]]="","",MARÍTIMOS[[#This Row],[RUC]]),"")</f>
        <v/>
      </c>
      <c r="J596" s="2" t="str">
        <f>IFERROR(IF(MARÍTIMOS[[#This Row],[Placa Tracto]]="","",MARÍTIMOS[[#This Row],[Placa Tracto]]),"")</f>
        <v/>
      </c>
      <c r="K596" s="2" t="str">
        <f>IFERROR(IF(MARÍTIMOS[[#This Row],[Placa Carreta]]="","",MARÍTIMOS[[#This Row],[Placa Carreta]]),"")</f>
        <v/>
      </c>
      <c r="L596" s="44" t="str">
        <f>IFERROR(IF(MARÍTIMOS[[#This Row],[Conductor]]="","",MARÍTIMOS[[#This Row],[Conductor]]),"")</f>
        <v/>
      </c>
      <c r="M596" s="2" t="str">
        <f>IFERROR(IF(MARÍTIMOS[[#This Row],[Licencia]]="","",MARÍTIMOS[[#This Row],[Licencia]]),"")</f>
        <v/>
      </c>
      <c r="N596" s="2" t="str">
        <f>IFERROR(IF(MARÍTIMOS[[#This Row],[Número de Contacto]]="","",MARÍTIMOS[[#This Row],[Número de Contacto]]),"")</f>
        <v/>
      </c>
      <c r="O596" s="10" t="str">
        <f>IFERROR(IF(MARÍTIMOS[[#This Row],[Booking|AWB|CRT]]="","",MARÍTIMOS[[#This Row],[Booking|AWB|CRT]]),"")</f>
        <v/>
      </c>
      <c r="P596" s="2" t="str">
        <f>IFERROR(IF(MARÍTIMOS[[#This Row],[Contenedor]]="","",MARÍTIMOS[[#This Row],[Contenedor]]),"")</f>
        <v/>
      </c>
      <c r="Q596" s="2" t="str">
        <f>IFERROR(IF(MARÍTIMOS[[#This Row],[Puerto de Retiro]]="","",MARÍTIMOS[[#This Row],[Puerto de Retiro]]),"")</f>
        <v/>
      </c>
      <c r="R596" s="2" t="str">
        <f>IFERROR(IF(MARÍTIMOS[[#This Row],[Almacén de Retiro]]="","",MARÍTIMOS[[#This Row],[Almacén de Retiro]]),"")</f>
        <v/>
      </c>
      <c r="S596" s="11" t="str">
        <f>IFERROR(IF(MARÍTIMOS[[#This Row],[Etapa Retiro - Cita]]="","",MARÍTIMOS[[#This Row],[Etapa Retiro - Cita]]),"")</f>
        <v/>
      </c>
      <c r="T596" s="11" t="str">
        <f>IFERROR(IF(MARÍTIMOS[[#This Row],[Etapa Retiro - Llegada]]="","",MARÍTIMOS[[#This Row],[Etapa Retiro - Llegada]]),"")</f>
        <v/>
      </c>
      <c r="U596" s="11" t="str">
        <f>IFERROR(IF(MARÍTIMOS[[#This Row],[Etapa Retiro - Ingreso]]="","",MARÍTIMOS[[#This Row],[Etapa Retiro - Ingreso]]),"")</f>
        <v/>
      </c>
      <c r="V596" s="11" t="str">
        <f>IFERROR(IF(MARÍTIMOS[[#This Row],[Etapa Retiro - Atención]]="","",MARÍTIMOS[[#This Row],[Etapa Retiro - Atención]]),"")</f>
        <v/>
      </c>
      <c r="W596" s="11" t="str">
        <f>IFERROR(IF(MARÍTIMOS[[#This Row],[Etapa Retiro - Atención]]="","",MARÍTIMOS[[#This Row],[Etapa Retiro - Atención]]),"")</f>
        <v/>
      </c>
      <c r="X596" s="11" t="str">
        <f>IFERROR(IF(MARÍTIMOS[[#This Row],[Etapa Retiro - Inicio de Ruta]]="","",MARÍTIMOS[[#This Row],[Etapa Retiro - Inicio de Ruta]]),"")</f>
        <v/>
      </c>
      <c r="Y596" s="11" t="str">
        <f>IFERROR(IF(MARÍTIMOS[[#This Row],[Hora de Posicionamiento]]="","",MARÍTIMOS[[#This Row],[Fecha de Carga]]+MARÍTIMOS[[#This Row],[Hora de Posicionamiento]]),"")</f>
        <v/>
      </c>
      <c r="Z596" s="11" t="str">
        <f>IFERROR(IF(MARÍTIMOS[[#This Row],[Etapa Despacho - Llegada]]="","",MARÍTIMOS[[#This Row],[Etapa Despacho - Llegada]]),"")</f>
        <v/>
      </c>
      <c r="AA596" s="11" t="str">
        <f>IFERROR(IF(MARÍTIMOS[[#This Row],[Etapa Despacho - Registro]]="","",MARÍTIMOS[[#This Row],[Etapa Despacho - Registro]]),"")</f>
        <v/>
      </c>
      <c r="AB596" s="11" t="str">
        <f>IFERROR(IF(MARÍTIMOS[[#This Row],[Inspección Externa]]="","",MARÍTIMOS[[#This Row],[Inspección Externa]]),"")</f>
        <v/>
      </c>
      <c r="AC596" s="11" t="str">
        <f>IFERROR(IF(MARÍTIMOS[[#This Row],[Etapa Despacho - Inicio de Carga]]="","",MARÍTIMOS[[#This Row],[Etapa Despacho - Inicio de Carga]]),"")</f>
        <v/>
      </c>
      <c r="AD596" s="11" t="str">
        <f>IFERROR(IF(MARÍTIMOS[[#This Row],[Etapa Despacho - Mitad de Carga]]="","",MARÍTIMOS[[#This Row],[Etapa Despacho - Mitad de Carga]]),"")</f>
        <v/>
      </c>
      <c r="AE596" s="11" t="str">
        <f>IFERROR(IF(MARÍTIMOS[[#This Row],[Etapa Despacho - Fin de Carga]]="","",MARÍTIMOS[[#This Row],[Etapa Despacho - Fin de Carga]]),"")</f>
        <v/>
      </c>
      <c r="AF596" s="2" t="str">
        <f>IFERROR(IF(MARÍTIMOS[[#This Row],[Puerto de Embarque]]="","",MARÍTIMOS[[#This Row],[Puerto de Embarque]]),"")</f>
        <v/>
      </c>
      <c r="AG596" s="2" t="str">
        <f>IFERROR(IF(MARÍTIMOS[[#This Row],[Almacén de Ingreso]]="","",MARÍTIMOS[[#This Row],[Almacén de Ingreso]]),"")</f>
        <v/>
      </c>
      <c r="AH596" s="11" t="str">
        <f>IFERROR(IF(MARÍTIMOS[[#This Row],[Etapa Ingreso - Cita]]="","",MARÍTIMOS[[#This Row],[Etapa Ingreso - Cita]]),"")</f>
        <v/>
      </c>
      <c r="AI596" s="11" t="str">
        <f>IFERROR(IF(MARÍTIMOS[[#This Row],[Etapa Ingreso - Llegada]]="","",MARÍTIMOS[[#This Row],[Etapa Ingreso - Llegada]]),"")</f>
        <v/>
      </c>
      <c r="AJ596" s="11" t="str">
        <f>IFERROR(IF(MARÍTIMOS[[#This Row],[Etapa Ingreso - Ingeso]]="","",MARÍTIMOS[[#This Row],[Etapa Ingreso - Ingeso]]),"")</f>
        <v/>
      </c>
      <c r="AK596" s="11" t="str">
        <f>IFERROR(IF(MARÍTIMOS[[#This Row],[Etapa Ingreso - Atención]]="","",MARÍTIMOS[[#This Row],[Etapa Ingreso - Atención]]),"")</f>
        <v/>
      </c>
      <c r="AL596" s="11" t="str">
        <f>IFERROR(IF(MARÍTIMOS[[#This Row],[Etapa Ingreso - Salida]]="","",MARÍTIMOS[[#This Row],[Etapa Ingreso - Salida]]),"")</f>
        <v/>
      </c>
      <c r="AM596" s="2" t="str">
        <f>IFERROR(IF(MARÍTIMOS[[#This Row],[FCL]]="","",MARÍTIMOS[[#This Row],[FCL]]),"")</f>
        <v/>
      </c>
      <c r="AN5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6" s="4" t="str" cm="1">
        <f t="array" ref="AO5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6" s="5" t="str">
        <f>IFERROR(OLDBD[[#This Row],[Llegada a packing]]-OLDBD[[#This Row],[Inicio de Ruta]],"")</f>
        <v/>
      </c>
      <c r="AQ596" s="6" t="str">
        <f>IFERROR(OLDBD[[#This Row],[Inicio de Ruta]]-OLDBD[[#This Row],[Salida de almacén de retiro]],"")</f>
        <v/>
      </c>
      <c r="AR5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6" s="8" t="str" cm="1">
        <f t="array" ref="AS5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6" s="9" t="str">
        <f>IFERROR(OLDBD[[#This Row],[Ingreso Packing]]-OLDBD[[#This Row],[Registro en Packing]],"")</f>
        <v/>
      </c>
      <c r="AV596" s="9" t="str">
        <f>IFERROR(OLDBD[[#This Row],[Ingreso Packing]]-OLDBD[[#This Row],[Llegada a packing]],"")</f>
        <v/>
      </c>
      <c r="AW5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6" s="5" t="str">
        <f>IFERROR(OLDBD[[#This Row],[Llegada Almacén de Ingreso]]-OLDBD[[#This Row],[Salida Packing]],"")</f>
        <v/>
      </c>
      <c r="AY596" s="4" t="str" cm="1">
        <f t="array" ref="AY5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6" s="43" t="s">
        <v>173</v>
      </c>
      <c r="BB596" s="47" t="str">
        <f>IFERROR(IF(MARÍTIMOS[[#This Row],[Estatus]]="","",MARÍTIMOS[[#This Row],[Estatus]]),"")</f>
        <v/>
      </c>
      <c r="BC596" s="43"/>
      <c r="BD596" s="46" t="str">
        <f>IFERROR(OLDBD[[#This Row],[Salida de almacén de retiro]]-OLDBD[[#This Row],[Ingreso Almacén de retiro]],"")</f>
        <v/>
      </c>
      <c r="BE596" s="46" t="str">
        <f>IFERROR(OLDBD[[#This Row],[Fin de Carga]]-OLDBD[[#This Row],[Inicio de Carga]],"")</f>
        <v/>
      </c>
    </row>
    <row r="597" spans="1:57" customFormat="1" hidden="1">
      <c r="A597" s="1"/>
      <c r="B597" s="1" t="str">
        <f>IFERROR(IF(MARÍTIMOS[[#This Row],[PP]]="","",MARÍTIMOS[[#This Row],[PP]]),"")</f>
        <v/>
      </c>
      <c r="C597" s="1" t="str">
        <f>IFERROR(IF(MARÍTIMOS[[#This Row],[Sede]]="","",MARÍTIMOS[[#This Row],[Sede]]),"")</f>
        <v/>
      </c>
      <c r="D597" s="1" t="str">
        <f>IFERROR(IF(MARÍTIMOS[[#This Row],[Instruction]]="","",MARÍTIMOS[[#This Row],[Instruction]]),"")</f>
        <v/>
      </c>
      <c r="E597" s="1"/>
      <c r="F597" s="2" t="str">
        <f>IFERROR(IF(MARÍTIMOS[[#This Row],[Transportista]]="","",MARÍTIMOS[[#This Row],[Transportista]]),"")</f>
        <v/>
      </c>
      <c r="G597" s="2" t="str">
        <f>IFERROR(IF(MARÍTIMOS[[#This Row],[Tercero]]="","",MARÍTIMOS[[#This Row],[Tercero]]),"")</f>
        <v/>
      </c>
      <c r="H597" s="2" t="str">
        <f>IFERROR(IF(MARÍTIMOS[[#This Row],[Razón Social]]="","",MARÍTIMOS[[#This Row],[Razón Social]]),"")</f>
        <v/>
      </c>
      <c r="I597" s="2" t="str">
        <f>IFERROR(IF(MARÍTIMOS[[#This Row],[RUC]]="","",MARÍTIMOS[[#This Row],[RUC]]),"")</f>
        <v/>
      </c>
      <c r="J597" s="2" t="str">
        <f>IFERROR(IF(MARÍTIMOS[[#This Row],[Placa Tracto]]="","",MARÍTIMOS[[#This Row],[Placa Tracto]]),"")</f>
        <v/>
      </c>
      <c r="K597" s="2" t="str">
        <f>IFERROR(IF(MARÍTIMOS[[#This Row],[Placa Carreta]]="","",MARÍTIMOS[[#This Row],[Placa Carreta]]),"")</f>
        <v/>
      </c>
      <c r="L597" s="44" t="str">
        <f>IFERROR(IF(MARÍTIMOS[[#This Row],[Conductor]]="","",MARÍTIMOS[[#This Row],[Conductor]]),"")</f>
        <v/>
      </c>
      <c r="M597" s="2" t="str">
        <f>IFERROR(IF(MARÍTIMOS[[#This Row],[Licencia]]="","",MARÍTIMOS[[#This Row],[Licencia]]),"")</f>
        <v/>
      </c>
      <c r="N597" s="2" t="str">
        <f>IFERROR(IF(MARÍTIMOS[[#This Row],[Número de Contacto]]="","",MARÍTIMOS[[#This Row],[Número de Contacto]]),"")</f>
        <v/>
      </c>
      <c r="O597" s="10" t="str">
        <f>IFERROR(IF(MARÍTIMOS[[#This Row],[Booking|AWB|CRT]]="","",MARÍTIMOS[[#This Row],[Booking|AWB|CRT]]),"")</f>
        <v/>
      </c>
      <c r="P597" s="2" t="str">
        <f>IFERROR(IF(MARÍTIMOS[[#This Row],[Contenedor]]="","",MARÍTIMOS[[#This Row],[Contenedor]]),"")</f>
        <v/>
      </c>
      <c r="Q597" s="2" t="str">
        <f>IFERROR(IF(MARÍTIMOS[[#This Row],[Puerto de Retiro]]="","",MARÍTIMOS[[#This Row],[Puerto de Retiro]]),"")</f>
        <v/>
      </c>
      <c r="R597" s="2" t="str">
        <f>IFERROR(IF(MARÍTIMOS[[#This Row],[Almacén de Retiro]]="","",MARÍTIMOS[[#This Row],[Almacén de Retiro]]),"")</f>
        <v/>
      </c>
      <c r="S597" s="11" t="str">
        <f>IFERROR(IF(MARÍTIMOS[[#This Row],[Etapa Retiro - Cita]]="","",MARÍTIMOS[[#This Row],[Etapa Retiro - Cita]]),"")</f>
        <v/>
      </c>
      <c r="T597" s="11" t="str">
        <f>IFERROR(IF(MARÍTIMOS[[#This Row],[Etapa Retiro - Llegada]]="","",MARÍTIMOS[[#This Row],[Etapa Retiro - Llegada]]),"")</f>
        <v/>
      </c>
      <c r="U597" s="11" t="str">
        <f>IFERROR(IF(MARÍTIMOS[[#This Row],[Etapa Retiro - Ingreso]]="","",MARÍTIMOS[[#This Row],[Etapa Retiro - Ingreso]]),"")</f>
        <v/>
      </c>
      <c r="V597" s="11" t="str">
        <f>IFERROR(IF(MARÍTIMOS[[#This Row],[Etapa Retiro - Atención]]="","",MARÍTIMOS[[#This Row],[Etapa Retiro - Atención]]),"")</f>
        <v/>
      </c>
      <c r="W597" s="11" t="str">
        <f>IFERROR(IF(MARÍTIMOS[[#This Row],[Etapa Retiro - Atención]]="","",MARÍTIMOS[[#This Row],[Etapa Retiro - Atención]]),"")</f>
        <v/>
      </c>
      <c r="X597" s="11" t="str">
        <f>IFERROR(IF(MARÍTIMOS[[#This Row],[Etapa Retiro - Inicio de Ruta]]="","",MARÍTIMOS[[#This Row],[Etapa Retiro - Inicio de Ruta]]),"")</f>
        <v/>
      </c>
      <c r="Y597" s="11" t="str">
        <f>IFERROR(IF(MARÍTIMOS[[#This Row],[Hora de Posicionamiento]]="","",MARÍTIMOS[[#This Row],[Fecha de Carga]]+MARÍTIMOS[[#This Row],[Hora de Posicionamiento]]),"")</f>
        <v/>
      </c>
      <c r="Z597" s="11" t="str">
        <f>IFERROR(IF(MARÍTIMOS[[#This Row],[Etapa Despacho - Llegada]]="","",MARÍTIMOS[[#This Row],[Etapa Despacho - Llegada]]),"")</f>
        <v/>
      </c>
      <c r="AA597" s="11" t="str">
        <f>IFERROR(IF(MARÍTIMOS[[#This Row],[Etapa Despacho - Registro]]="","",MARÍTIMOS[[#This Row],[Etapa Despacho - Registro]]),"")</f>
        <v/>
      </c>
      <c r="AB597" s="11" t="str">
        <f>IFERROR(IF(MARÍTIMOS[[#This Row],[Inspección Externa]]="","",MARÍTIMOS[[#This Row],[Inspección Externa]]),"")</f>
        <v/>
      </c>
      <c r="AC597" s="11" t="str">
        <f>IFERROR(IF(MARÍTIMOS[[#This Row],[Etapa Despacho - Inicio de Carga]]="","",MARÍTIMOS[[#This Row],[Etapa Despacho - Inicio de Carga]]),"")</f>
        <v/>
      </c>
      <c r="AD597" s="11" t="str">
        <f>IFERROR(IF(MARÍTIMOS[[#This Row],[Etapa Despacho - Mitad de Carga]]="","",MARÍTIMOS[[#This Row],[Etapa Despacho - Mitad de Carga]]),"")</f>
        <v/>
      </c>
      <c r="AE597" s="11" t="str">
        <f>IFERROR(IF(MARÍTIMOS[[#This Row],[Etapa Despacho - Fin de Carga]]="","",MARÍTIMOS[[#This Row],[Etapa Despacho - Fin de Carga]]),"")</f>
        <v/>
      </c>
      <c r="AF597" s="2" t="str">
        <f>IFERROR(IF(MARÍTIMOS[[#This Row],[Puerto de Embarque]]="","",MARÍTIMOS[[#This Row],[Puerto de Embarque]]),"")</f>
        <v/>
      </c>
      <c r="AG597" s="2" t="str">
        <f>IFERROR(IF(MARÍTIMOS[[#This Row],[Almacén de Ingreso]]="","",MARÍTIMOS[[#This Row],[Almacén de Ingreso]]),"")</f>
        <v/>
      </c>
      <c r="AH597" s="11" t="str">
        <f>IFERROR(IF(MARÍTIMOS[[#This Row],[Etapa Ingreso - Cita]]="","",MARÍTIMOS[[#This Row],[Etapa Ingreso - Cita]]),"")</f>
        <v/>
      </c>
      <c r="AI597" s="11" t="str">
        <f>IFERROR(IF(MARÍTIMOS[[#This Row],[Etapa Ingreso - Llegada]]="","",MARÍTIMOS[[#This Row],[Etapa Ingreso - Llegada]]),"")</f>
        <v/>
      </c>
      <c r="AJ597" s="11" t="str">
        <f>IFERROR(IF(MARÍTIMOS[[#This Row],[Etapa Ingreso - Ingeso]]="","",MARÍTIMOS[[#This Row],[Etapa Ingreso - Ingeso]]),"")</f>
        <v/>
      </c>
      <c r="AK597" s="11" t="str">
        <f>IFERROR(IF(MARÍTIMOS[[#This Row],[Etapa Ingreso - Atención]]="","",MARÍTIMOS[[#This Row],[Etapa Ingreso - Atención]]),"")</f>
        <v/>
      </c>
      <c r="AL597" s="11" t="str">
        <f>IFERROR(IF(MARÍTIMOS[[#This Row],[Etapa Ingreso - Salida]]="","",MARÍTIMOS[[#This Row],[Etapa Ingreso - Salida]]),"")</f>
        <v/>
      </c>
      <c r="AM597" s="2" t="str">
        <f>IFERROR(IF(MARÍTIMOS[[#This Row],[FCL]]="","",MARÍTIMOS[[#This Row],[FCL]]),"")</f>
        <v/>
      </c>
      <c r="AN5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7" s="4" t="str" cm="1">
        <f t="array" ref="AO5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7" s="5" t="str">
        <f>IFERROR(OLDBD[[#This Row],[Llegada a packing]]-OLDBD[[#This Row],[Inicio de Ruta]],"")</f>
        <v/>
      </c>
      <c r="AQ597" s="6" t="str">
        <f>IFERROR(OLDBD[[#This Row],[Inicio de Ruta]]-OLDBD[[#This Row],[Salida de almacén de retiro]],"")</f>
        <v/>
      </c>
      <c r="AR5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7" s="8" t="str" cm="1">
        <f t="array" ref="AS5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7" s="9" t="str">
        <f>IFERROR(OLDBD[[#This Row],[Ingreso Packing]]-OLDBD[[#This Row],[Registro en Packing]],"")</f>
        <v/>
      </c>
      <c r="AV597" s="9" t="str">
        <f>IFERROR(OLDBD[[#This Row],[Ingreso Packing]]-OLDBD[[#This Row],[Llegada a packing]],"")</f>
        <v/>
      </c>
      <c r="AW5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7" s="5" t="str">
        <f>IFERROR(OLDBD[[#This Row],[Llegada Almacén de Ingreso]]-OLDBD[[#This Row],[Salida Packing]],"")</f>
        <v/>
      </c>
      <c r="AY597" s="4" t="str" cm="1">
        <f t="array" ref="AY5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7" s="43" t="s">
        <v>173</v>
      </c>
      <c r="BB597" s="47" t="str">
        <f>IFERROR(IF(MARÍTIMOS[[#This Row],[Estatus]]="","",MARÍTIMOS[[#This Row],[Estatus]]),"")</f>
        <v/>
      </c>
      <c r="BC597" s="43"/>
      <c r="BD597" s="46" t="str">
        <f>IFERROR(OLDBD[[#This Row],[Salida de almacén de retiro]]-OLDBD[[#This Row],[Ingreso Almacén de retiro]],"")</f>
        <v/>
      </c>
      <c r="BE597" s="46" t="str">
        <f>IFERROR(OLDBD[[#This Row],[Fin de Carga]]-OLDBD[[#This Row],[Inicio de Carga]],"")</f>
        <v/>
      </c>
    </row>
    <row r="598" spans="1:57" customFormat="1" hidden="1">
      <c r="A598" s="1"/>
      <c r="B598" s="1" t="str">
        <f>IFERROR(IF(MARÍTIMOS[[#This Row],[PP]]="","",MARÍTIMOS[[#This Row],[PP]]),"")</f>
        <v/>
      </c>
      <c r="C598" s="1" t="str">
        <f>IFERROR(IF(MARÍTIMOS[[#This Row],[Sede]]="","",MARÍTIMOS[[#This Row],[Sede]]),"")</f>
        <v/>
      </c>
      <c r="D598" s="1" t="str">
        <f>IFERROR(IF(MARÍTIMOS[[#This Row],[Instruction]]="","",MARÍTIMOS[[#This Row],[Instruction]]),"")</f>
        <v/>
      </c>
      <c r="E598" s="1"/>
      <c r="F598" s="2" t="str">
        <f>IFERROR(IF(MARÍTIMOS[[#This Row],[Transportista]]="","",MARÍTIMOS[[#This Row],[Transportista]]),"")</f>
        <v/>
      </c>
      <c r="G598" s="2" t="str">
        <f>IFERROR(IF(MARÍTIMOS[[#This Row],[Tercero]]="","",MARÍTIMOS[[#This Row],[Tercero]]),"")</f>
        <v/>
      </c>
      <c r="H598" s="2" t="str">
        <f>IFERROR(IF(MARÍTIMOS[[#This Row],[Razón Social]]="","",MARÍTIMOS[[#This Row],[Razón Social]]),"")</f>
        <v/>
      </c>
      <c r="I598" s="2" t="str">
        <f>IFERROR(IF(MARÍTIMOS[[#This Row],[RUC]]="","",MARÍTIMOS[[#This Row],[RUC]]),"")</f>
        <v/>
      </c>
      <c r="J598" s="2" t="str">
        <f>IFERROR(IF(MARÍTIMOS[[#This Row],[Placa Tracto]]="","",MARÍTIMOS[[#This Row],[Placa Tracto]]),"")</f>
        <v/>
      </c>
      <c r="K598" s="2" t="str">
        <f>IFERROR(IF(MARÍTIMOS[[#This Row],[Placa Carreta]]="","",MARÍTIMOS[[#This Row],[Placa Carreta]]),"")</f>
        <v/>
      </c>
      <c r="L598" s="44" t="str">
        <f>IFERROR(IF(MARÍTIMOS[[#This Row],[Conductor]]="","",MARÍTIMOS[[#This Row],[Conductor]]),"")</f>
        <v/>
      </c>
      <c r="M598" s="2" t="str">
        <f>IFERROR(IF(MARÍTIMOS[[#This Row],[Licencia]]="","",MARÍTIMOS[[#This Row],[Licencia]]),"")</f>
        <v/>
      </c>
      <c r="N598" s="2" t="str">
        <f>IFERROR(IF(MARÍTIMOS[[#This Row],[Número de Contacto]]="","",MARÍTIMOS[[#This Row],[Número de Contacto]]),"")</f>
        <v/>
      </c>
      <c r="O598" s="10" t="str">
        <f>IFERROR(IF(MARÍTIMOS[[#This Row],[Booking|AWB|CRT]]="","",MARÍTIMOS[[#This Row],[Booking|AWB|CRT]]),"")</f>
        <v/>
      </c>
      <c r="P598" s="2" t="str">
        <f>IFERROR(IF(MARÍTIMOS[[#This Row],[Contenedor]]="","",MARÍTIMOS[[#This Row],[Contenedor]]),"")</f>
        <v/>
      </c>
      <c r="Q598" s="2" t="str">
        <f>IFERROR(IF(MARÍTIMOS[[#This Row],[Puerto de Retiro]]="","",MARÍTIMOS[[#This Row],[Puerto de Retiro]]),"")</f>
        <v/>
      </c>
      <c r="R598" s="2" t="str">
        <f>IFERROR(IF(MARÍTIMOS[[#This Row],[Almacén de Retiro]]="","",MARÍTIMOS[[#This Row],[Almacén de Retiro]]),"")</f>
        <v/>
      </c>
      <c r="S598" s="11" t="str">
        <f>IFERROR(IF(MARÍTIMOS[[#This Row],[Etapa Retiro - Cita]]="","",MARÍTIMOS[[#This Row],[Etapa Retiro - Cita]]),"")</f>
        <v/>
      </c>
      <c r="T598" s="11" t="str">
        <f>IFERROR(IF(MARÍTIMOS[[#This Row],[Etapa Retiro - Llegada]]="","",MARÍTIMOS[[#This Row],[Etapa Retiro - Llegada]]),"")</f>
        <v/>
      </c>
      <c r="U598" s="11" t="str">
        <f>IFERROR(IF(MARÍTIMOS[[#This Row],[Etapa Retiro - Ingreso]]="","",MARÍTIMOS[[#This Row],[Etapa Retiro - Ingreso]]),"")</f>
        <v/>
      </c>
      <c r="V598" s="11" t="str">
        <f>IFERROR(IF(MARÍTIMOS[[#This Row],[Etapa Retiro - Atención]]="","",MARÍTIMOS[[#This Row],[Etapa Retiro - Atención]]),"")</f>
        <v/>
      </c>
      <c r="W598" s="11" t="str">
        <f>IFERROR(IF(MARÍTIMOS[[#This Row],[Etapa Retiro - Atención]]="","",MARÍTIMOS[[#This Row],[Etapa Retiro - Atención]]),"")</f>
        <v/>
      </c>
      <c r="X598" s="11" t="str">
        <f>IFERROR(IF(MARÍTIMOS[[#This Row],[Etapa Retiro - Inicio de Ruta]]="","",MARÍTIMOS[[#This Row],[Etapa Retiro - Inicio de Ruta]]),"")</f>
        <v/>
      </c>
      <c r="Y598" s="11" t="str">
        <f>IFERROR(IF(MARÍTIMOS[[#This Row],[Hora de Posicionamiento]]="","",MARÍTIMOS[[#This Row],[Fecha de Carga]]+MARÍTIMOS[[#This Row],[Hora de Posicionamiento]]),"")</f>
        <v/>
      </c>
      <c r="Z598" s="11" t="str">
        <f>IFERROR(IF(MARÍTIMOS[[#This Row],[Etapa Despacho - Llegada]]="","",MARÍTIMOS[[#This Row],[Etapa Despacho - Llegada]]),"")</f>
        <v/>
      </c>
      <c r="AA598" s="11" t="str">
        <f>IFERROR(IF(MARÍTIMOS[[#This Row],[Etapa Despacho - Registro]]="","",MARÍTIMOS[[#This Row],[Etapa Despacho - Registro]]),"")</f>
        <v/>
      </c>
      <c r="AB598" s="11" t="str">
        <f>IFERROR(IF(MARÍTIMOS[[#This Row],[Inspección Externa]]="","",MARÍTIMOS[[#This Row],[Inspección Externa]]),"")</f>
        <v/>
      </c>
      <c r="AC598" s="11" t="str">
        <f>IFERROR(IF(MARÍTIMOS[[#This Row],[Etapa Despacho - Inicio de Carga]]="","",MARÍTIMOS[[#This Row],[Etapa Despacho - Inicio de Carga]]),"")</f>
        <v/>
      </c>
      <c r="AD598" s="11" t="str">
        <f>IFERROR(IF(MARÍTIMOS[[#This Row],[Etapa Despacho - Mitad de Carga]]="","",MARÍTIMOS[[#This Row],[Etapa Despacho - Mitad de Carga]]),"")</f>
        <v/>
      </c>
      <c r="AE598" s="11" t="str">
        <f>IFERROR(IF(MARÍTIMOS[[#This Row],[Etapa Despacho - Fin de Carga]]="","",MARÍTIMOS[[#This Row],[Etapa Despacho - Fin de Carga]]),"")</f>
        <v/>
      </c>
      <c r="AF598" s="2" t="str">
        <f>IFERROR(IF(MARÍTIMOS[[#This Row],[Puerto de Embarque]]="","",MARÍTIMOS[[#This Row],[Puerto de Embarque]]),"")</f>
        <v/>
      </c>
      <c r="AG598" s="2" t="str">
        <f>IFERROR(IF(MARÍTIMOS[[#This Row],[Almacén de Ingreso]]="","",MARÍTIMOS[[#This Row],[Almacén de Ingreso]]),"")</f>
        <v/>
      </c>
      <c r="AH598" s="11" t="str">
        <f>IFERROR(IF(MARÍTIMOS[[#This Row],[Etapa Ingreso - Cita]]="","",MARÍTIMOS[[#This Row],[Etapa Ingreso - Cita]]),"")</f>
        <v/>
      </c>
      <c r="AI598" s="11" t="str">
        <f>IFERROR(IF(MARÍTIMOS[[#This Row],[Etapa Ingreso - Llegada]]="","",MARÍTIMOS[[#This Row],[Etapa Ingreso - Llegada]]),"")</f>
        <v/>
      </c>
      <c r="AJ598" s="11" t="str">
        <f>IFERROR(IF(MARÍTIMOS[[#This Row],[Etapa Ingreso - Ingeso]]="","",MARÍTIMOS[[#This Row],[Etapa Ingreso - Ingeso]]),"")</f>
        <v/>
      </c>
      <c r="AK598" s="11" t="str">
        <f>IFERROR(IF(MARÍTIMOS[[#This Row],[Etapa Ingreso - Atención]]="","",MARÍTIMOS[[#This Row],[Etapa Ingreso - Atención]]),"")</f>
        <v/>
      </c>
      <c r="AL598" s="11" t="str">
        <f>IFERROR(IF(MARÍTIMOS[[#This Row],[Etapa Ingreso - Salida]]="","",MARÍTIMOS[[#This Row],[Etapa Ingreso - Salida]]),"")</f>
        <v/>
      </c>
      <c r="AM598" s="2" t="str">
        <f>IFERROR(IF(MARÍTIMOS[[#This Row],[FCL]]="","",MARÍTIMOS[[#This Row],[FCL]]),"")</f>
        <v/>
      </c>
      <c r="AN5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8" s="4" t="str" cm="1">
        <f t="array" ref="AO5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8" s="5" t="str">
        <f>IFERROR(OLDBD[[#This Row],[Llegada a packing]]-OLDBD[[#This Row],[Inicio de Ruta]],"")</f>
        <v/>
      </c>
      <c r="AQ598" s="6" t="str">
        <f>IFERROR(OLDBD[[#This Row],[Inicio de Ruta]]-OLDBD[[#This Row],[Salida de almacén de retiro]],"")</f>
        <v/>
      </c>
      <c r="AR5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8" s="8" t="str" cm="1">
        <f t="array" ref="AS5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8" s="9" t="str">
        <f>IFERROR(OLDBD[[#This Row],[Ingreso Packing]]-OLDBD[[#This Row],[Registro en Packing]],"")</f>
        <v/>
      </c>
      <c r="AV598" s="9" t="str">
        <f>IFERROR(OLDBD[[#This Row],[Ingreso Packing]]-OLDBD[[#This Row],[Llegada a packing]],"")</f>
        <v/>
      </c>
      <c r="AW5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8" s="5" t="str">
        <f>IFERROR(OLDBD[[#This Row],[Llegada Almacén de Ingreso]]-OLDBD[[#This Row],[Salida Packing]],"")</f>
        <v/>
      </c>
      <c r="AY598" s="4" t="str" cm="1">
        <f t="array" ref="AY5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8" s="43" t="s">
        <v>173</v>
      </c>
      <c r="BB598" s="47" t="str">
        <f>IFERROR(IF(MARÍTIMOS[[#This Row],[Estatus]]="","",MARÍTIMOS[[#This Row],[Estatus]]),"")</f>
        <v/>
      </c>
      <c r="BC598" s="43"/>
      <c r="BD598" s="46" t="str">
        <f>IFERROR(OLDBD[[#This Row],[Salida de almacén de retiro]]-OLDBD[[#This Row],[Ingreso Almacén de retiro]],"")</f>
        <v/>
      </c>
      <c r="BE598" s="46" t="str">
        <f>IFERROR(OLDBD[[#This Row],[Fin de Carga]]-OLDBD[[#This Row],[Inicio de Carga]],"")</f>
        <v/>
      </c>
    </row>
    <row r="599" spans="1:57" customFormat="1" hidden="1">
      <c r="A599" s="1"/>
      <c r="B599" s="1" t="str">
        <f>IFERROR(IF(MARÍTIMOS[[#This Row],[PP]]="","",MARÍTIMOS[[#This Row],[PP]]),"")</f>
        <v/>
      </c>
      <c r="C599" s="1" t="str">
        <f>IFERROR(IF(MARÍTIMOS[[#This Row],[Sede]]="","",MARÍTIMOS[[#This Row],[Sede]]),"")</f>
        <v/>
      </c>
      <c r="D599" s="1" t="str">
        <f>IFERROR(IF(MARÍTIMOS[[#This Row],[Instruction]]="","",MARÍTIMOS[[#This Row],[Instruction]]),"")</f>
        <v/>
      </c>
      <c r="E599" s="1"/>
      <c r="F599" s="2" t="str">
        <f>IFERROR(IF(MARÍTIMOS[[#This Row],[Transportista]]="","",MARÍTIMOS[[#This Row],[Transportista]]),"")</f>
        <v/>
      </c>
      <c r="G599" s="2" t="str">
        <f>IFERROR(IF(MARÍTIMOS[[#This Row],[Tercero]]="","",MARÍTIMOS[[#This Row],[Tercero]]),"")</f>
        <v/>
      </c>
      <c r="H599" s="2" t="str">
        <f>IFERROR(IF(MARÍTIMOS[[#This Row],[Razón Social]]="","",MARÍTIMOS[[#This Row],[Razón Social]]),"")</f>
        <v/>
      </c>
      <c r="I599" s="2" t="str">
        <f>IFERROR(IF(MARÍTIMOS[[#This Row],[RUC]]="","",MARÍTIMOS[[#This Row],[RUC]]),"")</f>
        <v/>
      </c>
      <c r="J599" s="2" t="str">
        <f>IFERROR(IF(MARÍTIMOS[[#This Row],[Placa Tracto]]="","",MARÍTIMOS[[#This Row],[Placa Tracto]]),"")</f>
        <v/>
      </c>
      <c r="K599" s="2" t="str">
        <f>IFERROR(IF(MARÍTIMOS[[#This Row],[Placa Carreta]]="","",MARÍTIMOS[[#This Row],[Placa Carreta]]),"")</f>
        <v/>
      </c>
      <c r="L599" s="44" t="str">
        <f>IFERROR(IF(MARÍTIMOS[[#This Row],[Conductor]]="","",MARÍTIMOS[[#This Row],[Conductor]]),"")</f>
        <v/>
      </c>
      <c r="M599" s="2" t="str">
        <f>IFERROR(IF(MARÍTIMOS[[#This Row],[Licencia]]="","",MARÍTIMOS[[#This Row],[Licencia]]),"")</f>
        <v/>
      </c>
      <c r="N599" s="2" t="str">
        <f>IFERROR(IF(MARÍTIMOS[[#This Row],[Número de Contacto]]="","",MARÍTIMOS[[#This Row],[Número de Contacto]]),"")</f>
        <v/>
      </c>
      <c r="O599" s="10" t="str">
        <f>IFERROR(IF(MARÍTIMOS[[#This Row],[Booking|AWB|CRT]]="","",MARÍTIMOS[[#This Row],[Booking|AWB|CRT]]),"")</f>
        <v/>
      </c>
      <c r="P599" s="2" t="str">
        <f>IFERROR(IF(MARÍTIMOS[[#This Row],[Contenedor]]="","",MARÍTIMOS[[#This Row],[Contenedor]]),"")</f>
        <v/>
      </c>
      <c r="Q599" s="2" t="str">
        <f>IFERROR(IF(MARÍTIMOS[[#This Row],[Puerto de Retiro]]="","",MARÍTIMOS[[#This Row],[Puerto de Retiro]]),"")</f>
        <v/>
      </c>
      <c r="R599" s="2" t="str">
        <f>IFERROR(IF(MARÍTIMOS[[#This Row],[Almacén de Retiro]]="","",MARÍTIMOS[[#This Row],[Almacén de Retiro]]),"")</f>
        <v/>
      </c>
      <c r="S599" s="11" t="str">
        <f>IFERROR(IF(MARÍTIMOS[[#This Row],[Etapa Retiro - Cita]]="","",MARÍTIMOS[[#This Row],[Etapa Retiro - Cita]]),"")</f>
        <v/>
      </c>
      <c r="T599" s="11" t="str">
        <f>IFERROR(IF(MARÍTIMOS[[#This Row],[Etapa Retiro - Llegada]]="","",MARÍTIMOS[[#This Row],[Etapa Retiro - Llegada]]),"")</f>
        <v/>
      </c>
      <c r="U599" s="11" t="str">
        <f>IFERROR(IF(MARÍTIMOS[[#This Row],[Etapa Retiro - Ingreso]]="","",MARÍTIMOS[[#This Row],[Etapa Retiro - Ingreso]]),"")</f>
        <v/>
      </c>
      <c r="V599" s="11" t="str">
        <f>IFERROR(IF(MARÍTIMOS[[#This Row],[Etapa Retiro - Atención]]="","",MARÍTIMOS[[#This Row],[Etapa Retiro - Atención]]),"")</f>
        <v/>
      </c>
      <c r="W599" s="11" t="str">
        <f>IFERROR(IF(MARÍTIMOS[[#This Row],[Etapa Retiro - Atención]]="","",MARÍTIMOS[[#This Row],[Etapa Retiro - Atención]]),"")</f>
        <v/>
      </c>
      <c r="X599" s="11" t="str">
        <f>IFERROR(IF(MARÍTIMOS[[#This Row],[Etapa Retiro - Inicio de Ruta]]="","",MARÍTIMOS[[#This Row],[Etapa Retiro - Inicio de Ruta]]),"")</f>
        <v/>
      </c>
      <c r="Y599" s="11" t="str">
        <f>IFERROR(IF(MARÍTIMOS[[#This Row],[Hora de Posicionamiento]]="","",MARÍTIMOS[[#This Row],[Fecha de Carga]]+MARÍTIMOS[[#This Row],[Hora de Posicionamiento]]),"")</f>
        <v/>
      </c>
      <c r="Z599" s="11" t="str">
        <f>IFERROR(IF(MARÍTIMOS[[#This Row],[Etapa Despacho - Llegada]]="","",MARÍTIMOS[[#This Row],[Etapa Despacho - Llegada]]),"")</f>
        <v/>
      </c>
      <c r="AA599" s="11" t="str">
        <f>IFERROR(IF(MARÍTIMOS[[#This Row],[Etapa Despacho - Registro]]="","",MARÍTIMOS[[#This Row],[Etapa Despacho - Registro]]),"")</f>
        <v/>
      </c>
      <c r="AB599" s="11" t="str">
        <f>IFERROR(IF(MARÍTIMOS[[#This Row],[Inspección Externa]]="","",MARÍTIMOS[[#This Row],[Inspección Externa]]),"")</f>
        <v/>
      </c>
      <c r="AC599" s="11" t="str">
        <f>IFERROR(IF(MARÍTIMOS[[#This Row],[Etapa Despacho - Inicio de Carga]]="","",MARÍTIMOS[[#This Row],[Etapa Despacho - Inicio de Carga]]),"")</f>
        <v/>
      </c>
      <c r="AD599" s="11" t="str">
        <f>IFERROR(IF(MARÍTIMOS[[#This Row],[Etapa Despacho - Mitad de Carga]]="","",MARÍTIMOS[[#This Row],[Etapa Despacho - Mitad de Carga]]),"")</f>
        <v/>
      </c>
      <c r="AE599" s="11" t="str">
        <f>IFERROR(IF(MARÍTIMOS[[#This Row],[Etapa Despacho - Fin de Carga]]="","",MARÍTIMOS[[#This Row],[Etapa Despacho - Fin de Carga]]),"")</f>
        <v/>
      </c>
      <c r="AF599" s="2" t="str">
        <f>IFERROR(IF(MARÍTIMOS[[#This Row],[Puerto de Embarque]]="","",MARÍTIMOS[[#This Row],[Puerto de Embarque]]),"")</f>
        <v/>
      </c>
      <c r="AG599" s="2" t="str">
        <f>IFERROR(IF(MARÍTIMOS[[#This Row],[Almacén de Ingreso]]="","",MARÍTIMOS[[#This Row],[Almacén de Ingreso]]),"")</f>
        <v/>
      </c>
      <c r="AH599" s="11" t="str">
        <f>IFERROR(IF(MARÍTIMOS[[#This Row],[Etapa Ingreso - Cita]]="","",MARÍTIMOS[[#This Row],[Etapa Ingreso - Cita]]),"")</f>
        <v/>
      </c>
      <c r="AI599" s="11" t="str">
        <f>IFERROR(IF(MARÍTIMOS[[#This Row],[Etapa Ingreso - Llegada]]="","",MARÍTIMOS[[#This Row],[Etapa Ingreso - Llegada]]),"")</f>
        <v/>
      </c>
      <c r="AJ599" s="11" t="str">
        <f>IFERROR(IF(MARÍTIMOS[[#This Row],[Etapa Ingreso - Ingeso]]="","",MARÍTIMOS[[#This Row],[Etapa Ingreso - Ingeso]]),"")</f>
        <v/>
      </c>
      <c r="AK599" s="11" t="str">
        <f>IFERROR(IF(MARÍTIMOS[[#This Row],[Etapa Ingreso - Atención]]="","",MARÍTIMOS[[#This Row],[Etapa Ingreso - Atención]]),"")</f>
        <v/>
      </c>
      <c r="AL599" s="11" t="str">
        <f>IFERROR(IF(MARÍTIMOS[[#This Row],[Etapa Ingreso - Salida]]="","",MARÍTIMOS[[#This Row],[Etapa Ingreso - Salida]]),"")</f>
        <v/>
      </c>
      <c r="AM599" s="2" t="str">
        <f>IFERROR(IF(MARÍTIMOS[[#This Row],[FCL]]="","",MARÍTIMOS[[#This Row],[FCL]]),"")</f>
        <v/>
      </c>
      <c r="AN5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599" s="4" t="str" cm="1">
        <f t="array" ref="AO5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599" s="5" t="str">
        <f>IFERROR(OLDBD[[#This Row],[Llegada a packing]]-OLDBD[[#This Row],[Inicio de Ruta]],"")</f>
        <v/>
      </c>
      <c r="AQ599" s="6" t="str">
        <f>IFERROR(OLDBD[[#This Row],[Inicio de Ruta]]-OLDBD[[#This Row],[Salida de almacén de retiro]],"")</f>
        <v/>
      </c>
      <c r="AR5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599" s="8" t="str" cm="1">
        <f t="array" ref="AS5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5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599" s="9" t="str">
        <f>IFERROR(OLDBD[[#This Row],[Ingreso Packing]]-OLDBD[[#This Row],[Registro en Packing]],"")</f>
        <v/>
      </c>
      <c r="AV599" s="9" t="str">
        <f>IFERROR(OLDBD[[#This Row],[Ingreso Packing]]-OLDBD[[#This Row],[Llegada a packing]],"")</f>
        <v/>
      </c>
      <c r="AW5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599" s="5" t="str">
        <f>IFERROR(OLDBD[[#This Row],[Llegada Almacén de Ingreso]]-OLDBD[[#This Row],[Salida Packing]],"")</f>
        <v/>
      </c>
      <c r="AY599" s="4" t="str" cm="1">
        <f t="array" ref="AY5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5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599" s="43" t="s">
        <v>173</v>
      </c>
      <c r="BB599" s="47" t="str">
        <f>IFERROR(IF(MARÍTIMOS[[#This Row],[Estatus]]="","",MARÍTIMOS[[#This Row],[Estatus]]),"")</f>
        <v/>
      </c>
      <c r="BC599" s="43"/>
      <c r="BD599" s="46" t="str">
        <f>IFERROR(OLDBD[[#This Row],[Salida de almacén de retiro]]-OLDBD[[#This Row],[Ingreso Almacén de retiro]],"")</f>
        <v/>
      </c>
      <c r="BE599" s="46" t="str">
        <f>IFERROR(OLDBD[[#This Row],[Fin de Carga]]-OLDBD[[#This Row],[Inicio de Carga]],"")</f>
        <v/>
      </c>
    </row>
    <row r="600" spans="1:57" customFormat="1" hidden="1">
      <c r="A600" s="1"/>
      <c r="B600" s="1" t="str">
        <f>IFERROR(IF(MARÍTIMOS[[#This Row],[PP]]="","",MARÍTIMOS[[#This Row],[PP]]),"")</f>
        <v/>
      </c>
      <c r="C600" s="1" t="str">
        <f>IFERROR(IF(MARÍTIMOS[[#This Row],[Sede]]="","",MARÍTIMOS[[#This Row],[Sede]]),"")</f>
        <v/>
      </c>
      <c r="D600" s="1" t="str">
        <f>IFERROR(IF(MARÍTIMOS[[#This Row],[Instruction]]="","",MARÍTIMOS[[#This Row],[Instruction]]),"")</f>
        <v/>
      </c>
      <c r="E600" s="1"/>
      <c r="F600" s="2" t="str">
        <f>IFERROR(IF(MARÍTIMOS[[#This Row],[Transportista]]="","",MARÍTIMOS[[#This Row],[Transportista]]),"")</f>
        <v/>
      </c>
      <c r="G600" s="2" t="str">
        <f>IFERROR(IF(MARÍTIMOS[[#This Row],[Tercero]]="","",MARÍTIMOS[[#This Row],[Tercero]]),"")</f>
        <v/>
      </c>
      <c r="H600" s="2" t="str">
        <f>IFERROR(IF(MARÍTIMOS[[#This Row],[Razón Social]]="","",MARÍTIMOS[[#This Row],[Razón Social]]),"")</f>
        <v/>
      </c>
      <c r="I600" s="2" t="str">
        <f>IFERROR(IF(MARÍTIMOS[[#This Row],[RUC]]="","",MARÍTIMOS[[#This Row],[RUC]]),"")</f>
        <v/>
      </c>
      <c r="J600" s="2" t="str">
        <f>IFERROR(IF(MARÍTIMOS[[#This Row],[Placa Tracto]]="","",MARÍTIMOS[[#This Row],[Placa Tracto]]),"")</f>
        <v/>
      </c>
      <c r="K600" s="2" t="str">
        <f>IFERROR(IF(MARÍTIMOS[[#This Row],[Placa Carreta]]="","",MARÍTIMOS[[#This Row],[Placa Carreta]]),"")</f>
        <v/>
      </c>
      <c r="L600" s="44" t="str">
        <f>IFERROR(IF(MARÍTIMOS[[#This Row],[Conductor]]="","",MARÍTIMOS[[#This Row],[Conductor]]),"")</f>
        <v/>
      </c>
      <c r="M600" s="2" t="str">
        <f>IFERROR(IF(MARÍTIMOS[[#This Row],[Licencia]]="","",MARÍTIMOS[[#This Row],[Licencia]]),"")</f>
        <v/>
      </c>
      <c r="N600" s="2" t="str">
        <f>IFERROR(IF(MARÍTIMOS[[#This Row],[Número de Contacto]]="","",MARÍTIMOS[[#This Row],[Número de Contacto]]),"")</f>
        <v/>
      </c>
      <c r="O600" s="10" t="str">
        <f>IFERROR(IF(MARÍTIMOS[[#This Row],[Booking|AWB|CRT]]="","",MARÍTIMOS[[#This Row],[Booking|AWB|CRT]]),"")</f>
        <v/>
      </c>
      <c r="P600" s="2" t="str">
        <f>IFERROR(IF(MARÍTIMOS[[#This Row],[Contenedor]]="","",MARÍTIMOS[[#This Row],[Contenedor]]),"")</f>
        <v/>
      </c>
      <c r="Q600" s="2" t="str">
        <f>IFERROR(IF(MARÍTIMOS[[#This Row],[Puerto de Retiro]]="","",MARÍTIMOS[[#This Row],[Puerto de Retiro]]),"")</f>
        <v/>
      </c>
      <c r="R600" s="2" t="str">
        <f>IFERROR(IF(MARÍTIMOS[[#This Row],[Almacén de Retiro]]="","",MARÍTIMOS[[#This Row],[Almacén de Retiro]]),"")</f>
        <v/>
      </c>
      <c r="S600" s="11" t="str">
        <f>IFERROR(IF(MARÍTIMOS[[#This Row],[Etapa Retiro - Cita]]="","",MARÍTIMOS[[#This Row],[Etapa Retiro - Cita]]),"")</f>
        <v/>
      </c>
      <c r="T600" s="11" t="str">
        <f>IFERROR(IF(MARÍTIMOS[[#This Row],[Etapa Retiro - Llegada]]="","",MARÍTIMOS[[#This Row],[Etapa Retiro - Llegada]]),"")</f>
        <v/>
      </c>
      <c r="U600" s="11" t="str">
        <f>IFERROR(IF(MARÍTIMOS[[#This Row],[Etapa Retiro - Ingreso]]="","",MARÍTIMOS[[#This Row],[Etapa Retiro - Ingreso]]),"")</f>
        <v/>
      </c>
      <c r="V600" s="11" t="str">
        <f>IFERROR(IF(MARÍTIMOS[[#This Row],[Etapa Retiro - Atención]]="","",MARÍTIMOS[[#This Row],[Etapa Retiro - Atención]]),"")</f>
        <v/>
      </c>
      <c r="W600" s="11" t="str">
        <f>IFERROR(IF(MARÍTIMOS[[#This Row],[Etapa Retiro - Atención]]="","",MARÍTIMOS[[#This Row],[Etapa Retiro - Atención]]),"")</f>
        <v/>
      </c>
      <c r="X600" s="11" t="str">
        <f>IFERROR(IF(MARÍTIMOS[[#This Row],[Etapa Retiro - Inicio de Ruta]]="","",MARÍTIMOS[[#This Row],[Etapa Retiro - Inicio de Ruta]]),"")</f>
        <v/>
      </c>
      <c r="Y600" s="11" t="str">
        <f>IFERROR(IF(MARÍTIMOS[[#This Row],[Hora de Posicionamiento]]="","",MARÍTIMOS[[#This Row],[Fecha de Carga]]+MARÍTIMOS[[#This Row],[Hora de Posicionamiento]]),"")</f>
        <v/>
      </c>
      <c r="Z600" s="11" t="str">
        <f>IFERROR(IF(MARÍTIMOS[[#This Row],[Etapa Despacho - Llegada]]="","",MARÍTIMOS[[#This Row],[Etapa Despacho - Llegada]]),"")</f>
        <v/>
      </c>
      <c r="AA600" s="11" t="str">
        <f>IFERROR(IF(MARÍTIMOS[[#This Row],[Etapa Despacho - Registro]]="","",MARÍTIMOS[[#This Row],[Etapa Despacho - Registro]]),"")</f>
        <v/>
      </c>
      <c r="AB600" s="11" t="str">
        <f>IFERROR(IF(MARÍTIMOS[[#This Row],[Inspección Externa]]="","",MARÍTIMOS[[#This Row],[Inspección Externa]]),"")</f>
        <v/>
      </c>
      <c r="AC600" s="11" t="str">
        <f>IFERROR(IF(MARÍTIMOS[[#This Row],[Etapa Despacho - Inicio de Carga]]="","",MARÍTIMOS[[#This Row],[Etapa Despacho - Inicio de Carga]]),"")</f>
        <v/>
      </c>
      <c r="AD600" s="11" t="str">
        <f>IFERROR(IF(MARÍTIMOS[[#This Row],[Etapa Despacho - Mitad de Carga]]="","",MARÍTIMOS[[#This Row],[Etapa Despacho - Mitad de Carga]]),"")</f>
        <v/>
      </c>
      <c r="AE600" s="11" t="str">
        <f>IFERROR(IF(MARÍTIMOS[[#This Row],[Etapa Despacho - Fin de Carga]]="","",MARÍTIMOS[[#This Row],[Etapa Despacho - Fin de Carga]]),"")</f>
        <v/>
      </c>
      <c r="AF600" s="2" t="str">
        <f>IFERROR(IF(MARÍTIMOS[[#This Row],[Puerto de Embarque]]="","",MARÍTIMOS[[#This Row],[Puerto de Embarque]]),"")</f>
        <v/>
      </c>
      <c r="AG600" s="2" t="str">
        <f>IFERROR(IF(MARÍTIMOS[[#This Row],[Almacén de Ingreso]]="","",MARÍTIMOS[[#This Row],[Almacén de Ingreso]]),"")</f>
        <v/>
      </c>
      <c r="AH600" s="11" t="str">
        <f>IFERROR(IF(MARÍTIMOS[[#This Row],[Etapa Ingreso - Cita]]="","",MARÍTIMOS[[#This Row],[Etapa Ingreso - Cita]]),"")</f>
        <v/>
      </c>
      <c r="AI600" s="11" t="str">
        <f>IFERROR(IF(MARÍTIMOS[[#This Row],[Etapa Ingreso - Llegada]]="","",MARÍTIMOS[[#This Row],[Etapa Ingreso - Llegada]]),"")</f>
        <v/>
      </c>
      <c r="AJ600" s="11" t="str">
        <f>IFERROR(IF(MARÍTIMOS[[#This Row],[Etapa Ingreso - Ingeso]]="","",MARÍTIMOS[[#This Row],[Etapa Ingreso - Ingeso]]),"")</f>
        <v/>
      </c>
      <c r="AK600" s="11" t="str">
        <f>IFERROR(IF(MARÍTIMOS[[#This Row],[Etapa Ingreso - Atención]]="","",MARÍTIMOS[[#This Row],[Etapa Ingreso - Atención]]),"")</f>
        <v/>
      </c>
      <c r="AL600" s="11" t="str">
        <f>IFERROR(IF(MARÍTIMOS[[#This Row],[Etapa Ingreso - Salida]]="","",MARÍTIMOS[[#This Row],[Etapa Ingreso - Salida]]),"")</f>
        <v/>
      </c>
      <c r="AM600" s="2" t="str">
        <f>IFERROR(IF(MARÍTIMOS[[#This Row],[FCL]]="","",MARÍTIMOS[[#This Row],[FCL]]),"")</f>
        <v/>
      </c>
      <c r="AN6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0" s="4" t="str" cm="1">
        <f t="array" ref="AO6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0" s="5" t="str">
        <f>IFERROR(OLDBD[[#This Row],[Llegada a packing]]-OLDBD[[#This Row],[Inicio de Ruta]],"")</f>
        <v/>
      </c>
      <c r="AQ600" s="6" t="str">
        <f>IFERROR(OLDBD[[#This Row],[Inicio de Ruta]]-OLDBD[[#This Row],[Salida de almacén de retiro]],"")</f>
        <v/>
      </c>
      <c r="AR6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0" s="8" t="str" cm="1">
        <f t="array" ref="AS6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0" s="9" t="str">
        <f>IFERROR(OLDBD[[#This Row],[Ingreso Packing]]-OLDBD[[#This Row],[Registro en Packing]],"")</f>
        <v/>
      </c>
      <c r="AV600" s="9" t="str">
        <f>IFERROR(OLDBD[[#This Row],[Ingreso Packing]]-OLDBD[[#This Row],[Llegada a packing]],"")</f>
        <v/>
      </c>
      <c r="AW6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0" s="5" t="str">
        <f>IFERROR(OLDBD[[#This Row],[Llegada Almacén de Ingreso]]-OLDBD[[#This Row],[Salida Packing]],"")</f>
        <v/>
      </c>
      <c r="AY600" s="4" t="str" cm="1">
        <f t="array" ref="AY6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0" s="43" t="s">
        <v>173</v>
      </c>
      <c r="BB600" s="47" t="str">
        <f>IFERROR(IF(MARÍTIMOS[[#This Row],[Estatus]]="","",MARÍTIMOS[[#This Row],[Estatus]]),"")</f>
        <v/>
      </c>
      <c r="BC600" s="43"/>
      <c r="BD600" s="46" t="str">
        <f>IFERROR(OLDBD[[#This Row],[Salida de almacén de retiro]]-OLDBD[[#This Row],[Ingreso Almacén de retiro]],"")</f>
        <v/>
      </c>
      <c r="BE600" s="46" t="str">
        <f>IFERROR(OLDBD[[#This Row],[Fin de Carga]]-OLDBD[[#This Row],[Inicio de Carga]],"")</f>
        <v/>
      </c>
    </row>
    <row r="601" spans="1:57" customFormat="1" hidden="1">
      <c r="A601" s="1"/>
      <c r="B601" s="1" t="str">
        <f>IFERROR(IF(MARÍTIMOS[[#This Row],[PP]]="","",MARÍTIMOS[[#This Row],[PP]]),"")</f>
        <v/>
      </c>
      <c r="C601" s="1" t="str">
        <f>IFERROR(IF(MARÍTIMOS[[#This Row],[Sede]]="","",MARÍTIMOS[[#This Row],[Sede]]),"")</f>
        <v/>
      </c>
      <c r="D601" s="1" t="str">
        <f>IFERROR(IF(MARÍTIMOS[[#This Row],[Instruction]]="","",MARÍTIMOS[[#This Row],[Instruction]]),"")</f>
        <v/>
      </c>
      <c r="E601" s="1"/>
      <c r="F601" s="2" t="str">
        <f>IFERROR(IF(MARÍTIMOS[[#This Row],[Transportista]]="","",MARÍTIMOS[[#This Row],[Transportista]]),"")</f>
        <v/>
      </c>
      <c r="G601" s="2" t="str">
        <f>IFERROR(IF(MARÍTIMOS[[#This Row],[Tercero]]="","",MARÍTIMOS[[#This Row],[Tercero]]),"")</f>
        <v/>
      </c>
      <c r="H601" s="2" t="str">
        <f>IFERROR(IF(MARÍTIMOS[[#This Row],[Razón Social]]="","",MARÍTIMOS[[#This Row],[Razón Social]]),"")</f>
        <v/>
      </c>
      <c r="I601" s="2" t="str">
        <f>IFERROR(IF(MARÍTIMOS[[#This Row],[RUC]]="","",MARÍTIMOS[[#This Row],[RUC]]),"")</f>
        <v/>
      </c>
      <c r="J601" s="2" t="str">
        <f>IFERROR(IF(MARÍTIMOS[[#This Row],[Placa Tracto]]="","",MARÍTIMOS[[#This Row],[Placa Tracto]]),"")</f>
        <v/>
      </c>
      <c r="K601" s="2" t="str">
        <f>IFERROR(IF(MARÍTIMOS[[#This Row],[Placa Carreta]]="","",MARÍTIMOS[[#This Row],[Placa Carreta]]),"")</f>
        <v/>
      </c>
      <c r="L601" s="44" t="str">
        <f>IFERROR(IF(MARÍTIMOS[[#This Row],[Conductor]]="","",MARÍTIMOS[[#This Row],[Conductor]]),"")</f>
        <v/>
      </c>
      <c r="M601" s="2" t="str">
        <f>IFERROR(IF(MARÍTIMOS[[#This Row],[Licencia]]="","",MARÍTIMOS[[#This Row],[Licencia]]),"")</f>
        <v/>
      </c>
      <c r="N601" s="2" t="str">
        <f>IFERROR(IF(MARÍTIMOS[[#This Row],[Número de Contacto]]="","",MARÍTIMOS[[#This Row],[Número de Contacto]]),"")</f>
        <v/>
      </c>
      <c r="O601" s="10" t="str">
        <f>IFERROR(IF(MARÍTIMOS[[#This Row],[Booking|AWB|CRT]]="","",MARÍTIMOS[[#This Row],[Booking|AWB|CRT]]),"")</f>
        <v/>
      </c>
      <c r="P601" s="2" t="str">
        <f>IFERROR(IF(MARÍTIMOS[[#This Row],[Contenedor]]="","",MARÍTIMOS[[#This Row],[Contenedor]]),"")</f>
        <v/>
      </c>
      <c r="Q601" s="2" t="str">
        <f>IFERROR(IF(MARÍTIMOS[[#This Row],[Puerto de Retiro]]="","",MARÍTIMOS[[#This Row],[Puerto de Retiro]]),"")</f>
        <v/>
      </c>
      <c r="R601" s="2" t="str">
        <f>IFERROR(IF(MARÍTIMOS[[#This Row],[Almacén de Retiro]]="","",MARÍTIMOS[[#This Row],[Almacén de Retiro]]),"")</f>
        <v/>
      </c>
      <c r="S601" s="11" t="str">
        <f>IFERROR(IF(MARÍTIMOS[[#This Row],[Etapa Retiro - Cita]]="","",MARÍTIMOS[[#This Row],[Etapa Retiro - Cita]]),"")</f>
        <v/>
      </c>
      <c r="T601" s="11" t="str">
        <f>IFERROR(IF(MARÍTIMOS[[#This Row],[Etapa Retiro - Llegada]]="","",MARÍTIMOS[[#This Row],[Etapa Retiro - Llegada]]),"")</f>
        <v/>
      </c>
      <c r="U601" s="11" t="str">
        <f>IFERROR(IF(MARÍTIMOS[[#This Row],[Etapa Retiro - Ingreso]]="","",MARÍTIMOS[[#This Row],[Etapa Retiro - Ingreso]]),"")</f>
        <v/>
      </c>
      <c r="V601" s="11" t="str">
        <f>IFERROR(IF(MARÍTIMOS[[#This Row],[Etapa Retiro - Atención]]="","",MARÍTIMOS[[#This Row],[Etapa Retiro - Atención]]),"")</f>
        <v/>
      </c>
      <c r="W601" s="11" t="str">
        <f>IFERROR(IF(MARÍTIMOS[[#This Row],[Etapa Retiro - Atención]]="","",MARÍTIMOS[[#This Row],[Etapa Retiro - Atención]]),"")</f>
        <v/>
      </c>
      <c r="X601" s="11" t="str">
        <f>IFERROR(IF(MARÍTIMOS[[#This Row],[Etapa Retiro - Inicio de Ruta]]="","",MARÍTIMOS[[#This Row],[Etapa Retiro - Inicio de Ruta]]),"")</f>
        <v/>
      </c>
      <c r="Y601" s="11" t="str">
        <f>IFERROR(IF(MARÍTIMOS[[#This Row],[Hora de Posicionamiento]]="","",MARÍTIMOS[[#This Row],[Fecha de Carga]]+MARÍTIMOS[[#This Row],[Hora de Posicionamiento]]),"")</f>
        <v/>
      </c>
      <c r="Z601" s="11" t="str">
        <f>IFERROR(IF(MARÍTIMOS[[#This Row],[Etapa Despacho - Llegada]]="","",MARÍTIMOS[[#This Row],[Etapa Despacho - Llegada]]),"")</f>
        <v/>
      </c>
      <c r="AA601" s="11" t="str">
        <f>IFERROR(IF(MARÍTIMOS[[#This Row],[Etapa Despacho - Registro]]="","",MARÍTIMOS[[#This Row],[Etapa Despacho - Registro]]),"")</f>
        <v/>
      </c>
      <c r="AB601" s="11" t="str">
        <f>IFERROR(IF(MARÍTIMOS[[#This Row],[Inspección Externa]]="","",MARÍTIMOS[[#This Row],[Inspección Externa]]),"")</f>
        <v/>
      </c>
      <c r="AC601" s="11" t="str">
        <f>IFERROR(IF(MARÍTIMOS[[#This Row],[Etapa Despacho - Inicio de Carga]]="","",MARÍTIMOS[[#This Row],[Etapa Despacho - Inicio de Carga]]),"")</f>
        <v/>
      </c>
      <c r="AD601" s="11" t="str">
        <f>IFERROR(IF(MARÍTIMOS[[#This Row],[Etapa Despacho - Mitad de Carga]]="","",MARÍTIMOS[[#This Row],[Etapa Despacho - Mitad de Carga]]),"")</f>
        <v/>
      </c>
      <c r="AE601" s="11" t="str">
        <f>IFERROR(IF(MARÍTIMOS[[#This Row],[Etapa Despacho - Fin de Carga]]="","",MARÍTIMOS[[#This Row],[Etapa Despacho - Fin de Carga]]),"")</f>
        <v/>
      </c>
      <c r="AF601" s="2" t="str">
        <f>IFERROR(IF(MARÍTIMOS[[#This Row],[Puerto de Embarque]]="","",MARÍTIMOS[[#This Row],[Puerto de Embarque]]),"")</f>
        <v/>
      </c>
      <c r="AG601" s="2" t="str">
        <f>IFERROR(IF(MARÍTIMOS[[#This Row],[Almacén de Ingreso]]="","",MARÍTIMOS[[#This Row],[Almacén de Ingreso]]),"")</f>
        <v/>
      </c>
      <c r="AH601" s="11" t="str">
        <f>IFERROR(IF(MARÍTIMOS[[#This Row],[Etapa Ingreso - Cita]]="","",MARÍTIMOS[[#This Row],[Etapa Ingreso - Cita]]),"")</f>
        <v/>
      </c>
      <c r="AI601" s="11" t="str">
        <f>IFERROR(IF(MARÍTIMOS[[#This Row],[Etapa Ingreso - Llegada]]="","",MARÍTIMOS[[#This Row],[Etapa Ingreso - Llegada]]),"")</f>
        <v/>
      </c>
      <c r="AJ601" s="11" t="str">
        <f>IFERROR(IF(MARÍTIMOS[[#This Row],[Etapa Ingreso - Ingeso]]="","",MARÍTIMOS[[#This Row],[Etapa Ingreso - Ingeso]]),"")</f>
        <v/>
      </c>
      <c r="AK601" s="11" t="str">
        <f>IFERROR(IF(MARÍTIMOS[[#This Row],[Etapa Ingreso - Atención]]="","",MARÍTIMOS[[#This Row],[Etapa Ingreso - Atención]]),"")</f>
        <v/>
      </c>
      <c r="AL601" s="11" t="str">
        <f>IFERROR(IF(MARÍTIMOS[[#This Row],[Etapa Ingreso - Salida]]="","",MARÍTIMOS[[#This Row],[Etapa Ingreso - Salida]]),"")</f>
        <v/>
      </c>
      <c r="AM601" s="2" t="str">
        <f>IFERROR(IF(MARÍTIMOS[[#This Row],[FCL]]="","",MARÍTIMOS[[#This Row],[FCL]]),"")</f>
        <v/>
      </c>
      <c r="AN6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1" s="4" t="str" cm="1">
        <f t="array" ref="AO6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1" s="5" t="str">
        <f>IFERROR(OLDBD[[#This Row],[Llegada a packing]]-OLDBD[[#This Row],[Inicio de Ruta]],"")</f>
        <v/>
      </c>
      <c r="AQ601" s="6" t="str">
        <f>IFERROR(OLDBD[[#This Row],[Inicio de Ruta]]-OLDBD[[#This Row],[Salida de almacén de retiro]],"")</f>
        <v/>
      </c>
      <c r="AR6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1" s="8" t="str" cm="1">
        <f t="array" ref="AS6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1" s="9" t="str">
        <f>IFERROR(OLDBD[[#This Row],[Ingreso Packing]]-OLDBD[[#This Row],[Registro en Packing]],"")</f>
        <v/>
      </c>
      <c r="AV601" s="9" t="str">
        <f>IFERROR(OLDBD[[#This Row],[Ingreso Packing]]-OLDBD[[#This Row],[Llegada a packing]],"")</f>
        <v/>
      </c>
      <c r="AW6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1" s="5" t="str">
        <f>IFERROR(OLDBD[[#This Row],[Llegada Almacén de Ingreso]]-OLDBD[[#This Row],[Salida Packing]],"")</f>
        <v/>
      </c>
      <c r="AY601" s="4" t="str" cm="1">
        <f t="array" ref="AY6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1" s="43" t="s">
        <v>173</v>
      </c>
      <c r="BB601" s="47" t="str">
        <f>IFERROR(IF(MARÍTIMOS[[#This Row],[Estatus]]="","",MARÍTIMOS[[#This Row],[Estatus]]),"")</f>
        <v/>
      </c>
      <c r="BC601" s="43"/>
      <c r="BD601" s="46" t="str">
        <f>IFERROR(OLDBD[[#This Row],[Salida de almacén de retiro]]-OLDBD[[#This Row],[Ingreso Almacén de retiro]],"")</f>
        <v/>
      </c>
      <c r="BE601" s="46" t="str">
        <f>IFERROR(OLDBD[[#This Row],[Fin de Carga]]-OLDBD[[#This Row],[Inicio de Carga]],"")</f>
        <v/>
      </c>
    </row>
    <row r="602" spans="1:57" customFormat="1" hidden="1">
      <c r="A602" s="1"/>
      <c r="B602" s="1" t="str">
        <f>IFERROR(IF(MARÍTIMOS[[#This Row],[PP]]="","",MARÍTIMOS[[#This Row],[PP]]),"")</f>
        <v/>
      </c>
      <c r="C602" s="1" t="str">
        <f>IFERROR(IF(MARÍTIMOS[[#This Row],[Sede]]="","",MARÍTIMOS[[#This Row],[Sede]]),"")</f>
        <v/>
      </c>
      <c r="D602" s="1" t="str">
        <f>IFERROR(IF(MARÍTIMOS[[#This Row],[Instruction]]="","",MARÍTIMOS[[#This Row],[Instruction]]),"")</f>
        <v/>
      </c>
      <c r="E602" s="1"/>
      <c r="F602" s="2" t="str">
        <f>IFERROR(IF(MARÍTIMOS[[#This Row],[Transportista]]="","",MARÍTIMOS[[#This Row],[Transportista]]),"")</f>
        <v/>
      </c>
      <c r="G602" s="2" t="str">
        <f>IFERROR(IF(MARÍTIMOS[[#This Row],[Tercero]]="","",MARÍTIMOS[[#This Row],[Tercero]]),"")</f>
        <v/>
      </c>
      <c r="H602" s="2" t="str">
        <f>IFERROR(IF(MARÍTIMOS[[#This Row],[Razón Social]]="","",MARÍTIMOS[[#This Row],[Razón Social]]),"")</f>
        <v/>
      </c>
      <c r="I602" s="2" t="str">
        <f>IFERROR(IF(MARÍTIMOS[[#This Row],[RUC]]="","",MARÍTIMOS[[#This Row],[RUC]]),"")</f>
        <v/>
      </c>
      <c r="J602" s="2" t="str">
        <f>IFERROR(IF(MARÍTIMOS[[#This Row],[Placa Tracto]]="","",MARÍTIMOS[[#This Row],[Placa Tracto]]),"")</f>
        <v/>
      </c>
      <c r="K602" s="2" t="str">
        <f>IFERROR(IF(MARÍTIMOS[[#This Row],[Placa Carreta]]="","",MARÍTIMOS[[#This Row],[Placa Carreta]]),"")</f>
        <v/>
      </c>
      <c r="L602" s="44" t="str">
        <f>IFERROR(IF(MARÍTIMOS[[#This Row],[Conductor]]="","",MARÍTIMOS[[#This Row],[Conductor]]),"")</f>
        <v/>
      </c>
      <c r="M602" s="2" t="str">
        <f>IFERROR(IF(MARÍTIMOS[[#This Row],[Licencia]]="","",MARÍTIMOS[[#This Row],[Licencia]]),"")</f>
        <v/>
      </c>
      <c r="N602" s="2" t="str">
        <f>IFERROR(IF(MARÍTIMOS[[#This Row],[Número de Contacto]]="","",MARÍTIMOS[[#This Row],[Número de Contacto]]),"")</f>
        <v/>
      </c>
      <c r="O602" s="10" t="str">
        <f>IFERROR(IF(MARÍTIMOS[[#This Row],[Booking|AWB|CRT]]="","",MARÍTIMOS[[#This Row],[Booking|AWB|CRT]]),"")</f>
        <v/>
      </c>
      <c r="P602" s="2" t="str">
        <f>IFERROR(IF(MARÍTIMOS[[#This Row],[Contenedor]]="","",MARÍTIMOS[[#This Row],[Contenedor]]),"")</f>
        <v/>
      </c>
      <c r="Q602" s="2" t="str">
        <f>IFERROR(IF(MARÍTIMOS[[#This Row],[Puerto de Retiro]]="","",MARÍTIMOS[[#This Row],[Puerto de Retiro]]),"")</f>
        <v/>
      </c>
      <c r="R602" s="2" t="str">
        <f>IFERROR(IF(MARÍTIMOS[[#This Row],[Almacén de Retiro]]="","",MARÍTIMOS[[#This Row],[Almacén de Retiro]]),"")</f>
        <v/>
      </c>
      <c r="S602" s="11" t="str">
        <f>IFERROR(IF(MARÍTIMOS[[#This Row],[Etapa Retiro - Cita]]="","",MARÍTIMOS[[#This Row],[Etapa Retiro - Cita]]),"")</f>
        <v/>
      </c>
      <c r="T602" s="11" t="str">
        <f>IFERROR(IF(MARÍTIMOS[[#This Row],[Etapa Retiro - Llegada]]="","",MARÍTIMOS[[#This Row],[Etapa Retiro - Llegada]]),"")</f>
        <v/>
      </c>
      <c r="U602" s="11" t="str">
        <f>IFERROR(IF(MARÍTIMOS[[#This Row],[Etapa Retiro - Ingreso]]="","",MARÍTIMOS[[#This Row],[Etapa Retiro - Ingreso]]),"")</f>
        <v/>
      </c>
      <c r="V602" s="11" t="str">
        <f>IFERROR(IF(MARÍTIMOS[[#This Row],[Etapa Retiro - Atención]]="","",MARÍTIMOS[[#This Row],[Etapa Retiro - Atención]]),"")</f>
        <v/>
      </c>
      <c r="W602" s="11" t="str">
        <f>IFERROR(IF(MARÍTIMOS[[#This Row],[Etapa Retiro - Atención]]="","",MARÍTIMOS[[#This Row],[Etapa Retiro - Atención]]),"")</f>
        <v/>
      </c>
      <c r="X602" s="11" t="str">
        <f>IFERROR(IF(MARÍTIMOS[[#This Row],[Etapa Retiro - Inicio de Ruta]]="","",MARÍTIMOS[[#This Row],[Etapa Retiro - Inicio de Ruta]]),"")</f>
        <v/>
      </c>
      <c r="Y602" s="11" t="str">
        <f>IFERROR(IF(MARÍTIMOS[[#This Row],[Hora de Posicionamiento]]="","",MARÍTIMOS[[#This Row],[Fecha de Carga]]+MARÍTIMOS[[#This Row],[Hora de Posicionamiento]]),"")</f>
        <v/>
      </c>
      <c r="Z602" s="11" t="str">
        <f>IFERROR(IF(MARÍTIMOS[[#This Row],[Etapa Despacho - Llegada]]="","",MARÍTIMOS[[#This Row],[Etapa Despacho - Llegada]]),"")</f>
        <v/>
      </c>
      <c r="AA602" s="11" t="str">
        <f>IFERROR(IF(MARÍTIMOS[[#This Row],[Etapa Despacho - Registro]]="","",MARÍTIMOS[[#This Row],[Etapa Despacho - Registro]]),"")</f>
        <v/>
      </c>
      <c r="AB602" s="11" t="str">
        <f>IFERROR(IF(MARÍTIMOS[[#This Row],[Inspección Externa]]="","",MARÍTIMOS[[#This Row],[Inspección Externa]]),"")</f>
        <v/>
      </c>
      <c r="AC602" s="11" t="str">
        <f>IFERROR(IF(MARÍTIMOS[[#This Row],[Etapa Despacho - Inicio de Carga]]="","",MARÍTIMOS[[#This Row],[Etapa Despacho - Inicio de Carga]]),"")</f>
        <v/>
      </c>
      <c r="AD602" s="11" t="str">
        <f>IFERROR(IF(MARÍTIMOS[[#This Row],[Etapa Despacho - Mitad de Carga]]="","",MARÍTIMOS[[#This Row],[Etapa Despacho - Mitad de Carga]]),"")</f>
        <v/>
      </c>
      <c r="AE602" s="11" t="str">
        <f>IFERROR(IF(MARÍTIMOS[[#This Row],[Etapa Despacho - Fin de Carga]]="","",MARÍTIMOS[[#This Row],[Etapa Despacho - Fin de Carga]]),"")</f>
        <v/>
      </c>
      <c r="AF602" s="2" t="str">
        <f>IFERROR(IF(MARÍTIMOS[[#This Row],[Puerto de Embarque]]="","",MARÍTIMOS[[#This Row],[Puerto de Embarque]]),"")</f>
        <v/>
      </c>
      <c r="AG602" s="2" t="str">
        <f>IFERROR(IF(MARÍTIMOS[[#This Row],[Almacén de Ingreso]]="","",MARÍTIMOS[[#This Row],[Almacén de Ingreso]]),"")</f>
        <v/>
      </c>
      <c r="AH602" s="11" t="str">
        <f>IFERROR(IF(MARÍTIMOS[[#This Row],[Etapa Ingreso - Cita]]="","",MARÍTIMOS[[#This Row],[Etapa Ingreso - Cita]]),"")</f>
        <v/>
      </c>
      <c r="AI602" s="11" t="str">
        <f>IFERROR(IF(MARÍTIMOS[[#This Row],[Etapa Ingreso - Llegada]]="","",MARÍTIMOS[[#This Row],[Etapa Ingreso - Llegada]]),"")</f>
        <v/>
      </c>
      <c r="AJ602" s="11" t="str">
        <f>IFERROR(IF(MARÍTIMOS[[#This Row],[Etapa Ingreso - Ingeso]]="","",MARÍTIMOS[[#This Row],[Etapa Ingreso - Ingeso]]),"")</f>
        <v/>
      </c>
      <c r="AK602" s="11" t="str">
        <f>IFERROR(IF(MARÍTIMOS[[#This Row],[Etapa Ingreso - Atención]]="","",MARÍTIMOS[[#This Row],[Etapa Ingreso - Atención]]),"")</f>
        <v/>
      </c>
      <c r="AL602" s="11" t="str">
        <f>IFERROR(IF(MARÍTIMOS[[#This Row],[Etapa Ingreso - Salida]]="","",MARÍTIMOS[[#This Row],[Etapa Ingreso - Salida]]),"")</f>
        <v/>
      </c>
      <c r="AM602" s="2" t="str">
        <f>IFERROR(IF(MARÍTIMOS[[#This Row],[FCL]]="","",MARÍTIMOS[[#This Row],[FCL]]),"")</f>
        <v/>
      </c>
      <c r="AN6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2" s="4" t="str" cm="1">
        <f t="array" ref="AO6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2" s="5" t="str">
        <f>IFERROR(OLDBD[[#This Row],[Llegada a packing]]-OLDBD[[#This Row],[Inicio de Ruta]],"")</f>
        <v/>
      </c>
      <c r="AQ602" s="6" t="str">
        <f>IFERROR(OLDBD[[#This Row],[Inicio de Ruta]]-OLDBD[[#This Row],[Salida de almacén de retiro]],"")</f>
        <v/>
      </c>
      <c r="AR6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2" s="8" t="str" cm="1">
        <f t="array" ref="AS6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2" s="9" t="str">
        <f>IFERROR(OLDBD[[#This Row],[Ingreso Packing]]-OLDBD[[#This Row],[Registro en Packing]],"")</f>
        <v/>
      </c>
      <c r="AV602" s="9" t="str">
        <f>IFERROR(OLDBD[[#This Row],[Ingreso Packing]]-OLDBD[[#This Row],[Llegada a packing]],"")</f>
        <v/>
      </c>
      <c r="AW6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2" s="5" t="str">
        <f>IFERROR(OLDBD[[#This Row],[Llegada Almacén de Ingreso]]-OLDBD[[#This Row],[Salida Packing]],"")</f>
        <v/>
      </c>
      <c r="AY602" s="4" t="str" cm="1">
        <f t="array" ref="AY6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2" s="43" t="s">
        <v>173</v>
      </c>
      <c r="BB602" s="47" t="str">
        <f>IFERROR(IF(MARÍTIMOS[[#This Row],[Estatus]]="","",MARÍTIMOS[[#This Row],[Estatus]]),"")</f>
        <v/>
      </c>
      <c r="BC602" s="43"/>
      <c r="BD602" s="46" t="str">
        <f>IFERROR(OLDBD[[#This Row],[Salida de almacén de retiro]]-OLDBD[[#This Row],[Ingreso Almacén de retiro]],"")</f>
        <v/>
      </c>
      <c r="BE602" s="46" t="str">
        <f>IFERROR(OLDBD[[#This Row],[Fin de Carga]]-OLDBD[[#This Row],[Inicio de Carga]],"")</f>
        <v/>
      </c>
    </row>
    <row r="603" spans="1:57" customFormat="1" hidden="1">
      <c r="A603" s="1"/>
      <c r="B603" s="1" t="str">
        <f>IFERROR(IF(MARÍTIMOS[[#This Row],[PP]]="","",MARÍTIMOS[[#This Row],[PP]]),"")</f>
        <v/>
      </c>
      <c r="C603" s="1" t="str">
        <f>IFERROR(IF(MARÍTIMOS[[#This Row],[Sede]]="","",MARÍTIMOS[[#This Row],[Sede]]),"")</f>
        <v/>
      </c>
      <c r="D603" s="1" t="str">
        <f>IFERROR(IF(MARÍTIMOS[[#This Row],[Instruction]]="","",MARÍTIMOS[[#This Row],[Instruction]]),"")</f>
        <v/>
      </c>
      <c r="E603" s="1"/>
      <c r="F603" s="2" t="str">
        <f>IFERROR(IF(MARÍTIMOS[[#This Row],[Transportista]]="","",MARÍTIMOS[[#This Row],[Transportista]]),"")</f>
        <v/>
      </c>
      <c r="G603" s="2" t="str">
        <f>IFERROR(IF(MARÍTIMOS[[#This Row],[Tercero]]="","",MARÍTIMOS[[#This Row],[Tercero]]),"")</f>
        <v/>
      </c>
      <c r="H603" s="2" t="str">
        <f>IFERROR(IF(MARÍTIMOS[[#This Row],[Razón Social]]="","",MARÍTIMOS[[#This Row],[Razón Social]]),"")</f>
        <v/>
      </c>
      <c r="I603" s="2" t="str">
        <f>IFERROR(IF(MARÍTIMOS[[#This Row],[RUC]]="","",MARÍTIMOS[[#This Row],[RUC]]),"")</f>
        <v/>
      </c>
      <c r="J603" s="2" t="str">
        <f>IFERROR(IF(MARÍTIMOS[[#This Row],[Placa Tracto]]="","",MARÍTIMOS[[#This Row],[Placa Tracto]]),"")</f>
        <v/>
      </c>
      <c r="K603" s="2" t="str">
        <f>IFERROR(IF(MARÍTIMOS[[#This Row],[Placa Carreta]]="","",MARÍTIMOS[[#This Row],[Placa Carreta]]),"")</f>
        <v/>
      </c>
      <c r="L603" s="44" t="str">
        <f>IFERROR(IF(MARÍTIMOS[[#This Row],[Conductor]]="","",MARÍTIMOS[[#This Row],[Conductor]]),"")</f>
        <v/>
      </c>
      <c r="M603" s="2" t="str">
        <f>IFERROR(IF(MARÍTIMOS[[#This Row],[Licencia]]="","",MARÍTIMOS[[#This Row],[Licencia]]),"")</f>
        <v/>
      </c>
      <c r="N603" s="2" t="str">
        <f>IFERROR(IF(MARÍTIMOS[[#This Row],[Número de Contacto]]="","",MARÍTIMOS[[#This Row],[Número de Contacto]]),"")</f>
        <v/>
      </c>
      <c r="O603" s="10" t="str">
        <f>IFERROR(IF(MARÍTIMOS[[#This Row],[Booking|AWB|CRT]]="","",MARÍTIMOS[[#This Row],[Booking|AWB|CRT]]),"")</f>
        <v/>
      </c>
      <c r="P603" s="2" t="str">
        <f>IFERROR(IF(MARÍTIMOS[[#This Row],[Contenedor]]="","",MARÍTIMOS[[#This Row],[Contenedor]]),"")</f>
        <v/>
      </c>
      <c r="Q603" s="2" t="str">
        <f>IFERROR(IF(MARÍTIMOS[[#This Row],[Puerto de Retiro]]="","",MARÍTIMOS[[#This Row],[Puerto de Retiro]]),"")</f>
        <v/>
      </c>
      <c r="R603" s="2" t="str">
        <f>IFERROR(IF(MARÍTIMOS[[#This Row],[Almacén de Retiro]]="","",MARÍTIMOS[[#This Row],[Almacén de Retiro]]),"")</f>
        <v/>
      </c>
      <c r="S603" s="11" t="str">
        <f>IFERROR(IF(MARÍTIMOS[[#This Row],[Etapa Retiro - Cita]]="","",MARÍTIMOS[[#This Row],[Etapa Retiro - Cita]]),"")</f>
        <v/>
      </c>
      <c r="T603" s="11" t="str">
        <f>IFERROR(IF(MARÍTIMOS[[#This Row],[Etapa Retiro - Llegada]]="","",MARÍTIMOS[[#This Row],[Etapa Retiro - Llegada]]),"")</f>
        <v/>
      </c>
      <c r="U603" s="11" t="str">
        <f>IFERROR(IF(MARÍTIMOS[[#This Row],[Etapa Retiro - Ingreso]]="","",MARÍTIMOS[[#This Row],[Etapa Retiro - Ingreso]]),"")</f>
        <v/>
      </c>
      <c r="V603" s="11" t="str">
        <f>IFERROR(IF(MARÍTIMOS[[#This Row],[Etapa Retiro - Atención]]="","",MARÍTIMOS[[#This Row],[Etapa Retiro - Atención]]),"")</f>
        <v/>
      </c>
      <c r="W603" s="11" t="str">
        <f>IFERROR(IF(MARÍTIMOS[[#This Row],[Etapa Retiro - Atención]]="","",MARÍTIMOS[[#This Row],[Etapa Retiro - Atención]]),"")</f>
        <v/>
      </c>
      <c r="X603" s="11" t="str">
        <f>IFERROR(IF(MARÍTIMOS[[#This Row],[Etapa Retiro - Inicio de Ruta]]="","",MARÍTIMOS[[#This Row],[Etapa Retiro - Inicio de Ruta]]),"")</f>
        <v/>
      </c>
      <c r="Y603" s="11" t="str">
        <f>IFERROR(IF(MARÍTIMOS[[#This Row],[Hora de Posicionamiento]]="","",MARÍTIMOS[[#This Row],[Fecha de Carga]]+MARÍTIMOS[[#This Row],[Hora de Posicionamiento]]),"")</f>
        <v/>
      </c>
      <c r="Z603" s="11" t="str">
        <f>IFERROR(IF(MARÍTIMOS[[#This Row],[Etapa Despacho - Llegada]]="","",MARÍTIMOS[[#This Row],[Etapa Despacho - Llegada]]),"")</f>
        <v/>
      </c>
      <c r="AA603" s="11" t="str">
        <f>IFERROR(IF(MARÍTIMOS[[#This Row],[Etapa Despacho - Registro]]="","",MARÍTIMOS[[#This Row],[Etapa Despacho - Registro]]),"")</f>
        <v/>
      </c>
      <c r="AB603" s="11" t="str">
        <f>IFERROR(IF(MARÍTIMOS[[#This Row],[Inspección Externa]]="","",MARÍTIMOS[[#This Row],[Inspección Externa]]),"")</f>
        <v/>
      </c>
      <c r="AC603" s="11" t="str">
        <f>IFERROR(IF(MARÍTIMOS[[#This Row],[Etapa Despacho - Inicio de Carga]]="","",MARÍTIMOS[[#This Row],[Etapa Despacho - Inicio de Carga]]),"")</f>
        <v/>
      </c>
      <c r="AD603" s="11" t="str">
        <f>IFERROR(IF(MARÍTIMOS[[#This Row],[Etapa Despacho - Mitad de Carga]]="","",MARÍTIMOS[[#This Row],[Etapa Despacho - Mitad de Carga]]),"")</f>
        <v/>
      </c>
      <c r="AE603" s="11" t="str">
        <f>IFERROR(IF(MARÍTIMOS[[#This Row],[Etapa Despacho - Fin de Carga]]="","",MARÍTIMOS[[#This Row],[Etapa Despacho - Fin de Carga]]),"")</f>
        <v/>
      </c>
      <c r="AF603" s="2" t="str">
        <f>IFERROR(IF(MARÍTIMOS[[#This Row],[Puerto de Embarque]]="","",MARÍTIMOS[[#This Row],[Puerto de Embarque]]),"")</f>
        <v/>
      </c>
      <c r="AG603" s="2" t="str">
        <f>IFERROR(IF(MARÍTIMOS[[#This Row],[Almacén de Ingreso]]="","",MARÍTIMOS[[#This Row],[Almacén de Ingreso]]),"")</f>
        <v/>
      </c>
      <c r="AH603" s="11" t="str">
        <f>IFERROR(IF(MARÍTIMOS[[#This Row],[Etapa Ingreso - Cita]]="","",MARÍTIMOS[[#This Row],[Etapa Ingreso - Cita]]),"")</f>
        <v/>
      </c>
      <c r="AI603" s="11" t="str">
        <f>IFERROR(IF(MARÍTIMOS[[#This Row],[Etapa Ingreso - Llegada]]="","",MARÍTIMOS[[#This Row],[Etapa Ingreso - Llegada]]),"")</f>
        <v/>
      </c>
      <c r="AJ603" s="11" t="str">
        <f>IFERROR(IF(MARÍTIMOS[[#This Row],[Etapa Ingreso - Ingeso]]="","",MARÍTIMOS[[#This Row],[Etapa Ingreso - Ingeso]]),"")</f>
        <v/>
      </c>
      <c r="AK603" s="11" t="str">
        <f>IFERROR(IF(MARÍTIMOS[[#This Row],[Etapa Ingreso - Atención]]="","",MARÍTIMOS[[#This Row],[Etapa Ingreso - Atención]]),"")</f>
        <v/>
      </c>
      <c r="AL603" s="11" t="str">
        <f>IFERROR(IF(MARÍTIMOS[[#This Row],[Etapa Ingreso - Salida]]="","",MARÍTIMOS[[#This Row],[Etapa Ingreso - Salida]]),"")</f>
        <v/>
      </c>
      <c r="AM603" s="2" t="str">
        <f>IFERROR(IF(MARÍTIMOS[[#This Row],[FCL]]="","",MARÍTIMOS[[#This Row],[FCL]]),"")</f>
        <v/>
      </c>
      <c r="AN6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3" s="4" t="str" cm="1">
        <f t="array" ref="AO6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3" s="5" t="str">
        <f>IFERROR(OLDBD[[#This Row],[Llegada a packing]]-OLDBD[[#This Row],[Inicio de Ruta]],"")</f>
        <v/>
      </c>
      <c r="AQ603" s="6" t="str">
        <f>IFERROR(OLDBD[[#This Row],[Inicio de Ruta]]-OLDBD[[#This Row],[Salida de almacén de retiro]],"")</f>
        <v/>
      </c>
      <c r="AR6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3" s="8" t="str" cm="1">
        <f t="array" ref="AS6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3" s="9" t="str">
        <f>IFERROR(OLDBD[[#This Row],[Ingreso Packing]]-OLDBD[[#This Row],[Registro en Packing]],"")</f>
        <v/>
      </c>
      <c r="AV603" s="9" t="str">
        <f>IFERROR(OLDBD[[#This Row],[Ingreso Packing]]-OLDBD[[#This Row],[Llegada a packing]],"")</f>
        <v/>
      </c>
      <c r="AW6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3" s="5" t="str">
        <f>IFERROR(OLDBD[[#This Row],[Llegada Almacén de Ingreso]]-OLDBD[[#This Row],[Salida Packing]],"")</f>
        <v/>
      </c>
      <c r="AY603" s="4" t="str" cm="1">
        <f t="array" ref="AY6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3" s="43" t="s">
        <v>173</v>
      </c>
      <c r="BB603" s="47" t="str">
        <f>IFERROR(IF(MARÍTIMOS[[#This Row],[Estatus]]="","",MARÍTIMOS[[#This Row],[Estatus]]),"")</f>
        <v/>
      </c>
      <c r="BC603" s="43"/>
      <c r="BD603" s="46" t="str">
        <f>IFERROR(OLDBD[[#This Row],[Salida de almacén de retiro]]-OLDBD[[#This Row],[Ingreso Almacén de retiro]],"")</f>
        <v/>
      </c>
      <c r="BE603" s="46" t="str">
        <f>IFERROR(OLDBD[[#This Row],[Fin de Carga]]-OLDBD[[#This Row],[Inicio de Carga]],"")</f>
        <v/>
      </c>
    </row>
    <row r="604" spans="1:57" customFormat="1" hidden="1">
      <c r="A604" s="1"/>
      <c r="B604" s="1" t="str">
        <f>IFERROR(IF(MARÍTIMOS[[#This Row],[PP]]="","",MARÍTIMOS[[#This Row],[PP]]),"")</f>
        <v/>
      </c>
      <c r="C604" s="1" t="str">
        <f>IFERROR(IF(MARÍTIMOS[[#This Row],[Sede]]="","",MARÍTIMOS[[#This Row],[Sede]]),"")</f>
        <v/>
      </c>
      <c r="D604" s="1" t="str">
        <f>IFERROR(IF(MARÍTIMOS[[#This Row],[Instruction]]="","",MARÍTIMOS[[#This Row],[Instruction]]),"")</f>
        <v/>
      </c>
      <c r="E604" s="1"/>
      <c r="F604" s="2" t="str">
        <f>IFERROR(IF(MARÍTIMOS[[#This Row],[Transportista]]="","",MARÍTIMOS[[#This Row],[Transportista]]),"")</f>
        <v/>
      </c>
      <c r="G604" s="2" t="str">
        <f>IFERROR(IF(MARÍTIMOS[[#This Row],[Tercero]]="","",MARÍTIMOS[[#This Row],[Tercero]]),"")</f>
        <v/>
      </c>
      <c r="H604" s="2" t="str">
        <f>IFERROR(IF(MARÍTIMOS[[#This Row],[Razón Social]]="","",MARÍTIMOS[[#This Row],[Razón Social]]),"")</f>
        <v/>
      </c>
      <c r="I604" s="2" t="str">
        <f>IFERROR(IF(MARÍTIMOS[[#This Row],[RUC]]="","",MARÍTIMOS[[#This Row],[RUC]]),"")</f>
        <v/>
      </c>
      <c r="J604" s="2" t="str">
        <f>IFERROR(IF(MARÍTIMOS[[#This Row],[Placa Tracto]]="","",MARÍTIMOS[[#This Row],[Placa Tracto]]),"")</f>
        <v/>
      </c>
      <c r="K604" s="2" t="str">
        <f>IFERROR(IF(MARÍTIMOS[[#This Row],[Placa Carreta]]="","",MARÍTIMOS[[#This Row],[Placa Carreta]]),"")</f>
        <v/>
      </c>
      <c r="L604" s="44" t="str">
        <f>IFERROR(IF(MARÍTIMOS[[#This Row],[Conductor]]="","",MARÍTIMOS[[#This Row],[Conductor]]),"")</f>
        <v/>
      </c>
      <c r="M604" s="2" t="str">
        <f>IFERROR(IF(MARÍTIMOS[[#This Row],[Licencia]]="","",MARÍTIMOS[[#This Row],[Licencia]]),"")</f>
        <v/>
      </c>
      <c r="N604" s="2" t="str">
        <f>IFERROR(IF(MARÍTIMOS[[#This Row],[Número de Contacto]]="","",MARÍTIMOS[[#This Row],[Número de Contacto]]),"")</f>
        <v/>
      </c>
      <c r="O604" s="10" t="str">
        <f>IFERROR(IF(MARÍTIMOS[[#This Row],[Booking|AWB|CRT]]="","",MARÍTIMOS[[#This Row],[Booking|AWB|CRT]]),"")</f>
        <v/>
      </c>
      <c r="P604" s="2" t="str">
        <f>IFERROR(IF(MARÍTIMOS[[#This Row],[Contenedor]]="","",MARÍTIMOS[[#This Row],[Contenedor]]),"")</f>
        <v/>
      </c>
      <c r="Q604" s="2" t="str">
        <f>IFERROR(IF(MARÍTIMOS[[#This Row],[Puerto de Retiro]]="","",MARÍTIMOS[[#This Row],[Puerto de Retiro]]),"")</f>
        <v/>
      </c>
      <c r="R604" s="2" t="str">
        <f>IFERROR(IF(MARÍTIMOS[[#This Row],[Almacén de Retiro]]="","",MARÍTIMOS[[#This Row],[Almacén de Retiro]]),"")</f>
        <v/>
      </c>
      <c r="S604" s="11" t="str">
        <f>IFERROR(IF(MARÍTIMOS[[#This Row],[Etapa Retiro - Cita]]="","",MARÍTIMOS[[#This Row],[Etapa Retiro - Cita]]),"")</f>
        <v/>
      </c>
      <c r="T604" s="11" t="str">
        <f>IFERROR(IF(MARÍTIMOS[[#This Row],[Etapa Retiro - Llegada]]="","",MARÍTIMOS[[#This Row],[Etapa Retiro - Llegada]]),"")</f>
        <v/>
      </c>
      <c r="U604" s="11" t="str">
        <f>IFERROR(IF(MARÍTIMOS[[#This Row],[Etapa Retiro - Ingreso]]="","",MARÍTIMOS[[#This Row],[Etapa Retiro - Ingreso]]),"")</f>
        <v/>
      </c>
      <c r="V604" s="11" t="str">
        <f>IFERROR(IF(MARÍTIMOS[[#This Row],[Etapa Retiro - Atención]]="","",MARÍTIMOS[[#This Row],[Etapa Retiro - Atención]]),"")</f>
        <v/>
      </c>
      <c r="W604" s="11" t="str">
        <f>IFERROR(IF(MARÍTIMOS[[#This Row],[Etapa Retiro - Atención]]="","",MARÍTIMOS[[#This Row],[Etapa Retiro - Atención]]),"")</f>
        <v/>
      </c>
      <c r="X604" s="11" t="str">
        <f>IFERROR(IF(MARÍTIMOS[[#This Row],[Etapa Retiro - Inicio de Ruta]]="","",MARÍTIMOS[[#This Row],[Etapa Retiro - Inicio de Ruta]]),"")</f>
        <v/>
      </c>
      <c r="Y604" s="11" t="str">
        <f>IFERROR(IF(MARÍTIMOS[[#This Row],[Hora de Posicionamiento]]="","",MARÍTIMOS[[#This Row],[Fecha de Carga]]+MARÍTIMOS[[#This Row],[Hora de Posicionamiento]]),"")</f>
        <v/>
      </c>
      <c r="Z604" s="11" t="str">
        <f>IFERROR(IF(MARÍTIMOS[[#This Row],[Etapa Despacho - Llegada]]="","",MARÍTIMOS[[#This Row],[Etapa Despacho - Llegada]]),"")</f>
        <v/>
      </c>
      <c r="AA604" s="11" t="str">
        <f>IFERROR(IF(MARÍTIMOS[[#This Row],[Etapa Despacho - Registro]]="","",MARÍTIMOS[[#This Row],[Etapa Despacho - Registro]]),"")</f>
        <v/>
      </c>
      <c r="AB604" s="11" t="str">
        <f>IFERROR(IF(MARÍTIMOS[[#This Row],[Inspección Externa]]="","",MARÍTIMOS[[#This Row],[Inspección Externa]]),"")</f>
        <v/>
      </c>
      <c r="AC604" s="11" t="str">
        <f>IFERROR(IF(MARÍTIMOS[[#This Row],[Etapa Despacho - Inicio de Carga]]="","",MARÍTIMOS[[#This Row],[Etapa Despacho - Inicio de Carga]]),"")</f>
        <v/>
      </c>
      <c r="AD604" s="11" t="str">
        <f>IFERROR(IF(MARÍTIMOS[[#This Row],[Etapa Despacho - Mitad de Carga]]="","",MARÍTIMOS[[#This Row],[Etapa Despacho - Mitad de Carga]]),"")</f>
        <v/>
      </c>
      <c r="AE604" s="11" t="str">
        <f>IFERROR(IF(MARÍTIMOS[[#This Row],[Etapa Despacho - Fin de Carga]]="","",MARÍTIMOS[[#This Row],[Etapa Despacho - Fin de Carga]]),"")</f>
        <v/>
      </c>
      <c r="AF604" s="2" t="str">
        <f>IFERROR(IF(MARÍTIMOS[[#This Row],[Puerto de Embarque]]="","",MARÍTIMOS[[#This Row],[Puerto de Embarque]]),"")</f>
        <v/>
      </c>
      <c r="AG604" s="2" t="str">
        <f>IFERROR(IF(MARÍTIMOS[[#This Row],[Almacén de Ingreso]]="","",MARÍTIMOS[[#This Row],[Almacén de Ingreso]]),"")</f>
        <v/>
      </c>
      <c r="AH604" s="11" t="str">
        <f>IFERROR(IF(MARÍTIMOS[[#This Row],[Etapa Ingreso - Cita]]="","",MARÍTIMOS[[#This Row],[Etapa Ingreso - Cita]]),"")</f>
        <v/>
      </c>
      <c r="AI604" s="11" t="str">
        <f>IFERROR(IF(MARÍTIMOS[[#This Row],[Etapa Ingreso - Llegada]]="","",MARÍTIMOS[[#This Row],[Etapa Ingreso - Llegada]]),"")</f>
        <v/>
      </c>
      <c r="AJ604" s="11" t="str">
        <f>IFERROR(IF(MARÍTIMOS[[#This Row],[Etapa Ingreso - Ingeso]]="","",MARÍTIMOS[[#This Row],[Etapa Ingreso - Ingeso]]),"")</f>
        <v/>
      </c>
      <c r="AK604" s="11" t="str">
        <f>IFERROR(IF(MARÍTIMOS[[#This Row],[Etapa Ingreso - Atención]]="","",MARÍTIMOS[[#This Row],[Etapa Ingreso - Atención]]),"")</f>
        <v/>
      </c>
      <c r="AL604" s="11" t="str">
        <f>IFERROR(IF(MARÍTIMOS[[#This Row],[Etapa Ingreso - Salida]]="","",MARÍTIMOS[[#This Row],[Etapa Ingreso - Salida]]),"")</f>
        <v/>
      </c>
      <c r="AM604" s="2" t="str">
        <f>IFERROR(IF(MARÍTIMOS[[#This Row],[FCL]]="","",MARÍTIMOS[[#This Row],[FCL]]),"")</f>
        <v/>
      </c>
      <c r="AN6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4" s="4" t="str" cm="1">
        <f t="array" ref="AO6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4" s="5" t="str">
        <f>IFERROR(OLDBD[[#This Row],[Llegada a packing]]-OLDBD[[#This Row],[Inicio de Ruta]],"")</f>
        <v/>
      </c>
      <c r="AQ604" s="6" t="str">
        <f>IFERROR(OLDBD[[#This Row],[Inicio de Ruta]]-OLDBD[[#This Row],[Salida de almacén de retiro]],"")</f>
        <v/>
      </c>
      <c r="AR6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4" s="8" t="str" cm="1">
        <f t="array" ref="AS6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4" s="9" t="str">
        <f>IFERROR(OLDBD[[#This Row],[Ingreso Packing]]-OLDBD[[#This Row],[Registro en Packing]],"")</f>
        <v/>
      </c>
      <c r="AV604" s="9" t="str">
        <f>IFERROR(OLDBD[[#This Row],[Ingreso Packing]]-OLDBD[[#This Row],[Llegada a packing]],"")</f>
        <v/>
      </c>
      <c r="AW6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4" s="5" t="str">
        <f>IFERROR(OLDBD[[#This Row],[Llegada Almacén de Ingreso]]-OLDBD[[#This Row],[Salida Packing]],"")</f>
        <v/>
      </c>
      <c r="AY604" s="4" t="str" cm="1">
        <f t="array" ref="AY6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4" s="43" t="s">
        <v>173</v>
      </c>
      <c r="BB604" s="47" t="str">
        <f>IFERROR(IF(MARÍTIMOS[[#This Row],[Estatus]]="","",MARÍTIMOS[[#This Row],[Estatus]]),"")</f>
        <v/>
      </c>
      <c r="BC604" s="43"/>
      <c r="BD604" s="46" t="str">
        <f>IFERROR(OLDBD[[#This Row],[Salida de almacén de retiro]]-OLDBD[[#This Row],[Ingreso Almacén de retiro]],"")</f>
        <v/>
      </c>
      <c r="BE604" s="46" t="str">
        <f>IFERROR(OLDBD[[#This Row],[Fin de Carga]]-OLDBD[[#This Row],[Inicio de Carga]],"")</f>
        <v/>
      </c>
    </row>
    <row r="605" spans="1:57" customFormat="1" hidden="1">
      <c r="A605" s="1"/>
      <c r="B605" s="1" t="str">
        <f>IFERROR(IF(MARÍTIMOS[[#This Row],[PP]]="","",MARÍTIMOS[[#This Row],[PP]]),"")</f>
        <v/>
      </c>
      <c r="C605" s="1" t="str">
        <f>IFERROR(IF(MARÍTIMOS[[#This Row],[Sede]]="","",MARÍTIMOS[[#This Row],[Sede]]),"")</f>
        <v/>
      </c>
      <c r="D605" s="1" t="str">
        <f>IFERROR(IF(MARÍTIMOS[[#This Row],[Instruction]]="","",MARÍTIMOS[[#This Row],[Instruction]]),"")</f>
        <v/>
      </c>
      <c r="E605" s="1"/>
      <c r="F605" s="2" t="str">
        <f>IFERROR(IF(MARÍTIMOS[[#This Row],[Transportista]]="","",MARÍTIMOS[[#This Row],[Transportista]]),"")</f>
        <v/>
      </c>
      <c r="G605" s="2" t="str">
        <f>IFERROR(IF(MARÍTIMOS[[#This Row],[Tercero]]="","",MARÍTIMOS[[#This Row],[Tercero]]),"")</f>
        <v/>
      </c>
      <c r="H605" s="2" t="str">
        <f>IFERROR(IF(MARÍTIMOS[[#This Row],[Razón Social]]="","",MARÍTIMOS[[#This Row],[Razón Social]]),"")</f>
        <v/>
      </c>
      <c r="I605" s="2" t="str">
        <f>IFERROR(IF(MARÍTIMOS[[#This Row],[RUC]]="","",MARÍTIMOS[[#This Row],[RUC]]),"")</f>
        <v/>
      </c>
      <c r="J605" s="2" t="str">
        <f>IFERROR(IF(MARÍTIMOS[[#This Row],[Placa Tracto]]="","",MARÍTIMOS[[#This Row],[Placa Tracto]]),"")</f>
        <v/>
      </c>
      <c r="K605" s="2" t="str">
        <f>IFERROR(IF(MARÍTIMOS[[#This Row],[Placa Carreta]]="","",MARÍTIMOS[[#This Row],[Placa Carreta]]),"")</f>
        <v/>
      </c>
      <c r="L605" s="44" t="str">
        <f>IFERROR(IF(MARÍTIMOS[[#This Row],[Conductor]]="","",MARÍTIMOS[[#This Row],[Conductor]]),"")</f>
        <v/>
      </c>
      <c r="M605" s="2" t="str">
        <f>IFERROR(IF(MARÍTIMOS[[#This Row],[Licencia]]="","",MARÍTIMOS[[#This Row],[Licencia]]),"")</f>
        <v/>
      </c>
      <c r="N605" s="2" t="str">
        <f>IFERROR(IF(MARÍTIMOS[[#This Row],[Número de Contacto]]="","",MARÍTIMOS[[#This Row],[Número de Contacto]]),"")</f>
        <v/>
      </c>
      <c r="O605" s="10" t="str">
        <f>IFERROR(IF(MARÍTIMOS[[#This Row],[Booking|AWB|CRT]]="","",MARÍTIMOS[[#This Row],[Booking|AWB|CRT]]),"")</f>
        <v/>
      </c>
      <c r="P605" s="2" t="str">
        <f>IFERROR(IF(MARÍTIMOS[[#This Row],[Contenedor]]="","",MARÍTIMOS[[#This Row],[Contenedor]]),"")</f>
        <v/>
      </c>
      <c r="Q605" s="2" t="str">
        <f>IFERROR(IF(MARÍTIMOS[[#This Row],[Puerto de Retiro]]="","",MARÍTIMOS[[#This Row],[Puerto de Retiro]]),"")</f>
        <v/>
      </c>
      <c r="R605" s="2" t="str">
        <f>IFERROR(IF(MARÍTIMOS[[#This Row],[Almacén de Retiro]]="","",MARÍTIMOS[[#This Row],[Almacén de Retiro]]),"")</f>
        <v/>
      </c>
      <c r="S605" s="11" t="str">
        <f>IFERROR(IF(MARÍTIMOS[[#This Row],[Etapa Retiro - Cita]]="","",MARÍTIMOS[[#This Row],[Etapa Retiro - Cita]]),"")</f>
        <v/>
      </c>
      <c r="T605" s="11" t="str">
        <f>IFERROR(IF(MARÍTIMOS[[#This Row],[Etapa Retiro - Llegada]]="","",MARÍTIMOS[[#This Row],[Etapa Retiro - Llegada]]),"")</f>
        <v/>
      </c>
      <c r="U605" s="11" t="str">
        <f>IFERROR(IF(MARÍTIMOS[[#This Row],[Etapa Retiro - Ingreso]]="","",MARÍTIMOS[[#This Row],[Etapa Retiro - Ingreso]]),"")</f>
        <v/>
      </c>
      <c r="V605" s="11" t="str">
        <f>IFERROR(IF(MARÍTIMOS[[#This Row],[Etapa Retiro - Atención]]="","",MARÍTIMOS[[#This Row],[Etapa Retiro - Atención]]),"")</f>
        <v/>
      </c>
      <c r="W605" s="11" t="str">
        <f>IFERROR(IF(MARÍTIMOS[[#This Row],[Etapa Retiro - Atención]]="","",MARÍTIMOS[[#This Row],[Etapa Retiro - Atención]]),"")</f>
        <v/>
      </c>
      <c r="X605" s="11" t="str">
        <f>IFERROR(IF(MARÍTIMOS[[#This Row],[Etapa Retiro - Inicio de Ruta]]="","",MARÍTIMOS[[#This Row],[Etapa Retiro - Inicio de Ruta]]),"")</f>
        <v/>
      </c>
      <c r="Y605" s="11" t="str">
        <f>IFERROR(IF(MARÍTIMOS[[#This Row],[Hora de Posicionamiento]]="","",MARÍTIMOS[[#This Row],[Fecha de Carga]]+MARÍTIMOS[[#This Row],[Hora de Posicionamiento]]),"")</f>
        <v/>
      </c>
      <c r="Z605" s="11" t="str">
        <f>IFERROR(IF(MARÍTIMOS[[#This Row],[Etapa Despacho - Llegada]]="","",MARÍTIMOS[[#This Row],[Etapa Despacho - Llegada]]),"")</f>
        <v/>
      </c>
      <c r="AA605" s="11" t="str">
        <f>IFERROR(IF(MARÍTIMOS[[#This Row],[Etapa Despacho - Registro]]="","",MARÍTIMOS[[#This Row],[Etapa Despacho - Registro]]),"")</f>
        <v/>
      </c>
      <c r="AB605" s="11" t="str">
        <f>IFERROR(IF(MARÍTIMOS[[#This Row],[Inspección Externa]]="","",MARÍTIMOS[[#This Row],[Inspección Externa]]),"")</f>
        <v/>
      </c>
      <c r="AC605" s="11" t="str">
        <f>IFERROR(IF(MARÍTIMOS[[#This Row],[Etapa Despacho - Inicio de Carga]]="","",MARÍTIMOS[[#This Row],[Etapa Despacho - Inicio de Carga]]),"")</f>
        <v/>
      </c>
      <c r="AD605" s="11" t="str">
        <f>IFERROR(IF(MARÍTIMOS[[#This Row],[Etapa Despacho - Mitad de Carga]]="","",MARÍTIMOS[[#This Row],[Etapa Despacho - Mitad de Carga]]),"")</f>
        <v/>
      </c>
      <c r="AE605" s="11" t="str">
        <f>IFERROR(IF(MARÍTIMOS[[#This Row],[Etapa Despacho - Fin de Carga]]="","",MARÍTIMOS[[#This Row],[Etapa Despacho - Fin de Carga]]),"")</f>
        <v/>
      </c>
      <c r="AF605" s="2" t="str">
        <f>IFERROR(IF(MARÍTIMOS[[#This Row],[Puerto de Embarque]]="","",MARÍTIMOS[[#This Row],[Puerto de Embarque]]),"")</f>
        <v/>
      </c>
      <c r="AG605" s="2" t="str">
        <f>IFERROR(IF(MARÍTIMOS[[#This Row],[Almacén de Ingreso]]="","",MARÍTIMOS[[#This Row],[Almacén de Ingreso]]),"")</f>
        <v/>
      </c>
      <c r="AH605" s="11" t="str">
        <f>IFERROR(IF(MARÍTIMOS[[#This Row],[Etapa Ingreso - Cita]]="","",MARÍTIMOS[[#This Row],[Etapa Ingreso - Cita]]),"")</f>
        <v/>
      </c>
      <c r="AI605" s="11" t="str">
        <f>IFERROR(IF(MARÍTIMOS[[#This Row],[Etapa Ingreso - Llegada]]="","",MARÍTIMOS[[#This Row],[Etapa Ingreso - Llegada]]),"")</f>
        <v/>
      </c>
      <c r="AJ605" s="11" t="str">
        <f>IFERROR(IF(MARÍTIMOS[[#This Row],[Etapa Ingreso - Ingeso]]="","",MARÍTIMOS[[#This Row],[Etapa Ingreso - Ingeso]]),"")</f>
        <v/>
      </c>
      <c r="AK605" s="11" t="str">
        <f>IFERROR(IF(MARÍTIMOS[[#This Row],[Etapa Ingreso - Atención]]="","",MARÍTIMOS[[#This Row],[Etapa Ingreso - Atención]]),"")</f>
        <v/>
      </c>
      <c r="AL605" s="11" t="str">
        <f>IFERROR(IF(MARÍTIMOS[[#This Row],[Etapa Ingreso - Salida]]="","",MARÍTIMOS[[#This Row],[Etapa Ingreso - Salida]]),"")</f>
        <v/>
      </c>
      <c r="AM605" s="2" t="str">
        <f>IFERROR(IF(MARÍTIMOS[[#This Row],[FCL]]="","",MARÍTIMOS[[#This Row],[FCL]]),"")</f>
        <v/>
      </c>
      <c r="AN6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5" s="4" t="str" cm="1">
        <f t="array" ref="AO6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5" s="5" t="str">
        <f>IFERROR(OLDBD[[#This Row],[Llegada a packing]]-OLDBD[[#This Row],[Inicio de Ruta]],"")</f>
        <v/>
      </c>
      <c r="AQ605" s="6" t="str">
        <f>IFERROR(OLDBD[[#This Row],[Inicio de Ruta]]-OLDBD[[#This Row],[Salida de almacén de retiro]],"")</f>
        <v/>
      </c>
      <c r="AR6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5" s="8" t="str" cm="1">
        <f t="array" ref="AS6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5" s="9" t="str">
        <f>IFERROR(OLDBD[[#This Row],[Ingreso Packing]]-OLDBD[[#This Row],[Registro en Packing]],"")</f>
        <v/>
      </c>
      <c r="AV605" s="9" t="str">
        <f>IFERROR(OLDBD[[#This Row],[Ingreso Packing]]-OLDBD[[#This Row],[Llegada a packing]],"")</f>
        <v/>
      </c>
      <c r="AW6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5" s="5" t="str">
        <f>IFERROR(OLDBD[[#This Row],[Llegada Almacén de Ingreso]]-OLDBD[[#This Row],[Salida Packing]],"")</f>
        <v/>
      </c>
      <c r="AY605" s="4" t="str" cm="1">
        <f t="array" ref="AY6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5" s="43" t="s">
        <v>173</v>
      </c>
      <c r="BB605" s="47" t="str">
        <f>IFERROR(IF(MARÍTIMOS[[#This Row],[Estatus]]="","",MARÍTIMOS[[#This Row],[Estatus]]),"")</f>
        <v/>
      </c>
      <c r="BC605" s="43"/>
      <c r="BD605" s="46" t="str">
        <f>IFERROR(OLDBD[[#This Row],[Salida de almacén de retiro]]-OLDBD[[#This Row],[Ingreso Almacén de retiro]],"")</f>
        <v/>
      </c>
      <c r="BE605" s="46" t="str">
        <f>IFERROR(OLDBD[[#This Row],[Fin de Carga]]-OLDBD[[#This Row],[Inicio de Carga]],"")</f>
        <v/>
      </c>
    </row>
    <row r="606" spans="1:57" customFormat="1" hidden="1">
      <c r="A606" s="1"/>
      <c r="B606" s="1" t="str">
        <f>IFERROR(IF(MARÍTIMOS[[#This Row],[PP]]="","",MARÍTIMOS[[#This Row],[PP]]),"")</f>
        <v/>
      </c>
      <c r="C606" s="1" t="str">
        <f>IFERROR(IF(MARÍTIMOS[[#This Row],[Sede]]="","",MARÍTIMOS[[#This Row],[Sede]]),"")</f>
        <v/>
      </c>
      <c r="D606" s="1" t="str">
        <f>IFERROR(IF(MARÍTIMOS[[#This Row],[Instruction]]="","",MARÍTIMOS[[#This Row],[Instruction]]),"")</f>
        <v/>
      </c>
      <c r="E606" s="1"/>
      <c r="F606" s="2" t="str">
        <f>IFERROR(IF(MARÍTIMOS[[#This Row],[Transportista]]="","",MARÍTIMOS[[#This Row],[Transportista]]),"")</f>
        <v/>
      </c>
      <c r="G606" s="2" t="str">
        <f>IFERROR(IF(MARÍTIMOS[[#This Row],[Tercero]]="","",MARÍTIMOS[[#This Row],[Tercero]]),"")</f>
        <v/>
      </c>
      <c r="H606" s="2" t="str">
        <f>IFERROR(IF(MARÍTIMOS[[#This Row],[Razón Social]]="","",MARÍTIMOS[[#This Row],[Razón Social]]),"")</f>
        <v/>
      </c>
      <c r="I606" s="2" t="str">
        <f>IFERROR(IF(MARÍTIMOS[[#This Row],[RUC]]="","",MARÍTIMOS[[#This Row],[RUC]]),"")</f>
        <v/>
      </c>
      <c r="J606" s="2" t="str">
        <f>IFERROR(IF(MARÍTIMOS[[#This Row],[Placa Tracto]]="","",MARÍTIMOS[[#This Row],[Placa Tracto]]),"")</f>
        <v/>
      </c>
      <c r="K606" s="2" t="str">
        <f>IFERROR(IF(MARÍTIMOS[[#This Row],[Placa Carreta]]="","",MARÍTIMOS[[#This Row],[Placa Carreta]]),"")</f>
        <v/>
      </c>
      <c r="L606" s="44" t="str">
        <f>IFERROR(IF(MARÍTIMOS[[#This Row],[Conductor]]="","",MARÍTIMOS[[#This Row],[Conductor]]),"")</f>
        <v/>
      </c>
      <c r="M606" s="2" t="str">
        <f>IFERROR(IF(MARÍTIMOS[[#This Row],[Licencia]]="","",MARÍTIMOS[[#This Row],[Licencia]]),"")</f>
        <v/>
      </c>
      <c r="N606" s="2" t="str">
        <f>IFERROR(IF(MARÍTIMOS[[#This Row],[Número de Contacto]]="","",MARÍTIMOS[[#This Row],[Número de Contacto]]),"")</f>
        <v/>
      </c>
      <c r="O606" s="10" t="str">
        <f>IFERROR(IF(MARÍTIMOS[[#This Row],[Booking|AWB|CRT]]="","",MARÍTIMOS[[#This Row],[Booking|AWB|CRT]]),"")</f>
        <v/>
      </c>
      <c r="P606" s="2" t="str">
        <f>IFERROR(IF(MARÍTIMOS[[#This Row],[Contenedor]]="","",MARÍTIMOS[[#This Row],[Contenedor]]),"")</f>
        <v/>
      </c>
      <c r="Q606" s="2" t="str">
        <f>IFERROR(IF(MARÍTIMOS[[#This Row],[Puerto de Retiro]]="","",MARÍTIMOS[[#This Row],[Puerto de Retiro]]),"")</f>
        <v/>
      </c>
      <c r="R606" s="2" t="str">
        <f>IFERROR(IF(MARÍTIMOS[[#This Row],[Almacén de Retiro]]="","",MARÍTIMOS[[#This Row],[Almacén de Retiro]]),"")</f>
        <v/>
      </c>
      <c r="S606" s="11" t="str">
        <f>IFERROR(IF(MARÍTIMOS[[#This Row],[Etapa Retiro - Cita]]="","",MARÍTIMOS[[#This Row],[Etapa Retiro - Cita]]),"")</f>
        <v/>
      </c>
      <c r="T606" s="11" t="str">
        <f>IFERROR(IF(MARÍTIMOS[[#This Row],[Etapa Retiro - Llegada]]="","",MARÍTIMOS[[#This Row],[Etapa Retiro - Llegada]]),"")</f>
        <v/>
      </c>
      <c r="U606" s="11" t="str">
        <f>IFERROR(IF(MARÍTIMOS[[#This Row],[Etapa Retiro - Ingreso]]="","",MARÍTIMOS[[#This Row],[Etapa Retiro - Ingreso]]),"")</f>
        <v/>
      </c>
      <c r="V606" s="11" t="str">
        <f>IFERROR(IF(MARÍTIMOS[[#This Row],[Etapa Retiro - Atención]]="","",MARÍTIMOS[[#This Row],[Etapa Retiro - Atención]]),"")</f>
        <v/>
      </c>
      <c r="W606" s="11" t="str">
        <f>IFERROR(IF(MARÍTIMOS[[#This Row],[Etapa Retiro - Atención]]="","",MARÍTIMOS[[#This Row],[Etapa Retiro - Atención]]),"")</f>
        <v/>
      </c>
      <c r="X606" s="11" t="str">
        <f>IFERROR(IF(MARÍTIMOS[[#This Row],[Etapa Retiro - Inicio de Ruta]]="","",MARÍTIMOS[[#This Row],[Etapa Retiro - Inicio de Ruta]]),"")</f>
        <v/>
      </c>
      <c r="Y606" s="11" t="str">
        <f>IFERROR(IF(MARÍTIMOS[[#This Row],[Hora de Posicionamiento]]="","",MARÍTIMOS[[#This Row],[Fecha de Carga]]+MARÍTIMOS[[#This Row],[Hora de Posicionamiento]]),"")</f>
        <v/>
      </c>
      <c r="Z606" s="11" t="str">
        <f>IFERROR(IF(MARÍTIMOS[[#This Row],[Etapa Despacho - Llegada]]="","",MARÍTIMOS[[#This Row],[Etapa Despacho - Llegada]]),"")</f>
        <v/>
      </c>
      <c r="AA606" s="11" t="str">
        <f>IFERROR(IF(MARÍTIMOS[[#This Row],[Etapa Despacho - Registro]]="","",MARÍTIMOS[[#This Row],[Etapa Despacho - Registro]]),"")</f>
        <v/>
      </c>
      <c r="AB606" s="11" t="str">
        <f>IFERROR(IF(MARÍTIMOS[[#This Row],[Inspección Externa]]="","",MARÍTIMOS[[#This Row],[Inspección Externa]]),"")</f>
        <v/>
      </c>
      <c r="AC606" s="11" t="str">
        <f>IFERROR(IF(MARÍTIMOS[[#This Row],[Etapa Despacho - Inicio de Carga]]="","",MARÍTIMOS[[#This Row],[Etapa Despacho - Inicio de Carga]]),"")</f>
        <v/>
      </c>
      <c r="AD606" s="11" t="str">
        <f>IFERROR(IF(MARÍTIMOS[[#This Row],[Etapa Despacho - Mitad de Carga]]="","",MARÍTIMOS[[#This Row],[Etapa Despacho - Mitad de Carga]]),"")</f>
        <v/>
      </c>
      <c r="AE606" s="11" t="str">
        <f>IFERROR(IF(MARÍTIMOS[[#This Row],[Etapa Despacho - Fin de Carga]]="","",MARÍTIMOS[[#This Row],[Etapa Despacho - Fin de Carga]]),"")</f>
        <v/>
      </c>
      <c r="AF606" s="2" t="str">
        <f>IFERROR(IF(MARÍTIMOS[[#This Row],[Puerto de Embarque]]="","",MARÍTIMOS[[#This Row],[Puerto de Embarque]]),"")</f>
        <v/>
      </c>
      <c r="AG606" s="2" t="str">
        <f>IFERROR(IF(MARÍTIMOS[[#This Row],[Almacén de Ingreso]]="","",MARÍTIMOS[[#This Row],[Almacén de Ingreso]]),"")</f>
        <v/>
      </c>
      <c r="AH606" s="11" t="str">
        <f>IFERROR(IF(MARÍTIMOS[[#This Row],[Etapa Ingreso - Cita]]="","",MARÍTIMOS[[#This Row],[Etapa Ingreso - Cita]]),"")</f>
        <v/>
      </c>
      <c r="AI606" s="11" t="str">
        <f>IFERROR(IF(MARÍTIMOS[[#This Row],[Etapa Ingreso - Llegada]]="","",MARÍTIMOS[[#This Row],[Etapa Ingreso - Llegada]]),"")</f>
        <v/>
      </c>
      <c r="AJ606" s="11" t="str">
        <f>IFERROR(IF(MARÍTIMOS[[#This Row],[Etapa Ingreso - Ingeso]]="","",MARÍTIMOS[[#This Row],[Etapa Ingreso - Ingeso]]),"")</f>
        <v/>
      </c>
      <c r="AK606" s="11" t="str">
        <f>IFERROR(IF(MARÍTIMOS[[#This Row],[Etapa Ingreso - Atención]]="","",MARÍTIMOS[[#This Row],[Etapa Ingreso - Atención]]),"")</f>
        <v/>
      </c>
      <c r="AL606" s="11" t="str">
        <f>IFERROR(IF(MARÍTIMOS[[#This Row],[Etapa Ingreso - Salida]]="","",MARÍTIMOS[[#This Row],[Etapa Ingreso - Salida]]),"")</f>
        <v/>
      </c>
      <c r="AM606" s="2" t="str">
        <f>IFERROR(IF(MARÍTIMOS[[#This Row],[FCL]]="","",MARÍTIMOS[[#This Row],[FCL]]),"")</f>
        <v/>
      </c>
      <c r="AN6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6" s="4" t="str" cm="1">
        <f t="array" ref="AO6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6" s="5" t="str">
        <f>IFERROR(OLDBD[[#This Row],[Llegada a packing]]-OLDBD[[#This Row],[Inicio de Ruta]],"")</f>
        <v/>
      </c>
      <c r="AQ606" s="6" t="str">
        <f>IFERROR(OLDBD[[#This Row],[Inicio de Ruta]]-OLDBD[[#This Row],[Salida de almacén de retiro]],"")</f>
        <v/>
      </c>
      <c r="AR6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6" s="8" t="str" cm="1">
        <f t="array" ref="AS6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6" s="9" t="str">
        <f>IFERROR(OLDBD[[#This Row],[Ingreso Packing]]-OLDBD[[#This Row],[Registro en Packing]],"")</f>
        <v/>
      </c>
      <c r="AV606" s="9" t="str">
        <f>IFERROR(OLDBD[[#This Row],[Ingreso Packing]]-OLDBD[[#This Row],[Llegada a packing]],"")</f>
        <v/>
      </c>
      <c r="AW6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6" s="5" t="str">
        <f>IFERROR(OLDBD[[#This Row],[Llegada Almacén de Ingreso]]-OLDBD[[#This Row],[Salida Packing]],"")</f>
        <v/>
      </c>
      <c r="AY606" s="4" t="str" cm="1">
        <f t="array" ref="AY6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6" s="43" t="s">
        <v>173</v>
      </c>
      <c r="BB606" s="47" t="str">
        <f>IFERROR(IF(MARÍTIMOS[[#This Row],[Estatus]]="","",MARÍTIMOS[[#This Row],[Estatus]]),"")</f>
        <v/>
      </c>
      <c r="BC606" s="43"/>
      <c r="BD606" s="46" t="str">
        <f>IFERROR(OLDBD[[#This Row],[Salida de almacén de retiro]]-OLDBD[[#This Row],[Ingreso Almacén de retiro]],"")</f>
        <v/>
      </c>
      <c r="BE606" s="46" t="str">
        <f>IFERROR(OLDBD[[#This Row],[Fin de Carga]]-OLDBD[[#This Row],[Inicio de Carga]],"")</f>
        <v/>
      </c>
    </row>
    <row r="607" spans="1:57" customFormat="1" hidden="1">
      <c r="A607" s="1"/>
      <c r="B607" s="1" t="str">
        <f>IFERROR(IF(MARÍTIMOS[[#This Row],[PP]]="","",MARÍTIMOS[[#This Row],[PP]]),"")</f>
        <v/>
      </c>
      <c r="C607" s="1" t="str">
        <f>IFERROR(IF(MARÍTIMOS[[#This Row],[Sede]]="","",MARÍTIMOS[[#This Row],[Sede]]),"")</f>
        <v/>
      </c>
      <c r="D607" s="1" t="str">
        <f>IFERROR(IF(MARÍTIMOS[[#This Row],[Instruction]]="","",MARÍTIMOS[[#This Row],[Instruction]]),"")</f>
        <v/>
      </c>
      <c r="E607" s="1"/>
      <c r="F607" s="2" t="str">
        <f>IFERROR(IF(MARÍTIMOS[[#This Row],[Transportista]]="","",MARÍTIMOS[[#This Row],[Transportista]]),"")</f>
        <v/>
      </c>
      <c r="G607" s="2" t="str">
        <f>IFERROR(IF(MARÍTIMOS[[#This Row],[Tercero]]="","",MARÍTIMOS[[#This Row],[Tercero]]),"")</f>
        <v/>
      </c>
      <c r="H607" s="2" t="str">
        <f>IFERROR(IF(MARÍTIMOS[[#This Row],[Razón Social]]="","",MARÍTIMOS[[#This Row],[Razón Social]]),"")</f>
        <v/>
      </c>
      <c r="I607" s="2" t="str">
        <f>IFERROR(IF(MARÍTIMOS[[#This Row],[RUC]]="","",MARÍTIMOS[[#This Row],[RUC]]),"")</f>
        <v/>
      </c>
      <c r="J607" s="2" t="str">
        <f>IFERROR(IF(MARÍTIMOS[[#This Row],[Placa Tracto]]="","",MARÍTIMOS[[#This Row],[Placa Tracto]]),"")</f>
        <v/>
      </c>
      <c r="K607" s="2" t="str">
        <f>IFERROR(IF(MARÍTIMOS[[#This Row],[Placa Carreta]]="","",MARÍTIMOS[[#This Row],[Placa Carreta]]),"")</f>
        <v/>
      </c>
      <c r="L607" s="44" t="str">
        <f>IFERROR(IF(MARÍTIMOS[[#This Row],[Conductor]]="","",MARÍTIMOS[[#This Row],[Conductor]]),"")</f>
        <v/>
      </c>
      <c r="M607" s="2" t="str">
        <f>IFERROR(IF(MARÍTIMOS[[#This Row],[Licencia]]="","",MARÍTIMOS[[#This Row],[Licencia]]),"")</f>
        <v/>
      </c>
      <c r="N607" s="2" t="str">
        <f>IFERROR(IF(MARÍTIMOS[[#This Row],[Número de Contacto]]="","",MARÍTIMOS[[#This Row],[Número de Contacto]]),"")</f>
        <v/>
      </c>
      <c r="O607" s="10" t="str">
        <f>IFERROR(IF(MARÍTIMOS[[#This Row],[Booking|AWB|CRT]]="","",MARÍTIMOS[[#This Row],[Booking|AWB|CRT]]),"")</f>
        <v/>
      </c>
      <c r="P607" s="2" t="str">
        <f>IFERROR(IF(MARÍTIMOS[[#This Row],[Contenedor]]="","",MARÍTIMOS[[#This Row],[Contenedor]]),"")</f>
        <v/>
      </c>
      <c r="Q607" s="2" t="str">
        <f>IFERROR(IF(MARÍTIMOS[[#This Row],[Puerto de Retiro]]="","",MARÍTIMOS[[#This Row],[Puerto de Retiro]]),"")</f>
        <v/>
      </c>
      <c r="R607" s="2" t="str">
        <f>IFERROR(IF(MARÍTIMOS[[#This Row],[Almacén de Retiro]]="","",MARÍTIMOS[[#This Row],[Almacén de Retiro]]),"")</f>
        <v/>
      </c>
      <c r="S607" s="11" t="str">
        <f>IFERROR(IF(MARÍTIMOS[[#This Row],[Etapa Retiro - Cita]]="","",MARÍTIMOS[[#This Row],[Etapa Retiro - Cita]]),"")</f>
        <v/>
      </c>
      <c r="T607" s="11" t="str">
        <f>IFERROR(IF(MARÍTIMOS[[#This Row],[Etapa Retiro - Llegada]]="","",MARÍTIMOS[[#This Row],[Etapa Retiro - Llegada]]),"")</f>
        <v/>
      </c>
      <c r="U607" s="11" t="str">
        <f>IFERROR(IF(MARÍTIMOS[[#This Row],[Etapa Retiro - Ingreso]]="","",MARÍTIMOS[[#This Row],[Etapa Retiro - Ingreso]]),"")</f>
        <v/>
      </c>
      <c r="V607" s="11" t="str">
        <f>IFERROR(IF(MARÍTIMOS[[#This Row],[Etapa Retiro - Atención]]="","",MARÍTIMOS[[#This Row],[Etapa Retiro - Atención]]),"")</f>
        <v/>
      </c>
      <c r="W607" s="11" t="str">
        <f>IFERROR(IF(MARÍTIMOS[[#This Row],[Etapa Retiro - Atención]]="","",MARÍTIMOS[[#This Row],[Etapa Retiro - Atención]]),"")</f>
        <v/>
      </c>
      <c r="X607" s="11" t="str">
        <f>IFERROR(IF(MARÍTIMOS[[#This Row],[Etapa Retiro - Inicio de Ruta]]="","",MARÍTIMOS[[#This Row],[Etapa Retiro - Inicio de Ruta]]),"")</f>
        <v/>
      </c>
      <c r="Y607" s="11" t="str">
        <f>IFERROR(IF(MARÍTIMOS[[#This Row],[Hora de Posicionamiento]]="","",MARÍTIMOS[[#This Row],[Fecha de Carga]]+MARÍTIMOS[[#This Row],[Hora de Posicionamiento]]),"")</f>
        <v/>
      </c>
      <c r="Z607" s="11" t="str">
        <f>IFERROR(IF(MARÍTIMOS[[#This Row],[Etapa Despacho - Llegada]]="","",MARÍTIMOS[[#This Row],[Etapa Despacho - Llegada]]),"")</f>
        <v/>
      </c>
      <c r="AA607" s="11" t="str">
        <f>IFERROR(IF(MARÍTIMOS[[#This Row],[Etapa Despacho - Registro]]="","",MARÍTIMOS[[#This Row],[Etapa Despacho - Registro]]),"")</f>
        <v/>
      </c>
      <c r="AB607" s="11" t="str">
        <f>IFERROR(IF(MARÍTIMOS[[#This Row],[Inspección Externa]]="","",MARÍTIMOS[[#This Row],[Inspección Externa]]),"")</f>
        <v/>
      </c>
      <c r="AC607" s="11" t="str">
        <f>IFERROR(IF(MARÍTIMOS[[#This Row],[Etapa Despacho - Inicio de Carga]]="","",MARÍTIMOS[[#This Row],[Etapa Despacho - Inicio de Carga]]),"")</f>
        <v/>
      </c>
      <c r="AD607" s="11" t="str">
        <f>IFERROR(IF(MARÍTIMOS[[#This Row],[Etapa Despacho - Mitad de Carga]]="","",MARÍTIMOS[[#This Row],[Etapa Despacho - Mitad de Carga]]),"")</f>
        <v/>
      </c>
      <c r="AE607" s="11" t="str">
        <f>IFERROR(IF(MARÍTIMOS[[#This Row],[Etapa Despacho - Fin de Carga]]="","",MARÍTIMOS[[#This Row],[Etapa Despacho - Fin de Carga]]),"")</f>
        <v/>
      </c>
      <c r="AF607" s="2" t="str">
        <f>IFERROR(IF(MARÍTIMOS[[#This Row],[Puerto de Embarque]]="","",MARÍTIMOS[[#This Row],[Puerto de Embarque]]),"")</f>
        <v/>
      </c>
      <c r="AG607" s="2" t="str">
        <f>IFERROR(IF(MARÍTIMOS[[#This Row],[Almacén de Ingreso]]="","",MARÍTIMOS[[#This Row],[Almacén de Ingreso]]),"")</f>
        <v/>
      </c>
      <c r="AH607" s="11" t="str">
        <f>IFERROR(IF(MARÍTIMOS[[#This Row],[Etapa Ingreso - Cita]]="","",MARÍTIMOS[[#This Row],[Etapa Ingreso - Cita]]),"")</f>
        <v/>
      </c>
      <c r="AI607" s="11" t="str">
        <f>IFERROR(IF(MARÍTIMOS[[#This Row],[Etapa Ingreso - Llegada]]="","",MARÍTIMOS[[#This Row],[Etapa Ingreso - Llegada]]),"")</f>
        <v/>
      </c>
      <c r="AJ607" s="11" t="str">
        <f>IFERROR(IF(MARÍTIMOS[[#This Row],[Etapa Ingreso - Ingeso]]="","",MARÍTIMOS[[#This Row],[Etapa Ingreso - Ingeso]]),"")</f>
        <v/>
      </c>
      <c r="AK607" s="11" t="str">
        <f>IFERROR(IF(MARÍTIMOS[[#This Row],[Etapa Ingreso - Atención]]="","",MARÍTIMOS[[#This Row],[Etapa Ingreso - Atención]]),"")</f>
        <v/>
      </c>
      <c r="AL607" s="11" t="str">
        <f>IFERROR(IF(MARÍTIMOS[[#This Row],[Etapa Ingreso - Salida]]="","",MARÍTIMOS[[#This Row],[Etapa Ingreso - Salida]]),"")</f>
        <v/>
      </c>
      <c r="AM607" s="2" t="str">
        <f>IFERROR(IF(MARÍTIMOS[[#This Row],[FCL]]="","",MARÍTIMOS[[#This Row],[FCL]]),"")</f>
        <v/>
      </c>
      <c r="AN6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7" s="4" t="str" cm="1">
        <f t="array" ref="AO6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7" s="5" t="str">
        <f>IFERROR(OLDBD[[#This Row],[Llegada a packing]]-OLDBD[[#This Row],[Inicio de Ruta]],"")</f>
        <v/>
      </c>
      <c r="AQ607" s="6" t="str">
        <f>IFERROR(OLDBD[[#This Row],[Inicio de Ruta]]-OLDBD[[#This Row],[Salida de almacén de retiro]],"")</f>
        <v/>
      </c>
      <c r="AR6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7" s="8" t="str" cm="1">
        <f t="array" ref="AS6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7" s="9" t="str">
        <f>IFERROR(OLDBD[[#This Row],[Ingreso Packing]]-OLDBD[[#This Row],[Registro en Packing]],"")</f>
        <v/>
      </c>
      <c r="AV607" s="9" t="str">
        <f>IFERROR(OLDBD[[#This Row],[Ingreso Packing]]-OLDBD[[#This Row],[Llegada a packing]],"")</f>
        <v/>
      </c>
      <c r="AW6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7" s="5" t="str">
        <f>IFERROR(OLDBD[[#This Row],[Llegada Almacén de Ingreso]]-OLDBD[[#This Row],[Salida Packing]],"")</f>
        <v/>
      </c>
      <c r="AY607" s="4" t="str" cm="1">
        <f t="array" ref="AY6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7" s="43" t="s">
        <v>173</v>
      </c>
      <c r="BB607" s="47" t="str">
        <f>IFERROR(IF(MARÍTIMOS[[#This Row],[Estatus]]="","",MARÍTIMOS[[#This Row],[Estatus]]),"")</f>
        <v/>
      </c>
      <c r="BC607" s="43"/>
      <c r="BD607" s="46" t="str">
        <f>IFERROR(OLDBD[[#This Row],[Salida de almacén de retiro]]-OLDBD[[#This Row],[Ingreso Almacén de retiro]],"")</f>
        <v/>
      </c>
      <c r="BE607" s="46" t="str">
        <f>IFERROR(OLDBD[[#This Row],[Fin de Carga]]-OLDBD[[#This Row],[Inicio de Carga]],"")</f>
        <v/>
      </c>
    </row>
    <row r="608" spans="1:57" customFormat="1" hidden="1">
      <c r="A608" s="1"/>
      <c r="B608" s="1" t="str">
        <f>IFERROR(IF(MARÍTIMOS[[#This Row],[PP]]="","",MARÍTIMOS[[#This Row],[PP]]),"")</f>
        <v/>
      </c>
      <c r="C608" s="1" t="str">
        <f>IFERROR(IF(MARÍTIMOS[[#This Row],[Sede]]="","",MARÍTIMOS[[#This Row],[Sede]]),"")</f>
        <v/>
      </c>
      <c r="D608" s="1" t="str">
        <f>IFERROR(IF(MARÍTIMOS[[#This Row],[Instruction]]="","",MARÍTIMOS[[#This Row],[Instruction]]),"")</f>
        <v/>
      </c>
      <c r="E608" s="1"/>
      <c r="F608" s="2" t="str">
        <f>IFERROR(IF(MARÍTIMOS[[#This Row],[Transportista]]="","",MARÍTIMOS[[#This Row],[Transportista]]),"")</f>
        <v/>
      </c>
      <c r="G608" s="2" t="str">
        <f>IFERROR(IF(MARÍTIMOS[[#This Row],[Tercero]]="","",MARÍTIMOS[[#This Row],[Tercero]]),"")</f>
        <v/>
      </c>
      <c r="H608" s="2" t="str">
        <f>IFERROR(IF(MARÍTIMOS[[#This Row],[Razón Social]]="","",MARÍTIMOS[[#This Row],[Razón Social]]),"")</f>
        <v/>
      </c>
      <c r="I608" s="2" t="str">
        <f>IFERROR(IF(MARÍTIMOS[[#This Row],[RUC]]="","",MARÍTIMOS[[#This Row],[RUC]]),"")</f>
        <v/>
      </c>
      <c r="J608" s="2" t="str">
        <f>IFERROR(IF(MARÍTIMOS[[#This Row],[Placa Tracto]]="","",MARÍTIMOS[[#This Row],[Placa Tracto]]),"")</f>
        <v/>
      </c>
      <c r="K608" s="2" t="str">
        <f>IFERROR(IF(MARÍTIMOS[[#This Row],[Placa Carreta]]="","",MARÍTIMOS[[#This Row],[Placa Carreta]]),"")</f>
        <v/>
      </c>
      <c r="L608" s="44" t="str">
        <f>IFERROR(IF(MARÍTIMOS[[#This Row],[Conductor]]="","",MARÍTIMOS[[#This Row],[Conductor]]),"")</f>
        <v/>
      </c>
      <c r="M608" s="2" t="str">
        <f>IFERROR(IF(MARÍTIMOS[[#This Row],[Licencia]]="","",MARÍTIMOS[[#This Row],[Licencia]]),"")</f>
        <v/>
      </c>
      <c r="N608" s="2" t="str">
        <f>IFERROR(IF(MARÍTIMOS[[#This Row],[Número de Contacto]]="","",MARÍTIMOS[[#This Row],[Número de Contacto]]),"")</f>
        <v/>
      </c>
      <c r="O608" s="10" t="str">
        <f>IFERROR(IF(MARÍTIMOS[[#This Row],[Booking|AWB|CRT]]="","",MARÍTIMOS[[#This Row],[Booking|AWB|CRT]]),"")</f>
        <v/>
      </c>
      <c r="P608" s="2" t="str">
        <f>IFERROR(IF(MARÍTIMOS[[#This Row],[Contenedor]]="","",MARÍTIMOS[[#This Row],[Contenedor]]),"")</f>
        <v/>
      </c>
      <c r="Q608" s="2" t="str">
        <f>IFERROR(IF(MARÍTIMOS[[#This Row],[Puerto de Retiro]]="","",MARÍTIMOS[[#This Row],[Puerto de Retiro]]),"")</f>
        <v/>
      </c>
      <c r="R608" s="2" t="str">
        <f>IFERROR(IF(MARÍTIMOS[[#This Row],[Almacén de Retiro]]="","",MARÍTIMOS[[#This Row],[Almacén de Retiro]]),"")</f>
        <v/>
      </c>
      <c r="S608" s="11" t="str">
        <f>IFERROR(IF(MARÍTIMOS[[#This Row],[Etapa Retiro - Cita]]="","",MARÍTIMOS[[#This Row],[Etapa Retiro - Cita]]),"")</f>
        <v/>
      </c>
      <c r="T608" s="11" t="str">
        <f>IFERROR(IF(MARÍTIMOS[[#This Row],[Etapa Retiro - Llegada]]="","",MARÍTIMOS[[#This Row],[Etapa Retiro - Llegada]]),"")</f>
        <v/>
      </c>
      <c r="U608" s="11" t="str">
        <f>IFERROR(IF(MARÍTIMOS[[#This Row],[Etapa Retiro - Ingreso]]="","",MARÍTIMOS[[#This Row],[Etapa Retiro - Ingreso]]),"")</f>
        <v/>
      </c>
      <c r="V608" s="11" t="str">
        <f>IFERROR(IF(MARÍTIMOS[[#This Row],[Etapa Retiro - Atención]]="","",MARÍTIMOS[[#This Row],[Etapa Retiro - Atención]]),"")</f>
        <v/>
      </c>
      <c r="W608" s="11" t="str">
        <f>IFERROR(IF(MARÍTIMOS[[#This Row],[Etapa Retiro - Atención]]="","",MARÍTIMOS[[#This Row],[Etapa Retiro - Atención]]),"")</f>
        <v/>
      </c>
      <c r="X608" s="11" t="str">
        <f>IFERROR(IF(MARÍTIMOS[[#This Row],[Etapa Retiro - Inicio de Ruta]]="","",MARÍTIMOS[[#This Row],[Etapa Retiro - Inicio de Ruta]]),"")</f>
        <v/>
      </c>
      <c r="Y608" s="11" t="str">
        <f>IFERROR(IF(MARÍTIMOS[[#This Row],[Hora de Posicionamiento]]="","",MARÍTIMOS[[#This Row],[Fecha de Carga]]+MARÍTIMOS[[#This Row],[Hora de Posicionamiento]]),"")</f>
        <v/>
      </c>
      <c r="Z608" s="11" t="str">
        <f>IFERROR(IF(MARÍTIMOS[[#This Row],[Etapa Despacho - Llegada]]="","",MARÍTIMOS[[#This Row],[Etapa Despacho - Llegada]]),"")</f>
        <v/>
      </c>
      <c r="AA608" s="11" t="str">
        <f>IFERROR(IF(MARÍTIMOS[[#This Row],[Etapa Despacho - Registro]]="","",MARÍTIMOS[[#This Row],[Etapa Despacho - Registro]]),"")</f>
        <v/>
      </c>
      <c r="AB608" s="11" t="str">
        <f>IFERROR(IF(MARÍTIMOS[[#This Row],[Inspección Externa]]="","",MARÍTIMOS[[#This Row],[Inspección Externa]]),"")</f>
        <v/>
      </c>
      <c r="AC608" s="11" t="str">
        <f>IFERROR(IF(MARÍTIMOS[[#This Row],[Etapa Despacho - Inicio de Carga]]="","",MARÍTIMOS[[#This Row],[Etapa Despacho - Inicio de Carga]]),"")</f>
        <v/>
      </c>
      <c r="AD608" s="11" t="str">
        <f>IFERROR(IF(MARÍTIMOS[[#This Row],[Etapa Despacho - Mitad de Carga]]="","",MARÍTIMOS[[#This Row],[Etapa Despacho - Mitad de Carga]]),"")</f>
        <v/>
      </c>
      <c r="AE608" s="11" t="str">
        <f>IFERROR(IF(MARÍTIMOS[[#This Row],[Etapa Despacho - Fin de Carga]]="","",MARÍTIMOS[[#This Row],[Etapa Despacho - Fin de Carga]]),"")</f>
        <v/>
      </c>
      <c r="AF608" s="2" t="str">
        <f>IFERROR(IF(MARÍTIMOS[[#This Row],[Puerto de Embarque]]="","",MARÍTIMOS[[#This Row],[Puerto de Embarque]]),"")</f>
        <v/>
      </c>
      <c r="AG608" s="2" t="str">
        <f>IFERROR(IF(MARÍTIMOS[[#This Row],[Almacén de Ingreso]]="","",MARÍTIMOS[[#This Row],[Almacén de Ingreso]]),"")</f>
        <v/>
      </c>
      <c r="AH608" s="11" t="str">
        <f>IFERROR(IF(MARÍTIMOS[[#This Row],[Etapa Ingreso - Cita]]="","",MARÍTIMOS[[#This Row],[Etapa Ingreso - Cita]]),"")</f>
        <v/>
      </c>
      <c r="AI608" s="11" t="str">
        <f>IFERROR(IF(MARÍTIMOS[[#This Row],[Etapa Ingreso - Llegada]]="","",MARÍTIMOS[[#This Row],[Etapa Ingreso - Llegada]]),"")</f>
        <v/>
      </c>
      <c r="AJ608" s="11" t="str">
        <f>IFERROR(IF(MARÍTIMOS[[#This Row],[Etapa Ingreso - Ingeso]]="","",MARÍTIMOS[[#This Row],[Etapa Ingreso - Ingeso]]),"")</f>
        <v/>
      </c>
      <c r="AK608" s="11" t="str">
        <f>IFERROR(IF(MARÍTIMOS[[#This Row],[Etapa Ingreso - Atención]]="","",MARÍTIMOS[[#This Row],[Etapa Ingreso - Atención]]),"")</f>
        <v/>
      </c>
      <c r="AL608" s="11" t="str">
        <f>IFERROR(IF(MARÍTIMOS[[#This Row],[Etapa Ingreso - Salida]]="","",MARÍTIMOS[[#This Row],[Etapa Ingreso - Salida]]),"")</f>
        <v/>
      </c>
      <c r="AM608" s="2" t="str">
        <f>IFERROR(IF(MARÍTIMOS[[#This Row],[FCL]]="","",MARÍTIMOS[[#This Row],[FCL]]),"")</f>
        <v/>
      </c>
      <c r="AN6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8" s="4" t="str" cm="1">
        <f t="array" ref="AO6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8" s="5" t="str">
        <f>IFERROR(OLDBD[[#This Row],[Llegada a packing]]-OLDBD[[#This Row],[Inicio de Ruta]],"")</f>
        <v/>
      </c>
      <c r="AQ608" s="6" t="str">
        <f>IFERROR(OLDBD[[#This Row],[Inicio de Ruta]]-OLDBD[[#This Row],[Salida de almacén de retiro]],"")</f>
        <v/>
      </c>
      <c r="AR6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8" s="8" t="str" cm="1">
        <f t="array" ref="AS6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8" s="9" t="str">
        <f>IFERROR(OLDBD[[#This Row],[Ingreso Packing]]-OLDBD[[#This Row],[Registro en Packing]],"")</f>
        <v/>
      </c>
      <c r="AV608" s="9" t="str">
        <f>IFERROR(OLDBD[[#This Row],[Ingreso Packing]]-OLDBD[[#This Row],[Llegada a packing]],"")</f>
        <v/>
      </c>
      <c r="AW6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8" s="5" t="str">
        <f>IFERROR(OLDBD[[#This Row],[Llegada Almacén de Ingreso]]-OLDBD[[#This Row],[Salida Packing]],"")</f>
        <v/>
      </c>
      <c r="AY608" s="4" t="str" cm="1">
        <f t="array" ref="AY6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8" s="43" t="s">
        <v>173</v>
      </c>
      <c r="BB608" s="47" t="str">
        <f>IFERROR(IF(MARÍTIMOS[[#This Row],[Estatus]]="","",MARÍTIMOS[[#This Row],[Estatus]]),"")</f>
        <v/>
      </c>
      <c r="BC608" s="43"/>
      <c r="BD608" s="46" t="str">
        <f>IFERROR(OLDBD[[#This Row],[Salida de almacén de retiro]]-OLDBD[[#This Row],[Ingreso Almacén de retiro]],"")</f>
        <v/>
      </c>
      <c r="BE608" s="46" t="str">
        <f>IFERROR(OLDBD[[#This Row],[Fin de Carga]]-OLDBD[[#This Row],[Inicio de Carga]],"")</f>
        <v/>
      </c>
    </row>
    <row r="609" spans="1:57" customFormat="1" hidden="1">
      <c r="A609" s="1"/>
      <c r="B609" s="1" t="str">
        <f>IFERROR(IF(MARÍTIMOS[[#This Row],[PP]]="","",MARÍTIMOS[[#This Row],[PP]]),"")</f>
        <v/>
      </c>
      <c r="C609" s="1" t="str">
        <f>IFERROR(IF(MARÍTIMOS[[#This Row],[Sede]]="","",MARÍTIMOS[[#This Row],[Sede]]),"")</f>
        <v/>
      </c>
      <c r="D609" s="1" t="str">
        <f>IFERROR(IF(MARÍTIMOS[[#This Row],[Instruction]]="","",MARÍTIMOS[[#This Row],[Instruction]]),"")</f>
        <v/>
      </c>
      <c r="E609" s="1"/>
      <c r="F609" s="2" t="str">
        <f>IFERROR(IF(MARÍTIMOS[[#This Row],[Transportista]]="","",MARÍTIMOS[[#This Row],[Transportista]]),"")</f>
        <v/>
      </c>
      <c r="G609" s="2" t="str">
        <f>IFERROR(IF(MARÍTIMOS[[#This Row],[Tercero]]="","",MARÍTIMOS[[#This Row],[Tercero]]),"")</f>
        <v/>
      </c>
      <c r="H609" s="2" t="str">
        <f>IFERROR(IF(MARÍTIMOS[[#This Row],[Razón Social]]="","",MARÍTIMOS[[#This Row],[Razón Social]]),"")</f>
        <v/>
      </c>
      <c r="I609" s="2" t="str">
        <f>IFERROR(IF(MARÍTIMOS[[#This Row],[RUC]]="","",MARÍTIMOS[[#This Row],[RUC]]),"")</f>
        <v/>
      </c>
      <c r="J609" s="2" t="str">
        <f>IFERROR(IF(MARÍTIMOS[[#This Row],[Placa Tracto]]="","",MARÍTIMOS[[#This Row],[Placa Tracto]]),"")</f>
        <v/>
      </c>
      <c r="K609" s="2" t="str">
        <f>IFERROR(IF(MARÍTIMOS[[#This Row],[Placa Carreta]]="","",MARÍTIMOS[[#This Row],[Placa Carreta]]),"")</f>
        <v/>
      </c>
      <c r="L609" s="44" t="str">
        <f>IFERROR(IF(MARÍTIMOS[[#This Row],[Conductor]]="","",MARÍTIMOS[[#This Row],[Conductor]]),"")</f>
        <v/>
      </c>
      <c r="M609" s="2" t="str">
        <f>IFERROR(IF(MARÍTIMOS[[#This Row],[Licencia]]="","",MARÍTIMOS[[#This Row],[Licencia]]),"")</f>
        <v/>
      </c>
      <c r="N609" s="2" t="str">
        <f>IFERROR(IF(MARÍTIMOS[[#This Row],[Número de Contacto]]="","",MARÍTIMOS[[#This Row],[Número de Contacto]]),"")</f>
        <v/>
      </c>
      <c r="O609" s="10" t="str">
        <f>IFERROR(IF(MARÍTIMOS[[#This Row],[Booking|AWB|CRT]]="","",MARÍTIMOS[[#This Row],[Booking|AWB|CRT]]),"")</f>
        <v/>
      </c>
      <c r="P609" s="2" t="str">
        <f>IFERROR(IF(MARÍTIMOS[[#This Row],[Contenedor]]="","",MARÍTIMOS[[#This Row],[Contenedor]]),"")</f>
        <v/>
      </c>
      <c r="Q609" s="2" t="str">
        <f>IFERROR(IF(MARÍTIMOS[[#This Row],[Puerto de Retiro]]="","",MARÍTIMOS[[#This Row],[Puerto de Retiro]]),"")</f>
        <v/>
      </c>
      <c r="R609" s="2" t="str">
        <f>IFERROR(IF(MARÍTIMOS[[#This Row],[Almacén de Retiro]]="","",MARÍTIMOS[[#This Row],[Almacén de Retiro]]),"")</f>
        <v/>
      </c>
      <c r="S609" s="11" t="str">
        <f>IFERROR(IF(MARÍTIMOS[[#This Row],[Etapa Retiro - Cita]]="","",MARÍTIMOS[[#This Row],[Etapa Retiro - Cita]]),"")</f>
        <v/>
      </c>
      <c r="T609" s="11" t="str">
        <f>IFERROR(IF(MARÍTIMOS[[#This Row],[Etapa Retiro - Llegada]]="","",MARÍTIMOS[[#This Row],[Etapa Retiro - Llegada]]),"")</f>
        <v/>
      </c>
      <c r="U609" s="11" t="str">
        <f>IFERROR(IF(MARÍTIMOS[[#This Row],[Etapa Retiro - Ingreso]]="","",MARÍTIMOS[[#This Row],[Etapa Retiro - Ingreso]]),"")</f>
        <v/>
      </c>
      <c r="V609" s="11" t="str">
        <f>IFERROR(IF(MARÍTIMOS[[#This Row],[Etapa Retiro - Atención]]="","",MARÍTIMOS[[#This Row],[Etapa Retiro - Atención]]),"")</f>
        <v/>
      </c>
      <c r="W609" s="11" t="str">
        <f>IFERROR(IF(MARÍTIMOS[[#This Row],[Etapa Retiro - Atención]]="","",MARÍTIMOS[[#This Row],[Etapa Retiro - Atención]]),"")</f>
        <v/>
      </c>
      <c r="X609" s="11" t="str">
        <f>IFERROR(IF(MARÍTIMOS[[#This Row],[Etapa Retiro - Inicio de Ruta]]="","",MARÍTIMOS[[#This Row],[Etapa Retiro - Inicio de Ruta]]),"")</f>
        <v/>
      </c>
      <c r="Y609" s="11" t="str">
        <f>IFERROR(IF(MARÍTIMOS[[#This Row],[Hora de Posicionamiento]]="","",MARÍTIMOS[[#This Row],[Fecha de Carga]]+MARÍTIMOS[[#This Row],[Hora de Posicionamiento]]),"")</f>
        <v/>
      </c>
      <c r="Z609" s="11" t="str">
        <f>IFERROR(IF(MARÍTIMOS[[#This Row],[Etapa Despacho - Llegada]]="","",MARÍTIMOS[[#This Row],[Etapa Despacho - Llegada]]),"")</f>
        <v/>
      </c>
      <c r="AA609" s="11" t="str">
        <f>IFERROR(IF(MARÍTIMOS[[#This Row],[Etapa Despacho - Registro]]="","",MARÍTIMOS[[#This Row],[Etapa Despacho - Registro]]),"")</f>
        <v/>
      </c>
      <c r="AB609" s="11" t="str">
        <f>IFERROR(IF(MARÍTIMOS[[#This Row],[Inspección Externa]]="","",MARÍTIMOS[[#This Row],[Inspección Externa]]),"")</f>
        <v/>
      </c>
      <c r="AC609" s="11" t="str">
        <f>IFERROR(IF(MARÍTIMOS[[#This Row],[Etapa Despacho - Inicio de Carga]]="","",MARÍTIMOS[[#This Row],[Etapa Despacho - Inicio de Carga]]),"")</f>
        <v/>
      </c>
      <c r="AD609" s="11" t="str">
        <f>IFERROR(IF(MARÍTIMOS[[#This Row],[Etapa Despacho - Mitad de Carga]]="","",MARÍTIMOS[[#This Row],[Etapa Despacho - Mitad de Carga]]),"")</f>
        <v/>
      </c>
      <c r="AE609" s="11" t="str">
        <f>IFERROR(IF(MARÍTIMOS[[#This Row],[Etapa Despacho - Fin de Carga]]="","",MARÍTIMOS[[#This Row],[Etapa Despacho - Fin de Carga]]),"")</f>
        <v/>
      </c>
      <c r="AF609" s="2" t="str">
        <f>IFERROR(IF(MARÍTIMOS[[#This Row],[Puerto de Embarque]]="","",MARÍTIMOS[[#This Row],[Puerto de Embarque]]),"")</f>
        <v/>
      </c>
      <c r="AG609" s="2" t="str">
        <f>IFERROR(IF(MARÍTIMOS[[#This Row],[Almacén de Ingreso]]="","",MARÍTIMOS[[#This Row],[Almacén de Ingreso]]),"")</f>
        <v/>
      </c>
      <c r="AH609" s="11" t="str">
        <f>IFERROR(IF(MARÍTIMOS[[#This Row],[Etapa Ingreso - Cita]]="","",MARÍTIMOS[[#This Row],[Etapa Ingreso - Cita]]),"")</f>
        <v/>
      </c>
      <c r="AI609" s="11" t="str">
        <f>IFERROR(IF(MARÍTIMOS[[#This Row],[Etapa Ingreso - Llegada]]="","",MARÍTIMOS[[#This Row],[Etapa Ingreso - Llegada]]),"")</f>
        <v/>
      </c>
      <c r="AJ609" s="11" t="str">
        <f>IFERROR(IF(MARÍTIMOS[[#This Row],[Etapa Ingreso - Ingeso]]="","",MARÍTIMOS[[#This Row],[Etapa Ingreso - Ingeso]]),"")</f>
        <v/>
      </c>
      <c r="AK609" s="11" t="str">
        <f>IFERROR(IF(MARÍTIMOS[[#This Row],[Etapa Ingreso - Atención]]="","",MARÍTIMOS[[#This Row],[Etapa Ingreso - Atención]]),"")</f>
        <v/>
      </c>
      <c r="AL609" s="11" t="str">
        <f>IFERROR(IF(MARÍTIMOS[[#This Row],[Etapa Ingreso - Salida]]="","",MARÍTIMOS[[#This Row],[Etapa Ingreso - Salida]]),"")</f>
        <v/>
      </c>
      <c r="AM609" s="2" t="str">
        <f>IFERROR(IF(MARÍTIMOS[[#This Row],[FCL]]="","",MARÍTIMOS[[#This Row],[FCL]]),"")</f>
        <v/>
      </c>
      <c r="AN6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09" s="4" t="str" cm="1">
        <f t="array" ref="AO6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09" s="5" t="str">
        <f>IFERROR(OLDBD[[#This Row],[Llegada a packing]]-OLDBD[[#This Row],[Inicio de Ruta]],"")</f>
        <v/>
      </c>
      <c r="AQ609" s="6" t="str">
        <f>IFERROR(OLDBD[[#This Row],[Inicio de Ruta]]-OLDBD[[#This Row],[Salida de almacén de retiro]],"")</f>
        <v/>
      </c>
      <c r="AR6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09" s="8" t="str" cm="1">
        <f t="array" ref="AS6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09" s="9" t="str">
        <f>IFERROR(OLDBD[[#This Row],[Ingreso Packing]]-OLDBD[[#This Row],[Registro en Packing]],"")</f>
        <v/>
      </c>
      <c r="AV609" s="9" t="str">
        <f>IFERROR(OLDBD[[#This Row],[Ingreso Packing]]-OLDBD[[#This Row],[Llegada a packing]],"")</f>
        <v/>
      </c>
      <c r="AW6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09" s="5" t="str">
        <f>IFERROR(OLDBD[[#This Row],[Llegada Almacén de Ingreso]]-OLDBD[[#This Row],[Salida Packing]],"")</f>
        <v/>
      </c>
      <c r="AY609" s="4" t="str" cm="1">
        <f t="array" ref="AY6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09" s="43" t="s">
        <v>173</v>
      </c>
      <c r="BB609" s="47" t="str">
        <f>IFERROR(IF(MARÍTIMOS[[#This Row],[Estatus]]="","",MARÍTIMOS[[#This Row],[Estatus]]),"")</f>
        <v/>
      </c>
      <c r="BC609" s="43"/>
      <c r="BD609" s="46" t="str">
        <f>IFERROR(OLDBD[[#This Row],[Salida de almacén de retiro]]-OLDBD[[#This Row],[Ingreso Almacén de retiro]],"")</f>
        <v/>
      </c>
      <c r="BE609" s="46" t="str">
        <f>IFERROR(OLDBD[[#This Row],[Fin de Carga]]-OLDBD[[#This Row],[Inicio de Carga]],"")</f>
        <v/>
      </c>
    </row>
    <row r="610" spans="1:57" customFormat="1" hidden="1">
      <c r="A610" s="1"/>
      <c r="B610" s="1" t="str">
        <f>IFERROR(IF(MARÍTIMOS[[#This Row],[PP]]="","",MARÍTIMOS[[#This Row],[PP]]),"")</f>
        <v/>
      </c>
      <c r="C610" s="1" t="str">
        <f>IFERROR(IF(MARÍTIMOS[[#This Row],[Sede]]="","",MARÍTIMOS[[#This Row],[Sede]]),"")</f>
        <v/>
      </c>
      <c r="D610" s="1" t="str">
        <f>IFERROR(IF(MARÍTIMOS[[#This Row],[Instruction]]="","",MARÍTIMOS[[#This Row],[Instruction]]),"")</f>
        <v/>
      </c>
      <c r="E610" s="1"/>
      <c r="F610" s="2" t="str">
        <f>IFERROR(IF(MARÍTIMOS[[#This Row],[Transportista]]="","",MARÍTIMOS[[#This Row],[Transportista]]),"")</f>
        <v/>
      </c>
      <c r="G610" s="2" t="str">
        <f>IFERROR(IF(MARÍTIMOS[[#This Row],[Tercero]]="","",MARÍTIMOS[[#This Row],[Tercero]]),"")</f>
        <v/>
      </c>
      <c r="H610" s="2" t="str">
        <f>IFERROR(IF(MARÍTIMOS[[#This Row],[Razón Social]]="","",MARÍTIMOS[[#This Row],[Razón Social]]),"")</f>
        <v/>
      </c>
      <c r="I610" s="2" t="str">
        <f>IFERROR(IF(MARÍTIMOS[[#This Row],[RUC]]="","",MARÍTIMOS[[#This Row],[RUC]]),"")</f>
        <v/>
      </c>
      <c r="J610" s="2" t="str">
        <f>IFERROR(IF(MARÍTIMOS[[#This Row],[Placa Tracto]]="","",MARÍTIMOS[[#This Row],[Placa Tracto]]),"")</f>
        <v/>
      </c>
      <c r="K610" s="2" t="str">
        <f>IFERROR(IF(MARÍTIMOS[[#This Row],[Placa Carreta]]="","",MARÍTIMOS[[#This Row],[Placa Carreta]]),"")</f>
        <v/>
      </c>
      <c r="L610" s="44" t="str">
        <f>IFERROR(IF(MARÍTIMOS[[#This Row],[Conductor]]="","",MARÍTIMOS[[#This Row],[Conductor]]),"")</f>
        <v/>
      </c>
      <c r="M610" s="2" t="str">
        <f>IFERROR(IF(MARÍTIMOS[[#This Row],[Licencia]]="","",MARÍTIMOS[[#This Row],[Licencia]]),"")</f>
        <v/>
      </c>
      <c r="N610" s="2" t="str">
        <f>IFERROR(IF(MARÍTIMOS[[#This Row],[Número de Contacto]]="","",MARÍTIMOS[[#This Row],[Número de Contacto]]),"")</f>
        <v/>
      </c>
      <c r="O610" s="10" t="str">
        <f>IFERROR(IF(MARÍTIMOS[[#This Row],[Booking|AWB|CRT]]="","",MARÍTIMOS[[#This Row],[Booking|AWB|CRT]]),"")</f>
        <v/>
      </c>
      <c r="P610" s="2" t="str">
        <f>IFERROR(IF(MARÍTIMOS[[#This Row],[Contenedor]]="","",MARÍTIMOS[[#This Row],[Contenedor]]),"")</f>
        <v/>
      </c>
      <c r="Q610" s="2" t="str">
        <f>IFERROR(IF(MARÍTIMOS[[#This Row],[Puerto de Retiro]]="","",MARÍTIMOS[[#This Row],[Puerto de Retiro]]),"")</f>
        <v/>
      </c>
      <c r="R610" s="2" t="str">
        <f>IFERROR(IF(MARÍTIMOS[[#This Row],[Almacén de Retiro]]="","",MARÍTIMOS[[#This Row],[Almacén de Retiro]]),"")</f>
        <v/>
      </c>
      <c r="S610" s="11" t="str">
        <f>IFERROR(IF(MARÍTIMOS[[#This Row],[Etapa Retiro - Cita]]="","",MARÍTIMOS[[#This Row],[Etapa Retiro - Cita]]),"")</f>
        <v/>
      </c>
      <c r="T610" s="11" t="str">
        <f>IFERROR(IF(MARÍTIMOS[[#This Row],[Etapa Retiro - Llegada]]="","",MARÍTIMOS[[#This Row],[Etapa Retiro - Llegada]]),"")</f>
        <v/>
      </c>
      <c r="U610" s="11" t="str">
        <f>IFERROR(IF(MARÍTIMOS[[#This Row],[Etapa Retiro - Ingreso]]="","",MARÍTIMOS[[#This Row],[Etapa Retiro - Ingreso]]),"")</f>
        <v/>
      </c>
      <c r="V610" s="11" t="str">
        <f>IFERROR(IF(MARÍTIMOS[[#This Row],[Etapa Retiro - Atención]]="","",MARÍTIMOS[[#This Row],[Etapa Retiro - Atención]]),"")</f>
        <v/>
      </c>
      <c r="W610" s="11" t="str">
        <f>IFERROR(IF(MARÍTIMOS[[#This Row],[Etapa Retiro - Atención]]="","",MARÍTIMOS[[#This Row],[Etapa Retiro - Atención]]),"")</f>
        <v/>
      </c>
      <c r="X610" s="11" t="str">
        <f>IFERROR(IF(MARÍTIMOS[[#This Row],[Etapa Retiro - Inicio de Ruta]]="","",MARÍTIMOS[[#This Row],[Etapa Retiro - Inicio de Ruta]]),"")</f>
        <v/>
      </c>
      <c r="Y610" s="11" t="str">
        <f>IFERROR(IF(MARÍTIMOS[[#This Row],[Hora de Posicionamiento]]="","",MARÍTIMOS[[#This Row],[Fecha de Carga]]+MARÍTIMOS[[#This Row],[Hora de Posicionamiento]]),"")</f>
        <v/>
      </c>
      <c r="Z610" s="11" t="str">
        <f>IFERROR(IF(MARÍTIMOS[[#This Row],[Etapa Despacho - Llegada]]="","",MARÍTIMOS[[#This Row],[Etapa Despacho - Llegada]]),"")</f>
        <v/>
      </c>
      <c r="AA610" s="11" t="str">
        <f>IFERROR(IF(MARÍTIMOS[[#This Row],[Etapa Despacho - Registro]]="","",MARÍTIMOS[[#This Row],[Etapa Despacho - Registro]]),"")</f>
        <v/>
      </c>
      <c r="AB610" s="11" t="str">
        <f>IFERROR(IF(MARÍTIMOS[[#This Row],[Inspección Externa]]="","",MARÍTIMOS[[#This Row],[Inspección Externa]]),"")</f>
        <v/>
      </c>
      <c r="AC610" s="11" t="str">
        <f>IFERROR(IF(MARÍTIMOS[[#This Row],[Etapa Despacho - Inicio de Carga]]="","",MARÍTIMOS[[#This Row],[Etapa Despacho - Inicio de Carga]]),"")</f>
        <v/>
      </c>
      <c r="AD610" s="11" t="str">
        <f>IFERROR(IF(MARÍTIMOS[[#This Row],[Etapa Despacho - Mitad de Carga]]="","",MARÍTIMOS[[#This Row],[Etapa Despacho - Mitad de Carga]]),"")</f>
        <v/>
      </c>
      <c r="AE610" s="11" t="str">
        <f>IFERROR(IF(MARÍTIMOS[[#This Row],[Etapa Despacho - Fin de Carga]]="","",MARÍTIMOS[[#This Row],[Etapa Despacho - Fin de Carga]]),"")</f>
        <v/>
      </c>
      <c r="AF610" s="2" t="str">
        <f>IFERROR(IF(MARÍTIMOS[[#This Row],[Puerto de Embarque]]="","",MARÍTIMOS[[#This Row],[Puerto de Embarque]]),"")</f>
        <v/>
      </c>
      <c r="AG610" s="2" t="str">
        <f>IFERROR(IF(MARÍTIMOS[[#This Row],[Almacén de Ingreso]]="","",MARÍTIMOS[[#This Row],[Almacén de Ingreso]]),"")</f>
        <v/>
      </c>
      <c r="AH610" s="11" t="str">
        <f>IFERROR(IF(MARÍTIMOS[[#This Row],[Etapa Ingreso - Cita]]="","",MARÍTIMOS[[#This Row],[Etapa Ingreso - Cita]]),"")</f>
        <v/>
      </c>
      <c r="AI610" s="11" t="str">
        <f>IFERROR(IF(MARÍTIMOS[[#This Row],[Etapa Ingreso - Llegada]]="","",MARÍTIMOS[[#This Row],[Etapa Ingreso - Llegada]]),"")</f>
        <v/>
      </c>
      <c r="AJ610" s="11" t="str">
        <f>IFERROR(IF(MARÍTIMOS[[#This Row],[Etapa Ingreso - Ingeso]]="","",MARÍTIMOS[[#This Row],[Etapa Ingreso - Ingeso]]),"")</f>
        <v/>
      </c>
      <c r="AK610" s="11" t="str">
        <f>IFERROR(IF(MARÍTIMOS[[#This Row],[Etapa Ingreso - Atención]]="","",MARÍTIMOS[[#This Row],[Etapa Ingreso - Atención]]),"")</f>
        <v/>
      </c>
      <c r="AL610" s="11" t="str">
        <f>IFERROR(IF(MARÍTIMOS[[#This Row],[Etapa Ingreso - Salida]]="","",MARÍTIMOS[[#This Row],[Etapa Ingreso - Salida]]),"")</f>
        <v/>
      </c>
      <c r="AM610" s="2" t="str">
        <f>IFERROR(IF(MARÍTIMOS[[#This Row],[FCL]]="","",MARÍTIMOS[[#This Row],[FCL]]),"")</f>
        <v/>
      </c>
      <c r="AN6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0" s="4" t="str" cm="1">
        <f t="array" ref="AO6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0" s="5" t="str">
        <f>IFERROR(OLDBD[[#This Row],[Llegada a packing]]-OLDBD[[#This Row],[Inicio de Ruta]],"")</f>
        <v/>
      </c>
      <c r="AQ610" s="6" t="str">
        <f>IFERROR(OLDBD[[#This Row],[Inicio de Ruta]]-OLDBD[[#This Row],[Salida de almacén de retiro]],"")</f>
        <v/>
      </c>
      <c r="AR6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0" s="8" t="str" cm="1">
        <f t="array" ref="AS6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0" s="9" t="str">
        <f>IFERROR(OLDBD[[#This Row],[Ingreso Packing]]-OLDBD[[#This Row],[Registro en Packing]],"")</f>
        <v/>
      </c>
      <c r="AV610" s="9" t="str">
        <f>IFERROR(OLDBD[[#This Row],[Ingreso Packing]]-OLDBD[[#This Row],[Llegada a packing]],"")</f>
        <v/>
      </c>
      <c r="AW6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0" s="5" t="str">
        <f>IFERROR(OLDBD[[#This Row],[Llegada Almacén de Ingreso]]-OLDBD[[#This Row],[Salida Packing]],"")</f>
        <v/>
      </c>
      <c r="AY610" s="4" t="str" cm="1">
        <f t="array" ref="AY6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0" s="43" t="s">
        <v>173</v>
      </c>
      <c r="BB610" s="47" t="str">
        <f>IFERROR(IF(MARÍTIMOS[[#This Row],[Estatus]]="","",MARÍTIMOS[[#This Row],[Estatus]]),"")</f>
        <v/>
      </c>
      <c r="BC610" s="43"/>
      <c r="BD610" s="46" t="str">
        <f>IFERROR(OLDBD[[#This Row],[Salida de almacén de retiro]]-OLDBD[[#This Row],[Ingreso Almacén de retiro]],"")</f>
        <v/>
      </c>
      <c r="BE610" s="46" t="str">
        <f>IFERROR(OLDBD[[#This Row],[Fin de Carga]]-OLDBD[[#This Row],[Inicio de Carga]],"")</f>
        <v/>
      </c>
    </row>
    <row r="611" spans="1:57" customFormat="1" hidden="1">
      <c r="A611" s="1"/>
      <c r="B611" s="1" t="str">
        <f>IFERROR(IF(MARÍTIMOS[[#This Row],[PP]]="","",MARÍTIMOS[[#This Row],[PP]]),"")</f>
        <v/>
      </c>
      <c r="C611" s="1" t="str">
        <f>IFERROR(IF(MARÍTIMOS[[#This Row],[Sede]]="","",MARÍTIMOS[[#This Row],[Sede]]),"")</f>
        <v/>
      </c>
      <c r="D611" s="1" t="str">
        <f>IFERROR(IF(MARÍTIMOS[[#This Row],[Instruction]]="","",MARÍTIMOS[[#This Row],[Instruction]]),"")</f>
        <v/>
      </c>
      <c r="E611" s="1"/>
      <c r="F611" s="2" t="str">
        <f>IFERROR(IF(MARÍTIMOS[[#This Row],[Transportista]]="","",MARÍTIMOS[[#This Row],[Transportista]]),"")</f>
        <v/>
      </c>
      <c r="G611" s="2" t="str">
        <f>IFERROR(IF(MARÍTIMOS[[#This Row],[Tercero]]="","",MARÍTIMOS[[#This Row],[Tercero]]),"")</f>
        <v/>
      </c>
      <c r="H611" s="2" t="str">
        <f>IFERROR(IF(MARÍTIMOS[[#This Row],[Razón Social]]="","",MARÍTIMOS[[#This Row],[Razón Social]]),"")</f>
        <v/>
      </c>
      <c r="I611" s="2" t="str">
        <f>IFERROR(IF(MARÍTIMOS[[#This Row],[RUC]]="","",MARÍTIMOS[[#This Row],[RUC]]),"")</f>
        <v/>
      </c>
      <c r="J611" s="2" t="str">
        <f>IFERROR(IF(MARÍTIMOS[[#This Row],[Placa Tracto]]="","",MARÍTIMOS[[#This Row],[Placa Tracto]]),"")</f>
        <v/>
      </c>
      <c r="K611" s="2" t="str">
        <f>IFERROR(IF(MARÍTIMOS[[#This Row],[Placa Carreta]]="","",MARÍTIMOS[[#This Row],[Placa Carreta]]),"")</f>
        <v/>
      </c>
      <c r="L611" s="44" t="str">
        <f>IFERROR(IF(MARÍTIMOS[[#This Row],[Conductor]]="","",MARÍTIMOS[[#This Row],[Conductor]]),"")</f>
        <v/>
      </c>
      <c r="M611" s="2" t="str">
        <f>IFERROR(IF(MARÍTIMOS[[#This Row],[Licencia]]="","",MARÍTIMOS[[#This Row],[Licencia]]),"")</f>
        <v/>
      </c>
      <c r="N611" s="2" t="str">
        <f>IFERROR(IF(MARÍTIMOS[[#This Row],[Número de Contacto]]="","",MARÍTIMOS[[#This Row],[Número de Contacto]]),"")</f>
        <v/>
      </c>
      <c r="O611" s="10" t="str">
        <f>IFERROR(IF(MARÍTIMOS[[#This Row],[Booking|AWB|CRT]]="","",MARÍTIMOS[[#This Row],[Booking|AWB|CRT]]),"")</f>
        <v/>
      </c>
      <c r="P611" s="2" t="str">
        <f>IFERROR(IF(MARÍTIMOS[[#This Row],[Contenedor]]="","",MARÍTIMOS[[#This Row],[Contenedor]]),"")</f>
        <v/>
      </c>
      <c r="Q611" s="2" t="str">
        <f>IFERROR(IF(MARÍTIMOS[[#This Row],[Puerto de Retiro]]="","",MARÍTIMOS[[#This Row],[Puerto de Retiro]]),"")</f>
        <v/>
      </c>
      <c r="R611" s="2" t="str">
        <f>IFERROR(IF(MARÍTIMOS[[#This Row],[Almacén de Retiro]]="","",MARÍTIMOS[[#This Row],[Almacén de Retiro]]),"")</f>
        <v/>
      </c>
      <c r="S611" s="11" t="str">
        <f>IFERROR(IF(MARÍTIMOS[[#This Row],[Etapa Retiro - Cita]]="","",MARÍTIMOS[[#This Row],[Etapa Retiro - Cita]]),"")</f>
        <v/>
      </c>
      <c r="T611" s="11" t="str">
        <f>IFERROR(IF(MARÍTIMOS[[#This Row],[Etapa Retiro - Llegada]]="","",MARÍTIMOS[[#This Row],[Etapa Retiro - Llegada]]),"")</f>
        <v/>
      </c>
      <c r="U611" s="11" t="str">
        <f>IFERROR(IF(MARÍTIMOS[[#This Row],[Etapa Retiro - Ingreso]]="","",MARÍTIMOS[[#This Row],[Etapa Retiro - Ingreso]]),"")</f>
        <v/>
      </c>
      <c r="V611" s="11" t="str">
        <f>IFERROR(IF(MARÍTIMOS[[#This Row],[Etapa Retiro - Atención]]="","",MARÍTIMOS[[#This Row],[Etapa Retiro - Atención]]),"")</f>
        <v/>
      </c>
      <c r="W611" s="11" t="str">
        <f>IFERROR(IF(MARÍTIMOS[[#This Row],[Etapa Retiro - Atención]]="","",MARÍTIMOS[[#This Row],[Etapa Retiro - Atención]]),"")</f>
        <v/>
      </c>
      <c r="X611" s="11" t="str">
        <f>IFERROR(IF(MARÍTIMOS[[#This Row],[Etapa Retiro - Inicio de Ruta]]="","",MARÍTIMOS[[#This Row],[Etapa Retiro - Inicio de Ruta]]),"")</f>
        <v/>
      </c>
      <c r="Y611" s="11" t="str">
        <f>IFERROR(IF(MARÍTIMOS[[#This Row],[Hora de Posicionamiento]]="","",MARÍTIMOS[[#This Row],[Fecha de Carga]]+MARÍTIMOS[[#This Row],[Hora de Posicionamiento]]),"")</f>
        <v/>
      </c>
      <c r="Z611" s="11" t="str">
        <f>IFERROR(IF(MARÍTIMOS[[#This Row],[Etapa Despacho - Llegada]]="","",MARÍTIMOS[[#This Row],[Etapa Despacho - Llegada]]),"")</f>
        <v/>
      </c>
      <c r="AA611" s="11" t="str">
        <f>IFERROR(IF(MARÍTIMOS[[#This Row],[Etapa Despacho - Registro]]="","",MARÍTIMOS[[#This Row],[Etapa Despacho - Registro]]),"")</f>
        <v/>
      </c>
      <c r="AB611" s="11" t="str">
        <f>IFERROR(IF(MARÍTIMOS[[#This Row],[Inspección Externa]]="","",MARÍTIMOS[[#This Row],[Inspección Externa]]),"")</f>
        <v/>
      </c>
      <c r="AC611" s="11" t="str">
        <f>IFERROR(IF(MARÍTIMOS[[#This Row],[Etapa Despacho - Inicio de Carga]]="","",MARÍTIMOS[[#This Row],[Etapa Despacho - Inicio de Carga]]),"")</f>
        <v/>
      </c>
      <c r="AD611" s="11" t="str">
        <f>IFERROR(IF(MARÍTIMOS[[#This Row],[Etapa Despacho - Mitad de Carga]]="","",MARÍTIMOS[[#This Row],[Etapa Despacho - Mitad de Carga]]),"")</f>
        <v/>
      </c>
      <c r="AE611" s="11" t="str">
        <f>IFERROR(IF(MARÍTIMOS[[#This Row],[Etapa Despacho - Fin de Carga]]="","",MARÍTIMOS[[#This Row],[Etapa Despacho - Fin de Carga]]),"")</f>
        <v/>
      </c>
      <c r="AF611" s="2" t="str">
        <f>IFERROR(IF(MARÍTIMOS[[#This Row],[Puerto de Embarque]]="","",MARÍTIMOS[[#This Row],[Puerto de Embarque]]),"")</f>
        <v/>
      </c>
      <c r="AG611" s="2" t="str">
        <f>IFERROR(IF(MARÍTIMOS[[#This Row],[Almacén de Ingreso]]="","",MARÍTIMOS[[#This Row],[Almacén de Ingreso]]),"")</f>
        <v/>
      </c>
      <c r="AH611" s="11" t="str">
        <f>IFERROR(IF(MARÍTIMOS[[#This Row],[Etapa Ingreso - Cita]]="","",MARÍTIMOS[[#This Row],[Etapa Ingreso - Cita]]),"")</f>
        <v/>
      </c>
      <c r="AI611" s="11" t="str">
        <f>IFERROR(IF(MARÍTIMOS[[#This Row],[Etapa Ingreso - Llegada]]="","",MARÍTIMOS[[#This Row],[Etapa Ingreso - Llegada]]),"")</f>
        <v/>
      </c>
      <c r="AJ611" s="11" t="str">
        <f>IFERROR(IF(MARÍTIMOS[[#This Row],[Etapa Ingreso - Ingeso]]="","",MARÍTIMOS[[#This Row],[Etapa Ingreso - Ingeso]]),"")</f>
        <v/>
      </c>
      <c r="AK611" s="11" t="str">
        <f>IFERROR(IF(MARÍTIMOS[[#This Row],[Etapa Ingreso - Atención]]="","",MARÍTIMOS[[#This Row],[Etapa Ingreso - Atención]]),"")</f>
        <v/>
      </c>
      <c r="AL611" s="11" t="str">
        <f>IFERROR(IF(MARÍTIMOS[[#This Row],[Etapa Ingreso - Salida]]="","",MARÍTIMOS[[#This Row],[Etapa Ingreso - Salida]]),"")</f>
        <v/>
      </c>
      <c r="AM611" s="2" t="str">
        <f>IFERROR(IF(MARÍTIMOS[[#This Row],[FCL]]="","",MARÍTIMOS[[#This Row],[FCL]]),"")</f>
        <v/>
      </c>
      <c r="AN6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1" s="4" t="str" cm="1">
        <f t="array" ref="AO6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1" s="5" t="str">
        <f>IFERROR(OLDBD[[#This Row],[Llegada a packing]]-OLDBD[[#This Row],[Inicio de Ruta]],"")</f>
        <v/>
      </c>
      <c r="AQ611" s="6" t="str">
        <f>IFERROR(OLDBD[[#This Row],[Inicio de Ruta]]-OLDBD[[#This Row],[Salida de almacén de retiro]],"")</f>
        <v/>
      </c>
      <c r="AR6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1" s="8" t="str" cm="1">
        <f t="array" ref="AS6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1" s="9" t="str">
        <f>IFERROR(OLDBD[[#This Row],[Ingreso Packing]]-OLDBD[[#This Row],[Registro en Packing]],"")</f>
        <v/>
      </c>
      <c r="AV611" s="9" t="str">
        <f>IFERROR(OLDBD[[#This Row],[Ingreso Packing]]-OLDBD[[#This Row],[Llegada a packing]],"")</f>
        <v/>
      </c>
      <c r="AW6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1" s="5" t="str">
        <f>IFERROR(OLDBD[[#This Row],[Llegada Almacén de Ingreso]]-OLDBD[[#This Row],[Salida Packing]],"")</f>
        <v/>
      </c>
      <c r="AY611" s="4" t="str" cm="1">
        <f t="array" ref="AY6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1" s="43" t="s">
        <v>173</v>
      </c>
      <c r="BB611" s="47" t="str">
        <f>IFERROR(IF(MARÍTIMOS[[#This Row],[Estatus]]="","",MARÍTIMOS[[#This Row],[Estatus]]),"")</f>
        <v/>
      </c>
      <c r="BC611" s="43"/>
      <c r="BD611" s="46" t="str">
        <f>IFERROR(OLDBD[[#This Row],[Salida de almacén de retiro]]-OLDBD[[#This Row],[Ingreso Almacén de retiro]],"")</f>
        <v/>
      </c>
      <c r="BE611" s="46" t="str">
        <f>IFERROR(OLDBD[[#This Row],[Fin de Carga]]-OLDBD[[#This Row],[Inicio de Carga]],"")</f>
        <v/>
      </c>
    </row>
    <row r="612" spans="1:57" customFormat="1" hidden="1">
      <c r="A612" s="1"/>
      <c r="B612" s="1" t="str">
        <f>IFERROR(IF(MARÍTIMOS[[#This Row],[PP]]="","",MARÍTIMOS[[#This Row],[PP]]),"")</f>
        <v/>
      </c>
      <c r="C612" s="1" t="str">
        <f>IFERROR(IF(MARÍTIMOS[[#This Row],[Sede]]="","",MARÍTIMOS[[#This Row],[Sede]]),"")</f>
        <v/>
      </c>
      <c r="D612" s="1" t="str">
        <f>IFERROR(IF(MARÍTIMOS[[#This Row],[Instruction]]="","",MARÍTIMOS[[#This Row],[Instruction]]),"")</f>
        <v/>
      </c>
      <c r="E612" s="1"/>
      <c r="F612" s="2" t="str">
        <f>IFERROR(IF(MARÍTIMOS[[#This Row],[Transportista]]="","",MARÍTIMOS[[#This Row],[Transportista]]),"")</f>
        <v/>
      </c>
      <c r="G612" s="2" t="str">
        <f>IFERROR(IF(MARÍTIMOS[[#This Row],[Tercero]]="","",MARÍTIMOS[[#This Row],[Tercero]]),"")</f>
        <v/>
      </c>
      <c r="H612" s="2" t="str">
        <f>IFERROR(IF(MARÍTIMOS[[#This Row],[Razón Social]]="","",MARÍTIMOS[[#This Row],[Razón Social]]),"")</f>
        <v/>
      </c>
      <c r="I612" s="2" t="str">
        <f>IFERROR(IF(MARÍTIMOS[[#This Row],[RUC]]="","",MARÍTIMOS[[#This Row],[RUC]]),"")</f>
        <v/>
      </c>
      <c r="J612" s="2" t="str">
        <f>IFERROR(IF(MARÍTIMOS[[#This Row],[Placa Tracto]]="","",MARÍTIMOS[[#This Row],[Placa Tracto]]),"")</f>
        <v/>
      </c>
      <c r="K612" s="2" t="str">
        <f>IFERROR(IF(MARÍTIMOS[[#This Row],[Placa Carreta]]="","",MARÍTIMOS[[#This Row],[Placa Carreta]]),"")</f>
        <v/>
      </c>
      <c r="L612" s="44" t="str">
        <f>IFERROR(IF(MARÍTIMOS[[#This Row],[Conductor]]="","",MARÍTIMOS[[#This Row],[Conductor]]),"")</f>
        <v/>
      </c>
      <c r="M612" s="2" t="str">
        <f>IFERROR(IF(MARÍTIMOS[[#This Row],[Licencia]]="","",MARÍTIMOS[[#This Row],[Licencia]]),"")</f>
        <v/>
      </c>
      <c r="N612" s="2" t="str">
        <f>IFERROR(IF(MARÍTIMOS[[#This Row],[Número de Contacto]]="","",MARÍTIMOS[[#This Row],[Número de Contacto]]),"")</f>
        <v/>
      </c>
      <c r="O612" s="10" t="str">
        <f>IFERROR(IF(MARÍTIMOS[[#This Row],[Booking|AWB|CRT]]="","",MARÍTIMOS[[#This Row],[Booking|AWB|CRT]]),"")</f>
        <v/>
      </c>
      <c r="P612" s="2" t="str">
        <f>IFERROR(IF(MARÍTIMOS[[#This Row],[Contenedor]]="","",MARÍTIMOS[[#This Row],[Contenedor]]),"")</f>
        <v/>
      </c>
      <c r="Q612" s="2" t="str">
        <f>IFERROR(IF(MARÍTIMOS[[#This Row],[Puerto de Retiro]]="","",MARÍTIMOS[[#This Row],[Puerto de Retiro]]),"")</f>
        <v/>
      </c>
      <c r="R612" s="2" t="str">
        <f>IFERROR(IF(MARÍTIMOS[[#This Row],[Almacén de Retiro]]="","",MARÍTIMOS[[#This Row],[Almacén de Retiro]]),"")</f>
        <v/>
      </c>
      <c r="S612" s="11" t="str">
        <f>IFERROR(IF(MARÍTIMOS[[#This Row],[Etapa Retiro - Cita]]="","",MARÍTIMOS[[#This Row],[Etapa Retiro - Cita]]),"")</f>
        <v/>
      </c>
      <c r="T612" s="11" t="str">
        <f>IFERROR(IF(MARÍTIMOS[[#This Row],[Etapa Retiro - Llegada]]="","",MARÍTIMOS[[#This Row],[Etapa Retiro - Llegada]]),"")</f>
        <v/>
      </c>
      <c r="U612" s="11" t="str">
        <f>IFERROR(IF(MARÍTIMOS[[#This Row],[Etapa Retiro - Ingreso]]="","",MARÍTIMOS[[#This Row],[Etapa Retiro - Ingreso]]),"")</f>
        <v/>
      </c>
      <c r="V612" s="11" t="str">
        <f>IFERROR(IF(MARÍTIMOS[[#This Row],[Etapa Retiro - Atención]]="","",MARÍTIMOS[[#This Row],[Etapa Retiro - Atención]]),"")</f>
        <v/>
      </c>
      <c r="W612" s="11" t="str">
        <f>IFERROR(IF(MARÍTIMOS[[#This Row],[Etapa Retiro - Atención]]="","",MARÍTIMOS[[#This Row],[Etapa Retiro - Atención]]),"")</f>
        <v/>
      </c>
      <c r="X612" s="11" t="str">
        <f>IFERROR(IF(MARÍTIMOS[[#This Row],[Etapa Retiro - Inicio de Ruta]]="","",MARÍTIMOS[[#This Row],[Etapa Retiro - Inicio de Ruta]]),"")</f>
        <v/>
      </c>
      <c r="Y612" s="11" t="str">
        <f>IFERROR(IF(MARÍTIMOS[[#This Row],[Hora de Posicionamiento]]="","",MARÍTIMOS[[#This Row],[Fecha de Carga]]+MARÍTIMOS[[#This Row],[Hora de Posicionamiento]]),"")</f>
        <v/>
      </c>
      <c r="Z612" s="11" t="str">
        <f>IFERROR(IF(MARÍTIMOS[[#This Row],[Etapa Despacho - Llegada]]="","",MARÍTIMOS[[#This Row],[Etapa Despacho - Llegada]]),"")</f>
        <v/>
      </c>
      <c r="AA612" s="11" t="str">
        <f>IFERROR(IF(MARÍTIMOS[[#This Row],[Etapa Despacho - Registro]]="","",MARÍTIMOS[[#This Row],[Etapa Despacho - Registro]]),"")</f>
        <v/>
      </c>
      <c r="AB612" s="11" t="str">
        <f>IFERROR(IF(MARÍTIMOS[[#This Row],[Inspección Externa]]="","",MARÍTIMOS[[#This Row],[Inspección Externa]]),"")</f>
        <v/>
      </c>
      <c r="AC612" s="11" t="str">
        <f>IFERROR(IF(MARÍTIMOS[[#This Row],[Etapa Despacho - Inicio de Carga]]="","",MARÍTIMOS[[#This Row],[Etapa Despacho - Inicio de Carga]]),"")</f>
        <v/>
      </c>
      <c r="AD612" s="11" t="str">
        <f>IFERROR(IF(MARÍTIMOS[[#This Row],[Etapa Despacho - Mitad de Carga]]="","",MARÍTIMOS[[#This Row],[Etapa Despacho - Mitad de Carga]]),"")</f>
        <v/>
      </c>
      <c r="AE612" s="11" t="str">
        <f>IFERROR(IF(MARÍTIMOS[[#This Row],[Etapa Despacho - Fin de Carga]]="","",MARÍTIMOS[[#This Row],[Etapa Despacho - Fin de Carga]]),"")</f>
        <v/>
      </c>
      <c r="AF612" s="2" t="str">
        <f>IFERROR(IF(MARÍTIMOS[[#This Row],[Puerto de Embarque]]="","",MARÍTIMOS[[#This Row],[Puerto de Embarque]]),"")</f>
        <v/>
      </c>
      <c r="AG612" s="2" t="str">
        <f>IFERROR(IF(MARÍTIMOS[[#This Row],[Almacén de Ingreso]]="","",MARÍTIMOS[[#This Row],[Almacén de Ingreso]]),"")</f>
        <v/>
      </c>
      <c r="AH612" s="11" t="str">
        <f>IFERROR(IF(MARÍTIMOS[[#This Row],[Etapa Ingreso - Cita]]="","",MARÍTIMOS[[#This Row],[Etapa Ingreso - Cita]]),"")</f>
        <v/>
      </c>
      <c r="AI612" s="11" t="str">
        <f>IFERROR(IF(MARÍTIMOS[[#This Row],[Etapa Ingreso - Llegada]]="","",MARÍTIMOS[[#This Row],[Etapa Ingreso - Llegada]]),"")</f>
        <v/>
      </c>
      <c r="AJ612" s="11" t="str">
        <f>IFERROR(IF(MARÍTIMOS[[#This Row],[Etapa Ingreso - Ingeso]]="","",MARÍTIMOS[[#This Row],[Etapa Ingreso - Ingeso]]),"")</f>
        <v/>
      </c>
      <c r="AK612" s="11" t="str">
        <f>IFERROR(IF(MARÍTIMOS[[#This Row],[Etapa Ingreso - Atención]]="","",MARÍTIMOS[[#This Row],[Etapa Ingreso - Atención]]),"")</f>
        <v/>
      </c>
      <c r="AL612" s="11" t="str">
        <f>IFERROR(IF(MARÍTIMOS[[#This Row],[Etapa Ingreso - Salida]]="","",MARÍTIMOS[[#This Row],[Etapa Ingreso - Salida]]),"")</f>
        <v/>
      </c>
      <c r="AM612" s="2" t="str">
        <f>IFERROR(IF(MARÍTIMOS[[#This Row],[FCL]]="","",MARÍTIMOS[[#This Row],[FCL]]),"")</f>
        <v/>
      </c>
      <c r="AN6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2" s="4" t="str" cm="1">
        <f t="array" ref="AO6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2" s="5" t="str">
        <f>IFERROR(OLDBD[[#This Row],[Llegada a packing]]-OLDBD[[#This Row],[Inicio de Ruta]],"")</f>
        <v/>
      </c>
      <c r="AQ612" s="6" t="str">
        <f>IFERROR(OLDBD[[#This Row],[Inicio de Ruta]]-OLDBD[[#This Row],[Salida de almacén de retiro]],"")</f>
        <v/>
      </c>
      <c r="AR6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2" s="8" t="str" cm="1">
        <f t="array" ref="AS6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2" s="9" t="str">
        <f>IFERROR(OLDBD[[#This Row],[Ingreso Packing]]-OLDBD[[#This Row],[Registro en Packing]],"")</f>
        <v/>
      </c>
      <c r="AV612" s="9" t="str">
        <f>IFERROR(OLDBD[[#This Row],[Ingreso Packing]]-OLDBD[[#This Row],[Llegada a packing]],"")</f>
        <v/>
      </c>
      <c r="AW6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2" s="5" t="str">
        <f>IFERROR(OLDBD[[#This Row],[Llegada Almacén de Ingreso]]-OLDBD[[#This Row],[Salida Packing]],"")</f>
        <v/>
      </c>
      <c r="AY612" s="4" t="str" cm="1">
        <f t="array" ref="AY6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2" s="43" t="s">
        <v>173</v>
      </c>
      <c r="BB612" s="47" t="str">
        <f>IFERROR(IF(MARÍTIMOS[[#This Row],[Estatus]]="","",MARÍTIMOS[[#This Row],[Estatus]]),"")</f>
        <v/>
      </c>
      <c r="BC612" s="43"/>
      <c r="BD612" s="46" t="str">
        <f>IFERROR(OLDBD[[#This Row],[Salida de almacén de retiro]]-OLDBD[[#This Row],[Ingreso Almacén de retiro]],"")</f>
        <v/>
      </c>
      <c r="BE612" s="46" t="str">
        <f>IFERROR(OLDBD[[#This Row],[Fin de Carga]]-OLDBD[[#This Row],[Inicio de Carga]],"")</f>
        <v/>
      </c>
    </row>
    <row r="613" spans="1:57" customFormat="1" hidden="1">
      <c r="A613" s="1"/>
      <c r="B613" s="1" t="str">
        <f>IFERROR(IF(MARÍTIMOS[[#This Row],[PP]]="","",MARÍTIMOS[[#This Row],[PP]]),"")</f>
        <v/>
      </c>
      <c r="C613" s="1" t="str">
        <f>IFERROR(IF(MARÍTIMOS[[#This Row],[Sede]]="","",MARÍTIMOS[[#This Row],[Sede]]),"")</f>
        <v/>
      </c>
      <c r="D613" s="1" t="str">
        <f>IFERROR(IF(MARÍTIMOS[[#This Row],[Instruction]]="","",MARÍTIMOS[[#This Row],[Instruction]]),"")</f>
        <v/>
      </c>
      <c r="E613" s="1"/>
      <c r="F613" s="2" t="str">
        <f>IFERROR(IF(MARÍTIMOS[[#This Row],[Transportista]]="","",MARÍTIMOS[[#This Row],[Transportista]]),"")</f>
        <v/>
      </c>
      <c r="G613" s="2" t="str">
        <f>IFERROR(IF(MARÍTIMOS[[#This Row],[Tercero]]="","",MARÍTIMOS[[#This Row],[Tercero]]),"")</f>
        <v/>
      </c>
      <c r="H613" s="2" t="str">
        <f>IFERROR(IF(MARÍTIMOS[[#This Row],[Razón Social]]="","",MARÍTIMOS[[#This Row],[Razón Social]]),"")</f>
        <v/>
      </c>
      <c r="I613" s="2" t="str">
        <f>IFERROR(IF(MARÍTIMOS[[#This Row],[RUC]]="","",MARÍTIMOS[[#This Row],[RUC]]),"")</f>
        <v/>
      </c>
      <c r="J613" s="2" t="str">
        <f>IFERROR(IF(MARÍTIMOS[[#This Row],[Placa Tracto]]="","",MARÍTIMOS[[#This Row],[Placa Tracto]]),"")</f>
        <v/>
      </c>
      <c r="K613" s="2" t="str">
        <f>IFERROR(IF(MARÍTIMOS[[#This Row],[Placa Carreta]]="","",MARÍTIMOS[[#This Row],[Placa Carreta]]),"")</f>
        <v/>
      </c>
      <c r="L613" s="44" t="str">
        <f>IFERROR(IF(MARÍTIMOS[[#This Row],[Conductor]]="","",MARÍTIMOS[[#This Row],[Conductor]]),"")</f>
        <v/>
      </c>
      <c r="M613" s="2" t="str">
        <f>IFERROR(IF(MARÍTIMOS[[#This Row],[Licencia]]="","",MARÍTIMOS[[#This Row],[Licencia]]),"")</f>
        <v/>
      </c>
      <c r="N613" s="2" t="str">
        <f>IFERROR(IF(MARÍTIMOS[[#This Row],[Número de Contacto]]="","",MARÍTIMOS[[#This Row],[Número de Contacto]]),"")</f>
        <v/>
      </c>
      <c r="O613" s="10" t="str">
        <f>IFERROR(IF(MARÍTIMOS[[#This Row],[Booking|AWB|CRT]]="","",MARÍTIMOS[[#This Row],[Booking|AWB|CRT]]),"")</f>
        <v/>
      </c>
      <c r="P613" s="2" t="str">
        <f>IFERROR(IF(MARÍTIMOS[[#This Row],[Contenedor]]="","",MARÍTIMOS[[#This Row],[Contenedor]]),"")</f>
        <v/>
      </c>
      <c r="Q613" s="2" t="str">
        <f>IFERROR(IF(MARÍTIMOS[[#This Row],[Puerto de Retiro]]="","",MARÍTIMOS[[#This Row],[Puerto de Retiro]]),"")</f>
        <v/>
      </c>
      <c r="R613" s="2" t="str">
        <f>IFERROR(IF(MARÍTIMOS[[#This Row],[Almacén de Retiro]]="","",MARÍTIMOS[[#This Row],[Almacén de Retiro]]),"")</f>
        <v/>
      </c>
      <c r="S613" s="11" t="str">
        <f>IFERROR(IF(MARÍTIMOS[[#This Row],[Etapa Retiro - Cita]]="","",MARÍTIMOS[[#This Row],[Etapa Retiro - Cita]]),"")</f>
        <v/>
      </c>
      <c r="T613" s="11" t="str">
        <f>IFERROR(IF(MARÍTIMOS[[#This Row],[Etapa Retiro - Llegada]]="","",MARÍTIMOS[[#This Row],[Etapa Retiro - Llegada]]),"")</f>
        <v/>
      </c>
      <c r="U613" s="11" t="str">
        <f>IFERROR(IF(MARÍTIMOS[[#This Row],[Etapa Retiro - Ingreso]]="","",MARÍTIMOS[[#This Row],[Etapa Retiro - Ingreso]]),"")</f>
        <v/>
      </c>
      <c r="V613" s="11" t="str">
        <f>IFERROR(IF(MARÍTIMOS[[#This Row],[Etapa Retiro - Atención]]="","",MARÍTIMOS[[#This Row],[Etapa Retiro - Atención]]),"")</f>
        <v/>
      </c>
      <c r="W613" s="11" t="str">
        <f>IFERROR(IF(MARÍTIMOS[[#This Row],[Etapa Retiro - Atención]]="","",MARÍTIMOS[[#This Row],[Etapa Retiro - Atención]]),"")</f>
        <v/>
      </c>
      <c r="X613" s="11" t="str">
        <f>IFERROR(IF(MARÍTIMOS[[#This Row],[Etapa Retiro - Inicio de Ruta]]="","",MARÍTIMOS[[#This Row],[Etapa Retiro - Inicio de Ruta]]),"")</f>
        <v/>
      </c>
      <c r="Y613" s="11" t="str">
        <f>IFERROR(IF(MARÍTIMOS[[#This Row],[Hora de Posicionamiento]]="","",MARÍTIMOS[[#This Row],[Fecha de Carga]]+MARÍTIMOS[[#This Row],[Hora de Posicionamiento]]),"")</f>
        <v/>
      </c>
      <c r="Z613" s="11" t="str">
        <f>IFERROR(IF(MARÍTIMOS[[#This Row],[Etapa Despacho - Llegada]]="","",MARÍTIMOS[[#This Row],[Etapa Despacho - Llegada]]),"")</f>
        <v/>
      </c>
      <c r="AA613" s="11" t="str">
        <f>IFERROR(IF(MARÍTIMOS[[#This Row],[Etapa Despacho - Registro]]="","",MARÍTIMOS[[#This Row],[Etapa Despacho - Registro]]),"")</f>
        <v/>
      </c>
      <c r="AB613" s="11" t="str">
        <f>IFERROR(IF(MARÍTIMOS[[#This Row],[Inspección Externa]]="","",MARÍTIMOS[[#This Row],[Inspección Externa]]),"")</f>
        <v/>
      </c>
      <c r="AC613" s="11" t="str">
        <f>IFERROR(IF(MARÍTIMOS[[#This Row],[Etapa Despacho - Inicio de Carga]]="","",MARÍTIMOS[[#This Row],[Etapa Despacho - Inicio de Carga]]),"")</f>
        <v/>
      </c>
      <c r="AD613" s="11" t="str">
        <f>IFERROR(IF(MARÍTIMOS[[#This Row],[Etapa Despacho - Mitad de Carga]]="","",MARÍTIMOS[[#This Row],[Etapa Despacho - Mitad de Carga]]),"")</f>
        <v/>
      </c>
      <c r="AE613" s="11" t="str">
        <f>IFERROR(IF(MARÍTIMOS[[#This Row],[Etapa Despacho - Fin de Carga]]="","",MARÍTIMOS[[#This Row],[Etapa Despacho - Fin de Carga]]),"")</f>
        <v/>
      </c>
      <c r="AF613" s="2" t="str">
        <f>IFERROR(IF(MARÍTIMOS[[#This Row],[Puerto de Embarque]]="","",MARÍTIMOS[[#This Row],[Puerto de Embarque]]),"")</f>
        <v/>
      </c>
      <c r="AG613" s="2" t="str">
        <f>IFERROR(IF(MARÍTIMOS[[#This Row],[Almacén de Ingreso]]="","",MARÍTIMOS[[#This Row],[Almacén de Ingreso]]),"")</f>
        <v/>
      </c>
      <c r="AH613" s="11" t="str">
        <f>IFERROR(IF(MARÍTIMOS[[#This Row],[Etapa Ingreso - Cita]]="","",MARÍTIMOS[[#This Row],[Etapa Ingreso - Cita]]),"")</f>
        <v/>
      </c>
      <c r="AI613" s="11" t="str">
        <f>IFERROR(IF(MARÍTIMOS[[#This Row],[Etapa Ingreso - Llegada]]="","",MARÍTIMOS[[#This Row],[Etapa Ingreso - Llegada]]),"")</f>
        <v/>
      </c>
      <c r="AJ613" s="11" t="str">
        <f>IFERROR(IF(MARÍTIMOS[[#This Row],[Etapa Ingreso - Ingeso]]="","",MARÍTIMOS[[#This Row],[Etapa Ingreso - Ingeso]]),"")</f>
        <v/>
      </c>
      <c r="AK613" s="11" t="str">
        <f>IFERROR(IF(MARÍTIMOS[[#This Row],[Etapa Ingreso - Atención]]="","",MARÍTIMOS[[#This Row],[Etapa Ingreso - Atención]]),"")</f>
        <v/>
      </c>
      <c r="AL613" s="11" t="str">
        <f>IFERROR(IF(MARÍTIMOS[[#This Row],[Etapa Ingreso - Salida]]="","",MARÍTIMOS[[#This Row],[Etapa Ingreso - Salida]]),"")</f>
        <v/>
      </c>
      <c r="AM613" s="2" t="str">
        <f>IFERROR(IF(MARÍTIMOS[[#This Row],[FCL]]="","",MARÍTIMOS[[#This Row],[FCL]]),"")</f>
        <v/>
      </c>
      <c r="AN6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3" s="4" t="str" cm="1">
        <f t="array" ref="AO6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3" s="5" t="str">
        <f>IFERROR(OLDBD[[#This Row],[Llegada a packing]]-OLDBD[[#This Row],[Inicio de Ruta]],"")</f>
        <v/>
      </c>
      <c r="AQ613" s="6" t="str">
        <f>IFERROR(OLDBD[[#This Row],[Inicio de Ruta]]-OLDBD[[#This Row],[Salida de almacén de retiro]],"")</f>
        <v/>
      </c>
      <c r="AR6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3" s="8" t="str" cm="1">
        <f t="array" ref="AS6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3" s="9" t="str">
        <f>IFERROR(OLDBD[[#This Row],[Ingreso Packing]]-OLDBD[[#This Row],[Registro en Packing]],"")</f>
        <v/>
      </c>
      <c r="AV613" s="9" t="str">
        <f>IFERROR(OLDBD[[#This Row],[Ingreso Packing]]-OLDBD[[#This Row],[Llegada a packing]],"")</f>
        <v/>
      </c>
      <c r="AW6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3" s="5" t="str">
        <f>IFERROR(OLDBD[[#This Row],[Llegada Almacén de Ingreso]]-OLDBD[[#This Row],[Salida Packing]],"")</f>
        <v/>
      </c>
      <c r="AY613" s="4" t="str" cm="1">
        <f t="array" ref="AY6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3" s="43" t="s">
        <v>173</v>
      </c>
      <c r="BB613" s="47" t="str">
        <f>IFERROR(IF(MARÍTIMOS[[#This Row],[Estatus]]="","",MARÍTIMOS[[#This Row],[Estatus]]),"")</f>
        <v/>
      </c>
      <c r="BC613" s="43"/>
      <c r="BD613" s="46" t="str">
        <f>IFERROR(OLDBD[[#This Row],[Salida de almacén de retiro]]-OLDBD[[#This Row],[Ingreso Almacén de retiro]],"")</f>
        <v/>
      </c>
      <c r="BE613" s="46" t="str">
        <f>IFERROR(OLDBD[[#This Row],[Fin de Carga]]-OLDBD[[#This Row],[Inicio de Carga]],"")</f>
        <v/>
      </c>
    </row>
    <row r="614" spans="1:57" customFormat="1" hidden="1">
      <c r="A614" s="1"/>
      <c r="B614" s="1" t="str">
        <f>IFERROR(IF(MARÍTIMOS[[#This Row],[PP]]="","",MARÍTIMOS[[#This Row],[PP]]),"")</f>
        <v/>
      </c>
      <c r="C614" s="1" t="str">
        <f>IFERROR(IF(MARÍTIMOS[[#This Row],[Sede]]="","",MARÍTIMOS[[#This Row],[Sede]]),"")</f>
        <v/>
      </c>
      <c r="D614" s="1" t="str">
        <f>IFERROR(IF(MARÍTIMOS[[#This Row],[Instruction]]="","",MARÍTIMOS[[#This Row],[Instruction]]),"")</f>
        <v/>
      </c>
      <c r="E614" s="1"/>
      <c r="F614" s="2" t="str">
        <f>IFERROR(IF(MARÍTIMOS[[#This Row],[Transportista]]="","",MARÍTIMOS[[#This Row],[Transportista]]),"")</f>
        <v/>
      </c>
      <c r="G614" s="2" t="str">
        <f>IFERROR(IF(MARÍTIMOS[[#This Row],[Tercero]]="","",MARÍTIMOS[[#This Row],[Tercero]]),"")</f>
        <v/>
      </c>
      <c r="H614" s="2" t="str">
        <f>IFERROR(IF(MARÍTIMOS[[#This Row],[Razón Social]]="","",MARÍTIMOS[[#This Row],[Razón Social]]),"")</f>
        <v/>
      </c>
      <c r="I614" s="2" t="str">
        <f>IFERROR(IF(MARÍTIMOS[[#This Row],[RUC]]="","",MARÍTIMOS[[#This Row],[RUC]]),"")</f>
        <v/>
      </c>
      <c r="J614" s="2" t="str">
        <f>IFERROR(IF(MARÍTIMOS[[#This Row],[Placa Tracto]]="","",MARÍTIMOS[[#This Row],[Placa Tracto]]),"")</f>
        <v/>
      </c>
      <c r="K614" s="2" t="str">
        <f>IFERROR(IF(MARÍTIMOS[[#This Row],[Placa Carreta]]="","",MARÍTIMOS[[#This Row],[Placa Carreta]]),"")</f>
        <v/>
      </c>
      <c r="L614" s="44" t="str">
        <f>IFERROR(IF(MARÍTIMOS[[#This Row],[Conductor]]="","",MARÍTIMOS[[#This Row],[Conductor]]),"")</f>
        <v/>
      </c>
      <c r="M614" s="2" t="str">
        <f>IFERROR(IF(MARÍTIMOS[[#This Row],[Licencia]]="","",MARÍTIMOS[[#This Row],[Licencia]]),"")</f>
        <v/>
      </c>
      <c r="N614" s="2" t="str">
        <f>IFERROR(IF(MARÍTIMOS[[#This Row],[Número de Contacto]]="","",MARÍTIMOS[[#This Row],[Número de Contacto]]),"")</f>
        <v/>
      </c>
      <c r="O614" s="10" t="str">
        <f>IFERROR(IF(MARÍTIMOS[[#This Row],[Booking|AWB|CRT]]="","",MARÍTIMOS[[#This Row],[Booking|AWB|CRT]]),"")</f>
        <v/>
      </c>
      <c r="P614" s="2" t="str">
        <f>IFERROR(IF(MARÍTIMOS[[#This Row],[Contenedor]]="","",MARÍTIMOS[[#This Row],[Contenedor]]),"")</f>
        <v/>
      </c>
      <c r="Q614" s="2" t="str">
        <f>IFERROR(IF(MARÍTIMOS[[#This Row],[Puerto de Retiro]]="","",MARÍTIMOS[[#This Row],[Puerto de Retiro]]),"")</f>
        <v/>
      </c>
      <c r="R614" s="2" t="str">
        <f>IFERROR(IF(MARÍTIMOS[[#This Row],[Almacén de Retiro]]="","",MARÍTIMOS[[#This Row],[Almacén de Retiro]]),"")</f>
        <v/>
      </c>
      <c r="S614" s="11" t="str">
        <f>IFERROR(IF(MARÍTIMOS[[#This Row],[Etapa Retiro - Cita]]="","",MARÍTIMOS[[#This Row],[Etapa Retiro - Cita]]),"")</f>
        <v/>
      </c>
      <c r="T614" s="11" t="str">
        <f>IFERROR(IF(MARÍTIMOS[[#This Row],[Etapa Retiro - Llegada]]="","",MARÍTIMOS[[#This Row],[Etapa Retiro - Llegada]]),"")</f>
        <v/>
      </c>
      <c r="U614" s="11" t="str">
        <f>IFERROR(IF(MARÍTIMOS[[#This Row],[Etapa Retiro - Ingreso]]="","",MARÍTIMOS[[#This Row],[Etapa Retiro - Ingreso]]),"")</f>
        <v/>
      </c>
      <c r="V614" s="11" t="str">
        <f>IFERROR(IF(MARÍTIMOS[[#This Row],[Etapa Retiro - Atención]]="","",MARÍTIMOS[[#This Row],[Etapa Retiro - Atención]]),"")</f>
        <v/>
      </c>
      <c r="W614" s="11" t="str">
        <f>IFERROR(IF(MARÍTIMOS[[#This Row],[Etapa Retiro - Atención]]="","",MARÍTIMOS[[#This Row],[Etapa Retiro - Atención]]),"")</f>
        <v/>
      </c>
      <c r="X614" s="11" t="str">
        <f>IFERROR(IF(MARÍTIMOS[[#This Row],[Etapa Retiro - Inicio de Ruta]]="","",MARÍTIMOS[[#This Row],[Etapa Retiro - Inicio de Ruta]]),"")</f>
        <v/>
      </c>
      <c r="Y614" s="11" t="str">
        <f>IFERROR(IF(MARÍTIMOS[[#This Row],[Hora de Posicionamiento]]="","",MARÍTIMOS[[#This Row],[Fecha de Carga]]+MARÍTIMOS[[#This Row],[Hora de Posicionamiento]]),"")</f>
        <v/>
      </c>
      <c r="Z614" s="11" t="str">
        <f>IFERROR(IF(MARÍTIMOS[[#This Row],[Etapa Despacho - Llegada]]="","",MARÍTIMOS[[#This Row],[Etapa Despacho - Llegada]]),"")</f>
        <v/>
      </c>
      <c r="AA614" s="11" t="str">
        <f>IFERROR(IF(MARÍTIMOS[[#This Row],[Etapa Despacho - Registro]]="","",MARÍTIMOS[[#This Row],[Etapa Despacho - Registro]]),"")</f>
        <v/>
      </c>
      <c r="AB614" s="11" t="str">
        <f>IFERROR(IF(MARÍTIMOS[[#This Row],[Inspección Externa]]="","",MARÍTIMOS[[#This Row],[Inspección Externa]]),"")</f>
        <v/>
      </c>
      <c r="AC614" s="11" t="str">
        <f>IFERROR(IF(MARÍTIMOS[[#This Row],[Etapa Despacho - Inicio de Carga]]="","",MARÍTIMOS[[#This Row],[Etapa Despacho - Inicio de Carga]]),"")</f>
        <v/>
      </c>
      <c r="AD614" s="11" t="str">
        <f>IFERROR(IF(MARÍTIMOS[[#This Row],[Etapa Despacho - Mitad de Carga]]="","",MARÍTIMOS[[#This Row],[Etapa Despacho - Mitad de Carga]]),"")</f>
        <v/>
      </c>
      <c r="AE614" s="11" t="str">
        <f>IFERROR(IF(MARÍTIMOS[[#This Row],[Etapa Despacho - Fin de Carga]]="","",MARÍTIMOS[[#This Row],[Etapa Despacho - Fin de Carga]]),"")</f>
        <v/>
      </c>
      <c r="AF614" s="2" t="str">
        <f>IFERROR(IF(MARÍTIMOS[[#This Row],[Puerto de Embarque]]="","",MARÍTIMOS[[#This Row],[Puerto de Embarque]]),"")</f>
        <v/>
      </c>
      <c r="AG614" s="2" t="str">
        <f>IFERROR(IF(MARÍTIMOS[[#This Row],[Almacén de Ingreso]]="","",MARÍTIMOS[[#This Row],[Almacén de Ingreso]]),"")</f>
        <v/>
      </c>
      <c r="AH614" s="11" t="str">
        <f>IFERROR(IF(MARÍTIMOS[[#This Row],[Etapa Ingreso - Cita]]="","",MARÍTIMOS[[#This Row],[Etapa Ingreso - Cita]]),"")</f>
        <v/>
      </c>
      <c r="AI614" s="11" t="str">
        <f>IFERROR(IF(MARÍTIMOS[[#This Row],[Etapa Ingreso - Llegada]]="","",MARÍTIMOS[[#This Row],[Etapa Ingreso - Llegada]]),"")</f>
        <v/>
      </c>
      <c r="AJ614" s="11" t="str">
        <f>IFERROR(IF(MARÍTIMOS[[#This Row],[Etapa Ingreso - Ingeso]]="","",MARÍTIMOS[[#This Row],[Etapa Ingreso - Ingeso]]),"")</f>
        <v/>
      </c>
      <c r="AK614" s="11" t="str">
        <f>IFERROR(IF(MARÍTIMOS[[#This Row],[Etapa Ingreso - Atención]]="","",MARÍTIMOS[[#This Row],[Etapa Ingreso - Atención]]),"")</f>
        <v/>
      </c>
      <c r="AL614" s="11" t="str">
        <f>IFERROR(IF(MARÍTIMOS[[#This Row],[Etapa Ingreso - Salida]]="","",MARÍTIMOS[[#This Row],[Etapa Ingreso - Salida]]),"")</f>
        <v/>
      </c>
      <c r="AM614" s="2" t="str">
        <f>IFERROR(IF(MARÍTIMOS[[#This Row],[FCL]]="","",MARÍTIMOS[[#This Row],[FCL]]),"")</f>
        <v/>
      </c>
      <c r="AN6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4" s="4" t="str" cm="1">
        <f t="array" ref="AO6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4" s="5" t="str">
        <f>IFERROR(OLDBD[[#This Row],[Llegada a packing]]-OLDBD[[#This Row],[Inicio de Ruta]],"")</f>
        <v/>
      </c>
      <c r="AQ614" s="6" t="str">
        <f>IFERROR(OLDBD[[#This Row],[Inicio de Ruta]]-OLDBD[[#This Row],[Salida de almacén de retiro]],"")</f>
        <v/>
      </c>
      <c r="AR6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4" s="8" t="str" cm="1">
        <f t="array" ref="AS6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4" s="9" t="str">
        <f>IFERROR(OLDBD[[#This Row],[Ingreso Packing]]-OLDBD[[#This Row],[Registro en Packing]],"")</f>
        <v/>
      </c>
      <c r="AV614" s="9" t="str">
        <f>IFERROR(OLDBD[[#This Row],[Ingreso Packing]]-OLDBD[[#This Row],[Llegada a packing]],"")</f>
        <v/>
      </c>
      <c r="AW6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4" s="5" t="str">
        <f>IFERROR(OLDBD[[#This Row],[Llegada Almacén de Ingreso]]-OLDBD[[#This Row],[Salida Packing]],"")</f>
        <v/>
      </c>
      <c r="AY614" s="4" t="str" cm="1">
        <f t="array" ref="AY6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4" s="43" t="s">
        <v>173</v>
      </c>
      <c r="BB614" s="47" t="str">
        <f>IFERROR(IF(MARÍTIMOS[[#This Row],[Estatus]]="","",MARÍTIMOS[[#This Row],[Estatus]]),"")</f>
        <v/>
      </c>
      <c r="BC614" s="43"/>
      <c r="BD614" s="46" t="str">
        <f>IFERROR(OLDBD[[#This Row],[Salida de almacén de retiro]]-OLDBD[[#This Row],[Ingreso Almacén de retiro]],"")</f>
        <v/>
      </c>
      <c r="BE614" s="46" t="str">
        <f>IFERROR(OLDBD[[#This Row],[Fin de Carga]]-OLDBD[[#This Row],[Inicio de Carga]],"")</f>
        <v/>
      </c>
    </row>
    <row r="615" spans="1:57" customFormat="1" hidden="1">
      <c r="A615" s="1"/>
      <c r="B615" s="1" t="str">
        <f>IFERROR(IF(MARÍTIMOS[[#This Row],[PP]]="","",MARÍTIMOS[[#This Row],[PP]]),"")</f>
        <v/>
      </c>
      <c r="C615" s="1" t="str">
        <f>IFERROR(IF(MARÍTIMOS[[#This Row],[Sede]]="","",MARÍTIMOS[[#This Row],[Sede]]),"")</f>
        <v/>
      </c>
      <c r="D615" s="1" t="str">
        <f>IFERROR(IF(MARÍTIMOS[[#This Row],[Instruction]]="","",MARÍTIMOS[[#This Row],[Instruction]]),"")</f>
        <v/>
      </c>
      <c r="E615" s="1"/>
      <c r="F615" s="2" t="str">
        <f>IFERROR(IF(MARÍTIMOS[[#This Row],[Transportista]]="","",MARÍTIMOS[[#This Row],[Transportista]]),"")</f>
        <v/>
      </c>
      <c r="G615" s="2" t="str">
        <f>IFERROR(IF(MARÍTIMOS[[#This Row],[Tercero]]="","",MARÍTIMOS[[#This Row],[Tercero]]),"")</f>
        <v/>
      </c>
      <c r="H615" s="2" t="str">
        <f>IFERROR(IF(MARÍTIMOS[[#This Row],[Razón Social]]="","",MARÍTIMOS[[#This Row],[Razón Social]]),"")</f>
        <v/>
      </c>
      <c r="I615" s="2" t="str">
        <f>IFERROR(IF(MARÍTIMOS[[#This Row],[RUC]]="","",MARÍTIMOS[[#This Row],[RUC]]),"")</f>
        <v/>
      </c>
      <c r="J615" s="2" t="str">
        <f>IFERROR(IF(MARÍTIMOS[[#This Row],[Placa Tracto]]="","",MARÍTIMOS[[#This Row],[Placa Tracto]]),"")</f>
        <v/>
      </c>
      <c r="K615" s="2" t="str">
        <f>IFERROR(IF(MARÍTIMOS[[#This Row],[Placa Carreta]]="","",MARÍTIMOS[[#This Row],[Placa Carreta]]),"")</f>
        <v/>
      </c>
      <c r="L615" s="44" t="str">
        <f>IFERROR(IF(MARÍTIMOS[[#This Row],[Conductor]]="","",MARÍTIMOS[[#This Row],[Conductor]]),"")</f>
        <v/>
      </c>
      <c r="M615" s="2" t="str">
        <f>IFERROR(IF(MARÍTIMOS[[#This Row],[Licencia]]="","",MARÍTIMOS[[#This Row],[Licencia]]),"")</f>
        <v/>
      </c>
      <c r="N615" s="2" t="str">
        <f>IFERROR(IF(MARÍTIMOS[[#This Row],[Número de Contacto]]="","",MARÍTIMOS[[#This Row],[Número de Contacto]]),"")</f>
        <v/>
      </c>
      <c r="O615" s="10" t="str">
        <f>IFERROR(IF(MARÍTIMOS[[#This Row],[Booking|AWB|CRT]]="","",MARÍTIMOS[[#This Row],[Booking|AWB|CRT]]),"")</f>
        <v/>
      </c>
      <c r="P615" s="2" t="str">
        <f>IFERROR(IF(MARÍTIMOS[[#This Row],[Contenedor]]="","",MARÍTIMOS[[#This Row],[Contenedor]]),"")</f>
        <v/>
      </c>
      <c r="Q615" s="2" t="str">
        <f>IFERROR(IF(MARÍTIMOS[[#This Row],[Puerto de Retiro]]="","",MARÍTIMOS[[#This Row],[Puerto de Retiro]]),"")</f>
        <v/>
      </c>
      <c r="R615" s="2" t="str">
        <f>IFERROR(IF(MARÍTIMOS[[#This Row],[Almacén de Retiro]]="","",MARÍTIMOS[[#This Row],[Almacén de Retiro]]),"")</f>
        <v/>
      </c>
      <c r="S615" s="11" t="str">
        <f>IFERROR(IF(MARÍTIMOS[[#This Row],[Etapa Retiro - Cita]]="","",MARÍTIMOS[[#This Row],[Etapa Retiro - Cita]]),"")</f>
        <v/>
      </c>
      <c r="T615" s="11" t="str">
        <f>IFERROR(IF(MARÍTIMOS[[#This Row],[Etapa Retiro - Llegada]]="","",MARÍTIMOS[[#This Row],[Etapa Retiro - Llegada]]),"")</f>
        <v/>
      </c>
      <c r="U615" s="11" t="str">
        <f>IFERROR(IF(MARÍTIMOS[[#This Row],[Etapa Retiro - Ingreso]]="","",MARÍTIMOS[[#This Row],[Etapa Retiro - Ingreso]]),"")</f>
        <v/>
      </c>
      <c r="V615" s="11" t="str">
        <f>IFERROR(IF(MARÍTIMOS[[#This Row],[Etapa Retiro - Atención]]="","",MARÍTIMOS[[#This Row],[Etapa Retiro - Atención]]),"")</f>
        <v/>
      </c>
      <c r="W615" s="11" t="str">
        <f>IFERROR(IF(MARÍTIMOS[[#This Row],[Etapa Retiro - Atención]]="","",MARÍTIMOS[[#This Row],[Etapa Retiro - Atención]]),"")</f>
        <v/>
      </c>
      <c r="X615" s="11" t="str">
        <f>IFERROR(IF(MARÍTIMOS[[#This Row],[Etapa Retiro - Inicio de Ruta]]="","",MARÍTIMOS[[#This Row],[Etapa Retiro - Inicio de Ruta]]),"")</f>
        <v/>
      </c>
      <c r="Y615" s="11" t="str">
        <f>IFERROR(IF(MARÍTIMOS[[#This Row],[Hora de Posicionamiento]]="","",MARÍTIMOS[[#This Row],[Fecha de Carga]]+MARÍTIMOS[[#This Row],[Hora de Posicionamiento]]),"")</f>
        <v/>
      </c>
      <c r="Z615" s="11" t="str">
        <f>IFERROR(IF(MARÍTIMOS[[#This Row],[Etapa Despacho - Llegada]]="","",MARÍTIMOS[[#This Row],[Etapa Despacho - Llegada]]),"")</f>
        <v/>
      </c>
      <c r="AA615" s="11" t="str">
        <f>IFERROR(IF(MARÍTIMOS[[#This Row],[Etapa Despacho - Registro]]="","",MARÍTIMOS[[#This Row],[Etapa Despacho - Registro]]),"")</f>
        <v/>
      </c>
      <c r="AB615" s="11" t="str">
        <f>IFERROR(IF(MARÍTIMOS[[#This Row],[Inspección Externa]]="","",MARÍTIMOS[[#This Row],[Inspección Externa]]),"")</f>
        <v/>
      </c>
      <c r="AC615" s="11" t="str">
        <f>IFERROR(IF(MARÍTIMOS[[#This Row],[Etapa Despacho - Inicio de Carga]]="","",MARÍTIMOS[[#This Row],[Etapa Despacho - Inicio de Carga]]),"")</f>
        <v/>
      </c>
      <c r="AD615" s="11" t="str">
        <f>IFERROR(IF(MARÍTIMOS[[#This Row],[Etapa Despacho - Mitad de Carga]]="","",MARÍTIMOS[[#This Row],[Etapa Despacho - Mitad de Carga]]),"")</f>
        <v/>
      </c>
      <c r="AE615" s="11" t="str">
        <f>IFERROR(IF(MARÍTIMOS[[#This Row],[Etapa Despacho - Fin de Carga]]="","",MARÍTIMOS[[#This Row],[Etapa Despacho - Fin de Carga]]),"")</f>
        <v/>
      </c>
      <c r="AF615" s="2" t="str">
        <f>IFERROR(IF(MARÍTIMOS[[#This Row],[Puerto de Embarque]]="","",MARÍTIMOS[[#This Row],[Puerto de Embarque]]),"")</f>
        <v/>
      </c>
      <c r="AG615" s="2" t="str">
        <f>IFERROR(IF(MARÍTIMOS[[#This Row],[Almacén de Ingreso]]="","",MARÍTIMOS[[#This Row],[Almacén de Ingreso]]),"")</f>
        <v/>
      </c>
      <c r="AH615" s="11" t="str">
        <f>IFERROR(IF(MARÍTIMOS[[#This Row],[Etapa Ingreso - Cita]]="","",MARÍTIMOS[[#This Row],[Etapa Ingreso - Cita]]),"")</f>
        <v/>
      </c>
      <c r="AI615" s="11" t="str">
        <f>IFERROR(IF(MARÍTIMOS[[#This Row],[Etapa Ingreso - Llegada]]="","",MARÍTIMOS[[#This Row],[Etapa Ingreso - Llegada]]),"")</f>
        <v/>
      </c>
      <c r="AJ615" s="11" t="str">
        <f>IFERROR(IF(MARÍTIMOS[[#This Row],[Etapa Ingreso - Ingeso]]="","",MARÍTIMOS[[#This Row],[Etapa Ingreso - Ingeso]]),"")</f>
        <v/>
      </c>
      <c r="AK615" s="11" t="str">
        <f>IFERROR(IF(MARÍTIMOS[[#This Row],[Etapa Ingreso - Atención]]="","",MARÍTIMOS[[#This Row],[Etapa Ingreso - Atención]]),"")</f>
        <v/>
      </c>
      <c r="AL615" s="11" t="str">
        <f>IFERROR(IF(MARÍTIMOS[[#This Row],[Etapa Ingreso - Salida]]="","",MARÍTIMOS[[#This Row],[Etapa Ingreso - Salida]]),"")</f>
        <v/>
      </c>
      <c r="AM615" s="2" t="str">
        <f>IFERROR(IF(MARÍTIMOS[[#This Row],[FCL]]="","",MARÍTIMOS[[#This Row],[FCL]]),"")</f>
        <v/>
      </c>
      <c r="AN6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5" s="4" t="str" cm="1">
        <f t="array" ref="AO6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5" s="5" t="str">
        <f>IFERROR(OLDBD[[#This Row],[Llegada a packing]]-OLDBD[[#This Row],[Inicio de Ruta]],"")</f>
        <v/>
      </c>
      <c r="AQ615" s="6" t="str">
        <f>IFERROR(OLDBD[[#This Row],[Inicio de Ruta]]-OLDBD[[#This Row],[Salida de almacén de retiro]],"")</f>
        <v/>
      </c>
      <c r="AR6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5" s="8" t="str" cm="1">
        <f t="array" ref="AS6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5" s="9" t="str">
        <f>IFERROR(OLDBD[[#This Row],[Ingreso Packing]]-OLDBD[[#This Row],[Registro en Packing]],"")</f>
        <v/>
      </c>
      <c r="AV615" s="9" t="str">
        <f>IFERROR(OLDBD[[#This Row],[Ingreso Packing]]-OLDBD[[#This Row],[Llegada a packing]],"")</f>
        <v/>
      </c>
      <c r="AW6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5" s="5" t="str">
        <f>IFERROR(OLDBD[[#This Row],[Llegada Almacén de Ingreso]]-OLDBD[[#This Row],[Salida Packing]],"")</f>
        <v/>
      </c>
      <c r="AY615" s="4" t="str" cm="1">
        <f t="array" ref="AY6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5" s="43" t="s">
        <v>173</v>
      </c>
      <c r="BB615" s="47" t="str">
        <f>IFERROR(IF(MARÍTIMOS[[#This Row],[Estatus]]="","",MARÍTIMOS[[#This Row],[Estatus]]),"")</f>
        <v/>
      </c>
      <c r="BC615" s="43"/>
      <c r="BD615" s="46" t="str">
        <f>IFERROR(OLDBD[[#This Row],[Salida de almacén de retiro]]-OLDBD[[#This Row],[Ingreso Almacén de retiro]],"")</f>
        <v/>
      </c>
      <c r="BE615" s="46" t="str">
        <f>IFERROR(OLDBD[[#This Row],[Fin de Carga]]-OLDBD[[#This Row],[Inicio de Carga]],"")</f>
        <v/>
      </c>
    </row>
    <row r="616" spans="1:57" customFormat="1" hidden="1">
      <c r="A616" s="1"/>
      <c r="B616" s="1" t="str">
        <f>IFERROR(IF(MARÍTIMOS[[#This Row],[PP]]="","",MARÍTIMOS[[#This Row],[PP]]),"")</f>
        <v/>
      </c>
      <c r="C616" s="1" t="str">
        <f>IFERROR(IF(MARÍTIMOS[[#This Row],[Sede]]="","",MARÍTIMOS[[#This Row],[Sede]]),"")</f>
        <v/>
      </c>
      <c r="D616" s="1" t="str">
        <f>IFERROR(IF(MARÍTIMOS[[#This Row],[Instruction]]="","",MARÍTIMOS[[#This Row],[Instruction]]),"")</f>
        <v/>
      </c>
      <c r="E616" s="1"/>
      <c r="F616" s="2" t="str">
        <f>IFERROR(IF(MARÍTIMOS[[#This Row],[Transportista]]="","",MARÍTIMOS[[#This Row],[Transportista]]),"")</f>
        <v/>
      </c>
      <c r="G616" s="2" t="str">
        <f>IFERROR(IF(MARÍTIMOS[[#This Row],[Tercero]]="","",MARÍTIMOS[[#This Row],[Tercero]]),"")</f>
        <v/>
      </c>
      <c r="H616" s="2" t="str">
        <f>IFERROR(IF(MARÍTIMOS[[#This Row],[Razón Social]]="","",MARÍTIMOS[[#This Row],[Razón Social]]),"")</f>
        <v/>
      </c>
      <c r="I616" s="2" t="str">
        <f>IFERROR(IF(MARÍTIMOS[[#This Row],[RUC]]="","",MARÍTIMOS[[#This Row],[RUC]]),"")</f>
        <v/>
      </c>
      <c r="J616" s="2" t="str">
        <f>IFERROR(IF(MARÍTIMOS[[#This Row],[Placa Tracto]]="","",MARÍTIMOS[[#This Row],[Placa Tracto]]),"")</f>
        <v/>
      </c>
      <c r="K616" s="2" t="str">
        <f>IFERROR(IF(MARÍTIMOS[[#This Row],[Placa Carreta]]="","",MARÍTIMOS[[#This Row],[Placa Carreta]]),"")</f>
        <v/>
      </c>
      <c r="L616" s="44" t="str">
        <f>IFERROR(IF(MARÍTIMOS[[#This Row],[Conductor]]="","",MARÍTIMOS[[#This Row],[Conductor]]),"")</f>
        <v/>
      </c>
      <c r="M616" s="2" t="str">
        <f>IFERROR(IF(MARÍTIMOS[[#This Row],[Licencia]]="","",MARÍTIMOS[[#This Row],[Licencia]]),"")</f>
        <v/>
      </c>
      <c r="N616" s="2" t="str">
        <f>IFERROR(IF(MARÍTIMOS[[#This Row],[Número de Contacto]]="","",MARÍTIMOS[[#This Row],[Número de Contacto]]),"")</f>
        <v/>
      </c>
      <c r="O616" s="10" t="str">
        <f>IFERROR(IF(MARÍTIMOS[[#This Row],[Booking|AWB|CRT]]="","",MARÍTIMOS[[#This Row],[Booking|AWB|CRT]]),"")</f>
        <v/>
      </c>
      <c r="P616" s="2" t="str">
        <f>IFERROR(IF(MARÍTIMOS[[#This Row],[Contenedor]]="","",MARÍTIMOS[[#This Row],[Contenedor]]),"")</f>
        <v/>
      </c>
      <c r="Q616" s="2" t="str">
        <f>IFERROR(IF(MARÍTIMOS[[#This Row],[Puerto de Retiro]]="","",MARÍTIMOS[[#This Row],[Puerto de Retiro]]),"")</f>
        <v/>
      </c>
      <c r="R616" s="2" t="str">
        <f>IFERROR(IF(MARÍTIMOS[[#This Row],[Almacén de Retiro]]="","",MARÍTIMOS[[#This Row],[Almacén de Retiro]]),"")</f>
        <v/>
      </c>
      <c r="S616" s="11" t="str">
        <f>IFERROR(IF(MARÍTIMOS[[#This Row],[Etapa Retiro - Cita]]="","",MARÍTIMOS[[#This Row],[Etapa Retiro - Cita]]),"")</f>
        <v/>
      </c>
      <c r="T616" s="11" t="str">
        <f>IFERROR(IF(MARÍTIMOS[[#This Row],[Etapa Retiro - Llegada]]="","",MARÍTIMOS[[#This Row],[Etapa Retiro - Llegada]]),"")</f>
        <v/>
      </c>
      <c r="U616" s="11" t="str">
        <f>IFERROR(IF(MARÍTIMOS[[#This Row],[Etapa Retiro - Ingreso]]="","",MARÍTIMOS[[#This Row],[Etapa Retiro - Ingreso]]),"")</f>
        <v/>
      </c>
      <c r="V616" s="11" t="str">
        <f>IFERROR(IF(MARÍTIMOS[[#This Row],[Etapa Retiro - Atención]]="","",MARÍTIMOS[[#This Row],[Etapa Retiro - Atención]]),"")</f>
        <v/>
      </c>
      <c r="W616" s="11" t="str">
        <f>IFERROR(IF(MARÍTIMOS[[#This Row],[Etapa Retiro - Atención]]="","",MARÍTIMOS[[#This Row],[Etapa Retiro - Atención]]),"")</f>
        <v/>
      </c>
      <c r="X616" s="11" t="str">
        <f>IFERROR(IF(MARÍTIMOS[[#This Row],[Etapa Retiro - Inicio de Ruta]]="","",MARÍTIMOS[[#This Row],[Etapa Retiro - Inicio de Ruta]]),"")</f>
        <v/>
      </c>
      <c r="Y616" s="11" t="str">
        <f>IFERROR(IF(MARÍTIMOS[[#This Row],[Hora de Posicionamiento]]="","",MARÍTIMOS[[#This Row],[Fecha de Carga]]+MARÍTIMOS[[#This Row],[Hora de Posicionamiento]]),"")</f>
        <v/>
      </c>
      <c r="Z616" s="11" t="str">
        <f>IFERROR(IF(MARÍTIMOS[[#This Row],[Etapa Despacho - Llegada]]="","",MARÍTIMOS[[#This Row],[Etapa Despacho - Llegada]]),"")</f>
        <v/>
      </c>
      <c r="AA616" s="11" t="str">
        <f>IFERROR(IF(MARÍTIMOS[[#This Row],[Etapa Despacho - Registro]]="","",MARÍTIMOS[[#This Row],[Etapa Despacho - Registro]]),"")</f>
        <v/>
      </c>
      <c r="AB616" s="11" t="str">
        <f>IFERROR(IF(MARÍTIMOS[[#This Row],[Inspección Externa]]="","",MARÍTIMOS[[#This Row],[Inspección Externa]]),"")</f>
        <v/>
      </c>
      <c r="AC616" s="11" t="str">
        <f>IFERROR(IF(MARÍTIMOS[[#This Row],[Etapa Despacho - Inicio de Carga]]="","",MARÍTIMOS[[#This Row],[Etapa Despacho - Inicio de Carga]]),"")</f>
        <v/>
      </c>
      <c r="AD616" s="11" t="str">
        <f>IFERROR(IF(MARÍTIMOS[[#This Row],[Etapa Despacho - Mitad de Carga]]="","",MARÍTIMOS[[#This Row],[Etapa Despacho - Mitad de Carga]]),"")</f>
        <v/>
      </c>
      <c r="AE616" s="11" t="str">
        <f>IFERROR(IF(MARÍTIMOS[[#This Row],[Etapa Despacho - Fin de Carga]]="","",MARÍTIMOS[[#This Row],[Etapa Despacho - Fin de Carga]]),"")</f>
        <v/>
      </c>
      <c r="AF616" s="2" t="str">
        <f>IFERROR(IF(MARÍTIMOS[[#This Row],[Puerto de Embarque]]="","",MARÍTIMOS[[#This Row],[Puerto de Embarque]]),"")</f>
        <v/>
      </c>
      <c r="AG616" s="2" t="str">
        <f>IFERROR(IF(MARÍTIMOS[[#This Row],[Almacén de Ingreso]]="","",MARÍTIMOS[[#This Row],[Almacén de Ingreso]]),"")</f>
        <v/>
      </c>
      <c r="AH616" s="11" t="str">
        <f>IFERROR(IF(MARÍTIMOS[[#This Row],[Etapa Ingreso - Cita]]="","",MARÍTIMOS[[#This Row],[Etapa Ingreso - Cita]]),"")</f>
        <v/>
      </c>
      <c r="AI616" s="11" t="str">
        <f>IFERROR(IF(MARÍTIMOS[[#This Row],[Etapa Ingreso - Llegada]]="","",MARÍTIMOS[[#This Row],[Etapa Ingreso - Llegada]]),"")</f>
        <v/>
      </c>
      <c r="AJ616" s="11" t="str">
        <f>IFERROR(IF(MARÍTIMOS[[#This Row],[Etapa Ingreso - Ingeso]]="","",MARÍTIMOS[[#This Row],[Etapa Ingreso - Ingeso]]),"")</f>
        <v/>
      </c>
      <c r="AK616" s="11" t="str">
        <f>IFERROR(IF(MARÍTIMOS[[#This Row],[Etapa Ingreso - Atención]]="","",MARÍTIMOS[[#This Row],[Etapa Ingreso - Atención]]),"")</f>
        <v/>
      </c>
      <c r="AL616" s="11" t="str">
        <f>IFERROR(IF(MARÍTIMOS[[#This Row],[Etapa Ingreso - Salida]]="","",MARÍTIMOS[[#This Row],[Etapa Ingreso - Salida]]),"")</f>
        <v/>
      </c>
      <c r="AM616" s="2" t="str">
        <f>IFERROR(IF(MARÍTIMOS[[#This Row],[FCL]]="","",MARÍTIMOS[[#This Row],[FCL]]),"")</f>
        <v/>
      </c>
      <c r="AN6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6" s="4" t="str" cm="1">
        <f t="array" ref="AO6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6" s="5" t="str">
        <f>IFERROR(OLDBD[[#This Row],[Llegada a packing]]-OLDBD[[#This Row],[Inicio de Ruta]],"")</f>
        <v/>
      </c>
      <c r="AQ616" s="6" t="str">
        <f>IFERROR(OLDBD[[#This Row],[Inicio de Ruta]]-OLDBD[[#This Row],[Salida de almacén de retiro]],"")</f>
        <v/>
      </c>
      <c r="AR6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6" s="8" t="str" cm="1">
        <f t="array" ref="AS6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6" s="9" t="str">
        <f>IFERROR(OLDBD[[#This Row],[Ingreso Packing]]-OLDBD[[#This Row],[Registro en Packing]],"")</f>
        <v/>
      </c>
      <c r="AV616" s="9" t="str">
        <f>IFERROR(OLDBD[[#This Row],[Ingreso Packing]]-OLDBD[[#This Row],[Llegada a packing]],"")</f>
        <v/>
      </c>
      <c r="AW6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6" s="5" t="str">
        <f>IFERROR(OLDBD[[#This Row],[Llegada Almacén de Ingreso]]-OLDBD[[#This Row],[Salida Packing]],"")</f>
        <v/>
      </c>
      <c r="AY616" s="4" t="str" cm="1">
        <f t="array" ref="AY6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6" s="43" t="s">
        <v>173</v>
      </c>
      <c r="BB616" s="47" t="str">
        <f>IFERROR(IF(MARÍTIMOS[[#This Row],[Estatus]]="","",MARÍTIMOS[[#This Row],[Estatus]]),"")</f>
        <v/>
      </c>
      <c r="BC616" s="43"/>
      <c r="BD616" s="46" t="str">
        <f>IFERROR(OLDBD[[#This Row],[Salida de almacén de retiro]]-OLDBD[[#This Row],[Ingreso Almacén de retiro]],"")</f>
        <v/>
      </c>
      <c r="BE616" s="46" t="str">
        <f>IFERROR(OLDBD[[#This Row],[Fin de Carga]]-OLDBD[[#This Row],[Inicio de Carga]],"")</f>
        <v/>
      </c>
    </row>
    <row r="617" spans="1:57" customFormat="1" hidden="1">
      <c r="A617" s="1"/>
      <c r="B617" s="1" t="str">
        <f>IFERROR(IF(MARÍTIMOS[[#This Row],[PP]]="","",MARÍTIMOS[[#This Row],[PP]]),"")</f>
        <v/>
      </c>
      <c r="C617" s="1" t="str">
        <f>IFERROR(IF(MARÍTIMOS[[#This Row],[Sede]]="","",MARÍTIMOS[[#This Row],[Sede]]),"")</f>
        <v/>
      </c>
      <c r="D617" s="1" t="str">
        <f>IFERROR(IF(MARÍTIMOS[[#This Row],[Instruction]]="","",MARÍTIMOS[[#This Row],[Instruction]]),"")</f>
        <v/>
      </c>
      <c r="E617" s="1"/>
      <c r="F617" s="2" t="str">
        <f>IFERROR(IF(MARÍTIMOS[[#This Row],[Transportista]]="","",MARÍTIMOS[[#This Row],[Transportista]]),"")</f>
        <v/>
      </c>
      <c r="G617" s="2" t="str">
        <f>IFERROR(IF(MARÍTIMOS[[#This Row],[Tercero]]="","",MARÍTIMOS[[#This Row],[Tercero]]),"")</f>
        <v/>
      </c>
      <c r="H617" s="2" t="str">
        <f>IFERROR(IF(MARÍTIMOS[[#This Row],[Razón Social]]="","",MARÍTIMOS[[#This Row],[Razón Social]]),"")</f>
        <v/>
      </c>
      <c r="I617" s="2" t="str">
        <f>IFERROR(IF(MARÍTIMOS[[#This Row],[RUC]]="","",MARÍTIMOS[[#This Row],[RUC]]),"")</f>
        <v/>
      </c>
      <c r="J617" s="2" t="str">
        <f>IFERROR(IF(MARÍTIMOS[[#This Row],[Placa Tracto]]="","",MARÍTIMOS[[#This Row],[Placa Tracto]]),"")</f>
        <v/>
      </c>
      <c r="K617" s="2" t="str">
        <f>IFERROR(IF(MARÍTIMOS[[#This Row],[Placa Carreta]]="","",MARÍTIMOS[[#This Row],[Placa Carreta]]),"")</f>
        <v/>
      </c>
      <c r="L617" s="44" t="str">
        <f>IFERROR(IF(MARÍTIMOS[[#This Row],[Conductor]]="","",MARÍTIMOS[[#This Row],[Conductor]]),"")</f>
        <v/>
      </c>
      <c r="M617" s="2" t="str">
        <f>IFERROR(IF(MARÍTIMOS[[#This Row],[Licencia]]="","",MARÍTIMOS[[#This Row],[Licencia]]),"")</f>
        <v/>
      </c>
      <c r="N617" s="2" t="str">
        <f>IFERROR(IF(MARÍTIMOS[[#This Row],[Número de Contacto]]="","",MARÍTIMOS[[#This Row],[Número de Contacto]]),"")</f>
        <v/>
      </c>
      <c r="O617" s="10" t="str">
        <f>IFERROR(IF(MARÍTIMOS[[#This Row],[Booking|AWB|CRT]]="","",MARÍTIMOS[[#This Row],[Booking|AWB|CRT]]),"")</f>
        <v/>
      </c>
      <c r="P617" s="2" t="str">
        <f>IFERROR(IF(MARÍTIMOS[[#This Row],[Contenedor]]="","",MARÍTIMOS[[#This Row],[Contenedor]]),"")</f>
        <v/>
      </c>
      <c r="Q617" s="2" t="str">
        <f>IFERROR(IF(MARÍTIMOS[[#This Row],[Puerto de Retiro]]="","",MARÍTIMOS[[#This Row],[Puerto de Retiro]]),"")</f>
        <v/>
      </c>
      <c r="R617" s="2" t="str">
        <f>IFERROR(IF(MARÍTIMOS[[#This Row],[Almacén de Retiro]]="","",MARÍTIMOS[[#This Row],[Almacén de Retiro]]),"")</f>
        <v/>
      </c>
      <c r="S617" s="11" t="str">
        <f>IFERROR(IF(MARÍTIMOS[[#This Row],[Etapa Retiro - Cita]]="","",MARÍTIMOS[[#This Row],[Etapa Retiro - Cita]]),"")</f>
        <v/>
      </c>
      <c r="T617" s="11" t="str">
        <f>IFERROR(IF(MARÍTIMOS[[#This Row],[Etapa Retiro - Llegada]]="","",MARÍTIMOS[[#This Row],[Etapa Retiro - Llegada]]),"")</f>
        <v/>
      </c>
      <c r="U617" s="11" t="str">
        <f>IFERROR(IF(MARÍTIMOS[[#This Row],[Etapa Retiro - Ingreso]]="","",MARÍTIMOS[[#This Row],[Etapa Retiro - Ingreso]]),"")</f>
        <v/>
      </c>
      <c r="V617" s="11" t="str">
        <f>IFERROR(IF(MARÍTIMOS[[#This Row],[Etapa Retiro - Atención]]="","",MARÍTIMOS[[#This Row],[Etapa Retiro - Atención]]),"")</f>
        <v/>
      </c>
      <c r="W617" s="11" t="str">
        <f>IFERROR(IF(MARÍTIMOS[[#This Row],[Etapa Retiro - Atención]]="","",MARÍTIMOS[[#This Row],[Etapa Retiro - Atención]]),"")</f>
        <v/>
      </c>
      <c r="X617" s="11" t="str">
        <f>IFERROR(IF(MARÍTIMOS[[#This Row],[Etapa Retiro - Inicio de Ruta]]="","",MARÍTIMOS[[#This Row],[Etapa Retiro - Inicio de Ruta]]),"")</f>
        <v/>
      </c>
      <c r="Y617" s="11" t="str">
        <f>IFERROR(IF(MARÍTIMOS[[#This Row],[Hora de Posicionamiento]]="","",MARÍTIMOS[[#This Row],[Fecha de Carga]]+MARÍTIMOS[[#This Row],[Hora de Posicionamiento]]),"")</f>
        <v/>
      </c>
      <c r="Z617" s="11" t="str">
        <f>IFERROR(IF(MARÍTIMOS[[#This Row],[Etapa Despacho - Llegada]]="","",MARÍTIMOS[[#This Row],[Etapa Despacho - Llegada]]),"")</f>
        <v/>
      </c>
      <c r="AA617" s="11" t="str">
        <f>IFERROR(IF(MARÍTIMOS[[#This Row],[Etapa Despacho - Registro]]="","",MARÍTIMOS[[#This Row],[Etapa Despacho - Registro]]),"")</f>
        <v/>
      </c>
      <c r="AB617" s="11" t="str">
        <f>IFERROR(IF(MARÍTIMOS[[#This Row],[Inspección Externa]]="","",MARÍTIMOS[[#This Row],[Inspección Externa]]),"")</f>
        <v/>
      </c>
      <c r="AC617" s="11" t="str">
        <f>IFERROR(IF(MARÍTIMOS[[#This Row],[Etapa Despacho - Inicio de Carga]]="","",MARÍTIMOS[[#This Row],[Etapa Despacho - Inicio de Carga]]),"")</f>
        <v/>
      </c>
      <c r="AD617" s="11" t="str">
        <f>IFERROR(IF(MARÍTIMOS[[#This Row],[Etapa Despacho - Mitad de Carga]]="","",MARÍTIMOS[[#This Row],[Etapa Despacho - Mitad de Carga]]),"")</f>
        <v/>
      </c>
      <c r="AE617" s="11" t="str">
        <f>IFERROR(IF(MARÍTIMOS[[#This Row],[Etapa Despacho - Fin de Carga]]="","",MARÍTIMOS[[#This Row],[Etapa Despacho - Fin de Carga]]),"")</f>
        <v/>
      </c>
      <c r="AF617" s="2" t="str">
        <f>IFERROR(IF(MARÍTIMOS[[#This Row],[Puerto de Embarque]]="","",MARÍTIMOS[[#This Row],[Puerto de Embarque]]),"")</f>
        <v/>
      </c>
      <c r="AG617" s="2" t="str">
        <f>IFERROR(IF(MARÍTIMOS[[#This Row],[Almacén de Ingreso]]="","",MARÍTIMOS[[#This Row],[Almacén de Ingreso]]),"")</f>
        <v/>
      </c>
      <c r="AH617" s="11" t="str">
        <f>IFERROR(IF(MARÍTIMOS[[#This Row],[Etapa Ingreso - Cita]]="","",MARÍTIMOS[[#This Row],[Etapa Ingreso - Cita]]),"")</f>
        <v/>
      </c>
      <c r="AI617" s="11" t="str">
        <f>IFERROR(IF(MARÍTIMOS[[#This Row],[Etapa Ingreso - Llegada]]="","",MARÍTIMOS[[#This Row],[Etapa Ingreso - Llegada]]),"")</f>
        <v/>
      </c>
      <c r="AJ617" s="11" t="str">
        <f>IFERROR(IF(MARÍTIMOS[[#This Row],[Etapa Ingreso - Ingeso]]="","",MARÍTIMOS[[#This Row],[Etapa Ingreso - Ingeso]]),"")</f>
        <v/>
      </c>
      <c r="AK617" s="11" t="str">
        <f>IFERROR(IF(MARÍTIMOS[[#This Row],[Etapa Ingreso - Atención]]="","",MARÍTIMOS[[#This Row],[Etapa Ingreso - Atención]]),"")</f>
        <v/>
      </c>
      <c r="AL617" s="11" t="str">
        <f>IFERROR(IF(MARÍTIMOS[[#This Row],[Etapa Ingreso - Salida]]="","",MARÍTIMOS[[#This Row],[Etapa Ingreso - Salida]]),"")</f>
        <v/>
      </c>
      <c r="AM617" s="2" t="str">
        <f>IFERROR(IF(MARÍTIMOS[[#This Row],[FCL]]="","",MARÍTIMOS[[#This Row],[FCL]]),"")</f>
        <v/>
      </c>
      <c r="AN6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7" s="4" t="str" cm="1">
        <f t="array" ref="AO6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7" s="5" t="str">
        <f>IFERROR(OLDBD[[#This Row],[Llegada a packing]]-OLDBD[[#This Row],[Inicio de Ruta]],"")</f>
        <v/>
      </c>
      <c r="AQ617" s="6" t="str">
        <f>IFERROR(OLDBD[[#This Row],[Inicio de Ruta]]-OLDBD[[#This Row],[Salida de almacén de retiro]],"")</f>
        <v/>
      </c>
      <c r="AR6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7" s="8" t="str" cm="1">
        <f t="array" ref="AS6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7" s="9" t="str">
        <f>IFERROR(OLDBD[[#This Row],[Ingreso Packing]]-OLDBD[[#This Row],[Registro en Packing]],"")</f>
        <v/>
      </c>
      <c r="AV617" s="9" t="str">
        <f>IFERROR(OLDBD[[#This Row],[Ingreso Packing]]-OLDBD[[#This Row],[Llegada a packing]],"")</f>
        <v/>
      </c>
      <c r="AW6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7" s="5" t="str">
        <f>IFERROR(OLDBD[[#This Row],[Llegada Almacén de Ingreso]]-OLDBD[[#This Row],[Salida Packing]],"")</f>
        <v/>
      </c>
      <c r="AY617" s="4" t="str" cm="1">
        <f t="array" ref="AY6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7" s="43" t="s">
        <v>173</v>
      </c>
      <c r="BB617" s="47" t="str">
        <f>IFERROR(IF(MARÍTIMOS[[#This Row],[Estatus]]="","",MARÍTIMOS[[#This Row],[Estatus]]),"")</f>
        <v/>
      </c>
      <c r="BC617" s="43"/>
      <c r="BD617" s="46" t="str">
        <f>IFERROR(OLDBD[[#This Row],[Salida de almacén de retiro]]-OLDBD[[#This Row],[Ingreso Almacén de retiro]],"")</f>
        <v/>
      </c>
      <c r="BE617" s="46" t="str">
        <f>IFERROR(OLDBD[[#This Row],[Fin de Carga]]-OLDBD[[#This Row],[Inicio de Carga]],"")</f>
        <v/>
      </c>
    </row>
    <row r="618" spans="1:57" customFormat="1" hidden="1">
      <c r="A618" s="1"/>
      <c r="B618" s="1" t="str">
        <f>IFERROR(IF(MARÍTIMOS[[#This Row],[PP]]="","",MARÍTIMOS[[#This Row],[PP]]),"")</f>
        <v/>
      </c>
      <c r="C618" s="1" t="str">
        <f>IFERROR(IF(MARÍTIMOS[[#This Row],[Sede]]="","",MARÍTIMOS[[#This Row],[Sede]]),"")</f>
        <v/>
      </c>
      <c r="D618" s="1" t="str">
        <f>IFERROR(IF(MARÍTIMOS[[#This Row],[Instruction]]="","",MARÍTIMOS[[#This Row],[Instruction]]),"")</f>
        <v/>
      </c>
      <c r="E618" s="1"/>
      <c r="F618" s="2" t="str">
        <f>IFERROR(IF(MARÍTIMOS[[#This Row],[Transportista]]="","",MARÍTIMOS[[#This Row],[Transportista]]),"")</f>
        <v/>
      </c>
      <c r="G618" s="2" t="str">
        <f>IFERROR(IF(MARÍTIMOS[[#This Row],[Tercero]]="","",MARÍTIMOS[[#This Row],[Tercero]]),"")</f>
        <v/>
      </c>
      <c r="H618" s="2" t="str">
        <f>IFERROR(IF(MARÍTIMOS[[#This Row],[Razón Social]]="","",MARÍTIMOS[[#This Row],[Razón Social]]),"")</f>
        <v/>
      </c>
      <c r="I618" s="2" t="str">
        <f>IFERROR(IF(MARÍTIMOS[[#This Row],[RUC]]="","",MARÍTIMOS[[#This Row],[RUC]]),"")</f>
        <v/>
      </c>
      <c r="J618" s="2" t="str">
        <f>IFERROR(IF(MARÍTIMOS[[#This Row],[Placa Tracto]]="","",MARÍTIMOS[[#This Row],[Placa Tracto]]),"")</f>
        <v/>
      </c>
      <c r="K618" s="2" t="str">
        <f>IFERROR(IF(MARÍTIMOS[[#This Row],[Placa Carreta]]="","",MARÍTIMOS[[#This Row],[Placa Carreta]]),"")</f>
        <v/>
      </c>
      <c r="L618" s="44" t="str">
        <f>IFERROR(IF(MARÍTIMOS[[#This Row],[Conductor]]="","",MARÍTIMOS[[#This Row],[Conductor]]),"")</f>
        <v/>
      </c>
      <c r="M618" s="2" t="str">
        <f>IFERROR(IF(MARÍTIMOS[[#This Row],[Licencia]]="","",MARÍTIMOS[[#This Row],[Licencia]]),"")</f>
        <v/>
      </c>
      <c r="N618" s="2" t="str">
        <f>IFERROR(IF(MARÍTIMOS[[#This Row],[Número de Contacto]]="","",MARÍTIMOS[[#This Row],[Número de Contacto]]),"")</f>
        <v/>
      </c>
      <c r="O618" s="10" t="str">
        <f>IFERROR(IF(MARÍTIMOS[[#This Row],[Booking|AWB|CRT]]="","",MARÍTIMOS[[#This Row],[Booking|AWB|CRT]]),"")</f>
        <v/>
      </c>
      <c r="P618" s="2" t="str">
        <f>IFERROR(IF(MARÍTIMOS[[#This Row],[Contenedor]]="","",MARÍTIMOS[[#This Row],[Contenedor]]),"")</f>
        <v/>
      </c>
      <c r="Q618" s="2" t="str">
        <f>IFERROR(IF(MARÍTIMOS[[#This Row],[Puerto de Retiro]]="","",MARÍTIMOS[[#This Row],[Puerto de Retiro]]),"")</f>
        <v/>
      </c>
      <c r="R618" s="2" t="str">
        <f>IFERROR(IF(MARÍTIMOS[[#This Row],[Almacén de Retiro]]="","",MARÍTIMOS[[#This Row],[Almacén de Retiro]]),"")</f>
        <v/>
      </c>
      <c r="S618" s="11" t="str">
        <f>IFERROR(IF(MARÍTIMOS[[#This Row],[Etapa Retiro - Cita]]="","",MARÍTIMOS[[#This Row],[Etapa Retiro - Cita]]),"")</f>
        <v/>
      </c>
      <c r="T618" s="11" t="str">
        <f>IFERROR(IF(MARÍTIMOS[[#This Row],[Etapa Retiro - Llegada]]="","",MARÍTIMOS[[#This Row],[Etapa Retiro - Llegada]]),"")</f>
        <v/>
      </c>
      <c r="U618" s="11" t="str">
        <f>IFERROR(IF(MARÍTIMOS[[#This Row],[Etapa Retiro - Ingreso]]="","",MARÍTIMOS[[#This Row],[Etapa Retiro - Ingreso]]),"")</f>
        <v/>
      </c>
      <c r="V618" s="11" t="str">
        <f>IFERROR(IF(MARÍTIMOS[[#This Row],[Etapa Retiro - Atención]]="","",MARÍTIMOS[[#This Row],[Etapa Retiro - Atención]]),"")</f>
        <v/>
      </c>
      <c r="W618" s="11" t="str">
        <f>IFERROR(IF(MARÍTIMOS[[#This Row],[Etapa Retiro - Atención]]="","",MARÍTIMOS[[#This Row],[Etapa Retiro - Atención]]),"")</f>
        <v/>
      </c>
      <c r="X618" s="11" t="str">
        <f>IFERROR(IF(MARÍTIMOS[[#This Row],[Etapa Retiro - Inicio de Ruta]]="","",MARÍTIMOS[[#This Row],[Etapa Retiro - Inicio de Ruta]]),"")</f>
        <v/>
      </c>
      <c r="Y618" s="11" t="str">
        <f>IFERROR(IF(MARÍTIMOS[[#This Row],[Hora de Posicionamiento]]="","",MARÍTIMOS[[#This Row],[Fecha de Carga]]+MARÍTIMOS[[#This Row],[Hora de Posicionamiento]]),"")</f>
        <v/>
      </c>
      <c r="Z618" s="11" t="str">
        <f>IFERROR(IF(MARÍTIMOS[[#This Row],[Etapa Despacho - Llegada]]="","",MARÍTIMOS[[#This Row],[Etapa Despacho - Llegada]]),"")</f>
        <v/>
      </c>
      <c r="AA618" s="11" t="str">
        <f>IFERROR(IF(MARÍTIMOS[[#This Row],[Etapa Despacho - Registro]]="","",MARÍTIMOS[[#This Row],[Etapa Despacho - Registro]]),"")</f>
        <v/>
      </c>
      <c r="AB618" s="11" t="str">
        <f>IFERROR(IF(MARÍTIMOS[[#This Row],[Inspección Externa]]="","",MARÍTIMOS[[#This Row],[Inspección Externa]]),"")</f>
        <v/>
      </c>
      <c r="AC618" s="11" t="str">
        <f>IFERROR(IF(MARÍTIMOS[[#This Row],[Etapa Despacho - Inicio de Carga]]="","",MARÍTIMOS[[#This Row],[Etapa Despacho - Inicio de Carga]]),"")</f>
        <v/>
      </c>
      <c r="AD618" s="11" t="str">
        <f>IFERROR(IF(MARÍTIMOS[[#This Row],[Etapa Despacho - Mitad de Carga]]="","",MARÍTIMOS[[#This Row],[Etapa Despacho - Mitad de Carga]]),"")</f>
        <v/>
      </c>
      <c r="AE618" s="11" t="str">
        <f>IFERROR(IF(MARÍTIMOS[[#This Row],[Etapa Despacho - Fin de Carga]]="","",MARÍTIMOS[[#This Row],[Etapa Despacho - Fin de Carga]]),"")</f>
        <v/>
      </c>
      <c r="AF618" s="2" t="str">
        <f>IFERROR(IF(MARÍTIMOS[[#This Row],[Puerto de Embarque]]="","",MARÍTIMOS[[#This Row],[Puerto de Embarque]]),"")</f>
        <v/>
      </c>
      <c r="AG618" s="2" t="str">
        <f>IFERROR(IF(MARÍTIMOS[[#This Row],[Almacén de Ingreso]]="","",MARÍTIMOS[[#This Row],[Almacén de Ingreso]]),"")</f>
        <v/>
      </c>
      <c r="AH618" s="11" t="str">
        <f>IFERROR(IF(MARÍTIMOS[[#This Row],[Etapa Ingreso - Cita]]="","",MARÍTIMOS[[#This Row],[Etapa Ingreso - Cita]]),"")</f>
        <v/>
      </c>
      <c r="AI618" s="11" t="str">
        <f>IFERROR(IF(MARÍTIMOS[[#This Row],[Etapa Ingreso - Llegada]]="","",MARÍTIMOS[[#This Row],[Etapa Ingreso - Llegada]]),"")</f>
        <v/>
      </c>
      <c r="AJ618" s="11" t="str">
        <f>IFERROR(IF(MARÍTIMOS[[#This Row],[Etapa Ingreso - Ingeso]]="","",MARÍTIMOS[[#This Row],[Etapa Ingreso - Ingeso]]),"")</f>
        <v/>
      </c>
      <c r="AK618" s="11" t="str">
        <f>IFERROR(IF(MARÍTIMOS[[#This Row],[Etapa Ingreso - Atención]]="","",MARÍTIMOS[[#This Row],[Etapa Ingreso - Atención]]),"")</f>
        <v/>
      </c>
      <c r="AL618" s="11" t="str">
        <f>IFERROR(IF(MARÍTIMOS[[#This Row],[Etapa Ingreso - Salida]]="","",MARÍTIMOS[[#This Row],[Etapa Ingreso - Salida]]),"")</f>
        <v/>
      </c>
      <c r="AM618" s="2" t="str">
        <f>IFERROR(IF(MARÍTIMOS[[#This Row],[FCL]]="","",MARÍTIMOS[[#This Row],[FCL]]),"")</f>
        <v/>
      </c>
      <c r="AN6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8" s="4" t="str" cm="1">
        <f t="array" ref="AO6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8" s="5" t="str">
        <f>IFERROR(OLDBD[[#This Row],[Llegada a packing]]-OLDBD[[#This Row],[Inicio de Ruta]],"")</f>
        <v/>
      </c>
      <c r="AQ618" s="6" t="str">
        <f>IFERROR(OLDBD[[#This Row],[Inicio de Ruta]]-OLDBD[[#This Row],[Salida de almacén de retiro]],"")</f>
        <v/>
      </c>
      <c r="AR6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8" s="8" t="str" cm="1">
        <f t="array" ref="AS6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8" s="9" t="str">
        <f>IFERROR(OLDBD[[#This Row],[Ingreso Packing]]-OLDBD[[#This Row],[Registro en Packing]],"")</f>
        <v/>
      </c>
      <c r="AV618" s="9" t="str">
        <f>IFERROR(OLDBD[[#This Row],[Ingreso Packing]]-OLDBD[[#This Row],[Llegada a packing]],"")</f>
        <v/>
      </c>
      <c r="AW6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8" s="5" t="str">
        <f>IFERROR(OLDBD[[#This Row],[Llegada Almacén de Ingreso]]-OLDBD[[#This Row],[Salida Packing]],"")</f>
        <v/>
      </c>
      <c r="AY618" s="4" t="str" cm="1">
        <f t="array" ref="AY6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8" s="43" t="s">
        <v>173</v>
      </c>
      <c r="BB618" s="47" t="str">
        <f>IFERROR(IF(MARÍTIMOS[[#This Row],[Estatus]]="","",MARÍTIMOS[[#This Row],[Estatus]]),"")</f>
        <v/>
      </c>
      <c r="BC618" s="43"/>
      <c r="BD618" s="46" t="str">
        <f>IFERROR(OLDBD[[#This Row],[Salida de almacén de retiro]]-OLDBD[[#This Row],[Ingreso Almacén de retiro]],"")</f>
        <v/>
      </c>
      <c r="BE618" s="46" t="str">
        <f>IFERROR(OLDBD[[#This Row],[Fin de Carga]]-OLDBD[[#This Row],[Inicio de Carga]],"")</f>
        <v/>
      </c>
    </row>
    <row r="619" spans="1:57" customFormat="1" hidden="1">
      <c r="A619" s="1"/>
      <c r="B619" s="1" t="str">
        <f>IFERROR(IF(MARÍTIMOS[[#This Row],[PP]]="","",MARÍTIMOS[[#This Row],[PP]]),"")</f>
        <v/>
      </c>
      <c r="C619" s="1" t="str">
        <f>IFERROR(IF(MARÍTIMOS[[#This Row],[Sede]]="","",MARÍTIMOS[[#This Row],[Sede]]),"")</f>
        <v/>
      </c>
      <c r="D619" s="1" t="str">
        <f>IFERROR(IF(MARÍTIMOS[[#This Row],[Instruction]]="","",MARÍTIMOS[[#This Row],[Instruction]]),"")</f>
        <v/>
      </c>
      <c r="E619" s="1"/>
      <c r="F619" s="2" t="str">
        <f>IFERROR(IF(MARÍTIMOS[[#This Row],[Transportista]]="","",MARÍTIMOS[[#This Row],[Transportista]]),"")</f>
        <v/>
      </c>
      <c r="G619" s="2" t="str">
        <f>IFERROR(IF(MARÍTIMOS[[#This Row],[Tercero]]="","",MARÍTIMOS[[#This Row],[Tercero]]),"")</f>
        <v/>
      </c>
      <c r="H619" s="2" t="str">
        <f>IFERROR(IF(MARÍTIMOS[[#This Row],[Razón Social]]="","",MARÍTIMOS[[#This Row],[Razón Social]]),"")</f>
        <v/>
      </c>
      <c r="I619" s="2" t="str">
        <f>IFERROR(IF(MARÍTIMOS[[#This Row],[RUC]]="","",MARÍTIMOS[[#This Row],[RUC]]),"")</f>
        <v/>
      </c>
      <c r="J619" s="2" t="str">
        <f>IFERROR(IF(MARÍTIMOS[[#This Row],[Placa Tracto]]="","",MARÍTIMOS[[#This Row],[Placa Tracto]]),"")</f>
        <v/>
      </c>
      <c r="K619" s="2" t="str">
        <f>IFERROR(IF(MARÍTIMOS[[#This Row],[Placa Carreta]]="","",MARÍTIMOS[[#This Row],[Placa Carreta]]),"")</f>
        <v/>
      </c>
      <c r="L619" s="44" t="str">
        <f>IFERROR(IF(MARÍTIMOS[[#This Row],[Conductor]]="","",MARÍTIMOS[[#This Row],[Conductor]]),"")</f>
        <v/>
      </c>
      <c r="M619" s="2" t="str">
        <f>IFERROR(IF(MARÍTIMOS[[#This Row],[Licencia]]="","",MARÍTIMOS[[#This Row],[Licencia]]),"")</f>
        <v/>
      </c>
      <c r="N619" s="2" t="str">
        <f>IFERROR(IF(MARÍTIMOS[[#This Row],[Número de Contacto]]="","",MARÍTIMOS[[#This Row],[Número de Contacto]]),"")</f>
        <v/>
      </c>
      <c r="O619" s="10" t="str">
        <f>IFERROR(IF(MARÍTIMOS[[#This Row],[Booking|AWB|CRT]]="","",MARÍTIMOS[[#This Row],[Booking|AWB|CRT]]),"")</f>
        <v/>
      </c>
      <c r="P619" s="2" t="str">
        <f>IFERROR(IF(MARÍTIMOS[[#This Row],[Contenedor]]="","",MARÍTIMOS[[#This Row],[Contenedor]]),"")</f>
        <v/>
      </c>
      <c r="Q619" s="2" t="str">
        <f>IFERROR(IF(MARÍTIMOS[[#This Row],[Puerto de Retiro]]="","",MARÍTIMOS[[#This Row],[Puerto de Retiro]]),"")</f>
        <v/>
      </c>
      <c r="R619" s="2" t="str">
        <f>IFERROR(IF(MARÍTIMOS[[#This Row],[Almacén de Retiro]]="","",MARÍTIMOS[[#This Row],[Almacén de Retiro]]),"")</f>
        <v/>
      </c>
      <c r="S619" s="11" t="str">
        <f>IFERROR(IF(MARÍTIMOS[[#This Row],[Etapa Retiro - Cita]]="","",MARÍTIMOS[[#This Row],[Etapa Retiro - Cita]]),"")</f>
        <v/>
      </c>
      <c r="T619" s="11" t="str">
        <f>IFERROR(IF(MARÍTIMOS[[#This Row],[Etapa Retiro - Llegada]]="","",MARÍTIMOS[[#This Row],[Etapa Retiro - Llegada]]),"")</f>
        <v/>
      </c>
      <c r="U619" s="11" t="str">
        <f>IFERROR(IF(MARÍTIMOS[[#This Row],[Etapa Retiro - Ingreso]]="","",MARÍTIMOS[[#This Row],[Etapa Retiro - Ingreso]]),"")</f>
        <v/>
      </c>
      <c r="V619" s="11" t="str">
        <f>IFERROR(IF(MARÍTIMOS[[#This Row],[Etapa Retiro - Atención]]="","",MARÍTIMOS[[#This Row],[Etapa Retiro - Atención]]),"")</f>
        <v/>
      </c>
      <c r="W619" s="11" t="str">
        <f>IFERROR(IF(MARÍTIMOS[[#This Row],[Etapa Retiro - Atención]]="","",MARÍTIMOS[[#This Row],[Etapa Retiro - Atención]]),"")</f>
        <v/>
      </c>
      <c r="X619" s="11" t="str">
        <f>IFERROR(IF(MARÍTIMOS[[#This Row],[Etapa Retiro - Inicio de Ruta]]="","",MARÍTIMOS[[#This Row],[Etapa Retiro - Inicio de Ruta]]),"")</f>
        <v/>
      </c>
      <c r="Y619" s="11" t="str">
        <f>IFERROR(IF(MARÍTIMOS[[#This Row],[Hora de Posicionamiento]]="","",MARÍTIMOS[[#This Row],[Fecha de Carga]]+MARÍTIMOS[[#This Row],[Hora de Posicionamiento]]),"")</f>
        <v/>
      </c>
      <c r="Z619" s="11" t="str">
        <f>IFERROR(IF(MARÍTIMOS[[#This Row],[Etapa Despacho - Llegada]]="","",MARÍTIMOS[[#This Row],[Etapa Despacho - Llegada]]),"")</f>
        <v/>
      </c>
      <c r="AA619" s="11" t="str">
        <f>IFERROR(IF(MARÍTIMOS[[#This Row],[Etapa Despacho - Registro]]="","",MARÍTIMOS[[#This Row],[Etapa Despacho - Registro]]),"")</f>
        <v/>
      </c>
      <c r="AB619" s="11" t="str">
        <f>IFERROR(IF(MARÍTIMOS[[#This Row],[Inspección Externa]]="","",MARÍTIMOS[[#This Row],[Inspección Externa]]),"")</f>
        <v/>
      </c>
      <c r="AC619" s="11" t="str">
        <f>IFERROR(IF(MARÍTIMOS[[#This Row],[Etapa Despacho - Inicio de Carga]]="","",MARÍTIMOS[[#This Row],[Etapa Despacho - Inicio de Carga]]),"")</f>
        <v/>
      </c>
      <c r="AD619" s="11" t="str">
        <f>IFERROR(IF(MARÍTIMOS[[#This Row],[Etapa Despacho - Mitad de Carga]]="","",MARÍTIMOS[[#This Row],[Etapa Despacho - Mitad de Carga]]),"")</f>
        <v/>
      </c>
      <c r="AE619" s="11" t="str">
        <f>IFERROR(IF(MARÍTIMOS[[#This Row],[Etapa Despacho - Fin de Carga]]="","",MARÍTIMOS[[#This Row],[Etapa Despacho - Fin de Carga]]),"")</f>
        <v/>
      </c>
      <c r="AF619" s="2" t="str">
        <f>IFERROR(IF(MARÍTIMOS[[#This Row],[Puerto de Embarque]]="","",MARÍTIMOS[[#This Row],[Puerto de Embarque]]),"")</f>
        <v/>
      </c>
      <c r="AG619" s="2" t="str">
        <f>IFERROR(IF(MARÍTIMOS[[#This Row],[Almacén de Ingreso]]="","",MARÍTIMOS[[#This Row],[Almacén de Ingreso]]),"")</f>
        <v/>
      </c>
      <c r="AH619" s="11" t="str">
        <f>IFERROR(IF(MARÍTIMOS[[#This Row],[Etapa Ingreso - Cita]]="","",MARÍTIMOS[[#This Row],[Etapa Ingreso - Cita]]),"")</f>
        <v/>
      </c>
      <c r="AI619" s="11" t="str">
        <f>IFERROR(IF(MARÍTIMOS[[#This Row],[Etapa Ingreso - Llegada]]="","",MARÍTIMOS[[#This Row],[Etapa Ingreso - Llegada]]),"")</f>
        <v/>
      </c>
      <c r="AJ619" s="11" t="str">
        <f>IFERROR(IF(MARÍTIMOS[[#This Row],[Etapa Ingreso - Ingeso]]="","",MARÍTIMOS[[#This Row],[Etapa Ingreso - Ingeso]]),"")</f>
        <v/>
      </c>
      <c r="AK619" s="11" t="str">
        <f>IFERROR(IF(MARÍTIMOS[[#This Row],[Etapa Ingreso - Atención]]="","",MARÍTIMOS[[#This Row],[Etapa Ingreso - Atención]]),"")</f>
        <v/>
      </c>
      <c r="AL619" s="11" t="str">
        <f>IFERROR(IF(MARÍTIMOS[[#This Row],[Etapa Ingreso - Salida]]="","",MARÍTIMOS[[#This Row],[Etapa Ingreso - Salida]]),"")</f>
        <v/>
      </c>
      <c r="AM619" s="2" t="str">
        <f>IFERROR(IF(MARÍTIMOS[[#This Row],[FCL]]="","",MARÍTIMOS[[#This Row],[FCL]]),"")</f>
        <v/>
      </c>
      <c r="AN6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19" s="4" t="str" cm="1">
        <f t="array" ref="AO6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19" s="5" t="str">
        <f>IFERROR(OLDBD[[#This Row],[Llegada a packing]]-OLDBD[[#This Row],[Inicio de Ruta]],"")</f>
        <v/>
      </c>
      <c r="AQ619" s="6" t="str">
        <f>IFERROR(OLDBD[[#This Row],[Inicio de Ruta]]-OLDBD[[#This Row],[Salida de almacén de retiro]],"")</f>
        <v/>
      </c>
      <c r="AR6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19" s="8" t="str" cm="1">
        <f t="array" ref="AS6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19" s="9" t="str">
        <f>IFERROR(OLDBD[[#This Row],[Ingreso Packing]]-OLDBD[[#This Row],[Registro en Packing]],"")</f>
        <v/>
      </c>
      <c r="AV619" s="9" t="str">
        <f>IFERROR(OLDBD[[#This Row],[Ingreso Packing]]-OLDBD[[#This Row],[Llegada a packing]],"")</f>
        <v/>
      </c>
      <c r="AW6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19" s="5" t="str">
        <f>IFERROR(OLDBD[[#This Row],[Llegada Almacén de Ingreso]]-OLDBD[[#This Row],[Salida Packing]],"")</f>
        <v/>
      </c>
      <c r="AY619" s="4" t="str" cm="1">
        <f t="array" ref="AY6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19" s="43" t="s">
        <v>173</v>
      </c>
      <c r="BB619" s="47" t="str">
        <f>IFERROR(IF(MARÍTIMOS[[#This Row],[Estatus]]="","",MARÍTIMOS[[#This Row],[Estatus]]),"")</f>
        <v/>
      </c>
      <c r="BC619" s="43"/>
      <c r="BD619" s="46" t="str">
        <f>IFERROR(OLDBD[[#This Row],[Salida de almacén de retiro]]-OLDBD[[#This Row],[Ingreso Almacén de retiro]],"")</f>
        <v/>
      </c>
      <c r="BE619" s="46" t="str">
        <f>IFERROR(OLDBD[[#This Row],[Fin de Carga]]-OLDBD[[#This Row],[Inicio de Carga]],"")</f>
        <v/>
      </c>
    </row>
    <row r="620" spans="1:57" customFormat="1" hidden="1">
      <c r="A620" s="1"/>
      <c r="B620" s="1" t="str">
        <f>IFERROR(IF(MARÍTIMOS[[#This Row],[PP]]="","",MARÍTIMOS[[#This Row],[PP]]),"")</f>
        <v/>
      </c>
      <c r="C620" s="1" t="str">
        <f>IFERROR(IF(MARÍTIMOS[[#This Row],[Sede]]="","",MARÍTIMOS[[#This Row],[Sede]]),"")</f>
        <v/>
      </c>
      <c r="D620" s="1" t="str">
        <f>IFERROR(IF(MARÍTIMOS[[#This Row],[Instruction]]="","",MARÍTIMOS[[#This Row],[Instruction]]),"")</f>
        <v/>
      </c>
      <c r="E620" s="1"/>
      <c r="F620" s="2" t="str">
        <f>IFERROR(IF(MARÍTIMOS[[#This Row],[Transportista]]="","",MARÍTIMOS[[#This Row],[Transportista]]),"")</f>
        <v/>
      </c>
      <c r="G620" s="2" t="str">
        <f>IFERROR(IF(MARÍTIMOS[[#This Row],[Tercero]]="","",MARÍTIMOS[[#This Row],[Tercero]]),"")</f>
        <v/>
      </c>
      <c r="H620" s="2" t="str">
        <f>IFERROR(IF(MARÍTIMOS[[#This Row],[Razón Social]]="","",MARÍTIMOS[[#This Row],[Razón Social]]),"")</f>
        <v/>
      </c>
      <c r="I620" s="2" t="str">
        <f>IFERROR(IF(MARÍTIMOS[[#This Row],[RUC]]="","",MARÍTIMOS[[#This Row],[RUC]]),"")</f>
        <v/>
      </c>
      <c r="J620" s="2" t="str">
        <f>IFERROR(IF(MARÍTIMOS[[#This Row],[Placa Tracto]]="","",MARÍTIMOS[[#This Row],[Placa Tracto]]),"")</f>
        <v/>
      </c>
      <c r="K620" s="2" t="str">
        <f>IFERROR(IF(MARÍTIMOS[[#This Row],[Placa Carreta]]="","",MARÍTIMOS[[#This Row],[Placa Carreta]]),"")</f>
        <v/>
      </c>
      <c r="L620" s="44" t="str">
        <f>IFERROR(IF(MARÍTIMOS[[#This Row],[Conductor]]="","",MARÍTIMOS[[#This Row],[Conductor]]),"")</f>
        <v/>
      </c>
      <c r="M620" s="2" t="str">
        <f>IFERROR(IF(MARÍTIMOS[[#This Row],[Licencia]]="","",MARÍTIMOS[[#This Row],[Licencia]]),"")</f>
        <v/>
      </c>
      <c r="N620" s="2" t="str">
        <f>IFERROR(IF(MARÍTIMOS[[#This Row],[Número de Contacto]]="","",MARÍTIMOS[[#This Row],[Número de Contacto]]),"")</f>
        <v/>
      </c>
      <c r="O620" s="10" t="str">
        <f>IFERROR(IF(MARÍTIMOS[[#This Row],[Booking|AWB|CRT]]="","",MARÍTIMOS[[#This Row],[Booking|AWB|CRT]]),"")</f>
        <v/>
      </c>
      <c r="P620" s="2" t="str">
        <f>IFERROR(IF(MARÍTIMOS[[#This Row],[Contenedor]]="","",MARÍTIMOS[[#This Row],[Contenedor]]),"")</f>
        <v/>
      </c>
      <c r="Q620" s="2" t="str">
        <f>IFERROR(IF(MARÍTIMOS[[#This Row],[Puerto de Retiro]]="","",MARÍTIMOS[[#This Row],[Puerto de Retiro]]),"")</f>
        <v/>
      </c>
      <c r="R620" s="2" t="str">
        <f>IFERROR(IF(MARÍTIMOS[[#This Row],[Almacén de Retiro]]="","",MARÍTIMOS[[#This Row],[Almacén de Retiro]]),"")</f>
        <v/>
      </c>
      <c r="S620" s="11" t="str">
        <f>IFERROR(IF(MARÍTIMOS[[#This Row],[Etapa Retiro - Cita]]="","",MARÍTIMOS[[#This Row],[Etapa Retiro - Cita]]),"")</f>
        <v/>
      </c>
      <c r="T620" s="11" t="str">
        <f>IFERROR(IF(MARÍTIMOS[[#This Row],[Etapa Retiro - Llegada]]="","",MARÍTIMOS[[#This Row],[Etapa Retiro - Llegada]]),"")</f>
        <v/>
      </c>
      <c r="U620" s="11" t="str">
        <f>IFERROR(IF(MARÍTIMOS[[#This Row],[Etapa Retiro - Ingreso]]="","",MARÍTIMOS[[#This Row],[Etapa Retiro - Ingreso]]),"")</f>
        <v/>
      </c>
      <c r="V620" s="11" t="str">
        <f>IFERROR(IF(MARÍTIMOS[[#This Row],[Etapa Retiro - Atención]]="","",MARÍTIMOS[[#This Row],[Etapa Retiro - Atención]]),"")</f>
        <v/>
      </c>
      <c r="W620" s="11" t="str">
        <f>IFERROR(IF(MARÍTIMOS[[#This Row],[Etapa Retiro - Atención]]="","",MARÍTIMOS[[#This Row],[Etapa Retiro - Atención]]),"")</f>
        <v/>
      </c>
      <c r="X620" s="11" t="str">
        <f>IFERROR(IF(MARÍTIMOS[[#This Row],[Etapa Retiro - Inicio de Ruta]]="","",MARÍTIMOS[[#This Row],[Etapa Retiro - Inicio de Ruta]]),"")</f>
        <v/>
      </c>
      <c r="Y620" s="11" t="str">
        <f>IFERROR(IF(MARÍTIMOS[[#This Row],[Hora de Posicionamiento]]="","",MARÍTIMOS[[#This Row],[Fecha de Carga]]+MARÍTIMOS[[#This Row],[Hora de Posicionamiento]]),"")</f>
        <v/>
      </c>
      <c r="Z620" s="11" t="str">
        <f>IFERROR(IF(MARÍTIMOS[[#This Row],[Etapa Despacho - Llegada]]="","",MARÍTIMOS[[#This Row],[Etapa Despacho - Llegada]]),"")</f>
        <v/>
      </c>
      <c r="AA620" s="11" t="str">
        <f>IFERROR(IF(MARÍTIMOS[[#This Row],[Etapa Despacho - Registro]]="","",MARÍTIMOS[[#This Row],[Etapa Despacho - Registro]]),"")</f>
        <v/>
      </c>
      <c r="AB620" s="11" t="str">
        <f>IFERROR(IF(MARÍTIMOS[[#This Row],[Inspección Externa]]="","",MARÍTIMOS[[#This Row],[Inspección Externa]]),"")</f>
        <v/>
      </c>
      <c r="AC620" s="11" t="str">
        <f>IFERROR(IF(MARÍTIMOS[[#This Row],[Etapa Despacho - Inicio de Carga]]="","",MARÍTIMOS[[#This Row],[Etapa Despacho - Inicio de Carga]]),"")</f>
        <v/>
      </c>
      <c r="AD620" s="11" t="str">
        <f>IFERROR(IF(MARÍTIMOS[[#This Row],[Etapa Despacho - Mitad de Carga]]="","",MARÍTIMOS[[#This Row],[Etapa Despacho - Mitad de Carga]]),"")</f>
        <v/>
      </c>
      <c r="AE620" s="11" t="str">
        <f>IFERROR(IF(MARÍTIMOS[[#This Row],[Etapa Despacho - Fin de Carga]]="","",MARÍTIMOS[[#This Row],[Etapa Despacho - Fin de Carga]]),"")</f>
        <v/>
      </c>
      <c r="AF620" s="2" t="str">
        <f>IFERROR(IF(MARÍTIMOS[[#This Row],[Puerto de Embarque]]="","",MARÍTIMOS[[#This Row],[Puerto de Embarque]]),"")</f>
        <v/>
      </c>
      <c r="AG620" s="2" t="str">
        <f>IFERROR(IF(MARÍTIMOS[[#This Row],[Almacén de Ingreso]]="","",MARÍTIMOS[[#This Row],[Almacén de Ingreso]]),"")</f>
        <v/>
      </c>
      <c r="AH620" s="11" t="str">
        <f>IFERROR(IF(MARÍTIMOS[[#This Row],[Etapa Ingreso - Cita]]="","",MARÍTIMOS[[#This Row],[Etapa Ingreso - Cita]]),"")</f>
        <v/>
      </c>
      <c r="AI620" s="11" t="str">
        <f>IFERROR(IF(MARÍTIMOS[[#This Row],[Etapa Ingreso - Llegada]]="","",MARÍTIMOS[[#This Row],[Etapa Ingreso - Llegada]]),"")</f>
        <v/>
      </c>
      <c r="AJ620" s="11" t="str">
        <f>IFERROR(IF(MARÍTIMOS[[#This Row],[Etapa Ingreso - Ingeso]]="","",MARÍTIMOS[[#This Row],[Etapa Ingreso - Ingeso]]),"")</f>
        <v/>
      </c>
      <c r="AK620" s="11" t="str">
        <f>IFERROR(IF(MARÍTIMOS[[#This Row],[Etapa Ingreso - Atención]]="","",MARÍTIMOS[[#This Row],[Etapa Ingreso - Atención]]),"")</f>
        <v/>
      </c>
      <c r="AL620" s="11" t="str">
        <f>IFERROR(IF(MARÍTIMOS[[#This Row],[Etapa Ingreso - Salida]]="","",MARÍTIMOS[[#This Row],[Etapa Ingreso - Salida]]),"")</f>
        <v/>
      </c>
      <c r="AM620" s="2" t="str">
        <f>IFERROR(IF(MARÍTIMOS[[#This Row],[FCL]]="","",MARÍTIMOS[[#This Row],[FCL]]),"")</f>
        <v/>
      </c>
      <c r="AN6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0" s="4" t="str" cm="1">
        <f t="array" ref="AO6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0" s="5" t="str">
        <f>IFERROR(OLDBD[[#This Row],[Llegada a packing]]-OLDBD[[#This Row],[Inicio de Ruta]],"")</f>
        <v/>
      </c>
      <c r="AQ620" s="6" t="str">
        <f>IFERROR(OLDBD[[#This Row],[Inicio de Ruta]]-OLDBD[[#This Row],[Salida de almacén de retiro]],"")</f>
        <v/>
      </c>
      <c r="AR6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0" s="8" t="str" cm="1">
        <f t="array" ref="AS6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0" s="9" t="str">
        <f>IFERROR(OLDBD[[#This Row],[Ingreso Packing]]-OLDBD[[#This Row],[Registro en Packing]],"")</f>
        <v/>
      </c>
      <c r="AV620" s="9" t="str">
        <f>IFERROR(OLDBD[[#This Row],[Ingreso Packing]]-OLDBD[[#This Row],[Llegada a packing]],"")</f>
        <v/>
      </c>
      <c r="AW6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0" s="5" t="str">
        <f>IFERROR(OLDBD[[#This Row],[Llegada Almacén de Ingreso]]-OLDBD[[#This Row],[Salida Packing]],"")</f>
        <v/>
      </c>
      <c r="AY620" s="4" t="str" cm="1">
        <f t="array" ref="AY6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0" s="43" t="s">
        <v>173</v>
      </c>
      <c r="BB620" s="47" t="str">
        <f>IFERROR(IF(MARÍTIMOS[[#This Row],[Estatus]]="","",MARÍTIMOS[[#This Row],[Estatus]]),"")</f>
        <v/>
      </c>
      <c r="BC620" s="43"/>
      <c r="BD620" s="46" t="str">
        <f>IFERROR(OLDBD[[#This Row],[Salida de almacén de retiro]]-OLDBD[[#This Row],[Ingreso Almacén de retiro]],"")</f>
        <v/>
      </c>
      <c r="BE620" s="46" t="str">
        <f>IFERROR(OLDBD[[#This Row],[Fin de Carga]]-OLDBD[[#This Row],[Inicio de Carga]],"")</f>
        <v/>
      </c>
    </row>
    <row r="621" spans="1:57" customFormat="1" hidden="1">
      <c r="A621" s="1"/>
      <c r="B621" s="1" t="str">
        <f>IFERROR(IF(MARÍTIMOS[[#This Row],[PP]]="","",MARÍTIMOS[[#This Row],[PP]]),"")</f>
        <v/>
      </c>
      <c r="C621" s="1" t="str">
        <f>IFERROR(IF(MARÍTIMOS[[#This Row],[Sede]]="","",MARÍTIMOS[[#This Row],[Sede]]),"")</f>
        <v/>
      </c>
      <c r="D621" s="1" t="str">
        <f>IFERROR(IF(MARÍTIMOS[[#This Row],[Instruction]]="","",MARÍTIMOS[[#This Row],[Instruction]]),"")</f>
        <v/>
      </c>
      <c r="E621" s="1"/>
      <c r="F621" s="2" t="str">
        <f>IFERROR(IF(MARÍTIMOS[[#This Row],[Transportista]]="","",MARÍTIMOS[[#This Row],[Transportista]]),"")</f>
        <v/>
      </c>
      <c r="G621" s="2" t="str">
        <f>IFERROR(IF(MARÍTIMOS[[#This Row],[Tercero]]="","",MARÍTIMOS[[#This Row],[Tercero]]),"")</f>
        <v/>
      </c>
      <c r="H621" s="2" t="str">
        <f>IFERROR(IF(MARÍTIMOS[[#This Row],[Razón Social]]="","",MARÍTIMOS[[#This Row],[Razón Social]]),"")</f>
        <v/>
      </c>
      <c r="I621" s="2" t="str">
        <f>IFERROR(IF(MARÍTIMOS[[#This Row],[RUC]]="","",MARÍTIMOS[[#This Row],[RUC]]),"")</f>
        <v/>
      </c>
      <c r="J621" s="2" t="str">
        <f>IFERROR(IF(MARÍTIMOS[[#This Row],[Placa Tracto]]="","",MARÍTIMOS[[#This Row],[Placa Tracto]]),"")</f>
        <v/>
      </c>
      <c r="K621" s="2" t="str">
        <f>IFERROR(IF(MARÍTIMOS[[#This Row],[Placa Carreta]]="","",MARÍTIMOS[[#This Row],[Placa Carreta]]),"")</f>
        <v/>
      </c>
      <c r="L621" s="44" t="str">
        <f>IFERROR(IF(MARÍTIMOS[[#This Row],[Conductor]]="","",MARÍTIMOS[[#This Row],[Conductor]]),"")</f>
        <v/>
      </c>
      <c r="M621" s="2" t="str">
        <f>IFERROR(IF(MARÍTIMOS[[#This Row],[Licencia]]="","",MARÍTIMOS[[#This Row],[Licencia]]),"")</f>
        <v/>
      </c>
      <c r="N621" s="2" t="str">
        <f>IFERROR(IF(MARÍTIMOS[[#This Row],[Número de Contacto]]="","",MARÍTIMOS[[#This Row],[Número de Contacto]]),"")</f>
        <v/>
      </c>
      <c r="O621" s="10" t="str">
        <f>IFERROR(IF(MARÍTIMOS[[#This Row],[Booking|AWB|CRT]]="","",MARÍTIMOS[[#This Row],[Booking|AWB|CRT]]),"")</f>
        <v/>
      </c>
      <c r="P621" s="2" t="str">
        <f>IFERROR(IF(MARÍTIMOS[[#This Row],[Contenedor]]="","",MARÍTIMOS[[#This Row],[Contenedor]]),"")</f>
        <v/>
      </c>
      <c r="Q621" s="2" t="str">
        <f>IFERROR(IF(MARÍTIMOS[[#This Row],[Puerto de Retiro]]="","",MARÍTIMOS[[#This Row],[Puerto de Retiro]]),"")</f>
        <v/>
      </c>
      <c r="R621" s="2" t="str">
        <f>IFERROR(IF(MARÍTIMOS[[#This Row],[Almacén de Retiro]]="","",MARÍTIMOS[[#This Row],[Almacén de Retiro]]),"")</f>
        <v/>
      </c>
      <c r="S621" s="11" t="str">
        <f>IFERROR(IF(MARÍTIMOS[[#This Row],[Etapa Retiro - Cita]]="","",MARÍTIMOS[[#This Row],[Etapa Retiro - Cita]]),"")</f>
        <v/>
      </c>
      <c r="T621" s="11" t="str">
        <f>IFERROR(IF(MARÍTIMOS[[#This Row],[Etapa Retiro - Llegada]]="","",MARÍTIMOS[[#This Row],[Etapa Retiro - Llegada]]),"")</f>
        <v/>
      </c>
      <c r="U621" s="11" t="str">
        <f>IFERROR(IF(MARÍTIMOS[[#This Row],[Etapa Retiro - Ingreso]]="","",MARÍTIMOS[[#This Row],[Etapa Retiro - Ingreso]]),"")</f>
        <v/>
      </c>
      <c r="V621" s="11" t="str">
        <f>IFERROR(IF(MARÍTIMOS[[#This Row],[Etapa Retiro - Atención]]="","",MARÍTIMOS[[#This Row],[Etapa Retiro - Atención]]),"")</f>
        <v/>
      </c>
      <c r="W621" s="11" t="str">
        <f>IFERROR(IF(MARÍTIMOS[[#This Row],[Etapa Retiro - Atención]]="","",MARÍTIMOS[[#This Row],[Etapa Retiro - Atención]]),"")</f>
        <v/>
      </c>
      <c r="X621" s="11" t="str">
        <f>IFERROR(IF(MARÍTIMOS[[#This Row],[Etapa Retiro - Inicio de Ruta]]="","",MARÍTIMOS[[#This Row],[Etapa Retiro - Inicio de Ruta]]),"")</f>
        <v/>
      </c>
      <c r="Y621" s="11" t="str">
        <f>IFERROR(IF(MARÍTIMOS[[#This Row],[Hora de Posicionamiento]]="","",MARÍTIMOS[[#This Row],[Fecha de Carga]]+MARÍTIMOS[[#This Row],[Hora de Posicionamiento]]),"")</f>
        <v/>
      </c>
      <c r="Z621" s="11" t="str">
        <f>IFERROR(IF(MARÍTIMOS[[#This Row],[Etapa Despacho - Llegada]]="","",MARÍTIMOS[[#This Row],[Etapa Despacho - Llegada]]),"")</f>
        <v/>
      </c>
      <c r="AA621" s="11" t="str">
        <f>IFERROR(IF(MARÍTIMOS[[#This Row],[Etapa Despacho - Registro]]="","",MARÍTIMOS[[#This Row],[Etapa Despacho - Registro]]),"")</f>
        <v/>
      </c>
      <c r="AB621" s="11" t="str">
        <f>IFERROR(IF(MARÍTIMOS[[#This Row],[Inspección Externa]]="","",MARÍTIMOS[[#This Row],[Inspección Externa]]),"")</f>
        <v/>
      </c>
      <c r="AC621" s="11" t="str">
        <f>IFERROR(IF(MARÍTIMOS[[#This Row],[Etapa Despacho - Inicio de Carga]]="","",MARÍTIMOS[[#This Row],[Etapa Despacho - Inicio de Carga]]),"")</f>
        <v/>
      </c>
      <c r="AD621" s="11" t="str">
        <f>IFERROR(IF(MARÍTIMOS[[#This Row],[Etapa Despacho - Mitad de Carga]]="","",MARÍTIMOS[[#This Row],[Etapa Despacho - Mitad de Carga]]),"")</f>
        <v/>
      </c>
      <c r="AE621" s="11" t="str">
        <f>IFERROR(IF(MARÍTIMOS[[#This Row],[Etapa Despacho - Fin de Carga]]="","",MARÍTIMOS[[#This Row],[Etapa Despacho - Fin de Carga]]),"")</f>
        <v/>
      </c>
      <c r="AF621" s="2" t="str">
        <f>IFERROR(IF(MARÍTIMOS[[#This Row],[Puerto de Embarque]]="","",MARÍTIMOS[[#This Row],[Puerto de Embarque]]),"")</f>
        <v/>
      </c>
      <c r="AG621" s="2" t="str">
        <f>IFERROR(IF(MARÍTIMOS[[#This Row],[Almacén de Ingreso]]="","",MARÍTIMOS[[#This Row],[Almacén de Ingreso]]),"")</f>
        <v/>
      </c>
      <c r="AH621" s="11" t="str">
        <f>IFERROR(IF(MARÍTIMOS[[#This Row],[Etapa Ingreso - Cita]]="","",MARÍTIMOS[[#This Row],[Etapa Ingreso - Cita]]),"")</f>
        <v/>
      </c>
      <c r="AI621" s="11" t="str">
        <f>IFERROR(IF(MARÍTIMOS[[#This Row],[Etapa Ingreso - Llegada]]="","",MARÍTIMOS[[#This Row],[Etapa Ingreso - Llegada]]),"")</f>
        <v/>
      </c>
      <c r="AJ621" s="11" t="str">
        <f>IFERROR(IF(MARÍTIMOS[[#This Row],[Etapa Ingreso - Ingeso]]="","",MARÍTIMOS[[#This Row],[Etapa Ingreso - Ingeso]]),"")</f>
        <v/>
      </c>
      <c r="AK621" s="11" t="str">
        <f>IFERROR(IF(MARÍTIMOS[[#This Row],[Etapa Ingreso - Atención]]="","",MARÍTIMOS[[#This Row],[Etapa Ingreso - Atención]]),"")</f>
        <v/>
      </c>
      <c r="AL621" s="11" t="str">
        <f>IFERROR(IF(MARÍTIMOS[[#This Row],[Etapa Ingreso - Salida]]="","",MARÍTIMOS[[#This Row],[Etapa Ingreso - Salida]]),"")</f>
        <v/>
      </c>
      <c r="AM621" s="2" t="str">
        <f>IFERROR(IF(MARÍTIMOS[[#This Row],[FCL]]="","",MARÍTIMOS[[#This Row],[FCL]]),"")</f>
        <v/>
      </c>
      <c r="AN6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1" s="4" t="str" cm="1">
        <f t="array" ref="AO6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1" s="5" t="str">
        <f>IFERROR(OLDBD[[#This Row],[Llegada a packing]]-OLDBD[[#This Row],[Inicio de Ruta]],"")</f>
        <v/>
      </c>
      <c r="AQ621" s="6" t="str">
        <f>IFERROR(OLDBD[[#This Row],[Inicio de Ruta]]-OLDBD[[#This Row],[Salida de almacén de retiro]],"")</f>
        <v/>
      </c>
      <c r="AR6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1" s="8" t="str" cm="1">
        <f t="array" ref="AS6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1" s="9" t="str">
        <f>IFERROR(OLDBD[[#This Row],[Ingreso Packing]]-OLDBD[[#This Row],[Registro en Packing]],"")</f>
        <v/>
      </c>
      <c r="AV621" s="9" t="str">
        <f>IFERROR(OLDBD[[#This Row],[Ingreso Packing]]-OLDBD[[#This Row],[Llegada a packing]],"")</f>
        <v/>
      </c>
      <c r="AW6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1" s="5" t="str">
        <f>IFERROR(OLDBD[[#This Row],[Llegada Almacén de Ingreso]]-OLDBD[[#This Row],[Salida Packing]],"")</f>
        <v/>
      </c>
      <c r="AY621" s="4" t="str" cm="1">
        <f t="array" ref="AY6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1" s="43" t="s">
        <v>173</v>
      </c>
      <c r="BB621" s="47" t="str">
        <f>IFERROR(IF(MARÍTIMOS[[#This Row],[Estatus]]="","",MARÍTIMOS[[#This Row],[Estatus]]),"")</f>
        <v/>
      </c>
      <c r="BC621" s="43"/>
      <c r="BD621" s="46" t="str">
        <f>IFERROR(OLDBD[[#This Row],[Salida de almacén de retiro]]-OLDBD[[#This Row],[Ingreso Almacén de retiro]],"")</f>
        <v/>
      </c>
      <c r="BE621" s="46" t="str">
        <f>IFERROR(OLDBD[[#This Row],[Fin de Carga]]-OLDBD[[#This Row],[Inicio de Carga]],"")</f>
        <v/>
      </c>
    </row>
    <row r="622" spans="1:57" customFormat="1" hidden="1">
      <c r="A622" s="1"/>
      <c r="B622" s="1" t="str">
        <f>IFERROR(IF(MARÍTIMOS[[#This Row],[PP]]="","",MARÍTIMOS[[#This Row],[PP]]),"")</f>
        <v/>
      </c>
      <c r="C622" s="1" t="str">
        <f>IFERROR(IF(MARÍTIMOS[[#This Row],[Sede]]="","",MARÍTIMOS[[#This Row],[Sede]]),"")</f>
        <v/>
      </c>
      <c r="D622" s="1" t="str">
        <f>IFERROR(IF(MARÍTIMOS[[#This Row],[Instruction]]="","",MARÍTIMOS[[#This Row],[Instruction]]),"")</f>
        <v/>
      </c>
      <c r="E622" s="1"/>
      <c r="F622" s="2" t="str">
        <f>IFERROR(IF(MARÍTIMOS[[#This Row],[Transportista]]="","",MARÍTIMOS[[#This Row],[Transportista]]),"")</f>
        <v/>
      </c>
      <c r="G622" s="2" t="str">
        <f>IFERROR(IF(MARÍTIMOS[[#This Row],[Tercero]]="","",MARÍTIMOS[[#This Row],[Tercero]]),"")</f>
        <v/>
      </c>
      <c r="H622" s="2" t="str">
        <f>IFERROR(IF(MARÍTIMOS[[#This Row],[Razón Social]]="","",MARÍTIMOS[[#This Row],[Razón Social]]),"")</f>
        <v/>
      </c>
      <c r="I622" s="2" t="str">
        <f>IFERROR(IF(MARÍTIMOS[[#This Row],[RUC]]="","",MARÍTIMOS[[#This Row],[RUC]]),"")</f>
        <v/>
      </c>
      <c r="J622" s="2" t="str">
        <f>IFERROR(IF(MARÍTIMOS[[#This Row],[Placa Tracto]]="","",MARÍTIMOS[[#This Row],[Placa Tracto]]),"")</f>
        <v/>
      </c>
      <c r="K622" s="2" t="str">
        <f>IFERROR(IF(MARÍTIMOS[[#This Row],[Placa Carreta]]="","",MARÍTIMOS[[#This Row],[Placa Carreta]]),"")</f>
        <v/>
      </c>
      <c r="L622" s="44" t="str">
        <f>IFERROR(IF(MARÍTIMOS[[#This Row],[Conductor]]="","",MARÍTIMOS[[#This Row],[Conductor]]),"")</f>
        <v/>
      </c>
      <c r="M622" s="2" t="str">
        <f>IFERROR(IF(MARÍTIMOS[[#This Row],[Licencia]]="","",MARÍTIMOS[[#This Row],[Licencia]]),"")</f>
        <v/>
      </c>
      <c r="N622" s="2" t="str">
        <f>IFERROR(IF(MARÍTIMOS[[#This Row],[Número de Contacto]]="","",MARÍTIMOS[[#This Row],[Número de Contacto]]),"")</f>
        <v/>
      </c>
      <c r="O622" s="10" t="str">
        <f>IFERROR(IF(MARÍTIMOS[[#This Row],[Booking|AWB|CRT]]="","",MARÍTIMOS[[#This Row],[Booking|AWB|CRT]]),"")</f>
        <v/>
      </c>
      <c r="P622" s="2" t="str">
        <f>IFERROR(IF(MARÍTIMOS[[#This Row],[Contenedor]]="","",MARÍTIMOS[[#This Row],[Contenedor]]),"")</f>
        <v/>
      </c>
      <c r="Q622" s="2" t="str">
        <f>IFERROR(IF(MARÍTIMOS[[#This Row],[Puerto de Retiro]]="","",MARÍTIMOS[[#This Row],[Puerto de Retiro]]),"")</f>
        <v/>
      </c>
      <c r="R622" s="2" t="str">
        <f>IFERROR(IF(MARÍTIMOS[[#This Row],[Almacén de Retiro]]="","",MARÍTIMOS[[#This Row],[Almacén de Retiro]]),"")</f>
        <v/>
      </c>
      <c r="S622" s="11" t="str">
        <f>IFERROR(IF(MARÍTIMOS[[#This Row],[Etapa Retiro - Cita]]="","",MARÍTIMOS[[#This Row],[Etapa Retiro - Cita]]),"")</f>
        <v/>
      </c>
      <c r="T622" s="11" t="str">
        <f>IFERROR(IF(MARÍTIMOS[[#This Row],[Etapa Retiro - Llegada]]="","",MARÍTIMOS[[#This Row],[Etapa Retiro - Llegada]]),"")</f>
        <v/>
      </c>
      <c r="U622" s="11" t="str">
        <f>IFERROR(IF(MARÍTIMOS[[#This Row],[Etapa Retiro - Ingreso]]="","",MARÍTIMOS[[#This Row],[Etapa Retiro - Ingreso]]),"")</f>
        <v/>
      </c>
      <c r="V622" s="11" t="str">
        <f>IFERROR(IF(MARÍTIMOS[[#This Row],[Etapa Retiro - Atención]]="","",MARÍTIMOS[[#This Row],[Etapa Retiro - Atención]]),"")</f>
        <v/>
      </c>
      <c r="W622" s="11" t="str">
        <f>IFERROR(IF(MARÍTIMOS[[#This Row],[Etapa Retiro - Atención]]="","",MARÍTIMOS[[#This Row],[Etapa Retiro - Atención]]),"")</f>
        <v/>
      </c>
      <c r="X622" s="11" t="str">
        <f>IFERROR(IF(MARÍTIMOS[[#This Row],[Etapa Retiro - Inicio de Ruta]]="","",MARÍTIMOS[[#This Row],[Etapa Retiro - Inicio de Ruta]]),"")</f>
        <v/>
      </c>
      <c r="Y622" s="11" t="str">
        <f>IFERROR(IF(MARÍTIMOS[[#This Row],[Hora de Posicionamiento]]="","",MARÍTIMOS[[#This Row],[Fecha de Carga]]+MARÍTIMOS[[#This Row],[Hora de Posicionamiento]]),"")</f>
        <v/>
      </c>
      <c r="Z622" s="11" t="str">
        <f>IFERROR(IF(MARÍTIMOS[[#This Row],[Etapa Despacho - Llegada]]="","",MARÍTIMOS[[#This Row],[Etapa Despacho - Llegada]]),"")</f>
        <v/>
      </c>
      <c r="AA622" s="11" t="str">
        <f>IFERROR(IF(MARÍTIMOS[[#This Row],[Etapa Despacho - Registro]]="","",MARÍTIMOS[[#This Row],[Etapa Despacho - Registro]]),"")</f>
        <v/>
      </c>
      <c r="AB622" s="11" t="str">
        <f>IFERROR(IF(MARÍTIMOS[[#This Row],[Inspección Externa]]="","",MARÍTIMOS[[#This Row],[Inspección Externa]]),"")</f>
        <v/>
      </c>
      <c r="AC622" s="11" t="str">
        <f>IFERROR(IF(MARÍTIMOS[[#This Row],[Etapa Despacho - Inicio de Carga]]="","",MARÍTIMOS[[#This Row],[Etapa Despacho - Inicio de Carga]]),"")</f>
        <v/>
      </c>
      <c r="AD622" s="11" t="str">
        <f>IFERROR(IF(MARÍTIMOS[[#This Row],[Etapa Despacho - Mitad de Carga]]="","",MARÍTIMOS[[#This Row],[Etapa Despacho - Mitad de Carga]]),"")</f>
        <v/>
      </c>
      <c r="AE622" s="11" t="str">
        <f>IFERROR(IF(MARÍTIMOS[[#This Row],[Etapa Despacho - Fin de Carga]]="","",MARÍTIMOS[[#This Row],[Etapa Despacho - Fin de Carga]]),"")</f>
        <v/>
      </c>
      <c r="AF622" s="2" t="str">
        <f>IFERROR(IF(MARÍTIMOS[[#This Row],[Puerto de Embarque]]="","",MARÍTIMOS[[#This Row],[Puerto de Embarque]]),"")</f>
        <v/>
      </c>
      <c r="AG622" s="2" t="str">
        <f>IFERROR(IF(MARÍTIMOS[[#This Row],[Almacén de Ingreso]]="","",MARÍTIMOS[[#This Row],[Almacén de Ingreso]]),"")</f>
        <v/>
      </c>
      <c r="AH622" s="11" t="str">
        <f>IFERROR(IF(MARÍTIMOS[[#This Row],[Etapa Ingreso - Cita]]="","",MARÍTIMOS[[#This Row],[Etapa Ingreso - Cita]]),"")</f>
        <v/>
      </c>
      <c r="AI622" s="11" t="str">
        <f>IFERROR(IF(MARÍTIMOS[[#This Row],[Etapa Ingreso - Llegada]]="","",MARÍTIMOS[[#This Row],[Etapa Ingreso - Llegada]]),"")</f>
        <v/>
      </c>
      <c r="AJ622" s="11" t="str">
        <f>IFERROR(IF(MARÍTIMOS[[#This Row],[Etapa Ingreso - Ingeso]]="","",MARÍTIMOS[[#This Row],[Etapa Ingreso - Ingeso]]),"")</f>
        <v/>
      </c>
      <c r="AK622" s="11" t="str">
        <f>IFERROR(IF(MARÍTIMOS[[#This Row],[Etapa Ingreso - Atención]]="","",MARÍTIMOS[[#This Row],[Etapa Ingreso - Atención]]),"")</f>
        <v/>
      </c>
      <c r="AL622" s="11" t="str">
        <f>IFERROR(IF(MARÍTIMOS[[#This Row],[Etapa Ingreso - Salida]]="","",MARÍTIMOS[[#This Row],[Etapa Ingreso - Salida]]),"")</f>
        <v/>
      </c>
      <c r="AM622" s="2" t="str">
        <f>IFERROR(IF(MARÍTIMOS[[#This Row],[FCL]]="","",MARÍTIMOS[[#This Row],[FCL]]),"")</f>
        <v/>
      </c>
      <c r="AN6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2" s="4" t="str" cm="1">
        <f t="array" ref="AO6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2" s="5" t="str">
        <f>IFERROR(OLDBD[[#This Row],[Llegada a packing]]-OLDBD[[#This Row],[Inicio de Ruta]],"")</f>
        <v/>
      </c>
      <c r="AQ622" s="6" t="str">
        <f>IFERROR(OLDBD[[#This Row],[Inicio de Ruta]]-OLDBD[[#This Row],[Salida de almacén de retiro]],"")</f>
        <v/>
      </c>
      <c r="AR6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2" s="8" t="str" cm="1">
        <f t="array" ref="AS6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2" s="9" t="str">
        <f>IFERROR(OLDBD[[#This Row],[Ingreso Packing]]-OLDBD[[#This Row],[Registro en Packing]],"")</f>
        <v/>
      </c>
      <c r="AV622" s="9" t="str">
        <f>IFERROR(OLDBD[[#This Row],[Ingreso Packing]]-OLDBD[[#This Row],[Llegada a packing]],"")</f>
        <v/>
      </c>
      <c r="AW6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2" s="5" t="str">
        <f>IFERROR(OLDBD[[#This Row],[Llegada Almacén de Ingreso]]-OLDBD[[#This Row],[Salida Packing]],"")</f>
        <v/>
      </c>
      <c r="AY622" s="4" t="str" cm="1">
        <f t="array" ref="AY6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2" s="43" t="s">
        <v>173</v>
      </c>
      <c r="BB622" s="47" t="str">
        <f>IFERROR(IF(MARÍTIMOS[[#This Row],[Estatus]]="","",MARÍTIMOS[[#This Row],[Estatus]]),"")</f>
        <v/>
      </c>
      <c r="BC622" s="43"/>
      <c r="BD622" s="46" t="str">
        <f>IFERROR(OLDBD[[#This Row],[Salida de almacén de retiro]]-OLDBD[[#This Row],[Ingreso Almacén de retiro]],"")</f>
        <v/>
      </c>
      <c r="BE622" s="46" t="str">
        <f>IFERROR(OLDBD[[#This Row],[Fin de Carga]]-OLDBD[[#This Row],[Inicio de Carga]],"")</f>
        <v/>
      </c>
    </row>
    <row r="623" spans="1:57" customFormat="1" hidden="1">
      <c r="A623" s="1"/>
      <c r="B623" s="1" t="str">
        <f>IFERROR(IF(MARÍTIMOS[[#This Row],[PP]]="","",MARÍTIMOS[[#This Row],[PP]]),"")</f>
        <v/>
      </c>
      <c r="C623" s="1" t="str">
        <f>IFERROR(IF(MARÍTIMOS[[#This Row],[Sede]]="","",MARÍTIMOS[[#This Row],[Sede]]),"")</f>
        <v/>
      </c>
      <c r="D623" s="1" t="str">
        <f>IFERROR(IF(MARÍTIMOS[[#This Row],[Instruction]]="","",MARÍTIMOS[[#This Row],[Instruction]]),"")</f>
        <v/>
      </c>
      <c r="E623" s="1"/>
      <c r="F623" s="2" t="str">
        <f>IFERROR(IF(MARÍTIMOS[[#This Row],[Transportista]]="","",MARÍTIMOS[[#This Row],[Transportista]]),"")</f>
        <v/>
      </c>
      <c r="G623" s="2" t="str">
        <f>IFERROR(IF(MARÍTIMOS[[#This Row],[Tercero]]="","",MARÍTIMOS[[#This Row],[Tercero]]),"")</f>
        <v/>
      </c>
      <c r="H623" s="2" t="str">
        <f>IFERROR(IF(MARÍTIMOS[[#This Row],[Razón Social]]="","",MARÍTIMOS[[#This Row],[Razón Social]]),"")</f>
        <v/>
      </c>
      <c r="I623" s="2" t="str">
        <f>IFERROR(IF(MARÍTIMOS[[#This Row],[RUC]]="","",MARÍTIMOS[[#This Row],[RUC]]),"")</f>
        <v/>
      </c>
      <c r="J623" s="2" t="str">
        <f>IFERROR(IF(MARÍTIMOS[[#This Row],[Placa Tracto]]="","",MARÍTIMOS[[#This Row],[Placa Tracto]]),"")</f>
        <v/>
      </c>
      <c r="K623" s="2" t="str">
        <f>IFERROR(IF(MARÍTIMOS[[#This Row],[Placa Carreta]]="","",MARÍTIMOS[[#This Row],[Placa Carreta]]),"")</f>
        <v/>
      </c>
      <c r="L623" s="44" t="str">
        <f>IFERROR(IF(MARÍTIMOS[[#This Row],[Conductor]]="","",MARÍTIMOS[[#This Row],[Conductor]]),"")</f>
        <v/>
      </c>
      <c r="M623" s="2" t="str">
        <f>IFERROR(IF(MARÍTIMOS[[#This Row],[Licencia]]="","",MARÍTIMOS[[#This Row],[Licencia]]),"")</f>
        <v/>
      </c>
      <c r="N623" s="2" t="str">
        <f>IFERROR(IF(MARÍTIMOS[[#This Row],[Número de Contacto]]="","",MARÍTIMOS[[#This Row],[Número de Contacto]]),"")</f>
        <v/>
      </c>
      <c r="O623" s="10" t="str">
        <f>IFERROR(IF(MARÍTIMOS[[#This Row],[Booking|AWB|CRT]]="","",MARÍTIMOS[[#This Row],[Booking|AWB|CRT]]),"")</f>
        <v/>
      </c>
      <c r="P623" s="2" t="str">
        <f>IFERROR(IF(MARÍTIMOS[[#This Row],[Contenedor]]="","",MARÍTIMOS[[#This Row],[Contenedor]]),"")</f>
        <v/>
      </c>
      <c r="Q623" s="2" t="str">
        <f>IFERROR(IF(MARÍTIMOS[[#This Row],[Puerto de Retiro]]="","",MARÍTIMOS[[#This Row],[Puerto de Retiro]]),"")</f>
        <v/>
      </c>
      <c r="R623" s="2" t="str">
        <f>IFERROR(IF(MARÍTIMOS[[#This Row],[Almacén de Retiro]]="","",MARÍTIMOS[[#This Row],[Almacén de Retiro]]),"")</f>
        <v/>
      </c>
      <c r="S623" s="11" t="str">
        <f>IFERROR(IF(MARÍTIMOS[[#This Row],[Etapa Retiro - Cita]]="","",MARÍTIMOS[[#This Row],[Etapa Retiro - Cita]]),"")</f>
        <v/>
      </c>
      <c r="T623" s="11" t="str">
        <f>IFERROR(IF(MARÍTIMOS[[#This Row],[Etapa Retiro - Llegada]]="","",MARÍTIMOS[[#This Row],[Etapa Retiro - Llegada]]),"")</f>
        <v/>
      </c>
      <c r="U623" s="11" t="str">
        <f>IFERROR(IF(MARÍTIMOS[[#This Row],[Etapa Retiro - Ingreso]]="","",MARÍTIMOS[[#This Row],[Etapa Retiro - Ingreso]]),"")</f>
        <v/>
      </c>
      <c r="V623" s="11" t="str">
        <f>IFERROR(IF(MARÍTIMOS[[#This Row],[Etapa Retiro - Atención]]="","",MARÍTIMOS[[#This Row],[Etapa Retiro - Atención]]),"")</f>
        <v/>
      </c>
      <c r="W623" s="11" t="str">
        <f>IFERROR(IF(MARÍTIMOS[[#This Row],[Etapa Retiro - Atención]]="","",MARÍTIMOS[[#This Row],[Etapa Retiro - Atención]]),"")</f>
        <v/>
      </c>
      <c r="X623" s="11" t="str">
        <f>IFERROR(IF(MARÍTIMOS[[#This Row],[Etapa Retiro - Inicio de Ruta]]="","",MARÍTIMOS[[#This Row],[Etapa Retiro - Inicio de Ruta]]),"")</f>
        <v/>
      </c>
      <c r="Y623" s="11" t="str">
        <f>IFERROR(IF(MARÍTIMOS[[#This Row],[Hora de Posicionamiento]]="","",MARÍTIMOS[[#This Row],[Fecha de Carga]]+MARÍTIMOS[[#This Row],[Hora de Posicionamiento]]),"")</f>
        <v/>
      </c>
      <c r="Z623" s="11" t="str">
        <f>IFERROR(IF(MARÍTIMOS[[#This Row],[Etapa Despacho - Llegada]]="","",MARÍTIMOS[[#This Row],[Etapa Despacho - Llegada]]),"")</f>
        <v/>
      </c>
      <c r="AA623" s="11" t="str">
        <f>IFERROR(IF(MARÍTIMOS[[#This Row],[Etapa Despacho - Registro]]="","",MARÍTIMOS[[#This Row],[Etapa Despacho - Registro]]),"")</f>
        <v/>
      </c>
      <c r="AB623" s="11" t="str">
        <f>IFERROR(IF(MARÍTIMOS[[#This Row],[Inspección Externa]]="","",MARÍTIMOS[[#This Row],[Inspección Externa]]),"")</f>
        <v/>
      </c>
      <c r="AC623" s="11" t="str">
        <f>IFERROR(IF(MARÍTIMOS[[#This Row],[Etapa Despacho - Inicio de Carga]]="","",MARÍTIMOS[[#This Row],[Etapa Despacho - Inicio de Carga]]),"")</f>
        <v/>
      </c>
      <c r="AD623" s="11" t="str">
        <f>IFERROR(IF(MARÍTIMOS[[#This Row],[Etapa Despacho - Mitad de Carga]]="","",MARÍTIMOS[[#This Row],[Etapa Despacho - Mitad de Carga]]),"")</f>
        <v/>
      </c>
      <c r="AE623" s="11" t="str">
        <f>IFERROR(IF(MARÍTIMOS[[#This Row],[Etapa Despacho - Fin de Carga]]="","",MARÍTIMOS[[#This Row],[Etapa Despacho - Fin de Carga]]),"")</f>
        <v/>
      </c>
      <c r="AF623" s="2" t="str">
        <f>IFERROR(IF(MARÍTIMOS[[#This Row],[Puerto de Embarque]]="","",MARÍTIMOS[[#This Row],[Puerto de Embarque]]),"")</f>
        <v/>
      </c>
      <c r="AG623" s="2" t="str">
        <f>IFERROR(IF(MARÍTIMOS[[#This Row],[Almacén de Ingreso]]="","",MARÍTIMOS[[#This Row],[Almacén de Ingreso]]),"")</f>
        <v/>
      </c>
      <c r="AH623" s="11" t="str">
        <f>IFERROR(IF(MARÍTIMOS[[#This Row],[Etapa Ingreso - Cita]]="","",MARÍTIMOS[[#This Row],[Etapa Ingreso - Cita]]),"")</f>
        <v/>
      </c>
      <c r="AI623" s="11" t="str">
        <f>IFERROR(IF(MARÍTIMOS[[#This Row],[Etapa Ingreso - Llegada]]="","",MARÍTIMOS[[#This Row],[Etapa Ingreso - Llegada]]),"")</f>
        <v/>
      </c>
      <c r="AJ623" s="11" t="str">
        <f>IFERROR(IF(MARÍTIMOS[[#This Row],[Etapa Ingreso - Ingeso]]="","",MARÍTIMOS[[#This Row],[Etapa Ingreso - Ingeso]]),"")</f>
        <v/>
      </c>
      <c r="AK623" s="11" t="str">
        <f>IFERROR(IF(MARÍTIMOS[[#This Row],[Etapa Ingreso - Atención]]="","",MARÍTIMOS[[#This Row],[Etapa Ingreso - Atención]]),"")</f>
        <v/>
      </c>
      <c r="AL623" s="11" t="str">
        <f>IFERROR(IF(MARÍTIMOS[[#This Row],[Etapa Ingreso - Salida]]="","",MARÍTIMOS[[#This Row],[Etapa Ingreso - Salida]]),"")</f>
        <v/>
      </c>
      <c r="AM623" s="2" t="str">
        <f>IFERROR(IF(MARÍTIMOS[[#This Row],[FCL]]="","",MARÍTIMOS[[#This Row],[FCL]]),"")</f>
        <v/>
      </c>
      <c r="AN6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3" s="4" t="str" cm="1">
        <f t="array" ref="AO6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3" s="5" t="str">
        <f>IFERROR(OLDBD[[#This Row],[Llegada a packing]]-OLDBD[[#This Row],[Inicio de Ruta]],"")</f>
        <v/>
      </c>
      <c r="AQ623" s="6" t="str">
        <f>IFERROR(OLDBD[[#This Row],[Inicio de Ruta]]-OLDBD[[#This Row],[Salida de almacén de retiro]],"")</f>
        <v/>
      </c>
      <c r="AR6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3" s="8" t="str" cm="1">
        <f t="array" ref="AS6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3" s="9" t="str">
        <f>IFERROR(OLDBD[[#This Row],[Ingreso Packing]]-OLDBD[[#This Row],[Registro en Packing]],"")</f>
        <v/>
      </c>
      <c r="AV623" s="9" t="str">
        <f>IFERROR(OLDBD[[#This Row],[Ingreso Packing]]-OLDBD[[#This Row],[Llegada a packing]],"")</f>
        <v/>
      </c>
      <c r="AW6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3" s="5" t="str">
        <f>IFERROR(OLDBD[[#This Row],[Llegada Almacén de Ingreso]]-OLDBD[[#This Row],[Salida Packing]],"")</f>
        <v/>
      </c>
      <c r="AY623" s="4" t="str" cm="1">
        <f t="array" ref="AY6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3" s="43" t="s">
        <v>173</v>
      </c>
      <c r="BB623" s="47" t="str">
        <f>IFERROR(IF(MARÍTIMOS[[#This Row],[Estatus]]="","",MARÍTIMOS[[#This Row],[Estatus]]),"")</f>
        <v/>
      </c>
      <c r="BC623" s="43"/>
      <c r="BD623" s="46" t="str">
        <f>IFERROR(OLDBD[[#This Row],[Salida de almacén de retiro]]-OLDBD[[#This Row],[Ingreso Almacén de retiro]],"")</f>
        <v/>
      </c>
      <c r="BE623" s="46" t="str">
        <f>IFERROR(OLDBD[[#This Row],[Fin de Carga]]-OLDBD[[#This Row],[Inicio de Carga]],"")</f>
        <v/>
      </c>
    </row>
    <row r="624" spans="1:57" customFormat="1" hidden="1">
      <c r="A624" s="1"/>
      <c r="B624" s="1" t="str">
        <f>IFERROR(IF(MARÍTIMOS[[#This Row],[PP]]="","",MARÍTIMOS[[#This Row],[PP]]),"")</f>
        <v/>
      </c>
      <c r="C624" s="1" t="str">
        <f>IFERROR(IF(MARÍTIMOS[[#This Row],[Sede]]="","",MARÍTIMOS[[#This Row],[Sede]]),"")</f>
        <v/>
      </c>
      <c r="D624" s="1" t="str">
        <f>IFERROR(IF(MARÍTIMOS[[#This Row],[Instruction]]="","",MARÍTIMOS[[#This Row],[Instruction]]),"")</f>
        <v/>
      </c>
      <c r="E624" s="1"/>
      <c r="F624" s="2" t="str">
        <f>IFERROR(IF(MARÍTIMOS[[#This Row],[Transportista]]="","",MARÍTIMOS[[#This Row],[Transportista]]),"")</f>
        <v/>
      </c>
      <c r="G624" s="2" t="str">
        <f>IFERROR(IF(MARÍTIMOS[[#This Row],[Tercero]]="","",MARÍTIMOS[[#This Row],[Tercero]]),"")</f>
        <v/>
      </c>
      <c r="H624" s="2" t="str">
        <f>IFERROR(IF(MARÍTIMOS[[#This Row],[Razón Social]]="","",MARÍTIMOS[[#This Row],[Razón Social]]),"")</f>
        <v/>
      </c>
      <c r="I624" s="2" t="str">
        <f>IFERROR(IF(MARÍTIMOS[[#This Row],[RUC]]="","",MARÍTIMOS[[#This Row],[RUC]]),"")</f>
        <v/>
      </c>
      <c r="J624" s="2" t="str">
        <f>IFERROR(IF(MARÍTIMOS[[#This Row],[Placa Tracto]]="","",MARÍTIMOS[[#This Row],[Placa Tracto]]),"")</f>
        <v/>
      </c>
      <c r="K624" s="2" t="str">
        <f>IFERROR(IF(MARÍTIMOS[[#This Row],[Placa Carreta]]="","",MARÍTIMOS[[#This Row],[Placa Carreta]]),"")</f>
        <v/>
      </c>
      <c r="L624" s="44" t="str">
        <f>IFERROR(IF(MARÍTIMOS[[#This Row],[Conductor]]="","",MARÍTIMOS[[#This Row],[Conductor]]),"")</f>
        <v/>
      </c>
      <c r="M624" s="2" t="str">
        <f>IFERROR(IF(MARÍTIMOS[[#This Row],[Licencia]]="","",MARÍTIMOS[[#This Row],[Licencia]]),"")</f>
        <v/>
      </c>
      <c r="N624" s="2" t="str">
        <f>IFERROR(IF(MARÍTIMOS[[#This Row],[Número de Contacto]]="","",MARÍTIMOS[[#This Row],[Número de Contacto]]),"")</f>
        <v/>
      </c>
      <c r="O624" s="10" t="str">
        <f>IFERROR(IF(MARÍTIMOS[[#This Row],[Booking|AWB|CRT]]="","",MARÍTIMOS[[#This Row],[Booking|AWB|CRT]]),"")</f>
        <v/>
      </c>
      <c r="P624" s="2" t="str">
        <f>IFERROR(IF(MARÍTIMOS[[#This Row],[Contenedor]]="","",MARÍTIMOS[[#This Row],[Contenedor]]),"")</f>
        <v/>
      </c>
      <c r="Q624" s="2" t="str">
        <f>IFERROR(IF(MARÍTIMOS[[#This Row],[Puerto de Retiro]]="","",MARÍTIMOS[[#This Row],[Puerto de Retiro]]),"")</f>
        <v/>
      </c>
      <c r="R624" s="2" t="str">
        <f>IFERROR(IF(MARÍTIMOS[[#This Row],[Almacén de Retiro]]="","",MARÍTIMOS[[#This Row],[Almacén de Retiro]]),"")</f>
        <v/>
      </c>
      <c r="S624" s="11" t="str">
        <f>IFERROR(IF(MARÍTIMOS[[#This Row],[Etapa Retiro - Cita]]="","",MARÍTIMOS[[#This Row],[Etapa Retiro - Cita]]),"")</f>
        <v/>
      </c>
      <c r="T624" s="11" t="str">
        <f>IFERROR(IF(MARÍTIMOS[[#This Row],[Etapa Retiro - Llegada]]="","",MARÍTIMOS[[#This Row],[Etapa Retiro - Llegada]]),"")</f>
        <v/>
      </c>
      <c r="U624" s="11" t="str">
        <f>IFERROR(IF(MARÍTIMOS[[#This Row],[Etapa Retiro - Ingreso]]="","",MARÍTIMOS[[#This Row],[Etapa Retiro - Ingreso]]),"")</f>
        <v/>
      </c>
      <c r="V624" s="11" t="str">
        <f>IFERROR(IF(MARÍTIMOS[[#This Row],[Etapa Retiro - Atención]]="","",MARÍTIMOS[[#This Row],[Etapa Retiro - Atención]]),"")</f>
        <v/>
      </c>
      <c r="W624" s="11" t="str">
        <f>IFERROR(IF(MARÍTIMOS[[#This Row],[Etapa Retiro - Atención]]="","",MARÍTIMOS[[#This Row],[Etapa Retiro - Atención]]),"")</f>
        <v/>
      </c>
      <c r="X624" s="11" t="str">
        <f>IFERROR(IF(MARÍTIMOS[[#This Row],[Etapa Retiro - Inicio de Ruta]]="","",MARÍTIMOS[[#This Row],[Etapa Retiro - Inicio de Ruta]]),"")</f>
        <v/>
      </c>
      <c r="Y624" s="11" t="str">
        <f>IFERROR(IF(MARÍTIMOS[[#This Row],[Hora de Posicionamiento]]="","",MARÍTIMOS[[#This Row],[Fecha de Carga]]+MARÍTIMOS[[#This Row],[Hora de Posicionamiento]]),"")</f>
        <v/>
      </c>
      <c r="Z624" s="11" t="str">
        <f>IFERROR(IF(MARÍTIMOS[[#This Row],[Etapa Despacho - Llegada]]="","",MARÍTIMOS[[#This Row],[Etapa Despacho - Llegada]]),"")</f>
        <v/>
      </c>
      <c r="AA624" s="11" t="str">
        <f>IFERROR(IF(MARÍTIMOS[[#This Row],[Etapa Despacho - Registro]]="","",MARÍTIMOS[[#This Row],[Etapa Despacho - Registro]]),"")</f>
        <v/>
      </c>
      <c r="AB624" s="11" t="str">
        <f>IFERROR(IF(MARÍTIMOS[[#This Row],[Inspección Externa]]="","",MARÍTIMOS[[#This Row],[Inspección Externa]]),"")</f>
        <v/>
      </c>
      <c r="AC624" s="11" t="str">
        <f>IFERROR(IF(MARÍTIMOS[[#This Row],[Etapa Despacho - Inicio de Carga]]="","",MARÍTIMOS[[#This Row],[Etapa Despacho - Inicio de Carga]]),"")</f>
        <v/>
      </c>
      <c r="AD624" s="11" t="str">
        <f>IFERROR(IF(MARÍTIMOS[[#This Row],[Etapa Despacho - Mitad de Carga]]="","",MARÍTIMOS[[#This Row],[Etapa Despacho - Mitad de Carga]]),"")</f>
        <v/>
      </c>
      <c r="AE624" s="11" t="str">
        <f>IFERROR(IF(MARÍTIMOS[[#This Row],[Etapa Despacho - Fin de Carga]]="","",MARÍTIMOS[[#This Row],[Etapa Despacho - Fin de Carga]]),"")</f>
        <v/>
      </c>
      <c r="AF624" s="2" t="str">
        <f>IFERROR(IF(MARÍTIMOS[[#This Row],[Puerto de Embarque]]="","",MARÍTIMOS[[#This Row],[Puerto de Embarque]]),"")</f>
        <v/>
      </c>
      <c r="AG624" s="2" t="str">
        <f>IFERROR(IF(MARÍTIMOS[[#This Row],[Almacén de Ingreso]]="","",MARÍTIMOS[[#This Row],[Almacén de Ingreso]]),"")</f>
        <v/>
      </c>
      <c r="AH624" s="11" t="str">
        <f>IFERROR(IF(MARÍTIMOS[[#This Row],[Etapa Ingreso - Cita]]="","",MARÍTIMOS[[#This Row],[Etapa Ingreso - Cita]]),"")</f>
        <v/>
      </c>
      <c r="AI624" s="11" t="str">
        <f>IFERROR(IF(MARÍTIMOS[[#This Row],[Etapa Ingreso - Llegada]]="","",MARÍTIMOS[[#This Row],[Etapa Ingreso - Llegada]]),"")</f>
        <v/>
      </c>
      <c r="AJ624" s="11" t="str">
        <f>IFERROR(IF(MARÍTIMOS[[#This Row],[Etapa Ingreso - Ingeso]]="","",MARÍTIMOS[[#This Row],[Etapa Ingreso - Ingeso]]),"")</f>
        <v/>
      </c>
      <c r="AK624" s="11" t="str">
        <f>IFERROR(IF(MARÍTIMOS[[#This Row],[Etapa Ingreso - Atención]]="","",MARÍTIMOS[[#This Row],[Etapa Ingreso - Atención]]),"")</f>
        <v/>
      </c>
      <c r="AL624" s="11" t="str">
        <f>IFERROR(IF(MARÍTIMOS[[#This Row],[Etapa Ingreso - Salida]]="","",MARÍTIMOS[[#This Row],[Etapa Ingreso - Salida]]),"")</f>
        <v/>
      </c>
      <c r="AM624" s="2" t="str">
        <f>IFERROR(IF(MARÍTIMOS[[#This Row],[FCL]]="","",MARÍTIMOS[[#This Row],[FCL]]),"")</f>
        <v/>
      </c>
      <c r="AN6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4" s="4" t="str" cm="1">
        <f t="array" ref="AO6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4" s="5" t="str">
        <f>IFERROR(OLDBD[[#This Row],[Llegada a packing]]-OLDBD[[#This Row],[Inicio de Ruta]],"")</f>
        <v/>
      </c>
      <c r="AQ624" s="6" t="str">
        <f>IFERROR(OLDBD[[#This Row],[Inicio de Ruta]]-OLDBD[[#This Row],[Salida de almacén de retiro]],"")</f>
        <v/>
      </c>
      <c r="AR6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4" s="8" t="str" cm="1">
        <f t="array" ref="AS6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4" s="9" t="str">
        <f>IFERROR(OLDBD[[#This Row],[Ingreso Packing]]-OLDBD[[#This Row],[Registro en Packing]],"")</f>
        <v/>
      </c>
      <c r="AV624" s="9" t="str">
        <f>IFERROR(OLDBD[[#This Row],[Ingreso Packing]]-OLDBD[[#This Row],[Llegada a packing]],"")</f>
        <v/>
      </c>
      <c r="AW6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4" s="5" t="str">
        <f>IFERROR(OLDBD[[#This Row],[Llegada Almacén de Ingreso]]-OLDBD[[#This Row],[Salida Packing]],"")</f>
        <v/>
      </c>
      <c r="AY624" s="4" t="str" cm="1">
        <f t="array" ref="AY6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4" s="43" t="s">
        <v>173</v>
      </c>
      <c r="BB624" s="47" t="str">
        <f>IFERROR(IF(MARÍTIMOS[[#This Row],[Estatus]]="","",MARÍTIMOS[[#This Row],[Estatus]]),"")</f>
        <v/>
      </c>
      <c r="BC624" s="43"/>
      <c r="BD624" s="46" t="str">
        <f>IFERROR(OLDBD[[#This Row],[Salida de almacén de retiro]]-OLDBD[[#This Row],[Ingreso Almacén de retiro]],"")</f>
        <v/>
      </c>
      <c r="BE624" s="46" t="str">
        <f>IFERROR(OLDBD[[#This Row],[Fin de Carga]]-OLDBD[[#This Row],[Inicio de Carga]],"")</f>
        <v/>
      </c>
    </row>
    <row r="625" spans="1:57" customFormat="1" hidden="1">
      <c r="A625" s="1"/>
      <c r="B625" s="1" t="str">
        <f>IFERROR(IF(MARÍTIMOS[[#This Row],[PP]]="","",MARÍTIMOS[[#This Row],[PP]]),"")</f>
        <v/>
      </c>
      <c r="C625" s="1" t="str">
        <f>IFERROR(IF(MARÍTIMOS[[#This Row],[Sede]]="","",MARÍTIMOS[[#This Row],[Sede]]),"")</f>
        <v/>
      </c>
      <c r="D625" s="1" t="str">
        <f>IFERROR(IF(MARÍTIMOS[[#This Row],[Instruction]]="","",MARÍTIMOS[[#This Row],[Instruction]]),"")</f>
        <v/>
      </c>
      <c r="E625" s="1"/>
      <c r="F625" s="2" t="str">
        <f>IFERROR(IF(MARÍTIMOS[[#This Row],[Transportista]]="","",MARÍTIMOS[[#This Row],[Transportista]]),"")</f>
        <v/>
      </c>
      <c r="G625" s="2" t="str">
        <f>IFERROR(IF(MARÍTIMOS[[#This Row],[Tercero]]="","",MARÍTIMOS[[#This Row],[Tercero]]),"")</f>
        <v/>
      </c>
      <c r="H625" s="2" t="str">
        <f>IFERROR(IF(MARÍTIMOS[[#This Row],[Razón Social]]="","",MARÍTIMOS[[#This Row],[Razón Social]]),"")</f>
        <v/>
      </c>
      <c r="I625" s="2" t="str">
        <f>IFERROR(IF(MARÍTIMOS[[#This Row],[RUC]]="","",MARÍTIMOS[[#This Row],[RUC]]),"")</f>
        <v/>
      </c>
      <c r="J625" s="2" t="str">
        <f>IFERROR(IF(MARÍTIMOS[[#This Row],[Placa Tracto]]="","",MARÍTIMOS[[#This Row],[Placa Tracto]]),"")</f>
        <v/>
      </c>
      <c r="K625" s="2" t="str">
        <f>IFERROR(IF(MARÍTIMOS[[#This Row],[Placa Carreta]]="","",MARÍTIMOS[[#This Row],[Placa Carreta]]),"")</f>
        <v/>
      </c>
      <c r="L625" s="44" t="str">
        <f>IFERROR(IF(MARÍTIMOS[[#This Row],[Conductor]]="","",MARÍTIMOS[[#This Row],[Conductor]]),"")</f>
        <v/>
      </c>
      <c r="M625" s="2" t="str">
        <f>IFERROR(IF(MARÍTIMOS[[#This Row],[Licencia]]="","",MARÍTIMOS[[#This Row],[Licencia]]),"")</f>
        <v/>
      </c>
      <c r="N625" s="2" t="str">
        <f>IFERROR(IF(MARÍTIMOS[[#This Row],[Número de Contacto]]="","",MARÍTIMOS[[#This Row],[Número de Contacto]]),"")</f>
        <v/>
      </c>
      <c r="O625" s="10" t="str">
        <f>IFERROR(IF(MARÍTIMOS[[#This Row],[Booking|AWB|CRT]]="","",MARÍTIMOS[[#This Row],[Booking|AWB|CRT]]),"")</f>
        <v/>
      </c>
      <c r="P625" s="2" t="str">
        <f>IFERROR(IF(MARÍTIMOS[[#This Row],[Contenedor]]="","",MARÍTIMOS[[#This Row],[Contenedor]]),"")</f>
        <v/>
      </c>
      <c r="Q625" s="2" t="str">
        <f>IFERROR(IF(MARÍTIMOS[[#This Row],[Puerto de Retiro]]="","",MARÍTIMOS[[#This Row],[Puerto de Retiro]]),"")</f>
        <v/>
      </c>
      <c r="R625" s="2" t="str">
        <f>IFERROR(IF(MARÍTIMOS[[#This Row],[Almacén de Retiro]]="","",MARÍTIMOS[[#This Row],[Almacén de Retiro]]),"")</f>
        <v/>
      </c>
      <c r="S625" s="11" t="str">
        <f>IFERROR(IF(MARÍTIMOS[[#This Row],[Etapa Retiro - Cita]]="","",MARÍTIMOS[[#This Row],[Etapa Retiro - Cita]]),"")</f>
        <v/>
      </c>
      <c r="T625" s="11" t="str">
        <f>IFERROR(IF(MARÍTIMOS[[#This Row],[Etapa Retiro - Llegada]]="","",MARÍTIMOS[[#This Row],[Etapa Retiro - Llegada]]),"")</f>
        <v/>
      </c>
      <c r="U625" s="11" t="str">
        <f>IFERROR(IF(MARÍTIMOS[[#This Row],[Etapa Retiro - Ingreso]]="","",MARÍTIMOS[[#This Row],[Etapa Retiro - Ingreso]]),"")</f>
        <v/>
      </c>
      <c r="V625" s="11" t="str">
        <f>IFERROR(IF(MARÍTIMOS[[#This Row],[Etapa Retiro - Atención]]="","",MARÍTIMOS[[#This Row],[Etapa Retiro - Atención]]),"")</f>
        <v/>
      </c>
      <c r="W625" s="11" t="str">
        <f>IFERROR(IF(MARÍTIMOS[[#This Row],[Etapa Retiro - Atención]]="","",MARÍTIMOS[[#This Row],[Etapa Retiro - Atención]]),"")</f>
        <v/>
      </c>
      <c r="X625" s="11" t="str">
        <f>IFERROR(IF(MARÍTIMOS[[#This Row],[Etapa Retiro - Inicio de Ruta]]="","",MARÍTIMOS[[#This Row],[Etapa Retiro - Inicio de Ruta]]),"")</f>
        <v/>
      </c>
      <c r="Y625" s="11" t="str">
        <f>IFERROR(IF(MARÍTIMOS[[#This Row],[Hora de Posicionamiento]]="","",MARÍTIMOS[[#This Row],[Fecha de Carga]]+MARÍTIMOS[[#This Row],[Hora de Posicionamiento]]),"")</f>
        <v/>
      </c>
      <c r="Z625" s="11" t="str">
        <f>IFERROR(IF(MARÍTIMOS[[#This Row],[Etapa Despacho - Llegada]]="","",MARÍTIMOS[[#This Row],[Etapa Despacho - Llegada]]),"")</f>
        <v/>
      </c>
      <c r="AA625" s="11" t="str">
        <f>IFERROR(IF(MARÍTIMOS[[#This Row],[Etapa Despacho - Registro]]="","",MARÍTIMOS[[#This Row],[Etapa Despacho - Registro]]),"")</f>
        <v/>
      </c>
      <c r="AB625" s="11" t="str">
        <f>IFERROR(IF(MARÍTIMOS[[#This Row],[Inspección Externa]]="","",MARÍTIMOS[[#This Row],[Inspección Externa]]),"")</f>
        <v/>
      </c>
      <c r="AC625" s="11" t="str">
        <f>IFERROR(IF(MARÍTIMOS[[#This Row],[Etapa Despacho - Inicio de Carga]]="","",MARÍTIMOS[[#This Row],[Etapa Despacho - Inicio de Carga]]),"")</f>
        <v/>
      </c>
      <c r="AD625" s="11" t="str">
        <f>IFERROR(IF(MARÍTIMOS[[#This Row],[Etapa Despacho - Mitad de Carga]]="","",MARÍTIMOS[[#This Row],[Etapa Despacho - Mitad de Carga]]),"")</f>
        <v/>
      </c>
      <c r="AE625" s="11" t="str">
        <f>IFERROR(IF(MARÍTIMOS[[#This Row],[Etapa Despacho - Fin de Carga]]="","",MARÍTIMOS[[#This Row],[Etapa Despacho - Fin de Carga]]),"")</f>
        <v/>
      </c>
      <c r="AF625" s="2" t="str">
        <f>IFERROR(IF(MARÍTIMOS[[#This Row],[Puerto de Embarque]]="","",MARÍTIMOS[[#This Row],[Puerto de Embarque]]),"")</f>
        <v/>
      </c>
      <c r="AG625" s="2" t="str">
        <f>IFERROR(IF(MARÍTIMOS[[#This Row],[Almacén de Ingreso]]="","",MARÍTIMOS[[#This Row],[Almacén de Ingreso]]),"")</f>
        <v/>
      </c>
      <c r="AH625" s="11" t="str">
        <f>IFERROR(IF(MARÍTIMOS[[#This Row],[Etapa Ingreso - Cita]]="","",MARÍTIMOS[[#This Row],[Etapa Ingreso - Cita]]),"")</f>
        <v/>
      </c>
      <c r="AI625" s="11" t="str">
        <f>IFERROR(IF(MARÍTIMOS[[#This Row],[Etapa Ingreso - Llegada]]="","",MARÍTIMOS[[#This Row],[Etapa Ingreso - Llegada]]),"")</f>
        <v/>
      </c>
      <c r="AJ625" s="11" t="str">
        <f>IFERROR(IF(MARÍTIMOS[[#This Row],[Etapa Ingreso - Ingeso]]="","",MARÍTIMOS[[#This Row],[Etapa Ingreso - Ingeso]]),"")</f>
        <v/>
      </c>
      <c r="AK625" s="11" t="str">
        <f>IFERROR(IF(MARÍTIMOS[[#This Row],[Etapa Ingreso - Atención]]="","",MARÍTIMOS[[#This Row],[Etapa Ingreso - Atención]]),"")</f>
        <v/>
      </c>
      <c r="AL625" s="11" t="str">
        <f>IFERROR(IF(MARÍTIMOS[[#This Row],[Etapa Ingreso - Salida]]="","",MARÍTIMOS[[#This Row],[Etapa Ingreso - Salida]]),"")</f>
        <v/>
      </c>
      <c r="AM625" s="2" t="str">
        <f>IFERROR(IF(MARÍTIMOS[[#This Row],[FCL]]="","",MARÍTIMOS[[#This Row],[FCL]]),"")</f>
        <v/>
      </c>
      <c r="AN6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5" s="4" t="str" cm="1">
        <f t="array" ref="AO6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5" s="5" t="str">
        <f>IFERROR(OLDBD[[#This Row],[Llegada a packing]]-OLDBD[[#This Row],[Inicio de Ruta]],"")</f>
        <v/>
      </c>
      <c r="AQ625" s="6" t="str">
        <f>IFERROR(OLDBD[[#This Row],[Inicio de Ruta]]-OLDBD[[#This Row],[Salida de almacén de retiro]],"")</f>
        <v/>
      </c>
      <c r="AR6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5" s="8" t="str" cm="1">
        <f t="array" ref="AS6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5" s="9" t="str">
        <f>IFERROR(OLDBD[[#This Row],[Ingreso Packing]]-OLDBD[[#This Row],[Registro en Packing]],"")</f>
        <v/>
      </c>
      <c r="AV625" s="9" t="str">
        <f>IFERROR(OLDBD[[#This Row],[Ingreso Packing]]-OLDBD[[#This Row],[Llegada a packing]],"")</f>
        <v/>
      </c>
      <c r="AW6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5" s="5" t="str">
        <f>IFERROR(OLDBD[[#This Row],[Llegada Almacén de Ingreso]]-OLDBD[[#This Row],[Salida Packing]],"")</f>
        <v/>
      </c>
      <c r="AY625" s="4" t="str" cm="1">
        <f t="array" ref="AY6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5" s="43" t="s">
        <v>173</v>
      </c>
      <c r="BB625" s="47" t="str">
        <f>IFERROR(IF(MARÍTIMOS[[#This Row],[Estatus]]="","",MARÍTIMOS[[#This Row],[Estatus]]),"")</f>
        <v/>
      </c>
      <c r="BC625" s="43"/>
      <c r="BD625" s="46" t="str">
        <f>IFERROR(OLDBD[[#This Row],[Salida de almacén de retiro]]-OLDBD[[#This Row],[Ingreso Almacén de retiro]],"")</f>
        <v/>
      </c>
      <c r="BE625" s="46" t="str">
        <f>IFERROR(OLDBD[[#This Row],[Fin de Carga]]-OLDBD[[#This Row],[Inicio de Carga]],"")</f>
        <v/>
      </c>
    </row>
    <row r="626" spans="1:57" customFormat="1" hidden="1">
      <c r="A626" s="1"/>
      <c r="B626" s="1" t="str">
        <f>IFERROR(IF(MARÍTIMOS[[#This Row],[PP]]="","",MARÍTIMOS[[#This Row],[PP]]),"")</f>
        <v/>
      </c>
      <c r="C626" s="1" t="str">
        <f>IFERROR(IF(MARÍTIMOS[[#This Row],[Sede]]="","",MARÍTIMOS[[#This Row],[Sede]]),"")</f>
        <v/>
      </c>
      <c r="D626" s="1" t="str">
        <f>IFERROR(IF(MARÍTIMOS[[#This Row],[Instruction]]="","",MARÍTIMOS[[#This Row],[Instruction]]),"")</f>
        <v/>
      </c>
      <c r="E626" s="1"/>
      <c r="F626" s="2" t="str">
        <f>IFERROR(IF(MARÍTIMOS[[#This Row],[Transportista]]="","",MARÍTIMOS[[#This Row],[Transportista]]),"")</f>
        <v/>
      </c>
      <c r="G626" s="2" t="str">
        <f>IFERROR(IF(MARÍTIMOS[[#This Row],[Tercero]]="","",MARÍTIMOS[[#This Row],[Tercero]]),"")</f>
        <v/>
      </c>
      <c r="H626" s="2" t="str">
        <f>IFERROR(IF(MARÍTIMOS[[#This Row],[Razón Social]]="","",MARÍTIMOS[[#This Row],[Razón Social]]),"")</f>
        <v/>
      </c>
      <c r="I626" s="2" t="str">
        <f>IFERROR(IF(MARÍTIMOS[[#This Row],[RUC]]="","",MARÍTIMOS[[#This Row],[RUC]]),"")</f>
        <v/>
      </c>
      <c r="J626" s="2" t="str">
        <f>IFERROR(IF(MARÍTIMOS[[#This Row],[Placa Tracto]]="","",MARÍTIMOS[[#This Row],[Placa Tracto]]),"")</f>
        <v/>
      </c>
      <c r="K626" s="2" t="str">
        <f>IFERROR(IF(MARÍTIMOS[[#This Row],[Placa Carreta]]="","",MARÍTIMOS[[#This Row],[Placa Carreta]]),"")</f>
        <v/>
      </c>
      <c r="L626" s="44" t="str">
        <f>IFERROR(IF(MARÍTIMOS[[#This Row],[Conductor]]="","",MARÍTIMOS[[#This Row],[Conductor]]),"")</f>
        <v/>
      </c>
      <c r="M626" s="2" t="str">
        <f>IFERROR(IF(MARÍTIMOS[[#This Row],[Licencia]]="","",MARÍTIMOS[[#This Row],[Licencia]]),"")</f>
        <v/>
      </c>
      <c r="N626" s="2" t="str">
        <f>IFERROR(IF(MARÍTIMOS[[#This Row],[Número de Contacto]]="","",MARÍTIMOS[[#This Row],[Número de Contacto]]),"")</f>
        <v/>
      </c>
      <c r="O626" s="10" t="str">
        <f>IFERROR(IF(MARÍTIMOS[[#This Row],[Booking|AWB|CRT]]="","",MARÍTIMOS[[#This Row],[Booking|AWB|CRT]]),"")</f>
        <v/>
      </c>
      <c r="P626" s="2" t="str">
        <f>IFERROR(IF(MARÍTIMOS[[#This Row],[Contenedor]]="","",MARÍTIMOS[[#This Row],[Contenedor]]),"")</f>
        <v/>
      </c>
      <c r="Q626" s="2" t="str">
        <f>IFERROR(IF(MARÍTIMOS[[#This Row],[Puerto de Retiro]]="","",MARÍTIMOS[[#This Row],[Puerto de Retiro]]),"")</f>
        <v/>
      </c>
      <c r="R626" s="2" t="str">
        <f>IFERROR(IF(MARÍTIMOS[[#This Row],[Almacén de Retiro]]="","",MARÍTIMOS[[#This Row],[Almacén de Retiro]]),"")</f>
        <v/>
      </c>
      <c r="S626" s="11" t="str">
        <f>IFERROR(IF(MARÍTIMOS[[#This Row],[Etapa Retiro - Cita]]="","",MARÍTIMOS[[#This Row],[Etapa Retiro - Cita]]),"")</f>
        <v/>
      </c>
      <c r="T626" s="11" t="str">
        <f>IFERROR(IF(MARÍTIMOS[[#This Row],[Etapa Retiro - Llegada]]="","",MARÍTIMOS[[#This Row],[Etapa Retiro - Llegada]]),"")</f>
        <v/>
      </c>
      <c r="U626" s="11" t="str">
        <f>IFERROR(IF(MARÍTIMOS[[#This Row],[Etapa Retiro - Ingreso]]="","",MARÍTIMOS[[#This Row],[Etapa Retiro - Ingreso]]),"")</f>
        <v/>
      </c>
      <c r="V626" s="11" t="str">
        <f>IFERROR(IF(MARÍTIMOS[[#This Row],[Etapa Retiro - Atención]]="","",MARÍTIMOS[[#This Row],[Etapa Retiro - Atención]]),"")</f>
        <v/>
      </c>
      <c r="W626" s="11" t="str">
        <f>IFERROR(IF(MARÍTIMOS[[#This Row],[Etapa Retiro - Atención]]="","",MARÍTIMOS[[#This Row],[Etapa Retiro - Atención]]),"")</f>
        <v/>
      </c>
      <c r="X626" s="11" t="str">
        <f>IFERROR(IF(MARÍTIMOS[[#This Row],[Etapa Retiro - Inicio de Ruta]]="","",MARÍTIMOS[[#This Row],[Etapa Retiro - Inicio de Ruta]]),"")</f>
        <v/>
      </c>
      <c r="Y626" s="11" t="str">
        <f>IFERROR(IF(MARÍTIMOS[[#This Row],[Hora de Posicionamiento]]="","",MARÍTIMOS[[#This Row],[Fecha de Carga]]+MARÍTIMOS[[#This Row],[Hora de Posicionamiento]]),"")</f>
        <v/>
      </c>
      <c r="Z626" s="11" t="str">
        <f>IFERROR(IF(MARÍTIMOS[[#This Row],[Etapa Despacho - Llegada]]="","",MARÍTIMOS[[#This Row],[Etapa Despacho - Llegada]]),"")</f>
        <v/>
      </c>
      <c r="AA626" s="11" t="str">
        <f>IFERROR(IF(MARÍTIMOS[[#This Row],[Etapa Despacho - Registro]]="","",MARÍTIMOS[[#This Row],[Etapa Despacho - Registro]]),"")</f>
        <v/>
      </c>
      <c r="AB626" s="11" t="str">
        <f>IFERROR(IF(MARÍTIMOS[[#This Row],[Inspección Externa]]="","",MARÍTIMOS[[#This Row],[Inspección Externa]]),"")</f>
        <v/>
      </c>
      <c r="AC626" s="11" t="str">
        <f>IFERROR(IF(MARÍTIMOS[[#This Row],[Etapa Despacho - Inicio de Carga]]="","",MARÍTIMOS[[#This Row],[Etapa Despacho - Inicio de Carga]]),"")</f>
        <v/>
      </c>
      <c r="AD626" s="11" t="str">
        <f>IFERROR(IF(MARÍTIMOS[[#This Row],[Etapa Despacho - Mitad de Carga]]="","",MARÍTIMOS[[#This Row],[Etapa Despacho - Mitad de Carga]]),"")</f>
        <v/>
      </c>
      <c r="AE626" s="11" t="str">
        <f>IFERROR(IF(MARÍTIMOS[[#This Row],[Etapa Despacho - Fin de Carga]]="","",MARÍTIMOS[[#This Row],[Etapa Despacho - Fin de Carga]]),"")</f>
        <v/>
      </c>
      <c r="AF626" s="2" t="str">
        <f>IFERROR(IF(MARÍTIMOS[[#This Row],[Puerto de Embarque]]="","",MARÍTIMOS[[#This Row],[Puerto de Embarque]]),"")</f>
        <v/>
      </c>
      <c r="AG626" s="2" t="str">
        <f>IFERROR(IF(MARÍTIMOS[[#This Row],[Almacén de Ingreso]]="","",MARÍTIMOS[[#This Row],[Almacén de Ingreso]]),"")</f>
        <v/>
      </c>
      <c r="AH626" s="11" t="str">
        <f>IFERROR(IF(MARÍTIMOS[[#This Row],[Etapa Ingreso - Cita]]="","",MARÍTIMOS[[#This Row],[Etapa Ingreso - Cita]]),"")</f>
        <v/>
      </c>
      <c r="AI626" s="11" t="str">
        <f>IFERROR(IF(MARÍTIMOS[[#This Row],[Etapa Ingreso - Llegada]]="","",MARÍTIMOS[[#This Row],[Etapa Ingreso - Llegada]]),"")</f>
        <v/>
      </c>
      <c r="AJ626" s="11" t="str">
        <f>IFERROR(IF(MARÍTIMOS[[#This Row],[Etapa Ingreso - Ingeso]]="","",MARÍTIMOS[[#This Row],[Etapa Ingreso - Ingeso]]),"")</f>
        <v/>
      </c>
      <c r="AK626" s="11" t="str">
        <f>IFERROR(IF(MARÍTIMOS[[#This Row],[Etapa Ingreso - Atención]]="","",MARÍTIMOS[[#This Row],[Etapa Ingreso - Atención]]),"")</f>
        <v/>
      </c>
      <c r="AL626" s="11" t="str">
        <f>IFERROR(IF(MARÍTIMOS[[#This Row],[Etapa Ingreso - Salida]]="","",MARÍTIMOS[[#This Row],[Etapa Ingreso - Salida]]),"")</f>
        <v/>
      </c>
      <c r="AM626" s="2" t="str">
        <f>IFERROR(IF(MARÍTIMOS[[#This Row],[FCL]]="","",MARÍTIMOS[[#This Row],[FCL]]),"")</f>
        <v/>
      </c>
      <c r="AN6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6" s="4" t="str" cm="1">
        <f t="array" ref="AO6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6" s="5" t="str">
        <f>IFERROR(OLDBD[[#This Row],[Llegada a packing]]-OLDBD[[#This Row],[Inicio de Ruta]],"")</f>
        <v/>
      </c>
      <c r="AQ626" s="6" t="str">
        <f>IFERROR(OLDBD[[#This Row],[Inicio de Ruta]]-OLDBD[[#This Row],[Salida de almacén de retiro]],"")</f>
        <v/>
      </c>
      <c r="AR6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6" s="8" t="str" cm="1">
        <f t="array" ref="AS6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6" s="9" t="str">
        <f>IFERROR(OLDBD[[#This Row],[Ingreso Packing]]-OLDBD[[#This Row],[Registro en Packing]],"")</f>
        <v/>
      </c>
      <c r="AV626" s="9" t="str">
        <f>IFERROR(OLDBD[[#This Row],[Ingreso Packing]]-OLDBD[[#This Row],[Llegada a packing]],"")</f>
        <v/>
      </c>
      <c r="AW6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6" s="5" t="str">
        <f>IFERROR(OLDBD[[#This Row],[Llegada Almacén de Ingreso]]-OLDBD[[#This Row],[Salida Packing]],"")</f>
        <v/>
      </c>
      <c r="AY626" s="4" t="str" cm="1">
        <f t="array" ref="AY6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6" s="43" t="s">
        <v>173</v>
      </c>
      <c r="BB626" s="47" t="str">
        <f>IFERROR(IF(MARÍTIMOS[[#This Row],[Estatus]]="","",MARÍTIMOS[[#This Row],[Estatus]]),"")</f>
        <v/>
      </c>
      <c r="BC626" s="43"/>
      <c r="BD626" s="46" t="str">
        <f>IFERROR(OLDBD[[#This Row],[Salida de almacén de retiro]]-OLDBD[[#This Row],[Ingreso Almacén de retiro]],"")</f>
        <v/>
      </c>
      <c r="BE626" s="46" t="str">
        <f>IFERROR(OLDBD[[#This Row],[Fin de Carga]]-OLDBD[[#This Row],[Inicio de Carga]],"")</f>
        <v/>
      </c>
    </row>
    <row r="627" spans="1:57" customFormat="1" hidden="1">
      <c r="A627" s="1"/>
      <c r="B627" s="1" t="str">
        <f>IFERROR(IF(MARÍTIMOS[[#This Row],[PP]]="","",MARÍTIMOS[[#This Row],[PP]]),"")</f>
        <v/>
      </c>
      <c r="C627" s="1" t="str">
        <f>IFERROR(IF(MARÍTIMOS[[#This Row],[Sede]]="","",MARÍTIMOS[[#This Row],[Sede]]),"")</f>
        <v/>
      </c>
      <c r="D627" s="1" t="str">
        <f>IFERROR(IF(MARÍTIMOS[[#This Row],[Instruction]]="","",MARÍTIMOS[[#This Row],[Instruction]]),"")</f>
        <v/>
      </c>
      <c r="E627" s="1"/>
      <c r="F627" s="2" t="str">
        <f>IFERROR(IF(MARÍTIMOS[[#This Row],[Transportista]]="","",MARÍTIMOS[[#This Row],[Transportista]]),"")</f>
        <v/>
      </c>
      <c r="G627" s="2" t="str">
        <f>IFERROR(IF(MARÍTIMOS[[#This Row],[Tercero]]="","",MARÍTIMOS[[#This Row],[Tercero]]),"")</f>
        <v/>
      </c>
      <c r="H627" s="2" t="str">
        <f>IFERROR(IF(MARÍTIMOS[[#This Row],[Razón Social]]="","",MARÍTIMOS[[#This Row],[Razón Social]]),"")</f>
        <v/>
      </c>
      <c r="I627" s="2" t="str">
        <f>IFERROR(IF(MARÍTIMOS[[#This Row],[RUC]]="","",MARÍTIMOS[[#This Row],[RUC]]),"")</f>
        <v/>
      </c>
      <c r="J627" s="2" t="str">
        <f>IFERROR(IF(MARÍTIMOS[[#This Row],[Placa Tracto]]="","",MARÍTIMOS[[#This Row],[Placa Tracto]]),"")</f>
        <v/>
      </c>
      <c r="K627" s="2" t="str">
        <f>IFERROR(IF(MARÍTIMOS[[#This Row],[Placa Carreta]]="","",MARÍTIMOS[[#This Row],[Placa Carreta]]),"")</f>
        <v/>
      </c>
      <c r="L627" s="44" t="str">
        <f>IFERROR(IF(MARÍTIMOS[[#This Row],[Conductor]]="","",MARÍTIMOS[[#This Row],[Conductor]]),"")</f>
        <v/>
      </c>
      <c r="M627" s="2" t="str">
        <f>IFERROR(IF(MARÍTIMOS[[#This Row],[Licencia]]="","",MARÍTIMOS[[#This Row],[Licencia]]),"")</f>
        <v/>
      </c>
      <c r="N627" s="2" t="str">
        <f>IFERROR(IF(MARÍTIMOS[[#This Row],[Número de Contacto]]="","",MARÍTIMOS[[#This Row],[Número de Contacto]]),"")</f>
        <v/>
      </c>
      <c r="O627" s="10" t="str">
        <f>IFERROR(IF(MARÍTIMOS[[#This Row],[Booking|AWB|CRT]]="","",MARÍTIMOS[[#This Row],[Booking|AWB|CRT]]),"")</f>
        <v/>
      </c>
      <c r="P627" s="2" t="str">
        <f>IFERROR(IF(MARÍTIMOS[[#This Row],[Contenedor]]="","",MARÍTIMOS[[#This Row],[Contenedor]]),"")</f>
        <v/>
      </c>
      <c r="Q627" s="2" t="str">
        <f>IFERROR(IF(MARÍTIMOS[[#This Row],[Puerto de Retiro]]="","",MARÍTIMOS[[#This Row],[Puerto de Retiro]]),"")</f>
        <v/>
      </c>
      <c r="R627" s="2" t="str">
        <f>IFERROR(IF(MARÍTIMOS[[#This Row],[Almacén de Retiro]]="","",MARÍTIMOS[[#This Row],[Almacén de Retiro]]),"")</f>
        <v/>
      </c>
      <c r="S627" s="11" t="str">
        <f>IFERROR(IF(MARÍTIMOS[[#This Row],[Etapa Retiro - Cita]]="","",MARÍTIMOS[[#This Row],[Etapa Retiro - Cita]]),"")</f>
        <v/>
      </c>
      <c r="T627" s="11" t="str">
        <f>IFERROR(IF(MARÍTIMOS[[#This Row],[Etapa Retiro - Llegada]]="","",MARÍTIMOS[[#This Row],[Etapa Retiro - Llegada]]),"")</f>
        <v/>
      </c>
      <c r="U627" s="11" t="str">
        <f>IFERROR(IF(MARÍTIMOS[[#This Row],[Etapa Retiro - Ingreso]]="","",MARÍTIMOS[[#This Row],[Etapa Retiro - Ingreso]]),"")</f>
        <v/>
      </c>
      <c r="V627" s="11" t="str">
        <f>IFERROR(IF(MARÍTIMOS[[#This Row],[Etapa Retiro - Atención]]="","",MARÍTIMOS[[#This Row],[Etapa Retiro - Atención]]),"")</f>
        <v/>
      </c>
      <c r="W627" s="11" t="str">
        <f>IFERROR(IF(MARÍTIMOS[[#This Row],[Etapa Retiro - Atención]]="","",MARÍTIMOS[[#This Row],[Etapa Retiro - Atención]]),"")</f>
        <v/>
      </c>
      <c r="X627" s="11" t="str">
        <f>IFERROR(IF(MARÍTIMOS[[#This Row],[Etapa Retiro - Inicio de Ruta]]="","",MARÍTIMOS[[#This Row],[Etapa Retiro - Inicio de Ruta]]),"")</f>
        <v/>
      </c>
      <c r="Y627" s="11" t="str">
        <f>IFERROR(IF(MARÍTIMOS[[#This Row],[Hora de Posicionamiento]]="","",MARÍTIMOS[[#This Row],[Fecha de Carga]]+MARÍTIMOS[[#This Row],[Hora de Posicionamiento]]),"")</f>
        <v/>
      </c>
      <c r="Z627" s="11" t="str">
        <f>IFERROR(IF(MARÍTIMOS[[#This Row],[Etapa Despacho - Llegada]]="","",MARÍTIMOS[[#This Row],[Etapa Despacho - Llegada]]),"")</f>
        <v/>
      </c>
      <c r="AA627" s="11" t="str">
        <f>IFERROR(IF(MARÍTIMOS[[#This Row],[Etapa Despacho - Registro]]="","",MARÍTIMOS[[#This Row],[Etapa Despacho - Registro]]),"")</f>
        <v/>
      </c>
      <c r="AB627" s="11" t="str">
        <f>IFERROR(IF(MARÍTIMOS[[#This Row],[Inspección Externa]]="","",MARÍTIMOS[[#This Row],[Inspección Externa]]),"")</f>
        <v/>
      </c>
      <c r="AC627" s="11" t="str">
        <f>IFERROR(IF(MARÍTIMOS[[#This Row],[Etapa Despacho - Inicio de Carga]]="","",MARÍTIMOS[[#This Row],[Etapa Despacho - Inicio de Carga]]),"")</f>
        <v/>
      </c>
      <c r="AD627" s="11" t="str">
        <f>IFERROR(IF(MARÍTIMOS[[#This Row],[Etapa Despacho - Mitad de Carga]]="","",MARÍTIMOS[[#This Row],[Etapa Despacho - Mitad de Carga]]),"")</f>
        <v/>
      </c>
      <c r="AE627" s="11" t="str">
        <f>IFERROR(IF(MARÍTIMOS[[#This Row],[Etapa Despacho - Fin de Carga]]="","",MARÍTIMOS[[#This Row],[Etapa Despacho - Fin de Carga]]),"")</f>
        <v/>
      </c>
      <c r="AF627" s="2" t="str">
        <f>IFERROR(IF(MARÍTIMOS[[#This Row],[Puerto de Embarque]]="","",MARÍTIMOS[[#This Row],[Puerto de Embarque]]),"")</f>
        <v/>
      </c>
      <c r="AG627" s="2" t="str">
        <f>IFERROR(IF(MARÍTIMOS[[#This Row],[Almacén de Ingreso]]="","",MARÍTIMOS[[#This Row],[Almacén de Ingreso]]),"")</f>
        <v/>
      </c>
      <c r="AH627" s="11" t="str">
        <f>IFERROR(IF(MARÍTIMOS[[#This Row],[Etapa Ingreso - Cita]]="","",MARÍTIMOS[[#This Row],[Etapa Ingreso - Cita]]),"")</f>
        <v/>
      </c>
      <c r="AI627" s="11" t="str">
        <f>IFERROR(IF(MARÍTIMOS[[#This Row],[Etapa Ingreso - Llegada]]="","",MARÍTIMOS[[#This Row],[Etapa Ingreso - Llegada]]),"")</f>
        <v/>
      </c>
      <c r="AJ627" s="11" t="str">
        <f>IFERROR(IF(MARÍTIMOS[[#This Row],[Etapa Ingreso - Ingeso]]="","",MARÍTIMOS[[#This Row],[Etapa Ingreso - Ingeso]]),"")</f>
        <v/>
      </c>
      <c r="AK627" s="11" t="str">
        <f>IFERROR(IF(MARÍTIMOS[[#This Row],[Etapa Ingreso - Atención]]="","",MARÍTIMOS[[#This Row],[Etapa Ingreso - Atención]]),"")</f>
        <v/>
      </c>
      <c r="AL627" s="11" t="str">
        <f>IFERROR(IF(MARÍTIMOS[[#This Row],[Etapa Ingreso - Salida]]="","",MARÍTIMOS[[#This Row],[Etapa Ingreso - Salida]]),"")</f>
        <v/>
      </c>
      <c r="AM627" s="2" t="str">
        <f>IFERROR(IF(MARÍTIMOS[[#This Row],[FCL]]="","",MARÍTIMOS[[#This Row],[FCL]]),"")</f>
        <v/>
      </c>
      <c r="AN6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7" s="4" t="str" cm="1">
        <f t="array" ref="AO6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7" s="5" t="str">
        <f>IFERROR(OLDBD[[#This Row],[Llegada a packing]]-OLDBD[[#This Row],[Inicio de Ruta]],"")</f>
        <v/>
      </c>
      <c r="AQ627" s="6" t="str">
        <f>IFERROR(OLDBD[[#This Row],[Inicio de Ruta]]-OLDBD[[#This Row],[Salida de almacén de retiro]],"")</f>
        <v/>
      </c>
      <c r="AR6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7" s="8" t="str" cm="1">
        <f t="array" ref="AS6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7" s="9" t="str">
        <f>IFERROR(OLDBD[[#This Row],[Ingreso Packing]]-OLDBD[[#This Row],[Registro en Packing]],"")</f>
        <v/>
      </c>
      <c r="AV627" s="9" t="str">
        <f>IFERROR(OLDBD[[#This Row],[Ingreso Packing]]-OLDBD[[#This Row],[Llegada a packing]],"")</f>
        <v/>
      </c>
      <c r="AW6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7" s="5" t="str">
        <f>IFERROR(OLDBD[[#This Row],[Llegada Almacén de Ingreso]]-OLDBD[[#This Row],[Salida Packing]],"")</f>
        <v/>
      </c>
      <c r="AY627" s="4" t="str" cm="1">
        <f t="array" ref="AY6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7" s="43" t="s">
        <v>173</v>
      </c>
      <c r="BB627" s="47" t="str">
        <f>IFERROR(IF(MARÍTIMOS[[#This Row],[Estatus]]="","",MARÍTIMOS[[#This Row],[Estatus]]),"")</f>
        <v/>
      </c>
      <c r="BC627" s="43"/>
      <c r="BD627" s="46" t="str">
        <f>IFERROR(OLDBD[[#This Row],[Salida de almacén de retiro]]-OLDBD[[#This Row],[Ingreso Almacén de retiro]],"")</f>
        <v/>
      </c>
      <c r="BE627" s="46" t="str">
        <f>IFERROR(OLDBD[[#This Row],[Fin de Carga]]-OLDBD[[#This Row],[Inicio de Carga]],"")</f>
        <v/>
      </c>
    </row>
    <row r="628" spans="1:57" customFormat="1" hidden="1">
      <c r="A628" s="1"/>
      <c r="B628" s="1" t="str">
        <f>IFERROR(IF(MARÍTIMOS[[#This Row],[PP]]="","",MARÍTIMOS[[#This Row],[PP]]),"")</f>
        <v/>
      </c>
      <c r="C628" s="1" t="str">
        <f>IFERROR(IF(MARÍTIMOS[[#This Row],[Sede]]="","",MARÍTIMOS[[#This Row],[Sede]]),"")</f>
        <v/>
      </c>
      <c r="D628" s="1" t="str">
        <f>IFERROR(IF(MARÍTIMOS[[#This Row],[Instruction]]="","",MARÍTIMOS[[#This Row],[Instruction]]),"")</f>
        <v/>
      </c>
      <c r="E628" s="1"/>
      <c r="F628" s="2" t="str">
        <f>IFERROR(IF(MARÍTIMOS[[#This Row],[Transportista]]="","",MARÍTIMOS[[#This Row],[Transportista]]),"")</f>
        <v/>
      </c>
      <c r="G628" s="2" t="str">
        <f>IFERROR(IF(MARÍTIMOS[[#This Row],[Tercero]]="","",MARÍTIMOS[[#This Row],[Tercero]]),"")</f>
        <v/>
      </c>
      <c r="H628" s="2" t="str">
        <f>IFERROR(IF(MARÍTIMOS[[#This Row],[Razón Social]]="","",MARÍTIMOS[[#This Row],[Razón Social]]),"")</f>
        <v/>
      </c>
      <c r="I628" s="2" t="str">
        <f>IFERROR(IF(MARÍTIMOS[[#This Row],[RUC]]="","",MARÍTIMOS[[#This Row],[RUC]]),"")</f>
        <v/>
      </c>
      <c r="J628" s="2" t="str">
        <f>IFERROR(IF(MARÍTIMOS[[#This Row],[Placa Tracto]]="","",MARÍTIMOS[[#This Row],[Placa Tracto]]),"")</f>
        <v/>
      </c>
      <c r="K628" s="2" t="str">
        <f>IFERROR(IF(MARÍTIMOS[[#This Row],[Placa Carreta]]="","",MARÍTIMOS[[#This Row],[Placa Carreta]]),"")</f>
        <v/>
      </c>
      <c r="L628" s="44" t="str">
        <f>IFERROR(IF(MARÍTIMOS[[#This Row],[Conductor]]="","",MARÍTIMOS[[#This Row],[Conductor]]),"")</f>
        <v/>
      </c>
      <c r="M628" s="2" t="str">
        <f>IFERROR(IF(MARÍTIMOS[[#This Row],[Licencia]]="","",MARÍTIMOS[[#This Row],[Licencia]]),"")</f>
        <v/>
      </c>
      <c r="N628" s="2" t="str">
        <f>IFERROR(IF(MARÍTIMOS[[#This Row],[Número de Contacto]]="","",MARÍTIMOS[[#This Row],[Número de Contacto]]),"")</f>
        <v/>
      </c>
      <c r="O628" s="10" t="str">
        <f>IFERROR(IF(MARÍTIMOS[[#This Row],[Booking|AWB|CRT]]="","",MARÍTIMOS[[#This Row],[Booking|AWB|CRT]]),"")</f>
        <v/>
      </c>
      <c r="P628" s="2" t="str">
        <f>IFERROR(IF(MARÍTIMOS[[#This Row],[Contenedor]]="","",MARÍTIMOS[[#This Row],[Contenedor]]),"")</f>
        <v/>
      </c>
      <c r="Q628" s="2" t="str">
        <f>IFERROR(IF(MARÍTIMOS[[#This Row],[Puerto de Retiro]]="","",MARÍTIMOS[[#This Row],[Puerto de Retiro]]),"")</f>
        <v/>
      </c>
      <c r="R628" s="2" t="str">
        <f>IFERROR(IF(MARÍTIMOS[[#This Row],[Almacén de Retiro]]="","",MARÍTIMOS[[#This Row],[Almacén de Retiro]]),"")</f>
        <v/>
      </c>
      <c r="S628" s="11" t="str">
        <f>IFERROR(IF(MARÍTIMOS[[#This Row],[Etapa Retiro - Cita]]="","",MARÍTIMOS[[#This Row],[Etapa Retiro - Cita]]),"")</f>
        <v/>
      </c>
      <c r="T628" s="11" t="str">
        <f>IFERROR(IF(MARÍTIMOS[[#This Row],[Etapa Retiro - Llegada]]="","",MARÍTIMOS[[#This Row],[Etapa Retiro - Llegada]]),"")</f>
        <v/>
      </c>
      <c r="U628" s="11" t="str">
        <f>IFERROR(IF(MARÍTIMOS[[#This Row],[Etapa Retiro - Ingreso]]="","",MARÍTIMOS[[#This Row],[Etapa Retiro - Ingreso]]),"")</f>
        <v/>
      </c>
      <c r="V628" s="11" t="str">
        <f>IFERROR(IF(MARÍTIMOS[[#This Row],[Etapa Retiro - Atención]]="","",MARÍTIMOS[[#This Row],[Etapa Retiro - Atención]]),"")</f>
        <v/>
      </c>
      <c r="W628" s="11" t="str">
        <f>IFERROR(IF(MARÍTIMOS[[#This Row],[Etapa Retiro - Atención]]="","",MARÍTIMOS[[#This Row],[Etapa Retiro - Atención]]),"")</f>
        <v/>
      </c>
      <c r="X628" s="11" t="str">
        <f>IFERROR(IF(MARÍTIMOS[[#This Row],[Etapa Retiro - Inicio de Ruta]]="","",MARÍTIMOS[[#This Row],[Etapa Retiro - Inicio de Ruta]]),"")</f>
        <v/>
      </c>
      <c r="Y628" s="11" t="str">
        <f>IFERROR(IF(MARÍTIMOS[[#This Row],[Hora de Posicionamiento]]="","",MARÍTIMOS[[#This Row],[Fecha de Carga]]+MARÍTIMOS[[#This Row],[Hora de Posicionamiento]]),"")</f>
        <v/>
      </c>
      <c r="Z628" s="11" t="str">
        <f>IFERROR(IF(MARÍTIMOS[[#This Row],[Etapa Despacho - Llegada]]="","",MARÍTIMOS[[#This Row],[Etapa Despacho - Llegada]]),"")</f>
        <v/>
      </c>
      <c r="AA628" s="11" t="str">
        <f>IFERROR(IF(MARÍTIMOS[[#This Row],[Etapa Despacho - Registro]]="","",MARÍTIMOS[[#This Row],[Etapa Despacho - Registro]]),"")</f>
        <v/>
      </c>
      <c r="AB628" s="11" t="str">
        <f>IFERROR(IF(MARÍTIMOS[[#This Row],[Inspección Externa]]="","",MARÍTIMOS[[#This Row],[Inspección Externa]]),"")</f>
        <v/>
      </c>
      <c r="AC628" s="11" t="str">
        <f>IFERROR(IF(MARÍTIMOS[[#This Row],[Etapa Despacho - Inicio de Carga]]="","",MARÍTIMOS[[#This Row],[Etapa Despacho - Inicio de Carga]]),"")</f>
        <v/>
      </c>
      <c r="AD628" s="11" t="str">
        <f>IFERROR(IF(MARÍTIMOS[[#This Row],[Etapa Despacho - Mitad de Carga]]="","",MARÍTIMOS[[#This Row],[Etapa Despacho - Mitad de Carga]]),"")</f>
        <v/>
      </c>
      <c r="AE628" s="11" t="str">
        <f>IFERROR(IF(MARÍTIMOS[[#This Row],[Etapa Despacho - Fin de Carga]]="","",MARÍTIMOS[[#This Row],[Etapa Despacho - Fin de Carga]]),"")</f>
        <v/>
      </c>
      <c r="AF628" s="2" t="str">
        <f>IFERROR(IF(MARÍTIMOS[[#This Row],[Puerto de Embarque]]="","",MARÍTIMOS[[#This Row],[Puerto de Embarque]]),"")</f>
        <v/>
      </c>
      <c r="AG628" s="2" t="str">
        <f>IFERROR(IF(MARÍTIMOS[[#This Row],[Almacén de Ingreso]]="","",MARÍTIMOS[[#This Row],[Almacén de Ingreso]]),"")</f>
        <v/>
      </c>
      <c r="AH628" s="11" t="str">
        <f>IFERROR(IF(MARÍTIMOS[[#This Row],[Etapa Ingreso - Cita]]="","",MARÍTIMOS[[#This Row],[Etapa Ingreso - Cita]]),"")</f>
        <v/>
      </c>
      <c r="AI628" s="11" t="str">
        <f>IFERROR(IF(MARÍTIMOS[[#This Row],[Etapa Ingreso - Llegada]]="","",MARÍTIMOS[[#This Row],[Etapa Ingreso - Llegada]]),"")</f>
        <v/>
      </c>
      <c r="AJ628" s="11" t="str">
        <f>IFERROR(IF(MARÍTIMOS[[#This Row],[Etapa Ingreso - Ingeso]]="","",MARÍTIMOS[[#This Row],[Etapa Ingreso - Ingeso]]),"")</f>
        <v/>
      </c>
      <c r="AK628" s="11" t="str">
        <f>IFERROR(IF(MARÍTIMOS[[#This Row],[Etapa Ingreso - Atención]]="","",MARÍTIMOS[[#This Row],[Etapa Ingreso - Atención]]),"")</f>
        <v/>
      </c>
      <c r="AL628" s="11" t="str">
        <f>IFERROR(IF(MARÍTIMOS[[#This Row],[Etapa Ingreso - Salida]]="","",MARÍTIMOS[[#This Row],[Etapa Ingreso - Salida]]),"")</f>
        <v/>
      </c>
      <c r="AM628" s="2" t="str">
        <f>IFERROR(IF(MARÍTIMOS[[#This Row],[FCL]]="","",MARÍTIMOS[[#This Row],[FCL]]),"")</f>
        <v/>
      </c>
      <c r="AN6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8" s="4" t="str" cm="1">
        <f t="array" ref="AO6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8" s="5" t="str">
        <f>IFERROR(OLDBD[[#This Row],[Llegada a packing]]-OLDBD[[#This Row],[Inicio de Ruta]],"")</f>
        <v/>
      </c>
      <c r="AQ628" s="6" t="str">
        <f>IFERROR(OLDBD[[#This Row],[Inicio de Ruta]]-OLDBD[[#This Row],[Salida de almacén de retiro]],"")</f>
        <v/>
      </c>
      <c r="AR6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8" s="8" t="str" cm="1">
        <f t="array" ref="AS6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8" s="9" t="str">
        <f>IFERROR(OLDBD[[#This Row],[Ingreso Packing]]-OLDBD[[#This Row],[Registro en Packing]],"")</f>
        <v/>
      </c>
      <c r="AV628" s="9" t="str">
        <f>IFERROR(OLDBD[[#This Row],[Ingreso Packing]]-OLDBD[[#This Row],[Llegada a packing]],"")</f>
        <v/>
      </c>
      <c r="AW6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8" s="5" t="str">
        <f>IFERROR(OLDBD[[#This Row],[Llegada Almacén de Ingreso]]-OLDBD[[#This Row],[Salida Packing]],"")</f>
        <v/>
      </c>
      <c r="AY628" s="4" t="str" cm="1">
        <f t="array" ref="AY6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8" s="43" t="s">
        <v>173</v>
      </c>
      <c r="BB628" s="47" t="str">
        <f>IFERROR(IF(MARÍTIMOS[[#This Row],[Estatus]]="","",MARÍTIMOS[[#This Row],[Estatus]]),"")</f>
        <v/>
      </c>
      <c r="BC628" s="43"/>
      <c r="BD628" s="46" t="str">
        <f>IFERROR(OLDBD[[#This Row],[Salida de almacén de retiro]]-OLDBD[[#This Row],[Ingreso Almacén de retiro]],"")</f>
        <v/>
      </c>
      <c r="BE628" s="46" t="str">
        <f>IFERROR(OLDBD[[#This Row],[Fin de Carga]]-OLDBD[[#This Row],[Inicio de Carga]],"")</f>
        <v/>
      </c>
    </row>
    <row r="629" spans="1:57" customFormat="1" hidden="1">
      <c r="A629" s="1"/>
      <c r="B629" s="1" t="str">
        <f>IFERROR(IF(MARÍTIMOS[[#This Row],[PP]]="","",MARÍTIMOS[[#This Row],[PP]]),"")</f>
        <v/>
      </c>
      <c r="C629" s="1" t="str">
        <f>IFERROR(IF(MARÍTIMOS[[#This Row],[Sede]]="","",MARÍTIMOS[[#This Row],[Sede]]),"")</f>
        <v/>
      </c>
      <c r="D629" s="1" t="str">
        <f>IFERROR(IF(MARÍTIMOS[[#This Row],[Instruction]]="","",MARÍTIMOS[[#This Row],[Instruction]]),"")</f>
        <v/>
      </c>
      <c r="E629" s="1"/>
      <c r="F629" s="2" t="str">
        <f>IFERROR(IF(MARÍTIMOS[[#This Row],[Transportista]]="","",MARÍTIMOS[[#This Row],[Transportista]]),"")</f>
        <v/>
      </c>
      <c r="G629" s="2" t="str">
        <f>IFERROR(IF(MARÍTIMOS[[#This Row],[Tercero]]="","",MARÍTIMOS[[#This Row],[Tercero]]),"")</f>
        <v/>
      </c>
      <c r="H629" s="2" t="str">
        <f>IFERROR(IF(MARÍTIMOS[[#This Row],[Razón Social]]="","",MARÍTIMOS[[#This Row],[Razón Social]]),"")</f>
        <v/>
      </c>
      <c r="I629" s="2" t="str">
        <f>IFERROR(IF(MARÍTIMOS[[#This Row],[RUC]]="","",MARÍTIMOS[[#This Row],[RUC]]),"")</f>
        <v/>
      </c>
      <c r="J629" s="2" t="str">
        <f>IFERROR(IF(MARÍTIMOS[[#This Row],[Placa Tracto]]="","",MARÍTIMOS[[#This Row],[Placa Tracto]]),"")</f>
        <v/>
      </c>
      <c r="K629" s="2" t="str">
        <f>IFERROR(IF(MARÍTIMOS[[#This Row],[Placa Carreta]]="","",MARÍTIMOS[[#This Row],[Placa Carreta]]),"")</f>
        <v/>
      </c>
      <c r="L629" s="44" t="str">
        <f>IFERROR(IF(MARÍTIMOS[[#This Row],[Conductor]]="","",MARÍTIMOS[[#This Row],[Conductor]]),"")</f>
        <v/>
      </c>
      <c r="M629" s="2" t="str">
        <f>IFERROR(IF(MARÍTIMOS[[#This Row],[Licencia]]="","",MARÍTIMOS[[#This Row],[Licencia]]),"")</f>
        <v/>
      </c>
      <c r="N629" s="2" t="str">
        <f>IFERROR(IF(MARÍTIMOS[[#This Row],[Número de Contacto]]="","",MARÍTIMOS[[#This Row],[Número de Contacto]]),"")</f>
        <v/>
      </c>
      <c r="O629" s="10" t="str">
        <f>IFERROR(IF(MARÍTIMOS[[#This Row],[Booking|AWB|CRT]]="","",MARÍTIMOS[[#This Row],[Booking|AWB|CRT]]),"")</f>
        <v/>
      </c>
      <c r="P629" s="2" t="str">
        <f>IFERROR(IF(MARÍTIMOS[[#This Row],[Contenedor]]="","",MARÍTIMOS[[#This Row],[Contenedor]]),"")</f>
        <v/>
      </c>
      <c r="Q629" s="2" t="str">
        <f>IFERROR(IF(MARÍTIMOS[[#This Row],[Puerto de Retiro]]="","",MARÍTIMOS[[#This Row],[Puerto de Retiro]]),"")</f>
        <v/>
      </c>
      <c r="R629" s="2" t="str">
        <f>IFERROR(IF(MARÍTIMOS[[#This Row],[Almacén de Retiro]]="","",MARÍTIMOS[[#This Row],[Almacén de Retiro]]),"")</f>
        <v/>
      </c>
      <c r="S629" s="11" t="str">
        <f>IFERROR(IF(MARÍTIMOS[[#This Row],[Etapa Retiro - Cita]]="","",MARÍTIMOS[[#This Row],[Etapa Retiro - Cita]]),"")</f>
        <v/>
      </c>
      <c r="T629" s="11" t="str">
        <f>IFERROR(IF(MARÍTIMOS[[#This Row],[Etapa Retiro - Llegada]]="","",MARÍTIMOS[[#This Row],[Etapa Retiro - Llegada]]),"")</f>
        <v/>
      </c>
      <c r="U629" s="11" t="str">
        <f>IFERROR(IF(MARÍTIMOS[[#This Row],[Etapa Retiro - Ingreso]]="","",MARÍTIMOS[[#This Row],[Etapa Retiro - Ingreso]]),"")</f>
        <v/>
      </c>
      <c r="V629" s="11" t="str">
        <f>IFERROR(IF(MARÍTIMOS[[#This Row],[Etapa Retiro - Atención]]="","",MARÍTIMOS[[#This Row],[Etapa Retiro - Atención]]),"")</f>
        <v/>
      </c>
      <c r="W629" s="11" t="str">
        <f>IFERROR(IF(MARÍTIMOS[[#This Row],[Etapa Retiro - Atención]]="","",MARÍTIMOS[[#This Row],[Etapa Retiro - Atención]]),"")</f>
        <v/>
      </c>
      <c r="X629" s="11" t="str">
        <f>IFERROR(IF(MARÍTIMOS[[#This Row],[Etapa Retiro - Inicio de Ruta]]="","",MARÍTIMOS[[#This Row],[Etapa Retiro - Inicio de Ruta]]),"")</f>
        <v/>
      </c>
      <c r="Y629" s="11" t="str">
        <f>IFERROR(IF(MARÍTIMOS[[#This Row],[Hora de Posicionamiento]]="","",MARÍTIMOS[[#This Row],[Fecha de Carga]]+MARÍTIMOS[[#This Row],[Hora de Posicionamiento]]),"")</f>
        <v/>
      </c>
      <c r="Z629" s="11" t="str">
        <f>IFERROR(IF(MARÍTIMOS[[#This Row],[Etapa Despacho - Llegada]]="","",MARÍTIMOS[[#This Row],[Etapa Despacho - Llegada]]),"")</f>
        <v/>
      </c>
      <c r="AA629" s="11" t="str">
        <f>IFERROR(IF(MARÍTIMOS[[#This Row],[Etapa Despacho - Registro]]="","",MARÍTIMOS[[#This Row],[Etapa Despacho - Registro]]),"")</f>
        <v/>
      </c>
      <c r="AB629" s="11" t="str">
        <f>IFERROR(IF(MARÍTIMOS[[#This Row],[Inspección Externa]]="","",MARÍTIMOS[[#This Row],[Inspección Externa]]),"")</f>
        <v/>
      </c>
      <c r="AC629" s="11" t="str">
        <f>IFERROR(IF(MARÍTIMOS[[#This Row],[Etapa Despacho - Inicio de Carga]]="","",MARÍTIMOS[[#This Row],[Etapa Despacho - Inicio de Carga]]),"")</f>
        <v/>
      </c>
      <c r="AD629" s="11" t="str">
        <f>IFERROR(IF(MARÍTIMOS[[#This Row],[Etapa Despacho - Mitad de Carga]]="","",MARÍTIMOS[[#This Row],[Etapa Despacho - Mitad de Carga]]),"")</f>
        <v/>
      </c>
      <c r="AE629" s="11" t="str">
        <f>IFERROR(IF(MARÍTIMOS[[#This Row],[Etapa Despacho - Fin de Carga]]="","",MARÍTIMOS[[#This Row],[Etapa Despacho - Fin de Carga]]),"")</f>
        <v/>
      </c>
      <c r="AF629" s="2" t="str">
        <f>IFERROR(IF(MARÍTIMOS[[#This Row],[Puerto de Embarque]]="","",MARÍTIMOS[[#This Row],[Puerto de Embarque]]),"")</f>
        <v/>
      </c>
      <c r="AG629" s="2" t="str">
        <f>IFERROR(IF(MARÍTIMOS[[#This Row],[Almacén de Ingreso]]="","",MARÍTIMOS[[#This Row],[Almacén de Ingreso]]),"")</f>
        <v/>
      </c>
      <c r="AH629" s="11" t="str">
        <f>IFERROR(IF(MARÍTIMOS[[#This Row],[Etapa Ingreso - Cita]]="","",MARÍTIMOS[[#This Row],[Etapa Ingreso - Cita]]),"")</f>
        <v/>
      </c>
      <c r="AI629" s="11" t="str">
        <f>IFERROR(IF(MARÍTIMOS[[#This Row],[Etapa Ingreso - Llegada]]="","",MARÍTIMOS[[#This Row],[Etapa Ingreso - Llegada]]),"")</f>
        <v/>
      </c>
      <c r="AJ629" s="11" t="str">
        <f>IFERROR(IF(MARÍTIMOS[[#This Row],[Etapa Ingreso - Ingeso]]="","",MARÍTIMOS[[#This Row],[Etapa Ingreso - Ingeso]]),"")</f>
        <v/>
      </c>
      <c r="AK629" s="11" t="str">
        <f>IFERROR(IF(MARÍTIMOS[[#This Row],[Etapa Ingreso - Atención]]="","",MARÍTIMOS[[#This Row],[Etapa Ingreso - Atención]]),"")</f>
        <v/>
      </c>
      <c r="AL629" s="11" t="str">
        <f>IFERROR(IF(MARÍTIMOS[[#This Row],[Etapa Ingreso - Salida]]="","",MARÍTIMOS[[#This Row],[Etapa Ingreso - Salida]]),"")</f>
        <v/>
      </c>
      <c r="AM629" s="2" t="str">
        <f>IFERROR(IF(MARÍTIMOS[[#This Row],[FCL]]="","",MARÍTIMOS[[#This Row],[FCL]]),"")</f>
        <v/>
      </c>
      <c r="AN6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29" s="4" t="str" cm="1">
        <f t="array" ref="AO6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29" s="5" t="str">
        <f>IFERROR(OLDBD[[#This Row],[Llegada a packing]]-OLDBD[[#This Row],[Inicio de Ruta]],"")</f>
        <v/>
      </c>
      <c r="AQ629" s="6" t="str">
        <f>IFERROR(OLDBD[[#This Row],[Inicio de Ruta]]-OLDBD[[#This Row],[Salida de almacén de retiro]],"")</f>
        <v/>
      </c>
      <c r="AR6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29" s="8" t="str" cm="1">
        <f t="array" ref="AS6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29" s="9" t="str">
        <f>IFERROR(OLDBD[[#This Row],[Ingreso Packing]]-OLDBD[[#This Row],[Registro en Packing]],"")</f>
        <v/>
      </c>
      <c r="AV629" s="9" t="str">
        <f>IFERROR(OLDBD[[#This Row],[Ingreso Packing]]-OLDBD[[#This Row],[Llegada a packing]],"")</f>
        <v/>
      </c>
      <c r="AW6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29" s="5" t="str">
        <f>IFERROR(OLDBD[[#This Row],[Llegada Almacén de Ingreso]]-OLDBD[[#This Row],[Salida Packing]],"")</f>
        <v/>
      </c>
      <c r="AY629" s="4" t="str" cm="1">
        <f t="array" ref="AY6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29" s="43" t="s">
        <v>173</v>
      </c>
      <c r="BB629" s="47" t="str">
        <f>IFERROR(IF(MARÍTIMOS[[#This Row],[Estatus]]="","",MARÍTIMOS[[#This Row],[Estatus]]),"")</f>
        <v/>
      </c>
      <c r="BC629" s="43"/>
      <c r="BD629" s="46" t="str">
        <f>IFERROR(OLDBD[[#This Row],[Salida de almacén de retiro]]-OLDBD[[#This Row],[Ingreso Almacén de retiro]],"")</f>
        <v/>
      </c>
      <c r="BE629" s="46" t="str">
        <f>IFERROR(OLDBD[[#This Row],[Fin de Carga]]-OLDBD[[#This Row],[Inicio de Carga]],"")</f>
        <v/>
      </c>
    </row>
    <row r="630" spans="1:57" customFormat="1" hidden="1">
      <c r="A630" s="1"/>
      <c r="B630" s="1" t="str">
        <f>IFERROR(IF(MARÍTIMOS[[#This Row],[PP]]="","",MARÍTIMOS[[#This Row],[PP]]),"")</f>
        <v/>
      </c>
      <c r="C630" s="1" t="str">
        <f>IFERROR(IF(MARÍTIMOS[[#This Row],[Sede]]="","",MARÍTIMOS[[#This Row],[Sede]]),"")</f>
        <v/>
      </c>
      <c r="D630" s="1" t="str">
        <f>IFERROR(IF(MARÍTIMOS[[#This Row],[Instruction]]="","",MARÍTIMOS[[#This Row],[Instruction]]),"")</f>
        <v/>
      </c>
      <c r="E630" s="1"/>
      <c r="F630" s="2" t="str">
        <f>IFERROR(IF(MARÍTIMOS[[#This Row],[Transportista]]="","",MARÍTIMOS[[#This Row],[Transportista]]),"")</f>
        <v/>
      </c>
      <c r="G630" s="2" t="str">
        <f>IFERROR(IF(MARÍTIMOS[[#This Row],[Tercero]]="","",MARÍTIMOS[[#This Row],[Tercero]]),"")</f>
        <v/>
      </c>
      <c r="H630" s="2" t="str">
        <f>IFERROR(IF(MARÍTIMOS[[#This Row],[Razón Social]]="","",MARÍTIMOS[[#This Row],[Razón Social]]),"")</f>
        <v/>
      </c>
      <c r="I630" s="2" t="str">
        <f>IFERROR(IF(MARÍTIMOS[[#This Row],[RUC]]="","",MARÍTIMOS[[#This Row],[RUC]]),"")</f>
        <v/>
      </c>
      <c r="J630" s="2" t="str">
        <f>IFERROR(IF(MARÍTIMOS[[#This Row],[Placa Tracto]]="","",MARÍTIMOS[[#This Row],[Placa Tracto]]),"")</f>
        <v/>
      </c>
      <c r="K630" s="2" t="str">
        <f>IFERROR(IF(MARÍTIMOS[[#This Row],[Placa Carreta]]="","",MARÍTIMOS[[#This Row],[Placa Carreta]]),"")</f>
        <v/>
      </c>
      <c r="L630" s="44" t="str">
        <f>IFERROR(IF(MARÍTIMOS[[#This Row],[Conductor]]="","",MARÍTIMOS[[#This Row],[Conductor]]),"")</f>
        <v/>
      </c>
      <c r="M630" s="2" t="str">
        <f>IFERROR(IF(MARÍTIMOS[[#This Row],[Licencia]]="","",MARÍTIMOS[[#This Row],[Licencia]]),"")</f>
        <v/>
      </c>
      <c r="N630" s="2" t="str">
        <f>IFERROR(IF(MARÍTIMOS[[#This Row],[Número de Contacto]]="","",MARÍTIMOS[[#This Row],[Número de Contacto]]),"")</f>
        <v/>
      </c>
      <c r="O630" s="10" t="str">
        <f>IFERROR(IF(MARÍTIMOS[[#This Row],[Booking|AWB|CRT]]="","",MARÍTIMOS[[#This Row],[Booking|AWB|CRT]]),"")</f>
        <v/>
      </c>
      <c r="P630" s="2" t="str">
        <f>IFERROR(IF(MARÍTIMOS[[#This Row],[Contenedor]]="","",MARÍTIMOS[[#This Row],[Contenedor]]),"")</f>
        <v/>
      </c>
      <c r="Q630" s="2" t="str">
        <f>IFERROR(IF(MARÍTIMOS[[#This Row],[Puerto de Retiro]]="","",MARÍTIMOS[[#This Row],[Puerto de Retiro]]),"")</f>
        <v/>
      </c>
      <c r="R630" s="2" t="str">
        <f>IFERROR(IF(MARÍTIMOS[[#This Row],[Almacén de Retiro]]="","",MARÍTIMOS[[#This Row],[Almacén de Retiro]]),"")</f>
        <v/>
      </c>
      <c r="S630" s="11" t="str">
        <f>IFERROR(IF(MARÍTIMOS[[#This Row],[Etapa Retiro - Cita]]="","",MARÍTIMOS[[#This Row],[Etapa Retiro - Cita]]),"")</f>
        <v/>
      </c>
      <c r="T630" s="11" t="str">
        <f>IFERROR(IF(MARÍTIMOS[[#This Row],[Etapa Retiro - Llegada]]="","",MARÍTIMOS[[#This Row],[Etapa Retiro - Llegada]]),"")</f>
        <v/>
      </c>
      <c r="U630" s="11" t="str">
        <f>IFERROR(IF(MARÍTIMOS[[#This Row],[Etapa Retiro - Ingreso]]="","",MARÍTIMOS[[#This Row],[Etapa Retiro - Ingreso]]),"")</f>
        <v/>
      </c>
      <c r="V630" s="11" t="str">
        <f>IFERROR(IF(MARÍTIMOS[[#This Row],[Etapa Retiro - Atención]]="","",MARÍTIMOS[[#This Row],[Etapa Retiro - Atención]]),"")</f>
        <v/>
      </c>
      <c r="W630" s="11" t="str">
        <f>IFERROR(IF(MARÍTIMOS[[#This Row],[Etapa Retiro - Atención]]="","",MARÍTIMOS[[#This Row],[Etapa Retiro - Atención]]),"")</f>
        <v/>
      </c>
      <c r="X630" s="11" t="str">
        <f>IFERROR(IF(MARÍTIMOS[[#This Row],[Etapa Retiro - Inicio de Ruta]]="","",MARÍTIMOS[[#This Row],[Etapa Retiro - Inicio de Ruta]]),"")</f>
        <v/>
      </c>
      <c r="Y630" s="11" t="str">
        <f>IFERROR(IF(MARÍTIMOS[[#This Row],[Hora de Posicionamiento]]="","",MARÍTIMOS[[#This Row],[Fecha de Carga]]+MARÍTIMOS[[#This Row],[Hora de Posicionamiento]]),"")</f>
        <v/>
      </c>
      <c r="Z630" s="11" t="str">
        <f>IFERROR(IF(MARÍTIMOS[[#This Row],[Etapa Despacho - Llegada]]="","",MARÍTIMOS[[#This Row],[Etapa Despacho - Llegada]]),"")</f>
        <v/>
      </c>
      <c r="AA630" s="11" t="str">
        <f>IFERROR(IF(MARÍTIMOS[[#This Row],[Etapa Despacho - Registro]]="","",MARÍTIMOS[[#This Row],[Etapa Despacho - Registro]]),"")</f>
        <v/>
      </c>
      <c r="AB630" s="11" t="str">
        <f>IFERROR(IF(MARÍTIMOS[[#This Row],[Inspección Externa]]="","",MARÍTIMOS[[#This Row],[Inspección Externa]]),"")</f>
        <v/>
      </c>
      <c r="AC630" s="11" t="str">
        <f>IFERROR(IF(MARÍTIMOS[[#This Row],[Etapa Despacho - Inicio de Carga]]="","",MARÍTIMOS[[#This Row],[Etapa Despacho - Inicio de Carga]]),"")</f>
        <v/>
      </c>
      <c r="AD630" s="11" t="str">
        <f>IFERROR(IF(MARÍTIMOS[[#This Row],[Etapa Despacho - Mitad de Carga]]="","",MARÍTIMOS[[#This Row],[Etapa Despacho - Mitad de Carga]]),"")</f>
        <v/>
      </c>
      <c r="AE630" s="11" t="str">
        <f>IFERROR(IF(MARÍTIMOS[[#This Row],[Etapa Despacho - Fin de Carga]]="","",MARÍTIMOS[[#This Row],[Etapa Despacho - Fin de Carga]]),"")</f>
        <v/>
      </c>
      <c r="AF630" s="2" t="str">
        <f>IFERROR(IF(MARÍTIMOS[[#This Row],[Puerto de Embarque]]="","",MARÍTIMOS[[#This Row],[Puerto de Embarque]]),"")</f>
        <v/>
      </c>
      <c r="AG630" s="2" t="str">
        <f>IFERROR(IF(MARÍTIMOS[[#This Row],[Almacén de Ingreso]]="","",MARÍTIMOS[[#This Row],[Almacén de Ingreso]]),"")</f>
        <v/>
      </c>
      <c r="AH630" s="11" t="str">
        <f>IFERROR(IF(MARÍTIMOS[[#This Row],[Etapa Ingreso - Cita]]="","",MARÍTIMOS[[#This Row],[Etapa Ingreso - Cita]]),"")</f>
        <v/>
      </c>
      <c r="AI630" s="11" t="str">
        <f>IFERROR(IF(MARÍTIMOS[[#This Row],[Etapa Ingreso - Llegada]]="","",MARÍTIMOS[[#This Row],[Etapa Ingreso - Llegada]]),"")</f>
        <v/>
      </c>
      <c r="AJ630" s="11" t="str">
        <f>IFERROR(IF(MARÍTIMOS[[#This Row],[Etapa Ingreso - Ingeso]]="","",MARÍTIMOS[[#This Row],[Etapa Ingreso - Ingeso]]),"")</f>
        <v/>
      </c>
      <c r="AK630" s="11" t="str">
        <f>IFERROR(IF(MARÍTIMOS[[#This Row],[Etapa Ingreso - Atención]]="","",MARÍTIMOS[[#This Row],[Etapa Ingreso - Atención]]),"")</f>
        <v/>
      </c>
      <c r="AL630" s="11" t="str">
        <f>IFERROR(IF(MARÍTIMOS[[#This Row],[Etapa Ingreso - Salida]]="","",MARÍTIMOS[[#This Row],[Etapa Ingreso - Salida]]),"")</f>
        <v/>
      </c>
      <c r="AM630" s="2" t="str">
        <f>IFERROR(IF(MARÍTIMOS[[#This Row],[FCL]]="","",MARÍTIMOS[[#This Row],[FCL]]),"")</f>
        <v/>
      </c>
      <c r="AN6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0" s="4" t="str" cm="1">
        <f t="array" ref="AO6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0" s="5" t="str">
        <f>IFERROR(OLDBD[[#This Row],[Llegada a packing]]-OLDBD[[#This Row],[Inicio de Ruta]],"")</f>
        <v/>
      </c>
      <c r="AQ630" s="6" t="str">
        <f>IFERROR(OLDBD[[#This Row],[Inicio de Ruta]]-OLDBD[[#This Row],[Salida de almacén de retiro]],"")</f>
        <v/>
      </c>
      <c r="AR6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0" s="8" t="str" cm="1">
        <f t="array" ref="AS6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0" s="9" t="str">
        <f>IFERROR(OLDBD[[#This Row],[Ingreso Packing]]-OLDBD[[#This Row],[Registro en Packing]],"")</f>
        <v/>
      </c>
      <c r="AV630" s="9" t="str">
        <f>IFERROR(OLDBD[[#This Row],[Ingreso Packing]]-OLDBD[[#This Row],[Llegada a packing]],"")</f>
        <v/>
      </c>
      <c r="AW6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0" s="5" t="str">
        <f>IFERROR(OLDBD[[#This Row],[Llegada Almacén de Ingreso]]-OLDBD[[#This Row],[Salida Packing]],"")</f>
        <v/>
      </c>
      <c r="AY630" s="4" t="str" cm="1">
        <f t="array" ref="AY6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0" s="43" t="s">
        <v>173</v>
      </c>
      <c r="BB630" s="47" t="str">
        <f>IFERROR(IF(MARÍTIMOS[[#This Row],[Estatus]]="","",MARÍTIMOS[[#This Row],[Estatus]]),"")</f>
        <v/>
      </c>
      <c r="BC630" s="43"/>
      <c r="BD630" s="46" t="str">
        <f>IFERROR(OLDBD[[#This Row],[Salida de almacén de retiro]]-OLDBD[[#This Row],[Ingreso Almacén de retiro]],"")</f>
        <v/>
      </c>
      <c r="BE630" s="46" t="str">
        <f>IFERROR(OLDBD[[#This Row],[Fin de Carga]]-OLDBD[[#This Row],[Inicio de Carga]],"")</f>
        <v/>
      </c>
    </row>
    <row r="631" spans="1:57" customFormat="1" hidden="1">
      <c r="A631" s="1"/>
      <c r="B631" s="1" t="str">
        <f>IFERROR(IF(MARÍTIMOS[[#This Row],[PP]]="","",MARÍTIMOS[[#This Row],[PP]]),"")</f>
        <v/>
      </c>
      <c r="C631" s="1" t="str">
        <f>IFERROR(IF(MARÍTIMOS[[#This Row],[Sede]]="","",MARÍTIMOS[[#This Row],[Sede]]),"")</f>
        <v/>
      </c>
      <c r="D631" s="1" t="str">
        <f>IFERROR(IF(MARÍTIMOS[[#This Row],[Instruction]]="","",MARÍTIMOS[[#This Row],[Instruction]]),"")</f>
        <v/>
      </c>
      <c r="E631" s="1"/>
      <c r="F631" s="2" t="str">
        <f>IFERROR(IF(MARÍTIMOS[[#This Row],[Transportista]]="","",MARÍTIMOS[[#This Row],[Transportista]]),"")</f>
        <v/>
      </c>
      <c r="G631" s="2" t="str">
        <f>IFERROR(IF(MARÍTIMOS[[#This Row],[Tercero]]="","",MARÍTIMOS[[#This Row],[Tercero]]),"")</f>
        <v/>
      </c>
      <c r="H631" s="2" t="str">
        <f>IFERROR(IF(MARÍTIMOS[[#This Row],[Razón Social]]="","",MARÍTIMOS[[#This Row],[Razón Social]]),"")</f>
        <v/>
      </c>
      <c r="I631" s="2" t="str">
        <f>IFERROR(IF(MARÍTIMOS[[#This Row],[RUC]]="","",MARÍTIMOS[[#This Row],[RUC]]),"")</f>
        <v/>
      </c>
      <c r="J631" s="2" t="str">
        <f>IFERROR(IF(MARÍTIMOS[[#This Row],[Placa Tracto]]="","",MARÍTIMOS[[#This Row],[Placa Tracto]]),"")</f>
        <v/>
      </c>
      <c r="K631" s="2" t="str">
        <f>IFERROR(IF(MARÍTIMOS[[#This Row],[Placa Carreta]]="","",MARÍTIMOS[[#This Row],[Placa Carreta]]),"")</f>
        <v/>
      </c>
      <c r="L631" s="44" t="str">
        <f>IFERROR(IF(MARÍTIMOS[[#This Row],[Conductor]]="","",MARÍTIMOS[[#This Row],[Conductor]]),"")</f>
        <v/>
      </c>
      <c r="M631" s="2" t="str">
        <f>IFERROR(IF(MARÍTIMOS[[#This Row],[Licencia]]="","",MARÍTIMOS[[#This Row],[Licencia]]),"")</f>
        <v/>
      </c>
      <c r="N631" s="2" t="str">
        <f>IFERROR(IF(MARÍTIMOS[[#This Row],[Número de Contacto]]="","",MARÍTIMOS[[#This Row],[Número de Contacto]]),"")</f>
        <v/>
      </c>
      <c r="O631" s="10" t="str">
        <f>IFERROR(IF(MARÍTIMOS[[#This Row],[Booking|AWB|CRT]]="","",MARÍTIMOS[[#This Row],[Booking|AWB|CRT]]),"")</f>
        <v/>
      </c>
      <c r="P631" s="2" t="str">
        <f>IFERROR(IF(MARÍTIMOS[[#This Row],[Contenedor]]="","",MARÍTIMOS[[#This Row],[Contenedor]]),"")</f>
        <v/>
      </c>
      <c r="Q631" s="2" t="str">
        <f>IFERROR(IF(MARÍTIMOS[[#This Row],[Puerto de Retiro]]="","",MARÍTIMOS[[#This Row],[Puerto de Retiro]]),"")</f>
        <v/>
      </c>
      <c r="R631" s="2" t="str">
        <f>IFERROR(IF(MARÍTIMOS[[#This Row],[Almacén de Retiro]]="","",MARÍTIMOS[[#This Row],[Almacén de Retiro]]),"")</f>
        <v/>
      </c>
      <c r="S631" s="11" t="str">
        <f>IFERROR(IF(MARÍTIMOS[[#This Row],[Etapa Retiro - Cita]]="","",MARÍTIMOS[[#This Row],[Etapa Retiro - Cita]]),"")</f>
        <v/>
      </c>
      <c r="T631" s="11" t="str">
        <f>IFERROR(IF(MARÍTIMOS[[#This Row],[Etapa Retiro - Llegada]]="","",MARÍTIMOS[[#This Row],[Etapa Retiro - Llegada]]),"")</f>
        <v/>
      </c>
      <c r="U631" s="11" t="str">
        <f>IFERROR(IF(MARÍTIMOS[[#This Row],[Etapa Retiro - Ingreso]]="","",MARÍTIMOS[[#This Row],[Etapa Retiro - Ingreso]]),"")</f>
        <v/>
      </c>
      <c r="V631" s="11" t="str">
        <f>IFERROR(IF(MARÍTIMOS[[#This Row],[Etapa Retiro - Atención]]="","",MARÍTIMOS[[#This Row],[Etapa Retiro - Atención]]),"")</f>
        <v/>
      </c>
      <c r="W631" s="11" t="str">
        <f>IFERROR(IF(MARÍTIMOS[[#This Row],[Etapa Retiro - Atención]]="","",MARÍTIMOS[[#This Row],[Etapa Retiro - Atención]]),"")</f>
        <v/>
      </c>
      <c r="X631" s="11" t="str">
        <f>IFERROR(IF(MARÍTIMOS[[#This Row],[Etapa Retiro - Inicio de Ruta]]="","",MARÍTIMOS[[#This Row],[Etapa Retiro - Inicio de Ruta]]),"")</f>
        <v/>
      </c>
      <c r="Y631" s="11" t="str">
        <f>IFERROR(IF(MARÍTIMOS[[#This Row],[Hora de Posicionamiento]]="","",MARÍTIMOS[[#This Row],[Fecha de Carga]]+MARÍTIMOS[[#This Row],[Hora de Posicionamiento]]),"")</f>
        <v/>
      </c>
      <c r="Z631" s="11" t="str">
        <f>IFERROR(IF(MARÍTIMOS[[#This Row],[Etapa Despacho - Llegada]]="","",MARÍTIMOS[[#This Row],[Etapa Despacho - Llegada]]),"")</f>
        <v/>
      </c>
      <c r="AA631" s="11" t="str">
        <f>IFERROR(IF(MARÍTIMOS[[#This Row],[Etapa Despacho - Registro]]="","",MARÍTIMOS[[#This Row],[Etapa Despacho - Registro]]),"")</f>
        <v/>
      </c>
      <c r="AB631" s="11" t="str">
        <f>IFERROR(IF(MARÍTIMOS[[#This Row],[Inspección Externa]]="","",MARÍTIMOS[[#This Row],[Inspección Externa]]),"")</f>
        <v/>
      </c>
      <c r="AC631" s="11" t="str">
        <f>IFERROR(IF(MARÍTIMOS[[#This Row],[Etapa Despacho - Inicio de Carga]]="","",MARÍTIMOS[[#This Row],[Etapa Despacho - Inicio de Carga]]),"")</f>
        <v/>
      </c>
      <c r="AD631" s="11" t="str">
        <f>IFERROR(IF(MARÍTIMOS[[#This Row],[Etapa Despacho - Mitad de Carga]]="","",MARÍTIMOS[[#This Row],[Etapa Despacho - Mitad de Carga]]),"")</f>
        <v/>
      </c>
      <c r="AE631" s="11" t="str">
        <f>IFERROR(IF(MARÍTIMOS[[#This Row],[Etapa Despacho - Fin de Carga]]="","",MARÍTIMOS[[#This Row],[Etapa Despacho - Fin de Carga]]),"")</f>
        <v/>
      </c>
      <c r="AF631" s="2" t="str">
        <f>IFERROR(IF(MARÍTIMOS[[#This Row],[Puerto de Embarque]]="","",MARÍTIMOS[[#This Row],[Puerto de Embarque]]),"")</f>
        <v/>
      </c>
      <c r="AG631" s="2" t="str">
        <f>IFERROR(IF(MARÍTIMOS[[#This Row],[Almacén de Ingreso]]="","",MARÍTIMOS[[#This Row],[Almacén de Ingreso]]),"")</f>
        <v/>
      </c>
      <c r="AH631" s="11" t="str">
        <f>IFERROR(IF(MARÍTIMOS[[#This Row],[Etapa Ingreso - Cita]]="","",MARÍTIMOS[[#This Row],[Etapa Ingreso - Cita]]),"")</f>
        <v/>
      </c>
      <c r="AI631" s="11" t="str">
        <f>IFERROR(IF(MARÍTIMOS[[#This Row],[Etapa Ingreso - Llegada]]="","",MARÍTIMOS[[#This Row],[Etapa Ingreso - Llegada]]),"")</f>
        <v/>
      </c>
      <c r="AJ631" s="11" t="str">
        <f>IFERROR(IF(MARÍTIMOS[[#This Row],[Etapa Ingreso - Ingeso]]="","",MARÍTIMOS[[#This Row],[Etapa Ingreso - Ingeso]]),"")</f>
        <v/>
      </c>
      <c r="AK631" s="11" t="str">
        <f>IFERROR(IF(MARÍTIMOS[[#This Row],[Etapa Ingreso - Atención]]="","",MARÍTIMOS[[#This Row],[Etapa Ingreso - Atención]]),"")</f>
        <v/>
      </c>
      <c r="AL631" s="11" t="str">
        <f>IFERROR(IF(MARÍTIMOS[[#This Row],[Etapa Ingreso - Salida]]="","",MARÍTIMOS[[#This Row],[Etapa Ingreso - Salida]]),"")</f>
        <v/>
      </c>
      <c r="AM631" s="2" t="str">
        <f>IFERROR(IF(MARÍTIMOS[[#This Row],[FCL]]="","",MARÍTIMOS[[#This Row],[FCL]]),"")</f>
        <v/>
      </c>
      <c r="AN6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1" s="4" t="str" cm="1">
        <f t="array" ref="AO6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1" s="5" t="str">
        <f>IFERROR(OLDBD[[#This Row],[Llegada a packing]]-OLDBD[[#This Row],[Inicio de Ruta]],"")</f>
        <v/>
      </c>
      <c r="AQ631" s="6" t="str">
        <f>IFERROR(OLDBD[[#This Row],[Inicio de Ruta]]-OLDBD[[#This Row],[Salida de almacén de retiro]],"")</f>
        <v/>
      </c>
      <c r="AR6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1" s="8" t="str" cm="1">
        <f t="array" ref="AS6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1" s="9" t="str">
        <f>IFERROR(OLDBD[[#This Row],[Ingreso Packing]]-OLDBD[[#This Row],[Registro en Packing]],"")</f>
        <v/>
      </c>
      <c r="AV631" s="9" t="str">
        <f>IFERROR(OLDBD[[#This Row],[Ingreso Packing]]-OLDBD[[#This Row],[Llegada a packing]],"")</f>
        <v/>
      </c>
      <c r="AW6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1" s="5" t="str">
        <f>IFERROR(OLDBD[[#This Row],[Llegada Almacén de Ingreso]]-OLDBD[[#This Row],[Salida Packing]],"")</f>
        <v/>
      </c>
      <c r="AY631" s="4" t="str" cm="1">
        <f t="array" ref="AY6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1" s="43" t="s">
        <v>173</v>
      </c>
      <c r="BB631" s="47" t="str">
        <f>IFERROR(IF(MARÍTIMOS[[#This Row],[Estatus]]="","",MARÍTIMOS[[#This Row],[Estatus]]),"")</f>
        <v/>
      </c>
      <c r="BC631" s="43"/>
      <c r="BD631" s="46" t="str">
        <f>IFERROR(OLDBD[[#This Row],[Salida de almacén de retiro]]-OLDBD[[#This Row],[Ingreso Almacén de retiro]],"")</f>
        <v/>
      </c>
      <c r="BE631" s="46" t="str">
        <f>IFERROR(OLDBD[[#This Row],[Fin de Carga]]-OLDBD[[#This Row],[Inicio de Carga]],"")</f>
        <v/>
      </c>
    </row>
    <row r="632" spans="1:57" customFormat="1" hidden="1">
      <c r="A632" s="1"/>
      <c r="B632" s="1" t="str">
        <f>IFERROR(IF(MARÍTIMOS[[#This Row],[PP]]="","",MARÍTIMOS[[#This Row],[PP]]),"")</f>
        <v/>
      </c>
      <c r="C632" s="1" t="str">
        <f>IFERROR(IF(MARÍTIMOS[[#This Row],[Sede]]="","",MARÍTIMOS[[#This Row],[Sede]]),"")</f>
        <v/>
      </c>
      <c r="D632" s="1" t="str">
        <f>IFERROR(IF(MARÍTIMOS[[#This Row],[Instruction]]="","",MARÍTIMOS[[#This Row],[Instruction]]),"")</f>
        <v/>
      </c>
      <c r="E632" s="1"/>
      <c r="F632" s="2" t="str">
        <f>IFERROR(IF(MARÍTIMOS[[#This Row],[Transportista]]="","",MARÍTIMOS[[#This Row],[Transportista]]),"")</f>
        <v/>
      </c>
      <c r="G632" s="2" t="str">
        <f>IFERROR(IF(MARÍTIMOS[[#This Row],[Tercero]]="","",MARÍTIMOS[[#This Row],[Tercero]]),"")</f>
        <v/>
      </c>
      <c r="H632" s="2" t="str">
        <f>IFERROR(IF(MARÍTIMOS[[#This Row],[Razón Social]]="","",MARÍTIMOS[[#This Row],[Razón Social]]),"")</f>
        <v/>
      </c>
      <c r="I632" s="2" t="str">
        <f>IFERROR(IF(MARÍTIMOS[[#This Row],[RUC]]="","",MARÍTIMOS[[#This Row],[RUC]]),"")</f>
        <v/>
      </c>
      <c r="J632" s="2" t="str">
        <f>IFERROR(IF(MARÍTIMOS[[#This Row],[Placa Tracto]]="","",MARÍTIMOS[[#This Row],[Placa Tracto]]),"")</f>
        <v/>
      </c>
      <c r="K632" s="2" t="str">
        <f>IFERROR(IF(MARÍTIMOS[[#This Row],[Placa Carreta]]="","",MARÍTIMOS[[#This Row],[Placa Carreta]]),"")</f>
        <v/>
      </c>
      <c r="L632" s="44" t="str">
        <f>IFERROR(IF(MARÍTIMOS[[#This Row],[Conductor]]="","",MARÍTIMOS[[#This Row],[Conductor]]),"")</f>
        <v/>
      </c>
      <c r="M632" s="2" t="str">
        <f>IFERROR(IF(MARÍTIMOS[[#This Row],[Licencia]]="","",MARÍTIMOS[[#This Row],[Licencia]]),"")</f>
        <v/>
      </c>
      <c r="N632" s="2" t="str">
        <f>IFERROR(IF(MARÍTIMOS[[#This Row],[Número de Contacto]]="","",MARÍTIMOS[[#This Row],[Número de Contacto]]),"")</f>
        <v/>
      </c>
      <c r="O632" s="10" t="str">
        <f>IFERROR(IF(MARÍTIMOS[[#This Row],[Booking|AWB|CRT]]="","",MARÍTIMOS[[#This Row],[Booking|AWB|CRT]]),"")</f>
        <v/>
      </c>
      <c r="P632" s="2" t="str">
        <f>IFERROR(IF(MARÍTIMOS[[#This Row],[Contenedor]]="","",MARÍTIMOS[[#This Row],[Contenedor]]),"")</f>
        <v/>
      </c>
      <c r="Q632" s="2" t="str">
        <f>IFERROR(IF(MARÍTIMOS[[#This Row],[Puerto de Retiro]]="","",MARÍTIMOS[[#This Row],[Puerto de Retiro]]),"")</f>
        <v/>
      </c>
      <c r="R632" s="2" t="str">
        <f>IFERROR(IF(MARÍTIMOS[[#This Row],[Almacén de Retiro]]="","",MARÍTIMOS[[#This Row],[Almacén de Retiro]]),"")</f>
        <v/>
      </c>
      <c r="S632" s="11" t="str">
        <f>IFERROR(IF(MARÍTIMOS[[#This Row],[Etapa Retiro - Cita]]="","",MARÍTIMOS[[#This Row],[Etapa Retiro - Cita]]),"")</f>
        <v/>
      </c>
      <c r="T632" s="11" t="str">
        <f>IFERROR(IF(MARÍTIMOS[[#This Row],[Etapa Retiro - Llegada]]="","",MARÍTIMOS[[#This Row],[Etapa Retiro - Llegada]]),"")</f>
        <v/>
      </c>
      <c r="U632" s="11" t="str">
        <f>IFERROR(IF(MARÍTIMOS[[#This Row],[Etapa Retiro - Ingreso]]="","",MARÍTIMOS[[#This Row],[Etapa Retiro - Ingreso]]),"")</f>
        <v/>
      </c>
      <c r="V632" s="11" t="str">
        <f>IFERROR(IF(MARÍTIMOS[[#This Row],[Etapa Retiro - Atención]]="","",MARÍTIMOS[[#This Row],[Etapa Retiro - Atención]]),"")</f>
        <v/>
      </c>
      <c r="W632" s="11" t="str">
        <f>IFERROR(IF(MARÍTIMOS[[#This Row],[Etapa Retiro - Atención]]="","",MARÍTIMOS[[#This Row],[Etapa Retiro - Atención]]),"")</f>
        <v/>
      </c>
      <c r="X632" s="11" t="str">
        <f>IFERROR(IF(MARÍTIMOS[[#This Row],[Etapa Retiro - Inicio de Ruta]]="","",MARÍTIMOS[[#This Row],[Etapa Retiro - Inicio de Ruta]]),"")</f>
        <v/>
      </c>
      <c r="Y632" s="11" t="str">
        <f>IFERROR(IF(MARÍTIMOS[[#This Row],[Hora de Posicionamiento]]="","",MARÍTIMOS[[#This Row],[Fecha de Carga]]+MARÍTIMOS[[#This Row],[Hora de Posicionamiento]]),"")</f>
        <v/>
      </c>
      <c r="Z632" s="11" t="str">
        <f>IFERROR(IF(MARÍTIMOS[[#This Row],[Etapa Despacho - Llegada]]="","",MARÍTIMOS[[#This Row],[Etapa Despacho - Llegada]]),"")</f>
        <v/>
      </c>
      <c r="AA632" s="11" t="str">
        <f>IFERROR(IF(MARÍTIMOS[[#This Row],[Etapa Despacho - Registro]]="","",MARÍTIMOS[[#This Row],[Etapa Despacho - Registro]]),"")</f>
        <v/>
      </c>
      <c r="AB632" s="11" t="str">
        <f>IFERROR(IF(MARÍTIMOS[[#This Row],[Inspección Externa]]="","",MARÍTIMOS[[#This Row],[Inspección Externa]]),"")</f>
        <v/>
      </c>
      <c r="AC632" s="11" t="str">
        <f>IFERROR(IF(MARÍTIMOS[[#This Row],[Etapa Despacho - Inicio de Carga]]="","",MARÍTIMOS[[#This Row],[Etapa Despacho - Inicio de Carga]]),"")</f>
        <v/>
      </c>
      <c r="AD632" s="11" t="str">
        <f>IFERROR(IF(MARÍTIMOS[[#This Row],[Etapa Despacho - Mitad de Carga]]="","",MARÍTIMOS[[#This Row],[Etapa Despacho - Mitad de Carga]]),"")</f>
        <v/>
      </c>
      <c r="AE632" s="11" t="str">
        <f>IFERROR(IF(MARÍTIMOS[[#This Row],[Etapa Despacho - Fin de Carga]]="","",MARÍTIMOS[[#This Row],[Etapa Despacho - Fin de Carga]]),"")</f>
        <v/>
      </c>
      <c r="AF632" s="2" t="str">
        <f>IFERROR(IF(MARÍTIMOS[[#This Row],[Puerto de Embarque]]="","",MARÍTIMOS[[#This Row],[Puerto de Embarque]]),"")</f>
        <v/>
      </c>
      <c r="AG632" s="2" t="str">
        <f>IFERROR(IF(MARÍTIMOS[[#This Row],[Almacén de Ingreso]]="","",MARÍTIMOS[[#This Row],[Almacén de Ingreso]]),"")</f>
        <v/>
      </c>
      <c r="AH632" s="11" t="str">
        <f>IFERROR(IF(MARÍTIMOS[[#This Row],[Etapa Ingreso - Cita]]="","",MARÍTIMOS[[#This Row],[Etapa Ingreso - Cita]]),"")</f>
        <v/>
      </c>
      <c r="AI632" s="11" t="str">
        <f>IFERROR(IF(MARÍTIMOS[[#This Row],[Etapa Ingreso - Llegada]]="","",MARÍTIMOS[[#This Row],[Etapa Ingreso - Llegada]]),"")</f>
        <v/>
      </c>
      <c r="AJ632" s="11" t="str">
        <f>IFERROR(IF(MARÍTIMOS[[#This Row],[Etapa Ingreso - Ingeso]]="","",MARÍTIMOS[[#This Row],[Etapa Ingreso - Ingeso]]),"")</f>
        <v/>
      </c>
      <c r="AK632" s="11" t="str">
        <f>IFERROR(IF(MARÍTIMOS[[#This Row],[Etapa Ingreso - Atención]]="","",MARÍTIMOS[[#This Row],[Etapa Ingreso - Atención]]),"")</f>
        <v/>
      </c>
      <c r="AL632" s="11" t="str">
        <f>IFERROR(IF(MARÍTIMOS[[#This Row],[Etapa Ingreso - Salida]]="","",MARÍTIMOS[[#This Row],[Etapa Ingreso - Salida]]),"")</f>
        <v/>
      </c>
      <c r="AM632" s="2" t="str">
        <f>IFERROR(IF(MARÍTIMOS[[#This Row],[FCL]]="","",MARÍTIMOS[[#This Row],[FCL]]),"")</f>
        <v/>
      </c>
      <c r="AN6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2" s="4" t="str" cm="1">
        <f t="array" ref="AO6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2" s="5" t="str">
        <f>IFERROR(OLDBD[[#This Row],[Llegada a packing]]-OLDBD[[#This Row],[Inicio de Ruta]],"")</f>
        <v/>
      </c>
      <c r="AQ632" s="6" t="str">
        <f>IFERROR(OLDBD[[#This Row],[Inicio de Ruta]]-OLDBD[[#This Row],[Salida de almacén de retiro]],"")</f>
        <v/>
      </c>
      <c r="AR6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2" s="8" t="str" cm="1">
        <f t="array" ref="AS6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2" s="9" t="str">
        <f>IFERROR(OLDBD[[#This Row],[Ingreso Packing]]-OLDBD[[#This Row],[Registro en Packing]],"")</f>
        <v/>
      </c>
      <c r="AV632" s="9" t="str">
        <f>IFERROR(OLDBD[[#This Row],[Ingreso Packing]]-OLDBD[[#This Row],[Llegada a packing]],"")</f>
        <v/>
      </c>
      <c r="AW6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2" s="5" t="str">
        <f>IFERROR(OLDBD[[#This Row],[Llegada Almacén de Ingreso]]-OLDBD[[#This Row],[Salida Packing]],"")</f>
        <v/>
      </c>
      <c r="AY632" s="4" t="str" cm="1">
        <f t="array" ref="AY6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2" s="43" t="s">
        <v>173</v>
      </c>
      <c r="BB632" s="47" t="str">
        <f>IFERROR(IF(MARÍTIMOS[[#This Row],[Estatus]]="","",MARÍTIMOS[[#This Row],[Estatus]]),"")</f>
        <v/>
      </c>
      <c r="BC632" s="43"/>
      <c r="BD632" s="46" t="str">
        <f>IFERROR(OLDBD[[#This Row],[Salida de almacén de retiro]]-OLDBD[[#This Row],[Ingreso Almacén de retiro]],"")</f>
        <v/>
      </c>
      <c r="BE632" s="46" t="str">
        <f>IFERROR(OLDBD[[#This Row],[Fin de Carga]]-OLDBD[[#This Row],[Inicio de Carga]],"")</f>
        <v/>
      </c>
    </row>
    <row r="633" spans="1:57" customFormat="1" hidden="1">
      <c r="A633" s="1"/>
      <c r="B633" s="1" t="str">
        <f>IFERROR(IF(MARÍTIMOS[[#This Row],[PP]]="","",MARÍTIMOS[[#This Row],[PP]]),"")</f>
        <v/>
      </c>
      <c r="C633" s="1" t="str">
        <f>IFERROR(IF(MARÍTIMOS[[#This Row],[Sede]]="","",MARÍTIMOS[[#This Row],[Sede]]),"")</f>
        <v/>
      </c>
      <c r="D633" s="1" t="str">
        <f>IFERROR(IF(MARÍTIMOS[[#This Row],[Instruction]]="","",MARÍTIMOS[[#This Row],[Instruction]]),"")</f>
        <v/>
      </c>
      <c r="E633" s="1"/>
      <c r="F633" s="2" t="str">
        <f>IFERROR(IF(MARÍTIMOS[[#This Row],[Transportista]]="","",MARÍTIMOS[[#This Row],[Transportista]]),"")</f>
        <v/>
      </c>
      <c r="G633" s="2" t="str">
        <f>IFERROR(IF(MARÍTIMOS[[#This Row],[Tercero]]="","",MARÍTIMOS[[#This Row],[Tercero]]),"")</f>
        <v/>
      </c>
      <c r="H633" s="2" t="str">
        <f>IFERROR(IF(MARÍTIMOS[[#This Row],[Razón Social]]="","",MARÍTIMOS[[#This Row],[Razón Social]]),"")</f>
        <v/>
      </c>
      <c r="I633" s="2" t="str">
        <f>IFERROR(IF(MARÍTIMOS[[#This Row],[RUC]]="","",MARÍTIMOS[[#This Row],[RUC]]),"")</f>
        <v/>
      </c>
      <c r="J633" s="2" t="str">
        <f>IFERROR(IF(MARÍTIMOS[[#This Row],[Placa Tracto]]="","",MARÍTIMOS[[#This Row],[Placa Tracto]]),"")</f>
        <v/>
      </c>
      <c r="K633" s="2" t="str">
        <f>IFERROR(IF(MARÍTIMOS[[#This Row],[Placa Carreta]]="","",MARÍTIMOS[[#This Row],[Placa Carreta]]),"")</f>
        <v/>
      </c>
      <c r="L633" s="44" t="str">
        <f>IFERROR(IF(MARÍTIMOS[[#This Row],[Conductor]]="","",MARÍTIMOS[[#This Row],[Conductor]]),"")</f>
        <v/>
      </c>
      <c r="M633" s="2" t="str">
        <f>IFERROR(IF(MARÍTIMOS[[#This Row],[Licencia]]="","",MARÍTIMOS[[#This Row],[Licencia]]),"")</f>
        <v/>
      </c>
      <c r="N633" s="2" t="str">
        <f>IFERROR(IF(MARÍTIMOS[[#This Row],[Número de Contacto]]="","",MARÍTIMOS[[#This Row],[Número de Contacto]]),"")</f>
        <v/>
      </c>
      <c r="O633" s="10" t="str">
        <f>IFERROR(IF(MARÍTIMOS[[#This Row],[Booking|AWB|CRT]]="","",MARÍTIMOS[[#This Row],[Booking|AWB|CRT]]),"")</f>
        <v/>
      </c>
      <c r="P633" s="2" t="str">
        <f>IFERROR(IF(MARÍTIMOS[[#This Row],[Contenedor]]="","",MARÍTIMOS[[#This Row],[Contenedor]]),"")</f>
        <v/>
      </c>
      <c r="Q633" s="2" t="str">
        <f>IFERROR(IF(MARÍTIMOS[[#This Row],[Puerto de Retiro]]="","",MARÍTIMOS[[#This Row],[Puerto de Retiro]]),"")</f>
        <v/>
      </c>
      <c r="R633" s="2" t="str">
        <f>IFERROR(IF(MARÍTIMOS[[#This Row],[Almacén de Retiro]]="","",MARÍTIMOS[[#This Row],[Almacén de Retiro]]),"")</f>
        <v/>
      </c>
      <c r="S633" s="11" t="str">
        <f>IFERROR(IF(MARÍTIMOS[[#This Row],[Etapa Retiro - Cita]]="","",MARÍTIMOS[[#This Row],[Etapa Retiro - Cita]]),"")</f>
        <v/>
      </c>
      <c r="T633" s="11" t="str">
        <f>IFERROR(IF(MARÍTIMOS[[#This Row],[Etapa Retiro - Llegada]]="","",MARÍTIMOS[[#This Row],[Etapa Retiro - Llegada]]),"")</f>
        <v/>
      </c>
      <c r="U633" s="11" t="str">
        <f>IFERROR(IF(MARÍTIMOS[[#This Row],[Etapa Retiro - Ingreso]]="","",MARÍTIMOS[[#This Row],[Etapa Retiro - Ingreso]]),"")</f>
        <v/>
      </c>
      <c r="V633" s="11" t="str">
        <f>IFERROR(IF(MARÍTIMOS[[#This Row],[Etapa Retiro - Atención]]="","",MARÍTIMOS[[#This Row],[Etapa Retiro - Atención]]),"")</f>
        <v/>
      </c>
      <c r="W633" s="11" t="str">
        <f>IFERROR(IF(MARÍTIMOS[[#This Row],[Etapa Retiro - Atención]]="","",MARÍTIMOS[[#This Row],[Etapa Retiro - Atención]]),"")</f>
        <v/>
      </c>
      <c r="X633" s="11" t="str">
        <f>IFERROR(IF(MARÍTIMOS[[#This Row],[Etapa Retiro - Inicio de Ruta]]="","",MARÍTIMOS[[#This Row],[Etapa Retiro - Inicio de Ruta]]),"")</f>
        <v/>
      </c>
      <c r="Y633" s="11" t="str">
        <f>IFERROR(IF(MARÍTIMOS[[#This Row],[Hora de Posicionamiento]]="","",MARÍTIMOS[[#This Row],[Fecha de Carga]]+MARÍTIMOS[[#This Row],[Hora de Posicionamiento]]),"")</f>
        <v/>
      </c>
      <c r="Z633" s="11" t="str">
        <f>IFERROR(IF(MARÍTIMOS[[#This Row],[Etapa Despacho - Llegada]]="","",MARÍTIMOS[[#This Row],[Etapa Despacho - Llegada]]),"")</f>
        <v/>
      </c>
      <c r="AA633" s="11" t="str">
        <f>IFERROR(IF(MARÍTIMOS[[#This Row],[Etapa Despacho - Registro]]="","",MARÍTIMOS[[#This Row],[Etapa Despacho - Registro]]),"")</f>
        <v/>
      </c>
      <c r="AB633" s="11" t="str">
        <f>IFERROR(IF(MARÍTIMOS[[#This Row],[Inspección Externa]]="","",MARÍTIMOS[[#This Row],[Inspección Externa]]),"")</f>
        <v/>
      </c>
      <c r="AC633" s="11" t="str">
        <f>IFERROR(IF(MARÍTIMOS[[#This Row],[Etapa Despacho - Inicio de Carga]]="","",MARÍTIMOS[[#This Row],[Etapa Despacho - Inicio de Carga]]),"")</f>
        <v/>
      </c>
      <c r="AD633" s="11" t="str">
        <f>IFERROR(IF(MARÍTIMOS[[#This Row],[Etapa Despacho - Mitad de Carga]]="","",MARÍTIMOS[[#This Row],[Etapa Despacho - Mitad de Carga]]),"")</f>
        <v/>
      </c>
      <c r="AE633" s="11" t="str">
        <f>IFERROR(IF(MARÍTIMOS[[#This Row],[Etapa Despacho - Fin de Carga]]="","",MARÍTIMOS[[#This Row],[Etapa Despacho - Fin de Carga]]),"")</f>
        <v/>
      </c>
      <c r="AF633" s="2" t="str">
        <f>IFERROR(IF(MARÍTIMOS[[#This Row],[Puerto de Embarque]]="","",MARÍTIMOS[[#This Row],[Puerto de Embarque]]),"")</f>
        <v/>
      </c>
      <c r="AG633" s="2" t="str">
        <f>IFERROR(IF(MARÍTIMOS[[#This Row],[Almacén de Ingreso]]="","",MARÍTIMOS[[#This Row],[Almacén de Ingreso]]),"")</f>
        <v/>
      </c>
      <c r="AH633" s="11" t="str">
        <f>IFERROR(IF(MARÍTIMOS[[#This Row],[Etapa Ingreso - Cita]]="","",MARÍTIMOS[[#This Row],[Etapa Ingreso - Cita]]),"")</f>
        <v/>
      </c>
      <c r="AI633" s="11" t="str">
        <f>IFERROR(IF(MARÍTIMOS[[#This Row],[Etapa Ingreso - Llegada]]="","",MARÍTIMOS[[#This Row],[Etapa Ingreso - Llegada]]),"")</f>
        <v/>
      </c>
      <c r="AJ633" s="11" t="str">
        <f>IFERROR(IF(MARÍTIMOS[[#This Row],[Etapa Ingreso - Ingeso]]="","",MARÍTIMOS[[#This Row],[Etapa Ingreso - Ingeso]]),"")</f>
        <v/>
      </c>
      <c r="AK633" s="11" t="str">
        <f>IFERROR(IF(MARÍTIMOS[[#This Row],[Etapa Ingreso - Atención]]="","",MARÍTIMOS[[#This Row],[Etapa Ingreso - Atención]]),"")</f>
        <v/>
      </c>
      <c r="AL633" s="11" t="str">
        <f>IFERROR(IF(MARÍTIMOS[[#This Row],[Etapa Ingreso - Salida]]="","",MARÍTIMOS[[#This Row],[Etapa Ingreso - Salida]]),"")</f>
        <v/>
      </c>
      <c r="AM633" s="2" t="str">
        <f>IFERROR(IF(MARÍTIMOS[[#This Row],[FCL]]="","",MARÍTIMOS[[#This Row],[FCL]]),"")</f>
        <v/>
      </c>
      <c r="AN6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3" s="4" t="str" cm="1">
        <f t="array" ref="AO6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3" s="5" t="str">
        <f>IFERROR(OLDBD[[#This Row],[Llegada a packing]]-OLDBD[[#This Row],[Inicio de Ruta]],"")</f>
        <v/>
      </c>
      <c r="AQ633" s="6" t="str">
        <f>IFERROR(OLDBD[[#This Row],[Inicio de Ruta]]-OLDBD[[#This Row],[Salida de almacén de retiro]],"")</f>
        <v/>
      </c>
      <c r="AR6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3" s="8" t="str" cm="1">
        <f t="array" ref="AS6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3" s="9" t="str">
        <f>IFERROR(OLDBD[[#This Row],[Ingreso Packing]]-OLDBD[[#This Row],[Registro en Packing]],"")</f>
        <v/>
      </c>
      <c r="AV633" s="9" t="str">
        <f>IFERROR(OLDBD[[#This Row],[Ingreso Packing]]-OLDBD[[#This Row],[Llegada a packing]],"")</f>
        <v/>
      </c>
      <c r="AW6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3" s="5" t="str">
        <f>IFERROR(OLDBD[[#This Row],[Llegada Almacén de Ingreso]]-OLDBD[[#This Row],[Salida Packing]],"")</f>
        <v/>
      </c>
      <c r="AY633" s="4" t="str" cm="1">
        <f t="array" ref="AY6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3" s="43" t="s">
        <v>173</v>
      </c>
      <c r="BB633" s="47" t="str">
        <f>IFERROR(IF(MARÍTIMOS[[#This Row],[Estatus]]="","",MARÍTIMOS[[#This Row],[Estatus]]),"")</f>
        <v/>
      </c>
      <c r="BC633" s="43"/>
      <c r="BD633" s="46" t="str">
        <f>IFERROR(OLDBD[[#This Row],[Salida de almacén de retiro]]-OLDBD[[#This Row],[Ingreso Almacén de retiro]],"")</f>
        <v/>
      </c>
      <c r="BE633" s="46" t="str">
        <f>IFERROR(OLDBD[[#This Row],[Fin de Carga]]-OLDBD[[#This Row],[Inicio de Carga]],"")</f>
        <v/>
      </c>
    </row>
    <row r="634" spans="1:57" customFormat="1" hidden="1">
      <c r="A634" s="1"/>
      <c r="B634" s="1" t="str">
        <f>IFERROR(IF(MARÍTIMOS[[#This Row],[PP]]="","",MARÍTIMOS[[#This Row],[PP]]),"")</f>
        <v/>
      </c>
      <c r="C634" s="1" t="str">
        <f>IFERROR(IF(MARÍTIMOS[[#This Row],[Sede]]="","",MARÍTIMOS[[#This Row],[Sede]]),"")</f>
        <v/>
      </c>
      <c r="D634" s="1" t="str">
        <f>IFERROR(IF(MARÍTIMOS[[#This Row],[Instruction]]="","",MARÍTIMOS[[#This Row],[Instruction]]),"")</f>
        <v/>
      </c>
      <c r="E634" s="1"/>
      <c r="F634" s="2" t="str">
        <f>IFERROR(IF(MARÍTIMOS[[#This Row],[Transportista]]="","",MARÍTIMOS[[#This Row],[Transportista]]),"")</f>
        <v/>
      </c>
      <c r="G634" s="2" t="str">
        <f>IFERROR(IF(MARÍTIMOS[[#This Row],[Tercero]]="","",MARÍTIMOS[[#This Row],[Tercero]]),"")</f>
        <v/>
      </c>
      <c r="H634" s="2" t="str">
        <f>IFERROR(IF(MARÍTIMOS[[#This Row],[Razón Social]]="","",MARÍTIMOS[[#This Row],[Razón Social]]),"")</f>
        <v/>
      </c>
      <c r="I634" s="2" t="str">
        <f>IFERROR(IF(MARÍTIMOS[[#This Row],[RUC]]="","",MARÍTIMOS[[#This Row],[RUC]]),"")</f>
        <v/>
      </c>
      <c r="J634" s="2" t="str">
        <f>IFERROR(IF(MARÍTIMOS[[#This Row],[Placa Tracto]]="","",MARÍTIMOS[[#This Row],[Placa Tracto]]),"")</f>
        <v/>
      </c>
      <c r="K634" s="2" t="str">
        <f>IFERROR(IF(MARÍTIMOS[[#This Row],[Placa Carreta]]="","",MARÍTIMOS[[#This Row],[Placa Carreta]]),"")</f>
        <v/>
      </c>
      <c r="L634" s="44" t="str">
        <f>IFERROR(IF(MARÍTIMOS[[#This Row],[Conductor]]="","",MARÍTIMOS[[#This Row],[Conductor]]),"")</f>
        <v/>
      </c>
      <c r="M634" s="2" t="str">
        <f>IFERROR(IF(MARÍTIMOS[[#This Row],[Licencia]]="","",MARÍTIMOS[[#This Row],[Licencia]]),"")</f>
        <v/>
      </c>
      <c r="N634" s="2" t="str">
        <f>IFERROR(IF(MARÍTIMOS[[#This Row],[Número de Contacto]]="","",MARÍTIMOS[[#This Row],[Número de Contacto]]),"")</f>
        <v/>
      </c>
      <c r="O634" s="10" t="str">
        <f>IFERROR(IF(MARÍTIMOS[[#This Row],[Booking|AWB|CRT]]="","",MARÍTIMOS[[#This Row],[Booking|AWB|CRT]]),"")</f>
        <v/>
      </c>
      <c r="P634" s="2" t="str">
        <f>IFERROR(IF(MARÍTIMOS[[#This Row],[Contenedor]]="","",MARÍTIMOS[[#This Row],[Contenedor]]),"")</f>
        <v/>
      </c>
      <c r="Q634" s="2" t="str">
        <f>IFERROR(IF(MARÍTIMOS[[#This Row],[Puerto de Retiro]]="","",MARÍTIMOS[[#This Row],[Puerto de Retiro]]),"")</f>
        <v/>
      </c>
      <c r="R634" s="2" t="str">
        <f>IFERROR(IF(MARÍTIMOS[[#This Row],[Almacén de Retiro]]="","",MARÍTIMOS[[#This Row],[Almacén de Retiro]]),"")</f>
        <v/>
      </c>
      <c r="S634" s="11" t="str">
        <f>IFERROR(IF(MARÍTIMOS[[#This Row],[Etapa Retiro - Cita]]="","",MARÍTIMOS[[#This Row],[Etapa Retiro - Cita]]),"")</f>
        <v/>
      </c>
      <c r="T634" s="11" t="str">
        <f>IFERROR(IF(MARÍTIMOS[[#This Row],[Etapa Retiro - Llegada]]="","",MARÍTIMOS[[#This Row],[Etapa Retiro - Llegada]]),"")</f>
        <v/>
      </c>
      <c r="U634" s="11" t="str">
        <f>IFERROR(IF(MARÍTIMOS[[#This Row],[Etapa Retiro - Ingreso]]="","",MARÍTIMOS[[#This Row],[Etapa Retiro - Ingreso]]),"")</f>
        <v/>
      </c>
      <c r="V634" s="11" t="str">
        <f>IFERROR(IF(MARÍTIMOS[[#This Row],[Etapa Retiro - Atención]]="","",MARÍTIMOS[[#This Row],[Etapa Retiro - Atención]]),"")</f>
        <v/>
      </c>
      <c r="W634" s="11" t="str">
        <f>IFERROR(IF(MARÍTIMOS[[#This Row],[Etapa Retiro - Atención]]="","",MARÍTIMOS[[#This Row],[Etapa Retiro - Atención]]),"")</f>
        <v/>
      </c>
      <c r="X634" s="11" t="str">
        <f>IFERROR(IF(MARÍTIMOS[[#This Row],[Etapa Retiro - Inicio de Ruta]]="","",MARÍTIMOS[[#This Row],[Etapa Retiro - Inicio de Ruta]]),"")</f>
        <v/>
      </c>
      <c r="Y634" s="11" t="str">
        <f>IFERROR(IF(MARÍTIMOS[[#This Row],[Hora de Posicionamiento]]="","",MARÍTIMOS[[#This Row],[Fecha de Carga]]+MARÍTIMOS[[#This Row],[Hora de Posicionamiento]]),"")</f>
        <v/>
      </c>
      <c r="Z634" s="11" t="str">
        <f>IFERROR(IF(MARÍTIMOS[[#This Row],[Etapa Despacho - Llegada]]="","",MARÍTIMOS[[#This Row],[Etapa Despacho - Llegada]]),"")</f>
        <v/>
      </c>
      <c r="AA634" s="11" t="str">
        <f>IFERROR(IF(MARÍTIMOS[[#This Row],[Etapa Despacho - Registro]]="","",MARÍTIMOS[[#This Row],[Etapa Despacho - Registro]]),"")</f>
        <v/>
      </c>
      <c r="AB634" s="11" t="str">
        <f>IFERROR(IF(MARÍTIMOS[[#This Row],[Inspección Externa]]="","",MARÍTIMOS[[#This Row],[Inspección Externa]]),"")</f>
        <v/>
      </c>
      <c r="AC634" s="11" t="str">
        <f>IFERROR(IF(MARÍTIMOS[[#This Row],[Etapa Despacho - Inicio de Carga]]="","",MARÍTIMOS[[#This Row],[Etapa Despacho - Inicio de Carga]]),"")</f>
        <v/>
      </c>
      <c r="AD634" s="11" t="str">
        <f>IFERROR(IF(MARÍTIMOS[[#This Row],[Etapa Despacho - Mitad de Carga]]="","",MARÍTIMOS[[#This Row],[Etapa Despacho - Mitad de Carga]]),"")</f>
        <v/>
      </c>
      <c r="AE634" s="11" t="str">
        <f>IFERROR(IF(MARÍTIMOS[[#This Row],[Etapa Despacho - Fin de Carga]]="","",MARÍTIMOS[[#This Row],[Etapa Despacho - Fin de Carga]]),"")</f>
        <v/>
      </c>
      <c r="AF634" s="2" t="str">
        <f>IFERROR(IF(MARÍTIMOS[[#This Row],[Puerto de Embarque]]="","",MARÍTIMOS[[#This Row],[Puerto de Embarque]]),"")</f>
        <v/>
      </c>
      <c r="AG634" s="2" t="str">
        <f>IFERROR(IF(MARÍTIMOS[[#This Row],[Almacén de Ingreso]]="","",MARÍTIMOS[[#This Row],[Almacén de Ingreso]]),"")</f>
        <v/>
      </c>
      <c r="AH634" s="11" t="str">
        <f>IFERROR(IF(MARÍTIMOS[[#This Row],[Etapa Ingreso - Cita]]="","",MARÍTIMOS[[#This Row],[Etapa Ingreso - Cita]]),"")</f>
        <v/>
      </c>
      <c r="AI634" s="11" t="str">
        <f>IFERROR(IF(MARÍTIMOS[[#This Row],[Etapa Ingreso - Llegada]]="","",MARÍTIMOS[[#This Row],[Etapa Ingreso - Llegada]]),"")</f>
        <v/>
      </c>
      <c r="AJ634" s="11" t="str">
        <f>IFERROR(IF(MARÍTIMOS[[#This Row],[Etapa Ingreso - Ingeso]]="","",MARÍTIMOS[[#This Row],[Etapa Ingreso - Ingeso]]),"")</f>
        <v/>
      </c>
      <c r="AK634" s="11" t="str">
        <f>IFERROR(IF(MARÍTIMOS[[#This Row],[Etapa Ingreso - Atención]]="","",MARÍTIMOS[[#This Row],[Etapa Ingreso - Atención]]),"")</f>
        <v/>
      </c>
      <c r="AL634" s="11" t="str">
        <f>IFERROR(IF(MARÍTIMOS[[#This Row],[Etapa Ingreso - Salida]]="","",MARÍTIMOS[[#This Row],[Etapa Ingreso - Salida]]),"")</f>
        <v/>
      </c>
      <c r="AM634" s="2" t="str">
        <f>IFERROR(IF(MARÍTIMOS[[#This Row],[FCL]]="","",MARÍTIMOS[[#This Row],[FCL]]),"")</f>
        <v/>
      </c>
      <c r="AN6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4" s="4" t="str" cm="1">
        <f t="array" ref="AO6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4" s="5" t="str">
        <f>IFERROR(OLDBD[[#This Row],[Llegada a packing]]-OLDBD[[#This Row],[Inicio de Ruta]],"")</f>
        <v/>
      </c>
      <c r="AQ634" s="6" t="str">
        <f>IFERROR(OLDBD[[#This Row],[Inicio de Ruta]]-OLDBD[[#This Row],[Salida de almacén de retiro]],"")</f>
        <v/>
      </c>
      <c r="AR6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4" s="8" t="str" cm="1">
        <f t="array" ref="AS6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4" s="9" t="str">
        <f>IFERROR(OLDBD[[#This Row],[Ingreso Packing]]-OLDBD[[#This Row],[Registro en Packing]],"")</f>
        <v/>
      </c>
      <c r="AV634" s="9" t="str">
        <f>IFERROR(OLDBD[[#This Row],[Ingreso Packing]]-OLDBD[[#This Row],[Llegada a packing]],"")</f>
        <v/>
      </c>
      <c r="AW6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4" s="5" t="str">
        <f>IFERROR(OLDBD[[#This Row],[Llegada Almacén de Ingreso]]-OLDBD[[#This Row],[Salida Packing]],"")</f>
        <v/>
      </c>
      <c r="AY634" s="4" t="str" cm="1">
        <f t="array" ref="AY6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4" s="43" t="s">
        <v>173</v>
      </c>
      <c r="BB634" s="47" t="str">
        <f>IFERROR(IF(MARÍTIMOS[[#This Row],[Estatus]]="","",MARÍTIMOS[[#This Row],[Estatus]]),"")</f>
        <v/>
      </c>
      <c r="BC634" s="43"/>
      <c r="BD634" s="46" t="str">
        <f>IFERROR(OLDBD[[#This Row],[Salida de almacén de retiro]]-OLDBD[[#This Row],[Ingreso Almacén de retiro]],"")</f>
        <v/>
      </c>
      <c r="BE634" s="46" t="str">
        <f>IFERROR(OLDBD[[#This Row],[Fin de Carga]]-OLDBD[[#This Row],[Inicio de Carga]],"")</f>
        <v/>
      </c>
    </row>
    <row r="635" spans="1:57" customFormat="1" hidden="1">
      <c r="A635" s="1"/>
      <c r="B635" s="1" t="str">
        <f>IFERROR(IF(MARÍTIMOS[[#This Row],[PP]]="","",MARÍTIMOS[[#This Row],[PP]]),"")</f>
        <v/>
      </c>
      <c r="C635" s="1" t="str">
        <f>IFERROR(IF(MARÍTIMOS[[#This Row],[Sede]]="","",MARÍTIMOS[[#This Row],[Sede]]),"")</f>
        <v/>
      </c>
      <c r="D635" s="1" t="str">
        <f>IFERROR(IF(MARÍTIMOS[[#This Row],[Instruction]]="","",MARÍTIMOS[[#This Row],[Instruction]]),"")</f>
        <v/>
      </c>
      <c r="E635" s="1"/>
      <c r="F635" s="2" t="str">
        <f>IFERROR(IF(MARÍTIMOS[[#This Row],[Transportista]]="","",MARÍTIMOS[[#This Row],[Transportista]]),"")</f>
        <v/>
      </c>
      <c r="G635" s="2" t="str">
        <f>IFERROR(IF(MARÍTIMOS[[#This Row],[Tercero]]="","",MARÍTIMOS[[#This Row],[Tercero]]),"")</f>
        <v/>
      </c>
      <c r="H635" s="2" t="str">
        <f>IFERROR(IF(MARÍTIMOS[[#This Row],[Razón Social]]="","",MARÍTIMOS[[#This Row],[Razón Social]]),"")</f>
        <v/>
      </c>
      <c r="I635" s="2" t="str">
        <f>IFERROR(IF(MARÍTIMOS[[#This Row],[RUC]]="","",MARÍTIMOS[[#This Row],[RUC]]),"")</f>
        <v/>
      </c>
      <c r="J635" s="2" t="str">
        <f>IFERROR(IF(MARÍTIMOS[[#This Row],[Placa Tracto]]="","",MARÍTIMOS[[#This Row],[Placa Tracto]]),"")</f>
        <v/>
      </c>
      <c r="K635" s="2" t="str">
        <f>IFERROR(IF(MARÍTIMOS[[#This Row],[Placa Carreta]]="","",MARÍTIMOS[[#This Row],[Placa Carreta]]),"")</f>
        <v/>
      </c>
      <c r="L635" s="44" t="str">
        <f>IFERROR(IF(MARÍTIMOS[[#This Row],[Conductor]]="","",MARÍTIMOS[[#This Row],[Conductor]]),"")</f>
        <v/>
      </c>
      <c r="M635" s="2" t="str">
        <f>IFERROR(IF(MARÍTIMOS[[#This Row],[Licencia]]="","",MARÍTIMOS[[#This Row],[Licencia]]),"")</f>
        <v/>
      </c>
      <c r="N635" s="2" t="str">
        <f>IFERROR(IF(MARÍTIMOS[[#This Row],[Número de Contacto]]="","",MARÍTIMOS[[#This Row],[Número de Contacto]]),"")</f>
        <v/>
      </c>
      <c r="O635" s="10" t="str">
        <f>IFERROR(IF(MARÍTIMOS[[#This Row],[Booking|AWB|CRT]]="","",MARÍTIMOS[[#This Row],[Booking|AWB|CRT]]),"")</f>
        <v/>
      </c>
      <c r="P635" s="2" t="str">
        <f>IFERROR(IF(MARÍTIMOS[[#This Row],[Contenedor]]="","",MARÍTIMOS[[#This Row],[Contenedor]]),"")</f>
        <v/>
      </c>
      <c r="Q635" s="2" t="str">
        <f>IFERROR(IF(MARÍTIMOS[[#This Row],[Puerto de Retiro]]="","",MARÍTIMOS[[#This Row],[Puerto de Retiro]]),"")</f>
        <v/>
      </c>
      <c r="R635" s="2" t="str">
        <f>IFERROR(IF(MARÍTIMOS[[#This Row],[Almacén de Retiro]]="","",MARÍTIMOS[[#This Row],[Almacén de Retiro]]),"")</f>
        <v/>
      </c>
      <c r="S635" s="11" t="str">
        <f>IFERROR(IF(MARÍTIMOS[[#This Row],[Etapa Retiro - Cita]]="","",MARÍTIMOS[[#This Row],[Etapa Retiro - Cita]]),"")</f>
        <v/>
      </c>
      <c r="T635" s="11" t="str">
        <f>IFERROR(IF(MARÍTIMOS[[#This Row],[Etapa Retiro - Llegada]]="","",MARÍTIMOS[[#This Row],[Etapa Retiro - Llegada]]),"")</f>
        <v/>
      </c>
      <c r="U635" s="11" t="str">
        <f>IFERROR(IF(MARÍTIMOS[[#This Row],[Etapa Retiro - Ingreso]]="","",MARÍTIMOS[[#This Row],[Etapa Retiro - Ingreso]]),"")</f>
        <v/>
      </c>
      <c r="V635" s="11" t="str">
        <f>IFERROR(IF(MARÍTIMOS[[#This Row],[Etapa Retiro - Atención]]="","",MARÍTIMOS[[#This Row],[Etapa Retiro - Atención]]),"")</f>
        <v/>
      </c>
      <c r="W635" s="11" t="str">
        <f>IFERROR(IF(MARÍTIMOS[[#This Row],[Etapa Retiro - Atención]]="","",MARÍTIMOS[[#This Row],[Etapa Retiro - Atención]]),"")</f>
        <v/>
      </c>
      <c r="X635" s="11" t="str">
        <f>IFERROR(IF(MARÍTIMOS[[#This Row],[Etapa Retiro - Inicio de Ruta]]="","",MARÍTIMOS[[#This Row],[Etapa Retiro - Inicio de Ruta]]),"")</f>
        <v/>
      </c>
      <c r="Y635" s="11" t="str">
        <f>IFERROR(IF(MARÍTIMOS[[#This Row],[Hora de Posicionamiento]]="","",MARÍTIMOS[[#This Row],[Fecha de Carga]]+MARÍTIMOS[[#This Row],[Hora de Posicionamiento]]),"")</f>
        <v/>
      </c>
      <c r="Z635" s="11" t="str">
        <f>IFERROR(IF(MARÍTIMOS[[#This Row],[Etapa Despacho - Llegada]]="","",MARÍTIMOS[[#This Row],[Etapa Despacho - Llegada]]),"")</f>
        <v/>
      </c>
      <c r="AA635" s="11" t="str">
        <f>IFERROR(IF(MARÍTIMOS[[#This Row],[Etapa Despacho - Registro]]="","",MARÍTIMOS[[#This Row],[Etapa Despacho - Registro]]),"")</f>
        <v/>
      </c>
      <c r="AB635" s="11" t="str">
        <f>IFERROR(IF(MARÍTIMOS[[#This Row],[Inspección Externa]]="","",MARÍTIMOS[[#This Row],[Inspección Externa]]),"")</f>
        <v/>
      </c>
      <c r="AC635" s="11" t="str">
        <f>IFERROR(IF(MARÍTIMOS[[#This Row],[Etapa Despacho - Inicio de Carga]]="","",MARÍTIMOS[[#This Row],[Etapa Despacho - Inicio de Carga]]),"")</f>
        <v/>
      </c>
      <c r="AD635" s="11" t="str">
        <f>IFERROR(IF(MARÍTIMOS[[#This Row],[Etapa Despacho - Mitad de Carga]]="","",MARÍTIMOS[[#This Row],[Etapa Despacho - Mitad de Carga]]),"")</f>
        <v/>
      </c>
      <c r="AE635" s="11" t="str">
        <f>IFERROR(IF(MARÍTIMOS[[#This Row],[Etapa Despacho - Fin de Carga]]="","",MARÍTIMOS[[#This Row],[Etapa Despacho - Fin de Carga]]),"")</f>
        <v/>
      </c>
      <c r="AF635" s="2" t="str">
        <f>IFERROR(IF(MARÍTIMOS[[#This Row],[Puerto de Embarque]]="","",MARÍTIMOS[[#This Row],[Puerto de Embarque]]),"")</f>
        <v/>
      </c>
      <c r="AG635" s="2" t="str">
        <f>IFERROR(IF(MARÍTIMOS[[#This Row],[Almacén de Ingreso]]="","",MARÍTIMOS[[#This Row],[Almacén de Ingreso]]),"")</f>
        <v/>
      </c>
      <c r="AH635" s="11" t="str">
        <f>IFERROR(IF(MARÍTIMOS[[#This Row],[Etapa Ingreso - Cita]]="","",MARÍTIMOS[[#This Row],[Etapa Ingreso - Cita]]),"")</f>
        <v/>
      </c>
      <c r="AI635" s="11" t="str">
        <f>IFERROR(IF(MARÍTIMOS[[#This Row],[Etapa Ingreso - Llegada]]="","",MARÍTIMOS[[#This Row],[Etapa Ingreso - Llegada]]),"")</f>
        <v/>
      </c>
      <c r="AJ635" s="11" t="str">
        <f>IFERROR(IF(MARÍTIMOS[[#This Row],[Etapa Ingreso - Ingeso]]="","",MARÍTIMOS[[#This Row],[Etapa Ingreso - Ingeso]]),"")</f>
        <v/>
      </c>
      <c r="AK635" s="11" t="str">
        <f>IFERROR(IF(MARÍTIMOS[[#This Row],[Etapa Ingreso - Atención]]="","",MARÍTIMOS[[#This Row],[Etapa Ingreso - Atención]]),"")</f>
        <v/>
      </c>
      <c r="AL635" s="11" t="str">
        <f>IFERROR(IF(MARÍTIMOS[[#This Row],[Etapa Ingreso - Salida]]="","",MARÍTIMOS[[#This Row],[Etapa Ingreso - Salida]]),"")</f>
        <v/>
      </c>
      <c r="AM635" s="2" t="str">
        <f>IFERROR(IF(MARÍTIMOS[[#This Row],[FCL]]="","",MARÍTIMOS[[#This Row],[FCL]]),"")</f>
        <v/>
      </c>
      <c r="AN6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5" s="4" t="str" cm="1">
        <f t="array" ref="AO6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5" s="5" t="str">
        <f>IFERROR(OLDBD[[#This Row],[Llegada a packing]]-OLDBD[[#This Row],[Inicio de Ruta]],"")</f>
        <v/>
      </c>
      <c r="AQ635" s="6" t="str">
        <f>IFERROR(OLDBD[[#This Row],[Inicio de Ruta]]-OLDBD[[#This Row],[Salida de almacén de retiro]],"")</f>
        <v/>
      </c>
      <c r="AR6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5" s="8" t="str" cm="1">
        <f t="array" ref="AS6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5" s="9" t="str">
        <f>IFERROR(OLDBD[[#This Row],[Ingreso Packing]]-OLDBD[[#This Row],[Registro en Packing]],"")</f>
        <v/>
      </c>
      <c r="AV635" s="9" t="str">
        <f>IFERROR(OLDBD[[#This Row],[Ingreso Packing]]-OLDBD[[#This Row],[Llegada a packing]],"")</f>
        <v/>
      </c>
      <c r="AW6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5" s="5" t="str">
        <f>IFERROR(OLDBD[[#This Row],[Llegada Almacén de Ingreso]]-OLDBD[[#This Row],[Salida Packing]],"")</f>
        <v/>
      </c>
      <c r="AY635" s="4" t="str" cm="1">
        <f t="array" ref="AY6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5" s="43" t="s">
        <v>173</v>
      </c>
      <c r="BB635" s="47" t="str">
        <f>IFERROR(IF(MARÍTIMOS[[#This Row],[Estatus]]="","",MARÍTIMOS[[#This Row],[Estatus]]),"")</f>
        <v/>
      </c>
      <c r="BC635" s="43"/>
      <c r="BD635" s="46" t="str">
        <f>IFERROR(OLDBD[[#This Row],[Salida de almacén de retiro]]-OLDBD[[#This Row],[Ingreso Almacén de retiro]],"")</f>
        <v/>
      </c>
      <c r="BE635" s="46" t="str">
        <f>IFERROR(OLDBD[[#This Row],[Fin de Carga]]-OLDBD[[#This Row],[Inicio de Carga]],"")</f>
        <v/>
      </c>
    </row>
    <row r="636" spans="1:57" customFormat="1" hidden="1">
      <c r="A636" s="1"/>
      <c r="B636" s="1" t="str">
        <f>IFERROR(IF(MARÍTIMOS[[#This Row],[PP]]="","",MARÍTIMOS[[#This Row],[PP]]),"")</f>
        <v/>
      </c>
      <c r="C636" s="1" t="str">
        <f>IFERROR(IF(MARÍTIMOS[[#This Row],[Sede]]="","",MARÍTIMOS[[#This Row],[Sede]]),"")</f>
        <v/>
      </c>
      <c r="D636" s="1" t="str">
        <f>IFERROR(IF(MARÍTIMOS[[#This Row],[Instruction]]="","",MARÍTIMOS[[#This Row],[Instruction]]),"")</f>
        <v/>
      </c>
      <c r="E636" s="1"/>
      <c r="F636" s="2" t="str">
        <f>IFERROR(IF(MARÍTIMOS[[#This Row],[Transportista]]="","",MARÍTIMOS[[#This Row],[Transportista]]),"")</f>
        <v/>
      </c>
      <c r="G636" s="2" t="str">
        <f>IFERROR(IF(MARÍTIMOS[[#This Row],[Tercero]]="","",MARÍTIMOS[[#This Row],[Tercero]]),"")</f>
        <v/>
      </c>
      <c r="H636" s="2" t="str">
        <f>IFERROR(IF(MARÍTIMOS[[#This Row],[Razón Social]]="","",MARÍTIMOS[[#This Row],[Razón Social]]),"")</f>
        <v/>
      </c>
      <c r="I636" s="2" t="str">
        <f>IFERROR(IF(MARÍTIMOS[[#This Row],[RUC]]="","",MARÍTIMOS[[#This Row],[RUC]]),"")</f>
        <v/>
      </c>
      <c r="J636" s="2" t="str">
        <f>IFERROR(IF(MARÍTIMOS[[#This Row],[Placa Tracto]]="","",MARÍTIMOS[[#This Row],[Placa Tracto]]),"")</f>
        <v/>
      </c>
      <c r="K636" s="2" t="str">
        <f>IFERROR(IF(MARÍTIMOS[[#This Row],[Placa Carreta]]="","",MARÍTIMOS[[#This Row],[Placa Carreta]]),"")</f>
        <v/>
      </c>
      <c r="L636" s="44" t="str">
        <f>IFERROR(IF(MARÍTIMOS[[#This Row],[Conductor]]="","",MARÍTIMOS[[#This Row],[Conductor]]),"")</f>
        <v/>
      </c>
      <c r="M636" s="2" t="str">
        <f>IFERROR(IF(MARÍTIMOS[[#This Row],[Licencia]]="","",MARÍTIMOS[[#This Row],[Licencia]]),"")</f>
        <v/>
      </c>
      <c r="N636" s="2" t="str">
        <f>IFERROR(IF(MARÍTIMOS[[#This Row],[Número de Contacto]]="","",MARÍTIMOS[[#This Row],[Número de Contacto]]),"")</f>
        <v/>
      </c>
      <c r="O636" s="10" t="str">
        <f>IFERROR(IF(MARÍTIMOS[[#This Row],[Booking|AWB|CRT]]="","",MARÍTIMOS[[#This Row],[Booking|AWB|CRT]]),"")</f>
        <v/>
      </c>
      <c r="P636" s="2" t="str">
        <f>IFERROR(IF(MARÍTIMOS[[#This Row],[Contenedor]]="","",MARÍTIMOS[[#This Row],[Contenedor]]),"")</f>
        <v/>
      </c>
      <c r="Q636" s="2" t="str">
        <f>IFERROR(IF(MARÍTIMOS[[#This Row],[Puerto de Retiro]]="","",MARÍTIMOS[[#This Row],[Puerto de Retiro]]),"")</f>
        <v/>
      </c>
      <c r="R636" s="2" t="str">
        <f>IFERROR(IF(MARÍTIMOS[[#This Row],[Almacén de Retiro]]="","",MARÍTIMOS[[#This Row],[Almacén de Retiro]]),"")</f>
        <v/>
      </c>
      <c r="S636" s="11" t="str">
        <f>IFERROR(IF(MARÍTIMOS[[#This Row],[Etapa Retiro - Cita]]="","",MARÍTIMOS[[#This Row],[Etapa Retiro - Cita]]),"")</f>
        <v/>
      </c>
      <c r="T636" s="11" t="str">
        <f>IFERROR(IF(MARÍTIMOS[[#This Row],[Etapa Retiro - Llegada]]="","",MARÍTIMOS[[#This Row],[Etapa Retiro - Llegada]]),"")</f>
        <v/>
      </c>
      <c r="U636" s="11" t="str">
        <f>IFERROR(IF(MARÍTIMOS[[#This Row],[Etapa Retiro - Ingreso]]="","",MARÍTIMOS[[#This Row],[Etapa Retiro - Ingreso]]),"")</f>
        <v/>
      </c>
      <c r="V636" s="11" t="str">
        <f>IFERROR(IF(MARÍTIMOS[[#This Row],[Etapa Retiro - Atención]]="","",MARÍTIMOS[[#This Row],[Etapa Retiro - Atención]]),"")</f>
        <v/>
      </c>
      <c r="W636" s="11" t="str">
        <f>IFERROR(IF(MARÍTIMOS[[#This Row],[Etapa Retiro - Atención]]="","",MARÍTIMOS[[#This Row],[Etapa Retiro - Atención]]),"")</f>
        <v/>
      </c>
      <c r="X636" s="11" t="str">
        <f>IFERROR(IF(MARÍTIMOS[[#This Row],[Etapa Retiro - Inicio de Ruta]]="","",MARÍTIMOS[[#This Row],[Etapa Retiro - Inicio de Ruta]]),"")</f>
        <v/>
      </c>
      <c r="Y636" s="11" t="str">
        <f>IFERROR(IF(MARÍTIMOS[[#This Row],[Hora de Posicionamiento]]="","",MARÍTIMOS[[#This Row],[Fecha de Carga]]+MARÍTIMOS[[#This Row],[Hora de Posicionamiento]]),"")</f>
        <v/>
      </c>
      <c r="Z636" s="11" t="str">
        <f>IFERROR(IF(MARÍTIMOS[[#This Row],[Etapa Despacho - Llegada]]="","",MARÍTIMOS[[#This Row],[Etapa Despacho - Llegada]]),"")</f>
        <v/>
      </c>
      <c r="AA636" s="11" t="str">
        <f>IFERROR(IF(MARÍTIMOS[[#This Row],[Etapa Despacho - Registro]]="","",MARÍTIMOS[[#This Row],[Etapa Despacho - Registro]]),"")</f>
        <v/>
      </c>
      <c r="AB636" s="11" t="str">
        <f>IFERROR(IF(MARÍTIMOS[[#This Row],[Inspección Externa]]="","",MARÍTIMOS[[#This Row],[Inspección Externa]]),"")</f>
        <v/>
      </c>
      <c r="AC636" s="11" t="str">
        <f>IFERROR(IF(MARÍTIMOS[[#This Row],[Etapa Despacho - Inicio de Carga]]="","",MARÍTIMOS[[#This Row],[Etapa Despacho - Inicio de Carga]]),"")</f>
        <v/>
      </c>
      <c r="AD636" s="11" t="str">
        <f>IFERROR(IF(MARÍTIMOS[[#This Row],[Etapa Despacho - Mitad de Carga]]="","",MARÍTIMOS[[#This Row],[Etapa Despacho - Mitad de Carga]]),"")</f>
        <v/>
      </c>
      <c r="AE636" s="11" t="str">
        <f>IFERROR(IF(MARÍTIMOS[[#This Row],[Etapa Despacho - Fin de Carga]]="","",MARÍTIMOS[[#This Row],[Etapa Despacho - Fin de Carga]]),"")</f>
        <v/>
      </c>
      <c r="AF636" s="2" t="str">
        <f>IFERROR(IF(MARÍTIMOS[[#This Row],[Puerto de Embarque]]="","",MARÍTIMOS[[#This Row],[Puerto de Embarque]]),"")</f>
        <v/>
      </c>
      <c r="AG636" s="2" t="str">
        <f>IFERROR(IF(MARÍTIMOS[[#This Row],[Almacén de Ingreso]]="","",MARÍTIMOS[[#This Row],[Almacén de Ingreso]]),"")</f>
        <v/>
      </c>
      <c r="AH636" s="11" t="str">
        <f>IFERROR(IF(MARÍTIMOS[[#This Row],[Etapa Ingreso - Cita]]="","",MARÍTIMOS[[#This Row],[Etapa Ingreso - Cita]]),"")</f>
        <v/>
      </c>
      <c r="AI636" s="11" t="str">
        <f>IFERROR(IF(MARÍTIMOS[[#This Row],[Etapa Ingreso - Llegada]]="","",MARÍTIMOS[[#This Row],[Etapa Ingreso - Llegada]]),"")</f>
        <v/>
      </c>
      <c r="AJ636" s="11" t="str">
        <f>IFERROR(IF(MARÍTIMOS[[#This Row],[Etapa Ingreso - Ingeso]]="","",MARÍTIMOS[[#This Row],[Etapa Ingreso - Ingeso]]),"")</f>
        <v/>
      </c>
      <c r="AK636" s="11" t="str">
        <f>IFERROR(IF(MARÍTIMOS[[#This Row],[Etapa Ingreso - Atención]]="","",MARÍTIMOS[[#This Row],[Etapa Ingreso - Atención]]),"")</f>
        <v/>
      </c>
      <c r="AL636" s="11" t="str">
        <f>IFERROR(IF(MARÍTIMOS[[#This Row],[Etapa Ingreso - Salida]]="","",MARÍTIMOS[[#This Row],[Etapa Ingreso - Salida]]),"")</f>
        <v/>
      </c>
      <c r="AM636" s="2" t="str">
        <f>IFERROR(IF(MARÍTIMOS[[#This Row],[FCL]]="","",MARÍTIMOS[[#This Row],[FCL]]),"")</f>
        <v/>
      </c>
      <c r="AN6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6" s="4" t="str" cm="1">
        <f t="array" ref="AO6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6" s="5" t="str">
        <f>IFERROR(OLDBD[[#This Row],[Llegada a packing]]-OLDBD[[#This Row],[Inicio de Ruta]],"")</f>
        <v/>
      </c>
      <c r="AQ636" s="6" t="str">
        <f>IFERROR(OLDBD[[#This Row],[Inicio de Ruta]]-OLDBD[[#This Row],[Salida de almacén de retiro]],"")</f>
        <v/>
      </c>
      <c r="AR6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6" s="8" t="str" cm="1">
        <f t="array" ref="AS6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6" s="9" t="str">
        <f>IFERROR(OLDBD[[#This Row],[Ingreso Packing]]-OLDBD[[#This Row],[Registro en Packing]],"")</f>
        <v/>
      </c>
      <c r="AV636" s="9" t="str">
        <f>IFERROR(OLDBD[[#This Row],[Ingreso Packing]]-OLDBD[[#This Row],[Llegada a packing]],"")</f>
        <v/>
      </c>
      <c r="AW6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6" s="5" t="str">
        <f>IFERROR(OLDBD[[#This Row],[Llegada Almacén de Ingreso]]-OLDBD[[#This Row],[Salida Packing]],"")</f>
        <v/>
      </c>
      <c r="AY636" s="4" t="str" cm="1">
        <f t="array" ref="AY6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6" s="43" t="s">
        <v>173</v>
      </c>
      <c r="BB636" s="47" t="str">
        <f>IFERROR(IF(MARÍTIMOS[[#This Row],[Estatus]]="","",MARÍTIMOS[[#This Row],[Estatus]]),"")</f>
        <v/>
      </c>
      <c r="BC636" s="43"/>
      <c r="BD636" s="46" t="str">
        <f>IFERROR(OLDBD[[#This Row],[Salida de almacén de retiro]]-OLDBD[[#This Row],[Ingreso Almacén de retiro]],"")</f>
        <v/>
      </c>
      <c r="BE636" s="46" t="str">
        <f>IFERROR(OLDBD[[#This Row],[Fin de Carga]]-OLDBD[[#This Row],[Inicio de Carga]],"")</f>
        <v/>
      </c>
    </row>
    <row r="637" spans="1:57" customFormat="1" hidden="1">
      <c r="A637" s="1"/>
      <c r="B637" s="1" t="str">
        <f>IFERROR(IF(MARÍTIMOS[[#This Row],[PP]]="","",MARÍTIMOS[[#This Row],[PP]]),"")</f>
        <v/>
      </c>
      <c r="C637" s="1" t="str">
        <f>IFERROR(IF(MARÍTIMOS[[#This Row],[Sede]]="","",MARÍTIMOS[[#This Row],[Sede]]),"")</f>
        <v/>
      </c>
      <c r="D637" s="1" t="str">
        <f>IFERROR(IF(MARÍTIMOS[[#This Row],[Instruction]]="","",MARÍTIMOS[[#This Row],[Instruction]]),"")</f>
        <v/>
      </c>
      <c r="E637" s="1"/>
      <c r="F637" s="2" t="str">
        <f>IFERROR(IF(MARÍTIMOS[[#This Row],[Transportista]]="","",MARÍTIMOS[[#This Row],[Transportista]]),"")</f>
        <v/>
      </c>
      <c r="G637" s="2" t="str">
        <f>IFERROR(IF(MARÍTIMOS[[#This Row],[Tercero]]="","",MARÍTIMOS[[#This Row],[Tercero]]),"")</f>
        <v/>
      </c>
      <c r="H637" s="2" t="str">
        <f>IFERROR(IF(MARÍTIMOS[[#This Row],[Razón Social]]="","",MARÍTIMOS[[#This Row],[Razón Social]]),"")</f>
        <v/>
      </c>
      <c r="I637" s="2" t="str">
        <f>IFERROR(IF(MARÍTIMOS[[#This Row],[RUC]]="","",MARÍTIMOS[[#This Row],[RUC]]),"")</f>
        <v/>
      </c>
      <c r="J637" s="2" t="str">
        <f>IFERROR(IF(MARÍTIMOS[[#This Row],[Placa Tracto]]="","",MARÍTIMOS[[#This Row],[Placa Tracto]]),"")</f>
        <v/>
      </c>
      <c r="K637" s="2" t="str">
        <f>IFERROR(IF(MARÍTIMOS[[#This Row],[Placa Carreta]]="","",MARÍTIMOS[[#This Row],[Placa Carreta]]),"")</f>
        <v/>
      </c>
      <c r="L637" s="44" t="str">
        <f>IFERROR(IF(MARÍTIMOS[[#This Row],[Conductor]]="","",MARÍTIMOS[[#This Row],[Conductor]]),"")</f>
        <v/>
      </c>
      <c r="M637" s="2" t="str">
        <f>IFERROR(IF(MARÍTIMOS[[#This Row],[Licencia]]="","",MARÍTIMOS[[#This Row],[Licencia]]),"")</f>
        <v/>
      </c>
      <c r="N637" s="2" t="str">
        <f>IFERROR(IF(MARÍTIMOS[[#This Row],[Número de Contacto]]="","",MARÍTIMOS[[#This Row],[Número de Contacto]]),"")</f>
        <v/>
      </c>
      <c r="O637" s="10" t="str">
        <f>IFERROR(IF(MARÍTIMOS[[#This Row],[Booking|AWB|CRT]]="","",MARÍTIMOS[[#This Row],[Booking|AWB|CRT]]),"")</f>
        <v/>
      </c>
      <c r="P637" s="2" t="str">
        <f>IFERROR(IF(MARÍTIMOS[[#This Row],[Contenedor]]="","",MARÍTIMOS[[#This Row],[Contenedor]]),"")</f>
        <v/>
      </c>
      <c r="Q637" s="2" t="str">
        <f>IFERROR(IF(MARÍTIMOS[[#This Row],[Puerto de Retiro]]="","",MARÍTIMOS[[#This Row],[Puerto de Retiro]]),"")</f>
        <v/>
      </c>
      <c r="R637" s="2" t="str">
        <f>IFERROR(IF(MARÍTIMOS[[#This Row],[Almacén de Retiro]]="","",MARÍTIMOS[[#This Row],[Almacén de Retiro]]),"")</f>
        <v/>
      </c>
      <c r="S637" s="11" t="str">
        <f>IFERROR(IF(MARÍTIMOS[[#This Row],[Etapa Retiro - Cita]]="","",MARÍTIMOS[[#This Row],[Etapa Retiro - Cita]]),"")</f>
        <v/>
      </c>
      <c r="T637" s="11" t="str">
        <f>IFERROR(IF(MARÍTIMOS[[#This Row],[Etapa Retiro - Llegada]]="","",MARÍTIMOS[[#This Row],[Etapa Retiro - Llegada]]),"")</f>
        <v/>
      </c>
      <c r="U637" s="11" t="str">
        <f>IFERROR(IF(MARÍTIMOS[[#This Row],[Etapa Retiro - Ingreso]]="","",MARÍTIMOS[[#This Row],[Etapa Retiro - Ingreso]]),"")</f>
        <v/>
      </c>
      <c r="V637" s="11" t="str">
        <f>IFERROR(IF(MARÍTIMOS[[#This Row],[Etapa Retiro - Atención]]="","",MARÍTIMOS[[#This Row],[Etapa Retiro - Atención]]),"")</f>
        <v/>
      </c>
      <c r="W637" s="11" t="str">
        <f>IFERROR(IF(MARÍTIMOS[[#This Row],[Etapa Retiro - Atención]]="","",MARÍTIMOS[[#This Row],[Etapa Retiro - Atención]]),"")</f>
        <v/>
      </c>
      <c r="X637" s="11" t="str">
        <f>IFERROR(IF(MARÍTIMOS[[#This Row],[Etapa Retiro - Inicio de Ruta]]="","",MARÍTIMOS[[#This Row],[Etapa Retiro - Inicio de Ruta]]),"")</f>
        <v/>
      </c>
      <c r="Y637" s="11" t="str">
        <f>IFERROR(IF(MARÍTIMOS[[#This Row],[Hora de Posicionamiento]]="","",MARÍTIMOS[[#This Row],[Fecha de Carga]]+MARÍTIMOS[[#This Row],[Hora de Posicionamiento]]),"")</f>
        <v/>
      </c>
      <c r="Z637" s="11" t="str">
        <f>IFERROR(IF(MARÍTIMOS[[#This Row],[Etapa Despacho - Llegada]]="","",MARÍTIMOS[[#This Row],[Etapa Despacho - Llegada]]),"")</f>
        <v/>
      </c>
      <c r="AA637" s="11" t="str">
        <f>IFERROR(IF(MARÍTIMOS[[#This Row],[Etapa Despacho - Registro]]="","",MARÍTIMOS[[#This Row],[Etapa Despacho - Registro]]),"")</f>
        <v/>
      </c>
      <c r="AB637" s="11" t="str">
        <f>IFERROR(IF(MARÍTIMOS[[#This Row],[Inspección Externa]]="","",MARÍTIMOS[[#This Row],[Inspección Externa]]),"")</f>
        <v/>
      </c>
      <c r="AC637" s="11" t="str">
        <f>IFERROR(IF(MARÍTIMOS[[#This Row],[Etapa Despacho - Inicio de Carga]]="","",MARÍTIMOS[[#This Row],[Etapa Despacho - Inicio de Carga]]),"")</f>
        <v/>
      </c>
      <c r="AD637" s="11" t="str">
        <f>IFERROR(IF(MARÍTIMOS[[#This Row],[Etapa Despacho - Mitad de Carga]]="","",MARÍTIMOS[[#This Row],[Etapa Despacho - Mitad de Carga]]),"")</f>
        <v/>
      </c>
      <c r="AE637" s="11" t="str">
        <f>IFERROR(IF(MARÍTIMOS[[#This Row],[Etapa Despacho - Fin de Carga]]="","",MARÍTIMOS[[#This Row],[Etapa Despacho - Fin de Carga]]),"")</f>
        <v/>
      </c>
      <c r="AF637" s="2" t="str">
        <f>IFERROR(IF(MARÍTIMOS[[#This Row],[Puerto de Embarque]]="","",MARÍTIMOS[[#This Row],[Puerto de Embarque]]),"")</f>
        <v/>
      </c>
      <c r="AG637" s="2" t="str">
        <f>IFERROR(IF(MARÍTIMOS[[#This Row],[Almacén de Ingreso]]="","",MARÍTIMOS[[#This Row],[Almacén de Ingreso]]),"")</f>
        <v/>
      </c>
      <c r="AH637" s="11" t="str">
        <f>IFERROR(IF(MARÍTIMOS[[#This Row],[Etapa Ingreso - Cita]]="","",MARÍTIMOS[[#This Row],[Etapa Ingreso - Cita]]),"")</f>
        <v/>
      </c>
      <c r="AI637" s="11" t="str">
        <f>IFERROR(IF(MARÍTIMOS[[#This Row],[Etapa Ingreso - Llegada]]="","",MARÍTIMOS[[#This Row],[Etapa Ingreso - Llegada]]),"")</f>
        <v/>
      </c>
      <c r="AJ637" s="11" t="str">
        <f>IFERROR(IF(MARÍTIMOS[[#This Row],[Etapa Ingreso - Ingeso]]="","",MARÍTIMOS[[#This Row],[Etapa Ingreso - Ingeso]]),"")</f>
        <v/>
      </c>
      <c r="AK637" s="11" t="str">
        <f>IFERROR(IF(MARÍTIMOS[[#This Row],[Etapa Ingreso - Atención]]="","",MARÍTIMOS[[#This Row],[Etapa Ingreso - Atención]]),"")</f>
        <v/>
      </c>
      <c r="AL637" s="11" t="str">
        <f>IFERROR(IF(MARÍTIMOS[[#This Row],[Etapa Ingreso - Salida]]="","",MARÍTIMOS[[#This Row],[Etapa Ingreso - Salida]]),"")</f>
        <v/>
      </c>
      <c r="AM637" s="2" t="str">
        <f>IFERROR(IF(MARÍTIMOS[[#This Row],[FCL]]="","",MARÍTIMOS[[#This Row],[FCL]]),"")</f>
        <v/>
      </c>
      <c r="AN6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7" s="4" t="str" cm="1">
        <f t="array" ref="AO6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7" s="5" t="str">
        <f>IFERROR(OLDBD[[#This Row],[Llegada a packing]]-OLDBD[[#This Row],[Inicio de Ruta]],"")</f>
        <v/>
      </c>
      <c r="AQ637" s="6" t="str">
        <f>IFERROR(OLDBD[[#This Row],[Inicio de Ruta]]-OLDBD[[#This Row],[Salida de almacén de retiro]],"")</f>
        <v/>
      </c>
      <c r="AR6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7" s="8" t="str" cm="1">
        <f t="array" ref="AS6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7" s="9" t="str">
        <f>IFERROR(OLDBD[[#This Row],[Ingreso Packing]]-OLDBD[[#This Row],[Registro en Packing]],"")</f>
        <v/>
      </c>
      <c r="AV637" s="9" t="str">
        <f>IFERROR(OLDBD[[#This Row],[Ingreso Packing]]-OLDBD[[#This Row],[Llegada a packing]],"")</f>
        <v/>
      </c>
      <c r="AW6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7" s="5" t="str">
        <f>IFERROR(OLDBD[[#This Row],[Llegada Almacén de Ingreso]]-OLDBD[[#This Row],[Salida Packing]],"")</f>
        <v/>
      </c>
      <c r="AY637" s="4" t="str" cm="1">
        <f t="array" ref="AY6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7" s="43" t="s">
        <v>173</v>
      </c>
      <c r="BB637" s="47" t="str">
        <f>IFERROR(IF(MARÍTIMOS[[#This Row],[Estatus]]="","",MARÍTIMOS[[#This Row],[Estatus]]),"")</f>
        <v/>
      </c>
      <c r="BC637" s="43"/>
      <c r="BD637" s="46" t="str">
        <f>IFERROR(OLDBD[[#This Row],[Salida de almacén de retiro]]-OLDBD[[#This Row],[Ingreso Almacén de retiro]],"")</f>
        <v/>
      </c>
      <c r="BE637" s="46" t="str">
        <f>IFERROR(OLDBD[[#This Row],[Fin de Carga]]-OLDBD[[#This Row],[Inicio de Carga]],"")</f>
        <v/>
      </c>
    </row>
    <row r="638" spans="1:57" customFormat="1" hidden="1">
      <c r="A638" s="1"/>
      <c r="B638" s="1" t="str">
        <f>IFERROR(IF(MARÍTIMOS[[#This Row],[PP]]="","",MARÍTIMOS[[#This Row],[PP]]),"")</f>
        <v/>
      </c>
      <c r="C638" s="1" t="str">
        <f>IFERROR(IF(MARÍTIMOS[[#This Row],[Sede]]="","",MARÍTIMOS[[#This Row],[Sede]]),"")</f>
        <v/>
      </c>
      <c r="D638" s="1" t="str">
        <f>IFERROR(IF(MARÍTIMOS[[#This Row],[Instruction]]="","",MARÍTIMOS[[#This Row],[Instruction]]),"")</f>
        <v/>
      </c>
      <c r="E638" s="1"/>
      <c r="F638" s="2" t="str">
        <f>IFERROR(IF(MARÍTIMOS[[#This Row],[Transportista]]="","",MARÍTIMOS[[#This Row],[Transportista]]),"")</f>
        <v/>
      </c>
      <c r="G638" s="2" t="str">
        <f>IFERROR(IF(MARÍTIMOS[[#This Row],[Tercero]]="","",MARÍTIMOS[[#This Row],[Tercero]]),"")</f>
        <v/>
      </c>
      <c r="H638" s="2" t="str">
        <f>IFERROR(IF(MARÍTIMOS[[#This Row],[Razón Social]]="","",MARÍTIMOS[[#This Row],[Razón Social]]),"")</f>
        <v/>
      </c>
      <c r="I638" s="2" t="str">
        <f>IFERROR(IF(MARÍTIMOS[[#This Row],[RUC]]="","",MARÍTIMOS[[#This Row],[RUC]]),"")</f>
        <v/>
      </c>
      <c r="J638" s="2" t="str">
        <f>IFERROR(IF(MARÍTIMOS[[#This Row],[Placa Tracto]]="","",MARÍTIMOS[[#This Row],[Placa Tracto]]),"")</f>
        <v/>
      </c>
      <c r="K638" s="2" t="str">
        <f>IFERROR(IF(MARÍTIMOS[[#This Row],[Placa Carreta]]="","",MARÍTIMOS[[#This Row],[Placa Carreta]]),"")</f>
        <v/>
      </c>
      <c r="L638" s="44" t="str">
        <f>IFERROR(IF(MARÍTIMOS[[#This Row],[Conductor]]="","",MARÍTIMOS[[#This Row],[Conductor]]),"")</f>
        <v/>
      </c>
      <c r="M638" s="2" t="str">
        <f>IFERROR(IF(MARÍTIMOS[[#This Row],[Licencia]]="","",MARÍTIMOS[[#This Row],[Licencia]]),"")</f>
        <v/>
      </c>
      <c r="N638" s="2" t="str">
        <f>IFERROR(IF(MARÍTIMOS[[#This Row],[Número de Contacto]]="","",MARÍTIMOS[[#This Row],[Número de Contacto]]),"")</f>
        <v/>
      </c>
      <c r="O638" s="10" t="str">
        <f>IFERROR(IF(MARÍTIMOS[[#This Row],[Booking|AWB|CRT]]="","",MARÍTIMOS[[#This Row],[Booking|AWB|CRT]]),"")</f>
        <v/>
      </c>
      <c r="P638" s="2" t="str">
        <f>IFERROR(IF(MARÍTIMOS[[#This Row],[Contenedor]]="","",MARÍTIMOS[[#This Row],[Contenedor]]),"")</f>
        <v/>
      </c>
      <c r="Q638" s="2" t="str">
        <f>IFERROR(IF(MARÍTIMOS[[#This Row],[Puerto de Retiro]]="","",MARÍTIMOS[[#This Row],[Puerto de Retiro]]),"")</f>
        <v/>
      </c>
      <c r="R638" s="2" t="str">
        <f>IFERROR(IF(MARÍTIMOS[[#This Row],[Almacén de Retiro]]="","",MARÍTIMOS[[#This Row],[Almacén de Retiro]]),"")</f>
        <v/>
      </c>
      <c r="S638" s="11" t="str">
        <f>IFERROR(IF(MARÍTIMOS[[#This Row],[Etapa Retiro - Cita]]="","",MARÍTIMOS[[#This Row],[Etapa Retiro - Cita]]),"")</f>
        <v/>
      </c>
      <c r="T638" s="11" t="str">
        <f>IFERROR(IF(MARÍTIMOS[[#This Row],[Etapa Retiro - Llegada]]="","",MARÍTIMOS[[#This Row],[Etapa Retiro - Llegada]]),"")</f>
        <v/>
      </c>
      <c r="U638" s="11" t="str">
        <f>IFERROR(IF(MARÍTIMOS[[#This Row],[Etapa Retiro - Ingreso]]="","",MARÍTIMOS[[#This Row],[Etapa Retiro - Ingreso]]),"")</f>
        <v/>
      </c>
      <c r="V638" s="11" t="str">
        <f>IFERROR(IF(MARÍTIMOS[[#This Row],[Etapa Retiro - Atención]]="","",MARÍTIMOS[[#This Row],[Etapa Retiro - Atención]]),"")</f>
        <v/>
      </c>
      <c r="W638" s="11" t="str">
        <f>IFERROR(IF(MARÍTIMOS[[#This Row],[Etapa Retiro - Atención]]="","",MARÍTIMOS[[#This Row],[Etapa Retiro - Atención]]),"")</f>
        <v/>
      </c>
      <c r="X638" s="11" t="str">
        <f>IFERROR(IF(MARÍTIMOS[[#This Row],[Etapa Retiro - Inicio de Ruta]]="","",MARÍTIMOS[[#This Row],[Etapa Retiro - Inicio de Ruta]]),"")</f>
        <v/>
      </c>
      <c r="Y638" s="11" t="str">
        <f>IFERROR(IF(MARÍTIMOS[[#This Row],[Hora de Posicionamiento]]="","",MARÍTIMOS[[#This Row],[Fecha de Carga]]+MARÍTIMOS[[#This Row],[Hora de Posicionamiento]]),"")</f>
        <v/>
      </c>
      <c r="Z638" s="11" t="str">
        <f>IFERROR(IF(MARÍTIMOS[[#This Row],[Etapa Despacho - Llegada]]="","",MARÍTIMOS[[#This Row],[Etapa Despacho - Llegada]]),"")</f>
        <v/>
      </c>
      <c r="AA638" s="11" t="str">
        <f>IFERROR(IF(MARÍTIMOS[[#This Row],[Etapa Despacho - Registro]]="","",MARÍTIMOS[[#This Row],[Etapa Despacho - Registro]]),"")</f>
        <v/>
      </c>
      <c r="AB638" s="11" t="str">
        <f>IFERROR(IF(MARÍTIMOS[[#This Row],[Inspección Externa]]="","",MARÍTIMOS[[#This Row],[Inspección Externa]]),"")</f>
        <v/>
      </c>
      <c r="AC638" s="11" t="str">
        <f>IFERROR(IF(MARÍTIMOS[[#This Row],[Etapa Despacho - Inicio de Carga]]="","",MARÍTIMOS[[#This Row],[Etapa Despacho - Inicio de Carga]]),"")</f>
        <v/>
      </c>
      <c r="AD638" s="11" t="str">
        <f>IFERROR(IF(MARÍTIMOS[[#This Row],[Etapa Despacho - Mitad de Carga]]="","",MARÍTIMOS[[#This Row],[Etapa Despacho - Mitad de Carga]]),"")</f>
        <v/>
      </c>
      <c r="AE638" s="11" t="str">
        <f>IFERROR(IF(MARÍTIMOS[[#This Row],[Etapa Despacho - Fin de Carga]]="","",MARÍTIMOS[[#This Row],[Etapa Despacho - Fin de Carga]]),"")</f>
        <v/>
      </c>
      <c r="AF638" s="2" t="str">
        <f>IFERROR(IF(MARÍTIMOS[[#This Row],[Puerto de Embarque]]="","",MARÍTIMOS[[#This Row],[Puerto de Embarque]]),"")</f>
        <v/>
      </c>
      <c r="AG638" s="2" t="str">
        <f>IFERROR(IF(MARÍTIMOS[[#This Row],[Almacén de Ingreso]]="","",MARÍTIMOS[[#This Row],[Almacén de Ingreso]]),"")</f>
        <v/>
      </c>
      <c r="AH638" s="11" t="str">
        <f>IFERROR(IF(MARÍTIMOS[[#This Row],[Etapa Ingreso - Cita]]="","",MARÍTIMOS[[#This Row],[Etapa Ingreso - Cita]]),"")</f>
        <v/>
      </c>
      <c r="AI638" s="11" t="str">
        <f>IFERROR(IF(MARÍTIMOS[[#This Row],[Etapa Ingreso - Llegada]]="","",MARÍTIMOS[[#This Row],[Etapa Ingreso - Llegada]]),"")</f>
        <v/>
      </c>
      <c r="AJ638" s="11" t="str">
        <f>IFERROR(IF(MARÍTIMOS[[#This Row],[Etapa Ingreso - Ingeso]]="","",MARÍTIMOS[[#This Row],[Etapa Ingreso - Ingeso]]),"")</f>
        <v/>
      </c>
      <c r="AK638" s="11" t="str">
        <f>IFERROR(IF(MARÍTIMOS[[#This Row],[Etapa Ingreso - Atención]]="","",MARÍTIMOS[[#This Row],[Etapa Ingreso - Atención]]),"")</f>
        <v/>
      </c>
      <c r="AL638" s="11" t="str">
        <f>IFERROR(IF(MARÍTIMOS[[#This Row],[Etapa Ingreso - Salida]]="","",MARÍTIMOS[[#This Row],[Etapa Ingreso - Salida]]),"")</f>
        <v/>
      </c>
      <c r="AM638" s="2" t="str">
        <f>IFERROR(IF(MARÍTIMOS[[#This Row],[FCL]]="","",MARÍTIMOS[[#This Row],[FCL]]),"")</f>
        <v/>
      </c>
      <c r="AN6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8" s="4" t="str" cm="1">
        <f t="array" ref="AO6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8" s="5" t="str">
        <f>IFERROR(OLDBD[[#This Row],[Llegada a packing]]-OLDBD[[#This Row],[Inicio de Ruta]],"")</f>
        <v/>
      </c>
      <c r="AQ638" s="6" t="str">
        <f>IFERROR(OLDBD[[#This Row],[Inicio de Ruta]]-OLDBD[[#This Row],[Salida de almacén de retiro]],"")</f>
        <v/>
      </c>
      <c r="AR6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8" s="8" t="str" cm="1">
        <f t="array" ref="AS6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8" s="9" t="str">
        <f>IFERROR(OLDBD[[#This Row],[Ingreso Packing]]-OLDBD[[#This Row],[Registro en Packing]],"")</f>
        <v/>
      </c>
      <c r="AV638" s="9" t="str">
        <f>IFERROR(OLDBD[[#This Row],[Ingreso Packing]]-OLDBD[[#This Row],[Llegada a packing]],"")</f>
        <v/>
      </c>
      <c r="AW6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8" s="5" t="str">
        <f>IFERROR(OLDBD[[#This Row],[Llegada Almacén de Ingreso]]-OLDBD[[#This Row],[Salida Packing]],"")</f>
        <v/>
      </c>
      <c r="AY638" s="4" t="str" cm="1">
        <f t="array" ref="AY6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8" s="43" t="s">
        <v>173</v>
      </c>
      <c r="BB638" s="47" t="str">
        <f>IFERROR(IF(MARÍTIMOS[[#This Row],[Estatus]]="","",MARÍTIMOS[[#This Row],[Estatus]]),"")</f>
        <v/>
      </c>
      <c r="BC638" s="43"/>
      <c r="BD638" s="46" t="str">
        <f>IFERROR(OLDBD[[#This Row],[Salida de almacén de retiro]]-OLDBD[[#This Row],[Ingreso Almacén de retiro]],"")</f>
        <v/>
      </c>
      <c r="BE638" s="46" t="str">
        <f>IFERROR(OLDBD[[#This Row],[Fin de Carga]]-OLDBD[[#This Row],[Inicio de Carga]],"")</f>
        <v/>
      </c>
    </row>
    <row r="639" spans="1:57" customFormat="1" hidden="1">
      <c r="A639" s="1"/>
      <c r="B639" s="1" t="str">
        <f>IFERROR(IF(MARÍTIMOS[[#This Row],[PP]]="","",MARÍTIMOS[[#This Row],[PP]]),"")</f>
        <v/>
      </c>
      <c r="C639" s="1" t="str">
        <f>IFERROR(IF(MARÍTIMOS[[#This Row],[Sede]]="","",MARÍTIMOS[[#This Row],[Sede]]),"")</f>
        <v/>
      </c>
      <c r="D639" s="1" t="str">
        <f>IFERROR(IF(MARÍTIMOS[[#This Row],[Instruction]]="","",MARÍTIMOS[[#This Row],[Instruction]]),"")</f>
        <v/>
      </c>
      <c r="E639" s="1"/>
      <c r="F639" s="2" t="str">
        <f>IFERROR(IF(MARÍTIMOS[[#This Row],[Transportista]]="","",MARÍTIMOS[[#This Row],[Transportista]]),"")</f>
        <v/>
      </c>
      <c r="G639" s="2" t="str">
        <f>IFERROR(IF(MARÍTIMOS[[#This Row],[Tercero]]="","",MARÍTIMOS[[#This Row],[Tercero]]),"")</f>
        <v/>
      </c>
      <c r="H639" s="2" t="str">
        <f>IFERROR(IF(MARÍTIMOS[[#This Row],[Razón Social]]="","",MARÍTIMOS[[#This Row],[Razón Social]]),"")</f>
        <v/>
      </c>
      <c r="I639" s="2" t="str">
        <f>IFERROR(IF(MARÍTIMOS[[#This Row],[RUC]]="","",MARÍTIMOS[[#This Row],[RUC]]),"")</f>
        <v/>
      </c>
      <c r="J639" s="2" t="str">
        <f>IFERROR(IF(MARÍTIMOS[[#This Row],[Placa Tracto]]="","",MARÍTIMOS[[#This Row],[Placa Tracto]]),"")</f>
        <v/>
      </c>
      <c r="K639" s="2" t="str">
        <f>IFERROR(IF(MARÍTIMOS[[#This Row],[Placa Carreta]]="","",MARÍTIMOS[[#This Row],[Placa Carreta]]),"")</f>
        <v/>
      </c>
      <c r="L639" s="44" t="str">
        <f>IFERROR(IF(MARÍTIMOS[[#This Row],[Conductor]]="","",MARÍTIMOS[[#This Row],[Conductor]]),"")</f>
        <v/>
      </c>
      <c r="M639" s="2" t="str">
        <f>IFERROR(IF(MARÍTIMOS[[#This Row],[Licencia]]="","",MARÍTIMOS[[#This Row],[Licencia]]),"")</f>
        <v/>
      </c>
      <c r="N639" s="2" t="str">
        <f>IFERROR(IF(MARÍTIMOS[[#This Row],[Número de Contacto]]="","",MARÍTIMOS[[#This Row],[Número de Contacto]]),"")</f>
        <v/>
      </c>
      <c r="O639" s="10" t="str">
        <f>IFERROR(IF(MARÍTIMOS[[#This Row],[Booking|AWB|CRT]]="","",MARÍTIMOS[[#This Row],[Booking|AWB|CRT]]),"")</f>
        <v/>
      </c>
      <c r="P639" s="2" t="str">
        <f>IFERROR(IF(MARÍTIMOS[[#This Row],[Contenedor]]="","",MARÍTIMOS[[#This Row],[Contenedor]]),"")</f>
        <v/>
      </c>
      <c r="Q639" s="2" t="str">
        <f>IFERROR(IF(MARÍTIMOS[[#This Row],[Puerto de Retiro]]="","",MARÍTIMOS[[#This Row],[Puerto de Retiro]]),"")</f>
        <v/>
      </c>
      <c r="R639" s="2" t="str">
        <f>IFERROR(IF(MARÍTIMOS[[#This Row],[Almacén de Retiro]]="","",MARÍTIMOS[[#This Row],[Almacén de Retiro]]),"")</f>
        <v/>
      </c>
      <c r="S639" s="11" t="str">
        <f>IFERROR(IF(MARÍTIMOS[[#This Row],[Etapa Retiro - Cita]]="","",MARÍTIMOS[[#This Row],[Etapa Retiro - Cita]]),"")</f>
        <v/>
      </c>
      <c r="T639" s="11" t="str">
        <f>IFERROR(IF(MARÍTIMOS[[#This Row],[Etapa Retiro - Llegada]]="","",MARÍTIMOS[[#This Row],[Etapa Retiro - Llegada]]),"")</f>
        <v/>
      </c>
      <c r="U639" s="11" t="str">
        <f>IFERROR(IF(MARÍTIMOS[[#This Row],[Etapa Retiro - Ingreso]]="","",MARÍTIMOS[[#This Row],[Etapa Retiro - Ingreso]]),"")</f>
        <v/>
      </c>
      <c r="V639" s="11" t="str">
        <f>IFERROR(IF(MARÍTIMOS[[#This Row],[Etapa Retiro - Atención]]="","",MARÍTIMOS[[#This Row],[Etapa Retiro - Atención]]),"")</f>
        <v/>
      </c>
      <c r="W639" s="11" t="str">
        <f>IFERROR(IF(MARÍTIMOS[[#This Row],[Etapa Retiro - Atención]]="","",MARÍTIMOS[[#This Row],[Etapa Retiro - Atención]]),"")</f>
        <v/>
      </c>
      <c r="X639" s="11" t="str">
        <f>IFERROR(IF(MARÍTIMOS[[#This Row],[Etapa Retiro - Inicio de Ruta]]="","",MARÍTIMOS[[#This Row],[Etapa Retiro - Inicio de Ruta]]),"")</f>
        <v/>
      </c>
      <c r="Y639" s="11" t="str">
        <f>IFERROR(IF(MARÍTIMOS[[#This Row],[Hora de Posicionamiento]]="","",MARÍTIMOS[[#This Row],[Fecha de Carga]]+MARÍTIMOS[[#This Row],[Hora de Posicionamiento]]),"")</f>
        <v/>
      </c>
      <c r="Z639" s="11" t="str">
        <f>IFERROR(IF(MARÍTIMOS[[#This Row],[Etapa Despacho - Llegada]]="","",MARÍTIMOS[[#This Row],[Etapa Despacho - Llegada]]),"")</f>
        <v/>
      </c>
      <c r="AA639" s="11" t="str">
        <f>IFERROR(IF(MARÍTIMOS[[#This Row],[Etapa Despacho - Registro]]="","",MARÍTIMOS[[#This Row],[Etapa Despacho - Registro]]),"")</f>
        <v/>
      </c>
      <c r="AB639" s="11" t="str">
        <f>IFERROR(IF(MARÍTIMOS[[#This Row],[Inspección Externa]]="","",MARÍTIMOS[[#This Row],[Inspección Externa]]),"")</f>
        <v/>
      </c>
      <c r="AC639" s="11" t="str">
        <f>IFERROR(IF(MARÍTIMOS[[#This Row],[Etapa Despacho - Inicio de Carga]]="","",MARÍTIMOS[[#This Row],[Etapa Despacho - Inicio de Carga]]),"")</f>
        <v/>
      </c>
      <c r="AD639" s="11" t="str">
        <f>IFERROR(IF(MARÍTIMOS[[#This Row],[Etapa Despacho - Mitad de Carga]]="","",MARÍTIMOS[[#This Row],[Etapa Despacho - Mitad de Carga]]),"")</f>
        <v/>
      </c>
      <c r="AE639" s="11" t="str">
        <f>IFERROR(IF(MARÍTIMOS[[#This Row],[Etapa Despacho - Fin de Carga]]="","",MARÍTIMOS[[#This Row],[Etapa Despacho - Fin de Carga]]),"")</f>
        <v/>
      </c>
      <c r="AF639" s="2" t="str">
        <f>IFERROR(IF(MARÍTIMOS[[#This Row],[Puerto de Embarque]]="","",MARÍTIMOS[[#This Row],[Puerto de Embarque]]),"")</f>
        <v/>
      </c>
      <c r="AG639" s="2" t="str">
        <f>IFERROR(IF(MARÍTIMOS[[#This Row],[Almacén de Ingreso]]="","",MARÍTIMOS[[#This Row],[Almacén de Ingreso]]),"")</f>
        <v/>
      </c>
      <c r="AH639" s="11" t="str">
        <f>IFERROR(IF(MARÍTIMOS[[#This Row],[Etapa Ingreso - Cita]]="","",MARÍTIMOS[[#This Row],[Etapa Ingreso - Cita]]),"")</f>
        <v/>
      </c>
      <c r="AI639" s="11" t="str">
        <f>IFERROR(IF(MARÍTIMOS[[#This Row],[Etapa Ingreso - Llegada]]="","",MARÍTIMOS[[#This Row],[Etapa Ingreso - Llegada]]),"")</f>
        <v/>
      </c>
      <c r="AJ639" s="11" t="str">
        <f>IFERROR(IF(MARÍTIMOS[[#This Row],[Etapa Ingreso - Ingeso]]="","",MARÍTIMOS[[#This Row],[Etapa Ingreso - Ingeso]]),"")</f>
        <v/>
      </c>
      <c r="AK639" s="11" t="str">
        <f>IFERROR(IF(MARÍTIMOS[[#This Row],[Etapa Ingreso - Atención]]="","",MARÍTIMOS[[#This Row],[Etapa Ingreso - Atención]]),"")</f>
        <v/>
      </c>
      <c r="AL639" s="11" t="str">
        <f>IFERROR(IF(MARÍTIMOS[[#This Row],[Etapa Ingreso - Salida]]="","",MARÍTIMOS[[#This Row],[Etapa Ingreso - Salida]]),"")</f>
        <v/>
      </c>
      <c r="AM639" s="2" t="str">
        <f>IFERROR(IF(MARÍTIMOS[[#This Row],[FCL]]="","",MARÍTIMOS[[#This Row],[FCL]]),"")</f>
        <v/>
      </c>
      <c r="AN6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39" s="4" t="str" cm="1">
        <f t="array" ref="AO6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39" s="5" t="str">
        <f>IFERROR(OLDBD[[#This Row],[Llegada a packing]]-OLDBD[[#This Row],[Inicio de Ruta]],"")</f>
        <v/>
      </c>
      <c r="AQ639" s="6" t="str">
        <f>IFERROR(OLDBD[[#This Row],[Inicio de Ruta]]-OLDBD[[#This Row],[Salida de almacén de retiro]],"")</f>
        <v/>
      </c>
      <c r="AR6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39" s="8" t="str" cm="1">
        <f t="array" ref="AS6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39" s="9" t="str">
        <f>IFERROR(OLDBD[[#This Row],[Ingreso Packing]]-OLDBD[[#This Row],[Registro en Packing]],"")</f>
        <v/>
      </c>
      <c r="AV639" s="9" t="str">
        <f>IFERROR(OLDBD[[#This Row],[Ingreso Packing]]-OLDBD[[#This Row],[Llegada a packing]],"")</f>
        <v/>
      </c>
      <c r="AW6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39" s="5" t="str">
        <f>IFERROR(OLDBD[[#This Row],[Llegada Almacén de Ingreso]]-OLDBD[[#This Row],[Salida Packing]],"")</f>
        <v/>
      </c>
      <c r="AY639" s="4" t="str" cm="1">
        <f t="array" ref="AY6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39" s="43" t="s">
        <v>173</v>
      </c>
      <c r="BB639" s="47" t="str">
        <f>IFERROR(IF(MARÍTIMOS[[#This Row],[Estatus]]="","",MARÍTIMOS[[#This Row],[Estatus]]),"")</f>
        <v/>
      </c>
      <c r="BC639" s="43"/>
      <c r="BD639" s="46" t="str">
        <f>IFERROR(OLDBD[[#This Row],[Salida de almacén de retiro]]-OLDBD[[#This Row],[Ingreso Almacén de retiro]],"")</f>
        <v/>
      </c>
      <c r="BE639" s="46" t="str">
        <f>IFERROR(OLDBD[[#This Row],[Fin de Carga]]-OLDBD[[#This Row],[Inicio de Carga]],"")</f>
        <v/>
      </c>
    </row>
    <row r="640" spans="1:57" customFormat="1" hidden="1">
      <c r="A640" s="1"/>
      <c r="B640" s="1" t="str">
        <f>IFERROR(IF(MARÍTIMOS[[#This Row],[PP]]="","",MARÍTIMOS[[#This Row],[PP]]),"")</f>
        <v/>
      </c>
      <c r="C640" s="1" t="str">
        <f>IFERROR(IF(MARÍTIMOS[[#This Row],[Sede]]="","",MARÍTIMOS[[#This Row],[Sede]]),"")</f>
        <v/>
      </c>
      <c r="D640" s="1" t="str">
        <f>IFERROR(IF(MARÍTIMOS[[#This Row],[Instruction]]="","",MARÍTIMOS[[#This Row],[Instruction]]),"")</f>
        <v/>
      </c>
      <c r="E640" s="1"/>
      <c r="F640" s="2" t="str">
        <f>IFERROR(IF(MARÍTIMOS[[#This Row],[Transportista]]="","",MARÍTIMOS[[#This Row],[Transportista]]),"")</f>
        <v/>
      </c>
      <c r="G640" s="2" t="str">
        <f>IFERROR(IF(MARÍTIMOS[[#This Row],[Tercero]]="","",MARÍTIMOS[[#This Row],[Tercero]]),"")</f>
        <v/>
      </c>
      <c r="H640" s="2" t="str">
        <f>IFERROR(IF(MARÍTIMOS[[#This Row],[Razón Social]]="","",MARÍTIMOS[[#This Row],[Razón Social]]),"")</f>
        <v/>
      </c>
      <c r="I640" s="2" t="str">
        <f>IFERROR(IF(MARÍTIMOS[[#This Row],[RUC]]="","",MARÍTIMOS[[#This Row],[RUC]]),"")</f>
        <v/>
      </c>
      <c r="J640" s="2" t="str">
        <f>IFERROR(IF(MARÍTIMOS[[#This Row],[Placa Tracto]]="","",MARÍTIMOS[[#This Row],[Placa Tracto]]),"")</f>
        <v/>
      </c>
      <c r="K640" s="2" t="str">
        <f>IFERROR(IF(MARÍTIMOS[[#This Row],[Placa Carreta]]="","",MARÍTIMOS[[#This Row],[Placa Carreta]]),"")</f>
        <v/>
      </c>
      <c r="L640" s="44" t="str">
        <f>IFERROR(IF(MARÍTIMOS[[#This Row],[Conductor]]="","",MARÍTIMOS[[#This Row],[Conductor]]),"")</f>
        <v/>
      </c>
      <c r="M640" s="2" t="str">
        <f>IFERROR(IF(MARÍTIMOS[[#This Row],[Licencia]]="","",MARÍTIMOS[[#This Row],[Licencia]]),"")</f>
        <v/>
      </c>
      <c r="N640" s="2" t="str">
        <f>IFERROR(IF(MARÍTIMOS[[#This Row],[Número de Contacto]]="","",MARÍTIMOS[[#This Row],[Número de Contacto]]),"")</f>
        <v/>
      </c>
      <c r="O640" s="10" t="str">
        <f>IFERROR(IF(MARÍTIMOS[[#This Row],[Booking|AWB|CRT]]="","",MARÍTIMOS[[#This Row],[Booking|AWB|CRT]]),"")</f>
        <v/>
      </c>
      <c r="P640" s="2" t="str">
        <f>IFERROR(IF(MARÍTIMOS[[#This Row],[Contenedor]]="","",MARÍTIMOS[[#This Row],[Contenedor]]),"")</f>
        <v/>
      </c>
      <c r="Q640" s="2" t="str">
        <f>IFERROR(IF(MARÍTIMOS[[#This Row],[Puerto de Retiro]]="","",MARÍTIMOS[[#This Row],[Puerto de Retiro]]),"")</f>
        <v/>
      </c>
      <c r="R640" s="2" t="str">
        <f>IFERROR(IF(MARÍTIMOS[[#This Row],[Almacén de Retiro]]="","",MARÍTIMOS[[#This Row],[Almacén de Retiro]]),"")</f>
        <v/>
      </c>
      <c r="S640" s="11" t="str">
        <f>IFERROR(IF(MARÍTIMOS[[#This Row],[Etapa Retiro - Cita]]="","",MARÍTIMOS[[#This Row],[Etapa Retiro - Cita]]),"")</f>
        <v/>
      </c>
      <c r="T640" s="11" t="str">
        <f>IFERROR(IF(MARÍTIMOS[[#This Row],[Etapa Retiro - Llegada]]="","",MARÍTIMOS[[#This Row],[Etapa Retiro - Llegada]]),"")</f>
        <v/>
      </c>
      <c r="U640" s="11" t="str">
        <f>IFERROR(IF(MARÍTIMOS[[#This Row],[Etapa Retiro - Ingreso]]="","",MARÍTIMOS[[#This Row],[Etapa Retiro - Ingreso]]),"")</f>
        <v/>
      </c>
      <c r="V640" s="11" t="str">
        <f>IFERROR(IF(MARÍTIMOS[[#This Row],[Etapa Retiro - Atención]]="","",MARÍTIMOS[[#This Row],[Etapa Retiro - Atención]]),"")</f>
        <v/>
      </c>
      <c r="W640" s="11" t="str">
        <f>IFERROR(IF(MARÍTIMOS[[#This Row],[Etapa Retiro - Atención]]="","",MARÍTIMOS[[#This Row],[Etapa Retiro - Atención]]),"")</f>
        <v/>
      </c>
      <c r="X640" s="11" t="str">
        <f>IFERROR(IF(MARÍTIMOS[[#This Row],[Etapa Retiro - Inicio de Ruta]]="","",MARÍTIMOS[[#This Row],[Etapa Retiro - Inicio de Ruta]]),"")</f>
        <v/>
      </c>
      <c r="Y640" s="11" t="str">
        <f>IFERROR(IF(MARÍTIMOS[[#This Row],[Hora de Posicionamiento]]="","",MARÍTIMOS[[#This Row],[Fecha de Carga]]+MARÍTIMOS[[#This Row],[Hora de Posicionamiento]]),"")</f>
        <v/>
      </c>
      <c r="Z640" s="11" t="str">
        <f>IFERROR(IF(MARÍTIMOS[[#This Row],[Etapa Despacho - Llegada]]="","",MARÍTIMOS[[#This Row],[Etapa Despacho - Llegada]]),"")</f>
        <v/>
      </c>
      <c r="AA640" s="11" t="str">
        <f>IFERROR(IF(MARÍTIMOS[[#This Row],[Etapa Despacho - Registro]]="","",MARÍTIMOS[[#This Row],[Etapa Despacho - Registro]]),"")</f>
        <v/>
      </c>
      <c r="AB640" s="11" t="str">
        <f>IFERROR(IF(MARÍTIMOS[[#This Row],[Inspección Externa]]="","",MARÍTIMOS[[#This Row],[Inspección Externa]]),"")</f>
        <v/>
      </c>
      <c r="AC640" s="11" t="str">
        <f>IFERROR(IF(MARÍTIMOS[[#This Row],[Etapa Despacho - Inicio de Carga]]="","",MARÍTIMOS[[#This Row],[Etapa Despacho - Inicio de Carga]]),"")</f>
        <v/>
      </c>
      <c r="AD640" s="11" t="str">
        <f>IFERROR(IF(MARÍTIMOS[[#This Row],[Etapa Despacho - Mitad de Carga]]="","",MARÍTIMOS[[#This Row],[Etapa Despacho - Mitad de Carga]]),"")</f>
        <v/>
      </c>
      <c r="AE640" s="11" t="str">
        <f>IFERROR(IF(MARÍTIMOS[[#This Row],[Etapa Despacho - Fin de Carga]]="","",MARÍTIMOS[[#This Row],[Etapa Despacho - Fin de Carga]]),"")</f>
        <v/>
      </c>
      <c r="AF640" s="2" t="str">
        <f>IFERROR(IF(MARÍTIMOS[[#This Row],[Puerto de Embarque]]="","",MARÍTIMOS[[#This Row],[Puerto de Embarque]]),"")</f>
        <v/>
      </c>
      <c r="AG640" s="2" t="str">
        <f>IFERROR(IF(MARÍTIMOS[[#This Row],[Almacén de Ingreso]]="","",MARÍTIMOS[[#This Row],[Almacén de Ingreso]]),"")</f>
        <v/>
      </c>
      <c r="AH640" s="11" t="str">
        <f>IFERROR(IF(MARÍTIMOS[[#This Row],[Etapa Ingreso - Cita]]="","",MARÍTIMOS[[#This Row],[Etapa Ingreso - Cita]]),"")</f>
        <v/>
      </c>
      <c r="AI640" s="11" t="str">
        <f>IFERROR(IF(MARÍTIMOS[[#This Row],[Etapa Ingreso - Llegada]]="","",MARÍTIMOS[[#This Row],[Etapa Ingreso - Llegada]]),"")</f>
        <v/>
      </c>
      <c r="AJ640" s="11" t="str">
        <f>IFERROR(IF(MARÍTIMOS[[#This Row],[Etapa Ingreso - Ingeso]]="","",MARÍTIMOS[[#This Row],[Etapa Ingreso - Ingeso]]),"")</f>
        <v/>
      </c>
      <c r="AK640" s="11" t="str">
        <f>IFERROR(IF(MARÍTIMOS[[#This Row],[Etapa Ingreso - Atención]]="","",MARÍTIMOS[[#This Row],[Etapa Ingreso - Atención]]),"")</f>
        <v/>
      </c>
      <c r="AL640" s="11" t="str">
        <f>IFERROR(IF(MARÍTIMOS[[#This Row],[Etapa Ingreso - Salida]]="","",MARÍTIMOS[[#This Row],[Etapa Ingreso - Salida]]),"")</f>
        <v/>
      </c>
      <c r="AM640" s="2" t="str">
        <f>IFERROR(IF(MARÍTIMOS[[#This Row],[FCL]]="","",MARÍTIMOS[[#This Row],[FCL]]),"")</f>
        <v/>
      </c>
      <c r="AN6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0" s="4" t="str" cm="1">
        <f t="array" ref="AO6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0" s="5" t="str">
        <f>IFERROR(OLDBD[[#This Row],[Llegada a packing]]-OLDBD[[#This Row],[Inicio de Ruta]],"")</f>
        <v/>
      </c>
      <c r="AQ640" s="6" t="str">
        <f>IFERROR(OLDBD[[#This Row],[Inicio de Ruta]]-OLDBD[[#This Row],[Salida de almacén de retiro]],"")</f>
        <v/>
      </c>
      <c r="AR6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0" s="8" t="str" cm="1">
        <f t="array" ref="AS6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0" s="9" t="str">
        <f>IFERROR(OLDBD[[#This Row],[Ingreso Packing]]-OLDBD[[#This Row],[Registro en Packing]],"")</f>
        <v/>
      </c>
      <c r="AV640" s="9" t="str">
        <f>IFERROR(OLDBD[[#This Row],[Ingreso Packing]]-OLDBD[[#This Row],[Llegada a packing]],"")</f>
        <v/>
      </c>
      <c r="AW6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0" s="5" t="str">
        <f>IFERROR(OLDBD[[#This Row],[Llegada Almacén de Ingreso]]-OLDBD[[#This Row],[Salida Packing]],"")</f>
        <v/>
      </c>
      <c r="AY640" s="4" t="str" cm="1">
        <f t="array" ref="AY6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0" s="43" t="s">
        <v>173</v>
      </c>
      <c r="BB640" s="47" t="str">
        <f>IFERROR(IF(MARÍTIMOS[[#This Row],[Estatus]]="","",MARÍTIMOS[[#This Row],[Estatus]]),"")</f>
        <v/>
      </c>
      <c r="BC640" s="43"/>
      <c r="BD640" s="46" t="str">
        <f>IFERROR(OLDBD[[#This Row],[Salida de almacén de retiro]]-OLDBD[[#This Row],[Ingreso Almacén de retiro]],"")</f>
        <v/>
      </c>
      <c r="BE640" s="46" t="str">
        <f>IFERROR(OLDBD[[#This Row],[Fin de Carga]]-OLDBD[[#This Row],[Inicio de Carga]],"")</f>
        <v/>
      </c>
    </row>
    <row r="641" spans="1:57" customFormat="1" hidden="1">
      <c r="A641" s="1"/>
      <c r="B641" s="1" t="str">
        <f>IFERROR(IF(MARÍTIMOS[[#This Row],[PP]]="","",MARÍTIMOS[[#This Row],[PP]]),"")</f>
        <v/>
      </c>
      <c r="C641" s="1" t="str">
        <f>IFERROR(IF(MARÍTIMOS[[#This Row],[Sede]]="","",MARÍTIMOS[[#This Row],[Sede]]),"")</f>
        <v/>
      </c>
      <c r="D641" s="1" t="str">
        <f>IFERROR(IF(MARÍTIMOS[[#This Row],[Instruction]]="","",MARÍTIMOS[[#This Row],[Instruction]]),"")</f>
        <v/>
      </c>
      <c r="E641" s="1"/>
      <c r="F641" s="2" t="str">
        <f>IFERROR(IF(MARÍTIMOS[[#This Row],[Transportista]]="","",MARÍTIMOS[[#This Row],[Transportista]]),"")</f>
        <v/>
      </c>
      <c r="G641" s="2" t="str">
        <f>IFERROR(IF(MARÍTIMOS[[#This Row],[Tercero]]="","",MARÍTIMOS[[#This Row],[Tercero]]),"")</f>
        <v/>
      </c>
      <c r="H641" s="2" t="str">
        <f>IFERROR(IF(MARÍTIMOS[[#This Row],[Razón Social]]="","",MARÍTIMOS[[#This Row],[Razón Social]]),"")</f>
        <v/>
      </c>
      <c r="I641" s="2" t="str">
        <f>IFERROR(IF(MARÍTIMOS[[#This Row],[RUC]]="","",MARÍTIMOS[[#This Row],[RUC]]),"")</f>
        <v/>
      </c>
      <c r="J641" s="2" t="str">
        <f>IFERROR(IF(MARÍTIMOS[[#This Row],[Placa Tracto]]="","",MARÍTIMOS[[#This Row],[Placa Tracto]]),"")</f>
        <v/>
      </c>
      <c r="K641" s="2" t="str">
        <f>IFERROR(IF(MARÍTIMOS[[#This Row],[Placa Carreta]]="","",MARÍTIMOS[[#This Row],[Placa Carreta]]),"")</f>
        <v/>
      </c>
      <c r="L641" s="44" t="str">
        <f>IFERROR(IF(MARÍTIMOS[[#This Row],[Conductor]]="","",MARÍTIMOS[[#This Row],[Conductor]]),"")</f>
        <v/>
      </c>
      <c r="M641" s="2" t="str">
        <f>IFERROR(IF(MARÍTIMOS[[#This Row],[Licencia]]="","",MARÍTIMOS[[#This Row],[Licencia]]),"")</f>
        <v/>
      </c>
      <c r="N641" s="2" t="str">
        <f>IFERROR(IF(MARÍTIMOS[[#This Row],[Número de Contacto]]="","",MARÍTIMOS[[#This Row],[Número de Contacto]]),"")</f>
        <v/>
      </c>
      <c r="O641" s="10" t="str">
        <f>IFERROR(IF(MARÍTIMOS[[#This Row],[Booking|AWB|CRT]]="","",MARÍTIMOS[[#This Row],[Booking|AWB|CRT]]),"")</f>
        <v/>
      </c>
      <c r="P641" s="2" t="str">
        <f>IFERROR(IF(MARÍTIMOS[[#This Row],[Contenedor]]="","",MARÍTIMOS[[#This Row],[Contenedor]]),"")</f>
        <v/>
      </c>
      <c r="Q641" s="2" t="str">
        <f>IFERROR(IF(MARÍTIMOS[[#This Row],[Puerto de Retiro]]="","",MARÍTIMOS[[#This Row],[Puerto de Retiro]]),"")</f>
        <v/>
      </c>
      <c r="R641" s="2" t="str">
        <f>IFERROR(IF(MARÍTIMOS[[#This Row],[Almacén de Retiro]]="","",MARÍTIMOS[[#This Row],[Almacén de Retiro]]),"")</f>
        <v/>
      </c>
      <c r="S641" s="11" t="str">
        <f>IFERROR(IF(MARÍTIMOS[[#This Row],[Etapa Retiro - Cita]]="","",MARÍTIMOS[[#This Row],[Etapa Retiro - Cita]]),"")</f>
        <v/>
      </c>
      <c r="T641" s="11" t="str">
        <f>IFERROR(IF(MARÍTIMOS[[#This Row],[Etapa Retiro - Llegada]]="","",MARÍTIMOS[[#This Row],[Etapa Retiro - Llegada]]),"")</f>
        <v/>
      </c>
      <c r="U641" s="11" t="str">
        <f>IFERROR(IF(MARÍTIMOS[[#This Row],[Etapa Retiro - Ingreso]]="","",MARÍTIMOS[[#This Row],[Etapa Retiro - Ingreso]]),"")</f>
        <v/>
      </c>
      <c r="V641" s="11" t="str">
        <f>IFERROR(IF(MARÍTIMOS[[#This Row],[Etapa Retiro - Atención]]="","",MARÍTIMOS[[#This Row],[Etapa Retiro - Atención]]),"")</f>
        <v/>
      </c>
      <c r="W641" s="11" t="str">
        <f>IFERROR(IF(MARÍTIMOS[[#This Row],[Etapa Retiro - Atención]]="","",MARÍTIMOS[[#This Row],[Etapa Retiro - Atención]]),"")</f>
        <v/>
      </c>
      <c r="X641" s="11" t="str">
        <f>IFERROR(IF(MARÍTIMOS[[#This Row],[Etapa Retiro - Inicio de Ruta]]="","",MARÍTIMOS[[#This Row],[Etapa Retiro - Inicio de Ruta]]),"")</f>
        <v/>
      </c>
      <c r="Y641" s="11" t="str">
        <f>IFERROR(IF(MARÍTIMOS[[#This Row],[Hora de Posicionamiento]]="","",MARÍTIMOS[[#This Row],[Fecha de Carga]]+MARÍTIMOS[[#This Row],[Hora de Posicionamiento]]),"")</f>
        <v/>
      </c>
      <c r="Z641" s="11" t="str">
        <f>IFERROR(IF(MARÍTIMOS[[#This Row],[Etapa Despacho - Llegada]]="","",MARÍTIMOS[[#This Row],[Etapa Despacho - Llegada]]),"")</f>
        <v/>
      </c>
      <c r="AA641" s="11" t="str">
        <f>IFERROR(IF(MARÍTIMOS[[#This Row],[Etapa Despacho - Registro]]="","",MARÍTIMOS[[#This Row],[Etapa Despacho - Registro]]),"")</f>
        <v/>
      </c>
      <c r="AB641" s="11" t="str">
        <f>IFERROR(IF(MARÍTIMOS[[#This Row],[Inspección Externa]]="","",MARÍTIMOS[[#This Row],[Inspección Externa]]),"")</f>
        <v/>
      </c>
      <c r="AC641" s="11" t="str">
        <f>IFERROR(IF(MARÍTIMOS[[#This Row],[Etapa Despacho - Inicio de Carga]]="","",MARÍTIMOS[[#This Row],[Etapa Despacho - Inicio de Carga]]),"")</f>
        <v/>
      </c>
      <c r="AD641" s="11" t="str">
        <f>IFERROR(IF(MARÍTIMOS[[#This Row],[Etapa Despacho - Mitad de Carga]]="","",MARÍTIMOS[[#This Row],[Etapa Despacho - Mitad de Carga]]),"")</f>
        <v/>
      </c>
      <c r="AE641" s="11" t="str">
        <f>IFERROR(IF(MARÍTIMOS[[#This Row],[Etapa Despacho - Fin de Carga]]="","",MARÍTIMOS[[#This Row],[Etapa Despacho - Fin de Carga]]),"")</f>
        <v/>
      </c>
      <c r="AF641" s="2" t="str">
        <f>IFERROR(IF(MARÍTIMOS[[#This Row],[Puerto de Embarque]]="","",MARÍTIMOS[[#This Row],[Puerto de Embarque]]),"")</f>
        <v/>
      </c>
      <c r="AG641" s="2" t="str">
        <f>IFERROR(IF(MARÍTIMOS[[#This Row],[Almacén de Ingreso]]="","",MARÍTIMOS[[#This Row],[Almacén de Ingreso]]),"")</f>
        <v/>
      </c>
      <c r="AH641" s="11" t="str">
        <f>IFERROR(IF(MARÍTIMOS[[#This Row],[Etapa Ingreso - Cita]]="","",MARÍTIMOS[[#This Row],[Etapa Ingreso - Cita]]),"")</f>
        <v/>
      </c>
      <c r="AI641" s="11" t="str">
        <f>IFERROR(IF(MARÍTIMOS[[#This Row],[Etapa Ingreso - Llegada]]="","",MARÍTIMOS[[#This Row],[Etapa Ingreso - Llegada]]),"")</f>
        <v/>
      </c>
      <c r="AJ641" s="11" t="str">
        <f>IFERROR(IF(MARÍTIMOS[[#This Row],[Etapa Ingreso - Ingeso]]="","",MARÍTIMOS[[#This Row],[Etapa Ingreso - Ingeso]]),"")</f>
        <v/>
      </c>
      <c r="AK641" s="11" t="str">
        <f>IFERROR(IF(MARÍTIMOS[[#This Row],[Etapa Ingreso - Atención]]="","",MARÍTIMOS[[#This Row],[Etapa Ingreso - Atención]]),"")</f>
        <v/>
      </c>
      <c r="AL641" s="11" t="str">
        <f>IFERROR(IF(MARÍTIMOS[[#This Row],[Etapa Ingreso - Salida]]="","",MARÍTIMOS[[#This Row],[Etapa Ingreso - Salida]]),"")</f>
        <v/>
      </c>
      <c r="AM641" s="2" t="str">
        <f>IFERROR(IF(MARÍTIMOS[[#This Row],[FCL]]="","",MARÍTIMOS[[#This Row],[FCL]]),"")</f>
        <v/>
      </c>
      <c r="AN6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1" s="4" t="str" cm="1">
        <f t="array" ref="AO6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1" s="5" t="str">
        <f>IFERROR(OLDBD[[#This Row],[Llegada a packing]]-OLDBD[[#This Row],[Inicio de Ruta]],"")</f>
        <v/>
      </c>
      <c r="AQ641" s="6" t="str">
        <f>IFERROR(OLDBD[[#This Row],[Inicio de Ruta]]-OLDBD[[#This Row],[Salida de almacén de retiro]],"")</f>
        <v/>
      </c>
      <c r="AR6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1" s="8" t="str" cm="1">
        <f t="array" ref="AS6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1" s="9" t="str">
        <f>IFERROR(OLDBD[[#This Row],[Ingreso Packing]]-OLDBD[[#This Row],[Registro en Packing]],"")</f>
        <v/>
      </c>
      <c r="AV641" s="9" t="str">
        <f>IFERROR(OLDBD[[#This Row],[Ingreso Packing]]-OLDBD[[#This Row],[Llegada a packing]],"")</f>
        <v/>
      </c>
      <c r="AW6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1" s="5" t="str">
        <f>IFERROR(OLDBD[[#This Row],[Llegada Almacén de Ingreso]]-OLDBD[[#This Row],[Salida Packing]],"")</f>
        <v/>
      </c>
      <c r="AY641" s="4" t="str" cm="1">
        <f t="array" ref="AY6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1" s="43" t="s">
        <v>173</v>
      </c>
      <c r="BB641" s="47" t="str">
        <f>IFERROR(IF(MARÍTIMOS[[#This Row],[Estatus]]="","",MARÍTIMOS[[#This Row],[Estatus]]),"")</f>
        <v/>
      </c>
      <c r="BC641" s="43"/>
      <c r="BD641" s="46" t="str">
        <f>IFERROR(OLDBD[[#This Row],[Salida de almacén de retiro]]-OLDBD[[#This Row],[Ingreso Almacén de retiro]],"")</f>
        <v/>
      </c>
      <c r="BE641" s="46" t="str">
        <f>IFERROR(OLDBD[[#This Row],[Fin de Carga]]-OLDBD[[#This Row],[Inicio de Carga]],"")</f>
        <v/>
      </c>
    </row>
    <row r="642" spans="1:57" customFormat="1" hidden="1">
      <c r="A642" s="1"/>
      <c r="B642" s="1" t="str">
        <f>IFERROR(IF(MARÍTIMOS[[#This Row],[PP]]="","",MARÍTIMOS[[#This Row],[PP]]),"")</f>
        <v/>
      </c>
      <c r="C642" s="1" t="str">
        <f>IFERROR(IF(MARÍTIMOS[[#This Row],[Sede]]="","",MARÍTIMOS[[#This Row],[Sede]]),"")</f>
        <v/>
      </c>
      <c r="D642" s="1" t="str">
        <f>IFERROR(IF(MARÍTIMOS[[#This Row],[Instruction]]="","",MARÍTIMOS[[#This Row],[Instruction]]),"")</f>
        <v/>
      </c>
      <c r="E642" s="1"/>
      <c r="F642" s="2" t="str">
        <f>IFERROR(IF(MARÍTIMOS[[#This Row],[Transportista]]="","",MARÍTIMOS[[#This Row],[Transportista]]),"")</f>
        <v/>
      </c>
      <c r="G642" s="2" t="str">
        <f>IFERROR(IF(MARÍTIMOS[[#This Row],[Tercero]]="","",MARÍTIMOS[[#This Row],[Tercero]]),"")</f>
        <v/>
      </c>
      <c r="H642" s="2" t="str">
        <f>IFERROR(IF(MARÍTIMOS[[#This Row],[Razón Social]]="","",MARÍTIMOS[[#This Row],[Razón Social]]),"")</f>
        <v/>
      </c>
      <c r="I642" s="2" t="str">
        <f>IFERROR(IF(MARÍTIMOS[[#This Row],[RUC]]="","",MARÍTIMOS[[#This Row],[RUC]]),"")</f>
        <v/>
      </c>
      <c r="J642" s="2" t="str">
        <f>IFERROR(IF(MARÍTIMOS[[#This Row],[Placa Tracto]]="","",MARÍTIMOS[[#This Row],[Placa Tracto]]),"")</f>
        <v/>
      </c>
      <c r="K642" s="2" t="str">
        <f>IFERROR(IF(MARÍTIMOS[[#This Row],[Placa Carreta]]="","",MARÍTIMOS[[#This Row],[Placa Carreta]]),"")</f>
        <v/>
      </c>
      <c r="L642" s="44" t="str">
        <f>IFERROR(IF(MARÍTIMOS[[#This Row],[Conductor]]="","",MARÍTIMOS[[#This Row],[Conductor]]),"")</f>
        <v/>
      </c>
      <c r="M642" s="2" t="str">
        <f>IFERROR(IF(MARÍTIMOS[[#This Row],[Licencia]]="","",MARÍTIMOS[[#This Row],[Licencia]]),"")</f>
        <v/>
      </c>
      <c r="N642" s="2" t="str">
        <f>IFERROR(IF(MARÍTIMOS[[#This Row],[Número de Contacto]]="","",MARÍTIMOS[[#This Row],[Número de Contacto]]),"")</f>
        <v/>
      </c>
      <c r="O642" s="10" t="str">
        <f>IFERROR(IF(MARÍTIMOS[[#This Row],[Booking|AWB|CRT]]="","",MARÍTIMOS[[#This Row],[Booking|AWB|CRT]]),"")</f>
        <v/>
      </c>
      <c r="P642" s="2" t="str">
        <f>IFERROR(IF(MARÍTIMOS[[#This Row],[Contenedor]]="","",MARÍTIMOS[[#This Row],[Contenedor]]),"")</f>
        <v/>
      </c>
      <c r="Q642" s="2" t="str">
        <f>IFERROR(IF(MARÍTIMOS[[#This Row],[Puerto de Retiro]]="","",MARÍTIMOS[[#This Row],[Puerto de Retiro]]),"")</f>
        <v/>
      </c>
      <c r="R642" s="2" t="str">
        <f>IFERROR(IF(MARÍTIMOS[[#This Row],[Almacén de Retiro]]="","",MARÍTIMOS[[#This Row],[Almacén de Retiro]]),"")</f>
        <v/>
      </c>
      <c r="S642" s="11" t="str">
        <f>IFERROR(IF(MARÍTIMOS[[#This Row],[Etapa Retiro - Cita]]="","",MARÍTIMOS[[#This Row],[Etapa Retiro - Cita]]),"")</f>
        <v/>
      </c>
      <c r="T642" s="11" t="str">
        <f>IFERROR(IF(MARÍTIMOS[[#This Row],[Etapa Retiro - Llegada]]="","",MARÍTIMOS[[#This Row],[Etapa Retiro - Llegada]]),"")</f>
        <v/>
      </c>
      <c r="U642" s="11" t="str">
        <f>IFERROR(IF(MARÍTIMOS[[#This Row],[Etapa Retiro - Ingreso]]="","",MARÍTIMOS[[#This Row],[Etapa Retiro - Ingreso]]),"")</f>
        <v/>
      </c>
      <c r="V642" s="11" t="str">
        <f>IFERROR(IF(MARÍTIMOS[[#This Row],[Etapa Retiro - Atención]]="","",MARÍTIMOS[[#This Row],[Etapa Retiro - Atención]]),"")</f>
        <v/>
      </c>
      <c r="W642" s="11" t="str">
        <f>IFERROR(IF(MARÍTIMOS[[#This Row],[Etapa Retiro - Atención]]="","",MARÍTIMOS[[#This Row],[Etapa Retiro - Atención]]),"")</f>
        <v/>
      </c>
      <c r="X642" s="11" t="str">
        <f>IFERROR(IF(MARÍTIMOS[[#This Row],[Etapa Retiro - Inicio de Ruta]]="","",MARÍTIMOS[[#This Row],[Etapa Retiro - Inicio de Ruta]]),"")</f>
        <v/>
      </c>
      <c r="Y642" s="11" t="str">
        <f>IFERROR(IF(MARÍTIMOS[[#This Row],[Hora de Posicionamiento]]="","",MARÍTIMOS[[#This Row],[Fecha de Carga]]+MARÍTIMOS[[#This Row],[Hora de Posicionamiento]]),"")</f>
        <v/>
      </c>
      <c r="Z642" s="11" t="str">
        <f>IFERROR(IF(MARÍTIMOS[[#This Row],[Etapa Despacho - Llegada]]="","",MARÍTIMOS[[#This Row],[Etapa Despacho - Llegada]]),"")</f>
        <v/>
      </c>
      <c r="AA642" s="11" t="str">
        <f>IFERROR(IF(MARÍTIMOS[[#This Row],[Etapa Despacho - Registro]]="","",MARÍTIMOS[[#This Row],[Etapa Despacho - Registro]]),"")</f>
        <v/>
      </c>
      <c r="AB642" s="11" t="str">
        <f>IFERROR(IF(MARÍTIMOS[[#This Row],[Inspección Externa]]="","",MARÍTIMOS[[#This Row],[Inspección Externa]]),"")</f>
        <v/>
      </c>
      <c r="AC642" s="11" t="str">
        <f>IFERROR(IF(MARÍTIMOS[[#This Row],[Etapa Despacho - Inicio de Carga]]="","",MARÍTIMOS[[#This Row],[Etapa Despacho - Inicio de Carga]]),"")</f>
        <v/>
      </c>
      <c r="AD642" s="11" t="str">
        <f>IFERROR(IF(MARÍTIMOS[[#This Row],[Etapa Despacho - Mitad de Carga]]="","",MARÍTIMOS[[#This Row],[Etapa Despacho - Mitad de Carga]]),"")</f>
        <v/>
      </c>
      <c r="AE642" s="11" t="str">
        <f>IFERROR(IF(MARÍTIMOS[[#This Row],[Etapa Despacho - Fin de Carga]]="","",MARÍTIMOS[[#This Row],[Etapa Despacho - Fin de Carga]]),"")</f>
        <v/>
      </c>
      <c r="AF642" s="2" t="str">
        <f>IFERROR(IF(MARÍTIMOS[[#This Row],[Puerto de Embarque]]="","",MARÍTIMOS[[#This Row],[Puerto de Embarque]]),"")</f>
        <v/>
      </c>
      <c r="AG642" s="2" t="str">
        <f>IFERROR(IF(MARÍTIMOS[[#This Row],[Almacén de Ingreso]]="","",MARÍTIMOS[[#This Row],[Almacén de Ingreso]]),"")</f>
        <v/>
      </c>
      <c r="AH642" s="11" t="str">
        <f>IFERROR(IF(MARÍTIMOS[[#This Row],[Etapa Ingreso - Cita]]="","",MARÍTIMOS[[#This Row],[Etapa Ingreso - Cita]]),"")</f>
        <v/>
      </c>
      <c r="AI642" s="11" t="str">
        <f>IFERROR(IF(MARÍTIMOS[[#This Row],[Etapa Ingreso - Llegada]]="","",MARÍTIMOS[[#This Row],[Etapa Ingreso - Llegada]]),"")</f>
        <v/>
      </c>
      <c r="AJ642" s="11" t="str">
        <f>IFERROR(IF(MARÍTIMOS[[#This Row],[Etapa Ingreso - Ingeso]]="","",MARÍTIMOS[[#This Row],[Etapa Ingreso - Ingeso]]),"")</f>
        <v/>
      </c>
      <c r="AK642" s="11" t="str">
        <f>IFERROR(IF(MARÍTIMOS[[#This Row],[Etapa Ingreso - Atención]]="","",MARÍTIMOS[[#This Row],[Etapa Ingreso - Atención]]),"")</f>
        <v/>
      </c>
      <c r="AL642" s="11" t="str">
        <f>IFERROR(IF(MARÍTIMOS[[#This Row],[Etapa Ingreso - Salida]]="","",MARÍTIMOS[[#This Row],[Etapa Ingreso - Salida]]),"")</f>
        <v/>
      </c>
      <c r="AM642" s="2" t="str">
        <f>IFERROR(IF(MARÍTIMOS[[#This Row],[FCL]]="","",MARÍTIMOS[[#This Row],[FCL]]),"")</f>
        <v/>
      </c>
      <c r="AN6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2" s="4" t="str" cm="1">
        <f t="array" ref="AO6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2" s="5" t="str">
        <f>IFERROR(OLDBD[[#This Row],[Llegada a packing]]-OLDBD[[#This Row],[Inicio de Ruta]],"")</f>
        <v/>
      </c>
      <c r="AQ642" s="6" t="str">
        <f>IFERROR(OLDBD[[#This Row],[Inicio de Ruta]]-OLDBD[[#This Row],[Salida de almacén de retiro]],"")</f>
        <v/>
      </c>
      <c r="AR6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2" s="8" t="str" cm="1">
        <f t="array" ref="AS6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2" s="9" t="str">
        <f>IFERROR(OLDBD[[#This Row],[Ingreso Packing]]-OLDBD[[#This Row],[Registro en Packing]],"")</f>
        <v/>
      </c>
      <c r="AV642" s="9" t="str">
        <f>IFERROR(OLDBD[[#This Row],[Ingreso Packing]]-OLDBD[[#This Row],[Llegada a packing]],"")</f>
        <v/>
      </c>
      <c r="AW6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2" s="5" t="str">
        <f>IFERROR(OLDBD[[#This Row],[Llegada Almacén de Ingreso]]-OLDBD[[#This Row],[Salida Packing]],"")</f>
        <v/>
      </c>
      <c r="AY642" s="4" t="str" cm="1">
        <f t="array" ref="AY6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2" s="43" t="s">
        <v>173</v>
      </c>
      <c r="BB642" s="47" t="str">
        <f>IFERROR(IF(MARÍTIMOS[[#This Row],[Estatus]]="","",MARÍTIMOS[[#This Row],[Estatus]]),"")</f>
        <v/>
      </c>
      <c r="BC642" s="43"/>
      <c r="BD642" s="46" t="str">
        <f>IFERROR(OLDBD[[#This Row],[Salida de almacén de retiro]]-OLDBD[[#This Row],[Ingreso Almacén de retiro]],"")</f>
        <v/>
      </c>
      <c r="BE642" s="46" t="str">
        <f>IFERROR(OLDBD[[#This Row],[Fin de Carga]]-OLDBD[[#This Row],[Inicio de Carga]],"")</f>
        <v/>
      </c>
    </row>
    <row r="643" spans="1:57" customFormat="1" hidden="1">
      <c r="A643" s="1"/>
      <c r="B643" s="1" t="str">
        <f>IFERROR(IF(MARÍTIMOS[[#This Row],[PP]]="","",MARÍTIMOS[[#This Row],[PP]]),"")</f>
        <v/>
      </c>
      <c r="C643" s="1" t="str">
        <f>IFERROR(IF(MARÍTIMOS[[#This Row],[Sede]]="","",MARÍTIMOS[[#This Row],[Sede]]),"")</f>
        <v/>
      </c>
      <c r="D643" s="1" t="str">
        <f>IFERROR(IF(MARÍTIMOS[[#This Row],[Instruction]]="","",MARÍTIMOS[[#This Row],[Instruction]]),"")</f>
        <v/>
      </c>
      <c r="E643" s="1"/>
      <c r="F643" s="2" t="str">
        <f>IFERROR(IF(MARÍTIMOS[[#This Row],[Transportista]]="","",MARÍTIMOS[[#This Row],[Transportista]]),"")</f>
        <v/>
      </c>
      <c r="G643" s="2" t="str">
        <f>IFERROR(IF(MARÍTIMOS[[#This Row],[Tercero]]="","",MARÍTIMOS[[#This Row],[Tercero]]),"")</f>
        <v/>
      </c>
      <c r="H643" s="2" t="str">
        <f>IFERROR(IF(MARÍTIMOS[[#This Row],[Razón Social]]="","",MARÍTIMOS[[#This Row],[Razón Social]]),"")</f>
        <v/>
      </c>
      <c r="I643" s="2" t="str">
        <f>IFERROR(IF(MARÍTIMOS[[#This Row],[RUC]]="","",MARÍTIMOS[[#This Row],[RUC]]),"")</f>
        <v/>
      </c>
      <c r="J643" s="2" t="str">
        <f>IFERROR(IF(MARÍTIMOS[[#This Row],[Placa Tracto]]="","",MARÍTIMOS[[#This Row],[Placa Tracto]]),"")</f>
        <v/>
      </c>
      <c r="K643" s="2" t="str">
        <f>IFERROR(IF(MARÍTIMOS[[#This Row],[Placa Carreta]]="","",MARÍTIMOS[[#This Row],[Placa Carreta]]),"")</f>
        <v/>
      </c>
      <c r="L643" s="44" t="str">
        <f>IFERROR(IF(MARÍTIMOS[[#This Row],[Conductor]]="","",MARÍTIMOS[[#This Row],[Conductor]]),"")</f>
        <v/>
      </c>
      <c r="M643" s="2" t="str">
        <f>IFERROR(IF(MARÍTIMOS[[#This Row],[Licencia]]="","",MARÍTIMOS[[#This Row],[Licencia]]),"")</f>
        <v/>
      </c>
      <c r="N643" s="2" t="str">
        <f>IFERROR(IF(MARÍTIMOS[[#This Row],[Número de Contacto]]="","",MARÍTIMOS[[#This Row],[Número de Contacto]]),"")</f>
        <v/>
      </c>
      <c r="O643" s="10" t="str">
        <f>IFERROR(IF(MARÍTIMOS[[#This Row],[Booking|AWB|CRT]]="","",MARÍTIMOS[[#This Row],[Booking|AWB|CRT]]),"")</f>
        <v/>
      </c>
      <c r="P643" s="2" t="str">
        <f>IFERROR(IF(MARÍTIMOS[[#This Row],[Contenedor]]="","",MARÍTIMOS[[#This Row],[Contenedor]]),"")</f>
        <v/>
      </c>
      <c r="Q643" s="2" t="str">
        <f>IFERROR(IF(MARÍTIMOS[[#This Row],[Puerto de Retiro]]="","",MARÍTIMOS[[#This Row],[Puerto de Retiro]]),"")</f>
        <v/>
      </c>
      <c r="R643" s="2" t="str">
        <f>IFERROR(IF(MARÍTIMOS[[#This Row],[Almacén de Retiro]]="","",MARÍTIMOS[[#This Row],[Almacén de Retiro]]),"")</f>
        <v/>
      </c>
      <c r="S643" s="11" t="str">
        <f>IFERROR(IF(MARÍTIMOS[[#This Row],[Etapa Retiro - Cita]]="","",MARÍTIMOS[[#This Row],[Etapa Retiro - Cita]]),"")</f>
        <v/>
      </c>
      <c r="T643" s="11" t="str">
        <f>IFERROR(IF(MARÍTIMOS[[#This Row],[Etapa Retiro - Llegada]]="","",MARÍTIMOS[[#This Row],[Etapa Retiro - Llegada]]),"")</f>
        <v/>
      </c>
      <c r="U643" s="11" t="str">
        <f>IFERROR(IF(MARÍTIMOS[[#This Row],[Etapa Retiro - Ingreso]]="","",MARÍTIMOS[[#This Row],[Etapa Retiro - Ingreso]]),"")</f>
        <v/>
      </c>
      <c r="V643" s="11" t="str">
        <f>IFERROR(IF(MARÍTIMOS[[#This Row],[Etapa Retiro - Atención]]="","",MARÍTIMOS[[#This Row],[Etapa Retiro - Atención]]),"")</f>
        <v/>
      </c>
      <c r="W643" s="11" t="str">
        <f>IFERROR(IF(MARÍTIMOS[[#This Row],[Etapa Retiro - Atención]]="","",MARÍTIMOS[[#This Row],[Etapa Retiro - Atención]]),"")</f>
        <v/>
      </c>
      <c r="X643" s="11" t="str">
        <f>IFERROR(IF(MARÍTIMOS[[#This Row],[Etapa Retiro - Inicio de Ruta]]="","",MARÍTIMOS[[#This Row],[Etapa Retiro - Inicio de Ruta]]),"")</f>
        <v/>
      </c>
      <c r="Y643" s="11" t="str">
        <f>IFERROR(IF(MARÍTIMOS[[#This Row],[Hora de Posicionamiento]]="","",MARÍTIMOS[[#This Row],[Fecha de Carga]]+MARÍTIMOS[[#This Row],[Hora de Posicionamiento]]),"")</f>
        <v/>
      </c>
      <c r="Z643" s="11" t="str">
        <f>IFERROR(IF(MARÍTIMOS[[#This Row],[Etapa Despacho - Llegada]]="","",MARÍTIMOS[[#This Row],[Etapa Despacho - Llegada]]),"")</f>
        <v/>
      </c>
      <c r="AA643" s="11" t="str">
        <f>IFERROR(IF(MARÍTIMOS[[#This Row],[Etapa Despacho - Registro]]="","",MARÍTIMOS[[#This Row],[Etapa Despacho - Registro]]),"")</f>
        <v/>
      </c>
      <c r="AB643" s="11" t="str">
        <f>IFERROR(IF(MARÍTIMOS[[#This Row],[Inspección Externa]]="","",MARÍTIMOS[[#This Row],[Inspección Externa]]),"")</f>
        <v/>
      </c>
      <c r="AC643" s="11" t="str">
        <f>IFERROR(IF(MARÍTIMOS[[#This Row],[Etapa Despacho - Inicio de Carga]]="","",MARÍTIMOS[[#This Row],[Etapa Despacho - Inicio de Carga]]),"")</f>
        <v/>
      </c>
      <c r="AD643" s="11" t="str">
        <f>IFERROR(IF(MARÍTIMOS[[#This Row],[Etapa Despacho - Mitad de Carga]]="","",MARÍTIMOS[[#This Row],[Etapa Despacho - Mitad de Carga]]),"")</f>
        <v/>
      </c>
      <c r="AE643" s="11" t="str">
        <f>IFERROR(IF(MARÍTIMOS[[#This Row],[Etapa Despacho - Fin de Carga]]="","",MARÍTIMOS[[#This Row],[Etapa Despacho - Fin de Carga]]),"")</f>
        <v/>
      </c>
      <c r="AF643" s="2" t="str">
        <f>IFERROR(IF(MARÍTIMOS[[#This Row],[Puerto de Embarque]]="","",MARÍTIMOS[[#This Row],[Puerto de Embarque]]),"")</f>
        <v/>
      </c>
      <c r="AG643" s="2" t="str">
        <f>IFERROR(IF(MARÍTIMOS[[#This Row],[Almacén de Ingreso]]="","",MARÍTIMOS[[#This Row],[Almacén de Ingreso]]),"")</f>
        <v/>
      </c>
      <c r="AH643" s="11" t="str">
        <f>IFERROR(IF(MARÍTIMOS[[#This Row],[Etapa Ingreso - Cita]]="","",MARÍTIMOS[[#This Row],[Etapa Ingreso - Cita]]),"")</f>
        <v/>
      </c>
      <c r="AI643" s="11" t="str">
        <f>IFERROR(IF(MARÍTIMOS[[#This Row],[Etapa Ingreso - Llegada]]="","",MARÍTIMOS[[#This Row],[Etapa Ingreso - Llegada]]),"")</f>
        <v/>
      </c>
      <c r="AJ643" s="11" t="str">
        <f>IFERROR(IF(MARÍTIMOS[[#This Row],[Etapa Ingreso - Ingeso]]="","",MARÍTIMOS[[#This Row],[Etapa Ingreso - Ingeso]]),"")</f>
        <v/>
      </c>
      <c r="AK643" s="11" t="str">
        <f>IFERROR(IF(MARÍTIMOS[[#This Row],[Etapa Ingreso - Atención]]="","",MARÍTIMOS[[#This Row],[Etapa Ingreso - Atención]]),"")</f>
        <v/>
      </c>
      <c r="AL643" s="11" t="str">
        <f>IFERROR(IF(MARÍTIMOS[[#This Row],[Etapa Ingreso - Salida]]="","",MARÍTIMOS[[#This Row],[Etapa Ingreso - Salida]]),"")</f>
        <v/>
      </c>
      <c r="AM643" s="2" t="str">
        <f>IFERROR(IF(MARÍTIMOS[[#This Row],[FCL]]="","",MARÍTIMOS[[#This Row],[FCL]]),"")</f>
        <v/>
      </c>
      <c r="AN6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3" s="4" t="str" cm="1">
        <f t="array" ref="AO6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3" s="5" t="str">
        <f>IFERROR(OLDBD[[#This Row],[Llegada a packing]]-OLDBD[[#This Row],[Inicio de Ruta]],"")</f>
        <v/>
      </c>
      <c r="AQ643" s="6" t="str">
        <f>IFERROR(OLDBD[[#This Row],[Inicio de Ruta]]-OLDBD[[#This Row],[Salida de almacén de retiro]],"")</f>
        <v/>
      </c>
      <c r="AR6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3" s="8" t="str" cm="1">
        <f t="array" ref="AS6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3" s="9" t="str">
        <f>IFERROR(OLDBD[[#This Row],[Ingreso Packing]]-OLDBD[[#This Row],[Registro en Packing]],"")</f>
        <v/>
      </c>
      <c r="AV643" s="9" t="str">
        <f>IFERROR(OLDBD[[#This Row],[Ingreso Packing]]-OLDBD[[#This Row],[Llegada a packing]],"")</f>
        <v/>
      </c>
      <c r="AW6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3" s="5" t="str">
        <f>IFERROR(OLDBD[[#This Row],[Llegada Almacén de Ingreso]]-OLDBD[[#This Row],[Salida Packing]],"")</f>
        <v/>
      </c>
      <c r="AY643" s="4" t="str" cm="1">
        <f t="array" ref="AY6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3" s="43" t="s">
        <v>173</v>
      </c>
      <c r="BB643" s="47" t="str">
        <f>IFERROR(IF(MARÍTIMOS[[#This Row],[Estatus]]="","",MARÍTIMOS[[#This Row],[Estatus]]),"")</f>
        <v/>
      </c>
      <c r="BC643" s="43"/>
      <c r="BD643" s="46" t="str">
        <f>IFERROR(OLDBD[[#This Row],[Salida de almacén de retiro]]-OLDBD[[#This Row],[Ingreso Almacén de retiro]],"")</f>
        <v/>
      </c>
      <c r="BE643" s="46" t="str">
        <f>IFERROR(OLDBD[[#This Row],[Fin de Carga]]-OLDBD[[#This Row],[Inicio de Carga]],"")</f>
        <v/>
      </c>
    </row>
    <row r="644" spans="1:57" customFormat="1" hidden="1">
      <c r="A644" s="1"/>
      <c r="B644" s="1" t="str">
        <f>IFERROR(IF(MARÍTIMOS[[#This Row],[PP]]="","",MARÍTIMOS[[#This Row],[PP]]),"")</f>
        <v/>
      </c>
      <c r="C644" s="1" t="str">
        <f>IFERROR(IF(MARÍTIMOS[[#This Row],[Sede]]="","",MARÍTIMOS[[#This Row],[Sede]]),"")</f>
        <v/>
      </c>
      <c r="D644" s="1" t="str">
        <f>IFERROR(IF(MARÍTIMOS[[#This Row],[Instruction]]="","",MARÍTIMOS[[#This Row],[Instruction]]),"")</f>
        <v/>
      </c>
      <c r="E644" s="1"/>
      <c r="F644" s="2" t="str">
        <f>IFERROR(IF(MARÍTIMOS[[#This Row],[Transportista]]="","",MARÍTIMOS[[#This Row],[Transportista]]),"")</f>
        <v/>
      </c>
      <c r="G644" s="2" t="str">
        <f>IFERROR(IF(MARÍTIMOS[[#This Row],[Tercero]]="","",MARÍTIMOS[[#This Row],[Tercero]]),"")</f>
        <v/>
      </c>
      <c r="H644" s="2" t="str">
        <f>IFERROR(IF(MARÍTIMOS[[#This Row],[Razón Social]]="","",MARÍTIMOS[[#This Row],[Razón Social]]),"")</f>
        <v/>
      </c>
      <c r="I644" s="2" t="str">
        <f>IFERROR(IF(MARÍTIMOS[[#This Row],[RUC]]="","",MARÍTIMOS[[#This Row],[RUC]]),"")</f>
        <v/>
      </c>
      <c r="J644" s="2" t="str">
        <f>IFERROR(IF(MARÍTIMOS[[#This Row],[Placa Tracto]]="","",MARÍTIMOS[[#This Row],[Placa Tracto]]),"")</f>
        <v/>
      </c>
      <c r="K644" s="2" t="str">
        <f>IFERROR(IF(MARÍTIMOS[[#This Row],[Placa Carreta]]="","",MARÍTIMOS[[#This Row],[Placa Carreta]]),"")</f>
        <v/>
      </c>
      <c r="L644" s="44" t="str">
        <f>IFERROR(IF(MARÍTIMOS[[#This Row],[Conductor]]="","",MARÍTIMOS[[#This Row],[Conductor]]),"")</f>
        <v/>
      </c>
      <c r="M644" s="2" t="str">
        <f>IFERROR(IF(MARÍTIMOS[[#This Row],[Licencia]]="","",MARÍTIMOS[[#This Row],[Licencia]]),"")</f>
        <v/>
      </c>
      <c r="N644" s="2" t="str">
        <f>IFERROR(IF(MARÍTIMOS[[#This Row],[Número de Contacto]]="","",MARÍTIMOS[[#This Row],[Número de Contacto]]),"")</f>
        <v/>
      </c>
      <c r="O644" s="10" t="str">
        <f>IFERROR(IF(MARÍTIMOS[[#This Row],[Booking|AWB|CRT]]="","",MARÍTIMOS[[#This Row],[Booking|AWB|CRT]]),"")</f>
        <v/>
      </c>
      <c r="P644" s="2" t="str">
        <f>IFERROR(IF(MARÍTIMOS[[#This Row],[Contenedor]]="","",MARÍTIMOS[[#This Row],[Contenedor]]),"")</f>
        <v/>
      </c>
      <c r="Q644" s="2" t="str">
        <f>IFERROR(IF(MARÍTIMOS[[#This Row],[Puerto de Retiro]]="","",MARÍTIMOS[[#This Row],[Puerto de Retiro]]),"")</f>
        <v/>
      </c>
      <c r="R644" s="2" t="str">
        <f>IFERROR(IF(MARÍTIMOS[[#This Row],[Almacén de Retiro]]="","",MARÍTIMOS[[#This Row],[Almacén de Retiro]]),"")</f>
        <v/>
      </c>
      <c r="S644" s="11" t="str">
        <f>IFERROR(IF(MARÍTIMOS[[#This Row],[Etapa Retiro - Cita]]="","",MARÍTIMOS[[#This Row],[Etapa Retiro - Cita]]),"")</f>
        <v/>
      </c>
      <c r="T644" s="11" t="str">
        <f>IFERROR(IF(MARÍTIMOS[[#This Row],[Etapa Retiro - Llegada]]="","",MARÍTIMOS[[#This Row],[Etapa Retiro - Llegada]]),"")</f>
        <v/>
      </c>
      <c r="U644" s="11" t="str">
        <f>IFERROR(IF(MARÍTIMOS[[#This Row],[Etapa Retiro - Ingreso]]="","",MARÍTIMOS[[#This Row],[Etapa Retiro - Ingreso]]),"")</f>
        <v/>
      </c>
      <c r="V644" s="11" t="str">
        <f>IFERROR(IF(MARÍTIMOS[[#This Row],[Etapa Retiro - Atención]]="","",MARÍTIMOS[[#This Row],[Etapa Retiro - Atención]]),"")</f>
        <v/>
      </c>
      <c r="W644" s="11" t="str">
        <f>IFERROR(IF(MARÍTIMOS[[#This Row],[Etapa Retiro - Atención]]="","",MARÍTIMOS[[#This Row],[Etapa Retiro - Atención]]),"")</f>
        <v/>
      </c>
      <c r="X644" s="11" t="str">
        <f>IFERROR(IF(MARÍTIMOS[[#This Row],[Etapa Retiro - Inicio de Ruta]]="","",MARÍTIMOS[[#This Row],[Etapa Retiro - Inicio de Ruta]]),"")</f>
        <v/>
      </c>
      <c r="Y644" s="11" t="str">
        <f>IFERROR(IF(MARÍTIMOS[[#This Row],[Hora de Posicionamiento]]="","",MARÍTIMOS[[#This Row],[Fecha de Carga]]+MARÍTIMOS[[#This Row],[Hora de Posicionamiento]]),"")</f>
        <v/>
      </c>
      <c r="Z644" s="11" t="str">
        <f>IFERROR(IF(MARÍTIMOS[[#This Row],[Etapa Despacho - Llegada]]="","",MARÍTIMOS[[#This Row],[Etapa Despacho - Llegada]]),"")</f>
        <v/>
      </c>
      <c r="AA644" s="11" t="str">
        <f>IFERROR(IF(MARÍTIMOS[[#This Row],[Etapa Despacho - Registro]]="","",MARÍTIMOS[[#This Row],[Etapa Despacho - Registro]]),"")</f>
        <v/>
      </c>
      <c r="AB644" s="11" t="str">
        <f>IFERROR(IF(MARÍTIMOS[[#This Row],[Inspección Externa]]="","",MARÍTIMOS[[#This Row],[Inspección Externa]]),"")</f>
        <v/>
      </c>
      <c r="AC644" s="11" t="str">
        <f>IFERROR(IF(MARÍTIMOS[[#This Row],[Etapa Despacho - Inicio de Carga]]="","",MARÍTIMOS[[#This Row],[Etapa Despacho - Inicio de Carga]]),"")</f>
        <v/>
      </c>
      <c r="AD644" s="11" t="str">
        <f>IFERROR(IF(MARÍTIMOS[[#This Row],[Etapa Despacho - Mitad de Carga]]="","",MARÍTIMOS[[#This Row],[Etapa Despacho - Mitad de Carga]]),"")</f>
        <v/>
      </c>
      <c r="AE644" s="11" t="str">
        <f>IFERROR(IF(MARÍTIMOS[[#This Row],[Etapa Despacho - Fin de Carga]]="","",MARÍTIMOS[[#This Row],[Etapa Despacho - Fin de Carga]]),"")</f>
        <v/>
      </c>
      <c r="AF644" s="2" t="str">
        <f>IFERROR(IF(MARÍTIMOS[[#This Row],[Puerto de Embarque]]="","",MARÍTIMOS[[#This Row],[Puerto de Embarque]]),"")</f>
        <v/>
      </c>
      <c r="AG644" s="2" t="str">
        <f>IFERROR(IF(MARÍTIMOS[[#This Row],[Almacén de Ingreso]]="","",MARÍTIMOS[[#This Row],[Almacén de Ingreso]]),"")</f>
        <v/>
      </c>
      <c r="AH644" s="11" t="str">
        <f>IFERROR(IF(MARÍTIMOS[[#This Row],[Etapa Ingreso - Cita]]="","",MARÍTIMOS[[#This Row],[Etapa Ingreso - Cita]]),"")</f>
        <v/>
      </c>
      <c r="AI644" s="11" t="str">
        <f>IFERROR(IF(MARÍTIMOS[[#This Row],[Etapa Ingreso - Llegada]]="","",MARÍTIMOS[[#This Row],[Etapa Ingreso - Llegada]]),"")</f>
        <v/>
      </c>
      <c r="AJ644" s="11" t="str">
        <f>IFERROR(IF(MARÍTIMOS[[#This Row],[Etapa Ingreso - Ingeso]]="","",MARÍTIMOS[[#This Row],[Etapa Ingreso - Ingeso]]),"")</f>
        <v/>
      </c>
      <c r="AK644" s="11" t="str">
        <f>IFERROR(IF(MARÍTIMOS[[#This Row],[Etapa Ingreso - Atención]]="","",MARÍTIMOS[[#This Row],[Etapa Ingreso - Atención]]),"")</f>
        <v/>
      </c>
      <c r="AL644" s="11" t="str">
        <f>IFERROR(IF(MARÍTIMOS[[#This Row],[Etapa Ingreso - Salida]]="","",MARÍTIMOS[[#This Row],[Etapa Ingreso - Salida]]),"")</f>
        <v/>
      </c>
      <c r="AM644" s="2" t="str">
        <f>IFERROR(IF(MARÍTIMOS[[#This Row],[FCL]]="","",MARÍTIMOS[[#This Row],[FCL]]),"")</f>
        <v/>
      </c>
      <c r="AN6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4" s="4" t="str" cm="1">
        <f t="array" ref="AO6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4" s="5" t="str">
        <f>IFERROR(OLDBD[[#This Row],[Llegada a packing]]-OLDBD[[#This Row],[Inicio de Ruta]],"")</f>
        <v/>
      </c>
      <c r="AQ644" s="6" t="str">
        <f>IFERROR(OLDBD[[#This Row],[Inicio de Ruta]]-OLDBD[[#This Row],[Salida de almacén de retiro]],"")</f>
        <v/>
      </c>
      <c r="AR6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4" s="8" t="str" cm="1">
        <f t="array" ref="AS6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4" s="9" t="str">
        <f>IFERROR(OLDBD[[#This Row],[Ingreso Packing]]-OLDBD[[#This Row],[Registro en Packing]],"")</f>
        <v/>
      </c>
      <c r="AV644" s="9" t="str">
        <f>IFERROR(OLDBD[[#This Row],[Ingreso Packing]]-OLDBD[[#This Row],[Llegada a packing]],"")</f>
        <v/>
      </c>
      <c r="AW6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4" s="5" t="str">
        <f>IFERROR(OLDBD[[#This Row],[Llegada Almacén de Ingreso]]-OLDBD[[#This Row],[Salida Packing]],"")</f>
        <v/>
      </c>
      <c r="AY644" s="4" t="str" cm="1">
        <f t="array" ref="AY6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4" s="43" t="s">
        <v>173</v>
      </c>
      <c r="BB644" s="47" t="str">
        <f>IFERROR(IF(MARÍTIMOS[[#This Row],[Estatus]]="","",MARÍTIMOS[[#This Row],[Estatus]]),"")</f>
        <v/>
      </c>
      <c r="BC644" s="43"/>
      <c r="BD644" s="46" t="str">
        <f>IFERROR(OLDBD[[#This Row],[Salida de almacén de retiro]]-OLDBD[[#This Row],[Ingreso Almacén de retiro]],"")</f>
        <v/>
      </c>
      <c r="BE644" s="46" t="str">
        <f>IFERROR(OLDBD[[#This Row],[Fin de Carga]]-OLDBD[[#This Row],[Inicio de Carga]],"")</f>
        <v/>
      </c>
    </row>
    <row r="645" spans="1:57" customFormat="1" hidden="1">
      <c r="A645" s="1"/>
      <c r="B645" s="1" t="str">
        <f>IFERROR(IF(MARÍTIMOS[[#This Row],[PP]]="","",MARÍTIMOS[[#This Row],[PP]]),"")</f>
        <v/>
      </c>
      <c r="C645" s="1" t="str">
        <f>IFERROR(IF(MARÍTIMOS[[#This Row],[Sede]]="","",MARÍTIMOS[[#This Row],[Sede]]),"")</f>
        <v/>
      </c>
      <c r="D645" s="1" t="str">
        <f>IFERROR(IF(MARÍTIMOS[[#This Row],[Instruction]]="","",MARÍTIMOS[[#This Row],[Instruction]]),"")</f>
        <v/>
      </c>
      <c r="E645" s="1"/>
      <c r="F645" s="2" t="str">
        <f>IFERROR(IF(MARÍTIMOS[[#This Row],[Transportista]]="","",MARÍTIMOS[[#This Row],[Transportista]]),"")</f>
        <v/>
      </c>
      <c r="G645" s="2" t="str">
        <f>IFERROR(IF(MARÍTIMOS[[#This Row],[Tercero]]="","",MARÍTIMOS[[#This Row],[Tercero]]),"")</f>
        <v/>
      </c>
      <c r="H645" s="2" t="str">
        <f>IFERROR(IF(MARÍTIMOS[[#This Row],[Razón Social]]="","",MARÍTIMOS[[#This Row],[Razón Social]]),"")</f>
        <v/>
      </c>
      <c r="I645" s="2" t="str">
        <f>IFERROR(IF(MARÍTIMOS[[#This Row],[RUC]]="","",MARÍTIMOS[[#This Row],[RUC]]),"")</f>
        <v/>
      </c>
      <c r="J645" s="2" t="str">
        <f>IFERROR(IF(MARÍTIMOS[[#This Row],[Placa Tracto]]="","",MARÍTIMOS[[#This Row],[Placa Tracto]]),"")</f>
        <v/>
      </c>
      <c r="K645" s="2" t="str">
        <f>IFERROR(IF(MARÍTIMOS[[#This Row],[Placa Carreta]]="","",MARÍTIMOS[[#This Row],[Placa Carreta]]),"")</f>
        <v/>
      </c>
      <c r="L645" s="44" t="str">
        <f>IFERROR(IF(MARÍTIMOS[[#This Row],[Conductor]]="","",MARÍTIMOS[[#This Row],[Conductor]]),"")</f>
        <v/>
      </c>
      <c r="M645" s="2" t="str">
        <f>IFERROR(IF(MARÍTIMOS[[#This Row],[Licencia]]="","",MARÍTIMOS[[#This Row],[Licencia]]),"")</f>
        <v/>
      </c>
      <c r="N645" s="2" t="str">
        <f>IFERROR(IF(MARÍTIMOS[[#This Row],[Número de Contacto]]="","",MARÍTIMOS[[#This Row],[Número de Contacto]]),"")</f>
        <v/>
      </c>
      <c r="O645" s="10" t="str">
        <f>IFERROR(IF(MARÍTIMOS[[#This Row],[Booking|AWB|CRT]]="","",MARÍTIMOS[[#This Row],[Booking|AWB|CRT]]),"")</f>
        <v/>
      </c>
      <c r="P645" s="2" t="str">
        <f>IFERROR(IF(MARÍTIMOS[[#This Row],[Contenedor]]="","",MARÍTIMOS[[#This Row],[Contenedor]]),"")</f>
        <v/>
      </c>
      <c r="Q645" s="2" t="str">
        <f>IFERROR(IF(MARÍTIMOS[[#This Row],[Puerto de Retiro]]="","",MARÍTIMOS[[#This Row],[Puerto de Retiro]]),"")</f>
        <v/>
      </c>
      <c r="R645" s="2" t="str">
        <f>IFERROR(IF(MARÍTIMOS[[#This Row],[Almacén de Retiro]]="","",MARÍTIMOS[[#This Row],[Almacén de Retiro]]),"")</f>
        <v/>
      </c>
      <c r="S645" s="11" t="str">
        <f>IFERROR(IF(MARÍTIMOS[[#This Row],[Etapa Retiro - Cita]]="","",MARÍTIMOS[[#This Row],[Etapa Retiro - Cita]]),"")</f>
        <v/>
      </c>
      <c r="T645" s="11" t="str">
        <f>IFERROR(IF(MARÍTIMOS[[#This Row],[Etapa Retiro - Llegada]]="","",MARÍTIMOS[[#This Row],[Etapa Retiro - Llegada]]),"")</f>
        <v/>
      </c>
      <c r="U645" s="11" t="str">
        <f>IFERROR(IF(MARÍTIMOS[[#This Row],[Etapa Retiro - Ingreso]]="","",MARÍTIMOS[[#This Row],[Etapa Retiro - Ingreso]]),"")</f>
        <v/>
      </c>
      <c r="V645" s="11" t="str">
        <f>IFERROR(IF(MARÍTIMOS[[#This Row],[Etapa Retiro - Atención]]="","",MARÍTIMOS[[#This Row],[Etapa Retiro - Atención]]),"")</f>
        <v/>
      </c>
      <c r="W645" s="11" t="str">
        <f>IFERROR(IF(MARÍTIMOS[[#This Row],[Etapa Retiro - Atención]]="","",MARÍTIMOS[[#This Row],[Etapa Retiro - Atención]]),"")</f>
        <v/>
      </c>
      <c r="X645" s="11" t="str">
        <f>IFERROR(IF(MARÍTIMOS[[#This Row],[Etapa Retiro - Inicio de Ruta]]="","",MARÍTIMOS[[#This Row],[Etapa Retiro - Inicio de Ruta]]),"")</f>
        <v/>
      </c>
      <c r="Y645" s="11" t="str">
        <f>IFERROR(IF(MARÍTIMOS[[#This Row],[Hora de Posicionamiento]]="","",MARÍTIMOS[[#This Row],[Fecha de Carga]]+MARÍTIMOS[[#This Row],[Hora de Posicionamiento]]),"")</f>
        <v/>
      </c>
      <c r="Z645" s="11" t="str">
        <f>IFERROR(IF(MARÍTIMOS[[#This Row],[Etapa Despacho - Llegada]]="","",MARÍTIMOS[[#This Row],[Etapa Despacho - Llegada]]),"")</f>
        <v/>
      </c>
      <c r="AA645" s="11" t="str">
        <f>IFERROR(IF(MARÍTIMOS[[#This Row],[Etapa Despacho - Registro]]="","",MARÍTIMOS[[#This Row],[Etapa Despacho - Registro]]),"")</f>
        <v/>
      </c>
      <c r="AB645" s="11" t="str">
        <f>IFERROR(IF(MARÍTIMOS[[#This Row],[Inspección Externa]]="","",MARÍTIMOS[[#This Row],[Inspección Externa]]),"")</f>
        <v/>
      </c>
      <c r="AC645" s="11" t="str">
        <f>IFERROR(IF(MARÍTIMOS[[#This Row],[Etapa Despacho - Inicio de Carga]]="","",MARÍTIMOS[[#This Row],[Etapa Despacho - Inicio de Carga]]),"")</f>
        <v/>
      </c>
      <c r="AD645" s="11" t="str">
        <f>IFERROR(IF(MARÍTIMOS[[#This Row],[Etapa Despacho - Mitad de Carga]]="","",MARÍTIMOS[[#This Row],[Etapa Despacho - Mitad de Carga]]),"")</f>
        <v/>
      </c>
      <c r="AE645" s="11" t="str">
        <f>IFERROR(IF(MARÍTIMOS[[#This Row],[Etapa Despacho - Fin de Carga]]="","",MARÍTIMOS[[#This Row],[Etapa Despacho - Fin de Carga]]),"")</f>
        <v/>
      </c>
      <c r="AF645" s="2" t="str">
        <f>IFERROR(IF(MARÍTIMOS[[#This Row],[Puerto de Embarque]]="","",MARÍTIMOS[[#This Row],[Puerto de Embarque]]),"")</f>
        <v/>
      </c>
      <c r="AG645" s="2" t="str">
        <f>IFERROR(IF(MARÍTIMOS[[#This Row],[Almacén de Ingreso]]="","",MARÍTIMOS[[#This Row],[Almacén de Ingreso]]),"")</f>
        <v/>
      </c>
      <c r="AH645" s="11" t="str">
        <f>IFERROR(IF(MARÍTIMOS[[#This Row],[Etapa Ingreso - Cita]]="","",MARÍTIMOS[[#This Row],[Etapa Ingreso - Cita]]),"")</f>
        <v/>
      </c>
      <c r="AI645" s="11" t="str">
        <f>IFERROR(IF(MARÍTIMOS[[#This Row],[Etapa Ingreso - Llegada]]="","",MARÍTIMOS[[#This Row],[Etapa Ingreso - Llegada]]),"")</f>
        <v/>
      </c>
      <c r="AJ645" s="11" t="str">
        <f>IFERROR(IF(MARÍTIMOS[[#This Row],[Etapa Ingreso - Ingeso]]="","",MARÍTIMOS[[#This Row],[Etapa Ingreso - Ingeso]]),"")</f>
        <v/>
      </c>
      <c r="AK645" s="11" t="str">
        <f>IFERROR(IF(MARÍTIMOS[[#This Row],[Etapa Ingreso - Atención]]="","",MARÍTIMOS[[#This Row],[Etapa Ingreso - Atención]]),"")</f>
        <v/>
      </c>
      <c r="AL645" s="11" t="str">
        <f>IFERROR(IF(MARÍTIMOS[[#This Row],[Etapa Ingreso - Salida]]="","",MARÍTIMOS[[#This Row],[Etapa Ingreso - Salida]]),"")</f>
        <v/>
      </c>
      <c r="AM645" s="2" t="str">
        <f>IFERROR(IF(MARÍTIMOS[[#This Row],[FCL]]="","",MARÍTIMOS[[#This Row],[FCL]]),"")</f>
        <v/>
      </c>
      <c r="AN6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5" s="4" t="str" cm="1">
        <f t="array" ref="AO6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5" s="5" t="str">
        <f>IFERROR(OLDBD[[#This Row],[Llegada a packing]]-OLDBD[[#This Row],[Inicio de Ruta]],"")</f>
        <v/>
      </c>
      <c r="AQ645" s="6" t="str">
        <f>IFERROR(OLDBD[[#This Row],[Inicio de Ruta]]-OLDBD[[#This Row],[Salida de almacén de retiro]],"")</f>
        <v/>
      </c>
      <c r="AR6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5" s="8" t="str" cm="1">
        <f t="array" ref="AS6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5" s="9" t="str">
        <f>IFERROR(OLDBD[[#This Row],[Ingreso Packing]]-OLDBD[[#This Row],[Registro en Packing]],"")</f>
        <v/>
      </c>
      <c r="AV645" s="9" t="str">
        <f>IFERROR(OLDBD[[#This Row],[Ingreso Packing]]-OLDBD[[#This Row],[Llegada a packing]],"")</f>
        <v/>
      </c>
      <c r="AW6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5" s="5" t="str">
        <f>IFERROR(OLDBD[[#This Row],[Llegada Almacén de Ingreso]]-OLDBD[[#This Row],[Salida Packing]],"")</f>
        <v/>
      </c>
      <c r="AY645" s="4" t="str" cm="1">
        <f t="array" ref="AY6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5" s="43" t="s">
        <v>173</v>
      </c>
      <c r="BB645" s="47" t="str">
        <f>IFERROR(IF(MARÍTIMOS[[#This Row],[Estatus]]="","",MARÍTIMOS[[#This Row],[Estatus]]),"")</f>
        <v/>
      </c>
      <c r="BC645" s="43"/>
      <c r="BD645" s="46" t="str">
        <f>IFERROR(OLDBD[[#This Row],[Salida de almacén de retiro]]-OLDBD[[#This Row],[Ingreso Almacén de retiro]],"")</f>
        <v/>
      </c>
      <c r="BE645" s="46" t="str">
        <f>IFERROR(OLDBD[[#This Row],[Fin de Carga]]-OLDBD[[#This Row],[Inicio de Carga]],"")</f>
        <v/>
      </c>
    </row>
    <row r="646" spans="1:57" customFormat="1" hidden="1">
      <c r="A646" s="1"/>
      <c r="B646" s="1" t="str">
        <f>IFERROR(IF(MARÍTIMOS[[#This Row],[PP]]="","",MARÍTIMOS[[#This Row],[PP]]),"")</f>
        <v/>
      </c>
      <c r="C646" s="1" t="str">
        <f>IFERROR(IF(MARÍTIMOS[[#This Row],[Sede]]="","",MARÍTIMOS[[#This Row],[Sede]]),"")</f>
        <v/>
      </c>
      <c r="D646" s="1" t="str">
        <f>IFERROR(IF(MARÍTIMOS[[#This Row],[Instruction]]="","",MARÍTIMOS[[#This Row],[Instruction]]),"")</f>
        <v/>
      </c>
      <c r="E646" s="1"/>
      <c r="F646" s="2" t="str">
        <f>IFERROR(IF(MARÍTIMOS[[#This Row],[Transportista]]="","",MARÍTIMOS[[#This Row],[Transportista]]),"")</f>
        <v/>
      </c>
      <c r="G646" s="2" t="str">
        <f>IFERROR(IF(MARÍTIMOS[[#This Row],[Tercero]]="","",MARÍTIMOS[[#This Row],[Tercero]]),"")</f>
        <v/>
      </c>
      <c r="H646" s="2" t="str">
        <f>IFERROR(IF(MARÍTIMOS[[#This Row],[Razón Social]]="","",MARÍTIMOS[[#This Row],[Razón Social]]),"")</f>
        <v/>
      </c>
      <c r="I646" s="2" t="str">
        <f>IFERROR(IF(MARÍTIMOS[[#This Row],[RUC]]="","",MARÍTIMOS[[#This Row],[RUC]]),"")</f>
        <v/>
      </c>
      <c r="J646" s="2" t="str">
        <f>IFERROR(IF(MARÍTIMOS[[#This Row],[Placa Tracto]]="","",MARÍTIMOS[[#This Row],[Placa Tracto]]),"")</f>
        <v/>
      </c>
      <c r="K646" s="2" t="str">
        <f>IFERROR(IF(MARÍTIMOS[[#This Row],[Placa Carreta]]="","",MARÍTIMOS[[#This Row],[Placa Carreta]]),"")</f>
        <v/>
      </c>
      <c r="L646" s="44" t="str">
        <f>IFERROR(IF(MARÍTIMOS[[#This Row],[Conductor]]="","",MARÍTIMOS[[#This Row],[Conductor]]),"")</f>
        <v/>
      </c>
      <c r="M646" s="2" t="str">
        <f>IFERROR(IF(MARÍTIMOS[[#This Row],[Licencia]]="","",MARÍTIMOS[[#This Row],[Licencia]]),"")</f>
        <v/>
      </c>
      <c r="N646" s="2" t="str">
        <f>IFERROR(IF(MARÍTIMOS[[#This Row],[Número de Contacto]]="","",MARÍTIMOS[[#This Row],[Número de Contacto]]),"")</f>
        <v/>
      </c>
      <c r="O646" s="10" t="str">
        <f>IFERROR(IF(MARÍTIMOS[[#This Row],[Booking|AWB|CRT]]="","",MARÍTIMOS[[#This Row],[Booking|AWB|CRT]]),"")</f>
        <v/>
      </c>
      <c r="P646" s="2" t="str">
        <f>IFERROR(IF(MARÍTIMOS[[#This Row],[Contenedor]]="","",MARÍTIMOS[[#This Row],[Contenedor]]),"")</f>
        <v/>
      </c>
      <c r="Q646" s="2" t="str">
        <f>IFERROR(IF(MARÍTIMOS[[#This Row],[Puerto de Retiro]]="","",MARÍTIMOS[[#This Row],[Puerto de Retiro]]),"")</f>
        <v/>
      </c>
      <c r="R646" s="2" t="str">
        <f>IFERROR(IF(MARÍTIMOS[[#This Row],[Almacén de Retiro]]="","",MARÍTIMOS[[#This Row],[Almacén de Retiro]]),"")</f>
        <v/>
      </c>
      <c r="S646" s="11" t="str">
        <f>IFERROR(IF(MARÍTIMOS[[#This Row],[Etapa Retiro - Cita]]="","",MARÍTIMOS[[#This Row],[Etapa Retiro - Cita]]),"")</f>
        <v/>
      </c>
      <c r="T646" s="11" t="str">
        <f>IFERROR(IF(MARÍTIMOS[[#This Row],[Etapa Retiro - Llegada]]="","",MARÍTIMOS[[#This Row],[Etapa Retiro - Llegada]]),"")</f>
        <v/>
      </c>
      <c r="U646" s="11" t="str">
        <f>IFERROR(IF(MARÍTIMOS[[#This Row],[Etapa Retiro - Ingreso]]="","",MARÍTIMOS[[#This Row],[Etapa Retiro - Ingreso]]),"")</f>
        <v/>
      </c>
      <c r="V646" s="11" t="str">
        <f>IFERROR(IF(MARÍTIMOS[[#This Row],[Etapa Retiro - Atención]]="","",MARÍTIMOS[[#This Row],[Etapa Retiro - Atención]]),"")</f>
        <v/>
      </c>
      <c r="W646" s="11" t="str">
        <f>IFERROR(IF(MARÍTIMOS[[#This Row],[Etapa Retiro - Atención]]="","",MARÍTIMOS[[#This Row],[Etapa Retiro - Atención]]),"")</f>
        <v/>
      </c>
      <c r="X646" s="11" t="str">
        <f>IFERROR(IF(MARÍTIMOS[[#This Row],[Etapa Retiro - Inicio de Ruta]]="","",MARÍTIMOS[[#This Row],[Etapa Retiro - Inicio de Ruta]]),"")</f>
        <v/>
      </c>
      <c r="Y646" s="11" t="str">
        <f>IFERROR(IF(MARÍTIMOS[[#This Row],[Hora de Posicionamiento]]="","",MARÍTIMOS[[#This Row],[Fecha de Carga]]+MARÍTIMOS[[#This Row],[Hora de Posicionamiento]]),"")</f>
        <v/>
      </c>
      <c r="Z646" s="11" t="str">
        <f>IFERROR(IF(MARÍTIMOS[[#This Row],[Etapa Despacho - Llegada]]="","",MARÍTIMOS[[#This Row],[Etapa Despacho - Llegada]]),"")</f>
        <v/>
      </c>
      <c r="AA646" s="11" t="str">
        <f>IFERROR(IF(MARÍTIMOS[[#This Row],[Etapa Despacho - Registro]]="","",MARÍTIMOS[[#This Row],[Etapa Despacho - Registro]]),"")</f>
        <v/>
      </c>
      <c r="AB646" s="11" t="str">
        <f>IFERROR(IF(MARÍTIMOS[[#This Row],[Inspección Externa]]="","",MARÍTIMOS[[#This Row],[Inspección Externa]]),"")</f>
        <v/>
      </c>
      <c r="AC646" s="11" t="str">
        <f>IFERROR(IF(MARÍTIMOS[[#This Row],[Etapa Despacho - Inicio de Carga]]="","",MARÍTIMOS[[#This Row],[Etapa Despacho - Inicio de Carga]]),"")</f>
        <v/>
      </c>
      <c r="AD646" s="11" t="str">
        <f>IFERROR(IF(MARÍTIMOS[[#This Row],[Etapa Despacho - Mitad de Carga]]="","",MARÍTIMOS[[#This Row],[Etapa Despacho - Mitad de Carga]]),"")</f>
        <v/>
      </c>
      <c r="AE646" s="11" t="str">
        <f>IFERROR(IF(MARÍTIMOS[[#This Row],[Etapa Despacho - Fin de Carga]]="","",MARÍTIMOS[[#This Row],[Etapa Despacho - Fin de Carga]]),"")</f>
        <v/>
      </c>
      <c r="AF646" s="2" t="str">
        <f>IFERROR(IF(MARÍTIMOS[[#This Row],[Puerto de Embarque]]="","",MARÍTIMOS[[#This Row],[Puerto de Embarque]]),"")</f>
        <v/>
      </c>
      <c r="AG646" s="2" t="str">
        <f>IFERROR(IF(MARÍTIMOS[[#This Row],[Almacén de Ingreso]]="","",MARÍTIMOS[[#This Row],[Almacén de Ingreso]]),"")</f>
        <v/>
      </c>
      <c r="AH646" s="11" t="str">
        <f>IFERROR(IF(MARÍTIMOS[[#This Row],[Etapa Ingreso - Cita]]="","",MARÍTIMOS[[#This Row],[Etapa Ingreso - Cita]]),"")</f>
        <v/>
      </c>
      <c r="AI646" s="11" t="str">
        <f>IFERROR(IF(MARÍTIMOS[[#This Row],[Etapa Ingreso - Llegada]]="","",MARÍTIMOS[[#This Row],[Etapa Ingreso - Llegada]]),"")</f>
        <v/>
      </c>
      <c r="AJ646" s="11" t="str">
        <f>IFERROR(IF(MARÍTIMOS[[#This Row],[Etapa Ingreso - Ingeso]]="","",MARÍTIMOS[[#This Row],[Etapa Ingreso - Ingeso]]),"")</f>
        <v/>
      </c>
      <c r="AK646" s="11" t="str">
        <f>IFERROR(IF(MARÍTIMOS[[#This Row],[Etapa Ingreso - Atención]]="","",MARÍTIMOS[[#This Row],[Etapa Ingreso - Atención]]),"")</f>
        <v/>
      </c>
      <c r="AL646" s="11" t="str">
        <f>IFERROR(IF(MARÍTIMOS[[#This Row],[Etapa Ingreso - Salida]]="","",MARÍTIMOS[[#This Row],[Etapa Ingreso - Salida]]),"")</f>
        <v/>
      </c>
      <c r="AM646" s="2" t="str">
        <f>IFERROR(IF(MARÍTIMOS[[#This Row],[FCL]]="","",MARÍTIMOS[[#This Row],[FCL]]),"")</f>
        <v/>
      </c>
      <c r="AN6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6" s="4" t="str" cm="1">
        <f t="array" ref="AO6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6" s="5" t="str">
        <f>IFERROR(OLDBD[[#This Row],[Llegada a packing]]-OLDBD[[#This Row],[Inicio de Ruta]],"")</f>
        <v/>
      </c>
      <c r="AQ646" s="6" t="str">
        <f>IFERROR(OLDBD[[#This Row],[Inicio de Ruta]]-OLDBD[[#This Row],[Salida de almacén de retiro]],"")</f>
        <v/>
      </c>
      <c r="AR6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6" s="8" t="str" cm="1">
        <f t="array" ref="AS6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6" s="9" t="str">
        <f>IFERROR(OLDBD[[#This Row],[Ingreso Packing]]-OLDBD[[#This Row],[Registro en Packing]],"")</f>
        <v/>
      </c>
      <c r="AV646" s="9" t="str">
        <f>IFERROR(OLDBD[[#This Row],[Ingreso Packing]]-OLDBD[[#This Row],[Llegada a packing]],"")</f>
        <v/>
      </c>
      <c r="AW6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6" s="5" t="str">
        <f>IFERROR(OLDBD[[#This Row],[Llegada Almacén de Ingreso]]-OLDBD[[#This Row],[Salida Packing]],"")</f>
        <v/>
      </c>
      <c r="AY646" s="4" t="str" cm="1">
        <f t="array" ref="AY6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6" s="43" t="s">
        <v>173</v>
      </c>
      <c r="BB646" s="47" t="str">
        <f>IFERROR(IF(MARÍTIMOS[[#This Row],[Estatus]]="","",MARÍTIMOS[[#This Row],[Estatus]]),"")</f>
        <v/>
      </c>
      <c r="BC646" s="43"/>
      <c r="BD646" s="46" t="str">
        <f>IFERROR(OLDBD[[#This Row],[Salida de almacén de retiro]]-OLDBD[[#This Row],[Ingreso Almacén de retiro]],"")</f>
        <v/>
      </c>
      <c r="BE646" s="46" t="str">
        <f>IFERROR(OLDBD[[#This Row],[Fin de Carga]]-OLDBD[[#This Row],[Inicio de Carga]],"")</f>
        <v/>
      </c>
    </row>
    <row r="647" spans="1:57" customFormat="1" hidden="1">
      <c r="A647" s="1"/>
      <c r="B647" s="1" t="str">
        <f>IFERROR(IF(MARÍTIMOS[[#This Row],[PP]]="","",MARÍTIMOS[[#This Row],[PP]]),"")</f>
        <v/>
      </c>
      <c r="C647" s="1" t="str">
        <f>IFERROR(IF(MARÍTIMOS[[#This Row],[Sede]]="","",MARÍTIMOS[[#This Row],[Sede]]),"")</f>
        <v/>
      </c>
      <c r="D647" s="1" t="str">
        <f>IFERROR(IF(MARÍTIMOS[[#This Row],[Instruction]]="","",MARÍTIMOS[[#This Row],[Instruction]]),"")</f>
        <v/>
      </c>
      <c r="E647" s="1"/>
      <c r="F647" s="2" t="str">
        <f>IFERROR(IF(MARÍTIMOS[[#This Row],[Transportista]]="","",MARÍTIMOS[[#This Row],[Transportista]]),"")</f>
        <v/>
      </c>
      <c r="G647" s="2" t="str">
        <f>IFERROR(IF(MARÍTIMOS[[#This Row],[Tercero]]="","",MARÍTIMOS[[#This Row],[Tercero]]),"")</f>
        <v/>
      </c>
      <c r="H647" s="2" t="str">
        <f>IFERROR(IF(MARÍTIMOS[[#This Row],[Razón Social]]="","",MARÍTIMOS[[#This Row],[Razón Social]]),"")</f>
        <v/>
      </c>
      <c r="I647" s="2" t="str">
        <f>IFERROR(IF(MARÍTIMOS[[#This Row],[RUC]]="","",MARÍTIMOS[[#This Row],[RUC]]),"")</f>
        <v/>
      </c>
      <c r="J647" s="2" t="str">
        <f>IFERROR(IF(MARÍTIMOS[[#This Row],[Placa Tracto]]="","",MARÍTIMOS[[#This Row],[Placa Tracto]]),"")</f>
        <v/>
      </c>
      <c r="K647" s="2" t="str">
        <f>IFERROR(IF(MARÍTIMOS[[#This Row],[Placa Carreta]]="","",MARÍTIMOS[[#This Row],[Placa Carreta]]),"")</f>
        <v/>
      </c>
      <c r="L647" s="44" t="str">
        <f>IFERROR(IF(MARÍTIMOS[[#This Row],[Conductor]]="","",MARÍTIMOS[[#This Row],[Conductor]]),"")</f>
        <v/>
      </c>
      <c r="M647" s="2" t="str">
        <f>IFERROR(IF(MARÍTIMOS[[#This Row],[Licencia]]="","",MARÍTIMOS[[#This Row],[Licencia]]),"")</f>
        <v/>
      </c>
      <c r="N647" s="2" t="str">
        <f>IFERROR(IF(MARÍTIMOS[[#This Row],[Número de Contacto]]="","",MARÍTIMOS[[#This Row],[Número de Contacto]]),"")</f>
        <v/>
      </c>
      <c r="O647" s="10" t="str">
        <f>IFERROR(IF(MARÍTIMOS[[#This Row],[Booking|AWB|CRT]]="","",MARÍTIMOS[[#This Row],[Booking|AWB|CRT]]),"")</f>
        <v/>
      </c>
      <c r="P647" s="2" t="str">
        <f>IFERROR(IF(MARÍTIMOS[[#This Row],[Contenedor]]="","",MARÍTIMOS[[#This Row],[Contenedor]]),"")</f>
        <v/>
      </c>
      <c r="Q647" s="2" t="str">
        <f>IFERROR(IF(MARÍTIMOS[[#This Row],[Puerto de Retiro]]="","",MARÍTIMOS[[#This Row],[Puerto de Retiro]]),"")</f>
        <v/>
      </c>
      <c r="R647" s="2" t="str">
        <f>IFERROR(IF(MARÍTIMOS[[#This Row],[Almacén de Retiro]]="","",MARÍTIMOS[[#This Row],[Almacén de Retiro]]),"")</f>
        <v/>
      </c>
      <c r="S647" s="11" t="str">
        <f>IFERROR(IF(MARÍTIMOS[[#This Row],[Etapa Retiro - Cita]]="","",MARÍTIMOS[[#This Row],[Etapa Retiro - Cita]]),"")</f>
        <v/>
      </c>
      <c r="T647" s="11" t="str">
        <f>IFERROR(IF(MARÍTIMOS[[#This Row],[Etapa Retiro - Llegada]]="","",MARÍTIMOS[[#This Row],[Etapa Retiro - Llegada]]),"")</f>
        <v/>
      </c>
      <c r="U647" s="11" t="str">
        <f>IFERROR(IF(MARÍTIMOS[[#This Row],[Etapa Retiro - Ingreso]]="","",MARÍTIMOS[[#This Row],[Etapa Retiro - Ingreso]]),"")</f>
        <v/>
      </c>
      <c r="V647" s="11" t="str">
        <f>IFERROR(IF(MARÍTIMOS[[#This Row],[Etapa Retiro - Atención]]="","",MARÍTIMOS[[#This Row],[Etapa Retiro - Atención]]),"")</f>
        <v/>
      </c>
      <c r="W647" s="11" t="str">
        <f>IFERROR(IF(MARÍTIMOS[[#This Row],[Etapa Retiro - Atención]]="","",MARÍTIMOS[[#This Row],[Etapa Retiro - Atención]]),"")</f>
        <v/>
      </c>
      <c r="X647" s="11" t="str">
        <f>IFERROR(IF(MARÍTIMOS[[#This Row],[Etapa Retiro - Inicio de Ruta]]="","",MARÍTIMOS[[#This Row],[Etapa Retiro - Inicio de Ruta]]),"")</f>
        <v/>
      </c>
      <c r="Y647" s="11" t="str">
        <f>IFERROR(IF(MARÍTIMOS[[#This Row],[Hora de Posicionamiento]]="","",MARÍTIMOS[[#This Row],[Fecha de Carga]]+MARÍTIMOS[[#This Row],[Hora de Posicionamiento]]),"")</f>
        <v/>
      </c>
      <c r="Z647" s="11" t="str">
        <f>IFERROR(IF(MARÍTIMOS[[#This Row],[Etapa Despacho - Llegada]]="","",MARÍTIMOS[[#This Row],[Etapa Despacho - Llegada]]),"")</f>
        <v/>
      </c>
      <c r="AA647" s="11" t="str">
        <f>IFERROR(IF(MARÍTIMOS[[#This Row],[Etapa Despacho - Registro]]="","",MARÍTIMOS[[#This Row],[Etapa Despacho - Registro]]),"")</f>
        <v/>
      </c>
      <c r="AB647" s="11" t="str">
        <f>IFERROR(IF(MARÍTIMOS[[#This Row],[Inspección Externa]]="","",MARÍTIMOS[[#This Row],[Inspección Externa]]),"")</f>
        <v/>
      </c>
      <c r="AC647" s="11" t="str">
        <f>IFERROR(IF(MARÍTIMOS[[#This Row],[Etapa Despacho - Inicio de Carga]]="","",MARÍTIMOS[[#This Row],[Etapa Despacho - Inicio de Carga]]),"")</f>
        <v/>
      </c>
      <c r="AD647" s="11" t="str">
        <f>IFERROR(IF(MARÍTIMOS[[#This Row],[Etapa Despacho - Mitad de Carga]]="","",MARÍTIMOS[[#This Row],[Etapa Despacho - Mitad de Carga]]),"")</f>
        <v/>
      </c>
      <c r="AE647" s="11" t="str">
        <f>IFERROR(IF(MARÍTIMOS[[#This Row],[Etapa Despacho - Fin de Carga]]="","",MARÍTIMOS[[#This Row],[Etapa Despacho - Fin de Carga]]),"")</f>
        <v/>
      </c>
      <c r="AF647" s="2" t="str">
        <f>IFERROR(IF(MARÍTIMOS[[#This Row],[Puerto de Embarque]]="","",MARÍTIMOS[[#This Row],[Puerto de Embarque]]),"")</f>
        <v/>
      </c>
      <c r="AG647" s="2" t="str">
        <f>IFERROR(IF(MARÍTIMOS[[#This Row],[Almacén de Ingreso]]="","",MARÍTIMOS[[#This Row],[Almacén de Ingreso]]),"")</f>
        <v/>
      </c>
      <c r="AH647" s="11" t="str">
        <f>IFERROR(IF(MARÍTIMOS[[#This Row],[Etapa Ingreso - Cita]]="","",MARÍTIMOS[[#This Row],[Etapa Ingreso - Cita]]),"")</f>
        <v/>
      </c>
      <c r="AI647" s="11" t="str">
        <f>IFERROR(IF(MARÍTIMOS[[#This Row],[Etapa Ingreso - Llegada]]="","",MARÍTIMOS[[#This Row],[Etapa Ingreso - Llegada]]),"")</f>
        <v/>
      </c>
      <c r="AJ647" s="11" t="str">
        <f>IFERROR(IF(MARÍTIMOS[[#This Row],[Etapa Ingreso - Ingeso]]="","",MARÍTIMOS[[#This Row],[Etapa Ingreso - Ingeso]]),"")</f>
        <v/>
      </c>
      <c r="AK647" s="11" t="str">
        <f>IFERROR(IF(MARÍTIMOS[[#This Row],[Etapa Ingreso - Atención]]="","",MARÍTIMOS[[#This Row],[Etapa Ingreso - Atención]]),"")</f>
        <v/>
      </c>
      <c r="AL647" s="11" t="str">
        <f>IFERROR(IF(MARÍTIMOS[[#This Row],[Etapa Ingreso - Salida]]="","",MARÍTIMOS[[#This Row],[Etapa Ingreso - Salida]]),"")</f>
        <v/>
      </c>
      <c r="AM647" s="2" t="str">
        <f>IFERROR(IF(MARÍTIMOS[[#This Row],[FCL]]="","",MARÍTIMOS[[#This Row],[FCL]]),"")</f>
        <v/>
      </c>
      <c r="AN6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7" s="4" t="str" cm="1">
        <f t="array" ref="AO6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7" s="5" t="str">
        <f>IFERROR(OLDBD[[#This Row],[Llegada a packing]]-OLDBD[[#This Row],[Inicio de Ruta]],"")</f>
        <v/>
      </c>
      <c r="AQ647" s="6" t="str">
        <f>IFERROR(OLDBD[[#This Row],[Inicio de Ruta]]-OLDBD[[#This Row],[Salida de almacén de retiro]],"")</f>
        <v/>
      </c>
      <c r="AR6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7" s="8" t="str" cm="1">
        <f t="array" ref="AS6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7" s="9" t="str">
        <f>IFERROR(OLDBD[[#This Row],[Ingreso Packing]]-OLDBD[[#This Row],[Registro en Packing]],"")</f>
        <v/>
      </c>
      <c r="AV647" s="9" t="str">
        <f>IFERROR(OLDBD[[#This Row],[Ingreso Packing]]-OLDBD[[#This Row],[Llegada a packing]],"")</f>
        <v/>
      </c>
      <c r="AW6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7" s="5" t="str">
        <f>IFERROR(OLDBD[[#This Row],[Llegada Almacén de Ingreso]]-OLDBD[[#This Row],[Salida Packing]],"")</f>
        <v/>
      </c>
      <c r="AY647" s="4" t="str" cm="1">
        <f t="array" ref="AY6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7" s="43" t="s">
        <v>173</v>
      </c>
      <c r="BB647" s="47" t="str">
        <f>IFERROR(IF(MARÍTIMOS[[#This Row],[Estatus]]="","",MARÍTIMOS[[#This Row],[Estatus]]),"")</f>
        <v/>
      </c>
      <c r="BC647" s="43"/>
      <c r="BD647" s="46" t="str">
        <f>IFERROR(OLDBD[[#This Row],[Salida de almacén de retiro]]-OLDBD[[#This Row],[Ingreso Almacén de retiro]],"")</f>
        <v/>
      </c>
      <c r="BE647" s="46" t="str">
        <f>IFERROR(OLDBD[[#This Row],[Fin de Carga]]-OLDBD[[#This Row],[Inicio de Carga]],"")</f>
        <v/>
      </c>
    </row>
    <row r="648" spans="1:57" customFormat="1" hidden="1">
      <c r="A648" s="1"/>
      <c r="B648" s="1" t="str">
        <f>IFERROR(IF(MARÍTIMOS[[#This Row],[PP]]="","",MARÍTIMOS[[#This Row],[PP]]),"")</f>
        <v/>
      </c>
      <c r="C648" s="1" t="str">
        <f>IFERROR(IF(MARÍTIMOS[[#This Row],[Sede]]="","",MARÍTIMOS[[#This Row],[Sede]]),"")</f>
        <v/>
      </c>
      <c r="D648" s="1" t="str">
        <f>IFERROR(IF(MARÍTIMOS[[#This Row],[Instruction]]="","",MARÍTIMOS[[#This Row],[Instruction]]),"")</f>
        <v/>
      </c>
      <c r="E648" s="1"/>
      <c r="F648" s="2" t="str">
        <f>IFERROR(IF(MARÍTIMOS[[#This Row],[Transportista]]="","",MARÍTIMOS[[#This Row],[Transportista]]),"")</f>
        <v/>
      </c>
      <c r="G648" s="2" t="str">
        <f>IFERROR(IF(MARÍTIMOS[[#This Row],[Tercero]]="","",MARÍTIMOS[[#This Row],[Tercero]]),"")</f>
        <v/>
      </c>
      <c r="H648" s="2" t="str">
        <f>IFERROR(IF(MARÍTIMOS[[#This Row],[Razón Social]]="","",MARÍTIMOS[[#This Row],[Razón Social]]),"")</f>
        <v/>
      </c>
      <c r="I648" s="2" t="str">
        <f>IFERROR(IF(MARÍTIMOS[[#This Row],[RUC]]="","",MARÍTIMOS[[#This Row],[RUC]]),"")</f>
        <v/>
      </c>
      <c r="J648" s="2" t="str">
        <f>IFERROR(IF(MARÍTIMOS[[#This Row],[Placa Tracto]]="","",MARÍTIMOS[[#This Row],[Placa Tracto]]),"")</f>
        <v/>
      </c>
      <c r="K648" s="2" t="str">
        <f>IFERROR(IF(MARÍTIMOS[[#This Row],[Placa Carreta]]="","",MARÍTIMOS[[#This Row],[Placa Carreta]]),"")</f>
        <v/>
      </c>
      <c r="L648" s="44" t="str">
        <f>IFERROR(IF(MARÍTIMOS[[#This Row],[Conductor]]="","",MARÍTIMOS[[#This Row],[Conductor]]),"")</f>
        <v/>
      </c>
      <c r="M648" s="2" t="str">
        <f>IFERROR(IF(MARÍTIMOS[[#This Row],[Licencia]]="","",MARÍTIMOS[[#This Row],[Licencia]]),"")</f>
        <v/>
      </c>
      <c r="N648" s="2" t="str">
        <f>IFERROR(IF(MARÍTIMOS[[#This Row],[Número de Contacto]]="","",MARÍTIMOS[[#This Row],[Número de Contacto]]),"")</f>
        <v/>
      </c>
      <c r="O648" s="10" t="str">
        <f>IFERROR(IF(MARÍTIMOS[[#This Row],[Booking|AWB|CRT]]="","",MARÍTIMOS[[#This Row],[Booking|AWB|CRT]]),"")</f>
        <v/>
      </c>
      <c r="P648" s="2" t="str">
        <f>IFERROR(IF(MARÍTIMOS[[#This Row],[Contenedor]]="","",MARÍTIMOS[[#This Row],[Contenedor]]),"")</f>
        <v/>
      </c>
      <c r="Q648" s="2" t="str">
        <f>IFERROR(IF(MARÍTIMOS[[#This Row],[Puerto de Retiro]]="","",MARÍTIMOS[[#This Row],[Puerto de Retiro]]),"")</f>
        <v/>
      </c>
      <c r="R648" s="2" t="str">
        <f>IFERROR(IF(MARÍTIMOS[[#This Row],[Almacén de Retiro]]="","",MARÍTIMOS[[#This Row],[Almacén de Retiro]]),"")</f>
        <v/>
      </c>
      <c r="S648" s="11" t="str">
        <f>IFERROR(IF(MARÍTIMOS[[#This Row],[Etapa Retiro - Cita]]="","",MARÍTIMOS[[#This Row],[Etapa Retiro - Cita]]),"")</f>
        <v/>
      </c>
      <c r="T648" s="11" t="str">
        <f>IFERROR(IF(MARÍTIMOS[[#This Row],[Etapa Retiro - Llegada]]="","",MARÍTIMOS[[#This Row],[Etapa Retiro - Llegada]]),"")</f>
        <v/>
      </c>
      <c r="U648" s="11" t="str">
        <f>IFERROR(IF(MARÍTIMOS[[#This Row],[Etapa Retiro - Ingreso]]="","",MARÍTIMOS[[#This Row],[Etapa Retiro - Ingreso]]),"")</f>
        <v/>
      </c>
      <c r="V648" s="11" t="str">
        <f>IFERROR(IF(MARÍTIMOS[[#This Row],[Etapa Retiro - Atención]]="","",MARÍTIMOS[[#This Row],[Etapa Retiro - Atención]]),"")</f>
        <v/>
      </c>
      <c r="W648" s="11" t="str">
        <f>IFERROR(IF(MARÍTIMOS[[#This Row],[Etapa Retiro - Atención]]="","",MARÍTIMOS[[#This Row],[Etapa Retiro - Atención]]),"")</f>
        <v/>
      </c>
      <c r="X648" s="11" t="str">
        <f>IFERROR(IF(MARÍTIMOS[[#This Row],[Etapa Retiro - Inicio de Ruta]]="","",MARÍTIMOS[[#This Row],[Etapa Retiro - Inicio de Ruta]]),"")</f>
        <v/>
      </c>
      <c r="Y648" s="11" t="str">
        <f>IFERROR(IF(MARÍTIMOS[[#This Row],[Hora de Posicionamiento]]="","",MARÍTIMOS[[#This Row],[Fecha de Carga]]+MARÍTIMOS[[#This Row],[Hora de Posicionamiento]]),"")</f>
        <v/>
      </c>
      <c r="Z648" s="11" t="str">
        <f>IFERROR(IF(MARÍTIMOS[[#This Row],[Etapa Despacho - Llegada]]="","",MARÍTIMOS[[#This Row],[Etapa Despacho - Llegada]]),"")</f>
        <v/>
      </c>
      <c r="AA648" s="11" t="str">
        <f>IFERROR(IF(MARÍTIMOS[[#This Row],[Etapa Despacho - Registro]]="","",MARÍTIMOS[[#This Row],[Etapa Despacho - Registro]]),"")</f>
        <v/>
      </c>
      <c r="AB648" s="11" t="str">
        <f>IFERROR(IF(MARÍTIMOS[[#This Row],[Inspección Externa]]="","",MARÍTIMOS[[#This Row],[Inspección Externa]]),"")</f>
        <v/>
      </c>
      <c r="AC648" s="11" t="str">
        <f>IFERROR(IF(MARÍTIMOS[[#This Row],[Etapa Despacho - Inicio de Carga]]="","",MARÍTIMOS[[#This Row],[Etapa Despacho - Inicio de Carga]]),"")</f>
        <v/>
      </c>
      <c r="AD648" s="11" t="str">
        <f>IFERROR(IF(MARÍTIMOS[[#This Row],[Etapa Despacho - Mitad de Carga]]="","",MARÍTIMOS[[#This Row],[Etapa Despacho - Mitad de Carga]]),"")</f>
        <v/>
      </c>
      <c r="AE648" s="11" t="str">
        <f>IFERROR(IF(MARÍTIMOS[[#This Row],[Etapa Despacho - Fin de Carga]]="","",MARÍTIMOS[[#This Row],[Etapa Despacho - Fin de Carga]]),"")</f>
        <v/>
      </c>
      <c r="AF648" s="2" t="str">
        <f>IFERROR(IF(MARÍTIMOS[[#This Row],[Puerto de Embarque]]="","",MARÍTIMOS[[#This Row],[Puerto de Embarque]]),"")</f>
        <v/>
      </c>
      <c r="AG648" s="2" t="str">
        <f>IFERROR(IF(MARÍTIMOS[[#This Row],[Almacén de Ingreso]]="","",MARÍTIMOS[[#This Row],[Almacén de Ingreso]]),"")</f>
        <v/>
      </c>
      <c r="AH648" s="11" t="str">
        <f>IFERROR(IF(MARÍTIMOS[[#This Row],[Etapa Ingreso - Cita]]="","",MARÍTIMOS[[#This Row],[Etapa Ingreso - Cita]]),"")</f>
        <v/>
      </c>
      <c r="AI648" s="11" t="str">
        <f>IFERROR(IF(MARÍTIMOS[[#This Row],[Etapa Ingreso - Llegada]]="","",MARÍTIMOS[[#This Row],[Etapa Ingreso - Llegada]]),"")</f>
        <v/>
      </c>
      <c r="AJ648" s="11" t="str">
        <f>IFERROR(IF(MARÍTIMOS[[#This Row],[Etapa Ingreso - Ingeso]]="","",MARÍTIMOS[[#This Row],[Etapa Ingreso - Ingeso]]),"")</f>
        <v/>
      </c>
      <c r="AK648" s="11" t="str">
        <f>IFERROR(IF(MARÍTIMOS[[#This Row],[Etapa Ingreso - Atención]]="","",MARÍTIMOS[[#This Row],[Etapa Ingreso - Atención]]),"")</f>
        <v/>
      </c>
      <c r="AL648" s="11" t="str">
        <f>IFERROR(IF(MARÍTIMOS[[#This Row],[Etapa Ingreso - Salida]]="","",MARÍTIMOS[[#This Row],[Etapa Ingreso - Salida]]),"")</f>
        <v/>
      </c>
      <c r="AM648" s="2" t="str">
        <f>IFERROR(IF(MARÍTIMOS[[#This Row],[FCL]]="","",MARÍTIMOS[[#This Row],[FCL]]),"")</f>
        <v/>
      </c>
      <c r="AN6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8" s="4" t="str" cm="1">
        <f t="array" ref="AO6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8" s="5" t="str">
        <f>IFERROR(OLDBD[[#This Row],[Llegada a packing]]-OLDBD[[#This Row],[Inicio de Ruta]],"")</f>
        <v/>
      </c>
      <c r="AQ648" s="6" t="str">
        <f>IFERROR(OLDBD[[#This Row],[Inicio de Ruta]]-OLDBD[[#This Row],[Salida de almacén de retiro]],"")</f>
        <v/>
      </c>
      <c r="AR6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8" s="8" t="str" cm="1">
        <f t="array" ref="AS6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8" s="9" t="str">
        <f>IFERROR(OLDBD[[#This Row],[Ingreso Packing]]-OLDBD[[#This Row],[Registro en Packing]],"")</f>
        <v/>
      </c>
      <c r="AV648" s="9" t="str">
        <f>IFERROR(OLDBD[[#This Row],[Ingreso Packing]]-OLDBD[[#This Row],[Llegada a packing]],"")</f>
        <v/>
      </c>
      <c r="AW6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8" s="5" t="str">
        <f>IFERROR(OLDBD[[#This Row],[Llegada Almacén de Ingreso]]-OLDBD[[#This Row],[Salida Packing]],"")</f>
        <v/>
      </c>
      <c r="AY648" s="4" t="str" cm="1">
        <f t="array" ref="AY6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8" s="43" t="s">
        <v>173</v>
      </c>
      <c r="BB648" s="47" t="str">
        <f>IFERROR(IF(MARÍTIMOS[[#This Row],[Estatus]]="","",MARÍTIMOS[[#This Row],[Estatus]]),"")</f>
        <v/>
      </c>
      <c r="BC648" s="43"/>
      <c r="BD648" s="46" t="str">
        <f>IFERROR(OLDBD[[#This Row],[Salida de almacén de retiro]]-OLDBD[[#This Row],[Ingreso Almacén de retiro]],"")</f>
        <v/>
      </c>
      <c r="BE648" s="46" t="str">
        <f>IFERROR(OLDBD[[#This Row],[Fin de Carga]]-OLDBD[[#This Row],[Inicio de Carga]],"")</f>
        <v/>
      </c>
    </row>
    <row r="649" spans="1:57" customFormat="1" hidden="1">
      <c r="A649" s="1"/>
      <c r="B649" s="1" t="str">
        <f>IFERROR(IF(MARÍTIMOS[[#This Row],[PP]]="","",MARÍTIMOS[[#This Row],[PP]]),"")</f>
        <v/>
      </c>
      <c r="C649" s="1" t="str">
        <f>IFERROR(IF(MARÍTIMOS[[#This Row],[Sede]]="","",MARÍTIMOS[[#This Row],[Sede]]),"")</f>
        <v/>
      </c>
      <c r="D649" s="1" t="str">
        <f>IFERROR(IF(MARÍTIMOS[[#This Row],[Instruction]]="","",MARÍTIMOS[[#This Row],[Instruction]]),"")</f>
        <v/>
      </c>
      <c r="E649" s="1"/>
      <c r="F649" s="2" t="str">
        <f>IFERROR(IF(MARÍTIMOS[[#This Row],[Transportista]]="","",MARÍTIMOS[[#This Row],[Transportista]]),"")</f>
        <v/>
      </c>
      <c r="G649" s="2" t="str">
        <f>IFERROR(IF(MARÍTIMOS[[#This Row],[Tercero]]="","",MARÍTIMOS[[#This Row],[Tercero]]),"")</f>
        <v/>
      </c>
      <c r="H649" s="2" t="str">
        <f>IFERROR(IF(MARÍTIMOS[[#This Row],[Razón Social]]="","",MARÍTIMOS[[#This Row],[Razón Social]]),"")</f>
        <v/>
      </c>
      <c r="I649" s="2" t="str">
        <f>IFERROR(IF(MARÍTIMOS[[#This Row],[RUC]]="","",MARÍTIMOS[[#This Row],[RUC]]),"")</f>
        <v/>
      </c>
      <c r="J649" s="2" t="str">
        <f>IFERROR(IF(MARÍTIMOS[[#This Row],[Placa Tracto]]="","",MARÍTIMOS[[#This Row],[Placa Tracto]]),"")</f>
        <v/>
      </c>
      <c r="K649" s="2" t="str">
        <f>IFERROR(IF(MARÍTIMOS[[#This Row],[Placa Carreta]]="","",MARÍTIMOS[[#This Row],[Placa Carreta]]),"")</f>
        <v/>
      </c>
      <c r="L649" s="44" t="str">
        <f>IFERROR(IF(MARÍTIMOS[[#This Row],[Conductor]]="","",MARÍTIMOS[[#This Row],[Conductor]]),"")</f>
        <v/>
      </c>
      <c r="M649" s="2" t="str">
        <f>IFERROR(IF(MARÍTIMOS[[#This Row],[Licencia]]="","",MARÍTIMOS[[#This Row],[Licencia]]),"")</f>
        <v/>
      </c>
      <c r="N649" s="2" t="str">
        <f>IFERROR(IF(MARÍTIMOS[[#This Row],[Número de Contacto]]="","",MARÍTIMOS[[#This Row],[Número de Contacto]]),"")</f>
        <v/>
      </c>
      <c r="O649" s="10" t="str">
        <f>IFERROR(IF(MARÍTIMOS[[#This Row],[Booking|AWB|CRT]]="","",MARÍTIMOS[[#This Row],[Booking|AWB|CRT]]),"")</f>
        <v/>
      </c>
      <c r="P649" s="2" t="str">
        <f>IFERROR(IF(MARÍTIMOS[[#This Row],[Contenedor]]="","",MARÍTIMOS[[#This Row],[Contenedor]]),"")</f>
        <v/>
      </c>
      <c r="Q649" s="2" t="str">
        <f>IFERROR(IF(MARÍTIMOS[[#This Row],[Puerto de Retiro]]="","",MARÍTIMOS[[#This Row],[Puerto de Retiro]]),"")</f>
        <v/>
      </c>
      <c r="R649" s="2" t="str">
        <f>IFERROR(IF(MARÍTIMOS[[#This Row],[Almacén de Retiro]]="","",MARÍTIMOS[[#This Row],[Almacén de Retiro]]),"")</f>
        <v/>
      </c>
      <c r="S649" s="11" t="str">
        <f>IFERROR(IF(MARÍTIMOS[[#This Row],[Etapa Retiro - Cita]]="","",MARÍTIMOS[[#This Row],[Etapa Retiro - Cita]]),"")</f>
        <v/>
      </c>
      <c r="T649" s="11" t="str">
        <f>IFERROR(IF(MARÍTIMOS[[#This Row],[Etapa Retiro - Llegada]]="","",MARÍTIMOS[[#This Row],[Etapa Retiro - Llegada]]),"")</f>
        <v/>
      </c>
      <c r="U649" s="11" t="str">
        <f>IFERROR(IF(MARÍTIMOS[[#This Row],[Etapa Retiro - Ingreso]]="","",MARÍTIMOS[[#This Row],[Etapa Retiro - Ingreso]]),"")</f>
        <v/>
      </c>
      <c r="V649" s="11" t="str">
        <f>IFERROR(IF(MARÍTIMOS[[#This Row],[Etapa Retiro - Atención]]="","",MARÍTIMOS[[#This Row],[Etapa Retiro - Atención]]),"")</f>
        <v/>
      </c>
      <c r="W649" s="11" t="str">
        <f>IFERROR(IF(MARÍTIMOS[[#This Row],[Etapa Retiro - Atención]]="","",MARÍTIMOS[[#This Row],[Etapa Retiro - Atención]]),"")</f>
        <v/>
      </c>
      <c r="X649" s="11" t="str">
        <f>IFERROR(IF(MARÍTIMOS[[#This Row],[Etapa Retiro - Inicio de Ruta]]="","",MARÍTIMOS[[#This Row],[Etapa Retiro - Inicio de Ruta]]),"")</f>
        <v/>
      </c>
      <c r="Y649" s="11" t="str">
        <f>IFERROR(IF(MARÍTIMOS[[#This Row],[Hora de Posicionamiento]]="","",MARÍTIMOS[[#This Row],[Fecha de Carga]]+MARÍTIMOS[[#This Row],[Hora de Posicionamiento]]),"")</f>
        <v/>
      </c>
      <c r="Z649" s="11" t="str">
        <f>IFERROR(IF(MARÍTIMOS[[#This Row],[Etapa Despacho - Llegada]]="","",MARÍTIMOS[[#This Row],[Etapa Despacho - Llegada]]),"")</f>
        <v/>
      </c>
      <c r="AA649" s="11" t="str">
        <f>IFERROR(IF(MARÍTIMOS[[#This Row],[Etapa Despacho - Registro]]="","",MARÍTIMOS[[#This Row],[Etapa Despacho - Registro]]),"")</f>
        <v/>
      </c>
      <c r="AB649" s="11" t="str">
        <f>IFERROR(IF(MARÍTIMOS[[#This Row],[Inspección Externa]]="","",MARÍTIMOS[[#This Row],[Inspección Externa]]),"")</f>
        <v/>
      </c>
      <c r="AC649" s="11" t="str">
        <f>IFERROR(IF(MARÍTIMOS[[#This Row],[Etapa Despacho - Inicio de Carga]]="","",MARÍTIMOS[[#This Row],[Etapa Despacho - Inicio de Carga]]),"")</f>
        <v/>
      </c>
      <c r="AD649" s="11" t="str">
        <f>IFERROR(IF(MARÍTIMOS[[#This Row],[Etapa Despacho - Mitad de Carga]]="","",MARÍTIMOS[[#This Row],[Etapa Despacho - Mitad de Carga]]),"")</f>
        <v/>
      </c>
      <c r="AE649" s="11" t="str">
        <f>IFERROR(IF(MARÍTIMOS[[#This Row],[Etapa Despacho - Fin de Carga]]="","",MARÍTIMOS[[#This Row],[Etapa Despacho - Fin de Carga]]),"")</f>
        <v/>
      </c>
      <c r="AF649" s="2" t="str">
        <f>IFERROR(IF(MARÍTIMOS[[#This Row],[Puerto de Embarque]]="","",MARÍTIMOS[[#This Row],[Puerto de Embarque]]),"")</f>
        <v/>
      </c>
      <c r="AG649" s="2" t="str">
        <f>IFERROR(IF(MARÍTIMOS[[#This Row],[Almacén de Ingreso]]="","",MARÍTIMOS[[#This Row],[Almacén de Ingreso]]),"")</f>
        <v/>
      </c>
      <c r="AH649" s="11" t="str">
        <f>IFERROR(IF(MARÍTIMOS[[#This Row],[Etapa Ingreso - Cita]]="","",MARÍTIMOS[[#This Row],[Etapa Ingreso - Cita]]),"")</f>
        <v/>
      </c>
      <c r="AI649" s="11" t="str">
        <f>IFERROR(IF(MARÍTIMOS[[#This Row],[Etapa Ingreso - Llegada]]="","",MARÍTIMOS[[#This Row],[Etapa Ingreso - Llegada]]),"")</f>
        <v/>
      </c>
      <c r="AJ649" s="11" t="str">
        <f>IFERROR(IF(MARÍTIMOS[[#This Row],[Etapa Ingreso - Ingeso]]="","",MARÍTIMOS[[#This Row],[Etapa Ingreso - Ingeso]]),"")</f>
        <v/>
      </c>
      <c r="AK649" s="11" t="str">
        <f>IFERROR(IF(MARÍTIMOS[[#This Row],[Etapa Ingreso - Atención]]="","",MARÍTIMOS[[#This Row],[Etapa Ingreso - Atención]]),"")</f>
        <v/>
      </c>
      <c r="AL649" s="11" t="str">
        <f>IFERROR(IF(MARÍTIMOS[[#This Row],[Etapa Ingreso - Salida]]="","",MARÍTIMOS[[#This Row],[Etapa Ingreso - Salida]]),"")</f>
        <v/>
      </c>
      <c r="AM649" s="2" t="str">
        <f>IFERROR(IF(MARÍTIMOS[[#This Row],[FCL]]="","",MARÍTIMOS[[#This Row],[FCL]]),"")</f>
        <v/>
      </c>
      <c r="AN6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49" s="4" t="str" cm="1">
        <f t="array" ref="AO6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49" s="5" t="str">
        <f>IFERROR(OLDBD[[#This Row],[Llegada a packing]]-OLDBD[[#This Row],[Inicio de Ruta]],"")</f>
        <v/>
      </c>
      <c r="AQ649" s="6" t="str">
        <f>IFERROR(OLDBD[[#This Row],[Inicio de Ruta]]-OLDBD[[#This Row],[Salida de almacén de retiro]],"")</f>
        <v/>
      </c>
      <c r="AR6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49" s="8" t="str" cm="1">
        <f t="array" ref="AS6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49" s="9" t="str">
        <f>IFERROR(OLDBD[[#This Row],[Ingreso Packing]]-OLDBD[[#This Row],[Registro en Packing]],"")</f>
        <v/>
      </c>
      <c r="AV649" s="9" t="str">
        <f>IFERROR(OLDBD[[#This Row],[Ingreso Packing]]-OLDBD[[#This Row],[Llegada a packing]],"")</f>
        <v/>
      </c>
      <c r="AW6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49" s="5" t="str">
        <f>IFERROR(OLDBD[[#This Row],[Llegada Almacén de Ingreso]]-OLDBD[[#This Row],[Salida Packing]],"")</f>
        <v/>
      </c>
      <c r="AY649" s="4" t="str" cm="1">
        <f t="array" ref="AY6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49" s="43" t="s">
        <v>173</v>
      </c>
      <c r="BB649" s="47" t="str">
        <f>IFERROR(IF(MARÍTIMOS[[#This Row],[Estatus]]="","",MARÍTIMOS[[#This Row],[Estatus]]),"")</f>
        <v/>
      </c>
      <c r="BC649" s="43"/>
      <c r="BD649" s="46" t="str">
        <f>IFERROR(OLDBD[[#This Row],[Salida de almacén de retiro]]-OLDBD[[#This Row],[Ingreso Almacén de retiro]],"")</f>
        <v/>
      </c>
      <c r="BE649" s="46" t="str">
        <f>IFERROR(OLDBD[[#This Row],[Fin de Carga]]-OLDBD[[#This Row],[Inicio de Carga]],"")</f>
        <v/>
      </c>
    </row>
    <row r="650" spans="1:57" customFormat="1" hidden="1">
      <c r="A650" s="1"/>
      <c r="B650" s="1" t="str">
        <f>IFERROR(IF(MARÍTIMOS[[#This Row],[PP]]="","",MARÍTIMOS[[#This Row],[PP]]),"")</f>
        <v/>
      </c>
      <c r="C650" s="1" t="str">
        <f>IFERROR(IF(MARÍTIMOS[[#This Row],[Sede]]="","",MARÍTIMOS[[#This Row],[Sede]]),"")</f>
        <v/>
      </c>
      <c r="D650" s="1" t="str">
        <f>IFERROR(IF(MARÍTIMOS[[#This Row],[Instruction]]="","",MARÍTIMOS[[#This Row],[Instruction]]),"")</f>
        <v/>
      </c>
      <c r="E650" s="1"/>
      <c r="F650" s="2" t="str">
        <f>IFERROR(IF(MARÍTIMOS[[#This Row],[Transportista]]="","",MARÍTIMOS[[#This Row],[Transportista]]),"")</f>
        <v/>
      </c>
      <c r="G650" s="2" t="str">
        <f>IFERROR(IF(MARÍTIMOS[[#This Row],[Tercero]]="","",MARÍTIMOS[[#This Row],[Tercero]]),"")</f>
        <v/>
      </c>
      <c r="H650" s="2" t="str">
        <f>IFERROR(IF(MARÍTIMOS[[#This Row],[Razón Social]]="","",MARÍTIMOS[[#This Row],[Razón Social]]),"")</f>
        <v/>
      </c>
      <c r="I650" s="2" t="str">
        <f>IFERROR(IF(MARÍTIMOS[[#This Row],[RUC]]="","",MARÍTIMOS[[#This Row],[RUC]]),"")</f>
        <v/>
      </c>
      <c r="J650" s="2" t="str">
        <f>IFERROR(IF(MARÍTIMOS[[#This Row],[Placa Tracto]]="","",MARÍTIMOS[[#This Row],[Placa Tracto]]),"")</f>
        <v/>
      </c>
      <c r="K650" s="2" t="str">
        <f>IFERROR(IF(MARÍTIMOS[[#This Row],[Placa Carreta]]="","",MARÍTIMOS[[#This Row],[Placa Carreta]]),"")</f>
        <v/>
      </c>
      <c r="L650" s="44" t="str">
        <f>IFERROR(IF(MARÍTIMOS[[#This Row],[Conductor]]="","",MARÍTIMOS[[#This Row],[Conductor]]),"")</f>
        <v/>
      </c>
      <c r="M650" s="2" t="str">
        <f>IFERROR(IF(MARÍTIMOS[[#This Row],[Licencia]]="","",MARÍTIMOS[[#This Row],[Licencia]]),"")</f>
        <v/>
      </c>
      <c r="N650" s="2" t="str">
        <f>IFERROR(IF(MARÍTIMOS[[#This Row],[Número de Contacto]]="","",MARÍTIMOS[[#This Row],[Número de Contacto]]),"")</f>
        <v/>
      </c>
      <c r="O650" s="10" t="str">
        <f>IFERROR(IF(MARÍTIMOS[[#This Row],[Booking|AWB|CRT]]="","",MARÍTIMOS[[#This Row],[Booking|AWB|CRT]]),"")</f>
        <v/>
      </c>
      <c r="P650" s="2" t="str">
        <f>IFERROR(IF(MARÍTIMOS[[#This Row],[Contenedor]]="","",MARÍTIMOS[[#This Row],[Contenedor]]),"")</f>
        <v/>
      </c>
      <c r="Q650" s="2" t="str">
        <f>IFERROR(IF(MARÍTIMOS[[#This Row],[Puerto de Retiro]]="","",MARÍTIMOS[[#This Row],[Puerto de Retiro]]),"")</f>
        <v/>
      </c>
      <c r="R650" s="2" t="str">
        <f>IFERROR(IF(MARÍTIMOS[[#This Row],[Almacén de Retiro]]="","",MARÍTIMOS[[#This Row],[Almacén de Retiro]]),"")</f>
        <v/>
      </c>
      <c r="S650" s="11" t="str">
        <f>IFERROR(IF(MARÍTIMOS[[#This Row],[Etapa Retiro - Cita]]="","",MARÍTIMOS[[#This Row],[Etapa Retiro - Cita]]),"")</f>
        <v/>
      </c>
      <c r="T650" s="11" t="str">
        <f>IFERROR(IF(MARÍTIMOS[[#This Row],[Etapa Retiro - Llegada]]="","",MARÍTIMOS[[#This Row],[Etapa Retiro - Llegada]]),"")</f>
        <v/>
      </c>
      <c r="U650" s="11" t="str">
        <f>IFERROR(IF(MARÍTIMOS[[#This Row],[Etapa Retiro - Ingreso]]="","",MARÍTIMOS[[#This Row],[Etapa Retiro - Ingreso]]),"")</f>
        <v/>
      </c>
      <c r="V650" s="11" t="str">
        <f>IFERROR(IF(MARÍTIMOS[[#This Row],[Etapa Retiro - Atención]]="","",MARÍTIMOS[[#This Row],[Etapa Retiro - Atención]]),"")</f>
        <v/>
      </c>
      <c r="W650" s="11" t="str">
        <f>IFERROR(IF(MARÍTIMOS[[#This Row],[Etapa Retiro - Atención]]="","",MARÍTIMOS[[#This Row],[Etapa Retiro - Atención]]),"")</f>
        <v/>
      </c>
      <c r="X650" s="11" t="str">
        <f>IFERROR(IF(MARÍTIMOS[[#This Row],[Etapa Retiro - Inicio de Ruta]]="","",MARÍTIMOS[[#This Row],[Etapa Retiro - Inicio de Ruta]]),"")</f>
        <v/>
      </c>
      <c r="Y650" s="11" t="str">
        <f>IFERROR(IF(MARÍTIMOS[[#This Row],[Hora de Posicionamiento]]="","",MARÍTIMOS[[#This Row],[Fecha de Carga]]+MARÍTIMOS[[#This Row],[Hora de Posicionamiento]]),"")</f>
        <v/>
      </c>
      <c r="Z650" s="11" t="str">
        <f>IFERROR(IF(MARÍTIMOS[[#This Row],[Etapa Despacho - Llegada]]="","",MARÍTIMOS[[#This Row],[Etapa Despacho - Llegada]]),"")</f>
        <v/>
      </c>
      <c r="AA650" s="11" t="str">
        <f>IFERROR(IF(MARÍTIMOS[[#This Row],[Etapa Despacho - Registro]]="","",MARÍTIMOS[[#This Row],[Etapa Despacho - Registro]]),"")</f>
        <v/>
      </c>
      <c r="AB650" s="11" t="str">
        <f>IFERROR(IF(MARÍTIMOS[[#This Row],[Inspección Externa]]="","",MARÍTIMOS[[#This Row],[Inspección Externa]]),"")</f>
        <v/>
      </c>
      <c r="AC650" s="11" t="str">
        <f>IFERROR(IF(MARÍTIMOS[[#This Row],[Etapa Despacho - Inicio de Carga]]="","",MARÍTIMOS[[#This Row],[Etapa Despacho - Inicio de Carga]]),"")</f>
        <v/>
      </c>
      <c r="AD650" s="11" t="str">
        <f>IFERROR(IF(MARÍTIMOS[[#This Row],[Etapa Despacho - Mitad de Carga]]="","",MARÍTIMOS[[#This Row],[Etapa Despacho - Mitad de Carga]]),"")</f>
        <v/>
      </c>
      <c r="AE650" s="11" t="str">
        <f>IFERROR(IF(MARÍTIMOS[[#This Row],[Etapa Despacho - Fin de Carga]]="","",MARÍTIMOS[[#This Row],[Etapa Despacho - Fin de Carga]]),"")</f>
        <v/>
      </c>
      <c r="AF650" s="2" t="str">
        <f>IFERROR(IF(MARÍTIMOS[[#This Row],[Puerto de Embarque]]="","",MARÍTIMOS[[#This Row],[Puerto de Embarque]]),"")</f>
        <v/>
      </c>
      <c r="AG650" s="2" t="str">
        <f>IFERROR(IF(MARÍTIMOS[[#This Row],[Almacén de Ingreso]]="","",MARÍTIMOS[[#This Row],[Almacén de Ingreso]]),"")</f>
        <v/>
      </c>
      <c r="AH650" s="11" t="str">
        <f>IFERROR(IF(MARÍTIMOS[[#This Row],[Etapa Ingreso - Cita]]="","",MARÍTIMOS[[#This Row],[Etapa Ingreso - Cita]]),"")</f>
        <v/>
      </c>
      <c r="AI650" s="11" t="str">
        <f>IFERROR(IF(MARÍTIMOS[[#This Row],[Etapa Ingreso - Llegada]]="","",MARÍTIMOS[[#This Row],[Etapa Ingreso - Llegada]]),"")</f>
        <v/>
      </c>
      <c r="AJ650" s="11" t="str">
        <f>IFERROR(IF(MARÍTIMOS[[#This Row],[Etapa Ingreso - Ingeso]]="","",MARÍTIMOS[[#This Row],[Etapa Ingreso - Ingeso]]),"")</f>
        <v/>
      </c>
      <c r="AK650" s="11" t="str">
        <f>IFERROR(IF(MARÍTIMOS[[#This Row],[Etapa Ingreso - Atención]]="","",MARÍTIMOS[[#This Row],[Etapa Ingreso - Atención]]),"")</f>
        <v/>
      </c>
      <c r="AL650" s="11" t="str">
        <f>IFERROR(IF(MARÍTIMOS[[#This Row],[Etapa Ingreso - Salida]]="","",MARÍTIMOS[[#This Row],[Etapa Ingreso - Salida]]),"")</f>
        <v/>
      </c>
      <c r="AM650" s="2" t="str">
        <f>IFERROR(IF(MARÍTIMOS[[#This Row],[FCL]]="","",MARÍTIMOS[[#This Row],[FCL]]),"")</f>
        <v/>
      </c>
      <c r="AN6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0" s="4" t="str" cm="1">
        <f t="array" ref="AO6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0" s="5" t="str">
        <f>IFERROR(OLDBD[[#This Row],[Llegada a packing]]-OLDBD[[#This Row],[Inicio de Ruta]],"")</f>
        <v/>
      </c>
      <c r="AQ650" s="6" t="str">
        <f>IFERROR(OLDBD[[#This Row],[Inicio de Ruta]]-OLDBD[[#This Row],[Salida de almacén de retiro]],"")</f>
        <v/>
      </c>
      <c r="AR6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0" s="8" t="str" cm="1">
        <f t="array" ref="AS6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0" s="9" t="str">
        <f>IFERROR(OLDBD[[#This Row],[Ingreso Packing]]-OLDBD[[#This Row],[Registro en Packing]],"")</f>
        <v/>
      </c>
      <c r="AV650" s="9" t="str">
        <f>IFERROR(OLDBD[[#This Row],[Ingreso Packing]]-OLDBD[[#This Row],[Llegada a packing]],"")</f>
        <v/>
      </c>
      <c r="AW6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0" s="5" t="str">
        <f>IFERROR(OLDBD[[#This Row],[Llegada Almacén de Ingreso]]-OLDBD[[#This Row],[Salida Packing]],"")</f>
        <v/>
      </c>
      <c r="AY650" s="4" t="str" cm="1">
        <f t="array" ref="AY6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0" s="43" t="s">
        <v>173</v>
      </c>
      <c r="BB650" s="47" t="str">
        <f>IFERROR(IF(MARÍTIMOS[[#This Row],[Estatus]]="","",MARÍTIMOS[[#This Row],[Estatus]]),"")</f>
        <v/>
      </c>
      <c r="BC650" s="43"/>
      <c r="BD650" s="46" t="str">
        <f>IFERROR(OLDBD[[#This Row],[Salida de almacén de retiro]]-OLDBD[[#This Row],[Ingreso Almacén de retiro]],"")</f>
        <v/>
      </c>
      <c r="BE650" s="46" t="str">
        <f>IFERROR(OLDBD[[#This Row],[Fin de Carga]]-OLDBD[[#This Row],[Inicio de Carga]],"")</f>
        <v/>
      </c>
    </row>
    <row r="651" spans="1:57" customFormat="1" hidden="1">
      <c r="A651" s="1"/>
      <c r="B651" s="1" t="str">
        <f>IFERROR(IF(MARÍTIMOS[[#This Row],[PP]]="","",MARÍTIMOS[[#This Row],[PP]]),"")</f>
        <v/>
      </c>
      <c r="C651" s="1" t="str">
        <f>IFERROR(IF(MARÍTIMOS[[#This Row],[Sede]]="","",MARÍTIMOS[[#This Row],[Sede]]),"")</f>
        <v/>
      </c>
      <c r="D651" s="1" t="str">
        <f>IFERROR(IF(MARÍTIMOS[[#This Row],[Instruction]]="","",MARÍTIMOS[[#This Row],[Instruction]]),"")</f>
        <v/>
      </c>
      <c r="E651" s="1"/>
      <c r="F651" s="2" t="str">
        <f>IFERROR(IF(MARÍTIMOS[[#This Row],[Transportista]]="","",MARÍTIMOS[[#This Row],[Transportista]]),"")</f>
        <v/>
      </c>
      <c r="G651" s="2" t="str">
        <f>IFERROR(IF(MARÍTIMOS[[#This Row],[Tercero]]="","",MARÍTIMOS[[#This Row],[Tercero]]),"")</f>
        <v/>
      </c>
      <c r="H651" s="2" t="str">
        <f>IFERROR(IF(MARÍTIMOS[[#This Row],[Razón Social]]="","",MARÍTIMOS[[#This Row],[Razón Social]]),"")</f>
        <v/>
      </c>
      <c r="I651" s="2" t="str">
        <f>IFERROR(IF(MARÍTIMOS[[#This Row],[RUC]]="","",MARÍTIMOS[[#This Row],[RUC]]),"")</f>
        <v/>
      </c>
      <c r="J651" s="2" t="str">
        <f>IFERROR(IF(MARÍTIMOS[[#This Row],[Placa Tracto]]="","",MARÍTIMOS[[#This Row],[Placa Tracto]]),"")</f>
        <v/>
      </c>
      <c r="K651" s="2" t="str">
        <f>IFERROR(IF(MARÍTIMOS[[#This Row],[Placa Carreta]]="","",MARÍTIMOS[[#This Row],[Placa Carreta]]),"")</f>
        <v/>
      </c>
      <c r="L651" s="44" t="str">
        <f>IFERROR(IF(MARÍTIMOS[[#This Row],[Conductor]]="","",MARÍTIMOS[[#This Row],[Conductor]]),"")</f>
        <v/>
      </c>
      <c r="M651" s="2" t="str">
        <f>IFERROR(IF(MARÍTIMOS[[#This Row],[Licencia]]="","",MARÍTIMOS[[#This Row],[Licencia]]),"")</f>
        <v/>
      </c>
      <c r="N651" s="2" t="str">
        <f>IFERROR(IF(MARÍTIMOS[[#This Row],[Número de Contacto]]="","",MARÍTIMOS[[#This Row],[Número de Contacto]]),"")</f>
        <v/>
      </c>
      <c r="O651" s="10" t="str">
        <f>IFERROR(IF(MARÍTIMOS[[#This Row],[Booking|AWB|CRT]]="","",MARÍTIMOS[[#This Row],[Booking|AWB|CRT]]),"")</f>
        <v/>
      </c>
      <c r="P651" s="2" t="str">
        <f>IFERROR(IF(MARÍTIMOS[[#This Row],[Contenedor]]="","",MARÍTIMOS[[#This Row],[Contenedor]]),"")</f>
        <v/>
      </c>
      <c r="Q651" s="2" t="str">
        <f>IFERROR(IF(MARÍTIMOS[[#This Row],[Puerto de Retiro]]="","",MARÍTIMOS[[#This Row],[Puerto de Retiro]]),"")</f>
        <v/>
      </c>
      <c r="R651" s="2" t="str">
        <f>IFERROR(IF(MARÍTIMOS[[#This Row],[Almacén de Retiro]]="","",MARÍTIMOS[[#This Row],[Almacén de Retiro]]),"")</f>
        <v/>
      </c>
      <c r="S651" s="11" t="str">
        <f>IFERROR(IF(MARÍTIMOS[[#This Row],[Etapa Retiro - Cita]]="","",MARÍTIMOS[[#This Row],[Etapa Retiro - Cita]]),"")</f>
        <v/>
      </c>
      <c r="T651" s="11" t="str">
        <f>IFERROR(IF(MARÍTIMOS[[#This Row],[Etapa Retiro - Llegada]]="","",MARÍTIMOS[[#This Row],[Etapa Retiro - Llegada]]),"")</f>
        <v/>
      </c>
      <c r="U651" s="11" t="str">
        <f>IFERROR(IF(MARÍTIMOS[[#This Row],[Etapa Retiro - Ingreso]]="","",MARÍTIMOS[[#This Row],[Etapa Retiro - Ingreso]]),"")</f>
        <v/>
      </c>
      <c r="V651" s="11" t="str">
        <f>IFERROR(IF(MARÍTIMOS[[#This Row],[Etapa Retiro - Atención]]="","",MARÍTIMOS[[#This Row],[Etapa Retiro - Atención]]),"")</f>
        <v/>
      </c>
      <c r="W651" s="11" t="str">
        <f>IFERROR(IF(MARÍTIMOS[[#This Row],[Etapa Retiro - Atención]]="","",MARÍTIMOS[[#This Row],[Etapa Retiro - Atención]]),"")</f>
        <v/>
      </c>
      <c r="X651" s="11" t="str">
        <f>IFERROR(IF(MARÍTIMOS[[#This Row],[Etapa Retiro - Inicio de Ruta]]="","",MARÍTIMOS[[#This Row],[Etapa Retiro - Inicio de Ruta]]),"")</f>
        <v/>
      </c>
      <c r="Y651" s="11" t="str">
        <f>IFERROR(IF(MARÍTIMOS[[#This Row],[Hora de Posicionamiento]]="","",MARÍTIMOS[[#This Row],[Fecha de Carga]]+MARÍTIMOS[[#This Row],[Hora de Posicionamiento]]),"")</f>
        <v/>
      </c>
      <c r="Z651" s="11" t="str">
        <f>IFERROR(IF(MARÍTIMOS[[#This Row],[Etapa Despacho - Llegada]]="","",MARÍTIMOS[[#This Row],[Etapa Despacho - Llegada]]),"")</f>
        <v/>
      </c>
      <c r="AA651" s="11" t="str">
        <f>IFERROR(IF(MARÍTIMOS[[#This Row],[Etapa Despacho - Registro]]="","",MARÍTIMOS[[#This Row],[Etapa Despacho - Registro]]),"")</f>
        <v/>
      </c>
      <c r="AB651" s="11" t="str">
        <f>IFERROR(IF(MARÍTIMOS[[#This Row],[Inspección Externa]]="","",MARÍTIMOS[[#This Row],[Inspección Externa]]),"")</f>
        <v/>
      </c>
      <c r="AC651" s="11" t="str">
        <f>IFERROR(IF(MARÍTIMOS[[#This Row],[Etapa Despacho - Inicio de Carga]]="","",MARÍTIMOS[[#This Row],[Etapa Despacho - Inicio de Carga]]),"")</f>
        <v/>
      </c>
      <c r="AD651" s="11" t="str">
        <f>IFERROR(IF(MARÍTIMOS[[#This Row],[Etapa Despacho - Mitad de Carga]]="","",MARÍTIMOS[[#This Row],[Etapa Despacho - Mitad de Carga]]),"")</f>
        <v/>
      </c>
      <c r="AE651" s="11" t="str">
        <f>IFERROR(IF(MARÍTIMOS[[#This Row],[Etapa Despacho - Fin de Carga]]="","",MARÍTIMOS[[#This Row],[Etapa Despacho - Fin de Carga]]),"")</f>
        <v/>
      </c>
      <c r="AF651" s="2" t="str">
        <f>IFERROR(IF(MARÍTIMOS[[#This Row],[Puerto de Embarque]]="","",MARÍTIMOS[[#This Row],[Puerto de Embarque]]),"")</f>
        <v/>
      </c>
      <c r="AG651" s="2" t="str">
        <f>IFERROR(IF(MARÍTIMOS[[#This Row],[Almacén de Ingreso]]="","",MARÍTIMOS[[#This Row],[Almacén de Ingreso]]),"")</f>
        <v/>
      </c>
      <c r="AH651" s="11" t="str">
        <f>IFERROR(IF(MARÍTIMOS[[#This Row],[Etapa Ingreso - Cita]]="","",MARÍTIMOS[[#This Row],[Etapa Ingreso - Cita]]),"")</f>
        <v/>
      </c>
      <c r="AI651" s="11" t="str">
        <f>IFERROR(IF(MARÍTIMOS[[#This Row],[Etapa Ingreso - Llegada]]="","",MARÍTIMOS[[#This Row],[Etapa Ingreso - Llegada]]),"")</f>
        <v/>
      </c>
      <c r="AJ651" s="11" t="str">
        <f>IFERROR(IF(MARÍTIMOS[[#This Row],[Etapa Ingreso - Ingeso]]="","",MARÍTIMOS[[#This Row],[Etapa Ingreso - Ingeso]]),"")</f>
        <v/>
      </c>
      <c r="AK651" s="11" t="str">
        <f>IFERROR(IF(MARÍTIMOS[[#This Row],[Etapa Ingreso - Atención]]="","",MARÍTIMOS[[#This Row],[Etapa Ingreso - Atención]]),"")</f>
        <v/>
      </c>
      <c r="AL651" s="11" t="str">
        <f>IFERROR(IF(MARÍTIMOS[[#This Row],[Etapa Ingreso - Salida]]="","",MARÍTIMOS[[#This Row],[Etapa Ingreso - Salida]]),"")</f>
        <v/>
      </c>
      <c r="AM651" s="2" t="str">
        <f>IFERROR(IF(MARÍTIMOS[[#This Row],[FCL]]="","",MARÍTIMOS[[#This Row],[FCL]]),"")</f>
        <v/>
      </c>
      <c r="AN6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1" s="4" t="str" cm="1">
        <f t="array" ref="AO6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1" s="5" t="str">
        <f>IFERROR(OLDBD[[#This Row],[Llegada a packing]]-OLDBD[[#This Row],[Inicio de Ruta]],"")</f>
        <v/>
      </c>
      <c r="AQ651" s="6" t="str">
        <f>IFERROR(OLDBD[[#This Row],[Inicio de Ruta]]-OLDBD[[#This Row],[Salida de almacén de retiro]],"")</f>
        <v/>
      </c>
      <c r="AR6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1" s="8" t="str" cm="1">
        <f t="array" ref="AS6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1" s="9" t="str">
        <f>IFERROR(OLDBD[[#This Row],[Ingreso Packing]]-OLDBD[[#This Row],[Registro en Packing]],"")</f>
        <v/>
      </c>
      <c r="AV651" s="9" t="str">
        <f>IFERROR(OLDBD[[#This Row],[Ingreso Packing]]-OLDBD[[#This Row],[Llegada a packing]],"")</f>
        <v/>
      </c>
      <c r="AW6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1" s="5" t="str">
        <f>IFERROR(OLDBD[[#This Row],[Llegada Almacén de Ingreso]]-OLDBD[[#This Row],[Salida Packing]],"")</f>
        <v/>
      </c>
      <c r="AY651" s="4" t="str" cm="1">
        <f t="array" ref="AY6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1" s="43" t="s">
        <v>173</v>
      </c>
      <c r="BB651" s="47" t="str">
        <f>IFERROR(IF(MARÍTIMOS[[#This Row],[Estatus]]="","",MARÍTIMOS[[#This Row],[Estatus]]),"")</f>
        <v/>
      </c>
      <c r="BC651" s="43"/>
      <c r="BD651" s="46" t="str">
        <f>IFERROR(OLDBD[[#This Row],[Salida de almacén de retiro]]-OLDBD[[#This Row],[Ingreso Almacén de retiro]],"")</f>
        <v/>
      </c>
      <c r="BE651" s="46" t="str">
        <f>IFERROR(OLDBD[[#This Row],[Fin de Carga]]-OLDBD[[#This Row],[Inicio de Carga]],"")</f>
        <v/>
      </c>
    </row>
    <row r="652" spans="1:57" customFormat="1" hidden="1">
      <c r="A652" s="1"/>
      <c r="B652" s="1" t="str">
        <f>IFERROR(IF(MARÍTIMOS[[#This Row],[PP]]="","",MARÍTIMOS[[#This Row],[PP]]),"")</f>
        <v/>
      </c>
      <c r="C652" s="1" t="str">
        <f>IFERROR(IF(MARÍTIMOS[[#This Row],[Sede]]="","",MARÍTIMOS[[#This Row],[Sede]]),"")</f>
        <v/>
      </c>
      <c r="D652" s="1" t="str">
        <f>IFERROR(IF(MARÍTIMOS[[#This Row],[Instruction]]="","",MARÍTIMOS[[#This Row],[Instruction]]),"")</f>
        <v/>
      </c>
      <c r="E652" s="1"/>
      <c r="F652" s="2" t="str">
        <f>IFERROR(IF(MARÍTIMOS[[#This Row],[Transportista]]="","",MARÍTIMOS[[#This Row],[Transportista]]),"")</f>
        <v/>
      </c>
      <c r="G652" s="2" t="str">
        <f>IFERROR(IF(MARÍTIMOS[[#This Row],[Tercero]]="","",MARÍTIMOS[[#This Row],[Tercero]]),"")</f>
        <v/>
      </c>
      <c r="H652" s="2" t="str">
        <f>IFERROR(IF(MARÍTIMOS[[#This Row],[Razón Social]]="","",MARÍTIMOS[[#This Row],[Razón Social]]),"")</f>
        <v/>
      </c>
      <c r="I652" s="2" t="str">
        <f>IFERROR(IF(MARÍTIMOS[[#This Row],[RUC]]="","",MARÍTIMOS[[#This Row],[RUC]]),"")</f>
        <v/>
      </c>
      <c r="J652" s="2" t="str">
        <f>IFERROR(IF(MARÍTIMOS[[#This Row],[Placa Tracto]]="","",MARÍTIMOS[[#This Row],[Placa Tracto]]),"")</f>
        <v/>
      </c>
      <c r="K652" s="2" t="str">
        <f>IFERROR(IF(MARÍTIMOS[[#This Row],[Placa Carreta]]="","",MARÍTIMOS[[#This Row],[Placa Carreta]]),"")</f>
        <v/>
      </c>
      <c r="L652" s="44" t="str">
        <f>IFERROR(IF(MARÍTIMOS[[#This Row],[Conductor]]="","",MARÍTIMOS[[#This Row],[Conductor]]),"")</f>
        <v/>
      </c>
      <c r="M652" s="2" t="str">
        <f>IFERROR(IF(MARÍTIMOS[[#This Row],[Licencia]]="","",MARÍTIMOS[[#This Row],[Licencia]]),"")</f>
        <v/>
      </c>
      <c r="N652" s="2" t="str">
        <f>IFERROR(IF(MARÍTIMOS[[#This Row],[Número de Contacto]]="","",MARÍTIMOS[[#This Row],[Número de Contacto]]),"")</f>
        <v/>
      </c>
      <c r="O652" s="10" t="str">
        <f>IFERROR(IF(MARÍTIMOS[[#This Row],[Booking|AWB|CRT]]="","",MARÍTIMOS[[#This Row],[Booking|AWB|CRT]]),"")</f>
        <v/>
      </c>
      <c r="P652" s="2" t="str">
        <f>IFERROR(IF(MARÍTIMOS[[#This Row],[Contenedor]]="","",MARÍTIMOS[[#This Row],[Contenedor]]),"")</f>
        <v/>
      </c>
      <c r="Q652" s="2" t="str">
        <f>IFERROR(IF(MARÍTIMOS[[#This Row],[Puerto de Retiro]]="","",MARÍTIMOS[[#This Row],[Puerto de Retiro]]),"")</f>
        <v/>
      </c>
      <c r="R652" s="2" t="str">
        <f>IFERROR(IF(MARÍTIMOS[[#This Row],[Almacén de Retiro]]="","",MARÍTIMOS[[#This Row],[Almacén de Retiro]]),"")</f>
        <v/>
      </c>
      <c r="S652" s="11" t="str">
        <f>IFERROR(IF(MARÍTIMOS[[#This Row],[Etapa Retiro - Cita]]="","",MARÍTIMOS[[#This Row],[Etapa Retiro - Cita]]),"")</f>
        <v/>
      </c>
      <c r="T652" s="11" t="str">
        <f>IFERROR(IF(MARÍTIMOS[[#This Row],[Etapa Retiro - Llegada]]="","",MARÍTIMOS[[#This Row],[Etapa Retiro - Llegada]]),"")</f>
        <v/>
      </c>
      <c r="U652" s="11" t="str">
        <f>IFERROR(IF(MARÍTIMOS[[#This Row],[Etapa Retiro - Ingreso]]="","",MARÍTIMOS[[#This Row],[Etapa Retiro - Ingreso]]),"")</f>
        <v/>
      </c>
      <c r="V652" s="11" t="str">
        <f>IFERROR(IF(MARÍTIMOS[[#This Row],[Etapa Retiro - Atención]]="","",MARÍTIMOS[[#This Row],[Etapa Retiro - Atención]]),"")</f>
        <v/>
      </c>
      <c r="W652" s="11" t="str">
        <f>IFERROR(IF(MARÍTIMOS[[#This Row],[Etapa Retiro - Atención]]="","",MARÍTIMOS[[#This Row],[Etapa Retiro - Atención]]),"")</f>
        <v/>
      </c>
      <c r="X652" s="11" t="str">
        <f>IFERROR(IF(MARÍTIMOS[[#This Row],[Etapa Retiro - Inicio de Ruta]]="","",MARÍTIMOS[[#This Row],[Etapa Retiro - Inicio de Ruta]]),"")</f>
        <v/>
      </c>
      <c r="Y652" s="11" t="str">
        <f>IFERROR(IF(MARÍTIMOS[[#This Row],[Hora de Posicionamiento]]="","",MARÍTIMOS[[#This Row],[Fecha de Carga]]+MARÍTIMOS[[#This Row],[Hora de Posicionamiento]]),"")</f>
        <v/>
      </c>
      <c r="Z652" s="11" t="str">
        <f>IFERROR(IF(MARÍTIMOS[[#This Row],[Etapa Despacho - Llegada]]="","",MARÍTIMOS[[#This Row],[Etapa Despacho - Llegada]]),"")</f>
        <v/>
      </c>
      <c r="AA652" s="11" t="str">
        <f>IFERROR(IF(MARÍTIMOS[[#This Row],[Etapa Despacho - Registro]]="","",MARÍTIMOS[[#This Row],[Etapa Despacho - Registro]]),"")</f>
        <v/>
      </c>
      <c r="AB652" s="11" t="str">
        <f>IFERROR(IF(MARÍTIMOS[[#This Row],[Inspección Externa]]="","",MARÍTIMOS[[#This Row],[Inspección Externa]]),"")</f>
        <v/>
      </c>
      <c r="AC652" s="11" t="str">
        <f>IFERROR(IF(MARÍTIMOS[[#This Row],[Etapa Despacho - Inicio de Carga]]="","",MARÍTIMOS[[#This Row],[Etapa Despacho - Inicio de Carga]]),"")</f>
        <v/>
      </c>
      <c r="AD652" s="11" t="str">
        <f>IFERROR(IF(MARÍTIMOS[[#This Row],[Etapa Despacho - Mitad de Carga]]="","",MARÍTIMOS[[#This Row],[Etapa Despacho - Mitad de Carga]]),"")</f>
        <v/>
      </c>
      <c r="AE652" s="11" t="str">
        <f>IFERROR(IF(MARÍTIMOS[[#This Row],[Etapa Despacho - Fin de Carga]]="","",MARÍTIMOS[[#This Row],[Etapa Despacho - Fin de Carga]]),"")</f>
        <v/>
      </c>
      <c r="AF652" s="2" t="str">
        <f>IFERROR(IF(MARÍTIMOS[[#This Row],[Puerto de Embarque]]="","",MARÍTIMOS[[#This Row],[Puerto de Embarque]]),"")</f>
        <v/>
      </c>
      <c r="AG652" s="2" t="str">
        <f>IFERROR(IF(MARÍTIMOS[[#This Row],[Almacén de Ingreso]]="","",MARÍTIMOS[[#This Row],[Almacén de Ingreso]]),"")</f>
        <v/>
      </c>
      <c r="AH652" s="11" t="str">
        <f>IFERROR(IF(MARÍTIMOS[[#This Row],[Etapa Ingreso - Cita]]="","",MARÍTIMOS[[#This Row],[Etapa Ingreso - Cita]]),"")</f>
        <v/>
      </c>
      <c r="AI652" s="11" t="str">
        <f>IFERROR(IF(MARÍTIMOS[[#This Row],[Etapa Ingreso - Llegada]]="","",MARÍTIMOS[[#This Row],[Etapa Ingreso - Llegada]]),"")</f>
        <v/>
      </c>
      <c r="AJ652" s="11" t="str">
        <f>IFERROR(IF(MARÍTIMOS[[#This Row],[Etapa Ingreso - Ingeso]]="","",MARÍTIMOS[[#This Row],[Etapa Ingreso - Ingeso]]),"")</f>
        <v/>
      </c>
      <c r="AK652" s="11" t="str">
        <f>IFERROR(IF(MARÍTIMOS[[#This Row],[Etapa Ingreso - Atención]]="","",MARÍTIMOS[[#This Row],[Etapa Ingreso - Atención]]),"")</f>
        <v/>
      </c>
      <c r="AL652" s="11" t="str">
        <f>IFERROR(IF(MARÍTIMOS[[#This Row],[Etapa Ingreso - Salida]]="","",MARÍTIMOS[[#This Row],[Etapa Ingreso - Salida]]),"")</f>
        <v/>
      </c>
      <c r="AM652" s="2" t="str">
        <f>IFERROR(IF(MARÍTIMOS[[#This Row],[FCL]]="","",MARÍTIMOS[[#This Row],[FCL]]),"")</f>
        <v/>
      </c>
      <c r="AN6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2" s="4" t="str" cm="1">
        <f t="array" ref="AO6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2" s="5" t="str">
        <f>IFERROR(OLDBD[[#This Row],[Llegada a packing]]-OLDBD[[#This Row],[Inicio de Ruta]],"")</f>
        <v/>
      </c>
      <c r="AQ652" s="6" t="str">
        <f>IFERROR(OLDBD[[#This Row],[Inicio de Ruta]]-OLDBD[[#This Row],[Salida de almacén de retiro]],"")</f>
        <v/>
      </c>
      <c r="AR6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2" s="8" t="str" cm="1">
        <f t="array" ref="AS6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2" s="9" t="str">
        <f>IFERROR(OLDBD[[#This Row],[Ingreso Packing]]-OLDBD[[#This Row],[Registro en Packing]],"")</f>
        <v/>
      </c>
      <c r="AV652" s="9" t="str">
        <f>IFERROR(OLDBD[[#This Row],[Ingreso Packing]]-OLDBD[[#This Row],[Llegada a packing]],"")</f>
        <v/>
      </c>
      <c r="AW6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2" s="5" t="str">
        <f>IFERROR(OLDBD[[#This Row],[Llegada Almacén de Ingreso]]-OLDBD[[#This Row],[Salida Packing]],"")</f>
        <v/>
      </c>
      <c r="AY652" s="4" t="str" cm="1">
        <f t="array" ref="AY6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2" s="43" t="s">
        <v>173</v>
      </c>
      <c r="BB652" s="47" t="str">
        <f>IFERROR(IF(MARÍTIMOS[[#This Row],[Estatus]]="","",MARÍTIMOS[[#This Row],[Estatus]]),"")</f>
        <v/>
      </c>
      <c r="BC652" s="43"/>
      <c r="BD652" s="46" t="str">
        <f>IFERROR(OLDBD[[#This Row],[Salida de almacén de retiro]]-OLDBD[[#This Row],[Ingreso Almacén de retiro]],"")</f>
        <v/>
      </c>
      <c r="BE652" s="46" t="str">
        <f>IFERROR(OLDBD[[#This Row],[Fin de Carga]]-OLDBD[[#This Row],[Inicio de Carga]],"")</f>
        <v/>
      </c>
    </row>
    <row r="653" spans="1:57" customFormat="1" hidden="1">
      <c r="A653" s="1"/>
      <c r="B653" s="1" t="str">
        <f>IFERROR(IF(MARÍTIMOS[[#This Row],[PP]]="","",MARÍTIMOS[[#This Row],[PP]]),"")</f>
        <v/>
      </c>
      <c r="C653" s="1" t="str">
        <f>IFERROR(IF(MARÍTIMOS[[#This Row],[Sede]]="","",MARÍTIMOS[[#This Row],[Sede]]),"")</f>
        <v/>
      </c>
      <c r="D653" s="1" t="str">
        <f>IFERROR(IF(MARÍTIMOS[[#This Row],[Instruction]]="","",MARÍTIMOS[[#This Row],[Instruction]]),"")</f>
        <v/>
      </c>
      <c r="E653" s="1"/>
      <c r="F653" s="2" t="str">
        <f>IFERROR(IF(MARÍTIMOS[[#This Row],[Transportista]]="","",MARÍTIMOS[[#This Row],[Transportista]]),"")</f>
        <v/>
      </c>
      <c r="G653" s="2" t="str">
        <f>IFERROR(IF(MARÍTIMOS[[#This Row],[Tercero]]="","",MARÍTIMOS[[#This Row],[Tercero]]),"")</f>
        <v/>
      </c>
      <c r="H653" s="2" t="str">
        <f>IFERROR(IF(MARÍTIMOS[[#This Row],[Razón Social]]="","",MARÍTIMOS[[#This Row],[Razón Social]]),"")</f>
        <v/>
      </c>
      <c r="I653" s="2" t="str">
        <f>IFERROR(IF(MARÍTIMOS[[#This Row],[RUC]]="","",MARÍTIMOS[[#This Row],[RUC]]),"")</f>
        <v/>
      </c>
      <c r="J653" s="2" t="str">
        <f>IFERROR(IF(MARÍTIMOS[[#This Row],[Placa Tracto]]="","",MARÍTIMOS[[#This Row],[Placa Tracto]]),"")</f>
        <v/>
      </c>
      <c r="K653" s="2" t="str">
        <f>IFERROR(IF(MARÍTIMOS[[#This Row],[Placa Carreta]]="","",MARÍTIMOS[[#This Row],[Placa Carreta]]),"")</f>
        <v/>
      </c>
      <c r="L653" s="44" t="str">
        <f>IFERROR(IF(MARÍTIMOS[[#This Row],[Conductor]]="","",MARÍTIMOS[[#This Row],[Conductor]]),"")</f>
        <v/>
      </c>
      <c r="M653" s="2" t="str">
        <f>IFERROR(IF(MARÍTIMOS[[#This Row],[Licencia]]="","",MARÍTIMOS[[#This Row],[Licencia]]),"")</f>
        <v/>
      </c>
      <c r="N653" s="2" t="str">
        <f>IFERROR(IF(MARÍTIMOS[[#This Row],[Número de Contacto]]="","",MARÍTIMOS[[#This Row],[Número de Contacto]]),"")</f>
        <v/>
      </c>
      <c r="O653" s="10" t="str">
        <f>IFERROR(IF(MARÍTIMOS[[#This Row],[Booking|AWB|CRT]]="","",MARÍTIMOS[[#This Row],[Booking|AWB|CRT]]),"")</f>
        <v/>
      </c>
      <c r="P653" s="2" t="str">
        <f>IFERROR(IF(MARÍTIMOS[[#This Row],[Contenedor]]="","",MARÍTIMOS[[#This Row],[Contenedor]]),"")</f>
        <v/>
      </c>
      <c r="Q653" s="2" t="str">
        <f>IFERROR(IF(MARÍTIMOS[[#This Row],[Puerto de Retiro]]="","",MARÍTIMOS[[#This Row],[Puerto de Retiro]]),"")</f>
        <v/>
      </c>
      <c r="R653" s="2" t="str">
        <f>IFERROR(IF(MARÍTIMOS[[#This Row],[Almacén de Retiro]]="","",MARÍTIMOS[[#This Row],[Almacén de Retiro]]),"")</f>
        <v/>
      </c>
      <c r="S653" s="11" t="str">
        <f>IFERROR(IF(MARÍTIMOS[[#This Row],[Etapa Retiro - Cita]]="","",MARÍTIMOS[[#This Row],[Etapa Retiro - Cita]]),"")</f>
        <v/>
      </c>
      <c r="T653" s="11" t="str">
        <f>IFERROR(IF(MARÍTIMOS[[#This Row],[Etapa Retiro - Llegada]]="","",MARÍTIMOS[[#This Row],[Etapa Retiro - Llegada]]),"")</f>
        <v/>
      </c>
      <c r="U653" s="11" t="str">
        <f>IFERROR(IF(MARÍTIMOS[[#This Row],[Etapa Retiro - Ingreso]]="","",MARÍTIMOS[[#This Row],[Etapa Retiro - Ingreso]]),"")</f>
        <v/>
      </c>
      <c r="V653" s="11" t="str">
        <f>IFERROR(IF(MARÍTIMOS[[#This Row],[Etapa Retiro - Atención]]="","",MARÍTIMOS[[#This Row],[Etapa Retiro - Atención]]),"")</f>
        <v/>
      </c>
      <c r="W653" s="11" t="str">
        <f>IFERROR(IF(MARÍTIMOS[[#This Row],[Etapa Retiro - Atención]]="","",MARÍTIMOS[[#This Row],[Etapa Retiro - Atención]]),"")</f>
        <v/>
      </c>
      <c r="X653" s="11" t="str">
        <f>IFERROR(IF(MARÍTIMOS[[#This Row],[Etapa Retiro - Inicio de Ruta]]="","",MARÍTIMOS[[#This Row],[Etapa Retiro - Inicio de Ruta]]),"")</f>
        <v/>
      </c>
      <c r="Y653" s="11" t="str">
        <f>IFERROR(IF(MARÍTIMOS[[#This Row],[Hora de Posicionamiento]]="","",MARÍTIMOS[[#This Row],[Fecha de Carga]]+MARÍTIMOS[[#This Row],[Hora de Posicionamiento]]),"")</f>
        <v/>
      </c>
      <c r="Z653" s="11" t="str">
        <f>IFERROR(IF(MARÍTIMOS[[#This Row],[Etapa Despacho - Llegada]]="","",MARÍTIMOS[[#This Row],[Etapa Despacho - Llegada]]),"")</f>
        <v/>
      </c>
      <c r="AA653" s="11" t="str">
        <f>IFERROR(IF(MARÍTIMOS[[#This Row],[Etapa Despacho - Registro]]="","",MARÍTIMOS[[#This Row],[Etapa Despacho - Registro]]),"")</f>
        <v/>
      </c>
      <c r="AB653" s="11" t="str">
        <f>IFERROR(IF(MARÍTIMOS[[#This Row],[Inspección Externa]]="","",MARÍTIMOS[[#This Row],[Inspección Externa]]),"")</f>
        <v/>
      </c>
      <c r="AC653" s="11" t="str">
        <f>IFERROR(IF(MARÍTIMOS[[#This Row],[Etapa Despacho - Inicio de Carga]]="","",MARÍTIMOS[[#This Row],[Etapa Despacho - Inicio de Carga]]),"")</f>
        <v/>
      </c>
      <c r="AD653" s="11" t="str">
        <f>IFERROR(IF(MARÍTIMOS[[#This Row],[Etapa Despacho - Mitad de Carga]]="","",MARÍTIMOS[[#This Row],[Etapa Despacho - Mitad de Carga]]),"")</f>
        <v/>
      </c>
      <c r="AE653" s="11" t="str">
        <f>IFERROR(IF(MARÍTIMOS[[#This Row],[Etapa Despacho - Fin de Carga]]="","",MARÍTIMOS[[#This Row],[Etapa Despacho - Fin de Carga]]),"")</f>
        <v/>
      </c>
      <c r="AF653" s="2" t="str">
        <f>IFERROR(IF(MARÍTIMOS[[#This Row],[Puerto de Embarque]]="","",MARÍTIMOS[[#This Row],[Puerto de Embarque]]),"")</f>
        <v/>
      </c>
      <c r="AG653" s="2" t="str">
        <f>IFERROR(IF(MARÍTIMOS[[#This Row],[Almacén de Ingreso]]="","",MARÍTIMOS[[#This Row],[Almacén de Ingreso]]),"")</f>
        <v/>
      </c>
      <c r="AH653" s="11" t="str">
        <f>IFERROR(IF(MARÍTIMOS[[#This Row],[Etapa Ingreso - Cita]]="","",MARÍTIMOS[[#This Row],[Etapa Ingreso - Cita]]),"")</f>
        <v/>
      </c>
      <c r="AI653" s="11" t="str">
        <f>IFERROR(IF(MARÍTIMOS[[#This Row],[Etapa Ingreso - Llegada]]="","",MARÍTIMOS[[#This Row],[Etapa Ingreso - Llegada]]),"")</f>
        <v/>
      </c>
      <c r="AJ653" s="11" t="str">
        <f>IFERROR(IF(MARÍTIMOS[[#This Row],[Etapa Ingreso - Ingeso]]="","",MARÍTIMOS[[#This Row],[Etapa Ingreso - Ingeso]]),"")</f>
        <v/>
      </c>
      <c r="AK653" s="11" t="str">
        <f>IFERROR(IF(MARÍTIMOS[[#This Row],[Etapa Ingreso - Atención]]="","",MARÍTIMOS[[#This Row],[Etapa Ingreso - Atención]]),"")</f>
        <v/>
      </c>
      <c r="AL653" s="11" t="str">
        <f>IFERROR(IF(MARÍTIMOS[[#This Row],[Etapa Ingreso - Salida]]="","",MARÍTIMOS[[#This Row],[Etapa Ingreso - Salida]]),"")</f>
        <v/>
      </c>
      <c r="AM653" s="2" t="str">
        <f>IFERROR(IF(MARÍTIMOS[[#This Row],[FCL]]="","",MARÍTIMOS[[#This Row],[FCL]]),"")</f>
        <v/>
      </c>
      <c r="AN6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3" s="4" t="str" cm="1">
        <f t="array" ref="AO6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3" s="5" t="str">
        <f>IFERROR(OLDBD[[#This Row],[Llegada a packing]]-OLDBD[[#This Row],[Inicio de Ruta]],"")</f>
        <v/>
      </c>
      <c r="AQ653" s="6" t="str">
        <f>IFERROR(OLDBD[[#This Row],[Inicio de Ruta]]-OLDBD[[#This Row],[Salida de almacén de retiro]],"")</f>
        <v/>
      </c>
      <c r="AR6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3" s="8" t="str" cm="1">
        <f t="array" ref="AS6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3" s="9" t="str">
        <f>IFERROR(OLDBD[[#This Row],[Ingreso Packing]]-OLDBD[[#This Row],[Registro en Packing]],"")</f>
        <v/>
      </c>
      <c r="AV653" s="9" t="str">
        <f>IFERROR(OLDBD[[#This Row],[Ingreso Packing]]-OLDBD[[#This Row],[Llegada a packing]],"")</f>
        <v/>
      </c>
      <c r="AW6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3" s="5" t="str">
        <f>IFERROR(OLDBD[[#This Row],[Llegada Almacén de Ingreso]]-OLDBD[[#This Row],[Salida Packing]],"")</f>
        <v/>
      </c>
      <c r="AY653" s="4" t="str" cm="1">
        <f t="array" ref="AY6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3" s="43" t="s">
        <v>173</v>
      </c>
      <c r="BB653" s="47" t="str">
        <f>IFERROR(IF(MARÍTIMOS[[#This Row],[Estatus]]="","",MARÍTIMOS[[#This Row],[Estatus]]),"")</f>
        <v/>
      </c>
      <c r="BC653" s="43"/>
      <c r="BD653" s="46" t="str">
        <f>IFERROR(OLDBD[[#This Row],[Salida de almacén de retiro]]-OLDBD[[#This Row],[Ingreso Almacén de retiro]],"")</f>
        <v/>
      </c>
      <c r="BE653" s="46" t="str">
        <f>IFERROR(OLDBD[[#This Row],[Fin de Carga]]-OLDBD[[#This Row],[Inicio de Carga]],"")</f>
        <v/>
      </c>
    </row>
    <row r="654" spans="1:57" customFormat="1" hidden="1">
      <c r="A654" s="1"/>
      <c r="B654" s="1" t="str">
        <f>IFERROR(IF(MARÍTIMOS[[#This Row],[PP]]="","",MARÍTIMOS[[#This Row],[PP]]),"")</f>
        <v/>
      </c>
      <c r="C654" s="1" t="str">
        <f>IFERROR(IF(MARÍTIMOS[[#This Row],[Sede]]="","",MARÍTIMOS[[#This Row],[Sede]]),"")</f>
        <v/>
      </c>
      <c r="D654" s="1" t="str">
        <f>IFERROR(IF(MARÍTIMOS[[#This Row],[Instruction]]="","",MARÍTIMOS[[#This Row],[Instruction]]),"")</f>
        <v/>
      </c>
      <c r="E654" s="1"/>
      <c r="F654" s="2" t="str">
        <f>IFERROR(IF(MARÍTIMOS[[#This Row],[Transportista]]="","",MARÍTIMOS[[#This Row],[Transportista]]),"")</f>
        <v/>
      </c>
      <c r="G654" s="2" t="str">
        <f>IFERROR(IF(MARÍTIMOS[[#This Row],[Tercero]]="","",MARÍTIMOS[[#This Row],[Tercero]]),"")</f>
        <v/>
      </c>
      <c r="H654" s="2" t="str">
        <f>IFERROR(IF(MARÍTIMOS[[#This Row],[Razón Social]]="","",MARÍTIMOS[[#This Row],[Razón Social]]),"")</f>
        <v/>
      </c>
      <c r="I654" s="2" t="str">
        <f>IFERROR(IF(MARÍTIMOS[[#This Row],[RUC]]="","",MARÍTIMOS[[#This Row],[RUC]]),"")</f>
        <v/>
      </c>
      <c r="J654" s="2" t="str">
        <f>IFERROR(IF(MARÍTIMOS[[#This Row],[Placa Tracto]]="","",MARÍTIMOS[[#This Row],[Placa Tracto]]),"")</f>
        <v/>
      </c>
      <c r="K654" s="2" t="str">
        <f>IFERROR(IF(MARÍTIMOS[[#This Row],[Placa Carreta]]="","",MARÍTIMOS[[#This Row],[Placa Carreta]]),"")</f>
        <v/>
      </c>
      <c r="L654" s="44" t="str">
        <f>IFERROR(IF(MARÍTIMOS[[#This Row],[Conductor]]="","",MARÍTIMOS[[#This Row],[Conductor]]),"")</f>
        <v/>
      </c>
      <c r="M654" s="2" t="str">
        <f>IFERROR(IF(MARÍTIMOS[[#This Row],[Licencia]]="","",MARÍTIMOS[[#This Row],[Licencia]]),"")</f>
        <v/>
      </c>
      <c r="N654" s="2" t="str">
        <f>IFERROR(IF(MARÍTIMOS[[#This Row],[Número de Contacto]]="","",MARÍTIMOS[[#This Row],[Número de Contacto]]),"")</f>
        <v/>
      </c>
      <c r="O654" s="10" t="str">
        <f>IFERROR(IF(MARÍTIMOS[[#This Row],[Booking|AWB|CRT]]="","",MARÍTIMOS[[#This Row],[Booking|AWB|CRT]]),"")</f>
        <v/>
      </c>
      <c r="P654" s="2" t="str">
        <f>IFERROR(IF(MARÍTIMOS[[#This Row],[Contenedor]]="","",MARÍTIMOS[[#This Row],[Contenedor]]),"")</f>
        <v/>
      </c>
      <c r="Q654" s="2" t="str">
        <f>IFERROR(IF(MARÍTIMOS[[#This Row],[Puerto de Retiro]]="","",MARÍTIMOS[[#This Row],[Puerto de Retiro]]),"")</f>
        <v/>
      </c>
      <c r="R654" s="2" t="str">
        <f>IFERROR(IF(MARÍTIMOS[[#This Row],[Almacén de Retiro]]="","",MARÍTIMOS[[#This Row],[Almacén de Retiro]]),"")</f>
        <v/>
      </c>
      <c r="S654" s="11" t="str">
        <f>IFERROR(IF(MARÍTIMOS[[#This Row],[Etapa Retiro - Cita]]="","",MARÍTIMOS[[#This Row],[Etapa Retiro - Cita]]),"")</f>
        <v/>
      </c>
      <c r="T654" s="11" t="str">
        <f>IFERROR(IF(MARÍTIMOS[[#This Row],[Etapa Retiro - Llegada]]="","",MARÍTIMOS[[#This Row],[Etapa Retiro - Llegada]]),"")</f>
        <v/>
      </c>
      <c r="U654" s="11" t="str">
        <f>IFERROR(IF(MARÍTIMOS[[#This Row],[Etapa Retiro - Ingreso]]="","",MARÍTIMOS[[#This Row],[Etapa Retiro - Ingreso]]),"")</f>
        <v/>
      </c>
      <c r="V654" s="11" t="str">
        <f>IFERROR(IF(MARÍTIMOS[[#This Row],[Etapa Retiro - Atención]]="","",MARÍTIMOS[[#This Row],[Etapa Retiro - Atención]]),"")</f>
        <v/>
      </c>
      <c r="W654" s="11" t="str">
        <f>IFERROR(IF(MARÍTIMOS[[#This Row],[Etapa Retiro - Atención]]="","",MARÍTIMOS[[#This Row],[Etapa Retiro - Atención]]),"")</f>
        <v/>
      </c>
      <c r="X654" s="11" t="str">
        <f>IFERROR(IF(MARÍTIMOS[[#This Row],[Etapa Retiro - Inicio de Ruta]]="","",MARÍTIMOS[[#This Row],[Etapa Retiro - Inicio de Ruta]]),"")</f>
        <v/>
      </c>
      <c r="Y654" s="11" t="str">
        <f>IFERROR(IF(MARÍTIMOS[[#This Row],[Hora de Posicionamiento]]="","",MARÍTIMOS[[#This Row],[Fecha de Carga]]+MARÍTIMOS[[#This Row],[Hora de Posicionamiento]]),"")</f>
        <v/>
      </c>
      <c r="Z654" s="11" t="str">
        <f>IFERROR(IF(MARÍTIMOS[[#This Row],[Etapa Despacho - Llegada]]="","",MARÍTIMOS[[#This Row],[Etapa Despacho - Llegada]]),"")</f>
        <v/>
      </c>
      <c r="AA654" s="11" t="str">
        <f>IFERROR(IF(MARÍTIMOS[[#This Row],[Etapa Despacho - Registro]]="","",MARÍTIMOS[[#This Row],[Etapa Despacho - Registro]]),"")</f>
        <v/>
      </c>
      <c r="AB654" s="11" t="str">
        <f>IFERROR(IF(MARÍTIMOS[[#This Row],[Inspección Externa]]="","",MARÍTIMOS[[#This Row],[Inspección Externa]]),"")</f>
        <v/>
      </c>
      <c r="AC654" s="11" t="str">
        <f>IFERROR(IF(MARÍTIMOS[[#This Row],[Etapa Despacho - Inicio de Carga]]="","",MARÍTIMOS[[#This Row],[Etapa Despacho - Inicio de Carga]]),"")</f>
        <v/>
      </c>
      <c r="AD654" s="11" t="str">
        <f>IFERROR(IF(MARÍTIMOS[[#This Row],[Etapa Despacho - Mitad de Carga]]="","",MARÍTIMOS[[#This Row],[Etapa Despacho - Mitad de Carga]]),"")</f>
        <v/>
      </c>
      <c r="AE654" s="11" t="str">
        <f>IFERROR(IF(MARÍTIMOS[[#This Row],[Etapa Despacho - Fin de Carga]]="","",MARÍTIMOS[[#This Row],[Etapa Despacho - Fin de Carga]]),"")</f>
        <v/>
      </c>
      <c r="AF654" s="2" t="str">
        <f>IFERROR(IF(MARÍTIMOS[[#This Row],[Puerto de Embarque]]="","",MARÍTIMOS[[#This Row],[Puerto de Embarque]]),"")</f>
        <v/>
      </c>
      <c r="AG654" s="2" t="str">
        <f>IFERROR(IF(MARÍTIMOS[[#This Row],[Almacén de Ingreso]]="","",MARÍTIMOS[[#This Row],[Almacén de Ingreso]]),"")</f>
        <v/>
      </c>
      <c r="AH654" s="11" t="str">
        <f>IFERROR(IF(MARÍTIMOS[[#This Row],[Etapa Ingreso - Cita]]="","",MARÍTIMOS[[#This Row],[Etapa Ingreso - Cita]]),"")</f>
        <v/>
      </c>
      <c r="AI654" s="11" t="str">
        <f>IFERROR(IF(MARÍTIMOS[[#This Row],[Etapa Ingreso - Llegada]]="","",MARÍTIMOS[[#This Row],[Etapa Ingreso - Llegada]]),"")</f>
        <v/>
      </c>
      <c r="AJ654" s="11" t="str">
        <f>IFERROR(IF(MARÍTIMOS[[#This Row],[Etapa Ingreso - Ingeso]]="","",MARÍTIMOS[[#This Row],[Etapa Ingreso - Ingeso]]),"")</f>
        <v/>
      </c>
      <c r="AK654" s="11" t="str">
        <f>IFERROR(IF(MARÍTIMOS[[#This Row],[Etapa Ingreso - Atención]]="","",MARÍTIMOS[[#This Row],[Etapa Ingreso - Atención]]),"")</f>
        <v/>
      </c>
      <c r="AL654" s="11" t="str">
        <f>IFERROR(IF(MARÍTIMOS[[#This Row],[Etapa Ingreso - Salida]]="","",MARÍTIMOS[[#This Row],[Etapa Ingreso - Salida]]),"")</f>
        <v/>
      </c>
      <c r="AM654" s="2" t="str">
        <f>IFERROR(IF(MARÍTIMOS[[#This Row],[FCL]]="","",MARÍTIMOS[[#This Row],[FCL]]),"")</f>
        <v/>
      </c>
      <c r="AN6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4" s="4" t="str" cm="1">
        <f t="array" ref="AO6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4" s="5" t="str">
        <f>IFERROR(OLDBD[[#This Row],[Llegada a packing]]-OLDBD[[#This Row],[Inicio de Ruta]],"")</f>
        <v/>
      </c>
      <c r="AQ654" s="6" t="str">
        <f>IFERROR(OLDBD[[#This Row],[Inicio de Ruta]]-OLDBD[[#This Row],[Salida de almacén de retiro]],"")</f>
        <v/>
      </c>
      <c r="AR6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4" s="8" t="str" cm="1">
        <f t="array" ref="AS6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4" s="9" t="str">
        <f>IFERROR(OLDBD[[#This Row],[Ingreso Packing]]-OLDBD[[#This Row],[Registro en Packing]],"")</f>
        <v/>
      </c>
      <c r="AV654" s="9" t="str">
        <f>IFERROR(OLDBD[[#This Row],[Ingreso Packing]]-OLDBD[[#This Row],[Llegada a packing]],"")</f>
        <v/>
      </c>
      <c r="AW6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4" s="5" t="str">
        <f>IFERROR(OLDBD[[#This Row],[Llegada Almacén de Ingreso]]-OLDBD[[#This Row],[Salida Packing]],"")</f>
        <v/>
      </c>
      <c r="AY654" s="4" t="str" cm="1">
        <f t="array" ref="AY6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4" s="43" t="s">
        <v>173</v>
      </c>
      <c r="BB654" s="47" t="str">
        <f>IFERROR(IF(MARÍTIMOS[[#This Row],[Estatus]]="","",MARÍTIMOS[[#This Row],[Estatus]]),"")</f>
        <v/>
      </c>
      <c r="BC654" s="43"/>
      <c r="BD654" s="46" t="str">
        <f>IFERROR(OLDBD[[#This Row],[Salida de almacén de retiro]]-OLDBD[[#This Row],[Ingreso Almacén de retiro]],"")</f>
        <v/>
      </c>
      <c r="BE654" s="46" t="str">
        <f>IFERROR(OLDBD[[#This Row],[Fin de Carga]]-OLDBD[[#This Row],[Inicio de Carga]],"")</f>
        <v/>
      </c>
    </row>
    <row r="655" spans="1:57" customFormat="1" hidden="1">
      <c r="A655" s="1"/>
      <c r="B655" s="1" t="str">
        <f>IFERROR(IF(MARÍTIMOS[[#This Row],[PP]]="","",MARÍTIMOS[[#This Row],[PP]]),"")</f>
        <v/>
      </c>
      <c r="C655" s="1" t="str">
        <f>IFERROR(IF(MARÍTIMOS[[#This Row],[Sede]]="","",MARÍTIMOS[[#This Row],[Sede]]),"")</f>
        <v/>
      </c>
      <c r="D655" s="1" t="str">
        <f>IFERROR(IF(MARÍTIMOS[[#This Row],[Instruction]]="","",MARÍTIMOS[[#This Row],[Instruction]]),"")</f>
        <v/>
      </c>
      <c r="E655" s="1"/>
      <c r="F655" s="2" t="str">
        <f>IFERROR(IF(MARÍTIMOS[[#This Row],[Transportista]]="","",MARÍTIMOS[[#This Row],[Transportista]]),"")</f>
        <v/>
      </c>
      <c r="G655" s="2" t="str">
        <f>IFERROR(IF(MARÍTIMOS[[#This Row],[Tercero]]="","",MARÍTIMOS[[#This Row],[Tercero]]),"")</f>
        <v/>
      </c>
      <c r="H655" s="2" t="str">
        <f>IFERROR(IF(MARÍTIMOS[[#This Row],[Razón Social]]="","",MARÍTIMOS[[#This Row],[Razón Social]]),"")</f>
        <v/>
      </c>
      <c r="I655" s="2" t="str">
        <f>IFERROR(IF(MARÍTIMOS[[#This Row],[RUC]]="","",MARÍTIMOS[[#This Row],[RUC]]),"")</f>
        <v/>
      </c>
      <c r="J655" s="2" t="str">
        <f>IFERROR(IF(MARÍTIMOS[[#This Row],[Placa Tracto]]="","",MARÍTIMOS[[#This Row],[Placa Tracto]]),"")</f>
        <v/>
      </c>
      <c r="K655" s="2" t="str">
        <f>IFERROR(IF(MARÍTIMOS[[#This Row],[Placa Carreta]]="","",MARÍTIMOS[[#This Row],[Placa Carreta]]),"")</f>
        <v/>
      </c>
      <c r="L655" s="44" t="str">
        <f>IFERROR(IF(MARÍTIMOS[[#This Row],[Conductor]]="","",MARÍTIMOS[[#This Row],[Conductor]]),"")</f>
        <v/>
      </c>
      <c r="M655" s="2" t="str">
        <f>IFERROR(IF(MARÍTIMOS[[#This Row],[Licencia]]="","",MARÍTIMOS[[#This Row],[Licencia]]),"")</f>
        <v/>
      </c>
      <c r="N655" s="2" t="str">
        <f>IFERROR(IF(MARÍTIMOS[[#This Row],[Número de Contacto]]="","",MARÍTIMOS[[#This Row],[Número de Contacto]]),"")</f>
        <v/>
      </c>
      <c r="O655" s="10" t="str">
        <f>IFERROR(IF(MARÍTIMOS[[#This Row],[Booking|AWB|CRT]]="","",MARÍTIMOS[[#This Row],[Booking|AWB|CRT]]),"")</f>
        <v/>
      </c>
      <c r="P655" s="2" t="str">
        <f>IFERROR(IF(MARÍTIMOS[[#This Row],[Contenedor]]="","",MARÍTIMOS[[#This Row],[Contenedor]]),"")</f>
        <v/>
      </c>
      <c r="Q655" s="2" t="str">
        <f>IFERROR(IF(MARÍTIMOS[[#This Row],[Puerto de Retiro]]="","",MARÍTIMOS[[#This Row],[Puerto de Retiro]]),"")</f>
        <v/>
      </c>
      <c r="R655" s="2" t="str">
        <f>IFERROR(IF(MARÍTIMOS[[#This Row],[Almacén de Retiro]]="","",MARÍTIMOS[[#This Row],[Almacén de Retiro]]),"")</f>
        <v/>
      </c>
      <c r="S655" s="11" t="str">
        <f>IFERROR(IF(MARÍTIMOS[[#This Row],[Etapa Retiro - Cita]]="","",MARÍTIMOS[[#This Row],[Etapa Retiro - Cita]]),"")</f>
        <v/>
      </c>
      <c r="T655" s="11" t="str">
        <f>IFERROR(IF(MARÍTIMOS[[#This Row],[Etapa Retiro - Llegada]]="","",MARÍTIMOS[[#This Row],[Etapa Retiro - Llegada]]),"")</f>
        <v/>
      </c>
      <c r="U655" s="11" t="str">
        <f>IFERROR(IF(MARÍTIMOS[[#This Row],[Etapa Retiro - Ingreso]]="","",MARÍTIMOS[[#This Row],[Etapa Retiro - Ingreso]]),"")</f>
        <v/>
      </c>
      <c r="V655" s="11" t="str">
        <f>IFERROR(IF(MARÍTIMOS[[#This Row],[Etapa Retiro - Atención]]="","",MARÍTIMOS[[#This Row],[Etapa Retiro - Atención]]),"")</f>
        <v/>
      </c>
      <c r="W655" s="11" t="str">
        <f>IFERROR(IF(MARÍTIMOS[[#This Row],[Etapa Retiro - Atención]]="","",MARÍTIMOS[[#This Row],[Etapa Retiro - Atención]]),"")</f>
        <v/>
      </c>
      <c r="X655" s="11" t="str">
        <f>IFERROR(IF(MARÍTIMOS[[#This Row],[Etapa Retiro - Inicio de Ruta]]="","",MARÍTIMOS[[#This Row],[Etapa Retiro - Inicio de Ruta]]),"")</f>
        <v/>
      </c>
      <c r="Y655" s="11" t="str">
        <f>IFERROR(IF(MARÍTIMOS[[#This Row],[Hora de Posicionamiento]]="","",MARÍTIMOS[[#This Row],[Fecha de Carga]]+MARÍTIMOS[[#This Row],[Hora de Posicionamiento]]),"")</f>
        <v/>
      </c>
      <c r="Z655" s="11" t="str">
        <f>IFERROR(IF(MARÍTIMOS[[#This Row],[Etapa Despacho - Llegada]]="","",MARÍTIMOS[[#This Row],[Etapa Despacho - Llegada]]),"")</f>
        <v/>
      </c>
      <c r="AA655" s="11" t="str">
        <f>IFERROR(IF(MARÍTIMOS[[#This Row],[Etapa Despacho - Registro]]="","",MARÍTIMOS[[#This Row],[Etapa Despacho - Registro]]),"")</f>
        <v/>
      </c>
      <c r="AB655" s="11" t="str">
        <f>IFERROR(IF(MARÍTIMOS[[#This Row],[Inspección Externa]]="","",MARÍTIMOS[[#This Row],[Inspección Externa]]),"")</f>
        <v/>
      </c>
      <c r="AC655" s="11" t="str">
        <f>IFERROR(IF(MARÍTIMOS[[#This Row],[Etapa Despacho - Inicio de Carga]]="","",MARÍTIMOS[[#This Row],[Etapa Despacho - Inicio de Carga]]),"")</f>
        <v/>
      </c>
      <c r="AD655" s="11" t="str">
        <f>IFERROR(IF(MARÍTIMOS[[#This Row],[Etapa Despacho - Mitad de Carga]]="","",MARÍTIMOS[[#This Row],[Etapa Despacho - Mitad de Carga]]),"")</f>
        <v/>
      </c>
      <c r="AE655" s="11" t="str">
        <f>IFERROR(IF(MARÍTIMOS[[#This Row],[Etapa Despacho - Fin de Carga]]="","",MARÍTIMOS[[#This Row],[Etapa Despacho - Fin de Carga]]),"")</f>
        <v/>
      </c>
      <c r="AF655" s="2" t="str">
        <f>IFERROR(IF(MARÍTIMOS[[#This Row],[Puerto de Embarque]]="","",MARÍTIMOS[[#This Row],[Puerto de Embarque]]),"")</f>
        <v/>
      </c>
      <c r="AG655" s="2" t="str">
        <f>IFERROR(IF(MARÍTIMOS[[#This Row],[Almacén de Ingreso]]="","",MARÍTIMOS[[#This Row],[Almacén de Ingreso]]),"")</f>
        <v/>
      </c>
      <c r="AH655" s="11" t="str">
        <f>IFERROR(IF(MARÍTIMOS[[#This Row],[Etapa Ingreso - Cita]]="","",MARÍTIMOS[[#This Row],[Etapa Ingreso - Cita]]),"")</f>
        <v/>
      </c>
      <c r="AI655" s="11" t="str">
        <f>IFERROR(IF(MARÍTIMOS[[#This Row],[Etapa Ingreso - Llegada]]="","",MARÍTIMOS[[#This Row],[Etapa Ingreso - Llegada]]),"")</f>
        <v/>
      </c>
      <c r="AJ655" s="11" t="str">
        <f>IFERROR(IF(MARÍTIMOS[[#This Row],[Etapa Ingreso - Ingeso]]="","",MARÍTIMOS[[#This Row],[Etapa Ingreso - Ingeso]]),"")</f>
        <v/>
      </c>
      <c r="AK655" s="11" t="str">
        <f>IFERROR(IF(MARÍTIMOS[[#This Row],[Etapa Ingreso - Atención]]="","",MARÍTIMOS[[#This Row],[Etapa Ingreso - Atención]]),"")</f>
        <v/>
      </c>
      <c r="AL655" s="11" t="str">
        <f>IFERROR(IF(MARÍTIMOS[[#This Row],[Etapa Ingreso - Salida]]="","",MARÍTIMOS[[#This Row],[Etapa Ingreso - Salida]]),"")</f>
        <v/>
      </c>
      <c r="AM655" s="2" t="str">
        <f>IFERROR(IF(MARÍTIMOS[[#This Row],[FCL]]="","",MARÍTIMOS[[#This Row],[FCL]]),"")</f>
        <v/>
      </c>
      <c r="AN6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5" s="4" t="str" cm="1">
        <f t="array" ref="AO6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5" s="5" t="str">
        <f>IFERROR(OLDBD[[#This Row],[Llegada a packing]]-OLDBD[[#This Row],[Inicio de Ruta]],"")</f>
        <v/>
      </c>
      <c r="AQ655" s="6" t="str">
        <f>IFERROR(OLDBD[[#This Row],[Inicio de Ruta]]-OLDBD[[#This Row],[Salida de almacén de retiro]],"")</f>
        <v/>
      </c>
      <c r="AR6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5" s="8" t="str" cm="1">
        <f t="array" ref="AS6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5" s="9" t="str">
        <f>IFERROR(OLDBD[[#This Row],[Ingreso Packing]]-OLDBD[[#This Row],[Registro en Packing]],"")</f>
        <v/>
      </c>
      <c r="AV655" s="9" t="str">
        <f>IFERROR(OLDBD[[#This Row],[Ingreso Packing]]-OLDBD[[#This Row],[Llegada a packing]],"")</f>
        <v/>
      </c>
      <c r="AW6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5" s="5" t="str">
        <f>IFERROR(OLDBD[[#This Row],[Llegada Almacén de Ingreso]]-OLDBD[[#This Row],[Salida Packing]],"")</f>
        <v/>
      </c>
      <c r="AY655" s="4" t="str" cm="1">
        <f t="array" ref="AY6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5" s="43" t="s">
        <v>173</v>
      </c>
      <c r="BB655" s="47" t="str">
        <f>IFERROR(IF(MARÍTIMOS[[#This Row],[Estatus]]="","",MARÍTIMOS[[#This Row],[Estatus]]),"")</f>
        <v/>
      </c>
      <c r="BC655" s="43"/>
      <c r="BD655" s="46" t="str">
        <f>IFERROR(OLDBD[[#This Row],[Salida de almacén de retiro]]-OLDBD[[#This Row],[Ingreso Almacén de retiro]],"")</f>
        <v/>
      </c>
      <c r="BE655" s="46" t="str">
        <f>IFERROR(OLDBD[[#This Row],[Fin de Carga]]-OLDBD[[#This Row],[Inicio de Carga]],"")</f>
        <v/>
      </c>
    </row>
    <row r="656" spans="1:57" customFormat="1" hidden="1">
      <c r="A656" s="1"/>
      <c r="B656" s="1" t="str">
        <f>IFERROR(IF(MARÍTIMOS[[#This Row],[PP]]="","",MARÍTIMOS[[#This Row],[PP]]),"")</f>
        <v/>
      </c>
      <c r="C656" s="1" t="str">
        <f>IFERROR(IF(MARÍTIMOS[[#This Row],[Sede]]="","",MARÍTIMOS[[#This Row],[Sede]]),"")</f>
        <v/>
      </c>
      <c r="D656" s="1" t="str">
        <f>IFERROR(IF(MARÍTIMOS[[#This Row],[Instruction]]="","",MARÍTIMOS[[#This Row],[Instruction]]),"")</f>
        <v/>
      </c>
      <c r="E656" s="1"/>
      <c r="F656" s="2" t="str">
        <f>IFERROR(IF(MARÍTIMOS[[#This Row],[Transportista]]="","",MARÍTIMOS[[#This Row],[Transportista]]),"")</f>
        <v/>
      </c>
      <c r="G656" s="2" t="str">
        <f>IFERROR(IF(MARÍTIMOS[[#This Row],[Tercero]]="","",MARÍTIMOS[[#This Row],[Tercero]]),"")</f>
        <v/>
      </c>
      <c r="H656" s="2" t="str">
        <f>IFERROR(IF(MARÍTIMOS[[#This Row],[Razón Social]]="","",MARÍTIMOS[[#This Row],[Razón Social]]),"")</f>
        <v/>
      </c>
      <c r="I656" s="2" t="str">
        <f>IFERROR(IF(MARÍTIMOS[[#This Row],[RUC]]="","",MARÍTIMOS[[#This Row],[RUC]]),"")</f>
        <v/>
      </c>
      <c r="J656" s="2" t="str">
        <f>IFERROR(IF(MARÍTIMOS[[#This Row],[Placa Tracto]]="","",MARÍTIMOS[[#This Row],[Placa Tracto]]),"")</f>
        <v/>
      </c>
      <c r="K656" s="2" t="str">
        <f>IFERROR(IF(MARÍTIMOS[[#This Row],[Placa Carreta]]="","",MARÍTIMOS[[#This Row],[Placa Carreta]]),"")</f>
        <v/>
      </c>
      <c r="L656" s="44" t="str">
        <f>IFERROR(IF(MARÍTIMOS[[#This Row],[Conductor]]="","",MARÍTIMOS[[#This Row],[Conductor]]),"")</f>
        <v/>
      </c>
      <c r="M656" s="2" t="str">
        <f>IFERROR(IF(MARÍTIMOS[[#This Row],[Licencia]]="","",MARÍTIMOS[[#This Row],[Licencia]]),"")</f>
        <v/>
      </c>
      <c r="N656" s="2" t="str">
        <f>IFERROR(IF(MARÍTIMOS[[#This Row],[Número de Contacto]]="","",MARÍTIMOS[[#This Row],[Número de Contacto]]),"")</f>
        <v/>
      </c>
      <c r="O656" s="10" t="str">
        <f>IFERROR(IF(MARÍTIMOS[[#This Row],[Booking|AWB|CRT]]="","",MARÍTIMOS[[#This Row],[Booking|AWB|CRT]]),"")</f>
        <v/>
      </c>
      <c r="P656" s="2" t="str">
        <f>IFERROR(IF(MARÍTIMOS[[#This Row],[Contenedor]]="","",MARÍTIMOS[[#This Row],[Contenedor]]),"")</f>
        <v/>
      </c>
      <c r="Q656" s="2" t="str">
        <f>IFERROR(IF(MARÍTIMOS[[#This Row],[Puerto de Retiro]]="","",MARÍTIMOS[[#This Row],[Puerto de Retiro]]),"")</f>
        <v/>
      </c>
      <c r="R656" s="2" t="str">
        <f>IFERROR(IF(MARÍTIMOS[[#This Row],[Almacén de Retiro]]="","",MARÍTIMOS[[#This Row],[Almacén de Retiro]]),"")</f>
        <v/>
      </c>
      <c r="S656" s="11" t="str">
        <f>IFERROR(IF(MARÍTIMOS[[#This Row],[Etapa Retiro - Cita]]="","",MARÍTIMOS[[#This Row],[Etapa Retiro - Cita]]),"")</f>
        <v/>
      </c>
      <c r="T656" s="11" t="str">
        <f>IFERROR(IF(MARÍTIMOS[[#This Row],[Etapa Retiro - Llegada]]="","",MARÍTIMOS[[#This Row],[Etapa Retiro - Llegada]]),"")</f>
        <v/>
      </c>
      <c r="U656" s="11" t="str">
        <f>IFERROR(IF(MARÍTIMOS[[#This Row],[Etapa Retiro - Ingreso]]="","",MARÍTIMOS[[#This Row],[Etapa Retiro - Ingreso]]),"")</f>
        <v/>
      </c>
      <c r="V656" s="11" t="str">
        <f>IFERROR(IF(MARÍTIMOS[[#This Row],[Etapa Retiro - Atención]]="","",MARÍTIMOS[[#This Row],[Etapa Retiro - Atención]]),"")</f>
        <v/>
      </c>
      <c r="W656" s="11" t="str">
        <f>IFERROR(IF(MARÍTIMOS[[#This Row],[Etapa Retiro - Atención]]="","",MARÍTIMOS[[#This Row],[Etapa Retiro - Atención]]),"")</f>
        <v/>
      </c>
      <c r="X656" s="11" t="str">
        <f>IFERROR(IF(MARÍTIMOS[[#This Row],[Etapa Retiro - Inicio de Ruta]]="","",MARÍTIMOS[[#This Row],[Etapa Retiro - Inicio de Ruta]]),"")</f>
        <v/>
      </c>
      <c r="Y656" s="11" t="str">
        <f>IFERROR(IF(MARÍTIMOS[[#This Row],[Hora de Posicionamiento]]="","",MARÍTIMOS[[#This Row],[Fecha de Carga]]+MARÍTIMOS[[#This Row],[Hora de Posicionamiento]]),"")</f>
        <v/>
      </c>
      <c r="Z656" s="11" t="str">
        <f>IFERROR(IF(MARÍTIMOS[[#This Row],[Etapa Despacho - Llegada]]="","",MARÍTIMOS[[#This Row],[Etapa Despacho - Llegada]]),"")</f>
        <v/>
      </c>
      <c r="AA656" s="11" t="str">
        <f>IFERROR(IF(MARÍTIMOS[[#This Row],[Etapa Despacho - Registro]]="","",MARÍTIMOS[[#This Row],[Etapa Despacho - Registro]]),"")</f>
        <v/>
      </c>
      <c r="AB656" s="11" t="str">
        <f>IFERROR(IF(MARÍTIMOS[[#This Row],[Inspección Externa]]="","",MARÍTIMOS[[#This Row],[Inspección Externa]]),"")</f>
        <v/>
      </c>
      <c r="AC656" s="11" t="str">
        <f>IFERROR(IF(MARÍTIMOS[[#This Row],[Etapa Despacho - Inicio de Carga]]="","",MARÍTIMOS[[#This Row],[Etapa Despacho - Inicio de Carga]]),"")</f>
        <v/>
      </c>
      <c r="AD656" s="11" t="str">
        <f>IFERROR(IF(MARÍTIMOS[[#This Row],[Etapa Despacho - Mitad de Carga]]="","",MARÍTIMOS[[#This Row],[Etapa Despacho - Mitad de Carga]]),"")</f>
        <v/>
      </c>
      <c r="AE656" s="11" t="str">
        <f>IFERROR(IF(MARÍTIMOS[[#This Row],[Etapa Despacho - Fin de Carga]]="","",MARÍTIMOS[[#This Row],[Etapa Despacho - Fin de Carga]]),"")</f>
        <v/>
      </c>
      <c r="AF656" s="2" t="str">
        <f>IFERROR(IF(MARÍTIMOS[[#This Row],[Puerto de Embarque]]="","",MARÍTIMOS[[#This Row],[Puerto de Embarque]]),"")</f>
        <v/>
      </c>
      <c r="AG656" s="2" t="str">
        <f>IFERROR(IF(MARÍTIMOS[[#This Row],[Almacén de Ingreso]]="","",MARÍTIMOS[[#This Row],[Almacén de Ingreso]]),"")</f>
        <v/>
      </c>
      <c r="AH656" s="11" t="str">
        <f>IFERROR(IF(MARÍTIMOS[[#This Row],[Etapa Ingreso - Cita]]="","",MARÍTIMOS[[#This Row],[Etapa Ingreso - Cita]]),"")</f>
        <v/>
      </c>
      <c r="AI656" s="11" t="str">
        <f>IFERROR(IF(MARÍTIMOS[[#This Row],[Etapa Ingreso - Llegada]]="","",MARÍTIMOS[[#This Row],[Etapa Ingreso - Llegada]]),"")</f>
        <v/>
      </c>
      <c r="AJ656" s="11" t="str">
        <f>IFERROR(IF(MARÍTIMOS[[#This Row],[Etapa Ingreso - Ingeso]]="","",MARÍTIMOS[[#This Row],[Etapa Ingreso - Ingeso]]),"")</f>
        <v/>
      </c>
      <c r="AK656" s="11" t="str">
        <f>IFERROR(IF(MARÍTIMOS[[#This Row],[Etapa Ingreso - Atención]]="","",MARÍTIMOS[[#This Row],[Etapa Ingreso - Atención]]),"")</f>
        <v/>
      </c>
      <c r="AL656" s="11" t="str">
        <f>IFERROR(IF(MARÍTIMOS[[#This Row],[Etapa Ingreso - Salida]]="","",MARÍTIMOS[[#This Row],[Etapa Ingreso - Salida]]),"")</f>
        <v/>
      </c>
      <c r="AM656" s="2" t="str">
        <f>IFERROR(IF(MARÍTIMOS[[#This Row],[FCL]]="","",MARÍTIMOS[[#This Row],[FCL]]),"")</f>
        <v/>
      </c>
      <c r="AN6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6" s="4" t="str" cm="1">
        <f t="array" ref="AO6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6" s="5" t="str">
        <f>IFERROR(OLDBD[[#This Row],[Llegada a packing]]-OLDBD[[#This Row],[Inicio de Ruta]],"")</f>
        <v/>
      </c>
      <c r="AQ656" s="6" t="str">
        <f>IFERROR(OLDBD[[#This Row],[Inicio de Ruta]]-OLDBD[[#This Row],[Salida de almacén de retiro]],"")</f>
        <v/>
      </c>
      <c r="AR6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6" s="8" t="str" cm="1">
        <f t="array" ref="AS6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6" s="9" t="str">
        <f>IFERROR(OLDBD[[#This Row],[Ingreso Packing]]-OLDBD[[#This Row],[Registro en Packing]],"")</f>
        <v/>
      </c>
      <c r="AV656" s="9" t="str">
        <f>IFERROR(OLDBD[[#This Row],[Ingreso Packing]]-OLDBD[[#This Row],[Llegada a packing]],"")</f>
        <v/>
      </c>
      <c r="AW6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6" s="5" t="str">
        <f>IFERROR(OLDBD[[#This Row],[Llegada Almacén de Ingreso]]-OLDBD[[#This Row],[Salida Packing]],"")</f>
        <v/>
      </c>
      <c r="AY656" s="4" t="str" cm="1">
        <f t="array" ref="AY6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6" s="43" t="s">
        <v>173</v>
      </c>
      <c r="BB656" s="47" t="str">
        <f>IFERROR(IF(MARÍTIMOS[[#This Row],[Estatus]]="","",MARÍTIMOS[[#This Row],[Estatus]]),"")</f>
        <v/>
      </c>
      <c r="BC656" s="43"/>
      <c r="BD656" s="46" t="str">
        <f>IFERROR(OLDBD[[#This Row],[Salida de almacén de retiro]]-OLDBD[[#This Row],[Ingreso Almacén de retiro]],"")</f>
        <v/>
      </c>
      <c r="BE656" s="46" t="str">
        <f>IFERROR(OLDBD[[#This Row],[Fin de Carga]]-OLDBD[[#This Row],[Inicio de Carga]],"")</f>
        <v/>
      </c>
    </row>
    <row r="657" spans="1:57" customFormat="1" hidden="1">
      <c r="A657" s="1"/>
      <c r="B657" s="1" t="str">
        <f>IFERROR(IF(MARÍTIMOS[[#This Row],[PP]]="","",MARÍTIMOS[[#This Row],[PP]]),"")</f>
        <v/>
      </c>
      <c r="C657" s="1" t="str">
        <f>IFERROR(IF(MARÍTIMOS[[#This Row],[Sede]]="","",MARÍTIMOS[[#This Row],[Sede]]),"")</f>
        <v/>
      </c>
      <c r="D657" s="1" t="str">
        <f>IFERROR(IF(MARÍTIMOS[[#This Row],[Instruction]]="","",MARÍTIMOS[[#This Row],[Instruction]]),"")</f>
        <v/>
      </c>
      <c r="E657" s="1"/>
      <c r="F657" s="2" t="str">
        <f>IFERROR(IF(MARÍTIMOS[[#This Row],[Transportista]]="","",MARÍTIMOS[[#This Row],[Transportista]]),"")</f>
        <v/>
      </c>
      <c r="G657" s="2" t="str">
        <f>IFERROR(IF(MARÍTIMOS[[#This Row],[Tercero]]="","",MARÍTIMOS[[#This Row],[Tercero]]),"")</f>
        <v/>
      </c>
      <c r="H657" s="2" t="str">
        <f>IFERROR(IF(MARÍTIMOS[[#This Row],[Razón Social]]="","",MARÍTIMOS[[#This Row],[Razón Social]]),"")</f>
        <v/>
      </c>
      <c r="I657" s="2" t="str">
        <f>IFERROR(IF(MARÍTIMOS[[#This Row],[RUC]]="","",MARÍTIMOS[[#This Row],[RUC]]),"")</f>
        <v/>
      </c>
      <c r="J657" s="2" t="str">
        <f>IFERROR(IF(MARÍTIMOS[[#This Row],[Placa Tracto]]="","",MARÍTIMOS[[#This Row],[Placa Tracto]]),"")</f>
        <v/>
      </c>
      <c r="K657" s="2" t="str">
        <f>IFERROR(IF(MARÍTIMOS[[#This Row],[Placa Carreta]]="","",MARÍTIMOS[[#This Row],[Placa Carreta]]),"")</f>
        <v/>
      </c>
      <c r="L657" s="44" t="str">
        <f>IFERROR(IF(MARÍTIMOS[[#This Row],[Conductor]]="","",MARÍTIMOS[[#This Row],[Conductor]]),"")</f>
        <v/>
      </c>
      <c r="M657" s="2" t="str">
        <f>IFERROR(IF(MARÍTIMOS[[#This Row],[Licencia]]="","",MARÍTIMOS[[#This Row],[Licencia]]),"")</f>
        <v/>
      </c>
      <c r="N657" s="2" t="str">
        <f>IFERROR(IF(MARÍTIMOS[[#This Row],[Número de Contacto]]="","",MARÍTIMOS[[#This Row],[Número de Contacto]]),"")</f>
        <v/>
      </c>
      <c r="O657" s="10" t="str">
        <f>IFERROR(IF(MARÍTIMOS[[#This Row],[Booking|AWB|CRT]]="","",MARÍTIMOS[[#This Row],[Booking|AWB|CRT]]),"")</f>
        <v/>
      </c>
      <c r="P657" s="2" t="str">
        <f>IFERROR(IF(MARÍTIMOS[[#This Row],[Contenedor]]="","",MARÍTIMOS[[#This Row],[Contenedor]]),"")</f>
        <v/>
      </c>
      <c r="Q657" s="2" t="str">
        <f>IFERROR(IF(MARÍTIMOS[[#This Row],[Puerto de Retiro]]="","",MARÍTIMOS[[#This Row],[Puerto de Retiro]]),"")</f>
        <v/>
      </c>
      <c r="R657" s="2" t="str">
        <f>IFERROR(IF(MARÍTIMOS[[#This Row],[Almacén de Retiro]]="","",MARÍTIMOS[[#This Row],[Almacén de Retiro]]),"")</f>
        <v/>
      </c>
      <c r="S657" s="11" t="str">
        <f>IFERROR(IF(MARÍTIMOS[[#This Row],[Etapa Retiro - Cita]]="","",MARÍTIMOS[[#This Row],[Etapa Retiro - Cita]]),"")</f>
        <v/>
      </c>
      <c r="T657" s="11" t="str">
        <f>IFERROR(IF(MARÍTIMOS[[#This Row],[Etapa Retiro - Llegada]]="","",MARÍTIMOS[[#This Row],[Etapa Retiro - Llegada]]),"")</f>
        <v/>
      </c>
      <c r="U657" s="11" t="str">
        <f>IFERROR(IF(MARÍTIMOS[[#This Row],[Etapa Retiro - Ingreso]]="","",MARÍTIMOS[[#This Row],[Etapa Retiro - Ingreso]]),"")</f>
        <v/>
      </c>
      <c r="V657" s="11" t="str">
        <f>IFERROR(IF(MARÍTIMOS[[#This Row],[Etapa Retiro - Atención]]="","",MARÍTIMOS[[#This Row],[Etapa Retiro - Atención]]),"")</f>
        <v/>
      </c>
      <c r="W657" s="11" t="str">
        <f>IFERROR(IF(MARÍTIMOS[[#This Row],[Etapa Retiro - Atención]]="","",MARÍTIMOS[[#This Row],[Etapa Retiro - Atención]]),"")</f>
        <v/>
      </c>
      <c r="X657" s="11" t="str">
        <f>IFERROR(IF(MARÍTIMOS[[#This Row],[Etapa Retiro - Inicio de Ruta]]="","",MARÍTIMOS[[#This Row],[Etapa Retiro - Inicio de Ruta]]),"")</f>
        <v/>
      </c>
      <c r="Y657" s="11" t="str">
        <f>IFERROR(IF(MARÍTIMOS[[#This Row],[Hora de Posicionamiento]]="","",MARÍTIMOS[[#This Row],[Fecha de Carga]]+MARÍTIMOS[[#This Row],[Hora de Posicionamiento]]),"")</f>
        <v/>
      </c>
      <c r="Z657" s="11" t="str">
        <f>IFERROR(IF(MARÍTIMOS[[#This Row],[Etapa Despacho - Llegada]]="","",MARÍTIMOS[[#This Row],[Etapa Despacho - Llegada]]),"")</f>
        <v/>
      </c>
      <c r="AA657" s="11" t="str">
        <f>IFERROR(IF(MARÍTIMOS[[#This Row],[Etapa Despacho - Registro]]="","",MARÍTIMOS[[#This Row],[Etapa Despacho - Registro]]),"")</f>
        <v/>
      </c>
      <c r="AB657" s="11" t="str">
        <f>IFERROR(IF(MARÍTIMOS[[#This Row],[Inspección Externa]]="","",MARÍTIMOS[[#This Row],[Inspección Externa]]),"")</f>
        <v/>
      </c>
      <c r="AC657" s="11" t="str">
        <f>IFERROR(IF(MARÍTIMOS[[#This Row],[Etapa Despacho - Inicio de Carga]]="","",MARÍTIMOS[[#This Row],[Etapa Despacho - Inicio de Carga]]),"")</f>
        <v/>
      </c>
      <c r="AD657" s="11" t="str">
        <f>IFERROR(IF(MARÍTIMOS[[#This Row],[Etapa Despacho - Mitad de Carga]]="","",MARÍTIMOS[[#This Row],[Etapa Despacho - Mitad de Carga]]),"")</f>
        <v/>
      </c>
      <c r="AE657" s="11" t="str">
        <f>IFERROR(IF(MARÍTIMOS[[#This Row],[Etapa Despacho - Fin de Carga]]="","",MARÍTIMOS[[#This Row],[Etapa Despacho - Fin de Carga]]),"")</f>
        <v/>
      </c>
      <c r="AF657" s="2" t="str">
        <f>IFERROR(IF(MARÍTIMOS[[#This Row],[Puerto de Embarque]]="","",MARÍTIMOS[[#This Row],[Puerto de Embarque]]),"")</f>
        <v/>
      </c>
      <c r="AG657" s="2" t="str">
        <f>IFERROR(IF(MARÍTIMOS[[#This Row],[Almacén de Ingreso]]="","",MARÍTIMOS[[#This Row],[Almacén de Ingreso]]),"")</f>
        <v/>
      </c>
      <c r="AH657" s="11" t="str">
        <f>IFERROR(IF(MARÍTIMOS[[#This Row],[Etapa Ingreso - Cita]]="","",MARÍTIMOS[[#This Row],[Etapa Ingreso - Cita]]),"")</f>
        <v/>
      </c>
      <c r="AI657" s="11" t="str">
        <f>IFERROR(IF(MARÍTIMOS[[#This Row],[Etapa Ingreso - Llegada]]="","",MARÍTIMOS[[#This Row],[Etapa Ingreso - Llegada]]),"")</f>
        <v/>
      </c>
      <c r="AJ657" s="11" t="str">
        <f>IFERROR(IF(MARÍTIMOS[[#This Row],[Etapa Ingreso - Ingeso]]="","",MARÍTIMOS[[#This Row],[Etapa Ingreso - Ingeso]]),"")</f>
        <v/>
      </c>
      <c r="AK657" s="11" t="str">
        <f>IFERROR(IF(MARÍTIMOS[[#This Row],[Etapa Ingreso - Atención]]="","",MARÍTIMOS[[#This Row],[Etapa Ingreso - Atención]]),"")</f>
        <v/>
      </c>
      <c r="AL657" s="11" t="str">
        <f>IFERROR(IF(MARÍTIMOS[[#This Row],[Etapa Ingreso - Salida]]="","",MARÍTIMOS[[#This Row],[Etapa Ingreso - Salida]]),"")</f>
        <v/>
      </c>
      <c r="AM657" s="2" t="str">
        <f>IFERROR(IF(MARÍTIMOS[[#This Row],[FCL]]="","",MARÍTIMOS[[#This Row],[FCL]]),"")</f>
        <v/>
      </c>
      <c r="AN6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7" s="4" t="str" cm="1">
        <f t="array" ref="AO6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7" s="5" t="str">
        <f>IFERROR(OLDBD[[#This Row],[Llegada a packing]]-OLDBD[[#This Row],[Inicio de Ruta]],"")</f>
        <v/>
      </c>
      <c r="AQ657" s="6" t="str">
        <f>IFERROR(OLDBD[[#This Row],[Inicio de Ruta]]-OLDBD[[#This Row],[Salida de almacén de retiro]],"")</f>
        <v/>
      </c>
      <c r="AR6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7" s="8" t="str" cm="1">
        <f t="array" ref="AS6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7" s="9" t="str">
        <f>IFERROR(OLDBD[[#This Row],[Ingreso Packing]]-OLDBD[[#This Row],[Registro en Packing]],"")</f>
        <v/>
      </c>
      <c r="AV657" s="9" t="str">
        <f>IFERROR(OLDBD[[#This Row],[Ingreso Packing]]-OLDBD[[#This Row],[Llegada a packing]],"")</f>
        <v/>
      </c>
      <c r="AW6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7" s="5" t="str">
        <f>IFERROR(OLDBD[[#This Row],[Llegada Almacén de Ingreso]]-OLDBD[[#This Row],[Salida Packing]],"")</f>
        <v/>
      </c>
      <c r="AY657" s="4" t="str" cm="1">
        <f t="array" ref="AY6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7" s="43" t="s">
        <v>173</v>
      </c>
      <c r="BB657" s="47" t="str">
        <f>IFERROR(IF(MARÍTIMOS[[#This Row],[Estatus]]="","",MARÍTIMOS[[#This Row],[Estatus]]),"")</f>
        <v/>
      </c>
      <c r="BC657" s="43"/>
      <c r="BD657" s="46" t="str">
        <f>IFERROR(OLDBD[[#This Row],[Salida de almacén de retiro]]-OLDBD[[#This Row],[Ingreso Almacén de retiro]],"")</f>
        <v/>
      </c>
      <c r="BE657" s="46" t="str">
        <f>IFERROR(OLDBD[[#This Row],[Fin de Carga]]-OLDBD[[#This Row],[Inicio de Carga]],"")</f>
        <v/>
      </c>
    </row>
    <row r="658" spans="1:57" customFormat="1" hidden="1">
      <c r="A658" s="1"/>
      <c r="B658" s="1" t="str">
        <f>IFERROR(IF(MARÍTIMOS[[#This Row],[PP]]="","",MARÍTIMOS[[#This Row],[PP]]),"")</f>
        <v/>
      </c>
      <c r="C658" s="1" t="str">
        <f>IFERROR(IF(MARÍTIMOS[[#This Row],[Sede]]="","",MARÍTIMOS[[#This Row],[Sede]]),"")</f>
        <v/>
      </c>
      <c r="D658" s="1" t="str">
        <f>IFERROR(IF(MARÍTIMOS[[#This Row],[Instruction]]="","",MARÍTIMOS[[#This Row],[Instruction]]),"")</f>
        <v/>
      </c>
      <c r="E658" s="1"/>
      <c r="F658" s="2" t="str">
        <f>IFERROR(IF(MARÍTIMOS[[#This Row],[Transportista]]="","",MARÍTIMOS[[#This Row],[Transportista]]),"")</f>
        <v/>
      </c>
      <c r="G658" s="2" t="str">
        <f>IFERROR(IF(MARÍTIMOS[[#This Row],[Tercero]]="","",MARÍTIMOS[[#This Row],[Tercero]]),"")</f>
        <v/>
      </c>
      <c r="H658" s="2" t="str">
        <f>IFERROR(IF(MARÍTIMOS[[#This Row],[Razón Social]]="","",MARÍTIMOS[[#This Row],[Razón Social]]),"")</f>
        <v/>
      </c>
      <c r="I658" s="2" t="str">
        <f>IFERROR(IF(MARÍTIMOS[[#This Row],[RUC]]="","",MARÍTIMOS[[#This Row],[RUC]]),"")</f>
        <v/>
      </c>
      <c r="J658" s="2" t="str">
        <f>IFERROR(IF(MARÍTIMOS[[#This Row],[Placa Tracto]]="","",MARÍTIMOS[[#This Row],[Placa Tracto]]),"")</f>
        <v/>
      </c>
      <c r="K658" s="2" t="str">
        <f>IFERROR(IF(MARÍTIMOS[[#This Row],[Placa Carreta]]="","",MARÍTIMOS[[#This Row],[Placa Carreta]]),"")</f>
        <v/>
      </c>
      <c r="L658" s="44" t="str">
        <f>IFERROR(IF(MARÍTIMOS[[#This Row],[Conductor]]="","",MARÍTIMOS[[#This Row],[Conductor]]),"")</f>
        <v/>
      </c>
      <c r="M658" s="2" t="str">
        <f>IFERROR(IF(MARÍTIMOS[[#This Row],[Licencia]]="","",MARÍTIMOS[[#This Row],[Licencia]]),"")</f>
        <v/>
      </c>
      <c r="N658" s="2" t="str">
        <f>IFERROR(IF(MARÍTIMOS[[#This Row],[Número de Contacto]]="","",MARÍTIMOS[[#This Row],[Número de Contacto]]),"")</f>
        <v/>
      </c>
      <c r="O658" s="10" t="str">
        <f>IFERROR(IF(MARÍTIMOS[[#This Row],[Booking|AWB|CRT]]="","",MARÍTIMOS[[#This Row],[Booking|AWB|CRT]]),"")</f>
        <v/>
      </c>
      <c r="P658" s="2" t="str">
        <f>IFERROR(IF(MARÍTIMOS[[#This Row],[Contenedor]]="","",MARÍTIMOS[[#This Row],[Contenedor]]),"")</f>
        <v/>
      </c>
      <c r="Q658" s="2" t="str">
        <f>IFERROR(IF(MARÍTIMOS[[#This Row],[Puerto de Retiro]]="","",MARÍTIMOS[[#This Row],[Puerto de Retiro]]),"")</f>
        <v/>
      </c>
      <c r="R658" s="2" t="str">
        <f>IFERROR(IF(MARÍTIMOS[[#This Row],[Almacén de Retiro]]="","",MARÍTIMOS[[#This Row],[Almacén de Retiro]]),"")</f>
        <v/>
      </c>
      <c r="S658" s="11" t="str">
        <f>IFERROR(IF(MARÍTIMOS[[#This Row],[Etapa Retiro - Cita]]="","",MARÍTIMOS[[#This Row],[Etapa Retiro - Cita]]),"")</f>
        <v/>
      </c>
      <c r="T658" s="11" t="str">
        <f>IFERROR(IF(MARÍTIMOS[[#This Row],[Etapa Retiro - Llegada]]="","",MARÍTIMOS[[#This Row],[Etapa Retiro - Llegada]]),"")</f>
        <v/>
      </c>
      <c r="U658" s="11" t="str">
        <f>IFERROR(IF(MARÍTIMOS[[#This Row],[Etapa Retiro - Ingreso]]="","",MARÍTIMOS[[#This Row],[Etapa Retiro - Ingreso]]),"")</f>
        <v/>
      </c>
      <c r="V658" s="11" t="str">
        <f>IFERROR(IF(MARÍTIMOS[[#This Row],[Etapa Retiro - Atención]]="","",MARÍTIMOS[[#This Row],[Etapa Retiro - Atención]]),"")</f>
        <v/>
      </c>
      <c r="W658" s="11" t="str">
        <f>IFERROR(IF(MARÍTIMOS[[#This Row],[Etapa Retiro - Atención]]="","",MARÍTIMOS[[#This Row],[Etapa Retiro - Atención]]),"")</f>
        <v/>
      </c>
      <c r="X658" s="11" t="str">
        <f>IFERROR(IF(MARÍTIMOS[[#This Row],[Etapa Retiro - Inicio de Ruta]]="","",MARÍTIMOS[[#This Row],[Etapa Retiro - Inicio de Ruta]]),"")</f>
        <v/>
      </c>
      <c r="Y658" s="11" t="str">
        <f>IFERROR(IF(MARÍTIMOS[[#This Row],[Hora de Posicionamiento]]="","",MARÍTIMOS[[#This Row],[Fecha de Carga]]+MARÍTIMOS[[#This Row],[Hora de Posicionamiento]]),"")</f>
        <v/>
      </c>
      <c r="Z658" s="11" t="str">
        <f>IFERROR(IF(MARÍTIMOS[[#This Row],[Etapa Despacho - Llegada]]="","",MARÍTIMOS[[#This Row],[Etapa Despacho - Llegada]]),"")</f>
        <v/>
      </c>
      <c r="AA658" s="11" t="str">
        <f>IFERROR(IF(MARÍTIMOS[[#This Row],[Etapa Despacho - Registro]]="","",MARÍTIMOS[[#This Row],[Etapa Despacho - Registro]]),"")</f>
        <v/>
      </c>
      <c r="AB658" s="11" t="str">
        <f>IFERROR(IF(MARÍTIMOS[[#This Row],[Inspección Externa]]="","",MARÍTIMOS[[#This Row],[Inspección Externa]]),"")</f>
        <v/>
      </c>
      <c r="AC658" s="11" t="str">
        <f>IFERROR(IF(MARÍTIMOS[[#This Row],[Etapa Despacho - Inicio de Carga]]="","",MARÍTIMOS[[#This Row],[Etapa Despacho - Inicio de Carga]]),"")</f>
        <v/>
      </c>
      <c r="AD658" s="11" t="str">
        <f>IFERROR(IF(MARÍTIMOS[[#This Row],[Etapa Despacho - Mitad de Carga]]="","",MARÍTIMOS[[#This Row],[Etapa Despacho - Mitad de Carga]]),"")</f>
        <v/>
      </c>
      <c r="AE658" s="11" t="str">
        <f>IFERROR(IF(MARÍTIMOS[[#This Row],[Etapa Despacho - Fin de Carga]]="","",MARÍTIMOS[[#This Row],[Etapa Despacho - Fin de Carga]]),"")</f>
        <v/>
      </c>
      <c r="AF658" s="2" t="str">
        <f>IFERROR(IF(MARÍTIMOS[[#This Row],[Puerto de Embarque]]="","",MARÍTIMOS[[#This Row],[Puerto de Embarque]]),"")</f>
        <v/>
      </c>
      <c r="AG658" s="2" t="str">
        <f>IFERROR(IF(MARÍTIMOS[[#This Row],[Almacén de Ingreso]]="","",MARÍTIMOS[[#This Row],[Almacén de Ingreso]]),"")</f>
        <v/>
      </c>
      <c r="AH658" s="11" t="str">
        <f>IFERROR(IF(MARÍTIMOS[[#This Row],[Etapa Ingreso - Cita]]="","",MARÍTIMOS[[#This Row],[Etapa Ingreso - Cita]]),"")</f>
        <v/>
      </c>
      <c r="AI658" s="11" t="str">
        <f>IFERROR(IF(MARÍTIMOS[[#This Row],[Etapa Ingreso - Llegada]]="","",MARÍTIMOS[[#This Row],[Etapa Ingreso - Llegada]]),"")</f>
        <v/>
      </c>
      <c r="AJ658" s="11" t="str">
        <f>IFERROR(IF(MARÍTIMOS[[#This Row],[Etapa Ingreso - Ingeso]]="","",MARÍTIMOS[[#This Row],[Etapa Ingreso - Ingeso]]),"")</f>
        <v/>
      </c>
      <c r="AK658" s="11" t="str">
        <f>IFERROR(IF(MARÍTIMOS[[#This Row],[Etapa Ingreso - Atención]]="","",MARÍTIMOS[[#This Row],[Etapa Ingreso - Atención]]),"")</f>
        <v/>
      </c>
      <c r="AL658" s="11" t="str">
        <f>IFERROR(IF(MARÍTIMOS[[#This Row],[Etapa Ingreso - Salida]]="","",MARÍTIMOS[[#This Row],[Etapa Ingreso - Salida]]),"")</f>
        <v/>
      </c>
      <c r="AM658" s="2" t="str">
        <f>IFERROR(IF(MARÍTIMOS[[#This Row],[FCL]]="","",MARÍTIMOS[[#This Row],[FCL]]),"")</f>
        <v/>
      </c>
      <c r="AN6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8" s="4" t="str" cm="1">
        <f t="array" ref="AO6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8" s="5" t="str">
        <f>IFERROR(OLDBD[[#This Row],[Llegada a packing]]-OLDBD[[#This Row],[Inicio de Ruta]],"")</f>
        <v/>
      </c>
      <c r="AQ658" s="6" t="str">
        <f>IFERROR(OLDBD[[#This Row],[Inicio de Ruta]]-OLDBD[[#This Row],[Salida de almacén de retiro]],"")</f>
        <v/>
      </c>
      <c r="AR6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8" s="8" t="str" cm="1">
        <f t="array" ref="AS6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8" s="9" t="str">
        <f>IFERROR(OLDBD[[#This Row],[Ingreso Packing]]-OLDBD[[#This Row],[Registro en Packing]],"")</f>
        <v/>
      </c>
      <c r="AV658" s="9" t="str">
        <f>IFERROR(OLDBD[[#This Row],[Ingreso Packing]]-OLDBD[[#This Row],[Llegada a packing]],"")</f>
        <v/>
      </c>
      <c r="AW6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8" s="5" t="str">
        <f>IFERROR(OLDBD[[#This Row],[Llegada Almacén de Ingreso]]-OLDBD[[#This Row],[Salida Packing]],"")</f>
        <v/>
      </c>
      <c r="AY658" s="4" t="str" cm="1">
        <f t="array" ref="AY6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8" s="43" t="s">
        <v>173</v>
      </c>
      <c r="BB658" s="47" t="str">
        <f>IFERROR(IF(MARÍTIMOS[[#This Row],[Estatus]]="","",MARÍTIMOS[[#This Row],[Estatus]]),"")</f>
        <v/>
      </c>
      <c r="BC658" s="43"/>
      <c r="BD658" s="46" t="str">
        <f>IFERROR(OLDBD[[#This Row],[Salida de almacén de retiro]]-OLDBD[[#This Row],[Ingreso Almacén de retiro]],"")</f>
        <v/>
      </c>
      <c r="BE658" s="46" t="str">
        <f>IFERROR(OLDBD[[#This Row],[Fin de Carga]]-OLDBD[[#This Row],[Inicio de Carga]],"")</f>
        <v/>
      </c>
    </row>
    <row r="659" spans="1:57" customFormat="1" hidden="1">
      <c r="A659" s="1"/>
      <c r="B659" s="1" t="str">
        <f>IFERROR(IF(MARÍTIMOS[[#This Row],[PP]]="","",MARÍTIMOS[[#This Row],[PP]]),"")</f>
        <v/>
      </c>
      <c r="C659" s="1" t="str">
        <f>IFERROR(IF(MARÍTIMOS[[#This Row],[Sede]]="","",MARÍTIMOS[[#This Row],[Sede]]),"")</f>
        <v/>
      </c>
      <c r="D659" s="1" t="str">
        <f>IFERROR(IF(MARÍTIMOS[[#This Row],[Instruction]]="","",MARÍTIMOS[[#This Row],[Instruction]]),"")</f>
        <v/>
      </c>
      <c r="E659" s="1"/>
      <c r="F659" s="2" t="str">
        <f>IFERROR(IF(MARÍTIMOS[[#This Row],[Transportista]]="","",MARÍTIMOS[[#This Row],[Transportista]]),"")</f>
        <v/>
      </c>
      <c r="G659" s="2" t="str">
        <f>IFERROR(IF(MARÍTIMOS[[#This Row],[Tercero]]="","",MARÍTIMOS[[#This Row],[Tercero]]),"")</f>
        <v/>
      </c>
      <c r="H659" s="2" t="str">
        <f>IFERROR(IF(MARÍTIMOS[[#This Row],[Razón Social]]="","",MARÍTIMOS[[#This Row],[Razón Social]]),"")</f>
        <v/>
      </c>
      <c r="I659" s="2" t="str">
        <f>IFERROR(IF(MARÍTIMOS[[#This Row],[RUC]]="","",MARÍTIMOS[[#This Row],[RUC]]),"")</f>
        <v/>
      </c>
      <c r="J659" s="2" t="str">
        <f>IFERROR(IF(MARÍTIMOS[[#This Row],[Placa Tracto]]="","",MARÍTIMOS[[#This Row],[Placa Tracto]]),"")</f>
        <v/>
      </c>
      <c r="K659" s="2" t="str">
        <f>IFERROR(IF(MARÍTIMOS[[#This Row],[Placa Carreta]]="","",MARÍTIMOS[[#This Row],[Placa Carreta]]),"")</f>
        <v/>
      </c>
      <c r="L659" s="44" t="str">
        <f>IFERROR(IF(MARÍTIMOS[[#This Row],[Conductor]]="","",MARÍTIMOS[[#This Row],[Conductor]]),"")</f>
        <v/>
      </c>
      <c r="M659" s="2" t="str">
        <f>IFERROR(IF(MARÍTIMOS[[#This Row],[Licencia]]="","",MARÍTIMOS[[#This Row],[Licencia]]),"")</f>
        <v/>
      </c>
      <c r="N659" s="2" t="str">
        <f>IFERROR(IF(MARÍTIMOS[[#This Row],[Número de Contacto]]="","",MARÍTIMOS[[#This Row],[Número de Contacto]]),"")</f>
        <v/>
      </c>
      <c r="O659" s="10" t="str">
        <f>IFERROR(IF(MARÍTIMOS[[#This Row],[Booking|AWB|CRT]]="","",MARÍTIMOS[[#This Row],[Booking|AWB|CRT]]),"")</f>
        <v/>
      </c>
      <c r="P659" s="2" t="str">
        <f>IFERROR(IF(MARÍTIMOS[[#This Row],[Contenedor]]="","",MARÍTIMOS[[#This Row],[Contenedor]]),"")</f>
        <v/>
      </c>
      <c r="Q659" s="2" t="str">
        <f>IFERROR(IF(MARÍTIMOS[[#This Row],[Puerto de Retiro]]="","",MARÍTIMOS[[#This Row],[Puerto de Retiro]]),"")</f>
        <v/>
      </c>
      <c r="R659" s="2" t="str">
        <f>IFERROR(IF(MARÍTIMOS[[#This Row],[Almacén de Retiro]]="","",MARÍTIMOS[[#This Row],[Almacén de Retiro]]),"")</f>
        <v/>
      </c>
      <c r="S659" s="11" t="str">
        <f>IFERROR(IF(MARÍTIMOS[[#This Row],[Etapa Retiro - Cita]]="","",MARÍTIMOS[[#This Row],[Etapa Retiro - Cita]]),"")</f>
        <v/>
      </c>
      <c r="T659" s="11" t="str">
        <f>IFERROR(IF(MARÍTIMOS[[#This Row],[Etapa Retiro - Llegada]]="","",MARÍTIMOS[[#This Row],[Etapa Retiro - Llegada]]),"")</f>
        <v/>
      </c>
      <c r="U659" s="11" t="str">
        <f>IFERROR(IF(MARÍTIMOS[[#This Row],[Etapa Retiro - Ingreso]]="","",MARÍTIMOS[[#This Row],[Etapa Retiro - Ingreso]]),"")</f>
        <v/>
      </c>
      <c r="V659" s="11" t="str">
        <f>IFERROR(IF(MARÍTIMOS[[#This Row],[Etapa Retiro - Atención]]="","",MARÍTIMOS[[#This Row],[Etapa Retiro - Atención]]),"")</f>
        <v/>
      </c>
      <c r="W659" s="11" t="str">
        <f>IFERROR(IF(MARÍTIMOS[[#This Row],[Etapa Retiro - Atención]]="","",MARÍTIMOS[[#This Row],[Etapa Retiro - Atención]]),"")</f>
        <v/>
      </c>
      <c r="X659" s="11" t="str">
        <f>IFERROR(IF(MARÍTIMOS[[#This Row],[Etapa Retiro - Inicio de Ruta]]="","",MARÍTIMOS[[#This Row],[Etapa Retiro - Inicio de Ruta]]),"")</f>
        <v/>
      </c>
      <c r="Y659" s="11" t="str">
        <f>IFERROR(IF(MARÍTIMOS[[#This Row],[Hora de Posicionamiento]]="","",MARÍTIMOS[[#This Row],[Fecha de Carga]]+MARÍTIMOS[[#This Row],[Hora de Posicionamiento]]),"")</f>
        <v/>
      </c>
      <c r="Z659" s="11" t="str">
        <f>IFERROR(IF(MARÍTIMOS[[#This Row],[Etapa Despacho - Llegada]]="","",MARÍTIMOS[[#This Row],[Etapa Despacho - Llegada]]),"")</f>
        <v/>
      </c>
      <c r="AA659" s="11" t="str">
        <f>IFERROR(IF(MARÍTIMOS[[#This Row],[Etapa Despacho - Registro]]="","",MARÍTIMOS[[#This Row],[Etapa Despacho - Registro]]),"")</f>
        <v/>
      </c>
      <c r="AB659" s="11" t="str">
        <f>IFERROR(IF(MARÍTIMOS[[#This Row],[Inspección Externa]]="","",MARÍTIMOS[[#This Row],[Inspección Externa]]),"")</f>
        <v/>
      </c>
      <c r="AC659" s="11" t="str">
        <f>IFERROR(IF(MARÍTIMOS[[#This Row],[Etapa Despacho - Inicio de Carga]]="","",MARÍTIMOS[[#This Row],[Etapa Despacho - Inicio de Carga]]),"")</f>
        <v/>
      </c>
      <c r="AD659" s="11" t="str">
        <f>IFERROR(IF(MARÍTIMOS[[#This Row],[Etapa Despacho - Mitad de Carga]]="","",MARÍTIMOS[[#This Row],[Etapa Despacho - Mitad de Carga]]),"")</f>
        <v/>
      </c>
      <c r="AE659" s="11" t="str">
        <f>IFERROR(IF(MARÍTIMOS[[#This Row],[Etapa Despacho - Fin de Carga]]="","",MARÍTIMOS[[#This Row],[Etapa Despacho - Fin de Carga]]),"")</f>
        <v/>
      </c>
      <c r="AF659" s="2" t="str">
        <f>IFERROR(IF(MARÍTIMOS[[#This Row],[Puerto de Embarque]]="","",MARÍTIMOS[[#This Row],[Puerto de Embarque]]),"")</f>
        <v/>
      </c>
      <c r="AG659" s="2" t="str">
        <f>IFERROR(IF(MARÍTIMOS[[#This Row],[Almacén de Ingreso]]="","",MARÍTIMOS[[#This Row],[Almacén de Ingreso]]),"")</f>
        <v/>
      </c>
      <c r="AH659" s="11" t="str">
        <f>IFERROR(IF(MARÍTIMOS[[#This Row],[Etapa Ingreso - Cita]]="","",MARÍTIMOS[[#This Row],[Etapa Ingreso - Cita]]),"")</f>
        <v/>
      </c>
      <c r="AI659" s="11" t="str">
        <f>IFERROR(IF(MARÍTIMOS[[#This Row],[Etapa Ingreso - Llegada]]="","",MARÍTIMOS[[#This Row],[Etapa Ingreso - Llegada]]),"")</f>
        <v/>
      </c>
      <c r="AJ659" s="11" t="str">
        <f>IFERROR(IF(MARÍTIMOS[[#This Row],[Etapa Ingreso - Ingeso]]="","",MARÍTIMOS[[#This Row],[Etapa Ingreso - Ingeso]]),"")</f>
        <v/>
      </c>
      <c r="AK659" s="11" t="str">
        <f>IFERROR(IF(MARÍTIMOS[[#This Row],[Etapa Ingreso - Atención]]="","",MARÍTIMOS[[#This Row],[Etapa Ingreso - Atención]]),"")</f>
        <v/>
      </c>
      <c r="AL659" s="11" t="str">
        <f>IFERROR(IF(MARÍTIMOS[[#This Row],[Etapa Ingreso - Salida]]="","",MARÍTIMOS[[#This Row],[Etapa Ingreso - Salida]]),"")</f>
        <v/>
      </c>
      <c r="AM659" s="2" t="str">
        <f>IFERROR(IF(MARÍTIMOS[[#This Row],[FCL]]="","",MARÍTIMOS[[#This Row],[FCL]]),"")</f>
        <v/>
      </c>
      <c r="AN6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59" s="4" t="str" cm="1">
        <f t="array" ref="AO6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59" s="5" t="str">
        <f>IFERROR(OLDBD[[#This Row],[Llegada a packing]]-OLDBD[[#This Row],[Inicio de Ruta]],"")</f>
        <v/>
      </c>
      <c r="AQ659" s="6" t="str">
        <f>IFERROR(OLDBD[[#This Row],[Inicio de Ruta]]-OLDBD[[#This Row],[Salida de almacén de retiro]],"")</f>
        <v/>
      </c>
      <c r="AR6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59" s="8" t="str" cm="1">
        <f t="array" ref="AS6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59" s="9" t="str">
        <f>IFERROR(OLDBD[[#This Row],[Ingreso Packing]]-OLDBD[[#This Row],[Registro en Packing]],"")</f>
        <v/>
      </c>
      <c r="AV659" s="9" t="str">
        <f>IFERROR(OLDBD[[#This Row],[Ingreso Packing]]-OLDBD[[#This Row],[Llegada a packing]],"")</f>
        <v/>
      </c>
      <c r="AW6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59" s="5" t="str">
        <f>IFERROR(OLDBD[[#This Row],[Llegada Almacén de Ingreso]]-OLDBD[[#This Row],[Salida Packing]],"")</f>
        <v/>
      </c>
      <c r="AY659" s="4" t="str" cm="1">
        <f t="array" ref="AY6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59" s="43" t="s">
        <v>173</v>
      </c>
      <c r="BB659" s="47" t="str">
        <f>IFERROR(IF(MARÍTIMOS[[#This Row],[Estatus]]="","",MARÍTIMOS[[#This Row],[Estatus]]),"")</f>
        <v/>
      </c>
      <c r="BC659" s="43"/>
      <c r="BD659" s="46" t="str">
        <f>IFERROR(OLDBD[[#This Row],[Salida de almacén de retiro]]-OLDBD[[#This Row],[Ingreso Almacén de retiro]],"")</f>
        <v/>
      </c>
      <c r="BE659" s="46" t="str">
        <f>IFERROR(OLDBD[[#This Row],[Fin de Carga]]-OLDBD[[#This Row],[Inicio de Carga]],"")</f>
        <v/>
      </c>
    </row>
    <row r="660" spans="1:57" customFormat="1" hidden="1">
      <c r="A660" s="1"/>
      <c r="B660" s="1" t="str">
        <f>IFERROR(IF(MARÍTIMOS[[#This Row],[PP]]="","",MARÍTIMOS[[#This Row],[PP]]),"")</f>
        <v/>
      </c>
      <c r="C660" s="1" t="str">
        <f>IFERROR(IF(MARÍTIMOS[[#This Row],[Sede]]="","",MARÍTIMOS[[#This Row],[Sede]]),"")</f>
        <v/>
      </c>
      <c r="D660" s="1" t="str">
        <f>IFERROR(IF(MARÍTIMOS[[#This Row],[Instruction]]="","",MARÍTIMOS[[#This Row],[Instruction]]),"")</f>
        <v/>
      </c>
      <c r="E660" s="1"/>
      <c r="F660" s="2" t="str">
        <f>IFERROR(IF(MARÍTIMOS[[#This Row],[Transportista]]="","",MARÍTIMOS[[#This Row],[Transportista]]),"")</f>
        <v/>
      </c>
      <c r="G660" s="2" t="str">
        <f>IFERROR(IF(MARÍTIMOS[[#This Row],[Tercero]]="","",MARÍTIMOS[[#This Row],[Tercero]]),"")</f>
        <v/>
      </c>
      <c r="H660" s="2" t="str">
        <f>IFERROR(IF(MARÍTIMOS[[#This Row],[Razón Social]]="","",MARÍTIMOS[[#This Row],[Razón Social]]),"")</f>
        <v/>
      </c>
      <c r="I660" s="2" t="str">
        <f>IFERROR(IF(MARÍTIMOS[[#This Row],[RUC]]="","",MARÍTIMOS[[#This Row],[RUC]]),"")</f>
        <v/>
      </c>
      <c r="J660" s="2" t="str">
        <f>IFERROR(IF(MARÍTIMOS[[#This Row],[Placa Tracto]]="","",MARÍTIMOS[[#This Row],[Placa Tracto]]),"")</f>
        <v/>
      </c>
      <c r="K660" s="2" t="str">
        <f>IFERROR(IF(MARÍTIMOS[[#This Row],[Placa Carreta]]="","",MARÍTIMOS[[#This Row],[Placa Carreta]]),"")</f>
        <v/>
      </c>
      <c r="L660" s="44" t="str">
        <f>IFERROR(IF(MARÍTIMOS[[#This Row],[Conductor]]="","",MARÍTIMOS[[#This Row],[Conductor]]),"")</f>
        <v/>
      </c>
      <c r="M660" s="2" t="str">
        <f>IFERROR(IF(MARÍTIMOS[[#This Row],[Licencia]]="","",MARÍTIMOS[[#This Row],[Licencia]]),"")</f>
        <v/>
      </c>
      <c r="N660" s="2" t="str">
        <f>IFERROR(IF(MARÍTIMOS[[#This Row],[Número de Contacto]]="","",MARÍTIMOS[[#This Row],[Número de Contacto]]),"")</f>
        <v/>
      </c>
      <c r="O660" s="10" t="str">
        <f>IFERROR(IF(MARÍTIMOS[[#This Row],[Booking|AWB|CRT]]="","",MARÍTIMOS[[#This Row],[Booking|AWB|CRT]]),"")</f>
        <v/>
      </c>
      <c r="P660" s="2" t="str">
        <f>IFERROR(IF(MARÍTIMOS[[#This Row],[Contenedor]]="","",MARÍTIMOS[[#This Row],[Contenedor]]),"")</f>
        <v/>
      </c>
      <c r="Q660" s="2" t="str">
        <f>IFERROR(IF(MARÍTIMOS[[#This Row],[Puerto de Retiro]]="","",MARÍTIMOS[[#This Row],[Puerto de Retiro]]),"")</f>
        <v/>
      </c>
      <c r="R660" s="2" t="str">
        <f>IFERROR(IF(MARÍTIMOS[[#This Row],[Almacén de Retiro]]="","",MARÍTIMOS[[#This Row],[Almacén de Retiro]]),"")</f>
        <v/>
      </c>
      <c r="S660" s="11" t="str">
        <f>IFERROR(IF(MARÍTIMOS[[#This Row],[Etapa Retiro - Cita]]="","",MARÍTIMOS[[#This Row],[Etapa Retiro - Cita]]),"")</f>
        <v/>
      </c>
      <c r="T660" s="11" t="str">
        <f>IFERROR(IF(MARÍTIMOS[[#This Row],[Etapa Retiro - Llegada]]="","",MARÍTIMOS[[#This Row],[Etapa Retiro - Llegada]]),"")</f>
        <v/>
      </c>
      <c r="U660" s="11" t="str">
        <f>IFERROR(IF(MARÍTIMOS[[#This Row],[Etapa Retiro - Ingreso]]="","",MARÍTIMOS[[#This Row],[Etapa Retiro - Ingreso]]),"")</f>
        <v/>
      </c>
      <c r="V660" s="11" t="str">
        <f>IFERROR(IF(MARÍTIMOS[[#This Row],[Etapa Retiro - Atención]]="","",MARÍTIMOS[[#This Row],[Etapa Retiro - Atención]]),"")</f>
        <v/>
      </c>
      <c r="W660" s="11" t="str">
        <f>IFERROR(IF(MARÍTIMOS[[#This Row],[Etapa Retiro - Atención]]="","",MARÍTIMOS[[#This Row],[Etapa Retiro - Atención]]),"")</f>
        <v/>
      </c>
      <c r="X660" s="11" t="str">
        <f>IFERROR(IF(MARÍTIMOS[[#This Row],[Etapa Retiro - Inicio de Ruta]]="","",MARÍTIMOS[[#This Row],[Etapa Retiro - Inicio de Ruta]]),"")</f>
        <v/>
      </c>
      <c r="Y660" s="11" t="str">
        <f>IFERROR(IF(MARÍTIMOS[[#This Row],[Hora de Posicionamiento]]="","",MARÍTIMOS[[#This Row],[Fecha de Carga]]+MARÍTIMOS[[#This Row],[Hora de Posicionamiento]]),"")</f>
        <v/>
      </c>
      <c r="Z660" s="11" t="str">
        <f>IFERROR(IF(MARÍTIMOS[[#This Row],[Etapa Despacho - Llegada]]="","",MARÍTIMOS[[#This Row],[Etapa Despacho - Llegada]]),"")</f>
        <v/>
      </c>
      <c r="AA660" s="11" t="str">
        <f>IFERROR(IF(MARÍTIMOS[[#This Row],[Etapa Despacho - Registro]]="","",MARÍTIMOS[[#This Row],[Etapa Despacho - Registro]]),"")</f>
        <v/>
      </c>
      <c r="AB660" s="11" t="str">
        <f>IFERROR(IF(MARÍTIMOS[[#This Row],[Inspección Externa]]="","",MARÍTIMOS[[#This Row],[Inspección Externa]]),"")</f>
        <v/>
      </c>
      <c r="AC660" s="11" t="str">
        <f>IFERROR(IF(MARÍTIMOS[[#This Row],[Etapa Despacho - Inicio de Carga]]="","",MARÍTIMOS[[#This Row],[Etapa Despacho - Inicio de Carga]]),"")</f>
        <v/>
      </c>
      <c r="AD660" s="11" t="str">
        <f>IFERROR(IF(MARÍTIMOS[[#This Row],[Etapa Despacho - Mitad de Carga]]="","",MARÍTIMOS[[#This Row],[Etapa Despacho - Mitad de Carga]]),"")</f>
        <v/>
      </c>
      <c r="AE660" s="11" t="str">
        <f>IFERROR(IF(MARÍTIMOS[[#This Row],[Etapa Despacho - Fin de Carga]]="","",MARÍTIMOS[[#This Row],[Etapa Despacho - Fin de Carga]]),"")</f>
        <v/>
      </c>
      <c r="AF660" s="2" t="str">
        <f>IFERROR(IF(MARÍTIMOS[[#This Row],[Puerto de Embarque]]="","",MARÍTIMOS[[#This Row],[Puerto de Embarque]]),"")</f>
        <v/>
      </c>
      <c r="AG660" s="2" t="str">
        <f>IFERROR(IF(MARÍTIMOS[[#This Row],[Almacén de Ingreso]]="","",MARÍTIMOS[[#This Row],[Almacén de Ingreso]]),"")</f>
        <v/>
      </c>
      <c r="AH660" s="11" t="str">
        <f>IFERROR(IF(MARÍTIMOS[[#This Row],[Etapa Ingreso - Cita]]="","",MARÍTIMOS[[#This Row],[Etapa Ingreso - Cita]]),"")</f>
        <v/>
      </c>
      <c r="AI660" s="11" t="str">
        <f>IFERROR(IF(MARÍTIMOS[[#This Row],[Etapa Ingreso - Llegada]]="","",MARÍTIMOS[[#This Row],[Etapa Ingreso - Llegada]]),"")</f>
        <v/>
      </c>
      <c r="AJ660" s="11" t="str">
        <f>IFERROR(IF(MARÍTIMOS[[#This Row],[Etapa Ingreso - Ingeso]]="","",MARÍTIMOS[[#This Row],[Etapa Ingreso - Ingeso]]),"")</f>
        <v/>
      </c>
      <c r="AK660" s="11" t="str">
        <f>IFERROR(IF(MARÍTIMOS[[#This Row],[Etapa Ingreso - Atención]]="","",MARÍTIMOS[[#This Row],[Etapa Ingreso - Atención]]),"")</f>
        <v/>
      </c>
      <c r="AL660" s="11" t="str">
        <f>IFERROR(IF(MARÍTIMOS[[#This Row],[Etapa Ingreso - Salida]]="","",MARÍTIMOS[[#This Row],[Etapa Ingreso - Salida]]),"")</f>
        <v/>
      </c>
      <c r="AM660" s="2" t="str">
        <f>IFERROR(IF(MARÍTIMOS[[#This Row],[FCL]]="","",MARÍTIMOS[[#This Row],[FCL]]),"")</f>
        <v/>
      </c>
      <c r="AN6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0" s="4" t="str" cm="1">
        <f t="array" ref="AO6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0" s="5" t="str">
        <f>IFERROR(OLDBD[[#This Row],[Llegada a packing]]-OLDBD[[#This Row],[Inicio de Ruta]],"")</f>
        <v/>
      </c>
      <c r="AQ660" s="6" t="str">
        <f>IFERROR(OLDBD[[#This Row],[Inicio de Ruta]]-OLDBD[[#This Row],[Salida de almacén de retiro]],"")</f>
        <v/>
      </c>
      <c r="AR6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0" s="8" t="str" cm="1">
        <f t="array" ref="AS6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0" s="9" t="str">
        <f>IFERROR(OLDBD[[#This Row],[Ingreso Packing]]-OLDBD[[#This Row],[Registro en Packing]],"")</f>
        <v/>
      </c>
      <c r="AV660" s="9" t="str">
        <f>IFERROR(OLDBD[[#This Row],[Ingreso Packing]]-OLDBD[[#This Row],[Llegada a packing]],"")</f>
        <v/>
      </c>
      <c r="AW6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0" s="5" t="str">
        <f>IFERROR(OLDBD[[#This Row],[Llegada Almacén de Ingreso]]-OLDBD[[#This Row],[Salida Packing]],"")</f>
        <v/>
      </c>
      <c r="AY660" s="4" t="str" cm="1">
        <f t="array" ref="AY6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0" s="43" t="s">
        <v>173</v>
      </c>
      <c r="BB660" s="47" t="str">
        <f>IFERROR(IF(MARÍTIMOS[[#This Row],[Estatus]]="","",MARÍTIMOS[[#This Row],[Estatus]]),"")</f>
        <v/>
      </c>
      <c r="BC660" s="43"/>
      <c r="BD660" s="46" t="str">
        <f>IFERROR(OLDBD[[#This Row],[Salida de almacén de retiro]]-OLDBD[[#This Row],[Ingreso Almacén de retiro]],"")</f>
        <v/>
      </c>
      <c r="BE660" s="46" t="str">
        <f>IFERROR(OLDBD[[#This Row],[Fin de Carga]]-OLDBD[[#This Row],[Inicio de Carga]],"")</f>
        <v/>
      </c>
    </row>
    <row r="661" spans="1:57" customFormat="1" hidden="1">
      <c r="A661" s="1"/>
      <c r="B661" s="1" t="str">
        <f>IFERROR(IF(MARÍTIMOS[[#This Row],[PP]]="","",MARÍTIMOS[[#This Row],[PP]]),"")</f>
        <v/>
      </c>
      <c r="C661" s="1" t="str">
        <f>IFERROR(IF(MARÍTIMOS[[#This Row],[Sede]]="","",MARÍTIMOS[[#This Row],[Sede]]),"")</f>
        <v/>
      </c>
      <c r="D661" s="1" t="str">
        <f>IFERROR(IF(MARÍTIMOS[[#This Row],[Instruction]]="","",MARÍTIMOS[[#This Row],[Instruction]]),"")</f>
        <v/>
      </c>
      <c r="E661" s="1"/>
      <c r="F661" s="2" t="str">
        <f>IFERROR(IF(MARÍTIMOS[[#This Row],[Transportista]]="","",MARÍTIMOS[[#This Row],[Transportista]]),"")</f>
        <v/>
      </c>
      <c r="G661" s="2" t="str">
        <f>IFERROR(IF(MARÍTIMOS[[#This Row],[Tercero]]="","",MARÍTIMOS[[#This Row],[Tercero]]),"")</f>
        <v/>
      </c>
      <c r="H661" s="2" t="str">
        <f>IFERROR(IF(MARÍTIMOS[[#This Row],[Razón Social]]="","",MARÍTIMOS[[#This Row],[Razón Social]]),"")</f>
        <v/>
      </c>
      <c r="I661" s="2" t="str">
        <f>IFERROR(IF(MARÍTIMOS[[#This Row],[RUC]]="","",MARÍTIMOS[[#This Row],[RUC]]),"")</f>
        <v/>
      </c>
      <c r="J661" s="2" t="str">
        <f>IFERROR(IF(MARÍTIMOS[[#This Row],[Placa Tracto]]="","",MARÍTIMOS[[#This Row],[Placa Tracto]]),"")</f>
        <v/>
      </c>
      <c r="K661" s="2" t="str">
        <f>IFERROR(IF(MARÍTIMOS[[#This Row],[Placa Carreta]]="","",MARÍTIMOS[[#This Row],[Placa Carreta]]),"")</f>
        <v/>
      </c>
      <c r="L661" s="44" t="str">
        <f>IFERROR(IF(MARÍTIMOS[[#This Row],[Conductor]]="","",MARÍTIMOS[[#This Row],[Conductor]]),"")</f>
        <v/>
      </c>
      <c r="M661" s="2" t="str">
        <f>IFERROR(IF(MARÍTIMOS[[#This Row],[Licencia]]="","",MARÍTIMOS[[#This Row],[Licencia]]),"")</f>
        <v/>
      </c>
      <c r="N661" s="2" t="str">
        <f>IFERROR(IF(MARÍTIMOS[[#This Row],[Número de Contacto]]="","",MARÍTIMOS[[#This Row],[Número de Contacto]]),"")</f>
        <v/>
      </c>
      <c r="O661" s="10" t="str">
        <f>IFERROR(IF(MARÍTIMOS[[#This Row],[Booking|AWB|CRT]]="","",MARÍTIMOS[[#This Row],[Booking|AWB|CRT]]),"")</f>
        <v/>
      </c>
      <c r="P661" s="2" t="str">
        <f>IFERROR(IF(MARÍTIMOS[[#This Row],[Contenedor]]="","",MARÍTIMOS[[#This Row],[Contenedor]]),"")</f>
        <v/>
      </c>
      <c r="Q661" s="2" t="str">
        <f>IFERROR(IF(MARÍTIMOS[[#This Row],[Puerto de Retiro]]="","",MARÍTIMOS[[#This Row],[Puerto de Retiro]]),"")</f>
        <v/>
      </c>
      <c r="R661" s="2" t="str">
        <f>IFERROR(IF(MARÍTIMOS[[#This Row],[Almacén de Retiro]]="","",MARÍTIMOS[[#This Row],[Almacén de Retiro]]),"")</f>
        <v/>
      </c>
      <c r="S661" s="11" t="str">
        <f>IFERROR(IF(MARÍTIMOS[[#This Row],[Etapa Retiro - Cita]]="","",MARÍTIMOS[[#This Row],[Etapa Retiro - Cita]]),"")</f>
        <v/>
      </c>
      <c r="T661" s="11" t="str">
        <f>IFERROR(IF(MARÍTIMOS[[#This Row],[Etapa Retiro - Llegada]]="","",MARÍTIMOS[[#This Row],[Etapa Retiro - Llegada]]),"")</f>
        <v/>
      </c>
      <c r="U661" s="11" t="str">
        <f>IFERROR(IF(MARÍTIMOS[[#This Row],[Etapa Retiro - Ingreso]]="","",MARÍTIMOS[[#This Row],[Etapa Retiro - Ingreso]]),"")</f>
        <v/>
      </c>
      <c r="V661" s="11" t="str">
        <f>IFERROR(IF(MARÍTIMOS[[#This Row],[Etapa Retiro - Atención]]="","",MARÍTIMOS[[#This Row],[Etapa Retiro - Atención]]),"")</f>
        <v/>
      </c>
      <c r="W661" s="11" t="str">
        <f>IFERROR(IF(MARÍTIMOS[[#This Row],[Etapa Retiro - Atención]]="","",MARÍTIMOS[[#This Row],[Etapa Retiro - Atención]]),"")</f>
        <v/>
      </c>
      <c r="X661" s="11" t="str">
        <f>IFERROR(IF(MARÍTIMOS[[#This Row],[Etapa Retiro - Inicio de Ruta]]="","",MARÍTIMOS[[#This Row],[Etapa Retiro - Inicio de Ruta]]),"")</f>
        <v/>
      </c>
      <c r="Y661" s="11" t="str">
        <f>IFERROR(IF(MARÍTIMOS[[#This Row],[Hora de Posicionamiento]]="","",MARÍTIMOS[[#This Row],[Fecha de Carga]]+MARÍTIMOS[[#This Row],[Hora de Posicionamiento]]),"")</f>
        <v/>
      </c>
      <c r="Z661" s="11" t="str">
        <f>IFERROR(IF(MARÍTIMOS[[#This Row],[Etapa Despacho - Llegada]]="","",MARÍTIMOS[[#This Row],[Etapa Despacho - Llegada]]),"")</f>
        <v/>
      </c>
      <c r="AA661" s="11" t="str">
        <f>IFERROR(IF(MARÍTIMOS[[#This Row],[Etapa Despacho - Registro]]="","",MARÍTIMOS[[#This Row],[Etapa Despacho - Registro]]),"")</f>
        <v/>
      </c>
      <c r="AB661" s="11" t="str">
        <f>IFERROR(IF(MARÍTIMOS[[#This Row],[Inspección Externa]]="","",MARÍTIMOS[[#This Row],[Inspección Externa]]),"")</f>
        <v/>
      </c>
      <c r="AC661" s="11" t="str">
        <f>IFERROR(IF(MARÍTIMOS[[#This Row],[Etapa Despacho - Inicio de Carga]]="","",MARÍTIMOS[[#This Row],[Etapa Despacho - Inicio de Carga]]),"")</f>
        <v/>
      </c>
      <c r="AD661" s="11" t="str">
        <f>IFERROR(IF(MARÍTIMOS[[#This Row],[Etapa Despacho - Mitad de Carga]]="","",MARÍTIMOS[[#This Row],[Etapa Despacho - Mitad de Carga]]),"")</f>
        <v/>
      </c>
      <c r="AE661" s="11" t="str">
        <f>IFERROR(IF(MARÍTIMOS[[#This Row],[Etapa Despacho - Fin de Carga]]="","",MARÍTIMOS[[#This Row],[Etapa Despacho - Fin de Carga]]),"")</f>
        <v/>
      </c>
      <c r="AF661" s="2" t="str">
        <f>IFERROR(IF(MARÍTIMOS[[#This Row],[Puerto de Embarque]]="","",MARÍTIMOS[[#This Row],[Puerto de Embarque]]),"")</f>
        <v/>
      </c>
      <c r="AG661" s="2" t="str">
        <f>IFERROR(IF(MARÍTIMOS[[#This Row],[Almacén de Ingreso]]="","",MARÍTIMOS[[#This Row],[Almacén de Ingreso]]),"")</f>
        <v/>
      </c>
      <c r="AH661" s="11" t="str">
        <f>IFERROR(IF(MARÍTIMOS[[#This Row],[Etapa Ingreso - Cita]]="","",MARÍTIMOS[[#This Row],[Etapa Ingreso - Cita]]),"")</f>
        <v/>
      </c>
      <c r="AI661" s="11" t="str">
        <f>IFERROR(IF(MARÍTIMOS[[#This Row],[Etapa Ingreso - Llegada]]="","",MARÍTIMOS[[#This Row],[Etapa Ingreso - Llegada]]),"")</f>
        <v/>
      </c>
      <c r="AJ661" s="11" t="str">
        <f>IFERROR(IF(MARÍTIMOS[[#This Row],[Etapa Ingreso - Ingeso]]="","",MARÍTIMOS[[#This Row],[Etapa Ingreso - Ingeso]]),"")</f>
        <v/>
      </c>
      <c r="AK661" s="11" t="str">
        <f>IFERROR(IF(MARÍTIMOS[[#This Row],[Etapa Ingreso - Atención]]="","",MARÍTIMOS[[#This Row],[Etapa Ingreso - Atención]]),"")</f>
        <v/>
      </c>
      <c r="AL661" s="11" t="str">
        <f>IFERROR(IF(MARÍTIMOS[[#This Row],[Etapa Ingreso - Salida]]="","",MARÍTIMOS[[#This Row],[Etapa Ingreso - Salida]]),"")</f>
        <v/>
      </c>
      <c r="AM661" s="2" t="str">
        <f>IFERROR(IF(MARÍTIMOS[[#This Row],[FCL]]="","",MARÍTIMOS[[#This Row],[FCL]]),"")</f>
        <v/>
      </c>
      <c r="AN6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1" s="4" t="str" cm="1">
        <f t="array" ref="AO6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1" s="5" t="str">
        <f>IFERROR(OLDBD[[#This Row],[Llegada a packing]]-OLDBD[[#This Row],[Inicio de Ruta]],"")</f>
        <v/>
      </c>
      <c r="AQ661" s="6" t="str">
        <f>IFERROR(OLDBD[[#This Row],[Inicio de Ruta]]-OLDBD[[#This Row],[Salida de almacén de retiro]],"")</f>
        <v/>
      </c>
      <c r="AR6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1" s="8" t="str" cm="1">
        <f t="array" ref="AS6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1" s="9" t="str">
        <f>IFERROR(OLDBD[[#This Row],[Ingreso Packing]]-OLDBD[[#This Row],[Registro en Packing]],"")</f>
        <v/>
      </c>
      <c r="AV661" s="9" t="str">
        <f>IFERROR(OLDBD[[#This Row],[Ingreso Packing]]-OLDBD[[#This Row],[Llegada a packing]],"")</f>
        <v/>
      </c>
      <c r="AW6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1" s="5" t="str">
        <f>IFERROR(OLDBD[[#This Row],[Llegada Almacén de Ingreso]]-OLDBD[[#This Row],[Salida Packing]],"")</f>
        <v/>
      </c>
      <c r="AY661" s="4" t="str" cm="1">
        <f t="array" ref="AY6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1" s="43" t="s">
        <v>173</v>
      </c>
      <c r="BB661" s="47" t="str">
        <f>IFERROR(IF(MARÍTIMOS[[#This Row],[Estatus]]="","",MARÍTIMOS[[#This Row],[Estatus]]),"")</f>
        <v/>
      </c>
      <c r="BC661" s="43"/>
      <c r="BD661" s="46" t="str">
        <f>IFERROR(OLDBD[[#This Row],[Salida de almacén de retiro]]-OLDBD[[#This Row],[Ingreso Almacén de retiro]],"")</f>
        <v/>
      </c>
      <c r="BE661" s="46" t="str">
        <f>IFERROR(OLDBD[[#This Row],[Fin de Carga]]-OLDBD[[#This Row],[Inicio de Carga]],"")</f>
        <v/>
      </c>
    </row>
    <row r="662" spans="1:57" customFormat="1" hidden="1">
      <c r="A662" s="1"/>
      <c r="B662" s="1" t="str">
        <f>IFERROR(IF(MARÍTIMOS[[#This Row],[PP]]="","",MARÍTIMOS[[#This Row],[PP]]),"")</f>
        <v/>
      </c>
      <c r="C662" s="1" t="str">
        <f>IFERROR(IF(MARÍTIMOS[[#This Row],[Sede]]="","",MARÍTIMOS[[#This Row],[Sede]]),"")</f>
        <v/>
      </c>
      <c r="D662" s="1" t="str">
        <f>IFERROR(IF(MARÍTIMOS[[#This Row],[Instruction]]="","",MARÍTIMOS[[#This Row],[Instruction]]),"")</f>
        <v/>
      </c>
      <c r="E662" s="1"/>
      <c r="F662" s="2" t="str">
        <f>IFERROR(IF(MARÍTIMOS[[#This Row],[Transportista]]="","",MARÍTIMOS[[#This Row],[Transportista]]),"")</f>
        <v/>
      </c>
      <c r="G662" s="2" t="str">
        <f>IFERROR(IF(MARÍTIMOS[[#This Row],[Tercero]]="","",MARÍTIMOS[[#This Row],[Tercero]]),"")</f>
        <v/>
      </c>
      <c r="H662" s="2" t="str">
        <f>IFERROR(IF(MARÍTIMOS[[#This Row],[Razón Social]]="","",MARÍTIMOS[[#This Row],[Razón Social]]),"")</f>
        <v/>
      </c>
      <c r="I662" s="2" t="str">
        <f>IFERROR(IF(MARÍTIMOS[[#This Row],[RUC]]="","",MARÍTIMOS[[#This Row],[RUC]]),"")</f>
        <v/>
      </c>
      <c r="J662" s="2" t="str">
        <f>IFERROR(IF(MARÍTIMOS[[#This Row],[Placa Tracto]]="","",MARÍTIMOS[[#This Row],[Placa Tracto]]),"")</f>
        <v/>
      </c>
      <c r="K662" s="2" t="str">
        <f>IFERROR(IF(MARÍTIMOS[[#This Row],[Placa Carreta]]="","",MARÍTIMOS[[#This Row],[Placa Carreta]]),"")</f>
        <v/>
      </c>
      <c r="L662" s="44" t="str">
        <f>IFERROR(IF(MARÍTIMOS[[#This Row],[Conductor]]="","",MARÍTIMOS[[#This Row],[Conductor]]),"")</f>
        <v/>
      </c>
      <c r="M662" s="2" t="str">
        <f>IFERROR(IF(MARÍTIMOS[[#This Row],[Licencia]]="","",MARÍTIMOS[[#This Row],[Licencia]]),"")</f>
        <v/>
      </c>
      <c r="N662" s="2" t="str">
        <f>IFERROR(IF(MARÍTIMOS[[#This Row],[Número de Contacto]]="","",MARÍTIMOS[[#This Row],[Número de Contacto]]),"")</f>
        <v/>
      </c>
      <c r="O662" s="10" t="str">
        <f>IFERROR(IF(MARÍTIMOS[[#This Row],[Booking|AWB|CRT]]="","",MARÍTIMOS[[#This Row],[Booking|AWB|CRT]]),"")</f>
        <v/>
      </c>
      <c r="P662" s="2" t="str">
        <f>IFERROR(IF(MARÍTIMOS[[#This Row],[Contenedor]]="","",MARÍTIMOS[[#This Row],[Contenedor]]),"")</f>
        <v/>
      </c>
      <c r="Q662" s="2" t="str">
        <f>IFERROR(IF(MARÍTIMOS[[#This Row],[Puerto de Retiro]]="","",MARÍTIMOS[[#This Row],[Puerto de Retiro]]),"")</f>
        <v/>
      </c>
      <c r="R662" s="2" t="str">
        <f>IFERROR(IF(MARÍTIMOS[[#This Row],[Almacén de Retiro]]="","",MARÍTIMOS[[#This Row],[Almacén de Retiro]]),"")</f>
        <v/>
      </c>
      <c r="S662" s="11" t="str">
        <f>IFERROR(IF(MARÍTIMOS[[#This Row],[Etapa Retiro - Cita]]="","",MARÍTIMOS[[#This Row],[Etapa Retiro - Cita]]),"")</f>
        <v/>
      </c>
      <c r="T662" s="11" t="str">
        <f>IFERROR(IF(MARÍTIMOS[[#This Row],[Etapa Retiro - Llegada]]="","",MARÍTIMOS[[#This Row],[Etapa Retiro - Llegada]]),"")</f>
        <v/>
      </c>
      <c r="U662" s="11" t="str">
        <f>IFERROR(IF(MARÍTIMOS[[#This Row],[Etapa Retiro - Ingreso]]="","",MARÍTIMOS[[#This Row],[Etapa Retiro - Ingreso]]),"")</f>
        <v/>
      </c>
      <c r="V662" s="11" t="str">
        <f>IFERROR(IF(MARÍTIMOS[[#This Row],[Etapa Retiro - Atención]]="","",MARÍTIMOS[[#This Row],[Etapa Retiro - Atención]]),"")</f>
        <v/>
      </c>
      <c r="W662" s="11" t="str">
        <f>IFERROR(IF(MARÍTIMOS[[#This Row],[Etapa Retiro - Atención]]="","",MARÍTIMOS[[#This Row],[Etapa Retiro - Atención]]),"")</f>
        <v/>
      </c>
      <c r="X662" s="11" t="str">
        <f>IFERROR(IF(MARÍTIMOS[[#This Row],[Etapa Retiro - Inicio de Ruta]]="","",MARÍTIMOS[[#This Row],[Etapa Retiro - Inicio de Ruta]]),"")</f>
        <v/>
      </c>
      <c r="Y662" s="11" t="str">
        <f>IFERROR(IF(MARÍTIMOS[[#This Row],[Hora de Posicionamiento]]="","",MARÍTIMOS[[#This Row],[Fecha de Carga]]+MARÍTIMOS[[#This Row],[Hora de Posicionamiento]]),"")</f>
        <v/>
      </c>
      <c r="Z662" s="11" t="str">
        <f>IFERROR(IF(MARÍTIMOS[[#This Row],[Etapa Despacho - Llegada]]="","",MARÍTIMOS[[#This Row],[Etapa Despacho - Llegada]]),"")</f>
        <v/>
      </c>
      <c r="AA662" s="11" t="str">
        <f>IFERROR(IF(MARÍTIMOS[[#This Row],[Etapa Despacho - Registro]]="","",MARÍTIMOS[[#This Row],[Etapa Despacho - Registro]]),"")</f>
        <v/>
      </c>
      <c r="AB662" s="11" t="str">
        <f>IFERROR(IF(MARÍTIMOS[[#This Row],[Inspección Externa]]="","",MARÍTIMOS[[#This Row],[Inspección Externa]]),"")</f>
        <v/>
      </c>
      <c r="AC662" s="11" t="str">
        <f>IFERROR(IF(MARÍTIMOS[[#This Row],[Etapa Despacho - Inicio de Carga]]="","",MARÍTIMOS[[#This Row],[Etapa Despacho - Inicio de Carga]]),"")</f>
        <v/>
      </c>
      <c r="AD662" s="11" t="str">
        <f>IFERROR(IF(MARÍTIMOS[[#This Row],[Etapa Despacho - Mitad de Carga]]="","",MARÍTIMOS[[#This Row],[Etapa Despacho - Mitad de Carga]]),"")</f>
        <v/>
      </c>
      <c r="AE662" s="11" t="str">
        <f>IFERROR(IF(MARÍTIMOS[[#This Row],[Etapa Despacho - Fin de Carga]]="","",MARÍTIMOS[[#This Row],[Etapa Despacho - Fin de Carga]]),"")</f>
        <v/>
      </c>
      <c r="AF662" s="2" t="str">
        <f>IFERROR(IF(MARÍTIMOS[[#This Row],[Puerto de Embarque]]="","",MARÍTIMOS[[#This Row],[Puerto de Embarque]]),"")</f>
        <v/>
      </c>
      <c r="AG662" s="2" t="str">
        <f>IFERROR(IF(MARÍTIMOS[[#This Row],[Almacén de Ingreso]]="","",MARÍTIMOS[[#This Row],[Almacén de Ingreso]]),"")</f>
        <v/>
      </c>
      <c r="AH662" s="11" t="str">
        <f>IFERROR(IF(MARÍTIMOS[[#This Row],[Etapa Ingreso - Cita]]="","",MARÍTIMOS[[#This Row],[Etapa Ingreso - Cita]]),"")</f>
        <v/>
      </c>
      <c r="AI662" s="11" t="str">
        <f>IFERROR(IF(MARÍTIMOS[[#This Row],[Etapa Ingreso - Llegada]]="","",MARÍTIMOS[[#This Row],[Etapa Ingreso - Llegada]]),"")</f>
        <v/>
      </c>
      <c r="AJ662" s="11" t="str">
        <f>IFERROR(IF(MARÍTIMOS[[#This Row],[Etapa Ingreso - Ingeso]]="","",MARÍTIMOS[[#This Row],[Etapa Ingreso - Ingeso]]),"")</f>
        <v/>
      </c>
      <c r="AK662" s="11" t="str">
        <f>IFERROR(IF(MARÍTIMOS[[#This Row],[Etapa Ingreso - Atención]]="","",MARÍTIMOS[[#This Row],[Etapa Ingreso - Atención]]),"")</f>
        <v/>
      </c>
      <c r="AL662" s="11" t="str">
        <f>IFERROR(IF(MARÍTIMOS[[#This Row],[Etapa Ingreso - Salida]]="","",MARÍTIMOS[[#This Row],[Etapa Ingreso - Salida]]),"")</f>
        <v/>
      </c>
      <c r="AM662" s="2" t="str">
        <f>IFERROR(IF(MARÍTIMOS[[#This Row],[FCL]]="","",MARÍTIMOS[[#This Row],[FCL]]),"")</f>
        <v/>
      </c>
      <c r="AN6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2" s="4" t="str" cm="1">
        <f t="array" ref="AO6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2" s="5" t="str">
        <f>IFERROR(OLDBD[[#This Row],[Llegada a packing]]-OLDBD[[#This Row],[Inicio de Ruta]],"")</f>
        <v/>
      </c>
      <c r="AQ662" s="6" t="str">
        <f>IFERROR(OLDBD[[#This Row],[Inicio de Ruta]]-OLDBD[[#This Row],[Salida de almacén de retiro]],"")</f>
        <v/>
      </c>
      <c r="AR6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2" s="8" t="str" cm="1">
        <f t="array" ref="AS6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2" s="9" t="str">
        <f>IFERROR(OLDBD[[#This Row],[Ingreso Packing]]-OLDBD[[#This Row],[Registro en Packing]],"")</f>
        <v/>
      </c>
      <c r="AV662" s="9" t="str">
        <f>IFERROR(OLDBD[[#This Row],[Ingreso Packing]]-OLDBD[[#This Row],[Llegada a packing]],"")</f>
        <v/>
      </c>
      <c r="AW6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2" s="5" t="str">
        <f>IFERROR(OLDBD[[#This Row],[Llegada Almacén de Ingreso]]-OLDBD[[#This Row],[Salida Packing]],"")</f>
        <v/>
      </c>
      <c r="AY662" s="4" t="str" cm="1">
        <f t="array" ref="AY6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2" s="43" t="s">
        <v>173</v>
      </c>
      <c r="BB662" s="47" t="str">
        <f>IFERROR(IF(MARÍTIMOS[[#This Row],[Estatus]]="","",MARÍTIMOS[[#This Row],[Estatus]]),"")</f>
        <v/>
      </c>
      <c r="BC662" s="43"/>
      <c r="BD662" s="46" t="str">
        <f>IFERROR(OLDBD[[#This Row],[Salida de almacén de retiro]]-OLDBD[[#This Row],[Ingreso Almacén de retiro]],"")</f>
        <v/>
      </c>
      <c r="BE662" s="46" t="str">
        <f>IFERROR(OLDBD[[#This Row],[Fin de Carga]]-OLDBD[[#This Row],[Inicio de Carga]],"")</f>
        <v/>
      </c>
    </row>
    <row r="663" spans="1:57" customFormat="1" hidden="1">
      <c r="A663" s="1"/>
      <c r="B663" s="1" t="str">
        <f>IFERROR(IF(MARÍTIMOS[[#This Row],[PP]]="","",MARÍTIMOS[[#This Row],[PP]]),"")</f>
        <v/>
      </c>
      <c r="C663" s="1" t="str">
        <f>IFERROR(IF(MARÍTIMOS[[#This Row],[Sede]]="","",MARÍTIMOS[[#This Row],[Sede]]),"")</f>
        <v/>
      </c>
      <c r="D663" s="1" t="str">
        <f>IFERROR(IF(MARÍTIMOS[[#This Row],[Instruction]]="","",MARÍTIMOS[[#This Row],[Instruction]]),"")</f>
        <v/>
      </c>
      <c r="E663" s="1"/>
      <c r="F663" s="2" t="str">
        <f>IFERROR(IF(MARÍTIMOS[[#This Row],[Transportista]]="","",MARÍTIMOS[[#This Row],[Transportista]]),"")</f>
        <v/>
      </c>
      <c r="G663" s="2" t="str">
        <f>IFERROR(IF(MARÍTIMOS[[#This Row],[Tercero]]="","",MARÍTIMOS[[#This Row],[Tercero]]),"")</f>
        <v/>
      </c>
      <c r="H663" s="2" t="str">
        <f>IFERROR(IF(MARÍTIMOS[[#This Row],[Razón Social]]="","",MARÍTIMOS[[#This Row],[Razón Social]]),"")</f>
        <v/>
      </c>
      <c r="I663" s="2" t="str">
        <f>IFERROR(IF(MARÍTIMOS[[#This Row],[RUC]]="","",MARÍTIMOS[[#This Row],[RUC]]),"")</f>
        <v/>
      </c>
      <c r="J663" s="2" t="str">
        <f>IFERROR(IF(MARÍTIMOS[[#This Row],[Placa Tracto]]="","",MARÍTIMOS[[#This Row],[Placa Tracto]]),"")</f>
        <v/>
      </c>
      <c r="K663" s="2" t="str">
        <f>IFERROR(IF(MARÍTIMOS[[#This Row],[Placa Carreta]]="","",MARÍTIMOS[[#This Row],[Placa Carreta]]),"")</f>
        <v/>
      </c>
      <c r="L663" s="44" t="str">
        <f>IFERROR(IF(MARÍTIMOS[[#This Row],[Conductor]]="","",MARÍTIMOS[[#This Row],[Conductor]]),"")</f>
        <v/>
      </c>
      <c r="M663" s="2" t="str">
        <f>IFERROR(IF(MARÍTIMOS[[#This Row],[Licencia]]="","",MARÍTIMOS[[#This Row],[Licencia]]),"")</f>
        <v/>
      </c>
      <c r="N663" s="2" t="str">
        <f>IFERROR(IF(MARÍTIMOS[[#This Row],[Número de Contacto]]="","",MARÍTIMOS[[#This Row],[Número de Contacto]]),"")</f>
        <v/>
      </c>
      <c r="O663" s="10" t="str">
        <f>IFERROR(IF(MARÍTIMOS[[#This Row],[Booking|AWB|CRT]]="","",MARÍTIMOS[[#This Row],[Booking|AWB|CRT]]),"")</f>
        <v/>
      </c>
      <c r="P663" s="2" t="str">
        <f>IFERROR(IF(MARÍTIMOS[[#This Row],[Contenedor]]="","",MARÍTIMOS[[#This Row],[Contenedor]]),"")</f>
        <v/>
      </c>
      <c r="Q663" s="2" t="str">
        <f>IFERROR(IF(MARÍTIMOS[[#This Row],[Puerto de Retiro]]="","",MARÍTIMOS[[#This Row],[Puerto de Retiro]]),"")</f>
        <v/>
      </c>
      <c r="R663" s="2" t="str">
        <f>IFERROR(IF(MARÍTIMOS[[#This Row],[Almacén de Retiro]]="","",MARÍTIMOS[[#This Row],[Almacén de Retiro]]),"")</f>
        <v/>
      </c>
      <c r="S663" s="11" t="str">
        <f>IFERROR(IF(MARÍTIMOS[[#This Row],[Etapa Retiro - Cita]]="","",MARÍTIMOS[[#This Row],[Etapa Retiro - Cita]]),"")</f>
        <v/>
      </c>
      <c r="T663" s="11" t="str">
        <f>IFERROR(IF(MARÍTIMOS[[#This Row],[Etapa Retiro - Llegada]]="","",MARÍTIMOS[[#This Row],[Etapa Retiro - Llegada]]),"")</f>
        <v/>
      </c>
      <c r="U663" s="11" t="str">
        <f>IFERROR(IF(MARÍTIMOS[[#This Row],[Etapa Retiro - Ingreso]]="","",MARÍTIMOS[[#This Row],[Etapa Retiro - Ingreso]]),"")</f>
        <v/>
      </c>
      <c r="V663" s="11" t="str">
        <f>IFERROR(IF(MARÍTIMOS[[#This Row],[Etapa Retiro - Atención]]="","",MARÍTIMOS[[#This Row],[Etapa Retiro - Atención]]),"")</f>
        <v/>
      </c>
      <c r="W663" s="11" t="str">
        <f>IFERROR(IF(MARÍTIMOS[[#This Row],[Etapa Retiro - Atención]]="","",MARÍTIMOS[[#This Row],[Etapa Retiro - Atención]]),"")</f>
        <v/>
      </c>
      <c r="X663" s="11" t="str">
        <f>IFERROR(IF(MARÍTIMOS[[#This Row],[Etapa Retiro - Inicio de Ruta]]="","",MARÍTIMOS[[#This Row],[Etapa Retiro - Inicio de Ruta]]),"")</f>
        <v/>
      </c>
      <c r="Y663" s="11" t="str">
        <f>IFERROR(IF(MARÍTIMOS[[#This Row],[Hora de Posicionamiento]]="","",MARÍTIMOS[[#This Row],[Fecha de Carga]]+MARÍTIMOS[[#This Row],[Hora de Posicionamiento]]),"")</f>
        <v/>
      </c>
      <c r="Z663" s="11" t="str">
        <f>IFERROR(IF(MARÍTIMOS[[#This Row],[Etapa Despacho - Llegada]]="","",MARÍTIMOS[[#This Row],[Etapa Despacho - Llegada]]),"")</f>
        <v/>
      </c>
      <c r="AA663" s="11" t="str">
        <f>IFERROR(IF(MARÍTIMOS[[#This Row],[Etapa Despacho - Registro]]="","",MARÍTIMOS[[#This Row],[Etapa Despacho - Registro]]),"")</f>
        <v/>
      </c>
      <c r="AB663" s="11" t="str">
        <f>IFERROR(IF(MARÍTIMOS[[#This Row],[Inspección Externa]]="","",MARÍTIMOS[[#This Row],[Inspección Externa]]),"")</f>
        <v/>
      </c>
      <c r="AC663" s="11" t="str">
        <f>IFERROR(IF(MARÍTIMOS[[#This Row],[Etapa Despacho - Inicio de Carga]]="","",MARÍTIMOS[[#This Row],[Etapa Despacho - Inicio de Carga]]),"")</f>
        <v/>
      </c>
      <c r="AD663" s="11" t="str">
        <f>IFERROR(IF(MARÍTIMOS[[#This Row],[Etapa Despacho - Mitad de Carga]]="","",MARÍTIMOS[[#This Row],[Etapa Despacho - Mitad de Carga]]),"")</f>
        <v/>
      </c>
      <c r="AE663" s="11" t="str">
        <f>IFERROR(IF(MARÍTIMOS[[#This Row],[Etapa Despacho - Fin de Carga]]="","",MARÍTIMOS[[#This Row],[Etapa Despacho - Fin de Carga]]),"")</f>
        <v/>
      </c>
      <c r="AF663" s="2" t="str">
        <f>IFERROR(IF(MARÍTIMOS[[#This Row],[Puerto de Embarque]]="","",MARÍTIMOS[[#This Row],[Puerto de Embarque]]),"")</f>
        <v/>
      </c>
      <c r="AG663" s="2" t="str">
        <f>IFERROR(IF(MARÍTIMOS[[#This Row],[Almacén de Ingreso]]="","",MARÍTIMOS[[#This Row],[Almacén de Ingreso]]),"")</f>
        <v/>
      </c>
      <c r="AH663" s="11" t="str">
        <f>IFERROR(IF(MARÍTIMOS[[#This Row],[Etapa Ingreso - Cita]]="","",MARÍTIMOS[[#This Row],[Etapa Ingreso - Cita]]),"")</f>
        <v/>
      </c>
      <c r="AI663" s="11" t="str">
        <f>IFERROR(IF(MARÍTIMOS[[#This Row],[Etapa Ingreso - Llegada]]="","",MARÍTIMOS[[#This Row],[Etapa Ingreso - Llegada]]),"")</f>
        <v/>
      </c>
      <c r="AJ663" s="11" t="str">
        <f>IFERROR(IF(MARÍTIMOS[[#This Row],[Etapa Ingreso - Ingeso]]="","",MARÍTIMOS[[#This Row],[Etapa Ingreso - Ingeso]]),"")</f>
        <v/>
      </c>
      <c r="AK663" s="11" t="str">
        <f>IFERROR(IF(MARÍTIMOS[[#This Row],[Etapa Ingreso - Atención]]="","",MARÍTIMOS[[#This Row],[Etapa Ingreso - Atención]]),"")</f>
        <v/>
      </c>
      <c r="AL663" s="11" t="str">
        <f>IFERROR(IF(MARÍTIMOS[[#This Row],[Etapa Ingreso - Salida]]="","",MARÍTIMOS[[#This Row],[Etapa Ingreso - Salida]]),"")</f>
        <v/>
      </c>
      <c r="AM663" s="2" t="str">
        <f>IFERROR(IF(MARÍTIMOS[[#This Row],[FCL]]="","",MARÍTIMOS[[#This Row],[FCL]]),"")</f>
        <v/>
      </c>
      <c r="AN6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3" s="4" t="str" cm="1">
        <f t="array" ref="AO6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3" s="5" t="str">
        <f>IFERROR(OLDBD[[#This Row],[Llegada a packing]]-OLDBD[[#This Row],[Inicio de Ruta]],"")</f>
        <v/>
      </c>
      <c r="AQ663" s="6" t="str">
        <f>IFERROR(OLDBD[[#This Row],[Inicio de Ruta]]-OLDBD[[#This Row],[Salida de almacén de retiro]],"")</f>
        <v/>
      </c>
      <c r="AR6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3" s="8" t="str" cm="1">
        <f t="array" ref="AS6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3" s="9" t="str">
        <f>IFERROR(OLDBD[[#This Row],[Ingreso Packing]]-OLDBD[[#This Row],[Registro en Packing]],"")</f>
        <v/>
      </c>
      <c r="AV663" s="9" t="str">
        <f>IFERROR(OLDBD[[#This Row],[Ingreso Packing]]-OLDBD[[#This Row],[Llegada a packing]],"")</f>
        <v/>
      </c>
      <c r="AW6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3" s="5" t="str">
        <f>IFERROR(OLDBD[[#This Row],[Llegada Almacén de Ingreso]]-OLDBD[[#This Row],[Salida Packing]],"")</f>
        <v/>
      </c>
      <c r="AY663" s="4" t="str" cm="1">
        <f t="array" ref="AY6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3" s="43" t="s">
        <v>173</v>
      </c>
      <c r="BB663" s="47" t="str">
        <f>IFERROR(IF(MARÍTIMOS[[#This Row],[Estatus]]="","",MARÍTIMOS[[#This Row],[Estatus]]),"")</f>
        <v/>
      </c>
      <c r="BC663" s="43"/>
      <c r="BD663" s="46" t="str">
        <f>IFERROR(OLDBD[[#This Row],[Salida de almacén de retiro]]-OLDBD[[#This Row],[Ingreso Almacén de retiro]],"")</f>
        <v/>
      </c>
      <c r="BE663" s="46" t="str">
        <f>IFERROR(OLDBD[[#This Row],[Fin de Carga]]-OLDBD[[#This Row],[Inicio de Carga]],"")</f>
        <v/>
      </c>
    </row>
    <row r="664" spans="1:57" customFormat="1" hidden="1">
      <c r="A664" s="1"/>
      <c r="B664" s="1" t="str">
        <f>IFERROR(IF(MARÍTIMOS[[#This Row],[PP]]="","",MARÍTIMOS[[#This Row],[PP]]),"")</f>
        <v/>
      </c>
      <c r="C664" s="1" t="str">
        <f>IFERROR(IF(MARÍTIMOS[[#This Row],[Sede]]="","",MARÍTIMOS[[#This Row],[Sede]]),"")</f>
        <v/>
      </c>
      <c r="D664" s="1" t="str">
        <f>IFERROR(IF(MARÍTIMOS[[#This Row],[Instruction]]="","",MARÍTIMOS[[#This Row],[Instruction]]),"")</f>
        <v/>
      </c>
      <c r="E664" s="1"/>
      <c r="F664" s="2" t="str">
        <f>IFERROR(IF(MARÍTIMOS[[#This Row],[Transportista]]="","",MARÍTIMOS[[#This Row],[Transportista]]),"")</f>
        <v/>
      </c>
      <c r="G664" s="2" t="str">
        <f>IFERROR(IF(MARÍTIMOS[[#This Row],[Tercero]]="","",MARÍTIMOS[[#This Row],[Tercero]]),"")</f>
        <v/>
      </c>
      <c r="H664" s="2" t="str">
        <f>IFERROR(IF(MARÍTIMOS[[#This Row],[Razón Social]]="","",MARÍTIMOS[[#This Row],[Razón Social]]),"")</f>
        <v/>
      </c>
      <c r="I664" s="2" t="str">
        <f>IFERROR(IF(MARÍTIMOS[[#This Row],[RUC]]="","",MARÍTIMOS[[#This Row],[RUC]]),"")</f>
        <v/>
      </c>
      <c r="J664" s="2" t="str">
        <f>IFERROR(IF(MARÍTIMOS[[#This Row],[Placa Tracto]]="","",MARÍTIMOS[[#This Row],[Placa Tracto]]),"")</f>
        <v/>
      </c>
      <c r="K664" s="2" t="str">
        <f>IFERROR(IF(MARÍTIMOS[[#This Row],[Placa Carreta]]="","",MARÍTIMOS[[#This Row],[Placa Carreta]]),"")</f>
        <v/>
      </c>
      <c r="L664" s="44" t="str">
        <f>IFERROR(IF(MARÍTIMOS[[#This Row],[Conductor]]="","",MARÍTIMOS[[#This Row],[Conductor]]),"")</f>
        <v/>
      </c>
      <c r="M664" s="2" t="str">
        <f>IFERROR(IF(MARÍTIMOS[[#This Row],[Licencia]]="","",MARÍTIMOS[[#This Row],[Licencia]]),"")</f>
        <v/>
      </c>
      <c r="N664" s="2" t="str">
        <f>IFERROR(IF(MARÍTIMOS[[#This Row],[Número de Contacto]]="","",MARÍTIMOS[[#This Row],[Número de Contacto]]),"")</f>
        <v/>
      </c>
      <c r="O664" s="10" t="str">
        <f>IFERROR(IF(MARÍTIMOS[[#This Row],[Booking|AWB|CRT]]="","",MARÍTIMOS[[#This Row],[Booking|AWB|CRT]]),"")</f>
        <v/>
      </c>
      <c r="P664" s="2" t="str">
        <f>IFERROR(IF(MARÍTIMOS[[#This Row],[Contenedor]]="","",MARÍTIMOS[[#This Row],[Contenedor]]),"")</f>
        <v/>
      </c>
      <c r="Q664" s="2" t="str">
        <f>IFERROR(IF(MARÍTIMOS[[#This Row],[Puerto de Retiro]]="","",MARÍTIMOS[[#This Row],[Puerto de Retiro]]),"")</f>
        <v/>
      </c>
      <c r="R664" s="2" t="str">
        <f>IFERROR(IF(MARÍTIMOS[[#This Row],[Almacén de Retiro]]="","",MARÍTIMOS[[#This Row],[Almacén de Retiro]]),"")</f>
        <v/>
      </c>
      <c r="S664" s="11" t="str">
        <f>IFERROR(IF(MARÍTIMOS[[#This Row],[Etapa Retiro - Cita]]="","",MARÍTIMOS[[#This Row],[Etapa Retiro - Cita]]),"")</f>
        <v/>
      </c>
      <c r="T664" s="11" t="str">
        <f>IFERROR(IF(MARÍTIMOS[[#This Row],[Etapa Retiro - Llegada]]="","",MARÍTIMOS[[#This Row],[Etapa Retiro - Llegada]]),"")</f>
        <v/>
      </c>
      <c r="U664" s="11" t="str">
        <f>IFERROR(IF(MARÍTIMOS[[#This Row],[Etapa Retiro - Ingreso]]="","",MARÍTIMOS[[#This Row],[Etapa Retiro - Ingreso]]),"")</f>
        <v/>
      </c>
      <c r="V664" s="11" t="str">
        <f>IFERROR(IF(MARÍTIMOS[[#This Row],[Etapa Retiro - Atención]]="","",MARÍTIMOS[[#This Row],[Etapa Retiro - Atención]]),"")</f>
        <v/>
      </c>
      <c r="W664" s="11" t="str">
        <f>IFERROR(IF(MARÍTIMOS[[#This Row],[Etapa Retiro - Atención]]="","",MARÍTIMOS[[#This Row],[Etapa Retiro - Atención]]),"")</f>
        <v/>
      </c>
      <c r="X664" s="11" t="str">
        <f>IFERROR(IF(MARÍTIMOS[[#This Row],[Etapa Retiro - Inicio de Ruta]]="","",MARÍTIMOS[[#This Row],[Etapa Retiro - Inicio de Ruta]]),"")</f>
        <v/>
      </c>
      <c r="Y664" s="11" t="str">
        <f>IFERROR(IF(MARÍTIMOS[[#This Row],[Hora de Posicionamiento]]="","",MARÍTIMOS[[#This Row],[Fecha de Carga]]+MARÍTIMOS[[#This Row],[Hora de Posicionamiento]]),"")</f>
        <v/>
      </c>
      <c r="Z664" s="11" t="str">
        <f>IFERROR(IF(MARÍTIMOS[[#This Row],[Etapa Despacho - Llegada]]="","",MARÍTIMOS[[#This Row],[Etapa Despacho - Llegada]]),"")</f>
        <v/>
      </c>
      <c r="AA664" s="11" t="str">
        <f>IFERROR(IF(MARÍTIMOS[[#This Row],[Etapa Despacho - Registro]]="","",MARÍTIMOS[[#This Row],[Etapa Despacho - Registro]]),"")</f>
        <v/>
      </c>
      <c r="AB664" s="11" t="str">
        <f>IFERROR(IF(MARÍTIMOS[[#This Row],[Inspección Externa]]="","",MARÍTIMOS[[#This Row],[Inspección Externa]]),"")</f>
        <v/>
      </c>
      <c r="AC664" s="11" t="str">
        <f>IFERROR(IF(MARÍTIMOS[[#This Row],[Etapa Despacho - Inicio de Carga]]="","",MARÍTIMOS[[#This Row],[Etapa Despacho - Inicio de Carga]]),"")</f>
        <v/>
      </c>
      <c r="AD664" s="11" t="str">
        <f>IFERROR(IF(MARÍTIMOS[[#This Row],[Etapa Despacho - Mitad de Carga]]="","",MARÍTIMOS[[#This Row],[Etapa Despacho - Mitad de Carga]]),"")</f>
        <v/>
      </c>
      <c r="AE664" s="11" t="str">
        <f>IFERROR(IF(MARÍTIMOS[[#This Row],[Etapa Despacho - Fin de Carga]]="","",MARÍTIMOS[[#This Row],[Etapa Despacho - Fin de Carga]]),"")</f>
        <v/>
      </c>
      <c r="AF664" s="2" t="str">
        <f>IFERROR(IF(MARÍTIMOS[[#This Row],[Puerto de Embarque]]="","",MARÍTIMOS[[#This Row],[Puerto de Embarque]]),"")</f>
        <v/>
      </c>
      <c r="AG664" s="2" t="str">
        <f>IFERROR(IF(MARÍTIMOS[[#This Row],[Almacén de Ingreso]]="","",MARÍTIMOS[[#This Row],[Almacén de Ingreso]]),"")</f>
        <v/>
      </c>
      <c r="AH664" s="11" t="str">
        <f>IFERROR(IF(MARÍTIMOS[[#This Row],[Etapa Ingreso - Cita]]="","",MARÍTIMOS[[#This Row],[Etapa Ingreso - Cita]]),"")</f>
        <v/>
      </c>
      <c r="AI664" s="11" t="str">
        <f>IFERROR(IF(MARÍTIMOS[[#This Row],[Etapa Ingreso - Llegada]]="","",MARÍTIMOS[[#This Row],[Etapa Ingreso - Llegada]]),"")</f>
        <v/>
      </c>
      <c r="AJ664" s="11" t="str">
        <f>IFERROR(IF(MARÍTIMOS[[#This Row],[Etapa Ingreso - Ingeso]]="","",MARÍTIMOS[[#This Row],[Etapa Ingreso - Ingeso]]),"")</f>
        <v/>
      </c>
      <c r="AK664" s="11" t="str">
        <f>IFERROR(IF(MARÍTIMOS[[#This Row],[Etapa Ingreso - Atención]]="","",MARÍTIMOS[[#This Row],[Etapa Ingreso - Atención]]),"")</f>
        <v/>
      </c>
      <c r="AL664" s="11" t="str">
        <f>IFERROR(IF(MARÍTIMOS[[#This Row],[Etapa Ingreso - Salida]]="","",MARÍTIMOS[[#This Row],[Etapa Ingreso - Salida]]),"")</f>
        <v/>
      </c>
      <c r="AM664" s="2" t="str">
        <f>IFERROR(IF(MARÍTIMOS[[#This Row],[FCL]]="","",MARÍTIMOS[[#This Row],[FCL]]),"")</f>
        <v/>
      </c>
      <c r="AN6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4" s="4" t="str" cm="1">
        <f t="array" ref="AO6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4" s="5" t="str">
        <f>IFERROR(OLDBD[[#This Row],[Llegada a packing]]-OLDBD[[#This Row],[Inicio de Ruta]],"")</f>
        <v/>
      </c>
      <c r="AQ664" s="6" t="str">
        <f>IFERROR(OLDBD[[#This Row],[Inicio de Ruta]]-OLDBD[[#This Row],[Salida de almacén de retiro]],"")</f>
        <v/>
      </c>
      <c r="AR6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4" s="8" t="str" cm="1">
        <f t="array" ref="AS6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4" s="9" t="str">
        <f>IFERROR(OLDBD[[#This Row],[Ingreso Packing]]-OLDBD[[#This Row],[Registro en Packing]],"")</f>
        <v/>
      </c>
      <c r="AV664" s="9" t="str">
        <f>IFERROR(OLDBD[[#This Row],[Ingreso Packing]]-OLDBD[[#This Row],[Llegada a packing]],"")</f>
        <v/>
      </c>
      <c r="AW6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4" s="5" t="str">
        <f>IFERROR(OLDBD[[#This Row],[Llegada Almacén de Ingreso]]-OLDBD[[#This Row],[Salida Packing]],"")</f>
        <v/>
      </c>
      <c r="AY664" s="4" t="str" cm="1">
        <f t="array" ref="AY6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4" s="43" t="s">
        <v>173</v>
      </c>
      <c r="BB664" s="47" t="str">
        <f>IFERROR(IF(MARÍTIMOS[[#This Row],[Estatus]]="","",MARÍTIMOS[[#This Row],[Estatus]]),"")</f>
        <v/>
      </c>
      <c r="BC664" s="43"/>
      <c r="BD664" s="46" t="str">
        <f>IFERROR(OLDBD[[#This Row],[Salida de almacén de retiro]]-OLDBD[[#This Row],[Ingreso Almacén de retiro]],"")</f>
        <v/>
      </c>
      <c r="BE664" s="46" t="str">
        <f>IFERROR(OLDBD[[#This Row],[Fin de Carga]]-OLDBD[[#This Row],[Inicio de Carga]],"")</f>
        <v/>
      </c>
    </row>
    <row r="665" spans="1:57" customFormat="1" hidden="1">
      <c r="A665" s="1"/>
      <c r="B665" s="1" t="str">
        <f>IFERROR(IF(MARÍTIMOS[[#This Row],[PP]]="","",MARÍTIMOS[[#This Row],[PP]]),"")</f>
        <v/>
      </c>
      <c r="C665" s="1" t="str">
        <f>IFERROR(IF(MARÍTIMOS[[#This Row],[Sede]]="","",MARÍTIMOS[[#This Row],[Sede]]),"")</f>
        <v/>
      </c>
      <c r="D665" s="1" t="str">
        <f>IFERROR(IF(MARÍTIMOS[[#This Row],[Instruction]]="","",MARÍTIMOS[[#This Row],[Instruction]]),"")</f>
        <v/>
      </c>
      <c r="E665" s="1"/>
      <c r="F665" s="2" t="str">
        <f>IFERROR(IF(MARÍTIMOS[[#This Row],[Transportista]]="","",MARÍTIMOS[[#This Row],[Transportista]]),"")</f>
        <v/>
      </c>
      <c r="G665" s="2" t="str">
        <f>IFERROR(IF(MARÍTIMOS[[#This Row],[Tercero]]="","",MARÍTIMOS[[#This Row],[Tercero]]),"")</f>
        <v/>
      </c>
      <c r="H665" s="2" t="str">
        <f>IFERROR(IF(MARÍTIMOS[[#This Row],[Razón Social]]="","",MARÍTIMOS[[#This Row],[Razón Social]]),"")</f>
        <v/>
      </c>
      <c r="I665" s="2" t="str">
        <f>IFERROR(IF(MARÍTIMOS[[#This Row],[RUC]]="","",MARÍTIMOS[[#This Row],[RUC]]),"")</f>
        <v/>
      </c>
      <c r="J665" s="2" t="str">
        <f>IFERROR(IF(MARÍTIMOS[[#This Row],[Placa Tracto]]="","",MARÍTIMOS[[#This Row],[Placa Tracto]]),"")</f>
        <v/>
      </c>
      <c r="K665" s="2" t="str">
        <f>IFERROR(IF(MARÍTIMOS[[#This Row],[Placa Carreta]]="","",MARÍTIMOS[[#This Row],[Placa Carreta]]),"")</f>
        <v/>
      </c>
      <c r="L665" s="44" t="str">
        <f>IFERROR(IF(MARÍTIMOS[[#This Row],[Conductor]]="","",MARÍTIMOS[[#This Row],[Conductor]]),"")</f>
        <v/>
      </c>
      <c r="M665" s="2" t="str">
        <f>IFERROR(IF(MARÍTIMOS[[#This Row],[Licencia]]="","",MARÍTIMOS[[#This Row],[Licencia]]),"")</f>
        <v/>
      </c>
      <c r="N665" s="2" t="str">
        <f>IFERROR(IF(MARÍTIMOS[[#This Row],[Número de Contacto]]="","",MARÍTIMOS[[#This Row],[Número de Contacto]]),"")</f>
        <v/>
      </c>
      <c r="O665" s="10" t="str">
        <f>IFERROR(IF(MARÍTIMOS[[#This Row],[Booking|AWB|CRT]]="","",MARÍTIMOS[[#This Row],[Booking|AWB|CRT]]),"")</f>
        <v/>
      </c>
      <c r="P665" s="2" t="str">
        <f>IFERROR(IF(MARÍTIMOS[[#This Row],[Contenedor]]="","",MARÍTIMOS[[#This Row],[Contenedor]]),"")</f>
        <v/>
      </c>
      <c r="Q665" s="2" t="str">
        <f>IFERROR(IF(MARÍTIMOS[[#This Row],[Puerto de Retiro]]="","",MARÍTIMOS[[#This Row],[Puerto de Retiro]]),"")</f>
        <v/>
      </c>
      <c r="R665" s="2" t="str">
        <f>IFERROR(IF(MARÍTIMOS[[#This Row],[Almacén de Retiro]]="","",MARÍTIMOS[[#This Row],[Almacén de Retiro]]),"")</f>
        <v/>
      </c>
      <c r="S665" s="11" t="str">
        <f>IFERROR(IF(MARÍTIMOS[[#This Row],[Etapa Retiro - Cita]]="","",MARÍTIMOS[[#This Row],[Etapa Retiro - Cita]]),"")</f>
        <v/>
      </c>
      <c r="T665" s="11" t="str">
        <f>IFERROR(IF(MARÍTIMOS[[#This Row],[Etapa Retiro - Llegada]]="","",MARÍTIMOS[[#This Row],[Etapa Retiro - Llegada]]),"")</f>
        <v/>
      </c>
      <c r="U665" s="11" t="str">
        <f>IFERROR(IF(MARÍTIMOS[[#This Row],[Etapa Retiro - Ingreso]]="","",MARÍTIMOS[[#This Row],[Etapa Retiro - Ingreso]]),"")</f>
        <v/>
      </c>
      <c r="V665" s="11" t="str">
        <f>IFERROR(IF(MARÍTIMOS[[#This Row],[Etapa Retiro - Atención]]="","",MARÍTIMOS[[#This Row],[Etapa Retiro - Atención]]),"")</f>
        <v/>
      </c>
      <c r="W665" s="11" t="str">
        <f>IFERROR(IF(MARÍTIMOS[[#This Row],[Etapa Retiro - Atención]]="","",MARÍTIMOS[[#This Row],[Etapa Retiro - Atención]]),"")</f>
        <v/>
      </c>
      <c r="X665" s="11" t="str">
        <f>IFERROR(IF(MARÍTIMOS[[#This Row],[Etapa Retiro - Inicio de Ruta]]="","",MARÍTIMOS[[#This Row],[Etapa Retiro - Inicio de Ruta]]),"")</f>
        <v/>
      </c>
      <c r="Y665" s="11" t="str">
        <f>IFERROR(IF(MARÍTIMOS[[#This Row],[Hora de Posicionamiento]]="","",MARÍTIMOS[[#This Row],[Fecha de Carga]]+MARÍTIMOS[[#This Row],[Hora de Posicionamiento]]),"")</f>
        <v/>
      </c>
      <c r="Z665" s="11" t="str">
        <f>IFERROR(IF(MARÍTIMOS[[#This Row],[Etapa Despacho - Llegada]]="","",MARÍTIMOS[[#This Row],[Etapa Despacho - Llegada]]),"")</f>
        <v/>
      </c>
      <c r="AA665" s="11" t="str">
        <f>IFERROR(IF(MARÍTIMOS[[#This Row],[Etapa Despacho - Registro]]="","",MARÍTIMOS[[#This Row],[Etapa Despacho - Registro]]),"")</f>
        <v/>
      </c>
      <c r="AB665" s="11" t="str">
        <f>IFERROR(IF(MARÍTIMOS[[#This Row],[Inspección Externa]]="","",MARÍTIMOS[[#This Row],[Inspección Externa]]),"")</f>
        <v/>
      </c>
      <c r="AC665" s="11" t="str">
        <f>IFERROR(IF(MARÍTIMOS[[#This Row],[Etapa Despacho - Inicio de Carga]]="","",MARÍTIMOS[[#This Row],[Etapa Despacho - Inicio de Carga]]),"")</f>
        <v/>
      </c>
      <c r="AD665" s="11" t="str">
        <f>IFERROR(IF(MARÍTIMOS[[#This Row],[Etapa Despacho - Mitad de Carga]]="","",MARÍTIMOS[[#This Row],[Etapa Despacho - Mitad de Carga]]),"")</f>
        <v/>
      </c>
      <c r="AE665" s="11" t="str">
        <f>IFERROR(IF(MARÍTIMOS[[#This Row],[Etapa Despacho - Fin de Carga]]="","",MARÍTIMOS[[#This Row],[Etapa Despacho - Fin de Carga]]),"")</f>
        <v/>
      </c>
      <c r="AF665" s="2" t="str">
        <f>IFERROR(IF(MARÍTIMOS[[#This Row],[Puerto de Embarque]]="","",MARÍTIMOS[[#This Row],[Puerto de Embarque]]),"")</f>
        <v/>
      </c>
      <c r="AG665" s="2" t="str">
        <f>IFERROR(IF(MARÍTIMOS[[#This Row],[Almacén de Ingreso]]="","",MARÍTIMOS[[#This Row],[Almacén de Ingreso]]),"")</f>
        <v/>
      </c>
      <c r="AH665" s="11" t="str">
        <f>IFERROR(IF(MARÍTIMOS[[#This Row],[Etapa Ingreso - Cita]]="","",MARÍTIMOS[[#This Row],[Etapa Ingreso - Cita]]),"")</f>
        <v/>
      </c>
      <c r="AI665" s="11" t="str">
        <f>IFERROR(IF(MARÍTIMOS[[#This Row],[Etapa Ingreso - Llegada]]="","",MARÍTIMOS[[#This Row],[Etapa Ingreso - Llegada]]),"")</f>
        <v/>
      </c>
      <c r="AJ665" s="11" t="str">
        <f>IFERROR(IF(MARÍTIMOS[[#This Row],[Etapa Ingreso - Ingeso]]="","",MARÍTIMOS[[#This Row],[Etapa Ingreso - Ingeso]]),"")</f>
        <v/>
      </c>
      <c r="AK665" s="11" t="str">
        <f>IFERROR(IF(MARÍTIMOS[[#This Row],[Etapa Ingreso - Atención]]="","",MARÍTIMOS[[#This Row],[Etapa Ingreso - Atención]]),"")</f>
        <v/>
      </c>
      <c r="AL665" s="11" t="str">
        <f>IFERROR(IF(MARÍTIMOS[[#This Row],[Etapa Ingreso - Salida]]="","",MARÍTIMOS[[#This Row],[Etapa Ingreso - Salida]]),"")</f>
        <v/>
      </c>
      <c r="AM665" s="2" t="str">
        <f>IFERROR(IF(MARÍTIMOS[[#This Row],[FCL]]="","",MARÍTIMOS[[#This Row],[FCL]]),"")</f>
        <v/>
      </c>
      <c r="AN6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5" s="4" t="str" cm="1">
        <f t="array" ref="AO6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5" s="5" t="str">
        <f>IFERROR(OLDBD[[#This Row],[Llegada a packing]]-OLDBD[[#This Row],[Inicio de Ruta]],"")</f>
        <v/>
      </c>
      <c r="AQ665" s="6" t="str">
        <f>IFERROR(OLDBD[[#This Row],[Inicio de Ruta]]-OLDBD[[#This Row],[Salida de almacén de retiro]],"")</f>
        <v/>
      </c>
      <c r="AR6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5" s="8" t="str" cm="1">
        <f t="array" ref="AS6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5" s="9" t="str">
        <f>IFERROR(OLDBD[[#This Row],[Ingreso Packing]]-OLDBD[[#This Row],[Registro en Packing]],"")</f>
        <v/>
      </c>
      <c r="AV665" s="9" t="str">
        <f>IFERROR(OLDBD[[#This Row],[Ingreso Packing]]-OLDBD[[#This Row],[Llegada a packing]],"")</f>
        <v/>
      </c>
      <c r="AW6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5" s="5" t="str">
        <f>IFERROR(OLDBD[[#This Row],[Llegada Almacén de Ingreso]]-OLDBD[[#This Row],[Salida Packing]],"")</f>
        <v/>
      </c>
      <c r="AY665" s="4" t="str" cm="1">
        <f t="array" ref="AY6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5" s="43" t="s">
        <v>173</v>
      </c>
      <c r="BB665" s="47" t="str">
        <f>IFERROR(IF(MARÍTIMOS[[#This Row],[Estatus]]="","",MARÍTIMOS[[#This Row],[Estatus]]),"")</f>
        <v/>
      </c>
      <c r="BC665" s="43"/>
      <c r="BD665" s="46" t="str">
        <f>IFERROR(OLDBD[[#This Row],[Salida de almacén de retiro]]-OLDBD[[#This Row],[Ingreso Almacén de retiro]],"")</f>
        <v/>
      </c>
      <c r="BE665" s="46" t="str">
        <f>IFERROR(OLDBD[[#This Row],[Fin de Carga]]-OLDBD[[#This Row],[Inicio de Carga]],"")</f>
        <v/>
      </c>
    </row>
    <row r="666" spans="1:57" customFormat="1" hidden="1">
      <c r="A666" s="1"/>
      <c r="B666" s="1" t="str">
        <f>IFERROR(IF(MARÍTIMOS[[#This Row],[PP]]="","",MARÍTIMOS[[#This Row],[PP]]),"")</f>
        <v/>
      </c>
      <c r="C666" s="1" t="str">
        <f>IFERROR(IF(MARÍTIMOS[[#This Row],[Sede]]="","",MARÍTIMOS[[#This Row],[Sede]]),"")</f>
        <v/>
      </c>
      <c r="D666" s="1" t="str">
        <f>IFERROR(IF(MARÍTIMOS[[#This Row],[Instruction]]="","",MARÍTIMOS[[#This Row],[Instruction]]),"")</f>
        <v/>
      </c>
      <c r="E666" s="1"/>
      <c r="F666" s="2" t="str">
        <f>IFERROR(IF(MARÍTIMOS[[#This Row],[Transportista]]="","",MARÍTIMOS[[#This Row],[Transportista]]),"")</f>
        <v/>
      </c>
      <c r="G666" s="2" t="str">
        <f>IFERROR(IF(MARÍTIMOS[[#This Row],[Tercero]]="","",MARÍTIMOS[[#This Row],[Tercero]]),"")</f>
        <v/>
      </c>
      <c r="H666" s="2" t="str">
        <f>IFERROR(IF(MARÍTIMOS[[#This Row],[Razón Social]]="","",MARÍTIMOS[[#This Row],[Razón Social]]),"")</f>
        <v/>
      </c>
      <c r="I666" s="2" t="str">
        <f>IFERROR(IF(MARÍTIMOS[[#This Row],[RUC]]="","",MARÍTIMOS[[#This Row],[RUC]]),"")</f>
        <v/>
      </c>
      <c r="J666" s="2" t="str">
        <f>IFERROR(IF(MARÍTIMOS[[#This Row],[Placa Tracto]]="","",MARÍTIMOS[[#This Row],[Placa Tracto]]),"")</f>
        <v/>
      </c>
      <c r="K666" s="2" t="str">
        <f>IFERROR(IF(MARÍTIMOS[[#This Row],[Placa Carreta]]="","",MARÍTIMOS[[#This Row],[Placa Carreta]]),"")</f>
        <v/>
      </c>
      <c r="L666" s="44" t="str">
        <f>IFERROR(IF(MARÍTIMOS[[#This Row],[Conductor]]="","",MARÍTIMOS[[#This Row],[Conductor]]),"")</f>
        <v/>
      </c>
      <c r="M666" s="2" t="str">
        <f>IFERROR(IF(MARÍTIMOS[[#This Row],[Licencia]]="","",MARÍTIMOS[[#This Row],[Licencia]]),"")</f>
        <v/>
      </c>
      <c r="N666" s="2" t="str">
        <f>IFERROR(IF(MARÍTIMOS[[#This Row],[Número de Contacto]]="","",MARÍTIMOS[[#This Row],[Número de Contacto]]),"")</f>
        <v/>
      </c>
      <c r="O666" s="10" t="str">
        <f>IFERROR(IF(MARÍTIMOS[[#This Row],[Booking|AWB|CRT]]="","",MARÍTIMOS[[#This Row],[Booking|AWB|CRT]]),"")</f>
        <v/>
      </c>
      <c r="P666" s="2" t="str">
        <f>IFERROR(IF(MARÍTIMOS[[#This Row],[Contenedor]]="","",MARÍTIMOS[[#This Row],[Contenedor]]),"")</f>
        <v/>
      </c>
      <c r="Q666" s="2" t="str">
        <f>IFERROR(IF(MARÍTIMOS[[#This Row],[Puerto de Retiro]]="","",MARÍTIMOS[[#This Row],[Puerto de Retiro]]),"")</f>
        <v/>
      </c>
      <c r="R666" s="2" t="str">
        <f>IFERROR(IF(MARÍTIMOS[[#This Row],[Almacén de Retiro]]="","",MARÍTIMOS[[#This Row],[Almacén de Retiro]]),"")</f>
        <v/>
      </c>
      <c r="S666" s="11" t="str">
        <f>IFERROR(IF(MARÍTIMOS[[#This Row],[Etapa Retiro - Cita]]="","",MARÍTIMOS[[#This Row],[Etapa Retiro - Cita]]),"")</f>
        <v/>
      </c>
      <c r="T666" s="11" t="str">
        <f>IFERROR(IF(MARÍTIMOS[[#This Row],[Etapa Retiro - Llegada]]="","",MARÍTIMOS[[#This Row],[Etapa Retiro - Llegada]]),"")</f>
        <v/>
      </c>
      <c r="U666" s="11" t="str">
        <f>IFERROR(IF(MARÍTIMOS[[#This Row],[Etapa Retiro - Ingreso]]="","",MARÍTIMOS[[#This Row],[Etapa Retiro - Ingreso]]),"")</f>
        <v/>
      </c>
      <c r="V666" s="11" t="str">
        <f>IFERROR(IF(MARÍTIMOS[[#This Row],[Etapa Retiro - Atención]]="","",MARÍTIMOS[[#This Row],[Etapa Retiro - Atención]]),"")</f>
        <v/>
      </c>
      <c r="W666" s="11" t="str">
        <f>IFERROR(IF(MARÍTIMOS[[#This Row],[Etapa Retiro - Atención]]="","",MARÍTIMOS[[#This Row],[Etapa Retiro - Atención]]),"")</f>
        <v/>
      </c>
      <c r="X666" s="11" t="str">
        <f>IFERROR(IF(MARÍTIMOS[[#This Row],[Etapa Retiro - Inicio de Ruta]]="","",MARÍTIMOS[[#This Row],[Etapa Retiro - Inicio de Ruta]]),"")</f>
        <v/>
      </c>
      <c r="Y666" s="11" t="str">
        <f>IFERROR(IF(MARÍTIMOS[[#This Row],[Hora de Posicionamiento]]="","",MARÍTIMOS[[#This Row],[Fecha de Carga]]+MARÍTIMOS[[#This Row],[Hora de Posicionamiento]]),"")</f>
        <v/>
      </c>
      <c r="Z666" s="11" t="str">
        <f>IFERROR(IF(MARÍTIMOS[[#This Row],[Etapa Despacho - Llegada]]="","",MARÍTIMOS[[#This Row],[Etapa Despacho - Llegada]]),"")</f>
        <v/>
      </c>
      <c r="AA666" s="11" t="str">
        <f>IFERROR(IF(MARÍTIMOS[[#This Row],[Etapa Despacho - Registro]]="","",MARÍTIMOS[[#This Row],[Etapa Despacho - Registro]]),"")</f>
        <v/>
      </c>
      <c r="AB666" s="11" t="str">
        <f>IFERROR(IF(MARÍTIMOS[[#This Row],[Inspección Externa]]="","",MARÍTIMOS[[#This Row],[Inspección Externa]]),"")</f>
        <v/>
      </c>
      <c r="AC666" s="11" t="str">
        <f>IFERROR(IF(MARÍTIMOS[[#This Row],[Etapa Despacho - Inicio de Carga]]="","",MARÍTIMOS[[#This Row],[Etapa Despacho - Inicio de Carga]]),"")</f>
        <v/>
      </c>
      <c r="AD666" s="11" t="str">
        <f>IFERROR(IF(MARÍTIMOS[[#This Row],[Etapa Despacho - Mitad de Carga]]="","",MARÍTIMOS[[#This Row],[Etapa Despacho - Mitad de Carga]]),"")</f>
        <v/>
      </c>
      <c r="AE666" s="11" t="str">
        <f>IFERROR(IF(MARÍTIMOS[[#This Row],[Etapa Despacho - Fin de Carga]]="","",MARÍTIMOS[[#This Row],[Etapa Despacho - Fin de Carga]]),"")</f>
        <v/>
      </c>
      <c r="AF666" s="2" t="str">
        <f>IFERROR(IF(MARÍTIMOS[[#This Row],[Puerto de Embarque]]="","",MARÍTIMOS[[#This Row],[Puerto de Embarque]]),"")</f>
        <v/>
      </c>
      <c r="AG666" s="2" t="str">
        <f>IFERROR(IF(MARÍTIMOS[[#This Row],[Almacén de Ingreso]]="","",MARÍTIMOS[[#This Row],[Almacén de Ingreso]]),"")</f>
        <v/>
      </c>
      <c r="AH666" s="11" t="str">
        <f>IFERROR(IF(MARÍTIMOS[[#This Row],[Etapa Ingreso - Cita]]="","",MARÍTIMOS[[#This Row],[Etapa Ingreso - Cita]]),"")</f>
        <v/>
      </c>
      <c r="AI666" s="11" t="str">
        <f>IFERROR(IF(MARÍTIMOS[[#This Row],[Etapa Ingreso - Llegada]]="","",MARÍTIMOS[[#This Row],[Etapa Ingreso - Llegada]]),"")</f>
        <v/>
      </c>
      <c r="AJ666" s="11" t="str">
        <f>IFERROR(IF(MARÍTIMOS[[#This Row],[Etapa Ingreso - Ingeso]]="","",MARÍTIMOS[[#This Row],[Etapa Ingreso - Ingeso]]),"")</f>
        <v/>
      </c>
      <c r="AK666" s="11" t="str">
        <f>IFERROR(IF(MARÍTIMOS[[#This Row],[Etapa Ingreso - Atención]]="","",MARÍTIMOS[[#This Row],[Etapa Ingreso - Atención]]),"")</f>
        <v/>
      </c>
      <c r="AL666" s="11" t="str">
        <f>IFERROR(IF(MARÍTIMOS[[#This Row],[Etapa Ingreso - Salida]]="","",MARÍTIMOS[[#This Row],[Etapa Ingreso - Salida]]),"")</f>
        <v/>
      </c>
      <c r="AM666" s="2" t="str">
        <f>IFERROR(IF(MARÍTIMOS[[#This Row],[FCL]]="","",MARÍTIMOS[[#This Row],[FCL]]),"")</f>
        <v/>
      </c>
      <c r="AN6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6" s="4" t="str" cm="1">
        <f t="array" ref="AO6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6" s="5" t="str">
        <f>IFERROR(OLDBD[[#This Row],[Llegada a packing]]-OLDBD[[#This Row],[Inicio de Ruta]],"")</f>
        <v/>
      </c>
      <c r="AQ666" s="6" t="str">
        <f>IFERROR(OLDBD[[#This Row],[Inicio de Ruta]]-OLDBD[[#This Row],[Salida de almacén de retiro]],"")</f>
        <v/>
      </c>
      <c r="AR6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6" s="8" t="str" cm="1">
        <f t="array" ref="AS6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6" s="9" t="str">
        <f>IFERROR(OLDBD[[#This Row],[Ingreso Packing]]-OLDBD[[#This Row],[Registro en Packing]],"")</f>
        <v/>
      </c>
      <c r="AV666" s="9" t="str">
        <f>IFERROR(OLDBD[[#This Row],[Ingreso Packing]]-OLDBD[[#This Row],[Llegada a packing]],"")</f>
        <v/>
      </c>
      <c r="AW6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6" s="5" t="str">
        <f>IFERROR(OLDBD[[#This Row],[Llegada Almacén de Ingreso]]-OLDBD[[#This Row],[Salida Packing]],"")</f>
        <v/>
      </c>
      <c r="AY666" s="4" t="str" cm="1">
        <f t="array" ref="AY6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6" s="43" t="s">
        <v>173</v>
      </c>
      <c r="BB666" s="47" t="str">
        <f>IFERROR(IF(MARÍTIMOS[[#This Row],[Estatus]]="","",MARÍTIMOS[[#This Row],[Estatus]]),"")</f>
        <v/>
      </c>
      <c r="BC666" s="43"/>
      <c r="BD666" s="46" t="str">
        <f>IFERROR(OLDBD[[#This Row],[Salida de almacén de retiro]]-OLDBD[[#This Row],[Ingreso Almacén de retiro]],"")</f>
        <v/>
      </c>
      <c r="BE666" s="46" t="str">
        <f>IFERROR(OLDBD[[#This Row],[Fin de Carga]]-OLDBD[[#This Row],[Inicio de Carga]],"")</f>
        <v/>
      </c>
    </row>
    <row r="667" spans="1:57" customFormat="1" hidden="1">
      <c r="A667" s="1"/>
      <c r="B667" s="1" t="str">
        <f>IFERROR(IF(MARÍTIMOS[[#This Row],[PP]]="","",MARÍTIMOS[[#This Row],[PP]]),"")</f>
        <v/>
      </c>
      <c r="C667" s="1" t="str">
        <f>IFERROR(IF(MARÍTIMOS[[#This Row],[Sede]]="","",MARÍTIMOS[[#This Row],[Sede]]),"")</f>
        <v/>
      </c>
      <c r="D667" s="1" t="str">
        <f>IFERROR(IF(MARÍTIMOS[[#This Row],[Instruction]]="","",MARÍTIMOS[[#This Row],[Instruction]]),"")</f>
        <v/>
      </c>
      <c r="E667" s="1"/>
      <c r="F667" s="2" t="str">
        <f>IFERROR(IF(MARÍTIMOS[[#This Row],[Transportista]]="","",MARÍTIMOS[[#This Row],[Transportista]]),"")</f>
        <v/>
      </c>
      <c r="G667" s="2" t="str">
        <f>IFERROR(IF(MARÍTIMOS[[#This Row],[Tercero]]="","",MARÍTIMOS[[#This Row],[Tercero]]),"")</f>
        <v/>
      </c>
      <c r="H667" s="2" t="str">
        <f>IFERROR(IF(MARÍTIMOS[[#This Row],[Razón Social]]="","",MARÍTIMOS[[#This Row],[Razón Social]]),"")</f>
        <v/>
      </c>
      <c r="I667" s="2" t="str">
        <f>IFERROR(IF(MARÍTIMOS[[#This Row],[RUC]]="","",MARÍTIMOS[[#This Row],[RUC]]),"")</f>
        <v/>
      </c>
      <c r="J667" s="2" t="str">
        <f>IFERROR(IF(MARÍTIMOS[[#This Row],[Placa Tracto]]="","",MARÍTIMOS[[#This Row],[Placa Tracto]]),"")</f>
        <v/>
      </c>
      <c r="K667" s="2" t="str">
        <f>IFERROR(IF(MARÍTIMOS[[#This Row],[Placa Carreta]]="","",MARÍTIMOS[[#This Row],[Placa Carreta]]),"")</f>
        <v/>
      </c>
      <c r="L667" s="44" t="str">
        <f>IFERROR(IF(MARÍTIMOS[[#This Row],[Conductor]]="","",MARÍTIMOS[[#This Row],[Conductor]]),"")</f>
        <v/>
      </c>
      <c r="M667" s="2" t="str">
        <f>IFERROR(IF(MARÍTIMOS[[#This Row],[Licencia]]="","",MARÍTIMOS[[#This Row],[Licencia]]),"")</f>
        <v/>
      </c>
      <c r="N667" s="2" t="str">
        <f>IFERROR(IF(MARÍTIMOS[[#This Row],[Número de Contacto]]="","",MARÍTIMOS[[#This Row],[Número de Contacto]]),"")</f>
        <v/>
      </c>
      <c r="O667" s="10" t="str">
        <f>IFERROR(IF(MARÍTIMOS[[#This Row],[Booking|AWB|CRT]]="","",MARÍTIMOS[[#This Row],[Booking|AWB|CRT]]),"")</f>
        <v/>
      </c>
      <c r="P667" s="2" t="str">
        <f>IFERROR(IF(MARÍTIMOS[[#This Row],[Contenedor]]="","",MARÍTIMOS[[#This Row],[Contenedor]]),"")</f>
        <v/>
      </c>
      <c r="Q667" s="2" t="str">
        <f>IFERROR(IF(MARÍTIMOS[[#This Row],[Puerto de Retiro]]="","",MARÍTIMOS[[#This Row],[Puerto de Retiro]]),"")</f>
        <v/>
      </c>
      <c r="R667" s="2" t="str">
        <f>IFERROR(IF(MARÍTIMOS[[#This Row],[Almacén de Retiro]]="","",MARÍTIMOS[[#This Row],[Almacén de Retiro]]),"")</f>
        <v/>
      </c>
      <c r="S667" s="11" t="str">
        <f>IFERROR(IF(MARÍTIMOS[[#This Row],[Etapa Retiro - Cita]]="","",MARÍTIMOS[[#This Row],[Etapa Retiro - Cita]]),"")</f>
        <v/>
      </c>
      <c r="T667" s="11" t="str">
        <f>IFERROR(IF(MARÍTIMOS[[#This Row],[Etapa Retiro - Llegada]]="","",MARÍTIMOS[[#This Row],[Etapa Retiro - Llegada]]),"")</f>
        <v/>
      </c>
      <c r="U667" s="11" t="str">
        <f>IFERROR(IF(MARÍTIMOS[[#This Row],[Etapa Retiro - Ingreso]]="","",MARÍTIMOS[[#This Row],[Etapa Retiro - Ingreso]]),"")</f>
        <v/>
      </c>
      <c r="V667" s="11" t="str">
        <f>IFERROR(IF(MARÍTIMOS[[#This Row],[Etapa Retiro - Atención]]="","",MARÍTIMOS[[#This Row],[Etapa Retiro - Atención]]),"")</f>
        <v/>
      </c>
      <c r="W667" s="11" t="str">
        <f>IFERROR(IF(MARÍTIMOS[[#This Row],[Etapa Retiro - Atención]]="","",MARÍTIMOS[[#This Row],[Etapa Retiro - Atención]]),"")</f>
        <v/>
      </c>
      <c r="X667" s="11" t="str">
        <f>IFERROR(IF(MARÍTIMOS[[#This Row],[Etapa Retiro - Inicio de Ruta]]="","",MARÍTIMOS[[#This Row],[Etapa Retiro - Inicio de Ruta]]),"")</f>
        <v/>
      </c>
      <c r="Y667" s="11" t="str">
        <f>IFERROR(IF(MARÍTIMOS[[#This Row],[Hora de Posicionamiento]]="","",MARÍTIMOS[[#This Row],[Fecha de Carga]]+MARÍTIMOS[[#This Row],[Hora de Posicionamiento]]),"")</f>
        <v/>
      </c>
      <c r="Z667" s="11" t="str">
        <f>IFERROR(IF(MARÍTIMOS[[#This Row],[Etapa Despacho - Llegada]]="","",MARÍTIMOS[[#This Row],[Etapa Despacho - Llegada]]),"")</f>
        <v/>
      </c>
      <c r="AA667" s="11" t="str">
        <f>IFERROR(IF(MARÍTIMOS[[#This Row],[Etapa Despacho - Registro]]="","",MARÍTIMOS[[#This Row],[Etapa Despacho - Registro]]),"")</f>
        <v/>
      </c>
      <c r="AB667" s="11" t="str">
        <f>IFERROR(IF(MARÍTIMOS[[#This Row],[Inspección Externa]]="","",MARÍTIMOS[[#This Row],[Inspección Externa]]),"")</f>
        <v/>
      </c>
      <c r="AC667" s="11" t="str">
        <f>IFERROR(IF(MARÍTIMOS[[#This Row],[Etapa Despacho - Inicio de Carga]]="","",MARÍTIMOS[[#This Row],[Etapa Despacho - Inicio de Carga]]),"")</f>
        <v/>
      </c>
      <c r="AD667" s="11" t="str">
        <f>IFERROR(IF(MARÍTIMOS[[#This Row],[Etapa Despacho - Mitad de Carga]]="","",MARÍTIMOS[[#This Row],[Etapa Despacho - Mitad de Carga]]),"")</f>
        <v/>
      </c>
      <c r="AE667" s="11" t="str">
        <f>IFERROR(IF(MARÍTIMOS[[#This Row],[Etapa Despacho - Fin de Carga]]="","",MARÍTIMOS[[#This Row],[Etapa Despacho - Fin de Carga]]),"")</f>
        <v/>
      </c>
      <c r="AF667" s="2" t="str">
        <f>IFERROR(IF(MARÍTIMOS[[#This Row],[Puerto de Embarque]]="","",MARÍTIMOS[[#This Row],[Puerto de Embarque]]),"")</f>
        <v/>
      </c>
      <c r="AG667" s="2" t="str">
        <f>IFERROR(IF(MARÍTIMOS[[#This Row],[Almacén de Ingreso]]="","",MARÍTIMOS[[#This Row],[Almacén de Ingreso]]),"")</f>
        <v/>
      </c>
      <c r="AH667" s="11" t="str">
        <f>IFERROR(IF(MARÍTIMOS[[#This Row],[Etapa Ingreso - Cita]]="","",MARÍTIMOS[[#This Row],[Etapa Ingreso - Cita]]),"")</f>
        <v/>
      </c>
      <c r="AI667" s="11" t="str">
        <f>IFERROR(IF(MARÍTIMOS[[#This Row],[Etapa Ingreso - Llegada]]="","",MARÍTIMOS[[#This Row],[Etapa Ingreso - Llegada]]),"")</f>
        <v/>
      </c>
      <c r="AJ667" s="11" t="str">
        <f>IFERROR(IF(MARÍTIMOS[[#This Row],[Etapa Ingreso - Ingeso]]="","",MARÍTIMOS[[#This Row],[Etapa Ingreso - Ingeso]]),"")</f>
        <v/>
      </c>
      <c r="AK667" s="11" t="str">
        <f>IFERROR(IF(MARÍTIMOS[[#This Row],[Etapa Ingreso - Atención]]="","",MARÍTIMOS[[#This Row],[Etapa Ingreso - Atención]]),"")</f>
        <v/>
      </c>
      <c r="AL667" s="11" t="str">
        <f>IFERROR(IF(MARÍTIMOS[[#This Row],[Etapa Ingreso - Salida]]="","",MARÍTIMOS[[#This Row],[Etapa Ingreso - Salida]]),"")</f>
        <v/>
      </c>
      <c r="AM667" s="2" t="str">
        <f>IFERROR(IF(MARÍTIMOS[[#This Row],[FCL]]="","",MARÍTIMOS[[#This Row],[FCL]]),"")</f>
        <v/>
      </c>
      <c r="AN6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7" s="4" t="str" cm="1">
        <f t="array" ref="AO6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7" s="5" t="str">
        <f>IFERROR(OLDBD[[#This Row],[Llegada a packing]]-OLDBD[[#This Row],[Inicio de Ruta]],"")</f>
        <v/>
      </c>
      <c r="AQ667" s="6" t="str">
        <f>IFERROR(OLDBD[[#This Row],[Inicio de Ruta]]-OLDBD[[#This Row],[Salida de almacén de retiro]],"")</f>
        <v/>
      </c>
      <c r="AR6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7" s="8" t="str" cm="1">
        <f t="array" ref="AS6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7" s="9" t="str">
        <f>IFERROR(OLDBD[[#This Row],[Ingreso Packing]]-OLDBD[[#This Row],[Registro en Packing]],"")</f>
        <v/>
      </c>
      <c r="AV667" s="9" t="str">
        <f>IFERROR(OLDBD[[#This Row],[Ingreso Packing]]-OLDBD[[#This Row],[Llegada a packing]],"")</f>
        <v/>
      </c>
      <c r="AW6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7" s="5" t="str">
        <f>IFERROR(OLDBD[[#This Row],[Llegada Almacén de Ingreso]]-OLDBD[[#This Row],[Salida Packing]],"")</f>
        <v/>
      </c>
      <c r="AY667" s="4" t="str" cm="1">
        <f t="array" ref="AY6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7" s="43" t="s">
        <v>173</v>
      </c>
      <c r="BB667" s="47" t="str">
        <f>IFERROR(IF(MARÍTIMOS[[#This Row],[Estatus]]="","",MARÍTIMOS[[#This Row],[Estatus]]),"")</f>
        <v/>
      </c>
      <c r="BC667" s="43"/>
      <c r="BD667" s="46" t="str">
        <f>IFERROR(OLDBD[[#This Row],[Salida de almacén de retiro]]-OLDBD[[#This Row],[Ingreso Almacén de retiro]],"")</f>
        <v/>
      </c>
      <c r="BE667" s="46" t="str">
        <f>IFERROR(OLDBD[[#This Row],[Fin de Carga]]-OLDBD[[#This Row],[Inicio de Carga]],"")</f>
        <v/>
      </c>
    </row>
    <row r="668" spans="1:57" customFormat="1" hidden="1">
      <c r="A668" s="1"/>
      <c r="B668" s="1" t="str">
        <f>IFERROR(IF(MARÍTIMOS[[#This Row],[PP]]="","",MARÍTIMOS[[#This Row],[PP]]),"")</f>
        <v/>
      </c>
      <c r="C668" s="1" t="str">
        <f>IFERROR(IF(MARÍTIMOS[[#This Row],[Sede]]="","",MARÍTIMOS[[#This Row],[Sede]]),"")</f>
        <v/>
      </c>
      <c r="D668" s="1" t="str">
        <f>IFERROR(IF(MARÍTIMOS[[#This Row],[Instruction]]="","",MARÍTIMOS[[#This Row],[Instruction]]),"")</f>
        <v/>
      </c>
      <c r="E668" s="1"/>
      <c r="F668" s="2" t="str">
        <f>IFERROR(IF(MARÍTIMOS[[#This Row],[Transportista]]="","",MARÍTIMOS[[#This Row],[Transportista]]),"")</f>
        <v/>
      </c>
      <c r="G668" s="2" t="str">
        <f>IFERROR(IF(MARÍTIMOS[[#This Row],[Tercero]]="","",MARÍTIMOS[[#This Row],[Tercero]]),"")</f>
        <v/>
      </c>
      <c r="H668" s="2" t="str">
        <f>IFERROR(IF(MARÍTIMOS[[#This Row],[Razón Social]]="","",MARÍTIMOS[[#This Row],[Razón Social]]),"")</f>
        <v/>
      </c>
      <c r="I668" s="2" t="str">
        <f>IFERROR(IF(MARÍTIMOS[[#This Row],[RUC]]="","",MARÍTIMOS[[#This Row],[RUC]]),"")</f>
        <v/>
      </c>
      <c r="J668" s="2" t="str">
        <f>IFERROR(IF(MARÍTIMOS[[#This Row],[Placa Tracto]]="","",MARÍTIMOS[[#This Row],[Placa Tracto]]),"")</f>
        <v/>
      </c>
      <c r="K668" s="2" t="str">
        <f>IFERROR(IF(MARÍTIMOS[[#This Row],[Placa Carreta]]="","",MARÍTIMOS[[#This Row],[Placa Carreta]]),"")</f>
        <v/>
      </c>
      <c r="L668" s="44" t="str">
        <f>IFERROR(IF(MARÍTIMOS[[#This Row],[Conductor]]="","",MARÍTIMOS[[#This Row],[Conductor]]),"")</f>
        <v/>
      </c>
      <c r="M668" s="2" t="str">
        <f>IFERROR(IF(MARÍTIMOS[[#This Row],[Licencia]]="","",MARÍTIMOS[[#This Row],[Licencia]]),"")</f>
        <v/>
      </c>
      <c r="N668" s="2" t="str">
        <f>IFERROR(IF(MARÍTIMOS[[#This Row],[Número de Contacto]]="","",MARÍTIMOS[[#This Row],[Número de Contacto]]),"")</f>
        <v/>
      </c>
      <c r="O668" s="10" t="str">
        <f>IFERROR(IF(MARÍTIMOS[[#This Row],[Booking|AWB|CRT]]="","",MARÍTIMOS[[#This Row],[Booking|AWB|CRT]]),"")</f>
        <v/>
      </c>
      <c r="P668" s="2" t="str">
        <f>IFERROR(IF(MARÍTIMOS[[#This Row],[Contenedor]]="","",MARÍTIMOS[[#This Row],[Contenedor]]),"")</f>
        <v/>
      </c>
      <c r="Q668" s="2" t="str">
        <f>IFERROR(IF(MARÍTIMOS[[#This Row],[Puerto de Retiro]]="","",MARÍTIMOS[[#This Row],[Puerto de Retiro]]),"")</f>
        <v/>
      </c>
      <c r="R668" s="2" t="str">
        <f>IFERROR(IF(MARÍTIMOS[[#This Row],[Almacén de Retiro]]="","",MARÍTIMOS[[#This Row],[Almacén de Retiro]]),"")</f>
        <v/>
      </c>
      <c r="S668" s="11" t="str">
        <f>IFERROR(IF(MARÍTIMOS[[#This Row],[Etapa Retiro - Cita]]="","",MARÍTIMOS[[#This Row],[Etapa Retiro - Cita]]),"")</f>
        <v/>
      </c>
      <c r="T668" s="11" t="str">
        <f>IFERROR(IF(MARÍTIMOS[[#This Row],[Etapa Retiro - Llegada]]="","",MARÍTIMOS[[#This Row],[Etapa Retiro - Llegada]]),"")</f>
        <v/>
      </c>
      <c r="U668" s="11" t="str">
        <f>IFERROR(IF(MARÍTIMOS[[#This Row],[Etapa Retiro - Ingreso]]="","",MARÍTIMOS[[#This Row],[Etapa Retiro - Ingreso]]),"")</f>
        <v/>
      </c>
      <c r="V668" s="11" t="str">
        <f>IFERROR(IF(MARÍTIMOS[[#This Row],[Etapa Retiro - Atención]]="","",MARÍTIMOS[[#This Row],[Etapa Retiro - Atención]]),"")</f>
        <v/>
      </c>
      <c r="W668" s="11" t="str">
        <f>IFERROR(IF(MARÍTIMOS[[#This Row],[Etapa Retiro - Atención]]="","",MARÍTIMOS[[#This Row],[Etapa Retiro - Atención]]),"")</f>
        <v/>
      </c>
      <c r="X668" s="11" t="str">
        <f>IFERROR(IF(MARÍTIMOS[[#This Row],[Etapa Retiro - Inicio de Ruta]]="","",MARÍTIMOS[[#This Row],[Etapa Retiro - Inicio de Ruta]]),"")</f>
        <v/>
      </c>
      <c r="Y668" s="11" t="str">
        <f>IFERROR(IF(MARÍTIMOS[[#This Row],[Hora de Posicionamiento]]="","",MARÍTIMOS[[#This Row],[Fecha de Carga]]+MARÍTIMOS[[#This Row],[Hora de Posicionamiento]]),"")</f>
        <v/>
      </c>
      <c r="Z668" s="11" t="str">
        <f>IFERROR(IF(MARÍTIMOS[[#This Row],[Etapa Despacho - Llegada]]="","",MARÍTIMOS[[#This Row],[Etapa Despacho - Llegada]]),"")</f>
        <v/>
      </c>
      <c r="AA668" s="11" t="str">
        <f>IFERROR(IF(MARÍTIMOS[[#This Row],[Etapa Despacho - Registro]]="","",MARÍTIMOS[[#This Row],[Etapa Despacho - Registro]]),"")</f>
        <v/>
      </c>
      <c r="AB668" s="11" t="str">
        <f>IFERROR(IF(MARÍTIMOS[[#This Row],[Inspección Externa]]="","",MARÍTIMOS[[#This Row],[Inspección Externa]]),"")</f>
        <v/>
      </c>
      <c r="AC668" s="11" t="str">
        <f>IFERROR(IF(MARÍTIMOS[[#This Row],[Etapa Despacho - Inicio de Carga]]="","",MARÍTIMOS[[#This Row],[Etapa Despacho - Inicio de Carga]]),"")</f>
        <v/>
      </c>
      <c r="AD668" s="11" t="str">
        <f>IFERROR(IF(MARÍTIMOS[[#This Row],[Etapa Despacho - Mitad de Carga]]="","",MARÍTIMOS[[#This Row],[Etapa Despacho - Mitad de Carga]]),"")</f>
        <v/>
      </c>
      <c r="AE668" s="11" t="str">
        <f>IFERROR(IF(MARÍTIMOS[[#This Row],[Etapa Despacho - Fin de Carga]]="","",MARÍTIMOS[[#This Row],[Etapa Despacho - Fin de Carga]]),"")</f>
        <v/>
      </c>
      <c r="AF668" s="2" t="str">
        <f>IFERROR(IF(MARÍTIMOS[[#This Row],[Puerto de Embarque]]="","",MARÍTIMOS[[#This Row],[Puerto de Embarque]]),"")</f>
        <v/>
      </c>
      <c r="AG668" s="2" t="str">
        <f>IFERROR(IF(MARÍTIMOS[[#This Row],[Almacén de Ingreso]]="","",MARÍTIMOS[[#This Row],[Almacén de Ingreso]]),"")</f>
        <v/>
      </c>
      <c r="AH668" s="11" t="str">
        <f>IFERROR(IF(MARÍTIMOS[[#This Row],[Etapa Ingreso - Cita]]="","",MARÍTIMOS[[#This Row],[Etapa Ingreso - Cita]]),"")</f>
        <v/>
      </c>
      <c r="AI668" s="11" t="str">
        <f>IFERROR(IF(MARÍTIMOS[[#This Row],[Etapa Ingreso - Llegada]]="","",MARÍTIMOS[[#This Row],[Etapa Ingreso - Llegada]]),"")</f>
        <v/>
      </c>
      <c r="AJ668" s="11" t="str">
        <f>IFERROR(IF(MARÍTIMOS[[#This Row],[Etapa Ingreso - Ingeso]]="","",MARÍTIMOS[[#This Row],[Etapa Ingreso - Ingeso]]),"")</f>
        <v/>
      </c>
      <c r="AK668" s="11" t="str">
        <f>IFERROR(IF(MARÍTIMOS[[#This Row],[Etapa Ingreso - Atención]]="","",MARÍTIMOS[[#This Row],[Etapa Ingreso - Atención]]),"")</f>
        <v/>
      </c>
      <c r="AL668" s="11" t="str">
        <f>IFERROR(IF(MARÍTIMOS[[#This Row],[Etapa Ingreso - Salida]]="","",MARÍTIMOS[[#This Row],[Etapa Ingreso - Salida]]),"")</f>
        <v/>
      </c>
      <c r="AM668" s="2" t="str">
        <f>IFERROR(IF(MARÍTIMOS[[#This Row],[FCL]]="","",MARÍTIMOS[[#This Row],[FCL]]),"")</f>
        <v/>
      </c>
      <c r="AN6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8" s="4" t="str" cm="1">
        <f t="array" ref="AO6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8" s="5" t="str">
        <f>IFERROR(OLDBD[[#This Row],[Llegada a packing]]-OLDBD[[#This Row],[Inicio de Ruta]],"")</f>
        <v/>
      </c>
      <c r="AQ668" s="6" t="str">
        <f>IFERROR(OLDBD[[#This Row],[Inicio de Ruta]]-OLDBD[[#This Row],[Salida de almacén de retiro]],"")</f>
        <v/>
      </c>
      <c r="AR6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8" s="8" t="str" cm="1">
        <f t="array" ref="AS6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8" s="9" t="str">
        <f>IFERROR(OLDBD[[#This Row],[Ingreso Packing]]-OLDBD[[#This Row],[Registro en Packing]],"")</f>
        <v/>
      </c>
      <c r="AV668" s="9" t="str">
        <f>IFERROR(OLDBD[[#This Row],[Ingreso Packing]]-OLDBD[[#This Row],[Llegada a packing]],"")</f>
        <v/>
      </c>
      <c r="AW6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8" s="5" t="str">
        <f>IFERROR(OLDBD[[#This Row],[Llegada Almacén de Ingreso]]-OLDBD[[#This Row],[Salida Packing]],"")</f>
        <v/>
      </c>
      <c r="AY668" s="4" t="str" cm="1">
        <f t="array" ref="AY6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8" s="43" t="s">
        <v>173</v>
      </c>
      <c r="BB668" s="47" t="str">
        <f>IFERROR(IF(MARÍTIMOS[[#This Row],[Estatus]]="","",MARÍTIMOS[[#This Row],[Estatus]]),"")</f>
        <v/>
      </c>
      <c r="BC668" s="43"/>
      <c r="BD668" s="46" t="str">
        <f>IFERROR(OLDBD[[#This Row],[Salida de almacén de retiro]]-OLDBD[[#This Row],[Ingreso Almacén de retiro]],"")</f>
        <v/>
      </c>
      <c r="BE668" s="46" t="str">
        <f>IFERROR(OLDBD[[#This Row],[Fin de Carga]]-OLDBD[[#This Row],[Inicio de Carga]],"")</f>
        <v/>
      </c>
    </row>
    <row r="669" spans="1:57" customFormat="1" hidden="1">
      <c r="A669" s="1"/>
      <c r="B669" s="1" t="str">
        <f>IFERROR(IF(MARÍTIMOS[[#This Row],[PP]]="","",MARÍTIMOS[[#This Row],[PP]]),"")</f>
        <v/>
      </c>
      <c r="C669" s="1" t="str">
        <f>IFERROR(IF(MARÍTIMOS[[#This Row],[Sede]]="","",MARÍTIMOS[[#This Row],[Sede]]),"")</f>
        <v/>
      </c>
      <c r="D669" s="1" t="str">
        <f>IFERROR(IF(MARÍTIMOS[[#This Row],[Instruction]]="","",MARÍTIMOS[[#This Row],[Instruction]]),"")</f>
        <v/>
      </c>
      <c r="E669" s="1"/>
      <c r="F669" s="2" t="str">
        <f>IFERROR(IF(MARÍTIMOS[[#This Row],[Transportista]]="","",MARÍTIMOS[[#This Row],[Transportista]]),"")</f>
        <v/>
      </c>
      <c r="G669" s="2" t="str">
        <f>IFERROR(IF(MARÍTIMOS[[#This Row],[Tercero]]="","",MARÍTIMOS[[#This Row],[Tercero]]),"")</f>
        <v/>
      </c>
      <c r="H669" s="2" t="str">
        <f>IFERROR(IF(MARÍTIMOS[[#This Row],[Razón Social]]="","",MARÍTIMOS[[#This Row],[Razón Social]]),"")</f>
        <v/>
      </c>
      <c r="I669" s="2" t="str">
        <f>IFERROR(IF(MARÍTIMOS[[#This Row],[RUC]]="","",MARÍTIMOS[[#This Row],[RUC]]),"")</f>
        <v/>
      </c>
      <c r="J669" s="2" t="str">
        <f>IFERROR(IF(MARÍTIMOS[[#This Row],[Placa Tracto]]="","",MARÍTIMOS[[#This Row],[Placa Tracto]]),"")</f>
        <v/>
      </c>
      <c r="K669" s="2" t="str">
        <f>IFERROR(IF(MARÍTIMOS[[#This Row],[Placa Carreta]]="","",MARÍTIMOS[[#This Row],[Placa Carreta]]),"")</f>
        <v/>
      </c>
      <c r="L669" s="44" t="str">
        <f>IFERROR(IF(MARÍTIMOS[[#This Row],[Conductor]]="","",MARÍTIMOS[[#This Row],[Conductor]]),"")</f>
        <v/>
      </c>
      <c r="M669" s="2" t="str">
        <f>IFERROR(IF(MARÍTIMOS[[#This Row],[Licencia]]="","",MARÍTIMOS[[#This Row],[Licencia]]),"")</f>
        <v/>
      </c>
      <c r="N669" s="2" t="str">
        <f>IFERROR(IF(MARÍTIMOS[[#This Row],[Número de Contacto]]="","",MARÍTIMOS[[#This Row],[Número de Contacto]]),"")</f>
        <v/>
      </c>
      <c r="O669" s="10" t="str">
        <f>IFERROR(IF(MARÍTIMOS[[#This Row],[Booking|AWB|CRT]]="","",MARÍTIMOS[[#This Row],[Booking|AWB|CRT]]),"")</f>
        <v/>
      </c>
      <c r="P669" s="2" t="str">
        <f>IFERROR(IF(MARÍTIMOS[[#This Row],[Contenedor]]="","",MARÍTIMOS[[#This Row],[Contenedor]]),"")</f>
        <v/>
      </c>
      <c r="Q669" s="2" t="str">
        <f>IFERROR(IF(MARÍTIMOS[[#This Row],[Puerto de Retiro]]="","",MARÍTIMOS[[#This Row],[Puerto de Retiro]]),"")</f>
        <v/>
      </c>
      <c r="R669" s="2" t="str">
        <f>IFERROR(IF(MARÍTIMOS[[#This Row],[Almacén de Retiro]]="","",MARÍTIMOS[[#This Row],[Almacén de Retiro]]),"")</f>
        <v/>
      </c>
      <c r="S669" s="11" t="str">
        <f>IFERROR(IF(MARÍTIMOS[[#This Row],[Etapa Retiro - Cita]]="","",MARÍTIMOS[[#This Row],[Etapa Retiro - Cita]]),"")</f>
        <v/>
      </c>
      <c r="T669" s="11" t="str">
        <f>IFERROR(IF(MARÍTIMOS[[#This Row],[Etapa Retiro - Llegada]]="","",MARÍTIMOS[[#This Row],[Etapa Retiro - Llegada]]),"")</f>
        <v/>
      </c>
      <c r="U669" s="11" t="str">
        <f>IFERROR(IF(MARÍTIMOS[[#This Row],[Etapa Retiro - Ingreso]]="","",MARÍTIMOS[[#This Row],[Etapa Retiro - Ingreso]]),"")</f>
        <v/>
      </c>
      <c r="V669" s="11" t="str">
        <f>IFERROR(IF(MARÍTIMOS[[#This Row],[Etapa Retiro - Atención]]="","",MARÍTIMOS[[#This Row],[Etapa Retiro - Atención]]),"")</f>
        <v/>
      </c>
      <c r="W669" s="11" t="str">
        <f>IFERROR(IF(MARÍTIMOS[[#This Row],[Etapa Retiro - Atención]]="","",MARÍTIMOS[[#This Row],[Etapa Retiro - Atención]]),"")</f>
        <v/>
      </c>
      <c r="X669" s="11" t="str">
        <f>IFERROR(IF(MARÍTIMOS[[#This Row],[Etapa Retiro - Inicio de Ruta]]="","",MARÍTIMOS[[#This Row],[Etapa Retiro - Inicio de Ruta]]),"")</f>
        <v/>
      </c>
      <c r="Y669" s="11" t="str">
        <f>IFERROR(IF(MARÍTIMOS[[#This Row],[Hora de Posicionamiento]]="","",MARÍTIMOS[[#This Row],[Fecha de Carga]]+MARÍTIMOS[[#This Row],[Hora de Posicionamiento]]),"")</f>
        <v/>
      </c>
      <c r="Z669" s="11" t="str">
        <f>IFERROR(IF(MARÍTIMOS[[#This Row],[Etapa Despacho - Llegada]]="","",MARÍTIMOS[[#This Row],[Etapa Despacho - Llegada]]),"")</f>
        <v/>
      </c>
      <c r="AA669" s="11" t="str">
        <f>IFERROR(IF(MARÍTIMOS[[#This Row],[Etapa Despacho - Registro]]="","",MARÍTIMOS[[#This Row],[Etapa Despacho - Registro]]),"")</f>
        <v/>
      </c>
      <c r="AB669" s="11" t="str">
        <f>IFERROR(IF(MARÍTIMOS[[#This Row],[Inspección Externa]]="","",MARÍTIMOS[[#This Row],[Inspección Externa]]),"")</f>
        <v/>
      </c>
      <c r="AC669" s="11" t="str">
        <f>IFERROR(IF(MARÍTIMOS[[#This Row],[Etapa Despacho - Inicio de Carga]]="","",MARÍTIMOS[[#This Row],[Etapa Despacho - Inicio de Carga]]),"")</f>
        <v/>
      </c>
      <c r="AD669" s="11" t="str">
        <f>IFERROR(IF(MARÍTIMOS[[#This Row],[Etapa Despacho - Mitad de Carga]]="","",MARÍTIMOS[[#This Row],[Etapa Despacho - Mitad de Carga]]),"")</f>
        <v/>
      </c>
      <c r="AE669" s="11" t="str">
        <f>IFERROR(IF(MARÍTIMOS[[#This Row],[Etapa Despacho - Fin de Carga]]="","",MARÍTIMOS[[#This Row],[Etapa Despacho - Fin de Carga]]),"")</f>
        <v/>
      </c>
      <c r="AF669" s="2" t="str">
        <f>IFERROR(IF(MARÍTIMOS[[#This Row],[Puerto de Embarque]]="","",MARÍTIMOS[[#This Row],[Puerto de Embarque]]),"")</f>
        <v/>
      </c>
      <c r="AG669" s="2" t="str">
        <f>IFERROR(IF(MARÍTIMOS[[#This Row],[Almacén de Ingreso]]="","",MARÍTIMOS[[#This Row],[Almacén de Ingreso]]),"")</f>
        <v/>
      </c>
      <c r="AH669" s="11" t="str">
        <f>IFERROR(IF(MARÍTIMOS[[#This Row],[Etapa Ingreso - Cita]]="","",MARÍTIMOS[[#This Row],[Etapa Ingreso - Cita]]),"")</f>
        <v/>
      </c>
      <c r="AI669" s="11" t="str">
        <f>IFERROR(IF(MARÍTIMOS[[#This Row],[Etapa Ingreso - Llegada]]="","",MARÍTIMOS[[#This Row],[Etapa Ingreso - Llegada]]),"")</f>
        <v/>
      </c>
      <c r="AJ669" s="11" t="str">
        <f>IFERROR(IF(MARÍTIMOS[[#This Row],[Etapa Ingreso - Ingeso]]="","",MARÍTIMOS[[#This Row],[Etapa Ingreso - Ingeso]]),"")</f>
        <v/>
      </c>
      <c r="AK669" s="11" t="str">
        <f>IFERROR(IF(MARÍTIMOS[[#This Row],[Etapa Ingreso - Atención]]="","",MARÍTIMOS[[#This Row],[Etapa Ingreso - Atención]]),"")</f>
        <v/>
      </c>
      <c r="AL669" s="11" t="str">
        <f>IFERROR(IF(MARÍTIMOS[[#This Row],[Etapa Ingreso - Salida]]="","",MARÍTIMOS[[#This Row],[Etapa Ingreso - Salida]]),"")</f>
        <v/>
      </c>
      <c r="AM669" s="2" t="str">
        <f>IFERROR(IF(MARÍTIMOS[[#This Row],[FCL]]="","",MARÍTIMOS[[#This Row],[FCL]]),"")</f>
        <v/>
      </c>
      <c r="AN6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69" s="4" t="str" cm="1">
        <f t="array" ref="AO6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69" s="5" t="str">
        <f>IFERROR(OLDBD[[#This Row],[Llegada a packing]]-OLDBD[[#This Row],[Inicio de Ruta]],"")</f>
        <v/>
      </c>
      <c r="AQ669" s="6" t="str">
        <f>IFERROR(OLDBD[[#This Row],[Inicio de Ruta]]-OLDBD[[#This Row],[Salida de almacén de retiro]],"")</f>
        <v/>
      </c>
      <c r="AR6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69" s="8" t="str" cm="1">
        <f t="array" ref="AS6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69" s="9" t="str">
        <f>IFERROR(OLDBD[[#This Row],[Ingreso Packing]]-OLDBD[[#This Row],[Registro en Packing]],"")</f>
        <v/>
      </c>
      <c r="AV669" s="9" t="str">
        <f>IFERROR(OLDBD[[#This Row],[Ingreso Packing]]-OLDBD[[#This Row],[Llegada a packing]],"")</f>
        <v/>
      </c>
      <c r="AW6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69" s="5" t="str">
        <f>IFERROR(OLDBD[[#This Row],[Llegada Almacén de Ingreso]]-OLDBD[[#This Row],[Salida Packing]],"")</f>
        <v/>
      </c>
      <c r="AY669" s="4" t="str" cm="1">
        <f t="array" ref="AY6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69" s="43" t="s">
        <v>173</v>
      </c>
      <c r="BB669" s="47" t="str">
        <f>IFERROR(IF(MARÍTIMOS[[#This Row],[Estatus]]="","",MARÍTIMOS[[#This Row],[Estatus]]),"")</f>
        <v/>
      </c>
      <c r="BC669" s="43"/>
      <c r="BD669" s="46" t="str">
        <f>IFERROR(OLDBD[[#This Row],[Salida de almacén de retiro]]-OLDBD[[#This Row],[Ingreso Almacén de retiro]],"")</f>
        <v/>
      </c>
      <c r="BE669" s="46" t="str">
        <f>IFERROR(OLDBD[[#This Row],[Fin de Carga]]-OLDBD[[#This Row],[Inicio de Carga]],"")</f>
        <v/>
      </c>
    </row>
    <row r="670" spans="1:57" customFormat="1" hidden="1">
      <c r="A670" s="1"/>
      <c r="B670" s="1" t="str">
        <f>IFERROR(IF(MARÍTIMOS[[#This Row],[PP]]="","",MARÍTIMOS[[#This Row],[PP]]),"")</f>
        <v/>
      </c>
      <c r="C670" s="1" t="str">
        <f>IFERROR(IF(MARÍTIMOS[[#This Row],[Sede]]="","",MARÍTIMOS[[#This Row],[Sede]]),"")</f>
        <v/>
      </c>
      <c r="D670" s="1" t="str">
        <f>IFERROR(IF(MARÍTIMOS[[#This Row],[Instruction]]="","",MARÍTIMOS[[#This Row],[Instruction]]),"")</f>
        <v/>
      </c>
      <c r="E670" s="1"/>
      <c r="F670" s="2" t="str">
        <f>IFERROR(IF(MARÍTIMOS[[#This Row],[Transportista]]="","",MARÍTIMOS[[#This Row],[Transportista]]),"")</f>
        <v/>
      </c>
      <c r="G670" s="2" t="str">
        <f>IFERROR(IF(MARÍTIMOS[[#This Row],[Tercero]]="","",MARÍTIMOS[[#This Row],[Tercero]]),"")</f>
        <v/>
      </c>
      <c r="H670" s="2" t="str">
        <f>IFERROR(IF(MARÍTIMOS[[#This Row],[Razón Social]]="","",MARÍTIMOS[[#This Row],[Razón Social]]),"")</f>
        <v/>
      </c>
      <c r="I670" s="2" t="str">
        <f>IFERROR(IF(MARÍTIMOS[[#This Row],[RUC]]="","",MARÍTIMOS[[#This Row],[RUC]]),"")</f>
        <v/>
      </c>
      <c r="J670" s="2" t="str">
        <f>IFERROR(IF(MARÍTIMOS[[#This Row],[Placa Tracto]]="","",MARÍTIMOS[[#This Row],[Placa Tracto]]),"")</f>
        <v/>
      </c>
      <c r="K670" s="2" t="str">
        <f>IFERROR(IF(MARÍTIMOS[[#This Row],[Placa Carreta]]="","",MARÍTIMOS[[#This Row],[Placa Carreta]]),"")</f>
        <v/>
      </c>
      <c r="L670" s="44" t="str">
        <f>IFERROR(IF(MARÍTIMOS[[#This Row],[Conductor]]="","",MARÍTIMOS[[#This Row],[Conductor]]),"")</f>
        <v/>
      </c>
      <c r="M670" s="2" t="str">
        <f>IFERROR(IF(MARÍTIMOS[[#This Row],[Licencia]]="","",MARÍTIMOS[[#This Row],[Licencia]]),"")</f>
        <v/>
      </c>
      <c r="N670" s="2" t="str">
        <f>IFERROR(IF(MARÍTIMOS[[#This Row],[Número de Contacto]]="","",MARÍTIMOS[[#This Row],[Número de Contacto]]),"")</f>
        <v/>
      </c>
      <c r="O670" s="10" t="str">
        <f>IFERROR(IF(MARÍTIMOS[[#This Row],[Booking|AWB|CRT]]="","",MARÍTIMOS[[#This Row],[Booking|AWB|CRT]]),"")</f>
        <v/>
      </c>
      <c r="P670" s="2" t="str">
        <f>IFERROR(IF(MARÍTIMOS[[#This Row],[Contenedor]]="","",MARÍTIMOS[[#This Row],[Contenedor]]),"")</f>
        <v/>
      </c>
      <c r="Q670" s="2" t="str">
        <f>IFERROR(IF(MARÍTIMOS[[#This Row],[Puerto de Retiro]]="","",MARÍTIMOS[[#This Row],[Puerto de Retiro]]),"")</f>
        <v/>
      </c>
      <c r="R670" s="2" t="str">
        <f>IFERROR(IF(MARÍTIMOS[[#This Row],[Almacén de Retiro]]="","",MARÍTIMOS[[#This Row],[Almacén de Retiro]]),"")</f>
        <v/>
      </c>
      <c r="S670" s="11" t="str">
        <f>IFERROR(IF(MARÍTIMOS[[#This Row],[Etapa Retiro - Cita]]="","",MARÍTIMOS[[#This Row],[Etapa Retiro - Cita]]),"")</f>
        <v/>
      </c>
      <c r="T670" s="11" t="str">
        <f>IFERROR(IF(MARÍTIMOS[[#This Row],[Etapa Retiro - Llegada]]="","",MARÍTIMOS[[#This Row],[Etapa Retiro - Llegada]]),"")</f>
        <v/>
      </c>
      <c r="U670" s="11" t="str">
        <f>IFERROR(IF(MARÍTIMOS[[#This Row],[Etapa Retiro - Ingreso]]="","",MARÍTIMOS[[#This Row],[Etapa Retiro - Ingreso]]),"")</f>
        <v/>
      </c>
      <c r="V670" s="11" t="str">
        <f>IFERROR(IF(MARÍTIMOS[[#This Row],[Etapa Retiro - Atención]]="","",MARÍTIMOS[[#This Row],[Etapa Retiro - Atención]]),"")</f>
        <v/>
      </c>
      <c r="W670" s="11" t="str">
        <f>IFERROR(IF(MARÍTIMOS[[#This Row],[Etapa Retiro - Atención]]="","",MARÍTIMOS[[#This Row],[Etapa Retiro - Atención]]),"")</f>
        <v/>
      </c>
      <c r="X670" s="11" t="str">
        <f>IFERROR(IF(MARÍTIMOS[[#This Row],[Etapa Retiro - Inicio de Ruta]]="","",MARÍTIMOS[[#This Row],[Etapa Retiro - Inicio de Ruta]]),"")</f>
        <v/>
      </c>
      <c r="Y670" s="11" t="str">
        <f>IFERROR(IF(MARÍTIMOS[[#This Row],[Hora de Posicionamiento]]="","",MARÍTIMOS[[#This Row],[Fecha de Carga]]+MARÍTIMOS[[#This Row],[Hora de Posicionamiento]]),"")</f>
        <v/>
      </c>
      <c r="Z670" s="11" t="str">
        <f>IFERROR(IF(MARÍTIMOS[[#This Row],[Etapa Despacho - Llegada]]="","",MARÍTIMOS[[#This Row],[Etapa Despacho - Llegada]]),"")</f>
        <v/>
      </c>
      <c r="AA670" s="11" t="str">
        <f>IFERROR(IF(MARÍTIMOS[[#This Row],[Etapa Despacho - Registro]]="","",MARÍTIMOS[[#This Row],[Etapa Despacho - Registro]]),"")</f>
        <v/>
      </c>
      <c r="AB670" s="11" t="str">
        <f>IFERROR(IF(MARÍTIMOS[[#This Row],[Inspección Externa]]="","",MARÍTIMOS[[#This Row],[Inspección Externa]]),"")</f>
        <v/>
      </c>
      <c r="AC670" s="11" t="str">
        <f>IFERROR(IF(MARÍTIMOS[[#This Row],[Etapa Despacho - Inicio de Carga]]="","",MARÍTIMOS[[#This Row],[Etapa Despacho - Inicio de Carga]]),"")</f>
        <v/>
      </c>
      <c r="AD670" s="11" t="str">
        <f>IFERROR(IF(MARÍTIMOS[[#This Row],[Etapa Despacho - Mitad de Carga]]="","",MARÍTIMOS[[#This Row],[Etapa Despacho - Mitad de Carga]]),"")</f>
        <v/>
      </c>
      <c r="AE670" s="11" t="str">
        <f>IFERROR(IF(MARÍTIMOS[[#This Row],[Etapa Despacho - Fin de Carga]]="","",MARÍTIMOS[[#This Row],[Etapa Despacho - Fin de Carga]]),"")</f>
        <v/>
      </c>
      <c r="AF670" s="2" t="str">
        <f>IFERROR(IF(MARÍTIMOS[[#This Row],[Puerto de Embarque]]="","",MARÍTIMOS[[#This Row],[Puerto de Embarque]]),"")</f>
        <v/>
      </c>
      <c r="AG670" s="2" t="str">
        <f>IFERROR(IF(MARÍTIMOS[[#This Row],[Almacén de Ingreso]]="","",MARÍTIMOS[[#This Row],[Almacén de Ingreso]]),"")</f>
        <v/>
      </c>
      <c r="AH670" s="11" t="str">
        <f>IFERROR(IF(MARÍTIMOS[[#This Row],[Etapa Ingreso - Cita]]="","",MARÍTIMOS[[#This Row],[Etapa Ingreso - Cita]]),"")</f>
        <v/>
      </c>
      <c r="AI670" s="11" t="str">
        <f>IFERROR(IF(MARÍTIMOS[[#This Row],[Etapa Ingreso - Llegada]]="","",MARÍTIMOS[[#This Row],[Etapa Ingreso - Llegada]]),"")</f>
        <v/>
      </c>
      <c r="AJ670" s="11" t="str">
        <f>IFERROR(IF(MARÍTIMOS[[#This Row],[Etapa Ingreso - Ingeso]]="","",MARÍTIMOS[[#This Row],[Etapa Ingreso - Ingeso]]),"")</f>
        <v/>
      </c>
      <c r="AK670" s="11" t="str">
        <f>IFERROR(IF(MARÍTIMOS[[#This Row],[Etapa Ingreso - Atención]]="","",MARÍTIMOS[[#This Row],[Etapa Ingreso - Atención]]),"")</f>
        <v/>
      </c>
      <c r="AL670" s="11" t="str">
        <f>IFERROR(IF(MARÍTIMOS[[#This Row],[Etapa Ingreso - Salida]]="","",MARÍTIMOS[[#This Row],[Etapa Ingreso - Salida]]),"")</f>
        <v/>
      </c>
      <c r="AM670" s="2" t="str">
        <f>IFERROR(IF(MARÍTIMOS[[#This Row],[FCL]]="","",MARÍTIMOS[[#This Row],[FCL]]),"")</f>
        <v/>
      </c>
      <c r="AN6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0" s="4" t="str" cm="1">
        <f t="array" ref="AO6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0" s="5" t="str">
        <f>IFERROR(OLDBD[[#This Row],[Llegada a packing]]-OLDBD[[#This Row],[Inicio de Ruta]],"")</f>
        <v/>
      </c>
      <c r="AQ670" s="6" t="str">
        <f>IFERROR(OLDBD[[#This Row],[Inicio de Ruta]]-OLDBD[[#This Row],[Salida de almacén de retiro]],"")</f>
        <v/>
      </c>
      <c r="AR6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0" s="8" t="str" cm="1">
        <f t="array" ref="AS6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0" s="9" t="str">
        <f>IFERROR(OLDBD[[#This Row],[Ingreso Packing]]-OLDBD[[#This Row],[Registro en Packing]],"")</f>
        <v/>
      </c>
      <c r="AV670" s="9" t="str">
        <f>IFERROR(OLDBD[[#This Row],[Ingreso Packing]]-OLDBD[[#This Row],[Llegada a packing]],"")</f>
        <v/>
      </c>
      <c r="AW6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0" s="5" t="str">
        <f>IFERROR(OLDBD[[#This Row],[Llegada Almacén de Ingreso]]-OLDBD[[#This Row],[Salida Packing]],"")</f>
        <v/>
      </c>
      <c r="AY670" s="4" t="str" cm="1">
        <f t="array" ref="AY6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0" s="43" t="s">
        <v>173</v>
      </c>
      <c r="BB670" s="47" t="str">
        <f>IFERROR(IF(MARÍTIMOS[[#This Row],[Estatus]]="","",MARÍTIMOS[[#This Row],[Estatus]]),"")</f>
        <v/>
      </c>
      <c r="BC670" s="43"/>
      <c r="BD670" s="46" t="str">
        <f>IFERROR(OLDBD[[#This Row],[Salida de almacén de retiro]]-OLDBD[[#This Row],[Ingreso Almacén de retiro]],"")</f>
        <v/>
      </c>
      <c r="BE670" s="46" t="str">
        <f>IFERROR(OLDBD[[#This Row],[Fin de Carga]]-OLDBD[[#This Row],[Inicio de Carga]],"")</f>
        <v/>
      </c>
    </row>
    <row r="671" spans="1:57" customFormat="1" hidden="1">
      <c r="A671" s="1"/>
      <c r="B671" s="1" t="str">
        <f>IFERROR(IF(MARÍTIMOS[[#This Row],[PP]]="","",MARÍTIMOS[[#This Row],[PP]]),"")</f>
        <v/>
      </c>
      <c r="C671" s="1" t="str">
        <f>IFERROR(IF(MARÍTIMOS[[#This Row],[Sede]]="","",MARÍTIMOS[[#This Row],[Sede]]),"")</f>
        <v/>
      </c>
      <c r="D671" s="1" t="str">
        <f>IFERROR(IF(MARÍTIMOS[[#This Row],[Instruction]]="","",MARÍTIMOS[[#This Row],[Instruction]]),"")</f>
        <v/>
      </c>
      <c r="E671" s="1"/>
      <c r="F671" s="2" t="str">
        <f>IFERROR(IF(MARÍTIMOS[[#This Row],[Transportista]]="","",MARÍTIMOS[[#This Row],[Transportista]]),"")</f>
        <v/>
      </c>
      <c r="G671" s="2" t="str">
        <f>IFERROR(IF(MARÍTIMOS[[#This Row],[Tercero]]="","",MARÍTIMOS[[#This Row],[Tercero]]),"")</f>
        <v/>
      </c>
      <c r="H671" s="2" t="str">
        <f>IFERROR(IF(MARÍTIMOS[[#This Row],[Razón Social]]="","",MARÍTIMOS[[#This Row],[Razón Social]]),"")</f>
        <v/>
      </c>
      <c r="I671" s="2" t="str">
        <f>IFERROR(IF(MARÍTIMOS[[#This Row],[RUC]]="","",MARÍTIMOS[[#This Row],[RUC]]),"")</f>
        <v/>
      </c>
      <c r="J671" s="2" t="str">
        <f>IFERROR(IF(MARÍTIMOS[[#This Row],[Placa Tracto]]="","",MARÍTIMOS[[#This Row],[Placa Tracto]]),"")</f>
        <v/>
      </c>
      <c r="K671" s="2" t="str">
        <f>IFERROR(IF(MARÍTIMOS[[#This Row],[Placa Carreta]]="","",MARÍTIMOS[[#This Row],[Placa Carreta]]),"")</f>
        <v/>
      </c>
      <c r="L671" s="44" t="str">
        <f>IFERROR(IF(MARÍTIMOS[[#This Row],[Conductor]]="","",MARÍTIMOS[[#This Row],[Conductor]]),"")</f>
        <v/>
      </c>
      <c r="M671" s="2" t="str">
        <f>IFERROR(IF(MARÍTIMOS[[#This Row],[Licencia]]="","",MARÍTIMOS[[#This Row],[Licencia]]),"")</f>
        <v/>
      </c>
      <c r="N671" s="2" t="str">
        <f>IFERROR(IF(MARÍTIMOS[[#This Row],[Número de Contacto]]="","",MARÍTIMOS[[#This Row],[Número de Contacto]]),"")</f>
        <v/>
      </c>
      <c r="O671" s="10" t="str">
        <f>IFERROR(IF(MARÍTIMOS[[#This Row],[Booking|AWB|CRT]]="","",MARÍTIMOS[[#This Row],[Booking|AWB|CRT]]),"")</f>
        <v/>
      </c>
      <c r="P671" s="2" t="str">
        <f>IFERROR(IF(MARÍTIMOS[[#This Row],[Contenedor]]="","",MARÍTIMOS[[#This Row],[Contenedor]]),"")</f>
        <v/>
      </c>
      <c r="Q671" s="2" t="str">
        <f>IFERROR(IF(MARÍTIMOS[[#This Row],[Puerto de Retiro]]="","",MARÍTIMOS[[#This Row],[Puerto de Retiro]]),"")</f>
        <v/>
      </c>
      <c r="R671" s="2" t="str">
        <f>IFERROR(IF(MARÍTIMOS[[#This Row],[Almacén de Retiro]]="","",MARÍTIMOS[[#This Row],[Almacén de Retiro]]),"")</f>
        <v/>
      </c>
      <c r="S671" s="11" t="str">
        <f>IFERROR(IF(MARÍTIMOS[[#This Row],[Etapa Retiro - Cita]]="","",MARÍTIMOS[[#This Row],[Etapa Retiro - Cita]]),"")</f>
        <v/>
      </c>
      <c r="T671" s="11" t="str">
        <f>IFERROR(IF(MARÍTIMOS[[#This Row],[Etapa Retiro - Llegada]]="","",MARÍTIMOS[[#This Row],[Etapa Retiro - Llegada]]),"")</f>
        <v/>
      </c>
      <c r="U671" s="11" t="str">
        <f>IFERROR(IF(MARÍTIMOS[[#This Row],[Etapa Retiro - Ingreso]]="","",MARÍTIMOS[[#This Row],[Etapa Retiro - Ingreso]]),"")</f>
        <v/>
      </c>
      <c r="V671" s="11" t="str">
        <f>IFERROR(IF(MARÍTIMOS[[#This Row],[Etapa Retiro - Atención]]="","",MARÍTIMOS[[#This Row],[Etapa Retiro - Atención]]),"")</f>
        <v/>
      </c>
      <c r="W671" s="11" t="str">
        <f>IFERROR(IF(MARÍTIMOS[[#This Row],[Etapa Retiro - Atención]]="","",MARÍTIMOS[[#This Row],[Etapa Retiro - Atención]]),"")</f>
        <v/>
      </c>
      <c r="X671" s="11" t="str">
        <f>IFERROR(IF(MARÍTIMOS[[#This Row],[Etapa Retiro - Inicio de Ruta]]="","",MARÍTIMOS[[#This Row],[Etapa Retiro - Inicio de Ruta]]),"")</f>
        <v/>
      </c>
      <c r="Y671" s="11" t="str">
        <f>IFERROR(IF(MARÍTIMOS[[#This Row],[Hora de Posicionamiento]]="","",MARÍTIMOS[[#This Row],[Fecha de Carga]]+MARÍTIMOS[[#This Row],[Hora de Posicionamiento]]),"")</f>
        <v/>
      </c>
      <c r="Z671" s="11" t="str">
        <f>IFERROR(IF(MARÍTIMOS[[#This Row],[Etapa Despacho - Llegada]]="","",MARÍTIMOS[[#This Row],[Etapa Despacho - Llegada]]),"")</f>
        <v/>
      </c>
      <c r="AA671" s="11" t="str">
        <f>IFERROR(IF(MARÍTIMOS[[#This Row],[Etapa Despacho - Registro]]="","",MARÍTIMOS[[#This Row],[Etapa Despacho - Registro]]),"")</f>
        <v/>
      </c>
      <c r="AB671" s="11" t="str">
        <f>IFERROR(IF(MARÍTIMOS[[#This Row],[Inspección Externa]]="","",MARÍTIMOS[[#This Row],[Inspección Externa]]),"")</f>
        <v/>
      </c>
      <c r="AC671" s="11" t="str">
        <f>IFERROR(IF(MARÍTIMOS[[#This Row],[Etapa Despacho - Inicio de Carga]]="","",MARÍTIMOS[[#This Row],[Etapa Despacho - Inicio de Carga]]),"")</f>
        <v/>
      </c>
      <c r="AD671" s="11" t="str">
        <f>IFERROR(IF(MARÍTIMOS[[#This Row],[Etapa Despacho - Mitad de Carga]]="","",MARÍTIMOS[[#This Row],[Etapa Despacho - Mitad de Carga]]),"")</f>
        <v/>
      </c>
      <c r="AE671" s="11" t="str">
        <f>IFERROR(IF(MARÍTIMOS[[#This Row],[Etapa Despacho - Fin de Carga]]="","",MARÍTIMOS[[#This Row],[Etapa Despacho - Fin de Carga]]),"")</f>
        <v/>
      </c>
      <c r="AF671" s="2" t="str">
        <f>IFERROR(IF(MARÍTIMOS[[#This Row],[Puerto de Embarque]]="","",MARÍTIMOS[[#This Row],[Puerto de Embarque]]),"")</f>
        <v/>
      </c>
      <c r="AG671" s="2" t="str">
        <f>IFERROR(IF(MARÍTIMOS[[#This Row],[Almacén de Ingreso]]="","",MARÍTIMOS[[#This Row],[Almacén de Ingreso]]),"")</f>
        <v/>
      </c>
      <c r="AH671" s="11" t="str">
        <f>IFERROR(IF(MARÍTIMOS[[#This Row],[Etapa Ingreso - Cita]]="","",MARÍTIMOS[[#This Row],[Etapa Ingreso - Cita]]),"")</f>
        <v/>
      </c>
      <c r="AI671" s="11" t="str">
        <f>IFERROR(IF(MARÍTIMOS[[#This Row],[Etapa Ingreso - Llegada]]="","",MARÍTIMOS[[#This Row],[Etapa Ingreso - Llegada]]),"")</f>
        <v/>
      </c>
      <c r="AJ671" s="11" t="str">
        <f>IFERROR(IF(MARÍTIMOS[[#This Row],[Etapa Ingreso - Ingeso]]="","",MARÍTIMOS[[#This Row],[Etapa Ingreso - Ingeso]]),"")</f>
        <v/>
      </c>
      <c r="AK671" s="11" t="str">
        <f>IFERROR(IF(MARÍTIMOS[[#This Row],[Etapa Ingreso - Atención]]="","",MARÍTIMOS[[#This Row],[Etapa Ingreso - Atención]]),"")</f>
        <v/>
      </c>
      <c r="AL671" s="11" t="str">
        <f>IFERROR(IF(MARÍTIMOS[[#This Row],[Etapa Ingreso - Salida]]="","",MARÍTIMOS[[#This Row],[Etapa Ingreso - Salida]]),"")</f>
        <v/>
      </c>
      <c r="AM671" s="2" t="str">
        <f>IFERROR(IF(MARÍTIMOS[[#This Row],[FCL]]="","",MARÍTIMOS[[#This Row],[FCL]]),"")</f>
        <v/>
      </c>
      <c r="AN6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1" s="4" t="str" cm="1">
        <f t="array" ref="AO6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1" s="5" t="str">
        <f>IFERROR(OLDBD[[#This Row],[Llegada a packing]]-OLDBD[[#This Row],[Inicio de Ruta]],"")</f>
        <v/>
      </c>
      <c r="AQ671" s="6" t="str">
        <f>IFERROR(OLDBD[[#This Row],[Inicio de Ruta]]-OLDBD[[#This Row],[Salida de almacén de retiro]],"")</f>
        <v/>
      </c>
      <c r="AR6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1" s="8" t="str" cm="1">
        <f t="array" ref="AS6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1" s="9" t="str">
        <f>IFERROR(OLDBD[[#This Row],[Ingreso Packing]]-OLDBD[[#This Row],[Registro en Packing]],"")</f>
        <v/>
      </c>
      <c r="AV671" s="9" t="str">
        <f>IFERROR(OLDBD[[#This Row],[Ingreso Packing]]-OLDBD[[#This Row],[Llegada a packing]],"")</f>
        <v/>
      </c>
      <c r="AW6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1" s="5" t="str">
        <f>IFERROR(OLDBD[[#This Row],[Llegada Almacén de Ingreso]]-OLDBD[[#This Row],[Salida Packing]],"")</f>
        <v/>
      </c>
      <c r="AY671" s="4" t="str" cm="1">
        <f t="array" ref="AY6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1" s="43" t="s">
        <v>173</v>
      </c>
      <c r="BB671" s="47" t="str">
        <f>IFERROR(IF(MARÍTIMOS[[#This Row],[Estatus]]="","",MARÍTIMOS[[#This Row],[Estatus]]),"")</f>
        <v/>
      </c>
      <c r="BC671" s="43"/>
      <c r="BD671" s="46" t="str">
        <f>IFERROR(OLDBD[[#This Row],[Salida de almacén de retiro]]-OLDBD[[#This Row],[Ingreso Almacén de retiro]],"")</f>
        <v/>
      </c>
      <c r="BE671" s="46" t="str">
        <f>IFERROR(OLDBD[[#This Row],[Fin de Carga]]-OLDBD[[#This Row],[Inicio de Carga]],"")</f>
        <v/>
      </c>
    </row>
    <row r="672" spans="1:57" customFormat="1" hidden="1">
      <c r="A672" s="1"/>
      <c r="B672" s="1" t="str">
        <f>IFERROR(IF(MARÍTIMOS[[#This Row],[PP]]="","",MARÍTIMOS[[#This Row],[PP]]),"")</f>
        <v/>
      </c>
      <c r="C672" s="1" t="str">
        <f>IFERROR(IF(MARÍTIMOS[[#This Row],[Sede]]="","",MARÍTIMOS[[#This Row],[Sede]]),"")</f>
        <v/>
      </c>
      <c r="D672" s="1" t="str">
        <f>IFERROR(IF(MARÍTIMOS[[#This Row],[Instruction]]="","",MARÍTIMOS[[#This Row],[Instruction]]),"")</f>
        <v/>
      </c>
      <c r="E672" s="1"/>
      <c r="F672" s="2" t="str">
        <f>IFERROR(IF(MARÍTIMOS[[#This Row],[Transportista]]="","",MARÍTIMOS[[#This Row],[Transportista]]),"")</f>
        <v/>
      </c>
      <c r="G672" s="2" t="str">
        <f>IFERROR(IF(MARÍTIMOS[[#This Row],[Tercero]]="","",MARÍTIMOS[[#This Row],[Tercero]]),"")</f>
        <v/>
      </c>
      <c r="H672" s="2" t="str">
        <f>IFERROR(IF(MARÍTIMOS[[#This Row],[Razón Social]]="","",MARÍTIMOS[[#This Row],[Razón Social]]),"")</f>
        <v/>
      </c>
      <c r="I672" s="2" t="str">
        <f>IFERROR(IF(MARÍTIMOS[[#This Row],[RUC]]="","",MARÍTIMOS[[#This Row],[RUC]]),"")</f>
        <v/>
      </c>
      <c r="J672" s="2" t="str">
        <f>IFERROR(IF(MARÍTIMOS[[#This Row],[Placa Tracto]]="","",MARÍTIMOS[[#This Row],[Placa Tracto]]),"")</f>
        <v/>
      </c>
      <c r="K672" s="2" t="str">
        <f>IFERROR(IF(MARÍTIMOS[[#This Row],[Placa Carreta]]="","",MARÍTIMOS[[#This Row],[Placa Carreta]]),"")</f>
        <v/>
      </c>
      <c r="L672" s="44" t="str">
        <f>IFERROR(IF(MARÍTIMOS[[#This Row],[Conductor]]="","",MARÍTIMOS[[#This Row],[Conductor]]),"")</f>
        <v/>
      </c>
      <c r="M672" s="2" t="str">
        <f>IFERROR(IF(MARÍTIMOS[[#This Row],[Licencia]]="","",MARÍTIMOS[[#This Row],[Licencia]]),"")</f>
        <v/>
      </c>
      <c r="N672" s="2" t="str">
        <f>IFERROR(IF(MARÍTIMOS[[#This Row],[Número de Contacto]]="","",MARÍTIMOS[[#This Row],[Número de Contacto]]),"")</f>
        <v/>
      </c>
      <c r="O672" s="10" t="str">
        <f>IFERROR(IF(MARÍTIMOS[[#This Row],[Booking|AWB|CRT]]="","",MARÍTIMOS[[#This Row],[Booking|AWB|CRT]]),"")</f>
        <v/>
      </c>
      <c r="P672" s="2" t="str">
        <f>IFERROR(IF(MARÍTIMOS[[#This Row],[Contenedor]]="","",MARÍTIMOS[[#This Row],[Contenedor]]),"")</f>
        <v/>
      </c>
      <c r="Q672" s="2" t="str">
        <f>IFERROR(IF(MARÍTIMOS[[#This Row],[Puerto de Retiro]]="","",MARÍTIMOS[[#This Row],[Puerto de Retiro]]),"")</f>
        <v/>
      </c>
      <c r="R672" s="2" t="str">
        <f>IFERROR(IF(MARÍTIMOS[[#This Row],[Almacén de Retiro]]="","",MARÍTIMOS[[#This Row],[Almacén de Retiro]]),"")</f>
        <v/>
      </c>
      <c r="S672" s="11" t="str">
        <f>IFERROR(IF(MARÍTIMOS[[#This Row],[Etapa Retiro - Cita]]="","",MARÍTIMOS[[#This Row],[Etapa Retiro - Cita]]),"")</f>
        <v/>
      </c>
      <c r="T672" s="11" t="str">
        <f>IFERROR(IF(MARÍTIMOS[[#This Row],[Etapa Retiro - Llegada]]="","",MARÍTIMOS[[#This Row],[Etapa Retiro - Llegada]]),"")</f>
        <v/>
      </c>
      <c r="U672" s="11" t="str">
        <f>IFERROR(IF(MARÍTIMOS[[#This Row],[Etapa Retiro - Ingreso]]="","",MARÍTIMOS[[#This Row],[Etapa Retiro - Ingreso]]),"")</f>
        <v/>
      </c>
      <c r="V672" s="11" t="str">
        <f>IFERROR(IF(MARÍTIMOS[[#This Row],[Etapa Retiro - Atención]]="","",MARÍTIMOS[[#This Row],[Etapa Retiro - Atención]]),"")</f>
        <v/>
      </c>
      <c r="W672" s="11" t="str">
        <f>IFERROR(IF(MARÍTIMOS[[#This Row],[Etapa Retiro - Atención]]="","",MARÍTIMOS[[#This Row],[Etapa Retiro - Atención]]),"")</f>
        <v/>
      </c>
      <c r="X672" s="11" t="str">
        <f>IFERROR(IF(MARÍTIMOS[[#This Row],[Etapa Retiro - Inicio de Ruta]]="","",MARÍTIMOS[[#This Row],[Etapa Retiro - Inicio de Ruta]]),"")</f>
        <v/>
      </c>
      <c r="Y672" s="11" t="str">
        <f>IFERROR(IF(MARÍTIMOS[[#This Row],[Hora de Posicionamiento]]="","",MARÍTIMOS[[#This Row],[Fecha de Carga]]+MARÍTIMOS[[#This Row],[Hora de Posicionamiento]]),"")</f>
        <v/>
      </c>
      <c r="Z672" s="11" t="str">
        <f>IFERROR(IF(MARÍTIMOS[[#This Row],[Etapa Despacho - Llegada]]="","",MARÍTIMOS[[#This Row],[Etapa Despacho - Llegada]]),"")</f>
        <v/>
      </c>
      <c r="AA672" s="11" t="str">
        <f>IFERROR(IF(MARÍTIMOS[[#This Row],[Etapa Despacho - Registro]]="","",MARÍTIMOS[[#This Row],[Etapa Despacho - Registro]]),"")</f>
        <v/>
      </c>
      <c r="AB672" s="11" t="str">
        <f>IFERROR(IF(MARÍTIMOS[[#This Row],[Inspección Externa]]="","",MARÍTIMOS[[#This Row],[Inspección Externa]]),"")</f>
        <v/>
      </c>
      <c r="AC672" s="11" t="str">
        <f>IFERROR(IF(MARÍTIMOS[[#This Row],[Etapa Despacho - Inicio de Carga]]="","",MARÍTIMOS[[#This Row],[Etapa Despacho - Inicio de Carga]]),"")</f>
        <v/>
      </c>
      <c r="AD672" s="11" t="str">
        <f>IFERROR(IF(MARÍTIMOS[[#This Row],[Etapa Despacho - Mitad de Carga]]="","",MARÍTIMOS[[#This Row],[Etapa Despacho - Mitad de Carga]]),"")</f>
        <v/>
      </c>
      <c r="AE672" s="11" t="str">
        <f>IFERROR(IF(MARÍTIMOS[[#This Row],[Etapa Despacho - Fin de Carga]]="","",MARÍTIMOS[[#This Row],[Etapa Despacho - Fin de Carga]]),"")</f>
        <v/>
      </c>
      <c r="AF672" s="2" t="str">
        <f>IFERROR(IF(MARÍTIMOS[[#This Row],[Puerto de Embarque]]="","",MARÍTIMOS[[#This Row],[Puerto de Embarque]]),"")</f>
        <v/>
      </c>
      <c r="AG672" s="2" t="str">
        <f>IFERROR(IF(MARÍTIMOS[[#This Row],[Almacén de Ingreso]]="","",MARÍTIMOS[[#This Row],[Almacén de Ingreso]]),"")</f>
        <v/>
      </c>
      <c r="AH672" s="11" t="str">
        <f>IFERROR(IF(MARÍTIMOS[[#This Row],[Etapa Ingreso - Cita]]="","",MARÍTIMOS[[#This Row],[Etapa Ingreso - Cita]]),"")</f>
        <v/>
      </c>
      <c r="AI672" s="11" t="str">
        <f>IFERROR(IF(MARÍTIMOS[[#This Row],[Etapa Ingreso - Llegada]]="","",MARÍTIMOS[[#This Row],[Etapa Ingreso - Llegada]]),"")</f>
        <v/>
      </c>
      <c r="AJ672" s="11" t="str">
        <f>IFERROR(IF(MARÍTIMOS[[#This Row],[Etapa Ingreso - Ingeso]]="","",MARÍTIMOS[[#This Row],[Etapa Ingreso - Ingeso]]),"")</f>
        <v/>
      </c>
      <c r="AK672" s="11" t="str">
        <f>IFERROR(IF(MARÍTIMOS[[#This Row],[Etapa Ingreso - Atención]]="","",MARÍTIMOS[[#This Row],[Etapa Ingreso - Atención]]),"")</f>
        <v/>
      </c>
      <c r="AL672" s="11" t="str">
        <f>IFERROR(IF(MARÍTIMOS[[#This Row],[Etapa Ingreso - Salida]]="","",MARÍTIMOS[[#This Row],[Etapa Ingreso - Salida]]),"")</f>
        <v/>
      </c>
      <c r="AM672" s="2" t="str">
        <f>IFERROR(IF(MARÍTIMOS[[#This Row],[FCL]]="","",MARÍTIMOS[[#This Row],[FCL]]),"")</f>
        <v/>
      </c>
      <c r="AN6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2" s="4" t="str" cm="1">
        <f t="array" ref="AO6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2" s="5" t="str">
        <f>IFERROR(OLDBD[[#This Row],[Llegada a packing]]-OLDBD[[#This Row],[Inicio de Ruta]],"")</f>
        <v/>
      </c>
      <c r="AQ672" s="6" t="str">
        <f>IFERROR(OLDBD[[#This Row],[Inicio de Ruta]]-OLDBD[[#This Row],[Salida de almacén de retiro]],"")</f>
        <v/>
      </c>
      <c r="AR6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2" s="8" t="str" cm="1">
        <f t="array" ref="AS6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2" s="9" t="str">
        <f>IFERROR(OLDBD[[#This Row],[Ingreso Packing]]-OLDBD[[#This Row],[Registro en Packing]],"")</f>
        <v/>
      </c>
      <c r="AV672" s="9" t="str">
        <f>IFERROR(OLDBD[[#This Row],[Ingreso Packing]]-OLDBD[[#This Row],[Llegada a packing]],"")</f>
        <v/>
      </c>
      <c r="AW6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2" s="5" t="str">
        <f>IFERROR(OLDBD[[#This Row],[Llegada Almacén de Ingreso]]-OLDBD[[#This Row],[Salida Packing]],"")</f>
        <v/>
      </c>
      <c r="AY672" s="4" t="str" cm="1">
        <f t="array" ref="AY6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2" s="43" t="s">
        <v>173</v>
      </c>
      <c r="BB672" s="47" t="str">
        <f>IFERROR(IF(MARÍTIMOS[[#This Row],[Estatus]]="","",MARÍTIMOS[[#This Row],[Estatus]]),"")</f>
        <v/>
      </c>
      <c r="BC672" s="43"/>
      <c r="BD672" s="46" t="str">
        <f>IFERROR(OLDBD[[#This Row],[Salida de almacén de retiro]]-OLDBD[[#This Row],[Ingreso Almacén de retiro]],"")</f>
        <v/>
      </c>
      <c r="BE672" s="46" t="str">
        <f>IFERROR(OLDBD[[#This Row],[Fin de Carga]]-OLDBD[[#This Row],[Inicio de Carga]],"")</f>
        <v/>
      </c>
    </row>
    <row r="673" spans="1:57" customFormat="1" hidden="1">
      <c r="A673" s="1"/>
      <c r="B673" s="1" t="str">
        <f>IFERROR(IF(MARÍTIMOS[[#This Row],[PP]]="","",MARÍTIMOS[[#This Row],[PP]]),"")</f>
        <v/>
      </c>
      <c r="C673" s="1" t="str">
        <f>IFERROR(IF(MARÍTIMOS[[#This Row],[Sede]]="","",MARÍTIMOS[[#This Row],[Sede]]),"")</f>
        <v/>
      </c>
      <c r="D673" s="1" t="str">
        <f>IFERROR(IF(MARÍTIMOS[[#This Row],[Instruction]]="","",MARÍTIMOS[[#This Row],[Instruction]]),"")</f>
        <v/>
      </c>
      <c r="E673" s="1"/>
      <c r="F673" s="2" t="str">
        <f>IFERROR(IF(MARÍTIMOS[[#This Row],[Transportista]]="","",MARÍTIMOS[[#This Row],[Transportista]]),"")</f>
        <v/>
      </c>
      <c r="G673" s="2" t="str">
        <f>IFERROR(IF(MARÍTIMOS[[#This Row],[Tercero]]="","",MARÍTIMOS[[#This Row],[Tercero]]),"")</f>
        <v/>
      </c>
      <c r="H673" s="2" t="str">
        <f>IFERROR(IF(MARÍTIMOS[[#This Row],[Razón Social]]="","",MARÍTIMOS[[#This Row],[Razón Social]]),"")</f>
        <v/>
      </c>
      <c r="I673" s="2" t="str">
        <f>IFERROR(IF(MARÍTIMOS[[#This Row],[RUC]]="","",MARÍTIMOS[[#This Row],[RUC]]),"")</f>
        <v/>
      </c>
      <c r="J673" s="2" t="str">
        <f>IFERROR(IF(MARÍTIMOS[[#This Row],[Placa Tracto]]="","",MARÍTIMOS[[#This Row],[Placa Tracto]]),"")</f>
        <v/>
      </c>
      <c r="K673" s="2" t="str">
        <f>IFERROR(IF(MARÍTIMOS[[#This Row],[Placa Carreta]]="","",MARÍTIMOS[[#This Row],[Placa Carreta]]),"")</f>
        <v/>
      </c>
      <c r="L673" s="44" t="str">
        <f>IFERROR(IF(MARÍTIMOS[[#This Row],[Conductor]]="","",MARÍTIMOS[[#This Row],[Conductor]]),"")</f>
        <v/>
      </c>
      <c r="M673" s="2" t="str">
        <f>IFERROR(IF(MARÍTIMOS[[#This Row],[Licencia]]="","",MARÍTIMOS[[#This Row],[Licencia]]),"")</f>
        <v/>
      </c>
      <c r="N673" s="2" t="str">
        <f>IFERROR(IF(MARÍTIMOS[[#This Row],[Número de Contacto]]="","",MARÍTIMOS[[#This Row],[Número de Contacto]]),"")</f>
        <v/>
      </c>
      <c r="O673" s="10" t="str">
        <f>IFERROR(IF(MARÍTIMOS[[#This Row],[Booking|AWB|CRT]]="","",MARÍTIMOS[[#This Row],[Booking|AWB|CRT]]),"")</f>
        <v/>
      </c>
      <c r="P673" s="2" t="str">
        <f>IFERROR(IF(MARÍTIMOS[[#This Row],[Contenedor]]="","",MARÍTIMOS[[#This Row],[Contenedor]]),"")</f>
        <v/>
      </c>
      <c r="Q673" s="2" t="str">
        <f>IFERROR(IF(MARÍTIMOS[[#This Row],[Puerto de Retiro]]="","",MARÍTIMOS[[#This Row],[Puerto de Retiro]]),"")</f>
        <v/>
      </c>
      <c r="R673" s="2" t="str">
        <f>IFERROR(IF(MARÍTIMOS[[#This Row],[Almacén de Retiro]]="","",MARÍTIMOS[[#This Row],[Almacén de Retiro]]),"")</f>
        <v/>
      </c>
      <c r="S673" s="11" t="str">
        <f>IFERROR(IF(MARÍTIMOS[[#This Row],[Etapa Retiro - Cita]]="","",MARÍTIMOS[[#This Row],[Etapa Retiro - Cita]]),"")</f>
        <v/>
      </c>
      <c r="T673" s="11" t="str">
        <f>IFERROR(IF(MARÍTIMOS[[#This Row],[Etapa Retiro - Llegada]]="","",MARÍTIMOS[[#This Row],[Etapa Retiro - Llegada]]),"")</f>
        <v/>
      </c>
      <c r="U673" s="11" t="str">
        <f>IFERROR(IF(MARÍTIMOS[[#This Row],[Etapa Retiro - Ingreso]]="","",MARÍTIMOS[[#This Row],[Etapa Retiro - Ingreso]]),"")</f>
        <v/>
      </c>
      <c r="V673" s="11" t="str">
        <f>IFERROR(IF(MARÍTIMOS[[#This Row],[Etapa Retiro - Atención]]="","",MARÍTIMOS[[#This Row],[Etapa Retiro - Atención]]),"")</f>
        <v/>
      </c>
      <c r="W673" s="11" t="str">
        <f>IFERROR(IF(MARÍTIMOS[[#This Row],[Etapa Retiro - Atención]]="","",MARÍTIMOS[[#This Row],[Etapa Retiro - Atención]]),"")</f>
        <v/>
      </c>
      <c r="X673" s="11" t="str">
        <f>IFERROR(IF(MARÍTIMOS[[#This Row],[Etapa Retiro - Inicio de Ruta]]="","",MARÍTIMOS[[#This Row],[Etapa Retiro - Inicio de Ruta]]),"")</f>
        <v/>
      </c>
      <c r="Y673" s="11" t="str">
        <f>IFERROR(IF(MARÍTIMOS[[#This Row],[Hora de Posicionamiento]]="","",MARÍTIMOS[[#This Row],[Fecha de Carga]]+MARÍTIMOS[[#This Row],[Hora de Posicionamiento]]),"")</f>
        <v/>
      </c>
      <c r="Z673" s="11" t="str">
        <f>IFERROR(IF(MARÍTIMOS[[#This Row],[Etapa Despacho - Llegada]]="","",MARÍTIMOS[[#This Row],[Etapa Despacho - Llegada]]),"")</f>
        <v/>
      </c>
      <c r="AA673" s="11" t="str">
        <f>IFERROR(IF(MARÍTIMOS[[#This Row],[Etapa Despacho - Registro]]="","",MARÍTIMOS[[#This Row],[Etapa Despacho - Registro]]),"")</f>
        <v/>
      </c>
      <c r="AB673" s="11" t="str">
        <f>IFERROR(IF(MARÍTIMOS[[#This Row],[Inspección Externa]]="","",MARÍTIMOS[[#This Row],[Inspección Externa]]),"")</f>
        <v/>
      </c>
      <c r="AC673" s="11" t="str">
        <f>IFERROR(IF(MARÍTIMOS[[#This Row],[Etapa Despacho - Inicio de Carga]]="","",MARÍTIMOS[[#This Row],[Etapa Despacho - Inicio de Carga]]),"")</f>
        <v/>
      </c>
      <c r="AD673" s="11" t="str">
        <f>IFERROR(IF(MARÍTIMOS[[#This Row],[Etapa Despacho - Mitad de Carga]]="","",MARÍTIMOS[[#This Row],[Etapa Despacho - Mitad de Carga]]),"")</f>
        <v/>
      </c>
      <c r="AE673" s="11" t="str">
        <f>IFERROR(IF(MARÍTIMOS[[#This Row],[Etapa Despacho - Fin de Carga]]="","",MARÍTIMOS[[#This Row],[Etapa Despacho - Fin de Carga]]),"")</f>
        <v/>
      </c>
      <c r="AF673" s="2" t="str">
        <f>IFERROR(IF(MARÍTIMOS[[#This Row],[Puerto de Embarque]]="","",MARÍTIMOS[[#This Row],[Puerto de Embarque]]),"")</f>
        <v/>
      </c>
      <c r="AG673" s="2" t="str">
        <f>IFERROR(IF(MARÍTIMOS[[#This Row],[Almacén de Ingreso]]="","",MARÍTIMOS[[#This Row],[Almacén de Ingreso]]),"")</f>
        <v/>
      </c>
      <c r="AH673" s="11" t="str">
        <f>IFERROR(IF(MARÍTIMOS[[#This Row],[Etapa Ingreso - Cita]]="","",MARÍTIMOS[[#This Row],[Etapa Ingreso - Cita]]),"")</f>
        <v/>
      </c>
      <c r="AI673" s="11" t="str">
        <f>IFERROR(IF(MARÍTIMOS[[#This Row],[Etapa Ingreso - Llegada]]="","",MARÍTIMOS[[#This Row],[Etapa Ingreso - Llegada]]),"")</f>
        <v/>
      </c>
      <c r="AJ673" s="11" t="str">
        <f>IFERROR(IF(MARÍTIMOS[[#This Row],[Etapa Ingreso - Ingeso]]="","",MARÍTIMOS[[#This Row],[Etapa Ingreso - Ingeso]]),"")</f>
        <v/>
      </c>
      <c r="AK673" s="11" t="str">
        <f>IFERROR(IF(MARÍTIMOS[[#This Row],[Etapa Ingreso - Atención]]="","",MARÍTIMOS[[#This Row],[Etapa Ingreso - Atención]]),"")</f>
        <v/>
      </c>
      <c r="AL673" s="11" t="str">
        <f>IFERROR(IF(MARÍTIMOS[[#This Row],[Etapa Ingreso - Salida]]="","",MARÍTIMOS[[#This Row],[Etapa Ingreso - Salida]]),"")</f>
        <v/>
      </c>
      <c r="AM673" s="2" t="str">
        <f>IFERROR(IF(MARÍTIMOS[[#This Row],[FCL]]="","",MARÍTIMOS[[#This Row],[FCL]]),"")</f>
        <v/>
      </c>
      <c r="AN6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3" s="4" t="str" cm="1">
        <f t="array" ref="AO6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3" s="5" t="str">
        <f>IFERROR(OLDBD[[#This Row],[Llegada a packing]]-OLDBD[[#This Row],[Inicio de Ruta]],"")</f>
        <v/>
      </c>
      <c r="AQ673" s="6" t="str">
        <f>IFERROR(OLDBD[[#This Row],[Inicio de Ruta]]-OLDBD[[#This Row],[Salida de almacén de retiro]],"")</f>
        <v/>
      </c>
      <c r="AR6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3" s="8" t="str" cm="1">
        <f t="array" ref="AS6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3" s="9" t="str">
        <f>IFERROR(OLDBD[[#This Row],[Ingreso Packing]]-OLDBD[[#This Row],[Registro en Packing]],"")</f>
        <v/>
      </c>
      <c r="AV673" s="9" t="str">
        <f>IFERROR(OLDBD[[#This Row],[Ingreso Packing]]-OLDBD[[#This Row],[Llegada a packing]],"")</f>
        <v/>
      </c>
      <c r="AW6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3" s="5" t="str">
        <f>IFERROR(OLDBD[[#This Row],[Llegada Almacén de Ingreso]]-OLDBD[[#This Row],[Salida Packing]],"")</f>
        <v/>
      </c>
      <c r="AY673" s="4" t="str" cm="1">
        <f t="array" ref="AY6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3" s="43" t="s">
        <v>173</v>
      </c>
      <c r="BB673" s="47" t="str">
        <f>IFERROR(IF(MARÍTIMOS[[#This Row],[Estatus]]="","",MARÍTIMOS[[#This Row],[Estatus]]),"")</f>
        <v/>
      </c>
      <c r="BC673" s="43"/>
      <c r="BD673" s="46" t="str">
        <f>IFERROR(OLDBD[[#This Row],[Salida de almacén de retiro]]-OLDBD[[#This Row],[Ingreso Almacén de retiro]],"")</f>
        <v/>
      </c>
      <c r="BE673" s="46" t="str">
        <f>IFERROR(OLDBD[[#This Row],[Fin de Carga]]-OLDBD[[#This Row],[Inicio de Carga]],"")</f>
        <v/>
      </c>
    </row>
    <row r="674" spans="1:57" customFormat="1" hidden="1">
      <c r="A674" s="1"/>
      <c r="B674" s="1" t="str">
        <f>IFERROR(IF(MARÍTIMOS[[#This Row],[PP]]="","",MARÍTIMOS[[#This Row],[PP]]),"")</f>
        <v/>
      </c>
      <c r="C674" s="1" t="str">
        <f>IFERROR(IF(MARÍTIMOS[[#This Row],[Sede]]="","",MARÍTIMOS[[#This Row],[Sede]]),"")</f>
        <v/>
      </c>
      <c r="D674" s="1" t="str">
        <f>IFERROR(IF(MARÍTIMOS[[#This Row],[Instruction]]="","",MARÍTIMOS[[#This Row],[Instruction]]),"")</f>
        <v/>
      </c>
      <c r="E674" s="1"/>
      <c r="F674" s="2" t="str">
        <f>IFERROR(IF(MARÍTIMOS[[#This Row],[Transportista]]="","",MARÍTIMOS[[#This Row],[Transportista]]),"")</f>
        <v/>
      </c>
      <c r="G674" s="2" t="str">
        <f>IFERROR(IF(MARÍTIMOS[[#This Row],[Tercero]]="","",MARÍTIMOS[[#This Row],[Tercero]]),"")</f>
        <v/>
      </c>
      <c r="H674" s="2" t="str">
        <f>IFERROR(IF(MARÍTIMOS[[#This Row],[Razón Social]]="","",MARÍTIMOS[[#This Row],[Razón Social]]),"")</f>
        <v/>
      </c>
      <c r="I674" s="2" t="str">
        <f>IFERROR(IF(MARÍTIMOS[[#This Row],[RUC]]="","",MARÍTIMOS[[#This Row],[RUC]]),"")</f>
        <v/>
      </c>
      <c r="J674" s="2" t="str">
        <f>IFERROR(IF(MARÍTIMOS[[#This Row],[Placa Tracto]]="","",MARÍTIMOS[[#This Row],[Placa Tracto]]),"")</f>
        <v/>
      </c>
      <c r="K674" s="2" t="str">
        <f>IFERROR(IF(MARÍTIMOS[[#This Row],[Placa Carreta]]="","",MARÍTIMOS[[#This Row],[Placa Carreta]]),"")</f>
        <v/>
      </c>
      <c r="L674" s="44" t="str">
        <f>IFERROR(IF(MARÍTIMOS[[#This Row],[Conductor]]="","",MARÍTIMOS[[#This Row],[Conductor]]),"")</f>
        <v/>
      </c>
      <c r="M674" s="2" t="str">
        <f>IFERROR(IF(MARÍTIMOS[[#This Row],[Licencia]]="","",MARÍTIMOS[[#This Row],[Licencia]]),"")</f>
        <v/>
      </c>
      <c r="N674" s="2" t="str">
        <f>IFERROR(IF(MARÍTIMOS[[#This Row],[Número de Contacto]]="","",MARÍTIMOS[[#This Row],[Número de Contacto]]),"")</f>
        <v/>
      </c>
      <c r="O674" s="10" t="str">
        <f>IFERROR(IF(MARÍTIMOS[[#This Row],[Booking|AWB|CRT]]="","",MARÍTIMOS[[#This Row],[Booking|AWB|CRT]]),"")</f>
        <v/>
      </c>
      <c r="P674" s="2" t="str">
        <f>IFERROR(IF(MARÍTIMOS[[#This Row],[Contenedor]]="","",MARÍTIMOS[[#This Row],[Contenedor]]),"")</f>
        <v/>
      </c>
      <c r="Q674" s="2" t="str">
        <f>IFERROR(IF(MARÍTIMOS[[#This Row],[Puerto de Retiro]]="","",MARÍTIMOS[[#This Row],[Puerto de Retiro]]),"")</f>
        <v/>
      </c>
      <c r="R674" s="2" t="str">
        <f>IFERROR(IF(MARÍTIMOS[[#This Row],[Almacén de Retiro]]="","",MARÍTIMOS[[#This Row],[Almacén de Retiro]]),"")</f>
        <v/>
      </c>
      <c r="S674" s="11" t="str">
        <f>IFERROR(IF(MARÍTIMOS[[#This Row],[Etapa Retiro - Cita]]="","",MARÍTIMOS[[#This Row],[Etapa Retiro - Cita]]),"")</f>
        <v/>
      </c>
      <c r="T674" s="11" t="str">
        <f>IFERROR(IF(MARÍTIMOS[[#This Row],[Etapa Retiro - Llegada]]="","",MARÍTIMOS[[#This Row],[Etapa Retiro - Llegada]]),"")</f>
        <v/>
      </c>
      <c r="U674" s="11" t="str">
        <f>IFERROR(IF(MARÍTIMOS[[#This Row],[Etapa Retiro - Ingreso]]="","",MARÍTIMOS[[#This Row],[Etapa Retiro - Ingreso]]),"")</f>
        <v/>
      </c>
      <c r="V674" s="11" t="str">
        <f>IFERROR(IF(MARÍTIMOS[[#This Row],[Etapa Retiro - Atención]]="","",MARÍTIMOS[[#This Row],[Etapa Retiro - Atención]]),"")</f>
        <v/>
      </c>
      <c r="W674" s="11" t="str">
        <f>IFERROR(IF(MARÍTIMOS[[#This Row],[Etapa Retiro - Atención]]="","",MARÍTIMOS[[#This Row],[Etapa Retiro - Atención]]),"")</f>
        <v/>
      </c>
      <c r="X674" s="11" t="str">
        <f>IFERROR(IF(MARÍTIMOS[[#This Row],[Etapa Retiro - Inicio de Ruta]]="","",MARÍTIMOS[[#This Row],[Etapa Retiro - Inicio de Ruta]]),"")</f>
        <v/>
      </c>
      <c r="Y674" s="11" t="str">
        <f>IFERROR(IF(MARÍTIMOS[[#This Row],[Hora de Posicionamiento]]="","",MARÍTIMOS[[#This Row],[Fecha de Carga]]+MARÍTIMOS[[#This Row],[Hora de Posicionamiento]]),"")</f>
        <v/>
      </c>
      <c r="Z674" s="11" t="str">
        <f>IFERROR(IF(MARÍTIMOS[[#This Row],[Etapa Despacho - Llegada]]="","",MARÍTIMOS[[#This Row],[Etapa Despacho - Llegada]]),"")</f>
        <v/>
      </c>
      <c r="AA674" s="11" t="str">
        <f>IFERROR(IF(MARÍTIMOS[[#This Row],[Etapa Despacho - Registro]]="","",MARÍTIMOS[[#This Row],[Etapa Despacho - Registro]]),"")</f>
        <v/>
      </c>
      <c r="AB674" s="11" t="str">
        <f>IFERROR(IF(MARÍTIMOS[[#This Row],[Inspección Externa]]="","",MARÍTIMOS[[#This Row],[Inspección Externa]]),"")</f>
        <v/>
      </c>
      <c r="AC674" s="11" t="str">
        <f>IFERROR(IF(MARÍTIMOS[[#This Row],[Etapa Despacho - Inicio de Carga]]="","",MARÍTIMOS[[#This Row],[Etapa Despacho - Inicio de Carga]]),"")</f>
        <v/>
      </c>
      <c r="AD674" s="11" t="str">
        <f>IFERROR(IF(MARÍTIMOS[[#This Row],[Etapa Despacho - Mitad de Carga]]="","",MARÍTIMOS[[#This Row],[Etapa Despacho - Mitad de Carga]]),"")</f>
        <v/>
      </c>
      <c r="AE674" s="11" t="str">
        <f>IFERROR(IF(MARÍTIMOS[[#This Row],[Etapa Despacho - Fin de Carga]]="","",MARÍTIMOS[[#This Row],[Etapa Despacho - Fin de Carga]]),"")</f>
        <v/>
      </c>
      <c r="AF674" s="2" t="str">
        <f>IFERROR(IF(MARÍTIMOS[[#This Row],[Puerto de Embarque]]="","",MARÍTIMOS[[#This Row],[Puerto de Embarque]]),"")</f>
        <v/>
      </c>
      <c r="AG674" s="2" t="str">
        <f>IFERROR(IF(MARÍTIMOS[[#This Row],[Almacén de Ingreso]]="","",MARÍTIMOS[[#This Row],[Almacén de Ingreso]]),"")</f>
        <v/>
      </c>
      <c r="AH674" s="11" t="str">
        <f>IFERROR(IF(MARÍTIMOS[[#This Row],[Etapa Ingreso - Cita]]="","",MARÍTIMOS[[#This Row],[Etapa Ingreso - Cita]]),"")</f>
        <v/>
      </c>
      <c r="AI674" s="11" t="str">
        <f>IFERROR(IF(MARÍTIMOS[[#This Row],[Etapa Ingreso - Llegada]]="","",MARÍTIMOS[[#This Row],[Etapa Ingreso - Llegada]]),"")</f>
        <v/>
      </c>
      <c r="AJ674" s="11" t="str">
        <f>IFERROR(IF(MARÍTIMOS[[#This Row],[Etapa Ingreso - Ingeso]]="","",MARÍTIMOS[[#This Row],[Etapa Ingreso - Ingeso]]),"")</f>
        <v/>
      </c>
      <c r="AK674" s="11" t="str">
        <f>IFERROR(IF(MARÍTIMOS[[#This Row],[Etapa Ingreso - Atención]]="","",MARÍTIMOS[[#This Row],[Etapa Ingreso - Atención]]),"")</f>
        <v/>
      </c>
      <c r="AL674" s="11" t="str">
        <f>IFERROR(IF(MARÍTIMOS[[#This Row],[Etapa Ingreso - Salida]]="","",MARÍTIMOS[[#This Row],[Etapa Ingreso - Salida]]),"")</f>
        <v/>
      </c>
      <c r="AM674" s="2" t="str">
        <f>IFERROR(IF(MARÍTIMOS[[#This Row],[FCL]]="","",MARÍTIMOS[[#This Row],[FCL]]),"")</f>
        <v/>
      </c>
      <c r="AN6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4" s="4" t="str" cm="1">
        <f t="array" ref="AO6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4" s="5" t="str">
        <f>IFERROR(OLDBD[[#This Row],[Llegada a packing]]-OLDBD[[#This Row],[Inicio de Ruta]],"")</f>
        <v/>
      </c>
      <c r="AQ674" s="6" t="str">
        <f>IFERROR(OLDBD[[#This Row],[Inicio de Ruta]]-OLDBD[[#This Row],[Salida de almacén de retiro]],"")</f>
        <v/>
      </c>
      <c r="AR6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4" s="8" t="str" cm="1">
        <f t="array" ref="AS6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4" s="9" t="str">
        <f>IFERROR(OLDBD[[#This Row],[Ingreso Packing]]-OLDBD[[#This Row],[Registro en Packing]],"")</f>
        <v/>
      </c>
      <c r="AV674" s="9" t="str">
        <f>IFERROR(OLDBD[[#This Row],[Ingreso Packing]]-OLDBD[[#This Row],[Llegada a packing]],"")</f>
        <v/>
      </c>
      <c r="AW6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4" s="5" t="str">
        <f>IFERROR(OLDBD[[#This Row],[Llegada Almacén de Ingreso]]-OLDBD[[#This Row],[Salida Packing]],"")</f>
        <v/>
      </c>
      <c r="AY674" s="4" t="str" cm="1">
        <f t="array" ref="AY6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4" s="43" t="s">
        <v>173</v>
      </c>
      <c r="BB674" s="47" t="str">
        <f>IFERROR(IF(MARÍTIMOS[[#This Row],[Estatus]]="","",MARÍTIMOS[[#This Row],[Estatus]]),"")</f>
        <v/>
      </c>
      <c r="BC674" s="43"/>
      <c r="BD674" s="46" t="str">
        <f>IFERROR(OLDBD[[#This Row],[Salida de almacén de retiro]]-OLDBD[[#This Row],[Ingreso Almacén de retiro]],"")</f>
        <v/>
      </c>
      <c r="BE674" s="46" t="str">
        <f>IFERROR(OLDBD[[#This Row],[Fin de Carga]]-OLDBD[[#This Row],[Inicio de Carga]],"")</f>
        <v/>
      </c>
    </row>
    <row r="675" spans="1:57" customFormat="1" hidden="1">
      <c r="A675" s="1"/>
      <c r="B675" s="1" t="str">
        <f>IFERROR(IF(MARÍTIMOS[[#This Row],[PP]]="","",MARÍTIMOS[[#This Row],[PP]]),"")</f>
        <v/>
      </c>
      <c r="C675" s="1" t="str">
        <f>IFERROR(IF(MARÍTIMOS[[#This Row],[Sede]]="","",MARÍTIMOS[[#This Row],[Sede]]),"")</f>
        <v/>
      </c>
      <c r="D675" s="1" t="str">
        <f>IFERROR(IF(MARÍTIMOS[[#This Row],[Instruction]]="","",MARÍTIMOS[[#This Row],[Instruction]]),"")</f>
        <v/>
      </c>
      <c r="E675" s="1"/>
      <c r="F675" s="2" t="str">
        <f>IFERROR(IF(MARÍTIMOS[[#This Row],[Transportista]]="","",MARÍTIMOS[[#This Row],[Transportista]]),"")</f>
        <v/>
      </c>
      <c r="G675" s="2" t="str">
        <f>IFERROR(IF(MARÍTIMOS[[#This Row],[Tercero]]="","",MARÍTIMOS[[#This Row],[Tercero]]),"")</f>
        <v/>
      </c>
      <c r="H675" s="2" t="str">
        <f>IFERROR(IF(MARÍTIMOS[[#This Row],[Razón Social]]="","",MARÍTIMOS[[#This Row],[Razón Social]]),"")</f>
        <v/>
      </c>
      <c r="I675" s="2" t="str">
        <f>IFERROR(IF(MARÍTIMOS[[#This Row],[RUC]]="","",MARÍTIMOS[[#This Row],[RUC]]),"")</f>
        <v/>
      </c>
      <c r="J675" s="2" t="str">
        <f>IFERROR(IF(MARÍTIMOS[[#This Row],[Placa Tracto]]="","",MARÍTIMOS[[#This Row],[Placa Tracto]]),"")</f>
        <v/>
      </c>
      <c r="K675" s="2" t="str">
        <f>IFERROR(IF(MARÍTIMOS[[#This Row],[Placa Carreta]]="","",MARÍTIMOS[[#This Row],[Placa Carreta]]),"")</f>
        <v/>
      </c>
      <c r="L675" s="44" t="str">
        <f>IFERROR(IF(MARÍTIMOS[[#This Row],[Conductor]]="","",MARÍTIMOS[[#This Row],[Conductor]]),"")</f>
        <v/>
      </c>
      <c r="M675" s="2" t="str">
        <f>IFERROR(IF(MARÍTIMOS[[#This Row],[Licencia]]="","",MARÍTIMOS[[#This Row],[Licencia]]),"")</f>
        <v/>
      </c>
      <c r="N675" s="2" t="str">
        <f>IFERROR(IF(MARÍTIMOS[[#This Row],[Número de Contacto]]="","",MARÍTIMOS[[#This Row],[Número de Contacto]]),"")</f>
        <v/>
      </c>
      <c r="O675" s="10" t="str">
        <f>IFERROR(IF(MARÍTIMOS[[#This Row],[Booking|AWB|CRT]]="","",MARÍTIMOS[[#This Row],[Booking|AWB|CRT]]),"")</f>
        <v/>
      </c>
      <c r="P675" s="2" t="str">
        <f>IFERROR(IF(MARÍTIMOS[[#This Row],[Contenedor]]="","",MARÍTIMOS[[#This Row],[Contenedor]]),"")</f>
        <v/>
      </c>
      <c r="Q675" s="2" t="str">
        <f>IFERROR(IF(MARÍTIMOS[[#This Row],[Puerto de Retiro]]="","",MARÍTIMOS[[#This Row],[Puerto de Retiro]]),"")</f>
        <v/>
      </c>
      <c r="R675" s="2" t="str">
        <f>IFERROR(IF(MARÍTIMOS[[#This Row],[Almacén de Retiro]]="","",MARÍTIMOS[[#This Row],[Almacén de Retiro]]),"")</f>
        <v/>
      </c>
      <c r="S675" s="11" t="str">
        <f>IFERROR(IF(MARÍTIMOS[[#This Row],[Etapa Retiro - Cita]]="","",MARÍTIMOS[[#This Row],[Etapa Retiro - Cita]]),"")</f>
        <v/>
      </c>
      <c r="T675" s="11" t="str">
        <f>IFERROR(IF(MARÍTIMOS[[#This Row],[Etapa Retiro - Llegada]]="","",MARÍTIMOS[[#This Row],[Etapa Retiro - Llegada]]),"")</f>
        <v/>
      </c>
      <c r="U675" s="11" t="str">
        <f>IFERROR(IF(MARÍTIMOS[[#This Row],[Etapa Retiro - Ingreso]]="","",MARÍTIMOS[[#This Row],[Etapa Retiro - Ingreso]]),"")</f>
        <v/>
      </c>
      <c r="V675" s="11" t="str">
        <f>IFERROR(IF(MARÍTIMOS[[#This Row],[Etapa Retiro - Atención]]="","",MARÍTIMOS[[#This Row],[Etapa Retiro - Atención]]),"")</f>
        <v/>
      </c>
      <c r="W675" s="11" t="str">
        <f>IFERROR(IF(MARÍTIMOS[[#This Row],[Etapa Retiro - Atención]]="","",MARÍTIMOS[[#This Row],[Etapa Retiro - Atención]]),"")</f>
        <v/>
      </c>
      <c r="X675" s="11" t="str">
        <f>IFERROR(IF(MARÍTIMOS[[#This Row],[Etapa Retiro - Inicio de Ruta]]="","",MARÍTIMOS[[#This Row],[Etapa Retiro - Inicio de Ruta]]),"")</f>
        <v/>
      </c>
      <c r="Y675" s="11" t="str">
        <f>IFERROR(IF(MARÍTIMOS[[#This Row],[Hora de Posicionamiento]]="","",MARÍTIMOS[[#This Row],[Fecha de Carga]]+MARÍTIMOS[[#This Row],[Hora de Posicionamiento]]),"")</f>
        <v/>
      </c>
      <c r="Z675" s="11" t="str">
        <f>IFERROR(IF(MARÍTIMOS[[#This Row],[Etapa Despacho - Llegada]]="","",MARÍTIMOS[[#This Row],[Etapa Despacho - Llegada]]),"")</f>
        <v/>
      </c>
      <c r="AA675" s="11" t="str">
        <f>IFERROR(IF(MARÍTIMOS[[#This Row],[Etapa Despacho - Registro]]="","",MARÍTIMOS[[#This Row],[Etapa Despacho - Registro]]),"")</f>
        <v/>
      </c>
      <c r="AB675" s="11" t="str">
        <f>IFERROR(IF(MARÍTIMOS[[#This Row],[Inspección Externa]]="","",MARÍTIMOS[[#This Row],[Inspección Externa]]),"")</f>
        <v/>
      </c>
      <c r="AC675" s="11" t="str">
        <f>IFERROR(IF(MARÍTIMOS[[#This Row],[Etapa Despacho - Inicio de Carga]]="","",MARÍTIMOS[[#This Row],[Etapa Despacho - Inicio de Carga]]),"")</f>
        <v/>
      </c>
      <c r="AD675" s="11" t="str">
        <f>IFERROR(IF(MARÍTIMOS[[#This Row],[Etapa Despacho - Mitad de Carga]]="","",MARÍTIMOS[[#This Row],[Etapa Despacho - Mitad de Carga]]),"")</f>
        <v/>
      </c>
      <c r="AE675" s="11" t="str">
        <f>IFERROR(IF(MARÍTIMOS[[#This Row],[Etapa Despacho - Fin de Carga]]="","",MARÍTIMOS[[#This Row],[Etapa Despacho - Fin de Carga]]),"")</f>
        <v/>
      </c>
      <c r="AF675" s="2" t="str">
        <f>IFERROR(IF(MARÍTIMOS[[#This Row],[Puerto de Embarque]]="","",MARÍTIMOS[[#This Row],[Puerto de Embarque]]),"")</f>
        <v/>
      </c>
      <c r="AG675" s="2" t="str">
        <f>IFERROR(IF(MARÍTIMOS[[#This Row],[Almacén de Ingreso]]="","",MARÍTIMOS[[#This Row],[Almacén de Ingreso]]),"")</f>
        <v/>
      </c>
      <c r="AH675" s="11" t="str">
        <f>IFERROR(IF(MARÍTIMOS[[#This Row],[Etapa Ingreso - Cita]]="","",MARÍTIMOS[[#This Row],[Etapa Ingreso - Cita]]),"")</f>
        <v/>
      </c>
      <c r="AI675" s="11" t="str">
        <f>IFERROR(IF(MARÍTIMOS[[#This Row],[Etapa Ingreso - Llegada]]="","",MARÍTIMOS[[#This Row],[Etapa Ingreso - Llegada]]),"")</f>
        <v/>
      </c>
      <c r="AJ675" s="11" t="str">
        <f>IFERROR(IF(MARÍTIMOS[[#This Row],[Etapa Ingreso - Ingeso]]="","",MARÍTIMOS[[#This Row],[Etapa Ingreso - Ingeso]]),"")</f>
        <v/>
      </c>
      <c r="AK675" s="11" t="str">
        <f>IFERROR(IF(MARÍTIMOS[[#This Row],[Etapa Ingreso - Atención]]="","",MARÍTIMOS[[#This Row],[Etapa Ingreso - Atención]]),"")</f>
        <v/>
      </c>
      <c r="AL675" s="11" t="str">
        <f>IFERROR(IF(MARÍTIMOS[[#This Row],[Etapa Ingreso - Salida]]="","",MARÍTIMOS[[#This Row],[Etapa Ingreso - Salida]]),"")</f>
        <v/>
      </c>
      <c r="AM675" s="2" t="str">
        <f>IFERROR(IF(MARÍTIMOS[[#This Row],[FCL]]="","",MARÍTIMOS[[#This Row],[FCL]]),"")</f>
        <v/>
      </c>
      <c r="AN6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5" s="4" t="str" cm="1">
        <f t="array" ref="AO6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5" s="5" t="str">
        <f>IFERROR(OLDBD[[#This Row],[Llegada a packing]]-OLDBD[[#This Row],[Inicio de Ruta]],"")</f>
        <v/>
      </c>
      <c r="AQ675" s="6" t="str">
        <f>IFERROR(OLDBD[[#This Row],[Inicio de Ruta]]-OLDBD[[#This Row],[Salida de almacén de retiro]],"")</f>
        <v/>
      </c>
      <c r="AR6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5" s="8" t="str" cm="1">
        <f t="array" ref="AS6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5" s="9" t="str">
        <f>IFERROR(OLDBD[[#This Row],[Ingreso Packing]]-OLDBD[[#This Row],[Registro en Packing]],"")</f>
        <v/>
      </c>
      <c r="AV675" s="9" t="str">
        <f>IFERROR(OLDBD[[#This Row],[Ingreso Packing]]-OLDBD[[#This Row],[Llegada a packing]],"")</f>
        <v/>
      </c>
      <c r="AW6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5" s="5" t="str">
        <f>IFERROR(OLDBD[[#This Row],[Llegada Almacén de Ingreso]]-OLDBD[[#This Row],[Salida Packing]],"")</f>
        <v/>
      </c>
      <c r="AY675" s="4" t="str" cm="1">
        <f t="array" ref="AY6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5" s="43" t="s">
        <v>173</v>
      </c>
      <c r="BB675" s="47" t="str">
        <f>IFERROR(IF(MARÍTIMOS[[#This Row],[Estatus]]="","",MARÍTIMOS[[#This Row],[Estatus]]),"")</f>
        <v/>
      </c>
      <c r="BC675" s="43"/>
      <c r="BD675" s="46" t="str">
        <f>IFERROR(OLDBD[[#This Row],[Salida de almacén de retiro]]-OLDBD[[#This Row],[Ingreso Almacén de retiro]],"")</f>
        <v/>
      </c>
      <c r="BE675" s="46" t="str">
        <f>IFERROR(OLDBD[[#This Row],[Fin de Carga]]-OLDBD[[#This Row],[Inicio de Carga]],"")</f>
        <v/>
      </c>
    </row>
    <row r="676" spans="1:57" customFormat="1" hidden="1">
      <c r="A676" s="1"/>
      <c r="B676" s="1" t="str">
        <f>IFERROR(IF(MARÍTIMOS[[#This Row],[PP]]="","",MARÍTIMOS[[#This Row],[PP]]),"")</f>
        <v/>
      </c>
      <c r="C676" s="1" t="str">
        <f>IFERROR(IF(MARÍTIMOS[[#This Row],[Sede]]="","",MARÍTIMOS[[#This Row],[Sede]]),"")</f>
        <v/>
      </c>
      <c r="D676" s="1" t="str">
        <f>IFERROR(IF(MARÍTIMOS[[#This Row],[Instruction]]="","",MARÍTIMOS[[#This Row],[Instruction]]),"")</f>
        <v/>
      </c>
      <c r="E676" s="1"/>
      <c r="F676" s="2" t="str">
        <f>IFERROR(IF(MARÍTIMOS[[#This Row],[Transportista]]="","",MARÍTIMOS[[#This Row],[Transportista]]),"")</f>
        <v/>
      </c>
      <c r="G676" s="2" t="str">
        <f>IFERROR(IF(MARÍTIMOS[[#This Row],[Tercero]]="","",MARÍTIMOS[[#This Row],[Tercero]]),"")</f>
        <v/>
      </c>
      <c r="H676" s="2" t="str">
        <f>IFERROR(IF(MARÍTIMOS[[#This Row],[Razón Social]]="","",MARÍTIMOS[[#This Row],[Razón Social]]),"")</f>
        <v/>
      </c>
      <c r="I676" s="2" t="str">
        <f>IFERROR(IF(MARÍTIMOS[[#This Row],[RUC]]="","",MARÍTIMOS[[#This Row],[RUC]]),"")</f>
        <v/>
      </c>
      <c r="J676" s="2" t="str">
        <f>IFERROR(IF(MARÍTIMOS[[#This Row],[Placa Tracto]]="","",MARÍTIMOS[[#This Row],[Placa Tracto]]),"")</f>
        <v/>
      </c>
      <c r="K676" s="2" t="str">
        <f>IFERROR(IF(MARÍTIMOS[[#This Row],[Placa Carreta]]="","",MARÍTIMOS[[#This Row],[Placa Carreta]]),"")</f>
        <v/>
      </c>
      <c r="L676" s="44" t="str">
        <f>IFERROR(IF(MARÍTIMOS[[#This Row],[Conductor]]="","",MARÍTIMOS[[#This Row],[Conductor]]),"")</f>
        <v/>
      </c>
      <c r="M676" s="2" t="str">
        <f>IFERROR(IF(MARÍTIMOS[[#This Row],[Licencia]]="","",MARÍTIMOS[[#This Row],[Licencia]]),"")</f>
        <v/>
      </c>
      <c r="N676" s="2" t="str">
        <f>IFERROR(IF(MARÍTIMOS[[#This Row],[Número de Contacto]]="","",MARÍTIMOS[[#This Row],[Número de Contacto]]),"")</f>
        <v/>
      </c>
      <c r="O676" s="10" t="str">
        <f>IFERROR(IF(MARÍTIMOS[[#This Row],[Booking|AWB|CRT]]="","",MARÍTIMOS[[#This Row],[Booking|AWB|CRT]]),"")</f>
        <v/>
      </c>
      <c r="P676" s="2" t="str">
        <f>IFERROR(IF(MARÍTIMOS[[#This Row],[Contenedor]]="","",MARÍTIMOS[[#This Row],[Contenedor]]),"")</f>
        <v/>
      </c>
      <c r="Q676" s="2" t="str">
        <f>IFERROR(IF(MARÍTIMOS[[#This Row],[Puerto de Retiro]]="","",MARÍTIMOS[[#This Row],[Puerto de Retiro]]),"")</f>
        <v/>
      </c>
      <c r="R676" s="2" t="str">
        <f>IFERROR(IF(MARÍTIMOS[[#This Row],[Almacén de Retiro]]="","",MARÍTIMOS[[#This Row],[Almacén de Retiro]]),"")</f>
        <v/>
      </c>
      <c r="S676" s="11" t="str">
        <f>IFERROR(IF(MARÍTIMOS[[#This Row],[Etapa Retiro - Cita]]="","",MARÍTIMOS[[#This Row],[Etapa Retiro - Cita]]),"")</f>
        <v/>
      </c>
      <c r="T676" s="11" t="str">
        <f>IFERROR(IF(MARÍTIMOS[[#This Row],[Etapa Retiro - Llegada]]="","",MARÍTIMOS[[#This Row],[Etapa Retiro - Llegada]]),"")</f>
        <v/>
      </c>
      <c r="U676" s="11" t="str">
        <f>IFERROR(IF(MARÍTIMOS[[#This Row],[Etapa Retiro - Ingreso]]="","",MARÍTIMOS[[#This Row],[Etapa Retiro - Ingreso]]),"")</f>
        <v/>
      </c>
      <c r="V676" s="11" t="str">
        <f>IFERROR(IF(MARÍTIMOS[[#This Row],[Etapa Retiro - Atención]]="","",MARÍTIMOS[[#This Row],[Etapa Retiro - Atención]]),"")</f>
        <v/>
      </c>
      <c r="W676" s="11" t="str">
        <f>IFERROR(IF(MARÍTIMOS[[#This Row],[Etapa Retiro - Atención]]="","",MARÍTIMOS[[#This Row],[Etapa Retiro - Atención]]),"")</f>
        <v/>
      </c>
      <c r="X676" s="11" t="str">
        <f>IFERROR(IF(MARÍTIMOS[[#This Row],[Etapa Retiro - Inicio de Ruta]]="","",MARÍTIMOS[[#This Row],[Etapa Retiro - Inicio de Ruta]]),"")</f>
        <v/>
      </c>
      <c r="Y676" s="11" t="str">
        <f>IFERROR(IF(MARÍTIMOS[[#This Row],[Hora de Posicionamiento]]="","",MARÍTIMOS[[#This Row],[Fecha de Carga]]+MARÍTIMOS[[#This Row],[Hora de Posicionamiento]]),"")</f>
        <v/>
      </c>
      <c r="Z676" s="11" t="str">
        <f>IFERROR(IF(MARÍTIMOS[[#This Row],[Etapa Despacho - Llegada]]="","",MARÍTIMOS[[#This Row],[Etapa Despacho - Llegada]]),"")</f>
        <v/>
      </c>
      <c r="AA676" s="11" t="str">
        <f>IFERROR(IF(MARÍTIMOS[[#This Row],[Etapa Despacho - Registro]]="","",MARÍTIMOS[[#This Row],[Etapa Despacho - Registro]]),"")</f>
        <v/>
      </c>
      <c r="AB676" s="11" t="str">
        <f>IFERROR(IF(MARÍTIMOS[[#This Row],[Inspección Externa]]="","",MARÍTIMOS[[#This Row],[Inspección Externa]]),"")</f>
        <v/>
      </c>
      <c r="AC676" s="11" t="str">
        <f>IFERROR(IF(MARÍTIMOS[[#This Row],[Etapa Despacho - Inicio de Carga]]="","",MARÍTIMOS[[#This Row],[Etapa Despacho - Inicio de Carga]]),"")</f>
        <v/>
      </c>
      <c r="AD676" s="11" t="str">
        <f>IFERROR(IF(MARÍTIMOS[[#This Row],[Etapa Despacho - Mitad de Carga]]="","",MARÍTIMOS[[#This Row],[Etapa Despacho - Mitad de Carga]]),"")</f>
        <v/>
      </c>
      <c r="AE676" s="11" t="str">
        <f>IFERROR(IF(MARÍTIMOS[[#This Row],[Etapa Despacho - Fin de Carga]]="","",MARÍTIMOS[[#This Row],[Etapa Despacho - Fin de Carga]]),"")</f>
        <v/>
      </c>
      <c r="AF676" s="2" t="str">
        <f>IFERROR(IF(MARÍTIMOS[[#This Row],[Puerto de Embarque]]="","",MARÍTIMOS[[#This Row],[Puerto de Embarque]]),"")</f>
        <v/>
      </c>
      <c r="AG676" s="2" t="str">
        <f>IFERROR(IF(MARÍTIMOS[[#This Row],[Almacén de Ingreso]]="","",MARÍTIMOS[[#This Row],[Almacén de Ingreso]]),"")</f>
        <v/>
      </c>
      <c r="AH676" s="11" t="str">
        <f>IFERROR(IF(MARÍTIMOS[[#This Row],[Etapa Ingreso - Cita]]="","",MARÍTIMOS[[#This Row],[Etapa Ingreso - Cita]]),"")</f>
        <v/>
      </c>
      <c r="AI676" s="11" t="str">
        <f>IFERROR(IF(MARÍTIMOS[[#This Row],[Etapa Ingreso - Llegada]]="","",MARÍTIMOS[[#This Row],[Etapa Ingreso - Llegada]]),"")</f>
        <v/>
      </c>
      <c r="AJ676" s="11" t="str">
        <f>IFERROR(IF(MARÍTIMOS[[#This Row],[Etapa Ingreso - Ingeso]]="","",MARÍTIMOS[[#This Row],[Etapa Ingreso - Ingeso]]),"")</f>
        <v/>
      </c>
      <c r="AK676" s="11" t="str">
        <f>IFERROR(IF(MARÍTIMOS[[#This Row],[Etapa Ingreso - Atención]]="","",MARÍTIMOS[[#This Row],[Etapa Ingreso - Atención]]),"")</f>
        <v/>
      </c>
      <c r="AL676" s="11" t="str">
        <f>IFERROR(IF(MARÍTIMOS[[#This Row],[Etapa Ingreso - Salida]]="","",MARÍTIMOS[[#This Row],[Etapa Ingreso - Salida]]),"")</f>
        <v/>
      </c>
      <c r="AM676" s="2" t="str">
        <f>IFERROR(IF(MARÍTIMOS[[#This Row],[FCL]]="","",MARÍTIMOS[[#This Row],[FCL]]),"")</f>
        <v/>
      </c>
      <c r="AN6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6" s="4" t="str" cm="1">
        <f t="array" ref="AO6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6" s="5" t="str">
        <f>IFERROR(OLDBD[[#This Row],[Llegada a packing]]-OLDBD[[#This Row],[Inicio de Ruta]],"")</f>
        <v/>
      </c>
      <c r="AQ676" s="6" t="str">
        <f>IFERROR(OLDBD[[#This Row],[Inicio de Ruta]]-OLDBD[[#This Row],[Salida de almacén de retiro]],"")</f>
        <v/>
      </c>
      <c r="AR6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6" s="8" t="str" cm="1">
        <f t="array" ref="AS6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6" s="9" t="str">
        <f>IFERROR(OLDBD[[#This Row],[Ingreso Packing]]-OLDBD[[#This Row],[Registro en Packing]],"")</f>
        <v/>
      </c>
      <c r="AV676" s="9" t="str">
        <f>IFERROR(OLDBD[[#This Row],[Ingreso Packing]]-OLDBD[[#This Row],[Llegada a packing]],"")</f>
        <v/>
      </c>
      <c r="AW6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6" s="5" t="str">
        <f>IFERROR(OLDBD[[#This Row],[Llegada Almacén de Ingreso]]-OLDBD[[#This Row],[Salida Packing]],"")</f>
        <v/>
      </c>
      <c r="AY676" s="4" t="str" cm="1">
        <f t="array" ref="AY6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6" s="43" t="s">
        <v>173</v>
      </c>
      <c r="BB676" s="47" t="str">
        <f>IFERROR(IF(MARÍTIMOS[[#This Row],[Estatus]]="","",MARÍTIMOS[[#This Row],[Estatus]]),"")</f>
        <v/>
      </c>
      <c r="BC676" s="43"/>
      <c r="BD676" s="46" t="str">
        <f>IFERROR(OLDBD[[#This Row],[Salida de almacén de retiro]]-OLDBD[[#This Row],[Ingreso Almacén de retiro]],"")</f>
        <v/>
      </c>
      <c r="BE676" s="46" t="str">
        <f>IFERROR(OLDBD[[#This Row],[Fin de Carga]]-OLDBD[[#This Row],[Inicio de Carga]],"")</f>
        <v/>
      </c>
    </row>
    <row r="677" spans="1:57" customFormat="1" hidden="1">
      <c r="A677" s="1"/>
      <c r="B677" s="1" t="str">
        <f>IFERROR(IF(MARÍTIMOS[[#This Row],[PP]]="","",MARÍTIMOS[[#This Row],[PP]]),"")</f>
        <v/>
      </c>
      <c r="C677" s="1" t="str">
        <f>IFERROR(IF(MARÍTIMOS[[#This Row],[Sede]]="","",MARÍTIMOS[[#This Row],[Sede]]),"")</f>
        <v/>
      </c>
      <c r="D677" s="1" t="str">
        <f>IFERROR(IF(MARÍTIMOS[[#This Row],[Instruction]]="","",MARÍTIMOS[[#This Row],[Instruction]]),"")</f>
        <v/>
      </c>
      <c r="E677" s="1"/>
      <c r="F677" s="2" t="str">
        <f>IFERROR(IF(MARÍTIMOS[[#This Row],[Transportista]]="","",MARÍTIMOS[[#This Row],[Transportista]]),"")</f>
        <v/>
      </c>
      <c r="G677" s="2" t="str">
        <f>IFERROR(IF(MARÍTIMOS[[#This Row],[Tercero]]="","",MARÍTIMOS[[#This Row],[Tercero]]),"")</f>
        <v/>
      </c>
      <c r="H677" s="2" t="str">
        <f>IFERROR(IF(MARÍTIMOS[[#This Row],[Razón Social]]="","",MARÍTIMOS[[#This Row],[Razón Social]]),"")</f>
        <v/>
      </c>
      <c r="I677" s="2" t="str">
        <f>IFERROR(IF(MARÍTIMOS[[#This Row],[RUC]]="","",MARÍTIMOS[[#This Row],[RUC]]),"")</f>
        <v/>
      </c>
      <c r="J677" s="2" t="str">
        <f>IFERROR(IF(MARÍTIMOS[[#This Row],[Placa Tracto]]="","",MARÍTIMOS[[#This Row],[Placa Tracto]]),"")</f>
        <v/>
      </c>
      <c r="K677" s="2" t="str">
        <f>IFERROR(IF(MARÍTIMOS[[#This Row],[Placa Carreta]]="","",MARÍTIMOS[[#This Row],[Placa Carreta]]),"")</f>
        <v/>
      </c>
      <c r="L677" s="44" t="str">
        <f>IFERROR(IF(MARÍTIMOS[[#This Row],[Conductor]]="","",MARÍTIMOS[[#This Row],[Conductor]]),"")</f>
        <v/>
      </c>
      <c r="M677" s="2" t="str">
        <f>IFERROR(IF(MARÍTIMOS[[#This Row],[Licencia]]="","",MARÍTIMOS[[#This Row],[Licencia]]),"")</f>
        <v/>
      </c>
      <c r="N677" s="2" t="str">
        <f>IFERROR(IF(MARÍTIMOS[[#This Row],[Número de Contacto]]="","",MARÍTIMOS[[#This Row],[Número de Contacto]]),"")</f>
        <v/>
      </c>
      <c r="O677" s="10" t="str">
        <f>IFERROR(IF(MARÍTIMOS[[#This Row],[Booking|AWB|CRT]]="","",MARÍTIMOS[[#This Row],[Booking|AWB|CRT]]),"")</f>
        <v/>
      </c>
      <c r="P677" s="2" t="str">
        <f>IFERROR(IF(MARÍTIMOS[[#This Row],[Contenedor]]="","",MARÍTIMOS[[#This Row],[Contenedor]]),"")</f>
        <v/>
      </c>
      <c r="Q677" s="2" t="str">
        <f>IFERROR(IF(MARÍTIMOS[[#This Row],[Puerto de Retiro]]="","",MARÍTIMOS[[#This Row],[Puerto de Retiro]]),"")</f>
        <v/>
      </c>
      <c r="R677" s="2" t="str">
        <f>IFERROR(IF(MARÍTIMOS[[#This Row],[Almacén de Retiro]]="","",MARÍTIMOS[[#This Row],[Almacén de Retiro]]),"")</f>
        <v/>
      </c>
      <c r="S677" s="11" t="str">
        <f>IFERROR(IF(MARÍTIMOS[[#This Row],[Etapa Retiro - Cita]]="","",MARÍTIMOS[[#This Row],[Etapa Retiro - Cita]]),"")</f>
        <v/>
      </c>
      <c r="T677" s="11" t="str">
        <f>IFERROR(IF(MARÍTIMOS[[#This Row],[Etapa Retiro - Llegada]]="","",MARÍTIMOS[[#This Row],[Etapa Retiro - Llegada]]),"")</f>
        <v/>
      </c>
      <c r="U677" s="11" t="str">
        <f>IFERROR(IF(MARÍTIMOS[[#This Row],[Etapa Retiro - Ingreso]]="","",MARÍTIMOS[[#This Row],[Etapa Retiro - Ingreso]]),"")</f>
        <v/>
      </c>
      <c r="V677" s="11" t="str">
        <f>IFERROR(IF(MARÍTIMOS[[#This Row],[Etapa Retiro - Atención]]="","",MARÍTIMOS[[#This Row],[Etapa Retiro - Atención]]),"")</f>
        <v/>
      </c>
      <c r="W677" s="11" t="str">
        <f>IFERROR(IF(MARÍTIMOS[[#This Row],[Etapa Retiro - Atención]]="","",MARÍTIMOS[[#This Row],[Etapa Retiro - Atención]]),"")</f>
        <v/>
      </c>
      <c r="X677" s="11" t="str">
        <f>IFERROR(IF(MARÍTIMOS[[#This Row],[Etapa Retiro - Inicio de Ruta]]="","",MARÍTIMOS[[#This Row],[Etapa Retiro - Inicio de Ruta]]),"")</f>
        <v/>
      </c>
      <c r="Y677" s="11" t="str">
        <f>IFERROR(IF(MARÍTIMOS[[#This Row],[Hora de Posicionamiento]]="","",MARÍTIMOS[[#This Row],[Fecha de Carga]]+MARÍTIMOS[[#This Row],[Hora de Posicionamiento]]),"")</f>
        <v/>
      </c>
      <c r="Z677" s="11" t="str">
        <f>IFERROR(IF(MARÍTIMOS[[#This Row],[Etapa Despacho - Llegada]]="","",MARÍTIMOS[[#This Row],[Etapa Despacho - Llegada]]),"")</f>
        <v/>
      </c>
      <c r="AA677" s="11" t="str">
        <f>IFERROR(IF(MARÍTIMOS[[#This Row],[Etapa Despacho - Registro]]="","",MARÍTIMOS[[#This Row],[Etapa Despacho - Registro]]),"")</f>
        <v/>
      </c>
      <c r="AB677" s="11" t="str">
        <f>IFERROR(IF(MARÍTIMOS[[#This Row],[Inspección Externa]]="","",MARÍTIMOS[[#This Row],[Inspección Externa]]),"")</f>
        <v/>
      </c>
      <c r="AC677" s="11" t="str">
        <f>IFERROR(IF(MARÍTIMOS[[#This Row],[Etapa Despacho - Inicio de Carga]]="","",MARÍTIMOS[[#This Row],[Etapa Despacho - Inicio de Carga]]),"")</f>
        <v/>
      </c>
      <c r="AD677" s="11" t="str">
        <f>IFERROR(IF(MARÍTIMOS[[#This Row],[Etapa Despacho - Mitad de Carga]]="","",MARÍTIMOS[[#This Row],[Etapa Despacho - Mitad de Carga]]),"")</f>
        <v/>
      </c>
      <c r="AE677" s="11" t="str">
        <f>IFERROR(IF(MARÍTIMOS[[#This Row],[Etapa Despacho - Fin de Carga]]="","",MARÍTIMOS[[#This Row],[Etapa Despacho - Fin de Carga]]),"")</f>
        <v/>
      </c>
      <c r="AF677" s="2" t="str">
        <f>IFERROR(IF(MARÍTIMOS[[#This Row],[Puerto de Embarque]]="","",MARÍTIMOS[[#This Row],[Puerto de Embarque]]),"")</f>
        <v/>
      </c>
      <c r="AG677" s="2" t="str">
        <f>IFERROR(IF(MARÍTIMOS[[#This Row],[Almacén de Ingreso]]="","",MARÍTIMOS[[#This Row],[Almacén de Ingreso]]),"")</f>
        <v/>
      </c>
      <c r="AH677" s="11" t="str">
        <f>IFERROR(IF(MARÍTIMOS[[#This Row],[Etapa Ingreso - Cita]]="","",MARÍTIMOS[[#This Row],[Etapa Ingreso - Cita]]),"")</f>
        <v/>
      </c>
      <c r="AI677" s="11" t="str">
        <f>IFERROR(IF(MARÍTIMOS[[#This Row],[Etapa Ingreso - Llegada]]="","",MARÍTIMOS[[#This Row],[Etapa Ingreso - Llegada]]),"")</f>
        <v/>
      </c>
      <c r="AJ677" s="11" t="str">
        <f>IFERROR(IF(MARÍTIMOS[[#This Row],[Etapa Ingreso - Ingeso]]="","",MARÍTIMOS[[#This Row],[Etapa Ingreso - Ingeso]]),"")</f>
        <v/>
      </c>
      <c r="AK677" s="11" t="str">
        <f>IFERROR(IF(MARÍTIMOS[[#This Row],[Etapa Ingreso - Atención]]="","",MARÍTIMOS[[#This Row],[Etapa Ingreso - Atención]]),"")</f>
        <v/>
      </c>
      <c r="AL677" s="11" t="str">
        <f>IFERROR(IF(MARÍTIMOS[[#This Row],[Etapa Ingreso - Salida]]="","",MARÍTIMOS[[#This Row],[Etapa Ingreso - Salida]]),"")</f>
        <v/>
      </c>
      <c r="AM677" s="2" t="str">
        <f>IFERROR(IF(MARÍTIMOS[[#This Row],[FCL]]="","",MARÍTIMOS[[#This Row],[FCL]]),"")</f>
        <v/>
      </c>
      <c r="AN6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7" s="4" t="str" cm="1">
        <f t="array" ref="AO6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7" s="5" t="str">
        <f>IFERROR(OLDBD[[#This Row],[Llegada a packing]]-OLDBD[[#This Row],[Inicio de Ruta]],"")</f>
        <v/>
      </c>
      <c r="AQ677" s="6" t="str">
        <f>IFERROR(OLDBD[[#This Row],[Inicio de Ruta]]-OLDBD[[#This Row],[Salida de almacén de retiro]],"")</f>
        <v/>
      </c>
      <c r="AR6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7" s="8" t="str" cm="1">
        <f t="array" ref="AS6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7" s="9" t="str">
        <f>IFERROR(OLDBD[[#This Row],[Ingreso Packing]]-OLDBD[[#This Row],[Registro en Packing]],"")</f>
        <v/>
      </c>
      <c r="AV677" s="9" t="str">
        <f>IFERROR(OLDBD[[#This Row],[Ingreso Packing]]-OLDBD[[#This Row],[Llegada a packing]],"")</f>
        <v/>
      </c>
      <c r="AW6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7" s="5" t="str">
        <f>IFERROR(OLDBD[[#This Row],[Llegada Almacén de Ingreso]]-OLDBD[[#This Row],[Salida Packing]],"")</f>
        <v/>
      </c>
      <c r="AY677" s="4" t="str" cm="1">
        <f t="array" ref="AY6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7" s="43" t="s">
        <v>173</v>
      </c>
      <c r="BB677" s="47" t="str">
        <f>IFERROR(IF(MARÍTIMOS[[#This Row],[Estatus]]="","",MARÍTIMOS[[#This Row],[Estatus]]),"")</f>
        <v/>
      </c>
      <c r="BC677" s="43"/>
      <c r="BD677" s="46" t="str">
        <f>IFERROR(OLDBD[[#This Row],[Salida de almacén de retiro]]-OLDBD[[#This Row],[Ingreso Almacén de retiro]],"")</f>
        <v/>
      </c>
      <c r="BE677" s="46" t="str">
        <f>IFERROR(OLDBD[[#This Row],[Fin de Carga]]-OLDBD[[#This Row],[Inicio de Carga]],"")</f>
        <v/>
      </c>
    </row>
    <row r="678" spans="1:57" customFormat="1" hidden="1">
      <c r="A678" s="1"/>
      <c r="B678" s="1" t="str">
        <f>IFERROR(IF(MARÍTIMOS[[#This Row],[PP]]="","",MARÍTIMOS[[#This Row],[PP]]),"")</f>
        <v/>
      </c>
      <c r="C678" s="1" t="str">
        <f>IFERROR(IF(MARÍTIMOS[[#This Row],[Sede]]="","",MARÍTIMOS[[#This Row],[Sede]]),"")</f>
        <v/>
      </c>
      <c r="D678" s="1" t="str">
        <f>IFERROR(IF(MARÍTIMOS[[#This Row],[Instruction]]="","",MARÍTIMOS[[#This Row],[Instruction]]),"")</f>
        <v/>
      </c>
      <c r="E678" s="1"/>
      <c r="F678" s="2" t="str">
        <f>IFERROR(IF(MARÍTIMOS[[#This Row],[Transportista]]="","",MARÍTIMOS[[#This Row],[Transportista]]),"")</f>
        <v/>
      </c>
      <c r="G678" s="2" t="str">
        <f>IFERROR(IF(MARÍTIMOS[[#This Row],[Tercero]]="","",MARÍTIMOS[[#This Row],[Tercero]]),"")</f>
        <v/>
      </c>
      <c r="H678" s="2" t="str">
        <f>IFERROR(IF(MARÍTIMOS[[#This Row],[Razón Social]]="","",MARÍTIMOS[[#This Row],[Razón Social]]),"")</f>
        <v/>
      </c>
      <c r="I678" s="2" t="str">
        <f>IFERROR(IF(MARÍTIMOS[[#This Row],[RUC]]="","",MARÍTIMOS[[#This Row],[RUC]]),"")</f>
        <v/>
      </c>
      <c r="J678" s="2" t="str">
        <f>IFERROR(IF(MARÍTIMOS[[#This Row],[Placa Tracto]]="","",MARÍTIMOS[[#This Row],[Placa Tracto]]),"")</f>
        <v/>
      </c>
      <c r="K678" s="2" t="str">
        <f>IFERROR(IF(MARÍTIMOS[[#This Row],[Placa Carreta]]="","",MARÍTIMOS[[#This Row],[Placa Carreta]]),"")</f>
        <v/>
      </c>
      <c r="L678" s="44" t="str">
        <f>IFERROR(IF(MARÍTIMOS[[#This Row],[Conductor]]="","",MARÍTIMOS[[#This Row],[Conductor]]),"")</f>
        <v/>
      </c>
      <c r="M678" s="2" t="str">
        <f>IFERROR(IF(MARÍTIMOS[[#This Row],[Licencia]]="","",MARÍTIMOS[[#This Row],[Licencia]]),"")</f>
        <v/>
      </c>
      <c r="N678" s="2" t="str">
        <f>IFERROR(IF(MARÍTIMOS[[#This Row],[Número de Contacto]]="","",MARÍTIMOS[[#This Row],[Número de Contacto]]),"")</f>
        <v/>
      </c>
      <c r="O678" s="10" t="str">
        <f>IFERROR(IF(MARÍTIMOS[[#This Row],[Booking|AWB|CRT]]="","",MARÍTIMOS[[#This Row],[Booking|AWB|CRT]]),"")</f>
        <v/>
      </c>
      <c r="P678" s="2" t="str">
        <f>IFERROR(IF(MARÍTIMOS[[#This Row],[Contenedor]]="","",MARÍTIMOS[[#This Row],[Contenedor]]),"")</f>
        <v/>
      </c>
      <c r="Q678" s="2" t="str">
        <f>IFERROR(IF(MARÍTIMOS[[#This Row],[Puerto de Retiro]]="","",MARÍTIMOS[[#This Row],[Puerto de Retiro]]),"")</f>
        <v/>
      </c>
      <c r="R678" s="2" t="str">
        <f>IFERROR(IF(MARÍTIMOS[[#This Row],[Almacén de Retiro]]="","",MARÍTIMOS[[#This Row],[Almacén de Retiro]]),"")</f>
        <v/>
      </c>
      <c r="S678" s="11" t="str">
        <f>IFERROR(IF(MARÍTIMOS[[#This Row],[Etapa Retiro - Cita]]="","",MARÍTIMOS[[#This Row],[Etapa Retiro - Cita]]),"")</f>
        <v/>
      </c>
      <c r="T678" s="11" t="str">
        <f>IFERROR(IF(MARÍTIMOS[[#This Row],[Etapa Retiro - Llegada]]="","",MARÍTIMOS[[#This Row],[Etapa Retiro - Llegada]]),"")</f>
        <v/>
      </c>
      <c r="U678" s="11" t="str">
        <f>IFERROR(IF(MARÍTIMOS[[#This Row],[Etapa Retiro - Ingreso]]="","",MARÍTIMOS[[#This Row],[Etapa Retiro - Ingreso]]),"")</f>
        <v/>
      </c>
      <c r="V678" s="11" t="str">
        <f>IFERROR(IF(MARÍTIMOS[[#This Row],[Etapa Retiro - Atención]]="","",MARÍTIMOS[[#This Row],[Etapa Retiro - Atención]]),"")</f>
        <v/>
      </c>
      <c r="W678" s="11" t="str">
        <f>IFERROR(IF(MARÍTIMOS[[#This Row],[Etapa Retiro - Atención]]="","",MARÍTIMOS[[#This Row],[Etapa Retiro - Atención]]),"")</f>
        <v/>
      </c>
      <c r="X678" s="11" t="str">
        <f>IFERROR(IF(MARÍTIMOS[[#This Row],[Etapa Retiro - Inicio de Ruta]]="","",MARÍTIMOS[[#This Row],[Etapa Retiro - Inicio de Ruta]]),"")</f>
        <v/>
      </c>
      <c r="Y678" s="11" t="str">
        <f>IFERROR(IF(MARÍTIMOS[[#This Row],[Hora de Posicionamiento]]="","",MARÍTIMOS[[#This Row],[Fecha de Carga]]+MARÍTIMOS[[#This Row],[Hora de Posicionamiento]]),"")</f>
        <v/>
      </c>
      <c r="Z678" s="11" t="str">
        <f>IFERROR(IF(MARÍTIMOS[[#This Row],[Etapa Despacho - Llegada]]="","",MARÍTIMOS[[#This Row],[Etapa Despacho - Llegada]]),"")</f>
        <v/>
      </c>
      <c r="AA678" s="11" t="str">
        <f>IFERROR(IF(MARÍTIMOS[[#This Row],[Etapa Despacho - Registro]]="","",MARÍTIMOS[[#This Row],[Etapa Despacho - Registro]]),"")</f>
        <v/>
      </c>
      <c r="AB678" s="11" t="str">
        <f>IFERROR(IF(MARÍTIMOS[[#This Row],[Inspección Externa]]="","",MARÍTIMOS[[#This Row],[Inspección Externa]]),"")</f>
        <v/>
      </c>
      <c r="AC678" s="11" t="str">
        <f>IFERROR(IF(MARÍTIMOS[[#This Row],[Etapa Despacho - Inicio de Carga]]="","",MARÍTIMOS[[#This Row],[Etapa Despacho - Inicio de Carga]]),"")</f>
        <v/>
      </c>
      <c r="AD678" s="11" t="str">
        <f>IFERROR(IF(MARÍTIMOS[[#This Row],[Etapa Despacho - Mitad de Carga]]="","",MARÍTIMOS[[#This Row],[Etapa Despacho - Mitad de Carga]]),"")</f>
        <v/>
      </c>
      <c r="AE678" s="11" t="str">
        <f>IFERROR(IF(MARÍTIMOS[[#This Row],[Etapa Despacho - Fin de Carga]]="","",MARÍTIMOS[[#This Row],[Etapa Despacho - Fin de Carga]]),"")</f>
        <v/>
      </c>
      <c r="AF678" s="2" t="str">
        <f>IFERROR(IF(MARÍTIMOS[[#This Row],[Puerto de Embarque]]="","",MARÍTIMOS[[#This Row],[Puerto de Embarque]]),"")</f>
        <v/>
      </c>
      <c r="AG678" s="2" t="str">
        <f>IFERROR(IF(MARÍTIMOS[[#This Row],[Almacén de Ingreso]]="","",MARÍTIMOS[[#This Row],[Almacén de Ingreso]]),"")</f>
        <v/>
      </c>
      <c r="AH678" s="11" t="str">
        <f>IFERROR(IF(MARÍTIMOS[[#This Row],[Etapa Ingreso - Cita]]="","",MARÍTIMOS[[#This Row],[Etapa Ingreso - Cita]]),"")</f>
        <v/>
      </c>
      <c r="AI678" s="11" t="str">
        <f>IFERROR(IF(MARÍTIMOS[[#This Row],[Etapa Ingreso - Llegada]]="","",MARÍTIMOS[[#This Row],[Etapa Ingreso - Llegada]]),"")</f>
        <v/>
      </c>
      <c r="AJ678" s="11" t="str">
        <f>IFERROR(IF(MARÍTIMOS[[#This Row],[Etapa Ingreso - Ingeso]]="","",MARÍTIMOS[[#This Row],[Etapa Ingreso - Ingeso]]),"")</f>
        <v/>
      </c>
      <c r="AK678" s="11" t="str">
        <f>IFERROR(IF(MARÍTIMOS[[#This Row],[Etapa Ingreso - Atención]]="","",MARÍTIMOS[[#This Row],[Etapa Ingreso - Atención]]),"")</f>
        <v/>
      </c>
      <c r="AL678" s="11" t="str">
        <f>IFERROR(IF(MARÍTIMOS[[#This Row],[Etapa Ingreso - Salida]]="","",MARÍTIMOS[[#This Row],[Etapa Ingreso - Salida]]),"")</f>
        <v/>
      </c>
      <c r="AM678" s="2" t="str">
        <f>IFERROR(IF(MARÍTIMOS[[#This Row],[FCL]]="","",MARÍTIMOS[[#This Row],[FCL]]),"")</f>
        <v/>
      </c>
      <c r="AN6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8" s="4" t="str" cm="1">
        <f t="array" ref="AO6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8" s="5" t="str">
        <f>IFERROR(OLDBD[[#This Row],[Llegada a packing]]-OLDBD[[#This Row],[Inicio de Ruta]],"")</f>
        <v/>
      </c>
      <c r="AQ678" s="6" t="str">
        <f>IFERROR(OLDBD[[#This Row],[Inicio de Ruta]]-OLDBD[[#This Row],[Salida de almacén de retiro]],"")</f>
        <v/>
      </c>
      <c r="AR6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8" s="8" t="str" cm="1">
        <f t="array" ref="AS6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8" s="9" t="str">
        <f>IFERROR(OLDBD[[#This Row],[Ingreso Packing]]-OLDBD[[#This Row],[Registro en Packing]],"")</f>
        <v/>
      </c>
      <c r="AV678" s="9" t="str">
        <f>IFERROR(OLDBD[[#This Row],[Ingreso Packing]]-OLDBD[[#This Row],[Llegada a packing]],"")</f>
        <v/>
      </c>
      <c r="AW6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8" s="5" t="str">
        <f>IFERROR(OLDBD[[#This Row],[Llegada Almacén de Ingreso]]-OLDBD[[#This Row],[Salida Packing]],"")</f>
        <v/>
      </c>
      <c r="AY678" s="4" t="str" cm="1">
        <f t="array" ref="AY6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8" s="43" t="s">
        <v>173</v>
      </c>
      <c r="BB678" s="47" t="str">
        <f>IFERROR(IF(MARÍTIMOS[[#This Row],[Estatus]]="","",MARÍTIMOS[[#This Row],[Estatus]]),"")</f>
        <v/>
      </c>
      <c r="BC678" s="43"/>
      <c r="BD678" s="46" t="str">
        <f>IFERROR(OLDBD[[#This Row],[Salida de almacén de retiro]]-OLDBD[[#This Row],[Ingreso Almacén de retiro]],"")</f>
        <v/>
      </c>
      <c r="BE678" s="46" t="str">
        <f>IFERROR(OLDBD[[#This Row],[Fin de Carga]]-OLDBD[[#This Row],[Inicio de Carga]],"")</f>
        <v/>
      </c>
    </row>
    <row r="679" spans="1:57" customFormat="1" hidden="1">
      <c r="A679" s="1"/>
      <c r="B679" s="1" t="str">
        <f>IFERROR(IF(MARÍTIMOS[[#This Row],[PP]]="","",MARÍTIMOS[[#This Row],[PP]]),"")</f>
        <v/>
      </c>
      <c r="C679" s="1" t="str">
        <f>IFERROR(IF(MARÍTIMOS[[#This Row],[Sede]]="","",MARÍTIMOS[[#This Row],[Sede]]),"")</f>
        <v/>
      </c>
      <c r="D679" s="1" t="str">
        <f>IFERROR(IF(MARÍTIMOS[[#This Row],[Instruction]]="","",MARÍTIMOS[[#This Row],[Instruction]]),"")</f>
        <v/>
      </c>
      <c r="E679" s="1"/>
      <c r="F679" s="2" t="str">
        <f>IFERROR(IF(MARÍTIMOS[[#This Row],[Transportista]]="","",MARÍTIMOS[[#This Row],[Transportista]]),"")</f>
        <v/>
      </c>
      <c r="G679" s="2" t="str">
        <f>IFERROR(IF(MARÍTIMOS[[#This Row],[Tercero]]="","",MARÍTIMOS[[#This Row],[Tercero]]),"")</f>
        <v/>
      </c>
      <c r="H679" s="2" t="str">
        <f>IFERROR(IF(MARÍTIMOS[[#This Row],[Razón Social]]="","",MARÍTIMOS[[#This Row],[Razón Social]]),"")</f>
        <v/>
      </c>
      <c r="I679" s="2" t="str">
        <f>IFERROR(IF(MARÍTIMOS[[#This Row],[RUC]]="","",MARÍTIMOS[[#This Row],[RUC]]),"")</f>
        <v/>
      </c>
      <c r="J679" s="2" t="str">
        <f>IFERROR(IF(MARÍTIMOS[[#This Row],[Placa Tracto]]="","",MARÍTIMOS[[#This Row],[Placa Tracto]]),"")</f>
        <v/>
      </c>
      <c r="K679" s="2" t="str">
        <f>IFERROR(IF(MARÍTIMOS[[#This Row],[Placa Carreta]]="","",MARÍTIMOS[[#This Row],[Placa Carreta]]),"")</f>
        <v/>
      </c>
      <c r="L679" s="44" t="str">
        <f>IFERROR(IF(MARÍTIMOS[[#This Row],[Conductor]]="","",MARÍTIMOS[[#This Row],[Conductor]]),"")</f>
        <v/>
      </c>
      <c r="M679" s="2" t="str">
        <f>IFERROR(IF(MARÍTIMOS[[#This Row],[Licencia]]="","",MARÍTIMOS[[#This Row],[Licencia]]),"")</f>
        <v/>
      </c>
      <c r="N679" s="2" t="str">
        <f>IFERROR(IF(MARÍTIMOS[[#This Row],[Número de Contacto]]="","",MARÍTIMOS[[#This Row],[Número de Contacto]]),"")</f>
        <v/>
      </c>
      <c r="O679" s="10" t="str">
        <f>IFERROR(IF(MARÍTIMOS[[#This Row],[Booking|AWB|CRT]]="","",MARÍTIMOS[[#This Row],[Booking|AWB|CRT]]),"")</f>
        <v/>
      </c>
      <c r="P679" s="2" t="str">
        <f>IFERROR(IF(MARÍTIMOS[[#This Row],[Contenedor]]="","",MARÍTIMOS[[#This Row],[Contenedor]]),"")</f>
        <v/>
      </c>
      <c r="Q679" s="2" t="str">
        <f>IFERROR(IF(MARÍTIMOS[[#This Row],[Puerto de Retiro]]="","",MARÍTIMOS[[#This Row],[Puerto de Retiro]]),"")</f>
        <v/>
      </c>
      <c r="R679" s="2" t="str">
        <f>IFERROR(IF(MARÍTIMOS[[#This Row],[Almacén de Retiro]]="","",MARÍTIMOS[[#This Row],[Almacén de Retiro]]),"")</f>
        <v/>
      </c>
      <c r="S679" s="11" t="str">
        <f>IFERROR(IF(MARÍTIMOS[[#This Row],[Etapa Retiro - Cita]]="","",MARÍTIMOS[[#This Row],[Etapa Retiro - Cita]]),"")</f>
        <v/>
      </c>
      <c r="T679" s="11" t="str">
        <f>IFERROR(IF(MARÍTIMOS[[#This Row],[Etapa Retiro - Llegada]]="","",MARÍTIMOS[[#This Row],[Etapa Retiro - Llegada]]),"")</f>
        <v/>
      </c>
      <c r="U679" s="11" t="str">
        <f>IFERROR(IF(MARÍTIMOS[[#This Row],[Etapa Retiro - Ingreso]]="","",MARÍTIMOS[[#This Row],[Etapa Retiro - Ingreso]]),"")</f>
        <v/>
      </c>
      <c r="V679" s="11" t="str">
        <f>IFERROR(IF(MARÍTIMOS[[#This Row],[Etapa Retiro - Atención]]="","",MARÍTIMOS[[#This Row],[Etapa Retiro - Atención]]),"")</f>
        <v/>
      </c>
      <c r="W679" s="11" t="str">
        <f>IFERROR(IF(MARÍTIMOS[[#This Row],[Etapa Retiro - Atención]]="","",MARÍTIMOS[[#This Row],[Etapa Retiro - Atención]]),"")</f>
        <v/>
      </c>
      <c r="X679" s="11" t="str">
        <f>IFERROR(IF(MARÍTIMOS[[#This Row],[Etapa Retiro - Inicio de Ruta]]="","",MARÍTIMOS[[#This Row],[Etapa Retiro - Inicio de Ruta]]),"")</f>
        <v/>
      </c>
      <c r="Y679" s="11" t="str">
        <f>IFERROR(IF(MARÍTIMOS[[#This Row],[Hora de Posicionamiento]]="","",MARÍTIMOS[[#This Row],[Fecha de Carga]]+MARÍTIMOS[[#This Row],[Hora de Posicionamiento]]),"")</f>
        <v/>
      </c>
      <c r="Z679" s="11" t="str">
        <f>IFERROR(IF(MARÍTIMOS[[#This Row],[Etapa Despacho - Llegada]]="","",MARÍTIMOS[[#This Row],[Etapa Despacho - Llegada]]),"")</f>
        <v/>
      </c>
      <c r="AA679" s="11" t="str">
        <f>IFERROR(IF(MARÍTIMOS[[#This Row],[Etapa Despacho - Registro]]="","",MARÍTIMOS[[#This Row],[Etapa Despacho - Registro]]),"")</f>
        <v/>
      </c>
      <c r="AB679" s="11" t="str">
        <f>IFERROR(IF(MARÍTIMOS[[#This Row],[Inspección Externa]]="","",MARÍTIMOS[[#This Row],[Inspección Externa]]),"")</f>
        <v/>
      </c>
      <c r="AC679" s="11" t="str">
        <f>IFERROR(IF(MARÍTIMOS[[#This Row],[Etapa Despacho - Inicio de Carga]]="","",MARÍTIMOS[[#This Row],[Etapa Despacho - Inicio de Carga]]),"")</f>
        <v/>
      </c>
      <c r="AD679" s="11" t="str">
        <f>IFERROR(IF(MARÍTIMOS[[#This Row],[Etapa Despacho - Mitad de Carga]]="","",MARÍTIMOS[[#This Row],[Etapa Despacho - Mitad de Carga]]),"")</f>
        <v/>
      </c>
      <c r="AE679" s="11" t="str">
        <f>IFERROR(IF(MARÍTIMOS[[#This Row],[Etapa Despacho - Fin de Carga]]="","",MARÍTIMOS[[#This Row],[Etapa Despacho - Fin de Carga]]),"")</f>
        <v/>
      </c>
      <c r="AF679" s="2" t="str">
        <f>IFERROR(IF(MARÍTIMOS[[#This Row],[Puerto de Embarque]]="","",MARÍTIMOS[[#This Row],[Puerto de Embarque]]),"")</f>
        <v/>
      </c>
      <c r="AG679" s="2" t="str">
        <f>IFERROR(IF(MARÍTIMOS[[#This Row],[Almacén de Ingreso]]="","",MARÍTIMOS[[#This Row],[Almacén de Ingreso]]),"")</f>
        <v/>
      </c>
      <c r="AH679" s="11" t="str">
        <f>IFERROR(IF(MARÍTIMOS[[#This Row],[Etapa Ingreso - Cita]]="","",MARÍTIMOS[[#This Row],[Etapa Ingreso - Cita]]),"")</f>
        <v/>
      </c>
      <c r="AI679" s="11" t="str">
        <f>IFERROR(IF(MARÍTIMOS[[#This Row],[Etapa Ingreso - Llegada]]="","",MARÍTIMOS[[#This Row],[Etapa Ingreso - Llegada]]),"")</f>
        <v/>
      </c>
      <c r="AJ679" s="11" t="str">
        <f>IFERROR(IF(MARÍTIMOS[[#This Row],[Etapa Ingreso - Ingeso]]="","",MARÍTIMOS[[#This Row],[Etapa Ingreso - Ingeso]]),"")</f>
        <v/>
      </c>
      <c r="AK679" s="11" t="str">
        <f>IFERROR(IF(MARÍTIMOS[[#This Row],[Etapa Ingreso - Atención]]="","",MARÍTIMOS[[#This Row],[Etapa Ingreso - Atención]]),"")</f>
        <v/>
      </c>
      <c r="AL679" s="11" t="str">
        <f>IFERROR(IF(MARÍTIMOS[[#This Row],[Etapa Ingreso - Salida]]="","",MARÍTIMOS[[#This Row],[Etapa Ingreso - Salida]]),"")</f>
        <v/>
      </c>
      <c r="AM679" s="2" t="str">
        <f>IFERROR(IF(MARÍTIMOS[[#This Row],[FCL]]="","",MARÍTIMOS[[#This Row],[FCL]]),"")</f>
        <v/>
      </c>
      <c r="AN6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79" s="4" t="str" cm="1">
        <f t="array" ref="AO6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79" s="5" t="str">
        <f>IFERROR(OLDBD[[#This Row],[Llegada a packing]]-OLDBD[[#This Row],[Inicio de Ruta]],"")</f>
        <v/>
      </c>
      <c r="AQ679" s="6" t="str">
        <f>IFERROR(OLDBD[[#This Row],[Inicio de Ruta]]-OLDBD[[#This Row],[Salida de almacén de retiro]],"")</f>
        <v/>
      </c>
      <c r="AR6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79" s="8" t="str" cm="1">
        <f t="array" ref="AS6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79" s="9" t="str">
        <f>IFERROR(OLDBD[[#This Row],[Ingreso Packing]]-OLDBD[[#This Row],[Registro en Packing]],"")</f>
        <v/>
      </c>
      <c r="AV679" s="9" t="str">
        <f>IFERROR(OLDBD[[#This Row],[Ingreso Packing]]-OLDBD[[#This Row],[Llegada a packing]],"")</f>
        <v/>
      </c>
      <c r="AW6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79" s="5" t="str">
        <f>IFERROR(OLDBD[[#This Row],[Llegada Almacén de Ingreso]]-OLDBD[[#This Row],[Salida Packing]],"")</f>
        <v/>
      </c>
      <c r="AY679" s="4" t="str" cm="1">
        <f t="array" ref="AY6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79" s="43" t="s">
        <v>173</v>
      </c>
      <c r="BB679" s="47" t="str">
        <f>IFERROR(IF(MARÍTIMOS[[#This Row],[Estatus]]="","",MARÍTIMOS[[#This Row],[Estatus]]),"")</f>
        <v/>
      </c>
      <c r="BC679" s="43"/>
      <c r="BD679" s="46" t="str">
        <f>IFERROR(OLDBD[[#This Row],[Salida de almacén de retiro]]-OLDBD[[#This Row],[Ingreso Almacén de retiro]],"")</f>
        <v/>
      </c>
      <c r="BE679" s="46" t="str">
        <f>IFERROR(OLDBD[[#This Row],[Fin de Carga]]-OLDBD[[#This Row],[Inicio de Carga]],"")</f>
        <v/>
      </c>
    </row>
    <row r="680" spans="1:57" customFormat="1" hidden="1">
      <c r="A680" s="1"/>
      <c r="B680" s="1" t="str">
        <f>IFERROR(IF(MARÍTIMOS[[#This Row],[PP]]="","",MARÍTIMOS[[#This Row],[PP]]),"")</f>
        <v/>
      </c>
      <c r="C680" s="1" t="str">
        <f>IFERROR(IF(MARÍTIMOS[[#This Row],[Sede]]="","",MARÍTIMOS[[#This Row],[Sede]]),"")</f>
        <v/>
      </c>
      <c r="D680" s="1" t="str">
        <f>IFERROR(IF(MARÍTIMOS[[#This Row],[Instruction]]="","",MARÍTIMOS[[#This Row],[Instruction]]),"")</f>
        <v/>
      </c>
      <c r="E680" s="1"/>
      <c r="F680" s="2" t="str">
        <f>IFERROR(IF(MARÍTIMOS[[#This Row],[Transportista]]="","",MARÍTIMOS[[#This Row],[Transportista]]),"")</f>
        <v/>
      </c>
      <c r="G680" s="2" t="str">
        <f>IFERROR(IF(MARÍTIMOS[[#This Row],[Tercero]]="","",MARÍTIMOS[[#This Row],[Tercero]]),"")</f>
        <v/>
      </c>
      <c r="H680" s="2" t="str">
        <f>IFERROR(IF(MARÍTIMOS[[#This Row],[Razón Social]]="","",MARÍTIMOS[[#This Row],[Razón Social]]),"")</f>
        <v/>
      </c>
      <c r="I680" s="2" t="str">
        <f>IFERROR(IF(MARÍTIMOS[[#This Row],[RUC]]="","",MARÍTIMOS[[#This Row],[RUC]]),"")</f>
        <v/>
      </c>
      <c r="J680" s="2" t="str">
        <f>IFERROR(IF(MARÍTIMOS[[#This Row],[Placa Tracto]]="","",MARÍTIMOS[[#This Row],[Placa Tracto]]),"")</f>
        <v/>
      </c>
      <c r="K680" s="2" t="str">
        <f>IFERROR(IF(MARÍTIMOS[[#This Row],[Placa Carreta]]="","",MARÍTIMOS[[#This Row],[Placa Carreta]]),"")</f>
        <v/>
      </c>
      <c r="L680" s="44" t="str">
        <f>IFERROR(IF(MARÍTIMOS[[#This Row],[Conductor]]="","",MARÍTIMOS[[#This Row],[Conductor]]),"")</f>
        <v/>
      </c>
      <c r="M680" s="2" t="str">
        <f>IFERROR(IF(MARÍTIMOS[[#This Row],[Licencia]]="","",MARÍTIMOS[[#This Row],[Licencia]]),"")</f>
        <v/>
      </c>
      <c r="N680" s="2" t="str">
        <f>IFERROR(IF(MARÍTIMOS[[#This Row],[Número de Contacto]]="","",MARÍTIMOS[[#This Row],[Número de Contacto]]),"")</f>
        <v/>
      </c>
      <c r="O680" s="10" t="str">
        <f>IFERROR(IF(MARÍTIMOS[[#This Row],[Booking|AWB|CRT]]="","",MARÍTIMOS[[#This Row],[Booking|AWB|CRT]]),"")</f>
        <v/>
      </c>
      <c r="P680" s="2" t="str">
        <f>IFERROR(IF(MARÍTIMOS[[#This Row],[Contenedor]]="","",MARÍTIMOS[[#This Row],[Contenedor]]),"")</f>
        <v/>
      </c>
      <c r="Q680" s="2" t="str">
        <f>IFERROR(IF(MARÍTIMOS[[#This Row],[Puerto de Retiro]]="","",MARÍTIMOS[[#This Row],[Puerto de Retiro]]),"")</f>
        <v/>
      </c>
      <c r="R680" s="2" t="str">
        <f>IFERROR(IF(MARÍTIMOS[[#This Row],[Almacén de Retiro]]="","",MARÍTIMOS[[#This Row],[Almacén de Retiro]]),"")</f>
        <v/>
      </c>
      <c r="S680" s="11" t="str">
        <f>IFERROR(IF(MARÍTIMOS[[#This Row],[Etapa Retiro - Cita]]="","",MARÍTIMOS[[#This Row],[Etapa Retiro - Cita]]),"")</f>
        <v/>
      </c>
      <c r="T680" s="11" t="str">
        <f>IFERROR(IF(MARÍTIMOS[[#This Row],[Etapa Retiro - Llegada]]="","",MARÍTIMOS[[#This Row],[Etapa Retiro - Llegada]]),"")</f>
        <v/>
      </c>
      <c r="U680" s="11" t="str">
        <f>IFERROR(IF(MARÍTIMOS[[#This Row],[Etapa Retiro - Ingreso]]="","",MARÍTIMOS[[#This Row],[Etapa Retiro - Ingreso]]),"")</f>
        <v/>
      </c>
      <c r="V680" s="11" t="str">
        <f>IFERROR(IF(MARÍTIMOS[[#This Row],[Etapa Retiro - Atención]]="","",MARÍTIMOS[[#This Row],[Etapa Retiro - Atención]]),"")</f>
        <v/>
      </c>
      <c r="W680" s="11" t="str">
        <f>IFERROR(IF(MARÍTIMOS[[#This Row],[Etapa Retiro - Atención]]="","",MARÍTIMOS[[#This Row],[Etapa Retiro - Atención]]),"")</f>
        <v/>
      </c>
      <c r="X680" s="11" t="str">
        <f>IFERROR(IF(MARÍTIMOS[[#This Row],[Etapa Retiro - Inicio de Ruta]]="","",MARÍTIMOS[[#This Row],[Etapa Retiro - Inicio de Ruta]]),"")</f>
        <v/>
      </c>
      <c r="Y680" s="11" t="str">
        <f>IFERROR(IF(MARÍTIMOS[[#This Row],[Hora de Posicionamiento]]="","",MARÍTIMOS[[#This Row],[Fecha de Carga]]+MARÍTIMOS[[#This Row],[Hora de Posicionamiento]]),"")</f>
        <v/>
      </c>
      <c r="Z680" s="11" t="str">
        <f>IFERROR(IF(MARÍTIMOS[[#This Row],[Etapa Despacho - Llegada]]="","",MARÍTIMOS[[#This Row],[Etapa Despacho - Llegada]]),"")</f>
        <v/>
      </c>
      <c r="AA680" s="11" t="str">
        <f>IFERROR(IF(MARÍTIMOS[[#This Row],[Etapa Despacho - Registro]]="","",MARÍTIMOS[[#This Row],[Etapa Despacho - Registro]]),"")</f>
        <v/>
      </c>
      <c r="AB680" s="11" t="str">
        <f>IFERROR(IF(MARÍTIMOS[[#This Row],[Inspección Externa]]="","",MARÍTIMOS[[#This Row],[Inspección Externa]]),"")</f>
        <v/>
      </c>
      <c r="AC680" s="11" t="str">
        <f>IFERROR(IF(MARÍTIMOS[[#This Row],[Etapa Despacho - Inicio de Carga]]="","",MARÍTIMOS[[#This Row],[Etapa Despacho - Inicio de Carga]]),"")</f>
        <v/>
      </c>
      <c r="AD680" s="11" t="str">
        <f>IFERROR(IF(MARÍTIMOS[[#This Row],[Etapa Despacho - Mitad de Carga]]="","",MARÍTIMOS[[#This Row],[Etapa Despacho - Mitad de Carga]]),"")</f>
        <v/>
      </c>
      <c r="AE680" s="11" t="str">
        <f>IFERROR(IF(MARÍTIMOS[[#This Row],[Etapa Despacho - Fin de Carga]]="","",MARÍTIMOS[[#This Row],[Etapa Despacho - Fin de Carga]]),"")</f>
        <v/>
      </c>
      <c r="AF680" s="2" t="str">
        <f>IFERROR(IF(MARÍTIMOS[[#This Row],[Puerto de Embarque]]="","",MARÍTIMOS[[#This Row],[Puerto de Embarque]]),"")</f>
        <v/>
      </c>
      <c r="AG680" s="2" t="str">
        <f>IFERROR(IF(MARÍTIMOS[[#This Row],[Almacén de Ingreso]]="","",MARÍTIMOS[[#This Row],[Almacén de Ingreso]]),"")</f>
        <v/>
      </c>
      <c r="AH680" s="11" t="str">
        <f>IFERROR(IF(MARÍTIMOS[[#This Row],[Etapa Ingreso - Cita]]="","",MARÍTIMOS[[#This Row],[Etapa Ingreso - Cita]]),"")</f>
        <v/>
      </c>
      <c r="AI680" s="11" t="str">
        <f>IFERROR(IF(MARÍTIMOS[[#This Row],[Etapa Ingreso - Llegada]]="","",MARÍTIMOS[[#This Row],[Etapa Ingreso - Llegada]]),"")</f>
        <v/>
      </c>
      <c r="AJ680" s="11" t="str">
        <f>IFERROR(IF(MARÍTIMOS[[#This Row],[Etapa Ingreso - Ingeso]]="","",MARÍTIMOS[[#This Row],[Etapa Ingreso - Ingeso]]),"")</f>
        <v/>
      </c>
      <c r="AK680" s="11" t="str">
        <f>IFERROR(IF(MARÍTIMOS[[#This Row],[Etapa Ingreso - Atención]]="","",MARÍTIMOS[[#This Row],[Etapa Ingreso - Atención]]),"")</f>
        <v/>
      </c>
      <c r="AL680" s="11" t="str">
        <f>IFERROR(IF(MARÍTIMOS[[#This Row],[Etapa Ingreso - Salida]]="","",MARÍTIMOS[[#This Row],[Etapa Ingreso - Salida]]),"")</f>
        <v/>
      </c>
      <c r="AM680" s="2" t="str">
        <f>IFERROR(IF(MARÍTIMOS[[#This Row],[FCL]]="","",MARÍTIMOS[[#This Row],[FCL]]),"")</f>
        <v/>
      </c>
      <c r="AN6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0" s="4" t="str" cm="1">
        <f t="array" ref="AO6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0" s="5" t="str">
        <f>IFERROR(OLDBD[[#This Row],[Llegada a packing]]-OLDBD[[#This Row],[Inicio de Ruta]],"")</f>
        <v/>
      </c>
      <c r="AQ680" s="6" t="str">
        <f>IFERROR(OLDBD[[#This Row],[Inicio de Ruta]]-OLDBD[[#This Row],[Salida de almacén de retiro]],"")</f>
        <v/>
      </c>
      <c r="AR6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0" s="8" t="str" cm="1">
        <f t="array" ref="AS6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0" s="9" t="str">
        <f>IFERROR(OLDBD[[#This Row],[Ingreso Packing]]-OLDBD[[#This Row],[Registro en Packing]],"")</f>
        <v/>
      </c>
      <c r="AV680" s="9" t="str">
        <f>IFERROR(OLDBD[[#This Row],[Ingreso Packing]]-OLDBD[[#This Row],[Llegada a packing]],"")</f>
        <v/>
      </c>
      <c r="AW6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0" s="5" t="str">
        <f>IFERROR(OLDBD[[#This Row],[Llegada Almacén de Ingreso]]-OLDBD[[#This Row],[Salida Packing]],"")</f>
        <v/>
      </c>
      <c r="AY680" s="4" t="str" cm="1">
        <f t="array" ref="AY6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0" s="43" t="s">
        <v>173</v>
      </c>
      <c r="BB680" s="47" t="str">
        <f>IFERROR(IF(MARÍTIMOS[[#This Row],[Estatus]]="","",MARÍTIMOS[[#This Row],[Estatus]]),"")</f>
        <v/>
      </c>
      <c r="BC680" s="43"/>
      <c r="BD680" s="46" t="str">
        <f>IFERROR(OLDBD[[#This Row],[Salida de almacén de retiro]]-OLDBD[[#This Row],[Ingreso Almacén de retiro]],"")</f>
        <v/>
      </c>
      <c r="BE680" s="46" t="str">
        <f>IFERROR(OLDBD[[#This Row],[Fin de Carga]]-OLDBD[[#This Row],[Inicio de Carga]],"")</f>
        <v/>
      </c>
    </row>
    <row r="681" spans="1:57" customFormat="1" hidden="1">
      <c r="A681" s="1"/>
      <c r="B681" s="1" t="str">
        <f>IFERROR(IF(MARÍTIMOS[[#This Row],[PP]]="","",MARÍTIMOS[[#This Row],[PP]]),"")</f>
        <v/>
      </c>
      <c r="C681" s="1" t="str">
        <f>IFERROR(IF(MARÍTIMOS[[#This Row],[Sede]]="","",MARÍTIMOS[[#This Row],[Sede]]),"")</f>
        <v/>
      </c>
      <c r="D681" s="1" t="str">
        <f>IFERROR(IF(MARÍTIMOS[[#This Row],[Instruction]]="","",MARÍTIMOS[[#This Row],[Instruction]]),"")</f>
        <v/>
      </c>
      <c r="E681" s="1"/>
      <c r="F681" s="2" t="str">
        <f>IFERROR(IF(MARÍTIMOS[[#This Row],[Transportista]]="","",MARÍTIMOS[[#This Row],[Transportista]]),"")</f>
        <v/>
      </c>
      <c r="G681" s="2" t="str">
        <f>IFERROR(IF(MARÍTIMOS[[#This Row],[Tercero]]="","",MARÍTIMOS[[#This Row],[Tercero]]),"")</f>
        <v/>
      </c>
      <c r="H681" s="2" t="str">
        <f>IFERROR(IF(MARÍTIMOS[[#This Row],[Razón Social]]="","",MARÍTIMOS[[#This Row],[Razón Social]]),"")</f>
        <v/>
      </c>
      <c r="I681" s="2" t="str">
        <f>IFERROR(IF(MARÍTIMOS[[#This Row],[RUC]]="","",MARÍTIMOS[[#This Row],[RUC]]),"")</f>
        <v/>
      </c>
      <c r="J681" s="2" t="str">
        <f>IFERROR(IF(MARÍTIMOS[[#This Row],[Placa Tracto]]="","",MARÍTIMOS[[#This Row],[Placa Tracto]]),"")</f>
        <v/>
      </c>
      <c r="K681" s="2" t="str">
        <f>IFERROR(IF(MARÍTIMOS[[#This Row],[Placa Carreta]]="","",MARÍTIMOS[[#This Row],[Placa Carreta]]),"")</f>
        <v/>
      </c>
      <c r="L681" s="44" t="str">
        <f>IFERROR(IF(MARÍTIMOS[[#This Row],[Conductor]]="","",MARÍTIMOS[[#This Row],[Conductor]]),"")</f>
        <v/>
      </c>
      <c r="M681" s="2" t="str">
        <f>IFERROR(IF(MARÍTIMOS[[#This Row],[Licencia]]="","",MARÍTIMOS[[#This Row],[Licencia]]),"")</f>
        <v/>
      </c>
      <c r="N681" s="2" t="str">
        <f>IFERROR(IF(MARÍTIMOS[[#This Row],[Número de Contacto]]="","",MARÍTIMOS[[#This Row],[Número de Contacto]]),"")</f>
        <v/>
      </c>
      <c r="O681" s="10" t="str">
        <f>IFERROR(IF(MARÍTIMOS[[#This Row],[Booking|AWB|CRT]]="","",MARÍTIMOS[[#This Row],[Booking|AWB|CRT]]),"")</f>
        <v/>
      </c>
      <c r="P681" s="2" t="str">
        <f>IFERROR(IF(MARÍTIMOS[[#This Row],[Contenedor]]="","",MARÍTIMOS[[#This Row],[Contenedor]]),"")</f>
        <v/>
      </c>
      <c r="Q681" s="2" t="str">
        <f>IFERROR(IF(MARÍTIMOS[[#This Row],[Puerto de Retiro]]="","",MARÍTIMOS[[#This Row],[Puerto de Retiro]]),"")</f>
        <v/>
      </c>
      <c r="R681" s="2" t="str">
        <f>IFERROR(IF(MARÍTIMOS[[#This Row],[Almacén de Retiro]]="","",MARÍTIMOS[[#This Row],[Almacén de Retiro]]),"")</f>
        <v/>
      </c>
      <c r="S681" s="11" t="str">
        <f>IFERROR(IF(MARÍTIMOS[[#This Row],[Etapa Retiro - Cita]]="","",MARÍTIMOS[[#This Row],[Etapa Retiro - Cita]]),"")</f>
        <v/>
      </c>
      <c r="T681" s="11" t="str">
        <f>IFERROR(IF(MARÍTIMOS[[#This Row],[Etapa Retiro - Llegada]]="","",MARÍTIMOS[[#This Row],[Etapa Retiro - Llegada]]),"")</f>
        <v/>
      </c>
      <c r="U681" s="11" t="str">
        <f>IFERROR(IF(MARÍTIMOS[[#This Row],[Etapa Retiro - Ingreso]]="","",MARÍTIMOS[[#This Row],[Etapa Retiro - Ingreso]]),"")</f>
        <v/>
      </c>
      <c r="V681" s="11" t="str">
        <f>IFERROR(IF(MARÍTIMOS[[#This Row],[Etapa Retiro - Atención]]="","",MARÍTIMOS[[#This Row],[Etapa Retiro - Atención]]),"")</f>
        <v/>
      </c>
      <c r="W681" s="11" t="str">
        <f>IFERROR(IF(MARÍTIMOS[[#This Row],[Etapa Retiro - Atención]]="","",MARÍTIMOS[[#This Row],[Etapa Retiro - Atención]]),"")</f>
        <v/>
      </c>
      <c r="X681" s="11" t="str">
        <f>IFERROR(IF(MARÍTIMOS[[#This Row],[Etapa Retiro - Inicio de Ruta]]="","",MARÍTIMOS[[#This Row],[Etapa Retiro - Inicio de Ruta]]),"")</f>
        <v/>
      </c>
      <c r="Y681" s="11" t="str">
        <f>IFERROR(IF(MARÍTIMOS[[#This Row],[Hora de Posicionamiento]]="","",MARÍTIMOS[[#This Row],[Fecha de Carga]]+MARÍTIMOS[[#This Row],[Hora de Posicionamiento]]),"")</f>
        <v/>
      </c>
      <c r="Z681" s="11" t="str">
        <f>IFERROR(IF(MARÍTIMOS[[#This Row],[Etapa Despacho - Llegada]]="","",MARÍTIMOS[[#This Row],[Etapa Despacho - Llegada]]),"")</f>
        <v/>
      </c>
      <c r="AA681" s="11" t="str">
        <f>IFERROR(IF(MARÍTIMOS[[#This Row],[Etapa Despacho - Registro]]="","",MARÍTIMOS[[#This Row],[Etapa Despacho - Registro]]),"")</f>
        <v/>
      </c>
      <c r="AB681" s="11" t="str">
        <f>IFERROR(IF(MARÍTIMOS[[#This Row],[Inspección Externa]]="","",MARÍTIMOS[[#This Row],[Inspección Externa]]),"")</f>
        <v/>
      </c>
      <c r="AC681" s="11" t="str">
        <f>IFERROR(IF(MARÍTIMOS[[#This Row],[Etapa Despacho - Inicio de Carga]]="","",MARÍTIMOS[[#This Row],[Etapa Despacho - Inicio de Carga]]),"")</f>
        <v/>
      </c>
      <c r="AD681" s="11" t="str">
        <f>IFERROR(IF(MARÍTIMOS[[#This Row],[Etapa Despacho - Mitad de Carga]]="","",MARÍTIMOS[[#This Row],[Etapa Despacho - Mitad de Carga]]),"")</f>
        <v/>
      </c>
      <c r="AE681" s="11" t="str">
        <f>IFERROR(IF(MARÍTIMOS[[#This Row],[Etapa Despacho - Fin de Carga]]="","",MARÍTIMOS[[#This Row],[Etapa Despacho - Fin de Carga]]),"")</f>
        <v/>
      </c>
      <c r="AF681" s="2" t="str">
        <f>IFERROR(IF(MARÍTIMOS[[#This Row],[Puerto de Embarque]]="","",MARÍTIMOS[[#This Row],[Puerto de Embarque]]),"")</f>
        <v/>
      </c>
      <c r="AG681" s="2" t="str">
        <f>IFERROR(IF(MARÍTIMOS[[#This Row],[Almacén de Ingreso]]="","",MARÍTIMOS[[#This Row],[Almacén de Ingreso]]),"")</f>
        <v/>
      </c>
      <c r="AH681" s="11" t="str">
        <f>IFERROR(IF(MARÍTIMOS[[#This Row],[Etapa Ingreso - Cita]]="","",MARÍTIMOS[[#This Row],[Etapa Ingreso - Cita]]),"")</f>
        <v/>
      </c>
      <c r="AI681" s="11" t="str">
        <f>IFERROR(IF(MARÍTIMOS[[#This Row],[Etapa Ingreso - Llegada]]="","",MARÍTIMOS[[#This Row],[Etapa Ingreso - Llegada]]),"")</f>
        <v/>
      </c>
      <c r="AJ681" s="11" t="str">
        <f>IFERROR(IF(MARÍTIMOS[[#This Row],[Etapa Ingreso - Ingeso]]="","",MARÍTIMOS[[#This Row],[Etapa Ingreso - Ingeso]]),"")</f>
        <v/>
      </c>
      <c r="AK681" s="11" t="str">
        <f>IFERROR(IF(MARÍTIMOS[[#This Row],[Etapa Ingreso - Atención]]="","",MARÍTIMOS[[#This Row],[Etapa Ingreso - Atención]]),"")</f>
        <v/>
      </c>
      <c r="AL681" s="11" t="str">
        <f>IFERROR(IF(MARÍTIMOS[[#This Row],[Etapa Ingreso - Salida]]="","",MARÍTIMOS[[#This Row],[Etapa Ingreso - Salida]]),"")</f>
        <v/>
      </c>
      <c r="AM681" s="2" t="str">
        <f>IFERROR(IF(MARÍTIMOS[[#This Row],[FCL]]="","",MARÍTIMOS[[#This Row],[FCL]]),"")</f>
        <v/>
      </c>
      <c r="AN6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1" s="4" t="str" cm="1">
        <f t="array" ref="AO6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1" s="5" t="str">
        <f>IFERROR(OLDBD[[#This Row],[Llegada a packing]]-OLDBD[[#This Row],[Inicio de Ruta]],"")</f>
        <v/>
      </c>
      <c r="AQ681" s="6" t="str">
        <f>IFERROR(OLDBD[[#This Row],[Inicio de Ruta]]-OLDBD[[#This Row],[Salida de almacén de retiro]],"")</f>
        <v/>
      </c>
      <c r="AR6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1" s="8" t="str" cm="1">
        <f t="array" ref="AS6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1" s="9" t="str">
        <f>IFERROR(OLDBD[[#This Row],[Ingreso Packing]]-OLDBD[[#This Row],[Registro en Packing]],"")</f>
        <v/>
      </c>
      <c r="AV681" s="9" t="str">
        <f>IFERROR(OLDBD[[#This Row],[Ingreso Packing]]-OLDBD[[#This Row],[Llegada a packing]],"")</f>
        <v/>
      </c>
      <c r="AW6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1" s="5" t="str">
        <f>IFERROR(OLDBD[[#This Row],[Llegada Almacén de Ingreso]]-OLDBD[[#This Row],[Salida Packing]],"")</f>
        <v/>
      </c>
      <c r="AY681" s="4" t="str" cm="1">
        <f t="array" ref="AY6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1" s="43" t="s">
        <v>173</v>
      </c>
      <c r="BB681" s="47" t="str">
        <f>IFERROR(IF(MARÍTIMOS[[#This Row],[Estatus]]="","",MARÍTIMOS[[#This Row],[Estatus]]),"")</f>
        <v/>
      </c>
      <c r="BC681" s="43"/>
      <c r="BD681" s="46" t="str">
        <f>IFERROR(OLDBD[[#This Row],[Salida de almacén de retiro]]-OLDBD[[#This Row],[Ingreso Almacén de retiro]],"")</f>
        <v/>
      </c>
      <c r="BE681" s="46" t="str">
        <f>IFERROR(OLDBD[[#This Row],[Fin de Carga]]-OLDBD[[#This Row],[Inicio de Carga]],"")</f>
        <v/>
      </c>
    </row>
    <row r="682" spans="1:57" customFormat="1" hidden="1">
      <c r="A682" s="1"/>
      <c r="B682" s="1" t="str">
        <f>IFERROR(IF(MARÍTIMOS[[#This Row],[PP]]="","",MARÍTIMOS[[#This Row],[PP]]),"")</f>
        <v/>
      </c>
      <c r="C682" s="1" t="str">
        <f>IFERROR(IF(MARÍTIMOS[[#This Row],[Sede]]="","",MARÍTIMOS[[#This Row],[Sede]]),"")</f>
        <v/>
      </c>
      <c r="D682" s="1" t="str">
        <f>IFERROR(IF(MARÍTIMOS[[#This Row],[Instruction]]="","",MARÍTIMOS[[#This Row],[Instruction]]),"")</f>
        <v/>
      </c>
      <c r="E682" s="1"/>
      <c r="F682" s="2" t="str">
        <f>IFERROR(IF(MARÍTIMOS[[#This Row],[Transportista]]="","",MARÍTIMOS[[#This Row],[Transportista]]),"")</f>
        <v/>
      </c>
      <c r="G682" s="2" t="str">
        <f>IFERROR(IF(MARÍTIMOS[[#This Row],[Tercero]]="","",MARÍTIMOS[[#This Row],[Tercero]]),"")</f>
        <v/>
      </c>
      <c r="H682" s="2" t="str">
        <f>IFERROR(IF(MARÍTIMOS[[#This Row],[Razón Social]]="","",MARÍTIMOS[[#This Row],[Razón Social]]),"")</f>
        <v/>
      </c>
      <c r="I682" s="2" t="str">
        <f>IFERROR(IF(MARÍTIMOS[[#This Row],[RUC]]="","",MARÍTIMOS[[#This Row],[RUC]]),"")</f>
        <v/>
      </c>
      <c r="J682" s="2" t="str">
        <f>IFERROR(IF(MARÍTIMOS[[#This Row],[Placa Tracto]]="","",MARÍTIMOS[[#This Row],[Placa Tracto]]),"")</f>
        <v/>
      </c>
      <c r="K682" s="2" t="str">
        <f>IFERROR(IF(MARÍTIMOS[[#This Row],[Placa Carreta]]="","",MARÍTIMOS[[#This Row],[Placa Carreta]]),"")</f>
        <v/>
      </c>
      <c r="L682" s="44" t="str">
        <f>IFERROR(IF(MARÍTIMOS[[#This Row],[Conductor]]="","",MARÍTIMOS[[#This Row],[Conductor]]),"")</f>
        <v/>
      </c>
      <c r="M682" s="2" t="str">
        <f>IFERROR(IF(MARÍTIMOS[[#This Row],[Licencia]]="","",MARÍTIMOS[[#This Row],[Licencia]]),"")</f>
        <v/>
      </c>
      <c r="N682" s="2" t="str">
        <f>IFERROR(IF(MARÍTIMOS[[#This Row],[Número de Contacto]]="","",MARÍTIMOS[[#This Row],[Número de Contacto]]),"")</f>
        <v/>
      </c>
      <c r="O682" s="10" t="str">
        <f>IFERROR(IF(MARÍTIMOS[[#This Row],[Booking|AWB|CRT]]="","",MARÍTIMOS[[#This Row],[Booking|AWB|CRT]]),"")</f>
        <v/>
      </c>
      <c r="P682" s="2" t="str">
        <f>IFERROR(IF(MARÍTIMOS[[#This Row],[Contenedor]]="","",MARÍTIMOS[[#This Row],[Contenedor]]),"")</f>
        <v/>
      </c>
      <c r="Q682" s="2" t="str">
        <f>IFERROR(IF(MARÍTIMOS[[#This Row],[Puerto de Retiro]]="","",MARÍTIMOS[[#This Row],[Puerto de Retiro]]),"")</f>
        <v/>
      </c>
      <c r="R682" s="2" t="str">
        <f>IFERROR(IF(MARÍTIMOS[[#This Row],[Almacén de Retiro]]="","",MARÍTIMOS[[#This Row],[Almacén de Retiro]]),"")</f>
        <v/>
      </c>
      <c r="S682" s="11" t="str">
        <f>IFERROR(IF(MARÍTIMOS[[#This Row],[Etapa Retiro - Cita]]="","",MARÍTIMOS[[#This Row],[Etapa Retiro - Cita]]),"")</f>
        <v/>
      </c>
      <c r="T682" s="11" t="str">
        <f>IFERROR(IF(MARÍTIMOS[[#This Row],[Etapa Retiro - Llegada]]="","",MARÍTIMOS[[#This Row],[Etapa Retiro - Llegada]]),"")</f>
        <v/>
      </c>
      <c r="U682" s="11" t="str">
        <f>IFERROR(IF(MARÍTIMOS[[#This Row],[Etapa Retiro - Ingreso]]="","",MARÍTIMOS[[#This Row],[Etapa Retiro - Ingreso]]),"")</f>
        <v/>
      </c>
      <c r="V682" s="11" t="str">
        <f>IFERROR(IF(MARÍTIMOS[[#This Row],[Etapa Retiro - Atención]]="","",MARÍTIMOS[[#This Row],[Etapa Retiro - Atención]]),"")</f>
        <v/>
      </c>
      <c r="W682" s="11" t="str">
        <f>IFERROR(IF(MARÍTIMOS[[#This Row],[Etapa Retiro - Atención]]="","",MARÍTIMOS[[#This Row],[Etapa Retiro - Atención]]),"")</f>
        <v/>
      </c>
      <c r="X682" s="11" t="str">
        <f>IFERROR(IF(MARÍTIMOS[[#This Row],[Etapa Retiro - Inicio de Ruta]]="","",MARÍTIMOS[[#This Row],[Etapa Retiro - Inicio de Ruta]]),"")</f>
        <v/>
      </c>
      <c r="Y682" s="11" t="str">
        <f>IFERROR(IF(MARÍTIMOS[[#This Row],[Hora de Posicionamiento]]="","",MARÍTIMOS[[#This Row],[Fecha de Carga]]+MARÍTIMOS[[#This Row],[Hora de Posicionamiento]]),"")</f>
        <v/>
      </c>
      <c r="Z682" s="11" t="str">
        <f>IFERROR(IF(MARÍTIMOS[[#This Row],[Etapa Despacho - Llegada]]="","",MARÍTIMOS[[#This Row],[Etapa Despacho - Llegada]]),"")</f>
        <v/>
      </c>
      <c r="AA682" s="11" t="str">
        <f>IFERROR(IF(MARÍTIMOS[[#This Row],[Etapa Despacho - Registro]]="","",MARÍTIMOS[[#This Row],[Etapa Despacho - Registro]]),"")</f>
        <v/>
      </c>
      <c r="AB682" s="11" t="str">
        <f>IFERROR(IF(MARÍTIMOS[[#This Row],[Inspección Externa]]="","",MARÍTIMOS[[#This Row],[Inspección Externa]]),"")</f>
        <v/>
      </c>
      <c r="AC682" s="11" t="str">
        <f>IFERROR(IF(MARÍTIMOS[[#This Row],[Etapa Despacho - Inicio de Carga]]="","",MARÍTIMOS[[#This Row],[Etapa Despacho - Inicio de Carga]]),"")</f>
        <v/>
      </c>
      <c r="AD682" s="11" t="str">
        <f>IFERROR(IF(MARÍTIMOS[[#This Row],[Etapa Despacho - Mitad de Carga]]="","",MARÍTIMOS[[#This Row],[Etapa Despacho - Mitad de Carga]]),"")</f>
        <v/>
      </c>
      <c r="AE682" s="11" t="str">
        <f>IFERROR(IF(MARÍTIMOS[[#This Row],[Etapa Despacho - Fin de Carga]]="","",MARÍTIMOS[[#This Row],[Etapa Despacho - Fin de Carga]]),"")</f>
        <v/>
      </c>
      <c r="AF682" s="2" t="str">
        <f>IFERROR(IF(MARÍTIMOS[[#This Row],[Puerto de Embarque]]="","",MARÍTIMOS[[#This Row],[Puerto de Embarque]]),"")</f>
        <v/>
      </c>
      <c r="AG682" s="2" t="str">
        <f>IFERROR(IF(MARÍTIMOS[[#This Row],[Almacén de Ingreso]]="","",MARÍTIMOS[[#This Row],[Almacén de Ingreso]]),"")</f>
        <v/>
      </c>
      <c r="AH682" s="11" t="str">
        <f>IFERROR(IF(MARÍTIMOS[[#This Row],[Etapa Ingreso - Cita]]="","",MARÍTIMOS[[#This Row],[Etapa Ingreso - Cita]]),"")</f>
        <v/>
      </c>
      <c r="AI682" s="11" t="str">
        <f>IFERROR(IF(MARÍTIMOS[[#This Row],[Etapa Ingreso - Llegada]]="","",MARÍTIMOS[[#This Row],[Etapa Ingreso - Llegada]]),"")</f>
        <v/>
      </c>
      <c r="AJ682" s="11" t="str">
        <f>IFERROR(IF(MARÍTIMOS[[#This Row],[Etapa Ingreso - Ingeso]]="","",MARÍTIMOS[[#This Row],[Etapa Ingreso - Ingeso]]),"")</f>
        <v/>
      </c>
      <c r="AK682" s="11" t="str">
        <f>IFERROR(IF(MARÍTIMOS[[#This Row],[Etapa Ingreso - Atención]]="","",MARÍTIMOS[[#This Row],[Etapa Ingreso - Atención]]),"")</f>
        <v/>
      </c>
      <c r="AL682" s="11" t="str">
        <f>IFERROR(IF(MARÍTIMOS[[#This Row],[Etapa Ingreso - Salida]]="","",MARÍTIMOS[[#This Row],[Etapa Ingreso - Salida]]),"")</f>
        <v/>
      </c>
      <c r="AM682" s="2" t="str">
        <f>IFERROR(IF(MARÍTIMOS[[#This Row],[FCL]]="","",MARÍTIMOS[[#This Row],[FCL]]),"")</f>
        <v/>
      </c>
      <c r="AN6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2" s="4" t="str" cm="1">
        <f t="array" ref="AO6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2" s="5" t="str">
        <f>IFERROR(OLDBD[[#This Row],[Llegada a packing]]-OLDBD[[#This Row],[Inicio de Ruta]],"")</f>
        <v/>
      </c>
      <c r="AQ682" s="6" t="str">
        <f>IFERROR(OLDBD[[#This Row],[Inicio de Ruta]]-OLDBD[[#This Row],[Salida de almacén de retiro]],"")</f>
        <v/>
      </c>
      <c r="AR6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2" s="8" t="str" cm="1">
        <f t="array" ref="AS6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2" s="9" t="str">
        <f>IFERROR(OLDBD[[#This Row],[Ingreso Packing]]-OLDBD[[#This Row],[Registro en Packing]],"")</f>
        <v/>
      </c>
      <c r="AV682" s="9" t="str">
        <f>IFERROR(OLDBD[[#This Row],[Ingreso Packing]]-OLDBD[[#This Row],[Llegada a packing]],"")</f>
        <v/>
      </c>
      <c r="AW6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2" s="5" t="str">
        <f>IFERROR(OLDBD[[#This Row],[Llegada Almacén de Ingreso]]-OLDBD[[#This Row],[Salida Packing]],"")</f>
        <v/>
      </c>
      <c r="AY682" s="4" t="str" cm="1">
        <f t="array" ref="AY6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2" s="43" t="s">
        <v>173</v>
      </c>
      <c r="BB682" s="47" t="str">
        <f>IFERROR(IF(MARÍTIMOS[[#This Row],[Estatus]]="","",MARÍTIMOS[[#This Row],[Estatus]]),"")</f>
        <v/>
      </c>
      <c r="BC682" s="43"/>
      <c r="BD682" s="46" t="str">
        <f>IFERROR(OLDBD[[#This Row],[Salida de almacén de retiro]]-OLDBD[[#This Row],[Ingreso Almacén de retiro]],"")</f>
        <v/>
      </c>
      <c r="BE682" s="46" t="str">
        <f>IFERROR(OLDBD[[#This Row],[Fin de Carga]]-OLDBD[[#This Row],[Inicio de Carga]],"")</f>
        <v/>
      </c>
    </row>
    <row r="683" spans="1:57" customFormat="1" hidden="1">
      <c r="A683" s="1"/>
      <c r="B683" s="1" t="str">
        <f>IFERROR(IF(MARÍTIMOS[[#This Row],[PP]]="","",MARÍTIMOS[[#This Row],[PP]]),"")</f>
        <v/>
      </c>
      <c r="C683" s="1" t="str">
        <f>IFERROR(IF(MARÍTIMOS[[#This Row],[Sede]]="","",MARÍTIMOS[[#This Row],[Sede]]),"")</f>
        <v/>
      </c>
      <c r="D683" s="1" t="str">
        <f>IFERROR(IF(MARÍTIMOS[[#This Row],[Instruction]]="","",MARÍTIMOS[[#This Row],[Instruction]]),"")</f>
        <v/>
      </c>
      <c r="E683" s="1"/>
      <c r="F683" s="2" t="str">
        <f>IFERROR(IF(MARÍTIMOS[[#This Row],[Transportista]]="","",MARÍTIMOS[[#This Row],[Transportista]]),"")</f>
        <v/>
      </c>
      <c r="G683" s="2" t="str">
        <f>IFERROR(IF(MARÍTIMOS[[#This Row],[Tercero]]="","",MARÍTIMOS[[#This Row],[Tercero]]),"")</f>
        <v/>
      </c>
      <c r="H683" s="2" t="str">
        <f>IFERROR(IF(MARÍTIMOS[[#This Row],[Razón Social]]="","",MARÍTIMOS[[#This Row],[Razón Social]]),"")</f>
        <v/>
      </c>
      <c r="I683" s="2" t="str">
        <f>IFERROR(IF(MARÍTIMOS[[#This Row],[RUC]]="","",MARÍTIMOS[[#This Row],[RUC]]),"")</f>
        <v/>
      </c>
      <c r="J683" s="2" t="str">
        <f>IFERROR(IF(MARÍTIMOS[[#This Row],[Placa Tracto]]="","",MARÍTIMOS[[#This Row],[Placa Tracto]]),"")</f>
        <v/>
      </c>
      <c r="K683" s="2" t="str">
        <f>IFERROR(IF(MARÍTIMOS[[#This Row],[Placa Carreta]]="","",MARÍTIMOS[[#This Row],[Placa Carreta]]),"")</f>
        <v/>
      </c>
      <c r="L683" s="44" t="str">
        <f>IFERROR(IF(MARÍTIMOS[[#This Row],[Conductor]]="","",MARÍTIMOS[[#This Row],[Conductor]]),"")</f>
        <v/>
      </c>
      <c r="M683" s="2" t="str">
        <f>IFERROR(IF(MARÍTIMOS[[#This Row],[Licencia]]="","",MARÍTIMOS[[#This Row],[Licencia]]),"")</f>
        <v/>
      </c>
      <c r="N683" s="2" t="str">
        <f>IFERROR(IF(MARÍTIMOS[[#This Row],[Número de Contacto]]="","",MARÍTIMOS[[#This Row],[Número de Contacto]]),"")</f>
        <v/>
      </c>
      <c r="O683" s="10" t="str">
        <f>IFERROR(IF(MARÍTIMOS[[#This Row],[Booking|AWB|CRT]]="","",MARÍTIMOS[[#This Row],[Booking|AWB|CRT]]),"")</f>
        <v/>
      </c>
      <c r="P683" s="2" t="str">
        <f>IFERROR(IF(MARÍTIMOS[[#This Row],[Contenedor]]="","",MARÍTIMOS[[#This Row],[Contenedor]]),"")</f>
        <v/>
      </c>
      <c r="Q683" s="2" t="str">
        <f>IFERROR(IF(MARÍTIMOS[[#This Row],[Puerto de Retiro]]="","",MARÍTIMOS[[#This Row],[Puerto de Retiro]]),"")</f>
        <v/>
      </c>
      <c r="R683" s="2" t="str">
        <f>IFERROR(IF(MARÍTIMOS[[#This Row],[Almacén de Retiro]]="","",MARÍTIMOS[[#This Row],[Almacén de Retiro]]),"")</f>
        <v/>
      </c>
      <c r="S683" s="11" t="str">
        <f>IFERROR(IF(MARÍTIMOS[[#This Row],[Etapa Retiro - Cita]]="","",MARÍTIMOS[[#This Row],[Etapa Retiro - Cita]]),"")</f>
        <v/>
      </c>
      <c r="T683" s="11" t="str">
        <f>IFERROR(IF(MARÍTIMOS[[#This Row],[Etapa Retiro - Llegada]]="","",MARÍTIMOS[[#This Row],[Etapa Retiro - Llegada]]),"")</f>
        <v/>
      </c>
      <c r="U683" s="11" t="str">
        <f>IFERROR(IF(MARÍTIMOS[[#This Row],[Etapa Retiro - Ingreso]]="","",MARÍTIMOS[[#This Row],[Etapa Retiro - Ingreso]]),"")</f>
        <v/>
      </c>
      <c r="V683" s="11" t="str">
        <f>IFERROR(IF(MARÍTIMOS[[#This Row],[Etapa Retiro - Atención]]="","",MARÍTIMOS[[#This Row],[Etapa Retiro - Atención]]),"")</f>
        <v/>
      </c>
      <c r="W683" s="11" t="str">
        <f>IFERROR(IF(MARÍTIMOS[[#This Row],[Etapa Retiro - Atención]]="","",MARÍTIMOS[[#This Row],[Etapa Retiro - Atención]]),"")</f>
        <v/>
      </c>
      <c r="X683" s="11" t="str">
        <f>IFERROR(IF(MARÍTIMOS[[#This Row],[Etapa Retiro - Inicio de Ruta]]="","",MARÍTIMOS[[#This Row],[Etapa Retiro - Inicio de Ruta]]),"")</f>
        <v/>
      </c>
      <c r="Y683" s="11" t="str">
        <f>IFERROR(IF(MARÍTIMOS[[#This Row],[Hora de Posicionamiento]]="","",MARÍTIMOS[[#This Row],[Fecha de Carga]]+MARÍTIMOS[[#This Row],[Hora de Posicionamiento]]),"")</f>
        <v/>
      </c>
      <c r="Z683" s="11" t="str">
        <f>IFERROR(IF(MARÍTIMOS[[#This Row],[Etapa Despacho - Llegada]]="","",MARÍTIMOS[[#This Row],[Etapa Despacho - Llegada]]),"")</f>
        <v/>
      </c>
      <c r="AA683" s="11" t="str">
        <f>IFERROR(IF(MARÍTIMOS[[#This Row],[Etapa Despacho - Registro]]="","",MARÍTIMOS[[#This Row],[Etapa Despacho - Registro]]),"")</f>
        <v/>
      </c>
      <c r="AB683" s="11" t="str">
        <f>IFERROR(IF(MARÍTIMOS[[#This Row],[Inspección Externa]]="","",MARÍTIMOS[[#This Row],[Inspección Externa]]),"")</f>
        <v/>
      </c>
      <c r="AC683" s="11" t="str">
        <f>IFERROR(IF(MARÍTIMOS[[#This Row],[Etapa Despacho - Inicio de Carga]]="","",MARÍTIMOS[[#This Row],[Etapa Despacho - Inicio de Carga]]),"")</f>
        <v/>
      </c>
      <c r="AD683" s="11" t="str">
        <f>IFERROR(IF(MARÍTIMOS[[#This Row],[Etapa Despacho - Mitad de Carga]]="","",MARÍTIMOS[[#This Row],[Etapa Despacho - Mitad de Carga]]),"")</f>
        <v/>
      </c>
      <c r="AE683" s="11" t="str">
        <f>IFERROR(IF(MARÍTIMOS[[#This Row],[Etapa Despacho - Fin de Carga]]="","",MARÍTIMOS[[#This Row],[Etapa Despacho - Fin de Carga]]),"")</f>
        <v/>
      </c>
      <c r="AF683" s="2" t="str">
        <f>IFERROR(IF(MARÍTIMOS[[#This Row],[Puerto de Embarque]]="","",MARÍTIMOS[[#This Row],[Puerto de Embarque]]),"")</f>
        <v/>
      </c>
      <c r="AG683" s="2" t="str">
        <f>IFERROR(IF(MARÍTIMOS[[#This Row],[Almacén de Ingreso]]="","",MARÍTIMOS[[#This Row],[Almacén de Ingreso]]),"")</f>
        <v/>
      </c>
      <c r="AH683" s="11" t="str">
        <f>IFERROR(IF(MARÍTIMOS[[#This Row],[Etapa Ingreso - Cita]]="","",MARÍTIMOS[[#This Row],[Etapa Ingreso - Cita]]),"")</f>
        <v/>
      </c>
      <c r="AI683" s="11" t="str">
        <f>IFERROR(IF(MARÍTIMOS[[#This Row],[Etapa Ingreso - Llegada]]="","",MARÍTIMOS[[#This Row],[Etapa Ingreso - Llegada]]),"")</f>
        <v/>
      </c>
      <c r="AJ683" s="11" t="str">
        <f>IFERROR(IF(MARÍTIMOS[[#This Row],[Etapa Ingreso - Ingeso]]="","",MARÍTIMOS[[#This Row],[Etapa Ingreso - Ingeso]]),"")</f>
        <v/>
      </c>
      <c r="AK683" s="11" t="str">
        <f>IFERROR(IF(MARÍTIMOS[[#This Row],[Etapa Ingreso - Atención]]="","",MARÍTIMOS[[#This Row],[Etapa Ingreso - Atención]]),"")</f>
        <v/>
      </c>
      <c r="AL683" s="11" t="str">
        <f>IFERROR(IF(MARÍTIMOS[[#This Row],[Etapa Ingreso - Salida]]="","",MARÍTIMOS[[#This Row],[Etapa Ingreso - Salida]]),"")</f>
        <v/>
      </c>
      <c r="AM683" s="2" t="str">
        <f>IFERROR(IF(MARÍTIMOS[[#This Row],[FCL]]="","",MARÍTIMOS[[#This Row],[FCL]]),"")</f>
        <v/>
      </c>
      <c r="AN6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3" s="4" t="str" cm="1">
        <f t="array" ref="AO6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3" s="5" t="str">
        <f>IFERROR(OLDBD[[#This Row],[Llegada a packing]]-OLDBD[[#This Row],[Inicio de Ruta]],"")</f>
        <v/>
      </c>
      <c r="AQ683" s="6" t="str">
        <f>IFERROR(OLDBD[[#This Row],[Inicio de Ruta]]-OLDBD[[#This Row],[Salida de almacén de retiro]],"")</f>
        <v/>
      </c>
      <c r="AR6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3" s="8" t="str" cm="1">
        <f t="array" ref="AS6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3" s="9" t="str">
        <f>IFERROR(OLDBD[[#This Row],[Ingreso Packing]]-OLDBD[[#This Row],[Registro en Packing]],"")</f>
        <v/>
      </c>
      <c r="AV683" s="9" t="str">
        <f>IFERROR(OLDBD[[#This Row],[Ingreso Packing]]-OLDBD[[#This Row],[Llegada a packing]],"")</f>
        <v/>
      </c>
      <c r="AW6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3" s="5" t="str">
        <f>IFERROR(OLDBD[[#This Row],[Llegada Almacén de Ingreso]]-OLDBD[[#This Row],[Salida Packing]],"")</f>
        <v/>
      </c>
      <c r="AY683" s="4" t="str" cm="1">
        <f t="array" ref="AY6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3" s="43" t="s">
        <v>173</v>
      </c>
      <c r="BB683" s="47" t="str">
        <f>IFERROR(IF(MARÍTIMOS[[#This Row],[Estatus]]="","",MARÍTIMOS[[#This Row],[Estatus]]),"")</f>
        <v/>
      </c>
      <c r="BC683" s="43"/>
      <c r="BD683" s="46" t="str">
        <f>IFERROR(OLDBD[[#This Row],[Salida de almacén de retiro]]-OLDBD[[#This Row],[Ingreso Almacén de retiro]],"")</f>
        <v/>
      </c>
      <c r="BE683" s="46" t="str">
        <f>IFERROR(OLDBD[[#This Row],[Fin de Carga]]-OLDBD[[#This Row],[Inicio de Carga]],"")</f>
        <v/>
      </c>
    </row>
    <row r="684" spans="1:57" customFormat="1" hidden="1">
      <c r="A684" s="1"/>
      <c r="B684" s="1" t="str">
        <f>IFERROR(IF(MARÍTIMOS[[#This Row],[PP]]="","",MARÍTIMOS[[#This Row],[PP]]),"")</f>
        <v/>
      </c>
      <c r="C684" s="1" t="str">
        <f>IFERROR(IF(MARÍTIMOS[[#This Row],[Sede]]="","",MARÍTIMOS[[#This Row],[Sede]]),"")</f>
        <v/>
      </c>
      <c r="D684" s="1" t="str">
        <f>IFERROR(IF(MARÍTIMOS[[#This Row],[Instruction]]="","",MARÍTIMOS[[#This Row],[Instruction]]),"")</f>
        <v/>
      </c>
      <c r="E684" s="1"/>
      <c r="F684" s="2" t="str">
        <f>IFERROR(IF(MARÍTIMOS[[#This Row],[Transportista]]="","",MARÍTIMOS[[#This Row],[Transportista]]),"")</f>
        <v/>
      </c>
      <c r="G684" s="2" t="str">
        <f>IFERROR(IF(MARÍTIMOS[[#This Row],[Tercero]]="","",MARÍTIMOS[[#This Row],[Tercero]]),"")</f>
        <v/>
      </c>
      <c r="H684" s="2" t="str">
        <f>IFERROR(IF(MARÍTIMOS[[#This Row],[Razón Social]]="","",MARÍTIMOS[[#This Row],[Razón Social]]),"")</f>
        <v/>
      </c>
      <c r="I684" s="2" t="str">
        <f>IFERROR(IF(MARÍTIMOS[[#This Row],[RUC]]="","",MARÍTIMOS[[#This Row],[RUC]]),"")</f>
        <v/>
      </c>
      <c r="J684" s="2" t="str">
        <f>IFERROR(IF(MARÍTIMOS[[#This Row],[Placa Tracto]]="","",MARÍTIMOS[[#This Row],[Placa Tracto]]),"")</f>
        <v/>
      </c>
      <c r="K684" s="2" t="str">
        <f>IFERROR(IF(MARÍTIMOS[[#This Row],[Placa Carreta]]="","",MARÍTIMOS[[#This Row],[Placa Carreta]]),"")</f>
        <v/>
      </c>
      <c r="L684" s="44" t="str">
        <f>IFERROR(IF(MARÍTIMOS[[#This Row],[Conductor]]="","",MARÍTIMOS[[#This Row],[Conductor]]),"")</f>
        <v/>
      </c>
      <c r="M684" s="2" t="str">
        <f>IFERROR(IF(MARÍTIMOS[[#This Row],[Licencia]]="","",MARÍTIMOS[[#This Row],[Licencia]]),"")</f>
        <v/>
      </c>
      <c r="N684" s="2" t="str">
        <f>IFERROR(IF(MARÍTIMOS[[#This Row],[Número de Contacto]]="","",MARÍTIMOS[[#This Row],[Número de Contacto]]),"")</f>
        <v/>
      </c>
      <c r="O684" s="10" t="str">
        <f>IFERROR(IF(MARÍTIMOS[[#This Row],[Booking|AWB|CRT]]="","",MARÍTIMOS[[#This Row],[Booking|AWB|CRT]]),"")</f>
        <v/>
      </c>
      <c r="P684" s="2" t="str">
        <f>IFERROR(IF(MARÍTIMOS[[#This Row],[Contenedor]]="","",MARÍTIMOS[[#This Row],[Contenedor]]),"")</f>
        <v/>
      </c>
      <c r="Q684" s="2" t="str">
        <f>IFERROR(IF(MARÍTIMOS[[#This Row],[Puerto de Retiro]]="","",MARÍTIMOS[[#This Row],[Puerto de Retiro]]),"")</f>
        <v/>
      </c>
      <c r="R684" s="2" t="str">
        <f>IFERROR(IF(MARÍTIMOS[[#This Row],[Almacén de Retiro]]="","",MARÍTIMOS[[#This Row],[Almacén de Retiro]]),"")</f>
        <v/>
      </c>
      <c r="S684" s="11" t="str">
        <f>IFERROR(IF(MARÍTIMOS[[#This Row],[Etapa Retiro - Cita]]="","",MARÍTIMOS[[#This Row],[Etapa Retiro - Cita]]),"")</f>
        <v/>
      </c>
      <c r="T684" s="11" t="str">
        <f>IFERROR(IF(MARÍTIMOS[[#This Row],[Etapa Retiro - Llegada]]="","",MARÍTIMOS[[#This Row],[Etapa Retiro - Llegada]]),"")</f>
        <v/>
      </c>
      <c r="U684" s="11" t="str">
        <f>IFERROR(IF(MARÍTIMOS[[#This Row],[Etapa Retiro - Ingreso]]="","",MARÍTIMOS[[#This Row],[Etapa Retiro - Ingreso]]),"")</f>
        <v/>
      </c>
      <c r="V684" s="11" t="str">
        <f>IFERROR(IF(MARÍTIMOS[[#This Row],[Etapa Retiro - Atención]]="","",MARÍTIMOS[[#This Row],[Etapa Retiro - Atención]]),"")</f>
        <v/>
      </c>
      <c r="W684" s="11" t="str">
        <f>IFERROR(IF(MARÍTIMOS[[#This Row],[Etapa Retiro - Atención]]="","",MARÍTIMOS[[#This Row],[Etapa Retiro - Atención]]),"")</f>
        <v/>
      </c>
      <c r="X684" s="11" t="str">
        <f>IFERROR(IF(MARÍTIMOS[[#This Row],[Etapa Retiro - Inicio de Ruta]]="","",MARÍTIMOS[[#This Row],[Etapa Retiro - Inicio de Ruta]]),"")</f>
        <v/>
      </c>
      <c r="Y684" s="11" t="str">
        <f>IFERROR(IF(MARÍTIMOS[[#This Row],[Hora de Posicionamiento]]="","",MARÍTIMOS[[#This Row],[Fecha de Carga]]+MARÍTIMOS[[#This Row],[Hora de Posicionamiento]]),"")</f>
        <v/>
      </c>
      <c r="Z684" s="11" t="str">
        <f>IFERROR(IF(MARÍTIMOS[[#This Row],[Etapa Despacho - Llegada]]="","",MARÍTIMOS[[#This Row],[Etapa Despacho - Llegada]]),"")</f>
        <v/>
      </c>
      <c r="AA684" s="11" t="str">
        <f>IFERROR(IF(MARÍTIMOS[[#This Row],[Etapa Despacho - Registro]]="","",MARÍTIMOS[[#This Row],[Etapa Despacho - Registro]]),"")</f>
        <v/>
      </c>
      <c r="AB684" s="11" t="str">
        <f>IFERROR(IF(MARÍTIMOS[[#This Row],[Inspección Externa]]="","",MARÍTIMOS[[#This Row],[Inspección Externa]]),"")</f>
        <v/>
      </c>
      <c r="AC684" s="11" t="str">
        <f>IFERROR(IF(MARÍTIMOS[[#This Row],[Etapa Despacho - Inicio de Carga]]="","",MARÍTIMOS[[#This Row],[Etapa Despacho - Inicio de Carga]]),"")</f>
        <v/>
      </c>
      <c r="AD684" s="11" t="str">
        <f>IFERROR(IF(MARÍTIMOS[[#This Row],[Etapa Despacho - Mitad de Carga]]="","",MARÍTIMOS[[#This Row],[Etapa Despacho - Mitad de Carga]]),"")</f>
        <v/>
      </c>
      <c r="AE684" s="11" t="str">
        <f>IFERROR(IF(MARÍTIMOS[[#This Row],[Etapa Despacho - Fin de Carga]]="","",MARÍTIMOS[[#This Row],[Etapa Despacho - Fin de Carga]]),"")</f>
        <v/>
      </c>
      <c r="AF684" s="2" t="str">
        <f>IFERROR(IF(MARÍTIMOS[[#This Row],[Puerto de Embarque]]="","",MARÍTIMOS[[#This Row],[Puerto de Embarque]]),"")</f>
        <v/>
      </c>
      <c r="AG684" s="2" t="str">
        <f>IFERROR(IF(MARÍTIMOS[[#This Row],[Almacén de Ingreso]]="","",MARÍTIMOS[[#This Row],[Almacén de Ingreso]]),"")</f>
        <v/>
      </c>
      <c r="AH684" s="11" t="str">
        <f>IFERROR(IF(MARÍTIMOS[[#This Row],[Etapa Ingreso - Cita]]="","",MARÍTIMOS[[#This Row],[Etapa Ingreso - Cita]]),"")</f>
        <v/>
      </c>
      <c r="AI684" s="11" t="str">
        <f>IFERROR(IF(MARÍTIMOS[[#This Row],[Etapa Ingreso - Llegada]]="","",MARÍTIMOS[[#This Row],[Etapa Ingreso - Llegada]]),"")</f>
        <v/>
      </c>
      <c r="AJ684" s="11" t="str">
        <f>IFERROR(IF(MARÍTIMOS[[#This Row],[Etapa Ingreso - Ingeso]]="","",MARÍTIMOS[[#This Row],[Etapa Ingreso - Ingeso]]),"")</f>
        <v/>
      </c>
      <c r="AK684" s="11" t="str">
        <f>IFERROR(IF(MARÍTIMOS[[#This Row],[Etapa Ingreso - Atención]]="","",MARÍTIMOS[[#This Row],[Etapa Ingreso - Atención]]),"")</f>
        <v/>
      </c>
      <c r="AL684" s="11" t="str">
        <f>IFERROR(IF(MARÍTIMOS[[#This Row],[Etapa Ingreso - Salida]]="","",MARÍTIMOS[[#This Row],[Etapa Ingreso - Salida]]),"")</f>
        <v/>
      </c>
      <c r="AM684" s="2" t="str">
        <f>IFERROR(IF(MARÍTIMOS[[#This Row],[FCL]]="","",MARÍTIMOS[[#This Row],[FCL]]),"")</f>
        <v/>
      </c>
      <c r="AN6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4" s="4" t="str" cm="1">
        <f t="array" ref="AO6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4" s="5" t="str">
        <f>IFERROR(OLDBD[[#This Row],[Llegada a packing]]-OLDBD[[#This Row],[Inicio de Ruta]],"")</f>
        <v/>
      </c>
      <c r="AQ684" s="6" t="str">
        <f>IFERROR(OLDBD[[#This Row],[Inicio de Ruta]]-OLDBD[[#This Row],[Salida de almacén de retiro]],"")</f>
        <v/>
      </c>
      <c r="AR6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4" s="8" t="str" cm="1">
        <f t="array" ref="AS6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4" s="9" t="str">
        <f>IFERROR(OLDBD[[#This Row],[Ingreso Packing]]-OLDBD[[#This Row],[Registro en Packing]],"")</f>
        <v/>
      </c>
      <c r="AV684" s="9" t="str">
        <f>IFERROR(OLDBD[[#This Row],[Ingreso Packing]]-OLDBD[[#This Row],[Llegada a packing]],"")</f>
        <v/>
      </c>
      <c r="AW6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4" s="5" t="str">
        <f>IFERROR(OLDBD[[#This Row],[Llegada Almacén de Ingreso]]-OLDBD[[#This Row],[Salida Packing]],"")</f>
        <v/>
      </c>
      <c r="AY684" s="4" t="str" cm="1">
        <f t="array" ref="AY6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4" s="43" t="s">
        <v>173</v>
      </c>
      <c r="BB684" s="47" t="str">
        <f>IFERROR(IF(MARÍTIMOS[[#This Row],[Estatus]]="","",MARÍTIMOS[[#This Row],[Estatus]]),"")</f>
        <v/>
      </c>
      <c r="BC684" s="43"/>
      <c r="BD684" s="46" t="str">
        <f>IFERROR(OLDBD[[#This Row],[Salida de almacén de retiro]]-OLDBD[[#This Row],[Ingreso Almacén de retiro]],"")</f>
        <v/>
      </c>
      <c r="BE684" s="46" t="str">
        <f>IFERROR(OLDBD[[#This Row],[Fin de Carga]]-OLDBD[[#This Row],[Inicio de Carga]],"")</f>
        <v/>
      </c>
    </row>
    <row r="685" spans="1:57" customFormat="1" hidden="1">
      <c r="A685" s="1"/>
      <c r="B685" s="1" t="str">
        <f>IFERROR(IF(MARÍTIMOS[[#This Row],[PP]]="","",MARÍTIMOS[[#This Row],[PP]]),"")</f>
        <v/>
      </c>
      <c r="C685" s="1" t="str">
        <f>IFERROR(IF(MARÍTIMOS[[#This Row],[Sede]]="","",MARÍTIMOS[[#This Row],[Sede]]),"")</f>
        <v/>
      </c>
      <c r="D685" s="1" t="str">
        <f>IFERROR(IF(MARÍTIMOS[[#This Row],[Instruction]]="","",MARÍTIMOS[[#This Row],[Instruction]]),"")</f>
        <v/>
      </c>
      <c r="E685" s="1"/>
      <c r="F685" s="2" t="str">
        <f>IFERROR(IF(MARÍTIMOS[[#This Row],[Transportista]]="","",MARÍTIMOS[[#This Row],[Transportista]]),"")</f>
        <v/>
      </c>
      <c r="G685" s="2" t="str">
        <f>IFERROR(IF(MARÍTIMOS[[#This Row],[Tercero]]="","",MARÍTIMOS[[#This Row],[Tercero]]),"")</f>
        <v/>
      </c>
      <c r="H685" s="2" t="str">
        <f>IFERROR(IF(MARÍTIMOS[[#This Row],[Razón Social]]="","",MARÍTIMOS[[#This Row],[Razón Social]]),"")</f>
        <v/>
      </c>
      <c r="I685" s="2" t="str">
        <f>IFERROR(IF(MARÍTIMOS[[#This Row],[RUC]]="","",MARÍTIMOS[[#This Row],[RUC]]),"")</f>
        <v/>
      </c>
      <c r="J685" s="2" t="str">
        <f>IFERROR(IF(MARÍTIMOS[[#This Row],[Placa Tracto]]="","",MARÍTIMOS[[#This Row],[Placa Tracto]]),"")</f>
        <v/>
      </c>
      <c r="K685" s="2" t="str">
        <f>IFERROR(IF(MARÍTIMOS[[#This Row],[Placa Carreta]]="","",MARÍTIMOS[[#This Row],[Placa Carreta]]),"")</f>
        <v/>
      </c>
      <c r="L685" s="44" t="str">
        <f>IFERROR(IF(MARÍTIMOS[[#This Row],[Conductor]]="","",MARÍTIMOS[[#This Row],[Conductor]]),"")</f>
        <v/>
      </c>
      <c r="M685" s="2" t="str">
        <f>IFERROR(IF(MARÍTIMOS[[#This Row],[Licencia]]="","",MARÍTIMOS[[#This Row],[Licencia]]),"")</f>
        <v/>
      </c>
      <c r="N685" s="2" t="str">
        <f>IFERROR(IF(MARÍTIMOS[[#This Row],[Número de Contacto]]="","",MARÍTIMOS[[#This Row],[Número de Contacto]]),"")</f>
        <v/>
      </c>
      <c r="O685" s="10" t="str">
        <f>IFERROR(IF(MARÍTIMOS[[#This Row],[Booking|AWB|CRT]]="","",MARÍTIMOS[[#This Row],[Booking|AWB|CRT]]),"")</f>
        <v/>
      </c>
      <c r="P685" s="2" t="str">
        <f>IFERROR(IF(MARÍTIMOS[[#This Row],[Contenedor]]="","",MARÍTIMOS[[#This Row],[Contenedor]]),"")</f>
        <v/>
      </c>
      <c r="Q685" s="2" t="str">
        <f>IFERROR(IF(MARÍTIMOS[[#This Row],[Puerto de Retiro]]="","",MARÍTIMOS[[#This Row],[Puerto de Retiro]]),"")</f>
        <v/>
      </c>
      <c r="R685" s="2" t="str">
        <f>IFERROR(IF(MARÍTIMOS[[#This Row],[Almacén de Retiro]]="","",MARÍTIMOS[[#This Row],[Almacén de Retiro]]),"")</f>
        <v/>
      </c>
      <c r="S685" s="11" t="str">
        <f>IFERROR(IF(MARÍTIMOS[[#This Row],[Etapa Retiro - Cita]]="","",MARÍTIMOS[[#This Row],[Etapa Retiro - Cita]]),"")</f>
        <v/>
      </c>
      <c r="T685" s="11" t="str">
        <f>IFERROR(IF(MARÍTIMOS[[#This Row],[Etapa Retiro - Llegada]]="","",MARÍTIMOS[[#This Row],[Etapa Retiro - Llegada]]),"")</f>
        <v/>
      </c>
      <c r="U685" s="11" t="str">
        <f>IFERROR(IF(MARÍTIMOS[[#This Row],[Etapa Retiro - Ingreso]]="","",MARÍTIMOS[[#This Row],[Etapa Retiro - Ingreso]]),"")</f>
        <v/>
      </c>
      <c r="V685" s="11" t="str">
        <f>IFERROR(IF(MARÍTIMOS[[#This Row],[Etapa Retiro - Atención]]="","",MARÍTIMOS[[#This Row],[Etapa Retiro - Atención]]),"")</f>
        <v/>
      </c>
      <c r="W685" s="11" t="str">
        <f>IFERROR(IF(MARÍTIMOS[[#This Row],[Etapa Retiro - Atención]]="","",MARÍTIMOS[[#This Row],[Etapa Retiro - Atención]]),"")</f>
        <v/>
      </c>
      <c r="X685" s="11" t="str">
        <f>IFERROR(IF(MARÍTIMOS[[#This Row],[Etapa Retiro - Inicio de Ruta]]="","",MARÍTIMOS[[#This Row],[Etapa Retiro - Inicio de Ruta]]),"")</f>
        <v/>
      </c>
      <c r="Y685" s="11" t="str">
        <f>IFERROR(IF(MARÍTIMOS[[#This Row],[Hora de Posicionamiento]]="","",MARÍTIMOS[[#This Row],[Fecha de Carga]]+MARÍTIMOS[[#This Row],[Hora de Posicionamiento]]),"")</f>
        <v/>
      </c>
      <c r="Z685" s="11" t="str">
        <f>IFERROR(IF(MARÍTIMOS[[#This Row],[Etapa Despacho - Llegada]]="","",MARÍTIMOS[[#This Row],[Etapa Despacho - Llegada]]),"")</f>
        <v/>
      </c>
      <c r="AA685" s="11" t="str">
        <f>IFERROR(IF(MARÍTIMOS[[#This Row],[Etapa Despacho - Registro]]="","",MARÍTIMOS[[#This Row],[Etapa Despacho - Registro]]),"")</f>
        <v/>
      </c>
      <c r="AB685" s="11" t="str">
        <f>IFERROR(IF(MARÍTIMOS[[#This Row],[Inspección Externa]]="","",MARÍTIMOS[[#This Row],[Inspección Externa]]),"")</f>
        <v/>
      </c>
      <c r="AC685" s="11" t="str">
        <f>IFERROR(IF(MARÍTIMOS[[#This Row],[Etapa Despacho - Inicio de Carga]]="","",MARÍTIMOS[[#This Row],[Etapa Despacho - Inicio de Carga]]),"")</f>
        <v/>
      </c>
      <c r="AD685" s="11" t="str">
        <f>IFERROR(IF(MARÍTIMOS[[#This Row],[Etapa Despacho - Mitad de Carga]]="","",MARÍTIMOS[[#This Row],[Etapa Despacho - Mitad de Carga]]),"")</f>
        <v/>
      </c>
      <c r="AE685" s="11" t="str">
        <f>IFERROR(IF(MARÍTIMOS[[#This Row],[Etapa Despacho - Fin de Carga]]="","",MARÍTIMOS[[#This Row],[Etapa Despacho - Fin de Carga]]),"")</f>
        <v/>
      </c>
      <c r="AF685" s="2" t="str">
        <f>IFERROR(IF(MARÍTIMOS[[#This Row],[Puerto de Embarque]]="","",MARÍTIMOS[[#This Row],[Puerto de Embarque]]),"")</f>
        <v/>
      </c>
      <c r="AG685" s="2" t="str">
        <f>IFERROR(IF(MARÍTIMOS[[#This Row],[Almacén de Ingreso]]="","",MARÍTIMOS[[#This Row],[Almacén de Ingreso]]),"")</f>
        <v/>
      </c>
      <c r="AH685" s="11" t="str">
        <f>IFERROR(IF(MARÍTIMOS[[#This Row],[Etapa Ingreso - Cita]]="","",MARÍTIMOS[[#This Row],[Etapa Ingreso - Cita]]),"")</f>
        <v/>
      </c>
      <c r="AI685" s="11" t="str">
        <f>IFERROR(IF(MARÍTIMOS[[#This Row],[Etapa Ingreso - Llegada]]="","",MARÍTIMOS[[#This Row],[Etapa Ingreso - Llegada]]),"")</f>
        <v/>
      </c>
      <c r="AJ685" s="11" t="str">
        <f>IFERROR(IF(MARÍTIMOS[[#This Row],[Etapa Ingreso - Ingeso]]="","",MARÍTIMOS[[#This Row],[Etapa Ingreso - Ingeso]]),"")</f>
        <v/>
      </c>
      <c r="AK685" s="11" t="str">
        <f>IFERROR(IF(MARÍTIMOS[[#This Row],[Etapa Ingreso - Atención]]="","",MARÍTIMOS[[#This Row],[Etapa Ingreso - Atención]]),"")</f>
        <v/>
      </c>
      <c r="AL685" s="11" t="str">
        <f>IFERROR(IF(MARÍTIMOS[[#This Row],[Etapa Ingreso - Salida]]="","",MARÍTIMOS[[#This Row],[Etapa Ingreso - Salida]]),"")</f>
        <v/>
      </c>
      <c r="AM685" s="2" t="str">
        <f>IFERROR(IF(MARÍTIMOS[[#This Row],[FCL]]="","",MARÍTIMOS[[#This Row],[FCL]]),"")</f>
        <v/>
      </c>
      <c r="AN6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5" s="4" t="str" cm="1">
        <f t="array" ref="AO6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5" s="5" t="str">
        <f>IFERROR(OLDBD[[#This Row],[Llegada a packing]]-OLDBD[[#This Row],[Inicio de Ruta]],"")</f>
        <v/>
      </c>
      <c r="AQ685" s="6" t="str">
        <f>IFERROR(OLDBD[[#This Row],[Inicio de Ruta]]-OLDBD[[#This Row],[Salida de almacén de retiro]],"")</f>
        <v/>
      </c>
      <c r="AR6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5" s="8" t="str" cm="1">
        <f t="array" ref="AS6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5" s="9" t="str">
        <f>IFERROR(OLDBD[[#This Row],[Ingreso Packing]]-OLDBD[[#This Row],[Registro en Packing]],"")</f>
        <v/>
      </c>
      <c r="AV685" s="9" t="str">
        <f>IFERROR(OLDBD[[#This Row],[Ingreso Packing]]-OLDBD[[#This Row],[Llegada a packing]],"")</f>
        <v/>
      </c>
      <c r="AW6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5" s="5" t="str">
        <f>IFERROR(OLDBD[[#This Row],[Llegada Almacén de Ingreso]]-OLDBD[[#This Row],[Salida Packing]],"")</f>
        <v/>
      </c>
      <c r="AY685" s="4" t="str" cm="1">
        <f t="array" ref="AY6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5" s="43" t="s">
        <v>173</v>
      </c>
      <c r="BB685" s="47" t="str">
        <f>IFERROR(IF(MARÍTIMOS[[#This Row],[Estatus]]="","",MARÍTIMOS[[#This Row],[Estatus]]),"")</f>
        <v/>
      </c>
      <c r="BC685" s="43"/>
      <c r="BD685" s="46" t="str">
        <f>IFERROR(OLDBD[[#This Row],[Salida de almacén de retiro]]-OLDBD[[#This Row],[Ingreso Almacén de retiro]],"")</f>
        <v/>
      </c>
      <c r="BE685" s="46" t="str">
        <f>IFERROR(OLDBD[[#This Row],[Fin de Carga]]-OLDBD[[#This Row],[Inicio de Carga]],"")</f>
        <v/>
      </c>
    </row>
    <row r="686" spans="1:57" customFormat="1" hidden="1">
      <c r="A686" s="1"/>
      <c r="B686" s="1" t="str">
        <f>IFERROR(IF(MARÍTIMOS[[#This Row],[PP]]="","",MARÍTIMOS[[#This Row],[PP]]),"")</f>
        <v/>
      </c>
      <c r="C686" s="1" t="str">
        <f>IFERROR(IF(MARÍTIMOS[[#This Row],[Sede]]="","",MARÍTIMOS[[#This Row],[Sede]]),"")</f>
        <v/>
      </c>
      <c r="D686" s="1" t="str">
        <f>IFERROR(IF(MARÍTIMOS[[#This Row],[Instruction]]="","",MARÍTIMOS[[#This Row],[Instruction]]),"")</f>
        <v/>
      </c>
      <c r="E686" s="1"/>
      <c r="F686" s="2" t="str">
        <f>IFERROR(IF(MARÍTIMOS[[#This Row],[Transportista]]="","",MARÍTIMOS[[#This Row],[Transportista]]),"")</f>
        <v/>
      </c>
      <c r="G686" s="2" t="str">
        <f>IFERROR(IF(MARÍTIMOS[[#This Row],[Tercero]]="","",MARÍTIMOS[[#This Row],[Tercero]]),"")</f>
        <v/>
      </c>
      <c r="H686" s="2" t="str">
        <f>IFERROR(IF(MARÍTIMOS[[#This Row],[Razón Social]]="","",MARÍTIMOS[[#This Row],[Razón Social]]),"")</f>
        <v/>
      </c>
      <c r="I686" s="2" t="str">
        <f>IFERROR(IF(MARÍTIMOS[[#This Row],[RUC]]="","",MARÍTIMOS[[#This Row],[RUC]]),"")</f>
        <v/>
      </c>
      <c r="J686" s="2" t="str">
        <f>IFERROR(IF(MARÍTIMOS[[#This Row],[Placa Tracto]]="","",MARÍTIMOS[[#This Row],[Placa Tracto]]),"")</f>
        <v/>
      </c>
      <c r="K686" s="2" t="str">
        <f>IFERROR(IF(MARÍTIMOS[[#This Row],[Placa Carreta]]="","",MARÍTIMOS[[#This Row],[Placa Carreta]]),"")</f>
        <v/>
      </c>
      <c r="L686" s="44" t="str">
        <f>IFERROR(IF(MARÍTIMOS[[#This Row],[Conductor]]="","",MARÍTIMOS[[#This Row],[Conductor]]),"")</f>
        <v/>
      </c>
      <c r="M686" s="2" t="str">
        <f>IFERROR(IF(MARÍTIMOS[[#This Row],[Licencia]]="","",MARÍTIMOS[[#This Row],[Licencia]]),"")</f>
        <v/>
      </c>
      <c r="N686" s="2" t="str">
        <f>IFERROR(IF(MARÍTIMOS[[#This Row],[Número de Contacto]]="","",MARÍTIMOS[[#This Row],[Número de Contacto]]),"")</f>
        <v/>
      </c>
      <c r="O686" s="10" t="str">
        <f>IFERROR(IF(MARÍTIMOS[[#This Row],[Booking|AWB|CRT]]="","",MARÍTIMOS[[#This Row],[Booking|AWB|CRT]]),"")</f>
        <v/>
      </c>
      <c r="P686" s="2" t="str">
        <f>IFERROR(IF(MARÍTIMOS[[#This Row],[Contenedor]]="","",MARÍTIMOS[[#This Row],[Contenedor]]),"")</f>
        <v/>
      </c>
      <c r="Q686" s="2" t="str">
        <f>IFERROR(IF(MARÍTIMOS[[#This Row],[Puerto de Retiro]]="","",MARÍTIMOS[[#This Row],[Puerto de Retiro]]),"")</f>
        <v/>
      </c>
      <c r="R686" s="2" t="str">
        <f>IFERROR(IF(MARÍTIMOS[[#This Row],[Almacén de Retiro]]="","",MARÍTIMOS[[#This Row],[Almacén de Retiro]]),"")</f>
        <v/>
      </c>
      <c r="S686" s="11" t="str">
        <f>IFERROR(IF(MARÍTIMOS[[#This Row],[Etapa Retiro - Cita]]="","",MARÍTIMOS[[#This Row],[Etapa Retiro - Cita]]),"")</f>
        <v/>
      </c>
      <c r="T686" s="11" t="str">
        <f>IFERROR(IF(MARÍTIMOS[[#This Row],[Etapa Retiro - Llegada]]="","",MARÍTIMOS[[#This Row],[Etapa Retiro - Llegada]]),"")</f>
        <v/>
      </c>
      <c r="U686" s="11" t="str">
        <f>IFERROR(IF(MARÍTIMOS[[#This Row],[Etapa Retiro - Ingreso]]="","",MARÍTIMOS[[#This Row],[Etapa Retiro - Ingreso]]),"")</f>
        <v/>
      </c>
      <c r="V686" s="11" t="str">
        <f>IFERROR(IF(MARÍTIMOS[[#This Row],[Etapa Retiro - Atención]]="","",MARÍTIMOS[[#This Row],[Etapa Retiro - Atención]]),"")</f>
        <v/>
      </c>
      <c r="W686" s="11" t="str">
        <f>IFERROR(IF(MARÍTIMOS[[#This Row],[Etapa Retiro - Atención]]="","",MARÍTIMOS[[#This Row],[Etapa Retiro - Atención]]),"")</f>
        <v/>
      </c>
      <c r="X686" s="11" t="str">
        <f>IFERROR(IF(MARÍTIMOS[[#This Row],[Etapa Retiro - Inicio de Ruta]]="","",MARÍTIMOS[[#This Row],[Etapa Retiro - Inicio de Ruta]]),"")</f>
        <v/>
      </c>
      <c r="Y686" s="11" t="str">
        <f>IFERROR(IF(MARÍTIMOS[[#This Row],[Hora de Posicionamiento]]="","",MARÍTIMOS[[#This Row],[Fecha de Carga]]+MARÍTIMOS[[#This Row],[Hora de Posicionamiento]]),"")</f>
        <v/>
      </c>
      <c r="Z686" s="11" t="str">
        <f>IFERROR(IF(MARÍTIMOS[[#This Row],[Etapa Despacho - Llegada]]="","",MARÍTIMOS[[#This Row],[Etapa Despacho - Llegada]]),"")</f>
        <v/>
      </c>
      <c r="AA686" s="11" t="str">
        <f>IFERROR(IF(MARÍTIMOS[[#This Row],[Etapa Despacho - Registro]]="","",MARÍTIMOS[[#This Row],[Etapa Despacho - Registro]]),"")</f>
        <v/>
      </c>
      <c r="AB686" s="11" t="str">
        <f>IFERROR(IF(MARÍTIMOS[[#This Row],[Inspección Externa]]="","",MARÍTIMOS[[#This Row],[Inspección Externa]]),"")</f>
        <v/>
      </c>
      <c r="AC686" s="11" t="str">
        <f>IFERROR(IF(MARÍTIMOS[[#This Row],[Etapa Despacho - Inicio de Carga]]="","",MARÍTIMOS[[#This Row],[Etapa Despacho - Inicio de Carga]]),"")</f>
        <v/>
      </c>
      <c r="AD686" s="11" t="str">
        <f>IFERROR(IF(MARÍTIMOS[[#This Row],[Etapa Despacho - Mitad de Carga]]="","",MARÍTIMOS[[#This Row],[Etapa Despacho - Mitad de Carga]]),"")</f>
        <v/>
      </c>
      <c r="AE686" s="11" t="str">
        <f>IFERROR(IF(MARÍTIMOS[[#This Row],[Etapa Despacho - Fin de Carga]]="","",MARÍTIMOS[[#This Row],[Etapa Despacho - Fin de Carga]]),"")</f>
        <v/>
      </c>
      <c r="AF686" s="2" t="str">
        <f>IFERROR(IF(MARÍTIMOS[[#This Row],[Puerto de Embarque]]="","",MARÍTIMOS[[#This Row],[Puerto de Embarque]]),"")</f>
        <v/>
      </c>
      <c r="AG686" s="2" t="str">
        <f>IFERROR(IF(MARÍTIMOS[[#This Row],[Almacén de Ingreso]]="","",MARÍTIMOS[[#This Row],[Almacén de Ingreso]]),"")</f>
        <v/>
      </c>
      <c r="AH686" s="11" t="str">
        <f>IFERROR(IF(MARÍTIMOS[[#This Row],[Etapa Ingreso - Cita]]="","",MARÍTIMOS[[#This Row],[Etapa Ingreso - Cita]]),"")</f>
        <v/>
      </c>
      <c r="AI686" s="11" t="str">
        <f>IFERROR(IF(MARÍTIMOS[[#This Row],[Etapa Ingreso - Llegada]]="","",MARÍTIMOS[[#This Row],[Etapa Ingreso - Llegada]]),"")</f>
        <v/>
      </c>
      <c r="AJ686" s="11" t="str">
        <f>IFERROR(IF(MARÍTIMOS[[#This Row],[Etapa Ingreso - Ingeso]]="","",MARÍTIMOS[[#This Row],[Etapa Ingreso - Ingeso]]),"")</f>
        <v/>
      </c>
      <c r="AK686" s="11" t="str">
        <f>IFERROR(IF(MARÍTIMOS[[#This Row],[Etapa Ingreso - Atención]]="","",MARÍTIMOS[[#This Row],[Etapa Ingreso - Atención]]),"")</f>
        <v/>
      </c>
      <c r="AL686" s="11" t="str">
        <f>IFERROR(IF(MARÍTIMOS[[#This Row],[Etapa Ingreso - Salida]]="","",MARÍTIMOS[[#This Row],[Etapa Ingreso - Salida]]),"")</f>
        <v/>
      </c>
      <c r="AM686" s="2" t="str">
        <f>IFERROR(IF(MARÍTIMOS[[#This Row],[FCL]]="","",MARÍTIMOS[[#This Row],[FCL]]),"")</f>
        <v/>
      </c>
      <c r="AN6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6" s="4" t="str" cm="1">
        <f t="array" ref="AO6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6" s="5" t="str">
        <f>IFERROR(OLDBD[[#This Row],[Llegada a packing]]-OLDBD[[#This Row],[Inicio de Ruta]],"")</f>
        <v/>
      </c>
      <c r="AQ686" s="6" t="str">
        <f>IFERROR(OLDBD[[#This Row],[Inicio de Ruta]]-OLDBD[[#This Row],[Salida de almacén de retiro]],"")</f>
        <v/>
      </c>
      <c r="AR6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6" s="8" t="str" cm="1">
        <f t="array" ref="AS6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6" s="9" t="str">
        <f>IFERROR(OLDBD[[#This Row],[Ingreso Packing]]-OLDBD[[#This Row],[Registro en Packing]],"")</f>
        <v/>
      </c>
      <c r="AV686" s="9" t="str">
        <f>IFERROR(OLDBD[[#This Row],[Ingreso Packing]]-OLDBD[[#This Row],[Llegada a packing]],"")</f>
        <v/>
      </c>
      <c r="AW6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6" s="5" t="str">
        <f>IFERROR(OLDBD[[#This Row],[Llegada Almacén de Ingreso]]-OLDBD[[#This Row],[Salida Packing]],"")</f>
        <v/>
      </c>
      <c r="AY686" s="4" t="str" cm="1">
        <f t="array" ref="AY6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6" s="43" t="s">
        <v>173</v>
      </c>
      <c r="BB686" s="47" t="str">
        <f>IFERROR(IF(MARÍTIMOS[[#This Row],[Estatus]]="","",MARÍTIMOS[[#This Row],[Estatus]]),"")</f>
        <v/>
      </c>
      <c r="BC686" s="43"/>
      <c r="BD686" s="46" t="str">
        <f>IFERROR(OLDBD[[#This Row],[Salida de almacén de retiro]]-OLDBD[[#This Row],[Ingreso Almacén de retiro]],"")</f>
        <v/>
      </c>
      <c r="BE686" s="46" t="str">
        <f>IFERROR(OLDBD[[#This Row],[Fin de Carga]]-OLDBD[[#This Row],[Inicio de Carga]],"")</f>
        <v/>
      </c>
    </row>
    <row r="687" spans="1:57" customFormat="1" hidden="1">
      <c r="A687" s="1"/>
      <c r="B687" s="1" t="str">
        <f>IFERROR(IF(MARÍTIMOS[[#This Row],[PP]]="","",MARÍTIMOS[[#This Row],[PP]]),"")</f>
        <v/>
      </c>
      <c r="C687" s="1" t="str">
        <f>IFERROR(IF(MARÍTIMOS[[#This Row],[Sede]]="","",MARÍTIMOS[[#This Row],[Sede]]),"")</f>
        <v/>
      </c>
      <c r="D687" s="1" t="str">
        <f>IFERROR(IF(MARÍTIMOS[[#This Row],[Instruction]]="","",MARÍTIMOS[[#This Row],[Instruction]]),"")</f>
        <v/>
      </c>
      <c r="E687" s="1"/>
      <c r="F687" s="2" t="str">
        <f>IFERROR(IF(MARÍTIMOS[[#This Row],[Transportista]]="","",MARÍTIMOS[[#This Row],[Transportista]]),"")</f>
        <v/>
      </c>
      <c r="G687" s="2" t="str">
        <f>IFERROR(IF(MARÍTIMOS[[#This Row],[Tercero]]="","",MARÍTIMOS[[#This Row],[Tercero]]),"")</f>
        <v/>
      </c>
      <c r="H687" s="2" t="str">
        <f>IFERROR(IF(MARÍTIMOS[[#This Row],[Razón Social]]="","",MARÍTIMOS[[#This Row],[Razón Social]]),"")</f>
        <v/>
      </c>
      <c r="I687" s="2" t="str">
        <f>IFERROR(IF(MARÍTIMOS[[#This Row],[RUC]]="","",MARÍTIMOS[[#This Row],[RUC]]),"")</f>
        <v/>
      </c>
      <c r="J687" s="2" t="str">
        <f>IFERROR(IF(MARÍTIMOS[[#This Row],[Placa Tracto]]="","",MARÍTIMOS[[#This Row],[Placa Tracto]]),"")</f>
        <v/>
      </c>
      <c r="K687" s="2" t="str">
        <f>IFERROR(IF(MARÍTIMOS[[#This Row],[Placa Carreta]]="","",MARÍTIMOS[[#This Row],[Placa Carreta]]),"")</f>
        <v/>
      </c>
      <c r="L687" s="44" t="str">
        <f>IFERROR(IF(MARÍTIMOS[[#This Row],[Conductor]]="","",MARÍTIMOS[[#This Row],[Conductor]]),"")</f>
        <v/>
      </c>
      <c r="M687" s="2" t="str">
        <f>IFERROR(IF(MARÍTIMOS[[#This Row],[Licencia]]="","",MARÍTIMOS[[#This Row],[Licencia]]),"")</f>
        <v/>
      </c>
      <c r="N687" s="2" t="str">
        <f>IFERROR(IF(MARÍTIMOS[[#This Row],[Número de Contacto]]="","",MARÍTIMOS[[#This Row],[Número de Contacto]]),"")</f>
        <v/>
      </c>
      <c r="O687" s="10" t="str">
        <f>IFERROR(IF(MARÍTIMOS[[#This Row],[Booking|AWB|CRT]]="","",MARÍTIMOS[[#This Row],[Booking|AWB|CRT]]),"")</f>
        <v/>
      </c>
      <c r="P687" s="2" t="str">
        <f>IFERROR(IF(MARÍTIMOS[[#This Row],[Contenedor]]="","",MARÍTIMOS[[#This Row],[Contenedor]]),"")</f>
        <v/>
      </c>
      <c r="Q687" s="2" t="str">
        <f>IFERROR(IF(MARÍTIMOS[[#This Row],[Puerto de Retiro]]="","",MARÍTIMOS[[#This Row],[Puerto de Retiro]]),"")</f>
        <v/>
      </c>
      <c r="R687" s="2" t="str">
        <f>IFERROR(IF(MARÍTIMOS[[#This Row],[Almacén de Retiro]]="","",MARÍTIMOS[[#This Row],[Almacén de Retiro]]),"")</f>
        <v/>
      </c>
      <c r="S687" s="11" t="str">
        <f>IFERROR(IF(MARÍTIMOS[[#This Row],[Etapa Retiro - Cita]]="","",MARÍTIMOS[[#This Row],[Etapa Retiro - Cita]]),"")</f>
        <v/>
      </c>
      <c r="T687" s="11" t="str">
        <f>IFERROR(IF(MARÍTIMOS[[#This Row],[Etapa Retiro - Llegada]]="","",MARÍTIMOS[[#This Row],[Etapa Retiro - Llegada]]),"")</f>
        <v/>
      </c>
      <c r="U687" s="11" t="str">
        <f>IFERROR(IF(MARÍTIMOS[[#This Row],[Etapa Retiro - Ingreso]]="","",MARÍTIMOS[[#This Row],[Etapa Retiro - Ingreso]]),"")</f>
        <v/>
      </c>
      <c r="V687" s="11" t="str">
        <f>IFERROR(IF(MARÍTIMOS[[#This Row],[Etapa Retiro - Atención]]="","",MARÍTIMOS[[#This Row],[Etapa Retiro - Atención]]),"")</f>
        <v/>
      </c>
      <c r="W687" s="11" t="str">
        <f>IFERROR(IF(MARÍTIMOS[[#This Row],[Etapa Retiro - Atención]]="","",MARÍTIMOS[[#This Row],[Etapa Retiro - Atención]]),"")</f>
        <v/>
      </c>
      <c r="X687" s="11" t="str">
        <f>IFERROR(IF(MARÍTIMOS[[#This Row],[Etapa Retiro - Inicio de Ruta]]="","",MARÍTIMOS[[#This Row],[Etapa Retiro - Inicio de Ruta]]),"")</f>
        <v/>
      </c>
      <c r="Y687" s="11" t="str">
        <f>IFERROR(IF(MARÍTIMOS[[#This Row],[Hora de Posicionamiento]]="","",MARÍTIMOS[[#This Row],[Fecha de Carga]]+MARÍTIMOS[[#This Row],[Hora de Posicionamiento]]),"")</f>
        <v/>
      </c>
      <c r="Z687" s="11" t="str">
        <f>IFERROR(IF(MARÍTIMOS[[#This Row],[Etapa Despacho - Llegada]]="","",MARÍTIMOS[[#This Row],[Etapa Despacho - Llegada]]),"")</f>
        <v/>
      </c>
      <c r="AA687" s="11" t="str">
        <f>IFERROR(IF(MARÍTIMOS[[#This Row],[Etapa Despacho - Registro]]="","",MARÍTIMOS[[#This Row],[Etapa Despacho - Registro]]),"")</f>
        <v/>
      </c>
      <c r="AB687" s="11" t="str">
        <f>IFERROR(IF(MARÍTIMOS[[#This Row],[Inspección Externa]]="","",MARÍTIMOS[[#This Row],[Inspección Externa]]),"")</f>
        <v/>
      </c>
      <c r="AC687" s="11" t="str">
        <f>IFERROR(IF(MARÍTIMOS[[#This Row],[Etapa Despacho - Inicio de Carga]]="","",MARÍTIMOS[[#This Row],[Etapa Despacho - Inicio de Carga]]),"")</f>
        <v/>
      </c>
      <c r="AD687" s="11" t="str">
        <f>IFERROR(IF(MARÍTIMOS[[#This Row],[Etapa Despacho - Mitad de Carga]]="","",MARÍTIMOS[[#This Row],[Etapa Despacho - Mitad de Carga]]),"")</f>
        <v/>
      </c>
      <c r="AE687" s="11" t="str">
        <f>IFERROR(IF(MARÍTIMOS[[#This Row],[Etapa Despacho - Fin de Carga]]="","",MARÍTIMOS[[#This Row],[Etapa Despacho - Fin de Carga]]),"")</f>
        <v/>
      </c>
      <c r="AF687" s="2" t="str">
        <f>IFERROR(IF(MARÍTIMOS[[#This Row],[Puerto de Embarque]]="","",MARÍTIMOS[[#This Row],[Puerto de Embarque]]),"")</f>
        <v/>
      </c>
      <c r="AG687" s="2" t="str">
        <f>IFERROR(IF(MARÍTIMOS[[#This Row],[Almacén de Ingreso]]="","",MARÍTIMOS[[#This Row],[Almacén de Ingreso]]),"")</f>
        <v/>
      </c>
      <c r="AH687" s="11" t="str">
        <f>IFERROR(IF(MARÍTIMOS[[#This Row],[Etapa Ingreso - Cita]]="","",MARÍTIMOS[[#This Row],[Etapa Ingreso - Cita]]),"")</f>
        <v/>
      </c>
      <c r="AI687" s="11" t="str">
        <f>IFERROR(IF(MARÍTIMOS[[#This Row],[Etapa Ingreso - Llegada]]="","",MARÍTIMOS[[#This Row],[Etapa Ingreso - Llegada]]),"")</f>
        <v/>
      </c>
      <c r="AJ687" s="11" t="str">
        <f>IFERROR(IF(MARÍTIMOS[[#This Row],[Etapa Ingreso - Ingeso]]="","",MARÍTIMOS[[#This Row],[Etapa Ingreso - Ingeso]]),"")</f>
        <v/>
      </c>
      <c r="AK687" s="11" t="str">
        <f>IFERROR(IF(MARÍTIMOS[[#This Row],[Etapa Ingreso - Atención]]="","",MARÍTIMOS[[#This Row],[Etapa Ingreso - Atención]]),"")</f>
        <v/>
      </c>
      <c r="AL687" s="11" t="str">
        <f>IFERROR(IF(MARÍTIMOS[[#This Row],[Etapa Ingreso - Salida]]="","",MARÍTIMOS[[#This Row],[Etapa Ingreso - Salida]]),"")</f>
        <v/>
      </c>
      <c r="AM687" s="2" t="str">
        <f>IFERROR(IF(MARÍTIMOS[[#This Row],[FCL]]="","",MARÍTIMOS[[#This Row],[FCL]]),"")</f>
        <v/>
      </c>
      <c r="AN6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7" s="4" t="str" cm="1">
        <f t="array" ref="AO6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7" s="5" t="str">
        <f>IFERROR(OLDBD[[#This Row],[Llegada a packing]]-OLDBD[[#This Row],[Inicio de Ruta]],"")</f>
        <v/>
      </c>
      <c r="AQ687" s="6" t="str">
        <f>IFERROR(OLDBD[[#This Row],[Inicio de Ruta]]-OLDBD[[#This Row],[Salida de almacén de retiro]],"")</f>
        <v/>
      </c>
      <c r="AR6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7" s="8" t="str" cm="1">
        <f t="array" ref="AS6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7" s="9" t="str">
        <f>IFERROR(OLDBD[[#This Row],[Ingreso Packing]]-OLDBD[[#This Row],[Registro en Packing]],"")</f>
        <v/>
      </c>
      <c r="AV687" s="9" t="str">
        <f>IFERROR(OLDBD[[#This Row],[Ingreso Packing]]-OLDBD[[#This Row],[Llegada a packing]],"")</f>
        <v/>
      </c>
      <c r="AW6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7" s="5" t="str">
        <f>IFERROR(OLDBD[[#This Row],[Llegada Almacén de Ingreso]]-OLDBD[[#This Row],[Salida Packing]],"")</f>
        <v/>
      </c>
      <c r="AY687" s="4" t="str" cm="1">
        <f t="array" ref="AY6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7" s="43" t="s">
        <v>173</v>
      </c>
      <c r="BB687" s="47" t="str">
        <f>IFERROR(IF(MARÍTIMOS[[#This Row],[Estatus]]="","",MARÍTIMOS[[#This Row],[Estatus]]),"")</f>
        <v/>
      </c>
      <c r="BC687" s="43"/>
      <c r="BD687" s="46" t="str">
        <f>IFERROR(OLDBD[[#This Row],[Salida de almacén de retiro]]-OLDBD[[#This Row],[Ingreso Almacén de retiro]],"")</f>
        <v/>
      </c>
      <c r="BE687" s="46" t="str">
        <f>IFERROR(OLDBD[[#This Row],[Fin de Carga]]-OLDBD[[#This Row],[Inicio de Carga]],"")</f>
        <v/>
      </c>
    </row>
    <row r="688" spans="1:57" customFormat="1" hidden="1">
      <c r="A688" s="1"/>
      <c r="B688" s="1" t="str">
        <f>IFERROR(IF(MARÍTIMOS[[#This Row],[PP]]="","",MARÍTIMOS[[#This Row],[PP]]),"")</f>
        <v/>
      </c>
      <c r="C688" s="1" t="str">
        <f>IFERROR(IF(MARÍTIMOS[[#This Row],[Sede]]="","",MARÍTIMOS[[#This Row],[Sede]]),"")</f>
        <v/>
      </c>
      <c r="D688" s="1" t="str">
        <f>IFERROR(IF(MARÍTIMOS[[#This Row],[Instruction]]="","",MARÍTIMOS[[#This Row],[Instruction]]),"")</f>
        <v/>
      </c>
      <c r="E688" s="1"/>
      <c r="F688" s="2" t="str">
        <f>IFERROR(IF(MARÍTIMOS[[#This Row],[Transportista]]="","",MARÍTIMOS[[#This Row],[Transportista]]),"")</f>
        <v/>
      </c>
      <c r="G688" s="2" t="str">
        <f>IFERROR(IF(MARÍTIMOS[[#This Row],[Tercero]]="","",MARÍTIMOS[[#This Row],[Tercero]]),"")</f>
        <v/>
      </c>
      <c r="H688" s="2" t="str">
        <f>IFERROR(IF(MARÍTIMOS[[#This Row],[Razón Social]]="","",MARÍTIMOS[[#This Row],[Razón Social]]),"")</f>
        <v/>
      </c>
      <c r="I688" s="2" t="str">
        <f>IFERROR(IF(MARÍTIMOS[[#This Row],[RUC]]="","",MARÍTIMOS[[#This Row],[RUC]]),"")</f>
        <v/>
      </c>
      <c r="J688" s="2" t="str">
        <f>IFERROR(IF(MARÍTIMOS[[#This Row],[Placa Tracto]]="","",MARÍTIMOS[[#This Row],[Placa Tracto]]),"")</f>
        <v/>
      </c>
      <c r="K688" s="2" t="str">
        <f>IFERROR(IF(MARÍTIMOS[[#This Row],[Placa Carreta]]="","",MARÍTIMOS[[#This Row],[Placa Carreta]]),"")</f>
        <v/>
      </c>
      <c r="L688" s="44" t="str">
        <f>IFERROR(IF(MARÍTIMOS[[#This Row],[Conductor]]="","",MARÍTIMOS[[#This Row],[Conductor]]),"")</f>
        <v/>
      </c>
      <c r="M688" s="2" t="str">
        <f>IFERROR(IF(MARÍTIMOS[[#This Row],[Licencia]]="","",MARÍTIMOS[[#This Row],[Licencia]]),"")</f>
        <v/>
      </c>
      <c r="N688" s="2" t="str">
        <f>IFERROR(IF(MARÍTIMOS[[#This Row],[Número de Contacto]]="","",MARÍTIMOS[[#This Row],[Número de Contacto]]),"")</f>
        <v/>
      </c>
      <c r="O688" s="10" t="str">
        <f>IFERROR(IF(MARÍTIMOS[[#This Row],[Booking|AWB|CRT]]="","",MARÍTIMOS[[#This Row],[Booking|AWB|CRT]]),"")</f>
        <v/>
      </c>
      <c r="P688" s="2" t="str">
        <f>IFERROR(IF(MARÍTIMOS[[#This Row],[Contenedor]]="","",MARÍTIMOS[[#This Row],[Contenedor]]),"")</f>
        <v/>
      </c>
      <c r="Q688" s="2" t="str">
        <f>IFERROR(IF(MARÍTIMOS[[#This Row],[Puerto de Retiro]]="","",MARÍTIMOS[[#This Row],[Puerto de Retiro]]),"")</f>
        <v/>
      </c>
      <c r="R688" s="2" t="str">
        <f>IFERROR(IF(MARÍTIMOS[[#This Row],[Almacén de Retiro]]="","",MARÍTIMOS[[#This Row],[Almacén de Retiro]]),"")</f>
        <v/>
      </c>
      <c r="S688" s="11" t="str">
        <f>IFERROR(IF(MARÍTIMOS[[#This Row],[Etapa Retiro - Cita]]="","",MARÍTIMOS[[#This Row],[Etapa Retiro - Cita]]),"")</f>
        <v/>
      </c>
      <c r="T688" s="11" t="str">
        <f>IFERROR(IF(MARÍTIMOS[[#This Row],[Etapa Retiro - Llegada]]="","",MARÍTIMOS[[#This Row],[Etapa Retiro - Llegada]]),"")</f>
        <v/>
      </c>
      <c r="U688" s="11" t="str">
        <f>IFERROR(IF(MARÍTIMOS[[#This Row],[Etapa Retiro - Ingreso]]="","",MARÍTIMOS[[#This Row],[Etapa Retiro - Ingreso]]),"")</f>
        <v/>
      </c>
      <c r="V688" s="11" t="str">
        <f>IFERROR(IF(MARÍTIMOS[[#This Row],[Etapa Retiro - Atención]]="","",MARÍTIMOS[[#This Row],[Etapa Retiro - Atención]]),"")</f>
        <v/>
      </c>
      <c r="W688" s="11" t="str">
        <f>IFERROR(IF(MARÍTIMOS[[#This Row],[Etapa Retiro - Atención]]="","",MARÍTIMOS[[#This Row],[Etapa Retiro - Atención]]),"")</f>
        <v/>
      </c>
      <c r="X688" s="11" t="str">
        <f>IFERROR(IF(MARÍTIMOS[[#This Row],[Etapa Retiro - Inicio de Ruta]]="","",MARÍTIMOS[[#This Row],[Etapa Retiro - Inicio de Ruta]]),"")</f>
        <v/>
      </c>
      <c r="Y688" s="11" t="str">
        <f>IFERROR(IF(MARÍTIMOS[[#This Row],[Hora de Posicionamiento]]="","",MARÍTIMOS[[#This Row],[Fecha de Carga]]+MARÍTIMOS[[#This Row],[Hora de Posicionamiento]]),"")</f>
        <v/>
      </c>
      <c r="Z688" s="11" t="str">
        <f>IFERROR(IF(MARÍTIMOS[[#This Row],[Etapa Despacho - Llegada]]="","",MARÍTIMOS[[#This Row],[Etapa Despacho - Llegada]]),"")</f>
        <v/>
      </c>
      <c r="AA688" s="11" t="str">
        <f>IFERROR(IF(MARÍTIMOS[[#This Row],[Etapa Despacho - Registro]]="","",MARÍTIMOS[[#This Row],[Etapa Despacho - Registro]]),"")</f>
        <v/>
      </c>
      <c r="AB688" s="11" t="str">
        <f>IFERROR(IF(MARÍTIMOS[[#This Row],[Inspección Externa]]="","",MARÍTIMOS[[#This Row],[Inspección Externa]]),"")</f>
        <v/>
      </c>
      <c r="AC688" s="11" t="str">
        <f>IFERROR(IF(MARÍTIMOS[[#This Row],[Etapa Despacho - Inicio de Carga]]="","",MARÍTIMOS[[#This Row],[Etapa Despacho - Inicio de Carga]]),"")</f>
        <v/>
      </c>
      <c r="AD688" s="11" t="str">
        <f>IFERROR(IF(MARÍTIMOS[[#This Row],[Etapa Despacho - Mitad de Carga]]="","",MARÍTIMOS[[#This Row],[Etapa Despacho - Mitad de Carga]]),"")</f>
        <v/>
      </c>
      <c r="AE688" s="11" t="str">
        <f>IFERROR(IF(MARÍTIMOS[[#This Row],[Etapa Despacho - Fin de Carga]]="","",MARÍTIMOS[[#This Row],[Etapa Despacho - Fin de Carga]]),"")</f>
        <v/>
      </c>
      <c r="AF688" s="2" t="str">
        <f>IFERROR(IF(MARÍTIMOS[[#This Row],[Puerto de Embarque]]="","",MARÍTIMOS[[#This Row],[Puerto de Embarque]]),"")</f>
        <v/>
      </c>
      <c r="AG688" s="2" t="str">
        <f>IFERROR(IF(MARÍTIMOS[[#This Row],[Almacén de Ingreso]]="","",MARÍTIMOS[[#This Row],[Almacén de Ingreso]]),"")</f>
        <v/>
      </c>
      <c r="AH688" s="11" t="str">
        <f>IFERROR(IF(MARÍTIMOS[[#This Row],[Etapa Ingreso - Cita]]="","",MARÍTIMOS[[#This Row],[Etapa Ingreso - Cita]]),"")</f>
        <v/>
      </c>
      <c r="AI688" s="11" t="str">
        <f>IFERROR(IF(MARÍTIMOS[[#This Row],[Etapa Ingreso - Llegada]]="","",MARÍTIMOS[[#This Row],[Etapa Ingreso - Llegada]]),"")</f>
        <v/>
      </c>
      <c r="AJ688" s="11" t="str">
        <f>IFERROR(IF(MARÍTIMOS[[#This Row],[Etapa Ingreso - Ingeso]]="","",MARÍTIMOS[[#This Row],[Etapa Ingreso - Ingeso]]),"")</f>
        <v/>
      </c>
      <c r="AK688" s="11" t="str">
        <f>IFERROR(IF(MARÍTIMOS[[#This Row],[Etapa Ingreso - Atención]]="","",MARÍTIMOS[[#This Row],[Etapa Ingreso - Atención]]),"")</f>
        <v/>
      </c>
      <c r="AL688" s="11" t="str">
        <f>IFERROR(IF(MARÍTIMOS[[#This Row],[Etapa Ingreso - Salida]]="","",MARÍTIMOS[[#This Row],[Etapa Ingreso - Salida]]),"")</f>
        <v/>
      </c>
      <c r="AM688" s="2" t="str">
        <f>IFERROR(IF(MARÍTIMOS[[#This Row],[FCL]]="","",MARÍTIMOS[[#This Row],[FCL]]),"")</f>
        <v/>
      </c>
      <c r="AN6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8" s="4" t="str" cm="1">
        <f t="array" ref="AO6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8" s="5" t="str">
        <f>IFERROR(OLDBD[[#This Row],[Llegada a packing]]-OLDBD[[#This Row],[Inicio de Ruta]],"")</f>
        <v/>
      </c>
      <c r="AQ688" s="6" t="str">
        <f>IFERROR(OLDBD[[#This Row],[Inicio de Ruta]]-OLDBD[[#This Row],[Salida de almacén de retiro]],"")</f>
        <v/>
      </c>
      <c r="AR6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8" s="8" t="str" cm="1">
        <f t="array" ref="AS6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8" s="9" t="str">
        <f>IFERROR(OLDBD[[#This Row],[Ingreso Packing]]-OLDBD[[#This Row],[Registro en Packing]],"")</f>
        <v/>
      </c>
      <c r="AV688" s="9" t="str">
        <f>IFERROR(OLDBD[[#This Row],[Ingreso Packing]]-OLDBD[[#This Row],[Llegada a packing]],"")</f>
        <v/>
      </c>
      <c r="AW6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8" s="5" t="str">
        <f>IFERROR(OLDBD[[#This Row],[Llegada Almacén de Ingreso]]-OLDBD[[#This Row],[Salida Packing]],"")</f>
        <v/>
      </c>
      <c r="AY688" s="4" t="str" cm="1">
        <f t="array" ref="AY6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8" s="43" t="s">
        <v>173</v>
      </c>
      <c r="BB688" s="47" t="str">
        <f>IFERROR(IF(MARÍTIMOS[[#This Row],[Estatus]]="","",MARÍTIMOS[[#This Row],[Estatus]]),"")</f>
        <v/>
      </c>
      <c r="BC688" s="43"/>
      <c r="BD688" s="46" t="str">
        <f>IFERROR(OLDBD[[#This Row],[Salida de almacén de retiro]]-OLDBD[[#This Row],[Ingreso Almacén de retiro]],"")</f>
        <v/>
      </c>
      <c r="BE688" s="46" t="str">
        <f>IFERROR(OLDBD[[#This Row],[Fin de Carga]]-OLDBD[[#This Row],[Inicio de Carga]],"")</f>
        <v/>
      </c>
    </row>
    <row r="689" spans="1:57" customFormat="1" hidden="1">
      <c r="A689" s="1"/>
      <c r="B689" s="1" t="str">
        <f>IFERROR(IF(MARÍTIMOS[[#This Row],[PP]]="","",MARÍTIMOS[[#This Row],[PP]]),"")</f>
        <v/>
      </c>
      <c r="C689" s="1" t="str">
        <f>IFERROR(IF(MARÍTIMOS[[#This Row],[Sede]]="","",MARÍTIMOS[[#This Row],[Sede]]),"")</f>
        <v/>
      </c>
      <c r="D689" s="1" t="str">
        <f>IFERROR(IF(MARÍTIMOS[[#This Row],[Instruction]]="","",MARÍTIMOS[[#This Row],[Instruction]]),"")</f>
        <v/>
      </c>
      <c r="E689" s="1"/>
      <c r="F689" s="2" t="str">
        <f>IFERROR(IF(MARÍTIMOS[[#This Row],[Transportista]]="","",MARÍTIMOS[[#This Row],[Transportista]]),"")</f>
        <v/>
      </c>
      <c r="G689" s="2" t="str">
        <f>IFERROR(IF(MARÍTIMOS[[#This Row],[Tercero]]="","",MARÍTIMOS[[#This Row],[Tercero]]),"")</f>
        <v/>
      </c>
      <c r="H689" s="2" t="str">
        <f>IFERROR(IF(MARÍTIMOS[[#This Row],[Razón Social]]="","",MARÍTIMOS[[#This Row],[Razón Social]]),"")</f>
        <v/>
      </c>
      <c r="I689" s="2" t="str">
        <f>IFERROR(IF(MARÍTIMOS[[#This Row],[RUC]]="","",MARÍTIMOS[[#This Row],[RUC]]),"")</f>
        <v/>
      </c>
      <c r="J689" s="2" t="str">
        <f>IFERROR(IF(MARÍTIMOS[[#This Row],[Placa Tracto]]="","",MARÍTIMOS[[#This Row],[Placa Tracto]]),"")</f>
        <v/>
      </c>
      <c r="K689" s="2" t="str">
        <f>IFERROR(IF(MARÍTIMOS[[#This Row],[Placa Carreta]]="","",MARÍTIMOS[[#This Row],[Placa Carreta]]),"")</f>
        <v/>
      </c>
      <c r="L689" s="44" t="str">
        <f>IFERROR(IF(MARÍTIMOS[[#This Row],[Conductor]]="","",MARÍTIMOS[[#This Row],[Conductor]]),"")</f>
        <v/>
      </c>
      <c r="M689" s="2" t="str">
        <f>IFERROR(IF(MARÍTIMOS[[#This Row],[Licencia]]="","",MARÍTIMOS[[#This Row],[Licencia]]),"")</f>
        <v/>
      </c>
      <c r="N689" s="2" t="str">
        <f>IFERROR(IF(MARÍTIMOS[[#This Row],[Número de Contacto]]="","",MARÍTIMOS[[#This Row],[Número de Contacto]]),"")</f>
        <v/>
      </c>
      <c r="O689" s="10" t="str">
        <f>IFERROR(IF(MARÍTIMOS[[#This Row],[Booking|AWB|CRT]]="","",MARÍTIMOS[[#This Row],[Booking|AWB|CRT]]),"")</f>
        <v/>
      </c>
      <c r="P689" s="2" t="str">
        <f>IFERROR(IF(MARÍTIMOS[[#This Row],[Contenedor]]="","",MARÍTIMOS[[#This Row],[Contenedor]]),"")</f>
        <v/>
      </c>
      <c r="Q689" s="2" t="str">
        <f>IFERROR(IF(MARÍTIMOS[[#This Row],[Puerto de Retiro]]="","",MARÍTIMOS[[#This Row],[Puerto de Retiro]]),"")</f>
        <v/>
      </c>
      <c r="R689" s="2" t="str">
        <f>IFERROR(IF(MARÍTIMOS[[#This Row],[Almacén de Retiro]]="","",MARÍTIMOS[[#This Row],[Almacén de Retiro]]),"")</f>
        <v/>
      </c>
      <c r="S689" s="11" t="str">
        <f>IFERROR(IF(MARÍTIMOS[[#This Row],[Etapa Retiro - Cita]]="","",MARÍTIMOS[[#This Row],[Etapa Retiro - Cita]]),"")</f>
        <v/>
      </c>
      <c r="T689" s="11" t="str">
        <f>IFERROR(IF(MARÍTIMOS[[#This Row],[Etapa Retiro - Llegada]]="","",MARÍTIMOS[[#This Row],[Etapa Retiro - Llegada]]),"")</f>
        <v/>
      </c>
      <c r="U689" s="11" t="str">
        <f>IFERROR(IF(MARÍTIMOS[[#This Row],[Etapa Retiro - Ingreso]]="","",MARÍTIMOS[[#This Row],[Etapa Retiro - Ingreso]]),"")</f>
        <v/>
      </c>
      <c r="V689" s="11" t="str">
        <f>IFERROR(IF(MARÍTIMOS[[#This Row],[Etapa Retiro - Atención]]="","",MARÍTIMOS[[#This Row],[Etapa Retiro - Atención]]),"")</f>
        <v/>
      </c>
      <c r="W689" s="11" t="str">
        <f>IFERROR(IF(MARÍTIMOS[[#This Row],[Etapa Retiro - Atención]]="","",MARÍTIMOS[[#This Row],[Etapa Retiro - Atención]]),"")</f>
        <v/>
      </c>
      <c r="X689" s="11" t="str">
        <f>IFERROR(IF(MARÍTIMOS[[#This Row],[Etapa Retiro - Inicio de Ruta]]="","",MARÍTIMOS[[#This Row],[Etapa Retiro - Inicio de Ruta]]),"")</f>
        <v/>
      </c>
      <c r="Y689" s="11" t="str">
        <f>IFERROR(IF(MARÍTIMOS[[#This Row],[Hora de Posicionamiento]]="","",MARÍTIMOS[[#This Row],[Fecha de Carga]]+MARÍTIMOS[[#This Row],[Hora de Posicionamiento]]),"")</f>
        <v/>
      </c>
      <c r="Z689" s="11" t="str">
        <f>IFERROR(IF(MARÍTIMOS[[#This Row],[Etapa Despacho - Llegada]]="","",MARÍTIMOS[[#This Row],[Etapa Despacho - Llegada]]),"")</f>
        <v/>
      </c>
      <c r="AA689" s="11" t="str">
        <f>IFERROR(IF(MARÍTIMOS[[#This Row],[Etapa Despacho - Registro]]="","",MARÍTIMOS[[#This Row],[Etapa Despacho - Registro]]),"")</f>
        <v/>
      </c>
      <c r="AB689" s="11" t="str">
        <f>IFERROR(IF(MARÍTIMOS[[#This Row],[Inspección Externa]]="","",MARÍTIMOS[[#This Row],[Inspección Externa]]),"")</f>
        <v/>
      </c>
      <c r="AC689" s="11" t="str">
        <f>IFERROR(IF(MARÍTIMOS[[#This Row],[Etapa Despacho - Inicio de Carga]]="","",MARÍTIMOS[[#This Row],[Etapa Despacho - Inicio de Carga]]),"")</f>
        <v/>
      </c>
      <c r="AD689" s="11" t="str">
        <f>IFERROR(IF(MARÍTIMOS[[#This Row],[Etapa Despacho - Mitad de Carga]]="","",MARÍTIMOS[[#This Row],[Etapa Despacho - Mitad de Carga]]),"")</f>
        <v/>
      </c>
      <c r="AE689" s="11" t="str">
        <f>IFERROR(IF(MARÍTIMOS[[#This Row],[Etapa Despacho - Fin de Carga]]="","",MARÍTIMOS[[#This Row],[Etapa Despacho - Fin de Carga]]),"")</f>
        <v/>
      </c>
      <c r="AF689" s="2" t="str">
        <f>IFERROR(IF(MARÍTIMOS[[#This Row],[Puerto de Embarque]]="","",MARÍTIMOS[[#This Row],[Puerto de Embarque]]),"")</f>
        <v/>
      </c>
      <c r="AG689" s="2" t="str">
        <f>IFERROR(IF(MARÍTIMOS[[#This Row],[Almacén de Ingreso]]="","",MARÍTIMOS[[#This Row],[Almacén de Ingreso]]),"")</f>
        <v/>
      </c>
      <c r="AH689" s="11" t="str">
        <f>IFERROR(IF(MARÍTIMOS[[#This Row],[Etapa Ingreso - Cita]]="","",MARÍTIMOS[[#This Row],[Etapa Ingreso - Cita]]),"")</f>
        <v/>
      </c>
      <c r="AI689" s="11" t="str">
        <f>IFERROR(IF(MARÍTIMOS[[#This Row],[Etapa Ingreso - Llegada]]="","",MARÍTIMOS[[#This Row],[Etapa Ingreso - Llegada]]),"")</f>
        <v/>
      </c>
      <c r="AJ689" s="11" t="str">
        <f>IFERROR(IF(MARÍTIMOS[[#This Row],[Etapa Ingreso - Ingeso]]="","",MARÍTIMOS[[#This Row],[Etapa Ingreso - Ingeso]]),"")</f>
        <v/>
      </c>
      <c r="AK689" s="11" t="str">
        <f>IFERROR(IF(MARÍTIMOS[[#This Row],[Etapa Ingreso - Atención]]="","",MARÍTIMOS[[#This Row],[Etapa Ingreso - Atención]]),"")</f>
        <v/>
      </c>
      <c r="AL689" s="11" t="str">
        <f>IFERROR(IF(MARÍTIMOS[[#This Row],[Etapa Ingreso - Salida]]="","",MARÍTIMOS[[#This Row],[Etapa Ingreso - Salida]]),"")</f>
        <v/>
      </c>
      <c r="AM689" s="2" t="str">
        <f>IFERROR(IF(MARÍTIMOS[[#This Row],[FCL]]="","",MARÍTIMOS[[#This Row],[FCL]]),"")</f>
        <v/>
      </c>
      <c r="AN6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89" s="4" t="str" cm="1">
        <f t="array" ref="AO6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89" s="5" t="str">
        <f>IFERROR(OLDBD[[#This Row],[Llegada a packing]]-OLDBD[[#This Row],[Inicio de Ruta]],"")</f>
        <v/>
      </c>
      <c r="AQ689" s="6" t="str">
        <f>IFERROR(OLDBD[[#This Row],[Inicio de Ruta]]-OLDBD[[#This Row],[Salida de almacén de retiro]],"")</f>
        <v/>
      </c>
      <c r="AR6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89" s="8" t="str" cm="1">
        <f t="array" ref="AS6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89" s="9" t="str">
        <f>IFERROR(OLDBD[[#This Row],[Ingreso Packing]]-OLDBD[[#This Row],[Registro en Packing]],"")</f>
        <v/>
      </c>
      <c r="AV689" s="9" t="str">
        <f>IFERROR(OLDBD[[#This Row],[Ingreso Packing]]-OLDBD[[#This Row],[Llegada a packing]],"")</f>
        <v/>
      </c>
      <c r="AW6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89" s="5" t="str">
        <f>IFERROR(OLDBD[[#This Row],[Llegada Almacén de Ingreso]]-OLDBD[[#This Row],[Salida Packing]],"")</f>
        <v/>
      </c>
      <c r="AY689" s="4" t="str" cm="1">
        <f t="array" ref="AY6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89" s="43" t="s">
        <v>173</v>
      </c>
      <c r="BB689" s="47" t="str">
        <f>IFERROR(IF(MARÍTIMOS[[#This Row],[Estatus]]="","",MARÍTIMOS[[#This Row],[Estatus]]),"")</f>
        <v/>
      </c>
      <c r="BC689" s="43"/>
      <c r="BD689" s="46" t="str">
        <f>IFERROR(OLDBD[[#This Row],[Salida de almacén de retiro]]-OLDBD[[#This Row],[Ingreso Almacén de retiro]],"")</f>
        <v/>
      </c>
      <c r="BE689" s="46" t="str">
        <f>IFERROR(OLDBD[[#This Row],[Fin de Carga]]-OLDBD[[#This Row],[Inicio de Carga]],"")</f>
        <v/>
      </c>
    </row>
    <row r="690" spans="1:57" customFormat="1" hidden="1">
      <c r="A690" s="1"/>
      <c r="B690" s="1" t="str">
        <f>IFERROR(IF(MARÍTIMOS[[#This Row],[PP]]="","",MARÍTIMOS[[#This Row],[PP]]),"")</f>
        <v/>
      </c>
      <c r="C690" s="1" t="str">
        <f>IFERROR(IF(MARÍTIMOS[[#This Row],[Sede]]="","",MARÍTIMOS[[#This Row],[Sede]]),"")</f>
        <v/>
      </c>
      <c r="D690" s="1" t="str">
        <f>IFERROR(IF(MARÍTIMOS[[#This Row],[Instruction]]="","",MARÍTIMOS[[#This Row],[Instruction]]),"")</f>
        <v/>
      </c>
      <c r="E690" s="1"/>
      <c r="F690" s="2" t="str">
        <f>IFERROR(IF(MARÍTIMOS[[#This Row],[Transportista]]="","",MARÍTIMOS[[#This Row],[Transportista]]),"")</f>
        <v/>
      </c>
      <c r="G690" s="2" t="str">
        <f>IFERROR(IF(MARÍTIMOS[[#This Row],[Tercero]]="","",MARÍTIMOS[[#This Row],[Tercero]]),"")</f>
        <v/>
      </c>
      <c r="H690" s="2" t="str">
        <f>IFERROR(IF(MARÍTIMOS[[#This Row],[Razón Social]]="","",MARÍTIMOS[[#This Row],[Razón Social]]),"")</f>
        <v/>
      </c>
      <c r="I690" s="2" t="str">
        <f>IFERROR(IF(MARÍTIMOS[[#This Row],[RUC]]="","",MARÍTIMOS[[#This Row],[RUC]]),"")</f>
        <v/>
      </c>
      <c r="J690" s="2" t="str">
        <f>IFERROR(IF(MARÍTIMOS[[#This Row],[Placa Tracto]]="","",MARÍTIMOS[[#This Row],[Placa Tracto]]),"")</f>
        <v/>
      </c>
      <c r="K690" s="2" t="str">
        <f>IFERROR(IF(MARÍTIMOS[[#This Row],[Placa Carreta]]="","",MARÍTIMOS[[#This Row],[Placa Carreta]]),"")</f>
        <v/>
      </c>
      <c r="L690" s="44" t="str">
        <f>IFERROR(IF(MARÍTIMOS[[#This Row],[Conductor]]="","",MARÍTIMOS[[#This Row],[Conductor]]),"")</f>
        <v/>
      </c>
      <c r="M690" s="2" t="str">
        <f>IFERROR(IF(MARÍTIMOS[[#This Row],[Licencia]]="","",MARÍTIMOS[[#This Row],[Licencia]]),"")</f>
        <v/>
      </c>
      <c r="N690" s="2" t="str">
        <f>IFERROR(IF(MARÍTIMOS[[#This Row],[Número de Contacto]]="","",MARÍTIMOS[[#This Row],[Número de Contacto]]),"")</f>
        <v/>
      </c>
      <c r="O690" s="10" t="str">
        <f>IFERROR(IF(MARÍTIMOS[[#This Row],[Booking|AWB|CRT]]="","",MARÍTIMOS[[#This Row],[Booking|AWB|CRT]]),"")</f>
        <v/>
      </c>
      <c r="P690" s="2" t="str">
        <f>IFERROR(IF(MARÍTIMOS[[#This Row],[Contenedor]]="","",MARÍTIMOS[[#This Row],[Contenedor]]),"")</f>
        <v/>
      </c>
      <c r="Q690" s="2" t="str">
        <f>IFERROR(IF(MARÍTIMOS[[#This Row],[Puerto de Retiro]]="","",MARÍTIMOS[[#This Row],[Puerto de Retiro]]),"")</f>
        <v/>
      </c>
      <c r="R690" s="2" t="str">
        <f>IFERROR(IF(MARÍTIMOS[[#This Row],[Almacén de Retiro]]="","",MARÍTIMOS[[#This Row],[Almacén de Retiro]]),"")</f>
        <v/>
      </c>
      <c r="S690" s="11" t="str">
        <f>IFERROR(IF(MARÍTIMOS[[#This Row],[Etapa Retiro - Cita]]="","",MARÍTIMOS[[#This Row],[Etapa Retiro - Cita]]),"")</f>
        <v/>
      </c>
      <c r="T690" s="11" t="str">
        <f>IFERROR(IF(MARÍTIMOS[[#This Row],[Etapa Retiro - Llegada]]="","",MARÍTIMOS[[#This Row],[Etapa Retiro - Llegada]]),"")</f>
        <v/>
      </c>
      <c r="U690" s="11" t="str">
        <f>IFERROR(IF(MARÍTIMOS[[#This Row],[Etapa Retiro - Ingreso]]="","",MARÍTIMOS[[#This Row],[Etapa Retiro - Ingreso]]),"")</f>
        <v/>
      </c>
      <c r="V690" s="11" t="str">
        <f>IFERROR(IF(MARÍTIMOS[[#This Row],[Etapa Retiro - Atención]]="","",MARÍTIMOS[[#This Row],[Etapa Retiro - Atención]]),"")</f>
        <v/>
      </c>
      <c r="W690" s="11" t="str">
        <f>IFERROR(IF(MARÍTIMOS[[#This Row],[Etapa Retiro - Atención]]="","",MARÍTIMOS[[#This Row],[Etapa Retiro - Atención]]),"")</f>
        <v/>
      </c>
      <c r="X690" s="11" t="str">
        <f>IFERROR(IF(MARÍTIMOS[[#This Row],[Etapa Retiro - Inicio de Ruta]]="","",MARÍTIMOS[[#This Row],[Etapa Retiro - Inicio de Ruta]]),"")</f>
        <v/>
      </c>
      <c r="Y690" s="11" t="str">
        <f>IFERROR(IF(MARÍTIMOS[[#This Row],[Hora de Posicionamiento]]="","",MARÍTIMOS[[#This Row],[Fecha de Carga]]+MARÍTIMOS[[#This Row],[Hora de Posicionamiento]]),"")</f>
        <v/>
      </c>
      <c r="Z690" s="11" t="str">
        <f>IFERROR(IF(MARÍTIMOS[[#This Row],[Etapa Despacho - Llegada]]="","",MARÍTIMOS[[#This Row],[Etapa Despacho - Llegada]]),"")</f>
        <v/>
      </c>
      <c r="AA690" s="11" t="str">
        <f>IFERROR(IF(MARÍTIMOS[[#This Row],[Etapa Despacho - Registro]]="","",MARÍTIMOS[[#This Row],[Etapa Despacho - Registro]]),"")</f>
        <v/>
      </c>
      <c r="AB690" s="11" t="str">
        <f>IFERROR(IF(MARÍTIMOS[[#This Row],[Inspección Externa]]="","",MARÍTIMOS[[#This Row],[Inspección Externa]]),"")</f>
        <v/>
      </c>
      <c r="AC690" s="11" t="str">
        <f>IFERROR(IF(MARÍTIMOS[[#This Row],[Etapa Despacho - Inicio de Carga]]="","",MARÍTIMOS[[#This Row],[Etapa Despacho - Inicio de Carga]]),"")</f>
        <v/>
      </c>
      <c r="AD690" s="11" t="str">
        <f>IFERROR(IF(MARÍTIMOS[[#This Row],[Etapa Despacho - Mitad de Carga]]="","",MARÍTIMOS[[#This Row],[Etapa Despacho - Mitad de Carga]]),"")</f>
        <v/>
      </c>
      <c r="AE690" s="11" t="str">
        <f>IFERROR(IF(MARÍTIMOS[[#This Row],[Etapa Despacho - Fin de Carga]]="","",MARÍTIMOS[[#This Row],[Etapa Despacho - Fin de Carga]]),"")</f>
        <v/>
      </c>
      <c r="AF690" s="2" t="str">
        <f>IFERROR(IF(MARÍTIMOS[[#This Row],[Puerto de Embarque]]="","",MARÍTIMOS[[#This Row],[Puerto de Embarque]]),"")</f>
        <v/>
      </c>
      <c r="AG690" s="2" t="str">
        <f>IFERROR(IF(MARÍTIMOS[[#This Row],[Almacén de Ingreso]]="","",MARÍTIMOS[[#This Row],[Almacén de Ingreso]]),"")</f>
        <v/>
      </c>
      <c r="AH690" s="11" t="str">
        <f>IFERROR(IF(MARÍTIMOS[[#This Row],[Etapa Ingreso - Cita]]="","",MARÍTIMOS[[#This Row],[Etapa Ingreso - Cita]]),"")</f>
        <v/>
      </c>
      <c r="AI690" s="11" t="str">
        <f>IFERROR(IF(MARÍTIMOS[[#This Row],[Etapa Ingreso - Llegada]]="","",MARÍTIMOS[[#This Row],[Etapa Ingreso - Llegada]]),"")</f>
        <v/>
      </c>
      <c r="AJ690" s="11" t="str">
        <f>IFERROR(IF(MARÍTIMOS[[#This Row],[Etapa Ingreso - Ingeso]]="","",MARÍTIMOS[[#This Row],[Etapa Ingreso - Ingeso]]),"")</f>
        <v/>
      </c>
      <c r="AK690" s="11" t="str">
        <f>IFERROR(IF(MARÍTIMOS[[#This Row],[Etapa Ingreso - Atención]]="","",MARÍTIMOS[[#This Row],[Etapa Ingreso - Atención]]),"")</f>
        <v/>
      </c>
      <c r="AL690" s="11" t="str">
        <f>IFERROR(IF(MARÍTIMOS[[#This Row],[Etapa Ingreso - Salida]]="","",MARÍTIMOS[[#This Row],[Etapa Ingreso - Salida]]),"")</f>
        <v/>
      </c>
      <c r="AM690" s="2" t="str">
        <f>IFERROR(IF(MARÍTIMOS[[#This Row],[FCL]]="","",MARÍTIMOS[[#This Row],[FCL]]),"")</f>
        <v/>
      </c>
      <c r="AN6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0" s="4" t="str" cm="1">
        <f t="array" ref="AO6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0" s="5" t="str">
        <f>IFERROR(OLDBD[[#This Row],[Llegada a packing]]-OLDBD[[#This Row],[Inicio de Ruta]],"")</f>
        <v/>
      </c>
      <c r="AQ690" s="6" t="str">
        <f>IFERROR(OLDBD[[#This Row],[Inicio de Ruta]]-OLDBD[[#This Row],[Salida de almacén de retiro]],"")</f>
        <v/>
      </c>
      <c r="AR6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0" s="8" t="str" cm="1">
        <f t="array" ref="AS6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0" s="9" t="str">
        <f>IFERROR(OLDBD[[#This Row],[Ingreso Packing]]-OLDBD[[#This Row],[Registro en Packing]],"")</f>
        <v/>
      </c>
      <c r="AV690" s="9" t="str">
        <f>IFERROR(OLDBD[[#This Row],[Ingreso Packing]]-OLDBD[[#This Row],[Llegada a packing]],"")</f>
        <v/>
      </c>
      <c r="AW6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0" s="5" t="str">
        <f>IFERROR(OLDBD[[#This Row],[Llegada Almacén de Ingreso]]-OLDBD[[#This Row],[Salida Packing]],"")</f>
        <v/>
      </c>
      <c r="AY690" s="4" t="str" cm="1">
        <f t="array" ref="AY6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0" s="43" t="s">
        <v>173</v>
      </c>
      <c r="BB690" s="47" t="str">
        <f>IFERROR(IF(MARÍTIMOS[[#This Row],[Estatus]]="","",MARÍTIMOS[[#This Row],[Estatus]]),"")</f>
        <v/>
      </c>
      <c r="BC690" s="43"/>
      <c r="BD690" s="46" t="str">
        <f>IFERROR(OLDBD[[#This Row],[Salida de almacén de retiro]]-OLDBD[[#This Row],[Ingreso Almacén de retiro]],"")</f>
        <v/>
      </c>
      <c r="BE690" s="46" t="str">
        <f>IFERROR(OLDBD[[#This Row],[Fin de Carga]]-OLDBD[[#This Row],[Inicio de Carga]],"")</f>
        <v/>
      </c>
    </row>
    <row r="691" spans="1:57" customFormat="1" hidden="1">
      <c r="A691" s="1"/>
      <c r="B691" s="1" t="str">
        <f>IFERROR(IF(MARÍTIMOS[[#This Row],[PP]]="","",MARÍTIMOS[[#This Row],[PP]]),"")</f>
        <v/>
      </c>
      <c r="C691" s="1" t="str">
        <f>IFERROR(IF(MARÍTIMOS[[#This Row],[Sede]]="","",MARÍTIMOS[[#This Row],[Sede]]),"")</f>
        <v/>
      </c>
      <c r="D691" s="1" t="str">
        <f>IFERROR(IF(MARÍTIMOS[[#This Row],[Instruction]]="","",MARÍTIMOS[[#This Row],[Instruction]]),"")</f>
        <v/>
      </c>
      <c r="E691" s="1"/>
      <c r="F691" s="2" t="str">
        <f>IFERROR(IF(MARÍTIMOS[[#This Row],[Transportista]]="","",MARÍTIMOS[[#This Row],[Transportista]]),"")</f>
        <v/>
      </c>
      <c r="G691" s="2" t="str">
        <f>IFERROR(IF(MARÍTIMOS[[#This Row],[Tercero]]="","",MARÍTIMOS[[#This Row],[Tercero]]),"")</f>
        <v/>
      </c>
      <c r="H691" s="2" t="str">
        <f>IFERROR(IF(MARÍTIMOS[[#This Row],[Razón Social]]="","",MARÍTIMOS[[#This Row],[Razón Social]]),"")</f>
        <v/>
      </c>
      <c r="I691" s="2" t="str">
        <f>IFERROR(IF(MARÍTIMOS[[#This Row],[RUC]]="","",MARÍTIMOS[[#This Row],[RUC]]),"")</f>
        <v/>
      </c>
      <c r="J691" s="2" t="str">
        <f>IFERROR(IF(MARÍTIMOS[[#This Row],[Placa Tracto]]="","",MARÍTIMOS[[#This Row],[Placa Tracto]]),"")</f>
        <v/>
      </c>
      <c r="K691" s="2" t="str">
        <f>IFERROR(IF(MARÍTIMOS[[#This Row],[Placa Carreta]]="","",MARÍTIMOS[[#This Row],[Placa Carreta]]),"")</f>
        <v/>
      </c>
      <c r="L691" s="44" t="str">
        <f>IFERROR(IF(MARÍTIMOS[[#This Row],[Conductor]]="","",MARÍTIMOS[[#This Row],[Conductor]]),"")</f>
        <v/>
      </c>
      <c r="M691" s="2" t="str">
        <f>IFERROR(IF(MARÍTIMOS[[#This Row],[Licencia]]="","",MARÍTIMOS[[#This Row],[Licencia]]),"")</f>
        <v/>
      </c>
      <c r="N691" s="2" t="str">
        <f>IFERROR(IF(MARÍTIMOS[[#This Row],[Número de Contacto]]="","",MARÍTIMOS[[#This Row],[Número de Contacto]]),"")</f>
        <v/>
      </c>
      <c r="O691" s="10" t="str">
        <f>IFERROR(IF(MARÍTIMOS[[#This Row],[Booking|AWB|CRT]]="","",MARÍTIMOS[[#This Row],[Booking|AWB|CRT]]),"")</f>
        <v/>
      </c>
      <c r="P691" s="2" t="str">
        <f>IFERROR(IF(MARÍTIMOS[[#This Row],[Contenedor]]="","",MARÍTIMOS[[#This Row],[Contenedor]]),"")</f>
        <v/>
      </c>
      <c r="Q691" s="2" t="str">
        <f>IFERROR(IF(MARÍTIMOS[[#This Row],[Puerto de Retiro]]="","",MARÍTIMOS[[#This Row],[Puerto de Retiro]]),"")</f>
        <v/>
      </c>
      <c r="R691" s="2" t="str">
        <f>IFERROR(IF(MARÍTIMOS[[#This Row],[Almacén de Retiro]]="","",MARÍTIMOS[[#This Row],[Almacén de Retiro]]),"")</f>
        <v/>
      </c>
      <c r="S691" s="11" t="str">
        <f>IFERROR(IF(MARÍTIMOS[[#This Row],[Etapa Retiro - Cita]]="","",MARÍTIMOS[[#This Row],[Etapa Retiro - Cita]]),"")</f>
        <v/>
      </c>
      <c r="T691" s="11" t="str">
        <f>IFERROR(IF(MARÍTIMOS[[#This Row],[Etapa Retiro - Llegada]]="","",MARÍTIMOS[[#This Row],[Etapa Retiro - Llegada]]),"")</f>
        <v/>
      </c>
      <c r="U691" s="11" t="str">
        <f>IFERROR(IF(MARÍTIMOS[[#This Row],[Etapa Retiro - Ingreso]]="","",MARÍTIMOS[[#This Row],[Etapa Retiro - Ingreso]]),"")</f>
        <v/>
      </c>
      <c r="V691" s="11" t="str">
        <f>IFERROR(IF(MARÍTIMOS[[#This Row],[Etapa Retiro - Atención]]="","",MARÍTIMOS[[#This Row],[Etapa Retiro - Atención]]),"")</f>
        <v/>
      </c>
      <c r="W691" s="11" t="str">
        <f>IFERROR(IF(MARÍTIMOS[[#This Row],[Etapa Retiro - Atención]]="","",MARÍTIMOS[[#This Row],[Etapa Retiro - Atención]]),"")</f>
        <v/>
      </c>
      <c r="X691" s="11" t="str">
        <f>IFERROR(IF(MARÍTIMOS[[#This Row],[Etapa Retiro - Inicio de Ruta]]="","",MARÍTIMOS[[#This Row],[Etapa Retiro - Inicio de Ruta]]),"")</f>
        <v/>
      </c>
      <c r="Y691" s="11" t="str">
        <f>IFERROR(IF(MARÍTIMOS[[#This Row],[Hora de Posicionamiento]]="","",MARÍTIMOS[[#This Row],[Fecha de Carga]]+MARÍTIMOS[[#This Row],[Hora de Posicionamiento]]),"")</f>
        <v/>
      </c>
      <c r="Z691" s="11" t="str">
        <f>IFERROR(IF(MARÍTIMOS[[#This Row],[Etapa Despacho - Llegada]]="","",MARÍTIMOS[[#This Row],[Etapa Despacho - Llegada]]),"")</f>
        <v/>
      </c>
      <c r="AA691" s="11" t="str">
        <f>IFERROR(IF(MARÍTIMOS[[#This Row],[Etapa Despacho - Registro]]="","",MARÍTIMOS[[#This Row],[Etapa Despacho - Registro]]),"")</f>
        <v/>
      </c>
      <c r="AB691" s="11" t="str">
        <f>IFERROR(IF(MARÍTIMOS[[#This Row],[Inspección Externa]]="","",MARÍTIMOS[[#This Row],[Inspección Externa]]),"")</f>
        <v/>
      </c>
      <c r="AC691" s="11" t="str">
        <f>IFERROR(IF(MARÍTIMOS[[#This Row],[Etapa Despacho - Inicio de Carga]]="","",MARÍTIMOS[[#This Row],[Etapa Despacho - Inicio de Carga]]),"")</f>
        <v/>
      </c>
      <c r="AD691" s="11" t="str">
        <f>IFERROR(IF(MARÍTIMOS[[#This Row],[Etapa Despacho - Mitad de Carga]]="","",MARÍTIMOS[[#This Row],[Etapa Despacho - Mitad de Carga]]),"")</f>
        <v/>
      </c>
      <c r="AE691" s="11" t="str">
        <f>IFERROR(IF(MARÍTIMOS[[#This Row],[Etapa Despacho - Fin de Carga]]="","",MARÍTIMOS[[#This Row],[Etapa Despacho - Fin de Carga]]),"")</f>
        <v/>
      </c>
      <c r="AF691" s="2" t="str">
        <f>IFERROR(IF(MARÍTIMOS[[#This Row],[Puerto de Embarque]]="","",MARÍTIMOS[[#This Row],[Puerto de Embarque]]),"")</f>
        <v/>
      </c>
      <c r="AG691" s="2" t="str">
        <f>IFERROR(IF(MARÍTIMOS[[#This Row],[Almacén de Ingreso]]="","",MARÍTIMOS[[#This Row],[Almacén de Ingreso]]),"")</f>
        <v/>
      </c>
      <c r="AH691" s="11" t="str">
        <f>IFERROR(IF(MARÍTIMOS[[#This Row],[Etapa Ingreso - Cita]]="","",MARÍTIMOS[[#This Row],[Etapa Ingreso - Cita]]),"")</f>
        <v/>
      </c>
      <c r="AI691" s="11" t="str">
        <f>IFERROR(IF(MARÍTIMOS[[#This Row],[Etapa Ingreso - Llegada]]="","",MARÍTIMOS[[#This Row],[Etapa Ingreso - Llegada]]),"")</f>
        <v/>
      </c>
      <c r="AJ691" s="11" t="str">
        <f>IFERROR(IF(MARÍTIMOS[[#This Row],[Etapa Ingreso - Ingeso]]="","",MARÍTIMOS[[#This Row],[Etapa Ingreso - Ingeso]]),"")</f>
        <v/>
      </c>
      <c r="AK691" s="11" t="str">
        <f>IFERROR(IF(MARÍTIMOS[[#This Row],[Etapa Ingreso - Atención]]="","",MARÍTIMOS[[#This Row],[Etapa Ingreso - Atención]]),"")</f>
        <v/>
      </c>
      <c r="AL691" s="11" t="str">
        <f>IFERROR(IF(MARÍTIMOS[[#This Row],[Etapa Ingreso - Salida]]="","",MARÍTIMOS[[#This Row],[Etapa Ingreso - Salida]]),"")</f>
        <v/>
      </c>
      <c r="AM691" s="2" t="str">
        <f>IFERROR(IF(MARÍTIMOS[[#This Row],[FCL]]="","",MARÍTIMOS[[#This Row],[FCL]]),"")</f>
        <v/>
      </c>
      <c r="AN6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1" s="4" t="str" cm="1">
        <f t="array" ref="AO6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1" s="5" t="str">
        <f>IFERROR(OLDBD[[#This Row],[Llegada a packing]]-OLDBD[[#This Row],[Inicio de Ruta]],"")</f>
        <v/>
      </c>
      <c r="AQ691" s="6" t="str">
        <f>IFERROR(OLDBD[[#This Row],[Inicio de Ruta]]-OLDBD[[#This Row],[Salida de almacén de retiro]],"")</f>
        <v/>
      </c>
      <c r="AR6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1" s="8" t="str" cm="1">
        <f t="array" ref="AS6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1" s="9" t="str">
        <f>IFERROR(OLDBD[[#This Row],[Ingreso Packing]]-OLDBD[[#This Row],[Registro en Packing]],"")</f>
        <v/>
      </c>
      <c r="AV691" s="9" t="str">
        <f>IFERROR(OLDBD[[#This Row],[Ingreso Packing]]-OLDBD[[#This Row],[Llegada a packing]],"")</f>
        <v/>
      </c>
      <c r="AW6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1" s="5" t="str">
        <f>IFERROR(OLDBD[[#This Row],[Llegada Almacén de Ingreso]]-OLDBD[[#This Row],[Salida Packing]],"")</f>
        <v/>
      </c>
      <c r="AY691" s="4" t="str" cm="1">
        <f t="array" ref="AY6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1" s="43" t="s">
        <v>173</v>
      </c>
      <c r="BB691" s="47" t="str">
        <f>IFERROR(IF(MARÍTIMOS[[#This Row],[Estatus]]="","",MARÍTIMOS[[#This Row],[Estatus]]),"")</f>
        <v/>
      </c>
      <c r="BC691" s="43"/>
      <c r="BD691" s="46" t="str">
        <f>IFERROR(OLDBD[[#This Row],[Salida de almacén de retiro]]-OLDBD[[#This Row],[Ingreso Almacén de retiro]],"")</f>
        <v/>
      </c>
      <c r="BE691" s="46" t="str">
        <f>IFERROR(OLDBD[[#This Row],[Fin de Carga]]-OLDBD[[#This Row],[Inicio de Carga]],"")</f>
        <v/>
      </c>
    </row>
    <row r="692" spans="1:57" customFormat="1" hidden="1">
      <c r="A692" s="1"/>
      <c r="B692" s="1" t="str">
        <f>IFERROR(IF(MARÍTIMOS[[#This Row],[PP]]="","",MARÍTIMOS[[#This Row],[PP]]),"")</f>
        <v/>
      </c>
      <c r="C692" s="1" t="str">
        <f>IFERROR(IF(MARÍTIMOS[[#This Row],[Sede]]="","",MARÍTIMOS[[#This Row],[Sede]]),"")</f>
        <v/>
      </c>
      <c r="D692" s="1" t="str">
        <f>IFERROR(IF(MARÍTIMOS[[#This Row],[Instruction]]="","",MARÍTIMOS[[#This Row],[Instruction]]),"")</f>
        <v/>
      </c>
      <c r="E692" s="1"/>
      <c r="F692" s="2" t="str">
        <f>IFERROR(IF(MARÍTIMOS[[#This Row],[Transportista]]="","",MARÍTIMOS[[#This Row],[Transportista]]),"")</f>
        <v/>
      </c>
      <c r="G692" s="2" t="str">
        <f>IFERROR(IF(MARÍTIMOS[[#This Row],[Tercero]]="","",MARÍTIMOS[[#This Row],[Tercero]]),"")</f>
        <v/>
      </c>
      <c r="H692" s="2" t="str">
        <f>IFERROR(IF(MARÍTIMOS[[#This Row],[Razón Social]]="","",MARÍTIMOS[[#This Row],[Razón Social]]),"")</f>
        <v/>
      </c>
      <c r="I692" s="2" t="str">
        <f>IFERROR(IF(MARÍTIMOS[[#This Row],[RUC]]="","",MARÍTIMOS[[#This Row],[RUC]]),"")</f>
        <v/>
      </c>
      <c r="J692" s="2" t="str">
        <f>IFERROR(IF(MARÍTIMOS[[#This Row],[Placa Tracto]]="","",MARÍTIMOS[[#This Row],[Placa Tracto]]),"")</f>
        <v/>
      </c>
      <c r="K692" s="2" t="str">
        <f>IFERROR(IF(MARÍTIMOS[[#This Row],[Placa Carreta]]="","",MARÍTIMOS[[#This Row],[Placa Carreta]]),"")</f>
        <v/>
      </c>
      <c r="L692" s="44" t="str">
        <f>IFERROR(IF(MARÍTIMOS[[#This Row],[Conductor]]="","",MARÍTIMOS[[#This Row],[Conductor]]),"")</f>
        <v/>
      </c>
      <c r="M692" s="2" t="str">
        <f>IFERROR(IF(MARÍTIMOS[[#This Row],[Licencia]]="","",MARÍTIMOS[[#This Row],[Licencia]]),"")</f>
        <v/>
      </c>
      <c r="N692" s="2" t="str">
        <f>IFERROR(IF(MARÍTIMOS[[#This Row],[Número de Contacto]]="","",MARÍTIMOS[[#This Row],[Número de Contacto]]),"")</f>
        <v/>
      </c>
      <c r="O692" s="10" t="str">
        <f>IFERROR(IF(MARÍTIMOS[[#This Row],[Booking|AWB|CRT]]="","",MARÍTIMOS[[#This Row],[Booking|AWB|CRT]]),"")</f>
        <v/>
      </c>
      <c r="P692" s="2" t="str">
        <f>IFERROR(IF(MARÍTIMOS[[#This Row],[Contenedor]]="","",MARÍTIMOS[[#This Row],[Contenedor]]),"")</f>
        <v/>
      </c>
      <c r="Q692" s="2" t="str">
        <f>IFERROR(IF(MARÍTIMOS[[#This Row],[Puerto de Retiro]]="","",MARÍTIMOS[[#This Row],[Puerto de Retiro]]),"")</f>
        <v/>
      </c>
      <c r="R692" s="2" t="str">
        <f>IFERROR(IF(MARÍTIMOS[[#This Row],[Almacén de Retiro]]="","",MARÍTIMOS[[#This Row],[Almacén de Retiro]]),"")</f>
        <v/>
      </c>
      <c r="S692" s="11" t="str">
        <f>IFERROR(IF(MARÍTIMOS[[#This Row],[Etapa Retiro - Cita]]="","",MARÍTIMOS[[#This Row],[Etapa Retiro - Cita]]),"")</f>
        <v/>
      </c>
      <c r="T692" s="11" t="str">
        <f>IFERROR(IF(MARÍTIMOS[[#This Row],[Etapa Retiro - Llegada]]="","",MARÍTIMOS[[#This Row],[Etapa Retiro - Llegada]]),"")</f>
        <v/>
      </c>
      <c r="U692" s="11" t="str">
        <f>IFERROR(IF(MARÍTIMOS[[#This Row],[Etapa Retiro - Ingreso]]="","",MARÍTIMOS[[#This Row],[Etapa Retiro - Ingreso]]),"")</f>
        <v/>
      </c>
      <c r="V692" s="11" t="str">
        <f>IFERROR(IF(MARÍTIMOS[[#This Row],[Etapa Retiro - Atención]]="","",MARÍTIMOS[[#This Row],[Etapa Retiro - Atención]]),"")</f>
        <v/>
      </c>
      <c r="W692" s="11" t="str">
        <f>IFERROR(IF(MARÍTIMOS[[#This Row],[Etapa Retiro - Atención]]="","",MARÍTIMOS[[#This Row],[Etapa Retiro - Atención]]),"")</f>
        <v/>
      </c>
      <c r="X692" s="11" t="str">
        <f>IFERROR(IF(MARÍTIMOS[[#This Row],[Etapa Retiro - Inicio de Ruta]]="","",MARÍTIMOS[[#This Row],[Etapa Retiro - Inicio de Ruta]]),"")</f>
        <v/>
      </c>
      <c r="Y692" s="11" t="str">
        <f>IFERROR(IF(MARÍTIMOS[[#This Row],[Hora de Posicionamiento]]="","",MARÍTIMOS[[#This Row],[Fecha de Carga]]+MARÍTIMOS[[#This Row],[Hora de Posicionamiento]]),"")</f>
        <v/>
      </c>
      <c r="Z692" s="11" t="str">
        <f>IFERROR(IF(MARÍTIMOS[[#This Row],[Etapa Despacho - Llegada]]="","",MARÍTIMOS[[#This Row],[Etapa Despacho - Llegada]]),"")</f>
        <v/>
      </c>
      <c r="AA692" s="11" t="str">
        <f>IFERROR(IF(MARÍTIMOS[[#This Row],[Etapa Despacho - Registro]]="","",MARÍTIMOS[[#This Row],[Etapa Despacho - Registro]]),"")</f>
        <v/>
      </c>
      <c r="AB692" s="11" t="str">
        <f>IFERROR(IF(MARÍTIMOS[[#This Row],[Inspección Externa]]="","",MARÍTIMOS[[#This Row],[Inspección Externa]]),"")</f>
        <v/>
      </c>
      <c r="AC692" s="11" t="str">
        <f>IFERROR(IF(MARÍTIMOS[[#This Row],[Etapa Despacho - Inicio de Carga]]="","",MARÍTIMOS[[#This Row],[Etapa Despacho - Inicio de Carga]]),"")</f>
        <v/>
      </c>
      <c r="AD692" s="11" t="str">
        <f>IFERROR(IF(MARÍTIMOS[[#This Row],[Etapa Despacho - Mitad de Carga]]="","",MARÍTIMOS[[#This Row],[Etapa Despacho - Mitad de Carga]]),"")</f>
        <v/>
      </c>
      <c r="AE692" s="11" t="str">
        <f>IFERROR(IF(MARÍTIMOS[[#This Row],[Etapa Despacho - Fin de Carga]]="","",MARÍTIMOS[[#This Row],[Etapa Despacho - Fin de Carga]]),"")</f>
        <v/>
      </c>
      <c r="AF692" s="2" t="str">
        <f>IFERROR(IF(MARÍTIMOS[[#This Row],[Puerto de Embarque]]="","",MARÍTIMOS[[#This Row],[Puerto de Embarque]]),"")</f>
        <v/>
      </c>
      <c r="AG692" s="2" t="str">
        <f>IFERROR(IF(MARÍTIMOS[[#This Row],[Almacén de Ingreso]]="","",MARÍTIMOS[[#This Row],[Almacén de Ingreso]]),"")</f>
        <v/>
      </c>
      <c r="AH692" s="11" t="str">
        <f>IFERROR(IF(MARÍTIMOS[[#This Row],[Etapa Ingreso - Cita]]="","",MARÍTIMOS[[#This Row],[Etapa Ingreso - Cita]]),"")</f>
        <v/>
      </c>
      <c r="AI692" s="11" t="str">
        <f>IFERROR(IF(MARÍTIMOS[[#This Row],[Etapa Ingreso - Llegada]]="","",MARÍTIMOS[[#This Row],[Etapa Ingreso - Llegada]]),"")</f>
        <v/>
      </c>
      <c r="AJ692" s="11" t="str">
        <f>IFERROR(IF(MARÍTIMOS[[#This Row],[Etapa Ingreso - Ingeso]]="","",MARÍTIMOS[[#This Row],[Etapa Ingreso - Ingeso]]),"")</f>
        <v/>
      </c>
      <c r="AK692" s="11" t="str">
        <f>IFERROR(IF(MARÍTIMOS[[#This Row],[Etapa Ingreso - Atención]]="","",MARÍTIMOS[[#This Row],[Etapa Ingreso - Atención]]),"")</f>
        <v/>
      </c>
      <c r="AL692" s="11" t="str">
        <f>IFERROR(IF(MARÍTIMOS[[#This Row],[Etapa Ingreso - Salida]]="","",MARÍTIMOS[[#This Row],[Etapa Ingreso - Salida]]),"")</f>
        <v/>
      </c>
      <c r="AM692" s="2" t="str">
        <f>IFERROR(IF(MARÍTIMOS[[#This Row],[FCL]]="","",MARÍTIMOS[[#This Row],[FCL]]),"")</f>
        <v/>
      </c>
      <c r="AN6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2" s="4" t="str" cm="1">
        <f t="array" ref="AO6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2" s="5" t="str">
        <f>IFERROR(OLDBD[[#This Row],[Llegada a packing]]-OLDBD[[#This Row],[Inicio de Ruta]],"")</f>
        <v/>
      </c>
      <c r="AQ692" s="6" t="str">
        <f>IFERROR(OLDBD[[#This Row],[Inicio de Ruta]]-OLDBD[[#This Row],[Salida de almacén de retiro]],"")</f>
        <v/>
      </c>
      <c r="AR6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2" s="8" t="str" cm="1">
        <f t="array" ref="AS6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2" s="9" t="str">
        <f>IFERROR(OLDBD[[#This Row],[Ingreso Packing]]-OLDBD[[#This Row],[Registro en Packing]],"")</f>
        <v/>
      </c>
      <c r="AV692" s="9" t="str">
        <f>IFERROR(OLDBD[[#This Row],[Ingreso Packing]]-OLDBD[[#This Row],[Llegada a packing]],"")</f>
        <v/>
      </c>
      <c r="AW6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2" s="5" t="str">
        <f>IFERROR(OLDBD[[#This Row],[Llegada Almacén de Ingreso]]-OLDBD[[#This Row],[Salida Packing]],"")</f>
        <v/>
      </c>
      <c r="AY692" s="4" t="str" cm="1">
        <f t="array" ref="AY6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2" s="43" t="s">
        <v>173</v>
      </c>
      <c r="BB692" s="47" t="str">
        <f>IFERROR(IF(MARÍTIMOS[[#This Row],[Estatus]]="","",MARÍTIMOS[[#This Row],[Estatus]]),"")</f>
        <v/>
      </c>
      <c r="BC692" s="43"/>
      <c r="BD692" s="46" t="str">
        <f>IFERROR(OLDBD[[#This Row],[Salida de almacén de retiro]]-OLDBD[[#This Row],[Ingreso Almacén de retiro]],"")</f>
        <v/>
      </c>
      <c r="BE692" s="46" t="str">
        <f>IFERROR(OLDBD[[#This Row],[Fin de Carga]]-OLDBD[[#This Row],[Inicio de Carga]],"")</f>
        <v/>
      </c>
    </row>
    <row r="693" spans="1:57" customFormat="1" hidden="1">
      <c r="A693" s="1"/>
      <c r="B693" s="1" t="str">
        <f>IFERROR(IF(MARÍTIMOS[[#This Row],[PP]]="","",MARÍTIMOS[[#This Row],[PP]]),"")</f>
        <v/>
      </c>
      <c r="C693" s="1" t="str">
        <f>IFERROR(IF(MARÍTIMOS[[#This Row],[Sede]]="","",MARÍTIMOS[[#This Row],[Sede]]),"")</f>
        <v/>
      </c>
      <c r="D693" s="1" t="str">
        <f>IFERROR(IF(MARÍTIMOS[[#This Row],[Instruction]]="","",MARÍTIMOS[[#This Row],[Instruction]]),"")</f>
        <v/>
      </c>
      <c r="E693" s="1"/>
      <c r="F693" s="2" t="str">
        <f>IFERROR(IF(MARÍTIMOS[[#This Row],[Transportista]]="","",MARÍTIMOS[[#This Row],[Transportista]]),"")</f>
        <v/>
      </c>
      <c r="G693" s="2" t="str">
        <f>IFERROR(IF(MARÍTIMOS[[#This Row],[Tercero]]="","",MARÍTIMOS[[#This Row],[Tercero]]),"")</f>
        <v/>
      </c>
      <c r="H693" s="2" t="str">
        <f>IFERROR(IF(MARÍTIMOS[[#This Row],[Razón Social]]="","",MARÍTIMOS[[#This Row],[Razón Social]]),"")</f>
        <v/>
      </c>
      <c r="I693" s="2" t="str">
        <f>IFERROR(IF(MARÍTIMOS[[#This Row],[RUC]]="","",MARÍTIMOS[[#This Row],[RUC]]),"")</f>
        <v/>
      </c>
      <c r="J693" s="2" t="str">
        <f>IFERROR(IF(MARÍTIMOS[[#This Row],[Placa Tracto]]="","",MARÍTIMOS[[#This Row],[Placa Tracto]]),"")</f>
        <v/>
      </c>
      <c r="K693" s="2" t="str">
        <f>IFERROR(IF(MARÍTIMOS[[#This Row],[Placa Carreta]]="","",MARÍTIMOS[[#This Row],[Placa Carreta]]),"")</f>
        <v/>
      </c>
      <c r="L693" s="44" t="str">
        <f>IFERROR(IF(MARÍTIMOS[[#This Row],[Conductor]]="","",MARÍTIMOS[[#This Row],[Conductor]]),"")</f>
        <v/>
      </c>
      <c r="M693" s="2" t="str">
        <f>IFERROR(IF(MARÍTIMOS[[#This Row],[Licencia]]="","",MARÍTIMOS[[#This Row],[Licencia]]),"")</f>
        <v/>
      </c>
      <c r="N693" s="2" t="str">
        <f>IFERROR(IF(MARÍTIMOS[[#This Row],[Número de Contacto]]="","",MARÍTIMOS[[#This Row],[Número de Contacto]]),"")</f>
        <v/>
      </c>
      <c r="O693" s="10" t="str">
        <f>IFERROR(IF(MARÍTIMOS[[#This Row],[Booking|AWB|CRT]]="","",MARÍTIMOS[[#This Row],[Booking|AWB|CRT]]),"")</f>
        <v/>
      </c>
      <c r="P693" s="2" t="str">
        <f>IFERROR(IF(MARÍTIMOS[[#This Row],[Contenedor]]="","",MARÍTIMOS[[#This Row],[Contenedor]]),"")</f>
        <v/>
      </c>
      <c r="Q693" s="2" t="str">
        <f>IFERROR(IF(MARÍTIMOS[[#This Row],[Puerto de Retiro]]="","",MARÍTIMOS[[#This Row],[Puerto de Retiro]]),"")</f>
        <v/>
      </c>
      <c r="R693" s="2" t="str">
        <f>IFERROR(IF(MARÍTIMOS[[#This Row],[Almacén de Retiro]]="","",MARÍTIMOS[[#This Row],[Almacén de Retiro]]),"")</f>
        <v/>
      </c>
      <c r="S693" s="11" t="str">
        <f>IFERROR(IF(MARÍTIMOS[[#This Row],[Etapa Retiro - Cita]]="","",MARÍTIMOS[[#This Row],[Etapa Retiro - Cita]]),"")</f>
        <v/>
      </c>
      <c r="T693" s="11" t="str">
        <f>IFERROR(IF(MARÍTIMOS[[#This Row],[Etapa Retiro - Llegada]]="","",MARÍTIMOS[[#This Row],[Etapa Retiro - Llegada]]),"")</f>
        <v/>
      </c>
      <c r="U693" s="11" t="str">
        <f>IFERROR(IF(MARÍTIMOS[[#This Row],[Etapa Retiro - Ingreso]]="","",MARÍTIMOS[[#This Row],[Etapa Retiro - Ingreso]]),"")</f>
        <v/>
      </c>
      <c r="V693" s="11" t="str">
        <f>IFERROR(IF(MARÍTIMOS[[#This Row],[Etapa Retiro - Atención]]="","",MARÍTIMOS[[#This Row],[Etapa Retiro - Atención]]),"")</f>
        <v/>
      </c>
      <c r="W693" s="11" t="str">
        <f>IFERROR(IF(MARÍTIMOS[[#This Row],[Etapa Retiro - Atención]]="","",MARÍTIMOS[[#This Row],[Etapa Retiro - Atención]]),"")</f>
        <v/>
      </c>
      <c r="X693" s="11" t="str">
        <f>IFERROR(IF(MARÍTIMOS[[#This Row],[Etapa Retiro - Inicio de Ruta]]="","",MARÍTIMOS[[#This Row],[Etapa Retiro - Inicio de Ruta]]),"")</f>
        <v/>
      </c>
      <c r="Y693" s="11" t="str">
        <f>IFERROR(IF(MARÍTIMOS[[#This Row],[Hora de Posicionamiento]]="","",MARÍTIMOS[[#This Row],[Fecha de Carga]]+MARÍTIMOS[[#This Row],[Hora de Posicionamiento]]),"")</f>
        <v/>
      </c>
      <c r="Z693" s="11" t="str">
        <f>IFERROR(IF(MARÍTIMOS[[#This Row],[Etapa Despacho - Llegada]]="","",MARÍTIMOS[[#This Row],[Etapa Despacho - Llegada]]),"")</f>
        <v/>
      </c>
      <c r="AA693" s="11" t="str">
        <f>IFERROR(IF(MARÍTIMOS[[#This Row],[Etapa Despacho - Registro]]="","",MARÍTIMOS[[#This Row],[Etapa Despacho - Registro]]),"")</f>
        <v/>
      </c>
      <c r="AB693" s="11" t="str">
        <f>IFERROR(IF(MARÍTIMOS[[#This Row],[Inspección Externa]]="","",MARÍTIMOS[[#This Row],[Inspección Externa]]),"")</f>
        <v/>
      </c>
      <c r="AC693" s="11" t="str">
        <f>IFERROR(IF(MARÍTIMOS[[#This Row],[Etapa Despacho - Inicio de Carga]]="","",MARÍTIMOS[[#This Row],[Etapa Despacho - Inicio de Carga]]),"")</f>
        <v/>
      </c>
      <c r="AD693" s="11" t="str">
        <f>IFERROR(IF(MARÍTIMOS[[#This Row],[Etapa Despacho - Mitad de Carga]]="","",MARÍTIMOS[[#This Row],[Etapa Despacho - Mitad de Carga]]),"")</f>
        <v/>
      </c>
      <c r="AE693" s="11" t="str">
        <f>IFERROR(IF(MARÍTIMOS[[#This Row],[Etapa Despacho - Fin de Carga]]="","",MARÍTIMOS[[#This Row],[Etapa Despacho - Fin de Carga]]),"")</f>
        <v/>
      </c>
      <c r="AF693" s="2" t="str">
        <f>IFERROR(IF(MARÍTIMOS[[#This Row],[Puerto de Embarque]]="","",MARÍTIMOS[[#This Row],[Puerto de Embarque]]),"")</f>
        <v/>
      </c>
      <c r="AG693" s="2" t="str">
        <f>IFERROR(IF(MARÍTIMOS[[#This Row],[Almacén de Ingreso]]="","",MARÍTIMOS[[#This Row],[Almacén de Ingreso]]),"")</f>
        <v/>
      </c>
      <c r="AH693" s="11" t="str">
        <f>IFERROR(IF(MARÍTIMOS[[#This Row],[Etapa Ingreso - Cita]]="","",MARÍTIMOS[[#This Row],[Etapa Ingreso - Cita]]),"")</f>
        <v/>
      </c>
      <c r="AI693" s="11" t="str">
        <f>IFERROR(IF(MARÍTIMOS[[#This Row],[Etapa Ingreso - Llegada]]="","",MARÍTIMOS[[#This Row],[Etapa Ingreso - Llegada]]),"")</f>
        <v/>
      </c>
      <c r="AJ693" s="11" t="str">
        <f>IFERROR(IF(MARÍTIMOS[[#This Row],[Etapa Ingreso - Ingeso]]="","",MARÍTIMOS[[#This Row],[Etapa Ingreso - Ingeso]]),"")</f>
        <v/>
      </c>
      <c r="AK693" s="11" t="str">
        <f>IFERROR(IF(MARÍTIMOS[[#This Row],[Etapa Ingreso - Atención]]="","",MARÍTIMOS[[#This Row],[Etapa Ingreso - Atención]]),"")</f>
        <v/>
      </c>
      <c r="AL693" s="11" t="str">
        <f>IFERROR(IF(MARÍTIMOS[[#This Row],[Etapa Ingreso - Salida]]="","",MARÍTIMOS[[#This Row],[Etapa Ingreso - Salida]]),"")</f>
        <v/>
      </c>
      <c r="AM693" s="2" t="str">
        <f>IFERROR(IF(MARÍTIMOS[[#This Row],[FCL]]="","",MARÍTIMOS[[#This Row],[FCL]]),"")</f>
        <v/>
      </c>
      <c r="AN6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3" s="4" t="str" cm="1">
        <f t="array" ref="AO6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3" s="5" t="str">
        <f>IFERROR(OLDBD[[#This Row],[Llegada a packing]]-OLDBD[[#This Row],[Inicio de Ruta]],"")</f>
        <v/>
      </c>
      <c r="AQ693" s="6" t="str">
        <f>IFERROR(OLDBD[[#This Row],[Inicio de Ruta]]-OLDBD[[#This Row],[Salida de almacén de retiro]],"")</f>
        <v/>
      </c>
      <c r="AR6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3" s="8" t="str" cm="1">
        <f t="array" ref="AS6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3" s="9" t="str">
        <f>IFERROR(OLDBD[[#This Row],[Ingreso Packing]]-OLDBD[[#This Row],[Registro en Packing]],"")</f>
        <v/>
      </c>
      <c r="AV693" s="9" t="str">
        <f>IFERROR(OLDBD[[#This Row],[Ingreso Packing]]-OLDBD[[#This Row],[Llegada a packing]],"")</f>
        <v/>
      </c>
      <c r="AW6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3" s="5" t="str">
        <f>IFERROR(OLDBD[[#This Row],[Llegada Almacén de Ingreso]]-OLDBD[[#This Row],[Salida Packing]],"")</f>
        <v/>
      </c>
      <c r="AY693" s="4" t="str" cm="1">
        <f t="array" ref="AY6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3" s="43" t="s">
        <v>173</v>
      </c>
      <c r="BB693" s="47" t="str">
        <f>IFERROR(IF(MARÍTIMOS[[#This Row],[Estatus]]="","",MARÍTIMOS[[#This Row],[Estatus]]),"")</f>
        <v/>
      </c>
      <c r="BC693" s="43"/>
      <c r="BD693" s="46" t="str">
        <f>IFERROR(OLDBD[[#This Row],[Salida de almacén de retiro]]-OLDBD[[#This Row],[Ingreso Almacén de retiro]],"")</f>
        <v/>
      </c>
      <c r="BE693" s="46" t="str">
        <f>IFERROR(OLDBD[[#This Row],[Fin de Carga]]-OLDBD[[#This Row],[Inicio de Carga]],"")</f>
        <v/>
      </c>
    </row>
    <row r="694" spans="1:57" customFormat="1" hidden="1">
      <c r="A694" s="1"/>
      <c r="B694" s="1" t="str">
        <f>IFERROR(IF(MARÍTIMOS[[#This Row],[PP]]="","",MARÍTIMOS[[#This Row],[PP]]),"")</f>
        <v/>
      </c>
      <c r="C694" s="1" t="str">
        <f>IFERROR(IF(MARÍTIMOS[[#This Row],[Sede]]="","",MARÍTIMOS[[#This Row],[Sede]]),"")</f>
        <v/>
      </c>
      <c r="D694" s="1" t="str">
        <f>IFERROR(IF(MARÍTIMOS[[#This Row],[Instruction]]="","",MARÍTIMOS[[#This Row],[Instruction]]),"")</f>
        <v/>
      </c>
      <c r="E694" s="1"/>
      <c r="F694" s="2" t="str">
        <f>IFERROR(IF(MARÍTIMOS[[#This Row],[Transportista]]="","",MARÍTIMOS[[#This Row],[Transportista]]),"")</f>
        <v/>
      </c>
      <c r="G694" s="2" t="str">
        <f>IFERROR(IF(MARÍTIMOS[[#This Row],[Tercero]]="","",MARÍTIMOS[[#This Row],[Tercero]]),"")</f>
        <v/>
      </c>
      <c r="H694" s="2" t="str">
        <f>IFERROR(IF(MARÍTIMOS[[#This Row],[Razón Social]]="","",MARÍTIMOS[[#This Row],[Razón Social]]),"")</f>
        <v/>
      </c>
      <c r="I694" s="2" t="str">
        <f>IFERROR(IF(MARÍTIMOS[[#This Row],[RUC]]="","",MARÍTIMOS[[#This Row],[RUC]]),"")</f>
        <v/>
      </c>
      <c r="J694" s="2" t="str">
        <f>IFERROR(IF(MARÍTIMOS[[#This Row],[Placa Tracto]]="","",MARÍTIMOS[[#This Row],[Placa Tracto]]),"")</f>
        <v/>
      </c>
      <c r="K694" s="2" t="str">
        <f>IFERROR(IF(MARÍTIMOS[[#This Row],[Placa Carreta]]="","",MARÍTIMOS[[#This Row],[Placa Carreta]]),"")</f>
        <v/>
      </c>
      <c r="L694" s="44" t="str">
        <f>IFERROR(IF(MARÍTIMOS[[#This Row],[Conductor]]="","",MARÍTIMOS[[#This Row],[Conductor]]),"")</f>
        <v/>
      </c>
      <c r="M694" s="2" t="str">
        <f>IFERROR(IF(MARÍTIMOS[[#This Row],[Licencia]]="","",MARÍTIMOS[[#This Row],[Licencia]]),"")</f>
        <v/>
      </c>
      <c r="N694" s="2" t="str">
        <f>IFERROR(IF(MARÍTIMOS[[#This Row],[Número de Contacto]]="","",MARÍTIMOS[[#This Row],[Número de Contacto]]),"")</f>
        <v/>
      </c>
      <c r="O694" s="10" t="str">
        <f>IFERROR(IF(MARÍTIMOS[[#This Row],[Booking|AWB|CRT]]="","",MARÍTIMOS[[#This Row],[Booking|AWB|CRT]]),"")</f>
        <v/>
      </c>
      <c r="P694" s="2" t="str">
        <f>IFERROR(IF(MARÍTIMOS[[#This Row],[Contenedor]]="","",MARÍTIMOS[[#This Row],[Contenedor]]),"")</f>
        <v/>
      </c>
      <c r="Q694" s="2" t="str">
        <f>IFERROR(IF(MARÍTIMOS[[#This Row],[Puerto de Retiro]]="","",MARÍTIMOS[[#This Row],[Puerto de Retiro]]),"")</f>
        <v/>
      </c>
      <c r="R694" s="2" t="str">
        <f>IFERROR(IF(MARÍTIMOS[[#This Row],[Almacén de Retiro]]="","",MARÍTIMOS[[#This Row],[Almacén de Retiro]]),"")</f>
        <v/>
      </c>
      <c r="S694" s="11" t="str">
        <f>IFERROR(IF(MARÍTIMOS[[#This Row],[Etapa Retiro - Cita]]="","",MARÍTIMOS[[#This Row],[Etapa Retiro - Cita]]),"")</f>
        <v/>
      </c>
      <c r="T694" s="11" t="str">
        <f>IFERROR(IF(MARÍTIMOS[[#This Row],[Etapa Retiro - Llegada]]="","",MARÍTIMOS[[#This Row],[Etapa Retiro - Llegada]]),"")</f>
        <v/>
      </c>
      <c r="U694" s="11" t="str">
        <f>IFERROR(IF(MARÍTIMOS[[#This Row],[Etapa Retiro - Ingreso]]="","",MARÍTIMOS[[#This Row],[Etapa Retiro - Ingreso]]),"")</f>
        <v/>
      </c>
      <c r="V694" s="11" t="str">
        <f>IFERROR(IF(MARÍTIMOS[[#This Row],[Etapa Retiro - Atención]]="","",MARÍTIMOS[[#This Row],[Etapa Retiro - Atención]]),"")</f>
        <v/>
      </c>
      <c r="W694" s="11" t="str">
        <f>IFERROR(IF(MARÍTIMOS[[#This Row],[Etapa Retiro - Atención]]="","",MARÍTIMOS[[#This Row],[Etapa Retiro - Atención]]),"")</f>
        <v/>
      </c>
      <c r="X694" s="11" t="str">
        <f>IFERROR(IF(MARÍTIMOS[[#This Row],[Etapa Retiro - Inicio de Ruta]]="","",MARÍTIMOS[[#This Row],[Etapa Retiro - Inicio de Ruta]]),"")</f>
        <v/>
      </c>
      <c r="Y694" s="11" t="str">
        <f>IFERROR(IF(MARÍTIMOS[[#This Row],[Hora de Posicionamiento]]="","",MARÍTIMOS[[#This Row],[Fecha de Carga]]+MARÍTIMOS[[#This Row],[Hora de Posicionamiento]]),"")</f>
        <v/>
      </c>
      <c r="Z694" s="11" t="str">
        <f>IFERROR(IF(MARÍTIMOS[[#This Row],[Etapa Despacho - Llegada]]="","",MARÍTIMOS[[#This Row],[Etapa Despacho - Llegada]]),"")</f>
        <v/>
      </c>
      <c r="AA694" s="11" t="str">
        <f>IFERROR(IF(MARÍTIMOS[[#This Row],[Etapa Despacho - Registro]]="","",MARÍTIMOS[[#This Row],[Etapa Despacho - Registro]]),"")</f>
        <v/>
      </c>
      <c r="AB694" s="11" t="str">
        <f>IFERROR(IF(MARÍTIMOS[[#This Row],[Inspección Externa]]="","",MARÍTIMOS[[#This Row],[Inspección Externa]]),"")</f>
        <v/>
      </c>
      <c r="AC694" s="11" t="str">
        <f>IFERROR(IF(MARÍTIMOS[[#This Row],[Etapa Despacho - Inicio de Carga]]="","",MARÍTIMOS[[#This Row],[Etapa Despacho - Inicio de Carga]]),"")</f>
        <v/>
      </c>
      <c r="AD694" s="11" t="str">
        <f>IFERROR(IF(MARÍTIMOS[[#This Row],[Etapa Despacho - Mitad de Carga]]="","",MARÍTIMOS[[#This Row],[Etapa Despacho - Mitad de Carga]]),"")</f>
        <v/>
      </c>
      <c r="AE694" s="11" t="str">
        <f>IFERROR(IF(MARÍTIMOS[[#This Row],[Etapa Despacho - Fin de Carga]]="","",MARÍTIMOS[[#This Row],[Etapa Despacho - Fin de Carga]]),"")</f>
        <v/>
      </c>
      <c r="AF694" s="2" t="str">
        <f>IFERROR(IF(MARÍTIMOS[[#This Row],[Puerto de Embarque]]="","",MARÍTIMOS[[#This Row],[Puerto de Embarque]]),"")</f>
        <v/>
      </c>
      <c r="AG694" s="2" t="str">
        <f>IFERROR(IF(MARÍTIMOS[[#This Row],[Almacén de Ingreso]]="","",MARÍTIMOS[[#This Row],[Almacén de Ingreso]]),"")</f>
        <v/>
      </c>
      <c r="AH694" s="11" t="str">
        <f>IFERROR(IF(MARÍTIMOS[[#This Row],[Etapa Ingreso - Cita]]="","",MARÍTIMOS[[#This Row],[Etapa Ingreso - Cita]]),"")</f>
        <v/>
      </c>
      <c r="AI694" s="11" t="str">
        <f>IFERROR(IF(MARÍTIMOS[[#This Row],[Etapa Ingreso - Llegada]]="","",MARÍTIMOS[[#This Row],[Etapa Ingreso - Llegada]]),"")</f>
        <v/>
      </c>
      <c r="AJ694" s="11" t="str">
        <f>IFERROR(IF(MARÍTIMOS[[#This Row],[Etapa Ingreso - Ingeso]]="","",MARÍTIMOS[[#This Row],[Etapa Ingreso - Ingeso]]),"")</f>
        <v/>
      </c>
      <c r="AK694" s="11" t="str">
        <f>IFERROR(IF(MARÍTIMOS[[#This Row],[Etapa Ingreso - Atención]]="","",MARÍTIMOS[[#This Row],[Etapa Ingreso - Atención]]),"")</f>
        <v/>
      </c>
      <c r="AL694" s="11" t="str">
        <f>IFERROR(IF(MARÍTIMOS[[#This Row],[Etapa Ingreso - Salida]]="","",MARÍTIMOS[[#This Row],[Etapa Ingreso - Salida]]),"")</f>
        <v/>
      </c>
      <c r="AM694" s="2" t="str">
        <f>IFERROR(IF(MARÍTIMOS[[#This Row],[FCL]]="","",MARÍTIMOS[[#This Row],[FCL]]),"")</f>
        <v/>
      </c>
      <c r="AN6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4" s="4" t="str" cm="1">
        <f t="array" ref="AO6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4" s="5" t="str">
        <f>IFERROR(OLDBD[[#This Row],[Llegada a packing]]-OLDBD[[#This Row],[Inicio de Ruta]],"")</f>
        <v/>
      </c>
      <c r="AQ694" s="6" t="str">
        <f>IFERROR(OLDBD[[#This Row],[Inicio de Ruta]]-OLDBD[[#This Row],[Salida de almacén de retiro]],"")</f>
        <v/>
      </c>
      <c r="AR6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4" s="8" t="str" cm="1">
        <f t="array" ref="AS6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4" s="9" t="str">
        <f>IFERROR(OLDBD[[#This Row],[Ingreso Packing]]-OLDBD[[#This Row],[Registro en Packing]],"")</f>
        <v/>
      </c>
      <c r="AV694" s="9" t="str">
        <f>IFERROR(OLDBD[[#This Row],[Ingreso Packing]]-OLDBD[[#This Row],[Llegada a packing]],"")</f>
        <v/>
      </c>
      <c r="AW6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4" s="5" t="str">
        <f>IFERROR(OLDBD[[#This Row],[Llegada Almacén de Ingreso]]-OLDBD[[#This Row],[Salida Packing]],"")</f>
        <v/>
      </c>
      <c r="AY694" s="4" t="str" cm="1">
        <f t="array" ref="AY6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4" s="43" t="s">
        <v>173</v>
      </c>
      <c r="BB694" s="47" t="str">
        <f>IFERROR(IF(MARÍTIMOS[[#This Row],[Estatus]]="","",MARÍTIMOS[[#This Row],[Estatus]]),"")</f>
        <v/>
      </c>
      <c r="BC694" s="43"/>
      <c r="BD694" s="46" t="str">
        <f>IFERROR(OLDBD[[#This Row],[Salida de almacén de retiro]]-OLDBD[[#This Row],[Ingreso Almacén de retiro]],"")</f>
        <v/>
      </c>
      <c r="BE694" s="46" t="str">
        <f>IFERROR(OLDBD[[#This Row],[Fin de Carga]]-OLDBD[[#This Row],[Inicio de Carga]],"")</f>
        <v/>
      </c>
    </row>
    <row r="695" spans="1:57" customFormat="1" hidden="1">
      <c r="A695" s="1"/>
      <c r="B695" s="1" t="str">
        <f>IFERROR(IF(MARÍTIMOS[[#This Row],[PP]]="","",MARÍTIMOS[[#This Row],[PP]]),"")</f>
        <v/>
      </c>
      <c r="C695" s="1" t="str">
        <f>IFERROR(IF(MARÍTIMOS[[#This Row],[Sede]]="","",MARÍTIMOS[[#This Row],[Sede]]),"")</f>
        <v/>
      </c>
      <c r="D695" s="1" t="str">
        <f>IFERROR(IF(MARÍTIMOS[[#This Row],[Instruction]]="","",MARÍTIMOS[[#This Row],[Instruction]]),"")</f>
        <v/>
      </c>
      <c r="E695" s="1"/>
      <c r="F695" s="2" t="str">
        <f>IFERROR(IF(MARÍTIMOS[[#This Row],[Transportista]]="","",MARÍTIMOS[[#This Row],[Transportista]]),"")</f>
        <v/>
      </c>
      <c r="G695" s="2" t="str">
        <f>IFERROR(IF(MARÍTIMOS[[#This Row],[Tercero]]="","",MARÍTIMOS[[#This Row],[Tercero]]),"")</f>
        <v/>
      </c>
      <c r="H695" s="2" t="str">
        <f>IFERROR(IF(MARÍTIMOS[[#This Row],[Razón Social]]="","",MARÍTIMOS[[#This Row],[Razón Social]]),"")</f>
        <v/>
      </c>
      <c r="I695" s="2" t="str">
        <f>IFERROR(IF(MARÍTIMOS[[#This Row],[RUC]]="","",MARÍTIMOS[[#This Row],[RUC]]),"")</f>
        <v/>
      </c>
      <c r="J695" s="2" t="str">
        <f>IFERROR(IF(MARÍTIMOS[[#This Row],[Placa Tracto]]="","",MARÍTIMOS[[#This Row],[Placa Tracto]]),"")</f>
        <v/>
      </c>
      <c r="K695" s="2" t="str">
        <f>IFERROR(IF(MARÍTIMOS[[#This Row],[Placa Carreta]]="","",MARÍTIMOS[[#This Row],[Placa Carreta]]),"")</f>
        <v/>
      </c>
      <c r="L695" s="44" t="str">
        <f>IFERROR(IF(MARÍTIMOS[[#This Row],[Conductor]]="","",MARÍTIMOS[[#This Row],[Conductor]]),"")</f>
        <v/>
      </c>
      <c r="M695" s="2" t="str">
        <f>IFERROR(IF(MARÍTIMOS[[#This Row],[Licencia]]="","",MARÍTIMOS[[#This Row],[Licencia]]),"")</f>
        <v/>
      </c>
      <c r="N695" s="2" t="str">
        <f>IFERROR(IF(MARÍTIMOS[[#This Row],[Número de Contacto]]="","",MARÍTIMOS[[#This Row],[Número de Contacto]]),"")</f>
        <v/>
      </c>
      <c r="O695" s="10" t="str">
        <f>IFERROR(IF(MARÍTIMOS[[#This Row],[Booking|AWB|CRT]]="","",MARÍTIMOS[[#This Row],[Booking|AWB|CRT]]),"")</f>
        <v/>
      </c>
      <c r="P695" s="2" t="str">
        <f>IFERROR(IF(MARÍTIMOS[[#This Row],[Contenedor]]="","",MARÍTIMOS[[#This Row],[Contenedor]]),"")</f>
        <v/>
      </c>
      <c r="Q695" s="2" t="str">
        <f>IFERROR(IF(MARÍTIMOS[[#This Row],[Puerto de Retiro]]="","",MARÍTIMOS[[#This Row],[Puerto de Retiro]]),"")</f>
        <v/>
      </c>
      <c r="R695" s="2" t="str">
        <f>IFERROR(IF(MARÍTIMOS[[#This Row],[Almacén de Retiro]]="","",MARÍTIMOS[[#This Row],[Almacén de Retiro]]),"")</f>
        <v/>
      </c>
      <c r="S695" s="11" t="str">
        <f>IFERROR(IF(MARÍTIMOS[[#This Row],[Etapa Retiro - Cita]]="","",MARÍTIMOS[[#This Row],[Etapa Retiro - Cita]]),"")</f>
        <v/>
      </c>
      <c r="T695" s="11" t="str">
        <f>IFERROR(IF(MARÍTIMOS[[#This Row],[Etapa Retiro - Llegada]]="","",MARÍTIMOS[[#This Row],[Etapa Retiro - Llegada]]),"")</f>
        <v/>
      </c>
      <c r="U695" s="11" t="str">
        <f>IFERROR(IF(MARÍTIMOS[[#This Row],[Etapa Retiro - Ingreso]]="","",MARÍTIMOS[[#This Row],[Etapa Retiro - Ingreso]]),"")</f>
        <v/>
      </c>
      <c r="V695" s="11" t="str">
        <f>IFERROR(IF(MARÍTIMOS[[#This Row],[Etapa Retiro - Atención]]="","",MARÍTIMOS[[#This Row],[Etapa Retiro - Atención]]),"")</f>
        <v/>
      </c>
      <c r="W695" s="11" t="str">
        <f>IFERROR(IF(MARÍTIMOS[[#This Row],[Etapa Retiro - Atención]]="","",MARÍTIMOS[[#This Row],[Etapa Retiro - Atención]]),"")</f>
        <v/>
      </c>
      <c r="X695" s="11" t="str">
        <f>IFERROR(IF(MARÍTIMOS[[#This Row],[Etapa Retiro - Inicio de Ruta]]="","",MARÍTIMOS[[#This Row],[Etapa Retiro - Inicio de Ruta]]),"")</f>
        <v/>
      </c>
      <c r="Y695" s="11" t="str">
        <f>IFERROR(IF(MARÍTIMOS[[#This Row],[Hora de Posicionamiento]]="","",MARÍTIMOS[[#This Row],[Fecha de Carga]]+MARÍTIMOS[[#This Row],[Hora de Posicionamiento]]),"")</f>
        <v/>
      </c>
      <c r="Z695" s="11" t="str">
        <f>IFERROR(IF(MARÍTIMOS[[#This Row],[Etapa Despacho - Llegada]]="","",MARÍTIMOS[[#This Row],[Etapa Despacho - Llegada]]),"")</f>
        <v/>
      </c>
      <c r="AA695" s="11" t="str">
        <f>IFERROR(IF(MARÍTIMOS[[#This Row],[Etapa Despacho - Registro]]="","",MARÍTIMOS[[#This Row],[Etapa Despacho - Registro]]),"")</f>
        <v/>
      </c>
      <c r="AB695" s="11" t="str">
        <f>IFERROR(IF(MARÍTIMOS[[#This Row],[Inspección Externa]]="","",MARÍTIMOS[[#This Row],[Inspección Externa]]),"")</f>
        <v/>
      </c>
      <c r="AC695" s="11" t="str">
        <f>IFERROR(IF(MARÍTIMOS[[#This Row],[Etapa Despacho - Inicio de Carga]]="","",MARÍTIMOS[[#This Row],[Etapa Despacho - Inicio de Carga]]),"")</f>
        <v/>
      </c>
      <c r="AD695" s="11" t="str">
        <f>IFERROR(IF(MARÍTIMOS[[#This Row],[Etapa Despacho - Mitad de Carga]]="","",MARÍTIMOS[[#This Row],[Etapa Despacho - Mitad de Carga]]),"")</f>
        <v/>
      </c>
      <c r="AE695" s="11" t="str">
        <f>IFERROR(IF(MARÍTIMOS[[#This Row],[Etapa Despacho - Fin de Carga]]="","",MARÍTIMOS[[#This Row],[Etapa Despacho - Fin de Carga]]),"")</f>
        <v/>
      </c>
      <c r="AF695" s="2" t="str">
        <f>IFERROR(IF(MARÍTIMOS[[#This Row],[Puerto de Embarque]]="","",MARÍTIMOS[[#This Row],[Puerto de Embarque]]),"")</f>
        <v/>
      </c>
      <c r="AG695" s="2" t="str">
        <f>IFERROR(IF(MARÍTIMOS[[#This Row],[Almacén de Ingreso]]="","",MARÍTIMOS[[#This Row],[Almacén de Ingreso]]),"")</f>
        <v/>
      </c>
      <c r="AH695" s="11" t="str">
        <f>IFERROR(IF(MARÍTIMOS[[#This Row],[Etapa Ingreso - Cita]]="","",MARÍTIMOS[[#This Row],[Etapa Ingreso - Cita]]),"")</f>
        <v/>
      </c>
      <c r="AI695" s="11" t="str">
        <f>IFERROR(IF(MARÍTIMOS[[#This Row],[Etapa Ingreso - Llegada]]="","",MARÍTIMOS[[#This Row],[Etapa Ingreso - Llegada]]),"")</f>
        <v/>
      </c>
      <c r="AJ695" s="11" t="str">
        <f>IFERROR(IF(MARÍTIMOS[[#This Row],[Etapa Ingreso - Ingeso]]="","",MARÍTIMOS[[#This Row],[Etapa Ingreso - Ingeso]]),"")</f>
        <v/>
      </c>
      <c r="AK695" s="11" t="str">
        <f>IFERROR(IF(MARÍTIMOS[[#This Row],[Etapa Ingreso - Atención]]="","",MARÍTIMOS[[#This Row],[Etapa Ingreso - Atención]]),"")</f>
        <v/>
      </c>
      <c r="AL695" s="11" t="str">
        <f>IFERROR(IF(MARÍTIMOS[[#This Row],[Etapa Ingreso - Salida]]="","",MARÍTIMOS[[#This Row],[Etapa Ingreso - Salida]]),"")</f>
        <v/>
      </c>
      <c r="AM695" s="2" t="str">
        <f>IFERROR(IF(MARÍTIMOS[[#This Row],[FCL]]="","",MARÍTIMOS[[#This Row],[FCL]]),"")</f>
        <v/>
      </c>
      <c r="AN6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5" s="4" t="str" cm="1">
        <f t="array" ref="AO6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5" s="5" t="str">
        <f>IFERROR(OLDBD[[#This Row],[Llegada a packing]]-OLDBD[[#This Row],[Inicio de Ruta]],"")</f>
        <v/>
      </c>
      <c r="AQ695" s="6" t="str">
        <f>IFERROR(OLDBD[[#This Row],[Inicio de Ruta]]-OLDBD[[#This Row],[Salida de almacén de retiro]],"")</f>
        <v/>
      </c>
      <c r="AR6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5" s="8" t="str" cm="1">
        <f t="array" ref="AS6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5" s="9" t="str">
        <f>IFERROR(OLDBD[[#This Row],[Ingreso Packing]]-OLDBD[[#This Row],[Registro en Packing]],"")</f>
        <v/>
      </c>
      <c r="AV695" s="9" t="str">
        <f>IFERROR(OLDBD[[#This Row],[Ingreso Packing]]-OLDBD[[#This Row],[Llegada a packing]],"")</f>
        <v/>
      </c>
      <c r="AW6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5" s="5" t="str">
        <f>IFERROR(OLDBD[[#This Row],[Llegada Almacén de Ingreso]]-OLDBD[[#This Row],[Salida Packing]],"")</f>
        <v/>
      </c>
      <c r="AY695" s="4" t="str" cm="1">
        <f t="array" ref="AY6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5" s="43" t="s">
        <v>173</v>
      </c>
      <c r="BB695" s="47" t="str">
        <f>IFERROR(IF(MARÍTIMOS[[#This Row],[Estatus]]="","",MARÍTIMOS[[#This Row],[Estatus]]),"")</f>
        <v/>
      </c>
      <c r="BC695" s="43"/>
      <c r="BD695" s="46" t="str">
        <f>IFERROR(OLDBD[[#This Row],[Salida de almacén de retiro]]-OLDBD[[#This Row],[Ingreso Almacén de retiro]],"")</f>
        <v/>
      </c>
      <c r="BE695" s="46" t="str">
        <f>IFERROR(OLDBD[[#This Row],[Fin de Carga]]-OLDBD[[#This Row],[Inicio de Carga]],"")</f>
        <v/>
      </c>
    </row>
    <row r="696" spans="1:57" customFormat="1" hidden="1">
      <c r="A696" s="1"/>
      <c r="B696" s="1" t="str">
        <f>IFERROR(IF(MARÍTIMOS[[#This Row],[PP]]="","",MARÍTIMOS[[#This Row],[PP]]),"")</f>
        <v/>
      </c>
      <c r="C696" s="1" t="str">
        <f>IFERROR(IF(MARÍTIMOS[[#This Row],[Sede]]="","",MARÍTIMOS[[#This Row],[Sede]]),"")</f>
        <v/>
      </c>
      <c r="D696" s="1" t="str">
        <f>IFERROR(IF(MARÍTIMOS[[#This Row],[Instruction]]="","",MARÍTIMOS[[#This Row],[Instruction]]),"")</f>
        <v/>
      </c>
      <c r="E696" s="1"/>
      <c r="F696" s="2" t="str">
        <f>IFERROR(IF(MARÍTIMOS[[#This Row],[Transportista]]="","",MARÍTIMOS[[#This Row],[Transportista]]),"")</f>
        <v/>
      </c>
      <c r="G696" s="2" t="str">
        <f>IFERROR(IF(MARÍTIMOS[[#This Row],[Tercero]]="","",MARÍTIMOS[[#This Row],[Tercero]]),"")</f>
        <v/>
      </c>
      <c r="H696" s="2" t="str">
        <f>IFERROR(IF(MARÍTIMOS[[#This Row],[Razón Social]]="","",MARÍTIMOS[[#This Row],[Razón Social]]),"")</f>
        <v/>
      </c>
      <c r="I696" s="2" t="str">
        <f>IFERROR(IF(MARÍTIMOS[[#This Row],[RUC]]="","",MARÍTIMOS[[#This Row],[RUC]]),"")</f>
        <v/>
      </c>
      <c r="J696" s="2" t="str">
        <f>IFERROR(IF(MARÍTIMOS[[#This Row],[Placa Tracto]]="","",MARÍTIMOS[[#This Row],[Placa Tracto]]),"")</f>
        <v/>
      </c>
      <c r="K696" s="2" t="str">
        <f>IFERROR(IF(MARÍTIMOS[[#This Row],[Placa Carreta]]="","",MARÍTIMOS[[#This Row],[Placa Carreta]]),"")</f>
        <v/>
      </c>
      <c r="L696" s="44" t="str">
        <f>IFERROR(IF(MARÍTIMOS[[#This Row],[Conductor]]="","",MARÍTIMOS[[#This Row],[Conductor]]),"")</f>
        <v/>
      </c>
      <c r="M696" s="2" t="str">
        <f>IFERROR(IF(MARÍTIMOS[[#This Row],[Licencia]]="","",MARÍTIMOS[[#This Row],[Licencia]]),"")</f>
        <v/>
      </c>
      <c r="N696" s="2" t="str">
        <f>IFERROR(IF(MARÍTIMOS[[#This Row],[Número de Contacto]]="","",MARÍTIMOS[[#This Row],[Número de Contacto]]),"")</f>
        <v/>
      </c>
      <c r="O696" s="10" t="str">
        <f>IFERROR(IF(MARÍTIMOS[[#This Row],[Booking|AWB|CRT]]="","",MARÍTIMOS[[#This Row],[Booking|AWB|CRT]]),"")</f>
        <v/>
      </c>
      <c r="P696" s="2" t="str">
        <f>IFERROR(IF(MARÍTIMOS[[#This Row],[Contenedor]]="","",MARÍTIMOS[[#This Row],[Contenedor]]),"")</f>
        <v/>
      </c>
      <c r="Q696" s="2" t="str">
        <f>IFERROR(IF(MARÍTIMOS[[#This Row],[Puerto de Retiro]]="","",MARÍTIMOS[[#This Row],[Puerto de Retiro]]),"")</f>
        <v/>
      </c>
      <c r="R696" s="2" t="str">
        <f>IFERROR(IF(MARÍTIMOS[[#This Row],[Almacén de Retiro]]="","",MARÍTIMOS[[#This Row],[Almacén de Retiro]]),"")</f>
        <v/>
      </c>
      <c r="S696" s="11" t="str">
        <f>IFERROR(IF(MARÍTIMOS[[#This Row],[Etapa Retiro - Cita]]="","",MARÍTIMOS[[#This Row],[Etapa Retiro - Cita]]),"")</f>
        <v/>
      </c>
      <c r="T696" s="11" t="str">
        <f>IFERROR(IF(MARÍTIMOS[[#This Row],[Etapa Retiro - Llegada]]="","",MARÍTIMOS[[#This Row],[Etapa Retiro - Llegada]]),"")</f>
        <v/>
      </c>
      <c r="U696" s="11" t="str">
        <f>IFERROR(IF(MARÍTIMOS[[#This Row],[Etapa Retiro - Ingreso]]="","",MARÍTIMOS[[#This Row],[Etapa Retiro - Ingreso]]),"")</f>
        <v/>
      </c>
      <c r="V696" s="11" t="str">
        <f>IFERROR(IF(MARÍTIMOS[[#This Row],[Etapa Retiro - Atención]]="","",MARÍTIMOS[[#This Row],[Etapa Retiro - Atención]]),"")</f>
        <v/>
      </c>
      <c r="W696" s="11" t="str">
        <f>IFERROR(IF(MARÍTIMOS[[#This Row],[Etapa Retiro - Atención]]="","",MARÍTIMOS[[#This Row],[Etapa Retiro - Atención]]),"")</f>
        <v/>
      </c>
      <c r="X696" s="11" t="str">
        <f>IFERROR(IF(MARÍTIMOS[[#This Row],[Etapa Retiro - Inicio de Ruta]]="","",MARÍTIMOS[[#This Row],[Etapa Retiro - Inicio de Ruta]]),"")</f>
        <v/>
      </c>
      <c r="Y696" s="11" t="str">
        <f>IFERROR(IF(MARÍTIMOS[[#This Row],[Hora de Posicionamiento]]="","",MARÍTIMOS[[#This Row],[Fecha de Carga]]+MARÍTIMOS[[#This Row],[Hora de Posicionamiento]]),"")</f>
        <v/>
      </c>
      <c r="Z696" s="11" t="str">
        <f>IFERROR(IF(MARÍTIMOS[[#This Row],[Etapa Despacho - Llegada]]="","",MARÍTIMOS[[#This Row],[Etapa Despacho - Llegada]]),"")</f>
        <v/>
      </c>
      <c r="AA696" s="11" t="str">
        <f>IFERROR(IF(MARÍTIMOS[[#This Row],[Etapa Despacho - Registro]]="","",MARÍTIMOS[[#This Row],[Etapa Despacho - Registro]]),"")</f>
        <v/>
      </c>
      <c r="AB696" s="11" t="str">
        <f>IFERROR(IF(MARÍTIMOS[[#This Row],[Inspección Externa]]="","",MARÍTIMOS[[#This Row],[Inspección Externa]]),"")</f>
        <v/>
      </c>
      <c r="AC696" s="11" t="str">
        <f>IFERROR(IF(MARÍTIMOS[[#This Row],[Etapa Despacho - Inicio de Carga]]="","",MARÍTIMOS[[#This Row],[Etapa Despacho - Inicio de Carga]]),"")</f>
        <v/>
      </c>
      <c r="AD696" s="11" t="str">
        <f>IFERROR(IF(MARÍTIMOS[[#This Row],[Etapa Despacho - Mitad de Carga]]="","",MARÍTIMOS[[#This Row],[Etapa Despacho - Mitad de Carga]]),"")</f>
        <v/>
      </c>
      <c r="AE696" s="11" t="str">
        <f>IFERROR(IF(MARÍTIMOS[[#This Row],[Etapa Despacho - Fin de Carga]]="","",MARÍTIMOS[[#This Row],[Etapa Despacho - Fin de Carga]]),"")</f>
        <v/>
      </c>
      <c r="AF696" s="2" t="str">
        <f>IFERROR(IF(MARÍTIMOS[[#This Row],[Puerto de Embarque]]="","",MARÍTIMOS[[#This Row],[Puerto de Embarque]]),"")</f>
        <v/>
      </c>
      <c r="AG696" s="2" t="str">
        <f>IFERROR(IF(MARÍTIMOS[[#This Row],[Almacén de Ingreso]]="","",MARÍTIMOS[[#This Row],[Almacén de Ingreso]]),"")</f>
        <v/>
      </c>
      <c r="AH696" s="11" t="str">
        <f>IFERROR(IF(MARÍTIMOS[[#This Row],[Etapa Ingreso - Cita]]="","",MARÍTIMOS[[#This Row],[Etapa Ingreso - Cita]]),"")</f>
        <v/>
      </c>
      <c r="AI696" s="11" t="str">
        <f>IFERROR(IF(MARÍTIMOS[[#This Row],[Etapa Ingreso - Llegada]]="","",MARÍTIMOS[[#This Row],[Etapa Ingreso - Llegada]]),"")</f>
        <v/>
      </c>
      <c r="AJ696" s="11" t="str">
        <f>IFERROR(IF(MARÍTIMOS[[#This Row],[Etapa Ingreso - Ingeso]]="","",MARÍTIMOS[[#This Row],[Etapa Ingreso - Ingeso]]),"")</f>
        <v/>
      </c>
      <c r="AK696" s="11" t="str">
        <f>IFERROR(IF(MARÍTIMOS[[#This Row],[Etapa Ingreso - Atención]]="","",MARÍTIMOS[[#This Row],[Etapa Ingreso - Atención]]),"")</f>
        <v/>
      </c>
      <c r="AL696" s="11" t="str">
        <f>IFERROR(IF(MARÍTIMOS[[#This Row],[Etapa Ingreso - Salida]]="","",MARÍTIMOS[[#This Row],[Etapa Ingreso - Salida]]),"")</f>
        <v/>
      </c>
      <c r="AM696" s="2" t="str">
        <f>IFERROR(IF(MARÍTIMOS[[#This Row],[FCL]]="","",MARÍTIMOS[[#This Row],[FCL]]),"")</f>
        <v/>
      </c>
      <c r="AN6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6" s="4" t="str" cm="1">
        <f t="array" ref="AO6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6" s="5" t="str">
        <f>IFERROR(OLDBD[[#This Row],[Llegada a packing]]-OLDBD[[#This Row],[Inicio de Ruta]],"")</f>
        <v/>
      </c>
      <c r="AQ696" s="6" t="str">
        <f>IFERROR(OLDBD[[#This Row],[Inicio de Ruta]]-OLDBD[[#This Row],[Salida de almacén de retiro]],"")</f>
        <v/>
      </c>
      <c r="AR6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6" s="8" t="str" cm="1">
        <f t="array" ref="AS6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6" s="9" t="str">
        <f>IFERROR(OLDBD[[#This Row],[Ingreso Packing]]-OLDBD[[#This Row],[Registro en Packing]],"")</f>
        <v/>
      </c>
      <c r="AV696" s="9" t="str">
        <f>IFERROR(OLDBD[[#This Row],[Ingreso Packing]]-OLDBD[[#This Row],[Llegada a packing]],"")</f>
        <v/>
      </c>
      <c r="AW6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6" s="5" t="str">
        <f>IFERROR(OLDBD[[#This Row],[Llegada Almacén de Ingreso]]-OLDBD[[#This Row],[Salida Packing]],"")</f>
        <v/>
      </c>
      <c r="AY696" s="4" t="str" cm="1">
        <f t="array" ref="AY6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6" s="43" t="s">
        <v>173</v>
      </c>
      <c r="BB696" s="47" t="str">
        <f>IFERROR(IF(MARÍTIMOS[[#This Row],[Estatus]]="","",MARÍTIMOS[[#This Row],[Estatus]]),"")</f>
        <v/>
      </c>
      <c r="BC696" s="43"/>
      <c r="BD696" s="46" t="str">
        <f>IFERROR(OLDBD[[#This Row],[Salida de almacén de retiro]]-OLDBD[[#This Row],[Ingreso Almacén de retiro]],"")</f>
        <v/>
      </c>
      <c r="BE696" s="46" t="str">
        <f>IFERROR(OLDBD[[#This Row],[Fin de Carga]]-OLDBD[[#This Row],[Inicio de Carga]],"")</f>
        <v/>
      </c>
    </row>
    <row r="697" spans="1:57" customFormat="1" hidden="1">
      <c r="A697" s="1"/>
      <c r="B697" s="1" t="str">
        <f>IFERROR(IF(MARÍTIMOS[[#This Row],[PP]]="","",MARÍTIMOS[[#This Row],[PP]]),"")</f>
        <v/>
      </c>
      <c r="C697" s="1" t="str">
        <f>IFERROR(IF(MARÍTIMOS[[#This Row],[Sede]]="","",MARÍTIMOS[[#This Row],[Sede]]),"")</f>
        <v/>
      </c>
      <c r="D697" s="1" t="str">
        <f>IFERROR(IF(MARÍTIMOS[[#This Row],[Instruction]]="","",MARÍTIMOS[[#This Row],[Instruction]]),"")</f>
        <v/>
      </c>
      <c r="E697" s="1"/>
      <c r="F697" s="2" t="str">
        <f>IFERROR(IF(MARÍTIMOS[[#This Row],[Transportista]]="","",MARÍTIMOS[[#This Row],[Transportista]]),"")</f>
        <v/>
      </c>
      <c r="G697" s="2" t="str">
        <f>IFERROR(IF(MARÍTIMOS[[#This Row],[Tercero]]="","",MARÍTIMOS[[#This Row],[Tercero]]),"")</f>
        <v/>
      </c>
      <c r="H697" s="2" t="str">
        <f>IFERROR(IF(MARÍTIMOS[[#This Row],[Razón Social]]="","",MARÍTIMOS[[#This Row],[Razón Social]]),"")</f>
        <v/>
      </c>
      <c r="I697" s="2" t="str">
        <f>IFERROR(IF(MARÍTIMOS[[#This Row],[RUC]]="","",MARÍTIMOS[[#This Row],[RUC]]),"")</f>
        <v/>
      </c>
      <c r="J697" s="2" t="str">
        <f>IFERROR(IF(MARÍTIMOS[[#This Row],[Placa Tracto]]="","",MARÍTIMOS[[#This Row],[Placa Tracto]]),"")</f>
        <v/>
      </c>
      <c r="K697" s="2" t="str">
        <f>IFERROR(IF(MARÍTIMOS[[#This Row],[Placa Carreta]]="","",MARÍTIMOS[[#This Row],[Placa Carreta]]),"")</f>
        <v/>
      </c>
      <c r="L697" s="44" t="str">
        <f>IFERROR(IF(MARÍTIMOS[[#This Row],[Conductor]]="","",MARÍTIMOS[[#This Row],[Conductor]]),"")</f>
        <v/>
      </c>
      <c r="M697" s="2" t="str">
        <f>IFERROR(IF(MARÍTIMOS[[#This Row],[Licencia]]="","",MARÍTIMOS[[#This Row],[Licencia]]),"")</f>
        <v/>
      </c>
      <c r="N697" s="2" t="str">
        <f>IFERROR(IF(MARÍTIMOS[[#This Row],[Número de Contacto]]="","",MARÍTIMOS[[#This Row],[Número de Contacto]]),"")</f>
        <v/>
      </c>
      <c r="O697" s="10" t="str">
        <f>IFERROR(IF(MARÍTIMOS[[#This Row],[Booking|AWB|CRT]]="","",MARÍTIMOS[[#This Row],[Booking|AWB|CRT]]),"")</f>
        <v/>
      </c>
      <c r="P697" s="2" t="str">
        <f>IFERROR(IF(MARÍTIMOS[[#This Row],[Contenedor]]="","",MARÍTIMOS[[#This Row],[Contenedor]]),"")</f>
        <v/>
      </c>
      <c r="Q697" s="2" t="str">
        <f>IFERROR(IF(MARÍTIMOS[[#This Row],[Puerto de Retiro]]="","",MARÍTIMOS[[#This Row],[Puerto de Retiro]]),"")</f>
        <v/>
      </c>
      <c r="R697" s="2" t="str">
        <f>IFERROR(IF(MARÍTIMOS[[#This Row],[Almacén de Retiro]]="","",MARÍTIMOS[[#This Row],[Almacén de Retiro]]),"")</f>
        <v/>
      </c>
      <c r="S697" s="11" t="str">
        <f>IFERROR(IF(MARÍTIMOS[[#This Row],[Etapa Retiro - Cita]]="","",MARÍTIMOS[[#This Row],[Etapa Retiro - Cita]]),"")</f>
        <v/>
      </c>
      <c r="T697" s="11" t="str">
        <f>IFERROR(IF(MARÍTIMOS[[#This Row],[Etapa Retiro - Llegada]]="","",MARÍTIMOS[[#This Row],[Etapa Retiro - Llegada]]),"")</f>
        <v/>
      </c>
      <c r="U697" s="11" t="str">
        <f>IFERROR(IF(MARÍTIMOS[[#This Row],[Etapa Retiro - Ingreso]]="","",MARÍTIMOS[[#This Row],[Etapa Retiro - Ingreso]]),"")</f>
        <v/>
      </c>
      <c r="V697" s="11" t="str">
        <f>IFERROR(IF(MARÍTIMOS[[#This Row],[Etapa Retiro - Atención]]="","",MARÍTIMOS[[#This Row],[Etapa Retiro - Atención]]),"")</f>
        <v/>
      </c>
      <c r="W697" s="11" t="str">
        <f>IFERROR(IF(MARÍTIMOS[[#This Row],[Etapa Retiro - Atención]]="","",MARÍTIMOS[[#This Row],[Etapa Retiro - Atención]]),"")</f>
        <v/>
      </c>
      <c r="X697" s="11" t="str">
        <f>IFERROR(IF(MARÍTIMOS[[#This Row],[Etapa Retiro - Inicio de Ruta]]="","",MARÍTIMOS[[#This Row],[Etapa Retiro - Inicio de Ruta]]),"")</f>
        <v/>
      </c>
      <c r="Y697" s="11" t="str">
        <f>IFERROR(IF(MARÍTIMOS[[#This Row],[Hora de Posicionamiento]]="","",MARÍTIMOS[[#This Row],[Fecha de Carga]]+MARÍTIMOS[[#This Row],[Hora de Posicionamiento]]),"")</f>
        <v/>
      </c>
      <c r="Z697" s="11" t="str">
        <f>IFERROR(IF(MARÍTIMOS[[#This Row],[Etapa Despacho - Llegada]]="","",MARÍTIMOS[[#This Row],[Etapa Despacho - Llegada]]),"")</f>
        <v/>
      </c>
      <c r="AA697" s="11" t="str">
        <f>IFERROR(IF(MARÍTIMOS[[#This Row],[Etapa Despacho - Registro]]="","",MARÍTIMOS[[#This Row],[Etapa Despacho - Registro]]),"")</f>
        <v/>
      </c>
      <c r="AB697" s="11" t="str">
        <f>IFERROR(IF(MARÍTIMOS[[#This Row],[Inspección Externa]]="","",MARÍTIMOS[[#This Row],[Inspección Externa]]),"")</f>
        <v/>
      </c>
      <c r="AC697" s="11" t="str">
        <f>IFERROR(IF(MARÍTIMOS[[#This Row],[Etapa Despacho - Inicio de Carga]]="","",MARÍTIMOS[[#This Row],[Etapa Despacho - Inicio de Carga]]),"")</f>
        <v/>
      </c>
      <c r="AD697" s="11" t="str">
        <f>IFERROR(IF(MARÍTIMOS[[#This Row],[Etapa Despacho - Mitad de Carga]]="","",MARÍTIMOS[[#This Row],[Etapa Despacho - Mitad de Carga]]),"")</f>
        <v/>
      </c>
      <c r="AE697" s="11" t="str">
        <f>IFERROR(IF(MARÍTIMOS[[#This Row],[Etapa Despacho - Fin de Carga]]="","",MARÍTIMOS[[#This Row],[Etapa Despacho - Fin de Carga]]),"")</f>
        <v/>
      </c>
      <c r="AF697" s="2" t="str">
        <f>IFERROR(IF(MARÍTIMOS[[#This Row],[Puerto de Embarque]]="","",MARÍTIMOS[[#This Row],[Puerto de Embarque]]),"")</f>
        <v/>
      </c>
      <c r="AG697" s="2" t="str">
        <f>IFERROR(IF(MARÍTIMOS[[#This Row],[Almacén de Ingreso]]="","",MARÍTIMOS[[#This Row],[Almacén de Ingreso]]),"")</f>
        <v/>
      </c>
      <c r="AH697" s="11" t="str">
        <f>IFERROR(IF(MARÍTIMOS[[#This Row],[Etapa Ingreso - Cita]]="","",MARÍTIMOS[[#This Row],[Etapa Ingreso - Cita]]),"")</f>
        <v/>
      </c>
      <c r="AI697" s="11" t="str">
        <f>IFERROR(IF(MARÍTIMOS[[#This Row],[Etapa Ingreso - Llegada]]="","",MARÍTIMOS[[#This Row],[Etapa Ingreso - Llegada]]),"")</f>
        <v/>
      </c>
      <c r="AJ697" s="11" t="str">
        <f>IFERROR(IF(MARÍTIMOS[[#This Row],[Etapa Ingreso - Ingeso]]="","",MARÍTIMOS[[#This Row],[Etapa Ingreso - Ingeso]]),"")</f>
        <v/>
      </c>
      <c r="AK697" s="11" t="str">
        <f>IFERROR(IF(MARÍTIMOS[[#This Row],[Etapa Ingreso - Atención]]="","",MARÍTIMOS[[#This Row],[Etapa Ingreso - Atención]]),"")</f>
        <v/>
      </c>
      <c r="AL697" s="11" t="str">
        <f>IFERROR(IF(MARÍTIMOS[[#This Row],[Etapa Ingreso - Salida]]="","",MARÍTIMOS[[#This Row],[Etapa Ingreso - Salida]]),"")</f>
        <v/>
      </c>
      <c r="AM697" s="2" t="str">
        <f>IFERROR(IF(MARÍTIMOS[[#This Row],[FCL]]="","",MARÍTIMOS[[#This Row],[FCL]]),"")</f>
        <v/>
      </c>
      <c r="AN6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7" s="4" t="str" cm="1">
        <f t="array" ref="AO6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7" s="5" t="str">
        <f>IFERROR(OLDBD[[#This Row],[Llegada a packing]]-OLDBD[[#This Row],[Inicio de Ruta]],"")</f>
        <v/>
      </c>
      <c r="AQ697" s="6" t="str">
        <f>IFERROR(OLDBD[[#This Row],[Inicio de Ruta]]-OLDBD[[#This Row],[Salida de almacén de retiro]],"")</f>
        <v/>
      </c>
      <c r="AR6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7" s="8" t="str" cm="1">
        <f t="array" ref="AS6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7" s="9" t="str">
        <f>IFERROR(OLDBD[[#This Row],[Ingreso Packing]]-OLDBD[[#This Row],[Registro en Packing]],"")</f>
        <v/>
      </c>
      <c r="AV697" s="9" t="str">
        <f>IFERROR(OLDBD[[#This Row],[Ingreso Packing]]-OLDBD[[#This Row],[Llegada a packing]],"")</f>
        <v/>
      </c>
      <c r="AW6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7" s="5" t="str">
        <f>IFERROR(OLDBD[[#This Row],[Llegada Almacén de Ingreso]]-OLDBD[[#This Row],[Salida Packing]],"")</f>
        <v/>
      </c>
      <c r="AY697" s="4" t="str" cm="1">
        <f t="array" ref="AY6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7" s="43" t="s">
        <v>173</v>
      </c>
      <c r="BB697" s="47" t="str">
        <f>IFERROR(IF(MARÍTIMOS[[#This Row],[Estatus]]="","",MARÍTIMOS[[#This Row],[Estatus]]),"")</f>
        <v/>
      </c>
      <c r="BC697" s="43"/>
      <c r="BD697" s="46" t="str">
        <f>IFERROR(OLDBD[[#This Row],[Salida de almacén de retiro]]-OLDBD[[#This Row],[Ingreso Almacén de retiro]],"")</f>
        <v/>
      </c>
      <c r="BE697" s="46" t="str">
        <f>IFERROR(OLDBD[[#This Row],[Fin de Carga]]-OLDBD[[#This Row],[Inicio de Carga]],"")</f>
        <v/>
      </c>
    </row>
    <row r="698" spans="1:57" customFormat="1" hidden="1">
      <c r="A698" s="1"/>
      <c r="B698" s="1" t="str">
        <f>IFERROR(IF(MARÍTIMOS[[#This Row],[PP]]="","",MARÍTIMOS[[#This Row],[PP]]),"")</f>
        <v/>
      </c>
      <c r="C698" s="1" t="str">
        <f>IFERROR(IF(MARÍTIMOS[[#This Row],[Sede]]="","",MARÍTIMOS[[#This Row],[Sede]]),"")</f>
        <v/>
      </c>
      <c r="D698" s="1" t="str">
        <f>IFERROR(IF(MARÍTIMOS[[#This Row],[Instruction]]="","",MARÍTIMOS[[#This Row],[Instruction]]),"")</f>
        <v/>
      </c>
      <c r="E698" s="1"/>
      <c r="F698" s="2" t="str">
        <f>IFERROR(IF(MARÍTIMOS[[#This Row],[Transportista]]="","",MARÍTIMOS[[#This Row],[Transportista]]),"")</f>
        <v/>
      </c>
      <c r="G698" s="2" t="str">
        <f>IFERROR(IF(MARÍTIMOS[[#This Row],[Tercero]]="","",MARÍTIMOS[[#This Row],[Tercero]]),"")</f>
        <v/>
      </c>
      <c r="H698" s="2" t="str">
        <f>IFERROR(IF(MARÍTIMOS[[#This Row],[Razón Social]]="","",MARÍTIMOS[[#This Row],[Razón Social]]),"")</f>
        <v/>
      </c>
      <c r="I698" s="2" t="str">
        <f>IFERROR(IF(MARÍTIMOS[[#This Row],[RUC]]="","",MARÍTIMOS[[#This Row],[RUC]]),"")</f>
        <v/>
      </c>
      <c r="J698" s="2" t="str">
        <f>IFERROR(IF(MARÍTIMOS[[#This Row],[Placa Tracto]]="","",MARÍTIMOS[[#This Row],[Placa Tracto]]),"")</f>
        <v/>
      </c>
      <c r="K698" s="2" t="str">
        <f>IFERROR(IF(MARÍTIMOS[[#This Row],[Placa Carreta]]="","",MARÍTIMOS[[#This Row],[Placa Carreta]]),"")</f>
        <v/>
      </c>
      <c r="L698" s="44" t="str">
        <f>IFERROR(IF(MARÍTIMOS[[#This Row],[Conductor]]="","",MARÍTIMOS[[#This Row],[Conductor]]),"")</f>
        <v/>
      </c>
      <c r="M698" s="2" t="str">
        <f>IFERROR(IF(MARÍTIMOS[[#This Row],[Licencia]]="","",MARÍTIMOS[[#This Row],[Licencia]]),"")</f>
        <v/>
      </c>
      <c r="N698" s="2" t="str">
        <f>IFERROR(IF(MARÍTIMOS[[#This Row],[Número de Contacto]]="","",MARÍTIMOS[[#This Row],[Número de Contacto]]),"")</f>
        <v/>
      </c>
      <c r="O698" s="10" t="str">
        <f>IFERROR(IF(MARÍTIMOS[[#This Row],[Booking|AWB|CRT]]="","",MARÍTIMOS[[#This Row],[Booking|AWB|CRT]]),"")</f>
        <v/>
      </c>
      <c r="P698" s="2" t="str">
        <f>IFERROR(IF(MARÍTIMOS[[#This Row],[Contenedor]]="","",MARÍTIMOS[[#This Row],[Contenedor]]),"")</f>
        <v/>
      </c>
      <c r="Q698" s="2" t="str">
        <f>IFERROR(IF(MARÍTIMOS[[#This Row],[Puerto de Retiro]]="","",MARÍTIMOS[[#This Row],[Puerto de Retiro]]),"")</f>
        <v/>
      </c>
      <c r="R698" s="2" t="str">
        <f>IFERROR(IF(MARÍTIMOS[[#This Row],[Almacén de Retiro]]="","",MARÍTIMOS[[#This Row],[Almacén de Retiro]]),"")</f>
        <v/>
      </c>
      <c r="S698" s="11" t="str">
        <f>IFERROR(IF(MARÍTIMOS[[#This Row],[Etapa Retiro - Cita]]="","",MARÍTIMOS[[#This Row],[Etapa Retiro - Cita]]),"")</f>
        <v/>
      </c>
      <c r="T698" s="11" t="str">
        <f>IFERROR(IF(MARÍTIMOS[[#This Row],[Etapa Retiro - Llegada]]="","",MARÍTIMOS[[#This Row],[Etapa Retiro - Llegada]]),"")</f>
        <v/>
      </c>
      <c r="U698" s="11" t="str">
        <f>IFERROR(IF(MARÍTIMOS[[#This Row],[Etapa Retiro - Ingreso]]="","",MARÍTIMOS[[#This Row],[Etapa Retiro - Ingreso]]),"")</f>
        <v/>
      </c>
      <c r="V698" s="11" t="str">
        <f>IFERROR(IF(MARÍTIMOS[[#This Row],[Etapa Retiro - Atención]]="","",MARÍTIMOS[[#This Row],[Etapa Retiro - Atención]]),"")</f>
        <v/>
      </c>
      <c r="W698" s="11" t="str">
        <f>IFERROR(IF(MARÍTIMOS[[#This Row],[Etapa Retiro - Atención]]="","",MARÍTIMOS[[#This Row],[Etapa Retiro - Atención]]),"")</f>
        <v/>
      </c>
      <c r="X698" s="11" t="str">
        <f>IFERROR(IF(MARÍTIMOS[[#This Row],[Etapa Retiro - Inicio de Ruta]]="","",MARÍTIMOS[[#This Row],[Etapa Retiro - Inicio de Ruta]]),"")</f>
        <v/>
      </c>
      <c r="Y698" s="11" t="str">
        <f>IFERROR(IF(MARÍTIMOS[[#This Row],[Hora de Posicionamiento]]="","",MARÍTIMOS[[#This Row],[Fecha de Carga]]+MARÍTIMOS[[#This Row],[Hora de Posicionamiento]]),"")</f>
        <v/>
      </c>
      <c r="Z698" s="11" t="str">
        <f>IFERROR(IF(MARÍTIMOS[[#This Row],[Etapa Despacho - Llegada]]="","",MARÍTIMOS[[#This Row],[Etapa Despacho - Llegada]]),"")</f>
        <v/>
      </c>
      <c r="AA698" s="11" t="str">
        <f>IFERROR(IF(MARÍTIMOS[[#This Row],[Etapa Despacho - Registro]]="","",MARÍTIMOS[[#This Row],[Etapa Despacho - Registro]]),"")</f>
        <v/>
      </c>
      <c r="AB698" s="11" t="str">
        <f>IFERROR(IF(MARÍTIMOS[[#This Row],[Inspección Externa]]="","",MARÍTIMOS[[#This Row],[Inspección Externa]]),"")</f>
        <v/>
      </c>
      <c r="AC698" s="11" t="str">
        <f>IFERROR(IF(MARÍTIMOS[[#This Row],[Etapa Despacho - Inicio de Carga]]="","",MARÍTIMOS[[#This Row],[Etapa Despacho - Inicio de Carga]]),"")</f>
        <v/>
      </c>
      <c r="AD698" s="11" t="str">
        <f>IFERROR(IF(MARÍTIMOS[[#This Row],[Etapa Despacho - Mitad de Carga]]="","",MARÍTIMOS[[#This Row],[Etapa Despacho - Mitad de Carga]]),"")</f>
        <v/>
      </c>
      <c r="AE698" s="11" t="str">
        <f>IFERROR(IF(MARÍTIMOS[[#This Row],[Etapa Despacho - Fin de Carga]]="","",MARÍTIMOS[[#This Row],[Etapa Despacho - Fin de Carga]]),"")</f>
        <v/>
      </c>
      <c r="AF698" s="2" t="str">
        <f>IFERROR(IF(MARÍTIMOS[[#This Row],[Puerto de Embarque]]="","",MARÍTIMOS[[#This Row],[Puerto de Embarque]]),"")</f>
        <v/>
      </c>
      <c r="AG698" s="2" t="str">
        <f>IFERROR(IF(MARÍTIMOS[[#This Row],[Almacén de Ingreso]]="","",MARÍTIMOS[[#This Row],[Almacén de Ingreso]]),"")</f>
        <v/>
      </c>
      <c r="AH698" s="11" t="str">
        <f>IFERROR(IF(MARÍTIMOS[[#This Row],[Etapa Ingreso - Cita]]="","",MARÍTIMOS[[#This Row],[Etapa Ingreso - Cita]]),"")</f>
        <v/>
      </c>
      <c r="AI698" s="11" t="str">
        <f>IFERROR(IF(MARÍTIMOS[[#This Row],[Etapa Ingreso - Llegada]]="","",MARÍTIMOS[[#This Row],[Etapa Ingreso - Llegada]]),"")</f>
        <v/>
      </c>
      <c r="AJ698" s="11" t="str">
        <f>IFERROR(IF(MARÍTIMOS[[#This Row],[Etapa Ingreso - Ingeso]]="","",MARÍTIMOS[[#This Row],[Etapa Ingreso - Ingeso]]),"")</f>
        <v/>
      </c>
      <c r="AK698" s="11" t="str">
        <f>IFERROR(IF(MARÍTIMOS[[#This Row],[Etapa Ingreso - Atención]]="","",MARÍTIMOS[[#This Row],[Etapa Ingreso - Atención]]),"")</f>
        <v/>
      </c>
      <c r="AL698" s="11" t="str">
        <f>IFERROR(IF(MARÍTIMOS[[#This Row],[Etapa Ingreso - Salida]]="","",MARÍTIMOS[[#This Row],[Etapa Ingreso - Salida]]),"")</f>
        <v/>
      </c>
      <c r="AM698" s="2" t="str">
        <f>IFERROR(IF(MARÍTIMOS[[#This Row],[FCL]]="","",MARÍTIMOS[[#This Row],[FCL]]),"")</f>
        <v/>
      </c>
      <c r="AN6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8" s="4" t="str" cm="1">
        <f t="array" ref="AO6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8" s="5" t="str">
        <f>IFERROR(OLDBD[[#This Row],[Llegada a packing]]-OLDBD[[#This Row],[Inicio de Ruta]],"")</f>
        <v/>
      </c>
      <c r="AQ698" s="6" t="str">
        <f>IFERROR(OLDBD[[#This Row],[Inicio de Ruta]]-OLDBD[[#This Row],[Salida de almacén de retiro]],"")</f>
        <v/>
      </c>
      <c r="AR6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8" s="8" t="str" cm="1">
        <f t="array" ref="AS6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8" s="9" t="str">
        <f>IFERROR(OLDBD[[#This Row],[Ingreso Packing]]-OLDBD[[#This Row],[Registro en Packing]],"")</f>
        <v/>
      </c>
      <c r="AV698" s="9" t="str">
        <f>IFERROR(OLDBD[[#This Row],[Ingreso Packing]]-OLDBD[[#This Row],[Llegada a packing]],"")</f>
        <v/>
      </c>
      <c r="AW6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8" s="5" t="str">
        <f>IFERROR(OLDBD[[#This Row],[Llegada Almacén de Ingreso]]-OLDBD[[#This Row],[Salida Packing]],"")</f>
        <v/>
      </c>
      <c r="AY698" s="4" t="str" cm="1">
        <f t="array" ref="AY6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8" s="43" t="s">
        <v>173</v>
      </c>
      <c r="BB698" s="47" t="str">
        <f>IFERROR(IF(MARÍTIMOS[[#This Row],[Estatus]]="","",MARÍTIMOS[[#This Row],[Estatus]]),"")</f>
        <v/>
      </c>
      <c r="BC698" s="43"/>
      <c r="BD698" s="46" t="str">
        <f>IFERROR(OLDBD[[#This Row],[Salida de almacén de retiro]]-OLDBD[[#This Row],[Ingreso Almacén de retiro]],"")</f>
        <v/>
      </c>
      <c r="BE698" s="46" t="str">
        <f>IFERROR(OLDBD[[#This Row],[Fin de Carga]]-OLDBD[[#This Row],[Inicio de Carga]],"")</f>
        <v/>
      </c>
    </row>
    <row r="699" spans="1:57" customFormat="1" hidden="1">
      <c r="A699" s="1"/>
      <c r="B699" s="1" t="str">
        <f>IFERROR(IF(MARÍTIMOS[[#This Row],[PP]]="","",MARÍTIMOS[[#This Row],[PP]]),"")</f>
        <v/>
      </c>
      <c r="C699" s="1" t="str">
        <f>IFERROR(IF(MARÍTIMOS[[#This Row],[Sede]]="","",MARÍTIMOS[[#This Row],[Sede]]),"")</f>
        <v/>
      </c>
      <c r="D699" s="1" t="str">
        <f>IFERROR(IF(MARÍTIMOS[[#This Row],[Instruction]]="","",MARÍTIMOS[[#This Row],[Instruction]]),"")</f>
        <v/>
      </c>
      <c r="E699" s="1"/>
      <c r="F699" s="2" t="str">
        <f>IFERROR(IF(MARÍTIMOS[[#This Row],[Transportista]]="","",MARÍTIMOS[[#This Row],[Transportista]]),"")</f>
        <v/>
      </c>
      <c r="G699" s="2" t="str">
        <f>IFERROR(IF(MARÍTIMOS[[#This Row],[Tercero]]="","",MARÍTIMOS[[#This Row],[Tercero]]),"")</f>
        <v/>
      </c>
      <c r="H699" s="2" t="str">
        <f>IFERROR(IF(MARÍTIMOS[[#This Row],[Razón Social]]="","",MARÍTIMOS[[#This Row],[Razón Social]]),"")</f>
        <v/>
      </c>
      <c r="I699" s="2" t="str">
        <f>IFERROR(IF(MARÍTIMOS[[#This Row],[RUC]]="","",MARÍTIMOS[[#This Row],[RUC]]),"")</f>
        <v/>
      </c>
      <c r="J699" s="2" t="str">
        <f>IFERROR(IF(MARÍTIMOS[[#This Row],[Placa Tracto]]="","",MARÍTIMOS[[#This Row],[Placa Tracto]]),"")</f>
        <v/>
      </c>
      <c r="K699" s="2" t="str">
        <f>IFERROR(IF(MARÍTIMOS[[#This Row],[Placa Carreta]]="","",MARÍTIMOS[[#This Row],[Placa Carreta]]),"")</f>
        <v/>
      </c>
      <c r="L699" s="44" t="str">
        <f>IFERROR(IF(MARÍTIMOS[[#This Row],[Conductor]]="","",MARÍTIMOS[[#This Row],[Conductor]]),"")</f>
        <v/>
      </c>
      <c r="M699" s="2" t="str">
        <f>IFERROR(IF(MARÍTIMOS[[#This Row],[Licencia]]="","",MARÍTIMOS[[#This Row],[Licencia]]),"")</f>
        <v/>
      </c>
      <c r="N699" s="2" t="str">
        <f>IFERROR(IF(MARÍTIMOS[[#This Row],[Número de Contacto]]="","",MARÍTIMOS[[#This Row],[Número de Contacto]]),"")</f>
        <v/>
      </c>
      <c r="O699" s="10" t="str">
        <f>IFERROR(IF(MARÍTIMOS[[#This Row],[Booking|AWB|CRT]]="","",MARÍTIMOS[[#This Row],[Booking|AWB|CRT]]),"")</f>
        <v/>
      </c>
      <c r="P699" s="2" t="str">
        <f>IFERROR(IF(MARÍTIMOS[[#This Row],[Contenedor]]="","",MARÍTIMOS[[#This Row],[Contenedor]]),"")</f>
        <v/>
      </c>
      <c r="Q699" s="2" t="str">
        <f>IFERROR(IF(MARÍTIMOS[[#This Row],[Puerto de Retiro]]="","",MARÍTIMOS[[#This Row],[Puerto de Retiro]]),"")</f>
        <v/>
      </c>
      <c r="R699" s="2" t="str">
        <f>IFERROR(IF(MARÍTIMOS[[#This Row],[Almacén de Retiro]]="","",MARÍTIMOS[[#This Row],[Almacén de Retiro]]),"")</f>
        <v/>
      </c>
      <c r="S699" s="11" t="str">
        <f>IFERROR(IF(MARÍTIMOS[[#This Row],[Etapa Retiro - Cita]]="","",MARÍTIMOS[[#This Row],[Etapa Retiro - Cita]]),"")</f>
        <v/>
      </c>
      <c r="T699" s="11" t="str">
        <f>IFERROR(IF(MARÍTIMOS[[#This Row],[Etapa Retiro - Llegada]]="","",MARÍTIMOS[[#This Row],[Etapa Retiro - Llegada]]),"")</f>
        <v/>
      </c>
      <c r="U699" s="11" t="str">
        <f>IFERROR(IF(MARÍTIMOS[[#This Row],[Etapa Retiro - Ingreso]]="","",MARÍTIMOS[[#This Row],[Etapa Retiro - Ingreso]]),"")</f>
        <v/>
      </c>
      <c r="V699" s="11" t="str">
        <f>IFERROR(IF(MARÍTIMOS[[#This Row],[Etapa Retiro - Atención]]="","",MARÍTIMOS[[#This Row],[Etapa Retiro - Atención]]),"")</f>
        <v/>
      </c>
      <c r="W699" s="11" t="str">
        <f>IFERROR(IF(MARÍTIMOS[[#This Row],[Etapa Retiro - Atención]]="","",MARÍTIMOS[[#This Row],[Etapa Retiro - Atención]]),"")</f>
        <v/>
      </c>
      <c r="X699" s="11" t="str">
        <f>IFERROR(IF(MARÍTIMOS[[#This Row],[Etapa Retiro - Inicio de Ruta]]="","",MARÍTIMOS[[#This Row],[Etapa Retiro - Inicio de Ruta]]),"")</f>
        <v/>
      </c>
      <c r="Y699" s="11" t="str">
        <f>IFERROR(IF(MARÍTIMOS[[#This Row],[Hora de Posicionamiento]]="","",MARÍTIMOS[[#This Row],[Fecha de Carga]]+MARÍTIMOS[[#This Row],[Hora de Posicionamiento]]),"")</f>
        <v/>
      </c>
      <c r="Z699" s="11" t="str">
        <f>IFERROR(IF(MARÍTIMOS[[#This Row],[Etapa Despacho - Llegada]]="","",MARÍTIMOS[[#This Row],[Etapa Despacho - Llegada]]),"")</f>
        <v/>
      </c>
      <c r="AA699" s="11" t="str">
        <f>IFERROR(IF(MARÍTIMOS[[#This Row],[Etapa Despacho - Registro]]="","",MARÍTIMOS[[#This Row],[Etapa Despacho - Registro]]),"")</f>
        <v/>
      </c>
      <c r="AB699" s="11" t="str">
        <f>IFERROR(IF(MARÍTIMOS[[#This Row],[Inspección Externa]]="","",MARÍTIMOS[[#This Row],[Inspección Externa]]),"")</f>
        <v/>
      </c>
      <c r="AC699" s="11" t="str">
        <f>IFERROR(IF(MARÍTIMOS[[#This Row],[Etapa Despacho - Inicio de Carga]]="","",MARÍTIMOS[[#This Row],[Etapa Despacho - Inicio de Carga]]),"")</f>
        <v/>
      </c>
      <c r="AD699" s="11" t="str">
        <f>IFERROR(IF(MARÍTIMOS[[#This Row],[Etapa Despacho - Mitad de Carga]]="","",MARÍTIMOS[[#This Row],[Etapa Despacho - Mitad de Carga]]),"")</f>
        <v/>
      </c>
      <c r="AE699" s="11" t="str">
        <f>IFERROR(IF(MARÍTIMOS[[#This Row],[Etapa Despacho - Fin de Carga]]="","",MARÍTIMOS[[#This Row],[Etapa Despacho - Fin de Carga]]),"")</f>
        <v/>
      </c>
      <c r="AF699" s="2" t="str">
        <f>IFERROR(IF(MARÍTIMOS[[#This Row],[Puerto de Embarque]]="","",MARÍTIMOS[[#This Row],[Puerto de Embarque]]),"")</f>
        <v/>
      </c>
      <c r="AG699" s="2" t="str">
        <f>IFERROR(IF(MARÍTIMOS[[#This Row],[Almacén de Ingreso]]="","",MARÍTIMOS[[#This Row],[Almacén de Ingreso]]),"")</f>
        <v/>
      </c>
      <c r="AH699" s="11" t="str">
        <f>IFERROR(IF(MARÍTIMOS[[#This Row],[Etapa Ingreso - Cita]]="","",MARÍTIMOS[[#This Row],[Etapa Ingreso - Cita]]),"")</f>
        <v/>
      </c>
      <c r="AI699" s="11" t="str">
        <f>IFERROR(IF(MARÍTIMOS[[#This Row],[Etapa Ingreso - Llegada]]="","",MARÍTIMOS[[#This Row],[Etapa Ingreso - Llegada]]),"")</f>
        <v/>
      </c>
      <c r="AJ699" s="11" t="str">
        <f>IFERROR(IF(MARÍTIMOS[[#This Row],[Etapa Ingreso - Ingeso]]="","",MARÍTIMOS[[#This Row],[Etapa Ingreso - Ingeso]]),"")</f>
        <v/>
      </c>
      <c r="AK699" s="11" t="str">
        <f>IFERROR(IF(MARÍTIMOS[[#This Row],[Etapa Ingreso - Atención]]="","",MARÍTIMOS[[#This Row],[Etapa Ingreso - Atención]]),"")</f>
        <v/>
      </c>
      <c r="AL699" s="11" t="str">
        <f>IFERROR(IF(MARÍTIMOS[[#This Row],[Etapa Ingreso - Salida]]="","",MARÍTIMOS[[#This Row],[Etapa Ingreso - Salida]]),"")</f>
        <v/>
      </c>
      <c r="AM699" s="2" t="str">
        <f>IFERROR(IF(MARÍTIMOS[[#This Row],[FCL]]="","",MARÍTIMOS[[#This Row],[FCL]]),"")</f>
        <v/>
      </c>
      <c r="AN6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699" s="4" t="str" cm="1">
        <f t="array" ref="AO6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699" s="5" t="str">
        <f>IFERROR(OLDBD[[#This Row],[Llegada a packing]]-OLDBD[[#This Row],[Inicio de Ruta]],"")</f>
        <v/>
      </c>
      <c r="AQ699" s="6" t="str">
        <f>IFERROR(OLDBD[[#This Row],[Inicio de Ruta]]-OLDBD[[#This Row],[Salida de almacén de retiro]],"")</f>
        <v/>
      </c>
      <c r="AR6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699" s="8" t="str" cm="1">
        <f t="array" ref="AS6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6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699" s="9" t="str">
        <f>IFERROR(OLDBD[[#This Row],[Ingreso Packing]]-OLDBD[[#This Row],[Registro en Packing]],"")</f>
        <v/>
      </c>
      <c r="AV699" s="9" t="str">
        <f>IFERROR(OLDBD[[#This Row],[Ingreso Packing]]-OLDBD[[#This Row],[Llegada a packing]],"")</f>
        <v/>
      </c>
      <c r="AW6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699" s="5" t="str">
        <f>IFERROR(OLDBD[[#This Row],[Llegada Almacén de Ingreso]]-OLDBD[[#This Row],[Salida Packing]],"")</f>
        <v/>
      </c>
      <c r="AY699" s="4" t="str" cm="1">
        <f t="array" ref="AY6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6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699" s="43" t="s">
        <v>173</v>
      </c>
      <c r="BB699" s="47" t="str">
        <f>IFERROR(IF(MARÍTIMOS[[#This Row],[Estatus]]="","",MARÍTIMOS[[#This Row],[Estatus]]),"")</f>
        <v/>
      </c>
      <c r="BC699" s="43"/>
      <c r="BD699" s="46" t="str">
        <f>IFERROR(OLDBD[[#This Row],[Salida de almacén de retiro]]-OLDBD[[#This Row],[Ingreso Almacén de retiro]],"")</f>
        <v/>
      </c>
      <c r="BE699" s="46" t="str">
        <f>IFERROR(OLDBD[[#This Row],[Fin de Carga]]-OLDBD[[#This Row],[Inicio de Carga]],"")</f>
        <v/>
      </c>
    </row>
    <row r="700" spans="1:57" customFormat="1" hidden="1">
      <c r="A700" s="1"/>
      <c r="B700" s="1" t="str">
        <f>IFERROR(IF(MARÍTIMOS[[#This Row],[PP]]="","",MARÍTIMOS[[#This Row],[PP]]),"")</f>
        <v/>
      </c>
      <c r="C700" s="1" t="str">
        <f>IFERROR(IF(MARÍTIMOS[[#This Row],[Sede]]="","",MARÍTIMOS[[#This Row],[Sede]]),"")</f>
        <v/>
      </c>
      <c r="D700" s="1" t="str">
        <f>IFERROR(IF(MARÍTIMOS[[#This Row],[Instruction]]="","",MARÍTIMOS[[#This Row],[Instruction]]),"")</f>
        <v/>
      </c>
      <c r="E700" s="1"/>
      <c r="F700" s="2" t="str">
        <f>IFERROR(IF(MARÍTIMOS[[#This Row],[Transportista]]="","",MARÍTIMOS[[#This Row],[Transportista]]),"")</f>
        <v/>
      </c>
      <c r="G700" s="2" t="str">
        <f>IFERROR(IF(MARÍTIMOS[[#This Row],[Tercero]]="","",MARÍTIMOS[[#This Row],[Tercero]]),"")</f>
        <v/>
      </c>
      <c r="H700" s="2" t="str">
        <f>IFERROR(IF(MARÍTIMOS[[#This Row],[Razón Social]]="","",MARÍTIMOS[[#This Row],[Razón Social]]),"")</f>
        <v/>
      </c>
      <c r="I700" s="2" t="str">
        <f>IFERROR(IF(MARÍTIMOS[[#This Row],[RUC]]="","",MARÍTIMOS[[#This Row],[RUC]]),"")</f>
        <v/>
      </c>
      <c r="J700" s="2" t="str">
        <f>IFERROR(IF(MARÍTIMOS[[#This Row],[Placa Tracto]]="","",MARÍTIMOS[[#This Row],[Placa Tracto]]),"")</f>
        <v/>
      </c>
      <c r="K700" s="2" t="str">
        <f>IFERROR(IF(MARÍTIMOS[[#This Row],[Placa Carreta]]="","",MARÍTIMOS[[#This Row],[Placa Carreta]]),"")</f>
        <v/>
      </c>
      <c r="L700" s="44" t="str">
        <f>IFERROR(IF(MARÍTIMOS[[#This Row],[Conductor]]="","",MARÍTIMOS[[#This Row],[Conductor]]),"")</f>
        <v/>
      </c>
      <c r="M700" s="2" t="str">
        <f>IFERROR(IF(MARÍTIMOS[[#This Row],[Licencia]]="","",MARÍTIMOS[[#This Row],[Licencia]]),"")</f>
        <v/>
      </c>
      <c r="N700" s="2" t="str">
        <f>IFERROR(IF(MARÍTIMOS[[#This Row],[Número de Contacto]]="","",MARÍTIMOS[[#This Row],[Número de Contacto]]),"")</f>
        <v/>
      </c>
      <c r="O700" s="10" t="str">
        <f>IFERROR(IF(MARÍTIMOS[[#This Row],[Booking|AWB|CRT]]="","",MARÍTIMOS[[#This Row],[Booking|AWB|CRT]]),"")</f>
        <v/>
      </c>
      <c r="P700" s="2" t="str">
        <f>IFERROR(IF(MARÍTIMOS[[#This Row],[Contenedor]]="","",MARÍTIMOS[[#This Row],[Contenedor]]),"")</f>
        <v/>
      </c>
      <c r="Q700" s="2" t="str">
        <f>IFERROR(IF(MARÍTIMOS[[#This Row],[Puerto de Retiro]]="","",MARÍTIMOS[[#This Row],[Puerto de Retiro]]),"")</f>
        <v/>
      </c>
      <c r="R700" s="2" t="str">
        <f>IFERROR(IF(MARÍTIMOS[[#This Row],[Almacén de Retiro]]="","",MARÍTIMOS[[#This Row],[Almacén de Retiro]]),"")</f>
        <v/>
      </c>
      <c r="S700" s="11" t="str">
        <f>IFERROR(IF(MARÍTIMOS[[#This Row],[Etapa Retiro - Cita]]="","",MARÍTIMOS[[#This Row],[Etapa Retiro - Cita]]),"")</f>
        <v/>
      </c>
      <c r="T700" s="11" t="str">
        <f>IFERROR(IF(MARÍTIMOS[[#This Row],[Etapa Retiro - Llegada]]="","",MARÍTIMOS[[#This Row],[Etapa Retiro - Llegada]]),"")</f>
        <v/>
      </c>
      <c r="U700" s="11" t="str">
        <f>IFERROR(IF(MARÍTIMOS[[#This Row],[Etapa Retiro - Ingreso]]="","",MARÍTIMOS[[#This Row],[Etapa Retiro - Ingreso]]),"")</f>
        <v/>
      </c>
      <c r="V700" s="11" t="str">
        <f>IFERROR(IF(MARÍTIMOS[[#This Row],[Etapa Retiro - Atención]]="","",MARÍTIMOS[[#This Row],[Etapa Retiro - Atención]]),"")</f>
        <v/>
      </c>
      <c r="W700" s="11" t="str">
        <f>IFERROR(IF(MARÍTIMOS[[#This Row],[Etapa Retiro - Atención]]="","",MARÍTIMOS[[#This Row],[Etapa Retiro - Atención]]),"")</f>
        <v/>
      </c>
      <c r="X700" s="11" t="str">
        <f>IFERROR(IF(MARÍTIMOS[[#This Row],[Etapa Retiro - Inicio de Ruta]]="","",MARÍTIMOS[[#This Row],[Etapa Retiro - Inicio de Ruta]]),"")</f>
        <v/>
      </c>
      <c r="Y700" s="11" t="str">
        <f>IFERROR(IF(MARÍTIMOS[[#This Row],[Hora de Posicionamiento]]="","",MARÍTIMOS[[#This Row],[Fecha de Carga]]+MARÍTIMOS[[#This Row],[Hora de Posicionamiento]]),"")</f>
        <v/>
      </c>
      <c r="Z700" s="11" t="str">
        <f>IFERROR(IF(MARÍTIMOS[[#This Row],[Etapa Despacho - Llegada]]="","",MARÍTIMOS[[#This Row],[Etapa Despacho - Llegada]]),"")</f>
        <v/>
      </c>
      <c r="AA700" s="11" t="str">
        <f>IFERROR(IF(MARÍTIMOS[[#This Row],[Etapa Despacho - Registro]]="","",MARÍTIMOS[[#This Row],[Etapa Despacho - Registro]]),"")</f>
        <v/>
      </c>
      <c r="AB700" s="11" t="str">
        <f>IFERROR(IF(MARÍTIMOS[[#This Row],[Inspección Externa]]="","",MARÍTIMOS[[#This Row],[Inspección Externa]]),"")</f>
        <v/>
      </c>
      <c r="AC700" s="11" t="str">
        <f>IFERROR(IF(MARÍTIMOS[[#This Row],[Etapa Despacho - Inicio de Carga]]="","",MARÍTIMOS[[#This Row],[Etapa Despacho - Inicio de Carga]]),"")</f>
        <v/>
      </c>
      <c r="AD700" s="11" t="str">
        <f>IFERROR(IF(MARÍTIMOS[[#This Row],[Etapa Despacho - Mitad de Carga]]="","",MARÍTIMOS[[#This Row],[Etapa Despacho - Mitad de Carga]]),"")</f>
        <v/>
      </c>
      <c r="AE700" s="11" t="str">
        <f>IFERROR(IF(MARÍTIMOS[[#This Row],[Etapa Despacho - Fin de Carga]]="","",MARÍTIMOS[[#This Row],[Etapa Despacho - Fin de Carga]]),"")</f>
        <v/>
      </c>
      <c r="AF700" s="2" t="str">
        <f>IFERROR(IF(MARÍTIMOS[[#This Row],[Puerto de Embarque]]="","",MARÍTIMOS[[#This Row],[Puerto de Embarque]]),"")</f>
        <v/>
      </c>
      <c r="AG700" s="2" t="str">
        <f>IFERROR(IF(MARÍTIMOS[[#This Row],[Almacén de Ingreso]]="","",MARÍTIMOS[[#This Row],[Almacén de Ingreso]]),"")</f>
        <v/>
      </c>
      <c r="AH700" s="11" t="str">
        <f>IFERROR(IF(MARÍTIMOS[[#This Row],[Etapa Ingreso - Cita]]="","",MARÍTIMOS[[#This Row],[Etapa Ingreso - Cita]]),"")</f>
        <v/>
      </c>
      <c r="AI700" s="11" t="str">
        <f>IFERROR(IF(MARÍTIMOS[[#This Row],[Etapa Ingreso - Llegada]]="","",MARÍTIMOS[[#This Row],[Etapa Ingreso - Llegada]]),"")</f>
        <v/>
      </c>
      <c r="AJ700" s="11" t="str">
        <f>IFERROR(IF(MARÍTIMOS[[#This Row],[Etapa Ingreso - Ingeso]]="","",MARÍTIMOS[[#This Row],[Etapa Ingreso - Ingeso]]),"")</f>
        <v/>
      </c>
      <c r="AK700" s="11" t="str">
        <f>IFERROR(IF(MARÍTIMOS[[#This Row],[Etapa Ingreso - Atención]]="","",MARÍTIMOS[[#This Row],[Etapa Ingreso - Atención]]),"")</f>
        <v/>
      </c>
      <c r="AL700" s="11" t="str">
        <f>IFERROR(IF(MARÍTIMOS[[#This Row],[Etapa Ingreso - Salida]]="","",MARÍTIMOS[[#This Row],[Etapa Ingreso - Salida]]),"")</f>
        <v/>
      </c>
      <c r="AM700" s="2" t="str">
        <f>IFERROR(IF(MARÍTIMOS[[#This Row],[FCL]]="","",MARÍTIMOS[[#This Row],[FCL]]),"")</f>
        <v/>
      </c>
      <c r="AN7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0" s="4" t="str" cm="1">
        <f t="array" ref="AO7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0" s="5" t="str">
        <f>IFERROR(OLDBD[[#This Row],[Llegada a packing]]-OLDBD[[#This Row],[Inicio de Ruta]],"")</f>
        <v/>
      </c>
      <c r="AQ700" s="6" t="str">
        <f>IFERROR(OLDBD[[#This Row],[Inicio de Ruta]]-OLDBD[[#This Row],[Salida de almacén de retiro]],"")</f>
        <v/>
      </c>
      <c r="AR7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0" s="8" t="str" cm="1">
        <f t="array" ref="AS7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0" s="9" t="str">
        <f>IFERROR(OLDBD[[#This Row],[Ingreso Packing]]-OLDBD[[#This Row],[Registro en Packing]],"")</f>
        <v/>
      </c>
      <c r="AV700" s="9" t="str">
        <f>IFERROR(OLDBD[[#This Row],[Ingreso Packing]]-OLDBD[[#This Row],[Llegada a packing]],"")</f>
        <v/>
      </c>
      <c r="AW7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0" s="5" t="str">
        <f>IFERROR(OLDBD[[#This Row],[Llegada Almacén de Ingreso]]-OLDBD[[#This Row],[Salida Packing]],"")</f>
        <v/>
      </c>
      <c r="AY700" s="4" t="str" cm="1">
        <f t="array" ref="AY7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0" s="43" t="s">
        <v>173</v>
      </c>
      <c r="BB700" s="47" t="str">
        <f>IFERROR(IF(MARÍTIMOS[[#This Row],[Estatus]]="","",MARÍTIMOS[[#This Row],[Estatus]]),"")</f>
        <v/>
      </c>
      <c r="BC700" s="43"/>
      <c r="BD700" s="46" t="str">
        <f>IFERROR(OLDBD[[#This Row],[Salida de almacén de retiro]]-OLDBD[[#This Row],[Ingreso Almacén de retiro]],"")</f>
        <v/>
      </c>
      <c r="BE700" s="46" t="str">
        <f>IFERROR(OLDBD[[#This Row],[Fin de Carga]]-OLDBD[[#This Row],[Inicio de Carga]],"")</f>
        <v/>
      </c>
    </row>
    <row r="701" spans="1:57" customFormat="1" hidden="1">
      <c r="A701" s="1"/>
      <c r="B701" s="1" t="str">
        <f>IFERROR(IF(MARÍTIMOS[[#This Row],[PP]]="","",MARÍTIMOS[[#This Row],[PP]]),"")</f>
        <v/>
      </c>
      <c r="C701" s="1" t="str">
        <f>IFERROR(IF(MARÍTIMOS[[#This Row],[Sede]]="","",MARÍTIMOS[[#This Row],[Sede]]),"")</f>
        <v/>
      </c>
      <c r="D701" s="1" t="str">
        <f>IFERROR(IF(MARÍTIMOS[[#This Row],[Instruction]]="","",MARÍTIMOS[[#This Row],[Instruction]]),"")</f>
        <v/>
      </c>
      <c r="E701" s="1"/>
      <c r="F701" s="2" t="str">
        <f>IFERROR(IF(MARÍTIMOS[[#This Row],[Transportista]]="","",MARÍTIMOS[[#This Row],[Transportista]]),"")</f>
        <v/>
      </c>
      <c r="G701" s="2" t="str">
        <f>IFERROR(IF(MARÍTIMOS[[#This Row],[Tercero]]="","",MARÍTIMOS[[#This Row],[Tercero]]),"")</f>
        <v/>
      </c>
      <c r="H701" s="2" t="str">
        <f>IFERROR(IF(MARÍTIMOS[[#This Row],[Razón Social]]="","",MARÍTIMOS[[#This Row],[Razón Social]]),"")</f>
        <v/>
      </c>
      <c r="I701" s="2" t="str">
        <f>IFERROR(IF(MARÍTIMOS[[#This Row],[RUC]]="","",MARÍTIMOS[[#This Row],[RUC]]),"")</f>
        <v/>
      </c>
      <c r="J701" s="2" t="str">
        <f>IFERROR(IF(MARÍTIMOS[[#This Row],[Placa Tracto]]="","",MARÍTIMOS[[#This Row],[Placa Tracto]]),"")</f>
        <v/>
      </c>
      <c r="K701" s="2" t="str">
        <f>IFERROR(IF(MARÍTIMOS[[#This Row],[Placa Carreta]]="","",MARÍTIMOS[[#This Row],[Placa Carreta]]),"")</f>
        <v/>
      </c>
      <c r="L701" s="44" t="str">
        <f>IFERROR(IF(MARÍTIMOS[[#This Row],[Conductor]]="","",MARÍTIMOS[[#This Row],[Conductor]]),"")</f>
        <v/>
      </c>
      <c r="M701" s="2" t="str">
        <f>IFERROR(IF(MARÍTIMOS[[#This Row],[Licencia]]="","",MARÍTIMOS[[#This Row],[Licencia]]),"")</f>
        <v/>
      </c>
      <c r="N701" s="2" t="str">
        <f>IFERROR(IF(MARÍTIMOS[[#This Row],[Número de Contacto]]="","",MARÍTIMOS[[#This Row],[Número de Contacto]]),"")</f>
        <v/>
      </c>
      <c r="O701" s="10" t="str">
        <f>IFERROR(IF(MARÍTIMOS[[#This Row],[Booking|AWB|CRT]]="","",MARÍTIMOS[[#This Row],[Booking|AWB|CRT]]),"")</f>
        <v/>
      </c>
      <c r="P701" s="2" t="str">
        <f>IFERROR(IF(MARÍTIMOS[[#This Row],[Contenedor]]="","",MARÍTIMOS[[#This Row],[Contenedor]]),"")</f>
        <v/>
      </c>
      <c r="Q701" s="2" t="str">
        <f>IFERROR(IF(MARÍTIMOS[[#This Row],[Puerto de Retiro]]="","",MARÍTIMOS[[#This Row],[Puerto de Retiro]]),"")</f>
        <v/>
      </c>
      <c r="R701" s="2" t="str">
        <f>IFERROR(IF(MARÍTIMOS[[#This Row],[Almacén de Retiro]]="","",MARÍTIMOS[[#This Row],[Almacén de Retiro]]),"")</f>
        <v/>
      </c>
      <c r="S701" s="11" t="str">
        <f>IFERROR(IF(MARÍTIMOS[[#This Row],[Etapa Retiro - Cita]]="","",MARÍTIMOS[[#This Row],[Etapa Retiro - Cita]]),"")</f>
        <v/>
      </c>
      <c r="T701" s="11" t="str">
        <f>IFERROR(IF(MARÍTIMOS[[#This Row],[Etapa Retiro - Llegada]]="","",MARÍTIMOS[[#This Row],[Etapa Retiro - Llegada]]),"")</f>
        <v/>
      </c>
      <c r="U701" s="11" t="str">
        <f>IFERROR(IF(MARÍTIMOS[[#This Row],[Etapa Retiro - Ingreso]]="","",MARÍTIMOS[[#This Row],[Etapa Retiro - Ingreso]]),"")</f>
        <v/>
      </c>
      <c r="V701" s="11" t="str">
        <f>IFERROR(IF(MARÍTIMOS[[#This Row],[Etapa Retiro - Atención]]="","",MARÍTIMOS[[#This Row],[Etapa Retiro - Atención]]),"")</f>
        <v/>
      </c>
      <c r="W701" s="11" t="str">
        <f>IFERROR(IF(MARÍTIMOS[[#This Row],[Etapa Retiro - Atención]]="","",MARÍTIMOS[[#This Row],[Etapa Retiro - Atención]]),"")</f>
        <v/>
      </c>
      <c r="X701" s="11" t="str">
        <f>IFERROR(IF(MARÍTIMOS[[#This Row],[Etapa Retiro - Inicio de Ruta]]="","",MARÍTIMOS[[#This Row],[Etapa Retiro - Inicio de Ruta]]),"")</f>
        <v/>
      </c>
      <c r="Y701" s="11" t="str">
        <f>IFERROR(IF(MARÍTIMOS[[#This Row],[Hora de Posicionamiento]]="","",MARÍTIMOS[[#This Row],[Fecha de Carga]]+MARÍTIMOS[[#This Row],[Hora de Posicionamiento]]),"")</f>
        <v/>
      </c>
      <c r="Z701" s="11" t="str">
        <f>IFERROR(IF(MARÍTIMOS[[#This Row],[Etapa Despacho - Llegada]]="","",MARÍTIMOS[[#This Row],[Etapa Despacho - Llegada]]),"")</f>
        <v/>
      </c>
      <c r="AA701" s="11" t="str">
        <f>IFERROR(IF(MARÍTIMOS[[#This Row],[Etapa Despacho - Registro]]="","",MARÍTIMOS[[#This Row],[Etapa Despacho - Registro]]),"")</f>
        <v/>
      </c>
      <c r="AB701" s="11" t="str">
        <f>IFERROR(IF(MARÍTIMOS[[#This Row],[Inspección Externa]]="","",MARÍTIMOS[[#This Row],[Inspección Externa]]),"")</f>
        <v/>
      </c>
      <c r="AC701" s="11" t="str">
        <f>IFERROR(IF(MARÍTIMOS[[#This Row],[Etapa Despacho - Inicio de Carga]]="","",MARÍTIMOS[[#This Row],[Etapa Despacho - Inicio de Carga]]),"")</f>
        <v/>
      </c>
      <c r="AD701" s="11" t="str">
        <f>IFERROR(IF(MARÍTIMOS[[#This Row],[Etapa Despacho - Mitad de Carga]]="","",MARÍTIMOS[[#This Row],[Etapa Despacho - Mitad de Carga]]),"")</f>
        <v/>
      </c>
      <c r="AE701" s="11" t="str">
        <f>IFERROR(IF(MARÍTIMOS[[#This Row],[Etapa Despacho - Fin de Carga]]="","",MARÍTIMOS[[#This Row],[Etapa Despacho - Fin de Carga]]),"")</f>
        <v/>
      </c>
      <c r="AF701" s="2" t="str">
        <f>IFERROR(IF(MARÍTIMOS[[#This Row],[Puerto de Embarque]]="","",MARÍTIMOS[[#This Row],[Puerto de Embarque]]),"")</f>
        <v/>
      </c>
      <c r="AG701" s="2" t="str">
        <f>IFERROR(IF(MARÍTIMOS[[#This Row],[Almacén de Ingreso]]="","",MARÍTIMOS[[#This Row],[Almacén de Ingreso]]),"")</f>
        <v/>
      </c>
      <c r="AH701" s="11" t="str">
        <f>IFERROR(IF(MARÍTIMOS[[#This Row],[Etapa Ingreso - Cita]]="","",MARÍTIMOS[[#This Row],[Etapa Ingreso - Cita]]),"")</f>
        <v/>
      </c>
      <c r="AI701" s="11" t="str">
        <f>IFERROR(IF(MARÍTIMOS[[#This Row],[Etapa Ingreso - Llegada]]="","",MARÍTIMOS[[#This Row],[Etapa Ingreso - Llegada]]),"")</f>
        <v/>
      </c>
      <c r="AJ701" s="11" t="str">
        <f>IFERROR(IF(MARÍTIMOS[[#This Row],[Etapa Ingreso - Ingeso]]="","",MARÍTIMOS[[#This Row],[Etapa Ingreso - Ingeso]]),"")</f>
        <v/>
      </c>
      <c r="AK701" s="11" t="str">
        <f>IFERROR(IF(MARÍTIMOS[[#This Row],[Etapa Ingreso - Atención]]="","",MARÍTIMOS[[#This Row],[Etapa Ingreso - Atención]]),"")</f>
        <v/>
      </c>
      <c r="AL701" s="11" t="str">
        <f>IFERROR(IF(MARÍTIMOS[[#This Row],[Etapa Ingreso - Salida]]="","",MARÍTIMOS[[#This Row],[Etapa Ingreso - Salida]]),"")</f>
        <v/>
      </c>
      <c r="AM701" s="2" t="str">
        <f>IFERROR(IF(MARÍTIMOS[[#This Row],[FCL]]="","",MARÍTIMOS[[#This Row],[FCL]]),"")</f>
        <v/>
      </c>
      <c r="AN7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1" s="4" t="str" cm="1">
        <f t="array" ref="AO7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1" s="5" t="str">
        <f>IFERROR(OLDBD[[#This Row],[Llegada a packing]]-OLDBD[[#This Row],[Inicio de Ruta]],"")</f>
        <v/>
      </c>
      <c r="AQ701" s="6" t="str">
        <f>IFERROR(OLDBD[[#This Row],[Inicio de Ruta]]-OLDBD[[#This Row],[Salida de almacén de retiro]],"")</f>
        <v/>
      </c>
      <c r="AR7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1" s="8" t="str" cm="1">
        <f t="array" ref="AS7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1" s="9" t="str">
        <f>IFERROR(OLDBD[[#This Row],[Ingreso Packing]]-OLDBD[[#This Row],[Registro en Packing]],"")</f>
        <v/>
      </c>
      <c r="AV701" s="9" t="str">
        <f>IFERROR(OLDBD[[#This Row],[Ingreso Packing]]-OLDBD[[#This Row],[Llegada a packing]],"")</f>
        <v/>
      </c>
      <c r="AW7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1" s="5" t="str">
        <f>IFERROR(OLDBD[[#This Row],[Llegada Almacén de Ingreso]]-OLDBD[[#This Row],[Salida Packing]],"")</f>
        <v/>
      </c>
      <c r="AY701" s="4" t="str" cm="1">
        <f t="array" ref="AY7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1" s="43" t="s">
        <v>173</v>
      </c>
      <c r="BB701" s="47" t="str">
        <f>IFERROR(IF(MARÍTIMOS[[#This Row],[Estatus]]="","",MARÍTIMOS[[#This Row],[Estatus]]),"")</f>
        <v/>
      </c>
      <c r="BC701" s="43"/>
      <c r="BD701" s="46" t="str">
        <f>IFERROR(OLDBD[[#This Row],[Salida de almacén de retiro]]-OLDBD[[#This Row],[Ingreso Almacén de retiro]],"")</f>
        <v/>
      </c>
      <c r="BE701" s="46" t="str">
        <f>IFERROR(OLDBD[[#This Row],[Fin de Carga]]-OLDBD[[#This Row],[Inicio de Carga]],"")</f>
        <v/>
      </c>
    </row>
    <row r="702" spans="1:57" customFormat="1" hidden="1">
      <c r="A702" s="1"/>
      <c r="B702" s="1" t="str">
        <f>IFERROR(IF(MARÍTIMOS[[#This Row],[PP]]="","",MARÍTIMOS[[#This Row],[PP]]),"")</f>
        <v/>
      </c>
      <c r="C702" s="1" t="str">
        <f>IFERROR(IF(MARÍTIMOS[[#This Row],[Sede]]="","",MARÍTIMOS[[#This Row],[Sede]]),"")</f>
        <v/>
      </c>
      <c r="D702" s="1" t="str">
        <f>IFERROR(IF(MARÍTIMOS[[#This Row],[Instruction]]="","",MARÍTIMOS[[#This Row],[Instruction]]),"")</f>
        <v/>
      </c>
      <c r="E702" s="1"/>
      <c r="F702" s="2" t="str">
        <f>IFERROR(IF(MARÍTIMOS[[#This Row],[Transportista]]="","",MARÍTIMOS[[#This Row],[Transportista]]),"")</f>
        <v/>
      </c>
      <c r="G702" s="2" t="str">
        <f>IFERROR(IF(MARÍTIMOS[[#This Row],[Tercero]]="","",MARÍTIMOS[[#This Row],[Tercero]]),"")</f>
        <v/>
      </c>
      <c r="H702" s="2" t="str">
        <f>IFERROR(IF(MARÍTIMOS[[#This Row],[Razón Social]]="","",MARÍTIMOS[[#This Row],[Razón Social]]),"")</f>
        <v/>
      </c>
      <c r="I702" s="2" t="str">
        <f>IFERROR(IF(MARÍTIMOS[[#This Row],[RUC]]="","",MARÍTIMOS[[#This Row],[RUC]]),"")</f>
        <v/>
      </c>
      <c r="J702" s="2" t="str">
        <f>IFERROR(IF(MARÍTIMOS[[#This Row],[Placa Tracto]]="","",MARÍTIMOS[[#This Row],[Placa Tracto]]),"")</f>
        <v/>
      </c>
      <c r="K702" s="2" t="str">
        <f>IFERROR(IF(MARÍTIMOS[[#This Row],[Placa Carreta]]="","",MARÍTIMOS[[#This Row],[Placa Carreta]]),"")</f>
        <v/>
      </c>
      <c r="L702" s="44" t="str">
        <f>IFERROR(IF(MARÍTIMOS[[#This Row],[Conductor]]="","",MARÍTIMOS[[#This Row],[Conductor]]),"")</f>
        <v/>
      </c>
      <c r="M702" s="2" t="str">
        <f>IFERROR(IF(MARÍTIMOS[[#This Row],[Licencia]]="","",MARÍTIMOS[[#This Row],[Licencia]]),"")</f>
        <v/>
      </c>
      <c r="N702" s="2" t="str">
        <f>IFERROR(IF(MARÍTIMOS[[#This Row],[Número de Contacto]]="","",MARÍTIMOS[[#This Row],[Número de Contacto]]),"")</f>
        <v/>
      </c>
      <c r="O702" s="10" t="str">
        <f>IFERROR(IF(MARÍTIMOS[[#This Row],[Booking|AWB|CRT]]="","",MARÍTIMOS[[#This Row],[Booking|AWB|CRT]]),"")</f>
        <v/>
      </c>
      <c r="P702" s="2" t="str">
        <f>IFERROR(IF(MARÍTIMOS[[#This Row],[Contenedor]]="","",MARÍTIMOS[[#This Row],[Contenedor]]),"")</f>
        <v/>
      </c>
      <c r="Q702" s="2" t="str">
        <f>IFERROR(IF(MARÍTIMOS[[#This Row],[Puerto de Retiro]]="","",MARÍTIMOS[[#This Row],[Puerto de Retiro]]),"")</f>
        <v/>
      </c>
      <c r="R702" s="2" t="str">
        <f>IFERROR(IF(MARÍTIMOS[[#This Row],[Almacén de Retiro]]="","",MARÍTIMOS[[#This Row],[Almacén de Retiro]]),"")</f>
        <v/>
      </c>
      <c r="S702" s="11" t="str">
        <f>IFERROR(IF(MARÍTIMOS[[#This Row],[Etapa Retiro - Cita]]="","",MARÍTIMOS[[#This Row],[Etapa Retiro - Cita]]),"")</f>
        <v/>
      </c>
      <c r="T702" s="11" t="str">
        <f>IFERROR(IF(MARÍTIMOS[[#This Row],[Etapa Retiro - Llegada]]="","",MARÍTIMOS[[#This Row],[Etapa Retiro - Llegada]]),"")</f>
        <v/>
      </c>
      <c r="U702" s="11" t="str">
        <f>IFERROR(IF(MARÍTIMOS[[#This Row],[Etapa Retiro - Ingreso]]="","",MARÍTIMOS[[#This Row],[Etapa Retiro - Ingreso]]),"")</f>
        <v/>
      </c>
      <c r="V702" s="11" t="str">
        <f>IFERROR(IF(MARÍTIMOS[[#This Row],[Etapa Retiro - Atención]]="","",MARÍTIMOS[[#This Row],[Etapa Retiro - Atención]]),"")</f>
        <v/>
      </c>
      <c r="W702" s="11" t="str">
        <f>IFERROR(IF(MARÍTIMOS[[#This Row],[Etapa Retiro - Atención]]="","",MARÍTIMOS[[#This Row],[Etapa Retiro - Atención]]),"")</f>
        <v/>
      </c>
      <c r="X702" s="11" t="str">
        <f>IFERROR(IF(MARÍTIMOS[[#This Row],[Etapa Retiro - Inicio de Ruta]]="","",MARÍTIMOS[[#This Row],[Etapa Retiro - Inicio de Ruta]]),"")</f>
        <v/>
      </c>
      <c r="Y702" s="11" t="str">
        <f>IFERROR(IF(MARÍTIMOS[[#This Row],[Hora de Posicionamiento]]="","",MARÍTIMOS[[#This Row],[Fecha de Carga]]+MARÍTIMOS[[#This Row],[Hora de Posicionamiento]]),"")</f>
        <v/>
      </c>
      <c r="Z702" s="11" t="str">
        <f>IFERROR(IF(MARÍTIMOS[[#This Row],[Etapa Despacho - Llegada]]="","",MARÍTIMOS[[#This Row],[Etapa Despacho - Llegada]]),"")</f>
        <v/>
      </c>
      <c r="AA702" s="11" t="str">
        <f>IFERROR(IF(MARÍTIMOS[[#This Row],[Etapa Despacho - Registro]]="","",MARÍTIMOS[[#This Row],[Etapa Despacho - Registro]]),"")</f>
        <v/>
      </c>
      <c r="AB702" s="11" t="str">
        <f>IFERROR(IF(MARÍTIMOS[[#This Row],[Inspección Externa]]="","",MARÍTIMOS[[#This Row],[Inspección Externa]]),"")</f>
        <v/>
      </c>
      <c r="AC702" s="11" t="str">
        <f>IFERROR(IF(MARÍTIMOS[[#This Row],[Etapa Despacho - Inicio de Carga]]="","",MARÍTIMOS[[#This Row],[Etapa Despacho - Inicio de Carga]]),"")</f>
        <v/>
      </c>
      <c r="AD702" s="11" t="str">
        <f>IFERROR(IF(MARÍTIMOS[[#This Row],[Etapa Despacho - Mitad de Carga]]="","",MARÍTIMOS[[#This Row],[Etapa Despacho - Mitad de Carga]]),"")</f>
        <v/>
      </c>
      <c r="AE702" s="11" t="str">
        <f>IFERROR(IF(MARÍTIMOS[[#This Row],[Etapa Despacho - Fin de Carga]]="","",MARÍTIMOS[[#This Row],[Etapa Despacho - Fin de Carga]]),"")</f>
        <v/>
      </c>
      <c r="AF702" s="2" t="str">
        <f>IFERROR(IF(MARÍTIMOS[[#This Row],[Puerto de Embarque]]="","",MARÍTIMOS[[#This Row],[Puerto de Embarque]]),"")</f>
        <v/>
      </c>
      <c r="AG702" s="2" t="str">
        <f>IFERROR(IF(MARÍTIMOS[[#This Row],[Almacén de Ingreso]]="","",MARÍTIMOS[[#This Row],[Almacén de Ingreso]]),"")</f>
        <v/>
      </c>
      <c r="AH702" s="11" t="str">
        <f>IFERROR(IF(MARÍTIMOS[[#This Row],[Etapa Ingreso - Cita]]="","",MARÍTIMOS[[#This Row],[Etapa Ingreso - Cita]]),"")</f>
        <v/>
      </c>
      <c r="AI702" s="11" t="str">
        <f>IFERROR(IF(MARÍTIMOS[[#This Row],[Etapa Ingreso - Llegada]]="","",MARÍTIMOS[[#This Row],[Etapa Ingreso - Llegada]]),"")</f>
        <v/>
      </c>
      <c r="AJ702" s="11" t="str">
        <f>IFERROR(IF(MARÍTIMOS[[#This Row],[Etapa Ingreso - Ingeso]]="","",MARÍTIMOS[[#This Row],[Etapa Ingreso - Ingeso]]),"")</f>
        <v/>
      </c>
      <c r="AK702" s="11" t="str">
        <f>IFERROR(IF(MARÍTIMOS[[#This Row],[Etapa Ingreso - Atención]]="","",MARÍTIMOS[[#This Row],[Etapa Ingreso - Atención]]),"")</f>
        <v/>
      </c>
      <c r="AL702" s="11" t="str">
        <f>IFERROR(IF(MARÍTIMOS[[#This Row],[Etapa Ingreso - Salida]]="","",MARÍTIMOS[[#This Row],[Etapa Ingreso - Salida]]),"")</f>
        <v/>
      </c>
      <c r="AM702" s="2" t="str">
        <f>IFERROR(IF(MARÍTIMOS[[#This Row],[FCL]]="","",MARÍTIMOS[[#This Row],[FCL]]),"")</f>
        <v/>
      </c>
      <c r="AN7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2" s="4" t="str" cm="1">
        <f t="array" ref="AO7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2" s="5" t="str">
        <f>IFERROR(OLDBD[[#This Row],[Llegada a packing]]-OLDBD[[#This Row],[Inicio de Ruta]],"")</f>
        <v/>
      </c>
      <c r="AQ702" s="6" t="str">
        <f>IFERROR(OLDBD[[#This Row],[Inicio de Ruta]]-OLDBD[[#This Row],[Salida de almacén de retiro]],"")</f>
        <v/>
      </c>
      <c r="AR7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2" s="8" t="str" cm="1">
        <f t="array" ref="AS7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2" s="9" t="str">
        <f>IFERROR(OLDBD[[#This Row],[Ingreso Packing]]-OLDBD[[#This Row],[Registro en Packing]],"")</f>
        <v/>
      </c>
      <c r="AV702" s="9" t="str">
        <f>IFERROR(OLDBD[[#This Row],[Ingreso Packing]]-OLDBD[[#This Row],[Llegada a packing]],"")</f>
        <v/>
      </c>
      <c r="AW7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2" s="5" t="str">
        <f>IFERROR(OLDBD[[#This Row],[Llegada Almacén de Ingreso]]-OLDBD[[#This Row],[Salida Packing]],"")</f>
        <v/>
      </c>
      <c r="AY702" s="4" t="str" cm="1">
        <f t="array" ref="AY7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2" s="43" t="s">
        <v>173</v>
      </c>
      <c r="BB702" s="47" t="str">
        <f>IFERROR(IF(MARÍTIMOS[[#This Row],[Estatus]]="","",MARÍTIMOS[[#This Row],[Estatus]]),"")</f>
        <v/>
      </c>
      <c r="BC702" s="43"/>
      <c r="BD702" s="46" t="str">
        <f>IFERROR(OLDBD[[#This Row],[Salida de almacén de retiro]]-OLDBD[[#This Row],[Ingreso Almacén de retiro]],"")</f>
        <v/>
      </c>
      <c r="BE702" s="46" t="str">
        <f>IFERROR(OLDBD[[#This Row],[Fin de Carga]]-OLDBD[[#This Row],[Inicio de Carga]],"")</f>
        <v/>
      </c>
    </row>
    <row r="703" spans="1:57" customFormat="1" hidden="1">
      <c r="A703" s="1"/>
      <c r="B703" s="1" t="str">
        <f>IFERROR(IF(MARÍTIMOS[[#This Row],[PP]]="","",MARÍTIMOS[[#This Row],[PP]]),"")</f>
        <v/>
      </c>
      <c r="C703" s="1" t="str">
        <f>IFERROR(IF(MARÍTIMOS[[#This Row],[Sede]]="","",MARÍTIMOS[[#This Row],[Sede]]),"")</f>
        <v/>
      </c>
      <c r="D703" s="1" t="str">
        <f>IFERROR(IF(MARÍTIMOS[[#This Row],[Instruction]]="","",MARÍTIMOS[[#This Row],[Instruction]]),"")</f>
        <v/>
      </c>
      <c r="E703" s="1"/>
      <c r="F703" s="2" t="str">
        <f>IFERROR(IF(MARÍTIMOS[[#This Row],[Transportista]]="","",MARÍTIMOS[[#This Row],[Transportista]]),"")</f>
        <v/>
      </c>
      <c r="G703" s="2" t="str">
        <f>IFERROR(IF(MARÍTIMOS[[#This Row],[Tercero]]="","",MARÍTIMOS[[#This Row],[Tercero]]),"")</f>
        <v/>
      </c>
      <c r="H703" s="2" t="str">
        <f>IFERROR(IF(MARÍTIMOS[[#This Row],[Razón Social]]="","",MARÍTIMOS[[#This Row],[Razón Social]]),"")</f>
        <v/>
      </c>
      <c r="I703" s="2" t="str">
        <f>IFERROR(IF(MARÍTIMOS[[#This Row],[RUC]]="","",MARÍTIMOS[[#This Row],[RUC]]),"")</f>
        <v/>
      </c>
      <c r="J703" s="2" t="str">
        <f>IFERROR(IF(MARÍTIMOS[[#This Row],[Placa Tracto]]="","",MARÍTIMOS[[#This Row],[Placa Tracto]]),"")</f>
        <v/>
      </c>
      <c r="K703" s="2" t="str">
        <f>IFERROR(IF(MARÍTIMOS[[#This Row],[Placa Carreta]]="","",MARÍTIMOS[[#This Row],[Placa Carreta]]),"")</f>
        <v/>
      </c>
      <c r="L703" s="44" t="str">
        <f>IFERROR(IF(MARÍTIMOS[[#This Row],[Conductor]]="","",MARÍTIMOS[[#This Row],[Conductor]]),"")</f>
        <v/>
      </c>
      <c r="M703" s="2" t="str">
        <f>IFERROR(IF(MARÍTIMOS[[#This Row],[Licencia]]="","",MARÍTIMOS[[#This Row],[Licencia]]),"")</f>
        <v/>
      </c>
      <c r="N703" s="2" t="str">
        <f>IFERROR(IF(MARÍTIMOS[[#This Row],[Número de Contacto]]="","",MARÍTIMOS[[#This Row],[Número de Contacto]]),"")</f>
        <v/>
      </c>
      <c r="O703" s="10" t="str">
        <f>IFERROR(IF(MARÍTIMOS[[#This Row],[Booking|AWB|CRT]]="","",MARÍTIMOS[[#This Row],[Booking|AWB|CRT]]),"")</f>
        <v/>
      </c>
      <c r="P703" s="2" t="str">
        <f>IFERROR(IF(MARÍTIMOS[[#This Row],[Contenedor]]="","",MARÍTIMOS[[#This Row],[Contenedor]]),"")</f>
        <v/>
      </c>
      <c r="Q703" s="2" t="str">
        <f>IFERROR(IF(MARÍTIMOS[[#This Row],[Puerto de Retiro]]="","",MARÍTIMOS[[#This Row],[Puerto de Retiro]]),"")</f>
        <v/>
      </c>
      <c r="R703" s="2" t="str">
        <f>IFERROR(IF(MARÍTIMOS[[#This Row],[Almacén de Retiro]]="","",MARÍTIMOS[[#This Row],[Almacén de Retiro]]),"")</f>
        <v/>
      </c>
      <c r="S703" s="11" t="str">
        <f>IFERROR(IF(MARÍTIMOS[[#This Row],[Etapa Retiro - Cita]]="","",MARÍTIMOS[[#This Row],[Etapa Retiro - Cita]]),"")</f>
        <v/>
      </c>
      <c r="T703" s="11" t="str">
        <f>IFERROR(IF(MARÍTIMOS[[#This Row],[Etapa Retiro - Llegada]]="","",MARÍTIMOS[[#This Row],[Etapa Retiro - Llegada]]),"")</f>
        <v/>
      </c>
      <c r="U703" s="11" t="str">
        <f>IFERROR(IF(MARÍTIMOS[[#This Row],[Etapa Retiro - Ingreso]]="","",MARÍTIMOS[[#This Row],[Etapa Retiro - Ingreso]]),"")</f>
        <v/>
      </c>
      <c r="V703" s="11" t="str">
        <f>IFERROR(IF(MARÍTIMOS[[#This Row],[Etapa Retiro - Atención]]="","",MARÍTIMOS[[#This Row],[Etapa Retiro - Atención]]),"")</f>
        <v/>
      </c>
      <c r="W703" s="11" t="str">
        <f>IFERROR(IF(MARÍTIMOS[[#This Row],[Etapa Retiro - Atención]]="","",MARÍTIMOS[[#This Row],[Etapa Retiro - Atención]]),"")</f>
        <v/>
      </c>
      <c r="X703" s="11" t="str">
        <f>IFERROR(IF(MARÍTIMOS[[#This Row],[Etapa Retiro - Inicio de Ruta]]="","",MARÍTIMOS[[#This Row],[Etapa Retiro - Inicio de Ruta]]),"")</f>
        <v/>
      </c>
      <c r="Y703" s="11" t="str">
        <f>IFERROR(IF(MARÍTIMOS[[#This Row],[Hora de Posicionamiento]]="","",MARÍTIMOS[[#This Row],[Fecha de Carga]]+MARÍTIMOS[[#This Row],[Hora de Posicionamiento]]),"")</f>
        <v/>
      </c>
      <c r="Z703" s="11" t="str">
        <f>IFERROR(IF(MARÍTIMOS[[#This Row],[Etapa Despacho - Llegada]]="","",MARÍTIMOS[[#This Row],[Etapa Despacho - Llegada]]),"")</f>
        <v/>
      </c>
      <c r="AA703" s="11" t="str">
        <f>IFERROR(IF(MARÍTIMOS[[#This Row],[Etapa Despacho - Registro]]="","",MARÍTIMOS[[#This Row],[Etapa Despacho - Registro]]),"")</f>
        <v/>
      </c>
      <c r="AB703" s="11" t="str">
        <f>IFERROR(IF(MARÍTIMOS[[#This Row],[Inspección Externa]]="","",MARÍTIMOS[[#This Row],[Inspección Externa]]),"")</f>
        <v/>
      </c>
      <c r="AC703" s="11" t="str">
        <f>IFERROR(IF(MARÍTIMOS[[#This Row],[Etapa Despacho - Inicio de Carga]]="","",MARÍTIMOS[[#This Row],[Etapa Despacho - Inicio de Carga]]),"")</f>
        <v/>
      </c>
      <c r="AD703" s="11" t="str">
        <f>IFERROR(IF(MARÍTIMOS[[#This Row],[Etapa Despacho - Mitad de Carga]]="","",MARÍTIMOS[[#This Row],[Etapa Despacho - Mitad de Carga]]),"")</f>
        <v/>
      </c>
      <c r="AE703" s="11" t="str">
        <f>IFERROR(IF(MARÍTIMOS[[#This Row],[Etapa Despacho - Fin de Carga]]="","",MARÍTIMOS[[#This Row],[Etapa Despacho - Fin de Carga]]),"")</f>
        <v/>
      </c>
      <c r="AF703" s="2" t="str">
        <f>IFERROR(IF(MARÍTIMOS[[#This Row],[Puerto de Embarque]]="","",MARÍTIMOS[[#This Row],[Puerto de Embarque]]),"")</f>
        <v/>
      </c>
      <c r="AG703" s="2" t="str">
        <f>IFERROR(IF(MARÍTIMOS[[#This Row],[Almacén de Ingreso]]="","",MARÍTIMOS[[#This Row],[Almacén de Ingreso]]),"")</f>
        <v/>
      </c>
      <c r="AH703" s="11" t="str">
        <f>IFERROR(IF(MARÍTIMOS[[#This Row],[Etapa Ingreso - Cita]]="","",MARÍTIMOS[[#This Row],[Etapa Ingreso - Cita]]),"")</f>
        <v/>
      </c>
      <c r="AI703" s="11" t="str">
        <f>IFERROR(IF(MARÍTIMOS[[#This Row],[Etapa Ingreso - Llegada]]="","",MARÍTIMOS[[#This Row],[Etapa Ingreso - Llegada]]),"")</f>
        <v/>
      </c>
      <c r="AJ703" s="11" t="str">
        <f>IFERROR(IF(MARÍTIMOS[[#This Row],[Etapa Ingreso - Ingeso]]="","",MARÍTIMOS[[#This Row],[Etapa Ingreso - Ingeso]]),"")</f>
        <v/>
      </c>
      <c r="AK703" s="11" t="str">
        <f>IFERROR(IF(MARÍTIMOS[[#This Row],[Etapa Ingreso - Atención]]="","",MARÍTIMOS[[#This Row],[Etapa Ingreso - Atención]]),"")</f>
        <v/>
      </c>
      <c r="AL703" s="11" t="str">
        <f>IFERROR(IF(MARÍTIMOS[[#This Row],[Etapa Ingreso - Salida]]="","",MARÍTIMOS[[#This Row],[Etapa Ingreso - Salida]]),"")</f>
        <v/>
      </c>
      <c r="AM703" s="2" t="str">
        <f>IFERROR(IF(MARÍTIMOS[[#This Row],[FCL]]="","",MARÍTIMOS[[#This Row],[FCL]]),"")</f>
        <v/>
      </c>
      <c r="AN7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3" s="4" t="str" cm="1">
        <f t="array" ref="AO7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3" s="5" t="str">
        <f>IFERROR(OLDBD[[#This Row],[Llegada a packing]]-OLDBD[[#This Row],[Inicio de Ruta]],"")</f>
        <v/>
      </c>
      <c r="AQ703" s="6" t="str">
        <f>IFERROR(OLDBD[[#This Row],[Inicio de Ruta]]-OLDBD[[#This Row],[Salida de almacén de retiro]],"")</f>
        <v/>
      </c>
      <c r="AR7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3" s="8" t="str" cm="1">
        <f t="array" ref="AS7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3" s="9" t="str">
        <f>IFERROR(OLDBD[[#This Row],[Ingreso Packing]]-OLDBD[[#This Row],[Registro en Packing]],"")</f>
        <v/>
      </c>
      <c r="AV703" s="9" t="str">
        <f>IFERROR(OLDBD[[#This Row],[Ingreso Packing]]-OLDBD[[#This Row],[Llegada a packing]],"")</f>
        <v/>
      </c>
      <c r="AW7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3" s="5" t="str">
        <f>IFERROR(OLDBD[[#This Row],[Llegada Almacén de Ingreso]]-OLDBD[[#This Row],[Salida Packing]],"")</f>
        <v/>
      </c>
      <c r="AY703" s="4" t="str" cm="1">
        <f t="array" ref="AY7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3" s="43" t="s">
        <v>173</v>
      </c>
      <c r="BB703" s="47" t="str">
        <f>IFERROR(IF(MARÍTIMOS[[#This Row],[Estatus]]="","",MARÍTIMOS[[#This Row],[Estatus]]),"")</f>
        <v/>
      </c>
      <c r="BC703" s="43"/>
      <c r="BD703" s="46" t="str">
        <f>IFERROR(OLDBD[[#This Row],[Salida de almacén de retiro]]-OLDBD[[#This Row],[Ingreso Almacén de retiro]],"")</f>
        <v/>
      </c>
      <c r="BE703" s="46" t="str">
        <f>IFERROR(OLDBD[[#This Row],[Fin de Carga]]-OLDBD[[#This Row],[Inicio de Carga]],"")</f>
        <v/>
      </c>
    </row>
    <row r="704" spans="1:57" customFormat="1" hidden="1">
      <c r="A704" s="1"/>
      <c r="B704" s="1" t="str">
        <f>IFERROR(IF(MARÍTIMOS[[#This Row],[PP]]="","",MARÍTIMOS[[#This Row],[PP]]),"")</f>
        <v/>
      </c>
      <c r="C704" s="1" t="str">
        <f>IFERROR(IF(MARÍTIMOS[[#This Row],[Sede]]="","",MARÍTIMOS[[#This Row],[Sede]]),"")</f>
        <v/>
      </c>
      <c r="D704" s="1" t="str">
        <f>IFERROR(IF(MARÍTIMOS[[#This Row],[Instruction]]="","",MARÍTIMOS[[#This Row],[Instruction]]),"")</f>
        <v/>
      </c>
      <c r="E704" s="1"/>
      <c r="F704" s="2" t="str">
        <f>IFERROR(IF(MARÍTIMOS[[#This Row],[Transportista]]="","",MARÍTIMOS[[#This Row],[Transportista]]),"")</f>
        <v/>
      </c>
      <c r="G704" s="2" t="str">
        <f>IFERROR(IF(MARÍTIMOS[[#This Row],[Tercero]]="","",MARÍTIMOS[[#This Row],[Tercero]]),"")</f>
        <v/>
      </c>
      <c r="H704" s="2" t="str">
        <f>IFERROR(IF(MARÍTIMOS[[#This Row],[Razón Social]]="","",MARÍTIMOS[[#This Row],[Razón Social]]),"")</f>
        <v/>
      </c>
      <c r="I704" s="2" t="str">
        <f>IFERROR(IF(MARÍTIMOS[[#This Row],[RUC]]="","",MARÍTIMOS[[#This Row],[RUC]]),"")</f>
        <v/>
      </c>
      <c r="J704" s="2" t="str">
        <f>IFERROR(IF(MARÍTIMOS[[#This Row],[Placa Tracto]]="","",MARÍTIMOS[[#This Row],[Placa Tracto]]),"")</f>
        <v/>
      </c>
      <c r="K704" s="2" t="str">
        <f>IFERROR(IF(MARÍTIMOS[[#This Row],[Placa Carreta]]="","",MARÍTIMOS[[#This Row],[Placa Carreta]]),"")</f>
        <v/>
      </c>
      <c r="L704" s="44" t="str">
        <f>IFERROR(IF(MARÍTIMOS[[#This Row],[Conductor]]="","",MARÍTIMOS[[#This Row],[Conductor]]),"")</f>
        <v/>
      </c>
      <c r="M704" s="2" t="str">
        <f>IFERROR(IF(MARÍTIMOS[[#This Row],[Licencia]]="","",MARÍTIMOS[[#This Row],[Licencia]]),"")</f>
        <v/>
      </c>
      <c r="N704" s="2" t="str">
        <f>IFERROR(IF(MARÍTIMOS[[#This Row],[Número de Contacto]]="","",MARÍTIMOS[[#This Row],[Número de Contacto]]),"")</f>
        <v/>
      </c>
      <c r="O704" s="10" t="str">
        <f>IFERROR(IF(MARÍTIMOS[[#This Row],[Booking|AWB|CRT]]="","",MARÍTIMOS[[#This Row],[Booking|AWB|CRT]]),"")</f>
        <v/>
      </c>
      <c r="P704" s="2" t="str">
        <f>IFERROR(IF(MARÍTIMOS[[#This Row],[Contenedor]]="","",MARÍTIMOS[[#This Row],[Contenedor]]),"")</f>
        <v/>
      </c>
      <c r="Q704" s="2" t="str">
        <f>IFERROR(IF(MARÍTIMOS[[#This Row],[Puerto de Retiro]]="","",MARÍTIMOS[[#This Row],[Puerto de Retiro]]),"")</f>
        <v/>
      </c>
      <c r="R704" s="2" t="str">
        <f>IFERROR(IF(MARÍTIMOS[[#This Row],[Almacén de Retiro]]="","",MARÍTIMOS[[#This Row],[Almacén de Retiro]]),"")</f>
        <v/>
      </c>
      <c r="S704" s="11" t="str">
        <f>IFERROR(IF(MARÍTIMOS[[#This Row],[Etapa Retiro - Cita]]="","",MARÍTIMOS[[#This Row],[Etapa Retiro - Cita]]),"")</f>
        <v/>
      </c>
      <c r="T704" s="11" t="str">
        <f>IFERROR(IF(MARÍTIMOS[[#This Row],[Etapa Retiro - Llegada]]="","",MARÍTIMOS[[#This Row],[Etapa Retiro - Llegada]]),"")</f>
        <v/>
      </c>
      <c r="U704" s="11" t="str">
        <f>IFERROR(IF(MARÍTIMOS[[#This Row],[Etapa Retiro - Ingreso]]="","",MARÍTIMOS[[#This Row],[Etapa Retiro - Ingreso]]),"")</f>
        <v/>
      </c>
      <c r="V704" s="11" t="str">
        <f>IFERROR(IF(MARÍTIMOS[[#This Row],[Etapa Retiro - Atención]]="","",MARÍTIMOS[[#This Row],[Etapa Retiro - Atención]]),"")</f>
        <v/>
      </c>
      <c r="W704" s="11" t="str">
        <f>IFERROR(IF(MARÍTIMOS[[#This Row],[Etapa Retiro - Atención]]="","",MARÍTIMOS[[#This Row],[Etapa Retiro - Atención]]),"")</f>
        <v/>
      </c>
      <c r="X704" s="11" t="str">
        <f>IFERROR(IF(MARÍTIMOS[[#This Row],[Etapa Retiro - Inicio de Ruta]]="","",MARÍTIMOS[[#This Row],[Etapa Retiro - Inicio de Ruta]]),"")</f>
        <v/>
      </c>
      <c r="Y704" s="11" t="str">
        <f>IFERROR(IF(MARÍTIMOS[[#This Row],[Hora de Posicionamiento]]="","",MARÍTIMOS[[#This Row],[Fecha de Carga]]+MARÍTIMOS[[#This Row],[Hora de Posicionamiento]]),"")</f>
        <v/>
      </c>
      <c r="Z704" s="11" t="str">
        <f>IFERROR(IF(MARÍTIMOS[[#This Row],[Etapa Despacho - Llegada]]="","",MARÍTIMOS[[#This Row],[Etapa Despacho - Llegada]]),"")</f>
        <v/>
      </c>
      <c r="AA704" s="11" t="str">
        <f>IFERROR(IF(MARÍTIMOS[[#This Row],[Etapa Despacho - Registro]]="","",MARÍTIMOS[[#This Row],[Etapa Despacho - Registro]]),"")</f>
        <v/>
      </c>
      <c r="AB704" s="11" t="str">
        <f>IFERROR(IF(MARÍTIMOS[[#This Row],[Inspección Externa]]="","",MARÍTIMOS[[#This Row],[Inspección Externa]]),"")</f>
        <v/>
      </c>
      <c r="AC704" s="11" t="str">
        <f>IFERROR(IF(MARÍTIMOS[[#This Row],[Etapa Despacho - Inicio de Carga]]="","",MARÍTIMOS[[#This Row],[Etapa Despacho - Inicio de Carga]]),"")</f>
        <v/>
      </c>
      <c r="AD704" s="11" t="str">
        <f>IFERROR(IF(MARÍTIMOS[[#This Row],[Etapa Despacho - Mitad de Carga]]="","",MARÍTIMOS[[#This Row],[Etapa Despacho - Mitad de Carga]]),"")</f>
        <v/>
      </c>
      <c r="AE704" s="11" t="str">
        <f>IFERROR(IF(MARÍTIMOS[[#This Row],[Etapa Despacho - Fin de Carga]]="","",MARÍTIMOS[[#This Row],[Etapa Despacho - Fin de Carga]]),"")</f>
        <v/>
      </c>
      <c r="AF704" s="2" t="str">
        <f>IFERROR(IF(MARÍTIMOS[[#This Row],[Puerto de Embarque]]="","",MARÍTIMOS[[#This Row],[Puerto de Embarque]]),"")</f>
        <v/>
      </c>
      <c r="AG704" s="2" t="str">
        <f>IFERROR(IF(MARÍTIMOS[[#This Row],[Almacén de Ingreso]]="","",MARÍTIMOS[[#This Row],[Almacén de Ingreso]]),"")</f>
        <v/>
      </c>
      <c r="AH704" s="11" t="str">
        <f>IFERROR(IF(MARÍTIMOS[[#This Row],[Etapa Ingreso - Cita]]="","",MARÍTIMOS[[#This Row],[Etapa Ingreso - Cita]]),"")</f>
        <v/>
      </c>
      <c r="AI704" s="11" t="str">
        <f>IFERROR(IF(MARÍTIMOS[[#This Row],[Etapa Ingreso - Llegada]]="","",MARÍTIMOS[[#This Row],[Etapa Ingreso - Llegada]]),"")</f>
        <v/>
      </c>
      <c r="AJ704" s="11" t="str">
        <f>IFERROR(IF(MARÍTIMOS[[#This Row],[Etapa Ingreso - Ingeso]]="","",MARÍTIMOS[[#This Row],[Etapa Ingreso - Ingeso]]),"")</f>
        <v/>
      </c>
      <c r="AK704" s="11" t="str">
        <f>IFERROR(IF(MARÍTIMOS[[#This Row],[Etapa Ingreso - Atención]]="","",MARÍTIMOS[[#This Row],[Etapa Ingreso - Atención]]),"")</f>
        <v/>
      </c>
      <c r="AL704" s="11" t="str">
        <f>IFERROR(IF(MARÍTIMOS[[#This Row],[Etapa Ingreso - Salida]]="","",MARÍTIMOS[[#This Row],[Etapa Ingreso - Salida]]),"")</f>
        <v/>
      </c>
      <c r="AM704" s="2" t="str">
        <f>IFERROR(IF(MARÍTIMOS[[#This Row],[FCL]]="","",MARÍTIMOS[[#This Row],[FCL]]),"")</f>
        <v/>
      </c>
      <c r="AN7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4" s="4" t="str" cm="1">
        <f t="array" ref="AO7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4" s="5" t="str">
        <f>IFERROR(OLDBD[[#This Row],[Llegada a packing]]-OLDBD[[#This Row],[Inicio de Ruta]],"")</f>
        <v/>
      </c>
      <c r="AQ704" s="6" t="str">
        <f>IFERROR(OLDBD[[#This Row],[Inicio de Ruta]]-OLDBD[[#This Row],[Salida de almacén de retiro]],"")</f>
        <v/>
      </c>
      <c r="AR7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4" s="8" t="str" cm="1">
        <f t="array" ref="AS7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4" s="9" t="str">
        <f>IFERROR(OLDBD[[#This Row],[Ingreso Packing]]-OLDBD[[#This Row],[Registro en Packing]],"")</f>
        <v/>
      </c>
      <c r="AV704" s="9" t="str">
        <f>IFERROR(OLDBD[[#This Row],[Ingreso Packing]]-OLDBD[[#This Row],[Llegada a packing]],"")</f>
        <v/>
      </c>
      <c r="AW7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4" s="5" t="str">
        <f>IFERROR(OLDBD[[#This Row],[Llegada Almacén de Ingreso]]-OLDBD[[#This Row],[Salida Packing]],"")</f>
        <v/>
      </c>
      <c r="AY704" s="4" t="str" cm="1">
        <f t="array" ref="AY7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4" s="43" t="s">
        <v>173</v>
      </c>
      <c r="BB704" s="47" t="str">
        <f>IFERROR(IF(MARÍTIMOS[[#This Row],[Estatus]]="","",MARÍTIMOS[[#This Row],[Estatus]]),"")</f>
        <v/>
      </c>
      <c r="BC704" s="43"/>
      <c r="BD704" s="46" t="str">
        <f>IFERROR(OLDBD[[#This Row],[Salida de almacén de retiro]]-OLDBD[[#This Row],[Ingreso Almacén de retiro]],"")</f>
        <v/>
      </c>
      <c r="BE704" s="46" t="str">
        <f>IFERROR(OLDBD[[#This Row],[Fin de Carga]]-OLDBD[[#This Row],[Inicio de Carga]],"")</f>
        <v/>
      </c>
    </row>
    <row r="705" spans="1:57" customFormat="1" hidden="1">
      <c r="A705" s="1"/>
      <c r="B705" s="1" t="str">
        <f>IFERROR(IF(MARÍTIMOS[[#This Row],[PP]]="","",MARÍTIMOS[[#This Row],[PP]]),"")</f>
        <v/>
      </c>
      <c r="C705" s="1" t="str">
        <f>IFERROR(IF(MARÍTIMOS[[#This Row],[Sede]]="","",MARÍTIMOS[[#This Row],[Sede]]),"")</f>
        <v/>
      </c>
      <c r="D705" s="1" t="str">
        <f>IFERROR(IF(MARÍTIMOS[[#This Row],[Instruction]]="","",MARÍTIMOS[[#This Row],[Instruction]]),"")</f>
        <v/>
      </c>
      <c r="E705" s="1"/>
      <c r="F705" s="2" t="str">
        <f>IFERROR(IF(MARÍTIMOS[[#This Row],[Transportista]]="","",MARÍTIMOS[[#This Row],[Transportista]]),"")</f>
        <v/>
      </c>
      <c r="G705" s="2" t="str">
        <f>IFERROR(IF(MARÍTIMOS[[#This Row],[Tercero]]="","",MARÍTIMOS[[#This Row],[Tercero]]),"")</f>
        <v/>
      </c>
      <c r="H705" s="2" t="str">
        <f>IFERROR(IF(MARÍTIMOS[[#This Row],[Razón Social]]="","",MARÍTIMOS[[#This Row],[Razón Social]]),"")</f>
        <v/>
      </c>
      <c r="I705" s="2" t="str">
        <f>IFERROR(IF(MARÍTIMOS[[#This Row],[RUC]]="","",MARÍTIMOS[[#This Row],[RUC]]),"")</f>
        <v/>
      </c>
      <c r="J705" s="2" t="str">
        <f>IFERROR(IF(MARÍTIMOS[[#This Row],[Placa Tracto]]="","",MARÍTIMOS[[#This Row],[Placa Tracto]]),"")</f>
        <v/>
      </c>
      <c r="K705" s="2" t="str">
        <f>IFERROR(IF(MARÍTIMOS[[#This Row],[Placa Carreta]]="","",MARÍTIMOS[[#This Row],[Placa Carreta]]),"")</f>
        <v/>
      </c>
      <c r="L705" s="44" t="str">
        <f>IFERROR(IF(MARÍTIMOS[[#This Row],[Conductor]]="","",MARÍTIMOS[[#This Row],[Conductor]]),"")</f>
        <v/>
      </c>
      <c r="M705" s="2" t="str">
        <f>IFERROR(IF(MARÍTIMOS[[#This Row],[Licencia]]="","",MARÍTIMOS[[#This Row],[Licencia]]),"")</f>
        <v/>
      </c>
      <c r="N705" s="2" t="str">
        <f>IFERROR(IF(MARÍTIMOS[[#This Row],[Número de Contacto]]="","",MARÍTIMOS[[#This Row],[Número de Contacto]]),"")</f>
        <v/>
      </c>
      <c r="O705" s="10" t="str">
        <f>IFERROR(IF(MARÍTIMOS[[#This Row],[Booking|AWB|CRT]]="","",MARÍTIMOS[[#This Row],[Booking|AWB|CRT]]),"")</f>
        <v/>
      </c>
      <c r="P705" s="2" t="str">
        <f>IFERROR(IF(MARÍTIMOS[[#This Row],[Contenedor]]="","",MARÍTIMOS[[#This Row],[Contenedor]]),"")</f>
        <v/>
      </c>
      <c r="Q705" s="2" t="str">
        <f>IFERROR(IF(MARÍTIMOS[[#This Row],[Puerto de Retiro]]="","",MARÍTIMOS[[#This Row],[Puerto de Retiro]]),"")</f>
        <v/>
      </c>
      <c r="R705" s="2" t="str">
        <f>IFERROR(IF(MARÍTIMOS[[#This Row],[Almacén de Retiro]]="","",MARÍTIMOS[[#This Row],[Almacén de Retiro]]),"")</f>
        <v/>
      </c>
      <c r="S705" s="11" t="str">
        <f>IFERROR(IF(MARÍTIMOS[[#This Row],[Etapa Retiro - Cita]]="","",MARÍTIMOS[[#This Row],[Etapa Retiro - Cita]]),"")</f>
        <v/>
      </c>
      <c r="T705" s="11" t="str">
        <f>IFERROR(IF(MARÍTIMOS[[#This Row],[Etapa Retiro - Llegada]]="","",MARÍTIMOS[[#This Row],[Etapa Retiro - Llegada]]),"")</f>
        <v/>
      </c>
      <c r="U705" s="11" t="str">
        <f>IFERROR(IF(MARÍTIMOS[[#This Row],[Etapa Retiro - Ingreso]]="","",MARÍTIMOS[[#This Row],[Etapa Retiro - Ingreso]]),"")</f>
        <v/>
      </c>
      <c r="V705" s="11" t="str">
        <f>IFERROR(IF(MARÍTIMOS[[#This Row],[Etapa Retiro - Atención]]="","",MARÍTIMOS[[#This Row],[Etapa Retiro - Atención]]),"")</f>
        <v/>
      </c>
      <c r="W705" s="11" t="str">
        <f>IFERROR(IF(MARÍTIMOS[[#This Row],[Etapa Retiro - Atención]]="","",MARÍTIMOS[[#This Row],[Etapa Retiro - Atención]]),"")</f>
        <v/>
      </c>
      <c r="X705" s="11" t="str">
        <f>IFERROR(IF(MARÍTIMOS[[#This Row],[Etapa Retiro - Inicio de Ruta]]="","",MARÍTIMOS[[#This Row],[Etapa Retiro - Inicio de Ruta]]),"")</f>
        <v/>
      </c>
      <c r="Y705" s="11" t="str">
        <f>IFERROR(IF(MARÍTIMOS[[#This Row],[Hora de Posicionamiento]]="","",MARÍTIMOS[[#This Row],[Fecha de Carga]]+MARÍTIMOS[[#This Row],[Hora de Posicionamiento]]),"")</f>
        <v/>
      </c>
      <c r="Z705" s="11" t="str">
        <f>IFERROR(IF(MARÍTIMOS[[#This Row],[Etapa Despacho - Llegada]]="","",MARÍTIMOS[[#This Row],[Etapa Despacho - Llegada]]),"")</f>
        <v/>
      </c>
      <c r="AA705" s="11" t="str">
        <f>IFERROR(IF(MARÍTIMOS[[#This Row],[Etapa Despacho - Registro]]="","",MARÍTIMOS[[#This Row],[Etapa Despacho - Registro]]),"")</f>
        <v/>
      </c>
      <c r="AB705" s="11" t="str">
        <f>IFERROR(IF(MARÍTIMOS[[#This Row],[Inspección Externa]]="","",MARÍTIMOS[[#This Row],[Inspección Externa]]),"")</f>
        <v/>
      </c>
      <c r="AC705" s="11" t="str">
        <f>IFERROR(IF(MARÍTIMOS[[#This Row],[Etapa Despacho - Inicio de Carga]]="","",MARÍTIMOS[[#This Row],[Etapa Despacho - Inicio de Carga]]),"")</f>
        <v/>
      </c>
      <c r="AD705" s="11" t="str">
        <f>IFERROR(IF(MARÍTIMOS[[#This Row],[Etapa Despacho - Mitad de Carga]]="","",MARÍTIMOS[[#This Row],[Etapa Despacho - Mitad de Carga]]),"")</f>
        <v/>
      </c>
      <c r="AE705" s="11" t="str">
        <f>IFERROR(IF(MARÍTIMOS[[#This Row],[Etapa Despacho - Fin de Carga]]="","",MARÍTIMOS[[#This Row],[Etapa Despacho - Fin de Carga]]),"")</f>
        <v/>
      </c>
      <c r="AF705" s="2" t="str">
        <f>IFERROR(IF(MARÍTIMOS[[#This Row],[Puerto de Embarque]]="","",MARÍTIMOS[[#This Row],[Puerto de Embarque]]),"")</f>
        <v/>
      </c>
      <c r="AG705" s="2" t="str">
        <f>IFERROR(IF(MARÍTIMOS[[#This Row],[Almacén de Ingreso]]="","",MARÍTIMOS[[#This Row],[Almacén de Ingreso]]),"")</f>
        <v/>
      </c>
      <c r="AH705" s="11" t="str">
        <f>IFERROR(IF(MARÍTIMOS[[#This Row],[Etapa Ingreso - Cita]]="","",MARÍTIMOS[[#This Row],[Etapa Ingreso - Cita]]),"")</f>
        <v/>
      </c>
      <c r="AI705" s="11" t="str">
        <f>IFERROR(IF(MARÍTIMOS[[#This Row],[Etapa Ingreso - Llegada]]="","",MARÍTIMOS[[#This Row],[Etapa Ingreso - Llegada]]),"")</f>
        <v/>
      </c>
      <c r="AJ705" s="11" t="str">
        <f>IFERROR(IF(MARÍTIMOS[[#This Row],[Etapa Ingreso - Ingeso]]="","",MARÍTIMOS[[#This Row],[Etapa Ingreso - Ingeso]]),"")</f>
        <v/>
      </c>
      <c r="AK705" s="11" t="str">
        <f>IFERROR(IF(MARÍTIMOS[[#This Row],[Etapa Ingreso - Atención]]="","",MARÍTIMOS[[#This Row],[Etapa Ingreso - Atención]]),"")</f>
        <v/>
      </c>
      <c r="AL705" s="11" t="str">
        <f>IFERROR(IF(MARÍTIMOS[[#This Row],[Etapa Ingreso - Salida]]="","",MARÍTIMOS[[#This Row],[Etapa Ingreso - Salida]]),"")</f>
        <v/>
      </c>
      <c r="AM705" s="2" t="str">
        <f>IFERROR(IF(MARÍTIMOS[[#This Row],[FCL]]="","",MARÍTIMOS[[#This Row],[FCL]]),"")</f>
        <v/>
      </c>
      <c r="AN7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5" s="4" t="str" cm="1">
        <f t="array" ref="AO7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5" s="5" t="str">
        <f>IFERROR(OLDBD[[#This Row],[Llegada a packing]]-OLDBD[[#This Row],[Inicio de Ruta]],"")</f>
        <v/>
      </c>
      <c r="AQ705" s="6" t="str">
        <f>IFERROR(OLDBD[[#This Row],[Inicio de Ruta]]-OLDBD[[#This Row],[Salida de almacén de retiro]],"")</f>
        <v/>
      </c>
      <c r="AR7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5" s="8" t="str" cm="1">
        <f t="array" ref="AS7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5" s="9" t="str">
        <f>IFERROR(OLDBD[[#This Row],[Ingreso Packing]]-OLDBD[[#This Row],[Registro en Packing]],"")</f>
        <v/>
      </c>
      <c r="AV705" s="9" t="str">
        <f>IFERROR(OLDBD[[#This Row],[Ingreso Packing]]-OLDBD[[#This Row],[Llegada a packing]],"")</f>
        <v/>
      </c>
      <c r="AW7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5" s="5" t="str">
        <f>IFERROR(OLDBD[[#This Row],[Llegada Almacén de Ingreso]]-OLDBD[[#This Row],[Salida Packing]],"")</f>
        <v/>
      </c>
      <c r="AY705" s="4" t="str" cm="1">
        <f t="array" ref="AY7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5" s="43" t="s">
        <v>173</v>
      </c>
      <c r="BB705" s="47" t="str">
        <f>IFERROR(IF(MARÍTIMOS[[#This Row],[Estatus]]="","",MARÍTIMOS[[#This Row],[Estatus]]),"")</f>
        <v/>
      </c>
      <c r="BC705" s="43"/>
      <c r="BD705" s="46" t="str">
        <f>IFERROR(OLDBD[[#This Row],[Salida de almacén de retiro]]-OLDBD[[#This Row],[Ingreso Almacén de retiro]],"")</f>
        <v/>
      </c>
      <c r="BE705" s="46" t="str">
        <f>IFERROR(OLDBD[[#This Row],[Fin de Carga]]-OLDBD[[#This Row],[Inicio de Carga]],"")</f>
        <v/>
      </c>
    </row>
    <row r="706" spans="1:57" customFormat="1" hidden="1">
      <c r="A706" s="1"/>
      <c r="B706" s="1" t="str">
        <f>IFERROR(IF(MARÍTIMOS[[#This Row],[PP]]="","",MARÍTIMOS[[#This Row],[PP]]),"")</f>
        <v/>
      </c>
      <c r="C706" s="1" t="str">
        <f>IFERROR(IF(MARÍTIMOS[[#This Row],[Sede]]="","",MARÍTIMOS[[#This Row],[Sede]]),"")</f>
        <v/>
      </c>
      <c r="D706" s="1" t="str">
        <f>IFERROR(IF(MARÍTIMOS[[#This Row],[Instruction]]="","",MARÍTIMOS[[#This Row],[Instruction]]),"")</f>
        <v/>
      </c>
      <c r="E706" s="1"/>
      <c r="F706" s="2" t="str">
        <f>IFERROR(IF(MARÍTIMOS[[#This Row],[Transportista]]="","",MARÍTIMOS[[#This Row],[Transportista]]),"")</f>
        <v/>
      </c>
      <c r="G706" s="2" t="str">
        <f>IFERROR(IF(MARÍTIMOS[[#This Row],[Tercero]]="","",MARÍTIMOS[[#This Row],[Tercero]]),"")</f>
        <v/>
      </c>
      <c r="H706" s="2" t="str">
        <f>IFERROR(IF(MARÍTIMOS[[#This Row],[Razón Social]]="","",MARÍTIMOS[[#This Row],[Razón Social]]),"")</f>
        <v/>
      </c>
      <c r="I706" s="2" t="str">
        <f>IFERROR(IF(MARÍTIMOS[[#This Row],[RUC]]="","",MARÍTIMOS[[#This Row],[RUC]]),"")</f>
        <v/>
      </c>
      <c r="J706" s="2" t="str">
        <f>IFERROR(IF(MARÍTIMOS[[#This Row],[Placa Tracto]]="","",MARÍTIMOS[[#This Row],[Placa Tracto]]),"")</f>
        <v/>
      </c>
      <c r="K706" s="2" t="str">
        <f>IFERROR(IF(MARÍTIMOS[[#This Row],[Placa Carreta]]="","",MARÍTIMOS[[#This Row],[Placa Carreta]]),"")</f>
        <v/>
      </c>
      <c r="L706" s="44" t="str">
        <f>IFERROR(IF(MARÍTIMOS[[#This Row],[Conductor]]="","",MARÍTIMOS[[#This Row],[Conductor]]),"")</f>
        <v/>
      </c>
      <c r="M706" s="2" t="str">
        <f>IFERROR(IF(MARÍTIMOS[[#This Row],[Licencia]]="","",MARÍTIMOS[[#This Row],[Licencia]]),"")</f>
        <v/>
      </c>
      <c r="N706" s="2" t="str">
        <f>IFERROR(IF(MARÍTIMOS[[#This Row],[Número de Contacto]]="","",MARÍTIMOS[[#This Row],[Número de Contacto]]),"")</f>
        <v/>
      </c>
      <c r="O706" s="10" t="str">
        <f>IFERROR(IF(MARÍTIMOS[[#This Row],[Booking|AWB|CRT]]="","",MARÍTIMOS[[#This Row],[Booking|AWB|CRT]]),"")</f>
        <v/>
      </c>
      <c r="P706" s="2" t="str">
        <f>IFERROR(IF(MARÍTIMOS[[#This Row],[Contenedor]]="","",MARÍTIMOS[[#This Row],[Contenedor]]),"")</f>
        <v/>
      </c>
      <c r="Q706" s="2" t="str">
        <f>IFERROR(IF(MARÍTIMOS[[#This Row],[Puerto de Retiro]]="","",MARÍTIMOS[[#This Row],[Puerto de Retiro]]),"")</f>
        <v/>
      </c>
      <c r="R706" s="2" t="str">
        <f>IFERROR(IF(MARÍTIMOS[[#This Row],[Almacén de Retiro]]="","",MARÍTIMOS[[#This Row],[Almacén de Retiro]]),"")</f>
        <v/>
      </c>
      <c r="S706" s="11" t="str">
        <f>IFERROR(IF(MARÍTIMOS[[#This Row],[Etapa Retiro - Cita]]="","",MARÍTIMOS[[#This Row],[Etapa Retiro - Cita]]),"")</f>
        <v/>
      </c>
      <c r="T706" s="11" t="str">
        <f>IFERROR(IF(MARÍTIMOS[[#This Row],[Etapa Retiro - Llegada]]="","",MARÍTIMOS[[#This Row],[Etapa Retiro - Llegada]]),"")</f>
        <v/>
      </c>
      <c r="U706" s="11" t="str">
        <f>IFERROR(IF(MARÍTIMOS[[#This Row],[Etapa Retiro - Ingreso]]="","",MARÍTIMOS[[#This Row],[Etapa Retiro - Ingreso]]),"")</f>
        <v/>
      </c>
      <c r="V706" s="11" t="str">
        <f>IFERROR(IF(MARÍTIMOS[[#This Row],[Etapa Retiro - Atención]]="","",MARÍTIMOS[[#This Row],[Etapa Retiro - Atención]]),"")</f>
        <v/>
      </c>
      <c r="W706" s="11" t="str">
        <f>IFERROR(IF(MARÍTIMOS[[#This Row],[Etapa Retiro - Atención]]="","",MARÍTIMOS[[#This Row],[Etapa Retiro - Atención]]),"")</f>
        <v/>
      </c>
      <c r="X706" s="11" t="str">
        <f>IFERROR(IF(MARÍTIMOS[[#This Row],[Etapa Retiro - Inicio de Ruta]]="","",MARÍTIMOS[[#This Row],[Etapa Retiro - Inicio de Ruta]]),"")</f>
        <v/>
      </c>
      <c r="Y706" s="11" t="str">
        <f>IFERROR(IF(MARÍTIMOS[[#This Row],[Hora de Posicionamiento]]="","",MARÍTIMOS[[#This Row],[Fecha de Carga]]+MARÍTIMOS[[#This Row],[Hora de Posicionamiento]]),"")</f>
        <v/>
      </c>
      <c r="Z706" s="11" t="str">
        <f>IFERROR(IF(MARÍTIMOS[[#This Row],[Etapa Despacho - Llegada]]="","",MARÍTIMOS[[#This Row],[Etapa Despacho - Llegada]]),"")</f>
        <v/>
      </c>
      <c r="AA706" s="11" t="str">
        <f>IFERROR(IF(MARÍTIMOS[[#This Row],[Etapa Despacho - Registro]]="","",MARÍTIMOS[[#This Row],[Etapa Despacho - Registro]]),"")</f>
        <v/>
      </c>
      <c r="AB706" s="11" t="str">
        <f>IFERROR(IF(MARÍTIMOS[[#This Row],[Inspección Externa]]="","",MARÍTIMOS[[#This Row],[Inspección Externa]]),"")</f>
        <v/>
      </c>
      <c r="AC706" s="11" t="str">
        <f>IFERROR(IF(MARÍTIMOS[[#This Row],[Etapa Despacho - Inicio de Carga]]="","",MARÍTIMOS[[#This Row],[Etapa Despacho - Inicio de Carga]]),"")</f>
        <v/>
      </c>
      <c r="AD706" s="11" t="str">
        <f>IFERROR(IF(MARÍTIMOS[[#This Row],[Etapa Despacho - Mitad de Carga]]="","",MARÍTIMOS[[#This Row],[Etapa Despacho - Mitad de Carga]]),"")</f>
        <v/>
      </c>
      <c r="AE706" s="11" t="str">
        <f>IFERROR(IF(MARÍTIMOS[[#This Row],[Etapa Despacho - Fin de Carga]]="","",MARÍTIMOS[[#This Row],[Etapa Despacho - Fin de Carga]]),"")</f>
        <v/>
      </c>
      <c r="AF706" s="2" t="str">
        <f>IFERROR(IF(MARÍTIMOS[[#This Row],[Puerto de Embarque]]="","",MARÍTIMOS[[#This Row],[Puerto de Embarque]]),"")</f>
        <v/>
      </c>
      <c r="AG706" s="2" t="str">
        <f>IFERROR(IF(MARÍTIMOS[[#This Row],[Almacén de Ingreso]]="","",MARÍTIMOS[[#This Row],[Almacén de Ingreso]]),"")</f>
        <v/>
      </c>
      <c r="AH706" s="11" t="str">
        <f>IFERROR(IF(MARÍTIMOS[[#This Row],[Etapa Ingreso - Cita]]="","",MARÍTIMOS[[#This Row],[Etapa Ingreso - Cita]]),"")</f>
        <v/>
      </c>
      <c r="AI706" s="11" t="str">
        <f>IFERROR(IF(MARÍTIMOS[[#This Row],[Etapa Ingreso - Llegada]]="","",MARÍTIMOS[[#This Row],[Etapa Ingreso - Llegada]]),"")</f>
        <v/>
      </c>
      <c r="AJ706" s="11" t="str">
        <f>IFERROR(IF(MARÍTIMOS[[#This Row],[Etapa Ingreso - Ingeso]]="","",MARÍTIMOS[[#This Row],[Etapa Ingreso - Ingeso]]),"")</f>
        <v/>
      </c>
      <c r="AK706" s="11" t="str">
        <f>IFERROR(IF(MARÍTIMOS[[#This Row],[Etapa Ingreso - Atención]]="","",MARÍTIMOS[[#This Row],[Etapa Ingreso - Atención]]),"")</f>
        <v/>
      </c>
      <c r="AL706" s="11" t="str">
        <f>IFERROR(IF(MARÍTIMOS[[#This Row],[Etapa Ingreso - Salida]]="","",MARÍTIMOS[[#This Row],[Etapa Ingreso - Salida]]),"")</f>
        <v/>
      </c>
      <c r="AM706" s="2" t="str">
        <f>IFERROR(IF(MARÍTIMOS[[#This Row],[FCL]]="","",MARÍTIMOS[[#This Row],[FCL]]),"")</f>
        <v/>
      </c>
      <c r="AN7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6" s="4" t="str" cm="1">
        <f t="array" ref="AO7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6" s="5" t="str">
        <f>IFERROR(OLDBD[[#This Row],[Llegada a packing]]-OLDBD[[#This Row],[Inicio de Ruta]],"")</f>
        <v/>
      </c>
      <c r="AQ706" s="6" t="str">
        <f>IFERROR(OLDBD[[#This Row],[Inicio de Ruta]]-OLDBD[[#This Row],[Salida de almacén de retiro]],"")</f>
        <v/>
      </c>
      <c r="AR7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6" s="8" t="str" cm="1">
        <f t="array" ref="AS7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6" s="9" t="str">
        <f>IFERROR(OLDBD[[#This Row],[Ingreso Packing]]-OLDBD[[#This Row],[Registro en Packing]],"")</f>
        <v/>
      </c>
      <c r="AV706" s="9" t="str">
        <f>IFERROR(OLDBD[[#This Row],[Ingreso Packing]]-OLDBD[[#This Row],[Llegada a packing]],"")</f>
        <v/>
      </c>
      <c r="AW7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6" s="5" t="str">
        <f>IFERROR(OLDBD[[#This Row],[Llegada Almacén de Ingreso]]-OLDBD[[#This Row],[Salida Packing]],"")</f>
        <v/>
      </c>
      <c r="AY706" s="4" t="str" cm="1">
        <f t="array" ref="AY7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6" s="43" t="s">
        <v>173</v>
      </c>
      <c r="BB706" s="47" t="str">
        <f>IFERROR(IF(MARÍTIMOS[[#This Row],[Estatus]]="","",MARÍTIMOS[[#This Row],[Estatus]]),"")</f>
        <v/>
      </c>
      <c r="BC706" s="43"/>
      <c r="BD706" s="46" t="str">
        <f>IFERROR(OLDBD[[#This Row],[Salida de almacén de retiro]]-OLDBD[[#This Row],[Ingreso Almacén de retiro]],"")</f>
        <v/>
      </c>
      <c r="BE706" s="46" t="str">
        <f>IFERROR(OLDBD[[#This Row],[Fin de Carga]]-OLDBD[[#This Row],[Inicio de Carga]],"")</f>
        <v/>
      </c>
    </row>
    <row r="707" spans="1:57" customFormat="1" hidden="1">
      <c r="A707" s="1"/>
      <c r="B707" s="1" t="str">
        <f>IFERROR(IF(MARÍTIMOS[[#This Row],[PP]]="","",MARÍTIMOS[[#This Row],[PP]]),"")</f>
        <v/>
      </c>
      <c r="C707" s="1" t="str">
        <f>IFERROR(IF(MARÍTIMOS[[#This Row],[Sede]]="","",MARÍTIMOS[[#This Row],[Sede]]),"")</f>
        <v/>
      </c>
      <c r="D707" s="1" t="str">
        <f>IFERROR(IF(MARÍTIMOS[[#This Row],[Instruction]]="","",MARÍTIMOS[[#This Row],[Instruction]]),"")</f>
        <v/>
      </c>
      <c r="E707" s="1"/>
      <c r="F707" s="2" t="str">
        <f>IFERROR(IF(MARÍTIMOS[[#This Row],[Transportista]]="","",MARÍTIMOS[[#This Row],[Transportista]]),"")</f>
        <v/>
      </c>
      <c r="G707" s="2" t="str">
        <f>IFERROR(IF(MARÍTIMOS[[#This Row],[Tercero]]="","",MARÍTIMOS[[#This Row],[Tercero]]),"")</f>
        <v/>
      </c>
      <c r="H707" s="2" t="str">
        <f>IFERROR(IF(MARÍTIMOS[[#This Row],[Razón Social]]="","",MARÍTIMOS[[#This Row],[Razón Social]]),"")</f>
        <v/>
      </c>
      <c r="I707" s="2" t="str">
        <f>IFERROR(IF(MARÍTIMOS[[#This Row],[RUC]]="","",MARÍTIMOS[[#This Row],[RUC]]),"")</f>
        <v/>
      </c>
      <c r="J707" s="2" t="str">
        <f>IFERROR(IF(MARÍTIMOS[[#This Row],[Placa Tracto]]="","",MARÍTIMOS[[#This Row],[Placa Tracto]]),"")</f>
        <v/>
      </c>
      <c r="K707" s="2" t="str">
        <f>IFERROR(IF(MARÍTIMOS[[#This Row],[Placa Carreta]]="","",MARÍTIMOS[[#This Row],[Placa Carreta]]),"")</f>
        <v/>
      </c>
      <c r="L707" s="44" t="str">
        <f>IFERROR(IF(MARÍTIMOS[[#This Row],[Conductor]]="","",MARÍTIMOS[[#This Row],[Conductor]]),"")</f>
        <v/>
      </c>
      <c r="M707" s="2" t="str">
        <f>IFERROR(IF(MARÍTIMOS[[#This Row],[Licencia]]="","",MARÍTIMOS[[#This Row],[Licencia]]),"")</f>
        <v/>
      </c>
      <c r="N707" s="2" t="str">
        <f>IFERROR(IF(MARÍTIMOS[[#This Row],[Número de Contacto]]="","",MARÍTIMOS[[#This Row],[Número de Contacto]]),"")</f>
        <v/>
      </c>
      <c r="O707" s="10" t="str">
        <f>IFERROR(IF(MARÍTIMOS[[#This Row],[Booking|AWB|CRT]]="","",MARÍTIMOS[[#This Row],[Booking|AWB|CRT]]),"")</f>
        <v/>
      </c>
      <c r="P707" s="2" t="str">
        <f>IFERROR(IF(MARÍTIMOS[[#This Row],[Contenedor]]="","",MARÍTIMOS[[#This Row],[Contenedor]]),"")</f>
        <v/>
      </c>
      <c r="Q707" s="2" t="str">
        <f>IFERROR(IF(MARÍTIMOS[[#This Row],[Puerto de Retiro]]="","",MARÍTIMOS[[#This Row],[Puerto de Retiro]]),"")</f>
        <v/>
      </c>
      <c r="R707" s="2" t="str">
        <f>IFERROR(IF(MARÍTIMOS[[#This Row],[Almacén de Retiro]]="","",MARÍTIMOS[[#This Row],[Almacén de Retiro]]),"")</f>
        <v/>
      </c>
      <c r="S707" s="11" t="str">
        <f>IFERROR(IF(MARÍTIMOS[[#This Row],[Etapa Retiro - Cita]]="","",MARÍTIMOS[[#This Row],[Etapa Retiro - Cita]]),"")</f>
        <v/>
      </c>
      <c r="T707" s="11" t="str">
        <f>IFERROR(IF(MARÍTIMOS[[#This Row],[Etapa Retiro - Llegada]]="","",MARÍTIMOS[[#This Row],[Etapa Retiro - Llegada]]),"")</f>
        <v/>
      </c>
      <c r="U707" s="11" t="str">
        <f>IFERROR(IF(MARÍTIMOS[[#This Row],[Etapa Retiro - Ingreso]]="","",MARÍTIMOS[[#This Row],[Etapa Retiro - Ingreso]]),"")</f>
        <v/>
      </c>
      <c r="V707" s="11" t="str">
        <f>IFERROR(IF(MARÍTIMOS[[#This Row],[Etapa Retiro - Atención]]="","",MARÍTIMOS[[#This Row],[Etapa Retiro - Atención]]),"")</f>
        <v/>
      </c>
      <c r="W707" s="11" t="str">
        <f>IFERROR(IF(MARÍTIMOS[[#This Row],[Etapa Retiro - Atención]]="","",MARÍTIMOS[[#This Row],[Etapa Retiro - Atención]]),"")</f>
        <v/>
      </c>
      <c r="X707" s="11" t="str">
        <f>IFERROR(IF(MARÍTIMOS[[#This Row],[Etapa Retiro - Inicio de Ruta]]="","",MARÍTIMOS[[#This Row],[Etapa Retiro - Inicio de Ruta]]),"")</f>
        <v/>
      </c>
      <c r="Y707" s="11" t="str">
        <f>IFERROR(IF(MARÍTIMOS[[#This Row],[Hora de Posicionamiento]]="","",MARÍTIMOS[[#This Row],[Fecha de Carga]]+MARÍTIMOS[[#This Row],[Hora de Posicionamiento]]),"")</f>
        <v/>
      </c>
      <c r="Z707" s="11" t="str">
        <f>IFERROR(IF(MARÍTIMOS[[#This Row],[Etapa Despacho - Llegada]]="","",MARÍTIMOS[[#This Row],[Etapa Despacho - Llegada]]),"")</f>
        <v/>
      </c>
      <c r="AA707" s="11" t="str">
        <f>IFERROR(IF(MARÍTIMOS[[#This Row],[Etapa Despacho - Registro]]="","",MARÍTIMOS[[#This Row],[Etapa Despacho - Registro]]),"")</f>
        <v/>
      </c>
      <c r="AB707" s="11" t="str">
        <f>IFERROR(IF(MARÍTIMOS[[#This Row],[Inspección Externa]]="","",MARÍTIMOS[[#This Row],[Inspección Externa]]),"")</f>
        <v/>
      </c>
      <c r="AC707" s="11" t="str">
        <f>IFERROR(IF(MARÍTIMOS[[#This Row],[Etapa Despacho - Inicio de Carga]]="","",MARÍTIMOS[[#This Row],[Etapa Despacho - Inicio de Carga]]),"")</f>
        <v/>
      </c>
      <c r="AD707" s="11" t="str">
        <f>IFERROR(IF(MARÍTIMOS[[#This Row],[Etapa Despacho - Mitad de Carga]]="","",MARÍTIMOS[[#This Row],[Etapa Despacho - Mitad de Carga]]),"")</f>
        <v/>
      </c>
      <c r="AE707" s="11" t="str">
        <f>IFERROR(IF(MARÍTIMOS[[#This Row],[Etapa Despacho - Fin de Carga]]="","",MARÍTIMOS[[#This Row],[Etapa Despacho - Fin de Carga]]),"")</f>
        <v/>
      </c>
      <c r="AF707" s="2" t="str">
        <f>IFERROR(IF(MARÍTIMOS[[#This Row],[Puerto de Embarque]]="","",MARÍTIMOS[[#This Row],[Puerto de Embarque]]),"")</f>
        <v/>
      </c>
      <c r="AG707" s="2" t="str">
        <f>IFERROR(IF(MARÍTIMOS[[#This Row],[Almacén de Ingreso]]="","",MARÍTIMOS[[#This Row],[Almacén de Ingreso]]),"")</f>
        <v/>
      </c>
      <c r="AH707" s="11" t="str">
        <f>IFERROR(IF(MARÍTIMOS[[#This Row],[Etapa Ingreso - Cita]]="","",MARÍTIMOS[[#This Row],[Etapa Ingreso - Cita]]),"")</f>
        <v/>
      </c>
      <c r="AI707" s="11" t="str">
        <f>IFERROR(IF(MARÍTIMOS[[#This Row],[Etapa Ingreso - Llegada]]="","",MARÍTIMOS[[#This Row],[Etapa Ingreso - Llegada]]),"")</f>
        <v/>
      </c>
      <c r="AJ707" s="11" t="str">
        <f>IFERROR(IF(MARÍTIMOS[[#This Row],[Etapa Ingreso - Ingeso]]="","",MARÍTIMOS[[#This Row],[Etapa Ingreso - Ingeso]]),"")</f>
        <v/>
      </c>
      <c r="AK707" s="11" t="str">
        <f>IFERROR(IF(MARÍTIMOS[[#This Row],[Etapa Ingreso - Atención]]="","",MARÍTIMOS[[#This Row],[Etapa Ingreso - Atención]]),"")</f>
        <v/>
      </c>
      <c r="AL707" s="11" t="str">
        <f>IFERROR(IF(MARÍTIMOS[[#This Row],[Etapa Ingreso - Salida]]="","",MARÍTIMOS[[#This Row],[Etapa Ingreso - Salida]]),"")</f>
        <v/>
      </c>
      <c r="AM707" s="2" t="str">
        <f>IFERROR(IF(MARÍTIMOS[[#This Row],[FCL]]="","",MARÍTIMOS[[#This Row],[FCL]]),"")</f>
        <v/>
      </c>
      <c r="AN7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7" s="4" t="str" cm="1">
        <f t="array" ref="AO7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7" s="5" t="str">
        <f>IFERROR(OLDBD[[#This Row],[Llegada a packing]]-OLDBD[[#This Row],[Inicio de Ruta]],"")</f>
        <v/>
      </c>
      <c r="AQ707" s="6" t="str">
        <f>IFERROR(OLDBD[[#This Row],[Inicio de Ruta]]-OLDBD[[#This Row],[Salida de almacén de retiro]],"")</f>
        <v/>
      </c>
      <c r="AR7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7" s="8" t="str" cm="1">
        <f t="array" ref="AS7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7" s="9" t="str">
        <f>IFERROR(OLDBD[[#This Row],[Ingreso Packing]]-OLDBD[[#This Row],[Registro en Packing]],"")</f>
        <v/>
      </c>
      <c r="AV707" s="9" t="str">
        <f>IFERROR(OLDBD[[#This Row],[Ingreso Packing]]-OLDBD[[#This Row],[Llegada a packing]],"")</f>
        <v/>
      </c>
      <c r="AW7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7" s="5" t="str">
        <f>IFERROR(OLDBD[[#This Row],[Llegada Almacén de Ingreso]]-OLDBD[[#This Row],[Salida Packing]],"")</f>
        <v/>
      </c>
      <c r="AY707" s="4" t="str" cm="1">
        <f t="array" ref="AY7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7" s="43" t="s">
        <v>173</v>
      </c>
      <c r="BB707" s="47" t="str">
        <f>IFERROR(IF(MARÍTIMOS[[#This Row],[Estatus]]="","",MARÍTIMOS[[#This Row],[Estatus]]),"")</f>
        <v/>
      </c>
      <c r="BC707" s="43"/>
      <c r="BD707" s="46" t="str">
        <f>IFERROR(OLDBD[[#This Row],[Salida de almacén de retiro]]-OLDBD[[#This Row],[Ingreso Almacén de retiro]],"")</f>
        <v/>
      </c>
      <c r="BE707" s="46" t="str">
        <f>IFERROR(OLDBD[[#This Row],[Fin de Carga]]-OLDBD[[#This Row],[Inicio de Carga]],"")</f>
        <v/>
      </c>
    </row>
    <row r="708" spans="1:57" customFormat="1" hidden="1">
      <c r="A708" s="1"/>
      <c r="B708" s="1" t="str">
        <f>IFERROR(IF(MARÍTIMOS[[#This Row],[PP]]="","",MARÍTIMOS[[#This Row],[PP]]),"")</f>
        <v/>
      </c>
      <c r="C708" s="1" t="str">
        <f>IFERROR(IF(MARÍTIMOS[[#This Row],[Sede]]="","",MARÍTIMOS[[#This Row],[Sede]]),"")</f>
        <v/>
      </c>
      <c r="D708" s="1" t="str">
        <f>IFERROR(IF(MARÍTIMOS[[#This Row],[Instruction]]="","",MARÍTIMOS[[#This Row],[Instruction]]),"")</f>
        <v/>
      </c>
      <c r="E708" s="1"/>
      <c r="F708" s="2" t="str">
        <f>IFERROR(IF(MARÍTIMOS[[#This Row],[Transportista]]="","",MARÍTIMOS[[#This Row],[Transportista]]),"")</f>
        <v/>
      </c>
      <c r="G708" s="2" t="str">
        <f>IFERROR(IF(MARÍTIMOS[[#This Row],[Tercero]]="","",MARÍTIMOS[[#This Row],[Tercero]]),"")</f>
        <v/>
      </c>
      <c r="H708" s="2" t="str">
        <f>IFERROR(IF(MARÍTIMOS[[#This Row],[Razón Social]]="","",MARÍTIMOS[[#This Row],[Razón Social]]),"")</f>
        <v/>
      </c>
      <c r="I708" s="2" t="str">
        <f>IFERROR(IF(MARÍTIMOS[[#This Row],[RUC]]="","",MARÍTIMOS[[#This Row],[RUC]]),"")</f>
        <v/>
      </c>
      <c r="J708" s="2" t="str">
        <f>IFERROR(IF(MARÍTIMOS[[#This Row],[Placa Tracto]]="","",MARÍTIMOS[[#This Row],[Placa Tracto]]),"")</f>
        <v/>
      </c>
      <c r="K708" s="2" t="str">
        <f>IFERROR(IF(MARÍTIMOS[[#This Row],[Placa Carreta]]="","",MARÍTIMOS[[#This Row],[Placa Carreta]]),"")</f>
        <v/>
      </c>
      <c r="L708" s="44" t="str">
        <f>IFERROR(IF(MARÍTIMOS[[#This Row],[Conductor]]="","",MARÍTIMOS[[#This Row],[Conductor]]),"")</f>
        <v/>
      </c>
      <c r="M708" s="2" t="str">
        <f>IFERROR(IF(MARÍTIMOS[[#This Row],[Licencia]]="","",MARÍTIMOS[[#This Row],[Licencia]]),"")</f>
        <v/>
      </c>
      <c r="N708" s="2" t="str">
        <f>IFERROR(IF(MARÍTIMOS[[#This Row],[Número de Contacto]]="","",MARÍTIMOS[[#This Row],[Número de Contacto]]),"")</f>
        <v/>
      </c>
      <c r="O708" s="10" t="str">
        <f>IFERROR(IF(MARÍTIMOS[[#This Row],[Booking|AWB|CRT]]="","",MARÍTIMOS[[#This Row],[Booking|AWB|CRT]]),"")</f>
        <v/>
      </c>
      <c r="P708" s="2" t="str">
        <f>IFERROR(IF(MARÍTIMOS[[#This Row],[Contenedor]]="","",MARÍTIMOS[[#This Row],[Contenedor]]),"")</f>
        <v/>
      </c>
      <c r="Q708" s="2" t="str">
        <f>IFERROR(IF(MARÍTIMOS[[#This Row],[Puerto de Retiro]]="","",MARÍTIMOS[[#This Row],[Puerto de Retiro]]),"")</f>
        <v/>
      </c>
      <c r="R708" s="2" t="str">
        <f>IFERROR(IF(MARÍTIMOS[[#This Row],[Almacén de Retiro]]="","",MARÍTIMOS[[#This Row],[Almacén de Retiro]]),"")</f>
        <v/>
      </c>
      <c r="S708" s="11" t="str">
        <f>IFERROR(IF(MARÍTIMOS[[#This Row],[Etapa Retiro - Cita]]="","",MARÍTIMOS[[#This Row],[Etapa Retiro - Cita]]),"")</f>
        <v/>
      </c>
      <c r="T708" s="11" t="str">
        <f>IFERROR(IF(MARÍTIMOS[[#This Row],[Etapa Retiro - Llegada]]="","",MARÍTIMOS[[#This Row],[Etapa Retiro - Llegada]]),"")</f>
        <v/>
      </c>
      <c r="U708" s="11" t="str">
        <f>IFERROR(IF(MARÍTIMOS[[#This Row],[Etapa Retiro - Ingreso]]="","",MARÍTIMOS[[#This Row],[Etapa Retiro - Ingreso]]),"")</f>
        <v/>
      </c>
      <c r="V708" s="11" t="str">
        <f>IFERROR(IF(MARÍTIMOS[[#This Row],[Etapa Retiro - Atención]]="","",MARÍTIMOS[[#This Row],[Etapa Retiro - Atención]]),"")</f>
        <v/>
      </c>
      <c r="W708" s="11" t="str">
        <f>IFERROR(IF(MARÍTIMOS[[#This Row],[Etapa Retiro - Atención]]="","",MARÍTIMOS[[#This Row],[Etapa Retiro - Atención]]),"")</f>
        <v/>
      </c>
      <c r="X708" s="11" t="str">
        <f>IFERROR(IF(MARÍTIMOS[[#This Row],[Etapa Retiro - Inicio de Ruta]]="","",MARÍTIMOS[[#This Row],[Etapa Retiro - Inicio de Ruta]]),"")</f>
        <v/>
      </c>
      <c r="Y708" s="11" t="str">
        <f>IFERROR(IF(MARÍTIMOS[[#This Row],[Hora de Posicionamiento]]="","",MARÍTIMOS[[#This Row],[Fecha de Carga]]+MARÍTIMOS[[#This Row],[Hora de Posicionamiento]]),"")</f>
        <v/>
      </c>
      <c r="Z708" s="11" t="str">
        <f>IFERROR(IF(MARÍTIMOS[[#This Row],[Etapa Despacho - Llegada]]="","",MARÍTIMOS[[#This Row],[Etapa Despacho - Llegada]]),"")</f>
        <v/>
      </c>
      <c r="AA708" s="11" t="str">
        <f>IFERROR(IF(MARÍTIMOS[[#This Row],[Etapa Despacho - Registro]]="","",MARÍTIMOS[[#This Row],[Etapa Despacho - Registro]]),"")</f>
        <v/>
      </c>
      <c r="AB708" s="11" t="str">
        <f>IFERROR(IF(MARÍTIMOS[[#This Row],[Inspección Externa]]="","",MARÍTIMOS[[#This Row],[Inspección Externa]]),"")</f>
        <v/>
      </c>
      <c r="AC708" s="11" t="str">
        <f>IFERROR(IF(MARÍTIMOS[[#This Row],[Etapa Despacho - Inicio de Carga]]="","",MARÍTIMOS[[#This Row],[Etapa Despacho - Inicio de Carga]]),"")</f>
        <v/>
      </c>
      <c r="AD708" s="11" t="str">
        <f>IFERROR(IF(MARÍTIMOS[[#This Row],[Etapa Despacho - Mitad de Carga]]="","",MARÍTIMOS[[#This Row],[Etapa Despacho - Mitad de Carga]]),"")</f>
        <v/>
      </c>
      <c r="AE708" s="11" t="str">
        <f>IFERROR(IF(MARÍTIMOS[[#This Row],[Etapa Despacho - Fin de Carga]]="","",MARÍTIMOS[[#This Row],[Etapa Despacho - Fin de Carga]]),"")</f>
        <v/>
      </c>
      <c r="AF708" s="2" t="str">
        <f>IFERROR(IF(MARÍTIMOS[[#This Row],[Puerto de Embarque]]="","",MARÍTIMOS[[#This Row],[Puerto de Embarque]]),"")</f>
        <v/>
      </c>
      <c r="AG708" s="2" t="str">
        <f>IFERROR(IF(MARÍTIMOS[[#This Row],[Almacén de Ingreso]]="","",MARÍTIMOS[[#This Row],[Almacén de Ingreso]]),"")</f>
        <v/>
      </c>
      <c r="AH708" s="11" t="str">
        <f>IFERROR(IF(MARÍTIMOS[[#This Row],[Etapa Ingreso - Cita]]="","",MARÍTIMOS[[#This Row],[Etapa Ingreso - Cita]]),"")</f>
        <v/>
      </c>
      <c r="AI708" s="11" t="str">
        <f>IFERROR(IF(MARÍTIMOS[[#This Row],[Etapa Ingreso - Llegada]]="","",MARÍTIMOS[[#This Row],[Etapa Ingreso - Llegada]]),"")</f>
        <v/>
      </c>
      <c r="AJ708" s="11" t="str">
        <f>IFERROR(IF(MARÍTIMOS[[#This Row],[Etapa Ingreso - Ingeso]]="","",MARÍTIMOS[[#This Row],[Etapa Ingreso - Ingeso]]),"")</f>
        <v/>
      </c>
      <c r="AK708" s="11" t="str">
        <f>IFERROR(IF(MARÍTIMOS[[#This Row],[Etapa Ingreso - Atención]]="","",MARÍTIMOS[[#This Row],[Etapa Ingreso - Atención]]),"")</f>
        <v/>
      </c>
      <c r="AL708" s="11" t="str">
        <f>IFERROR(IF(MARÍTIMOS[[#This Row],[Etapa Ingreso - Salida]]="","",MARÍTIMOS[[#This Row],[Etapa Ingreso - Salida]]),"")</f>
        <v/>
      </c>
      <c r="AM708" s="2" t="str">
        <f>IFERROR(IF(MARÍTIMOS[[#This Row],[FCL]]="","",MARÍTIMOS[[#This Row],[FCL]]),"")</f>
        <v/>
      </c>
      <c r="AN7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8" s="4" t="str" cm="1">
        <f t="array" ref="AO7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8" s="5" t="str">
        <f>IFERROR(OLDBD[[#This Row],[Llegada a packing]]-OLDBD[[#This Row],[Inicio de Ruta]],"")</f>
        <v/>
      </c>
      <c r="AQ708" s="6" t="str">
        <f>IFERROR(OLDBD[[#This Row],[Inicio de Ruta]]-OLDBD[[#This Row],[Salida de almacén de retiro]],"")</f>
        <v/>
      </c>
      <c r="AR7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8" s="8" t="str" cm="1">
        <f t="array" ref="AS7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8" s="9" t="str">
        <f>IFERROR(OLDBD[[#This Row],[Ingreso Packing]]-OLDBD[[#This Row],[Registro en Packing]],"")</f>
        <v/>
      </c>
      <c r="AV708" s="9" t="str">
        <f>IFERROR(OLDBD[[#This Row],[Ingreso Packing]]-OLDBD[[#This Row],[Llegada a packing]],"")</f>
        <v/>
      </c>
      <c r="AW7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8" s="5" t="str">
        <f>IFERROR(OLDBD[[#This Row],[Llegada Almacén de Ingreso]]-OLDBD[[#This Row],[Salida Packing]],"")</f>
        <v/>
      </c>
      <c r="AY708" s="4" t="str" cm="1">
        <f t="array" ref="AY7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8" s="43" t="s">
        <v>173</v>
      </c>
      <c r="BB708" s="47" t="str">
        <f>IFERROR(IF(MARÍTIMOS[[#This Row],[Estatus]]="","",MARÍTIMOS[[#This Row],[Estatus]]),"")</f>
        <v/>
      </c>
      <c r="BC708" s="43"/>
      <c r="BD708" s="46" t="str">
        <f>IFERROR(OLDBD[[#This Row],[Salida de almacén de retiro]]-OLDBD[[#This Row],[Ingreso Almacén de retiro]],"")</f>
        <v/>
      </c>
      <c r="BE708" s="46" t="str">
        <f>IFERROR(OLDBD[[#This Row],[Fin de Carga]]-OLDBD[[#This Row],[Inicio de Carga]],"")</f>
        <v/>
      </c>
    </row>
    <row r="709" spans="1:57" customFormat="1" hidden="1">
      <c r="A709" s="1"/>
      <c r="B709" s="1" t="str">
        <f>IFERROR(IF(MARÍTIMOS[[#This Row],[PP]]="","",MARÍTIMOS[[#This Row],[PP]]),"")</f>
        <v/>
      </c>
      <c r="C709" s="1" t="str">
        <f>IFERROR(IF(MARÍTIMOS[[#This Row],[Sede]]="","",MARÍTIMOS[[#This Row],[Sede]]),"")</f>
        <v/>
      </c>
      <c r="D709" s="1" t="str">
        <f>IFERROR(IF(MARÍTIMOS[[#This Row],[Instruction]]="","",MARÍTIMOS[[#This Row],[Instruction]]),"")</f>
        <v/>
      </c>
      <c r="E709" s="1"/>
      <c r="F709" s="2" t="str">
        <f>IFERROR(IF(MARÍTIMOS[[#This Row],[Transportista]]="","",MARÍTIMOS[[#This Row],[Transportista]]),"")</f>
        <v/>
      </c>
      <c r="G709" s="2" t="str">
        <f>IFERROR(IF(MARÍTIMOS[[#This Row],[Tercero]]="","",MARÍTIMOS[[#This Row],[Tercero]]),"")</f>
        <v/>
      </c>
      <c r="H709" s="2" t="str">
        <f>IFERROR(IF(MARÍTIMOS[[#This Row],[Razón Social]]="","",MARÍTIMOS[[#This Row],[Razón Social]]),"")</f>
        <v/>
      </c>
      <c r="I709" s="2" t="str">
        <f>IFERROR(IF(MARÍTIMOS[[#This Row],[RUC]]="","",MARÍTIMOS[[#This Row],[RUC]]),"")</f>
        <v/>
      </c>
      <c r="J709" s="2" t="str">
        <f>IFERROR(IF(MARÍTIMOS[[#This Row],[Placa Tracto]]="","",MARÍTIMOS[[#This Row],[Placa Tracto]]),"")</f>
        <v/>
      </c>
      <c r="K709" s="2" t="str">
        <f>IFERROR(IF(MARÍTIMOS[[#This Row],[Placa Carreta]]="","",MARÍTIMOS[[#This Row],[Placa Carreta]]),"")</f>
        <v/>
      </c>
      <c r="L709" s="44" t="str">
        <f>IFERROR(IF(MARÍTIMOS[[#This Row],[Conductor]]="","",MARÍTIMOS[[#This Row],[Conductor]]),"")</f>
        <v/>
      </c>
      <c r="M709" s="2" t="str">
        <f>IFERROR(IF(MARÍTIMOS[[#This Row],[Licencia]]="","",MARÍTIMOS[[#This Row],[Licencia]]),"")</f>
        <v/>
      </c>
      <c r="N709" s="2" t="str">
        <f>IFERROR(IF(MARÍTIMOS[[#This Row],[Número de Contacto]]="","",MARÍTIMOS[[#This Row],[Número de Contacto]]),"")</f>
        <v/>
      </c>
      <c r="O709" s="10" t="str">
        <f>IFERROR(IF(MARÍTIMOS[[#This Row],[Booking|AWB|CRT]]="","",MARÍTIMOS[[#This Row],[Booking|AWB|CRT]]),"")</f>
        <v/>
      </c>
      <c r="P709" s="2" t="str">
        <f>IFERROR(IF(MARÍTIMOS[[#This Row],[Contenedor]]="","",MARÍTIMOS[[#This Row],[Contenedor]]),"")</f>
        <v/>
      </c>
      <c r="Q709" s="2" t="str">
        <f>IFERROR(IF(MARÍTIMOS[[#This Row],[Puerto de Retiro]]="","",MARÍTIMOS[[#This Row],[Puerto de Retiro]]),"")</f>
        <v/>
      </c>
      <c r="R709" s="2" t="str">
        <f>IFERROR(IF(MARÍTIMOS[[#This Row],[Almacén de Retiro]]="","",MARÍTIMOS[[#This Row],[Almacén de Retiro]]),"")</f>
        <v/>
      </c>
      <c r="S709" s="11" t="str">
        <f>IFERROR(IF(MARÍTIMOS[[#This Row],[Etapa Retiro - Cita]]="","",MARÍTIMOS[[#This Row],[Etapa Retiro - Cita]]),"")</f>
        <v/>
      </c>
      <c r="T709" s="11" t="str">
        <f>IFERROR(IF(MARÍTIMOS[[#This Row],[Etapa Retiro - Llegada]]="","",MARÍTIMOS[[#This Row],[Etapa Retiro - Llegada]]),"")</f>
        <v/>
      </c>
      <c r="U709" s="11" t="str">
        <f>IFERROR(IF(MARÍTIMOS[[#This Row],[Etapa Retiro - Ingreso]]="","",MARÍTIMOS[[#This Row],[Etapa Retiro - Ingreso]]),"")</f>
        <v/>
      </c>
      <c r="V709" s="11" t="str">
        <f>IFERROR(IF(MARÍTIMOS[[#This Row],[Etapa Retiro - Atención]]="","",MARÍTIMOS[[#This Row],[Etapa Retiro - Atención]]),"")</f>
        <v/>
      </c>
      <c r="W709" s="11" t="str">
        <f>IFERROR(IF(MARÍTIMOS[[#This Row],[Etapa Retiro - Atención]]="","",MARÍTIMOS[[#This Row],[Etapa Retiro - Atención]]),"")</f>
        <v/>
      </c>
      <c r="X709" s="11" t="str">
        <f>IFERROR(IF(MARÍTIMOS[[#This Row],[Etapa Retiro - Inicio de Ruta]]="","",MARÍTIMOS[[#This Row],[Etapa Retiro - Inicio de Ruta]]),"")</f>
        <v/>
      </c>
      <c r="Y709" s="11" t="str">
        <f>IFERROR(IF(MARÍTIMOS[[#This Row],[Hora de Posicionamiento]]="","",MARÍTIMOS[[#This Row],[Fecha de Carga]]+MARÍTIMOS[[#This Row],[Hora de Posicionamiento]]),"")</f>
        <v/>
      </c>
      <c r="Z709" s="11" t="str">
        <f>IFERROR(IF(MARÍTIMOS[[#This Row],[Etapa Despacho - Llegada]]="","",MARÍTIMOS[[#This Row],[Etapa Despacho - Llegada]]),"")</f>
        <v/>
      </c>
      <c r="AA709" s="11" t="str">
        <f>IFERROR(IF(MARÍTIMOS[[#This Row],[Etapa Despacho - Registro]]="","",MARÍTIMOS[[#This Row],[Etapa Despacho - Registro]]),"")</f>
        <v/>
      </c>
      <c r="AB709" s="11" t="str">
        <f>IFERROR(IF(MARÍTIMOS[[#This Row],[Inspección Externa]]="","",MARÍTIMOS[[#This Row],[Inspección Externa]]),"")</f>
        <v/>
      </c>
      <c r="AC709" s="11" t="str">
        <f>IFERROR(IF(MARÍTIMOS[[#This Row],[Etapa Despacho - Inicio de Carga]]="","",MARÍTIMOS[[#This Row],[Etapa Despacho - Inicio de Carga]]),"")</f>
        <v/>
      </c>
      <c r="AD709" s="11" t="str">
        <f>IFERROR(IF(MARÍTIMOS[[#This Row],[Etapa Despacho - Mitad de Carga]]="","",MARÍTIMOS[[#This Row],[Etapa Despacho - Mitad de Carga]]),"")</f>
        <v/>
      </c>
      <c r="AE709" s="11" t="str">
        <f>IFERROR(IF(MARÍTIMOS[[#This Row],[Etapa Despacho - Fin de Carga]]="","",MARÍTIMOS[[#This Row],[Etapa Despacho - Fin de Carga]]),"")</f>
        <v/>
      </c>
      <c r="AF709" s="2" t="str">
        <f>IFERROR(IF(MARÍTIMOS[[#This Row],[Puerto de Embarque]]="","",MARÍTIMOS[[#This Row],[Puerto de Embarque]]),"")</f>
        <v/>
      </c>
      <c r="AG709" s="2" t="str">
        <f>IFERROR(IF(MARÍTIMOS[[#This Row],[Almacén de Ingreso]]="","",MARÍTIMOS[[#This Row],[Almacén de Ingreso]]),"")</f>
        <v/>
      </c>
      <c r="AH709" s="11" t="str">
        <f>IFERROR(IF(MARÍTIMOS[[#This Row],[Etapa Ingreso - Cita]]="","",MARÍTIMOS[[#This Row],[Etapa Ingreso - Cita]]),"")</f>
        <v/>
      </c>
      <c r="AI709" s="11" t="str">
        <f>IFERROR(IF(MARÍTIMOS[[#This Row],[Etapa Ingreso - Llegada]]="","",MARÍTIMOS[[#This Row],[Etapa Ingreso - Llegada]]),"")</f>
        <v/>
      </c>
      <c r="AJ709" s="11" t="str">
        <f>IFERROR(IF(MARÍTIMOS[[#This Row],[Etapa Ingreso - Ingeso]]="","",MARÍTIMOS[[#This Row],[Etapa Ingreso - Ingeso]]),"")</f>
        <v/>
      </c>
      <c r="AK709" s="11" t="str">
        <f>IFERROR(IF(MARÍTIMOS[[#This Row],[Etapa Ingreso - Atención]]="","",MARÍTIMOS[[#This Row],[Etapa Ingreso - Atención]]),"")</f>
        <v/>
      </c>
      <c r="AL709" s="11" t="str">
        <f>IFERROR(IF(MARÍTIMOS[[#This Row],[Etapa Ingreso - Salida]]="","",MARÍTIMOS[[#This Row],[Etapa Ingreso - Salida]]),"")</f>
        <v/>
      </c>
      <c r="AM709" s="2" t="str">
        <f>IFERROR(IF(MARÍTIMOS[[#This Row],[FCL]]="","",MARÍTIMOS[[#This Row],[FCL]]),"")</f>
        <v/>
      </c>
      <c r="AN7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09" s="4" t="str" cm="1">
        <f t="array" ref="AO7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09" s="5" t="str">
        <f>IFERROR(OLDBD[[#This Row],[Llegada a packing]]-OLDBD[[#This Row],[Inicio de Ruta]],"")</f>
        <v/>
      </c>
      <c r="AQ709" s="6" t="str">
        <f>IFERROR(OLDBD[[#This Row],[Inicio de Ruta]]-OLDBD[[#This Row],[Salida de almacén de retiro]],"")</f>
        <v/>
      </c>
      <c r="AR7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09" s="8" t="str" cm="1">
        <f t="array" ref="AS7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09" s="9" t="str">
        <f>IFERROR(OLDBD[[#This Row],[Ingreso Packing]]-OLDBD[[#This Row],[Registro en Packing]],"")</f>
        <v/>
      </c>
      <c r="AV709" s="9" t="str">
        <f>IFERROR(OLDBD[[#This Row],[Ingreso Packing]]-OLDBD[[#This Row],[Llegada a packing]],"")</f>
        <v/>
      </c>
      <c r="AW7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09" s="5" t="str">
        <f>IFERROR(OLDBD[[#This Row],[Llegada Almacén de Ingreso]]-OLDBD[[#This Row],[Salida Packing]],"")</f>
        <v/>
      </c>
      <c r="AY709" s="4" t="str" cm="1">
        <f t="array" ref="AY7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09" s="43" t="s">
        <v>173</v>
      </c>
      <c r="BB709" s="47" t="str">
        <f>IFERROR(IF(MARÍTIMOS[[#This Row],[Estatus]]="","",MARÍTIMOS[[#This Row],[Estatus]]),"")</f>
        <v/>
      </c>
      <c r="BC709" s="43"/>
      <c r="BD709" s="46" t="str">
        <f>IFERROR(OLDBD[[#This Row],[Salida de almacén de retiro]]-OLDBD[[#This Row],[Ingreso Almacén de retiro]],"")</f>
        <v/>
      </c>
      <c r="BE709" s="46" t="str">
        <f>IFERROR(OLDBD[[#This Row],[Fin de Carga]]-OLDBD[[#This Row],[Inicio de Carga]],"")</f>
        <v/>
      </c>
    </row>
    <row r="710" spans="1:57" customFormat="1" hidden="1">
      <c r="A710" s="1"/>
      <c r="B710" s="1" t="str">
        <f>IFERROR(IF(MARÍTIMOS[[#This Row],[PP]]="","",MARÍTIMOS[[#This Row],[PP]]),"")</f>
        <v/>
      </c>
      <c r="C710" s="1" t="str">
        <f>IFERROR(IF(MARÍTIMOS[[#This Row],[Sede]]="","",MARÍTIMOS[[#This Row],[Sede]]),"")</f>
        <v/>
      </c>
      <c r="D710" s="1" t="str">
        <f>IFERROR(IF(MARÍTIMOS[[#This Row],[Instruction]]="","",MARÍTIMOS[[#This Row],[Instruction]]),"")</f>
        <v/>
      </c>
      <c r="E710" s="1"/>
      <c r="F710" s="2" t="str">
        <f>IFERROR(IF(MARÍTIMOS[[#This Row],[Transportista]]="","",MARÍTIMOS[[#This Row],[Transportista]]),"")</f>
        <v/>
      </c>
      <c r="G710" s="2" t="str">
        <f>IFERROR(IF(MARÍTIMOS[[#This Row],[Tercero]]="","",MARÍTIMOS[[#This Row],[Tercero]]),"")</f>
        <v/>
      </c>
      <c r="H710" s="2" t="str">
        <f>IFERROR(IF(MARÍTIMOS[[#This Row],[Razón Social]]="","",MARÍTIMOS[[#This Row],[Razón Social]]),"")</f>
        <v/>
      </c>
      <c r="I710" s="2" t="str">
        <f>IFERROR(IF(MARÍTIMOS[[#This Row],[RUC]]="","",MARÍTIMOS[[#This Row],[RUC]]),"")</f>
        <v/>
      </c>
      <c r="J710" s="2" t="str">
        <f>IFERROR(IF(MARÍTIMOS[[#This Row],[Placa Tracto]]="","",MARÍTIMOS[[#This Row],[Placa Tracto]]),"")</f>
        <v/>
      </c>
      <c r="K710" s="2" t="str">
        <f>IFERROR(IF(MARÍTIMOS[[#This Row],[Placa Carreta]]="","",MARÍTIMOS[[#This Row],[Placa Carreta]]),"")</f>
        <v/>
      </c>
      <c r="L710" s="44" t="str">
        <f>IFERROR(IF(MARÍTIMOS[[#This Row],[Conductor]]="","",MARÍTIMOS[[#This Row],[Conductor]]),"")</f>
        <v/>
      </c>
      <c r="M710" s="2" t="str">
        <f>IFERROR(IF(MARÍTIMOS[[#This Row],[Licencia]]="","",MARÍTIMOS[[#This Row],[Licencia]]),"")</f>
        <v/>
      </c>
      <c r="N710" s="2" t="str">
        <f>IFERROR(IF(MARÍTIMOS[[#This Row],[Número de Contacto]]="","",MARÍTIMOS[[#This Row],[Número de Contacto]]),"")</f>
        <v/>
      </c>
      <c r="O710" s="10" t="str">
        <f>IFERROR(IF(MARÍTIMOS[[#This Row],[Booking|AWB|CRT]]="","",MARÍTIMOS[[#This Row],[Booking|AWB|CRT]]),"")</f>
        <v/>
      </c>
      <c r="P710" s="2" t="str">
        <f>IFERROR(IF(MARÍTIMOS[[#This Row],[Contenedor]]="","",MARÍTIMOS[[#This Row],[Contenedor]]),"")</f>
        <v/>
      </c>
      <c r="Q710" s="2" t="str">
        <f>IFERROR(IF(MARÍTIMOS[[#This Row],[Puerto de Retiro]]="","",MARÍTIMOS[[#This Row],[Puerto de Retiro]]),"")</f>
        <v/>
      </c>
      <c r="R710" s="2" t="str">
        <f>IFERROR(IF(MARÍTIMOS[[#This Row],[Almacén de Retiro]]="","",MARÍTIMOS[[#This Row],[Almacén de Retiro]]),"")</f>
        <v/>
      </c>
      <c r="S710" s="11" t="str">
        <f>IFERROR(IF(MARÍTIMOS[[#This Row],[Etapa Retiro - Cita]]="","",MARÍTIMOS[[#This Row],[Etapa Retiro - Cita]]),"")</f>
        <v/>
      </c>
      <c r="T710" s="11" t="str">
        <f>IFERROR(IF(MARÍTIMOS[[#This Row],[Etapa Retiro - Llegada]]="","",MARÍTIMOS[[#This Row],[Etapa Retiro - Llegada]]),"")</f>
        <v/>
      </c>
      <c r="U710" s="11" t="str">
        <f>IFERROR(IF(MARÍTIMOS[[#This Row],[Etapa Retiro - Ingreso]]="","",MARÍTIMOS[[#This Row],[Etapa Retiro - Ingreso]]),"")</f>
        <v/>
      </c>
      <c r="V710" s="11" t="str">
        <f>IFERROR(IF(MARÍTIMOS[[#This Row],[Etapa Retiro - Atención]]="","",MARÍTIMOS[[#This Row],[Etapa Retiro - Atención]]),"")</f>
        <v/>
      </c>
      <c r="W710" s="11" t="str">
        <f>IFERROR(IF(MARÍTIMOS[[#This Row],[Etapa Retiro - Atención]]="","",MARÍTIMOS[[#This Row],[Etapa Retiro - Atención]]),"")</f>
        <v/>
      </c>
      <c r="X710" s="11" t="str">
        <f>IFERROR(IF(MARÍTIMOS[[#This Row],[Etapa Retiro - Inicio de Ruta]]="","",MARÍTIMOS[[#This Row],[Etapa Retiro - Inicio de Ruta]]),"")</f>
        <v/>
      </c>
      <c r="Y710" s="11" t="str">
        <f>IFERROR(IF(MARÍTIMOS[[#This Row],[Hora de Posicionamiento]]="","",MARÍTIMOS[[#This Row],[Fecha de Carga]]+MARÍTIMOS[[#This Row],[Hora de Posicionamiento]]),"")</f>
        <v/>
      </c>
      <c r="Z710" s="11" t="str">
        <f>IFERROR(IF(MARÍTIMOS[[#This Row],[Etapa Despacho - Llegada]]="","",MARÍTIMOS[[#This Row],[Etapa Despacho - Llegada]]),"")</f>
        <v/>
      </c>
      <c r="AA710" s="11" t="str">
        <f>IFERROR(IF(MARÍTIMOS[[#This Row],[Etapa Despacho - Registro]]="","",MARÍTIMOS[[#This Row],[Etapa Despacho - Registro]]),"")</f>
        <v/>
      </c>
      <c r="AB710" s="11" t="str">
        <f>IFERROR(IF(MARÍTIMOS[[#This Row],[Inspección Externa]]="","",MARÍTIMOS[[#This Row],[Inspección Externa]]),"")</f>
        <v/>
      </c>
      <c r="AC710" s="11" t="str">
        <f>IFERROR(IF(MARÍTIMOS[[#This Row],[Etapa Despacho - Inicio de Carga]]="","",MARÍTIMOS[[#This Row],[Etapa Despacho - Inicio de Carga]]),"")</f>
        <v/>
      </c>
      <c r="AD710" s="11" t="str">
        <f>IFERROR(IF(MARÍTIMOS[[#This Row],[Etapa Despacho - Mitad de Carga]]="","",MARÍTIMOS[[#This Row],[Etapa Despacho - Mitad de Carga]]),"")</f>
        <v/>
      </c>
      <c r="AE710" s="11" t="str">
        <f>IFERROR(IF(MARÍTIMOS[[#This Row],[Etapa Despacho - Fin de Carga]]="","",MARÍTIMOS[[#This Row],[Etapa Despacho - Fin de Carga]]),"")</f>
        <v/>
      </c>
      <c r="AF710" s="2" t="str">
        <f>IFERROR(IF(MARÍTIMOS[[#This Row],[Puerto de Embarque]]="","",MARÍTIMOS[[#This Row],[Puerto de Embarque]]),"")</f>
        <v/>
      </c>
      <c r="AG710" s="2" t="str">
        <f>IFERROR(IF(MARÍTIMOS[[#This Row],[Almacén de Ingreso]]="","",MARÍTIMOS[[#This Row],[Almacén de Ingreso]]),"")</f>
        <v/>
      </c>
      <c r="AH710" s="11" t="str">
        <f>IFERROR(IF(MARÍTIMOS[[#This Row],[Etapa Ingreso - Cita]]="","",MARÍTIMOS[[#This Row],[Etapa Ingreso - Cita]]),"")</f>
        <v/>
      </c>
      <c r="AI710" s="11" t="str">
        <f>IFERROR(IF(MARÍTIMOS[[#This Row],[Etapa Ingreso - Llegada]]="","",MARÍTIMOS[[#This Row],[Etapa Ingreso - Llegada]]),"")</f>
        <v/>
      </c>
      <c r="AJ710" s="11" t="str">
        <f>IFERROR(IF(MARÍTIMOS[[#This Row],[Etapa Ingreso - Ingeso]]="","",MARÍTIMOS[[#This Row],[Etapa Ingreso - Ingeso]]),"")</f>
        <v/>
      </c>
      <c r="AK710" s="11" t="str">
        <f>IFERROR(IF(MARÍTIMOS[[#This Row],[Etapa Ingreso - Atención]]="","",MARÍTIMOS[[#This Row],[Etapa Ingreso - Atención]]),"")</f>
        <v/>
      </c>
      <c r="AL710" s="11" t="str">
        <f>IFERROR(IF(MARÍTIMOS[[#This Row],[Etapa Ingreso - Salida]]="","",MARÍTIMOS[[#This Row],[Etapa Ingreso - Salida]]),"")</f>
        <v/>
      </c>
      <c r="AM710" s="2" t="str">
        <f>IFERROR(IF(MARÍTIMOS[[#This Row],[FCL]]="","",MARÍTIMOS[[#This Row],[FCL]]),"")</f>
        <v/>
      </c>
      <c r="AN7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0" s="4" t="str" cm="1">
        <f t="array" ref="AO7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0" s="5" t="str">
        <f>IFERROR(OLDBD[[#This Row],[Llegada a packing]]-OLDBD[[#This Row],[Inicio de Ruta]],"")</f>
        <v/>
      </c>
      <c r="AQ710" s="6" t="str">
        <f>IFERROR(OLDBD[[#This Row],[Inicio de Ruta]]-OLDBD[[#This Row],[Salida de almacén de retiro]],"")</f>
        <v/>
      </c>
      <c r="AR7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0" s="8" t="str" cm="1">
        <f t="array" ref="AS7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0" s="9" t="str">
        <f>IFERROR(OLDBD[[#This Row],[Ingreso Packing]]-OLDBD[[#This Row],[Registro en Packing]],"")</f>
        <v/>
      </c>
      <c r="AV710" s="9" t="str">
        <f>IFERROR(OLDBD[[#This Row],[Ingreso Packing]]-OLDBD[[#This Row],[Llegada a packing]],"")</f>
        <v/>
      </c>
      <c r="AW7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0" s="5" t="str">
        <f>IFERROR(OLDBD[[#This Row],[Llegada Almacén de Ingreso]]-OLDBD[[#This Row],[Salida Packing]],"")</f>
        <v/>
      </c>
      <c r="AY710" s="4" t="str" cm="1">
        <f t="array" ref="AY7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0" s="43" t="s">
        <v>173</v>
      </c>
      <c r="BB710" s="47" t="str">
        <f>IFERROR(IF(MARÍTIMOS[[#This Row],[Estatus]]="","",MARÍTIMOS[[#This Row],[Estatus]]),"")</f>
        <v/>
      </c>
      <c r="BC710" s="43"/>
      <c r="BD710" s="46" t="str">
        <f>IFERROR(OLDBD[[#This Row],[Salida de almacén de retiro]]-OLDBD[[#This Row],[Ingreso Almacén de retiro]],"")</f>
        <v/>
      </c>
      <c r="BE710" s="46" t="str">
        <f>IFERROR(OLDBD[[#This Row],[Fin de Carga]]-OLDBD[[#This Row],[Inicio de Carga]],"")</f>
        <v/>
      </c>
    </row>
    <row r="711" spans="1:57" customFormat="1" hidden="1">
      <c r="A711" s="1"/>
      <c r="B711" s="1" t="str">
        <f>IFERROR(IF(MARÍTIMOS[[#This Row],[PP]]="","",MARÍTIMOS[[#This Row],[PP]]),"")</f>
        <v/>
      </c>
      <c r="C711" s="1" t="str">
        <f>IFERROR(IF(MARÍTIMOS[[#This Row],[Sede]]="","",MARÍTIMOS[[#This Row],[Sede]]),"")</f>
        <v/>
      </c>
      <c r="D711" s="1" t="str">
        <f>IFERROR(IF(MARÍTIMOS[[#This Row],[Instruction]]="","",MARÍTIMOS[[#This Row],[Instruction]]),"")</f>
        <v/>
      </c>
      <c r="E711" s="1"/>
      <c r="F711" s="2" t="str">
        <f>IFERROR(IF(MARÍTIMOS[[#This Row],[Transportista]]="","",MARÍTIMOS[[#This Row],[Transportista]]),"")</f>
        <v/>
      </c>
      <c r="G711" s="2" t="str">
        <f>IFERROR(IF(MARÍTIMOS[[#This Row],[Tercero]]="","",MARÍTIMOS[[#This Row],[Tercero]]),"")</f>
        <v/>
      </c>
      <c r="H711" s="2" t="str">
        <f>IFERROR(IF(MARÍTIMOS[[#This Row],[Razón Social]]="","",MARÍTIMOS[[#This Row],[Razón Social]]),"")</f>
        <v/>
      </c>
      <c r="I711" s="2" t="str">
        <f>IFERROR(IF(MARÍTIMOS[[#This Row],[RUC]]="","",MARÍTIMOS[[#This Row],[RUC]]),"")</f>
        <v/>
      </c>
      <c r="J711" s="2" t="str">
        <f>IFERROR(IF(MARÍTIMOS[[#This Row],[Placa Tracto]]="","",MARÍTIMOS[[#This Row],[Placa Tracto]]),"")</f>
        <v/>
      </c>
      <c r="K711" s="2" t="str">
        <f>IFERROR(IF(MARÍTIMOS[[#This Row],[Placa Carreta]]="","",MARÍTIMOS[[#This Row],[Placa Carreta]]),"")</f>
        <v/>
      </c>
      <c r="L711" s="44" t="str">
        <f>IFERROR(IF(MARÍTIMOS[[#This Row],[Conductor]]="","",MARÍTIMOS[[#This Row],[Conductor]]),"")</f>
        <v/>
      </c>
      <c r="M711" s="2" t="str">
        <f>IFERROR(IF(MARÍTIMOS[[#This Row],[Licencia]]="","",MARÍTIMOS[[#This Row],[Licencia]]),"")</f>
        <v/>
      </c>
      <c r="N711" s="2" t="str">
        <f>IFERROR(IF(MARÍTIMOS[[#This Row],[Número de Contacto]]="","",MARÍTIMOS[[#This Row],[Número de Contacto]]),"")</f>
        <v/>
      </c>
      <c r="O711" s="10" t="str">
        <f>IFERROR(IF(MARÍTIMOS[[#This Row],[Booking|AWB|CRT]]="","",MARÍTIMOS[[#This Row],[Booking|AWB|CRT]]),"")</f>
        <v/>
      </c>
      <c r="P711" s="2" t="str">
        <f>IFERROR(IF(MARÍTIMOS[[#This Row],[Contenedor]]="","",MARÍTIMOS[[#This Row],[Contenedor]]),"")</f>
        <v/>
      </c>
      <c r="Q711" s="2" t="str">
        <f>IFERROR(IF(MARÍTIMOS[[#This Row],[Puerto de Retiro]]="","",MARÍTIMOS[[#This Row],[Puerto de Retiro]]),"")</f>
        <v/>
      </c>
      <c r="R711" s="2" t="str">
        <f>IFERROR(IF(MARÍTIMOS[[#This Row],[Almacén de Retiro]]="","",MARÍTIMOS[[#This Row],[Almacén de Retiro]]),"")</f>
        <v/>
      </c>
      <c r="S711" s="11" t="str">
        <f>IFERROR(IF(MARÍTIMOS[[#This Row],[Etapa Retiro - Cita]]="","",MARÍTIMOS[[#This Row],[Etapa Retiro - Cita]]),"")</f>
        <v/>
      </c>
      <c r="T711" s="11" t="str">
        <f>IFERROR(IF(MARÍTIMOS[[#This Row],[Etapa Retiro - Llegada]]="","",MARÍTIMOS[[#This Row],[Etapa Retiro - Llegada]]),"")</f>
        <v/>
      </c>
      <c r="U711" s="11" t="str">
        <f>IFERROR(IF(MARÍTIMOS[[#This Row],[Etapa Retiro - Ingreso]]="","",MARÍTIMOS[[#This Row],[Etapa Retiro - Ingreso]]),"")</f>
        <v/>
      </c>
      <c r="V711" s="11" t="str">
        <f>IFERROR(IF(MARÍTIMOS[[#This Row],[Etapa Retiro - Atención]]="","",MARÍTIMOS[[#This Row],[Etapa Retiro - Atención]]),"")</f>
        <v/>
      </c>
      <c r="W711" s="11" t="str">
        <f>IFERROR(IF(MARÍTIMOS[[#This Row],[Etapa Retiro - Atención]]="","",MARÍTIMOS[[#This Row],[Etapa Retiro - Atención]]),"")</f>
        <v/>
      </c>
      <c r="X711" s="11" t="str">
        <f>IFERROR(IF(MARÍTIMOS[[#This Row],[Etapa Retiro - Inicio de Ruta]]="","",MARÍTIMOS[[#This Row],[Etapa Retiro - Inicio de Ruta]]),"")</f>
        <v/>
      </c>
      <c r="Y711" s="11" t="str">
        <f>IFERROR(IF(MARÍTIMOS[[#This Row],[Hora de Posicionamiento]]="","",MARÍTIMOS[[#This Row],[Fecha de Carga]]+MARÍTIMOS[[#This Row],[Hora de Posicionamiento]]),"")</f>
        <v/>
      </c>
      <c r="Z711" s="11" t="str">
        <f>IFERROR(IF(MARÍTIMOS[[#This Row],[Etapa Despacho - Llegada]]="","",MARÍTIMOS[[#This Row],[Etapa Despacho - Llegada]]),"")</f>
        <v/>
      </c>
      <c r="AA711" s="11" t="str">
        <f>IFERROR(IF(MARÍTIMOS[[#This Row],[Etapa Despacho - Registro]]="","",MARÍTIMOS[[#This Row],[Etapa Despacho - Registro]]),"")</f>
        <v/>
      </c>
      <c r="AB711" s="11" t="str">
        <f>IFERROR(IF(MARÍTIMOS[[#This Row],[Inspección Externa]]="","",MARÍTIMOS[[#This Row],[Inspección Externa]]),"")</f>
        <v/>
      </c>
      <c r="AC711" s="11" t="str">
        <f>IFERROR(IF(MARÍTIMOS[[#This Row],[Etapa Despacho - Inicio de Carga]]="","",MARÍTIMOS[[#This Row],[Etapa Despacho - Inicio de Carga]]),"")</f>
        <v/>
      </c>
      <c r="AD711" s="11" t="str">
        <f>IFERROR(IF(MARÍTIMOS[[#This Row],[Etapa Despacho - Mitad de Carga]]="","",MARÍTIMOS[[#This Row],[Etapa Despacho - Mitad de Carga]]),"")</f>
        <v/>
      </c>
      <c r="AE711" s="11" t="str">
        <f>IFERROR(IF(MARÍTIMOS[[#This Row],[Etapa Despacho - Fin de Carga]]="","",MARÍTIMOS[[#This Row],[Etapa Despacho - Fin de Carga]]),"")</f>
        <v/>
      </c>
      <c r="AF711" s="2" t="str">
        <f>IFERROR(IF(MARÍTIMOS[[#This Row],[Puerto de Embarque]]="","",MARÍTIMOS[[#This Row],[Puerto de Embarque]]),"")</f>
        <v/>
      </c>
      <c r="AG711" s="2" t="str">
        <f>IFERROR(IF(MARÍTIMOS[[#This Row],[Almacén de Ingreso]]="","",MARÍTIMOS[[#This Row],[Almacén de Ingreso]]),"")</f>
        <v/>
      </c>
      <c r="AH711" s="11" t="str">
        <f>IFERROR(IF(MARÍTIMOS[[#This Row],[Etapa Ingreso - Cita]]="","",MARÍTIMOS[[#This Row],[Etapa Ingreso - Cita]]),"")</f>
        <v/>
      </c>
      <c r="AI711" s="11" t="str">
        <f>IFERROR(IF(MARÍTIMOS[[#This Row],[Etapa Ingreso - Llegada]]="","",MARÍTIMOS[[#This Row],[Etapa Ingreso - Llegada]]),"")</f>
        <v/>
      </c>
      <c r="AJ711" s="11" t="str">
        <f>IFERROR(IF(MARÍTIMOS[[#This Row],[Etapa Ingreso - Ingeso]]="","",MARÍTIMOS[[#This Row],[Etapa Ingreso - Ingeso]]),"")</f>
        <v/>
      </c>
      <c r="AK711" s="11" t="str">
        <f>IFERROR(IF(MARÍTIMOS[[#This Row],[Etapa Ingreso - Atención]]="","",MARÍTIMOS[[#This Row],[Etapa Ingreso - Atención]]),"")</f>
        <v/>
      </c>
      <c r="AL711" s="11" t="str">
        <f>IFERROR(IF(MARÍTIMOS[[#This Row],[Etapa Ingreso - Salida]]="","",MARÍTIMOS[[#This Row],[Etapa Ingreso - Salida]]),"")</f>
        <v/>
      </c>
      <c r="AM711" s="2" t="str">
        <f>IFERROR(IF(MARÍTIMOS[[#This Row],[FCL]]="","",MARÍTIMOS[[#This Row],[FCL]]),"")</f>
        <v/>
      </c>
      <c r="AN7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1" s="4" t="str" cm="1">
        <f t="array" ref="AO7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1" s="5" t="str">
        <f>IFERROR(OLDBD[[#This Row],[Llegada a packing]]-OLDBD[[#This Row],[Inicio de Ruta]],"")</f>
        <v/>
      </c>
      <c r="AQ711" s="6" t="str">
        <f>IFERROR(OLDBD[[#This Row],[Inicio de Ruta]]-OLDBD[[#This Row],[Salida de almacén de retiro]],"")</f>
        <v/>
      </c>
      <c r="AR7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1" s="8" t="str" cm="1">
        <f t="array" ref="AS7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1" s="9" t="str">
        <f>IFERROR(OLDBD[[#This Row],[Ingreso Packing]]-OLDBD[[#This Row],[Registro en Packing]],"")</f>
        <v/>
      </c>
      <c r="AV711" s="9" t="str">
        <f>IFERROR(OLDBD[[#This Row],[Ingreso Packing]]-OLDBD[[#This Row],[Llegada a packing]],"")</f>
        <v/>
      </c>
      <c r="AW7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1" s="5" t="str">
        <f>IFERROR(OLDBD[[#This Row],[Llegada Almacén de Ingreso]]-OLDBD[[#This Row],[Salida Packing]],"")</f>
        <v/>
      </c>
      <c r="AY711" s="4" t="str" cm="1">
        <f t="array" ref="AY7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1" s="43" t="s">
        <v>173</v>
      </c>
      <c r="BB711" s="47" t="str">
        <f>IFERROR(IF(MARÍTIMOS[[#This Row],[Estatus]]="","",MARÍTIMOS[[#This Row],[Estatus]]),"")</f>
        <v/>
      </c>
      <c r="BC711" s="43"/>
      <c r="BD711" s="46" t="str">
        <f>IFERROR(OLDBD[[#This Row],[Salida de almacén de retiro]]-OLDBD[[#This Row],[Ingreso Almacén de retiro]],"")</f>
        <v/>
      </c>
      <c r="BE711" s="46" t="str">
        <f>IFERROR(OLDBD[[#This Row],[Fin de Carga]]-OLDBD[[#This Row],[Inicio de Carga]],"")</f>
        <v/>
      </c>
    </row>
    <row r="712" spans="1:57" customFormat="1" hidden="1">
      <c r="A712" s="1"/>
      <c r="B712" s="1" t="str">
        <f>IFERROR(IF(MARÍTIMOS[[#This Row],[PP]]="","",MARÍTIMOS[[#This Row],[PP]]),"")</f>
        <v/>
      </c>
      <c r="C712" s="1" t="str">
        <f>IFERROR(IF(MARÍTIMOS[[#This Row],[Sede]]="","",MARÍTIMOS[[#This Row],[Sede]]),"")</f>
        <v/>
      </c>
      <c r="D712" s="1" t="str">
        <f>IFERROR(IF(MARÍTIMOS[[#This Row],[Instruction]]="","",MARÍTIMOS[[#This Row],[Instruction]]),"")</f>
        <v/>
      </c>
      <c r="E712" s="1"/>
      <c r="F712" s="2" t="str">
        <f>IFERROR(IF(MARÍTIMOS[[#This Row],[Transportista]]="","",MARÍTIMOS[[#This Row],[Transportista]]),"")</f>
        <v/>
      </c>
      <c r="G712" s="2" t="str">
        <f>IFERROR(IF(MARÍTIMOS[[#This Row],[Tercero]]="","",MARÍTIMOS[[#This Row],[Tercero]]),"")</f>
        <v/>
      </c>
      <c r="H712" s="2" t="str">
        <f>IFERROR(IF(MARÍTIMOS[[#This Row],[Razón Social]]="","",MARÍTIMOS[[#This Row],[Razón Social]]),"")</f>
        <v/>
      </c>
      <c r="I712" s="2" t="str">
        <f>IFERROR(IF(MARÍTIMOS[[#This Row],[RUC]]="","",MARÍTIMOS[[#This Row],[RUC]]),"")</f>
        <v/>
      </c>
      <c r="J712" s="2" t="str">
        <f>IFERROR(IF(MARÍTIMOS[[#This Row],[Placa Tracto]]="","",MARÍTIMOS[[#This Row],[Placa Tracto]]),"")</f>
        <v/>
      </c>
      <c r="K712" s="2" t="str">
        <f>IFERROR(IF(MARÍTIMOS[[#This Row],[Placa Carreta]]="","",MARÍTIMOS[[#This Row],[Placa Carreta]]),"")</f>
        <v/>
      </c>
      <c r="L712" s="44" t="str">
        <f>IFERROR(IF(MARÍTIMOS[[#This Row],[Conductor]]="","",MARÍTIMOS[[#This Row],[Conductor]]),"")</f>
        <v/>
      </c>
      <c r="M712" s="2" t="str">
        <f>IFERROR(IF(MARÍTIMOS[[#This Row],[Licencia]]="","",MARÍTIMOS[[#This Row],[Licencia]]),"")</f>
        <v/>
      </c>
      <c r="N712" s="2" t="str">
        <f>IFERROR(IF(MARÍTIMOS[[#This Row],[Número de Contacto]]="","",MARÍTIMOS[[#This Row],[Número de Contacto]]),"")</f>
        <v/>
      </c>
      <c r="O712" s="10" t="str">
        <f>IFERROR(IF(MARÍTIMOS[[#This Row],[Booking|AWB|CRT]]="","",MARÍTIMOS[[#This Row],[Booking|AWB|CRT]]),"")</f>
        <v/>
      </c>
      <c r="P712" s="2" t="str">
        <f>IFERROR(IF(MARÍTIMOS[[#This Row],[Contenedor]]="","",MARÍTIMOS[[#This Row],[Contenedor]]),"")</f>
        <v/>
      </c>
      <c r="Q712" s="2" t="str">
        <f>IFERROR(IF(MARÍTIMOS[[#This Row],[Puerto de Retiro]]="","",MARÍTIMOS[[#This Row],[Puerto de Retiro]]),"")</f>
        <v/>
      </c>
      <c r="R712" s="2" t="str">
        <f>IFERROR(IF(MARÍTIMOS[[#This Row],[Almacén de Retiro]]="","",MARÍTIMOS[[#This Row],[Almacén de Retiro]]),"")</f>
        <v/>
      </c>
      <c r="S712" s="11" t="str">
        <f>IFERROR(IF(MARÍTIMOS[[#This Row],[Etapa Retiro - Cita]]="","",MARÍTIMOS[[#This Row],[Etapa Retiro - Cita]]),"")</f>
        <v/>
      </c>
      <c r="T712" s="11" t="str">
        <f>IFERROR(IF(MARÍTIMOS[[#This Row],[Etapa Retiro - Llegada]]="","",MARÍTIMOS[[#This Row],[Etapa Retiro - Llegada]]),"")</f>
        <v/>
      </c>
      <c r="U712" s="11" t="str">
        <f>IFERROR(IF(MARÍTIMOS[[#This Row],[Etapa Retiro - Ingreso]]="","",MARÍTIMOS[[#This Row],[Etapa Retiro - Ingreso]]),"")</f>
        <v/>
      </c>
      <c r="V712" s="11" t="str">
        <f>IFERROR(IF(MARÍTIMOS[[#This Row],[Etapa Retiro - Atención]]="","",MARÍTIMOS[[#This Row],[Etapa Retiro - Atención]]),"")</f>
        <v/>
      </c>
      <c r="W712" s="11" t="str">
        <f>IFERROR(IF(MARÍTIMOS[[#This Row],[Etapa Retiro - Atención]]="","",MARÍTIMOS[[#This Row],[Etapa Retiro - Atención]]),"")</f>
        <v/>
      </c>
      <c r="X712" s="11" t="str">
        <f>IFERROR(IF(MARÍTIMOS[[#This Row],[Etapa Retiro - Inicio de Ruta]]="","",MARÍTIMOS[[#This Row],[Etapa Retiro - Inicio de Ruta]]),"")</f>
        <v/>
      </c>
      <c r="Y712" s="11" t="str">
        <f>IFERROR(IF(MARÍTIMOS[[#This Row],[Hora de Posicionamiento]]="","",MARÍTIMOS[[#This Row],[Fecha de Carga]]+MARÍTIMOS[[#This Row],[Hora de Posicionamiento]]),"")</f>
        <v/>
      </c>
      <c r="Z712" s="11" t="str">
        <f>IFERROR(IF(MARÍTIMOS[[#This Row],[Etapa Despacho - Llegada]]="","",MARÍTIMOS[[#This Row],[Etapa Despacho - Llegada]]),"")</f>
        <v/>
      </c>
      <c r="AA712" s="11" t="str">
        <f>IFERROR(IF(MARÍTIMOS[[#This Row],[Etapa Despacho - Registro]]="","",MARÍTIMOS[[#This Row],[Etapa Despacho - Registro]]),"")</f>
        <v/>
      </c>
      <c r="AB712" s="11" t="str">
        <f>IFERROR(IF(MARÍTIMOS[[#This Row],[Inspección Externa]]="","",MARÍTIMOS[[#This Row],[Inspección Externa]]),"")</f>
        <v/>
      </c>
      <c r="AC712" s="11" t="str">
        <f>IFERROR(IF(MARÍTIMOS[[#This Row],[Etapa Despacho - Inicio de Carga]]="","",MARÍTIMOS[[#This Row],[Etapa Despacho - Inicio de Carga]]),"")</f>
        <v/>
      </c>
      <c r="AD712" s="11" t="str">
        <f>IFERROR(IF(MARÍTIMOS[[#This Row],[Etapa Despacho - Mitad de Carga]]="","",MARÍTIMOS[[#This Row],[Etapa Despacho - Mitad de Carga]]),"")</f>
        <v/>
      </c>
      <c r="AE712" s="11" t="str">
        <f>IFERROR(IF(MARÍTIMOS[[#This Row],[Etapa Despacho - Fin de Carga]]="","",MARÍTIMOS[[#This Row],[Etapa Despacho - Fin de Carga]]),"")</f>
        <v/>
      </c>
      <c r="AF712" s="2" t="str">
        <f>IFERROR(IF(MARÍTIMOS[[#This Row],[Puerto de Embarque]]="","",MARÍTIMOS[[#This Row],[Puerto de Embarque]]),"")</f>
        <v/>
      </c>
      <c r="AG712" s="2" t="str">
        <f>IFERROR(IF(MARÍTIMOS[[#This Row],[Almacén de Ingreso]]="","",MARÍTIMOS[[#This Row],[Almacén de Ingreso]]),"")</f>
        <v/>
      </c>
      <c r="AH712" s="11" t="str">
        <f>IFERROR(IF(MARÍTIMOS[[#This Row],[Etapa Ingreso - Cita]]="","",MARÍTIMOS[[#This Row],[Etapa Ingreso - Cita]]),"")</f>
        <v/>
      </c>
      <c r="AI712" s="11" t="str">
        <f>IFERROR(IF(MARÍTIMOS[[#This Row],[Etapa Ingreso - Llegada]]="","",MARÍTIMOS[[#This Row],[Etapa Ingreso - Llegada]]),"")</f>
        <v/>
      </c>
      <c r="AJ712" s="11" t="str">
        <f>IFERROR(IF(MARÍTIMOS[[#This Row],[Etapa Ingreso - Ingeso]]="","",MARÍTIMOS[[#This Row],[Etapa Ingreso - Ingeso]]),"")</f>
        <v/>
      </c>
      <c r="AK712" s="11" t="str">
        <f>IFERROR(IF(MARÍTIMOS[[#This Row],[Etapa Ingreso - Atención]]="","",MARÍTIMOS[[#This Row],[Etapa Ingreso - Atención]]),"")</f>
        <v/>
      </c>
      <c r="AL712" s="11" t="str">
        <f>IFERROR(IF(MARÍTIMOS[[#This Row],[Etapa Ingreso - Salida]]="","",MARÍTIMOS[[#This Row],[Etapa Ingreso - Salida]]),"")</f>
        <v/>
      </c>
      <c r="AM712" s="2" t="str">
        <f>IFERROR(IF(MARÍTIMOS[[#This Row],[FCL]]="","",MARÍTIMOS[[#This Row],[FCL]]),"")</f>
        <v/>
      </c>
      <c r="AN7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2" s="4" t="str" cm="1">
        <f t="array" ref="AO7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2" s="5" t="str">
        <f>IFERROR(OLDBD[[#This Row],[Llegada a packing]]-OLDBD[[#This Row],[Inicio de Ruta]],"")</f>
        <v/>
      </c>
      <c r="AQ712" s="6" t="str">
        <f>IFERROR(OLDBD[[#This Row],[Inicio de Ruta]]-OLDBD[[#This Row],[Salida de almacén de retiro]],"")</f>
        <v/>
      </c>
      <c r="AR7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2" s="8" t="str" cm="1">
        <f t="array" ref="AS7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2" s="9" t="str">
        <f>IFERROR(OLDBD[[#This Row],[Ingreso Packing]]-OLDBD[[#This Row],[Registro en Packing]],"")</f>
        <v/>
      </c>
      <c r="AV712" s="9" t="str">
        <f>IFERROR(OLDBD[[#This Row],[Ingreso Packing]]-OLDBD[[#This Row],[Llegada a packing]],"")</f>
        <v/>
      </c>
      <c r="AW7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2" s="5" t="str">
        <f>IFERROR(OLDBD[[#This Row],[Llegada Almacén de Ingreso]]-OLDBD[[#This Row],[Salida Packing]],"")</f>
        <v/>
      </c>
      <c r="AY712" s="4" t="str" cm="1">
        <f t="array" ref="AY7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2" s="43" t="s">
        <v>173</v>
      </c>
      <c r="BB712" s="47" t="str">
        <f>IFERROR(IF(MARÍTIMOS[[#This Row],[Estatus]]="","",MARÍTIMOS[[#This Row],[Estatus]]),"")</f>
        <v/>
      </c>
      <c r="BC712" s="43"/>
      <c r="BD712" s="46" t="str">
        <f>IFERROR(OLDBD[[#This Row],[Salida de almacén de retiro]]-OLDBD[[#This Row],[Ingreso Almacén de retiro]],"")</f>
        <v/>
      </c>
      <c r="BE712" s="46" t="str">
        <f>IFERROR(OLDBD[[#This Row],[Fin de Carga]]-OLDBD[[#This Row],[Inicio de Carga]],"")</f>
        <v/>
      </c>
    </row>
    <row r="713" spans="1:57" customFormat="1" hidden="1">
      <c r="A713" s="1"/>
      <c r="B713" s="1" t="str">
        <f>IFERROR(IF(MARÍTIMOS[[#This Row],[PP]]="","",MARÍTIMOS[[#This Row],[PP]]),"")</f>
        <v/>
      </c>
      <c r="C713" s="1" t="str">
        <f>IFERROR(IF(MARÍTIMOS[[#This Row],[Sede]]="","",MARÍTIMOS[[#This Row],[Sede]]),"")</f>
        <v/>
      </c>
      <c r="D713" s="1" t="str">
        <f>IFERROR(IF(MARÍTIMOS[[#This Row],[Instruction]]="","",MARÍTIMOS[[#This Row],[Instruction]]),"")</f>
        <v/>
      </c>
      <c r="E713" s="1"/>
      <c r="F713" s="2" t="str">
        <f>IFERROR(IF(MARÍTIMOS[[#This Row],[Transportista]]="","",MARÍTIMOS[[#This Row],[Transportista]]),"")</f>
        <v/>
      </c>
      <c r="G713" s="2" t="str">
        <f>IFERROR(IF(MARÍTIMOS[[#This Row],[Tercero]]="","",MARÍTIMOS[[#This Row],[Tercero]]),"")</f>
        <v/>
      </c>
      <c r="H713" s="2" t="str">
        <f>IFERROR(IF(MARÍTIMOS[[#This Row],[Razón Social]]="","",MARÍTIMOS[[#This Row],[Razón Social]]),"")</f>
        <v/>
      </c>
      <c r="I713" s="2" t="str">
        <f>IFERROR(IF(MARÍTIMOS[[#This Row],[RUC]]="","",MARÍTIMOS[[#This Row],[RUC]]),"")</f>
        <v/>
      </c>
      <c r="J713" s="2" t="str">
        <f>IFERROR(IF(MARÍTIMOS[[#This Row],[Placa Tracto]]="","",MARÍTIMOS[[#This Row],[Placa Tracto]]),"")</f>
        <v/>
      </c>
      <c r="K713" s="2" t="str">
        <f>IFERROR(IF(MARÍTIMOS[[#This Row],[Placa Carreta]]="","",MARÍTIMOS[[#This Row],[Placa Carreta]]),"")</f>
        <v/>
      </c>
      <c r="L713" s="44" t="str">
        <f>IFERROR(IF(MARÍTIMOS[[#This Row],[Conductor]]="","",MARÍTIMOS[[#This Row],[Conductor]]),"")</f>
        <v/>
      </c>
      <c r="M713" s="2" t="str">
        <f>IFERROR(IF(MARÍTIMOS[[#This Row],[Licencia]]="","",MARÍTIMOS[[#This Row],[Licencia]]),"")</f>
        <v/>
      </c>
      <c r="N713" s="2" t="str">
        <f>IFERROR(IF(MARÍTIMOS[[#This Row],[Número de Contacto]]="","",MARÍTIMOS[[#This Row],[Número de Contacto]]),"")</f>
        <v/>
      </c>
      <c r="O713" s="10" t="str">
        <f>IFERROR(IF(MARÍTIMOS[[#This Row],[Booking|AWB|CRT]]="","",MARÍTIMOS[[#This Row],[Booking|AWB|CRT]]),"")</f>
        <v/>
      </c>
      <c r="P713" s="2" t="str">
        <f>IFERROR(IF(MARÍTIMOS[[#This Row],[Contenedor]]="","",MARÍTIMOS[[#This Row],[Contenedor]]),"")</f>
        <v/>
      </c>
      <c r="Q713" s="2" t="str">
        <f>IFERROR(IF(MARÍTIMOS[[#This Row],[Puerto de Retiro]]="","",MARÍTIMOS[[#This Row],[Puerto de Retiro]]),"")</f>
        <v/>
      </c>
      <c r="R713" s="2" t="str">
        <f>IFERROR(IF(MARÍTIMOS[[#This Row],[Almacén de Retiro]]="","",MARÍTIMOS[[#This Row],[Almacén de Retiro]]),"")</f>
        <v/>
      </c>
      <c r="S713" s="11" t="str">
        <f>IFERROR(IF(MARÍTIMOS[[#This Row],[Etapa Retiro - Cita]]="","",MARÍTIMOS[[#This Row],[Etapa Retiro - Cita]]),"")</f>
        <v/>
      </c>
      <c r="T713" s="11" t="str">
        <f>IFERROR(IF(MARÍTIMOS[[#This Row],[Etapa Retiro - Llegada]]="","",MARÍTIMOS[[#This Row],[Etapa Retiro - Llegada]]),"")</f>
        <v/>
      </c>
      <c r="U713" s="11" t="str">
        <f>IFERROR(IF(MARÍTIMOS[[#This Row],[Etapa Retiro - Ingreso]]="","",MARÍTIMOS[[#This Row],[Etapa Retiro - Ingreso]]),"")</f>
        <v/>
      </c>
      <c r="V713" s="11" t="str">
        <f>IFERROR(IF(MARÍTIMOS[[#This Row],[Etapa Retiro - Atención]]="","",MARÍTIMOS[[#This Row],[Etapa Retiro - Atención]]),"")</f>
        <v/>
      </c>
      <c r="W713" s="11" t="str">
        <f>IFERROR(IF(MARÍTIMOS[[#This Row],[Etapa Retiro - Atención]]="","",MARÍTIMOS[[#This Row],[Etapa Retiro - Atención]]),"")</f>
        <v/>
      </c>
      <c r="X713" s="11" t="str">
        <f>IFERROR(IF(MARÍTIMOS[[#This Row],[Etapa Retiro - Inicio de Ruta]]="","",MARÍTIMOS[[#This Row],[Etapa Retiro - Inicio de Ruta]]),"")</f>
        <v/>
      </c>
      <c r="Y713" s="11" t="str">
        <f>IFERROR(IF(MARÍTIMOS[[#This Row],[Hora de Posicionamiento]]="","",MARÍTIMOS[[#This Row],[Fecha de Carga]]+MARÍTIMOS[[#This Row],[Hora de Posicionamiento]]),"")</f>
        <v/>
      </c>
      <c r="Z713" s="11" t="str">
        <f>IFERROR(IF(MARÍTIMOS[[#This Row],[Etapa Despacho - Llegada]]="","",MARÍTIMOS[[#This Row],[Etapa Despacho - Llegada]]),"")</f>
        <v/>
      </c>
      <c r="AA713" s="11" t="str">
        <f>IFERROR(IF(MARÍTIMOS[[#This Row],[Etapa Despacho - Registro]]="","",MARÍTIMOS[[#This Row],[Etapa Despacho - Registro]]),"")</f>
        <v/>
      </c>
      <c r="AB713" s="11" t="str">
        <f>IFERROR(IF(MARÍTIMOS[[#This Row],[Inspección Externa]]="","",MARÍTIMOS[[#This Row],[Inspección Externa]]),"")</f>
        <v/>
      </c>
      <c r="AC713" s="11" t="str">
        <f>IFERROR(IF(MARÍTIMOS[[#This Row],[Etapa Despacho - Inicio de Carga]]="","",MARÍTIMOS[[#This Row],[Etapa Despacho - Inicio de Carga]]),"")</f>
        <v/>
      </c>
      <c r="AD713" s="11" t="str">
        <f>IFERROR(IF(MARÍTIMOS[[#This Row],[Etapa Despacho - Mitad de Carga]]="","",MARÍTIMOS[[#This Row],[Etapa Despacho - Mitad de Carga]]),"")</f>
        <v/>
      </c>
      <c r="AE713" s="11" t="str">
        <f>IFERROR(IF(MARÍTIMOS[[#This Row],[Etapa Despacho - Fin de Carga]]="","",MARÍTIMOS[[#This Row],[Etapa Despacho - Fin de Carga]]),"")</f>
        <v/>
      </c>
      <c r="AF713" s="2" t="str">
        <f>IFERROR(IF(MARÍTIMOS[[#This Row],[Puerto de Embarque]]="","",MARÍTIMOS[[#This Row],[Puerto de Embarque]]),"")</f>
        <v/>
      </c>
      <c r="AG713" s="2" t="str">
        <f>IFERROR(IF(MARÍTIMOS[[#This Row],[Almacén de Ingreso]]="","",MARÍTIMOS[[#This Row],[Almacén de Ingreso]]),"")</f>
        <v/>
      </c>
      <c r="AH713" s="11" t="str">
        <f>IFERROR(IF(MARÍTIMOS[[#This Row],[Etapa Ingreso - Cita]]="","",MARÍTIMOS[[#This Row],[Etapa Ingreso - Cita]]),"")</f>
        <v/>
      </c>
      <c r="AI713" s="11" t="str">
        <f>IFERROR(IF(MARÍTIMOS[[#This Row],[Etapa Ingreso - Llegada]]="","",MARÍTIMOS[[#This Row],[Etapa Ingreso - Llegada]]),"")</f>
        <v/>
      </c>
      <c r="AJ713" s="11" t="str">
        <f>IFERROR(IF(MARÍTIMOS[[#This Row],[Etapa Ingreso - Ingeso]]="","",MARÍTIMOS[[#This Row],[Etapa Ingreso - Ingeso]]),"")</f>
        <v/>
      </c>
      <c r="AK713" s="11" t="str">
        <f>IFERROR(IF(MARÍTIMOS[[#This Row],[Etapa Ingreso - Atención]]="","",MARÍTIMOS[[#This Row],[Etapa Ingreso - Atención]]),"")</f>
        <v/>
      </c>
      <c r="AL713" s="11" t="str">
        <f>IFERROR(IF(MARÍTIMOS[[#This Row],[Etapa Ingreso - Salida]]="","",MARÍTIMOS[[#This Row],[Etapa Ingreso - Salida]]),"")</f>
        <v/>
      </c>
      <c r="AM713" s="2" t="str">
        <f>IFERROR(IF(MARÍTIMOS[[#This Row],[FCL]]="","",MARÍTIMOS[[#This Row],[FCL]]),"")</f>
        <v/>
      </c>
      <c r="AN7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3" s="4" t="str" cm="1">
        <f t="array" ref="AO7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3" s="5" t="str">
        <f>IFERROR(OLDBD[[#This Row],[Llegada a packing]]-OLDBD[[#This Row],[Inicio de Ruta]],"")</f>
        <v/>
      </c>
      <c r="AQ713" s="6" t="str">
        <f>IFERROR(OLDBD[[#This Row],[Inicio de Ruta]]-OLDBD[[#This Row],[Salida de almacén de retiro]],"")</f>
        <v/>
      </c>
      <c r="AR7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3" s="8" t="str" cm="1">
        <f t="array" ref="AS7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3" s="9" t="str">
        <f>IFERROR(OLDBD[[#This Row],[Ingreso Packing]]-OLDBD[[#This Row],[Registro en Packing]],"")</f>
        <v/>
      </c>
      <c r="AV713" s="9" t="str">
        <f>IFERROR(OLDBD[[#This Row],[Ingreso Packing]]-OLDBD[[#This Row],[Llegada a packing]],"")</f>
        <v/>
      </c>
      <c r="AW7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3" s="5" t="str">
        <f>IFERROR(OLDBD[[#This Row],[Llegada Almacén de Ingreso]]-OLDBD[[#This Row],[Salida Packing]],"")</f>
        <v/>
      </c>
      <c r="AY713" s="4" t="str" cm="1">
        <f t="array" ref="AY7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3" s="43" t="s">
        <v>173</v>
      </c>
      <c r="BB713" s="47" t="str">
        <f>IFERROR(IF(MARÍTIMOS[[#This Row],[Estatus]]="","",MARÍTIMOS[[#This Row],[Estatus]]),"")</f>
        <v/>
      </c>
      <c r="BC713" s="43"/>
      <c r="BD713" s="46" t="str">
        <f>IFERROR(OLDBD[[#This Row],[Salida de almacén de retiro]]-OLDBD[[#This Row],[Ingreso Almacén de retiro]],"")</f>
        <v/>
      </c>
      <c r="BE713" s="46" t="str">
        <f>IFERROR(OLDBD[[#This Row],[Fin de Carga]]-OLDBD[[#This Row],[Inicio de Carga]],"")</f>
        <v/>
      </c>
    </row>
    <row r="714" spans="1:57" customFormat="1" hidden="1">
      <c r="A714" s="1"/>
      <c r="B714" s="1" t="str">
        <f>IFERROR(IF(MARÍTIMOS[[#This Row],[PP]]="","",MARÍTIMOS[[#This Row],[PP]]),"")</f>
        <v/>
      </c>
      <c r="C714" s="1" t="str">
        <f>IFERROR(IF(MARÍTIMOS[[#This Row],[Sede]]="","",MARÍTIMOS[[#This Row],[Sede]]),"")</f>
        <v/>
      </c>
      <c r="D714" s="1" t="str">
        <f>IFERROR(IF(MARÍTIMOS[[#This Row],[Instruction]]="","",MARÍTIMOS[[#This Row],[Instruction]]),"")</f>
        <v/>
      </c>
      <c r="E714" s="1"/>
      <c r="F714" s="2" t="str">
        <f>IFERROR(IF(MARÍTIMOS[[#This Row],[Transportista]]="","",MARÍTIMOS[[#This Row],[Transportista]]),"")</f>
        <v/>
      </c>
      <c r="G714" s="2" t="str">
        <f>IFERROR(IF(MARÍTIMOS[[#This Row],[Tercero]]="","",MARÍTIMOS[[#This Row],[Tercero]]),"")</f>
        <v/>
      </c>
      <c r="H714" s="2" t="str">
        <f>IFERROR(IF(MARÍTIMOS[[#This Row],[Razón Social]]="","",MARÍTIMOS[[#This Row],[Razón Social]]),"")</f>
        <v/>
      </c>
      <c r="I714" s="2" t="str">
        <f>IFERROR(IF(MARÍTIMOS[[#This Row],[RUC]]="","",MARÍTIMOS[[#This Row],[RUC]]),"")</f>
        <v/>
      </c>
      <c r="J714" s="2" t="str">
        <f>IFERROR(IF(MARÍTIMOS[[#This Row],[Placa Tracto]]="","",MARÍTIMOS[[#This Row],[Placa Tracto]]),"")</f>
        <v/>
      </c>
      <c r="K714" s="2" t="str">
        <f>IFERROR(IF(MARÍTIMOS[[#This Row],[Placa Carreta]]="","",MARÍTIMOS[[#This Row],[Placa Carreta]]),"")</f>
        <v/>
      </c>
      <c r="L714" s="44" t="str">
        <f>IFERROR(IF(MARÍTIMOS[[#This Row],[Conductor]]="","",MARÍTIMOS[[#This Row],[Conductor]]),"")</f>
        <v/>
      </c>
      <c r="M714" s="2" t="str">
        <f>IFERROR(IF(MARÍTIMOS[[#This Row],[Licencia]]="","",MARÍTIMOS[[#This Row],[Licencia]]),"")</f>
        <v/>
      </c>
      <c r="N714" s="2" t="str">
        <f>IFERROR(IF(MARÍTIMOS[[#This Row],[Número de Contacto]]="","",MARÍTIMOS[[#This Row],[Número de Contacto]]),"")</f>
        <v/>
      </c>
      <c r="O714" s="10" t="str">
        <f>IFERROR(IF(MARÍTIMOS[[#This Row],[Booking|AWB|CRT]]="","",MARÍTIMOS[[#This Row],[Booking|AWB|CRT]]),"")</f>
        <v/>
      </c>
      <c r="P714" s="2" t="str">
        <f>IFERROR(IF(MARÍTIMOS[[#This Row],[Contenedor]]="","",MARÍTIMOS[[#This Row],[Contenedor]]),"")</f>
        <v/>
      </c>
      <c r="Q714" s="2" t="str">
        <f>IFERROR(IF(MARÍTIMOS[[#This Row],[Puerto de Retiro]]="","",MARÍTIMOS[[#This Row],[Puerto de Retiro]]),"")</f>
        <v/>
      </c>
      <c r="R714" s="2" t="str">
        <f>IFERROR(IF(MARÍTIMOS[[#This Row],[Almacén de Retiro]]="","",MARÍTIMOS[[#This Row],[Almacén de Retiro]]),"")</f>
        <v/>
      </c>
      <c r="S714" s="11" t="str">
        <f>IFERROR(IF(MARÍTIMOS[[#This Row],[Etapa Retiro - Cita]]="","",MARÍTIMOS[[#This Row],[Etapa Retiro - Cita]]),"")</f>
        <v/>
      </c>
      <c r="T714" s="11" t="str">
        <f>IFERROR(IF(MARÍTIMOS[[#This Row],[Etapa Retiro - Llegada]]="","",MARÍTIMOS[[#This Row],[Etapa Retiro - Llegada]]),"")</f>
        <v/>
      </c>
      <c r="U714" s="11" t="str">
        <f>IFERROR(IF(MARÍTIMOS[[#This Row],[Etapa Retiro - Ingreso]]="","",MARÍTIMOS[[#This Row],[Etapa Retiro - Ingreso]]),"")</f>
        <v/>
      </c>
      <c r="V714" s="11" t="str">
        <f>IFERROR(IF(MARÍTIMOS[[#This Row],[Etapa Retiro - Atención]]="","",MARÍTIMOS[[#This Row],[Etapa Retiro - Atención]]),"")</f>
        <v/>
      </c>
      <c r="W714" s="11" t="str">
        <f>IFERROR(IF(MARÍTIMOS[[#This Row],[Etapa Retiro - Atención]]="","",MARÍTIMOS[[#This Row],[Etapa Retiro - Atención]]),"")</f>
        <v/>
      </c>
      <c r="X714" s="11" t="str">
        <f>IFERROR(IF(MARÍTIMOS[[#This Row],[Etapa Retiro - Inicio de Ruta]]="","",MARÍTIMOS[[#This Row],[Etapa Retiro - Inicio de Ruta]]),"")</f>
        <v/>
      </c>
      <c r="Y714" s="11" t="str">
        <f>IFERROR(IF(MARÍTIMOS[[#This Row],[Hora de Posicionamiento]]="","",MARÍTIMOS[[#This Row],[Fecha de Carga]]+MARÍTIMOS[[#This Row],[Hora de Posicionamiento]]),"")</f>
        <v/>
      </c>
      <c r="Z714" s="11" t="str">
        <f>IFERROR(IF(MARÍTIMOS[[#This Row],[Etapa Despacho - Llegada]]="","",MARÍTIMOS[[#This Row],[Etapa Despacho - Llegada]]),"")</f>
        <v/>
      </c>
      <c r="AA714" s="11" t="str">
        <f>IFERROR(IF(MARÍTIMOS[[#This Row],[Etapa Despacho - Registro]]="","",MARÍTIMOS[[#This Row],[Etapa Despacho - Registro]]),"")</f>
        <v/>
      </c>
      <c r="AB714" s="11" t="str">
        <f>IFERROR(IF(MARÍTIMOS[[#This Row],[Inspección Externa]]="","",MARÍTIMOS[[#This Row],[Inspección Externa]]),"")</f>
        <v/>
      </c>
      <c r="AC714" s="11" t="str">
        <f>IFERROR(IF(MARÍTIMOS[[#This Row],[Etapa Despacho - Inicio de Carga]]="","",MARÍTIMOS[[#This Row],[Etapa Despacho - Inicio de Carga]]),"")</f>
        <v/>
      </c>
      <c r="AD714" s="11" t="str">
        <f>IFERROR(IF(MARÍTIMOS[[#This Row],[Etapa Despacho - Mitad de Carga]]="","",MARÍTIMOS[[#This Row],[Etapa Despacho - Mitad de Carga]]),"")</f>
        <v/>
      </c>
      <c r="AE714" s="11" t="str">
        <f>IFERROR(IF(MARÍTIMOS[[#This Row],[Etapa Despacho - Fin de Carga]]="","",MARÍTIMOS[[#This Row],[Etapa Despacho - Fin de Carga]]),"")</f>
        <v/>
      </c>
      <c r="AF714" s="2" t="str">
        <f>IFERROR(IF(MARÍTIMOS[[#This Row],[Puerto de Embarque]]="","",MARÍTIMOS[[#This Row],[Puerto de Embarque]]),"")</f>
        <v/>
      </c>
      <c r="AG714" s="2" t="str">
        <f>IFERROR(IF(MARÍTIMOS[[#This Row],[Almacén de Ingreso]]="","",MARÍTIMOS[[#This Row],[Almacén de Ingreso]]),"")</f>
        <v/>
      </c>
      <c r="AH714" s="11" t="str">
        <f>IFERROR(IF(MARÍTIMOS[[#This Row],[Etapa Ingreso - Cita]]="","",MARÍTIMOS[[#This Row],[Etapa Ingreso - Cita]]),"")</f>
        <v/>
      </c>
      <c r="AI714" s="11" t="str">
        <f>IFERROR(IF(MARÍTIMOS[[#This Row],[Etapa Ingreso - Llegada]]="","",MARÍTIMOS[[#This Row],[Etapa Ingreso - Llegada]]),"")</f>
        <v/>
      </c>
      <c r="AJ714" s="11" t="str">
        <f>IFERROR(IF(MARÍTIMOS[[#This Row],[Etapa Ingreso - Ingeso]]="","",MARÍTIMOS[[#This Row],[Etapa Ingreso - Ingeso]]),"")</f>
        <v/>
      </c>
      <c r="AK714" s="11" t="str">
        <f>IFERROR(IF(MARÍTIMOS[[#This Row],[Etapa Ingreso - Atención]]="","",MARÍTIMOS[[#This Row],[Etapa Ingreso - Atención]]),"")</f>
        <v/>
      </c>
      <c r="AL714" s="11" t="str">
        <f>IFERROR(IF(MARÍTIMOS[[#This Row],[Etapa Ingreso - Salida]]="","",MARÍTIMOS[[#This Row],[Etapa Ingreso - Salida]]),"")</f>
        <v/>
      </c>
      <c r="AM714" s="2" t="str">
        <f>IFERROR(IF(MARÍTIMOS[[#This Row],[FCL]]="","",MARÍTIMOS[[#This Row],[FCL]]),"")</f>
        <v/>
      </c>
      <c r="AN7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4" s="4" t="str" cm="1">
        <f t="array" ref="AO7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4" s="5" t="str">
        <f>IFERROR(OLDBD[[#This Row],[Llegada a packing]]-OLDBD[[#This Row],[Inicio de Ruta]],"")</f>
        <v/>
      </c>
      <c r="AQ714" s="6" t="str">
        <f>IFERROR(OLDBD[[#This Row],[Inicio de Ruta]]-OLDBD[[#This Row],[Salida de almacén de retiro]],"")</f>
        <v/>
      </c>
      <c r="AR7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4" s="8" t="str" cm="1">
        <f t="array" ref="AS7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4" s="9" t="str">
        <f>IFERROR(OLDBD[[#This Row],[Ingreso Packing]]-OLDBD[[#This Row],[Registro en Packing]],"")</f>
        <v/>
      </c>
      <c r="AV714" s="9" t="str">
        <f>IFERROR(OLDBD[[#This Row],[Ingreso Packing]]-OLDBD[[#This Row],[Llegada a packing]],"")</f>
        <v/>
      </c>
      <c r="AW7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4" s="5" t="str">
        <f>IFERROR(OLDBD[[#This Row],[Llegada Almacén de Ingreso]]-OLDBD[[#This Row],[Salida Packing]],"")</f>
        <v/>
      </c>
      <c r="AY714" s="4" t="str" cm="1">
        <f t="array" ref="AY7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4" s="43" t="s">
        <v>173</v>
      </c>
      <c r="BB714" s="47" t="str">
        <f>IFERROR(IF(MARÍTIMOS[[#This Row],[Estatus]]="","",MARÍTIMOS[[#This Row],[Estatus]]),"")</f>
        <v/>
      </c>
      <c r="BC714" s="43"/>
      <c r="BD714" s="46" t="str">
        <f>IFERROR(OLDBD[[#This Row],[Salida de almacén de retiro]]-OLDBD[[#This Row],[Ingreso Almacén de retiro]],"")</f>
        <v/>
      </c>
      <c r="BE714" s="46" t="str">
        <f>IFERROR(OLDBD[[#This Row],[Fin de Carga]]-OLDBD[[#This Row],[Inicio de Carga]],"")</f>
        <v/>
      </c>
    </row>
    <row r="715" spans="1:57" customFormat="1" hidden="1">
      <c r="A715" s="1"/>
      <c r="B715" s="1" t="str">
        <f>IFERROR(IF(MARÍTIMOS[[#This Row],[PP]]="","",MARÍTIMOS[[#This Row],[PP]]),"")</f>
        <v/>
      </c>
      <c r="C715" s="1" t="str">
        <f>IFERROR(IF(MARÍTIMOS[[#This Row],[Sede]]="","",MARÍTIMOS[[#This Row],[Sede]]),"")</f>
        <v/>
      </c>
      <c r="D715" s="1" t="str">
        <f>IFERROR(IF(MARÍTIMOS[[#This Row],[Instruction]]="","",MARÍTIMOS[[#This Row],[Instruction]]),"")</f>
        <v/>
      </c>
      <c r="E715" s="1"/>
      <c r="F715" s="2" t="str">
        <f>IFERROR(IF(MARÍTIMOS[[#This Row],[Transportista]]="","",MARÍTIMOS[[#This Row],[Transportista]]),"")</f>
        <v/>
      </c>
      <c r="G715" s="2" t="str">
        <f>IFERROR(IF(MARÍTIMOS[[#This Row],[Tercero]]="","",MARÍTIMOS[[#This Row],[Tercero]]),"")</f>
        <v/>
      </c>
      <c r="H715" s="2" t="str">
        <f>IFERROR(IF(MARÍTIMOS[[#This Row],[Razón Social]]="","",MARÍTIMOS[[#This Row],[Razón Social]]),"")</f>
        <v/>
      </c>
      <c r="I715" s="2" t="str">
        <f>IFERROR(IF(MARÍTIMOS[[#This Row],[RUC]]="","",MARÍTIMOS[[#This Row],[RUC]]),"")</f>
        <v/>
      </c>
      <c r="J715" s="2" t="str">
        <f>IFERROR(IF(MARÍTIMOS[[#This Row],[Placa Tracto]]="","",MARÍTIMOS[[#This Row],[Placa Tracto]]),"")</f>
        <v/>
      </c>
      <c r="K715" s="2" t="str">
        <f>IFERROR(IF(MARÍTIMOS[[#This Row],[Placa Carreta]]="","",MARÍTIMOS[[#This Row],[Placa Carreta]]),"")</f>
        <v/>
      </c>
      <c r="L715" s="44" t="str">
        <f>IFERROR(IF(MARÍTIMOS[[#This Row],[Conductor]]="","",MARÍTIMOS[[#This Row],[Conductor]]),"")</f>
        <v/>
      </c>
      <c r="M715" s="2" t="str">
        <f>IFERROR(IF(MARÍTIMOS[[#This Row],[Licencia]]="","",MARÍTIMOS[[#This Row],[Licencia]]),"")</f>
        <v/>
      </c>
      <c r="N715" s="2" t="str">
        <f>IFERROR(IF(MARÍTIMOS[[#This Row],[Número de Contacto]]="","",MARÍTIMOS[[#This Row],[Número de Contacto]]),"")</f>
        <v/>
      </c>
      <c r="O715" s="10" t="str">
        <f>IFERROR(IF(MARÍTIMOS[[#This Row],[Booking|AWB|CRT]]="","",MARÍTIMOS[[#This Row],[Booking|AWB|CRT]]),"")</f>
        <v/>
      </c>
      <c r="P715" s="2" t="str">
        <f>IFERROR(IF(MARÍTIMOS[[#This Row],[Contenedor]]="","",MARÍTIMOS[[#This Row],[Contenedor]]),"")</f>
        <v/>
      </c>
      <c r="Q715" s="2" t="str">
        <f>IFERROR(IF(MARÍTIMOS[[#This Row],[Puerto de Retiro]]="","",MARÍTIMOS[[#This Row],[Puerto de Retiro]]),"")</f>
        <v/>
      </c>
      <c r="R715" s="2" t="str">
        <f>IFERROR(IF(MARÍTIMOS[[#This Row],[Almacén de Retiro]]="","",MARÍTIMOS[[#This Row],[Almacén de Retiro]]),"")</f>
        <v/>
      </c>
      <c r="S715" s="11" t="str">
        <f>IFERROR(IF(MARÍTIMOS[[#This Row],[Etapa Retiro - Cita]]="","",MARÍTIMOS[[#This Row],[Etapa Retiro - Cita]]),"")</f>
        <v/>
      </c>
      <c r="T715" s="11" t="str">
        <f>IFERROR(IF(MARÍTIMOS[[#This Row],[Etapa Retiro - Llegada]]="","",MARÍTIMOS[[#This Row],[Etapa Retiro - Llegada]]),"")</f>
        <v/>
      </c>
      <c r="U715" s="11" t="str">
        <f>IFERROR(IF(MARÍTIMOS[[#This Row],[Etapa Retiro - Ingreso]]="","",MARÍTIMOS[[#This Row],[Etapa Retiro - Ingreso]]),"")</f>
        <v/>
      </c>
      <c r="V715" s="11" t="str">
        <f>IFERROR(IF(MARÍTIMOS[[#This Row],[Etapa Retiro - Atención]]="","",MARÍTIMOS[[#This Row],[Etapa Retiro - Atención]]),"")</f>
        <v/>
      </c>
      <c r="W715" s="11" t="str">
        <f>IFERROR(IF(MARÍTIMOS[[#This Row],[Etapa Retiro - Atención]]="","",MARÍTIMOS[[#This Row],[Etapa Retiro - Atención]]),"")</f>
        <v/>
      </c>
      <c r="X715" s="11" t="str">
        <f>IFERROR(IF(MARÍTIMOS[[#This Row],[Etapa Retiro - Inicio de Ruta]]="","",MARÍTIMOS[[#This Row],[Etapa Retiro - Inicio de Ruta]]),"")</f>
        <v/>
      </c>
      <c r="Y715" s="11" t="str">
        <f>IFERROR(IF(MARÍTIMOS[[#This Row],[Hora de Posicionamiento]]="","",MARÍTIMOS[[#This Row],[Fecha de Carga]]+MARÍTIMOS[[#This Row],[Hora de Posicionamiento]]),"")</f>
        <v/>
      </c>
      <c r="Z715" s="11" t="str">
        <f>IFERROR(IF(MARÍTIMOS[[#This Row],[Etapa Despacho - Llegada]]="","",MARÍTIMOS[[#This Row],[Etapa Despacho - Llegada]]),"")</f>
        <v/>
      </c>
      <c r="AA715" s="11" t="str">
        <f>IFERROR(IF(MARÍTIMOS[[#This Row],[Etapa Despacho - Registro]]="","",MARÍTIMOS[[#This Row],[Etapa Despacho - Registro]]),"")</f>
        <v/>
      </c>
      <c r="AB715" s="11" t="str">
        <f>IFERROR(IF(MARÍTIMOS[[#This Row],[Inspección Externa]]="","",MARÍTIMOS[[#This Row],[Inspección Externa]]),"")</f>
        <v/>
      </c>
      <c r="AC715" s="11" t="str">
        <f>IFERROR(IF(MARÍTIMOS[[#This Row],[Etapa Despacho - Inicio de Carga]]="","",MARÍTIMOS[[#This Row],[Etapa Despacho - Inicio de Carga]]),"")</f>
        <v/>
      </c>
      <c r="AD715" s="11" t="str">
        <f>IFERROR(IF(MARÍTIMOS[[#This Row],[Etapa Despacho - Mitad de Carga]]="","",MARÍTIMOS[[#This Row],[Etapa Despacho - Mitad de Carga]]),"")</f>
        <v/>
      </c>
      <c r="AE715" s="11" t="str">
        <f>IFERROR(IF(MARÍTIMOS[[#This Row],[Etapa Despacho - Fin de Carga]]="","",MARÍTIMOS[[#This Row],[Etapa Despacho - Fin de Carga]]),"")</f>
        <v/>
      </c>
      <c r="AF715" s="2" t="str">
        <f>IFERROR(IF(MARÍTIMOS[[#This Row],[Puerto de Embarque]]="","",MARÍTIMOS[[#This Row],[Puerto de Embarque]]),"")</f>
        <v/>
      </c>
      <c r="AG715" s="2" t="str">
        <f>IFERROR(IF(MARÍTIMOS[[#This Row],[Almacén de Ingreso]]="","",MARÍTIMOS[[#This Row],[Almacén de Ingreso]]),"")</f>
        <v/>
      </c>
      <c r="AH715" s="11" t="str">
        <f>IFERROR(IF(MARÍTIMOS[[#This Row],[Etapa Ingreso - Cita]]="","",MARÍTIMOS[[#This Row],[Etapa Ingreso - Cita]]),"")</f>
        <v/>
      </c>
      <c r="AI715" s="11" t="str">
        <f>IFERROR(IF(MARÍTIMOS[[#This Row],[Etapa Ingreso - Llegada]]="","",MARÍTIMOS[[#This Row],[Etapa Ingreso - Llegada]]),"")</f>
        <v/>
      </c>
      <c r="AJ715" s="11" t="str">
        <f>IFERROR(IF(MARÍTIMOS[[#This Row],[Etapa Ingreso - Ingeso]]="","",MARÍTIMOS[[#This Row],[Etapa Ingreso - Ingeso]]),"")</f>
        <v/>
      </c>
      <c r="AK715" s="11" t="str">
        <f>IFERROR(IF(MARÍTIMOS[[#This Row],[Etapa Ingreso - Atención]]="","",MARÍTIMOS[[#This Row],[Etapa Ingreso - Atención]]),"")</f>
        <v/>
      </c>
      <c r="AL715" s="11" t="str">
        <f>IFERROR(IF(MARÍTIMOS[[#This Row],[Etapa Ingreso - Salida]]="","",MARÍTIMOS[[#This Row],[Etapa Ingreso - Salida]]),"")</f>
        <v/>
      </c>
      <c r="AM715" s="2" t="str">
        <f>IFERROR(IF(MARÍTIMOS[[#This Row],[FCL]]="","",MARÍTIMOS[[#This Row],[FCL]]),"")</f>
        <v/>
      </c>
      <c r="AN7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5" s="4" t="str" cm="1">
        <f t="array" ref="AO7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5" s="5" t="str">
        <f>IFERROR(OLDBD[[#This Row],[Llegada a packing]]-OLDBD[[#This Row],[Inicio de Ruta]],"")</f>
        <v/>
      </c>
      <c r="AQ715" s="6" t="str">
        <f>IFERROR(OLDBD[[#This Row],[Inicio de Ruta]]-OLDBD[[#This Row],[Salida de almacén de retiro]],"")</f>
        <v/>
      </c>
      <c r="AR7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5" s="8" t="str" cm="1">
        <f t="array" ref="AS7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5" s="9" t="str">
        <f>IFERROR(OLDBD[[#This Row],[Ingreso Packing]]-OLDBD[[#This Row],[Registro en Packing]],"")</f>
        <v/>
      </c>
      <c r="AV715" s="9" t="str">
        <f>IFERROR(OLDBD[[#This Row],[Ingreso Packing]]-OLDBD[[#This Row],[Llegada a packing]],"")</f>
        <v/>
      </c>
      <c r="AW7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5" s="5" t="str">
        <f>IFERROR(OLDBD[[#This Row],[Llegada Almacén de Ingreso]]-OLDBD[[#This Row],[Salida Packing]],"")</f>
        <v/>
      </c>
      <c r="AY715" s="4" t="str" cm="1">
        <f t="array" ref="AY7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5" s="43" t="s">
        <v>173</v>
      </c>
      <c r="BB715" s="47" t="str">
        <f>IFERROR(IF(MARÍTIMOS[[#This Row],[Estatus]]="","",MARÍTIMOS[[#This Row],[Estatus]]),"")</f>
        <v/>
      </c>
      <c r="BC715" s="43"/>
      <c r="BD715" s="46" t="str">
        <f>IFERROR(OLDBD[[#This Row],[Salida de almacén de retiro]]-OLDBD[[#This Row],[Ingreso Almacén de retiro]],"")</f>
        <v/>
      </c>
      <c r="BE715" s="46" t="str">
        <f>IFERROR(OLDBD[[#This Row],[Fin de Carga]]-OLDBD[[#This Row],[Inicio de Carga]],"")</f>
        <v/>
      </c>
    </row>
    <row r="716" spans="1:57" customFormat="1" hidden="1">
      <c r="A716" s="1"/>
      <c r="B716" s="1" t="str">
        <f>IFERROR(IF(MARÍTIMOS[[#This Row],[PP]]="","",MARÍTIMOS[[#This Row],[PP]]),"")</f>
        <v/>
      </c>
      <c r="C716" s="1" t="str">
        <f>IFERROR(IF(MARÍTIMOS[[#This Row],[Sede]]="","",MARÍTIMOS[[#This Row],[Sede]]),"")</f>
        <v/>
      </c>
      <c r="D716" s="1" t="str">
        <f>IFERROR(IF(MARÍTIMOS[[#This Row],[Instruction]]="","",MARÍTIMOS[[#This Row],[Instruction]]),"")</f>
        <v/>
      </c>
      <c r="E716" s="1"/>
      <c r="F716" s="2" t="str">
        <f>IFERROR(IF(MARÍTIMOS[[#This Row],[Transportista]]="","",MARÍTIMOS[[#This Row],[Transportista]]),"")</f>
        <v/>
      </c>
      <c r="G716" s="2" t="str">
        <f>IFERROR(IF(MARÍTIMOS[[#This Row],[Tercero]]="","",MARÍTIMOS[[#This Row],[Tercero]]),"")</f>
        <v/>
      </c>
      <c r="H716" s="2" t="str">
        <f>IFERROR(IF(MARÍTIMOS[[#This Row],[Razón Social]]="","",MARÍTIMOS[[#This Row],[Razón Social]]),"")</f>
        <v/>
      </c>
      <c r="I716" s="2" t="str">
        <f>IFERROR(IF(MARÍTIMOS[[#This Row],[RUC]]="","",MARÍTIMOS[[#This Row],[RUC]]),"")</f>
        <v/>
      </c>
      <c r="J716" s="2" t="str">
        <f>IFERROR(IF(MARÍTIMOS[[#This Row],[Placa Tracto]]="","",MARÍTIMOS[[#This Row],[Placa Tracto]]),"")</f>
        <v/>
      </c>
      <c r="K716" s="2" t="str">
        <f>IFERROR(IF(MARÍTIMOS[[#This Row],[Placa Carreta]]="","",MARÍTIMOS[[#This Row],[Placa Carreta]]),"")</f>
        <v/>
      </c>
      <c r="L716" s="44" t="str">
        <f>IFERROR(IF(MARÍTIMOS[[#This Row],[Conductor]]="","",MARÍTIMOS[[#This Row],[Conductor]]),"")</f>
        <v/>
      </c>
      <c r="M716" s="2" t="str">
        <f>IFERROR(IF(MARÍTIMOS[[#This Row],[Licencia]]="","",MARÍTIMOS[[#This Row],[Licencia]]),"")</f>
        <v/>
      </c>
      <c r="N716" s="2" t="str">
        <f>IFERROR(IF(MARÍTIMOS[[#This Row],[Número de Contacto]]="","",MARÍTIMOS[[#This Row],[Número de Contacto]]),"")</f>
        <v/>
      </c>
      <c r="O716" s="10" t="str">
        <f>IFERROR(IF(MARÍTIMOS[[#This Row],[Booking|AWB|CRT]]="","",MARÍTIMOS[[#This Row],[Booking|AWB|CRT]]),"")</f>
        <v/>
      </c>
      <c r="P716" s="2" t="str">
        <f>IFERROR(IF(MARÍTIMOS[[#This Row],[Contenedor]]="","",MARÍTIMOS[[#This Row],[Contenedor]]),"")</f>
        <v/>
      </c>
      <c r="Q716" s="2" t="str">
        <f>IFERROR(IF(MARÍTIMOS[[#This Row],[Puerto de Retiro]]="","",MARÍTIMOS[[#This Row],[Puerto de Retiro]]),"")</f>
        <v/>
      </c>
      <c r="R716" s="2" t="str">
        <f>IFERROR(IF(MARÍTIMOS[[#This Row],[Almacén de Retiro]]="","",MARÍTIMOS[[#This Row],[Almacén de Retiro]]),"")</f>
        <v/>
      </c>
      <c r="S716" s="11" t="str">
        <f>IFERROR(IF(MARÍTIMOS[[#This Row],[Etapa Retiro - Cita]]="","",MARÍTIMOS[[#This Row],[Etapa Retiro - Cita]]),"")</f>
        <v/>
      </c>
      <c r="T716" s="11" t="str">
        <f>IFERROR(IF(MARÍTIMOS[[#This Row],[Etapa Retiro - Llegada]]="","",MARÍTIMOS[[#This Row],[Etapa Retiro - Llegada]]),"")</f>
        <v/>
      </c>
      <c r="U716" s="11" t="str">
        <f>IFERROR(IF(MARÍTIMOS[[#This Row],[Etapa Retiro - Ingreso]]="","",MARÍTIMOS[[#This Row],[Etapa Retiro - Ingreso]]),"")</f>
        <v/>
      </c>
      <c r="V716" s="11" t="str">
        <f>IFERROR(IF(MARÍTIMOS[[#This Row],[Etapa Retiro - Atención]]="","",MARÍTIMOS[[#This Row],[Etapa Retiro - Atención]]),"")</f>
        <v/>
      </c>
      <c r="W716" s="11" t="str">
        <f>IFERROR(IF(MARÍTIMOS[[#This Row],[Etapa Retiro - Atención]]="","",MARÍTIMOS[[#This Row],[Etapa Retiro - Atención]]),"")</f>
        <v/>
      </c>
      <c r="X716" s="11" t="str">
        <f>IFERROR(IF(MARÍTIMOS[[#This Row],[Etapa Retiro - Inicio de Ruta]]="","",MARÍTIMOS[[#This Row],[Etapa Retiro - Inicio de Ruta]]),"")</f>
        <v/>
      </c>
      <c r="Y716" s="11" t="str">
        <f>IFERROR(IF(MARÍTIMOS[[#This Row],[Hora de Posicionamiento]]="","",MARÍTIMOS[[#This Row],[Fecha de Carga]]+MARÍTIMOS[[#This Row],[Hora de Posicionamiento]]),"")</f>
        <v/>
      </c>
      <c r="Z716" s="11" t="str">
        <f>IFERROR(IF(MARÍTIMOS[[#This Row],[Etapa Despacho - Llegada]]="","",MARÍTIMOS[[#This Row],[Etapa Despacho - Llegada]]),"")</f>
        <v/>
      </c>
      <c r="AA716" s="11" t="str">
        <f>IFERROR(IF(MARÍTIMOS[[#This Row],[Etapa Despacho - Registro]]="","",MARÍTIMOS[[#This Row],[Etapa Despacho - Registro]]),"")</f>
        <v/>
      </c>
      <c r="AB716" s="11" t="str">
        <f>IFERROR(IF(MARÍTIMOS[[#This Row],[Inspección Externa]]="","",MARÍTIMOS[[#This Row],[Inspección Externa]]),"")</f>
        <v/>
      </c>
      <c r="AC716" s="11" t="str">
        <f>IFERROR(IF(MARÍTIMOS[[#This Row],[Etapa Despacho - Inicio de Carga]]="","",MARÍTIMOS[[#This Row],[Etapa Despacho - Inicio de Carga]]),"")</f>
        <v/>
      </c>
      <c r="AD716" s="11" t="str">
        <f>IFERROR(IF(MARÍTIMOS[[#This Row],[Etapa Despacho - Mitad de Carga]]="","",MARÍTIMOS[[#This Row],[Etapa Despacho - Mitad de Carga]]),"")</f>
        <v/>
      </c>
      <c r="AE716" s="11" t="str">
        <f>IFERROR(IF(MARÍTIMOS[[#This Row],[Etapa Despacho - Fin de Carga]]="","",MARÍTIMOS[[#This Row],[Etapa Despacho - Fin de Carga]]),"")</f>
        <v/>
      </c>
      <c r="AF716" s="2" t="str">
        <f>IFERROR(IF(MARÍTIMOS[[#This Row],[Puerto de Embarque]]="","",MARÍTIMOS[[#This Row],[Puerto de Embarque]]),"")</f>
        <v/>
      </c>
      <c r="AG716" s="2" t="str">
        <f>IFERROR(IF(MARÍTIMOS[[#This Row],[Almacén de Ingreso]]="","",MARÍTIMOS[[#This Row],[Almacén de Ingreso]]),"")</f>
        <v/>
      </c>
      <c r="AH716" s="11" t="str">
        <f>IFERROR(IF(MARÍTIMOS[[#This Row],[Etapa Ingreso - Cita]]="","",MARÍTIMOS[[#This Row],[Etapa Ingreso - Cita]]),"")</f>
        <v/>
      </c>
      <c r="AI716" s="11" t="str">
        <f>IFERROR(IF(MARÍTIMOS[[#This Row],[Etapa Ingreso - Llegada]]="","",MARÍTIMOS[[#This Row],[Etapa Ingreso - Llegada]]),"")</f>
        <v/>
      </c>
      <c r="AJ716" s="11" t="str">
        <f>IFERROR(IF(MARÍTIMOS[[#This Row],[Etapa Ingreso - Ingeso]]="","",MARÍTIMOS[[#This Row],[Etapa Ingreso - Ingeso]]),"")</f>
        <v/>
      </c>
      <c r="AK716" s="11" t="str">
        <f>IFERROR(IF(MARÍTIMOS[[#This Row],[Etapa Ingreso - Atención]]="","",MARÍTIMOS[[#This Row],[Etapa Ingreso - Atención]]),"")</f>
        <v/>
      </c>
      <c r="AL716" s="11" t="str">
        <f>IFERROR(IF(MARÍTIMOS[[#This Row],[Etapa Ingreso - Salida]]="","",MARÍTIMOS[[#This Row],[Etapa Ingreso - Salida]]),"")</f>
        <v/>
      </c>
      <c r="AM716" s="2" t="str">
        <f>IFERROR(IF(MARÍTIMOS[[#This Row],[FCL]]="","",MARÍTIMOS[[#This Row],[FCL]]),"")</f>
        <v/>
      </c>
      <c r="AN7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6" s="4" t="str" cm="1">
        <f t="array" ref="AO7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6" s="5" t="str">
        <f>IFERROR(OLDBD[[#This Row],[Llegada a packing]]-OLDBD[[#This Row],[Inicio de Ruta]],"")</f>
        <v/>
      </c>
      <c r="AQ716" s="6" t="str">
        <f>IFERROR(OLDBD[[#This Row],[Inicio de Ruta]]-OLDBD[[#This Row],[Salida de almacén de retiro]],"")</f>
        <v/>
      </c>
      <c r="AR7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6" s="8" t="str" cm="1">
        <f t="array" ref="AS7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6" s="9" t="str">
        <f>IFERROR(OLDBD[[#This Row],[Ingreso Packing]]-OLDBD[[#This Row],[Registro en Packing]],"")</f>
        <v/>
      </c>
      <c r="AV716" s="9" t="str">
        <f>IFERROR(OLDBD[[#This Row],[Ingreso Packing]]-OLDBD[[#This Row],[Llegada a packing]],"")</f>
        <v/>
      </c>
      <c r="AW7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6" s="5" t="str">
        <f>IFERROR(OLDBD[[#This Row],[Llegada Almacén de Ingreso]]-OLDBD[[#This Row],[Salida Packing]],"")</f>
        <v/>
      </c>
      <c r="AY716" s="4" t="str" cm="1">
        <f t="array" ref="AY7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6" s="43" t="s">
        <v>173</v>
      </c>
      <c r="BB716" s="47" t="str">
        <f>IFERROR(IF(MARÍTIMOS[[#This Row],[Estatus]]="","",MARÍTIMOS[[#This Row],[Estatus]]),"")</f>
        <v/>
      </c>
      <c r="BC716" s="43"/>
      <c r="BD716" s="46" t="str">
        <f>IFERROR(OLDBD[[#This Row],[Salida de almacén de retiro]]-OLDBD[[#This Row],[Ingreso Almacén de retiro]],"")</f>
        <v/>
      </c>
      <c r="BE716" s="46" t="str">
        <f>IFERROR(OLDBD[[#This Row],[Fin de Carga]]-OLDBD[[#This Row],[Inicio de Carga]],"")</f>
        <v/>
      </c>
    </row>
    <row r="717" spans="1:57" customFormat="1" hidden="1">
      <c r="A717" s="1"/>
      <c r="B717" s="1" t="str">
        <f>IFERROR(IF(MARÍTIMOS[[#This Row],[PP]]="","",MARÍTIMOS[[#This Row],[PP]]),"")</f>
        <v/>
      </c>
      <c r="C717" s="1" t="str">
        <f>IFERROR(IF(MARÍTIMOS[[#This Row],[Sede]]="","",MARÍTIMOS[[#This Row],[Sede]]),"")</f>
        <v/>
      </c>
      <c r="D717" s="1" t="str">
        <f>IFERROR(IF(MARÍTIMOS[[#This Row],[Instruction]]="","",MARÍTIMOS[[#This Row],[Instruction]]),"")</f>
        <v/>
      </c>
      <c r="E717" s="1"/>
      <c r="F717" s="2" t="str">
        <f>IFERROR(IF(MARÍTIMOS[[#This Row],[Transportista]]="","",MARÍTIMOS[[#This Row],[Transportista]]),"")</f>
        <v/>
      </c>
      <c r="G717" s="2" t="str">
        <f>IFERROR(IF(MARÍTIMOS[[#This Row],[Tercero]]="","",MARÍTIMOS[[#This Row],[Tercero]]),"")</f>
        <v/>
      </c>
      <c r="H717" s="2" t="str">
        <f>IFERROR(IF(MARÍTIMOS[[#This Row],[Razón Social]]="","",MARÍTIMOS[[#This Row],[Razón Social]]),"")</f>
        <v/>
      </c>
      <c r="I717" s="2" t="str">
        <f>IFERROR(IF(MARÍTIMOS[[#This Row],[RUC]]="","",MARÍTIMOS[[#This Row],[RUC]]),"")</f>
        <v/>
      </c>
      <c r="J717" s="2" t="str">
        <f>IFERROR(IF(MARÍTIMOS[[#This Row],[Placa Tracto]]="","",MARÍTIMOS[[#This Row],[Placa Tracto]]),"")</f>
        <v/>
      </c>
      <c r="K717" s="2" t="str">
        <f>IFERROR(IF(MARÍTIMOS[[#This Row],[Placa Carreta]]="","",MARÍTIMOS[[#This Row],[Placa Carreta]]),"")</f>
        <v/>
      </c>
      <c r="L717" s="44" t="str">
        <f>IFERROR(IF(MARÍTIMOS[[#This Row],[Conductor]]="","",MARÍTIMOS[[#This Row],[Conductor]]),"")</f>
        <v/>
      </c>
      <c r="M717" s="2" t="str">
        <f>IFERROR(IF(MARÍTIMOS[[#This Row],[Licencia]]="","",MARÍTIMOS[[#This Row],[Licencia]]),"")</f>
        <v/>
      </c>
      <c r="N717" s="2" t="str">
        <f>IFERROR(IF(MARÍTIMOS[[#This Row],[Número de Contacto]]="","",MARÍTIMOS[[#This Row],[Número de Contacto]]),"")</f>
        <v/>
      </c>
      <c r="O717" s="10" t="str">
        <f>IFERROR(IF(MARÍTIMOS[[#This Row],[Booking|AWB|CRT]]="","",MARÍTIMOS[[#This Row],[Booking|AWB|CRT]]),"")</f>
        <v/>
      </c>
      <c r="P717" s="2" t="str">
        <f>IFERROR(IF(MARÍTIMOS[[#This Row],[Contenedor]]="","",MARÍTIMOS[[#This Row],[Contenedor]]),"")</f>
        <v/>
      </c>
      <c r="Q717" s="2" t="str">
        <f>IFERROR(IF(MARÍTIMOS[[#This Row],[Puerto de Retiro]]="","",MARÍTIMOS[[#This Row],[Puerto de Retiro]]),"")</f>
        <v/>
      </c>
      <c r="R717" s="2" t="str">
        <f>IFERROR(IF(MARÍTIMOS[[#This Row],[Almacén de Retiro]]="","",MARÍTIMOS[[#This Row],[Almacén de Retiro]]),"")</f>
        <v/>
      </c>
      <c r="S717" s="11" t="str">
        <f>IFERROR(IF(MARÍTIMOS[[#This Row],[Etapa Retiro - Cita]]="","",MARÍTIMOS[[#This Row],[Etapa Retiro - Cita]]),"")</f>
        <v/>
      </c>
      <c r="T717" s="11" t="str">
        <f>IFERROR(IF(MARÍTIMOS[[#This Row],[Etapa Retiro - Llegada]]="","",MARÍTIMOS[[#This Row],[Etapa Retiro - Llegada]]),"")</f>
        <v/>
      </c>
      <c r="U717" s="11" t="str">
        <f>IFERROR(IF(MARÍTIMOS[[#This Row],[Etapa Retiro - Ingreso]]="","",MARÍTIMOS[[#This Row],[Etapa Retiro - Ingreso]]),"")</f>
        <v/>
      </c>
      <c r="V717" s="11" t="str">
        <f>IFERROR(IF(MARÍTIMOS[[#This Row],[Etapa Retiro - Atención]]="","",MARÍTIMOS[[#This Row],[Etapa Retiro - Atención]]),"")</f>
        <v/>
      </c>
      <c r="W717" s="11" t="str">
        <f>IFERROR(IF(MARÍTIMOS[[#This Row],[Etapa Retiro - Atención]]="","",MARÍTIMOS[[#This Row],[Etapa Retiro - Atención]]),"")</f>
        <v/>
      </c>
      <c r="X717" s="11" t="str">
        <f>IFERROR(IF(MARÍTIMOS[[#This Row],[Etapa Retiro - Inicio de Ruta]]="","",MARÍTIMOS[[#This Row],[Etapa Retiro - Inicio de Ruta]]),"")</f>
        <v/>
      </c>
      <c r="Y717" s="11" t="str">
        <f>IFERROR(IF(MARÍTIMOS[[#This Row],[Hora de Posicionamiento]]="","",MARÍTIMOS[[#This Row],[Fecha de Carga]]+MARÍTIMOS[[#This Row],[Hora de Posicionamiento]]),"")</f>
        <v/>
      </c>
      <c r="Z717" s="11" t="str">
        <f>IFERROR(IF(MARÍTIMOS[[#This Row],[Etapa Despacho - Llegada]]="","",MARÍTIMOS[[#This Row],[Etapa Despacho - Llegada]]),"")</f>
        <v/>
      </c>
      <c r="AA717" s="11" t="str">
        <f>IFERROR(IF(MARÍTIMOS[[#This Row],[Etapa Despacho - Registro]]="","",MARÍTIMOS[[#This Row],[Etapa Despacho - Registro]]),"")</f>
        <v/>
      </c>
      <c r="AB717" s="11" t="str">
        <f>IFERROR(IF(MARÍTIMOS[[#This Row],[Inspección Externa]]="","",MARÍTIMOS[[#This Row],[Inspección Externa]]),"")</f>
        <v/>
      </c>
      <c r="AC717" s="11" t="str">
        <f>IFERROR(IF(MARÍTIMOS[[#This Row],[Etapa Despacho - Inicio de Carga]]="","",MARÍTIMOS[[#This Row],[Etapa Despacho - Inicio de Carga]]),"")</f>
        <v/>
      </c>
      <c r="AD717" s="11" t="str">
        <f>IFERROR(IF(MARÍTIMOS[[#This Row],[Etapa Despacho - Mitad de Carga]]="","",MARÍTIMOS[[#This Row],[Etapa Despacho - Mitad de Carga]]),"")</f>
        <v/>
      </c>
      <c r="AE717" s="11" t="str">
        <f>IFERROR(IF(MARÍTIMOS[[#This Row],[Etapa Despacho - Fin de Carga]]="","",MARÍTIMOS[[#This Row],[Etapa Despacho - Fin de Carga]]),"")</f>
        <v/>
      </c>
      <c r="AF717" s="2" t="str">
        <f>IFERROR(IF(MARÍTIMOS[[#This Row],[Puerto de Embarque]]="","",MARÍTIMOS[[#This Row],[Puerto de Embarque]]),"")</f>
        <v/>
      </c>
      <c r="AG717" s="2" t="str">
        <f>IFERROR(IF(MARÍTIMOS[[#This Row],[Almacén de Ingreso]]="","",MARÍTIMOS[[#This Row],[Almacén de Ingreso]]),"")</f>
        <v/>
      </c>
      <c r="AH717" s="11" t="str">
        <f>IFERROR(IF(MARÍTIMOS[[#This Row],[Etapa Ingreso - Cita]]="","",MARÍTIMOS[[#This Row],[Etapa Ingreso - Cita]]),"")</f>
        <v/>
      </c>
      <c r="AI717" s="11" t="str">
        <f>IFERROR(IF(MARÍTIMOS[[#This Row],[Etapa Ingreso - Llegada]]="","",MARÍTIMOS[[#This Row],[Etapa Ingreso - Llegada]]),"")</f>
        <v/>
      </c>
      <c r="AJ717" s="11" t="str">
        <f>IFERROR(IF(MARÍTIMOS[[#This Row],[Etapa Ingreso - Ingeso]]="","",MARÍTIMOS[[#This Row],[Etapa Ingreso - Ingeso]]),"")</f>
        <v/>
      </c>
      <c r="AK717" s="11" t="str">
        <f>IFERROR(IF(MARÍTIMOS[[#This Row],[Etapa Ingreso - Atención]]="","",MARÍTIMOS[[#This Row],[Etapa Ingreso - Atención]]),"")</f>
        <v/>
      </c>
      <c r="AL717" s="11" t="str">
        <f>IFERROR(IF(MARÍTIMOS[[#This Row],[Etapa Ingreso - Salida]]="","",MARÍTIMOS[[#This Row],[Etapa Ingreso - Salida]]),"")</f>
        <v/>
      </c>
      <c r="AM717" s="2" t="str">
        <f>IFERROR(IF(MARÍTIMOS[[#This Row],[FCL]]="","",MARÍTIMOS[[#This Row],[FCL]]),"")</f>
        <v/>
      </c>
      <c r="AN7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7" s="4" t="str" cm="1">
        <f t="array" ref="AO7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7" s="5" t="str">
        <f>IFERROR(OLDBD[[#This Row],[Llegada a packing]]-OLDBD[[#This Row],[Inicio de Ruta]],"")</f>
        <v/>
      </c>
      <c r="AQ717" s="6" t="str">
        <f>IFERROR(OLDBD[[#This Row],[Inicio de Ruta]]-OLDBD[[#This Row],[Salida de almacén de retiro]],"")</f>
        <v/>
      </c>
      <c r="AR7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7" s="8" t="str" cm="1">
        <f t="array" ref="AS7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7" s="9" t="str">
        <f>IFERROR(OLDBD[[#This Row],[Ingreso Packing]]-OLDBD[[#This Row],[Registro en Packing]],"")</f>
        <v/>
      </c>
      <c r="AV717" s="9" t="str">
        <f>IFERROR(OLDBD[[#This Row],[Ingreso Packing]]-OLDBD[[#This Row],[Llegada a packing]],"")</f>
        <v/>
      </c>
      <c r="AW7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7" s="5" t="str">
        <f>IFERROR(OLDBD[[#This Row],[Llegada Almacén de Ingreso]]-OLDBD[[#This Row],[Salida Packing]],"")</f>
        <v/>
      </c>
      <c r="AY717" s="4" t="str" cm="1">
        <f t="array" ref="AY7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7" s="43" t="s">
        <v>173</v>
      </c>
      <c r="BB717" s="47" t="str">
        <f>IFERROR(IF(MARÍTIMOS[[#This Row],[Estatus]]="","",MARÍTIMOS[[#This Row],[Estatus]]),"")</f>
        <v/>
      </c>
      <c r="BC717" s="43"/>
      <c r="BD717" s="46" t="str">
        <f>IFERROR(OLDBD[[#This Row],[Salida de almacén de retiro]]-OLDBD[[#This Row],[Ingreso Almacén de retiro]],"")</f>
        <v/>
      </c>
      <c r="BE717" s="46" t="str">
        <f>IFERROR(OLDBD[[#This Row],[Fin de Carga]]-OLDBD[[#This Row],[Inicio de Carga]],"")</f>
        <v/>
      </c>
    </row>
    <row r="718" spans="1:57" customFormat="1" hidden="1">
      <c r="A718" s="1"/>
      <c r="B718" s="1" t="str">
        <f>IFERROR(IF(MARÍTIMOS[[#This Row],[PP]]="","",MARÍTIMOS[[#This Row],[PP]]),"")</f>
        <v/>
      </c>
      <c r="C718" s="1" t="str">
        <f>IFERROR(IF(MARÍTIMOS[[#This Row],[Sede]]="","",MARÍTIMOS[[#This Row],[Sede]]),"")</f>
        <v/>
      </c>
      <c r="D718" s="1" t="str">
        <f>IFERROR(IF(MARÍTIMOS[[#This Row],[Instruction]]="","",MARÍTIMOS[[#This Row],[Instruction]]),"")</f>
        <v/>
      </c>
      <c r="E718" s="1"/>
      <c r="F718" s="2" t="str">
        <f>IFERROR(IF(MARÍTIMOS[[#This Row],[Transportista]]="","",MARÍTIMOS[[#This Row],[Transportista]]),"")</f>
        <v/>
      </c>
      <c r="G718" s="2" t="str">
        <f>IFERROR(IF(MARÍTIMOS[[#This Row],[Tercero]]="","",MARÍTIMOS[[#This Row],[Tercero]]),"")</f>
        <v/>
      </c>
      <c r="H718" s="2" t="str">
        <f>IFERROR(IF(MARÍTIMOS[[#This Row],[Razón Social]]="","",MARÍTIMOS[[#This Row],[Razón Social]]),"")</f>
        <v/>
      </c>
      <c r="I718" s="2" t="str">
        <f>IFERROR(IF(MARÍTIMOS[[#This Row],[RUC]]="","",MARÍTIMOS[[#This Row],[RUC]]),"")</f>
        <v/>
      </c>
      <c r="J718" s="2" t="str">
        <f>IFERROR(IF(MARÍTIMOS[[#This Row],[Placa Tracto]]="","",MARÍTIMOS[[#This Row],[Placa Tracto]]),"")</f>
        <v/>
      </c>
      <c r="K718" s="2" t="str">
        <f>IFERROR(IF(MARÍTIMOS[[#This Row],[Placa Carreta]]="","",MARÍTIMOS[[#This Row],[Placa Carreta]]),"")</f>
        <v/>
      </c>
      <c r="L718" s="44" t="str">
        <f>IFERROR(IF(MARÍTIMOS[[#This Row],[Conductor]]="","",MARÍTIMOS[[#This Row],[Conductor]]),"")</f>
        <v/>
      </c>
      <c r="M718" s="2" t="str">
        <f>IFERROR(IF(MARÍTIMOS[[#This Row],[Licencia]]="","",MARÍTIMOS[[#This Row],[Licencia]]),"")</f>
        <v/>
      </c>
      <c r="N718" s="2" t="str">
        <f>IFERROR(IF(MARÍTIMOS[[#This Row],[Número de Contacto]]="","",MARÍTIMOS[[#This Row],[Número de Contacto]]),"")</f>
        <v/>
      </c>
      <c r="O718" s="10" t="str">
        <f>IFERROR(IF(MARÍTIMOS[[#This Row],[Booking|AWB|CRT]]="","",MARÍTIMOS[[#This Row],[Booking|AWB|CRT]]),"")</f>
        <v/>
      </c>
      <c r="P718" s="2" t="str">
        <f>IFERROR(IF(MARÍTIMOS[[#This Row],[Contenedor]]="","",MARÍTIMOS[[#This Row],[Contenedor]]),"")</f>
        <v/>
      </c>
      <c r="Q718" s="2" t="str">
        <f>IFERROR(IF(MARÍTIMOS[[#This Row],[Puerto de Retiro]]="","",MARÍTIMOS[[#This Row],[Puerto de Retiro]]),"")</f>
        <v/>
      </c>
      <c r="R718" s="2" t="str">
        <f>IFERROR(IF(MARÍTIMOS[[#This Row],[Almacén de Retiro]]="","",MARÍTIMOS[[#This Row],[Almacén de Retiro]]),"")</f>
        <v/>
      </c>
      <c r="S718" s="11" t="str">
        <f>IFERROR(IF(MARÍTIMOS[[#This Row],[Etapa Retiro - Cita]]="","",MARÍTIMOS[[#This Row],[Etapa Retiro - Cita]]),"")</f>
        <v/>
      </c>
      <c r="T718" s="11" t="str">
        <f>IFERROR(IF(MARÍTIMOS[[#This Row],[Etapa Retiro - Llegada]]="","",MARÍTIMOS[[#This Row],[Etapa Retiro - Llegada]]),"")</f>
        <v/>
      </c>
      <c r="U718" s="11" t="str">
        <f>IFERROR(IF(MARÍTIMOS[[#This Row],[Etapa Retiro - Ingreso]]="","",MARÍTIMOS[[#This Row],[Etapa Retiro - Ingreso]]),"")</f>
        <v/>
      </c>
      <c r="V718" s="11" t="str">
        <f>IFERROR(IF(MARÍTIMOS[[#This Row],[Etapa Retiro - Atención]]="","",MARÍTIMOS[[#This Row],[Etapa Retiro - Atención]]),"")</f>
        <v/>
      </c>
      <c r="W718" s="11" t="str">
        <f>IFERROR(IF(MARÍTIMOS[[#This Row],[Etapa Retiro - Atención]]="","",MARÍTIMOS[[#This Row],[Etapa Retiro - Atención]]),"")</f>
        <v/>
      </c>
      <c r="X718" s="11" t="str">
        <f>IFERROR(IF(MARÍTIMOS[[#This Row],[Etapa Retiro - Inicio de Ruta]]="","",MARÍTIMOS[[#This Row],[Etapa Retiro - Inicio de Ruta]]),"")</f>
        <v/>
      </c>
      <c r="Y718" s="11" t="str">
        <f>IFERROR(IF(MARÍTIMOS[[#This Row],[Hora de Posicionamiento]]="","",MARÍTIMOS[[#This Row],[Fecha de Carga]]+MARÍTIMOS[[#This Row],[Hora de Posicionamiento]]),"")</f>
        <v/>
      </c>
      <c r="Z718" s="11" t="str">
        <f>IFERROR(IF(MARÍTIMOS[[#This Row],[Etapa Despacho - Llegada]]="","",MARÍTIMOS[[#This Row],[Etapa Despacho - Llegada]]),"")</f>
        <v/>
      </c>
      <c r="AA718" s="11" t="str">
        <f>IFERROR(IF(MARÍTIMOS[[#This Row],[Etapa Despacho - Registro]]="","",MARÍTIMOS[[#This Row],[Etapa Despacho - Registro]]),"")</f>
        <v/>
      </c>
      <c r="AB718" s="11" t="str">
        <f>IFERROR(IF(MARÍTIMOS[[#This Row],[Inspección Externa]]="","",MARÍTIMOS[[#This Row],[Inspección Externa]]),"")</f>
        <v/>
      </c>
      <c r="AC718" s="11" t="str">
        <f>IFERROR(IF(MARÍTIMOS[[#This Row],[Etapa Despacho - Inicio de Carga]]="","",MARÍTIMOS[[#This Row],[Etapa Despacho - Inicio de Carga]]),"")</f>
        <v/>
      </c>
      <c r="AD718" s="11" t="str">
        <f>IFERROR(IF(MARÍTIMOS[[#This Row],[Etapa Despacho - Mitad de Carga]]="","",MARÍTIMOS[[#This Row],[Etapa Despacho - Mitad de Carga]]),"")</f>
        <v/>
      </c>
      <c r="AE718" s="11" t="str">
        <f>IFERROR(IF(MARÍTIMOS[[#This Row],[Etapa Despacho - Fin de Carga]]="","",MARÍTIMOS[[#This Row],[Etapa Despacho - Fin de Carga]]),"")</f>
        <v/>
      </c>
      <c r="AF718" s="2" t="str">
        <f>IFERROR(IF(MARÍTIMOS[[#This Row],[Puerto de Embarque]]="","",MARÍTIMOS[[#This Row],[Puerto de Embarque]]),"")</f>
        <v/>
      </c>
      <c r="AG718" s="2" t="str">
        <f>IFERROR(IF(MARÍTIMOS[[#This Row],[Almacén de Ingreso]]="","",MARÍTIMOS[[#This Row],[Almacén de Ingreso]]),"")</f>
        <v/>
      </c>
      <c r="AH718" s="11" t="str">
        <f>IFERROR(IF(MARÍTIMOS[[#This Row],[Etapa Ingreso - Cita]]="","",MARÍTIMOS[[#This Row],[Etapa Ingreso - Cita]]),"")</f>
        <v/>
      </c>
      <c r="AI718" s="11" t="str">
        <f>IFERROR(IF(MARÍTIMOS[[#This Row],[Etapa Ingreso - Llegada]]="","",MARÍTIMOS[[#This Row],[Etapa Ingreso - Llegada]]),"")</f>
        <v/>
      </c>
      <c r="AJ718" s="11" t="str">
        <f>IFERROR(IF(MARÍTIMOS[[#This Row],[Etapa Ingreso - Ingeso]]="","",MARÍTIMOS[[#This Row],[Etapa Ingreso - Ingeso]]),"")</f>
        <v/>
      </c>
      <c r="AK718" s="11" t="str">
        <f>IFERROR(IF(MARÍTIMOS[[#This Row],[Etapa Ingreso - Atención]]="","",MARÍTIMOS[[#This Row],[Etapa Ingreso - Atención]]),"")</f>
        <v/>
      </c>
      <c r="AL718" s="11" t="str">
        <f>IFERROR(IF(MARÍTIMOS[[#This Row],[Etapa Ingreso - Salida]]="","",MARÍTIMOS[[#This Row],[Etapa Ingreso - Salida]]),"")</f>
        <v/>
      </c>
      <c r="AM718" s="2" t="str">
        <f>IFERROR(IF(MARÍTIMOS[[#This Row],[FCL]]="","",MARÍTIMOS[[#This Row],[FCL]]),"")</f>
        <v/>
      </c>
      <c r="AN7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8" s="4" t="str" cm="1">
        <f t="array" ref="AO7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8" s="5" t="str">
        <f>IFERROR(OLDBD[[#This Row],[Llegada a packing]]-OLDBD[[#This Row],[Inicio de Ruta]],"")</f>
        <v/>
      </c>
      <c r="AQ718" s="6" t="str">
        <f>IFERROR(OLDBD[[#This Row],[Inicio de Ruta]]-OLDBD[[#This Row],[Salida de almacén de retiro]],"")</f>
        <v/>
      </c>
      <c r="AR7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8" s="8" t="str" cm="1">
        <f t="array" ref="AS7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8" s="9" t="str">
        <f>IFERROR(OLDBD[[#This Row],[Ingreso Packing]]-OLDBD[[#This Row],[Registro en Packing]],"")</f>
        <v/>
      </c>
      <c r="AV718" s="9" t="str">
        <f>IFERROR(OLDBD[[#This Row],[Ingreso Packing]]-OLDBD[[#This Row],[Llegada a packing]],"")</f>
        <v/>
      </c>
      <c r="AW7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8" s="5" t="str">
        <f>IFERROR(OLDBD[[#This Row],[Llegada Almacén de Ingreso]]-OLDBD[[#This Row],[Salida Packing]],"")</f>
        <v/>
      </c>
      <c r="AY718" s="4" t="str" cm="1">
        <f t="array" ref="AY7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8" s="43" t="s">
        <v>173</v>
      </c>
      <c r="BB718" s="47" t="str">
        <f>IFERROR(IF(MARÍTIMOS[[#This Row],[Estatus]]="","",MARÍTIMOS[[#This Row],[Estatus]]),"")</f>
        <v/>
      </c>
      <c r="BC718" s="43"/>
      <c r="BD718" s="46" t="str">
        <f>IFERROR(OLDBD[[#This Row],[Salida de almacén de retiro]]-OLDBD[[#This Row],[Ingreso Almacén de retiro]],"")</f>
        <v/>
      </c>
      <c r="BE718" s="46" t="str">
        <f>IFERROR(OLDBD[[#This Row],[Fin de Carga]]-OLDBD[[#This Row],[Inicio de Carga]],"")</f>
        <v/>
      </c>
    </row>
    <row r="719" spans="1:57" customFormat="1" hidden="1">
      <c r="A719" s="1"/>
      <c r="B719" s="1" t="str">
        <f>IFERROR(IF(MARÍTIMOS[[#This Row],[PP]]="","",MARÍTIMOS[[#This Row],[PP]]),"")</f>
        <v/>
      </c>
      <c r="C719" s="1" t="str">
        <f>IFERROR(IF(MARÍTIMOS[[#This Row],[Sede]]="","",MARÍTIMOS[[#This Row],[Sede]]),"")</f>
        <v/>
      </c>
      <c r="D719" s="1" t="str">
        <f>IFERROR(IF(MARÍTIMOS[[#This Row],[Instruction]]="","",MARÍTIMOS[[#This Row],[Instruction]]),"")</f>
        <v/>
      </c>
      <c r="E719" s="1"/>
      <c r="F719" s="2" t="str">
        <f>IFERROR(IF(MARÍTIMOS[[#This Row],[Transportista]]="","",MARÍTIMOS[[#This Row],[Transportista]]),"")</f>
        <v/>
      </c>
      <c r="G719" s="2" t="str">
        <f>IFERROR(IF(MARÍTIMOS[[#This Row],[Tercero]]="","",MARÍTIMOS[[#This Row],[Tercero]]),"")</f>
        <v/>
      </c>
      <c r="H719" s="2" t="str">
        <f>IFERROR(IF(MARÍTIMOS[[#This Row],[Razón Social]]="","",MARÍTIMOS[[#This Row],[Razón Social]]),"")</f>
        <v/>
      </c>
      <c r="I719" s="2" t="str">
        <f>IFERROR(IF(MARÍTIMOS[[#This Row],[RUC]]="","",MARÍTIMOS[[#This Row],[RUC]]),"")</f>
        <v/>
      </c>
      <c r="J719" s="2" t="str">
        <f>IFERROR(IF(MARÍTIMOS[[#This Row],[Placa Tracto]]="","",MARÍTIMOS[[#This Row],[Placa Tracto]]),"")</f>
        <v/>
      </c>
      <c r="K719" s="2" t="str">
        <f>IFERROR(IF(MARÍTIMOS[[#This Row],[Placa Carreta]]="","",MARÍTIMOS[[#This Row],[Placa Carreta]]),"")</f>
        <v/>
      </c>
      <c r="L719" s="44" t="str">
        <f>IFERROR(IF(MARÍTIMOS[[#This Row],[Conductor]]="","",MARÍTIMOS[[#This Row],[Conductor]]),"")</f>
        <v/>
      </c>
      <c r="M719" s="2" t="str">
        <f>IFERROR(IF(MARÍTIMOS[[#This Row],[Licencia]]="","",MARÍTIMOS[[#This Row],[Licencia]]),"")</f>
        <v/>
      </c>
      <c r="N719" s="2" t="str">
        <f>IFERROR(IF(MARÍTIMOS[[#This Row],[Número de Contacto]]="","",MARÍTIMOS[[#This Row],[Número de Contacto]]),"")</f>
        <v/>
      </c>
      <c r="O719" s="10" t="str">
        <f>IFERROR(IF(MARÍTIMOS[[#This Row],[Booking|AWB|CRT]]="","",MARÍTIMOS[[#This Row],[Booking|AWB|CRT]]),"")</f>
        <v/>
      </c>
      <c r="P719" s="2" t="str">
        <f>IFERROR(IF(MARÍTIMOS[[#This Row],[Contenedor]]="","",MARÍTIMOS[[#This Row],[Contenedor]]),"")</f>
        <v/>
      </c>
      <c r="Q719" s="2" t="str">
        <f>IFERROR(IF(MARÍTIMOS[[#This Row],[Puerto de Retiro]]="","",MARÍTIMOS[[#This Row],[Puerto de Retiro]]),"")</f>
        <v/>
      </c>
      <c r="R719" s="2" t="str">
        <f>IFERROR(IF(MARÍTIMOS[[#This Row],[Almacén de Retiro]]="","",MARÍTIMOS[[#This Row],[Almacén de Retiro]]),"")</f>
        <v/>
      </c>
      <c r="S719" s="11" t="str">
        <f>IFERROR(IF(MARÍTIMOS[[#This Row],[Etapa Retiro - Cita]]="","",MARÍTIMOS[[#This Row],[Etapa Retiro - Cita]]),"")</f>
        <v/>
      </c>
      <c r="T719" s="11" t="str">
        <f>IFERROR(IF(MARÍTIMOS[[#This Row],[Etapa Retiro - Llegada]]="","",MARÍTIMOS[[#This Row],[Etapa Retiro - Llegada]]),"")</f>
        <v/>
      </c>
      <c r="U719" s="11" t="str">
        <f>IFERROR(IF(MARÍTIMOS[[#This Row],[Etapa Retiro - Ingreso]]="","",MARÍTIMOS[[#This Row],[Etapa Retiro - Ingreso]]),"")</f>
        <v/>
      </c>
      <c r="V719" s="11" t="str">
        <f>IFERROR(IF(MARÍTIMOS[[#This Row],[Etapa Retiro - Atención]]="","",MARÍTIMOS[[#This Row],[Etapa Retiro - Atención]]),"")</f>
        <v/>
      </c>
      <c r="W719" s="11" t="str">
        <f>IFERROR(IF(MARÍTIMOS[[#This Row],[Etapa Retiro - Atención]]="","",MARÍTIMOS[[#This Row],[Etapa Retiro - Atención]]),"")</f>
        <v/>
      </c>
      <c r="X719" s="11" t="str">
        <f>IFERROR(IF(MARÍTIMOS[[#This Row],[Etapa Retiro - Inicio de Ruta]]="","",MARÍTIMOS[[#This Row],[Etapa Retiro - Inicio de Ruta]]),"")</f>
        <v/>
      </c>
      <c r="Y719" s="11" t="str">
        <f>IFERROR(IF(MARÍTIMOS[[#This Row],[Hora de Posicionamiento]]="","",MARÍTIMOS[[#This Row],[Fecha de Carga]]+MARÍTIMOS[[#This Row],[Hora de Posicionamiento]]),"")</f>
        <v/>
      </c>
      <c r="Z719" s="11" t="str">
        <f>IFERROR(IF(MARÍTIMOS[[#This Row],[Etapa Despacho - Llegada]]="","",MARÍTIMOS[[#This Row],[Etapa Despacho - Llegada]]),"")</f>
        <v/>
      </c>
      <c r="AA719" s="11" t="str">
        <f>IFERROR(IF(MARÍTIMOS[[#This Row],[Etapa Despacho - Registro]]="","",MARÍTIMOS[[#This Row],[Etapa Despacho - Registro]]),"")</f>
        <v/>
      </c>
      <c r="AB719" s="11" t="str">
        <f>IFERROR(IF(MARÍTIMOS[[#This Row],[Inspección Externa]]="","",MARÍTIMOS[[#This Row],[Inspección Externa]]),"")</f>
        <v/>
      </c>
      <c r="AC719" s="11" t="str">
        <f>IFERROR(IF(MARÍTIMOS[[#This Row],[Etapa Despacho - Inicio de Carga]]="","",MARÍTIMOS[[#This Row],[Etapa Despacho - Inicio de Carga]]),"")</f>
        <v/>
      </c>
      <c r="AD719" s="11" t="str">
        <f>IFERROR(IF(MARÍTIMOS[[#This Row],[Etapa Despacho - Mitad de Carga]]="","",MARÍTIMOS[[#This Row],[Etapa Despacho - Mitad de Carga]]),"")</f>
        <v/>
      </c>
      <c r="AE719" s="11" t="str">
        <f>IFERROR(IF(MARÍTIMOS[[#This Row],[Etapa Despacho - Fin de Carga]]="","",MARÍTIMOS[[#This Row],[Etapa Despacho - Fin de Carga]]),"")</f>
        <v/>
      </c>
      <c r="AF719" s="2" t="str">
        <f>IFERROR(IF(MARÍTIMOS[[#This Row],[Puerto de Embarque]]="","",MARÍTIMOS[[#This Row],[Puerto de Embarque]]),"")</f>
        <v/>
      </c>
      <c r="AG719" s="2" t="str">
        <f>IFERROR(IF(MARÍTIMOS[[#This Row],[Almacén de Ingreso]]="","",MARÍTIMOS[[#This Row],[Almacén de Ingreso]]),"")</f>
        <v/>
      </c>
      <c r="AH719" s="11" t="str">
        <f>IFERROR(IF(MARÍTIMOS[[#This Row],[Etapa Ingreso - Cita]]="","",MARÍTIMOS[[#This Row],[Etapa Ingreso - Cita]]),"")</f>
        <v/>
      </c>
      <c r="AI719" s="11" t="str">
        <f>IFERROR(IF(MARÍTIMOS[[#This Row],[Etapa Ingreso - Llegada]]="","",MARÍTIMOS[[#This Row],[Etapa Ingreso - Llegada]]),"")</f>
        <v/>
      </c>
      <c r="AJ719" s="11" t="str">
        <f>IFERROR(IF(MARÍTIMOS[[#This Row],[Etapa Ingreso - Ingeso]]="","",MARÍTIMOS[[#This Row],[Etapa Ingreso - Ingeso]]),"")</f>
        <v/>
      </c>
      <c r="AK719" s="11" t="str">
        <f>IFERROR(IF(MARÍTIMOS[[#This Row],[Etapa Ingreso - Atención]]="","",MARÍTIMOS[[#This Row],[Etapa Ingreso - Atención]]),"")</f>
        <v/>
      </c>
      <c r="AL719" s="11" t="str">
        <f>IFERROR(IF(MARÍTIMOS[[#This Row],[Etapa Ingreso - Salida]]="","",MARÍTIMOS[[#This Row],[Etapa Ingreso - Salida]]),"")</f>
        <v/>
      </c>
      <c r="AM719" s="2" t="str">
        <f>IFERROR(IF(MARÍTIMOS[[#This Row],[FCL]]="","",MARÍTIMOS[[#This Row],[FCL]]),"")</f>
        <v/>
      </c>
      <c r="AN7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19" s="4" t="str" cm="1">
        <f t="array" ref="AO7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19" s="5" t="str">
        <f>IFERROR(OLDBD[[#This Row],[Llegada a packing]]-OLDBD[[#This Row],[Inicio de Ruta]],"")</f>
        <v/>
      </c>
      <c r="AQ719" s="6" t="str">
        <f>IFERROR(OLDBD[[#This Row],[Inicio de Ruta]]-OLDBD[[#This Row],[Salida de almacén de retiro]],"")</f>
        <v/>
      </c>
      <c r="AR7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19" s="8" t="str" cm="1">
        <f t="array" ref="AS7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19" s="9" t="str">
        <f>IFERROR(OLDBD[[#This Row],[Ingreso Packing]]-OLDBD[[#This Row],[Registro en Packing]],"")</f>
        <v/>
      </c>
      <c r="AV719" s="9" t="str">
        <f>IFERROR(OLDBD[[#This Row],[Ingreso Packing]]-OLDBD[[#This Row],[Llegada a packing]],"")</f>
        <v/>
      </c>
      <c r="AW7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19" s="5" t="str">
        <f>IFERROR(OLDBD[[#This Row],[Llegada Almacén de Ingreso]]-OLDBD[[#This Row],[Salida Packing]],"")</f>
        <v/>
      </c>
      <c r="AY719" s="4" t="str" cm="1">
        <f t="array" ref="AY7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19" s="43" t="s">
        <v>173</v>
      </c>
      <c r="BB719" s="47" t="str">
        <f>IFERROR(IF(MARÍTIMOS[[#This Row],[Estatus]]="","",MARÍTIMOS[[#This Row],[Estatus]]),"")</f>
        <v/>
      </c>
      <c r="BC719" s="43"/>
      <c r="BD719" s="46" t="str">
        <f>IFERROR(OLDBD[[#This Row],[Salida de almacén de retiro]]-OLDBD[[#This Row],[Ingreso Almacén de retiro]],"")</f>
        <v/>
      </c>
      <c r="BE719" s="46" t="str">
        <f>IFERROR(OLDBD[[#This Row],[Fin de Carga]]-OLDBD[[#This Row],[Inicio de Carga]],"")</f>
        <v/>
      </c>
    </row>
    <row r="720" spans="1:57" customFormat="1" hidden="1">
      <c r="A720" s="1"/>
      <c r="B720" s="1" t="str">
        <f>IFERROR(IF(MARÍTIMOS[[#This Row],[PP]]="","",MARÍTIMOS[[#This Row],[PP]]),"")</f>
        <v/>
      </c>
      <c r="C720" s="1" t="str">
        <f>IFERROR(IF(MARÍTIMOS[[#This Row],[Sede]]="","",MARÍTIMOS[[#This Row],[Sede]]),"")</f>
        <v/>
      </c>
      <c r="D720" s="1" t="str">
        <f>IFERROR(IF(MARÍTIMOS[[#This Row],[Instruction]]="","",MARÍTIMOS[[#This Row],[Instruction]]),"")</f>
        <v/>
      </c>
      <c r="E720" s="1"/>
      <c r="F720" s="2" t="str">
        <f>IFERROR(IF(MARÍTIMOS[[#This Row],[Transportista]]="","",MARÍTIMOS[[#This Row],[Transportista]]),"")</f>
        <v/>
      </c>
      <c r="G720" s="2" t="str">
        <f>IFERROR(IF(MARÍTIMOS[[#This Row],[Tercero]]="","",MARÍTIMOS[[#This Row],[Tercero]]),"")</f>
        <v/>
      </c>
      <c r="H720" s="2" t="str">
        <f>IFERROR(IF(MARÍTIMOS[[#This Row],[Razón Social]]="","",MARÍTIMOS[[#This Row],[Razón Social]]),"")</f>
        <v/>
      </c>
      <c r="I720" s="2" t="str">
        <f>IFERROR(IF(MARÍTIMOS[[#This Row],[RUC]]="","",MARÍTIMOS[[#This Row],[RUC]]),"")</f>
        <v/>
      </c>
      <c r="J720" s="2" t="str">
        <f>IFERROR(IF(MARÍTIMOS[[#This Row],[Placa Tracto]]="","",MARÍTIMOS[[#This Row],[Placa Tracto]]),"")</f>
        <v/>
      </c>
      <c r="K720" s="2" t="str">
        <f>IFERROR(IF(MARÍTIMOS[[#This Row],[Placa Carreta]]="","",MARÍTIMOS[[#This Row],[Placa Carreta]]),"")</f>
        <v/>
      </c>
      <c r="L720" s="44" t="str">
        <f>IFERROR(IF(MARÍTIMOS[[#This Row],[Conductor]]="","",MARÍTIMOS[[#This Row],[Conductor]]),"")</f>
        <v/>
      </c>
      <c r="M720" s="2" t="str">
        <f>IFERROR(IF(MARÍTIMOS[[#This Row],[Licencia]]="","",MARÍTIMOS[[#This Row],[Licencia]]),"")</f>
        <v/>
      </c>
      <c r="N720" s="2" t="str">
        <f>IFERROR(IF(MARÍTIMOS[[#This Row],[Número de Contacto]]="","",MARÍTIMOS[[#This Row],[Número de Contacto]]),"")</f>
        <v/>
      </c>
      <c r="O720" s="10" t="str">
        <f>IFERROR(IF(MARÍTIMOS[[#This Row],[Booking|AWB|CRT]]="","",MARÍTIMOS[[#This Row],[Booking|AWB|CRT]]),"")</f>
        <v/>
      </c>
      <c r="P720" s="2" t="str">
        <f>IFERROR(IF(MARÍTIMOS[[#This Row],[Contenedor]]="","",MARÍTIMOS[[#This Row],[Contenedor]]),"")</f>
        <v/>
      </c>
      <c r="Q720" s="2" t="str">
        <f>IFERROR(IF(MARÍTIMOS[[#This Row],[Puerto de Retiro]]="","",MARÍTIMOS[[#This Row],[Puerto de Retiro]]),"")</f>
        <v/>
      </c>
      <c r="R720" s="2" t="str">
        <f>IFERROR(IF(MARÍTIMOS[[#This Row],[Almacén de Retiro]]="","",MARÍTIMOS[[#This Row],[Almacén de Retiro]]),"")</f>
        <v/>
      </c>
      <c r="S720" s="11" t="str">
        <f>IFERROR(IF(MARÍTIMOS[[#This Row],[Etapa Retiro - Cita]]="","",MARÍTIMOS[[#This Row],[Etapa Retiro - Cita]]),"")</f>
        <v/>
      </c>
      <c r="T720" s="11" t="str">
        <f>IFERROR(IF(MARÍTIMOS[[#This Row],[Etapa Retiro - Llegada]]="","",MARÍTIMOS[[#This Row],[Etapa Retiro - Llegada]]),"")</f>
        <v/>
      </c>
      <c r="U720" s="11" t="str">
        <f>IFERROR(IF(MARÍTIMOS[[#This Row],[Etapa Retiro - Ingreso]]="","",MARÍTIMOS[[#This Row],[Etapa Retiro - Ingreso]]),"")</f>
        <v/>
      </c>
      <c r="V720" s="11" t="str">
        <f>IFERROR(IF(MARÍTIMOS[[#This Row],[Etapa Retiro - Atención]]="","",MARÍTIMOS[[#This Row],[Etapa Retiro - Atención]]),"")</f>
        <v/>
      </c>
      <c r="W720" s="11" t="str">
        <f>IFERROR(IF(MARÍTIMOS[[#This Row],[Etapa Retiro - Atención]]="","",MARÍTIMOS[[#This Row],[Etapa Retiro - Atención]]),"")</f>
        <v/>
      </c>
      <c r="X720" s="11" t="str">
        <f>IFERROR(IF(MARÍTIMOS[[#This Row],[Etapa Retiro - Inicio de Ruta]]="","",MARÍTIMOS[[#This Row],[Etapa Retiro - Inicio de Ruta]]),"")</f>
        <v/>
      </c>
      <c r="Y720" s="11" t="str">
        <f>IFERROR(IF(MARÍTIMOS[[#This Row],[Hora de Posicionamiento]]="","",MARÍTIMOS[[#This Row],[Fecha de Carga]]+MARÍTIMOS[[#This Row],[Hora de Posicionamiento]]),"")</f>
        <v/>
      </c>
      <c r="Z720" s="11" t="str">
        <f>IFERROR(IF(MARÍTIMOS[[#This Row],[Etapa Despacho - Llegada]]="","",MARÍTIMOS[[#This Row],[Etapa Despacho - Llegada]]),"")</f>
        <v/>
      </c>
      <c r="AA720" s="11" t="str">
        <f>IFERROR(IF(MARÍTIMOS[[#This Row],[Etapa Despacho - Registro]]="","",MARÍTIMOS[[#This Row],[Etapa Despacho - Registro]]),"")</f>
        <v/>
      </c>
      <c r="AB720" s="11" t="str">
        <f>IFERROR(IF(MARÍTIMOS[[#This Row],[Inspección Externa]]="","",MARÍTIMOS[[#This Row],[Inspección Externa]]),"")</f>
        <v/>
      </c>
      <c r="AC720" s="11" t="str">
        <f>IFERROR(IF(MARÍTIMOS[[#This Row],[Etapa Despacho - Inicio de Carga]]="","",MARÍTIMOS[[#This Row],[Etapa Despacho - Inicio de Carga]]),"")</f>
        <v/>
      </c>
      <c r="AD720" s="11" t="str">
        <f>IFERROR(IF(MARÍTIMOS[[#This Row],[Etapa Despacho - Mitad de Carga]]="","",MARÍTIMOS[[#This Row],[Etapa Despacho - Mitad de Carga]]),"")</f>
        <v/>
      </c>
      <c r="AE720" s="11" t="str">
        <f>IFERROR(IF(MARÍTIMOS[[#This Row],[Etapa Despacho - Fin de Carga]]="","",MARÍTIMOS[[#This Row],[Etapa Despacho - Fin de Carga]]),"")</f>
        <v/>
      </c>
      <c r="AF720" s="2" t="str">
        <f>IFERROR(IF(MARÍTIMOS[[#This Row],[Puerto de Embarque]]="","",MARÍTIMOS[[#This Row],[Puerto de Embarque]]),"")</f>
        <v/>
      </c>
      <c r="AG720" s="2" t="str">
        <f>IFERROR(IF(MARÍTIMOS[[#This Row],[Almacén de Ingreso]]="","",MARÍTIMOS[[#This Row],[Almacén de Ingreso]]),"")</f>
        <v/>
      </c>
      <c r="AH720" s="11" t="str">
        <f>IFERROR(IF(MARÍTIMOS[[#This Row],[Etapa Ingreso - Cita]]="","",MARÍTIMOS[[#This Row],[Etapa Ingreso - Cita]]),"")</f>
        <v/>
      </c>
      <c r="AI720" s="11" t="str">
        <f>IFERROR(IF(MARÍTIMOS[[#This Row],[Etapa Ingreso - Llegada]]="","",MARÍTIMOS[[#This Row],[Etapa Ingreso - Llegada]]),"")</f>
        <v/>
      </c>
      <c r="AJ720" s="11" t="str">
        <f>IFERROR(IF(MARÍTIMOS[[#This Row],[Etapa Ingreso - Ingeso]]="","",MARÍTIMOS[[#This Row],[Etapa Ingreso - Ingeso]]),"")</f>
        <v/>
      </c>
      <c r="AK720" s="11" t="str">
        <f>IFERROR(IF(MARÍTIMOS[[#This Row],[Etapa Ingreso - Atención]]="","",MARÍTIMOS[[#This Row],[Etapa Ingreso - Atención]]),"")</f>
        <v/>
      </c>
      <c r="AL720" s="11" t="str">
        <f>IFERROR(IF(MARÍTIMOS[[#This Row],[Etapa Ingreso - Salida]]="","",MARÍTIMOS[[#This Row],[Etapa Ingreso - Salida]]),"")</f>
        <v/>
      </c>
      <c r="AM720" s="2" t="str">
        <f>IFERROR(IF(MARÍTIMOS[[#This Row],[FCL]]="","",MARÍTIMOS[[#This Row],[FCL]]),"")</f>
        <v/>
      </c>
      <c r="AN7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0" s="4" t="str" cm="1">
        <f t="array" ref="AO7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0" s="5" t="str">
        <f>IFERROR(OLDBD[[#This Row],[Llegada a packing]]-OLDBD[[#This Row],[Inicio de Ruta]],"")</f>
        <v/>
      </c>
      <c r="AQ720" s="6" t="str">
        <f>IFERROR(OLDBD[[#This Row],[Inicio de Ruta]]-OLDBD[[#This Row],[Salida de almacén de retiro]],"")</f>
        <v/>
      </c>
      <c r="AR7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0" s="8" t="str" cm="1">
        <f t="array" ref="AS7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0" s="9" t="str">
        <f>IFERROR(OLDBD[[#This Row],[Ingreso Packing]]-OLDBD[[#This Row],[Registro en Packing]],"")</f>
        <v/>
      </c>
      <c r="AV720" s="9" t="str">
        <f>IFERROR(OLDBD[[#This Row],[Ingreso Packing]]-OLDBD[[#This Row],[Llegada a packing]],"")</f>
        <v/>
      </c>
      <c r="AW7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0" s="5" t="str">
        <f>IFERROR(OLDBD[[#This Row],[Llegada Almacén de Ingreso]]-OLDBD[[#This Row],[Salida Packing]],"")</f>
        <v/>
      </c>
      <c r="AY720" s="4" t="str" cm="1">
        <f t="array" ref="AY7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0" s="43" t="s">
        <v>173</v>
      </c>
      <c r="BB720" s="47" t="str">
        <f>IFERROR(IF(MARÍTIMOS[[#This Row],[Estatus]]="","",MARÍTIMOS[[#This Row],[Estatus]]),"")</f>
        <v/>
      </c>
      <c r="BC720" s="43"/>
      <c r="BD720" s="46" t="str">
        <f>IFERROR(OLDBD[[#This Row],[Salida de almacén de retiro]]-OLDBD[[#This Row],[Ingreso Almacén de retiro]],"")</f>
        <v/>
      </c>
      <c r="BE720" s="46" t="str">
        <f>IFERROR(OLDBD[[#This Row],[Fin de Carga]]-OLDBD[[#This Row],[Inicio de Carga]],"")</f>
        <v/>
      </c>
    </row>
    <row r="721" spans="1:57" customFormat="1" hidden="1">
      <c r="A721" s="1"/>
      <c r="B721" s="1" t="str">
        <f>IFERROR(IF(MARÍTIMOS[[#This Row],[PP]]="","",MARÍTIMOS[[#This Row],[PP]]),"")</f>
        <v/>
      </c>
      <c r="C721" s="1" t="str">
        <f>IFERROR(IF(MARÍTIMOS[[#This Row],[Sede]]="","",MARÍTIMOS[[#This Row],[Sede]]),"")</f>
        <v/>
      </c>
      <c r="D721" s="1" t="str">
        <f>IFERROR(IF(MARÍTIMOS[[#This Row],[Instruction]]="","",MARÍTIMOS[[#This Row],[Instruction]]),"")</f>
        <v/>
      </c>
      <c r="E721" s="1"/>
      <c r="F721" s="2" t="str">
        <f>IFERROR(IF(MARÍTIMOS[[#This Row],[Transportista]]="","",MARÍTIMOS[[#This Row],[Transportista]]),"")</f>
        <v/>
      </c>
      <c r="G721" s="2" t="str">
        <f>IFERROR(IF(MARÍTIMOS[[#This Row],[Tercero]]="","",MARÍTIMOS[[#This Row],[Tercero]]),"")</f>
        <v/>
      </c>
      <c r="H721" s="2" t="str">
        <f>IFERROR(IF(MARÍTIMOS[[#This Row],[Razón Social]]="","",MARÍTIMOS[[#This Row],[Razón Social]]),"")</f>
        <v/>
      </c>
      <c r="I721" s="2" t="str">
        <f>IFERROR(IF(MARÍTIMOS[[#This Row],[RUC]]="","",MARÍTIMOS[[#This Row],[RUC]]),"")</f>
        <v/>
      </c>
      <c r="J721" s="2" t="str">
        <f>IFERROR(IF(MARÍTIMOS[[#This Row],[Placa Tracto]]="","",MARÍTIMOS[[#This Row],[Placa Tracto]]),"")</f>
        <v/>
      </c>
      <c r="K721" s="2" t="str">
        <f>IFERROR(IF(MARÍTIMOS[[#This Row],[Placa Carreta]]="","",MARÍTIMOS[[#This Row],[Placa Carreta]]),"")</f>
        <v/>
      </c>
      <c r="L721" s="44" t="str">
        <f>IFERROR(IF(MARÍTIMOS[[#This Row],[Conductor]]="","",MARÍTIMOS[[#This Row],[Conductor]]),"")</f>
        <v/>
      </c>
      <c r="M721" s="2" t="str">
        <f>IFERROR(IF(MARÍTIMOS[[#This Row],[Licencia]]="","",MARÍTIMOS[[#This Row],[Licencia]]),"")</f>
        <v/>
      </c>
      <c r="N721" s="2" t="str">
        <f>IFERROR(IF(MARÍTIMOS[[#This Row],[Número de Contacto]]="","",MARÍTIMOS[[#This Row],[Número de Contacto]]),"")</f>
        <v/>
      </c>
      <c r="O721" s="10" t="str">
        <f>IFERROR(IF(MARÍTIMOS[[#This Row],[Booking|AWB|CRT]]="","",MARÍTIMOS[[#This Row],[Booking|AWB|CRT]]),"")</f>
        <v/>
      </c>
      <c r="P721" s="2" t="str">
        <f>IFERROR(IF(MARÍTIMOS[[#This Row],[Contenedor]]="","",MARÍTIMOS[[#This Row],[Contenedor]]),"")</f>
        <v/>
      </c>
      <c r="Q721" s="2" t="str">
        <f>IFERROR(IF(MARÍTIMOS[[#This Row],[Puerto de Retiro]]="","",MARÍTIMOS[[#This Row],[Puerto de Retiro]]),"")</f>
        <v/>
      </c>
      <c r="R721" s="2" t="str">
        <f>IFERROR(IF(MARÍTIMOS[[#This Row],[Almacén de Retiro]]="","",MARÍTIMOS[[#This Row],[Almacén de Retiro]]),"")</f>
        <v/>
      </c>
      <c r="S721" s="11" t="str">
        <f>IFERROR(IF(MARÍTIMOS[[#This Row],[Etapa Retiro - Cita]]="","",MARÍTIMOS[[#This Row],[Etapa Retiro - Cita]]),"")</f>
        <v/>
      </c>
      <c r="T721" s="11" t="str">
        <f>IFERROR(IF(MARÍTIMOS[[#This Row],[Etapa Retiro - Llegada]]="","",MARÍTIMOS[[#This Row],[Etapa Retiro - Llegada]]),"")</f>
        <v/>
      </c>
      <c r="U721" s="11" t="str">
        <f>IFERROR(IF(MARÍTIMOS[[#This Row],[Etapa Retiro - Ingreso]]="","",MARÍTIMOS[[#This Row],[Etapa Retiro - Ingreso]]),"")</f>
        <v/>
      </c>
      <c r="V721" s="11" t="str">
        <f>IFERROR(IF(MARÍTIMOS[[#This Row],[Etapa Retiro - Atención]]="","",MARÍTIMOS[[#This Row],[Etapa Retiro - Atención]]),"")</f>
        <v/>
      </c>
      <c r="W721" s="11" t="str">
        <f>IFERROR(IF(MARÍTIMOS[[#This Row],[Etapa Retiro - Atención]]="","",MARÍTIMOS[[#This Row],[Etapa Retiro - Atención]]),"")</f>
        <v/>
      </c>
      <c r="X721" s="11" t="str">
        <f>IFERROR(IF(MARÍTIMOS[[#This Row],[Etapa Retiro - Inicio de Ruta]]="","",MARÍTIMOS[[#This Row],[Etapa Retiro - Inicio de Ruta]]),"")</f>
        <v/>
      </c>
      <c r="Y721" s="11" t="str">
        <f>IFERROR(IF(MARÍTIMOS[[#This Row],[Hora de Posicionamiento]]="","",MARÍTIMOS[[#This Row],[Fecha de Carga]]+MARÍTIMOS[[#This Row],[Hora de Posicionamiento]]),"")</f>
        <v/>
      </c>
      <c r="Z721" s="11" t="str">
        <f>IFERROR(IF(MARÍTIMOS[[#This Row],[Etapa Despacho - Llegada]]="","",MARÍTIMOS[[#This Row],[Etapa Despacho - Llegada]]),"")</f>
        <v/>
      </c>
      <c r="AA721" s="11" t="str">
        <f>IFERROR(IF(MARÍTIMOS[[#This Row],[Etapa Despacho - Registro]]="","",MARÍTIMOS[[#This Row],[Etapa Despacho - Registro]]),"")</f>
        <v/>
      </c>
      <c r="AB721" s="11" t="str">
        <f>IFERROR(IF(MARÍTIMOS[[#This Row],[Inspección Externa]]="","",MARÍTIMOS[[#This Row],[Inspección Externa]]),"")</f>
        <v/>
      </c>
      <c r="AC721" s="11" t="str">
        <f>IFERROR(IF(MARÍTIMOS[[#This Row],[Etapa Despacho - Inicio de Carga]]="","",MARÍTIMOS[[#This Row],[Etapa Despacho - Inicio de Carga]]),"")</f>
        <v/>
      </c>
      <c r="AD721" s="11" t="str">
        <f>IFERROR(IF(MARÍTIMOS[[#This Row],[Etapa Despacho - Mitad de Carga]]="","",MARÍTIMOS[[#This Row],[Etapa Despacho - Mitad de Carga]]),"")</f>
        <v/>
      </c>
      <c r="AE721" s="11" t="str">
        <f>IFERROR(IF(MARÍTIMOS[[#This Row],[Etapa Despacho - Fin de Carga]]="","",MARÍTIMOS[[#This Row],[Etapa Despacho - Fin de Carga]]),"")</f>
        <v/>
      </c>
      <c r="AF721" s="2" t="str">
        <f>IFERROR(IF(MARÍTIMOS[[#This Row],[Puerto de Embarque]]="","",MARÍTIMOS[[#This Row],[Puerto de Embarque]]),"")</f>
        <v/>
      </c>
      <c r="AG721" s="2" t="str">
        <f>IFERROR(IF(MARÍTIMOS[[#This Row],[Almacén de Ingreso]]="","",MARÍTIMOS[[#This Row],[Almacén de Ingreso]]),"")</f>
        <v/>
      </c>
      <c r="AH721" s="11" t="str">
        <f>IFERROR(IF(MARÍTIMOS[[#This Row],[Etapa Ingreso - Cita]]="","",MARÍTIMOS[[#This Row],[Etapa Ingreso - Cita]]),"")</f>
        <v/>
      </c>
      <c r="AI721" s="11" t="str">
        <f>IFERROR(IF(MARÍTIMOS[[#This Row],[Etapa Ingreso - Llegada]]="","",MARÍTIMOS[[#This Row],[Etapa Ingreso - Llegada]]),"")</f>
        <v/>
      </c>
      <c r="AJ721" s="11" t="str">
        <f>IFERROR(IF(MARÍTIMOS[[#This Row],[Etapa Ingreso - Ingeso]]="","",MARÍTIMOS[[#This Row],[Etapa Ingreso - Ingeso]]),"")</f>
        <v/>
      </c>
      <c r="AK721" s="11" t="str">
        <f>IFERROR(IF(MARÍTIMOS[[#This Row],[Etapa Ingreso - Atención]]="","",MARÍTIMOS[[#This Row],[Etapa Ingreso - Atención]]),"")</f>
        <v/>
      </c>
      <c r="AL721" s="11" t="str">
        <f>IFERROR(IF(MARÍTIMOS[[#This Row],[Etapa Ingreso - Salida]]="","",MARÍTIMOS[[#This Row],[Etapa Ingreso - Salida]]),"")</f>
        <v/>
      </c>
      <c r="AM721" s="2" t="str">
        <f>IFERROR(IF(MARÍTIMOS[[#This Row],[FCL]]="","",MARÍTIMOS[[#This Row],[FCL]]),"")</f>
        <v/>
      </c>
      <c r="AN7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1" s="4" t="str" cm="1">
        <f t="array" ref="AO7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1" s="5" t="str">
        <f>IFERROR(OLDBD[[#This Row],[Llegada a packing]]-OLDBD[[#This Row],[Inicio de Ruta]],"")</f>
        <v/>
      </c>
      <c r="AQ721" s="6" t="str">
        <f>IFERROR(OLDBD[[#This Row],[Inicio de Ruta]]-OLDBD[[#This Row],[Salida de almacén de retiro]],"")</f>
        <v/>
      </c>
      <c r="AR7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1" s="8" t="str" cm="1">
        <f t="array" ref="AS7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1" s="9" t="str">
        <f>IFERROR(OLDBD[[#This Row],[Ingreso Packing]]-OLDBD[[#This Row],[Registro en Packing]],"")</f>
        <v/>
      </c>
      <c r="AV721" s="9" t="str">
        <f>IFERROR(OLDBD[[#This Row],[Ingreso Packing]]-OLDBD[[#This Row],[Llegada a packing]],"")</f>
        <v/>
      </c>
      <c r="AW7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1" s="5" t="str">
        <f>IFERROR(OLDBD[[#This Row],[Llegada Almacén de Ingreso]]-OLDBD[[#This Row],[Salida Packing]],"")</f>
        <v/>
      </c>
      <c r="AY721" s="4" t="str" cm="1">
        <f t="array" ref="AY7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1" s="43" t="s">
        <v>173</v>
      </c>
      <c r="BB721" s="47" t="str">
        <f>IFERROR(IF(MARÍTIMOS[[#This Row],[Estatus]]="","",MARÍTIMOS[[#This Row],[Estatus]]),"")</f>
        <v/>
      </c>
      <c r="BC721" s="43"/>
      <c r="BD721" s="46" t="str">
        <f>IFERROR(OLDBD[[#This Row],[Salida de almacén de retiro]]-OLDBD[[#This Row],[Ingreso Almacén de retiro]],"")</f>
        <v/>
      </c>
      <c r="BE721" s="46" t="str">
        <f>IFERROR(OLDBD[[#This Row],[Fin de Carga]]-OLDBD[[#This Row],[Inicio de Carga]],"")</f>
        <v/>
      </c>
    </row>
    <row r="722" spans="1:57" customFormat="1" hidden="1">
      <c r="A722" s="1"/>
      <c r="B722" s="1" t="str">
        <f>IFERROR(IF(MARÍTIMOS[[#This Row],[PP]]="","",MARÍTIMOS[[#This Row],[PP]]),"")</f>
        <v/>
      </c>
      <c r="C722" s="1" t="str">
        <f>IFERROR(IF(MARÍTIMOS[[#This Row],[Sede]]="","",MARÍTIMOS[[#This Row],[Sede]]),"")</f>
        <v/>
      </c>
      <c r="D722" s="1" t="str">
        <f>IFERROR(IF(MARÍTIMOS[[#This Row],[Instruction]]="","",MARÍTIMOS[[#This Row],[Instruction]]),"")</f>
        <v/>
      </c>
      <c r="E722" s="1"/>
      <c r="F722" s="2" t="str">
        <f>IFERROR(IF(MARÍTIMOS[[#This Row],[Transportista]]="","",MARÍTIMOS[[#This Row],[Transportista]]),"")</f>
        <v/>
      </c>
      <c r="G722" s="2" t="str">
        <f>IFERROR(IF(MARÍTIMOS[[#This Row],[Tercero]]="","",MARÍTIMOS[[#This Row],[Tercero]]),"")</f>
        <v/>
      </c>
      <c r="H722" s="2" t="str">
        <f>IFERROR(IF(MARÍTIMOS[[#This Row],[Razón Social]]="","",MARÍTIMOS[[#This Row],[Razón Social]]),"")</f>
        <v/>
      </c>
      <c r="I722" s="2" t="str">
        <f>IFERROR(IF(MARÍTIMOS[[#This Row],[RUC]]="","",MARÍTIMOS[[#This Row],[RUC]]),"")</f>
        <v/>
      </c>
      <c r="J722" s="2" t="str">
        <f>IFERROR(IF(MARÍTIMOS[[#This Row],[Placa Tracto]]="","",MARÍTIMOS[[#This Row],[Placa Tracto]]),"")</f>
        <v/>
      </c>
      <c r="K722" s="2" t="str">
        <f>IFERROR(IF(MARÍTIMOS[[#This Row],[Placa Carreta]]="","",MARÍTIMOS[[#This Row],[Placa Carreta]]),"")</f>
        <v/>
      </c>
      <c r="L722" s="44" t="str">
        <f>IFERROR(IF(MARÍTIMOS[[#This Row],[Conductor]]="","",MARÍTIMOS[[#This Row],[Conductor]]),"")</f>
        <v/>
      </c>
      <c r="M722" s="2" t="str">
        <f>IFERROR(IF(MARÍTIMOS[[#This Row],[Licencia]]="","",MARÍTIMOS[[#This Row],[Licencia]]),"")</f>
        <v/>
      </c>
      <c r="N722" s="2" t="str">
        <f>IFERROR(IF(MARÍTIMOS[[#This Row],[Número de Contacto]]="","",MARÍTIMOS[[#This Row],[Número de Contacto]]),"")</f>
        <v/>
      </c>
      <c r="O722" s="10" t="str">
        <f>IFERROR(IF(MARÍTIMOS[[#This Row],[Booking|AWB|CRT]]="","",MARÍTIMOS[[#This Row],[Booking|AWB|CRT]]),"")</f>
        <v/>
      </c>
      <c r="P722" s="2" t="str">
        <f>IFERROR(IF(MARÍTIMOS[[#This Row],[Contenedor]]="","",MARÍTIMOS[[#This Row],[Contenedor]]),"")</f>
        <v/>
      </c>
      <c r="Q722" s="2" t="str">
        <f>IFERROR(IF(MARÍTIMOS[[#This Row],[Puerto de Retiro]]="","",MARÍTIMOS[[#This Row],[Puerto de Retiro]]),"")</f>
        <v/>
      </c>
      <c r="R722" s="2" t="str">
        <f>IFERROR(IF(MARÍTIMOS[[#This Row],[Almacén de Retiro]]="","",MARÍTIMOS[[#This Row],[Almacén de Retiro]]),"")</f>
        <v/>
      </c>
      <c r="S722" s="11" t="str">
        <f>IFERROR(IF(MARÍTIMOS[[#This Row],[Etapa Retiro - Cita]]="","",MARÍTIMOS[[#This Row],[Etapa Retiro - Cita]]),"")</f>
        <v/>
      </c>
      <c r="T722" s="11" t="str">
        <f>IFERROR(IF(MARÍTIMOS[[#This Row],[Etapa Retiro - Llegada]]="","",MARÍTIMOS[[#This Row],[Etapa Retiro - Llegada]]),"")</f>
        <v/>
      </c>
      <c r="U722" s="11" t="str">
        <f>IFERROR(IF(MARÍTIMOS[[#This Row],[Etapa Retiro - Ingreso]]="","",MARÍTIMOS[[#This Row],[Etapa Retiro - Ingreso]]),"")</f>
        <v/>
      </c>
      <c r="V722" s="11" t="str">
        <f>IFERROR(IF(MARÍTIMOS[[#This Row],[Etapa Retiro - Atención]]="","",MARÍTIMOS[[#This Row],[Etapa Retiro - Atención]]),"")</f>
        <v/>
      </c>
      <c r="W722" s="11" t="str">
        <f>IFERROR(IF(MARÍTIMOS[[#This Row],[Etapa Retiro - Atención]]="","",MARÍTIMOS[[#This Row],[Etapa Retiro - Atención]]),"")</f>
        <v/>
      </c>
      <c r="X722" s="11" t="str">
        <f>IFERROR(IF(MARÍTIMOS[[#This Row],[Etapa Retiro - Inicio de Ruta]]="","",MARÍTIMOS[[#This Row],[Etapa Retiro - Inicio de Ruta]]),"")</f>
        <v/>
      </c>
      <c r="Y722" s="11" t="str">
        <f>IFERROR(IF(MARÍTIMOS[[#This Row],[Hora de Posicionamiento]]="","",MARÍTIMOS[[#This Row],[Fecha de Carga]]+MARÍTIMOS[[#This Row],[Hora de Posicionamiento]]),"")</f>
        <v/>
      </c>
      <c r="Z722" s="11" t="str">
        <f>IFERROR(IF(MARÍTIMOS[[#This Row],[Etapa Despacho - Llegada]]="","",MARÍTIMOS[[#This Row],[Etapa Despacho - Llegada]]),"")</f>
        <v/>
      </c>
      <c r="AA722" s="11" t="str">
        <f>IFERROR(IF(MARÍTIMOS[[#This Row],[Etapa Despacho - Registro]]="","",MARÍTIMOS[[#This Row],[Etapa Despacho - Registro]]),"")</f>
        <v/>
      </c>
      <c r="AB722" s="11" t="str">
        <f>IFERROR(IF(MARÍTIMOS[[#This Row],[Inspección Externa]]="","",MARÍTIMOS[[#This Row],[Inspección Externa]]),"")</f>
        <v/>
      </c>
      <c r="AC722" s="11" t="str">
        <f>IFERROR(IF(MARÍTIMOS[[#This Row],[Etapa Despacho - Inicio de Carga]]="","",MARÍTIMOS[[#This Row],[Etapa Despacho - Inicio de Carga]]),"")</f>
        <v/>
      </c>
      <c r="AD722" s="11" t="str">
        <f>IFERROR(IF(MARÍTIMOS[[#This Row],[Etapa Despacho - Mitad de Carga]]="","",MARÍTIMOS[[#This Row],[Etapa Despacho - Mitad de Carga]]),"")</f>
        <v/>
      </c>
      <c r="AE722" s="11" t="str">
        <f>IFERROR(IF(MARÍTIMOS[[#This Row],[Etapa Despacho - Fin de Carga]]="","",MARÍTIMOS[[#This Row],[Etapa Despacho - Fin de Carga]]),"")</f>
        <v/>
      </c>
      <c r="AF722" s="2" t="str">
        <f>IFERROR(IF(MARÍTIMOS[[#This Row],[Puerto de Embarque]]="","",MARÍTIMOS[[#This Row],[Puerto de Embarque]]),"")</f>
        <v/>
      </c>
      <c r="AG722" s="2" t="str">
        <f>IFERROR(IF(MARÍTIMOS[[#This Row],[Almacén de Ingreso]]="","",MARÍTIMOS[[#This Row],[Almacén de Ingreso]]),"")</f>
        <v/>
      </c>
      <c r="AH722" s="11" t="str">
        <f>IFERROR(IF(MARÍTIMOS[[#This Row],[Etapa Ingreso - Cita]]="","",MARÍTIMOS[[#This Row],[Etapa Ingreso - Cita]]),"")</f>
        <v/>
      </c>
      <c r="AI722" s="11" t="str">
        <f>IFERROR(IF(MARÍTIMOS[[#This Row],[Etapa Ingreso - Llegada]]="","",MARÍTIMOS[[#This Row],[Etapa Ingreso - Llegada]]),"")</f>
        <v/>
      </c>
      <c r="AJ722" s="11" t="str">
        <f>IFERROR(IF(MARÍTIMOS[[#This Row],[Etapa Ingreso - Ingeso]]="","",MARÍTIMOS[[#This Row],[Etapa Ingreso - Ingeso]]),"")</f>
        <v/>
      </c>
      <c r="AK722" s="11" t="str">
        <f>IFERROR(IF(MARÍTIMOS[[#This Row],[Etapa Ingreso - Atención]]="","",MARÍTIMOS[[#This Row],[Etapa Ingreso - Atención]]),"")</f>
        <v/>
      </c>
      <c r="AL722" s="11" t="str">
        <f>IFERROR(IF(MARÍTIMOS[[#This Row],[Etapa Ingreso - Salida]]="","",MARÍTIMOS[[#This Row],[Etapa Ingreso - Salida]]),"")</f>
        <v/>
      </c>
      <c r="AM722" s="2" t="str">
        <f>IFERROR(IF(MARÍTIMOS[[#This Row],[FCL]]="","",MARÍTIMOS[[#This Row],[FCL]]),"")</f>
        <v/>
      </c>
      <c r="AN7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2" s="4" t="str" cm="1">
        <f t="array" ref="AO7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2" s="5" t="str">
        <f>IFERROR(OLDBD[[#This Row],[Llegada a packing]]-OLDBD[[#This Row],[Inicio de Ruta]],"")</f>
        <v/>
      </c>
      <c r="AQ722" s="6" t="str">
        <f>IFERROR(OLDBD[[#This Row],[Inicio de Ruta]]-OLDBD[[#This Row],[Salida de almacén de retiro]],"")</f>
        <v/>
      </c>
      <c r="AR7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2" s="8" t="str" cm="1">
        <f t="array" ref="AS7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2" s="9" t="str">
        <f>IFERROR(OLDBD[[#This Row],[Ingreso Packing]]-OLDBD[[#This Row],[Registro en Packing]],"")</f>
        <v/>
      </c>
      <c r="AV722" s="9" t="str">
        <f>IFERROR(OLDBD[[#This Row],[Ingreso Packing]]-OLDBD[[#This Row],[Llegada a packing]],"")</f>
        <v/>
      </c>
      <c r="AW7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2" s="5" t="str">
        <f>IFERROR(OLDBD[[#This Row],[Llegada Almacén de Ingreso]]-OLDBD[[#This Row],[Salida Packing]],"")</f>
        <v/>
      </c>
      <c r="AY722" s="4" t="str" cm="1">
        <f t="array" ref="AY7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2" s="43" t="s">
        <v>173</v>
      </c>
      <c r="BB722" s="47" t="str">
        <f>IFERROR(IF(MARÍTIMOS[[#This Row],[Estatus]]="","",MARÍTIMOS[[#This Row],[Estatus]]),"")</f>
        <v/>
      </c>
      <c r="BC722" s="43"/>
      <c r="BD722" s="46" t="str">
        <f>IFERROR(OLDBD[[#This Row],[Salida de almacén de retiro]]-OLDBD[[#This Row],[Ingreso Almacén de retiro]],"")</f>
        <v/>
      </c>
      <c r="BE722" s="46" t="str">
        <f>IFERROR(OLDBD[[#This Row],[Fin de Carga]]-OLDBD[[#This Row],[Inicio de Carga]],"")</f>
        <v/>
      </c>
    </row>
    <row r="723" spans="1:57" customFormat="1" hidden="1">
      <c r="A723" s="1"/>
      <c r="B723" s="1" t="str">
        <f>IFERROR(IF(MARÍTIMOS[[#This Row],[PP]]="","",MARÍTIMOS[[#This Row],[PP]]),"")</f>
        <v/>
      </c>
      <c r="C723" s="1" t="str">
        <f>IFERROR(IF(MARÍTIMOS[[#This Row],[Sede]]="","",MARÍTIMOS[[#This Row],[Sede]]),"")</f>
        <v/>
      </c>
      <c r="D723" s="1" t="str">
        <f>IFERROR(IF(MARÍTIMOS[[#This Row],[Instruction]]="","",MARÍTIMOS[[#This Row],[Instruction]]),"")</f>
        <v/>
      </c>
      <c r="E723" s="1"/>
      <c r="F723" s="2" t="str">
        <f>IFERROR(IF(MARÍTIMOS[[#This Row],[Transportista]]="","",MARÍTIMOS[[#This Row],[Transportista]]),"")</f>
        <v/>
      </c>
      <c r="G723" s="2" t="str">
        <f>IFERROR(IF(MARÍTIMOS[[#This Row],[Tercero]]="","",MARÍTIMOS[[#This Row],[Tercero]]),"")</f>
        <v/>
      </c>
      <c r="H723" s="2" t="str">
        <f>IFERROR(IF(MARÍTIMOS[[#This Row],[Razón Social]]="","",MARÍTIMOS[[#This Row],[Razón Social]]),"")</f>
        <v/>
      </c>
      <c r="I723" s="2" t="str">
        <f>IFERROR(IF(MARÍTIMOS[[#This Row],[RUC]]="","",MARÍTIMOS[[#This Row],[RUC]]),"")</f>
        <v/>
      </c>
      <c r="J723" s="2" t="str">
        <f>IFERROR(IF(MARÍTIMOS[[#This Row],[Placa Tracto]]="","",MARÍTIMOS[[#This Row],[Placa Tracto]]),"")</f>
        <v/>
      </c>
      <c r="K723" s="2" t="str">
        <f>IFERROR(IF(MARÍTIMOS[[#This Row],[Placa Carreta]]="","",MARÍTIMOS[[#This Row],[Placa Carreta]]),"")</f>
        <v/>
      </c>
      <c r="L723" s="44" t="str">
        <f>IFERROR(IF(MARÍTIMOS[[#This Row],[Conductor]]="","",MARÍTIMOS[[#This Row],[Conductor]]),"")</f>
        <v/>
      </c>
      <c r="M723" s="2" t="str">
        <f>IFERROR(IF(MARÍTIMOS[[#This Row],[Licencia]]="","",MARÍTIMOS[[#This Row],[Licencia]]),"")</f>
        <v/>
      </c>
      <c r="N723" s="2" t="str">
        <f>IFERROR(IF(MARÍTIMOS[[#This Row],[Número de Contacto]]="","",MARÍTIMOS[[#This Row],[Número de Contacto]]),"")</f>
        <v/>
      </c>
      <c r="O723" s="10" t="str">
        <f>IFERROR(IF(MARÍTIMOS[[#This Row],[Booking|AWB|CRT]]="","",MARÍTIMOS[[#This Row],[Booking|AWB|CRT]]),"")</f>
        <v/>
      </c>
      <c r="P723" s="2" t="str">
        <f>IFERROR(IF(MARÍTIMOS[[#This Row],[Contenedor]]="","",MARÍTIMOS[[#This Row],[Contenedor]]),"")</f>
        <v/>
      </c>
      <c r="Q723" s="2" t="str">
        <f>IFERROR(IF(MARÍTIMOS[[#This Row],[Puerto de Retiro]]="","",MARÍTIMOS[[#This Row],[Puerto de Retiro]]),"")</f>
        <v/>
      </c>
      <c r="R723" s="2" t="str">
        <f>IFERROR(IF(MARÍTIMOS[[#This Row],[Almacén de Retiro]]="","",MARÍTIMOS[[#This Row],[Almacén de Retiro]]),"")</f>
        <v/>
      </c>
      <c r="S723" s="11" t="str">
        <f>IFERROR(IF(MARÍTIMOS[[#This Row],[Etapa Retiro - Cita]]="","",MARÍTIMOS[[#This Row],[Etapa Retiro - Cita]]),"")</f>
        <v/>
      </c>
      <c r="T723" s="11" t="str">
        <f>IFERROR(IF(MARÍTIMOS[[#This Row],[Etapa Retiro - Llegada]]="","",MARÍTIMOS[[#This Row],[Etapa Retiro - Llegada]]),"")</f>
        <v/>
      </c>
      <c r="U723" s="11" t="str">
        <f>IFERROR(IF(MARÍTIMOS[[#This Row],[Etapa Retiro - Ingreso]]="","",MARÍTIMOS[[#This Row],[Etapa Retiro - Ingreso]]),"")</f>
        <v/>
      </c>
      <c r="V723" s="11" t="str">
        <f>IFERROR(IF(MARÍTIMOS[[#This Row],[Etapa Retiro - Atención]]="","",MARÍTIMOS[[#This Row],[Etapa Retiro - Atención]]),"")</f>
        <v/>
      </c>
      <c r="W723" s="11" t="str">
        <f>IFERROR(IF(MARÍTIMOS[[#This Row],[Etapa Retiro - Atención]]="","",MARÍTIMOS[[#This Row],[Etapa Retiro - Atención]]),"")</f>
        <v/>
      </c>
      <c r="X723" s="11" t="str">
        <f>IFERROR(IF(MARÍTIMOS[[#This Row],[Etapa Retiro - Inicio de Ruta]]="","",MARÍTIMOS[[#This Row],[Etapa Retiro - Inicio de Ruta]]),"")</f>
        <v/>
      </c>
      <c r="Y723" s="11" t="str">
        <f>IFERROR(IF(MARÍTIMOS[[#This Row],[Hora de Posicionamiento]]="","",MARÍTIMOS[[#This Row],[Fecha de Carga]]+MARÍTIMOS[[#This Row],[Hora de Posicionamiento]]),"")</f>
        <v/>
      </c>
      <c r="Z723" s="11" t="str">
        <f>IFERROR(IF(MARÍTIMOS[[#This Row],[Etapa Despacho - Llegada]]="","",MARÍTIMOS[[#This Row],[Etapa Despacho - Llegada]]),"")</f>
        <v/>
      </c>
      <c r="AA723" s="11" t="str">
        <f>IFERROR(IF(MARÍTIMOS[[#This Row],[Etapa Despacho - Registro]]="","",MARÍTIMOS[[#This Row],[Etapa Despacho - Registro]]),"")</f>
        <v/>
      </c>
      <c r="AB723" s="11" t="str">
        <f>IFERROR(IF(MARÍTIMOS[[#This Row],[Inspección Externa]]="","",MARÍTIMOS[[#This Row],[Inspección Externa]]),"")</f>
        <v/>
      </c>
      <c r="AC723" s="11" t="str">
        <f>IFERROR(IF(MARÍTIMOS[[#This Row],[Etapa Despacho - Inicio de Carga]]="","",MARÍTIMOS[[#This Row],[Etapa Despacho - Inicio de Carga]]),"")</f>
        <v/>
      </c>
      <c r="AD723" s="11" t="str">
        <f>IFERROR(IF(MARÍTIMOS[[#This Row],[Etapa Despacho - Mitad de Carga]]="","",MARÍTIMOS[[#This Row],[Etapa Despacho - Mitad de Carga]]),"")</f>
        <v/>
      </c>
      <c r="AE723" s="11" t="str">
        <f>IFERROR(IF(MARÍTIMOS[[#This Row],[Etapa Despacho - Fin de Carga]]="","",MARÍTIMOS[[#This Row],[Etapa Despacho - Fin de Carga]]),"")</f>
        <v/>
      </c>
      <c r="AF723" s="2" t="str">
        <f>IFERROR(IF(MARÍTIMOS[[#This Row],[Puerto de Embarque]]="","",MARÍTIMOS[[#This Row],[Puerto de Embarque]]),"")</f>
        <v/>
      </c>
      <c r="AG723" s="2" t="str">
        <f>IFERROR(IF(MARÍTIMOS[[#This Row],[Almacén de Ingreso]]="","",MARÍTIMOS[[#This Row],[Almacén de Ingreso]]),"")</f>
        <v/>
      </c>
      <c r="AH723" s="11" t="str">
        <f>IFERROR(IF(MARÍTIMOS[[#This Row],[Etapa Ingreso - Cita]]="","",MARÍTIMOS[[#This Row],[Etapa Ingreso - Cita]]),"")</f>
        <v/>
      </c>
      <c r="AI723" s="11" t="str">
        <f>IFERROR(IF(MARÍTIMOS[[#This Row],[Etapa Ingreso - Llegada]]="","",MARÍTIMOS[[#This Row],[Etapa Ingreso - Llegada]]),"")</f>
        <v/>
      </c>
      <c r="AJ723" s="11" t="str">
        <f>IFERROR(IF(MARÍTIMOS[[#This Row],[Etapa Ingreso - Ingeso]]="","",MARÍTIMOS[[#This Row],[Etapa Ingreso - Ingeso]]),"")</f>
        <v/>
      </c>
      <c r="AK723" s="11" t="str">
        <f>IFERROR(IF(MARÍTIMOS[[#This Row],[Etapa Ingreso - Atención]]="","",MARÍTIMOS[[#This Row],[Etapa Ingreso - Atención]]),"")</f>
        <v/>
      </c>
      <c r="AL723" s="11" t="str">
        <f>IFERROR(IF(MARÍTIMOS[[#This Row],[Etapa Ingreso - Salida]]="","",MARÍTIMOS[[#This Row],[Etapa Ingreso - Salida]]),"")</f>
        <v/>
      </c>
      <c r="AM723" s="2" t="str">
        <f>IFERROR(IF(MARÍTIMOS[[#This Row],[FCL]]="","",MARÍTIMOS[[#This Row],[FCL]]),"")</f>
        <v/>
      </c>
      <c r="AN7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3" s="4" t="str" cm="1">
        <f t="array" ref="AO7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3" s="5" t="str">
        <f>IFERROR(OLDBD[[#This Row],[Llegada a packing]]-OLDBD[[#This Row],[Inicio de Ruta]],"")</f>
        <v/>
      </c>
      <c r="AQ723" s="6" t="str">
        <f>IFERROR(OLDBD[[#This Row],[Inicio de Ruta]]-OLDBD[[#This Row],[Salida de almacén de retiro]],"")</f>
        <v/>
      </c>
      <c r="AR7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3" s="8" t="str" cm="1">
        <f t="array" ref="AS7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3" s="9" t="str">
        <f>IFERROR(OLDBD[[#This Row],[Ingreso Packing]]-OLDBD[[#This Row],[Registro en Packing]],"")</f>
        <v/>
      </c>
      <c r="AV723" s="9" t="str">
        <f>IFERROR(OLDBD[[#This Row],[Ingreso Packing]]-OLDBD[[#This Row],[Llegada a packing]],"")</f>
        <v/>
      </c>
      <c r="AW7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3" s="5" t="str">
        <f>IFERROR(OLDBD[[#This Row],[Llegada Almacén de Ingreso]]-OLDBD[[#This Row],[Salida Packing]],"")</f>
        <v/>
      </c>
      <c r="AY723" s="4" t="str" cm="1">
        <f t="array" ref="AY7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3" s="43" t="s">
        <v>173</v>
      </c>
      <c r="BB723" s="47" t="str">
        <f>IFERROR(IF(MARÍTIMOS[[#This Row],[Estatus]]="","",MARÍTIMOS[[#This Row],[Estatus]]),"")</f>
        <v/>
      </c>
      <c r="BC723" s="43"/>
      <c r="BD723" s="46" t="str">
        <f>IFERROR(OLDBD[[#This Row],[Salida de almacén de retiro]]-OLDBD[[#This Row],[Ingreso Almacén de retiro]],"")</f>
        <v/>
      </c>
      <c r="BE723" s="46" t="str">
        <f>IFERROR(OLDBD[[#This Row],[Fin de Carga]]-OLDBD[[#This Row],[Inicio de Carga]],"")</f>
        <v/>
      </c>
    </row>
    <row r="724" spans="1:57" customFormat="1" hidden="1">
      <c r="A724" s="1"/>
      <c r="B724" s="1" t="str">
        <f>IFERROR(IF(MARÍTIMOS[[#This Row],[PP]]="","",MARÍTIMOS[[#This Row],[PP]]),"")</f>
        <v/>
      </c>
      <c r="C724" s="1" t="str">
        <f>IFERROR(IF(MARÍTIMOS[[#This Row],[Sede]]="","",MARÍTIMOS[[#This Row],[Sede]]),"")</f>
        <v/>
      </c>
      <c r="D724" s="1" t="str">
        <f>IFERROR(IF(MARÍTIMOS[[#This Row],[Instruction]]="","",MARÍTIMOS[[#This Row],[Instruction]]),"")</f>
        <v/>
      </c>
      <c r="E724" s="1"/>
      <c r="F724" s="2" t="str">
        <f>IFERROR(IF(MARÍTIMOS[[#This Row],[Transportista]]="","",MARÍTIMOS[[#This Row],[Transportista]]),"")</f>
        <v/>
      </c>
      <c r="G724" s="2" t="str">
        <f>IFERROR(IF(MARÍTIMOS[[#This Row],[Tercero]]="","",MARÍTIMOS[[#This Row],[Tercero]]),"")</f>
        <v/>
      </c>
      <c r="H724" s="2" t="str">
        <f>IFERROR(IF(MARÍTIMOS[[#This Row],[Razón Social]]="","",MARÍTIMOS[[#This Row],[Razón Social]]),"")</f>
        <v/>
      </c>
      <c r="I724" s="2" t="str">
        <f>IFERROR(IF(MARÍTIMOS[[#This Row],[RUC]]="","",MARÍTIMOS[[#This Row],[RUC]]),"")</f>
        <v/>
      </c>
      <c r="J724" s="2" t="str">
        <f>IFERROR(IF(MARÍTIMOS[[#This Row],[Placa Tracto]]="","",MARÍTIMOS[[#This Row],[Placa Tracto]]),"")</f>
        <v/>
      </c>
      <c r="K724" s="2" t="str">
        <f>IFERROR(IF(MARÍTIMOS[[#This Row],[Placa Carreta]]="","",MARÍTIMOS[[#This Row],[Placa Carreta]]),"")</f>
        <v/>
      </c>
      <c r="L724" s="44" t="str">
        <f>IFERROR(IF(MARÍTIMOS[[#This Row],[Conductor]]="","",MARÍTIMOS[[#This Row],[Conductor]]),"")</f>
        <v/>
      </c>
      <c r="M724" s="2" t="str">
        <f>IFERROR(IF(MARÍTIMOS[[#This Row],[Licencia]]="","",MARÍTIMOS[[#This Row],[Licencia]]),"")</f>
        <v/>
      </c>
      <c r="N724" s="2" t="str">
        <f>IFERROR(IF(MARÍTIMOS[[#This Row],[Número de Contacto]]="","",MARÍTIMOS[[#This Row],[Número de Contacto]]),"")</f>
        <v/>
      </c>
      <c r="O724" s="10" t="str">
        <f>IFERROR(IF(MARÍTIMOS[[#This Row],[Booking|AWB|CRT]]="","",MARÍTIMOS[[#This Row],[Booking|AWB|CRT]]),"")</f>
        <v/>
      </c>
      <c r="P724" s="2" t="str">
        <f>IFERROR(IF(MARÍTIMOS[[#This Row],[Contenedor]]="","",MARÍTIMOS[[#This Row],[Contenedor]]),"")</f>
        <v/>
      </c>
      <c r="Q724" s="2" t="str">
        <f>IFERROR(IF(MARÍTIMOS[[#This Row],[Puerto de Retiro]]="","",MARÍTIMOS[[#This Row],[Puerto de Retiro]]),"")</f>
        <v/>
      </c>
      <c r="R724" s="2" t="str">
        <f>IFERROR(IF(MARÍTIMOS[[#This Row],[Almacén de Retiro]]="","",MARÍTIMOS[[#This Row],[Almacén de Retiro]]),"")</f>
        <v/>
      </c>
      <c r="S724" s="11" t="str">
        <f>IFERROR(IF(MARÍTIMOS[[#This Row],[Etapa Retiro - Cita]]="","",MARÍTIMOS[[#This Row],[Etapa Retiro - Cita]]),"")</f>
        <v/>
      </c>
      <c r="T724" s="11" t="str">
        <f>IFERROR(IF(MARÍTIMOS[[#This Row],[Etapa Retiro - Llegada]]="","",MARÍTIMOS[[#This Row],[Etapa Retiro - Llegada]]),"")</f>
        <v/>
      </c>
      <c r="U724" s="11" t="str">
        <f>IFERROR(IF(MARÍTIMOS[[#This Row],[Etapa Retiro - Ingreso]]="","",MARÍTIMOS[[#This Row],[Etapa Retiro - Ingreso]]),"")</f>
        <v/>
      </c>
      <c r="V724" s="11" t="str">
        <f>IFERROR(IF(MARÍTIMOS[[#This Row],[Etapa Retiro - Atención]]="","",MARÍTIMOS[[#This Row],[Etapa Retiro - Atención]]),"")</f>
        <v/>
      </c>
      <c r="W724" s="11" t="str">
        <f>IFERROR(IF(MARÍTIMOS[[#This Row],[Etapa Retiro - Atención]]="","",MARÍTIMOS[[#This Row],[Etapa Retiro - Atención]]),"")</f>
        <v/>
      </c>
      <c r="X724" s="11" t="str">
        <f>IFERROR(IF(MARÍTIMOS[[#This Row],[Etapa Retiro - Inicio de Ruta]]="","",MARÍTIMOS[[#This Row],[Etapa Retiro - Inicio de Ruta]]),"")</f>
        <v/>
      </c>
      <c r="Y724" s="11" t="str">
        <f>IFERROR(IF(MARÍTIMOS[[#This Row],[Hora de Posicionamiento]]="","",MARÍTIMOS[[#This Row],[Fecha de Carga]]+MARÍTIMOS[[#This Row],[Hora de Posicionamiento]]),"")</f>
        <v/>
      </c>
      <c r="Z724" s="11" t="str">
        <f>IFERROR(IF(MARÍTIMOS[[#This Row],[Etapa Despacho - Llegada]]="","",MARÍTIMOS[[#This Row],[Etapa Despacho - Llegada]]),"")</f>
        <v/>
      </c>
      <c r="AA724" s="11" t="str">
        <f>IFERROR(IF(MARÍTIMOS[[#This Row],[Etapa Despacho - Registro]]="","",MARÍTIMOS[[#This Row],[Etapa Despacho - Registro]]),"")</f>
        <v/>
      </c>
      <c r="AB724" s="11" t="str">
        <f>IFERROR(IF(MARÍTIMOS[[#This Row],[Inspección Externa]]="","",MARÍTIMOS[[#This Row],[Inspección Externa]]),"")</f>
        <v/>
      </c>
      <c r="AC724" s="11" t="str">
        <f>IFERROR(IF(MARÍTIMOS[[#This Row],[Etapa Despacho - Inicio de Carga]]="","",MARÍTIMOS[[#This Row],[Etapa Despacho - Inicio de Carga]]),"")</f>
        <v/>
      </c>
      <c r="AD724" s="11" t="str">
        <f>IFERROR(IF(MARÍTIMOS[[#This Row],[Etapa Despacho - Mitad de Carga]]="","",MARÍTIMOS[[#This Row],[Etapa Despacho - Mitad de Carga]]),"")</f>
        <v/>
      </c>
      <c r="AE724" s="11" t="str">
        <f>IFERROR(IF(MARÍTIMOS[[#This Row],[Etapa Despacho - Fin de Carga]]="","",MARÍTIMOS[[#This Row],[Etapa Despacho - Fin de Carga]]),"")</f>
        <v/>
      </c>
      <c r="AF724" s="2" t="str">
        <f>IFERROR(IF(MARÍTIMOS[[#This Row],[Puerto de Embarque]]="","",MARÍTIMOS[[#This Row],[Puerto de Embarque]]),"")</f>
        <v/>
      </c>
      <c r="AG724" s="2" t="str">
        <f>IFERROR(IF(MARÍTIMOS[[#This Row],[Almacén de Ingreso]]="","",MARÍTIMOS[[#This Row],[Almacén de Ingreso]]),"")</f>
        <v/>
      </c>
      <c r="AH724" s="11" t="str">
        <f>IFERROR(IF(MARÍTIMOS[[#This Row],[Etapa Ingreso - Cita]]="","",MARÍTIMOS[[#This Row],[Etapa Ingreso - Cita]]),"")</f>
        <v/>
      </c>
      <c r="AI724" s="11" t="str">
        <f>IFERROR(IF(MARÍTIMOS[[#This Row],[Etapa Ingreso - Llegada]]="","",MARÍTIMOS[[#This Row],[Etapa Ingreso - Llegada]]),"")</f>
        <v/>
      </c>
      <c r="AJ724" s="11" t="str">
        <f>IFERROR(IF(MARÍTIMOS[[#This Row],[Etapa Ingreso - Ingeso]]="","",MARÍTIMOS[[#This Row],[Etapa Ingreso - Ingeso]]),"")</f>
        <v/>
      </c>
      <c r="AK724" s="11" t="str">
        <f>IFERROR(IF(MARÍTIMOS[[#This Row],[Etapa Ingreso - Atención]]="","",MARÍTIMOS[[#This Row],[Etapa Ingreso - Atención]]),"")</f>
        <v/>
      </c>
      <c r="AL724" s="11" t="str">
        <f>IFERROR(IF(MARÍTIMOS[[#This Row],[Etapa Ingreso - Salida]]="","",MARÍTIMOS[[#This Row],[Etapa Ingreso - Salida]]),"")</f>
        <v/>
      </c>
      <c r="AM724" s="2" t="str">
        <f>IFERROR(IF(MARÍTIMOS[[#This Row],[FCL]]="","",MARÍTIMOS[[#This Row],[FCL]]),"")</f>
        <v/>
      </c>
      <c r="AN7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4" s="4" t="str" cm="1">
        <f t="array" ref="AO7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4" s="5" t="str">
        <f>IFERROR(OLDBD[[#This Row],[Llegada a packing]]-OLDBD[[#This Row],[Inicio de Ruta]],"")</f>
        <v/>
      </c>
      <c r="AQ724" s="6" t="str">
        <f>IFERROR(OLDBD[[#This Row],[Inicio de Ruta]]-OLDBD[[#This Row],[Salida de almacén de retiro]],"")</f>
        <v/>
      </c>
      <c r="AR7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4" s="8" t="str" cm="1">
        <f t="array" ref="AS7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4" s="9" t="str">
        <f>IFERROR(OLDBD[[#This Row],[Ingreso Packing]]-OLDBD[[#This Row],[Registro en Packing]],"")</f>
        <v/>
      </c>
      <c r="AV724" s="9" t="str">
        <f>IFERROR(OLDBD[[#This Row],[Ingreso Packing]]-OLDBD[[#This Row],[Llegada a packing]],"")</f>
        <v/>
      </c>
      <c r="AW7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4" s="5" t="str">
        <f>IFERROR(OLDBD[[#This Row],[Llegada Almacén de Ingreso]]-OLDBD[[#This Row],[Salida Packing]],"")</f>
        <v/>
      </c>
      <c r="AY724" s="4" t="str" cm="1">
        <f t="array" ref="AY7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4" s="43" t="s">
        <v>173</v>
      </c>
      <c r="BB724" s="47" t="str">
        <f>IFERROR(IF(MARÍTIMOS[[#This Row],[Estatus]]="","",MARÍTIMOS[[#This Row],[Estatus]]),"")</f>
        <v/>
      </c>
      <c r="BC724" s="43"/>
      <c r="BD724" s="46" t="str">
        <f>IFERROR(OLDBD[[#This Row],[Salida de almacén de retiro]]-OLDBD[[#This Row],[Ingreso Almacén de retiro]],"")</f>
        <v/>
      </c>
      <c r="BE724" s="46" t="str">
        <f>IFERROR(OLDBD[[#This Row],[Fin de Carga]]-OLDBD[[#This Row],[Inicio de Carga]],"")</f>
        <v/>
      </c>
    </row>
    <row r="725" spans="1:57" customFormat="1" hidden="1">
      <c r="A725" s="1"/>
      <c r="B725" s="1" t="str">
        <f>IFERROR(IF(MARÍTIMOS[[#This Row],[PP]]="","",MARÍTIMOS[[#This Row],[PP]]),"")</f>
        <v/>
      </c>
      <c r="C725" s="1" t="str">
        <f>IFERROR(IF(MARÍTIMOS[[#This Row],[Sede]]="","",MARÍTIMOS[[#This Row],[Sede]]),"")</f>
        <v/>
      </c>
      <c r="D725" s="1" t="str">
        <f>IFERROR(IF(MARÍTIMOS[[#This Row],[Instruction]]="","",MARÍTIMOS[[#This Row],[Instruction]]),"")</f>
        <v/>
      </c>
      <c r="E725" s="1"/>
      <c r="F725" s="2" t="str">
        <f>IFERROR(IF(MARÍTIMOS[[#This Row],[Transportista]]="","",MARÍTIMOS[[#This Row],[Transportista]]),"")</f>
        <v/>
      </c>
      <c r="G725" s="2" t="str">
        <f>IFERROR(IF(MARÍTIMOS[[#This Row],[Tercero]]="","",MARÍTIMOS[[#This Row],[Tercero]]),"")</f>
        <v/>
      </c>
      <c r="H725" s="2" t="str">
        <f>IFERROR(IF(MARÍTIMOS[[#This Row],[Razón Social]]="","",MARÍTIMOS[[#This Row],[Razón Social]]),"")</f>
        <v/>
      </c>
      <c r="I725" s="2" t="str">
        <f>IFERROR(IF(MARÍTIMOS[[#This Row],[RUC]]="","",MARÍTIMOS[[#This Row],[RUC]]),"")</f>
        <v/>
      </c>
      <c r="J725" s="2" t="str">
        <f>IFERROR(IF(MARÍTIMOS[[#This Row],[Placa Tracto]]="","",MARÍTIMOS[[#This Row],[Placa Tracto]]),"")</f>
        <v/>
      </c>
      <c r="K725" s="2" t="str">
        <f>IFERROR(IF(MARÍTIMOS[[#This Row],[Placa Carreta]]="","",MARÍTIMOS[[#This Row],[Placa Carreta]]),"")</f>
        <v/>
      </c>
      <c r="L725" s="44" t="str">
        <f>IFERROR(IF(MARÍTIMOS[[#This Row],[Conductor]]="","",MARÍTIMOS[[#This Row],[Conductor]]),"")</f>
        <v/>
      </c>
      <c r="M725" s="2" t="str">
        <f>IFERROR(IF(MARÍTIMOS[[#This Row],[Licencia]]="","",MARÍTIMOS[[#This Row],[Licencia]]),"")</f>
        <v/>
      </c>
      <c r="N725" s="2" t="str">
        <f>IFERROR(IF(MARÍTIMOS[[#This Row],[Número de Contacto]]="","",MARÍTIMOS[[#This Row],[Número de Contacto]]),"")</f>
        <v/>
      </c>
      <c r="O725" s="10" t="str">
        <f>IFERROR(IF(MARÍTIMOS[[#This Row],[Booking|AWB|CRT]]="","",MARÍTIMOS[[#This Row],[Booking|AWB|CRT]]),"")</f>
        <v/>
      </c>
      <c r="P725" s="2" t="str">
        <f>IFERROR(IF(MARÍTIMOS[[#This Row],[Contenedor]]="","",MARÍTIMOS[[#This Row],[Contenedor]]),"")</f>
        <v/>
      </c>
      <c r="Q725" s="2" t="str">
        <f>IFERROR(IF(MARÍTIMOS[[#This Row],[Puerto de Retiro]]="","",MARÍTIMOS[[#This Row],[Puerto de Retiro]]),"")</f>
        <v/>
      </c>
      <c r="R725" s="2" t="str">
        <f>IFERROR(IF(MARÍTIMOS[[#This Row],[Almacén de Retiro]]="","",MARÍTIMOS[[#This Row],[Almacén de Retiro]]),"")</f>
        <v/>
      </c>
      <c r="S725" s="11" t="str">
        <f>IFERROR(IF(MARÍTIMOS[[#This Row],[Etapa Retiro - Cita]]="","",MARÍTIMOS[[#This Row],[Etapa Retiro - Cita]]),"")</f>
        <v/>
      </c>
      <c r="T725" s="11" t="str">
        <f>IFERROR(IF(MARÍTIMOS[[#This Row],[Etapa Retiro - Llegada]]="","",MARÍTIMOS[[#This Row],[Etapa Retiro - Llegada]]),"")</f>
        <v/>
      </c>
      <c r="U725" s="11" t="str">
        <f>IFERROR(IF(MARÍTIMOS[[#This Row],[Etapa Retiro - Ingreso]]="","",MARÍTIMOS[[#This Row],[Etapa Retiro - Ingreso]]),"")</f>
        <v/>
      </c>
      <c r="V725" s="11" t="str">
        <f>IFERROR(IF(MARÍTIMOS[[#This Row],[Etapa Retiro - Atención]]="","",MARÍTIMOS[[#This Row],[Etapa Retiro - Atención]]),"")</f>
        <v/>
      </c>
      <c r="W725" s="11" t="str">
        <f>IFERROR(IF(MARÍTIMOS[[#This Row],[Etapa Retiro - Atención]]="","",MARÍTIMOS[[#This Row],[Etapa Retiro - Atención]]),"")</f>
        <v/>
      </c>
      <c r="X725" s="11" t="str">
        <f>IFERROR(IF(MARÍTIMOS[[#This Row],[Etapa Retiro - Inicio de Ruta]]="","",MARÍTIMOS[[#This Row],[Etapa Retiro - Inicio de Ruta]]),"")</f>
        <v/>
      </c>
      <c r="Y725" s="11" t="str">
        <f>IFERROR(IF(MARÍTIMOS[[#This Row],[Hora de Posicionamiento]]="","",MARÍTIMOS[[#This Row],[Fecha de Carga]]+MARÍTIMOS[[#This Row],[Hora de Posicionamiento]]),"")</f>
        <v/>
      </c>
      <c r="Z725" s="11" t="str">
        <f>IFERROR(IF(MARÍTIMOS[[#This Row],[Etapa Despacho - Llegada]]="","",MARÍTIMOS[[#This Row],[Etapa Despacho - Llegada]]),"")</f>
        <v/>
      </c>
      <c r="AA725" s="11" t="str">
        <f>IFERROR(IF(MARÍTIMOS[[#This Row],[Etapa Despacho - Registro]]="","",MARÍTIMOS[[#This Row],[Etapa Despacho - Registro]]),"")</f>
        <v/>
      </c>
      <c r="AB725" s="11" t="str">
        <f>IFERROR(IF(MARÍTIMOS[[#This Row],[Inspección Externa]]="","",MARÍTIMOS[[#This Row],[Inspección Externa]]),"")</f>
        <v/>
      </c>
      <c r="AC725" s="11" t="str">
        <f>IFERROR(IF(MARÍTIMOS[[#This Row],[Etapa Despacho - Inicio de Carga]]="","",MARÍTIMOS[[#This Row],[Etapa Despacho - Inicio de Carga]]),"")</f>
        <v/>
      </c>
      <c r="AD725" s="11" t="str">
        <f>IFERROR(IF(MARÍTIMOS[[#This Row],[Etapa Despacho - Mitad de Carga]]="","",MARÍTIMOS[[#This Row],[Etapa Despacho - Mitad de Carga]]),"")</f>
        <v/>
      </c>
      <c r="AE725" s="11" t="str">
        <f>IFERROR(IF(MARÍTIMOS[[#This Row],[Etapa Despacho - Fin de Carga]]="","",MARÍTIMOS[[#This Row],[Etapa Despacho - Fin de Carga]]),"")</f>
        <v/>
      </c>
      <c r="AF725" s="2" t="str">
        <f>IFERROR(IF(MARÍTIMOS[[#This Row],[Puerto de Embarque]]="","",MARÍTIMOS[[#This Row],[Puerto de Embarque]]),"")</f>
        <v/>
      </c>
      <c r="AG725" s="2" t="str">
        <f>IFERROR(IF(MARÍTIMOS[[#This Row],[Almacén de Ingreso]]="","",MARÍTIMOS[[#This Row],[Almacén de Ingreso]]),"")</f>
        <v/>
      </c>
      <c r="AH725" s="11" t="str">
        <f>IFERROR(IF(MARÍTIMOS[[#This Row],[Etapa Ingreso - Cita]]="","",MARÍTIMOS[[#This Row],[Etapa Ingreso - Cita]]),"")</f>
        <v/>
      </c>
      <c r="AI725" s="11" t="str">
        <f>IFERROR(IF(MARÍTIMOS[[#This Row],[Etapa Ingreso - Llegada]]="","",MARÍTIMOS[[#This Row],[Etapa Ingreso - Llegada]]),"")</f>
        <v/>
      </c>
      <c r="AJ725" s="11" t="str">
        <f>IFERROR(IF(MARÍTIMOS[[#This Row],[Etapa Ingreso - Ingeso]]="","",MARÍTIMOS[[#This Row],[Etapa Ingreso - Ingeso]]),"")</f>
        <v/>
      </c>
      <c r="AK725" s="11" t="str">
        <f>IFERROR(IF(MARÍTIMOS[[#This Row],[Etapa Ingreso - Atención]]="","",MARÍTIMOS[[#This Row],[Etapa Ingreso - Atención]]),"")</f>
        <v/>
      </c>
      <c r="AL725" s="11" t="str">
        <f>IFERROR(IF(MARÍTIMOS[[#This Row],[Etapa Ingreso - Salida]]="","",MARÍTIMOS[[#This Row],[Etapa Ingreso - Salida]]),"")</f>
        <v/>
      </c>
      <c r="AM725" s="2" t="str">
        <f>IFERROR(IF(MARÍTIMOS[[#This Row],[FCL]]="","",MARÍTIMOS[[#This Row],[FCL]]),"")</f>
        <v/>
      </c>
      <c r="AN7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5" s="4" t="str" cm="1">
        <f t="array" ref="AO7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5" s="5" t="str">
        <f>IFERROR(OLDBD[[#This Row],[Llegada a packing]]-OLDBD[[#This Row],[Inicio de Ruta]],"")</f>
        <v/>
      </c>
      <c r="AQ725" s="6" t="str">
        <f>IFERROR(OLDBD[[#This Row],[Inicio de Ruta]]-OLDBD[[#This Row],[Salida de almacén de retiro]],"")</f>
        <v/>
      </c>
      <c r="AR7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5" s="8" t="str" cm="1">
        <f t="array" ref="AS7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5" s="9" t="str">
        <f>IFERROR(OLDBD[[#This Row],[Ingreso Packing]]-OLDBD[[#This Row],[Registro en Packing]],"")</f>
        <v/>
      </c>
      <c r="AV725" s="9" t="str">
        <f>IFERROR(OLDBD[[#This Row],[Ingreso Packing]]-OLDBD[[#This Row],[Llegada a packing]],"")</f>
        <v/>
      </c>
      <c r="AW7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5" s="5" t="str">
        <f>IFERROR(OLDBD[[#This Row],[Llegada Almacén de Ingreso]]-OLDBD[[#This Row],[Salida Packing]],"")</f>
        <v/>
      </c>
      <c r="AY725" s="4" t="str" cm="1">
        <f t="array" ref="AY7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5" s="43" t="s">
        <v>173</v>
      </c>
      <c r="BB725" s="47" t="str">
        <f>IFERROR(IF(MARÍTIMOS[[#This Row],[Estatus]]="","",MARÍTIMOS[[#This Row],[Estatus]]),"")</f>
        <v/>
      </c>
      <c r="BC725" s="43"/>
      <c r="BD725" s="46" t="str">
        <f>IFERROR(OLDBD[[#This Row],[Salida de almacén de retiro]]-OLDBD[[#This Row],[Ingreso Almacén de retiro]],"")</f>
        <v/>
      </c>
      <c r="BE725" s="46" t="str">
        <f>IFERROR(OLDBD[[#This Row],[Fin de Carga]]-OLDBD[[#This Row],[Inicio de Carga]],"")</f>
        <v/>
      </c>
    </row>
    <row r="726" spans="1:57" customFormat="1" hidden="1">
      <c r="A726" s="1"/>
      <c r="B726" s="1" t="str">
        <f>IFERROR(IF(MARÍTIMOS[[#This Row],[PP]]="","",MARÍTIMOS[[#This Row],[PP]]),"")</f>
        <v/>
      </c>
      <c r="C726" s="1" t="str">
        <f>IFERROR(IF(MARÍTIMOS[[#This Row],[Sede]]="","",MARÍTIMOS[[#This Row],[Sede]]),"")</f>
        <v/>
      </c>
      <c r="D726" s="1" t="str">
        <f>IFERROR(IF(MARÍTIMOS[[#This Row],[Instruction]]="","",MARÍTIMOS[[#This Row],[Instruction]]),"")</f>
        <v/>
      </c>
      <c r="E726" s="1"/>
      <c r="F726" s="2" t="str">
        <f>IFERROR(IF(MARÍTIMOS[[#This Row],[Transportista]]="","",MARÍTIMOS[[#This Row],[Transportista]]),"")</f>
        <v/>
      </c>
      <c r="G726" s="2" t="str">
        <f>IFERROR(IF(MARÍTIMOS[[#This Row],[Tercero]]="","",MARÍTIMOS[[#This Row],[Tercero]]),"")</f>
        <v/>
      </c>
      <c r="H726" s="2" t="str">
        <f>IFERROR(IF(MARÍTIMOS[[#This Row],[Razón Social]]="","",MARÍTIMOS[[#This Row],[Razón Social]]),"")</f>
        <v/>
      </c>
      <c r="I726" s="2" t="str">
        <f>IFERROR(IF(MARÍTIMOS[[#This Row],[RUC]]="","",MARÍTIMOS[[#This Row],[RUC]]),"")</f>
        <v/>
      </c>
      <c r="J726" s="2" t="str">
        <f>IFERROR(IF(MARÍTIMOS[[#This Row],[Placa Tracto]]="","",MARÍTIMOS[[#This Row],[Placa Tracto]]),"")</f>
        <v/>
      </c>
      <c r="K726" s="2" t="str">
        <f>IFERROR(IF(MARÍTIMOS[[#This Row],[Placa Carreta]]="","",MARÍTIMOS[[#This Row],[Placa Carreta]]),"")</f>
        <v/>
      </c>
      <c r="L726" s="44" t="str">
        <f>IFERROR(IF(MARÍTIMOS[[#This Row],[Conductor]]="","",MARÍTIMOS[[#This Row],[Conductor]]),"")</f>
        <v/>
      </c>
      <c r="M726" s="2" t="str">
        <f>IFERROR(IF(MARÍTIMOS[[#This Row],[Licencia]]="","",MARÍTIMOS[[#This Row],[Licencia]]),"")</f>
        <v/>
      </c>
      <c r="N726" s="2" t="str">
        <f>IFERROR(IF(MARÍTIMOS[[#This Row],[Número de Contacto]]="","",MARÍTIMOS[[#This Row],[Número de Contacto]]),"")</f>
        <v/>
      </c>
      <c r="O726" s="10" t="str">
        <f>IFERROR(IF(MARÍTIMOS[[#This Row],[Booking|AWB|CRT]]="","",MARÍTIMOS[[#This Row],[Booking|AWB|CRT]]),"")</f>
        <v/>
      </c>
      <c r="P726" s="2" t="str">
        <f>IFERROR(IF(MARÍTIMOS[[#This Row],[Contenedor]]="","",MARÍTIMOS[[#This Row],[Contenedor]]),"")</f>
        <v/>
      </c>
      <c r="Q726" s="2" t="str">
        <f>IFERROR(IF(MARÍTIMOS[[#This Row],[Puerto de Retiro]]="","",MARÍTIMOS[[#This Row],[Puerto de Retiro]]),"")</f>
        <v/>
      </c>
      <c r="R726" s="2" t="str">
        <f>IFERROR(IF(MARÍTIMOS[[#This Row],[Almacén de Retiro]]="","",MARÍTIMOS[[#This Row],[Almacén de Retiro]]),"")</f>
        <v/>
      </c>
      <c r="S726" s="11" t="str">
        <f>IFERROR(IF(MARÍTIMOS[[#This Row],[Etapa Retiro - Cita]]="","",MARÍTIMOS[[#This Row],[Etapa Retiro - Cita]]),"")</f>
        <v/>
      </c>
      <c r="T726" s="11" t="str">
        <f>IFERROR(IF(MARÍTIMOS[[#This Row],[Etapa Retiro - Llegada]]="","",MARÍTIMOS[[#This Row],[Etapa Retiro - Llegada]]),"")</f>
        <v/>
      </c>
      <c r="U726" s="11" t="str">
        <f>IFERROR(IF(MARÍTIMOS[[#This Row],[Etapa Retiro - Ingreso]]="","",MARÍTIMOS[[#This Row],[Etapa Retiro - Ingreso]]),"")</f>
        <v/>
      </c>
      <c r="V726" s="11" t="str">
        <f>IFERROR(IF(MARÍTIMOS[[#This Row],[Etapa Retiro - Atención]]="","",MARÍTIMOS[[#This Row],[Etapa Retiro - Atención]]),"")</f>
        <v/>
      </c>
      <c r="W726" s="11" t="str">
        <f>IFERROR(IF(MARÍTIMOS[[#This Row],[Etapa Retiro - Atención]]="","",MARÍTIMOS[[#This Row],[Etapa Retiro - Atención]]),"")</f>
        <v/>
      </c>
      <c r="X726" s="11" t="str">
        <f>IFERROR(IF(MARÍTIMOS[[#This Row],[Etapa Retiro - Inicio de Ruta]]="","",MARÍTIMOS[[#This Row],[Etapa Retiro - Inicio de Ruta]]),"")</f>
        <v/>
      </c>
      <c r="Y726" s="11" t="str">
        <f>IFERROR(IF(MARÍTIMOS[[#This Row],[Hora de Posicionamiento]]="","",MARÍTIMOS[[#This Row],[Fecha de Carga]]+MARÍTIMOS[[#This Row],[Hora de Posicionamiento]]),"")</f>
        <v/>
      </c>
      <c r="Z726" s="11" t="str">
        <f>IFERROR(IF(MARÍTIMOS[[#This Row],[Etapa Despacho - Llegada]]="","",MARÍTIMOS[[#This Row],[Etapa Despacho - Llegada]]),"")</f>
        <v/>
      </c>
      <c r="AA726" s="11" t="str">
        <f>IFERROR(IF(MARÍTIMOS[[#This Row],[Etapa Despacho - Registro]]="","",MARÍTIMOS[[#This Row],[Etapa Despacho - Registro]]),"")</f>
        <v/>
      </c>
      <c r="AB726" s="11" t="str">
        <f>IFERROR(IF(MARÍTIMOS[[#This Row],[Inspección Externa]]="","",MARÍTIMOS[[#This Row],[Inspección Externa]]),"")</f>
        <v/>
      </c>
      <c r="AC726" s="11" t="str">
        <f>IFERROR(IF(MARÍTIMOS[[#This Row],[Etapa Despacho - Inicio de Carga]]="","",MARÍTIMOS[[#This Row],[Etapa Despacho - Inicio de Carga]]),"")</f>
        <v/>
      </c>
      <c r="AD726" s="11" t="str">
        <f>IFERROR(IF(MARÍTIMOS[[#This Row],[Etapa Despacho - Mitad de Carga]]="","",MARÍTIMOS[[#This Row],[Etapa Despacho - Mitad de Carga]]),"")</f>
        <v/>
      </c>
      <c r="AE726" s="11" t="str">
        <f>IFERROR(IF(MARÍTIMOS[[#This Row],[Etapa Despacho - Fin de Carga]]="","",MARÍTIMOS[[#This Row],[Etapa Despacho - Fin de Carga]]),"")</f>
        <v/>
      </c>
      <c r="AF726" s="2" t="str">
        <f>IFERROR(IF(MARÍTIMOS[[#This Row],[Puerto de Embarque]]="","",MARÍTIMOS[[#This Row],[Puerto de Embarque]]),"")</f>
        <v/>
      </c>
      <c r="AG726" s="2" t="str">
        <f>IFERROR(IF(MARÍTIMOS[[#This Row],[Almacén de Ingreso]]="","",MARÍTIMOS[[#This Row],[Almacén de Ingreso]]),"")</f>
        <v/>
      </c>
      <c r="AH726" s="11" t="str">
        <f>IFERROR(IF(MARÍTIMOS[[#This Row],[Etapa Ingreso - Cita]]="","",MARÍTIMOS[[#This Row],[Etapa Ingreso - Cita]]),"")</f>
        <v/>
      </c>
      <c r="AI726" s="11" t="str">
        <f>IFERROR(IF(MARÍTIMOS[[#This Row],[Etapa Ingreso - Llegada]]="","",MARÍTIMOS[[#This Row],[Etapa Ingreso - Llegada]]),"")</f>
        <v/>
      </c>
      <c r="AJ726" s="11" t="str">
        <f>IFERROR(IF(MARÍTIMOS[[#This Row],[Etapa Ingreso - Ingeso]]="","",MARÍTIMOS[[#This Row],[Etapa Ingreso - Ingeso]]),"")</f>
        <v/>
      </c>
      <c r="AK726" s="11" t="str">
        <f>IFERROR(IF(MARÍTIMOS[[#This Row],[Etapa Ingreso - Atención]]="","",MARÍTIMOS[[#This Row],[Etapa Ingreso - Atención]]),"")</f>
        <v/>
      </c>
      <c r="AL726" s="11" t="str">
        <f>IFERROR(IF(MARÍTIMOS[[#This Row],[Etapa Ingreso - Salida]]="","",MARÍTIMOS[[#This Row],[Etapa Ingreso - Salida]]),"")</f>
        <v/>
      </c>
      <c r="AM726" s="2" t="str">
        <f>IFERROR(IF(MARÍTIMOS[[#This Row],[FCL]]="","",MARÍTIMOS[[#This Row],[FCL]]),"")</f>
        <v/>
      </c>
      <c r="AN7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6" s="4" t="str" cm="1">
        <f t="array" ref="AO7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6" s="5" t="str">
        <f>IFERROR(OLDBD[[#This Row],[Llegada a packing]]-OLDBD[[#This Row],[Inicio de Ruta]],"")</f>
        <v/>
      </c>
      <c r="AQ726" s="6" t="str">
        <f>IFERROR(OLDBD[[#This Row],[Inicio de Ruta]]-OLDBD[[#This Row],[Salida de almacén de retiro]],"")</f>
        <v/>
      </c>
      <c r="AR7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6" s="8" t="str" cm="1">
        <f t="array" ref="AS7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6" s="9" t="str">
        <f>IFERROR(OLDBD[[#This Row],[Ingreso Packing]]-OLDBD[[#This Row],[Registro en Packing]],"")</f>
        <v/>
      </c>
      <c r="AV726" s="9" t="str">
        <f>IFERROR(OLDBD[[#This Row],[Ingreso Packing]]-OLDBD[[#This Row],[Llegada a packing]],"")</f>
        <v/>
      </c>
      <c r="AW7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6" s="5" t="str">
        <f>IFERROR(OLDBD[[#This Row],[Llegada Almacén de Ingreso]]-OLDBD[[#This Row],[Salida Packing]],"")</f>
        <v/>
      </c>
      <c r="AY726" s="4" t="str" cm="1">
        <f t="array" ref="AY7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6" s="43" t="s">
        <v>173</v>
      </c>
      <c r="BB726" s="47" t="str">
        <f>IFERROR(IF(MARÍTIMOS[[#This Row],[Estatus]]="","",MARÍTIMOS[[#This Row],[Estatus]]),"")</f>
        <v/>
      </c>
      <c r="BC726" s="43"/>
      <c r="BD726" s="46" t="str">
        <f>IFERROR(OLDBD[[#This Row],[Salida de almacén de retiro]]-OLDBD[[#This Row],[Ingreso Almacén de retiro]],"")</f>
        <v/>
      </c>
      <c r="BE726" s="46" t="str">
        <f>IFERROR(OLDBD[[#This Row],[Fin de Carga]]-OLDBD[[#This Row],[Inicio de Carga]],"")</f>
        <v/>
      </c>
    </row>
    <row r="727" spans="1:57" customFormat="1" hidden="1">
      <c r="A727" s="1"/>
      <c r="B727" s="1" t="str">
        <f>IFERROR(IF(MARÍTIMOS[[#This Row],[PP]]="","",MARÍTIMOS[[#This Row],[PP]]),"")</f>
        <v/>
      </c>
      <c r="C727" s="1" t="str">
        <f>IFERROR(IF(MARÍTIMOS[[#This Row],[Sede]]="","",MARÍTIMOS[[#This Row],[Sede]]),"")</f>
        <v/>
      </c>
      <c r="D727" s="1" t="str">
        <f>IFERROR(IF(MARÍTIMOS[[#This Row],[Instruction]]="","",MARÍTIMOS[[#This Row],[Instruction]]),"")</f>
        <v/>
      </c>
      <c r="E727" s="1"/>
      <c r="F727" s="2" t="str">
        <f>IFERROR(IF(MARÍTIMOS[[#This Row],[Transportista]]="","",MARÍTIMOS[[#This Row],[Transportista]]),"")</f>
        <v/>
      </c>
      <c r="G727" s="2" t="str">
        <f>IFERROR(IF(MARÍTIMOS[[#This Row],[Tercero]]="","",MARÍTIMOS[[#This Row],[Tercero]]),"")</f>
        <v/>
      </c>
      <c r="H727" s="2" t="str">
        <f>IFERROR(IF(MARÍTIMOS[[#This Row],[Razón Social]]="","",MARÍTIMOS[[#This Row],[Razón Social]]),"")</f>
        <v/>
      </c>
      <c r="I727" s="2" t="str">
        <f>IFERROR(IF(MARÍTIMOS[[#This Row],[RUC]]="","",MARÍTIMOS[[#This Row],[RUC]]),"")</f>
        <v/>
      </c>
      <c r="J727" s="2" t="str">
        <f>IFERROR(IF(MARÍTIMOS[[#This Row],[Placa Tracto]]="","",MARÍTIMOS[[#This Row],[Placa Tracto]]),"")</f>
        <v/>
      </c>
      <c r="K727" s="2" t="str">
        <f>IFERROR(IF(MARÍTIMOS[[#This Row],[Placa Carreta]]="","",MARÍTIMOS[[#This Row],[Placa Carreta]]),"")</f>
        <v/>
      </c>
      <c r="L727" s="44" t="str">
        <f>IFERROR(IF(MARÍTIMOS[[#This Row],[Conductor]]="","",MARÍTIMOS[[#This Row],[Conductor]]),"")</f>
        <v/>
      </c>
      <c r="M727" s="2" t="str">
        <f>IFERROR(IF(MARÍTIMOS[[#This Row],[Licencia]]="","",MARÍTIMOS[[#This Row],[Licencia]]),"")</f>
        <v/>
      </c>
      <c r="N727" s="2" t="str">
        <f>IFERROR(IF(MARÍTIMOS[[#This Row],[Número de Contacto]]="","",MARÍTIMOS[[#This Row],[Número de Contacto]]),"")</f>
        <v/>
      </c>
      <c r="O727" s="10" t="str">
        <f>IFERROR(IF(MARÍTIMOS[[#This Row],[Booking|AWB|CRT]]="","",MARÍTIMOS[[#This Row],[Booking|AWB|CRT]]),"")</f>
        <v/>
      </c>
      <c r="P727" s="2" t="str">
        <f>IFERROR(IF(MARÍTIMOS[[#This Row],[Contenedor]]="","",MARÍTIMOS[[#This Row],[Contenedor]]),"")</f>
        <v/>
      </c>
      <c r="Q727" s="2" t="str">
        <f>IFERROR(IF(MARÍTIMOS[[#This Row],[Puerto de Retiro]]="","",MARÍTIMOS[[#This Row],[Puerto de Retiro]]),"")</f>
        <v/>
      </c>
      <c r="R727" s="2" t="str">
        <f>IFERROR(IF(MARÍTIMOS[[#This Row],[Almacén de Retiro]]="","",MARÍTIMOS[[#This Row],[Almacén de Retiro]]),"")</f>
        <v/>
      </c>
      <c r="S727" s="11" t="str">
        <f>IFERROR(IF(MARÍTIMOS[[#This Row],[Etapa Retiro - Cita]]="","",MARÍTIMOS[[#This Row],[Etapa Retiro - Cita]]),"")</f>
        <v/>
      </c>
      <c r="T727" s="11" t="str">
        <f>IFERROR(IF(MARÍTIMOS[[#This Row],[Etapa Retiro - Llegada]]="","",MARÍTIMOS[[#This Row],[Etapa Retiro - Llegada]]),"")</f>
        <v/>
      </c>
      <c r="U727" s="11" t="str">
        <f>IFERROR(IF(MARÍTIMOS[[#This Row],[Etapa Retiro - Ingreso]]="","",MARÍTIMOS[[#This Row],[Etapa Retiro - Ingreso]]),"")</f>
        <v/>
      </c>
      <c r="V727" s="11" t="str">
        <f>IFERROR(IF(MARÍTIMOS[[#This Row],[Etapa Retiro - Atención]]="","",MARÍTIMOS[[#This Row],[Etapa Retiro - Atención]]),"")</f>
        <v/>
      </c>
      <c r="W727" s="11" t="str">
        <f>IFERROR(IF(MARÍTIMOS[[#This Row],[Etapa Retiro - Atención]]="","",MARÍTIMOS[[#This Row],[Etapa Retiro - Atención]]),"")</f>
        <v/>
      </c>
      <c r="X727" s="11" t="str">
        <f>IFERROR(IF(MARÍTIMOS[[#This Row],[Etapa Retiro - Inicio de Ruta]]="","",MARÍTIMOS[[#This Row],[Etapa Retiro - Inicio de Ruta]]),"")</f>
        <v/>
      </c>
      <c r="Y727" s="11" t="str">
        <f>IFERROR(IF(MARÍTIMOS[[#This Row],[Hora de Posicionamiento]]="","",MARÍTIMOS[[#This Row],[Fecha de Carga]]+MARÍTIMOS[[#This Row],[Hora de Posicionamiento]]),"")</f>
        <v/>
      </c>
      <c r="Z727" s="11" t="str">
        <f>IFERROR(IF(MARÍTIMOS[[#This Row],[Etapa Despacho - Llegada]]="","",MARÍTIMOS[[#This Row],[Etapa Despacho - Llegada]]),"")</f>
        <v/>
      </c>
      <c r="AA727" s="11" t="str">
        <f>IFERROR(IF(MARÍTIMOS[[#This Row],[Etapa Despacho - Registro]]="","",MARÍTIMOS[[#This Row],[Etapa Despacho - Registro]]),"")</f>
        <v/>
      </c>
      <c r="AB727" s="11" t="str">
        <f>IFERROR(IF(MARÍTIMOS[[#This Row],[Inspección Externa]]="","",MARÍTIMOS[[#This Row],[Inspección Externa]]),"")</f>
        <v/>
      </c>
      <c r="AC727" s="11" t="str">
        <f>IFERROR(IF(MARÍTIMOS[[#This Row],[Etapa Despacho - Inicio de Carga]]="","",MARÍTIMOS[[#This Row],[Etapa Despacho - Inicio de Carga]]),"")</f>
        <v/>
      </c>
      <c r="AD727" s="11" t="str">
        <f>IFERROR(IF(MARÍTIMOS[[#This Row],[Etapa Despacho - Mitad de Carga]]="","",MARÍTIMOS[[#This Row],[Etapa Despacho - Mitad de Carga]]),"")</f>
        <v/>
      </c>
      <c r="AE727" s="11" t="str">
        <f>IFERROR(IF(MARÍTIMOS[[#This Row],[Etapa Despacho - Fin de Carga]]="","",MARÍTIMOS[[#This Row],[Etapa Despacho - Fin de Carga]]),"")</f>
        <v/>
      </c>
      <c r="AF727" s="2" t="str">
        <f>IFERROR(IF(MARÍTIMOS[[#This Row],[Puerto de Embarque]]="","",MARÍTIMOS[[#This Row],[Puerto de Embarque]]),"")</f>
        <v/>
      </c>
      <c r="AG727" s="2" t="str">
        <f>IFERROR(IF(MARÍTIMOS[[#This Row],[Almacén de Ingreso]]="","",MARÍTIMOS[[#This Row],[Almacén de Ingreso]]),"")</f>
        <v/>
      </c>
      <c r="AH727" s="11" t="str">
        <f>IFERROR(IF(MARÍTIMOS[[#This Row],[Etapa Ingreso - Cita]]="","",MARÍTIMOS[[#This Row],[Etapa Ingreso - Cita]]),"")</f>
        <v/>
      </c>
      <c r="AI727" s="11" t="str">
        <f>IFERROR(IF(MARÍTIMOS[[#This Row],[Etapa Ingreso - Llegada]]="","",MARÍTIMOS[[#This Row],[Etapa Ingreso - Llegada]]),"")</f>
        <v/>
      </c>
      <c r="AJ727" s="11" t="str">
        <f>IFERROR(IF(MARÍTIMOS[[#This Row],[Etapa Ingreso - Ingeso]]="","",MARÍTIMOS[[#This Row],[Etapa Ingreso - Ingeso]]),"")</f>
        <v/>
      </c>
      <c r="AK727" s="11" t="str">
        <f>IFERROR(IF(MARÍTIMOS[[#This Row],[Etapa Ingreso - Atención]]="","",MARÍTIMOS[[#This Row],[Etapa Ingreso - Atención]]),"")</f>
        <v/>
      </c>
      <c r="AL727" s="11" t="str">
        <f>IFERROR(IF(MARÍTIMOS[[#This Row],[Etapa Ingreso - Salida]]="","",MARÍTIMOS[[#This Row],[Etapa Ingreso - Salida]]),"")</f>
        <v/>
      </c>
      <c r="AM727" s="2" t="str">
        <f>IFERROR(IF(MARÍTIMOS[[#This Row],[FCL]]="","",MARÍTIMOS[[#This Row],[FCL]]),"")</f>
        <v/>
      </c>
      <c r="AN7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7" s="4" t="str" cm="1">
        <f t="array" ref="AO7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7" s="5" t="str">
        <f>IFERROR(OLDBD[[#This Row],[Llegada a packing]]-OLDBD[[#This Row],[Inicio de Ruta]],"")</f>
        <v/>
      </c>
      <c r="AQ727" s="6" t="str">
        <f>IFERROR(OLDBD[[#This Row],[Inicio de Ruta]]-OLDBD[[#This Row],[Salida de almacén de retiro]],"")</f>
        <v/>
      </c>
      <c r="AR7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7" s="8" t="str" cm="1">
        <f t="array" ref="AS7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7" s="9" t="str">
        <f>IFERROR(OLDBD[[#This Row],[Ingreso Packing]]-OLDBD[[#This Row],[Registro en Packing]],"")</f>
        <v/>
      </c>
      <c r="AV727" s="9" t="str">
        <f>IFERROR(OLDBD[[#This Row],[Ingreso Packing]]-OLDBD[[#This Row],[Llegada a packing]],"")</f>
        <v/>
      </c>
      <c r="AW7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7" s="5" t="str">
        <f>IFERROR(OLDBD[[#This Row],[Llegada Almacén de Ingreso]]-OLDBD[[#This Row],[Salida Packing]],"")</f>
        <v/>
      </c>
      <c r="AY727" s="4" t="str" cm="1">
        <f t="array" ref="AY7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7" s="43" t="s">
        <v>173</v>
      </c>
      <c r="BB727" s="47" t="str">
        <f>IFERROR(IF(MARÍTIMOS[[#This Row],[Estatus]]="","",MARÍTIMOS[[#This Row],[Estatus]]),"")</f>
        <v/>
      </c>
      <c r="BC727" s="43"/>
      <c r="BD727" s="46" t="str">
        <f>IFERROR(OLDBD[[#This Row],[Salida de almacén de retiro]]-OLDBD[[#This Row],[Ingreso Almacén de retiro]],"")</f>
        <v/>
      </c>
      <c r="BE727" s="46" t="str">
        <f>IFERROR(OLDBD[[#This Row],[Fin de Carga]]-OLDBD[[#This Row],[Inicio de Carga]],"")</f>
        <v/>
      </c>
    </row>
    <row r="728" spans="1:57" customFormat="1" hidden="1">
      <c r="A728" s="1"/>
      <c r="B728" s="1" t="str">
        <f>IFERROR(IF(MARÍTIMOS[[#This Row],[PP]]="","",MARÍTIMOS[[#This Row],[PP]]),"")</f>
        <v/>
      </c>
      <c r="C728" s="1" t="str">
        <f>IFERROR(IF(MARÍTIMOS[[#This Row],[Sede]]="","",MARÍTIMOS[[#This Row],[Sede]]),"")</f>
        <v/>
      </c>
      <c r="D728" s="1" t="str">
        <f>IFERROR(IF(MARÍTIMOS[[#This Row],[Instruction]]="","",MARÍTIMOS[[#This Row],[Instruction]]),"")</f>
        <v/>
      </c>
      <c r="E728" s="1"/>
      <c r="F728" s="2" t="str">
        <f>IFERROR(IF(MARÍTIMOS[[#This Row],[Transportista]]="","",MARÍTIMOS[[#This Row],[Transportista]]),"")</f>
        <v/>
      </c>
      <c r="G728" s="2" t="str">
        <f>IFERROR(IF(MARÍTIMOS[[#This Row],[Tercero]]="","",MARÍTIMOS[[#This Row],[Tercero]]),"")</f>
        <v/>
      </c>
      <c r="H728" s="2" t="str">
        <f>IFERROR(IF(MARÍTIMOS[[#This Row],[Razón Social]]="","",MARÍTIMOS[[#This Row],[Razón Social]]),"")</f>
        <v/>
      </c>
      <c r="I728" s="2" t="str">
        <f>IFERROR(IF(MARÍTIMOS[[#This Row],[RUC]]="","",MARÍTIMOS[[#This Row],[RUC]]),"")</f>
        <v/>
      </c>
      <c r="J728" s="2" t="str">
        <f>IFERROR(IF(MARÍTIMOS[[#This Row],[Placa Tracto]]="","",MARÍTIMOS[[#This Row],[Placa Tracto]]),"")</f>
        <v/>
      </c>
      <c r="K728" s="2" t="str">
        <f>IFERROR(IF(MARÍTIMOS[[#This Row],[Placa Carreta]]="","",MARÍTIMOS[[#This Row],[Placa Carreta]]),"")</f>
        <v/>
      </c>
      <c r="L728" s="44" t="str">
        <f>IFERROR(IF(MARÍTIMOS[[#This Row],[Conductor]]="","",MARÍTIMOS[[#This Row],[Conductor]]),"")</f>
        <v/>
      </c>
      <c r="M728" s="2" t="str">
        <f>IFERROR(IF(MARÍTIMOS[[#This Row],[Licencia]]="","",MARÍTIMOS[[#This Row],[Licencia]]),"")</f>
        <v/>
      </c>
      <c r="N728" s="2" t="str">
        <f>IFERROR(IF(MARÍTIMOS[[#This Row],[Número de Contacto]]="","",MARÍTIMOS[[#This Row],[Número de Contacto]]),"")</f>
        <v/>
      </c>
      <c r="O728" s="10" t="str">
        <f>IFERROR(IF(MARÍTIMOS[[#This Row],[Booking|AWB|CRT]]="","",MARÍTIMOS[[#This Row],[Booking|AWB|CRT]]),"")</f>
        <v/>
      </c>
      <c r="P728" s="2" t="str">
        <f>IFERROR(IF(MARÍTIMOS[[#This Row],[Contenedor]]="","",MARÍTIMOS[[#This Row],[Contenedor]]),"")</f>
        <v/>
      </c>
      <c r="Q728" s="2" t="str">
        <f>IFERROR(IF(MARÍTIMOS[[#This Row],[Puerto de Retiro]]="","",MARÍTIMOS[[#This Row],[Puerto de Retiro]]),"")</f>
        <v/>
      </c>
      <c r="R728" s="2" t="str">
        <f>IFERROR(IF(MARÍTIMOS[[#This Row],[Almacén de Retiro]]="","",MARÍTIMOS[[#This Row],[Almacén de Retiro]]),"")</f>
        <v/>
      </c>
      <c r="S728" s="11" t="str">
        <f>IFERROR(IF(MARÍTIMOS[[#This Row],[Etapa Retiro - Cita]]="","",MARÍTIMOS[[#This Row],[Etapa Retiro - Cita]]),"")</f>
        <v/>
      </c>
      <c r="T728" s="11" t="str">
        <f>IFERROR(IF(MARÍTIMOS[[#This Row],[Etapa Retiro - Llegada]]="","",MARÍTIMOS[[#This Row],[Etapa Retiro - Llegada]]),"")</f>
        <v/>
      </c>
      <c r="U728" s="11" t="str">
        <f>IFERROR(IF(MARÍTIMOS[[#This Row],[Etapa Retiro - Ingreso]]="","",MARÍTIMOS[[#This Row],[Etapa Retiro - Ingreso]]),"")</f>
        <v/>
      </c>
      <c r="V728" s="11" t="str">
        <f>IFERROR(IF(MARÍTIMOS[[#This Row],[Etapa Retiro - Atención]]="","",MARÍTIMOS[[#This Row],[Etapa Retiro - Atención]]),"")</f>
        <v/>
      </c>
      <c r="W728" s="11" t="str">
        <f>IFERROR(IF(MARÍTIMOS[[#This Row],[Etapa Retiro - Atención]]="","",MARÍTIMOS[[#This Row],[Etapa Retiro - Atención]]),"")</f>
        <v/>
      </c>
      <c r="X728" s="11" t="str">
        <f>IFERROR(IF(MARÍTIMOS[[#This Row],[Etapa Retiro - Inicio de Ruta]]="","",MARÍTIMOS[[#This Row],[Etapa Retiro - Inicio de Ruta]]),"")</f>
        <v/>
      </c>
      <c r="Y728" s="11" t="str">
        <f>IFERROR(IF(MARÍTIMOS[[#This Row],[Hora de Posicionamiento]]="","",MARÍTIMOS[[#This Row],[Fecha de Carga]]+MARÍTIMOS[[#This Row],[Hora de Posicionamiento]]),"")</f>
        <v/>
      </c>
      <c r="Z728" s="11" t="str">
        <f>IFERROR(IF(MARÍTIMOS[[#This Row],[Etapa Despacho - Llegada]]="","",MARÍTIMOS[[#This Row],[Etapa Despacho - Llegada]]),"")</f>
        <v/>
      </c>
      <c r="AA728" s="11" t="str">
        <f>IFERROR(IF(MARÍTIMOS[[#This Row],[Etapa Despacho - Registro]]="","",MARÍTIMOS[[#This Row],[Etapa Despacho - Registro]]),"")</f>
        <v/>
      </c>
      <c r="AB728" s="11" t="str">
        <f>IFERROR(IF(MARÍTIMOS[[#This Row],[Inspección Externa]]="","",MARÍTIMOS[[#This Row],[Inspección Externa]]),"")</f>
        <v/>
      </c>
      <c r="AC728" s="11" t="str">
        <f>IFERROR(IF(MARÍTIMOS[[#This Row],[Etapa Despacho - Inicio de Carga]]="","",MARÍTIMOS[[#This Row],[Etapa Despacho - Inicio de Carga]]),"")</f>
        <v/>
      </c>
      <c r="AD728" s="11" t="str">
        <f>IFERROR(IF(MARÍTIMOS[[#This Row],[Etapa Despacho - Mitad de Carga]]="","",MARÍTIMOS[[#This Row],[Etapa Despacho - Mitad de Carga]]),"")</f>
        <v/>
      </c>
      <c r="AE728" s="11" t="str">
        <f>IFERROR(IF(MARÍTIMOS[[#This Row],[Etapa Despacho - Fin de Carga]]="","",MARÍTIMOS[[#This Row],[Etapa Despacho - Fin de Carga]]),"")</f>
        <v/>
      </c>
      <c r="AF728" s="2" t="str">
        <f>IFERROR(IF(MARÍTIMOS[[#This Row],[Puerto de Embarque]]="","",MARÍTIMOS[[#This Row],[Puerto de Embarque]]),"")</f>
        <v/>
      </c>
      <c r="AG728" s="2" t="str">
        <f>IFERROR(IF(MARÍTIMOS[[#This Row],[Almacén de Ingreso]]="","",MARÍTIMOS[[#This Row],[Almacén de Ingreso]]),"")</f>
        <v/>
      </c>
      <c r="AH728" s="11" t="str">
        <f>IFERROR(IF(MARÍTIMOS[[#This Row],[Etapa Ingreso - Cita]]="","",MARÍTIMOS[[#This Row],[Etapa Ingreso - Cita]]),"")</f>
        <v/>
      </c>
      <c r="AI728" s="11" t="str">
        <f>IFERROR(IF(MARÍTIMOS[[#This Row],[Etapa Ingreso - Llegada]]="","",MARÍTIMOS[[#This Row],[Etapa Ingreso - Llegada]]),"")</f>
        <v/>
      </c>
      <c r="AJ728" s="11" t="str">
        <f>IFERROR(IF(MARÍTIMOS[[#This Row],[Etapa Ingreso - Ingeso]]="","",MARÍTIMOS[[#This Row],[Etapa Ingreso - Ingeso]]),"")</f>
        <v/>
      </c>
      <c r="AK728" s="11" t="str">
        <f>IFERROR(IF(MARÍTIMOS[[#This Row],[Etapa Ingreso - Atención]]="","",MARÍTIMOS[[#This Row],[Etapa Ingreso - Atención]]),"")</f>
        <v/>
      </c>
      <c r="AL728" s="11" t="str">
        <f>IFERROR(IF(MARÍTIMOS[[#This Row],[Etapa Ingreso - Salida]]="","",MARÍTIMOS[[#This Row],[Etapa Ingreso - Salida]]),"")</f>
        <v/>
      </c>
      <c r="AM728" s="2" t="str">
        <f>IFERROR(IF(MARÍTIMOS[[#This Row],[FCL]]="","",MARÍTIMOS[[#This Row],[FCL]]),"")</f>
        <v/>
      </c>
      <c r="AN7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8" s="4" t="str" cm="1">
        <f t="array" ref="AO7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8" s="5" t="str">
        <f>IFERROR(OLDBD[[#This Row],[Llegada a packing]]-OLDBD[[#This Row],[Inicio de Ruta]],"")</f>
        <v/>
      </c>
      <c r="AQ728" s="6" t="str">
        <f>IFERROR(OLDBD[[#This Row],[Inicio de Ruta]]-OLDBD[[#This Row],[Salida de almacén de retiro]],"")</f>
        <v/>
      </c>
      <c r="AR7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8" s="8" t="str" cm="1">
        <f t="array" ref="AS7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8" s="9" t="str">
        <f>IFERROR(OLDBD[[#This Row],[Ingreso Packing]]-OLDBD[[#This Row],[Registro en Packing]],"")</f>
        <v/>
      </c>
      <c r="AV728" s="9" t="str">
        <f>IFERROR(OLDBD[[#This Row],[Ingreso Packing]]-OLDBD[[#This Row],[Llegada a packing]],"")</f>
        <v/>
      </c>
      <c r="AW7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8" s="5" t="str">
        <f>IFERROR(OLDBD[[#This Row],[Llegada Almacén de Ingreso]]-OLDBD[[#This Row],[Salida Packing]],"")</f>
        <v/>
      </c>
      <c r="AY728" s="4" t="str" cm="1">
        <f t="array" ref="AY7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8" s="43" t="s">
        <v>173</v>
      </c>
      <c r="BB728" s="47" t="str">
        <f>IFERROR(IF(MARÍTIMOS[[#This Row],[Estatus]]="","",MARÍTIMOS[[#This Row],[Estatus]]),"")</f>
        <v/>
      </c>
      <c r="BC728" s="43"/>
      <c r="BD728" s="46" t="str">
        <f>IFERROR(OLDBD[[#This Row],[Salida de almacén de retiro]]-OLDBD[[#This Row],[Ingreso Almacén de retiro]],"")</f>
        <v/>
      </c>
      <c r="BE728" s="46" t="str">
        <f>IFERROR(OLDBD[[#This Row],[Fin de Carga]]-OLDBD[[#This Row],[Inicio de Carga]],"")</f>
        <v/>
      </c>
    </row>
    <row r="729" spans="1:57" customFormat="1" hidden="1">
      <c r="A729" s="1"/>
      <c r="B729" s="1" t="str">
        <f>IFERROR(IF(MARÍTIMOS[[#This Row],[PP]]="","",MARÍTIMOS[[#This Row],[PP]]),"")</f>
        <v/>
      </c>
      <c r="C729" s="1" t="str">
        <f>IFERROR(IF(MARÍTIMOS[[#This Row],[Sede]]="","",MARÍTIMOS[[#This Row],[Sede]]),"")</f>
        <v/>
      </c>
      <c r="D729" s="1" t="str">
        <f>IFERROR(IF(MARÍTIMOS[[#This Row],[Instruction]]="","",MARÍTIMOS[[#This Row],[Instruction]]),"")</f>
        <v/>
      </c>
      <c r="E729" s="1"/>
      <c r="F729" s="2" t="str">
        <f>IFERROR(IF(MARÍTIMOS[[#This Row],[Transportista]]="","",MARÍTIMOS[[#This Row],[Transportista]]),"")</f>
        <v/>
      </c>
      <c r="G729" s="2" t="str">
        <f>IFERROR(IF(MARÍTIMOS[[#This Row],[Tercero]]="","",MARÍTIMOS[[#This Row],[Tercero]]),"")</f>
        <v/>
      </c>
      <c r="H729" s="2" t="str">
        <f>IFERROR(IF(MARÍTIMOS[[#This Row],[Razón Social]]="","",MARÍTIMOS[[#This Row],[Razón Social]]),"")</f>
        <v/>
      </c>
      <c r="I729" s="2" t="str">
        <f>IFERROR(IF(MARÍTIMOS[[#This Row],[RUC]]="","",MARÍTIMOS[[#This Row],[RUC]]),"")</f>
        <v/>
      </c>
      <c r="J729" s="2" t="str">
        <f>IFERROR(IF(MARÍTIMOS[[#This Row],[Placa Tracto]]="","",MARÍTIMOS[[#This Row],[Placa Tracto]]),"")</f>
        <v/>
      </c>
      <c r="K729" s="2" t="str">
        <f>IFERROR(IF(MARÍTIMOS[[#This Row],[Placa Carreta]]="","",MARÍTIMOS[[#This Row],[Placa Carreta]]),"")</f>
        <v/>
      </c>
      <c r="L729" s="44" t="str">
        <f>IFERROR(IF(MARÍTIMOS[[#This Row],[Conductor]]="","",MARÍTIMOS[[#This Row],[Conductor]]),"")</f>
        <v/>
      </c>
      <c r="M729" s="2" t="str">
        <f>IFERROR(IF(MARÍTIMOS[[#This Row],[Licencia]]="","",MARÍTIMOS[[#This Row],[Licencia]]),"")</f>
        <v/>
      </c>
      <c r="N729" s="2" t="str">
        <f>IFERROR(IF(MARÍTIMOS[[#This Row],[Número de Contacto]]="","",MARÍTIMOS[[#This Row],[Número de Contacto]]),"")</f>
        <v/>
      </c>
      <c r="O729" s="10" t="str">
        <f>IFERROR(IF(MARÍTIMOS[[#This Row],[Booking|AWB|CRT]]="","",MARÍTIMOS[[#This Row],[Booking|AWB|CRT]]),"")</f>
        <v/>
      </c>
      <c r="P729" s="2" t="str">
        <f>IFERROR(IF(MARÍTIMOS[[#This Row],[Contenedor]]="","",MARÍTIMOS[[#This Row],[Contenedor]]),"")</f>
        <v/>
      </c>
      <c r="Q729" s="2" t="str">
        <f>IFERROR(IF(MARÍTIMOS[[#This Row],[Puerto de Retiro]]="","",MARÍTIMOS[[#This Row],[Puerto de Retiro]]),"")</f>
        <v/>
      </c>
      <c r="R729" s="2" t="str">
        <f>IFERROR(IF(MARÍTIMOS[[#This Row],[Almacén de Retiro]]="","",MARÍTIMOS[[#This Row],[Almacén de Retiro]]),"")</f>
        <v/>
      </c>
      <c r="S729" s="11" t="str">
        <f>IFERROR(IF(MARÍTIMOS[[#This Row],[Etapa Retiro - Cita]]="","",MARÍTIMOS[[#This Row],[Etapa Retiro - Cita]]),"")</f>
        <v/>
      </c>
      <c r="T729" s="11" t="str">
        <f>IFERROR(IF(MARÍTIMOS[[#This Row],[Etapa Retiro - Llegada]]="","",MARÍTIMOS[[#This Row],[Etapa Retiro - Llegada]]),"")</f>
        <v/>
      </c>
      <c r="U729" s="11" t="str">
        <f>IFERROR(IF(MARÍTIMOS[[#This Row],[Etapa Retiro - Ingreso]]="","",MARÍTIMOS[[#This Row],[Etapa Retiro - Ingreso]]),"")</f>
        <v/>
      </c>
      <c r="V729" s="11" t="str">
        <f>IFERROR(IF(MARÍTIMOS[[#This Row],[Etapa Retiro - Atención]]="","",MARÍTIMOS[[#This Row],[Etapa Retiro - Atención]]),"")</f>
        <v/>
      </c>
      <c r="W729" s="11" t="str">
        <f>IFERROR(IF(MARÍTIMOS[[#This Row],[Etapa Retiro - Atención]]="","",MARÍTIMOS[[#This Row],[Etapa Retiro - Atención]]),"")</f>
        <v/>
      </c>
      <c r="X729" s="11" t="str">
        <f>IFERROR(IF(MARÍTIMOS[[#This Row],[Etapa Retiro - Inicio de Ruta]]="","",MARÍTIMOS[[#This Row],[Etapa Retiro - Inicio de Ruta]]),"")</f>
        <v/>
      </c>
      <c r="Y729" s="11" t="str">
        <f>IFERROR(IF(MARÍTIMOS[[#This Row],[Hora de Posicionamiento]]="","",MARÍTIMOS[[#This Row],[Fecha de Carga]]+MARÍTIMOS[[#This Row],[Hora de Posicionamiento]]),"")</f>
        <v/>
      </c>
      <c r="Z729" s="11" t="str">
        <f>IFERROR(IF(MARÍTIMOS[[#This Row],[Etapa Despacho - Llegada]]="","",MARÍTIMOS[[#This Row],[Etapa Despacho - Llegada]]),"")</f>
        <v/>
      </c>
      <c r="AA729" s="11" t="str">
        <f>IFERROR(IF(MARÍTIMOS[[#This Row],[Etapa Despacho - Registro]]="","",MARÍTIMOS[[#This Row],[Etapa Despacho - Registro]]),"")</f>
        <v/>
      </c>
      <c r="AB729" s="11" t="str">
        <f>IFERROR(IF(MARÍTIMOS[[#This Row],[Inspección Externa]]="","",MARÍTIMOS[[#This Row],[Inspección Externa]]),"")</f>
        <v/>
      </c>
      <c r="AC729" s="11" t="str">
        <f>IFERROR(IF(MARÍTIMOS[[#This Row],[Etapa Despacho - Inicio de Carga]]="","",MARÍTIMOS[[#This Row],[Etapa Despacho - Inicio de Carga]]),"")</f>
        <v/>
      </c>
      <c r="AD729" s="11" t="str">
        <f>IFERROR(IF(MARÍTIMOS[[#This Row],[Etapa Despacho - Mitad de Carga]]="","",MARÍTIMOS[[#This Row],[Etapa Despacho - Mitad de Carga]]),"")</f>
        <v/>
      </c>
      <c r="AE729" s="11" t="str">
        <f>IFERROR(IF(MARÍTIMOS[[#This Row],[Etapa Despacho - Fin de Carga]]="","",MARÍTIMOS[[#This Row],[Etapa Despacho - Fin de Carga]]),"")</f>
        <v/>
      </c>
      <c r="AF729" s="2" t="str">
        <f>IFERROR(IF(MARÍTIMOS[[#This Row],[Puerto de Embarque]]="","",MARÍTIMOS[[#This Row],[Puerto de Embarque]]),"")</f>
        <v/>
      </c>
      <c r="AG729" s="2" t="str">
        <f>IFERROR(IF(MARÍTIMOS[[#This Row],[Almacén de Ingreso]]="","",MARÍTIMOS[[#This Row],[Almacén de Ingreso]]),"")</f>
        <v/>
      </c>
      <c r="AH729" s="11" t="str">
        <f>IFERROR(IF(MARÍTIMOS[[#This Row],[Etapa Ingreso - Cita]]="","",MARÍTIMOS[[#This Row],[Etapa Ingreso - Cita]]),"")</f>
        <v/>
      </c>
      <c r="AI729" s="11" t="str">
        <f>IFERROR(IF(MARÍTIMOS[[#This Row],[Etapa Ingreso - Llegada]]="","",MARÍTIMOS[[#This Row],[Etapa Ingreso - Llegada]]),"")</f>
        <v/>
      </c>
      <c r="AJ729" s="11" t="str">
        <f>IFERROR(IF(MARÍTIMOS[[#This Row],[Etapa Ingreso - Ingeso]]="","",MARÍTIMOS[[#This Row],[Etapa Ingreso - Ingeso]]),"")</f>
        <v/>
      </c>
      <c r="AK729" s="11" t="str">
        <f>IFERROR(IF(MARÍTIMOS[[#This Row],[Etapa Ingreso - Atención]]="","",MARÍTIMOS[[#This Row],[Etapa Ingreso - Atención]]),"")</f>
        <v/>
      </c>
      <c r="AL729" s="11" t="str">
        <f>IFERROR(IF(MARÍTIMOS[[#This Row],[Etapa Ingreso - Salida]]="","",MARÍTIMOS[[#This Row],[Etapa Ingreso - Salida]]),"")</f>
        <v/>
      </c>
      <c r="AM729" s="2" t="str">
        <f>IFERROR(IF(MARÍTIMOS[[#This Row],[FCL]]="","",MARÍTIMOS[[#This Row],[FCL]]),"")</f>
        <v/>
      </c>
      <c r="AN7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29" s="4" t="str" cm="1">
        <f t="array" ref="AO7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29" s="5" t="str">
        <f>IFERROR(OLDBD[[#This Row],[Llegada a packing]]-OLDBD[[#This Row],[Inicio de Ruta]],"")</f>
        <v/>
      </c>
      <c r="AQ729" s="6" t="str">
        <f>IFERROR(OLDBD[[#This Row],[Inicio de Ruta]]-OLDBD[[#This Row],[Salida de almacén de retiro]],"")</f>
        <v/>
      </c>
      <c r="AR7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29" s="8" t="str" cm="1">
        <f t="array" ref="AS7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29" s="9" t="str">
        <f>IFERROR(OLDBD[[#This Row],[Ingreso Packing]]-OLDBD[[#This Row],[Registro en Packing]],"")</f>
        <v/>
      </c>
      <c r="AV729" s="9" t="str">
        <f>IFERROR(OLDBD[[#This Row],[Ingreso Packing]]-OLDBD[[#This Row],[Llegada a packing]],"")</f>
        <v/>
      </c>
      <c r="AW7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29" s="5" t="str">
        <f>IFERROR(OLDBD[[#This Row],[Llegada Almacén de Ingreso]]-OLDBD[[#This Row],[Salida Packing]],"")</f>
        <v/>
      </c>
      <c r="AY729" s="4" t="str" cm="1">
        <f t="array" ref="AY7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29" s="43" t="s">
        <v>173</v>
      </c>
      <c r="BB729" s="47" t="str">
        <f>IFERROR(IF(MARÍTIMOS[[#This Row],[Estatus]]="","",MARÍTIMOS[[#This Row],[Estatus]]),"")</f>
        <v/>
      </c>
      <c r="BC729" s="43"/>
      <c r="BD729" s="46" t="str">
        <f>IFERROR(OLDBD[[#This Row],[Salida de almacén de retiro]]-OLDBD[[#This Row],[Ingreso Almacén de retiro]],"")</f>
        <v/>
      </c>
      <c r="BE729" s="46" t="str">
        <f>IFERROR(OLDBD[[#This Row],[Fin de Carga]]-OLDBD[[#This Row],[Inicio de Carga]],"")</f>
        <v/>
      </c>
    </row>
    <row r="730" spans="1:57" customFormat="1" hidden="1">
      <c r="A730" s="1"/>
      <c r="B730" s="1" t="str">
        <f>IFERROR(IF(MARÍTIMOS[[#This Row],[PP]]="","",MARÍTIMOS[[#This Row],[PP]]),"")</f>
        <v/>
      </c>
      <c r="C730" s="1" t="str">
        <f>IFERROR(IF(MARÍTIMOS[[#This Row],[Sede]]="","",MARÍTIMOS[[#This Row],[Sede]]),"")</f>
        <v/>
      </c>
      <c r="D730" s="1" t="str">
        <f>IFERROR(IF(MARÍTIMOS[[#This Row],[Instruction]]="","",MARÍTIMOS[[#This Row],[Instruction]]),"")</f>
        <v/>
      </c>
      <c r="E730" s="1"/>
      <c r="F730" s="2" t="str">
        <f>IFERROR(IF(MARÍTIMOS[[#This Row],[Transportista]]="","",MARÍTIMOS[[#This Row],[Transportista]]),"")</f>
        <v/>
      </c>
      <c r="G730" s="2" t="str">
        <f>IFERROR(IF(MARÍTIMOS[[#This Row],[Tercero]]="","",MARÍTIMOS[[#This Row],[Tercero]]),"")</f>
        <v/>
      </c>
      <c r="H730" s="2" t="str">
        <f>IFERROR(IF(MARÍTIMOS[[#This Row],[Razón Social]]="","",MARÍTIMOS[[#This Row],[Razón Social]]),"")</f>
        <v/>
      </c>
      <c r="I730" s="2" t="str">
        <f>IFERROR(IF(MARÍTIMOS[[#This Row],[RUC]]="","",MARÍTIMOS[[#This Row],[RUC]]),"")</f>
        <v/>
      </c>
      <c r="J730" s="2" t="str">
        <f>IFERROR(IF(MARÍTIMOS[[#This Row],[Placa Tracto]]="","",MARÍTIMOS[[#This Row],[Placa Tracto]]),"")</f>
        <v/>
      </c>
      <c r="K730" s="2" t="str">
        <f>IFERROR(IF(MARÍTIMOS[[#This Row],[Placa Carreta]]="","",MARÍTIMOS[[#This Row],[Placa Carreta]]),"")</f>
        <v/>
      </c>
      <c r="L730" s="44" t="str">
        <f>IFERROR(IF(MARÍTIMOS[[#This Row],[Conductor]]="","",MARÍTIMOS[[#This Row],[Conductor]]),"")</f>
        <v/>
      </c>
      <c r="M730" s="2" t="str">
        <f>IFERROR(IF(MARÍTIMOS[[#This Row],[Licencia]]="","",MARÍTIMOS[[#This Row],[Licencia]]),"")</f>
        <v/>
      </c>
      <c r="N730" s="2" t="str">
        <f>IFERROR(IF(MARÍTIMOS[[#This Row],[Número de Contacto]]="","",MARÍTIMOS[[#This Row],[Número de Contacto]]),"")</f>
        <v/>
      </c>
      <c r="O730" s="10" t="str">
        <f>IFERROR(IF(MARÍTIMOS[[#This Row],[Booking|AWB|CRT]]="","",MARÍTIMOS[[#This Row],[Booking|AWB|CRT]]),"")</f>
        <v/>
      </c>
      <c r="P730" s="2" t="str">
        <f>IFERROR(IF(MARÍTIMOS[[#This Row],[Contenedor]]="","",MARÍTIMOS[[#This Row],[Contenedor]]),"")</f>
        <v/>
      </c>
      <c r="Q730" s="2" t="str">
        <f>IFERROR(IF(MARÍTIMOS[[#This Row],[Puerto de Retiro]]="","",MARÍTIMOS[[#This Row],[Puerto de Retiro]]),"")</f>
        <v/>
      </c>
      <c r="R730" s="2" t="str">
        <f>IFERROR(IF(MARÍTIMOS[[#This Row],[Almacén de Retiro]]="","",MARÍTIMOS[[#This Row],[Almacén de Retiro]]),"")</f>
        <v/>
      </c>
      <c r="S730" s="11" t="str">
        <f>IFERROR(IF(MARÍTIMOS[[#This Row],[Etapa Retiro - Cita]]="","",MARÍTIMOS[[#This Row],[Etapa Retiro - Cita]]),"")</f>
        <v/>
      </c>
      <c r="T730" s="11" t="str">
        <f>IFERROR(IF(MARÍTIMOS[[#This Row],[Etapa Retiro - Llegada]]="","",MARÍTIMOS[[#This Row],[Etapa Retiro - Llegada]]),"")</f>
        <v/>
      </c>
      <c r="U730" s="11" t="str">
        <f>IFERROR(IF(MARÍTIMOS[[#This Row],[Etapa Retiro - Ingreso]]="","",MARÍTIMOS[[#This Row],[Etapa Retiro - Ingreso]]),"")</f>
        <v/>
      </c>
      <c r="V730" s="11" t="str">
        <f>IFERROR(IF(MARÍTIMOS[[#This Row],[Etapa Retiro - Atención]]="","",MARÍTIMOS[[#This Row],[Etapa Retiro - Atención]]),"")</f>
        <v/>
      </c>
      <c r="W730" s="11" t="str">
        <f>IFERROR(IF(MARÍTIMOS[[#This Row],[Etapa Retiro - Atención]]="","",MARÍTIMOS[[#This Row],[Etapa Retiro - Atención]]),"")</f>
        <v/>
      </c>
      <c r="X730" s="11" t="str">
        <f>IFERROR(IF(MARÍTIMOS[[#This Row],[Etapa Retiro - Inicio de Ruta]]="","",MARÍTIMOS[[#This Row],[Etapa Retiro - Inicio de Ruta]]),"")</f>
        <v/>
      </c>
      <c r="Y730" s="11" t="str">
        <f>IFERROR(IF(MARÍTIMOS[[#This Row],[Hora de Posicionamiento]]="","",MARÍTIMOS[[#This Row],[Fecha de Carga]]+MARÍTIMOS[[#This Row],[Hora de Posicionamiento]]),"")</f>
        <v/>
      </c>
      <c r="Z730" s="11" t="str">
        <f>IFERROR(IF(MARÍTIMOS[[#This Row],[Etapa Despacho - Llegada]]="","",MARÍTIMOS[[#This Row],[Etapa Despacho - Llegada]]),"")</f>
        <v/>
      </c>
      <c r="AA730" s="11" t="str">
        <f>IFERROR(IF(MARÍTIMOS[[#This Row],[Etapa Despacho - Registro]]="","",MARÍTIMOS[[#This Row],[Etapa Despacho - Registro]]),"")</f>
        <v/>
      </c>
      <c r="AB730" s="11" t="str">
        <f>IFERROR(IF(MARÍTIMOS[[#This Row],[Inspección Externa]]="","",MARÍTIMOS[[#This Row],[Inspección Externa]]),"")</f>
        <v/>
      </c>
      <c r="AC730" s="11" t="str">
        <f>IFERROR(IF(MARÍTIMOS[[#This Row],[Etapa Despacho - Inicio de Carga]]="","",MARÍTIMOS[[#This Row],[Etapa Despacho - Inicio de Carga]]),"")</f>
        <v/>
      </c>
      <c r="AD730" s="11" t="str">
        <f>IFERROR(IF(MARÍTIMOS[[#This Row],[Etapa Despacho - Mitad de Carga]]="","",MARÍTIMOS[[#This Row],[Etapa Despacho - Mitad de Carga]]),"")</f>
        <v/>
      </c>
      <c r="AE730" s="11" t="str">
        <f>IFERROR(IF(MARÍTIMOS[[#This Row],[Etapa Despacho - Fin de Carga]]="","",MARÍTIMOS[[#This Row],[Etapa Despacho - Fin de Carga]]),"")</f>
        <v/>
      </c>
      <c r="AF730" s="2" t="str">
        <f>IFERROR(IF(MARÍTIMOS[[#This Row],[Puerto de Embarque]]="","",MARÍTIMOS[[#This Row],[Puerto de Embarque]]),"")</f>
        <v/>
      </c>
      <c r="AG730" s="2" t="str">
        <f>IFERROR(IF(MARÍTIMOS[[#This Row],[Almacén de Ingreso]]="","",MARÍTIMOS[[#This Row],[Almacén de Ingreso]]),"")</f>
        <v/>
      </c>
      <c r="AH730" s="11" t="str">
        <f>IFERROR(IF(MARÍTIMOS[[#This Row],[Etapa Ingreso - Cita]]="","",MARÍTIMOS[[#This Row],[Etapa Ingreso - Cita]]),"")</f>
        <v/>
      </c>
      <c r="AI730" s="11" t="str">
        <f>IFERROR(IF(MARÍTIMOS[[#This Row],[Etapa Ingreso - Llegada]]="","",MARÍTIMOS[[#This Row],[Etapa Ingreso - Llegada]]),"")</f>
        <v/>
      </c>
      <c r="AJ730" s="11" t="str">
        <f>IFERROR(IF(MARÍTIMOS[[#This Row],[Etapa Ingreso - Ingeso]]="","",MARÍTIMOS[[#This Row],[Etapa Ingreso - Ingeso]]),"")</f>
        <v/>
      </c>
      <c r="AK730" s="11" t="str">
        <f>IFERROR(IF(MARÍTIMOS[[#This Row],[Etapa Ingreso - Atención]]="","",MARÍTIMOS[[#This Row],[Etapa Ingreso - Atención]]),"")</f>
        <v/>
      </c>
      <c r="AL730" s="11" t="str">
        <f>IFERROR(IF(MARÍTIMOS[[#This Row],[Etapa Ingreso - Salida]]="","",MARÍTIMOS[[#This Row],[Etapa Ingreso - Salida]]),"")</f>
        <v/>
      </c>
      <c r="AM730" s="2" t="str">
        <f>IFERROR(IF(MARÍTIMOS[[#This Row],[FCL]]="","",MARÍTIMOS[[#This Row],[FCL]]),"")</f>
        <v/>
      </c>
      <c r="AN7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0" s="4" t="str" cm="1">
        <f t="array" ref="AO7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0" s="5" t="str">
        <f>IFERROR(OLDBD[[#This Row],[Llegada a packing]]-OLDBD[[#This Row],[Inicio de Ruta]],"")</f>
        <v/>
      </c>
      <c r="AQ730" s="6" t="str">
        <f>IFERROR(OLDBD[[#This Row],[Inicio de Ruta]]-OLDBD[[#This Row],[Salida de almacén de retiro]],"")</f>
        <v/>
      </c>
      <c r="AR7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0" s="8" t="str" cm="1">
        <f t="array" ref="AS7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0" s="9" t="str">
        <f>IFERROR(OLDBD[[#This Row],[Ingreso Packing]]-OLDBD[[#This Row],[Registro en Packing]],"")</f>
        <v/>
      </c>
      <c r="AV730" s="9" t="str">
        <f>IFERROR(OLDBD[[#This Row],[Ingreso Packing]]-OLDBD[[#This Row],[Llegada a packing]],"")</f>
        <v/>
      </c>
      <c r="AW7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0" s="5" t="str">
        <f>IFERROR(OLDBD[[#This Row],[Llegada Almacén de Ingreso]]-OLDBD[[#This Row],[Salida Packing]],"")</f>
        <v/>
      </c>
      <c r="AY730" s="4" t="str" cm="1">
        <f t="array" ref="AY7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0" s="43" t="s">
        <v>173</v>
      </c>
      <c r="BB730" s="47" t="str">
        <f>IFERROR(IF(MARÍTIMOS[[#This Row],[Estatus]]="","",MARÍTIMOS[[#This Row],[Estatus]]),"")</f>
        <v/>
      </c>
      <c r="BC730" s="43"/>
      <c r="BD730" s="46" t="str">
        <f>IFERROR(OLDBD[[#This Row],[Salida de almacén de retiro]]-OLDBD[[#This Row],[Ingreso Almacén de retiro]],"")</f>
        <v/>
      </c>
      <c r="BE730" s="46" t="str">
        <f>IFERROR(OLDBD[[#This Row],[Fin de Carga]]-OLDBD[[#This Row],[Inicio de Carga]],"")</f>
        <v/>
      </c>
    </row>
    <row r="731" spans="1:57" customFormat="1" hidden="1">
      <c r="A731" s="1"/>
      <c r="B731" s="1" t="str">
        <f>IFERROR(IF(MARÍTIMOS[[#This Row],[PP]]="","",MARÍTIMOS[[#This Row],[PP]]),"")</f>
        <v/>
      </c>
      <c r="C731" s="1" t="str">
        <f>IFERROR(IF(MARÍTIMOS[[#This Row],[Sede]]="","",MARÍTIMOS[[#This Row],[Sede]]),"")</f>
        <v/>
      </c>
      <c r="D731" s="1" t="str">
        <f>IFERROR(IF(MARÍTIMOS[[#This Row],[Instruction]]="","",MARÍTIMOS[[#This Row],[Instruction]]),"")</f>
        <v/>
      </c>
      <c r="E731" s="1"/>
      <c r="F731" s="2" t="str">
        <f>IFERROR(IF(MARÍTIMOS[[#This Row],[Transportista]]="","",MARÍTIMOS[[#This Row],[Transportista]]),"")</f>
        <v/>
      </c>
      <c r="G731" s="2" t="str">
        <f>IFERROR(IF(MARÍTIMOS[[#This Row],[Tercero]]="","",MARÍTIMOS[[#This Row],[Tercero]]),"")</f>
        <v/>
      </c>
      <c r="H731" s="2" t="str">
        <f>IFERROR(IF(MARÍTIMOS[[#This Row],[Razón Social]]="","",MARÍTIMOS[[#This Row],[Razón Social]]),"")</f>
        <v/>
      </c>
      <c r="I731" s="2" t="str">
        <f>IFERROR(IF(MARÍTIMOS[[#This Row],[RUC]]="","",MARÍTIMOS[[#This Row],[RUC]]),"")</f>
        <v/>
      </c>
      <c r="J731" s="2" t="str">
        <f>IFERROR(IF(MARÍTIMOS[[#This Row],[Placa Tracto]]="","",MARÍTIMOS[[#This Row],[Placa Tracto]]),"")</f>
        <v/>
      </c>
      <c r="K731" s="2" t="str">
        <f>IFERROR(IF(MARÍTIMOS[[#This Row],[Placa Carreta]]="","",MARÍTIMOS[[#This Row],[Placa Carreta]]),"")</f>
        <v/>
      </c>
      <c r="L731" s="44" t="str">
        <f>IFERROR(IF(MARÍTIMOS[[#This Row],[Conductor]]="","",MARÍTIMOS[[#This Row],[Conductor]]),"")</f>
        <v/>
      </c>
      <c r="M731" s="2" t="str">
        <f>IFERROR(IF(MARÍTIMOS[[#This Row],[Licencia]]="","",MARÍTIMOS[[#This Row],[Licencia]]),"")</f>
        <v/>
      </c>
      <c r="N731" s="2" t="str">
        <f>IFERROR(IF(MARÍTIMOS[[#This Row],[Número de Contacto]]="","",MARÍTIMOS[[#This Row],[Número de Contacto]]),"")</f>
        <v/>
      </c>
      <c r="O731" s="10" t="str">
        <f>IFERROR(IF(MARÍTIMOS[[#This Row],[Booking|AWB|CRT]]="","",MARÍTIMOS[[#This Row],[Booking|AWB|CRT]]),"")</f>
        <v/>
      </c>
      <c r="P731" s="2" t="str">
        <f>IFERROR(IF(MARÍTIMOS[[#This Row],[Contenedor]]="","",MARÍTIMOS[[#This Row],[Contenedor]]),"")</f>
        <v/>
      </c>
      <c r="Q731" s="2" t="str">
        <f>IFERROR(IF(MARÍTIMOS[[#This Row],[Puerto de Retiro]]="","",MARÍTIMOS[[#This Row],[Puerto de Retiro]]),"")</f>
        <v/>
      </c>
      <c r="R731" s="2" t="str">
        <f>IFERROR(IF(MARÍTIMOS[[#This Row],[Almacén de Retiro]]="","",MARÍTIMOS[[#This Row],[Almacén de Retiro]]),"")</f>
        <v/>
      </c>
      <c r="S731" s="11" t="str">
        <f>IFERROR(IF(MARÍTIMOS[[#This Row],[Etapa Retiro - Cita]]="","",MARÍTIMOS[[#This Row],[Etapa Retiro - Cita]]),"")</f>
        <v/>
      </c>
      <c r="T731" s="11" t="str">
        <f>IFERROR(IF(MARÍTIMOS[[#This Row],[Etapa Retiro - Llegada]]="","",MARÍTIMOS[[#This Row],[Etapa Retiro - Llegada]]),"")</f>
        <v/>
      </c>
      <c r="U731" s="11" t="str">
        <f>IFERROR(IF(MARÍTIMOS[[#This Row],[Etapa Retiro - Ingreso]]="","",MARÍTIMOS[[#This Row],[Etapa Retiro - Ingreso]]),"")</f>
        <v/>
      </c>
      <c r="V731" s="11" t="str">
        <f>IFERROR(IF(MARÍTIMOS[[#This Row],[Etapa Retiro - Atención]]="","",MARÍTIMOS[[#This Row],[Etapa Retiro - Atención]]),"")</f>
        <v/>
      </c>
      <c r="W731" s="11" t="str">
        <f>IFERROR(IF(MARÍTIMOS[[#This Row],[Etapa Retiro - Atención]]="","",MARÍTIMOS[[#This Row],[Etapa Retiro - Atención]]),"")</f>
        <v/>
      </c>
      <c r="X731" s="11" t="str">
        <f>IFERROR(IF(MARÍTIMOS[[#This Row],[Etapa Retiro - Inicio de Ruta]]="","",MARÍTIMOS[[#This Row],[Etapa Retiro - Inicio de Ruta]]),"")</f>
        <v/>
      </c>
      <c r="Y731" s="11" t="str">
        <f>IFERROR(IF(MARÍTIMOS[[#This Row],[Hora de Posicionamiento]]="","",MARÍTIMOS[[#This Row],[Fecha de Carga]]+MARÍTIMOS[[#This Row],[Hora de Posicionamiento]]),"")</f>
        <v/>
      </c>
      <c r="Z731" s="11" t="str">
        <f>IFERROR(IF(MARÍTIMOS[[#This Row],[Etapa Despacho - Llegada]]="","",MARÍTIMOS[[#This Row],[Etapa Despacho - Llegada]]),"")</f>
        <v/>
      </c>
      <c r="AA731" s="11" t="str">
        <f>IFERROR(IF(MARÍTIMOS[[#This Row],[Etapa Despacho - Registro]]="","",MARÍTIMOS[[#This Row],[Etapa Despacho - Registro]]),"")</f>
        <v/>
      </c>
      <c r="AB731" s="11" t="str">
        <f>IFERROR(IF(MARÍTIMOS[[#This Row],[Inspección Externa]]="","",MARÍTIMOS[[#This Row],[Inspección Externa]]),"")</f>
        <v/>
      </c>
      <c r="AC731" s="11" t="str">
        <f>IFERROR(IF(MARÍTIMOS[[#This Row],[Etapa Despacho - Inicio de Carga]]="","",MARÍTIMOS[[#This Row],[Etapa Despacho - Inicio de Carga]]),"")</f>
        <v/>
      </c>
      <c r="AD731" s="11" t="str">
        <f>IFERROR(IF(MARÍTIMOS[[#This Row],[Etapa Despacho - Mitad de Carga]]="","",MARÍTIMOS[[#This Row],[Etapa Despacho - Mitad de Carga]]),"")</f>
        <v/>
      </c>
      <c r="AE731" s="11" t="str">
        <f>IFERROR(IF(MARÍTIMOS[[#This Row],[Etapa Despacho - Fin de Carga]]="","",MARÍTIMOS[[#This Row],[Etapa Despacho - Fin de Carga]]),"")</f>
        <v/>
      </c>
      <c r="AF731" s="2" t="str">
        <f>IFERROR(IF(MARÍTIMOS[[#This Row],[Puerto de Embarque]]="","",MARÍTIMOS[[#This Row],[Puerto de Embarque]]),"")</f>
        <v/>
      </c>
      <c r="AG731" s="2" t="str">
        <f>IFERROR(IF(MARÍTIMOS[[#This Row],[Almacén de Ingreso]]="","",MARÍTIMOS[[#This Row],[Almacén de Ingreso]]),"")</f>
        <v/>
      </c>
      <c r="AH731" s="11" t="str">
        <f>IFERROR(IF(MARÍTIMOS[[#This Row],[Etapa Ingreso - Cita]]="","",MARÍTIMOS[[#This Row],[Etapa Ingreso - Cita]]),"")</f>
        <v/>
      </c>
      <c r="AI731" s="11" t="str">
        <f>IFERROR(IF(MARÍTIMOS[[#This Row],[Etapa Ingreso - Llegada]]="","",MARÍTIMOS[[#This Row],[Etapa Ingreso - Llegada]]),"")</f>
        <v/>
      </c>
      <c r="AJ731" s="11" t="str">
        <f>IFERROR(IF(MARÍTIMOS[[#This Row],[Etapa Ingreso - Ingeso]]="","",MARÍTIMOS[[#This Row],[Etapa Ingreso - Ingeso]]),"")</f>
        <v/>
      </c>
      <c r="AK731" s="11" t="str">
        <f>IFERROR(IF(MARÍTIMOS[[#This Row],[Etapa Ingreso - Atención]]="","",MARÍTIMOS[[#This Row],[Etapa Ingreso - Atención]]),"")</f>
        <v/>
      </c>
      <c r="AL731" s="11" t="str">
        <f>IFERROR(IF(MARÍTIMOS[[#This Row],[Etapa Ingreso - Salida]]="","",MARÍTIMOS[[#This Row],[Etapa Ingreso - Salida]]),"")</f>
        <v/>
      </c>
      <c r="AM731" s="2" t="str">
        <f>IFERROR(IF(MARÍTIMOS[[#This Row],[FCL]]="","",MARÍTIMOS[[#This Row],[FCL]]),"")</f>
        <v/>
      </c>
      <c r="AN7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1" s="4" t="str" cm="1">
        <f t="array" ref="AO7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1" s="5" t="str">
        <f>IFERROR(OLDBD[[#This Row],[Llegada a packing]]-OLDBD[[#This Row],[Inicio de Ruta]],"")</f>
        <v/>
      </c>
      <c r="AQ731" s="6" t="str">
        <f>IFERROR(OLDBD[[#This Row],[Inicio de Ruta]]-OLDBD[[#This Row],[Salida de almacén de retiro]],"")</f>
        <v/>
      </c>
      <c r="AR7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1" s="8" t="str" cm="1">
        <f t="array" ref="AS7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1" s="9" t="str">
        <f>IFERROR(OLDBD[[#This Row],[Ingreso Packing]]-OLDBD[[#This Row],[Registro en Packing]],"")</f>
        <v/>
      </c>
      <c r="AV731" s="9" t="str">
        <f>IFERROR(OLDBD[[#This Row],[Ingreso Packing]]-OLDBD[[#This Row],[Llegada a packing]],"")</f>
        <v/>
      </c>
      <c r="AW7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1" s="5" t="str">
        <f>IFERROR(OLDBD[[#This Row],[Llegada Almacén de Ingreso]]-OLDBD[[#This Row],[Salida Packing]],"")</f>
        <v/>
      </c>
      <c r="AY731" s="4" t="str" cm="1">
        <f t="array" ref="AY7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1" s="43" t="s">
        <v>173</v>
      </c>
      <c r="BB731" s="47" t="str">
        <f>IFERROR(IF(MARÍTIMOS[[#This Row],[Estatus]]="","",MARÍTIMOS[[#This Row],[Estatus]]),"")</f>
        <v/>
      </c>
      <c r="BC731" s="43"/>
      <c r="BD731" s="46" t="str">
        <f>IFERROR(OLDBD[[#This Row],[Salida de almacén de retiro]]-OLDBD[[#This Row],[Ingreso Almacén de retiro]],"")</f>
        <v/>
      </c>
      <c r="BE731" s="46" t="str">
        <f>IFERROR(OLDBD[[#This Row],[Fin de Carga]]-OLDBD[[#This Row],[Inicio de Carga]],"")</f>
        <v/>
      </c>
    </row>
    <row r="732" spans="1:57" customFormat="1" hidden="1">
      <c r="A732" s="1"/>
      <c r="B732" s="1" t="str">
        <f>IFERROR(IF(MARÍTIMOS[[#This Row],[PP]]="","",MARÍTIMOS[[#This Row],[PP]]),"")</f>
        <v/>
      </c>
      <c r="C732" s="1" t="str">
        <f>IFERROR(IF(MARÍTIMOS[[#This Row],[Sede]]="","",MARÍTIMOS[[#This Row],[Sede]]),"")</f>
        <v/>
      </c>
      <c r="D732" s="1" t="str">
        <f>IFERROR(IF(MARÍTIMOS[[#This Row],[Instruction]]="","",MARÍTIMOS[[#This Row],[Instruction]]),"")</f>
        <v/>
      </c>
      <c r="E732" s="1"/>
      <c r="F732" s="2" t="str">
        <f>IFERROR(IF(MARÍTIMOS[[#This Row],[Transportista]]="","",MARÍTIMOS[[#This Row],[Transportista]]),"")</f>
        <v/>
      </c>
      <c r="G732" s="2" t="str">
        <f>IFERROR(IF(MARÍTIMOS[[#This Row],[Tercero]]="","",MARÍTIMOS[[#This Row],[Tercero]]),"")</f>
        <v/>
      </c>
      <c r="H732" s="2" t="str">
        <f>IFERROR(IF(MARÍTIMOS[[#This Row],[Razón Social]]="","",MARÍTIMOS[[#This Row],[Razón Social]]),"")</f>
        <v/>
      </c>
      <c r="I732" s="2" t="str">
        <f>IFERROR(IF(MARÍTIMOS[[#This Row],[RUC]]="","",MARÍTIMOS[[#This Row],[RUC]]),"")</f>
        <v/>
      </c>
      <c r="J732" s="2" t="str">
        <f>IFERROR(IF(MARÍTIMOS[[#This Row],[Placa Tracto]]="","",MARÍTIMOS[[#This Row],[Placa Tracto]]),"")</f>
        <v/>
      </c>
      <c r="K732" s="2" t="str">
        <f>IFERROR(IF(MARÍTIMOS[[#This Row],[Placa Carreta]]="","",MARÍTIMOS[[#This Row],[Placa Carreta]]),"")</f>
        <v/>
      </c>
      <c r="L732" s="44" t="str">
        <f>IFERROR(IF(MARÍTIMOS[[#This Row],[Conductor]]="","",MARÍTIMOS[[#This Row],[Conductor]]),"")</f>
        <v/>
      </c>
      <c r="M732" s="2" t="str">
        <f>IFERROR(IF(MARÍTIMOS[[#This Row],[Licencia]]="","",MARÍTIMOS[[#This Row],[Licencia]]),"")</f>
        <v/>
      </c>
      <c r="N732" s="2" t="str">
        <f>IFERROR(IF(MARÍTIMOS[[#This Row],[Número de Contacto]]="","",MARÍTIMOS[[#This Row],[Número de Contacto]]),"")</f>
        <v/>
      </c>
      <c r="O732" s="10" t="str">
        <f>IFERROR(IF(MARÍTIMOS[[#This Row],[Booking|AWB|CRT]]="","",MARÍTIMOS[[#This Row],[Booking|AWB|CRT]]),"")</f>
        <v/>
      </c>
      <c r="P732" s="2" t="str">
        <f>IFERROR(IF(MARÍTIMOS[[#This Row],[Contenedor]]="","",MARÍTIMOS[[#This Row],[Contenedor]]),"")</f>
        <v/>
      </c>
      <c r="Q732" s="2" t="str">
        <f>IFERROR(IF(MARÍTIMOS[[#This Row],[Puerto de Retiro]]="","",MARÍTIMOS[[#This Row],[Puerto de Retiro]]),"")</f>
        <v/>
      </c>
      <c r="R732" s="2" t="str">
        <f>IFERROR(IF(MARÍTIMOS[[#This Row],[Almacén de Retiro]]="","",MARÍTIMOS[[#This Row],[Almacén de Retiro]]),"")</f>
        <v/>
      </c>
      <c r="S732" s="11" t="str">
        <f>IFERROR(IF(MARÍTIMOS[[#This Row],[Etapa Retiro - Cita]]="","",MARÍTIMOS[[#This Row],[Etapa Retiro - Cita]]),"")</f>
        <v/>
      </c>
      <c r="T732" s="11" t="str">
        <f>IFERROR(IF(MARÍTIMOS[[#This Row],[Etapa Retiro - Llegada]]="","",MARÍTIMOS[[#This Row],[Etapa Retiro - Llegada]]),"")</f>
        <v/>
      </c>
      <c r="U732" s="11" t="str">
        <f>IFERROR(IF(MARÍTIMOS[[#This Row],[Etapa Retiro - Ingreso]]="","",MARÍTIMOS[[#This Row],[Etapa Retiro - Ingreso]]),"")</f>
        <v/>
      </c>
      <c r="V732" s="11" t="str">
        <f>IFERROR(IF(MARÍTIMOS[[#This Row],[Etapa Retiro - Atención]]="","",MARÍTIMOS[[#This Row],[Etapa Retiro - Atención]]),"")</f>
        <v/>
      </c>
      <c r="W732" s="11" t="str">
        <f>IFERROR(IF(MARÍTIMOS[[#This Row],[Etapa Retiro - Atención]]="","",MARÍTIMOS[[#This Row],[Etapa Retiro - Atención]]),"")</f>
        <v/>
      </c>
      <c r="X732" s="11" t="str">
        <f>IFERROR(IF(MARÍTIMOS[[#This Row],[Etapa Retiro - Inicio de Ruta]]="","",MARÍTIMOS[[#This Row],[Etapa Retiro - Inicio de Ruta]]),"")</f>
        <v/>
      </c>
      <c r="Y732" s="11" t="str">
        <f>IFERROR(IF(MARÍTIMOS[[#This Row],[Hora de Posicionamiento]]="","",MARÍTIMOS[[#This Row],[Fecha de Carga]]+MARÍTIMOS[[#This Row],[Hora de Posicionamiento]]),"")</f>
        <v/>
      </c>
      <c r="Z732" s="11" t="str">
        <f>IFERROR(IF(MARÍTIMOS[[#This Row],[Etapa Despacho - Llegada]]="","",MARÍTIMOS[[#This Row],[Etapa Despacho - Llegada]]),"")</f>
        <v/>
      </c>
      <c r="AA732" s="11" t="str">
        <f>IFERROR(IF(MARÍTIMOS[[#This Row],[Etapa Despacho - Registro]]="","",MARÍTIMOS[[#This Row],[Etapa Despacho - Registro]]),"")</f>
        <v/>
      </c>
      <c r="AB732" s="11" t="str">
        <f>IFERROR(IF(MARÍTIMOS[[#This Row],[Inspección Externa]]="","",MARÍTIMOS[[#This Row],[Inspección Externa]]),"")</f>
        <v/>
      </c>
      <c r="AC732" s="11" t="str">
        <f>IFERROR(IF(MARÍTIMOS[[#This Row],[Etapa Despacho - Inicio de Carga]]="","",MARÍTIMOS[[#This Row],[Etapa Despacho - Inicio de Carga]]),"")</f>
        <v/>
      </c>
      <c r="AD732" s="11" t="str">
        <f>IFERROR(IF(MARÍTIMOS[[#This Row],[Etapa Despacho - Mitad de Carga]]="","",MARÍTIMOS[[#This Row],[Etapa Despacho - Mitad de Carga]]),"")</f>
        <v/>
      </c>
      <c r="AE732" s="11" t="str">
        <f>IFERROR(IF(MARÍTIMOS[[#This Row],[Etapa Despacho - Fin de Carga]]="","",MARÍTIMOS[[#This Row],[Etapa Despacho - Fin de Carga]]),"")</f>
        <v/>
      </c>
      <c r="AF732" s="2" t="str">
        <f>IFERROR(IF(MARÍTIMOS[[#This Row],[Puerto de Embarque]]="","",MARÍTIMOS[[#This Row],[Puerto de Embarque]]),"")</f>
        <v/>
      </c>
      <c r="AG732" s="2" t="str">
        <f>IFERROR(IF(MARÍTIMOS[[#This Row],[Almacén de Ingreso]]="","",MARÍTIMOS[[#This Row],[Almacén de Ingreso]]),"")</f>
        <v/>
      </c>
      <c r="AH732" s="11" t="str">
        <f>IFERROR(IF(MARÍTIMOS[[#This Row],[Etapa Ingreso - Cita]]="","",MARÍTIMOS[[#This Row],[Etapa Ingreso - Cita]]),"")</f>
        <v/>
      </c>
      <c r="AI732" s="11" t="str">
        <f>IFERROR(IF(MARÍTIMOS[[#This Row],[Etapa Ingreso - Llegada]]="","",MARÍTIMOS[[#This Row],[Etapa Ingreso - Llegada]]),"")</f>
        <v/>
      </c>
      <c r="AJ732" s="11" t="str">
        <f>IFERROR(IF(MARÍTIMOS[[#This Row],[Etapa Ingreso - Ingeso]]="","",MARÍTIMOS[[#This Row],[Etapa Ingreso - Ingeso]]),"")</f>
        <v/>
      </c>
      <c r="AK732" s="11" t="str">
        <f>IFERROR(IF(MARÍTIMOS[[#This Row],[Etapa Ingreso - Atención]]="","",MARÍTIMOS[[#This Row],[Etapa Ingreso - Atención]]),"")</f>
        <v/>
      </c>
      <c r="AL732" s="11" t="str">
        <f>IFERROR(IF(MARÍTIMOS[[#This Row],[Etapa Ingreso - Salida]]="","",MARÍTIMOS[[#This Row],[Etapa Ingreso - Salida]]),"")</f>
        <v/>
      </c>
      <c r="AM732" s="2" t="str">
        <f>IFERROR(IF(MARÍTIMOS[[#This Row],[FCL]]="","",MARÍTIMOS[[#This Row],[FCL]]),"")</f>
        <v/>
      </c>
      <c r="AN7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2" s="4" t="str" cm="1">
        <f t="array" ref="AO7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2" s="5" t="str">
        <f>IFERROR(OLDBD[[#This Row],[Llegada a packing]]-OLDBD[[#This Row],[Inicio de Ruta]],"")</f>
        <v/>
      </c>
      <c r="AQ732" s="6" t="str">
        <f>IFERROR(OLDBD[[#This Row],[Inicio de Ruta]]-OLDBD[[#This Row],[Salida de almacén de retiro]],"")</f>
        <v/>
      </c>
      <c r="AR7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2" s="8" t="str" cm="1">
        <f t="array" ref="AS7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2" s="9" t="str">
        <f>IFERROR(OLDBD[[#This Row],[Ingreso Packing]]-OLDBD[[#This Row],[Registro en Packing]],"")</f>
        <v/>
      </c>
      <c r="AV732" s="9" t="str">
        <f>IFERROR(OLDBD[[#This Row],[Ingreso Packing]]-OLDBD[[#This Row],[Llegada a packing]],"")</f>
        <v/>
      </c>
      <c r="AW7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2" s="5" t="str">
        <f>IFERROR(OLDBD[[#This Row],[Llegada Almacén de Ingreso]]-OLDBD[[#This Row],[Salida Packing]],"")</f>
        <v/>
      </c>
      <c r="AY732" s="4" t="str" cm="1">
        <f t="array" ref="AY7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2" s="43" t="s">
        <v>173</v>
      </c>
      <c r="BB732" s="47" t="str">
        <f>IFERROR(IF(MARÍTIMOS[[#This Row],[Estatus]]="","",MARÍTIMOS[[#This Row],[Estatus]]),"")</f>
        <v/>
      </c>
      <c r="BC732" s="43"/>
      <c r="BD732" s="46" t="str">
        <f>IFERROR(OLDBD[[#This Row],[Salida de almacén de retiro]]-OLDBD[[#This Row],[Ingreso Almacén de retiro]],"")</f>
        <v/>
      </c>
      <c r="BE732" s="46" t="str">
        <f>IFERROR(OLDBD[[#This Row],[Fin de Carga]]-OLDBD[[#This Row],[Inicio de Carga]],"")</f>
        <v/>
      </c>
    </row>
    <row r="733" spans="1:57" customFormat="1" hidden="1">
      <c r="A733" s="1"/>
      <c r="B733" s="1" t="str">
        <f>IFERROR(IF(MARÍTIMOS[[#This Row],[PP]]="","",MARÍTIMOS[[#This Row],[PP]]),"")</f>
        <v/>
      </c>
      <c r="C733" s="1" t="str">
        <f>IFERROR(IF(MARÍTIMOS[[#This Row],[Sede]]="","",MARÍTIMOS[[#This Row],[Sede]]),"")</f>
        <v/>
      </c>
      <c r="D733" s="1" t="str">
        <f>IFERROR(IF(MARÍTIMOS[[#This Row],[Instruction]]="","",MARÍTIMOS[[#This Row],[Instruction]]),"")</f>
        <v/>
      </c>
      <c r="E733" s="1"/>
      <c r="F733" s="2" t="str">
        <f>IFERROR(IF(MARÍTIMOS[[#This Row],[Transportista]]="","",MARÍTIMOS[[#This Row],[Transportista]]),"")</f>
        <v/>
      </c>
      <c r="G733" s="2" t="str">
        <f>IFERROR(IF(MARÍTIMOS[[#This Row],[Tercero]]="","",MARÍTIMOS[[#This Row],[Tercero]]),"")</f>
        <v/>
      </c>
      <c r="H733" s="2" t="str">
        <f>IFERROR(IF(MARÍTIMOS[[#This Row],[Razón Social]]="","",MARÍTIMOS[[#This Row],[Razón Social]]),"")</f>
        <v/>
      </c>
      <c r="I733" s="2" t="str">
        <f>IFERROR(IF(MARÍTIMOS[[#This Row],[RUC]]="","",MARÍTIMOS[[#This Row],[RUC]]),"")</f>
        <v/>
      </c>
      <c r="J733" s="2" t="str">
        <f>IFERROR(IF(MARÍTIMOS[[#This Row],[Placa Tracto]]="","",MARÍTIMOS[[#This Row],[Placa Tracto]]),"")</f>
        <v/>
      </c>
      <c r="K733" s="2" t="str">
        <f>IFERROR(IF(MARÍTIMOS[[#This Row],[Placa Carreta]]="","",MARÍTIMOS[[#This Row],[Placa Carreta]]),"")</f>
        <v/>
      </c>
      <c r="L733" s="44" t="str">
        <f>IFERROR(IF(MARÍTIMOS[[#This Row],[Conductor]]="","",MARÍTIMOS[[#This Row],[Conductor]]),"")</f>
        <v/>
      </c>
      <c r="M733" s="2" t="str">
        <f>IFERROR(IF(MARÍTIMOS[[#This Row],[Licencia]]="","",MARÍTIMOS[[#This Row],[Licencia]]),"")</f>
        <v/>
      </c>
      <c r="N733" s="2" t="str">
        <f>IFERROR(IF(MARÍTIMOS[[#This Row],[Número de Contacto]]="","",MARÍTIMOS[[#This Row],[Número de Contacto]]),"")</f>
        <v/>
      </c>
      <c r="O733" s="10" t="str">
        <f>IFERROR(IF(MARÍTIMOS[[#This Row],[Booking|AWB|CRT]]="","",MARÍTIMOS[[#This Row],[Booking|AWB|CRT]]),"")</f>
        <v/>
      </c>
      <c r="P733" s="2" t="str">
        <f>IFERROR(IF(MARÍTIMOS[[#This Row],[Contenedor]]="","",MARÍTIMOS[[#This Row],[Contenedor]]),"")</f>
        <v/>
      </c>
      <c r="Q733" s="2" t="str">
        <f>IFERROR(IF(MARÍTIMOS[[#This Row],[Puerto de Retiro]]="","",MARÍTIMOS[[#This Row],[Puerto de Retiro]]),"")</f>
        <v/>
      </c>
      <c r="R733" s="2" t="str">
        <f>IFERROR(IF(MARÍTIMOS[[#This Row],[Almacén de Retiro]]="","",MARÍTIMOS[[#This Row],[Almacén de Retiro]]),"")</f>
        <v/>
      </c>
      <c r="S733" s="11" t="str">
        <f>IFERROR(IF(MARÍTIMOS[[#This Row],[Etapa Retiro - Cita]]="","",MARÍTIMOS[[#This Row],[Etapa Retiro - Cita]]),"")</f>
        <v/>
      </c>
      <c r="T733" s="11" t="str">
        <f>IFERROR(IF(MARÍTIMOS[[#This Row],[Etapa Retiro - Llegada]]="","",MARÍTIMOS[[#This Row],[Etapa Retiro - Llegada]]),"")</f>
        <v/>
      </c>
      <c r="U733" s="11" t="str">
        <f>IFERROR(IF(MARÍTIMOS[[#This Row],[Etapa Retiro - Ingreso]]="","",MARÍTIMOS[[#This Row],[Etapa Retiro - Ingreso]]),"")</f>
        <v/>
      </c>
      <c r="V733" s="11" t="str">
        <f>IFERROR(IF(MARÍTIMOS[[#This Row],[Etapa Retiro - Atención]]="","",MARÍTIMOS[[#This Row],[Etapa Retiro - Atención]]),"")</f>
        <v/>
      </c>
      <c r="W733" s="11" t="str">
        <f>IFERROR(IF(MARÍTIMOS[[#This Row],[Etapa Retiro - Atención]]="","",MARÍTIMOS[[#This Row],[Etapa Retiro - Atención]]),"")</f>
        <v/>
      </c>
      <c r="X733" s="11" t="str">
        <f>IFERROR(IF(MARÍTIMOS[[#This Row],[Etapa Retiro - Inicio de Ruta]]="","",MARÍTIMOS[[#This Row],[Etapa Retiro - Inicio de Ruta]]),"")</f>
        <v/>
      </c>
      <c r="Y733" s="11" t="str">
        <f>IFERROR(IF(MARÍTIMOS[[#This Row],[Hora de Posicionamiento]]="","",MARÍTIMOS[[#This Row],[Fecha de Carga]]+MARÍTIMOS[[#This Row],[Hora de Posicionamiento]]),"")</f>
        <v/>
      </c>
      <c r="Z733" s="11" t="str">
        <f>IFERROR(IF(MARÍTIMOS[[#This Row],[Etapa Despacho - Llegada]]="","",MARÍTIMOS[[#This Row],[Etapa Despacho - Llegada]]),"")</f>
        <v/>
      </c>
      <c r="AA733" s="11" t="str">
        <f>IFERROR(IF(MARÍTIMOS[[#This Row],[Etapa Despacho - Registro]]="","",MARÍTIMOS[[#This Row],[Etapa Despacho - Registro]]),"")</f>
        <v/>
      </c>
      <c r="AB733" s="11" t="str">
        <f>IFERROR(IF(MARÍTIMOS[[#This Row],[Inspección Externa]]="","",MARÍTIMOS[[#This Row],[Inspección Externa]]),"")</f>
        <v/>
      </c>
      <c r="AC733" s="11" t="str">
        <f>IFERROR(IF(MARÍTIMOS[[#This Row],[Etapa Despacho - Inicio de Carga]]="","",MARÍTIMOS[[#This Row],[Etapa Despacho - Inicio de Carga]]),"")</f>
        <v/>
      </c>
      <c r="AD733" s="11" t="str">
        <f>IFERROR(IF(MARÍTIMOS[[#This Row],[Etapa Despacho - Mitad de Carga]]="","",MARÍTIMOS[[#This Row],[Etapa Despacho - Mitad de Carga]]),"")</f>
        <v/>
      </c>
      <c r="AE733" s="11" t="str">
        <f>IFERROR(IF(MARÍTIMOS[[#This Row],[Etapa Despacho - Fin de Carga]]="","",MARÍTIMOS[[#This Row],[Etapa Despacho - Fin de Carga]]),"")</f>
        <v/>
      </c>
      <c r="AF733" s="2" t="str">
        <f>IFERROR(IF(MARÍTIMOS[[#This Row],[Puerto de Embarque]]="","",MARÍTIMOS[[#This Row],[Puerto de Embarque]]),"")</f>
        <v/>
      </c>
      <c r="AG733" s="2" t="str">
        <f>IFERROR(IF(MARÍTIMOS[[#This Row],[Almacén de Ingreso]]="","",MARÍTIMOS[[#This Row],[Almacén de Ingreso]]),"")</f>
        <v/>
      </c>
      <c r="AH733" s="11" t="str">
        <f>IFERROR(IF(MARÍTIMOS[[#This Row],[Etapa Ingreso - Cita]]="","",MARÍTIMOS[[#This Row],[Etapa Ingreso - Cita]]),"")</f>
        <v/>
      </c>
      <c r="AI733" s="11" t="str">
        <f>IFERROR(IF(MARÍTIMOS[[#This Row],[Etapa Ingreso - Llegada]]="","",MARÍTIMOS[[#This Row],[Etapa Ingreso - Llegada]]),"")</f>
        <v/>
      </c>
      <c r="AJ733" s="11" t="str">
        <f>IFERROR(IF(MARÍTIMOS[[#This Row],[Etapa Ingreso - Ingeso]]="","",MARÍTIMOS[[#This Row],[Etapa Ingreso - Ingeso]]),"")</f>
        <v/>
      </c>
      <c r="AK733" s="11" t="str">
        <f>IFERROR(IF(MARÍTIMOS[[#This Row],[Etapa Ingreso - Atención]]="","",MARÍTIMOS[[#This Row],[Etapa Ingreso - Atención]]),"")</f>
        <v/>
      </c>
      <c r="AL733" s="11" t="str">
        <f>IFERROR(IF(MARÍTIMOS[[#This Row],[Etapa Ingreso - Salida]]="","",MARÍTIMOS[[#This Row],[Etapa Ingreso - Salida]]),"")</f>
        <v/>
      </c>
      <c r="AM733" s="2" t="str">
        <f>IFERROR(IF(MARÍTIMOS[[#This Row],[FCL]]="","",MARÍTIMOS[[#This Row],[FCL]]),"")</f>
        <v/>
      </c>
      <c r="AN7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3" s="4" t="str" cm="1">
        <f t="array" ref="AO7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3" s="5" t="str">
        <f>IFERROR(OLDBD[[#This Row],[Llegada a packing]]-OLDBD[[#This Row],[Inicio de Ruta]],"")</f>
        <v/>
      </c>
      <c r="AQ733" s="6" t="str">
        <f>IFERROR(OLDBD[[#This Row],[Inicio de Ruta]]-OLDBD[[#This Row],[Salida de almacén de retiro]],"")</f>
        <v/>
      </c>
      <c r="AR7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3" s="8" t="str" cm="1">
        <f t="array" ref="AS7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3" s="9" t="str">
        <f>IFERROR(OLDBD[[#This Row],[Ingreso Packing]]-OLDBD[[#This Row],[Registro en Packing]],"")</f>
        <v/>
      </c>
      <c r="AV733" s="9" t="str">
        <f>IFERROR(OLDBD[[#This Row],[Ingreso Packing]]-OLDBD[[#This Row],[Llegada a packing]],"")</f>
        <v/>
      </c>
      <c r="AW7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3" s="5" t="str">
        <f>IFERROR(OLDBD[[#This Row],[Llegada Almacén de Ingreso]]-OLDBD[[#This Row],[Salida Packing]],"")</f>
        <v/>
      </c>
      <c r="AY733" s="4" t="str" cm="1">
        <f t="array" ref="AY7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3" s="43" t="s">
        <v>173</v>
      </c>
      <c r="BB733" s="47" t="str">
        <f>IFERROR(IF(MARÍTIMOS[[#This Row],[Estatus]]="","",MARÍTIMOS[[#This Row],[Estatus]]),"")</f>
        <v/>
      </c>
      <c r="BC733" s="43"/>
      <c r="BD733" s="46" t="str">
        <f>IFERROR(OLDBD[[#This Row],[Salida de almacén de retiro]]-OLDBD[[#This Row],[Ingreso Almacén de retiro]],"")</f>
        <v/>
      </c>
      <c r="BE733" s="46" t="str">
        <f>IFERROR(OLDBD[[#This Row],[Fin de Carga]]-OLDBD[[#This Row],[Inicio de Carga]],"")</f>
        <v/>
      </c>
    </row>
    <row r="734" spans="1:57" customFormat="1" hidden="1">
      <c r="A734" s="1"/>
      <c r="B734" s="1" t="str">
        <f>IFERROR(IF(MARÍTIMOS[[#This Row],[PP]]="","",MARÍTIMOS[[#This Row],[PP]]),"")</f>
        <v/>
      </c>
      <c r="C734" s="1" t="str">
        <f>IFERROR(IF(MARÍTIMOS[[#This Row],[Sede]]="","",MARÍTIMOS[[#This Row],[Sede]]),"")</f>
        <v/>
      </c>
      <c r="D734" s="1" t="str">
        <f>IFERROR(IF(MARÍTIMOS[[#This Row],[Instruction]]="","",MARÍTIMOS[[#This Row],[Instruction]]),"")</f>
        <v/>
      </c>
      <c r="E734" s="1"/>
      <c r="F734" s="2" t="str">
        <f>IFERROR(IF(MARÍTIMOS[[#This Row],[Transportista]]="","",MARÍTIMOS[[#This Row],[Transportista]]),"")</f>
        <v/>
      </c>
      <c r="G734" s="2" t="str">
        <f>IFERROR(IF(MARÍTIMOS[[#This Row],[Tercero]]="","",MARÍTIMOS[[#This Row],[Tercero]]),"")</f>
        <v/>
      </c>
      <c r="H734" s="2" t="str">
        <f>IFERROR(IF(MARÍTIMOS[[#This Row],[Razón Social]]="","",MARÍTIMOS[[#This Row],[Razón Social]]),"")</f>
        <v/>
      </c>
      <c r="I734" s="2" t="str">
        <f>IFERROR(IF(MARÍTIMOS[[#This Row],[RUC]]="","",MARÍTIMOS[[#This Row],[RUC]]),"")</f>
        <v/>
      </c>
      <c r="J734" s="2" t="str">
        <f>IFERROR(IF(MARÍTIMOS[[#This Row],[Placa Tracto]]="","",MARÍTIMOS[[#This Row],[Placa Tracto]]),"")</f>
        <v/>
      </c>
      <c r="K734" s="2" t="str">
        <f>IFERROR(IF(MARÍTIMOS[[#This Row],[Placa Carreta]]="","",MARÍTIMOS[[#This Row],[Placa Carreta]]),"")</f>
        <v/>
      </c>
      <c r="L734" s="44" t="str">
        <f>IFERROR(IF(MARÍTIMOS[[#This Row],[Conductor]]="","",MARÍTIMOS[[#This Row],[Conductor]]),"")</f>
        <v/>
      </c>
      <c r="M734" s="2" t="str">
        <f>IFERROR(IF(MARÍTIMOS[[#This Row],[Licencia]]="","",MARÍTIMOS[[#This Row],[Licencia]]),"")</f>
        <v/>
      </c>
      <c r="N734" s="2" t="str">
        <f>IFERROR(IF(MARÍTIMOS[[#This Row],[Número de Contacto]]="","",MARÍTIMOS[[#This Row],[Número de Contacto]]),"")</f>
        <v/>
      </c>
      <c r="O734" s="10" t="str">
        <f>IFERROR(IF(MARÍTIMOS[[#This Row],[Booking|AWB|CRT]]="","",MARÍTIMOS[[#This Row],[Booking|AWB|CRT]]),"")</f>
        <v/>
      </c>
      <c r="P734" s="2" t="str">
        <f>IFERROR(IF(MARÍTIMOS[[#This Row],[Contenedor]]="","",MARÍTIMOS[[#This Row],[Contenedor]]),"")</f>
        <v/>
      </c>
      <c r="Q734" s="2" t="str">
        <f>IFERROR(IF(MARÍTIMOS[[#This Row],[Puerto de Retiro]]="","",MARÍTIMOS[[#This Row],[Puerto de Retiro]]),"")</f>
        <v/>
      </c>
      <c r="R734" s="2" t="str">
        <f>IFERROR(IF(MARÍTIMOS[[#This Row],[Almacén de Retiro]]="","",MARÍTIMOS[[#This Row],[Almacén de Retiro]]),"")</f>
        <v/>
      </c>
      <c r="S734" s="11" t="str">
        <f>IFERROR(IF(MARÍTIMOS[[#This Row],[Etapa Retiro - Cita]]="","",MARÍTIMOS[[#This Row],[Etapa Retiro - Cita]]),"")</f>
        <v/>
      </c>
      <c r="T734" s="11" t="str">
        <f>IFERROR(IF(MARÍTIMOS[[#This Row],[Etapa Retiro - Llegada]]="","",MARÍTIMOS[[#This Row],[Etapa Retiro - Llegada]]),"")</f>
        <v/>
      </c>
      <c r="U734" s="11" t="str">
        <f>IFERROR(IF(MARÍTIMOS[[#This Row],[Etapa Retiro - Ingreso]]="","",MARÍTIMOS[[#This Row],[Etapa Retiro - Ingreso]]),"")</f>
        <v/>
      </c>
      <c r="V734" s="11" t="str">
        <f>IFERROR(IF(MARÍTIMOS[[#This Row],[Etapa Retiro - Atención]]="","",MARÍTIMOS[[#This Row],[Etapa Retiro - Atención]]),"")</f>
        <v/>
      </c>
      <c r="W734" s="11" t="str">
        <f>IFERROR(IF(MARÍTIMOS[[#This Row],[Etapa Retiro - Atención]]="","",MARÍTIMOS[[#This Row],[Etapa Retiro - Atención]]),"")</f>
        <v/>
      </c>
      <c r="X734" s="11" t="str">
        <f>IFERROR(IF(MARÍTIMOS[[#This Row],[Etapa Retiro - Inicio de Ruta]]="","",MARÍTIMOS[[#This Row],[Etapa Retiro - Inicio de Ruta]]),"")</f>
        <v/>
      </c>
      <c r="Y734" s="11" t="str">
        <f>IFERROR(IF(MARÍTIMOS[[#This Row],[Hora de Posicionamiento]]="","",MARÍTIMOS[[#This Row],[Fecha de Carga]]+MARÍTIMOS[[#This Row],[Hora de Posicionamiento]]),"")</f>
        <v/>
      </c>
      <c r="Z734" s="11" t="str">
        <f>IFERROR(IF(MARÍTIMOS[[#This Row],[Etapa Despacho - Llegada]]="","",MARÍTIMOS[[#This Row],[Etapa Despacho - Llegada]]),"")</f>
        <v/>
      </c>
      <c r="AA734" s="11" t="str">
        <f>IFERROR(IF(MARÍTIMOS[[#This Row],[Etapa Despacho - Registro]]="","",MARÍTIMOS[[#This Row],[Etapa Despacho - Registro]]),"")</f>
        <v/>
      </c>
      <c r="AB734" s="11" t="str">
        <f>IFERROR(IF(MARÍTIMOS[[#This Row],[Inspección Externa]]="","",MARÍTIMOS[[#This Row],[Inspección Externa]]),"")</f>
        <v/>
      </c>
      <c r="AC734" s="11" t="str">
        <f>IFERROR(IF(MARÍTIMOS[[#This Row],[Etapa Despacho - Inicio de Carga]]="","",MARÍTIMOS[[#This Row],[Etapa Despacho - Inicio de Carga]]),"")</f>
        <v/>
      </c>
      <c r="AD734" s="11" t="str">
        <f>IFERROR(IF(MARÍTIMOS[[#This Row],[Etapa Despacho - Mitad de Carga]]="","",MARÍTIMOS[[#This Row],[Etapa Despacho - Mitad de Carga]]),"")</f>
        <v/>
      </c>
      <c r="AE734" s="11" t="str">
        <f>IFERROR(IF(MARÍTIMOS[[#This Row],[Etapa Despacho - Fin de Carga]]="","",MARÍTIMOS[[#This Row],[Etapa Despacho - Fin de Carga]]),"")</f>
        <v/>
      </c>
      <c r="AF734" s="2" t="str">
        <f>IFERROR(IF(MARÍTIMOS[[#This Row],[Puerto de Embarque]]="","",MARÍTIMOS[[#This Row],[Puerto de Embarque]]),"")</f>
        <v/>
      </c>
      <c r="AG734" s="2" t="str">
        <f>IFERROR(IF(MARÍTIMOS[[#This Row],[Almacén de Ingreso]]="","",MARÍTIMOS[[#This Row],[Almacén de Ingreso]]),"")</f>
        <v/>
      </c>
      <c r="AH734" s="11" t="str">
        <f>IFERROR(IF(MARÍTIMOS[[#This Row],[Etapa Ingreso - Cita]]="","",MARÍTIMOS[[#This Row],[Etapa Ingreso - Cita]]),"")</f>
        <v/>
      </c>
      <c r="AI734" s="11" t="str">
        <f>IFERROR(IF(MARÍTIMOS[[#This Row],[Etapa Ingreso - Llegada]]="","",MARÍTIMOS[[#This Row],[Etapa Ingreso - Llegada]]),"")</f>
        <v/>
      </c>
      <c r="AJ734" s="11" t="str">
        <f>IFERROR(IF(MARÍTIMOS[[#This Row],[Etapa Ingreso - Ingeso]]="","",MARÍTIMOS[[#This Row],[Etapa Ingreso - Ingeso]]),"")</f>
        <v/>
      </c>
      <c r="AK734" s="11" t="str">
        <f>IFERROR(IF(MARÍTIMOS[[#This Row],[Etapa Ingreso - Atención]]="","",MARÍTIMOS[[#This Row],[Etapa Ingreso - Atención]]),"")</f>
        <v/>
      </c>
      <c r="AL734" s="11" t="str">
        <f>IFERROR(IF(MARÍTIMOS[[#This Row],[Etapa Ingreso - Salida]]="","",MARÍTIMOS[[#This Row],[Etapa Ingreso - Salida]]),"")</f>
        <v/>
      </c>
      <c r="AM734" s="2" t="str">
        <f>IFERROR(IF(MARÍTIMOS[[#This Row],[FCL]]="","",MARÍTIMOS[[#This Row],[FCL]]),"")</f>
        <v/>
      </c>
      <c r="AN7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4" s="4" t="str" cm="1">
        <f t="array" ref="AO7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4" s="5" t="str">
        <f>IFERROR(OLDBD[[#This Row],[Llegada a packing]]-OLDBD[[#This Row],[Inicio de Ruta]],"")</f>
        <v/>
      </c>
      <c r="AQ734" s="6" t="str">
        <f>IFERROR(OLDBD[[#This Row],[Inicio de Ruta]]-OLDBD[[#This Row],[Salida de almacén de retiro]],"")</f>
        <v/>
      </c>
      <c r="AR7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4" s="8" t="str" cm="1">
        <f t="array" ref="AS7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4" s="9" t="str">
        <f>IFERROR(OLDBD[[#This Row],[Ingreso Packing]]-OLDBD[[#This Row],[Registro en Packing]],"")</f>
        <v/>
      </c>
      <c r="AV734" s="9" t="str">
        <f>IFERROR(OLDBD[[#This Row],[Ingreso Packing]]-OLDBD[[#This Row],[Llegada a packing]],"")</f>
        <v/>
      </c>
      <c r="AW7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4" s="5" t="str">
        <f>IFERROR(OLDBD[[#This Row],[Llegada Almacén de Ingreso]]-OLDBD[[#This Row],[Salida Packing]],"")</f>
        <v/>
      </c>
      <c r="AY734" s="4" t="str" cm="1">
        <f t="array" ref="AY7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4" s="43" t="s">
        <v>173</v>
      </c>
      <c r="BB734" s="47" t="str">
        <f>IFERROR(IF(MARÍTIMOS[[#This Row],[Estatus]]="","",MARÍTIMOS[[#This Row],[Estatus]]),"")</f>
        <v/>
      </c>
      <c r="BC734" s="43"/>
      <c r="BD734" s="46" t="str">
        <f>IFERROR(OLDBD[[#This Row],[Salida de almacén de retiro]]-OLDBD[[#This Row],[Ingreso Almacén de retiro]],"")</f>
        <v/>
      </c>
      <c r="BE734" s="46" t="str">
        <f>IFERROR(OLDBD[[#This Row],[Fin de Carga]]-OLDBD[[#This Row],[Inicio de Carga]],"")</f>
        <v/>
      </c>
    </row>
    <row r="735" spans="1:57" customFormat="1" hidden="1">
      <c r="A735" s="1"/>
      <c r="B735" s="1" t="str">
        <f>IFERROR(IF(MARÍTIMOS[[#This Row],[PP]]="","",MARÍTIMOS[[#This Row],[PP]]),"")</f>
        <v/>
      </c>
      <c r="C735" s="1" t="str">
        <f>IFERROR(IF(MARÍTIMOS[[#This Row],[Sede]]="","",MARÍTIMOS[[#This Row],[Sede]]),"")</f>
        <v/>
      </c>
      <c r="D735" s="1" t="str">
        <f>IFERROR(IF(MARÍTIMOS[[#This Row],[Instruction]]="","",MARÍTIMOS[[#This Row],[Instruction]]),"")</f>
        <v/>
      </c>
      <c r="E735" s="1"/>
      <c r="F735" s="2" t="str">
        <f>IFERROR(IF(MARÍTIMOS[[#This Row],[Transportista]]="","",MARÍTIMOS[[#This Row],[Transportista]]),"")</f>
        <v/>
      </c>
      <c r="G735" s="2" t="str">
        <f>IFERROR(IF(MARÍTIMOS[[#This Row],[Tercero]]="","",MARÍTIMOS[[#This Row],[Tercero]]),"")</f>
        <v/>
      </c>
      <c r="H735" s="2" t="str">
        <f>IFERROR(IF(MARÍTIMOS[[#This Row],[Razón Social]]="","",MARÍTIMOS[[#This Row],[Razón Social]]),"")</f>
        <v/>
      </c>
      <c r="I735" s="2" t="str">
        <f>IFERROR(IF(MARÍTIMOS[[#This Row],[RUC]]="","",MARÍTIMOS[[#This Row],[RUC]]),"")</f>
        <v/>
      </c>
      <c r="J735" s="2" t="str">
        <f>IFERROR(IF(MARÍTIMOS[[#This Row],[Placa Tracto]]="","",MARÍTIMOS[[#This Row],[Placa Tracto]]),"")</f>
        <v/>
      </c>
      <c r="K735" s="2" t="str">
        <f>IFERROR(IF(MARÍTIMOS[[#This Row],[Placa Carreta]]="","",MARÍTIMOS[[#This Row],[Placa Carreta]]),"")</f>
        <v/>
      </c>
      <c r="L735" s="44" t="str">
        <f>IFERROR(IF(MARÍTIMOS[[#This Row],[Conductor]]="","",MARÍTIMOS[[#This Row],[Conductor]]),"")</f>
        <v/>
      </c>
      <c r="M735" s="2" t="str">
        <f>IFERROR(IF(MARÍTIMOS[[#This Row],[Licencia]]="","",MARÍTIMOS[[#This Row],[Licencia]]),"")</f>
        <v/>
      </c>
      <c r="N735" s="2" t="str">
        <f>IFERROR(IF(MARÍTIMOS[[#This Row],[Número de Contacto]]="","",MARÍTIMOS[[#This Row],[Número de Contacto]]),"")</f>
        <v/>
      </c>
      <c r="O735" s="10" t="str">
        <f>IFERROR(IF(MARÍTIMOS[[#This Row],[Booking|AWB|CRT]]="","",MARÍTIMOS[[#This Row],[Booking|AWB|CRT]]),"")</f>
        <v/>
      </c>
      <c r="P735" s="2" t="str">
        <f>IFERROR(IF(MARÍTIMOS[[#This Row],[Contenedor]]="","",MARÍTIMOS[[#This Row],[Contenedor]]),"")</f>
        <v/>
      </c>
      <c r="Q735" s="2" t="str">
        <f>IFERROR(IF(MARÍTIMOS[[#This Row],[Puerto de Retiro]]="","",MARÍTIMOS[[#This Row],[Puerto de Retiro]]),"")</f>
        <v/>
      </c>
      <c r="R735" s="2" t="str">
        <f>IFERROR(IF(MARÍTIMOS[[#This Row],[Almacén de Retiro]]="","",MARÍTIMOS[[#This Row],[Almacén de Retiro]]),"")</f>
        <v/>
      </c>
      <c r="S735" s="11" t="str">
        <f>IFERROR(IF(MARÍTIMOS[[#This Row],[Etapa Retiro - Cita]]="","",MARÍTIMOS[[#This Row],[Etapa Retiro - Cita]]),"")</f>
        <v/>
      </c>
      <c r="T735" s="11" t="str">
        <f>IFERROR(IF(MARÍTIMOS[[#This Row],[Etapa Retiro - Llegada]]="","",MARÍTIMOS[[#This Row],[Etapa Retiro - Llegada]]),"")</f>
        <v/>
      </c>
      <c r="U735" s="11" t="str">
        <f>IFERROR(IF(MARÍTIMOS[[#This Row],[Etapa Retiro - Ingreso]]="","",MARÍTIMOS[[#This Row],[Etapa Retiro - Ingreso]]),"")</f>
        <v/>
      </c>
      <c r="V735" s="11" t="str">
        <f>IFERROR(IF(MARÍTIMOS[[#This Row],[Etapa Retiro - Atención]]="","",MARÍTIMOS[[#This Row],[Etapa Retiro - Atención]]),"")</f>
        <v/>
      </c>
      <c r="W735" s="11" t="str">
        <f>IFERROR(IF(MARÍTIMOS[[#This Row],[Etapa Retiro - Atención]]="","",MARÍTIMOS[[#This Row],[Etapa Retiro - Atención]]),"")</f>
        <v/>
      </c>
      <c r="X735" s="11" t="str">
        <f>IFERROR(IF(MARÍTIMOS[[#This Row],[Etapa Retiro - Inicio de Ruta]]="","",MARÍTIMOS[[#This Row],[Etapa Retiro - Inicio de Ruta]]),"")</f>
        <v/>
      </c>
      <c r="Y735" s="11" t="str">
        <f>IFERROR(IF(MARÍTIMOS[[#This Row],[Hora de Posicionamiento]]="","",MARÍTIMOS[[#This Row],[Fecha de Carga]]+MARÍTIMOS[[#This Row],[Hora de Posicionamiento]]),"")</f>
        <v/>
      </c>
      <c r="Z735" s="11" t="str">
        <f>IFERROR(IF(MARÍTIMOS[[#This Row],[Etapa Despacho - Llegada]]="","",MARÍTIMOS[[#This Row],[Etapa Despacho - Llegada]]),"")</f>
        <v/>
      </c>
      <c r="AA735" s="11" t="str">
        <f>IFERROR(IF(MARÍTIMOS[[#This Row],[Etapa Despacho - Registro]]="","",MARÍTIMOS[[#This Row],[Etapa Despacho - Registro]]),"")</f>
        <v/>
      </c>
      <c r="AB735" s="11" t="str">
        <f>IFERROR(IF(MARÍTIMOS[[#This Row],[Inspección Externa]]="","",MARÍTIMOS[[#This Row],[Inspección Externa]]),"")</f>
        <v/>
      </c>
      <c r="AC735" s="11" t="str">
        <f>IFERROR(IF(MARÍTIMOS[[#This Row],[Etapa Despacho - Inicio de Carga]]="","",MARÍTIMOS[[#This Row],[Etapa Despacho - Inicio de Carga]]),"")</f>
        <v/>
      </c>
      <c r="AD735" s="11" t="str">
        <f>IFERROR(IF(MARÍTIMOS[[#This Row],[Etapa Despacho - Mitad de Carga]]="","",MARÍTIMOS[[#This Row],[Etapa Despacho - Mitad de Carga]]),"")</f>
        <v/>
      </c>
      <c r="AE735" s="11" t="str">
        <f>IFERROR(IF(MARÍTIMOS[[#This Row],[Etapa Despacho - Fin de Carga]]="","",MARÍTIMOS[[#This Row],[Etapa Despacho - Fin de Carga]]),"")</f>
        <v/>
      </c>
      <c r="AF735" s="2" t="str">
        <f>IFERROR(IF(MARÍTIMOS[[#This Row],[Puerto de Embarque]]="","",MARÍTIMOS[[#This Row],[Puerto de Embarque]]),"")</f>
        <v/>
      </c>
      <c r="AG735" s="2" t="str">
        <f>IFERROR(IF(MARÍTIMOS[[#This Row],[Almacén de Ingreso]]="","",MARÍTIMOS[[#This Row],[Almacén de Ingreso]]),"")</f>
        <v/>
      </c>
      <c r="AH735" s="11" t="str">
        <f>IFERROR(IF(MARÍTIMOS[[#This Row],[Etapa Ingreso - Cita]]="","",MARÍTIMOS[[#This Row],[Etapa Ingreso - Cita]]),"")</f>
        <v/>
      </c>
      <c r="AI735" s="11" t="str">
        <f>IFERROR(IF(MARÍTIMOS[[#This Row],[Etapa Ingreso - Llegada]]="","",MARÍTIMOS[[#This Row],[Etapa Ingreso - Llegada]]),"")</f>
        <v/>
      </c>
      <c r="AJ735" s="11" t="str">
        <f>IFERROR(IF(MARÍTIMOS[[#This Row],[Etapa Ingreso - Ingeso]]="","",MARÍTIMOS[[#This Row],[Etapa Ingreso - Ingeso]]),"")</f>
        <v/>
      </c>
      <c r="AK735" s="11" t="str">
        <f>IFERROR(IF(MARÍTIMOS[[#This Row],[Etapa Ingreso - Atención]]="","",MARÍTIMOS[[#This Row],[Etapa Ingreso - Atención]]),"")</f>
        <v/>
      </c>
      <c r="AL735" s="11" t="str">
        <f>IFERROR(IF(MARÍTIMOS[[#This Row],[Etapa Ingreso - Salida]]="","",MARÍTIMOS[[#This Row],[Etapa Ingreso - Salida]]),"")</f>
        <v/>
      </c>
      <c r="AM735" s="2" t="str">
        <f>IFERROR(IF(MARÍTIMOS[[#This Row],[FCL]]="","",MARÍTIMOS[[#This Row],[FCL]]),"")</f>
        <v/>
      </c>
      <c r="AN7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5" s="4" t="str" cm="1">
        <f t="array" ref="AO7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5" s="5" t="str">
        <f>IFERROR(OLDBD[[#This Row],[Llegada a packing]]-OLDBD[[#This Row],[Inicio de Ruta]],"")</f>
        <v/>
      </c>
      <c r="AQ735" s="6" t="str">
        <f>IFERROR(OLDBD[[#This Row],[Inicio de Ruta]]-OLDBD[[#This Row],[Salida de almacén de retiro]],"")</f>
        <v/>
      </c>
      <c r="AR7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5" s="8" t="str" cm="1">
        <f t="array" ref="AS7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5" s="9" t="str">
        <f>IFERROR(OLDBD[[#This Row],[Ingreso Packing]]-OLDBD[[#This Row],[Registro en Packing]],"")</f>
        <v/>
      </c>
      <c r="AV735" s="9" t="str">
        <f>IFERROR(OLDBD[[#This Row],[Ingreso Packing]]-OLDBD[[#This Row],[Llegada a packing]],"")</f>
        <v/>
      </c>
      <c r="AW7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5" s="5" t="str">
        <f>IFERROR(OLDBD[[#This Row],[Llegada Almacén de Ingreso]]-OLDBD[[#This Row],[Salida Packing]],"")</f>
        <v/>
      </c>
      <c r="AY735" s="4" t="str" cm="1">
        <f t="array" ref="AY7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5" s="43" t="s">
        <v>173</v>
      </c>
      <c r="BB735" s="47" t="str">
        <f>IFERROR(IF(MARÍTIMOS[[#This Row],[Estatus]]="","",MARÍTIMOS[[#This Row],[Estatus]]),"")</f>
        <v/>
      </c>
      <c r="BC735" s="43"/>
      <c r="BD735" s="46" t="str">
        <f>IFERROR(OLDBD[[#This Row],[Salida de almacén de retiro]]-OLDBD[[#This Row],[Ingreso Almacén de retiro]],"")</f>
        <v/>
      </c>
      <c r="BE735" s="46" t="str">
        <f>IFERROR(OLDBD[[#This Row],[Fin de Carga]]-OLDBD[[#This Row],[Inicio de Carga]],"")</f>
        <v/>
      </c>
    </row>
    <row r="736" spans="1:57" customFormat="1" hidden="1">
      <c r="A736" s="1"/>
      <c r="B736" s="1" t="str">
        <f>IFERROR(IF(MARÍTIMOS[[#This Row],[PP]]="","",MARÍTIMOS[[#This Row],[PP]]),"")</f>
        <v/>
      </c>
      <c r="C736" s="1" t="str">
        <f>IFERROR(IF(MARÍTIMOS[[#This Row],[Sede]]="","",MARÍTIMOS[[#This Row],[Sede]]),"")</f>
        <v/>
      </c>
      <c r="D736" s="1" t="str">
        <f>IFERROR(IF(MARÍTIMOS[[#This Row],[Instruction]]="","",MARÍTIMOS[[#This Row],[Instruction]]),"")</f>
        <v/>
      </c>
      <c r="E736" s="1"/>
      <c r="F736" s="2" t="str">
        <f>IFERROR(IF(MARÍTIMOS[[#This Row],[Transportista]]="","",MARÍTIMOS[[#This Row],[Transportista]]),"")</f>
        <v/>
      </c>
      <c r="G736" s="2" t="str">
        <f>IFERROR(IF(MARÍTIMOS[[#This Row],[Tercero]]="","",MARÍTIMOS[[#This Row],[Tercero]]),"")</f>
        <v/>
      </c>
      <c r="H736" s="2" t="str">
        <f>IFERROR(IF(MARÍTIMOS[[#This Row],[Razón Social]]="","",MARÍTIMOS[[#This Row],[Razón Social]]),"")</f>
        <v/>
      </c>
      <c r="I736" s="2" t="str">
        <f>IFERROR(IF(MARÍTIMOS[[#This Row],[RUC]]="","",MARÍTIMOS[[#This Row],[RUC]]),"")</f>
        <v/>
      </c>
      <c r="J736" s="2" t="str">
        <f>IFERROR(IF(MARÍTIMOS[[#This Row],[Placa Tracto]]="","",MARÍTIMOS[[#This Row],[Placa Tracto]]),"")</f>
        <v/>
      </c>
      <c r="K736" s="2" t="str">
        <f>IFERROR(IF(MARÍTIMOS[[#This Row],[Placa Carreta]]="","",MARÍTIMOS[[#This Row],[Placa Carreta]]),"")</f>
        <v/>
      </c>
      <c r="L736" s="44" t="str">
        <f>IFERROR(IF(MARÍTIMOS[[#This Row],[Conductor]]="","",MARÍTIMOS[[#This Row],[Conductor]]),"")</f>
        <v/>
      </c>
      <c r="M736" s="2" t="str">
        <f>IFERROR(IF(MARÍTIMOS[[#This Row],[Licencia]]="","",MARÍTIMOS[[#This Row],[Licencia]]),"")</f>
        <v/>
      </c>
      <c r="N736" s="2" t="str">
        <f>IFERROR(IF(MARÍTIMOS[[#This Row],[Número de Contacto]]="","",MARÍTIMOS[[#This Row],[Número de Contacto]]),"")</f>
        <v/>
      </c>
      <c r="O736" s="10" t="str">
        <f>IFERROR(IF(MARÍTIMOS[[#This Row],[Booking|AWB|CRT]]="","",MARÍTIMOS[[#This Row],[Booking|AWB|CRT]]),"")</f>
        <v/>
      </c>
      <c r="P736" s="2" t="str">
        <f>IFERROR(IF(MARÍTIMOS[[#This Row],[Contenedor]]="","",MARÍTIMOS[[#This Row],[Contenedor]]),"")</f>
        <v/>
      </c>
      <c r="Q736" s="2" t="str">
        <f>IFERROR(IF(MARÍTIMOS[[#This Row],[Puerto de Retiro]]="","",MARÍTIMOS[[#This Row],[Puerto de Retiro]]),"")</f>
        <v/>
      </c>
      <c r="R736" s="2" t="str">
        <f>IFERROR(IF(MARÍTIMOS[[#This Row],[Almacén de Retiro]]="","",MARÍTIMOS[[#This Row],[Almacén de Retiro]]),"")</f>
        <v/>
      </c>
      <c r="S736" s="11" t="str">
        <f>IFERROR(IF(MARÍTIMOS[[#This Row],[Etapa Retiro - Cita]]="","",MARÍTIMOS[[#This Row],[Etapa Retiro - Cita]]),"")</f>
        <v/>
      </c>
      <c r="T736" s="11" t="str">
        <f>IFERROR(IF(MARÍTIMOS[[#This Row],[Etapa Retiro - Llegada]]="","",MARÍTIMOS[[#This Row],[Etapa Retiro - Llegada]]),"")</f>
        <v/>
      </c>
      <c r="U736" s="11" t="str">
        <f>IFERROR(IF(MARÍTIMOS[[#This Row],[Etapa Retiro - Ingreso]]="","",MARÍTIMOS[[#This Row],[Etapa Retiro - Ingreso]]),"")</f>
        <v/>
      </c>
      <c r="V736" s="11" t="str">
        <f>IFERROR(IF(MARÍTIMOS[[#This Row],[Etapa Retiro - Atención]]="","",MARÍTIMOS[[#This Row],[Etapa Retiro - Atención]]),"")</f>
        <v/>
      </c>
      <c r="W736" s="11" t="str">
        <f>IFERROR(IF(MARÍTIMOS[[#This Row],[Etapa Retiro - Atención]]="","",MARÍTIMOS[[#This Row],[Etapa Retiro - Atención]]),"")</f>
        <v/>
      </c>
      <c r="X736" s="11" t="str">
        <f>IFERROR(IF(MARÍTIMOS[[#This Row],[Etapa Retiro - Inicio de Ruta]]="","",MARÍTIMOS[[#This Row],[Etapa Retiro - Inicio de Ruta]]),"")</f>
        <v/>
      </c>
      <c r="Y736" s="11" t="str">
        <f>IFERROR(IF(MARÍTIMOS[[#This Row],[Hora de Posicionamiento]]="","",MARÍTIMOS[[#This Row],[Fecha de Carga]]+MARÍTIMOS[[#This Row],[Hora de Posicionamiento]]),"")</f>
        <v/>
      </c>
      <c r="Z736" s="11" t="str">
        <f>IFERROR(IF(MARÍTIMOS[[#This Row],[Etapa Despacho - Llegada]]="","",MARÍTIMOS[[#This Row],[Etapa Despacho - Llegada]]),"")</f>
        <v/>
      </c>
      <c r="AA736" s="11" t="str">
        <f>IFERROR(IF(MARÍTIMOS[[#This Row],[Etapa Despacho - Registro]]="","",MARÍTIMOS[[#This Row],[Etapa Despacho - Registro]]),"")</f>
        <v/>
      </c>
      <c r="AB736" s="11" t="str">
        <f>IFERROR(IF(MARÍTIMOS[[#This Row],[Inspección Externa]]="","",MARÍTIMOS[[#This Row],[Inspección Externa]]),"")</f>
        <v/>
      </c>
      <c r="AC736" s="11" t="str">
        <f>IFERROR(IF(MARÍTIMOS[[#This Row],[Etapa Despacho - Inicio de Carga]]="","",MARÍTIMOS[[#This Row],[Etapa Despacho - Inicio de Carga]]),"")</f>
        <v/>
      </c>
      <c r="AD736" s="11" t="str">
        <f>IFERROR(IF(MARÍTIMOS[[#This Row],[Etapa Despacho - Mitad de Carga]]="","",MARÍTIMOS[[#This Row],[Etapa Despacho - Mitad de Carga]]),"")</f>
        <v/>
      </c>
      <c r="AE736" s="11" t="str">
        <f>IFERROR(IF(MARÍTIMOS[[#This Row],[Etapa Despacho - Fin de Carga]]="","",MARÍTIMOS[[#This Row],[Etapa Despacho - Fin de Carga]]),"")</f>
        <v/>
      </c>
      <c r="AF736" s="2" t="str">
        <f>IFERROR(IF(MARÍTIMOS[[#This Row],[Puerto de Embarque]]="","",MARÍTIMOS[[#This Row],[Puerto de Embarque]]),"")</f>
        <v/>
      </c>
      <c r="AG736" s="2" t="str">
        <f>IFERROR(IF(MARÍTIMOS[[#This Row],[Almacén de Ingreso]]="","",MARÍTIMOS[[#This Row],[Almacén de Ingreso]]),"")</f>
        <v/>
      </c>
      <c r="AH736" s="11" t="str">
        <f>IFERROR(IF(MARÍTIMOS[[#This Row],[Etapa Ingreso - Cita]]="","",MARÍTIMOS[[#This Row],[Etapa Ingreso - Cita]]),"")</f>
        <v/>
      </c>
      <c r="AI736" s="11" t="str">
        <f>IFERROR(IF(MARÍTIMOS[[#This Row],[Etapa Ingreso - Llegada]]="","",MARÍTIMOS[[#This Row],[Etapa Ingreso - Llegada]]),"")</f>
        <v/>
      </c>
      <c r="AJ736" s="11" t="str">
        <f>IFERROR(IF(MARÍTIMOS[[#This Row],[Etapa Ingreso - Ingeso]]="","",MARÍTIMOS[[#This Row],[Etapa Ingreso - Ingeso]]),"")</f>
        <v/>
      </c>
      <c r="AK736" s="11" t="str">
        <f>IFERROR(IF(MARÍTIMOS[[#This Row],[Etapa Ingreso - Atención]]="","",MARÍTIMOS[[#This Row],[Etapa Ingreso - Atención]]),"")</f>
        <v/>
      </c>
      <c r="AL736" s="11" t="str">
        <f>IFERROR(IF(MARÍTIMOS[[#This Row],[Etapa Ingreso - Salida]]="","",MARÍTIMOS[[#This Row],[Etapa Ingreso - Salida]]),"")</f>
        <v/>
      </c>
      <c r="AM736" s="2" t="str">
        <f>IFERROR(IF(MARÍTIMOS[[#This Row],[FCL]]="","",MARÍTIMOS[[#This Row],[FCL]]),"")</f>
        <v/>
      </c>
      <c r="AN7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6" s="4" t="str" cm="1">
        <f t="array" ref="AO7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6" s="5" t="str">
        <f>IFERROR(OLDBD[[#This Row],[Llegada a packing]]-OLDBD[[#This Row],[Inicio de Ruta]],"")</f>
        <v/>
      </c>
      <c r="AQ736" s="6" t="str">
        <f>IFERROR(OLDBD[[#This Row],[Inicio de Ruta]]-OLDBD[[#This Row],[Salida de almacén de retiro]],"")</f>
        <v/>
      </c>
      <c r="AR7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6" s="8" t="str" cm="1">
        <f t="array" ref="AS7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6" s="9" t="str">
        <f>IFERROR(OLDBD[[#This Row],[Ingreso Packing]]-OLDBD[[#This Row],[Registro en Packing]],"")</f>
        <v/>
      </c>
      <c r="AV736" s="9" t="str">
        <f>IFERROR(OLDBD[[#This Row],[Ingreso Packing]]-OLDBD[[#This Row],[Llegada a packing]],"")</f>
        <v/>
      </c>
      <c r="AW7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6" s="5" t="str">
        <f>IFERROR(OLDBD[[#This Row],[Llegada Almacén de Ingreso]]-OLDBD[[#This Row],[Salida Packing]],"")</f>
        <v/>
      </c>
      <c r="AY736" s="4" t="str" cm="1">
        <f t="array" ref="AY7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6" s="43" t="s">
        <v>173</v>
      </c>
      <c r="BB736" s="47" t="str">
        <f>IFERROR(IF(MARÍTIMOS[[#This Row],[Estatus]]="","",MARÍTIMOS[[#This Row],[Estatus]]),"")</f>
        <v/>
      </c>
      <c r="BC736" s="43"/>
      <c r="BD736" s="46" t="str">
        <f>IFERROR(OLDBD[[#This Row],[Salida de almacén de retiro]]-OLDBD[[#This Row],[Ingreso Almacén de retiro]],"")</f>
        <v/>
      </c>
      <c r="BE736" s="46" t="str">
        <f>IFERROR(OLDBD[[#This Row],[Fin de Carga]]-OLDBD[[#This Row],[Inicio de Carga]],"")</f>
        <v/>
      </c>
    </row>
    <row r="737" spans="1:57" customFormat="1" hidden="1">
      <c r="A737" s="1"/>
      <c r="B737" s="1" t="str">
        <f>IFERROR(IF(MARÍTIMOS[[#This Row],[PP]]="","",MARÍTIMOS[[#This Row],[PP]]),"")</f>
        <v/>
      </c>
      <c r="C737" s="1" t="str">
        <f>IFERROR(IF(MARÍTIMOS[[#This Row],[Sede]]="","",MARÍTIMOS[[#This Row],[Sede]]),"")</f>
        <v/>
      </c>
      <c r="D737" s="1" t="str">
        <f>IFERROR(IF(MARÍTIMOS[[#This Row],[Instruction]]="","",MARÍTIMOS[[#This Row],[Instruction]]),"")</f>
        <v/>
      </c>
      <c r="E737" s="1"/>
      <c r="F737" s="2" t="str">
        <f>IFERROR(IF(MARÍTIMOS[[#This Row],[Transportista]]="","",MARÍTIMOS[[#This Row],[Transportista]]),"")</f>
        <v/>
      </c>
      <c r="G737" s="2" t="str">
        <f>IFERROR(IF(MARÍTIMOS[[#This Row],[Tercero]]="","",MARÍTIMOS[[#This Row],[Tercero]]),"")</f>
        <v/>
      </c>
      <c r="H737" s="2" t="str">
        <f>IFERROR(IF(MARÍTIMOS[[#This Row],[Razón Social]]="","",MARÍTIMOS[[#This Row],[Razón Social]]),"")</f>
        <v/>
      </c>
      <c r="I737" s="2" t="str">
        <f>IFERROR(IF(MARÍTIMOS[[#This Row],[RUC]]="","",MARÍTIMOS[[#This Row],[RUC]]),"")</f>
        <v/>
      </c>
      <c r="J737" s="2" t="str">
        <f>IFERROR(IF(MARÍTIMOS[[#This Row],[Placa Tracto]]="","",MARÍTIMOS[[#This Row],[Placa Tracto]]),"")</f>
        <v/>
      </c>
      <c r="K737" s="2" t="str">
        <f>IFERROR(IF(MARÍTIMOS[[#This Row],[Placa Carreta]]="","",MARÍTIMOS[[#This Row],[Placa Carreta]]),"")</f>
        <v/>
      </c>
      <c r="L737" s="44" t="str">
        <f>IFERROR(IF(MARÍTIMOS[[#This Row],[Conductor]]="","",MARÍTIMOS[[#This Row],[Conductor]]),"")</f>
        <v/>
      </c>
      <c r="M737" s="2" t="str">
        <f>IFERROR(IF(MARÍTIMOS[[#This Row],[Licencia]]="","",MARÍTIMOS[[#This Row],[Licencia]]),"")</f>
        <v/>
      </c>
      <c r="N737" s="2" t="str">
        <f>IFERROR(IF(MARÍTIMOS[[#This Row],[Número de Contacto]]="","",MARÍTIMOS[[#This Row],[Número de Contacto]]),"")</f>
        <v/>
      </c>
      <c r="O737" s="10" t="str">
        <f>IFERROR(IF(MARÍTIMOS[[#This Row],[Booking|AWB|CRT]]="","",MARÍTIMOS[[#This Row],[Booking|AWB|CRT]]),"")</f>
        <v/>
      </c>
      <c r="P737" s="2" t="str">
        <f>IFERROR(IF(MARÍTIMOS[[#This Row],[Contenedor]]="","",MARÍTIMOS[[#This Row],[Contenedor]]),"")</f>
        <v/>
      </c>
      <c r="Q737" s="2" t="str">
        <f>IFERROR(IF(MARÍTIMOS[[#This Row],[Puerto de Retiro]]="","",MARÍTIMOS[[#This Row],[Puerto de Retiro]]),"")</f>
        <v/>
      </c>
      <c r="R737" s="2" t="str">
        <f>IFERROR(IF(MARÍTIMOS[[#This Row],[Almacén de Retiro]]="","",MARÍTIMOS[[#This Row],[Almacén de Retiro]]),"")</f>
        <v/>
      </c>
      <c r="S737" s="11" t="str">
        <f>IFERROR(IF(MARÍTIMOS[[#This Row],[Etapa Retiro - Cita]]="","",MARÍTIMOS[[#This Row],[Etapa Retiro - Cita]]),"")</f>
        <v/>
      </c>
      <c r="T737" s="11" t="str">
        <f>IFERROR(IF(MARÍTIMOS[[#This Row],[Etapa Retiro - Llegada]]="","",MARÍTIMOS[[#This Row],[Etapa Retiro - Llegada]]),"")</f>
        <v/>
      </c>
      <c r="U737" s="11" t="str">
        <f>IFERROR(IF(MARÍTIMOS[[#This Row],[Etapa Retiro - Ingreso]]="","",MARÍTIMOS[[#This Row],[Etapa Retiro - Ingreso]]),"")</f>
        <v/>
      </c>
      <c r="V737" s="11" t="str">
        <f>IFERROR(IF(MARÍTIMOS[[#This Row],[Etapa Retiro - Atención]]="","",MARÍTIMOS[[#This Row],[Etapa Retiro - Atención]]),"")</f>
        <v/>
      </c>
      <c r="W737" s="11" t="str">
        <f>IFERROR(IF(MARÍTIMOS[[#This Row],[Etapa Retiro - Atención]]="","",MARÍTIMOS[[#This Row],[Etapa Retiro - Atención]]),"")</f>
        <v/>
      </c>
      <c r="X737" s="11" t="str">
        <f>IFERROR(IF(MARÍTIMOS[[#This Row],[Etapa Retiro - Inicio de Ruta]]="","",MARÍTIMOS[[#This Row],[Etapa Retiro - Inicio de Ruta]]),"")</f>
        <v/>
      </c>
      <c r="Y737" s="11" t="str">
        <f>IFERROR(IF(MARÍTIMOS[[#This Row],[Hora de Posicionamiento]]="","",MARÍTIMOS[[#This Row],[Fecha de Carga]]+MARÍTIMOS[[#This Row],[Hora de Posicionamiento]]),"")</f>
        <v/>
      </c>
      <c r="Z737" s="11" t="str">
        <f>IFERROR(IF(MARÍTIMOS[[#This Row],[Etapa Despacho - Llegada]]="","",MARÍTIMOS[[#This Row],[Etapa Despacho - Llegada]]),"")</f>
        <v/>
      </c>
      <c r="AA737" s="11" t="str">
        <f>IFERROR(IF(MARÍTIMOS[[#This Row],[Etapa Despacho - Registro]]="","",MARÍTIMOS[[#This Row],[Etapa Despacho - Registro]]),"")</f>
        <v/>
      </c>
      <c r="AB737" s="11" t="str">
        <f>IFERROR(IF(MARÍTIMOS[[#This Row],[Inspección Externa]]="","",MARÍTIMOS[[#This Row],[Inspección Externa]]),"")</f>
        <v/>
      </c>
      <c r="AC737" s="11" t="str">
        <f>IFERROR(IF(MARÍTIMOS[[#This Row],[Etapa Despacho - Inicio de Carga]]="","",MARÍTIMOS[[#This Row],[Etapa Despacho - Inicio de Carga]]),"")</f>
        <v/>
      </c>
      <c r="AD737" s="11" t="str">
        <f>IFERROR(IF(MARÍTIMOS[[#This Row],[Etapa Despacho - Mitad de Carga]]="","",MARÍTIMOS[[#This Row],[Etapa Despacho - Mitad de Carga]]),"")</f>
        <v/>
      </c>
      <c r="AE737" s="11" t="str">
        <f>IFERROR(IF(MARÍTIMOS[[#This Row],[Etapa Despacho - Fin de Carga]]="","",MARÍTIMOS[[#This Row],[Etapa Despacho - Fin de Carga]]),"")</f>
        <v/>
      </c>
      <c r="AF737" s="2" t="str">
        <f>IFERROR(IF(MARÍTIMOS[[#This Row],[Puerto de Embarque]]="","",MARÍTIMOS[[#This Row],[Puerto de Embarque]]),"")</f>
        <v/>
      </c>
      <c r="AG737" s="2" t="str">
        <f>IFERROR(IF(MARÍTIMOS[[#This Row],[Almacén de Ingreso]]="","",MARÍTIMOS[[#This Row],[Almacén de Ingreso]]),"")</f>
        <v/>
      </c>
      <c r="AH737" s="11" t="str">
        <f>IFERROR(IF(MARÍTIMOS[[#This Row],[Etapa Ingreso - Cita]]="","",MARÍTIMOS[[#This Row],[Etapa Ingreso - Cita]]),"")</f>
        <v/>
      </c>
      <c r="AI737" s="11" t="str">
        <f>IFERROR(IF(MARÍTIMOS[[#This Row],[Etapa Ingreso - Llegada]]="","",MARÍTIMOS[[#This Row],[Etapa Ingreso - Llegada]]),"")</f>
        <v/>
      </c>
      <c r="AJ737" s="11" t="str">
        <f>IFERROR(IF(MARÍTIMOS[[#This Row],[Etapa Ingreso - Ingeso]]="","",MARÍTIMOS[[#This Row],[Etapa Ingreso - Ingeso]]),"")</f>
        <v/>
      </c>
      <c r="AK737" s="11" t="str">
        <f>IFERROR(IF(MARÍTIMOS[[#This Row],[Etapa Ingreso - Atención]]="","",MARÍTIMOS[[#This Row],[Etapa Ingreso - Atención]]),"")</f>
        <v/>
      </c>
      <c r="AL737" s="11" t="str">
        <f>IFERROR(IF(MARÍTIMOS[[#This Row],[Etapa Ingreso - Salida]]="","",MARÍTIMOS[[#This Row],[Etapa Ingreso - Salida]]),"")</f>
        <v/>
      </c>
      <c r="AM737" s="2" t="str">
        <f>IFERROR(IF(MARÍTIMOS[[#This Row],[FCL]]="","",MARÍTIMOS[[#This Row],[FCL]]),"")</f>
        <v/>
      </c>
      <c r="AN7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7" s="4" t="str" cm="1">
        <f t="array" ref="AO7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7" s="5" t="str">
        <f>IFERROR(OLDBD[[#This Row],[Llegada a packing]]-OLDBD[[#This Row],[Inicio de Ruta]],"")</f>
        <v/>
      </c>
      <c r="AQ737" s="6" t="str">
        <f>IFERROR(OLDBD[[#This Row],[Inicio de Ruta]]-OLDBD[[#This Row],[Salida de almacén de retiro]],"")</f>
        <v/>
      </c>
      <c r="AR7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7" s="8" t="str" cm="1">
        <f t="array" ref="AS7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7" s="9" t="str">
        <f>IFERROR(OLDBD[[#This Row],[Ingreso Packing]]-OLDBD[[#This Row],[Registro en Packing]],"")</f>
        <v/>
      </c>
      <c r="AV737" s="9" t="str">
        <f>IFERROR(OLDBD[[#This Row],[Ingreso Packing]]-OLDBD[[#This Row],[Llegada a packing]],"")</f>
        <v/>
      </c>
      <c r="AW7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7" s="5" t="str">
        <f>IFERROR(OLDBD[[#This Row],[Llegada Almacén de Ingreso]]-OLDBD[[#This Row],[Salida Packing]],"")</f>
        <v/>
      </c>
      <c r="AY737" s="4" t="str" cm="1">
        <f t="array" ref="AY7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7" s="43" t="s">
        <v>173</v>
      </c>
      <c r="BB737" s="47" t="str">
        <f>IFERROR(IF(MARÍTIMOS[[#This Row],[Estatus]]="","",MARÍTIMOS[[#This Row],[Estatus]]),"")</f>
        <v/>
      </c>
      <c r="BC737" s="43"/>
      <c r="BD737" s="46" t="str">
        <f>IFERROR(OLDBD[[#This Row],[Salida de almacén de retiro]]-OLDBD[[#This Row],[Ingreso Almacén de retiro]],"")</f>
        <v/>
      </c>
      <c r="BE737" s="46" t="str">
        <f>IFERROR(OLDBD[[#This Row],[Fin de Carga]]-OLDBD[[#This Row],[Inicio de Carga]],"")</f>
        <v/>
      </c>
    </row>
    <row r="738" spans="1:57" customFormat="1" hidden="1">
      <c r="A738" s="1"/>
      <c r="B738" s="1" t="str">
        <f>IFERROR(IF(MARÍTIMOS[[#This Row],[PP]]="","",MARÍTIMOS[[#This Row],[PP]]),"")</f>
        <v/>
      </c>
      <c r="C738" s="1" t="str">
        <f>IFERROR(IF(MARÍTIMOS[[#This Row],[Sede]]="","",MARÍTIMOS[[#This Row],[Sede]]),"")</f>
        <v/>
      </c>
      <c r="D738" s="1" t="str">
        <f>IFERROR(IF(MARÍTIMOS[[#This Row],[Instruction]]="","",MARÍTIMOS[[#This Row],[Instruction]]),"")</f>
        <v/>
      </c>
      <c r="E738" s="1"/>
      <c r="F738" s="2" t="str">
        <f>IFERROR(IF(MARÍTIMOS[[#This Row],[Transportista]]="","",MARÍTIMOS[[#This Row],[Transportista]]),"")</f>
        <v/>
      </c>
      <c r="G738" s="2" t="str">
        <f>IFERROR(IF(MARÍTIMOS[[#This Row],[Tercero]]="","",MARÍTIMOS[[#This Row],[Tercero]]),"")</f>
        <v/>
      </c>
      <c r="H738" s="2" t="str">
        <f>IFERROR(IF(MARÍTIMOS[[#This Row],[Razón Social]]="","",MARÍTIMOS[[#This Row],[Razón Social]]),"")</f>
        <v/>
      </c>
      <c r="I738" s="2" t="str">
        <f>IFERROR(IF(MARÍTIMOS[[#This Row],[RUC]]="","",MARÍTIMOS[[#This Row],[RUC]]),"")</f>
        <v/>
      </c>
      <c r="J738" s="2" t="str">
        <f>IFERROR(IF(MARÍTIMOS[[#This Row],[Placa Tracto]]="","",MARÍTIMOS[[#This Row],[Placa Tracto]]),"")</f>
        <v/>
      </c>
      <c r="K738" s="2" t="str">
        <f>IFERROR(IF(MARÍTIMOS[[#This Row],[Placa Carreta]]="","",MARÍTIMOS[[#This Row],[Placa Carreta]]),"")</f>
        <v/>
      </c>
      <c r="L738" s="44" t="str">
        <f>IFERROR(IF(MARÍTIMOS[[#This Row],[Conductor]]="","",MARÍTIMOS[[#This Row],[Conductor]]),"")</f>
        <v/>
      </c>
      <c r="M738" s="2" t="str">
        <f>IFERROR(IF(MARÍTIMOS[[#This Row],[Licencia]]="","",MARÍTIMOS[[#This Row],[Licencia]]),"")</f>
        <v/>
      </c>
      <c r="N738" s="2" t="str">
        <f>IFERROR(IF(MARÍTIMOS[[#This Row],[Número de Contacto]]="","",MARÍTIMOS[[#This Row],[Número de Contacto]]),"")</f>
        <v/>
      </c>
      <c r="O738" s="10" t="str">
        <f>IFERROR(IF(MARÍTIMOS[[#This Row],[Booking|AWB|CRT]]="","",MARÍTIMOS[[#This Row],[Booking|AWB|CRT]]),"")</f>
        <v/>
      </c>
      <c r="P738" s="2" t="str">
        <f>IFERROR(IF(MARÍTIMOS[[#This Row],[Contenedor]]="","",MARÍTIMOS[[#This Row],[Contenedor]]),"")</f>
        <v/>
      </c>
      <c r="Q738" s="2" t="str">
        <f>IFERROR(IF(MARÍTIMOS[[#This Row],[Puerto de Retiro]]="","",MARÍTIMOS[[#This Row],[Puerto de Retiro]]),"")</f>
        <v/>
      </c>
      <c r="R738" s="2" t="str">
        <f>IFERROR(IF(MARÍTIMOS[[#This Row],[Almacén de Retiro]]="","",MARÍTIMOS[[#This Row],[Almacén de Retiro]]),"")</f>
        <v/>
      </c>
      <c r="S738" s="11" t="str">
        <f>IFERROR(IF(MARÍTIMOS[[#This Row],[Etapa Retiro - Cita]]="","",MARÍTIMOS[[#This Row],[Etapa Retiro - Cita]]),"")</f>
        <v/>
      </c>
      <c r="T738" s="11" t="str">
        <f>IFERROR(IF(MARÍTIMOS[[#This Row],[Etapa Retiro - Llegada]]="","",MARÍTIMOS[[#This Row],[Etapa Retiro - Llegada]]),"")</f>
        <v/>
      </c>
      <c r="U738" s="11" t="str">
        <f>IFERROR(IF(MARÍTIMOS[[#This Row],[Etapa Retiro - Ingreso]]="","",MARÍTIMOS[[#This Row],[Etapa Retiro - Ingreso]]),"")</f>
        <v/>
      </c>
      <c r="V738" s="11" t="str">
        <f>IFERROR(IF(MARÍTIMOS[[#This Row],[Etapa Retiro - Atención]]="","",MARÍTIMOS[[#This Row],[Etapa Retiro - Atención]]),"")</f>
        <v/>
      </c>
      <c r="W738" s="11" t="str">
        <f>IFERROR(IF(MARÍTIMOS[[#This Row],[Etapa Retiro - Atención]]="","",MARÍTIMOS[[#This Row],[Etapa Retiro - Atención]]),"")</f>
        <v/>
      </c>
      <c r="X738" s="11" t="str">
        <f>IFERROR(IF(MARÍTIMOS[[#This Row],[Etapa Retiro - Inicio de Ruta]]="","",MARÍTIMOS[[#This Row],[Etapa Retiro - Inicio de Ruta]]),"")</f>
        <v/>
      </c>
      <c r="Y738" s="11" t="str">
        <f>IFERROR(IF(MARÍTIMOS[[#This Row],[Hora de Posicionamiento]]="","",MARÍTIMOS[[#This Row],[Fecha de Carga]]+MARÍTIMOS[[#This Row],[Hora de Posicionamiento]]),"")</f>
        <v/>
      </c>
      <c r="Z738" s="11" t="str">
        <f>IFERROR(IF(MARÍTIMOS[[#This Row],[Etapa Despacho - Llegada]]="","",MARÍTIMOS[[#This Row],[Etapa Despacho - Llegada]]),"")</f>
        <v/>
      </c>
      <c r="AA738" s="11" t="str">
        <f>IFERROR(IF(MARÍTIMOS[[#This Row],[Etapa Despacho - Registro]]="","",MARÍTIMOS[[#This Row],[Etapa Despacho - Registro]]),"")</f>
        <v/>
      </c>
      <c r="AB738" s="11" t="str">
        <f>IFERROR(IF(MARÍTIMOS[[#This Row],[Inspección Externa]]="","",MARÍTIMOS[[#This Row],[Inspección Externa]]),"")</f>
        <v/>
      </c>
      <c r="AC738" s="11" t="str">
        <f>IFERROR(IF(MARÍTIMOS[[#This Row],[Etapa Despacho - Inicio de Carga]]="","",MARÍTIMOS[[#This Row],[Etapa Despacho - Inicio de Carga]]),"")</f>
        <v/>
      </c>
      <c r="AD738" s="11" t="str">
        <f>IFERROR(IF(MARÍTIMOS[[#This Row],[Etapa Despacho - Mitad de Carga]]="","",MARÍTIMOS[[#This Row],[Etapa Despacho - Mitad de Carga]]),"")</f>
        <v/>
      </c>
      <c r="AE738" s="11" t="str">
        <f>IFERROR(IF(MARÍTIMOS[[#This Row],[Etapa Despacho - Fin de Carga]]="","",MARÍTIMOS[[#This Row],[Etapa Despacho - Fin de Carga]]),"")</f>
        <v/>
      </c>
      <c r="AF738" s="2" t="str">
        <f>IFERROR(IF(MARÍTIMOS[[#This Row],[Puerto de Embarque]]="","",MARÍTIMOS[[#This Row],[Puerto de Embarque]]),"")</f>
        <v/>
      </c>
      <c r="AG738" s="2" t="str">
        <f>IFERROR(IF(MARÍTIMOS[[#This Row],[Almacén de Ingreso]]="","",MARÍTIMOS[[#This Row],[Almacén de Ingreso]]),"")</f>
        <v/>
      </c>
      <c r="AH738" s="11" t="str">
        <f>IFERROR(IF(MARÍTIMOS[[#This Row],[Etapa Ingreso - Cita]]="","",MARÍTIMOS[[#This Row],[Etapa Ingreso - Cita]]),"")</f>
        <v/>
      </c>
      <c r="AI738" s="11" t="str">
        <f>IFERROR(IF(MARÍTIMOS[[#This Row],[Etapa Ingreso - Llegada]]="","",MARÍTIMOS[[#This Row],[Etapa Ingreso - Llegada]]),"")</f>
        <v/>
      </c>
      <c r="AJ738" s="11" t="str">
        <f>IFERROR(IF(MARÍTIMOS[[#This Row],[Etapa Ingreso - Ingeso]]="","",MARÍTIMOS[[#This Row],[Etapa Ingreso - Ingeso]]),"")</f>
        <v/>
      </c>
      <c r="AK738" s="11" t="str">
        <f>IFERROR(IF(MARÍTIMOS[[#This Row],[Etapa Ingreso - Atención]]="","",MARÍTIMOS[[#This Row],[Etapa Ingreso - Atención]]),"")</f>
        <v/>
      </c>
      <c r="AL738" s="11" t="str">
        <f>IFERROR(IF(MARÍTIMOS[[#This Row],[Etapa Ingreso - Salida]]="","",MARÍTIMOS[[#This Row],[Etapa Ingreso - Salida]]),"")</f>
        <v/>
      </c>
      <c r="AM738" s="2" t="str">
        <f>IFERROR(IF(MARÍTIMOS[[#This Row],[FCL]]="","",MARÍTIMOS[[#This Row],[FCL]]),"")</f>
        <v/>
      </c>
      <c r="AN7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8" s="4" t="str" cm="1">
        <f t="array" ref="AO7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8" s="5" t="str">
        <f>IFERROR(OLDBD[[#This Row],[Llegada a packing]]-OLDBD[[#This Row],[Inicio de Ruta]],"")</f>
        <v/>
      </c>
      <c r="AQ738" s="6" t="str">
        <f>IFERROR(OLDBD[[#This Row],[Inicio de Ruta]]-OLDBD[[#This Row],[Salida de almacén de retiro]],"")</f>
        <v/>
      </c>
      <c r="AR7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8" s="8" t="str" cm="1">
        <f t="array" ref="AS7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8" s="9" t="str">
        <f>IFERROR(OLDBD[[#This Row],[Ingreso Packing]]-OLDBD[[#This Row],[Registro en Packing]],"")</f>
        <v/>
      </c>
      <c r="AV738" s="9" t="str">
        <f>IFERROR(OLDBD[[#This Row],[Ingreso Packing]]-OLDBD[[#This Row],[Llegada a packing]],"")</f>
        <v/>
      </c>
      <c r="AW7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8" s="5" t="str">
        <f>IFERROR(OLDBD[[#This Row],[Llegada Almacén de Ingreso]]-OLDBD[[#This Row],[Salida Packing]],"")</f>
        <v/>
      </c>
      <c r="AY738" s="4" t="str" cm="1">
        <f t="array" ref="AY7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8" s="43" t="s">
        <v>173</v>
      </c>
      <c r="BB738" s="47" t="str">
        <f>IFERROR(IF(MARÍTIMOS[[#This Row],[Estatus]]="","",MARÍTIMOS[[#This Row],[Estatus]]),"")</f>
        <v/>
      </c>
      <c r="BC738" s="43"/>
      <c r="BD738" s="46" t="str">
        <f>IFERROR(OLDBD[[#This Row],[Salida de almacén de retiro]]-OLDBD[[#This Row],[Ingreso Almacén de retiro]],"")</f>
        <v/>
      </c>
      <c r="BE738" s="46" t="str">
        <f>IFERROR(OLDBD[[#This Row],[Fin de Carga]]-OLDBD[[#This Row],[Inicio de Carga]],"")</f>
        <v/>
      </c>
    </row>
    <row r="739" spans="1:57" customFormat="1" hidden="1">
      <c r="A739" s="1"/>
      <c r="B739" s="1" t="str">
        <f>IFERROR(IF(MARÍTIMOS[[#This Row],[PP]]="","",MARÍTIMOS[[#This Row],[PP]]),"")</f>
        <v/>
      </c>
      <c r="C739" s="1" t="str">
        <f>IFERROR(IF(MARÍTIMOS[[#This Row],[Sede]]="","",MARÍTIMOS[[#This Row],[Sede]]),"")</f>
        <v/>
      </c>
      <c r="D739" s="1" t="str">
        <f>IFERROR(IF(MARÍTIMOS[[#This Row],[Instruction]]="","",MARÍTIMOS[[#This Row],[Instruction]]),"")</f>
        <v/>
      </c>
      <c r="E739" s="1"/>
      <c r="F739" s="2" t="str">
        <f>IFERROR(IF(MARÍTIMOS[[#This Row],[Transportista]]="","",MARÍTIMOS[[#This Row],[Transportista]]),"")</f>
        <v/>
      </c>
      <c r="G739" s="2" t="str">
        <f>IFERROR(IF(MARÍTIMOS[[#This Row],[Tercero]]="","",MARÍTIMOS[[#This Row],[Tercero]]),"")</f>
        <v/>
      </c>
      <c r="H739" s="2" t="str">
        <f>IFERROR(IF(MARÍTIMOS[[#This Row],[Razón Social]]="","",MARÍTIMOS[[#This Row],[Razón Social]]),"")</f>
        <v/>
      </c>
      <c r="I739" s="2" t="str">
        <f>IFERROR(IF(MARÍTIMOS[[#This Row],[RUC]]="","",MARÍTIMOS[[#This Row],[RUC]]),"")</f>
        <v/>
      </c>
      <c r="J739" s="2" t="str">
        <f>IFERROR(IF(MARÍTIMOS[[#This Row],[Placa Tracto]]="","",MARÍTIMOS[[#This Row],[Placa Tracto]]),"")</f>
        <v/>
      </c>
      <c r="K739" s="2" t="str">
        <f>IFERROR(IF(MARÍTIMOS[[#This Row],[Placa Carreta]]="","",MARÍTIMOS[[#This Row],[Placa Carreta]]),"")</f>
        <v/>
      </c>
      <c r="L739" s="44" t="str">
        <f>IFERROR(IF(MARÍTIMOS[[#This Row],[Conductor]]="","",MARÍTIMOS[[#This Row],[Conductor]]),"")</f>
        <v/>
      </c>
      <c r="M739" s="2" t="str">
        <f>IFERROR(IF(MARÍTIMOS[[#This Row],[Licencia]]="","",MARÍTIMOS[[#This Row],[Licencia]]),"")</f>
        <v/>
      </c>
      <c r="N739" s="2" t="str">
        <f>IFERROR(IF(MARÍTIMOS[[#This Row],[Número de Contacto]]="","",MARÍTIMOS[[#This Row],[Número de Contacto]]),"")</f>
        <v/>
      </c>
      <c r="O739" s="10" t="str">
        <f>IFERROR(IF(MARÍTIMOS[[#This Row],[Booking|AWB|CRT]]="","",MARÍTIMOS[[#This Row],[Booking|AWB|CRT]]),"")</f>
        <v/>
      </c>
      <c r="P739" s="2" t="str">
        <f>IFERROR(IF(MARÍTIMOS[[#This Row],[Contenedor]]="","",MARÍTIMOS[[#This Row],[Contenedor]]),"")</f>
        <v/>
      </c>
      <c r="Q739" s="2" t="str">
        <f>IFERROR(IF(MARÍTIMOS[[#This Row],[Puerto de Retiro]]="","",MARÍTIMOS[[#This Row],[Puerto de Retiro]]),"")</f>
        <v/>
      </c>
      <c r="R739" s="2" t="str">
        <f>IFERROR(IF(MARÍTIMOS[[#This Row],[Almacén de Retiro]]="","",MARÍTIMOS[[#This Row],[Almacén de Retiro]]),"")</f>
        <v/>
      </c>
      <c r="S739" s="11" t="str">
        <f>IFERROR(IF(MARÍTIMOS[[#This Row],[Etapa Retiro - Cita]]="","",MARÍTIMOS[[#This Row],[Etapa Retiro - Cita]]),"")</f>
        <v/>
      </c>
      <c r="T739" s="11" t="str">
        <f>IFERROR(IF(MARÍTIMOS[[#This Row],[Etapa Retiro - Llegada]]="","",MARÍTIMOS[[#This Row],[Etapa Retiro - Llegada]]),"")</f>
        <v/>
      </c>
      <c r="U739" s="11" t="str">
        <f>IFERROR(IF(MARÍTIMOS[[#This Row],[Etapa Retiro - Ingreso]]="","",MARÍTIMOS[[#This Row],[Etapa Retiro - Ingreso]]),"")</f>
        <v/>
      </c>
      <c r="V739" s="11" t="str">
        <f>IFERROR(IF(MARÍTIMOS[[#This Row],[Etapa Retiro - Atención]]="","",MARÍTIMOS[[#This Row],[Etapa Retiro - Atención]]),"")</f>
        <v/>
      </c>
      <c r="W739" s="11" t="str">
        <f>IFERROR(IF(MARÍTIMOS[[#This Row],[Etapa Retiro - Atención]]="","",MARÍTIMOS[[#This Row],[Etapa Retiro - Atención]]),"")</f>
        <v/>
      </c>
      <c r="X739" s="11" t="str">
        <f>IFERROR(IF(MARÍTIMOS[[#This Row],[Etapa Retiro - Inicio de Ruta]]="","",MARÍTIMOS[[#This Row],[Etapa Retiro - Inicio de Ruta]]),"")</f>
        <v/>
      </c>
      <c r="Y739" s="11" t="str">
        <f>IFERROR(IF(MARÍTIMOS[[#This Row],[Hora de Posicionamiento]]="","",MARÍTIMOS[[#This Row],[Fecha de Carga]]+MARÍTIMOS[[#This Row],[Hora de Posicionamiento]]),"")</f>
        <v/>
      </c>
      <c r="Z739" s="11" t="str">
        <f>IFERROR(IF(MARÍTIMOS[[#This Row],[Etapa Despacho - Llegada]]="","",MARÍTIMOS[[#This Row],[Etapa Despacho - Llegada]]),"")</f>
        <v/>
      </c>
      <c r="AA739" s="11" t="str">
        <f>IFERROR(IF(MARÍTIMOS[[#This Row],[Etapa Despacho - Registro]]="","",MARÍTIMOS[[#This Row],[Etapa Despacho - Registro]]),"")</f>
        <v/>
      </c>
      <c r="AB739" s="11" t="str">
        <f>IFERROR(IF(MARÍTIMOS[[#This Row],[Inspección Externa]]="","",MARÍTIMOS[[#This Row],[Inspección Externa]]),"")</f>
        <v/>
      </c>
      <c r="AC739" s="11" t="str">
        <f>IFERROR(IF(MARÍTIMOS[[#This Row],[Etapa Despacho - Inicio de Carga]]="","",MARÍTIMOS[[#This Row],[Etapa Despacho - Inicio de Carga]]),"")</f>
        <v/>
      </c>
      <c r="AD739" s="11" t="str">
        <f>IFERROR(IF(MARÍTIMOS[[#This Row],[Etapa Despacho - Mitad de Carga]]="","",MARÍTIMOS[[#This Row],[Etapa Despacho - Mitad de Carga]]),"")</f>
        <v/>
      </c>
      <c r="AE739" s="11" t="str">
        <f>IFERROR(IF(MARÍTIMOS[[#This Row],[Etapa Despacho - Fin de Carga]]="","",MARÍTIMOS[[#This Row],[Etapa Despacho - Fin de Carga]]),"")</f>
        <v/>
      </c>
      <c r="AF739" s="2" t="str">
        <f>IFERROR(IF(MARÍTIMOS[[#This Row],[Puerto de Embarque]]="","",MARÍTIMOS[[#This Row],[Puerto de Embarque]]),"")</f>
        <v/>
      </c>
      <c r="AG739" s="2" t="str">
        <f>IFERROR(IF(MARÍTIMOS[[#This Row],[Almacén de Ingreso]]="","",MARÍTIMOS[[#This Row],[Almacén de Ingreso]]),"")</f>
        <v/>
      </c>
      <c r="AH739" s="11" t="str">
        <f>IFERROR(IF(MARÍTIMOS[[#This Row],[Etapa Ingreso - Cita]]="","",MARÍTIMOS[[#This Row],[Etapa Ingreso - Cita]]),"")</f>
        <v/>
      </c>
      <c r="AI739" s="11" t="str">
        <f>IFERROR(IF(MARÍTIMOS[[#This Row],[Etapa Ingreso - Llegada]]="","",MARÍTIMOS[[#This Row],[Etapa Ingreso - Llegada]]),"")</f>
        <v/>
      </c>
      <c r="AJ739" s="11" t="str">
        <f>IFERROR(IF(MARÍTIMOS[[#This Row],[Etapa Ingreso - Ingeso]]="","",MARÍTIMOS[[#This Row],[Etapa Ingreso - Ingeso]]),"")</f>
        <v/>
      </c>
      <c r="AK739" s="11" t="str">
        <f>IFERROR(IF(MARÍTIMOS[[#This Row],[Etapa Ingreso - Atención]]="","",MARÍTIMOS[[#This Row],[Etapa Ingreso - Atención]]),"")</f>
        <v/>
      </c>
      <c r="AL739" s="11" t="str">
        <f>IFERROR(IF(MARÍTIMOS[[#This Row],[Etapa Ingreso - Salida]]="","",MARÍTIMOS[[#This Row],[Etapa Ingreso - Salida]]),"")</f>
        <v/>
      </c>
      <c r="AM739" s="2" t="str">
        <f>IFERROR(IF(MARÍTIMOS[[#This Row],[FCL]]="","",MARÍTIMOS[[#This Row],[FCL]]),"")</f>
        <v/>
      </c>
      <c r="AN7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39" s="4" t="str" cm="1">
        <f t="array" ref="AO7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39" s="5" t="str">
        <f>IFERROR(OLDBD[[#This Row],[Llegada a packing]]-OLDBD[[#This Row],[Inicio de Ruta]],"")</f>
        <v/>
      </c>
      <c r="AQ739" s="6" t="str">
        <f>IFERROR(OLDBD[[#This Row],[Inicio de Ruta]]-OLDBD[[#This Row],[Salida de almacén de retiro]],"")</f>
        <v/>
      </c>
      <c r="AR7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39" s="8" t="str" cm="1">
        <f t="array" ref="AS7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39" s="9" t="str">
        <f>IFERROR(OLDBD[[#This Row],[Ingreso Packing]]-OLDBD[[#This Row],[Registro en Packing]],"")</f>
        <v/>
      </c>
      <c r="AV739" s="9" t="str">
        <f>IFERROR(OLDBD[[#This Row],[Ingreso Packing]]-OLDBD[[#This Row],[Llegada a packing]],"")</f>
        <v/>
      </c>
      <c r="AW7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39" s="5" t="str">
        <f>IFERROR(OLDBD[[#This Row],[Llegada Almacén de Ingreso]]-OLDBD[[#This Row],[Salida Packing]],"")</f>
        <v/>
      </c>
      <c r="AY739" s="4" t="str" cm="1">
        <f t="array" ref="AY7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39" s="43" t="s">
        <v>173</v>
      </c>
      <c r="BB739" s="47" t="str">
        <f>IFERROR(IF(MARÍTIMOS[[#This Row],[Estatus]]="","",MARÍTIMOS[[#This Row],[Estatus]]),"")</f>
        <v/>
      </c>
      <c r="BC739" s="43"/>
      <c r="BD739" s="46" t="str">
        <f>IFERROR(OLDBD[[#This Row],[Salida de almacén de retiro]]-OLDBD[[#This Row],[Ingreso Almacén de retiro]],"")</f>
        <v/>
      </c>
      <c r="BE739" s="46" t="str">
        <f>IFERROR(OLDBD[[#This Row],[Fin de Carga]]-OLDBD[[#This Row],[Inicio de Carga]],"")</f>
        <v/>
      </c>
    </row>
    <row r="740" spans="1:57" customFormat="1" hidden="1">
      <c r="A740" s="1"/>
      <c r="B740" s="1" t="str">
        <f>IFERROR(IF(MARÍTIMOS[[#This Row],[PP]]="","",MARÍTIMOS[[#This Row],[PP]]),"")</f>
        <v/>
      </c>
      <c r="C740" s="1" t="str">
        <f>IFERROR(IF(MARÍTIMOS[[#This Row],[Sede]]="","",MARÍTIMOS[[#This Row],[Sede]]),"")</f>
        <v/>
      </c>
      <c r="D740" s="1" t="str">
        <f>IFERROR(IF(MARÍTIMOS[[#This Row],[Instruction]]="","",MARÍTIMOS[[#This Row],[Instruction]]),"")</f>
        <v/>
      </c>
      <c r="E740" s="1"/>
      <c r="F740" s="2" t="str">
        <f>IFERROR(IF(MARÍTIMOS[[#This Row],[Transportista]]="","",MARÍTIMOS[[#This Row],[Transportista]]),"")</f>
        <v/>
      </c>
      <c r="G740" s="2" t="str">
        <f>IFERROR(IF(MARÍTIMOS[[#This Row],[Tercero]]="","",MARÍTIMOS[[#This Row],[Tercero]]),"")</f>
        <v/>
      </c>
      <c r="H740" s="2" t="str">
        <f>IFERROR(IF(MARÍTIMOS[[#This Row],[Razón Social]]="","",MARÍTIMOS[[#This Row],[Razón Social]]),"")</f>
        <v/>
      </c>
      <c r="I740" s="2" t="str">
        <f>IFERROR(IF(MARÍTIMOS[[#This Row],[RUC]]="","",MARÍTIMOS[[#This Row],[RUC]]),"")</f>
        <v/>
      </c>
      <c r="J740" s="2" t="str">
        <f>IFERROR(IF(MARÍTIMOS[[#This Row],[Placa Tracto]]="","",MARÍTIMOS[[#This Row],[Placa Tracto]]),"")</f>
        <v/>
      </c>
      <c r="K740" s="2" t="str">
        <f>IFERROR(IF(MARÍTIMOS[[#This Row],[Placa Carreta]]="","",MARÍTIMOS[[#This Row],[Placa Carreta]]),"")</f>
        <v/>
      </c>
      <c r="L740" s="44" t="str">
        <f>IFERROR(IF(MARÍTIMOS[[#This Row],[Conductor]]="","",MARÍTIMOS[[#This Row],[Conductor]]),"")</f>
        <v/>
      </c>
      <c r="M740" s="2" t="str">
        <f>IFERROR(IF(MARÍTIMOS[[#This Row],[Licencia]]="","",MARÍTIMOS[[#This Row],[Licencia]]),"")</f>
        <v/>
      </c>
      <c r="N740" s="2" t="str">
        <f>IFERROR(IF(MARÍTIMOS[[#This Row],[Número de Contacto]]="","",MARÍTIMOS[[#This Row],[Número de Contacto]]),"")</f>
        <v/>
      </c>
      <c r="O740" s="10" t="str">
        <f>IFERROR(IF(MARÍTIMOS[[#This Row],[Booking|AWB|CRT]]="","",MARÍTIMOS[[#This Row],[Booking|AWB|CRT]]),"")</f>
        <v/>
      </c>
      <c r="P740" s="2" t="str">
        <f>IFERROR(IF(MARÍTIMOS[[#This Row],[Contenedor]]="","",MARÍTIMOS[[#This Row],[Contenedor]]),"")</f>
        <v/>
      </c>
      <c r="Q740" s="2" t="str">
        <f>IFERROR(IF(MARÍTIMOS[[#This Row],[Puerto de Retiro]]="","",MARÍTIMOS[[#This Row],[Puerto de Retiro]]),"")</f>
        <v/>
      </c>
      <c r="R740" s="2" t="str">
        <f>IFERROR(IF(MARÍTIMOS[[#This Row],[Almacén de Retiro]]="","",MARÍTIMOS[[#This Row],[Almacén de Retiro]]),"")</f>
        <v/>
      </c>
      <c r="S740" s="11" t="str">
        <f>IFERROR(IF(MARÍTIMOS[[#This Row],[Etapa Retiro - Cita]]="","",MARÍTIMOS[[#This Row],[Etapa Retiro - Cita]]),"")</f>
        <v/>
      </c>
      <c r="T740" s="11" t="str">
        <f>IFERROR(IF(MARÍTIMOS[[#This Row],[Etapa Retiro - Llegada]]="","",MARÍTIMOS[[#This Row],[Etapa Retiro - Llegada]]),"")</f>
        <v/>
      </c>
      <c r="U740" s="11" t="str">
        <f>IFERROR(IF(MARÍTIMOS[[#This Row],[Etapa Retiro - Ingreso]]="","",MARÍTIMOS[[#This Row],[Etapa Retiro - Ingreso]]),"")</f>
        <v/>
      </c>
      <c r="V740" s="11" t="str">
        <f>IFERROR(IF(MARÍTIMOS[[#This Row],[Etapa Retiro - Atención]]="","",MARÍTIMOS[[#This Row],[Etapa Retiro - Atención]]),"")</f>
        <v/>
      </c>
      <c r="W740" s="11" t="str">
        <f>IFERROR(IF(MARÍTIMOS[[#This Row],[Etapa Retiro - Atención]]="","",MARÍTIMOS[[#This Row],[Etapa Retiro - Atención]]),"")</f>
        <v/>
      </c>
      <c r="X740" s="11" t="str">
        <f>IFERROR(IF(MARÍTIMOS[[#This Row],[Etapa Retiro - Inicio de Ruta]]="","",MARÍTIMOS[[#This Row],[Etapa Retiro - Inicio de Ruta]]),"")</f>
        <v/>
      </c>
      <c r="Y740" s="11" t="str">
        <f>IFERROR(IF(MARÍTIMOS[[#This Row],[Hora de Posicionamiento]]="","",MARÍTIMOS[[#This Row],[Fecha de Carga]]+MARÍTIMOS[[#This Row],[Hora de Posicionamiento]]),"")</f>
        <v/>
      </c>
      <c r="Z740" s="11" t="str">
        <f>IFERROR(IF(MARÍTIMOS[[#This Row],[Etapa Despacho - Llegada]]="","",MARÍTIMOS[[#This Row],[Etapa Despacho - Llegada]]),"")</f>
        <v/>
      </c>
      <c r="AA740" s="11" t="str">
        <f>IFERROR(IF(MARÍTIMOS[[#This Row],[Etapa Despacho - Registro]]="","",MARÍTIMOS[[#This Row],[Etapa Despacho - Registro]]),"")</f>
        <v/>
      </c>
      <c r="AB740" s="11" t="str">
        <f>IFERROR(IF(MARÍTIMOS[[#This Row],[Inspección Externa]]="","",MARÍTIMOS[[#This Row],[Inspección Externa]]),"")</f>
        <v/>
      </c>
      <c r="AC740" s="11" t="str">
        <f>IFERROR(IF(MARÍTIMOS[[#This Row],[Etapa Despacho - Inicio de Carga]]="","",MARÍTIMOS[[#This Row],[Etapa Despacho - Inicio de Carga]]),"")</f>
        <v/>
      </c>
      <c r="AD740" s="11" t="str">
        <f>IFERROR(IF(MARÍTIMOS[[#This Row],[Etapa Despacho - Mitad de Carga]]="","",MARÍTIMOS[[#This Row],[Etapa Despacho - Mitad de Carga]]),"")</f>
        <v/>
      </c>
      <c r="AE740" s="11" t="str">
        <f>IFERROR(IF(MARÍTIMOS[[#This Row],[Etapa Despacho - Fin de Carga]]="","",MARÍTIMOS[[#This Row],[Etapa Despacho - Fin de Carga]]),"")</f>
        <v/>
      </c>
      <c r="AF740" s="2" t="str">
        <f>IFERROR(IF(MARÍTIMOS[[#This Row],[Puerto de Embarque]]="","",MARÍTIMOS[[#This Row],[Puerto de Embarque]]),"")</f>
        <v/>
      </c>
      <c r="AG740" s="2" t="str">
        <f>IFERROR(IF(MARÍTIMOS[[#This Row],[Almacén de Ingreso]]="","",MARÍTIMOS[[#This Row],[Almacén de Ingreso]]),"")</f>
        <v/>
      </c>
      <c r="AH740" s="11" t="str">
        <f>IFERROR(IF(MARÍTIMOS[[#This Row],[Etapa Ingreso - Cita]]="","",MARÍTIMOS[[#This Row],[Etapa Ingreso - Cita]]),"")</f>
        <v/>
      </c>
      <c r="AI740" s="11" t="str">
        <f>IFERROR(IF(MARÍTIMOS[[#This Row],[Etapa Ingreso - Llegada]]="","",MARÍTIMOS[[#This Row],[Etapa Ingreso - Llegada]]),"")</f>
        <v/>
      </c>
      <c r="AJ740" s="11" t="str">
        <f>IFERROR(IF(MARÍTIMOS[[#This Row],[Etapa Ingreso - Ingeso]]="","",MARÍTIMOS[[#This Row],[Etapa Ingreso - Ingeso]]),"")</f>
        <v/>
      </c>
      <c r="AK740" s="11" t="str">
        <f>IFERROR(IF(MARÍTIMOS[[#This Row],[Etapa Ingreso - Atención]]="","",MARÍTIMOS[[#This Row],[Etapa Ingreso - Atención]]),"")</f>
        <v/>
      </c>
      <c r="AL740" s="11" t="str">
        <f>IFERROR(IF(MARÍTIMOS[[#This Row],[Etapa Ingreso - Salida]]="","",MARÍTIMOS[[#This Row],[Etapa Ingreso - Salida]]),"")</f>
        <v/>
      </c>
      <c r="AM740" s="2" t="str">
        <f>IFERROR(IF(MARÍTIMOS[[#This Row],[FCL]]="","",MARÍTIMOS[[#This Row],[FCL]]),"")</f>
        <v/>
      </c>
      <c r="AN7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0" s="4" t="str" cm="1">
        <f t="array" ref="AO7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0" s="5" t="str">
        <f>IFERROR(OLDBD[[#This Row],[Llegada a packing]]-OLDBD[[#This Row],[Inicio de Ruta]],"")</f>
        <v/>
      </c>
      <c r="AQ740" s="6" t="str">
        <f>IFERROR(OLDBD[[#This Row],[Inicio de Ruta]]-OLDBD[[#This Row],[Salida de almacén de retiro]],"")</f>
        <v/>
      </c>
      <c r="AR7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0" s="8" t="str" cm="1">
        <f t="array" ref="AS7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0" s="9" t="str">
        <f>IFERROR(OLDBD[[#This Row],[Ingreso Packing]]-OLDBD[[#This Row],[Registro en Packing]],"")</f>
        <v/>
      </c>
      <c r="AV740" s="9" t="str">
        <f>IFERROR(OLDBD[[#This Row],[Ingreso Packing]]-OLDBD[[#This Row],[Llegada a packing]],"")</f>
        <v/>
      </c>
      <c r="AW7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0" s="5" t="str">
        <f>IFERROR(OLDBD[[#This Row],[Llegada Almacén de Ingreso]]-OLDBD[[#This Row],[Salida Packing]],"")</f>
        <v/>
      </c>
      <c r="AY740" s="4" t="str" cm="1">
        <f t="array" ref="AY7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0" s="43" t="s">
        <v>173</v>
      </c>
      <c r="BB740" s="47" t="str">
        <f>IFERROR(IF(MARÍTIMOS[[#This Row],[Estatus]]="","",MARÍTIMOS[[#This Row],[Estatus]]),"")</f>
        <v/>
      </c>
      <c r="BC740" s="43"/>
      <c r="BD740" s="46" t="str">
        <f>IFERROR(OLDBD[[#This Row],[Salida de almacén de retiro]]-OLDBD[[#This Row],[Ingreso Almacén de retiro]],"")</f>
        <v/>
      </c>
      <c r="BE740" s="46" t="str">
        <f>IFERROR(OLDBD[[#This Row],[Fin de Carga]]-OLDBD[[#This Row],[Inicio de Carga]],"")</f>
        <v/>
      </c>
    </row>
    <row r="741" spans="1:57" customFormat="1" hidden="1">
      <c r="A741" s="1"/>
      <c r="B741" s="1" t="str">
        <f>IFERROR(IF(MARÍTIMOS[[#This Row],[PP]]="","",MARÍTIMOS[[#This Row],[PP]]),"")</f>
        <v/>
      </c>
      <c r="C741" s="1" t="str">
        <f>IFERROR(IF(MARÍTIMOS[[#This Row],[Sede]]="","",MARÍTIMOS[[#This Row],[Sede]]),"")</f>
        <v/>
      </c>
      <c r="D741" s="1" t="str">
        <f>IFERROR(IF(MARÍTIMOS[[#This Row],[Instruction]]="","",MARÍTIMOS[[#This Row],[Instruction]]),"")</f>
        <v/>
      </c>
      <c r="E741" s="1"/>
      <c r="F741" s="2" t="str">
        <f>IFERROR(IF(MARÍTIMOS[[#This Row],[Transportista]]="","",MARÍTIMOS[[#This Row],[Transportista]]),"")</f>
        <v/>
      </c>
      <c r="G741" s="2" t="str">
        <f>IFERROR(IF(MARÍTIMOS[[#This Row],[Tercero]]="","",MARÍTIMOS[[#This Row],[Tercero]]),"")</f>
        <v/>
      </c>
      <c r="H741" s="2" t="str">
        <f>IFERROR(IF(MARÍTIMOS[[#This Row],[Razón Social]]="","",MARÍTIMOS[[#This Row],[Razón Social]]),"")</f>
        <v/>
      </c>
      <c r="I741" s="2" t="str">
        <f>IFERROR(IF(MARÍTIMOS[[#This Row],[RUC]]="","",MARÍTIMOS[[#This Row],[RUC]]),"")</f>
        <v/>
      </c>
      <c r="J741" s="2" t="str">
        <f>IFERROR(IF(MARÍTIMOS[[#This Row],[Placa Tracto]]="","",MARÍTIMOS[[#This Row],[Placa Tracto]]),"")</f>
        <v/>
      </c>
      <c r="K741" s="2" t="str">
        <f>IFERROR(IF(MARÍTIMOS[[#This Row],[Placa Carreta]]="","",MARÍTIMOS[[#This Row],[Placa Carreta]]),"")</f>
        <v/>
      </c>
      <c r="L741" s="44" t="str">
        <f>IFERROR(IF(MARÍTIMOS[[#This Row],[Conductor]]="","",MARÍTIMOS[[#This Row],[Conductor]]),"")</f>
        <v/>
      </c>
      <c r="M741" s="2" t="str">
        <f>IFERROR(IF(MARÍTIMOS[[#This Row],[Licencia]]="","",MARÍTIMOS[[#This Row],[Licencia]]),"")</f>
        <v/>
      </c>
      <c r="N741" s="2" t="str">
        <f>IFERROR(IF(MARÍTIMOS[[#This Row],[Número de Contacto]]="","",MARÍTIMOS[[#This Row],[Número de Contacto]]),"")</f>
        <v/>
      </c>
      <c r="O741" s="10" t="str">
        <f>IFERROR(IF(MARÍTIMOS[[#This Row],[Booking|AWB|CRT]]="","",MARÍTIMOS[[#This Row],[Booking|AWB|CRT]]),"")</f>
        <v/>
      </c>
      <c r="P741" s="2" t="str">
        <f>IFERROR(IF(MARÍTIMOS[[#This Row],[Contenedor]]="","",MARÍTIMOS[[#This Row],[Contenedor]]),"")</f>
        <v/>
      </c>
      <c r="Q741" s="2" t="str">
        <f>IFERROR(IF(MARÍTIMOS[[#This Row],[Puerto de Retiro]]="","",MARÍTIMOS[[#This Row],[Puerto de Retiro]]),"")</f>
        <v/>
      </c>
      <c r="R741" s="2" t="str">
        <f>IFERROR(IF(MARÍTIMOS[[#This Row],[Almacén de Retiro]]="","",MARÍTIMOS[[#This Row],[Almacén de Retiro]]),"")</f>
        <v/>
      </c>
      <c r="S741" s="11" t="str">
        <f>IFERROR(IF(MARÍTIMOS[[#This Row],[Etapa Retiro - Cita]]="","",MARÍTIMOS[[#This Row],[Etapa Retiro - Cita]]),"")</f>
        <v/>
      </c>
      <c r="T741" s="11" t="str">
        <f>IFERROR(IF(MARÍTIMOS[[#This Row],[Etapa Retiro - Llegada]]="","",MARÍTIMOS[[#This Row],[Etapa Retiro - Llegada]]),"")</f>
        <v/>
      </c>
      <c r="U741" s="11" t="str">
        <f>IFERROR(IF(MARÍTIMOS[[#This Row],[Etapa Retiro - Ingreso]]="","",MARÍTIMOS[[#This Row],[Etapa Retiro - Ingreso]]),"")</f>
        <v/>
      </c>
      <c r="V741" s="11" t="str">
        <f>IFERROR(IF(MARÍTIMOS[[#This Row],[Etapa Retiro - Atención]]="","",MARÍTIMOS[[#This Row],[Etapa Retiro - Atención]]),"")</f>
        <v/>
      </c>
      <c r="W741" s="11" t="str">
        <f>IFERROR(IF(MARÍTIMOS[[#This Row],[Etapa Retiro - Atención]]="","",MARÍTIMOS[[#This Row],[Etapa Retiro - Atención]]),"")</f>
        <v/>
      </c>
      <c r="X741" s="11" t="str">
        <f>IFERROR(IF(MARÍTIMOS[[#This Row],[Etapa Retiro - Inicio de Ruta]]="","",MARÍTIMOS[[#This Row],[Etapa Retiro - Inicio de Ruta]]),"")</f>
        <v/>
      </c>
      <c r="Y741" s="11" t="str">
        <f>IFERROR(IF(MARÍTIMOS[[#This Row],[Hora de Posicionamiento]]="","",MARÍTIMOS[[#This Row],[Fecha de Carga]]+MARÍTIMOS[[#This Row],[Hora de Posicionamiento]]),"")</f>
        <v/>
      </c>
      <c r="Z741" s="11" t="str">
        <f>IFERROR(IF(MARÍTIMOS[[#This Row],[Etapa Despacho - Llegada]]="","",MARÍTIMOS[[#This Row],[Etapa Despacho - Llegada]]),"")</f>
        <v/>
      </c>
      <c r="AA741" s="11" t="str">
        <f>IFERROR(IF(MARÍTIMOS[[#This Row],[Etapa Despacho - Registro]]="","",MARÍTIMOS[[#This Row],[Etapa Despacho - Registro]]),"")</f>
        <v/>
      </c>
      <c r="AB741" s="11" t="str">
        <f>IFERROR(IF(MARÍTIMOS[[#This Row],[Inspección Externa]]="","",MARÍTIMOS[[#This Row],[Inspección Externa]]),"")</f>
        <v/>
      </c>
      <c r="AC741" s="11" t="str">
        <f>IFERROR(IF(MARÍTIMOS[[#This Row],[Etapa Despacho - Inicio de Carga]]="","",MARÍTIMOS[[#This Row],[Etapa Despacho - Inicio de Carga]]),"")</f>
        <v/>
      </c>
      <c r="AD741" s="11" t="str">
        <f>IFERROR(IF(MARÍTIMOS[[#This Row],[Etapa Despacho - Mitad de Carga]]="","",MARÍTIMOS[[#This Row],[Etapa Despacho - Mitad de Carga]]),"")</f>
        <v/>
      </c>
      <c r="AE741" s="11" t="str">
        <f>IFERROR(IF(MARÍTIMOS[[#This Row],[Etapa Despacho - Fin de Carga]]="","",MARÍTIMOS[[#This Row],[Etapa Despacho - Fin de Carga]]),"")</f>
        <v/>
      </c>
      <c r="AF741" s="2" t="str">
        <f>IFERROR(IF(MARÍTIMOS[[#This Row],[Puerto de Embarque]]="","",MARÍTIMOS[[#This Row],[Puerto de Embarque]]),"")</f>
        <v/>
      </c>
      <c r="AG741" s="2" t="str">
        <f>IFERROR(IF(MARÍTIMOS[[#This Row],[Almacén de Ingreso]]="","",MARÍTIMOS[[#This Row],[Almacén de Ingreso]]),"")</f>
        <v/>
      </c>
      <c r="AH741" s="11" t="str">
        <f>IFERROR(IF(MARÍTIMOS[[#This Row],[Etapa Ingreso - Cita]]="","",MARÍTIMOS[[#This Row],[Etapa Ingreso - Cita]]),"")</f>
        <v/>
      </c>
      <c r="AI741" s="11" t="str">
        <f>IFERROR(IF(MARÍTIMOS[[#This Row],[Etapa Ingreso - Llegada]]="","",MARÍTIMOS[[#This Row],[Etapa Ingreso - Llegada]]),"")</f>
        <v/>
      </c>
      <c r="AJ741" s="11" t="str">
        <f>IFERROR(IF(MARÍTIMOS[[#This Row],[Etapa Ingreso - Ingeso]]="","",MARÍTIMOS[[#This Row],[Etapa Ingreso - Ingeso]]),"")</f>
        <v/>
      </c>
      <c r="AK741" s="11" t="str">
        <f>IFERROR(IF(MARÍTIMOS[[#This Row],[Etapa Ingreso - Atención]]="","",MARÍTIMOS[[#This Row],[Etapa Ingreso - Atención]]),"")</f>
        <v/>
      </c>
      <c r="AL741" s="11" t="str">
        <f>IFERROR(IF(MARÍTIMOS[[#This Row],[Etapa Ingreso - Salida]]="","",MARÍTIMOS[[#This Row],[Etapa Ingreso - Salida]]),"")</f>
        <v/>
      </c>
      <c r="AM741" s="2" t="str">
        <f>IFERROR(IF(MARÍTIMOS[[#This Row],[FCL]]="","",MARÍTIMOS[[#This Row],[FCL]]),"")</f>
        <v/>
      </c>
      <c r="AN7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1" s="4" t="str" cm="1">
        <f t="array" ref="AO7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1" s="5" t="str">
        <f>IFERROR(OLDBD[[#This Row],[Llegada a packing]]-OLDBD[[#This Row],[Inicio de Ruta]],"")</f>
        <v/>
      </c>
      <c r="AQ741" s="6" t="str">
        <f>IFERROR(OLDBD[[#This Row],[Inicio de Ruta]]-OLDBD[[#This Row],[Salida de almacén de retiro]],"")</f>
        <v/>
      </c>
      <c r="AR7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1" s="8" t="str" cm="1">
        <f t="array" ref="AS7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1" s="9" t="str">
        <f>IFERROR(OLDBD[[#This Row],[Ingreso Packing]]-OLDBD[[#This Row],[Registro en Packing]],"")</f>
        <v/>
      </c>
      <c r="AV741" s="9" t="str">
        <f>IFERROR(OLDBD[[#This Row],[Ingreso Packing]]-OLDBD[[#This Row],[Llegada a packing]],"")</f>
        <v/>
      </c>
      <c r="AW7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1" s="5" t="str">
        <f>IFERROR(OLDBD[[#This Row],[Llegada Almacén de Ingreso]]-OLDBD[[#This Row],[Salida Packing]],"")</f>
        <v/>
      </c>
      <c r="AY741" s="4" t="str" cm="1">
        <f t="array" ref="AY7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1" s="43" t="s">
        <v>173</v>
      </c>
      <c r="BB741" s="47" t="str">
        <f>IFERROR(IF(MARÍTIMOS[[#This Row],[Estatus]]="","",MARÍTIMOS[[#This Row],[Estatus]]),"")</f>
        <v/>
      </c>
      <c r="BC741" s="43"/>
      <c r="BD741" s="46" t="str">
        <f>IFERROR(OLDBD[[#This Row],[Salida de almacén de retiro]]-OLDBD[[#This Row],[Ingreso Almacén de retiro]],"")</f>
        <v/>
      </c>
      <c r="BE741" s="46" t="str">
        <f>IFERROR(OLDBD[[#This Row],[Fin de Carga]]-OLDBD[[#This Row],[Inicio de Carga]],"")</f>
        <v/>
      </c>
    </row>
    <row r="742" spans="1:57" customFormat="1" hidden="1">
      <c r="A742" s="1"/>
      <c r="B742" s="1" t="str">
        <f>IFERROR(IF(MARÍTIMOS[[#This Row],[PP]]="","",MARÍTIMOS[[#This Row],[PP]]),"")</f>
        <v/>
      </c>
      <c r="C742" s="1" t="str">
        <f>IFERROR(IF(MARÍTIMOS[[#This Row],[Sede]]="","",MARÍTIMOS[[#This Row],[Sede]]),"")</f>
        <v/>
      </c>
      <c r="D742" s="1" t="str">
        <f>IFERROR(IF(MARÍTIMOS[[#This Row],[Instruction]]="","",MARÍTIMOS[[#This Row],[Instruction]]),"")</f>
        <v/>
      </c>
      <c r="E742" s="1"/>
      <c r="F742" s="2" t="str">
        <f>IFERROR(IF(MARÍTIMOS[[#This Row],[Transportista]]="","",MARÍTIMOS[[#This Row],[Transportista]]),"")</f>
        <v/>
      </c>
      <c r="G742" s="2" t="str">
        <f>IFERROR(IF(MARÍTIMOS[[#This Row],[Tercero]]="","",MARÍTIMOS[[#This Row],[Tercero]]),"")</f>
        <v/>
      </c>
      <c r="H742" s="2" t="str">
        <f>IFERROR(IF(MARÍTIMOS[[#This Row],[Razón Social]]="","",MARÍTIMOS[[#This Row],[Razón Social]]),"")</f>
        <v/>
      </c>
      <c r="I742" s="2" t="str">
        <f>IFERROR(IF(MARÍTIMOS[[#This Row],[RUC]]="","",MARÍTIMOS[[#This Row],[RUC]]),"")</f>
        <v/>
      </c>
      <c r="J742" s="2" t="str">
        <f>IFERROR(IF(MARÍTIMOS[[#This Row],[Placa Tracto]]="","",MARÍTIMOS[[#This Row],[Placa Tracto]]),"")</f>
        <v/>
      </c>
      <c r="K742" s="2" t="str">
        <f>IFERROR(IF(MARÍTIMOS[[#This Row],[Placa Carreta]]="","",MARÍTIMOS[[#This Row],[Placa Carreta]]),"")</f>
        <v/>
      </c>
      <c r="L742" s="44" t="str">
        <f>IFERROR(IF(MARÍTIMOS[[#This Row],[Conductor]]="","",MARÍTIMOS[[#This Row],[Conductor]]),"")</f>
        <v/>
      </c>
      <c r="M742" s="2" t="str">
        <f>IFERROR(IF(MARÍTIMOS[[#This Row],[Licencia]]="","",MARÍTIMOS[[#This Row],[Licencia]]),"")</f>
        <v/>
      </c>
      <c r="N742" s="2" t="str">
        <f>IFERROR(IF(MARÍTIMOS[[#This Row],[Número de Contacto]]="","",MARÍTIMOS[[#This Row],[Número de Contacto]]),"")</f>
        <v/>
      </c>
      <c r="O742" s="10" t="str">
        <f>IFERROR(IF(MARÍTIMOS[[#This Row],[Booking|AWB|CRT]]="","",MARÍTIMOS[[#This Row],[Booking|AWB|CRT]]),"")</f>
        <v/>
      </c>
      <c r="P742" s="2" t="str">
        <f>IFERROR(IF(MARÍTIMOS[[#This Row],[Contenedor]]="","",MARÍTIMOS[[#This Row],[Contenedor]]),"")</f>
        <v/>
      </c>
      <c r="Q742" s="2" t="str">
        <f>IFERROR(IF(MARÍTIMOS[[#This Row],[Puerto de Retiro]]="","",MARÍTIMOS[[#This Row],[Puerto de Retiro]]),"")</f>
        <v/>
      </c>
      <c r="R742" s="2" t="str">
        <f>IFERROR(IF(MARÍTIMOS[[#This Row],[Almacén de Retiro]]="","",MARÍTIMOS[[#This Row],[Almacén de Retiro]]),"")</f>
        <v/>
      </c>
      <c r="S742" s="11" t="str">
        <f>IFERROR(IF(MARÍTIMOS[[#This Row],[Etapa Retiro - Cita]]="","",MARÍTIMOS[[#This Row],[Etapa Retiro - Cita]]),"")</f>
        <v/>
      </c>
      <c r="T742" s="11" t="str">
        <f>IFERROR(IF(MARÍTIMOS[[#This Row],[Etapa Retiro - Llegada]]="","",MARÍTIMOS[[#This Row],[Etapa Retiro - Llegada]]),"")</f>
        <v/>
      </c>
      <c r="U742" s="11" t="str">
        <f>IFERROR(IF(MARÍTIMOS[[#This Row],[Etapa Retiro - Ingreso]]="","",MARÍTIMOS[[#This Row],[Etapa Retiro - Ingreso]]),"")</f>
        <v/>
      </c>
      <c r="V742" s="11" t="str">
        <f>IFERROR(IF(MARÍTIMOS[[#This Row],[Etapa Retiro - Atención]]="","",MARÍTIMOS[[#This Row],[Etapa Retiro - Atención]]),"")</f>
        <v/>
      </c>
      <c r="W742" s="11" t="str">
        <f>IFERROR(IF(MARÍTIMOS[[#This Row],[Etapa Retiro - Atención]]="","",MARÍTIMOS[[#This Row],[Etapa Retiro - Atención]]),"")</f>
        <v/>
      </c>
      <c r="X742" s="11" t="str">
        <f>IFERROR(IF(MARÍTIMOS[[#This Row],[Etapa Retiro - Inicio de Ruta]]="","",MARÍTIMOS[[#This Row],[Etapa Retiro - Inicio de Ruta]]),"")</f>
        <v/>
      </c>
      <c r="Y742" s="11" t="str">
        <f>IFERROR(IF(MARÍTIMOS[[#This Row],[Hora de Posicionamiento]]="","",MARÍTIMOS[[#This Row],[Fecha de Carga]]+MARÍTIMOS[[#This Row],[Hora de Posicionamiento]]),"")</f>
        <v/>
      </c>
      <c r="Z742" s="11" t="str">
        <f>IFERROR(IF(MARÍTIMOS[[#This Row],[Etapa Despacho - Llegada]]="","",MARÍTIMOS[[#This Row],[Etapa Despacho - Llegada]]),"")</f>
        <v/>
      </c>
      <c r="AA742" s="11" t="str">
        <f>IFERROR(IF(MARÍTIMOS[[#This Row],[Etapa Despacho - Registro]]="","",MARÍTIMOS[[#This Row],[Etapa Despacho - Registro]]),"")</f>
        <v/>
      </c>
      <c r="AB742" s="11" t="str">
        <f>IFERROR(IF(MARÍTIMOS[[#This Row],[Inspección Externa]]="","",MARÍTIMOS[[#This Row],[Inspección Externa]]),"")</f>
        <v/>
      </c>
      <c r="AC742" s="11" t="str">
        <f>IFERROR(IF(MARÍTIMOS[[#This Row],[Etapa Despacho - Inicio de Carga]]="","",MARÍTIMOS[[#This Row],[Etapa Despacho - Inicio de Carga]]),"")</f>
        <v/>
      </c>
      <c r="AD742" s="11" t="str">
        <f>IFERROR(IF(MARÍTIMOS[[#This Row],[Etapa Despacho - Mitad de Carga]]="","",MARÍTIMOS[[#This Row],[Etapa Despacho - Mitad de Carga]]),"")</f>
        <v/>
      </c>
      <c r="AE742" s="11" t="str">
        <f>IFERROR(IF(MARÍTIMOS[[#This Row],[Etapa Despacho - Fin de Carga]]="","",MARÍTIMOS[[#This Row],[Etapa Despacho - Fin de Carga]]),"")</f>
        <v/>
      </c>
      <c r="AF742" s="2" t="str">
        <f>IFERROR(IF(MARÍTIMOS[[#This Row],[Puerto de Embarque]]="","",MARÍTIMOS[[#This Row],[Puerto de Embarque]]),"")</f>
        <v/>
      </c>
      <c r="AG742" s="2" t="str">
        <f>IFERROR(IF(MARÍTIMOS[[#This Row],[Almacén de Ingreso]]="","",MARÍTIMOS[[#This Row],[Almacén de Ingreso]]),"")</f>
        <v/>
      </c>
      <c r="AH742" s="11" t="str">
        <f>IFERROR(IF(MARÍTIMOS[[#This Row],[Etapa Ingreso - Cita]]="","",MARÍTIMOS[[#This Row],[Etapa Ingreso - Cita]]),"")</f>
        <v/>
      </c>
      <c r="AI742" s="11" t="str">
        <f>IFERROR(IF(MARÍTIMOS[[#This Row],[Etapa Ingreso - Llegada]]="","",MARÍTIMOS[[#This Row],[Etapa Ingreso - Llegada]]),"")</f>
        <v/>
      </c>
      <c r="AJ742" s="11" t="str">
        <f>IFERROR(IF(MARÍTIMOS[[#This Row],[Etapa Ingreso - Ingeso]]="","",MARÍTIMOS[[#This Row],[Etapa Ingreso - Ingeso]]),"")</f>
        <v/>
      </c>
      <c r="AK742" s="11" t="str">
        <f>IFERROR(IF(MARÍTIMOS[[#This Row],[Etapa Ingreso - Atención]]="","",MARÍTIMOS[[#This Row],[Etapa Ingreso - Atención]]),"")</f>
        <v/>
      </c>
      <c r="AL742" s="11" t="str">
        <f>IFERROR(IF(MARÍTIMOS[[#This Row],[Etapa Ingreso - Salida]]="","",MARÍTIMOS[[#This Row],[Etapa Ingreso - Salida]]),"")</f>
        <v/>
      </c>
      <c r="AM742" s="2" t="str">
        <f>IFERROR(IF(MARÍTIMOS[[#This Row],[FCL]]="","",MARÍTIMOS[[#This Row],[FCL]]),"")</f>
        <v/>
      </c>
      <c r="AN7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2" s="4" t="str" cm="1">
        <f t="array" ref="AO7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2" s="5" t="str">
        <f>IFERROR(OLDBD[[#This Row],[Llegada a packing]]-OLDBD[[#This Row],[Inicio de Ruta]],"")</f>
        <v/>
      </c>
      <c r="AQ742" s="6" t="str">
        <f>IFERROR(OLDBD[[#This Row],[Inicio de Ruta]]-OLDBD[[#This Row],[Salida de almacén de retiro]],"")</f>
        <v/>
      </c>
      <c r="AR7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2" s="8" t="str" cm="1">
        <f t="array" ref="AS7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2" s="9" t="str">
        <f>IFERROR(OLDBD[[#This Row],[Ingreso Packing]]-OLDBD[[#This Row],[Registro en Packing]],"")</f>
        <v/>
      </c>
      <c r="AV742" s="9" t="str">
        <f>IFERROR(OLDBD[[#This Row],[Ingreso Packing]]-OLDBD[[#This Row],[Llegada a packing]],"")</f>
        <v/>
      </c>
      <c r="AW7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2" s="5" t="str">
        <f>IFERROR(OLDBD[[#This Row],[Llegada Almacén de Ingreso]]-OLDBD[[#This Row],[Salida Packing]],"")</f>
        <v/>
      </c>
      <c r="AY742" s="4" t="str" cm="1">
        <f t="array" ref="AY7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2" s="43" t="s">
        <v>173</v>
      </c>
      <c r="BB742" s="47" t="str">
        <f>IFERROR(IF(MARÍTIMOS[[#This Row],[Estatus]]="","",MARÍTIMOS[[#This Row],[Estatus]]),"")</f>
        <v/>
      </c>
      <c r="BC742" s="43"/>
      <c r="BD742" s="46" t="str">
        <f>IFERROR(OLDBD[[#This Row],[Salida de almacén de retiro]]-OLDBD[[#This Row],[Ingreso Almacén de retiro]],"")</f>
        <v/>
      </c>
      <c r="BE742" s="46" t="str">
        <f>IFERROR(OLDBD[[#This Row],[Fin de Carga]]-OLDBD[[#This Row],[Inicio de Carga]],"")</f>
        <v/>
      </c>
    </row>
    <row r="743" spans="1:57" customFormat="1" hidden="1">
      <c r="A743" s="1"/>
      <c r="B743" s="1" t="str">
        <f>IFERROR(IF(MARÍTIMOS[[#This Row],[PP]]="","",MARÍTIMOS[[#This Row],[PP]]),"")</f>
        <v/>
      </c>
      <c r="C743" s="1" t="str">
        <f>IFERROR(IF(MARÍTIMOS[[#This Row],[Sede]]="","",MARÍTIMOS[[#This Row],[Sede]]),"")</f>
        <v/>
      </c>
      <c r="D743" s="1" t="str">
        <f>IFERROR(IF(MARÍTIMOS[[#This Row],[Instruction]]="","",MARÍTIMOS[[#This Row],[Instruction]]),"")</f>
        <v/>
      </c>
      <c r="E743" s="1"/>
      <c r="F743" s="2" t="str">
        <f>IFERROR(IF(MARÍTIMOS[[#This Row],[Transportista]]="","",MARÍTIMOS[[#This Row],[Transportista]]),"")</f>
        <v/>
      </c>
      <c r="G743" s="2" t="str">
        <f>IFERROR(IF(MARÍTIMOS[[#This Row],[Tercero]]="","",MARÍTIMOS[[#This Row],[Tercero]]),"")</f>
        <v/>
      </c>
      <c r="H743" s="2" t="str">
        <f>IFERROR(IF(MARÍTIMOS[[#This Row],[Razón Social]]="","",MARÍTIMOS[[#This Row],[Razón Social]]),"")</f>
        <v/>
      </c>
      <c r="I743" s="2" t="str">
        <f>IFERROR(IF(MARÍTIMOS[[#This Row],[RUC]]="","",MARÍTIMOS[[#This Row],[RUC]]),"")</f>
        <v/>
      </c>
      <c r="J743" s="2" t="str">
        <f>IFERROR(IF(MARÍTIMOS[[#This Row],[Placa Tracto]]="","",MARÍTIMOS[[#This Row],[Placa Tracto]]),"")</f>
        <v/>
      </c>
      <c r="K743" s="2" t="str">
        <f>IFERROR(IF(MARÍTIMOS[[#This Row],[Placa Carreta]]="","",MARÍTIMOS[[#This Row],[Placa Carreta]]),"")</f>
        <v/>
      </c>
      <c r="L743" s="44" t="str">
        <f>IFERROR(IF(MARÍTIMOS[[#This Row],[Conductor]]="","",MARÍTIMOS[[#This Row],[Conductor]]),"")</f>
        <v/>
      </c>
      <c r="M743" s="2" t="str">
        <f>IFERROR(IF(MARÍTIMOS[[#This Row],[Licencia]]="","",MARÍTIMOS[[#This Row],[Licencia]]),"")</f>
        <v/>
      </c>
      <c r="N743" s="2" t="str">
        <f>IFERROR(IF(MARÍTIMOS[[#This Row],[Número de Contacto]]="","",MARÍTIMOS[[#This Row],[Número de Contacto]]),"")</f>
        <v/>
      </c>
      <c r="O743" s="10" t="str">
        <f>IFERROR(IF(MARÍTIMOS[[#This Row],[Booking|AWB|CRT]]="","",MARÍTIMOS[[#This Row],[Booking|AWB|CRT]]),"")</f>
        <v/>
      </c>
      <c r="P743" s="2" t="str">
        <f>IFERROR(IF(MARÍTIMOS[[#This Row],[Contenedor]]="","",MARÍTIMOS[[#This Row],[Contenedor]]),"")</f>
        <v/>
      </c>
      <c r="Q743" s="2" t="str">
        <f>IFERROR(IF(MARÍTIMOS[[#This Row],[Puerto de Retiro]]="","",MARÍTIMOS[[#This Row],[Puerto de Retiro]]),"")</f>
        <v/>
      </c>
      <c r="R743" s="2" t="str">
        <f>IFERROR(IF(MARÍTIMOS[[#This Row],[Almacén de Retiro]]="","",MARÍTIMOS[[#This Row],[Almacén de Retiro]]),"")</f>
        <v/>
      </c>
      <c r="S743" s="11" t="str">
        <f>IFERROR(IF(MARÍTIMOS[[#This Row],[Etapa Retiro - Cita]]="","",MARÍTIMOS[[#This Row],[Etapa Retiro - Cita]]),"")</f>
        <v/>
      </c>
      <c r="T743" s="11" t="str">
        <f>IFERROR(IF(MARÍTIMOS[[#This Row],[Etapa Retiro - Llegada]]="","",MARÍTIMOS[[#This Row],[Etapa Retiro - Llegada]]),"")</f>
        <v/>
      </c>
      <c r="U743" s="11" t="str">
        <f>IFERROR(IF(MARÍTIMOS[[#This Row],[Etapa Retiro - Ingreso]]="","",MARÍTIMOS[[#This Row],[Etapa Retiro - Ingreso]]),"")</f>
        <v/>
      </c>
      <c r="V743" s="11" t="str">
        <f>IFERROR(IF(MARÍTIMOS[[#This Row],[Etapa Retiro - Atención]]="","",MARÍTIMOS[[#This Row],[Etapa Retiro - Atención]]),"")</f>
        <v/>
      </c>
      <c r="W743" s="11" t="str">
        <f>IFERROR(IF(MARÍTIMOS[[#This Row],[Etapa Retiro - Atención]]="","",MARÍTIMOS[[#This Row],[Etapa Retiro - Atención]]),"")</f>
        <v/>
      </c>
      <c r="X743" s="11" t="str">
        <f>IFERROR(IF(MARÍTIMOS[[#This Row],[Etapa Retiro - Inicio de Ruta]]="","",MARÍTIMOS[[#This Row],[Etapa Retiro - Inicio de Ruta]]),"")</f>
        <v/>
      </c>
      <c r="Y743" s="11" t="str">
        <f>IFERROR(IF(MARÍTIMOS[[#This Row],[Hora de Posicionamiento]]="","",MARÍTIMOS[[#This Row],[Fecha de Carga]]+MARÍTIMOS[[#This Row],[Hora de Posicionamiento]]),"")</f>
        <v/>
      </c>
      <c r="Z743" s="11" t="str">
        <f>IFERROR(IF(MARÍTIMOS[[#This Row],[Etapa Despacho - Llegada]]="","",MARÍTIMOS[[#This Row],[Etapa Despacho - Llegada]]),"")</f>
        <v/>
      </c>
      <c r="AA743" s="11" t="str">
        <f>IFERROR(IF(MARÍTIMOS[[#This Row],[Etapa Despacho - Registro]]="","",MARÍTIMOS[[#This Row],[Etapa Despacho - Registro]]),"")</f>
        <v/>
      </c>
      <c r="AB743" s="11" t="str">
        <f>IFERROR(IF(MARÍTIMOS[[#This Row],[Inspección Externa]]="","",MARÍTIMOS[[#This Row],[Inspección Externa]]),"")</f>
        <v/>
      </c>
      <c r="AC743" s="11" t="str">
        <f>IFERROR(IF(MARÍTIMOS[[#This Row],[Etapa Despacho - Inicio de Carga]]="","",MARÍTIMOS[[#This Row],[Etapa Despacho - Inicio de Carga]]),"")</f>
        <v/>
      </c>
      <c r="AD743" s="11" t="str">
        <f>IFERROR(IF(MARÍTIMOS[[#This Row],[Etapa Despacho - Mitad de Carga]]="","",MARÍTIMOS[[#This Row],[Etapa Despacho - Mitad de Carga]]),"")</f>
        <v/>
      </c>
      <c r="AE743" s="11" t="str">
        <f>IFERROR(IF(MARÍTIMOS[[#This Row],[Etapa Despacho - Fin de Carga]]="","",MARÍTIMOS[[#This Row],[Etapa Despacho - Fin de Carga]]),"")</f>
        <v/>
      </c>
      <c r="AF743" s="2" t="str">
        <f>IFERROR(IF(MARÍTIMOS[[#This Row],[Puerto de Embarque]]="","",MARÍTIMOS[[#This Row],[Puerto de Embarque]]),"")</f>
        <v/>
      </c>
      <c r="AG743" s="2" t="str">
        <f>IFERROR(IF(MARÍTIMOS[[#This Row],[Almacén de Ingreso]]="","",MARÍTIMOS[[#This Row],[Almacén de Ingreso]]),"")</f>
        <v/>
      </c>
      <c r="AH743" s="11" t="str">
        <f>IFERROR(IF(MARÍTIMOS[[#This Row],[Etapa Ingreso - Cita]]="","",MARÍTIMOS[[#This Row],[Etapa Ingreso - Cita]]),"")</f>
        <v/>
      </c>
      <c r="AI743" s="11" t="str">
        <f>IFERROR(IF(MARÍTIMOS[[#This Row],[Etapa Ingreso - Llegada]]="","",MARÍTIMOS[[#This Row],[Etapa Ingreso - Llegada]]),"")</f>
        <v/>
      </c>
      <c r="AJ743" s="11" t="str">
        <f>IFERROR(IF(MARÍTIMOS[[#This Row],[Etapa Ingreso - Ingeso]]="","",MARÍTIMOS[[#This Row],[Etapa Ingreso - Ingeso]]),"")</f>
        <v/>
      </c>
      <c r="AK743" s="11" t="str">
        <f>IFERROR(IF(MARÍTIMOS[[#This Row],[Etapa Ingreso - Atención]]="","",MARÍTIMOS[[#This Row],[Etapa Ingreso - Atención]]),"")</f>
        <v/>
      </c>
      <c r="AL743" s="11" t="str">
        <f>IFERROR(IF(MARÍTIMOS[[#This Row],[Etapa Ingreso - Salida]]="","",MARÍTIMOS[[#This Row],[Etapa Ingreso - Salida]]),"")</f>
        <v/>
      </c>
      <c r="AM743" s="2" t="str">
        <f>IFERROR(IF(MARÍTIMOS[[#This Row],[FCL]]="","",MARÍTIMOS[[#This Row],[FCL]]),"")</f>
        <v/>
      </c>
      <c r="AN7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3" s="4" t="str" cm="1">
        <f t="array" ref="AO7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3" s="5" t="str">
        <f>IFERROR(OLDBD[[#This Row],[Llegada a packing]]-OLDBD[[#This Row],[Inicio de Ruta]],"")</f>
        <v/>
      </c>
      <c r="AQ743" s="6" t="str">
        <f>IFERROR(OLDBD[[#This Row],[Inicio de Ruta]]-OLDBD[[#This Row],[Salida de almacén de retiro]],"")</f>
        <v/>
      </c>
      <c r="AR7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3" s="8" t="str" cm="1">
        <f t="array" ref="AS7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3" s="9" t="str">
        <f>IFERROR(OLDBD[[#This Row],[Ingreso Packing]]-OLDBD[[#This Row],[Registro en Packing]],"")</f>
        <v/>
      </c>
      <c r="AV743" s="9" t="str">
        <f>IFERROR(OLDBD[[#This Row],[Ingreso Packing]]-OLDBD[[#This Row],[Llegada a packing]],"")</f>
        <v/>
      </c>
      <c r="AW7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3" s="5" t="str">
        <f>IFERROR(OLDBD[[#This Row],[Llegada Almacén de Ingreso]]-OLDBD[[#This Row],[Salida Packing]],"")</f>
        <v/>
      </c>
      <c r="AY743" s="4" t="str" cm="1">
        <f t="array" ref="AY7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3" s="43" t="s">
        <v>173</v>
      </c>
      <c r="BB743" s="47" t="str">
        <f>IFERROR(IF(MARÍTIMOS[[#This Row],[Estatus]]="","",MARÍTIMOS[[#This Row],[Estatus]]),"")</f>
        <v/>
      </c>
      <c r="BC743" s="43"/>
      <c r="BD743" s="46" t="str">
        <f>IFERROR(OLDBD[[#This Row],[Salida de almacén de retiro]]-OLDBD[[#This Row],[Ingreso Almacén de retiro]],"")</f>
        <v/>
      </c>
      <c r="BE743" s="46" t="str">
        <f>IFERROR(OLDBD[[#This Row],[Fin de Carga]]-OLDBD[[#This Row],[Inicio de Carga]],"")</f>
        <v/>
      </c>
    </row>
    <row r="744" spans="1:57" customFormat="1" hidden="1">
      <c r="A744" s="1"/>
      <c r="B744" s="1" t="str">
        <f>IFERROR(IF(MARÍTIMOS[[#This Row],[PP]]="","",MARÍTIMOS[[#This Row],[PP]]),"")</f>
        <v/>
      </c>
      <c r="C744" s="1" t="str">
        <f>IFERROR(IF(MARÍTIMOS[[#This Row],[Sede]]="","",MARÍTIMOS[[#This Row],[Sede]]),"")</f>
        <v/>
      </c>
      <c r="D744" s="1" t="str">
        <f>IFERROR(IF(MARÍTIMOS[[#This Row],[Instruction]]="","",MARÍTIMOS[[#This Row],[Instruction]]),"")</f>
        <v/>
      </c>
      <c r="E744" s="1"/>
      <c r="F744" s="2" t="str">
        <f>IFERROR(IF(MARÍTIMOS[[#This Row],[Transportista]]="","",MARÍTIMOS[[#This Row],[Transportista]]),"")</f>
        <v/>
      </c>
      <c r="G744" s="2" t="str">
        <f>IFERROR(IF(MARÍTIMOS[[#This Row],[Tercero]]="","",MARÍTIMOS[[#This Row],[Tercero]]),"")</f>
        <v/>
      </c>
      <c r="H744" s="2" t="str">
        <f>IFERROR(IF(MARÍTIMOS[[#This Row],[Razón Social]]="","",MARÍTIMOS[[#This Row],[Razón Social]]),"")</f>
        <v/>
      </c>
      <c r="I744" s="2" t="str">
        <f>IFERROR(IF(MARÍTIMOS[[#This Row],[RUC]]="","",MARÍTIMOS[[#This Row],[RUC]]),"")</f>
        <v/>
      </c>
      <c r="J744" s="2" t="str">
        <f>IFERROR(IF(MARÍTIMOS[[#This Row],[Placa Tracto]]="","",MARÍTIMOS[[#This Row],[Placa Tracto]]),"")</f>
        <v/>
      </c>
      <c r="K744" s="2" t="str">
        <f>IFERROR(IF(MARÍTIMOS[[#This Row],[Placa Carreta]]="","",MARÍTIMOS[[#This Row],[Placa Carreta]]),"")</f>
        <v/>
      </c>
      <c r="L744" s="44" t="str">
        <f>IFERROR(IF(MARÍTIMOS[[#This Row],[Conductor]]="","",MARÍTIMOS[[#This Row],[Conductor]]),"")</f>
        <v/>
      </c>
      <c r="M744" s="2" t="str">
        <f>IFERROR(IF(MARÍTIMOS[[#This Row],[Licencia]]="","",MARÍTIMOS[[#This Row],[Licencia]]),"")</f>
        <v/>
      </c>
      <c r="N744" s="2" t="str">
        <f>IFERROR(IF(MARÍTIMOS[[#This Row],[Número de Contacto]]="","",MARÍTIMOS[[#This Row],[Número de Contacto]]),"")</f>
        <v/>
      </c>
      <c r="O744" s="10" t="str">
        <f>IFERROR(IF(MARÍTIMOS[[#This Row],[Booking|AWB|CRT]]="","",MARÍTIMOS[[#This Row],[Booking|AWB|CRT]]),"")</f>
        <v/>
      </c>
      <c r="P744" s="2" t="str">
        <f>IFERROR(IF(MARÍTIMOS[[#This Row],[Contenedor]]="","",MARÍTIMOS[[#This Row],[Contenedor]]),"")</f>
        <v/>
      </c>
      <c r="Q744" s="2" t="str">
        <f>IFERROR(IF(MARÍTIMOS[[#This Row],[Puerto de Retiro]]="","",MARÍTIMOS[[#This Row],[Puerto de Retiro]]),"")</f>
        <v/>
      </c>
      <c r="R744" s="2" t="str">
        <f>IFERROR(IF(MARÍTIMOS[[#This Row],[Almacén de Retiro]]="","",MARÍTIMOS[[#This Row],[Almacén de Retiro]]),"")</f>
        <v/>
      </c>
      <c r="S744" s="11" t="str">
        <f>IFERROR(IF(MARÍTIMOS[[#This Row],[Etapa Retiro - Cita]]="","",MARÍTIMOS[[#This Row],[Etapa Retiro - Cita]]),"")</f>
        <v/>
      </c>
      <c r="T744" s="11" t="str">
        <f>IFERROR(IF(MARÍTIMOS[[#This Row],[Etapa Retiro - Llegada]]="","",MARÍTIMOS[[#This Row],[Etapa Retiro - Llegada]]),"")</f>
        <v/>
      </c>
      <c r="U744" s="11" t="str">
        <f>IFERROR(IF(MARÍTIMOS[[#This Row],[Etapa Retiro - Ingreso]]="","",MARÍTIMOS[[#This Row],[Etapa Retiro - Ingreso]]),"")</f>
        <v/>
      </c>
      <c r="V744" s="11" t="str">
        <f>IFERROR(IF(MARÍTIMOS[[#This Row],[Etapa Retiro - Atención]]="","",MARÍTIMOS[[#This Row],[Etapa Retiro - Atención]]),"")</f>
        <v/>
      </c>
      <c r="W744" s="11" t="str">
        <f>IFERROR(IF(MARÍTIMOS[[#This Row],[Etapa Retiro - Atención]]="","",MARÍTIMOS[[#This Row],[Etapa Retiro - Atención]]),"")</f>
        <v/>
      </c>
      <c r="X744" s="11" t="str">
        <f>IFERROR(IF(MARÍTIMOS[[#This Row],[Etapa Retiro - Inicio de Ruta]]="","",MARÍTIMOS[[#This Row],[Etapa Retiro - Inicio de Ruta]]),"")</f>
        <v/>
      </c>
      <c r="Y744" s="11" t="str">
        <f>IFERROR(IF(MARÍTIMOS[[#This Row],[Hora de Posicionamiento]]="","",MARÍTIMOS[[#This Row],[Fecha de Carga]]+MARÍTIMOS[[#This Row],[Hora de Posicionamiento]]),"")</f>
        <v/>
      </c>
      <c r="Z744" s="11" t="str">
        <f>IFERROR(IF(MARÍTIMOS[[#This Row],[Etapa Despacho - Llegada]]="","",MARÍTIMOS[[#This Row],[Etapa Despacho - Llegada]]),"")</f>
        <v/>
      </c>
      <c r="AA744" s="11" t="str">
        <f>IFERROR(IF(MARÍTIMOS[[#This Row],[Etapa Despacho - Registro]]="","",MARÍTIMOS[[#This Row],[Etapa Despacho - Registro]]),"")</f>
        <v/>
      </c>
      <c r="AB744" s="11" t="str">
        <f>IFERROR(IF(MARÍTIMOS[[#This Row],[Inspección Externa]]="","",MARÍTIMOS[[#This Row],[Inspección Externa]]),"")</f>
        <v/>
      </c>
      <c r="AC744" s="11" t="str">
        <f>IFERROR(IF(MARÍTIMOS[[#This Row],[Etapa Despacho - Inicio de Carga]]="","",MARÍTIMOS[[#This Row],[Etapa Despacho - Inicio de Carga]]),"")</f>
        <v/>
      </c>
      <c r="AD744" s="11" t="str">
        <f>IFERROR(IF(MARÍTIMOS[[#This Row],[Etapa Despacho - Mitad de Carga]]="","",MARÍTIMOS[[#This Row],[Etapa Despacho - Mitad de Carga]]),"")</f>
        <v/>
      </c>
      <c r="AE744" s="11" t="str">
        <f>IFERROR(IF(MARÍTIMOS[[#This Row],[Etapa Despacho - Fin de Carga]]="","",MARÍTIMOS[[#This Row],[Etapa Despacho - Fin de Carga]]),"")</f>
        <v/>
      </c>
      <c r="AF744" s="2" t="str">
        <f>IFERROR(IF(MARÍTIMOS[[#This Row],[Puerto de Embarque]]="","",MARÍTIMOS[[#This Row],[Puerto de Embarque]]),"")</f>
        <v/>
      </c>
      <c r="AG744" s="2" t="str">
        <f>IFERROR(IF(MARÍTIMOS[[#This Row],[Almacén de Ingreso]]="","",MARÍTIMOS[[#This Row],[Almacén de Ingreso]]),"")</f>
        <v/>
      </c>
      <c r="AH744" s="11" t="str">
        <f>IFERROR(IF(MARÍTIMOS[[#This Row],[Etapa Ingreso - Cita]]="","",MARÍTIMOS[[#This Row],[Etapa Ingreso - Cita]]),"")</f>
        <v/>
      </c>
      <c r="AI744" s="11" t="str">
        <f>IFERROR(IF(MARÍTIMOS[[#This Row],[Etapa Ingreso - Llegada]]="","",MARÍTIMOS[[#This Row],[Etapa Ingreso - Llegada]]),"")</f>
        <v/>
      </c>
      <c r="AJ744" s="11" t="str">
        <f>IFERROR(IF(MARÍTIMOS[[#This Row],[Etapa Ingreso - Ingeso]]="","",MARÍTIMOS[[#This Row],[Etapa Ingreso - Ingeso]]),"")</f>
        <v/>
      </c>
      <c r="AK744" s="11" t="str">
        <f>IFERROR(IF(MARÍTIMOS[[#This Row],[Etapa Ingreso - Atención]]="","",MARÍTIMOS[[#This Row],[Etapa Ingreso - Atención]]),"")</f>
        <v/>
      </c>
      <c r="AL744" s="11" t="str">
        <f>IFERROR(IF(MARÍTIMOS[[#This Row],[Etapa Ingreso - Salida]]="","",MARÍTIMOS[[#This Row],[Etapa Ingreso - Salida]]),"")</f>
        <v/>
      </c>
      <c r="AM744" s="2" t="str">
        <f>IFERROR(IF(MARÍTIMOS[[#This Row],[FCL]]="","",MARÍTIMOS[[#This Row],[FCL]]),"")</f>
        <v/>
      </c>
      <c r="AN7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4" s="4" t="str" cm="1">
        <f t="array" ref="AO7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4" s="5" t="str">
        <f>IFERROR(OLDBD[[#This Row],[Llegada a packing]]-OLDBD[[#This Row],[Inicio de Ruta]],"")</f>
        <v/>
      </c>
      <c r="AQ744" s="6" t="str">
        <f>IFERROR(OLDBD[[#This Row],[Inicio de Ruta]]-OLDBD[[#This Row],[Salida de almacén de retiro]],"")</f>
        <v/>
      </c>
      <c r="AR7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4" s="8" t="str" cm="1">
        <f t="array" ref="AS7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4" s="9" t="str">
        <f>IFERROR(OLDBD[[#This Row],[Ingreso Packing]]-OLDBD[[#This Row],[Registro en Packing]],"")</f>
        <v/>
      </c>
      <c r="AV744" s="9" t="str">
        <f>IFERROR(OLDBD[[#This Row],[Ingreso Packing]]-OLDBD[[#This Row],[Llegada a packing]],"")</f>
        <v/>
      </c>
      <c r="AW7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4" s="5" t="str">
        <f>IFERROR(OLDBD[[#This Row],[Llegada Almacén de Ingreso]]-OLDBD[[#This Row],[Salida Packing]],"")</f>
        <v/>
      </c>
      <c r="AY744" s="4" t="str" cm="1">
        <f t="array" ref="AY7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4" s="43" t="s">
        <v>173</v>
      </c>
      <c r="BB744" s="47" t="str">
        <f>IFERROR(IF(MARÍTIMOS[[#This Row],[Estatus]]="","",MARÍTIMOS[[#This Row],[Estatus]]),"")</f>
        <v/>
      </c>
      <c r="BC744" s="43"/>
      <c r="BD744" s="46" t="str">
        <f>IFERROR(OLDBD[[#This Row],[Salida de almacén de retiro]]-OLDBD[[#This Row],[Ingreso Almacén de retiro]],"")</f>
        <v/>
      </c>
      <c r="BE744" s="46" t="str">
        <f>IFERROR(OLDBD[[#This Row],[Fin de Carga]]-OLDBD[[#This Row],[Inicio de Carga]],"")</f>
        <v/>
      </c>
    </row>
    <row r="745" spans="1:57" customFormat="1" hidden="1">
      <c r="A745" s="1"/>
      <c r="B745" s="1" t="str">
        <f>IFERROR(IF(MARÍTIMOS[[#This Row],[PP]]="","",MARÍTIMOS[[#This Row],[PP]]),"")</f>
        <v/>
      </c>
      <c r="C745" s="1" t="str">
        <f>IFERROR(IF(MARÍTIMOS[[#This Row],[Sede]]="","",MARÍTIMOS[[#This Row],[Sede]]),"")</f>
        <v/>
      </c>
      <c r="D745" s="1" t="str">
        <f>IFERROR(IF(MARÍTIMOS[[#This Row],[Instruction]]="","",MARÍTIMOS[[#This Row],[Instruction]]),"")</f>
        <v/>
      </c>
      <c r="E745" s="1"/>
      <c r="F745" s="2" t="str">
        <f>IFERROR(IF(MARÍTIMOS[[#This Row],[Transportista]]="","",MARÍTIMOS[[#This Row],[Transportista]]),"")</f>
        <v/>
      </c>
      <c r="G745" s="2" t="str">
        <f>IFERROR(IF(MARÍTIMOS[[#This Row],[Tercero]]="","",MARÍTIMOS[[#This Row],[Tercero]]),"")</f>
        <v/>
      </c>
      <c r="H745" s="2" t="str">
        <f>IFERROR(IF(MARÍTIMOS[[#This Row],[Razón Social]]="","",MARÍTIMOS[[#This Row],[Razón Social]]),"")</f>
        <v/>
      </c>
      <c r="I745" s="2" t="str">
        <f>IFERROR(IF(MARÍTIMOS[[#This Row],[RUC]]="","",MARÍTIMOS[[#This Row],[RUC]]),"")</f>
        <v/>
      </c>
      <c r="J745" s="2" t="str">
        <f>IFERROR(IF(MARÍTIMOS[[#This Row],[Placa Tracto]]="","",MARÍTIMOS[[#This Row],[Placa Tracto]]),"")</f>
        <v/>
      </c>
      <c r="K745" s="2" t="str">
        <f>IFERROR(IF(MARÍTIMOS[[#This Row],[Placa Carreta]]="","",MARÍTIMOS[[#This Row],[Placa Carreta]]),"")</f>
        <v/>
      </c>
      <c r="L745" s="44" t="str">
        <f>IFERROR(IF(MARÍTIMOS[[#This Row],[Conductor]]="","",MARÍTIMOS[[#This Row],[Conductor]]),"")</f>
        <v/>
      </c>
      <c r="M745" s="2" t="str">
        <f>IFERROR(IF(MARÍTIMOS[[#This Row],[Licencia]]="","",MARÍTIMOS[[#This Row],[Licencia]]),"")</f>
        <v/>
      </c>
      <c r="N745" s="2" t="str">
        <f>IFERROR(IF(MARÍTIMOS[[#This Row],[Número de Contacto]]="","",MARÍTIMOS[[#This Row],[Número de Contacto]]),"")</f>
        <v/>
      </c>
      <c r="O745" s="10" t="str">
        <f>IFERROR(IF(MARÍTIMOS[[#This Row],[Booking|AWB|CRT]]="","",MARÍTIMOS[[#This Row],[Booking|AWB|CRT]]),"")</f>
        <v/>
      </c>
      <c r="P745" s="2" t="str">
        <f>IFERROR(IF(MARÍTIMOS[[#This Row],[Contenedor]]="","",MARÍTIMOS[[#This Row],[Contenedor]]),"")</f>
        <v/>
      </c>
      <c r="Q745" s="2" t="str">
        <f>IFERROR(IF(MARÍTIMOS[[#This Row],[Puerto de Retiro]]="","",MARÍTIMOS[[#This Row],[Puerto de Retiro]]),"")</f>
        <v/>
      </c>
      <c r="R745" s="2" t="str">
        <f>IFERROR(IF(MARÍTIMOS[[#This Row],[Almacén de Retiro]]="","",MARÍTIMOS[[#This Row],[Almacén de Retiro]]),"")</f>
        <v/>
      </c>
      <c r="S745" s="11" t="str">
        <f>IFERROR(IF(MARÍTIMOS[[#This Row],[Etapa Retiro - Cita]]="","",MARÍTIMOS[[#This Row],[Etapa Retiro - Cita]]),"")</f>
        <v/>
      </c>
      <c r="T745" s="11" t="str">
        <f>IFERROR(IF(MARÍTIMOS[[#This Row],[Etapa Retiro - Llegada]]="","",MARÍTIMOS[[#This Row],[Etapa Retiro - Llegada]]),"")</f>
        <v/>
      </c>
      <c r="U745" s="11" t="str">
        <f>IFERROR(IF(MARÍTIMOS[[#This Row],[Etapa Retiro - Ingreso]]="","",MARÍTIMOS[[#This Row],[Etapa Retiro - Ingreso]]),"")</f>
        <v/>
      </c>
      <c r="V745" s="11" t="str">
        <f>IFERROR(IF(MARÍTIMOS[[#This Row],[Etapa Retiro - Atención]]="","",MARÍTIMOS[[#This Row],[Etapa Retiro - Atención]]),"")</f>
        <v/>
      </c>
      <c r="W745" s="11" t="str">
        <f>IFERROR(IF(MARÍTIMOS[[#This Row],[Etapa Retiro - Atención]]="","",MARÍTIMOS[[#This Row],[Etapa Retiro - Atención]]),"")</f>
        <v/>
      </c>
      <c r="X745" s="11" t="str">
        <f>IFERROR(IF(MARÍTIMOS[[#This Row],[Etapa Retiro - Inicio de Ruta]]="","",MARÍTIMOS[[#This Row],[Etapa Retiro - Inicio de Ruta]]),"")</f>
        <v/>
      </c>
      <c r="Y745" s="11" t="str">
        <f>IFERROR(IF(MARÍTIMOS[[#This Row],[Hora de Posicionamiento]]="","",MARÍTIMOS[[#This Row],[Fecha de Carga]]+MARÍTIMOS[[#This Row],[Hora de Posicionamiento]]),"")</f>
        <v/>
      </c>
      <c r="Z745" s="11" t="str">
        <f>IFERROR(IF(MARÍTIMOS[[#This Row],[Etapa Despacho - Llegada]]="","",MARÍTIMOS[[#This Row],[Etapa Despacho - Llegada]]),"")</f>
        <v/>
      </c>
      <c r="AA745" s="11" t="str">
        <f>IFERROR(IF(MARÍTIMOS[[#This Row],[Etapa Despacho - Registro]]="","",MARÍTIMOS[[#This Row],[Etapa Despacho - Registro]]),"")</f>
        <v/>
      </c>
      <c r="AB745" s="11" t="str">
        <f>IFERROR(IF(MARÍTIMOS[[#This Row],[Inspección Externa]]="","",MARÍTIMOS[[#This Row],[Inspección Externa]]),"")</f>
        <v/>
      </c>
      <c r="AC745" s="11" t="str">
        <f>IFERROR(IF(MARÍTIMOS[[#This Row],[Etapa Despacho - Inicio de Carga]]="","",MARÍTIMOS[[#This Row],[Etapa Despacho - Inicio de Carga]]),"")</f>
        <v/>
      </c>
      <c r="AD745" s="11" t="str">
        <f>IFERROR(IF(MARÍTIMOS[[#This Row],[Etapa Despacho - Mitad de Carga]]="","",MARÍTIMOS[[#This Row],[Etapa Despacho - Mitad de Carga]]),"")</f>
        <v/>
      </c>
      <c r="AE745" s="11" t="str">
        <f>IFERROR(IF(MARÍTIMOS[[#This Row],[Etapa Despacho - Fin de Carga]]="","",MARÍTIMOS[[#This Row],[Etapa Despacho - Fin de Carga]]),"")</f>
        <v/>
      </c>
      <c r="AF745" s="2" t="str">
        <f>IFERROR(IF(MARÍTIMOS[[#This Row],[Puerto de Embarque]]="","",MARÍTIMOS[[#This Row],[Puerto de Embarque]]),"")</f>
        <v/>
      </c>
      <c r="AG745" s="2" t="str">
        <f>IFERROR(IF(MARÍTIMOS[[#This Row],[Almacén de Ingreso]]="","",MARÍTIMOS[[#This Row],[Almacén de Ingreso]]),"")</f>
        <v/>
      </c>
      <c r="AH745" s="11" t="str">
        <f>IFERROR(IF(MARÍTIMOS[[#This Row],[Etapa Ingreso - Cita]]="","",MARÍTIMOS[[#This Row],[Etapa Ingreso - Cita]]),"")</f>
        <v/>
      </c>
      <c r="AI745" s="11" t="str">
        <f>IFERROR(IF(MARÍTIMOS[[#This Row],[Etapa Ingreso - Llegada]]="","",MARÍTIMOS[[#This Row],[Etapa Ingreso - Llegada]]),"")</f>
        <v/>
      </c>
      <c r="AJ745" s="11" t="str">
        <f>IFERROR(IF(MARÍTIMOS[[#This Row],[Etapa Ingreso - Ingeso]]="","",MARÍTIMOS[[#This Row],[Etapa Ingreso - Ingeso]]),"")</f>
        <v/>
      </c>
      <c r="AK745" s="11" t="str">
        <f>IFERROR(IF(MARÍTIMOS[[#This Row],[Etapa Ingreso - Atención]]="","",MARÍTIMOS[[#This Row],[Etapa Ingreso - Atención]]),"")</f>
        <v/>
      </c>
      <c r="AL745" s="11" t="str">
        <f>IFERROR(IF(MARÍTIMOS[[#This Row],[Etapa Ingreso - Salida]]="","",MARÍTIMOS[[#This Row],[Etapa Ingreso - Salida]]),"")</f>
        <v/>
      </c>
      <c r="AM745" s="2" t="str">
        <f>IFERROR(IF(MARÍTIMOS[[#This Row],[FCL]]="","",MARÍTIMOS[[#This Row],[FCL]]),"")</f>
        <v/>
      </c>
      <c r="AN7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5" s="4" t="str" cm="1">
        <f t="array" ref="AO7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5" s="5" t="str">
        <f>IFERROR(OLDBD[[#This Row],[Llegada a packing]]-OLDBD[[#This Row],[Inicio de Ruta]],"")</f>
        <v/>
      </c>
      <c r="AQ745" s="6" t="str">
        <f>IFERROR(OLDBD[[#This Row],[Inicio de Ruta]]-OLDBD[[#This Row],[Salida de almacén de retiro]],"")</f>
        <v/>
      </c>
      <c r="AR7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5" s="8" t="str" cm="1">
        <f t="array" ref="AS7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5" s="9" t="str">
        <f>IFERROR(OLDBD[[#This Row],[Ingreso Packing]]-OLDBD[[#This Row],[Registro en Packing]],"")</f>
        <v/>
      </c>
      <c r="AV745" s="9" t="str">
        <f>IFERROR(OLDBD[[#This Row],[Ingreso Packing]]-OLDBD[[#This Row],[Llegada a packing]],"")</f>
        <v/>
      </c>
      <c r="AW7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5" s="5" t="str">
        <f>IFERROR(OLDBD[[#This Row],[Llegada Almacén de Ingreso]]-OLDBD[[#This Row],[Salida Packing]],"")</f>
        <v/>
      </c>
      <c r="AY745" s="4" t="str" cm="1">
        <f t="array" ref="AY7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5" s="43" t="s">
        <v>173</v>
      </c>
      <c r="BB745" s="47" t="str">
        <f>IFERROR(IF(MARÍTIMOS[[#This Row],[Estatus]]="","",MARÍTIMOS[[#This Row],[Estatus]]),"")</f>
        <v/>
      </c>
      <c r="BC745" s="43"/>
      <c r="BD745" s="46" t="str">
        <f>IFERROR(OLDBD[[#This Row],[Salida de almacén de retiro]]-OLDBD[[#This Row],[Ingreso Almacén de retiro]],"")</f>
        <v/>
      </c>
      <c r="BE745" s="46" t="str">
        <f>IFERROR(OLDBD[[#This Row],[Fin de Carga]]-OLDBD[[#This Row],[Inicio de Carga]],"")</f>
        <v/>
      </c>
    </row>
    <row r="746" spans="1:57" customFormat="1" hidden="1">
      <c r="A746" s="1"/>
      <c r="B746" s="1" t="str">
        <f>IFERROR(IF(MARÍTIMOS[[#This Row],[PP]]="","",MARÍTIMOS[[#This Row],[PP]]),"")</f>
        <v/>
      </c>
      <c r="C746" s="1" t="str">
        <f>IFERROR(IF(MARÍTIMOS[[#This Row],[Sede]]="","",MARÍTIMOS[[#This Row],[Sede]]),"")</f>
        <v/>
      </c>
      <c r="D746" s="1" t="str">
        <f>IFERROR(IF(MARÍTIMOS[[#This Row],[Instruction]]="","",MARÍTIMOS[[#This Row],[Instruction]]),"")</f>
        <v/>
      </c>
      <c r="E746" s="1"/>
      <c r="F746" s="2" t="str">
        <f>IFERROR(IF(MARÍTIMOS[[#This Row],[Transportista]]="","",MARÍTIMOS[[#This Row],[Transportista]]),"")</f>
        <v/>
      </c>
      <c r="G746" s="2" t="str">
        <f>IFERROR(IF(MARÍTIMOS[[#This Row],[Tercero]]="","",MARÍTIMOS[[#This Row],[Tercero]]),"")</f>
        <v/>
      </c>
      <c r="H746" s="2" t="str">
        <f>IFERROR(IF(MARÍTIMOS[[#This Row],[Razón Social]]="","",MARÍTIMOS[[#This Row],[Razón Social]]),"")</f>
        <v/>
      </c>
      <c r="I746" s="2" t="str">
        <f>IFERROR(IF(MARÍTIMOS[[#This Row],[RUC]]="","",MARÍTIMOS[[#This Row],[RUC]]),"")</f>
        <v/>
      </c>
      <c r="J746" s="2" t="str">
        <f>IFERROR(IF(MARÍTIMOS[[#This Row],[Placa Tracto]]="","",MARÍTIMOS[[#This Row],[Placa Tracto]]),"")</f>
        <v/>
      </c>
      <c r="K746" s="2" t="str">
        <f>IFERROR(IF(MARÍTIMOS[[#This Row],[Placa Carreta]]="","",MARÍTIMOS[[#This Row],[Placa Carreta]]),"")</f>
        <v/>
      </c>
      <c r="L746" s="44" t="str">
        <f>IFERROR(IF(MARÍTIMOS[[#This Row],[Conductor]]="","",MARÍTIMOS[[#This Row],[Conductor]]),"")</f>
        <v/>
      </c>
      <c r="M746" s="2" t="str">
        <f>IFERROR(IF(MARÍTIMOS[[#This Row],[Licencia]]="","",MARÍTIMOS[[#This Row],[Licencia]]),"")</f>
        <v/>
      </c>
      <c r="N746" s="2" t="str">
        <f>IFERROR(IF(MARÍTIMOS[[#This Row],[Número de Contacto]]="","",MARÍTIMOS[[#This Row],[Número de Contacto]]),"")</f>
        <v/>
      </c>
      <c r="O746" s="10" t="str">
        <f>IFERROR(IF(MARÍTIMOS[[#This Row],[Booking|AWB|CRT]]="","",MARÍTIMOS[[#This Row],[Booking|AWB|CRT]]),"")</f>
        <v/>
      </c>
      <c r="P746" s="2" t="str">
        <f>IFERROR(IF(MARÍTIMOS[[#This Row],[Contenedor]]="","",MARÍTIMOS[[#This Row],[Contenedor]]),"")</f>
        <v/>
      </c>
      <c r="Q746" s="2" t="str">
        <f>IFERROR(IF(MARÍTIMOS[[#This Row],[Puerto de Retiro]]="","",MARÍTIMOS[[#This Row],[Puerto de Retiro]]),"")</f>
        <v/>
      </c>
      <c r="R746" s="2" t="str">
        <f>IFERROR(IF(MARÍTIMOS[[#This Row],[Almacén de Retiro]]="","",MARÍTIMOS[[#This Row],[Almacén de Retiro]]),"")</f>
        <v/>
      </c>
      <c r="S746" s="11" t="str">
        <f>IFERROR(IF(MARÍTIMOS[[#This Row],[Etapa Retiro - Cita]]="","",MARÍTIMOS[[#This Row],[Etapa Retiro - Cita]]),"")</f>
        <v/>
      </c>
      <c r="T746" s="11" t="str">
        <f>IFERROR(IF(MARÍTIMOS[[#This Row],[Etapa Retiro - Llegada]]="","",MARÍTIMOS[[#This Row],[Etapa Retiro - Llegada]]),"")</f>
        <v/>
      </c>
      <c r="U746" s="11" t="str">
        <f>IFERROR(IF(MARÍTIMOS[[#This Row],[Etapa Retiro - Ingreso]]="","",MARÍTIMOS[[#This Row],[Etapa Retiro - Ingreso]]),"")</f>
        <v/>
      </c>
      <c r="V746" s="11" t="str">
        <f>IFERROR(IF(MARÍTIMOS[[#This Row],[Etapa Retiro - Atención]]="","",MARÍTIMOS[[#This Row],[Etapa Retiro - Atención]]),"")</f>
        <v/>
      </c>
      <c r="W746" s="11" t="str">
        <f>IFERROR(IF(MARÍTIMOS[[#This Row],[Etapa Retiro - Atención]]="","",MARÍTIMOS[[#This Row],[Etapa Retiro - Atención]]),"")</f>
        <v/>
      </c>
      <c r="X746" s="11" t="str">
        <f>IFERROR(IF(MARÍTIMOS[[#This Row],[Etapa Retiro - Inicio de Ruta]]="","",MARÍTIMOS[[#This Row],[Etapa Retiro - Inicio de Ruta]]),"")</f>
        <v/>
      </c>
      <c r="Y746" s="11" t="str">
        <f>IFERROR(IF(MARÍTIMOS[[#This Row],[Hora de Posicionamiento]]="","",MARÍTIMOS[[#This Row],[Fecha de Carga]]+MARÍTIMOS[[#This Row],[Hora de Posicionamiento]]),"")</f>
        <v/>
      </c>
      <c r="Z746" s="11" t="str">
        <f>IFERROR(IF(MARÍTIMOS[[#This Row],[Etapa Despacho - Llegada]]="","",MARÍTIMOS[[#This Row],[Etapa Despacho - Llegada]]),"")</f>
        <v/>
      </c>
      <c r="AA746" s="11" t="str">
        <f>IFERROR(IF(MARÍTIMOS[[#This Row],[Etapa Despacho - Registro]]="","",MARÍTIMOS[[#This Row],[Etapa Despacho - Registro]]),"")</f>
        <v/>
      </c>
      <c r="AB746" s="11" t="str">
        <f>IFERROR(IF(MARÍTIMOS[[#This Row],[Inspección Externa]]="","",MARÍTIMOS[[#This Row],[Inspección Externa]]),"")</f>
        <v/>
      </c>
      <c r="AC746" s="11" t="str">
        <f>IFERROR(IF(MARÍTIMOS[[#This Row],[Etapa Despacho - Inicio de Carga]]="","",MARÍTIMOS[[#This Row],[Etapa Despacho - Inicio de Carga]]),"")</f>
        <v/>
      </c>
      <c r="AD746" s="11" t="str">
        <f>IFERROR(IF(MARÍTIMOS[[#This Row],[Etapa Despacho - Mitad de Carga]]="","",MARÍTIMOS[[#This Row],[Etapa Despacho - Mitad de Carga]]),"")</f>
        <v/>
      </c>
      <c r="AE746" s="11" t="str">
        <f>IFERROR(IF(MARÍTIMOS[[#This Row],[Etapa Despacho - Fin de Carga]]="","",MARÍTIMOS[[#This Row],[Etapa Despacho - Fin de Carga]]),"")</f>
        <v/>
      </c>
      <c r="AF746" s="2" t="str">
        <f>IFERROR(IF(MARÍTIMOS[[#This Row],[Puerto de Embarque]]="","",MARÍTIMOS[[#This Row],[Puerto de Embarque]]),"")</f>
        <v/>
      </c>
      <c r="AG746" s="2" t="str">
        <f>IFERROR(IF(MARÍTIMOS[[#This Row],[Almacén de Ingreso]]="","",MARÍTIMOS[[#This Row],[Almacén de Ingreso]]),"")</f>
        <v/>
      </c>
      <c r="AH746" s="11" t="str">
        <f>IFERROR(IF(MARÍTIMOS[[#This Row],[Etapa Ingreso - Cita]]="","",MARÍTIMOS[[#This Row],[Etapa Ingreso - Cita]]),"")</f>
        <v/>
      </c>
      <c r="AI746" s="11" t="str">
        <f>IFERROR(IF(MARÍTIMOS[[#This Row],[Etapa Ingreso - Llegada]]="","",MARÍTIMOS[[#This Row],[Etapa Ingreso - Llegada]]),"")</f>
        <v/>
      </c>
      <c r="AJ746" s="11" t="str">
        <f>IFERROR(IF(MARÍTIMOS[[#This Row],[Etapa Ingreso - Ingeso]]="","",MARÍTIMOS[[#This Row],[Etapa Ingreso - Ingeso]]),"")</f>
        <v/>
      </c>
      <c r="AK746" s="11" t="str">
        <f>IFERROR(IF(MARÍTIMOS[[#This Row],[Etapa Ingreso - Atención]]="","",MARÍTIMOS[[#This Row],[Etapa Ingreso - Atención]]),"")</f>
        <v/>
      </c>
      <c r="AL746" s="11" t="str">
        <f>IFERROR(IF(MARÍTIMOS[[#This Row],[Etapa Ingreso - Salida]]="","",MARÍTIMOS[[#This Row],[Etapa Ingreso - Salida]]),"")</f>
        <v/>
      </c>
      <c r="AM746" s="2" t="str">
        <f>IFERROR(IF(MARÍTIMOS[[#This Row],[FCL]]="","",MARÍTIMOS[[#This Row],[FCL]]),"")</f>
        <v/>
      </c>
      <c r="AN7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6" s="4" t="str" cm="1">
        <f t="array" ref="AO7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6" s="5" t="str">
        <f>IFERROR(OLDBD[[#This Row],[Llegada a packing]]-OLDBD[[#This Row],[Inicio de Ruta]],"")</f>
        <v/>
      </c>
      <c r="AQ746" s="6" t="str">
        <f>IFERROR(OLDBD[[#This Row],[Inicio de Ruta]]-OLDBD[[#This Row],[Salida de almacén de retiro]],"")</f>
        <v/>
      </c>
      <c r="AR7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6" s="8" t="str" cm="1">
        <f t="array" ref="AS7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6" s="9" t="str">
        <f>IFERROR(OLDBD[[#This Row],[Ingreso Packing]]-OLDBD[[#This Row],[Registro en Packing]],"")</f>
        <v/>
      </c>
      <c r="AV746" s="9" t="str">
        <f>IFERROR(OLDBD[[#This Row],[Ingreso Packing]]-OLDBD[[#This Row],[Llegada a packing]],"")</f>
        <v/>
      </c>
      <c r="AW7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6" s="5" t="str">
        <f>IFERROR(OLDBD[[#This Row],[Llegada Almacén de Ingreso]]-OLDBD[[#This Row],[Salida Packing]],"")</f>
        <v/>
      </c>
      <c r="AY746" s="4" t="str" cm="1">
        <f t="array" ref="AY7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6" s="43" t="s">
        <v>173</v>
      </c>
      <c r="BB746" s="47" t="str">
        <f>IFERROR(IF(MARÍTIMOS[[#This Row],[Estatus]]="","",MARÍTIMOS[[#This Row],[Estatus]]),"")</f>
        <v/>
      </c>
      <c r="BC746" s="43"/>
      <c r="BD746" s="46" t="str">
        <f>IFERROR(OLDBD[[#This Row],[Salida de almacén de retiro]]-OLDBD[[#This Row],[Ingreso Almacén de retiro]],"")</f>
        <v/>
      </c>
      <c r="BE746" s="46" t="str">
        <f>IFERROR(OLDBD[[#This Row],[Fin de Carga]]-OLDBD[[#This Row],[Inicio de Carga]],"")</f>
        <v/>
      </c>
    </row>
    <row r="747" spans="1:57" customFormat="1" hidden="1">
      <c r="A747" s="1"/>
      <c r="B747" s="1" t="str">
        <f>IFERROR(IF(MARÍTIMOS[[#This Row],[PP]]="","",MARÍTIMOS[[#This Row],[PP]]),"")</f>
        <v/>
      </c>
      <c r="C747" s="1" t="str">
        <f>IFERROR(IF(MARÍTIMOS[[#This Row],[Sede]]="","",MARÍTIMOS[[#This Row],[Sede]]),"")</f>
        <v/>
      </c>
      <c r="D747" s="1" t="str">
        <f>IFERROR(IF(MARÍTIMOS[[#This Row],[Instruction]]="","",MARÍTIMOS[[#This Row],[Instruction]]),"")</f>
        <v/>
      </c>
      <c r="E747" s="1"/>
      <c r="F747" s="2" t="str">
        <f>IFERROR(IF(MARÍTIMOS[[#This Row],[Transportista]]="","",MARÍTIMOS[[#This Row],[Transportista]]),"")</f>
        <v/>
      </c>
      <c r="G747" s="2" t="str">
        <f>IFERROR(IF(MARÍTIMOS[[#This Row],[Tercero]]="","",MARÍTIMOS[[#This Row],[Tercero]]),"")</f>
        <v/>
      </c>
      <c r="H747" s="2" t="str">
        <f>IFERROR(IF(MARÍTIMOS[[#This Row],[Razón Social]]="","",MARÍTIMOS[[#This Row],[Razón Social]]),"")</f>
        <v/>
      </c>
      <c r="I747" s="2" t="str">
        <f>IFERROR(IF(MARÍTIMOS[[#This Row],[RUC]]="","",MARÍTIMOS[[#This Row],[RUC]]),"")</f>
        <v/>
      </c>
      <c r="J747" s="2" t="str">
        <f>IFERROR(IF(MARÍTIMOS[[#This Row],[Placa Tracto]]="","",MARÍTIMOS[[#This Row],[Placa Tracto]]),"")</f>
        <v/>
      </c>
      <c r="K747" s="2" t="str">
        <f>IFERROR(IF(MARÍTIMOS[[#This Row],[Placa Carreta]]="","",MARÍTIMOS[[#This Row],[Placa Carreta]]),"")</f>
        <v/>
      </c>
      <c r="L747" s="44" t="str">
        <f>IFERROR(IF(MARÍTIMOS[[#This Row],[Conductor]]="","",MARÍTIMOS[[#This Row],[Conductor]]),"")</f>
        <v/>
      </c>
      <c r="M747" s="2" t="str">
        <f>IFERROR(IF(MARÍTIMOS[[#This Row],[Licencia]]="","",MARÍTIMOS[[#This Row],[Licencia]]),"")</f>
        <v/>
      </c>
      <c r="N747" s="2" t="str">
        <f>IFERROR(IF(MARÍTIMOS[[#This Row],[Número de Contacto]]="","",MARÍTIMOS[[#This Row],[Número de Contacto]]),"")</f>
        <v/>
      </c>
      <c r="O747" s="10" t="str">
        <f>IFERROR(IF(MARÍTIMOS[[#This Row],[Booking|AWB|CRT]]="","",MARÍTIMOS[[#This Row],[Booking|AWB|CRT]]),"")</f>
        <v/>
      </c>
      <c r="P747" s="2" t="str">
        <f>IFERROR(IF(MARÍTIMOS[[#This Row],[Contenedor]]="","",MARÍTIMOS[[#This Row],[Contenedor]]),"")</f>
        <v/>
      </c>
      <c r="Q747" s="2" t="str">
        <f>IFERROR(IF(MARÍTIMOS[[#This Row],[Puerto de Retiro]]="","",MARÍTIMOS[[#This Row],[Puerto de Retiro]]),"")</f>
        <v/>
      </c>
      <c r="R747" s="2" t="str">
        <f>IFERROR(IF(MARÍTIMOS[[#This Row],[Almacén de Retiro]]="","",MARÍTIMOS[[#This Row],[Almacén de Retiro]]),"")</f>
        <v/>
      </c>
      <c r="S747" s="11" t="str">
        <f>IFERROR(IF(MARÍTIMOS[[#This Row],[Etapa Retiro - Cita]]="","",MARÍTIMOS[[#This Row],[Etapa Retiro - Cita]]),"")</f>
        <v/>
      </c>
      <c r="T747" s="11" t="str">
        <f>IFERROR(IF(MARÍTIMOS[[#This Row],[Etapa Retiro - Llegada]]="","",MARÍTIMOS[[#This Row],[Etapa Retiro - Llegada]]),"")</f>
        <v/>
      </c>
      <c r="U747" s="11" t="str">
        <f>IFERROR(IF(MARÍTIMOS[[#This Row],[Etapa Retiro - Ingreso]]="","",MARÍTIMOS[[#This Row],[Etapa Retiro - Ingreso]]),"")</f>
        <v/>
      </c>
      <c r="V747" s="11" t="str">
        <f>IFERROR(IF(MARÍTIMOS[[#This Row],[Etapa Retiro - Atención]]="","",MARÍTIMOS[[#This Row],[Etapa Retiro - Atención]]),"")</f>
        <v/>
      </c>
      <c r="W747" s="11" t="str">
        <f>IFERROR(IF(MARÍTIMOS[[#This Row],[Etapa Retiro - Atención]]="","",MARÍTIMOS[[#This Row],[Etapa Retiro - Atención]]),"")</f>
        <v/>
      </c>
      <c r="X747" s="11" t="str">
        <f>IFERROR(IF(MARÍTIMOS[[#This Row],[Etapa Retiro - Inicio de Ruta]]="","",MARÍTIMOS[[#This Row],[Etapa Retiro - Inicio de Ruta]]),"")</f>
        <v/>
      </c>
      <c r="Y747" s="11" t="str">
        <f>IFERROR(IF(MARÍTIMOS[[#This Row],[Hora de Posicionamiento]]="","",MARÍTIMOS[[#This Row],[Fecha de Carga]]+MARÍTIMOS[[#This Row],[Hora de Posicionamiento]]),"")</f>
        <v/>
      </c>
      <c r="Z747" s="11" t="str">
        <f>IFERROR(IF(MARÍTIMOS[[#This Row],[Etapa Despacho - Llegada]]="","",MARÍTIMOS[[#This Row],[Etapa Despacho - Llegada]]),"")</f>
        <v/>
      </c>
      <c r="AA747" s="11" t="str">
        <f>IFERROR(IF(MARÍTIMOS[[#This Row],[Etapa Despacho - Registro]]="","",MARÍTIMOS[[#This Row],[Etapa Despacho - Registro]]),"")</f>
        <v/>
      </c>
      <c r="AB747" s="11" t="str">
        <f>IFERROR(IF(MARÍTIMOS[[#This Row],[Inspección Externa]]="","",MARÍTIMOS[[#This Row],[Inspección Externa]]),"")</f>
        <v/>
      </c>
      <c r="AC747" s="11" t="str">
        <f>IFERROR(IF(MARÍTIMOS[[#This Row],[Etapa Despacho - Inicio de Carga]]="","",MARÍTIMOS[[#This Row],[Etapa Despacho - Inicio de Carga]]),"")</f>
        <v/>
      </c>
      <c r="AD747" s="11" t="str">
        <f>IFERROR(IF(MARÍTIMOS[[#This Row],[Etapa Despacho - Mitad de Carga]]="","",MARÍTIMOS[[#This Row],[Etapa Despacho - Mitad de Carga]]),"")</f>
        <v/>
      </c>
      <c r="AE747" s="11" t="str">
        <f>IFERROR(IF(MARÍTIMOS[[#This Row],[Etapa Despacho - Fin de Carga]]="","",MARÍTIMOS[[#This Row],[Etapa Despacho - Fin de Carga]]),"")</f>
        <v/>
      </c>
      <c r="AF747" s="2" t="str">
        <f>IFERROR(IF(MARÍTIMOS[[#This Row],[Puerto de Embarque]]="","",MARÍTIMOS[[#This Row],[Puerto de Embarque]]),"")</f>
        <v/>
      </c>
      <c r="AG747" s="2" t="str">
        <f>IFERROR(IF(MARÍTIMOS[[#This Row],[Almacén de Ingreso]]="","",MARÍTIMOS[[#This Row],[Almacén de Ingreso]]),"")</f>
        <v/>
      </c>
      <c r="AH747" s="11" t="str">
        <f>IFERROR(IF(MARÍTIMOS[[#This Row],[Etapa Ingreso - Cita]]="","",MARÍTIMOS[[#This Row],[Etapa Ingreso - Cita]]),"")</f>
        <v/>
      </c>
      <c r="AI747" s="11" t="str">
        <f>IFERROR(IF(MARÍTIMOS[[#This Row],[Etapa Ingreso - Llegada]]="","",MARÍTIMOS[[#This Row],[Etapa Ingreso - Llegada]]),"")</f>
        <v/>
      </c>
      <c r="AJ747" s="11" t="str">
        <f>IFERROR(IF(MARÍTIMOS[[#This Row],[Etapa Ingreso - Ingeso]]="","",MARÍTIMOS[[#This Row],[Etapa Ingreso - Ingeso]]),"")</f>
        <v/>
      </c>
      <c r="AK747" s="11" t="str">
        <f>IFERROR(IF(MARÍTIMOS[[#This Row],[Etapa Ingreso - Atención]]="","",MARÍTIMOS[[#This Row],[Etapa Ingreso - Atención]]),"")</f>
        <v/>
      </c>
      <c r="AL747" s="11" t="str">
        <f>IFERROR(IF(MARÍTIMOS[[#This Row],[Etapa Ingreso - Salida]]="","",MARÍTIMOS[[#This Row],[Etapa Ingreso - Salida]]),"")</f>
        <v/>
      </c>
      <c r="AM747" s="2" t="str">
        <f>IFERROR(IF(MARÍTIMOS[[#This Row],[FCL]]="","",MARÍTIMOS[[#This Row],[FCL]]),"")</f>
        <v/>
      </c>
      <c r="AN7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7" s="4" t="str" cm="1">
        <f t="array" ref="AO7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7" s="5" t="str">
        <f>IFERROR(OLDBD[[#This Row],[Llegada a packing]]-OLDBD[[#This Row],[Inicio de Ruta]],"")</f>
        <v/>
      </c>
      <c r="AQ747" s="6" t="str">
        <f>IFERROR(OLDBD[[#This Row],[Inicio de Ruta]]-OLDBD[[#This Row],[Salida de almacén de retiro]],"")</f>
        <v/>
      </c>
      <c r="AR7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7" s="8" t="str" cm="1">
        <f t="array" ref="AS7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7" s="9" t="str">
        <f>IFERROR(OLDBD[[#This Row],[Ingreso Packing]]-OLDBD[[#This Row],[Registro en Packing]],"")</f>
        <v/>
      </c>
      <c r="AV747" s="9" t="str">
        <f>IFERROR(OLDBD[[#This Row],[Ingreso Packing]]-OLDBD[[#This Row],[Llegada a packing]],"")</f>
        <v/>
      </c>
      <c r="AW7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7" s="5" t="str">
        <f>IFERROR(OLDBD[[#This Row],[Llegada Almacén de Ingreso]]-OLDBD[[#This Row],[Salida Packing]],"")</f>
        <v/>
      </c>
      <c r="AY747" s="4" t="str" cm="1">
        <f t="array" ref="AY7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7" s="43" t="s">
        <v>173</v>
      </c>
      <c r="BB747" s="47" t="str">
        <f>IFERROR(IF(MARÍTIMOS[[#This Row],[Estatus]]="","",MARÍTIMOS[[#This Row],[Estatus]]),"")</f>
        <v/>
      </c>
      <c r="BC747" s="43"/>
      <c r="BD747" s="46" t="str">
        <f>IFERROR(OLDBD[[#This Row],[Salida de almacén de retiro]]-OLDBD[[#This Row],[Ingreso Almacén de retiro]],"")</f>
        <v/>
      </c>
      <c r="BE747" s="46" t="str">
        <f>IFERROR(OLDBD[[#This Row],[Fin de Carga]]-OLDBD[[#This Row],[Inicio de Carga]],"")</f>
        <v/>
      </c>
    </row>
    <row r="748" spans="1:57" customFormat="1" hidden="1">
      <c r="A748" s="1"/>
      <c r="B748" s="1" t="str">
        <f>IFERROR(IF(MARÍTIMOS[[#This Row],[PP]]="","",MARÍTIMOS[[#This Row],[PP]]),"")</f>
        <v/>
      </c>
      <c r="C748" s="1" t="str">
        <f>IFERROR(IF(MARÍTIMOS[[#This Row],[Sede]]="","",MARÍTIMOS[[#This Row],[Sede]]),"")</f>
        <v/>
      </c>
      <c r="D748" s="1" t="str">
        <f>IFERROR(IF(MARÍTIMOS[[#This Row],[Instruction]]="","",MARÍTIMOS[[#This Row],[Instruction]]),"")</f>
        <v/>
      </c>
      <c r="E748" s="1"/>
      <c r="F748" s="2" t="str">
        <f>IFERROR(IF(MARÍTIMOS[[#This Row],[Transportista]]="","",MARÍTIMOS[[#This Row],[Transportista]]),"")</f>
        <v/>
      </c>
      <c r="G748" s="2" t="str">
        <f>IFERROR(IF(MARÍTIMOS[[#This Row],[Tercero]]="","",MARÍTIMOS[[#This Row],[Tercero]]),"")</f>
        <v/>
      </c>
      <c r="H748" s="2" t="str">
        <f>IFERROR(IF(MARÍTIMOS[[#This Row],[Razón Social]]="","",MARÍTIMOS[[#This Row],[Razón Social]]),"")</f>
        <v/>
      </c>
      <c r="I748" s="2" t="str">
        <f>IFERROR(IF(MARÍTIMOS[[#This Row],[RUC]]="","",MARÍTIMOS[[#This Row],[RUC]]),"")</f>
        <v/>
      </c>
      <c r="J748" s="2" t="str">
        <f>IFERROR(IF(MARÍTIMOS[[#This Row],[Placa Tracto]]="","",MARÍTIMOS[[#This Row],[Placa Tracto]]),"")</f>
        <v/>
      </c>
      <c r="K748" s="2" t="str">
        <f>IFERROR(IF(MARÍTIMOS[[#This Row],[Placa Carreta]]="","",MARÍTIMOS[[#This Row],[Placa Carreta]]),"")</f>
        <v/>
      </c>
      <c r="L748" s="44" t="str">
        <f>IFERROR(IF(MARÍTIMOS[[#This Row],[Conductor]]="","",MARÍTIMOS[[#This Row],[Conductor]]),"")</f>
        <v/>
      </c>
      <c r="M748" s="2" t="str">
        <f>IFERROR(IF(MARÍTIMOS[[#This Row],[Licencia]]="","",MARÍTIMOS[[#This Row],[Licencia]]),"")</f>
        <v/>
      </c>
      <c r="N748" s="2" t="str">
        <f>IFERROR(IF(MARÍTIMOS[[#This Row],[Número de Contacto]]="","",MARÍTIMOS[[#This Row],[Número de Contacto]]),"")</f>
        <v/>
      </c>
      <c r="O748" s="10" t="str">
        <f>IFERROR(IF(MARÍTIMOS[[#This Row],[Booking|AWB|CRT]]="","",MARÍTIMOS[[#This Row],[Booking|AWB|CRT]]),"")</f>
        <v/>
      </c>
      <c r="P748" s="2" t="str">
        <f>IFERROR(IF(MARÍTIMOS[[#This Row],[Contenedor]]="","",MARÍTIMOS[[#This Row],[Contenedor]]),"")</f>
        <v/>
      </c>
      <c r="Q748" s="2" t="str">
        <f>IFERROR(IF(MARÍTIMOS[[#This Row],[Puerto de Retiro]]="","",MARÍTIMOS[[#This Row],[Puerto de Retiro]]),"")</f>
        <v/>
      </c>
      <c r="R748" s="2" t="str">
        <f>IFERROR(IF(MARÍTIMOS[[#This Row],[Almacén de Retiro]]="","",MARÍTIMOS[[#This Row],[Almacén de Retiro]]),"")</f>
        <v/>
      </c>
      <c r="S748" s="11" t="str">
        <f>IFERROR(IF(MARÍTIMOS[[#This Row],[Etapa Retiro - Cita]]="","",MARÍTIMOS[[#This Row],[Etapa Retiro - Cita]]),"")</f>
        <v/>
      </c>
      <c r="T748" s="11" t="str">
        <f>IFERROR(IF(MARÍTIMOS[[#This Row],[Etapa Retiro - Llegada]]="","",MARÍTIMOS[[#This Row],[Etapa Retiro - Llegada]]),"")</f>
        <v/>
      </c>
      <c r="U748" s="11" t="str">
        <f>IFERROR(IF(MARÍTIMOS[[#This Row],[Etapa Retiro - Ingreso]]="","",MARÍTIMOS[[#This Row],[Etapa Retiro - Ingreso]]),"")</f>
        <v/>
      </c>
      <c r="V748" s="11" t="str">
        <f>IFERROR(IF(MARÍTIMOS[[#This Row],[Etapa Retiro - Atención]]="","",MARÍTIMOS[[#This Row],[Etapa Retiro - Atención]]),"")</f>
        <v/>
      </c>
      <c r="W748" s="11" t="str">
        <f>IFERROR(IF(MARÍTIMOS[[#This Row],[Etapa Retiro - Atención]]="","",MARÍTIMOS[[#This Row],[Etapa Retiro - Atención]]),"")</f>
        <v/>
      </c>
      <c r="X748" s="11" t="str">
        <f>IFERROR(IF(MARÍTIMOS[[#This Row],[Etapa Retiro - Inicio de Ruta]]="","",MARÍTIMOS[[#This Row],[Etapa Retiro - Inicio de Ruta]]),"")</f>
        <v/>
      </c>
      <c r="Y748" s="11" t="str">
        <f>IFERROR(IF(MARÍTIMOS[[#This Row],[Hora de Posicionamiento]]="","",MARÍTIMOS[[#This Row],[Fecha de Carga]]+MARÍTIMOS[[#This Row],[Hora de Posicionamiento]]),"")</f>
        <v/>
      </c>
      <c r="Z748" s="11" t="str">
        <f>IFERROR(IF(MARÍTIMOS[[#This Row],[Etapa Despacho - Llegada]]="","",MARÍTIMOS[[#This Row],[Etapa Despacho - Llegada]]),"")</f>
        <v/>
      </c>
      <c r="AA748" s="11" t="str">
        <f>IFERROR(IF(MARÍTIMOS[[#This Row],[Etapa Despacho - Registro]]="","",MARÍTIMOS[[#This Row],[Etapa Despacho - Registro]]),"")</f>
        <v/>
      </c>
      <c r="AB748" s="11" t="str">
        <f>IFERROR(IF(MARÍTIMOS[[#This Row],[Inspección Externa]]="","",MARÍTIMOS[[#This Row],[Inspección Externa]]),"")</f>
        <v/>
      </c>
      <c r="AC748" s="11" t="str">
        <f>IFERROR(IF(MARÍTIMOS[[#This Row],[Etapa Despacho - Inicio de Carga]]="","",MARÍTIMOS[[#This Row],[Etapa Despacho - Inicio de Carga]]),"")</f>
        <v/>
      </c>
      <c r="AD748" s="11" t="str">
        <f>IFERROR(IF(MARÍTIMOS[[#This Row],[Etapa Despacho - Mitad de Carga]]="","",MARÍTIMOS[[#This Row],[Etapa Despacho - Mitad de Carga]]),"")</f>
        <v/>
      </c>
      <c r="AE748" s="11" t="str">
        <f>IFERROR(IF(MARÍTIMOS[[#This Row],[Etapa Despacho - Fin de Carga]]="","",MARÍTIMOS[[#This Row],[Etapa Despacho - Fin de Carga]]),"")</f>
        <v/>
      </c>
      <c r="AF748" s="2" t="str">
        <f>IFERROR(IF(MARÍTIMOS[[#This Row],[Puerto de Embarque]]="","",MARÍTIMOS[[#This Row],[Puerto de Embarque]]),"")</f>
        <v/>
      </c>
      <c r="AG748" s="2" t="str">
        <f>IFERROR(IF(MARÍTIMOS[[#This Row],[Almacén de Ingreso]]="","",MARÍTIMOS[[#This Row],[Almacén de Ingreso]]),"")</f>
        <v/>
      </c>
      <c r="AH748" s="11" t="str">
        <f>IFERROR(IF(MARÍTIMOS[[#This Row],[Etapa Ingreso - Cita]]="","",MARÍTIMOS[[#This Row],[Etapa Ingreso - Cita]]),"")</f>
        <v/>
      </c>
      <c r="AI748" s="11" t="str">
        <f>IFERROR(IF(MARÍTIMOS[[#This Row],[Etapa Ingreso - Llegada]]="","",MARÍTIMOS[[#This Row],[Etapa Ingreso - Llegada]]),"")</f>
        <v/>
      </c>
      <c r="AJ748" s="11" t="str">
        <f>IFERROR(IF(MARÍTIMOS[[#This Row],[Etapa Ingreso - Ingeso]]="","",MARÍTIMOS[[#This Row],[Etapa Ingreso - Ingeso]]),"")</f>
        <v/>
      </c>
      <c r="AK748" s="11" t="str">
        <f>IFERROR(IF(MARÍTIMOS[[#This Row],[Etapa Ingreso - Atención]]="","",MARÍTIMOS[[#This Row],[Etapa Ingreso - Atención]]),"")</f>
        <v/>
      </c>
      <c r="AL748" s="11" t="str">
        <f>IFERROR(IF(MARÍTIMOS[[#This Row],[Etapa Ingreso - Salida]]="","",MARÍTIMOS[[#This Row],[Etapa Ingreso - Salida]]),"")</f>
        <v/>
      </c>
      <c r="AM748" s="2" t="str">
        <f>IFERROR(IF(MARÍTIMOS[[#This Row],[FCL]]="","",MARÍTIMOS[[#This Row],[FCL]]),"")</f>
        <v/>
      </c>
      <c r="AN7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8" s="4" t="str" cm="1">
        <f t="array" ref="AO7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8" s="5" t="str">
        <f>IFERROR(OLDBD[[#This Row],[Llegada a packing]]-OLDBD[[#This Row],[Inicio de Ruta]],"")</f>
        <v/>
      </c>
      <c r="AQ748" s="6" t="str">
        <f>IFERROR(OLDBD[[#This Row],[Inicio de Ruta]]-OLDBD[[#This Row],[Salida de almacén de retiro]],"")</f>
        <v/>
      </c>
      <c r="AR7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8" s="8" t="str" cm="1">
        <f t="array" ref="AS7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8" s="9" t="str">
        <f>IFERROR(OLDBD[[#This Row],[Ingreso Packing]]-OLDBD[[#This Row],[Registro en Packing]],"")</f>
        <v/>
      </c>
      <c r="AV748" s="9" t="str">
        <f>IFERROR(OLDBD[[#This Row],[Ingreso Packing]]-OLDBD[[#This Row],[Llegada a packing]],"")</f>
        <v/>
      </c>
      <c r="AW7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8" s="5" t="str">
        <f>IFERROR(OLDBD[[#This Row],[Llegada Almacén de Ingreso]]-OLDBD[[#This Row],[Salida Packing]],"")</f>
        <v/>
      </c>
      <c r="AY748" s="4" t="str" cm="1">
        <f t="array" ref="AY7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8" s="43" t="s">
        <v>173</v>
      </c>
      <c r="BB748" s="47" t="str">
        <f>IFERROR(IF(MARÍTIMOS[[#This Row],[Estatus]]="","",MARÍTIMOS[[#This Row],[Estatus]]),"")</f>
        <v/>
      </c>
      <c r="BC748" s="43"/>
      <c r="BD748" s="46" t="str">
        <f>IFERROR(OLDBD[[#This Row],[Salida de almacén de retiro]]-OLDBD[[#This Row],[Ingreso Almacén de retiro]],"")</f>
        <v/>
      </c>
      <c r="BE748" s="46" t="str">
        <f>IFERROR(OLDBD[[#This Row],[Fin de Carga]]-OLDBD[[#This Row],[Inicio de Carga]],"")</f>
        <v/>
      </c>
    </row>
    <row r="749" spans="1:57" customFormat="1" hidden="1">
      <c r="A749" s="1"/>
      <c r="B749" s="1" t="str">
        <f>IFERROR(IF(MARÍTIMOS[[#This Row],[PP]]="","",MARÍTIMOS[[#This Row],[PP]]),"")</f>
        <v/>
      </c>
      <c r="C749" s="1" t="str">
        <f>IFERROR(IF(MARÍTIMOS[[#This Row],[Sede]]="","",MARÍTIMOS[[#This Row],[Sede]]),"")</f>
        <v/>
      </c>
      <c r="D749" s="1" t="str">
        <f>IFERROR(IF(MARÍTIMOS[[#This Row],[Instruction]]="","",MARÍTIMOS[[#This Row],[Instruction]]),"")</f>
        <v/>
      </c>
      <c r="E749" s="1"/>
      <c r="F749" s="2" t="str">
        <f>IFERROR(IF(MARÍTIMOS[[#This Row],[Transportista]]="","",MARÍTIMOS[[#This Row],[Transportista]]),"")</f>
        <v/>
      </c>
      <c r="G749" s="2" t="str">
        <f>IFERROR(IF(MARÍTIMOS[[#This Row],[Tercero]]="","",MARÍTIMOS[[#This Row],[Tercero]]),"")</f>
        <v/>
      </c>
      <c r="H749" s="2" t="str">
        <f>IFERROR(IF(MARÍTIMOS[[#This Row],[Razón Social]]="","",MARÍTIMOS[[#This Row],[Razón Social]]),"")</f>
        <v/>
      </c>
      <c r="I749" s="2" t="str">
        <f>IFERROR(IF(MARÍTIMOS[[#This Row],[RUC]]="","",MARÍTIMOS[[#This Row],[RUC]]),"")</f>
        <v/>
      </c>
      <c r="J749" s="2" t="str">
        <f>IFERROR(IF(MARÍTIMOS[[#This Row],[Placa Tracto]]="","",MARÍTIMOS[[#This Row],[Placa Tracto]]),"")</f>
        <v/>
      </c>
      <c r="K749" s="2" t="str">
        <f>IFERROR(IF(MARÍTIMOS[[#This Row],[Placa Carreta]]="","",MARÍTIMOS[[#This Row],[Placa Carreta]]),"")</f>
        <v/>
      </c>
      <c r="L749" s="44" t="str">
        <f>IFERROR(IF(MARÍTIMOS[[#This Row],[Conductor]]="","",MARÍTIMOS[[#This Row],[Conductor]]),"")</f>
        <v/>
      </c>
      <c r="M749" s="2" t="str">
        <f>IFERROR(IF(MARÍTIMOS[[#This Row],[Licencia]]="","",MARÍTIMOS[[#This Row],[Licencia]]),"")</f>
        <v/>
      </c>
      <c r="N749" s="2" t="str">
        <f>IFERROR(IF(MARÍTIMOS[[#This Row],[Número de Contacto]]="","",MARÍTIMOS[[#This Row],[Número de Contacto]]),"")</f>
        <v/>
      </c>
      <c r="O749" s="10" t="str">
        <f>IFERROR(IF(MARÍTIMOS[[#This Row],[Booking|AWB|CRT]]="","",MARÍTIMOS[[#This Row],[Booking|AWB|CRT]]),"")</f>
        <v/>
      </c>
      <c r="P749" s="2" t="str">
        <f>IFERROR(IF(MARÍTIMOS[[#This Row],[Contenedor]]="","",MARÍTIMOS[[#This Row],[Contenedor]]),"")</f>
        <v/>
      </c>
      <c r="Q749" s="2" t="str">
        <f>IFERROR(IF(MARÍTIMOS[[#This Row],[Puerto de Retiro]]="","",MARÍTIMOS[[#This Row],[Puerto de Retiro]]),"")</f>
        <v/>
      </c>
      <c r="R749" s="2" t="str">
        <f>IFERROR(IF(MARÍTIMOS[[#This Row],[Almacén de Retiro]]="","",MARÍTIMOS[[#This Row],[Almacén de Retiro]]),"")</f>
        <v/>
      </c>
      <c r="S749" s="11" t="str">
        <f>IFERROR(IF(MARÍTIMOS[[#This Row],[Etapa Retiro - Cita]]="","",MARÍTIMOS[[#This Row],[Etapa Retiro - Cita]]),"")</f>
        <v/>
      </c>
      <c r="T749" s="11" t="str">
        <f>IFERROR(IF(MARÍTIMOS[[#This Row],[Etapa Retiro - Llegada]]="","",MARÍTIMOS[[#This Row],[Etapa Retiro - Llegada]]),"")</f>
        <v/>
      </c>
      <c r="U749" s="11" t="str">
        <f>IFERROR(IF(MARÍTIMOS[[#This Row],[Etapa Retiro - Ingreso]]="","",MARÍTIMOS[[#This Row],[Etapa Retiro - Ingreso]]),"")</f>
        <v/>
      </c>
      <c r="V749" s="11" t="str">
        <f>IFERROR(IF(MARÍTIMOS[[#This Row],[Etapa Retiro - Atención]]="","",MARÍTIMOS[[#This Row],[Etapa Retiro - Atención]]),"")</f>
        <v/>
      </c>
      <c r="W749" s="11" t="str">
        <f>IFERROR(IF(MARÍTIMOS[[#This Row],[Etapa Retiro - Atención]]="","",MARÍTIMOS[[#This Row],[Etapa Retiro - Atención]]),"")</f>
        <v/>
      </c>
      <c r="X749" s="11" t="str">
        <f>IFERROR(IF(MARÍTIMOS[[#This Row],[Etapa Retiro - Inicio de Ruta]]="","",MARÍTIMOS[[#This Row],[Etapa Retiro - Inicio de Ruta]]),"")</f>
        <v/>
      </c>
      <c r="Y749" s="11" t="str">
        <f>IFERROR(IF(MARÍTIMOS[[#This Row],[Hora de Posicionamiento]]="","",MARÍTIMOS[[#This Row],[Fecha de Carga]]+MARÍTIMOS[[#This Row],[Hora de Posicionamiento]]),"")</f>
        <v/>
      </c>
      <c r="Z749" s="11" t="str">
        <f>IFERROR(IF(MARÍTIMOS[[#This Row],[Etapa Despacho - Llegada]]="","",MARÍTIMOS[[#This Row],[Etapa Despacho - Llegada]]),"")</f>
        <v/>
      </c>
      <c r="AA749" s="11" t="str">
        <f>IFERROR(IF(MARÍTIMOS[[#This Row],[Etapa Despacho - Registro]]="","",MARÍTIMOS[[#This Row],[Etapa Despacho - Registro]]),"")</f>
        <v/>
      </c>
      <c r="AB749" s="11" t="str">
        <f>IFERROR(IF(MARÍTIMOS[[#This Row],[Inspección Externa]]="","",MARÍTIMOS[[#This Row],[Inspección Externa]]),"")</f>
        <v/>
      </c>
      <c r="AC749" s="11" t="str">
        <f>IFERROR(IF(MARÍTIMOS[[#This Row],[Etapa Despacho - Inicio de Carga]]="","",MARÍTIMOS[[#This Row],[Etapa Despacho - Inicio de Carga]]),"")</f>
        <v/>
      </c>
      <c r="AD749" s="11" t="str">
        <f>IFERROR(IF(MARÍTIMOS[[#This Row],[Etapa Despacho - Mitad de Carga]]="","",MARÍTIMOS[[#This Row],[Etapa Despacho - Mitad de Carga]]),"")</f>
        <v/>
      </c>
      <c r="AE749" s="11" t="str">
        <f>IFERROR(IF(MARÍTIMOS[[#This Row],[Etapa Despacho - Fin de Carga]]="","",MARÍTIMOS[[#This Row],[Etapa Despacho - Fin de Carga]]),"")</f>
        <v/>
      </c>
      <c r="AF749" s="2" t="str">
        <f>IFERROR(IF(MARÍTIMOS[[#This Row],[Puerto de Embarque]]="","",MARÍTIMOS[[#This Row],[Puerto de Embarque]]),"")</f>
        <v/>
      </c>
      <c r="AG749" s="2" t="str">
        <f>IFERROR(IF(MARÍTIMOS[[#This Row],[Almacén de Ingreso]]="","",MARÍTIMOS[[#This Row],[Almacén de Ingreso]]),"")</f>
        <v/>
      </c>
      <c r="AH749" s="11" t="str">
        <f>IFERROR(IF(MARÍTIMOS[[#This Row],[Etapa Ingreso - Cita]]="","",MARÍTIMOS[[#This Row],[Etapa Ingreso - Cita]]),"")</f>
        <v/>
      </c>
      <c r="AI749" s="11" t="str">
        <f>IFERROR(IF(MARÍTIMOS[[#This Row],[Etapa Ingreso - Llegada]]="","",MARÍTIMOS[[#This Row],[Etapa Ingreso - Llegada]]),"")</f>
        <v/>
      </c>
      <c r="AJ749" s="11" t="str">
        <f>IFERROR(IF(MARÍTIMOS[[#This Row],[Etapa Ingreso - Ingeso]]="","",MARÍTIMOS[[#This Row],[Etapa Ingreso - Ingeso]]),"")</f>
        <v/>
      </c>
      <c r="AK749" s="11" t="str">
        <f>IFERROR(IF(MARÍTIMOS[[#This Row],[Etapa Ingreso - Atención]]="","",MARÍTIMOS[[#This Row],[Etapa Ingreso - Atención]]),"")</f>
        <v/>
      </c>
      <c r="AL749" s="11" t="str">
        <f>IFERROR(IF(MARÍTIMOS[[#This Row],[Etapa Ingreso - Salida]]="","",MARÍTIMOS[[#This Row],[Etapa Ingreso - Salida]]),"")</f>
        <v/>
      </c>
      <c r="AM749" s="2" t="str">
        <f>IFERROR(IF(MARÍTIMOS[[#This Row],[FCL]]="","",MARÍTIMOS[[#This Row],[FCL]]),"")</f>
        <v/>
      </c>
      <c r="AN7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49" s="4" t="str" cm="1">
        <f t="array" ref="AO7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49" s="5" t="str">
        <f>IFERROR(OLDBD[[#This Row],[Llegada a packing]]-OLDBD[[#This Row],[Inicio de Ruta]],"")</f>
        <v/>
      </c>
      <c r="AQ749" s="6" t="str">
        <f>IFERROR(OLDBD[[#This Row],[Inicio de Ruta]]-OLDBD[[#This Row],[Salida de almacén de retiro]],"")</f>
        <v/>
      </c>
      <c r="AR7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49" s="8" t="str" cm="1">
        <f t="array" ref="AS7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49" s="9" t="str">
        <f>IFERROR(OLDBD[[#This Row],[Ingreso Packing]]-OLDBD[[#This Row],[Registro en Packing]],"")</f>
        <v/>
      </c>
      <c r="AV749" s="9" t="str">
        <f>IFERROR(OLDBD[[#This Row],[Ingreso Packing]]-OLDBD[[#This Row],[Llegada a packing]],"")</f>
        <v/>
      </c>
      <c r="AW7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49" s="5" t="str">
        <f>IFERROR(OLDBD[[#This Row],[Llegada Almacén de Ingreso]]-OLDBD[[#This Row],[Salida Packing]],"")</f>
        <v/>
      </c>
      <c r="AY749" s="4" t="str" cm="1">
        <f t="array" ref="AY7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49" s="43" t="s">
        <v>173</v>
      </c>
      <c r="BB749" s="47" t="str">
        <f>IFERROR(IF(MARÍTIMOS[[#This Row],[Estatus]]="","",MARÍTIMOS[[#This Row],[Estatus]]),"")</f>
        <v/>
      </c>
      <c r="BC749" s="43"/>
      <c r="BD749" s="46" t="str">
        <f>IFERROR(OLDBD[[#This Row],[Salida de almacén de retiro]]-OLDBD[[#This Row],[Ingreso Almacén de retiro]],"")</f>
        <v/>
      </c>
      <c r="BE749" s="46" t="str">
        <f>IFERROR(OLDBD[[#This Row],[Fin de Carga]]-OLDBD[[#This Row],[Inicio de Carga]],"")</f>
        <v/>
      </c>
    </row>
    <row r="750" spans="1:57" customFormat="1" hidden="1">
      <c r="A750" s="1"/>
      <c r="B750" s="1" t="str">
        <f>IFERROR(IF(MARÍTIMOS[[#This Row],[PP]]="","",MARÍTIMOS[[#This Row],[PP]]),"")</f>
        <v/>
      </c>
      <c r="C750" s="1" t="str">
        <f>IFERROR(IF(MARÍTIMOS[[#This Row],[Sede]]="","",MARÍTIMOS[[#This Row],[Sede]]),"")</f>
        <v/>
      </c>
      <c r="D750" s="1" t="str">
        <f>IFERROR(IF(MARÍTIMOS[[#This Row],[Instruction]]="","",MARÍTIMOS[[#This Row],[Instruction]]),"")</f>
        <v/>
      </c>
      <c r="E750" s="1"/>
      <c r="F750" s="2" t="str">
        <f>IFERROR(IF(MARÍTIMOS[[#This Row],[Transportista]]="","",MARÍTIMOS[[#This Row],[Transportista]]),"")</f>
        <v/>
      </c>
      <c r="G750" s="2" t="str">
        <f>IFERROR(IF(MARÍTIMOS[[#This Row],[Tercero]]="","",MARÍTIMOS[[#This Row],[Tercero]]),"")</f>
        <v/>
      </c>
      <c r="H750" s="2" t="str">
        <f>IFERROR(IF(MARÍTIMOS[[#This Row],[Razón Social]]="","",MARÍTIMOS[[#This Row],[Razón Social]]),"")</f>
        <v/>
      </c>
      <c r="I750" s="2" t="str">
        <f>IFERROR(IF(MARÍTIMOS[[#This Row],[RUC]]="","",MARÍTIMOS[[#This Row],[RUC]]),"")</f>
        <v/>
      </c>
      <c r="J750" s="2" t="str">
        <f>IFERROR(IF(MARÍTIMOS[[#This Row],[Placa Tracto]]="","",MARÍTIMOS[[#This Row],[Placa Tracto]]),"")</f>
        <v/>
      </c>
      <c r="K750" s="2" t="str">
        <f>IFERROR(IF(MARÍTIMOS[[#This Row],[Placa Carreta]]="","",MARÍTIMOS[[#This Row],[Placa Carreta]]),"")</f>
        <v/>
      </c>
      <c r="L750" s="44" t="str">
        <f>IFERROR(IF(MARÍTIMOS[[#This Row],[Conductor]]="","",MARÍTIMOS[[#This Row],[Conductor]]),"")</f>
        <v/>
      </c>
      <c r="M750" s="2" t="str">
        <f>IFERROR(IF(MARÍTIMOS[[#This Row],[Licencia]]="","",MARÍTIMOS[[#This Row],[Licencia]]),"")</f>
        <v/>
      </c>
      <c r="N750" s="2" t="str">
        <f>IFERROR(IF(MARÍTIMOS[[#This Row],[Número de Contacto]]="","",MARÍTIMOS[[#This Row],[Número de Contacto]]),"")</f>
        <v/>
      </c>
      <c r="O750" s="10" t="str">
        <f>IFERROR(IF(MARÍTIMOS[[#This Row],[Booking|AWB|CRT]]="","",MARÍTIMOS[[#This Row],[Booking|AWB|CRT]]),"")</f>
        <v/>
      </c>
      <c r="P750" s="2" t="str">
        <f>IFERROR(IF(MARÍTIMOS[[#This Row],[Contenedor]]="","",MARÍTIMOS[[#This Row],[Contenedor]]),"")</f>
        <v/>
      </c>
      <c r="Q750" s="2" t="str">
        <f>IFERROR(IF(MARÍTIMOS[[#This Row],[Puerto de Retiro]]="","",MARÍTIMOS[[#This Row],[Puerto de Retiro]]),"")</f>
        <v/>
      </c>
      <c r="R750" s="2" t="str">
        <f>IFERROR(IF(MARÍTIMOS[[#This Row],[Almacén de Retiro]]="","",MARÍTIMOS[[#This Row],[Almacén de Retiro]]),"")</f>
        <v/>
      </c>
      <c r="S750" s="11" t="str">
        <f>IFERROR(IF(MARÍTIMOS[[#This Row],[Etapa Retiro - Cita]]="","",MARÍTIMOS[[#This Row],[Etapa Retiro - Cita]]),"")</f>
        <v/>
      </c>
      <c r="T750" s="11" t="str">
        <f>IFERROR(IF(MARÍTIMOS[[#This Row],[Etapa Retiro - Llegada]]="","",MARÍTIMOS[[#This Row],[Etapa Retiro - Llegada]]),"")</f>
        <v/>
      </c>
      <c r="U750" s="11" t="str">
        <f>IFERROR(IF(MARÍTIMOS[[#This Row],[Etapa Retiro - Ingreso]]="","",MARÍTIMOS[[#This Row],[Etapa Retiro - Ingreso]]),"")</f>
        <v/>
      </c>
      <c r="V750" s="11" t="str">
        <f>IFERROR(IF(MARÍTIMOS[[#This Row],[Etapa Retiro - Atención]]="","",MARÍTIMOS[[#This Row],[Etapa Retiro - Atención]]),"")</f>
        <v/>
      </c>
      <c r="W750" s="11" t="str">
        <f>IFERROR(IF(MARÍTIMOS[[#This Row],[Etapa Retiro - Atención]]="","",MARÍTIMOS[[#This Row],[Etapa Retiro - Atención]]),"")</f>
        <v/>
      </c>
      <c r="X750" s="11" t="str">
        <f>IFERROR(IF(MARÍTIMOS[[#This Row],[Etapa Retiro - Inicio de Ruta]]="","",MARÍTIMOS[[#This Row],[Etapa Retiro - Inicio de Ruta]]),"")</f>
        <v/>
      </c>
      <c r="Y750" s="11" t="str">
        <f>IFERROR(IF(MARÍTIMOS[[#This Row],[Hora de Posicionamiento]]="","",MARÍTIMOS[[#This Row],[Fecha de Carga]]+MARÍTIMOS[[#This Row],[Hora de Posicionamiento]]),"")</f>
        <v/>
      </c>
      <c r="Z750" s="11" t="str">
        <f>IFERROR(IF(MARÍTIMOS[[#This Row],[Etapa Despacho - Llegada]]="","",MARÍTIMOS[[#This Row],[Etapa Despacho - Llegada]]),"")</f>
        <v/>
      </c>
      <c r="AA750" s="11" t="str">
        <f>IFERROR(IF(MARÍTIMOS[[#This Row],[Etapa Despacho - Registro]]="","",MARÍTIMOS[[#This Row],[Etapa Despacho - Registro]]),"")</f>
        <v/>
      </c>
      <c r="AB750" s="11" t="str">
        <f>IFERROR(IF(MARÍTIMOS[[#This Row],[Inspección Externa]]="","",MARÍTIMOS[[#This Row],[Inspección Externa]]),"")</f>
        <v/>
      </c>
      <c r="AC750" s="11" t="str">
        <f>IFERROR(IF(MARÍTIMOS[[#This Row],[Etapa Despacho - Inicio de Carga]]="","",MARÍTIMOS[[#This Row],[Etapa Despacho - Inicio de Carga]]),"")</f>
        <v/>
      </c>
      <c r="AD750" s="11" t="str">
        <f>IFERROR(IF(MARÍTIMOS[[#This Row],[Etapa Despacho - Mitad de Carga]]="","",MARÍTIMOS[[#This Row],[Etapa Despacho - Mitad de Carga]]),"")</f>
        <v/>
      </c>
      <c r="AE750" s="11" t="str">
        <f>IFERROR(IF(MARÍTIMOS[[#This Row],[Etapa Despacho - Fin de Carga]]="","",MARÍTIMOS[[#This Row],[Etapa Despacho - Fin de Carga]]),"")</f>
        <v/>
      </c>
      <c r="AF750" s="2" t="str">
        <f>IFERROR(IF(MARÍTIMOS[[#This Row],[Puerto de Embarque]]="","",MARÍTIMOS[[#This Row],[Puerto de Embarque]]),"")</f>
        <v/>
      </c>
      <c r="AG750" s="2" t="str">
        <f>IFERROR(IF(MARÍTIMOS[[#This Row],[Almacén de Ingreso]]="","",MARÍTIMOS[[#This Row],[Almacén de Ingreso]]),"")</f>
        <v/>
      </c>
      <c r="AH750" s="11" t="str">
        <f>IFERROR(IF(MARÍTIMOS[[#This Row],[Etapa Ingreso - Cita]]="","",MARÍTIMOS[[#This Row],[Etapa Ingreso - Cita]]),"")</f>
        <v/>
      </c>
      <c r="AI750" s="11" t="str">
        <f>IFERROR(IF(MARÍTIMOS[[#This Row],[Etapa Ingreso - Llegada]]="","",MARÍTIMOS[[#This Row],[Etapa Ingreso - Llegada]]),"")</f>
        <v/>
      </c>
      <c r="AJ750" s="11" t="str">
        <f>IFERROR(IF(MARÍTIMOS[[#This Row],[Etapa Ingreso - Ingeso]]="","",MARÍTIMOS[[#This Row],[Etapa Ingreso - Ingeso]]),"")</f>
        <v/>
      </c>
      <c r="AK750" s="11" t="str">
        <f>IFERROR(IF(MARÍTIMOS[[#This Row],[Etapa Ingreso - Atención]]="","",MARÍTIMOS[[#This Row],[Etapa Ingreso - Atención]]),"")</f>
        <v/>
      </c>
      <c r="AL750" s="11" t="str">
        <f>IFERROR(IF(MARÍTIMOS[[#This Row],[Etapa Ingreso - Salida]]="","",MARÍTIMOS[[#This Row],[Etapa Ingreso - Salida]]),"")</f>
        <v/>
      </c>
      <c r="AM750" s="2" t="str">
        <f>IFERROR(IF(MARÍTIMOS[[#This Row],[FCL]]="","",MARÍTIMOS[[#This Row],[FCL]]),"")</f>
        <v/>
      </c>
      <c r="AN7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0" s="4" t="str" cm="1">
        <f t="array" ref="AO7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0" s="5" t="str">
        <f>IFERROR(OLDBD[[#This Row],[Llegada a packing]]-OLDBD[[#This Row],[Inicio de Ruta]],"")</f>
        <v/>
      </c>
      <c r="AQ750" s="6" t="str">
        <f>IFERROR(OLDBD[[#This Row],[Inicio de Ruta]]-OLDBD[[#This Row],[Salida de almacén de retiro]],"")</f>
        <v/>
      </c>
      <c r="AR7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0" s="8" t="str" cm="1">
        <f t="array" ref="AS7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0" s="9" t="str">
        <f>IFERROR(OLDBD[[#This Row],[Ingreso Packing]]-OLDBD[[#This Row],[Registro en Packing]],"")</f>
        <v/>
      </c>
      <c r="AV750" s="9" t="str">
        <f>IFERROR(OLDBD[[#This Row],[Ingreso Packing]]-OLDBD[[#This Row],[Llegada a packing]],"")</f>
        <v/>
      </c>
      <c r="AW7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0" s="5" t="str">
        <f>IFERROR(OLDBD[[#This Row],[Llegada Almacén de Ingreso]]-OLDBD[[#This Row],[Salida Packing]],"")</f>
        <v/>
      </c>
      <c r="AY750" s="4" t="str" cm="1">
        <f t="array" ref="AY7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0" s="43" t="s">
        <v>173</v>
      </c>
      <c r="BB750" s="47" t="str">
        <f>IFERROR(IF(MARÍTIMOS[[#This Row],[Estatus]]="","",MARÍTIMOS[[#This Row],[Estatus]]),"")</f>
        <v/>
      </c>
      <c r="BC750" s="43"/>
      <c r="BD750" s="46" t="str">
        <f>IFERROR(OLDBD[[#This Row],[Salida de almacén de retiro]]-OLDBD[[#This Row],[Ingreso Almacén de retiro]],"")</f>
        <v/>
      </c>
      <c r="BE750" s="46" t="str">
        <f>IFERROR(OLDBD[[#This Row],[Fin de Carga]]-OLDBD[[#This Row],[Inicio de Carga]],"")</f>
        <v/>
      </c>
    </row>
    <row r="751" spans="1:57" customFormat="1" hidden="1">
      <c r="A751" s="1"/>
      <c r="B751" s="1" t="str">
        <f>IFERROR(IF(MARÍTIMOS[[#This Row],[PP]]="","",MARÍTIMOS[[#This Row],[PP]]),"")</f>
        <v/>
      </c>
      <c r="C751" s="1" t="str">
        <f>IFERROR(IF(MARÍTIMOS[[#This Row],[Sede]]="","",MARÍTIMOS[[#This Row],[Sede]]),"")</f>
        <v/>
      </c>
      <c r="D751" s="1" t="str">
        <f>IFERROR(IF(MARÍTIMOS[[#This Row],[Instruction]]="","",MARÍTIMOS[[#This Row],[Instruction]]),"")</f>
        <v/>
      </c>
      <c r="E751" s="1"/>
      <c r="F751" s="2" t="str">
        <f>IFERROR(IF(MARÍTIMOS[[#This Row],[Transportista]]="","",MARÍTIMOS[[#This Row],[Transportista]]),"")</f>
        <v/>
      </c>
      <c r="G751" s="2" t="str">
        <f>IFERROR(IF(MARÍTIMOS[[#This Row],[Tercero]]="","",MARÍTIMOS[[#This Row],[Tercero]]),"")</f>
        <v/>
      </c>
      <c r="H751" s="2" t="str">
        <f>IFERROR(IF(MARÍTIMOS[[#This Row],[Razón Social]]="","",MARÍTIMOS[[#This Row],[Razón Social]]),"")</f>
        <v/>
      </c>
      <c r="I751" s="2" t="str">
        <f>IFERROR(IF(MARÍTIMOS[[#This Row],[RUC]]="","",MARÍTIMOS[[#This Row],[RUC]]),"")</f>
        <v/>
      </c>
      <c r="J751" s="2" t="str">
        <f>IFERROR(IF(MARÍTIMOS[[#This Row],[Placa Tracto]]="","",MARÍTIMOS[[#This Row],[Placa Tracto]]),"")</f>
        <v/>
      </c>
      <c r="K751" s="2" t="str">
        <f>IFERROR(IF(MARÍTIMOS[[#This Row],[Placa Carreta]]="","",MARÍTIMOS[[#This Row],[Placa Carreta]]),"")</f>
        <v/>
      </c>
      <c r="L751" s="44" t="str">
        <f>IFERROR(IF(MARÍTIMOS[[#This Row],[Conductor]]="","",MARÍTIMOS[[#This Row],[Conductor]]),"")</f>
        <v/>
      </c>
      <c r="M751" s="2" t="str">
        <f>IFERROR(IF(MARÍTIMOS[[#This Row],[Licencia]]="","",MARÍTIMOS[[#This Row],[Licencia]]),"")</f>
        <v/>
      </c>
      <c r="N751" s="2" t="str">
        <f>IFERROR(IF(MARÍTIMOS[[#This Row],[Número de Contacto]]="","",MARÍTIMOS[[#This Row],[Número de Contacto]]),"")</f>
        <v/>
      </c>
      <c r="O751" s="10" t="str">
        <f>IFERROR(IF(MARÍTIMOS[[#This Row],[Booking|AWB|CRT]]="","",MARÍTIMOS[[#This Row],[Booking|AWB|CRT]]),"")</f>
        <v/>
      </c>
      <c r="P751" s="2" t="str">
        <f>IFERROR(IF(MARÍTIMOS[[#This Row],[Contenedor]]="","",MARÍTIMOS[[#This Row],[Contenedor]]),"")</f>
        <v/>
      </c>
      <c r="Q751" s="2" t="str">
        <f>IFERROR(IF(MARÍTIMOS[[#This Row],[Puerto de Retiro]]="","",MARÍTIMOS[[#This Row],[Puerto de Retiro]]),"")</f>
        <v/>
      </c>
      <c r="R751" s="2" t="str">
        <f>IFERROR(IF(MARÍTIMOS[[#This Row],[Almacén de Retiro]]="","",MARÍTIMOS[[#This Row],[Almacén de Retiro]]),"")</f>
        <v/>
      </c>
      <c r="S751" s="11" t="str">
        <f>IFERROR(IF(MARÍTIMOS[[#This Row],[Etapa Retiro - Cita]]="","",MARÍTIMOS[[#This Row],[Etapa Retiro - Cita]]),"")</f>
        <v/>
      </c>
      <c r="T751" s="11" t="str">
        <f>IFERROR(IF(MARÍTIMOS[[#This Row],[Etapa Retiro - Llegada]]="","",MARÍTIMOS[[#This Row],[Etapa Retiro - Llegada]]),"")</f>
        <v/>
      </c>
      <c r="U751" s="11" t="str">
        <f>IFERROR(IF(MARÍTIMOS[[#This Row],[Etapa Retiro - Ingreso]]="","",MARÍTIMOS[[#This Row],[Etapa Retiro - Ingreso]]),"")</f>
        <v/>
      </c>
      <c r="V751" s="11" t="str">
        <f>IFERROR(IF(MARÍTIMOS[[#This Row],[Etapa Retiro - Atención]]="","",MARÍTIMOS[[#This Row],[Etapa Retiro - Atención]]),"")</f>
        <v/>
      </c>
      <c r="W751" s="11" t="str">
        <f>IFERROR(IF(MARÍTIMOS[[#This Row],[Etapa Retiro - Atención]]="","",MARÍTIMOS[[#This Row],[Etapa Retiro - Atención]]),"")</f>
        <v/>
      </c>
      <c r="X751" s="11" t="str">
        <f>IFERROR(IF(MARÍTIMOS[[#This Row],[Etapa Retiro - Inicio de Ruta]]="","",MARÍTIMOS[[#This Row],[Etapa Retiro - Inicio de Ruta]]),"")</f>
        <v/>
      </c>
      <c r="Y751" s="11" t="str">
        <f>IFERROR(IF(MARÍTIMOS[[#This Row],[Hora de Posicionamiento]]="","",MARÍTIMOS[[#This Row],[Fecha de Carga]]+MARÍTIMOS[[#This Row],[Hora de Posicionamiento]]),"")</f>
        <v/>
      </c>
      <c r="Z751" s="11" t="str">
        <f>IFERROR(IF(MARÍTIMOS[[#This Row],[Etapa Despacho - Llegada]]="","",MARÍTIMOS[[#This Row],[Etapa Despacho - Llegada]]),"")</f>
        <v/>
      </c>
      <c r="AA751" s="11" t="str">
        <f>IFERROR(IF(MARÍTIMOS[[#This Row],[Etapa Despacho - Registro]]="","",MARÍTIMOS[[#This Row],[Etapa Despacho - Registro]]),"")</f>
        <v/>
      </c>
      <c r="AB751" s="11" t="str">
        <f>IFERROR(IF(MARÍTIMOS[[#This Row],[Inspección Externa]]="","",MARÍTIMOS[[#This Row],[Inspección Externa]]),"")</f>
        <v/>
      </c>
      <c r="AC751" s="11" t="str">
        <f>IFERROR(IF(MARÍTIMOS[[#This Row],[Etapa Despacho - Inicio de Carga]]="","",MARÍTIMOS[[#This Row],[Etapa Despacho - Inicio de Carga]]),"")</f>
        <v/>
      </c>
      <c r="AD751" s="11" t="str">
        <f>IFERROR(IF(MARÍTIMOS[[#This Row],[Etapa Despacho - Mitad de Carga]]="","",MARÍTIMOS[[#This Row],[Etapa Despacho - Mitad de Carga]]),"")</f>
        <v/>
      </c>
      <c r="AE751" s="11" t="str">
        <f>IFERROR(IF(MARÍTIMOS[[#This Row],[Etapa Despacho - Fin de Carga]]="","",MARÍTIMOS[[#This Row],[Etapa Despacho - Fin de Carga]]),"")</f>
        <v/>
      </c>
      <c r="AF751" s="2" t="str">
        <f>IFERROR(IF(MARÍTIMOS[[#This Row],[Puerto de Embarque]]="","",MARÍTIMOS[[#This Row],[Puerto de Embarque]]),"")</f>
        <v/>
      </c>
      <c r="AG751" s="2" t="str">
        <f>IFERROR(IF(MARÍTIMOS[[#This Row],[Almacén de Ingreso]]="","",MARÍTIMOS[[#This Row],[Almacén de Ingreso]]),"")</f>
        <v/>
      </c>
      <c r="AH751" s="11" t="str">
        <f>IFERROR(IF(MARÍTIMOS[[#This Row],[Etapa Ingreso - Cita]]="","",MARÍTIMOS[[#This Row],[Etapa Ingreso - Cita]]),"")</f>
        <v/>
      </c>
      <c r="AI751" s="11" t="str">
        <f>IFERROR(IF(MARÍTIMOS[[#This Row],[Etapa Ingreso - Llegada]]="","",MARÍTIMOS[[#This Row],[Etapa Ingreso - Llegada]]),"")</f>
        <v/>
      </c>
      <c r="AJ751" s="11" t="str">
        <f>IFERROR(IF(MARÍTIMOS[[#This Row],[Etapa Ingreso - Ingeso]]="","",MARÍTIMOS[[#This Row],[Etapa Ingreso - Ingeso]]),"")</f>
        <v/>
      </c>
      <c r="AK751" s="11" t="str">
        <f>IFERROR(IF(MARÍTIMOS[[#This Row],[Etapa Ingreso - Atención]]="","",MARÍTIMOS[[#This Row],[Etapa Ingreso - Atención]]),"")</f>
        <v/>
      </c>
      <c r="AL751" s="11" t="str">
        <f>IFERROR(IF(MARÍTIMOS[[#This Row],[Etapa Ingreso - Salida]]="","",MARÍTIMOS[[#This Row],[Etapa Ingreso - Salida]]),"")</f>
        <v/>
      </c>
      <c r="AM751" s="2" t="str">
        <f>IFERROR(IF(MARÍTIMOS[[#This Row],[FCL]]="","",MARÍTIMOS[[#This Row],[FCL]]),"")</f>
        <v/>
      </c>
      <c r="AN7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1" s="4" t="str" cm="1">
        <f t="array" ref="AO7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1" s="5" t="str">
        <f>IFERROR(OLDBD[[#This Row],[Llegada a packing]]-OLDBD[[#This Row],[Inicio de Ruta]],"")</f>
        <v/>
      </c>
      <c r="AQ751" s="6" t="str">
        <f>IFERROR(OLDBD[[#This Row],[Inicio de Ruta]]-OLDBD[[#This Row],[Salida de almacén de retiro]],"")</f>
        <v/>
      </c>
      <c r="AR7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1" s="8" t="str" cm="1">
        <f t="array" ref="AS7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1" s="9" t="str">
        <f>IFERROR(OLDBD[[#This Row],[Ingreso Packing]]-OLDBD[[#This Row],[Registro en Packing]],"")</f>
        <v/>
      </c>
      <c r="AV751" s="9" t="str">
        <f>IFERROR(OLDBD[[#This Row],[Ingreso Packing]]-OLDBD[[#This Row],[Llegada a packing]],"")</f>
        <v/>
      </c>
      <c r="AW7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1" s="5" t="str">
        <f>IFERROR(OLDBD[[#This Row],[Llegada Almacén de Ingreso]]-OLDBD[[#This Row],[Salida Packing]],"")</f>
        <v/>
      </c>
      <c r="AY751" s="4" t="str" cm="1">
        <f t="array" ref="AY7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1" s="43" t="s">
        <v>173</v>
      </c>
      <c r="BB751" s="47" t="str">
        <f>IFERROR(IF(MARÍTIMOS[[#This Row],[Estatus]]="","",MARÍTIMOS[[#This Row],[Estatus]]),"")</f>
        <v/>
      </c>
      <c r="BC751" s="43"/>
      <c r="BD751" s="46" t="str">
        <f>IFERROR(OLDBD[[#This Row],[Salida de almacén de retiro]]-OLDBD[[#This Row],[Ingreso Almacén de retiro]],"")</f>
        <v/>
      </c>
      <c r="BE751" s="46" t="str">
        <f>IFERROR(OLDBD[[#This Row],[Fin de Carga]]-OLDBD[[#This Row],[Inicio de Carga]],"")</f>
        <v/>
      </c>
    </row>
    <row r="752" spans="1:57" customFormat="1" hidden="1">
      <c r="A752" s="1"/>
      <c r="B752" s="1" t="str">
        <f>IFERROR(IF(MARÍTIMOS[[#This Row],[PP]]="","",MARÍTIMOS[[#This Row],[PP]]),"")</f>
        <v/>
      </c>
      <c r="C752" s="1" t="str">
        <f>IFERROR(IF(MARÍTIMOS[[#This Row],[Sede]]="","",MARÍTIMOS[[#This Row],[Sede]]),"")</f>
        <v/>
      </c>
      <c r="D752" s="1" t="str">
        <f>IFERROR(IF(MARÍTIMOS[[#This Row],[Instruction]]="","",MARÍTIMOS[[#This Row],[Instruction]]),"")</f>
        <v/>
      </c>
      <c r="E752" s="1"/>
      <c r="F752" s="2" t="str">
        <f>IFERROR(IF(MARÍTIMOS[[#This Row],[Transportista]]="","",MARÍTIMOS[[#This Row],[Transportista]]),"")</f>
        <v/>
      </c>
      <c r="G752" s="2" t="str">
        <f>IFERROR(IF(MARÍTIMOS[[#This Row],[Tercero]]="","",MARÍTIMOS[[#This Row],[Tercero]]),"")</f>
        <v/>
      </c>
      <c r="H752" s="2" t="str">
        <f>IFERROR(IF(MARÍTIMOS[[#This Row],[Razón Social]]="","",MARÍTIMOS[[#This Row],[Razón Social]]),"")</f>
        <v/>
      </c>
      <c r="I752" s="2" t="str">
        <f>IFERROR(IF(MARÍTIMOS[[#This Row],[RUC]]="","",MARÍTIMOS[[#This Row],[RUC]]),"")</f>
        <v/>
      </c>
      <c r="J752" s="2" t="str">
        <f>IFERROR(IF(MARÍTIMOS[[#This Row],[Placa Tracto]]="","",MARÍTIMOS[[#This Row],[Placa Tracto]]),"")</f>
        <v/>
      </c>
      <c r="K752" s="2" t="str">
        <f>IFERROR(IF(MARÍTIMOS[[#This Row],[Placa Carreta]]="","",MARÍTIMOS[[#This Row],[Placa Carreta]]),"")</f>
        <v/>
      </c>
      <c r="L752" s="44" t="str">
        <f>IFERROR(IF(MARÍTIMOS[[#This Row],[Conductor]]="","",MARÍTIMOS[[#This Row],[Conductor]]),"")</f>
        <v/>
      </c>
      <c r="M752" s="2" t="str">
        <f>IFERROR(IF(MARÍTIMOS[[#This Row],[Licencia]]="","",MARÍTIMOS[[#This Row],[Licencia]]),"")</f>
        <v/>
      </c>
      <c r="N752" s="2" t="str">
        <f>IFERROR(IF(MARÍTIMOS[[#This Row],[Número de Contacto]]="","",MARÍTIMOS[[#This Row],[Número de Contacto]]),"")</f>
        <v/>
      </c>
      <c r="O752" s="10" t="str">
        <f>IFERROR(IF(MARÍTIMOS[[#This Row],[Booking|AWB|CRT]]="","",MARÍTIMOS[[#This Row],[Booking|AWB|CRT]]),"")</f>
        <v/>
      </c>
      <c r="P752" s="2" t="str">
        <f>IFERROR(IF(MARÍTIMOS[[#This Row],[Contenedor]]="","",MARÍTIMOS[[#This Row],[Contenedor]]),"")</f>
        <v/>
      </c>
      <c r="Q752" s="2" t="str">
        <f>IFERROR(IF(MARÍTIMOS[[#This Row],[Puerto de Retiro]]="","",MARÍTIMOS[[#This Row],[Puerto de Retiro]]),"")</f>
        <v/>
      </c>
      <c r="R752" s="2" t="str">
        <f>IFERROR(IF(MARÍTIMOS[[#This Row],[Almacén de Retiro]]="","",MARÍTIMOS[[#This Row],[Almacén de Retiro]]),"")</f>
        <v/>
      </c>
      <c r="S752" s="11" t="str">
        <f>IFERROR(IF(MARÍTIMOS[[#This Row],[Etapa Retiro - Cita]]="","",MARÍTIMOS[[#This Row],[Etapa Retiro - Cita]]),"")</f>
        <v/>
      </c>
      <c r="T752" s="11" t="str">
        <f>IFERROR(IF(MARÍTIMOS[[#This Row],[Etapa Retiro - Llegada]]="","",MARÍTIMOS[[#This Row],[Etapa Retiro - Llegada]]),"")</f>
        <v/>
      </c>
      <c r="U752" s="11" t="str">
        <f>IFERROR(IF(MARÍTIMOS[[#This Row],[Etapa Retiro - Ingreso]]="","",MARÍTIMOS[[#This Row],[Etapa Retiro - Ingreso]]),"")</f>
        <v/>
      </c>
      <c r="V752" s="11" t="str">
        <f>IFERROR(IF(MARÍTIMOS[[#This Row],[Etapa Retiro - Atención]]="","",MARÍTIMOS[[#This Row],[Etapa Retiro - Atención]]),"")</f>
        <v/>
      </c>
      <c r="W752" s="11" t="str">
        <f>IFERROR(IF(MARÍTIMOS[[#This Row],[Etapa Retiro - Atención]]="","",MARÍTIMOS[[#This Row],[Etapa Retiro - Atención]]),"")</f>
        <v/>
      </c>
      <c r="X752" s="11" t="str">
        <f>IFERROR(IF(MARÍTIMOS[[#This Row],[Etapa Retiro - Inicio de Ruta]]="","",MARÍTIMOS[[#This Row],[Etapa Retiro - Inicio de Ruta]]),"")</f>
        <v/>
      </c>
      <c r="Y752" s="11" t="str">
        <f>IFERROR(IF(MARÍTIMOS[[#This Row],[Hora de Posicionamiento]]="","",MARÍTIMOS[[#This Row],[Fecha de Carga]]+MARÍTIMOS[[#This Row],[Hora de Posicionamiento]]),"")</f>
        <v/>
      </c>
      <c r="Z752" s="11" t="str">
        <f>IFERROR(IF(MARÍTIMOS[[#This Row],[Etapa Despacho - Llegada]]="","",MARÍTIMOS[[#This Row],[Etapa Despacho - Llegada]]),"")</f>
        <v/>
      </c>
      <c r="AA752" s="11" t="str">
        <f>IFERROR(IF(MARÍTIMOS[[#This Row],[Etapa Despacho - Registro]]="","",MARÍTIMOS[[#This Row],[Etapa Despacho - Registro]]),"")</f>
        <v/>
      </c>
      <c r="AB752" s="11" t="str">
        <f>IFERROR(IF(MARÍTIMOS[[#This Row],[Inspección Externa]]="","",MARÍTIMOS[[#This Row],[Inspección Externa]]),"")</f>
        <v/>
      </c>
      <c r="AC752" s="11" t="str">
        <f>IFERROR(IF(MARÍTIMOS[[#This Row],[Etapa Despacho - Inicio de Carga]]="","",MARÍTIMOS[[#This Row],[Etapa Despacho - Inicio de Carga]]),"")</f>
        <v/>
      </c>
      <c r="AD752" s="11" t="str">
        <f>IFERROR(IF(MARÍTIMOS[[#This Row],[Etapa Despacho - Mitad de Carga]]="","",MARÍTIMOS[[#This Row],[Etapa Despacho - Mitad de Carga]]),"")</f>
        <v/>
      </c>
      <c r="AE752" s="11" t="str">
        <f>IFERROR(IF(MARÍTIMOS[[#This Row],[Etapa Despacho - Fin de Carga]]="","",MARÍTIMOS[[#This Row],[Etapa Despacho - Fin de Carga]]),"")</f>
        <v/>
      </c>
      <c r="AF752" s="2" t="str">
        <f>IFERROR(IF(MARÍTIMOS[[#This Row],[Puerto de Embarque]]="","",MARÍTIMOS[[#This Row],[Puerto de Embarque]]),"")</f>
        <v/>
      </c>
      <c r="AG752" s="2" t="str">
        <f>IFERROR(IF(MARÍTIMOS[[#This Row],[Almacén de Ingreso]]="","",MARÍTIMOS[[#This Row],[Almacén de Ingreso]]),"")</f>
        <v/>
      </c>
      <c r="AH752" s="11" t="str">
        <f>IFERROR(IF(MARÍTIMOS[[#This Row],[Etapa Ingreso - Cita]]="","",MARÍTIMOS[[#This Row],[Etapa Ingreso - Cita]]),"")</f>
        <v/>
      </c>
      <c r="AI752" s="11" t="str">
        <f>IFERROR(IF(MARÍTIMOS[[#This Row],[Etapa Ingreso - Llegada]]="","",MARÍTIMOS[[#This Row],[Etapa Ingreso - Llegada]]),"")</f>
        <v/>
      </c>
      <c r="AJ752" s="11" t="str">
        <f>IFERROR(IF(MARÍTIMOS[[#This Row],[Etapa Ingreso - Ingeso]]="","",MARÍTIMOS[[#This Row],[Etapa Ingreso - Ingeso]]),"")</f>
        <v/>
      </c>
      <c r="AK752" s="11" t="str">
        <f>IFERROR(IF(MARÍTIMOS[[#This Row],[Etapa Ingreso - Atención]]="","",MARÍTIMOS[[#This Row],[Etapa Ingreso - Atención]]),"")</f>
        <v/>
      </c>
      <c r="AL752" s="11" t="str">
        <f>IFERROR(IF(MARÍTIMOS[[#This Row],[Etapa Ingreso - Salida]]="","",MARÍTIMOS[[#This Row],[Etapa Ingreso - Salida]]),"")</f>
        <v/>
      </c>
      <c r="AM752" s="2" t="str">
        <f>IFERROR(IF(MARÍTIMOS[[#This Row],[FCL]]="","",MARÍTIMOS[[#This Row],[FCL]]),"")</f>
        <v/>
      </c>
      <c r="AN7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2" s="4" t="str" cm="1">
        <f t="array" ref="AO7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2" s="5" t="str">
        <f>IFERROR(OLDBD[[#This Row],[Llegada a packing]]-OLDBD[[#This Row],[Inicio de Ruta]],"")</f>
        <v/>
      </c>
      <c r="AQ752" s="6" t="str">
        <f>IFERROR(OLDBD[[#This Row],[Inicio de Ruta]]-OLDBD[[#This Row],[Salida de almacén de retiro]],"")</f>
        <v/>
      </c>
      <c r="AR7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2" s="8" t="str" cm="1">
        <f t="array" ref="AS7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2" s="9" t="str">
        <f>IFERROR(OLDBD[[#This Row],[Ingreso Packing]]-OLDBD[[#This Row],[Registro en Packing]],"")</f>
        <v/>
      </c>
      <c r="AV752" s="9" t="str">
        <f>IFERROR(OLDBD[[#This Row],[Ingreso Packing]]-OLDBD[[#This Row],[Llegada a packing]],"")</f>
        <v/>
      </c>
      <c r="AW7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2" s="5" t="str">
        <f>IFERROR(OLDBD[[#This Row],[Llegada Almacén de Ingreso]]-OLDBD[[#This Row],[Salida Packing]],"")</f>
        <v/>
      </c>
      <c r="AY752" s="4" t="str" cm="1">
        <f t="array" ref="AY7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2" s="43" t="s">
        <v>173</v>
      </c>
      <c r="BB752" s="47" t="str">
        <f>IFERROR(IF(MARÍTIMOS[[#This Row],[Estatus]]="","",MARÍTIMOS[[#This Row],[Estatus]]),"")</f>
        <v/>
      </c>
      <c r="BC752" s="43"/>
      <c r="BD752" s="46" t="str">
        <f>IFERROR(OLDBD[[#This Row],[Salida de almacén de retiro]]-OLDBD[[#This Row],[Ingreso Almacén de retiro]],"")</f>
        <v/>
      </c>
      <c r="BE752" s="46" t="str">
        <f>IFERROR(OLDBD[[#This Row],[Fin de Carga]]-OLDBD[[#This Row],[Inicio de Carga]],"")</f>
        <v/>
      </c>
    </row>
    <row r="753" spans="1:57" customFormat="1" hidden="1">
      <c r="A753" s="1"/>
      <c r="B753" s="1" t="str">
        <f>IFERROR(IF(MARÍTIMOS[[#This Row],[PP]]="","",MARÍTIMOS[[#This Row],[PP]]),"")</f>
        <v/>
      </c>
      <c r="C753" s="1" t="str">
        <f>IFERROR(IF(MARÍTIMOS[[#This Row],[Sede]]="","",MARÍTIMOS[[#This Row],[Sede]]),"")</f>
        <v/>
      </c>
      <c r="D753" s="1" t="str">
        <f>IFERROR(IF(MARÍTIMOS[[#This Row],[Instruction]]="","",MARÍTIMOS[[#This Row],[Instruction]]),"")</f>
        <v/>
      </c>
      <c r="E753" s="1"/>
      <c r="F753" s="2" t="str">
        <f>IFERROR(IF(MARÍTIMOS[[#This Row],[Transportista]]="","",MARÍTIMOS[[#This Row],[Transportista]]),"")</f>
        <v/>
      </c>
      <c r="G753" s="2" t="str">
        <f>IFERROR(IF(MARÍTIMOS[[#This Row],[Tercero]]="","",MARÍTIMOS[[#This Row],[Tercero]]),"")</f>
        <v/>
      </c>
      <c r="H753" s="2" t="str">
        <f>IFERROR(IF(MARÍTIMOS[[#This Row],[Razón Social]]="","",MARÍTIMOS[[#This Row],[Razón Social]]),"")</f>
        <v/>
      </c>
      <c r="I753" s="2" t="str">
        <f>IFERROR(IF(MARÍTIMOS[[#This Row],[RUC]]="","",MARÍTIMOS[[#This Row],[RUC]]),"")</f>
        <v/>
      </c>
      <c r="J753" s="2" t="str">
        <f>IFERROR(IF(MARÍTIMOS[[#This Row],[Placa Tracto]]="","",MARÍTIMOS[[#This Row],[Placa Tracto]]),"")</f>
        <v/>
      </c>
      <c r="K753" s="2" t="str">
        <f>IFERROR(IF(MARÍTIMOS[[#This Row],[Placa Carreta]]="","",MARÍTIMOS[[#This Row],[Placa Carreta]]),"")</f>
        <v/>
      </c>
      <c r="L753" s="44" t="str">
        <f>IFERROR(IF(MARÍTIMOS[[#This Row],[Conductor]]="","",MARÍTIMOS[[#This Row],[Conductor]]),"")</f>
        <v/>
      </c>
      <c r="M753" s="2" t="str">
        <f>IFERROR(IF(MARÍTIMOS[[#This Row],[Licencia]]="","",MARÍTIMOS[[#This Row],[Licencia]]),"")</f>
        <v/>
      </c>
      <c r="N753" s="2" t="str">
        <f>IFERROR(IF(MARÍTIMOS[[#This Row],[Número de Contacto]]="","",MARÍTIMOS[[#This Row],[Número de Contacto]]),"")</f>
        <v/>
      </c>
      <c r="O753" s="10" t="str">
        <f>IFERROR(IF(MARÍTIMOS[[#This Row],[Booking|AWB|CRT]]="","",MARÍTIMOS[[#This Row],[Booking|AWB|CRT]]),"")</f>
        <v/>
      </c>
      <c r="P753" s="2" t="str">
        <f>IFERROR(IF(MARÍTIMOS[[#This Row],[Contenedor]]="","",MARÍTIMOS[[#This Row],[Contenedor]]),"")</f>
        <v/>
      </c>
      <c r="Q753" s="2" t="str">
        <f>IFERROR(IF(MARÍTIMOS[[#This Row],[Puerto de Retiro]]="","",MARÍTIMOS[[#This Row],[Puerto de Retiro]]),"")</f>
        <v/>
      </c>
      <c r="R753" s="2" t="str">
        <f>IFERROR(IF(MARÍTIMOS[[#This Row],[Almacén de Retiro]]="","",MARÍTIMOS[[#This Row],[Almacén de Retiro]]),"")</f>
        <v/>
      </c>
      <c r="S753" s="11" t="str">
        <f>IFERROR(IF(MARÍTIMOS[[#This Row],[Etapa Retiro - Cita]]="","",MARÍTIMOS[[#This Row],[Etapa Retiro - Cita]]),"")</f>
        <v/>
      </c>
      <c r="T753" s="11" t="str">
        <f>IFERROR(IF(MARÍTIMOS[[#This Row],[Etapa Retiro - Llegada]]="","",MARÍTIMOS[[#This Row],[Etapa Retiro - Llegada]]),"")</f>
        <v/>
      </c>
      <c r="U753" s="11" t="str">
        <f>IFERROR(IF(MARÍTIMOS[[#This Row],[Etapa Retiro - Ingreso]]="","",MARÍTIMOS[[#This Row],[Etapa Retiro - Ingreso]]),"")</f>
        <v/>
      </c>
      <c r="V753" s="11" t="str">
        <f>IFERROR(IF(MARÍTIMOS[[#This Row],[Etapa Retiro - Atención]]="","",MARÍTIMOS[[#This Row],[Etapa Retiro - Atención]]),"")</f>
        <v/>
      </c>
      <c r="W753" s="11" t="str">
        <f>IFERROR(IF(MARÍTIMOS[[#This Row],[Etapa Retiro - Atención]]="","",MARÍTIMOS[[#This Row],[Etapa Retiro - Atención]]),"")</f>
        <v/>
      </c>
      <c r="X753" s="11" t="str">
        <f>IFERROR(IF(MARÍTIMOS[[#This Row],[Etapa Retiro - Inicio de Ruta]]="","",MARÍTIMOS[[#This Row],[Etapa Retiro - Inicio de Ruta]]),"")</f>
        <v/>
      </c>
      <c r="Y753" s="11" t="str">
        <f>IFERROR(IF(MARÍTIMOS[[#This Row],[Hora de Posicionamiento]]="","",MARÍTIMOS[[#This Row],[Fecha de Carga]]+MARÍTIMOS[[#This Row],[Hora de Posicionamiento]]),"")</f>
        <v/>
      </c>
      <c r="Z753" s="11" t="str">
        <f>IFERROR(IF(MARÍTIMOS[[#This Row],[Etapa Despacho - Llegada]]="","",MARÍTIMOS[[#This Row],[Etapa Despacho - Llegada]]),"")</f>
        <v/>
      </c>
      <c r="AA753" s="11" t="str">
        <f>IFERROR(IF(MARÍTIMOS[[#This Row],[Etapa Despacho - Registro]]="","",MARÍTIMOS[[#This Row],[Etapa Despacho - Registro]]),"")</f>
        <v/>
      </c>
      <c r="AB753" s="11" t="str">
        <f>IFERROR(IF(MARÍTIMOS[[#This Row],[Inspección Externa]]="","",MARÍTIMOS[[#This Row],[Inspección Externa]]),"")</f>
        <v/>
      </c>
      <c r="AC753" s="11" t="str">
        <f>IFERROR(IF(MARÍTIMOS[[#This Row],[Etapa Despacho - Inicio de Carga]]="","",MARÍTIMOS[[#This Row],[Etapa Despacho - Inicio de Carga]]),"")</f>
        <v/>
      </c>
      <c r="AD753" s="11" t="str">
        <f>IFERROR(IF(MARÍTIMOS[[#This Row],[Etapa Despacho - Mitad de Carga]]="","",MARÍTIMOS[[#This Row],[Etapa Despacho - Mitad de Carga]]),"")</f>
        <v/>
      </c>
      <c r="AE753" s="11" t="str">
        <f>IFERROR(IF(MARÍTIMOS[[#This Row],[Etapa Despacho - Fin de Carga]]="","",MARÍTIMOS[[#This Row],[Etapa Despacho - Fin de Carga]]),"")</f>
        <v/>
      </c>
      <c r="AF753" s="2" t="str">
        <f>IFERROR(IF(MARÍTIMOS[[#This Row],[Puerto de Embarque]]="","",MARÍTIMOS[[#This Row],[Puerto de Embarque]]),"")</f>
        <v/>
      </c>
      <c r="AG753" s="2" t="str">
        <f>IFERROR(IF(MARÍTIMOS[[#This Row],[Almacén de Ingreso]]="","",MARÍTIMOS[[#This Row],[Almacén de Ingreso]]),"")</f>
        <v/>
      </c>
      <c r="AH753" s="11" t="str">
        <f>IFERROR(IF(MARÍTIMOS[[#This Row],[Etapa Ingreso - Cita]]="","",MARÍTIMOS[[#This Row],[Etapa Ingreso - Cita]]),"")</f>
        <v/>
      </c>
      <c r="AI753" s="11" t="str">
        <f>IFERROR(IF(MARÍTIMOS[[#This Row],[Etapa Ingreso - Llegada]]="","",MARÍTIMOS[[#This Row],[Etapa Ingreso - Llegada]]),"")</f>
        <v/>
      </c>
      <c r="AJ753" s="11" t="str">
        <f>IFERROR(IF(MARÍTIMOS[[#This Row],[Etapa Ingreso - Ingeso]]="","",MARÍTIMOS[[#This Row],[Etapa Ingreso - Ingeso]]),"")</f>
        <v/>
      </c>
      <c r="AK753" s="11" t="str">
        <f>IFERROR(IF(MARÍTIMOS[[#This Row],[Etapa Ingreso - Atención]]="","",MARÍTIMOS[[#This Row],[Etapa Ingreso - Atención]]),"")</f>
        <v/>
      </c>
      <c r="AL753" s="11" t="str">
        <f>IFERROR(IF(MARÍTIMOS[[#This Row],[Etapa Ingreso - Salida]]="","",MARÍTIMOS[[#This Row],[Etapa Ingreso - Salida]]),"")</f>
        <v/>
      </c>
      <c r="AM753" s="2" t="str">
        <f>IFERROR(IF(MARÍTIMOS[[#This Row],[FCL]]="","",MARÍTIMOS[[#This Row],[FCL]]),"")</f>
        <v/>
      </c>
      <c r="AN7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3" s="4" t="str" cm="1">
        <f t="array" ref="AO7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3" s="5" t="str">
        <f>IFERROR(OLDBD[[#This Row],[Llegada a packing]]-OLDBD[[#This Row],[Inicio de Ruta]],"")</f>
        <v/>
      </c>
      <c r="AQ753" s="6" t="str">
        <f>IFERROR(OLDBD[[#This Row],[Inicio de Ruta]]-OLDBD[[#This Row],[Salida de almacén de retiro]],"")</f>
        <v/>
      </c>
      <c r="AR7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3" s="8" t="str" cm="1">
        <f t="array" ref="AS7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3" s="9" t="str">
        <f>IFERROR(OLDBD[[#This Row],[Ingreso Packing]]-OLDBD[[#This Row],[Registro en Packing]],"")</f>
        <v/>
      </c>
      <c r="AV753" s="9" t="str">
        <f>IFERROR(OLDBD[[#This Row],[Ingreso Packing]]-OLDBD[[#This Row],[Llegada a packing]],"")</f>
        <v/>
      </c>
      <c r="AW7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3" s="5" t="str">
        <f>IFERROR(OLDBD[[#This Row],[Llegada Almacén de Ingreso]]-OLDBD[[#This Row],[Salida Packing]],"")</f>
        <v/>
      </c>
      <c r="AY753" s="4" t="str" cm="1">
        <f t="array" ref="AY7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3" s="43" t="s">
        <v>173</v>
      </c>
      <c r="BB753" s="47" t="str">
        <f>IFERROR(IF(MARÍTIMOS[[#This Row],[Estatus]]="","",MARÍTIMOS[[#This Row],[Estatus]]),"")</f>
        <v/>
      </c>
      <c r="BC753" s="43"/>
      <c r="BD753" s="46" t="str">
        <f>IFERROR(OLDBD[[#This Row],[Salida de almacén de retiro]]-OLDBD[[#This Row],[Ingreso Almacén de retiro]],"")</f>
        <v/>
      </c>
      <c r="BE753" s="46" t="str">
        <f>IFERROR(OLDBD[[#This Row],[Fin de Carga]]-OLDBD[[#This Row],[Inicio de Carga]],"")</f>
        <v/>
      </c>
    </row>
    <row r="754" spans="1:57" customFormat="1" hidden="1">
      <c r="A754" s="1"/>
      <c r="B754" s="1" t="str">
        <f>IFERROR(IF(MARÍTIMOS[[#This Row],[PP]]="","",MARÍTIMOS[[#This Row],[PP]]),"")</f>
        <v/>
      </c>
      <c r="C754" s="1" t="str">
        <f>IFERROR(IF(MARÍTIMOS[[#This Row],[Sede]]="","",MARÍTIMOS[[#This Row],[Sede]]),"")</f>
        <v/>
      </c>
      <c r="D754" s="1" t="str">
        <f>IFERROR(IF(MARÍTIMOS[[#This Row],[Instruction]]="","",MARÍTIMOS[[#This Row],[Instruction]]),"")</f>
        <v/>
      </c>
      <c r="E754" s="1"/>
      <c r="F754" s="2" t="str">
        <f>IFERROR(IF(MARÍTIMOS[[#This Row],[Transportista]]="","",MARÍTIMOS[[#This Row],[Transportista]]),"")</f>
        <v/>
      </c>
      <c r="G754" s="2" t="str">
        <f>IFERROR(IF(MARÍTIMOS[[#This Row],[Tercero]]="","",MARÍTIMOS[[#This Row],[Tercero]]),"")</f>
        <v/>
      </c>
      <c r="H754" s="2" t="str">
        <f>IFERROR(IF(MARÍTIMOS[[#This Row],[Razón Social]]="","",MARÍTIMOS[[#This Row],[Razón Social]]),"")</f>
        <v/>
      </c>
      <c r="I754" s="2" t="str">
        <f>IFERROR(IF(MARÍTIMOS[[#This Row],[RUC]]="","",MARÍTIMOS[[#This Row],[RUC]]),"")</f>
        <v/>
      </c>
      <c r="J754" s="2" t="str">
        <f>IFERROR(IF(MARÍTIMOS[[#This Row],[Placa Tracto]]="","",MARÍTIMOS[[#This Row],[Placa Tracto]]),"")</f>
        <v/>
      </c>
      <c r="K754" s="2" t="str">
        <f>IFERROR(IF(MARÍTIMOS[[#This Row],[Placa Carreta]]="","",MARÍTIMOS[[#This Row],[Placa Carreta]]),"")</f>
        <v/>
      </c>
      <c r="L754" s="44" t="str">
        <f>IFERROR(IF(MARÍTIMOS[[#This Row],[Conductor]]="","",MARÍTIMOS[[#This Row],[Conductor]]),"")</f>
        <v/>
      </c>
      <c r="M754" s="2" t="str">
        <f>IFERROR(IF(MARÍTIMOS[[#This Row],[Licencia]]="","",MARÍTIMOS[[#This Row],[Licencia]]),"")</f>
        <v/>
      </c>
      <c r="N754" s="2" t="str">
        <f>IFERROR(IF(MARÍTIMOS[[#This Row],[Número de Contacto]]="","",MARÍTIMOS[[#This Row],[Número de Contacto]]),"")</f>
        <v/>
      </c>
      <c r="O754" s="10" t="str">
        <f>IFERROR(IF(MARÍTIMOS[[#This Row],[Booking|AWB|CRT]]="","",MARÍTIMOS[[#This Row],[Booking|AWB|CRT]]),"")</f>
        <v/>
      </c>
      <c r="P754" s="2" t="str">
        <f>IFERROR(IF(MARÍTIMOS[[#This Row],[Contenedor]]="","",MARÍTIMOS[[#This Row],[Contenedor]]),"")</f>
        <v/>
      </c>
      <c r="Q754" s="2" t="str">
        <f>IFERROR(IF(MARÍTIMOS[[#This Row],[Puerto de Retiro]]="","",MARÍTIMOS[[#This Row],[Puerto de Retiro]]),"")</f>
        <v/>
      </c>
      <c r="R754" s="2" t="str">
        <f>IFERROR(IF(MARÍTIMOS[[#This Row],[Almacén de Retiro]]="","",MARÍTIMOS[[#This Row],[Almacén de Retiro]]),"")</f>
        <v/>
      </c>
      <c r="S754" s="11" t="str">
        <f>IFERROR(IF(MARÍTIMOS[[#This Row],[Etapa Retiro - Cita]]="","",MARÍTIMOS[[#This Row],[Etapa Retiro - Cita]]),"")</f>
        <v/>
      </c>
      <c r="T754" s="11" t="str">
        <f>IFERROR(IF(MARÍTIMOS[[#This Row],[Etapa Retiro - Llegada]]="","",MARÍTIMOS[[#This Row],[Etapa Retiro - Llegada]]),"")</f>
        <v/>
      </c>
      <c r="U754" s="11" t="str">
        <f>IFERROR(IF(MARÍTIMOS[[#This Row],[Etapa Retiro - Ingreso]]="","",MARÍTIMOS[[#This Row],[Etapa Retiro - Ingreso]]),"")</f>
        <v/>
      </c>
      <c r="V754" s="11" t="str">
        <f>IFERROR(IF(MARÍTIMOS[[#This Row],[Etapa Retiro - Atención]]="","",MARÍTIMOS[[#This Row],[Etapa Retiro - Atención]]),"")</f>
        <v/>
      </c>
      <c r="W754" s="11" t="str">
        <f>IFERROR(IF(MARÍTIMOS[[#This Row],[Etapa Retiro - Atención]]="","",MARÍTIMOS[[#This Row],[Etapa Retiro - Atención]]),"")</f>
        <v/>
      </c>
      <c r="X754" s="11" t="str">
        <f>IFERROR(IF(MARÍTIMOS[[#This Row],[Etapa Retiro - Inicio de Ruta]]="","",MARÍTIMOS[[#This Row],[Etapa Retiro - Inicio de Ruta]]),"")</f>
        <v/>
      </c>
      <c r="Y754" s="11" t="str">
        <f>IFERROR(IF(MARÍTIMOS[[#This Row],[Hora de Posicionamiento]]="","",MARÍTIMOS[[#This Row],[Fecha de Carga]]+MARÍTIMOS[[#This Row],[Hora de Posicionamiento]]),"")</f>
        <v/>
      </c>
      <c r="Z754" s="11" t="str">
        <f>IFERROR(IF(MARÍTIMOS[[#This Row],[Etapa Despacho - Llegada]]="","",MARÍTIMOS[[#This Row],[Etapa Despacho - Llegada]]),"")</f>
        <v/>
      </c>
      <c r="AA754" s="11" t="str">
        <f>IFERROR(IF(MARÍTIMOS[[#This Row],[Etapa Despacho - Registro]]="","",MARÍTIMOS[[#This Row],[Etapa Despacho - Registro]]),"")</f>
        <v/>
      </c>
      <c r="AB754" s="11" t="str">
        <f>IFERROR(IF(MARÍTIMOS[[#This Row],[Inspección Externa]]="","",MARÍTIMOS[[#This Row],[Inspección Externa]]),"")</f>
        <v/>
      </c>
      <c r="AC754" s="11" t="str">
        <f>IFERROR(IF(MARÍTIMOS[[#This Row],[Etapa Despacho - Inicio de Carga]]="","",MARÍTIMOS[[#This Row],[Etapa Despacho - Inicio de Carga]]),"")</f>
        <v/>
      </c>
      <c r="AD754" s="11" t="str">
        <f>IFERROR(IF(MARÍTIMOS[[#This Row],[Etapa Despacho - Mitad de Carga]]="","",MARÍTIMOS[[#This Row],[Etapa Despacho - Mitad de Carga]]),"")</f>
        <v/>
      </c>
      <c r="AE754" s="11" t="str">
        <f>IFERROR(IF(MARÍTIMOS[[#This Row],[Etapa Despacho - Fin de Carga]]="","",MARÍTIMOS[[#This Row],[Etapa Despacho - Fin de Carga]]),"")</f>
        <v/>
      </c>
      <c r="AF754" s="2" t="str">
        <f>IFERROR(IF(MARÍTIMOS[[#This Row],[Puerto de Embarque]]="","",MARÍTIMOS[[#This Row],[Puerto de Embarque]]),"")</f>
        <v/>
      </c>
      <c r="AG754" s="2" t="str">
        <f>IFERROR(IF(MARÍTIMOS[[#This Row],[Almacén de Ingreso]]="","",MARÍTIMOS[[#This Row],[Almacén de Ingreso]]),"")</f>
        <v/>
      </c>
      <c r="AH754" s="11" t="str">
        <f>IFERROR(IF(MARÍTIMOS[[#This Row],[Etapa Ingreso - Cita]]="","",MARÍTIMOS[[#This Row],[Etapa Ingreso - Cita]]),"")</f>
        <v/>
      </c>
      <c r="AI754" s="11" t="str">
        <f>IFERROR(IF(MARÍTIMOS[[#This Row],[Etapa Ingreso - Llegada]]="","",MARÍTIMOS[[#This Row],[Etapa Ingreso - Llegada]]),"")</f>
        <v/>
      </c>
      <c r="AJ754" s="11" t="str">
        <f>IFERROR(IF(MARÍTIMOS[[#This Row],[Etapa Ingreso - Ingeso]]="","",MARÍTIMOS[[#This Row],[Etapa Ingreso - Ingeso]]),"")</f>
        <v/>
      </c>
      <c r="AK754" s="11" t="str">
        <f>IFERROR(IF(MARÍTIMOS[[#This Row],[Etapa Ingreso - Atención]]="","",MARÍTIMOS[[#This Row],[Etapa Ingreso - Atención]]),"")</f>
        <v/>
      </c>
      <c r="AL754" s="11" t="str">
        <f>IFERROR(IF(MARÍTIMOS[[#This Row],[Etapa Ingreso - Salida]]="","",MARÍTIMOS[[#This Row],[Etapa Ingreso - Salida]]),"")</f>
        <v/>
      </c>
      <c r="AM754" s="2" t="str">
        <f>IFERROR(IF(MARÍTIMOS[[#This Row],[FCL]]="","",MARÍTIMOS[[#This Row],[FCL]]),"")</f>
        <v/>
      </c>
      <c r="AN7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4" s="4" t="str" cm="1">
        <f t="array" ref="AO7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4" s="5" t="str">
        <f>IFERROR(OLDBD[[#This Row],[Llegada a packing]]-OLDBD[[#This Row],[Inicio de Ruta]],"")</f>
        <v/>
      </c>
      <c r="AQ754" s="6" t="str">
        <f>IFERROR(OLDBD[[#This Row],[Inicio de Ruta]]-OLDBD[[#This Row],[Salida de almacén de retiro]],"")</f>
        <v/>
      </c>
      <c r="AR7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4" s="8" t="str" cm="1">
        <f t="array" ref="AS7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4" s="9" t="str">
        <f>IFERROR(OLDBD[[#This Row],[Ingreso Packing]]-OLDBD[[#This Row],[Registro en Packing]],"")</f>
        <v/>
      </c>
      <c r="AV754" s="9" t="str">
        <f>IFERROR(OLDBD[[#This Row],[Ingreso Packing]]-OLDBD[[#This Row],[Llegada a packing]],"")</f>
        <v/>
      </c>
      <c r="AW7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4" s="5" t="str">
        <f>IFERROR(OLDBD[[#This Row],[Llegada Almacén de Ingreso]]-OLDBD[[#This Row],[Salida Packing]],"")</f>
        <v/>
      </c>
      <c r="AY754" s="4" t="str" cm="1">
        <f t="array" ref="AY7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4" s="43" t="s">
        <v>173</v>
      </c>
      <c r="BB754" s="47" t="str">
        <f>IFERROR(IF(MARÍTIMOS[[#This Row],[Estatus]]="","",MARÍTIMOS[[#This Row],[Estatus]]),"")</f>
        <v/>
      </c>
      <c r="BC754" s="43"/>
      <c r="BD754" s="46" t="str">
        <f>IFERROR(OLDBD[[#This Row],[Salida de almacén de retiro]]-OLDBD[[#This Row],[Ingreso Almacén de retiro]],"")</f>
        <v/>
      </c>
      <c r="BE754" s="46" t="str">
        <f>IFERROR(OLDBD[[#This Row],[Fin de Carga]]-OLDBD[[#This Row],[Inicio de Carga]],"")</f>
        <v/>
      </c>
    </row>
    <row r="755" spans="1:57" customFormat="1" hidden="1">
      <c r="A755" s="1"/>
      <c r="B755" s="1" t="str">
        <f>IFERROR(IF(MARÍTIMOS[[#This Row],[PP]]="","",MARÍTIMOS[[#This Row],[PP]]),"")</f>
        <v/>
      </c>
      <c r="C755" s="1" t="str">
        <f>IFERROR(IF(MARÍTIMOS[[#This Row],[Sede]]="","",MARÍTIMOS[[#This Row],[Sede]]),"")</f>
        <v/>
      </c>
      <c r="D755" s="1" t="str">
        <f>IFERROR(IF(MARÍTIMOS[[#This Row],[Instruction]]="","",MARÍTIMOS[[#This Row],[Instruction]]),"")</f>
        <v/>
      </c>
      <c r="E755" s="1"/>
      <c r="F755" s="2" t="str">
        <f>IFERROR(IF(MARÍTIMOS[[#This Row],[Transportista]]="","",MARÍTIMOS[[#This Row],[Transportista]]),"")</f>
        <v/>
      </c>
      <c r="G755" s="2" t="str">
        <f>IFERROR(IF(MARÍTIMOS[[#This Row],[Tercero]]="","",MARÍTIMOS[[#This Row],[Tercero]]),"")</f>
        <v/>
      </c>
      <c r="H755" s="2" t="str">
        <f>IFERROR(IF(MARÍTIMOS[[#This Row],[Razón Social]]="","",MARÍTIMOS[[#This Row],[Razón Social]]),"")</f>
        <v/>
      </c>
      <c r="I755" s="2" t="str">
        <f>IFERROR(IF(MARÍTIMOS[[#This Row],[RUC]]="","",MARÍTIMOS[[#This Row],[RUC]]),"")</f>
        <v/>
      </c>
      <c r="J755" s="2" t="str">
        <f>IFERROR(IF(MARÍTIMOS[[#This Row],[Placa Tracto]]="","",MARÍTIMOS[[#This Row],[Placa Tracto]]),"")</f>
        <v/>
      </c>
      <c r="K755" s="2" t="str">
        <f>IFERROR(IF(MARÍTIMOS[[#This Row],[Placa Carreta]]="","",MARÍTIMOS[[#This Row],[Placa Carreta]]),"")</f>
        <v/>
      </c>
      <c r="L755" s="44" t="str">
        <f>IFERROR(IF(MARÍTIMOS[[#This Row],[Conductor]]="","",MARÍTIMOS[[#This Row],[Conductor]]),"")</f>
        <v/>
      </c>
      <c r="M755" s="2" t="str">
        <f>IFERROR(IF(MARÍTIMOS[[#This Row],[Licencia]]="","",MARÍTIMOS[[#This Row],[Licencia]]),"")</f>
        <v/>
      </c>
      <c r="N755" s="2" t="str">
        <f>IFERROR(IF(MARÍTIMOS[[#This Row],[Número de Contacto]]="","",MARÍTIMOS[[#This Row],[Número de Contacto]]),"")</f>
        <v/>
      </c>
      <c r="O755" s="10" t="str">
        <f>IFERROR(IF(MARÍTIMOS[[#This Row],[Booking|AWB|CRT]]="","",MARÍTIMOS[[#This Row],[Booking|AWB|CRT]]),"")</f>
        <v/>
      </c>
      <c r="P755" s="2" t="str">
        <f>IFERROR(IF(MARÍTIMOS[[#This Row],[Contenedor]]="","",MARÍTIMOS[[#This Row],[Contenedor]]),"")</f>
        <v/>
      </c>
      <c r="Q755" s="2" t="str">
        <f>IFERROR(IF(MARÍTIMOS[[#This Row],[Puerto de Retiro]]="","",MARÍTIMOS[[#This Row],[Puerto de Retiro]]),"")</f>
        <v/>
      </c>
      <c r="R755" s="2" t="str">
        <f>IFERROR(IF(MARÍTIMOS[[#This Row],[Almacén de Retiro]]="","",MARÍTIMOS[[#This Row],[Almacén de Retiro]]),"")</f>
        <v/>
      </c>
      <c r="S755" s="11" t="str">
        <f>IFERROR(IF(MARÍTIMOS[[#This Row],[Etapa Retiro - Cita]]="","",MARÍTIMOS[[#This Row],[Etapa Retiro - Cita]]),"")</f>
        <v/>
      </c>
      <c r="T755" s="11" t="str">
        <f>IFERROR(IF(MARÍTIMOS[[#This Row],[Etapa Retiro - Llegada]]="","",MARÍTIMOS[[#This Row],[Etapa Retiro - Llegada]]),"")</f>
        <v/>
      </c>
      <c r="U755" s="11" t="str">
        <f>IFERROR(IF(MARÍTIMOS[[#This Row],[Etapa Retiro - Ingreso]]="","",MARÍTIMOS[[#This Row],[Etapa Retiro - Ingreso]]),"")</f>
        <v/>
      </c>
      <c r="V755" s="11" t="str">
        <f>IFERROR(IF(MARÍTIMOS[[#This Row],[Etapa Retiro - Atención]]="","",MARÍTIMOS[[#This Row],[Etapa Retiro - Atención]]),"")</f>
        <v/>
      </c>
      <c r="W755" s="11" t="str">
        <f>IFERROR(IF(MARÍTIMOS[[#This Row],[Etapa Retiro - Atención]]="","",MARÍTIMOS[[#This Row],[Etapa Retiro - Atención]]),"")</f>
        <v/>
      </c>
      <c r="X755" s="11" t="str">
        <f>IFERROR(IF(MARÍTIMOS[[#This Row],[Etapa Retiro - Inicio de Ruta]]="","",MARÍTIMOS[[#This Row],[Etapa Retiro - Inicio de Ruta]]),"")</f>
        <v/>
      </c>
      <c r="Y755" s="11" t="str">
        <f>IFERROR(IF(MARÍTIMOS[[#This Row],[Hora de Posicionamiento]]="","",MARÍTIMOS[[#This Row],[Fecha de Carga]]+MARÍTIMOS[[#This Row],[Hora de Posicionamiento]]),"")</f>
        <v/>
      </c>
      <c r="Z755" s="11" t="str">
        <f>IFERROR(IF(MARÍTIMOS[[#This Row],[Etapa Despacho - Llegada]]="","",MARÍTIMOS[[#This Row],[Etapa Despacho - Llegada]]),"")</f>
        <v/>
      </c>
      <c r="AA755" s="11" t="str">
        <f>IFERROR(IF(MARÍTIMOS[[#This Row],[Etapa Despacho - Registro]]="","",MARÍTIMOS[[#This Row],[Etapa Despacho - Registro]]),"")</f>
        <v/>
      </c>
      <c r="AB755" s="11" t="str">
        <f>IFERROR(IF(MARÍTIMOS[[#This Row],[Inspección Externa]]="","",MARÍTIMOS[[#This Row],[Inspección Externa]]),"")</f>
        <v/>
      </c>
      <c r="AC755" s="11" t="str">
        <f>IFERROR(IF(MARÍTIMOS[[#This Row],[Etapa Despacho - Inicio de Carga]]="","",MARÍTIMOS[[#This Row],[Etapa Despacho - Inicio de Carga]]),"")</f>
        <v/>
      </c>
      <c r="AD755" s="11" t="str">
        <f>IFERROR(IF(MARÍTIMOS[[#This Row],[Etapa Despacho - Mitad de Carga]]="","",MARÍTIMOS[[#This Row],[Etapa Despacho - Mitad de Carga]]),"")</f>
        <v/>
      </c>
      <c r="AE755" s="11" t="str">
        <f>IFERROR(IF(MARÍTIMOS[[#This Row],[Etapa Despacho - Fin de Carga]]="","",MARÍTIMOS[[#This Row],[Etapa Despacho - Fin de Carga]]),"")</f>
        <v/>
      </c>
      <c r="AF755" s="2" t="str">
        <f>IFERROR(IF(MARÍTIMOS[[#This Row],[Puerto de Embarque]]="","",MARÍTIMOS[[#This Row],[Puerto de Embarque]]),"")</f>
        <v/>
      </c>
      <c r="AG755" s="2" t="str">
        <f>IFERROR(IF(MARÍTIMOS[[#This Row],[Almacén de Ingreso]]="","",MARÍTIMOS[[#This Row],[Almacén de Ingreso]]),"")</f>
        <v/>
      </c>
      <c r="AH755" s="11" t="str">
        <f>IFERROR(IF(MARÍTIMOS[[#This Row],[Etapa Ingreso - Cita]]="","",MARÍTIMOS[[#This Row],[Etapa Ingreso - Cita]]),"")</f>
        <v/>
      </c>
      <c r="AI755" s="11" t="str">
        <f>IFERROR(IF(MARÍTIMOS[[#This Row],[Etapa Ingreso - Llegada]]="","",MARÍTIMOS[[#This Row],[Etapa Ingreso - Llegada]]),"")</f>
        <v/>
      </c>
      <c r="AJ755" s="11" t="str">
        <f>IFERROR(IF(MARÍTIMOS[[#This Row],[Etapa Ingreso - Ingeso]]="","",MARÍTIMOS[[#This Row],[Etapa Ingreso - Ingeso]]),"")</f>
        <v/>
      </c>
      <c r="AK755" s="11" t="str">
        <f>IFERROR(IF(MARÍTIMOS[[#This Row],[Etapa Ingreso - Atención]]="","",MARÍTIMOS[[#This Row],[Etapa Ingreso - Atención]]),"")</f>
        <v/>
      </c>
      <c r="AL755" s="11" t="str">
        <f>IFERROR(IF(MARÍTIMOS[[#This Row],[Etapa Ingreso - Salida]]="","",MARÍTIMOS[[#This Row],[Etapa Ingreso - Salida]]),"")</f>
        <v/>
      </c>
      <c r="AM755" s="2" t="str">
        <f>IFERROR(IF(MARÍTIMOS[[#This Row],[FCL]]="","",MARÍTIMOS[[#This Row],[FCL]]),"")</f>
        <v/>
      </c>
      <c r="AN7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5" s="4" t="str" cm="1">
        <f t="array" ref="AO7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5" s="5" t="str">
        <f>IFERROR(OLDBD[[#This Row],[Llegada a packing]]-OLDBD[[#This Row],[Inicio de Ruta]],"")</f>
        <v/>
      </c>
      <c r="AQ755" s="6" t="str">
        <f>IFERROR(OLDBD[[#This Row],[Inicio de Ruta]]-OLDBD[[#This Row],[Salida de almacén de retiro]],"")</f>
        <v/>
      </c>
      <c r="AR7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5" s="8" t="str" cm="1">
        <f t="array" ref="AS7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5" s="9" t="str">
        <f>IFERROR(OLDBD[[#This Row],[Ingreso Packing]]-OLDBD[[#This Row],[Registro en Packing]],"")</f>
        <v/>
      </c>
      <c r="AV755" s="9" t="str">
        <f>IFERROR(OLDBD[[#This Row],[Ingreso Packing]]-OLDBD[[#This Row],[Llegada a packing]],"")</f>
        <v/>
      </c>
      <c r="AW7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5" s="5" t="str">
        <f>IFERROR(OLDBD[[#This Row],[Llegada Almacén de Ingreso]]-OLDBD[[#This Row],[Salida Packing]],"")</f>
        <v/>
      </c>
      <c r="AY755" s="4" t="str" cm="1">
        <f t="array" ref="AY7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5" s="43" t="s">
        <v>173</v>
      </c>
      <c r="BB755" s="47" t="str">
        <f>IFERROR(IF(MARÍTIMOS[[#This Row],[Estatus]]="","",MARÍTIMOS[[#This Row],[Estatus]]),"")</f>
        <v/>
      </c>
      <c r="BC755" s="43"/>
      <c r="BD755" s="46" t="str">
        <f>IFERROR(OLDBD[[#This Row],[Salida de almacén de retiro]]-OLDBD[[#This Row],[Ingreso Almacén de retiro]],"")</f>
        <v/>
      </c>
      <c r="BE755" s="46" t="str">
        <f>IFERROR(OLDBD[[#This Row],[Fin de Carga]]-OLDBD[[#This Row],[Inicio de Carga]],"")</f>
        <v/>
      </c>
    </row>
    <row r="756" spans="1:57" customFormat="1" hidden="1">
      <c r="A756" s="1"/>
      <c r="B756" s="1" t="str">
        <f>IFERROR(IF(MARÍTIMOS[[#This Row],[PP]]="","",MARÍTIMOS[[#This Row],[PP]]),"")</f>
        <v/>
      </c>
      <c r="C756" s="1" t="str">
        <f>IFERROR(IF(MARÍTIMOS[[#This Row],[Sede]]="","",MARÍTIMOS[[#This Row],[Sede]]),"")</f>
        <v/>
      </c>
      <c r="D756" s="1" t="str">
        <f>IFERROR(IF(MARÍTIMOS[[#This Row],[Instruction]]="","",MARÍTIMOS[[#This Row],[Instruction]]),"")</f>
        <v/>
      </c>
      <c r="E756" s="1"/>
      <c r="F756" s="2" t="str">
        <f>IFERROR(IF(MARÍTIMOS[[#This Row],[Transportista]]="","",MARÍTIMOS[[#This Row],[Transportista]]),"")</f>
        <v/>
      </c>
      <c r="G756" s="2" t="str">
        <f>IFERROR(IF(MARÍTIMOS[[#This Row],[Tercero]]="","",MARÍTIMOS[[#This Row],[Tercero]]),"")</f>
        <v/>
      </c>
      <c r="H756" s="2" t="str">
        <f>IFERROR(IF(MARÍTIMOS[[#This Row],[Razón Social]]="","",MARÍTIMOS[[#This Row],[Razón Social]]),"")</f>
        <v/>
      </c>
      <c r="I756" s="2" t="str">
        <f>IFERROR(IF(MARÍTIMOS[[#This Row],[RUC]]="","",MARÍTIMOS[[#This Row],[RUC]]),"")</f>
        <v/>
      </c>
      <c r="J756" s="2" t="str">
        <f>IFERROR(IF(MARÍTIMOS[[#This Row],[Placa Tracto]]="","",MARÍTIMOS[[#This Row],[Placa Tracto]]),"")</f>
        <v/>
      </c>
      <c r="K756" s="2" t="str">
        <f>IFERROR(IF(MARÍTIMOS[[#This Row],[Placa Carreta]]="","",MARÍTIMOS[[#This Row],[Placa Carreta]]),"")</f>
        <v/>
      </c>
      <c r="L756" s="44" t="str">
        <f>IFERROR(IF(MARÍTIMOS[[#This Row],[Conductor]]="","",MARÍTIMOS[[#This Row],[Conductor]]),"")</f>
        <v/>
      </c>
      <c r="M756" s="2" t="str">
        <f>IFERROR(IF(MARÍTIMOS[[#This Row],[Licencia]]="","",MARÍTIMOS[[#This Row],[Licencia]]),"")</f>
        <v/>
      </c>
      <c r="N756" s="2" t="str">
        <f>IFERROR(IF(MARÍTIMOS[[#This Row],[Número de Contacto]]="","",MARÍTIMOS[[#This Row],[Número de Contacto]]),"")</f>
        <v/>
      </c>
      <c r="O756" s="10" t="str">
        <f>IFERROR(IF(MARÍTIMOS[[#This Row],[Booking|AWB|CRT]]="","",MARÍTIMOS[[#This Row],[Booking|AWB|CRT]]),"")</f>
        <v/>
      </c>
      <c r="P756" s="2" t="str">
        <f>IFERROR(IF(MARÍTIMOS[[#This Row],[Contenedor]]="","",MARÍTIMOS[[#This Row],[Contenedor]]),"")</f>
        <v/>
      </c>
      <c r="Q756" s="2" t="str">
        <f>IFERROR(IF(MARÍTIMOS[[#This Row],[Puerto de Retiro]]="","",MARÍTIMOS[[#This Row],[Puerto de Retiro]]),"")</f>
        <v/>
      </c>
      <c r="R756" s="2" t="str">
        <f>IFERROR(IF(MARÍTIMOS[[#This Row],[Almacén de Retiro]]="","",MARÍTIMOS[[#This Row],[Almacén de Retiro]]),"")</f>
        <v/>
      </c>
      <c r="S756" s="11" t="str">
        <f>IFERROR(IF(MARÍTIMOS[[#This Row],[Etapa Retiro - Cita]]="","",MARÍTIMOS[[#This Row],[Etapa Retiro - Cita]]),"")</f>
        <v/>
      </c>
      <c r="T756" s="11" t="str">
        <f>IFERROR(IF(MARÍTIMOS[[#This Row],[Etapa Retiro - Llegada]]="","",MARÍTIMOS[[#This Row],[Etapa Retiro - Llegada]]),"")</f>
        <v/>
      </c>
      <c r="U756" s="11" t="str">
        <f>IFERROR(IF(MARÍTIMOS[[#This Row],[Etapa Retiro - Ingreso]]="","",MARÍTIMOS[[#This Row],[Etapa Retiro - Ingreso]]),"")</f>
        <v/>
      </c>
      <c r="V756" s="11" t="str">
        <f>IFERROR(IF(MARÍTIMOS[[#This Row],[Etapa Retiro - Atención]]="","",MARÍTIMOS[[#This Row],[Etapa Retiro - Atención]]),"")</f>
        <v/>
      </c>
      <c r="W756" s="11" t="str">
        <f>IFERROR(IF(MARÍTIMOS[[#This Row],[Etapa Retiro - Atención]]="","",MARÍTIMOS[[#This Row],[Etapa Retiro - Atención]]),"")</f>
        <v/>
      </c>
      <c r="X756" s="11" t="str">
        <f>IFERROR(IF(MARÍTIMOS[[#This Row],[Etapa Retiro - Inicio de Ruta]]="","",MARÍTIMOS[[#This Row],[Etapa Retiro - Inicio de Ruta]]),"")</f>
        <v/>
      </c>
      <c r="Y756" s="11" t="str">
        <f>IFERROR(IF(MARÍTIMOS[[#This Row],[Hora de Posicionamiento]]="","",MARÍTIMOS[[#This Row],[Fecha de Carga]]+MARÍTIMOS[[#This Row],[Hora de Posicionamiento]]),"")</f>
        <v/>
      </c>
      <c r="Z756" s="11" t="str">
        <f>IFERROR(IF(MARÍTIMOS[[#This Row],[Etapa Despacho - Llegada]]="","",MARÍTIMOS[[#This Row],[Etapa Despacho - Llegada]]),"")</f>
        <v/>
      </c>
      <c r="AA756" s="11" t="str">
        <f>IFERROR(IF(MARÍTIMOS[[#This Row],[Etapa Despacho - Registro]]="","",MARÍTIMOS[[#This Row],[Etapa Despacho - Registro]]),"")</f>
        <v/>
      </c>
      <c r="AB756" s="11" t="str">
        <f>IFERROR(IF(MARÍTIMOS[[#This Row],[Inspección Externa]]="","",MARÍTIMOS[[#This Row],[Inspección Externa]]),"")</f>
        <v/>
      </c>
      <c r="AC756" s="11" t="str">
        <f>IFERROR(IF(MARÍTIMOS[[#This Row],[Etapa Despacho - Inicio de Carga]]="","",MARÍTIMOS[[#This Row],[Etapa Despacho - Inicio de Carga]]),"")</f>
        <v/>
      </c>
      <c r="AD756" s="11" t="str">
        <f>IFERROR(IF(MARÍTIMOS[[#This Row],[Etapa Despacho - Mitad de Carga]]="","",MARÍTIMOS[[#This Row],[Etapa Despacho - Mitad de Carga]]),"")</f>
        <v/>
      </c>
      <c r="AE756" s="11" t="str">
        <f>IFERROR(IF(MARÍTIMOS[[#This Row],[Etapa Despacho - Fin de Carga]]="","",MARÍTIMOS[[#This Row],[Etapa Despacho - Fin de Carga]]),"")</f>
        <v/>
      </c>
      <c r="AF756" s="2" t="str">
        <f>IFERROR(IF(MARÍTIMOS[[#This Row],[Puerto de Embarque]]="","",MARÍTIMOS[[#This Row],[Puerto de Embarque]]),"")</f>
        <v/>
      </c>
      <c r="AG756" s="2" t="str">
        <f>IFERROR(IF(MARÍTIMOS[[#This Row],[Almacén de Ingreso]]="","",MARÍTIMOS[[#This Row],[Almacén de Ingreso]]),"")</f>
        <v/>
      </c>
      <c r="AH756" s="11" t="str">
        <f>IFERROR(IF(MARÍTIMOS[[#This Row],[Etapa Ingreso - Cita]]="","",MARÍTIMOS[[#This Row],[Etapa Ingreso - Cita]]),"")</f>
        <v/>
      </c>
      <c r="AI756" s="11" t="str">
        <f>IFERROR(IF(MARÍTIMOS[[#This Row],[Etapa Ingreso - Llegada]]="","",MARÍTIMOS[[#This Row],[Etapa Ingreso - Llegada]]),"")</f>
        <v/>
      </c>
      <c r="AJ756" s="11" t="str">
        <f>IFERROR(IF(MARÍTIMOS[[#This Row],[Etapa Ingreso - Ingeso]]="","",MARÍTIMOS[[#This Row],[Etapa Ingreso - Ingeso]]),"")</f>
        <v/>
      </c>
      <c r="AK756" s="11" t="str">
        <f>IFERROR(IF(MARÍTIMOS[[#This Row],[Etapa Ingreso - Atención]]="","",MARÍTIMOS[[#This Row],[Etapa Ingreso - Atención]]),"")</f>
        <v/>
      </c>
      <c r="AL756" s="11" t="str">
        <f>IFERROR(IF(MARÍTIMOS[[#This Row],[Etapa Ingreso - Salida]]="","",MARÍTIMOS[[#This Row],[Etapa Ingreso - Salida]]),"")</f>
        <v/>
      </c>
      <c r="AM756" s="2" t="str">
        <f>IFERROR(IF(MARÍTIMOS[[#This Row],[FCL]]="","",MARÍTIMOS[[#This Row],[FCL]]),"")</f>
        <v/>
      </c>
      <c r="AN7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6" s="4" t="str" cm="1">
        <f t="array" ref="AO7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6" s="5" t="str">
        <f>IFERROR(OLDBD[[#This Row],[Llegada a packing]]-OLDBD[[#This Row],[Inicio de Ruta]],"")</f>
        <v/>
      </c>
      <c r="AQ756" s="6" t="str">
        <f>IFERROR(OLDBD[[#This Row],[Inicio de Ruta]]-OLDBD[[#This Row],[Salida de almacén de retiro]],"")</f>
        <v/>
      </c>
      <c r="AR7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6" s="8" t="str" cm="1">
        <f t="array" ref="AS7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6" s="9" t="str">
        <f>IFERROR(OLDBD[[#This Row],[Ingreso Packing]]-OLDBD[[#This Row],[Registro en Packing]],"")</f>
        <v/>
      </c>
      <c r="AV756" s="9" t="str">
        <f>IFERROR(OLDBD[[#This Row],[Ingreso Packing]]-OLDBD[[#This Row],[Llegada a packing]],"")</f>
        <v/>
      </c>
      <c r="AW7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6" s="5" t="str">
        <f>IFERROR(OLDBD[[#This Row],[Llegada Almacén de Ingreso]]-OLDBD[[#This Row],[Salida Packing]],"")</f>
        <v/>
      </c>
      <c r="AY756" s="4" t="str" cm="1">
        <f t="array" ref="AY7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6" s="43" t="s">
        <v>173</v>
      </c>
      <c r="BB756" s="47" t="str">
        <f>IFERROR(IF(MARÍTIMOS[[#This Row],[Estatus]]="","",MARÍTIMOS[[#This Row],[Estatus]]),"")</f>
        <v/>
      </c>
      <c r="BC756" s="43"/>
      <c r="BD756" s="46" t="str">
        <f>IFERROR(OLDBD[[#This Row],[Salida de almacén de retiro]]-OLDBD[[#This Row],[Ingreso Almacén de retiro]],"")</f>
        <v/>
      </c>
      <c r="BE756" s="46" t="str">
        <f>IFERROR(OLDBD[[#This Row],[Fin de Carga]]-OLDBD[[#This Row],[Inicio de Carga]],"")</f>
        <v/>
      </c>
    </row>
    <row r="757" spans="1:57" customFormat="1" hidden="1">
      <c r="A757" s="1"/>
      <c r="B757" s="1" t="str">
        <f>IFERROR(IF(MARÍTIMOS[[#This Row],[PP]]="","",MARÍTIMOS[[#This Row],[PP]]),"")</f>
        <v/>
      </c>
      <c r="C757" s="1" t="str">
        <f>IFERROR(IF(MARÍTIMOS[[#This Row],[Sede]]="","",MARÍTIMOS[[#This Row],[Sede]]),"")</f>
        <v/>
      </c>
      <c r="D757" s="1" t="str">
        <f>IFERROR(IF(MARÍTIMOS[[#This Row],[Instruction]]="","",MARÍTIMOS[[#This Row],[Instruction]]),"")</f>
        <v/>
      </c>
      <c r="E757" s="1"/>
      <c r="F757" s="2" t="str">
        <f>IFERROR(IF(MARÍTIMOS[[#This Row],[Transportista]]="","",MARÍTIMOS[[#This Row],[Transportista]]),"")</f>
        <v/>
      </c>
      <c r="G757" s="2" t="str">
        <f>IFERROR(IF(MARÍTIMOS[[#This Row],[Tercero]]="","",MARÍTIMOS[[#This Row],[Tercero]]),"")</f>
        <v/>
      </c>
      <c r="H757" s="2" t="str">
        <f>IFERROR(IF(MARÍTIMOS[[#This Row],[Razón Social]]="","",MARÍTIMOS[[#This Row],[Razón Social]]),"")</f>
        <v/>
      </c>
      <c r="I757" s="2" t="str">
        <f>IFERROR(IF(MARÍTIMOS[[#This Row],[RUC]]="","",MARÍTIMOS[[#This Row],[RUC]]),"")</f>
        <v/>
      </c>
      <c r="J757" s="2" t="str">
        <f>IFERROR(IF(MARÍTIMOS[[#This Row],[Placa Tracto]]="","",MARÍTIMOS[[#This Row],[Placa Tracto]]),"")</f>
        <v/>
      </c>
      <c r="K757" s="2" t="str">
        <f>IFERROR(IF(MARÍTIMOS[[#This Row],[Placa Carreta]]="","",MARÍTIMOS[[#This Row],[Placa Carreta]]),"")</f>
        <v/>
      </c>
      <c r="L757" s="44" t="str">
        <f>IFERROR(IF(MARÍTIMOS[[#This Row],[Conductor]]="","",MARÍTIMOS[[#This Row],[Conductor]]),"")</f>
        <v/>
      </c>
      <c r="M757" s="2" t="str">
        <f>IFERROR(IF(MARÍTIMOS[[#This Row],[Licencia]]="","",MARÍTIMOS[[#This Row],[Licencia]]),"")</f>
        <v/>
      </c>
      <c r="N757" s="2" t="str">
        <f>IFERROR(IF(MARÍTIMOS[[#This Row],[Número de Contacto]]="","",MARÍTIMOS[[#This Row],[Número de Contacto]]),"")</f>
        <v/>
      </c>
      <c r="O757" s="10" t="str">
        <f>IFERROR(IF(MARÍTIMOS[[#This Row],[Booking|AWB|CRT]]="","",MARÍTIMOS[[#This Row],[Booking|AWB|CRT]]),"")</f>
        <v/>
      </c>
      <c r="P757" s="2" t="str">
        <f>IFERROR(IF(MARÍTIMOS[[#This Row],[Contenedor]]="","",MARÍTIMOS[[#This Row],[Contenedor]]),"")</f>
        <v/>
      </c>
      <c r="Q757" s="2" t="str">
        <f>IFERROR(IF(MARÍTIMOS[[#This Row],[Puerto de Retiro]]="","",MARÍTIMOS[[#This Row],[Puerto de Retiro]]),"")</f>
        <v/>
      </c>
      <c r="R757" s="2" t="str">
        <f>IFERROR(IF(MARÍTIMOS[[#This Row],[Almacén de Retiro]]="","",MARÍTIMOS[[#This Row],[Almacén de Retiro]]),"")</f>
        <v/>
      </c>
      <c r="S757" s="11" t="str">
        <f>IFERROR(IF(MARÍTIMOS[[#This Row],[Etapa Retiro - Cita]]="","",MARÍTIMOS[[#This Row],[Etapa Retiro - Cita]]),"")</f>
        <v/>
      </c>
      <c r="T757" s="11" t="str">
        <f>IFERROR(IF(MARÍTIMOS[[#This Row],[Etapa Retiro - Llegada]]="","",MARÍTIMOS[[#This Row],[Etapa Retiro - Llegada]]),"")</f>
        <v/>
      </c>
      <c r="U757" s="11" t="str">
        <f>IFERROR(IF(MARÍTIMOS[[#This Row],[Etapa Retiro - Ingreso]]="","",MARÍTIMOS[[#This Row],[Etapa Retiro - Ingreso]]),"")</f>
        <v/>
      </c>
      <c r="V757" s="11" t="str">
        <f>IFERROR(IF(MARÍTIMOS[[#This Row],[Etapa Retiro - Atención]]="","",MARÍTIMOS[[#This Row],[Etapa Retiro - Atención]]),"")</f>
        <v/>
      </c>
      <c r="W757" s="11" t="str">
        <f>IFERROR(IF(MARÍTIMOS[[#This Row],[Etapa Retiro - Atención]]="","",MARÍTIMOS[[#This Row],[Etapa Retiro - Atención]]),"")</f>
        <v/>
      </c>
      <c r="X757" s="11" t="str">
        <f>IFERROR(IF(MARÍTIMOS[[#This Row],[Etapa Retiro - Inicio de Ruta]]="","",MARÍTIMOS[[#This Row],[Etapa Retiro - Inicio de Ruta]]),"")</f>
        <v/>
      </c>
      <c r="Y757" s="11" t="str">
        <f>IFERROR(IF(MARÍTIMOS[[#This Row],[Hora de Posicionamiento]]="","",MARÍTIMOS[[#This Row],[Fecha de Carga]]+MARÍTIMOS[[#This Row],[Hora de Posicionamiento]]),"")</f>
        <v/>
      </c>
      <c r="Z757" s="11" t="str">
        <f>IFERROR(IF(MARÍTIMOS[[#This Row],[Etapa Despacho - Llegada]]="","",MARÍTIMOS[[#This Row],[Etapa Despacho - Llegada]]),"")</f>
        <v/>
      </c>
      <c r="AA757" s="11" t="str">
        <f>IFERROR(IF(MARÍTIMOS[[#This Row],[Etapa Despacho - Registro]]="","",MARÍTIMOS[[#This Row],[Etapa Despacho - Registro]]),"")</f>
        <v/>
      </c>
      <c r="AB757" s="11" t="str">
        <f>IFERROR(IF(MARÍTIMOS[[#This Row],[Inspección Externa]]="","",MARÍTIMOS[[#This Row],[Inspección Externa]]),"")</f>
        <v/>
      </c>
      <c r="AC757" s="11" t="str">
        <f>IFERROR(IF(MARÍTIMOS[[#This Row],[Etapa Despacho - Inicio de Carga]]="","",MARÍTIMOS[[#This Row],[Etapa Despacho - Inicio de Carga]]),"")</f>
        <v/>
      </c>
      <c r="AD757" s="11" t="str">
        <f>IFERROR(IF(MARÍTIMOS[[#This Row],[Etapa Despacho - Mitad de Carga]]="","",MARÍTIMOS[[#This Row],[Etapa Despacho - Mitad de Carga]]),"")</f>
        <v/>
      </c>
      <c r="AE757" s="11" t="str">
        <f>IFERROR(IF(MARÍTIMOS[[#This Row],[Etapa Despacho - Fin de Carga]]="","",MARÍTIMOS[[#This Row],[Etapa Despacho - Fin de Carga]]),"")</f>
        <v/>
      </c>
      <c r="AF757" s="2" t="str">
        <f>IFERROR(IF(MARÍTIMOS[[#This Row],[Puerto de Embarque]]="","",MARÍTIMOS[[#This Row],[Puerto de Embarque]]),"")</f>
        <v/>
      </c>
      <c r="AG757" s="2" t="str">
        <f>IFERROR(IF(MARÍTIMOS[[#This Row],[Almacén de Ingreso]]="","",MARÍTIMOS[[#This Row],[Almacén de Ingreso]]),"")</f>
        <v/>
      </c>
      <c r="AH757" s="11" t="str">
        <f>IFERROR(IF(MARÍTIMOS[[#This Row],[Etapa Ingreso - Cita]]="","",MARÍTIMOS[[#This Row],[Etapa Ingreso - Cita]]),"")</f>
        <v/>
      </c>
      <c r="AI757" s="11" t="str">
        <f>IFERROR(IF(MARÍTIMOS[[#This Row],[Etapa Ingreso - Llegada]]="","",MARÍTIMOS[[#This Row],[Etapa Ingreso - Llegada]]),"")</f>
        <v/>
      </c>
      <c r="AJ757" s="11" t="str">
        <f>IFERROR(IF(MARÍTIMOS[[#This Row],[Etapa Ingreso - Ingeso]]="","",MARÍTIMOS[[#This Row],[Etapa Ingreso - Ingeso]]),"")</f>
        <v/>
      </c>
      <c r="AK757" s="11" t="str">
        <f>IFERROR(IF(MARÍTIMOS[[#This Row],[Etapa Ingreso - Atención]]="","",MARÍTIMOS[[#This Row],[Etapa Ingreso - Atención]]),"")</f>
        <v/>
      </c>
      <c r="AL757" s="11" t="str">
        <f>IFERROR(IF(MARÍTIMOS[[#This Row],[Etapa Ingreso - Salida]]="","",MARÍTIMOS[[#This Row],[Etapa Ingreso - Salida]]),"")</f>
        <v/>
      </c>
      <c r="AM757" s="2" t="str">
        <f>IFERROR(IF(MARÍTIMOS[[#This Row],[FCL]]="","",MARÍTIMOS[[#This Row],[FCL]]),"")</f>
        <v/>
      </c>
      <c r="AN7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7" s="4" t="str" cm="1">
        <f t="array" ref="AO7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7" s="5" t="str">
        <f>IFERROR(OLDBD[[#This Row],[Llegada a packing]]-OLDBD[[#This Row],[Inicio de Ruta]],"")</f>
        <v/>
      </c>
      <c r="AQ757" s="6" t="str">
        <f>IFERROR(OLDBD[[#This Row],[Inicio de Ruta]]-OLDBD[[#This Row],[Salida de almacén de retiro]],"")</f>
        <v/>
      </c>
      <c r="AR7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7" s="8" t="str" cm="1">
        <f t="array" ref="AS7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7" s="9" t="str">
        <f>IFERROR(OLDBD[[#This Row],[Ingreso Packing]]-OLDBD[[#This Row],[Registro en Packing]],"")</f>
        <v/>
      </c>
      <c r="AV757" s="9" t="str">
        <f>IFERROR(OLDBD[[#This Row],[Ingreso Packing]]-OLDBD[[#This Row],[Llegada a packing]],"")</f>
        <v/>
      </c>
      <c r="AW7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7" s="5" t="str">
        <f>IFERROR(OLDBD[[#This Row],[Llegada Almacén de Ingreso]]-OLDBD[[#This Row],[Salida Packing]],"")</f>
        <v/>
      </c>
      <c r="AY757" s="4" t="str" cm="1">
        <f t="array" ref="AY7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7" s="43" t="s">
        <v>173</v>
      </c>
      <c r="BB757" s="47" t="str">
        <f>IFERROR(IF(MARÍTIMOS[[#This Row],[Estatus]]="","",MARÍTIMOS[[#This Row],[Estatus]]),"")</f>
        <v/>
      </c>
      <c r="BC757" s="43"/>
      <c r="BD757" s="46" t="str">
        <f>IFERROR(OLDBD[[#This Row],[Salida de almacén de retiro]]-OLDBD[[#This Row],[Ingreso Almacén de retiro]],"")</f>
        <v/>
      </c>
      <c r="BE757" s="46" t="str">
        <f>IFERROR(OLDBD[[#This Row],[Fin de Carga]]-OLDBD[[#This Row],[Inicio de Carga]],"")</f>
        <v/>
      </c>
    </row>
    <row r="758" spans="1:57" customFormat="1" hidden="1">
      <c r="A758" s="1"/>
      <c r="B758" s="1" t="str">
        <f>IFERROR(IF(MARÍTIMOS[[#This Row],[PP]]="","",MARÍTIMOS[[#This Row],[PP]]),"")</f>
        <v/>
      </c>
      <c r="C758" s="1" t="str">
        <f>IFERROR(IF(MARÍTIMOS[[#This Row],[Sede]]="","",MARÍTIMOS[[#This Row],[Sede]]),"")</f>
        <v/>
      </c>
      <c r="D758" s="1" t="str">
        <f>IFERROR(IF(MARÍTIMOS[[#This Row],[Instruction]]="","",MARÍTIMOS[[#This Row],[Instruction]]),"")</f>
        <v/>
      </c>
      <c r="E758" s="1"/>
      <c r="F758" s="2" t="str">
        <f>IFERROR(IF(MARÍTIMOS[[#This Row],[Transportista]]="","",MARÍTIMOS[[#This Row],[Transportista]]),"")</f>
        <v/>
      </c>
      <c r="G758" s="2" t="str">
        <f>IFERROR(IF(MARÍTIMOS[[#This Row],[Tercero]]="","",MARÍTIMOS[[#This Row],[Tercero]]),"")</f>
        <v/>
      </c>
      <c r="H758" s="2" t="str">
        <f>IFERROR(IF(MARÍTIMOS[[#This Row],[Razón Social]]="","",MARÍTIMOS[[#This Row],[Razón Social]]),"")</f>
        <v/>
      </c>
      <c r="I758" s="2" t="str">
        <f>IFERROR(IF(MARÍTIMOS[[#This Row],[RUC]]="","",MARÍTIMOS[[#This Row],[RUC]]),"")</f>
        <v/>
      </c>
      <c r="J758" s="2" t="str">
        <f>IFERROR(IF(MARÍTIMOS[[#This Row],[Placa Tracto]]="","",MARÍTIMOS[[#This Row],[Placa Tracto]]),"")</f>
        <v/>
      </c>
      <c r="K758" s="2" t="str">
        <f>IFERROR(IF(MARÍTIMOS[[#This Row],[Placa Carreta]]="","",MARÍTIMOS[[#This Row],[Placa Carreta]]),"")</f>
        <v/>
      </c>
      <c r="L758" s="44" t="str">
        <f>IFERROR(IF(MARÍTIMOS[[#This Row],[Conductor]]="","",MARÍTIMOS[[#This Row],[Conductor]]),"")</f>
        <v/>
      </c>
      <c r="M758" s="2" t="str">
        <f>IFERROR(IF(MARÍTIMOS[[#This Row],[Licencia]]="","",MARÍTIMOS[[#This Row],[Licencia]]),"")</f>
        <v/>
      </c>
      <c r="N758" s="2" t="str">
        <f>IFERROR(IF(MARÍTIMOS[[#This Row],[Número de Contacto]]="","",MARÍTIMOS[[#This Row],[Número de Contacto]]),"")</f>
        <v/>
      </c>
      <c r="O758" s="10" t="str">
        <f>IFERROR(IF(MARÍTIMOS[[#This Row],[Booking|AWB|CRT]]="","",MARÍTIMOS[[#This Row],[Booking|AWB|CRT]]),"")</f>
        <v/>
      </c>
      <c r="P758" s="2" t="str">
        <f>IFERROR(IF(MARÍTIMOS[[#This Row],[Contenedor]]="","",MARÍTIMOS[[#This Row],[Contenedor]]),"")</f>
        <v/>
      </c>
      <c r="Q758" s="2" t="str">
        <f>IFERROR(IF(MARÍTIMOS[[#This Row],[Puerto de Retiro]]="","",MARÍTIMOS[[#This Row],[Puerto de Retiro]]),"")</f>
        <v/>
      </c>
      <c r="R758" s="2" t="str">
        <f>IFERROR(IF(MARÍTIMOS[[#This Row],[Almacén de Retiro]]="","",MARÍTIMOS[[#This Row],[Almacén de Retiro]]),"")</f>
        <v/>
      </c>
      <c r="S758" s="11" t="str">
        <f>IFERROR(IF(MARÍTIMOS[[#This Row],[Etapa Retiro - Cita]]="","",MARÍTIMOS[[#This Row],[Etapa Retiro - Cita]]),"")</f>
        <v/>
      </c>
      <c r="T758" s="11" t="str">
        <f>IFERROR(IF(MARÍTIMOS[[#This Row],[Etapa Retiro - Llegada]]="","",MARÍTIMOS[[#This Row],[Etapa Retiro - Llegada]]),"")</f>
        <v/>
      </c>
      <c r="U758" s="11" t="str">
        <f>IFERROR(IF(MARÍTIMOS[[#This Row],[Etapa Retiro - Ingreso]]="","",MARÍTIMOS[[#This Row],[Etapa Retiro - Ingreso]]),"")</f>
        <v/>
      </c>
      <c r="V758" s="11" t="str">
        <f>IFERROR(IF(MARÍTIMOS[[#This Row],[Etapa Retiro - Atención]]="","",MARÍTIMOS[[#This Row],[Etapa Retiro - Atención]]),"")</f>
        <v/>
      </c>
      <c r="W758" s="11" t="str">
        <f>IFERROR(IF(MARÍTIMOS[[#This Row],[Etapa Retiro - Atención]]="","",MARÍTIMOS[[#This Row],[Etapa Retiro - Atención]]),"")</f>
        <v/>
      </c>
      <c r="X758" s="11" t="str">
        <f>IFERROR(IF(MARÍTIMOS[[#This Row],[Etapa Retiro - Inicio de Ruta]]="","",MARÍTIMOS[[#This Row],[Etapa Retiro - Inicio de Ruta]]),"")</f>
        <v/>
      </c>
      <c r="Y758" s="11" t="str">
        <f>IFERROR(IF(MARÍTIMOS[[#This Row],[Hora de Posicionamiento]]="","",MARÍTIMOS[[#This Row],[Fecha de Carga]]+MARÍTIMOS[[#This Row],[Hora de Posicionamiento]]),"")</f>
        <v/>
      </c>
      <c r="Z758" s="11" t="str">
        <f>IFERROR(IF(MARÍTIMOS[[#This Row],[Etapa Despacho - Llegada]]="","",MARÍTIMOS[[#This Row],[Etapa Despacho - Llegada]]),"")</f>
        <v/>
      </c>
      <c r="AA758" s="11" t="str">
        <f>IFERROR(IF(MARÍTIMOS[[#This Row],[Etapa Despacho - Registro]]="","",MARÍTIMOS[[#This Row],[Etapa Despacho - Registro]]),"")</f>
        <v/>
      </c>
      <c r="AB758" s="11" t="str">
        <f>IFERROR(IF(MARÍTIMOS[[#This Row],[Inspección Externa]]="","",MARÍTIMOS[[#This Row],[Inspección Externa]]),"")</f>
        <v/>
      </c>
      <c r="AC758" s="11" t="str">
        <f>IFERROR(IF(MARÍTIMOS[[#This Row],[Etapa Despacho - Inicio de Carga]]="","",MARÍTIMOS[[#This Row],[Etapa Despacho - Inicio de Carga]]),"")</f>
        <v/>
      </c>
      <c r="AD758" s="11" t="str">
        <f>IFERROR(IF(MARÍTIMOS[[#This Row],[Etapa Despacho - Mitad de Carga]]="","",MARÍTIMOS[[#This Row],[Etapa Despacho - Mitad de Carga]]),"")</f>
        <v/>
      </c>
      <c r="AE758" s="11" t="str">
        <f>IFERROR(IF(MARÍTIMOS[[#This Row],[Etapa Despacho - Fin de Carga]]="","",MARÍTIMOS[[#This Row],[Etapa Despacho - Fin de Carga]]),"")</f>
        <v/>
      </c>
      <c r="AF758" s="2" t="str">
        <f>IFERROR(IF(MARÍTIMOS[[#This Row],[Puerto de Embarque]]="","",MARÍTIMOS[[#This Row],[Puerto de Embarque]]),"")</f>
        <v/>
      </c>
      <c r="AG758" s="2" t="str">
        <f>IFERROR(IF(MARÍTIMOS[[#This Row],[Almacén de Ingreso]]="","",MARÍTIMOS[[#This Row],[Almacén de Ingreso]]),"")</f>
        <v/>
      </c>
      <c r="AH758" s="11" t="str">
        <f>IFERROR(IF(MARÍTIMOS[[#This Row],[Etapa Ingreso - Cita]]="","",MARÍTIMOS[[#This Row],[Etapa Ingreso - Cita]]),"")</f>
        <v/>
      </c>
      <c r="AI758" s="11" t="str">
        <f>IFERROR(IF(MARÍTIMOS[[#This Row],[Etapa Ingreso - Llegada]]="","",MARÍTIMOS[[#This Row],[Etapa Ingreso - Llegada]]),"")</f>
        <v/>
      </c>
      <c r="AJ758" s="11" t="str">
        <f>IFERROR(IF(MARÍTIMOS[[#This Row],[Etapa Ingreso - Ingeso]]="","",MARÍTIMOS[[#This Row],[Etapa Ingreso - Ingeso]]),"")</f>
        <v/>
      </c>
      <c r="AK758" s="11" t="str">
        <f>IFERROR(IF(MARÍTIMOS[[#This Row],[Etapa Ingreso - Atención]]="","",MARÍTIMOS[[#This Row],[Etapa Ingreso - Atención]]),"")</f>
        <v/>
      </c>
      <c r="AL758" s="11" t="str">
        <f>IFERROR(IF(MARÍTIMOS[[#This Row],[Etapa Ingreso - Salida]]="","",MARÍTIMOS[[#This Row],[Etapa Ingreso - Salida]]),"")</f>
        <v/>
      </c>
      <c r="AM758" s="2" t="str">
        <f>IFERROR(IF(MARÍTIMOS[[#This Row],[FCL]]="","",MARÍTIMOS[[#This Row],[FCL]]),"")</f>
        <v/>
      </c>
      <c r="AN7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8" s="4" t="str" cm="1">
        <f t="array" ref="AO7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8" s="5" t="str">
        <f>IFERROR(OLDBD[[#This Row],[Llegada a packing]]-OLDBD[[#This Row],[Inicio de Ruta]],"")</f>
        <v/>
      </c>
      <c r="AQ758" s="6" t="str">
        <f>IFERROR(OLDBD[[#This Row],[Inicio de Ruta]]-OLDBD[[#This Row],[Salida de almacén de retiro]],"")</f>
        <v/>
      </c>
      <c r="AR7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8" s="8" t="str" cm="1">
        <f t="array" ref="AS7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8" s="9" t="str">
        <f>IFERROR(OLDBD[[#This Row],[Ingreso Packing]]-OLDBD[[#This Row],[Registro en Packing]],"")</f>
        <v/>
      </c>
      <c r="AV758" s="9" t="str">
        <f>IFERROR(OLDBD[[#This Row],[Ingreso Packing]]-OLDBD[[#This Row],[Llegada a packing]],"")</f>
        <v/>
      </c>
      <c r="AW7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8" s="5" t="str">
        <f>IFERROR(OLDBD[[#This Row],[Llegada Almacén de Ingreso]]-OLDBD[[#This Row],[Salida Packing]],"")</f>
        <v/>
      </c>
      <c r="AY758" s="4" t="str" cm="1">
        <f t="array" ref="AY7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8" s="43" t="s">
        <v>173</v>
      </c>
      <c r="BB758" s="47" t="str">
        <f>IFERROR(IF(MARÍTIMOS[[#This Row],[Estatus]]="","",MARÍTIMOS[[#This Row],[Estatus]]),"")</f>
        <v/>
      </c>
      <c r="BC758" s="43"/>
      <c r="BD758" s="46" t="str">
        <f>IFERROR(OLDBD[[#This Row],[Salida de almacén de retiro]]-OLDBD[[#This Row],[Ingreso Almacén de retiro]],"")</f>
        <v/>
      </c>
      <c r="BE758" s="46" t="str">
        <f>IFERROR(OLDBD[[#This Row],[Fin de Carga]]-OLDBD[[#This Row],[Inicio de Carga]],"")</f>
        <v/>
      </c>
    </row>
    <row r="759" spans="1:57" customFormat="1" hidden="1">
      <c r="A759" s="1"/>
      <c r="B759" s="1" t="str">
        <f>IFERROR(IF(MARÍTIMOS[[#This Row],[PP]]="","",MARÍTIMOS[[#This Row],[PP]]),"")</f>
        <v/>
      </c>
      <c r="C759" s="1" t="str">
        <f>IFERROR(IF(MARÍTIMOS[[#This Row],[Sede]]="","",MARÍTIMOS[[#This Row],[Sede]]),"")</f>
        <v/>
      </c>
      <c r="D759" s="1" t="str">
        <f>IFERROR(IF(MARÍTIMOS[[#This Row],[Instruction]]="","",MARÍTIMOS[[#This Row],[Instruction]]),"")</f>
        <v/>
      </c>
      <c r="E759" s="1"/>
      <c r="F759" s="2" t="str">
        <f>IFERROR(IF(MARÍTIMOS[[#This Row],[Transportista]]="","",MARÍTIMOS[[#This Row],[Transportista]]),"")</f>
        <v/>
      </c>
      <c r="G759" s="2" t="str">
        <f>IFERROR(IF(MARÍTIMOS[[#This Row],[Tercero]]="","",MARÍTIMOS[[#This Row],[Tercero]]),"")</f>
        <v/>
      </c>
      <c r="H759" s="2" t="str">
        <f>IFERROR(IF(MARÍTIMOS[[#This Row],[Razón Social]]="","",MARÍTIMOS[[#This Row],[Razón Social]]),"")</f>
        <v/>
      </c>
      <c r="I759" s="2" t="str">
        <f>IFERROR(IF(MARÍTIMOS[[#This Row],[RUC]]="","",MARÍTIMOS[[#This Row],[RUC]]),"")</f>
        <v/>
      </c>
      <c r="J759" s="2" t="str">
        <f>IFERROR(IF(MARÍTIMOS[[#This Row],[Placa Tracto]]="","",MARÍTIMOS[[#This Row],[Placa Tracto]]),"")</f>
        <v/>
      </c>
      <c r="K759" s="2" t="str">
        <f>IFERROR(IF(MARÍTIMOS[[#This Row],[Placa Carreta]]="","",MARÍTIMOS[[#This Row],[Placa Carreta]]),"")</f>
        <v/>
      </c>
      <c r="L759" s="44" t="str">
        <f>IFERROR(IF(MARÍTIMOS[[#This Row],[Conductor]]="","",MARÍTIMOS[[#This Row],[Conductor]]),"")</f>
        <v/>
      </c>
      <c r="M759" s="2" t="str">
        <f>IFERROR(IF(MARÍTIMOS[[#This Row],[Licencia]]="","",MARÍTIMOS[[#This Row],[Licencia]]),"")</f>
        <v/>
      </c>
      <c r="N759" s="2" t="str">
        <f>IFERROR(IF(MARÍTIMOS[[#This Row],[Número de Contacto]]="","",MARÍTIMOS[[#This Row],[Número de Contacto]]),"")</f>
        <v/>
      </c>
      <c r="O759" s="10" t="str">
        <f>IFERROR(IF(MARÍTIMOS[[#This Row],[Booking|AWB|CRT]]="","",MARÍTIMOS[[#This Row],[Booking|AWB|CRT]]),"")</f>
        <v/>
      </c>
      <c r="P759" s="2" t="str">
        <f>IFERROR(IF(MARÍTIMOS[[#This Row],[Contenedor]]="","",MARÍTIMOS[[#This Row],[Contenedor]]),"")</f>
        <v/>
      </c>
      <c r="Q759" s="2" t="str">
        <f>IFERROR(IF(MARÍTIMOS[[#This Row],[Puerto de Retiro]]="","",MARÍTIMOS[[#This Row],[Puerto de Retiro]]),"")</f>
        <v/>
      </c>
      <c r="R759" s="2" t="str">
        <f>IFERROR(IF(MARÍTIMOS[[#This Row],[Almacén de Retiro]]="","",MARÍTIMOS[[#This Row],[Almacén de Retiro]]),"")</f>
        <v/>
      </c>
      <c r="S759" s="11" t="str">
        <f>IFERROR(IF(MARÍTIMOS[[#This Row],[Etapa Retiro - Cita]]="","",MARÍTIMOS[[#This Row],[Etapa Retiro - Cita]]),"")</f>
        <v/>
      </c>
      <c r="T759" s="11" t="str">
        <f>IFERROR(IF(MARÍTIMOS[[#This Row],[Etapa Retiro - Llegada]]="","",MARÍTIMOS[[#This Row],[Etapa Retiro - Llegada]]),"")</f>
        <v/>
      </c>
      <c r="U759" s="11" t="str">
        <f>IFERROR(IF(MARÍTIMOS[[#This Row],[Etapa Retiro - Ingreso]]="","",MARÍTIMOS[[#This Row],[Etapa Retiro - Ingreso]]),"")</f>
        <v/>
      </c>
      <c r="V759" s="11" t="str">
        <f>IFERROR(IF(MARÍTIMOS[[#This Row],[Etapa Retiro - Atención]]="","",MARÍTIMOS[[#This Row],[Etapa Retiro - Atención]]),"")</f>
        <v/>
      </c>
      <c r="W759" s="11" t="str">
        <f>IFERROR(IF(MARÍTIMOS[[#This Row],[Etapa Retiro - Atención]]="","",MARÍTIMOS[[#This Row],[Etapa Retiro - Atención]]),"")</f>
        <v/>
      </c>
      <c r="X759" s="11" t="str">
        <f>IFERROR(IF(MARÍTIMOS[[#This Row],[Etapa Retiro - Inicio de Ruta]]="","",MARÍTIMOS[[#This Row],[Etapa Retiro - Inicio de Ruta]]),"")</f>
        <v/>
      </c>
      <c r="Y759" s="11" t="str">
        <f>IFERROR(IF(MARÍTIMOS[[#This Row],[Hora de Posicionamiento]]="","",MARÍTIMOS[[#This Row],[Fecha de Carga]]+MARÍTIMOS[[#This Row],[Hora de Posicionamiento]]),"")</f>
        <v/>
      </c>
      <c r="Z759" s="11" t="str">
        <f>IFERROR(IF(MARÍTIMOS[[#This Row],[Etapa Despacho - Llegada]]="","",MARÍTIMOS[[#This Row],[Etapa Despacho - Llegada]]),"")</f>
        <v/>
      </c>
      <c r="AA759" s="11" t="str">
        <f>IFERROR(IF(MARÍTIMOS[[#This Row],[Etapa Despacho - Registro]]="","",MARÍTIMOS[[#This Row],[Etapa Despacho - Registro]]),"")</f>
        <v/>
      </c>
      <c r="AB759" s="11" t="str">
        <f>IFERROR(IF(MARÍTIMOS[[#This Row],[Inspección Externa]]="","",MARÍTIMOS[[#This Row],[Inspección Externa]]),"")</f>
        <v/>
      </c>
      <c r="AC759" s="11" t="str">
        <f>IFERROR(IF(MARÍTIMOS[[#This Row],[Etapa Despacho - Inicio de Carga]]="","",MARÍTIMOS[[#This Row],[Etapa Despacho - Inicio de Carga]]),"")</f>
        <v/>
      </c>
      <c r="AD759" s="11" t="str">
        <f>IFERROR(IF(MARÍTIMOS[[#This Row],[Etapa Despacho - Mitad de Carga]]="","",MARÍTIMOS[[#This Row],[Etapa Despacho - Mitad de Carga]]),"")</f>
        <v/>
      </c>
      <c r="AE759" s="11" t="str">
        <f>IFERROR(IF(MARÍTIMOS[[#This Row],[Etapa Despacho - Fin de Carga]]="","",MARÍTIMOS[[#This Row],[Etapa Despacho - Fin de Carga]]),"")</f>
        <v/>
      </c>
      <c r="AF759" s="2" t="str">
        <f>IFERROR(IF(MARÍTIMOS[[#This Row],[Puerto de Embarque]]="","",MARÍTIMOS[[#This Row],[Puerto de Embarque]]),"")</f>
        <v/>
      </c>
      <c r="AG759" s="2" t="str">
        <f>IFERROR(IF(MARÍTIMOS[[#This Row],[Almacén de Ingreso]]="","",MARÍTIMOS[[#This Row],[Almacén de Ingreso]]),"")</f>
        <v/>
      </c>
      <c r="AH759" s="11" t="str">
        <f>IFERROR(IF(MARÍTIMOS[[#This Row],[Etapa Ingreso - Cita]]="","",MARÍTIMOS[[#This Row],[Etapa Ingreso - Cita]]),"")</f>
        <v/>
      </c>
      <c r="AI759" s="11" t="str">
        <f>IFERROR(IF(MARÍTIMOS[[#This Row],[Etapa Ingreso - Llegada]]="","",MARÍTIMOS[[#This Row],[Etapa Ingreso - Llegada]]),"")</f>
        <v/>
      </c>
      <c r="AJ759" s="11" t="str">
        <f>IFERROR(IF(MARÍTIMOS[[#This Row],[Etapa Ingreso - Ingeso]]="","",MARÍTIMOS[[#This Row],[Etapa Ingreso - Ingeso]]),"")</f>
        <v/>
      </c>
      <c r="AK759" s="11" t="str">
        <f>IFERROR(IF(MARÍTIMOS[[#This Row],[Etapa Ingreso - Atención]]="","",MARÍTIMOS[[#This Row],[Etapa Ingreso - Atención]]),"")</f>
        <v/>
      </c>
      <c r="AL759" s="11" t="str">
        <f>IFERROR(IF(MARÍTIMOS[[#This Row],[Etapa Ingreso - Salida]]="","",MARÍTIMOS[[#This Row],[Etapa Ingreso - Salida]]),"")</f>
        <v/>
      </c>
      <c r="AM759" s="2" t="str">
        <f>IFERROR(IF(MARÍTIMOS[[#This Row],[FCL]]="","",MARÍTIMOS[[#This Row],[FCL]]),"")</f>
        <v/>
      </c>
      <c r="AN7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59" s="4" t="str" cm="1">
        <f t="array" ref="AO7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59" s="5" t="str">
        <f>IFERROR(OLDBD[[#This Row],[Llegada a packing]]-OLDBD[[#This Row],[Inicio de Ruta]],"")</f>
        <v/>
      </c>
      <c r="AQ759" s="6" t="str">
        <f>IFERROR(OLDBD[[#This Row],[Inicio de Ruta]]-OLDBD[[#This Row],[Salida de almacén de retiro]],"")</f>
        <v/>
      </c>
      <c r="AR7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59" s="8" t="str" cm="1">
        <f t="array" ref="AS7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59" s="9" t="str">
        <f>IFERROR(OLDBD[[#This Row],[Ingreso Packing]]-OLDBD[[#This Row],[Registro en Packing]],"")</f>
        <v/>
      </c>
      <c r="AV759" s="9" t="str">
        <f>IFERROR(OLDBD[[#This Row],[Ingreso Packing]]-OLDBD[[#This Row],[Llegada a packing]],"")</f>
        <v/>
      </c>
      <c r="AW7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59" s="5" t="str">
        <f>IFERROR(OLDBD[[#This Row],[Llegada Almacén de Ingreso]]-OLDBD[[#This Row],[Salida Packing]],"")</f>
        <v/>
      </c>
      <c r="AY759" s="4" t="str" cm="1">
        <f t="array" ref="AY7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59" s="43" t="s">
        <v>173</v>
      </c>
      <c r="BB759" s="47" t="str">
        <f>IFERROR(IF(MARÍTIMOS[[#This Row],[Estatus]]="","",MARÍTIMOS[[#This Row],[Estatus]]),"")</f>
        <v/>
      </c>
      <c r="BC759" s="43"/>
      <c r="BD759" s="46" t="str">
        <f>IFERROR(OLDBD[[#This Row],[Salida de almacén de retiro]]-OLDBD[[#This Row],[Ingreso Almacén de retiro]],"")</f>
        <v/>
      </c>
      <c r="BE759" s="46" t="str">
        <f>IFERROR(OLDBD[[#This Row],[Fin de Carga]]-OLDBD[[#This Row],[Inicio de Carga]],"")</f>
        <v/>
      </c>
    </row>
    <row r="760" spans="1:57" customFormat="1" hidden="1">
      <c r="A760" s="1"/>
      <c r="B760" s="1" t="str">
        <f>IFERROR(IF(MARÍTIMOS[[#This Row],[PP]]="","",MARÍTIMOS[[#This Row],[PP]]),"")</f>
        <v/>
      </c>
      <c r="C760" s="1" t="str">
        <f>IFERROR(IF(MARÍTIMOS[[#This Row],[Sede]]="","",MARÍTIMOS[[#This Row],[Sede]]),"")</f>
        <v/>
      </c>
      <c r="D760" s="1" t="str">
        <f>IFERROR(IF(MARÍTIMOS[[#This Row],[Instruction]]="","",MARÍTIMOS[[#This Row],[Instruction]]),"")</f>
        <v/>
      </c>
      <c r="E760" s="1"/>
      <c r="F760" s="2" t="str">
        <f>IFERROR(IF(MARÍTIMOS[[#This Row],[Transportista]]="","",MARÍTIMOS[[#This Row],[Transportista]]),"")</f>
        <v/>
      </c>
      <c r="G760" s="2" t="str">
        <f>IFERROR(IF(MARÍTIMOS[[#This Row],[Tercero]]="","",MARÍTIMOS[[#This Row],[Tercero]]),"")</f>
        <v/>
      </c>
      <c r="H760" s="2" t="str">
        <f>IFERROR(IF(MARÍTIMOS[[#This Row],[Razón Social]]="","",MARÍTIMOS[[#This Row],[Razón Social]]),"")</f>
        <v/>
      </c>
      <c r="I760" s="2" t="str">
        <f>IFERROR(IF(MARÍTIMOS[[#This Row],[RUC]]="","",MARÍTIMOS[[#This Row],[RUC]]),"")</f>
        <v/>
      </c>
      <c r="J760" s="2" t="str">
        <f>IFERROR(IF(MARÍTIMOS[[#This Row],[Placa Tracto]]="","",MARÍTIMOS[[#This Row],[Placa Tracto]]),"")</f>
        <v/>
      </c>
      <c r="K760" s="2" t="str">
        <f>IFERROR(IF(MARÍTIMOS[[#This Row],[Placa Carreta]]="","",MARÍTIMOS[[#This Row],[Placa Carreta]]),"")</f>
        <v/>
      </c>
      <c r="L760" s="44" t="str">
        <f>IFERROR(IF(MARÍTIMOS[[#This Row],[Conductor]]="","",MARÍTIMOS[[#This Row],[Conductor]]),"")</f>
        <v/>
      </c>
      <c r="M760" s="2" t="str">
        <f>IFERROR(IF(MARÍTIMOS[[#This Row],[Licencia]]="","",MARÍTIMOS[[#This Row],[Licencia]]),"")</f>
        <v/>
      </c>
      <c r="N760" s="2" t="str">
        <f>IFERROR(IF(MARÍTIMOS[[#This Row],[Número de Contacto]]="","",MARÍTIMOS[[#This Row],[Número de Contacto]]),"")</f>
        <v/>
      </c>
      <c r="O760" s="10" t="str">
        <f>IFERROR(IF(MARÍTIMOS[[#This Row],[Booking|AWB|CRT]]="","",MARÍTIMOS[[#This Row],[Booking|AWB|CRT]]),"")</f>
        <v/>
      </c>
      <c r="P760" s="2" t="str">
        <f>IFERROR(IF(MARÍTIMOS[[#This Row],[Contenedor]]="","",MARÍTIMOS[[#This Row],[Contenedor]]),"")</f>
        <v/>
      </c>
      <c r="Q760" s="2" t="str">
        <f>IFERROR(IF(MARÍTIMOS[[#This Row],[Puerto de Retiro]]="","",MARÍTIMOS[[#This Row],[Puerto de Retiro]]),"")</f>
        <v/>
      </c>
      <c r="R760" s="2" t="str">
        <f>IFERROR(IF(MARÍTIMOS[[#This Row],[Almacén de Retiro]]="","",MARÍTIMOS[[#This Row],[Almacén de Retiro]]),"")</f>
        <v/>
      </c>
      <c r="S760" s="11" t="str">
        <f>IFERROR(IF(MARÍTIMOS[[#This Row],[Etapa Retiro - Cita]]="","",MARÍTIMOS[[#This Row],[Etapa Retiro - Cita]]),"")</f>
        <v/>
      </c>
      <c r="T760" s="11" t="str">
        <f>IFERROR(IF(MARÍTIMOS[[#This Row],[Etapa Retiro - Llegada]]="","",MARÍTIMOS[[#This Row],[Etapa Retiro - Llegada]]),"")</f>
        <v/>
      </c>
      <c r="U760" s="11" t="str">
        <f>IFERROR(IF(MARÍTIMOS[[#This Row],[Etapa Retiro - Ingreso]]="","",MARÍTIMOS[[#This Row],[Etapa Retiro - Ingreso]]),"")</f>
        <v/>
      </c>
      <c r="V760" s="11" t="str">
        <f>IFERROR(IF(MARÍTIMOS[[#This Row],[Etapa Retiro - Atención]]="","",MARÍTIMOS[[#This Row],[Etapa Retiro - Atención]]),"")</f>
        <v/>
      </c>
      <c r="W760" s="11" t="str">
        <f>IFERROR(IF(MARÍTIMOS[[#This Row],[Etapa Retiro - Atención]]="","",MARÍTIMOS[[#This Row],[Etapa Retiro - Atención]]),"")</f>
        <v/>
      </c>
      <c r="X760" s="11" t="str">
        <f>IFERROR(IF(MARÍTIMOS[[#This Row],[Etapa Retiro - Inicio de Ruta]]="","",MARÍTIMOS[[#This Row],[Etapa Retiro - Inicio de Ruta]]),"")</f>
        <v/>
      </c>
      <c r="Y760" s="11" t="str">
        <f>IFERROR(IF(MARÍTIMOS[[#This Row],[Hora de Posicionamiento]]="","",MARÍTIMOS[[#This Row],[Fecha de Carga]]+MARÍTIMOS[[#This Row],[Hora de Posicionamiento]]),"")</f>
        <v/>
      </c>
      <c r="Z760" s="11" t="str">
        <f>IFERROR(IF(MARÍTIMOS[[#This Row],[Etapa Despacho - Llegada]]="","",MARÍTIMOS[[#This Row],[Etapa Despacho - Llegada]]),"")</f>
        <v/>
      </c>
      <c r="AA760" s="11" t="str">
        <f>IFERROR(IF(MARÍTIMOS[[#This Row],[Etapa Despacho - Registro]]="","",MARÍTIMOS[[#This Row],[Etapa Despacho - Registro]]),"")</f>
        <v/>
      </c>
      <c r="AB760" s="11" t="str">
        <f>IFERROR(IF(MARÍTIMOS[[#This Row],[Inspección Externa]]="","",MARÍTIMOS[[#This Row],[Inspección Externa]]),"")</f>
        <v/>
      </c>
      <c r="AC760" s="11" t="str">
        <f>IFERROR(IF(MARÍTIMOS[[#This Row],[Etapa Despacho - Inicio de Carga]]="","",MARÍTIMOS[[#This Row],[Etapa Despacho - Inicio de Carga]]),"")</f>
        <v/>
      </c>
      <c r="AD760" s="11" t="str">
        <f>IFERROR(IF(MARÍTIMOS[[#This Row],[Etapa Despacho - Mitad de Carga]]="","",MARÍTIMOS[[#This Row],[Etapa Despacho - Mitad de Carga]]),"")</f>
        <v/>
      </c>
      <c r="AE760" s="11" t="str">
        <f>IFERROR(IF(MARÍTIMOS[[#This Row],[Etapa Despacho - Fin de Carga]]="","",MARÍTIMOS[[#This Row],[Etapa Despacho - Fin de Carga]]),"")</f>
        <v/>
      </c>
      <c r="AF760" s="2" t="str">
        <f>IFERROR(IF(MARÍTIMOS[[#This Row],[Puerto de Embarque]]="","",MARÍTIMOS[[#This Row],[Puerto de Embarque]]),"")</f>
        <v/>
      </c>
      <c r="AG760" s="2" t="str">
        <f>IFERROR(IF(MARÍTIMOS[[#This Row],[Almacén de Ingreso]]="","",MARÍTIMOS[[#This Row],[Almacén de Ingreso]]),"")</f>
        <v/>
      </c>
      <c r="AH760" s="11" t="str">
        <f>IFERROR(IF(MARÍTIMOS[[#This Row],[Etapa Ingreso - Cita]]="","",MARÍTIMOS[[#This Row],[Etapa Ingreso - Cita]]),"")</f>
        <v/>
      </c>
      <c r="AI760" s="11" t="str">
        <f>IFERROR(IF(MARÍTIMOS[[#This Row],[Etapa Ingreso - Llegada]]="","",MARÍTIMOS[[#This Row],[Etapa Ingreso - Llegada]]),"")</f>
        <v/>
      </c>
      <c r="AJ760" s="11" t="str">
        <f>IFERROR(IF(MARÍTIMOS[[#This Row],[Etapa Ingreso - Ingeso]]="","",MARÍTIMOS[[#This Row],[Etapa Ingreso - Ingeso]]),"")</f>
        <v/>
      </c>
      <c r="AK760" s="11" t="str">
        <f>IFERROR(IF(MARÍTIMOS[[#This Row],[Etapa Ingreso - Atención]]="","",MARÍTIMOS[[#This Row],[Etapa Ingreso - Atención]]),"")</f>
        <v/>
      </c>
      <c r="AL760" s="11" t="str">
        <f>IFERROR(IF(MARÍTIMOS[[#This Row],[Etapa Ingreso - Salida]]="","",MARÍTIMOS[[#This Row],[Etapa Ingreso - Salida]]),"")</f>
        <v/>
      </c>
      <c r="AM760" s="2" t="str">
        <f>IFERROR(IF(MARÍTIMOS[[#This Row],[FCL]]="","",MARÍTIMOS[[#This Row],[FCL]]),"")</f>
        <v/>
      </c>
      <c r="AN7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0" s="4" t="str" cm="1">
        <f t="array" ref="AO7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0" s="5" t="str">
        <f>IFERROR(OLDBD[[#This Row],[Llegada a packing]]-OLDBD[[#This Row],[Inicio de Ruta]],"")</f>
        <v/>
      </c>
      <c r="AQ760" s="6" t="str">
        <f>IFERROR(OLDBD[[#This Row],[Inicio de Ruta]]-OLDBD[[#This Row],[Salida de almacén de retiro]],"")</f>
        <v/>
      </c>
      <c r="AR7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0" s="8" t="str" cm="1">
        <f t="array" ref="AS7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0" s="9" t="str">
        <f>IFERROR(OLDBD[[#This Row],[Ingreso Packing]]-OLDBD[[#This Row],[Registro en Packing]],"")</f>
        <v/>
      </c>
      <c r="AV760" s="9" t="str">
        <f>IFERROR(OLDBD[[#This Row],[Ingreso Packing]]-OLDBD[[#This Row],[Llegada a packing]],"")</f>
        <v/>
      </c>
      <c r="AW7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0" s="5" t="str">
        <f>IFERROR(OLDBD[[#This Row],[Llegada Almacén de Ingreso]]-OLDBD[[#This Row],[Salida Packing]],"")</f>
        <v/>
      </c>
      <c r="AY760" s="4" t="str" cm="1">
        <f t="array" ref="AY7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0" s="43" t="s">
        <v>173</v>
      </c>
      <c r="BB760" s="47" t="str">
        <f>IFERROR(IF(MARÍTIMOS[[#This Row],[Estatus]]="","",MARÍTIMOS[[#This Row],[Estatus]]),"")</f>
        <v/>
      </c>
      <c r="BC760" s="43"/>
      <c r="BD760" s="46" t="str">
        <f>IFERROR(OLDBD[[#This Row],[Salida de almacén de retiro]]-OLDBD[[#This Row],[Ingreso Almacén de retiro]],"")</f>
        <v/>
      </c>
      <c r="BE760" s="46" t="str">
        <f>IFERROR(OLDBD[[#This Row],[Fin de Carga]]-OLDBD[[#This Row],[Inicio de Carga]],"")</f>
        <v/>
      </c>
    </row>
    <row r="761" spans="1:57" customFormat="1" hidden="1">
      <c r="A761" s="1"/>
      <c r="B761" s="1" t="str">
        <f>IFERROR(IF(MARÍTIMOS[[#This Row],[PP]]="","",MARÍTIMOS[[#This Row],[PP]]),"")</f>
        <v/>
      </c>
      <c r="C761" s="1" t="str">
        <f>IFERROR(IF(MARÍTIMOS[[#This Row],[Sede]]="","",MARÍTIMOS[[#This Row],[Sede]]),"")</f>
        <v/>
      </c>
      <c r="D761" s="1" t="str">
        <f>IFERROR(IF(MARÍTIMOS[[#This Row],[Instruction]]="","",MARÍTIMOS[[#This Row],[Instruction]]),"")</f>
        <v/>
      </c>
      <c r="E761" s="1"/>
      <c r="F761" s="2" t="str">
        <f>IFERROR(IF(MARÍTIMOS[[#This Row],[Transportista]]="","",MARÍTIMOS[[#This Row],[Transportista]]),"")</f>
        <v/>
      </c>
      <c r="G761" s="2" t="str">
        <f>IFERROR(IF(MARÍTIMOS[[#This Row],[Tercero]]="","",MARÍTIMOS[[#This Row],[Tercero]]),"")</f>
        <v/>
      </c>
      <c r="H761" s="2" t="str">
        <f>IFERROR(IF(MARÍTIMOS[[#This Row],[Razón Social]]="","",MARÍTIMOS[[#This Row],[Razón Social]]),"")</f>
        <v/>
      </c>
      <c r="I761" s="2" t="str">
        <f>IFERROR(IF(MARÍTIMOS[[#This Row],[RUC]]="","",MARÍTIMOS[[#This Row],[RUC]]),"")</f>
        <v/>
      </c>
      <c r="J761" s="2" t="str">
        <f>IFERROR(IF(MARÍTIMOS[[#This Row],[Placa Tracto]]="","",MARÍTIMOS[[#This Row],[Placa Tracto]]),"")</f>
        <v/>
      </c>
      <c r="K761" s="2" t="str">
        <f>IFERROR(IF(MARÍTIMOS[[#This Row],[Placa Carreta]]="","",MARÍTIMOS[[#This Row],[Placa Carreta]]),"")</f>
        <v/>
      </c>
      <c r="L761" s="44" t="str">
        <f>IFERROR(IF(MARÍTIMOS[[#This Row],[Conductor]]="","",MARÍTIMOS[[#This Row],[Conductor]]),"")</f>
        <v/>
      </c>
      <c r="M761" s="2" t="str">
        <f>IFERROR(IF(MARÍTIMOS[[#This Row],[Licencia]]="","",MARÍTIMOS[[#This Row],[Licencia]]),"")</f>
        <v/>
      </c>
      <c r="N761" s="2" t="str">
        <f>IFERROR(IF(MARÍTIMOS[[#This Row],[Número de Contacto]]="","",MARÍTIMOS[[#This Row],[Número de Contacto]]),"")</f>
        <v/>
      </c>
      <c r="O761" s="10" t="str">
        <f>IFERROR(IF(MARÍTIMOS[[#This Row],[Booking|AWB|CRT]]="","",MARÍTIMOS[[#This Row],[Booking|AWB|CRT]]),"")</f>
        <v/>
      </c>
      <c r="P761" s="2" t="str">
        <f>IFERROR(IF(MARÍTIMOS[[#This Row],[Contenedor]]="","",MARÍTIMOS[[#This Row],[Contenedor]]),"")</f>
        <v/>
      </c>
      <c r="Q761" s="2" t="str">
        <f>IFERROR(IF(MARÍTIMOS[[#This Row],[Puerto de Retiro]]="","",MARÍTIMOS[[#This Row],[Puerto de Retiro]]),"")</f>
        <v/>
      </c>
      <c r="R761" s="2" t="str">
        <f>IFERROR(IF(MARÍTIMOS[[#This Row],[Almacén de Retiro]]="","",MARÍTIMOS[[#This Row],[Almacén de Retiro]]),"")</f>
        <v/>
      </c>
      <c r="S761" s="11" t="str">
        <f>IFERROR(IF(MARÍTIMOS[[#This Row],[Etapa Retiro - Cita]]="","",MARÍTIMOS[[#This Row],[Etapa Retiro - Cita]]),"")</f>
        <v/>
      </c>
      <c r="T761" s="11" t="str">
        <f>IFERROR(IF(MARÍTIMOS[[#This Row],[Etapa Retiro - Llegada]]="","",MARÍTIMOS[[#This Row],[Etapa Retiro - Llegada]]),"")</f>
        <v/>
      </c>
      <c r="U761" s="11" t="str">
        <f>IFERROR(IF(MARÍTIMOS[[#This Row],[Etapa Retiro - Ingreso]]="","",MARÍTIMOS[[#This Row],[Etapa Retiro - Ingreso]]),"")</f>
        <v/>
      </c>
      <c r="V761" s="11" t="str">
        <f>IFERROR(IF(MARÍTIMOS[[#This Row],[Etapa Retiro - Atención]]="","",MARÍTIMOS[[#This Row],[Etapa Retiro - Atención]]),"")</f>
        <v/>
      </c>
      <c r="W761" s="11" t="str">
        <f>IFERROR(IF(MARÍTIMOS[[#This Row],[Etapa Retiro - Atención]]="","",MARÍTIMOS[[#This Row],[Etapa Retiro - Atención]]),"")</f>
        <v/>
      </c>
      <c r="X761" s="11" t="str">
        <f>IFERROR(IF(MARÍTIMOS[[#This Row],[Etapa Retiro - Inicio de Ruta]]="","",MARÍTIMOS[[#This Row],[Etapa Retiro - Inicio de Ruta]]),"")</f>
        <v/>
      </c>
      <c r="Y761" s="11" t="str">
        <f>IFERROR(IF(MARÍTIMOS[[#This Row],[Hora de Posicionamiento]]="","",MARÍTIMOS[[#This Row],[Fecha de Carga]]+MARÍTIMOS[[#This Row],[Hora de Posicionamiento]]),"")</f>
        <v/>
      </c>
      <c r="Z761" s="11" t="str">
        <f>IFERROR(IF(MARÍTIMOS[[#This Row],[Etapa Despacho - Llegada]]="","",MARÍTIMOS[[#This Row],[Etapa Despacho - Llegada]]),"")</f>
        <v/>
      </c>
      <c r="AA761" s="11" t="str">
        <f>IFERROR(IF(MARÍTIMOS[[#This Row],[Etapa Despacho - Registro]]="","",MARÍTIMOS[[#This Row],[Etapa Despacho - Registro]]),"")</f>
        <v/>
      </c>
      <c r="AB761" s="11" t="str">
        <f>IFERROR(IF(MARÍTIMOS[[#This Row],[Inspección Externa]]="","",MARÍTIMOS[[#This Row],[Inspección Externa]]),"")</f>
        <v/>
      </c>
      <c r="AC761" s="11" t="str">
        <f>IFERROR(IF(MARÍTIMOS[[#This Row],[Etapa Despacho - Inicio de Carga]]="","",MARÍTIMOS[[#This Row],[Etapa Despacho - Inicio de Carga]]),"")</f>
        <v/>
      </c>
      <c r="AD761" s="11" t="str">
        <f>IFERROR(IF(MARÍTIMOS[[#This Row],[Etapa Despacho - Mitad de Carga]]="","",MARÍTIMOS[[#This Row],[Etapa Despacho - Mitad de Carga]]),"")</f>
        <v/>
      </c>
      <c r="AE761" s="11" t="str">
        <f>IFERROR(IF(MARÍTIMOS[[#This Row],[Etapa Despacho - Fin de Carga]]="","",MARÍTIMOS[[#This Row],[Etapa Despacho - Fin de Carga]]),"")</f>
        <v/>
      </c>
      <c r="AF761" s="2" t="str">
        <f>IFERROR(IF(MARÍTIMOS[[#This Row],[Puerto de Embarque]]="","",MARÍTIMOS[[#This Row],[Puerto de Embarque]]),"")</f>
        <v/>
      </c>
      <c r="AG761" s="2" t="str">
        <f>IFERROR(IF(MARÍTIMOS[[#This Row],[Almacén de Ingreso]]="","",MARÍTIMOS[[#This Row],[Almacén de Ingreso]]),"")</f>
        <v/>
      </c>
      <c r="AH761" s="11" t="str">
        <f>IFERROR(IF(MARÍTIMOS[[#This Row],[Etapa Ingreso - Cita]]="","",MARÍTIMOS[[#This Row],[Etapa Ingreso - Cita]]),"")</f>
        <v/>
      </c>
      <c r="AI761" s="11" t="str">
        <f>IFERROR(IF(MARÍTIMOS[[#This Row],[Etapa Ingreso - Llegada]]="","",MARÍTIMOS[[#This Row],[Etapa Ingreso - Llegada]]),"")</f>
        <v/>
      </c>
      <c r="AJ761" s="11" t="str">
        <f>IFERROR(IF(MARÍTIMOS[[#This Row],[Etapa Ingreso - Ingeso]]="","",MARÍTIMOS[[#This Row],[Etapa Ingreso - Ingeso]]),"")</f>
        <v/>
      </c>
      <c r="AK761" s="11" t="str">
        <f>IFERROR(IF(MARÍTIMOS[[#This Row],[Etapa Ingreso - Atención]]="","",MARÍTIMOS[[#This Row],[Etapa Ingreso - Atención]]),"")</f>
        <v/>
      </c>
      <c r="AL761" s="11" t="str">
        <f>IFERROR(IF(MARÍTIMOS[[#This Row],[Etapa Ingreso - Salida]]="","",MARÍTIMOS[[#This Row],[Etapa Ingreso - Salida]]),"")</f>
        <v/>
      </c>
      <c r="AM761" s="2" t="str">
        <f>IFERROR(IF(MARÍTIMOS[[#This Row],[FCL]]="","",MARÍTIMOS[[#This Row],[FCL]]),"")</f>
        <v/>
      </c>
      <c r="AN7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1" s="4" t="str" cm="1">
        <f t="array" ref="AO7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1" s="5" t="str">
        <f>IFERROR(OLDBD[[#This Row],[Llegada a packing]]-OLDBD[[#This Row],[Inicio de Ruta]],"")</f>
        <v/>
      </c>
      <c r="AQ761" s="6" t="str">
        <f>IFERROR(OLDBD[[#This Row],[Inicio de Ruta]]-OLDBD[[#This Row],[Salida de almacén de retiro]],"")</f>
        <v/>
      </c>
      <c r="AR7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1" s="8" t="str" cm="1">
        <f t="array" ref="AS7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1" s="9" t="str">
        <f>IFERROR(OLDBD[[#This Row],[Ingreso Packing]]-OLDBD[[#This Row],[Registro en Packing]],"")</f>
        <v/>
      </c>
      <c r="AV761" s="9" t="str">
        <f>IFERROR(OLDBD[[#This Row],[Ingreso Packing]]-OLDBD[[#This Row],[Llegada a packing]],"")</f>
        <v/>
      </c>
      <c r="AW7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1" s="5" t="str">
        <f>IFERROR(OLDBD[[#This Row],[Llegada Almacén de Ingreso]]-OLDBD[[#This Row],[Salida Packing]],"")</f>
        <v/>
      </c>
      <c r="AY761" s="4" t="str" cm="1">
        <f t="array" ref="AY7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1" s="43" t="s">
        <v>173</v>
      </c>
      <c r="BB761" s="47" t="str">
        <f>IFERROR(IF(MARÍTIMOS[[#This Row],[Estatus]]="","",MARÍTIMOS[[#This Row],[Estatus]]),"")</f>
        <v/>
      </c>
      <c r="BC761" s="43"/>
      <c r="BD761" s="46" t="str">
        <f>IFERROR(OLDBD[[#This Row],[Salida de almacén de retiro]]-OLDBD[[#This Row],[Ingreso Almacén de retiro]],"")</f>
        <v/>
      </c>
      <c r="BE761" s="46" t="str">
        <f>IFERROR(OLDBD[[#This Row],[Fin de Carga]]-OLDBD[[#This Row],[Inicio de Carga]],"")</f>
        <v/>
      </c>
    </row>
    <row r="762" spans="1:57" customFormat="1" hidden="1">
      <c r="A762" s="1"/>
      <c r="B762" s="1" t="str">
        <f>IFERROR(IF(MARÍTIMOS[[#This Row],[PP]]="","",MARÍTIMOS[[#This Row],[PP]]),"")</f>
        <v/>
      </c>
      <c r="C762" s="1" t="str">
        <f>IFERROR(IF(MARÍTIMOS[[#This Row],[Sede]]="","",MARÍTIMOS[[#This Row],[Sede]]),"")</f>
        <v/>
      </c>
      <c r="D762" s="1" t="str">
        <f>IFERROR(IF(MARÍTIMOS[[#This Row],[Instruction]]="","",MARÍTIMOS[[#This Row],[Instruction]]),"")</f>
        <v/>
      </c>
      <c r="E762" s="1"/>
      <c r="F762" s="2" t="str">
        <f>IFERROR(IF(MARÍTIMOS[[#This Row],[Transportista]]="","",MARÍTIMOS[[#This Row],[Transportista]]),"")</f>
        <v/>
      </c>
      <c r="G762" s="2" t="str">
        <f>IFERROR(IF(MARÍTIMOS[[#This Row],[Tercero]]="","",MARÍTIMOS[[#This Row],[Tercero]]),"")</f>
        <v/>
      </c>
      <c r="H762" s="2" t="str">
        <f>IFERROR(IF(MARÍTIMOS[[#This Row],[Razón Social]]="","",MARÍTIMOS[[#This Row],[Razón Social]]),"")</f>
        <v/>
      </c>
      <c r="I762" s="2" t="str">
        <f>IFERROR(IF(MARÍTIMOS[[#This Row],[RUC]]="","",MARÍTIMOS[[#This Row],[RUC]]),"")</f>
        <v/>
      </c>
      <c r="J762" s="2" t="str">
        <f>IFERROR(IF(MARÍTIMOS[[#This Row],[Placa Tracto]]="","",MARÍTIMOS[[#This Row],[Placa Tracto]]),"")</f>
        <v/>
      </c>
      <c r="K762" s="2" t="str">
        <f>IFERROR(IF(MARÍTIMOS[[#This Row],[Placa Carreta]]="","",MARÍTIMOS[[#This Row],[Placa Carreta]]),"")</f>
        <v/>
      </c>
      <c r="L762" s="44" t="str">
        <f>IFERROR(IF(MARÍTIMOS[[#This Row],[Conductor]]="","",MARÍTIMOS[[#This Row],[Conductor]]),"")</f>
        <v/>
      </c>
      <c r="M762" s="2" t="str">
        <f>IFERROR(IF(MARÍTIMOS[[#This Row],[Licencia]]="","",MARÍTIMOS[[#This Row],[Licencia]]),"")</f>
        <v/>
      </c>
      <c r="N762" s="2" t="str">
        <f>IFERROR(IF(MARÍTIMOS[[#This Row],[Número de Contacto]]="","",MARÍTIMOS[[#This Row],[Número de Contacto]]),"")</f>
        <v/>
      </c>
      <c r="O762" s="10" t="str">
        <f>IFERROR(IF(MARÍTIMOS[[#This Row],[Booking|AWB|CRT]]="","",MARÍTIMOS[[#This Row],[Booking|AWB|CRT]]),"")</f>
        <v/>
      </c>
      <c r="P762" s="2" t="str">
        <f>IFERROR(IF(MARÍTIMOS[[#This Row],[Contenedor]]="","",MARÍTIMOS[[#This Row],[Contenedor]]),"")</f>
        <v/>
      </c>
      <c r="Q762" s="2" t="str">
        <f>IFERROR(IF(MARÍTIMOS[[#This Row],[Puerto de Retiro]]="","",MARÍTIMOS[[#This Row],[Puerto de Retiro]]),"")</f>
        <v/>
      </c>
      <c r="R762" s="2" t="str">
        <f>IFERROR(IF(MARÍTIMOS[[#This Row],[Almacén de Retiro]]="","",MARÍTIMOS[[#This Row],[Almacén de Retiro]]),"")</f>
        <v/>
      </c>
      <c r="S762" s="11" t="str">
        <f>IFERROR(IF(MARÍTIMOS[[#This Row],[Etapa Retiro - Cita]]="","",MARÍTIMOS[[#This Row],[Etapa Retiro - Cita]]),"")</f>
        <v/>
      </c>
      <c r="T762" s="11" t="str">
        <f>IFERROR(IF(MARÍTIMOS[[#This Row],[Etapa Retiro - Llegada]]="","",MARÍTIMOS[[#This Row],[Etapa Retiro - Llegada]]),"")</f>
        <v/>
      </c>
      <c r="U762" s="11" t="str">
        <f>IFERROR(IF(MARÍTIMOS[[#This Row],[Etapa Retiro - Ingreso]]="","",MARÍTIMOS[[#This Row],[Etapa Retiro - Ingreso]]),"")</f>
        <v/>
      </c>
      <c r="V762" s="11" t="str">
        <f>IFERROR(IF(MARÍTIMOS[[#This Row],[Etapa Retiro - Atención]]="","",MARÍTIMOS[[#This Row],[Etapa Retiro - Atención]]),"")</f>
        <v/>
      </c>
      <c r="W762" s="11" t="str">
        <f>IFERROR(IF(MARÍTIMOS[[#This Row],[Etapa Retiro - Atención]]="","",MARÍTIMOS[[#This Row],[Etapa Retiro - Atención]]),"")</f>
        <v/>
      </c>
      <c r="X762" s="11" t="str">
        <f>IFERROR(IF(MARÍTIMOS[[#This Row],[Etapa Retiro - Inicio de Ruta]]="","",MARÍTIMOS[[#This Row],[Etapa Retiro - Inicio de Ruta]]),"")</f>
        <v/>
      </c>
      <c r="Y762" s="11" t="str">
        <f>IFERROR(IF(MARÍTIMOS[[#This Row],[Hora de Posicionamiento]]="","",MARÍTIMOS[[#This Row],[Fecha de Carga]]+MARÍTIMOS[[#This Row],[Hora de Posicionamiento]]),"")</f>
        <v/>
      </c>
      <c r="Z762" s="11" t="str">
        <f>IFERROR(IF(MARÍTIMOS[[#This Row],[Etapa Despacho - Llegada]]="","",MARÍTIMOS[[#This Row],[Etapa Despacho - Llegada]]),"")</f>
        <v/>
      </c>
      <c r="AA762" s="11" t="str">
        <f>IFERROR(IF(MARÍTIMOS[[#This Row],[Etapa Despacho - Registro]]="","",MARÍTIMOS[[#This Row],[Etapa Despacho - Registro]]),"")</f>
        <v/>
      </c>
      <c r="AB762" s="11" t="str">
        <f>IFERROR(IF(MARÍTIMOS[[#This Row],[Inspección Externa]]="","",MARÍTIMOS[[#This Row],[Inspección Externa]]),"")</f>
        <v/>
      </c>
      <c r="AC762" s="11" t="str">
        <f>IFERROR(IF(MARÍTIMOS[[#This Row],[Etapa Despacho - Inicio de Carga]]="","",MARÍTIMOS[[#This Row],[Etapa Despacho - Inicio de Carga]]),"")</f>
        <v/>
      </c>
      <c r="AD762" s="11" t="str">
        <f>IFERROR(IF(MARÍTIMOS[[#This Row],[Etapa Despacho - Mitad de Carga]]="","",MARÍTIMOS[[#This Row],[Etapa Despacho - Mitad de Carga]]),"")</f>
        <v/>
      </c>
      <c r="AE762" s="11" t="str">
        <f>IFERROR(IF(MARÍTIMOS[[#This Row],[Etapa Despacho - Fin de Carga]]="","",MARÍTIMOS[[#This Row],[Etapa Despacho - Fin de Carga]]),"")</f>
        <v/>
      </c>
      <c r="AF762" s="2" t="str">
        <f>IFERROR(IF(MARÍTIMOS[[#This Row],[Puerto de Embarque]]="","",MARÍTIMOS[[#This Row],[Puerto de Embarque]]),"")</f>
        <v/>
      </c>
      <c r="AG762" s="2" t="str">
        <f>IFERROR(IF(MARÍTIMOS[[#This Row],[Almacén de Ingreso]]="","",MARÍTIMOS[[#This Row],[Almacén de Ingreso]]),"")</f>
        <v/>
      </c>
      <c r="AH762" s="11" t="str">
        <f>IFERROR(IF(MARÍTIMOS[[#This Row],[Etapa Ingreso - Cita]]="","",MARÍTIMOS[[#This Row],[Etapa Ingreso - Cita]]),"")</f>
        <v/>
      </c>
      <c r="AI762" s="11" t="str">
        <f>IFERROR(IF(MARÍTIMOS[[#This Row],[Etapa Ingreso - Llegada]]="","",MARÍTIMOS[[#This Row],[Etapa Ingreso - Llegada]]),"")</f>
        <v/>
      </c>
      <c r="AJ762" s="11" t="str">
        <f>IFERROR(IF(MARÍTIMOS[[#This Row],[Etapa Ingreso - Ingeso]]="","",MARÍTIMOS[[#This Row],[Etapa Ingreso - Ingeso]]),"")</f>
        <v/>
      </c>
      <c r="AK762" s="11" t="str">
        <f>IFERROR(IF(MARÍTIMOS[[#This Row],[Etapa Ingreso - Atención]]="","",MARÍTIMOS[[#This Row],[Etapa Ingreso - Atención]]),"")</f>
        <v/>
      </c>
      <c r="AL762" s="11" t="str">
        <f>IFERROR(IF(MARÍTIMOS[[#This Row],[Etapa Ingreso - Salida]]="","",MARÍTIMOS[[#This Row],[Etapa Ingreso - Salida]]),"")</f>
        <v/>
      </c>
      <c r="AM762" s="2" t="str">
        <f>IFERROR(IF(MARÍTIMOS[[#This Row],[FCL]]="","",MARÍTIMOS[[#This Row],[FCL]]),"")</f>
        <v/>
      </c>
      <c r="AN7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2" s="4" t="str" cm="1">
        <f t="array" ref="AO7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2" s="5" t="str">
        <f>IFERROR(OLDBD[[#This Row],[Llegada a packing]]-OLDBD[[#This Row],[Inicio de Ruta]],"")</f>
        <v/>
      </c>
      <c r="AQ762" s="6" t="str">
        <f>IFERROR(OLDBD[[#This Row],[Inicio de Ruta]]-OLDBD[[#This Row],[Salida de almacén de retiro]],"")</f>
        <v/>
      </c>
      <c r="AR7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2" s="8" t="str" cm="1">
        <f t="array" ref="AS7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2" s="9" t="str">
        <f>IFERROR(OLDBD[[#This Row],[Ingreso Packing]]-OLDBD[[#This Row],[Registro en Packing]],"")</f>
        <v/>
      </c>
      <c r="AV762" s="9" t="str">
        <f>IFERROR(OLDBD[[#This Row],[Ingreso Packing]]-OLDBD[[#This Row],[Llegada a packing]],"")</f>
        <v/>
      </c>
      <c r="AW7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2" s="5" t="str">
        <f>IFERROR(OLDBD[[#This Row],[Llegada Almacén de Ingreso]]-OLDBD[[#This Row],[Salida Packing]],"")</f>
        <v/>
      </c>
      <c r="AY762" s="4" t="str" cm="1">
        <f t="array" ref="AY7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2" s="43" t="s">
        <v>173</v>
      </c>
      <c r="BB762" s="47" t="str">
        <f>IFERROR(IF(MARÍTIMOS[[#This Row],[Estatus]]="","",MARÍTIMOS[[#This Row],[Estatus]]),"")</f>
        <v/>
      </c>
      <c r="BC762" s="43"/>
      <c r="BD762" s="46" t="str">
        <f>IFERROR(OLDBD[[#This Row],[Salida de almacén de retiro]]-OLDBD[[#This Row],[Ingreso Almacén de retiro]],"")</f>
        <v/>
      </c>
      <c r="BE762" s="46" t="str">
        <f>IFERROR(OLDBD[[#This Row],[Fin de Carga]]-OLDBD[[#This Row],[Inicio de Carga]],"")</f>
        <v/>
      </c>
    </row>
    <row r="763" spans="1:57" customFormat="1" hidden="1">
      <c r="A763" s="1"/>
      <c r="B763" s="1" t="str">
        <f>IFERROR(IF(MARÍTIMOS[[#This Row],[PP]]="","",MARÍTIMOS[[#This Row],[PP]]),"")</f>
        <v/>
      </c>
      <c r="C763" s="1" t="str">
        <f>IFERROR(IF(MARÍTIMOS[[#This Row],[Sede]]="","",MARÍTIMOS[[#This Row],[Sede]]),"")</f>
        <v/>
      </c>
      <c r="D763" s="1" t="str">
        <f>IFERROR(IF(MARÍTIMOS[[#This Row],[Instruction]]="","",MARÍTIMOS[[#This Row],[Instruction]]),"")</f>
        <v/>
      </c>
      <c r="E763" s="1"/>
      <c r="F763" s="2" t="str">
        <f>IFERROR(IF(MARÍTIMOS[[#This Row],[Transportista]]="","",MARÍTIMOS[[#This Row],[Transportista]]),"")</f>
        <v/>
      </c>
      <c r="G763" s="2" t="str">
        <f>IFERROR(IF(MARÍTIMOS[[#This Row],[Tercero]]="","",MARÍTIMOS[[#This Row],[Tercero]]),"")</f>
        <v/>
      </c>
      <c r="H763" s="2" t="str">
        <f>IFERROR(IF(MARÍTIMOS[[#This Row],[Razón Social]]="","",MARÍTIMOS[[#This Row],[Razón Social]]),"")</f>
        <v/>
      </c>
      <c r="I763" s="2" t="str">
        <f>IFERROR(IF(MARÍTIMOS[[#This Row],[RUC]]="","",MARÍTIMOS[[#This Row],[RUC]]),"")</f>
        <v/>
      </c>
      <c r="J763" s="2" t="str">
        <f>IFERROR(IF(MARÍTIMOS[[#This Row],[Placa Tracto]]="","",MARÍTIMOS[[#This Row],[Placa Tracto]]),"")</f>
        <v/>
      </c>
      <c r="K763" s="2" t="str">
        <f>IFERROR(IF(MARÍTIMOS[[#This Row],[Placa Carreta]]="","",MARÍTIMOS[[#This Row],[Placa Carreta]]),"")</f>
        <v/>
      </c>
      <c r="L763" s="44" t="str">
        <f>IFERROR(IF(MARÍTIMOS[[#This Row],[Conductor]]="","",MARÍTIMOS[[#This Row],[Conductor]]),"")</f>
        <v/>
      </c>
      <c r="M763" s="2" t="str">
        <f>IFERROR(IF(MARÍTIMOS[[#This Row],[Licencia]]="","",MARÍTIMOS[[#This Row],[Licencia]]),"")</f>
        <v/>
      </c>
      <c r="N763" s="2" t="str">
        <f>IFERROR(IF(MARÍTIMOS[[#This Row],[Número de Contacto]]="","",MARÍTIMOS[[#This Row],[Número de Contacto]]),"")</f>
        <v/>
      </c>
      <c r="O763" s="10" t="str">
        <f>IFERROR(IF(MARÍTIMOS[[#This Row],[Booking|AWB|CRT]]="","",MARÍTIMOS[[#This Row],[Booking|AWB|CRT]]),"")</f>
        <v/>
      </c>
      <c r="P763" s="2" t="str">
        <f>IFERROR(IF(MARÍTIMOS[[#This Row],[Contenedor]]="","",MARÍTIMOS[[#This Row],[Contenedor]]),"")</f>
        <v/>
      </c>
      <c r="Q763" s="2" t="str">
        <f>IFERROR(IF(MARÍTIMOS[[#This Row],[Puerto de Retiro]]="","",MARÍTIMOS[[#This Row],[Puerto de Retiro]]),"")</f>
        <v/>
      </c>
      <c r="R763" s="2" t="str">
        <f>IFERROR(IF(MARÍTIMOS[[#This Row],[Almacén de Retiro]]="","",MARÍTIMOS[[#This Row],[Almacén de Retiro]]),"")</f>
        <v/>
      </c>
      <c r="S763" s="11" t="str">
        <f>IFERROR(IF(MARÍTIMOS[[#This Row],[Etapa Retiro - Cita]]="","",MARÍTIMOS[[#This Row],[Etapa Retiro - Cita]]),"")</f>
        <v/>
      </c>
      <c r="T763" s="11" t="str">
        <f>IFERROR(IF(MARÍTIMOS[[#This Row],[Etapa Retiro - Llegada]]="","",MARÍTIMOS[[#This Row],[Etapa Retiro - Llegada]]),"")</f>
        <v/>
      </c>
      <c r="U763" s="11" t="str">
        <f>IFERROR(IF(MARÍTIMOS[[#This Row],[Etapa Retiro - Ingreso]]="","",MARÍTIMOS[[#This Row],[Etapa Retiro - Ingreso]]),"")</f>
        <v/>
      </c>
      <c r="V763" s="11" t="str">
        <f>IFERROR(IF(MARÍTIMOS[[#This Row],[Etapa Retiro - Atención]]="","",MARÍTIMOS[[#This Row],[Etapa Retiro - Atención]]),"")</f>
        <v/>
      </c>
      <c r="W763" s="11" t="str">
        <f>IFERROR(IF(MARÍTIMOS[[#This Row],[Etapa Retiro - Atención]]="","",MARÍTIMOS[[#This Row],[Etapa Retiro - Atención]]),"")</f>
        <v/>
      </c>
      <c r="X763" s="11" t="str">
        <f>IFERROR(IF(MARÍTIMOS[[#This Row],[Etapa Retiro - Inicio de Ruta]]="","",MARÍTIMOS[[#This Row],[Etapa Retiro - Inicio de Ruta]]),"")</f>
        <v/>
      </c>
      <c r="Y763" s="11" t="str">
        <f>IFERROR(IF(MARÍTIMOS[[#This Row],[Hora de Posicionamiento]]="","",MARÍTIMOS[[#This Row],[Fecha de Carga]]+MARÍTIMOS[[#This Row],[Hora de Posicionamiento]]),"")</f>
        <v/>
      </c>
      <c r="Z763" s="11" t="str">
        <f>IFERROR(IF(MARÍTIMOS[[#This Row],[Etapa Despacho - Llegada]]="","",MARÍTIMOS[[#This Row],[Etapa Despacho - Llegada]]),"")</f>
        <v/>
      </c>
      <c r="AA763" s="11" t="str">
        <f>IFERROR(IF(MARÍTIMOS[[#This Row],[Etapa Despacho - Registro]]="","",MARÍTIMOS[[#This Row],[Etapa Despacho - Registro]]),"")</f>
        <v/>
      </c>
      <c r="AB763" s="11" t="str">
        <f>IFERROR(IF(MARÍTIMOS[[#This Row],[Inspección Externa]]="","",MARÍTIMOS[[#This Row],[Inspección Externa]]),"")</f>
        <v/>
      </c>
      <c r="AC763" s="11" t="str">
        <f>IFERROR(IF(MARÍTIMOS[[#This Row],[Etapa Despacho - Inicio de Carga]]="","",MARÍTIMOS[[#This Row],[Etapa Despacho - Inicio de Carga]]),"")</f>
        <v/>
      </c>
      <c r="AD763" s="11" t="str">
        <f>IFERROR(IF(MARÍTIMOS[[#This Row],[Etapa Despacho - Mitad de Carga]]="","",MARÍTIMOS[[#This Row],[Etapa Despacho - Mitad de Carga]]),"")</f>
        <v/>
      </c>
      <c r="AE763" s="11" t="str">
        <f>IFERROR(IF(MARÍTIMOS[[#This Row],[Etapa Despacho - Fin de Carga]]="","",MARÍTIMOS[[#This Row],[Etapa Despacho - Fin de Carga]]),"")</f>
        <v/>
      </c>
      <c r="AF763" s="2" t="str">
        <f>IFERROR(IF(MARÍTIMOS[[#This Row],[Puerto de Embarque]]="","",MARÍTIMOS[[#This Row],[Puerto de Embarque]]),"")</f>
        <v/>
      </c>
      <c r="AG763" s="2" t="str">
        <f>IFERROR(IF(MARÍTIMOS[[#This Row],[Almacén de Ingreso]]="","",MARÍTIMOS[[#This Row],[Almacén de Ingreso]]),"")</f>
        <v/>
      </c>
      <c r="AH763" s="11" t="str">
        <f>IFERROR(IF(MARÍTIMOS[[#This Row],[Etapa Ingreso - Cita]]="","",MARÍTIMOS[[#This Row],[Etapa Ingreso - Cita]]),"")</f>
        <v/>
      </c>
      <c r="AI763" s="11" t="str">
        <f>IFERROR(IF(MARÍTIMOS[[#This Row],[Etapa Ingreso - Llegada]]="","",MARÍTIMOS[[#This Row],[Etapa Ingreso - Llegada]]),"")</f>
        <v/>
      </c>
      <c r="AJ763" s="11" t="str">
        <f>IFERROR(IF(MARÍTIMOS[[#This Row],[Etapa Ingreso - Ingeso]]="","",MARÍTIMOS[[#This Row],[Etapa Ingreso - Ingeso]]),"")</f>
        <v/>
      </c>
      <c r="AK763" s="11" t="str">
        <f>IFERROR(IF(MARÍTIMOS[[#This Row],[Etapa Ingreso - Atención]]="","",MARÍTIMOS[[#This Row],[Etapa Ingreso - Atención]]),"")</f>
        <v/>
      </c>
      <c r="AL763" s="11" t="str">
        <f>IFERROR(IF(MARÍTIMOS[[#This Row],[Etapa Ingreso - Salida]]="","",MARÍTIMOS[[#This Row],[Etapa Ingreso - Salida]]),"")</f>
        <v/>
      </c>
      <c r="AM763" s="2" t="str">
        <f>IFERROR(IF(MARÍTIMOS[[#This Row],[FCL]]="","",MARÍTIMOS[[#This Row],[FCL]]),"")</f>
        <v/>
      </c>
      <c r="AN7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3" s="4" t="str" cm="1">
        <f t="array" ref="AO7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3" s="5" t="str">
        <f>IFERROR(OLDBD[[#This Row],[Llegada a packing]]-OLDBD[[#This Row],[Inicio de Ruta]],"")</f>
        <v/>
      </c>
      <c r="AQ763" s="6" t="str">
        <f>IFERROR(OLDBD[[#This Row],[Inicio de Ruta]]-OLDBD[[#This Row],[Salida de almacén de retiro]],"")</f>
        <v/>
      </c>
      <c r="AR7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3" s="8" t="str" cm="1">
        <f t="array" ref="AS7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3" s="9" t="str">
        <f>IFERROR(OLDBD[[#This Row],[Ingreso Packing]]-OLDBD[[#This Row],[Registro en Packing]],"")</f>
        <v/>
      </c>
      <c r="AV763" s="9" t="str">
        <f>IFERROR(OLDBD[[#This Row],[Ingreso Packing]]-OLDBD[[#This Row],[Llegada a packing]],"")</f>
        <v/>
      </c>
      <c r="AW7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3" s="5" t="str">
        <f>IFERROR(OLDBD[[#This Row],[Llegada Almacén de Ingreso]]-OLDBD[[#This Row],[Salida Packing]],"")</f>
        <v/>
      </c>
      <c r="AY763" s="4" t="str" cm="1">
        <f t="array" ref="AY7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3" s="43" t="s">
        <v>173</v>
      </c>
      <c r="BB763" s="47" t="str">
        <f>IFERROR(IF(MARÍTIMOS[[#This Row],[Estatus]]="","",MARÍTIMOS[[#This Row],[Estatus]]),"")</f>
        <v/>
      </c>
      <c r="BC763" s="43"/>
      <c r="BD763" s="46" t="str">
        <f>IFERROR(OLDBD[[#This Row],[Salida de almacén de retiro]]-OLDBD[[#This Row],[Ingreso Almacén de retiro]],"")</f>
        <v/>
      </c>
      <c r="BE763" s="46" t="str">
        <f>IFERROR(OLDBD[[#This Row],[Fin de Carga]]-OLDBD[[#This Row],[Inicio de Carga]],"")</f>
        <v/>
      </c>
    </row>
    <row r="764" spans="1:57" customFormat="1" hidden="1">
      <c r="A764" s="1"/>
      <c r="B764" s="1" t="str">
        <f>IFERROR(IF(MARÍTIMOS[[#This Row],[PP]]="","",MARÍTIMOS[[#This Row],[PP]]),"")</f>
        <v/>
      </c>
      <c r="C764" s="1" t="str">
        <f>IFERROR(IF(MARÍTIMOS[[#This Row],[Sede]]="","",MARÍTIMOS[[#This Row],[Sede]]),"")</f>
        <v/>
      </c>
      <c r="D764" s="1" t="str">
        <f>IFERROR(IF(MARÍTIMOS[[#This Row],[Instruction]]="","",MARÍTIMOS[[#This Row],[Instruction]]),"")</f>
        <v/>
      </c>
      <c r="E764" s="1"/>
      <c r="F764" s="2" t="str">
        <f>IFERROR(IF(MARÍTIMOS[[#This Row],[Transportista]]="","",MARÍTIMOS[[#This Row],[Transportista]]),"")</f>
        <v/>
      </c>
      <c r="G764" s="2" t="str">
        <f>IFERROR(IF(MARÍTIMOS[[#This Row],[Tercero]]="","",MARÍTIMOS[[#This Row],[Tercero]]),"")</f>
        <v/>
      </c>
      <c r="H764" s="2" t="str">
        <f>IFERROR(IF(MARÍTIMOS[[#This Row],[Razón Social]]="","",MARÍTIMOS[[#This Row],[Razón Social]]),"")</f>
        <v/>
      </c>
      <c r="I764" s="2" t="str">
        <f>IFERROR(IF(MARÍTIMOS[[#This Row],[RUC]]="","",MARÍTIMOS[[#This Row],[RUC]]),"")</f>
        <v/>
      </c>
      <c r="J764" s="2" t="str">
        <f>IFERROR(IF(MARÍTIMOS[[#This Row],[Placa Tracto]]="","",MARÍTIMOS[[#This Row],[Placa Tracto]]),"")</f>
        <v/>
      </c>
      <c r="K764" s="2" t="str">
        <f>IFERROR(IF(MARÍTIMOS[[#This Row],[Placa Carreta]]="","",MARÍTIMOS[[#This Row],[Placa Carreta]]),"")</f>
        <v/>
      </c>
      <c r="L764" s="44" t="str">
        <f>IFERROR(IF(MARÍTIMOS[[#This Row],[Conductor]]="","",MARÍTIMOS[[#This Row],[Conductor]]),"")</f>
        <v/>
      </c>
      <c r="M764" s="2" t="str">
        <f>IFERROR(IF(MARÍTIMOS[[#This Row],[Licencia]]="","",MARÍTIMOS[[#This Row],[Licencia]]),"")</f>
        <v/>
      </c>
      <c r="N764" s="2" t="str">
        <f>IFERROR(IF(MARÍTIMOS[[#This Row],[Número de Contacto]]="","",MARÍTIMOS[[#This Row],[Número de Contacto]]),"")</f>
        <v/>
      </c>
      <c r="O764" s="10" t="str">
        <f>IFERROR(IF(MARÍTIMOS[[#This Row],[Booking|AWB|CRT]]="","",MARÍTIMOS[[#This Row],[Booking|AWB|CRT]]),"")</f>
        <v/>
      </c>
      <c r="P764" s="2" t="str">
        <f>IFERROR(IF(MARÍTIMOS[[#This Row],[Contenedor]]="","",MARÍTIMOS[[#This Row],[Contenedor]]),"")</f>
        <v/>
      </c>
      <c r="Q764" s="2" t="str">
        <f>IFERROR(IF(MARÍTIMOS[[#This Row],[Puerto de Retiro]]="","",MARÍTIMOS[[#This Row],[Puerto de Retiro]]),"")</f>
        <v/>
      </c>
      <c r="R764" s="2" t="str">
        <f>IFERROR(IF(MARÍTIMOS[[#This Row],[Almacén de Retiro]]="","",MARÍTIMOS[[#This Row],[Almacén de Retiro]]),"")</f>
        <v/>
      </c>
      <c r="S764" s="11" t="str">
        <f>IFERROR(IF(MARÍTIMOS[[#This Row],[Etapa Retiro - Cita]]="","",MARÍTIMOS[[#This Row],[Etapa Retiro - Cita]]),"")</f>
        <v/>
      </c>
      <c r="T764" s="11" t="str">
        <f>IFERROR(IF(MARÍTIMOS[[#This Row],[Etapa Retiro - Llegada]]="","",MARÍTIMOS[[#This Row],[Etapa Retiro - Llegada]]),"")</f>
        <v/>
      </c>
      <c r="U764" s="11" t="str">
        <f>IFERROR(IF(MARÍTIMOS[[#This Row],[Etapa Retiro - Ingreso]]="","",MARÍTIMOS[[#This Row],[Etapa Retiro - Ingreso]]),"")</f>
        <v/>
      </c>
      <c r="V764" s="11" t="str">
        <f>IFERROR(IF(MARÍTIMOS[[#This Row],[Etapa Retiro - Atención]]="","",MARÍTIMOS[[#This Row],[Etapa Retiro - Atención]]),"")</f>
        <v/>
      </c>
      <c r="W764" s="11" t="str">
        <f>IFERROR(IF(MARÍTIMOS[[#This Row],[Etapa Retiro - Atención]]="","",MARÍTIMOS[[#This Row],[Etapa Retiro - Atención]]),"")</f>
        <v/>
      </c>
      <c r="X764" s="11" t="str">
        <f>IFERROR(IF(MARÍTIMOS[[#This Row],[Etapa Retiro - Inicio de Ruta]]="","",MARÍTIMOS[[#This Row],[Etapa Retiro - Inicio de Ruta]]),"")</f>
        <v/>
      </c>
      <c r="Y764" s="11" t="str">
        <f>IFERROR(IF(MARÍTIMOS[[#This Row],[Hora de Posicionamiento]]="","",MARÍTIMOS[[#This Row],[Fecha de Carga]]+MARÍTIMOS[[#This Row],[Hora de Posicionamiento]]),"")</f>
        <v/>
      </c>
      <c r="Z764" s="11" t="str">
        <f>IFERROR(IF(MARÍTIMOS[[#This Row],[Etapa Despacho - Llegada]]="","",MARÍTIMOS[[#This Row],[Etapa Despacho - Llegada]]),"")</f>
        <v/>
      </c>
      <c r="AA764" s="11" t="str">
        <f>IFERROR(IF(MARÍTIMOS[[#This Row],[Etapa Despacho - Registro]]="","",MARÍTIMOS[[#This Row],[Etapa Despacho - Registro]]),"")</f>
        <v/>
      </c>
      <c r="AB764" s="11" t="str">
        <f>IFERROR(IF(MARÍTIMOS[[#This Row],[Inspección Externa]]="","",MARÍTIMOS[[#This Row],[Inspección Externa]]),"")</f>
        <v/>
      </c>
      <c r="AC764" s="11" t="str">
        <f>IFERROR(IF(MARÍTIMOS[[#This Row],[Etapa Despacho - Inicio de Carga]]="","",MARÍTIMOS[[#This Row],[Etapa Despacho - Inicio de Carga]]),"")</f>
        <v/>
      </c>
      <c r="AD764" s="11" t="str">
        <f>IFERROR(IF(MARÍTIMOS[[#This Row],[Etapa Despacho - Mitad de Carga]]="","",MARÍTIMOS[[#This Row],[Etapa Despacho - Mitad de Carga]]),"")</f>
        <v/>
      </c>
      <c r="AE764" s="11" t="str">
        <f>IFERROR(IF(MARÍTIMOS[[#This Row],[Etapa Despacho - Fin de Carga]]="","",MARÍTIMOS[[#This Row],[Etapa Despacho - Fin de Carga]]),"")</f>
        <v/>
      </c>
      <c r="AF764" s="2" t="str">
        <f>IFERROR(IF(MARÍTIMOS[[#This Row],[Puerto de Embarque]]="","",MARÍTIMOS[[#This Row],[Puerto de Embarque]]),"")</f>
        <v/>
      </c>
      <c r="AG764" s="2" t="str">
        <f>IFERROR(IF(MARÍTIMOS[[#This Row],[Almacén de Ingreso]]="","",MARÍTIMOS[[#This Row],[Almacén de Ingreso]]),"")</f>
        <v/>
      </c>
      <c r="AH764" s="11" t="str">
        <f>IFERROR(IF(MARÍTIMOS[[#This Row],[Etapa Ingreso - Cita]]="","",MARÍTIMOS[[#This Row],[Etapa Ingreso - Cita]]),"")</f>
        <v/>
      </c>
      <c r="AI764" s="11" t="str">
        <f>IFERROR(IF(MARÍTIMOS[[#This Row],[Etapa Ingreso - Llegada]]="","",MARÍTIMOS[[#This Row],[Etapa Ingreso - Llegada]]),"")</f>
        <v/>
      </c>
      <c r="AJ764" s="11" t="str">
        <f>IFERROR(IF(MARÍTIMOS[[#This Row],[Etapa Ingreso - Ingeso]]="","",MARÍTIMOS[[#This Row],[Etapa Ingreso - Ingeso]]),"")</f>
        <v/>
      </c>
      <c r="AK764" s="11" t="str">
        <f>IFERROR(IF(MARÍTIMOS[[#This Row],[Etapa Ingreso - Atención]]="","",MARÍTIMOS[[#This Row],[Etapa Ingreso - Atención]]),"")</f>
        <v/>
      </c>
      <c r="AL764" s="11" t="str">
        <f>IFERROR(IF(MARÍTIMOS[[#This Row],[Etapa Ingreso - Salida]]="","",MARÍTIMOS[[#This Row],[Etapa Ingreso - Salida]]),"")</f>
        <v/>
      </c>
      <c r="AM764" s="2" t="str">
        <f>IFERROR(IF(MARÍTIMOS[[#This Row],[FCL]]="","",MARÍTIMOS[[#This Row],[FCL]]),"")</f>
        <v/>
      </c>
      <c r="AN7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4" s="4" t="str" cm="1">
        <f t="array" ref="AO7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4" s="5" t="str">
        <f>IFERROR(OLDBD[[#This Row],[Llegada a packing]]-OLDBD[[#This Row],[Inicio de Ruta]],"")</f>
        <v/>
      </c>
      <c r="AQ764" s="6" t="str">
        <f>IFERROR(OLDBD[[#This Row],[Inicio de Ruta]]-OLDBD[[#This Row],[Salida de almacén de retiro]],"")</f>
        <v/>
      </c>
      <c r="AR7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4" s="8" t="str" cm="1">
        <f t="array" ref="AS7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4" s="9" t="str">
        <f>IFERROR(OLDBD[[#This Row],[Ingreso Packing]]-OLDBD[[#This Row],[Registro en Packing]],"")</f>
        <v/>
      </c>
      <c r="AV764" s="9" t="str">
        <f>IFERROR(OLDBD[[#This Row],[Ingreso Packing]]-OLDBD[[#This Row],[Llegada a packing]],"")</f>
        <v/>
      </c>
      <c r="AW7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4" s="5" t="str">
        <f>IFERROR(OLDBD[[#This Row],[Llegada Almacén de Ingreso]]-OLDBD[[#This Row],[Salida Packing]],"")</f>
        <v/>
      </c>
      <c r="AY764" s="4" t="str" cm="1">
        <f t="array" ref="AY7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4" s="43" t="s">
        <v>173</v>
      </c>
      <c r="BB764" s="47" t="str">
        <f>IFERROR(IF(MARÍTIMOS[[#This Row],[Estatus]]="","",MARÍTIMOS[[#This Row],[Estatus]]),"")</f>
        <v/>
      </c>
      <c r="BC764" s="43"/>
      <c r="BD764" s="46" t="str">
        <f>IFERROR(OLDBD[[#This Row],[Salida de almacén de retiro]]-OLDBD[[#This Row],[Ingreso Almacén de retiro]],"")</f>
        <v/>
      </c>
      <c r="BE764" s="46" t="str">
        <f>IFERROR(OLDBD[[#This Row],[Fin de Carga]]-OLDBD[[#This Row],[Inicio de Carga]],"")</f>
        <v/>
      </c>
    </row>
    <row r="765" spans="1:57" customFormat="1" hidden="1">
      <c r="A765" s="1"/>
      <c r="B765" s="1" t="str">
        <f>IFERROR(IF(MARÍTIMOS[[#This Row],[PP]]="","",MARÍTIMOS[[#This Row],[PP]]),"")</f>
        <v/>
      </c>
      <c r="C765" s="1" t="str">
        <f>IFERROR(IF(MARÍTIMOS[[#This Row],[Sede]]="","",MARÍTIMOS[[#This Row],[Sede]]),"")</f>
        <v/>
      </c>
      <c r="D765" s="1" t="str">
        <f>IFERROR(IF(MARÍTIMOS[[#This Row],[Instruction]]="","",MARÍTIMOS[[#This Row],[Instruction]]),"")</f>
        <v/>
      </c>
      <c r="E765" s="1"/>
      <c r="F765" s="2" t="str">
        <f>IFERROR(IF(MARÍTIMOS[[#This Row],[Transportista]]="","",MARÍTIMOS[[#This Row],[Transportista]]),"")</f>
        <v/>
      </c>
      <c r="G765" s="2" t="str">
        <f>IFERROR(IF(MARÍTIMOS[[#This Row],[Tercero]]="","",MARÍTIMOS[[#This Row],[Tercero]]),"")</f>
        <v/>
      </c>
      <c r="H765" s="2" t="str">
        <f>IFERROR(IF(MARÍTIMOS[[#This Row],[Razón Social]]="","",MARÍTIMOS[[#This Row],[Razón Social]]),"")</f>
        <v/>
      </c>
      <c r="I765" s="2" t="str">
        <f>IFERROR(IF(MARÍTIMOS[[#This Row],[RUC]]="","",MARÍTIMOS[[#This Row],[RUC]]),"")</f>
        <v/>
      </c>
      <c r="J765" s="2" t="str">
        <f>IFERROR(IF(MARÍTIMOS[[#This Row],[Placa Tracto]]="","",MARÍTIMOS[[#This Row],[Placa Tracto]]),"")</f>
        <v/>
      </c>
      <c r="K765" s="2" t="str">
        <f>IFERROR(IF(MARÍTIMOS[[#This Row],[Placa Carreta]]="","",MARÍTIMOS[[#This Row],[Placa Carreta]]),"")</f>
        <v/>
      </c>
      <c r="L765" s="44" t="str">
        <f>IFERROR(IF(MARÍTIMOS[[#This Row],[Conductor]]="","",MARÍTIMOS[[#This Row],[Conductor]]),"")</f>
        <v/>
      </c>
      <c r="M765" s="2" t="str">
        <f>IFERROR(IF(MARÍTIMOS[[#This Row],[Licencia]]="","",MARÍTIMOS[[#This Row],[Licencia]]),"")</f>
        <v/>
      </c>
      <c r="N765" s="2" t="str">
        <f>IFERROR(IF(MARÍTIMOS[[#This Row],[Número de Contacto]]="","",MARÍTIMOS[[#This Row],[Número de Contacto]]),"")</f>
        <v/>
      </c>
      <c r="O765" s="10" t="str">
        <f>IFERROR(IF(MARÍTIMOS[[#This Row],[Booking|AWB|CRT]]="","",MARÍTIMOS[[#This Row],[Booking|AWB|CRT]]),"")</f>
        <v/>
      </c>
      <c r="P765" s="2" t="str">
        <f>IFERROR(IF(MARÍTIMOS[[#This Row],[Contenedor]]="","",MARÍTIMOS[[#This Row],[Contenedor]]),"")</f>
        <v/>
      </c>
      <c r="Q765" s="2" t="str">
        <f>IFERROR(IF(MARÍTIMOS[[#This Row],[Puerto de Retiro]]="","",MARÍTIMOS[[#This Row],[Puerto de Retiro]]),"")</f>
        <v/>
      </c>
      <c r="R765" s="2" t="str">
        <f>IFERROR(IF(MARÍTIMOS[[#This Row],[Almacén de Retiro]]="","",MARÍTIMOS[[#This Row],[Almacén de Retiro]]),"")</f>
        <v/>
      </c>
      <c r="S765" s="11" t="str">
        <f>IFERROR(IF(MARÍTIMOS[[#This Row],[Etapa Retiro - Cita]]="","",MARÍTIMOS[[#This Row],[Etapa Retiro - Cita]]),"")</f>
        <v/>
      </c>
      <c r="T765" s="11" t="str">
        <f>IFERROR(IF(MARÍTIMOS[[#This Row],[Etapa Retiro - Llegada]]="","",MARÍTIMOS[[#This Row],[Etapa Retiro - Llegada]]),"")</f>
        <v/>
      </c>
      <c r="U765" s="11" t="str">
        <f>IFERROR(IF(MARÍTIMOS[[#This Row],[Etapa Retiro - Ingreso]]="","",MARÍTIMOS[[#This Row],[Etapa Retiro - Ingreso]]),"")</f>
        <v/>
      </c>
      <c r="V765" s="11" t="str">
        <f>IFERROR(IF(MARÍTIMOS[[#This Row],[Etapa Retiro - Atención]]="","",MARÍTIMOS[[#This Row],[Etapa Retiro - Atención]]),"")</f>
        <v/>
      </c>
      <c r="W765" s="11" t="str">
        <f>IFERROR(IF(MARÍTIMOS[[#This Row],[Etapa Retiro - Atención]]="","",MARÍTIMOS[[#This Row],[Etapa Retiro - Atención]]),"")</f>
        <v/>
      </c>
      <c r="X765" s="11" t="str">
        <f>IFERROR(IF(MARÍTIMOS[[#This Row],[Etapa Retiro - Inicio de Ruta]]="","",MARÍTIMOS[[#This Row],[Etapa Retiro - Inicio de Ruta]]),"")</f>
        <v/>
      </c>
      <c r="Y765" s="11" t="str">
        <f>IFERROR(IF(MARÍTIMOS[[#This Row],[Hora de Posicionamiento]]="","",MARÍTIMOS[[#This Row],[Fecha de Carga]]+MARÍTIMOS[[#This Row],[Hora de Posicionamiento]]),"")</f>
        <v/>
      </c>
      <c r="Z765" s="11" t="str">
        <f>IFERROR(IF(MARÍTIMOS[[#This Row],[Etapa Despacho - Llegada]]="","",MARÍTIMOS[[#This Row],[Etapa Despacho - Llegada]]),"")</f>
        <v/>
      </c>
      <c r="AA765" s="11" t="str">
        <f>IFERROR(IF(MARÍTIMOS[[#This Row],[Etapa Despacho - Registro]]="","",MARÍTIMOS[[#This Row],[Etapa Despacho - Registro]]),"")</f>
        <v/>
      </c>
      <c r="AB765" s="11" t="str">
        <f>IFERROR(IF(MARÍTIMOS[[#This Row],[Inspección Externa]]="","",MARÍTIMOS[[#This Row],[Inspección Externa]]),"")</f>
        <v/>
      </c>
      <c r="AC765" s="11" t="str">
        <f>IFERROR(IF(MARÍTIMOS[[#This Row],[Etapa Despacho - Inicio de Carga]]="","",MARÍTIMOS[[#This Row],[Etapa Despacho - Inicio de Carga]]),"")</f>
        <v/>
      </c>
      <c r="AD765" s="11" t="str">
        <f>IFERROR(IF(MARÍTIMOS[[#This Row],[Etapa Despacho - Mitad de Carga]]="","",MARÍTIMOS[[#This Row],[Etapa Despacho - Mitad de Carga]]),"")</f>
        <v/>
      </c>
      <c r="AE765" s="11" t="str">
        <f>IFERROR(IF(MARÍTIMOS[[#This Row],[Etapa Despacho - Fin de Carga]]="","",MARÍTIMOS[[#This Row],[Etapa Despacho - Fin de Carga]]),"")</f>
        <v/>
      </c>
      <c r="AF765" s="2" t="str">
        <f>IFERROR(IF(MARÍTIMOS[[#This Row],[Puerto de Embarque]]="","",MARÍTIMOS[[#This Row],[Puerto de Embarque]]),"")</f>
        <v/>
      </c>
      <c r="AG765" s="2" t="str">
        <f>IFERROR(IF(MARÍTIMOS[[#This Row],[Almacén de Ingreso]]="","",MARÍTIMOS[[#This Row],[Almacén de Ingreso]]),"")</f>
        <v/>
      </c>
      <c r="AH765" s="11" t="str">
        <f>IFERROR(IF(MARÍTIMOS[[#This Row],[Etapa Ingreso - Cita]]="","",MARÍTIMOS[[#This Row],[Etapa Ingreso - Cita]]),"")</f>
        <v/>
      </c>
      <c r="AI765" s="11" t="str">
        <f>IFERROR(IF(MARÍTIMOS[[#This Row],[Etapa Ingreso - Llegada]]="","",MARÍTIMOS[[#This Row],[Etapa Ingreso - Llegada]]),"")</f>
        <v/>
      </c>
      <c r="AJ765" s="11" t="str">
        <f>IFERROR(IF(MARÍTIMOS[[#This Row],[Etapa Ingreso - Ingeso]]="","",MARÍTIMOS[[#This Row],[Etapa Ingreso - Ingeso]]),"")</f>
        <v/>
      </c>
      <c r="AK765" s="11" t="str">
        <f>IFERROR(IF(MARÍTIMOS[[#This Row],[Etapa Ingreso - Atención]]="","",MARÍTIMOS[[#This Row],[Etapa Ingreso - Atención]]),"")</f>
        <v/>
      </c>
      <c r="AL765" s="11" t="str">
        <f>IFERROR(IF(MARÍTIMOS[[#This Row],[Etapa Ingreso - Salida]]="","",MARÍTIMOS[[#This Row],[Etapa Ingreso - Salida]]),"")</f>
        <v/>
      </c>
      <c r="AM765" s="2" t="str">
        <f>IFERROR(IF(MARÍTIMOS[[#This Row],[FCL]]="","",MARÍTIMOS[[#This Row],[FCL]]),"")</f>
        <v/>
      </c>
      <c r="AN7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5" s="4" t="str" cm="1">
        <f t="array" ref="AO7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5" s="5" t="str">
        <f>IFERROR(OLDBD[[#This Row],[Llegada a packing]]-OLDBD[[#This Row],[Inicio de Ruta]],"")</f>
        <v/>
      </c>
      <c r="AQ765" s="6" t="str">
        <f>IFERROR(OLDBD[[#This Row],[Inicio de Ruta]]-OLDBD[[#This Row],[Salida de almacén de retiro]],"")</f>
        <v/>
      </c>
      <c r="AR7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5" s="8" t="str" cm="1">
        <f t="array" ref="AS7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5" s="9" t="str">
        <f>IFERROR(OLDBD[[#This Row],[Ingreso Packing]]-OLDBD[[#This Row],[Registro en Packing]],"")</f>
        <v/>
      </c>
      <c r="AV765" s="9" t="str">
        <f>IFERROR(OLDBD[[#This Row],[Ingreso Packing]]-OLDBD[[#This Row],[Llegada a packing]],"")</f>
        <v/>
      </c>
      <c r="AW7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5" s="5" t="str">
        <f>IFERROR(OLDBD[[#This Row],[Llegada Almacén de Ingreso]]-OLDBD[[#This Row],[Salida Packing]],"")</f>
        <v/>
      </c>
      <c r="AY765" s="4" t="str" cm="1">
        <f t="array" ref="AY7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5" s="43" t="s">
        <v>173</v>
      </c>
      <c r="BB765" s="47" t="str">
        <f>IFERROR(IF(MARÍTIMOS[[#This Row],[Estatus]]="","",MARÍTIMOS[[#This Row],[Estatus]]),"")</f>
        <v/>
      </c>
      <c r="BC765" s="43"/>
      <c r="BD765" s="46" t="str">
        <f>IFERROR(OLDBD[[#This Row],[Salida de almacén de retiro]]-OLDBD[[#This Row],[Ingreso Almacén de retiro]],"")</f>
        <v/>
      </c>
      <c r="BE765" s="46" t="str">
        <f>IFERROR(OLDBD[[#This Row],[Fin de Carga]]-OLDBD[[#This Row],[Inicio de Carga]],"")</f>
        <v/>
      </c>
    </row>
    <row r="766" spans="1:57" customFormat="1" hidden="1">
      <c r="A766" s="1"/>
      <c r="B766" s="1" t="str">
        <f>IFERROR(IF(MARÍTIMOS[[#This Row],[PP]]="","",MARÍTIMOS[[#This Row],[PP]]),"")</f>
        <v/>
      </c>
      <c r="C766" s="1" t="str">
        <f>IFERROR(IF(MARÍTIMOS[[#This Row],[Sede]]="","",MARÍTIMOS[[#This Row],[Sede]]),"")</f>
        <v/>
      </c>
      <c r="D766" s="1" t="str">
        <f>IFERROR(IF(MARÍTIMOS[[#This Row],[Instruction]]="","",MARÍTIMOS[[#This Row],[Instruction]]),"")</f>
        <v/>
      </c>
      <c r="E766" s="1"/>
      <c r="F766" s="2" t="str">
        <f>IFERROR(IF(MARÍTIMOS[[#This Row],[Transportista]]="","",MARÍTIMOS[[#This Row],[Transportista]]),"")</f>
        <v/>
      </c>
      <c r="G766" s="2" t="str">
        <f>IFERROR(IF(MARÍTIMOS[[#This Row],[Tercero]]="","",MARÍTIMOS[[#This Row],[Tercero]]),"")</f>
        <v/>
      </c>
      <c r="H766" s="2" t="str">
        <f>IFERROR(IF(MARÍTIMOS[[#This Row],[Razón Social]]="","",MARÍTIMOS[[#This Row],[Razón Social]]),"")</f>
        <v/>
      </c>
      <c r="I766" s="2" t="str">
        <f>IFERROR(IF(MARÍTIMOS[[#This Row],[RUC]]="","",MARÍTIMOS[[#This Row],[RUC]]),"")</f>
        <v/>
      </c>
      <c r="J766" s="2" t="str">
        <f>IFERROR(IF(MARÍTIMOS[[#This Row],[Placa Tracto]]="","",MARÍTIMOS[[#This Row],[Placa Tracto]]),"")</f>
        <v/>
      </c>
      <c r="K766" s="2" t="str">
        <f>IFERROR(IF(MARÍTIMOS[[#This Row],[Placa Carreta]]="","",MARÍTIMOS[[#This Row],[Placa Carreta]]),"")</f>
        <v/>
      </c>
      <c r="L766" s="44" t="str">
        <f>IFERROR(IF(MARÍTIMOS[[#This Row],[Conductor]]="","",MARÍTIMOS[[#This Row],[Conductor]]),"")</f>
        <v/>
      </c>
      <c r="M766" s="2" t="str">
        <f>IFERROR(IF(MARÍTIMOS[[#This Row],[Licencia]]="","",MARÍTIMOS[[#This Row],[Licencia]]),"")</f>
        <v/>
      </c>
      <c r="N766" s="2" t="str">
        <f>IFERROR(IF(MARÍTIMOS[[#This Row],[Número de Contacto]]="","",MARÍTIMOS[[#This Row],[Número de Contacto]]),"")</f>
        <v/>
      </c>
      <c r="O766" s="10" t="str">
        <f>IFERROR(IF(MARÍTIMOS[[#This Row],[Booking|AWB|CRT]]="","",MARÍTIMOS[[#This Row],[Booking|AWB|CRT]]),"")</f>
        <v/>
      </c>
      <c r="P766" s="2" t="str">
        <f>IFERROR(IF(MARÍTIMOS[[#This Row],[Contenedor]]="","",MARÍTIMOS[[#This Row],[Contenedor]]),"")</f>
        <v/>
      </c>
      <c r="Q766" s="2" t="str">
        <f>IFERROR(IF(MARÍTIMOS[[#This Row],[Puerto de Retiro]]="","",MARÍTIMOS[[#This Row],[Puerto de Retiro]]),"")</f>
        <v/>
      </c>
      <c r="R766" s="2" t="str">
        <f>IFERROR(IF(MARÍTIMOS[[#This Row],[Almacén de Retiro]]="","",MARÍTIMOS[[#This Row],[Almacén de Retiro]]),"")</f>
        <v/>
      </c>
      <c r="S766" s="11" t="str">
        <f>IFERROR(IF(MARÍTIMOS[[#This Row],[Etapa Retiro - Cita]]="","",MARÍTIMOS[[#This Row],[Etapa Retiro - Cita]]),"")</f>
        <v/>
      </c>
      <c r="T766" s="11" t="str">
        <f>IFERROR(IF(MARÍTIMOS[[#This Row],[Etapa Retiro - Llegada]]="","",MARÍTIMOS[[#This Row],[Etapa Retiro - Llegada]]),"")</f>
        <v/>
      </c>
      <c r="U766" s="11" t="str">
        <f>IFERROR(IF(MARÍTIMOS[[#This Row],[Etapa Retiro - Ingreso]]="","",MARÍTIMOS[[#This Row],[Etapa Retiro - Ingreso]]),"")</f>
        <v/>
      </c>
      <c r="V766" s="11" t="str">
        <f>IFERROR(IF(MARÍTIMOS[[#This Row],[Etapa Retiro - Atención]]="","",MARÍTIMOS[[#This Row],[Etapa Retiro - Atención]]),"")</f>
        <v/>
      </c>
      <c r="W766" s="11" t="str">
        <f>IFERROR(IF(MARÍTIMOS[[#This Row],[Etapa Retiro - Atención]]="","",MARÍTIMOS[[#This Row],[Etapa Retiro - Atención]]),"")</f>
        <v/>
      </c>
      <c r="X766" s="11" t="str">
        <f>IFERROR(IF(MARÍTIMOS[[#This Row],[Etapa Retiro - Inicio de Ruta]]="","",MARÍTIMOS[[#This Row],[Etapa Retiro - Inicio de Ruta]]),"")</f>
        <v/>
      </c>
      <c r="Y766" s="11" t="str">
        <f>IFERROR(IF(MARÍTIMOS[[#This Row],[Hora de Posicionamiento]]="","",MARÍTIMOS[[#This Row],[Fecha de Carga]]+MARÍTIMOS[[#This Row],[Hora de Posicionamiento]]),"")</f>
        <v/>
      </c>
      <c r="Z766" s="11" t="str">
        <f>IFERROR(IF(MARÍTIMOS[[#This Row],[Etapa Despacho - Llegada]]="","",MARÍTIMOS[[#This Row],[Etapa Despacho - Llegada]]),"")</f>
        <v/>
      </c>
      <c r="AA766" s="11" t="str">
        <f>IFERROR(IF(MARÍTIMOS[[#This Row],[Etapa Despacho - Registro]]="","",MARÍTIMOS[[#This Row],[Etapa Despacho - Registro]]),"")</f>
        <v/>
      </c>
      <c r="AB766" s="11" t="str">
        <f>IFERROR(IF(MARÍTIMOS[[#This Row],[Inspección Externa]]="","",MARÍTIMOS[[#This Row],[Inspección Externa]]),"")</f>
        <v/>
      </c>
      <c r="AC766" s="11" t="str">
        <f>IFERROR(IF(MARÍTIMOS[[#This Row],[Etapa Despacho - Inicio de Carga]]="","",MARÍTIMOS[[#This Row],[Etapa Despacho - Inicio de Carga]]),"")</f>
        <v/>
      </c>
      <c r="AD766" s="11" t="str">
        <f>IFERROR(IF(MARÍTIMOS[[#This Row],[Etapa Despacho - Mitad de Carga]]="","",MARÍTIMOS[[#This Row],[Etapa Despacho - Mitad de Carga]]),"")</f>
        <v/>
      </c>
      <c r="AE766" s="11" t="str">
        <f>IFERROR(IF(MARÍTIMOS[[#This Row],[Etapa Despacho - Fin de Carga]]="","",MARÍTIMOS[[#This Row],[Etapa Despacho - Fin de Carga]]),"")</f>
        <v/>
      </c>
      <c r="AF766" s="2" t="str">
        <f>IFERROR(IF(MARÍTIMOS[[#This Row],[Puerto de Embarque]]="","",MARÍTIMOS[[#This Row],[Puerto de Embarque]]),"")</f>
        <v/>
      </c>
      <c r="AG766" s="2" t="str">
        <f>IFERROR(IF(MARÍTIMOS[[#This Row],[Almacén de Ingreso]]="","",MARÍTIMOS[[#This Row],[Almacén de Ingreso]]),"")</f>
        <v/>
      </c>
      <c r="AH766" s="11" t="str">
        <f>IFERROR(IF(MARÍTIMOS[[#This Row],[Etapa Ingreso - Cita]]="","",MARÍTIMOS[[#This Row],[Etapa Ingreso - Cita]]),"")</f>
        <v/>
      </c>
      <c r="AI766" s="11" t="str">
        <f>IFERROR(IF(MARÍTIMOS[[#This Row],[Etapa Ingreso - Llegada]]="","",MARÍTIMOS[[#This Row],[Etapa Ingreso - Llegada]]),"")</f>
        <v/>
      </c>
      <c r="AJ766" s="11" t="str">
        <f>IFERROR(IF(MARÍTIMOS[[#This Row],[Etapa Ingreso - Ingeso]]="","",MARÍTIMOS[[#This Row],[Etapa Ingreso - Ingeso]]),"")</f>
        <v/>
      </c>
      <c r="AK766" s="11" t="str">
        <f>IFERROR(IF(MARÍTIMOS[[#This Row],[Etapa Ingreso - Atención]]="","",MARÍTIMOS[[#This Row],[Etapa Ingreso - Atención]]),"")</f>
        <v/>
      </c>
      <c r="AL766" s="11" t="str">
        <f>IFERROR(IF(MARÍTIMOS[[#This Row],[Etapa Ingreso - Salida]]="","",MARÍTIMOS[[#This Row],[Etapa Ingreso - Salida]]),"")</f>
        <v/>
      </c>
      <c r="AM766" s="2" t="str">
        <f>IFERROR(IF(MARÍTIMOS[[#This Row],[FCL]]="","",MARÍTIMOS[[#This Row],[FCL]]),"")</f>
        <v/>
      </c>
      <c r="AN7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6" s="4" t="str" cm="1">
        <f t="array" ref="AO7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6" s="5" t="str">
        <f>IFERROR(OLDBD[[#This Row],[Llegada a packing]]-OLDBD[[#This Row],[Inicio de Ruta]],"")</f>
        <v/>
      </c>
      <c r="AQ766" s="6" t="str">
        <f>IFERROR(OLDBD[[#This Row],[Inicio de Ruta]]-OLDBD[[#This Row],[Salida de almacén de retiro]],"")</f>
        <v/>
      </c>
      <c r="AR7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6" s="8" t="str" cm="1">
        <f t="array" ref="AS7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6" s="9" t="str">
        <f>IFERROR(OLDBD[[#This Row],[Ingreso Packing]]-OLDBD[[#This Row],[Registro en Packing]],"")</f>
        <v/>
      </c>
      <c r="AV766" s="9" t="str">
        <f>IFERROR(OLDBD[[#This Row],[Ingreso Packing]]-OLDBD[[#This Row],[Llegada a packing]],"")</f>
        <v/>
      </c>
      <c r="AW7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6" s="5" t="str">
        <f>IFERROR(OLDBD[[#This Row],[Llegada Almacén de Ingreso]]-OLDBD[[#This Row],[Salida Packing]],"")</f>
        <v/>
      </c>
      <c r="AY766" s="4" t="str" cm="1">
        <f t="array" ref="AY7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6" s="43" t="s">
        <v>173</v>
      </c>
      <c r="BB766" s="47" t="str">
        <f>IFERROR(IF(MARÍTIMOS[[#This Row],[Estatus]]="","",MARÍTIMOS[[#This Row],[Estatus]]),"")</f>
        <v/>
      </c>
      <c r="BC766" s="43"/>
      <c r="BD766" s="46" t="str">
        <f>IFERROR(OLDBD[[#This Row],[Salida de almacén de retiro]]-OLDBD[[#This Row],[Ingreso Almacén de retiro]],"")</f>
        <v/>
      </c>
      <c r="BE766" s="46" t="str">
        <f>IFERROR(OLDBD[[#This Row],[Fin de Carga]]-OLDBD[[#This Row],[Inicio de Carga]],"")</f>
        <v/>
      </c>
    </row>
    <row r="767" spans="1:57" customFormat="1" hidden="1">
      <c r="A767" s="1"/>
      <c r="B767" s="1" t="str">
        <f>IFERROR(IF(MARÍTIMOS[[#This Row],[PP]]="","",MARÍTIMOS[[#This Row],[PP]]),"")</f>
        <v/>
      </c>
      <c r="C767" s="1" t="str">
        <f>IFERROR(IF(MARÍTIMOS[[#This Row],[Sede]]="","",MARÍTIMOS[[#This Row],[Sede]]),"")</f>
        <v/>
      </c>
      <c r="D767" s="1" t="str">
        <f>IFERROR(IF(MARÍTIMOS[[#This Row],[Instruction]]="","",MARÍTIMOS[[#This Row],[Instruction]]),"")</f>
        <v/>
      </c>
      <c r="E767" s="1"/>
      <c r="F767" s="2" t="str">
        <f>IFERROR(IF(MARÍTIMOS[[#This Row],[Transportista]]="","",MARÍTIMOS[[#This Row],[Transportista]]),"")</f>
        <v/>
      </c>
      <c r="G767" s="2" t="str">
        <f>IFERROR(IF(MARÍTIMOS[[#This Row],[Tercero]]="","",MARÍTIMOS[[#This Row],[Tercero]]),"")</f>
        <v/>
      </c>
      <c r="H767" s="2" t="str">
        <f>IFERROR(IF(MARÍTIMOS[[#This Row],[Razón Social]]="","",MARÍTIMOS[[#This Row],[Razón Social]]),"")</f>
        <v/>
      </c>
      <c r="I767" s="2" t="str">
        <f>IFERROR(IF(MARÍTIMOS[[#This Row],[RUC]]="","",MARÍTIMOS[[#This Row],[RUC]]),"")</f>
        <v/>
      </c>
      <c r="J767" s="2" t="str">
        <f>IFERROR(IF(MARÍTIMOS[[#This Row],[Placa Tracto]]="","",MARÍTIMOS[[#This Row],[Placa Tracto]]),"")</f>
        <v/>
      </c>
      <c r="K767" s="2" t="str">
        <f>IFERROR(IF(MARÍTIMOS[[#This Row],[Placa Carreta]]="","",MARÍTIMOS[[#This Row],[Placa Carreta]]),"")</f>
        <v/>
      </c>
      <c r="L767" s="44" t="str">
        <f>IFERROR(IF(MARÍTIMOS[[#This Row],[Conductor]]="","",MARÍTIMOS[[#This Row],[Conductor]]),"")</f>
        <v/>
      </c>
      <c r="M767" s="2" t="str">
        <f>IFERROR(IF(MARÍTIMOS[[#This Row],[Licencia]]="","",MARÍTIMOS[[#This Row],[Licencia]]),"")</f>
        <v/>
      </c>
      <c r="N767" s="2" t="str">
        <f>IFERROR(IF(MARÍTIMOS[[#This Row],[Número de Contacto]]="","",MARÍTIMOS[[#This Row],[Número de Contacto]]),"")</f>
        <v/>
      </c>
      <c r="O767" s="10" t="str">
        <f>IFERROR(IF(MARÍTIMOS[[#This Row],[Booking|AWB|CRT]]="","",MARÍTIMOS[[#This Row],[Booking|AWB|CRT]]),"")</f>
        <v/>
      </c>
      <c r="P767" s="2" t="str">
        <f>IFERROR(IF(MARÍTIMOS[[#This Row],[Contenedor]]="","",MARÍTIMOS[[#This Row],[Contenedor]]),"")</f>
        <v/>
      </c>
      <c r="Q767" s="2" t="str">
        <f>IFERROR(IF(MARÍTIMOS[[#This Row],[Puerto de Retiro]]="","",MARÍTIMOS[[#This Row],[Puerto de Retiro]]),"")</f>
        <v/>
      </c>
      <c r="R767" s="2" t="str">
        <f>IFERROR(IF(MARÍTIMOS[[#This Row],[Almacén de Retiro]]="","",MARÍTIMOS[[#This Row],[Almacén de Retiro]]),"")</f>
        <v/>
      </c>
      <c r="S767" s="11" t="str">
        <f>IFERROR(IF(MARÍTIMOS[[#This Row],[Etapa Retiro - Cita]]="","",MARÍTIMOS[[#This Row],[Etapa Retiro - Cita]]),"")</f>
        <v/>
      </c>
      <c r="T767" s="11" t="str">
        <f>IFERROR(IF(MARÍTIMOS[[#This Row],[Etapa Retiro - Llegada]]="","",MARÍTIMOS[[#This Row],[Etapa Retiro - Llegada]]),"")</f>
        <v/>
      </c>
      <c r="U767" s="11" t="str">
        <f>IFERROR(IF(MARÍTIMOS[[#This Row],[Etapa Retiro - Ingreso]]="","",MARÍTIMOS[[#This Row],[Etapa Retiro - Ingreso]]),"")</f>
        <v/>
      </c>
      <c r="V767" s="11" t="str">
        <f>IFERROR(IF(MARÍTIMOS[[#This Row],[Etapa Retiro - Atención]]="","",MARÍTIMOS[[#This Row],[Etapa Retiro - Atención]]),"")</f>
        <v/>
      </c>
      <c r="W767" s="11" t="str">
        <f>IFERROR(IF(MARÍTIMOS[[#This Row],[Etapa Retiro - Atención]]="","",MARÍTIMOS[[#This Row],[Etapa Retiro - Atención]]),"")</f>
        <v/>
      </c>
      <c r="X767" s="11" t="str">
        <f>IFERROR(IF(MARÍTIMOS[[#This Row],[Etapa Retiro - Inicio de Ruta]]="","",MARÍTIMOS[[#This Row],[Etapa Retiro - Inicio de Ruta]]),"")</f>
        <v/>
      </c>
      <c r="Y767" s="11" t="str">
        <f>IFERROR(IF(MARÍTIMOS[[#This Row],[Hora de Posicionamiento]]="","",MARÍTIMOS[[#This Row],[Fecha de Carga]]+MARÍTIMOS[[#This Row],[Hora de Posicionamiento]]),"")</f>
        <v/>
      </c>
      <c r="Z767" s="11" t="str">
        <f>IFERROR(IF(MARÍTIMOS[[#This Row],[Etapa Despacho - Llegada]]="","",MARÍTIMOS[[#This Row],[Etapa Despacho - Llegada]]),"")</f>
        <v/>
      </c>
      <c r="AA767" s="11" t="str">
        <f>IFERROR(IF(MARÍTIMOS[[#This Row],[Etapa Despacho - Registro]]="","",MARÍTIMOS[[#This Row],[Etapa Despacho - Registro]]),"")</f>
        <v/>
      </c>
      <c r="AB767" s="11" t="str">
        <f>IFERROR(IF(MARÍTIMOS[[#This Row],[Inspección Externa]]="","",MARÍTIMOS[[#This Row],[Inspección Externa]]),"")</f>
        <v/>
      </c>
      <c r="AC767" s="11" t="str">
        <f>IFERROR(IF(MARÍTIMOS[[#This Row],[Etapa Despacho - Inicio de Carga]]="","",MARÍTIMOS[[#This Row],[Etapa Despacho - Inicio de Carga]]),"")</f>
        <v/>
      </c>
      <c r="AD767" s="11" t="str">
        <f>IFERROR(IF(MARÍTIMOS[[#This Row],[Etapa Despacho - Mitad de Carga]]="","",MARÍTIMOS[[#This Row],[Etapa Despacho - Mitad de Carga]]),"")</f>
        <v/>
      </c>
      <c r="AE767" s="11" t="str">
        <f>IFERROR(IF(MARÍTIMOS[[#This Row],[Etapa Despacho - Fin de Carga]]="","",MARÍTIMOS[[#This Row],[Etapa Despacho - Fin de Carga]]),"")</f>
        <v/>
      </c>
      <c r="AF767" s="2" t="str">
        <f>IFERROR(IF(MARÍTIMOS[[#This Row],[Puerto de Embarque]]="","",MARÍTIMOS[[#This Row],[Puerto de Embarque]]),"")</f>
        <v/>
      </c>
      <c r="AG767" s="2" t="str">
        <f>IFERROR(IF(MARÍTIMOS[[#This Row],[Almacén de Ingreso]]="","",MARÍTIMOS[[#This Row],[Almacén de Ingreso]]),"")</f>
        <v/>
      </c>
      <c r="AH767" s="11" t="str">
        <f>IFERROR(IF(MARÍTIMOS[[#This Row],[Etapa Ingreso - Cita]]="","",MARÍTIMOS[[#This Row],[Etapa Ingreso - Cita]]),"")</f>
        <v/>
      </c>
      <c r="AI767" s="11" t="str">
        <f>IFERROR(IF(MARÍTIMOS[[#This Row],[Etapa Ingreso - Llegada]]="","",MARÍTIMOS[[#This Row],[Etapa Ingreso - Llegada]]),"")</f>
        <v/>
      </c>
      <c r="AJ767" s="11" t="str">
        <f>IFERROR(IF(MARÍTIMOS[[#This Row],[Etapa Ingreso - Ingeso]]="","",MARÍTIMOS[[#This Row],[Etapa Ingreso - Ingeso]]),"")</f>
        <v/>
      </c>
      <c r="AK767" s="11" t="str">
        <f>IFERROR(IF(MARÍTIMOS[[#This Row],[Etapa Ingreso - Atención]]="","",MARÍTIMOS[[#This Row],[Etapa Ingreso - Atención]]),"")</f>
        <v/>
      </c>
      <c r="AL767" s="11" t="str">
        <f>IFERROR(IF(MARÍTIMOS[[#This Row],[Etapa Ingreso - Salida]]="","",MARÍTIMOS[[#This Row],[Etapa Ingreso - Salida]]),"")</f>
        <v/>
      </c>
      <c r="AM767" s="2" t="str">
        <f>IFERROR(IF(MARÍTIMOS[[#This Row],[FCL]]="","",MARÍTIMOS[[#This Row],[FCL]]),"")</f>
        <v/>
      </c>
      <c r="AN7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7" s="4" t="str" cm="1">
        <f t="array" ref="AO7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7" s="5" t="str">
        <f>IFERROR(OLDBD[[#This Row],[Llegada a packing]]-OLDBD[[#This Row],[Inicio de Ruta]],"")</f>
        <v/>
      </c>
      <c r="AQ767" s="6" t="str">
        <f>IFERROR(OLDBD[[#This Row],[Inicio de Ruta]]-OLDBD[[#This Row],[Salida de almacén de retiro]],"")</f>
        <v/>
      </c>
      <c r="AR7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7" s="8" t="str" cm="1">
        <f t="array" ref="AS7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7" s="9" t="str">
        <f>IFERROR(OLDBD[[#This Row],[Ingreso Packing]]-OLDBD[[#This Row],[Registro en Packing]],"")</f>
        <v/>
      </c>
      <c r="AV767" s="9" t="str">
        <f>IFERROR(OLDBD[[#This Row],[Ingreso Packing]]-OLDBD[[#This Row],[Llegada a packing]],"")</f>
        <v/>
      </c>
      <c r="AW7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7" s="5" t="str">
        <f>IFERROR(OLDBD[[#This Row],[Llegada Almacén de Ingreso]]-OLDBD[[#This Row],[Salida Packing]],"")</f>
        <v/>
      </c>
      <c r="AY767" s="4" t="str" cm="1">
        <f t="array" ref="AY7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7" s="43" t="s">
        <v>173</v>
      </c>
      <c r="BB767" s="47" t="str">
        <f>IFERROR(IF(MARÍTIMOS[[#This Row],[Estatus]]="","",MARÍTIMOS[[#This Row],[Estatus]]),"")</f>
        <v/>
      </c>
      <c r="BC767" s="43"/>
      <c r="BD767" s="46" t="str">
        <f>IFERROR(OLDBD[[#This Row],[Salida de almacén de retiro]]-OLDBD[[#This Row],[Ingreso Almacén de retiro]],"")</f>
        <v/>
      </c>
      <c r="BE767" s="46" t="str">
        <f>IFERROR(OLDBD[[#This Row],[Fin de Carga]]-OLDBD[[#This Row],[Inicio de Carga]],"")</f>
        <v/>
      </c>
    </row>
    <row r="768" spans="1:57" customFormat="1" hidden="1">
      <c r="A768" s="1"/>
      <c r="B768" s="1" t="str">
        <f>IFERROR(IF(MARÍTIMOS[[#This Row],[PP]]="","",MARÍTIMOS[[#This Row],[PP]]),"")</f>
        <v/>
      </c>
      <c r="C768" s="1" t="str">
        <f>IFERROR(IF(MARÍTIMOS[[#This Row],[Sede]]="","",MARÍTIMOS[[#This Row],[Sede]]),"")</f>
        <v/>
      </c>
      <c r="D768" s="1" t="str">
        <f>IFERROR(IF(MARÍTIMOS[[#This Row],[Instruction]]="","",MARÍTIMOS[[#This Row],[Instruction]]),"")</f>
        <v/>
      </c>
      <c r="E768" s="1"/>
      <c r="F768" s="2" t="str">
        <f>IFERROR(IF(MARÍTIMOS[[#This Row],[Transportista]]="","",MARÍTIMOS[[#This Row],[Transportista]]),"")</f>
        <v/>
      </c>
      <c r="G768" s="2" t="str">
        <f>IFERROR(IF(MARÍTIMOS[[#This Row],[Tercero]]="","",MARÍTIMOS[[#This Row],[Tercero]]),"")</f>
        <v/>
      </c>
      <c r="H768" s="2" t="str">
        <f>IFERROR(IF(MARÍTIMOS[[#This Row],[Razón Social]]="","",MARÍTIMOS[[#This Row],[Razón Social]]),"")</f>
        <v/>
      </c>
      <c r="I768" s="2" t="str">
        <f>IFERROR(IF(MARÍTIMOS[[#This Row],[RUC]]="","",MARÍTIMOS[[#This Row],[RUC]]),"")</f>
        <v/>
      </c>
      <c r="J768" s="2" t="str">
        <f>IFERROR(IF(MARÍTIMOS[[#This Row],[Placa Tracto]]="","",MARÍTIMOS[[#This Row],[Placa Tracto]]),"")</f>
        <v/>
      </c>
      <c r="K768" s="2" t="str">
        <f>IFERROR(IF(MARÍTIMOS[[#This Row],[Placa Carreta]]="","",MARÍTIMOS[[#This Row],[Placa Carreta]]),"")</f>
        <v/>
      </c>
      <c r="L768" s="44" t="str">
        <f>IFERROR(IF(MARÍTIMOS[[#This Row],[Conductor]]="","",MARÍTIMOS[[#This Row],[Conductor]]),"")</f>
        <v/>
      </c>
      <c r="M768" s="2" t="str">
        <f>IFERROR(IF(MARÍTIMOS[[#This Row],[Licencia]]="","",MARÍTIMOS[[#This Row],[Licencia]]),"")</f>
        <v/>
      </c>
      <c r="N768" s="2" t="str">
        <f>IFERROR(IF(MARÍTIMOS[[#This Row],[Número de Contacto]]="","",MARÍTIMOS[[#This Row],[Número de Contacto]]),"")</f>
        <v/>
      </c>
      <c r="O768" s="10" t="str">
        <f>IFERROR(IF(MARÍTIMOS[[#This Row],[Booking|AWB|CRT]]="","",MARÍTIMOS[[#This Row],[Booking|AWB|CRT]]),"")</f>
        <v/>
      </c>
      <c r="P768" s="2" t="str">
        <f>IFERROR(IF(MARÍTIMOS[[#This Row],[Contenedor]]="","",MARÍTIMOS[[#This Row],[Contenedor]]),"")</f>
        <v/>
      </c>
      <c r="Q768" s="2" t="str">
        <f>IFERROR(IF(MARÍTIMOS[[#This Row],[Puerto de Retiro]]="","",MARÍTIMOS[[#This Row],[Puerto de Retiro]]),"")</f>
        <v/>
      </c>
      <c r="R768" s="2" t="str">
        <f>IFERROR(IF(MARÍTIMOS[[#This Row],[Almacén de Retiro]]="","",MARÍTIMOS[[#This Row],[Almacén de Retiro]]),"")</f>
        <v/>
      </c>
      <c r="S768" s="11" t="str">
        <f>IFERROR(IF(MARÍTIMOS[[#This Row],[Etapa Retiro - Cita]]="","",MARÍTIMOS[[#This Row],[Etapa Retiro - Cita]]),"")</f>
        <v/>
      </c>
      <c r="T768" s="11" t="str">
        <f>IFERROR(IF(MARÍTIMOS[[#This Row],[Etapa Retiro - Llegada]]="","",MARÍTIMOS[[#This Row],[Etapa Retiro - Llegada]]),"")</f>
        <v/>
      </c>
      <c r="U768" s="11" t="str">
        <f>IFERROR(IF(MARÍTIMOS[[#This Row],[Etapa Retiro - Ingreso]]="","",MARÍTIMOS[[#This Row],[Etapa Retiro - Ingreso]]),"")</f>
        <v/>
      </c>
      <c r="V768" s="11" t="str">
        <f>IFERROR(IF(MARÍTIMOS[[#This Row],[Etapa Retiro - Atención]]="","",MARÍTIMOS[[#This Row],[Etapa Retiro - Atención]]),"")</f>
        <v/>
      </c>
      <c r="W768" s="11" t="str">
        <f>IFERROR(IF(MARÍTIMOS[[#This Row],[Etapa Retiro - Atención]]="","",MARÍTIMOS[[#This Row],[Etapa Retiro - Atención]]),"")</f>
        <v/>
      </c>
      <c r="X768" s="11" t="str">
        <f>IFERROR(IF(MARÍTIMOS[[#This Row],[Etapa Retiro - Inicio de Ruta]]="","",MARÍTIMOS[[#This Row],[Etapa Retiro - Inicio de Ruta]]),"")</f>
        <v/>
      </c>
      <c r="Y768" s="11" t="str">
        <f>IFERROR(IF(MARÍTIMOS[[#This Row],[Hora de Posicionamiento]]="","",MARÍTIMOS[[#This Row],[Fecha de Carga]]+MARÍTIMOS[[#This Row],[Hora de Posicionamiento]]),"")</f>
        <v/>
      </c>
      <c r="Z768" s="11" t="str">
        <f>IFERROR(IF(MARÍTIMOS[[#This Row],[Etapa Despacho - Llegada]]="","",MARÍTIMOS[[#This Row],[Etapa Despacho - Llegada]]),"")</f>
        <v/>
      </c>
      <c r="AA768" s="11" t="str">
        <f>IFERROR(IF(MARÍTIMOS[[#This Row],[Etapa Despacho - Registro]]="","",MARÍTIMOS[[#This Row],[Etapa Despacho - Registro]]),"")</f>
        <v/>
      </c>
      <c r="AB768" s="11" t="str">
        <f>IFERROR(IF(MARÍTIMOS[[#This Row],[Inspección Externa]]="","",MARÍTIMOS[[#This Row],[Inspección Externa]]),"")</f>
        <v/>
      </c>
      <c r="AC768" s="11" t="str">
        <f>IFERROR(IF(MARÍTIMOS[[#This Row],[Etapa Despacho - Inicio de Carga]]="","",MARÍTIMOS[[#This Row],[Etapa Despacho - Inicio de Carga]]),"")</f>
        <v/>
      </c>
      <c r="AD768" s="11" t="str">
        <f>IFERROR(IF(MARÍTIMOS[[#This Row],[Etapa Despacho - Mitad de Carga]]="","",MARÍTIMOS[[#This Row],[Etapa Despacho - Mitad de Carga]]),"")</f>
        <v/>
      </c>
      <c r="AE768" s="11" t="str">
        <f>IFERROR(IF(MARÍTIMOS[[#This Row],[Etapa Despacho - Fin de Carga]]="","",MARÍTIMOS[[#This Row],[Etapa Despacho - Fin de Carga]]),"")</f>
        <v/>
      </c>
      <c r="AF768" s="2" t="str">
        <f>IFERROR(IF(MARÍTIMOS[[#This Row],[Puerto de Embarque]]="","",MARÍTIMOS[[#This Row],[Puerto de Embarque]]),"")</f>
        <v/>
      </c>
      <c r="AG768" s="2" t="str">
        <f>IFERROR(IF(MARÍTIMOS[[#This Row],[Almacén de Ingreso]]="","",MARÍTIMOS[[#This Row],[Almacén de Ingreso]]),"")</f>
        <v/>
      </c>
      <c r="AH768" s="11" t="str">
        <f>IFERROR(IF(MARÍTIMOS[[#This Row],[Etapa Ingreso - Cita]]="","",MARÍTIMOS[[#This Row],[Etapa Ingreso - Cita]]),"")</f>
        <v/>
      </c>
      <c r="AI768" s="11" t="str">
        <f>IFERROR(IF(MARÍTIMOS[[#This Row],[Etapa Ingreso - Llegada]]="","",MARÍTIMOS[[#This Row],[Etapa Ingreso - Llegada]]),"")</f>
        <v/>
      </c>
      <c r="AJ768" s="11" t="str">
        <f>IFERROR(IF(MARÍTIMOS[[#This Row],[Etapa Ingreso - Ingeso]]="","",MARÍTIMOS[[#This Row],[Etapa Ingreso - Ingeso]]),"")</f>
        <v/>
      </c>
      <c r="AK768" s="11" t="str">
        <f>IFERROR(IF(MARÍTIMOS[[#This Row],[Etapa Ingreso - Atención]]="","",MARÍTIMOS[[#This Row],[Etapa Ingreso - Atención]]),"")</f>
        <v/>
      </c>
      <c r="AL768" s="11" t="str">
        <f>IFERROR(IF(MARÍTIMOS[[#This Row],[Etapa Ingreso - Salida]]="","",MARÍTIMOS[[#This Row],[Etapa Ingreso - Salida]]),"")</f>
        <v/>
      </c>
      <c r="AM768" s="2" t="str">
        <f>IFERROR(IF(MARÍTIMOS[[#This Row],[FCL]]="","",MARÍTIMOS[[#This Row],[FCL]]),"")</f>
        <v/>
      </c>
      <c r="AN7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8" s="4" t="str" cm="1">
        <f t="array" ref="AO7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8" s="5" t="str">
        <f>IFERROR(OLDBD[[#This Row],[Llegada a packing]]-OLDBD[[#This Row],[Inicio de Ruta]],"")</f>
        <v/>
      </c>
      <c r="AQ768" s="6" t="str">
        <f>IFERROR(OLDBD[[#This Row],[Inicio de Ruta]]-OLDBD[[#This Row],[Salida de almacén de retiro]],"")</f>
        <v/>
      </c>
      <c r="AR7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8" s="8" t="str" cm="1">
        <f t="array" ref="AS7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8" s="9" t="str">
        <f>IFERROR(OLDBD[[#This Row],[Ingreso Packing]]-OLDBD[[#This Row],[Registro en Packing]],"")</f>
        <v/>
      </c>
      <c r="AV768" s="9" t="str">
        <f>IFERROR(OLDBD[[#This Row],[Ingreso Packing]]-OLDBD[[#This Row],[Llegada a packing]],"")</f>
        <v/>
      </c>
      <c r="AW7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8" s="5" t="str">
        <f>IFERROR(OLDBD[[#This Row],[Llegada Almacén de Ingreso]]-OLDBD[[#This Row],[Salida Packing]],"")</f>
        <v/>
      </c>
      <c r="AY768" s="4" t="str" cm="1">
        <f t="array" ref="AY7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8" s="43" t="s">
        <v>173</v>
      </c>
      <c r="BB768" s="47" t="str">
        <f>IFERROR(IF(MARÍTIMOS[[#This Row],[Estatus]]="","",MARÍTIMOS[[#This Row],[Estatus]]),"")</f>
        <v/>
      </c>
      <c r="BC768" s="43"/>
      <c r="BD768" s="46" t="str">
        <f>IFERROR(OLDBD[[#This Row],[Salida de almacén de retiro]]-OLDBD[[#This Row],[Ingreso Almacén de retiro]],"")</f>
        <v/>
      </c>
      <c r="BE768" s="46" t="str">
        <f>IFERROR(OLDBD[[#This Row],[Fin de Carga]]-OLDBD[[#This Row],[Inicio de Carga]],"")</f>
        <v/>
      </c>
    </row>
    <row r="769" spans="1:57" customFormat="1" hidden="1">
      <c r="A769" s="1"/>
      <c r="B769" s="1" t="str">
        <f>IFERROR(IF(MARÍTIMOS[[#This Row],[PP]]="","",MARÍTIMOS[[#This Row],[PP]]),"")</f>
        <v/>
      </c>
      <c r="C769" s="1" t="str">
        <f>IFERROR(IF(MARÍTIMOS[[#This Row],[Sede]]="","",MARÍTIMOS[[#This Row],[Sede]]),"")</f>
        <v/>
      </c>
      <c r="D769" s="1" t="str">
        <f>IFERROR(IF(MARÍTIMOS[[#This Row],[Instruction]]="","",MARÍTIMOS[[#This Row],[Instruction]]),"")</f>
        <v/>
      </c>
      <c r="E769" s="1"/>
      <c r="F769" s="2" t="str">
        <f>IFERROR(IF(MARÍTIMOS[[#This Row],[Transportista]]="","",MARÍTIMOS[[#This Row],[Transportista]]),"")</f>
        <v/>
      </c>
      <c r="G769" s="2" t="str">
        <f>IFERROR(IF(MARÍTIMOS[[#This Row],[Tercero]]="","",MARÍTIMOS[[#This Row],[Tercero]]),"")</f>
        <v/>
      </c>
      <c r="H769" s="2" t="str">
        <f>IFERROR(IF(MARÍTIMOS[[#This Row],[Razón Social]]="","",MARÍTIMOS[[#This Row],[Razón Social]]),"")</f>
        <v/>
      </c>
      <c r="I769" s="2" t="str">
        <f>IFERROR(IF(MARÍTIMOS[[#This Row],[RUC]]="","",MARÍTIMOS[[#This Row],[RUC]]),"")</f>
        <v/>
      </c>
      <c r="J769" s="2" t="str">
        <f>IFERROR(IF(MARÍTIMOS[[#This Row],[Placa Tracto]]="","",MARÍTIMOS[[#This Row],[Placa Tracto]]),"")</f>
        <v/>
      </c>
      <c r="K769" s="2" t="str">
        <f>IFERROR(IF(MARÍTIMOS[[#This Row],[Placa Carreta]]="","",MARÍTIMOS[[#This Row],[Placa Carreta]]),"")</f>
        <v/>
      </c>
      <c r="L769" s="44" t="str">
        <f>IFERROR(IF(MARÍTIMOS[[#This Row],[Conductor]]="","",MARÍTIMOS[[#This Row],[Conductor]]),"")</f>
        <v/>
      </c>
      <c r="M769" s="2" t="str">
        <f>IFERROR(IF(MARÍTIMOS[[#This Row],[Licencia]]="","",MARÍTIMOS[[#This Row],[Licencia]]),"")</f>
        <v/>
      </c>
      <c r="N769" s="2" t="str">
        <f>IFERROR(IF(MARÍTIMOS[[#This Row],[Número de Contacto]]="","",MARÍTIMOS[[#This Row],[Número de Contacto]]),"")</f>
        <v/>
      </c>
      <c r="O769" s="10" t="str">
        <f>IFERROR(IF(MARÍTIMOS[[#This Row],[Booking|AWB|CRT]]="","",MARÍTIMOS[[#This Row],[Booking|AWB|CRT]]),"")</f>
        <v/>
      </c>
      <c r="P769" s="2" t="str">
        <f>IFERROR(IF(MARÍTIMOS[[#This Row],[Contenedor]]="","",MARÍTIMOS[[#This Row],[Contenedor]]),"")</f>
        <v/>
      </c>
      <c r="Q769" s="2" t="str">
        <f>IFERROR(IF(MARÍTIMOS[[#This Row],[Puerto de Retiro]]="","",MARÍTIMOS[[#This Row],[Puerto de Retiro]]),"")</f>
        <v/>
      </c>
      <c r="R769" s="2" t="str">
        <f>IFERROR(IF(MARÍTIMOS[[#This Row],[Almacén de Retiro]]="","",MARÍTIMOS[[#This Row],[Almacén de Retiro]]),"")</f>
        <v/>
      </c>
      <c r="S769" s="11" t="str">
        <f>IFERROR(IF(MARÍTIMOS[[#This Row],[Etapa Retiro - Cita]]="","",MARÍTIMOS[[#This Row],[Etapa Retiro - Cita]]),"")</f>
        <v/>
      </c>
      <c r="T769" s="11" t="str">
        <f>IFERROR(IF(MARÍTIMOS[[#This Row],[Etapa Retiro - Llegada]]="","",MARÍTIMOS[[#This Row],[Etapa Retiro - Llegada]]),"")</f>
        <v/>
      </c>
      <c r="U769" s="11" t="str">
        <f>IFERROR(IF(MARÍTIMOS[[#This Row],[Etapa Retiro - Ingreso]]="","",MARÍTIMOS[[#This Row],[Etapa Retiro - Ingreso]]),"")</f>
        <v/>
      </c>
      <c r="V769" s="11" t="str">
        <f>IFERROR(IF(MARÍTIMOS[[#This Row],[Etapa Retiro - Atención]]="","",MARÍTIMOS[[#This Row],[Etapa Retiro - Atención]]),"")</f>
        <v/>
      </c>
      <c r="W769" s="11" t="str">
        <f>IFERROR(IF(MARÍTIMOS[[#This Row],[Etapa Retiro - Atención]]="","",MARÍTIMOS[[#This Row],[Etapa Retiro - Atención]]),"")</f>
        <v/>
      </c>
      <c r="X769" s="11" t="str">
        <f>IFERROR(IF(MARÍTIMOS[[#This Row],[Etapa Retiro - Inicio de Ruta]]="","",MARÍTIMOS[[#This Row],[Etapa Retiro - Inicio de Ruta]]),"")</f>
        <v/>
      </c>
      <c r="Y769" s="11" t="str">
        <f>IFERROR(IF(MARÍTIMOS[[#This Row],[Hora de Posicionamiento]]="","",MARÍTIMOS[[#This Row],[Fecha de Carga]]+MARÍTIMOS[[#This Row],[Hora de Posicionamiento]]),"")</f>
        <v/>
      </c>
      <c r="Z769" s="11" t="str">
        <f>IFERROR(IF(MARÍTIMOS[[#This Row],[Etapa Despacho - Llegada]]="","",MARÍTIMOS[[#This Row],[Etapa Despacho - Llegada]]),"")</f>
        <v/>
      </c>
      <c r="AA769" s="11" t="str">
        <f>IFERROR(IF(MARÍTIMOS[[#This Row],[Etapa Despacho - Registro]]="","",MARÍTIMOS[[#This Row],[Etapa Despacho - Registro]]),"")</f>
        <v/>
      </c>
      <c r="AB769" s="11" t="str">
        <f>IFERROR(IF(MARÍTIMOS[[#This Row],[Inspección Externa]]="","",MARÍTIMOS[[#This Row],[Inspección Externa]]),"")</f>
        <v/>
      </c>
      <c r="AC769" s="11" t="str">
        <f>IFERROR(IF(MARÍTIMOS[[#This Row],[Etapa Despacho - Inicio de Carga]]="","",MARÍTIMOS[[#This Row],[Etapa Despacho - Inicio de Carga]]),"")</f>
        <v/>
      </c>
      <c r="AD769" s="11" t="str">
        <f>IFERROR(IF(MARÍTIMOS[[#This Row],[Etapa Despacho - Mitad de Carga]]="","",MARÍTIMOS[[#This Row],[Etapa Despacho - Mitad de Carga]]),"")</f>
        <v/>
      </c>
      <c r="AE769" s="11" t="str">
        <f>IFERROR(IF(MARÍTIMOS[[#This Row],[Etapa Despacho - Fin de Carga]]="","",MARÍTIMOS[[#This Row],[Etapa Despacho - Fin de Carga]]),"")</f>
        <v/>
      </c>
      <c r="AF769" s="2" t="str">
        <f>IFERROR(IF(MARÍTIMOS[[#This Row],[Puerto de Embarque]]="","",MARÍTIMOS[[#This Row],[Puerto de Embarque]]),"")</f>
        <v/>
      </c>
      <c r="AG769" s="2" t="str">
        <f>IFERROR(IF(MARÍTIMOS[[#This Row],[Almacén de Ingreso]]="","",MARÍTIMOS[[#This Row],[Almacén de Ingreso]]),"")</f>
        <v/>
      </c>
      <c r="AH769" s="11" t="str">
        <f>IFERROR(IF(MARÍTIMOS[[#This Row],[Etapa Ingreso - Cita]]="","",MARÍTIMOS[[#This Row],[Etapa Ingreso - Cita]]),"")</f>
        <v/>
      </c>
      <c r="AI769" s="11" t="str">
        <f>IFERROR(IF(MARÍTIMOS[[#This Row],[Etapa Ingreso - Llegada]]="","",MARÍTIMOS[[#This Row],[Etapa Ingreso - Llegada]]),"")</f>
        <v/>
      </c>
      <c r="AJ769" s="11" t="str">
        <f>IFERROR(IF(MARÍTIMOS[[#This Row],[Etapa Ingreso - Ingeso]]="","",MARÍTIMOS[[#This Row],[Etapa Ingreso - Ingeso]]),"")</f>
        <v/>
      </c>
      <c r="AK769" s="11" t="str">
        <f>IFERROR(IF(MARÍTIMOS[[#This Row],[Etapa Ingreso - Atención]]="","",MARÍTIMOS[[#This Row],[Etapa Ingreso - Atención]]),"")</f>
        <v/>
      </c>
      <c r="AL769" s="11" t="str">
        <f>IFERROR(IF(MARÍTIMOS[[#This Row],[Etapa Ingreso - Salida]]="","",MARÍTIMOS[[#This Row],[Etapa Ingreso - Salida]]),"")</f>
        <v/>
      </c>
      <c r="AM769" s="2" t="str">
        <f>IFERROR(IF(MARÍTIMOS[[#This Row],[FCL]]="","",MARÍTIMOS[[#This Row],[FCL]]),"")</f>
        <v/>
      </c>
      <c r="AN7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69" s="4" t="str" cm="1">
        <f t="array" ref="AO7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69" s="5" t="str">
        <f>IFERROR(OLDBD[[#This Row],[Llegada a packing]]-OLDBD[[#This Row],[Inicio de Ruta]],"")</f>
        <v/>
      </c>
      <c r="AQ769" s="6" t="str">
        <f>IFERROR(OLDBD[[#This Row],[Inicio de Ruta]]-OLDBD[[#This Row],[Salida de almacén de retiro]],"")</f>
        <v/>
      </c>
      <c r="AR7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69" s="8" t="str" cm="1">
        <f t="array" ref="AS7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69" s="9" t="str">
        <f>IFERROR(OLDBD[[#This Row],[Ingreso Packing]]-OLDBD[[#This Row],[Registro en Packing]],"")</f>
        <v/>
      </c>
      <c r="AV769" s="9" t="str">
        <f>IFERROR(OLDBD[[#This Row],[Ingreso Packing]]-OLDBD[[#This Row],[Llegada a packing]],"")</f>
        <v/>
      </c>
      <c r="AW7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69" s="5" t="str">
        <f>IFERROR(OLDBD[[#This Row],[Llegada Almacén de Ingreso]]-OLDBD[[#This Row],[Salida Packing]],"")</f>
        <v/>
      </c>
      <c r="AY769" s="4" t="str" cm="1">
        <f t="array" ref="AY7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69" s="43" t="s">
        <v>173</v>
      </c>
      <c r="BB769" s="47" t="str">
        <f>IFERROR(IF(MARÍTIMOS[[#This Row],[Estatus]]="","",MARÍTIMOS[[#This Row],[Estatus]]),"")</f>
        <v/>
      </c>
      <c r="BC769" s="43"/>
      <c r="BD769" s="46" t="str">
        <f>IFERROR(OLDBD[[#This Row],[Salida de almacén de retiro]]-OLDBD[[#This Row],[Ingreso Almacén de retiro]],"")</f>
        <v/>
      </c>
      <c r="BE769" s="46" t="str">
        <f>IFERROR(OLDBD[[#This Row],[Fin de Carga]]-OLDBD[[#This Row],[Inicio de Carga]],"")</f>
        <v/>
      </c>
    </row>
    <row r="770" spans="1:57" customFormat="1" hidden="1">
      <c r="A770" s="1"/>
      <c r="B770" s="1" t="str">
        <f>IFERROR(IF(MARÍTIMOS[[#This Row],[PP]]="","",MARÍTIMOS[[#This Row],[PP]]),"")</f>
        <v/>
      </c>
      <c r="C770" s="1" t="str">
        <f>IFERROR(IF(MARÍTIMOS[[#This Row],[Sede]]="","",MARÍTIMOS[[#This Row],[Sede]]),"")</f>
        <v/>
      </c>
      <c r="D770" s="1" t="str">
        <f>IFERROR(IF(MARÍTIMOS[[#This Row],[Instruction]]="","",MARÍTIMOS[[#This Row],[Instruction]]),"")</f>
        <v/>
      </c>
      <c r="E770" s="1"/>
      <c r="F770" s="2" t="str">
        <f>IFERROR(IF(MARÍTIMOS[[#This Row],[Transportista]]="","",MARÍTIMOS[[#This Row],[Transportista]]),"")</f>
        <v/>
      </c>
      <c r="G770" s="2" t="str">
        <f>IFERROR(IF(MARÍTIMOS[[#This Row],[Tercero]]="","",MARÍTIMOS[[#This Row],[Tercero]]),"")</f>
        <v/>
      </c>
      <c r="H770" s="2" t="str">
        <f>IFERROR(IF(MARÍTIMOS[[#This Row],[Razón Social]]="","",MARÍTIMOS[[#This Row],[Razón Social]]),"")</f>
        <v/>
      </c>
      <c r="I770" s="2" t="str">
        <f>IFERROR(IF(MARÍTIMOS[[#This Row],[RUC]]="","",MARÍTIMOS[[#This Row],[RUC]]),"")</f>
        <v/>
      </c>
      <c r="J770" s="2" t="str">
        <f>IFERROR(IF(MARÍTIMOS[[#This Row],[Placa Tracto]]="","",MARÍTIMOS[[#This Row],[Placa Tracto]]),"")</f>
        <v/>
      </c>
      <c r="K770" s="2" t="str">
        <f>IFERROR(IF(MARÍTIMOS[[#This Row],[Placa Carreta]]="","",MARÍTIMOS[[#This Row],[Placa Carreta]]),"")</f>
        <v/>
      </c>
      <c r="L770" s="44" t="str">
        <f>IFERROR(IF(MARÍTIMOS[[#This Row],[Conductor]]="","",MARÍTIMOS[[#This Row],[Conductor]]),"")</f>
        <v/>
      </c>
      <c r="M770" s="2" t="str">
        <f>IFERROR(IF(MARÍTIMOS[[#This Row],[Licencia]]="","",MARÍTIMOS[[#This Row],[Licencia]]),"")</f>
        <v/>
      </c>
      <c r="N770" s="2" t="str">
        <f>IFERROR(IF(MARÍTIMOS[[#This Row],[Número de Contacto]]="","",MARÍTIMOS[[#This Row],[Número de Contacto]]),"")</f>
        <v/>
      </c>
      <c r="O770" s="10" t="str">
        <f>IFERROR(IF(MARÍTIMOS[[#This Row],[Booking|AWB|CRT]]="","",MARÍTIMOS[[#This Row],[Booking|AWB|CRT]]),"")</f>
        <v/>
      </c>
      <c r="P770" s="2" t="str">
        <f>IFERROR(IF(MARÍTIMOS[[#This Row],[Contenedor]]="","",MARÍTIMOS[[#This Row],[Contenedor]]),"")</f>
        <v/>
      </c>
      <c r="Q770" s="2" t="str">
        <f>IFERROR(IF(MARÍTIMOS[[#This Row],[Puerto de Retiro]]="","",MARÍTIMOS[[#This Row],[Puerto de Retiro]]),"")</f>
        <v/>
      </c>
      <c r="R770" s="2" t="str">
        <f>IFERROR(IF(MARÍTIMOS[[#This Row],[Almacén de Retiro]]="","",MARÍTIMOS[[#This Row],[Almacén de Retiro]]),"")</f>
        <v/>
      </c>
      <c r="S770" s="11" t="str">
        <f>IFERROR(IF(MARÍTIMOS[[#This Row],[Etapa Retiro - Cita]]="","",MARÍTIMOS[[#This Row],[Etapa Retiro - Cita]]),"")</f>
        <v/>
      </c>
      <c r="T770" s="11" t="str">
        <f>IFERROR(IF(MARÍTIMOS[[#This Row],[Etapa Retiro - Llegada]]="","",MARÍTIMOS[[#This Row],[Etapa Retiro - Llegada]]),"")</f>
        <v/>
      </c>
      <c r="U770" s="11" t="str">
        <f>IFERROR(IF(MARÍTIMOS[[#This Row],[Etapa Retiro - Ingreso]]="","",MARÍTIMOS[[#This Row],[Etapa Retiro - Ingreso]]),"")</f>
        <v/>
      </c>
      <c r="V770" s="11" t="str">
        <f>IFERROR(IF(MARÍTIMOS[[#This Row],[Etapa Retiro - Atención]]="","",MARÍTIMOS[[#This Row],[Etapa Retiro - Atención]]),"")</f>
        <v/>
      </c>
      <c r="W770" s="11" t="str">
        <f>IFERROR(IF(MARÍTIMOS[[#This Row],[Etapa Retiro - Atención]]="","",MARÍTIMOS[[#This Row],[Etapa Retiro - Atención]]),"")</f>
        <v/>
      </c>
      <c r="X770" s="11" t="str">
        <f>IFERROR(IF(MARÍTIMOS[[#This Row],[Etapa Retiro - Inicio de Ruta]]="","",MARÍTIMOS[[#This Row],[Etapa Retiro - Inicio de Ruta]]),"")</f>
        <v/>
      </c>
      <c r="Y770" s="11" t="str">
        <f>IFERROR(IF(MARÍTIMOS[[#This Row],[Hora de Posicionamiento]]="","",MARÍTIMOS[[#This Row],[Fecha de Carga]]+MARÍTIMOS[[#This Row],[Hora de Posicionamiento]]),"")</f>
        <v/>
      </c>
      <c r="Z770" s="11" t="str">
        <f>IFERROR(IF(MARÍTIMOS[[#This Row],[Etapa Despacho - Llegada]]="","",MARÍTIMOS[[#This Row],[Etapa Despacho - Llegada]]),"")</f>
        <v/>
      </c>
      <c r="AA770" s="11" t="str">
        <f>IFERROR(IF(MARÍTIMOS[[#This Row],[Etapa Despacho - Registro]]="","",MARÍTIMOS[[#This Row],[Etapa Despacho - Registro]]),"")</f>
        <v/>
      </c>
      <c r="AB770" s="11" t="str">
        <f>IFERROR(IF(MARÍTIMOS[[#This Row],[Inspección Externa]]="","",MARÍTIMOS[[#This Row],[Inspección Externa]]),"")</f>
        <v/>
      </c>
      <c r="AC770" s="11" t="str">
        <f>IFERROR(IF(MARÍTIMOS[[#This Row],[Etapa Despacho - Inicio de Carga]]="","",MARÍTIMOS[[#This Row],[Etapa Despacho - Inicio de Carga]]),"")</f>
        <v/>
      </c>
      <c r="AD770" s="11" t="str">
        <f>IFERROR(IF(MARÍTIMOS[[#This Row],[Etapa Despacho - Mitad de Carga]]="","",MARÍTIMOS[[#This Row],[Etapa Despacho - Mitad de Carga]]),"")</f>
        <v/>
      </c>
      <c r="AE770" s="11" t="str">
        <f>IFERROR(IF(MARÍTIMOS[[#This Row],[Etapa Despacho - Fin de Carga]]="","",MARÍTIMOS[[#This Row],[Etapa Despacho - Fin de Carga]]),"")</f>
        <v/>
      </c>
      <c r="AF770" s="2" t="str">
        <f>IFERROR(IF(MARÍTIMOS[[#This Row],[Puerto de Embarque]]="","",MARÍTIMOS[[#This Row],[Puerto de Embarque]]),"")</f>
        <v/>
      </c>
      <c r="AG770" s="2" t="str">
        <f>IFERROR(IF(MARÍTIMOS[[#This Row],[Almacén de Ingreso]]="","",MARÍTIMOS[[#This Row],[Almacén de Ingreso]]),"")</f>
        <v/>
      </c>
      <c r="AH770" s="11" t="str">
        <f>IFERROR(IF(MARÍTIMOS[[#This Row],[Etapa Ingreso - Cita]]="","",MARÍTIMOS[[#This Row],[Etapa Ingreso - Cita]]),"")</f>
        <v/>
      </c>
      <c r="AI770" s="11" t="str">
        <f>IFERROR(IF(MARÍTIMOS[[#This Row],[Etapa Ingreso - Llegada]]="","",MARÍTIMOS[[#This Row],[Etapa Ingreso - Llegada]]),"")</f>
        <v/>
      </c>
      <c r="AJ770" s="11" t="str">
        <f>IFERROR(IF(MARÍTIMOS[[#This Row],[Etapa Ingreso - Ingeso]]="","",MARÍTIMOS[[#This Row],[Etapa Ingreso - Ingeso]]),"")</f>
        <v/>
      </c>
      <c r="AK770" s="11" t="str">
        <f>IFERROR(IF(MARÍTIMOS[[#This Row],[Etapa Ingreso - Atención]]="","",MARÍTIMOS[[#This Row],[Etapa Ingreso - Atención]]),"")</f>
        <v/>
      </c>
      <c r="AL770" s="11" t="str">
        <f>IFERROR(IF(MARÍTIMOS[[#This Row],[Etapa Ingreso - Salida]]="","",MARÍTIMOS[[#This Row],[Etapa Ingreso - Salida]]),"")</f>
        <v/>
      </c>
      <c r="AM770" s="2" t="str">
        <f>IFERROR(IF(MARÍTIMOS[[#This Row],[FCL]]="","",MARÍTIMOS[[#This Row],[FCL]]),"")</f>
        <v/>
      </c>
      <c r="AN7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0" s="4" t="str" cm="1">
        <f t="array" ref="AO7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0" s="5" t="str">
        <f>IFERROR(OLDBD[[#This Row],[Llegada a packing]]-OLDBD[[#This Row],[Inicio de Ruta]],"")</f>
        <v/>
      </c>
      <c r="AQ770" s="6" t="str">
        <f>IFERROR(OLDBD[[#This Row],[Inicio de Ruta]]-OLDBD[[#This Row],[Salida de almacén de retiro]],"")</f>
        <v/>
      </c>
      <c r="AR7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0" s="8" t="str" cm="1">
        <f t="array" ref="AS7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0" s="9" t="str">
        <f>IFERROR(OLDBD[[#This Row],[Ingreso Packing]]-OLDBD[[#This Row],[Registro en Packing]],"")</f>
        <v/>
      </c>
      <c r="AV770" s="9" t="str">
        <f>IFERROR(OLDBD[[#This Row],[Ingreso Packing]]-OLDBD[[#This Row],[Llegada a packing]],"")</f>
        <v/>
      </c>
      <c r="AW7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0" s="5" t="str">
        <f>IFERROR(OLDBD[[#This Row],[Llegada Almacén de Ingreso]]-OLDBD[[#This Row],[Salida Packing]],"")</f>
        <v/>
      </c>
      <c r="AY770" s="4" t="str" cm="1">
        <f t="array" ref="AY7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0" s="43" t="s">
        <v>173</v>
      </c>
      <c r="BB770" s="47" t="str">
        <f>IFERROR(IF(MARÍTIMOS[[#This Row],[Estatus]]="","",MARÍTIMOS[[#This Row],[Estatus]]),"")</f>
        <v/>
      </c>
      <c r="BC770" s="43"/>
      <c r="BD770" s="46" t="str">
        <f>IFERROR(OLDBD[[#This Row],[Salida de almacén de retiro]]-OLDBD[[#This Row],[Ingreso Almacén de retiro]],"")</f>
        <v/>
      </c>
      <c r="BE770" s="46" t="str">
        <f>IFERROR(OLDBD[[#This Row],[Fin de Carga]]-OLDBD[[#This Row],[Inicio de Carga]],"")</f>
        <v/>
      </c>
    </row>
    <row r="771" spans="1:57" customFormat="1" hidden="1">
      <c r="A771" s="1"/>
      <c r="B771" s="1" t="str">
        <f>IFERROR(IF(MARÍTIMOS[[#This Row],[PP]]="","",MARÍTIMOS[[#This Row],[PP]]),"")</f>
        <v/>
      </c>
      <c r="C771" s="1" t="str">
        <f>IFERROR(IF(MARÍTIMOS[[#This Row],[Sede]]="","",MARÍTIMOS[[#This Row],[Sede]]),"")</f>
        <v/>
      </c>
      <c r="D771" s="1" t="str">
        <f>IFERROR(IF(MARÍTIMOS[[#This Row],[Instruction]]="","",MARÍTIMOS[[#This Row],[Instruction]]),"")</f>
        <v/>
      </c>
      <c r="E771" s="1"/>
      <c r="F771" s="2" t="str">
        <f>IFERROR(IF(MARÍTIMOS[[#This Row],[Transportista]]="","",MARÍTIMOS[[#This Row],[Transportista]]),"")</f>
        <v/>
      </c>
      <c r="G771" s="2" t="str">
        <f>IFERROR(IF(MARÍTIMOS[[#This Row],[Tercero]]="","",MARÍTIMOS[[#This Row],[Tercero]]),"")</f>
        <v/>
      </c>
      <c r="H771" s="2" t="str">
        <f>IFERROR(IF(MARÍTIMOS[[#This Row],[Razón Social]]="","",MARÍTIMOS[[#This Row],[Razón Social]]),"")</f>
        <v/>
      </c>
      <c r="I771" s="2" t="str">
        <f>IFERROR(IF(MARÍTIMOS[[#This Row],[RUC]]="","",MARÍTIMOS[[#This Row],[RUC]]),"")</f>
        <v/>
      </c>
      <c r="J771" s="2" t="str">
        <f>IFERROR(IF(MARÍTIMOS[[#This Row],[Placa Tracto]]="","",MARÍTIMOS[[#This Row],[Placa Tracto]]),"")</f>
        <v/>
      </c>
      <c r="K771" s="2" t="str">
        <f>IFERROR(IF(MARÍTIMOS[[#This Row],[Placa Carreta]]="","",MARÍTIMOS[[#This Row],[Placa Carreta]]),"")</f>
        <v/>
      </c>
      <c r="L771" s="44" t="str">
        <f>IFERROR(IF(MARÍTIMOS[[#This Row],[Conductor]]="","",MARÍTIMOS[[#This Row],[Conductor]]),"")</f>
        <v/>
      </c>
      <c r="M771" s="2" t="str">
        <f>IFERROR(IF(MARÍTIMOS[[#This Row],[Licencia]]="","",MARÍTIMOS[[#This Row],[Licencia]]),"")</f>
        <v/>
      </c>
      <c r="N771" s="2" t="str">
        <f>IFERROR(IF(MARÍTIMOS[[#This Row],[Número de Contacto]]="","",MARÍTIMOS[[#This Row],[Número de Contacto]]),"")</f>
        <v/>
      </c>
      <c r="O771" s="10" t="str">
        <f>IFERROR(IF(MARÍTIMOS[[#This Row],[Booking|AWB|CRT]]="","",MARÍTIMOS[[#This Row],[Booking|AWB|CRT]]),"")</f>
        <v/>
      </c>
      <c r="P771" s="2" t="str">
        <f>IFERROR(IF(MARÍTIMOS[[#This Row],[Contenedor]]="","",MARÍTIMOS[[#This Row],[Contenedor]]),"")</f>
        <v/>
      </c>
      <c r="Q771" s="2" t="str">
        <f>IFERROR(IF(MARÍTIMOS[[#This Row],[Puerto de Retiro]]="","",MARÍTIMOS[[#This Row],[Puerto de Retiro]]),"")</f>
        <v/>
      </c>
      <c r="R771" s="2" t="str">
        <f>IFERROR(IF(MARÍTIMOS[[#This Row],[Almacén de Retiro]]="","",MARÍTIMOS[[#This Row],[Almacén de Retiro]]),"")</f>
        <v/>
      </c>
      <c r="S771" s="11" t="str">
        <f>IFERROR(IF(MARÍTIMOS[[#This Row],[Etapa Retiro - Cita]]="","",MARÍTIMOS[[#This Row],[Etapa Retiro - Cita]]),"")</f>
        <v/>
      </c>
      <c r="T771" s="11" t="str">
        <f>IFERROR(IF(MARÍTIMOS[[#This Row],[Etapa Retiro - Llegada]]="","",MARÍTIMOS[[#This Row],[Etapa Retiro - Llegada]]),"")</f>
        <v/>
      </c>
      <c r="U771" s="11" t="str">
        <f>IFERROR(IF(MARÍTIMOS[[#This Row],[Etapa Retiro - Ingreso]]="","",MARÍTIMOS[[#This Row],[Etapa Retiro - Ingreso]]),"")</f>
        <v/>
      </c>
      <c r="V771" s="11" t="str">
        <f>IFERROR(IF(MARÍTIMOS[[#This Row],[Etapa Retiro - Atención]]="","",MARÍTIMOS[[#This Row],[Etapa Retiro - Atención]]),"")</f>
        <v/>
      </c>
      <c r="W771" s="11" t="str">
        <f>IFERROR(IF(MARÍTIMOS[[#This Row],[Etapa Retiro - Atención]]="","",MARÍTIMOS[[#This Row],[Etapa Retiro - Atención]]),"")</f>
        <v/>
      </c>
      <c r="X771" s="11" t="str">
        <f>IFERROR(IF(MARÍTIMOS[[#This Row],[Etapa Retiro - Inicio de Ruta]]="","",MARÍTIMOS[[#This Row],[Etapa Retiro - Inicio de Ruta]]),"")</f>
        <v/>
      </c>
      <c r="Y771" s="11" t="str">
        <f>IFERROR(IF(MARÍTIMOS[[#This Row],[Hora de Posicionamiento]]="","",MARÍTIMOS[[#This Row],[Fecha de Carga]]+MARÍTIMOS[[#This Row],[Hora de Posicionamiento]]),"")</f>
        <v/>
      </c>
      <c r="Z771" s="11" t="str">
        <f>IFERROR(IF(MARÍTIMOS[[#This Row],[Etapa Despacho - Llegada]]="","",MARÍTIMOS[[#This Row],[Etapa Despacho - Llegada]]),"")</f>
        <v/>
      </c>
      <c r="AA771" s="11" t="str">
        <f>IFERROR(IF(MARÍTIMOS[[#This Row],[Etapa Despacho - Registro]]="","",MARÍTIMOS[[#This Row],[Etapa Despacho - Registro]]),"")</f>
        <v/>
      </c>
      <c r="AB771" s="11" t="str">
        <f>IFERROR(IF(MARÍTIMOS[[#This Row],[Inspección Externa]]="","",MARÍTIMOS[[#This Row],[Inspección Externa]]),"")</f>
        <v/>
      </c>
      <c r="AC771" s="11" t="str">
        <f>IFERROR(IF(MARÍTIMOS[[#This Row],[Etapa Despacho - Inicio de Carga]]="","",MARÍTIMOS[[#This Row],[Etapa Despacho - Inicio de Carga]]),"")</f>
        <v/>
      </c>
      <c r="AD771" s="11" t="str">
        <f>IFERROR(IF(MARÍTIMOS[[#This Row],[Etapa Despacho - Mitad de Carga]]="","",MARÍTIMOS[[#This Row],[Etapa Despacho - Mitad de Carga]]),"")</f>
        <v/>
      </c>
      <c r="AE771" s="11" t="str">
        <f>IFERROR(IF(MARÍTIMOS[[#This Row],[Etapa Despacho - Fin de Carga]]="","",MARÍTIMOS[[#This Row],[Etapa Despacho - Fin de Carga]]),"")</f>
        <v/>
      </c>
      <c r="AF771" s="2" t="str">
        <f>IFERROR(IF(MARÍTIMOS[[#This Row],[Puerto de Embarque]]="","",MARÍTIMOS[[#This Row],[Puerto de Embarque]]),"")</f>
        <v/>
      </c>
      <c r="AG771" s="2" t="str">
        <f>IFERROR(IF(MARÍTIMOS[[#This Row],[Almacén de Ingreso]]="","",MARÍTIMOS[[#This Row],[Almacén de Ingreso]]),"")</f>
        <v/>
      </c>
      <c r="AH771" s="11" t="str">
        <f>IFERROR(IF(MARÍTIMOS[[#This Row],[Etapa Ingreso - Cita]]="","",MARÍTIMOS[[#This Row],[Etapa Ingreso - Cita]]),"")</f>
        <v/>
      </c>
      <c r="AI771" s="11" t="str">
        <f>IFERROR(IF(MARÍTIMOS[[#This Row],[Etapa Ingreso - Llegada]]="","",MARÍTIMOS[[#This Row],[Etapa Ingreso - Llegada]]),"")</f>
        <v/>
      </c>
      <c r="AJ771" s="11" t="str">
        <f>IFERROR(IF(MARÍTIMOS[[#This Row],[Etapa Ingreso - Ingeso]]="","",MARÍTIMOS[[#This Row],[Etapa Ingreso - Ingeso]]),"")</f>
        <v/>
      </c>
      <c r="AK771" s="11" t="str">
        <f>IFERROR(IF(MARÍTIMOS[[#This Row],[Etapa Ingreso - Atención]]="","",MARÍTIMOS[[#This Row],[Etapa Ingreso - Atención]]),"")</f>
        <v/>
      </c>
      <c r="AL771" s="11" t="str">
        <f>IFERROR(IF(MARÍTIMOS[[#This Row],[Etapa Ingreso - Salida]]="","",MARÍTIMOS[[#This Row],[Etapa Ingreso - Salida]]),"")</f>
        <v/>
      </c>
      <c r="AM771" s="2" t="str">
        <f>IFERROR(IF(MARÍTIMOS[[#This Row],[FCL]]="","",MARÍTIMOS[[#This Row],[FCL]]),"")</f>
        <v/>
      </c>
      <c r="AN7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1" s="4" t="str" cm="1">
        <f t="array" ref="AO7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1" s="5" t="str">
        <f>IFERROR(OLDBD[[#This Row],[Llegada a packing]]-OLDBD[[#This Row],[Inicio de Ruta]],"")</f>
        <v/>
      </c>
      <c r="AQ771" s="6" t="str">
        <f>IFERROR(OLDBD[[#This Row],[Inicio de Ruta]]-OLDBD[[#This Row],[Salida de almacén de retiro]],"")</f>
        <v/>
      </c>
      <c r="AR7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1" s="8" t="str" cm="1">
        <f t="array" ref="AS7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1" s="9" t="str">
        <f>IFERROR(OLDBD[[#This Row],[Ingreso Packing]]-OLDBD[[#This Row],[Registro en Packing]],"")</f>
        <v/>
      </c>
      <c r="AV771" s="9" t="str">
        <f>IFERROR(OLDBD[[#This Row],[Ingreso Packing]]-OLDBD[[#This Row],[Llegada a packing]],"")</f>
        <v/>
      </c>
      <c r="AW7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1" s="5" t="str">
        <f>IFERROR(OLDBD[[#This Row],[Llegada Almacén de Ingreso]]-OLDBD[[#This Row],[Salida Packing]],"")</f>
        <v/>
      </c>
      <c r="AY771" s="4" t="str" cm="1">
        <f t="array" ref="AY7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1" s="43" t="s">
        <v>173</v>
      </c>
      <c r="BB771" s="47" t="str">
        <f>IFERROR(IF(MARÍTIMOS[[#This Row],[Estatus]]="","",MARÍTIMOS[[#This Row],[Estatus]]),"")</f>
        <v/>
      </c>
      <c r="BC771" s="43"/>
      <c r="BD771" s="46" t="str">
        <f>IFERROR(OLDBD[[#This Row],[Salida de almacén de retiro]]-OLDBD[[#This Row],[Ingreso Almacén de retiro]],"")</f>
        <v/>
      </c>
      <c r="BE771" s="46" t="str">
        <f>IFERROR(OLDBD[[#This Row],[Fin de Carga]]-OLDBD[[#This Row],[Inicio de Carga]],"")</f>
        <v/>
      </c>
    </row>
    <row r="772" spans="1:57" customFormat="1" hidden="1">
      <c r="A772" s="1"/>
      <c r="B772" s="1" t="str">
        <f>IFERROR(IF(MARÍTIMOS[[#This Row],[PP]]="","",MARÍTIMOS[[#This Row],[PP]]),"")</f>
        <v/>
      </c>
      <c r="C772" s="1" t="str">
        <f>IFERROR(IF(MARÍTIMOS[[#This Row],[Sede]]="","",MARÍTIMOS[[#This Row],[Sede]]),"")</f>
        <v/>
      </c>
      <c r="D772" s="1" t="str">
        <f>IFERROR(IF(MARÍTIMOS[[#This Row],[Instruction]]="","",MARÍTIMOS[[#This Row],[Instruction]]),"")</f>
        <v/>
      </c>
      <c r="E772" s="1"/>
      <c r="F772" s="2" t="str">
        <f>IFERROR(IF(MARÍTIMOS[[#This Row],[Transportista]]="","",MARÍTIMOS[[#This Row],[Transportista]]),"")</f>
        <v/>
      </c>
      <c r="G772" s="2" t="str">
        <f>IFERROR(IF(MARÍTIMOS[[#This Row],[Tercero]]="","",MARÍTIMOS[[#This Row],[Tercero]]),"")</f>
        <v/>
      </c>
      <c r="H772" s="2" t="str">
        <f>IFERROR(IF(MARÍTIMOS[[#This Row],[Razón Social]]="","",MARÍTIMOS[[#This Row],[Razón Social]]),"")</f>
        <v/>
      </c>
      <c r="I772" s="2" t="str">
        <f>IFERROR(IF(MARÍTIMOS[[#This Row],[RUC]]="","",MARÍTIMOS[[#This Row],[RUC]]),"")</f>
        <v/>
      </c>
      <c r="J772" s="2" t="str">
        <f>IFERROR(IF(MARÍTIMOS[[#This Row],[Placa Tracto]]="","",MARÍTIMOS[[#This Row],[Placa Tracto]]),"")</f>
        <v/>
      </c>
      <c r="K772" s="2" t="str">
        <f>IFERROR(IF(MARÍTIMOS[[#This Row],[Placa Carreta]]="","",MARÍTIMOS[[#This Row],[Placa Carreta]]),"")</f>
        <v/>
      </c>
      <c r="L772" s="44" t="str">
        <f>IFERROR(IF(MARÍTIMOS[[#This Row],[Conductor]]="","",MARÍTIMOS[[#This Row],[Conductor]]),"")</f>
        <v/>
      </c>
      <c r="M772" s="2" t="str">
        <f>IFERROR(IF(MARÍTIMOS[[#This Row],[Licencia]]="","",MARÍTIMOS[[#This Row],[Licencia]]),"")</f>
        <v/>
      </c>
      <c r="N772" s="2" t="str">
        <f>IFERROR(IF(MARÍTIMOS[[#This Row],[Número de Contacto]]="","",MARÍTIMOS[[#This Row],[Número de Contacto]]),"")</f>
        <v/>
      </c>
      <c r="O772" s="10" t="str">
        <f>IFERROR(IF(MARÍTIMOS[[#This Row],[Booking|AWB|CRT]]="","",MARÍTIMOS[[#This Row],[Booking|AWB|CRT]]),"")</f>
        <v/>
      </c>
      <c r="P772" s="2" t="str">
        <f>IFERROR(IF(MARÍTIMOS[[#This Row],[Contenedor]]="","",MARÍTIMOS[[#This Row],[Contenedor]]),"")</f>
        <v/>
      </c>
      <c r="Q772" s="2" t="str">
        <f>IFERROR(IF(MARÍTIMOS[[#This Row],[Puerto de Retiro]]="","",MARÍTIMOS[[#This Row],[Puerto de Retiro]]),"")</f>
        <v/>
      </c>
      <c r="R772" s="2" t="str">
        <f>IFERROR(IF(MARÍTIMOS[[#This Row],[Almacén de Retiro]]="","",MARÍTIMOS[[#This Row],[Almacén de Retiro]]),"")</f>
        <v/>
      </c>
      <c r="S772" s="11" t="str">
        <f>IFERROR(IF(MARÍTIMOS[[#This Row],[Etapa Retiro - Cita]]="","",MARÍTIMOS[[#This Row],[Etapa Retiro - Cita]]),"")</f>
        <v/>
      </c>
      <c r="T772" s="11" t="str">
        <f>IFERROR(IF(MARÍTIMOS[[#This Row],[Etapa Retiro - Llegada]]="","",MARÍTIMOS[[#This Row],[Etapa Retiro - Llegada]]),"")</f>
        <v/>
      </c>
      <c r="U772" s="11" t="str">
        <f>IFERROR(IF(MARÍTIMOS[[#This Row],[Etapa Retiro - Ingreso]]="","",MARÍTIMOS[[#This Row],[Etapa Retiro - Ingreso]]),"")</f>
        <v/>
      </c>
      <c r="V772" s="11" t="str">
        <f>IFERROR(IF(MARÍTIMOS[[#This Row],[Etapa Retiro - Atención]]="","",MARÍTIMOS[[#This Row],[Etapa Retiro - Atención]]),"")</f>
        <v/>
      </c>
      <c r="W772" s="11" t="str">
        <f>IFERROR(IF(MARÍTIMOS[[#This Row],[Etapa Retiro - Atención]]="","",MARÍTIMOS[[#This Row],[Etapa Retiro - Atención]]),"")</f>
        <v/>
      </c>
      <c r="X772" s="11" t="str">
        <f>IFERROR(IF(MARÍTIMOS[[#This Row],[Etapa Retiro - Inicio de Ruta]]="","",MARÍTIMOS[[#This Row],[Etapa Retiro - Inicio de Ruta]]),"")</f>
        <v/>
      </c>
      <c r="Y772" s="11" t="str">
        <f>IFERROR(IF(MARÍTIMOS[[#This Row],[Hora de Posicionamiento]]="","",MARÍTIMOS[[#This Row],[Fecha de Carga]]+MARÍTIMOS[[#This Row],[Hora de Posicionamiento]]),"")</f>
        <v/>
      </c>
      <c r="Z772" s="11" t="str">
        <f>IFERROR(IF(MARÍTIMOS[[#This Row],[Etapa Despacho - Llegada]]="","",MARÍTIMOS[[#This Row],[Etapa Despacho - Llegada]]),"")</f>
        <v/>
      </c>
      <c r="AA772" s="11" t="str">
        <f>IFERROR(IF(MARÍTIMOS[[#This Row],[Etapa Despacho - Registro]]="","",MARÍTIMOS[[#This Row],[Etapa Despacho - Registro]]),"")</f>
        <v/>
      </c>
      <c r="AB772" s="11" t="str">
        <f>IFERROR(IF(MARÍTIMOS[[#This Row],[Inspección Externa]]="","",MARÍTIMOS[[#This Row],[Inspección Externa]]),"")</f>
        <v/>
      </c>
      <c r="AC772" s="11" t="str">
        <f>IFERROR(IF(MARÍTIMOS[[#This Row],[Etapa Despacho - Inicio de Carga]]="","",MARÍTIMOS[[#This Row],[Etapa Despacho - Inicio de Carga]]),"")</f>
        <v/>
      </c>
      <c r="AD772" s="11" t="str">
        <f>IFERROR(IF(MARÍTIMOS[[#This Row],[Etapa Despacho - Mitad de Carga]]="","",MARÍTIMOS[[#This Row],[Etapa Despacho - Mitad de Carga]]),"")</f>
        <v/>
      </c>
      <c r="AE772" s="11" t="str">
        <f>IFERROR(IF(MARÍTIMOS[[#This Row],[Etapa Despacho - Fin de Carga]]="","",MARÍTIMOS[[#This Row],[Etapa Despacho - Fin de Carga]]),"")</f>
        <v/>
      </c>
      <c r="AF772" s="2" t="str">
        <f>IFERROR(IF(MARÍTIMOS[[#This Row],[Puerto de Embarque]]="","",MARÍTIMOS[[#This Row],[Puerto de Embarque]]),"")</f>
        <v/>
      </c>
      <c r="AG772" s="2" t="str">
        <f>IFERROR(IF(MARÍTIMOS[[#This Row],[Almacén de Ingreso]]="","",MARÍTIMOS[[#This Row],[Almacén de Ingreso]]),"")</f>
        <v/>
      </c>
      <c r="AH772" s="11" t="str">
        <f>IFERROR(IF(MARÍTIMOS[[#This Row],[Etapa Ingreso - Cita]]="","",MARÍTIMOS[[#This Row],[Etapa Ingreso - Cita]]),"")</f>
        <v/>
      </c>
      <c r="AI772" s="11" t="str">
        <f>IFERROR(IF(MARÍTIMOS[[#This Row],[Etapa Ingreso - Llegada]]="","",MARÍTIMOS[[#This Row],[Etapa Ingreso - Llegada]]),"")</f>
        <v/>
      </c>
      <c r="AJ772" s="11" t="str">
        <f>IFERROR(IF(MARÍTIMOS[[#This Row],[Etapa Ingreso - Ingeso]]="","",MARÍTIMOS[[#This Row],[Etapa Ingreso - Ingeso]]),"")</f>
        <v/>
      </c>
      <c r="AK772" s="11" t="str">
        <f>IFERROR(IF(MARÍTIMOS[[#This Row],[Etapa Ingreso - Atención]]="","",MARÍTIMOS[[#This Row],[Etapa Ingreso - Atención]]),"")</f>
        <v/>
      </c>
      <c r="AL772" s="11" t="str">
        <f>IFERROR(IF(MARÍTIMOS[[#This Row],[Etapa Ingreso - Salida]]="","",MARÍTIMOS[[#This Row],[Etapa Ingreso - Salida]]),"")</f>
        <v/>
      </c>
      <c r="AM772" s="2" t="str">
        <f>IFERROR(IF(MARÍTIMOS[[#This Row],[FCL]]="","",MARÍTIMOS[[#This Row],[FCL]]),"")</f>
        <v/>
      </c>
      <c r="AN7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2" s="4" t="str" cm="1">
        <f t="array" ref="AO7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2" s="5" t="str">
        <f>IFERROR(OLDBD[[#This Row],[Llegada a packing]]-OLDBD[[#This Row],[Inicio de Ruta]],"")</f>
        <v/>
      </c>
      <c r="AQ772" s="6" t="str">
        <f>IFERROR(OLDBD[[#This Row],[Inicio de Ruta]]-OLDBD[[#This Row],[Salida de almacén de retiro]],"")</f>
        <v/>
      </c>
      <c r="AR7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2" s="8" t="str" cm="1">
        <f t="array" ref="AS7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2" s="9" t="str">
        <f>IFERROR(OLDBD[[#This Row],[Ingreso Packing]]-OLDBD[[#This Row],[Registro en Packing]],"")</f>
        <v/>
      </c>
      <c r="AV772" s="9" t="str">
        <f>IFERROR(OLDBD[[#This Row],[Ingreso Packing]]-OLDBD[[#This Row],[Llegada a packing]],"")</f>
        <v/>
      </c>
      <c r="AW7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2" s="5" t="str">
        <f>IFERROR(OLDBD[[#This Row],[Llegada Almacén de Ingreso]]-OLDBD[[#This Row],[Salida Packing]],"")</f>
        <v/>
      </c>
      <c r="AY772" s="4" t="str" cm="1">
        <f t="array" ref="AY7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2" s="43" t="s">
        <v>173</v>
      </c>
      <c r="BB772" s="47" t="str">
        <f>IFERROR(IF(MARÍTIMOS[[#This Row],[Estatus]]="","",MARÍTIMOS[[#This Row],[Estatus]]),"")</f>
        <v/>
      </c>
      <c r="BC772" s="43"/>
      <c r="BD772" s="46" t="str">
        <f>IFERROR(OLDBD[[#This Row],[Salida de almacén de retiro]]-OLDBD[[#This Row],[Ingreso Almacén de retiro]],"")</f>
        <v/>
      </c>
      <c r="BE772" s="46" t="str">
        <f>IFERROR(OLDBD[[#This Row],[Fin de Carga]]-OLDBD[[#This Row],[Inicio de Carga]],"")</f>
        <v/>
      </c>
    </row>
    <row r="773" spans="1:57" customFormat="1" hidden="1">
      <c r="A773" s="1"/>
      <c r="B773" s="1" t="str">
        <f>IFERROR(IF(MARÍTIMOS[[#This Row],[PP]]="","",MARÍTIMOS[[#This Row],[PP]]),"")</f>
        <v/>
      </c>
      <c r="C773" s="1" t="str">
        <f>IFERROR(IF(MARÍTIMOS[[#This Row],[Sede]]="","",MARÍTIMOS[[#This Row],[Sede]]),"")</f>
        <v/>
      </c>
      <c r="D773" s="1" t="str">
        <f>IFERROR(IF(MARÍTIMOS[[#This Row],[Instruction]]="","",MARÍTIMOS[[#This Row],[Instruction]]),"")</f>
        <v/>
      </c>
      <c r="E773" s="1"/>
      <c r="F773" s="2" t="str">
        <f>IFERROR(IF(MARÍTIMOS[[#This Row],[Transportista]]="","",MARÍTIMOS[[#This Row],[Transportista]]),"")</f>
        <v/>
      </c>
      <c r="G773" s="2" t="str">
        <f>IFERROR(IF(MARÍTIMOS[[#This Row],[Tercero]]="","",MARÍTIMOS[[#This Row],[Tercero]]),"")</f>
        <v/>
      </c>
      <c r="H773" s="2" t="str">
        <f>IFERROR(IF(MARÍTIMOS[[#This Row],[Razón Social]]="","",MARÍTIMOS[[#This Row],[Razón Social]]),"")</f>
        <v/>
      </c>
      <c r="I773" s="2" t="str">
        <f>IFERROR(IF(MARÍTIMOS[[#This Row],[RUC]]="","",MARÍTIMOS[[#This Row],[RUC]]),"")</f>
        <v/>
      </c>
      <c r="J773" s="2" t="str">
        <f>IFERROR(IF(MARÍTIMOS[[#This Row],[Placa Tracto]]="","",MARÍTIMOS[[#This Row],[Placa Tracto]]),"")</f>
        <v/>
      </c>
      <c r="K773" s="2" t="str">
        <f>IFERROR(IF(MARÍTIMOS[[#This Row],[Placa Carreta]]="","",MARÍTIMOS[[#This Row],[Placa Carreta]]),"")</f>
        <v/>
      </c>
      <c r="L773" s="44" t="str">
        <f>IFERROR(IF(MARÍTIMOS[[#This Row],[Conductor]]="","",MARÍTIMOS[[#This Row],[Conductor]]),"")</f>
        <v/>
      </c>
      <c r="M773" s="2" t="str">
        <f>IFERROR(IF(MARÍTIMOS[[#This Row],[Licencia]]="","",MARÍTIMOS[[#This Row],[Licencia]]),"")</f>
        <v/>
      </c>
      <c r="N773" s="2" t="str">
        <f>IFERROR(IF(MARÍTIMOS[[#This Row],[Número de Contacto]]="","",MARÍTIMOS[[#This Row],[Número de Contacto]]),"")</f>
        <v/>
      </c>
      <c r="O773" s="10" t="str">
        <f>IFERROR(IF(MARÍTIMOS[[#This Row],[Booking|AWB|CRT]]="","",MARÍTIMOS[[#This Row],[Booking|AWB|CRT]]),"")</f>
        <v/>
      </c>
      <c r="P773" s="2" t="str">
        <f>IFERROR(IF(MARÍTIMOS[[#This Row],[Contenedor]]="","",MARÍTIMOS[[#This Row],[Contenedor]]),"")</f>
        <v/>
      </c>
      <c r="Q773" s="2" t="str">
        <f>IFERROR(IF(MARÍTIMOS[[#This Row],[Puerto de Retiro]]="","",MARÍTIMOS[[#This Row],[Puerto de Retiro]]),"")</f>
        <v/>
      </c>
      <c r="R773" s="2" t="str">
        <f>IFERROR(IF(MARÍTIMOS[[#This Row],[Almacén de Retiro]]="","",MARÍTIMOS[[#This Row],[Almacén de Retiro]]),"")</f>
        <v/>
      </c>
      <c r="S773" s="11" t="str">
        <f>IFERROR(IF(MARÍTIMOS[[#This Row],[Etapa Retiro - Cita]]="","",MARÍTIMOS[[#This Row],[Etapa Retiro - Cita]]),"")</f>
        <v/>
      </c>
      <c r="T773" s="11" t="str">
        <f>IFERROR(IF(MARÍTIMOS[[#This Row],[Etapa Retiro - Llegada]]="","",MARÍTIMOS[[#This Row],[Etapa Retiro - Llegada]]),"")</f>
        <v/>
      </c>
      <c r="U773" s="11" t="str">
        <f>IFERROR(IF(MARÍTIMOS[[#This Row],[Etapa Retiro - Ingreso]]="","",MARÍTIMOS[[#This Row],[Etapa Retiro - Ingreso]]),"")</f>
        <v/>
      </c>
      <c r="V773" s="11" t="str">
        <f>IFERROR(IF(MARÍTIMOS[[#This Row],[Etapa Retiro - Atención]]="","",MARÍTIMOS[[#This Row],[Etapa Retiro - Atención]]),"")</f>
        <v/>
      </c>
      <c r="W773" s="11" t="str">
        <f>IFERROR(IF(MARÍTIMOS[[#This Row],[Etapa Retiro - Atención]]="","",MARÍTIMOS[[#This Row],[Etapa Retiro - Atención]]),"")</f>
        <v/>
      </c>
      <c r="X773" s="11" t="str">
        <f>IFERROR(IF(MARÍTIMOS[[#This Row],[Etapa Retiro - Inicio de Ruta]]="","",MARÍTIMOS[[#This Row],[Etapa Retiro - Inicio de Ruta]]),"")</f>
        <v/>
      </c>
      <c r="Y773" s="11" t="str">
        <f>IFERROR(IF(MARÍTIMOS[[#This Row],[Hora de Posicionamiento]]="","",MARÍTIMOS[[#This Row],[Fecha de Carga]]+MARÍTIMOS[[#This Row],[Hora de Posicionamiento]]),"")</f>
        <v/>
      </c>
      <c r="Z773" s="11" t="str">
        <f>IFERROR(IF(MARÍTIMOS[[#This Row],[Etapa Despacho - Llegada]]="","",MARÍTIMOS[[#This Row],[Etapa Despacho - Llegada]]),"")</f>
        <v/>
      </c>
      <c r="AA773" s="11" t="str">
        <f>IFERROR(IF(MARÍTIMOS[[#This Row],[Etapa Despacho - Registro]]="","",MARÍTIMOS[[#This Row],[Etapa Despacho - Registro]]),"")</f>
        <v/>
      </c>
      <c r="AB773" s="11" t="str">
        <f>IFERROR(IF(MARÍTIMOS[[#This Row],[Inspección Externa]]="","",MARÍTIMOS[[#This Row],[Inspección Externa]]),"")</f>
        <v/>
      </c>
      <c r="AC773" s="11" t="str">
        <f>IFERROR(IF(MARÍTIMOS[[#This Row],[Etapa Despacho - Inicio de Carga]]="","",MARÍTIMOS[[#This Row],[Etapa Despacho - Inicio de Carga]]),"")</f>
        <v/>
      </c>
      <c r="AD773" s="11" t="str">
        <f>IFERROR(IF(MARÍTIMOS[[#This Row],[Etapa Despacho - Mitad de Carga]]="","",MARÍTIMOS[[#This Row],[Etapa Despacho - Mitad de Carga]]),"")</f>
        <v/>
      </c>
      <c r="AE773" s="11" t="str">
        <f>IFERROR(IF(MARÍTIMOS[[#This Row],[Etapa Despacho - Fin de Carga]]="","",MARÍTIMOS[[#This Row],[Etapa Despacho - Fin de Carga]]),"")</f>
        <v/>
      </c>
      <c r="AF773" s="2" t="str">
        <f>IFERROR(IF(MARÍTIMOS[[#This Row],[Puerto de Embarque]]="","",MARÍTIMOS[[#This Row],[Puerto de Embarque]]),"")</f>
        <v/>
      </c>
      <c r="AG773" s="2" t="str">
        <f>IFERROR(IF(MARÍTIMOS[[#This Row],[Almacén de Ingreso]]="","",MARÍTIMOS[[#This Row],[Almacén de Ingreso]]),"")</f>
        <v/>
      </c>
      <c r="AH773" s="11" t="str">
        <f>IFERROR(IF(MARÍTIMOS[[#This Row],[Etapa Ingreso - Cita]]="","",MARÍTIMOS[[#This Row],[Etapa Ingreso - Cita]]),"")</f>
        <v/>
      </c>
      <c r="AI773" s="11" t="str">
        <f>IFERROR(IF(MARÍTIMOS[[#This Row],[Etapa Ingreso - Llegada]]="","",MARÍTIMOS[[#This Row],[Etapa Ingreso - Llegada]]),"")</f>
        <v/>
      </c>
      <c r="AJ773" s="11" t="str">
        <f>IFERROR(IF(MARÍTIMOS[[#This Row],[Etapa Ingreso - Ingeso]]="","",MARÍTIMOS[[#This Row],[Etapa Ingreso - Ingeso]]),"")</f>
        <v/>
      </c>
      <c r="AK773" s="11" t="str">
        <f>IFERROR(IF(MARÍTIMOS[[#This Row],[Etapa Ingreso - Atención]]="","",MARÍTIMOS[[#This Row],[Etapa Ingreso - Atención]]),"")</f>
        <v/>
      </c>
      <c r="AL773" s="11" t="str">
        <f>IFERROR(IF(MARÍTIMOS[[#This Row],[Etapa Ingreso - Salida]]="","",MARÍTIMOS[[#This Row],[Etapa Ingreso - Salida]]),"")</f>
        <v/>
      </c>
      <c r="AM773" s="2" t="str">
        <f>IFERROR(IF(MARÍTIMOS[[#This Row],[FCL]]="","",MARÍTIMOS[[#This Row],[FCL]]),"")</f>
        <v/>
      </c>
      <c r="AN7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3" s="4" t="str" cm="1">
        <f t="array" ref="AO7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3" s="5" t="str">
        <f>IFERROR(OLDBD[[#This Row],[Llegada a packing]]-OLDBD[[#This Row],[Inicio de Ruta]],"")</f>
        <v/>
      </c>
      <c r="AQ773" s="6" t="str">
        <f>IFERROR(OLDBD[[#This Row],[Inicio de Ruta]]-OLDBD[[#This Row],[Salida de almacén de retiro]],"")</f>
        <v/>
      </c>
      <c r="AR7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3" s="8" t="str" cm="1">
        <f t="array" ref="AS7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3" s="9" t="str">
        <f>IFERROR(OLDBD[[#This Row],[Ingreso Packing]]-OLDBD[[#This Row],[Registro en Packing]],"")</f>
        <v/>
      </c>
      <c r="AV773" s="9" t="str">
        <f>IFERROR(OLDBD[[#This Row],[Ingreso Packing]]-OLDBD[[#This Row],[Llegada a packing]],"")</f>
        <v/>
      </c>
      <c r="AW7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3" s="5" t="str">
        <f>IFERROR(OLDBD[[#This Row],[Llegada Almacén de Ingreso]]-OLDBD[[#This Row],[Salida Packing]],"")</f>
        <v/>
      </c>
      <c r="AY773" s="4" t="str" cm="1">
        <f t="array" ref="AY7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3" s="43" t="s">
        <v>173</v>
      </c>
      <c r="BB773" s="47" t="str">
        <f>IFERROR(IF(MARÍTIMOS[[#This Row],[Estatus]]="","",MARÍTIMOS[[#This Row],[Estatus]]),"")</f>
        <v/>
      </c>
      <c r="BC773" s="43"/>
      <c r="BD773" s="46" t="str">
        <f>IFERROR(OLDBD[[#This Row],[Salida de almacén de retiro]]-OLDBD[[#This Row],[Ingreso Almacén de retiro]],"")</f>
        <v/>
      </c>
      <c r="BE773" s="46" t="str">
        <f>IFERROR(OLDBD[[#This Row],[Fin de Carga]]-OLDBD[[#This Row],[Inicio de Carga]],"")</f>
        <v/>
      </c>
    </row>
    <row r="774" spans="1:57" customFormat="1" hidden="1">
      <c r="A774" s="1"/>
      <c r="B774" s="1" t="str">
        <f>IFERROR(IF(MARÍTIMOS[[#This Row],[PP]]="","",MARÍTIMOS[[#This Row],[PP]]),"")</f>
        <v/>
      </c>
      <c r="C774" s="1" t="str">
        <f>IFERROR(IF(MARÍTIMOS[[#This Row],[Sede]]="","",MARÍTIMOS[[#This Row],[Sede]]),"")</f>
        <v/>
      </c>
      <c r="D774" s="1" t="str">
        <f>IFERROR(IF(MARÍTIMOS[[#This Row],[Instruction]]="","",MARÍTIMOS[[#This Row],[Instruction]]),"")</f>
        <v/>
      </c>
      <c r="E774" s="1"/>
      <c r="F774" s="2" t="str">
        <f>IFERROR(IF(MARÍTIMOS[[#This Row],[Transportista]]="","",MARÍTIMOS[[#This Row],[Transportista]]),"")</f>
        <v/>
      </c>
      <c r="G774" s="2" t="str">
        <f>IFERROR(IF(MARÍTIMOS[[#This Row],[Tercero]]="","",MARÍTIMOS[[#This Row],[Tercero]]),"")</f>
        <v/>
      </c>
      <c r="H774" s="2" t="str">
        <f>IFERROR(IF(MARÍTIMOS[[#This Row],[Razón Social]]="","",MARÍTIMOS[[#This Row],[Razón Social]]),"")</f>
        <v/>
      </c>
      <c r="I774" s="2" t="str">
        <f>IFERROR(IF(MARÍTIMOS[[#This Row],[RUC]]="","",MARÍTIMOS[[#This Row],[RUC]]),"")</f>
        <v/>
      </c>
      <c r="J774" s="2" t="str">
        <f>IFERROR(IF(MARÍTIMOS[[#This Row],[Placa Tracto]]="","",MARÍTIMOS[[#This Row],[Placa Tracto]]),"")</f>
        <v/>
      </c>
      <c r="K774" s="2" t="str">
        <f>IFERROR(IF(MARÍTIMOS[[#This Row],[Placa Carreta]]="","",MARÍTIMOS[[#This Row],[Placa Carreta]]),"")</f>
        <v/>
      </c>
      <c r="L774" s="44" t="str">
        <f>IFERROR(IF(MARÍTIMOS[[#This Row],[Conductor]]="","",MARÍTIMOS[[#This Row],[Conductor]]),"")</f>
        <v/>
      </c>
      <c r="M774" s="2" t="str">
        <f>IFERROR(IF(MARÍTIMOS[[#This Row],[Licencia]]="","",MARÍTIMOS[[#This Row],[Licencia]]),"")</f>
        <v/>
      </c>
      <c r="N774" s="2" t="str">
        <f>IFERROR(IF(MARÍTIMOS[[#This Row],[Número de Contacto]]="","",MARÍTIMOS[[#This Row],[Número de Contacto]]),"")</f>
        <v/>
      </c>
      <c r="O774" s="10" t="str">
        <f>IFERROR(IF(MARÍTIMOS[[#This Row],[Booking|AWB|CRT]]="","",MARÍTIMOS[[#This Row],[Booking|AWB|CRT]]),"")</f>
        <v/>
      </c>
      <c r="P774" s="2" t="str">
        <f>IFERROR(IF(MARÍTIMOS[[#This Row],[Contenedor]]="","",MARÍTIMOS[[#This Row],[Contenedor]]),"")</f>
        <v/>
      </c>
      <c r="Q774" s="2" t="str">
        <f>IFERROR(IF(MARÍTIMOS[[#This Row],[Puerto de Retiro]]="","",MARÍTIMOS[[#This Row],[Puerto de Retiro]]),"")</f>
        <v/>
      </c>
      <c r="R774" s="2" t="str">
        <f>IFERROR(IF(MARÍTIMOS[[#This Row],[Almacén de Retiro]]="","",MARÍTIMOS[[#This Row],[Almacén de Retiro]]),"")</f>
        <v/>
      </c>
      <c r="S774" s="11" t="str">
        <f>IFERROR(IF(MARÍTIMOS[[#This Row],[Etapa Retiro - Cita]]="","",MARÍTIMOS[[#This Row],[Etapa Retiro - Cita]]),"")</f>
        <v/>
      </c>
      <c r="T774" s="11" t="str">
        <f>IFERROR(IF(MARÍTIMOS[[#This Row],[Etapa Retiro - Llegada]]="","",MARÍTIMOS[[#This Row],[Etapa Retiro - Llegada]]),"")</f>
        <v/>
      </c>
      <c r="U774" s="11" t="str">
        <f>IFERROR(IF(MARÍTIMOS[[#This Row],[Etapa Retiro - Ingreso]]="","",MARÍTIMOS[[#This Row],[Etapa Retiro - Ingreso]]),"")</f>
        <v/>
      </c>
      <c r="V774" s="11" t="str">
        <f>IFERROR(IF(MARÍTIMOS[[#This Row],[Etapa Retiro - Atención]]="","",MARÍTIMOS[[#This Row],[Etapa Retiro - Atención]]),"")</f>
        <v/>
      </c>
      <c r="W774" s="11" t="str">
        <f>IFERROR(IF(MARÍTIMOS[[#This Row],[Etapa Retiro - Atención]]="","",MARÍTIMOS[[#This Row],[Etapa Retiro - Atención]]),"")</f>
        <v/>
      </c>
      <c r="X774" s="11" t="str">
        <f>IFERROR(IF(MARÍTIMOS[[#This Row],[Etapa Retiro - Inicio de Ruta]]="","",MARÍTIMOS[[#This Row],[Etapa Retiro - Inicio de Ruta]]),"")</f>
        <v/>
      </c>
      <c r="Y774" s="11" t="str">
        <f>IFERROR(IF(MARÍTIMOS[[#This Row],[Hora de Posicionamiento]]="","",MARÍTIMOS[[#This Row],[Fecha de Carga]]+MARÍTIMOS[[#This Row],[Hora de Posicionamiento]]),"")</f>
        <v/>
      </c>
      <c r="Z774" s="11" t="str">
        <f>IFERROR(IF(MARÍTIMOS[[#This Row],[Etapa Despacho - Llegada]]="","",MARÍTIMOS[[#This Row],[Etapa Despacho - Llegada]]),"")</f>
        <v/>
      </c>
      <c r="AA774" s="11" t="str">
        <f>IFERROR(IF(MARÍTIMOS[[#This Row],[Etapa Despacho - Registro]]="","",MARÍTIMOS[[#This Row],[Etapa Despacho - Registro]]),"")</f>
        <v/>
      </c>
      <c r="AB774" s="11" t="str">
        <f>IFERROR(IF(MARÍTIMOS[[#This Row],[Inspección Externa]]="","",MARÍTIMOS[[#This Row],[Inspección Externa]]),"")</f>
        <v/>
      </c>
      <c r="AC774" s="11" t="str">
        <f>IFERROR(IF(MARÍTIMOS[[#This Row],[Etapa Despacho - Inicio de Carga]]="","",MARÍTIMOS[[#This Row],[Etapa Despacho - Inicio de Carga]]),"")</f>
        <v/>
      </c>
      <c r="AD774" s="11" t="str">
        <f>IFERROR(IF(MARÍTIMOS[[#This Row],[Etapa Despacho - Mitad de Carga]]="","",MARÍTIMOS[[#This Row],[Etapa Despacho - Mitad de Carga]]),"")</f>
        <v/>
      </c>
      <c r="AE774" s="11" t="str">
        <f>IFERROR(IF(MARÍTIMOS[[#This Row],[Etapa Despacho - Fin de Carga]]="","",MARÍTIMOS[[#This Row],[Etapa Despacho - Fin de Carga]]),"")</f>
        <v/>
      </c>
      <c r="AF774" s="2" t="str">
        <f>IFERROR(IF(MARÍTIMOS[[#This Row],[Puerto de Embarque]]="","",MARÍTIMOS[[#This Row],[Puerto de Embarque]]),"")</f>
        <v/>
      </c>
      <c r="AG774" s="2" t="str">
        <f>IFERROR(IF(MARÍTIMOS[[#This Row],[Almacén de Ingreso]]="","",MARÍTIMOS[[#This Row],[Almacén de Ingreso]]),"")</f>
        <v/>
      </c>
      <c r="AH774" s="11" t="str">
        <f>IFERROR(IF(MARÍTIMOS[[#This Row],[Etapa Ingreso - Cita]]="","",MARÍTIMOS[[#This Row],[Etapa Ingreso - Cita]]),"")</f>
        <v/>
      </c>
      <c r="AI774" s="11" t="str">
        <f>IFERROR(IF(MARÍTIMOS[[#This Row],[Etapa Ingreso - Llegada]]="","",MARÍTIMOS[[#This Row],[Etapa Ingreso - Llegada]]),"")</f>
        <v/>
      </c>
      <c r="AJ774" s="11" t="str">
        <f>IFERROR(IF(MARÍTIMOS[[#This Row],[Etapa Ingreso - Ingeso]]="","",MARÍTIMOS[[#This Row],[Etapa Ingreso - Ingeso]]),"")</f>
        <v/>
      </c>
      <c r="AK774" s="11" t="str">
        <f>IFERROR(IF(MARÍTIMOS[[#This Row],[Etapa Ingreso - Atención]]="","",MARÍTIMOS[[#This Row],[Etapa Ingreso - Atención]]),"")</f>
        <v/>
      </c>
      <c r="AL774" s="11" t="str">
        <f>IFERROR(IF(MARÍTIMOS[[#This Row],[Etapa Ingreso - Salida]]="","",MARÍTIMOS[[#This Row],[Etapa Ingreso - Salida]]),"")</f>
        <v/>
      </c>
      <c r="AM774" s="2" t="str">
        <f>IFERROR(IF(MARÍTIMOS[[#This Row],[FCL]]="","",MARÍTIMOS[[#This Row],[FCL]]),"")</f>
        <v/>
      </c>
      <c r="AN7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4" s="4" t="str" cm="1">
        <f t="array" ref="AO7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4" s="5" t="str">
        <f>IFERROR(OLDBD[[#This Row],[Llegada a packing]]-OLDBD[[#This Row],[Inicio de Ruta]],"")</f>
        <v/>
      </c>
      <c r="AQ774" s="6" t="str">
        <f>IFERROR(OLDBD[[#This Row],[Inicio de Ruta]]-OLDBD[[#This Row],[Salida de almacén de retiro]],"")</f>
        <v/>
      </c>
      <c r="AR7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4" s="8" t="str" cm="1">
        <f t="array" ref="AS7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4" s="9" t="str">
        <f>IFERROR(OLDBD[[#This Row],[Ingreso Packing]]-OLDBD[[#This Row],[Registro en Packing]],"")</f>
        <v/>
      </c>
      <c r="AV774" s="9" t="str">
        <f>IFERROR(OLDBD[[#This Row],[Ingreso Packing]]-OLDBD[[#This Row],[Llegada a packing]],"")</f>
        <v/>
      </c>
      <c r="AW7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4" s="5" t="str">
        <f>IFERROR(OLDBD[[#This Row],[Llegada Almacén de Ingreso]]-OLDBD[[#This Row],[Salida Packing]],"")</f>
        <v/>
      </c>
      <c r="AY774" s="4" t="str" cm="1">
        <f t="array" ref="AY7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4" s="43" t="s">
        <v>173</v>
      </c>
      <c r="BB774" s="47" t="str">
        <f>IFERROR(IF(MARÍTIMOS[[#This Row],[Estatus]]="","",MARÍTIMOS[[#This Row],[Estatus]]),"")</f>
        <v/>
      </c>
      <c r="BC774" s="43"/>
      <c r="BD774" s="46" t="str">
        <f>IFERROR(OLDBD[[#This Row],[Salida de almacén de retiro]]-OLDBD[[#This Row],[Ingreso Almacén de retiro]],"")</f>
        <v/>
      </c>
      <c r="BE774" s="46" t="str">
        <f>IFERROR(OLDBD[[#This Row],[Fin de Carga]]-OLDBD[[#This Row],[Inicio de Carga]],"")</f>
        <v/>
      </c>
    </row>
    <row r="775" spans="1:57" customFormat="1" hidden="1">
      <c r="A775" s="1"/>
      <c r="B775" s="1" t="str">
        <f>IFERROR(IF(MARÍTIMOS[[#This Row],[PP]]="","",MARÍTIMOS[[#This Row],[PP]]),"")</f>
        <v/>
      </c>
      <c r="C775" s="1" t="str">
        <f>IFERROR(IF(MARÍTIMOS[[#This Row],[Sede]]="","",MARÍTIMOS[[#This Row],[Sede]]),"")</f>
        <v/>
      </c>
      <c r="D775" s="1" t="str">
        <f>IFERROR(IF(MARÍTIMOS[[#This Row],[Instruction]]="","",MARÍTIMOS[[#This Row],[Instruction]]),"")</f>
        <v/>
      </c>
      <c r="E775" s="1"/>
      <c r="F775" s="2" t="str">
        <f>IFERROR(IF(MARÍTIMOS[[#This Row],[Transportista]]="","",MARÍTIMOS[[#This Row],[Transportista]]),"")</f>
        <v/>
      </c>
      <c r="G775" s="2" t="str">
        <f>IFERROR(IF(MARÍTIMOS[[#This Row],[Tercero]]="","",MARÍTIMOS[[#This Row],[Tercero]]),"")</f>
        <v/>
      </c>
      <c r="H775" s="2" t="str">
        <f>IFERROR(IF(MARÍTIMOS[[#This Row],[Razón Social]]="","",MARÍTIMOS[[#This Row],[Razón Social]]),"")</f>
        <v/>
      </c>
      <c r="I775" s="2" t="str">
        <f>IFERROR(IF(MARÍTIMOS[[#This Row],[RUC]]="","",MARÍTIMOS[[#This Row],[RUC]]),"")</f>
        <v/>
      </c>
      <c r="J775" s="2" t="str">
        <f>IFERROR(IF(MARÍTIMOS[[#This Row],[Placa Tracto]]="","",MARÍTIMOS[[#This Row],[Placa Tracto]]),"")</f>
        <v/>
      </c>
      <c r="K775" s="2" t="str">
        <f>IFERROR(IF(MARÍTIMOS[[#This Row],[Placa Carreta]]="","",MARÍTIMOS[[#This Row],[Placa Carreta]]),"")</f>
        <v/>
      </c>
      <c r="L775" s="44" t="str">
        <f>IFERROR(IF(MARÍTIMOS[[#This Row],[Conductor]]="","",MARÍTIMOS[[#This Row],[Conductor]]),"")</f>
        <v/>
      </c>
      <c r="M775" s="2" t="str">
        <f>IFERROR(IF(MARÍTIMOS[[#This Row],[Licencia]]="","",MARÍTIMOS[[#This Row],[Licencia]]),"")</f>
        <v/>
      </c>
      <c r="N775" s="2" t="str">
        <f>IFERROR(IF(MARÍTIMOS[[#This Row],[Número de Contacto]]="","",MARÍTIMOS[[#This Row],[Número de Contacto]]),"")</f>
        <v/>
      </c>
      <c r="O775" s="10" t="str">
        <f>IFERROR(IF(MARÍTIMOS[[#This Row],[Booking|AWB|CRT]]="","",MARÍTIMOS[[#This Row],[Booking|AWB|CRT]]),"")</f>
        <v/>
      </c>
      <c r="P775" s="2" t="str">
        <f>IFERROR(IF(MARÍTIMOS[[#This Row],[Contenedor]]="","",MARÍTIMOS[[#This Row],[Contenedor]]),"")</f>
        <v/>
      </c>
      <c r="Q775" s="2" t="str">
        <f>IFERROR(IF(MARÍTIMOS[[#This Row],[Puerto de Retiro]]="","",MARÍTIMOS[[#This Row],[Puerto de Retiro]]),"")</f>
        <v/>
      </c>
      <c r="R775" s="2" t="str">
        <f>IFERROR(IF(MARÍTIMOS[[#This Row],[Almacén de Retiro]]="","",MARÍTIMOS[[#This Row],[Almacén de Retiro]]),"")</f>
        <v/>
      </c>
      <c r="S775" s="11" t="str">
        <f>IFERROR(IF(MARÍTIMOS[[#This Row],[Etapa Retiro - Cita]]="","",MARÍTIMOS[[#This Row],[Etapa Retiro - Cita]]),"")</f>
        <v/>
      </c>
      <c r="T775" s="11" t="str">
        <f>IFERROR(IF(MARÍTIMOS[[#This Row],[Etapa Retiro - Llegada]]="","",MARÍTIMOS[[#This Row],[Etapa Retiro - Llegada]]),"")</f>
        <v/>
      </c>
      <c r="U775" s="11" t="str">
        <f>IFERROR(IF(MARÍTIMOS[[#This Row],[Etapa Retiro - Ingreso]]="","",MARÍTIMOS[[#This Row],[Etapa Retiro - Ingreso]]),"")</f>
        <v/>
      </c>
      <c r="V775" s="11" t="str">
        <f>IFERROR(IF(MARÍTIMOS[[#This Row],[Etapa Retiro - Atención]]="","",MARÍTIMOS[[#This Row],[Etapa Retiro - Atención]]),"")</f>
        <v/>
      </c>
      <c r="W775" s="11" t="str">
        <f>IFERROR(IF(MARÍTIMOS[[#This Row],[Etapa Retiro - Atención]]="","",MARÍTIMOS[[#This Row],[Etapa Retiro - Atención]]),"")</f>
        <v/>
      </c>
      <c r="X775" s="11" t="str">
        <f>IFERROR(IF(MARÍTIMOS[[#This Row],[Etapa Retiro - Inicio de Ruta]]="","",MARÍTIMOS[[#This Row],[Etapa Retiro - Inicio de Ruta]]),"")</f>
        <v/>
      </c>
      <c r="Y775" s="11" t="str">
        <f>IFERROR(IF(MARÍTIMOS[[#This Row],[Hora de Posicionamiento]]="","",MARÍTIMOS[[#This Row],[Fecha de Carga]]+MARÍTIMOS[[#This Row],[Hora de Posicionamiento]]),"")</f>
        <v/>
      </c>
      <c r="Z775" s="11" t="str">
        <f>IFERROR(IF(MARÍTIMOS[[#This Row],[Etapa Despacho - Llegada]]="","",MARÍTIMOS[[#This Row],[Etapa Despacho - Llegada]]),"")</f>
        <v/>
      </c>
      <c r="AA775" s="11" t="str">
        <f>IFERROR(IF(MARÍTIMOS[[#This Row],[Etapa Despacho - Registro]]="","",MARÍTIMOS[[#This Row],[Etapa Despacho - Registro]]),"")</f>
        <v/>
      </c>
      <c r="AB775" s="11" t="str">
        <f>IFERROR(IF(MARÍTIMOS[[#This Row],[Inspección Externa]]="","",MARÍTIMOS[[#This Row],[Inspección Externa]]),"")</f>
        <v/>
      </c>
      <c r="AC775" s="11" t="str">
        <f>IFERROR(IF(MARÍTIMOS[[#This Row],[Etapa Despacho - Inicio de Carga]]="","",MARÍTIMOS[[#This Row],[Etapa Despacho - Inicio de Carga]]),"")</f>
        <v/>
      </c>
      <c r="AD775" s="11" t="str">
        <f>IFERROR(IF(MARÍTIMOS[[#This Row],[Etapa Despacho - Mitad de Carga]]="","",MARÍTIMOS[[#This Row],[Etapa Despacho - Mitad de Carga]]),"")</f>
        <v/>
      </c>
      <c r="AE775" s="11" t="str">
        <f>IFERROR(IF(MARÍTIMOS[[#This Row],[Etapa Despacho - Fin de Carga]]="","",MARÍTIMOS[[#This Row],[Etapa Despacho - Fin de Carga]]),"")</f>
        <v/>
      </c>
      <c r="AF775" s="2" t="str">
        <f>IFERROR(IF(MARÍTIMOS[[#This Row],[Puerto de Embarque]]="","",MARÍTIMOS[[#This Row],[Puerto de Embarque]]),"")</f>
        <v/>
      </c>
      <c r="AG775" s="2" t="str">
        <f>IFERROR(IF(MARÍTIMOS[[#This Row],[Almacén de Ingreso]]="","",MARÍTIMOS[[#This Row],[Almacén de Ingreso]]),"")</f>
        <v/>
      </c>
      <c r="AH775" s="11" t="str">
        <f>IFERROR(IF(MARÍTIMOS[[#This Row],[Etapa Ingreso - Cita]]="","",MARÍTIMOS[[#This Row],[Etapa Ingreso - Cita]]),"")</f>
        <v/>
      </c>
      <c r="AI775" s="11" t="str">
        <f>IFERROR(IF(MARÍTIMOS[[#This Row],[Etapa Ingreso - Llegada]]="","",MARÍTIMOS[[#This Row],[Etapa Ingreso - Llegada]]),"")</f>
        <v/>
      </c>
      <c r="AJ775" s="11" t="str">
        <f>IFERROR(IF(MARÍTIMOS[[#This Row],[Etapa Ingreso - Ingeso]]="","",MARÍTIMOS[[#This Row],[Etapa Ingreso - Ingeso]]),"")</f>
        <v/>
      </c>
      <c r="AK775" s="11" t="str">
        <f>IFERROR(IF(MARÍTIMOS[[#This Row],[Etapa Ingreso - Atención]]="","",MARÍTIMOS[[#This Row],[Etapa Ingreso - Atención]]),"")</f>
        <v/>
      </c>
      <c r="AL775" s="11" t="str">
        <f>IFERROR(IF(MARÍTIMOS[[#This Row],[Etapa Ingreso - Salida]]="","",MARÍTIMOS[[#This Row],[Etapa Ingreso - Salida]]),"")</f>
        <v/>
      </c>
      <c r="AM775" s="2" t="str">
        <f>IFERROR(IF(MARÍTIMOS[[#This Row],[FCL]]="","",MARÍTIMOS[[#This Row],[FCL]]),"")</f>
        <v/>
      </c>
      <c r="AN7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5" s="4" t="str" cm="1">
        <f t="array" ref="AO7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5" s="5" t="str">
        <f>IFERROR(OLDBD[[#This Row],[Llegada a packing]]-OLDBD[[#This Row],[Inicio de Ruta]],"")</f>
        <v/>
      </c>
      <c r="AQ775" s="6" t="str">
        <f>IFERROR(OLDBD[[#This Row],[Inicio de Ruta]]-OLDBD[[#This Row],[Salida de almacén de retiro]],"")</f>
        <v/>
      </c>
      <c r="AR7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5" s="8" t="str" cm="1">
        <f t="array" ref="AS7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5" s="9" t="str">
        <f>IFERROR(OLDBD[[#This Row],[Ingreso Packing]]-OLDBD[[#This Row],[Registro en Packing]],"")</f>
        <v/>
      </c>
      <c r="AV775" s="9" t="str">
        <f>IFERROR(OLDBD[[#This Row],[Ingreso Packing]]-OLDBD[[#This Row],[Llegada a packing]],"")</f>
        <v/>
      </c>
      <c r="AW7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5" s="5" t="str">
        <f>IFERROR(OLDBD[[#This Row],[Llegada Almacén de Ingreso]]-OLDBD[[#This Row],[Salida Packing]],"")</f>
        <v/>
      </c>
      <c r="AY775" s="4" t="str" cm="1">
        <f t="array" ref="AY7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5" s="43" t="s">
        <v>173</v>
      </c>
      <c r="BB775" s="47" t="str">
        <f>IFERROR(IF(MARÍTIMOS[[#This Row],[Estatus]]="","",MARÍTIMOS[[#This Row],[Estatus]]),"")</f>
        <v/>
      </c>
      <c r="BC775" s="43"/>
      <c r="BD775" s="46" t="str">
        <f>IFERROR(OLDBD[[#This Row],[Salida de almacén de retiro]]-OLDBD[[#This Row],[Ingreso Almacén de retiro]],"")</f>
        <v/>
      </c>
      <c r="BE775" s="46" t="str">
        <f>IFERROR(OLDBD[[#This Row],[Fin de Carga]]-OLDBD[[#This Row],[Inicio de Carga]],"")</f>
        <v/>
      </c>
    </row>
    <row r="776" spans="1:57" customFormat="1" hidden="1">
      <c r="A776" s="1"/>
      <c r="B776" s="1" t="str">
        <f>IFERROR(IF(MARÍTIMOS[[#This Row],[PP]]="","",MARÍTIMOS[[#This Row],[PP]]),"")</f>
        <v/>
      </c>
      <c r="C776" s="1" t="str">
        <f>IFERROR(IF(MARÍTIMOS[[#This Row],[Sede]]="","",MARÍTIMOS[[#This Row],[Sede]]),"")</f>
        <v/>
      </c>
      <c r="D776" s="1" t="str">
        <f>IFERROR(IF(MARÍTIMOS[[#This Row],[Instruction]]="","",MARÍTIMOS[[#This Row],[Instruction]]),"")</f>
        <v/>
      </c>
      <c r="E776" s="1"/>
      <c r="F776" s="2" t="str">
        <f>IFERROR(IF(MARÍTIMOS[[#This Row],[Transportista]]="","",MARÍTIMOS[[#This Row],[Transportista]]),"")</f>
        <v/>
      </c>
      <c r="G776" s="2" t="str">
        <f>IFERROR(IF(MARÍTIMOS[[#This Row],[Tercero]]="","",MARÍTIMOS[[#This Row],[Tercero]]),"")</f>
        <v/>
      </c>
      <c r="H776" s="2" t="str">
        <f>IFERROR(IF(MARÍTIMOS[[#This Row],[Razón Social]]="","",MARÍTIMOS[[#This Row],[Razón Social]]),"")</f>
        <v/>
      </c>
      <c r="I776" s="2" t="str">
        <f>IFERROR(IF(MARÍTIMOS[[#This Row],[RUC]]="","",MARÍTIMOS[[#This Row],[RUC]]),"")</f>
        <v/>
      </c>
      <c r="J776" s="2" t="str">
        <f>IFERROR(IF(MARÍTIMOS[[#This Row],[Placa Tracto]]="","",MARÍTIMOS[[#This Row],[Placa Tracto]]),"")</f>
        <v/>
      </c>
      <c r="K776" s="2" t="str">
        <f>IFERROR(IF(MARÍTIMOS[[#This Row],[Placa Carreta]]="","",MARÍTIMOS[[#This Row],[Placa Carreta]]),"")</f>
        <v/>
      </c>
      <c r="L776" s="44" t="str">
        <f>IFERROR(IF(MARÍTIMOS[[#This Row],[Conductor]]="","",MARÍTIMOS[[#This Row],[Conductor]]),"")</f>
        <v/>
      </c>
      <c r="M776" s="2" t="str">
        <f>IFERROR(IF(MARÍTIMOS[[#This Row],[Licencia]]="","",MARÍTIMOS[[#This Row],[Licencia]]),"")</f>
        <v/>
      </c>
      <c r="N776" s="2" t="str">
        <f>IFERROR(IF(MARÍTIMOS[[#This Row],[Número de Contacto]]="","",MARÍTIMOS[[#This Row],[Número de Contacto]]),"")</f>
        <v/>
      </c>
      <c r="O776" s="10" t="str">
        <f>IFERROR(IF(MARÍTIMOS[[#This Row],[Booking|AWB|CRT]]="","",MARÍTIMOS[[#This Row],[Booking|AWB|CRT]]),"")</f>
        <v/>
      </c>
      <c r="P776" s="2" t="str">
        <f>IFERROR(IF(MARÍTIMOS[[#This Row],[Contenedor]]="","",MARÍTIMOS[[#This Row],[Contenedor]]),"")</f>
        <v/>
      </c>
      <c r="Q776" s="2" t="str">
        <f>IFERROR(IF(MARÍTIMOS[[#This Row],[Puerto de Retiro]]="","",MARÍTIMOS[[#This Row],[Puerto de Retiro]]),"")</f>
        <v/>
      </c>
      <c r="R776" s="2" t="str">
        <f>IFERROR(IF(MARÍTIMOS[[#This Row],[Almacén de Retiro]]="","",MARÍTIMOS[[#This Row],[Almacén de Retiro]]),"")</f>
        <v/>
      </c>
      <c r="S776" s="11" t="str">
        <f>IFERROR(IF(MARÍTIMOS[[#This Row],[Etapa Retiro - Cita]]="","",MARÍTIMOS[[#This Row],[Etapa Retiro - Cita]]),"")</f>
        <v/>
      </c>
      <c r="T776" s="11" t="str">
        <f>IFERROR(IF(MARÍTIMOS[[#This Row],[Etapa Retiro - Llegada]]="","",MARÍTIMOS[[#This Row],[Etapa Retiro - Llegada]]),"")</f>
        <v/>
      </c>
      <c r="U776" s="11" t="str">
        <f>IFERROR(IF(MARÍTIMOS[[#This Row],[Etapa Retiro - Ingreso]]="","",MARÍTIMOS[[#This Row],[Etapa Retiro - Ingreso]]),"")</f>
        <v/>
      </c>
      <c r="V776" s="11" t="str">
        <f>IFERROR(IF(MARÍTIMOS[[#This Row],[Etapa Retiro - Atención]]="","",MARÍTIMOS[[#This Row],[Etapa Retiro - Atención]]),"")</f>
        <v/>
      </c>
      <c r="W776" s="11" t="str">
        <f>IFERROR(IF(MARÍTIMOS[[#This Row],[Etapa Retiro - Atención]]="","",MARÍTIMOS[[#This Row],[Etapa Retiro - Atención]]),"")</f>
        <v/>
      </c>
      <c r="X776" s="11" t="str">
        <f>IFERROR(IF(MARÍTIMOS[[#This Row],[Etapa Retiro - Inicio de Ruta]]="","",MARÍTIMOS[[#This Row],[Etapa Retiro - Inicio de Ruta]]),"")</f>
        <v/>
      </c>
      <c r="Y776" s="11" t="str">
        <f>IFERROR(IF(MARÍTIMOS[[#This Row],[Hora de Posicionamiento]]="","",MARÍTIMOS[[#This Row],[Fecha de Carga]]+MARÍTIMOS[[#This Row],[Hora de Posicionamiento]]),"")</f>
        <v/>
      </c>
      <c r="Z776" s="11" t="str">
        <f>IFERROR(IF(MARÍTIMOS[[#This Row],[Etapa Despacho - Llegada]]="","",MARÍTIMOS[[#This Row],[Etapa Despacho - Llegada]]),"")</f>
        <v/>
      </c>
      <c r="AA776" s="11" t="str">
        <f>IFERROR(IF(MARÍTIMOS[[#This Row],[Etapa Despacho - Registro]]="","",MARÍTIMOS[[#This Row],[Etapa Despacho - Registro]]),"")</f>
        <v/>
      </c>
      <c r="AB776" s="11" t="str">
        <f>IFERROR(IF(MARÍTIMOS[[#This Row],[Inspección Externa]]="","",MARÍTIMOS[[#This Row],[Inspección Externa]]),"")</f>
        <v/>
      </c>
      <c r="AC776" s="11" t="str">
        <f>IFERROR(IF(MARÍTIMOS[[#This Row],[Etapa Despacho - Inicio de Carga]]="","",MARÍTIMOS[[#This Row],[Etapa Despacho - Inicio de Carga]]),"")</f>
        <v/>
      </c>
      <c r="AD776" s="11" t="str">
        <f>IFERROR(IF(MARÍTIMOS[[#This Row],[Etapa Despacho - Mitad de Carga]]="","",MARÍTIMOS[[#This Row],[Etapa Despacho - Mitad de Carga]]),"")</f>
        <v/>
      </c>
      <c r="AE776" s="11" t="str">
        <f>IFERROR(IF(MARÍTIMOS[[#This Row],[Etapa Despacho - Fin de Carga]]="","",MARÍTIMOS[[#This Row],[Etapa Despacho - Fin de Carga]]),"")</f>
        <v/>
      </c>
      <c r="AF776" s="2" t="str">
        <f>IFERROR(IF(MARÍTIMOS[[#This Row],[Puerto de Embarque]]="","",MARÍTIMOS[[#This Row],[Puerto de Embarque]]),"")</f>
        <v/>
      </c>
      <c r="AG776" s="2" t="str">
        <f>IFERROR(IF(MARÍTIMOS[[#This Row],[Almacén de Ingreso]]="","",MARÍTIMOS[[#This Row],[Almacén de Ingreso]]),"")</f>
        <v/>
      </c>
      <c r="AH776" s="11" t="str">
        <f>IFERROR(IF(MARÍTIMOS[[#This Row],[Etapa Ingreso - Cita]]="","",MARÍTIMOS[[#This Row],[Etapa Ingreso - Cita]]),"")</f>
        <v/>
      </c>
      <c r="AI776" s="11" t="str">
        <f>IFERROR(IF(MARÍTIMOS[[#This Row],[Etapa Ingreso - Llegada]]="","",MARÍTIMOS[[#This Row],[Etapa Ingreso - Llegada]]),"")</f>
        <v/>
      </c>
      <c r="AJ776" s="11" t="str">
        <f>IFERROR(IF(MARÍTIMOS[[#This Row],[Etapa Ingreso - Ingeso]]="","",MARÍTIMOS[[#This Row],[Etapa Ingreso - Ingeso]]),"")</f>
        <v/>
      </c>
      <c r="AK776" s="11" t="str">
        <f>IFERROR(IF(MARÍTIMOS[[#This Row],[Etapa Ingreso - Atención]]="","",MARÍTIMOS[[#This Row],[Etapa Ingreso - Atención]]),"")</f>
        <v/>
      </c>
      <c r="AL776" s="11" t="str">
        <f>IFERROR(IF(MARÍTIMOS[[#This Row],[Etapa Ingreso - Salida]]="","",MARÍTIMOS[[#This Row],[Etapa Ingreso - Salida]]),"")</f>
        <v/>
      </c>
      <c r="AM776" s="2" t="str">
        <f>IFERROR(IF(MARÍTIMOS[[#This Row],[FCL]]="","",MARÍTIMOS[[#This Row],[FCL]]),"")</f>
        <v/>
      </c>
      <c r="AN7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6" s="4" t="str" cm="1">
        <f t="array" ref="AO7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6" s="5" t="str">
        <f>IFERROR(OLDBD[[#This Row],[Llegada a packing]]-OLDBD[[#This Row],[Inicio de Ruta]],"")</f>
        <v/>
      </c>
      <c r="AQ776" s="6" t="str">
        <f>IFERROR(OLDBD[[#This Row],[Inicio de Ruta]]-OLDBD[[#This Row],[Salida de almacén de retiro]],"")</f>
        <v/>
      </c>
      <c r="AR7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6" s="8" t="str" cm="1">
        <f t="array" ref="AS7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6" s="9" t="str">
        <f>IFERROR(OLDBD[[#This Row],[Ingreso Packing]]-OLDBD[[#This Row],[Registro en Packing]],"")</f>
        <v/>
      </c>
      <c r="AV776" s="9" t="str">
        <f>IFERROR(OLDBD[[#This Row],[Ingreso Packing]]-OLDBD[[#This Row],[Llegada a packing]],"")</f>
        <v/>
      </c>
      <c r="AW7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6" s="5" t="str">
        <f>IFERROR(OLDBD[[#This Row],[Llegada Almacén de Ingreso]]-OLDBD[[#This Row],[Salida Packing]],"")</f>
        <v/>
      </c>
      <c r="AY776" s="4" t="str" cm="1">
        <f t="array" ref="AY7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6" s="43" t="s">
        <v>173</v>
      </c>
      <c r="BB776" s="47" t="str">
        <f>IFERROR(IF(MARÍTIMOS[[#This Row],[Estatus]]="","",MARÍTIMOS[[#This Row],[Estatus]]),"")</f>
        <v/>
      </c>
      <c r="BC776" s="43"/>
      <c r="BD776" s="46" t="str">
        <f>IFERROR(OLDBD[[#This Row],[Salida de almacén de retiro]]-OLDBD[[#This Row],[Ingreso Almacén de retiro]],"")</f>
        <v/>
      </c>
      <c r="BE776" s="46" t="str">
        <f>IFERROR(OLDBD[[#This Row],[Fin de Carga]]-OLDBD[[#This Row],[Inicio de Carga]],"")</f>
        <v/>
      </c>
    </row>
    <row r="777" spans="1:57" customFormat="1" hidden="1">
      <c r="A777" s="1"/>
      <c r="B777" s="1" t="str">
        <f>IFERROR(IF(MARÍTIMOS[[#This Row],[PP]]="","",MARÍTIMOS[[#This Row],[PP]]),"")</f>
        <v/>
      </c>
      <c r="C777" s="1" t="str">
        <f>IFERROR(IF(MARÍTIMOS[[#This Row],[Sede]]="","",MARÍTIMOS[[#This Row],[Sede]]),"")</f>
        <v/>
      </c>
      <c r="D777" s="1" t="str">
        <f>IFERROR(IF(MARÍTIMOS[[#This Row],[Instruction]]="","",MARÍTIMOS[[#This Row],[Instruction]]),"")</f>
        <v/>
      </c>
      <c r="E777" s="1"/>
      <c r="F777" s="2" t="str">
        <f>IFERROR(IF(MARÍTIMOS[[#This Row],[Transportista]]="","",MARÍTIMOS[[#This Row],[Transportista]]),"")</f>
        <v/>
      </c>
      <c r="G777" s="2" t="str">
        <f>IFERROR(IF(MARÍTIMOS[[#This Row],[Tercero]]="","",MARÍTIMOS[[#This Row],[Tercero]]),"")</f>
        <v/>
      </c>
      <c r="H777" s="2" t="str">
        <f>IFERROR(IF(MARÍTIMOS[[#This Row],[Razón Social]]="","",MARÍTIMOS[[#This Row],[Razón Social]]),"")</f>
        <v/>
      </c>
      <c r="I777" s="2" t="str">
        <f>IFERROR(IF(MARÍTIMOS[[#This Row],[RUC]]="","",MARÍTIMOS[[#This Row],[RUC]]),"")</f>
        <v/>
      </c>
      <c r="J777" s="2" t="str">
        <f>IFERROR(IF(MARÍTIMOS[[#This Row],[Placa Tracto]]="","",MARÍTIMOS[[#This Row],[Placa Tracto]]),"")</f>
        <v/>
      </c>
      <c r="K777" s="2" t="str">
        <f>IFERROR(IF(MARÍTIMOS[[#This Row],[Placa Carreta]]="","",MARÍTIMOS[[#This Row],[Placa Carreta]]),"")</f>
        <v/>
      </c>
      <c r="L777" s="44" t="str">
        <f>IFERROR(IF(MARÍTIMOS[[#This Row],[Conductor]]="","",MARÍTIMOS[[#This Row],[Conductor]]),"")</f>
        <v/>
      </c>
      <c r="M777" s="2" t="str">
        <f>IFERROR(IF(MARÍTIMOS[[#This Row],[Licencia]]="","",MARÍTIMOS[[#This Row],[Licencia]]),"")</f>
        <v/>
      </c>
      <c r="N777" s="2" t="str">
        <f>IFERROR(IF(MARÍTIMOS[[#This Row],[Número de Contacto]]="","",MARÍTIMOS[[#This Row],[Número de Contacto]]),"")</f>
        <v/>
      </c>
      <c r="O777" s="10" t="str">
        <f>IFERROR(IF(MARÍTIMOS[[#This Row],[Booking|AWB|CRT]]="","",MARÍTIMOS[[#This Row],[Booking|AWB|CRT]]),"")</f>
        <v/>
      </c>
      <c r="P777" s="2" t="str">
        <f>IFERROR(IF(MARÍTIMOS[[#This Row],[Contenedor]]="","",MARÍTIMOS[[#This Row],[Contenedor]]),"")</f>
        <v/>
      </c>
      <c r="Q777" s="2" t="str">
        <f>IFERROR(IF(MARÍTIMOS[[#This Row],[Puerto de Retiro]]="","",MARÍTIMOS[[#This Row],[Puerto de Retiro]]),"")</f>
        <v/>
      </c>
      <c r="R777" s="2" t="str">
        <f>IFERROR(IF(MARÍTIMOS[[#This Row],[Almacén de Retiro]]="","",MARÍTIMOS[[#This Row],[Almacén de Retiro]]),"")</f>
        <v/>
      </c>
      <c r="S777" s="11" t="str">
        <f>IFERROR(IF(MARÍTIMOS[[#This Row],[Etapa Retiro - Cita]]="","",MARÍTIMOS[[#This Row],[Etapa Retiro - Cita]]),"")</f>
        <v/>
      </c>
      <c r="T777" s="11" t="str">
        <f>IFERROR(IF(MARÍTIMOS[[#This Row],[Etapa Retiro - Llegada]]="","",MARÍTIMOS[[#This Row],[Etapa Retiro - Llegada]]),"")</f>
        <v/>
      </c>
      <c r="U777" s="11" t="str">
        <f>IFERROR(IF(MARÍTIMOS[[#This Row],[Etapa Retiro - Ingreso]]="","",MARÍTIMOS[[#This Row],[Etapa Retiro - Ingreso]]),"")</f>
        <v/>
      </c>
      <c r="V777" s="11" t="str">
        <f>IFERROR(IF(MARÍTIMOS[[#This Row],[Etapa Retiro - Atención]]="","",MARÍTIMOS[[#This Row],[Etapa Retiro - Atención]]),"")</f>
        <v/>
      </c>
      <c r="W777" s="11" t="str">
        <f>IFERROR(IF(MARÍTIMOS[[#This Row],[Etapa Retiro - Atención]]="","",MARÍTIMOS[[#This Row],[Etapa Retiro - Atención]]),"")</f>
        <v/>
      </c>
      <c r="X777" s="11" t="str">
        <f>IFERROR(IF(MARÍTIMOS[[#This Row],[Etapa Retiro - Inicio de Ruta]]="","",MARÍTIMOS[[#This Row],[Etapa Retiro - Inicio de Ruta]]),"")</f>
        <v/>
      </c>
      <c r="Y777" s="11" t="str">
        <f>IFERROR(IF(MARÍTIMOS[[#This Row],[Hora de Posicionamiento]]="","",MARÍTIMOS[[#This Row],[Fecha de Carga]]+MARÍTIMOS[[#This Row],[Hora de Posicionamiento]]),"")</f>
        <v/>
      </c>
      <c r="Z777" s="11" t="str">
        <f>IFERROR(IF(MARÍTIMOS[[#This Row],[Etapa Despacho - Llegada]]="","",MARÍTIMOS[[#This Row],[Etapa Despacho - Llegada]]),"")</f>
        <v/>
      </c>
      <c r="AA777" s="11" t="str">
        <f>IFERROR(IF(MARÍTIMOS[[#This Row],[Etapa Despacho - Registro]]="","",MARÍTIMOS[[#This Row],[Etapa Despacho - Registro]]),"")</f>
        <v/>
      </c>
      <c r="AB777" s="11" t="str">
        <f>IFERROR(IF(MARÍTIMOS[[#This Row],[Inspección Externa]]="","",MARÍTIMOS[[#This Row],[Inspección Externa]]),"")</f>
        <v/>
      </c>
      <c r="AC777" s="11" t="str">
        <f>IFERROR(IF(MARÍTIMOS[[#This Row],[Etapa Despacho - Inicio de Carga]]="","",MARÍTIMOS[[#This Row],[Etapa Despacho - Inicio de Carga]]),"")</f>
        <v/>
      </c>
      <c r="AD777" s="11" t="str">
        <f>IFERROR(IF(MARÍTIMOS[[#This Row],[Etapa Despacho - Mitad de Carga]]="","",MARÍTIMOS[[#This Row],[Etapa Despacho - Mitad de Carga]]),"")</f>
        <v/>
      </c>
      <c r="AE777" s="11" t="str">
        <f>IFERROR(IF(MARÍTIMOS[[#This Row],[Etapa Despacho - Fin de Carga]]="","",MARÍTIMOS[[#This Row],[Etapa Despacho - Fin de Carga]]),"")</f>
        <v/>
      </c>
      <c r="AF777" s="2" t="str">
        <f>IFERROR(IF(MARÍTIMOS[[#This Row],[Puerto de Embarque]]="","",MARÍTIMOS[[#This Row],[Puerto de Embarque]]),"")</f>
        <v/>
      </c>
      <c r="AG777" s="2" t="str">
        <f>IFERROR(IF(MARÍTIMOS[[#This Row],[Almacén de Ingreso]]="","",MARÍTIMOS[[#This Row],[Almacén de Ingreso]]),"")</f>
        <v/>
      </c>
      <c r="AH777" s="11" t="str">
        <f>IFERROR(IF(MARÍTIMOS[[#This Row],[Etapa Ingreso - Cita]]="","",MARÍTIMOS[[#This Row],[Etapa Ingreso - Cita]]),"")</f>
        <v/>
      </c>
      <c r="AI777" s="11" t="str">
        <f>IFERROR(IF(MARÍTIMOS[[#This Row],[Etapa Ingreso - Llegada]]="","",MARÍTIMOS[[#This Row],[Etapa Ingreso - Llegada]]),"")</f>
        <v/>
      </c>
      <c r="AJ777" s="11" t="str">
        <f>IFERROR(IF(MARÍTIMOS[[#This Row],[Etapa Ingreso - Ingeso]]="","",MARÍTIMOS[[#This Row],[Etapa Ingreso - Ingeso]]),"")</f>
        <v/>
      </c>
      <c r="AK777" s="11" t="str">
        <f>IFERROR(IF(MARÍTIMOS[[#This Row],[Etapa Ingreso - Atención]]="","",MARÍTIMOS[[#This Row],[Etapa Ingreso - Atención]]),"")</f>
        <v/>
      </c>
      <c r="AL777" s="11" t="str">
        <f>IFERROR(IF(MARÍTIMOS[[#This Row],[Etapa Ingreso - Salida]]="","",MARÍTIMOS[[#This Row],[Etapa Ingreso - Salida]]),"")</f>
        <v/>
      </c>
      <c r="AM777" s="2" t="str">
        <f>IFERROR(IF(MARÍTIMOS[[#This Row],[FCL]]="","",MARÍTIMOS[[#This Row],[FCL]]),"")</f>
        <v/>
      </c>
      <c r="AN7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7" s="4" t="str" cm="1">
        <f t="array" ref="AO7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7" s="5" t="str">
        <f>IFERROR(OLDBD[[#This Row],[Llegada a packing]]-OLDBD[[#This Row],[Inicio de Ruta]],"")</f>
        <v/>
      </c>
      <c r="AQ777" s="6" t="str">
        <f>IFERROR(OLDBD[[#This Row],[Inicio de Ruta]]-OLDBD[[#This Row],[Salida de almacén de retiro]],"")</f>
        <v/>
      </c>
      <c r="AR7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7" s="8" t="str" cm="1">
        <f t="array" ref="AS7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7" s="9" t="str">
        <f>IFERROR(OLDBD[[#This Row],[Ingreso Packing]]-OLDBD[[#This Row],[Registro en Packing]],"")</f>
        <v/>
      </c>
      <c r="AV777" s="9" t="str">
        <f>IFERROR(OLDBD[[#This Row],[Ingreso Packing]]-OLDBD[[#This Row],[Llegada a packing]],"")</f>
        <v/>
      </c>
      <c r="AW7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7" s="5" t="str">
        <f>IFERROR(OLDBD[[#This Row],[Llegada Almacén de Ingreso]]-OLDBD[[#This Row],[Salida Packing]],"")</f>
        <v/>
      </c>
      <c r="AY777" s="4" t="str" cm="1">
        <f t="array" ref="AY7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7" s="43" t="s">
        <v>173</v>
      </c>
      <c r="BB777" s="47" t="str">
        <f>IFERROR(IF(MARÍTIMOS[[#This Row],[Estatus]]="","",MARÍTIMOS[[#This Row],[Estatus]]),"")</f>
        <v/>
      </c>
      <c r="BC777" s="43"/>
      <c r="BD777" s="46" t="str">
        <f>IFERROR(OLDBD[[#This Row],[Salida de almacén de retiro]]-OLDBD[[#This Row],[Ingreso Almacén de retiro]],"")</f>
        <v/>
      </c>
      <c r="BE777" s="46" t="str">
        <f>IFERROR(OLDBD[[#This Row],[Fin de Carga]]-OLDBD[[#This Row],[Inicio de Carga]],"")</f>
        <v/>
      </c>
    </row>
    <row r="778" spans="1:57" customFormat="1" hidden="1">
      <c r="A778" s="1"/>
      <c r="B778" s="1" t="str">
        <f>IFERROR(IF(MARÍTIMOS[[#This Row],[PP]]="","",MARÍTIMOS[[#This Row],[PP]]),"")</f>
        <v/>
      </c>
      <c r="C778" s="1" t="str">
        <f>IFERROR(IF(MARÍTIMOS[[#This Row],[Sede]]="","",MARÍTIMOS[[#This Row],[Sede]]),"")</f>
        <v/>
      </c>
      <c r="D778" s="1" t="str">
        <f>IFERROR(IF(MARÍTIMOS[[#This Row],[Instruction]]="","",MARÍTIMOS[[#This Row],[Instruction]]),"")</f>
        <v/>
      </c>
      <c r="E778" s="1"/>
      <c r="F778" s="2" t="str">
        <f>IFERROR(IF(MARÍTIMOS[[#This Row],[Transportista]]="","",MARÍTIMOS[[#This Row],[Transportista]]),"")</f>
        <v/>
      </c>
      <c r="G778" s="2" t="str">
        <f>IFERROR(IF(MARÍTIMOS[[#This Row],[Tercero]]="","",MARÍTIMOS[[#This Row],[Tercero]]),"")</f>
        <v/>
      </c>
      <c r="H778" s="2" t="str">
        <f>IFERROR(IF(MARÍTIMOS[[#This Row],[Razón Social]]="","",MARÍTIMOS[[#This Row],[Razón Social]]),"")</f>
        <v/>
      </c>
      <c r="I778" s="2" t="str">
        <f>IFERROR(IF(MARÍTIMOS[[#This Row],[RUC]]="","",MARÍTIMOS[[#This Row],[RUC]]),"")</f>
        <v/>
      </c>
      <c r="J778" s="2" t="str">
        <f>IFERROR(IF(MARÍTIMOS[[#This Row],[Placa Tracto]]="","",MARÍTIMOS[[#This Row],[Placa Tracto]]),"")</f>
        <v/>
      </c>
      <c r="K778" s="2" t="str">
        <f>IFERROR(IF(MARÍTIMOS[[#This Row],[Placa Carreta]]="","",MARÍTIMOS[[#This Row],[Placa Carreta]]),"")</f>
        <v/>
      </c>
      <c r="L778" s="44" t="str">
        <f>IFERROR(IF(MARÍTIMOS[[#This Row],[Conductor]]="","",MARÍTIMOS[[#This Row],[Conductor]]),"")</f>
        <v/>
      </c>
      <c r="M778" s="2" t="str">
        <f>IFERROR(IF(MARÍTIMOS[[#This Row],[Licencia]]="","",MARÍTIMOS[[#This Row],[Licencia]]),"")</f>
        <v/>
      </c>
      <c r="N778" s="2" t="str">
        <f>IFERROR(IF(MARÍTIMOS[[#This Row],[Número de Contacto]]="","",MARÍTIMOS[[#This Row],[Número de Contacto]]),"")</f>
        <v/>
      </c>
      <c r="O778" s="10" t="str">
        <f>IFERROR(IF(MARÍTIMOS[[#This Row],[Booking|AWB|CRT]]="","",MARÍTIMOS[[#This Row],[Booking|AWB|CRT]]),"")</f>
        <v/>
      </c>
      <c r="P778" s="2" t="str">
        <f>IFERROR(IF(MARÍTIMOS[[#This Row],[Contenedor]]="","",MARÍTIMOS[[#This Row],[Contenedor]]),"")</f>
        <v/>
      </c>
      <c r="Q778" s="2" t="str">
        <f>IFERROR(IF(MARÍTIMOS[[#This Row],[Puerto de Retiro]]="","",MARÍTIMOS[[#This Row],[Puerto de Retiro]]),"")</f>
        <v/>
      </c>
      <c r="R778" s="2" t="str">
        <f>IFERROR(IF(MARÍTIMOS[[#This Row],[Almacén de Retiro]]="","",MARÍTIMOS[[#This Row],[Almacén de Retiro]]),"")</f>
        <v/>
      </c>
      <c r="S778" s="11" t="str">
        <f>IFERROR(IF(MARÍTIMOS[[#This Row],[Etapa Retiro - Cita]]="","",MARÍTIMOS[[#This Row],[Etapa Retiro - Cita]]),"")</f>
        <v/>
      </c>
      <c r="T778" s="11" t="str">
        <f>IFERROR(IF(MARÍTIMOS[[#This Row],[Etapa Retiro - Llegada]]="","",MARÍTIMOS[[#This Row],[Etapa Retiro - Llegada]]),"")</f>
        <v/>
      </c>
      <c r="U778" s="11" t="str">
        <f>IFERROR(IF(MARÍTIMOS[[#This Row],[Etapa Retiro - Ingreso]]="","",MARÍTIMOS[[#This Row],[Etapa Retiro - Ingreso]]),"")</f>
        <v/>
      </c>
      <c r="V778" s="11" t="str">
        <f>IFERROR(IF(MARÍTIMOS[[#This Row],[Etapa Retiro - Atención]]="","",MARÍTIMOS[[#This Row],[Etapa Retiro - Atención]]),"")</f>
        <v/>
      </c>
      <c r="W778" s="11" t="str">
        <f>IFERROR(IF(MARÍTIMOS[[#This Row],[Etapa Retiro - Atención]]="","",MARÍTIMOS[[#This Row],[Etapa Retiro - Atención]]),"")</f>
        <v/>
      </c>
      <c r="X778" s="11" t="str">
        <f>IFERROR(IF(MARÍTIMOS[[#This Row],[Etapa Retiro - Inicio de Ruta]]="","",MARÍTIMOS[[#This Row],[Etapa Retiro - Inicio de Ruta]]),"")</f>
        <v/>
      </c>
      <c r="Y778" s="11" t="str">
        <f>IFERROR(IF(MARÍTIMOS[[#This Row],[Hora de Posicionamiento]]="","",MARÍTIMOS[[#This Row],[Fecha de Carga]]+MARÍTIMOS[[#This Row],[Hora de Posicionamiento]]),"")</f>
        <v/>
      </c>
      <c r="Z778" s="11" t="str">
        <f>IFERROR(IF(MARÍTIMOS[[#This Row],[Etapa Despacho - Llegada]]="","",MARÍTIMOS[[#This Row],[Etapa Despacho - Llegada]]),"")</f>
        <v/>
      </c>
      <c r="AA778" s="11" t="str">
        <f>IFERROR(IF(MARÍTIMOS[[#This Row],[Etapa Despacho - Registro]]="","",MARÍTIMOS[[#This Row],[Etapa Despacho - Registro]]),"")</f>
        <v/>
      </c>
      <c r="AB778" s="11" t="str">
        <f>IFERROR(IF(MARÍTIMOS[[#This Row],[Inspección Externa]]="","",MARÍTIMOS[[#This Row],[Inspección Externa]]),"")</f>
        <v/>
      </c>
      <c r="AC778" s="11" t="str">
        <f>IFERROR(IF(MARÍTIMOS[[#This Row],[Etapa Despacho - Inicio de Carga]]="","",MARÍTIMOS[[#This Row],[Etapa Despacho - Inicio de Carga]]),"")</f>
        <v/>
      </c>
      <c r="AD778" s="11" t="str">
        <f>IFERROR(IF(MARÍTIMOS[[#This Row],[Etapa Despacho - Mitad de Carga]]="","",MARÍTIMOS[[#This Row],[Etapa Despacho - Mitad de Carga]]),"")</f>
        <v/>
      </c>
      <c r="AE778" s="11" t="str">
        <f>IFERROR(IF(MARÍTIMOS[[#This Row],[Etapa Despacho - Fin de Carga]]="","",MARÍTIMOS[[#This Row],[Etapa Despacho - Fin de Carga]]),"")</f>
        <v/>
      </c>
      <c r="AF778" s="2" t="str">
        <f>IFERROR(IF(MARÍTIMOS[[#This Row],[Puerto de Embarque]]="","",MARÍTIMOS[[#This Row],[Puerto de Embarque]]),"")</f>
        <v/>
      </c>
      <c r="AG778" s="2" t="str">
        <f>IFERROR(IF(MARÍTIMOS[[#This Row],[Almacén de Ingreso]]="","",MARÍTIMOS[[#This Row],[Almacén de Ingreso]]),"")</f>
        <v/>
      </c>
      <c r="AH778" s="11" t="str">
        <f>IFERROR(IF(MARÍTIMOS[[#This Row],[Etapa Ingreso - Cita]]="","",MARÍTIMOS[[#This Row],[Etapa Ingreso - Cita]]),"")</f>
        <v/>
      </c>
      <c r="AI778" s="11" t="str">
        <f>IFERROR(IF(MARÍTIMOS[[#This Row],[Etapa Ingreso - Llegada]]="","",MARÍTIMOS[[#This Row],[Etapa Ingreso - Llegada]]),"")</f>
        <v/>
      </c>
      <c r="AJ778" s="11" t="str">
        <f>IFERROR(IF(MARÍTIMOS[[#This Row],[Etapa Ingreso - Ingeso]]="","",MARÍTIMOS[[#This Row],[Etapa Ingreso - Ingeso]]),"")</f>
        <v/>
      </c>
      <c r="AK778" s="11" t="str">
        <f>IFERROR(IF(MARÍTIMOS[[#This Row],[Etapa Ingreso - Atención]]="","",MARÍTIMOS[[#This Row],[Etapa Ingreso - Atención]]),"")</f>
        <v/>
      </c>
      <c r="AL778" s="11" t="str">
        <f>IFERROR(IF(MARÍTIMOS[[#This Row],[Etapa Ingreso - Salida]]="","",MARÍTIMOS[[#This Row],[Etapa Ingreso - Salida]]),"")</f>
        <v/>
      </c>
      <c r="AM778" s="2" t="str">
        <f>IFERROR(IF(MARÍTIMOS[[#This Row],[FCL]]="","",MARÍTIMOS[[#This Row],[FCL]]),"")</f>
        <v/>
      </c>
      <c r="AN7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8" s="4" t="str" cm="1">
        <f t="array" ref="AO7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8" s="5" t="str">
        <f>IFERROR(OLDBD[[#This Row],[Llegada a packing]]-OLDBD[[#This Row],[Inicio de Ruta]],"")</f>
        <v/>
      </c>
      <c r="AQ778" s="6" t="str">
        <f>IFERROR(OLDBD[[#This Row],[Inicio de Ruta]]-OLDBD[[#This Row],[Salida de almacén de retiro]],"")</f>
        <v/>
      </c>
      <c r="AR7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8" s="8" t="str" cm="1">
        <f t="array" ref="AS7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8" s="9" t="str">
        <f>IFERROR(OLDBD[[#This Row],[Ingreso Packing]]-OLDBD[[#This Row],[Registro en Packing]],"")</f>
        <v/>
      </c>
      <c r="AV778" s="9" t="str">
        <f>IFERROR(OLDBD[[#This Row],[Ingreso Packing]]-OLDBD[[#This Row],[Llegada a packing]],"")</f>
        <v/>
      </c>
      <c r="AW7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8" s="5" t="str">
        <f>IFERROR(OLDBD[[#This Row],[Llegada Almacén de Ingreso]]-OLDBD[[#This Row],[Salida Packing]],"")</f>
        <v/>
      </c>
      <c r="AY778" s="4" t="str" cm="1">
        <f t="array" ref="AY7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8" s="43" t="s">
        <v>173</v>
      </c>
      <c r="BB778" s="47" t="str">
        <f>IFERROR(IF(MARÍTIMOS[[#This Row],[Estatus]]="","",MARÍTIMOS[[#This Row],[Estatus]]),"")</f>
        <v/>
      </c>
      <c r="BC778" s="43"/>
      <c r="BD778" s="46" t="str">
        <f>IFERROR(OLDBD[[#This Row],[Salida de almacén de retiro]]-OLDBD[[#This Row],[Ingreso Almacén de retiro]],"")</f>
        <v/>
      </c>
      <c r="BE778" s="46" t="str">
        <f>IFERROR(OLDBD[[#This Row],[Fin de Carga]]-OLDBD[[#This Row],[Inicio de Carga]],"")</f>
        <v/>
      </c>
    </row>
    <row r="779" spans="1:57" customFormat="1" hidden="1">
      <c r="A779" s="1"/>
      <c r="B779" s="1" t="str">
        <f>IFERROR(IF(MARÍTIMOS[[#This Row],[PP]]="","",MARÍTIMOS[[#This Row],[PP]]),"")</f>
        <v/>
      </c>
      <c r="C779" s="1" t="str">
        <f>IFERROR(IF(MARÍTIMOS[[#This Row],[Sede]]="","",MARÍTIMOS[[#This Row],[Sede]]),"")</f>
        <v/>
      </c>
      <c r="D779" s="1" t="str">
        <f>IFERROR(IF(MARÍTIMOS[[#This Row],[Instruction]]="","",MARÍTIMOS[[#This Row],[Instruction]]),"")</f>
        <v/>
      </c>
      <c r="E779" s="1"/>
      <c r="F779" s="2" t="str">
        <f>IFERROR(IF(MARÍTIMOS[[#This Row],[Transportista]]="","",MARÍTIMOS[[#This Row],[Transportista]]),"")</f>
        <v/>
      </c>
      <c r="G779" s="2" t="str">
        <f>IFERROR(IF(MARÍTIMOS[[#This Row],[Tercero]]="","",MARÍTIMOS[[#This Row],[Tercero]]),"")</f>
        <v/>
      </c>
      <c r="H779" s="2" t="str">
        <f>IFERROR(IF(MARÍTIMOS[[#This Row],[Razón Social]]="","",MARÍTIMOS[[#This Row],[Razón Social]]),"")</f>
        <v/>
      </c>
      <c r="I779" s="2" t="str">
        <f>IFERROR(IF(MARÍTIMOS[[#This Row],[RUC]]="","",MARÍTIMOS[[#This Row],[RUC]]),"")</f>
        <v/>
      </c>
      <c r="J779" s="2" t="str">
        <f>IFERROR(IF(MARÍTIMOS[[#This Row],[Placa Tracto]]="","",MARÍTIMOS[[#This Row],[Placa Tracto]]),"")</f>
        <v/>
      </c>
      <c r="K779" s="2" t="str">
        <f>IFERROR(IF(MARÍTIMOS[[#This Row],[Placa Carreta]]="","",MARÍTIMOS[[#This Row],[Placa Carreta]]),"")</f>
        <v/>
      </c>
      <c r="L779" s="44" t="str">
        <f>IFERROR(IF(MARÍTIMOS[[#This Row],[Conductor]]="","",MARÍTIMOS[[#This Row],[Conductor]]),"")</f>
        <v/>
      </c>
      <c r="M779" s="2" t="str">
        <f>IFERROR(IF(MARÍTIMOS[[#This Row],[Licencia]]="","",MARÍTIMOS[[#This Row],[Licencia]]),"")</f>
        <v/>
      </c>
      <c r="N779" s="2" t="str">
        <f>IFERROR(IF(MARÍTIMOS[[#This Row],[Número de Contacto]]="","",MARÍTIMOS[[#This Row],[Número de Contacto]]),"")</f>
        <v/>
      </c>
      <c r="O779" s="10" t="str">
        <f>IFERROR(IF(MARÍTIMOS[[#This Row],[Booking|AWB|CRT]]="","",MARÍTIMOS[[#This Row],[Booking|AWB|CRT]]),"")</f>
        <v/>
      </c>
      <c r="P779" s="2" t="str">
        <f>IFERROR(IF(MARÍTIMOS[[#This Row],[Contenedor]]="","",MARÍTIMOS[[#This Row],[Contenedor]]),"")</f>
        <v/>
      </c>
      <c r="Q779" s="2" t="str">
        <f>IFERROR(IF(MARÍTIMOS[[#This Row],[Puerto de Retiro]]="","",MARÍTIMOS[[#This Row],[Puerto de Retiro]]),"")</f>
        <v/>
      </c>
      <c r="R779" s="2" t="str">
        <f>IFERROR(IF(MARÍTIMOS[[#This Row],[Almacén de Retiro]]="","",MARÍTIMOS[[#This Row],[Almacén de Retiro]]),"")</f>
        <v/>
      </c>
      <c r="S779" s="11" t="str">
        <f>IFERROR(IF(MARÍTIMOS[[#This Row],[Etapa Retiro - Cita]]="","",MARÍTIMOS[[#This Row],[Etapa Retiro - Cita]]),"")</f>
        <v/>
      </c>
      <c r="T779" s="11" t="str">
        <f>IFERROR(IF(MARÍTIMOS[[#This Row],[Etapa Retiro - Llegada]]="","",MARÍTIMOS[[#This Row],[Etapa Retiro - Llegada]]),"")</f>
        <v/>
      </c>
      <c r="U779" s="11" t="str">
        <f>IFERROR(IF(MARÍTIMOS[[#This Row],[Etapa Retiro - Ingreso]]="","",MARÍTIMOS[[#This Row],[Etapa Retiro - Ingreso]]),"")</f>
        <v/>
      </c>
      <c r="V779" s="11" t="str">
        <f>IFERROR(IF(MARÍTIMOS[[#This Row],[Etapa Retiro - Atención]]="","",MARÍTIMOS[[#This Row],[Etapa Retiro - Atención]]),"")</f>
        <v/>
      </c>
      <c r="W779" s="11" t="str">
        <f>IFERROR(IF(MARÍTIMOS[[#This Row],[Etapa Retiro - Atención]]="","",MARÍTIMOS[[#This Row],[Etapa Retiro - Atención]]),"")</f>
        <v/>
      </c>
      <c r="X779" s="11" t="str">
        <f>IFERROR(IF(MARÍTIMOS[[#This Row],[Etapa Retiro - Inicio de Ruta]]="","",MARÍTIMOS[[#This Row],[Etapa Retiro - Inicio de Ruta]]),"")</f>
        <v/>
      </c>
      <c r="Y779" s="11" t="str">
        <f>IFERROR(IF(MARÍTIMOS[[#This Row],[Hora de Posicionamiento]]="","",MARÍTIMOS[[#This Row],[Fecha de Carga]]+MARÍTIMOS[[#This Row],[Hora de Posicionamiento]]),"")</f>
        <v/>
      </c>
      <c r="Z779" s="11" t="str">
        <f>IFERROR(IF(MARÍTIMOS[[#This Row],[Etapa Despacho - Llegada]]="","",MARÍTIMOS[[#This Row],[Etapa Despacho - Llegada]]),"")</f>
        <v/>
      </c>
      <c r="AA779" s="11" t="str">
        <f>IFERROR(IF(MARÍTIMOS[[#This Row],[Etapa Despacho - Registro]]="","",MARÍTIMOS[[#This Row],[Etapa Despacho - Registro]]),"")</f>
        <v/>
      </c>
      <c r="AB779" s="11" t="str">
        <f>IFERROR(IF(MARÍTIMOS[[#This Row],[Inspección Externa]]="","",MARÍTIMOS[[#This Row],[Inspección Externa]]),"")</f>
        <v/>
      </c>
      <c r="AC779" s="11" t="str">
        <f>IFERROR(IF(MARÍTIMOS[[#This Row],[Etapa Despacho - Inicio de Carga]]="","",MARÍTIMOS[[#This Row],[Etapa Despacho - Inicio de Carga]]),"")</f>
        <v/>
      </c>
      <c r="AD779" s="11" t="str">
        <f>IFERROR(IF(MARÍTIMOS[[#This Row],[Etapa Despacho - Mitad de Carga]]="","",MARÍTIMOS[[#This Row],[Etapa Despacho - Mitad de Carga]]),"")</f>
        <v/>
      </c>
      <c r="AE779" s="11" t="str">
        <f>IFERROR(IF(MARÍTIMOS[[#This Row],[Etapa Despacho - Fin de Carga]]="","",MARÍTIMOS[[#This Row],[Etapa Despacho - Fin de Carga]]),"")</f>
        <v/>
      </c>
      <c r="AF779" s="2" t="str">
        <f>IFERROR(IF(MARÍTIMOS[[#This Row],[Puerto de Embarque]]="","",MARÍTIMOS[[#This Row],[Puerto de Embarque]]),"")</f>
        <v/>
      </c>
      <c r="AG779" s="2" t="str">
        <f>IFERROR(IF(MARÍTIMOS[[#This Row],[Almacén de Ingreso]]="","",MARÍTIMOS[[#This Row],[Almacén de Ingreso]]),"")</f>
        <v/>
      </c>
      <c r="AH779" s="11" t="str">
        <f>IFERROR(IF(MARÍTIMOS[[#This Row],[Etapa Ingreso - Cita]]="","",MARÍTIMOS[[#This Row],[Etapa Ingreso - Cita]]),"")</f>
        <v/>
      </c>
      <c r="AI779" s="11" t="str">
        <f>IFERROR(IF(MARÍTIMOS[[#This Row],[Etapa Ingreso - Llegada]]="","",MARÍTIMOS[[#This Row],[Etapa Ingreso - Llegada]]),"")</f>
        <v/>
      </c>
      <c r="AJ779" s="11" t="str">
        <f>IFERROR(IF(MARÍTIMOS[[#This Row],[Etapa Ingreso - Ingeso]]="","",MARÍTIMOS[[#This Row],[Etapa Ingreso - Ingeso]]),"")</f>
        <v/>
      </c>
      <c r="AK779" s="11" t="str">
        <f>IFERROR(IF(MARÍTIMOS[[#This Row],[Etapa Ingreso - Atención]]="","",MARÍTIMOS[[#This Row],[Etapa Ingreso - Atención]]),"")</f>
        <v/>
      </c>
      <c r="AL779" s="11" t="str">
        <f>IFERROR(IF(MARÍTIMOS[[#This Row],[Etapa Ingreso - Salida]]="","",MARÍTIMOS[[#This Row],[Etapa Ingreso - Salida]]),"")</f>
        <v/>
      </c>
      <c r="AM779" s="2" t="str">
        <f>IFERROR(IF(MARÍTIMOS[[#This Row],[FCL]]="","",MARÍTIMOS[[#This Row],[FCL]]),"")</f>
        <v/>
      </c>
      <c r="AN7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79" s="4" t="str" cm="1">
        <f t="array" ref="AO7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79" s="5" t="str">
        <f>IFERROR(OLDBD[[#This Row],[Llegada a packing]]-OLDBD[[#This Row],[Inicio de Ruta]],"")</f>
        <v/>
      </c>
      <c r="AQ779" s="6" t="str">
        <f>IFERROR(OLDBD[[#This Row],[Inicio de Ruta]]-OLDBD[[#This Row],[Salida de almacén de retiro]],"")</f>
        <v/>
      </c>
      <c r="AR7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79" s="8" t="str" cm="1">
        <f t="array" ref="AS7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79" s="9" t="str">
        <f>IFERROR(OLDBD[[#This Row],[Ingreso Packing]]-OLDBD[[#This Row],[Registro en Packing]],"")</f>
        <v/>
      </c>
      <c r="AV779" s="9" t="str">
        <f>IFERROR(OLDBD[[#This Row],[Ingreso Packing]]-OLDBD[[#This Row],[Llegada a packing]],"")</f>
        <v/>
      </c>
      <c r="AW7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79" s="5" t="str">
        <f>IFERROR(OLDBD[[#This Row],[Llegada Almacén de Ingreso]]-OLDBD[[#This Row],[Salida Packing]],"")</f>
        <v/>
      </c>
      <c r="AY779" s="4" t="str" cm="1">
        <f t="array" ref="AY7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79" s="43" t="s">
        <v>173</v>
      </c>
      <c r="BB779" s="47" t="str">
        <f>IFERROR(IF(MARÍTIMOS[[#This Row],[Estatus]]="","",MARÍTIMOS[[#This Row],[Estatus]]),"")</f>
        <v/>
      </c>
      <c r="BC779" s="43"/>
      <c r="BD779" s="46" t="str">
        <f>IFERROR(OLDBD[[#This Row],[Salida de almacén de retiro]]-OLDBD[[#This Row],[Ingreso Almacén de retiro]],"")</f>
        <v/>
      </c>
      <c r="BE779" s="46" t="str">
        <f>IFERROR(OLDBD[[#This Row],[Fin de Carga]]-OLDBD[[#This Row],[Inicio de Carga]],"")</f>
        <v/>
      </c>
    </row>
    <row r="780" spans="1:57" customFormat="1" hidden="1">
      <c r="A780" s="1"/>
      <c r="B780" s="1" t="str">
        <f>IFERROR(IF(MARÍTIMOS[[#This Row],[PP]]="","",MARÍTIMOS[[#This Row],[PP]]),"")</f>
        <v/>
      </c>
      <c r="C780" s="1" t="str">
        <f>IFERROR(IF(MARÍTIMOS[[#This Row],[Sede]]="","",MARÍTIMOS[[#This Row],[Sede]]),"")</f>
        <v/>
      </c>
      <c r="D780" s="1" t="str">
        <f>IFERROR(IF(MARÍTIMOS[[#This Row],[Instruction]]="","",MARÍTIMOS[[#This Row],[Instruction]]),"")</f>
        <v/>
      </c>
      <c r="E780" s="1"/>
      <c r="F780" s="2" t="str">
        <f>IFERROR(IF(MARÍTIMOS[[#This Row],[Transportista]]="","",MARÍTIMOS[[#This Row],[Transportista]]),"")</f>
        <v/>
      </c>
      <c r="G780" s="2" t="str">
        <f>IFERROR(IF(MARÍTIMOS[[#This Row],[Tercero]]="","",MARÍTIMOS[[#This Row],[Tercero]]),"")</f>
        <v/>
      </c>
      <c r="H780" s="2" t="str">
        <f>IFERROR(IF(MARÍTIMOS[[#This Row],[Razón Social]]="","",MARÍTIMOS[[#This Row],[Razón Social]]),"")</f>
        <v/>
      </c>
      <c r="I780" s="2" t="str">
        <f>IFERROR(IF(MARÍTIMOS[[#This Row],[RUC]]="","",MARÍTIMOS[[#This Row],[RUC]]),"")</f>
        <v/>
      </c>
      <c r="J780" s="2" t="str">
        <f>IFERROR(IF(MARÍTIMOS[[#This Row],[Placa Tracto]]="","",MARÍTIMOS[[#This Row],[Placa Tracto]]),"")</f>
        <v/>
      </c>
      <c r="K780" s="2" t="str">
        <f>IFERROR(IF(MARÍTIMOS[[#This Row],[Placa Carreta]]="","",MARÍTIMOS[[#This Row],[Placa Carreta]]),"")</f>
        <v/>
      </c>
      <c r="L780" s="44" t="str">
        <f>IFERROR(IF(MARÍTIMOS[[#This Row],[Conductor]]="","",MARÍTIMOS[[#This Row],[Conductor]]),"")</f>
        <v/>
      </c>
      <c r="M780" s="2" t="str">
        <f>IFERROR(IF(MARÍTIMOS[[#This Row],[Licencia]]="","",MARÍTIMOS[[#This Row],[Licencia]]),"")</f>
        <v/>
      </c>
      <c r="N780" s="2" t="str">
        <f>IFERROR(IF(MARÍTIMOS[[#This Row],[Número de Contacto]]="","",MARÍTIMOS[[#This Row],[Número de Contacto]]),"")</f>
        <v/>
      </c>
      <c r="O780" s="10" t="str">
        <f>IFERROR(IF(MARÍTIMOS[[#This Row],[Booking|AWB|CRT]]="","",MARÍTIMOS[[#This Row],[Booking|AWB|CRT]]),"")</f>
        <v/>
      </c>
      <c r="P780" s="2" t="str">
        <f>IFERROR(IF(MARÍTIMOS[[#This Row],[Contenedor]]="","",MARÍTIMOS[[#This Row],[Contenedor]]),"")</f>
        <v/>
      </c>
      <c r="Q780" s="2" t="str">
        <f>IFERROR(IF(MARÍTIMOS[[#This Row],[Puerto de Retiro]]="","",MARÍTIMOS[[#This Row],[Puerto de Retiro]]),"")</f>
        <v/>
      </c>
      <c r="R780" s="2" t="str">
        <f>IFERROR(IF(MARÍTIMOS[[#This Row],[Almacén de Retiro]]="","",MARÍTIMOS[[#This Row],[Almacén de Retiro]]),"")</f>
        <v/>
      </c>
      <c r="S780" s="11" t="str">
        <f>IFERROR(IF(MARÍTIMOS[[#This Row],[Etapa Retiro - Cita]]="","",MARÍTIMOS[[#This Row],[Etapa Retiro - Cita]]),"")</f>
        <v/>
      </c>
      <c r="T780" s="11" t="str">
        <f>IFERROR(IF(MARÍTIMOS[[#This Row],[Etapa Retiro - Llegada]]="","",MARÍTIMOS[[#This Row],[Etapa Retiro - Llegada]]),"")</f>
        <v/>
      </c>
      <c r="U780" s="11" t="str">
        <f>IFERROR(IF(MARÍTIMOS[[#This Row],[Etapa Retiro - Ingreso]]="","",MARÍTIMOS[[#This Row],[Etapa Retiro - Ingreso]]),"")</f>
        <v/>
      </c>
      <c r="V780" s="11" t="str">
        <f>IFERROR(IF(MARÍTIMOS[[#This Row],[Etapa Retiro - Atención]]="","",MARÍTIMOS[[#This Row],[Etapa Retiro - Atención]]),"")</f>
        <v/>
      </c>
      <c r="W780" s="11" t="str">
        <f>IFERROR(IF(MARÍTIMOS[[#This Row],[Etapa Retiro - Atención]]="","",MARÍTIMOS[[#This Row],[Etapa Retiro - Atención]]),"")</f>
        <v/>
      </c>
      <c r="X780" s="11" t="str">
        <f>IFERROR(IF(MARÍTIMOS[[#This Row],[Etapa Retiro - Inicio de Ruta]]="","",MARÍTIMOS[[#This Row],[Etapa Retiro - Inicio de Ruta]]),"")</f>
        <v/>
      </c>
      <c r="Y780" s="11" t="str">
        <f>IFERROR(IF(MARÍTIMOS[[#This Row],[Hora de Posicionamiento]]="","",MARÍTIMOS[[#This Row],[Fecha de Carga]]+MARÍTIMOS[[#This Row],[Hora de Posicionamiento]]),"")</f>
        <v/>
      </c>
      <c r="Z780" s="11" t="str">
        <f>IFERROR(IF(MARÍTIMOS[[#This Row],[Etapa Despacho - Llegada]]="","",MARÍTIMOS[[#This Row],[Etapa Despacho - Llegada]]),"")</f>
        <v/>
      </c>
      <c r="AA780" s="11" t="str">
        <f>IFERROR(IF(MARÍTIMOS[[#This Row],[Etapa Despacho - Registro]]="","",MARÍTIMOS[[#This Row],[Etapa Despacho - Registro]]),"")</f>
        <v/>
      </c>
      <c r="AB780" s="11" t="str">
        <f>IFERROR(IF(MARÍTIMOS[[#This Row],[Inspección Externa]]="","",MARÍTIMOS[[#This Row],[Inspección Externa]]),"")</f>
        <v/>
      </c>
      <c r="AC780" s="11" t="str">
        <f>IFERROR(IF(MARÍTIMOS[[#This Row],[Etapa Despacho - Inicio de Carga]]="","",MARÍTIMOS[[#This Row],[Etapa Despacho - Inicio de Carga]]),"")</f>
        <v/>
      </c>
      <c r="AD780" s="11" t="str">
        <f>IFERROR(IF(MARÍTIMOS[[#This Row],[Etapa Despacho - Mitad de Carga]]="","",MARÍTIMOS[[#This Row],[Etapa Despacho - Mitad de Carga]]),"")</f>
        <v/>
      </c>
      <c r="AE780" s="11" t="str">
        <f>IFERROR(IF(MARÍTIMOS[[#This Row],[Etapa Despacho - Fin de Carga]]="","",MARÍTIMOS[[#This Row],[Etapa Despacho - Fin de Carga]]),"")</f>
        <v/>
      </c>
      <c r="AF780" s="2" t="str">
        <f>IFERROR(IF(MARÍTIMOS[[#This Row],[Puerto de Embarque]]="","",MARÍTIMOS[[#This Row],[Puerto de Embarque]]),"")</f>
        <v/>
      </c>
      <c r="AG780" s="2" t="str">
        <f>IFERROR(IF(MARÍTIMOS[[#This Row],[Almacén de Ingreso]]="","",MARÍTIMOS[[#This Row],[Almacén de Ingreso]]),"")</f>
        <v/>
      </c>
      <c r="AH780" s="11" t="str">
        <f>IFERROR(IF(MARÍTIMOS[[#This Row],[Etapa Ingreso - Cita]]="","",MARÍTIMOS[[#This Row],[Etapa Ingreso - Cita]]),"")</f>
        <v/>
      </c>
      <c r="AI780" s="11" t="str">
        <f>IFERROR(IF(MARÍTIMOS[[#This Row],[Etapa Ingreso - Llegada]]="","",MARÍTIMOS[[#This Row],[Etapa Ingreso - Llegada]]),"")</f>
        <v/>
      </c>
      <c r="AJ780" s="11" t="str">
        <f>IFERROR(IF(MARÍTIMOS[[#This Row],[Etapa Ingreso - Ingeso]]="","",MARÍTIMOS[[#This Row],[Etapa Ingreso - Ingeso]]),"")</f>
        <v/>
      </c>
      <c r="AK780" s="11" t="str">
        <f>IFERROR(IF(MARÍTIMOS[[#This Row],[Etapa Ingreso - Atención]]="","",MARÍTIMOS[[#This Row],[Etapa Ingreso - Atención]]),"")</f>
        <v/>
      </c>
      <c r="AL780" s="11" t="str">
        <f>IFERROR(IF(MARÍTIMOS[[#This Row],[Etapa Ingreso - Salida]]="","",MARÍTIMOS[[#This Row],[Etapa Ingreso - Salida]]),"")</f>
        <v/>
      </c>
      <c r="AM780" s="2" t="str">
        <f>IFERROR(IF(MARÍTIMOS[[#This Row],[FCL]]="","",MARÍTIMOS[[#This Row],[FCL]]),"")</f>
        <v/>
      </c>
      <c r="AN7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0" s="4" t="str" cm="1">
        <f t="array" ref="AO7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0" s="5" t="str">
        <f>IFERROR(OLDBD[[#This Row],[Llegada a packing]]-OLDBD[[#This Row],[Inicio de Ruta]],"")</f>
        <v/>
      </c>
      <c r="AQ780" s="6" t="str">
        <f>IFERROR(OLDBD[[#This Row],[Inicio de Ruta]]-OLDBD[[#This Row],[Salida de almacén de retiro]],"")</f>
        <v/>
      </c>
      <c r="AR7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0" s="8" t="str" cm="1">
        <f t="array" ref="AS7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0" s="9" t="str">
        <f>IFERROR(OLDBD[[#This Row],[Ingreso Packing]]-OLDBD[[#This Row],[Registro en Packing]],"")</f>
        <v/>
      </c>
      <c r="AV780" s="9" t="str">
        <f>IFERROR(OLDBD[[#This Row],[Ingreso Packing]]-OLDBD[[#This Row],[Llegada a packing]],"")</f>
        <v/>
      </c>
      <c r="AW7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0" s="5" t="str">
        <f>IFERROR(OLDBD[[#This Row],[Llegada Almacén de Ingreso]]-OLDBD[[#This Row],[Salida Packing]],"")</f>
        <v/>
      </c>
      <c r="AY780" s="4" t="str" cm="1">
        <f t="array" ref="AY7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0" s="43" t="s">
        <v>173</v>
      </c>
      <c r="BB780" s="47" t="str">
        <f>IFERROR(IF(MARÍTIMOS[[#This Row],[Estatus]]="","",MARÍTIMOS[[#This Row],[Estatus]]),"")</f>
        <v/>
      </c>
      <c r="BC780" s="43"/>
      <c r="BD780" s="46" t="str">
        <f>IFERROR(OLDBD[[#This Row],[Salida de almacén de retiro]]-OLDBD[[#This Row],[Ingreso Almacén de retiro]],"")</f>
        <v/>
      </c>
      <c r="BE780" s="46" t="str">
        <f>IFERROR(OLDBD[[#This Row],[Fin de Carga]]-OLDBD[[#This Row],[Inicio de Carga]],"")</f>
        <v/>
      </c>
    </row>
    <row r="781" spans="1:57" customFormat="1" hidden="1">
      <c r="A781" s="1"/>
      <c r="B781" s="1" t="str">
        <f>IFERROR(IF(MARÍTIMOS[[#This Row],[PP]]="","",MARÍTIMOS[[#This Row],[PP]]),"")</f>
        <v/>
      </c>
      <c r="C781" s="1" t="str">
        <f>IFERROR(IF(MARÍTIMOS[[#This Row],[Sede]]="","",MARÍTIMOS[[#This Row],[Sede]]),"")</f>
        <v/>
      </c>
      <c r="D781" s="1" t="str">
        <f>IFERROR(IF(MARÍTIMOS[[#This Row],[Instruction]]="","",MARÍTIMOS[[#This Row],[Instruction]]),"")</f>
        <v/>
      </c>
      <c r="E781" s="1"/>
      <c r="F781" s="2" t="str">
        <f>IFERROR(IF(MARÍTIMOS[[#This Row],[Transportista]]="","",MARÍTIMOS[[#This Row],[Transportista]]),"")</f>
        <v/>
      </c>
      <c r="G781" s="2" t="str">
        <f>IFERROR(IF(MARÍTIMOS[[#This Row],[Tercero]]="","",MARÍTIMOS[[#This Row],[Tercero]]),"")</f>
        <v/>
      </c>
      <c r="H781" s="2" t="str">
        <f>IFERROR(IF(MARÍTIMOS[[#This Row],[Razón Social]]="","",MARÍTIMOS[[#This Row],[Razón Social]]),"")</f>
        <v/>
      </c>
      <c r="I781" s="2" t="str">
        <f>IFERROR(IF(MARÍTIMOS[[#This Row],[RUC]]="","",MARÍTIMOS[[#This Row],[RUC]]),"")</f>
        <v/>
      </c>
      <c r="J781" s="2" t="str">
        <f>IFERROR(IF(MARÍTIMOS[[#This Row],[Placa Tracto]]="","",MARÍTIMOS[[#This Row],[Placa Tracto]]),"")</f>
        <v/>
      </c>
      <c r="K781" s="2" t="str">
        <f>IFERROR(IF(MARÍTIMOS[[#This Row],[Placa Carreta]]="","",MARÍTIMOS[[#This Row],[Placa Carreta]]),"")</f>
        <v/>
      </c>
      <c r="L781" s="44" t="str">
        <f>IFERROR(IF(MARÍTIMOS[[#This Row],[Conductor]]="","",MARÍTIMOS[[#This Row],[Conductor]]),"")</f>
        <v/>
      </c>
      <c r="M781" s="2" t="str">
        <f>IFERROR(IF(MARÍTIMOS[[#This Row],[Licencia]]="","",MARÍTIMOS[[#This Row],[Licencia]]),"")</f>
        <v/>
      </c>
      <c r="N781" s="2" t="str">
        <f>IFERROR(IF(MARÍTIMOS[[#This Row],[Número de Contacto]]="","",MARÍTIMOS[[#This Row],[Número de Contacto]]),"")</f>
        <v/>
      </c>
      <c r="O781" s="10" t="str">
        <f>IFERROR(IF(MARÍTIMOS[[#This Row],[Booking|AWB|CRT]]="","",MARÍTIMOS[[#This Row],[Booking|AWB|CRT]]),"")</f>
        <v/>
      </c>
      <c r="P781" s="2" t="str">
        <f>IFERROR(IF(MARÍTIMOS[[#This Row],[Contenedor]]="","",MARÍTIMOS[[#This Row],[Contenedor]]),"")</f>
        <v/>
      </c>
      <c r="Q781" s="2" t="str">
        <f>IFERROR(IF(MARÍTIMOS[[#This Row],[Puerto de Retiro]]="","",MARÍTIMOS[[#This Row],[Puerto de Retiro]]),"")</f>
        <v/>
      </c>
      <c r="R781" s="2" t="str">
        <f>IFERROR(IF(MARÍTIMOS[[#This Row],[Almacén de Retiro]]="","",MARÍTIMOS[[#This Row],[Almacén de Retiro]]),"")</f>
        <v/>
      </c>
      <c r="S781" s="11" t="str">
        <f>IFERROR(IF(MARÍTIMOS[[#This Row],[Etapa Retiro - Cita]]="","",MARÍTIMOS[[#This Row],[Etapa Retiro - Cita]]),"")</f>
        <v/>
      </c>
      <c r="T781" s="11" t="str">
        <f>IFERROR(IF(MARÍTIMOS[[#This Row],[Etapa Retiro - Llegada]]="","",MARÍTIMOS[[#This Row],[Etapa Retiro - Llegada]]),"")</f>
        <v/>
      </c>
      <c r="U781" s="11" t="str">
        <f>IFERROR(IF(MARÍTIMOS[[#This Row],[Etapa Retiro - Ingreso]]="","",MARÍTIMOS[[#This Row],[Etapa Retiro - Ingreso]]),"")</f>
        <v/>
      </c>
      <c r="V781" s="11" t="str">
        <f>IFERROR(IF(MARÍTIMOS[[#This Row],[Etapa Retiro - Atención]]="","",MARÍTIMOS[[#This Row],[Etapa Retiro - Atención]]),"")</f>
        <v/>
      </c>
      <c r="W781" s="11" t="str">
        <f>IFERROR(IF(MARÍTIMOS[[#This Row],[Etapa Retiro - Atención]]="","",MARÍTIMOS[[#This Row],[Etapa Retiro - Atención]]),"")</f>
        <v/>
      </c>
      <c r="X781" s="11" t="str">
        <f>IFERROR(IF(MARÍTIMOS[[#This Row],[Etapa Retiro - Inicio de Ruta]]="","",MARÍTIMOS[[#This Row],[Etapa Retiro - Inicio de Ruta]]),"")</f>
        <v/>
      </c>
      <c r="Y781" s="11" t="str">
        <f>IFERROR(IF(MARÍTIMOS[[#This Row],[Hora de Posicionamiento]]="","",MARÍTIMOS[[#This Row],[Fecha de Carga]]+MARÍTIMOS[[#This Row],[Hora de Posicionamiento]]),"")</f>
        <v/>
      </c>
      <c r="Z781" s="11" t="str">
        <f>IFERROR(IF(MARÍTIMOS[[#This Row],[Etapa Despacho - Llegada]]="","",MARÍTIMOS[[#This Row],[Etapa Despacho - Llegada]]),"")</f>
        <v/>
      </c>
      <c r="AA781" s="11" t="str">
        <f>IFERROR(IF(MARÍTIMOS[[#This Row],[Etapa Despacho - Registro]]="","",MARÍTIMOS[[#This Row],[Etapa Despacho - Registro]]),"")</f>
        <v/>
      </c>
      <c r="AB781" s="11" t="str">
        <f>IFERROR(IF(MARÍTIMOS[[#This Row],[Inspección Externa]]="","",MARÍTIMOS[[#This Row],[Inspección Externa]]),"")</f>
        <v/>
      </c>
      <c r="AC781" s="11" t="str">
        <f>IFERROR(IF(MARÍTIMOS[[#This Row],[Etapa Despacho - Inicio de Carga]]="","",MARÍTIMOS[[#This Row],[Etapa Despacho - Inicio de Carga]]),"")</f>
        <v/>
      </c>
      <c r="AD781" s="11" t="str">
        <f>IFERROR(IF(MARÍTIMOS[[#This Row],[Etapa Despacho - Mitad de Carga]]="","",MARÍTIMOS[[#This Row],[Etapa Despacho - Mitad de Carga]]),"")</f>
        <v/>
      </c>
      <c r="AE781" s="11" t="str">
        <f>IFERROR(IF(MARÍTIMOS[[#This Row],[Etapa Despacho - Fin de Carga]]="","",MARÍTIMOS[[#This Row],[Etapa Despacho - Fin de Carga]]),"")</f>
        <v/>
      </c>
      <c r="AF781" s="2" t="str">
        <f>IFERROR(IF(MARÍTIMOS[[#This Row],[Puerto de Embarque]]="","",MARÍTIMOS[[#This Row],[Puerto de Embarque]]),"")</f>
        <v/>
      </c>
      <c r="AG781" s="2" t="str">
        <f>IFERROR(IF(MARÍTIMOS[[#This Row],[Almacén de Ingreso]]="","",MARÍTIMOS[[#This Row],[Almacén de Ingreso]]),"")</f>
        <v/>
      </c>
      <c r="AH781" s="11" t="str">
        <f>IFERROR(IF(MARÍTIMOS[[#This Row],[Etapa Ingreso - Cita]]="","",MARÍTIMOS[[#This Row],[Etapa Ingreso - Cita]]),"")</f>
        <v/>
      </c>
      <c r="AI781" s="11" t="str">
        <f>IFERROR(IF(MARÍTIMOS[[#This Row],[Etapa Ingreso - Llegada]]="","",MARÍTIMOS[[#This Row],[Etapa Ingreso - Llegada]]),"")</f>
        <v/>
      </c>
      <c r="AJ781" s="11" t="str">
        <f>IFERROR(IF(MARÍTIMOS[[#This Row],[Etapa Ingreso - Ingeso]]="","",MARÍTIMOS[[#This Row],[Etapa Ingreso - Ingeso]]),"")</f>
        <v/>
      </c>
      <c r="AK781" s="11" t="str">
        <f>IFERROR(IF(MARÍTIMOS[[#This Row],[Etapa Ingreso - Atención]]="","",MARÍTIMOS[[#This Row],[Etapa Ingreso - Atención]]),"")</f>
        <v/>
      </c>
      <c r="AL781" s="11" t="str">
        <f>IFERROR(IF(MARÍTIMOS[[#This Row],[Etapa Ingreso - Salida]]="","",MARÍTIMOS[[#This Row],[Etapa Ingreso - Salida]]),"")</f>
        <v/>
      </c>
      <c r="AM781" s="2" t="str">
        <f>IFERROR(IF(MARÍTIMOS[[#This Row],[FCL]]="","",MARÍTIMOS[[#This Row],[FCL]]),"")</f>
        <v/>
      </c>
      <c r="AN7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1" s="4" t="str" cm="1">
        <f t="array" ref="AO7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1" s="5" t="str">
        <f>IFERROR(OLDBD[[#This Row],[Llegada a packing]]-OLDBD[[#This Row],[Inicio de Ruta]],"")</f>
        <v/>
      </c>
      <c r="AQ781" s="6" t="str">
        <f>IFERROR(OLDBD[[#This Row],[Inicio de Ruta]]-OLDBD[[#This Row],[Salida de almacén de retiro]],"")</f>
        <v/>
      </c>
      <c r="AR7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1" s="8" t="str" cm="1">
        <f t="array" ref="AS7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1" s="9" t="str">
        <f>IFERROR(OLDBD[[#This Row],[Ingreso Packing]]-OLDBD[[#This Row],[Registro en Packing]],"")</f>
        <v/>
      </c>
      <c r="AV781" s="9" t="str">
        <f>IFERROR(OLDBD[[#This Row],[Ingreso Packing]]-OLDBD[[#This Row],[Llegada a packing]],"")</f>
        <v/>
      </c>
      <c r="AW7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1" s="5" t="str">
        <f>IFERROR(OLDBD[[#This Row],[Llegada Almacén de Ingreso]]-OLDBD[[#This Row],[Salida Packing]],"")</f>
        <v/>
      </c>
      <c r="AY781" s="4" t="str" cm="1">
        <f t="array" ref="AY7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1" s="43" t="s">
        <v>173</v>
      </c>
      <c r="BB781" s="47" t="str">
        <f>IFERROR(IF(MARÍTIMOS[[#This Row],[Estatus]]="","",MARÍTIMOS[[#This Row],[Estatus]]),"")</f>
        <v/>
      </c>
      <c r="BC781" s="43"/>
      <c r="BD781" s="46" t="str">
        <f>IFERROR(OLDBD[[#This Row],[Salida de almacén de retiro]]-OLDBD[[#This Row],[Ingreso Almacén de retiro]],"")</f>
        <v/>
      </c>
      <c r="BE781" s="46" t="str">
        <f>IFERROR(OLDBD[[#This Row],[Fin de Carga]]-OLDBD[[#This Row],[Inicio de Carga]],"")</f>
        <v/>
      </c>
    </row>
    <row r="782" spans="1:57" customFormat="1" hidden="1">
      <c r="A782" s="1"/>
      <c r="B782" s="1" t="str">
        <f>IFERROR(IF(MARÍTIMOS[[#This Row],[PP]]="","",MARÍTIMOS[[#This Row],[PP]]),"")</f>
        <v/>
      </c>
      <c r="C782" s="1" t="str">
        <f>IFERROR(IF(MARÍTIMOS[[#This Row],[Sede]]="","",MARÍTIMOS[[#This Row],[Sede]]),"")</f>
        <v/>
      </c>
      <c r="D782" s="1" t="str">
        <f>IFERROR(IF(MARÍTIMOS[[#This Row],[Instruction]]="","",MARÍTIMOS[[#This Row],[Instruction]]),"")</f>
        <v/>
      </c>
      <c r="E782" s="1"/>
      <c r="F782" s="2" t="str">
        <f>IFERROR(IF(MARÍTIMOS[[#This Row],[Transportista]]="","",MARÍTIMOS[[#This Row],[Transportista]]),"")</f>
        <v/>
      </c>
      <c r="G782" s="2" t="str">
        <f>IFERROR(IF(MARÍTIMOS[[#This Row],[Tercero]]="","",MARÍTIMOS[[#This Row],[Tercero]]),"")</f>
        <v/>
      </c>
      <c r="H782" s="2" t="str">
        <f>IFERROR(IF(MARÍTIMOS[[#This Row],[Razón Social]]="","",MARÍTIMOS[[#This Row],[Razón Social]]),"")</f>
        <v/>
      </c>
      <c r="I782" s="2" t="str">
        <f>IFERROR(IF(MARÍTIMOS[[#This Row],[RUC]]="","",MARÍTIMOS[[#This Row],[RUC]]),"")</f>
        <v/>
      </c>
      <c r="J782" s="2" t="str">
        <f>IFERROR(IF(MARÍTIMOS[[#This Row],[Placa Tracto]]="","",MARÍTIMOS[[#This Row],[Placa Tracto]]),"")</f>
        <v/>
      </c>
      <c r="K782" s="2" t="str">
        <f>IFERROR(IF(MARÍTIMOS[[#This Row],[Placa Carreta]]="","",MARÍTIMOS[[#This Row],[Placa Carreta]]),"")</f>
        <v/>
      </c>
      <c r="L782" s="44" t="str">
        <f>IFERROR(IF(MARÍTIMOS[[#This Row],[Conductor]]="","",MARÍTIMOS[[#This Row],[Conductor]]),"")</f>
        <v/>
      </c>
      <c r="M782" s="2" t="str">
        <f>IFERROR(IF(MARÍTIMOS[[#This Row],[Licencia]]="","",MARÍTIMOS[[#This Row],[Licencia]]),"")</f>
        <v/>
      </c>
      <c r="N782" s="2" t="str">
        <f>IFERROR(IF(MARÍTIMOS[[#This Row],[Número de Contacto]]="","",MARÍTIMOS[[#This Row],[Número de Contacto]]),"")</f>
        <v/>
      </c>
      <c r="O782" s="10" t="str">
        <f>IFERROR(IF(MARÍTIMOS[[#This Row],[Booking|AWB|CRT]]="","",MARÍTIMOS[[#This Row],[Booking|AWB|CRT]]),"")</f>
        <v/>
      </c>
      <c r="P782" s="2" t="str">
        <f>IFERROR(IF(MARÍTIMOS[[#This Row],[Contenedor]]="","",MARÍTIMOS[[#This Row],[Contenedor]]),"")</f>
        <v/>
      </c>
      <c r="Q782" s="2" t="str">
        <f>IFERROR(IF(MARÍTIMOS[[#This Row],[Puerto de Retiro]]="","",MARÍTIMOS[[#This Row],[Puerto de Retiro]]),"")</f>
        <v/>
      </c>
      <c r="R782" s="2" t="str">
        <f>IFERROR(IF(MARÍTIMOS[[#This Row],[Almacén de Retiro]]="","",MARÍTIMOS[[#This Row],[Almacén de Retiro]]),"")</f>
        <v/>
      </c>
      <c r="S782" s="11" t="str">
        <f>IFERROR(IF(MARÍTIMOS[[#This Row],[Etapa Retiro - Cita]]="","",MARÍTIMOS[[#This Row],[Etapa Retiro - Cita]]),"")</f>
        <v/>
      </c>
      <c r="T782" s="11" t="str">
        <f>IFERROR(IF(MARÍTIMOS[[#This Row],[Etapa Retiro - Llegada]]="","",MARÍTIMOS[[#This Row],[Etapa Retiro - Llegada]]),"")</f>
        <v/>
      </c>
      <c r="U782" s="11" t="str">
        <f>IFERROR(IF(MARÍTIMOS[[#This Row],[Etapa Retiro - Ingreso]]="","",MARÍTIMOS[[#This Row],[Etapa Retiro - Ingreso]]),"")</f>
        <v/>
      </c>
      <c r="V782" s="11" t="str">
        <f>IFERROR(IF(MARÍTIMOS[[#This Row],[Etapa Retiro - Atención]]="","",MARÍTIMOS[[#This Row],[Etapa Retiro - Atención]]),"")</f>
        <v/>
      </c>
      <c r="W782" s="11" t="str">
        <f>IFERROR(IF(MARÍTIMOS[[#This Row],[Etapa Retiro - Atención]]="","",MARÍTIMOS[[#This Row],[Etapa Retiro - Atención]]),"")</f>
        <v/>
      </c>
      <c r="X782" s="11" t="str">
        <f>IFERROR(IF(MARÍTIMOS[[#This Row],[Etapa Retiro - Inicio de Ruta]]="","",MARÍTIMOS[[#This Row],[Etapa Retiro - Inicio de Ruta]]),"")</f>
        <v/>
      </c>
      <c r="Y782" s="11" t="str">
        <f>IFERROR(IF(MARÍTIMOS[[#This Row],[Hora de Posicionamiento]]="","",MARÍTIMOS[[#This Row],[Fecha de Carga]]+MARÍTIMOS[[#This Row],[Hora de Posicionamiento]]),"")</f>
        <v/>
      </c>
      <c r="Z782" s="11" t="str">
        <f>IFERROR(IF(MARÍTIMOS[[#This Row],[Etapa Despacho - Llegada]]="","",MARÍTIMOS[[#This Row],[Etapa Despacho - Llegada]]),"")</f>
        <v/>
      </c>
      <c r="AA782" s="11" t="str">
        <f>IFERROR(IF(MARÍTIMOS[[#This Row],[Etapa Despacho - Registro]]="","",MARÍTIMOS[[#This Row],[Etapa Despacho - Registro]]),"")</f>
        <v/>
      </c>
      <c r="AB782" s="11" t="str">
        <f>IFERROR(IF(MARÍTIMOS[[#This Row],[Inspección Externa]]="","",MARÍTIMOS[[#This Row],[Inspección Externa]]),"")</f>
        <v/>
      </c>
      <c r="AC782" s="11" t="str">
        <f>IFERROR(IF(MARÍTIMOS[[#This Row],[Etapa Despacho - Inicio de Carga]]="","",MARÍTIMOS[[#This Row],[Etapa Despacho - Inicio de Carga]]),"")</f>
        <v/>
      </c>
      <c r="AD782" s="11" t="str">
        <f>IFERROR(IF(MARÍTIMOS[[#This Row],[Etapa Despacho - Mitad de Carga]]="","",MARÍTIMOS[[#This Row],[Etapa Despacho - Mitad de Carga]]),"")</f>
        <v/>
      </c>
      <c r="AE782" s="11" t="str">
        <f>IFERROR(IF(MARÍTIMOS[[#This Row],[Etapa Despacho - Fin de Carga]]="","",MARÍTIMOS[[#This Row],[Etapa Despacho - Fin de Carga]]),"")</f>
        <v/>
      </c>
      <c r="AF782" s="2" t="str">
        <f>IFERROR(IF(MARÍTIMOS[[#This Row],[Puerto de Embarque]]="","",MARÍTIMOS[[#This Row],[Puerto de Embarque]]),"")</f>
        <v/>
      </c>
      <c r="AG782" s="2" t="str">
        <f>IFERROR(IF(MARÍTIMOS[[#This Row],[Almacén de Ingreso]]="","",MARÍTIMOS[[#This Row],[Almacén de Ingreso]]),"")</f>
        <v/>
      </c>
      <c r="AH782" s="11" t="str">
        <f>IFERROR(IF(MARÍTIMOS[[#This Row],[Etapa Ingreso - Cita]]="","",MARÍTIMOS[[#This Row],[Etapa Ingreso - Cita]]),"")</f>
        <v/>
      </c>
      <c r="AI782" s="11" t="str">
        <f>IFERROR(IF(MARÍTIMOS[[#This Row],[Etapa Ingreso - Llegada]]="","",MARÍTIMOS[[#This Row],[Etapa Ingreso - Llegada]]),"")</f>
        <v/>
      </c>
      <c r="AJ782" s="11" t="str">
        <f>IFERROR(IF(MARÍTIMOS[[#This Row],[Etapa Ingreso - Ingeso]]="","",MARÍTIMOS[[#This Row],[Etapa Ingreso - Ingeso]]),"")</f>
        <v/>
      </c>
      <c r="AK782" s="11" t="str">
        <f>IFERROR(IF(MARÍTIMOS[[#This Row],[Etapa Ingreso - Atención]]="","",MARÍTIMOS[[#This Row],[Etapa Ingreso - Atención]]),"")</f>
        <v/>
      </c>
      <c r="AL782" s="11" t="str">
        <f>IFERROR(IF(MARÍTIMOS[[#This Row],[Etapa Ingreso - Salida]]="","",MARÍTIMOS[[#This Row],[Etapa Ingreso - Salida]]),"")</f>
        <v/>
      </c>
      <c r="AM782" s="2" t="str">
        <f>IFERROR(IF(MARÍTIMOS[[#This Row],[FCL]]="","",MARÍTIMOS[[#This Row],[FCL]]),"")</f>
        <v/>
      </c>
      <c r="AN7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2" s="4" t="str" cm="1">
        <f t="array" ref="AO7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2" s="5" t="str">
        <f>IFERROR(OLDBD[[#This Row],[Llegada a packing]]-OLDBD[[#This Row],[Inicio de Ruta]],"")</f>
        <v/>
      </c>
      <c r="AQ782" s="6" t="str">
        <f>IFERROR(OLDBD[[#This Row],[Inicio de Ruta]]-OLDBD[[#This Row],[Salida de almacén de retiro]],"")</f>
        <v/>
      </c>
      <c r="AR7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2" s="8" t="str" cm="1">
        <f t="array" ref="AS7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2" s="9" t="str">
        <f>IFERROR(OLDBD[[#This Row],[Ingreso Packing]]-OLDBD[[#This Row],[Registro en Packing]],"")</f>
        <v/>
      </c>
      <c r="AV782" s="9" t="str">
        <f>IFERROR(OLDBD[[#This Row],[Ingreso Packing]]-OLDBD[[#This Row],[Llegada a packing]],"")</f>
        <v/>
      </c>
      <c r="AW7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2" s="5" t="str">
        <f>IFERROR(OLDBD[[#This Row],[Llegada Almacén de Ingreso]]-OLDBD[[#This Row],[Salida Packing]],"")</f>
        <v/>
      </c>
      <c r="AY782" s="4" t="str" cm="1">
        <f t="array" ref="AY7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2" s="43" t="s">
        <v>173</v>
      </c>
      <c r="BB782" s="47" t="str">
        <f>IFERROR(IF(MARÍTIMOS[[#This Row],[Estatus]]="","",MARÍTIMOS[[#This Row],[Estatus]]),"")</f>
        <v/>
      </c>
      <c r="BC782" s="43"/>
      <c r="BD782" s="46" t="str">
        <f>IFERROR(OLDBD[[#This Row],[Salida de almacén de retiro]]-OLDBD[[#This Row],[Ingreso Almacén de retiro]],"")</f>
        <v/>
      </c>
      <c r="BE782" s="46" t="str">
        <f>IFERROR(OLDBD[[#This Row],[Fin de Carga]]-OLDBD[[#This Row],[Inicio de Carga]],"")</f>
        <v/>
      </c>
    </row>
    <row r="783" spans="1:57" customFormat="1" hidden="1">
      <c r="A783" s="1"/>
      <c r="B783" s="1" t="str">
        <f>IFERROR(IF(MARÍTIMOS[[#This Row],[PP]]="","",MARÍTIMOS[[#This Row],[PP]]),"")</f>
        <v/>
      </c>
      <c r="C783" s="1" t="str">
        <f>IFERROR(IF(MARÍTIMOS[[#This Row],[Sede]]="","",MARÍTIMOS[[#This Row],[Sede]]),"")</f>
        <v/>
      </c>
      <c r="D783" s="1" t="str">
        <f>IFERROR(IF(MARÍTIMOS[[#This Row],[Instruction]]="","",MARÍTIMOS[[#This Row],[Instruction]]),"")</f>
        <v/>
      </c>
      <c r="E783" s="1"/>
      <c r="F783" s="2" t="str">
        <f>IFERROR(IF(MARÍTIMOS[[#This Row],[Transportista]]="","",MARÍTIMOS[[#This Row],[Transportista]]),"")</f>
        <v/>
      </c>
      <c r="G783" s="2" t="str">
        <f>IFERROR(IF(MARÍTIMOS[[#This Row],[Tercero]]="","",MARÍTIMOS[[#This Row],[Tercero]]),"")</f>
        <v/>
      </c>
      <c r="H783" s="2" t="str">
        <f>IFERROR(IF(MARÍTIMOS[[#This Row],[Razón Social]]="","",MARÍTIMOS[[#This Row],[Razón Social]]),"")</f>
        <v/>
      </c>
      <c r="I783" s="2" t="str">
        <f>IFERROR(IF(MARÍTIMOS[[#This Row],[RUC]]="","",MARÍTIMOS[[#This Row],[RUC]]),"")</f>
        <v/>
      </c>
      <c r="J783" s="2" t="str">
        <f>IFERROR(IF(MARÍTIMOS[[#This Row],[Placa Tracto]]="","",MARÍTIMOS[[#This Row],[Placa Tracto]]),"")</f>
        <v/>
      </c>
      <c r="K783" s="2" t="str">
        <f>IFERROR(IF(MARÍTIMOS[[#This Row],[Placa Carreta]]="","",MARÍTIMOS[[#This Row],[Placa Carreta]]),"")</f>
        <v/>
      </c>
      <c r="L783" s="44" t="str">
        <f>IFERROR(IF(MARÍTIMOS[[#This Row],[Conductor]]="","",MARÍTIMOS[[#This Row],[Conductor]]),"")</f>
        <v/>
      </c>
      <c r="M783" s="2" t="str">
        <f>IFERROR(IF(MARÍTIMOS[[#This Row],[Licencia]]="","",MARÍTIMOS[[#This Row],[Licencia]]),"")</f>
        <v/>
      </c>
      <c r="N783" s="2" t="str">
        <f>IFERROR(IF(MARÍTIMOS[[#This Row],[Número de Contacto]]="","",MARÍTIMOS[[#This Row],[Número de Contacto]]),"")</f>
        <v/>
      </c>
      <c r="O783" s="10" t="str">
        <f>IFERROR(IF(MARÍTIMOS[[#This Row],[Booking|AWB|CRT]]="","",MARÍTIMOS[[#This Row],[Booking|AWB|CRT]]),"")</f>
        <v/>
      </c>
      <c r="P783" s="2" t="str">
        <f>IFERROR(IF(MARÍTIMOS[[#This Row],[Contenedor]]="","",MARÍTIMOS[[#This Row],[Contenedor]]),"")</f>
        <v/>
      </c>
      <c r="Q783" s="2" t="str">
        <f>IFERROR(IF(MARÍTIMOS[[#This Row],[Puerto de Retiro]]="","",MARÍTIMOS[[#This Row],[Puerto de Retiro]]),"")</f>
        <v/>
      </c>
      <c r="R783" s="2" t="str">
        <f>IFERROR(IF(MARÍTIMOS[[#This Row],[Almacén de Retiro]]="","",MARÍTIMOS[[#This Row],[Almacén de Retiro]]),"")</f>
        <v/>
      </c>
      <c r="S783" s="11" t="str">
        <f>IFERROR(IF(MARÍTIMOS[[#This Row],[Etapa Retiro - Cita]]="","",MARÍTIMOS[[#This Row],[Etapa Retiro - Cita]]),"")</f>
        <v/>
      </c>
      <c r="T783" s="11" t="str">
        <f>IFERROR(IF(MARÍTIMOS[[#This Row],[Etapa Retiro - Llegada]]="","",MARÍTIMOS[[#This Row],[Etapa Retiro - Llegada]]),"")</f>
        <v/>
      </c>
      <c r="U783" s="11" t="str">
        <f>IFERROR(IF(MARÍTIMOS[[#This Row],[Etapa Retiro - Ingreso]]="","",MARÍTIMOS[[#This Row],[Etapa Retiro - Ingreso]]),"")</f>
        <v/>
      </c>
      <c r="V783" s="11" t="str">
        <f>IFERROR(IF(MARÍTIMOS[[#This Row],[Etapa Retiro - Atención]]="","",MARÍTIMOS[[#This Row],[Etapa Retiro - Atención]]),"")</f>
        <v/>
      </c>
      <c r="W783" s="11" t="str">
        <f>IFERROR(IF(MARÍTIMOS[[#This Row],[Etapa Retiro - Atención]]="","",MARÍTIMOS[[#This Row],[Etapa Retiro - Atención]]),"")</f>
        <v/>
      </c>
      <c r="X783" s="11" t="str">
        <f>IFERROR(IF(MARÍTIMOS[[#This Row],[Etapa Retiro - Inicio de Ruta]]="","",MARÍTIMOS[[#This Row],[Etapa Retiro - Inicio de Ruta]]),"")</f>
        <v/>
      </c>
      <c r="Y783" s="11" t="str">
        <f>IFERROR(IF(MARÍTIMOS[[#This Row],[Hora de Posicionamiento]]="","",MARÍTIMOS[[#This Row],[Fecha de Carga]]+MARÍTIMOS[[#This Row],[Hora de Posicionamiento]]),"")</f>
        <v/>
      </c>
      <c r="Z783" s="11" t="str">
        <f>IFERROR(IF(MARÍTIMOS[[#This Row],[Etapa Despacho - Llegada]]="","",MARÍTIMOS[[#This Row],[Etapa Despacho - Llegada]]),"")</f>
        <v/>
      </c>
      <c r="AA783" s="11" t="str">
        <f>IFERROR(IF(MARÍTIMOS[[#This Row],[Etapa Despacho - Registro]]="","",MARÍTIMOS[[#This Row],[Etapa Despacho - Registro]]),"")</f>
        <v/>
      </c>
      <c r="AB783" s="11" t="str">
        <f>IFERROR(IF(MARÍTIMOS[[#This Row],[Inspección Externa]]="","",MARÍTIMOS[[#This Row],[Inspección Externa]]),"")</f>
        <v/>
      </c>
      <c r="AC783" s="11" t="str">
        <f>IFERROR(IF(MARÍTIMOS[[#This Row],[Etapa Despacho - Inicio de Carga]]="","",MARÍTIMOS[[#This Row],[Etapa Despacho - Inicio de Carga]]),"")</f>
        <v/>
      </c>
      <c r="AD783" s="11" t="str">
        <f>IFERROR(IF(MARÍTIMOS[[#This Row],[Etapa Despacho - Mitad de Carga]]="","",MARÍTIMOS[[#This Row],[Etapa Despacho - Mitad de Carga]]),"")</f>
        <v/>
      </c>
      <c r="AE783" s="11" t="str">
        <f>IFERROR(IF(MARÍTIMOS[[#This Row],[Etapa Despacho - Fin de Carga]]="","",MARÍTIMOS[[#This Row],[Etapa Despacho - Fin de Carga]]),"")</f>
        <v/>
      </c>
      <c r="AF783" s="2" t="str">
        <f>IFERROR(IF(MARÍTIMOS[[#This Row],[Puerto de Embarque]]="","",MARÍTIMOS[[#This Row],[Puerto de Embarque]]),"")</f>
        <v/>
      </c>
      <c r="AG783" s="2" t="str">
        <f>IFERROR(IF(MARÍTIMOS[[#This Row],[Almacén de Ingreso]]="","",MARÍTIMOS[[#This Row],[Almacén de Ingreso]]),"")</f>
        <v/>
      </c>
      <c r="AH783" s="11" t="str">
        <f>IFERROR(IF(MARÍTIMOS[[#This Row],[Etapa Ingreso - Cita]]="","",MARÍTIMOS[[#This Row],[Etapa Ingreso - Cita]]),"")</f>
        <v/>
      </c>
      <c r="AI783" s="11" t="str">
        <f>IFERROR(IF(MARÍTIMOS[[#This Row],[Etapa Ingreso - Llegada]]="","",MARÍTIMOS[[#This Row],[Etapa Ingreso - Llegada]]),"")</f>
        <v/>
      </c>
      <c r="AJ783" s="11" t="str">
        <f>IFERROR(IF(MARÍTIMOS[[#This Row],[Etapa Ingreso - Ingeso]]="","",MARÍTIMOS[[#This Row],[Etapa Ingreso - Ingeso]]),"")</f>
        <v/>
      </c>
      <c r="AK783" s="11" t="str">
        <f>IFERROR(IF(MARÍTIMOS[[#This Row],[Etapa Ingreso - Atención]]="","",MARÍTIMOS[[#This Row],[Etapa Ingreso - Atención]]),"")</f>
        <v/>
      </c>
      <c r="AL783" s="11" t="str">
        <f>IFERROR(IF(MARÍTIMOS[[#This Row],[Etapa Ingreso - Salida]]="","",MARÍTIMOS[[#This Row],[Etapa Ingreso - Salida]]),"")</f>
        <v/>
      </c>
      <c r="AM783" s="2" t="str">
        <f>IFERROR(IF(MARÍTIMOS[[#This Row],[FCL]]="","",MARÍTIMOS[[#This Row],[FCL]]),"")</f>
        <v/>
      </c>
      <c r="AN7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3" s="4" t="str" cm="1">
        <f t="array" ref="AO7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3" s="5" t="str">
        <f>IFERROR(OLDBD[[#This Row],[Llegada a packing]]-OLDBD[[#This Row],[Inicio de Ruta]],"")</f>
        <v/>
      </c>
      <c r="AQ783" s="6" t="str">
        <f>IFERROR(OLDBD[[#This Row],[Inicio de Ruta]]-OLDBD[[#This Row],[Salida de almacén de retiro]],"")</f>
        <v/>
      </c>
      <c r="AR7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3" s="8" t="str" cm="1">
        <f t="array" ref="AS7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3" s="9" t="str">
        <f>IFERROR(OLDBD[[#This Row],[Ingreso Packing]]-OLDBD[[#This Row],[Registro en Packing]],"")</f>
        <v/>
      </c>
      <c r="AV783" s="9" t="str">
        <f>IFERROR(OLDBD[[#This Row],[Ingreso Packing]]-OLDBD[[#This Row],[Llegada a packing]],"")</f>
        <v/>
      </c>
      <c r="AW7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3" s="5" t="str">
        <f>IFERROR(OLDBD[[#This Row],[Llegada Almacén de Ingreso]]-OLDBD[[#This Row],[Salida Packing]],"")</f>
        <v/>
      </c>
      <c r="AY783" s="4" t="str" cm="1">
        <f t="array" ref="AY7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3" s="43" t="s">
        <v>173</v>
      </c>
      <c r="BB783" s="47" t="str">
        <f>IFERROR(IF(MARÍTIMOS[[#This Row],[Estatus]]="","",MARÍTIMOS[[#This Row],[Estatus]]),"")</f>
        <v/>
      </c>
      <c r="BC783" s="43"/>
      <c r="BD783" s="46" t="str">
        <f>IFERROR(OLDBD[[#This Row],[Salida de almacén de retiro]]-OLDBD[[#This Row],[Ingreso Almacén de retiro]],"")</f>
        <v/>
      </c>
      <c r="BE783" s="46" t="str">
        <f>IFERROR(OLDBD[[#This Row],[Fin de Carga]]-OLDBD[[#This Row],[Inicio de Carga]],"")</f>
        <v/>
      </c>
    </row>
    <row r="784" spans="1:57" customFormat="1" hidden="1">
      <c r="A784" s="1"/>
      <c r="B784" s="1" t="str">
        <f>IFERROR(IF(MARÍTIMOS[[#This Row],[PP]]="","",MARÍTIMOS[[#This Row],[PP]]),"")</f>
        <v/>
      </c>
      <c r="C784" s="1" t="str">
        <f>IFERROR(IF(MARÍTIMOS[[#This Row],[Sede]]="","",MARÍTIMOS[[#This Row],[Sede]]),"")</f>
        <v/>
      </c>
      <c r="D784" s="1" t="str">
        <f>IFERROR(IF(MARÍTIMOS[[#This Row],[Instruction]]="","",MARÍTIMOS[[#This Row],[Instruction]]),"")</f>
        <v/>
      </c>
      <c r="E784" s="1"/>
      <c r="F784" s="2" t="str">
        <f>IFERROR(IF(MARÍTIMOS[[#This Row],[Transportista]]="","",MARÍTIMOS[[#This Row],[Transportista]]),"")</f>
        <v/>
      </c>
      <c r="G784" s="2" t="str">
        <f>IFERROR(IF(MARÍTIMOS[[#This Row],[Tercero]]="","",MARÍTIMOS[[#This Row],[Tercero]]),"")</f>
        <v/>
      </c>
      <c r="H784" s="2" t="str">
        <f>IFERROR(IF(MARÍTIMOS[[#This Row],[Razón Social]]="","",MARÍTIMOS[[#This Row],[Razón Social]]),"")</f>
        <v/>
      </c>
      <c r="I784" s="2" t="str">
        <f>IFERROR(IF(MARÍTIMOS[[#This Row],[RUC]]="","",MARÍTIMOS[[#This Row],[RUC]]),"")</f>
        <v/>
      </c>
      <c r="J784" s="2" t="str">
        <f>IFERROR(IF(MARÍTIMOS[[#This Row],[Placa Tracto]]="","",MARÍTIMOS[[#This Row],[Placa Tracto]]),"")</f>
        <v/>
      </c>
      <c r="K784" s="2" t="str">
        <f>IFERROR(IF(MARÍTIMOS[[#This Row],[Placa Carreta]]="","",MARÍTIMOS[[#This Row],[Placa Carreta]]),"")</f>
        <v/>
      </c>
      <c r="L784" s="44" t="str">
        <f>IFERROR(IF(MARÍTIMOS[[#This Row],[Conductor]]="","",MARÍTIMOS[[#This Row],[Conductor]]),"")</f>
        <v/>
      </c>
      <c r="M784" s="2" t="str">
        <f>IFERROR(IF(MARÍTIMOS[[#This Row],[Licencia]]="","",MARÍTIMOS[[#This Row],[Licencia]]),"")</f>
        <v/>
      </c>
      <c r="N784" s="2" t="str">
        <f>IFERROR(IF(MARÍTIMOS[[#This Row],[Número de Contacto]]="","",MARÍTIMOS[[#This Row],[Número de Contacto]]),"")</f>
        <v/>
      </c>
      <c r="O784" s="10" t="str">
        <f>IFERROR(IF(MARÍTIMOS[[#This Row],[Booking|AWB|CRT]]="","",MARÍTIMOS[[#This Row],[Booking|AWB|CRT]]),"")</f>
        <v/>
      </c>
      <c r="P784" s="2" t="str">
        <f>IFERROR(IF(MARÍTIMOS[[#This Row],[Contenedor]]="","",MARÍTIMOS[[#This Row],[Contenedor]]),"")</f>
        <v/>
      </c>
      <c r="Q784" s="2" t="str">
        <f>IFERROR(IF(MARÍTIMOS[[#This Row],[Puerto de Retiro]]="","",MARÍTIMOS[[#This Row],[Puerto de Retiro]]),"")</f>
        <v/>
      </c>
      <c r="R784" s="2" t="str">
        <f>IFERROR(IF(MARÍTIMOS[[#This Row],[Almacén de Retiro]]="","",MARÍTIMOS[[#This Row],[Almacén de Retiro]]),"")</f>
        <v/>
      </c>
      <c r="S784" s="11" t="str">
        <f>IFERROR(IF(MARÍTIMOS[[#This Row],[Etapa Retiro - Cita]]="","",MARÍTIMOS[[#This Row],[Etapa Retiro - Cita]]),"")</f>
        <v/>
      </c>
      <c r="T784" s="11" t="str">
        <f>IFERROR(IF(MARÍTIMOS[[#This Row],[Etapa Retiro - Llegada]]="","",MARÍTIMOS[[#This Row],[Etapa Retiro - Llegada]]),"")</f>
        <v/>
      </c>
      <c r="U784" s="11" t="str">
        <f>IFERROR(IF(MARÍTIMOS[[#This Row],[Etapa Retiro - Ingreso]]="","",MARÍTIMOS[[#This Row],[Etapa Retiro - Ingreso]]),"")</f>
        <v/>
      </c>
      <c r="V784" s="11" t="str">
        <f>IFERROR(IF(MARÍTIMOS[[#This Row],[Etapa Retiro - Atención]]="","",MARÍTIMOS[[#This Row],[Etapa Retiro - Atención]]),"")</f>
        <v/>
      </c>
      <c r="W784" s="11" t="str">
        <f>IFERROR(IF(MARÍTIMOS[[#This Row],[Etapa Retiro - Atención]]="","",MARÍTIMOS[[#This Row],[Etapa Retiro - Atención]]),"")</f>
        <v/>
      </c>
      <c r="X784" s="11" t="str">
        <f>IFERROR(IF(MARÍTIMOS[[#This Row],[Etapa Retiro - Inicio de Ruta]]="","",MARÍTIMOS[[#This Row],[Etapa Retiro - Inicio de Ruta]]),"")</f>
        <v/>
      </c>
      <c r="Y784" s="11" t="str">
        <f>IFERROR(IF(MARÍTIMOS[[#This Row],[Hora de Posicionamiento]]="","",MARÍTIMOS[[#This Row],[Fecha de Carga]]+MARÍTIMOS[[#This Row],[Hora de Posicionamiento]]),"")</f>
        <v/>
      </c>
      <c r="Z784" s="11" t="str">
        <f>IFERROR(IF(MARÍTIMOS[[#This Row],[Etapa Despacho - Llegada]]="","",MARÍTIMOS[[#This Row],[Etapa Despacho - Llegada]]),"")</f>
        <v/>
      </c>
      <c r="AA784" s="11" t="str">
        <f>IFERROR(IF(MARÍTIMOS[[#This Row],[Etapa Despacho - Registro]]="","",MARÍTIMOS[[#This Row],[Etapa Despacho - Registro]]),"")</f>
        <v/>
      </c>
      <c r="AB784" s="11" t="str">
        <f>IFERROR(IF(MARÍTIMOS[[#This Row],[Inspección Externa]]="","",MARÍTIMOS[[#This Row],[Inspección Externa]]),"")</f>
        <v/>
      </c>
      <c r="AC784" s="11" t="str">
        <f>IFERROR(IF(MARÍTIMOS[[#This Row],[Etapa Despacho - Inicio de Carga]]="","",MARÍTIMOS[[#This Row],[Etapa Despacho - Inicio de Carga]]),"")</f>
        <v/>
      </c>
      <c r="AD784" s="11" t="str">
        <f>IFERROR(IF(MARÍTIMOS[[#This Row],[Etapa Despacho - Mitad de Carga]]="","",MARÍTIMOS[[#This Row],[Etapa Despacho - Mitad de Carga]]),"")</f>
        <v/>
      </c>
      <c r="AE784" s="11" t="str">
        <f>IFERROR(IF(MARÍTIMOS[[#This Row],[Etapa Despacho - Fin de Carga]]="","",MARÍTIMOS[[#This Row],[Etapa Despacho - Fin de Carga]]),"")</f>
        <v/>
      </c>
      <c r="AF784" s="2" t="str">
        <f>IFERROR(IF(MARÍTIMOS[[#This Row],[Puerto de Embarque]]="","",MARÍTIMOS[[#This Row],[Puerto de Embarque]]),"")</f>
        <v/>
      </c>
      <c r="AG784" s="2" t="str">
        <f>IFERROR(IF(MARÍTIMOS[[#This Row],[Almacén de Ingreso]]="","",MARÍTIMOS[[#This Row],[Almacén de Ingreso]]),"")</f>
        <v/>
      </c>
      <c r="AH784" s="11" t="str">
        <f>IFERROR(IF(MARÍTIMOS[[#This Row],[Etapa Ingreso - Cita]]="","",MARÍTIMOS[[#This Row],[Etapa Ingreso - Cita]]),"")</f>
        <v/>
      </c>
      <c r="AI784" s="11" t="str">
        <f>IFERROR(IF(MARÍTIMOS[[#This Row],[Etapa Ingreso - Llegada]]="","",MARÍTIMOS[[#This Row],[Etapa Ingreso - Llegada]]),"")</f>
        <v/>
      </c>
      <c r="AJ784" s="11" t="str">
        <f>IFERROR(IF(MARÍTIMOS[[#This Row],[Etapa Ingreso - Ingeso]]="","",MARÍTIMOS[[#This Row],[Etapa Ingreso - Ingeso]]),"")</f>
        <v/>
      </c>
      <c r="AK784" s="11" t="str">
        <f>IFERROR(IF(MARÍTIMOS[[#This Row],[Etapa Ingreso - Atención]]="","",MARÍTIMOS[[#This Row],[Etapa Ingreso - Atención]]),"")</f>
        <v/>
      </c>
      <c r="AL784" s="11" t="str">
        <f>IFERROR(IF(MARÍTIMOS[[#This Row],[Etapa Ingreso - Salida]]="","",MARÍTIMOS[[#This Row],[Etapa Ingreso - Salida]]),"")</f>
        <v/>
      </c>
      <c r="AM784" s="2" t="str">
        <f>IFERROR(IF(MARÍTIMOS[[#This Row],[FCL]]="","",MARÍTIMOS[[#This Row],[FCL]]),"")</f>
        <v/>
      </c>
      <c r="AN7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4" s="4" t="str" cm="1">
        <f t="array" ref="AO7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4" s="5" t="str">
        <f>IFERROR(OLDBD[[#This Row],[Llegada a packing]]-OLDBD[[#This Row],[Inicio de Ruta]],"")</f>
        <v/>
      </c>
      <c r="AQ784" s="6" t="str">
        <f>IFERROR(OLDBD[[#This Row],[Inicio de Ruta]]-OLDBD[[#This Row],[Salida de almacén de retiro]],"")</f>
        <v/>
      </c>
      <c r="AR7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4" s="8" t="str" cm="1">
        <f t="array" ref="AS7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4" s="9" t="str">
        <f>IFERROR(OLDBD[[#This Row],[Ingreso Packing]]-OLDBD[[#This Row],[Registro en Packing]],"")</f>
        <v/>
      </c>
      <c r="AV784" s="9" t="str">
        <f>IFERROR(OLDBD[[#This Row],[Ingreso Packing]]-OLDBD[[#This Row],[Llegada a packing]],"")</f>
        <v/>
      </c>
      <c r="AW7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4" s="5" t="str">
        <f>IFERROR(OLDBD[[#This Row],[Llegada Almacén de Ingreso]]-OLDBD[[#This Row],[Salida Packing]],"")</f>
        <v/>
      </c>
      <c r="AY784" s="4" t="str" cm="1">
        <f t="array" ref="AY7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4" s="43" t="s">
        <v>173</v>
      </c>
      <c r="BB784" s="47" t="str">
        <f>IFERROR(IF(MARÍTIMOS[[#This Row],[Estatus]]="","",MARÍTIMOS[[#This Row],[Estatus]]),"")</f>
        <v/>
      </c>
      <c r="BC784" s="43"/>
      <c r="BD784" s="46" t="str">
        <f>IFERROR(OLDBD[[#This Row],[Salida de almacén de retiro]]-OLDBD[[#This Row],[Ingreso Almacén de retiro]],"")</f>
        <v/>
      </c>
      <c r="BE784" s="46" t="str">
        <f>IFERROR(OLDBD[[#This Row],[Fin de Carga]]-OLDBD[[#This Row],[Inicio de Carga]],"")</f>
        <v/>
      </c>
    </row>
    <row r="785" spans="1:57" customFormat="1" hidden="1">
      <c r="A785" s="1"/>
      <c r="B785" s="1" t="str">
        <f>IFERROR(IF(MARÍTIMOS[[#This Row],[PP]]="","",MARÍTIMOS[[#This Row],[PP]]),"")</f>
        <v/>
      </c>
      <c r="C785" s="1" t="str">
        <f>IFERROR(IF(MARÍTIMOS[[#This Row],[Sede]]="","",MARÍTIMOS[[#This Row],[Sede]]),"")</f>
        <v/>
      </c>
      <c r="D785" s="1" t="str">
        <f>IFERROR(IF(MARÍTIMOS[[#This Row],[Instruction]]="","",MARÍTIMOS[[#This Row],[Instruction]]),"")</f>
        <v/>
      </c>
      <c r="E785" s="1"/>
      <c r="F785" s="2" t="str">
        <f>IFERROR(IF(MARÍTIMOS[[#This Row],[Transportista]]="","",MARÍTIMOS[[#This Row],[Transportista]]),"")</f>
        <v/>
      </c>
      <c r="G785" s="2" t="str">
        <f>IFERROR(IF(MARÍTIMOS[[#This Row],[Tercero]]="","",MARÍTIMOS[[#This Row],[Tercero]]),"")</f>
        <v/>
      </c>
      <c r="H785" s="2" t="str">
        <f>IFERROR(IF(MARÍTIMOS[[#This Row],[Razón Social]]="","",MARÍTIMOS[[#This Row],[Razón Social]]),"")</f>
        <v/>
      </c>
      <c r="I785" s="2" t="str">
        <f>IFERROR(IF(MARÍTIMOS[[#This Row],[RUC]]="","",MARÍTIMOS[[#This Row],[RUC]]),"")</f>
        <v/>
      </c>
      <c r="J785" s="2" t="str">
        <f>IFERROR(IF(MARÍTIMOS[[#This Row],[Placa Tracto]]="","",MARÍTIMOS[[#This Row],[Placa Tracto]]),"")</f>
        <v/>
      </c>
      <c r="K785" s="2" t="str">
        <f>IFERROR(IF(MARÍTIMOS[[#This Row],[Placa Carreta]]="","",MARÍTIMOS[[#This Row],[Placa Carreta]]),"")</f>
        <v/>
      </c>
      <c r="L785" s="44" t="str">
        <f>IFERROR(IF(MARÍTIMOS[[#This Row],[Conductor]]="","",MARÍTIMOS[[#This Row],[Conductor]]),"")</f>
        <v/>
      </c>
      <c r="M785" s="2" t="str">
        <f>IFERROR(IF(MARÍTIMOS[[#This Row],[Licencia]]="","",MARÍTIMOS[[#This Row],[Licencia]]),"")</f>
        <v/>
      </c>
      <c r="N785" s="2" t="str">
        <f>IFERROR(IF(MARÍTIMOS[[#This Row],[Número de Contacto]]="","",MARÍTIMOS[[#This Row],[Número de Contacto]]),"")</f>
        <v/>
      </c>
      <c r="O785" s="10" t="str">
        <f>IFERROR(IF(MARÍTIMOS[[#This Row],[Booking|AWB|CRT]]="","",MARÍTIMOS[[#This Row],[Booking|AWB|CRT]]),"")</f>
        <v/>
      </c>
      <c r="P785" s="2" t="str">
        <f>IFERROR(IF(MARÍTIMOS[[#This Row],[Contenedor]]="","",MARÍTIMOS[[#This Row],[Contenedor]]),"")</f>
        <v/>
      </c>
      <c r="Q785" s="2" t="str">
        <f>IFERROR(IF(MARÍTIMOS[[#This Row],[Puerto de Retiro]]="","",MARÍTIMOS[[#This Row],[Puerto de Retiro]]),"")</f>
        <v/>
      </c>
      <c r="R785" s="2" t="str">
        <f>IFERROR(IF(MARÍTIMOS[[#This Row],[Almacén de Retiro]]="","",MARÍTIMOS[[#This Row],[Almacén de Retiro]]),"")</f>
        <v/>
      </c>
      <c r="S785" s="11" t="str">
        <f>IFERROR(IF(MARÍTIMOS[[#This Row],[Etapa Retiro - Cita]]="","",MARÍTIMOS[[#This Row],[Etapa Retiro - Cita]]),"")</f>
        <v/>
      </c>
      <c r="T785" s="11" t="str">
        <f>IFERROR(IF(MARÍTIMOS[[#This Row],[Etapa Retiro - Llegada]]="","",MARÍTIMOS[[#This Row],[Etapa Retiro - Llegada]]),"")</f>
        <v/>
      </c>
      <c r="U785" s="11" t="str">
        <f>IFERROR(IF(MARÍTIMOS[[#This Row],[Etapa Retiro - Ingreso]]="","",MARÍTIMOS[[#This Row],[Etapa Retiro - Ingreso]]),"")</f>
        <v/>
      </c>
      <c r="V785" s="11" t="str">
        <f>IFERROR(IF(MARÍTIMOS[[#This Row],[Etapa Retiro - Atención]]="","",MARÍTIMOS[[#This Row],[Etapa Retiro - Atención]]),"")</f>
        <v/>
      </c>
      <c r="W785" s="11" t="str">
        <f>IFERROR(IF(MARÍTIMOS[[#This Row],[Etapa Retiro - Atención]]="","",MARÍTIMOS[[#This Row],[Etapa Retiro - Atención]]),"")</f>
        <v/>
      </c>
      <c r="X785" s="11" t="str">
        <f>IFERROR(IF(MARÍTIMOS[[#This Row],[Etapa Retiro - Inicio de Ruta]]="","",MARÍTIMOS[[#This Row],[Etapa Retiro - Inicio de Ruta]]),"")</f>
        <v/>
      </c>
      <c r="Y785" s="11" t="str">
        <f>IFERROR(IF(MARÍTIMOS[[#This Row],[Hora de Posicionamiento]]="","",MARÍTIMOS[[#This Row],[Fecha de Carga]]+MARÍTIMOS[[#This Row],[Hora de Posicionamiento]]),"")</f>
        <v/>
      </c>
      <c r="Z785" s="11" t="str">
        <f>IFERROR(IF(MARÍTIMOS[[#This Row],[Etapa Despacho - Llegada]]="","",MARÍTIMOS[[#This Row],[Etapa Despacho - Llegada]]),"")</f>
        <v/>
      </c>
      <c r="AA785" s="11" t="str">
        <f>IFERROR(IF(MARÍTIMOS[[#This Row],[Etapa Despacho - Registro]]="","",MARÍTIMOS[[#This Row],[Etapa Despacho - Registro]]),"")</f>
        <v/>
      </c>
      <c r="AB785" s="11" t="str">
        <f>IFERROR(IF(MARÍTIMOS[[#This Row],[Inspección Externa]]="","",MARÍTIMOS[[#This Row],[Inspección Externa]]),"")</f>
        <v/>
      </c>
      <c r="AC785" s="11" t="str">
        <f>IFERROR(IF(MARÍTIMOS[[#This Row],[Etapa Despacho - Inicio de Carga]]="","",MARÍTIMOS[[#This Row],[Etapa Despacho - Inicio de Carga]]),"")</f>
        <v/>
      </c>
      <c r="AD785" s="11" t="str">
        <f>IFERROR(IF(MARÍTIMOS[[#This Row],[Etapa Despacho - Mitad de Carga]]="","",MARÍTIMOS[[#This Row],[Etapa Despacho - Mitad de Carga]]),"")</f>
        <v/>
      </c>
      <c r="AE785" s="11" t="str">
        <f>IFERROR(IF(MARÍTIMOS[[#This Row],[Etapa Despacho - Fin de Carga]]="","",MARÍTIMOS[[#This Row],[Etapa Despacho - Fin de Carga]]),"")</f>
        <v/>
      </c>
      <c r="AF785" s="2" t="str">
        <f>IFERROR(IF(MARÍTIMOS[[#This Row],[Puerto de Embarque]]="","",MARÍTIMOS[[#This Row],[Puerto de Embarque]]),"")</f>
        <v/>
      </c>
      <c r="AG785" s="2" t="str">
        <f>IFERROR(IF(MARÍTIMOS[[#This Row],[Almacén de Ingreso]]="","",MARÍTIMOS[[#This Row],[Almacén de Ingreso]]),"")</f>
        <v/>
      </c>
      <c r="AH785" s="11" t="str">
        <f>IFERROR(IF(MARÍTIMOS[[#This Row],[Etapa Ingreso - Cita]]="","",MARÍTIMOS[[#This Row],[Etapa Ingreso - Cita]]),"")</f>
        <v/>
      </c>
      <c r="AI785" s="11" t="str">
        <f>IFERROR(IF(MARÍTIMOS[[#This Row],[Etapa Ingreso - Llegada]]="","",MARÍTIMOS[[#This Row],[Etapa Ingreso - Llegada]]),"")</f>
        <v/>
      </c>
      <c r="AJ785" s="11" t="str">
        <f>IFERROR(IF(MARÍTIMOS[[#This Row],[Etapa Ingreso - Ingeso]]="","",MARÍTIMOS[[#This Row],[Etapa Ingreso - Ingeso]]),"")</f>
        <v/>
      </c>
      <c r="AK785" s="11" t="str">
        <f>IFERROR(IF(MARÍTIMOS[[#This Row],[Etapa Ingreso - Atención]]="","",MARÍTIMOS[[#This Row],[Etapa Ingreso - Atención]]),"")</f>
        <v/>
      </c>
      <c r="AL785" s="11" t="str">
        <f>IFERROR(IF(MARÍTIMOS[[#This Row],[Etapa Ingreso - Salida]]="","",MARÍTIMOS[[#This Row],[Etapa Ingreso - Salida]]),"")</f>
        <v/>
      </c>
      <c r="AM785" s="2" t="str">
        <f>IFERROR(IF(MARÍTIMOS[[#This Row],[FCL]]="","",MARÍTIMOS[[#This Row],[FCL]]),"")</f>
        <v/>
      </c>
      <c r="AN7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5" s="4" t="str" cm="1">
        <f t="array" ref="AO7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5" s="5" t="str">
        <f>IFERROR(OLDBD[[#This Row],[Llegada a packing]]-OLDBD[[#This Row],[Inicio de Ruta]],"")</f>
        <v/>
      </c>
      <c r="AQ785" s="6" t="str">
        <f>IFERROR(OLDBD[[#This Row],[Inicio de Ruta]]-OLDBD[[#This Row],[Salida de almacén de retiro]],"")</f>
        <v/>
      </c>
      <c r="AR7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5" s="8" t="str" cm="1">
        <f t="array" ref="AS7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5" s="9" t="str">
        <f>IFERROR(OLDBD[[#This Row],[Ingreso Packing]]-OLDBD[[#This Row],[Registro en Packing]],"")</f>
        <v/>
      </c>
      <c r="AV785" s="9" t="str">
        <f>IFERROR(OLDBD[[#This Row],[Ingreso Packing]]-OLDBD[[#This Row],[Llegada a packing]],"")</f>
        <v/>
      </c>
      <c r="AW7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5" s="5" t="str">
        <f>IFERROR(OLDBD[[#This Row],[Llegada Almacén de Ingreso]]-OLDBD[[#This Row],[Salida Packing]],"")</f>
        <v/>
      </c>
      <c r="AY785" s="4" t="str" cm="1">
        <f t="array" ref="AY7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5" s="43" t="s">
        <v>173</v>
      </c>
      <c r="BB785" s="47" t="str">
        <f>IFERROR(IF(MARÍTIMOS[[#This Row],[Estatus]]="","",MARÍTIMOS[[#This Row],[Estatus]]),"")</f>
        <v/>
      </c>
      <c r="BC785" s="43"/>
      <c r="BD785" s="46" t="str">
        <f>IFERROR(OLDBD[[#This Row],[Salida de almacén de retiro]]-OLDBD[[#This Row],[Ingreso Almacén de retiro]],"")</f>
        <v/>
      </c>
      <c r="BE785" s="46" t="str">
        <f>IFERROR(OLDBD[[#This Row],[Fin de Carga]]-OLDBD[[#This Row],[Inicio de Carga]],"")</f>
        <v/>
      </c>
    </row>
    <row r="786" spans="1:57" customFormat="1" hidden="1">
      <c r="A786" s="1"/>
      <c r="B786" s="1" t="str">
        <f>IFERROR(IF(MARÍTIMOS[[#This Row],[PP]]="","",MARÍTIMOS[[#This Row],[PP]]),"")</f>
        <v/>
      </c>
      <c r="C786" s="1" t="str">
        <f>IFERROR(IF(MARÍTIMOS[[#This Row],[Sede]]="","",MARÍTIMOS[[#This Row],[Sede]]),"")</f>
        <v/>
      </c>
      <c r="D786" s="1" t="str">
        <f>IFERROR(IF(MARÍTIMOS[[#This Row],[Instruction]]="","",MARÍTIMOS[[#This Row],[Instruction]]),"")</f>
        <v/>
      </c>
      <c r="E786" s="1"/>
      <c r="F786" s="2" t="str">
        <f>IFERROR(IF(MARÍTIMOS[[#This Row],[Transportista]]="","",MARÍTIMOS[[#This Row],[Transportista]]),"")</f>
        <v/>
      </c>
      <c r="G786" s="2" t="str">
        <f>IFERROR(IF(MARÍTIMOS[[#This Row],[Tercero]]="","",MARÍTIMOS[[#This Row],[Tercero]]),"")</f>
        <v/>
      </c>
      <c r="H786" s="2" t="str">
        <f>IFERROR(IF(MARÍTIMOS[[#This Row],[Razón Social]]="","",MARÍTIMOS[[#This Row],[Razón Social]]),"")</f>
        <v/>
      </c>
      <c r="I786" s="2" t="str">
        <f>IFERROR(IF(MARÍTIMOS[[#This Row],[RUC]]="","",MARÍTIMOS[[#This Row],[RUC]]),"")</f>
        <v/>
      </c>
      <c r="J786" s="2" t="str">
        <f>IFERROR(IF(MARÍTIMOS[[#This Row],[Placa Tracto]]="","",MARÍTIMOS[[#This Row],[Placa Tracto]]),"")</f>
        <v/>
      </c>
      <c r="K786" s="2" t="str">
        <f>IFERROR(IF(MARÍTIMOS[[#This Row],[Placa Carreta]]="","",MARÍTIMOS[[#This Row],[Placa Carreta]]),"")</f>
        <v/>
      </c>
      <c r="L786" s="44" t="str">
        <f>IFERROR(IF(MARÍTIMOS[[#This Row],[Conductor]]="","",MARÍTIMOS[[#This Row],[Conductor]]),"")</f>
        <v/>
      </c>
      <c r="M786" s="2" t="str">
        <f>IFERROR(IF(MARÍTIMOS[[#This Row],[Licencia]]="","",MARÍTIMOS[[#This Row],[Licencia]]),"")</f>
        <v/>
      </c>
      <c r="N786" s="2" t="str">
        <f>IFERROR(IF(MARÍTIMOS[[#This Row],[Número de Contacto]]="","",MARÍTIMOS[[#This Row],[Número de Contacto]]),"")</f>
        <v/>
      </c>
      <c r="O786" s="10" t="str">
        <f>IFERROR(IF(MARÍTIMOS[[#This Row],[Booking|AWB|CRT]]="","",MARÍTIMOS[[#This Row],[Booking|AWB|CRT]]),"")</f>
        <v/>
      </c>
      <c r="P786" s="2" t="str">
        <f>IFERROR(IF(MARÍTIMOS[[#This Row],[Contenedor]]="","",MARÍTIMOS[[#This Row],[Contenedor]]),"")</f>
        <v/>
      </c>
      <c r="Q786" s="2" t="str">
        <f>IFERROR(IF(MARÍTIMOS[[#This Row],[Puerto de Retiro]]="","",MARÍTIMOS[[#This Row],[Puerto de Retiro]]),"")</f>
        <v/>
      </c>
      <c r="R786" s="2" t="str">
        <f>IFERROR(IF(MARÍTIMOS[[#This Row],[Almacén de Retiro]]="","",MARÍTIMOS[[#This Row],[Almacén de Retiro]]),"")</f>
        <v/>
      </c>
      <c r="S786" s="11" t="str">
        <f>IFERROR(IF(MARÍTIMOS[[#This Row],[Etapa Retiro - Cita]]="","",MARÍTIMOS[[#This Row],[Etapa Retiro - Cita]]),"")</f>
        <v/>
      </c>
      <c r="T786" s="11" t="str">
        <f>IFERROR(IF(MARÍTIMOS[[#This Row],[Etapa Retiro - Llegada]]="","",MARÍTIMOS[[#This Row],[Etapa Retiro - Llegada]]),"")</f>
        <v/>
      </c>
      <c r="U786" s="11" t="str">
        <f>IFERROR(IF(MARÍTIMOS[[#This Row],[Etapa Retiro - Ingreso]]="","",MARÍTIMOS[[#This Row],[Etapa Retiro - Ingreso]]),"")</f>
        <v/>
      </c>
      <c r="V786" s="11" t="str">
        <f>IFERROR(IF(MARÍTIMOS[[#This Row],[Etapa Retiro - Atención]]="","",MARÍTIMOS[[#This Row],[Etapa Retiro - Atención]]),"")</f>
        <v/>
      </c>
      <c r="W786" s="11" t="str">
        <f>IFERROR(IF(MARÍTIMOS[[#This Row],[Etapa Retiro - Atención]]="","",MARÍTIMOS[[#This Row],[Etapa Retiro - Atención]]),"")</f>
        <v/>
      </c>
      <c r="X786" s="11" t="str">
        <f>IFERROR(IF(MARÍTIMOS[[#This Row],[Etapa Retiro - Inicio de Ruta]]="","",MARÍTIMOS[[#This Row],[Etapa Retiro - Inicio de Ruta]]),"")</f>
        <v/>
      </c>
      <c r="Y786" s="11" t="str">
        <f>IFERROR(IF(MARÍTIMOS[[#This Row],[Hora de Posicionamiento]]="","",MARÍTIMOS[[#This Row],[Fecha de Carga]]+MARÍTIMOS[[#This Row],[Hora de Posicionamiento]]),"")</f>
        <v/>
      </c>
      <c r="Z786" s="11" t="str">
        <f>IFERROR(IF(MARÍTIMOS[[#This Row],[Etapa Despacho - Llegada]]="","",MARÍTIMOS[[#This Row],[Etapa Despacho - Llegada]]),"")</f>
        <v/>
      </c>
      <c r="AA786" s="11" t="str">
        <f>IFERROR(IF(MARÍTIMOS[[#This Row],[Etapa Despacho - Registro]]="","",MARÍTIMOS[[#This Row],[Etapa Despacho - Registro]]),"")</f>
        <v/>
      </c>
      <c r="AB786" s="11" t="str">
        <f>IFERROR(IF(MARÍTIMOS[[#This Row],[Inspección Externa]]="","",MARÍTIMOS[[#This Row],[Inspección Externa]]),"")</f>
        <v/>
      </c>
      <c r="AC786" s="11" t="str">
        <f>IFERROR(IF(MARÍTIMOS[[#This Row],[Etapa Despacho - Inicio de Carga]]="","",MARÍTIMOS[[#This Row],[Etapa Despacho - Inicio de Carga]]),"")</f>
        <v/>
      </c>
      <c r="AD786" s="11" t="str">
        <f>IFERROR(IF(MARÍTIMOS[[#This Row],[Etapa Despacho - Mitad de Carga]]="","",MARÍTIMOS[[#This Row],[Etapa Despacho - Mitad de Carga]]),"")</f>
        <v/>
      </c>
      <c r="AE786" s="11" t="str">
        <f>IFERROR(IF(MARÍTIMOS[[#This Row],[Etapa Despacho - Fin de Carga]]="","",MARÍTIMOS[[#This Row],[Etapa Despacho - Fin de Carga]]),"")</f>
        <v/>
      </c>
      <c r="AF786" s="2" t="str">
        <f>IFERROR(IF(MARÍTIMOS[[#This Row],[Puerto de Embarque]]="","",MARÍTIMOS[[#This Row],[Puerto de Embarque]]),"")</f>
        <v/>
      </c>
      <c r="AG786" s="2" t="str">
        <f>IFERROR(IF(MARÍTIMOS[[#This Row],[Almacén de Ingreso]]="","",MARÍTIMOS[[#This Row],[Almacén de Ingreso]]),"")</f>
        <v/>
      </c>
      <c r="AH786" s="11" t="str">
        <f>IFERROR(IF(MARÍTIMOS[[#This Row],[Etapa Ingreso - Cita]]="","",MARÍTIMOS[[#This Row],[Etapa Ingreso - Cita]]),"")</f>
        <v/>
      </c>
      <c r="AI786" s="11" t="str">
        <f>IFERROR(IF(MARÍTIMOS[[#This Row],[Etapa Ingreso - Llegada]]="","",MARÍTIMOS[[#This Row],[Etapa Ingreso - Llegada]]),"")</f>
        <v/>
      </c>
      <c r="AJ786" s="11" t="str">
        <f>IFERROR(IF(MARÍTIMOS[[#This Row],[Etapa Ingreso - Ingeso]]="","",MARÍTIMOS[[#This Row],[Etapa Ingreso - Ingeso]]),"")</f>
        <v/>
      </c>
      <c r="AK786" s="11" t="str">
        <f>IFERROR(IF(MARÍTIMOS[[#This Row],[Etapa Ingreso - Atención]]="","",MARÍTIMOS[[#This Row],[Etapa Ingreso - Atención]]),"")</f>
        <v/>
      </c>
      <c r="AL786" s="11" t="str">
        <f>IFERROR(IF(MARÍTIMOS[[#This Row],[Etapa Ingreso - Salida]]="","",MARÍTIMOS[[#This Row],[Etapa Ingreso - Salida]]),"")</f>
        <v/>
      </c>
      <c r="AM786" s="2" t="str">
        <f>IFERROR(IF(MARÍTIMOS[[#This Row],[FCL]]="","",MARÍTIMOS[[#This Row],[FCL]]),"")</f>
        <v/>
      </c>
      <c r="AN7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6" s="4" t="str" cm="1">
        <f t="array" ref="AO7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6" s="5" t="str">
        <f>IFERROR(OLDBD[[#This Row],[Llegada a packing]]-OLDBD[[#This Row],[Inicio de Ruta]],"")</f>
        <v/>
      </c>
      <c r="AQ786" s="6" t="str">
        <f>IFERROR(OLDBD[[#This Row],[Inicio de Ruta]]-OLDBD[[#This Row],[Salida de almacén de retiro]],"")</f>
        <v/>
      </c>
      <c r="AR7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6" s="8" t="str" cm="1">
        <f t="array" ref="AS7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6" s="9" t="str">
        <f>IFERROR(OLDBD[[#This Row],[Ingreso Packing]]-OLDBD[[#This Row],[Registro en Packing]],"")</f>
        <v/>
      </c>
      <c r="AV786" s="9" t="str">
        <f>IFERROR(OLDBD[[#This Row],[Ingreso Packing]]-OLDBD[[#This Row],[Llegada a packing]],"")</f>
        <v/>
      </c>
      <c r="AW7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6" s="5" t="str">
        <f>IFERROR(OLDBD[[#This Row],[Llegada Almacén de Ingreso]]-OLDBD[[#This Row],[Salida Packing]],"")</f>
        <v/>
      </c>
      <c r="AY786" s="4" t="str" cm="1">
        <f t="array" ref="AY7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6" s="43" t="s">
        <v>173</v>
      </c>
      <c r="BB786" s="47" t="str">
        <f>IFERROR(IF(MARÍTIMOS[[#This Row],[Estatus]]="","",MARÍTIMOS[[#This Row],[Estatus]]),"")</f>
        <v/>
      </c>
      <c r="BC786" s="43"/>
      <c r="BD786" s="46" t="str">
        <f>IFERROR(OLDBD[[#This Row],[Salida de almacén de retiro]]-OLDBD[[#This Row],[Ingreso Almacén de retiro]],"")</f>
        <v/>
      </c>
      <c r="BE786" s="46" t="str">
        <f>IFERROR(OLDBD[[#This Row],[Fin de Carga]]-OLDBD[[#This Row],[Inicio de Carga]],"")</f>
        <v/>
      </c>
    </row>
    <row r="787" spans="1:57" customFormat="1" hidden="1">
      <c r="A787" s="1"/>
      <c r="B787" s="1" t="str">
        <f>IFERROR(IF(MARÍTIMOS[[#This Row],[PP]]="","",MARÍTIMOS[[#This Row],[PP]]),"")</f>
        <v/>
      </c>
      <c r="C787" s="1" t="str">
        <f>IFERROR(IF(MARÍTIMOS[[#This Row],[Sede]]="","",MARÍTIMOS[[#This Row],[Sede]]),"")</f>
        <v/>
      </c>
      <c r="D787" s="1" t="str">
        <f>IFERROR(IF(MARÍTIMOS[[#This Row],[Instruction]]="","",MARÍTIMOS[[#This Row],[Instruction]]),"")</f>
        <v/>
      </c>
      <c r="E787" s="1"/>
      <c r="F787" s="2" t="str">
        <f>IFERROR(IF(MARÍTIMOS[[#This Row],[Transportista]]="","",MARÍTIMOS[[#This Row],[Transportista]]),"")</f>
        <v/>
      </c>
      <c r="G787" s="2" t="str">
        <f>IFERROR(IF(MARÍTIMOS[[#This Row],[Tercero]]="","",MARÍTIMOS[[#This Row],[Tercero]]),"")</f>
        <v/>
      </c>
      <c r="H787" s="2" t="str">
        <f>IFERROR(IF(MARÍTIMOS[[#This Row],[Razón Social]]="","",MARÍTIMOS[[#This Row],[Razón Social]]),"")</f>
        <v/>
      </c>
      <c r="I787" s="2" t="str">
        <f>IFERROR(IF(MARÍTIMOS[[#This Row],[RUC]]="","",MARÍTIMOS[[#This Row],[RUC]]),"")</f>
        <v/>
      </c>
      <c r="J787" s="2" t="str">
        <f>IFERROR(IF(MARÍTIMOS[[#This Row],[Placa Tracto]]="","",MARÍTIMOS[[#This Row],[Placa Tracto]]),"")</f>
        <v/>
      </c>
      <c r="K787" s="2" t="str">
        <f>IFERROR(IF(MARÍTIMOS[[#This Row],[Placa Carreta]]="","",MARÍTIMOS[[#This Row],[Placa Carreta]]),"")</f>
        <v/>
      </c>
      <c r="L787" s="44" t="str">
        <f>IFERROR(IF(MARÍTIMOS[[#This Row],[Conductor]]="","",MARÍTIMOS[[#This Row],[Conductor]]),"")</f>
        <v/>
      </c>
      <c r="M787" s="2" t="str">
        <f>IFERROR(IF(MARÍTIMOS[[#This Row],[Licencia]]="","",MARÍTIMOS[[#This Row],[Licencia]]),"")</f>
        <v/>
      </c>
      <c r="N787" s="2" t="str">
        <f>IFERROR(IF(MARÍTIMOS[[#This Row],[Número de Contacto]]="","",MARÍTIMOS[[#This Row],[Número de Contacto]]),"")</f>
        <v/>
      </c>
      <c r="O787" s="10" t="str">
        <f>IFERROR(IF(MARÍTIMOS[[#This Row],[Booking|AWB|CRT]]="","",MARÍTIMOS[[#This Row],[Booking|AWB|CRT]]),"")</f>
        <v/>
      </c>
      <c r="P787" s="2" t="str">
        <f>IFERROR(IF(MARÍTIMOS[[#This Row],[Contenedor]]="","",MARÍTIMOS[[#This Row],[Contenedor]]),"")</f>
        <v/>
      </c>
      <c r="Q787" s="2" t="str">
        <f>IFERROR(IF(MARÍTIMOS[[#This Row],[Puerto de Retiro]]="","",MARÍTIMOS[[#This Row],[Puerto de Retiro]]),"")</f>
        <v/>
      </c>
      <c r="R787" s="2" t="str">
        <f>IFERROR(IF(MARÍTIMOS[[#This Row],[Almacén de Retiro]]="","",MARÍTIMOS[[#This Row],[Almacén de Retiro]]),"")</f>
        <v/>
      </c>
      <c r="S787" s="11" t="str">
        <f>IFERROR(IF(MARÍTIMOS[[#This Row],[Etapa Retiro - Cita]]="","",MARÍTIMOS[[#This Row],[Etapa Retiro - Cita]]),"")</f>
        <v/>
      </c>
      <c r="T787" s="11" t="str">
        <f>IFERROR(IF(MARÍTIMOS[[#This Row],[Etapa Retiro - Llegada]]="","",MARÍTIMOS[[#This Row],[Etapa Retiro - Llegada]]),"")</f>
        <v/>
      </c>
      <c r="U787" s="11" t="str">
        <f>IFERROR(IF(MARÍTIMOS[[#This Row],[Etapa Retiro - Ingreso]]="","",MARÍTIMOS[[#This Row],[Etapa Retiro - Ingreso]]),"")</f>
        <v/>
      </c>
      <c r="V787" s="11" t="str">
        <f>IFERROR(IF(MARÍTIMOS[[#This Row],[Etapa Retiro - Atención]]="","",MARÍTIMOS[[#This Row],[Etapa Retiro - Atención]]),"")</f>
        <v/>
      </c>
      <c r="W787" s="11" t="str">
        <f>IFERROR(IF(MARÍTIMOS[[#This Row],[Etapa Retiro - Atención]]="","",MARÍTIMOS[[#This Row],[Etapa Retiro - Atención]]),"")</f>
        <v/>
      </c>
      <c r="X787" s="11" t="str">
        <f>IFERROR(IF(MARÍTIMOS[[#This Row],[Etapa Retiro - Inicio de Ruta]]="","",MARÍTIMOS[[#This Row],[Etapa Retiro - Inicio de Ruta]]),"")</f>
        <v/>
      </c>
      <c r="Y787" s="11" t="str">
        <f>IFERROR(IF(MARÍTIMOS[[#This Row],[Hora de Posicionamiento]]="","",MARÍTIMOS[[#This Row],[Fecha de Carga]]+MARÍTIMOS[[#This Row],[Hora de Posicionamiento]]),"")</f>
        <v/>
      </c>
      <c r="Z787" s="11" t="str">
        <f>IFERROR(IF(MARÍTIMOS[[#This Row],[Etapa Despacho - Llegada]]="","",MARÍTIMOS[[#This Row],[Etapa Despacho - Llegada]]),"")</f>
        <v/>
      </c>
      <c r="AA787" s="11" t="str">
        <f>IFERROR(IF(MARÍTIMOS[[#This Row],[Etapa Despacho - Registro]]="","",MARÍTIMOS[[#This Row],[Etapa Despacho - Registro]]),"")</f>
        <v/>
      </c>
      <c r="AB787" s="11" t="str">
        <f>IFERROR(IF(MARÍTIMOS[[#This Row],[Inspección Externa]]="","",MARÍTIMOS[[#This Row],[Inspección Externa]]),"")</f>
        <v/>
      </c>
      <c r="AC787" s="11" t="str">
        <f>IFERROR(IF(MARÍTIMOS[[#This Row],[Etapa Despacho - Inicio de Carga]]="","",MARÍTIMOS[[#This Row],[Etapa Despacho - Inicio de Carga]]),"")</f>
        <v/>
      </c>
      <c r="AD787" s="11" t="str">
        <f>IFERROR(IF(MARÍTIMOS[[#This Row],[Etapa Despacho - Mitad de Carga]]="","",MARÍTIMOS[[#This Row],[Etapa Despacho - Mitad de Carga]]),"")</f>
        <v/>
      </c>
      <c r="AE787" s="11" t="str">
        <f>IFERROR(IF(MARÍTIMOS[[#This Row],[Etapa Despacho - Fin de Carga]]="","",MARÍTIMOS[[#This Row],[Etapa Despacho - Fin de Carga]]),"")</f>
        <v/>
      </c>
      <c r="AF787" s="2" t="str">
        <f>IFERROR(IF(MARÍTIMOS[[#This Row],[Puerto de Embarque]]="","",MARÍTIMOS[[#This Row],[Puerto de Embarque]]),"")</f>
        <v/>
      </c>
      <c r="AG787" s="2" t="str">
        <f>IFERROR(IF(MARÍTIMOS[[#This Row],[Almacén de Ingreso]]="","",MARÍTIMOS[[#This Row],[Almacén de Ingreso]]),"")</f>
        <v/>
      </c>
      <c r="AH787" s="11" t="str">
        <f>IFERROR(IF(MARÍTIMOS[[#This Row],[Etapa Ingreso - Cita]]="","",MARÍTIMOS[[#This Row],[Etapa Ingreso - Cita]]),"")</f>
        <v/>
      </c>
      <c r="AI787" s="11" t="str">
        <f>IFERROR(IF(MARÍTIMOS[[#This Row],[Etapa Ingreso - Llegada]]="","",MARÍTIMOS[[#This Row],[Etapa Ingreso - Llegada]]),"")</f>
        <v/>
      </c>
      <c r="AJ787" s="11" t="str">
        <f>IFERROR(IF(MARÍTIMOS[[#This Row],[Etapa Ingreso - Ingeso]]="","",MARÍTIMOS[[#This Row],[Etapa Ingreso - Ingeso]]),"")</f>
        <v/>
      </c>
      <c r="AK787" s="11" t="str">
        <f>IFERROR(IF(MARÍTIMOS[[#This Row],[Etapa Ingreso - Atención]]="","",MARÍTIMOS[[#This Row],[Etapa Ingreso - Atención]]),"")</f>
        <v/>
      </c>
      <c r="AL787" s="11" t="str">
        <f>IFERROR(IF(MARÍTIMOS[[#This Row],[Etapa Ingreso - Salida]]="","",MARÍTIMOS[[#This Row],[Etapa Ingreso - Salida]]),"")</f>
        <v/>
      </c>
      <c r="AM787" s="2" t="str">
        <f>IFERROR(IF(MARÍTIMOS[[#This Row],[FCL]]="","",MARÍTIMOS[[#This Row],[FCL]]),"")</f>
        <v/>
      </c>
      <c r="AN7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7" s="4" t="str" cm="1">
        <f t="array" ref="AO7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7" s="5" t="str">
        <f>IFERROR(OLDBD[[#This Row],[Llegada a packing]]-OLDBD[[#This Row],[Inicio de Ruta]],"")</f>
        <v/>
      </c>
      <c r="AQ787" s="6" t="str">
        <f>IFERROR(OLDBD[[#This Row],[Inicio de Ruta]]-OLDBD[[#This Row],[Salida de almacén de retiro]],"")</f>
        <v/>
      </c>
      <c r="AR7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7" s="8" t="str" cm="1">
        <f t="array" ref="AS7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7" s="9" t="str">
        <f>IFERROR(OLDBD[[#This Row],[Ingreso Packing]]-OLDBD[[#This Row],[Registro en Packing]],"")</f>
        <v/>
      </c>
      <c r="AV787" s="9" t="str">
        <f>IFERROR(OLDBD[[#This Row],[Ingreso Packing]]-OLDBD[[#This Row],[Llegada a packing]],"")</f>
        <v/>
      </c>
      <c r="AW7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7" s="5" t="str">
        <f>IFERROR(OLDBD[[#This Row],[Llegada Almacén de Ingreso]]-OLDBD[[#This Row],[Salida Packing]],"")</f>
        <v/>
      </c>
      <c r="AY787" s="4" t="str" cm="1">
        <f t="array" ref="AY7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7" s="43" t="s">
        <v>173</v>
      </c>
      <c r="BB787" s="47" t="str">
        <f>IFERROR(IF(MARÍTIMOS[[#This Row],[Estatus]]="","",MARÍTIMOS[[#This Row],[Estatus]]),"")</f>
        <v/>
      </c>
      <c r="BC787" s="43"/>
      <c r="BD787" s="46" t="str">
        <f>IFERROR(OLDBD[[#This Row],[Salida de almacén de retiro]]-OLDBD[[#This Row],[Ingreso Almacén de retiro]],"")</f>
        <v/>
      </c>
      <c r="BE787" s="46" t="str">
        <f>IFERROR(OLDBD[[#This Row],[Fin de Carga]]-OLDBD[[#This Row],[Inicio de Carga]],"")</f>
        <v/>
      </c>
    </row>
    <row r="788" spans="1:57" customFormat="1" hidden="1">
      <c r="A788" s="1"/>
      <c r="B788" s="1" t="str">
        <f>IFERROR(IF(MARÍTIMOS[[#This Row],[PP]]="","",MARÍTIMOS[[#This Row],[PP]]),"")</f>
        <v/>
      </c>
      <c r="C788" s="1" t="str">
        <f>IFERROR(IF(MARÍTIMOS[[#This Row],[Sede]]="","",MARÍTIMOS[[#This Row],[Sede]]),"")</f>
        <v/>
      </c>
      <c r="D788" s="1" t="str">
        <f>IFERROR(IF(MARÍTIMOS[[#This Row],[Instruction]]="","",MARÍTIMOS[[#This Row],[Instruction]]),"")</f>
        <v/>
      </c>
      <c r="E788" s="1"/>
      <c r="F788" s="2" t="str">
        <f>IFERROR(IF(MARÍTIMOS[[#This Row],[Transportista]]="","",MARÍTIMOS[[#This Row],[Transportista]]),"")</f>
        <v/>
      </c>
      <c r="G788" s="2" t="str">
        <f>IFERROR(IF(MARÍTIMOS[[#This Row],[Tercero]]="","",MARÍTIMOS[[#This Row],[Tercero]]),"")</f>
        <v/>
      </c>
      <c r="H788" s="2" t="str">
        <f>IFERROR(IF(MARÍTIMOS[[#This Row],[Razón Social]]="","",MARÍTIMOS[[#This Row],[Razón Social]]),"")</f>
        <v/>
      </c>
      <c r="I788" s="2" t="str">
        <f>IFERROR(IF(MARÍTIMOS[[#This Row],[RUC]]="","",MARÍTIMOS[[#This Row],[RUC]]),"")</f>
        <v/>
      </c>
      <c r="J788" s="2" t="str">
        <f>IFERROR(IF(MARÍTIMOS[[#This Row],[Placa Tracto]]="","",MARÍTIMOS[[#This Row],[Placa Tracto]]),"")</f>
        <v/>
      </c>
      <c r="K788" s="2" t="str">
        <f>IFERROR(IF(MARÍTIMOS[[#This Row],[Placa Carreta]]="","",MARÍTIMOS[[#This Row],[Placa Carreta]]),"")</f>
        <v/>
      </c>
      <c r="L788" s="44" t="str">
        <f>IFERROR(IF(MARÍTIMOS[[#This Row],[Conductor]]="","",MARÍTIMOS[[#This Row],[Conductor]]),"")</f>
        <v/>
      </c>
      <c r="M788" s="2" t="str">
        <f>IFERROR(IF(MARÍTIMOS[[#This Row],[Licencia]]="","",MARÍTIMOS[[#This Row],[Licencia]]),"")</f>
        <v/>
      </c>
      <c r="N788" s="2" t="str">
        <f>IFERROR(IF(MARÍTIMOS[[#This Row],[Número de Contacto]]="","",MARÍTIMOS[[#This Row],[Número de Contacto]]),"")</f>
        <v/>
      </c>
      <c r="O788" s="10" t="str">
        <f>IFERROR(IF(MARÍTIMOS[[#This Row],[Booking|AWB|CRT]]="","",MARÍTIMOS[[#This Row],[Booking|AWB|CRT]]),"")</f>
        <v/>
      </c>
      <c r="P788" s="2" t="str">
        <f>IFERROR(IF(MARÍTIMOS[[#This Row],[Contenedor]]="","",MARÍTIMOS[[#This Row],[Contenedor]]),"")</f>
        <v/>
      </c>
      <c r="Q788" s="2" t="str">
        <f>IFERROR(IF(MARÍTIMOS[[#This Row],[Puerto de Retiro]]="","",MARÍTIMOS[[#This Row],[Puerto de Retiro]]),"")</f>
        <v/>
      </c>
      <c r="R788" s="2" t="str">
        <f>IFERROR(IF(MARÍTIMOS[[#This Row],[Almacén de Retiro]]="","",MARÍTIMOS[[#This Row],[Almacén de Retiro]]),"")</f>
        <v/>
      </c>
      <c r="S788" s="11" t="str">
        <f>IFERROR(IF(MARÍTIMOS[[#This Row],[Etapa Retiro - Cita]]="","",MARÍTIMOS[[#This Row],[Etapa Retiro - Cita]]),"")</f>
        <v/>
      </c>
      <c r="T788" s="11" t="str">
        <f>IFERROR(IF(MARÍTIMOS[[#This Row],[Etapa Retiro - Llegada]]="","",MARÍTIMOS[[#This Row],[Etapa Retiro - Llegada]]),"")</f>
        <v/>
      </c>
      <c r="U788" s="11" t="str">
        <f>IFERROR(IF(MARÍTIMOS[[#This Row],[Etapa Retiro - Ingreso]]="","",MARÍTIMOS[[#This Row],[Etapa Retiro - Ingreso]]),"")</f>
        <v/>
      </c>
      <c r="V788" s="11" t="str">
        <f>IFERROR(IF(MARÍTIMOS[[#This Row],[Etapa Retiro - Atención]]="","",MARÍTIMOS[[#This Row],[Etapa Retiro - Atención]]),"")</f>
        <v/>
      </c>
      <c r="W788" s="11" t="str">
        <f>IFERROR(IF(MARÍTIMOS[[#This Row],[Etapa Retiro - Atención]]="","",MARÍTIMOS[[#This Row],[Etapa Retiro - Atención]]),"")</f>
        <v/>
      </c>
      <c r="X788" s="11" t="str">
        <f>IFERROR(IF(MARÍTIMOS[[#This Row],[Etapa Retiro - Inicio de Ruta]]="","",MARÍTIMOS[[#This Row],[Etapa Retiro - Inicio de Ruta]]),"")</f>
        <v/>
      </c>
      <c r="Y788" s="11" t="str">
        <f>IFERROR(IF(MARÍTIMOS[[#This Row],[Hora de Posicionamiento]]="","",MARÍTIMOS[[#This Row],[Fecha de Carga]]+MARÍTIMOS[[#This Row],[Hora de Posicionamiento]]),"")</f>
        <v/>
      </c>
      <c r="Z788" s="11" t="str">
        <f>IFERROR(IF(MARÍTIMOS[[#This Row],[Etapa Despacho - Llegada]]="","",MARÍTIMOS[[#This Row],[Etapa Despacho - Llegada]]),"")</f>
        <v/>
      </c>
      <c r="AA788" s="11" t="str">
        <f>IFERROR(IF(MARÍTIMOS[[#This Row],[Etapa Despacho - Registro]]="","",MARÍTIMOS[[#This Row],[Etapa Despacho - Registro]]),"")</f>
        <v/>
      </c>
      <c r="AB788" s="11" t="str">
        <f>IFERROR(IF(MARÍTIMOS[[#This Row],[Inspección Externa]]="","",MARÍTIMOS[[#This Row],[Inspección Externa]]),"")</f>
        <v/>
      </c>
      <c r="AC788" s="11" t="str">
        <f>IFERROR(IF(MARÍTIMOS[[#This Row],[Etapa Despacho - Inicio de Carga]]="","",MARÍTIMOS[[#This Row],[Etapa Despacho - Inicio de Carga]]),"")</f>
        <v/>
      </c>
      <c r="AD788" s="11" t="str">
        <f>IFERROR(IF(MARÍTIMOS[[#This Row],[Etapa Despacho - Mitad de Carga]]="","",MARÍTIMOS[[#This Row],[Etapa Despacho - Mitad de Carga]]),"")</f>
        <v/>
      </c>
      <c r="AE788" s="11" t="str">
        <f>IFERROR(IF(MARÍTIMOS[[#This Row],[Etapa Despacho - Fin de Carga]]="","",MARÍTIMOS[[#This Row],[Etapa Despacho - Fin de Carga]]),"")</f>
        <v/>
      </c>
      <c r="AF788" s="2" t="str">
        <f>IFERROR(IF(MARÍTIMOS[[#This Row],[Puerto de Embarque]]="","",MARÍTIMOS[[#This Row],[Puerto de Embarque]]),"")</f>
        <v/>
      </c>
      <c r="AG788" s="2" t="str">
        <f>IFERROR(IF(MARÍTIMOS[[#This Row],[Almacén de Ingreso]]="","",MARÍTIMOS[[#This Row],[Almacén de Ingreso]]),"")</f>
        <v/>
      </c>
      <c r="AH788" s="11" t="str">
        <f>IFERROR(IF(MARÍTIMOS[[#This Row],[Etapa Ingreso - Cita]]="","",MARÍTIMOS[[#This Row],[Etapa Ingreso - Cita]]),"")</f>
        <v/>
      </c>
      <c r="AI788" s="11" t="str">
        <f>IFERROR(IF(MARÍTIMOS[[#This Row],[Etapa Ingreso - Llegada]]="","",MARÍTIMOS[[#This Row],[Etapa Ingreso - Llegada]]),"")</f>
        <v/>
      </c>
      <c r="AJ788" s="11" t="str">
        <f>IFERROR(IF(MARÍTIMOS[[#This Row],[Etapa Ingreso - Ingeso]]="","",MARÍTIMOS[[#This Row],[Etapa Ingreso - Ingeso]]),"")</f>
        <v/>
      </c>
      <c r="AK788" s="11" t="str">
        <f>IFERROR(IF(MARÍTIMOS[[#This Row],[Etapa Ingreso - Atención]]="","",MARÍTIMOS[[#This Row],[Etapa Ingreso - Atención]]),"")</f>
        <v/>
      </c>
      <c r="AL788" s="11" t="str">
        <f>IFERROR(IF(MARÍTIMOS[[#This Row],[Etapa Ingreso - Salida]]="","",MARÍTIMOS[[#This Row],[Etapa Ingreso - Salida]]),"")</f>
        <v/>
      </c>
      <c r="AM788" s="2" t="str">
        <f>IFERROR(IF(MARÍTIMOS[[#This Row],[FCL]]="","",MARÍTIMOS[[#This Row],[FCL]]),"")</f>
        <v/>
      </c>
      <c r="AN7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8" s="4" t="str" cm="1">
        <f t="array" ref="AO7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8" s="5" t="str">
        <f>IFERROR(OLDBD[[#This Row],[Llegada a packing]]-OLDBD[[#This Row],[Inicio de Ruta]],"")</f>
        <v/>
      </c>
      <c r="AQ788" s="6" t="str">
        <f>IFERROR(OLDBD[[#This Row],[Inicio de Ruta]]-OLDBD[[#This Row],[Salida de almacén de retiro]],"")</f>
        <v/>
      </c>
      <c r="AR7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8" s="8" t="str" cm="1">
        <f t="array" ref="AS7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8" s="9" t="str">
        <f>IFERROR(OLDBD[[#This Row],[Ingreso Packing]]-OLDBD[[#This Row],[Registro en Packing]],"")</f>
        <v/>
      </c>
      <c r="AV788" s="9" t="str">
        <f>IFERROR(OLDBD[[#This Row],[Ingreso Packing]]-OLDBD[[#This Row],[Llegada a packing]],"")</f>
        <v/>
      </c>
      <c r="AW7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8" s="5" t="str">
        <f>IFERROR(OLDBD[[#This Row],[Llegada Almacén de Ingreso]]-OLDBD[[#This Row],[Salida Packing]],"")</f>
        <v/>
      </c>
      <c r="AY788" s="4" t="str" cm="1">
        <f t="array" ref="AY7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8" s="43" t="s">
        <v>173</v>
      </c>
      <c r="BB788" s="47" t="str">
        <f>IFERROR(IF(MARÍTIMOS[[#This Row],[Estatus]]="","",MARÍTIMOS[[#This Row],[Estatus]]),"")</f>
        <v/>
      </c>
      <c r="BC788" s="43"/>
      <c r="BD788" s="46" t="str">
        <f>IFERROR(OLDBD[[#This Row],[Salida de almacén de retiro]]-OLDBD[[#This Row],[Ingreso Almacén de retiro]],"")</f>
        <v/>
      </c>
      <c r="BE788" s="46" t="str">
        <f>IFERROR(OLDBD[[#This Row],[Fin de Carga]]-OLDBD[[#This Row],[Inicio de Carga]],"")</f>
        <v/>
      </c>
    </row>
    <row r="789" spans="1:57" customFormat="1" hidden="1">
      <c r="A789" s="1"/>
      <c r="B789" s="1" t="str">
        <f>IFERROR(IF(MARÍTIMOS[[#This Row],[PP]]="","",MARÍTIMOS[[#This Row],[PP]]),"")</f>
        <v/>
      </c>
      <c r="C789" s="1" t="str">
        <f>IFERROR(IF(MARÍTIMOS[[#This Row],[Sede]]="","",MARÍTIMOS[[#This Row],[Sede]]),"")</f>
        <v/>
      </c>
      <c r="D789" s="1" t="str">
        <f>IFERROR(IF(MARÍTIMOS[[#This Row],[Instruction]]="","",MARÍTIMOS[[#This Row],[Instruction]]),"")</f>
        <v/>
      </c>
      <c r="E789" s="1"/>
      <c r="F789" s="2" t="str">
        <f>IFERROR(IF(MARÍTIMOS[[#This Row],[Transportista]]="","",MARÍTIMOS[[#This Row],[Transportista]]),"")</f>
        <v/>
      </c>
      <c r="G789" s="2" t="str">
        <f>IFERROR(IF(MARÍTIMOS[[#This Row],[Tercero]]="","",MARÍTIMOS[[#This Row],[Tercero]]),"")</f>
        <v/>
      </c>
      <c r="H789" s="2" t="str">
        <f>IFERROR(IF(MARÍTIMOS[[#This Row],[Razón Social]]="","",MARÍTIMOS[[#This Row],[Razón Social]]),"")</f>
        <v/>
      </c>
      <c r="I789" s="2" t="str">
        <f>IFERROR(IF(MARÍTIMOS[[#This Row],[RUC]]="","",MARÍTIMOS[[#This Row],[RUC]]),"")</f>
        <v/>
      </c>
      <c r="J789" s="2" t="str">
        <f>IFERROR(IF(MARÍTIMOS[[#This Row],[Placa Tracto]]="","",MARÍTIMOS[[#This Row],[Placa Tracto]]),"")</f>
        <v/>
      </c>
      <c r="K789" s="2" t="str">
        <f>IFERROR(IF(MARÍTIMOS[[#This Row],[Placa Carreta]]="","",MARÍTIMOS[[#This Row],[Placa Carreta]]),"")</f>
        <v/>
      </c>
      <c r="L789" s="44" t="str">
        <f>IFERROR(IF(MARÍTIMOS[[#This Row],[Conductor]]="","",MARÍTIMOS[[#This Row],[Conductor]]),"")</f>
        <v/>
      </c>
      <c r="M789" s="2" t="str">
        <f>IFERROR(IF(MARÍTIMOS[[#This Row],[Licencia]]="","",MARÍTIMOS[[#This Row],[Licencia]]),"")</f>
        <v/>
      </c>
      <c r="N789" s="2" t="str">
        <f>IFERROR(IF(MARÍTIMOS[[#This Row],[Número de Contacto]]="","",MARÍTIMOS[[#This Row],[Número de Contacto]]),"")</f>
        <v/>
      </c>
      <c r="O789" s="10" t="str">
        <f>IFERROR(IF(MARÍTIMOS[[#This Row],[Booking|AWB|CRT]]="","",MARÍTIMOS[[#This Row],[Booking|AWB|CRT]]),"")</f>
        <v/>
      </c>
      <c r="P789" s="2" t="str">
        <f>IFERROR(IF(MARÍTIMOS[[#This Row],[Contenedor]]="","",MARÍTIMOS[[#This Row],[Contenedor]]),"")</f>
        <v/>
      </c>
      <c r="Q789" s="2" t="str">
        <f>IFERROR(IF(MARÍTIMOS[[#This Row],[Puerto de Retiro]]="","",MARÍTIMOS[[#This Row],[Puerto de Retiro]]),"")</f>
        <v/>
      </c>
      <c r="R789" s="2" t="str">
        <f>IFERROR(IF(MARÍTIMOS[[#This Row],[Almacén de Retiro]]="","",MARÍTIMOS[[#This Row],[Almacén de Retiro]]),"")</f>
        <v/>
      </c>
      <c r="S789" s="11" t="str">
        <f>IFERROR(IF(MARÍTIMOS[[#This Row],[Etapa Retiro - Cita]]="","",MARÍTIMOS[[#This Row],[Etapa Retiro - Cita]]),"")</f>
        <v/>
      </c>
      <c r="T789" s="11" t="str">
        <f>IFERROR(IF(MARÍTIMOS[[#This Row],[Etapa Retiro - Llegada]]="","",MARÍTIMOS[[#This Row],[Etapa Retiro - Llegada]]),"")</f>
        <v/>
      </c>
      <c r="U789" s="11" t="str">
        <f>IFERROR(IF(MARÍTIMOS[[#This Row],[Etapa Retiro - Ingreso]]="","",MARÍTIMOS[[#This Row],[Etapa Retiro - Ingreso]]),"")</f>
        <v/>
      </c>
      <c r="V789" s="11" t="str">
        <f>IFERROR(IF(MARÍTIMOS[[#This Row],[Etapa Retiro - Atención]]="","",MARÍTIMOS[[#This Row],[Etapa Retiro - Atención]]),"")</f>
        <v/>
      </c>
      <c r="W789" s="11" t="str">
        <f>IFERROR(IF(MARÍTIMOS[[#This Row],[Etapa Retiro - Atención]]="","",MARÍTIMOS[[#This Row],[Etapa Retiro - Atención]]),"")</f>
        <v/>
      </c>
      <c r="X789" s="11" t="str">
        <f>IFERROR(IF(MARÍTIMOS[[#This Row],[Etapa Retiro - Inicio de Ruta]]="","",MARÍTIMOS[[#This Row],[Etapa Retiro - Inicio de Ruta]]),"")</f>
        <v/>
      </c>
      <c r="Y789" s="11" t="str">
        <f>IFERROR(IF(MARÍTIMOS[[#This Row],[Hora de Posicionamiento]]="","",MARÍTIMOS[[#This Row],[Fecha de Carga]]+MARÍTIMOS[[#This Row],[Hora de Posicionamiento]]),"")</f>
        <v/>
      </c>
      <c r="Z789" s="11" t="str">
        <f>IFERROR(IF(MARÍTIMOS[[#This Row],[Etapa Despacho - Llegada]]="","",MARÍTIMOS[[#This Row],[Etapa Despacho - Llegada]]),"")</f>
        <v/>
      </c>
      <c r="AA789" s="11" t="str">
        <f>IFERROR(IF(MARÍTIMOS[[#This Row],[Etapa Despacho - Registro]]="","",MARÍTIMOS[[#This Row],[Etapa Despacho - Registro]]),"")</f>
        <v/>
      </c>
      <c r="AB789" s="11" t="str">
        <f>IFERROR(IF(MARÍTIMOS[[#This Row],[Inspección Externa]]="","",MARÍTIMOS[[#This Row],[Inspección Externa]]),"")</f>
        <v/>
      </c>
      <c r="AC789" s="11" t="str">
        <f>IFERROR(IF(MARÍTIMOS[[#This Row],[Etapa Despacho - Inicio de Carga]]="","",MARÍTIMOS[[#This Row],[Etapa Despacho - Inicio de Carga]]),"")</f>
        <v/>
      </c>
      <c r="AD789" s="11" t="str">
        <f>IFERROR(IF(MARÍTIMOS[[#This Row],[Etapa Despacho - Mitad de Carga]]="","",MARÍTIMOS[[#This Row],[Etapa Despacho - Mitad de Carga]]),"")</f>
        <v/>
      </c>
      <c r="AE789" s="11" t="str">
        <f>IFERROR(IF(MARÍTIMOS[[#This Row],[Etapa Despacho - Fin de Carga]]="","",MARÍTIMOS[[#This Row],[Etapa Despacho - Fin de Carga]]),"")</f>
        <v/>
      </c>
      <c r="AF789" s="2" t="str">
        <f>IFERROR(IF(MARÍTIMOS[[#This Row],[Puerto de Embarque]]="","",MARÍTIMOS[[#This Row],[Puerto de Embarque]]),"")</f>
        <v/>
      </c>
      <c r="AG789" s="2" t="str">
        <f>IFERROR(IF(MARÍTIMOS[[#This Row],[Almacén de Ingreso]]="","",MARÍTIMOS[[#This Row],[Almacén de Ingreso]]),"")</f>
        <v/>
      </c>
      <c r="AH789" s="11" t="str">
        <f>IFERROR(IF(MARÍTIMOS[[#This Row],[Etapa Ingreso - Cita]]="","",MARÍTIMOS[[#This Row],[Etapa Ingreso - Cita]]),"")</f>
        <v/>
      </c>
      <c r="AI789" s="11" t="str">
        <f>IFERROR(IF(MARÍTIMOS[[#This Row],[Etapa Ingreso - Llegada]]="","",MARÍTIMOS[[#This Row],[Etapa Ingreso - Llegada]]),"")</f>
        <v/>
      </c>
      <c r="AJ789" s="11" t="str">
        <f>IFERROR(IF(MARÍTIMOS[[#This Row],[Etapa Ingreso - Ingeso]]="","",MARÍTIMOS[[#This Row],[Etapa Ingreso - Ingeso]]),"")</f>
        <v/>
      </c>
      <c r="AK789" s="11" t="str">
        <f>IFERROR(IF(MARÍTIMOS[[#This Row],[Etapa Ingreso - Atención]]="","",MARÍTIMOS[[#This Row],[Etapa Ingreso - Atención]]),"")</f>
        <v/>
      </c>
      <c r="AL789" s="11" t="str">
        <f>IFERROR(IF(MARÍTIMOS[[#This Row],[Etapa Ingreso - Salida]]="","",MARÍTIMOS[[#This Row],[Etapa Ingreso - Salida]]),"")</f>
        <v/>
      </c>
      <c r="AM789" s="2" t="str">
        <f>IFERROR(IF(MARÍTIMOS[[#This Row],[FCL]]="","",MARÍTIMOS[[#This Row],[FCL]]),"")</f>
        <v/>
      </c>
      <c r="AN7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89" s="4" t="str" cm="1">
        <f t="array" ref="AO7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89" s="5" t="str">
        <f>IFERROR(OLDBD[[#This Row],[Llegada a packing]]-OLDBD[[#This Row],[Inicio de Ruta]],"")</f>
        <v/>
      </c>
      <c r="AQ789" s="6" t="str">
        <f>IFERROR(OLDBD[[#This Row],[Inicio de Ruta]]-OLDBD[[#This Row],[Salida de almacén de retiro]],"")</f>
        <v/>
      </c>
      <c r="AR7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89" s="8" t="str" cm="1">
        <f t="array" ref="AS7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89" s="9" t="str">
        <f>IFERROR(OLDBD[[#This Row],[Ingreso Packing]]-OLDBD[[#This Row],[Registro en Packing]],"")</f>
        <v/>
      </c>
      <c r="AV789" s="9" t="str">
        <f>IFERROR(OLDBD[[#This Row],[Ingreso Packing]]-OLDBD[[#This Row],[Llegada a packing]],"")</f>
        <v/>
      </c>
      <c r="AW7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89" s="5" t="str">
        <f>IFERROR(OLDBD[[#This Row],[Llegada Almacén de Ingreso]]-OLDBD[[#This Row],[Salida Packing]],"")</f>
        <v/>
      </c>
      <c r="AY789" s="4" t="str" cm="1">
        <f t="array" ref="AY7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89" s="43" t="s">
        <v>173</v>
      </c>
      <c r="BB789" s="47" t="str">
        <f>IFERROR(IF(MARÍTIMOS[[#This Row],[Estatus]]="","",MARÍTIMOS[[#This Row],[Estatus]]),"")</f>
        <v/>
      </c>
      <c r="BC789" s="43"/>
      <c r="BD789" s="46" t="str">
        <f>IFERROR(OLDBD[[#This Row],[Salida de almacén de retiro]]-OLDBD[[#This Row],[Ingreso Almacén de retiro]],"")</f>
        <v/>
      </c>
      <c r="BE789" s="46" t="str">
        <f>IFERROR(OLDBD[[#This Row],[Fin de Carga]]-OLDBD[[#This Row],[Inicio de Carga]],"")</f>
        <v/>
      </c>
    </row>
    <row r="790" spans="1:57" customFormat="1" hidden="1">
      <c r="A790" s="1"/>
      <c r="B790" s="1" t="str">
        <f>IFERROR(IF(MARÍTIMOS[[#This Row],[PP]]="","",MARÍTIMOS[[#This Row],[PP]]),"")</f>
        <v/>
      </c>
      <c r="C790" s="1" t="str">
        <f>IFERROR(IF(MARÍTIMOS[[#This Row],[Sede]]="","",MARÍTIMOS[[#This Row],[Sede]]),"")</f>
        <v/>
      </c>
      <c r="D790" s="1" t="str">
        <f>IFERROR(IF(MARÍTIMOS[[#This Row],[Instruction]]="","",MARÍTIMOS[[#This Row],[Instruction]]),"")</f>
        <v/>
      </c>
      <c r="E790" s="1"/>
      <c r="F790" s="2" t="str">
        <f>IFERROR(IF(MARÍTIMOS[[#This Row],[Transportista]]="","",MARÍTIMOS[[#This Row],[Transportista]]),"")</f>
        <v/>
      </c>
      <c r="G790" s="2" t="str">
        <f>IFERROR(IF(MARÍTIMOS[[#This Row],[Tercero]]="","",MARÍTIMOS[[#This Row],[Tercero]]),"")</f>
        <v/>
      </c>
      <c r="H790" s="2" t="str">
        <f>IFERROR(IF(MARÍTIMOS[[#This Row],[Razón Social]]="","",MARÍTIMOS[[#This Row],[Razón Social]]),"")</f>
        <v/>
      </c>
      <c r="I790" s="2" t="str">
        <f>IFERROR(IF(MARÍTIMOS[[#This Row],[RUC]]="","",MARÍTIMOS[[#This Row],[RUC]]),"")</f>
        <v/>
      </c>
      <c r="J790" s="2" t="str">
        <f>IFERROR(IF(MARÍTIMOS[[#This Row],[Placa Tracto]]="","",MARÍTIMOS[[#This Row],[Placa Tracto]]),"")</f>
        <v/>
      </c>
      <c r="K790" s="2" t="str">
        <f>IFERROR(IF(MARÍTIMOS[[#This Row],[Placa Carreta]]="","",MARÍTIMOS[[#This Row],[Placa Carreta]]),"")</f>
        <v/>
      </c>
      <c r="L790" s="44" t="str">
        <f>IFERROR(IF(MARÍTIMOS[[#This Row],[Conductor]]="","",MARÍTIMOS[[#This Row],[Conductor]]),"")</f>
        <v/>
      </c>
      <c r="M790" s="2" t="str">
        <f>IFERROR(IF(MARÍTIMOS[[#This Row],[Licencia]]="","",MARÍTIMOS[[#This Row],[Licencia]]),"")</f>
        <v/>
      </c>
      <c r="N790" s="2" t="str">
        <f>IFERROR(IF(MARÍTIMOS[[#This Row],[Número de Contacto]]="","",MARÍTIMOS[[#This Row],[Número de Contacto]]),"")</f>
        <v/>
      </c>
      <c r="O790" s="10" t="str">
        <f>IFERROR(IF(MARÍTIMOS[[#This Row],[Booking|AWB|CRT]]="","",MARÍTIMOS[[#This Row],[Booking|AWB|CRT]]),"")</f>
        <v/>
      </c>
      <c r="P790" s="2" t="str">
        <f>IFERROR(IF(MARÍTIMOS[[#This Row],[Contenedor]]="","",MARÍTIMOS[[#This Row],[Contenedor]]),"")</f>
        <v/>
      </c>
      <c r="Q790" s="2" t="str">
        <f>IFERROR(IF(MARÍTIMOS[[#This Row],[Puerto de Retiro]]="","",MARÍTIMOS[[#This Row],[Puerto de Retiro]]),"")</f>
        <v/>
      </c>
      <c r="R790" s="2" t="str">
        <f>IFERROR(IF(MARÍTIMOS[[#This Row],[Almacén de Retiro]]="","",MARÍTIMOS[[#This Row],[Almacén de Retiro]]),"")</f>
        <v/>
      </c>
      <c r="S790" s="11" t="str">
        <f>IFERROR(IF(MARÍTIMOS[[#This Row],[Etapa Retiro - Cita]]="","",MARÍTIMOS[[#This Row],[Etapa Retiro - Cita]]),"")</f>
        <v/>
      </c>
      <c r="T790" s="11" t="str">
        <f>IFERROR(IF(MARÍTIMOS[[#This Row],[Etapa Retiro - Llegada]]="","",MARÍTIMOS[[#This Row],[Etapa Retiro - Llegada]]),"")</f>
        <v/>
      </c>
      <c r="U790" s="11" t="str">
        <f>IFERROR(IF(MARÍTIMOS[[#This Row],[Etapa Retiro - Ingreso]]="","",MARÍTIMOS[[#This Row],[Etapa Retiro - Ingreso]]),"")</f>
        <v/>
      </c>
      <c r="V790" s="11" t="str">
        <f>IFERROR(IF(MARÍTIMOS[[#This Row],[Etapa Retiro - Atención]]="","",MARÍTIMOS[[#This Row],[Etapa Retiro - Atención]]),"")</f>
        <v/>
      </c>
      <c r="W790" s="11" t="str">
        <f>IFERROR(IF(MARÍTIMOS[[#This Row],[Etapa Retiro - Atención]]="","",MARÍTIMOS[[#This Row],[Etapa Retiro - Atención]]),"")</f>
        <v/>
      </c>
      <c r="X790" s="11" t="str">
        <f>IFERROR(IF(MARÍTIMOS[[#This Row],[Etapa Retiro - Inicio de Ruta]]="","",MARÍTIMOS[[#This Row],[Etapa Retiro - Inicio de Ruta]]),"")</f>
        <v/>
      </c>
      <c r="Y790" s="11" t="str">
        <f>IFERROR(IF(MARÍTIMOS[[#This Row],[Hora de Posicionamiento]]="","",MARÍTIMOS[[#This Row],[Fecha de Carga]]+MARÍTIMOS[[#This Row],[Hora de Posicionamiento]]),"")</f>
        <v/>
      </c>
      <c r="Z790" s="11" t="str">
        <f>IFERROR(IF(MARÍTIMOS[[#This Row],[Etapa Despacho - Llegada]]="","",MARÍTIMOS[[#This Row],[Etapa Despacho - Llegada]]),"")</f>
        <v/>
      </c>
      <c r="AA790" s="11" t="str">
        <f>IFERROR(IF(MARÍTIMOS[[#This Row],[Etapa Despacho - Registro]]="","",MARÍTIMOS[[#This Row],[Etapa Despacho - Registro]]),"")</f>
        <v/>
      </c>
      <c r="AB790" s="11" t="str">
        <f>IFERROR(IF(MARÍTIMOS[[#This Row],[Inspección Externa]]="","",MARÍTIMOS[[#This Row],[Inspección Externa]]),"")</f>
        <v/>
      </c>
      <c r="AC790" s="11" t="str">
        <f>IFERROR(IF(MARÍTIMOS[[#This Row],[Etapa Despacho - Inicio de Carga]]="","",MARÍTIMOS[[#This Row],[Etapa Despacho - Inicio de Carga]]),"")</f>
        <v/>
      </c>
      <c r="AD790" s="11" t="str">
        <f>IFERROR(IF(MARÍTIMOS[[#This Row],[Etapa Despacho - Mitad de Carga]]="","",MARÍTIMOS[[#This Row],[Etapa Despacho - Mitad de Carga]]),"")</f>
        <v/>
      </c>
      <c r="AE790" s="11" t="str">
        <f>IFERROR(IF(MARÍTIMOS[[#This Row],[Etapa Despacho - Fin de Carga]]="","",MARÍTIMOS[[#This Row],[Etapa Despacho - Fin de Carga]]),"")</f>
        <v/>
      </c>
      <c r="AF790" s="2" t="str">
        <f>IFERROR(IF(MARÍTIMOS[[#This Row],[Puerto de Embarque]]="","",MARÍTIMOS[[#This Row],[Puerto de Embarque]]),"")</f>
        <v/>
      </c>
      <c r="AG790" s="2" t="str">
        <f>IFERROR(IF(MARÍTIMOS[[#This Row],[Almacén de Ingreso]]="","",MARÍTIMOS[[#This Row],[Almacén de Ingreso]]),"")</f>
        <v/>
      </c>
      <c r="AH790" s="11" t="str">
        <f>IFERROR(IF(MARÍTIMOS[[#This Row],[Etapa Ingreso - Cita]]="","",MARÍTIMOS[[#This Row],[Etapa Ingreso - Cita]]),"")</f>
        <v/>
      </c>
      <c r="AI790" s="11" t="str">
        <f>IFERROR(IF(MARÍTIMOS[[#This Row],[Etapa Ingreso - Llegada]]="","",MARÍTIMOS[[#This Row],[Etapa Ingreso - Llegada]]),"")</f>
        <v/>
      </c>
      <c r="AJ790" s="11" t="str">
        <f>IFERROR(IF(MARÍTIMOS[[#This Row],[Etapa Ingreso - Ingeso]]="","",MARÍTIMOS[[#This Row],[Etapa Ingreso - Ingeso]]),"")</f>
        <v/>
      </c>
      <c r="AK790" s="11" t="str">
        <f>IFERROR(IF(MARÍTIMOS[[#This Row],[Etapa Ingreso - Atención]]="","",MARÍTIMOS[[#This Row],[Etapa Ingreso - Atención]]),"")</f>
        <v/>
      </c>
      <c r="AL790" s="11" t="str">
        <f>IFERROR(IF(MARÍTIMOS[[#This Row],[Etapa Ingreso - Salida]]="","",MARÍTIMOS[[#This Row],[Etapa Ingreso - Salida]]),"")</f>
        <v/>
      </c>
      <c r="AM790" s="2" t="str">
        <f>IFERROR(IF(MARÍTIMOS[[#This Row],[FCL]]="","",MARÍTIMOS[[#This Row],[FCL]]),"")</f>
        <v/>
      </c>
      <c r="AN7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0" s="4" t="str" cm="1">
        <f t="array" ref="AO7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0" s="5" t="str">
        <f>IFERROR(OLDBD[[#This Row],[Llegada a packing]]-OLDBD[[#This Row],[Inicio de Ruta]],"")</f>
        <v/>
      </c>
      <c r="AQ790" s="6" t="str">
        <f>IFERROR(OLDBD[[#This Row],[Inicio de Ruta]]-OLDBD[[#This Row],[Salida de almacén de retiro]],"")</f>
        <v/>
      </c>
      <c r="AR7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0" s="8" t="str" cm="1">
        <f t="array" ref="AS7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0" s="9" t="str">
        <f>IFERROR(OLDBD[[#This Row],[Ingreso Packing]]-OLDBD[[#This Row],[Registro en Packing]],"")</f>
        <v/>
      </c>
      <c r="AV790" s="9" t="str">
        <f>IFERROR(OLDBD[[#This Row],[Ingreso Packing]]-OLDBD[[#This Row],[Llegada a packing]],"")</f>
        <v/>
      </c>
      <c r="AW7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0" s="5" t="str">
        <f>IFERROR(OLDBD[[#This Row],[Llegada Almacén de Ingreso]]-OLDBD[[#This Row],[Salida Packing]],"")</f>
        <v/>
      </c>
      <c r="AY790" s="4" t="str" cm="1">
        <f t="array" ref="AY7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0" s="43" t="s">
        <v>173</v>
      </c>
      <c r="BB790" s="47" t="str">
        <f>IFERROR(IF(MARÍTIMOS[[#This Row],[Estatus]]="","",MARÍTIMOS[[#This Row],[Estatus]]),"")</f>
        <v/>
      </c>
      <c r="BC790" s="43"/>
      <c r="BD790" s="46" t="str">
        <f>IFERROR(OLDBD[[#This Row],[Salida de almacén de retiro]]-OLDBD[[#This Row],[Ingreso Almacén de retiro]],"")</f>
        <v/>
      </c>
      <c r="BE790" s="46" t="str">
        <f>IFERROR(OLDBD[[#This Row],[Fin de Carga]]-OLDBD[[#This Row],[Inicio de Carga]],"")</f>
        <v/>
      </c>
    </row>
    <row r="791" spans="1:57" customFormat="1" hidden="1">
      <c r="A791" s="1"/>
      <c r="B791" s="1" t="str">
        <f>IFERROR(IF(MARÍTIMOS[[#This Row],[PP]]="","",MARÍTIMOS[[#This Row],[PP]]),"")</f>
        <v/>
      </c>
      <c r="C791" s="1" t="str">
        <f>IFERROR(IF(MARÍTIMOS[[#This Row],[Sede]]="","",MARÍTIMOS[[#This Row],[Sede]]),"")</f>
        <v/>
      </c>
      <c r="D791" s="1" t="str">
        <f>IFERROR(IF(MARÍTIMOS[[#This Row],[Instruction]]="","",MARÍTIMOS[[#This Row],[Instruction]]),"")</f>
        <v/>
      </c>
      <c r="E791" s="1"/>
      <c r="F791" s="2" t="str">
        <f>IFERROR(IF(MARÍTIMOS[[#This Row],[Transportista]]="","",MARÍTIMOS[[#This Row],[Transportista]]),"")</f>
        <v/>
      </c>
      <c r="G791" s="2" t="str">
        <f>IFERROR(IF(MARÍTIMOS[[#This Row],[Tercero]]="","",MARÍTIMOS[[#This Row],[Tercero]]),"")</f>
        <v/>
      </c>
      <c r="H791" s="2" t="str">
        <f>IFERROR(IF(MARÍTIMOS[[#This Row],[Razón Social]]="","",MARÍTIMOS[[#This Row],[Razón Social]]),"")</f>
        <v/>
      </c>
      <c r="I791" s="2" t="str">
        <f>IFERROR(IF(MARÍTIMOS[[#This Row],[RUC]]="","",MARÍTIMOS[[#This Row],[RUC]]),"")</f>
        <v/>
      </c>
      <c r="J791" s="2" t="str">
        <f>IFERROR(IF(MARÍTIMOS[[#This Row],[Placa Tracto]]="","",MARÍTIMOS[[#This Row],[Placa Tracto]]),"")</f>
        <v/>
      </c>
      <c r="K791" s="2" t="str">
        <f>IFERROR(IF(MARÍTIMOS[[#This Row],[Placa Carreta]]="","",MARÍTIMOS[[#This Row],[Placa Carreta]]),"")</f>
        <v/>
      </c>
      <c r="L791" s="44" t="str">
        <f>IFERROR(IF(MARÍTIMOS[[#This Row],[Conductor]]="","",MARÍTIMOS[[#This Row],[Conductor]]),"")</f>
        <v/>
      </c>
      <c r="M791" s="2" t="str">
        <f>IFERROR(IF(MARÍTIMOS[[#This Row],[Licencia]]="","",MARÍTIMOS[[#This Row],[Licencia]]),"")</f>
        <v/>
      </c>
      <c r="N791" s="2" t="str">
        <f>IFERROR(IF(MARÍTIMOS[[#This Row],[Número de Contacto]]="","",MARÍTIMOS[[#This Row],[Número de Contacto]]),"")</f>
        <v/>
      </c>
      <c r="O791" s="10" t="str">
        <f>IFERROR(IF(MARÍTIMOS[[#This Row],[Booking|AWB|CRT]]="","",MARÍTIMOS[[#This Row],[Booking|AWB|CRT]]),"")</f>
        <v/>
      </c>
      <c r="P791" s="2" t="str">
        <f>IFERROR(IF(MARÍTIMOS[[#This Row],[Contenedor]]="","",MARÍTIMOS[[#This Row],[Contenedor]]),"")</f>
        <v/>
      </c>
      <c r="Q791" s="2" t="str">
        <f>IFERROR(IF(MARÍTIMOS[[#This Row],[Puerto de Retiro]]="","",MARÍTIMOS[[#This Row],[Puerto de Retiro]]),"")</f>
        <v/>
      </c>
      <c r="R791" s="2" t="str">
        <f>IFERROR(IF(MARÍTIMOS[[#This Row],[Almacén de Retiro]]="","",MARÍTIMOS[[#This Row],[Almacén de Retiro]]),"")</f>
        <v/>
      </c>
      <c r="S791" s="11" t="str">
        <f>IFERROR(IF(MARÍTIMOS[[#This Row],[Etapa Retiro - Cita]]="","",MARÍTIMOS[[#This Row],[Etapa Retiro - Cita]]),"")</f>
        <v/>
      </c>
      <c r="T791" s="11" t="str">
        <f>IFERROR(IF(MARÍTIMOS[[#This Row],[Etapa Retiro - Llegada]]="","",MARÍTIMOS[[#This Row],[Etapa Retiro - Llegada]]),"")</f>
        <v/>
      </c>
      <c r="U791" s="11" t="str">
        <f>IFERROR(IF(MARÍTIMOS[[#This Row],[Etapa Retiro - Ingreso]]="","",MARÍTIMOS[[#This Row],[Etapa Retiro - Ingreso]]),"")</f>
        <v/>
      </c>
      <c r="V791" s="11" t="str">
        <f>IFERROR(IF(MARÍTIMOS[[#This Row],[Etapa Retiro - Atención]]="","",MARÍTIMOS[[#This Row],[Etapa Retiro - Atención]]),"")</f>
        <v/>
      </c>
      <c r="W791" s="11" t="str">
        <f>IFERROR(IF(MARÍTIMOS[[#This Row],[Etapa Retiro - Atención]]="","",MARÍTIMOS[[#This Row],[Etapa Retiro - Atención]]),"")</f>
        <v/>
      </c>
      <c r="X791" s="11" t="str">
        <f>IFERROR(IF(MARÍTIMOS[[#This Row],[Etapa Retiro - Inicio de Ruta]]="","",MARÍTIMOS[[#This Row],[Etapa Retiro - Inicio de Ruta]]),"")</f>
        <v/>
      </c>
      <c r="Y791" s="11" t="str">
        <f>IFERROR(IF(MARÍTIMOS[[#This Row],[Hora de Posicionamiento]]="","",MARÍTIMOS[[#This Row],[Fecha de Carga]]+MARÍTIMOS[[#This Row],[Hora de Posicionamiento]]),"")</f>
        <v/>
      </c>
      <c r="Z791" s="11" t="str">
        <f>IFERROR(IF(MARÍTIMOS[[#This Row],[Etapa Despacho - Llegada]]="","",MARÍTIMOS[[#This Row],[Etapa Despacho - Llegada]]),"")</f>
        <v/>
      </c>
      <c r="AA791" s="11" t="str">
        <f>IFERROR(IF(MARÍTIMOS[[#This Row],[Etapa Despacho - Registro]]="","",MARÍTIMOS[[#This Row],[Etapa Despacho - Registro]]),"")</f>
        <v/>
      </c>
      <c r="AB791" s="11" t="str">
        <f>IFERROR(IF(MARÍTIMOS[[#This Row],[Inspección Externa]]="","",MARÍTIMOS[[#This Row],[Inspección Externa]]),"")</f>
        <v/>
      </c>
      <c r="AC791" s="11" t="str">
        <f>IFERROR(IF(MARÍTIMOS[[#This Row],[Etapa Despacho - Inicio de Carga]]="","",MARÍTIMOS[[#This Row],[Etapa Despacho - Inicio de Carga]]),"")</f>
        <v/>
      </c>
      <c r="AD791" s="11" t="str">
        <f>IFERROR(IF(MARÍTIMOS[[#This Row],[Etapa Despacho - Mitad de Carga]]="","",MARÍTIMOS[[#This Row],[Etapa Despacho - Mitad de Carga]]),"")</f>
        <v/>
      </c>
      <c r="AE791" s="11" t="str">
        <f>IFERROR(IF(MARÍTIMOS[[#This Row],[Etapa Despacho - Fin de Carga]]="","",MARÍTIMOS[[#This Row],[Etapa Despacho - Fin de Carga]]),"")</f>
        <v/>
      </c>
      <c r="AF791" s="2" t="str">
        <f>IFERROR(IF(MARÍTIMOS[[#This Row],[Puerto de Embarque]]="","",MARÍTIMOS[[#This Row],[Puerto de Embarque]]),"")</f>
        <v/>
      </c>
      <c r="AG791" s="2" t="str">
        <f>IFERROR(IF(MARÍTIMOS[[#This Row],[Almacén de Ingreso]]="","",MARÍTIMOS[[#This Row],[Almacén de Ingreso]]),"")</f>
        <v/>
      </c>
      <c r="AH791" s="11" t="str">
        <f>IFERROR(IF(MARÍTIMOS[[#This Row],[Etapa Ingreso - Cita]]="","",MARÍTIMOS[[#This Row],[Etapa Ingreso - Cita]]),"")</f>
        <v/>
      </c>
      <c r="AI791" s="11" t="str">
        <f>IFERROR(IF(MARÍTIMOS[[#This Row],[Etapa Ingreso - Llegada]]="","",MARÍTIMOS[[#This Row],[Etapa Ingreso - Llegada]]),"")</f>
        <v/>
      </c>
      <c r="AJ791" s="11" t="str">
        <f>IFERROR(IF(MARÍTIMOS[[#This Row],[Etapa Ingreso - Ingeso]]="","",MARÍTIMOS[[#This Row],[Etapa Ingreso - Ingeso]]),"")</f>
        <v/>
      </c>
      <c r="AK791" s="11" t="str">
        <f>IFERROR(IF(MARÍTIMOS[[#This Row],[Etapa Ingreso - Atención]]="","",MARÍTIMOS[[#This Row],[Etapa Ingreso - Atención]]),"")</f>
        <v/>
      </c>
      <c r="AL791" s="11" t="str">
        <f>IFERROR(IF(MARÍTIMOS[[#This Row],[Etapa Ingreso - Salida]]="","",MARÍTIMOS[[#This Row],[Etapa Ingreso - Salida]]),"")</f>
        <v/>
      </c>
      <c r="AM791" s="2" t="str">
        <f>IFERROR(IF(MARÍTIMOS[[#This Row],[FCL]]="","",MARÍTIMOS[[#This Row],[FCL]]),"")</f>
        <v/>
      </c>
      <c r="AN7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1" s="4" t="str" cm="1">
        <f t="array" ref="AO7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1" s="5" t="str">
        <f>IFERROR(OLDBD[[#This Row],[Llegada a packing]]-OLDBD[[#This Row],[Inicio de Ruta]],"")</f>
        <v/>
      </c>
      <c r="AQ791" s="6" t="str">
        <f>IFERROR(OLDBD[[#This Row],[Inicio de Ruta]]-OLDBD[[#This Row],[Salida de almacén de retiro]],"")</f>
        <v/>
      </c>
      <c r="AR7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1" s="8" t="str" cm="1">
        <f t="array" ref="AS7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1" s="9" t="str">
        <f>IFERROR(OLDBD[[#This Row],[Ingreso Packing]]-OLDBD[[#This Row],[Registro en Packing]],"")</f>
        <v/>
      </c>
      <c r="AV791" s="9" t="str">
        <f>IFERROR(OLDBD[[#This Row],[Ingreso Packing]]-OLDBD[[#This Row],[Llegada a packing]],"")</f>
        <v/>
      </c>
      <c r="AW7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1" s="5" t="str">
        <f>IFERROR(OLDBD[[#This Row],[Llegada Almacén de Ingreso]]-OLDBD[[#This Row],[Salida Packing]],"")</f>
        <v/>
      </c>
      <c r="AY791" s="4" t="str" cm="1">
        <f t="array" ref="AY7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1" s="43" t="s">
        <v>173</v>
      </c>
      <c r="BB791" s="47" t="str">
        <f>IFERROR(IF(MARÍTIMOS[[#This Row],[Estatus]]="","",MARÍTIMOS[[#This Row],[Estatus]]),"")</f>
        <v/>
      </c>
      <c r="BC791" s="43"/>
      <c r="BD791" s="46" t="str">
        <f>IFERROR(OLDBD[[#This Row],[Salida de almacén de retiro]]-OLDBD[[#This Row],[Ingreso Almacén de retiro]],"")</f>
        <v/>
      </c>
      <c r="BE791" s="46" t="str">
        <f>IFERROR(OLDBD[[#This Row],[Fin de Carga]]-OLDBD[[#This Row],[Inicio de Carga]],"")</f>
        <v/>
      </c>
    </row>
    <row r="792" spans="1:57" customFormat="1" hidden="1">
      <c r="A792" s="1"/>
      <c r="B792" s="1" t="str">
        <f>IFERROR(IF(MARÍTIMOS[[#This Row],[PP]]="","",MARÍTIMOS[[#This Row],[PP]]),"")</f>
        <v/>
      </c>
      <c r="C792" s="1" t="str">
        <f>IFERROR(IF(MARÍTIMOS[[#This Row],[Sede]]="","",MARÍTIMOS[[#This Row],[Sede]]),"")</f>
        <v/>
      </c>
      <c r="D792" s="1" t="str">
        <f>IFERROR(IF(MARÍTIMOS[[#This Row],[Instruction]]="","",MARÍTIMOS[[#This Row],[Instruction]]),"")</f>
        <v/>
      </c>
      <c r="E792" s="1"/>
      <c r="F792" s="2" t="str">
        <f>IFERROR(IF(MARÍTIMOS[[#This Row],[Transportista]]="","",MARÍTIMOS[[#This Row],[Transportista]]),"")</f>
        <v/>
      </c>
      <c r="G792" s="2" t="str">
        <f>IFERROR(IF(MARÍTIMOS[[#This Row],[Tercero]]="","",MARÍTIMOS[[#This Row],[Tercero]]),"")</f>
        <v/>
      </c>
      <c r="H792" s="2" t="str">
        <f>IFERROR(IF(MARÍTIMOS[[#This Row],[Razón Social]]="","",MARÍTIMOS[[#This Row],[Razón Social]]),"")</f>
        <v/>
      </c>
      <c r="I792" s="2" t="str">
        <f>IFERROR(IF(MARÍTIMOS[[#This Row],[RUC]]="","",MARÍTIMOS[[#This Row],[RUC]]),"")</f>
        <v/>
      </c>
      <c r="J792" s="2" t="str">
        <f>IFERROR(IF(MARÍTIMOS[[#This Row],[Placa Tracto]]="","",MARÍTIMOS[[#This Row],[Placa Tracto]]),"")</f>
        <v/>
      </c>
      <c r="K792" s="2" t="str">
        <f>IFERROR(IF(MARÍTIMOS[[#This Row],[Placa Carreta]]="","",MARÍTIMOS[[#This Row],[Placa Carreta]]),"")</f>
        <v/>
      </c>
      <c r="L792" s="44" t="str">
        <f>IFERROR(IF(MARÍTIMOS[[#This Row],[Conductor]]="","",MARÍTIMOS[[#This Row],[Conductor]]),"")</f>
        <v/>
      </c>
      <c r="M792" s="2" t="str">
        <f>IFERROR(IF(MARÍTIMOS[[#This Row],[Licencia]]="","",MARÍTIMOS[[#This Row],[Licencia]]),"")</f>
        <v/>
      </c>
      <c r="N792" s="2" t="str">
        <f>IFERROR(IF(MARÍTIMOS[[#This Row],[Número de Contacto]]="","",MARÍTIMOS[[#This Row],[Número de Contacto]]),"")</f>
        <v/>
      </c>
      <c r="O792" s="10" t="str">
        <f>IFERROR(IF(MARÍTIMOS[[#This Row],[Booking|AWB|CRT]]="","",MARÍTIMOS[[#This Row],[Booking|AWB|CRT]]),"")</f>
        <v/>
      </c>
      <c r="P792" s="2" t="str">
        <f>IFERROR(IF(MARÍTIMOS[[#This Row],[Contenedor]]="","",MARÍTIMOS[[#This Row],[Contenedor]]),"")</f>
        <v/>
      </c>
      <c r="Q792" s="2" t="str">
        <f>IFERROR(IF(MARÍTIMOS[[#This Row],[Puerto de Retiro]]="","",MARÍTIMOS[[#This Row],[Puerto de Retiro]]),"")</f>
        <v/>
      </c>
      <c r="R792" s="2" t="str">
        <f>IFERROR(IF(MARÍTIMOS[[#This Row],[Almacén de Retiro]]="","",MARÍTIMOS[[#This Row],[Almacén de Retiro]]),"")</f>
        <v/>
      </c>
      <c r="S792" s="11" t="str">
        <f>IFERROR(IF(MARÍTIMOS[[#This Row],[Etapa Retiro - Cita]]="","",MARÍTIMOS[[#This Row],[Etapa Retiro - Cita]]),"")</f>
        <v/>
      </c>
      <c r="T792" s="11" t="str">
        <f>IFERROR(IF(MARÍTIMOS[[#This Row],[Etapa Retiro - Llegada]]="","",MARÍTIMOS[[#This Row],[Etapa Retiro - Llegada]]),"")</f>
        <v/>
      </c>
      <c r="U792" s="11" t="str">
        <f>IFERROR(IF(MARÍTIMOS[[#This Row],[Etapa Retiro - Ingreso]]="","",MARÍTIMOS[[#This Row],[Etapa Retiro - Ingreso]]),"")</f>
        <v/>
      </c>
      <c r="V792" s="11" t="str">
        <f>IFERROR(IF(MARÍTIMOS[[#This Row],[Etapa Retiro - Atención]]="","",MARÍTIMOS[[#This Row],[Etapa Retiro - Atención]]),"")</f>
        <v/>
      </c>
      <c r="W792" s="11" t="str">
        <f>IFERROR(IF(MARÍTIMOS[[#This Row],[Etapa Retiro - Atención]]="","",MARÍTIMOS[[#This Row],[Etapa Retiro - Atención]]),"")</f>
        <v/>
      </c>
      <c r="X792" s="11" t="str">
        <f>IFERROR(IF(MARÍTIMOS[[#This Row],[Etapa Retiro - Inicio de Ruta]]="","",MARÍTIMOS[[#This Row],[Etapa Retiro - Inicio de Ruta]]),"")</f>
        <v/>
      </c>
      <c r="Y792" s="11" t="str">
        <f>IFERROR(IF(MARÍTIMOS[[#This Row],[Hora de Posicionamiento]]="","",MARÍTIMOS[[#This Row],[Fecha de Carga]]+MARÍTIMOS[[#This Row],[Hora de Posicionamiento]]),"")</f>
        <v/>
      </c>
      <c r="Z792" s="11" t="str">
        <f>IFERROR(IF(MARÍTIMOS[[#This Row],[Etapa Despacho - Llegada]]="","",MARÍTIMOS[[#This Row],[Etapa Despacho - Llegada]]),"")</f>
        <v/>
      </c>
      <c r="AA792" s="11" t="str">
        <f>IFERROR(IF(MARÍTIMOS[[#This Row],[Etapa Despacho - Registro]]="","",MARÍTIMOS[[#This Row],[Etapa Despacho - Registro]]),"")</f>
        <v/>
      </c>
      <c r="AB792" s="11" t="str">
        <f>IFERROR(IF(MARÍTIMOS[[#This Row],[Inspección Externa]]="","",MARÍTIMOS[[#This Row],[Inspección Externa]]),"")</f>
        <v/>
      </c>
      <c r="AC792" s="11" t="str">
        <f>IFERROR(IF(MARÍTIMOS[[#This Row],[Etapa Despacho - Inicio de Carga]]="","",MARÍTIMOS[[#This Row],[Etapa Despacho - Inicio de Carga]]),"")</f>
        <v/>
      </c>
      <c r="AD792" s="11" t="str">
        <f>IFERROR(IF(MARÍTIMOS[[#This Row],[Etapa Despacho - Mitad de Carga]]="","",MARÍTIMOS[[#This Row],[Etapa Despacho - Mitad de Carga]]),"")</f>
        <v/>
      </c>
      <c r="AE792" s="11" t="str">
        <f>IFERROR(IF(MARÍTIMOS[[#This Row],[Etapa Despacho - Fin de Carga]]="","",MARÍTIMOS[[#This Row],[Etapa Despacho - Fin de Carga]]),"")</f>
        <v/>
      </c>
      <c r="AF792" s="2" t="str">
        <f>IFERROR(IF(MARÍTIMOS[[#This Row],[Puerto de Embarque]]="","",MARÍTIMOS[[#This Row],[Puerto de Embarque]]),"")</f>
        <v/>
      </c>
      <c r="AG792" s="2" t="str">
        <f>IFERROR(IF(MARÍTIMOS[[#This Row],[Almacén de Ingreso]]="","",MARÍTIMOS[[#This Row],[Almacén de Ingreso]]),"")</f>
        <v/>
      </c>
      <c r="AH792" s="11" t="str">
        <f>IFERROR(IF(MARÍTIMOS[[#This Row],[Etapa Ingreso - Cita]]="","",MARÍTIMOS[[#This Row],[Etapa Ingreso - Cita]]),"")</f>
        <v/>
      </c>
      <c r="AI792" s="11" t="str">
        <f>IFERROR(IF(MARÍTIMOS[[#This Row],[Etapa Ingreso - Llegada]]="","",MARÍTIMOS[[#This Row],[Etapa Ingreso - Llegada]]),"")</f>
        <v/>
      </c>
      <c r="AJ792" s="11" t="str">
        <f>IFERROR(IF(MARÍTIMOS[[#This Row],[Etapa Ingreso - Ingeso]]="","",MARÍTIMOS[[#This Row],[Etapa Ingreso - Ingeso]]),"")</f>
        <v/>
      </c>
      <c r="AK792" s="11" t="str">
        <f>IFERROR(IF(MARÍTIMOS[[#This Row],[Etapa Ingreso - Atención]]="","",MARÍTIMOS[[#This Row],[Etapa Ingreso - Atención]]),"")</f>
        <v/>
      </c>
      <c r="AL792" s="11" t="str">
        <f>IFERROR(IF(MARÍTIMOS[[#This Row],[Etapa Ingreso - Salida]]="","",MARÍTIMOS[[#This Row],[Etapa Ingreso - Salida]]),"")</f>
        <v/>
      </c>
      <c r="AM792" s="2" t="str">
        <f>IFERROR(IF(MARÍTIMOS[[#This Row],[FCL]]="","",MARÍTIMOS[[#This Row],[FCL]]),"")</f>
        <v/>
      </c>
      <c r="AN7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2" s="4" t="str" cm="1">
        <f t="array" ref="AO7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2" s="5" t="str">
        <f>IFERROR(OLDBD[[#This Row],[Llegada a packing]]-OLDBD[[#This Row],[Inicio de Ruta]],"")</f>
        <v/>
      </c>
      <c r="AQ792" s="6" t="str">
        <f>IFERROR(OLDBD[[#This Row],[Inicio de Ruta]]-OLDBD[[#This Row],[Salida de almacén de retiro]],"")</f>
        <v/>
      </c>
      <c r="AR7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2" s="8" t="str" cm="1">
        <f t="array" ref="AS7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2" s="9" t="str">
        <f>IFERROR(OLDBD[[#This Row],[Ingreso Packing]]-OLDBD[[#This Row],[Registro en Packing]],"")</f>
        <v/>
      </c>
      <c r="AV792" s="9" t="str">
        <f>IFERROR(OLDBD[[#This Row],[Ingreso Packing]]-OLDBD[[#This Row],[Llegada a packing]],"")</f>
        <v/>
      </c>
      <c r="AW7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2" s="5" t="str">
        <f>IFERROR(OLDBD[[#This Row],[Llegada Almacén de Ingreso]]-OLDBD[[#This Row],[Salida Packing]],"")</f>
        <v/>
      </c>
      <c r="AY792" s="4" t="str" cm="1">
        <f t="array" ref="AY7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2" s="43" t="s">
        <v>173</v>
      </c>
      <c r="BB792" s="47" t="str">
        <f>IFERROR(IF(MARÍTIMOS[[#This Row],[Estatus]]="","",MARÍTIMOS[[#This Row],[Estatus]]),"")</f>
        <v/>
      </c>
      <c r="BC792" s="43"/>
      <c r="BD792" s="46" t="str">
        <f>IFERROR(OLDBD[[#This Row],[Salida de almacén de retiro]]-OLDBD[[#This Row],[Ingreso Almacén de retiro]],"")</f>
        <v/>
      </c>
      <c r="BE792" s="46" t="str">
        <f>IFERROR(OLDBD[[#This Row],[Fin de Carga]]-OLDBD[[#This Row],[Inicio de Carga]],"")</f>
        <v/>
      </c>
    </row>
    <row r="793" spans="1:57" customFormat="1" hidden="1">
      <c r="A793" s="1"/>
      <c r="B793" s="1" t="str">
        <f>IFERROR(IF(MARÍTIMOS[[#This Row],[PP]]="","",MARÍTIMOS[[#This Row],[PP]]),"")</f>
        <v/>
      </c>
      <c r="C793" s="1" t="str">
        <f>IFERROR(IF(MARÍTIMOS[[#This Row],[Sede]]="","",MARÍTIMOS[[#This Row],[Sede]]),"")</f>
        <v/>
      </c>
      <c r="D793" s="1" t="str">
        <f>IFERROR(IF(MARÍTIMOS[[#This Row],[Instruction]]="","",MARÍTIMOS[[#This Row],[Instruction]]),"")</f>
        <v/>
      </c>
      <c r="E793" s="1"/>
      <c r="F793" s="2" t="str">
        <f>IFERROR(IF(MARÍTIMOS[[#This Row],[Transportista]]="","",MARÍTIMOS[[#This Row],[Transportista]]),"")</f>
        <v/>
      </c>
      <c r="G793" s="2" t="str">
        <f>IFERROR(IF(MARÍTIMOS[[#This Row],[Tercero]]="","",MARÍTIMOS[[#This Row],[Tercero]]),"")</f>
        <v/>
      </c>
      <c r="H793" s="2" t="str">
        <f>IFERROR(IF(MARÍTIMOS[[#This Row],[Razón Social]]="","",MARÍTIMOS[[#This Row],[Razón Social]]),"")</f>
        <v/>
      </c>
      <c r="I793" s="2" t="str">
        <f>IFERROR(IF(MARÍTIMOS[[#This Row],[RUC]]="","",MARÍTIMOS[[#This Row],[RUC]]),"")</f>
        <v/>
      </c>
      <c r="J793" s="2" t="str">
        <f>IFERROR(IF(MARÍTIMOS[[#This Row],[Placa Tracto]]="","",MARÍTIMOS[[#This Row],[Placa Tracto]]),"")</f>
        <v/>
      </c>
      <c r="K793" s="2" t="str">
        <f>IFERROR(IF(MARÍTIMOS[[#This Row],[Placa Carreta]]="","",MARÍTIMOS[[#This Row],[Placa Carreta]]),"")</f>
        <v/>
      </c>
      <c r="L793" s="44" t="str">
        <f>IFERROR(IF(MARÍTIMOS[[#This Row],[Conductor]]="","",MARÍTIMOS[[#This Row],[Conductor]]),"")</f>
        <v/>
      </c>
      <c r="M793" s="2" t="str">
        <f>IFERROR(IF(MARÍTIMOS[[#This Row],[Licencia]]="","",MARÍTIMOS[[#This Row],[Licencia]]),"")</f>
        <v/>
      </c>
      <c r="N793" s="2" t="str">
        <f>IFERROR(IF(MARÍTIMOS[[#This Row],[Número de Contacto]]="","",MARÍTIMOS[[#This Row],[Número de Contacto]]),"")</f>
        <v/>
      </c>
      <c r="O793" s="10" t="str">
        <f>IFERROR(IF(MARÍTIMOS[[#This Row],[Booking|AWB|CRT]]="","",MARÍTIMOS[[#This Row],[Booking|AWB|CRT]]),"")</f>
        <v/>
      </c>
      <c r="P793" s="2" t="str">
        <f>IFERROR(IF(MARÍTIMOS[[#This Row],[Contenedor]]="","",MARÍTIMOS[[#This Row],[Contenedor]]),"")</f>
        <v/>
      </c>
      <c r="Q793" s="2" t="str">
        <f>IFERROR(IF(MARÍTIMOS[[#This Row],[Puerto de Retiro]]="","",MARÍTIMOS[[#This Row],[Puerto de Retiro]]),"")</f>
        <v/>
      </c>
      <c r="R793" s="2" t="str">
        <f>IFERROR(IF(MARÍTIMOS[[#This Row],[Almacén de Retiro]]="","",MARÍTIMOS[[#This Row],[Almacén de Retiro]]),"")</f>
        <v/>
      </c>
      <c r="S793" s="11" t="str">
        <f>IFERROR(IF(MARÍTIMOS[[#This Row],[Etapa Retiro - Cita]]="","",MARÍTIMOS[[#This Row],[Etapa Retiro - Cita]]),"")</f>
        <v/>
      </c>
      <c r="T793" s="11" t="str">
        <f>IFERROR(IF(MARÍTIMOS[[#This Row],[Etapa Retiro - Llegada]]="","",MARÍTIMOS[[#This Row],[Etapa Retiro - Llegada]]),"")</f>
        <v/>
      </c>
      <c r="U793" s="11" t="str">
        <f>IFERROR(IF(MARÍTIMOS[[#This Row],[Etapa Retiro - Ingreso]]="","",MARÍTIMOS[[#This Row],[Etapa Retiro - Ingreso]]),"")</f>
        <v/>
      </c>
      <c r="V793" s="11" t="str">
        <f>IFERROR(IF(MARÍTIMOS[[#This Row],[Etapa Retiro - Atención]]="","",MARÍTIMOS[[#This Row],[Etapa Retiro - Atención]]),"")</f>
        <v/>
      </c>
      <c r="W793" s="11" t="str">
        <f>IFERROR(IF(MARÍTIMOS[[#This Row],[Etapa Retiro - Atención]]="","",MARÍTIMOS[[#This Row],[Etapa Retiro - Atención]]),"")</f>
        <v/>
      </c>
      <c r="X793" s="11" t="str">
        <f>IFERROR(IF(MARÍTIMOS[[#This Row],[Etapa Retiro - Inicio de Ruta]]="","",MARÍTIMOS[[#This Row],[Etapa Retiro - Inicio de Ruta]]),"")</f>
        <v/>
      </c>
      <c r="Y793" s="11" t="str">
        <f>IFERROR(IF(MARÍTIMOS[[#This Row],[Hora de Posicionamiento]]="","",MARÍTIMOS[[#This Row],[Fecha de Carga]]+MARÍTIMOS[[#This Row],[Hora de Posicionamiento]]),"")</f>
        <v/>
      </c>
      <c r="Z793" s="11" t="str">
        <f>IFERROR(IF(MARÍTIMOS[[#This Row],[Etapa Despacho - Llegada]]="","",MARÍTIMOS[[#This Row],[Etapa Despacho - Llegada]]),"")</f>
        <v/>
      </c>
      <c r="AA793" s="11" t="str">
        <f>IFERROR(IF(MARÍTIMOS[[#This Row],[Etapa Despacho - Registro]]="","",MARÍTIMOS[[#This Row],[Etapa Despacho - Registro]]),"")</f>
        <v/>
      </c>
      <c r="AB793" s="11" t="str">
        <f>IFERROR(IF(MARÍTIMOS[[#This Row],[Inspección Externa]]="","",MARÍTIMOS[[#This Row],[Inspección Externa]]),"")</f>
        <v/>
      </c>
      <c r="AC793" s="11" t="str">
        <f>IFERROR(IF(MARÍTIMOS[[#This Row],[Etapa Despacho - Inicio de Carga]]="","",MARÍTIMOS[[#This Row],[Etapa Despacho - Inicio de Carga]]),"")</f>
        <v/>
      </c>
      <c r="AD793" s="11" t="str">
        <f>IFERROR(IF(MARÍTIMOS[[#This Row],[Etapa Despacho - Mitad de Carga]]="","",MARÍTIMOS[[#This Row],[Etapa Despacho - Mitad de Carga]]),"")</f>
        <v/>
      </c>
      <c r="AE793" s="11" t="str">
        <f>IFERROR(IF(MARÍTIMOS[[#This Row],[Etapa Despacho - Fin de Carga]]="","",MARÍTIMOS[[#This Row],[Etapa Despacho - Fin de Carga]]),"")</f>
        <v/>
      </c>
      <c r="AF793" s="2" t="str">
        <f>IFERROR(IF(MARÍTIMOS[[#This Row],[Puerto de Embarque]]="","",MARÍTIMOS[[#This Row],[Puerto de Embarque]]),"")</f>
        <v/>
      </c>
      <c r="AG793" s="2" t="str">
        <f>IFERROR(IF(MARÍTIMOS[[#This Row],[Almacén de Ingreso]]="","",MARÍTIMOS[[#This Row],[Almacén de Ingreso]]),"")</f>
        <v/>
      </c>
      <c r="AH793" s="11" t="str">
        <f>IFERROR(IF(MARÍTIMOS[[#This Row],[Etapa Ingreso - Cita]]="","",MARÍTIMOS[[#This Row],[Etapa Ingreso - Cita]]),"")</f>
        <v/>
      </c>
      <c r="AI793" s="11" t="str">
        <f>IFERROR(IF(MARÍTIMOS[[#This Row],[Etapa Ingreso - Llegada]]="","",MARÍTIMOS[[#This Row],[Etapa Ingreso - Llegada]]),"")</f>
        <v/>
      </c>
      <c r="AJ793" s="11" t="str">
        <f>IFERROR(IF(MARÍTIMOS[[#This Row],[Etapa Ingreso - Ingeso]]="","",MARÍTIMOS[[#This Row],[Etapa Ingreso - Ingeso]]),"")</f>
        <v/>
      </c>
      <c r="AK793" s="11" t="str">
        <f>IFERROR(IF(MARÍTIMOS[[#This Row],[Etapa Ingreso - Atención]]="","",MARÍTIMOS[[#This Row],[Etapa Ingreso - Atención]]),"")</f>
        <v/>
      </c>
      <c r="AL793" s="11" t="str">
        <f>IFERROR(IF(MARÍTIMOS[[#This Row],[Etapa Ingreso - Salida]]="","",MARÍTIMOS[[#This Row],[Etapa Ingreso - Salida]]),"")</f>
        <v/>
      </c>
      <c r="AM793" s="2" t="str">
        <f>IFERROR(IF(MARÍTIMOS[[#This Row],[FCL]]="","",MARÍTIMOS[[#This Row],[FCL]]),"")</f>
        <v/>
      </c>
      <c r="AN7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3" s="4" t="str" cm="1">
        <f t="array" ref="AO7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3" s="5" t="str">
        <f>IFERROR(OLDBD[[#This Row],[Llegada a packing]]-OLDBD[[#This Row],[Inicio de Ruta]],"")</f>
        <v/>
      </c>
      <c r="AQ793" s="6" t="str">
        <f>IFERROR(OLDBD[[#This Row],[Inicio de Ruta]]-OLDBD[[#This Row],[Salida de almacén de retiro]],"")</f>
        <v/>
      </c>
      <c r="AR7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3" s="8" t="str" cm="1">
        <f t="array" ref="AS7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3" s="9" t="str">
        <f>IFERROR(OLDBD[[#This Row],[Ingreso Packing]]-OLDBD[[#This Row],[Registro en Packing]],"")</f>
        <v/>
      </c>
      <c r="AV793" s="9" t="str">
        <f>IFERROR(OLDBD[[#This Row],[Ingreso Packing]]-OLDBD[[#This Row],[Llegada a packing]],"")</f>
        <v/>
      </c>
      <c r="AW7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3" s="5" t="str">
        <f>IFERROR(OLDBD[[#This Row],[Llegada Almacén de Ingreso]]-OLDBD[[#This Row],[Salida Packing]],"")</f>
        <v/>
      </c>
      <c r="AY793" s="4" t="str" cm="1">
        <f t="array" ref="AY7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3" s="43" t="s">
        <v>173</v>
      </c>
      <c r="BB793" s="47" t="str">
        <f>IFERROR(IF(MARÍTIMOS[[#This Row],[Estatus]]="","",MARÍTIMOS[[#This Row],[Estatus]]),"")</f>
        <v/>
      </c>
      <c r="BC793" s="43"/>
      <c r="BD793" s="46" t="str">
        <f>IFERROR(OLDBD[[#This Row],[Salida de almacén de retiro]]-OLDBD[[#This Row],[Ingreso Almacén de retiro]],"")</f>
        <v/>
      </c>
      <c r="BE793" s="46" t="str">
        <f>IFERROR(OLDBD[[#This Row],[Fin de Carga]]-OLDBD[[#This Row],[Inicio de Carga]],"")</f>
        <v/>
      </c>
    </row>
    <row r="794" spans="1:57" customFormat="1" hidden="1">
      <c r="A794" s="1"/>
      <c r="B794" s="1" t="str">
        <f>IFERROR(IF(MARÍTIMOS[[#This Row],[PP]]="","",MARÍTIMOS[[#This Row],[PP]]),"")</f>
        <v/>
      </c>
      <c r="C794" s="1" t="str">
        <f>IFERROR(IF(MARÍTIMOS[[#This Row],[Sede]]="","",MARÍTIMOS[[#This Row],[Sede]]),"")</f>
        <v/>
      </c>
      <c r="D794" s="1" t="str">
        <f>IFERROR(IF(MARÍTIMOS[[#This Row],[Instruction]]="","",MARÍTIMOS[[#This Row],[Instruction]]),"")</f>
        <v/>
      </c>
      <c r="E794" s="1"/>
      <c r="F794" s="2" t="str">
        <f>IFERROR(IF(MARÍTIMOS[[#This Row],[Transportista]]="","",MARÍTIMOS[[#This Row],[Transportista]]),"")</f>
        <v/>
      </c>
      <c r="G794" s="2" t="str">
        <f>IFERROR(IF(MARÍTIMOS[[#This Row],[Tercero]]="","",MARÍTIMOS[[#This Row],[Tercero]]),"")</f>
        <v/>
      </c>
      <c r="H794" s="2" t="str">
        <f>IFERROR(IF(MARÍTIMOS[[#This Row],[Razón Social]]="","",MARÍTIMOS[[#This Row],[Razón Social]]),"")</f>
        <v/>
      </c>
      <c r="I794" s="2" t="str">
        <f>IFERROR(IF(MARÍTIMOS[[#This Row],[RUC]]="","",MARÍTIMOS[[#This Row],[RUC]]),"")</f>
        <v/>
      </c>
      <c r="J794" s="2" t="str">
        <f>IFERROR(IF(MARÍTIMOS[[#This Row],[Placa Tracto]]="","",MARÍTIMOS[[#This Row],[Placa Tracto]]),"")</f>
        <v/>
      </c>
      <c r="K794" s="2" t="str">
        <f>IFERROR(IF(MARÍTIMOS[[#This Row],[Placa Carreta]]="","",MARÍTIMOS[[#This Row],[Placa Carreta]]),"")</f>
        <v/>
      </c>
      <c r="L794" s="44" t="str">
        <f>IFERROR(IF(MARÍTIMOS[[#This Row],[Conductor]]="","",MARÍTIMOS[[#This Row],[Conductor]]),"")</f>
        <v/>
      </c>
      <c r="M794" s="2" t="str">
        <f>IFERROR(IF(MARÍTIMOS[[#This Row],[Licencia]]="","",MARÍTIMOS[[#This Row],[Licencia]]),"")</f>
        <v/>
      </c>
      <c r="N794" s="2" t="str">
        <f>IFERROR(IF(MARÍTIMOS[[#This Row],[Número de Contacto]]="","",MARÍTIMOS[[#This Row],[Número de Contacto]]),"")</f>
        <v/>
      </c>
      <c r="O794" s="10" t="str">
        <f>IFERROR(IF(MARÍTIMOS[[#This Row],[Booking|AWB|CRT]]="","",MARÍTIMOS[[#This Row],[Booking|AWB|CRT]]),"")</f>
        <v/>
      </c>
      <c r="P794" s="2" t="str">
        <f>IFERROR(IF(MARÍTIMOS[[#This Row],[Contenedor]]="","",MARÍTIMOS[[#This Row],[Contenedor]]),"")</f>
        <v/>
      </c>
      <c r="Q794" s="2" t="str">
        <f>IFERROR(IF(MARÍTIMOS[[#This Row],[Puerto de Retiro]]="","",MARÍTIMOS[[#This Row],[Puerto de Retiro]]),"")</f>
        <v/>
      </c>
      <c r="R794" s="2" t="str">
        <f>IFERROR(IF(MARÍTIMOS[[#This Row],[Almacén de Retiro]]="","",MARÍTIMOS[[#This Row],[Almacén de Retiro]]),"")</f>
        <v/>
      </c>
      <c r="S794" s="11" t="str">
        <f>IFERROR(IF(MARÍTIMOS[[#This Row],[Etapa Retiro - Cita]]="","",MARÍTIMOS[[#This Row],[Etapa Retiro - Cita]]),"")</f>
        <v/>
      </c>
      <c r="T794" s="11" t="str">
        <f>IFERROR(IF(MARÍTIMOS[[#This Row],[Etapa Retiro - Llegada]]="","",MARÍTIMOS[[#This Row],[Etapa Retiro - Llegada]]),"")</f>
        <v/>
      </c>
      <c r="U794" s="11" t="str">
        <f>IFERROR(IF(MARÍTIMOS[[#This Row],[Etapa Retiro - Ingreso]]="","",MARÍTIMOS[[#This Row],[Etapa Retiro - Ingreso]]),"")</f>
        <v/>
      </c>
      <c r="V794" s="11" t="str">
        <f>IFERROR(IF(MARÍTIMOS[[#This Row],[Etapa Retiro - Atención]]="","",MARÍTIMOS[[#This Row],[Etapa Retiro - Atención]]),"")</f>
        <v/>
      </c>
      <c r="W794" s="11" t="str">
        <f>IFERROR(IF(MARÍTIMOS[[#This Row],[Etapa Retiro - Atención]]="","",MARÍTIMOS[[#This Row],[Etapa Retiro - Atención]]),"")</f>
        <v/>
      </c>
      <c r="X794" s="11" t="str">
        <f>IFERROR(IF(MARÍTIMOS[[#This Row],[Etapa Retiro - Inicio de Ruta]]="","",MARÍTIMOS[[#This Row],[Etapa Retiro - Inicio de Ruta]]),"")</f>
        <v/>
      </c>
      <c r="Y794" s="11" t="str">
        <f>IFERROR(IF(MARÍTIMOS[[#This Row],[Hora de Posicionamiento]]="","",MARÍTIMOS[[#This Row],[Fecha de Carga]]+MARÍTIMOS[[#This Row],[Hora de Posicionamiento]]),"")</f>
        <v/>
      </c>
      <c r="Z794" s="11" t="str">
        <f>IFERROR(IF(MARÍTIMOS[[#This Row],[Etapa Despacho - Llegada]]="","",MARÍTIMOS[[#This Row],[Etapa Despacho - Llegada]]),"")</f>
        <v/>
      </c>
      <c r="AA794" s="11" t="str">
        <f>IFERROR(IF(MARÍTIMOS[[#This Row],[Etapa Despacho - Registro]]="","",MARÍTIMOS[[#This Row],[Etapa Despacho - Registro]]),"")</f>
        <v/>
      </c>
      <c r="AB794" s="11" t="str">
        <f>IFERROR(IF(MARÍTIMOS[[#This Row],[Inspección Externa]]="","",MARÍTIMOS[[#This Row],[Inspección Externa]]),"")</f>
        <v/>
      </c>
      <c r="AC794" s="11" t="str">
        <f>IFERROR(IF(MARÍTIMOS[[#This Row],[Etapa Despacho - Inicio de Carga]]="","",MARÍTIMOS[[#This Row],[Etapa Despacho - Inicio de Carga]]),"")</f>
        <v/>
      </c>
      <c r="AD794" s="11" t="str">
        <f>IFERROR(IF(MARÍTIMOS[[#This Row],[Etapa Despacho - Mitad de Carga]]="","",MARÍTIMOS[[#This Row],[Etapa Despacho - Mitad de Carga]]),"")</f>
        <v/>
      </c>
      <c r="AE794" s="11" t="str">
        <f>IFERROR(IF(MARÍTIMOS[[#This Row],[Etapa Despacho - Fin de Carga]]="","",MARÍTIMOS[[#This Row],[Etapa Despacho - Fin de Carga]]),"")</f>
        <v/>
      </c>
      <c r="AF794" s="2" t="str">
        <f>IFERROR(IF(MARÍTIMOS[[#This Row],[Puerto de Embarque]]="","",MARÍTIMOS[[#This Row],[Puerto de Embarque]]),"")</f>
        <v/>
      </c>
      <c r="AG794" s="2" t="str">
        <f>IFERROR(IF(MARÍTIMOS[[#This Row],[Almacén de Ingreso]]="","",MARÍTIMOS[[#This Row],[Almacén de Ingreso]]),"")</f>
        <v/>
      </c>
      <c r="AH794" s="11" t="str">
        <f>IFERROR(IF(MARÍTIMOS[[#This Row],[Etapa Ingreso - Cita]]="","",MARÍTIMOS[[#This Row],[Etapa Ingreso - Cita]]),"")</f>
        <v/>
      </c>
      <c r="AI794" s="11" t="str">
        <f>IFERROR(IF(MARÍTIMOS[[#This Row],[Etapa Ingreso - Llegada]]="","",MARÍTIMOS[[#This Row],[Etapa Ingreso - Llegada]]),"")</f>
        <v/>
      </c>
      <c r="AJ794" s="11" t="str">
        <f>IFERROR(IF(MARÍTIMOS[[#This Row],[Etapa Ingreso - Ingeso]]="","",MARÍTIMOS[[#This Row],[Etapa Ingreso - Ingeso]]),"")</f>
        <v/>
      </c>
      <c r="AK794" s="11" t="str">
        <f>IFERROR(IF(MARÍTIMOS[[#This Row],[Etapa Ingreso - Atención]]="","",MARÍTIMOS[[#This Row],[Etapa Ingreso - Atención]]),"")</f>
        <v/>
      </c>
      <c r="AL794" s="11" t="str">
        <f>IFERROR(IF(MARÍTIMOS[[#This Row],[Etapa Ingreso - Salida]]="","",MARÍTIMOS[[#This Row],[Etapa Ingreso - Salida]]),"")</f>
        <v/>
      </c>
      <c r="AM794" s="2" t="str">
        <f>IFERROR(IF(MARÍTIMOS[[#This Row],[FCL]]="","",MARÍTIMOS[[#This Row],[FCL]]),"")</f>
        <v/>
      </c>
      <c r="AN7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4" s="4" t="str" cm="1">
        <f t="array" ref="AO7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4" s="5" t="str">
        <f>IFERROR(OLDBD[[#This Row],[Llegada a packing]]-OLDBD[[#This Row],[Inicio de Ruta]],"")</f>
        <v/>
      </c>
      <c r="AQ794" s="6" t="str">
        <f>IFERROR(OLDBD[[#This Row],[Inicio de Ruta]]-OLDBD[[#This Row],[Salida de almacén de retiro]],"")</f>
        <v/>
      </c>
      <c r="AR7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4" s="8" t="str" cm="1">
        <f t="array" ref="AS7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4" s="9" t="str">
        <f>IFERROR(OLDBD[[#This Row],[Ingreso Packing]]-OLDBD[[#This Row],[Registro en Packing]],"")</f>
        <v/>
      </c>
      <c r="AV794" s="9" t="str">
        <f>IFERROR(OLDBD[[#This Row],[Ingreso Packing]]-OLDBD[[#This Row],[Llegada a packing]],"")</f>
        <v/>
      </c>
      <c r="AW7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4" s="5" t="str">
        <f>IFERROR(OLDBD[[#This Row],[Llegada Almacén de Ingreso]]-OLDBD[[#This Row],[Salida Packing]],"")</f>
        <v/>
      </c>
      <c r="AY794" s="4" t="str" cm="1">
        <f t="array" ref="AY7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4" s="43" t="s">
        <v>173</v>
      </c>
      <c r="BB794" s="47" t="str">
        <f>IFERROR(IF(MARÍTIMOS[[#This Row],[Estatus]]="","",MARÍTIMOS[[#This Row],[Estatus]]),"")</f>
        <v/>
      </c>
      <c r="BC794" s="43"/>
      <c r="BD794" s="46" t="str">
        <f>IFERROR(OLDBD[[#This Row],[Salida de almacén de retiro]]-OLDBD[[#This Row],[Ingreso Almacén de retiro]],"")</f>
        <v/>
      </c>
      <c r="BE794" s="46" t="str">
        <f>IFERROR(OLDBD[[#This Row],[Fin de Carga]]-OLDBD[[#This Row],[Inicio de Carga]],"")</f>
        <v/>
      </c>
    </row>
    <row r="795" spans="1:57" customFormat="1" hidden="1">
      <c r="A795" s="1"/>
      <c r="B795" s="1" t="str">
        <f>IFERROR(IF(MARÍTIMOS[[#This Row],[PP]]="","",MARÍTIMOS[[#This Row],[PP]]),"")</f>
        <v/>
      </c>
      <c r="C795" s="1" t="str">
        <f>IFERROR(IF(MARÍTIMOS[[#This Row],[Sede]]="","",MARÍTIMOS[[#This Row],[Sede]]),"")</f>
        <v/>
      </c>
      <c r="D795" s="1" t="str">
        <f>IFERROR(IF(MARÍTIMOS[[#This Row],[Instruction]]="","",MARÍTIMOS[[#This Row],[Instruction]]),"")</f>
        <v/>
      </c>
      <c r="E795" s="1"/>
      <c r="F795" s="2" t="str">
        <f>IFERROR(IF(MARÍTIMOS[[#This Row],[Transportista]]="","",MARÍTIMOS[[#This Row],[Transportista]]),"")</f>
        <v/>
      </c>
      <c r="G795" s="2" t="str">
        <f>IFERROR(IF(MARÍTIMOS[[#This Row],[Tercero]]="","",MARÍTIMOS[[#This Row],[Tercero]]),"")</f>
        <v/>
      </c>
      <c r="H795" s="2" t="str">
        <f>IFERROR(IF(MARÍTIMOS[[#This Row],[Razón Social]]="","",MARÍTIMOS[[#This Row],[Razón Social]]),"")</f>
        <v/>
      </c>
      <c r="I795" s="2" t="str">
        <f>IFERROR(IF(MARÍTIMOS[[#This Row],[RUC]]="","",MARÍTIMOS[[#This Row],[RUC]]),"")</f>
        <v/>
      </c>
      <c r="J795" s="2" t="str">
        <f>IFERROR(IF(MARÍTIMOS[[#This Row],[Placa Tracto]]="","",MARÍTIMOS[[#This Row],[Placa Tracto]]),"")</f>
        <v/>
      </c>
      <c r="K795" s="2" t="str">
        <f>IFERROR(IF(MARÍTIMOS[[#This Row],[Placa Carreta]]="","",MARÍTIMOS[[#This Row],[Placa Carreta]]),"")</f>
        <v/>
      </c>
      <c r="L795" s="44" t="str">
        <f>IFERROR(IF(MARÍTIMOS[[#This Row],[Conductor]]="","",MARÍTIMOS[[#This Row],[Conductor]]),"")</f>
        <v/>
      </c>
      <c r="M795" s="2" t="str">
        <f>IFERROR(IF(MARÍTIMOS[[#This Row],[Licencia]]="","",MARÍTIMOS[[#This Row],[Licencia]]),"")</f>
        <v/>
      </c>
      <c r="N795" s="2" t="str">
        <f>IFERROR(IF(MARÍTIMOS[[#This Row],[Número de Contacto]]="","",MARÍTIMOS[[#This Row],[Número de Contacto]]),"")</f>
        <v/>
      </c>
      <c r="O795" s="10" t="str">
        <f>IFERROR(IF(MARÍTIMOS[[#This Row],[Booking|AWB|CRT]]="","",MARÍTIMOS[[#This Row],[Booking|AWB|CRT]]),"")</f>
        <v/>
      </c>
      <c r="P795" s="2" t="str">
        <f>IFERROR(IF(MARÍTIMOS[[#This Row],[Contenedor]]="","",MARÍTIMOS[[#This Row],[Contenedor]]),"")</f>
        <v/>
      </c>
      <c r="Q795" s="2" t="str">
        <f>IFERROR(IF(MARÍTIMOS[[#This Row],[Puerto de Retiro]]="","",MARÍTIMOS[[#This Row],[Puerto de Retiro]]),"")</f>
        <v/>
      </c>
      <c r="R795" s="2" t="str">
        <f>IFERROR(IF(MARÍTIMOS[[#This Row],[Almacén de Retiro]]="","",MARÍTIMOS[[#This Row],[Almacén de Retiro]]),"")</f>
        <v/>
      </c>
      <c r="S795" s="11" t="str">
        <f>IFERROR(IF(MARÍTIMOS[[#This Row],[Etapa Retiro - Cita]]="","",MARÍTIMOS[[#This Row],[Etapa Retiro - Cita]]),"")</f>
        <v/>
      </c>
      <c r="T795" s="11" t="str">
        <f>IFERROR(IF(MARÍTIMOS[[#This Row],[Etapa Retiro - Llegada]]="","",MARÍTIMOS[[#This Row],[Etapa Retiro - Llegada]]),"")</f>
        <v/>
      </c>
      <c r="U795" s="11" t="str">
        <f>IFERROR(IF(MARÍTIMOS[[#This Row],[Etapa Retiro - Ingreso]]="","",MARÍTIMOS[[#This Row],[Etapa Retiro - Ingreso]]),"")</f>
        <v/>
      </c>
      <c r="V795" s="11" t="str">
        <f>IFERROR(IF(MARÍTIMOS[[#This Row],[Etapa Retiro - Atención]]="","",MARÍTIMOS[[#This Row],[Etapa Retiro - Atención]]),"")</f>
        <v/>
      </c>
      <c r="W795" s="11" t="str">
        <f>IFERROR(IF(MARÍTIMOS[[#This Row],[Etapa Retiro - Atención]]="","",MARÍTIMOS[[#This Row],[Etapa Retiro - Atención]]),"")</f>
        <v/>
      </c>
      <c r="X795" s="11" t="str">
        <f>IFERROR(IF(MARÍTIMOS[[#This Row],[Etapa Retiro - Inicio de Ruta]]="","",MARÍTIMOS[[#This Row],[Etapa Retiro - Inicio de Ruta]]),"")</f>
        <v/>
      </c>
      <c r="Y795" s="11" t="str">
        <f>IFERROR(IF(MARÍTIMOS[[#This Row],[Hora de Posicionamiento]]="","",MARÍTIMOS[[#This Row],[Fecha de Carga]]+MARÍTIMOS[[#This Row],[Hora de Posicionamiento]]),"")</f>
        <v/>
      </c>
      <c r="Z795" s="11" t="str">
        <f>IFERROR(IF(MARÍTIMOS[[#This Row],[Etapa Despacho - Llegada]]="","",MARÍTIMOS[[#This Row],[Etapa Despacho - Llegada]]),"")</f>
        <v/>
      </c>
      <c r="AA795" s="11" t="str">
        <f>IFERROR(IF(MARÍTIMOS[[#This Row],[Etapa Despacho - Registro]]="","",MARÍTIMOS[[#This Row],[Etapa Despacho - Registro]]),"")</f>
        <v/>
      </c>
      <c r="AB795" s="11" t="str">
        <f>IFERROR(IF(MARÍTIMOS[[#This Row],[Inspección Externa]]="","",MARÍTIMOS[[#This Row],[Inspección Externa]]),"")</f>
        <v/>
      </c>
      <c r="AC795" s="11" t="str">
        <f>IFERROR(IF(MARÍTIMOS[[#This Row],[Etapa Despacho - Inicio de Carga]]="","",MARÍTIMOS[[#This Row],[Etapa Despacho - Inicio de Carga]]),"")</f>
        <v/>
      </c>
      <c r="AD795" s="11" t="str">
        <f>IFERROR(IF(MARÍTIMOS[[#This Row],[Etapa Despacho - Mitad de Carga]]="","",MARÍTIMOS[[#This Row],[Etapa Despacho - Mitad de Carga]]),"")</f>
        <v/>
      </c>
      <c r="AE795" s="11" t="str">
        <f>IFERROR(IF(MARÍTIMOS[[#This Row],[Etapa Despacho - Fin de Carga]]="","",MARÍTIMOS[[#This Row],[Etapa Despacho - Fin de Carga]]),"")</f>
        <v/>
      </c>
      <c r="AF795" s="2" t="str">
        <f>IFERROR(IF(MARÍTIMOS[[#This Row],[Puerto de Embarque]]="","",MARÍTIMOS[[#This Row],[Puerto de Embarque]]),"")</f>
        <v/>
      </c>
      <c r="AG795" s="2" t="str">
        <f>IFERROR(IF(MARÍTIMOS[[#This Row],[Almacén de Ingreso]]="","",MARÍTIMOS[[#This Row],[Almacén de Ingreso]]),"")</f>
        <v/>
      </c>
      <c r="AH795" s="11" t="str">
        <f>IFERROR(IF(MARÍTIMOS[[#This Row],[Etapa Ingreso - Cita]]="","",MARÍTIMOS[[#This Row],[Etapa Ingreso - Cita]]),"")</f>
        <v/>
      </c>
      <c r="AI795" s="11" t="str">
        <f>IFERROR(IF(MARÍTIMOS[[#This Row],[Etapa Ingreso - Llegada]]="","",MARÍTIMOS[[#This Row],[Etapa Ingreso - Llegada]]),"")</f>
        <v/>
      </c>
      <c r="AJ795" s="11" t="str">
        <f>IFERROR(IF(MARÍTIMOS[[#This Row],[Etapa Ingreso - Ingeso]]="","",MARÍTIMOS[[#This Row],[Etapa Ingreso - Ingeso]]),"")</f>
        <v/>
      </c>
      <c r="AK795" s="11" t="str">
        <f>IFERROR(IF(MARÍTIMOS[[#This Row],[Etapa Ingreso - Atención]]="","",MARÍTIMOS[[#This Row],[Etapa Ingreso - Atención]]),"")</f>
        <v/>
      </c>
      <c r="AL795" s="11" t="str">
        <f>IFERROR(IF(MARÍTIMOS[[#This Row],[Etapa Ingreso - Salida]]="","",MARÍTIMOS[[#This Row],[Etapa Ingreso - Salida]]),"")</f>
        <v/>
      </c>
      <c r="AM795" s="2" t="str">
        <f>IFERROR(IF(MARÍTIMOS[[#This Row],[FCL]]="","",MARÍTIMOS[[#This Row],[FCL]]),"")</f>
        <v/>
      </c>
      <c r="AN7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5" s="4" t="str" cm="1">
        <f t="array" ref="AO7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5" s="5" t="str">
        <f>IFERROR(OLDBD[[#This Row],[Llegada a packing]]-OLDBD[[#This Row],[Inicio de Ruta]],"")</f>
        <v/>
      </c>
      <c r="AQ795" s="6" t="str">
        <f>IFERROR(OLDBD[[#This Row],[Inicio de Ruta]]-OLDBD[[#This Row],[Salida de almacén de retiro]],"")</f>
        <v/>
      </c>
      <c r="AR7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5" s="8" t="str" cm="1">
        <f t="array" ref="AS7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5" s="9" t="str">
        <f>IFERROR(OLDBD[[#This Row],[Ingreso Packing]]-OLDBD[[#This Row],[Registro en Packing]],"")</f>
        <v/>
      </c>
      <c r="AV795" s="9" t="str">
        <f>IFERROR(OLDBD[[#This Row],[Ingreso Packing]]-OLDBD[[#This Row],[Llegada a packing]],"")</f>
        <v/>
      </c>
      <c r="AW7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5" s="5" t="str">
        <f>IFERROR(OLDBD[[#This Row],[Llegada Almacén de Ingreso]]-OLDBD[[#This Row],[Salida Packing]],"")</f>
        <v/>
      </c>
      <c r="AY795" s="4" t="str" cm="1">
        <f t="array" ref="AY7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5" s="43" t="s">
        <v>173</v>
      </c>
      <c r="BB795" s="47" t="str">
        <f>IFERROR(IF(MARÍTIMOS[[#This Row],[Estatus]]="","",MARÍTIMOS[[#This Row],[Estatus]]),"")</f>
        <v/>
      </c>
      <c r="BC795" s="43"/>
      <c r="BD795" s="46" t="str">
        <f>IFERROR(OLDBD[[#This Row],[Salida de almacén de retiro]]-OLDBD[[#This Row],[Ingreso Almacén de retiro]],"")</f>
        <v/>
      </c>
      <c r="BE795" s="46" t="str">
        <f>IFERROR(OLDBD[[#This Row],[Fin de Carga]]-OLDBD[[#This Row],[Inicio de Carga]],"")</f>
        <v/>
      </c>
    </row>
    <row r="796" spans="1:57" customFormat="1" hidden="1">
      <c r="A796" s="1"/>
      <c r="B796" s="1" t="str">
        <f>IFERROR(IF(MARÍTIMOS[[#This Row],[PP]]="","",MARÍTIMOS[[#This Row],[PP]]),"")</f>
        <v/>
      </c>
      <c r="C796" s="1" t="str">
        <f>IFERROR(IF(MARÍTIMOS[[#This Row],[Sede]]="","",MARÍTIMOS[[#This Row],[Sede]]),"")</f>
        <v/>
      </c>
      <c r="D796" s="1" t="str">
        <f>IFERROR(IF(MARÍTIMOS[[#This Row],[Instruction]]="","",MARÍTIMOS[[#This Row],[Instruction]]),"")</f>
        <v/>
      </c>
      <c r="E796" s="1"/>
      <c r="F796" s="2" t="str">
        <f>IFERROR(IF(MARÍTIMOS[[#This Row],[Transportista]]="","",MARÍTIMOS[[#This Row],[Transportista]]),"")</f>
        <v/>
      </c>
      <c r="G796" s="2" t="str">
        <f>IFERROR(IF(MARÍTIMOS[[#This Row],[Tercero]]="","",MARÍTIMOS[[#This Row],[Tercero]]),"")</f>
        <v/>
      </c>
      <c r="H796" s="2" t="str">
        <f>IFERROR(IF(MARÍTIMOS[[#This Row],[Razón Social]]="","",MARÍTIMOS[[#This Row],[Razón Social]]),"")</f>
        <v/>
      </c>
      <c r="I796" s="2" t="str">
        <f>IFERROR(IF(MARÍTIMOS[[#This Row],[RUC]]="","",MARÍTIMOS[[#This Row],[RUC]]),"")</f>
        <v/>
      </c>
      <c r="J796" s="2" t="str">
        <f>IFERROR(IF(MARÍTIMOS[[#This Row],[Placa Tracto]]="","",MARÍTIMOS[[#This Row],[Placa Tracto]]),"")</f>
        <v/>
      </c>
      <c r="K796" s="2" t="str">
        <f>IFERROR(IF(MARÍTIMOS[[#This Row],[Placa Carreta]]="","",MARÍTIMOS[[#This Row],[Placa Carreta]]),"")</f>
        <v/>
      </c>
      <c r="L796" s="44" t="str">
        <f>IFERROR(IF(MARÍTIMOS[[#This Row],[Conductor]]="","",MARÍTIMOS[[#This Row],[Conductor]]),"")</f>
        <v/>
      </c>
      <c r="M796" s="2" t="str">
        <f>IFERROR(IF(MARÍTIMOS[[#This Row],[Licencia]]="","",MARÍTIMOS[[#This Row],[Licencia]]),"")</f>
        <v/>
      </c>
      <c r="N796" s="2" t="str">
        <f>IFERROR(IF(MARÍTIMOS[[#This Row],[Número de Contacto]]="","",MARÍTIMOS[[#This Row],[Número de Contacto]]),"")</f>
        <v/>
      </c>
      <c r="O796" s="10" t="str">
        <f>IFERROR(IF(MARÍTIMOS[[#This Row],[Booking|AWB|CRT]]="","",MARÍTIMOS[[#This Row],[Booking|AWB|CRT]]),"")</f>
        <v/>
      </c>
      <c r="P796" s="2" t="str">
        <f>IFERROR(IF(MARÍTIMOS[[#This Row],[Contenedor]]="","",MARÍTIMOS[[#This Row],[Contenedor]]),"")</f>
        <v/>
      </c>
      <c r="Q796" s="2" t="str">
        <f>IFERROR(IF(MARÍTIMOS[[#This Row],[Puerto de Retiro]]="","",MARÍTIMOS[[#This Row],[Puerto de Retiro]]),"")</f>
        <v/>
      </c>
      <c r="R796" s="2" t="str">
        <f>IFERROR(IF(MARÍTIMOS[[#This Row],[Almacén de Retiro]]="","",MARÍTIMOS[[#This Row],[Almacén de Retiro]]),"")</f>
        <v/>
      </c>
      <c r="S796" s="11" t="str">
        <f>IFERROR(IF(MARÍTIMOS[[#This Row],[Etapa Retiro - Cita]]="","",MARÍTIMOS[[#This Row],[Etapa Retiro - Cita]]),"")</f>
        <v/>
      </c>
      <c r="T796" s="11" t="str">
        <f>IFERROR(IF(MARÍTIMOS[[#This Row],[Etapa Retiro - Llegada]]="","",MARÍTIMOS[[#This Row],[Etapa Retiro - Llegada]]),"")</f>
        <v/>
      </c>
      <c r="U796" s="11" t="str">
        <f>IFERROR(IF(MARÍTIMOS[[#This Row],[Etapa Retiro - Ingreso]]="","",MARÍTIMOS[[#This Row],[Etapa Retiro - Ingreso]]),"")</f>
        <v/>
      </c>
      <c r="V796" s="11" t="str">
        <f>IFERROR(IF(MARÍTIMOS[[#This Row],[Etapa Retiro - Atención]]="","",MARÍTIMOS[[#This Row],[Etapa Retiro - Atención]]),"")</f>
        <v/>
      </c>
      <c r="W796" s="11" t="str">
        <f>IFERROR(IF(MARÍTIMOS[[#This Row],[Etapa Retiro - Atención]]="","",MARÍTIMOS[[#This Row],[Etapa Retiro - Atención]]),"")</f>
        <v/>
      </c>
      <c r="X796" s="11" t="str">
        <f>IFERROR(IF(MARÍTIMOS[[#This Row],[Etapa Retiro - Inicio de Ruta]]="","",MARÍTIMOS[[#This Row],[Etapa Retiro - Inicio de Ruta]]),"")</f>
        <v/>
      </c>
      <c r="Y796" s="11" t="str">
        <f>IFERROR(IF(MARÍTIMOS[[#This Row],[Hora de Posicionamiento]]="","",MARÍTIMOS[[#This Row],[Fecha de Carga]]+MARÍTIMOS[[#This Row],[Hora de Posicionamiento]]),"")</f>
        <v/>
      </c>
      <c r="Z796" s="11" t="str">
        <f>IFERROR(IF(MARÍTIMOS[[#This Row],[Etapa Despacho - Llegada]]="","",MARÍTIMOS[[#This Row],[Etapa Despacho - Llegada]]),"")</f>
        <v/>
      </c>
      <c r="AA796" s="11" t="str">
        <f>IFERROR(IF(MARÍTIMOS[[#This Row],[Etapa Despacho - Registro]]="","",MARÍTIMOS[[#This Row],[Etapa Despacho - Registro]]),"")</f>
        <v/>
      </c>
      <c r="AB796" s="11" t="str">
        <f>IFERROR(IF(MARÍTIMOS[[#This Row],[Inspección Externa]]="","",MARÍTIMOS[[#This Row],[Inspección Externa]]),"")</f>
        <v/>
      </c>
      <c r="AC796" s="11" t="str">
        <f>IFERROR(IF(MARÍTIMOS[[#This Row],[Etapa Despacho - Inicio de Carga]]="","",MARÍTIMOS[[#This Row],[Etapa Despacho - Inicio de Carga]]),"")</f>
        <v/>
      </c>
      <c r="AD796" s="11" t="str">
        <f>IFERROR(IF(MARÍTIMOS[[#This Row],[Etapa Despacho - Mitad de Carga]]="","",MARÍTIMOS[[#This Row],[Etapa Despacho - Mitad de Carga]]),"")</f>
        <v/>
      </c>
      <c r="AE796" s="11" t="str">
        <f>IFERROR(IF(MARÍTIMOS[[#This Row],[Etapa Despacho - Fin de Carga]]="","",MARÍTIMOS[[#This Row],[Etapa Despacho - Fin de Carga]]),"")</f>
        <v/>
      </c>
      <c r="AF796" s="2" t="str">
        <f>IFERROR(IF(MARÍTIMOS[[#This Row],[Puerto de Embarque]]="","",MARÍTIMOS[[#This Row],[Puerto de Embarque]]),"")</f>
        <v/>
      </c>
      <c r="AG796" s="2" t="str">
        <f>IFERROR(IF(MARÍTIMOS[[#This Row],[Almacén de Ingreso]]="","",MARÍTIMOS[[#This Row],[Almacén de Ingreso]]),"")</f>
        <v/>
      </c>
      <c r="AH796" s="11" t="str">
        <f>IFERROR(IF(MARÍTIMOS[[#This Row],[Etapa Ingreso - Cita]]="","",MARÍTIMOS[[#This Row],[Etapa Ingreso - Cita]]),"")</f>
        <v/>
      </c>
      <c r="AI796" s="11" t="str">
        <f>IFERROR(IF(MARÍTIMOS[[#This Row],[Etapa Ingreso - Llegada]]="","",MARÍTIMOS[[#This Row],[Etapa Ingreso - Llegada]]),"")</f>
        <v/>
      </c>
      <c r="AJ796" s="11" t="str">
        <f>IFERROR(IF(MARÍTIMOS[[#This Row],[Etapa Ingreso - Ingeso]]="","",MARÍTIMOS[[#This Row],[Etapa Ingreso - Ingeso]]),"")</f>
        <v/>
      </c>
      <c r="AK796" s="11" t="str">
        <f>IFERROR(IF(MARÍTIMOS[[#This Row],[Etapa Ingreso - Atención]]="","",MARÍTIMOS[[#This Row],[Etapa Ingreso - Atención]]),"")</f>
        <v/>
      </c>
      <c r="AL796" s="11" t="str">
        <f>IFERROR(IF(MARÍTIMOS[[#This Row],[Etapa Ingreso - Salida]]="","",MARÍTIMOS[[#This Row],[Etapa Ingreso - Salida]]),"")</f>
        <v/>
      </c>
      <c r="AM796" s="2" t="str">
        <f>IFERROR(IF(MARÍTIMOS[[#This Row],[FCL]]="","",MARÍTIMOS[[#This Row],[FCL]]),"")</f>
        <v/>
      </c>
      <c r="AN7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6" s="4" t="str" cm="1">
        <f t="array" ref="AO7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6" s="5" t="str">
        <f>IFERROR(OLDBD[[#This Row],[Llegada a packing]]-OLDBD[[#This Row],[Inicio de Ruta]],"")</f>
        <v/>
      </c>
      <c r="AQ796" s="6" t="str">
        <f>IFERROR(OLDBD[[#This Row],[Inicio de Ruta]]-OLDBD[[#This Row],[Salida de almacén de retiro]],"")</f>
        <v/>
      </c>
      <c r="AR7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6" s="8" t="str" cm="1">
        <f t="array" ref="AS7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6" s="9" t="str">
        <f>IFERROR(OLDBD[[#This Row],[Ingreso Packing]]-OLDBD[[#This Row],[Registro en Packing]],"")</f>
        <v/>
      </c>
      <c r="AV796" s="9" t="str">
        <f>IFERROR(OLDBD[[#This Row],[Ingreso Packing]]-OLDBD[[#This Row],[Llegada a packing]],"")</f>
        <v/>
      </c>
      <c r="AW7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6" s="5" t="str">
        <f>IFERROR(OLDBD[[#This Row],[Llegada Almacén de Ingreso]]-OLDBD[[#This Row],[Salida Packing]],"")</f>
        <v/>
      </c>
      <c r="AY796" s="4" t="str" cm="1">
        <f t="array" ref="AY7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6" s="43" t="s">
        <v>173</v>
      </c>
      <c r="BB796" s="47" t="str">
        <f>IFERROR(IF(MARÍTIMOS[[#This Row],[Estatus]]="","",MARÍTIMOS[[#This Row],[Estatus]]),"")</f>
        <v/>
      </c>
      <c r="BC796" s="43"/>
      <c r="BD796" s="46" t="str">
        <f>IFERROR(OLDBD[[#This Row],[Salida de almacén de retiro]]-OLDBD[[#This Row],[Ingreso Almacén de retiro]],"")</f>
        <v/>
      </c>
      <c r="BE796" s="46" t="str">
        <f>IFERROR(OLDBD[[#This Row],[Fin de Carga]]-OLDBD[[#This Row],[Inicio de Carga]],"")</f>
        <v/>
      </c>
    </row>
    <row r="797" spans="1:57" customFormat="1" hidden="1">
      <c r="A797" s="1"/>
      <c r="B797" s="1" t="str">
        <f>IFERROR(IF(MARÍTIMOS[[#This Row],[PP]]="","",MARÍTIMOS[[#This Row],[PP]]),"")</f>
        <v/>
      </c>
      <c r="C797" s="1" t="str">
        <f>IFERROR(IF(MARÍTIMOS[[#This Row],[Sede]]="","",MARÍTIMOS[[#This Row],[Sede]]),"")</f>
        <v/>
      </c>
      <c r="D797" s="1" t="str">
        <f>IFERROR(IF(MARÍTIMOS[[#This Row],[Instruction]]="","",MARÍTIMOS[[#This Row],[Instruction]]),"")</f>
        <v/>
      </c>
      <c r="E797" s="1"/>
      <c r="F797" s="2" t="str">
        <f>IFERROR(IF(MARÍTIMOS[[#This Row],[Transportista]]="","",MARÍTIMOS[[#This Row],[Transportista]]),"")</f>
        <v/>
      </c>
      <c r="G797" s="2" t="str">
        <f>IFERROR(IF(MARÍTIMOS[[#This Row],[Tercero]]="","",MARÍTIMOS[[#This Row],[Tercero]]),"")</f>
        <v/>
      </c>
      <c r="H797" s="2" t="str">
        <f>IFERROR(IF(MARÍTIMOS[[#This Row],[Razón Social]]="","",MARÍTIMOS[[#This Row],[Razón Social]]),"")</f>
        <v/>
      </c>
      <c r="I797" s="2" t="str">
        <f>IFERROR(IF(MARÍTIMOS[[#This Row],[RUC]]="","",MARÍTIMOS[[#This Row],[RUC]]),"")</f>
        <v/>
      </c>
      <c r="J797" s="2" t="str">
        <f>IFERROR(IF(MARÍTIMOS[[#This Row],[Placa Tracto]]="","",MARÍTIMOS[[#This Row],[Placa Tracto]]),"")</f>
        <v/>
      </c>
      <c r="K797" s="2" t="str">
        <f>IFERROR(IF(MARÍTIMOS[[#This Row],[Placa Carreta]]="","",MARÍTIMOS[[#This Row],[Placa Carreta]]),"")</f>
        <v/>
      </c>
      <c r="L797" s="44" t="str">
        <f>IFERROR(IF(MARÍTIMOS[[#This Row],[Conductor]]="","",MARÍTIMOS[[#This Row],[Conductor]]),"")</f>
        <v/>
      </c>
      <c r="M797" s="2" t="str">
        <f>IFERROR(IF(MARÍTIMOS[[#This Row],[Licencia]]="","",MARÍTIMOS[[#This Row],[Licencia]]),"")</f>
        <v/>
      </c>
      <c r="N797" s="2" t="str">
        <f>IFERROR(IF(MARÍTIMOS[[#This Row],[Número de Contacto]]="","",MARÍTIMOS[[#This Row],[Número de Contacto]]),"")</f>
        <v/>
      </c>
      <c r="O797" s="10" t="str">
        <f>IFERROR(IF(MARÍTIMOS[[#This Row],[Booking|AWB|CRT]]="","",MARÍTIMOS[[#This Row],[Booking|AWB|CRT]]),"")</f>
        <v/>
      </c>
      <c r="P797" s="2" t="str">
        <f>IFERROR(IF(MARÍTIMOS[[#This Row],[Contenedor]]="","",MARÍTIMOS[[#This Row],[Contenedor]]),"")</f>
        <v/>
      </c>
      <c r="Q797" s="2" t="str">
        <f>IFERROR(IF(MARÍTIMOS[[#This Row],[Puerto de Retiro]]="","",MARÍTIMOS[[#This Row],[Puerto de Retiro]]),"")</f>
        <v/>
      </c>
      <c r="R797" s="2" t="str">
        <f>IFERROR(IF(MARÍTIMOS[[#This Row],[Almacén de Retiro]]="","",MARÍTIMOS[[#This Row],[Almacén de Retiro]]),"")</f>
        <v/>
      </c>
      <c r="S797" s="11" t="str">
        <f>IFERROR(IF(MARÍTIMOS[[#This Row],[Etapa Retiro - Cita]]="","",MARÍTIMOS[[#This Row],[Etapa Retiro - Cita]]),"")</f>
        <v/>
      </c>
      <c r="T797" s="11" t="str">
        <f>IFERROR(IF(MARÍTIMOS[[#This Row],[Etapa Retiro - Llegada]]="","",MARÍTIMOS[[#This Row],[Etapa Retiro - Llegada]]),"")</f>
        <v/>
      </c>
      <c r="U797" s="11" t="str">
        <f>IFERROR(IF(MARÍTIMOS[[#This Row],[Etapa Retiro - Ingreso]]="","",MARÍTIMOS[[#This Row],[Etapa Retiro - Ingreso]]),"")</f>
        <v/>
      </c>
      <c r="V797" s="11" t="str">
        <f>IFERROR(IF(MARÍTIMOS[[#This Row],[Etapa Retiro - Atención]]="","",MARÍTIMOS[[#This Row],[Etapa Retiro - Atención]]),"")</f>
        <v/>
      </c>
      <c r="W797" s="11" t="str">
        <f>IFERROR(IF(MARÍTIMOS[[#This Row],[Etapa Retiro - Atención]]="","",MARÍTIMOS[[#This Row],[Etapa Retiro - Atención]]),"")</f>
        <v/>
      </c>
      <c r="X797" s="11" t="str">
        <f>IFERROR(IF(MARÍTIMOS[[#This Row],[Etapa Retiro - Inicio de Ruta]]="","",MARÍTIMOS[[#This Row],[Etapa Retiro - Inicio de Ruta]]),"")</f>
        <v/>
      </c>
      <c r="Y797" s="11" t="str">
        <f>IFERROR(IF(MARÍTIMOS[[#This Row],[Hora de Posicionamiento]]="","",MARÍTIMOS[[#This Row],[Fecha de Carga]]+MARÍTIMOS[[#This Row],[Hora de Posicionamiento]]),"")</f>
        <v/>
      </c>
      <c r="Z797" s="11" t="str">
        <f>IFERROR(IF(MARÍTIMOS[[#This Row],[Etapa Despacho - Llegada]]="","",MARÍTIMOS[[#This Row],[Etapa Despacho - Llegada]]),"")</f>
        <v/>
      </c>
      <c r="AA797" s="11" t="str">
        <f>IFERROR(IF(MARÍTIMOS[[#This Row],[Etapa Despacho - Registro]]="","",MARÍTIMOS[[#This Row],[Etapa Despacho - Registro]]),"")</f>
        <v/>
      </c>
      <c r="AB797" s="11" t="str">
        <f>IFERROR(IF(MARÍTIMOS[[#This Row],[Inspección Externa]]="","",MARÍTIMOS[[#This Row],[Inspección Externa]]),"")</f>
        <v/>
      </c>
      <c r="AC797" s="11" t="str">
        <f>IFERROR(IF(MARÍTIMOS[[#This Row],[Etapa Despacho - Inicio de Carga]]="","",MARÍTIMOS[[#This Row],[Etapa Despacho - Inicio de Carga]]),"")</f>
        <v/>
      </c>
      <c r="AD797" s="11" t="str">
        <f>IFERROR(IF(MARÍTIMOS[[#This Row],[Etapa Despacho - Mitad de Carga]]="","",MARÍTIMOS[[#This Row],[Etapa Despacho - Mitad de Carga]]),"")</f>
        <v/>
      </c>
      <c r="AE797" s="11" t="str">
        <f>IFERROR(IF(MARÍTIMOS[[#This Row],[Etapa Despacho - Fin de Carga]]="","",MARÍTIMOS[[#This Row],[Etapa Despacho - Fin de Carga]]),"")</f>
        <v/>
      </c>
      <c r="AF797" s="2" t="str">
        <f>IFERROR(IF(MARÍTIMOS[[#This Row],[Puerto de Embarque]]="","",MARÍTIMOS[[#This Row],[Puerto de Embarque]]),"")</f>
        <v/>
      </c>
      <c r="AG797" s="2" t="str">
        <f>IFERROR(IF(MARÍTIMOS[[#This Row],[Almacén de Ingreso]]="","",MARÍTIMOS[[#This Row],[Almacén de Ingreso]]),"")</f>
        <v/>
      </c>
      <c r="AH797" s="11" t="str">
        <f>IFERROR(IF(MARÍTIMOS[[#This Row],[Etapa Ingreso - Cita]]="","",MARÍTIMOS[[#This Row],[Etapa Ingreso - Cita]]),"")</f>
        <v/>
      </c>
      <c r="AI797" s="11" t="str">
        <f>IFERROR(IF(MARÍTIMOS[[#This Row],[Etapa Ingreso - Llegada]]="","",MARÍTIMOS[[#This Row],[Etapa Ingreso - Llegada]]),"")</f>
        <v/>
      </c>
      <c r="AJ797" s="11" t="str">
        <f>IFERROR(IF(MARÍTIMOS[[#This Row],[Etapa Ingreso - Ingeso]]="","",MARÍTIMOS[[#This Row],[Etapa Ingreso - Ingeso]]),"")</f>
        <v/>
      </c>
      <c r="AK797" s="11" t="str">
        <f>IFERROR(IF(MARÍTIMOS[[#This Row],[Etapa Ingreso - Atención]]="","",MARÍTIMOS[[#This Row],[Etapa Ingreso - Atención]]),"")</f>
        <v/>
      </c>
      <c r="AL797" s="11" t="str">
        <f>IFERROR(IF(MARÍTIMOS[[#This Row],[Etapa Ingreso - Salida]]="","",MARÍTIMOS[[#This Row],[Etapa Ingreso - Salida]]),"")</f>
        <v/>
      </c>
      <c r="AM797" s="2" t="str">
        <f>IFERROR(IF(MARÍTIMOS[[#This Row],[FCL]]="","",MARÍTIMOS[[#This Row],[FCL]]),"")</f>
        <v/>
      </c>
      <c r="AN7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7" s="4" t="str" cm="1">
        <f t="array" ref="AO7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7" s="5" t="str">
        <f>IFERROR(OLDBD[[#This Row],[Llegada a packing]]-OLDBD[[#This Row],[Inicio de Ruta]],"")</f>
        <v/>
      </c>
      <c r="AQ797" s="6" t="str">
        <f>IFERROR(OLDBD[[#This Row],[Inicio de Ruta]]-OLDBD[[#This Row],[Salida de almacén de retiro]],"")</f>
        <v/>
      </c>
      <c r="AR7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7" s="8" t="str" cm="1">
        <f t="array" ref="AS7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7" s="9" t="str">
        <f>IFERROR(OLDBD[[#This Row],[Ingreso Packing]]-OLDBD[[#This Row],[Registro en Packing]],"")</f>
        <v/>
      </c>
      <c r="AV797" s="9" t="str">
        <f>IFERROR(OLDBD[[#This Row],[Ingreso Packing]]-OLDBD[[#This Row],[Llegada a packing]],"")</f>
        <v/>
      </c>
      <c r="AW7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7" s="5" t="str">
        <f>IFERROR(OLDBD[[#This Row],[Llegada Almacén de Ingreso]]-OLDBD[[#This Row],[Salida Packing]],"")</f>
        <v/>
      </c>
      <c r="AY797" s="4" t="str" cm="1">
        <f t="array" ref="AY7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7" s="43" t="s">
        <v>173</v>
      </c>
      <c r="BB797" s="47" t="str">
        <f>IFERROR(IF(MARÍTIMOS[[#This Row],[Estatus]]="","",MARÍTIMOS[[#This Row],[Estatus]]),"")</f>
        <v/>
      </c>
      <c r="BC797" s="43"/>
      <c r="BD797" s="46" t="str">
        <f>IFERROR(OLDBD[[#This Row],[Salida de almacén de retiro]]-OLDBD[[#This Row],[Ingreso Almacén de retiro]],"")</f>
        <v/>
      </c>
      <c r="BE797" s="46" t="str">
        <f>IFERROR(OLDBD[[#This Row],[Fin de Carga]]-OLDBD[[#This Row],[Inicio de Carga]],"")</f>
        <v/>
      </c>
    </row>
    <row r="798" spans="1:57" customFormat="1" hidden="1">
      <c r="A798" s="1"/>
      <c r="B798" s="1" t="str">
        <f>IFERROR(IF(MARÍTIMOS[[#This Row],[PP]]="","",MARÍTIMOS[[#This Row],[PP]]),"")</f>
        <v/>
      </c>
      <c r="C798" s="1" t="str">
        <f>IFERROR(IF(MARÍTIMOS[[#This Row],[Sede]]="","",MARÍTIMOS[[#This Row],[Sede]]),"")</f>
        <v/>
      </c>
      <c r="D798" s="1" t="str">
        <f>IFERROR(IF(MARÍTIMOS[[#This Row],[Instruction]]="","",MARÍTIMOS[[#This Row],[Instruction]]),"")</f>
        <v/>
      </c>
      <c r="E798" s="1"/>
      <c r="F798" s="2" t="str">
        <f>IFERROR(IF(MARÍTIMOS[[#This Row],[Transportista]]="","",MARÍTIMOS[[#This Row],[Transportista]]),"")</f>
        <v/>
      </c>
      <c r="G798" s="2" t="str">
        <f>IFERROR(IF(MARÍTIMOS[[#This Row],[Tercero]]="","",MARÍTIMOS[[#This Row],[Tercero]]),"")</f>
        <v/>
      </c>
      <c r="H798" s="2" t="str">
        <f>IFERROR(IF(MARÍTIMOS[[#This Row],[Razón Social]]="","",MARÍTIMOS[[#This Row],[Razón Social]]),"")</f>
        <v/>
      </c>
      <c r="I798" s="2" t="str">
        <f>IFERROR(IF(MARÍTIMOS[[#This Row],[RUC]]="","",MARÍTIMOS[[#This Row],[RUC]]),"")</f>
        <v/>
      </c>
      <c r="J798" s="2" t="str">
        <f>IFERROR(IF(MARÍTIMOS[[#This Row],[Placa Tracto]]="","",MARÍTIMOS[[#This Row],[Placa Tracto]]),"")</f>
        <v/>
      </c>
      <c r="K798" s="2" t="str">
        <f>IFERROR(IF(MARÍTIMOS[[#This Row],[Placa Carreta]]="","",MARÍTIMOS[[#This Row],[Placa Carreta]]),"")</f>
        <v/>
      </c>
      <c r="L798" s="44" t="str">
        <f>IFERROR(IF(MARÍTIMOS[[#This Row],[Conductor]]="","",MARÍTIMOS[[#This Row],[Conductor]]),"")</f>
        <v/>
      </c>
      <c r="M798" s="2" t="str">
        <f>IFERROR(IF(MARÍTIMOS[[#This Row],[Licencia]]="","",MARÍTIMOS[[#This Row],[Licencia]]),"")</f>
        <v/>
      </c>
      <c r="N798" s="2" t="str">
        <f>IFERROR(IF(MARÍTIMOS[[#This Row],[Número de Contacto]]="","",MARÍTIMOS[[#This Row],[Número de Contacto]]),"")</f>
        <v/>
      </c>
      <c r="O798" s="10" t="str">
        <f>IFERROR(IF(MARÍTIMOS[[#This Row],[Booking|AWB|CRT]]="","",MARÍTIMOS[[#This Row],[Booking|AWB|CRT]]),"")</f>
        <v/>
      </c>
      <c r="P798" s="2" t="str">
        <f>IFERROR(IF(MARÍTIMOS[[#This Row],[Contenedor]]="","",MARÍTIMOS[[#This Row],[Contenedor]]),"")</f>
        <v/>
      </c>
      <c r="Q798" s="2" t="str">
        <f>IFERROR(IF(MARÍTIMOS[[#This Row],[Puerto de Retiro]]="","",MARÍTIMOS[[#This Row],[Puerto de Retiro]]),"")</f>
        <v/>
      </c>
      <c r="R798" s="2" t="str">
        <f>IFERROR(IF(MARÍTIMOS[[#This Row],[Almacén de Retiro]]="","",MARÍTIMOS[[#This Row],[Almacén de Retiro]]),"")</f>
        <v/>
      </c>
      <c r="S798" s="11" t="str">
        <f>IFERROR(IF(MARÍTIMOS[[#This Row],[Etapa Retiro - Cita]]="","",MARÍTIMOS[[#This Row],[Etapa Retiro - Cita]]),"")</f>
        <v/>
      </c>
      <c r="T798" s="11" t="str">
        <f>IFERROR(IF(MARÍTIMOS[[#This Row],[Etapa Retiro - Llegada]]="","",MARÍTIMOS[[#This Row],[Etapa Retiro - Llegada]]),"")</f>
        <v/>
      </c>
      <c r="U798" s="11" t="str">
        <f>IFERROR(IF(MARÍTIMOS[[#This Row],[Etapa Retiro - Ingreso]]="","",MARÍTIMOS[[#This Row],[Etapa Retiro - Ingreso]]),"")</f>
        <v/>
      </c>
      <c r="V798" s="11" t="str">
        <f>IFERROR(IF(MARÍTIMOS[[#This Row],[Etapa Retiro - Atención]]="","",MARÍTIMOS[[#This Row],[Etapa Retiro - Atención]]),"")</f>
        <v/>
      </c>
      <c r="W798" s="11" t="str">
        <f>IFERROR(IF(MARÍTIMOS[[#This Row],[Etapa Retiro - Atención]]="","",MARÍTIMOS[[#This Row],[Etapa Retiro - Atención]]),"")</f>
        <v/>
      </c>
      <c r="X798" s="11" t="str">
        <f>IFERROR(IF(MARÍTIMOS[[#This Row],[Etapa Retiro - Inicio de Ruta]]="","",MARÍTIMOS[[#This Row],[Etapa Retiro - Inicio de Ruta]]),"")</f>
        <v/>
      </c>
      <c r="Y798" s="11" t="str">
        <f>IFERROR(IF(MARÍTIMOS[[#This Row],[Hora de Posicionamiento]]="","",MARÍTIMOS[[#This Row],[Fecha de Carga]]+MARÍTIMOS[[#This Row],[Hora de Posicionamiento]]),"")</f>
        <v/>
      </c>
      <c r="Z798" s="11" t="str">
        <f>IFERROR(IF(MARÍTIMOS[[#This Row],[Etapa Despacho - Llegada]]="","",MARÍTIMOS[[#This Row],[Etapa Despacho - Llegada]]),"")</f>
        <v/>
      </c>
      <c r="AA798" s="11" t="str">
        <f>IFERROR(IF(MARÍTIMOS[[#This Row],[Etapa Despacho - Registro]]="","",MARÍTIMOS[[#This Row],[Etapa Despacho - Registro]]),"")</f>
        <v/>
      </c>
      <c r="AB798" s="11" t="str">
        <f>IFERROR(IF(MARÍTIMOS[[#This Row],[Inspección Externa]]="","",MARÍTIMOS[[#This Row],[Inspección Externa]]),"")</f>
        <v/>
      </c>
      <c r="AC798" s="11" t="str">
        <f>IFERROR(IF(MARÍTIMOS[[#This Row],[Etapa Despacho - Inicio de Carga]]="","",MARÍTIMOS[[#This Row],[Etapa Despacho - Inicio de Carga]]),"")</f>
        <v/>
      </c>
      <c r="AD798" s="11" t="str">
        <f>IFERROR(IF(MARÍTIMOS[[#This Row],[Etapa Despacho - Mitad de Carga]]="","",MARÍTIMOS[[#This Row],[Etapa Despacho - Mitad de Carga]]),"")</f>
        <v/>
      </c>
      <c r="AE798" s="11" t="str">
        <f>IFERROR(IF(MARÍTIMOS[[#This Row],[Etapa Despacho - Fin de Carga]]="","",MARÍTIMOS[[#This Row],[Etapa Despacho - Fin de Carga]]),"")</f>
        <v/>
      </c>
      <c r="AF798" s="2" t="str">
        <f>IFERROR(IF(MARÍTIMOS[[#This Row],[Puerto de Embarque]]="","",MARÍTIMOS[[#This Row],[Puerto de Embarque]]),"")</f>
        <v/>
      </c>
      <c r="AG798" s="2" t="str">
        <f>IFERROR(IF(MARÍTIMOS[[#This Row],[Almacén de Ingreso]]="","",MARÍTIMOS[[#This Row],[Almacén de Ingreso]]),"")</f>
        <v/>
      </c>
      <c r="AH798" s="11" t="str">
        <f>IFERROR(IF(MARÍTIMOS[[#This Row],[Etapa Ingreso - Cita]]="","",MARÍTIMOS[[#This Row],[Etapa Ingreso - Cita]]),"")</f>
        <v/>
      </c>
      <c r="AI798" s="11" t="str">
        <f>IFERROR(IF(MARÍTIMOS[[#This Row],[Etapa Ingreso - Llegada]]="","",MARÍTIMOS[[#This Row],[Etapa Ingreso - Llegada]]),"")</f>
        <v/>
      </c>
      <c r="AJ798" s="11" t="str">
        <f>IFERROR(IF(MARÍTIMOS[[#This Row],[Etapa Ingreso - Ingeso]]="","",MARÍTIMOS[[#This Row],[Etapa Ingreso - Ingeso]]),"")</f>
        <v/>
      </c>
      <c r="AK798" s="11" t="str">
        <f>IFERROR(IF(MARÍTIMOS[[#This Row],[Etapa Ingreso - Atención]]="","",MARÍTIMOS[[#This Row],[Etapa Ingreso - Atención]]),"")</f>
        <v/>
      </c>
      <c r="AL798" s="11" t="str">
        <f>IFERROR(IF(MARÍTIMOS[[#This Row],[Etapa Ingreso - Salida]]="","",MARÍTIMOS[[#This Row],[Etapa Ingreso - Salida]]),"")</f>
        <v/>
      </c>
      <c r="AM798" s="2" t="str">
        <f>IFERROR(IF(MARÍTIMOS[[#This Row],[FCL]]="","",MARÍTIMOS[[#This Row],[FCL]]),"")</f>
        <v/>
      </c>
      <c r="AN7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8" s="4" t="str" cm="1">
        <f t="array" ref="AO7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8" s="5" t="str">
        <f>IFERROR(OLDBD[[#This Row],[Llegada a packing]]-OLDBD[[#This Row],[Inicio de Ruta]],"")</f>
        <v/>
      </c>
      <c r="AQ798" s="6" t="str">
        <f>IFERROR(OLDBD[[#This Row],[Inicio de Ruta]]-OLDBD[[#This Row],[Salida de almacén de retiro]],"")</f>
        <v/>
      </c>
      <c r="AR7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8" s="8" t="str" cm="1">
        <f t="array" ref="AS7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8" s="9" t="str">
        <f>IFERROR(OLDBD[[#This Row],[Ingreso Packing]]-OLDBD[[#This Row],[Registro en Packing]],"")</f>
        <v/>
      </c>
      <c r="AV798" s="9" t="str">
        <f>IFERROR(OLDBD[[#This Row],[Ingreso Packing]]-OLDBD[[#This Row],[Llegada a packing]],"")</f>
        <v/>
      </c>
      <c r="AW7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8" s="5" t="str">
        <f>IFERROR(OLDBD[[#This Row],[Llegada Almacén de Ingreso]]-OLDBD[[#This Row],[Salida Packing]],"")</f>
        <v/>
      </c>
      <c r="AY798" s="4" t="str" cm="1">
        <f t="array" ref="AY7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8" s="43" t="s">
        <v>173</v>
      </c>
      <c r="BB798" s="47" t="str">
        <f>IFERROR(IF(MARÍTIMOS[[#This Row],[Estatus]]="","",MARÍTIMOS[[#This Row],[Estatus]]),"")</f>
        <v/>
      </c>
      <c r="BC798" s="43"/>
      <c r="BD798" s="46" t="str">
        <f>IFERROR(OLDBD[[#This Row],[Salida de almacén de retiro]]-OLDBD[[#This Row],[Ingreso Almacén de retiro]],"")</f>
        <v/>
      </c>
      <c r="BE798" s="46" t="str">
        <f>IFERROR(OLDBD[[#This Row],[Fin de Carga]]-OLDBD[[#This Row],[Inicio de Carga]],"")</f>
        <v/>
      </c>
    </row>
    <row r="799" spans="1:57" customFormat="1" hidden="1">
      <c r="A799" s="1"/>
      <c r="B799" s="1" t="str">
        <f>IFERROR(IF(MARÍTIMOS[[#This Row],[PP]]="","",MARÍTIMOS[[#This Row],[PP]]),"")</f>
        <v/>
      </c>
      <c r="C799" s="1" t="str">
        <f>IFERROR(IF(MARÍTIMOS[[#This Row],[Sede]]="","",MARÍTIMOS[[#This Row],[Sede]]),"")</f>
        <v/>
      </c>
      <c r="D799" s="1" t="str">
        <f>IFERROR(IF(MARÍTIMOS[[#This Row],[Instruction]]="","",MARÍTIMOS[[#This Row],[Instruction]]),"")</f>
        <v/>
      </c>
      <c r="E799" s="1"/>
      <c r="F799" s="2" t="str">
        <f>IFERROR(IF(MARÍTIMOS[[#This Row],[Transportista]]="","",MARÍTIMOS[[#This Row],[Transportista]]),"")</f>
        <v/>
      </c>
      <c r="G799" s="2" t="str">
        <f>IFERROR(IF(MARÍTIMOS[[#This Row],[Tercero]]="","",MARÍTIMOS[[#This Row],[Tercero]]),"")</f>
        <v/>
      </c>
      <c r="H799" s="2" t="str">
        <f>IFERROR(IF(MARÍTIMOS[[#This Row],[Razón Social]]="","",MARÍTIMOS[[#This Row],[Razón Social]]),"")</f>
        <v/>
      </c>
      <c r="I799" s="2" t="str">
        <f>IFERROR(IF(MARÍTIMOS[[#This Row],[RUC]]="","",MARÍTIMOS[[#This Row],[RUC]]),"")</f>
        <v/>
      </c>
      <c r="J799" s="2" t="str">
        <f>IFERROR(IF(MARÍTIMOS[[#This Row],[Placa Tracto]]="","",MARÍTIMOS[[#This Row],[Placa Tracto]]),"")</f>
        <v/>
      </c>
      <c r="K799" s="2" t="str">
        <f>IFERROR(IF(MARÍTIMOS[[#This Row],[Placa Carreta]]="","",MARÍTIMOS[[#This Row],[Placa Carreta]]),"")</f>
        <v/>
      </c>
      <c r="L799" s="44" t="str">
        <f>IFERROR(IF(MARÍTIMOS[[#This Row],[Conductor]]="","",MARÍTIMOS[[#This Row],[Conductor]]),"")</f>
        <v/>
      </c>
      <c r="M799" s="2" t="str">
        <f>IFERROR(IF(MARÍTIMOS[[#This Row],[Licencia]]="","",MARÍTIMOS[[#This Row],[Licencia]]),"")</f>
        <v/>
      </c>
      <c r="N799" s="2" t="str">
        <f>IFERROR(IF(MARÍTIMOS[[#This Row],[Número de Contacto]]="","",MARÍTIMOS[[#This Row],[Número de Contacto]]),"")</f>
        <v/>
      </c>
      <c r="O799" s="10" t="str">
        <f>IFERROR(IF(MARÍTIMOS[[#This Row],[Booking|AWB|CRT]]="","",MARÍTIMOS[[#This Row],[Booking|AWB|CRT]]),"")</f>
        <v/>
      </c>
      <c r="P799" s="2" t="str">
        <f>IFERROR(IF(MARÍTIMOS[[#This Row],[Contenedor]]="","",MARÍTIMOS[[#This Row],[Contenedor]]),"")</f>
        <v/>
      </c>
      <c r="Q799" s="2" t="str">
        <f>IFERROR(IF(MARÍTIMOS[[#This Row],[Puerto de Retiro]]="","",MARÍTIMOS[[#This Row],[Puerto de Retiro]]),"")</f>
        <v/>
      </c>
      <c r="R799" s="2" t="str">
        <f>IFERROR(IF(MARÍTIMOS[[#This Row],[Almacén de Retiro]]="","",MARÍTIMOS[[#This Row],[Almacén de Retiro]]),"")</f>
        <v/>
      </c>
      <c r="S799" s="11" t="str">
        <f>IFERROR(IF(MARÍTIMOS[[#This Row],[Etapa Retiro - Cita]]="","",MARÍTIMOS[[#This Row],[Etapa Retiro - Cita]]),"")</f>
        <v/>
      </c>
      <c r="T799" s="11" t="str">
        <f>IFERROR(IF(MARÍTIMOS[[#This Row],[Etapa Retiro - Llegada]]="","",MARÍTIMOS[[#This Row],[Etapa Retiro - Llegada]]),"")</f>
        <v/>
      </c>
      <c r="U799" s="11" t="str">
        <f>IFERROR(IF(MARÍTIMOS[[#This Row],[Etapa Retiro - Ingreso]]="","",MARÍTIMOS[[#This Row],[Etapa Retiro - Ingreso]]),"")</f>
        <v/>
      </c>
      <c r="V799" s="11" t="str">
        <f>IFERROR(IF(MARÍTIMOS[[#This Row],[Etapa Retiro - Atención]]="","",MARÍTIMOS[[#This Row],[Etapa Retiro - Atención]]),"")</f>
        <v/>
      </c>
      <c r="W799" s="11" t="str">
        <f>IFERROR(IF(MARÍTIMOS[[#This Row],[Etapa Retiro - Atención]]="","",MARÍTIMOS[[#This Row],[Etapa Retiro - Atención]]),"")</f>
        <v/>
      </c>
      <c r="X799" s="11" t="str">
        <f>IFERROR(IF(MARÍTIMOS[[#This Row],[Etapa Retiro - Inicio de Ruta]]="","",MARÍTIMOS[[#This Row],[Etapa Retiro - Inicio de Ruta]]),"")</f>
        <v/>
      </c>
      <c r="Y799" s="11" t="str">
        <f>IFERROR(IF(MARÍTIMOS[[#This Row],[Hora de Posicionamiento]]="","",MARÍTIMOS[[#This Row],[Fecha de Carga]]+MARÍTIMOS[[#This Row],[Hora de Posicionamiento]]),"")</f>
        <v/>
      </c>
      <c r="Z799" s="11" t="str">
        <f>IFERROR(IF(MARÍTIMOS[[#This Row],[Etapa Despacho - Llegada]]="","",MARÍTIMOS[[#This Row],[Etapa Despacho - Llegada]]),"")</f>
        <v/>
      </c>
      <c r="AA799" s="11" t="str">
        <f>IFERROR(IF(MARÍTIMOS[[#This Row],[Etapa Despacho - Registro]]="","",MARÍTIMOS[[#This Row],[Etapa Despacho - Registro]]),"")</f>
        <v/>
      </c>
      <c r="AB799" s="11" t="str">
        <f>IFERROR(IF(MARÍTIMOS[[#This Row],[Inspección Externa]]="","",MARÍTIMOS[[#This Row],[Inspección Externa]]),"")</f>
        <v/>
      </c>
      <c r="AC799" s="11" t="str">
        <f>IFERROR(IF(MARÍTIMOS[[#This Row],[Etapa Despacho - Inicio de Carga]]="","",MARÍTIMOS[[#This Row],[Etapa Despacho - Inicio de Carga]]),"")</f>
        <v/>
      </c>
      <c r="AD799" s="11" t="str">
        <f>IFERROR(IF(MARÍTIMOS[[#This Row],[Etapa Despacho - Mitad de Carga]]="","",MARÍTIMOS[[#This Row],[Etapa Despacho - Mitad de Carga]]),"")</f>
        <v/>
      </c>
      <c r="AE799" s="11" t="str">
        <f>IFERROR(IF(MARÍTIMOS[[#This Row],[Etapa Despacho - Fin de Carga]]="","",MARÍTIMOS[[#This Row],[Etapa Despacho - Fin de Carga]]),"")</f>
        <v/>
      </c>
      <c r="AF799" s="2" t="str">
        <f>IFERROR(IF(MARÍTIMOS[[#This Row],[Puerto de Embarque]]="","",MARÍTIMOS[[#This Row],[Puerto de Embarque]]),"")</f>
        <v/>
      </c>
      <c r="AG799" s="2" t="str">
        <f>IFERROR(IF(MARÍTIMOS[[#This Row],[Almacén de Ingreso]]="","",MARÍTIMOS[[#This Row],[Almacén de Ingreso]]),"")</f>
        <v/>
      </c>
      <c r="AH799" s="11" t="str">
        <f>IFERROR(IF(MARÍTIMOS[[#This Row],[Etapa Ingreso - Cita]]="","",MARÍTIMOS[[#This Row],[Etapa Ingreso - Cita]]),"")</f>
        <v/>
      </c>
      <c r="AI799" s="11" t="str">
        <f>IFERROR(IF(MARÍTIMOS[[#This Row],[Etapa Ingreso - Llegada]]="","",MARÍTIMOS[[#This Row],[Etapa Ingreso - Llegada]]),"")</f>
        <v/>
      </c>
      <c r="AJ799" s="11" t="str">
        <f>IFERROR(IF(MARÍTIMOS[[#This Row],[Etapa Ingreso - Ingeso]]="","",MARÍTIMOS[[#This Row],[Etapa Ingreso - Ingeso]]),"")</f>
        <v/>
      </c>
      <c r="AK799" s="11" t="str">
        <f>IFERROR(IF(MARÍTIMOS[[#This Row],[Etapa Ingreso - Atención]]="","",MARÍTIMOS[[#This Row],[Etapa Ingreso - Atención]]),"")</f>
        <v/>
      </c>
      <c r="AL799" s="11" t="str">
        <f>IFERROR(IF(MARÍTIMOS[[#This Row],[Etapa Ingreso - Salida]]="","",MARÍTIMOS[[#This Row],[Etapa Ingreso - Salida]]),"")</f>
        <v/>
      </c>
      <c r="AM799" s="2" t="str">
        <f>IFERROR(IF(MARÍTIMOS[[#This Row],[FCL]]="","",MARÍTIMOS[[#This Row],[FCL]]),"")</f>
        <v/>
      </c>
      <c r="AN7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799" s="4" t="str" cm="1">
        <f t="array" ref="AO7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799" s="5" t="str">
        <f>IFERROR(OLDBD[[#This Row],[Llegada a packing]]-OLDBD[[#This Row],[Inicio de Ruta]],"")</f>
        <v/>
      </c>
      <c r="AQ799" s="6" t="str">
        <f>IFERROR(OLDBD[[#This Row],[Inicio de Ruta]]-OLDBD[[#This Row],[Salida de almacén de retiro]],"")</f>
        <v/>
      </c>
      <c r="AR7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799" s="8" t="str" cm="1">
        <f t="array" ref="AS7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7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799" s="9" t="str">
        <f>IFERROR(OLDBD[[#This Row],[Ingreso Packing]]-OLDBD[[#This Row],[Registro en Packing]],"")</f>
        <v/>
      </c>
      <c r="AV799" s="9" t="str">
        <f>IFERROR(OLDBD[[#This Row],[Ingreso Packing]]-OLDBD[[#This Row],[Llegada a packing]],"")</f>
        <v/>
      </c>
      <c r="AW7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799" s="5" t="str">
        <f>IFERROR(OLDBD[[#This Row],[Llegada Almacén de Ingreso]]-OLDBD[[#This Row],[Salida Packing]],"")</f>
        <v/>
      </c>
      <c r="AY799" s="4" t="str" cm="1">
        <f t="array" ref="AY7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7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799" s="43" t="s">
        <v>173</v>
      </c>
      <c r="BB799" s="47" t="str">
        <f>IFERROR(IF(MARÍTIMOS[[#This Row],[Estatus]]="","",MARÍTIMOS[[#This Row],[Estatus]]),"")</f>
        <v/>
      </c>
      <c r="BC799" s="43"/>
      <c r="BD799" s="46" t="str">
        <f>IFERROR(OLDBD[[#This Row],[Salida de almacén de retiro]]-OLDBD[[#This Row],[Ingreso Almacén de retiro]],"")</f>
        <v/>
      </c>
      <c r="BE799" s="46" t="str">
        <f>IFERROR(OLDBD[[#This Row],[Fin de Carga]]-OLDBD[[#This Row],[Inicio de Carga]],"")</f>
        <v/>
      </c>
    </row>
    <row r="800" spans="1:57" customFormat="1" hidden="1">
      <c r="A800" s="1"/>
      <c r="B800" s="1" t="str">
        <f>IFERROR(IF(MARÍTIMOS[[#This Row],[PP]]="","",MARÍTIMOS[[#This Row],[PP]]),"")</f>
        <v/>
      </c>
      <c r="C800" s="1" t="str">
        <f>IFERROR(IF(MARÍTIMOS[[#This Row],[Sede]]="","",MARÍTIMOS[[#This Row],[Sede]]),"")</f>
        <v/>
      </c>
      <c r="D800" s="1" t="str">
        <f>IFERROR(IF(MARÍTIMOS[[#This Row],[Instruction]]="","",MARÍTIMOS[[#This Row],[Instruction]]),"")</f>
        <v/>
      </c>
      <c r="E800" s="1"/>
      <c r="F800" s="2" t="str">
        <f>IFERROR(IF(MARÍTIMOS[[#This Row],[Transportista]]="","",MARÍTIMOS[[#This Row],[Transportista]]),"")</f>
        <v/>
      </c>
      <c r="G800" s="2" t="str">
        <f>IFERROR(IF(MARÍTIMOS[[#This Row],[Tercero]]="","",MARÍTIMOS[[#This Row],[Tercero]]),"")</f>
        <v/>
      </c>
      <c r="H800" s="2" t="str">
        <f>IFERROR(IF(MARÍTIMOS[[#This Row],[Razón Social]]="","",MARÍTIMOS[[#This Row],[Razón Social]]),"")</f>
        <v/>
      </c>
      <c r="I800" s="2" t="str">
        <f>IFERROR(IF(MARÍTIMOS[[#This Row],[RUC]]="","",MARÍTIMOS[[#This Row],[RUC]]),"")</f>
        <v/>
      </c>
      <c r="J800" s="2" t="str">
        <f>IFERROR(IF(MARÍTIMOS[[#This Row],[Placa Tracto]]="","",MARÍTIMOS[[#This Row],[Placa Tracto]]),"")</f>
        <v/>
      </c>
      <c r="K800" s="2" t="str">
        <f>IFERROR(IF(MARÍTIMOS[[#This Row],[Placa Carreta]]="","",MARÍTIMOS[[#This Row],[Placa Carreta]]),"")</f>
        <v/>
      </c>
      <c r="L800" s="44" t="str">
        <f>IFERROR(IF(MARÍTIMOS[[#This Row],[Conductor]]="","",MARÍTIMOS[[#This Row],[Conductor]]),"")</f>
        <v/>
      </c>
      <c r="M800" s="2" t="str">
        <f>IFERROR(IF(MARÍTIMOS[[#This Row],[Licencia]]="","",MARÍTIMOS[[#This Row],[Licencia]]),"")</f>
        <v/>
      </c>
      <c r="N800" s="2" t="str">
        <f>IFERROR(IF(MARÍTIMOS[[#This Row],[Número de Contacto]]="","",MARÍTIMOS[[#This Row],[Número de Contacto]]),"")</f>
        <v/>
      </c>
      <c r="O800" s="10" t="str">
        <f>IFERROR(IF(MARÍTIMOS[[#This Row],[Booking|AWB|CRT]]="","",MARÍTIMOS[[#This Row],[Booking|AWB|CRT]]),"")</f>
        <v/>
      </c>
      <c r="P800" s="2" t="str">
        <f>IFERROR(IF(MARÍTIMOS[[#This Row],[Contenedor]]="","",MARÍTIMOS[[#This Row],[Contenedor]]),"")</f>
        <v/>
      </c>
      <c r="Q800" s="2" t="str">
        <f>IFERROR(IF(MARÍTIMOS[[#This Row],[Puerto de Retiro]]="","",MARÍTIMOS[[#This Row],[Puerto de Retiro]]),"")</f>
        <v/>
      </c>
      <c r="R800" s="2" t="str">
        <f>IFERROR(IF(MARÍTIMOS[[#This Row],[Almacén de Retiro]]="","",MARÍTIMOS[[#This Row],[Almacén de Retiro]]),"")</f>
        <v/>
      </c>
      <c r="S800" s="11" t="str">
        <f>IFERROR(IF(MARÍTIMOS[[#This Row],[Etapa Retiro - Cita]]="","",MARÍTIMOS[[#This Row],[Etapa Retiro - Cita]]),"")</f>
        <v/>
      </c>
      <c r="T800" s="11" t="str">
        <f>IFERROR(IF(MARÍTIMOS[[#This Row],[Etapa Retiro - Llegada]]="","",MARÍTIMOS[[#This Row],[Etapa Retiro - Llegada]]),"")</f>
        <v/>
      </c>
      <c r="U800" s="11" t="str">
        <f>IFERROR(IF(MARÍTIMOS[[#This Row],[Etapa Retiro - Ingreso]]="","",MARÍTIMOS[[#This Row],[Etapa Retiro - Ingreso]]),"")</f>
        <v/>
      </c>
      <c r="V800" s="11" t="str">
        <f>IFERROR(IF(MARÍTIMOS[[#This Row],[Etapa Retiro - Atención]]="","",MARÍTIMOS[[#This Row],[Etapa Retiro - Atención]]),"")</f>
        <v/>
      </c>
      <c r="W800" s="11" t="str">
        <f>IFERROR(IF(MARÍTIMOS[[#This Row],[Etapa Retiro - Atención]]="","",MARÍTIMOS[[#This Row],[Etapa Retiro - Atención]]),"")</f>
        <v/>
      </c>
      <c r="X800" s="11" t="str">
        <f>IFERROR(IF(MARÍTIMOS[[#This Row],[Etapa Retiro - Inicio de Ruta]]="","",MARÍTIMOS[[#This Row],[Etapa Retiro - Inicio de Ruta]]),"")</f>
        <v/>
      </c>
      <c r="Y800" s="11" t="str">
        <f>IFERROR(IF(MARÍTIMOS[[#This Row],[Hora de Posicionamiento]]="","",MARÍTIMOS[[#This Row],[Fecha de Carga]]+MARÍTIMOS[[#This Row],[Hora de Posicionamiento]]),"")</f>
        <v/>
      </c>
      <c r="Z800" s="11" t="str">
        <f>IFERROR(IF(MARÍTIMOS[[#This Row],[Etapa Despacho - Llegada]]="","",MARÍTIMOS[[#This Row],[Etapa Despacho - Llegada]]),"")</f>
        <v/>
      </c>
      <c r="AA800" s="11" t="str">
        <f>IFERROR(IF(MARÍTIMOS[[#This Row],[Etapa Despacho - Registro]]="","",MARÍTIMOS[[#This Row],[Etapa Despacho - Registro]]),"")</f>
        <v/>
      </c>
      <c r="AB800" s="11" t="str">
        <f>IFERROR(IF(MARÍTIMOS[[#This Row],[Inspección Externa]]="","",MARÍTIMOS[[#This Row],[Inspección Externa]]),"")</f>
        <v/>
      </c>
      <c r="AC800" s="11" t="str">
        <f>IFERROR(IF(MARÍTIMOS[[#This Row],[Etapa Despacho - Inicio de Carga]]="","",MARÍTIMOS[[#This Row],[Etapa Despacho - Inicio de Carga]]),"")</f>
        <v/>
      </c>
      <c r="AD800" s="11" t="str">
        <f>IFERROR(IF(MARÍTIMOS[[#This Row],[Etapa Despacho - Mitad de Carga]]="","",MARÍTIMOS[[#This Row],[Etapa Despacho - Mitad de Carga]]),"")</f>
        <v/>
      </c>
      <c r="AE800" s="11" t="str">
        <f>IFERROR(IF(MARÍTIMOS[[#This Row],[Etapa Despacho - Fin de Carga]]="","",MARÍTIMOS[[#This Row],[Etapa Despacho - Fin de Carga]]),"")</f>
        <v/>
      </c>
      <c r="AF800" s="2" t="str">
        <f>IFERROR(IF(MARÍTIMOS[[#This Row],[Puerto de Embarque]]="","",MARÍTIMOS[[#This Row],[Puerto de Embarque]]),"")</f>
        <v/>
      </c>
      <c r="AG800" s="2" t="str">
        <f>IFERROR(IF(MARÍTIMOS[[#This Row],[Almacén de Ingreso]]="","",MARÍTIMOS[[#This Row],[Almacén de Ingreso]]),"")</f>
        <v/>
      </c>
      <c r="AH800" s="11" t="str">
        <f>IFERROR(IF(MARÍTIMOS[[#This Row],[Etapa Ingreso - Cita]]="","",MARÍTIMOS[[#This Row],[Etapa Ingreso - Cita]]),"")</f>
        <v/>
      </c>
      <c r="AI800" s="11" t="str">
        <f>IFERROR(IF(MARÍTIMOS[[#This Row],[Etapa Ingreso - Llegada]]="","",MARÍTIMOS[[#This Row],[Etapa Ingreso - Llegada]]),"")</f>
        <v/>
      </c>
      <c r="AJ800" s="11" t="str">
        <f>IFERROR(IF(MARÍTIMOS[[#This Row],[Etapa Ingreso - Ingeso]]="","",MARÍTIMOS[[#This Row],[Etapa Ingreso - Ingeso]]),"")</f>
        <v/>
      </c>
      <c r="AK800" s="11" t="str">
        <f>IFERROR(IF(MARÍTIMOS[[#This Row],[Etapa Ingreso - Atención]]="","",MARÍTIMOS[[#This Row],[Etapa Ingreso - Atención]]),"")</f>
        <v/>
      </c>
      <c r="AL800" s="11" t="str">
        <f>IFERROR(IF(MARÍTIMOS[[#This Row],[Etapa Ingreso - Salida]]="","",MARÍTIMOS[[#This Row],[Etapa Ingreso - Salida]]),"")</f>
        <v/>
      </c>
      <c r="AM800" s="2" t="str">
        <f>IFERROR(IF(MARÍTIMOS[[#This Row],[FCL]]="","",MARÍTIMOS[[#This Row],[FCL]]),"")</f>
        <v/>
      </c>
      <c r="AN8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0" s="4" t="str" cm="1">
        <f t="array" ref="AO8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0" s="5" t="str">
        <f>IFERROR(OLDBD[[#This Row],[Llegada a packing]]-OLDBD[[#This Row],[Inicio de Ruta]],"")</f>
        <v/>
      </c>
      <c r="AQ800" s="6" t="str">
        <f>IFERROR(OLDBD[[#This Row],[Inicio de Ruta]]-OLDBD[[#This Row],[Salida de almacén de retiro]],"")</f>
        <v/>
      </c>
      <c r="AR8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0" s="8" t="str" cm="1">
        <f t="array" ref="AS8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0" s="9" t="str">
        <f>IFERROR(OLDBD[[#This Row],[Ingreso Packing]]-OLDBD[[#This Row],[Registro en Packing]],"")</f>
        <v/>
      </c>
      <c r="AV800" s="9" t="str">
        <f>IFERROR(OLDBD[[#This Row],[Ingreso Packing]]-OLDBD[[#This Row],[Llegada a packing]],"")</f>
        <v/>
      </c>
      <c r="AW8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0" s="5" t="str">
        <f>IFERROR(OLDBD[[#This Row],[Llegada Almacén de Ingreso]]-OLDBD[[#This Row],[Salida Packing]],"")</f>
        <v/>
      </c>
      <c r="AY800" s="4" t="str" cm="1">
        <f t="array" ref="AY8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0" s="43" t="s">
        <v>173</v>
      </c>
      <c r="BB800" s="47" t="str">
        <f>IFERROR(IF(MARÍTIMOS[[#This Row],[Estatus]]="","",MARÍTIMOS[[#This Row],[Estatus]]),"")</f>
        <v/>
      </c>
      <c r="BC800" s="43"/>
      <c r="BD800" s="46" t="str">
        <f>IFERROR(OLDBD[[#This Row],[Salida de almacén de retiro]]-OLDBD[[#This Row],[Ingreso Almacén de retiro]],"")</f>
        <v/>
      </c>
      <c r="BE800" s="46" t="str">
        <f>IFERROR(OLDBD[[#This Row],[Fin de Carga]]-OLDBD[[#This Row],[Inicio de Carga]],"")</f>
        <v/>
      </c>
    </row>
    <row r="801" spans="1:57" customFormat="1" hidden="1">
      <c r="A801" s="1"/>
      <c r="B801" s="1" t="str">
        <f>IFERROR(IF(MARÍTIMOS[[#This Row],[PP]]="","",MARÍTIMOS[[#This Row],[PP]]),"")</f>
        <v/>
      </c>
      <c r="C801" s="1" t="str">
        <f>IFERROR(IF(MARÍTIMOS[[#This Row],[Sede]]="","",MARÍTIMOS[[#This Row],[Sede]]),"")</f>
        <v/>
      </c>
      <c r="D801" s="1" t="str">
        <f>IFERROR(IF(MARÍTIMOS[[#This Row],[Instruction]]="","",MARÍTIMOS[[#This Row],[Instruction]]),"")</f>
        <v/>
      </c>
      <c r="E801" s="1"/>
      <c r="F801" s="2" t="str">
        <f>IFERROR(IF(MARÍTIMOS[[#This Row],[Transportista]]="","",MARÍTIMOS[[#This Row],[Transportista]]),"")</f>
        <v/>
      </c>
      <c r="G801" s="2" t="str">
        <f>IFERROR(IF(MARÍTIMOS[[#This Row],[Tercero]]="","",MARÍTIMOS[[#This Row],[Tercero]]),"")</f>
        <v/>
      </c>
      <c r="H801" s="2" t="str">
        <f>IFERROR(IF(MARÍTIMOS[[#This Row],[Razón Social]]="","",MARÍTIMOS[[#This Row],[Razón Social]]),"")</f>
        <v/>
      </c>
      <c r="I801" s="2" t="str">
        <f>IFERROR(IF(MARÍTIMOS[[#This Row],[RUC]]="","",MARÍTIMOS[[#This Row],[RUC]]),"")</f>
        <v/>
      </c>
      <c r="J801" s="2" t="str">
        <f>IFERROR(IF(MARÍTIMOS[[#This Row],[Placa Tracto]]="","",MARÍTIMOS[[#This Row],[Placa Tracto]]),"")</f>
        <v/>
      </c>
      <c r="K801" s="2" t="str">
        <f>IFERROR(IF(MARÍTIMOS[[#This Row],[Placa Carreta]]="","",MARÍTIMOS[[#This Row],[Placa Carreta]]),"")</f>
        <v/>
      </c>
      <c r="L801" s="44" t="str">
        <f>IFERROR(IF(MARÍTIMOS[[#This Row],[Conductor]]="","",MARÍTIMOS[[#This Row],[Conductor]]),"")</f>
        <v/>
      </c>
      <c r="M801" s="2" t="str">
        <f>IFERROR(IF(MARÍTIMOS[[#This Row],[Licencia]]="","",MARÍTIMOS[[#This Row],[Licencia]]),"")</f>
        <v/>
      </c>
      <c r="N801" s="2" t="str">
        <f>IFERROR(IF(MARÍTIMOS[[#This Row],[Número de Contacto]]="","",MARÍTIMOS[[#This Row],[Número de Contacto]]),"")</f>
        <v/>
      </c>
      <c r="O801" s="10" t="str">
        <f>IFERROR(IF(MARÍTIMOS[[#This Row],[Booking|AWB|CRT]]="","",MARÍTIMOS[[#This Row],[Booking|AWB|CRT]]),"")</f>
        <v/>
      </c>
      <c r="P801" s="2" t="str">
        <f>IFERROR(IF(MARÍTIMOS[[#This Row],[Contenedor]]="","",MARÍTIMOS[[#This Row],[Contenedor]]),"")</f>
        <v/>
      </c>
      <c r="Q801" s="2" t="str">
        <f>IFERROR(IF(MARÍTIMOS[[#This Row],[Puerto de Retiro]]="","",MARÍTIMOS[[#This Row],[Puerto de Retiro]]),"")</f>
        <v/>
      </c>
      <c r="R801" s="2" t="str">
        <f>IFERROR(IF(MARÍTIMOS[[#This Row],[Almacén de Retiro]]="","",MARÍTIMOS[[#This Row],[Almacén de Retiro]]),"")</f>
        <v/>
      </c>
      <c r="S801" s="11" t="str">
        <f>IFERROR(IF(MARÍTIMOS[[#This Row],[Etapa Retiro - Cita]]="","",MARÍTIMOS[[#This Row],[Etapa Retiro - Cita]]),"")</f>
        <v/>
      </c>
      <c r="T801" s="11" t="str">
        <f>IFERROR(IF(MARÍTIMOS[[#This Row],[Etapa Retiro - Llegada]]="","",MARÍTIMOS[[#This Row],[Etapa Retiro - Llegada]]),"")</f>
        <v/>
      </c>
      <c r="U801" s="11" t="str">
        <f>IFERROR(IF(MARÍTIMOS[[#This Row],[Etapa Retiro - Ingreso]]="","",MARÍTIMOS[[#This Row],[Etapa Retiro - Ingreso]]),"")</f>
        <v/>
      </c>
      <c r="V801" s="11" t="str">
        <f>IFERROR(IF(MARÍTIMOS[[#This Row],[Etapa Retiro - Atención]]="","",MARÍTIMOS[[#This Row],[Etapa Retiro - Atención]]),"")</f>
        <v/>
      </c>
      <c r="W801" s="11" t="str">
        <f>IFERROR(IF(MARÍTIMOS[[#This Row],[Etapa Retiro - Atención]]="","",MARÍTIMOS[[#This Row],[Etapa Retiro - Atención]]),"")</f>
        <v/>
      </c>
      <c r="X801" s="11" t="str">
        <f>IFERROR(IF(MARÍTIMOS[[#This Row],[Etapa Retiro - Inicio de Ruta]]="","",MARÍTIMOS[[#This Row],[Etapa Retiro - Inicio de Ruta]]),"")</f>
        <v/>
      </c>
      <c r="Y801" s="11" t="str">
        <f>IFERROR(IF(MARÍTIMOS[[#This Row],[Hora de Posicionamiento]]="","",MARÍTIMOS[[#This Row],[Fecha de Carga]]+MARÍTIMOS[[#This Row],[Hora de Posicionamiento]]),"")</f>
        <v/>
      </c>
      <c r="Z801" s="11" t="str">
        <f>IFERROR(IF(MARÍTIMOS[[#This Row],[Etapa Despacho - Llegada]]="","",MARÍTIMOS[[#This Row],[Etapa Despacho - Llegada]]),"")</f>
        <v/>
      </c>
      <c r="AA801" s="11" t="str">
        <f>IFERROR(IF(MARÍTIMOS[[#This Row],[Etapa Despacho - Registro]]="","",MARÍTIMOS[[#This Row],[Etapa Despacho - Registro]]),"")</f>
        <v/>
      </c>
      <c r="AB801" s="11" t="str">
        <f>IFERROR(IF(MARÍTIMOS[[#This Row],[Inspección Externa]]="","",MARÍTIMOS[[#This Row],[Inspección Externa]]),"")</f>
        <v/>
      </c>
      <c r="AC801" s="11" t="str">
        <f>IFERROR(IF(MARÍTIMOS[[#This Row],[Etapa Despacho - Inicio de Carga]]="","",MARÍTIMOS[[#This Row],[Etapa Despacho - Inicio de Carga]]),"")</f>
        <v/>
      </c>
      <c r="AD801" s="11" t="str">
        <f>IFERROR(IF(MARÍTIMOS[[#This Row],[Etapa Despacho - Mitad de Carga]]="","",MARÍTIMOS[[#This Row],[Etapa Despacho - Mitad de Carga]]),"")</f>
        <v/>
      </c>
      <c r="AE801" s="11" t="str">
        <f>IFERROR(IF(MARÍTIMOS[[#This Row],[Etapa Despacho - Fin de Carga]]="","",MARÍTIMOS[[#This Row],[Etapa Despacho - Fin de Carga]]),"")</f>
        <v/>
      </c>
      <c r="AF801" s="2" t="str">
        <f>IFERROR(IF(MARÍTIMOS[[#This Row],[Puerto de Embarque]]="","",MARÍTIMOS[[#This Row],[Puerto de Embarque]]),"")</f>
        <v/>
      </c>
      <c r="AG801" s="2" t="str">
        <f>IFERROR(IF(MARÍTIMOS[[#This Row],[Almacén de Ingreso]]="","",MARÍTIMOS[[#This Row],[Almacén de Ingreso]]),"")</f>
        <v/>
      </c>
      <c r="AH801" s="11" t="str">
        <f>IFERROR(IF(MARÍTIMOS[[#This Row],[Etapa Ingreso - Cita]]="","",MARÍTIMOS[[#This Row],[Etapa Ingreso - Cita]]),"")</f>
        <v/>
      </c>
      <c r="AI801" s="11" t="str">
        <f>IFERROR(IF(MARÍTIMOS[[#This Row],[Etapa Ingreso - Llegada]]="","",MARÍTIMOS[[#This Row],[Etapa Ingreso - Llegada]]),"")</f>
        <v/>
      </c>
      <c r="AJ801" s="11" t="str">
        <f>IFERROR(IF(MARÍTIMOS[[#This Row],[Etapa Ingreso - Ingeso]]="","",MARÍTIMOS[[#This Row],[Etapa Ingreso - Ingeso]]),"")</f>
        <v/>
      </c>
      <c r="AK801" s="11" t="str">
        <f>IFERROR(IF(MARÍTIMOS[[#This Row],[Etapa Ingreso - Atención]]="","",MARÍTIMOS[[#This Row],[Etapa Ingreso - Atención]]),"")</f>
        <v/>
      </c>
      <c r="AL801" s="11" t="str">
        <f>IFERROR(IF(MARÍTIMOS[[#This Row],[Etapa Ingreso - Salida]]="","",MARÍTIMOS[[#This Row],[Etapa Ingreso - Salida]]),"")</f>
        <v/>
      </c>
      <c r="AM801" s="2" t="str">
        <f>IFERROR(IF(MARÍTIMOS[[#This Row],[FCL]]="","",MARÍTIMOS[[#This Row],[FCL]]),"")</f>
        <v/>
      </c>
      <c r="AN8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1" s="4" t="str" cm="1">
        <f t="array" ref="AO8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1" s="5" t="str">
        <f>IFERROR(OLDBD[[#This Row],[Llegada a packing]]-OLDBD[[#This Row],[Inicio de Ruta]],"")</f>
        <v/>
      </c>
      <c r="AQ801" s="6" t="str">
        <f>IFERROR(OLDBD[[#This Row],[Inicio de Ruta]]-OLDBD[[#This Row],[Salida de almacén de retiro]],"")</f>
        <v/>
      </c>
      <c r="AR8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1" s="8" t="str" cm="1">
        <f t="array" ref="AS8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1" s="9" t="str">
        <f>IFERROR(OLDBD[[#This Row],[Ingreso Packing]]-OLDBD[[#This Row],[Registro en Packing]],"")</f>
        <v/>
      </c>
      <c r="AV801" s="9" t="str">
        <f>IFERROR(OLDBD[[#This Row],[Ingreso Packing]]-OLDBD[[#This Row],[Llegada a packing]],"")</f>
        <v/>
      </c>
      <c r="AW8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1" s="5" t="str">
        <f>IFERROR(OLDBD[[#This Row],[Llegada Almacén de Ingreso]]-OLDBD[[#This Row],[Salida Packing]],"")</f>
        <v/>
      </c>
      <c r="AY801" s="4" t="str" cm="1">
        <f t="array" ref="AY8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1" s="43" t="s">
        <v>173</v>
      </c>
      <c r="BB801" s="47" t="str">
        <f>IFERROR(IF(MARÍTIMOS[[#This Row],[Estatus]]="","",MARÍTIMOS[[#This Row],[Estatus]]),"")</f>
        <v/>
      </c>
      <c r="BC801" s="43"/>
      <c r="BD801" s="46" t="str">
        <f>IFERROR(OLDBD[[#This Row],[Salida de almacén de retiro]]-OLDBD[[#This Row],[Ingreso Almacén de retiro]],"")</f>
        <v/>
      </c>
      <c r="BE801" s="46" t="str">
        <f>IFERROR(OLDBD[[#This Row],[Fin de Carga]]-OLDBD[[#This Row],[Inicio de Carga]],"")</f>
        <v/>
      </c>
    </row>
    <row r="802" spans="1:57" customFormat="1" hidden="1">
      <c r="A802" s="1"/>
      <c r="B802" s="1" t="str">
        <f>IFERROR(IF(MARÍTIMOS[[#This Row],[PP]]="","",MARÍTIMOS[[#This Row],[PP]]),"")</f>
        <v/>
      </c>
      <c r="C802" s="1" t="str">
        <f>IFERROR(IF(MARÍTIMOS[[#This Row],[Sede]]="","",MARÍTIMOS[[#This Row],[Sede]]),"")</f>
        <v/>
      </c>
      <c r="D802" s="1" t="str">
        <f>IFERROR(IF(MARÍTIMOS[[#This Row],[Instruction]]="","",MARÍTIMOS[[#This Row],[Instruction]]),"")</f>
        <v/>
      </c>
      <c r="E802" s="1"/>
      <c r="F802" s="2" t="str">
        <f>IFERROR(IF(MARÍTIMOS[[#This Row],[Transportista]]="","",MARÍTIMOS[[#This Row],[Transportista]]),"")</f>
        <v/>
      </c>
      <c r="G802" s="2" t="str">
        <f>IFERROR(IF(MARÍTIMOS[[#This Row],[Tercero]]="","",MARÍTIMOS[[#This Row],[Tercero]]),"")</f>
        <v/>
      </c>
      <c r="H802" s="2" t="str">
        <f>IFERROR(IF(MARÍTIMOS[[#This Row],[Razón Social]]="","",MARÍTIMOS[[#This Row],[Razón Social]]),"")</f>
        <v/>
      </c>
      <c r="I802" s="2" t="str">
        <f>IFERROR(IF(MARÍTIMOS[[#This Row],[RUC]]="","",MARÍTIMOS[[#This Row],[RUC]]),"")</f>
        <v/>
      </c>
      <c r="J802" s="2" t="str">
        <f>IFERROR(IF(MARÍTIMOS[[#This Row],[Placa Tracto]]="","",MARÍTIMOS[[#This Row],[Placa Tracto]]),"")</f>
        <v/>
      </c>
      <c r="K802" s="2" t="str">
        <f>IFERROR(IF(MARÍTIMOS[[#This Row],[Placa Carreta]]="","",MARÍTIMOS[[#This Row],[Placa Carreta]]),"")</f>
        <v/>
      </c>
      <c r="L802" s="44" t="str">
        <f>IFERROR(IF(MARÍTIMOS[[#This Row],[Conductor]]="","",MARÍTIMOS[[#This Row],[Conductor]]),"")</f>
        <v/>
      </c>
      <c r="M802" s="2" t="str">
        <f>IFERROR(IF(MARÍTIMOS[[#This Row],[Licencia]]="","",MARÍTIMOS[[#This Row],[Licencia]]),"")</f>
        <v/>
      </c>
      <c r="N802" s="2" t="str">
        <f>IFERROR(IF(MARÍTIMOS[[#This Row],[Número de Contacto]]="","",MARÍTIMOS[[#This Row],[Número de Contacto]]),"")</f>
        <v/>
      </c>
      <c r="O802" s="10" t="str">
        <f>IFERROR(IF(MARÍTIMOS[[#This Row],[Booking|AWB|CRT]]="","",MARÍTIMOS[[#This Row],[Booking|AWB|CRT]]),"")</f>
        <v/>
      </c>
      <c r="P802" s="2" t="str">
        <f>IFERROR(IF(MARÍTIMOS[[#This Row],[Contenedor]]="","",MARÍTIMOS[[#This Row],[Contenedor]]),"")</f>
        <v/>
      </c>
      <c r="Q802" s="2" t="str">
        <f>IFERROR(IF(MARÍTIMOS[[#This Row],[Puerto de Retiro]]="","",MARÍTIMOS[[#This Row],[Puerto de Retiro]]),"")</f>
        <v/>
      </c>
      <c r="R802" s="2" t="str">
        <f>IFERROR(IF(MARÍTIMOS[[#This Row],[Almacén de Retiro]]="","",MARÍTIMOS[[#This Row],[Almacén de Retiro]]),"")</f>
        <v/>
      </c>
      <c r="S802" s="11" t="str">
        <f>IFERROR(IF(MARÍTIMOS[[#This Row],[Etapa Retiro - Cita]]="","",MARÍTIMOS[[#This Row],[Etapa Retiro - Cita]]),"")</f>
        <v/>
      </c>
      <c r="T802" s="11" t="str">
        <f>IFERROR(IF(MARÍTIMOS[[#This Row],[Etapa Retiro - Llegada]]="","",MARÍTIMOS[[#This Row],[Etapa Retiro - Llegada]]),"")</f>
        <v/>
      </c>
      <c r="U802" s="11" t="str">
        <f>IFERROR(IF(MARÍTIMOS[[#This Row],[Etapa Retiro - Ingreso]]="","",MARÍTIMOS[[#This Row],[Etapa Retiro - Ingreso]]),"")</f>
        <v/>
      </c>
      <c r="V802" s="11" t="str">
        <f>IFERROR(IF(MARÍTIMOS[[#This Row],[Etapa Retiro - Atención]]="","",MARÍTIMOS[[#This Row],[Etapa Retiro - Atención]]),"")</f>
        <v/>
      </c>
      <c r="W802" s="11" t="str">
        <f>IFERROR(IF(MARÍTIMOS[[#This Row],[Etapa Retiro - Atención]]="","",MARÍTIMOS[[#This Row],[Etapa Retiro - Atención]]),"")</f>
        <v/>
      </c>
      <c r="X802" s="11" t="str">
        <f>IFERROR(IF(MARÍTIMOS[[#This Row],[Etapa Retiro - Inicio de Ruta]]="","",MARÍTIMOS[[#This Row],[Etapa Retiro - Inicio de Ruta]]),"")</f>
        <v/>
      </c>
      <c r="Y802" s="11" t="str">
        <f>IFERROR(IF(MARÍTIMOS[[#This Row],[Hora de Posicionamiento]]="","",MARÍTIMOS[[#This Row],[Fecha de Carga]]+MARÍTIMOS[[#This Row],[Hora de Posicionamiento]]),"")</f>
        <v/>
      </c>
      <c r="Z802" s="11" t="str">
        <f>IFERROR(IF(MARÍTIMOS[[#This Row],[Etapa Despacho - Llegada]]="","",MARÍTIMOS[[#This Row],[Etapa Despacho - Llegada]]),"")</f>
        <v/>
      </c>
      <c r="AA802" s="11" t="str">
        <f>IFERROR(IF(MARÍTIMOS[[#This Row],[Etapa Despacho - Registro]]="","",MARÍTIMOS[[#This Row],[Etapa Despacho - Registro]]),"")</f>
        <v/>
      </c>
      <c r="AB802" s="11" t="str">
        <f>IFERROR(IF(MARÍTIMOS[[#This Row],[Inspección Externa]]="","",MARÍTIMOS[[#This Row],[Inspección Externa]]),"")</f>
        <v/>
      </c>
      <c r="AC802" s="11" t="str">
        <f>IFERROR(IF(MARÍTIMOS[[#This Row],[Etapa Despacho - Inicio de Carga]]="","",MARÍTIMOS[[#This Row],[Etapa Despacho - Inicio de Carga]]),"")</f>
        <v/>
      </c>
      <c r="AD802" s="11" t="str">
        <f>IFERROR(IF(MARÍTIMOS[[#This Row],[Etapa Despacho - Mitad de Carga]]="","",MARÍTIMOS[[#This Row],[Etapa Despacho - Mitad de Carga]]),"")</f>
        <v/>
      </c>
      <c r="AE802" s="11" t="str">
        <f>IFERROR(IF(MARÍTIMOS[[#This Row],[Etapa Despacho - Fin de Carga]]="","",MARÍTIMOS[[#This Row],[Etapa Despacho - Fin de Carga]]),"")</f>
        <v/>
      </c>
      <c r="AF802" s="2" t="str">
        <f>IFERROR(IF(MARÍTIMOS[[#This Row],[Puerto de Embarque]]="","",MARÍTIMOS[[#This Row],[Puerto de Embarque]]),"")</f>
        <v/>
      </c>
      <c r="AG802" s="2" t="str">
        <f>IFERROR(IF(MARÍTIMOS[[#This Row],[Almacén de Ingreso]]="","",MARÍTIMOS[[#This Row],[Almacén de Ingreso]]),"")</f>
        <v/>
      </c>
      <c r="AH802" s="11" t="str">
        <f>IFERROR(IF(MARÍTIMOS[[#This Row],[Etapa Ingreso - Cita]]="","",MARÍTIMOS[[#This Row],[Etapa Ingreso - Cita]]),"")</f>
        <v/>
      </c>
      <c r="AI802" s="11" t="str">
        <f>IFERROR(IF(MARÍTIMOS[[#This Row],[Etapa Ingreso - Llegada]]="","",MARÍTIMOS[[#This Row],[Etapa Ingreso - Llegada]]),"")</f>
        <v/>
      </c>
      <c r="AJ802" s="11" t="str">
        <f>IFERROR(IF(MARÍTIMOS[[#This Row],[Etapa Ingreso - Ingeso]]="","",MARÍTIMOS[[#This Row],[Etapa Ingreso - Ingeso]]),"")</f>
        <v/>
      </c>
      <c r="AK802" s="11" t="str">
        <f>IFERROR(IF(MARÍTIMOS[[#This Row],[Etapa Ingreso - Atención]]="","",MARÍTIMOS[[#This Row],[Etapa Ingreso - Atención]]),"")</f>
        <v/>
      </c>
      <c r="AL802" s="11" t="str">
        <f>IFERROR(IF(MARÍTIMOS[[#This Row],[Etapa Ingreso - Salida]]="","",MARÍTIMOS[[#This Row],[Etapa Ingreso - Salida]]),"")</f>
        <v/>
      </c>
      <c r="AM802" s="2" t="str">
        <f>IFERROR(IF(MARÍTIMOS[[#This Row],[FCL]]="","",MARÍTIMOS[[#This Row],[FCL]]),"")</f>
        <v/>
      </c>
      <c r="AN8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2" s="4" t="str" cm="1">
        <f t="array" ref="AO8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2" s="5" t="str">
        <f>IFERROR(OLDBD[[#This Row],[Llegada a packing]]-OLDBD[[#This Row],[Inicio de Ruta]],"")</f>
        <v/>
      </c>
      <c r="AQ802" s="6" t="str">
        <f>IFERROR(OLDBD[[#This Row],[Inicio de Ruta]]-OLDBD[[#This Row],[Salida de almacén de retiro]],"")</f>
        <v/>
      </c>
      <c r="AR8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2" s="8" t="str" cm="1">
        <f t="array" ref="AS8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2" s="9" t="str">
        <f>IFERROR(OLDBD[[#This Row],[Ingreso Packing]]-OLDBD[[#This Row],[Registro en Packing]],"")</f>
        <v/>
      </c>
      <c r="AV802" s="9" t="str">
        <f>IFERROR(OLDBD[[#This Row],[Ingreso Packing]]-OLDBD[[#This Row],[Llegada a packing]],"")</f>
        <v/>
      </c>
      <c r="AW8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2" s="5" t="str">
        <f>IFERROR(OLDBD[[#This Row],[Llegada Almacén de Ingreso]]-OLDBD[[#This Row],[Salida Packing]],"")</f>
        <v/>
      </c>
      <c r="AY802" s="4" t="str" cm="1">
        <f t="array" ref="AY8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2" s="43" t="s">
        <v>173</v>
      </c>
      <c r="BB802" s="47" t="str">
        <f>IFERROR(IF(MARÍTIMOS[[#This Row],[Estatus]]="","",MARÍTIMOS[[#This Row],[Estatus]]),"")</f>
        <v/>
      </c>
      <c r="BC802" s="43"/>
      <c r="BD802" s="46" t="str">
        <f>IFERROR(OLDBD[[#This Row],[Salida de almacén de retiro]]-OLDBD[[#This Row],[Ingreso Almacén de retiro]],"")</f>
        <v/>
      </c>
      <c r="BE802" s="46" t="str">
        <f>IFERROR(OLDBD[[#This Row],[Fin de Carga]]-OLDBD[[#This Row],[Inicio de Carga]],"")</f>
        <v/>
      </c>
    </row>
    <row r="803" spans="1:57" customFormat="1" hidden="1">
      <c r="A803" s="1"/>
      <c r="B803" s="1" t="str">
        <f>IFERROR(IF(MARÍTIMOS[[#This Row],[PP]]="","",MARÍTIMOS[[#This Row],[PP]]),"")</f>
        <v/>
      </c>
      <c r="C803" s="1" t="str">
        <f>IFERROR(IF(MARÍTIMOS[[#This Row],[Sede]]="","",MARÍTIMOS[[#This Row],[Sede]]),"")</f>
        <v/>
      </c>
      <c r="D803" s="1" t="str">
        <f>IFERROR(IF(MARÍTIMOS[[#This Row],[Instruction]]="","",MARÍTIMOS[[#This Row],[Instruction]]),"")</f>
        <v/>
      </c>
      <c r="E803" s="1"/>
      <c r="F803" s="2" t="str">
        <f>IFERROR(IF(MARÍTIMOS[[#This Row],[Transportista]]="","",MARÍTIMOS[[#This Row],[Transportista]]),"")</f>
        <v/>
      </c>
      <c r="G803" s="2" t="str">
        <f>IFERROR(IF(MARÍTIMOS[[#This Row],[Tercero]]="","",MARÍTIMOS[[#This Row],[Tercero]]),"")</f>
        <v/>
      </c>
      <c r="H803" s="2" t="str">
        <f>IFERROR(IF(MARÍTIMOS[[#This Row],[Razón Social]]="","",MARÍTIMOS[[#This Row],[Razón Social]]),"")</f>
        <v/>
      </c>
      <c r="I803" s="2" t="str">
        <f>IFERROR(IF(MARÍTIMOS[[#This Row],[RUC]]="","",MARÍTIMOS[[#This Row],[RUC]]),"")</f>
        <v/>
      </c>
      <c r="J803" s="2" t="str">
        <f>IFERROR(IF(MARÍTIMOS[[#This Row],[Placa Tracto]]="","",MARÍTIMOS[[#This Row],[Placa Tracto]]),"")</f>
        <v/>
      </c>
      <c r="K803" s="2" t="str">
        <f>IFERROR(IF(MARÍTIMOS[[#This Row],[Placa Carreta]]="","",MARÍTIMOS[[#This Row],[Placa Carreta]]),"")</f>
        <v/>
      </c>
      <c r="L803" s="44" t="str">
        <f>IFERROR(IF(MARÍTIMOS[[#This Row],[Conductor]]="","",MARÍTIMOS[[#This Row],[Conductor]]),"")</f>
        <v/>
      </c>
      <c r="M803" s="2" t="str">
        <f>IFERROR(IF(MARÍTIMOS[[#This Row],[Licencia]]="","",MARÍTIMOS[[#This Row],[Licencia]]),"")</f>
        <v/>
      </c>
      <c r="N803" s="2" t="str">
        <f>IFERROR(IF(MARÍTIMOS[[#This Row],[Número de Contacto]]="","",MARÍTIMOS[[#This Row],[Número de Contacto]]),"")</f>
        <v/>
      </c>
      <c r="O803" s="10" t="str">
        <f>IFERROR(IF(MARÍTIMOS[[#This Row],[Booking|AWB|CRT]]="","",MARÍTIMOS[[#This Row],[Booking|AWB|CRT]]),"")</f>
        <v/>
      </c>
      <c r="P803" s="2" t="str">
        <f>IFERROR(IF(MARÍTIMOS[[#This Row],[Contenedor]]="","",MARÍTIMOS[[#This Row],[Contenedor]]),"")</f>
        <v/>
      </c>
      <c r="Q803" s="2" t="str">
        <f>IFERROR(IF(MARÍTIMOS[[#This Row],[Puerto de Retiro]]="","",MARÍTIMOS[[#This Row],[Puerto de Retiro]]),"")</f>
        <v/>
      </c>
      <c r="R803" s="2" t="str">
        <f>IFERROR(IF(MARÍTIMOS[[#This Row],[Almacén de Retiro]]="","",MARÍTIMOS[[#This Row],[Almacén de Retiro]]),"")</f>
        <v/>
      </c>
      <c r="S803" s="11" t="str">
        <f>IFERROR(IF(MARÍTIMOS[[#This Row],[Etapa Retiro - Cita]]="","",MARÍTIMOS[[#This Row],[Etapa Retiro - Cita]]),"")</f>
        <v/>
      </c>
      <c r="T803" s="11" t="str">
        <f>IFERROR(IF(MARÍTIMOS[[#This Row],[Etapa Retiro - Llegada]]="","",MARÍTIMOS[[#This Row],[Etapa Retiro - Llegada]]),"")</f>
        <v/>
      </c>
      <c r="U803" s="11" t="str">
        <f>IFERROR(IF(MARÍTIMOS[[#This Row],[Etapa Retiro - Ingreso]]="","",MARÍTIMOS[[#This Row],[Etapa Retiro - Ingreso]]),"")</f>
        <v/>
      </c>
      <c r="V803" s="11" t="str">
        <f>IFERROR(IF(MARÍTIMOS[[#This Row],[Etapa Retiro - Atención]]="","",MARÍTIMOS[[#This Row],[Etapa Retiro - Atención]]),"")</f>
        <v/>
      </c>
      <c r="W803" s="11" t="str">
        <f>IFERROR(IF(MARÍTIMOS[[#This Row],[Etapa Retiro - Atención]]="","",MARÍTIMOS[[#This Row],[Etapa Retiro - Atención]]),"")</f>
        <v/>
      </c>
      <c r="X803" s="11" t="str">
        <f>IFERROR(IF(MARÍTIMOS[[#This Row],[Etapa Retiro - Inicio de Ruta]]="","",MARÍTIMOS[[#This Row],[Etapa Retiro - Inicio de Ruta]]),"")</f>
        <v/>
      </c>
      <c r="Y803" s="11" t="str">
        <f>IFERROR(IF(MARÍTIMOS[[#This Row],[Hora de Posicionamiento]]="","",MARÍTIMOS[[#This Row],[Fecha de Carga]]+MARÍTIMOS[[#This Row],[Hora de Posicionamiento]]),"")</f>
        <v/>
      </c>
      <c r="Z803" s="11" t="str">
        <f>IFERROR(IF(MARÍTIMOS[[#This Row],[Etapa Despacho - Llegada]]="","",MARÍTIMOS[[#This Row],[Etapa Despacho - Llegada]]),"")</f>
        <v/>
      </c>
      <c r="AA803" s="11" t="str">
        <f>IFERROR(IF(MARÍTIMOS[[#This Row],[Etapa Despacho - Registro]]="","",MARÍTIMOS[[#This Row],[Etapa Despacho - Registro]]),"")</f>
        <v/>
      </c>
      <c r="AB803" s="11" t="str">
        <f>IFERROR(IF(MARÍTIMOS[[#This Row],[Inspección Externa]]="","",MARÍTIMOS[[#This Row],[Inspección Externa]]),"")</f>
        <v/>
      </c>
      <c r="AC803" s="11" t="str">
        <f>IFERROR(IF(MARÍTIMOS[[#This Row],[Etapa Despacho - Inicio de Carga]]="","",MARÍTIMOS[[#This Row],[Etapa Despacho - Inicio de Carga]]),"")</f>
        <v/>
      </c>
      <c r="AD803" s="11" t="str">
        <f>IFERROR(IF(MARÍTIMOS[[#This Row],[Etapa Despacho - Mitad de Carga]]="","",MARÍTIMOS[[#This Row],[Etapa Despacho - Mitad de Carga]]),"")</f>
        <v/>
      </c>
      <c r="AE803" s="11" t="str">
        <f>IFERROR(IF(MARÍTIMOS[[#This Row],[Etapa Despacho - Fin de Carga]]="","",MARÍTIMOS[[#This Row],[Etapa Despacho - Fin de Carga]]),"")</f>
        <v/>
      </c>
      <c r="AF803" s="2" t="str">
        <f>IFERROR(IF(MARÍTIMOS[[#This Row],[Puerto de Embarque]]="","",MARÍTIMOS[[#This Row],[Puerto de Embarque]]),"")</f>
        <v/>
      </c>
      <c r="AG803" s="2" t="str">
        <f>IFERROR(IF(MARÍTIMOS[[#This Row],[Almacén de Ingreso]]="","",MARÍTIMOS[[#This Row],[Almacén de Ingreso]]),"")</f>
        <v/>
      </c>
      <c r="AH803" s="11" t="str">
        <f>IFERROR(IF(MARÍTIMOS[[#This Row],[Etapa Ingreso - Cita]]="","",MARÍTIMOS[[#This Row],[Etapa Ingreso - Cita]]),"")</f>
        <v/>
      </c>
      <c r="AI803" s="11" t="str">
        <f>IFERROR(IF(MARÍTIMOS[[#This Row],[Etapa Ingreso - Llegada]]="","",MARÍTIMOS[[#This Row],[Etapa Ingreso - Llegada]]),"")</f>
        <v/>
      </c>
      <c r="AJ803" s="11" t="str">
        <f>IFERROR(IF(MARÍTIMOS[[#This Row],[Etapa Ingreso - Ingeso]]="","",MARÍTIMOS[[#This Row],[Etapa Ingreso - Ingeso]]),"")</f>
        <v/>
      </c>
      <c r="AK803" s="11" t="str">
        <f>IFERROR(IF(MARÍTIMOS[[#This Row],[Etapa Ingreso - Atención]]="","",MARÍTIMOS[[#This Row],[Etapa Ingreso - Atención]]),"")</f>
        <v/>
      </c>
      <c r="AL803" s="11" t="str">
        <f>IFERROR(IF(MARÍTIMOS[[#This Row],[Etapa Ingreso - Salida]]="","",MARÍTIMOS[[#This Row],[Etapa Ingreso - Salida]]),"")</f>
        <v/>
      </c>
      <c r="AM803" s="2" t="str">
        <f>IFERROR(IF(MARÍTIMOS[[#This Row],[FCL]]="","",MARÍTIMOS[[#This Row],[FCL]]),"")</f>
        <v/>
      </c>
      <c r="AN8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3" s="4" t="str" cm="1">
        <f t="array" ref="AO8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3" s="5" t="str">
        <f>IFERROR(OLDBD[[#This Row],[Llegada a packing]]-OLDBD[[#This Row],[Inicio de Ruta]],"")</f>
        <v/>
      </c>
      <c r="AQ803" s="6" t="str">
        <f>IFERROR(OLDBD[[#This Row],[Inicio de Ruta]]-OLDBD[[#This Row],[Salida de almacén de retiro]],"")</f>
        <v/>
      </c>
      <c r="AR8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3" s="8" t="str" cm="1">
        <f t="array" ref="AS8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3" s="9" t="str">
        <f>IFERROR(OLDBD[[#This Row],[Ingreso Packing]]-OLDBD[[#This Row],[Registro en Packing]],"")</f>
        <v/>
      </c>
      <c r="AV803" s="9" t="str">
        <f>IFERROR(OLDBD[[#This Row],[Ingreso Packing]]-OLDBD[[#This Row],[Llegada a packing]],"")</f>
        <v/>
      </c>
      <c r="AW8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3" s="5" t="str">
        <f>IFERROR(OLDBD[[#This Row],[Llegada Almacén de Ingreso]]-OLDBD[[#This Row],[Salida Packing]],"")</f>
        <v/>
      </c>
      <c r="AY803" s="4" t="str" cm="1">
        <f t="array" ref="AY8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3" s="43" t="s">
        <v>173</v>
      </c>
      <c r="BB803" s="47" t="str">
        <f>IFERROR(IF(MARÍTIMOS[[#This Row],[Estatus]]="","",MARÍTIMOS[[#This Row],[Estatus]]),"")</f>
        <v/>
      </c>
      <c r="BC803" s="43"/>
      <c r="BD803" s="46" t="str">
        <f>IFERROR(OLDBD[[#This Row],[Salida de almacén de retiro]]-OLDBD[[#This Row],[Ingreso Almacén de retiro]],"")</f>
        <v/>
      </c>
      <c r="BE803" s="46" t="str">
        <f>IFERROR(OLDBD[[#This Row],[Fin de Carga]]-OLDBD[[#This Row],[Inicio de Carga]],"")</f>
        <v/>
      </c>
    </row>
    <row r="804" spans="1:57" customFormat="1" hidden="1">
      <c r="A804" s="1"/>
      <c r="B804" s="1" t="str">
        <f>IFERROR(IF(MARÍTIMOS[[#This Row],[PP]]="","",MARÍTIMOS[[#This Row],[PP]]),"")</f>
        <v/>
      </c>
      <c r="C804" s="1" t="str">
        <f>IFERROR(IF(MARÍTIMOS[[#This Row],[Sede]]="","",MARÍTIMOS[[#This Row],[Sede]]),"")</f>
        <v/>
      </c>
      <c r="D804" s="1" t="str">
        <f>IFERROR(IF(MARÍTIMOS[[#This Row],[Instruction]]="","",MARÍTIMOS[[#This Row],[Instruction]]),"")</f>
        <v/>
      </c>
      <c r="E804" s="1"/>
      <c r="F804" s="2" t="str">
        <f>IFERROR(IF(MARÍTIMOS[[#This Row],[Transportista]]="","",MARÍTIMOS[[#This Row],[Transportista]]),"")</f>
        <v/>
      </c>
      <c r="G804" s="2" t="str">
        <f>IFERROR(IF(MARÍTIMOS[[#This Row],[Tercero]]="","",MARÍTIMOS[[#This Row],[Tercero]]),"")</f>
        <v/>
      </c>
      <c r="H804" s="2" t="str">
        <f>IFERROR(IF(MARÍTIMOS[[#This Row],[Razón Social]]="","",MARÍTIMOS[[#This Row],[Razón Social]]),"")</f>
        <v/>
      </c>
      <c r="I804" s="2" t="str">
        <f>IFERROR(IF(MARÍTIMOS[[#This Row],[RUC]]="","",MARÍTIMOS[[#This Row],[RUC]]),"")</f>
        <v/>
      </c>
      <c r="J804" s="2" t="str">
        <f>IFERROR(IF(MARÍTIMOS[[#This Row],[Placa Tracto]]="","",MARÍTIMOS[[#This Row],[Placa Tracto]]),"")</f>
        <v/>
      </c>
      <c r="K804" s="2" t="str">
        <f>IFERROR(IF(MARÍTIMOS[[#This Row],[Placa Carreta]]="","",MARÍTIMOS[[#This Row],[Placa Carreta]]),"")</f>
        <v/>
      </c>
      <c r="L804" s="44" t="str">
        <f>IFERROR(IF(MARÍTIMOS[[#This Row],[Conductor]]="","",MARÍTIMOS[[#This Row],[Conductor]]),"")</f>
        <v/>
      </c>
      <c r="M804" s="2" t="str">
        <f>IFERROR(IF(MARÍTIMOS[[#This Row],[Licencia]]="","",MARÍTIMOS[[#This Row],[Licencia]]),"")</f>
        <v/>
      </c>
      <c r="N804" s="2" t="str">
        <f>IFERROR(IF(MARÍTIMOS[[#This Row],[Número de Contacto]]="","",MARÍTIMOS[[#This Row],[Número de Contacto]]),"")</f>
        <v/>
      </c>
      <c r="O804" s="10" t="str">
        <f>IFERROR(IF(MARÍTIMOS[[#This Row],[Booking|AWB|CRT]]="","",MARÍTIMOS[[#This Row],[Booking|AWB|CRT]]),"")</f>
        <v/>
      </c>
      <c r="P804" s="2" t="str">
        <f>IFERROR(IF(MARÍTIMOS[[#This Row],[Contenedor]]="","",MARÍTIMOS[[#This Row],[Contenedor]]),"")</f>
        <v/>
      </c>
      <c r="Q804" s="2" t="str">
        <f>IFERROR(IF(MARÍTIMOS[[#This Row],[Puerto de Retiro]]="","",MARÍTIMOS[[#This Row],[Puerto de Retiro]]),"")</f>
        <v/>
      </c>
      <c r="R804" s="2" t="str">
        <f>IFERROR(IF(MARÍTIMOS[[#This Row],[Almacén de Retiro]]="","",MARÍTIMOS[[#This Row],[Almacén de Retiro]]),"")</f>
        <v/>
      </c>
      <c r="S804" s="11" t="str">
        <f>IFERROR(IF(MARÍTIMOS[[#This Row],[Etapa Retiro - Cita]]="","",MARÍTIMOS[[#This Row],[Etapa Retiro - Cita]]),"")</f>
        <v/>
      </c>
      <c r="T804" s="11" t="str">
        <f>IFERROR(IF(MARÍTIMOS[[#This Row],[Etapa Retiro - Llegada]]="","",MARÍTIMOS[[#This Row],[Etapa Retiro - Llegada]]),"")</f>
        <v/>
      </c>
      <c r="U804" s="11" t="str">
        <f>IFERROR(IF(MARÍTIMOS[[#This Row],[Etapa Retiro - Ingreso]]="","",MARÍTIMOS[[#This Row],[Etapa Retiro - Ingreso]]),"")</f>
        <v/>
      </c>
      <c r="V804" s="11" t="str">
        <f>IFERROR(IF(MARÍTIMOS[[#This Row],[Etapa Retiro - Atención]]="","",MARÍTIMOS[[#This Row],[Etapa Retiro - Atención]]),"")</f>
        <v/>
      </c>
      <c r="W804" s="11" t="str">
        <f>IFERROR(IF(MARÍTIMOS[[#This Row],[Etapa Retiro - Atención]]="","",MARÍTIMOS[[#This Row],[Etapa Retiro - Atención]]),"")</f>
        <v/>
      </c>
      <c r="X804" s="11" t="str">
        <f>IFERROR(IF(MARÍTIMOS[[#This Row],[Etapa Retiro - Inicio de Ruta]]="","",MARÍTIMOS[[#This Row],[Etapa Retiro - Inicio de Ruta]]),"")</f>
        <v/>
      </c>
      <c r="Y804" s="11" t="str">
        <f>IFERROR(IF(MARÍTIMOS[[#This Row],[Hora de Posicionamiento]]="","",MARÍTIMOS[[#This Row],[Fecha de Carga]]+MARÍTIMOS[[#This Row],[Hora de Posicionamiento]]),"")</f>
        <v/>
      </c>
      <c r="Z804" s="11" t="str">
        <f>IFERROR(IF(MARÍTIMOS[[#This Row],[Etapa Despacho - Llegada]]="","",MARÍTIMOS[[#This Row],[Etapa Despacho - Llegada]]),"")</f>
        <v/>
      </c>
      <c r="AA804" s="11" t="str">
        <f>IFERROR(IF(MARÍTIMOS[[#This Row],[Etapa Despacho - Registro]]="","",MARÍTIMOS[[#This Row],[Etapa Despacho - Registro]]),"")</f>
        <v/>
      </c>
      <c r="AB804" s="11" t="str">
        <f>IFERROR(IF(MARÍTIMOS[[#This Row],[Inspección Externa]]="","",MARÍTIMOS[[#This Row],[Inspección Externa]]),"")</f>
        <v/>
      </c>
      <c r="AC804" s="11" t="str">
        <f>IFERROR(IF(MARÍTIMOS[[#This Row],[Etapa Despacho - Inicio de Carga]]="","",MARÍTIMOS[[#This Row],[Etapa Despacho - Inicio de Carga]]),"")</f>
        <v/>
      </c>
      <c r="AD804" s="11" t="str">
        <f>IFERROR(IF(MARÍTIMOS[[#This Row],[Etapa Despacho - Mitad de Carga]]="","",MARÍTIMOS[[#This Row],[Etapa Despacho - Mitad de Carga]]),"")</f>
        <v/>
      </c>
      <c r="AE804" s="11" t="str">
        <f>IFERROR(IF(MARÍTIMOS[[#This Row],[Etapa Despacho - Fin de Carga]]="","",MARÍTIMOS[[#This Row],[Etapa Despacho - Fin de Carga]]),"")</f>
        <v/>
      </c>
      <c r="AF804" s="2" t="str">
        <f>IFERROR(IF(MARÍTIMOS[[#This Row],[Puerto de Embarque]]="","",MARÍTIMOS[[#This Row],[Puerto de Embarque]]),"")</f>
        <v/>
      </c>
      <c r="AG804" s="2" t="str">
        <f>IFERROR(IF(MARÍTIMOS[[#This Row],[Almacén de Ingreso]]="","",MARÍTIMOS[[#This Row],[Almacén de Ingreso]]),"")</f>
        <v/>
      </c>
      <c r="AH804" s="11" t="str">
        <f>IFERROR(IF(MARÍTIMOS[[#This Row],[Etapa Ingreso - Cita]]="","",MARÍTIMOS[[#This Row],[Etapa Ingreso - Cita]]),"")</f>
        <v/>
      </c>
      <c r="AI804" s="11" t="str">
        <f>IFERROR(IF(MARÍTIMOS[[#This Row],[Etapa Ingreso - Llegada]]="","",MARÍTIMOS[[#This Row],[Etapa Ingreso - Llegada]]),"")</f>
        <v/>
      </c>
      <c r="AJ804" s="11" t="str">
        <f>IFERROR(IF(MARÍTIMOS[[#This Row],[Etapa Ingreso - Ingeso]]="","",MARÍTIMOS[[#This Row],[Etapa Ingreso - Ingeso]]),"")</f>
        <v/>
      </c>
      <c r="AK804" s="11" t="str">
        <f>IFERROR(IF(MARÍTIMOS[[#This Row],[Etapa Ingreso - Atención]]="","",MARÍTIMOS[[#This Row],[Etapa Ingreso - Atención]]),"")</f>
        <v/>
      </c>
      <c r="AL804" s="11" t="str">
        <f>IFERROR(IF(MARÍTIMOS[[#This Row],[Etapa Ingreso - Salida]]="","",MARÍTIMOS[[#This Row],[Etapa Ingreso - Salida]]),"")</f>
        <v/>
      </c>
      <c r="AM804" s="2" t="str">
        <f>IFERROR(IF(MARÍTIMOS[[#This Row],[FCL]]="","",MARÍTIMOS[[#This Row],[FCL]]),"")</f>
        <v/>
      </c>
      <c r="AN8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4" s="4" t="str" cm="1">
        <f t="array" ref="AO8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4" s="5" t="str">
        <f>IFERROR(OLDBD[[#This Row],[Llegada a packing]]-OLDBD[[#This Row],[Inicio de Ruta]],"")</f>
        <v/>
      </c>
      <c r="AQ804" s="6" t="str">
        <f>IFERROR(OLDBD[[#This Row],[Inicio de Ruta]]-OLDBD[[#This Row],[Salida de almacén de retiro]],"")</f>
        <v/>
      </c>
      <c r="AR8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4" s="8" t="str" cm="1">
        <f t="array" ref="AS8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4" s="9" t="str">
        <f>IFERROR(OLDBD[[#This Row],[Ingreso Packing]]-OLDBD[[#This Row],[Registro en Packing]],"")</f>
        <v/>
      </c>
      <c r="AV804" s="9" t="str">
        <f>IFERROR(OLDBD[[#This Row],[Ingreso Packing]]-OLDBD[[#This Row],[Llegada a packing]],"")</f>
        <v/>
      </c>
      <c r="AW8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4" s="5" t="str">
        <f>IFERROR(OLDBD[[#This Row],[Llegada Almacén de Ingreso]]-OLDBD[[#This Row],[Salida Packing]],"")</f>
        <v/>
      </c>
      <c r="AY804" s="4" t="str" cm="1">
        <f t="array" ref="AY8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4" s="43" t="s">
        <v>173</v>
      </c>
      <c r="BB804" s="47" t="str">
        <f>IFERROR(IF(MARÍTIMOS[[#This Row],[Estatus]]="","",MARÍTIMOS[[#This Row],[Estatus]]),"")</f>
        <v/>
      </c>
      <c r="BC804" s="43"/>
      <c r="BD804" s="46" t="str">
        <f>IFERROR(OLDBD[[#This Row],[Salida de almacén de retiro]]-OLDBD[[#This Row],[Ingreso Almacén de retiro]],"")</f>
        <v/>
      </c>
      <c r="BE804" s="46" t="str">
        <f>IFERROR(OLDBD[[#This Row],[Fin de Carga]]-OLDBD[[#This Row],[Inicio de Carga]],"")</f>
        <v/>
      </c>
    </row>
    <row r="805" spans="1:57" customFormat="1" hidden="1">
      <c r="A805" s="1"/>
      <c r="B805" s="1" t="str">
        <f>IFERROR(IF(MARÍTIMOS[[#This Row],[PP]]="","",MARÍTIMOS[[#This Row],[PP]]),"")</f>
        <v/>
      </c>
      <c r="C805" s="1" t="str">
        <f>IFERROR(IF(MARÍTIMOS[[#This Row],[Sede]]="","",MARÍTIMOS[[#This Row],[Sede]]),"")</f>
        <v/>
      </c>
      <c r="D805" s="1" t="str">
        <f>IFERROR(IF(MARÍTIMOS[[#This Row],[Instruction]]="","",MARÍTIMOS[[#This Row],[Instruction]]),"")</f>
        <v/>
      </c>
      <c r="E805" s="1"/>
      <c r="F805" s="2" t="str">
        <f>IFERROR(IF(MARÍTIMOS[[#This Row],[Transportista]]="","",MARÍTIMOS[[#This Row],[Transportista]]),"")</f>
        <v/>
      </c>
      <c r="G805" s="2" t="str">
        <f>IFERROR(IF(MARÍTIMOS[[#This Row],[Tercero]]="","",MARÍTIMOS[[#This Row],[Tercero]]),"")</f>
        <v/>
      </c>
      <c r="H805" s="2" t="str">
        <f>IFERROR(IF(MARÍTIMOS[[#This Row],[Razón Social]]="","",MARÍTIMOS[[#This Row],[Razón Social]]),"")</f>
        <v/>
      </c>
      <c r="I805" s="2" t="str">
        <f>IFERROR(IF(MARÍTIMOS[[#This Row],[RUC]]="","",MARÍTIMOS[[#This Row],[RUC]]),"")</f>
        <v/>
      </c>
      <c r="J805" s="2" t="str">
        <f>IFERROR(IF(MARÍTIMOS[[#This Row],[Placa Tracto]]="","",MARÍTIMOS[[#This Row],[Placa Tracto]]),"")</f>
        <v/>
      </c>
      <c r="K805" s="2" t="str">
        <f>IFERROR(IF(MARÍTIMOS[[#This Row],[Placa Carreta]]="","",MARÍTIMOS[[#This Row],[Placa Carreta]]),"")</f>
        <v/>
      </c>
      <c r="L805" s="44" t="str">
        <f>IFERROR(IF(MARÍTIMOS[[#This Row],[Conductor]]="","",MARÍTIMOS[[#This Row],[Conductor]]),"")</f>
        <v/>
      </c>
      <c r="M805" s="2" t="str">
        <f>IFERROR(IF(MARÍTIMOS[[#This Row],[Licencia]]="","",MARÍTIMOS[[#This Row],[Licencia]]),"")</f>
        <v/>
      </c>
      <c r="N805" s="2" t="str">
        <f>IFERROR(IF(MARÍTIMOS[[#This Row],[Número de Contacto]]="","",MARÍTIMOS[[#This Row],[Número de Contacto]]),"")</f>
        <v/>
      </c>
      <c r="O805" s="10" t="str">
        <f>IFERROR(IF(MARÍTIMOS[[#This Row],[Booking|AWB|CRT]]="","",MARÍTIMOS[[#This Row],[Booking|AWB|CRT]]),"")</f>
        <v/>
      </c>
      <c r="P805" s="2" t="str">
        <f>IFERROR(IF(MARÍTIMOS[[#This Row],[Contenedor]]="","",MARÍTIMOS[[#This Row],[Contenedor]]),"")</f>
        <v/>
      </c>
      <c r="Q805" s="2" t="str">
        <f>IFERROR(IF(MARÍTIMOS[[#This Row],[Puerto de Retiro]]="","",MARÍTIMOS[[#This Row],[Puerto de Retiro]]),"")</f>
        <v/>
      </c>
      <c r="R805" s="2" t="str">
        <f>IFERROR(IF(MARÍTIMOS[[#This Row],[Almacén de Retiro]]="","",MARÍTIMOS[[#This Row],[Almacén de Retiro]]),"")</f>
        <v/>
      </c>
      <c r="S805" s="11" t="str">
        <f>IFERROR(IF(MARÍTIMOS[[#This Row],[Etapa Retiro - Cita]]="","",MARÍTIMOS[[#This Row],[Etapa Retiro - Cita]]),"")</f>
        <v/>
      </c>
      <c r="T805" s="11" t="str">
        <f>IFERROR(IF(MARÍTIMOS[[#This Row],[Etapa Retiro - Llegada]]="","",MARÍTIMOS[[#This Row],[Etapa Retiro - Llegada]]),"")</f>
        <v/>
      </c>
      <c r="U805" s="11" t="str">
        <f>IFERROR(IF(MARÍTIMOS[[#This Row],[Etapa Retiro - Ingreso]]="","",MARÍTIMOS[[#This Row],[Etapa Retiro - Ingreso]]),"")</f>
        <v/>
      </c>
      <c r="V805" s="11" t="str">
        <f>IFERROR(IF(MARÍTIMOS[[#This Row],[Etapa Retiro - Atención]]="","",MARÍTIMOS[[#This Row],[Etapa Retiro - Atención]]),"")</f>
        <v/>
      </c>
      <c r="W805" s="11" t="str">
        <f>IFERROR(IF(MARÍTIMOS[[#This Row],[Etapa Retiro - Atención]]="","",MARÍTIMOS[[#This Row],[Etapa Retiro - Atención]]),"")</f>
        <v/>
      </c>
      <c r="X805" s="11" t="str">
        <f>IFERROR(IF(MARÍTIMOS[[#This Row],[Etapa Retiro - Inicio de Ruta]]="","",MARÍTIMOS[[#This Row],[Etapa Retiro - Inicio de Ruta]]),"")</f>
        <v/>
      </c>
      <c r="Y805" s="11" t="str">
        <f>IFERROR(IF(MARÍTIMOS[[#This Row],[Hora de Posicionamiento]]="","",MARÍTIMOS[[#This Row],[Fecha de Carga]]+MARÍTIMOS[[#This Row],[Hora de Posicionamiento]]),"")</f>
        <v/>
      </c>
      <c r="Z805" s="11" t="str">
        <f>IFERROR(IF(MARÍTIMOS[[#This Row],[Etapa Despacho - Llegada]]="","",MARÍTIMOS[[#This Row],[Etapa Despacho - Llegada]]),"")</f>
        <v/>
      </c>
      <c r="AA805" s="11" t="str">
        <f>IFERROR(IF(MARÍTIMOS[[#This Row],[Etapa Despacho - Registro]]="","",MARÍTIMOS[[#This Row],[Etapa Despacho - Registro]]),"")</f>
        <v/>
      </c>
      <c r="AB805" s="11" t="str">
        <f>IFERROR(IF(MARÍTIMOS[[#This Row],[Inspección Externa]]="","",MARÍTIMOS[[#This Row],[Inspección Externa]]),"")</f>
        <v/>
      </c>
      <c r="AC805" s="11" t="str">
        <f>IFERROR(IF(MARÍTIMOS[[#This Row],[Etapa Despacho - Inicio de Carga]]="","",MARÍTIMOS[[#This Row],[Etapa Despacho - Inicio de Carga]]),"")</f>
        <v/>
      </c>
      <c r="AD805" s="11" t="str">
        <f>IFERROR(IF(MARÍTIMOS[[#This Row],[Etapa Despacho - Mitad de Carga]]="","",MARÍTIMOS[[#This Row],[Etapa Despacho - Mitad de Carga]]),"")</f>
        <v/>
      </c>
      <c r="AE805" s="11" t="str">
        <f>IFERROR(IF(MARÍTIMOS[[#This Row],[Etapa Despacho - Fin de Carga]]="","",MARÍTIMOS[[#This Row],[Etapa Despacho - Fin de Carga]]),"")</f>
        <v/>
      </c>
      <c r="AF805" s="2" t="str">
        <f>IFERROR(IF(MARÍTIMOS[[#This Row],[Puerto de Embarque]]="","",MARÍTIMOS[[#This Row],[Puerto de Embarque]]),"")</f>
        <v/>
      </c>
      <c r="AG805" s="2" t="str">
        <f>IFERROR(IF(MARÍTIMOS[[#This Row],[Almacén de Ingreso]]="","",MARÍTIMOS[[#This Row],[Almacén de Ingreso]]),"")</f>
        <v/>
      </c>
      <c r="AH805" s="11" t="str">
        <f>IFERROR(IF(MARÍTIMOS[[#This Row],[Etapa Ingreso - Cita]]="","",MARÍTIMOS[[#This Row],[Etapa Ingreso - Cita]]),"")</f>
        <v/>
      </c>
      <c r="AI805" s="11" t="str">
        <f>IFERROR(IF(MARÍTIMOS[[#This Row],[Etapa Ingreso - Llegada]]="","",MARÍTIMOS[[#This Row],[Etapa Ingreso - Llegada]]),"")</f>
        <v/>
      </c>
      <c r="AJ805" s="11" t="str">
        <f>IFERROR(IF(MARÍTIMOS[[#This Row],[Etapa Ingreso - Ingeso]]="","",MARÍTIMOS[[#This Row],[Etapa Ingreso - Ingeso]]),"")</f>
        <v/>
      </c>
      <c r="AK805" s="11" t="str">
        <f>IFERROR(IF(MARÍTIMOS[[#This Row],[Etapa Ingreso - Atención]]="","",MARÍTIMOS[[#This Row],[Etapa Ingreso - Atención]]),"")</f>
        <v/>
      </c>
      <c r="AL805" s="11" t="str">
        <f>IFERROR(IF(MARÍTIMOS[[#This Row],[Etapa Ingreso - Salida]]="","",MARÍTIMOS[[#This Row],[Etapa Ingreso - Salida]]),"")</f>
        <v/>
      </c>
      <c r="AM805" s="2" t="str">
        <f>IFERROR(IF(MARÍTIMOS[[#This Row],[FCL]]="","",MARÍTIMOS[[#This Row],[FCL]]),"")</f>
        <v/>
      </c>
      <c r="AN8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5" s="4" t="str" cm="1">
        <f t="array" ref="AO8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5" s="5" t="str">
        <f>IFERROR(OLDBD[[#This Row],[Llegada a packing]]-OLDBD[[#This Row],[Inicio de Ruta]],"")</f>
        <v/>
      </c>
      <c r="AQ805" s="6" t="str">
        <f>IFERROR(OLDBD[[#This Row],[Inicio de Ruta]]-OLDBD[[#This Row],[Salida de almacén de retiro]],"")</f>
        <v/>
      </c>
      <c r="AR8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5" s="8" t="str" cm="1">
        <f t="array" ref="AS8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5" s="9" t="str">
        <f>IFERROR(OLDBD[[#This Row],[Ingreso Packing]]-OLDBD[[#This Row],[Registro en Packing]],"")</f>
        <v/>
      </c>
      <c r="AV805" s="9" t="str">
        <f>IFERROR(OLDBD[[#This Row],[Ingreso Packing]]-OLDBD[[#This Row],[Llegada a packing]],"")</f>
        <v/>
      </c>
      <c r="AW8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5" s="5" t="str">
        <f>IFERROR(OLDBD[[#This Row],[Llegada Almacén de Ingreso]]-OLDBD[[#This Row],[Salida Packing]],"")</f>
        <v/>
      </c>
      <c r="AY805" s="4" t="str" cm="1">
        <f t="array" ref="AY8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5" s="43" t="s">
        <v>173</v>
      </c>
      <c r="BB805" s="47" t="str">
        <f>IFERROR(IF(MARÍTIMOS[[#This Row],[Estatus]]="","",MARÍTIMOS[[#This Row],[Estatus]]),"")</f>
        <v/>
      </c>
      <c r="BC805" s="43"/>
      <c r="BD805" s="46" t="str">
        <f>IFERROR(OLDBD[[#This Row],[Salida de almacén de retiro]]-OLDBD[[#This Row],[Ingreso Almacén de retiro]],"")</f>
        <v/>
      </c>
      <c r="BE805" s="46" t="str">
        <f>IFERROR(OLDBD[[#This Row],[Fin de Carga]]-OLDBD[[#This Row],[Inicio de Carga]],"")</f>
        <v/>
      </c>
    </row>
    <row r="806" spans="1:57" customFormat="1" hidden="1">
      <c r="A806" s="1"/>
      <c r="B806" s="1" t="str">
        <f>IFERROR(IF(MARÍTIMOS[[#This Row],[PP]]="","",MARÍTIMOS[[#This Row],[PP]]),"")</f>
        <v/>
      </c>
      <c r="C806" s="1" t="str">
        <f>IFERROR(IF(MARÍTIMOS[[#This Row],[Sede]]="","",MARÍTIMOS[[#This Row],[Sede]]),"")</f>
        <v/>
      </c>
      <c r="D806" s="1" t="str">
        <f>IFERROR(IF(MARÍTIMOS[[#This Row],[Instruction]]="","",MARÍTIMOS[[#This Row],[Instruction]]),"")</f>
        <v/>
      </c>
      <c r="E806" s="1"/>
      <c r="F806" s="2" t="str">
        <f>IFERROR(IF(MARÍTIMOS[[#This Row],[Transportista]]="","",MARÍTIMOS[[#This Row],[Transportista]]),"")</f>
        <v/>
      </c>
      <c r="G806" s="2" t="str">
        <f>IFERROR(IF(MARÍTIMOS[[#This Row],[Tercero]]="","",MARÍTIMOS[[#This Row],[Tercero]]),"")</f>
        <v/>
      </c>
      <c r="H806" s="2" t="str">
        <f>IFERROR(IF(MARÍTIMOS[[#This Row],[Razón Social]]="","",MARÍTIMOS[[#This Row],[Razón Social]]),"")</f>
        <v/>
      </c>
      <c r="I806" s="2" t="str">
        <f>IFERROR(IF(MARÍTIMOS[[#This Row],[RUC]]="","",MARÍTIMOS[[#This Row],[RUC]]),"")</f>
        <v/>
      </c>
      <c r="J806" s="2" t="str">
        <f>IFERROR(IF(MARÍTIMOS[[#This Row],[Placa Tracto]]="","",MARÍTIMOS[[#This Row],[Placa Tracto]]),"")</f>
        <v/>
      </c>
      <c r="K806" s="2" t="str">
        <f>IFERROR(IF(MARÍTIMOS[[#This Row],[Placa Carreta]]="","",MARÍTIMOS[[#This Row],[Placa Carreta]]),"")</f>
        <v/>
      </c>
      <c r="L806" s="44" t="str">
        <f>IFERROR(IF(MARÍTIMOS[[#This Row],[Conductor]]="","",MARÍTIMOS[[#This Row],[Conductor]]),"")</f>
        <v/>
      </c>
      <c r="M806" s="2" t="str">
        <f>IFERROR(IF(MARÍTIMOS[[#This Row],[Licencia]]="","",MARÍTIMOS[[#This Row],[Licencia]]),"")</f>
        <v/>
      </c>
      <c r="N806" s="2" t="str">
        <f>IFERROR(IF(MARÍTIMOS[[#This Row],[Número de Contacto]]="","",MARÍTIMOS[[#This Row],[Número de Contacto]]),"")</f>
        <v/>
      </c>
      <c r="O806" s="10" t="str">
        <f>IFERROR(IF(MARÍTIMOS[[#This Row],[Booking|AWB|CRT]]="","",MARÍTIMOS[[#This Row],[Booking|AWB|CRT]]),"")</f>
        <v/>
      </c>
      <c r="P806" s="2" t="str">
        <f>IFERROR(IF(MARÍTIMOS[[#This Row],[Contenedor]]="","",MARÍTIMOS[[#This Row],[Contenedor]]),"")</f>
        <v/>
      </c>
      <c r="Q806" s="2" t="str">
        <f>IFERROR(IF(MARÍTIMOS[[#This Row],[Puerto de Retiro]]="","",MARÍTIMOS[[#This Row],[Puerto de Retiro]]),"")</f>
        <v/>
      </c>
      <c r="R806" s="2" t="str">
        <f>IFERROR(IF(MARÍTIMOS[[#This Row],[Almacén de Retiro]]="","",MARÍTIMOS[[#This Row],[Almacén de Retiro]]),"")</f>
        <v/>
      </c>
      <c r="S806" s="11" t="str">
        <f>IFERROR(IF(MARÍTIMOS[[#This Row],[Etapa Retiro - Cita]]="","",MARÍTIMOS[[#This Row],[Etapa Retiro - Cita]]),"")</f>
        <v/>
      </c>
      <c r="T806" s="11" t="str">
        <f>IFERROR(IF(MARÍTIMOS[[#This Row],[Etapa Retiro - Llegada]]="","",MARÍTIMOS[[#This Row],[Etapa Retiro - Llegada]]),"")</f>
        <v/>
      </c>
      <c r="U806" s="11" t="str">
        <f>IFERROR(IF(MARÍTIMOS[[#This Row],[Etapa Retiro - Ingreso]]="","",MARÍTIMOS[[#This Row],[Etapa Retiro - Ingreso]]),"")</f>
        <v/>
      </c>
      <c r="V806" s="11" t="str">
        <f>IFERROR(IF(MARÍTIMOS[[#This Row],[Etapa Retiro - Atención]]="","",MARÍTIMOS[[#This Row],[Etapa Retiro - Atención]]),"")</f>
        <v/>
      </c>
      <c r="W806" s="11" t="str">
        <f>IFERROR(IF(MARÍTIMOS[[#This Row],[Etapa Retiro - Atención]]="","",MARÍTIMOS[[#This Row],[Etapa Retiro - Atención]]),"")</f>
        <v/>
      </c>
      <c r="X806" s="11" t="str">
        <f>IFERROR(IF(MARÍTIMOS[[#This Row],[Etapa Retiro - Inicio de Ruta]]="","",MARÍTIMOS[[#This Row],[Etapa Retiro - Inicio de Ruta]]),"")</f>
        <v/>
      </c>
      <c r="Y806" s="11" t="str">
        <f>IFERROR(IF(MARÍTIMOS[[#This Row],[Hora de Posicionamiento]]="","",MARÍTIMOS[[#This Row],[Fecha de Carga]]+MARÍTIMOS[[#This Row],[Hora de Posicionamiento]]),"")</f>
        <v/>
      </c>
      <c r="Z806" s="11" t="str">
        <f>IFERROR(IF(MARÍTIMOS[[#This Row],[Etapa Despacho - Llegada]]="","",MARÍTIMOS[[#This Row],[Etapa Despacho - Llegada]]),"")</f>
        <v/>
      </c>
      <c r="AA806" s="11" t="str">
        <f>IFERROR(IF(MARÍTIMOS[[#This Row],[Etapa Despacho - Registro]]="","",MARÍTIMOS[[#This Row],[Etapa Despacho - Registro]]),"")</f>
        <v/>
      </c>
      <c r="AB806" s="11" t="str">
        <f>IFERROR(IF(MARÍTIMOS[[#This Row],[Inspección Externa]]="","",MARÍTIMOS[[#This Row],[Inspección Externa]]),"")</f>
        <v/>
      </c>
      <c r="AC806" s="11" t="str">
        <f>IFERROR(IF(MARÍTIMOS[[#This Row],[Etapa Despacho - Inicio de Carga]]="","",MARÍTIMOS[[#This Row],[Etapa Despacho - Inicio de Carga]]),"")</f>
        <v/>
      </c>
      <c r="AD806" s="11" t="str">
        <f>IFERROR(IF(MARÍTIMOS[[#This Row],[Etapa Despacho - Mitad de Carga]]="","",MARÍTIMOS[[#This Row],[Etapa Despacho - Mitad de Carga]]),"")</f>
        <v/>
      </c>
      <c r="AE806" s="11" t="str">
        <f>IFERROR(IF(MARÍTIMOS[[#This Row],[Etapa Despacho - Fin de Carga]]="","",MARÍTIMOS[[#This Row],[Etapa Despacho - Fin de Carga]]),"")</f>
        <v/>
      </c>
      <c r="AF806" s="2" t="str">
        <f>IFERROR(IF(MARÍTIMOS[[#This Row],[Puerto de Embarque]]="","",MARÍTIMOS[[#This Row],[Puerto de Embarque]]),"")</f>
        <v/>
      </c>
      <c r="AG806" s="2" t="str">
        <f>IFERROR(IF(MARÍTIMOS[[#This Row],[Almacén de Ingreso]]="","",MARÍTIMOS[[#This Row],[Almacén de Ingreso]]),"")</f>
        <v/>
      </c>
      <c r="AH806" s="11" t="str">
        <f>IFERROR(IF(MARÍTIMOS[[#This Row],[Etapa Ingreso - Cita]]="","",MARÍTIMOS[[#This Row],[Etapa Ingreso - Cita]]),"")</f>
        <v/>
      </c>
      <c r="AI806" s="11" t="str">
        <f>IFERROR(IF(MARÍTIMOS[[#This Row],[Etapa Ingreso - Llegada]]="","",MARÍTIMOS[[#This Row],[Etapa Ingreso - Llegada]]),"")</f>
        <v/>
      </c>
      <c r="AJ806" s="11" t="str">
        <f>IFERROR(IF(MARÍTIMOS[[#This Row],[Etapa Ingreso - Ingeso]]="","",MARÍTIMOS[[#This Row],[Etapa Ingreso - Ingeso]]),"")</f>
        <v/>
      </c>
      <c r="AK806" s="11" t="str">
        <f>IFERROR(IF(MARÍTIMOS[[#This Row],[Etapa Ingreso - Atención]]="","",MARÍTIMOS[[#This Row],[Etapa Ingreso - Atención]]),"")</f>
        <v/>
      </c>
      <c r="AL806" s="11" t="str">
        <f>IFERROR(IF(MARÍTIMOS[[#This Row],[Etapa Ingreso - Salida]]="","",MARÍTIMOS[[#This Row],[Etapa Ingreso - Salida]]),"")</f>
        <v/>
      </c>
      <c r="AM806" s="2" t="str">
        <f>IFERROR(IF(MARÍTIMOS[[#This Row],[FCL]]="","",MARÍTIMOS[[#This Row],[FCL]]),"")</f>
        <v/>
      </c>
      <c r="AN8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6" s="4" t="str" cm="1">
        <f t="array" ref="AO8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6" s="5" t="str">
        <f>IFERROR(OLDBD[[#This Row],[Llegada a packing]]-OLDBD[[#This Row],[Inicio de Ruta]],"")</f>
        <v/>
      </c>
      <c r="AQ806" s="6" t="str">
        <f>IFERROR(OLDBD[[#This Row],[Inicio de Ruta]]-OLDBD[[#This Row],[Salida de almacén de retiro]],"")</f>
        <v/>
      </c>
      <c r="AR8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6" s="8" t="str" cm="1">
        <f t="array" ref="AS8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6" s="9" t="str">
        <f>IFERROR(OLDBD[[#This Row],[Ingreso Packing]]-OLDBD[[#This Row],[Registro en Packing]],"")</f>
        <v/>
      </c>
      <c r="AV806" s="9" t="str">
        <f>IFERROR(OLDBD[[#This Row],[Ingreso Packing]]-OLDBD[[#This Row],[Llegada a packing]],"")</f>
        <v/>
      </c>
      <c r="AW8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6" s="5" t="str">
        <f>IFERROR(OLDBD[[#This Row],[Llegada Almacén de Ingreso]]-OLDBD[[#This Row],[Salida Packing]],"")</f>
        <v/>
      </c>
      <c r="AY806" s="4" t="str" cm="1">
        <f t="array" ref="AY8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6" s="43" t="s">
        <v>173</v>
      </c>
      <c r="BB806" s="47" t="str">
        <f>IFERROR(IF(MARÍTIMOS[[#This Row],[Estatus]]="","",MARÍTIMOS[[#This Row],[Estatus]]),"")</f>
        <v/>
      </c>
      <c r="BC806" s="43"/>
      <c r="BD806" s="46" t="str">
        <f>IFERROR(OLDBD[[#This Row],[Salida de almacén de retiro]]-OLDBD[[#This Row],[Ingreso Almacén de retiro]],"")</f>
        <v/>
      </c>
      <c r="BE806" s="46" t="str">
        <f>IFERROR(OLDBD[[#This Row],[Fin de Carga]]-OLDBD[[#This Row],[Inicio de Carga]],"")</f>
        <v/>
      </c>
    </row>
    <row r="807" spans="1:57" customFormat="1" hidden="1">
      <c r="A807" s="1"/>
      <c r="B807" s="1" t="str">
        <f>IFERROR(IF(MARÍTIMOS[[#This Row],[PP]]="","",MARÍTIMOS[[#This Row],[PP]]),"")</f>
        <v/>
      </c>
      <c r="C807" s="1" t="str">
        <f>IFERROR(IF(MARÍTIMOS[[#This Row],[Sede]]="","",MARÍTIMOS[[#This Row],[Sede]]),"")</f>
        <v/>
      </c>
      <c r="D807" s="1" t="str">
        <f>IFERROR(IF(MARÍTIMOS[[#This Row],[Instruction]]="","",MARÍTIMOS[[#This Row],[Instruction]]),"")</f>
        <v/>
      </c>
      <c r="E807" s="1"/>
      <c r="F807" s="2" t="str">
        <f>IFERROR(IF(MARÍTIMOS[[#This Row],[Transportista]]="","",MARÍTIMOS[[#This Row],[Transportista]]),"")</f>
        <v/>
      </c>
      <c r="G807" s="2" t="str">
        <f>IFERROR(IF(MARÍTIMOS[[#This Row],[Tercero]]="","",MARÍTIMOS[[#This Row],[Tercero]]),"")</f>
        <v/>
      </c>
      <c r="H807" s="2" t="str">
        <f>IFERROR(IF(MARÍTIMOS[[#This Row],[Razón Social]]="","",MARÍTIMOS[[#This Row],[Razón Social]]),"")</f>
        <v/>
      </c>
      <c r="I807" s="2" t="str">
        <f>IFERROR(IF(MARÍTIMOS[[#This Row],[RUC]]="","",MARÍTIMOS[[#This Row],[RUC]]),"")</f>
        <v/>
      </c>
      <c r="J807" s="2" t="str">
        <f>IFERROR(IF(MARÍTIMOS[[#This Row],[Placa Tracto]]="","",MARÍTIMOS[[#This Row],[Placa Tracto]]),"")</f>
        <v/>
      </c>
      <c r="K807" s="2" t="str">
        <f>IFERROR(IF(MARÍTIMOS[[#This Row],[Placa Carreta]]="","",MARÍTIMOS[[#This Row],[Placa Carreta]]),"")</f>
        <v/>
      </c>
      <c r="L807" s="44" t="str">
        <f>IFERROR(IF(MARÍTIMOS[[#This Row],[Conductor]]="","",MARÍTIMOS[[#This Row],[Conductor]]),"")</f>
        <v/>
      </c>
      <c r="M807" s="2" t="str">
        <f>IFERROR(IF(MARÍTIMOS[[#This Row],[Licencia]]="","",MARÍTIMOS[[#This Row],[Licencia]]),"")</f>
        <v/>
      </c>
      <c r="N807" s="2" t="str">
        <f>IFERROR(IF(MARÍTIMOS[[#This Row],[Número de Contacto]]="","",MARÍTIMOS[[#This Row],[Número de Contacto]]),"")</f>
        <v/>
      </c>
      <c r="O807" s="10" t="str">
        <f>IFERROR(IF(MARÍTIMOS[[#This Row],[Booking|AWB|CRT]]="","",MARÍTIMOS[[#This Row],[Booking|AWB|CRT]]),"")</f>
        <v/>
      </c>
      <c r="P807" s="2" t="str">
        <f>IFERROR(IF(MARÍTIMOS[[#This Row],[Contenedor]]="","",MARÍTIMOS[[#This Row],[Contenedor]]),"")</f>
        <v/>
      </c>
      <c r="Q807" s="2" t="str">
        <f>IFERROR(IF(MARÍTIMOS[[#This Row],[Puerto de Retiro]]="","",MARÍTIMOS[[#This Row],[Puerto de Retiro]]),"")</f>
        <v/>
      </c>
      <c r="R807" s="2" t="str">
        <f>IFERROR(IF(MARÍTIMOS[[#This Row],[Almacén de Retiro]]="","",MARÍTIMOS[[#This Row],[Almacén de Retiro]]),"")</f>
        <v/>
      </c>
      <c r="S807" s="11" t="str">
        <f>IFERROR(IF(MARÍTIMOS[[#This Row],[Etapa Retiro - Cita]]="","",MARÍTIMOS[[#This Row],[Etapa Retiro - Cita]]),"")</f>
        <v/>
      </c>
      <c r="T807" s="11" t="str">
        <f>IFERROR(IF(MARÍTIMOS[[#This Row],[Etapa Retiro - Llegada]]="","",MARÍTIMOS[[#This Row],[Etapa Retiro - Llegada]]),"")</f>
        <v/>
      </c>
      <c r="U807" s="11" t="str">
        <f>IFERROR(IF(MARÍTIMOS[[#This Row],[Etapa Retiro - Ingreso]]="","",MARÍTIMOS[[#This Row],[Etapa Retiro - Ingreso]]),"")</f>
        <v/>
      </c>
      <c r="V807" s="11" t="str">
        <f>IFERROR(IF(MARÍTIMOS[[#This Row],[Etapa Retiro - Atención]]="","",MARÍTIMOS[[#This Row],[Etapa Retiro - Atención]]),"")</f>
        <v/>
      </c>
      <c r="W807" s="11" t="str">
        <f>IFERROR(IF(MARÍTIMOS[[#This Row],[Etapa Retiro - Atención]]="","",MARÍTIMOS[[#This Row],[Etapa Retiro - Atención]]),"")</f>
        <v/>
      </c>
      <c r="X807" s="11" t="str">
        <f>IFERROR(IF(MARÍTIMOS[[#This Row],[Etapa Retiro - Inicio de Ruta]]="","",MARÍTIMOS[[#This Row],[Etapa Retiro - Inicio de Ruta]]),"")</f>
        <v/>
      </c>
      <c r="Y807" s="11" t="str">
        <f>IFERROR(IF(MARÍTIMOS[[#This Row],[Hora de Posicionamiento]]="","",MARÍTIMOS[[#This Row],[Fecha de Carga]]+MARÍTIMOS[[#This Row],[Hora de Posicionamiento]]),"")</f>
        <v/>
      </c>
      <c r="Z807" s="11" t="str">
        <f>IFERROR(IF(MARÍTIMOS[[#This Row],[Etapa Despacho - Llegada]]="","",MARÍTIMOS[[#This Row],[Etapa Despacho - Llegada]]),"")</f>
        <v/>
      </c>
      <c r="AA807" s="11" t="str">
        <f>IFERROR(IF(MARÍTIMOS[[#This Row],[Etapa Despacho - Registro]]="","",MARÍTIMOS[[#This Row],[Etapa Despacho - Registro]]),"")</f>
        <v/>
      </c>
      <c r="AB807" s="11" t="str">
        <f>IFERROR(IF(MARÍTIMOS[[#This Row],[Inspección Externa]]="","",MARÍTIMOS[[#This Row],[Inspección Externa]]),"")</f>
        <v/>
      </c>
      <c r="AC807" s="11" t="str">
        <f>IFERROR(IF(MARÍTIMOS[[#This Row],[Etapa Despacho - Inicio de Carga]]="","",MARÍTIMOS[[#This Row],[Etapa Despacho - Inicio de Carga]]),"")</f>
        <v/>
      </c>
      <c r="AD807" s="11" t="str">
        <f>IFERROR(IF(MARÍTIMOS[[#This Row],[Etapa Despacho - Mitad de Carga]]="","",MARÍTIMOS[[#This Row],[Etapa Despacho - Mitad de Carga]]),"")</f>
        <v/>
      </c>
      <c r="AE807" s="11" t="str">
        <f>IFERROR(IF(MARÍTIMOS[[#This Row],[Etapa Despacho - Fin de Carga]]="","",MARÍTIMOS[[#This Row],[Etapa Despacho - Fin de Carga]]),"")</f>
        <v/>
      </c>
      <c r="AF807" s="2" t="str">
        <f>IFERROR(IF(MARÍTIMOS[[#This Row],[Puerto de Embarque]]="","",MARÍTIMOS[[#This Row],[Puerto de Embarque]]),"")</f>
        <v/>
      </c>
      <c r="AG807" s="2" t="str">
        <f>IFERROR(IF(MARÍTIMOS[[#This Row],[Almacén de Ingreso]]="","",MARÍTIMOS[[#This Row],[Almacén de Ingreso]]),"")</f>
        <v/>
      </c>
      <c r="AH807" s="11" t="str">
        <f>IFERROR(IF(MARÍTIMOS[[#This Row],[Etapa Ingreso - Cita]]="","",MARÍTIMOS[[#This Row],[Etapa Ingreso - Cita]]),"")</f>
        <v/>
      </c>
      <c r="AI807" s="11" t="str">
        <f>IFERROR(IF(MARÍTIMOS[[#This Row],[Etapa Ingreso - Llegada]]="","",MARÍTIMOS[[#This Row],[Etapa Ingreso - Llegada]]),"")</f>
        <v/>
      </c>
      <c r="AJ807" s="11" t="str">
        <f>IFERROR(IF(MARÍTIMOS[[#This Row],[Etapa Ingreso - Ingeso]]="","",MARÍTIMOS[[#This Row],[Etapa Ingreso - Ingeso]]),"")</f>
        <v/>
      </c>
      <c r="AK807" s="11" t="str">
        <f>IFERROR(IF(MARÍTIMOS[[#This Row],[Etapa Ingreso - Atención]]="","",MARÍTIMOS[[#This Row],[Etapa Ingreso - Atención]]),"")</f>
        <v/>
      </c>
      <c r="AL807" s="11" t="str">
        <f>IFERROR(IF(MARÍTIMOS[[#This Row],[Etapa Ingreso - Salida]]="","",MARÍTIMOS[[#This Row],[Etapa Ingreso - Salida]]),"")</f>
        <v/>
      </c>
      <c r="AM807" s="2" t="str">
        <f>IFERROR(IF(MARÍTIMOS[[#This Row],[FCL]]="","",MARÍTIMOS[[#This Row],[FCL]]),"")</f>
        <v/>
      </c>
      <c r="AN8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7" s="4" t="str" cm="1">
        <f t="array" ref="AO8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7" s="5" t="str">
        <f>IFERROR(OLDBD[[#This Row],[Llegada a packing]]-OLDBD[[#This Row],[Inicio de Ruta]],"")</f>
        <v/>
      </c>
      <c r="AQ807" s="6" t="str">
        <f>IFERROR(OLDBD[[#This Row],[Inicio de Ruta]]-OLDBD[[#This Row],[Salida de almacén de retiro]],"")</f>
        <v/>
      </c>
      <c r="AR8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7" s="8" t="str" cm="1">
        <f t="array" ref="AS8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7" s="9" t="str">
        <f>IFERROR(OLDBD[[#This Row],[Ingreso Packing]]-OLDBD[[#This Row],[Registro en Packing]],"")</f>
        <v/>
      </c>
      <c r="AV807" s="9" t="str">
        <f>IFERROR(OLDBD[[#This Row],[Ingreso Packing]]-OLDBD[[#This Row],[Llegada a packing]],"")</f>
        <v/>
      </c>
      <c r="AW8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7" s="5" t="str">
        <f>IFERROR(OLDBD[[#This Row],[Llegada Almacén de Ingreso]]-OLDBD[[#This Row],[Salida Packing]],"")</f>
        <v/>
      </c>
      <c r="AY807" s="4" t="str" cm="1">
        <f t="array" ref="AY8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7" s="43" t="s">
        <v>173</v>
      </c>
      <c r="BB807" s="47" t="str">
        <f>IFERROR(IF(MARÍTIMOS[[#This Row],[Estatus]]="","",MARÍTIMOS[[#This Row],[Estatus]]),"")</f>
        <v/>
      </c>
      <c r="BC807" s="43"/>
      <c r="BD807" s="46" t="str">
        <f>IFERROR(OLDBD[[#This Row],[Salida de almacén de retiro]]-OLDBD[[#This Row],[Ingreso Almacén de retiro]],"")</f>
        <v/>
      </c>
      <c r="BE807" s="46" t="str">
        <f>IFERROR(OLDBD[[#This Row],[Fin de Carga]]-OLDBD[[#This Row],[Inicio de Carga]],"")</f>
        <v/>
      </c>
    </row>
    <row r="808" spans="1:57" customFormat="1" hidden="1">
      <c r="A808" s="1"/>
      <c r="B808" s="1" t="str">
        <f>IFERROR(IF(MARÍTIMOS[[#This Row],[PP]]="","",MARÍTIMOS[[#This Row],[PP]]),"")</f>
        <v/>
      </c>
      <c r="C808" s="1" t="str">
        <f>IFERROR(IF(MARÍTIMOS[[#This Row],[Sede]]="","",MARÍTIMOS[[#This Row],[Sede]]),"")</f>
        <v/>
      </c>
      <c r="D808" s="1" t="str">
        <f>IFERROR(IF(MARÍTIMOS[[#This Row],[Instruction]]="","",MARÍTIMOS[[#This Row],[Instruction]]),"")</f>
        <v/>
      </c>
      <c r="E808" s="1"/>
      <c r="F808" s="2" t="str">
        <f>IFERROR(IF(MARÍTIMOS[[#This Row],[Transportista]]="","",MARÍTIMOS[[#This Row],[Transportista]]),"")</f>
        <v/>
      </c>
      <c r="G808" s="2" t="str">
        <f>IFERROR(IF(MARÍTIMOS[[#This Row],[Tercero]]="","",MARÍTIMOS[[#This Row],[Tercero]]),"")</f>
        <v/>
      </c>
      <c r="H808" s="2" t="str">
        <f>IFERROR(IF(MARÍTIMOS[[#This Row],[Razón Social]]="","",MARÍTIMOS[[#This Row],[Razón Social]]),"")</f>
        <v/>
      </c>
      <c r="I808" s="2" t="str">
        <f>IFERROR(IF(MARÍTIMOS[[#This Row],[RUC]]="","",MARÍTIMOS[[#This Row],[RUC]]),"")</f>
        <v/>
      </c>
      <c r="J808" s="2" t="str">
        <f>IFERROR(IF(MARÍTIMOS[[#This Row],[Placa Tracto]]="","",MARÍTIMOS[[#This Row],[Placa Tracto]]),"")</f>
        <v/>
      </c>
      <c r="K808" s="2" t="str">
        <f>IFERROR(IF(MARÍTIMOS[[#This Row],[Placa Carreta]]="","",MARÍTIMOS[[#This Row],[Placa Carreta]]),"")</f>
        <v/>
      </c>
      <c r="L808" s="44" t="str">
        <f>IFERROR(IF(MARÍTIMOS[[#This Row],[Conductor]]="","",MARÍTIMOS[[#This Row],[Conductor]]),"")</f>
        <v/>
      </c>
      <c r="M808" s="2" t="str">
        <f>IFERROR(IF(MARÍTIMOS[[#This Row],[Licencia]]="","",MARÍTIMOS[[#This Row],[Licencia]]),"")</f>
        <v/>
      </c>
      <c r="N808" s="2" t="str">
        <f>IFERROR(IF(MARÍTIMOS[[#This Row],[Número de Contacto]]="","",MARÍTIMOS[[#This Row],[Número de Contacto]]),"")</f>
        <v/>
      </c>
      <c r="O808" s="10" t="str">
        <f>IFERROR(IF(MARÍTIMOS[[#This Row],[Booking|AWB|CRT]]="","",MARÍTIMOS[[#This Row],[Booking|AWB|CRT]]),"")</f>
        <v/>
      </c>
      <c r="P808" s="2" t="str">
        <f>IFERROR(IF(MARÍTIMOS[[#This Row],[Contenedor]]="","",MARÍTIMOS[[#This Row],[Contenedor]]),"")</f>
        <v/>
      </c>
      <c r="Q808" s="2" t="str">
        <f>IFERROR(IF(MARÍTIMOS[[#This Row],[Puerto de Retiro]]="","",MARÍTIMOS[[#This Row],[Puerto de Retiro]]),"")</f>
        <v/>
      </c>
      <c r="R808" s="2" t="str">
        <f>IFERROR(IF(MARÍTIMOS[[#This Row],[Almacén de Retiro]]="","",MARÍTIMOS[[#This Row],[Almacén de Retiro]]),"")</f>
        <v/>
      </c>
      <c r="S808" s="11" t="str">
        <f>IFERROR(IF(MARÍTIMOS[[#This Row],[Etapa Retiro - Cita]]="","",MARÍTIMOS[[#This Row],[Etapa Retiro - Cita]]),"")</f>
        <v/>
      </c>
      <c r="T808" s="11" t="str">
        <f>IFERROR(IF(MARÍTIMOS[[#This Row],[Etapa Retiro - Llegada]]="","",MARÍTIMOS[[#This Row],[Etapa Retiro - Llegada]]),"")</f>
        <v/>
      </c>
      <c r="U808" s="11" t="str">
        <f>IFERROR(IF(MARÍTIMOS[[#This Row],[Etapa Retiro - Ingreso]]="","",MARÍTIMOS[[#This Row],[Etapa Retiro - Ingreso]]),"")</f>
        <v/>
      </c>
      <c r="V808" s="11" t="str">
        <f>IFERROR(IF(MARÍTIMOS[[#This Row],[Etapa Retiro - Atención]]="","",MARÍTIMOS[[#This Row],[Etapa Retiro - Atención]]),"")</f>
        <v/>
      </c>
      <c r="W808" s="11" t="str">
        <f>IFERROR(IF(MARÍTIMOS[[#This Row],[Etapa Retiro - Atención]]="","",MARÍTIMOS[[#This Row],[Etapa Retiro - Atención]]),"")</f>
        <v/>
      </c>
      <c r="X808" s="11" t="str">
        <f>IFERROR(IF(MARÍTIMOS[[#This Row],[Etapa Retiro - Inicio de Ruta]]="","",MARÍTIMOS[[#This Row],[Etapa Retiro - Inicio de Ruta]]),"")</f>
        <v/>
      </c>
      <c r="Y808" s="11" t="str">
        <f>IFERROR(IF(MARÍTIMOS[[#This Row],[Hora de Posicionamiento]]="","",MARÍTIMOS[[#This Row],[Fecha de Carga]]+MARÍTIMOS[[#This Row],[Hora de Posicionamiento]]),"")</f>
        <v/>
      </c>
      <c r="Z808" s="11" t="str">
        <f>IFERROR(IF(MARÍTIMOS[[#This Row],[Etapa Despacho - Llegada]]="","",MARÍTIMOS[[#This Row],[Etapa Despacho - Llegada]]),"")</f>
        <v/>
      </c>
      <c r="AA808" s="11" t="str">
        <f>IFERROR(IF(MARÍTIMOS[[#This Row],[Etapa Despacho - Registro]]="","",MARÍTIMOS[[#This Row],[Etapa Despacho - Registro]]),"")</f>
        <v/>
      </c>
      <c r="AB808" s="11" t="str">
        <f>IFERROR(IF(MARÍTIMOS[[#This Row],[Inspección Externa]]="","",MARÍTIMOS[[#This Row],[Inspección Externa]]),"")</f>
        <v/>
      </c>
      <c r="AC808" s="11" t="str">
        <f>IFERROR(IF(MARÍTIMOS[[#This Row],[Etapa Despacho - Inicio de Carga]]="","",MARÍTIMOS[[#This Row],[Etapa Despacho - Inicio de Carga]]),"")</f>
        <v/>
      </c>
      <c r="AD808" s="11" t="str">
        <f>IFERROR(IF(MARÍTIMOS[[#This Row],[Etapa Despacho - Mitad de Carga]]="","",MARÍTIMOS[[#This Row],[Etapa Despacho - Mitad de Carga]]),"")</f>
        <v/>
      </c>
      <c r="AE808" s="11" t="str">
        <f>IFERROR(IF(MARÍTIMOS[[#This Row],[Etapa Despacho - Fin de Carga]]="","",MARÍTIMOS[[#This Row],[Etapa Despacho - Fin de Carga]]),"")</f>
        <v/>
      </c>
      <c r="AF808" s="2" t="str">
        <f>IFERROR(IF(MARÍTIMOS[[#This Row],[Puerto de Embarque]]="","",MARÍTIMOS[[#This Row],[Puerto de Embarque]]),"")</f>
        <v/>
      </c>
      <c r="AG808" s="2" t="str">
        <f>IFERROR(IF(MARÍTIMOS[[#This Row],[Almacén de Ingreso]]="","",MARÍTIMOS[[#This Row],[Almacén de Ingreso]]),"")</f>
        <v/>
      </c>
      <c r="AH808" s="11" t="str">
        <f>IFERROR(IF(MARÍTIMOS[[#This Row],[Etapa Ingreso - Cita]]="","",MARÍTIMOS[[#This Row],[Etapa Ingreso - Cita]]),"")</f>
        <v/>
      </c>
      <c r="AI808" s="11" t="str">
        <f>IFERROR(IF(MARÍTIMOS[[#This Row],[Etapa Ingreso - Llegada]]="","",MARÍTIMOS[[#This Row],[Etapa Ingreso - Llegada]]),"")</f>
        <v/>
      </c>
      <c r="AJ808" s="11" t="str">
        <f>IFERROR(IF(MARÍTIMOS[[#This Row],[Etapa Ingreso - Ingeso]]="","",MARÍTIMOS[[#This Row],[Etapa Ingreso - Ingeso]]),"")</f>
        <v/>
      </c>
      <c r="AK808" s="11" t="str">
        <f>IFERROR(IF(MARÍTIMOS[[#This Row],[Etapa Ingreso - Atención]]="","",MARÍTIMOS[[#This Row],[Etapa Ingreso - Atención]]),"")</f>
        <v/>
      </c>
      <c r="AL808" s="11" t="str">
        <f>IFERROR(IF(MARÍTIMOS[[#This Row],[Etapa Ingreso - Salida]]="","",MARÍTIMOS[[#This Row],[Etapa Ingreso - Salida]]),"")</f>
        <v/>
      </c>
      <c r="AM808" s="2" t="str">
        <f>IFERROR(IF(MARÍTIMOS[[#This Row],[FCL]]="","",MARÍTIMOS[[#This Row],[FCL]]),"")</f>
        <v/>
      </c>
      <c r="AN8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8" s="4" t="str" cm="1">
        <f t="array" ref="AO8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8" s="5" t="str">
        <f>IFERROR(OLDBD[[#This Row],[Llegada a packing]]-OLDBD[[#This Row],[Inicio de Ruta]],"")</f>
        <v/>
      </c>
      <c r="AQ808" s="6" t="str">
        <f>IFERROR(OLDBD[[#This Row],[Inicio de Ruta]]-OLDBD[[#This Row],[Salida de almacén de retiro]],"")</f>
        <v/>
      </c>
      <c r="AR8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8" s="8" t="str" cm="1">
        <f t="array" ref="AS8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8" s="9" t="str">
        <f>IFERROR(OLDBD[[#This Row],[Ingreso Packing]]-OLDBD[[#This Row],[Registro en Packing]],"")</f>
        <v/>
      </c>
      <c r="AV808" s="9" t="str">
        <f>IFERROR(OLDBD[[#This Row],[Ingreso Packing]]-OLDBD[[#This Row],[Llegada a packing]],"")</f>
        <v/>
      </c>
      <c r="AW8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8" s="5" t="str">
        <f>IFERROR(OLDBD[[#This Row],[Llegada Almacén de Ingreso]]-OLDBD[[#This Row],[Salida Packing]],"")</f>
        <v/>
      </c>
      <c r="AY808" s="4" t="str" cm="1">
        <f t="array" ref="AY8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8" s="43" t="s">
        <v>173</v>
      </c>
      <c r="BB808" s="47" t="str">
        <f>IFERROR(IF(MARÍTIMOS[[#This Row],[Estatus]]="","",MARÍTIMOS[[#This Row],[Estatus]]),"")</f>
        <v/>
      </c>
      <c r="BC808" s="43"/>
      <c r="BD808" s="46" t="str">
        <f>IFERROR(OLDBD[[#This Row],[Salida de almacén de retiro]]-OLDBD[[#This Row],[Ingreso Almacén de retiro]],"")</f>
        <v/>
      </c>
      <c r="BE808" s="46" t="str">
        <f>IFERROR(OLDBD[[#This Row],[Fin de Carga]]-OLDBD[[#This Row],[Inicio de Carga]],"")</f>
        <v/>
      </c>
    </row>
    <row r="809" spans="1:57" customFormat="1" hidden="1">
      <c r="A809" s="1"/>
      <c r="B809" s="1" t="str">
        <f>IFERROR(IF(MARÍTIMOS[[#This Row],[PP]]="","",MARÍTIMOS[[#This Row],[PP]]),"")</f>
        <v/>
      </c>
      <c r="C809" s="1" t="str">
        <f>IFERROR(IF(MARÍTIMOS[[#This Row],[Sede]]="","",MARÍTIMOS[[#This Row],[Sede]]),"")</f>
        <v/>
      </c>
      <c r="D809" s="1" t="str">
        <f>IFERROR(IF(MARÍTIMOS[[#This Row],[Instruction]]="","",MARÍTIMOS[[#This Row],[Instruction]]),"")</f>
        <v/>
      </c>
      <c r="E809" s="1"/>
      <c r="F809" s="2" t="str">
        <f>IFERROR(IF(MARÍTIMOS[[#This Row],[Transportista]]="","",MARÍTIMOS[[#This Row],[Transportista]]),"")</f>
        <v/>
      </c>
      <c r="G809" s="2" t="str">
        <f>IFERROR(IF(MARÍTIMOS[[#This Row],[Tercero]]="","",MARÍTIMOS[[#This Row],[Tercero]]),"")</f>
        <v/>
      </c>
      <c r="H809" s="2" t="str">
        <f>IFERROR(IF(MARÍTIMOS[[#This Row],[Razón Social]]="","",MARÍTIMOS[[#This Row],[Razón Social]]),"")</f>
        <v/>
      </c>
      <c r="I809" s="2" t="str">
        <f>IFERROR(IF(MARÍTIMOS[[#This Row],[RUC]]="","",MARÍTIMOS[[#This Row],[RUC]]),"")</f>
        <v/>
      </c>
      <c r="J809" s="2" t="str">
        <f>IFERROR(IF(MARÍTIMOS[[#This Row],[Placa Tracto]]="","",MARÍTIMOS[[#This Row],[Placa Tracto]]),"")</f>
        <v/>
      </c>
      <c r="K809" s="2" t="str">
        <f>IFERROR(IF(MARÍTIMOS[[#This Row],[Placa Carreta]]="","",MARÍTIMOS[[#This Row],[Placa Carreta]]),"")</f>
        <v/>
      </c>
      <c r="L809" s="44" t="str">
        <f>IFERROR(IF(MARÍTIMOS[[#This Row],[Conductor]]="","",MARÍTIMOS[[#This Row],[Conductor]]),"")</f>
        <v/>
      </c>
      <c r="M809" s="2" t="str">
        <f>IFERROR(IF(MARÍTIMOS[[#This Row],[Licencia]]="","",MARÍTIMOS[[#This Row],[Licencia]]),"")</f>
        <v/>
      </c>
      <c r="N809" s="2" t="str">
        <f>IFERROR(IF(MARÍTIMOS[[#This Row],[Número de Contacto]]="","",MARÍTIMOS[[#This Row],[Número de Contacto]]),"")</f>
        <v/>
      </c>
      <c r="O809" s="10" t="str">
        <f>IFERROR(IF(MARÍTIMOS[[#This Row],[Booking|AWB|CRT]]="","",MARÍTIMOS[[#This Row],[Booking|AWB|CRT]]),"")</f>
        <v/>
      </c>
      <c r="P809" s="2" t="str">
        <f>IFERROR(IF(MARÍTIMOS[[#This Row],[Contenedor]]="","",MARÍTIMOS[[#This Row],[Contenedor]]),"")</f>
        <v/>
      </c>
      <c r="Q809" s="2" t="str">
        <f>IFERROR(IF(MARÍTIMOS[[#This Row],[Puerto de Retiro]]="","",MARÍTIMOS[[#This Row],[Puerto de Retiro]]),"")</f>
        <v/>
      </c>
      <c r="R809" s="2" t="str">
        <f>IFERROR(IF(MARÍTIMOS[[#This Row],[Almacén de Retiro]]="","",MARÍTIMOS[[#This Row],[Almacén de Retiro]]),"")</f>
        <v/>
      </c>
      <c r="S809" s="11" t="str">
        <f>IFERROR(IF(MARÍTIMOS[[#This Row],[Etapa Retiro - Cita]]="","",MARÍTIMOS[[#This Row],[Etapa Retiro - Cita]]),"")</f>
        <v/>
      </c>
      <c r="T809" s="11" t="str">
        <f>IFERROR(IF(MARÍTIMOS[[#This Row],[Etapa Retiro - Llegada]]="","",MARÍTIMOS[[#This Row],[Etapa Retiro - Llegada]]),"")</f>
        <v/>
      </c>
      <c r="U809" s="11" t="str">
        <f>IFERROR(IF(MARÍTIMOS[[#This Row],[Etapa Retiro - Ingreso]]="","",MARÍTIMOS[[#This Row],[Etapa Retiro - Ingreso]]),"")</f>
        <v/>
      </c>
      <c r="V809" s="11" t="str">
        <f>IFERROR(IF(MARÍTIMOS[[#This Row],[Etapa Retiro - Atención]]="","",MARÍTIMOS[[#This Row],[Etapa Retiro - Atención]]),"")</f>
        <v/>
      </c>
      <c r="W809" s="11" t="str">
        <f>IFERROR(IF(MARÍTIMOS[[#This Row],[Etapa Retiro - Atención]]="","",MARÍTIMOS[[#This Row],[Etapa Retiro - Atención]]),"")</f>
        <v/>
      </c>
      <c r="X809" s="11" t="str">
        <f>IFERROR(IF(MARÍTIMOS[[#This Row],[Etapa Retiro - Inicio de Ruta]]="","",MARÍTIMOS[[#This Row],[Etapa Retiro - Inicio de Ruta]]),"")</f>
        <v/>
      </c>
      <c r="Y809" s="11" t="str">
        <f>IFERROR(IF(MARÍTIMOS[[#This Row],[Hora de Posicionamiento]]="","",MARÍTIMOS[[#This Row],[Fecha de Carga]]+MARÍTIMOS[[#This Row],[Hora de Posicionamiento]]),"")</f>
        <v/>
      </c>
      <c r="Z809" s="11" t="str">
        <f>IFERROR(IF(MARÍTIMOS[[#This Row],[Etapa Despacho - Llegada]]="","",MARÍTIMOS[[#This Row],[Etapa Despacho - Llegada]]),"")</f>
        <v/>
      </c>
      <c r="AA809" s="11" t="str">
        <f>IFERROR(IF(MARÍTIMOS[[#This Row],[Etapa Despacho - Registro]]="","",MARÍTIMOS[[#This Row],[Etapa Despacho - Registro]]),"")</f>
        <v/>
      </c>
      <c r="AB809" s="11" t="str">
        <f>IFERROR(IF(MARÍTIMOS[[#This Row],[Inspección Externa]]="","",MARÍTIMOS[[#This Row],[Inspección Externa]]),"")</f>
        <v/>
      </c>
      <c r="AC809" s="11" t="str">
        <f>IFERROR(IF(MARÍTIMOS[[#This Row],[Etapa Despacho - Inicio de Carga]]="","",MARÍTIMOS[[#This Row],[Etapa Despacho - Inicio de Carga]]),"")</f>
        <v/>
      </c>
      <c r="AD809" s="11" t="str">
        <f>IFERROR(IF(MARÍTIMOS[[#This Row],[Etapa Despacho - Mitad de Carga]]="","",MARÍTIMOS[[#This Row],[Etapa Despacho - Mitad de Carga]]),"")</f>
        <v/>
      </c>
      <c r="AE809" s="11" t="str">
        <f>IFERROR(IF(MARÍTIMOS[[#This Row],[Etapa Despacho - Fin de Carga]]="","",MARÍTIMOS[[#This Row],[Etapa Despacho - Fin de Carga]]),"")</f>
        <v/>
      </c>
      <c r="AF809" s="2" t="str">
        <f>IFERROR(IF(MARÍTIMOS[[#This Row],[Puerto de Embarque]]="","",MARÍTIMOS[[#This Row],[Puerto de Embarque]]),"")</f>
        <v/>
      </c>
      <c r="AG809" s="2" t="str">
        <f>IFERROR(IF(MARÍTIMOS[[#This Row],[Almacén de Ingreso]]="","",MARÍTIMOS[[#This Row],[Almacén de Ingreso]]),"")</f>
        <v/>
      </c>
      <c r="AH809" s="11" t="str">
        <f>IFERROR(IF(MARÍTIMOS[[#This Row],[Etapa Ingreso - Cita]]="","",MARÍTIMOS[[#This Row],[Etapa Ingreso - Cita]]),"")</f>
        <v/>
      </c>
      <c r="AI809" s="11" t="str">
        <f>IFERROR(IF(MARÍTIMOS[[#This Row],[Etapa Ingreso - Llegada]]="","",MARÍTIMOS[[#This Row],[Etapa Ingreso - Llegada]]),"")</f>
        <v/>
      </c>
      <c r="AJ809" s="11" t="str">
        <f>IFERROR(IF(MARÍTIMOS[[#This Row],[Etapa Ingreso - Ingeso]]="","",MARÍTIMOS[[#This Row],[Etapa Ingreso - Ingeso]]),"")</f>
        <v/>
      </c>
      <c r="AK809" s="11" t="str">
        <f>IFERROR(IF(MARÍTIMOS[[#This Row],[Etapa Ingreso - Atención]]="","",MARÍTIMOS[[#This Row],[Etapa Ingreso - Atención]]),"")</f>
        <v/>
      </c>
      <c r="AL809" s="11" t="str">
        <f>IFERROR(IF(MARÍTIMOS[[#This Row],[Etapa Ingreso - Salida]]="","",MARÍTIMOS[[#This Row],[Etapa Ingreso - Salida]]),"")</f>
        <v/>
      </c>
      <c r="AM809" s="2" t="str">
        <f>IFERROR(IF(MARÍTIMOS[[#This Row],[FCL]]="","",MARÍTIMOS[[#This Row],[FCL]]),"")</f>
        <v/>
      </c>
      <c r="AN8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09" s="4" t="str" cm="1">
        <f t="array" ref="AO8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09" s="5" t="str">
        <f>IFERROR(OLDBD[[#This Row],[Llegada a packing]]-OLDBD[[#This Row],[Inicio de Ruta]],"")</f>
        <v/>
      </c>
      <c r="AQ809" s="6" t="str">
        <f>IFERROR(OLDBD[[#This Row],[Inicio de Ruta]]-OLDBD[[#This Row],[Salida de almacén de retiro]],"")</f>
        <v/>
      </c>
      <c r="AR8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09" s="8" t="str" cm="1">
        <f t="array" ref="AS8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09" s="9" t="str">
        <f>IFERROR(OLDBD[[#This Row],[Ingreso Packing]]-OLDBD[[#This Row],[Registro en Packing]],"")</f>
        <v/>
      </c>
      <c r="AV809" s="9" t="str">
        <f>IFERROR(OLDBD[[#This Row],[Ingreso Packing]]-OLDBD[[#This Row],[Llegada a packing]],"")</f>
        <v/>
      </c>
      <c r="AW8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09" s="5" t="str">
        <f>IFERROR(OLDBD[[#This Row],[Llegada Almacén de Ingreso]]-OLDBD[[#This Row],[Salida Packing]],"")</f>
        <v/>
      </c>
      <c r="AY809" s="4" t="str" cm="1">
        <f t="array" ref="AY8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09" s="43" t="s">
        <v>173</v>
      </c>
      <c r="BB809" s="47" t="str">
        <f>IFERROR(IF(MARÍTIMOS[[#This Row],[Estatus]]="","",MARÍTIMOS[[#This Row],[Estatus]]),"")</f>
        <v/>
      </c>
      <c r="BC809" s="43"/>
      <c r="BD809" s="46" t="str">
        <f>IFERROR(OLDBD[[#This Row],[Salida de almacén de retiro]]-OLDBD[[#This Row],[Ingreso Almacén de retiro]],"")</f>
        <v/>
      </c>
      <c r="BE809" s="46" t="str">
        <f>IFERROR(OLDBD[[#This Row],[Fin de Carga]]-OLDBD[[#This Row],[Inicio de Carga]],"")</f>
        <v/>
      </c>
    </row>
    <row r="810" spans="1:57" customFormat="1" hidden="1">
      <c r="A810" s="1"/>
      <c r="B810" s="1" t="str">
        <f>IFERROR(IF(MARÍTIMOS[[#This Row],[PP]]="","",MARÍTIMOS[[#This Row],[PP]]),"")</f>
        <v/>
      </c>
      <c r="C810" s="1" t="str">
        <f>IFERROR(IF(MARÍTIMOS[[#This Row],[Sede]]="","",MARÍTIMOS[[#This Row],[Sede]]),"")</f>
        <v/>
      </c>
      <c r="D810" s="1" t="str">
        <f>IFERROR(IF(MARÍTIMOS[[#This Row],[Instruction]]="","",MARÍTIMOS[[#This Row],[Instruction]]),"")</f>
        <v/>
      </c>
      <c r="E810" s="1"/>
      <c r="F810" s="2" t="str">
        <f>IFERROR(IF(MARÍTIMOS[[#This Row],[Transportista]]="","",MARÍTIMOS[[#This Row],[Transportista]]),"")</f>
        <v/>
      </c>
      <c r="G810" s="2" t="str">
        <f>IFERROR(IF(MARÍTIMOS[[#This Row],[Tercero]]="","",MARÍTIMOS[[#This Row],[Tercero]]),"")</f>
        <v/>
      </c>
      <c r="H810" s="2" t="str">
        <f>IFERROR(IF(MARÍTIMOS[[#This Row],[Razón Social]]="","",MARÍTIMOS[[#This Row],[Razón Social]]),"")</f>
        <v/>
      </c>
      <c r="I810" s="2" t="str">
        <f>IFERROR(IF(MARÍTIMOS[[#This Row],[RUC]]="","",MARÍTIMOS[[#This Row],[RUC]]),"")</f>
        <v/>
      </c>
      <c r="J810" s="2" t="str">
        <f>IFERROR(IF(MARÍTIMOS[[#This Row],[Placa Tracto]]="","",MARÍTIMOS[[#This Row],[Placa Tracto]]),"")</f>
        <v/>
      </c>
      <c r="K810" s="2" t="str">
        <f>IFERROR(IF(MARÍTIMOS[[#This Row],[Placa Carreta]]="","",MARÍTIMOS[[#This Row],[Placa Carreta]]),"")</f>
        <v/>
      </c>
      <c r="L810" s="44" t="str">
        <f>IFERROR(IF(MARÍTIMOS[[#This Row],[Conductor]]="","",MARÍTIMOS[[#This Row],[Conductor]]),"")</f>
        <v/>
      </c>
      <c r="M810" s="2" t="str">
        <f>IFERROR(IF(MARÍTIMOS[[#This Row],[Licencia]]="","",MARÍTIMOS[[#This Row],[Licencia]]),"")</f>
        <v/>
      </c>
      <c r="N810" s="2" t="str">
        <f>IFERROR(IF(MARÍTIMOS[[#This Row],[Número de Contacto]]="","",MARÍTIMOS[[#This Row],[Número de Contacto]]),"")</f>
        <v/>
      </c>
      <c r="O810" s="10" t="str">
        <f>IFERROR(IF(MARÍTIMOS[[#This Row],[Booking|AWB|CRT]]="","",MARÍTIMOS[[#This Row],[Booking|AWB|CRT]]),"")</f>
        <v/>
      </c>
      <c r="P810" s="2" t="str">
        <f>IFERROR(IF(MARÍTIMOS[[#This Row],[Contenedor]]="","",MARÍTIMOS[[#This Row],[Contenedor]]),"")</f>
        <v/>
      </c>
      <c r="Q810" s="2" t="str">
        <f>IFERROR(IF(MARÍTIMOS[[#This Row],[Puerto de Retiro]]="","",MARÍTIMOS[[#This Row],[Puerto de Retiro]]),"")</f>
        <v/>
      </c>
      <c r="R810" s="2" t="str">
        <f>IFERROR(IF(MARÍTIMOS[[#This Row],[Almacén de Retiro]]="","",MARÍTIMOS[[#This Row],[Almacén de Retiro]]),"")</f>
        <v/>
      </c>
      <c r="S810" s="11" t="str">
        <f>IFERROR(IF(MARÍTIMOS[[#This Row],[Etapa Retiro - Cita]]="","",MARÍTIMOS[[#This Row],[Etapa Retiro - Cita]]),"")</f>
        <v/>
      </c>
      <c r="T810" s="11" t="str">
        <f>IFERROR(IF(MARÍTIMOS[[#This Row],[Etapa Retiro - Llegada]]="","",MARÍTIMOS[[#This Row],[Etapa Retiro - Llegada]]),"")</f>
        <v/>
      </c>
      <c r="U810" s="11" t="str">
        <f>IFERROR(IF(MARÍTIMOS[[#This Row],[Etapa Retiro - Ingreso]]="","",MARÍTIMOS[[#This Row],[Etapa Retiro - Ingreso]]),"")</f>
        <v/>
      </c>
      <c r="V810" s="11" t="str">
        <f>IFERROR(IF(MARÍTIMOS[[#This Row],[Etapa Retiro - Atención]]="","",MARÍTIMOS[[#This Row],[Etapa Retiro - Atención]]),"")</f>
        <v/>
      </c>
      <c r="W810" s="11" t="str">
        <f>IFERROR(IF(MARÍTIMOS[[#This Row],[Etapa Retiro - Atención]]="","",MARÍTIMOS[[#This Row],[Etapa Retiro - Atención]]),"")</f>
        <v/>
      </c>
      <c r="X810" s="11" t="str">
        <f>IFERROR(IF(MARÍTIMOS[[#This Row],[Etapa Retiro - Inicio de Ruta]]="","",MARÍTIMOS[[#This Row],[Etapa Retiro - Inicio de Ruta]]),"")</f>
        <v/>
      </c>
      <c r="Y810" s="11" t="str">
        <f>IFERROR(IF(MARÍTIMOS[[#This Row],[Hora de Posicionamiento]]="","",MARÍTIMOS[[#This Row],[Fecha de Carga]]+MARÍTIMOS[[#This Row],[Hora de Posicionamiento]]),"")</f>
        <v/>
      </c>
      <c r="Z810" s="11" t="str">
        <f>IFERROR(IF(MARÍTIMOS[[#This Row],[Etapa Despacho - Llegada]]="","",MARÍTIMOS[[#This Row],[Etapa Despacho - Llegada]]),"")</f>
        <v/>
      </c>
      <c r="AA810" s="11" t="str">
        <f>IFERROR(IF(MARÍTIMOS[[#This Row],[Etapa Despacho - Registro]]="","",MARÍTIMOS[[#This Row],[Etapa Despacho - Registro]]),"")</f>
        <v/>
      </c>
      <c r="AB810" s="11" t="str">
        <f>IFERROR(IF(MARÍTIMOS[[#This Row],[Inspección Externa]]="","",MARÍTIMOS[[#This Row],[Inspección Externa]]),"")</f>
        <v/>
      </c>
      <c r="AC810" s="11" t="str">
        <f>IFERROR(IF(MARÍTIMOS[[#This Row],[Etapa Despacho - Inicio de Carga]]="","",MARÍTIMOS[[#This Row],[Etapa Despacho - Inicio de Carga]]),"")</f>
        <v/>
      </c>
      <c r="AD810" s="11" t="str">
        <f>IFERROR(IF(MARÍTIMOS[[#This Row],[Etapa Despacho - Mitad de Carga]]="","",MARÍTIMOS[[#This Row],[Etapa Despacho - Mitad de Carga]]),"")</f>
        <v/>
      </c>
      <c r="AE810" s="11" t="str">
        <f>IFERROR(IF(MARÍTIMOS[[#This Row],[Etapa Despacho - Fin de Carga]]="","",MARÍTIMOS[[#This Row],[Etapa Despacho - Fin de Carga]]),"")</f>
        <v/>
      </c>
      <c r="AF810" s="2" t="str">
        <f>IFERROR(IF(MARÍTIMOS[[#This Row],[Puerto de Embarque]]="","",MARÍTIMOS[[#This Row],[Puerto de Embarque]]),"")</f>
        <v/>
      </c>
      <c r="AG810" s="2" t="str">
        <f>IFERROR(IF(MARÍTIMOS[[#This Row],[Almacén de Ingreso]]="","",MARÍTIMOS[[#This Row],[Almacén de Ingreso]]),"")</f>
        <v/>
      </c>
      <c r="AH810" s="11" t="str">
        <f>IFERROR(IF(MARÍTIMOS[[#This Row],[Etapa Ingreso - Cita]]="","",MARÍTIMOS[[#This Row],[Etapa Ingreso - Cita]]),"")</f>
        <v/>
      </c>
      <c r="AI810" s="11" t="str">
        <f>IFERROR(IF(MARÍTIMOS[[#This Row],[Etapa Ingreso - Llegada]]="","",MARÍTIMOS[[#This Row],[Etapa Ingreso - Llegada]]),"")</f>
        <v/>
      </c>
      <c r="AJ810" s="11" t="str">
        <f>IFERROR(IF(MARÍTIMOS[[#This Row],[Etapa Ingreso - Ingeso]]="","",MARÍTIMOS[[#This Row],[Etapa Ingreso - Ingeso]]),"")</f>
        <v/>
      </c>
      <c r="AK810" s="11" t="str">
        <f>IFERROR(IF(MARÍTIMOS[[#This Row],[Etapa Ingreso - Atención]]="","",MARÍTIMOS[[#This Row],[Etapa Ingreso - Atención]]),"")</f>
        <v/>
      </c>
      <c r="AL810" s="11" t="str">
        <f>IFERROR(IF(MARÍTIMOS[[#This Row],[Etapa Ingreso - Salida]]="","",MARÍTIMOS[[#This Row],[Etapa Ingreso - Salida]]),"")</f>
        <v/>
      </c>
      <c r="AM810" s="2" t="str">
        <f>IFERROR(IF(MARÍTIMOS[[#This Row],[FCL]]="","",MARÍTIMOS[[#This Row],[FCL]]),"")</f>
        <v/>
      </c>
      <c r="AN8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0" s="4" t="str" cm="1">
        <f t="array" ref="AO8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0" s="5" t="str">
        <f>IFERROR(OLDBD[[#This Row],[Llegada a packing]]-OLDBD[[#This Row],[Inicio de Ruta]],"")</f>
        <v/>
      </c>
      <c r="AQ810" s="6" t="str">
        <f>IFERROR(OLDBD[[#This Row],[Inicio de Ruta]]-OLDBD[[#This Row],[Salida de almacén de retiro]],"")</f>
        <v/>
      </c>
      <c r="AR8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0" s="8" t="str" cm="1">
        <f t="array" ref="AS8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0" s="9" t="str">
        <f>IFERROR(OLDBD[[#This Row],[Ingreso Packing]]-OLDBD[[#This Row],[Registro en Packing]],"")</f>
        <v/>
      </c>
      <c r="AV810" s="9" t="str">
        <f>IFERROR(OLDBD[[#This Row],[Ingreso Packing]]-OLDBD[[#This Row],[Llegada a packing]],"")</f>
        <v/>
      </c>
      <c r="AW8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0" s="5" t="str">
        <f>IFERROR(OLDBD[[#This Row],[Llegada Almacén de Ingreso]]-OLDBD[[#This Row],[Salida Packing]],"")</f>
        <v/>
      </c>
      <c r="AY810" s="4" t="str" cm="1">
        <f t="array" ref="AY8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0" s="43" t="s">
        <v>173</v>
      </c>
      <c r="BB810" s="47" t="str">
        <f>IFERROR(IF(MARÍTIMOS[[#This Row],[Estatus]]="","",MARÍTIMOS[[#This Row],[Estatus]]),"")</f>
        <v/>
      </c>
      <c r="BC810" s="43"/>
      <c r="BD810" s="46" t="str">
        <f>IFERROR(OLDBD[[#This Row],[Salida de almacén de retiro]]-OLDBD[[#This Row],[Ingreso Almacén de retiro]],"")</f>
        <v/>
      </c>
      <c r="BE810" s="46" t="str">
        <f>IFERROR(OLDBD[[#This Row],[Fin de Carga]]-OLDBD[[#This Row],[Inicio de Carga]],"")</f>
        <v/>
      </c>
    </row>
    <row r="811" spans="1:57" customFormat="1" hidden="1">
      <c r="A811" s="1"/>
      <c r="B811" s="1" t="str">
        <f>IFERROR(IF(MARÍTIMOS[[#This Row],[PP]]="","",MARÍTIMOS[[#This Row],[PP]]),"")</f>
        <v/>
      </c>
      <c r="C811" s="1" t="str">
        <f>IFERROR(IF(MARÍTIMOS[[#This Row],[Sede]]="","",MARÍTIMOS[[#This Row],[Sede]]),"")</f>
        <v/>
      </c>
      <c r="D811" s="1" t="str">
        <f>IFERROR(IF(MARÍTIMOS[[#This Row],[Instruction]]="","",MARÍTIMOS[[#This Row],[Instruction]]),"")</f>
        <v/>
      </c>
      <c r="E811" s="1"/>
      <c r="F811" s="2" t="str">
        <f>IFERROR(IF(MARÍTIMOS[[#This Row],[Transportista]]="","",MARÍTIMOS[[#This Row],[Transportista]]),"")</f>
        <v/>
      </c>
      <c r="G811" s="2" t="str">
        <f>IFERROR(IF(MARÍTIMOS[[#This Row],[Tercero]]="","",MARÍTIMOS[[#This Row],[Tercero]]),"")</f>
        <v/>
      </c>
      <c r="H811" s="2" t="str">
        <f>IFERROR(IF(MARÍTIMOS[[#This Row],[Razón Social]]="","",MARÍTIMOS[[#This Row],[Razón Social]]),"")</f>
        <v/>
      </c>
      <c r="I811" s="2" t="str">
        <f>IFERROR(IF(MARÍTIMOS[[#This Row],[RUC]]="","",MARÍTIMOS[[#This Row],[RUC]]),"")</f>
        <v/>
      </c>
      <c r="J811" s="2" t="str">
        <f>IFERROR(IF(MARÍTIMOS[[#This Row],[Placa Tracto]]="","",MARÍTIMOS[[#This Row],[Placa Tracto]]),"")</f>
        <v/>
      </c>
      <c r="K811" s="2" t="str">
        <f>IFERROR(IF(MARÍTIMOS[[#This Row],[Placa Carreta]]="","",MARÍTIMOS[[#This Row],[Placa Carreta]]),"")</f>
        <v/>
      </c>
      <c r="L811" s="44" t="str">
        <f>IFERROR(IF(MARÍTIMOS[[#This Row],[Conductor]]="","",MARÍTIMOS[[#This Row],[Conductor]]),"")</f>
        <v/>
      </c>
      <c r="M811" s="2" t="str">
        <f>IFERROR(IF(MARÍTIMOS[[#This Row],[Licencia]]="","",MARÍTIMOS[[#This Row],[Licencia]]),"")</f>
        <v/>
      </c>
      <c r="N811" s="2" t="str">
        <f>IFERROR(IF(MARÍTIMOS[[#This Row],[Número de Contacto]]="","",MARÍTIMOS[[#This Row],[Número de Contacto]]),"")</f>
        <v/>
      </c>
      <c r="O811" s="10" t="str">
        <f>IFERROR(IF(MARÍTIMOS[[#This Row],[Booking|AWB|CRT]]="","",MARÍTIMOS[[#This Row],[Booking|AWB|CRT]]),"")</f>
        <v/>
      </c>
      <c r="P811" s="2" t="str">
        <f>IFERROR(IF(MARÍTIMOS[[#This Row],[Contenedor]]="","",MARÍTIMOS[[#This Row],[Contenedor]]),"")</f>
        <v/>
      </c>
      <c r="Q811" s="2" t="str">
        <f>IFERROR(IF(MARÍTIMOS[[#This Row],[Puerto de Retiro]]="","",MARÍTIMOS[[#This Row],[Puerto de Retiro]]),"")</f>
        <v/>
      </c>
      <c r="R811" s="2" t="str">
        <f>IFERROR(IF(MARÍTIMOS[[#This Row],[Almacén de Retiro]]="","",MARÍTIMOS[[#This Row],[Almacén de Retiro]]),"")</f>
        <v/>
      </c>
      <c r="S811" s="11" t="str">
        <f>IFERROR(IF(MARÍTIMOS[[#This Row],[Etapa Retiro - Cita]]="","",MARÍTIMOS[[#This Row],[Etapa Retiro - Cita]]),"")</f>
        <v/>
      </c>
      <c r="T811" s="11" t="str">
        <f>IFERROR(IF(MARÍTIMOS[[#This Row],[Etapa Retiro - Llegada]]="","",MARÍTIMOS[[#This Row],[Etapa Retiro - Llegada]]),"")</f>
        <v/>
      </c>
      <c r="U811" s="11" t="str">
        <f>IFERROR(IF(MARÍTIMOS[[#This Row],[Etapa Retiro - Ingreso]]="","",MARÍTIMOS[[#This Row],[Etapa Retiro - Ingreso]]),"")</f>
        <v/>
      </c>
      <c r="V811" s="11" t="str">
        <f>IFERROR(IF(MARÍTIMOS[[#This Row],[Etapa Retiro - Atención]]="","",MARÍTIMOS[[#This Row],[Etapa Retiro - Atención]]),"")</f>
        <v/>
      </c>
      <c r="W811" s="11" t="str">
        <f>IFERROR(IF(MARÍTIMOS[[#This Row],[Etapa Retiro - Atención]]="","",MARÍTIMOS[[#This Row],[Etapa Retiro - Atención]]),"")</f>
        <v/>
      </c>
      <c r="X811" s="11" t="str">
        <f>IFERROR(IF(MARÍTIMOS[[#This Row],[Etapa Retiro - Inicio de Ruta]]="","",MARÍTIMOS[[#This Row],[Etapa Retiro - Inicio de Ruta]]),"")</f>
        <v/>
      </c>
      <c r="Y811" s="11" t="str">
        <f>IFERROR(IF(MARÍTIMOS[[#This Row],[Hora de Posicionamiento]]="","",MARÍTIMOS[[#This Row],[Fecha de Carga]]+MARÍTIMOS[[#This Row],[Hora de Posicionamiento]]),"")</f>
        <v/>
      </c>
      <c r="Z811" s="11" t="str">
        <f>IFERROR(IF(MARÍTIMOS[[#This Row],[Etapa Despacho - Llegada]]="","",MARÍTIMOS[[#This Row],[Etapa Despacho - Llegada]]),"")</f>
        <v/>
      </c>
      <c r="AA811" s="11" t="str">
        <f>IFERROR(IF(MARÍTIMOS[[#This Row],[Etapa Despacho - Registro]]="","",MARÍTIMOS[[#This Row],[Etapa Despacho - Registro]]),"")</f>
        <v/>
      </c>
      <c r="AB811" s="11" t="str">
        <f>IFERROR(IF(MARÍTIMOS[[#This Row],[Inspección Externa]]="","",MARÍTIMOS[[#This Row],[Inspección Externa]]),"")</f>
        <v/>
      </c>
      <c r="AC811" s="11" t="str">
        <f>IFERROR(IF(MARÍTIMOS[[#This Row],[Etapa Despacho - Inicio de Carga]]="","",MARÍTIMOS[[#This Row],[Etapa Despacho - Inicio de Carga]]),"")</f>
        <v/>
      </c>
      <c r="AD811" s="11" t="str">
        <f>IFERROR(IF(MARÍTIMOS[[#This Row],[Etapa Despacho - Mitad de Carga]]="","",MARÍTIMOS[[#This Row],[Etapa Despacho - Mitad de Carga]]),"")</f>
        <v/>
      </c>
      <c r="AE811" s="11" t="str">
        <f>IFERROR(IF(MARÍTIMOS[[#This Row],[Etapa Despacho - Fin de Carga]]="","",MARÍTIMOS[[#This Row],[Etapa Despacho - Fin de Carga]]),"")</f>
        <v/>
      </c>
      <c r="AF811" s="2" t="str">
        <f>IFERROR(IF(MARÍTIMOS[[#This Row],[Puerto de Embarque]]="","",MARÍTIMOS[[#This Row],[Puerto de Embarque]]),"")</f>
        <v/>
      </c>
      <c r="AG811" s="2" t="str">
        <f>IFERROR(IF(MARÍTIMOS[[#This Row],[Almacén de Ingreso]]="","",MARÍTIMOS[[#This Row],[Almacén de Ingreso]]),"")</f>
        <v/>
      </c>
      <c r="AH811" s="11" t="str">
        <f>IFERROR(IF(MARÍTIMOS[[#This Row],[Etapa Ingreso - Cita]]="","",MARÍTIMOS[[#This Row],[Etapa Ingreso - Cita]]),"")</f>
        <v/>
      </c>
      <c r="AI811" s="11" t="str">
        <f>IFERROR(IF(MARÍTIMOS[[#This Row],[Etapa Ingreso - Llegada]]="","",MARÍTIMOS[[#This Row],[Etapa Ingreso - Llegada]]),"")</f>
        <v/>
      </c>
      <c r="AJ811" s="11" t="str">
        <f>IFERROR(IF(MARÍTIMOS[[#This Row],[Etapa Ingreso - Ingeso]]="","",MARÍTIMOS[[#This Row],[Etapa Ingreso - Ingeso]]),"")</f>
        <v/>
      </c>
      <c r="AK811" s="11" t="str">
        <f>IFERROR(IF(MARÍTIMOS[[#This Row],[Etapa Ingreso - Atención]]="","",MARÍTIMOS[[#This Row],[Etapa Ingreso - Atención]]),"")</f>
        <v/>
      </c>
      <c r="AL811" s="11" t="str">
        <f>IFERROR(IF(MARÍTIMOS[[#This Row],[Etapa Ingreso - Salida]]="","",MARÍTIMOS[[#This Row],[Etapa Ingreso - Salida]]),"")</f>
        <v/>
      </c>
      <c r="AM811" s="2" t="str">
        <f>IFERROR(IF(MARÍTIMOS[[#This Row],[FCL]]="","",MARÍTIMOS[[#This Row],[FCL]]),"")</f>
        <v/>
      </c>
      <c r="AN8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1" s="4" t="str" cm="1">
        <f t="array" ref="AO8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1" s="5" t="str">
        <f>IFERROR(OLDBD[[#This Row],[Llegada a packing]]-OLDBD[[#This Row],[Inicio de Ruta]],"")</f>
        <v/>
      </c>
      <c r="AQ811" s="6" t="str">
        <f>IFERROR(OLDBD[[#This Row],[Inicio de Ruta]]-OLDBD[[#This Row],[Salida de almacén de retiro]],"")</f>
        <v/>
      </c>
      <c r="AR8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1" s="8" t="str" cm="1">
        <f t="array" ref="AS8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1" s="9" t="str">
        <f>IFERROR(OLDBD[[#This Row],[Ingreso Packing]]-OLDBD[[#This Row],[Registro en Packing]],"")</f>
        <v/>
      </c>
      <c r="AV811" s="9" t="str">
        <f>IFERROR(OLDBD[[#This Row],[Ingreso Packing]]-OLDBD[[#This Row],[Llegada a packing]],"")</f>
        <v/>
      </c>
      <c r="AW8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1" s="5" t="str">
        <f>IFERROR(OLDBD[[#This Row],[Llegada Almacén de Ingreso]]-OLDBD[[#This Row],[Salida Packing]],"")</f>
        <v/>
      </c>
      <c r="AY811" s="4" t="str" cm="1">
        <f t="array" ref="AY8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1" s="43" t="s">
        <v>173</v>
      </c>
      <c r="BB811" s="47" t="str">
        <f>IFERROR(IF(MARÍTIMOS[[#This Row],[Estatus]]="","",MARÍTIMOS[[#This Row],[Estatus]]),"")</f>
        <v/>
      </c>
      <c r="BC811" s="43"/>
      <c r="BD811" s="46" t="str">
        <f>IFERROR(OLDBD[[#This Row],[Salida de almacén de retiro]]-OLDBD[[#This Row],[Ingreso Almacén de retiro]],"")</f>
        <v/>
      </c>
      <c r="BE811" s="46" t="str">
        <f>IFERROR(OLDBD[[#This Row],[Fin de Carga]]-OLDBD[[#This Row],[Inicio de Carga]],"")</f>
        <v/>
      </c>
    </row>
    <row r="812" spans="1:57" customFormat="1" hidden="1">
      <c r="A812" s="1"/>
      <c r="B812" s="1" t="str">
        <f>IFERROR(IF(MARÍTIMOS[[#This Row],[PP]]="","",MARÍTIMOS[[#This Row],[PP]]),"")</f>
        <v/>
      </c>
      <c r="C812" s="1" t="str">
        <f>IFERROR(IF(MARÍTIMOS[[#This Row],[Sede]]="","",MARÍTIMOS[[#This Row],[Sede]]),"")</f>
        <v/>
      </c>
      <c r="D812" s="1" t="str">
        <f>IFERROR(IF(MARÍTIMOS[[#This Row],[Instruction]]="","",MARÍTIMOS[[#This Row],[Instruction]]),"")</f>
        <v/>
      </c>
      <c r="E812" s="1"/>
      <c r="F812" s="2" t="str">
        <f>IFERROR(IF(MARÍTIMOS[[#This Row],[Transportista]]="","",MARÍTIMOS[[#This Row],[Transportista]]),"")</f>
        <v/>
      </c>
      <c r="G812" s="2" t="str">
        <f>IFERROR(IF(MARÍTIMOS[[#This Row],[Tercero]]="","",MARÍTIMOS[[#This Row],[Tercero]]),"")</f>
        <v/>
      </c>
      <c r="H812" s="2" t="str">
        <f>IFERROR(IF(MARÍTIMOS[[#This Row],[Razón Social]]="","",MARÍTIMOS[[#This Row],[Razón Social]]),"")</f>
        <v/>
      </c>
      <c r="I812" s="2" t="str">
        <f>IFERROR(IF(MARÍTIMOS[[#This Row],[RUC]]="","",MARÍTIMOS[[#This Row],[RUC]]),"")</f>
        <v/>
      </c>
      <c r="J812" s="2" t="str">
        <f>IFERROR(IF(MARÍTIMOS[[#This Row],[Placa Tracto]]="","",MARÍTIMOS[[#This Row],[Placa Tracto]]),"")</f>
        <v/>
      </c>
      <c r="K812" s="2" t="str">
        <f>IFERROR(IF(MARÍTIMOS[[#This Row],[Placa Carreta]]="","",MARÍTIMOS[[#This Row],[Placa Carreta]]),"")</f>
        <v/>
      </c>
      <c r="L812" s="44" t="str">
        <f>IFERROR(IF(MARÍTIMOS[[#This Row],[Conductor]]="","",MARÍTIMOS[[#This Row],[Conductor]]),"")</f>
        <v/>
      </c>
      <c r="M812" s="2" t="str">
        <f>IFERROR(IF(MARÍTIMOS[[#This Row],[Licencia]]="","",MARÍTIMOS[[#This Row],[Licencia]]),"")</f>
        <v/>
      </c>
      <c r="N812" s="2" t="str">
        <f>IFERROR(IF(MARÍTIMOS[[#This Row],[Número de Contacto]]="","",MARÍTIMOS[[#This Row],[Número de Contacto]]),"")</f>
        <v/>
      </c>
      <c r="O812" s="10" t="str">
        <f>IFERROR(IF(MARÍTIMOS[[#This Row],[Booking|AWB|CRT]]="","",MARÍTIMOS[[#This Row],[Booking|AWB|CRT]]),"")</f>
        <v/>
      </c>
      <c r="P812" s="2" t="str">
        <f>IFERROR(IF(MARÍTIMOS[[#This Row],[Contenedor]]="","",MARÍTIMOS[[#This Row],[Contenedor]]),"")</f>
        <v/>
      </c>
      <c r="Q812" s="2" t="str">
        <f>IFERROR(IF(MARÍTIMOS[[#This Row],[Puerto de Retiro]]="","",MARÍTIMOS[[#This Row],[Puerto de Retiro]]),"")</f>
        <v/>
      </c>
      <c r="R812" s="2" t="str">
        <f>IFERROR(IF(MARÍTIMOS[[#This Row],[Almacén de Retiro]]="","",MARÍTIMOS[[#This Row],[Almacén de Retiro]]),"")</f>
        <v/>
      </c>
      <c r="S812" s="11" t="str">
        <f>IFERROR(IF(MARÍTIMOS[[#This Row],[Etapa Retiro - Cita]]="","",MARÍTIMOS[[#This Row],[Etapa Retiro - Cita]]),"")</f>
        <v/>
      </c>
      <c r="T812" s="11" t="str">
        <f>IFERROR(IF(MARÍTIMOS[[#This Row],[Etapa Retiro - Llegada]]="","",MARÍTIMOS[[#This Row],[Etapa Retiro - Llegada]]),"")</f>
        <v/>
      </c>
      <c r="U812" s="11" t="str">
        <f>IFERROR(IF(MARÍTIMOS[[#This Row],[Etapa Retiro - Ingreso]]="","",MARÍTIMOS[[#This Row],[Etapa Retiro - Ingreso]]),"")</f>
        <v/>
      </c>
      <c r="V812" s="11" t="str">
        <f>IFERROR(IF(MARÍTIMOS[[#This Row],[Etapa Retiro - Atención]]="","",MARÍTIMOS[[#This Row],[Etapa Retiro - Atención]]),"")</f>
        <v/>
      </c>
      <c r="W812" s="11" t="str">
        <f>IFERROR(IF(MARÍTIMOS[[#This Row],[Etapa Retiro - Atención]]="","",MARÍTIMOS[[#This Row],[Etapa Retiro - Atención]]),"")</f>
        <v/>
      </c>
      <c r="X812" s="11" t="str">
        <f>IFERROR(IF(MARÍTIMOS[[#This Row],[Etapa Retiro - Inicio de Ruta]]="","",MARÍTIMOS[[#This Row],[Etapa Retiro - Inicio de Ruta]]),"")</f>
        <v/>
      </c>
      <c r="Y812" s="11" t="str">
        <f>IFERROR(IF(MARÍTIMOS[[#This Row],[Hora de Posicionamiento]]="","",MARÍTIMOS[[#This Row],[Fecha de Carga]]+MARÍTIMOS[[#This Row],[Hora de Posicionamiento]]),"")</f>
        <v/>
      </c>
      <c r="Z812" s="11" t="str">
        <f>IFERROR(IF(MARÍTIMOS[[#This Row],[Etapa Despacho - Llegada]]="","",MARÍTIMOS[[#This Row],[Etapa Despacho - Llegada]]),"")</f>
        <v/>
      </c>
      <c r="AA812" s="11" t="str">
        <f>IFERROR(IF(MARÍTIMOS[[#This Row],[Etapa Despacho - Registro]]="","",MARÍTIMOS[[#This Row],[Etapa Despacho - Registro]]),"")</f>
        <v/>
      </c>
      <c r="AB812" s="11" t="str">
        <f>IFERROR(IF(MARÍTIMOS[[#This Row],[Inspección Externa]]="","",MARÍTIMOS[[#This Row],[Inspección Externa]]),"")</f>
        <v/>
      </c>
      <c r="AC812" s="11" t="str">
        <f>IFERROR(IF(MARÍTIMOS[[#This Row],[Etapa Despacho - Inicio de Carga]]="","",MARÍTIMOS[[#This Row],[Etapa Despacho - Inicio de Carga]]),"")</f>
        <v/>
      </c>
      <c r="AD812" s="11" t="str">
        <f>IFERROR(IF(MARÍTIMOS[[#This Row],[Etapa Despacho - Mitad de Carga]]="","",MARÍTIMOS[[#This Row],[Etapa Despacho - Mitad de Carga]]),"")</f>
        <v/>
      </c>
      <c r="AE812" s="11" t="str">
        <f>IFERROR(IF(MARÍTIMOS[[#This Row],[Etapa Despacho - Fin de Carga]]="","",MARÍTIMOS[[#This Row],[Etapa Despacho - Fin de Carga]]),"")</f>
        <v/>
      </c>
      <c r="AF812" s="2" t="str">
        <f>IFERROR(IF(MARÍTIMOS[[#This Row],[Puerto de Embarque]]="","",MARÍTIMOS[[#This Row],[Puerto de Embarque]]),"")</f>
        <v/>
      </c>
      <c r="AG812" s="2" t="str">
        <f>IFERROR(IF(MARÍTIMOS[[#This Row],[Almacén de Ingreso]]="","",MARÍTIMOS[[#This Row],[Almacén de Ingreso]]),"")</f>
        <v/>
      </c>
      <c r="AH812" s="11" t="str">
        <f>IFERROR(IF(MARÍTIMOS[[#This Row],[Etapa Ingreso - Cita]]="","",MARÍTIMOS[[#This Row],[Etapa Ingreso - Cita]]),"")</f>
        <v/>
      </c>
      <c r="AI812" s="11" t="str">
        <f>IFERROR(IF(MARÍTIMOS[[#This Row],[Etapa Ingreso - Llegada]]="","",MARÍTIMOS[[#This Row],[Etapa Ingreso - Llegada]]),"")</f>
        <v/>
      </c>
      <c r="AJ812" s="11" t="str">
        <f>IFERROR(IF(MARÍTIMOS[[#This Row],[Etapa Ingreso - Ingeso]]="","",MARÍTIMOS[[#This Row],[Etapa Ingreso - Ingeso]]),"")</f>
        <v/>
      </c>
      <c r="AK812" s="11" t="str">
        <f>IFERROR(IF(MARÍTIMOS[[#This Row],[Etapa Ingreso - Atención]]="","",MARÍTIMOS[[#This Row],[Etapa Ingreso - Atención]]),"")</f>
        <v/>
      </c>
      <c r="AL812" s="11" t="str">
        <f>IFERROR(IF(MARÍTIMOS[[#This Row],[Etapa Ingreso - Salida]]="","",MARÍTIMOS[[#This Row],[Etapa Ingreso - Salida]]),"")</f>
        <v/>
      </c>
      <c r="AM812" s="2" t="str">
        <f>IFERROR(IF(MARÍTIMOS[[#This Row],[FCL]]="","",MARÍTIMOS[[#This Row],[FCL]]),"")</f>
        <v/>
      </c>
      <c r="AN8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2" s="4" t="str" cm="1">
        <f t="array" ref="AO8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2" s="5" t="str">
        <f>IFERROR(OLDBD[[#This Row],[Llegada a packing]]-OLDBD[[#This Row],[Inicio de Ruta]],"")</f>
        <v/>
      </c>
      <c r="AQ812" s="6" t="str">
        <f>IFERROR(OLDBD[[#This Row],[Inicio de Ruta]]-OLDBD[[#This Row],[Salida de almacén de retiro]],"")</f>
        <v/>
      </c>
      <c r="AR8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2" s="8" t="str" cm="1">
        <f t="array" ref="AS8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2" s="9" t="str">
        <f>IFERROR(OLDBD[[#This Row],[Ingreso Packing]]-OLDBD[[#This Row],[Registro en Packing]],"")</f>
        <v/>
      </c>
      <c r="AV812" s="9" t="str">
        <f>IFERROR(OLDBD[[#This Row],[Ingreso Packing]]-OLDBD[[#This Row],[Llegada a packing]],"")</f>
        <v/>
      </c>
      <c r="AW8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2" s="5" t="str">
        <f>IFERROR(OLDBD[[#This Row],[Llegada Almacén de Ingreso]]-OLDBD[[#This Row],[Salida Packing]],"")</f>
        <v/>
      </c>
      <c r="AY812" s="4" t="str" cm="1">
        <f t="array" ref="AY8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2" s="43" t="s">
        <v>173</v>
      </c>
      <c r="BB812" s="47" t="str">
        <f>IFERROR(IF(MARÍTIMOS[[#This Row],[Estatus]]="","",MARÍTIMOS[[#This Row],[Estatus]]),"")</f>
        <v/>
      </c>
      <c r="BC812" s="43"/>
      <c r="BD812" s="46" t="str">
        <f>IFERROR(OLDBD[[#This Row],[Salida de almacén de retiro]]-OLDBD[[#This Row],[Ingreso Almacén de retiro]],"")</f>
        <v/>
      </c>
      <c r="BE812" s="46" t="str">
        <f>IFERROR(OLDBD[[#This Row],[Fin de Carga]]-OLDBD[[#This Row],[Inicio de Carga]],"")</f>
        <v/>
      </c>
    </row>
    <row r="813" spans="1:57" customFormat="1" hidden="1">
      <c r="A813" s="1"/>
      <c r="B813" s="1" t="str">
        <f>IFERROR(IF(MARÍTIMOS[[#This Row],[PP]]="","",MARÍTIMOS[[#This Row],[PP]]),"")</f>
        <v/>
      </c>
      <c r="C813" s="1" t="str">
        <f>IFERROR(IF(MARÍTIMOS[[#This Row],[Sede]]="","",MARÍTIMOS[[#This Row],[Sede]]),"")</f>
        <v/>
      </c>
      <c r="D813" s="1" t="str">
        <f>IFERROR(IF(MARÍTIMOS[[#This Row],[Instruction]]="","",MARÍTIMOS[[#This Row],[Instruction]]),"")</f>
        <v/>
      </c>
      <c r="E813" s="1"/>
      <c r="F813" s="2" t="str">
        <f>IFERROR(IF(MARÍTIMOS[[#This Row],[Transportista]]="","",MARÍTIMOS[[#This Row],[Transportista]]),"")</f>
        <v/>
      </c>
      <c r="G813" s="2" t="str">
        <f>IFERROR(IF(MARÍTIMOS[[#This Row],[Tercero]]="","",MARÍTIMOS[[#This Row],[Tercero]]),"")</f>
        <v/>
      </c>
      <c r="H813" s="2" t="str">
        <f>IFERROR(IF(MARÍTIMOS[[#This Row],[Razón Social]]="","",MARÍTIMOS[[#This Row],[Razón Social]]),"")</f>
        <v/>
      </c>
      <c r="I813" s="2" t="str">
        <f>IFERROR(IF(MARÍTIMOS[[#This Row],[RUC]]="","",MARÍTIMOS[[#This Row],[RUC]]),"")</f>
        <v/>
      </c>
      <c r="J813" s="2" t="str">
        <f>IFERROR(IF(MARÍTIMOS[[#This Row],[Placa Tracto]]="","",MARÍTIMOS[[#This Row],[Placa Tracto]]),"")</f>
        <v/>
      </c>
      <c r="K813" s="2" t="str">
        <f>IFERROR(IF(MARÍTIMOS[[#This Row],[Placa Carreta]]="","",MARÍTIMOS[[#This Row],[Placa Carreta]]),"")</f>
        <v/>
      </c>
      <c r="L813" s="44" t="str">
        <f>IFERROR(IF(MARÍTIMOS[[#This Row],[Conductor]]="","",MARÍTIMOS[[#This Row],[Conductor]]),"")</f>
        <v/>
      </c>
      <c r="M813" s="2" t="str">
        <f>IFERROR(IF(MARÍTIMOS[[#This Row],[Licencia]]="","",MARÍTIMOS[[#This Row],[Licencia]]),"")</f>
        <v/>
      </c>
      <c r="N813" s="2" t="str">
        <f>IFERROR(IF(MARÍTIMOS[[#This Row],[Número de Contacto]]="","",MARÍTIMOS[[#This Row],[Número de Contacto]]),"")</f>
        <v/>
      </c>
      <c r="O813" s="10" t="str">
        <f>IFERROR(IF(MARÍTIMOS[[#This Row],[Booking|AWB|CRT]]="","",MARÍTIMOS[[#This Row],[Booking|AWB|CRT]]),"")</f>
        <v/>
      </c>
      <c r="P813" s="2" t="str">
        <f>IFERROR(IF(MARÍTIMOS[[#This Row],[Contenedor]]="","",MARÍTIMOS[[#This Row],[Contenedor]]),"")</f>
        <v/>
      </c>
      <c r="Q813" s="2" t="str">
        <f>IFERROR(IF(MARÍTIMOS[[#This Row],[Puerto de Retiro]]="","",MARÍTIMOS[[#This Row],[Puerto de Retiro]]),"")</f>
        <v/>
      </c>
      <c r="R813" s="2" t="str">
        <f>IFERROR(IF(MARÍTIMOS[[#This Row],[Almacén de Retiro]]="","",MARÍTIMOS[[#This Row],[Almacén de Retiro]]),"")</f>
        <v/>
      </c>
      <c r="S813" s="11" t="str">
        <f>IFERROR(IF(MARÍTIMOS[[#This Row],[Etapa Retiro - Cita]]="","",MARÍTIMOS[[#This Row],[Etapa Retiro - Cita]]),"")</f>
        <v/>
      </c>
      <c r="T813" s="11" t="str">
        <f>IFERROR(IF(MARÍTIMOS[[#This Row],[Etapa Retiro - Llegada]]="","",MARÍTIMOS[[#This Row],[Etapa Retiro - Llegada]]),"")</f>
        <v/>
      </c>
      <c r="U813" s="11" t="str">
        <f>IFERROR(IF(MARÍTIMOS[[#This Row],[Etapa Retiro - Ingreso]]="","",MARÍTIMOS[[#This Row],[Etapa Retiro - Ingreso]]),"")</f>
        <v/>
      </c>
      <c r="V813" s="11" t="str">
        <f>IFERROR(IF(MARÍTIMOS[[#This Row],[Etapa Retiro - Atención]]="","",MARÍTIMOS[[#This Row],[Etapa Retiro - Atención]]),"")</f>
        <v/>
      </c>
      <c r="W813" s="11" t="str">
        <f>IFERROR(IF(MARÍTIMOS[[#This Row],[Etapa Retiro - Atención]]="","",MARÍTIMOS[[#This Row],[Etapa Retiro - Atención]]),"")</f>
        <v/>
      </c>
      <c r="X813" s="11" t="str">
        <f>IFERROR(IF(MARÍTIMOS[[#This Row],[Etapa Retiro - Inicio de Ruta]]="","",MARÍTIMOS[[#This Row],[Etapa Retiro - Inicio de Ruta]]),"")</f>
        <v/>
      </c>
      <c r="Y813" s="11" t="str">
        <f>IFERROR(IF(MARÍTIMOS[[#This Row],[Hora de Posicionamiento]]="","",MARÍTIMOS[[#This Row],[Fecha de Carga]]+MARÍTIMOS[[#This Row],[Hora de Posicionamiento]]),"")</f>
        <v/>
      </c>
      <c r="Z813" s="11" t="str">
        <f>IFERROR(IF(MARÍTIMOS[[#This Row],[Etapa Despacho - Llegada]]="","",MARÍTIMOS[[#This Row],[Etapa Despacho - Llegada]]),"")</f>
        <v/>
      </c>
      <c r="AA813" s="11" t="str">
        <f>IFERROR(IF(MARÍTIMOS[[#This Row],[Etapa Despacho - Registro]]="","",MARÍTIMOS[[#This Row],[Etapa Despacho - Registro]]),"")</f>
        <v/>
      </c>
      <c r="AB813" s="11" t="str">
        <f>IFERROR(IF(MARÍTIMOS[[#This Row],[Inspección Externa]]="","",MARÍTIMOS[[#This Row],[Inspección Externa]]),"")</f>
        <v/>
      </c>
      <c r="AC813" s="11" t="str">
        <f>IFERROR(IF(MARÍTIMOS[[#This Row],[Etapa Despacho - Inicio de Carga]]="","",MARÍTIMOS[[#This Row],[Etapa Despacho - Inicio de Carga]]),"")</f>
        <v/>
      </c>
      <c r="AD813" s="11" t="str">
        <f>IFERROR(IF(MARÍTIMOS[[#This Row],[Etapa Despacho - Mitad de Carga]]="","",MARÍTIMOS[[#This Row],[Etapa Despacho - Mitad de Carga]]),"")</f>
        <v/>
      </c>
      <c r="AE813" s="11" t="str">
        <f>IFERROR(IF(MARÍTIMOS[[#This Row],[Etapa Despacho - Fin de Carga]]="","",MARÍTIMOS[[#This Row],[Etapa Despacho - Fin de Carga]]),"")</f>
        <v/>
      </c>
      <c r="AF813" s="2" t="str">
        <f>IFERROR(IF(MARÍTIMOS[[#This Row],[Puerto de Embarque]]="","",MARÍTIMOS[[#This Row],[Puerto de Embarque]]),"")</f>
        <v/>
      </c>
      <c r="AG813" s="2" t="str">
        <f>IFERROR(IF(MARÍTIMOS[[#This Row],[Almacén de Ingreso]]="","",MARÍTIMOS[[#This Row],[Almacén de Ingreso]]),"")</f>
        <v/>
      </c>
      <c r="AH813" s="11" t="str">
        <f>IFERROR(IF(MARÍTIMOS[[#This Row],[Etapa Ingreso - Cita]]="","",MARÍTIMOS[[#This Row],[Etapa Ingreso - Cita]]),"")</f>
        <v/>
      </c>
      <c r="AI813" s="11" t="str">
        <f>IFERROR(IF(MARÍTIMOS[[#This Row],[Etapa Ingreso - Llegada]]="","",MARÍTIMOS[[#This Row],[Etapa Ingreso - Llegada]]),"")</f>
        <v/>
      </c>
      <c r="AJ813" s="11" t="str">
        <f>IFERROR(IF(MARÍTIMOS[[#This Row],[Etapa Ingreso - Ingeso]]="","",MARÍTIMOS[[#This Row],[Etapa Ingreso - Ingeso]]),"")</f>
        <v/>
      </c>
      <c r="AK813" s="11" t="str">
        <f>IFERROR(IF(MARÍTIMOS[[#This Row],[Etapa Ingreso - Atención]]="","",MARÍTIMOS[[#This Row],[Etapa Ingreso - Atención]]),"")</f>
        <v/>
      </c>
      <c r="AL813" s="11" t="str">
        <f>IFERROR(IF(MARÍTIMOS[[#This Row],[Etapa Ingreso - Salida]]="","",MARÍTIMOS[[#This Row],[Etapa Ingreso - Salida]]),"")</f>
        <v/>
      </c>
      <c r="AM813" s="2" t="str">
        <f>IFERROR(IF(MARÍTIMOS[[#This Row],[FCL]]="","",MARÍTIMOS[[#This Row],[FCL]]),"")</f>
        <v/>
      </c>
      <c r="AN8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3" s="4" t="str" cm="1">
        <f t="array" ref="AO8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3" s="5" t="str">
        <f>IFERROR(OLDBD[[#This Row],[Llegada a packing]]-OLDBD[[#This Row],[Inicio de Ruta]],"")</f>
        <v/>
      </c>
      <c r="AQ813" s="6" t="str">
        <f>IFERROR(OLDBD[[#This Row],[Inicio de Ruta]]-OLDBD[[#This Row],[Salida de almacén de retiro]],"")</f>
        <v/>
      </c>
      <c r="AR8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3" s="8" t="str" cm="1">
        <f t="array" ref="AS8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3" s="9" t="str">
        <f>IFERROR(OLDBD[[#This Row],[Ingreso Packing]]-OLDBD[[#This Row],[Registro en Packing]],"")</f>
        <v/>
      </c>
      <c r="AV813" s="9" t="str">
        <f>IFERROR(OLDBD[[#This Row],[Ingreso Packing]]-OLDBD[[#This Row],[Llegada a packing]],"")</f>
        <v/>
      </c>
      <c r="AW8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3" s="5" t="str">
        <f>IFERROR(OLDBD[[#This Row],[Llegada Almacén de Ingreso]]-OLDBD[[#This Row],[Salida Packing]],"")</f>
        <v/>
      </c>
      <c r="AY813" s="4" t="str" cm="1">
        <f t="array" ref="AY8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3" s="43" t="s">
        <v>173</v>
      </c>
      <c r="BB813" s="47" t="str">
        <f>IFERROR(IF(MARÍTIMOS[[#This Row],[Estatus]]="","",MARÍTIMOS[[#This Row],[Estatus]]),"")</f>
        <v/>
      </c>
      <c r="BC813" s="43"/>
      <c r="BD813" s="46" t="str">
        <f>IFERROR(OLDBD[[#This Row],[Salida de almacén de retiro]]-OLDBD[[#This Row],[Ingreso Almacén de retiro]],"")</f>
        <v/>
      </c>
      <c r="BE813" s="46" t="str">
        <f>IFERROR(OLDBD[[#This Row],[Fin de Carga]]-OLDBD[[#This Row],[Inicio de Carga]],"")</f>
        <v/>
      </c>
    </row>
    <row r="814" spans="1:57" customFormat="1" hidden="1">
      <c r="A814" s="1"/>
      <c r="B814" s="1" t="str">
        <f>IFERROR(IF(MARÍTIMOS[[#This Row],[PP]]="","",MARÍTIMOS[[#This Row],[PP]]),"")</f>
        <v/>
      </c>
      <c r="C814" s="1" t="str">
        <f>IFERROR(IF(MARÍTIMOS[[#This Row],[Sede]]="","",MARÍTIMOS[[#This Row],[Sede]]),"")</f>
        <v/>
      </c>
      <c r="D814" s="1" t="str">
        <f>IFERROR(IF(MARÍTIMOS[[#This Row],[Instruction]]="","",MARÍTIMOS[[#This Row],[Instruction]]),"")</f>
        <v/>
      </c>
      <c r="E814" s="1"/>
      <c r="F814" s="2" t="str">
        <f>IFERROR(IF(MARÍTIMOS[[#This Row],[Transportista]]="","",MARÍTIMOS[[#This Row],[Transportista]]),"")</f>
        <v/>
      </c>
      <c r="G814" s="2" t="str">
        <f>IFERROR(IF(MARÍTIMOS[[#This Row],[Tercero]]="","",MARÍTIMOS[[#This Row],[Tercero]]),"")</f>
        <v/>
      </c>
      <c r="H814" s="2" t="str">
        <f>IFERROR(IF(MARÍTIMOS[[#This Row],[Razón Social]]="","",MARÍTIMOS[[#This Row],[Razón Social]]),"")</f>
        <v/>
      </c>
      <c r="I814" s="2" t="str">
        <f>IFERROR(IF(MARÍTIMOS[[#This Row],[RUC]]="","",MARÍTIMOS[[#This Row],[RUC]]),"")</f>
        <v/>
      </c>
      <c r="J814" s="2" t="str">
        <f>IFERROR(IF(MARÍTIMOS[[#This Row],[Placa Tracto]]="","",MARÍTIMOS[[#This Row],[Placa Tracto]]),"")</f>
        <v/>
      </c>
      <c r="K814" s="2" t="str">
        <f>IFERROR(IF(MARÍTIMOS[[#This Row],[Placa Carreta]]="","",MARÍTIMOS[[#This Row],[Placa Carreta]]),"")</f>
        <v/>
      </c>
      <c r="L814" s="44" t="str">
        <f>IFERROR(IF(MARÍTIMOS[[#This Row],[Conductor]]="","",MARÍTIMOS[[#This Row],[Conductor]]),"")</f>
        <v/>
      </c>
      <c r="M814" s="2" t="str">
        <f>IFERROR(IF(MARÍTIMOS[[#This Row],[Licencia]]="","",MARÍTIMOS[[#This Row],[Licencia]]),"")</f>
        <v/>
      </c>
      <c r="N814" s="2" t="str">
        <f>IFERROR(IF(MARÍTIMOS[[#This Row],[Número de Contacto]]="","",MARÍTIMOS[[#This Row],[Número de Contacto]]),"")</f>
        <v/>
      </c>
      <c r="O814" s="10" t="str">
        <f>IFERROR(IF(MARÍTIMOS[[#This Row],[Booking|AWB|CRT]]="","",MARÍTIMOS[[#This Row],[Booking|AWB|CRT]]),"")</f>
        <v/>
      </c>
      <c r="P814" s="2" t="str">
        <f>IFERROR(IF(MARÍTIMOS[[#This Row],[Contenedor]]="","",MARÍTIMOS[[#This Row],[Contenedor]]),"")</f>
        <v/>
      </c>
      <c r="Q814" s="2" t="str">
        <f>IFERROR(IF(MARÍTIMOS[[#This Row],[Puerto de Retiro]]="","",MARÍTIMOS[[#This Row],[Puerto de Retiro]]),"")</f>
        <v/>
      </c>
      <c r="R814" s="2" t="str">
        <f>IFERROR(IF(MARÍTIMOS[[#This Row],[Almacén de Retiro]]="","",MARÍTIMOS[[#This Row],[Almacén de Retiro]]),"")</f>
        <v/>
      </c>
      <c r="S814" s="11" t="str">
        <f>IFERROR(IF(MARÍTIMOS[[#This Row],[Etapa Retiro - Cita]]="","",MARÍTIMOS[[#This Row],[Etapa Retiro - Cita]]),"")</f>
        <v/>
      </c>
      <c r="T814" s="11" t="str">
        <f>IFERROR(IF(MARÍTIMOS[[#This Row],[Etapa Retiro - Llegada]]="","",MARÍTIMOS[[#This Row],[Etapa Retiro - Llegada]]),"")</f>
        <v/>
      </c>
      <c r="U814" s="11" t="str">
        <f>IFERROR(IF(MARÍTIMOS[[#This Row],[Etapa Retiro - Ingreso]]="","",MARÍTIMOS[[#This Row],[Etapa Retiro - Ingreso]]),"")</f>
        <v/>
      </c>
      <c r="V814" s="11" t="str">
        <f>IFERROR(IF(MARÍTIMOS[[#This Row],[Etapa Retiro - Atención]]="","",MARÍTIMOS[[#This Row],[Etapa Retiro - Atención]]),"")</f>
        <v/>
      </c>
      <c r="W814" s="11" t="str">
        <f>IFERROR(IF(MARÍTIMOS[[#This Row],[Etapa Retiro - Atención]]="","",MARÍTIMOS[[#This Row],[Etapa Retiro - Atención]]),"")</f>
        <v/>
      </c>
      <c r="X814" s="11" t="str">
        <f>IFERROR(IF(MARÍTIMOS[[#This Row],[Etapa Retiro - Inicio de Ruta]]="","",MARÍTIMOS[[#This Row],[Etapa Retiro - Inicio de Ruta]]),"")</f>
        <v/>
      </c>
      <c r="Y814" s="11" t="str">
        <f>IFERROR(IF(MARÍTIMOS[[#This Row],[Hora de Posicionamiento]]="","",MARÍTIMOS[[#This Row],[Fecha de Carga]]+MARÍTIMOS[[#This Row],[Hora de Posicionamiento]]),"")</f>
        <v/>
      </c>
      <c r="Z814" s="11" t="str">
        <f>IFERROR(IF(MARÍTIMOS[[#This Row],[Etapa Despacho - Llegada]]="","",MARÍTIMOS[[#This Row],[Etapa Despacho - Llegada]]),"")</f>
        <v/>
      </c>
      <c r="AA814" s="11" t="str">
        <f>IFERROR(IF(MARÍTIMOS[[#This Row],[Etapa Despacho - Registro]]="","",MARÍTIMOS[[#This Row],[Etapa Despacho - Registro]]),"")</f>
        <v/>
      </c>
      <c r="AB814" s="11" t="str">
        <f>IFERROR(IF(MARÍTIMOS[[#This Row],[Inspección Externa]]="","",MARÍTIMOS[[#This Row],[Inspección Externa]]),"")</f>
        <v/>
      </c>
      <c r="AC814" s="11" t="str">
        <f>IFERROR(IF(MARÍTIMOS[[#This Row],[Etapa Despacho - Inicio de Carga]]="","",MARÍTIMOS[[#This Row],[Etapa Despacho - Inicio de Carga]]),"")</f>
        <v/>
      </c>
      <c r="AD814" s="11" t="str">
        <f>IFERROR(IF(MARÍTIMOS[[#This Row],[Etapa Despacho - Mitad de Carga]]="","",MARÍTIMOS[[#This Row],[Etapa Despacho - Mitad de Carga]]),"")</f>
        <v/>
      </c>
      <c r="AE814" s="11" t="str">
        <f>IFERROR(IF(MARÍTIMOS[[#This Row],[Etapa Despacho - Fin de Carga]]="","",MARÍTIMOS[[#This Row],[Etapa Despacho - Fin de Carga]]),"")</f>
        <v/>
      </c>
      <c r="AF814" s="2" t="str">
        <f>IFERROR(IF(MARÍTIMOS[[#This Row],[Puerto de Embarque]]="","",MARÍTIMOS[[#This Row],[Puerto de Embarque]]),"")</f>
        <v/>
      </c>
      <c r="AG814" s="2" t="str">
        <f>IFERROR(IF(MARÍTIMOS[[#This Row],[Almacén de Ingreso]]="","",MARÍTIMOS[[#This Row],[Almacén de Ingreso]]),"")</f>
        <v/>
      </c>
      <c r="AH814" s="11" t="str">
        <f>IFERROR(IF(MARÍTIMOS[[#This Row],[Etapa Ingreso - Cita]]="","",MARÍTIMOS[[#This Row],[Etapa Ingreso - Cita]]),"")</f>
        <v/>
      </c>
      <c r="AI814" s="11" t="str">
        <f>IFERROR(IF(MARÍTIMOS[[#This Row],[Etapa Ingreso - Llegada]]="","",MARÍTIMOS[[#This Row],[Etapa Ingreso - Llegada]]),"")</f>
        <v/>
      </c>
      <c r="AJ814" s="11" t="str">
        <f>IFERROR(IF(MARÍTIMOS[[#This Row],[Etapa Ingreso - Ingeso]]="","",MARÍTIMOS[[#This Row],[Etapa Ingreso - Ingeso]]),"")</f>
        <v/>
      </c>
      <c r="AK814" s="11" t="str">
        <f>IFERROR(IF(MARÍTIMOS[[#This Row],[Etapa Ingreso - Atención]]="","",MARÍTIMOS[[#This Row],[Etapa Ingreso - Atención]]),"")</f>
        <v/>
      </c>
      <c r="AL814" s="11" t="str">
        <f>IFERROR(IF(MARÍTIMOS[[#This Row],[Etapa Ingreso - Salida]]="","",MARÍTIMOS[[#This Row],[Etapa Ingreso - Salida]]),"")</f>
        <v/>
      </c>
      <c r="AM814" s="2" t="str">
        <f>IFERROR(IF(MARÍTIMOS[[#This Row],[FCL]]="","",MARÍTIMOS[[#This Row],[FCL]]),"")</f>
        <v/>
      </c>
      <c r="AN8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4" s="4" t="str" cm="1">
        <f t="array" ref="AO8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4" s="5" t="str">
        <f>IFERROR(OLDBD[[#This Row],[Llegada a packing]]-OLDBD[[#This Row],[Inicio de Ruta]],"")</f>
        <v/>
      </c>
      <c r="AQ814" s="6" t="str">
        <f>IFERROR(OLDBD[[#This Row],[Inicio de Ruta]]-OLDBD[[#This Row],[Salida de almacén de retiro]],"")</f>
        <v/>
      </c>
      <c r="AR8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4" s="8" t="str" cm="1">
        <f t="array" ref="AS8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4" s="9" t="str">
        <f>IFERROR(OLDBD[[#This Row],[Ingreso Packing]]-OLDBD[[#This Row],[Registro en Packing]],"")</f>
        <v/>
      </c>
      <c r="AV814" s="9" t="str">
        <f>IFERROR(OLDBD[[#This Row],[Ingreso Packing]]-OLDBD[[#This Row],[Llegada a packing]],"")</f>
        <v/>
      </c>
      <c r="AW8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4" s="5" t="str">
        <f>IFERROR(OLDBD[[#This Row],[Llegada Almacén de Ingreso]]-OLDBD[[#This Row],[Salida Packing]],"")</f>
        <v/>
      </c>
      <c r="AY814" s="4" t="str" cm="1">
        <f t="array" ref="AY8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4" s="43" t="s">
        <v>173</v>
      </c>
      <c r="BB814" s="47" t="str">
        <f>IFERROR(IF(MARÍTIMOS[[#This Row],[Estatus]]="","",MARÍTIMOS[[#This Row],[Estatus]]),"")</f>
        <v/>
      </c>
      <c r="BC814" s="43"/>
      <c r="BD814" s="46" t="str">
        <f>IFERROR(OLDBD[[#This Row],[Salida de almacén de retiro]]-OLDBD[[#This Row],[Ingreso Almacén de retiro]],"")</f>
        <v/>
      </c>
      <c r="BE814" s="46" t="str">
        <f>IFERROR(OLDBD[[#This Row],[Fin de Carga]]-OLDBD[[#This Row],[Inicio de Carga]],"")</f>
        <v/>
      </c>
    </row>
    <row r="815" spans="1:57" customFormat="1" hidden="1">
      <c r="A815" s="1"/>
      <c r="B815" s="1" t="str">
        <f>IFERROR(IF(MARÍTIMOS[[#This Row],[PP]]="","",MARÍTIMOS[[#This Row],[PP]]),"")</f>
        <v/>
      </c>
      <c r="C815" s="1" t="str">
        <f>IFERROR(IF(MARÍTIMOS[[#This Row],[Sede]]="","",MARÍTIMOS[[#This Row],[Sede]]),"")</f>
        <v/>
      </c>
      <c r="D815" s="1" t="str">
        <f>IFERROR(IF(MARÍTIMOS[[#This Row],[Instruction]]="","",MARÍTIMOS[[#This Row],[Instruction]]),"")</f>
        <v/>
      </c>
      <c r="E815" s="1"/>
      <c r="F815" s="2" t="str">
        <f>IFERROR(IF(MARÍTIMOS[[#This Row],[Transportista]]="","",MARÍTIMOS[[#This Row],[Transportista]]),"")</f>
        <v/>
      </c>
      <c r="G815" s="2" t="str">
        <f>IFERROR(IF(MARÍTIMOS[[#This Row],[Tercero]]="","",MARÍTIMOS[[#This Row],[Tercero]]),"")</f>
        <v/>
      </c>
      <c r="H815" s="2" t="str">
        <f>IFERROR(IF(MARÍTIMOS[[#This Row],[Razón Social]]="","",MARÍTIMOS[[#This Row],[Razón Social]]),"")</f>
        <v/>
      </c>
      <c r="I815" s="2" t="str">
        <f>IFERROR(IF(MARÍTIMOS[[#This Row],[RUC]]="","",MARÍTIMOS[[#This Row],[RUC]]),"")</f>
        <v/>
      </c>
      <c r="J815" s="2" t="str">
        <f>IFERROR(IF(MARÍTIMOS[[#This Row],[Placa Tracto]]="","",MARÍTIMOS[[#This Row],[Placa Tracto]]),"")</f>
        <v/>
      </c>
      <c r="K815" s="2" t="str">
        <f>IFERROR(IF(MARÍTIMOS[[#This Row],[Placa Carreta]]="","",MARÍTIMOS[[#This Row],[Placa Carreta]]),"")</f>
        <v/>
      </c>
      <c r="L815" s="44" t="str">
        <f>IFERROR(IF(MARÍTIMOS[[#This Row],[Conductor]]="","",MARÍTIMOS[[#This Row],[Conductor]]),"")</f>
        <v/>
      </c>
      <c r="M815" s="2" t="str">
        <f>IFERROR(IF(MARÍTIMOS[[#This Row],[Licencia]]="","",MARÍTIMOS[[#This Row],[Licencia]]),"")</f>
        <v/>
      </c>
      <c r="N815" s="2" t="str">
        <f>IFERROR(IF(MARÍTIMOS[[#This Row],[Número de Contacto]]="","",MARÍTIMOS[[#This Row],[Número de Contacto]]),"")</f>
        <v/>
      </c>
      <c r="O815" s="10" t="str">
        <f>IFERROR(IF(MARÍTIMOS[[#This Row],[Booking|AWB|CRT]]="","",MARÍTIMOS[[#This Row],[Booking|AWB|CRT]]),"")</f>
        <v/>
      </c>
      <c r="P815" s="2" t="str">
        <f>IFERROR(IF(MARÍTIMOS[[#This Row],[Contenedor]]="","",MARÍTIMOS[[#This Row],[Contenedor]]),"")</f>
        <v/>
      </c>
      <c r="Q815" s="2" t="str">
        <f>IFERROR(IF(MARÍTIMOS[[#This Row],[Puerto de Retiro]]="","",MARÍTIMOS[[#This Row],[Puerto de Retiro]]),"")</f>
        <v/>
      </c>
      <c r="R815" s="2" t="str">
        <f>IFERROR(IF(MARÍTIMOS[[#This Row],[Almacén de Retiro]]="","",MARÍTIMOS[[#This Row],[Almacén de Retiro]]),"")</f>
        <v/>
      </c>
      <c r="S815" s="11" t="str">
        <f>IFERROR(IF(MARÍTIMOS[[#This Row],[Etapa Retiro - Cita]]="","",MARÍTIMOS[[#This Row],[Etapa Retiro - Cita]]),"")</f>
        <v/>
      </c>
      <c r="T815" s="11" t="str">
        <f>IFERROR(IF(MARÍTIMOS[[#This Row],[Etapa Retiro - Llegada]]="","",MARÍTIMOS[[#This Row],[Etapa Retiro - Llegada]]),"")</f>
        <v/>
      </c>
      <c r="U815" s="11" t="str">
        <f>IFERROR(IF(MARÍTIMOS[[#This Row],[Etapa Retiro - Ingreso]]="","",MARÍTIMOS[[#This Row],[Etapa Retiro - Ingreso]]),"")</f>
        <v/>
      </c>
      <c r="V815" s="11" t="str">
        <f>IFERROR(IF(MARÍTIMOS[[#This Row],[Etapa Retiro - Atención]]="","",MARÍTIMOS[[#This Row],[Etapa Retiro - Atención]]),"")</f>
        <v/>
      </c>
      <c r="W815" s="11" t="str">
        <f>IFERROR(IF(MARÍTIMOS[[#This Row],[Etapa Retiro - Atención]]="","",MARÍTIMOS[[#This Row],[Etapa Retiro - Atención]]),"")</f>
        <v/>
      </c>
      <c r="X815" s="11" t="str">
        <f>IFERROR(IF(MARÍTIMOS[[#This Row],[Etapa Retiro - Inicio de Ruta]]="","",MARÍTIMOS[[#This Row],[Etapa Retiro - Inicio de Ruta]]),"")</f>
        <v/>
      </c>
      <c r="Y815" s="11" t="str">
        <f>IFERROR(IF(MARÍTIMOS[[#This Row],[Hora de Posicionamiento]]="","",MARÍTIMOS[[#This Row],[Fecha de Carga]]+MARÍTIMOS[[#This Row],[Hora de Posicionamiento]]),"")</f>
        <v/>
      </c>
      <c r="Z815" s="11" t="str">
        <f>IFERROR(IF(MARÍTIMOS[[#This Row],[Etapa Despacho - Llegada]]="","",MARÍTIMOS[[#This Row],[Etapa Despacho - Llegada]]),"")</f>
        <v/>
      </c>
      <c r="AA815" s="11" t="str">
        <f>IFERROR(IF(MARÍTIMOS[[#This Row],[Etapa Despacho - Registro]]="","",MARÍTIMOS[[#This Row],[Etapa Despacho - Registro]]),"")</f>
        <v/>
      </c>
      <c r="AB815" s="11" t="str">
        <f>IFERROR(IF(MARÍTIMOS[[#This Row],[Inspección Externa]]="","",MARÍTIMOS[[#This Row],[Inspección Externa]]),"")</f>
        <v/>
      </c>
      <c r="AC815" s="11" t="str">
        <f>IFERROR(IF(MARÍTIMOS[[#This Row],[Etapa Despacho - Inicio de Carga]]="","",MARÍTIMOS[[#This Row],[Etapa Despacho - Inicio de Carga]]),"")</f>
        <v/>
      </c>
      <c r="AD815" s="11" t="str">
        <f>IFERROR(IF(MARÍTIMOS[[#This Row],[Etapa Despacho - Mitad de Carga]]="","",MARÍTIMOS[[#This Row],[Etapa Despacho - Mitad de Carga]]),"")</f>
        <v/>
      </c>
      <c r="AE815" s="11" t="str">
        <f>IFERROR(IF(MARÍTIMOS[[#This Row],[Etapa Despacho - Fin de Carga]]="","",MARÍTIMOS[[#This Row],[Etapa Despacho - Fin de Carga]]),"")</f>
        <v/>
      </c>
      <c r="AF815" s="2" t="str">
        <f>IFERROR(IF(MARÍTIMOS[[#This Row],[Puerto de Embarque]]="","",MARÍTIMOS[[#This Row],[Puerto de Embarque]]),"")</f>
        <v/>
      </c>
      <c r="AG815" s="2" t="str">
        <f>IFERROR(IF(MARÍTIMOS[[#This Row],[Almacén de Ingreso]]="","",MARÍTIMOS[[#This Row],[Almacén de Ingreso]]),"")</f>
        <v/>
      </c>
      <c r="AH815" s="11" t="str">
        <f>IFERROR(IF(MARÍTIMOS[[#This Row],[Etapa Ingreso - Cita]]="","",MARÍTIMOS[[#This Row],[Etapa Ingreso - Cita]]),"")</f>
        <v/>
      </c>
      <c r="AI815" s="11" t="str">
        <f>IFERROR(IF(MARÍTIMOS[[#This Row],[Etapa Ingreso - Llegada]]="","",MARÍTIMOS[[#This Row],[Etapa Ingreso - Llegada]]),"")</f>
        <v/>
      </c>
      <c r="AJ815" s="11" t="str">
        <f>IFERROR(IF(MARÍTIMOS[[#This Row],[Etapa Ingreso - Ingeso]]="","",MARÍTIMOS[[#This Row],[Etapa Ingreso - Ingeso]]),"")</f>
        <v/>
      </c>
      <c r="AK815" s="11" t="str">
        <f>IFERROR(IF(MARÍTIMOS[[#This Row],[Etapa Ingreso - Atención]]="","",MARÍTIMOS[[#This Row],[Etapa Ingreso - Atención]]),"")</f>
        <v/>
      </c>
      <c r="AL815" s="11" t="str">
        <f>IFERROR(IF(MARÍTIMOS[[#This Row],[Etapa Ingreso - Salida]]="","",MARÍTIMOS[[#This Row],[Etapa Ingreso - Salida]]),"")</f>
        <v/>
      </c>
      <c r="AM815" s="2" t="str">
        <f>IFERROR(IF(MARÍTIMOS[[#This Row],[FCL]]="","",MARÍTIMOS[[#This Row],[FCL]]),"")</f>
        <v/>
      </c>
      <c r="AN8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5" s="4" t="str" cm="1">
        <f t="array" ref="AO8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5" s="5" t="str">
        <f>IFERROR(OLDBD[[#This Row],[Llegada a packing]]-OLDBD[[#This Row],[Inicio de Ruta]],"")</f>
        <v/>
      </c>
      <c r="AQ815" s="6" t="str">
        <f>IFERROR(OLDBD[[#This Row],[Inicio de Ruta]]-OLDBD[[#This Row],[Salida de almacén de retiro]],"")</f>
        <v/>
      </c>
      <c r="AR8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5" s="8" t="str" cm="1">
        <f t="array" ref="AS8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5" s="9" t="str">
        <f>IFERROR(OLDBD[[#This Row],[Ingreso Packing]]-OLDBD[[#This Row],[Registro en Packing]],"")</f>
        <v/>
      </c>
      <c r="AV815" s="9" t="str">
        <f>IFERROR(OLDBD[[#This Row],[Ingreso Packing]]-OLDBD[[#This Row],[Llegada a packing]],"")</f>
        <v/>
      </c>
      <c r="AW8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5" s="5" t="str">
        <f>IFERROR(OLDBD[[#This Row],[Llegada Almacén de Ingreso]]-OLDBD[[#This Row],[Salida Packing]],"")</f>
        <v/>
      </c>
      <c r="AY815" s="4" t="str" cm="1">
        <f t="array" ref="AY8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5" s="43" t="s">
        <v>173</v>
      </c>
      <c r="BB815" s="47" t="str">
        <f>IFERROR(IF(MARÍTIMOS[[#This Row],[Estatus]]="","",MARÍTIMOS[[#This Row],[Estatus]]),"")</f>
        <v/>
      </c>
      <c r="BC815" s="43"/>
      <c r="BD815" s="46" t="str">
        <f>IFERROR(OLDBD[[#This Row],[Salida de almacén de retiro]]-OLDBD[[#This Row],[Ingreso Almacén de retiro]],"")</f>
        <v/>
      </c>
      <c r="BE815" s="46" t="str">
        <f>IFERROR(OLDBD[[#This Row],[Fin de Carga]]-OLDBD[[#This Row],[Inicio de Carga]],"")</f>
        <v/>
      </c>
    </row>
    <row r="816" spans="1:57" customFormat="1" hidden="1">
      <c r="A816" s="1"/>
      <c r="B816" s="1" t="str">
        <f>IFERROR(IF(MARÍTIMOS[[#This Row],[PP]]="","",MARÍTIMOS[[#This Row],[PP]]),"")</f>
        <v/>
      </c>
      <c r="C816" s="1" t="str">
        <f>IFERROR(IF(MARÍTIMOS[[#This Row],[Sede]]="","",MARÍTIMOS[[#This Row],[Sede]]),"")</f>
        <v/>
      </c>
      <c r="D816" s="1" t="str">
        <f>IFERROR(IF(MARÍTIMOS[[#This Row],[Instruction]]="","",MARÍTIMOS[[#This Row],[Instruction]]),"")</f>
        <v/>
      </c>
      <c r="E816" s="1"/>
      <c r="F816" s="2" t="str">
        <f>IFERROR(IF(MARÍTIMOS[[#This Row],[Transportista]]="","",MARÍTIMOS[[#This Row],[Transportista]]),"")</f>
        <v/>
      </c>
      <c r="G816" s="2" t="str">
        <f>IFERROR(IF(MARÍTIMOS[[#This Row],[Tercero]]="","",MARÍTIMOS[[#This Row],[Tercero]]),"")</f>
        <v/>
      </c>
      <c r="H816" s="2" t="str">
        <f>IFERROR(IF(MARÍTIMOS[[#This Row],[Razón Social]]="","",MARÍTIMOS[[#This Row],[Razón Social]]),"")</f>
        <v/>
      </c>
      <c r="I816" s="2" t="str">
        <f>IFERROR(IF(MARÍTIMOS[[#This Row],[RUC]]="","",MARÍTIMOS[[#This Row],[RUC]]),"")</f>
        <v/>
      </c>
      <c r="J816" s="2" t="str">
        <f>IFERROR(IF(MARÍTIMOS[[#This Row],[Placa Tracto]]="","",MARÍTIMOS[[#This Row],[Placa Tracto]]),"")</f>
        <v/>
      </c>
      <c r="K816" s="2" t="str">
        <f>IFERROR(IF(MARÍTIMOS[[#This Row],[Placa Carreta]]="","",MARÍTIMOS[[#This Row],[Placa Carreta]]),"")</f>
        <v/>
      </c>
      <c r="L816" s="44" t="str">
        <f>IFERROR(IF(MARÍTIMOS[[#This Row],[Conductor]]="","",MARÍTIMOS[[#This Row],[Conductor]]),"")</f>
        <v/>
      </c>
      <c r="M816" s="2" t="str">
        <f>IFERROR(IF(MARÍTIMOS[[#This Row],[Licencia]]="","",MARÍTIMOS[[#This Row],[Licencia]]),"")</f>
        <v/>
      </c>
      <c r="N816" s="2" t="str">
        <f>IFERROR(IF(MARÍTIMOS[[#This Row],[Número de Contacto]]="","",MARÍTIMOS[[#This Row],[Número de Contacto]]),"")</f>
        <v/>
      </c>
      <c r="O816" s="10" t="str">
        <f>IFERROR(IF(MARÍTIMOS[[#This Row],[Booking|AWB|CRT]]="","",MARÍTIMOS[[#This Row],[Booking|AWB|CRT]]),"")</f>
        <v/>
      </c>
      <c r="P816" s="2" t="str">
        <f>IFERROR(IF(MARÍTIMOS[[#This Row],[Contenedor]]="","",MARÍTIMOS[[#This Row],[Contenedor]]),"")</f>
        <v/>
      </c>
      <c r="Q816" s="2" t="str">
        <f>IFERROR(IF(MARÍTIMOS[[#This Row],[Puerto de Retiro]]="","",MARÍTIMOS[[#This Row],[Puerto de Retiro]]),"")</f>
        <v/>
      </c>
      <c r="R816" s="2" t="str">
        <f>IFERROR(IF(MARÍTIMOS[[#This Row],[Almacén de Retiro]]="","",MARÍTIMOS[[#This Row],[Almacén de Retiro]]),"")</f>
        <v/>
      </c>
      <c r="S816" s="11" t="str">
        <f>IFERROR(IF(MARÍTIMOS[[#This Row],[Etapa Retiro - Cita]]="","",MARÍTIMOS[[#This Row],[Etapa Retiro - Cita]]),"")</f>
        <v/>
      </c>
      <c r="T816" s="11" t="str">
        <f>IFERROR(IF(MARÍTIMOS[[#This Row],[Etapa Retiro - Llegada]]="","",MARÍTIMOS[[#This Row],[Etapa Retiro - Llegada]]),"")</f>
        <v/>
      </c>
      <c r="U816" s="11" t="str">
        <f>IFERROR(IF(MARÍTIMOS[[#This Row],[Etapa Retiro - Ingreso]]="","",MARÍTIMOS[[#This Row],[Etapa Retiro - Ingreso]]),"")</f>
        <v/>
      </c>
      <c r="V816" s="11" t="str">
        <f>IFERROR(IF(MARÍTIMOS[[#This Row],[Etapa Retiro - Atención]]="","",MARÍTIMOS[[#This Row],[Etapa Retiro - Atención]]),"")</f>
        <v/>
      </c>
      <c r="W816" s="11" t="str">
        <f>IFERROR(IF(MARÍTIMOS[[#This Row],[Etapa Retiro - Atención]]="","",MARÍTIMOS[[#This Row],[Etapa Retiro - Atención]]),"")</f>
        <v/>
      </c>
      <c r="X816" s="11" t="str">
        <f>IFERROR(IF(MARÍTIMOS[[#This Row],[Etapa Retiro - Inicio de Ruta]]="","",MARÍTIMOS[[#This Row],[Etapa Retiro - Inicio de Ruta]]),"")</f>
        <v/>
      </c>
      <c r="Y816" s="11" t="str">
        <f>IFERROR(IF(MARÍTIMOS[[#This Row],[Hora de Posicionamiento]]="","",MARÍTIMOS[[#This Row],[Fecha de Carga]]+MARÍTIMOS[[#This Row],[Hora de Posicionamiento]]),"")</f>
        <v/>
      </c>
      <c r="Z816" s="11" t="str">
        <f>IFERROR(IF(MARÍTIMOS[[#This Row],[Etapa Despacho - Llegada]]="","",MARÍTIMOS[[#This Row],[Etapa Despacho - Llegada]]),"")</f>
        <v/>
      </c>
      <c r="AA816" s="11" t="str">
        <f>IFERROR(IF(MARÍTIMOS[[#This Row],[Etapa Despacho - Registro]]="","",MARÍTIMOS[[#This Row],[Etapa Despacho - Registro]]),"")</f>
        <v/>
      </c>
      <c r="AB816" s="11" t="str">
        <f>IFERROR(IF(MARÍTIMOS[[#This Row],[Inspección Externa]]="","",MARÍTIMOS[[#This Row],[Inspección Externa]]),"")</f>
        <v/>
      </c>
      <c r="AC816" s="11" t="str">
        <f>IFERROR(IF(MARÍTIMOS[[#This Row],[Etapa Despacho - Inicio de Carga]]="","",MARÍTIMOS[[#This Row],[Etapa Despacho - Inicio de Carga]]),"")</f>
        <v/>
      </c>
      <c r="AD816" s="11" t="str">
        <f>IFERROR(IF(MARÍTIMOS[[#This Row],[Etapa Despacho - Mitad de Carga]]="","",MARÍTIMOS[[#This Row],[Etapa Despacho - Mitad de Carga]]),"")</f>
        <v/>
      </c>
      <c r="AE816" s="11" t="str">
        <f>IFERROR(IF(MARÍTIMOS[[#This Row],[Etapa Despacho - Fin de Carga]]="","",MARÍTIMOS[[#This Row],[Etapa Despacho - Fin de Carga]]),"")</f>
        <v/>
      </c>
      <c r="AF816" s="2" t="str">
        <f>IFERROR(IF(MARÍTIMOS[[#This Row],[Puerto de Embarque]]="","",MARÍTIMOS[[#This Row],[Puerto de Embarque]]),"")</f>
        <v/>
      </c>
      <c r="AG816" s="2" t="str">
        <f>IFERROR(IF(MARÍTIMOS[[#This Row],[Almacén de Ingreso]]="","",MARÍTIMOS[[#This Row],[Almacén de Ingreso]]),"")</f>
        <v/>
      </c>
      <c r="AH816" s="11" t="str">
        <f>IFERROR(IF(MARÍTIMOS[[#This Row],[Etapa Ingreso - Cita]]="","",MARÍTIMOS[[#This Row],[Etapa Ingreso - Cita]]),"")</f>
        <v/>
      </c>
      <c r="AI816" s="11" t="str">
        <f>IFERROR(IF(MARÍTIMOS[[#This Row],[Etapa Ingreso - Llegada]]="","",MARÍTIMOS[[#This Row],[Etapa Ingreso - Llegada]]),"")</f>
        <v/>
      </c>
      <c r="AJ816" s="11" t="str">
        <f>IFERROR(IF(MARÍTIMOS[[#This Row],[Etapa Ingreso - Ingeso]]="","",MARÍTIMOS[[#This Row],[Etapa Ingreso - Ingeso]]),"")</f>
        <v/>
      </c>
      <c r="AK816" s="11" t="str">
        <f>IFERROR(IF(MARÍTIMOS[[#This Row],[Etapa Ingreso - Atención]]="","",MARÍTIMOS[[#This Row],[Etapa Ingreso - Atención]]),"")</f>
        <v/>
      </c>
      <c r="AL816" s="11" t="str">
        <f>IFERROR(IF(MARÍTIMOS[[#This Row],[Etapa Ingreso - Salida]]="","",MARÍTIMOS[[#This Row],[Etapa Ingreso - Salida]]),"")</f>
        <v/>
      </c>
      <c r="AM816" s="2" t="str">
        <f>IFERROR(IF(MARÍTIMOS[[#This Row],[FCL]]="","",MARÍTIMOS[[#This Row],[FCL]]),"")</f>
        <v/>
      </c>
      <c r="AN8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6" s="4" t="str" cm="1">
        <f t="array" ref="AO8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6" s="5" t="str">
        <f>IFERROR(OLDBD[[#This Row],[Llegada a packing]]-OLDBD[[#This Row],[Inicio de Ruta]],"")</f>
        <v/>
      </c>
      <c r="AQ816" s="6" t="str">
        <f>IFERROR(OLDBD[[#This Row],[Inicio de Ruta]]-OLDBD[[#This Row],[Salida de almacén de retiro]],"")</f>
        <v/>
      </c>
      <c r="AR8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6" s="8" t="str" cm="1">
        <f t="array" ref="AS8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6" s="9" t="str">
        <f>IFERROR(OLDBD[[#This Row],[Ingreso Packing]]-OLDBD[[#This Row],[Registro en Packing]],"")</f>
        <v/>
      </c>
      <c r="AV816" s="9" t="str">
        <f>IFERROR(OLDBD[[#This Row],[Ingreso Packing]]-OLDBD[[#This Row],[Llegada a packing]],"")</f>
        <v/>
      </c>
      <c r="AW8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6" s="5" t="str">
        <f>IFERROR(OLDBD[[#This Row],[Llegada Almacén de Ingreso]]-OLDBD[[#This Row],[Salida Packing]],"")</f>
        <v/>
      </c>
      <c r="AY816" s="4" t="str" cm="1">
        <f t="array" ref="AY8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6" s="43" t="s">
        <v>173</v>
      </c>
      <c r="BB816" s="47" t="str">
        <f>IFERROR(IF(MARÍTIMOS[[#This Row],[Estatus]]="","",MARÍTIMOS[[#This Row],[Estatus]]),"")</f>
        <v/>
      </c>
      <c r="BC816" s="43"/>
      <c r="BD816" s="46" t="str">
        <f>IFERROR(OLDBD[[#This Row],[Salida de almacén de retiro]]-OLDBD[[#This Row],[Ingreso Almacén de retiro]],"")</f>
        <v/>
      </c>
      <c r="BE816" s="46" t="str">
        <f>IFERROR(OLDBD[[#This Row],[Fin de Carga]]-OLDBD[[#This Row],[Inicio de Carga]],"")</f>
        <v/>
      </c>
    </row>
    <row r="817" spans="1:57" customFormat="1" hidden="1">
      <c r="A817" s="1"/>
      <c r="B817" s="1" t="str">
        <f>IFERROR(IF(MARÍTIMOS[[#This Row],[PP]]="","",MARÍTIMOS[[#This Row],[PP]]),"")</f>
        <v/>
      </c>
      <c r="C817" s="1" t="str">
        <f>IFERROR(IF(MARÍTIMOS[[#This Row],[Sede]]="","",MARÍTIMOS[[#This Row],[Sede]]),"")</f>
        <v/>
      </c>
      <c r="D817" s="1" t="str">
        <f>IFERROR(IF(MARÍTIMOS[[#This Row],[Instruction]]="","",MARÍTIMOS[[#This Row],[Instruction]]),"")</f>
        <v/>
      </c>
      <c r="E817" s="1"/>
      <c r="F817" s="2" t="str">
        <f>IFERROR(IF(MARÍTIMOS[[#This Row],[Transportista]]="","",MARÍTIMOS[[#This Row],[Transportista]]),"")</f>
        <v/>
      </c>
      <c r="G817" s="2" t="str">
        <f>IFERROR(IF(MARÍTIMOS[[#This Row],[Tercero]]="","",MARÍTIMOS[[#This Row],[Tercero]]),"")</f>
        <v/>
      </c>
      <c r="H817" s="2" t="str">
        <f>IFERROR(IF(MARÍTIMOS[[#This Row],[Razón Social]]="","",MARÍTIMOS[[#This Row],[Razón Social]]),"")</f>
        <v/>
      </c>
      <c r="I817" s="2" t="str">
        <f>IFERROR(IF(MARÍTIMOS[[#This Row],[RUC]]="","",MARÍTIMOS[[#This Row],[RUC]]),"")</f>
        <v/>
      </c>
      <c r="J817" s="2" t="str">
        <f>IFERROR(IF(MARÍTIMOS[[#This Row],[Placa Tracto]]="","",MARÍTIMOS[[#This Row],[Placa Tracto]]),"")</f>
        <v/>
      </c>
      <c r="K817" s="2" t="str">
        <f>IFERROR(IF(MARÍTIMOS[[#This Row],[Placa Carreta]]="","",MARÍTIMOS[[#This Row],[Placa Carreta]]),"")</f>
        <v/>
      </c>
      <c r="L817" s="44" t="str">
        <f>IFERROR(IF(MARÍTIMOS[[#This Row],[Conductor]]="","",MARÍTIMOS[[#This Row],[Conductor]]),"")</f>
        <v/>
      </c>
      <c r="M817" s="2" t="str">
        <f>IFERROR(IF(MARÍTIMOS[[#This Row],[Licencia]]="","",MARÍTIMOS[[#This Row],[Licencia]]),"")</f>
        <v/>
      </c>
      <c r="N817" s="2" t="str">
        <f>IFERROR(IF(MARÍTIMOS[[#This Row],[Número de Contacto]]="","",MARÍTIMOS[[#This Row],[Número de Contacto]]),"")</f>
        <v/>
      </c>
      <c r="O817" s="10" t="str">
        <f>IFERROR(IF(MARÍTIMOS[[#This Row],[Booking|AWB|CRT]]="","",MARÍTIMOS[[#This Row],[Booking|AWB|CRT]]),"")</f>
        <v/>
      </c>
      <c r="P817" s="2" t="str">
        <f>IFERROR(IF(MARÍTIMOS[[#This Row],[Contenedor]]="","",MARÍTIMOS[[#This Row],[Contenedor]]),"")</f>
        <v/>
      </c>
      <c r="Q817" s="2" t="str">
        <f>IFERROR(IF(MARÍTIMOS[[#This Row],[Puerto de Retiro]]="","",MARÍTIMOS[[#This Row],[Puerto de Retiro]]),"")</f>
        <v/>
      </c>
      <c r="R817" s="2" t="str">
        <f>IFERROR(IF(MARÍTIMOS[[#This Row],[Almacén de Retiro]]="","",MARÍTIMOS[[#This Row],[Almacén de Retiro]]),"")</f>
        <v/>
      </c>
      <c r="S817" s="11" t="str">
        <f>IFERROR(IF(MARÍTIMOS[[#This Row],[Etapa Retiro - Cita]]="","",MARÍTIMOS[[#This Row],[Etapa Retiro - Cita]]),"")</f>
        <v/>
      </c>
      <c r="T817" s="11" t="str">
        <f>IFERROR(IF(MARÍTIMOS[[#This Row],[Etapa Retiro - Llegada]]="","",MARÍTIMOS[[#This Row],[Etapa Retiro - Llegada]]),"")</f>
        <v/>
      </c>
      <c r="U817" s="11" t="str">
        <f>IFERROR(IF(MARÍTIMOS[[#This Row],[Etapa Retiro - Ingreso]]="","",MARÍTIMOS[[#This Row],[Etapa Retiro - Ingreso]]),"")</f>
        <v/>
      </c>
      <c r="V817" s="11" t="str">
        <f>IFERROR(IF(MARÍTIMOS[[#This Row],[Etapa Retiro - Atención]]="","",MARÍTIMOS[[#This Row],[Etapa Retiro - Atención]]),"")</f>
        <v/>
      </c>
      <c r="W817" s="11" t="str">
        <f>IFERROR(IF(MARÍTIMOS[[#This Row],[Etapa Retiro - Atención]]="","",MARÍTIMOS[[#This Row],[Etapa Retiro - Atención]]),"")</f>
        <v/>
      </c>
      <c r="X817" s="11" t="str">
        <f>IFERROR(IF(MARÍTIMOS[[#This Row],[Etapa Retiro - Inicio de Ruta]]="","",MARÍTIMOS[[#This Row],[Etapa Retiro - Inicio de Ruta]]),"")</f>
        <v/>
      </c>
      <c r="Y817" s="11" t="str">
        <f>IFERROR(IF(MARÍTIMOS[[#This Row],[Hora de Posicionamiento]]="","",MARÍTIMOS[[#This Row],[Fecha de Carga]]+MARÍTIMOS[[#This Row],[Hora de Posicionamiento]]),"")</f>
        <v/>
      </c>
      <c r="Z817" s="11" t="str">
        <f>IFERROR(IF(MARÍTIMOS[[#This Row],[Etapa Despacho - Llegada]]="","",MARÍTIMOS[[#This Row],[Etapa Despacho - Llegada]]),"")</f>
        <v/>
      </c>
      <c r="AA817" s="11" t="str">
        <f>IFERROR(IF(MARÍTIMOS[[#This Row],[Etapa Despacho - Registro]]="","",MARÍTIMOS[[#This Row],[Etapa Despacho - Registro]]),"")</f>
        <v/>
      </c>
      <c r="AB817" s="11" t="str">
        <f>IFERROR(IF(MARÍTIMOS[[#This Row],[Inspección Externa]]="","",MARÍTIMOS[[#This Row],[Inspección Externa]]),"")</f>
        <v/>
      </c>
      <c r="AC817" s="11" t="str">
        <f>IFERROR(IF(MARÍTIMOS[[#This Row],[Etapa Despacho - Inicio de Carga]]="","",MARÍTIMOS[[#This Row],[Etapa Despacho - Inicio de Carga]]),"")</f>
        <v/>
      </c>
      <c r="AD817" s="11" t="str">
        <f>IFERROR(IF(MARÍTIMOS[[#This Row],[Etapa Despacho - Mitad de Carga]]="","",MARÍTIMOS[[#This Row],[Etapa Despacho - Mitad de Carga]]),"")</f>
        <v/>
      </c>
      <c r="AE817" s="11" t="str">
        <f>IFERROR(IF(MARÍTIMOS[[#This Row],[Etapa Despacho - Fin de Carga]]="","",MARÍTIMOS[[#This Row],[Etapa Despacho - Fin de Carga]]),"")</f>
        <v/>
      </c>
      <c r="AF817" s="2" t="str">
        <f>IFERROR(IF(MARÍTIMOS[[#This Row],[Puerto de Embarque]]="","",MARÍTIMOS[[#This Row],[Puerto de Embarque]]),"")</f>
        <v/>
      </c>
      <c r="AG817" s="2" t="str">
        <f>IFERROR(IF(MARÍTIMOS[[#This Row],[Almacén de Ingreso]]="","",MARÍTIMOS[[#This Row],[Almacén de Ingreso]]),"")</f>
        <v/>
      </c>
      <c r="AH817" s="11" t="str">
        <f>IFERROR(IF(MARÍTIMOS[[#This Row],[Etapa Ingreso - Cita]]="","",MARÍTIMOS[[#This Row],[Etapa Ingreso - Cita]]),"")</f>
        <v/>
      </c>
      <c r="AI817" s="11" t="str">
        <f>IFERROR(IF(MARÍTIMOS[[#This Row],[Etapa Ingreso - Llegada]]="","",MARÍTIMOS[[#This Row],[Etapa Ingreso - Llegada]]),"")</f>
        <v/>
      </c>
      <c r="AJ817" s="11" t="str">
        <f>IFERROR(IF(MARÍTIMOS[[#This Row],[Etapa Ingreso - Ingeso]]="","",MARÍTIMOS[[#This Row],[Etapa Ingreso - Ingeso]]),"")</f>
        <v/>
      </c>
      <c r="AK817" s="11" t="str">
        <f>IFERROR(IF(MARÍTIMOS[[#This Row],[Etapa Ingreso - Atención]]="","",MARÍTIMOS[[#This Row],[Etapa Ingreso - Atención]]),"")</f>
        <v/>
      </c>
      <c r="AL817" s="11" t="str">
        <f>IFERROR(IF(MARÍTIMOS[[#This Row],[Etapa Ingreso - Salida]]="","",MARÍTIMOS[[#This Row],[Etapa Ingreso - Salida]]),"")</f>
        <v/>
      </c>
      <c r="AM817" s="2" t="str">
        <f>IFERROR(IF(MARÍTIMOS[[#This Row],[FCL]]="","",MARÍTIMOS[[#This Row],[FCL]]),"")</f>
        <v/>
      </c>
      <c r="AN8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7" s="4" t="str" cm="1">
        <f t="array" ref="AO8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7" s="5" t="str">
        <f>IFERROR(OLDBD[[#This Row],[Llegada a packing]]-OLDBD[[#This Row],[Inicio de Ruta]],"")</f>
        <v/>
      </c>
      <c r="AQ817" s="6" t="str">
        <f>IFERROR(OLDBD[[#This Row],[Inicio de Ruta]]-OLDBD[[#This Row],[Salida de almacén de retiro]],"")</f>
        <v/>
      </c>
      <c r="AR8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7" s="8" t="str" cm="1">
        <f t="array" ref="AS8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7" s="9" t="str">
        <f>IFERROR(OLDBD[[#This Row],[Ingreso Packing]]-OLDBD[[#This Row],[Registro en Packing]],"")</f>
        <v/>
      </c>
      <c r="AV817" s="9" t="str">
        <f>IFERROR(OLDBD[[#This Row],[Ingreso Packing]]-OLDBD[[#This Row],[Llegada a packing]],"")</f>
        <v/>
      </c>
      <c r="AW8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7" s="5" t="str">
        <f>IFERROR(OLDBD[[#This Row],[Llegada Almacén de Ingreso]]-OLDBD[[#This Row],[Salida Packing]],"")</f>
        <v/>
      </c>
      <c r="AY817" s="4" t="str" cm="1">
        <f t="array" ref="AY8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7" s="43" t="s">
        <v>173</v>
      </c>
      <c r="BB817" s="47" t="str">
        <f>IFERROR(IF(MARÍTIMOS[[#This Row],[Estatus]]="","",MARÍTIMOS[[#This Row],[Estatus]]),"")</f>
        <v/>
      </c>
      <c r="BC817" s="43"/>
      <c r="BD817" s="46" t="str">
        <f>IFERROR(OLDBD[[#This Row],[Salida de almacén de retiro]]-OLDBD[[#This Row],[Ingreso Almacén de retiro]],"")</f>
        <v/>
      </c>
      <c r="BE817" s="46" t="str">
        <f>IFERROR(OLDBD[[#This Row],[Fin de Carga]]-OLDBD[[#This Row],[Inicio de Carga]],"")</f>
        <v/>
      </c>
    </row>
    <row r="818" spans="1:57" customFormat="1" hidden="1">
      <c r="A818" s="1"/>
      <c r="B818" s="1" t="str">
        <f>IFERROR(IF(MARÍTIMOS[[#This Row],[PP]]="","",MARÍTIMOS[[#This Row],[PP]]),"")</f>
        <v/>
      </c>
      <c r="C818" s="1" t="str">
        <f>IFERROR(IF(MARÍTIMOS[[#This Row],[Sede]]="","",MARÍTIMOS[[#This Row],[Sede]]),"")</f>
        <v/>
      </c>
      <c r="D818" s="1" t="str">
        <f>IFERROR(IF(MARÍTIMOS[[#This Row],[Instruction]]="","",MARÍTIMOS[[#This Row],[Instruction]]),"")</f>
        <v/>
      </c>
      <c r="E818" s="1"/>
      <c r="F818" s="2" t="str">
        <f>IFERROR(IF(MARÍTIMOS[[#This Row],[Transportista]]="","",MARÍTIMOS[[#This Row],[Transportista]]),"")</f>
        <v/>
      </c>
      <c r="G818" s="2" t="str">
        <f>IFERROR(IF(MARÍTIMOS[[#This Row],[Tercero]]="","",MARÍTIMOS[[#This Row],[Tercero]]),"")</f>
        <v/>
      </c>
      <c r="H818" s="2" t="str">
        <f>IFERROR(IF(MARÍTIMOS[[#This Row],[Razón Social]]="","",MARÍTIMOS[[#This Row],[Razón Social]]),"")</f>
        <v/>
      </c>
      <c r="I818" s="2" t="str">
        <f>IFERROR(IF(MARÍTIMOS[[#This Row],[RUC]]="","",MARÍTIMOS[[#This Row],[RUC]]),"")</f>
        <v/>
      </c>
      <c r="J818" s="2" t="str">
        <f>IFERROR(IF(MARÍTIMOS[[#This Row],[Placa Tracto]]="","",MARÍTIMOS[[#This Row],[Placa Tracto]]),"")</f>
        <v/>
      </c>
      <c r="K818" s="2" t="str">
        <f>IFERROR(IF(MARÍTIMOS[[#This Row],[Placa Carreta]]="","",MARÍTIMOS[[#This Row],[Placa Carreta]]),"")</f>
        <v/>
      </c>
      <c r="L818" s="44" t="str">
        <f>IFERROR(IF(MARÍTIMOS[[#This Row],[Conductor]]="","",MARÍTIMOS[[#This Row],[Conductor]]),"")</f>
        <v/>
      </c>
      <c r="M818" s="2" t="str">
        <f>IFERROR(IF(MARÍTIMOS[[#This Row],[Licencia]]="","",MARÍTIMOS[[#This Row],[Licencia]]),"")</f>
        <v/>
      </c>
      <c r="N818" s="2" t="str">
        <f>IFERROR(IF(MARÍTIMOS[[#This Row],[Número de Contacto]]="","",MARÍTIMOS[[#This Row],[Número de Contacto]]),"")</f>
        <v/>
      </c>
      <c r="O818" s="10" t="str">
        <f>IFERROR(IF(MARÍTIMOS[[#This Row],[Booking|AWB|CRT]]="","",MARÍTIMOS[[#This Row],[Booking|AWB|CRT]]),"")</f>
        <v/>
      </c>
      <c r="P818" s="2" t="str">
        <f>IFERROR(IF(MARÍTIMOS[[#This Row],[Contenedor]]="","",MARÍTIMOS[[#This Row],[Contenedor]]),"")</f>
        <v/>
      </c>
      <c r="Q818" s="2" t="str">
        <f>IFERROR(IF(MARÍTIMOS[[#This Row],[Puerto de Retiro]]="","",MARÍTIMOS[[#This Row],[Puerto de Retiro]]),"")</f>
        <v/>
      </c>
      <c r="R818" s="2" t="str">
        <f>IFERROR(IF(MARÍTIMOS[[#This Row],[Almacén de Retiro]]="","",MARÍTIMOS[[#This Row],[Almacén de Retiro]]),"")</f>
        <v/>
      </c>
      <c r="S818" s="11" t="str">
        <f>IFERROR(IF(MARÍTIMOS[[#This Row],[Etapa Retiro - Cita]]="","",MARÍTIMOS[[#This Row],[Etapa Retiro - Cita]]),"")</f>
        <v/>
      </c>
      <c r="T818" s="11" t="str">
        <f>IFERROR(IF(MARÍTIMOS[[#This Row],[Etapa Retiro - Llegada]]="","",MARÍTIMOS[[#This Row],[Etapa Retiro - Llegada]]),"")</f>
        <v/>
      </c>
      <c r="U818" s="11" t="str">
        <f>IFERROR(IF(MARÍTIMOS[[#This Row],[Etapa Retiro - Ingreso]]="","",MARÍTIMOS[[#This Row],[Etapa Retiro - Ingreso]]),"")</f>
        <v/>
      </c>
      <c r="V818" s="11" t="str">
        <f>IFERROR(IF(MARÍTIMOS[[#This Row],[Etapa Retiro - Atención]]="","",MARÍTIMOS[[#This Row],[Etapa Retiro - Atención]]),"")</f>
        <v/>
      </c>
      <c r="W818" s="11" t="str">
        <f>IFERROR(IF(MARÍTIMOS[[#This Row],[Etapa Retiro - Atención]]="","",MARÍTIMOS[[#This Row],[Etapa Retiro - Atención]]),"")</f>
        <v/>
      </c>
      <c r="X818" s="11" t="str">
        <f>IFERROR(IF(MARÍTIMOS[[#This Row],[Etapa Retiro - Inicio de Ruta]]="","",MARÍTIMOS[[#This Row],[Etapa Retiro - Inicio de Ruta]]),"")</f>
        <v/>
      </c>
      <c r="Y818" s="11" t="str">
        <f>IFERROR(IF(MARÍTIMOS[[#This Row],[Hora de Posicionamiento]]="","",MARÍTIMOS[[#This Row],[Fecha de Carga]]+MARÍTIMOS[[#This Row],[Hora de Posicionamiento]]),"")</f>
        <v/>
      </c>
      <c r="Z818" s="11" t="str">
        <f>IFERROR(IF(MARÍTIMOS[[#This Row],[Etapa Despacho - Llegada]]="","",MARÍTIMOS[[#This Row],[Etapa Despacho - Llegada]]),"")</f>
        <v/>
      </c>
      <c r="AA818" s="11" t="str">
        <f>IFERROR(IF(MARÍTIMOS[[#This Row],[Etapa Despacho - Registro]]="","",MARÍTIMOS[[#This Row],[Etapa Despacho - Registro]]),"")</f>
        <v/>
      </c>
      <c r="AB818" s="11" t="str">
        <f>IFERROR(IF(MARÍTIMOS[[#This Row],[Inspección Externa]]="","",MARÍTIMOS[[#This Row],[Inspección Externa]]),"")</f>
        <v/>
      </c>
      <c r="AC818" s="11" t="str">
        <f>IFERROR(IF(MARÍTIMOS[[#This Row],[Etapa Despacho - Inicio de Carga]]="","",MARÍTIMOS[[#This Row],[Etapa Despacho - Inicio de Carga]]),"")</f>
        <v/>
      </c>
      <c r="AD818" s="11" t="str">
        <f>IFERROR(IF(MARÍTIMOS[[#This Row],[Etapa Despacho - Mitad de Carga]]="","",MARÍTIMOS[[#This Row],[Etapa Despacho - Mitad de Carga]]),"")</f>
        <v/>
      </c>
      <c r="AE818" s="11" t="str">
        <f>IFERROR(IF(MARÍTIMOS[[#This Row],[Etapa Despacho - Fin de Carga]]="","",MARÍTIMOS[[#This Row],[Etapa Despacho - Fin de Carga]]),"")</f>
        <v/>
      </c>
      <c r="AF818" s="2" t="str">
        <f>IFERROR(IF(MARÍTIMOS[[#This Row],[Puerto de Embarque]]="","",MARÍTIMOS[[#This Row],[Puerto de Embarque]]),"")</f>
        <v/>
      </c>
      <c r="AG818" s="2" t="str">
        <f>IFERROR(IF(MARÍTIMOS[[#This Row],[Almacén de Ingreso]]="","",MARÍTIMOS[[#This Row],[Almacén de Ingreso]]),"")</f>
        <v/>
      </c>
      <c r="AH818" s="11" t="str">
        <f>IFERROR(IF(MARÍTIMOS[[#This Row],[Etapa Ingreso - Cita]]="","",MARÍTIMOS[[#This Row],[Etapa Ingreso - Cita]]),"")</f>
        <v/>
      </c>
      <c r="AI818" s="11" t="str">
        <f>IFERROR(IF(MARÍTIMOS[[#This Row],[Etapa Ingreso - Llegada]]="","",MARÍTIMOS[[#This Row],[Etapa Ingreso - Llegada]]),"")</f>
        <v/>
      </c>
      <c r="AJ818" s="11" t="str">
        <f>IFERROR(IF(MARÍTIMOS[[#This Row],[Etapa Ingreso - Ingeso]]="","",MARÍTIMOS[[#This Row],[Etapa Ingreso - Ingeso]]),"")</f>
        <v/>
      </c>
      <c r="AK818" s="11" t="str">
        <f>IFERROR(IF(MARÍTIMOS[[#This Row],[Etapa Ingreso - Atención]]="","",MARÍTIMOS[[#This Row],[Etapa Ingreso - Atención]]),"")</f>
        <v/>
      </c>
      <c r="AL818" s="11" t="str">
        <f>IFERROR(IF(MARÍTIMOS[[#This Row],[Etapa Ingreso - Salida]]="","",MARÍTIMOS[[#This Row],[Etapa Ingreso - Salida]]),"")</f>
        <v/>
      </c>
      <c r="AM818" s="2" t="str">
        <f>IFERROR(IF(MARÍTIMOS[[#This Row],[FCL]]="","",MARÍTIMOS[[#This Row],[FCL]]),"")</f>
        <v/>
      </c>
      <c r="AN8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8" s="4" t="str" cm="1">
        <f t="array" ref="AO8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8" s="5" t="str">
        <f>IFERROR(OLDBD[[#This Row],[Llegada a packing]]-OLDBD[[#This Row],[Inicio de Ruta]],"")</f>
        <v/>
      </c>
      <c r="AQ818" s="6" t="str">
        <f>IFERROR(OLDBD[[#This Row],[Inicio de Ruta]]-OLDBD[[#This Row],[Salida de almacén de retiro]],"")</f>
        <v/>
      </c>
      <c r="AR8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8" s="8" t="str" cm="1">
        <f t="array" ref="AS8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8" s="9" t="str">
        <f>IFERROR(OLDBD[[#This Row],[Ingreso Packing]]-OLDBD[[#This Row],[Registro en Packing]],"")</f>
        <v/>
      </c>
      <c r="AV818" s="9" t="str">
        <f>IFERROR(OLDBD[[#This Row],[Ingreso Packing]]-OLDBD[[#This Row],[Llegada a packing]],"")</f>
        <v/>
      </c>
      <c r="AW8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8" s="5" t="str">
        <f>IFERROR(OLDBD[[#This Row],[Llegada Almacén de Ingreso]]-OLDBD[[#This Row],[Salida Packing]],"")</f>
        <v/>
      </c>
      <c r="AY818" s="4" t="str" cm="1">
        <f t="array" ref="AY8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8" s="43" t="s">
        <v>173</v>
      </c>
      <c r="BB818" s="47" t="str">
        <f>IFERROR(IF(MARÍTIMOS[[#This Row],[Estatus]]="","",MARÍTIMOS[[#This Row],[Estatus]]),"")</f>
        <v/>
      </c>
      <c r="BC818" s="43"/>
      <c r="BD818" s="46" t="str">
        <f>IFERROR(OLDBD[[#This Row],[Salida de almacén de retiro]]-OLDBD[[#This Row],[Ingreso Almacén de retiro]],"")</f>
        <v/>
      </c>
      <c r="BE818" s="46" t="str">
        <f>IFERROR(OLDBD[[#This Row],[Fin de Carga]]-OLDBD[[#This Row],[Inicio de Carga]],"")</f>
        <v/>
      </c>
    </row>
    <row r="819" spans="1:57" customFormat="1" hidden="1">
      <c r="A819" s="1"/>
      <c r="B819" s="1" t="str">
        <f>IFERROR(IF(MARÍTIMOS[[#This Row],[PP]]="","",MARÍTIMOS[[#This Row],[PP]]),"")</f>
        <v/>
      </c>
      <c r="C819" s="1" t="str">
        <f>IFERROR(IF(MARÍTIMOS[[#This Row],[Sede]]="","",MARÍTIMOS[[#This Row],[Sede]]),"")</f>
        <v/>
      </c>
      <c r="D819" s="1" t="str">
        <f>IFERROR(IF(MARÍTIMOS[[#This Row],[Instruction]]="","",MARÍTIMOS[[#This Row],[Instruction]]),"")</f>
        <v/>
      </c>
      <c r="E819" s="1"/>
      <c r="F819" s="2" t="str">
        <f>IFERROR(IF(MARÍTIMOS[[#This Row],[Transportista]]="","",MARÍTIMOS[[#This Row],[Transportista]]),"")</f>
        <v/>
      </c>
      <c r="G819" s="2" t="str">
        <f>IFERROR(IF(MARÍTIMOS[[#This Row],[Tercero]]="","",MARÍTIMOS[[#This Row],[Tercero]]),"")</f>
        <v/>
      </c>
      <c r="H819" s="2" t="str">
        <f>IFERROR(IF(MARÍTIMOS[[#This Row],[Razón Social]]="","",MARÍTIMOS[[#This Row],[Razón Social]]),"")</f>
        <v/>
      </c>
      <c r="I819" s="2" t="str">
        <f>IFERROR(IF(MARÍTIMOS[[#This Row],[RUC]]="","",MARÍTIMOS[[#This Row],[RUC]]),"")</f>
        <v/>
      </c>
      <c r="J819" s="2" t="str">
        <f>IFERROR(IF(MARÍTIMOS[[#This Row],[Placa Tracto]]="","",MARÍTIMOS[[#This Row],[Placa Tracto]]),"")</f>
        <v/>
      </c>
      <c r="K819" s="2" t="str">
        <f>IFERROR(IF(MARÍTIMOS[[#This Row],[Placa Carreta]]="","",MARÍTIMOS[[#This Row],[Placa Carreta]]),"")</f>
        <v/>
      </c>
      <c r="L819" s="44" t="str">
        <f>IFERROR(IF(MARÍTIMOS[[#This Row],[Conductor]]="","",MARÍTIMOS[[#This Row],[Conductor]]),"")</f>
        <v/>
      </c>
      <c r="M819" s="2" t="str">
        <f>IFERROR(IF(MARÍTIMOS[[#This Row],[Licencia]]="","",MARÍTIMOS[[#This Row],[Licencia]]),"")</f>
        <v/>
      </c>
      <c r="N819" s="2" t="str">
        <f>IFERROR(IF(MARÍTIMOS[[#This Row],[Número de Contacto]]="","",MARÍTIMOS[[#This Row],[Número de Contacto]]),"")</f>
        <v/>
      </c>
      <c r="O819" s="10" t="str">
        <f>IFERROR(IF(MARÍTIMOS[[#This Row],[Booking|AWB|CRT]]="","",MARÍTIMOS[[#This Row],[Booking|AWB|CRT]]),"")</f>
        <v/>
      </c>
      <c r="P819" s="2" t="str">
        <f>IFERROR(IF(MARÍTIMOS[[#This Row],[Contenedor]]="","",MARÍTIMOS[[#This Row],[Contenedor]]),"")</f>
        <v/>
      </c>
      <c r="Q819" s="2" t="str">
        <f>IFERROR(IF(MARÍTIMOS[[#This Row],[Puerto de Retiro]]="","",MARÍTIMOS[[#This Row],[Puerto de Retiro]]),"")</f>
        <v/>
      </c>
      <c r="R819" s="2" t="str">
        <f>IFERROR(IF(MARÍTIMOS[[#This Row],[Almacén de Retiro]]="","",MARÍTIMOS[[#This Row],[Almacén de Retiro]]),"")</f>
        <v/>
      </c>
      <c r="S819" s="11" t="str">
        <f>IFERROR(IF(MARÍTIMOS[[#This Row],[Etapa Retiro - Cita]]="","",MARÍTIMOS[[#This Row],[Etapa Retiro - Cita]]),"")</f>
        <v/>
      </c>
      <c r="T819" s="11" t="str">
        <f>IFERROR(IF(MARÍTIMOS[[#This Row],[Etapa Retiro - Llegada]]="","",MARÍTIMOS[[#This Row],[Etapa Retiro - Llegada]]),"")</f>
        <v/>
      </c>
      <c r="U819" s="11" t="str">
        <f>IFERROR(IF(MARÍTIMOS[[#This Row],[Etapa Retiro - Ingreso]]="","",MARÍTIMOS[[#This Row],[Etapa Retiro - Ingreso]]),"")</f>
        <v/>
      </c>
      <c r="V819" s="11" t="str">
        <f>IFERROR(IF(MARÍTIMOS[[#This Row],[Etapa Retiro - Atención]]="","",MARÍTIMOS[[#This Row],[Etapa Retiro - Atención]]),"")</f>
        <v/>
      </c>
      <c r="W819" s="11" t="str">
        <f>IFERROR(IF(MARÍTIMOS[[#This Row],[Etapa Retiro - Atención]]="","",MARÍTIMOS[[#This Row],[Etapa Retiro - Atención]]),"")</f>
        <v/>
      </c>
      <c r="X819" s="11" t="str">
        <f>IFERROR(IF(MARÍTIMOS[[#This Row],[Etapa Retiro - Inicio de Ruta]]="","",MARÍTIMOS[[#This Row],[Etapa Retiro - Inicio de Ruta]]),"")</f>
        <v/>
      </c>
      <c r="Y819" s="11" t="str">
        <f>IFERROR(IF(MARÍTIMOS[[#This Row],[Hora de Posicionamiento]]="","",MARÍTIMOS[[#This Row],[Fecha de Carga]]+MARÍTIMOS[[#This Row],[Hora de Posicionamiento]]),"")</f>
        <v/>
      </c>
      <c r="Z819" s="11" t="str">
        <f>IFERROR(IF(MARÍTIMOS[[#This Row],[Etapa Despacho - Llegada]]="","",MARÍTIMOS[[#This Row],[Etapa Despacho - Llegada]]),"")</f>
        <v/>
      </c>
      <c r="AA819" s="11" t="str">
        <f>IFERROR(IF(MARÍTIMOS[[#This Row],[Etapa Despacho - Registro]]="","",MARÍTIMOS[[#This Row],[Etapa Despacho - Registro]]),"")</f>
        <v/>
      </c>
      <c r="AB819" s="11" t="str">
        <f>IFERROR(IF(MARÍTIMOS[[#This Row],[Inspección Externa]]="","",MARÍTIMOS[[#This Row],[Inspección Externa]]),"")</f>
        <v/>
      </c>
      <c r="AC819" s="11" t="str">
        <f>IFERROR(IF(MARÍTIMOS[[#This Row],[Etapa Despacho - Inicio de Carga]]="","",MARÍTIMOS[[#This Row],[Etapa Despacho - Inicio de Carga]]),"")</f>
        <v/>
      </c>
      <c r="AD819" s="11" t="str">
        <f>IFERROR(IF(MARÍTIMOS[[#This Row],[Etapa Despacho - Mitad de Carga]]="","",MARÍTIMOS[[#This Row],[Etapa Despacho - Mitad de Carga]]),"")</f>
        <v/>
      </c>
      <c r="AE819" s="11" t="str">
        <f>IFERROR(IF(MARÍTIMOS[[#This Row],[Etapa Despacho - Fin de Carga]]="","",MARÍTIMOS[[#This Row],[Etapa Despacho - Fin de Carga]]),"")</f>
        <v/>
      </c>
      <c r="AF819" s="2" t="str">
        <f>IFERROR(IF(MARÍTIMOS[[#This Row],[Puerto de Embarque]]="","",MARÍTIMOS[[#This Row],[Puerto de Embarque]]),"")</f>
        <v/>
      </c>
      <c r="AG819" s="2" t="str">
        <f>IFERROR(IF(MARÍTIMOS[[#This Row],[Almacén de Ingreso]]="","",MARÍTIMOS[[#This Row],[Almacén de Ingreso]]),"")</f>
        <v/>
      </c>
      <c r="AH819" s="11" t="str">
        <f>IFERROR(IF(MARÍTIMOS[[#This Row],[Etapa Ingreso - Cita]]="","",MARÍTIMOS[[#This Row],[Etapa Ingreso - Cita]]),"")</f>
        <v/>
      </c>
      <c r="AI819" s="11" t="str">
        <f>IFERROR(IF(MARÍTIMOS[[#This Row],[Etapa Ingreso - Llegada]]="","",MARÍTIMOS[[#This Row],[Etapa Ingreso - Llegada]]),"")</f>
        <v/>
      </c>
      <c r="AJ819" s="11" t="str">
        <f>IFERROR(IF(MARÍTIMOS[[#This Row],[Etapa Ingreso - Ingeso]]="","",MARÍTIMOS[[#This Row],[Etapa Ingreso - Ingeso]]),"")</f>
        <v/>
      </c>
      <c r="AK819" s="11" t="str">
        <f>IFERROR(IF(MARÍTIMOS[[#This Row],[Etapa Ingreso - Atención]]="","",MARÍTIMOS[[#This Row],[Etapa Ingreso - Atención]]),"")</f>
        <v/>
      </c>
      <c r="AL819" s="11" t="str">
        <f>IFERROR(IF(MARÍTIMOS[[#This Row],[Etapa Ingreso - Salida]]="","",MARÍTIMOS[[#This Row],[Etapa Ingreso - Salida]]),"")</f>
        <v/>
      </c>
      <c r="AM819" s="2" t="str">
        <f>IFERROR(IF(MARÍTIMOS[[#This Row],[FCL]]="","",MARÍTIMOS[[#This Row],[FCL]]),"")</f>
        <v/>
      </c>
      <c r="AN8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19" s="4" t="str" cm="1">
        <f t="array" ref="AO8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19" s="5" t="str">
        <f>IFERROR(OLDBD[[#This Row],[Llegada a packing]]-OLDBD[[#This Row],[Inicio de Ruta]],"")</f>
        <v/>
      </c>
      <c r="AQ819" s="6" t="str">
        <f>IFERROR(OLDBD[[#This Row],[Inicio de Ruta]]-OLDBD[[#This Row],[Salida de almacén de retiro]],"")</f>
        <v/>
      </c>
      <c r="AR8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19" s="8" t="str" cm="1">
        <f t="array" ref="AS8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19" s="9" t="str">
        <f>IFERROR(OLDBD[[#This Row],[Ingreso Packing]]-OLDBD[[#This Row],[Registro en Packing]],"")</f>
        <v/>
      </c>
      <c r="AV819" s="9" t="str">
        <f>IFERROR(OLDBD[[#This Row],[Ingreso Packing]]-OLDBD[[#This Row],[Llegada a packing]],"")</f>
        <v/>
      </c>
      <c r="AW8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19" s="5" t="str">
        <f>IFERROR(OLDBD[[#This Row],[Llegada Almacén de Ingreso]]-OLDBD[[#This Row],[Salida Packing]],"")</f>
        <v/>
      </c>
      <c r="AY819" s="4" t="str" cm="1">
        <f t="array" ref="AY8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19" s="43" t="s">
        <v>173</v>
      </c>
      <c r="BB819" s="47" t="str">
        <f>IFERROR(IF(MARÍTIMOS[[#This Row],[Estatus]]="","",MARÍTIMOS[[#This Row],[Estatus]]),"")</f>
        <v/>
      </c>
      <c r="BC819" s="43"/>
      <c r="BD819" s="46" t="str">
        <f>IFERROR(OLDBD[[#This Row],[Salida de almacén de retiro]]-OLDBD[[#This Row],[Ingreso Almacén de retiro]],"")</f>
        <v/>
      </c>
      <c r="BE819" s="46" t="str">
        <f>IFERROR(OLDBD[[#This Row],[Fin de Carga]]-OLDBD[[#This Row],[Inicio de Carga]],"")</f>
        <v/>
      </c>
    </row>
    <row r="820" spans="1:57" customFormat="1" hidden="1">
      <c r="A820" s="1"/>
      <c r="B820" s="1" t="str">
        <f>IFERROR(IF(MARÍTIMOS[[#This Row],[PP]]="","",MARÍTIMOS[[#This Row],[PP]]),"")</f>
        <v/>
      </c>
      <c r="C820" s="1" t="str">
        <f>IFERROR(IF(MARÍTIMOS[[#This Row],[Sede]]="","",MARÍTIMOS[[#This Row],[Sede]]),"")</f>
        <v/>
      </c>
      <c r="D820" s="1" t="str">
        <f>IFERROR(IF(MARÍTIMOS[[#This Row],[Instruction]]="","",MARÍTIMOS[[#This Row],[Instruction]]),"")</f>
        <v/>
      </c>
      <c r="E820" s="1"/>
      <c r="F820" s="2" t="str">
        <f>IFERROR(IF(MARÍTIMOS[[#This Row],[Transportista]]="","",MARÍTIMOS[[#This Row],[Transportista]]),"")</f>
        <v/>
      </c>
      <c r="G820" s="2" t="str">
        <f>IFERROR(IF(MARÍTIMOS[[#This Row],[Tercero]]="","",MARÍTIMOS[[#This Row],[Tercero]]),"")</f>
        <v/>
      </c>
      <c r="H820" s="2" t="str">
        <f>IFERROR(IF(MARÍTIMOS[[#This Row],[Razón Social]]="","",MARÍTIMOS[[#This Row],[Razón Social]]),"")</f>
        <v/>
      </c>
      <c r="I820" s="2" t="str">
        <f>IFERROR(IF(MARÍTIMOS[[#This Row],[RUC]]="","",MARÍTIMOS[[#This Row],[RUC]]),"")</f>
        <v/>
      </c>
      <c r="J820" s="2" t="str">
        <f>IFERROR(IF(MARÍTIMOS[[#This Row],[Placa Tracto]]="","",MARÍTIMOS[[#This Row],[Placa Tracto]]),"")</f>
        <v/>
      </c>
      <c r="K820" s="2" t="str">
        <f>IFERROR(IF(MARÍTIMOS[[#This Row],[Placa Carreta]]="","",MARÍTIMOS[[#This Row],[Placa Carreta]]),"")</f>
        <v/>
      </c>
      <c r="L820" s="44" t="str">
        <f>IFERROR(IF(MARÍTIMOS[[#This Row],[Conductor]]="","",MARÍTIMOS[[#This Row],[Conductor]]),"")</f>
        <v/>
      </c>
      <c r="M820" s="2" t="str">
        <f>IFERROR(IF(MARÍTIMOS[[#This Row],[Licencia]]="","",MARÍTIMOS[[#This Row],[Licencia]]),"")</f>
        <v/>
      </c>
      <c r="N820" s="2" t="str">
        <f>IFERROR(IF(MARÍTIMOS[[#This Row],[Número de Contacto]]="","",MARÍTIMOS[[#This Row],[Número de Contacto]]),"")</f>
        <v/>
      </c>
      <c r="O820" s="10" t="str">
        <f>IFERROR(IF(MARÍTIMOS[[#This Row],[Booking|AWB|CRT]]="","",MARÍTIMOS[[#This Row],[Booking|AWB|CRT]]),"")</f>
        <v/>
      </c>
      <c r="P820" s="2" t="str">
        <f>IFERROR(IF(MARÍTIMOS[[#This Row],[Contenedor]]="","",MARÍTIMOS[[#This Row],[Contenedor]]),"")</f>
        <v/>
      </c>
      <c r="Q820" s="2" t="str">
        <f>IFERROR(IF(MARÍTIMOS[[#This Row],[Puerto de Retiro]]="","",MARÍTIMOS[[#This Row],[Puerto de Retiro]]),"")</f>
        <v/>
      </c>
      <c r="R820" s="2" t="str">
        <f>IFERROR(IF(MARÍTIMOS[[#This Row],[Almacén de Retiro]]="","",MARÍTIMOS[[#This Row],[Almacén de Retiro]]),"")</f>
        <v/>
      </c>
      <c r="S820" s="11" t="str">
        <f>IFERROR(IF(MARÍTIMOS[[#This Row],[Etapa Retiro - Cita]]="","",MARÍTIMOS[[#This Row],[Etapa Retiro - Cita]]),"")</f>
        <v/>
      </c>
      <c r="T820" s="11" t="str">
        <f>IFERROR(IF(MARÍTIMOS[[#This Row],[Etapa Retiro - Llegada]]="","",MARÍTIMOS[[#This Row],[Etapa Retiro - Llegada]]),"")</f>
        <v/>
      </c>
      <c r="U820" s="11" t="str">
        <f>IFERROR(IF(MARÍTIMOS[[#This Row],[Etapa Retiro - Ingreso]]="","",MARÍTIMOS[[#This Row],[Etapa Retiro - Ingreso]]),"")</f>
        <v/>
      </c>
      <c r="V820" s="11" t="str">
        <f>IFERROR(IF(MARÍTIMOS[[#This Row],[Etapa Retiro - Atención]]="","",MARÍTIMOS[[#This Row],[Etapa Retiro - Atención]]),"")</f>
        <v/>
      </c>
      <c r="W820" s="11" t="str">
        <f>IFERROR(IF(MARÍTIMOS[[#This Row],[Etapa Retiro - Atención]]="","",MARÍTIMOS[[#This Row],[Etapa Retiro - Atención]]),"")</f>
        <v/>
      </c>
      <c r="X820" s="11" t="str">
        <f>IFERROR(IF(MARÍTIMOS[[#This Row],[Etapa Retiro - Inicio de Ruta]]="","",MARÍTIMOS[[#This Row],[Etapa Retiro - Inicio de Ruta]]),"")</f>
        <v/>
      </c>
      <c r="Y820" s="11" t="str">
        <f>IFERROR(IF(MARÍTIMOS[[#This Row],[Hora de Posicionamiento]]="","",MARÍTIMOS[[#This Row],[Fecha de Carga]]+MARÍTIMOS[[#This Row],[Hora de Posicionamiento]]),"")</f>
        <v/>
      </c>
      <c r="Z820" s="11" t="str">
        <f>IFERROR(IF(MARÍTIMOS[[#This Row],[Etapa Despacho - Llegada]]="","",MARÍTIMOS[[#This Row],[Etapa Despacho - Llegada]]),"")</f>
        <v/>
      </c>
      <c r="AA820" s="11" t="str">
        <f>IFERROR(IF(MARÍTIMOS[[#This Row],[Etapa Despacho - Registro]]="","",MARÍTIMOS[[#This Row],[Etapa Despacho - Registro]]),"")</f>
        <v/>
      </c>
      <c r="AB820" s="11" t="str">
        <f>IFERROR(IF(MARÍTIMOS[[#This Row],[Inspección Externa]]="","",MARÍTIMOS[[#This Row],[Inspección Externa]]),"")</f>
        <v/>
      </c>
      <c r="AC820" s="11" t="str">
        <f>IFERROR(IF(MARÍTIMOS[[#This Row],[Etapa Despacho - Inicio de Carga]]="","",MARÍTIMOS[[#This Row],[Etapa Despacho - Inicio de Carga]]),"")</f>
        <v/>
      </c>
      <c r="AD820" s="11" t="str">
        <f>IFERROR(IF(MARÍTIMOS[[#This Row],[Etapa Despacho - Mitad de Carga]]="","",MARÍTIMOS[[#This Row],[Etapa Despacho - Mitad de Carga]]),"")</f>
        <v/>
      </c>
      <c r="AE820" s="11" t="str">
        <f>IFERROR(IF(MARÍTIMOS[[#This Row],[Etapa Despacho - Fin de Carga]]="","",MARÍTIMOS[[#This Row],[Etapa Despacho - Fin de Carga]]),"")</f>
        <v/>
      </c>
      <c r="AF820" s="2" t="str">
        <f>IFERROR(IF(MARÍTIMOS[[#This Row],[Puerto de Embarque]]="","",MARÍTIMOS[[#This Row],[Puerto de Embarque]]),"")</f>
        <v/>
      </c>
      <c r="AG820" s="2" t="str">
        <f>IFERROR(IF(MARÍTIMOS[[#This Row],[Almacén de Ingreso]]="","",MARÍTIMOS[[#This Row],[Almacén de Ingreso]]),"")</f>
        <v/>
      </c>
      <c r="AH820" s="11" t="str">
        <f>IFERROR(IF(MARÍTIMOS[[#This Row],[Etapa Ingreso - Cita]]="","",MARÍTIMOS[[#This Row],[Etapa Ingreso - Cita]]),"")</f>
        <v/>
      </c>
      <c r="AI820" s="11" t="str">
        <f>IFERROR(IF(MARÍTIMOS[[#This Row],[Etapa Ingreso - Llegada]]="","",MARÍTIMOS[[#This Row],[Etapa Ingreso - Llegada]]),"")</f>
        <v/>
      </c>
      <c r="AJ820" s="11" t="str">
        <f>IFERROR(IF(MARÍTIMOS[[#This Row],[Etapa Ingreso - Ingeso]]="","",MARÍTIMOS[[#This Row],[Etapa Ingreso - Ingeso]]),"")</f>
        <v/>
      </c>
      <c r="AK820" s="11" t="str">
        <f>IFERROR(IF(MARÍTIMOS[[#This Row],[Etapa Ingreso - Atención]]="","",MARÍTIMOS[[#This Row],[Etapa Ingreso - Atención]]),"")</f>
        <v/>
      </c>
      <c r="AL820" s="11" t="str">
        <f>IFERROR(IF(MARÍTIMOS[[#This Row],[Etapa Ingreso - Salida]]="","",MARÍTIMOS[[#This Row],[Etapa Ingreso - Salida]]),"")</f>
        <v/>
      </c>
      <c r="AM820" s="2" t="str">
        <f>IFERROR(IF(MARÍTIMOS[[#This Row],[FCL]]="","",MARÍTIMOS[[#This Row],[FCL]]),"")</f>
        <v/>
      </c>
      <c r="AN8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0" s="4" t="str" cm="1">
        <f t="array" ref="AO8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0" s="5" t="str">
        <f>IFERROR(OLDBD[[#This Row],[Llegada a packing]]-OLDBD[[#This Row],[Inicio de Ruta]],"")</f>
        <v/>
      </c>
      <c r="AQ820" s="6" t="str">
        <f>IFERROR(OLDBD[[#This Row],[Inicio de Ruta]]-OLDBD[[#This Row],[Salida de almacén de retiro]],"")</f>
        <v/>
      </c>
      <c r="AR8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0" s="8" t="str" cm="1">
        <f t="array" ref="AS8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0" s="9" t="str">
        <f>IFERROR(OLDBD[[#This Row],[Ingreso Packing]]-OLDBD[[#This Row],[Registro en Packing]],"")</f>
        <v/>
      </c>
      <c r="AV820" s="9" t="str">
        <f>IFERROR(OLDBD[[#This Row],[Ingreso Packing]]-OLDBD[[#This Row],[Llegada a packing]],"")</f>
        <v/>
      </c>
      <c r="AW8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0" s="5" t="str">
        <f>IFERROR(OLDBD[[#This Row],[Llegada Almacén de Ingreso]]-OLDBD[[#This Row],[Salida Packing]],"")</f>
        <v/>
      </c>
      <c r="AY820" s="4" t="str" cm="1">
        <f t="array" ref="AY8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0" s="43" t="s">
        <v>173</v>
      </c>
      <c r="BB820" s="47" t="str">
        <f>IFERROR(IF(MARÍTIMOS[[#This Row],[Estatus]]="","",MARÍTIMOS[[#This Row],[Estatus]]),"")</f>
        <v/>
      </c>
      <c r="BC820" s="43"/>
      <c r="BD820" s="46" t="str">
        <f>IFERROR(OLDBD[[#This Row],[Salida de almacén de retiro]]-OLDBD[[#This Row],[Ingreso Almacén de retiro]],"")</f>
        <v/>
      </c>
      <c r="BE820" s="46" t="str">
        <f>IFERROR(OLDBD[[#This Row],[Fin de Carga]]-OLDBD[[#This Row],[Inicio de Carga]],"")</f>
        <v/>
      </c>
    </row>
    <row r="821" spans="1:57" customFormat="1" hidden="1">
      <c r="A821" s="1"/>
      <c r="B821" s="1" t="str">
        <f>IFERROR(IF(MARÍTIMOS[[#This Row],[PP]]="","",MARÍTIMOS[[#This Row],[PP]]),"")</f>
        <v/>
      </c>
      <c r="C821" s="1" t="str">
        <f>IFERROR(IF(MARÍTIMOS[[#This Row],[Sede]]="","",MARÍTIMOS[[#This Row],[Sede]]),"")</f>
        <v/>
      </c>
      <c r="D821" s="1" t="str">
        <f>IFERROR(IF(MARÍTIMOS[[#This Row],[Instruction]]="","",MARÍTIMOS[[#This Row],[Instruction]]),"")</f>
        <v/>
      </c>
      <c r="E821" s="1"/>
      <c r="F821" s="2" t="str">
        <f>IFERROR(IF(MARÍTIMOS[[#This Row],[Transportista]]="","",MARÍTIMOS[[#This Row],[Transportista]]),"")</f>
        <v/>
      </c>
      <c r="G821" s="2" t="str">
        <f>IFERROR(IF(MARÍTIMOS[[#This Row],[Tercero]]="","",MARÍTIMOS[[#This Row],[Tercero]]),"")</f>
        <v/>
      </c>
      <c r="H821" s="2" t="str">
        <f>IFERROR(IF(MARÍTIMOS[[#This Row],[Razón Social]]="","",MARÍTIMOS[[#This Row],[Razón Social]]),"")</f>
        <v/>
      </c>
      <c r="I821" s="2" t="str">
        <f>IFERROR(IF(MARÍTIMOS[[#This Row],[RUC]]="","",MARÍTIMOS[[#This Row],[RUC]]),"")</f>
        <v/>
      </c>
      <c r="J821" s="2" t="str">
        <f>IFERROR(IF(MARÍTIMOS[[#This Row],[Placa Tracto]]="","",MARÍTIMOS[[#This Row],[Placa Tracto]]),"")</f>
        <v/>
      </c>
      <c r="K821" s="2" t="str">
        <f>IFERROR(IF(MARÍTIMOS[[#This Row],[Placa Carreta]]="","",MARÍTIMOS[[#This Row],[Placa Carreta]]),"")</f>
        <v/>
      </c>
      <c r="L821" s="44" t="str">
        <f>IFERROR(IF(MARÍTIMOS[[#This Row],[Conductor]]="","",MARÍTIMOS[[#This Row],[Conductor]]),"")</f>
        <v/>
      </c>
      <c r="M821" s="2" t="str">
        <f>IFERROR(IF(MARÍTIMOS[[#This Row],[Licencia]]="","",MARÍTIMOS[[#This Row],[Licencia]]),"")</f>
        <v/>
      </c>
      <c r="N821" s="2" t="str">
        <f>IFERROR(IF(MARÍTIMOS[[#This Row],[Número de Contacto]]="","",MARÍTIMOS[[#This Row],[Número de Contacto]]),"")</f>
        <v/>
      </c>
      <c r="O821" s="10" t="str">
        <f>IFERROR(IF(MARÍTIMOS[[#This Row],[Booking|AWB|CRT]]="","",MARÍTIMOS[[#This Row],[Booking|AWB|CRT]]),"")</f>
        <v/>
      </c>
      <c r="P821" s="2" t="str">
        <f>IFERROR(IF(MARÍTIMOS[[#This Row],[Contenedor]]="","",MARÍTIMOS[[#This Row],[Contenedor]]),"")</f>
        <v/>
      </c>
      <c r="Q821" s="2" t="str">
        <f>IFERROR(IF(MARÍTIMOS[[#This Row],[Puerto de Retiro]]="","",MARÍTIMOS[[#This Row],[Puerto de Retiro]]),"")</f>
        <v/>
      </c>
      <c r="R821" s="2" t="str">
        <f>IFERROR(IF(MARÍTIMOS[[#This Row],[Almacén de Retiro]]="","",MARÍTIMOS[[#This Row],[Almacén de Retiro]]),"")</f>
        <v/>
      </c>
      <c r="S821" s="11" t="str">
        <f>IFERROR(IF(MARÍTIMOS[[#This Row],[Etapa Retiro - Cita]]="","",MARÍTIMOS[[#This Row],[Etapa Retiro - Cita]]),"")</f>
        <v/>
      </c>
      <c r="T821" s="11" t="str">
        <f>IFERROR(IF(MARÍTIMOS[[#This Row],[Etapa Retiro - Llegada]]="","",MARÍTIMOS[[#This Row],[Etapa Retiro - Llegada]]),"")</f>
        <v/>
      </c>
      <c r="U821" s="11" t="str">
        <f>IFERROR(IF(MARÍTIMOS[[#This Row],[Etapa Retiro - Ingreso]]="","",MARÍTIMOS[[#This Row],[Etapa Retiro - Ingreso]]),"")</f>
        <v/>
      </c>
      <c r="V821" s="11" t="str">
        <f>IFERROR(IF(MARÍTIMOS[[#This Row],[Etapa Retiro - Atención]]="","",MARÍTIMOS[[#This Row],[Etapa Retiro - Atención]]),"")</f>
        <v/>
      </c>
      <c r="W821" s="11" t="str">
        <f>IFERROR(IF(MARÍTIMOS[[#This Row],[Etapa Retiro - Atención]]="","",MARÍTIMOS[[#This Row],[Etapa Retiro - Atención]]),"")</f>
        <v/>
      </c>
      <c r="X821" s="11" t="str">
        <f>IFERROR(IF(MARÍTIMOS[[#This Row],[Etapa Retiro - Inicio de Ruta]]="","",MARÍTIMOS[[#This Row],[Etapa Retiro - Inicio de Ruta]]),"")</f>
        <v/>
      </c>
      <c r="Y821" s="11" t="str">
        <f>IFERROR(IF(MARÍTIMOS[[#This Row],[Hora de Posicionamiento]]="","",MARÍTIMOS[[#This Row],[Fecha de Carga]]+MARÍTIMOS[[#This Row],[Hora de Posicionamiento]]),"")</f>
        <v/>
      </c>
      <c r="Z821" s="11" t="str">
        <f>IFERROR(IF(MARÍTIMOS[[#This Row],[Etapa Despacho - Llegada]]="","",MARÍTIMOS[[#This Row],[Etapa Despacho - Llegada]]),"")</f>
        <v/>
      </c>
      <c r="AA821" s="11" t="str">
        <f>IFERROR(IF(MARÍTIMOS[[#This Row],[Etapa Despacho - Registro]]="","",MARÍTIMOS[[#This Row],[Etapa Despacho - Registro]]),"")</f>
        <v/>
      </c>
      <c r="AB821" s="11" t="str">
        <f>IFERROR(IF(MARÍTIMOS[[#This Row],[Inspección Externa]]="","",MARÍTIMOS[[#This Row],[Inspección Externa]]),"")</f>
        <v/>
      </c>
      <c r="AC821" s="11" t="str">
        <f>IFERROR(IF(MARÍTIMOS[[#This Row],[Etapa Despacho - Inicio de Carga]]="","",MARÍTIMOS[[#This Row],[Etapa Despacho - Inicio de Carga]]),"")</f>
        <v/>
      </c>
      <c r="AD821" s="11" t="str">
        <f>IFERROR(IF(MARÍTIMOS[[#This Row],[Etapa Despacho - Mitad de Carga]]="","",MARÍTIMOS[[#This Row],[Etapa Despacho - Mitad de Carga]]),"")</f>
        <v/>
      </c>
      <c r="AE821" s="11" t="str">
        <f>IFERROR(IF(MARÍTIMOS[[#This Row],[Etapa Despacho - Fin de Carga]]="","",MARÍTIMOS[[#This Row],[Etapa Despacho - Fin de Carga]]),"")</f>
        <v/>
      </c>
      <c r="AF821" s="2" t="str">
        <f>IFERROR(IF(MARÍTIMOS[[#This Row],[Puerto de Embarque]]="","",MARÍTIMOS[[#This Row],[Puerto de Embarque]]),"")</f>
        <v/>
      </c>
      <c r="AG821" s="2" t="str">
        <f>IFERROR(IF(MARÍTIMOS[[#This Row],[Almacén de Ingreso]]="","",MARÍTIMOS[[#This Row],[Almacén de Ingreso]]),"")</f>
        <v/>
      </c>
      <c r="AH821" s="11" t="str">
        <f>IFERROR(IF(MARÍTIMOS[[#This Row],[Etapa Ingreso - Cita]]="","",MARÍTIMOS[[#This Row],[Etapa Ingreso - Cita]]),"")</f>
        <v/>
      </c>
      <c r="AI821" s="11" t="str">
        <f>IFERROR(IF(MARÍTIMOS[[#This Row],[Etapa Ingreso - Llegada]]="","",MARÍTIMOS[[#This Row],[Etapa Ingreso - Llegada]]),"")</f>
        <v/>
      </c>
      <c r="AJ821" s="11" t="str">
        <f>IFERROR(IF(MARÍTIMOS[[#This Row],[Etapa Ingreso - Ingeso]]="","",MARÍTIMOS[[#This Row],[Etapa Ingreso - Ingeso]]),"")</f>
        <v/>
      </c>
      <c r="AK821" s="11" t="str">
        <f>IFERROR(IF(MARÍTIMOS[[#This Row],[Etapa Ingreso - Atención]]="","",MARÍTIMOS[[#This Row],[Etapa Ingreso - Atención]]),"")</f>
        <v/>
      </c>
      <c r="AL821" s="11" t="str">
        <f>IFERROR(IF(MARÍTIMOS[[#This Row],[Etapa Ingreso - Salida]]="","",MARÍTIMOS[[#This Row],[Etapa Ingreso - Salida]]),"")</f>
        <v/>
      </c>
      <c r="AM821" s="2" t="str">
        <f>IFERROR(IF(MARÍTIMOS[[#This Row],[FCL]]="","",MARÍTIMOS[[#This Row],[FCL]]),"")</f>
        <v/>
      </c>
      <c r="AN8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1" s="4" t="str" cm="1">
        <f t="array" ref="AO8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1" s="5" t="str">
        <f>IFERROR(OLDBD[[#This Row],[Llegada a packing]]-OLDBD[[#This Row],[Inicio de Ruta]],"")</f>
        <v/>
      </c>
      <c r="AQ821" s="6" t="str">
        <f>IFERROR(OLDBD[[#This Row],[Inicio de Ruta]]-OLDBD[[#This Row],[Salida de almacén de retiro]],"")</f>
        <v/>
      </c>
      <c r="AR8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1" s="8" t="str" cm="1">
        <f t="array" ref="AS8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1" s="9" t="str">
        <f>IFERROR(OLDBD[[#This Row],[Ingreso Packing]]-OLDBD[[#This Row],[Registro en Packing]],"")</f>
        <v/>
      </c>
      <c r="AV821" s="9" t="str">
        <f>IFERROR(OLDBD[[#This Row],[Ingreso Packing]]-OLDBD[[#This Row],[Llegada a packing]],"")</f>
        <v/>
      </c>
      <c r="AW8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1" s="5" t="str">
        <f>IFERROR(OLDBD[[#This Row],[Llegada Almacén de Ingreso]]-OLDBD[[#This Row],[Salida Packing]],"")</f>
        <v/>
      </c>
      <c r="AY821" s="4" t="str" cm="1">
        <f t="array" ref="AY8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1" s="43" t="s">
        <v>173</v>
      </c>
      <c r="BB821" s="47" t="str">
        <f>IFERROR(IF(MARÍTIMOS[[#This Row],[Estatus]]="","",MARÍTIMOS[[#This Row],[Estatus]]),"")</f>
        <v/>
      </c>
      <c r="BC821" s="43"/>
      <c r="BD821" s="46" t="str">
        <f>IFERROR(OLDBD[[#This Row],[Salida de almacén de retiro]]-OLDBD[[#This Row],[Ingreso Almacén de retiro]],"")</f>
        <v/>
      </c>
      <c r="BE821" s="46" t="str">
        <f>IFERROR(OLDBD[[#This Row],[Fin de Carga]]-OLDBD[[#This Row],[Inicio de Carga]],"")</f>
        <v/>
      </c>
    </row>
    <row r="822" spans="1:57" customFormat="1" hidden="1">
      <c r="A822" s="1"/>
      <c r="B822" s="1" t="str">
        <f>IFERROR(IF(MARÍTIMOS[[#This Row],[PP]]="","",MARÍTIMOS[[#This Row],[PP]]),"")</f>
        <v/>
      </c>
      <c r="C822" s="1" t="str">
        <f>IFERROR(IF(MARÍTIMOS[[#This Row],[Sede]]="","",MARÍTIMOS[[#This Row],[Sede]]),"")</f>
        <v/>
      </c>
      <c r="D822" s="1" t="str">
        <f>IFERROR(IF(MARÍTIMOS[[#This Row],[Instruction]]="","",MARÍTIMOS[[#This Row],[Instruction]]),"")</f>
        <v/>
      </c>
      <c r="E822" s="1"/>
      <c r="F822" s="2" t="str">
        <f>IFERROR(IF(MARÍTIMOS[[#This Row],[Transportista]]="","",MARÍTIMOS[[#This Row],[Transportista]]),"")</f>
        <v/>
      </c>
      <c r="G822" s="2" t="str">
        <f>IFERROR(IF(MARÍTIMOS[[#This Row],[Tercero]]="","",MARÍTIMOS[[#This Row],[Tercero]]),"")</f>
        <v/>
      </c>
      <c r="H822" s="2" t="str">
        <f>IFERROR(IF(MARÍTIMOS[[#This Row],[Razón Social]]="","",MARÍTIMOS[[#This Row],[Razón Social]]),"")</f>
        <v/>
      </c>
      <c r="I822" s="2" t="str">
        <f>IFERROR(IF(MARÍTIMOS[[#This Row],[RUC]]="","",MARÍTIMOS[[#This Row],[RUC]]),"")</f>
        <v/>
      </c>
      <c r="J822" s="2" t="str">
        <f>IFERROR(IF(MARÍTIMOS[[#This Row],[Placa Tracto]]="","",MARÍTIMOS[[#This Row],[Placa Tracto]]),"")</f>
        <v/>
      </c>
      <c r="K822" s="2" t="str">
        <f>IFERROR(IF(MARÍTIMOS[[#This Row],[Placa Carreta]]="","",MARÍTIMOS[[#This Row],[Placa Carreta]]),"")</f>
        <v/>
      </c>
      <c r="L822" s="44" t="str">
        <f>IFERROR(IF(MARÍTIMOS[[#This Row],[Conductor]]="","",MARÍTIMOS[[#This Row],[Conductor]]),"")</f>
        <v/>
      </c>
      <c r="M822" s="2" t="str">
        <f>IFERROR(IF(MARÍTIMOS[[#This Row],[Licencia]]="","",MARÍTIMOS[[#This Row],[Licencia]]),"")</f>
        <v/>
      </c>
      <c r="N822" s="2" t="str">
        <f>IFERROR(IF(MARÍTIMOS[[#This Row],[Número de Contacto]]="","",MARÍTIMOS[[#This Row],[Número de Contacto]]),"")</f>
        <v/>
      </c>
      <c r="O822" s="10" t="str">
        <f>IFERROR(IF(MARÍTIMOS[[#This Row],[Booking|AWB|CRT]]="","",MARÍTIMOS[[#This Row],[Booking|AWB|CRT]]),"")</f>
        <v/>
      </c>
      <c r="P822" s="2" t="str">
        <f>IFERROR(IF(MARÍTIMOS[[#This Row],[Contenedor]]="","",MARÍTIMOS[[#This Row],[Contenedor]]),"")</f>
        <v/>
      </c>
      <c r="Q822" s="2" t="str">
        <f>IFERROR(IF(MARÍTIMOS[[#This Row],[Puerto de Retiro]]="","",MARÍTIMOS[[#This Row],[Puerto de Retiro]]),"")</f>
        <v/>
      </c>
      <c r="R822" s="2" t="str">
        <f>IFERROR(IF(MARÍTIMOS[[#This Row],[Almacén de Retiro]]="","",MARÍTIMOS[[#This Row],[Almacén de Retiro]]),"")</f>
        <v/>
      </c>
      <c r="S822" s="11" t="str">
        <f>IFERROR(IF(MARÍTIMOS[[#This Row],[Etapa Retiro - Cita]]="","",MARÍTIMOS[[#This Row],[Etapa Retiro - Cita]]),"")</f>
        <v/>
      </c>
      <c r="T822" s="11" t="str">
        <f>IFERROR(IF(MARÍTIMOS[[#This Row],[Etapa Retiro - Llegada]]="","",MARÍTIMOS[[#This Row],[Etapa Retiro - Llegada]]),"")</f>
        <v/>
      </c>
      <c r="U822" s="11" t="str">
        <f>IFERROR(IF(MARÍTIMOS[[#This Row],[Etapa Retiro - Ingreso]]="","",MARÍTIMOS[[#This Row],[Etapa Retiro - Ingreso]]),"")</f>
        <v/>
      </c>
      <c r="V822" s="11" t="str">
        <f>IFERROR(IF(MARÍTIMOS[[#This Row],[Etapa Retiro - Atención]]="","",MARÍTIMOS[[#This Row],[Etapa Retiro - Atención]]),"")</f>
        <v/>
      </c>
      <c r="W822" s="11" t="str">
        <f>IFERROR(IF(MARÍTIMOS[[#This Row],[Etapa Retiro - Atención]]="","",MARÍTIMOS[[#This Row],[Etapa Retiro - Atención]]),"")</f>
        <v/>
      </c>
      <c r="X822" s="11" t="str">
        <f>IFERROR(IF(MARÍTIMOS[[#This Row],[Etapa Retiro - Inicio de Ruta]]="","",MARÍTIMOS[[#This Row],[Etapa Retiro - Inicio de Ruta]]),"")</f>
        <v/>
      </c>
      <c r="Y822" s="11" t="str">
        <f>IFERROR(IF(MARÍTIMOS[[#This Row],[Hora de Posicionamiento]]="","",MARÍTIMOS[[#This Row],[Fecha de Carga]]+MARÍTIMOS[[#This Row],[Hora de Posicionamiento]]),"")</f>
        <v/>
      </c>
      <c r="Z822" s="11" t="str">
        <f>IFERROR(IF(MARÍTIMOS[[#This Row],[Etapa Despacho - Llegada]]="","",MARÍTIMOS[[#This Row],[Etapa Despacho - Llegada]]),"")</f>
        <v/>
      </c>
      <c r="AA822" s="11" t="str">
        <f>IFERROR(IF(MARÍTIMOS[[#This Row],[Etapa Despacho - Registro]]="","",MARÍTIMOS[[#This Row],[Etapa Despacho - Registro]]),"")</f>
        <v/>
      </c>
      <c r="AB822" s="11" t="str">
        <f>IFERROR(IF(MARÍTIMOS[[#This Row],[Inspección Externa]]="","",MARÍTIMOS[[#This Row],[Inspección Externa]]),"")</f>
        <v/>
      </c>
      <c r="AC822" s="11" t="str">
        <f>IFERROR(IF(MARÍTIMOS[[#This Row],[Etapa Despacho - Inicio de Carga]]="","",MARÍTIMOS[[#This Row],[Etapa Despacho - Inicio de Carga]]),"")</f>
        <v/>
      </c>
      <c r="AD822" s="11" t="str">
        <f>IFERROR(IF(MARÍTIMOS[[#This Row],[Etapa Despacho - Mitad de Carga]]="","",MARÍTIMOS[[#This Row],[Etapa Despacho - Mitad de Carga]]),"")</f>
        <v/>
      </c>
      <c r="AE822" s="11" t="str">
        <f>IFERROR(IF(MARÍTIMOS[[#This Row],[Etapa Despacho - Fin de Carga]]="","",MARÍTIMOS[[#This Row],[Etapa Despacho - Fin de Carga]]),"")</f>
        <v/>
      </c>
      <c r="AF822" s="2" t="str">
        <f>IFERROR(IF(MARÍTIMOS[[#This Row],[Puerto de Embarque]]="","",MARÍTIMOS[[#This Row],[Puerto de Embarque]]),"")</f>
        <v/>
      </c>
      <c r="AG822" s="2" t="str">
        <f>IFERROR(IF(MARÍTIMOS[[#This Row],[Almacén de Ingreso]]="","",MARÍTIMOS[[#This Row],[Almacén de Ingreso]]),"")</f>
        <v/>
      </c>
      <c r="AH822" s="11" t="str">
        <f>IFERROR(IF(MARÍTIMOS[[#This Row],[Etapa Ingreso - Cita]]="","",MARÍTIMOS[[#This Row],[Etapa Ingreso - Cita]]),"")</f>
        <v/>
      </c>
      <c r="AI822" s="11" t="str">
        <f>IFERROR(IF(MARÍTIMOS[[#This Row],[Etapa Ingreso - Llegada]]="","",MARÍTIMOS[[#This Row],[Etapa Ingreso - Llegada]]),"")</f>
        <v/>
      </c>
      <c r="AJ822" s="11" t="str">
        <f>IFERROR(IF(MARÍTIMOS[[#This Row],[Etapa Ingreso - Ingeso]]="","",MARÍTIMOS[[#This Row],[Etapa Ingreso - Ingeso]]),"")</f>
        <v/>
      </c>
      <c r="AK822" s="11" t="str">
        <f>IFERROR(IF(MARÍTIMOS[[#This Row],[Etapa Ingreso - Atención]]="","",MARÍTIMOS[[#This Row],[Etapa Ingreso - Atención]]),"")</f>
        <v/>
      </c>
      <c r="AL822" s="11" t="str">
        <f>IFERROR(IF(MARÍTIMOS[[#This Row],[Etapa Ingreso - Salida]]="","",MARÍTIMOS[[#This Row],[Etapa Ingreso - Salida]]),"")</f>
        <v/>
      </c>
      <c r="AM822" s="2" t="str">
        <f>IFERROR(IF(MARÍTIMOS[[#This Row],[FCL]]="","",MARÍTIMOS[[#This Row],[FCL]]),"")</f>
        <v/>
      </c>
      <c r="AN8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2" s="4" t="str" cm="1">
        <f t="array" ref="AO8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2" s="5" t="str">
        <f>IFERROR(OLDBD[[#This Row],[Llegada a packing]]-OLDBD[[#This Row],[Inicio de Ruta]],"")</f>
        <v/>
      </c>
      <c r="AQ822" s="6" t="str">
        <f>IFERROR(OLDBD[[#This Row],[Inicio de Ruta]]-OLDBD[[#This Row],[Salida de almacén de retiro]],"")</f>
        <v/>
      </c>
      <c r="AR8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2" s="8" t="str" cm="1">
        <f t="array" ref="AS8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2" s="9" t="str">
        <f>IFERROR(OLDBD[[#This Row],[Ingreso Packing]]-OLDBD[[#This Row],[Registro en Packing]],"")</f>
        <v/>
      </c>
      <c r="AV822" s="9" t="str">
        <f>IFERROR(OLDBD[[#This Row],[Ingreso Packing]]-OLDBD[[#This Row],[Llegada a packing]],"")</f>
        <v/>
      </c>
      <c r="AW8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2" s="5" t="str">
        <f>IFERROR(OLDBD[[#This Row],[Llegada Almacén de Ingreso]]-OLDBD[[#This Row],[Salida Packing]],"")</f>
        <v/>
      </c>
      <c r="AY822" s="4" t="str" cm="1">
        <f t="array" ref="AY8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2" s="43" t="s">
        <v>173</v>
      </c>
      <c r="BB822" s="47" t="str">
        <f>IFERROR(IF(MARÍTIMOS[[#This Row],[Estatus]]="","",MARÍTIMOS[[#This Row],[Estatus]]),"")</f>
        <v/>
      </c>
      <c r="BC822" s="43"/>
      <c r="BD822" s="46" t="str">
        <f>IFERROR(OLDBD[[#This Row],[Salida de almacén de retiro]]-OLDBD[[#This Row],[Ingreso Almacén de retiro]],"")</f>
        <v/>
      </c>
      <c r="BE822" s="46" t="str">
        <f>IFERROR(OLDBD[[#This Row],[Fin de Carga]]-OLDBD[[#This Row],[Inicio de Carga]],"")</f>
        <v/>
      </c>
    </row>
    <row r="823" spans="1:57" customFormat="1" hidden="1">
      <c r="A823" s="1"/>
      <c r="B823" s="1" t="str">
        <f>IFERROR(IF(MARÍTIMOS[[#This Row],[PP]]="","",MARÍTIMOS[[#This Row],[PP]]),"")</f>
        <v/>
      </c>
      <c r="C823" s="1" t="str">
        <f>IFERROR(IF(MARÍTIMOS[[#This Row],[Sede]]="","",MARÍTIMOS[[#This Row],[Sede]]),"")</f>
        <v/>
      </c>
      <c r="D823" s="1" t="str">
        <f>IFERROR(IF(MARÍTIMOS[[#This Row],[Instruction]]="","",MARÍTIMOS[[#This Row],[Instruction]]),"")</f>
        <v/>
      </c>
      <c r="E823" s="1"/>
      <c r="F823" s="2" t="str">
        <f>IFERROR(IF(MARÍTIMOS[[#This Row],[Transportista]]="","",MARÍTIMOS[[#This Row],[Transportista]]),"")</f>
        <v/>
      </c>
      <c r="G823" s="2" t="str">
        <f>IFERROR(IF(MARÍTIMOS[[#This Row],[Tercero]]="","",MARÍTIMOS[[#This Row],[Tercero]]),"")</f>
        <v/>
      </c>
      <c r="H823" s="2" t="str">
        <f>IFERROR(IF(MARÍTIMOS[[#This Row],[Razón Social]]="","",MARÍTIMOS[[#This Row],[Razón Social]]),"")</f>
        <v/>
      </c>
      <c r="I823" s="2" t="str">
        <f>IFERROR(IF(MARÍTIMOS[[#This Row],[RUC]]="","",MARÍTIMOS[[#This Row],[RUC]]),"")</f>
        <v/>
      </c>
      <c r="J823" s="2" t="str">
        <f>IFERROR(IF(MARÍTIMOS[[#This Row],[Placa Tracto]]="","",MARÍTIMOS[[#This Row],[Placa Tracto]]),"")</f>
        <v/>
      </c>
      <c r="K823" s="2" t="str">
        <f>IFERROR(IF(MARÍTIMOS[[#This Row],[Placa Carreta]]="","",MARÍTIMOS[[#This Row],[Placa Carreta]]),"")</f>
        <v/>
      </c>
      <c r="L823" s="44" t="str">
        <f>IFERROR(IF(MARÍTIMOS[[#This Row],[Conductor]]="","",MARÍTIMOS[[#This Row],[Conductor]]),"")</f>
        <v/>
      </c>
      <c r="M823" s="2" t="str">
        <f>IFERROR(IF(MARÍTIMOS[[#This Row],[Licencia]]="","",MARÍTIMOS[[#This Row],[Licencia]]),"")</f>
        <v/>
      </c>
      <c r="N823" s="2" t="str">
        <f>IFERROR(IF(MARÍTIMOS[[#This Row],[Número de Contacto]]="","",MARÍTIMOS[[#This Row],[Número de Contacto]]),"")</f>
        <v/>
      </c>
      <c r="O823" s="10" t="str">
        <f>IFERROR(IF(MARÍTIMOS[[#This Row],[Booking|AWB|CRT]]="","",MARÍTIMOS[[#This Row],[Booking|AWB|CRT]]),"")</f>
        <v/>
      </c>
      <c r="P823" s="2" t="str">
        <f>IFERROR(IF(MARÍTIMOS[[#This Row],[Contenedor]]="","",MARÍTIMOS[[#This Row],[Contenedor]]),"")</f>
        <v/>
      </c>
      <c r="Q823" s="2" t="str">
        <f>IFERROR(IF(MARÍTIMOS[[#This Row],[Puerto de Retiro]]="","",MARÍTIMOS[[#This Row],[Puerto de Retiro]]),"")</f>
        <v/>
      </c>
      <c r="R823" s="2" t="str">
        <f>IFERROR(IF(MARÍTIMOS[[#This Row],[Almacén de Retiro]]="","",MARÍTIMOS[[#This Row],[Almacén de Retiro]]),"")</f>
        <v/>
      </c>
      <c r="S823" s="11" t="str">
        <f>IFERROR(IF(MARÍTIMOS[[#This Row],[Etapa Retiro - Cita]]="","",MARÍTIMOS[[#This Row],[Etapa Retiro - Cita]]),"")</f>
        <v/>
      </c>
      <c r="T823" s="11" t="str">
        <f>IFERROR(IF(MARÍTIMOS[[#This Row],[Etapa Retiro - Llegada]]="","",MARÍTIMOS[[#This Row],[Etapa Retiro - Llegada]]),"")</f>
        <v/>
      </c>
      <c r="U823" s="11" t="str">
        <f>IFERROR(IF(MARÍTIMOS[[#This Row],[Etapa Retiro - Ingreso]]="","",MARÍTIMOS[[#This Row],[Etapa Retiro - Ingreso]]),"")</f>
        <v/>
      </c>
      <c r="V823" s="11" t="str">
        <f>IFERROR(IF(MARÍTIMOS[[#This Row],[Etapa Retiro - Atención]]="","",MARÍTIMOS[[#This Row],[Etapa Retiro - Atención]]),"")</f>
        <v/>
      </c>
      <c r="W823" s="11" t="str">
        <f>IFERROR(IF(MARÍTIMOS[[#This Row],[Etapa Retiro - Atención]]="","",MARÍTIMOS[[#This Row],[Etapa Retiro - Atención]]),"")</f>
        <v/>
      </c>
      <c r="X823" s="11" t="str">
        <f>IFERROR(IF(MARÍTIMOS[[#This Row],[Etapa Retiro - Inicio de Ruta]]="","",MARÍTIMOS[[#This Row],[Etapa Retiro - Inicio de Ruta]]),"")</f>
        <v/>
      </c>
      <c r="Y823" s="11" t="str">
        <f>IFERROR(IF(MARÍTIMOS[[#This Row],[Hora de Posicionamiento]]="","",MARÍTIMOS[[#This Row],[Fecha de Carga]]+MARÍTIMOS[[#This Row],[Hora de Posicionamiento]]),"")</f>
        <v/>
      </c>
      <c r="Z823" s="11" t="str">
        <f>IFERROR(IF(MARÍTIMOS[[#This Row],[Etapa Despacho - Llegada]]="","",MARÍTIMOS[[#This Row],[Etapa Despacho - Llegada]]),"")</f>
        <v/>
      </c>
      <c r="AA823" s="11" t="str">
        <f>IFERROR(IF(MARÍTIMOS[[#This Row],[Etapa Despacho - Registro]]="","",MARÍTIMOS[[#This Row],[Etapa Despacho - Registro]]),"")</f>
        <v/>
      </c>
      <c r="AB823" s="11" t="str">
        <f>IFERROR(IF(MARÍTIMOS[[#This Row],[Inspección Externa]]="","",MARÍTIMOS[[#This Row],[Inspección Externa]]),"")</f>
        <v/>
      </c>
      <c r="AC823" s="11" t="str">
        <f>IFERROR(IF(MARÍTIMOS[[#This Row],[Etapa Despacho - Inicio de Carga]]="","",MARÍTIMOS[[#This Row],[Etapa Despacho - Inicio de Carga]]),"")</f>
        <v/>
      </c>
      <c r="AD823" s="11" t="str">
        <f>IFERROR(IF(MARÍTIMOS[[#This Row],[Etapa Despacho - Mitad de Carga]]="","",MARÍTIMOS[[#This Row],[Etapa Despacho - Mitad de Carga]]),"")</f>
        <v/>
      </c>
      <c r="AE823" s="11" t="str">
        <f>IFERROR(IF(MARÍTIMOS[[#This Row],[Etapa Despacho - Fin de Carga]]="","",MARÍTIMOS[[#This Row],[Etapa Despacho - Fin de Carga]]),"")</f>
        <v/>
      </c>
      <c r="AF823" s="2" t="str">
        <f>IFERROR(IF(MARÍTIMOS[[#This Row],[Puerto de Embarque]]="","",MARÍTIMOS[[#This Row],[Puerto de Embarque]]),"")</f>
        <v/>
      </c>
      <c r="AG823" s="2" t="str">
        <f>IFERROR(IF(MARÍTIMOS[[#This Row],[Almacén de Ingreso]]="","",MARÍTIMOS[[#This Row],[Almacén de Ingreso]]),"")</f>
        <v/>
      </c>
      <c r="AH823" s="11" t="str">
        <f>IFERROR(IF(MARÍTIMOS[[#This Row],[Etapa Ingreso - Cita]]="","",MARÍTIMOS[[#This Row],[Etapa Ingreso - Cita]]),"")</f>
        <v/>
      </c>
      <c r="AI823" s="11" t="str">
        <f>IFERROR(IF(MARÍTIMOS[[#This Row],[Etapa Ingreso - Llegada]]="","",MARÍTIMOS[[#This Row],[Etapa Ingreso - Llegada]]),"")</f>
        <v/>
      </c>
      <c r="AJ823" s="11" t="str">
        <f>IFERROR(IF(MARÍTIMOS[[#This Row],[Etapa Ingreso - Ingeso]]="","",MARÍTIMOS[[#This Row],[Etapa Ingreso - Ingeso]]),"")</f>
        <v/>
      </c>
      <c r="AK823" s="11" t="str">
        <f>IFERROR(IF(MARÍTIMOS[[#This Row],[Etapa Ingreso - Atención]]="","",MARÍTIMOS[[#This Row],[Etapa Ingreso - Atención]]),"")</f>
        <v/>
      </c>
      <c r="AL823" s="11" t="str">
        <f>IFERROR(IF(MARÍTIMOS[[#This Row],[Etapa Ingreso - Salida]]="","",MARÍTIMOS[[#This Row],[Etapa Ingreso - Salida]]),"")</f>
        <v/>
      </c>
      <c r="AM823" s="2" t="str">
        <f>IFERROR(IF(MARÍTIMOS[[#This Row],[FCL]]="","",MARÍTIMOS[[#This Row],[FCL]]),"")</f>
        <v/>
      </c>
      <c r="AN8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3" s="4" t="str" cm="1">
        <f t="array" ref="AO8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3" s="5" t="str">
        <f>IFERROR(OLDBD[[#This Row],[Llegada a packing]]-OLDBD[[#This Row],[Inicio de Ruta]],"")</f>
        <v/>
      </c>
      <c r="AQ823" s="6" t="str">
        <f>IFERROR(OLDBD[[#This Row],[Inicio de Ruta]]-OLDBD[[#This Row],[Salida de almacén de retiro]],"")</f>
        <v/>
      </c>
      <c r="AR8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3" s="8" t="str" cm="1">
        <f t="array" ref="AS8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3" s="9" t="str">
        <f>IFERROR(OLDBD[[#This Row],[Ingreso Packing]]-OLDBD[[#This Row],[Registro en Packing]],"")</f>
        <v/>
      </c>
      <c r="AV823" s="9" t="str">
        <f>IFERROR(OLDBD[[#This Row],[Ingreso Packing]]-OLDBD[[#This Row],[Llegada a packing]],"")</f>
        <v/>
      </c>
      <c r="AW8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3" s="5" t="str">
        <f>IFERROR(OLDBD[[#This Row],[Llegada Almacén de Ingreso]]-OLDBD[[#This Row],[Salida Packing]],"")</f>
        <v/>
      </c>
      <c r="AY823" s="4" t="str" cm="1">
        <f t="array" ref="AY8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3" s="43" t="s">
        <v>173</v>
      </c>
      <c r="BB823" s="47" t="str">
        <f>IFERROR(IF(MARÍTIMOS[[#This Row],[Estatus]]="","",MARÍTIMOS[[#This Row],[Estatus]]),"")</f>
        <v/>
      </c>
      <c r="BC823" s="43"/>
      <c r="BD823" s="46" t="str">
        <f>IFERROR(OLDBD[[#This Row],[Salida de almacén de retiro]]-OLDBD[[#This Row],[Ingreso Almacén de retiro]],"")</f>
        <v/>
      </c>
      <c r="BE823" s="46" t="str">
        <f>IFERROR(OLDBD[[#This Row],[Fin de Carga]]-OLDBD[[#This Row],[Inicio de Carga]],"")</f>
        <v/>
      </c>
    </row>
    <row r="824" spans="1:57" customFormat="1" hidden="1">
      <c r="A824" s="1"/>
      <c r="B824" s="1" t="str">
        <f>IFERROR(IF(MARÍTIMOS[[#This Row],[PP]]="","",MARÍTIMOS[[#This Row],[PP]]),"")</f>
        <v/>
      </c>
      <c r="C824" s="1" t="str">
        <f>IFERROR(IF(MARÍTIMOS[[#This Row],[Sede]]="","",MARÍTIMOS[[#This Row],[Sede]]),"")</f>
        <v/>
      </c>
      <c r="D824" s="1" t="str">
        <f>IFERROR(IF(MARÍTIMOS[[#This Row],[Instruction]]="","",MARÍTIMOS[[#This Row],[Instruction]]),"")</f>
        <v/>
      </c>
      <c r="E824" s="1"/>
      <c r="F824" s="2" t="str">
        <f>IFERROR(IF(MARÍTIMOS[[#This Row],[Transportista]]="","",MARÍTIMOS[[#This Row],[Transportista]]),"")</f>
        <v/>
      </c>
      <c r="G824" s="2" t="str">
        <f>IFERROR(IF(MARÍTIMOS[[#This Row],[Tercero]]="","",MARÍTIMOS[[#This Row],[Tercero]]),"")</f>
        <v/>
      </c>
      <c r="H824" s="2" t="str">
        <f>IFERROR(IF(MARÍTIMOS[[#This Row],[Razón Social]]="","",MARÍTIMOS[[#This Row],[Razón Social]]),"")</f>
        <v/>
      </c>
      <c r="I824" s="2" t="str">
        <f>IFERROR(IF(MARÍTIMOS[[#This Row],[RUC]]="","",MARÍTIMOS[[#This Row],[RUC]]),"")</f>
        <v/>
      </c>
      <c r="J824" s="2" t="str">
        <f>IFERROR(IF(MARÍTIMOS[[#This Row],[Placa Tracto]]="","",MARÍTIMOS[[#This Row],[Placa Tracto]]),"")</f>
        <v/>
      </c>
      <c r="K824" s="2" t="str">
        <f>IFERROR(IF(MARÍTIMOS[[#This Row],[Placa Carreta]]="","",MARÍTIMOS[[#This Row],[Placa Carreta]]),"")</f>
        <v/>
      </c>
      <c r="L824" s="44" t="str">
        <f>IFERROR(IF(MARÍTIMOS[[#This Row],[Conductor]]="","",MARÍTIMOS[[#This Row],[Conductor]]),"")</f>
        <v/>
      </c>
      <c r="M824" s="2" t="str">
        <f>IFERROR(IF(MARÍTIMOS[[#This Row],[Licencia]]="","",MARÍTIMOS[[#This Row],[Licencia]]),"")</f>
        <v/>
      </c>
      <c r="N824" s="2" t="str">
        <f>IFERROR(IF(MARÍTIMOS[[#This Row],[Número de Contacto]]="","",MARÍTIMOS[[#This Row],[Número de Contacto]]),"")</f>
        <v/>
      </c>
      <c r="O824" s="10" t="str">
        <f>IFERROR(IF(MARÍTIMOS[[#This Row],[Booking|AWB|CRT]]="","",MARÍTIMOS[[#This Row],[Booking|AWB|CRT]]),"")</f>
        <v/>
      </c>
      <c r="P824" s="2" t="str">
        <f>IFERROR(IF(MARÍTIMOS[[#This Row],[Contenedor]]="","",MARÍTIMOS[[#This Row],[Contenedor]]),"")</f>
        <v/>
      </c>
      <c r="Q824" s="2" t="str">
        <f>IFERROR(IF(MARÍTIMOS[[#This Row],[Puerto de Retiro]]="","",MARÍTIMOS[[#This Row],[Puerto de Retiro]]),"")</f>
        <v/>
      </c>
      <c r="R824" s="2" t="str">
        <f>IFERROR(IF(MARÍTIMOS[[#This Row],[Almacén de Retiro]]="","",MARÍTIMOS[[#This Row],[Almacén de Retiro]]),"")</f>
        <v/>
      </c>
      <c r="S824" s="11" t="str">
        <f>IFERROR(IF(MARÍTIMOS[[#This Row],[Etapa Retiro - Cita]]="","",MARÍTIMOS[[#This Row],[Etapa Retiro - Cita]]),"")</f>
        <v/>
      </c>
      <c r="T824" s="11" t="str">
        <f>IFERROR(IF(MARÍTIMOS[[#This Row],[Etapa Retiro - Llegada]]="","",MARÍTIMOS[[#This Row],[Etapa Retiro - Llegada]]),"")</f>
        <v/>
      </c>
      <c r="U824" s="11" t="str">
        <f>IFERROR(IF(MARÍTIMOS[[#This Row],[Etapa Retiro - Ingreso]]="","",MARÍTIMOS[[#This Row],[Etapa Retiro - Ingreso]]),"")</f>
        <v/>
      </c>
      <c r="V824" s="11" t="str">
        <f>IFERROR(IF(MARÍTIMOS[[#This Row],[Etapa Retiro - Atención]]="","",MARÍTIMOS[[#This Row],[Etapa Retiro - Atención]]),"")</f>
        <v/>
      </c>
      <c r="W824" s="11" t="str">
        <f>IFERROR(IF(MARÍTIMOS[[#This Row],[Etapa Retiro - Atención]]="","",MARÍTIMOS[[#This Row],[Etapa Retiro - Atención]]),"")</f>
        <v/>
      </c>
      <c r="X824" s="11" t="str">
        <f>IFERROR(IF(MARÍTIMOS[[#This Row],[Etapa Retiro - Inicio de Ruta]]="","",MARÍTIMOS[[#This Row],[Etapa Retiro - Inicio de Ruta]]),"")</f>
        <v/>
      </c>
      <c r="Y824" s="11" t="str">
        <f>IFERROR(IF(MARÍTIMOS[[#This Row],[Hora de Posicionamiento]]="","",MARÍTIMOS[[#This Row],[Fecha de Carga]]+MARÍTIMOS[[#This Row],[Hora de Posicionamiento]]),"")</f>
        <v/>
      </c>
      <c r="Z824" s="11" t="str">
        <f>IFERROR(IF(MARÍTIMOS[[#This Row],[Etapa Despacho - Llegada]]="","",MARÍTIMOS[[#This Row],[Etapa Despacho - Llegada]]),"")</f>
        <v/>
      </c>
      <c r="AA824" s="11" t="str">
        <f>IFERROR(IF(MARÍTIMOS[[#This Row],[Etapa Despacho - Registro]]="","",MARÍTIMOS[[#This Row],[Etapa Despacho - Registro]]),"")</f>
        <v/>
      </c>
      <c r="AB824" s="11" t="str">
        <f>IFERROR(IF(MARÍTIMOS[[#This Row],[Inspección Externa]]="","",MARÍTIMOS[[#This Row],[Inspección Externa]]),"")</f>
        <v/>
      </c>
      <c r="AC824" s="11" t="str">
        <f>IFERROR(IF(MARÍTIMOS[[#This Row],[Etapa Despacho - Inicio de Carga]]="","",MARÍTIMOS[[#This Row],[Etapa Despacho - Inicio de Carga]]),"")</f>
        <v/>
      </c>
      <c r="AD824" s="11" t="str">
        <f>IFERROR(IF(MARÍTIMOS[[#This Row],[Etapa Despacho - Mitad de Carga]]="","",MARÍTIMOS[[#This Row],[Etapa Despacho - Mitad de Carga]]),"")</f>
        <v/>
      </c>
      <c r="AE824" s="11" t="str">
        <f>IFERROR(IF(MARÍTIMOS[[#This Row],[Etapa Despacho - Fin de Carga]]="","",MARÍTIMOS[[#This Row],[Etapa Despacho - Fin de Carga]]),"")</f>
        <v/>
      </c>
      <c r="AF824" s="2" t="str">
        <f>IFERROR(IF(MARÍTIMOS[[#This Row],[Puerto de Embarque]]="","",MARÍTIMOS[[#This Row],[Puerto de Embarque]]),"")</f>
        <v/>
      </c>
      <c r="AG824" s="2" t="str">
        <f>IFERROR(IF(MARÍTIMOS[[#This Row],[Almacén de Ingreso]]="","",MARÍTIMOS[[#This Row],[Almacén de Ingreso]]),"")</f>
        <v/>
      </c>
      <c r="AH824" s="11" t="str">
        <f>IFERROR(IF(MARÍTIMOS[[#This Row],[Etapa Ingreso - Cita]]="","",MARÍTIMOS[[#This Row],[Etapa Ingreso - Cita]]),"")</f>
        <v/>
      </c>
      <c r="AI824" s="11" t="str">
        <f>IFERROR(IF(MARÍTIMOS[[#This Row],[Etapa Ingreso - Llegada]]="","",MARÍTIMOS[[#This Row],[Etapa Ingreso - Llegada]]),"")</f>
        <v/>
      </c>
      <c r="AJ824" s="11" t="str">
        <f>IFERROR(IF(MARÍTIMOS[[#This Row],[Etapa Ingreso - Ingeso]]="","",MARÍTIMOS[[#This Row],[Etapa Ingreso - Ingeso]]),"")</f>
        <v/>
      </c>
      <c r="AK824" s="11" t="str">
        <f>IFERROR(IF(MARÍTIMOS[[#This Row],[Etapa Ingreso - Atención]]="","",MARÍTIMOS[[#This Row],[Etapa Ingreso - Atención]]),"")</f>
        <v/>
      </c>
      <c r="AL824" s="11" t="str">
        <f>IFERROR(IF(MARÍTIMOS[[#This Row],[Etapa Ingreso - Salida]]="","",MARÍTIMOS[[#This Row],[Etapa Ingreso - Salida]]),"")</f>
        <v/>
      </c>
      <c r="AM824" s="2" t="str">
        <f>IFERROR(IF(MARÍTIMOS[[#This Row],[FCL]]="","",MARÍTIMOS[[#This Row],[FCL]]),"")</f>
        <v/>
      </c>
      <c r="AN8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4" s="4" t="str" cm="1">
        <f t="array" ref="AO8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4" s="5" t="str">
        <f>IFERROR(OLDBD[[#This Row],[Llegada a packing]]-OLDBD[[#This Row],[Inicio de Ruta]],"")</f>
        <v/>
      </c>
      <c r="AQ824" s="6" t="str">
        <f>IFERROR(OLDBD[[#This Row],[Inicio de Ruta]]-OLDBD[[#This Row],[Salida de almacén de retiro]],"")</f>
        <v/>
      </c>
      <c r="AR8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4" s="8" t="str" cm="1">
        <f t="array" ref="AS8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4" s="9" t="str">
        <f>IFERROR(OLDBD[[#This Row],[Ingreso Packing]]-OLDBD[[#This Row],[Registro en Packing]],"")</f>
        <v/>
      </c>
      <c r="AV824" s="9" t="str">
        <f>IFERROR(OLDBD[[#This Row],[Ingreso Packing]]-OLDBD[[#This Row],[Llegada a packing]],"")</f>
        <v/>
      </c>
      <c r="AW8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4" s="5" t="str">
        <f>IFERROR(OLDBD[[#This Row],[Llegada Almacén de Ingreso]]-OLDBD[[#This Row],[Salida Packing]],"")</f>
        <v/>
      </c>
      <c r="AY824" s="4" t="str" cm="1">
        <f t="array" ref="AY8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4" s="43" t="s">
        <v>173</v>
      </c>
      <c r="BB824" s="47" t="str">
        <f>IFERROR(IF(MARÍTIMOS[[#This Row],[Estatus]]="","",MARÍTIMOS[[#This Row],[Estatus]]),"")</f>
        <v/>
      </c>
      <c r="BC824" s="43"/>
      <c r="BD824" s="46" t="str">
        <f>IFERROR(OLDBD[[#This Row],[Salida de almacén de retiro]]-OLDBD[[#This Row],[Ingreso Almacén de retiro]],"")</f>
        <v/>
      </c>
      <c r="BE824" s="46" t="str">
        <f>IFERROR(OLDBD[[#This Row],[Fin de Carga]]-OLDBD[[#This Row],[Inicio de Carga]],"")</f>
        <v/>
      </c>
    </row>
    <row r="825" spans="1:57" customFormat="1" hidden="1">
      <c r="A825" s="1"/>
      <c r="B825" s="1" t="str">
        <f>IFERROR(IF(MARÍTIMOS[[#This Row],[PP]]="","",MARÍTIMOS[[#This Row],[PP]]),"")</f>
        <v/>
      </c>
      <c r="C825" s="1" t="str">
        <f>IFERROR(IF(MARÍTIMOS[[#This Row],[Sede]]="","",MARÍTIMOS[[#This Row],[Sede]]),"")</f>
        <v/>
      </c>
      <c r="D825" s="1" t="str">
        <f>IFERROR(IF(MARÍTIMOS[[#This Row],[Instruction]]="","",MARÍTIMOS[[#This Row],[Instruction]]),"")</f>
        <v/>
      </c>
      <c r="E825" s="1"/>
      <c r="F825" s="2" t="str">
        <f>IFERROR(IF(MARÍTIMOS[[#This Row],[Transportista]]="","",MARÍTIMOS[[#This Row],[Transportista]]),"")</f>
        <v/>
      </c>
      <c r="G825" s="2" t="str">
        <f>IFERROR(IF(MARÍTIMOS[[#This Row],[Tercero]]="","",MARÍTIMOS[[#This Row],[Tercero]]),"")</f>
        <v/>
      </c>
      <c r="H825" s="2" t="str">
        <f>IFERROR(IF(MARÍTIMOS[[#This Row],[Razón Social]]="","",MARÍTIMOS[[#This Row],[Razón Social]]),"")</f>
        <v/>
      </c>
      <c r="I825" s="2" t="str">
        <f>IFERROR(IF(MARÍTIMOS[[#This Row],[RUC]]="","",MARÍTIMOS[[#This Row],[RUC]]),"")</f>
        <v/>
      </c>
      <c r="J825" s="2" t="str">
        <f>IFERROR(IF(MARÍTIMOS[[#This Row],[Placa Tracto]]="","",MARÍTIMOS[[#This Row],[Placa Tracto]]),"")</f>
        <v/>
      </c>
      <c r="K825" s="2" t="str">
        <f>IFERROR(IF(MARÍTIMOS[[#This Row],[Placa Carreta]]="","",MARÍTIMOS[[#This Row],[Placa Carreta]]),"")</f>
        <v/>
      </c>
      <c r="L825" s="44" t="str">
        <f>IFERROR(IF(MARÍTIMOS[[#This Row],[Conductor]]="","",MARÍTIMOS[[#This Row],[Conductor]]),"")</f>
        <v/>
      </c>
      <c r="M825" s="2" t="str">
        <f>IFERROR(IF(MARÍTIMOS[[#This Row],[Licencia]]="","",MARÍTIMOS[[#This Row],[Licencia]]),"")</f>
        <v/>
      </c>
      <c r="N825" s="2" t="str">
        <f>IFERROR(IF(MARÍTIMOS[[#This Row],[Número de Contacto]]="","",MARÍTIMOS[[#This Row],[Número de Contacto]]),"")</f>
        <v/>
      </c>
      <c r="O825" s="10" t="str">
        <f>IFERROR(IF(MARÍTIMOS[[#This Row],[Booking|AWB|CRT]]="","",MARÍTIMOS[[#This Row],[Booking|AWB|CRT]]),"")</f>
        <v/>
      </c>
      <c r="P825" s="2" t="str">
        <f>IFERROR(IF(MARÍTIMOS[[#This Row],[Contenedor]]="","",MARÍTIMOS[[#This Row],[Contenedor]]),"")</f>
        <v/>
      </c>
      <c r="Q825" s="2" t="str">
        <f>IFERROR(IF(MARÍTIMOS[[#This Row],[Puerto de Retiro]]="","",MARÍTIMOS[[#This Row],[Puerto de Retiro]]),"")</f>
        <v/>
      </c>
      <c r="R825" s="2" t="str">
        <f>IFERROR(IF(MARÍTIMOS[[#This Row],[Almacén de Retiro]]="","",MARÍTIMOS[[#This Row],[Almacén de Retiro]]),"")</f>
        <v/>
      </c>
      <c r="S825" s="11" t="str">
        <f>IFERROR(IF(MARÍTIMOS[[#This Row],[Etapa Retiro - Cita]]="","",MARÍTIMOS[[#This Row],[Etapa Retiro - Cita]]),"")</f>
        <v/>
      </c>
      <c r="T825" s="11" t="str">
        <f>IFERROR(IF(MARÍTIMOS[[#This Row],[Etapa Retiro - Llegada]]="","",MARÍTIMOS[[#This Row],[Etapa Retiro - Llegada]]),"")</f>
        <v/>
      </c>
      <c r="U825" s="11" t="str">
        <f>IFERROR(IF(MARÍTIMOS[[#This Row],[Etapa Retiro - Ingreso]]="","",MARÍTIMOS[[#This Row],[Etapa Retiro - Ingreso]]),"")</f>
        <v/>
      </c>
      <c r="V825" s="11" t="str">
        <f>IFERROR(IF(MARÍTIMOS[[#This Row],[Etapa Retiro - Atención]]="","",MARÍTIMOS[[#This Row],[Etapa Retiro - Atención]]),"")</f>
        <v/>
      </c>
      <c r="W825" s="11" t="str">
        <f>IFERROR(IF(MARÍTIMOS[[#This Row],[Etapa Retiro - Atención]]="","",MARÍTIMOS[[#This Row],[Etapa Retiro - Atención]]),"")</f>
        <v/>
      </c>
      <c r="X825" s="11" t="str">
        <f>IFERROR(IF(MARÍTIMOS[[#This Row],[Etapa Retiro - Inicio de Ruta]]="","",MARÍTIMOS[[#This Row],[Etapa Retiro - Inicio de Ruta]]),"")</f>
        <v/>
      </c>
      <c r="Y825" s="11" t="str">
        <f>IFERROR(IF(MARÍTIMOS[[#This Row],[Hora de Posicionamiento]]="","",MARÍTIMOS[[#This Row],[Fecha de Carga]]+MARÍTIMOS[[#This Row],[Hora de Posicionamiento]]),"")</f>
        <v/>
      </c>
      <c r="Z825" s="11" t="str">
        <f>IFERROR(IF(MARÍTIMOS[[#This Row],[Etapa Despacho - Llegada]]="","",MARÍTIMOS[[#This Row],[Etapa Despacho - Llegada]]),"")</f>
        <v/>
      </c>
      <c r="AA825" s="11" t="str">
        <f>IFERROR(IF(MARÍTIMOS[[#This Row],[Etapa Despacho - Registro]]="","",MARÍTIMOS[[#This Row],[Etapa Despacho - Registro]]),"")</f>
        <v/>
      </c>
      <c r="AB825" s="11" t="str">
        <f>IFERROR(IF(MARÍTIMOS[[#This Row],[Inspección Externa]]="","",MARÍTIMOS[[#This Row],[Inspección Externa]]),"")</f>
        <v/>
      </c>
      <c r="AC825" s="11" t="str">
        <f>IFERROR(IF(MARÍTIMOS[[#This Row],[Etapa Despacho - Inicio de Carga]]="","",MARÍTIMOS[[#This Row],[Etapa Despacho - Inicio de Carga]]),"")</f>
        <v/>
      </c>
      <c r="AD825" s="11" t="str">
        <f>IFERROR(IF(MARÍTIMOS[[#This Row],[Etapa Despacho - Mitad de Carga]]="","",MARÍTIMOS[[#This Row],[Etapa Despacho - Mitad de Carga]]),"")</f>
        <v/>
      </c>
      <c r="AE825" s="11" t="str">
        <f>IFERROR(IF(MARÍTIMOS[[#This Row],[Etapa Despacho - Fin de Carga]]="","",MARÍTIMOS[[#This Row],[Etapa Despacho - Fin de Carga]]),"")</f>
        <v/>
      </c>
      <c r="AF825" s="2" t="str">
        <f>IFERROR(IF(MARÍTIMOS[[#This Row],[Puerto de Embarque]]="","",MARÍTIMOS[[#This Row],[Puerto de Embarque]]),"")</f>
        <v/>
      </c>
      <c r="AG825" s="2" t="str">
        <f>IFERROR(IF(MARÍTIMOS[[#This Row],[Almacén de Ingreso]]="","",MARÍTIMOS[[#This Row],[Almacén de Ingreso]]),"")</f>
        <v/>
      </c>
      <c r="AH825" s="11" t="str">
        <f>IFERROR(IF(MARÍTIMOS[[#This Row],[Etapa Ingreso - Cita]]="","",MARÍTIMOS[[#This Row],[Etapa Ingreso - Cita]]),"")</f>
        <v/>
      </c>
      <c r="AI825" s="11" t="str">
        <f>IFERROR(IF(MARÍTIMOS[[#This Row],[Etapa Ingreso - Llegada]]="","",MARÍTIMOS[[#This Row],[Etapa Ingreso - Llegada]]),"")</f>
        <v/>
      </c>
      <c r="AJ825" s="11" t="str">
        <f>IFERROR(IF(MARÍTIMOS[[#This Row],[Etapa Ingreso - Ingeso]]="","",MARÍTIMOS[[#This Row],[Etapa Ingreso - Ingeso]]),"")</f>
        <v/>
      </c>
      <c r="AK825" s="11" t="str">
        <f>IFERROR(IF(MARÍTIMOS[[#This Row],[Etapa Ingreso - Atención]]="","",MARÍTIMOS[[#This Row],[Etapa Ingreso - Atención]]),"")</f>
        <v/>
      </c>
      <c r="AL825" s="11" t="str">
        <f>IFERROR(IF(MARÍTIMOS[[#This Row],[Etapa Ingreso - Salida]]="","",MARÍTIMOS[[#This Row],[Etapa Ingreso - Salida]]),"")</f>
        <v/>
      </c>
      <c r="AM825" s="2" t="str">
        <f>IFERROR(IF(MARÍTIMOS[[#This Row],[FCL]]="","",MARÍTIMOS[[#This Row],[FCL]]),"")</f>
        <v/>
      </c>
      <c r="AN8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5" s="4" t="str" cm="1">
        <f t="array" ref="AO8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5" s="5" t="str">
        <f>IFERROR(OLDBD[[#This Row],[Llegada a packing]]-OLDBD[[#This Row],[Inicio de Ruta]],"")</f>
        <v/>
      </c>
      <c r="AQ825" s="6" t="str">
        <f>IFERROR(OLDBD[[#This Row],[Inicio de Ruta]]-OLDBD[[#This Row],[Salida de almacén de retiro]],"")</f>
        <v/>
      </c>
      <c r="AR8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5" s="8" t="str" cm="1">
        <f t="array" ref="AS8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5" s="9" t="str">
        <f>IFERROR(OLDBD[[#This Row],[Ingreso Packing]]-OLDBD[[#This Row],[Registro en Packing]],"")</f>
        <v/>
      </c>
      <c r="AV825" s="9" t="str">
        <f>IFERROR(OLDBD[[#This Row],[Ingreso Packing]]-OLDBD[[#This Row],[Llegada a packing]],"")</f>
        <v/>
      </c>
      <c r="AW8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5" s="5" t="str">
        <f>IFERROR(OLDBD[[#This Row],[Llegada Almacén de Ingreso]]-OLDBD[[#This Row],[Salida Packing]],"")</f>
        <v/>
      </c>
      <c r="AY825" s="4" t="str" cm="1">
        <f t="array" ref="AY8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5" s="43" t="s">
        <v>173</v>
      </c>
      <c r="BB825" s="47" t="str">
        <f>IFERROR(IF(MARÍTIMOS[[#This Row],[Estatus]]="","",MARÍTIMOS[[#This Row],[Estatus]]),"")</f>
        <v/>
      </c>
      <c r="BC825" s="43"/>
      <c r="BD825" s="46" t="str">
        <f>IFERROR(OLDBD[[#This Row],[Salida de almacén de retiro]]-OLDBD[[#This Row],[Ingreso Almacén de retiro]],"")</f>
        <v/>
      </c>
      <c r="BE825" s="46" t="str">
        <f>IFERROR(OLDBD[[#This Row],[Fin de Carga]]-OLDBD[[#This Row],[Inicio de Carga]],"")</f>
        <v/>
      </c>
    </row>
    <row r="826" spans="1:57" customFormat="1" hidden="1">
      <c r="A826" s="1"/>
      <c r="B826" s="1" t="str">
        <f>IFERROR(IF(MARÍTIMOS[[#This Row],[PP]]="","",MARÍTIMOS[[#This Row],[PP]]),"")</f>
        <v/>
      </c>
      <c r="C826" s="1" t="str">
        <f>IFERROR(IF(MARÍTIMOS[[#This Row],[Sede]]="","",MARÍTIMOS[[#This Row],[Sede]]),"")</f>
        <v/>
      </c>
      <c r="D826" s="1" t="str">
        <f>IFERROR(IF(MARÍTIMOS[[#This Row],[Instruction]]="","",MARÍTIMOS[[#This Row],[Instruction]]),"")</f>
        <v/>
      </c>
      <c r="E826" s="1"/>
      <c r="F826" s="2" t="str">
        <f>IFERROR(IF(MARÍTIMOS[[#This Row],[Transportista]]="","",MARÍTIMOS[[#This Row],[Transportista]]),"")</f>
        <v/>
      </c>
      <c r="G826" s="2" t="str">
        <f>IFERROR(IF(MARÍTIMOS[[#This Row],[Tercero]]="","",MARÍTIMOS[[#This Row],[Tercero]]),"")</f>
        <v/>
      </c>
      <c r="H826" s="2" t="str">
        <f>IFERROR(IF(MARÍTIMOS[[#This Row],[Razón Social]]="","",MARÍTIMOS[[#This Row],[Razón Social]]),"")</f>
        <v/>
      </c>
      <c r="I826" s="2" t="str">
        <f>IFERROR(IF(MARÍTIMOS[[#This Row],[RUC]]="","",MARÍTIMOS[[#This Row],[RUC]]),"")</f>
        <v/>
      </c>
      <c r="J826" s="2" t="str">
        <f>IFERROR(IF(MARÍTIMOS[[#This Row],[Placa Tracto]]="","",MARÍTIMOS[[#This Row],[Placa Tracto]]),"")</f>
        <v/>
      </c>
      <c r="K826" s="2" t="str">
        <f>IFERROR(IF(MARÍTIMOS[[#This Row],[Placa Carreta]]="","",MARÍTIMOS[[#This Row],[Placa Carreta]]),"")</f>
        <v/>
      </c>
      <c r="L826" s="44" t="str">
        <f>IFERROR(IF(MARÍTIMOS[[#This Row],[Conductor]]="","",MARÍTIMOS[[#This Row],[Conductor]]),"")</f>
        <v/>
      </c>
      <c r="M826" s="2" t="str">
        <f>IFERROR(IF(MARÍTIMOS[[#This Row],[Licencia]]="","",MARÍTIMOS[[#This Row],[Licencia]]),"")</f>
        <v/>
      </c>
      <c r="N826" s="2" t="str">
        <f>IFERROR(IF(MARÍTIMOS[[#This Row],[Número de Contacto]]="","",MARÍTIMOS[[#This Row],[Número de Contacto]]),"")</f>
        <v/>
      </c>
      <c r="O826" s="10" t="str">
        <f>IFERROR(IF(MARÍTIMOS[[#This Row],[Booking|AWB|CRT]]="","",MARÍTIMOS[[#This Row],[Booking|AWB|CRT]]),"")</f>
        <v/>
      </c>
      <c r="P826" s="2" t="str">
        <f>IFERROR(IF(MARÍTIMOS[[#This Row],[Contenedor]]="","",MARÍTIMOS[[#This Row],[Contenedor]]),"")</f>
        <v/>
      </c>
      <c r="Q826" s="2" t="str">
        <f>IFERROR(IF(MARÍTIMOS[[#This Row],[Puerto de Retiro]]="","",MARÍTIMOS[[#This Row],[Puerto de Retiro]]),"")</f>
        <v/>
      </c>
      <c r="R826" s="2" t="str">
        <f>IFERROR(IF(MARÍTIMOS[[#This Row],[Almacén de Retiro]]="","",MARÍTIMOS[[#This Row],[Almacén de Retiro]]),"")</f>
        <v/>
      </c>
      <c r="S826" s="11" t="str">
        <f>IFERROR(IF(MARÍTIMOS[[#This Row],[Etapa Retiro - Cita]]="","",MARÍTIMOS[[#This Row],[Etapa Retiro - Cita]]),"")</f>
        <v/>
      </c>
      <c r="T826" s="11" t="str">
        <f>IFERROR(IF(MARÍTIMOS[[#This Row],[Etapa Retiro - Llegada]]="","",MARÍTIMOS[[#This Row],[Etapa Retiro - Llegada]]),"")</f>
        <v/>
      </c>
      <c r="U826" s="11" t="str">
        <f>IFERROR(IF(MARÍTIMOS[[#This Row],[Etapa Retiro - Ingreso]]="","",MARÍTIMOS[[#This Row],[Etapa Retiro - Ingreso]]),"")</f>
        <v/>
      </c>
      <c r="V826" s="11" t="str">
        <f>IFERROR(IF(MARÍTIMOS[[#This Row],[Etapa Retiro - Atención]]="","",MARÍTIMOS[[#This Row],[Etapa Retiro - Atención]]),"")</f>
        <v/>
      </c>
      <c r="W826" s="11" t="str">
        <f>IFERROR(IF(MARÍTIMOS[[#This Row],[Etapa Retiro - Atención]]="","",MARÍTIMOS[[#This Row],[Etapa Retiro - Atención]]),"")</f>
        <v/>
      </c>
      <c r="X826" s="11" t="str">
        <f>IFERROR(IF(MARÍTIMOS[[#This Row],[Etapa Retiro - Inicio de Ruta]]="","",MARÍTIMOS[[#This Row],[Etapa Retiro - Inicio de Ruta]]),"")</f>
        <v/>
      </c>
      <c r="Y826" s="11" t="str">
        <f>IFERROR(IF(MARÍTIMOS[[#This Row],[Hora de Posicionamiento]]="","",MARÍTIMOS[[#This Row],[Fecha de Carga]]+MARÍTIMOS[[#This Row],[Hora de Posicionamiento]]),"")</f>
        <v/>
      </c>
      <c r="Z826" s="11" t="str">
        <f>IFERROR(IF(MARÍTIMOS[[#This Row],[Etapa Despacho - Llegada]]="","",MARÍTIMOS[[#This Row],[Etapa Despacho - Llegada]]),"")</f>
        <v/>
      </c>
      <c r="AA826" s="11" t="str">
        <f>IFERROR(IF(MARÍTIMOS[[#This Row],[Etapa Despacho - Registro]]="","",MARÍTIMOS[[#This Row],[Etapa Despacho - Registro]]),"")</f>
        <v/>
      </c>
      <c r="AB826" s="11" t="str">
        <f>IFERROR(IF(MARÍTIMOS[[#This Row],[Inspección Externa]]="","",MARÍTIMOS[[#This Row],[Inspección Externa]]),"")</f>
        <v/>
      </c>
      <c r="AC826" s="11" t="str">
        <f>IFERROR(IF(MARÍTIMOS[[#This Row],[Etapa Despacho - Inicio de Carga]]="","",MARÍTIMOS[[#This Row],[Etapa Despacho - Inicio de Carga]]),"")</f>
        <v/>
      </c>
      <c r="AD826" s="11" t="str">
        <f>IFERROR(IF(MARÍTIMOS[[#This Row],[Etapa Despacho - Mitad de Carga]]="","",MARÍTIMOS[[#This Row],[Etapa Despacho - Mitad de Carga]]),"")</f>
        <v/>
      </c>
      <c r="AE826" s="11" t="str">
        <f>IFERROR(IF(MARÍTIMOS[[#This Row],[Etapa Despacho - Fin de Carga]]="","",MARÍTIMOS[[#This Row],[Etapa Despacho - Fin de Carga]]),"")</f>
        <v/>
      </c>
      <c r="AF826" s="2" t="str">
        <f>IFERROR(IF(MARÍTIMOS[[#This Row],[Puerto de Embarque]]="","",MARÍTIMOS[[#This Row],[Puerto de Embarque]]),"")</f>
        <v/>
      </c>
      <c r="AG826" s="2" t="str">
        <f>IFERROR(IF(MARÍTIMOS[[#This Row],[Almacén de Ingreso]]="","",MARÍTIMOS[[#This Row],[Almacén de Ingreso]]),"")</f>
        <v/>
      </c>
      <c r="AH826" s="11" t="str">
        <f>IFERROR(IF(MARÍTIMOS[[#This Row],[Etapa Ingreso - Cita]]="","",MARÍTIMOS[[#This Row],[Etapa Ingreso - Cita]]),"")</f>
        <v/>
      </c>
      <c r="AI826" s="11" t="str">
        <f>IFERROR(IF(MARÍTIMOS[[#This Row],[Etapa Ingreso - Llegada]]="","",MARÍTIMOS[[#This Row],[Etapa Ingreso - Llegada]]),"")</f>
        <v/>
      </c>
      <c r="AJ826" s="11" t="str">
        <f>IFERROR(IF(MARÍTIMOS[[#This Row],[Etapa Ingreso - Ingeso]]="","",MARÍTIMOS[[#This Row],[Etapa Ingreso - Ingeso]]),"")</f>
        <v/>
      </c>
      <c r="AK826" s="11" t="str">
        <f>IFERROR(IF(MARÍTIMOS[[#This Row],[Etapa Ingreso - Atención]]="","",MARÍTIMOS[[#This Row],[Etapa Ingreso - Atención]]),"")</f>
        <v/>
      </c>
      <c r="AL826" s="11" t="str">
        <f>IFERROR(IF(MARÍTIMOS[[#This Row],[Etapa Ingreso - Salida]]="","",MARÍTIMOS[[#This Row],[Etapa Ingreso - Salida]]),"")</f>
        <v/>
      </c>
      <c r="AM826" s="2" t="str">
        <f>IFERROR(IF(MARÍTIMOS[[#This Row],[FCL]]="","",MARÍTIMOS[[#This Row],[FCL]]),"")</f>
        <v/>
      </c>
      <c r="AN8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6" s="4" t="str" cm="1">
        <f t="array" ref="AO8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6" s="5" t="str">
        <f>IFERROR(OLDBD[[#This Row],[Llegada a packing]]-OLDBD[[#This Row],[Inicio de Ruta]],"")</f>
        <v/>
      </c>
      <c r="AQ826" s="6" t="str">
        <f>IFERROR(OLDBD[[#This Row],[Inicio de Ruta]]-OLDBD[[#This Row],[Salida de almacén de retiro]],"")</f>
        <v/>
      </c>
      <c r="AR8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6" s="8" t="str" cm="1">
        <f t="array" ref="AS8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6" s="9" t="str">
        <f>IFERROR(OLDBD[[#This Row],[Ingreso Packing]]-OLDBD[[#This Row],[Registro en Packing]],"")</f>
        <v/>
      </c>
      <c r="AV826" s="9" t="str">
        <f>IFERROR(OLDBD[[#This Row],[Ingreso Packing]]-OLDBD[[#This Row],[Llegada a packing]],"")</f>
        <v/>
      </c>
      <c r="AW8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6" s="5" t="str">
        <f>IFERROR(OLDBD[[#This Row],[Llegada Almacén de Ingreso]]-OLDBD[[#This Row],[Salida Packing]],"")</f>
        <v/>
      </c>
      <c r="AY826" s="4" t="str" cm="1">
        <f t="array" ref="AY8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6" s="43" t="s">
        <v>173</v>
      </c>
      <c r="BB826" s="47" t="str">
        <f>IFERROR(IF(MARÍTIMOS[[#This Row],[Estatus]]="","",MARÍTIMOS[[#This Row],[Estatus]]),"")</f>
        <v/>
      </c>
      <c r="BC826" s="43"/>
      <c r="BD826" s="46" t="str">
        <f>IFERROR(OLDBD[[#This Row],[Salida de almacén de retiro]]-OLDBD[[#This Row],[Ingreso Almacén de retiro]],"")</f>
        <v/>
      </c>
      <c r="BE826" s="46" t="str">
        <f>IFERROR(OLDBD[[#This Row],[Fin de Carga]]-OLDBD[[#This Row],[Inicio de Carga]],"")</f>
        <v/>
      </c>
    </row>
    <row r="827" spans="1:57" customFormat="1" hidden="1">
      <c r="A827" s="1"/>
      <c r="B827" s="1" t="str">
        <f>IFERROR(IF(MARÍTIMOS[[#This Row],[PP]]="","",MARÍTIMOS[[#This Row],[PP]]),"")</f>
        <v/>
      </c>
      <c r="C827" s="1" t="str">
        <f>IFERROR(IF(MARÍTIMOS[[#This Row],[Sede]]="","",MARÍTIMOS[[#This Row],[Sede]]),"")</f>
        <v/>
      </c>
      <c r="D827" s="1" t="str">
        <f>IFERROR(IF(MARÍTIMOS[[#This Row],[Instruction]]="","",MARÍTIMOS[[#This Row],[Instruction]]),"")</f>
        <v/>
      </c>
      <c r="E827" s="1"/>
      <c r="F827" s="2" t="str">
        <f>IFERROR(IF(MARÍTIMOS[[#This Row],[Transportista]]="","",MARÍTIMOS[[#This Row],[Transportista]]),"")</f>
        <v/>
      </c>
      <c r="G827" s="2" t="str">
        <f>IFERROR(IF(MARÍTIMOS[[#This Row],[Tercero]]="","",MARÍTIMOS[[#This Row],[Tercero]]),"")</f>
        <v/>
      </c>
      <c r="H827" s="2" t="str">
        <f>IFERROR(IF(MARÍTIMOS[[#This Row],[Razón Social]]="","",MARÍTIMOS[[#This Row],[Razón Social]]),"")</f>
        <v/>
      </c>
      <c r="I827" s="2" t="str">
        <f>IFERROR(IF(MARÍTIMOS[[#This Row],[RUC]]="","",MARÍTIMOS[[#This Row],[RUC]]),"")</f>
        <v/>
      </c>
      <c r="J827" s="2" t="str">
        <f>IFERROR(IF(MARÍTIMOS[[#This Row],[Placa Tracto]]="","",MARÍTIMOS[[#This Row],[Placa Tracto]]),"")</f>
        <v/>
      </c>
      <c r="K827" s="2" t="str">
        <f>IFERROR(IF(MARÍTIMOS[[#This Row],[Placa Carreta]]="","",MARÍTIMOS[[#This Row],[Placa Carreta]]),"")</f>
        <v/>
      </c>
      <c r="L827" s="44" t="str">
        <f>IFERROR(IF(MARÍTIMOS[[#This Row],[Conductor]]="","",MARÍTIMOS[[#This Row],[Conductor]]),"")</f>
        <v/>
      </c>
      <c r="M827" s="2" t="str">
        <f>IFERROR(IF(MARÍTIMOS[[#This Row],[Licencia]]="","",MARÍTIMOS[[#This Row],[Licencia]]),"")</f>
        <v/>
      </c>
      <c r="N827" s="2" t="str">
        <f>IFERROR(IF(MARÍTIMOS[[#This Row],[Número de Contacto]]="","",MARÍTIMOS[[#This Row],[Número de Contacto]]),"")</f>
        <v/>
      </c>
      <c r="O827" s="10" t="str">
        <f>IFERROR(IF(MARÍTIMOS[[#This Row],[Booking|AWB|CRT]]="","",MARÍTIMOS[[#This Row],[Booking|AWB|CRT]]),"")</f>
        <v/>
      </c>
      <c r="P827" s="2" t="str">
        <f>IFERROR(IF(MARÍTIMOS[[#This Row],[Contenedor]]="","",MARÍTIMOS[[#This Row],[Contenedor]]),"")</f>
        <v/>
      </c>
      <c r="Q827" s="2" t="str">
        <f>IFERROR(IF(MARÍTIMOS[[#This Row],[Puerto de Retiro]]="","",MARÍTIMOS[[#This Row],[Puerto de Retiro]]),"")</f>
        <v/>
      </c>
      <c r="R827" s="2" t="str">
        <f>IFERROR(IF(MARÍTIMOS[[#This Row],[Almacén de Retiro]]="","",MARÍTIMOS[[#This Row],[Almacén de Retiro]]),"")</f>
        <v/>
      </c>
      <c r="S827" s="11" t="str">
        <f>IFERROR(IF(MARÍTIMOS[[#This Row],[Etapa Retiro - Cita]]="","",MARÍTIMOS[[#This Row],[Etapa Retiro - Cita]]),"")</f>
        <v/>
      </c>
      <c r="T827" s="11" t="str">
        <f>IFERROR(IF(MARÍTIMOS[[#This Row],[Etapa Retiro - Llegada]]="","",MARÍTIMOS[[#This Row],[Etapa Retiro - Llegada]]),"")</f>
        <v/>
      </c>
      <c r="U827" s="11" t="str">
        <f>IFERROR(IF(MARÍTIMOS[[#This Row],[Etapa Retiro - Ingreso]]="","",MARÍTIMOS[[#This Row],[Etapa Retiro - Ingreso]]),"")</f>
        <v/>
      </c>
      <c r="V827" s="11" t="str">
        <f>IFERROR(IF(MARÍTIMOS[[#This Row],[Etapa Retiro - Atención]]="","",MARÍTIMOS[[#This Row],[Etapa Retiro - Atención]]),"")</f>
        <v/>
      </c>
      <c r="W827" s="11" t="str">
        <f>IFERROR(IF(MARÍTIMOS[[#This Row],[Etapa Retiro - Atención]]="","",MARÍTIMOS[[#This Row],[Etapa Retiro - Atención]]),"")</f>
        <v/>
      </c>
      <c r="X827" s="11" t="str">
        <f>IFERROR(IF(MARÍTIMOS[[#This Row],[Etapa Retiro - Inicio de Ruta]]="","",MARÍTIMOS[[#This Row],[Etapa Retiro - Inicio de Ruta]]),"")</f>
        <v/>
      </c>
      <c r="Y827" s="11" t="str">
        <f>IFERROR(IF(MARÍTIMOS[[#This Row],[Hora de Posicionamiento]]="","",MARÍTIMOS[[#This Row],[Fecha de Carga]]+MARÍTIMOS[[#This Row],[Hora de Posicionamiento]]),"")</f>
        <v/>
      </c>
      <c r="Z827" s="11" t="str">
        <f>IFERROR(IF(MARÍTIMOS[[#This Row],[Etapa Despacho - Llegada]]="","",MARÍTIMOS[[#This Row],[Etapa Despacho - Llegada]]),"")</f>
        <v/>
      </c>
      <c r="AA827" s="11" t="str">
        <f>IFERROR(IF(MARÍTIMOS[[#This Row],[Etapa Despacho - Registro]]="","",MARÍTIMOS[[#This Row],[Etapa Despacho - Registro]]),"")</f>
        <v/>
      </c>
      <c r="AB827" s="11" t="str">
        <f>IFERROR(IF(MARÍTIMOS[[#This Row],[Inspección Externa]]="","",MARÍTIMOS[[#This Row],[Inspección Externa]]),"")</f>
        <v/>
      </c>
      <c r="AC827" s="11" t="str">
        <f>IFERROR(IF(MARÍTIMOS[[#This Row],[Etapa Despacho - Inicio de Carga]]="","",MARÍTIMOS[[#This Row],[Etapa Despacho - Inicio de Carga]]),"")</f>
        <v/>
      </c>
      <c r="AD827" s="11" t="str">
        <f>IFERROR(IF(MARÍTIMOS[[#This Row],[Etapa Despacho - Mitad de Carga]]="","",MARÍTIMOS[[#This Row],[Etapa Despacho - Mitad de Carga]]),"")</f>
        <v/>
      </c>
      <c r="AE827" s="11" t="str">
        <f>IFERROR(IF(MARÍTIMOS[[#This Row],[Etapa Despacho - Fin de Carga]]="","",MARÍTIMOS[[#This Row],[Etapa Despacho - Fin de Carga]]),"")</f>
        <v/>
      </c>
      <c r="AF827" s="2" t="str">
        <f>IFERROR(IF(MARÍTIMOS[[#This Row],[Puerto de Embarque]]="","",MARÍTIMOS[[#This Row],[Puerto de Embarque]]),"")</f>
        <v/>
      </c>
      <c r="AG827" s="2" t="str">
        <f>IFERROR(IF(MARÍTIMOS[[#This Row],[Almacén de Ingreso]]="","",MARÍTIMOS[[#This Row],[Almacén de Ingreso]]),"")</f>
        <v/>
      </c>
      <c r="AH827" s="11" t="str">
        <f>IFERROR(IF(MARÍTIMOS[[#This Row],[Etapa Ingreso - Cita]]="","",MARÍTIMOS[[#This Row],[Etapa Ingreso - Cita]]),"")</f>
        <v/>
      </c>
      <c r="AI827" s="11" t="str">
        <f>IFERROR(IF(MARÍTIMOS[[#This Row],[Etapa Ingreso - Llegada]]="","",MARÍTIMOS[[#This Row],[Etapa Ingreso - Llegada]]),"")</f>
        <v/>
      </c>
      <c r="AJ827" s="11" t="str">
        <f>IFERROR(IF(MARÍTIMOS[[#This Row],[Etapa Ingreso - Ingeso]]="","",MARÍTIMOS[[#This Row],[Etapa Ingreso - Ingeso]]),"")</f>
        <v/>
      </c>
      <c r="AK827" s="11" t="str">
        <f>IFERROR(IF(MARÍTIMOS[[#This Row],[Etapa Ingreso - Atención]]="","",MARÍTIMOS[[#This Row],[Etapa Ingreso - Atención]]),"")</f>
        <v/>
      </c>
      <c r="AL827" s="11" t="str">
        <f>IFERROR(IF(MARÍTIMOS[[#This Row],[Etapa Ingreso - Salida]]="","",MARÍTIMOS[[#This Row],[Etapa Ingreso - Salida]]),"")</f>
        <v/>
      </c>
      <c r="AM827" s="2" t="str">
        <f>IFERROR(IF(MARÍTIMOS[[#This Row],[FCL]]="","",MARÍTIMOS[[#This Row],[FCL]]),"")</f>
        <v/>
      </c>
      <c r="AN8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7" s="4" t="str" cm="1">
        <f t="array" ref="AO8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7" s="5" t="str">
        <f>IFERROR(OLDBD[[#This Row],[Llegada a packing]]-OLDBD[[#This Row],[Inicio de Ruta]],"")</f>
        <v/>
      </c>
      <c r="AQ827" s="6" t="str">
        <f>IFERROR(OLDBD[[#This Row],[Inicio de Ruta]]-OLDBD[[#This Row],[Salida de almacén de retiro]],"")</f>
        <v/>
      </c>
      <c r="AR8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7" s="8" t="str" cm="1">
        <f t="array" ref="AS8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7" s="9" t="str">
        <f>IFERROR(OLDBD[[#This Row],[Ingreso Packing]]-OLDBD[[#This Row],[Registro en Packing]],"")</f>
        <v/>
      </c>
      <c r="AV827" s="9" t="str">
        <f>IFERROR(OLDBD[[#This Row],[Ingreso Packing]]-OLDBD[[#This Row],[Llegada a packing]],"")</f>
        <v/>
      </c>
      <c r="AW8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7" s="5" t="str">
        <f>IFERROR(OLDBD[[#This Row],[Llegada Almacén de Ingreso]]-OLDBD[[#This Row],[Salida Packing]],"")</f>
        <v/>
      </c>
      <c r="AY827" s="4" t="str" cm="1">
        <f t="array" ref="AY8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7" s="43" t="s">
        <v>173</v>
      </c>
      <c r="BB827" s="47" t="str">
        <f>IFERROR(IF(MARÍTIMOS[[#This Row],[Estatus]]="","",MARÍTIMOS[[#This Row],[Estatus]]),"")</f>
        <v/>
      </c>
      <c r="BC827" s="43"/>
      <c r="BD827" s="46" t="str">
        <f>IFERROR(OLDBD[[#This Row],[Salida de almacén de retiro]]-OLDBD[[#This Row],[Ingreso Almacén de retiro]],"")</f>
        <v/>
      </c>
      <c r="BE827" s="46" t="str">
        <f>IFERROR(OLDBD[[#This Row],[Fin de Carga]]-OLDBD[[#This Row],[Inicio de Carga]],"")</f>
        <v/>
      </c>
    </row>
    <row r="828" spans="1:57" customFormat="1" hidden="1">
      <c r="A828" s="1"/>
      <c r="B828" s="1" t="str">
        <f>IFERROR(IF(MARÍTIMOS[[#This Row],[PP]]="","",MARÍTIMOS[[#This Row],[PP]]),"")</f>
        <v/>
      </c>
      <c r="C828" s="1" t="str">
        <f>IFERROR(IF(MARÍTIMOS[[#This Row],[Sede]]="","",MARÍTIMOS[[#This Row],[Sede]]),"")</f>
        <v/>
      </c>
      <c r="D828" s="1" t="str">
        <f>IFERROR(IF(MARÍTIMOS[[#This Row],[Instruction]]="","",MARÍTIMOS[[#This Row],[Instruction]]),"")</f>
        <v/>
      </c>
      <c r="E828" s="1"/>
      <c r="F828" s="2" t="str">
        <f>IFERROR(IF(MARÍTIMOS[[#This Row],[Transportista]]="","",MARÍTIMOS[[#This Row],[Transportista]]),"")</f>
        <v/>
      </c>
      <c r="G828" s="2" t="str">
        <f>IFERROR(IF(MARÍTIMOS[[#This Row],[Tercero]]="","",MARÍTIMOS[[#This Row],[Tercero]]),"")</f>
        <v/>
      </c>
      <c r="H828" s="2" t="str">
        <f>IFERROR(IF(MARÍTIMOS[[#This Row],[Razón Social]]="","",MARÍTIMOS[[#This Row],[Razón Social]]),"")</f>
        <v/>
      </c>
      <c r="I828" s="2" t="str">
        <f>IFERROR(IF(MARÍTIMOS[[#This Row],[RUC]]="","",MARÍTIMOS[[#This Row],[RUC]]),"")</f>
        <v/>
      </c>
      <c r="J828" s="2" t="str">
        <f>IFERROR(IF(MARÍTIMOS[[#This Row],[Placa Tracto]]="","",MARÍTIMOS[[#This Row],[Placa Tracto]]),"")</f>
        <v/>
      </c>
      <c r="K828" s="2" t="str">
        <f>IFERROR(IF(MARÍTIMOS[[#This Row],[Placa Carreta]]="","",MARÍTIMOS[[#This Row],[Placa Carreta]]),"")</f>
        <v/>
      </c>
      <c r="L828" s="44" t="str">
        <f>IFERROR(IF(MARÍTIMOS[[#This Row],[Conductor]]="","",MARÍTIMOS[[#This Row],[Conductor]]),"")</f>
        <v/>
      </c>
      <c r="M828" s="2" t="str">
        <f>IFERROR(IF(MARÍTIMOS[[#This Row],[Licencia]]="","",MARÍTIMOS[[#This Row],[Licencia]]),"")</f>
        <v/>
      </c>
      <c r="N828" s="2" t="str">
        <f>IFERROR(IF(MARÍTIMOS[[#This Row],[Número de Contacto]]="","",MARÍTIMOS[[#This Row],[Número de Contacto]]),"")</f>
        <v/>
      </c>
      <c r="O828" s="10" t="str">
        <f>IFERROR(IF(MARÍTIMOS[[#This Row],[Booking|AWB|CRT]]="","",MARÍTIMOS[[#This Row],[Booking|AWB|CRT]]),"")</f>
        <v/>
      </c>
      <c r="P828" s="2" t="str">
        <f>IFERROR(IF(MARÍTIMOS[[#This Row],[Contenedor]]="","",MARÍTIMOS[[#This Row],[Contenedor]]),"")</f>
        <v/>
      </c>
      <c r="Q828" s="2" t="str">
        <f>IFERROR(IF(MARÍTIMOS[[#This Row],[Puerto de Retiro]]="","",MARÍTIMOS[[#This Row],[Puerto de Retiro]]),"")</f>
        <v/>
      </c>
      <c r="R828" s="2" t="str">
        <f>IFERROR(IF(MARÍTIMOS[[#This Row],[Almacén de Retiro]]="","",MARÍTIMOS[[#This Row],[Almacén de Retiro]]),"")</f>
        <v/>
      </c>
      <c r="S828" s="11" t="str">
        <f>IFERROR(IF(MARÍTIMOS[[#This Row],[Etapa Retiro - Cita]]="","",MARÍTIMOS[[#This Row],[Etapa Retiro - Cita]]),"")</f>
        <v/>
      </c>
      <c r="T828" s="11" t="str">
        <f>IFERROR(IF(MARÍTIMOS[[#This Row],[Etapa Retiro - Llegada]]="","",MARÍTIMOS[[#This Row],[Etapa Retiro - Llegada]]),"")</f>
        <v/>
      </c>
      <c r="U828" s="11" t="str">
        <f>IFERROR(IF(MARÍTIMOS[[#This Row],[Etapa Retiro - Ingreso]]="","",MARÍTIMOS[[#This Row],[Etapa Retiro - Ingreso]]),"")</f>
        <v/>
      </c>
      <c r="V828" s="11" t="str">
        <f>IFERROR(IF(MARÍTIMOS[[#This Row],[Etapa Retiro - Atención]]="","",MARÍTIMOS[[#This Row],[Etapa Retiro - Atención]]),"")</f>
        <v/>
      </c>
      <c r="W828" s="11" t="str">
        <f>IFERROR(IF(MARÍTIMOS[[#This Row],[Etapa Retiro - Atención]]="","",MARÍTIMOS[[#This Row],[Etapa Retiro - Atención]]),"")</f>
        <v/>
      </c>
      <c r="X828" s="11" t="str">
        <f>IFERROR(IF(MARÍTIMOS[[#This Row],[Etapa Retiro - Inicio de Ruta]]="","",MARÍTIMOS[[#This Row],[Etapa Retiro - Inicio de Ruta]]),"")</f>
        <v/>
      </c>
      <c r="Y828" s="11" t="str">
        <f>IFERROR(IF(MARÍTIMOS[[#This Row],[Hora de Posicionamiento]]="","",MARÍTIMOS[[#This Row],[Fecha de Carga]]+MARÍTIMOS[[#This Row],[Hora de Posicionamiento]]),"")</f>
        <v/>
      </c>
      <c r="Z828" s="11" t="str">
        <f>IFERROR(IF(MARÍTIMOS[[#This Row],[Etapa Despacho - Llegada]]="","",MARÍTIMOS[[#This Row],[Etapa Despacho - Llegada]]),"")</f>
        <v/>
      </c>
      <c r="AA828" s="11" t="str">
        <f>IFERROR(IF(MARÍTIMOS[[#This Row],[Etapa Despacho - Registro]]="","",MARÍTIMOS[[#This Row],[Etapa Despacho - Registro]]),"")</f>
        <v/>
      </c>
      <c r="AB828" s="11" t="str">
        <f>IFERROR(IF(MARÍTIMOS[[#This Row],[Inspección Externa]]="","",MARÍTIMOS[[#This Row],[Inspección Externa]]),"")</f>
        <v/>
      </c>
      <c r="AC828" s="11" t="str">
        <f>IFERROR(IF(MARÍTIMOS[[#This Row],[Etapa Despacho - Inicio de Carga]]="","",MARÍTIMOS[[#This Row],[Etapa Despacho - Inicio de Carga]]),"")</f>
        <v/>
      </c>
      <c r="AD828" s="11" t="str">
        <f>IFERROR(IF(MARÍTIMOS[[#This Row],[Etapa Despacho - Mitad de Carga]]="","",MARÍTIMOS[[#This Row],[Etapa Despacho - Mitad de Carga]]),"")</f>
        <v/>
      </c>
      <c r="AE828" s="11" t="str">
        <f>IFERROR(IF(MARÍTIMOS[[#This Row],[Etapa Despacho - Fin de Carga]]="","",MARÍTIMOS[[#This Row],[Etapa Despacho - Fin de Carga]]),"")</f>
        <v/>
      </c>
      <c r="AF828" s="2" t="str">
        <f>IFERROR(IF(MARÍTIMOS[[#This Row],[Puerto de Embarque]]="","",MARÍTIMOS[[#This Row],[Puerto de Embarque]]),"")</f>
        <v/>
      </c>
      <c r="AG828" s="2" t="str">
        <f>IFERROR(IF(MARÍTIMOS[[#This Row],[Almacén de Ingreso]]="","",MARÍTIMOS[[#This Row],[Almacén de Ingreso]]),"")</f>
        <v/>
      </c>
      <c r="AH828" s="11" t="str">
        <f>IFERROR(IF(MARÍTIMOS[[#This Row],[Etapa Ingreso - Cita]]="","",MARÍTIMOS[[#This Row],[Etapa Ingreso - Cita]]),"")</f>
        <v/>
      </c>
      <c r="AI828" s="11" t="str">
        <f>IFERROR(IF(MARÍTIMOS[[#This Row],[Etapa Ingreso - Llegada]]="","",MARÍTIMOS[[#This Row],[Etapa Ingreso - Llegada]]),"")</f>
        <v/>
      </c>
      <c r="AJ828" s="11" t="str">
        <f>IFERROR(IF(MARÍTIMOS[[#This Row],[Etapa Ingreso - Ingeso]]="","",MARÍTIMOS[[#This Row],[Etapa Ingreso - Ingeso]]),"")</f>
        <v/>
      </c>
      <c r="AK828" s="11" t="str">
        <f>IFERROR(IF(MARÍTIMOS[[#This Row],[Etapa Ingreso - Atención]]="","",MARÍTIMOS[[#This Row],[Etapa Ingreso - Atención]]),"")</f>
        <v/>
      </c>
      <c r="AL828" s="11" t="str">
        <f>IFERROR(IF(MARÍTIMOS[[#This Row],[Etapa Ingreso - Salida]]="","",MARÍTIMOS[[#This Row],[Etapa Ingreso - Salida]]),"")</f>
        <v/>
      </c>
      <c r="AM828" s="2" t="str">
        <f>IFERROR(IF(MARÍTIMOS[[#This Row],[FCL]]="","",MARÍTIMOS[[#This Row],[FCL]]),"")</f>
        <v/>
      </c>
      <c r="AN8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8" s="4" t="str" cm="1">
        <f t="array" ref="AO8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8" s="5" t="str">
        <f>IFERROR(OLDBD[[#This Row],[Llegada a packing]]-OLDBD[[#This Row],[Inicio de Ruta]],"")</f>
        <v/>
      </c>
      <c r="AQ828" s="6" t="str">
        <f>IFERROR(OLDBD[[#This Row],[Inicio de Ruta]]-OLDBD[[#This Row],[Salida de almacén de retiro]],"")</f>
        <v/>
      </c>
      <c r="AR8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8" s="8" t="str" cm="1">
        <f t="array" ref="AS8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8" s="9" t="str">
        <f>IFERROR(OLDBD[[#This Row],[Ingreso Packing]]-OLDBD[[#This Row],[Registro en Packing]],"")</f>
        <v/>
      </c>
      <c r="AV828" s="9" t="str">
        <f>IFERROR(OLDBD[[#This Row],[Ingreso Packing]]-OLDBD[[#This Row],[Llegada a packing]],"")</f>
        <v/>
      </c>
      <c r="AW8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8" s="5" t="str">
        <f>IFERROR(OLDBD[[#This Row],[Llegada Almacén de Ingreso]]-OLDBD[[#This Row],[Salida Packing]],"")</f>
        <v/>
      </c>
      <c r="AY828" s="4" t="str" cm="1">
        <f t="array" ref="AY8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8" s="43" t="s">
        <v>173</v>
      </c>
      <c r="BB828" s="47" t="str">
        <f>IFERROR(IF(MARÍTIMOS[[#This Row],[Estatus]]="","",MARÍTIMOS[[#This Row],[Estatus]]),"")</f>
        <v/>
      </c>
      <c r="BC828" s="43"/>
      <c r="BD828" s="46" t="str">
        <f>IFERROR(OLDBD[[#This Row],[Salida de almacén de retiro]]-OLDBD[[#This Row],[Ingreso Almacén de retiro]],"")</f>
        <v/>
      </c>
      <c r="BE828" s="46" t="str">
        <f>IFERROR(OLDBD[[#This Row],[Fin de Carga]]-OLDBD[[#This Row],[Inicio de Carga]],"")</f>
        <v/>
      </c>
    </row>
    <row r="829" spans="1:57" customFormat="1" hidden="1">
      <c r="A829" s="1"/>
      <c r="B829" s="1" t="str">
        <f>IFERROR(IF(MARÍTIMOS[[#This Row],[PP]]="","",MARÍTIMOS[[#This Row],[PP]]),"")</f>
        <v/>
      </c>
      <c r="C829" s="1" t="str">
        <f>IFERROR(IF(MARÍTIMOS[[#This Row],[Sede]]="","",MARÍTIMOS[[#This Row],[Sede]]),"")</f>
        <v/>
      </c>
      <c r="D829" s="1" t="str">
        <f>IFERROR(IF(MARÍTIMOS[[#This Row],[Instruction]]="","",MARÍTIMOS[[#This Row],[Instruction]]),"")</f>
        <v/>
      </c>
      <c r="E829" s="1"/>
      <c r="F829" s="2" t="str">
        <f>IFERROR(IF(MARÍTIMOS[[#This Row],[Transportista]]="","",MARÍTIMOS[[#This Row],[Transportista]]),"")</f>
        <v/>
      </c>
      <c r="G829" s="2" t="str">
        <f>IFERROR(IF(MARÍTIMOS[[#This Row],[Tercero]]="","",MARÍTIMOS[[#This Row],[Tercero]]),"")</f>
        <v/>
      </c>
      <c r="H829" s="2" t="str">
        <f>IFERROR(IF(MARÍTIMOS[[#This Row],[Razón Social]]="","",MARÍTIMOS[[#This Row],[Razón Social]]),"")</f>
        <v/>
      </c>
      <c r="I829" s="2" t="str">
        <f>IFERROR(IF(MARÍTIMOS[[#This Row],[RUC]]="","",MARÍTIMOS[[#This Row],[RUC]]),"")</f>
        <v/>
      </c>
      <c r="J829" s="2" t="str">
        <f>IFERROR(IF(MARÍTIMOS[[#This Row],[Placa Tracto]]="","",MARÍTIMOS[[#This Row],[Placa Tracto]]),"")</f>
        <v/>
      </c>
      <c r="K829" s="2" t="str">
        <f>IFERROR(IF(MARÍTIMOS[[#This Row],[Placa Carreta]]="","",MARÍTIMOS[[#This Row],[Placa Carreta]]),"")</f>
        <v/>
      </c>
      <c r="L829" s="44" t="str">
        <f>IFERROR(IF(MARÍTIMOS[[#This Row],[Conductor]]="","",MARÍTIMOS[[#This Row],[Conductor]]),"")</f>
        <v/>
      </c>
      <c r="M829" s="2" t="str">
        <f>IFERROR(IF(MARÍTIMOS[[#This Row],[Licencia]]="","",MARÍTIMOS[[#This Row],[Licencia]]),"")</f>
        <v/>
      </c>
      <c r="N829" s="2" t="str">
        <f>IFERROR(IF(MARÍTIMOS[[#This Row],[Número de Contacto]]="","",MARÍTIMOS[[#This Row],[Número de Contacto]]),"")</f>
        <v/>
      </c>
      <c r="O829" s="10" t="str">
        <f>IFERROR(IF(MARÍTIMOS[[#This Row],[Booking|AWB|CRT]]="","",MARÍTIMOS[[#This Row],[Booking|AWB|CRT]]),"")</f>
        <v/>
      </c>
      <c r="P829" s="2" t="str">
        <f>IFERROR(IF(MARÍTIMOS[[#This Row],[Contenedor]]="","",MARÍTIMOS[[#This Row],[Contenedor]]),"")</f>
        <v/>
      </c>
      <c r="Q829" s="2" t="str">
        <f>IFERROR(IF(MARÍTIMOS[[#This Row],[Puerto de Retiro]]="","",MARÍTIMOS[[#This Row],[Puerto de Retiro]]),"")</f>
        <v/>
      </c>
      <c r="R829" s="2" t="str">
        <f>IFERROR(IF(MARÍTIMOS[[#This Row],[Almacén de Retiro]]="","",MARÍTIMOS[[#This Row],[Almacén de Retiro]]),"")</f>
        <v/>
      </c>
      <c r="S829" s="11" t="str">
        <f>IFERROR(IF(MARÍTIMOS[[#This Row],[Etapa Retiro - Cita]]="","",MARÍTIMOS[[#This Row],[Etapa Retiro - Cita]]),"")</f>
        <v/>
      </c>
      <c r="T829" s="11" t="str">
        <f>IFERROR(IF(MARÍTIMOS[[#This Row],[Etapa Retiro - Llegada]]="","",MARÍTIMOS[[#This Row],[Etapa Retiro - Llegada]]),"")</f>
        <v/>
      </c>
      <c r="U829" s="11" t="str">
        <f>IFERROR(IF(MARÍTIMOS[[#This Row],[Etapa Retiro - Ingreso]]="","",MARÍTIMOS[[#This Row],[Etapa Retiro - Ingreso]]),"")</f>
        <v/>
      </c>
      <c r="V829" s="11" t="str">
        <f>IFERROR(IF(MARÍTIMOS[[#This Row],[Etapa Retiro - Atención]]="","",MARÍTIMOS[[#This Row],[Etapa Retiro - Atención]]),"")</f>
        <v/>
      </c>
      <c r="W829" s="11" t="str">
        <f>IFERROR(IF(MARÍTIMOS[[#This Row],[Etapa Retiro - Atención]]="","",MARÍTIMOS[[#This Row],[Etapa Retiro - Atención]]),"")</f>
        <v/>
      </c>
      <c r="X829" s="11" t="str">
        <f>IFERROR(IF(MARÍTIMOS[[#This Row],[Etapa Retiro - Inicio de Ruta]]="","",MARÍTIMOS[[#This Row],[Etapa Retiro - Inicio de Ruta]]),"")</f>
        <v/>
      </c>
      <c r="Y829" s="11" t="str">
        <f>IFERROR(IF(MARÍTIMOS[[#This Row],[Hora de Posicionamiento]]="","",MARÍTIMOS[[#This Row],[Fecha de Carga]]+MARÍTIMOS[[#This Row],[Hora de Posicionamiento]]),"")</f>
        <v/>
      </c>
      <c r="Z829" s="11" t="str">
        <f>IFERROR(IF(MARÍTIMOS[[#This Row],[Etapa Despacho - Llegada]]="","",MARÍTIMOS[[#This Row],[Etapa Despacho - Llegada]]),"")</f>
        <v/>
      </c>
      <c r="AA829" s="11" t="str">
        <f>IFERROR(IF(MARÍTIMOS[[#This Row],[Etapa Despacho - Registro]]="","",MARÍTIMOS[[#This Row],[Etapa Despacho - Registro]]),"")</f>
        <v/>
      </c>
      <c r="AB829" s="11" t="str">
        <f>IFERROR(IF(MARÍTIMOS[[#This Row],[Inspección Externa]]="","",MARÍTIMOS[[#This Row],[Inspección Externa]]),"")</f>
        <v/>
      </c>
      <c r="AC829" s="11" t="str">
        <f>IFERROR(IF(MARÍTIMOS[[#This Row],[Etapa Despacho - Inicio de Carga]]="","",MARÍTIMOS[[#This Row],[Etapa Despacho - Inicio de Carga]]),"")</f>
        <v/>
      </c>
      <c r="AD829" s="11" t="str">
        <f>IFERROR(IF(MARÍTIMOS[[#This Row],[Etapa Despacho - Mitad de Carga]]="","",MARÍTIMOS[[#This Row],[Etapa Despacho - Mitad de Carga]]),"")</f>
        <v/>
      </c>
      <c r="AE829" s="11" t="str">
        <f>IFERROR(IF(MARÍTIMOS[[#This Row],[Etapa Despacho - Fin de Carga]]="","",MARÍTIMOS[[#This Row],[Etapa Despacho - Fin de Carga]]),"")</f>
        <v/>
      </c>
      <c r="AF829" s="2" t="str">
        <f>IFERROR(IF(MARÍTIMOS[[#This Row],[Puerto de Embarque]]="","",MARÍTIMOS[[#This Row],[Puerto de Embarque]]),"")</f>
        <v/>
      </c>
      <c r="AG829" s="2" t="str">
        <f>IFERROR(IF(MARÍTIMOS[[#This Row],[Almacén de Ingreso]]="","",MARÍTIMOS[[#This Row],[Almacén de Ingreso]]),"")</f>
        <v/>
      </c>
      <c r="AH829" s="11" t="str">
        <f>IFERROR(IF(MARÍTIMOS[[#This Row],[Etapa Ingreso - Cita]]="","",MARÍTIMOS[[#This Row],[Etapa Ingreso - Cita]]),"")</f>
        <v/>
      </c>
      <c r="AI829" s="11" t="str">
        <f>IFERROR(IF(MARÍTIMOS[[#This Row],[Etapa Ingreso - Llegada]]="","",MARÍTIMOS[[#This Row],[Etapa Ingreso - Llegada]]),"")</f>
        <v/>
      </c>
      <c r="AJ829" s="11" t="str">
        <f>IFERROR(IF(MARÍTIMOS[[#This Row],[Etapa Ingreso - Ingeso]]="","",MARÍTIMOS[[#This Row],[Etapa Ingreso - Ingeso]]),"")</f>
        <v/>
      </c>
      <c r="AK829" s="11" t="str">
        <f>IFERROR(IF(MARÍTIMOS[[#This Row],[Etapa Ingreso - Atención]]="","",MARÍTIMOS[[#This Row],[Etapa Ingreso - Atención]]),"")</f>
        <v/>
      </c>
      <c r="AL829" s="11" t="str">
        <f>IFERROR(IF(MARÍTIMOS[[#This Row],[Etapa Ingreso - Salida]]="","",MARÍTIMOS[[#This Row],[Etapa Ingreso - Salida]]),"")</f>
        <v/>
      </c>
      <c r="AM829" s="2" t="str">
        <f>IFERROR(IF(MARÍTIMOS[[#This Row],[FCL]]="","",MARÍTIMOS[[#This Row],[FCL]]),"")</f>
        <v/>
      </c>
      <c r="AN8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29" s="4" t="str" cm="1">
        <f t="array" ref="AO8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29" s="5" t="str">
        <f>IFERROR(OLDBD[[#This Row],[Llegada a packing]]-OLDBD[[#This Row],[Inicio de Ruta]],"")</f>
        <v/>
      </c>
      <c r="AQ829" s="6" t="str">
        <f>IFERROR(OLDBD[[#This Row],[Inicio de Ruta]]-OLDBD[[#This Row],[Salida de almacén de retiro]],"")</f>
        <v/>
      </c>
      <c r="AR8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29" s="8" t="str" cm="1">
        <f t="array" ref="AS8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29" s="9" t="str">
        <f>IFERROR(OLDBD[[#This Row],[Ingreso Packing]]-OLDBD[[#This Row],[Registro en Packing]],"")</f>
        <v/>
      </c>
      <c r="AV829" s="9" t="str">
        <f>IFERROR(OLDBD[[#This Row],[Ingreso Packing]]-OLDBD[[#This Row],[Llegada a packing]],"")</f>
        <v/>
      </c>
      <c r="AW8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29" s="5" t="str">
        <f>IFERROR(OLDBD[[#This Row],[Llegada Almacén de Ingreso]]-OLDBD[[#This Row],[Salida Packing]],"")</f>
        <v/>
      </c>
      <c r="AY829" s="4" t="str" cm="1">
        <f t="array" ref="AY8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29" s="43" t="s">
        <v>173</v>
      </c>
      <c r="BB829" s="47" t="str">
        <f>IFERROR(IF(MARÍTIMOS[[#This Row],[Estatus]]="","",MARÍTIMOS[[#This Row],[Estatus]]),"")</f>
        <v/>
      </c>
      <c r="BC829" s="43"/>
      <c r="BD829" s="46" t="str">
        <f>IFERROR(OLDBD[[#This Row],[Salida de almacén de retiro]]-OLDBD[[#This Row],[Ingreso Almacén de retiro]],"")</f>
        <v/>
      </c>
      <c r="BE829" s="46" t="str">
        <f>IFERROR(OLDBD[[#This Row],[Fin de Carga]]-OLDBD[[#This Row],[Inicio de Carga]],"")</f>
        <v/>
      </c>
    </row>
    <row r="830" spans="1:57" customFormat="1" hidden="1">
      <c r="A830" s="1"/>
      <c r="B830" s="1" t="str">
        <f>IFERROR(IF(MARÍTIMOS[[#This Row],[PP]]="","",MARÍTIMOS[[#This Row],[PP]]),"")</f>
        <v/>
      </c>
      <c r="C830" s="1" t="str">
        <f>IFERROR(IF(MARÍTIMOS[[#This Row],[Sede]]="","",MARÍTIMOS[[#This Row],[Sede]]),"")</f>
        <v/>
      </c>
      <c r="D830" s="1" t="str">
        <f>IFERROR(IF(MARÍTIMOS[[#This Row],[Instruction]]="","",MARÍTIMOS[[#This Row],[Instruction]]),"")</f>
        <v/>
      </c>
      <c r="E830" s="1"/>
      <c r="F830" s="2" t="str">
        <f>IFERROR(IF(MARÍTIMOS[[#This Row],[Transportista]]="","",MARÍTIMOS[[#This Row],[Transportista]]),"")</f>
        <v/>
      </c>
      <c r="G830" s="2" t="str">
        <f>IFERROR(IF(MARÍTIMOS[[#This Row],[Tercero]]="","",MARÍTIMOS[[#This Row],[Tercero]]),"")</f>
        <v/>
      </c>
      <c r="H830" s="2" t="str">
        <f>IFERROR(IF(MARÍTIMOS[[#This Row],[Razón Social]]="","",MARÍTIMOS[[#This Row],[Razón Social]]),"")</f>
        <v/>
      </c>
      <c r="I830" s="2" t="str">
        <f>IFERROR(IF(MARÍTIMOS[[#This Row],[RUC]]="","",MARÍTIMOS[[#This Row],[RUC]]),"")</f>
        <v/>
      </c>
      <c r="J830" s="2" t="str">
        <f>IFERROR(IF(MARÍTIMOS[[#This Row],[Placa Tracto]]="","",MARÍTIMOS[[#This Row],[Placa Tracto]]),"")</f>
        <v/>
      </c>
      <c r="K830" s="2" t="str">
        <f>IFERROR(IF(MARÍTIMOS[[#This Row],[Placa Carreta]]="","",MARÍTIMOS[[#This Row],[Placa Carreta]]),"")</f>
        <v/>
      </c>
      <c r="L830" s="44" t="str">
        <f>IFERROR(IF(MARÍTIMOS[[#This Row],[Conductor]]="","",MARÍTIMOS[[#This Row],[Conductor]]),"")</f>
        <v/>
      </c>
      <c r="M830" s="2" t="str">
        <f>IFERROR(IF(MARÍTIMOS[[#This Row],[Licencia]]="","",MARÍTIMOS[[#This Row],[Licencia]]),"")</f>
        <v/>
      </c>
      <c r="N830" s="2" t="str">
        <f>IFERROR(IF(MARÍTIMOS[[#This Row],[Número de Contacto]]="","",MARÍTIMOS[[#This Row],[Número de Contacto]]),"")</f>
        <v/>
      </c>
      <c r="O830" s="10" t="str">
        <f>IFERROR(IF(MARÍTIMOS[[#This Row],[Booking|AWB|CRT]]="","",MARÍTIMOS[[#This Row],[Booking|AWB|CRT]]),"")</f>
        <v/>
      </c>
      <c r="P830" s="2" t="str">
        <f>IFERROR(IF(MARÍTIMOS[[#This Row],[Contenedor]]="","",MARÍTIMOS[[#This Row],[Contenedor]]),"")</f>
        <v/>
      </c>
      <c r="Q830" s="2" t="str">
        <f>IFERROR(IF(MARÍTIMOS[[#This Row],[Puerto de Retiro]]="","",MARÍTIMOS[[#This Row],[Puerto de Retiro]]),"")</f>
        <v/>
      </c>
      <c r="R830" s="2" t="str">
        <f>IFERROR(IF(MARÍTIMOS[[#This Row],[Almacén de Retiro]]="","",MARÍTIMOS[[#This Row],[Almacén de Retiro]]),"")</f>
        <v/>
      </c>
      <c r="S830" s="11" t="str">
        <f>IFERROR(IF(MARÍTIMOS[[#This Row],[Etapa Retiro - Cita]]="","",MARÍTIMOS[[#This Row],[Etapa Retiro - Cita]]),"")</f>
        <v/>
      </c>
      <c r="T830" s="11" t="str">
        <f>IFERROR(IF(MARÍTIMOS[[#This Row],[Etapa Retiro - Llegada]]="","",MARÍTIMOS[[#This Row],[Etapa Retiro - Llegada]]),"")</f>
        <v/>
      </c>
      <c r="U830" s="11" t="str">
        <f>IFERROR(IF(MARÍTIMOS[[#This Row],[Etapa Retiro - Ingreso]]="","",MARÍTIMOS[[#This Row],[Etapa Retiro - Ingreso]]),"")</f>
        <v/>
      </c>
      <c r="V830" s="11" t="str">
        <f>IFERROR(IF(MARÍTIMOS[[#This Row],[Etapa Retiro - Atención]]="","",MARÍTIMOS[[#This Row],[Etapa Retiro - Atención]]),"")</f>
        <v/>
      </c>
      <c r="W830" s="11" t="str">
        <f>IFERROR(IF(MARÍTIMOS[[#This Row],[Etapa Retiro - Atención]]="","",MARÍTIMOS[[#This Row],[Etapa Retiro - Atención]]),"")</f>
        <v/>
      </c>
      <c r="X830" s="11" t="str">
        <f>IFERROR(IF(MARÍTIMOS[[#This Row],[Etapa Retiro - Inicio de Ruta]]="","",MARÍTIMOS[[#This Row],[Etapa Retiro - Inicio de Ruta]]),"")</f>
        <v/>
      </c>
      <c r="Y830" s="11" t="str">
        <f>IFERROR(IF(MARÍTIMOS[[#This Row],[Hora de Posicionamiento]]="","",MARÍTIMOS[[#This Row],[Fecha de Carga]]+MARÍTIMOS[[#This Row],[Hora de Posicionamiento]]),"")</f>
        <v/>
      </c>
      <c r="Z830" s="11" t="str">
        <f>IFERROR(IF(MARÍTIMOS[[#This Row],[Etapa Despacho - Llegada]]="","",MARÍTIMOS[[#This Row],[Etapa Despacho - Llegada]]),"")</f>
        <v/>
      </c>
      <c r="AA830" s="11" t="str">
        <f>IFERROR(IF(MARÍTIMOS[[#This Row],[Etapa Despacho - Registro]]="","",MARÍTIMOS[[#This Row],[Etapa Despacho - Registro]]),"")</f>
        <v/>
      </c>
      <c r="AB830" s="11" t="str">
        <f>IFERROR(IF(MARÍTIMOS[[#This Row],[Inspección Externa]]="","",MARÍTIMOS[[#This Row],[Inspección Externa]]),"")</f>
        <v/>
      </c>
      <c r="AC830" s="11" t="str">
        <f>IFERROR(IF(MARÍTIMOS[[#This Row],[Etapa Despacho - Inicio de Carga]]="","",MARÍTIMOS[[#This Row],[Etapa Despacho - Inicio de Carga]]),"")</f>
        <v/>
      </c>
      <c r="AD830" s="11" t="str">
        <f>IFERROR(IF(MARÍTIMOS[[#This Row],[Etapa Despacho - Mitad de Carga]]="","",MARÍTIMOS[[#This Row],[Etapa Despacho - Mitad de Carga]]),"")</f>
        <v/>
      </c>
      <c r="AE830" s="11" t="str">
        <f>IFERROR(IF(MARÍTIMOS[[#This Row],[Etapa Despacho - Fin de Carga]]="","",MARÍTIMOS[[#This Row],[Etapa Despacho - Fin de Carga]]),"")</f>
        <v/>
      </c>
      <c r="AF830" s="2" t="str">
        <f>IFERROR(IF(MARÍTIMOS[[#This Row],[Puerto de Embarque]]="","",MARÍTIMOS[[#This Row],[Puerto de Embarque]]),"")</f>
        <v/>
      </c>
      <c r="AG830" s="2" t="str">
        <f>IFERROR(IF(MARÍTIMOS[[#This Row],[Almacén de Ingreso]]="","",MARÍTIMOS[[#This Row],[Almacén de Ingreso]]),"")</f>
        <v/>
      </c>
      <c r="AH830" s="11" t="str">
        <f>IFERROR(IF(MARÍTIMOS[[#This Row],[Etapa Ingreso - Cita]]="","",MARÍTIMOS[[#This Row],[Etapa Ingreso - Cita]]),"")</f>
        <v/>
      </c>
      <c r="AI830" s="11" t="str">
        <f>IFERROR(IF(MARÍTIMOS[[#This Row],[Etapa Ingreso - Llegada]]="","",MARÍTIMOS[[#This Row],[Etapa Ingreso - Llegada]]),"")</f>
        <v/>
      </c>
      <c r="AJ830" s="11" t="str">
        <f>IFERROR(IF(MARÍTIMOS[[#This Row],[Etapa Ingreso - Ingeso]]="","",MARÍTIMOS[[#This Row],[Etapa Ingreso - Ingeso]]),"")</f>
        <v/>
      </c>
      <c r="AK830" s="11" t="str">
        <f>IFERROR(IF(MARÍTIMOS[[#This Row],[Etapa Ingreso - Atención]]="","",MARÍTIMOS[[#This Row],[Etapa Ingreso - Atención]]),"")</f>
        <v/>
      </c>
      <c r="AL830" s="11" t="str">
        <f>IFERROR(IF(MARÍTIMOS[[#This Row],[Etapa Ingreso - Salida]]="","",MARÍTIMOS[[#This Row],[Etapa Ingreso - Salida]]),"")</f>
        <v/>
      </c>
      <c r="AM830" s="2" t="str">
        <f>IFERROR(IF(MARÍTIMOS[[#This Row],[FCL]]="","",MARÍTIMOS[[#This Row],[FCL]]),"")</f>
        <v/>
      </c>
      <c r="AN8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0" s="4" t="str" cm="1">
        <f t="array" ref="AO8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0" s="5" t="str">
        <f>IFERROR(OLDBD[[#This Row],[Llegada a packing]]-OLDBD[[#This Row],[Inicio de Ruta]],"")</f>
        <v/>
      </c>
      <c r="AQ830" s="6" t="str">
        <f>IFERROR(OLDBD[[#This Row],[Inicio de Ruta]]-OLDBD[[#This Row],[Salida de almacén de retiro]],"")</f>
        <v/>
      </c>
      <c r="AR8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0" s="8" t="str" cm="1">
        <f t="array" ref="AS8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0" s="9" t="str">
        <f>IFERROR(OLDBD[[#This Row],[Ingreso Packing]]-OLDBD[[#This Row],[Registro en Packing]],"")</f>
        <v/>
      </c>
      <c r="AV830" s="9" t="str">
        <f>IFERROR(OLDBD[[#This Row],[Ingreso Packing]]-OLDBD[[#This Row],[Llegada a packing]],"")</f>
        <v/>
      </c>
      <c r="AW8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0" s="5" t="str">
        <f>IFERROR(OLDBD[[#This Row],[Llegada Almacén de Ingreso]]-OLDBD[[#This Row],[Salida Packing]],"")</f>
        <v/>
      </c>
      <c r="AY830" s="4" t="str" cm="1">
        <f t="array" ref="AY8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0" s="43" t="s">
        <v>173</v>
      </c>
      <c r="BB830" s="47" t="str">
        <f>IFERROR(IF(MARÍTIMOS[[#This Row],[Estatus]]="","",MARÍTIMOS[[#This Row],[Estatus]]),"")</f>
        <v/>
      </c>
      <c r="BC830" s="43"/>
      <c r="BD830" s="46" t="str">
        <f>IFERROR(OLDBD[[#This Row],[Salida de almacén de retiro]]-OLDBD[[#This Row],[Ingreso Almacén de retiro]],"")</f>
        <v/>
      </c>
      <c r="BE830" s="46" t="str">
        <f>IFERROR(OLDBD[[#This Row],[Fin de Carga]]-OLDBD[[#This Row],[Inicio de Carga]],"")</f>
        <v/>
      </c>
    </row>
    <row r="831" spans="1:57" customFormat="1" hidden="1">
      <c r="A831" s="1"/>
      <c r="B831" s="1" t="str">
        <f>IFERROR(IF(MARÍTIMOS[[#This Row],[PP]]="","",MARÍTIMOS[[#This Row],[PP]]),"")</f>
        <v/>
      </c>
      <c r="C831" s="1" t="str">
        <f>IFERROR(IF(MARÍTIMOS[[#This Row],[Sede]]="","",MARÍTIMOS[[#This Row],[Sede]]),"")</f>
        <v/>
      </c>
      <c r="D831" s="1" t="str">
        <f>IFERROR(IF(MARÍTIMOS[[#This Row],[Instruction]]="","",MARÍTIMOS[[#This Row],[Instruction]]),"")</f>
        <v/>
      </c>
      <c r="E831" s="1"/>
      <c r="F831" s="2" t="str">
        <f>IFERROR(IF(MARÍTIMOS[[#This Row],[Transportista]]="","",MARÍTIMOS[[#This Row],[Transportista]]),"")</f>
        <v/>
      </c>
      <c r="G831" s="2" t="str">
        <f>IFERROR(IF(MARÍTIMOS[[#This Row],[Tercero]]="","",MARÍTIMOS[[#This Row],[Tercero]]),"")</f>
        <v/>
      </c>
      <c r="H831" s="2" t="str">
        <f>IFERROR(IF(MARÍTIMOS[[#This Row],[Razón Social]]="","",MARÍTIMOS[[#This Row],[Razón Social]]),"")</f>
        <v/>
      </c>
      <c r="I831" s="2" t="str">
        <f>IFERROR(IF(MARÍTIMOS[[#This Row],[RUC]]="","",MARÍTIMOS[[#This Row],[RUC]]),"")</f>
        <v/>
      </c>
      <c r="J831" s="2" t="str">
        <f>IFERROR(IF(MARÍTIMOS[[#This Row],[Placa Tracto]]="","",MARÍTIMOS[[#This Row],[Placa Tracto]]),"")</f>
        <v/>
      </c>
      <c r="K831" s="2" t="str">
        <f>IFERROR(IF(MARÍTIMOS[[#This Row],[Placa Carreta]]="","",MARÍTIMOS[[#This Row],[Placa Carreta]]),"")</f>
        <v/>
      </c>
      <c r="L831" s="44" t="str">
        <f>IFERROR(IF(MARÍTIMOS[[#This Row],[Conductor]]="","",MARÍTIMOS[[#This Row],[Conductor]]),"")</f>
        <v/>
      </c>
      <c r="M831" s="2" t="str">
        <f>IFERROR(IF(MARÍTIMOS[[#This Row],[Licencia]]="","",MARÍTIMOS[[#This Row],[Licencia]]),"")</f>
        <v/>
      </c>
      <c r="N831" s="2" t="str">
        <f>IFERROR(IF(MARÍTIMOS[[#This Row],[Número de Contacto]]="","",MARÍTIMOS[[#This Row],[Número de Contacto]]),"")</f>
        <v/>
      </c>
      <c r="O831" s="10" t="str">
        <f>IFERROR(IF(MARÍTIMOS[[#This Row],[Booking|AWB|CRT]]="","",MARÍTIMOS[[#This Row],[Booking|AWB|CRT]]),"")</f>
        <v/>
      </c>
      <c r="P831" s="2" t="str">
        <f>IFERROR(IF(MARÍTIMOS[[#This Row],[Contenedor]]="","",MARÍTIMOS[[#This Row],[Contenedor]]),"")</f>
        <v/>
      </c>
      <c r="Q831" s="2" t="str">
        <f>IFERROR(IF(MARÍTIMOS[[#This Row],[Puerto de Retiro]]="","",MARÍTIMOS[[#This Row],[Puerto de Retiro]]),"")</f>
        <v/>
      </c>
      <c r="R831" s="2" t="str">
        <f>IFERROR(IF(MARÍTIMOS[[#This Row],[Almacén de Retiro]]="","",MARÍTIMOS[[#This Row],[Almacén de Retiro]]),"")</f>
        <v/>
      </c>
      <c r="S831" s="11" t="str">
        <f>IFERROR(IF(MARÍTIMOS[[#This Row],[Etapa Retiro - Cita]]="","",MARÍTIMOS[[#This Row],[Etapa Retiro - Cita]]),"")</f>
        <v/>
      </c>
      <c r="T831" s="11" t="str">
        <f>IFERROR(IF(MARÍTIMOS[[#This Row],[Etapa Retiro - Llegada]]="","",MARÍTIMOS[[#This Row],[Etapa Retiro - Llegada]]),"")</f>
        <v/>
      </c>
      <c r="U831" s="11" t="str">
        <f>IFERROR(IF(MARÍTIMOS[[#This Row],[Etapa Retiro - Ingreso]]="","",MARÍTIMOS[[#This Row],[Etapa Retiro - Ingreso]]),"")</f>
        <v/>
      </c>
      <c r="V831" s="11" t="str">
        <f>IFERROR(IF(MARÍTIMOS[[#This Row],[Etapa Retiro - Atención]]="","",MARÍTIMOS[[#This Row],[Etapa Retiro - Atención]]),"")</f>
        <v/>
      </c>
      <c r="W831" s="11" t="str">
        <f>IFERROR(IF(MARÍTIMOS[[#This Row],[Etapa Retiro - Atención]]="","",MARÍTIMOS[[#This Row],[Etapa Retiro - Atención]]),"")</f>
        <v/>
      </c>
      <c r="X831" s="11" t="str">
        <f>IFERROR(IF(MARÍTIMOS[[#This Row],[Etapa Retiro - Inicio de Ruta]]="","",MARÍTIMOS[[#This Row],[Etapa Retiro - Inicio de Ruta]]),"")</f>
        <v/>
      </c>
      <c r="Y831" s="11" t="str">
        <f>IFERROR(IF(MARÍTIMOS[[#This Row],[Hora de Posicionamiento]]="","",MARÍTIMOS[[#This Row],[Fecha de Carga]]+MARÍTIMOS[[#This Row],[Hora de Posicionamiento]]),"")</f>
        <v/>
      </c>
      <c r="Z831" s="11" t="str">
        <f>IFERROR(IF(MARÍTIMOS[[#This Row],[Etapa Despacho - Llegada]]="","",MARÍTIMOS[[#This Row],[Etapa Despacho - Llegada]]),"")</f>
        <v/>
      </c>
      <c r="AA831" s="11" t="str">
        <f>IFERROR(IF(MARÍTIMOS[[#This Row],[Etapa Despacho - Registro]]="","",MARÍTIMOS[[#This Row],[Etapa Despacho - Registro]]),"")</f>
        <v/>
      </c>
      <c r="AB831" s="11" t="str">
        <f>IFERROR(IF(MARÍTIMOS[[#This Row],[Inspección Externa]]="","",MARÍTIMOS[[#This Row],[Inspección Externa]]),"")</f>
        <v/>
      </c>
      <c r="AC831" s="11" t="str">
        <f>IFERROR(IF(MARÍTIMOS[[#This Row],[Etapa Despacho - Inicio de Carga]]="","",MARÍTIMOS[[#This Row],[Etapa Despacho - Inicio de Carga]]),"")</f>
        <v/>
      </c>
      <c r="AD831" s="11" t="str">
        <f>IFERROR(IF(MARÍTIMOS[[#This Row],[Etapa Despacho - Mitad de Carga]]="","",MARÍTIMOS[[#This Row],[Etapa Despacho - Mitad de Carga]]),"")</f>
        <v/>
      </c>
      <c r="AE831" s="11" t="str">
        <f>IFERROR(IF(MARÍTIMOS[[#This Row],[Etapa Despacho - Fin de Carga]]="","",MARÍTIMOS[[#This Row],[Etapa Despacho - Fin de Carga]]),"")</f>
        <v/>
      </c>
      <c r="AF831" s="2" t="str">
        <f>IFERROR(IF(MARÍTIMOS[[#This Row],[Puerto de Embarque]]="","",MARÍTIMOS[[#This Row],[Puerto de Embarque]]),"")</f>
        <v/>
      </c>
      <c r="AG831" s="2" t="str">
        <f>IFERROR(IF(MARÍTIMOS[[#This Row],[Almacén de Ingreso]]="","",MARÍTIMOS[[#This Row],[Almacén de Ingreso]]),"")</f>
        <v/>
      </c>
      <c r="AH831" s="11" t="str">
        <f>IFERROR(IF(MARÍTIMOS[[#This Row],[Etapa Ingreso - Cita]]="","",MARÍTIMOS[[#This Row],[Etapa Ingreso - Cita]]),"")</f>
        <v/>
      </c>
      <c r="AI831" s="11" t="str">
        <f>IFERROR(IF(MARÍTIMOS[[#This Row],[Etapa Ingreso - Llegada]]="","",MARÍTIMOS[[#This Row],[Etapa Ingreso - Llegada]]),"")</f>
        <v/>
      </c>
      <c r="AJ831" s="11" t="str">
        <f>IFERROR(IF(MARÍTIMOS[[#This Row],[Etapa Ingreso - Ingeso]]="","",MARÍTIMOS[[#This Row],[Etapa Ingreso - Ingeso]]),"")</f>
        <v/>
      </c>
      <c r="AK831" s="11" t="str">
        <f>IFERROR(IF(MARÍTIMOS[[#This Row],[Etapa Ingreso - Atención]]="","",MARÍTIMOS[[#This Row],[Etapa Ingreso - Atención]]),"")</f>
        <v/>
      </c>
      <c r="AL831" s="11" t="str">
        <f>IFERROR(IF(MARÍTIMOS[[#This Row],[Etapa Ingreso - Salida]]="","",MARÍTIMOS[[#This Row],[Etapa Ingreso - Salida]]),"")</f>
        <v/>
      </c>
      <c r="AM831" s="2" t="str">
        <f>IFERROR(IF(MARÍTIMOS[[#This Row],[FCL]]="","",MARÍTIMOS[[#This Row],[FCL]]),"")</f>
        <v/>
      </c>
      <c r="AN8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1" s="4" t="str" cm="1">
        <f t="array" ref="AO8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1" s="5" t="str">
        <f>IFERROR(OLDBD[[#This Row],[Llegada a packing]]-OLDBD[[#This Row],[Inicio de Ruta]],"")</f>
        <v/>
      </c>
      <c r="AQ831" s="6" t="str">
        <f>IFERROR(OLDBD[[#This Row],[Inicio de Ruta]]-OLDBD[[#This Row],[Salida de almacén de retiro]],"")</f>
        <v/>
      </c>
      <c r="AR8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1" s="8" t="str" cm="1">
        <f t="array" ref="AS8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1" s="9" t="str">
        <f>IFERROR(OLDBD[[#This Row],[Ingreso Packing]]-OLDBD[[#This Row],[Registro en Packing]],"")</f>
        <v/>
      </c>
      <c r="AV831" s="9" t="str">
        <f>IFERROR(OLDBD[[#This Row],[Ingreso Packing]]-OLDBD[[#This Row],[Llegada a packing]],"")</f>
        <v/>
      </c>
      <c r="AW8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1" s="5" t="str">
        <f>IFERROR(OLDBD[[#This Row],[Llegada Almacén de Ingreso]]-OLDBD[[#This Row],[Salida Packing]],"")</f>
        <v/>
      </c>
      <c r="AY831" s="4" t="str" cm="1">
        <f t="array" ref="AY8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1" s="43" t="s">
        <v>173</v>
      </c>
      <c r="BB831" s="47" t="str">
        <f>IFERROR(IF(MARÍTIMOS[[#This Row],[Estatus]]="","",MARÍTIMOS[[#This Row],[Estatus]]),"")</f>
        <v/>
      </c>
      <c r="BC831" s="43"/>
      <c r="BD831" s="46" t="str">
        <f>IFERROR(OLDBD[[#This Row],[Salida de almacén de retiro]]-OLDBD[[#This Row],[Ingreso Almacén de retiro]],"")</f>
        <v/>
      </c>
      <c r="BE831" s="46" t="str">
        <f>IFERROR(OLDBD[[#This Row],[Fin de Carga]]-OLDBD[[#This Row],[Inicio de Carga]],"")</f>
        <v/>
      </c>
    </row>
    <row r="832" spans="1:57" customFormat="1" hidden="1">
      <c r="A832" s="1"/>
      <c r="B832" s="1" t="str">
        <f>IFERROR(IF(MARÍTIMOS[[#This Row],[PP]]="","",MARÍTIMOS[[#This Row],[PP]]),"")</f>
        <v/>
      </c>
      <c r="C832" s="1" t="str">
        <f>IFERROR(IF(MARÍTIMOS[[#This Row],[Sede]]="","",MARÍTIMOS[[#This Row],[Sede]]),"")</f>
        <v/>
      </c>
      <c r="D832" s="1" t="str">
        <f>IFERROR(IF(MARÍTIMOS[[#This Row],[Instruction]]="","",MARÍTIMOS[[#This Row],[Instruction]]),"")</f>
        <v/>
      </c>
      <c r="E832" s="1"/>
      <c r="F832" s="2" t="str">
        <f>IFERROR(IF(MARÍTIMOS[[#This Row],[Transportista]]="","",MARÍTIMOS[[#This Row],[Transportista]]),"")</f>
        <v/>
      </c>
      <c r="G832" s="2" t="str">
        <f>IFERROR(IF(MARÍTIMOS[[#This Row],[Tercero]]="","",MARÍTIMOS[[#This Row],[Tercero]]),"")</f>
        <v/>
      </c>
      <c r="H832" s="2" t="str">
        <f>IFERROR(IF(MARÍTIMOS[[#This Row],[Razón Social]]="","",MARÍTIMOS[[#This Row],[Razón Social]]),"")</f>
        <v/>
      </c>
      <c r="I832" s="2" t="str">
        <f>IFERROR(IF(MARÍTIMOS[[#This Row],[RUC]]="","",MARÍTIMOS[[#This Row],[RUC]]),"")</f>
        <v/>
      </c>
      <c r="J832" s="2" t="str">
        <f>IFERROR(IF(MARÍTIMOS[[#This Row],[Placa Tracto]]="","",MARÍTIMOS[[#This Row],[Placa Tracto]]),"")</f>
        <v/>
      </c>
      <c r="K832" s="2" t="str">
        <f>IFERROR(IF(MARÍTIMOS[[#This Row],[Placa Carreta]]="","",MARÍTIMOS[[#This Row],[Placa Carreta]]),"")</f>
        <v/>
      </c>
      <c r="L832" s="44" t="str">
        <f>IFERROR(IF(MARÍTIMOS[[#This Row],[Conductor]]="","",MARÍTIMOS[[#This Row],[Conductor]]),"")</f>
        <v/>
      </c>
      <c r="M832" s="2" t="str">
        <f>IFERROR(IF(MARÍTIMOS[[#This Row],[Licencia]]="","",MARÍTIMOS[[#This Row],[Licencia]]),"")</f>
        <v/>
      </c>
      <c r="N832" s="2" t="str">
        <f>IFERROR(IF(MARÍTIMOS[[#This Row],[Número de Contacto]]="","",MARÍTIMOS[[#This Row],[Número de Contacto]]),"")</f>
        <v/>
      </c>
      <c r="O832" s="10" t="str">
        <f>IFERROR(IF(MARÍTIMOS[[#This Row],[Booking|AWB|CRT]]="","",MARÍTIMOS[[#This Row],[Booking|AWB|CRT]]),"")</f>
        <v/>
      </c>
      <c r="P832" s="2" t="str">
        <f>IFERROR(IF(MARÍTIMOS[[#This Row],[Contenedor]]="","",MARÍTIMOS[[#This Row],[Contenedor]]),"")</f>
        <v/>
      </c>
      <c r="Q832" s="2" t="str">
        <f>IFERROR(IF(MARÍTIMOS[[#This Row],[Puerto de Retiro]]="","",MARÍTIMOS[[#This Row],[Puerto de Retiro]]),"")</f>
        <v/>
      </c>
      <c r="R832" s="2" t="str">
        <f>IFERROR(IF(MARÍTIMOS[[#This Row],[Almacén de Retiro]]="","",MARÍTIMOS[[#This Row],[Almacén de Retiro]]),"")</f>
        <v/>
      </c>
      <c r="S832" s="11" t="str">
        <f>IFERROR(IF(MARÍTIMOS[[#This Row],[Etapa Retiro - Cita]]="","",MARÍTIMOS[[#This Row],[Etapa Retiro - Cita]]),"")</f>
        <v/>
      </c>
      <c r="T832" s="11" t="str">
        <f>IFERROR(IF(MARÍTIMOS[[#This Row],[Etapa Retiro - Llegada]]="","",MARÍTIMOS[[#This Row],[Etapa Retiro - Llegada]]),"")</f>
        <v/>
      </c>
      <c r="U832" s="11" t="str">
        <f>IFERROR(IF(MARÍTIMOS[[#This Row],[Etapa Retiro - Ingreso]]="","",MARÍTIMOS[[#This Row],[Etapa Retiro - Ingreso]]),"")</f>
        <v/>
      </c>
      <c r="V832" s="11" t="str">
        <f>IFERROR(IF(MARÍTIMOS[[#This Row],[Etapa Retiro - Atención]]="","",MARÍTIMOS[[#This Row],[Etapa Retiro - Atención]]),"")</f>
        <v/>
      </c>
      <c r="W832" s="11" t="str">
        <f>IFERROR(IF(MARÍTIMOS[[#This Row],[Etapa Retiro - Atención]]="","",MARÍTIMOS[[#This Row],[Etapa Retiro - Atención]]),"")</f>
        <v/>
      </c>
      <c r="X832" s="11" t="str">
        <f>IFERROR(IF(MARÍTIMOS[[#This Row],[Etapa Retiro - Inicio de Ruta]]="","",MARÍTIMOS[[#This Row],[Etapa Retiro - Inicio de Ruta]]),"")</f>
        <v/>
      </c>
      <c r="Y832" s="11" t="str">
        <f>IFERROR(IF(MARÍTIMOS[[#This Row],[Hora de Posicionamiento]]="","",MARÍTIMOS[[#This Row],[Fecha de Carga]]+MARÍTIMOS[[#This Row],[Hora de Posicionamiento]]),"")</f>
        <v/>
      </c>
      <c r="Z832" s="11" t="str">
        <f>IFERROR(IF(MARÍTIMOS[[#This Row],[Etapa Despacho - Llegada]]="","",MARÍTIMOS[[#This Row],[Etapa Despacho - Llegada]]),"")</f>
        <v/>
      </c>
      <c r="AA832" s="11" t="str">
        <f>IFERROR(IF(MARÍTIMOS[[#This Row],[Etapa Despacho - Registro]]="","",MARÍTIMOS[[#This Row],[Etapa Despacho - Registro]]),"")</f>
        <v/>
      </c>
      <c r="AB832" s="11" t="str">
        <f>IFERROR(IF(MARÍTIMOS[[#This Row],[Inspección Externa]]="","",MARÍTIMOS[[#This Row],[Inspección Externa]]),"")</f>
        <v/>
      </c>
      <c r="AC832" s="11" t="str">
        <f>IFERROR(IF(MARÍTIMOS[[#This Row],[Etapa Despacho - Inicio de Carga]]="","",MARÍTIMOS[[#This Row],[Etapa Despacho - Inicio de Carga]]),"")</f>
        <v/>
      </c>
      <c r="AD832" s="11" t="str">
        <f>IFERROR(IF(MARÍTIMOS[[#This Row],[Etapa Despacho - Mitad de Carga]]="","",MARÍTIMOS[[#This Row],[Etapa Despacho - Mitad de Carga]]),"")</f>
        <v/>
      </c>
      <c r="AE832" s="11" t="str">
        <f>IFERROR(IF(MARÍTIMOS[[#This Row],[Etapa Despacho - Fin de Carga]]="","",MARÍTIMOS[[#This Row],[Etapa Despacho - Fin de Carga]]),"")</f>
        <v/>
      </c>
      <c r="AF832" s="2" t="str">
        <f>IFERROR(IF(MARÍTIMOS[[#This Row],[Puerto de Embarque]]="","",MARÍTIMOS[[#This Row],[Puerto de Embarque]]),"")</f>
        <v/>
      </c>
      <c r="AG832" s="2" t="str">
        <f>IFERROR(IF(MARÍTIMOS[[#This Row],[Almacén de Ingreso]]="","",MARÍTIMOS[[#This Row],[Almacén de Ingreso]]),"")</f>
        <v/>
      </c>
      <c r="AH832" s="11" t="str">
        <f>IFERROR(IF(MARÍTIMOS[[#This Row],[Etapa Ingreso - Cita]]="","",MARÍTIMOS[[#This Row],[Etapa Ingreso - Cita]]),"")</f>
        <v/>
      </c>
      <c r="AI832" s="11" t="str">
        <f>IFERROR(IF(MARÍTIMOS[[#This Row],[Etapa Ingreso - Llegada]]="","",MARÍTIMOS[[#This Row],[Etapa Ingreso - Llegada]]),"")</f>
        <v/>
      </c>
      <c r="AJ832" s="11" t="str">
        <f>IFERROR(IF(MARÍTIMOS[[#This Row],[Etapa Ingreso - Ingeso]]="","",MARÍTIMOS[[#This Row],[Etapa Ingreso - Ingeso]]),"")</f>
        <v/>
      </c>
      <c r="AK832" s="11" t="str">
        <f>IFERROR(IF(MARÍTIMOS[[#This Row],[Etapa Ingreso - Atención]]="","",MARÍTIMOS[[#This Row],[Etapa Ingreso - Atención]]),"")</f>
        <v/>
      </c>
      <c r="AL832" s="11" t="str">
        <f>IFERROR(IF(MARÍTIMOS[[#This Row],[Etapa Ingreso - Salida]]="","",MARÍTIMOS[[#This Row],[Etapa Ingreso - Salida]]),"")</f>
        <v/>
      </c>
      <c r="AM832" s="2" t="str">
        <f>IFERROR(IF(MARÍTIMOS[[#This Row],[FCL]]="","",MARÍTIMOS[[#This Row],[FCL]]),"")</f>
        <v/>
      </c>
      <c r="AN8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2" s="4" t="str" cm="1">
        <f t="array" ref="AO8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2" s="5" t="str">
        <f>IFERROR(OLDBD[[#This Row],[Llegada a packing]]-OLDBD[[#This Row],[Inicio de Ruta]],"")</f>
        <v/>
      </c>
      <c r="AQ832" s="6" t="str">
        <f>IFERROR(OLDBD[[#This Row],[Inicio de Ruta]]-OLDBD[[#This Row],[Salida de almacén de retiro]],"")</f>
        <v/>
      </c>
      <c r="AR8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2" s="8" t="str" cm="1">
        <f t="array" ref="AS8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2" s="9" t="str">
        <f>IFERROR(OLDBD[[#This Row],[Ingreso Packing]]-OLDBD[[#This Row],[Registro en Packing]],"")</f>
        <v/>
      </c>
      <c r="AV832" s="9" t="str">
        <f>IFERROR(OLDBD[[#This Row],[Ingreso Packing]]-OLDBD[[#This Row],[Llegada a packing]],"")</f>
        <v/>
      </c>
      <c r="AW8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2" s="5" t="str">
        <f>IFERROR(OLDBD[[#This Row],[Llegada Almacén de Ingreso]]-OLDBD[[#This Row],[Salida Packing]],"")</f>
        <v/>
      </c>
      <c r="AY832" s="4" t="str" cm="1">
        <f t="array" ref="AY8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2" s="43" t="s">
        <v>173</v>
      </c>
      <c r="BB832" s="47" t="str">
        <f>IFERROR(IF(MARÍTIMOS[[#This Row],[Estatus]]="","",MARÍTIMOS[[#This Row],[Estatus]]),"")</f>
        <v/>
      </c>
      <c r="BC832" s="43"/>
      <c r="BD832" s="46" t="str">
        <f>IFERROR(OLDBD[[#This Row],[Salida de almacén de retiro]]-OLDBD[[#This Row],[Ingreso Almacén de retiro]],"")</f>
        <v/>
      </c>
      <c r="BE832" s="46" t="str">
        <f>IFERROR(OLDBD[[#This Row],[Fin de Carga]]-OLDBD[[#This Row],[Inicio de Carga]],"")</f>
        <v/>
      </c>
    </row>
    <row r="833" spans="1:57" customFormat="1" hidden="1">
      <c r="A833" s="1"/>
      <c r="B833" s="1" t="str">
        <f>IFERROR(IF(MARÍTIMOS[[#This Row],[PP]]="","",MARÍTIMOS[[#This Row],[PP]]),"")</f>
        <v/>
      </c>
      <c r="C833" s="1" t="str">
        <f>IFERROR(IF(MARÍTIMOS[[#This Row],[Sede]]="","",MARÍTIMOS[[#This Row],[Sede]]),"")</f>
        <v/>
      </c>
      <c r="D833" s="1" t="str">
        <f>IFERROR(IF(MARÍTIMOS[[#This Row],[Instruction]]="","",MARÍTIMOS[[#This Row],[Instruction]]),"")</f>
        <v/>
      </c>
      <c r="E833" s="1"/>
      <c r="F833" s="2" t="str">
        <f>IFERROR(IF(MARÍTIMOS[[#This Row],[Transportista]]="","",MARÍTIMOS[[#This Row],[Transportista]]),"")</f>
        <v/>
      </c>
      <c r="G833" s="2" t="str">
        <f>IFERROR(IF(MARÍTIMOS[[#This Row],[Tercero]]="","",MARÍTIMOS[[#This Row],[Tercero]]),"")</f>
        <v/>
      </c>
      <c r="H833" s="2" t="str">
        <f>IFERROR(IF(MARÍTIMOS[[#This Row],[Razón Social]]="","",MARÍTIMOS[[#This Row],[Razón Social]]),"")</f>
        <v/>
      </c>
      <c r="I833" s="2" t="str">
        <f>IFERROR(IF(MARÍTIMOS[[#This Row],[RUC]]="","",MARÍTIMOS[[#This Row],[RUC]]),"")</f>
        <v/>
      </c>
      <c r="J833" s="2" t="str">
        <f>IFERROR(IF(MARÍTIMOS[[#This Row],[Placa Tracto]]="","",MARÍTIMOS[[#This Row],[Placa Tracto]]),"")</f>
        <v/>
      </c>
      <c r="K833" s="2" t="str">
        <f>IFERROR(IF(MARÍTIMOS[[#This Row],[Placa Carreta]]="","",MARÍTIMOS[[#This Row],[Placa Carreta]]),"")</f>
        <v/>
      </c>
      <c r="L833" s="44" t="str">
        <f>IFERROR(IF(MARÍTIMOS[[#This Row],[Conductor]]="","",MARÍTIMOS[[#This Row],[Conductor]]),"")</f>
        <v/>
      </c>
      <c r="M833" s="2" t="str">
        <f>IFERROR(IF(MARÍTIMOS[[#This Row],[Licencia]]="","",MARÍTIMOS[[#This Row],[Licencia]]),"")</f>
        <v/>
      </c>
      <c r="N833" s="2" t="str">
        <f>IFERROR(IF(MARÍTIMOS[[#This Row],[Número de Contacto]]="","",MARÍTIMOS[[#This Row],[Número de Contacto]]),"")</f>
        <v/>
      </c>
      <c r="O833" s="10" t="str">
        <f>IFERROR(IF(MARÍTIMOS[[#This Row],[Booking|AWB|CRT]]="","",MARÍTIMOS[[#This Row],[Booking|AWB|CRT]]),"")</f>
        <v/>
      </c>
      <c r="P833" s="2" t="str">
        <f>IFERROR(IF(MARÍTIMOS[[#This Row],[Contenedor]]="","",MARÍTIMOS[[#This Row],[Contenedor]]),"")</f>
        <v/>
      </c>
      <c r="Q833" s="2" t="str">
        <f>IFERROR(IF(MARÍTIMOS[[#This Row],[Puerto de Retiro]]="","",MARÍTIMOS[[#This Row],[Puerto de Retiro]]),"")</f>
        <v/>
      </c>
      <c r="R833" s="2" t="str">
        <f>IFERROR(IF(MARÍTIMOS[[#This Row],[Almacén de Retiro]]="","",MARÍTIMOS[[#This Row],[Almacén de Retiro]]),"")</f>
        <v/>
      </c>
      <c r="S833" s="11" t="str">
        <f>IFERROR(IF(MARÍTIMOS[[#This Row],[Etapa Retiro - Cita]]="","",MARÍTIMOS[[#This Row],[Etapa Retiro - Cita]]),"")</f>
        <v/>
      </c>
      <c r="T833" s="11" t="str">
        <f>IFERROR(IF(MARÍTIMOS[[#This Row],[Etapa Retiro - Llegada]]="","",MARÍTIMOS[[#This Row],[Etapa Retiro - Llegada]]),"")</f>
        <v/>
      </c>
      <c r="U833" s="11" t="str">
        <f>IFERROR(IF(MARÍTIMOS[[#This Row],[Etapa Retiro - Ingreso]]="","",MARÍTIMOS[[#This Row],[Etapa Retiro - Ingreso]]),"")</f>
        <v/>
      </c>
      <c r="V833" s="11" t="str">
        <f>IFERROR(IF(MARÍTIMOS[[#This Row],[Etapa Retiro - Atención]]="","",MARÍTIMOS[[#This Row],[Etapa Retiro - Atención]]),"")</f>
        <v/>
      </c>
      <c r="W833" s="11" t="str">
        <f>IFERROR(IF(MARÍTIMOS[[#This Row],[Etapa Retiro - Atención]]="","",MARÍTIMOS[[#This Row],[Etapa Retiro - Atención]]),"")</f>
        <v/>
      </c>
      <c r="X833" s="11" t="str">
        <f>IFERROR(IF(MARÍTIMOS[[#This Row],[Etapa Retiro - Inicio de Ruta]]="","",MARÍTIMOS[[#This Row],[Etapa Retiro - Inicio de Ruta]]),"")</f>
        <v/>
      </c>
      <c r="Y833" s="11" t="str">
        <f>IFERROR(IF(MARÍTIMOS[[#This Row],[Hora de Posicionamiento]]="","",MARÍTIMOS[[#This Row],[Fecha de Carga]]+MARÍTIMOS[[#This Row],[Hora de Posicionamiento]]),"")</f>
        <v/>
      </c>
      <c r="Z833" s="11" t="str">
        <f>IFERROR(IF(MARÍTIMOS[[#This Row],[Etapa Despacho - Llegada]]="","",MARÍTIMOS[[#This Row],[Etapa Despacho - Llegada]]),"")</f>
        <v/>
      </c>
      <c r="AA833" s="11" t="str">
        <f>IFERROR(IF(MARÍTIMOS[[#This Row],[Etapa Despacho - Registro]]="","",MARÍTIMOS[[#This Row],[Etapa Despacho - Registro]]),"")</f>
        <v/>
      </c>
      <c r="AB833" s="11" t="str">
        <f>IFERROR(IF(MARÍTIMOS[[#This Row],[Inspección Externa]]="","",MARÍTIMOS[[#This Row],[Inspección Externa]]),"")</f>
        <v/>
      </c>
      <c r="AC833" s="11" t="str">
        <f>IFERROR(IF(MARÍTIMOS[[#This Row],[Etapa Despacho - Inicio de Carga]]="","",MARÍTIMOS[[#This Row],[Etapa Despacho - Inicio de Carga]]),"")</f>
        <v/>
      </c>
      <c r="AD833" s="11" t="str">
        <f>IFERROR(IF(MARÍTIMOS[[#This Row],[Etapa Despacho - Mitad de Carga]]="","",MARÍTIMOS[[#This Row],[Etapa Despacho - Mitad de Carga]]),"")</f>
        <v/>
      </c>
      <c r="AE833" s="11" t="str">
        <f>IFERROR(IF(MARÍTIMOS[[#This Row],[Etapa Despacho - Fin de Carga]]="","",MARÍTIMOS[[#This Row],[Etapa Despacho - Fin de Carga]]),"")</f>
        <v/>
      </c>
      <c r="AF833" s="2" t="str">
        <f>IFERROR(IF(MARÍTIMOS[[#This Row],[Puerto de Embarque]]="","",MARÍTIMOS[[#This Row],[Puerto de Embarque]]),"")</f>
        <v/>
      </c>
      <c r="AG833" s="2" t="str">
        <f>IFERROR(IF(MARÍTIMOS[[#This Row],[Almacén de Ingreso]]="","",MARÍTIMOS[[#This Row],[Almacén de Ingreso]]),"")</f>
        <v/>
      </c>
      <c r="AH833" s="11" t="str">
        <f>IFERROR(IF(MARÍTIMOS[[#This Row],[Etapa Ingreso - Cita]]="","",MARÍTIMOS[[#This Row],[Etapa Ingreso - Cita]]),"")</f>
        <v/>
      </c>
      <c r="AI833" s="11" t="str">
        <f>IFERROR(IF(MARÍTIMOS[[#This Row],[Etapa Ingreso - Llegada]]="","",MARÍTIMOS[[#This Row],[Etapa Ingreso - Llegada]]),"")</f>
        <v/>
      </c>
      <c r="AJ833" s="11" t="str">
        <f>IFERROR(IF(MARÍTIMOS[[#This Row],[Etapa Ingreso - Ingeso]]="","",MARÍTIMOS[[#This Row],[Etapa Ingreso - Ingeso]]),"")</f>
        <v/>
      </c>
      <c r="AK833" s="11" t="str">
        <f>IFERROR(IF(MARÍTIMOS[[#This Row],[Etapa Ingreso - Atención]]="","",MARÍTIMOS[[#This Row],[Etapa Ingreso - Atención]]),"")</f>
        <v/>
      </c>
      <c r="AL833" s="11" t="str">
        <f>IFERROR(IF(MARÍTIMOS[[#This Row],[Etapa Ingreso - Salida]]="","",MARÍTIMOS[[#This Row],[Etapa Ingreso - Salida]]),"")</f>
        <v/>
      </c>
      <c r="AM833" s="2" t="str">
        <f>IFERROR(IF(MARÍTIMOS[[#This Row],[FCL]]="","",MARÍTIMOS[[#This Row],[FCL]]),"")</f>
        <v/>
      </c>
      <c r="AN8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3" s="4" t="str" cm="1">
        <f t="array" ref="AO8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3" s="5" t="str">
        <f>IFERROR(OLDBD[[#This Row],[Llegada a packing]]-OLDBD[[#This Row],[Inicio de Ruta]],"")</f>
        <v/>
      </c>
      <c r="AQ833" s="6" t="str">
        <f>IFERROR(OLDBD[[#This Row],[Inicio de Ruta]]-OLDBD[[#This Row],[Salida de almacén de retiro]],"")</f>
        <v/>
      </c>
      <c r="AR8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3" s="8" t="str" cm="1">
        <f t="array" ref="AS8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3" s="9" t="str">
        <f>IFERROR(OLDBD[[#This Row],[Ingreso Packing]]-OLDBD[[#This Row],[Registro en Packing]],"")</f>
        <v/>
      </c>
      <c r="AV833" s="9" t="str">
        <f>IFERROR(OLDBD[[#This Row],[Ingreso Packing]]-OLDBD[[#This Row],[Llegada a packing]],"")</f>
        <v/>
      </c>
      <c r="AW8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3" s="5" t="str">
        <f>IFERROR(OLDBD[[#This Row],[Llegada Almacén de Ingreso]]-OLDBD[[#This Row],[Salida Packing]],"")</f>
        <v/>
      </c>
      <c r="AY833" s="4" t="str" cm="1">
        <f t="array" ref="AY8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3" s="43" t="s">
        <v>173</v>
      </c>
      <c r="BB833" s="47" t="str">
        <f>IFERROR(IF(MARÍTIMOS[[#This Row],[Estatus]]="","",MARÍTIMOS[[#This Row],[Estatus]]),"")</f>
        <v/>
      </c>
      <c r="BC833" s="43"/>
      <c r="BD833" s="46" t="str">
        <f>IFERROR(OLDBD[[#This Row],[Salida de almacén de retiro]]-OLDBD[[#This Row],[Ingreso Almacén de retiro]],"")</f>
        <v/>
      </c>
      <c r="BE833" s="46" t="str">
        <f>IFERROR(OLDBD[[#This Row],[Fin de Carga]]-OLDBD[[#This Row],[Inicio de Carga]],"")</f>
        <v/>
      </c>
    </row>
    <row r="834" spans="1:57" customFormat="1" hidden="1">
      <c r="A834" s="1"/>
      <c r="B834" s="1" t="str">
        <f>IFERROR(IF(MARÍTIMOS[[#This Row],[PP]]="","",MARÍTIMOS[[#This Row],[PP]]),"")</f>
        <v/>
      </c>
      <c r="C834" s="1" t="str">
        <f>IFERROR(IF(MARÍTIMOS[[#This Row],[Sede]]="","",MARÍTIMOS[[#This Row],[Sede]]),"")</f>
        <v/>
      </c>
      <c r="D834" s="1" t="str">
        <f>IFERROR(IF(MARÍTIMOS[[#This Row],[Instruction]]="","",MARÍTIMOS[[#This Row],[Instruction]]),"")</f>
        <v/>
      </c>
      <c r="E834" s="1"/>
      <c r="F834" s="2" t="str">
        <f>IFERROR(IF(MARÍTIMOS[[#This Row],[Transportista]]="","",MARÍTIMOS[[#This Row],[Transportista]]),"")</f>
        <v/>
      </c>
      <c r="G834" s="2" t="str">
        <f>IFERROR(IF(MARÍTIMOS[[#This Row],[Tercero]]="","",MARÍTIMOS[[#This Row],[Tercero]]),"")</f>
        <v/>
      </c>
      <c r="H834" s="2" t="str">
        <f>IFERROR(IF(MARÍTIMOS[[#This Row],[Razón Social]]="","",MARÍTIMOS[[#This Row],[Razón Social]]),"")</f>
        <v/>
      </c>
      <c r="I834" s="2" t="str">
        <f>IFERROR(IF(MARÍTIMOS[[#This Row],[RUC]]="","",MARÍTIMOS[[#This Row],[RUC]]),"")</f>
        <v/>
      </c>
      <c r="J834" s="2" t="str">
        <f>IFERROR(IF(MARÍTIMOS[[#This Row],[Placa Tracto]]="","",MARÍTIMOS[[#This Row],[Placa Tracto]]),"")</f>
        <v/>
      </c>
      <c r="K834" s="2" t="str">
        <f>IFERROR(IF(MARÍTIMOS[[#This Row],[Placa Carreta]]="","",MARÍTIMOS[[#This Row],[Placa Carreta]]),"")</f>
        <v/>
      </c>
      <c r="L834" s="44" t="str">
        <f>IFERROR(IF(MARÍTIMOS[[#This Row],[Conductor]]="","",MARÍTIMOS[[#This Row],[Conductor]]),"")</f>
        <v/>
      </c>
      <c r="M834" s="2" t="str">
        <f>IFERROR(IF(MARÍTIMOS[[#This Row],[Licencia]]="","",MARÍTIMOS[[#This Row],[Licencia]]),"")</f>
        <v/>
      </c>
      <c r="N834" s="2" t="str">
        <f>IFERROR(IF(MARÍTIMOS[[#This Row],[Número de Contacto]]="","",MARÍTIMOS[[#This Row],[Número de Contacto]]),"")</f>
        <v/>
      </c>
      <c r="O834" s="10" t="str">
        <f>IFERROR(IF(MARÍTIMOS[[#This Row],[Booking|AWB|CRT]]="","",MARÍTIMOS[[#This Row],[Booking|AWB|CRT]]),"")</f>
        <v/>
      </c>
      <c r="P834" s="2" t="str">
        <f>IFERROR(IF(MARÍTIMOS[[#This Row],[Contenedor]]="","",MARÍTIMOS[[#This Row],[Contenedor]]),"")</f>
        <v/>
      </c>
      <c r="Q834" s="2" t="str">
        <f>IFERROR(IF(MARÍTIMOS[[#This Row],[Puerto de Retiro]]="","",MARÍTIMOS[[#This Row],[Puerto de Retiro]]),"")</f>
        <v/>
      </c>
      <c r="R834" s="2" t="str">
        <f>IFERROR(IF(MARÍTIMOS[[#This Row],[Almacén de Retiro]]="","",MARÍTIMOS[[#This Row],[Almacén de Retiro]]),"")</f>
        <v/>
      </c>
      <c r="S834" s="11" t="str">
        <f>IFERROR(IF(MARÍTIMOS[[#This Row],[Etapa Retiro - Cita]]="","",MARÍTIMOS[[#This Row],[Etapa Retiro - Cita]]),"")</f>
        <v/>
      </c>
      <c r="T834" s="11" t="str">
        <f>IFERROR(IF(MARÍTIMOS[[#This Row],[Etapa Retiro - Llegada]]="","",MARÍTIMOS[[#This Row],[Etapa Retiro - Llegada]]),"")</f>
        <v/>
      </c>
      <c r="U834" s="11" t="str">
        <f>IFERROR(IF(MARÍTIMOS[[#This Row],[Etapa Retiro - Ingreso]]="","",MARÍTIMOS[[#This Row],[Etapa Retiro - Ingreso]]),"")</f>
        <v/>
      </c>
      <c r="V834" s="11" t="str">
        <f>IFERROR(IF(MARÍTIMOS[[#This Row],[Etapa Retiro - Atención]]="","",MARÍTIMOS[[#This Row],[Etapa Retiro - Atención]]),"")</f>
        <v/>
      </c>
      <c r="W834" s="11" t="str">
        <f>IFERROR(IF(MARÍTIMOS[[#This Row],[Etapa Retiro - Atención]]="","",MARÍTIMOS[[#This Row],[Etapa Retiro - Atención]]),"")</f>
        <v/>
      </c>
      <c r="X834" s="11" t="str">
        <f>IFERROR(IF(MARÍTIMOS[[#This Row],[Etapa Retiro - Inicio de Ruta]]="","",MARÍTIMOS[[#This Row],[Etapa Retiro - Inicio de Ruta]]),"")</f>
        <v/>
      </c>
      <c r="Y834" s="11" t="str">
        <f>IFERROR(IF(MARÍTIMOS[[#This Row],[Hora de Posicionamiento]]="","",MARÍTIMOS[[#This Row],[Fecha de Carga]]+MARÍTIMOS[[#This Row],[Hora de Posicionamiento]]),"")</f>
        <v/>
      </c>
      <c r="Z834" s="11" t="str">
        <f>IFERROR(IF(MARÍTIMOS[[#This Row],[Etapa Despacho - Llegada]]="","",MARÍTIMOS[[#This Row],[Etapa Despacho - Llegada]]),"")</f>
        <v/>
      </c>
      <c r="AA834" s="11" t="str">
        <f>IFERROR(IF(MARÍTIMOS[[#This Row],[Etapa Despacho - Registro]]="","",MARÍTIMOS[[#This Row],[Etapa Despacho - Registro]]),"")</f>
        <v/>
      </c>
      <c r="AB834" s="11" t="str">
        <f>IFERROR(IF(MARÍTIMOS[[#This Row],[Inspección Externa]]="","",MARÍTIMOS[[#This Row],[Inspección Externa]]),"")</f>
        <v/>
      </c>
      <c r="AC834" s="11" t="str">
        <f>IFERROR(IF(MARÍTIMOS[[#This Row],[Etapa Despacho - Inicio de Carga]]="","",MARÍTIMOS[[#This Row],[Etapa Despacho - Inicio de Carga]]),"")</f>
        <v/>
      </c>
      <c r="AD834" s="11" t="str">
        <f>IFERROR(IF(MARÍTIMOS[[#This Row],[Etapa Despacho - Mitad de Carga]]="","",MARÍTIMOS[[#This Row],[Etapa Despacho - Mitad de Carga]]),"")</f>
        <v/>
      </c>
      <c r="AE834" s="11" t="str">
        <f>IFERROR(IF(MARÍTIMOS[[#This Row],[Etapa Despacho - Fin de Carga]]="","",MARÍTIMOS[[#This Row],[Etapa Despacho - Fin de Carga]]),"")</f>
        <v/>
      </c>
      <c r="AF834" s="2" t="str">
        <f>IFERROR(IF(MARÍTIMOS[[#This Row],[Puerto de Embarque]]="","",MARÍTIMOS[[#This Row],[Puerto de Embarque]]),"")</f>
        <v/>
      </c>
      <c r="AG834" s="2" t="str">
        <f>IFERROR(IF(MARÍTIMOS[[#This Row],[Almacén de Ingreso]]="","",MARÍTIMOS[[#This Row],[Almacén de Ingreso]]),"")</f>
        <v/>
      </c>
      <c r="AH834" s="11" t="str">
        <f>IFERROR(IF(MARÍTIMOS[[#This Row],[Etapa Ingreso - Cita]]="","",MARÍTIMOS[[#This Row],[Etapa Ingreso - Cita]]),"")</f>
        <v/>
      </c>
      <c r="AI834" s="11" t="str">
        <f>IFERROR(IF(MARÍTIMOS[[#This Row],[Etapa Ingreso - Llegada]]="","",MARÍTIMOS[[#This Row],[Etapa Ingreso - Llegada]]),"")</f>
        <v/>
      </c>
      <c r="AJ834" s="11" t="str">
        <f>IFERROR(IF(MARÍTIMOS[[#This Row],[Etapa Ingreso - Ingeso]]="","",MARÍTIMOS[[#This Row],[Etapa Ingreso - Ingeso]]),"")</f>
        <v/>
      </c>
      <c r="AK834" s="11" t="str">
        <f>IFERROR(IF(MARÍTIMOS[[#This Row],[Etapa Ingreso - Atención]]="","",MARÍTIMOS[[#This Row],[Etapa Ingreso - Atención]]),"")</f>
        <v/>
      </c>
      <c r="AL834" s="11" t="str">
        <f>IFERROR(IF(MARÍTIMOS[[#This Row],[Etapa Ingreso - Salida]]="","",MARÍTIMOS[[#This Row],[Etapa Ingreso - Salida]]),"")</f>
        <v/>
      </c>
      <c r="AM834" s="2" t="str">
        <f>IFERROR(IF(MARÍTIMOS[[#This Row],[FCL]]="","",MARÍTIMOS[[#This Row],[FCL]]),"")</f>
        <v/>
      </c>
      <c r="AN8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4" s="4" t="str" cm="1">
        <f t="array" ref="AO8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4" s="5" t="str">
        <f>IFERROR(OLDBD[[#This Row],[Llegada a packing]]-OLDBD[[#This Row],[Inicio de Ruta]],"")</f>
        <v/>
      </c>
      <c r="AQ834" s="6" t="str">
        <f>IFERROR(OLDBD[[#This Row],[Inicio de Ruta]]-OLDBD[[#This Row],[Salida de almacén de retiro]],"")</f>
        <v/>
      </c>
      <c r="AR8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4" s="8" t="str" cm="1">
        <f t="array" ref="AS8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4" s="9" t="str">
        <f>IFERROR(OLDBD[[#This Row],[Ingreso Packing]]-OLDBD[[#This Row],[Registro en Packing]],"")</f>
        <v/>
      </c>
      <c r="AV834" s="9" t="str">
        <f>IFERROR(OLDBD[[#This Row],[Ingreso Packing]]-OLDBD[[#This Row],[Llegada a packing]],"")</f>
        <v/>
      </c>
      <c r="AW8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4" s="5" t="str">
        <f>IFERROR(OLDBD[[#This Row],[Llegada Almacén de Ingreso]]-OLDBD[[#This Row],[Salida Packing]],"")</f>
        <v/>
      </c>
      <c r="AY834" s="4" t="str" cm="1">
        <f t="array" ref="AY8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4" s="43" t="s">
        <v>173</v>
      </c>
      <c r="BB834" s="47" t="str">
        <f>IFERROR(IF(MARÍTIMOS[[#This Row],[Estatus]]="","",MARÍTIMOS[[#This Row],[Estatus]]),"")</f>
        <v/>
      </c>
      <c r="BC834" s="43"/>
      <c r="BD834" s="46" t="str">
        <f>IFERROR(OLDBD[[#This Row],[Salida de almacén de retiro]]-OLDBD[[#This Row],[Ingreso Almacén de retiro]],"")</f>
        <v/>
      </c>
      <c r="BE834" s="46" t="str">
        <f>IFERROR(OLDBD[[#This Row],[Fin de Carga]]-OLDBD[[#This Row],[Inicio de Carga]],"")</f>
        <v/>
      </c>
    </row>
    <row r="835" spans="1:57" customFormat="1" hidden="1">
      <c r="A835" s="1"/>
      <c r="B835" s="1" t="str">
        <f>IFERROR(IF(MARÍTIMOS[[#This Row],[PP]]="","",MARÍTIMOS[[#This Row],[PP]]),"")</f>
        <v/>
      </c>
      <c r="C835" s="1" t="str">
        <f>IFERROR(IF(MARÍTIMOS[[#This Row],[Sede]]="","",MARÍTIMOS[[#This Row],[Sede]]),"")</f>
        <v/>
      </c>
      <c r="D835" s="1" t="str">
        <f>IFERROR(IF(MARÍTIMOS[[#This Row],[Instruction]]="","",MARÍTIMOS[[#This Row],[Instruction]]),"")</f>
        <v/>
      </c>
      <c r="E835" s="1"/>
      <c r="F835" s="2" t="str">
        <f>IFERROR(IF(MARÍTIMOS[[#This Row],[Transportista]]="","",MARÍTIMOS[[#This Row],[Transportista]]),"")</f>
        <v/>
      </c>
      <c r="G835" s="2" t="str">
        <f>IFERROR(IF(MARÍTIMOS[[#This Row],[Tercero]]="","",MARÍTIMOS[[#This Row],[Tercero]]),"")</f>
        <v/>
      </c>
      <c r="H835" s="2" t="str">
        <f>IFERROR(IF(MARÍTIMOS[[#This Row],[Razón Social]]="","",MARÍTIMOS[[#This Row],[Razón Social]]),"")</f>
        <v/>
      </c>
      <c r="I835" s="2" t="str">
        <f>IFERROR(IF(MARÍTIMOS[[#This Row],[RUC]]="","",MARÍTIMOS[[#This Row],[RUC]]),"")</f>
        <v/>
      </c>
      <c r="J835" s="2" t="str">
        <f>IFERROR(IF(MARÍTIMOS[[#This Row],[Placa Tracto]]="","",MARÍTIMOS[[#This Row],[Placa Tracto]]),"")</f>
        <v/>
      </c>
      <c r="K835" s="2" t="str">
        <f>IFERROR(IF(MARÍTIMOS[[#This Row],[Placa Carreta]]="","",MARÍTIMOS[[#This Row],[Placa Carreta]]),"")</f>
        <v/>
      </c>
      <c r="L835" s="44" t="str">
        <f>IFERROR(IF(MARÍTIMOS[[#This Row],[Conductor]]="","",MARÍTIMOS[[#This Row],[Conductor]]),"")</f>
        <v/>
      </c>
      <c r="M835" s="2" t="str">
        <f>IFERROR(IF(MARÍTIMOS[[#This Row],[Licencia]]="","",MARÍTIMOS[[#This Row],[Licencia]]),"")</f>
        <v/>
      </c>
      <c r="N835" s="2" t="str">
        <f>IFERROR(IF(MARÍTIMOS[[#This Row],[Número de Contacto]]="","",MARÍTIMOS[[#This Row],[Número de Contacto]]),"")</f>
        <v/>
      </c>
      <c r="O835" s="10" t="str">
        <f>IFERROR(IF(MARÍTIMOS[[#This Row],[Booking|AWB|CRT]]="","",MARÍTIMOS[[#This Row],[Booking|AWB|CRT]]),"")</f>
        <v/>
      </c>
      <c r="P835" s="2" t="str">
        <f>IFERROR(IF(MARÍTIMOS[[#This Row],[Contenedor]]="","",MARÍTIMOS[[#This Row],[Contenedor]]),"")</f>
        <v/>
      </c>
      <c r="Q835" s="2" t="str">
        <f>IFERROR(IF(MARÍTIMOS[[#This Row],[Puerto de Retiro]]="","",MARÍTIMOS[[#This Row],[Puerto de Retiro]]),"")</f>
        <v/>
      </c>
      <c r="R835" s="2" t="str">
        <f>IFERROR(IF(MARÍTIMOS[[#This Row],[Almacén de Retiro]]="","",MARÍTIMOS[[#This Row],[Almacén de Retiro]]),"")</f>
        <v/>
      </c>
      <c r="S835" s="11" t="str">
        <f>IFERROR(IF(MARÍTIMOS[[#This Row],[Etapa Retiro - Cita]]="","",MARÍTIMOS[[#This Row],[Etapa Retiro - Cita]]),"")</f>
        <v/>
      </c>
      <c r="T835" s="11" t="str">
        <f>IFERROR(IF(MARÍTIMOS[[#This Row],[Etapa Retiro - Llegada]]="","",MARÍTIMOS[[#This Row],[Etapa Retiro - Llegada]]),"")</f>
        <v/>
      </c>
      <c r="U835" s="11" t="str">
        <f>IFERROR(IF(MARÍTIMOS[[#This Row],[Etapa Retiro - Ingreso]]="","",MARÍTIMOS[[#This Row],[Etapa Retiro - Ingreso]]),"")</f>
        <v/>
      </c>
      <c r="V835" s="11" t="str">
        <f>IFERROR(IF(MARÍTIMOS[[#This Row],[Etapa Retiro - Atención]]="","",MARÍTIMOS[[#This Row],[Etapa Retiro - Atención]]),"")</f>
        <v/>
      </c>
      <c r="W835" s="11" t="str">
        <f>IFERROR(IF(MARÍTIMOS[[#This Row],[Etapa Retiro - Atención]]="","",MARÍTIMOS[[#This Row],[Etapa Retiro - Atención]]),"")</f>
        <v/>
      </c>
      <c r="X835" s="11" t="str">
        <f>IFERROR(IF(MARÍTIMOS[[#This Row],[Etapa Retiro - Inicio de Ruta]]="","",MARÍTIMOS[[#This Row],[Etapa Retiro - Inicio de Ruta]]),"")</f>
        <v/>
      </c>
      <c r="Y835" s="11" t="str">
        <f>IFERROR(IF(MARÍTIMOS[[#This Row],[Hora de Posicionamiento]]="","",MARÍTIMOS[[#This Row],[Fecha de Carga]]+MARÍTIMOS[[#This Row],[Hora de Posicionamiento]]),"")</f>
        <v/>
      </c>
      <c r="Z835" s="11" t="str">
        <f>IFERROR(IF(MARÍTIMOS[[#This Row],[Etapa Despacho - Llegada]]="","",MARÍTIMOS[[#This Row],[Etapa Despacho - Llegada]]),"")</f>
        <v/>
      </c>
      <c r="AA835" s="11" t="str">
        <f>IFERROR(IF(MARÍTIMOS[[#This Row],[Etapa Despacho - Registro]]="","",MARÍTIMOS[[#This Row],[Etapa Despacho - Registro]]),"")</f>
        <v/>
      </c>
      <c r="AB835" s="11" t="str">
        <f>IFERROR(IF(MARÍTIMOS[[#This Row],[Inspección Externa]]="","",MARÍTIMOS[[#This Row],[Inspección Externa]]),"")</f>
        <v/>
      </c>
      <c r="AC835" s="11" t="str">
        <f>IFERROR(IF(MARÍTIMOS[[#This Row],[Etapa Despacho - Inicio de Carga]]="","",MARÍTIMOS[[#This Row],[Etapa Despacho - Inicio de Carga]]),"")</f>
        <v/>
      </c>
      <c r="AD835" s="11" t="str">
        <f>IFERROR(IF(MARÍTIMOS[[#This Row],[Etapa Despacho - Mitad de Carga]]="","",MARÍTIMOS[[#This Row],[Etapa Despacho - Mitad de Carga]]),"")</f>
        <v/>
      </c>
      <c r="AE835" s="11" t="str">
        <f>IFERROR(IF(MARÍTIMOS[[#This Row],[Etapa Despacho - Fin de Carga]]="","",MARÍTIMOS[[#This Row],[Etapa Despacho - Fin de Carga]]),"")</f>
        <v/>
      </c>
      <c r="AF835" s="2" t="str">
        <f>IFERROR(IF(MARÍTIMOS[[#This Row],[Puerto de Embarque]]="","",MARÍTIMOS[[#This Row],[Puerto de Embarque]]),"")</f>
        <v/>
      </c>
      <c r="AG835" s="2" t="str">
        <f>IFERROR(IF(MARÍTIMOS[[#This Row],[Almacén de Ingreso]]="","",MARÍTIMOS[[#This Row],[Almacén de Ingreso]]),"")</f>
        <v/>
      </c>
      <c r="AH835" s="11" t="str">
        <f>IFERROR(IF(MARÍTIMOS[[#This Row],[Etapa Ingreso - Cita]]="","",MARÍTIMOS[[#This Row],[Etapa Ingreso - Cita]]),"")</f>
        <v/>
      </c>
      <c r="AI835" s="11" t="str">
        <f>IFERROR(IF(MARÍTIMOS[[#This Row],[Etapa Ingreso - Llegada]]="","",MARÍTIMOS[[#This Row],[Etapa Ingreso - Llegada]]),"")</f>
        <v/>
      </c>
      <c r="AJ835" s="11" t="str">
        <f>IFERROR(IF(MARÍTIMOS[[#This Row],[Etapa Ingreso - Ingeso]]="","",MARÍTIMOS[[#This Row],[Etapa Ingreso - Ingeso]]),"")</f>
        <v/>
      </c>
      <c r="AK835" s="11" t="str">
        <f>IFERROR(IF(MARÍTIMOS[[#This Row],[Etapa Ingreso - Atención]]="","",MARÍTIMOS[[#This Row],[Etapa Ingreso - Atención]]),"")</f>
        <v/>
      </c>
      <c r="AL835" s="11" t="str">
        <f>IFERROR(IF(MARÍTIMOS[[#This Row],[Etapa Ingreso - Salida]]="","",MARÍTIMOS[[#This Row],[Etapa Ingreso - Salida]]),"")</f>
        <v/>
      </c>
      <c r="AM835" s="2" t="str">
        <f>IFERROR(IF(MARÍTIMOS[[#This Row],[FCL]]="","",MARÍTIMOS[[#This Row],[FCL]]),"")</f>
        <v/>
      </c>
      <c r="AN8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5" s="4" t="str" cm="1">
        <f t="array" ref="AO8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5" s="5" t="str">
        <f>IFERROR(OLDBD[[#This Row],[Llegada a packing]]-OLDBD[[#This Row],[Inicio de Ruta]],"")</f>
        <v/>
      </c>
      <c r="AQ835" s="6" t="str">
        <f>IFERROR(OLDBD[[#This Row],[Inicio de Ruta]]-OLDBD[[#This Row],[Salida de almacén de retiro]],"")</f>
        <v/>
      </c>
      <c r="AR8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5" s="8" t="str" cm="1">
        <f t="array" ref="AS8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5" s="9" t="str">
        <f>IFERROR(OLDBD[[#This Row],[Ingreso Packing]]-OLDBD[[#This Row],[Registro en Packing]],"")</f>
        <v/>
      </c>
      <c r="AV835" s="9" t="str">
        <f>IFERROR(OLDBD[[#This Row],[Ingreso Packing]]-OLDBD[[#This Row],[Llegada a packing]],"")</f>
        <v/>
      </c>
      <c r="AW8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5" s="5" t="str">
        <f>IFERROR(OLDBD[[#This Row],[Llegada Almacén de Ingreso]]-OLDBD[[#This Row],[Salida Packing]],"")</f>
        <v/>
      </c>
      <c r="AY835" s="4" t="str" cm="1">
        <f t="array" ref="AY8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5" s="43" t="s">
        <v>173</v>
      </c>
      <c r="BB835" s="47" t="str">
        <f>IFERROR(IF(MARÍTIMOS[[#This Row],[Estatus]]="","",MARÍTIMOS[[#This Row],[Estatus]]),"")</f>
        <v/>
      </c>
      <c r="BC835" s="43"/>
      <c r="BD835" s="46" t="str">
        <f>IFERROR(OLDBD[[#This Row],[Salida de almacén de retiro]]-OLDBD[[#This Row],[Ingreso Almacén de retiro]],"")</f>
        <v/>
      </c>
      <c r="BE835" s="46" t="str">
        <f>IFERROR(OLDBD[[#This Row],[Fin de Carga]]-OLDBD[[#This Row],[Inicio de Carga]],"")</f>
        <v/>
      </c>
    </row>
    <row r="836" spans="1:57" customFormat="1" hidden="1">
      <c r="A836" s="1"/>
      <c r="B836" s="1" t="str">
        <f>IFERROR(IF(MARÍTIMOS[[#This Row],[PP]]="","",MARÍTIMOS[[#This Row],[PP]]),"")</f>
        <v/>
      </c>
      <c r="C836" s="1" t="str">
        <f>IFERROR(IF(MARÍTIMOS[[#This Row],[Sede]]="","",MARÍTIMOS[[#This Row],[Sede]]),"")</f>
        <v/>
      </c>
      <c r="D836" s="1" t="str">
        <f>IFERROR(IF(MARÍTIMOS[[#This Row],[Instruction]]="","",MARÍTIMOS[[#This Row],[Instruction]]),"")</f>
        <v/>
      </c>
      <c r="E836" s="1"/>
      <c r="F836" s="2" t="str">
        <f>IFERROR(IF(MARÍTIMOS[[#This Row],[Transportista]]="","",MARÍTIMOS[[#This Row],[Transportista]]),"")</f>
        <v/>
      </c>
      <c r="G836" s="2" t="str">
        <f>IFERROR(IF(MARÍTIMOS[[#This Row],[Tercero]]="","",MARÍTIMOS[[#This Row],[Tercero]]),"")</f>
        <v/>
      </c>
      <c r="H836" s="2" t="str">
        <f>IFERROR(IF(MARÍTIMOS[[#This Row],[Razón Social]]="","",MARÍTIMOS[[#This Row],[Razón Social]]),"")</f>
        <v/>
      </c>
      <c r="I836" s="2" t="str">
        <f>IFERROR(IF(MARÍTIMOS[[#This Row],[RUC]]="","",MARÍTIMOS[[#This Row],[RUC]]),"")</f>
        <v/>
      </c>
      <c r="J836" s="2" t="str">
        <f>IFERROR(IF(MARÍTIMOS[[#This Row],[Placa Tracto]]="","",MARÍTIMOS[[#This Row],[Placa Tracto]]),"")</f>
        <v/>
      </c>
      <c r="K836" s="2" t="str">
        <f>IFERROR(IF(MARÍTIMOS[[#This Row],[Placa Carreta]]="","",MARÍTIMOS[[#This Row],[Placa Carreta]]),"")</f>
        <v/>
      </c>
      <c r="L836" s="44" t="str">
        <f>IFERROR(IF(MARÍTIMOS[[#This Row],[Conductor]]="","",MARÍTIMOS[[#This Row],[Conductor]]),"")</f>
        <v/>
      </c>
      <c r="M836" s="2" t="str">
        <f>IFERROR(IF(MARÍTIMOS[[#This Row],[Licencia]]="","",MARÍTIMOS[[#This Row],[Licencia]]),"")</f>
        <v/>
      </c>
      <c r="N836" s="2" t="str">
        <f>IFERROR(IF(MARÍTIMOS[[#This Row],[Número de Contacto]]="","",MARÍTIMOS[[#This Row],[Número de Contacto]]),"")</f>
        <v/>
      </c>
      <c r="O836" s="10" t="str">
        <f>IFERROR(IF(MARÍTIMOS[[#This Row],[Booking|AWB|CRT]]="","",MARÍTIMOS[[#This Row],[Booking|AWB|CRT]]),"")</f>
        <v/>
      </c>
      <c r="P836" s="2" t="str">
        <f>IFERROR(IF(MARÍTIMOS[[#This Row],[Contenedor]]="","",MARÍTIMOS[[#This Row],[Contenedor]]),"")</f>
        <v/>
      </c>
      <c r="Q836" s="2" t="str">
        <f>IFERROR(IF(MARÍTIMOS[[#This Row],[Puerto de Retiro]]="","",MARÍTIMOS[[#This Row],[Puerto de Retiro]]),"")</f>
        <v/>
      </c>
      <c r="R836" s="2" t="str">
        <f>IFERROR(IF(MARÍTIMOS[[#This Row],[Almacén de Retiro]]="","",MARÍTIMOS[[#This Row],[Almacén de Retiro]]),"")</f>
        <v/>
      </c>
      <c r="S836" s="11" t="str">
        <f>IFERROR(IF(MARÍTIMOS[[#This Row],[Etapa Retiro - Cita]]="","",MARÍTIMOS[[#This Row],[Etapa Retiro - Cita]]),"")</f>
        <v/>
      </c>
      <c r="T836" s="11" t="str">
        <f>IFERROR(IF(MARÍTIMOS[[#This Row],[Etapa Retiro - Llegada]]="","",MARÍTIMOS[[#This Row],[Etapa Retiro - Llegada]]),"")</f>
        <v/>
      </c>
      <c r="U836" s="11" t="str">
        <f>IFERROR(IF(MARÍTIMOS[[#This Row],[Etapa Retiro - Ingreso]]="","",MARÍTIMOS[[#This Row],[Etapa Retiro - Ingreso]]),"")</f>
        <v/>
      </c>
      <c r="V836" s="11" t="str">
        <f>IFERROR(IF(MARÍTIMOS[[#This Row],[Etapa Retiro - Atención]]="","",MARÍTIMOS[[#This Row],[Etapa Retiro - Atención]]),"")</f>
        <v/>
      </c>
      <c r="W836" s="11" t="str">
        <f>IFERROR(IF(MARÍTIMOS[[#This Row],[Etapa Retiro - Atención]]="","",MARÍTIMOS[[#This Row],[Etapa Retiro - Atención]]),"")</f>
        <v/>
      </c>
      <c r="X836" s="11" t="str">
        <f>IFERROR(IF(MARÍTIMOS[[#This Row],[Etapa Retiro - Inicio de Ruta]]="","",MARÍTIMOS[[#This Row],[Etapa Retiro - Inicio de Ruta]]),"")</f>
        <v/>
      </c>
      <c r="Y836" s="11" t="str">
        <f>IFERROR(IF(MARÍTIMOS[[#This Row],[Hora de Posicionamiento]]="","",MARÍTIMOS[[#This Row],[Fecha de Carga]]+MARÍTIMOS[[#This Row],[Hora de Posicionamiento]]),"")</f>
        <v/>
      </c>
      <c r="Z836" s="11" t="str">
        <f>IFERROR(IF(MARÍTIMOS[[#This Row],[Etapa Despacho - Llegada]]="","",MARÍTIMOS[[#This Row],[Etapa Despacho - Llegada]]),"")</f>
        <v/>
      </c>
      <c r="AA836" s="11" t="str">
        <f>IFERROR(IF(MARÍTIMOS[[#This Row],[Etapa Despacho - Registro]]="","",MARÍTIMOS[[#This Row],[Etapa Despacho - Registro]]),"")</f>
        <v/>
      </c>
      <c r="AB836" s="11" t="str">
        <f>IFERROR(IF(MARÍTIMOS[[#This Row],[Inspección Externa]]="","",MARÍTIMOS[[#This Row],[Inspección Externa]]),"")</f>
        <v/>
      </c>
      <c r="AC836" s="11" t="str">
        <f>IFERROR(IF(MARÍTIMOS[[#This Row],[Etapa Despacho - Inicio de Carga]]="","",MARÍTIMOS[[#This Row],[Etapa Despacho - Inicio de Carga]]),"")</f>
        <v/>
      </c>
      <c r="AD836" s="11" t="str">
        <f>IFERROR(IF(MARÍTIMOS[[#This Row],[Etapa Despacho - Mitad de Carga]]="","",MARÍTIMOS[[#This Row],[Etapa Despacho - Mitad de Carga]]),"")</f>
        <v/>
      </c>
      <c r="AE836" s="11" t="str">
        <f>IFERROR(IF(MARÍTIMOS[[#This Row],[Etapa Despacho - Fin de Carga]]="","",MARÍTIMOS[[#This Row],[Etapa Despacho - Fin de Carga]]),"")</f>
        <v/>
      </c>
      <c r="AF836" s="2" t="str">
        <f>IFERROR(IF(MARÍTIMOS[[#This Row],[Puerto de Embarque]]="","",MARÍTIMOS[[#This Row],[Puerto de Embarque]]),"")</f>
        <v/>
      </c>
      <c r="AG836" s="2" t="str">
        <f>IFERROR(IF(MARÍTIMOS[[#This Row],[Almacén de Ingreso]]="","",MARÍTIMOS[[#This Row],[Almacén de Ingreso]]),"")</f>
        <v/>
      </c>
      <c r="AH836" s="11" t="str">
        <f>IFERROR(IF(MARÍTIMOS[[#This Row],[Etapa Ingreso - Cita]]="","",MARÍTIMOS[[#This Row],[Etapa Ingreso - Cita]]),"")</f>
        <v/>
      </c>
      <c r="AI836" s="11" t="str">
        <f>IFERROR(IF(MARÍTIMOS[[#This Row],[Etapa Ingreso - Llegada]]="","",MARÍTIMOS[[#This Row],[Etapa Ingreso - Llegada]]),"")</f>
        <v/>
      </c>
      <c r="AJ836" s="11" t="str">
        <f>IFERROR(IF(MARÍTIMOS[[#This Row],[Etapa Ingreso - Ingeso]]="","",MARÍTIMOS[[#This Row],[Etapa Ingreso - Ingeso]]),"")</f>
        <v/>
      </c>
      <c r="AK836" s="11" t="str">
        <f>IFERROR(IF(MARÍTIMOS[[#This Row],[Etapa Ingreso - Atención]]="","",MARÍTIMOS[[#This Row],[Etapa Ingreso - Atención]]),"")</f>
        <v/>
      </c>
      <c r="AL836" s="11" t="str">
        <f>IFERROR(IF(MARÍTIMOS[[#This Row],[Etapa Ingreso - Salida]]="","",MARÍTIMOS[[#This Row],[Etapa Ingreso - Salida]]),"")</f>
        <v/>
      </c>
      <c r="AM836" s="2" t="str">
        <f>IFERROR(IF(MARÍTIMOS[[#This Row],[FCL]]="","",MARÍTIMOS[[#This Row],[FCL]]),"")</f>
        <v/>
      </c>
      <c r="AN8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6" s="4" t="str" cm="1">
        <f t="array" ref="AO8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6" s="5" t="str">
        <f>IFERROR(OLDBD[[#This Row],[Llegada a packing]]-OLDBD[[#This Row],[Inicio de Ruta]],"")</f>
        <v/>
      </c>
      <c r="AQ836" s="6" t="str">
        <f>IFERROR(OLDBD[[#This Row],[Inicio de Ruta]]-OLDBD[[#This Row],[Salida de almacén de retiro]],"")</f>
        <v/>
      </c>
      <c r="AR8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6" s="8" t="str" cm="1">
        <f t="array" ref="AS8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6" s="9" t="str">
        <f>IFERROR(OLDBD[[#This Row],[Ingreso Packing]]-OLDBD[[#This Row],[Registro en Packing]],"")</f>
        <v/>
      </c>
      <c r="AV836" s="9" t="str">
        <f>IFERROR(OLDBD[[#This Row],[Ingreso Packing]]-OLDBD[[#This Row],[Llegada a packing]],"")</f>
        <v/>
      </c>
      <c r="AW8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6" s="5" t="str">
        <f>IFERROR(OLDBD[[#This Row],[Llegada Almacén de Ingreso]]-OLDBD[[#This Row],[Salida Packing]],"")</f>
        <v/>
      </c>
      <c r="AY836" s="4" t="str" cm="1">
        <f t="array" ref="AY8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6" s="43" t="s">
        <v>173</v>
      </c>
      <c r="BB836" s="47" t="str">
        <f>IFERROR(IF(MARÍTIMOS[[#This Row],[Estatus]]="","",MARÍTIMOS[[#This Row],[Estatus]]),"")</f>
        <v/>
      </c>
      <c r="BC836" s="43"/>
      <c r="BD836" s="46" t="str">
        <f>IFERROR(OLDBD[[#This Row],[Salida de almacén de retiro]]-OLDBD[[#This Row],[Ingreso Almacén de retiro]],"")</f>
        <v/>
      </c>
      <c r="BE836" s="46" t="str">
        <f>IFERROR(OLDBD[[#This Row],[Fin de Carga]]-OLDBD[[#This Row],[Inicio de Carga]],"")</f>
        <v/>
      </c>
    </row>
    <row r="837" spans="1:57" customFormat="1" hidden="1">
      <c r="A837" s="1"/>
      <c r="B837" s="1" t="str">
        <f>IFERROR(IF(MARÍTIMOS[[#This Row],[PP]]="","",MARÍTIMOS[[#This Row],[PP]]),"")</f>
        <v/>
      </c>
      <c r="C837" s="1" t="str">
        <f>IFERROR(IF(MARÍTIMOS[[#This Row],[Sede]]="","",MARÍTIMOS[[#This Row],[Sede]]),"")</f>
        <v/>
      </c>
      <c r="D837" s="1" t="str">
        <f>IFERROR(IF(MARÍTIMOS[[#This Row],[Instruction]]="","",MARÍTIMOS[[#This Row],[Instruction]]),"")</f>
        <v/>
      </c>
      <c r="E837" s="1"/>
      <c r="F837" s="2" t="str">
        <f>IFERROR(IF(MARÍTIMOS[[#This Row],[Transportista]]="","",MARÍTIMOS[[#This Row],[Transportista]]),"")</f>
        <v/>
      </c>
      <c r="G837" s="2" t="str">
        <f>IFERROR(IF(MARÍTIMOS[[#This Row],[Tercero]]="","",MARÍTIMOS[[#This Row],[Tercero]]),"")</f>
        <v/>
      </c>
      <c r="H837" s="2" t="str">
        <f>IFERROR(IF(MARÍTIMOS[[#This Row],[Razón Social]]="","",MARÍTIMOS[[#This Row],[Razón Social]]),"")</f>
        <v/>
      </c>
      <c r="I837" s="2" t="str">
        <f>IFERROR(IF(MARÍTIMOS[[#This Row],[RUC]]="","",MARÍTIMOS[[#This Row],[RUC]]),"")</f>
        <v/>
      </c>
      <c r="J837" s="2" t="str">
        <f>IFERROR(IF(MARÍTIMOS[[#This Row],[Placa Tracto]]="","",MARÍTIMOS[[#This Row],[Placa Tracto]]),"")</f>
        <v/>
      </c>
      <c r="K837" s="2" t="str">
        <f>IFERROR(IF(MARÍTIMOS[[#This Row],[Placa Carreta]]="","",MARÍTIMOS[[#This Row],[Placa Carreta]]),"")</f>
        <v/>
      </c>
      <c r="L837" s="44" t="str">
        <f>IFERROR(IF(MARÍTIMOS[[#This Row],[Conductor]]="","",MARÍTIMOS[[#This Row],[Conductor]]),"")</f>
        <v/>
      </c>
      <c r="M837" s="2" t="str">
        <f>IFERROR(IF(MARÍTIMOS[[#This Row],[Licencia]]="","",MARÍTIMOS[[#This Row],[Licencia]]),"")</f>
        <v/>
      </c>
      <c r="N837" s="2" t="str">
        <f>IFERROR(IF(MARÍTIMOS[[#This Row],[Número de Contacto]]="","",MARÍTIMOS[[#This Row],[Número de Contacto]]),"")</f>
        <v/>
      </c>
      <c r="O837" s="10" t="str">
        <f>IFERROR(IF(MARÍTIMOS[[#This Row],[Booking|AWB|CRT]]="","",MARÍTIMOS[[#This Row],[Booking|AWB|CRT]]),"")</f>
        <v/>
      </c>
      <c r="P837" s="2" t="str">
        <f>IFERROR(IF(MARÍTIMOS[[#This Row],[Contenedor]]="","",MARÍTIMOS[[#This Row],[Contenedor]]),"")</f>
        <v/>
      </c>
      <c r="Q837" s="2" t="str">
        <f>IFERROR(IF(MARÍTIMOS[[#This Row],[Puerto de Retiro]]="","",MARÍTIMOS[[#This Row],[Puerto de Retiro]]),"")</f>
        <v/>
      </c>
      <c r="R837" s="2" t="str">
        <f>IFERROR(IF(MARÍTIMOS[[#This Row],[Almacén de Retiro]]="","",MARÍTIMOS[[#This Row],[Almacén de Retiro]]),"")</f>
        <v/>
      </c>
      <c r="S837" s="11" t="str">
        <f>IFERROR(IF(MARÍTIMOS[[#This Row],[Etapa Retiro - Cita]]="","",MARÍTIMOS[[#This Row],[Etapa Retiro - Cita]]),"")</f>
        <v/>
      </c>
      <c r="T837" s="11" t="str">
        <f>IFERROR(IF(MARÍTIMOS[[#This Row],[Etapa Retiro - Llegada]]="","",MARÍTIMOS[[#This Row],[Etapa Retiro - Llegada]]),"")</f>
        <v/>
      </c>
      <c r="U837" s="11" t="str">
        <f>IFERROR(IF(MARÍTIMOS[[#This Row],[Etapa Retiro - Ingreso]]="","",MARÍTIMOS[[#This Row],[Etapa Retiro - Ingreso]]),"")</f>
        <v/>
      </c>
      <c r="V837" s="11" t="str">
        <f>IFERROR(IF(MARÍTIMOS[[#This Row],[Etapa Retiro - Atención]]="","",MARÍTIMOS[[#This Row],[Etapa Retiro - Atención]]),"")</f>
        <v/>
      </c>
      <c r="W837" s="11" t="str">
        <f>IFERROR(IF(MARÍTIMOS[[#This Row],[Etapa Retiro - Atención]]="","",MARÍTIMOS[[#This Row],[Etapa Retiro - Atención]]),"")</f>
        <v/>
      </c>
      <c r="X837" s="11" t="str">
        <f>IFERROR(IF(MARÍTIMOS[[#This Row],[Etapa Retiro - Inicio de Ruta]]="","",MARÍTIMOS[[#This Row],[Etapa Retiro - Inicio de Ruta]]),"")</f>
        <v/>
      </c>
      <c r="Y837" s="11" t="str">
        <f>IFERROR(IF(MARÍTIMOS[[#This Row],[Hora de Posicionamiento]]="","",MARÍTIMOS[[#This Row],[Fecha de Carga]]+MARÍTIMOS[[#This Row],[Hora de Posicionamiento]]),"")</f>
        <v/>
      </c>
      <c r="Z837" s="11" t="str">
        <f>IFERROR(IF(MARÍTIMOS[[#This Row],[Etapa Despacho - Llegada]]="","",MARÍTIMOS[[#This Row],[Etapa Despacho - Llegada]]),"")</f>
        <v/>
      </c>
      <c r="AA837" s="11" t="str">
        <f>IFERROR(IF(MARÍTIMOS[[#This Row],[Etapa Despacho - Registro]]="","",MARÍTIMOS[[#This Row],[Etapa Despacho - Registro]]),"")</f>
        <v/>
      </c>
      <c r="AB837" s="11" t="str">
        <f>IFERROR(IF(MARÍTIMOS[[#This Row],[Inspección Externa]]="","",MARÍTIMOS[[#This Row],[Inspección Externa]]),"")</f>
        <v/>
      </c>
      <c r="AC837" s="11" t="str">
        <f>IFERROR(IF(MARÍTIMOS[[#This Row],[Etapa Despacho - Inicio de Carga]]="","",MARÍTIMOS[[#This Row],[Etapa Despacho - Inicio de Carga]]),"")</f>
        <v/>
      </c>
      <c r="AD837" s="11" t="str">
        <f>IFERROR(IF(MARÍTIMOS[[#This Row],[Etapa Despacho - Mitad de Carga]]="","",MARÍTIMOS[[#This Row],[Etapa Despacho - Mitad de Carga]]),"")</f>
        <v/>
      </c>
      <c r="AE837" s="11" t="str">
        <f>IFERROR(IF(MARÍTIMOS[[#This Row],[Etapa Despacho - Fin de Carga]]="","",MARÍTIMOS[[#This Row],[Etapa Despacho - Fin de Carga]]),"")</f>
        <v/>
      </c>
      <c r="AF837" s="2" t="str">
        <f>IFERROR(IF(MARÍTIMOS[[#This Row],[Puerto de Embarque]]="","",MARÍTIMOS[[#This Row],[Puerto de Embarque]]),"")</f>
        <v/>
      </c>
      <c r="AG837" s="2" t="str">
        <f>IFERROR(IF(MARÍTIMOS[[#This Row],[Almacén de Ingreso]]="","",MARÍTIMOS[[#This Row],[Almacén de Ingreso]]),"")</f>
        <v/>
      </c>
      <c r="AH837" s="11" t="str">
        <f>IFERROR(IF(MARÍTIMOS[[#This Row],[Etapa Ingreso - Cita]]="","",MARÍTIMOS[[#This Row],[Etapa Ingreso - Cita]]),"")</f>
        <v/>
      </c>
      <c r="AI837" s="11" t="str">
        <f>IFERROR(IF(MARÍTIMOS[[#This Row],[Etapa Ingreso - Llegada]]="","",MARÍTIMOS[[#This Row],[Etapa Ingreso - Llegada]]),"")</f>
        <v/>
      </c>
      <c r="AJ837" s="11" t="str">
        <f>IFERROR(IF(MARÍTIMOS[[#This Row],[Etapa Ingreso - Ingeso]]="","",MARÍTIMOS[[#This Row],[Etapa Ingreso - Ingeso]]),"")</f>
        <v/>
      </c>
      <c r="AK837" s="11" t="str">
        <f>IFERROR(IF(MARÍTIMOS[[#This Row],[Etapa Ingreso - Atención]]="","",MARÍTIMOS[[#This Row],[Etapa Ingreso - Atención]]),"")</f>
        <v/>
      </c>
      <c r="AL837" s="11" t="str">
        <f>IFERROR(IF(MARÍTIMOS[[#This Row],[Etapa Ingreso - Salida]]="","",MARÍTIMOS[[#This Row],[Etapa Ingreso - Salida]]),"")</f>
        <v/>
      </c>
      <c r="AM837" s="2" t="str">
        <f>IFERROR(IF(MARÍTIMOS[[#This Row],[FCL]]="","",MARÍTIMOS[[#This Row],[FCL]]),"")</f>
        <v/>
      </c>
      <c r="AN8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7" s="4" t="str" cm="1">
        <f t="array" ref="AO8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7" s="5" t="str">
        <f>IFERROR(OLDBD[[#This Row],[Llegada a packing]]-OLDBD[[#This Row],[Inicio de Ruta]],"")</f>
        <v/>
      </c>
      <c r="AQ837" s="6" t="str">
        <f>IFERROR(OLDBD[[#This Row],[Inicio de Ruta]]-OLDBD[[#This Row],[Salida de almacén de retiro]],"")</f>
        <v/>
      </c>
      <c r="AR8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7" s="8" t="str" cm="1">
        <f t="array" ref="AS8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7" s="9" t="str">
        <f>IFERROR(OLDBD[[#This Row],[Ingreso Packing]]-OLDBD[[#This Row],[Registro en Packing]],"")</f>
        <v/>
      </c>
      <c r="AV837" s="9" t="str">
        <f>IFERROR(OLDBD[[#This Row],[Ingreso Packing]]-OLDBD[[#This Row],[Llegada a packing]],"")</f>
        <v/>
      </c>
      <c r="AW8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7" s="5" t="str">
        <f>IFERROR(OLDBD[[#This Row],[Llegada Almacén de Ingreso]]-OLDBD[[#This Row],[Salida Packing]],"")</f>
        <v/>
      </c>
      <c r="AY837" s="4" t="str" cm="1">
        <f t="array" ref="AY8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7" s="43" t="s">
        <v>173</v>
      </c>
      <c r="BB837" s="47" t="str">
        <f>IFERROR(IF(MARÍTIMOS[[#This Row],[Estatus]]="","",MARÍTIMOS[[#This Row],[Estatus]]),"")</f>
        <v/>
      </c>
      <c r="BC837" s="43"/>
      <c r="BD837" s="46" t="str">
        <f>IFERROR(OLDBD[[#This Row],[Salida de almacén de retiro]]-OLDBD[[#This Row],[Ingreso Almacén de retiro]],"")</f>
        <v/>
      </c>
      <c r="BE837" s="46" t="str">
        <f>IFERROR(OLDBD[[#This Row],[Fin de Carga]]-OLDBD[[#This Row],[Inicio de Carga]],"")</f>
        <v/>
      </c>
    </row>
    <row r="838" spans="1:57" customFormat="1" hidden="1">
      <c r="A838" s="1"/>
      <c r="B838" s="1" t="str">
        <f>IFERROR(IF(MARÍTIMOS[[#This Row],[PP]]="","",MARÍTIMOS[[#This Row],[PP]]),"")</f>
        <v/>
      </c>
      <c r="C838" s="1" t="str">
        <f>IFERROR(IF(MARÍTIMOS[[#This Row],[Sede]]="","",MARÍTIMOS[[#This Row],[Sede]]),"")</f>
        <v/>
      </c>
      <c r="D838" s="1" t="str">
        <f>IFERROR(IF(MARÍTIMOS[[#This Row],[Instruction]]="","",MARÍTIMOS[[#This Row],[Instruction]]),"")</f>
        <v/>
      </c>
      <c r="E838" s="1"/>
      <c r="F838" s="2" t="str">
        <f>IFERROR(IF(MARÍTIMOS[[#This Row],[Transportista]]="","",MARÍTIMOS[[#This Row],[Transportista]]),"")</f>
        <v/>
      </c>
      <c r="G838" s="2" t="str">
        <f>IFERROR(IF(MARÍTIMOS[[#This Row],[Tercero]]="","",MARÍTIMOS[[#This Row],[Tercero]]),"")</f>
        <v/>
      </c>
      <c r="H838" s="2" t="str">
        <f>IFERROR(IF(MARÍTIMOS[[#This Row],[Razón Social]]="","",MARÍTIMOS[[#This Row],[Razón Social]]),"")</f>
        <v/>
      </c>
      <c r="I838" s="2" t="str">
        <f>IFERROR(IF(MARÍTIMOS[[#This Row],[RUC]]="","",MARÍTIMOS[[#This Row],[RUC]]),"")</f>
        <v/>
      </c>
      <c r="J838" s="2" t="str">
        <f>IFERROR(IF(MARÍTIMOS[[#This Row],[Placa Tracto]]="","",MARÍTIMOS[[#This Row],[Placa Tracto]]),"")</f>
        <v/>
      </c>
      <c r="K838" s="2" t="str">
        <f>IFERROR(IF(MARÍTIMOS[[#This Row],[Placa Carreta]]="","",MARÍTIMOS[[#This Row],[Placa Carreta]]),"")</f>
        <v/>
      </c>
      <c r="L838" s="44" t="str">
        <f>IFERROR(IF(MARÍTIMOS[[#This Row],[Conductor]]="","",MARÍTIMOS[[#This Row],[Conductor]]),"")</f>
        <v/>
      </c>
      <c r="M838" s="2" t="str">
        <f>IFERROR(IF(MARÍTIMOS[[#This Row],[Licencia]]="","",MARÍTIMOS[[#This Row],[Licencia]]),"")</f>
        <v/>
      </c>
      <c r="N838" s="2" t="str">
        <f>IFERROR(IF(MARÍTIMOS[[#This Row],[Número de Contacto]]="","",MARÍTIMOS[[#This Row],[Número de Contacto]]),"")</f>
        <v/>
      </c>
      <c r="O838" s="10" t="str">
        <f>IFERROR(IF(MARÍTIMOS[[#This Row],[Booking|AWB|CRT]]="","",MARÍTIMOS[[#This Row],[Booking|AWB|CRT]]),"")</f>
        <v/>
      </c>
      <c r="P838" s="2" t="str">
        <f>IFERROR(IF(MARÍTIMOS[[#This Row],[Contenedor]]="","",MARÍTIMOS[[#This Row],[Contenedor]]),"")</f>
        <v/>
      </c>
      <c r="Q838" s="2" t="str">
        <f>IFERROR(IF(MARÍTIMOS[[#This Row],[Puerto de Retiro]]="","",MARÍTIMOS[[#This Row],[Puerto de Retiro]]),"")</f>
        <v/>
      </c>
      <c r="R838" s="2" t="str">
        <f>IFERROR(IF(MARÍTIMOS[[#This Row],[Almacén de Retiro]]="","",MARÍTIMOS[[#This Row],[Almacén de Retiro]]),"")</f>
        <v/>
      </c>
      <c r="S838" s="11" t="str">
        <f>IFERROR(IF(MARÍTIMOS[[#This Row],[Etapa Retiro - Cita]]="","",MARÍTIMOS[[#This Row],[Etapa Retiro - Cita]]),"")</f>
        <v/>
      </c>
      <c r="T838" s="11" t="str">
        <f>IFERROR(IF(MARÍTIMOS[[#This Row],[Etapa Retiro - Llegada]]="","",MARÍTIMOS[[#This Row],[Etapa Retiro - Llegada]]),"")</f>
        <v/>
      </c>
      <c r="U838" s="11" t="str">
        <f>IFERROR(IF(MARÍTIMOS[[#This Row],[Etapa Retiro - Ingreso]]="","",MARÍTIMOS[[#This Row],[Etapa Retiro - Ingreso]]),"")</f>
        <v/>
      </c>
      <c r="V838" s="11" t="str">
        <f>IFERROR(IF(MARÍTIMOS[[#This Row],[Etapa Retiro - Atención]]="","",MARÍTIMOS[[#This Row],[Etapa Retiro - Atención]]),"")</f>
        <v/>
      </c>
      <c r="W838" s="11" t="str">
        <f>IFERROR(IF(MARÍTIMOS[[#This Row],[Etapa Retiro - Atención]]="","",MARÍTIMOS[[#This Row],[Etapa Retiro - Atención]]),"")</f>
        <v/>
      </c>
      <c r="X838" s="11" t="str">
        <f>IFERROR(IF(MARÍTIMOS[[#This Row],[Etapa Retiro - Inicio de Ruta]]="","",MARÍTIMOS[[#This Row],[Etapa Retiro - Inicio de Ruta]]),"")</f>
        <v/>
      </c>
      <c r="Y838" s="11" t="str">
        <f>IFERROR(IF(MARÍTIMOS[[#This Row],[Hora de Posicionamiento]]="","",MARÍTIMOS[[#This Row],[Fecha de Carga]]+MARÍTIMOS[[#This Row],[Hora de Posicionamiento]]),"")</f>
        <v/>
      </c>
      <c r="Z838" s="11" t="str">
        <f>IFERROR(IF(MARÍTIMOS[[#This Row],[Etapa Despacho - Llegada]]="","",MARÍTIMOS[[#This Row],[Etapa Despacho - Llegada]]),"")</f>
        <v/>
      </c>
      <c r="AA838" s="11" t="str">
        <f>IFERROR(IF(MARÍTIMOS[[#This Row],[Etapa Despacho - Registro]]="","",MARÍTIMOS[[#This Row],[Etapa Despacho - Registro]]),"")</f>
        <v/>
      </c>
      <c r="AB838" s="11" t="str">
        <f>IFERROR(IF(MARÍTIMOS[[#This Row],[Inspección Externa]]="","",MARÍTIMOS[[#This Row],[Inspección Externa]]),"")</f>
        <v/>
      </c>
      <c r="AC838" s="11" t="str">
        <f>IFERROR(IF(MARÍTIMOS[[#This Row],[Etapa Despacho - Inicio de Carga]]="","",MARÍTIMOS[[#This Row],[Etapa Despacho - Inicio de Carga]]),"")</f>
        <v/>
      </c>
      <c r="AD838" s="11" t="str">
        <f>IFERROR(IF(MARÍTIMOS[[#This Row],[Etapa Despacho - Mitad de Carga]]="","",MARÍTIMOS[[#This Row],[Etapa Despacho - Mitad de Carga]]),"")</f>
        <v/>
      </c>
      <c r="AE838" s="11" t="str">
        <f>IFERROR(IF(MARÍTIMOS[[#This Row],[Etapa Despacho - Fin de Carga]]="","",MARÍTIMOS[[#This Row],[Etapa Despacho - Fin de Carga]]),"")</f>
        <v/>
      </c>
      <c r="AF838" s="2" t="str">
        <f>IFERROR(IF(MARÍTIMOS[[#This Row],[Puerto de Embarque]]="","",MARÍTIMOS[[#This Row],[Puerto de Embarque]]),"")</f>
        <v/>
      </c>
      <c r="AG838" s="2" t="str">
        <f>IFERROR(IF(MARÍTIMOS[[#This Row],[Almacén de Ingreso]]="","",MARÍTIMOS[[#This Row],[Almacén de Ingreso]]),"")</f>
        <v/>
      </c>
      <c r="AH838" s="11" t="str">
        <f>IFERROR(IF(MARÍTIMOS[[#This Row],[Etapa Ingreso - Cita]]="","",MARÍTIMOS[[#This Row],[Etapa Ingreso - Cita]]),"")</f>
        <v/>
      </c>
      <c r="AI838" s="11" t="str">
        <f>IFERROR(IF(MARÍTIMOS[[#This Row],[Etapa Ingreso - Llegada]]="","",MARÍTIMOS[[#This Row],[Etapa Ingreso - Llegada]]),"")</f>
        <v/>
      </c>
      <c r="AJ838" s="11" t="str">
        <f>IFERROR(IF(MARÍTIMOS[[#This Row],[Etapa Ingreso - Ingeso]]="","",MARÍTIMOS[[#This Row],[Etapa Ingreso - Ingeso]]),"")</f>
        <v/>
      </c>
      <c r="AK838" s="11" t="str">
        <f>IFERROR(IF(MARÍTIMOS[[#This Row],[Etapa Ingreso - Atención]]="","",MARÍTIMOS[[#This Row],[Etapa Ingreso - Atención]]),"")</f>
        <v/>
      </c>
      <c r="AL838" s="11" t="str">
        <f>IFERROR(IF(MARÍTIMOS[[#This Row],[Etapa Ingreso - Salida]]="","",MARÍTIMOS[[#This Row],[Etapa Ingreso - Salida]]),"")</f>
        <v/>
      </c>
      <c r="AM838" s="2" t="str">
        <f>IFERROR(IF(MARÍTIMOS[[#This Row],[FCL]]="","",MARÍTIMOS[[#This Row],[FCL]]),"")</f>
        <v/>
      </c>
      <c r="AN8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8" s="4" t="str" cm="1">
        <f t="array" ref="AO8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8" s="5" t="str">
        <f>IFERROR(OLDBD[[#This Row],[Llegada a packing]]-OLDBD[[#This Row],[Inicio de Ruta]],"")</f>
        <v/>
      </c>
      <c r="AQ838" s="6" t="str">
        <f>IFERROR(OLDBD[[#This Row],[Inicio de Ruta]]-OLDBD[[#This Row],[Salida de almacén de retiro]],"")</f>
        <v/>
      </c>
      <c r="AR8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8" s="8" t="str" cm="1">
        <f t="array" ref="AS8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8" s="9" t="str">
        <f>IFERROR(OLDBD[[#This Row],[Ingreso Packing]]-OLDBD[[#This Row],[Registro en Packing]],"")</f>
        <v/>
      </c>
      <c r="AV838" s="9" t="str">
        <f>IFERROR(OLDBD[[#This Row],[Ingreso Packing]]-OLDBD[[#This Row],[Llegada a packing]],"")</f>
        <v/>
      </c>
      <c r="AW8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8" s="5" t="str">
        <f>IFERROR(OLDBD[[#This Row],[Llegada Almacén de Ingreso]]-OLDBD[[#This Row],[Salida Packing]],"")</f>
        <v/>
      </c>
      <c r="AY838" s="4" t="str" cm="1">
        <f t="array" ref="AY8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8" s="43" t="s">
        <v>173</v>
      </c>
      <c r="BB838" s="47" t="str">
        <f>IFERROR(IF(MARÍTIMOS[[#This Row],[Estatus]]="","",MARÍTIMOS[[#This Row],[Estatus]]),"")</f>
        <v/>
      </c>
      <c r="BC838" s="43"/>
      <c r="BD838" s="46" t="str">
        <f>IFERROR(OLDBD[[#This Row],[Salida de almacén de retiro]]-OLDBD[[#This Row],[Ingreso Almacén de retiro]],"")</f>
        <v/>
      </c>
      <c r="BE838" s="46" t="str">
        <f>IFERROR(OLDBD[[#This Row],[Fin de Carga]]-OLDBD[[#This Row],[Inicio de Carga]],"")</f>
        <v/>
      </c>
    </row>
    <row r="839" spans="1:57" customFormat="1" hidden="1">
      <c r="A839" s="1"/>
      <c r="B839" s="1" t="str">
        <f>IFERROR(IF(MARÍTIMOS[[#This Row],[PP]]="","",MARÍTIMOS[[#This Row],[PP]]),"")</f>
        <v/>
      </c>
      <c r="C839" s="1" t="str">
        <f>IFERROR(IF(MARÍTIMOS[[#This Row],[Sede]]="","",MARÍTIMOS[[#This Row],[Sede]]),"")</f>
        <v/>
      </c>
      <c r="D839" s="1" t="str">
        <f>IFERROR(IF(MARÍTIMOS[[#This Row],[Instruction]]="","",MARÍTIMOS[[#This Row],[Instruction]]),"")</f>
        <v/>
      </c>
      <c r="E839" s="1"/>
      <c r="F839" s="2" t="str">
        <f>IFERROR(IF(MARÍTIMOS[[#This Row],[Transportista]]="","",MARÍTIMOS[[#This Row],[Transportista]]),"")</f>
        <v/>
      </c>
      <c r="G839" s="2" t="str">
        <f>IFERROR(IF(MARÍTIMOS[[#This Row],[Tercero]]="","",MARÍTIMOS[[#This Row],[Tercero]]),"")</f>
        <v/>
      </c>
      <c r="H839" s="2" t="str">
        <f>IFERROR(IF(MARÍTIMOS[[#This Row],[Razón Social]]="","",MARÍTIMOS[[#This Row],[Razón Social]]),"")</f>
        <v/>
      </c>
      <c r="I839" s="2" t="str">
        <f>IFERROR(IF(MARÍTIMOS[[#This Row],[RUC]]="","",MARÍTIMOS[[#This Row],[RUC]]),"")</f>
        <v/>
      </c>
      <c r="J839" s="2" t="str">
        <f>IFERROR(IF(MARÍTIMOS[[#This Row],[Placa Tracto]]="","",MARÍTIMOS[[#This Row],[Placa Tracto]]),"")</f>
        <v/>
      </c>
      <c r="K839" s="2" t="str">
        <f>IFERROR(IF(MARÍTIMOS[[#This Row],[Placa Carreta]]="","",MARÍTIMOS[[#This Row],[Placa Carreta]]),"")</f>
        <v/>
      </c>
      <c r="L839" s="44" t="str">
        <f>IFERROR(IF(MARÍTIMOS[[#This Row],[Conductor]]="","",MARÍTIMOS[[#This Row],[Conductor]]),"")</f>
        <v/>
      </c>
      <c r="M839" s="2" t="str">
        <f>IFERROR(IF(MARÍTIMOS[[#This Row],[Licencia]]="","",MARÍTIMOS[[#This Row],[Licencia]]),"")</f>
        <v/>
      </c>
      <c r="N839" s="2" t="str">
        <f>IFERROR(IF(MARÍTIMOS[[#This Row],[Número de Contacto]]="","",MARÍTIMOS[[#This Row],[Número de Contacto]]),"")</f>
        <v/>
      </c>
      <c r="O839" s="10" t="str">
        <f>IFERROR(IF(MARÍTIMOS[[#This Row],[Booking|AWB|CRT]]="","",MARÍTIMOS[[#This Row],[Booking|AWB|CRT]]),"")</f>
        <v/>
      </c>
      <c r="P839" s="2" t="str">
        <f>IFERROR(IF(MARÍTIMOS[[#This Row],[Contenedor]]="","",MARÍTIMOS[[#This Row],[Contenedor]]),"")</f>
        <v/>
      </c>
      <c r="Q839" s="2" t="str">
        <f>IFERROR(IF(MARÍTIMOS[[#This Row],[Puerto de Retiro]]="","",MARÍTIMOS[[#This Row],[Puerto de Retiro]]),"")</f>
        <v/>
      </c>
      <c r="R839" s="2" t="str">
        <f>IFERROR(IF(MARÍTIMOS[[#This Row],[Almacén de Retiro]]="","",MARÍTIMOS[[#This Row],[Almacén de Retiro]]),"")</f>
        <v/>
      </c>
      <c r="S839" s="11" t="str">
        <f>IFERROR(IF(MARÍTIMOS[[#This Row],[Etapa Retiro - Cita]]="","",MARÍTIMOS[[#This Row],[Etapa Retiro - Cita]]),"")</f>
        <v/>
      </c>
      <c r="T839" s="11" t="str">
        <f>IFERROR(IF(MARÍTIMOS[[#This Row],[Etapa Retiro - Llegada]]="","",MARÍTIMOS[[#This Row],[Etapa Retiro - Llegada]]),"")</f>
        <v/>
      </c>
      <c r="U839" s="11" t="str">
        <f>IFERROR(IF(MARÍTIMOS[[#This Row],[Etapa Retiro - Ingreso]]="","",MARÍTIMOS[[#This Row],[Etapa Retiro - Ingreso]]),"")</f>
        <v/>
      </c>
      <c r="V839" s="11" t="str">
        <f>IFERROR(IF(MARÍTIMOS[[#This Row],[Etapa Retiro - Atención]]="","",MARÍTIMOS[[#This Row],[Etapa Retiro - Atención]]),"")</f>
        <v/>
      </c>
      <c r="W839" s="11" t="str">
        <f>IFERROR(IF(MARÍTIMOS[[#This Row],[Etapa Retiro - Atención]]="","",MARÍTIMOS[[#This Row],[Etapa Retiro - Atención]]),"")</f>
        <v/>
      </c>
      <c r="X839" s="11" t="str">
        <f>IFERROR(IF(MARÍTIMOS[[#This Row],[Etapa Retiro - Inicio de Ruta]]="","",MARÍTIMOS[[#This Row],[Etapa Retiro - Inicio de Ruta]]),"")</f>
        <v/>
      </c>
      <c r="Y839" s="11" t="str">
        <f>IFERROR(IF(MARÍTIMOS[[#This Row],[Hora de Posicionamiento]]="","",MARÍTIMOS[[#This Row],[Fecha de Carga]]+MARÍTIMOS[[#This Row],[Hora de Posicionamiento]]),"")</f>
        <v/>
      </c>
      <c r="Z839" s="11" t="str">
        <f>IFERROR(IF(MARÍTIMOS[[#This Row],[Etapa Despacho - Llegada]]="","",MARÍTIMOS[[#This Row],[Etapa Despacho - Llegada]]),"")</f>
        <v/>
      </c>
      <c r="AA839" s="11" t="str">
        <f>IFERROR(IF(MARÍTIMOS[[#This Row],[Etapa Despacho - Registro]]="","",MARÍTIMOS[[#This Row],[Etapa Despacho - Registro]]),"")</f>
        <v/>
      </c>
      <c r="AB839" s="11" t="str">
        <f>IFERROR(IF(MARÍTIMOS[[#This Row],[Inspección Externa]]="","",MARÍTIMOS[[#This Row],[Inspección Externa]]),"")</f>
        <v/>
      </c>
      <c r="AC839" s="11" t="str">
        <f>IFERROR(IF(MARÍTIMOS[[#This Row],[Etapa Despacho - Inicio de Carga]]="","",MARÍTIMOS[[#This Row],[Etapa Despacho - Inicio de Carga]]),"")</f>
        <v/>
      </c>
      <c r="AD839" s="11" t="str">
        <f>IFERROR(IF(MARÍTIMOS[[#This Row],[Etapa Despacho - Mitad de Carga]]="","",MARÍTIMOS[[#This Row],[Etapa Despacho - Mitad de Carga]]),"")</f>
        <v/>
      </c>
      <c r="AE839" s="11" t="str">
        <f>IFERROR(IF(MARÍTIMOS[[#This Row],[Etapa Despacho - Fin de Carga]]="","",MARÍTIMOS[[#This Row],[Etapa Despacho - Fin de Carga]]),"")</f>
        <v/>
      </c>
      <c r="AF839" s="2" t="str">
        <f>IFERROR(IF(MARÍTIMOS[[#This Row],[Puerto de Embarque]]="","",MARÍTIMOS[[#This Row],[Puerto de Embarque]]),"")</f>
        <v/>
      </c>
      <c r="AG839" s="2" t="str">
        <f>IFERROR(IF(MARÍTIMOS[[#This Row],[Almacén de Ingreso]]="","",MARÍTIMOS[[#This Row],[Almacén de Ingreso]]),"")</f>
        <v/>
      </c>
      <c r="AH839" s="11" t="str">
        <f>IFERROR(IF(MARÍTIMOS[[#This Row],[Etapa Ingreso - Cita]]="","",MARÍTIMOS[[#This Row],[Etapa Ingreso - Cita]]),"")</f>
        <v/>
      </c>
      <c r="AI839" s="11" t="str">
        <f>IFERROR(IF(MARÍTIMOS[[#This Row],[Etapa Ingreso - Llegada]]="","",MARÍTIMOS[[#This Row],[Etapa Ingreso - Llegada]]),"")</f>
        <v/>
      </c>
      <c r="AJ839" s="11" t="str">
        <f>IFERROR(IF(MARÍTIMOS[[#This Row],[Etapa Ingreso - Ingeso]]="","",MARÍTIMOS[[#This Row],[Etapa Ingreso - Ingeso]]),"")</f>
        <v/>
      </c>
      <c r="AK839" s="11" t="str">
        <f>IFERROR(IF(MARÍTIMOS[[#This Row],[Etapa Ingreso - Atención]]="","",MARÍTIMOS[[#This Row],[Etapa Ingreso - Atención]]),"")</f>
        <v/>
      </c>
      <c r="AL839" s="11" t="str">
        <f>IFERROR(IF(MARÍTIMOS[[#This Row],[Etapa Ingreso - Salida]]="","",MARÍTIMOS[[#This Row],[Etapa Ingreso - Salida]]),"")</f>
        <v/>
      </c>
      <c r="AM839" s="2" t="str">
        <f>IFERROR(IF(MARÍTIMOS[[#This Row],[FCL]]="","",MARÍTIMOS[[#This Row],[FCL]]),"")</f>
        <v/>
      </c>
      <c r="AN8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39" s="4" t="str" cm="1">
        <f t="array" ref="AO8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39" s="5" t="str">
        <f>IFERROR(OLDBD[[#This Row],[Llegada a packing]]-OLDBD[[#This Row],[Inicio de Ruta]],"")</f>
        <v/>
      </c>
      <c r="AQ839" s="6" t="str">
        <f>IFERROR(OLDBD[[#This Row],[Inicio de Ruta]]-OLDBD[[#This Row],[Salida de almacén de retiro]],"")</f>
        <v/>
      </c>
      <c r="AR8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39" s="8" t="str" cm="1">
        <f t="array" ref="AS8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39" s="9" t="str">
        <f>IFERROR(OLDBD[[#This Row],[Ingreso Packing]]-OLDBD[[#This Row],[Registro en Packing]],"")</f>
        <v/>
      </c>
      <c r="AV839" s="9" t="str">
        <f>IFERROR(OLDBD[[#This Row],[Ingreso Packing]]-OLDBD[[#This Row],[Llegada a packing]],"")</f>
        <v/>
      </c>
      <c r="AW8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39" s="5" t="str">
        <f>IFERROR(OLDBD[[#This Row],[Llegada Almacén de Ingreso]]-OLDBD[[#This Row],[Salida Packing]],"")</f>
        <v/>
      </c>
      <c r="AY839" s="4" t="str" cm="1">
        <f t="array" ref="AY8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39" s="43" t="s">
        <v>173</v>
      </c>
      <c r="BB839" s="47" t="str">
        <f>IFERROR(IF(MARÍTIMOS[[#This Row],[Estatus]]="","",MARÍTIMOS[[#This Row],[Estatus]]),"")</f>
        <v/>
      </c>
      <c r="BC839" s="43"/>
      <c r="BD839" s="46" t="str">
        <f>IFERROR(OLDBD[[#This Row],[Salida de almacén de retiro]]-OLDBD[[#This Row],[Ingreso Almacén de retiro]],"")</f>
        <v/>
      </c>
      <c r="BE839" s="46" t="str">
        <f>IFERROR(OLDBD[[#This Row],[Fin de Carga]]-OLDBD[[#This Row],[Inicio de Carga]],"")</f>
        <v/>
      </c>
    </row>
    <row r="840" spans="1:57" customFormat="1" hidden="1">
      <c r="A840" s="1"/>
      <c r="B840" s="1" t="str">
        <f>IFERROR(IF(MARÍTIMOS[[#This Row],[PP]]="","",MARÍTIMOS[[#This Row],[PP]]),"")</f>
        <v/>
      </c>
      <c r="C840" s="1" t="str">
        <f>IFERROR(IF(MARÍTIMOS[[#This Row],[Sede]]="","",MARÍTIMOS[[#This Row],[Sede]]),"")</f>
        <v/>
      </c>
      <c r="D840" s="1" t="str">
        <f>IFERROR(IF(MARÍTIMOS[[#This Row],[Instruction]]="","",MARÍTIMOS[[#This Row],[Instruction]]),"")</f>
        <v/>
      </c>
      <c r="E840" s="1"/>
      <c r="F840" s="2" t="str">
        <f>IFERROR(IF(MARÍTIMOS[[#This Row],[Transportista]]="","",MARÍTIMOS[[#This Row],[Transportista]]),"")</f>
        <v/>
      </c>
      <c r="G840" s="2" t="str">
        <f>IFERROR(IF(MARÍTIMOS[[#This Row],[Tercero]]="","",MARÍTIMOS[[#This Row],[Tercero]]),"")</f>
        <v/>
      </c>
      <c r="H840" s="2" t="str">
        <f>IFERROR(IF(MARÍTIMOS[[#This Row],[Razón Social]]="","",MARÍTIMOS[[#This Row],[Razón Social]]),"")</f>
        <v/>
      </c>
      <c r="I840" s="2" t="str">
        <f>IFERROR(IF(MARÍTIMOS[[#This Row],[RUC]]="","",MARÍTIMOS[[#This Row],[RUC]]),"")</f>
        <v/>
      </c>
      <c r="J840" s="2" t="str">
        <f>IFERROR(IF(MARÍTIMOS[[#This Row],[Placa Tracto]]="","",MARÍTIMOS[[#This Row],[Placa Tracto]]),"")</f>
        <v/>
      </c>
      <c r="K840" s="2" t="str">
        <f>IFERROR(IF(MARÍTIMOS[[#This Row],[Placa Carreta]]="","",MARÍTIMOS[[#This Row],[Placa Carreta]]),"")</f>
        <v/>
      </c>
      <c r="L840" s="44" t="str">
        <f>IFERROR(IF(MARÍTIMOS[[#This Row],[Conductor]]="","",MARÍTIMOS[[#This Row],[Conductor]]),"")</f>
        <v/>
      </c>
      <c r="M840" s="2" t="str">
        <f>IFERROR(IF(MARÍTIMOS[[#This Row],[Licencia]]="","",MARÍTIMOS[[#This Row],[Licencia]]),"")</f>
        <v/>
      </c>
      <c r="N840" s="2" t="str">
        <f>IFERROR(IF(MARÍTIMOS[[#This Row],[Número de Contacto]]="","",MARÍTIMOS[[#This Row],[Número de Contacto]]),"")</f>
        <v/>
      </c>
      <c r="O840" s="10" t="str">
        <f>IFERROR(IF(MARÍTIMOS[[#This Row],[Booking|AWB|CRT]]="","",MARÍTIMOS[[#This Row],[Booking|AWB|CRT]]),"")</f>
        <v/>
      </c>
      <c r="P840" s="2" t="str">
        <f>IFERROR(IF(MARÍTIMOS[[#This Row],[Contenedor]]="","",MARÍTIMOS[[#This Row],[Contenedor]]),"")</f>
        <v/>
      </c>
      <c r="Q840" s="2" t="str">
        <f>IFERROR(IF(MARÍTIMOS[[#This Row],[Puerto de Retiro]]="","",MARÍTIMOS[[#This Row],[Puerto de Retiro]]),"")</f>
        <v/>
      </c>
      <c r="R840" s="2" t="str">
        <f>IFERROR(IF(MARÍTIMOS[[#This Row],[Almacén de Retiro]]="","",MARÍTIMOS[[#This Row],[Almacén de Retiro]]),"")</f>
        <v/>
      </c>
      <c r="S840" s="11" t="str">
        <f>IFERROR(IF(MARÍTIMOS[[#This Row],[Etapa Retiro - Cita]]="","",MARÍTIMOS[[#This Row],[Etapa Retiro - Cita]]),"")</f>
        <v/>
      </c>
      <c r="T840" s="11" t="str">
        <f>IFERROR(IF(MARÍTIMOS[[#This Row],[Etapa Retiro - Llegada]]="","",MARÍTIMOS[[#This Row],[Etapa Retiro - Llegada]]),"")</f>
        <v/>
      </c>
      <c r="U840" s="11" t="str">
        <f>IFERROR(IF(MARÍTIMOS[[#This Row],[Etapa Retiro - Ingreso]]="","",MARÍTIMOS[[#This Row],[Etapa Retiro - Ingreso]]),"")</f>
        <v/>
      </c>
      <c r="V840" s="11" t="str">
        <f>IFERROR(IF(MARÍTIMOS[[#This Row],[Etapa Retiro - Atención]]="","",MARÍTIMOS[[#This Row],[Etapa Retiro - Atención]]),"")</f>
        <v/>
      </c>
      <c r="W840" s="11" t="str">
        <f>IFERROR(IF(MARÍTIMOS[[#This Row],[Etapa Retiro - Atención]]="","",MARÍTIMOS[[#This Row],[Etapa Retiro - Atención]]),"")</f>
        <v/>
      </c>
      <c r="X840" s="11" t="str">
        <f>IFERROR(IF(MARÍTIMOS[[#This Row],[Etapa Retiro - Inicio de Ruta]]="","",MARÍTIMOS[[#This Row],[Etapa Retiro - Inicio de Ruta]]),"")</f>
        <v/>
      </c>
      <c r="Y840" s="11" t="str">
        <f>IFERROR(IF(MARÍTIMOS[[#This Row],[Hora de Posicionamiento]]="","",MARÍTIMOS[[#This Row],[Fecha de Carga]]+MARÍTIMOS[[#This Row],[Hora de Posicionamiento]]),"")</f>
        <v/>
      </c>
      <c r="Z840" s="11" t="str">
        <f>IFERROR(IF(MARÍTIMOS[[#This Row],[Etapa Despacho - Llegada]]="","",MARÍTIMOS[[#This Row],[Etapa Despacho - Llegada]]),"")</f>
        <v/>
      </c>
      <c r="AA840" s="11" t="str">
        <f>IFERROR(IF(MARÍTIMOS[[#This Row],[Etapa Despacho - Registro]]="","",MARÍTIMOS[[#This Row],[Etapa Despacho - Registro]]),"")</f>
        <v/>
      </c>
      <c r="AB840" s="11" t="str">
        <f>IFERROR(IF(MARÍTIMOS[[#This Row],[Inspección Externa]]="","",MARÍTIMOS[[#This Row],[Inspección Externa]]),"")</f>
        <v/>
      </c>
      <c r="AC840" s="11" t="str">
        <f>IFERROR(IF(MARÍTIMOS[[#This Row],[Etapa Despacho - Inicio de Carga]]="","",MARÍTIMOS[[#This Row],[Etapa Despacho - Inicio de Carga]]),"")</f>
        <v/>
      </c>
      <c r="AD840" s="11" t="str">
        <f>IFERROR(IF(MARÍTIMOS[[#This Row],[Etapa Despacho - Mitad de Carga]]="","",MARÍTIMOS[[#This Row],[Etapa Despacho - Mitad de Carga]]),"")</f>
        <v/>
      </c>
      <c r="AE840" s="11" t="str">
        <f>IFERROR(IF(MARÍTIMOS[[#This Row],[Etapa Despacho - Fin de Carga]]="","",MARÍTIMOS[[#This Row],[Etapa Despacho - Fin de Carga]]),"")</f>
        <v/>
      </c>
      <c r="AF840" s="2" t="str">
        <f>IFERROR(IF(MARÍTIMOS[[#This Row],[Puerto de Embarque]]="","",MARÍTIMOS[[#This Row],[Puerto de Embarque]]),"")</f>
        <v/>
      </c>
      <c r="AG840" s="2" t="str">
        <f>IFERROR(IF(MARÍTIMOS[[#This Row],[Almacén de Ingreso]]="","",MARÍTIMOS[[#This Row],[Almacén de Ingreso]]),"")</f>
        <v/>
      </c>
      <c r="AH840" s="11" t="str">
        <f>IFERROR(IF(MARÍTIMOS[[#This Row],[Etapa Ingreso - Cita]]="","",MARÍTIMOS[[#This Row],[Etapa Ingreso - Cita]]),"")</f>
        <v/>
      </c>
      <c r="AI840" s="11" t="str">
        <f>IFERROR(IF(MARÍTIMOS[[#This Row],[Etapa Ingreso - Llegada]]="","",MARÍTIMOS[[#This Row],[Etapa Ingreso - Llegada]]),"")</f>
        <v/>
      </c>
      <c r="AJ840" s="11" t="str">
        <f>IFERROR(IF(MARÍTIMOS[[#This Row],[Etapa Ingreso - Ingeso]]="","",MARÍTIMOS[[#This Row],[Etapa Ingreso - Ingeso]]),"")</f>
        <v/>
      </c>
      <c r="AK840" s="11" t="str">
        <f>IFERROR(IF(MARÍTIMOS[[#This Row],[Etapa Ingreso - Atención]]="","",MARÍTIMOS[[#This Row],[Etapa Ingreso - Atención]]),"")</f>
        <v/>
      </c>
      <c r="AL840" s="11" t="str">
        <f>IFERROR(IF(MARÍTIMOS[[#This Row],[Etapa Ingreso - Salida]]="","",MARÍTIMOS[[#This Row],[Etapa Ingreso - Salida]]),"")</f>
        <v/>
      </c>
      <c r="AM840" s="2" t="str">
        <f>IFERROR(IF(MARÍTIMOS[[#This Row],[FCL]]="","",MARÍTIMOS[[#This Row],[FCL]]),"")</f>
        <v/>
      </c>
      <c r="AN8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0" s="4" t="str" cm="1">
        <f t="array" ref="AO8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0" s="5" t="str">
        <f>IFERROR(OLDBD[[#This Row],[Llegada a packing]]-OLDBD[[#This Row],[Inicio de Ruta]],"")</f>
        <v/>
      </c>
      <c r="AQ840" s="6" t="str">
        <f>IFERROR(OLDBD[[#This Row],[Inicio de Ruta]]-OLDBD[[#This Row],[Salida de almacén de retiro]],"")</f>
        <v/>
      </c>
      <c r="AR8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0" s="8" t="str" cm="1">
        <f t="array" ref="AS8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0" s="9" t="str">
        <f>IFERROR(OLDBD[[#This Row],[Ingreso Packing]]-OLDBD[[#This Row],[Registro en Packing]],"")</f>
        <v/>
      </c>
      <c r="AV840" s="9" t="str">
        <f>IFERROR(OLDBD[[#This Row],[Ingreso Packing]]-OLDBD[[#This Row],[Llegada a packing]],"")</f>
        <v/>
      </c>
      <c r="AW8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0" s="5" t="str">
        <f>IFERROR(OLDBD[[#This Row],[Llegada Almacén de Ingreso]]-OLDBD[[#This Row],[Salida Packing]],"")</f>
        <v/>
      </c>
      <c r="AY840" s="4" t="str" cm="1">
        <f t="array" ref="AY8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0" s="43" t="s">
        <v>173</v>
      </c>
      <c r="BB840" s="47" t="str">
        <f>IFERROR(IF(MARÍTIMOS[[#This Row],[Estatus]]="","",MARÍTIMOS[[#This Row],[Estatus]]),"")</f>
        <v/>
      </c>
      <c r="BC840" s="43"/>
      <c r="BD840" s="46" t="str">
        <f>IFERROR(OLDBD[[#This Row],[Salida de almacén de retiro]]-OLDBD[[#This Row],[Ingreso Almacén de retiro]],"")</f>
        <v/>
      </c>
      <c r="BE840" s="46" t="str">
        <f>IFERROR(OLDBD[[#This Row],[Fin de Carga]]-OLDBD[[#This Row],[Inicio de Carga]],"")</f>
        <v/>
      </c>
    </row>
    <row r="841" spans="1:57" customFormat="1" hidden="1">
      <c r="A841" s="1"/>
      <c r="B841" s="1" t="str">
        <f>IFERROR(IF(MARÍTIMOS[[#This Row],[PP]]="","",MARÍTIMOS[[#This Row],[PP]]),"")</f>
        <v/>
      </c>
      <c r="C841" s="1" t="str">
        <f>IFERROR(IF(MARÍTIMOS[[#This Row],[Sede]]="","",MARÍTIMOS[[#This Row],[Sede]]),"")</f>
        <v/>
      </c>
      <c r="D841" s="1" t="str">
        <f>IFERROR(IF(MARÍTIMOS[[#This Row],[Instruction]]="","",MARÍTIMOS[[#This Row],[Instruction]]),"")</f>
        <v/>
      </c>
      <c r="E841" s="1"/>
      <c r="F841" s="2" t="str">
        <f>IFERROR(IF(MARÍTIMOS[[#This Row],[Transportista]]="","",MARÍTIMOS[[#This Row],[Transportista]]),"")</f>
        <v/>
      </c>
      <c r="G841" s="2" t="str">
        <f>IFERROR(IF(MARÍTIMOS[[#This Row],[Tercero]]="","",MARÍTIMOS[[#This Row],[Tercero]]),"")</f>
        <v/>
      </c>
      <c r="H841" s="2" t="str">
        <f>IFERROR(IF(MARÍTIMOS[[#This Row],[Razón Social]]="","",MARÍTIMOS[[#This Row],[Razón Social]]),"")</f>
        <v/>
      </c>
      <c r="I841" s="2" t="str">
        <f>IFERROR(IF(MARÍTIMOS[[#This Row],[RUC]]="","",MARÍTIMOS[[#This Row],[RUC]]),"")</f>
        <v/>
      </c>
      <c r="J841" s="2" t="str">
        <f>IFERROR(IF(MARÍTIMOS[[#This Row],[Placa Tracto]]="","",MARÍTIMOS[[#This Row],[Placa Tracto]]),"")</f>
        <v/>
      </c>
      <c r="K841" s="2" t="str">
        <f>IFERROR(IF(MARÍTIMOS[[#This Row],[Placa Carreta]]="","",MARÍTIMOS[[#This Row],[Placa Carreta]]),"")</f>
        <v/>
      </c>
      <c r="L841" s="44" t="str">
        <f>IFERROR(IF(MARÍTIMOS[[#This Row],[Conductor]]="","",MARÍTIMOS[[#This Row],[Conductor]]),"")</f>
        <v/>
      </c>
      <c r="M841" s="2" t="str">
        <f>IFERROR(IF(MARÍTIMOS[[#This Row],[Licencia]]="","",MARÍTIMOS[[#This Row],[Licencia]]),"")</f>
        <v/>
      </c>
      <c r="N841" s="2" t="str">
        <f>IFERROR(IF(MARÍTIMOS[[#This Row],[Número de Contacto]]="","",MARÍTIMOS[[#This Row],[Número de Contacto]]),"")</f>
        <v/>
      </c>
      <c r="O841" s="10" t="str">
        <f>IFERROR(IF(MARÍTIMOS[[#This Row],[Booking|AWB|CRT]]="","",MARÍTIMOS[[#This Row],[Booking|AWB|CRT]]),"")</f>
        <v/>
      </c>
      <c r="P841" s="2" t="str">
        <f>IFERROR(IF(MARÍTIMOS[[#This Row],[Contenedor]]="","",MARÍTIMOS[[#This Row],[Contenedor]]),"")</f>
        <v/>
      </c>
      <c r="Q841" s="2" t="str">
        <f>IFERROR(IF(MARÍTIMOS[[#This Row],[Puerto de Retiro]]="","",MARÍTIMOS[[#This Row],[Puerto de Retiro]]),"")</f>
        <v/>
      </c>
      <c r="R841" s="2" t="str">
        <f>IFERROR(IF(MARÍTIMOS[[#This Row],[Almacén de Retiro]]="","",MARÍTIMOS[[#This Row],[Almacén de Retiro]]),"")</f>
        <v/>
      </c>
      <c r="S841" s="11" t="str">
        <f>IFERROR(IF(MARÍTIMOS[[#This Row],[Etapa Retiro - Cita]]="","",MARÍTIMOS[[#This Row],[Etapa Retiro - Cita]]),"")</f>
        <v/>
      </c>
      <c r="T841" s="11" t="str">
        <f>IFERROR(IF(MARÍTIMOS[[#This Row],[Etapa Retiro - Llegada]]="","",MARÍTIMOS[[#This Row],[Etapa Retiro - Llegada]]),"")</f>
        <v/>
      </c>
      <c r="U841" s="11" t="str">
        <f>IFERROR(IF(MARÍTIMOS[[#This Row],[Etapa Retiro - Ingreso]]="","",MARÍTIMOS[[#This Row],[Etapa Retiro - Ingreso]]),"")</f>
        <v/>
      </c>
      <c r="V841" s="11" t="str">
        <f>IFERROR(IF(MARÍTIMOS[[#This Row],[Etapa Retiro - Atención]]="","",MARÍTIMOS[[#This Row],[Etapa Retiro - Atención]]),"")</f>
        <v/>
      </c>
      <c r="W841" s="11" t="str">
        <f>IFERROR(IF(MARÍTIMOS[[#This Row],[Etapa Retiro - Atención]]="","",MARÍTIMOS[[#This Row],[Etapa Retiro - Atención]]),"")</f>
        <v/>
      </c>
      <c r="X841" s="11" t="str">
        <f>IFERROR(IF(MARÍTIMOS[[#This Row],[Etapa Retiro - Inicio de Ruta]]="","",MARÍTIMOS[[#This Row],[Etapa Retiro - Inicio de Ruta]]),"")</f>
        <v/>
      </c>
      <c r="Y841" s="11" t="str">
        <f>IFERROR(IF(MARÍTIMOS[[#This Row],[Hora de Posicionamiento]]="","",MARÍTIMOS[[#This Row],[Fecha de Carga]]+MARÍTIMOS[[#This Row],[Hora de Posicionamiento]]),"")</f>
        <v/>
      </c>
      <c r="Z841" s="11" t="str">
        <f>IFERROR(IF(MARÍTIMOS[[#This Row],[Etapa Despacho - Llegada]]="","",MARÍTIMOS[[#This Row],[Etapa Despacho - Llegada]]),"")</f>
        <v/>
      </c>
      <c r="AA841" s="11" t="str">
        <f>IFERROR(IF(MARÍTIMOS[[#This Row],[Etapa Despacho - Registro]]="","",MARÍTIMOS[[#This Row],[Etapa Despacho - Registro]]),"")</f>
        <v/>
      </c>
      <c r="AB841" s="11" t="str">
        <f>IFERROR(IF(MARÍTIMOS[[#This Row],[Inspección Externa]]="","",MARÍTIMOS[[#This Row],[Inspección Externa]]),"")</f>
        <v/>
      </c>
      <c r="AC841" s="11" t="str">
        <f>IFERROR(IF(MARÍTIMOS[[#This Row],[Etapa Despacho - Inicio de Carga]]="","",MARÍTIMOS[[#This Row],[Etapa Despacho - Inicio de Carga]]),"")</f>
        <v/>
      </c>
      <c r="AD841" s="11" t="str">
        <f>IFERROR(IF(MARÍTIMOS[[#This Row],[Etapa Despacho - Mitad de Carga]]="","",MARÍTIMOS[[#This Row],[Etapa Despacho - Mitad de Carga]]),"")</f>
        <v/>
      </c>
      <c r="AE841" s="11" t="str">
        <f>IFERROR(IF(MARÍTIMOS[[#This Row],[Etapa Despacho - Fin de Carga]]="","",MARÍTIMOS[[#This Row],[Etapa Despacho - Fin de Carga]]),"")</f>
        <v/>
      </c>
      <c r="AF841" s="2" t="str">
        <f>IFERROR(IF(MARÍTIMOS[[#This Row],[Puerto de Embarque]]="","",MARÍTIMOS[[#This Row],[Puerto de Embarque]]),"")</f>
        <v/>
      </c>
      <c r="AG841" s="2" t="str">
        <f>IFERROR(IF(MARÍTIMOS[[#This Row],[Almacén de Ingreso]]="","",MARÍTIMOS[[#This Row],[Almacén de Ingreso]]),"")</f>
        <v/>
      </c>
      <c r="AH841" s="11" t="str">
        <f>IFERROR(IF(MARÍTIMOS[[#This Row],[Etapa Ingreso - Cita]]="","",MARÍTIMOS[[#This Row],[Etapa Ingreso - Cita]]),"")</f>
        <v/>
      </c>
      <c r="AI841" s="11" t="str">
        <f>IFERROR(IF(MARÍTIMOS[[#This Row],[Etapa Ingreso - Llegada]]="","",MARÍTIMOS[[#This Row],[Etapa Ingreso - Llegada]]),"")</f>
        <v/>
      </c>
      <c r="AJ841" s="11" t="str">
        <f>IFERROR(IF(MARÍTIMOS[[#This Row],[Etapa Ingreso - Ingeso]]="","",MARÍTIMOS[[#This Row],[Etapa Ingreso - Ingeso]]),"")</f>
        <v/>
      </c>
      <c r="AK841" s="11" t="str">
        <f>IFERROR(IF(MARÍTIMOS[[#This Row],[Etapa Ingreso - Atención]]="","",MARÍTIMOS[[#This Row],[Etapa Ingreso - Atención]]),"")</f>
        <v/>
      </c>
      <c r="AL841" s="11" t="str">
        <f>IFERROR(IF(MARÍTIMOS[[#This Row],[Etapa Ingreso - Salida]]="","",MARÍTIMOS[[#This Row],[Etapa Ingreso - Salida]]),"")</f>
        <v/>
      </c>
      <c r="AM841" s="2" t="str">
        <f>IFERROR(IF(MARÍTIMOS[[#This Row],[FCL]]="","",MARÍTIMOS[[#This Row],[FCL]]),"")</f>
        <v/>
      </c>
      <c r="AN8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1" s="4" t="str" cm="1">
        <f t="array" ref="AO8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1" s="5" t="str">
        <f>IFERROR(OLDBD[[#This Row],[Llegada a packing]]-OLDBD[[#This Row],[Inicio de Ruta]],"")</f>
        <v/>
      </c>
      <c r="AQ841" s="6" t="str">
        <f>IFERROR(OLDBD[[#This Row],[Inicio de Ruta]]-OLDBD[[#This Row],[Salida de almacén de retiro]],"")</f>
        <v/>
      </c>
      <c r="AR8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1" s="8" t="str" cm="1">
        <f t="array" ref="AS8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1" s="9" t="str">
        <f>IFERROR(OLDBD[[#This Row],[Ingreso Packing]]-OLDBD[[#This Row],[Registro en Packing]],"")</f>
        <v/>
      </c>
      <c r="AV841" s="9" t="str">
        <f>IFERROR(OLDBD[[#This Row],[Ingreso Packing]]-OLDBD[[#This Row],[Llegada a packing]],"")</f>
        <v/>
      </c>
      <c r="AW8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1" s="5" t="str">
        <f>IFERROR(OLDBD[[#This Row],[Llegada Almacén de Ingreso]]-OLDBD[[#This Row],[Salida Packing]],"")</f>
        <v/>
      </c>
      <c r="AY841" s="4" t="str" cm="1">
        <f t="array" ref="AY8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1" s="43" t="s">
        <v>173</v>
      </c>
      <c r="BB841" s="47" t="str">
        <f>IFERROR(IF(MARÍTIMOS[[#This Row],[Estatus]]="","",MARÍTIMOS[[#This Row],[Estatus]]),"")</f>
        <v/>
      </c>
      <c r="BC841" s="43"/>
      <c r="BD841" s="46" t="str">
        <f>IFERROR(OLDBD[[#This Row],[Salida de almacén de retiro]]-OLDBD[[#This Row],[Ingreso Almacén de retiro]],"")</f>
        <v/>
      </c>
      <c r="BE841" s="46" t="str">
        <f>IFERROR(OLDBD[[#This Row],[Fin de Carga]]-OLDBD[[#This Row],[Inicio de Carga]],"")</f>
        <v/>
      </c>
    </row>
    <row r="842" spans="1:57" customFormat="1" hidden="1">
      <c r="A842" s="1"/>
      <c r="B842" s="1" t="str">
        <f>IFERROR(IF(MARÍTIMOS[[#This Row],[PP]]="","",MARÍTIMOS[[#This Row],[PP]]),"")</f>
        <v/>
      </c>
      <c r="C842" s="1" t="str">
        <f>IFERROR(IF(MARÍTIMOS[[#This Row],[Sede]]="","",MARÍTIMOS[[#This Row],[Sede]]),"")</f>
        <v/>
      </c>
      <c r="D842" s="1" t="str">
        <f>IFERROR(IF(MARÍTIMOS[[#This Row],[Instruction]]="","",MARÍTIMOS[[#This Row],[Instruction]]),"")</f>
        <v/>
      </c>
      <c r="E842" s="1"/>
      <c r="F842" s="2" t="str">
        <f>IFERROR(IF(MARÍTIMOS[[#This Row],[Transportista]]="","",MARÍTIMOS[[#This Row],[Transportista]]),"")</f>
        <v/>
      </c>
      <c r="G842" s="2" t="str">
        <f>IFERROR(IF(MARÍTIMOS[[#This Row],[Tercero]]="","",MARÍTIMOS[[#This Row],[Tercero]]),"")</f>
        <v/>
      </c>
      <c r="H842" s="2" t="str">
        <f>IFERROR(IF(MARÍTIMOS[[#This Row],[Razón Social]]="","",MARÍTIMOS[[#This Row],[Razón Social]]),"")</f>
        <v/>
      </c>
      <c r="I842" s="2" t="str">
        <f>IFERROR(IF(MARÍTIMOS[[#This Row],[RUC]]="","",MARÍTIMOS[[#This Row],[RUC]]),"")</f>
        <v/>
      </c>
      <c r="J842" s="2" t="str">
        <f>IFERROR(IF(MARÍTIMOS[[#This Row],[Placa Tracto]]="","",MARÍTIMOS[[#This Row],[Placa Tracto]]),"")</f>
        <v/>
      </c>
      <c r="K842" s="2" t="str">
        <f>IFERROR(IF(MARÍTIMOS[[#This Row],[Placa Carreta]]="","",MARÍTIMOS[[#This Row],[Placa Carreta]]),"")</f>
        <v/>
      </c>
      <c r="L842" s="44" t="str">
        <f>IFERROR(IF(MARÍTIMOS[[#This Row],[Conductor]]="","",MARÍTIMOS[[#This Row],[Conductor]]),"")</f>
        <v/>
      </c>
      <c r="M842" s="2" t="str">
        <f>IFERROR(IF(MARÍTIMOS[[#This Row],[Licencia]]="","",MARÍTIMOS[[#This Row],[Licencia]]),"")</f>
        <v/>
      </c>
      <c r="N842" s="2" t="str">
        <f>IFERROR(IF(MARÍTIMOS[[#This Row],[Número de Contacto]]="","",MARÍTIMOS[[#This Row],[Número de Contacto]]),"")</f>
        <v/>
      </c>
      <c r="O842" s="10" t="str">
        <f>IFERROR(IF(MARÍTIMOS[[#This Row],[Booking|AWB|CRT]]="","",MARÍTIMOS[[#This Row],[Booking|AWB|CRT]]),"")</f>
        <v/>
      </c>
      <c r="P842" s="2" t="str">
        <f>IFERROR(IF(MARÍTIMOS[[#This Row],[Contenedor]]="","",MARÍTIMOS[[#This Row],[Contenedor]]),"")</f>
        <v/>
      </c>
      <c r="Q842" s="2" t="str">
        <f>IFERROR(IF(MARÍTIMOS[[#This Row],[Puerto de Retiro]]="","",MARÍTIMOS[[#This Row],[Puerto de Retiro]]),"")</f>
        <v/>
      </c>
      <c r="R842" s="2" t="str">
        <f>IFERROR(IF(MARÍTIMOS[[#This Row],[Almacén de Retiro]]="","",MARÍTIMOS[[#This Row],[Almacén de Retiro]]),"")</f>
        <v/>
      </c>
      <c r="S842" s="11" t="str">
        <f>IFERROR(IF(MARÍTIMOS[[#This Row],[Etapa Retiro - Cita]]="","",MARÍTIMOS[[#This Row],[Etapa Retiro - Cita]]),"")</f>
        <v/>
      </c>
      <c r="T842" s="11" t="str">
        <f>IFERROR(IF(MARÍTIMOS[[#This Row],[Etapa Retiro - Llegada]]="","",MARÍTIMOS[[#This Row],[Etapa Retiro - Llegada]]),"")</f>
        <v/>
      </c>
      <c r="U842" s="11" t="str">
        <f>IFERROR(IF(MARÍTIMOS[[#This Row],[Etapa Retiro - Ingreso]]="","",MARÍTIMOS[[#This Row],[Etapa Retiro - Ingreso]]),"")</f>
        <v/>
      </c>
      <c r="V842" s="11" t="str">
        <f>IFERROR(IF(MARÍTIMOS[[#This Row],[Etapa Retiro - Atención]]="","",MARÍTIMOS[[#This Row],[Etapa Retiro - Atención]]),"")</f>
        <v/>
      </c>
      <c r="W842" s="11" t="str">
        <f>IFERROR(IF(MARÍTIMOS[[#This Row],[Etapa Retiro - Atención]]="","",MARÍTIMOS[[#This Row],[Etapa Retiro - Atención]]),"")</f>
        <v/>
      </c>
      <c r="X842" s="11" t="str">
        <f>IFERROR(IF(MARÍTIMOS[[#This Row],[Etapa Retiro - Inicio de Ruta]]="","",MARÍTIMOS[[#This Row],[Etapa Retiro - Inicio de Ruta]]),"")</f>
        <v/>
      </c>
      <c r="Y842" s="11" t="str">
        <f>IFERROR(IF(MARÍTIMOS[[#This Row],[Hora de Posicionamiento]]="","",MARÍTIMOS[[#This Row],[Fecha de Carga]]+MARÍTIMOS[[#This Row],[Hora de Posicionamiento]]),"")</f>
        <v/>
      </c>
      <c r="Z842" s="11" t="str">
        <f>IFERROR(IF(MARÍTIMOS[[#This Row],[Etapa Despacho - Llegada]]="","",MARÍTIMOS[[#This Row],[Etapa Despacho - Llegada]]),"")</f>
        <v/>
      </c>
      <c r="AA842" s="11" t="str">
        <f>IFERROR(IF(MARÍTIMOS[[#This Row],[Etapa Despacho - Registro]]="","",MARÍTIMOS[[#This Row],[Etapa Despacho - Registro]]),"")</f>
        <v/>
      </c>
      <c r="AB842" s="11" t="str">
        <f>IFERROR(IF(MARÍTIMOS[[#This Row],[Inspección Externa]]="","",MARÍTIMOS[[#This Row],[Inspección Externa]]),"")</f>
        <v/>
      </c>
      <c r="AC842" s="11" t="str">
        <f>IFERROR(IF(MARÍTIMOS[[#This Row],[Etapa Despacho - Inicio de Carga]]="","",MARÍTIMOS[[#This Row],[Etapa Despacho - Inicio de Carga]]),"")</f>
        <v/>
      </c>
      <c r="AD842" s="11" t="str">
        <f>IFERROR(IF(MARÍTIMOS[[#This Row],[Etapa Despacho - Mitad de Carga]]="","",MARÍTIMOS[[#This Row],[Etapa Despacho - Mitad de Carga]]),"")</f>
        <v/>
      </c>
      <c r="AE842" s="11" t="str">
        <f>IFERROR(IF(MARÍTIMOS[[#This Row],[Etapa Despacho - Fin de Carga]]="","",MARÍTIMOS[[#This Row],[Etapa Despacho - Fin de Carga]]),"")</f>
        <v/>
      </c>
      <c r="AF842" s="2" t="str">
        <f>IFERROR(IF(MARÍTIMOS[[#This Row],[Puerto de Embarque]]="","",MARÍTIMOS[[#This Row],[Puerto de Embarque]]),"")</f>
        <v/>
      </c>
      <c r="AG842" s="2" t="str">
        <f>IFERROR(IF(MARÍTIMOS[[#This Row],[Almacén de Ingreso]]="","",MARÍTIMOS[[#This Row],[Almacén de Ingreso]]),"")</f>
        <v/>
      </c>
      <c r="AH842" s="11" t="str">
        <f>IFERROR(IF(MARÍTIMOS[[#This Row],[Etapa Ingreso - Cita]]="","",MARÍTIMOS[[#This Row],[Etapa Ingreso - Cita]]),"")</f>
        <v/>
      </c>
      <c r="AI842" s="11" t="str">
        <f>IFERROR(IF(MARÍTIMOS[[#This Row],[Etapa Ingreso - Llegada]]="","",MARÍTIMOS[[#This Row],[Etapa Ingreso - Llegada]]),"")</f>
        <v/>
      </c>
      <c r="AJ842" s="11" t="str">
        <f>IFERROR(IF(MARÍTIMOS[[#This Row],[Etapa Ingreso - Ingeso]]="","",MARÍTIMOS[[#This Row],[Etapa Ingreso - Ingeso]]),"")</f>
        <v/>
      </c>
      <c r="AK842" s="11" t="str">
        <f>IFERROR(IF(MARÍTIMOS[[#This Row],[Etapa Ingreso - Atención]]="","",MARÍTIMOS[[#This Row],[Etapa Ingreso - Atención]]),"")</f>
        <v/>
      </c>
      <c r="AL842" s="11" t="str">
        <f>IFERROR(IF(MARÍTIMOS[[#This Row],[Etapa Ingreso - Salida]]="","",MARÍTIMOS[[#This Row],[Etapa Ingreso - Salida]]),"")</f>
        <v/>
      </c>
      <c r="AM842" s="2" t="str">
        <f>IFERROR(IF(MARÍTIMOS[[#This Row],[FCL]]="","",MARÍTIMOS[[#This Row],[FCL]]),"")</f>
        <v/>
      </c>
      <c r="AN8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2" s="4" t="str" cm="1">
        <f t="array" ref="AO8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2" s="5" t="str">
        <f>IFERROR(OLDBD[[#This Row],[Llegada a packing]]-OLDBD[[#This Row],[Inicio de Ruta]],"")</f>
        <v/>
      </c>
      <c r="AQ842" s="6" t="str">
        <f>IFERROR(OLDBD[[#This Row],[Inicio de Ruta]]-OLDBD[[#This Row],[Salida de almacén de retiro]],"")</f>
        <v/>
      </c>
      <c r="AR8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2" s="8" t="str" cm="1">
        <f t="array" ref="AS8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2" s="9" t="str">
        <f>IFERROR(OLDBD[[#This Row],[Ingreso Packing]]-OLDBD[[#This Row],[Registro en Packing]],"")</f>
        <v/>
      </c>
      <c r="AV842" s="9" t="str">
        <f>IFERROR(OLDBD[[#This Row],[Ingreso Packing]]-OLDBD[[#This Row],[Llegada a packing]],"")</f>
        <v/>
      </c>
      <c r="AW8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2" s="5" t="str">
        <f>IFERROR(OLDBD[[#This Row],[Llegada Almacén de Ingreso]]-OLDBD[[#This Row],[Salida Packing]],"")</f>
        <v/>
      </c>
      <c r="AY842" s="4" t="str" cm="1">
        <f t="array" ref="AY8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2" s="43" t="s">
        <v>173</v>
      </c>
      <c r="BB842" s="47" t="str">
        <f>IFERROR(IF(MARÍTIMOS[[#This Row],[Estatus]]="","",MARÍTIMOS[[#This Row],[Estatus]]),"")</f>
        <v/>
      </c>
      <c r="BC842" s="43"/>
      <c r="BD842" s="46" t="str">
        <f>IFERROR(OLDBD[[#This Row],[Salida de almacén de retiro]]-OLDBD[[#This Row],[Ingreso Almacén de retiro]],"")</f>
        <v/>
      </c>
      <c r="BE842" s="46" t="str">
        <f>IFERROR(OLDBD[[#This Row],[Fin de Carga]]-OLDBD[[#This Row],[Inicio de Carga]],"")</f>
        <v/>
      </c>
    </row>
    <row r="843" spans="1:57" customFormat="1" hidden="1">
      <c r="A843" s="1"/>
      <c r="B843" s="1" t="str">
        <f>IFERROR(IF(MARÍTIMOS[[#This Row],[PP]]="","",MARÍTIMOS[[#This Row],[PP]]),"")</f>
        <v/>
      </c>
      <c r="C843" s="1" t="str">
        <f>IFERROR(IF(MARÍTIMOS[[#This Row],[Sede]]="","",MARÍTIMOS[[#This Row],[Sede]]),"")</f>
        <v/>
      </c>
      <c r="D843" s="1" t="str">
        <f>IFERROR(IF(MARÍTIMOS[[#This Row],[Instruction]]="","",MARÍTIMOS[[#This Row],[Instruction]]),"")</f>
        <v/>
      </c>
      <c r="E843" s="1"/>
      <c r="F843" s="2" t="str">
        <f>IFERROR(IF(MARÍTIMOS[[#This Row],[Transportista]]="","",MARÍTIMOS[[#This Row],[Transportista]]),"")</f>
        <v/>
      </c>
      <c r="G843" s="2" t="str">
        <f>IFERROR(IF(MARÍTIMOS[[#This Row],[Tercero]]="","",MARÍTIMOS[[#This Row],[Tercero]]),"")</f>
        <v/>
      </c>
      <c r="H843" s="2" t="str">
        <f>IFERROR(IF(MARÍTIMOS[[#This Row],[Razón Social]]="","",MARÍTIMOS[[#This Row],[Razón Social]]),"")</f>
        <v/>
      </c>
      <c r="I843" s="2" t="str">
        <f>IFERROR(IF(MARÍTIMOS[[#This Row],[RUC]]="","",MARÍTIMOS[[#This Row],[RUC]]),"")</f>
        <v/>
      </c>
      <c r="J843" s="2" t="str">
        <f>IFERROR(IF(MARÍTIMOS[[#This Row],[Placa Tracto]]="","",MARÍTIMOS[[#This Row],[Placa Tracto]]),"")</f>
        <v/>
      </c>
      <c r="K843" s="2" t="str">
        <f>IFERROR(IF(MARÍTIMOS[[#This Row],[Placa Carreta]]="","",MARÍTIMOS[[#This Row],[Placa Carreta]]),"")</f>
        <v/>
      </c>
      <c r="L843" s="44" t="str">
        <f>IFERROR(IF(MARÍTIMOS[[#This Row],[Conductor]]="","",MARÍTIMOS[[#This Row],[Conductor]]),"")</f>
        <v/>
      </c>
      <c r="M843" s="2" t="str">
        <f>IFERROR(IF(MARÍTIMOS[[#This Row],[Licencia]]="","",MARÍTIMOS[[#This Row],[Licencia]]),"")</f>
        <v/>
      </c>
      <c r="N843" s="2" t="str">
        <f>IFERROR(IF(MARÍTIMOS[[#This Row],[Número de Contacto]]="","",MARÍTIMOS[[#This Row],[Número de Contacto]]),"")</f>
        <v/>
      </c>
      <c r="O843" s="10" t="str">
        <f>IFERROR(IF(MARÍTIMOS[[#This Row],[Booking|AWB|CRT]]="","",MARÍTIMOS[[#This Row],[Booking|AWB|CRT]]),"")</f>
        <v/>
      </c>
      <c r="P843" s="2" t="str">
        <f>IFERROR(IF(MARÍTIMOS[[#This Row],[Contenedor]]="","",MARÍTIMOS[[#This Row],[Contenedor]]),"")</f>
        <v/>
      </c>
      <c r="Q843" s="2" t="str">
        <f>IFERROR(IF(MARÍTIMOS[[#This Row],[Puerto de Retiro]]="","",MARÍTIMOS[[#This Row],[Puerto de Retiro]]),"")</f>
        <v/>
      </c>
      <c r="R843" s="2" t="str">
        <f>IFERROR(IF(MARÍTIMOS[[#This Row],[Almacén de Retiro]]="","",MARÍTIMOS[[#This Row],[Almacén de Retiro]]),"")</f>
        <v/>
      </c>
      <c r="S843" s="11" t="str">
        <f>IFERROR(IF(MARÍTIMOS[[#This Row],[Etapa Retiro - Cita]]="","",MARÍTIMOS[[#This Row],[Etapa Retiro - Cita]]),"")</f>
        <v/>
      </c>
      <c r="T843" s="11" t="str">
        <f>IFERROR(IF(MARÍTIMOS[[#This Row],[Etapa Retiro - Llegada]]="","",MARÍTIMOS[[#This Row],[Etapa Retiro - Llegada]]),"")</f>
        <v/>
      </c>
      <c r="U843" s="11" t="str">
        <f>IFERROR(IF(MARÍTIMOS[[#This Row],[Etapa Retiro - Ingreso]]="","",MARÍTIMOS[[#This Row],[Etapa Retiro - Ingreso]]),"")</f>
        <v/>
      </c>
      <c r="V843" s="11" t="str">
        <f>IFERROR(IF(MARÍTIMOS[[#This Row],[Etapa Retiro - Atención]]="","",MARÍTIMOS[[#This Row],[Etapa Retiro - Atención]]),"")</f>
        <v/>
      </c>
      <c r="W843" s="11" t="str">
        <f>IFERROR(IF(MARÍTIMOS[[#This Row],[Etapa Retiro - Atención]]="","",MARÍTIMOS[[#This Row],[Etapa Retiro - Atención]]),"")</f>
        <v/>
      </c>
      <c r="X843" s="11" t="str">
        <f>IFERROR(IF(MARÍTIMOS[[#This Row],[Etapa Retiro - Inicio de Ruta]]="","",MARÍTIMOS[[#This Row],[Etapa Retiro - Inicio de Ruta]]),"")</f>
        <v/>
      </c>
      <c r="Y843" s="11" t="str">
        <f>IFERROR(IF(MARÍTIMOS[[#This Row],[Hora de Posicionamiento]]="","",MARÍTIMOS[[#This Row],[Fecha de Carga]]+MARÍTIMOS[[#This Row],[Hora de Posicionamiento]]),"")</f>
        <v/>
      </c>
      <c r="Z843" s="11" t="str">
        <f>IFERROR(IF(MARÍTIMOS[[#This Row],[Etapa Despacho - Llegada]]="","",MARÍTIMOS[[#This Row],[Etapa Despacho - Llegada]]),"")</f>
        <v/>
      </c>
      <c r="AA843" s="11" t="str">
        <f>IFERROR(IF(MARÍTIMOS[[#This Row],[Etapa Despacho - Registro]]="","",MARÍTIMOS[[#This Row],[Etapa Despacho - Registro]]),"")</f>
        <v/>
      </c>
      <c r="AB843" s="11" t="str">
        <f>IFERROR(IF(MARÍTIMOS[[#This Row],[Inspección Externa]]="","",MARÍTIMOS[[#This Row],[Inspección Externa]]),"")</f>
        <v/>
      </c>
      <c r="AC843" s="11" t="str">
        <f>IFERROR(IF(MARÍTIMOS[[#This Row],[Etapa Despacho - Inicio de Carga]]="","",MARÍTIMOS[[#This Row],[Etapa Despacho - Inicio de Carga]]),"")</f>
        <v/>
      </c>
      <c r="AD843" s="11" t="str">
        <f>IFERROR(IF(MARÍTIMOS[[#This Row],[Etapa Despacho - Mitad de Carga]]="","",MARÍTIMOS[[#This Row],[Etapa Despacho - Mitad de Carga]]),"")</f>
        <v/>
      </c>
      <c r="AE843" s="11" t="str">
        <f>IFERROR(IF(MARÍTIMOS[[#This Row],[Etapa Despacho - Fin de Carga]]="","",MARÍTIMOS[[#This Row],[Etapa Despacho - Fin de Carga]]),"")</f>
        <v/>
      </c>
      <c r="AF843" s="2" t="str">
        <f>IFERROR(IF(MARÍTIMOS[[#This Row],[Puerto de Embarque]]="","",MARÍTIMOS[[#This Row],[Puerto de Embarque]]),"")</f>
        <v/>
      </c>
      <c r="AG843" s="2" t="str">
        <f>IFERROR(IF(MARÍTIMOS[[#This Row],[Almacén de Ingreso]]="","",MARÍTIMOS[[#This Row],[Almacén de Ingreso]]),"")</f>
        <v/>
      </c>
      <c r="AH843" s="11" t="str">
        <f>IFERROR(IF(MARÍTIMOS[[#This Row],[Etapa Ingreso - Cita]]="","",MARÍTIMOS[[#This Row],[Etapa Ingreso - Cita]]),"")</f>
        <v/>
      </c>
      <c r="AI843" s="11" t="str">
        <f>IFERROR(IF(MARÍTIMOS[[#This Row],[Etapa Ingreso - Llegada]]="","",MARÍTIMOS[[#This Row],[Etapa Ingreso - Llegada]]),"")</f>
        <v/>
      </c>
      <c r="AJ843" s="11" t="str">
        <f>IFERROR(IF(MARÍTIMOS[[#This Row],[Etapa Ingreso - Ingeso]]="","",MARÍTIMOS[[#This Row],[Etapa Ingreso - Ingeso]]),"")</f>
        <v/>
      </c>
      <c r="AK843" s="11" t="str">
        <f>IFERROR(IF(MARÍTIMOS[[#This Row],[Etapa Ingreso - Atención]]="","",MARÍTIMOS[[#This Row],[Etapa Ingreso - Atención]]),"")</f>
        <v/>
      </c>
      <c r="AL843" s="11" t="str">
        <f>IFERROR(IF(MARÍTIMOS[[#This Row],[Etapa Ingreso - Salida]]="","",MARÍTIMOS[[#This Row],[Etapa Ingreso - Salida]]),"")</f>
        <v/>
      </c>
      <c r="AM843" s="2" t="str">
        <f>IFERROR(IF(MARÍTIMOS[[#This Row],[FCL]]="","",MARÍTIMOS[[#This Row],[FCL]]),"")</f>
        <v/>
      </c>
      <c r="AN8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3" s="4" t="str" cm="1">
        <f t="array" ref="AO8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3" s="5" t="str">
        <f>IFERROR(OLDBD[[#This Row],[Llegada a packing]]-OLDBD[[#This Row],[Inicio de Ruta]],"")</f>
        <v/>
      </c>
      <c r="AQ843" s="6" t="str">
        <f>IFERROR(OLDBD[[#This Row],[Inicio de Ruta]]-OLDBD[[#This Row],[Salida de almacén de retiro]],"")</f>
        <v/>
      </c>
      <c r="AR8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3" s="8" t="str" cm="1">
        <f t="array" ref="AS8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3" s="9" t="str">
        <f>IFERROR(OLDBD[[#This Row],[Ingreso Packing]]-OLDBD[[#This Row],[Registro en Packing]],"")</f>
        <v/>
      </c>
      <c r="AV843" s="9" t="str">
        <f>IFERROR(OLDBD[[#This Row],[Ingreso Packing]]-OLDBD[[#This Row],[Llegada a packing]],"")</f>
        <v/>
      </c>
      <c r="AW8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3" s="5" t="str">
        <f>IFERROR(OLDBD[[#This Row],[Llegada Almacén de Ingreso]]-OLDBD[[#This Row],[Salida Packing]],"")</f>
        <v/>
      </c>
      <c r="AY843" s="4" t="str" cm="1">
        <f t="array" ref="AY8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3" s="43" t="s">
        <v>173</v>
      </c>
      <c r="BB843" s="47" t="str">
        <f>IFERROR(IF(MARÍTIMOS[[#This Row],[Estatus]]="","",MARÍTIMOS[[#This Row],[Estatus]]),"")</f>
        <v/>
      </c>
      <c r="BC843" s="43"/>
      <c r="BD843" s="46" t="str">
        <f>IFERROR(OLDBD[[#This Row],[Salida de almacén de retiro]]-OLDBD[[#This Row],[Ingreso Almacén de retiro]],"")</f>
        <v/>
      </c>
      <c r="BE843" s="46" t="str">
        <f>IFERROR(OLDBD[[#This Row],[Fin de Carga]]-OLDBD[[#This Row],[Inicio de Carga]],"")</f>
        <v/>
      </c>
    </row>
    <row r="844" spans="1:57" customFormat="1" hidden="1">
      <c r="A844" s="1"/>
      <c r="B844" s="1" t="str">
        <f>IFERROR(IF(MARÍTIMOS[[#This Row],[PP]]="","",MARÍTIMOS[[#This Row],[PP]]),"")</f>
        <v/>
      </c>
      <c r="C844" s="1" t="str">
        <f>IFERROR(IF(MARÍTIMOS[[#This Row],[Sede]]="","",MARÍTIMOS[[#This Row],[Sede]]),"")</f>
        <v/>
      </c>
      <c r="D844" s="1" t="str">
        <f>IFERROR(IF(MARÍTIMOS[[#This Row],[Instruction]]="","",MARÍTIMOS[[#This Row],[Instruction]]),"")</f>
        <v/>
      </c>
      <c r="E844" s="1"/>
      <c r="F844" s="2" t="str">
        <f>IFERROR(IF(MARÍTIMOS[[#This Row],[Transportista]]="","",MARÍTIMOS[[#This Row],[Transportista]]),"")</f>
        <v/>
      </c>
      <c r="G844" s="2" t="str">
        <f>IFERROR(IF(MARÍTIMOS[[#This Row],[Tercero]]="","",MARÍTIMOS[[#This Row],[Tercero]]),"")</f>
        <v/>
      </c>
      <c r="H844" s="2" t="str">
        <f>IFERROR(IF(MARÍTIMOS[[#This Row],[Razón Social]]="","",MARÍTIMOS[[#This Row],[Razón Social]]),"")</f>
        <v/>
      </c>
      <c r="I844" s="2" t="str">
        <f>IFERROR(IF(MARÍTIMOS[[#This Row],[RUC]]="","",MARÍTIMOS[[#This Row],[RUC]]),"")</f>
        <v/>
      </c>
      <c r="J844" s="2" t="str">
        <f>IFERROR(IF(MARÍTIMOS[[#This Row],[Placa Tracto]]="","",MARÍTIMOS[[#This Row],[Placa Tracto]]),"")</f>
        <v/>
      </c>
      <c r="K844" s="2" t="str">
        <f>IFERROR(IF(MARÍTIMOS[[#This Row],[Placa Carreta]]="","",MARÍTIMOS[[#This Row],[Placa Carreta]]),"")</f>
        <v/>
      </c>
      <c r="L844" s="44" t="str">
        <f>IFERROR(IF(MARÍTIMOS[[#This Row],[Conductor]]="","",MARÍTIMOS[[#This Row],[Conductor]]),"")</f>
        <v/>
      </c>
      <c r="M844" s="2" t="str">
        <f>IFERROR(IF(MARÍTIMOS[[#This Row],[Licencia]]="","",MARÍTIMOS[[#This Row],[Licencia]]),"")</f>
        <v/>
      </c>
      <c r="N844" s="2" t="str">
        <f>IFERROR(IF(MARÍTIMOS[[#This Row],[Número de Contacto]]="","",MARÍTIMOS[[#This Row],[Número de Contacto]]),"")</f>
        <v/>
      </c>
      <c r="O844" s="10" t="str">
        <f>IFERROR(IF(MARÍTIMOS[[#This Row],[Booking|AWB|CRT]]="","",MARÍTIMOS[[#This Row],[Booking|AWB|CRT]]),"")</f>
        <v/>
      </c>
      <c r="P844" s="2" t="str">
        <f>IFERROR(IF(MARÍTIMOS[[#This Row],[Contenedor]]="","",MARÍTIMOS[[#This Row],[Contenedor]]),"")</f>
        <v/>
      </c>
      <c r="Q844" s="2" t="str">
        <f>IFERROR(IF(MARÍTIMOS[[#This Row],[Puerto de Retiro]]="","",MARÍTIMOS[[#This Row],[Puerto de Retiro]]),"")</f>
        <v/>
      </c>
      <c r="R844" s="2" t="str">
        <f>IFERROR(IF(MARÍTIMOS[[#This Row],[Almacén de Retiro]]="","",MARÍTIMOS[[#This Row],[Almacén de Retiro]]),"")</f>
        <v/>
      </c>
      <c r="S844" s="11" t="str">
        <f>IFERROR(IF(MARÍTIMOS[[#This Row],[Etapa Retiro - Cita]]="","",MARÍTIMOS[[#This Row],[Etapa Retiro - Cita]]),"")</f>
        <v/>
      </c>
      <c r="T844" s="11" t="str">
        <f>IFERROR(IF(MARÍTIMOS[[#This Row],[Etapa Retiro - Llegada]]="","",MARÍTIMOS[[#This Row],[Etapa Retiro - Llegada]]),"")</f>
        <v/>
      </c>
      <c r="U844" s="11" t="str">
        <f>IFERROR(IF(MARÍTIMOS[[#This Row],[Etapa Retiro - Ingreso]]="","",MARÍTIMOS[[#This Row],[Etapa Retiro - Ingreso]]),"")</f>
        <v/>
      </c>
      <c r="V844" s="11" t="str">
        <f>IFERROR(IF(MARÍTIMOS[[#This Row],[Etapa Retiro - Atención]]="","",MARÍTIMOS[[#This Row],[Etapa Retiro - Atención]]),"")</f>
        <v/>
      </c>
      <c r="W844" s="11" t="str">
        <f>IFERROR(IF(MARÍTIMOS[[#This Row],[Etapa Retiro - Atención]]="","",MARÍTIMOS[[#This Row],[Etapa Retiro - Atención]]),"")</f>
        <v/>
      </c>
      <c r="X844" s="11" t="str">
        <f>IFERROR(IF(MARÍTIMOS[[#This Row],[Etapa Retiro - Inicio de Ruta]]="","",MARÍTIMOS[[#This Row],[Etapa Retiro - Inicio de Ruta]]),"")</f>
        <v/>
      </c>
      <c r="Y844" s="11" t="str">
        <f>IFERROR(IF(MARÍTIMOS[[#This Row],[Hora de Posicionamiento]]="","",MARÍTIMOS[[#This Row],[Fecha de Carga]]+MARÍTIMOS[[#This Row],[Hora de Posicionamiento]]),"")</f>
        <v/>
      </c>
      <c r="Z844" s="11" t="str">
        <f>IFERROR(IF(MARÍTIMOS[[#This Row],[Etapa Despacho - Llegada]]="","",MARÍTIMOS[[#This Row],[Etapa Despacho - Llegada]]),"")</f>
        <v/>
      </c>
      <c r="AA844" s="11" t="str">
        <f>IFERROR(IF(MARÍTIMOS[[#This Row],[Etapa Despacho - Registro]]="","",MARÍTIMOS[[#This Row],[Etapa Despacho - Registro]]),"")</f>
        <v/>
      </c>
      <c r="AB844" s="11" t="str">
        <f>IFERROR(IF(MARÍTIMOS[[#This Row],[Inspección Externa]]="","",MARÍTIMOS[[#This Row],[Inspección Externa]]),"")</f>
        <v/>
      </c>
      <c r="AC844" s="11" t="str">
        <f>IFERROR(IF(MARÍTIMOS[[#This Row],[Etapa Despacho - Inicio de Carga]]="","",MARÍTIMOS[[#This Row],[Etapa Despacho - Inicio de Carga]]),"")</f>
        <v/>
      </c>
      <c r="AD844" s="11" t="str">
        <f>IFERROR(IF(MARÍTIMOS[[#This Row],[Etapa Despacho - Mitad de Carga]]="","",MARÍTIMOS[[#This Row],[Etapa Despacho - Mitad de Carga]]),"")</f>
        <v/>
      </c>
      <c r="AE844" s="11" t="str">
        <f>IFERROR(IF(MARÍTIMOS[[#This Row],[Etapa Despacho - Fin de Carga]]="","",MARÍTIMOS[[#This Row],[Etapa Despacho - Fin de Carga]]),"")</f>
        <v/>
      </c>
      <c r="AF844" s="2" t="str">
        <f>IFERROR(IF(MARÍTIMOS[[#This Row],[Puerto de Embarque]]="","",MARÍTIMOS[[#This Row],[Puerto de Embarque]]),"")</f>
        <v/>
      </c>
      <c r="AG844" s="2" t="str">
        <f>IFERROR(IF(MARÍTIMOS[[#This Row],[Almacén de Ingreso]]="","",MARÍTIMOS[[#This Row],[Almacén de Ingreso]]),"")</f>
        <v/>
      </c>
      <c r="AH844" s="11" t="str">
        <f>IFERROR(IF(MARÍTIMOS[[#This Row],[Etapa Ingreso - Cita]]="","",MARÍTIMOS[[#This Row],[Etapa Ingreso - Cita]]),"")</f>
        <v/>
      </c>
      <c r="AI844" s="11" t="str">
        <f>IFERROR(IF(MARÍTIMOS[[#This Row],[Etapa Ingreso - Llegada]]="","",MARÍTIMOS[[#This Row],[Etapa Ingreso - Llegada]]),"")</f>
        <v/>
      </c>
      <c r="AJ844" s="11" t="str">
        <f>IFERROR(IF(MARÍTIMOS[[#This Row],[Etapa Ingreso - Ingeso]]="","",MARÍTIMOS[[#This Row],[Etapa Ingreso - Ingeso]]),"")</f>
        <v/>
      </c>
      <c r="AK844" s="11" t="str">
        <f>IFERROR(IF(MARÍTIMOS[[#This Row],[Etapa Ingreso - Atención]]="","",MARÍTIMOS[[#This Row],[Etapa Ingreso - Atención]]),"")</f>
        <v/>
      </c>
      <c r="AL844" s="11" t="str">
        <f>IFERROR(IF(MARÍTIMOS[[#This Row],[Etapa Ingreso - Salida]]="","",MARÍTIMOS[[#This Row],[Etapa Ingreso - Salida]]),"")</f>
        <v/>
      </c>
      <c r="AM844" s="2" t="str">
        <f>IFERROR(IF(MARÍTIMOS[[#This Row],[FCL]]="","",MARÍTIMOS[[#This Row],[FCL]]),"")</f>
        <v/>
      </c>
      <c r="AN8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4" s="4" t="str" cm="1">
        <f t="array" ref="AO8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4" s="5" t="str">
        <f>IFERROR(OLDBD[[#This Row],[Llegada a packing]]-OLDBD[[#This Row],[Inicio de Ruta]],"")</f>
        <v/>
      </c>
      <c r="AQ844" s="6" t="str">
        <f>IFERROR(OLDBD[[#This Row],[Inicio de Ruta]]-OLDBD[[#This Row],[Salida de almacén de retiro]],"")</f>
        <v/>
      </c>
      <c r="AR8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4" s="8" t="str" cm="1">
        <f t="array" ref="AS8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4" s="9" t="str">
        <f>IFERROR(OLDBD[[#This Row],[Ingreso Packing]]-OLDBD[[#This Row],[Registro en Packing]],"")</f>
        <v/>
      </c>
      <c r="AV844" s="9" t="str">
        <f>IFERROR(OLDBD[[#This Row],[Ingreso Packing]]-OLDBD[[#This Row],[Llegada a packing]],"")</f>
        <v/>
      </c>
      <c r="AW8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4" s="5" t="str">
        <f>IFERROR(OLDBD[[#This Row],[Llegada Almacén de Ingreso]]-OLDBD[[#This Row],[Salida Packing]],"")</f>
        <v/>
      </c>
      <c r="AY844" s="4" t="str" cm="1">
        <f t="array" ref="AY8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4" s="43" t="s">
        <v>173</v>
      </c>
      <c r="BB844" s="47" t="str">
        <f>IFERROR(IF(MARÍTIMOS[[#This Row],[Estatus]]="","",MARÍTIMOS[[#This Row],[Estatus]]),"")</f>
        <v/>
      </c>
      <c r="BC844" s="43"/>
      <c r="BD844" s="46" t="str">
        <f>IFERROR(OLDBD[[#This Row],[Salida de almacén de retiro]]-OLDBD[[#This Row],[Ingreso Almacén de retiro]],"")</f>
        <v/>
      </c>
      <c r="BE844" s="46" t="str">
        <f>IFERROR(OLDBD[[#This Row],[Fin de Carga]]-OLDBD[[#This Row],[Inicio de Carga]],"")</f>
        <v/>
      </c>
    </row>
    <row r="845" spans="1:57" customFormat="1" hidden="1">
      <c r="A845" s="1"/>
      <c r="B845" s="1" t="str">
        <f>IFERROR(IF(MARÍTIMOS[[#This Row],[PP]]="","",MARÍTIMOS[[#This Row],[PP]]),"")</f>
        <v/>
      </c>
      <c r="C845" s="1" t="str">
        <f>IFERROR(IF(MARÍTIMOS[[#This Row],[Sede]]="","",MARÍTIMOS[[#This Row],[Sede]]),"")</f>
        <v/>
      </c>
      <c r="D845" s="1" t="str">
        <f>IFERROR(IF(MARÍTIMOS[[#This Row],[Instruction]]="","",MARÍTIMOS[[#This Row],[Instruction]]),"")</f>
        <v/>
      </c>
      <c r="E845" s="1"/>
      <c r="F845" s="2" t="str">
        <f>IFERROR(IF(MARÍTIMOS[[#This Row],[Transportista]]="","",MARÍTIMOS[[#This Row],[Transportista]]),"")</f>
        <v/>
      </c>
      <c r="G845" s="2" t="str">
        <f>IFERROR(IF(MARÍTIMOS[[#This Row],[Tercero]]="","",MARÍTIMOS[[#This Row],[Tercero]]),"")</f>
        <v/>
      </c>
      <c r="H845" s="2" t="str">
        <f>IFERROR(IF(MARÍTIMOS[[#This Row],[Razón Social]]="","",MARÍTIMOS[[#This Row],[Razón Social]]),"")</f>
        <v/>
      </c>
      <c r="I845" s="2" t="str">
        <f>IFERROR(IF(MARÍTIMOS[[#This Row],[RUC]]="","",MARÍTIMOS[[#This Row],[RUC]]),"")</f>
        <v/>
      </c>
      <c r="J845" s="2" t="str">
        <f>IFERROR(IF(MARÍTIMOS[[#This Row],[Placa Tracto]]="","",MARÍTIMOS[[#This Row],[Placa Tracto]]),"")</f>
        <v/>
      </c>
      <c r="K845" s="2" t="str">
        <f>IFERROR(IF(MARÍTIMOS[[#This Row],[Placa Carreta]]="","",MARÍTIMOS[[#This Row],[Placa Carreta]]),"")</f>
        <v/>
      </c>
      <c r="L845" s="44" t="str">
        <f>IFERROR(IF(MARÍTIMOS[[#This Row],[Conductor]]="","",MARÍTIMOS[[#This Row],[Conductor]]),"")</f>
        <v/>
      </c>
      <c r="M845" s="2" t="str">
        <f>IFERROR(IF(MARÍTIMOS[[#This Row],[Licencia]]="","",MARÍTIMOS[[#This Row],[Licencia]]),"")</f>
        <v/>
      </c>
      <c r="N845" s="2" t="str">
        <f>IFERROR(IF(MARÍTIMOS[[#This Row],[Número de Contacto]]="","",MARÍTIMOS[[#This Row],[Número de Contacto]]),"")</f>
        <v/>
      </c>
      <c r="O845" s="10" t="str">
        <f>IFERROR(IF(MARÍTIMOS[[#This Row],[Booking|AWB|CRT]]="","",MARÍTIMOS[[#This Row],[Booking|AWB|CRT]]),"")</f>
        <v/>
      </c>
      <c r="P845" s="2" t="str">
        <f>IFERROR(IF(MARÍTIMOS[[#This Row],[Contenedor]]="","",MARÍTIMOS[[#This Row],[Contenedor]]),"")</f>
        <v/>
      </c>
      <c r="Q845" s="2" t="str">
        <f>IFERROR(IF(MARÍTIMOS[[#This Row],[Puerto de Retiro]]="","",MARÍTIMOS[[#This Row],[Puerto de Retiro]]),"")</f>
        <v/>
      </c>
      <c r="R845" s="2" t="str">
        <f>IFERROR(IF(MARÍTIMOS[[#This Row],[Almacén de Retiro]]="","",MARÍTIMOS[[#This Row],[Almacén de Retiro]]),"")</f>
        <v/>
      </c>
      <c r="S845" s="11" t="str">
        <f>IFERROR(IF(MARÍTIMOS[[#This Row],[Etapa Retiro - Cita]]="","",MARÍTIMOS[[#This Row],[Etapa Retiro - Cita]]),"")</f>
        <v/>
      </c>
      <c r="T845" s="11" t="str">
        <f>IFERROR(IF(MARÍTIMOS[[#This Row],[Etapa Retiro - Llegada]]="","",MARÍTIMOS[[#This Row],[Etapa Retiro - Llegada]]),"")</f>
        <v/>
      </c>
      <c r="U845" s="11" t="str">
        <f>IFERROR(IF(MARÍTIMOS[[#This Row],[Etapa Retiro - Ingreso]]="","",MARÍTIMOS[[#This Row],[Etapa Retiro - Ingreso]]),"")</f>
        <v/>
      </c>
      <c r="V845" s="11" t="str">
        <f>IFERROR(IF(MARÍTIMOS[[#This Row],[Etapa Retiro - Atención]]="","",MARÍTIMOS[[#This Row],[Etapa Retiro - Atención]]),"")</f>
        <v/>
      </c>
      <c r="W845" s="11" t="str">
        <f>IFERROR(IF(MARÍTIMOS[[#This Row],[Etapa Retiro - Atención]]="","",MARÍTIMOS[[#This Row],[Etapa Retiro - Atención]]),"")</f>
        <v/>
      </c>
      <c r="X845" s="11" t="str">
        <f>IFERROR(IF(MARÍTIMOS[[#This Row],[Etapa Retiro - Inicio de Ruta]]="","",MARÍTIMOS[[#This Row],[Etapa Retiro - Inicio de Ruta]]),"")</f>
        <v/>
      </c>
      <c r="Y845" s="11" t="str">
        <f>IFERROR(IF(MARÍTIMOS[[#This Row],[Hora de Posicionamiento]]="","",MARÍTIMOS[[#This Row],[Fecha de Carga]]+MARÍTIMOS[[#This Row],[Hora de Posicionamiento]]),"")</f>
        <v/>
      </c>
      <c r="Z845" s="11" t="str">
        <f>IFERROR(IF(MARÍTIMOS[[#This Row],[Etapa Despacho - Llegada]]="","",MARÍTIMOS[[#This Row],[Etapa Despacho - Llegada]]),"")</f>
        <v/>
      </c>
      <c r="AA845" s="11" t="str">
        <f>IFERROR(IF(MARÍTIMOS[[#This Row],[Etapa Despacho - Registro]]="","",MARÍTIMOS[[#This Row],[Etapa Despacho - Registro]]),"")</f>
        <v/>
      </c>
      <c r="AB845" s="11" t="str">
        <f>IFERROR(IF(MARÍTIMOS[[#This Row],[Inspección Externa]]="","",MARÍTIMOS[[#This Row],[Inspección Externa]]),"")</f>
        <v/>
      </c>
      <c r="AC845" s="11" t="str">
        <f>IFERROR(IF(MARÍTIMOS[[#This Row],[Etapa Despacho - Inicio de Carga]]="","",MARÍTIMOS[[#This Row],[Etapa Despacho - Inicio de Carga]]),"")</f>
        <v/>
      </c>
      <c r="AD845" s="11" t="str">
        <f>IFERROR(IF(MARÍTIMOS[[#This Row],[Etapa Despacho - Mitad de Carga]]="","",MARÍTIMOS[[#This Row],[Etapa Despacho - Mitad de Carga]]),"")</f>
        <v/>
      </c>
      <c r="AE845" s="11" t="str">
        <f>IFERROR(IF(MARÍTIMOS[[#This Row],[Etapa Despacho - Fin de Carga]]="","",MARÍTIMOS[[#This Row],[Etapa Despacho - Fin de Carga]]),"")</f>
        <v/>
      </c>
      <c r="AF845" s="2" t="str">
        <f>IFERROR(IF(MARÍTIMOS[[#This Row],[Puerto de Embarque]]="","",MARÍTIMOS[[#This Row],[Puerto de Embarque]]),"")</f>
        <v/>
      </c>
      <c r="AG845" s="2" t="str">
        <f>IFERROR(IF(MARÍTIMOS[[#This Row],[Almacén de Ingreso]]="","",MARÍTIMOS[[#This Row],[Almacén de Ingreso]]),"")</f>
        <v/>
      </c>
      <c r="AH845" s="11" t="str">
        <f>IFERROR(IF(MARÍTIMOS[[#This Row],[Etapa Ingreso - Cita]]="","",MARÍTIMOS[[#This Row],[Etapa Ingreso - Cita]]),"")</f>
        <v/>
      </c>
      <c r="AI845" s="11" t="str">
        <f>IFERROR(IF(MARÍTIMOS[[#This Row],[Etapa Ingreso - Llegada]]="","",MARÍTIMOS[[#This Row],[Etapa Ingreso - Llegada]]),"")</f>
        <v/>
      </c>
      <c r="AJ845" s="11" t="str">
        <f>IFERROR(IF(MARÍTIMOS[[#This Row],[Etapa Ingreso - Ingeso]]="","",MARÍTIMOS[[#This Row],[Etapa Ingreso - Ingeso]]),"")</f>
        <v/>
      </c>
      <c r="AK845" s="11" t="str">
        <f>IFERROR(IF(MARÍTIMOS[[#This Row],[Etapa Ingreso - Atención]]="","",MARÍTIMOS[[#This Row],[Etapa Ingreso - Atención]]),"")</f>
        <v/>
      </c>
      <c r="AL845" s="11" t="str">
        <f>IFERROR(IF(MARÍTIMOS[[#This Row],[Etapa Ingreso - Salida]]="","",MARÍTIMOS[[#This Row],[Etapa Ingreso - Salida]]),"")</f>
        <v/>
      </c>
      <c r="AM845" s="2" t="str">
        <f>IFERROR(IF(MARÍTIMOS[[#This Row],[FCL]]="","",MARÍTIMOS[[#This Row],[FCL]]),"")</f>
        <v/>
      </c>
      <c r="AN8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5" s="4" t="str" cm="1">
        <f t="array" ref="AO8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5" s="5" t="str">
        <f>IFERROR(OLDBD[[#This Row],[Llegada a packing]]-OLDBD[[#This Row],[Inicio de Ruta]],"")</f>
        <v/>
      </c>
      <c r="AQ845" s="6" t="str">
        <f>IFERROR(OLDBD[[#This Row],[Inicio de Ruta]]-OLDBD[[#This Row],[Salida de almacén de retiro]],"")</f>
        <v/>
      </c>
      <c r="AR8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5" s="8" t="str" cm="1">
        <f t="array" ref="AS8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5" s="9" t="str">
        <f>IFERROR(OLDBD[[#This Row],[Ingreso Packing]]-OLDBD[[#This Row],[Registro en Packing]],"")</f>
        <v/>
      </c>
      <c r="AV845" s="9" t="str">
        <f>IFERROR(OLDBD[[#This Row],[Ingreso Packing]]-OLDBD[[#This Row],[Llegada a packing]],"")</f>
        <v/>
      </c>
      <c r="AW8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5" s="5" t="str">
        <f>IFERROR(OLDBD[[#This Row],[Llegada Almacén de Ingreso]]-OLDBD[[#This Row],[Salida Packing]],"")</f>
        <v/>
      </c>
      <c r="AY845" s="4" t="str" cm="1">
        <f t="array" ref="AY8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5" s="43" t="s">
        <v>173</v>
      </c>
      <c r="BB845" s="47" t="str">
        <f>IFERROR(IF(MARÍTIMOS[[#This Row],[Estatus]]="","",MARÍTIMOS[[#This Row],[Estatus]]),"")</f>
        <v/>
      </c>
      <c r="BC845" s="43"/>
      <c r="BD845" s="46" t="str">
        <f>IFERROR(OLDBD[[#This Row],[Salida de almacén de retiro]]-OLDBD[[#This Row],[Ingreso Almacén de retiro]],"")</f>
        <v/>
      </c>
      <c r="BE845" s="46" t="str">
        <f>IFERROR(OLDBD[[#This Row],[Fin de Carga]]-OLDBD[[#This Row],[Inicio de Carga]],"")</f>
        <v/>
      </c>
    </row>
    <row r="846" spans="1:57" customFormat="1" hidden="1">
      <c r="A846" s="1"/>
      <c r="B846" s="1" t="str">
        <f>IFERROR(IF(MARÍTIMOS[[#This Row],[PP]]="","",MARÍTIMOS[[#This Row],[PP]]),"")</f>
        <v/>
      </c>
      <c r="C846" s="1" t="str">
        <f>IFERROR(IF(MARÍTIMOS[[#This Row],[Sede]]="","",MARÍTIMOS[[#This Row],[Sede]]),"")</f>
        <v/>
      </c>
      <c r="D846" s="1" t="str">
        <f>IFERROR(IF(MARÍTIMOS[[#This Row],[Instruction]]="","",MARÍTIMOS[[#This Row],[Instruction]]),"")</f>
        <v/>
      </c>
      <c r="E846" s="1"/>
      <c r="F846" s="2" t="str">
        <f>IFERROR(IF(MARÍTIMOS[[#This Row],[Transportista]]="","",MARÍTIMOS[[#This Row],[Transportista]]),"")</f>
        <v/>
      </c>
      <c r="G846" s="2" t="str">
        <f>IFERROR(IF(MARÍTIMOS[[#This Row],[Tercero]]="","",MARÍTIMOS[[#This Row],[Tercero]]),"")</f>
        <v/>
      </c>
      <c r="H846" s="2" t="str">
        <f>IFERROR(IF(MARÍTIMOS[[#This Row],[Razón Social]]="","",MARÍTIMOS[[#This Row],[Razón Social]]),"")</f>
        <v/>
      </c>
      <c r="I846" s="2" t="str">
        <f>IFERROR(IF(MARÍTIMOS[[#This Row],[RUC]]="","",MARÍTIMOS[[#This Row],[RUC]]),"")</f>
        <v/>
      </c>
      <c r="J846" s="2" t="str">
        <f>IFERROR(IF(MARÍTIMOS[[#This Row],[Placa Tracto]]="","",MARÍTIMOS[[#This Row],[Placa Tracto]]),"")</f>
        <v/>
      </c>
      <c r="K846" s="2" t="str">
        <f>IFERROR(IF(MARÍTIMOS[[#This Row],[Placa Carreta]]="","",MARÍTIMOS[[#This Row],[Placa Carreta]]),"")</f>
        <v/>
      </c>
      <c r="L846" s="44" t="str">
        <f>IFERROR(IF(MARÍTIMOS[[#This Row],[Conductor]]="","",MARÍTIMOS[[#This Row],[Conductor]]),"")</f>
        <v/>
      </c>
      <c r="M846" s="2" t="str">
        <f>IFERROR(IF(MARÍTIMOS[[#This Row],[Licencia]]="","",MARÍTIMOS[[#This Row],[Licencia]]),"")</f>
        <v/>
      </c>
      <c r="N846" s="2" t="str">
        <f>IFERROR(IF(MARÍTIMOS[[#This Row],[Número de Contacto]]="","",MARÍTIMOS[[#This Row],[Número de Contacto]]),"")</f>
        <v/>
      </c>
      <c r="O846" s="10" t="str">
        <f>IFERROR(IF(MARÍTIMOS[[#This Row],[Booking|AWB|CRT]]="","",MARÍTIMOS[[#This Row],[Booking|AWB|CRT]]),"")</f>
        <v/>
      </c>
      <c r="P846" s="2" t="str">
        <f>IFERROR(IF(MARÍTIMOS[[#This Row],[Contenedor]]="","",MARÍTIMOS[[#This Row],[Contenedor]]),"")</f>
        <v/>
      </c>
      <c r="Q846" s="2" t="str">
        <f>IFERROR(IF(MARÍTIMOS[[#This Row],[Puerto de Retiro]]="","",MARÍTIMOS[[#This Row],[Puerto de Retiro]]),"")</f>
        <v/>
      </c>
      <c r="R846" s="2" t="str">
        <f>IFERROR(IF(MARÍTIMOS[[#This Row],[Almacén de Retiro]]="","",MARÍTIMOS[[#This Row],[Almacén de Retiro]]),"")</f>
        <v/>
      </c>
      <c r="S846" s="11" t="str">
        <f>IFERROR(IF(MARÍTIMOS[[#This Row],[Etapa Retiro - Cita]]="","",MARÍTIMOS[[#This Row],[Etapa Retiro - Cita]]),"")</f>
        <v/>
      </c>
      <c r="T846" s="11" t="str">
        <f>IFERROR(IF(MARÍTIMOS[[#This Row],[Etapa Retiro - Llegada]]="","",MARÍTIMOS[[#This Row],[Etapa Retiro - Llegada]]),"")</f>
        <v/>
      </c>
      <c r="U846" s="11" t="str">
        <f>IFERROR(IF(MARÍTIMOS[[#This Row],[Etapa Retiro - Ingreso]]="","",MARÍTIMOS[[#This Row],[Etapa Retiro - Ingreso]]),"")</f>
        <v/>
      </c>
      <c r="V846" s="11" t="str">
        <f>IFERROR(IF(MARÍTIMOS[[#This Row],[Etapa Retiro - Atención]]="","",MARÍTIMOS[[#This Row],[Etapa Retiro - Atención]]),"")</f>
        <v/>
      </c>
      <c r="W846" s="11" t="str">
        <f>IFERROR(IF(MARÍTIMOS[[#This Row],[Etapa Retiro - Atención]]="","",MARÍTIMOS[[#This Row],[Etapa Retiro - Atención]]),"")</f>
        <v/>
      </c>
      <c r="X846" s="11" t="str">
        <f>IFERROR(IF(MARÍTIMOS[[#This Row],[Etapa Retiro - Inicio de Ruta]]="","",MARÍTIMOS[[#This Row],[Etapa Retiro - Inicio de Ruta]]),"")</f>
        <v/>
      </c>
      <c r="Y846" s="11" t="str">
        <f>IFERROR(IF(MARÍTIMOS[[#This Row],[Hora de Posicionamiento]]="","",MARÍTIMOS[[#This Row],[Fecha de Carga]]+MARÍTIMOS[[#This Row],[Hora de Posicionamiento]]),"")</f>
        <v/>
      </c>
      <c r="Z846" s="11" t="str">
        <f>IFERROR(IF(MARÍTIMOS[[#This Row],[Etapa Despacho - Llegada]]="","",MARÍTIMOS[[#This Row],[Etapa Despacho - Llegada]]),"")</f>
        <v/>
      </c>
      <c r="AA846" s="11" t="str">
        <f>IFERROR(IF(MARÍTIMOS[[#This Row],[Etapa Despacho - Registro]]="","",MARÍTIMOS[[#This Row],[Etapa Despacho - Registro]]),"")</f>
        <v/>
      </c>
      <c r="AB846" s="11" t="str">
        <f>IFERROR(IF(MARÍTIMOS[[#This Row],[Inspección Externa]]="","",MARÍTIMOS[[#This Row],[Inspección Externa]]),"")</f>
        <v/>
      </c>
      <c r="AC846" s="11" t="str">
        <f>IFERROR(IF(MARÍTIMOS[[#This Row],[Etapa Despacho - Inicio de Carga]]="","",MARÍTIMOS[[#This Row],[Etapa Despacho - Inicio de Carga]]),"")</f>
        <v/>
      </c>
      <c r="AD846" s="11" t="str">
        <f>IFERROR(IF(MARÍTIMOS[[#This Row],[Etapa Despacho - Mitad de Carga]]="","",MARÍTIMOS[[#This Row],[Etapa Despacho - Mitad de Carga]]),"")</f>
        <v/>
      </c>
      <c r="AE846" s="11" t="str">
        <f>IFERROR(IF(MARÍTIMOS[[#This Row],[Etapa Despacho - Fin de Carga]]="","",MARÍTIMOS[[#This Row],[Etapa Despacho - Fin de Carga]]),"")</f>
        <v/>
      </c>
      <c r="AF846" s="2" t="str">
        <f>IFERROR(IF(MARÍTIMOS[[#This Row],[Puerto de Embarque]]="","",MARÍTIMOS[[#This Row],[Puerto de Embarque]]),"")</f>
        <v/>
      </c>
      <c r="AG846" s="2" t="str">
        <f>IFERROR(IF(MARÍTIMOS[[#This Row],[Almacén de Ingreso]]="","",MARÍTIMOS[[#This Row],[Almacén de Ingreso]]),"")</f>
        <v/>
      </c>
      <c r="AH846" s="11" t="str">
        <f>IFERROR(IF(MARÍTIMOS[[#This Row],[Etapa Ingreso - Cita]]="","",MARÍTIMOS[[#This Row],[Etapa Ingreso - Cita]]),"")</f>
        <v/>
      </c>
      <c r="AI846" s="11" t="str">
        <f>IFERROR(IF(MARÍTIMOS[[#This Row],[Etapa Ingreso - Llegada]]="","",MARÍTIMOS[[#This Row],[Etapa Ingreso - Llegada]]),"")</f>
        <v/>
      </c>
      <c r="AJ846" s="11" t="str">
        <f>IFERROR(IF(MARÍTIMOS[[#This Row],[Etapa Ingreso - Ingeso]]="","",MARÍTIMOS[[#This Row],[Etapa Ingreso - Ingeso]]),"")</f>
        <v/>
      </c>
      <c r="AK846" s="11" t="str">
        <f>IFERROR(IF(MARÍTIMOS[[#This Row],[Etapa Ingreso - Atención]]="","",MARÍTIMOS[[#This Row],[Etapa Ingreso - Atención]]),"")</f>
        <v/>
      </c>
      <c r="AL846" s="11" t="str">
        <f>IFERROR(IF(MARÍTIMOS[[#This Row],[Etapa Ingreso - Salida]]="","",MARÍTIMOS[[#This Row],[Etapa Ingreso - Salida]]),"")</f>
        <v/>
      </c>
      <c r="AM846" s="2" t="str">
        <f>IFERROR(IF(MARÍTIMOS[[#This Row],[FCL]]="","",MARÍTIMOS[[#This Row],[FCL]]),"")</f>
        <v/>
      </c>
      <c r="AN8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6" s="4" t="str" cm="1">
        <f t="array" ref="AO8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6" s="5" t="str">
        <f>IFERROR(OLDBD[[#This Row],[Llegada a packing]]-OLDBD[[#This Row],[Inicio de Ruta]],"")</f>
        <v/>
      </c>
      <c r="AQ846" s="6" t="str">
        <f>IFERROR(OLDBD[[#This Row],[Inicio de Ruta]]-OLDBD[[#This Row],[Salida de almacén de retiro]],"")</f>
        <v/>
      </c>
      <c r="AR8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6" s="8" t="str" cm="1">
        <f t="array" ref="AS8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6" s="9" t="str">
        <f>IFERROR(OLDBD[[#This Row],[Ingreso Packing]]-OLDBD[[#This Row],[Registro en Packing]],"")</f>
        <v/>
      </c>
      <c r="AV846" s="9" t="str">
        <f>IFERROR(OLDBD[[#This Row],[Ingreso Packing]]-OLDBD[[#This Row],[Llegada a packing]],"")</f>
        <v/>
      </c>
      <c r="AW8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6" s="5" t="str">
        <f>IFERROR(OLDBD[[#This Row],[Llegada Almacén de Ingreso]]-OLDBD[[#This Row],[Salida Packing]],"")</f>
        <v/>
      </c>
      <c r="AY846" s="4" t="str" cm="1">
        <f t="array" ref="AY8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6" s="43" t="s">
        <v>173</v>
      </c>
      <c r="BB846" s="47" t="str">
        <f>IFERROR(IF(MARÍTIMOS[[#This Row],[Estatus]]="","",MARÍTIMOS[[#This Row],[Estatus]]),"")</f>
        <v/>
      </c>
      <c r="BC846" s="43"/>
      <c r="BD846" s="46" t="str">
        <f>IFERROR(OLDBD[[#This Row],[Salida de almacén de retiro]]-OLDBD[[#This Row],[Ingreso Almacén de retiro]],"")</f>
        <v/>
      </c>
      <c r="BE846" s="46" t="str">
        <f>IFERROR(OLDBD[[#This Row],[Fin de Carga]]-OLDBD[[#This Row],[Inicio de Carga]],"")</f>
        <v/>
      </c>
    </row>
    <row r="847" spans="1:57" customFormat="1" hidden="1">
      <c r="A847" s="1"/>
      <c r="B847" s="1" t="str">
        <f>IFERROR(IF(MARÍTIMOS[[#This Row],[PP]]="","",MARÍTIMOS[[#This Row],[PP]]),"")</f>
        <v/>
      </c>
      <c r="C847" s="1" t="str">
        <f>IFERROR(IF(MARÍTIMOS[[#This Row],[Sede]]="","",MARÍTIMOS[[#This Row],[Sede]]),"")</f>
        <v/>
      </c>
      <c r="D847" s="1" t="str">
        <f>IFERROR(IF(MARÍTIMOS[[#This Row],[Instruction]]="","",MARÍTIMOS[[#This Row],[Instruction]]),"")</f>
        <v/>
      </c>
      <c r="E847" s="1"/>
      <c r="F847" s="2" t="str">
        <f>IFERROR(IF(MARÍTIMOS[[#This Row],[Transportista]]="","",MARÍTIMOS[[#This Row],[Transportista]]),"")</f>
        <v/>
      </c>
      <c r="G847" s="2" t="str">
        <f>IFERROR(IF(MARÍTIMOS[[#This Row],[Tercero]]="","",MARÍTIMOS[[#This Row],[Tercero]]),"")</f>
        <v/>
      </c>
      <c r="H847" s="2" t="str">
        <f>IFERROR(IF(MARÍTIMOS[[#This Row],[Razón Social]]="","",MARÍTIMOS[[#This Row],[Razón Social]]),"")</f>
        <v/>
      </c>
      <c r="I847" s="2" t="str">
        <f>IFERROR(IF(MARÍTIMOS[[#This Row],[RUC]]="","",MARÍTIMOS[[#This Row],[RUC]]),"")</f>
        <v/>
      </c>
      <c r="J847" s="2" t="str">
        <f>IFERROR(IF(MARÍTIMOS[[#This Row],[Placa Tracto]]="","",MARÍTIMOS[[#This Row],[Placa Tracto]]),"")</f>
        <v/>
      </c>
      <c r="K847" s="2" t="str">
        <f>IFERROR(IF(MARÍTIMOS[[#This Row],[Placa Carreta]]="","",MARÍTIMOS[[#This Row],[Placa Carreta]]),"")</f>
        <v/>
      </c>
      <c r="L847" s="44" t="str">
        <f>IFERROR(IF(MARÍTIMOS[[#This Row],[Conductor]]="","",MARÍTIMOS[[#This Row],[Conductor]]),"")</f>
        <v/>
      </c>
      <c r="M847" s="2" t="str">
        <f>IFERROR(IF(MARÍTIMOS[[#This Row],[Licencia]]="","",MARÍTIMOS[[#This Row],[Licencia]]),"")</f>
        <v/>
      </c>
      <c r="N847" s="2" t="str">
        <f>IFERROR(IF(MARÍTIMOS[[#This Row],[Número de Contacto]]="","",MARÍTIMOS[[#This Row],[Número de Contacto]]),"")</f>
        <v/>
      </c>
      <c r="O847" s="10" t="str">
        <f>IFERROR(IF(MARÍTIMOS[[#This Row],[Booking|AWB|CRT]]="","",MARÍTIMOS[[#This Row],[Booking|AWB|CRT]]),"")</f>
        <v/>
      </c>
      <c r="P847" s="2" t="str">
        <f>IFERROR(IF(MARÍTIMOS[[#This Row],[Contenedor]]="","",MARÍTIMOS[[#This Row],[Contenedor]]),"")</f>
        <v/>
      </c>
      <c r="Q847" s="2" t="str">
        <f>IFERROR(IF(MARÍTIMOS[[#This Row],[Puerto de Retiro]]="","",MARÍTIMOS[[#This Row],[Puerto de Retiro]]),"")</f>
        <v/>
      </c>
      <c r="R847" s="2" t="str">
        <f>IFERROR(IF(MARÍTIMOS[[#This Row],[Almacén de Retiro]]="","",MARÍTIMOS[[#This Row],[Almacén de Retiro]]),"")</f>
        <v/>
      </c>
      <c r="S847" s="11" t="str">
        <f>IFERROR(IF(MARÍTIMOS[[#This Row],[Etapa Retiro - Cita]]="","",MARÍTIMOS[[#This Row],[Etapa Retiro - Cita]]),"")</f>
        <v/>
      </c>
      <c r="T847" s="11" t="str">
        <f>IFERROR(IF(MARÍTIMOS[[#This Row],[Etapa Retiro - Llegada]]="","",MARÍTIMOS[[#This Row],[Etapa Retiro - Llegada]]),"")</f>
        <v/>
      </c>
      <c r="U847" s="11" t="str">
        <f>IFERROR(IF(MARÍTIMOS[[#This Row],[Etapa Retiro - Ingreso]]="","",MARÍTIMOS[[#This Row],[Etapa Retiro - Ingreso]]),"")</f>
        <v/>
      </c>
      <c r="V847" s="11" t="str">
        <f>IFERROR(IF(MARÍTIMOS[[#This Row],[Etapa Retiro - Atención]]="","",MARÍTIMOS[[#This Row],[Etapa Retiro - Atención]]),"")</f>
        <v/>
      </c>
      <c r="W847" s="11" t="str">
        <f>IFERROR(IF(MARÍTIMOS[[#This Row],[Etapa Retiro - Atención]]="","",MARÍTIMOS[[#This Row],[Etapa Retiro - Atención]]),"")</f>
        <v/>
      </c>
      <c r="X847" s="11" t="str">
        <f>IFERROR(IF(MARÍTIMOS[[#This Row],[Etapa Retiro - Inicio de Ruta]]="","",MARÍTIMOS[[#This Row],[Etapa Retiro - Inicio de Ruta]]),"")</f>
        <v/>
      </c>
      <c r="Y847" s="11" t="str">
        <f>IFERROR(IF(MARÍTIMOS[[#This Row],[Hora de Posicionamiento]]="","",MARÍTIMOS[[#This Row],[Fecha de Carga]]+MARÍTIMOS[[#This Row],[Hora de Posicionamiento]]),"")</f>
        <v/>
      </c>
      <c r="Z847" s="11" t="str">
        <f>IFERROR(IF(MARÍTIMOS[[#This Row],[Etapa Despacho - Llegada]]="","",MARÍTIMOS[[#This Row],[Etapa Despacho - Llegada]]),"")</f>
        <v/>
      </c>
      <c r="AA847" s="11" t="str">
        <f>IFERROR(IF(MARÍTIMOS[[#This Row],[Etapa Despacho - Registro]]="","",MARÍTIMOS[[#This Row],[Etapa Despacho - Registro]]),"")</f>
        <v/>
      </c>
      <c r="AB847" s="11" t="str">
        <f>IFERROR(IF(MARÍTIMOS[[#This Row],[Inspección Externa]]="","",MARÍTIMOS[[#This Row],[Inspección Externa]]),"")</f>
        <v/>
      </c>
      <c r="AC847" s="11" t="str">
        <f>IFERROR(IF(MARÍTIMOS[[#This Row],[Etapa Despacho - Inicio de Carga]]="","",MARÍTIMOS[[#This Row],[Etapa Despacho - Inicio de Carga]]),"")</f>
        <v/>
      </c>
      <c r="AD847" s="11" t="str">
        <f>IFERROR(IF(MARÍTIMOS[[#This Row],[Etapa Despacho - Mitad de Carga]]="","",MARÍTIMOS[[#This Row],[Etapa Despacho - Mitad de Carga]]),"")</f>
        <v/>
      </c>
      <c r="AE847" s="11" t="str">
        <f>IFERROR(IF(MARÍTIMOS[[#This Row],[Etapa Despacho - Fin de Carga]]="","",MARÍTIMOS[[#This Row],[Etapa Despacho - Fin de Carga]]),"")</f>
        <v/>
      </c>
      <c r="AF847" s="2" t="str">
        <f>IFERROR(IF(MARÍTIMOS[[#This Row],[Puerto de Embarque]]="","",MARÍTIMOS[[#This Row],[Puerto de Embarque]]),"")</f>
        <v/>
      </c>
      <c r="AG847" s="2" t="str">
        <f>IFERROR(IF(MARÍTIMOS[[#This Row],[Almacén de Ingreso]]="","",MARÍTIMOS[[#This Row],[Almacén de Ingreso]]),"")</f>
        <v/>
      </c>
      <c r="AH847" s="11" t="str">
        <f>IFERROR(IF(MARÍTIMOS[[#This Row],[Etapa Ingreso - Cita]]="","",MARÍTIMOS[[#This Row],[Etapa Ingreso - Cita]]),"")</f>
        <v/>
      </c>
      <c r="AI847" s="11" t="str">
        <f>IFERROR(IF(MARÍTIMOS[[#This Row],[Etapa Ingreso - Llegada]]="","",MARÍTIMOS[[#This Row],[Etapa Ingreso - Llegada]]),"")</f>
        <v/>
      </c>
      <c r="AJ847" s="11" t="str">
        <f>IFERROR(IF(MARÍTIMOS[[#This Row],[Etapa Ingreso - Ingeso]]="","",MARÍTIMOS[[#This Row],[Etapa Ingreso - Ingeso]]),"")</f>
        <v/>
      </c>
      <c r="AK847" s="11" t="str">
        <f>IFERROR(IF(MARÍTIMOS[[#This Row],[Etapa Ingreso - Atención]]="","",MARÍTIMOS[[#This Row],[Etapa Ingreso - Atención]]),"")</f>
        <v/>
      </c>
      <c r="AL847" s="11" t="str">
        <f>IFERROR(IF(MARÍTIMOS[[#This Row],[Etapa Ingreso - Salida]]="","",MARÍTIMOS[[#This Row],[Etapa Ingreso - Salida]]),"")</f>
        <v/>
      </c>
      <c r="AM847" s="2" t="str">
        <f>IFERROR(IF(MARÍTIMOS[[#This Row],[FCL]]="","",MARÍTIMOS[[#This Row],[FCL]]),"")</f>
        <v/>
      </c>
      <c r="AN8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7" s="4" t="str" cm="1">
        <f t="array" ref="AO8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7" s="5" t="str">
        <f>IFERROR(OLDBD[[#This Row],[Llegada a packing]]-OLDBD[[#This Row],[Inicio de Ruta]],"")</f>
        <v/>
      </c>
      <c r="AQ847" s="6" t="str">
        <f>IFERROR(OLDBD[[#This Row],[Inicio de Ruta]]-OLDBD[[#This Row],[Salida de almacén de retiro]],"")</f>
        <v/>
      </c>
      <c r="AR8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7" s="8" t="str" cm="1">
        <f t="array" ref="AS8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7" s="9" t="str">
        <f>IFERROR(OLDBD[[#This Row],[Ingreso Packing]]-OLDBD[[#This Row],[Registro en Packing]],"")</f>
        <v/>
      </c>
      <c r="AV847" s="9" t="str">
        <f>IFERROR(OLDBD[[#This Row],[Ingreso Packing]]-OLDBD[[#This Row],[Llegada a packing]],"")</f>
        <v/>
      </c>
      <c r="AW8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7" s="5" t="str">
        <f>IFERROR(OLDBD[[#This Row],[Llegada Almacén de Ingreso]]-OLDBD[[#This Row],[Salida Packing]],"")</f>
        <v/>
      </c>
      <c r="AY847" s="4" t="str" cm="1">
        <f t="array" ref="AY8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7" s="43" t="s">
        <v>173</v>
      </c>
      <c r="BB847" s="47" t="str">
        <f>IFERROR(IF(MARÍTIMOS[[#This Row],[Estatus]]="","",MARÍTIMOS[[#This Row],[Estatus]]),"")</f>
        <v/>
      </c>
      <c r="BC847" s="43"/>
      <c r="BD847" s="46" t="str">
        <f>IFERROR(OLDBD[[#This Row],[Salida de almacén de retiro]]-OLDBD[[#This Row],[Ingreso Almacén de retiro]],"")</f>
        <v/>
      </c>
      <c r="BE847" s="46" t="str">
        <f>IFERROR(OLDBD[[#This Row],[Fin de Carga]]-OLDBD[[#This Row],[Inicio de Carga]],"")</f>
        <v/>
      </c>
    </row>
    <row r="848" spans="1:57" customFormat="1" hidden="1">
      <c r="A848" s="1"/>
      <c r="B848" s="1" t="str">
        <f>IFERROR(IF(MARÍTIMOS[[#This Row],[PP]]="","",MARÍTIMOS[[#This Row],[PP]]),"")</f>
        <v/>
      </c>
      <c r="C848" s="1" t="str">
        <f>IFERROR(IF(MARÍTIMOS[[#This Row],[Sede]]="","",MARÍTIMOS[[#This Row],[Sede]]),"")</f>
        <v/>
      </c>
      <c r="D848" s="1" t="str">
        <f>IFERROR(IF(MARÍTIMOS[[#This Row],[Instruction]]="","",MARÍTIMOS[[#This Row],[Instruction]]),"")</f>
        <v/>
      </c>
      <c r="E848" s="1"/>
      <c r="F848" s="2" t="str">
        <f>IFERROR(IF(MARÍTIMOS[[#This Row],[Transportista]]="","",MARÍTIMOS[[#This Row],[Transportista]]),"")</f>
        <v/>
      </c>
      <c r="G848" s="2" t="str">
        <f>IFERROR(IF(MARÍTIMOS[[#This Row],[Tercero]]="","",MARÍTIMOS[[#This Row],[Tercero]]),"")</f>
        <v/>
      </c>
      <c r="H848" s="2" t="str">
        <f>IFERROR(IF(MARÍTIMOS[[#This Row],[Razón Social]]="","",MARÍTIMOS[[#This Row],[Razón Social]]),"")</f>
        <v/>
      </c>
      <c r="I848" s="2" t="str">
        <f>IFERROR(IF(MARÍTIMOS[[#This Row],[RUC]]="","",MARÍTIMOS[[#This Row],[RUC]]),"")</f>
        <v/>
      </c>
      <c r="J848" s="2" t="str">
        <f>IFERROR(IF(MARÍTIMOS[[#This Row],[Placa Tracto]]="","",MARÍTIMOS[[#This Row],[Placa Tracto]]),"")</f>
        <v/>
      </c>
      <c r="K848" s="2" t="str">
        <f>IFERROR(IF(MARÍTIMOS[[#This Row],[Placa Carreta]]="","",MARÍTIMOS[[#This Row],[Placa Carreta]]),"")</f>
        <v/>
      </c>
      <c r="L848" s="44" t="str">
        <f>IFERROR(IF(MARÍTIMOS[[#This Row],[Conductor]]="","",MARÍTIMOS[[#This Row],[Conductor]]),"")</f>
        <v/>
      </c>
      <c r="M848" s="2" t="str">
        <f>IFERROR(IF(MARÍTIMOS[[#This Row],[Licencia]]="","",MARÍTIMOS[[#This Row],[Licencia]]),"")</f>
        <v/>
      </c>
      <c r="N848" s="2" t="str">
        <f>IFERROR(IF(MARÍTIMOS[[#This Row],[Número de Contacto]]="","",MARÍTIMOS[[#This Row],[Número de Contacto]]),"")</f>
        <v/>
      </c>
      <c r="O848" s="10" t="str">
        <f>IFERROR(IF(MARÍTIMOS[[#This Row],[Booking|AWB|CRT]]="","",MARÍTIMOS[[#This Row],[Booking|AWB|CRT]]),"")</f>
        <v/>
      </c>
      <c r="P848" s="2" t="str">
        <f>IFERROR(IF(MARÍTIMOS[[#This Row],[Contenedor]]="","",MARÍTIMOS[[#This Row],[Contenedor]]),"")</f>
        <v/>
      </c>
      <c r="Q848" s="2" t="str">
        <f>IFERROR(IF(MARÍTIMOS[[#This Row],[Puerto de Retiro]]="","",MARÍTIMOS[[#This Row],[Puerto de Retiro]]),"")</f>
        <v/>
      </c>
      <c r="R848" s="2" t="str">
        <f>IFERROR(IF(MARÍTIMOS[[#This Row],[Almacén de Retiro]]="","",MARÍTIMOS[[#This Row],[Almacén de Retiro]]),"")</f>
        <v/>
      </c>
      <c r="S848" s="11" t="str">
        <f>IFERROR(IF(MARÍTIMOS[[#This Row],[Etapa Retiro - Cita]]="","",MARÍTIMOS[[#This Row],[Etapa Retiro - Cita]]),"")</f>
        <v/>
      </c>
      <c r="T848" s="11" t="str">
        <f>IFERROR(IF(MARÍTIMOS[[#This Row],[Etapa Retiro - Llegada]]="","",MARÍTIMOS[[#This Row],[Etapa Retiro - Llegada]]),"")</f>
        <v/>
      </c>
      <c r="U848" s="11" t="str">
        <f>IFERROR(IF(MARÍTIMOS[[#This Row],[Etapa Retiro - Ingreso]]="","",MARÍTIMOS[[#This Row],[Etapa Retiro - Ingreso]]),"")</f>
        <v/>
      </c>
      <c r="V848" s="11" t="str">
        <f>IFERROR(IF(MARÍTIMOS[[#This Row],[Etapa Retiro - Atención]]="","",MARÍTIMOS[[#This Row],[Etapa Retiro - Atención]]),"")</f>
        <v/>
      </c>
      <c r="W848" s="11" t="str">
        <f>IFERROR(IF(MARÍTIMOS[[#This Row],[Etapa Retiro - Atención]]="","",MARÍTIMOS[[#This Row],[Etapa Retiro - Atención]]),"")</f>
        <v/>
      </c>
      <c r="X848" s="11" t="str">
        <f>IFERROR(IF(MARÍTIMOS[[#This Row],[Etapa Retiro - Inicio de Ruta]]="","",MARÍTIMOS[[#This Row],[Etapa Retiro - Inicio de Ruta]]),"")</f>
        <v/>
      </c>
      <c r="Y848" s="11" t="str">
        <f>IFERROR(IF(MARÍTIMOS[[#This Row],[Hora de Posicionamiento]]="","",MARÍTIMOS[[#This Row],[Fecha de Carga]]+MARÍTIMOS[[#This Row],[Hora de Posicionamiento]]),"")</f>
        <v/>
      </c>
      <c r="Z848" s="11" t="str">
        <f>IFERROR(IF(MARÍTIMOS[[#This Row],[Etapa Despacho - Llegada]]="","",MARÍTIMOS[[#This Row],[Etapa Despacho - Llegada]]),"")</f>
        <v/>
      </c>
      <c r="AA848" s="11" t="str">
        <f>IFERROR(IF(MARÍTIMOS[[#This Row],[Etapa Despacho - Registro]]="","",MARÍTIMOS[[#This Row],[Etapa Despacho - Registro]]),"")</f>
        <v/>
      </c>
      <c r="AB848" s="11" t="str">
        <f>IFERROR(IF(MARÍTIMOS[[#This Row],[Inspección Externa]]="","",MARÍTIMOS[[#This Row],[Inspección Externa]]),"")</f>
        <v/>
      </c>
      <c r="AC848" s="11" t="str">
        <f>IFERROR(IF(MARÍTIMOS[[#This Row],[Etapa Despacho - Inicio de Carga]]="","",MARÍTIMOS[[#This Row],[Etapa Despacho - Inicio de Carga]]),"")</f>
        <v/>
      </c>
      <c r="AD848" s="11" t="str">
        <f>IFERROR(IF(MARÍTIMOS[[#This Row],[Etapa Despacho - Mitad de Carga]]="","",MARÍTIMOS[[#This Row],[Etapa Despacho - Mitad de Carga]]),"")</f>
        <v/>
      </c>
      <c r="AE848" s="11" t="str">
        <f>IFERROR(IF(MARÍTIMOS[[#This Row],[Etapa Despacho - Fin de Carga]]="","",MARÍTIMOS[[#This Row],[Etapa Despacho - Fin de Carga]]),"")</f>
        <v/>
      </c>
      <c r="AF848" s="2" t="str">
        <f>IFERROR(IF(MARÍTIMOS[[#This Row],[Puerto de Embarque]]="","",MARÍTIMOS[[#This Row],[Puerto de Embarque]]),"")</f>
        <v/>
      </c>
      <c r="AG848" s="2" t="str">
        <f>IFERROR(IF(MARÍTIMOS[[#This Row],[Almacén de Ingreso]]="","",MARÍTIMOS[[#This Row],[Almacén de Ingreso]]),"")</f>
        <v/>
      </c>
      <c r="AH848" s="11" t="str">
        <f>IFERROR(IF(MARÍTIMOS[[#This Row],[Etapa Ingreso - Cita]]="","",MARÍTIMOS[[#This Row],[Etapa Ingreso - Cita]]),"")</f>
        <v/>
      </c>
      <c r="AI848" s="11" t="str">
        <f>IFERROR(IF(MARÍTIMOS[[#This Row],[Etapa Ingreso - Llegada]]="","",MARÍTIMOS[[#This Row],[Etapa Ingreso - Llegada]]),"")</f>
        <v/>
      </c>
      <c r="AJ848" s="11" t="str">
        <f>IFERROR(IF(MARÍTIMOS[[#This Row],[Etapa Ingreso - Ingeso]]="","",MARÍTIMOS[[#This Row],[Etapa Ingreso - Ingeso]]),"")</f>
        <v/>
      </c>
      <c r="AK848" s="11" t="str">
        <f>IFERROR(IF(MARÍTIMOS[[#This Row],[Etapa Ingreso - Atención]]="","",MARÍTIMOS[[#This Row],[Etapa Ingreso - Atención]]),"")</f>
        <v/>
      </c>
      <c r="AL848" s="11" t="str">
        <f>IFERROR(IF(MARÍTIMOS[[#This Row],[Etapa Ingreso - Salida]]="","",MARÍTIMOS[[#This Row],[Etapa Ingreso - Salida]]),"")</f>
        <v/>
      </c>
      <c r="AM848" s="2" t="str">
        <f>IFERROR(IF(MARÍTIMOS[[#This Row],[FCL]]="","",MARÍTIMOS[[#This Row],[FCL]]),"")</f>
        <v/>
      </c>
      <c r="AN8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8" s="4" t="str" cm="1">
        <f t="array" ref="AO8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8" s="5" t="str">
        <f>IFERROR(OLDBD[[#This Row],[Llegada a packing]]-OLDBD[[#This Row],[Inicio de Ruta]],"")</f>
        <v/>
      </c>
      <c r="AQ848" s="6" t="str">
        <f>IFERROR(OLDBD[[#This Row],[Inicio de Ruta]]-OLDBD[[#This Row],[Salida de almacén de retiro]],"")</f>
        <v/>
      </c>
      <c r="AR8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8" s="8" t="str" cm="1">
        <f t="array" ref="AS8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8" s="9" t="str">
        <f>IFERROR(OLDBD[[#This Row],[Ingreso Packing]]-OLDBD[[#This Row],[Registro en Packing]],"")</f>
        <v/>
      </c>
      <c r="AV848" s="9" t="str">
        <f>IFERROR(OLDBD[[#This Row],[Ingreso Packing]]-OLDBD[[#This Row],[Llegada a packing]],"")</f>
        <v/>
      </c>
      <c r="AW8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8" s="5" t="str">
        <f>IFERROR(OLDBD[[#This Row],[Llegada Almacén de Ingreso]]-OLDBD[[#This Row],[Salida Packing]],"")</f>
        <v/>
      </c>
      <c r="AY848" s="4" t="str" cm="1">
        <f t="array" ref="AY8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8" s="43" t="s">
        <v>173</v>
      </c>
      <c r="BB848" s="47" t="str">
        <f>IFERROR(IF(MARÍTIMOS[[#This Row],[Estatus]]="","",MARÍTIMOS[[#This Row],[Estatus]]),"")</f>
        <v/>
      </c>
      <c r="BC848" s="43"/>
      <c r="BD848" s="46" t="str">
        <f>IFERROR(OLDBD[[#This Row],[Salida de almacén de retiro]]-OLDBD[[#This Row],[Ingreso Almacén de retiro]],"")</f>
        <v/>
      </c>
      <c r="BE848" s="46" t="str">
        <f>IFERROR(OLDBD[[#This Row],[Fin de Carga]]-OLDBD[[#This Row],[Inicio de Carga]],"")</f>
        <v/>
      </c>
    </row>
    <row r="849" spans="1:57" customFormat="1" hidden="1">
      <c r="A849" s="1"/>
      <c r="B849" s="1" t="str">
        <f>IFERROR(IF(MARÍTIMOS[[#This Row],[PP]]="","",MARÍTIMOS[[#This Row],[PP]]),"")</f>
        <v/>
      </c>
      <c r="C849" s="1" t="str">
        <f>IFERROR(IF(MARÍTIMOS[[#This Row],[Sede]]="","",MARÍTIMOS[[#This Row],[Sede]]),"")</f>
        <v/>
      </c>
      <c r="D849" s="1" t="str">
        <f>IFERROR(IF(MARÍTIMOS[[#This Row],[Instruction]]="","",MARÍTIMOS[[#This Row],[Instruction]]),"")</f>
        <v/>
      </c>
      <c r="E849" s="1"/>
      <c r="F849" s="2" t="str">
        <f>IFERROR(IF(MARÍTIMOS[[#This Row],[Transportista]]="","",MARÍTIMOS[[#This Row],[Transportista]]),"")</f>
        <v/>
      </c>
      <c r="G849" s="2" t="str">
        <f>IFERROR(IF(MARÍTIMOS[[#This Row],[Tercero]]="","",MARÍTIMOS[[#This Row],[Tercero]]),"")</f>
        <v/>
      </c>
      <c r="H849" s="2" t="str">
        <f>IFERROR(IF(MARÍTIMOS[[#This Row],[Razón Social]]="","",MARÍTIMOS[[#This Row],[Razón Social]]),"")</f>
        <v/>
      </c>
      <c r="I849" s="2" t="str">
        <f>IFERROR(IF(MARÍTIMOS[[#This Row],[RUC]]="","",MARÍTIMOS[[#This Row],[RUC]]),"")</f>
        <v/>
      </c>
      <c r="J849" s="2" t="str">
        <f>IFERROR(IF(MARÍTIMOS[[#This Row],[Placa Tracto]]="","",MARÍTIMOS[[#This Row],[Placa Tracto]]),"")</f>
        <v/>
      </c>
      <c r="K849" s="2" t="str">
        <f>IFERROR(IF(MARÍTIMOS[[#This Row],[Placa Carreta]]="","",MARÍTIMOS[[#This Row],[Placa Carreta]]),"")</f>
        <v/>
      </c>
      <c r="L849" s="44" t="str">
        <f>IFERROR(IF(MARÍTIMOS[[#This Row],[Conductor]]="","",MARÍTIMOS[[#This Row],[Conductor]]),"")</f>
        <v/>
      </c>
      <c r="M849" s="2" t="str">
        <f>IFERROR(IF(MARÍTIMOS[[#This Row],[Licencia]]="","",MARÍTIMOS[[#This Row],[Licencia]]),"")</f>
        <v/>
      </c>
      <c r="N849" s="2" t="str">
        <f>IFERROR(IF(MARÍTIMOS[[#This Row],[Número de Contacto]]="","",MARÍTIMOS[[#This Row],[Número de Contacto]]),"")</f>
        <v/>
      </c>
      <c r="O849" s="10" t="str">
        <f>IFERROR(IF(MARÍTIMOS[[#This Row],[Booking|AWB|CRT]]="","",MARÍTIMOS[[#This Row],[Booking|AWB|CRT]]),"")</f>
        <v/>
      </c>
      <c r="P849" s="2" t="str">
        <f>IFERROR(IF(MARÍTIMOS[[#This Row],[Contenedor]]="","",MARÍTIMOS[[#This Row],[Contenedor]]),"")</f>
        <v/>
      </c>
      <c r="Q849" s="2" t="str">
        <f>IFERROR(IF(MARÍTIMOS[[#This Row],[Puerto de Retiro]]="","",MARÍTIMOS[[#This Row],[Puerto de Retiro]]),"")</f>
        <v/>
      </c>
      <c r="R849" s="2" t="str">
        <f>IFERROR(IF(MARÍTIMOS[[#This Row],[Almacén de Retiro]]="","",MARÍTIMOS[[#This Row],[Almacén de Retiro]]),"")</f>
        <v/>
      </c>
      <c r="S849" s="11" t="str">
        <f>IFERROR(IF(MARÍTIMOS[[#This Row],[Etapa Retiro - Cita]]="","",MARÍTIMOS[[#This Row],[Etapa Retiro - Cita]]),"")</f>
        <v/>
      </c>
      <c r="T849" s="11" t="str">
        <f>IFERROR(IF(MARÍTIMOS[[#This Row],[Etapa Retiro - Llegada]]="","",MARÍTIMOS[[#This Row],[Etapa Retiro - Llegada]]),"")</f>
        <v/>
      </c>
      <c r="U849" s="11" t="str">
        <f>IFERROR(IF(MARÍTIMOS[[#This Row],[Etapa Retiro - Ingreso]]="","",MARÍTIMOS[[#This Row],[Etapa Retiro - Ingreso]]),"")</f>
        <v/>
      </c>
      <c r="V849" s="11" t="str">
        <f>IFERROR(IF(MARÍTIMOS[[#This Row],[Etapa Retiro - Atención]]="","",MARÍTIMOS[[#This Row],[Etapa Retiro - Atención]]),"")</f>
        <v/>
      </c>
      <c r="W849" s="11" t="str">
        <f>IFERROR(IF(MARÍTIMOS[[#This Row],[Etapa Retiro - Atención]]="","",MARÍTIMOS[[#This Row],[Etapa Retiro - Atención]]),"")</f>
        <v/>
      </c>
      <c r="X849" s="11" t="str">
        <f>IFERROR(IF(MARÍTIMOS[[#This Row],[Etapa Retiro - Inicio de Ruta]]="","",MARÍTIMOS[[#This Row],[Etapa Retiro - Inicio de Ruta]]),"")</f>
        <v/>
      </c>
      <c r="Y849" s="11" t="str">
        <f>IFERROR(IF(MARÍTIMOS[[#This Row],[Hora de Posicionamiento]]="","",MARÍTIMOS[[#This Row],[Fecha de Carga]]+MARÍTIMOS[[#This Row],[Hora de Posicionamiento]]),"")</f>
        <v/>
      </c>
      <c r="Z849" s="11" t="str">
        <f>IFERROR(IF(MARÍTIMOS[[#This Row],[Etapa Despacho - Llegada]]="","",MARÍTIMOS[[#This Row],[Etapa Despacho - Llegada]]),"")</f>
        <v/>
      </c>
      <c r="AA849" s="11" t="str">
        <f>IFERROR(IF(MARÍTIMOS[[#This Row],[Etapa Despacho - Registro]]="","",MARÍTIMOS[[#This Row],[Etapa Despacho - Registro]]),"")</f>
        <v/>
      </c>
      <c r="AB849" s="11" t="str">
        <f>IFERROR(IF(MARÍTIMOS[[#This Row],[Inspección Externa]]="","",MARÍTIMOS[[#This Row],[Inspección Externa]]),"")</f>
        <v/>
      </c>
      <c r="AC849" s="11" t="str">
        <f>IFERROR(IF(MARÍTIMOS[[#This Row],[Etapa Despacho - Inicio de Carga]]="","",MARÍTIMOS[[#This Row],[Etapa Despacho - Inicio de Carga]]),"")</f>
        <v/>
      </c>
      <c r="AD849" s="11" t="str">
        <f>IFERROR(IF(MARÍTIMOS[[#This Row],[Etapa Despacho - Mitad de Carga]]="","",MARÍTIMOS[[#This Row],[Etapa Despacho - Mitad de Carga]]),"")</f>
        <v/>
      </c>
      <c r="AE849" s="11" t="str">
        <f>IFERROR(IF(MARÍTIMOS[[#This Row],[Etapa Despacho - Fin de Carga]]="","",MARÍTIMOS[[#This Row],[Etapa Despacho - Fin de Carga]]),"")</f>
        <v/>
      </c>
      <c r="AF849" s="2" t="str">
        <f>IFERROR(IF(MARÍTIMOS[[#This Row],[Puerto de Embarque]]="","",MARÍTIMOS[[#This Row],[Puerto de Embarque]]),"")</f>
        <v/>
      </c>
      <c r="AG849" s="2" t="str">
        <f>IFERROR(IF(MARÍTIMOS[[#This Row],[Almacén de Ingreso]]="","",MARÍTIMOS[[#This Row],[Almacén de Ingreso]]),"")</f>
        <v/>
      </c>
      <c r="AH849" s="11" t="str">
        <f>IFERROR(IF(MARÍTIMOS[[#This Row],[Etapa Ingreso - Cita]]="","",MARÍTIMOS[[#This Row],[Etapa Ingreso - Cita]]),"")</f>
        <v/>
      </c>
      <c r="AI849" s="11" t="str">
        <f>IFERROR(IF(MARÍTIMOS[[#This Row],[Etapa Ingreso - Llegada]]="","",MARÍTIMOS[[#This Row],[Etapa Ingreso - Llegada]]),"")</f>
        <v/>
      </c>
      <c r="AJ849" s="11" t="str">
        <f>IFERROR(IF(MARÍTIMOS[[#This Row],[Etapa Ingreso - Ingeso]]="","",MARÍTIMOS[[#This Row],[Etapa Ingreso - Ingeso]]),"")</f>
        <v/>
      </c>
      <c r="AK849" s="11" t="str">
        <f>IFERROR(IF(MARÍTIMOS[[#This Row],[Etapa Ingreso - Atención]]="","",MARÍTIMOS[[#This Row],[Etapa Ingreso - Atención]]),"")</f>
        <v/>
      </c>
      <c r="AL849" s="11" t="str">
        <f>IFERROR(IF(MARÍTIMOS[[#This Row],[Etapa Ingreso - Salida]]="","",MARÍTIMOS[[#This Row],[Etapa Ingreso - Salida]]),"")</f>
        <v/>
      </c>
      <c r="AM849" s="2" t="str">
        <f>IFERROR(IF(MARÍTIMOS[[#This Row],[FCL]]="","",MARÍTIMOS[[#This Row],[FCL]]),"")</f>
        <v/>
      </c>
      <c r="AN8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49" s="4" t="str" cm="1">
        <f t="array" ref="AO8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49" s="5" t="str">
        <f>IFERROR(OLDBD[[#This Row],[Llegada a packing]]-OLDBD[[#This Row],[Inicio de Ruta]],"")</f>
        <v/>
      </c>
      <c r="AQ849" s="6" t="str">
        <f>IFERROR(OLDBD[[#This Row],[Inicio de Ruta]]-OLDBD[[#This Row],[Salida de almacén de retiro]],"")</f>
        <v/>
      </c>
      <c r="AR8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49" s="8" t="str" cm="1">
        <f t="array" ref="AS8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49" s="9" t="str">
        <f>IFERROR(OLDBD[[#This Row],[Ingreso Packing]]-OLDBD[[#This Row],[Registro en Packing]],"")</f>
        <v/>
      </c>
      <c r="AV849" s="9" t="str">
        <f>IFERROR(OLDBD[[#This Row],[Ingreso Packing]]-OLDBD[[#This Row],[Llegada a packing]],"")</f>
        <v/>
      </c>
      <c r="AW8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49" s="5" t="str">
        <f>IFERROR(OLDBD[[#This Row],[Llegada Almacén de Ingreso]]-OLDBD[[#This Row],[Salida Packing]],"")</f>
        <v/>
      </c>
      <c r="AY849" s="4" t="str" cm="1">
        <f t="array" ref="AY8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49" s="43" t="s">
        <v>173</v>
      </c>
      <c r="BB849" s="47" t="str">
        <f>IFERROR(IF(MARÍTIMOS[[#This Row],[Estatus]]="","",MARÍTIMOS[[#This Row],[Estatus]]),"")</f>
        <v/>
      </c>
      <c r="BC849" s="43"/>
      <c r="BD849" s="46" t="str">
        <f>IFERROR(OLDBD[[#This Row],[Salida de almacén de retiro]]-OLDBD[[#This Row],[Ingreso Almacén de retiro]],"")</f>
        <v/>
      </c>
      <c r="BE849" s="46" t="str">
        <f>IFERROR(OLDBD[[#This Row],[Fin de Carga]]-OLDBD[[#This Row],[Inicio de Carga]],"")</f>
        <v/>
      </c>
    </row>
    <row r="850" spans="1:57" customFormat="1" hidden="1">
      <c r="A850" s="1"/>
      <c r="B850" s="1" t="str">
        <f>IFERROR(IF(MARÍTIMOS[[#This Row],[PP]]="","",MARÍTIMOS[[#This Row],[PP]]),"")</f>
        <v/>
      </c>
      <c r="C850" s="1" t="str">
        <f>IFERROR(IF(MARÍTIMOS[[#This Row],[Sede]]="","",MARÍTIMOS[[#This Row],[Sede]]),"")</f>
        <v/>
      </c>
      <c r="D850" s="1" t="str">
        <f>IFERROR(IF(MARÍTIMOS[[#This Row],[Instruction]]="","",MARÍTIMOS[[#This Row],[Instruction]]),"")</f>
        <v/>
      </c>
      <c r="E850" s="1"/>
      <c r="F850" s="2" t="str">
        <f>IFERROR(IF(MARÍTIMOS[[#This Row],[Transportista]]="","",MARÍTIMOS[[#This Row],[Transportista]]),"")</f>
        <v/>
      </c>
      <c r="G850" s="2" t="str">
        <f>IFERROR(IF(MARÍTIMOS[[#This Row],[Tercero]]="","",MARÍTIMOS[[#This Row],[Tercero]]),"")</f>
        <v/>
      </c>
      <c r="H850" s="2" t="str">
        <f>IFERROR(IF(MARÍTIMOS[[#This Row],[Razón Social]]="","",MARÍTIMOS[[#This Row],[Razón Social]]),"")</f>
        <v/>
      </c>
      <c r="I850" s="2" t="str">
        <f>IFERROR(IF(MARÍTIMOS[[#This Row],[RUC]]="","",MARÍTIMOS[[#This Row],[RUC]]),"")</f>
        <v/>
      </c>
      <c r="J850" s="2" t="str">
        <f>IFERROR(IF(MARÍTIMOS[[#This Row],[Placa Tracto]]="","",MARÍTIMOS[[#This Row],[Placa Tracto]]),"")</f>
        <v/>
      </c>
      <c r="K850" s="2" t="str">
        <f>IFERROR(IF(MARÍTIMOS[[#This Row],[Placa Carreta]]="","",MARÍTIMOS[[#This Row],[Placa Carreta]]),"")</f>
        <v/>
      </c>
      <c r="L850" s="44" t="str">
        <f>IFERROR(IF(MARÍTIMOS[[#This Row],[Conductor]]="","",MARÍTIMOS[[#This Row],[Conductor]]),"")</f>
        <v/>
      </c>
      <c r="M850" s="2" t="str">
        <f>IFERROR(IF(MARÍTIMOS[[#This Row],[Licencia]]="","",MARÍTIMOS[[#This Row],[Licencia]]),"")</f>
        <v/>
      </c>
      <c r="N850" s="2" t="str">
        <f>IFERROR(IF(MARÍTIMOS[[#This Row],[Número de Contacto]]="","",MARÍTIMOS[[#This Row],[Número de Contacto]]),"")</f>
        <v/>
      </c>
      <c r="O850" s="10" t="str">
        <f>IFERROR(IF(MARÍTIMOS[[#This Row],[Booking|AWB|CRT]]="","",MARÍTIMOS[[#This Row],[Booking|AWB|CRT]]),"")</f>
        <v/>
      </c>
      <c r="P850" s="2" t="str">
        <f>IFERROR(IF(MARÍTIMOS[[#This Row],[Contenedor]]="","",MARÍTIMOS[[#This Row],[Contenedor]]),"")</f>
        <v/>
      </c>
      <c r="Q850" s="2" t="str">
        <f>IFERROR(IF(MARÍTIMOS[[#This Row],[Puerto de Retiro]]="","",MARÍTIMOS[[#This Row],[Puerto de Retiro]]),"")</f>
        <v/>
      </c>
      <c r="R850" s="2" t="str">
        <f>IFERROR(IF(MARÍTIMOS[[#This Row],[Almacén de Retiro]]="","",MARÍTIMOS[[#This Row],[Almacén de Retiro]]),"")</f>
        <v/>
      </c>
      <c r="S850" s="11" t="str">
        <f>IFERROR(IF(MARÍTIMOS[[#This Row],[Etapa Retiro - Cita]]="","",MARÍTIMOS[[#This Row],[Etapa Retiro - Cita]]),"")</f>
        <v/>
      </c>
      <c r="T850" s="11" t="str">
        <f>IFERROR(IF(MARÍTIMOS[[#This Row],[Etapa Retiro - Llegada]]="","",MARÍTIMOS[[#This Row],[Etapa Retiro - Llegada]]),"")</f>
        <v/>
      </c>
      <c r="U850" s="11" t="str">
        <f>IFERROR(IF(MARÍTIMOS[[#This Row],[Etapa Retiro - Ingreso]]="","",MARÍTIMOS[[#This Row],[Etapa Retiro - Ingreso]]),"")</f>
        <v/>
      </c>
      <c r="V850" s="11" t="str">
        <f>IFERROR(IF(MARÍTIMOS[[#This Row],[Etapa Retiro - Atención]]="","",MARÍTIMOS[[#This Row],[Etapa Retiro - Atención]]),"")</f>
        <v/>
      </c>
      <c r="W850" s="11" t="str">
        <f>IFERROR(IF(MARÍTIMOS[[#This Row],[Etapa Retiro - Atención]]="","",MARÍTIMOS[[#This Row],[Etapa Retiro - Atención]]),"")</f>
        <v/>
      </c>
      <c r="X850" s="11" t="str">
        <f>IFERROR(IF(MARÍTIMOS[[#This Row],[Etapa Retiro - Inicio de Ruta]]="","",MARÍTIMOS[[#This Row],[Etapa Retiro - Inicio de Ruta]]),"")</f>
        <v/>
      </c>
      <c r="Y850" s="11" t="str">
        <f>IFERROR(IF(MARÍTIMOS[[#This Row],[Hora de Posicionamiento]]="","",MARÍTIMOS[[#This Row],[Fecha de Carga]]+MARÍTIMOS[[#This Row],[Hora de Posicionamiento]]),"")</f>
        <v/>
      </c>
      <c r="Z850" s="11" t="str">
        <f>IFERROR(IF(MARÍTIMOS[[#This Row],[Etapa Despacho - Llegada]]="","",MARÍTIMOS[[#This Row],[Etapa Despacho - Llegada]]),"")</f>
        <v/>
      </c>
      <c r="AA850" s="11" t="str">
        <f>IFERROR(IF(MARÍTIMOS[[#This Row],[Etapa Despacho - Registro]]="","",MARÍTIMOS[[#This Row],[Etapa Despacho - Registro]]),"")</f>
        <v/>
      </c>
      <c r="AB850" s="11" t="str">
        <f>IFERROR(IF(MARÍTIMOS[[#This Row],[Inspección Externa]]="","",MARÍTIMOS[[#This Row],[Inspección Externa]]),"")</f>
        <v/>
      </c>
      <c r="AC850" s="11" t="str">
        <f>IFERROR(IF(MARÍTIMOS[[#This Row],[Etapa Despacho - Inicio de Carga]]="","",MARÍTIMOS[[#This Row],[Etapa Despacho - Inicio de Carga]]),"")</f>
        <v/>
      </c>
      <c r="AD850" s="11" t="str">
        <f>IFERROR(IF(MARÍTIMOS[[#This Row],[Etapa Despacho - Mitad de Carga]]="","",MARÍTIMOS[[#This Row],[Etapa Despacho - Mitad de Carga]]),"")</f>
        <v/>
      </c>
      <c r="AE850" s="11" t="str">
        <f>IFERROR(IF(MARÍTIMOS[[#This Row],[Etapa Despacho - Fin de Carga]]="","",MARÍTIMOS[[#This Row],[Etapa Despacho - Fin de Carga]]),"")</f>
        <v/>
      </c>
      <c r="AF850" s="2" t="str">
        <f>IFERROR(IF(MARÍTIMOS[[#This Row],[Puerto de Embarque]]="","",MARÍTIMOS[[#This Row],[Puerto de Embarque]]),"")</f>
        <v/>
      </c>
      <c r="AG850" s="2" t="str">
        <f>IFERROR(IF(MARÍTIMOS[[#This Row],[Almacén de Ingreso]]="","",MARÍTIMOS[[#This Row],[Almacén de Ingreso]]),"")</f>
        <v/>
      </c>
      <c r="AH850" s="11" t="str">
        <f>IFERROR(IF(MARÍTIMOS[[#This Row],[Etapa Ingreso - Cita]]="","",MARÍTIMOS[[#This Row],[Etapa Ingreso - Cita]]),"")</f>
        <v/>
      </c>
      <c r="AI850" s="11" t="str">
        <f>IFERROR(IF(MARÍTIMOS[[#This Row],[Etapa Ingreso - Llegada]]="","",MARÍTIMOS[[#This Row],[Etapa Ingreso - Llegada]]),"")</f>
        <v/>
      </c>
      <c r="AJ850" s="11" t="str">
        <f>IFERROR(IF(MARÍTIMOS[[#This Row],[Etapa Ingreso - Ingeso]]="","",MARÍTIMOS[[#This Row],[Etapa Ingreso - Ingeso]]),"")</f>
        <v/>
      </c>
      <c r="AK850" s="11" t="str">
        <f>IFERROR(IF(MARÍTIMOS[[#This Row],[Etapa Ingreso - Atención]]="","",MARÍTIMOS[[#This Row],[Etapa Ingreso - Atención]]),"")</f>
        <v/>
      </c>
      <c r="AL850" s="11" t="str">
        <f>IFERROR(IF(MARÍTIMOS[[#This Row],[Etapa Ingreso - Salida]]="","",MARÍTIMOS[[#This Row],[Etapa Ingreso - Salida]]),"")</f>
        <v/>
      </c>
      <c r="AM850" s="2" t="str">
        <f>IFERROR(IF(MARÍTIMOS[[#This Row],[FCL]]="","",MARÍTIMOS[[#This Row],[FCL]]),"")</f>
        <v/>
      </c>
      <c r="AN8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0" s="4" t="str" cm="1">
        <f t="array" ref="AO8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0" s="5" t="str">
        <f>IFERROR(OLDBD[[#This Row],[Llegada a packing]]-OLDBD[[#This Row],[Inicio de Ruta]],"")</f>
        <v/>
      </c>
      <c r="AQ850" s="6" t="str">
        <f>IFERROR(OLDBD[[#This Row],[Inicio de Ruta]]-OLDBD[[#This Row],[Salida de almacén de retiro]],"")</f>
        <v/>
      </c>
      <c r="AR8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0" s="8" t="str" cm="1">
        <f t="array" ref="AS8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0" s="9" t="str">
        <f>IFERROR(OLDBD[[#This Row],[Ingreso Packing]]-OLDBD[[#This Row],[Registro en Packing]],"")</f>
        <v/>
      </c>
      <c r="AV850" s="9" t="str">
        <f>IFERROR(OLDBD[[#This Row],[Ingreso Packing]]-OLDBD[[#This Row],[Llegada a packing]],"")</f>
        <v/>
      </c>
      <c r="AW8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0" s="5" t="str">
        <f>IFERROR(OLDBD[[#This Row],[Llegada Almacén de Ingreso]]-OLDBD[[#This Row],[Salida Packing]],"")</f>
        <v/>
      </c>
      <c r="AY850" s="4" t="str" cm="1">
        <f t="array" ref="AY8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0" s="43" t="s">
        <v>173</v>
      </c>
      <c r="BB850" s="47" t="str">
        <f>IFERROR(IF(MARÍTIMOS[[#This Row],[Estatus]]="","",MARÍTIMOS[[#This Row],[Estatus]]),"")</f>
        <v/>
      </c>
      <c r="BC850" s="43"/>
      <c r="BD850" s="46" t="str">
        <f>IFERROR(OLDBD[[#This Row],[Salida de almacén de retiro]]-OLDBD[[#This Row],[Ingreso Almacén de retiro]],"")</f>
        <v/>
      </c>
      <c r="BE850" s="46" t="str">
        <f>IFERROR(OLDBD[[#This Row],[Fin de Carga]]-OLDBD[[#This Row],[Inicio de Carga]],"")</f>
        <v/>
      </c>
    </row>
    <row r="851" spans="1:57" customFormat="1" hidden="1">
      <c r="A851" s="1"/>
      <c r="B851" s="1" t="str">
        <f>IFERROR(IF(MARÍTIMOS[[#This Row],[PP]]="","",MARÍTIMOS[[#This Row],[PP]]),"")</f>
        <v/>
      </c>
      <c r="C851" s="1" t="str">
        <f>IFERROR(IF(MARÍTIMOS[[#This Row],[Sede]]="","",MARÍTIMOS[[#This Row],[Sede]]),"")</f>
        <v/>
      </c>
      <c r="D851" s="1" t="str">
        <f>IFERROR(IF(MARÍTIMOS[[#This Row],[Instruction]]="","",MARÍTIMOS[[#This Row],[Instruction]]),"")</f>
        <v/>
      </c>
      <c r="E851" s="1"/>
      <c r="F851" s="2" t="str">
        <f>IFERROR(IF(MARÍTIMOS[[#This Row],[Transportista]]="","",MARÍTIMOS[[#This Row],[Transportista]]),"")</f>
        <v/>
      </c>
      <c r="G851" s="2" t="str">
        <f>IFERROR(IF(MARÍTIMOS[[#This Row],[Tercero]]="","",MARÍTIMOS[[#This Row],[Tercero]]),"")</f>
        <v/>
      </c>
      <c r="H851" s="2" t="str">
        <f>IFERROR(IF(MARÍTIMOS[[#This Row],[Razón Social]]="","",MARÍTIMOS[[#This Row],[Razón Social]]),"")</f>
        <v/>
      </c>
      <c r="I851" s="2" t="str">
        <f>IFERROR(IF(MARÍTIMOS[[#This Row],[RUC]]="","",MARÍTIMOS[[#This Row],[RUC]]),"")</f>
        <v/>
      </c>
      <c r="J851" s="2" t="str">
        <f>IFERROR(IF(MARÍTIMOS[[#This Row],[Placa Tracto]]="","",MARÍTIMOS[[#This Row],[Placa Tracto]]),"")</f>
        <v/>
      </c>
      <c r="K851" s="2" t="str">
        <f>IFERROR(IF(MARÍTIMOS[[#This Row],[Placa Carreta]]="","",MARÍTIMOS[[#This Row],[Placa Carreta]]),"")</f>
        <v/>
      </c>
      <c r="L851" s="44" t="str">
        <f>IFERROR(IF(MARÍTIMOS[[#This Row],[Conductor]]="","",MARÍTIMOS[[#This Row],[Conductor]]),"")</f>
        <v/>
      </c>
      <c r="M851" s="2" t="str">
        <f>IFERROR(IF(MARÍTIMOS[[#This Row],[Licencia]]="","",MARÍTIMOS[[#This Row],[Licencia]]),"")</f>
        <v/>
      </c>
      <c r="N851" s="2" t="str">
        <f>IFERROR(IF(MARÍTIMOS[[#This Row],[Número de Contacto]]="","",MARÍTIMOS[[#This Row],[Número de Contacto]]),"")</f>
        <v/>
      </c>
      <c r="O851" s="10" t="str">
        <f>IFERROR(IF(MARÍTIMOS[[#This Row],[Booking|AWB|CRT]]="","",MARÍTIMOS[[#This Row],[Booking|AWB|CRT]]),"")</f>
        <v/>
      </c>
      <c r="P851" s="2" t="str">
        <f>IFERROR(IF(MARÍTIMOS[[#This Row],[Contenedor]]="","",MARÍTIMOS[[#This Row],[Contenedor]]),"")</f>
        <v/>
      </c>
      <c r="Q851" s="2" t="str">
        <f>IFERROR(IF(MARÍTIMOS[[#This Row],[Puerto de Retiro]]="","",MARÍTIMOS[[#This Row],[Puerto de Retiro]]),"")</f>
        <v/>
      </c>
      <c r="R851" s="2" t="str">
        <f>IFERROR(IF(MARÍTIMOS[[#This Row],[Almacén de Retiro]]="","",MARÍTIMOS[[#This Row],[Almacén de Retiro]]),"")</f>
        <v/>
      </c>
      <c r="S851" s="11" t="str">
        <f>IFERROR(IF(MARÍTIMOS[[#This Row],[Etapa Retiro - Cita]]="","",MARÍTIMOS[[#This Row],[Etapa Retiro - Cita]]),"")</f>
        <v/>
      </c>
      <c r="T851" s="11" t="str">
        <f>IFERROR(IF(MARÍTIMOS[[#This Row],[Etapa Retiro - Llegada]]="","",MARÍTIMOS[[#This Row],[Etapa Retiro - Llegada]]),"")</f>
        <v/>
      </c>
      <c r="U851" s="11" t="str">
        <f>IFERROR(IF(MARÍTIMOS[[#This Row],[Etapa Retiro - Ingreso]]="","",MARÍTIMOS[[#This Row],[Etapa Retiro - Ingreso]]),"")</f>
        <v/>
      </c>
      <c r="V851" s="11" t="str">
        <f>IFERROR(IF(MARÍTIMOS[[#This Row],[Etapa Retiro - Atención]]="","",MARÍTIMOS[[#This Row],[Etapa Retiro - Atención]]),"")</f>
        <v/>
      </c>
      <c r="W851" s="11" t="str">
        <f>IFERROR(IF(MARÍTIMOS[[#This Row],[Etapa Retiro - Atención]]="","",MARÍTIMOS[[#This Row],[Etapa Retiro - Atención]]),"")</f>
        <v/>
      </c>
      <c r="X851" s="11" t="str">
        <f>IFERROR(IF(MARÍTIMOS[[#This Row],[Etapa Retiro - Inicio de Ruta]]="","",MARÍTIMOS[[#This Row],[Etapa Retiro - Inicio de Ruta]]),"")</f>
        <v/>
      </c>
      <c r="Y851" s="11" t="str">
        <f>IFERROR(IF(MARÍTIMOS[[#This Row],[Hora de Posicionamiento]]="","",MARÍTIMOS[[#This Row],[Fecha de Carga]]+MARÍTIMOS[[#This Row],[Hora de Posicionamiento]]),"")</f>
        <v/>
      </c>
      <c r="Z851" s="11" t="str">
        <f>IFERROR(IF(MARÍTIMOS[[#This Row],[Etapa Despacho - Llegada]]="","",MARÍTIMOS[[#This Row],[Etapa Despacho - Llegada]]),"")</f>
        <v/>
      </c>
      <c r="AA851" s="11" t="str">
        <f>IFERROR(IF(MARÍTIMOS[[#This Row],[Etapa Despacho - Registro]]="","",MARÍTIMOS[[#This Row],[Etapa Despacho - Registro]]),"")</f>
        <v/>
      </c>
      <c r="AB851" s="11" t="str">
        <f>IFERROR(IF(MARÍTIMOS[[#This Row],[Inspección Externa]]="","",MARÍTIMOS[[#This Row],[Inspección Externa]]),"")</f>
        <v/>
      </c>
      <c r="AC851" s="11" t="str">
        <f>IFERROR(IF(MARÍTIMOS[[#This Row],[Etapa Despacho - Inicio de Carga]]="","",MARÍTIMOS[[#This Row],[Etapa Despacho - Inicio de Carga]]),"")</f>
        <v/>
      </c>
      <c r="AD851" s="11" t="str">
        <f>IFERROR(IF(MARÍTIMOS[[#This Row],[Etapa Despacho - Mitad de Carga]]="","",MARÍTIMOS[[#This Row],[Etapa Despacho - Mitad de Carga]]),"")</f>
        <v/>
      </c>
      <c r="AE851" s="11" t="str">
        <f>IFERROR(IF(MARÍTIMOS[[#This Row],[Etapa Despacho - Fin de Carga]]="","",MARÍTIMOS[[#This Row],[Etapa Despacho - Fin de Carga]]),"")</f>
        <v/>
      </c>
      <c r="AF851" s="2" t="str">
        <f>IFERROR(IF(MARÍTIMOS[[#This Row],[Puerto de Embarque]]="","",MARÍTIMOS[[#This Row],[Puerto de Embarque]]),"")</f>
        <v/>
      </c>
      <c r="AG851" s="2" t="str">
        <f>IFERROR(IF(MARÍTIMOS[[#This Row],[Almacén de Ingreso]]="","",MARÍTIMOS[[#This Row],[Almacén de Ingreso]]),"")</f>
        <v/>
      </c>
      <c r="AH851" s="11" t="str">
        <f>IFERROR(IF(MARÍTIMOS[[#This Row],[Etapa Ingreso - Cita]]="","",MARÍTIMOS[[#This Row],[Etapa Ingreso - Cita]]),"")</f>
        <v/>
      </c>
      <c r="AI851" s="11" t="str">
        <f>IFERROR(IF(MARÍTIMOS[[#This Row],[Etapa Ingreso - Llegada]]="","",MARÍTIMOS[[#This Row],[Etapa Ingreso - Llegada]]),"")</f>
        <v/>
      </c>
      <c r="AJ851" s="11" t="str">
        <f>IFERROR(IF(MARÍTIMOS[[#This Row],[Etapa Ingreso - Ingeso]]="","",MARÍTIMOS[[#This Row],[Etapa Ingreso - Ingeso]]),"")</f>
        <v/>
      </c>
      <c r="AK851" s="11" t="str">
        <f>IFERROR(IF(MARÍTIMOS[[#This Row],[Etapa Ingreso - Atención]]="","",MARÍTIMOS[[#This Row],[Etapa Ingreso - Atención]]),"")</f>
        <v/>
      </c>
      <c r="AL851" s="11" t="str">
        <f>IFERROR(IF(MARÍTIMOS[[#This Row],[Etapa Ingreso - Salida]]="","",MARÍTIMOS[[#This Row],[Etapa Ingreso - Salida]]),"")</f>
        <v/>
      </c>
      <c r="AM851" s="2" t="str">
        <f>IFERROR(IF(MARÍTIMOS[[#This Row],[FCL]]="","",MARÍTIMOS[[#This Row],[FCL]]),"")</f>
        <v/>
      </c>
      <c r="AN8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1" s="4" t="str" cm="1">
        <f t="array" ref="AO8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1" s="5" t="str">
        <f>IFERROR(OLDBD[[#This Row],[Llegada a packing]]-OLDBD[[#This Row],[Inicio de Ruta]],"")</f>
        <v/>
      </c>
      <c r="AQ851" s="6" t="str">
        <f>IFERROR(OLDBD[[#This Row],[Inicio de Ruta]]-OLDBD[[#This Row],[Salida de almacén de retiro]],"")</f>
        <v/>
      </c>
      <c r="AR8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1" s="8" t="str" cm="1">
        <f t="array" ref="AS8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1" s="9" t="str">
        <f>IFERROR(OLDBD[[#This Row],[Ingreso Packing]]-OLDBD[[#This Row],[Registro en Packing]],"")</f>
        <v/>
      </c>
      <c r="AV851" s="9" t="str">
        <f>IFERROR(OLDBD[[#This Row],[Ingreso Packing]]-OLDBD[[#This Row],[Llegada a packing]],"")</f>
        <v/>
      </c>
      <c r="AW8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1" s="5" t="str">
        <f>IFERROR(OLDBD[[#This Row],[Llegada Almacén de Ingreso]]-OLDBD[[#This Row],[Salida Packing]],"")</f>
        <v/>
      </c>
      <c r="AY851" s="4" t="str" cm="1">
        <f t="array" ref="AY8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1" s="43" t="s">
        <v>173</v>
      </c>
      <c r="BB851" s="47" t="str">
        <f>IFERROR(IF(MARÍTIMOS[[#This Row],[Estatus]]="","",MARÍTIMOS[[#This Row],[Estatus]]),"")</f>
        <v/>
      </c>
      <c r="BC851" s="43"/>
      <c r="BD851" s="46" t="str">
        <f>IFERROR(OLDBD[[#This Row],[Salida de almacén de retiro]]-OLDBD[[#This Row],[Ingreso Almacén de retiro]],"")</f>
        <v/>
      </c>
      <c r="BE851" s="46" t="str">
        <f>IFERROR(OLDBD[[#This Row],[Fin de Carga]]-OLDBD[[#This Row],[Inicio de Carga]],"")</f>
        <v/>
      </c>
    </row>
    <row r="852" spans="1:57" customFormat="1" hidden="1">
      <c r="A852" s="1"/>
      <c r="B852" s="1" t="str">
        <f>IFERROR(IF(MARÍTIMOS[[#This Row],[PP]]="","",MARÍTIMOS[[#This Row],[PP]]),"")</f>
        <v/>
      </c>
      <c r="C852" s="1" t="str">
        <f>IFERROR(IF(MARÍTIMOS[[#This Row],[Sede]]="","",MARÍTIMOS[[#This Row],[Sede]]),"")</f>
        <v/>
      </c>
      <c r="D852" s="1" t="str">
        <f>IFERROR(IF(MARÍTIMOS[[#This Row],[Instruction]]="","",MARÍTIMOS[[#This Row],[Instruction]]),"")</f>
        <v/>
      </c>
      <c r="E852" s="1"/>
      <c r="F852" s="2" t="str">
        <f>IFERROR(IF(MARÍTIMOS[[#This Row],[Transportista]]="","",MARÍTIMOS[[#This Row],[Transportista]]),"")</f>
        <v/>
      </c>
      <c r="G852" s="2" t="str">
        <f>IFERROR(IF(MARÍTIMOS[[#This Row],[Tercero]]="","",MARÍTIMOS[[#This Row],[Tercero]]),"")</f>
        <v/>
      </c>
      <c r="H852" s="2" t="str">
        <f>IFERROR(IF(MARÍTIMOS[[#This Row],[Razón Social]]="","",MARÍTIMOS[[#This Row],[Razón Social]]),"")</f>
        <v/>
      </c>
      <c r="I852" s="2" t="str">
        <f>IFERROR(IF(MARÍTIMOS[[#This Row],[RUC]]="","",MARÍTIMOS[[#This Row],[RUC]]),"")</f>
        <v/>
      </c>
      <c r="J852" s="2" t="str">
        <f>IFERROR(IF(MARÍTIMOS[[#This Row],[Placa Tracto]]="","",MARÍTIMOS[[#This Row],[Placa Tracto]]),"")</f>
        <v/>
      </c>
      <c r="K852" s="2" t="str">
        <f>IFERROR(IF(MARÍTIMOS[[#This Row],[Placa Carreta]]="","",MARÍTIMOS[[#This Row],[Placa Carreta]]),"")</f>
        <v/>
      </c>
      <c r="L852" s="44" t="str">
        <f>IFERROR(IF(MARÍTIMOS[[#This Row],[Conductor]]="","",MARÍTIMOS[[#This Row],[Conductor]]),"")</f>
        <v/>
      </c>
      <c r="M852" s="2" t="str">
        <f>IFERROR(IF(MARÍTIMOS[[#This Row],[Licencia]]="","",MARÍTIMOS[[#This Row],[Licencia]]),"")</f>
        <v/>
      </c>
      <c r="N852" s="2" t="str">
        <f>IFERROR(IF(MARÍTIMOS[[#This Row],[Número de Contacto]]="","",MARÍTIMOS[[#This Row],[Número de Contacto]]),"")</f>
        <v/>
      </c>
      <c r="O852" s="10" t="str">
        <f>IFERROR(IF(MARÍTIMOS[[#This Row],[Booking|AWB|CRT]]="","",MARÍTIMOS[[#This Row],[Booking|AWB|CRT]]),"")</f>
        <v/>
      </c>
      <c r="P852" s="2" t="str">
        <f>IFERROR(IF(MARÍTIMOS[[#This Row],[Contenedor]]="","",MARÍTIMOS[[#This Row],[Contenedor]]),"")</f>
        <v/>
      </c>
      <c r="Q852" s="2" t="str">
        <f>IFERROR(IF(MARÍTIMOS[[#This Row],[Puerto de Retiro]]="","",MARÍTIMOS[[#This Row],[Puerto de Retiro]]),"")</f>
        <v/>
      </c>
      <c r="R852" s="2" t="str">
        <f>IFERROR(IF(MARÍTIMOS[[#This Row],[Almacén de Retiro]]="","",MARÍTIMOS[[#This Row],[Almacén de Retiro]]),"")</f>
        <v/>
      </c>
      <c r="S852" s="11" t="str">
        <f>IFERROR(IF(MARÍTIMOS[[#This Row],[Etapa Retiro - Cita]]="","",MARÍTIMOS[[#This Row],[Etapa Retiro - Cita]]),"")</f>
        <v/>
      </c>
      <c r="T852" s="11" t="str">
        <f>IFERROR(IF(MARÍTIMOS[[#This Row],[Etapa Retiro - Llegada]]="","",MARÍTIMOS[[#This Row],[Etapa Retiro - Llegada]]),"")</f>
        <v/>
      </c>
      <c r="U852" s="11" t="str">
        <f>IFERROR(IF(MARÍTIMOS[[#This Row],[Etapa Retiro - Ingreso]]="","",MARÍTIMOS[[#This Row],[Etapa Retiro - Ingreso]]),"")</f>
        <v/>
      </c>
      <c r="V852" s="11" t="str">
        <f>IFERROR(IF(MARÍTIMOS[[#This Row],[Etapa Retiro - Atención]]="","",MARÍTIMOS[[#This Row],[Etapa Retiro - Atención]]),"")</f>
        <v/>
      </c>
      <c r="W852" s="11" t="str">
        <f>IFERROR(IF(MARÍTIMOS[[#This Row],[Etapa Retiro - Atención]]="","",MARÍTIMOS[[#This Row],[Etapa Retiro - Atención]]),"")</f>
        <v/>
      </c>
      <c r="X852" s="11" t="str">
        <f>IFERROR(IF(MARÍTIMOS[[#This Row],[Etapa Retiro - Inicio de Ruta]]="","",MARÍTIMOS[[#This Row],[Etapa Retiro - Inicio de Ruta]]),"")</f>
        <v/>
      </c>
      <c r="Y852" s="11" t="str">
        <f>IFERROR(IF(MARÍTIMOS[[#This Row],[Hora de Posicionamiento]]="","",MARÍTIMOS[[#This Row],[Fecha de Carga]]+MARÍTIMOS[[#This Row],[Hora de Posicionamiento]]),"")</f>
        <v/>
      </c>
      <c r="Z852" s="11" t="str">
        <f>IFERROR(IF(MARÍTIMOS[[#This Row],[Etapa Despacho - Llegada]]="","",MARÍTIMOS[[#This Row],[Etapa Despacho - Llegada]]),"")</f>
        <v/>
      </c>
      <c r="AA852" s="11" t="str">
        <f>IFERROR(IF(MARÍTIMOS[[#This Row],[Etapa Despacho - Registro]]="","",MARÍTIMOS[[#This Row],[Etapa Despacho - Registro]]),"")</f>
        <v/>
      </c>
      <c r="AB852" s="11" t="str">
        <f>IFERROR(IF(MARÍTIMOS[[#This Row],[Inspección Externa]]="","",MARÍTIMOS[[#This Row],[Inspección Externa]]),"")</f>
        <v/>
      </c>
      <c r="AC852" s="11" t="str">
        <f>IFERROR(IF(MARÍTIMOS[[#This Row],[Etapa Despacho - Inicio de Carga]]="","",MARÍTIMOS[[#This Row],[Etapa Despacho - Inicio de Carga]]),"")</f>
        <v/>
      </c>
      <c r="AD852" s="11" t="str">
        <f>IFERROR(IF(MARÍTIMOS[[#This Row],[Etapa Despacho - Mitad de Carga]]="","",MARÍTIMOS[[#This Row],[Etapa Despacho - Mitad de Carga]]),"")</f>
        <v/>
      </c>
      <c r="AE852" s="11" t="str">
        <f>IFERROR(IF(MARÍTIMOS[[#This Row],[Etapa Despacho - Fin de Carga]]="","",MARÍTIMOS[[#This Row],[Etapa Despacho - Fin de Carga]]),"")</f>
        <v/>
      </c>
      <c r="AF852" s="2" t="str">
        <f>IFERROR(IF(MARÍTIMOS[[#This Row],[Puerto de Embarque]]="","",MARÍTIMOS[[#This Row],[Puerto de Embarque]]),"")</f>
        <v/>
      </c>
      <c r="AG852" s="2" t="str">
        <f>IFERROR(IF(MARÍTIMOS[[#This Row],[Almacén de Ingreso]]="","",MARÍTIMOS[[#This Row],[Almacén de Ingreso]]),"")</f>
        <v/>
      </c>
      <c r="AH852" s="11" t="str">
        <f>IFERROR(IF(MARÍTIMOS[[#This Row],[Etapa Ingreso - Cita]]="","",MARÍTIMOS[[#This Row],[Etapa Ingreso - Cita]]),"")</f>
        <v/>
      </c>
      <c r="AI852" s="11" t="str">
        <f>IFERROR(IF(MARÍTIMOS[[#This Row],[Etapa Ingreso - Llegada]]="","",MARÍTIMOS[[#This Row],[Etapa Ingreso - Llegada]]),"")</f>
        <v/>
      </c>
      <c r="AJ852" s="11" t="str">
        <f>IFERROR(IF(MARÍTIMOS[[#This Row],[Etapa Ingreso - Ingeso]]="","",MARÍTIMOS[[#This Row],[Etapa Ingreso - Ingeso]]),"")</f>
        <v/>
      </c>
      <c r="AK852" s="11" t="str">
        <f>IFERROR(IF(MARÍTIMOS[[#This Row],[Etapa Ingreso - Atención]]="","",MARÍTIMOS[[#This Row],[Etapa Ingreso - Atención]]),"")</f>
        <v/>
      </c>
      <c r="AL852" s="11" t="str">
        <f>IFERROR(IF(MARÍTIMOS[[#This Row],[Etapa Ingreso - Salida]]="","",MARÍTIMOS[[#This Row],[Etapa Ingreso - Salida]]),"")</f>
        <v/>
      </c>
      <c r="AM852" s="2" t="str">
        <f>IFERROR(IF(MARÍTIMOS[[#This Row],[FCL]]="","",MARÍTIMOS[[#This Row],[FCL]]),"")</f>
        <v/>
      </c>
      <c r="AN8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2" s="4" t="str" cm="1">
        <f t="array" ref="AO8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2" s="5" t="str">
        <f>IFERROR(OLDBD[[#This Row],[Llegada a packing]]-OLDBD[[#This Row],[Inicio de Ruta]],"")</f>
        <v/>
      </c>
      <c r="AQ852" s="6" t="str">
        <f>IFERROR(OLDBD[[#This Row],[Inicio de Ruta]]-OLDBD[[#This Row],[Salida de almacén de retiro]],"")</f>
        <v/>
      </c>
      <c r="AR8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2" s="8" t="str" cm="1">
        <f t="array" ref="AS8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2" s="9" t="str">
        <f>IFERROR(OLDBD[[#This Row],[Ingreso Packing]]-OLDBD[[#This Row],[Registro en Packing]],"")</f>
        <v/>
      </c>
      <c r="AV852" s="9" t="str">
        <f>IFERROR(OLDBD[[#This Row],[Ingreso Packing]]-OLDBD[[#This Row],[Llegada a packing]],"")</f>
        <v/>
      </c>
      <c r="AW8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2" s="5" t="str">
        <f>IFERROR(OLDBD[[#This Row],[Llegada Almacén de Ingreso]]-OLDBD[[#This Row],[Salida Packing]],"")</f>
        <v/>
      </c>
      <c r="AY852" s="4" t="str" cm="1">
        <f t="array" ref="AY8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2" s="43" t="s">
        <v>173</v>
      </c>
      <c r="BB852" s="47" t="str">
        <f>IFERROR(IF(MARÍTIMOS[[#This Row],[Estatus]]="","",MARÍTIMOS[[#This Row],[Estatus]]),"")</f>
        <v/>
      </c>
      <c r="BC852" s="43"/>
      <c r="BD852" s="46" t="str">
        <f>IFERROR(OLDBD[[#This Row],[Salida de almacén de retiro]]-OLDBD[[#This Row],[Ingreso Almacén de retiro]],"")</f>
        <v/>
      </c>
      <c r="BE852" s="46" t="str">
        <f>IFERROR(OLDBD[[#This Row],[Fin de Carga]]-OLDBD[[#This Row],[Inicio de Carga]],"")</f>
        <v/>
      </c>
    </row>
    <row r="853" spans="1:57" customFormat="1" hidden="1">
      <c r="A853" s="1"/>
      <c r="B853" s="1" t="str">
        <f>IFERROR(IF(MARÍTIMOS[[#This Row],[PP]]="","",MARÍTIMOS[[#This Row],[PP]]),"")</f>
        <v/>
      </c>
      <c r="C853" s="1" t="str">
        <f>IFERROR(IF(MARÍTIMOS[[#This Row],[Sede]]="","",MARÍTIMOS[[#This Row],[Sede]]),"")</f>
        <v/>
      </c>
      <c r="D853" s="1" t="str">
        <f>IFERROR(IF(MARÍTIMOS[[#This Row],[Instruction]]="","",MARÍTIMOS[[#This Row],[Instruction]]),"")</f>
        <v/>
      </c>
      <c r="E853" s="1"/>
      <c r="F853" s="2" t="str">
        <f>IFERROR(IF(MARÍTIMOS[[#This Row],[Transportista]]="","",MARÍTIMOS[[#This Row],[Transportista]]),"")</f>
        <v/>
      </c>
      <c r="G853" s="2" t="str">
        <f>IFERROR(IF(MARÍTIMOS[[#This Row],[Tercero]]="","",MARÍTIMOS[[#This Row],[Tercero]]),"")</f>
        <v/>
      </c>
      <c r="H853" s="2" t="str">
        <f>IFERROR(IF(MARÍTIMOS[[#This Row],[Razón Social]]="","",MARÍTIMOS[[#This Row],[Razón Social]]),"")</f>
        <v/>
      </c>
      <c r="I853" s="2" t="str">
        <f>IFERROR(IF(MARÍTIMOS[[#This Row],[RUC]]="","",MARÍTIMOS[[#This Row],[RUC]]),"")</f>
        <v/>
      </c>
      <c r="J853" s="2" t="str">
        <f>IFERROR(IF(MARÍTIMOS[[#This Row],[Placa Tracto]]="","",MARÍTIMOS[[#This Row],[Placa Tracto]]),"")</f>
        <v/>
      </c>
      <c r="K853" s="2" t="str">
        <f>IFERROR(IF(MARÍTIMOS[[#This Row],[Placa Carreta]]="","",MARÍTIMOS[[#This Row],[Placa Carreta]]),"")</f>
        <v/>
      </c>
      <c r="L853" s="44" t="str">
        <f>IFERROR(IF(MARÍTIMOS[[#This Row],[Conductor]]="","",MARÍTIMOS[[#This Row],[Conductor]]),"")</f>
        <v/>
      </c>
      <c r="M853" s="2" t="str">
        <f>IFERROR(IF(MARÍTIMOS[[#This Row],[Licencia]]="","",MARÍTIMOS[[#This Row],[Licencia]]),"")</f>
        <v/>
      </c>
      <c r="N853" s="2" t="str">
        <f>IFERROR(IF(MARÍTIMOS[[#This Row],[Número de Contacto]]="","",MARÍTIMOS[[#This Row],[Número de Contacto]]),"")</f>
        <v/>
      </c>
      <c r="O853" s="10" t="str">
        <f>IFERROR(IF(MARÍTIMOS[[#This Row],[Booking|AWB|CRT]]="","",MARÍTIMOS[[#This Row],[Booking|AWB|CRT]]),"")</f>
        <v/>
      </c>
      <c r="P853" s="2" t="str">
        <f>IFERROR(IF(MARÍTIMOS[[#This Row],[Contenedor]]="","",MARÍTIMOS[[#This Row],[Contenedor]]),"")</f>
        <v/>
      </c>
      <c r="Q853" s="2" t="str">
        <f>IFERROR(IF(MARÍTIMOS[[#This Row],[Puerto de Retiro]]="","",MARÍTIMOS[[#This Row],[Puerto de Retiro]]),"")</f>
        <v/>
      </c>
      <c r="R853" s="2" t="str">
        <f>IFERROR(IF(MARÍTIMOS[[#This Row],[Almacén de Retiro]]="","",MARÍTIMOS[[#This Row],[Almacén de Retiro]]),"")</f>
        <v/>
      </c>
      <c r="S853" s="11" t="str">
        <f>IFERROR(IF(MARÍTIMOS[[#This Row],[Etapa Retiro - Cita]]="","",MARÍTIMOS[[#This Row],[Etapa Retiro - Cita]]),"")</f>
        <v/>
      </c>
      <c r="T853" s="11" t="str">
        <f>IFERROR(IF(MARÍTIMOS[[#This Row],[Etapa Retiro - Llegada]]="","",MARÍTIMOS[[#This Row],[Etapa Retiro - Llegada]]),"")</f>
        <v/>
      </c>
      <c r="U853" s="11" t="str">
        <f>IFERROR(IF(MARÍTIMOS[[#This Row],[Etapa Retiro - Ingreso]]="","",MARÍTIMOS[[#This Row],[Etapa Retiro - Ingreso]]),"")</f>
        <v/>
      </c>
      <c r="V853" s="11" t="str">
        <f>IFERROR(IF(MARÍTIMOS[[#This Row],[Etapa Retiro - Atención]]="","",MARÍTIMOS[[#This Row],[Etapa Retiro - Atención]]),"")</f>
        <v/>
      </c>
      <c r="W853" s="11" t="str">
        <f>IFERROR(IF(MARÍTIMOS[[#This Row],[Etapa Retiro - Atención]]="","",MARÍTIMOS[[#This Row],[Etapa Retiro - Atención]]),"")</f>
        <v/>
      </c>
      <c r="X853" s="11" t="str">
        <f>IFERROR(IF(MARÍTIMOS[[#This Row],[Etapa Retiro - Inicio de Ruta]]="","",MARÍTIMOS[[#This Row],[Etapa Retiro - Inicio de Ruta]]),"")</f>
        <v/>
      </c>
      <c r="Y853" s="11" t="str">
        <f>IFERROR(IF(MARÍTIMOS[[#This Row],[Hora de Posicionamiento]]="","",MARÍTIMOS[[#This Row],[Fecha de Carga]]+MARÍTIMOS[[#This Row],[Hora de Posicionamiento]]),"")</f>
        <v/>
      </c>
      <c r="Z853" s="11" t="str">
        <f>IFERROR(IF(MARÍTIMOS[[#This Row],[Etapa Despacho - Llegada]]="","",MARÍTIMOS[[#This Row],[Etapa Despacho - Llegada]]),"")</f>
        <v/>
      </c>
      <c r="AA853" s="11" t="str">
        <f>IFERROR(IF(MARÍTIMOS[[#This Row],[Etapa Despacho - Registro]]="","",MARÍTIMOS[[#This Row],[Etapa Despacho - Registro]]),"")</f>
        <v/>
      </c>
      <c r="AB853" s="11" t="str">
        <f>IFERROR(IF(MARÍTIMOS[[#This Row],[Inspección Externa]]="","",MARÍTIMOS[[#This Row],[Inspección Externa]]),"")</f>
        <v/>
      </c>
      <c r="AC853" s="11" t="str">
        <f>IFERROR(IF(MARÍTIMOS[[#This Row],[Etapa Despacho - Inicio de Carga]]="","",MARÍTIMOS[[#This Row],[Etapa Despacho - Inicio de Carga]]),"")</f>
        <v/>
      </c>
      <c r="AD853" s="11" t="str">
        <f>IFERROR(IF(MARÍTIMOS[[#This Row],[Etapa Despacho - Mitad de Carga]]="","",MARÍTIMOS[[#This Row],[Etapa Despacho - Mitad de Carga]]),"")</f>
        <v/>
      </c>
      <c r="AE853" s="11" t="str">
        <f>IFERROR(IF(MARÍTIMOS[[#This Row],[Etapa Despacho - Fin de Carga]]="","",MARÍTIMOS[[#This Row],[Etapa Despacho - Fin de Carga]]),"")</f>
        <v/>
      </c>
      <c r="AF853" s="2" t="str">
        <f>IFERROR(IF(MARÍTIMOS[[#This Row],[Puerto de Embarque]]="","",MARÍTIMOS[[#This Row],[Puerto de Embarque]]),"")</f>
        <v/>
      </c>
      <c r="AG853" s="2" t="str">
        <f>IFERROR(IF(MARÍTIMOS[[#This Row],[Almacén de Ingreso]]="","",MARÍTIMOS[[#This Row],[Almacén de Ingreso]]),"")</f>
        <v/>
      </c>
      <c r="AH853" s="11" t="str">
        <f>IFERROR(IF(MARÍTIMOS[[#This Row],[Etapa Ingreso - Cita]]="","",MARÍTIMOS[[#This Row],[Etapa Ingreso - Cita]]),"")</f>
        <v/>
      </c>
      <c r="AI853" s="11" t="str">
        <f>IFERROR(IF(MARÍTIMOS[[#This Row],[Etapa Ingreso - Llegada]]="","",MARÍTIMOS[[#This Row],[Etapa Ingreso - Llegada]]),"")</f>
        <v/>
      </c>
      <c r="AJ853" s="11" t="str">
        <f>IFERROR(IF(MARÍTIMOS[[#This Row],[Etapa Ingreso - Ingeso]]="","",MARÍTIMOS[[#This Row],[Etapa Ingreso - Ingeso]]),"")</f>
        <v/>
      </c>
      <c r="AK853" s="11" t="str">
        <f>IFERROR(IF(MARÍTIMOS[[#This Row],[Etapa Ingreso - Atención]]="","",MARÍTIMOS[[#This Row],[Etapa Ingreso - Atención]]),"")</f>
        <v/>
      </c>
      <c r="AL853" s="11" t="str">
        <f>IFERROR(IF(MARÍTIMOS[[#This Row],[Etapa Ingreso - Salida]]="","",MARÍTIMOS[[#This Row],[Etapa Ingreso - Salida]]),"")</f>
        <v/>
      </c>
      <c r="AM853" s="2" t="str">
        <f>IFERROR(IF(MARÍTIMOS[[#This Row],[FCL]]="","",MARÍTIMOS[[#This Row],[FCL]]),"")</f>
        <v/>
      </c>
      <c r="AN8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3" s="4" t="str" cm="1">
        <f t="array" ref="AO8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3" s="5" t="str">
        <f>IFERROR(OLDBD[[#This Row],[Llegada a packing]]-OLDBD[[#This Row],[Inicio de Ruta]],"")</f>
        <v/>
      </c>
      <c r="AQ853" s="6" t="str">
        <f>IFERROR(OLDBD[[#This Row],[Inicio de Ruta]]-OLDBD[[#This Row],[Salida de almacén de retiro]],"")</f>
        <v/>
      </c>
      <c r="AR8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3" s="8" t="str" cm="1">
        <f t="array" ref="AS8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3" s="9" t="str">
        <f>IFERROR(OLDBD[[#This Row],[Ingreso Packing]]-OLDBD[[#This Row],[Registro en Packing]],"")</f>
        <v/>
      </c>
      <c r="AV853" s="9" t="str">
        <f>IFERROR(OLDBD[[#This Row],[Ingreso Packing]]-OLDBD[[#This Row],[Llegada a packing]],"")</f>
        <v/>
      </c>
      <c r="AW8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3" s="5" t="str">
        <f>IFERROR(OLDBD[[#This Row],[Llegada Almacén de Ingreso]]-OLDBD[[#This Row],[Salida Packing]],"")</f>
        <v/>
      </c>
      <c r="AY853" s="4" t="str" cm="1">
        <f t="array" ref="AY8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3" s="43" t="s">
        <v>173</v>
      </c>
      <c r="BB853" s="47" t="str">
        <f>IFERROR(IF(MARÍTIMOS[[#This Row],[Estatus]]="","",MARÍTIMOS[[#This Row],[Estatus]]),"")</f>
        <v/>
      </c>
      <c r="BC853" s="43"/>
      <c r="BD853" s="46" t="str">
        <f>IFERROR(OLDBD[[#This Row],[Salida de almacén de retiro]]-OLDBD[[#This Row],[Ingreso Almacén de retiro]],"")</f>
        <v/>
      </c>
      <c r="BE853" s="46" t="str">
        <f>IFERROR(OLDBD[[#This Row],[Fin de Carga]]-OLDBD[[#This Row],[Inicio de Carga]],"")</f>
        <v/>
      </c>
    </row>
    <row r="854" spans="1:57" customFormat="1" hidden="1">
      <c r="A854" s="1"/>
      <c r="B854" s="1" t="str">
        <f>IFERROR(IF(MARÍTIMOS[[#This Row],[PP]]="","",MARÍTIMOS[[#This Row],[PP]]),"")</f>
        <v/>
      </c>
      <c r="C854" s="1" t="str">
        <f>IFERROR(IF(MARÍTIMOS[[#This Row],[Sede]]="","",MARÍTIMOS[[#This Row],[Sede]]),"")</f>
        <v/>
      </c>
      <c r="D854" s="1" t="str">
        <f>IFERROR(IF(MARÍTIMOS[[#This Row],[Instruction]]="","",MARÍTIMOS[[#This Row],[Instruction]]),"")</f>
        <v/>
      </c>
      <c r="E854" s="1"/>
      <c r="F854" s="2" t="str">
        <f>IFERROR(IF(MARÍTIMOS[[#This Row],[Transportista]]="","",MARÍTIMOS[[#This Row],[Transportista]]),"")</f>
        <v/>
      </c>
      <c r="G854" s="2" t="str">
        <f>IFERROR(IF(MARÍTIMOS[[#This Row],[Tercero]]="","",MARÍTIMOS[[#This Row],[Tercero]]),"")</f>
        <v/>
      </c>
      <c r="H854" s="2" t="str">
        <f>IFERROR(IF(MARÍTIMOS[[#This Row],[Razón Social]]="","",MARÍTIMOS[[#This Row],[Razón Social]]),"")</f>
        <v/>
      </c>
      <c r="I854" s="2" t="str">
        <f>IFERROR(IF(MARÍTIMOS[[#This Row],[RUC]]="","",MARÍTIMOS[[#This Row],[RUC]]),"")</f>
        <v/>
      </c>
      <c r="J854" s="2" t="str">
        <f>IFERROR(IF(MARÍTIMOS[[#This Row],[Placa Tracto]]="","",MARÍTIMOS[[#This Row],[Placa Tracto]]),"")</f>
        <v/>
      </c>
      <c r="K854" s="2" t="str">
        <f>IFERROR(IF(MARÍTIMOS[[#This Row],[Placa Carreta]]="","",MARÍTIMOS[[#This Row],[Placa Carreta]]),"")</f>
        <v/>
      </c>
      <c r="L854" s="44" t="str">
        <f>IFERROR(IF(MARÍTIMOS[[#This Row],[Conductor]]="","",MARÍTIMOS[[#This Row],[Conductor]]),"")</f>
        <v/>
      </c>
      <c r="M854" s="2" t="str">
        <f>IFERROR(IF(MARÍTIMOS[[#This Row],[Licencia]]="","",MARÍTIMOS[[#This Row],[Licencia]]),"")</f>
        <v/>
      </c>
      <c r="N854" s="2" t="str">
        <f>IFERROR(IF(MARÍTIMOS[[#This Row],[Número de Contacto]]="","",MARÍTIMOS[[#This Row],[Número de Contacto]]),"")</f>
        <v/>
      </c>
      <c r="O854" s="10" t="str">
        <f>IFERROR(IF(MARÍTIMOS[[#This Row],[Booking|AWB|CRT]]="","",MARÍTIMOS[[#This Row],[Booking|AWB|CRT]]),"")</f>
        <v/>
      </c>
      <c r="P854" s="2" t="str">
        <f>IFERROR(IF(MARÍTIMOS[[#This Row],[Contenedor]]="","",MARÍTIMOS[[#This Row],[Contenedor]]),"")</f>
        <v/>
      </c>
      <c r="Q854" s="2" t="str">
        <f>IFERROR(IF(MARÍTIMOS[[#This Row],[Puerto de Retiro]]="","",MARÍTIMOS[[#This Row],[Puerto de Retiro]]),"")</f>
        <v/>
      </c>
      <c r="R854" s="2" t="str">
        <f>IFERROR(IF(MARÍTIMOS[[#This Row],[Almacén de Retiro]]="","",MARÍTIMOS[[#This Row],[Almacén de Retiro]]),"")</f>
        <v/>
      </c>
      <c r="S854" s="11" t="str">
        <f>IFERROR(IF(MARÍTIMOS[[#This Row],[Etapa Retiro - Cita]]="","",MARÍTIMOS[[#This Row],[Etapa Retiro - Cita]]),"")</f>
        <v/>
      </c>
      <c r="T854" s="11" t="str">
        <f>IFERROR(IF(MARÍTIMOS[[#This Row],[Etapa Retiro - Llegada]]="","",MARÍTIMOS[[#This Row],[Etapa Retiro - Llegada]]),"")</f>
        <v/>
      </c>
      <c r="U854" s="11" t="str">
        <f>IFERROR(IF(MARÍTIMOS[[#This Row],[Etapa Retiro - Ingreso]]="","",MARÍTIMOS[[#This Row],[Etapa Retiro - Ingreso]]),"")</f>
        <v/>
      </c>
      <c r="V854" s="11" t="str">
        <f>IFERROR(IF(MARÍTIMOS[[#This Row],[Etapa Retiro - Atención]]="","",MARÍTIMOS[[#This Row],[Etapa Retiro - Atención]]),"")</f>
        <v/>
      </c>
      <c r="W854" s="11" t="str">
        <f>IFERROR(IF(MARÍTIMOS[[#This Row],[Etapa Retiro - Atención]]="","",MARÍTIMOS[[#This Row],[Etapa Retiro - Atención]]),"")</f>
        <v/>
      </c>
      <c r="X854" s="11" t="str">
        <f>IFERROR(IF(MARÍTIMOS[[#This Row],[Etapa Retiro - Inicio de Ruta]]="","",MARÍTIMOS[[#This Row],[Etapa Retiro - Inicio de Ruta]]),"")</f>
        <v/>
      </c>
      <c r="Y854" s="11" t="str">
        <f>IFERROR(IF(MARÍTIMOS[[#This Row],[Hora de Posicionamiento]]="","",MARÍTIMOS[[#This Row],[Fecha de Carga]]+MARÍTIMOS[[#This Row],[Hora de Posicionamiento]]),"")</f>
        <v/>
      </c>
      <c r="Z854" s="11" t="str">
        <f>IFERROR(IF(MARÍTIMOS[[#This Row],[Etapa Despacho - Llegada]]="","",MARÍTIMOS[[#This Row],[Etapa Despacho - Llegada]]),"")</f>
        <v/>
      </c>
      <c r="AA854" s="11" t="str">
        <f>IFERROR(IF(MARÍTIMOS[[#This Row],[Etapa Despacho - Registro]]="","",MARÍTIMOS[[#This Row],[Etapa Despacho - Registro]]),"")</f>
        <v/>
      </c>
      <c r="AB854" s="11" t="str">
        <f>IFERROR(IF(MARÍTIMOS[[#This Row],[Inspección Externa]]="","",MARÍTIMOS[[#This Row],[Inspección Externa]]),"")</f>
        <v/>
      </c>
      <c r="AC854" s="11" t="str">
        <f>IFERROR(IF(MARÍTIMOS[[#This Row],[Etapa Despacho - Inicio de Carga]]="","",MARÍTIMOS[[#This Row],[Etapa Despacho - Inicio de Carga]]),"")</f>
        <v/>
      </c>
      <c r="AD854" s="11" t="str">
        <f>IFERROR(IF(MARÍTIMOS[[#This Row],[Etapa Despacho - Mitad de Carga]]="","",MARÍTIMOS[[#This Row],[Etapa Despacho - Mitad de Carga]]),"")</f>
        <v/>
      </c>
      <c r="AE854" s="11" t="str">
        <f>IFERROR(IF(MARÍTIMOS[[#This Row],[Etapa Despacho - Fin de Carga]]="","",MARÍTIMOS[[#This Row],[Etapa Despacho - Fin de Carga]]),"")</f>
        <v/>
      </c>
      <c r="AF854" s="2" t="str">
        <f>IFERROR(IF(MARÍTIMOS[[#This Row],[Puerto de Embarque]]="","",MARÍTIMOS[[#This Row],[Puerto de Embarque]]),"")</f>
        <v/>
      </c>
      <c r="AG854" s="2" t="str">
        <f>IFERROR(IF(MARÍTIMOS[[#This Row],[Almacén de Ingreso]]="","",MARÍTIMOS[[#This Row],[Almacén de Ingreso]]),"")</f>
        <v/>
      </c>
      <c r="AH854" s="11" t="str">
        <f>IFERROR(IF(MARÍTIMOS[[#This Row],[Etapa Ingreso - Cita]]="","",MARÍTIMOS[[#This Row],[Etapa Ingreso - Cita]]),"")</f>
        <v/>
      </c>
      <c r="AI854" s="11" t="str">
        <f>IFERROR(IF(MARÍTIMOS[[#This Row],[Etapa Ingreso - Llegada]]="","",MARÍTIMOS[[#This Row],[Etapa Ingreso - Llegada]]),"")</f>
        <v/>
      </c>
      <c r="AJ854" s="11" t="str">
        <f>IFERROR(IF(MARÍTIMOS[[#This Row],[Etapa Ingreso - Ingeso]]="","",MARÍTIMOS[[#This Row],[Etapa Ingreso - Ingeso]]),"")</f>
        <v/>
      </c>
      <c r="AK854" s="11" t="str">
        <f>IFERROR(IF(MARÍTIMOS[[#This Row],[Etapa Ingreso - Atención]]="","",MARÍTIMOS[[#This Row],[Etapa Ingreso - Atención]]),"")</f>
        <v/>
      </c>
      <c r="AL854" s="11" t="str">
        <f>IFERROR(IF(MARÍTIMOS[[#This Row],[Etapa Ingreso - Salida]]="","",MARÍTIMOS[[#This Row],[Etapa Ingreso - Salida]]),"")</f>
        <v/>
      </c>
      <c r="AM854" s="2" t="str">
        <f>IFERROR(IF(MARÍTIMOS[[#This Row],[FCL]]="","",MARÍTIMOS[[#This Row],[FCL]]),"")</f>
        <v/>
      </c>
      <c r="AN8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4" s="4" t="str" cm="1">
        <f t="array" ref="AO8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4" s="5" t="str">
        <f>IFERROR(OLDBD[[#This Row],[Llegada a packing]]-OLDBD[[#This Row],[Inicio de Ruta]],"")</f>
        <v/>
      </c>
      <c r="AQ854" s="6" t="str">
        <f>IFERROR(OLDBD[[#This Row],[Inicio de Ruta]]-OLDBD[[#This Row],[Salida de almacén de retiro]],"")</f>
        <v/>
      </c>
      <c r="AR8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4" s="8" t="str" cm="1">
        <f t="array" ref="AS8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4" s="9" t="str">
        <f>IFERROR(OLDBD[[#This Row],[Ingreso Packing]]-OLDBD[[#This Row],[Registro en Packing]],"")</f>
        <v/>
      </c>
      <c r="AV854" s="9" t="str">
        <f>IFERROR(OLDBD[[#This Row],[Ingreso Packing]]-OLDBD[[#This Row],[Llegada a packing]],"")</f>
        <v/>
      </c>
      <c r="AW8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4" s="5" t="str">
        <f>IFERROR(OLDBD[[#This Row],[Llegada Almacén de Ingreso]]-OLDBD[[#This Row],[Salida Packing]],"")</f>
        <v/>
      </c>
      <c r="AY854" s="4" t="str" cm="1">
        <f t="array" ref="AY8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4" s="43" t="s">
        <v>173</v>
      </c>
      <c r="BB854" s="47" t="str">
        <f>IFERROR(IF(MARÍTIMOS[[#This Row],[Estatus]]="","",MARÍTIMOS[[#This Row],[Estatus]]),"")</f>
        <v/>
      </c>
      <c r="BC854" s="43"/>
      <c r="BD854" s="46" t="str">
        <f>IFERROR(OLDBD[[#This Row],[Salida de almacén de retiro]]-OLDBD[[#This Row],[Ingreso Almacén de retiro]],"")</f>
        <v/>
      </c>
      <c r="BE854" s="46" t="str">
        <f>IFERROR(OLDBD[[#This Row],[Fin de Carga]]-OLDBD[[#This Row],[Inicio de Carga]],"")</f>
        <v/>
      </c>
    </row>
    <row r="855" spans="1:57" customFormat="1" hidden="1">
      <c r="A855" s="1"/>
      <c r="B855" s="1" t="str">
        <f>IFERROR(IF(MARÍTIMOS[[#This Row],[PP]]="","",MARÍTIMOS[[#This Row],[PP]]),"")</f>
        <v/>
      </c>
      <c r="C855" s="1" t="str">
        <f>IFERROR(IF(MARÍTIMOS[[#This Row],[Sede]]="","",MARÍTIMOS[[#This Row],[Sede]]),"")</f>
        <v/>
      </c>
      <c r="D855" s="1" t="str">
        <f>IFERROR(IF(MARÍTIMOS[[#This Row],[Instruction]]="","",MARÍTIMOS[[#This Row],[Instruction]]),"")</f>
        <v/>
      </c>
      <c r="E855" s="1"/>
      <c r="F855" s="2" t="str">
        <f>IFERROR(IF(MARÍTIMOS[[#This Row],[Transportista]]="","",MARÍTIMOS[[#This Row],[Transportista]]),"")</f>
        <v/>
      </c>
      <c r="G855" s="2" t="str">
        <f>IFERROR(IF(MARÍTIMOS[[#This Row],[Tercero]]="","",MARÍTIMOS[[#This Row],[Tercero]]),"")</f>
        <v/>
      </c>
      <c r="H855" s="2" t="str">
        <f>IFERROR(IF(MARÍTIMOS[[#This Row],[Razón Social]]="","",MARÍTIMOS[[#This Row],[Razón Social]]),"")</f>
        <v/>
      </c>
      <c r="I855" s="2" t="str">
        <f>IFERROR(IF(MARÍTIMOS[[#This Row],[RUC]]="","",MARÍTIMOS[[#This Row],[RUC]]),"")</f>
        <v/>
      </c>
      <c r="J855" s="2" t="str">
        <f>IFERROR(IF(MARÍTIMOS[[#This Row],[Placa Tracto]]="","",MARÍTIMOS[[#This Row],[Placa Tracto]]),"")</f>
        <v/>
      </c>
      <c r="K855" s="2" t="str">
        <f>IFERROR(IF(MARÍTIMOS[[#This Row],[Placa Carreta]]="","",MARÍTIMOS[[#This Row],[Placa Carreta]]),"")</f>
        <v/>
      </c>
      <c r="L855" s="44" t="str">
        <f>IFERROR(IF(MARÍTIMOS[[#This Row],[Conductor]]="","",MARÍTIMOS[[#This Row],[Conductor]]),"")</f>
        <v/>
      </c>
      <c r="M855" s="2" t="str">
        <f>IFERROR(IF(MARÍTIMOS[[#This Row],[Licencia]]="","",MARÍTIMOS[[#This Row],[Licencia]]),"")</f>
        <v/>
      </c>
      <c r="N855" s="2" t="str">
        <f>IFERROR(IF(MARÍTIMOS[[#This Row],[Número de Contacto]]="","",MARÍTIMOS[[#This Row],[Número de Contacto]]),"")</f>
        <v/>
      </c>
      <c r="O855" s="10" t="str">
        <f>IFERROR(IF(MARÍTIMOS[[#This Row],[Booking|AWB|CRT]]="","",MARÍTIMOS[[#This Row],[Booking|AWB|CRT]]),"")</f>
        <v/>
      </c>
      <c r="P855" s="2" t="str">
        <f>IFERROR(IF(MARÍTIMOS[[#This Row],[Contenedor]]="","",MARÍTIMOS[[#This Row],[Contenedor]]),"")</f>
        <v/>
      </c>
      <c r="Q855" s="2" t="str">
        <f>IFERROR(IF(MARÍTIMOS[[#This Row],[Puerto de Retiro]]="","",MARÍTIMOS[[#This Row],[Puerto de Retiro]]),"")</f>
        <v/>
      </c>
      <c r="R855" s="2" t="str">
        <f>IFERROR(IF(MARÍTIMOS[[#This Row],[Almacén de Retiro]]="","",MARÍTIMOS[[#This Row],[Almacén de Retiro]]),"")</f>
        <v/>
      </c>
      <c r="S855" s="11" t="str">
        <f>IFERROR(IF(MARÍTIMOS[[#This Row],[Etapa Retiro - Cita]]="","",MARÍTIMOS[[#This Row],[Etapa Retiro - Cita]]),"")</f>
        <v/>
      </c>
      <c r="T855" s="11" t="str">
        <f>IFERROR(IF(MARÍTIMOS[[#This Row],[Etapa Retiro - Llegada]]="","",MARÍTIMOS[[#This Row],[Etapa Retiro - Llegada]]),"")</f>
        <v/>
      </c>
      <c r="U855" s="11" t="str">
        <f>IFERROR(IF(MARÍTIMOS[[#This Row],[Etapa Retiro - Ingreso]]="","",MARÍTIMOS[[#This Row],[Etapa Retiro - Ingreso]]),"")</f>
        <v/>
      </c>
      <c r="V855" s="11" t="str">
        <f>IFERROR(IF(MARÍTIMOS[[#This Row],[Etapa Retiro - Atención]]="","",MARÍTIMOS[[#This Row],[Etapa Retiro - Atención]]),"")</f>
        <v/>
      </c>
      <c r="W855" s="11" t="str">
        <f>IFERROR(IF(MARÍTIMOS[[#This Row],[Etapa Retiro - Atención]]="","",MARÍTIMOS[[#This Row],[Etapa Retiro - Atención]]),"")</f>
        <v/>
      </c>
      <c r="X855" s="11" t="str">
        <f>IFERROR(IF(MARÍTIMOS[[#This Row],[Etapa Retiro - Inicio de Ruta]]="","",MARÍTIMOS[[#This Row],[Etapa Retiro - Inicio de Ruta]]),"")</f>
        <v/>
      </c>
      <c r="Y855" s="11" t="str">
        <f>IFERROR(IF(MARÍTIMOS[[#This Row],[Hora de Posicionamiento]]="","",MARÍTIMOS[[#This Row],[Fecha de Carga]]+MARÍTIMOS[[#This Row],[Hora de Posicionamiento]]),"")</f>
        <v/>
      </c>
      <c r="Z855" s="11" t="str">
        <f>IFERROR(IF(MARÍTIMOS[[#This Row],[Etapa Despacho - Llegada]]="","",MARÍTIMOS[[#This Row],[Etapa Despacho - Llegada]]),"")</f>
        <v/>
      </c>
      <c r="AA855" s="11" t="str">
        <f>IFERROR(IF(MARÍTIMOS[[#This Row],[Etapa Despacho - Registro]]="","",MARÍTIMOS[[#This Row],[Etapa Despacho - Registro]]),"")</f>
        <v/>
      </c>
      <c r="AB855" s="11" t="str">
        <f>IFERROR(IF(MARÍTIMOS[[#This Row],[Inspección Externa]]="","",MARÍTIMOS[[#This Row],[Inspección Externa]]),"")</f>
        <v/>
      </c>
      <c r="AC855" s="11" t="str">
        <f>IFERROR(IF(MARÍTIMOS[[#This Row],[Etapa Despacho - Inicio de Carga]]="","",MARÍTIMOS[[#This Row],[Etapa Despacho - Inicio de Carga]]),"")</f>
        <v/>
      </c>
      <c r="AD855" s="11" t="str">
        <f>IFERROR(IF(MARÍTIMOS[[#This Row],[Etapa Despacho - Mitad de Carga]]="","",MARÍTIMOS[[#This Row],[Etapa Despacho - Mitad de Carga]]),"")</f>
        <v/>
      </c>
      <c r="AE855" s="11" t="str">
        <f>IFERROR(IF(MARÍTIMOS[[#This Row],[Etapa Despacho - Fin de Carga]]="","",MARÍTIMOS[[#This Row],[Etapa Despacho - Fin de Carga]]),"")</f>
        <v/>
      </c>
      <c r="AF855" s="2" t="str">
        <f>IFERROR(IF(MARÍTIMOS[[#This Row],[Puerto de Embarque]]="","",MARÍTIMOS[[#This Row],[Puerto de Embarque]]),"")</f>
        <v/>
      </c>
      <c r="AG855" s="2" t="str">
        <f>IFERROR(IF(MARÍTIMOS[[#This Row],[Almacén de Ingreso]]="","",MARÍTIMOS[[#This Row],[Almacén de Ingreso]]),"")</f>
        <v/>
      </c>
      <c r="AH855" s="11" t="str">
        <f>IFERROR(IF(MARÍTIMOS[[#This Row],[Etapa Ingreso - Cita]]="","",MARÍTIMOS[[#This Row],[Etapa Ingreso - Cita]]),"")</f>
        <v/>
      </c>
      <c r="AI855" s="11" t="str">
        <f>IFERROR(IF(MARÍTIMOS[[#This Row],[Etapa Ingreso - Llegada]]="","",MARÍTIMOS[[#This Row],[Etapa Ingreso - Llegada]]),"")</f>
        <v/>
      </c>
      <c r="AJ855" s="11" t="str">
        <f>IFERROR(IF(MARÍTIMOS[[#This Row],[Etapa Ingreso - Ingeso]]="","",MARÍTIMOS[[#This Row],[Etapa Ingreso - Ingeso]]),"")</f>
        <v/>
      </c>
      <c r="AK855" s="11" t="str">
        <f>IFERROR(IF(MARÍTIMOS[[#This Row],[Etapa Ingreso - Atención]]="","",MARÍTIMOS[[#This Row],[Etapa Ingreso - Atención]]),"")</f>
        <v/>
      </c>
      <c r="AL855" s="11" t="str">
        <f>IFERROR(IF(MARÍTIMOS[[#This Row],[Etapa Ingreso - Salida]]="","",MARÍTIMOS[[#This Row],[Etapa Ingreso - Salida]]),"")</f>
        <v/>
      </c>
      <c r="AM855" s="2" t="str">
        <f>IFERROR(IF(MARÍTIMOS[[#This Row],[FCL]]="","",MARÍTIMOS[[#This Row],[FCL]]),"")</f>
        <v/>
      </c>
      <c r="AN8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5" s="4" t="str" cm="1">
        <f t="array" ref="AO8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5" s="5" t="str">
        <f>IFERROR(OLDBD[[#This Row],[Llegada a packing]]-OLDBD[[#This Row],[Inicio de Ruta]],"")</f>
        <v/>
      </c>
      <c r="AQ855" s="6" t="str">
        <f>IFERROR(OLDBD[[#This Row],[Inicio de Ruta]]-OLDBD[[#This Row],[Salida de almacén de retiro]],"")</f>
        <v/>
      </c>
      <c r="AR8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5" s="8" t="str" cm="1">
        <f t="array" ref="AS8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5" s="9" t="str">
        <f>IFERROR(OLDBD[[#This Row],[Ingreso Packing]]-OLDBD[[#This Row],[Registro en Packing]],"")</f>
        <v/>
      </c>
      <c r="AV855" s="9" t="str">
        <f>IFERROR(OLDBD[[#This Row],[Ingreso Packing]]-OLDBD[[#This Row],[Llegada a packing]],"")</f>
        <v/>
      </c>
      <c r="AW8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5" s="5" t="str">
        <f>IFERROR(OLDBD[[#This Row],[Llegada Almacén de Ingreso]]-OLDBD[[#This Row],[Salida Packing]],"")</f>
        <v/>
      </c>
      <c r="AY855" s="4" t="str" cm="1">
        <f t="array" ref="AY8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5" s="43" t="s">
        <v>173</v>
      </c>
      <c r="BB855" s="47" t="str">
        <f>IFERROR(IF(MARÍTIMOS[[#This Row],[Estatus]]="","",MARÍTIMOS[[#This Row],[Estatus]]),"")</f>
        <v/>
      </c>
      <c r="BC855" s="43"/>
      <c r="BD855" s="46" t="str">
        <f>IFERROR(OLDBD[[#This Row],[Salida de almacén de retiro]]-OLDBD[[#This Row],[Ingreso Almacén de retiro]],"")</f>
        <v/>
      </c>
      <c r="BE855" s="46" t="str">
        <f>IFERROR(OLDBD[[#This Row],[Fin de Carga]]-OLDBD[[#This Row],[Inicio de Carga]],"")</f>
        <v/>
      </c>
    </row>
    <row r="856" spans="1:57" customFormat="1" hidden="1">
      <c r="A856" s="1"/>
      <c r="B856" s="1" t="str">
        <f>IFERROR(IF(MARÍTIMOS[[#This Row],[PP]]="","",MARÍTIMOS[[#This Row],[PP]]),"")</f>
        <v/>
      </c>
      <c r="C856" s="1" t="str">
        <f>IFERROR(IF(MARÍTIMOS[[#This Row],[Sede]]="","",MARÍTIMOS[[#This Row],[Sede]]),"")</f>
        <v/>
      </c>
      <c r="D856" s="1" t="str">
        <f>IFERROR(IF(MARÍTIMOS[[#This Row],[Instruction]]="","",MARÍTIMOS[[#This Row],[Instruction]]),"")</f>
        <v/>
      </c>
      <c r="E856" s="1"/>
      <c r="F856" s="2" t="str">
        <f>IFERROR(IF(MARÍTIMOS[[#This Row],[Transportista]]="","",MARÍTIMOS[[#This Row],[Transportista]]),"")</f>
        <v/>
      </c>
      <c r="G856" s="2" t="str">
        <f>IFERROR(IF(MARÍTIMOS[[#This Row],[Tercero]]="","",MARÍTIMOS[[#This Row],[Tercero]]),"")</f>
        <v/>
      </c>
      <c r="H856" s="2" t="str">
        <f>IFERROR(IF(MARÍTIMOS[[#This Row],[Razón Social]]="","",MARÍTIMOS[[#This Row],[Razón Social]]),"")</f>
        <v/>
      </c>
      <c r="I856" s="2" t="str">
        <f>IFERROR(IF(MARÍTIMOS[[#This Row],[RUC]]="","",MARÍTIMOS[[#This Row],[RUC]]),"")</f>
        <v/>
      </c>
      <c r="J856" s="2" t="str">
        <f>IFERROR(IF(MARÍTIMOS[[#This Row],[Placa Tracto]]="","",MARÍTIMOS[[#This Row],[Placa Tracto]]),"")</f>
        <v/>
      </c>
      <c r="K856" s="2" t="str">
        <f>IFERROR(IF(MARÍTIMOS[[#This Row],[Placa Carreta]]="","",MARÍTIMOS[[#This Row],[Placa Carreta]]),"")</f>
        <v/>
      </c>
      <c r="L856" s="44" t="str">
        <f>IFERROR(IF(MARÍTIMOS[[#This Row],[Conductor]]="","",MARÍTIMOS[[#This Row],[Conductor]]),"")</f>
        <v/>
      </c>
      <c r="M856" s="2" t="str">
        <f>IFERROR(IF(MARÍTIMOS[[#This Row],[Licencia]]="","",MARÍTIMOS[[#This Row],[Licencia]]),"")</f>
        <v/>
      </c>
      <c r="N856" s="2" t="str">
        <f>IFERROR(IF(MARÍTIMOS[[#This Row],[Número de Contacto]]="","",MARÍTIMOS[[#This Row],[Número de Contacto]]),"")</f>
        <v/>
      </c>
      <c r="O856" s="10" t="str">
        <f>IFERROR(IF(MARÍTIMOS[[#This Row],[Booking|AWB|CRT]]="","",MARÍTIMOS[[#This Row],[Booking|AWB|CRT]]),"")</f>
        <v/>
      </c>
      <c r="P856" s="2" t="str">
        <f>IFERROR(IF(MARÍTIMOS[[#This Row],[Contenedor]]="","",MARÍTIMOS[[#This Row],[Contenedor]]),"")</f>
        <v/>
      </c>
      <c r="Q856" s="2" t="str">
        <f>IFERROR(IF(MARÍTIMOS[[#This Row],[Puerto de Retiro]]="","",MARÍTIMOS[[#This Row],[Puerto de Retiro]]),"")</f>
        <v/>
      </c>
      <c r="R856" s="2" t="str">
        <f>IFERROR(IF(MARÍTIMOS[[#This Row],[Almacén de Retiro]]="","",MARÍTIMOS[[#This Row],[Almacén de Retiro]]),"")</f>
        <v/>
      </c>
      <c r="S856" s="11" t="str">
        <f>IFERROR(IF(MARÍTIMOS[[#This Row],[Etapa Retiro - Cita]]="","",MARÍTIMOS[[#This Row],[Etapa Retiro - Cita]]),"")</f>
        <v/>
      </c>
      <c r="T856" s="11" t="str">
        <f>IFERROR(IF(MARÍTIMOS[[#This Row],[Etapa Retiro - Llegada]]="","",MARÍTIMOS[[#This Row],[Etapa Retiro - Llegada]]),"")</f>
        <v/>
      </c>
      <c r="U856" s="11" t="str">
        <f>IFERROR(IF(MARÍTIMOS[[#This Row],[Etapa Retiro - Ingreso]]="","",MARÍTIMOS[[#This Row],[Etapa Retiro - Ingreso]]),"")</f>
        <v/>
      </c>
      <c r="V856" s="11" t="str">
        <f>IFERROR(IF(MARÍTIMOS[[#This Row],[Etapa Retiro - Atención]]="","",MARÍTIMOS[[#This Row],[Etapa Retiro - Atención]]),"")</f>
        <v/>
      </c>
      <c r="W856" s="11" t="str">
        <f>IFERROR(IF(MARÍTIMOS[[#This Row],[Etapa Retiro - Atención]]="","",MARÍTIMOS[[#This Row],[Etapa Retiro - Atención]]),"")</f>
        <v/>
      </c>
      <c r="X856" s="11" t="str">
        <f>IFERROR(IF(MARÍTIMOS[[#This Row],[Etapa Retiro - Inicio de Ruta]]="","",MARÍTIMOS[[#This Row],[Etapa Retiro - Inicio de Ruta]]),"")</f>
        <v/>
      </c>
      <c r="Y856" s="11" t="str">
        <f>IFERROR(IF(MARÍTIMOS[[#This Row],[Hora de Posicionamiento]]="","",MARÍTIMOS[[#This Row],[Fecha de Carga]]+MARÍTIMOS[[#This Row],[Hora de Posicionamiento]]),"")</f>
        <v/>
      </c>
      <c r="Z856" s="11" t="str">
        <f>IFERROR(IF(MARÍTIMOS[[#This Row],[Etapa Despacho - Llegada]]="","",MARÍTIMOS[[#This Row],[Etapa Despacho - Llegada]]),"")</f>
        <v/>
      </c>
      <c r="AA856" s="11" t="str">
        <f>IFERROR(IF(MARÍTIMOS[[#This Row],[Etapa Despacho - Registro]]="","",MARÍTIMOS[[#This Row],[Etapa Despacho - Registro]]),"")</f>
        <v/>
      </c>
      <c r="AB856" s="11" t="str">
        <f>IFERROR(IF(MARÍTIMOS[[#This Row],[Inspección Externa]]="","",MARÍTIMOS[[#This Row],[Inspección Externa]]),"")</f>
        <v/>
      </c>
      <c r="AC856" s="11" t="str">
        <f>IFERROR(IF(MARÍTIMOS[[#This Row],[Etapa Despacho - Inicio de Carga]]="","",MARÍTIMOS[[#This Row],[Etapa Despacho - Inicio de Carga]]),"")</f>
        <v/>
      </c>
      <c r="AD856" s="11" t="str">
        <f>IFERROR(IF(MARÍTIMOS[[#This Row],[Etapa Despacho - Mitad de Carga]]="","",MARÍTIMOS[[#This Row],[Etapa Despacho - Mitad de Carga]]),"")</f>
        <v/>
      </c>
      <c r="AE856" s="11" t="str">
        <f>IFERROR(IF(MARÍTIMOS[[#This Row],[Etapa Despacho - Fin de Carga]]="","",MARÍTIMOS[[#This Row],[Etapa Despacho - Fin de Carga]]),"")</f>
        <v/>
      </c>
      <c r="AF856" s="2" t="str">
        <f>IFERROR(IF(MARÍTIMOS[[#This Row],[Puerto de Embarque]]="","",MARÍTIMOS[[#This Row],[Puerto de Embarque]]),"")</f>
        <v/>
      </c>
      <c r="AG856" s="2" t="str">
        <f>IFERROR(IF(MARÍTIMOS[[#This Row],[Almacén de Ingreso]]="","",MARÍTIMOS[[#This Row],[Almacén de Ingreso]]),"")</f>
        <v/>
      </c>
      <c r="AH856" s="11" t="str">
        <f>IFERROR(IF(MARÍTIMOS[[#This Row],[Etapa Ingreso - Cita]]="","",MARÍTIMOS[[#This Row],[Etapa Ingreso - Cita]]),"")</f>
        <v/>
      </c>
      <c r="AI856" s="11" t="str">
        <f>IFERROR(IF(MARÍTIMOS[[#This Row],[Etapa Ingreso - Llegada]]="","",MARÍTIMOS[[#This Row],[Etapa Ingreso - Llegada]]),"")</f>
        <v/>
      </c>
      <c r="AJ856" s="11" t="str">
        <f>IFERROR(IF(MARÍTIMOS[[#This Row],[Etapa Ingreso - Ingeso]]="","",MARÍTIMOS[[#This Row],[Etapa Ingreso - Ingeso]]),"")</f>
        <v/>
      </c>
      <c r="AK856" s="11" t="str">
        <f>IFERROR(IF(MARÍTIMOS[[#This Row],[Etapa Ingreso - Atención]]="","",MARÍTIMOS[[#This Row],[Etapa Ingreso - Atención]]),"")</f>
        <v/>
      </c>
      <c r="AL856" s="11" t="str">
        <f>IFERROR(IF(MARÍTIMOS[[#This Row],[Etapa Ingreso - Salida]]="","",MARÍTIMOS[[#This Row],[Etapa Ingreso - Salida]]),"")</f>
        <v/>
      </c>
      <c r="AM856" s="2" t="str">
        <f>IFERROR(IF(MARÍTIMOS[[#This Row],[FCL]]="","",MARÍTIMOS[[#This Row],[FCL]]),"")</f>
        <v/>
      </c>
      <c r="AN8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6" s="4" t="str" cm="1">
        <f t="array" ref="AO8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6" s="5" t="str">
        <f>IFERROR(OLDBD[[#This Row],[Llegada a packing]]-OLDBD[[#This Row],[Inicio de Ruta]],"")</f>
        <v/>
      </c>
      <c r="AQ856" s="6" t="str">
        <f>IFERROR(OLDBD[[#This Row],[Inicio de Ruta]]-OLDBD[[#This Row],[Salida de almacén de retiro]],"")</f>
        <v/>
      </c>
      <c r="AR8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6" s="8" t="str" cm="1">
        <f t="array" ref="AS8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6" s="9" t="str">
        <f>IFERROR(OLDBD[[#This Row],[Ingreso Packing]]-OLDBD[[#This Row],[Registro en Packing]],"")</f>
        <v/>
      </c>
      <c r="AV856" s="9" t="str">
        <f>IFERROR(OLDBD[[#This Row],[Ingreso Packing]]-OLDBD[[#This Row],[Llegada a packing]],"")</f>
        <v/>
      </c>
      <c r="AW8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6" s="5" t="str">
        <f>IFERROR(OLDBD[[#This Row],[Llegada Almacén de Ingreso]]-OLDBD[[#This Row],[Salida Packing]],"")</f>
        <v/>
      </c>
      <c r="AY856" s="4" t="str" cm="1">
        <f t="array" ref="AY8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6" s="43" t="s">
        <v>173</v>
      </c>
      <c r="BB856" s="47" t="str">
        <f>IFERROR(IF(MARÍTIMOS[[#This Row],[Estatus]]="","",MARÍTIMOS[[#This Row],[Estatus]]),"")</f>
        <v/>
      </c>
      <c r="BC856" s="43"/>
      <c r="BD856" s="46" t="str">
        <f>IFERROR(OLDBD[[#This Row],[Salida de almacén de retiro]]-OLDBD[[#This Row],[Ingreso Almacén de retiro]],"")</f>
        <v/>
      </c>
      <c r="BE856" s="46" t="str">
        <f>IFERROR(OLDBD[[#This Row],[Fin de Carga]]-OLDBD[[#This Row],[Inicio de Carga]],"")</f>
        <v/>
      </c>
    </row>
    <row r="857" spans="1:57" customFormat="1" hidden="1">
      <c r="A857" s="1"/>
      <c r="B857" s="1" t="str">
        <f>IFERROR(IF(MARÍTIMOS[[#This Row],[PP]]="","",MARÍTIMOS[[#This Row],[PP]]),"")</f>
        <v/>
      </c>
      <c r="C857" s="1" t="str">
        <f>IFERROR(IF(MARÍTIMOS[[#This Row],[Sede]]="","",MARÍTIMOS[[#This Row],[Sede]]),"")</f>
        <v/>
      </c>
      <c r="D857" s="1" t="str">
        <f>IFERROR(IF(MARÍTIMOS[[#This Row],[Instruction]]="","",MARÍTIMOS[[#This Row],[Instruction]]),"")</f>
        <v/>
      </c>
      <c r="E857" s="1"/>
      <c r="F857" s="2" t="str">
        <f>IFERROR(IF(MARÍTIMOS[[#This Row],[Transportista]]="","",MARÍTIMOS[[#This Row],[Transportista]]),"")</f>
        <v/>
      </c>
      <c r="G857" s="2" t="str">
        <f>IFERROR(IF(MARÍTIMOS[[#This Row],[Tercero]]="","",MARÍTIMOS[[#This Row],[Tercero]]),"")</f>
        <v/>
      </c>
      <c r="H857" s="2" t="str">
        <f>IFERROR(IF(MARÍTIMOS[[#This Row],[Razón Social]]="","",MARÍTIMOS[[#This Row],[Razón Social]]),"")</f>
        <v/>
      </c>
      <c r="I857" s="2" t="str">
        <f>IFERROR(IF(MARÍTIMOS[[#This Row],[RUC]]="","",MARÍTIMOS[[#This Row],[RUC]]),"")</f>
        <v/>
      </c>
      <c r="J857" s="2" t="str">
        <f>IFERROR(IF(MARÍTIMOS[[#This Row],[Placa Tracto]]="","",MARÍTIMOS[[#This Row],[Placa Tracto]]),"")</f>
        <v/>
      </c>
      <c r="K857" s="2" t="str">
        <f>IFERROR(IF(MARÍTIMOS[[#This Row],[Placa Carreta]]="","",MARÍTIMOS[[#This Row],[Placa Carreta]]),"")</f>
        <v/>
      </c>
      <c r="L857" s="44" t="str">
        <f>IFERROR(IF(MARÍTIMOS[[#This Row],[Conductor]]="","",MARÍTIMOS[[#This Row],[Conductor]]),"")</f>
        <v/>
      </c>
      <c r="M857" s="2" t="str">
        <f>IFERROR(IF(MARÍTIMOS[[#This Row],[Licencia]]="","",MARÍTIMOS[[#This Row],[Licencia]]),"")</f>
        <v/>
      </c>
      <c r="N857" s="2" t="str">
        <f>IFERROR(IF(MARÍTIMOS[[#This Row],[Número de Contacto]]="","",MARÍTIMOS[[#This Row],[Número de Contacto]]),"")</f>
        <v/>
      </c>
      <c r="O857" s="10" t="str">
        <f>IFERROR(IF(MARÍTIMOS[[#This Row],[Booking|AWB|CRT]]="","",MARÍTIMOS[[#This Row],[Booking|AWB|CRT]]),"")</f>
        <v/>
      </c>
      <c r="P857" s="2" t="str">
        <f>IFERROR(IF(MARÍTIMOS[[#This Row],[Contenedor]]="","",MARÍTIMOS[[#This Row],[Contenedor]]),"")</f>
        <v/>
      </c>
      <c r="Q857" s="2" t="str">
        <f>IFERROR(IF(MARÍTIMOS[[#This Row],[Puerto de Retiro]]="","",MARÍTIMOS[[#This Row],[Puerto de Retiro]]),"")</f>
        <v/>
      </c>
      <c r="R857" s="2" t="str">
        <f>IFERROR(IF(MARÍTIMOS[[#This Row],[Almacén de Retiro]]="","",MARÍTIMOS[[#This Row],[Almacén de Retiro]]),"")</f>
        <v/>
      </c>
      <c r="S857" s="11" t="str">
        <f>IFERROR(IF(MARÍTIMOS[[#This Row],[Etapa Retiro - Cita]]="","",MARÍTIMOS[[#This Row],[Etapa Retiro - Cita]]),"")</f>
        <v/>
      </c>
      <c r="T857" s="11" t="str">
        <f>IFERROR(IF(MARÍTIMOS[[#This Row],[Etapa Retiro - Llegada]]="","",MARÍTIMOS[[#This Row],[Etapa Retiro - Llegada]]),"")</f>
        <v/>
      </c>
      <c r="U857" s="11" t="str">
        <f>IFERROR(IF(MARÍTIMOS[[#This Row],[Etapa Retiro - Ingreso]]="","",MARÍTIMOS[[#This Row],[Etapa Retiro - Ingreso]]),"")</f>
        <v/>
      </c>
      <c r="V857" s="11" t="str">
        <f>IFERROR(IF(MARÍTIMOS[[#This Row],[Etapa Retiro - Atención]]="","",MARÍTIMOS[[#This Row],[Etapa Retiro - Atención]]),"")</f>
        <v/>
      </c>
      <c r="W857" s="11" t="str">
        <f>IFERROR(IF(MARÍTIMOS[[#This Row],[Etapa Retiro - Atención]]="","",MARÍTIMOS[[#This Row],[Etapa Retiro - Atención]]),"")</f>
        <v/>
      </c>
      <c r="X857" s="11" t="str">
        <f>IFERROR(IF(MARÍTIMOS[[#This Row],[Etapa Retiro - Inicio de Ruta]]="","",MARÍTIMOS[[#This Row],[Etapa Retiro - Inicio de Ruta]]),"")</f>
        <v/>
      </c>
      <c r="Y857" s="11" t="str">
        <f>IFERROR(IF(MARÍTIMOS[[#This Row],[Hora de Posicionamiento]]="","",MARÍTIMOS[[#This Row],[Fecha de Carga]]+MARÍTIMOS[[#This Row],[Hora de Posicionamiento]]),"")</f>
        <v/>
      </c>
      <c r="Z857" s="11" t="str">
        <f>IFERROR(IF(MARÍTIMOS[[#This Row],[Etapa Despacho - Llegada]]="","",MARÍTIMOS[[#This Row],[Etapa Despacho - Llegada]]),"")</f>
        <v/>
      </c>
      <c r="AA857" s="11" t="str">
        <f>IFERROR(IF(MARÍTIMOS[[#This Row],[Etapa Despacho - Registro]]="","",MARÍTIMOS[[#This Row],[Etapa Despacho - Registro]]),"")</f>
        <v/>
      </c>
      <c r="AB857" s="11" t="str">
        <f>IFERROR(IF(MARÍTIMOS[[#This Row],[Inspección Externa]]="","",MARÍTIMOS[[#This Row],[Inspección Externa]]),"")</f>
        <v/>
      </c>
      <c r="AC857" s="11" t="str">
        <f>IFERROR(IF(MARÍTIMOS[[#This Row],[Etapa Despacho - Inicio de Carga]]="","",MARÍTIMOS[[#This Row],[Etapa Despacho - Inicio de Carga]]),"")</f>
        <v/>
      </c>
      <c r="AD857" s="11" t="str">
        <f>IFERROR(IF(MARÍTIMOS[[#This Row],[Etapa Despacho - Mitad de Carga]]="","",MARÍTIMOS[[#This Row],[Etapa Despacho - Mitad de Carga]]),"")</f>
        <v/>
      </c>
      <c r="AE857" s="11" t="str">
        <f>IFERROR(IF(MARÍTIMOS[[#This Row],[Etapa Despacho - Fin de Carga]]="","",MARÍTIMOS[[#This Row],[Etapa Despacho - Fin de Carga]]),"")</f>
        <v/>
      </c>
      <c r="AF857" s="2" t="str">
        <f>IFERROR(IF(MARÍTIMOS[[#This Row],[Puerto de Embarque]]="","",MARÍTIMOS[[#This Row],[Puerto de Embarque]]),"")</f>
        <v/>
      </c>
      <c r="AG857" s="2" t="str">
        <f>IFERROR(IF(MARÍTIMOS[[#This Row],[Almacén de Ingreso]]="","",MARÍTIMOS[[#This Row],[Almacén de Ingreso]]),"")</f>
        <v/>
      </c>
      <c r="AH857" s="11" t="str">
        <f>IFERROR(IF(MARÍTIMOS[[#This Row],[Etapa Ingreso - Cita]]="","",MARÍTIMOS[[#This Row],[Etapa Ingreso - Cita]]),"")</f>
        <v/>
      </c>
      <c r="AI857" s="11" t="str">
        <f>IFERROR(IF(MARÍTIMOS[[#This Row],[Etapa Ingreso - Llegada]]="","",MARÍTIMOS[[#This Row],[Etapa Ingreso - Llegada]]),"")</f>
        <v/>
      </c>
      <c r="AJ857" s="11" t="str">
        <f>IFERROR(IF(MARÍTIMOS[[#This Row],[Etapa Ingreso - Ingeso]]="","",MARÍTIMOS[[#This Row],[Etapa Ingreso - Ingeso]]),"")</f>
        <v/>
      </c>
      <c r="AK857" s="11" t="str">
        <f>IFERROR(IF(MARÍTIMOS[[#This Row],[Etapa Ingreso - Atención]]="","",MARÍTIMOS[[#This Row],[Etapa Ingreso - Atención]]),"")</f>
        <v/>
      </c>
      <c r="AL857" s="11" t="str">
        <f>IFERROR(IF(MARÍTIMOS[[#This Row],[Etapa Ingreso - Salida]]="","",MARÍTIMOS[[#This Row],[Etapa Ingreso - Salida]]),"")</f>
        <v/>
      </c>
      <c r="AM857" s="2" t="str">
        <f>IFERROR(IF(MARÍTIMOS[[#This Row],[FCL]]="","",MARÍTIMOS[[#This Row],[FCL]]),"")</f>
        <v/>
      </c>
      <c r="AN8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7" s="4" t="str" cm="1">
        <f t="array" ref="AO8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7" s="5" t="str">
        <f>IFERROR(OLDBD[[#This Row],[Llegada a packing]]-OLDBD[[#This Row],[Inicio de Ruta]],"")</f>
        <v/>
      </c>
      <c r="AQ857" s="6" t="str">
        <f>IFERROR(OLDBD[[#This Row],[Inicio de Ruta]]-OLDBD[[#This Row],[Salida de almacén de retiro]],"")</f>
        <v/>
      </c>
      <c r="AR8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7" s="8" t="str" cm="1">
        <f t="array" ref="AS8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7" s="9" t="str">
        <f>IFERROR(OLDBD[[#This Row],[Ingreso Packing]]-OLDBD[[#This Row],[Registro en Packing]],"")</f>
        <v/>
      </c>
      <c r="AV857" s="9" t="str">
        <f>IFERROR(OLDBD[[#This Row],[Ingreso Packing]]-OLDBD[[#This Row],[Llegada a packing]],"")</f>
        <v/>
      </c>
      <c r="AW8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7" s="5" t="str">
        <f>IFERROR(OLDBD[[#This Row],[Llegada Almacén de Ingreso]]-OLDBD[[#This Row],[Salida Packing]],"")</f>
        <v/>
      </c>
      <c r="AY857" s="4" t="str" cm="1">
        <f t="array" ref="AY8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7" s="43" t="s">
        <v>173</v>
      </c>
      <c r="BB857" s="47" t="str">
        <f>IFERROR(IF(MARÍTIMOS[[#This Row],[Estatus]]="","",MARÍTIMOS[[#This Row],[Estatus]]),"")</f>
        <v/>
      </c>
      <c r="BC857" s="43"/>
      <c r="BD857" s="46" t="str">
        <f>IFERROR(OLDBD[[#This Row],[Salida de almacén de retiro]]-OLDBD[[#This Row],[Ingreso Almacén de retiro]],"")</f>
        <v/>
      </c>
      <c r="BE857" s="46" t="str">
        <f>IFERROR(OLDBD[[#This Row],[Fin de Carga]]-OLDBD[[#This Row],[Inicio de Carga]],"")</f>
        <v/>
      </c>
    </row>
    <row r="858" spans="1:57" customFormat="1" hidden="1">
      <c r="A858" s="1"/>
      <c r="B858" s="1" t="str">
        <f>IFERROR(IF(MARÍTIMOS[[#This Row],[PP]]="","",MARÍTIMOS[[#This Row],[PP]]),"")</f>
        <v/>
      </c>
      <c r="C858" s="1" t="str">
        <f>IFERROR(IF(MARÍTIMOS[[#This Row],[Sede]]="","",MARÍTIMOS[[#This Row],[Sede]]),"")</f>
        <v/>
      </c>
      <c r="D858" s="1" t="str">
        <f>IFERROR(IF(MARÍTIMOS[[#This Row],[Instruction]]="","",MARÍTIMOS[[#This Row],[Instruction]]),"")</f>
        <v/>
      </c>
      <c r="E858" s="1"/>
      <c r="F858" s="2" t="str">
        <f>IFERROR(IF(MARÍTIMOS[[#This Row],[Transportista]]="","",MARÍTIMOS[[#This Row],[Transportista]]),"")</f>
        <v/>
      </c>
      <c r="G858" s="2" t="str">
        <f>IFERROR(IF(MARÍTIMOS[[#This Row],[Tercero]]="","",MARÍTIMOS[[#This Row],[Tercero]]),"")</f>
        <v/>
      </c>
      <c r="H858" s="2" t="str">
        <f>IFERROR(IF(MARÍTIMOS[[#This Row],[Razón Social]]="","",MARÍTIMOS[[#This Row],[Razón Social]]),"")</f>
        <v/>
      </c>
      <c r="I858" s="2" t="str">
        <f>IFERROR(IF(MARÍTIMOS[[#This Row],[RUC]]="","",MARÍTIMOS[[#This Row],[RUC]]),"")</f>
        <v/>
      </c>
      <c r="J858" s="2" t="str">
        <f>IFERROR(IF(MARÍTIMOS[[#This Row],[Placa Tracto]]="","",MARÍTIMOS[[#This Row],[Placa Tracto]]),"")</f>
        <v/>
      </c>
      <c r="K858" s="2" t="str">
        <f>IFERROR(IF(MARÍTIMOS[[#This Row],[Placa Carreta]]="","",MARÍTIMOS[[#This Row],[Placa Carreta]]),"")</f>
        <v/>
      </c>
      <c r="L858" s="44" t="str">
        <f>IFERROR(IF(MARÍTIMOS[[#This Row],[Conductor]]="","",MARÍTIMOS[[#This Row],[Conductor]]),"")</f>
        <v/>
      </c>
      <c r="M858" s="2" t="str">
        <f>IFERROR(IF(MARÍTIMOS[[#This Row],[Licencia]]="","",MARÍTIMOS[[#This Row],[Licencia]]),"")</f>
        <v/>
      </c>
      <c r="N858" s="2" t="str">
        <f>IFERROR(IF(MARÍTIMOS[[#This Row],[Número de Contacto]]="","",MARÍTIMOS[[#This Row],[Número de Contacto]]),"")</f>
        <v/>
      </c>
      <c r="O858" s="10" t="str">
        <f>IFERROR(IF(MARÍTIMOS[[#This Row],[Booking|AWB|CRT]]="","",MARÍTIMOS[[#This Row],[Booking|AWB|CRT]]),"")</f>
        <v/>
      </c>
      <c r="P858" s="2" t="str">
        <f>IFERROR(IF(MARÍTIMOS[[#This Row],[Contenedor]]="","",MARÍTIMOS[[#This Row],[Contenedor]]),"")</f>
        <v/>
      </c>
      <c r="Q858" s="2" t="str">
        <f>IFERROR(IF(MARÍTIMOS[[#This Row],[Puerto de Retiro]]="","",MARÍTIMOS[[#This Row],[Puerto de Retiro]]),"")</f>
        <v/>
      </c>
      <c r="R858" s="2" t="str">
        <f>IFERROR(IF(MARÍTIMOS[[#This Row],[Almacén de Retiro]]="","",MARÍTIMOS[[#This Row],[Almacén de Retiro]]),"")</f>
        <v/>
      </c>
      <c r="S858" s="11" t="str">
        <f>IFERROR(IF(MARÍTIMOS[[#This Row],[Etapa Retiro - Cita]]="","",MARÍTIMOS[[#This Row],[Etapa Retiro - Cita]]),"")</f>
        <v/>
      </c>
      <c r="T858" s="11" t="str">
        <f>IFERROR(IF(MARÍTIMOS[[#This Row],[Etapa Retiro - Llegada]]="","",MARÍTIMOS[[#This Row],[Etapa Retiro - Llegada]]),"")</f>
        <v/>
      </c>
      <c r="U858" s="11" t="str">
        <f>IFERROR(IF(MARÍTIMOS[[#This Row],[Etapa Retiro - Ingreso]]="","",MARÍTIMOS[[#This Row],[Etapa Retiro - Ingreso]]),"")</f>
        <v/>
      </c>
      <c r="V858" s="11" t="str">
        <f>IFERROR(IF(MARÍTIMOS[[#This Row],[Etapa Retiro - Atención]]="","",MARÍTIMOS[[#This Row],[Etapa Retiro - Atención]]),"")</f>
        <v/>
      </c>
      <c r="W858" s="11" t="str">
        <f>IFERROR(IF(MARÍTIMOS[[#This Row],[Etapa Retiro - Atención]]="","",MARÍTIMOS[[#This Row],[Etapa Retiro - Atención]]),"")</f>
        <v/>
      </c>
      <c r="X858" s="11" t="str">
        <f>IFERROR(IF(MARÍTIMOS[[#This Row],[Etapa Retiro - Inicio de Ruta]]="","",MARÍTIMOS[[#This Row],[Etapa Retiro - Inicio de Ruta]]),"")</f>
        <v/>
      </c>
      <c r="Y858" s="11" t="str">
        <f>IFERROR(IF(MARÍTIMOS[[#This Row],[Hora de Posicionamiento]]="","",MARÍTIMOS[[#This Row],[Fecha de Carga]]+MARÍTIMOS[[#This Row],[Hora de Posicionamiento]]),"")</f>
        <v/>
      </c>
      <c r="Z858" s="11" t="str">
        <f>IFERROR(IF(MARÍTIMOS[[#This Row],[Etapa Despacho - Llegada]]="","",MARÍTIMOS[[#This Row],[Etapa Despacho - Llegada]]),"")</f>
        <v/>
      </c>
      <c r="AA858" s="11" t="str">
        <f>IFERROR(IF(MARÍTIMOS[[#This Row],[Etapa Despacho - Registro]]="","",MARÍTIMOS[[#This Row],[Etapa Despacho - Registro]]),"")</f>
        <v/>
      </c>
      <c r="AB858" s="11" t="str">
        <f>IFERROR(IF(MARÍTIMOS[[#This Row],[Inspección Externa]]="","",MARÍTIMOS[[#This Row],[Inspección Externa]]),"")</f>
        <v/>
      </c>
      <c r="AC858" s="11" t="str">
        <f>IFERROR(IF(MARÍTIMOS[[#This Row],[Etapa Despacho - Inicio de Carga]]="","",MARÍTIMOS[[#This Row],[Etapa Despacho - Inicio de Carga]]),"")</f>
        <v/>
      </c>
      <c r="AD858" s="11" t="str">
        <f>IFERROR(IF(MARÍTIMOS[[#This Row],[Etapa Despacho - Mitad de Carga]]="","",MARÍTIMOS[[#This Row],[Etapa Despacho - Mitad de Carga]]),"")</f>
        <v/>
      </c>
      <c r="AE858" s="11" t="str">
        <f>IFERROR(IF(MARÍTIMOS[[#This Row],[Etapa Despacho - Fin de Carga]]="","",MARÍTIMOS[[#This Row],[Etapa Despacho - Fin de Carga]]),"")</f>
        <v/>
      </c>
      <c r="AF858" s="2" t="str">
        <f>IFERROR(IF(MARÍTIMOS[[#This Row],[Puerto de Embarque]]="","",MARÍTIMOS[[#This Row],[Puerto de Embarque]]),"")</f>
        <v/>
      </c>
      <c r="AG858" s="2" t="str">
        <f>IFERROR(IF(MARÍTIMOS[[#This Row],[Almacén de Ingreso]]="","",MARÍTIMOS[[#This Row],[Almacén de Ingreso]]),"")</f>
        <v/>
      </c>
      <c r="AH858" s="11" t="str">
        <f>IFERROR(IF(MARÍTIMOS[[#This Row],[Etapa Ingreso - Cita]]="","",MARÍTIMOS[[#This Row],[Etapa Ingreso - Cita]]),"")</f>
        <v/>
      </c>
      <c r="AI858" s="11" t="str">
        <f>IFERROR(IF(MARÍTIMOS[[#This Row],[Etapa Ingreso - Llegada]]="","",MARÍTIMOS[[#This Row],[Etapa Ingreso - Llegada]]),"")</f>
        <v/>
      </c>
      <c r="AJ858" s="11" t="str">
        <f>IFERROR(IF(MARÍTIMOS[[#This Row],[Etapa Ingreso - Ingeso]]="","",MARÍTIMOS[[#This Row],[Etapa Ingreso - Ingeso]]),"")</f>
        <v/>
      </c>
      <c r="AK858" s="11" t="str">
        <f>IFERROR(IF(MARÍTIMOS[[#This Row],[Etapa Ingreso - Atención]]="","",MARÍTIMOS[[#This Row],[Etapa Ingreso - Atención]]),"")</f>
        <v/>
      </c>
      <c r="AL858" s="11" t="str">
        <f>IFERROR(IF(MARÍTIMOS[[#This Row],[Etapa Ingreso - Salida]]="","",MARÍTIMOS[[#This Row],[Etapa Ingreso - Salida]]),"")</f>
        <v/>
      </c>
      <c r="AM858" s="2" t="str">
        <f>IFERROR(IF(MARÍTIMOS[[#This Row],[FCL]]="","",MARÍTIMOS[[#This Row],[FCL]]),"")</f>
        <v/>
      </c>
      <c r="AN8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8" s="4" t="str" cm="1">
        <f t="array" ref="AO8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8" s="5" t="str">
        <f>IFERROR(OLDBD[[#This Row],[Llegada a packing]]-OLDBD[[#This Row],[Inicio de Ruta]],"")</f>
        <v/>
      </c>
      <c r="AQ858" s="6" t="str">
        <f>IFERROR(OLDBD[[#This Row],[Inicio de Ruta]]-OLDBD[[#This Row],[Salida de almacén de retiro]],"")</f>
        <v/>
      </c>
      <c r="AR8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8" s="8" t="str" cm="1">
        <f t="array" ref="AS8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8" s="9" t="str">
        <f>IFERROR(OLDBD[[#This Row],[Ingreso Packing]]-OLDBD[[#This Row],[Registro en Packing]],"")</f>
        <v/>
      </c>
      <c r="AV858" s="9" t="str">
        <f>IFERROR(OLDBD[[#This Row],[Ingreso Packing]]-OLDBD[[#This Row],[Llegada a packing]],"")</f>
        <v/>
      </c>
      <c r="AW8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8" s="5" t="str">
        <f>IFERROR(OLDBD[[#This Row],[Llegada Almacén de Ingreso]]-OLDBD[[#This Row],[Salida Packing]],"")</f>
        <v/>
      </c>
      <c r="AY858" s="4" t="str" cm="1">
        <f t="array" ref="AY8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8" s="43" t="s">
        <v>173</v>
      </c>
      <c r="BB858" s="47" t="str">
        <f>IFERROR(IF(MARÍTIMOS[[#This Row],[Estatus]]="","",MARÍTIMOS[[#This Row],[Estatus]]),"")</f>
        <v/>
      </c>
      <c r="BC858" s="43"/>
      <c r="BD858" s="46" t="str">
        <f>IFERROR(OLDBD[[#This Row],[Salida de almacén de retiro]]-OLDBD[[#This Row],[Ingreso Almacén de retiro]],"")</f>
        <v/>
      </c>
      <c r="BE858" s="46" t="str">
        <f>IFERROR(OLDBD[[#This Row],[Fin de Carga]]-OLDBD[[#This Row],[Inicio de Carga]],"")</f>
        <v/>
      </c>
    </row>
    <row r="859" spans="1:57" customFormat="1" hidden="1">
      <c r="A859" s="1"/>
      <c r="B859" s="1" t="str">
        <f>IFERROR(IF(MARÍTIMOS[[#This Row],[PP]]="","",MARÍTIMOS[[#This Row],[PP]]),"")</f>
        <v/>
      </c>
      <c r="C859" s="1" t="str">
        <f>IFERROR(IF(MARÍTIMOS[[#This Row],[Sede]]="","",MARÍTIMOS[[#This Row],[Sede]]),"")</f>
        <v/>
      </c>
      <c r="D859" s="1" t="str">
        <f>IFERROR(IF(MARÍTIMOS[[#This Row],[Instruction]]="","",MARÍTIMOS[[#This Row],[Instruction]]),"")</f>
        <v/>
      </c>
      <c r="E859" s="1"/>
      <c r="F859" s="2" t="str">
        <f>IFERROR(IF(MARÍTIMOS[[#This Row],[Transportista]]="","",MARÍTIMOS[[#This Row],[Transportista]]),"")</f>
        <v/>
      </c>
      <c r="G859" s="2" t="str">
        <f>IFERROR(IF(MARÍTIMOS[[#This Row],[Tercero]]="","",MARÍTIMOS[[#This Row],[Tercero]]),"")</f>
        <v/>
      </c>
      <c r="H859" s="2" t="str">
        <f>IFERROR(IF(MARÍTIMOS[[#This Row],[Razón Social]]="","",MARÍTIMOS[[#This Row],[Razón Social]]),"")</f>
        <v/>
      </c>
      <c r="I859" s="2" t="str">
        <f>IFERROR(IF(MARÍTIMOS[[#This Row],[RUC]]="","",MARÍTIMOS[[#This Row],[RUC]]),"")</f>
        <v/>
      </c>
      <c r="J859" s="2" t="str">
        <f>IFERROR(IF(MARÍTIMOS[[#This Row],[Placa Tracto]]="","",MARÍTIMOS[[#This Row],[Placa Tracto]]),"")</f>
        <v/>
      </c>
      <c r="K859" s="2" t="str">
        <f>IFERROR(IF(MARÍTIMOS[[#This Row],[Placa Carreta]]="","",MARÍTIMOS[[#This Row],[Placa Carreta]]),"")</f>
        <v/>
      </c>
      <c r="L859" s="44" t="str">
        <f>IFERROR(IF(MARÍTIMOS[[#This Row],[Conductor]]="","",MARÍTIMOS[[#This Row],[Conductor]]),"")</f>
        <v/>
      </c>
      <c r="M859" s="2" t="str">
        <f>IFERROR(IF(MARÍTIMOS[[#This Row],[Licencia]]="","",MARÍTIMOS[[#This Row],[Licencia]]),"")</f>
        <v/>
      </c>
      <c r="N859" s="2" t="str">
        <f>IFERROR(IF(MARÍTIMOS[[#This Row],[Número de Contacto]]="","",MARÍTIMOS[[#This Row],[Número de Contacto]]),"")</f>
        <v/>
      </c>
      <c r="O859" s="10" t="str">
        <f>IFERROR(IF(MARÍTIMOS[[#This Row],[Booking|AWB|CRT]]="","",MARÍTIMOS[[#This Row],[Booking|AWB|CRT]]),"")</f>
        <v/>
      </c>
      <c r="P859" s="2" t="str">
        <f>IFERROR(IF(MARÍTIMOS[[#This Row],[Contenedor]]="","",MARÍTIMOS[[#This Row],[Contenedor]]),"")</f>
        <v/>
      </c>
      <c r="Q859" s="2" t="str">
        <f>IFERROR(IF(MARÍTIMOS[[#This Row],[Puerto de Retiro]]="","",MARÍTIMOS[[#This Row],[Puerto de Retiro]]),"")</f>
        <v/>
      </c>
      <c r="R859" s="2" t="str">
        <f>IFERROR(IF(MARÍTIMOS[[#This Row],[Almacén de Retiro]]="","",MARÍTIMOS[[#This Row],[Almacén de Retiro]]),"")</f>
        <v/>
      </c>
      <c r="S859" s="11" t="str">
        <f>IFERROR(IF(MARÍTIMOS[[#This Row],[Etapa Retiro - Cita]]="","",MARÍTIMOS[[#This Row],[Etapa Retiro - Cita]]),"")</f>
        <v/>
      </c>
      <c r="T859" s="11" t="str">
        <f>IFERROR(IF(MARÍTIMOS[[#This Row],[Etapa Retiro - Llegada]]="","",MARÍTIMOS[[#This Row],[Etapa Retiro - Llegada]]),"")</f>
        <v/>
      </c>
      <c r="U859" s="11" t="str">
        <f>IFERROR(IF(MARÍTIMOS[[#This Row],[Etapa Retiro - Ingreso]]="","",MARÍTIMOS[[#This Row],[Etapa Retiro - Ingreso]]),"")</f>
        <v/>
      </c>
      <c r="V859" s="11" t="str">
        <f>IFERROR(IF(MARÍTIMOS[[#This Row],[Etapa Retiro - Atención]]="","",MARÍTIMOS[[#This Row],[Etapa Retiro - Atención]]),"")</f>
        <v/>
      </c>
      <c r="W859" s="11" t="str">
        <f>IFERROR(IF(MARÍTIMOS[[#This Row],[Etapa Retiro - Atención]]="","",MARÍTIMOS[[#This Row],[Etapa Retiro - Atención]]),"")</f>
        <v/>
      </c>
      <c r="X859" s="11" t="str">
        <f>IFERROR(IF(MARÍTIMOS[[#This Row],[Etapa Retiro - Inicio de Ruta]]="","",MARÍTIMOS[[#This Row],[Etapa Retiro - Inicio de Ruta]]),"")</f>
        <v/>
      </c>
      <c r="Y859" s="11" t="str">
        <f>IFERROR(IF(MARÍTIMOS[[#This Row],[Hora de Posicionamiento]]="","",MARÍTIMOS[[#This Row],[Fecha de Carga]]+MARÍTIMOS[[#This Row],[Hora de Posicionamiento]]),"")</f>
        <v/>
      </c>
      <c r="Z859" s="11" t="str">
        <f>IFERROR(IF(MARÍTIMOS[[#This Row],[Etapa Despacho - Llegada]]="","",MARÍTIMOS[[#This Row],[Etapa Despacho - Llegada]]),"")</f>
        <v/>
      </c>
      <c r="AA859" s="11" t="str">
        <f>IFERROR(IF(MARÍTIMOS[[#This Row],[Etapa Despacho - Registro]]="","",MARÍTIMOS[[#This Row],[Etapa Despacho - Registro]]),"")</f>
        <v/>
      </c>
      <c r="AB859" s="11" t="str">
        <f>IFERROR(IF(MARÍTIMOS[[#This Row],[Inspección Externa]]="","",MARÍTIMOS[[#This Row],[Inspección Externa]]),"")</f>
        <v/>
      </c>
      <c r="AC859" s="11" t="str">
        <f>IFERROR(IF(MARÍTIMOS[[#This Row],[Etapa Despacho - Inicio de Carga]]="","",MARÍTIMOS[[#This Row],[Etapa Despacho - Inicio de Carga]]),"")</f>
        <v/>
      </c>
      <c r="AD859" s="11" t="str">
        <f>IFERROR(IF(MARÍTIMOS[[#This Row],[Etapa Despacho - Mitad de Carga]]="","",MARÍTIMOS[[#This Row],[Etapa Despacho - Mitad de Carga]]),"")</f>
        <v/>
      </c>
      <c r="AE859" s="11" t="str">
        <f>IFERROR(IF(MARÍTIMOS[[#This Row],[Etapa Despacho - Fin de Carga]]="","",MARÍTIMOS[[#This Row],[Etapa Despacho - Fin de Carga]]),"")</f>
        <v/>
      </c>
      <c r="AF859" s="2" t="str">
        <f>IFERROR(IF(MARÍTIMOS[[#This Row],[Puerto de Embarque]]="","",MARÍTIMOS[[#This Row],[Puerto de Embarque]]),"")</f>
        <v/>
      </c>
      <c r="AG859" s="2" t="str">
        <f>IFERROR(IF(MARÍTIMOS[[#This Row],[Almacén de Ingreso]]="","",MARÍTIMOS[[#This Row],[Almacén de Ingreso]]),"")</f>
        <v/>
      </c>
      <c r="AH859" s="11" t="str">
        <f>IFERROR(IF(MARÍTIMOS[[#This Row],[Etapa Ingreso - Cita]]="","",MARÍTIMOS[[#This Row],[Etapa Ingreso - Cita]]),"")</f>
        <v/>
      </c>
      <c r="AI859" s="11" t="str">
        <f>IFERROR(IF(MARÍTIMOS[[#This Row],[Etapa Ingreso - Llegada]]="","",MARÍTIMOS[[#This Row],[Etapa Ingreso - Llegada]]),"")</f>
        <v/>
      </c>
      <c r="AJ859" s="11" t="str">
        <f>IFERROR(IF(MARÍTIMOS[[#This Row],[Etapa Ingreso - Ingeso]]="","",MARÍTIMOS[[#This Row],[Etapa Ingreso - Ingeso]]),"")</f>
        <v/>
      </c>
      <c r="AK859" s="11" t="str">
        <f>IFERROR(IF(MARÍTIMOS[[#This Row],[Etapa Ingreso - Atención]]="","",MARÍTIMOS[[#This Row],[Etapa Ingreso - Atención]]),"")</f>
        <v/>
      </c>
      <c r="AL859" s="11" t="str">
        <f>IFERROR(IF(MARÍTIMOS[[#This Row],[Etapa Ingreso - Salida]]="","",MARÍTIMOS[[#This Row],[Etapa Ingreso - Salida]]),"")</f>
        <v/>
      </c>
      <c r="AM859" s="2" t="str">
        <f>IFERROR(IF(MARÍTIMOS[[#This Row],[FCL]]="","",MARÍTIMOS[[#This Row],[FCL]]),"")</f>
        <v/>
      </c>
      <c r="AN8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59" s="4" t="str" cm="1">
        <f t="array" ref="AO8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59" s="5" t="str">
        <f>IFERROR(OLDBD[[#This Row],[Llegada a packing]]-OLDBD[[#This Row],[Inicio de Ruta]],"")</f>
        <v/>
      </c>
      <c r="AQ859" s="6" t="str">
        <f>IFERROR(OLDBD[[#This Row],[Inicio de Ruta]]-OLDBD[[#This Row],[Salida de almacén de retiro]],"")</f>
        <v/>
      </c>
      <c r="AR8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59" s="8" t="str" cm="1">
        <f t="array" ref="AS8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59" s="9" t="str">
        <f>IFERROR(OLDBD[[#This Row],[Ingreso Packing]]-OLDBD[[#This Row],[Registro en Packing]],"")</f>
        <v/>
      </c>
      <c r="AV859" s="9" t="str">
        <f>IFERROR(OLDBD[[#This Row],[Ingreso Packing]]-OLDBD[[#This Row],[Llegada a packing]],"")</f>
        <v/>
      </c>
      <c r="AW8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59" s="5" t="str">
        <f>IFERROR(OLDBD[[#This Row],[Llegada Almacén de Ingreso]]-OLDBD[[#This Row],[Salida Packing]],"")</f>
        <v/>
      </c>
      <c r="AY859" s="4" t="str" cm="1">
        <f t="array" ref="AY8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59" s="43" t="s">
        <v>173</v>
      </c>
      <c r="BB859" s="47" t="str">
        <f>IFERROR(IF(MARÍTIMOS[[#This Row],[Estatus]]="","",MARÍTIMOS[[#This Row],[Estatus]]),"")</f>
        <v/>
      </c>
      <c r="BC859" s="43"/>
      <c r="BD859" s="46" t="str">
        <f>IFERROR(OLDBD[[#This Row],[Salida de almacén de retiro]]-OLDBD[[#This Row],[Ingreso Almacén de retiro]],"")</f>
        <v/>
      </c>
      <c r="BE859" s="46" t="str">
        <f>IFERROR(OLDBD[[#This Row],[Fin de Carga]]-OLDBD[[#This Row],[Inicio de Carga]],"")</f>
        <v/>
      </c>
    </row>
    <row r="860" spans="1:57" customFormat="1" hidden="1">
      <c r="A860" s="1"/>
      <c r="B860" s="1" t="str">
        <f>IFERROR(IF(MARÍTIMOS[[#This Row],[PP]]="","",MARÍTIMOS[[#This Row],[PP]]),"")</f>
        <v/>
      </c>
      <c r="C860" s="1" t="str">
        <f>IFERROR(IF(MARÍTIMOS[[#This Row],[Sede]]="","",MARÍTIMOS[[#This Row],[Sede]]),"")</f>
        <v/>
      </c>
      <c r="D860" s="1" t="str">
        <f>IFERROR(IF(MARÍTIMOS[[#This Row],[Instruction]]="","",MARÍTIMOS[[#This Row],[Instruction]]),"")</f>
        <v/>
      </c>
      <c r="E860" s="1"/>
      <c r="F860" s="2" t="str">
        <f>IFERROR(IF(MARÍTIMOS[[#This Row],[Transportista]]="","",MARÍTIMOS[[#This Row],[Transportista]]),"")</f>
        <v/>
      </c>
      <c r="G860" s="2" t="str">
        <f>IFERROR(IF(MARÍTIMOS[[#This Row],[Tercero]]="","",MARÍTIMOS[[#This Row],[Tercero]]),"")</f>
        <v/>
      </c>
      <c r="H860" s="2" t="str">
        <f>IFERROR(IF(MARÍTIMOS[[#This Row],[Razón Social]]="","",MARÍTIMOS[[#This Row],[Razón Social]]),"")</f>
        <v/>
      </c>
      <c r="I860" s="2" t="str">
        <f>IFERROR(IF(MARÍTIMOS[[#This Row],[RUC]]="","",MARÍTIMOS[[#This Row],[RUC]]),"")</f>
        <v/>
      </c>
      <c r="J860" s="2" t="str">
        <f>IFERROR(IF(MARÍTIMOS[[#This Row],[Placa Tracto]]="","",MARÍTIMOS[[#This Row],[Placa Tracto]]),"")</f>
        <v/>
      </c>
      <c r="K860" s="2" t="str">
        <f>IFERROR(IF(MARÍTIMOS[[#This Row],[Placa Carreta]]="","",MARÍTIMOS[[#This Row],[Placa Carreta]]),"")</f>
        <v/>
      </c>
      <c r="L860" s="44" t="str">
        <f>IFERROR(IF(MARÍTIMOS[[#This Row],[Conductor]]="","",MARÍTIMOS[[#This Row],[Conductor]]),"")</f>
        <v/>
      </c>
      <c r="M860" s="2" t="str">
        <f>IFERROR(IF(MARÍTIMOS[[#This Row],[Licencia]]="","",MARÍTIMOS[[#This Row],[Licencia]]),"")</f>
        <v/>
      </c>
      <c r="N860" s="2" t="str">
        <f>IFERROR(IF(MARÍTIMOS[[#This Row],[Número de Contacto]]="","",MARÍTIMOS[[#This Row],[Número de Contacto]]),"")</f>
        <v/>
      </c>
      <c r="O860" s="10" t="str">
        <f>IFERROR(IF(MARÍTIMOS[[#This Row],[Booking|AWB|CRT]]="","",MARÍTIMOS[[#This Row],[Booking|AWB|CRT]]),"")</f>
        <v/>
      </c>
      <c r="P860" s="2" t="str">
        <f>IFERROR(IF(MARÍTIMOS[[#This Row],[Contenedor]]="","",MARÍTIMOS[[#This Row],[Contenedor]]),"")</f>
        <v/>
      </c>
      <c r="Q860" s="2" t="str">
        <f>IFERROR(IF(MARÍTIMOS[[#This Row],[Puerto de Retiro]]="","",MARÍTIMOS[[#This Row],[Puerto de Retiro]]),"")</f>
        <v/>
      </c>
      <c r="R860" s="2" t="str">
        <f>IFERROR(IF(MARÍTIMOS[[#This Row],[Almacén de Retiro]]="","",MARÍTIMOS[[#This Row],[Almacén de Retiro]]),"")</f>
        <v/>
      </c>
      <c r="S860" s="11" t="str">
        <f>IFERROR(IF(MARÍTIMOS[[#This Row],[Etapa Retiro - Cita]]="","",MARÍTIMOS[[#This Row],[Etapa Retiro - Cita]]),"")</f>
        <v/>
      </c>
      <c r="T860" s="11" t="str">
        <f>IFERROR(IF(MARÍTIMOS[[#This Row],[Etapa Retiro - Llegada]]="","",MARÍTIMOS[[#This Row],[Etapa Retiro - Llegada]]),"")</f>
        <v/>
      </c>
      <c r="U860" s="11" t="str">
        <f>IFERROR(IF(MARÍTIMOS[[#This Row],[Etapa Retiro - Ingreso]]="","",MARÍTIMOS[[#This Row],[Etapa Retiro - Ingreso]]),"")</f>
        <v/>
      </c>
      <c r="V860" s="11" t="str">
        <f>IFERROR(IF(MARÍTIMOS[[#This Row],[Etapa Retiro - Atención]]="","",MARÍTIMOS[[#This Row],[Etapa Retiro - Atención]]),"")</f>
        <v/>
      </c>
      <c r="W860" s="11" t="str">
        <f>IFERROR(IF(MARÍTIMOS[[#This Row],[Etapa Retiro - Atención]]="","",MARÍTIMOS[[#This Row],[Etapa Retiro - Atención]]),"")</f>
        <v/>
      </c>
      <c r="X860" s="11" t="str">
        <f>IFERROR(IF(MARÍTIMOS[[#This Row],[Etapa Retiro - Inicio de Ruta]]="","",MARÍTIMOS[[#This Row],[Etapa Retiro - Inicio de Ruta]]),"")</f>
        <v/>
      </c>
      <c r="Y860" s="11" t="str">
        <f>IFERROR(IF(MARÍTIMOS[[#This Row],[Hora de Posicionamiento]]="","",MARÍTIMOS[[#This Row],[Fecha de Carga]]+MARÍTIMOS[[#This Row],[Hora de Posicionamiento]]),"")</f>
        <v/>
      </c>
      <c r="Z860" s="11" t="str">
        <f>IFERROR(IF(MARÍTIMOS[[#This Row],[Etapa Despacho - Llegada]]="","",MARÍTIMOS[[#This Row],[Etapa Despacho - Llegada]]),"")</f>
        <v/>
      </c>
      <c r="AA860" s="11" t="str">
        <f>IFERROR(IF(MARÍTIMOS[[#This Row],[Etapa Despacho - Registro]]="","",MARÍTIMOS[[#This Row],[Etapa Despacho - Registro]]),"")</f>
        <v/>
      </c>
      <c r="AB860" s="11" t="str">
        <f>IFERROR(IF(MARÍTIMOS[[#This Row],[Inspección Externa]]="","",MARÍTIMOS[[#This Row],[Inspección Externa]]),"")</f>
        <v/>
      </c>
      <c r="AC860" s="11" t="str">
        <f>IFERROR(IF(MARÍTIMOS[[#This Row],[Etapa Despacho - Inicio de Carga]]="","",MARÍTIMOS[[#This Row],[Etapa Despacho - Inicio de Carga]]),"")</f>
        <v/>
      </c>
      <c r="AD860" s="11" t="str">
        <f>IFERROR(IF(MARÍTIMOS[[#This Row],[Etapa Despacho - Mitad de Carga]]="","",MARÍTIMOS[[#This Row],[Etapa Despacho - Mitad de Carga]]),"")</f>
        <v/>
      </c>
      <c r="AE860" s="11" t="str">
        <f>IFERROR(IF(MARÍTIMOS[[#This Row],[Etapa Despacho - Fin de Carga]]="","",MARÍTIMOS[[#This Row],[Etapa Despacho - Fin de Carga]]),"")</f>
        <v/>
      </c>
      <c r="AF860" s="2" t="str">
        <f>IFERROR(IF(MARÍTIMOS[[#This Row],[Puerto de Embarque]]="","",MARÍTIMOS[[#This Row],[Puerto de Embarque]]),"")</f>
        <v/>
      </c>
      <c r="AG860" s="2" t="str">
        <f>IFERROR(IF(MARÍTIMOS[[#This Row],[Almacén de Ingreso]]="","",MARÍTIMOS[[#This Row],[Almacén de Ingreso]]),"")</f>
        <v/>
      </c>
      <c r="AH860" s="11" t="str">
        <f>IFERROR(IF(MARÍTIMOS[[#This Row],[Etapa Ingreso - Cita]]="","",MARÍTIMOS[[#This Row],[Etapa Ingreso - Cita]]),"")</f>
        <v/>
      </c>
      <c r="AI860" s="11" t="str">
        <f>IFERROR(IF(MARÍTIMOS[[#This Row],[Etapa Ingreso - Llegada]]="","",MARÍTIMOS[[#This Row],[Etapa Ingreso - Llegada]]),"")</f>
        <v/>
      </c>
      <c r="AJ860" s="11" t="str">
        <f>IFERROR(IF(MARÍTIMOS[[#This Row],[Etapa Ingreso - Ingeso]]="","",MARÍTIMOS[[#This Row],[Etapa Ingreso - Ingeso]]),"")</f>
        <v/>
      </c>
      <c r="AK860" s="11" t="str">
        <f>IFERROR(IF(MARÍTIMOS[[#This Row],[Etapa Ingreso - Atención]]="","",MARÍTIMOS[[#This Row],[Etapa Ingreso - Atención]]),"")</f>
        <v/>
      </c>
      <c r="AL860" s="11" t="str">
        <f>IFERROR(IF(MARÍTIMOS[[#This Row],[Etapa Ingreso - Salida]]="","",MARÍTIMOS[[#This Row],[Etapa Ingreso - Salida]]),"")</f>
        <v/>
      </c>
      <c r="AM860" s="2" t="str">
        <f>IFERROR(IF(MARÍTIMOS[[#This Row],[FCL]]="","",MARÍTIMOS[[#This Row],[FCL]]),"")</f>
        <v/>
      </c>
      <c r="AN8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0" s="4" t="str" cm="1">
        <f t="array" ref="AO8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0" s="5" t="str">
        <f>IFERROR(OLDBD[[#This Row],[Llegada a packing]]-OLDBD[[#This Row],[Inicio de Ruta]],"")</f>
        <v/>
      </c>
      <c r="AQ860" s="6" t="str">
        <f>IFERROR(OLDBD[[#This Row],[Inicio de Ruta]]-OLDBD[[#This Row],[Salida de almacén de retiro]],"")</f>
        <v/>
      </c>
      <c r="AR8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0" s="8" t="str" cm="1">
        <f t="array" ref="AS8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0" s="9" t="str">
        <f>IFERROR(OLDBD[[#This Row],[Ingreso Packing]]-OLDBD[[#This Row],[Registro en Packing]],"")</f>
        <v/>
      </c>
      <c r="AV860" s="9" t="str">
        <f>IFERROR(OLDBD[[#This Row],[Ingreso Packing]]-OLDBD[[#This Row],[Llegada a packing]],"")</f>
        <v/>
      </c>
      <c r="AW8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0" s="5" t="str">
        <f>IFERROR(OLDBD[[#This Row],[Llegada Almacén de Ingreso]]-OLDBD[[#This Row],[Salida Packing]],"")</f>
        <v/>
      </c>
      <c r="AY860" s="4" t="str" cm="1">
        <f t="array" ref="AY8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0" s="43" t="s">
        <v>173</v>
      </c>
      <c r="BB860" s="47" t="str">
        <f>IFERROR(IF(MARÍTIMOS[[#This Row],[Estatus]]="","",MARÍTIMOS[[#This Row],[Estatus]]),"")</f>
        <v/>
      </c>
      <c r="BC860" s="43"/>
      <c r="BD860" s="46" t="str">
        <f>IFERROR(OLDBD[[#This Row],[Salida de almacén de retiro]]-OLDBD[[#This Row],[Ingreso Almacén de retiro]],"")</f>
        <v/>
      </c>
      <c r="BE860" s="46" t="str">
        <f>IFERROR(OLDBD[[#This Row],[Fin de Carga]]-OLDBD[[#This Row],[Inicio de Carga]],"")</f>
        <v/>
      </c>
    </row>
    <row r="861" spans="1:57" customFormat="1" hidden="1">
      <c r="A861" s="1"/>
      <c r="B861" s="1" t="str">
        <f>IFERROR(IF(MARÍTIMOS[[#This Row],[PP]]="","",MARÍTIMOS[[#This Row],[PP]]),"")</f>
        <v/>
      </c>
      <c r="C861" s="1" t="str">
        <f>IFERROR(IF(MARÍTIMOS[[#This Row],[Sede]]="","",MARÍTIMOS[[#This Row],[Sede]]),"")</f>
        <v/>
      </c>
      <c r="D861" s="1" t="str">
        <f>IFERROR(IF(MARÍTIMOS[[#This Row],[Instruction]]="","",MARÍTIMOS[[#This Row],[Instruction]]),"")</f>
        <v/>
      </c>
      <c r="E861" s="1"/>
      <c r="F861" s="2" t="str">
        <f>IFERROR(IF(MARÍTIMOS[[#This Row],[Transportista]]="","",MARÍTIMOS[[#This Row],[Transportista]]),"")</f>
        <v/>
      </c>
      <c r="G861" s="2" t="str">
        <f>IFERROR(IF(MARÍTIMOS[[#This Row],[Tercero]]="","",MARÍTIMOS[[#This Row],[Tercero]]),"")</f>
        <v/>
      </c>
      <c r="H861" s="2" t="str">
        <f>IFERROR(IF(MARÍTIMOS[[#This Row],[Razón Social]]="","",MARÍTIMOS[[#This Row],[Razón Social]]),"")</f>
        <v/>
      </c>
      <c r="I861" s="2" t="str">
        <f>IFERROR(IF(MARÍTIMOS[[#This Row],[RUC]]="","",MARÍTIMOS[[#This Row],[RUC]]),"")</f>
        <v/>
      </c>
      <c r="J861" s="2" t="str">
        <f>IFERROR(IF(MARÍTIMOS[[#This Row],[Placa Tracto]]="","",MARÍTIMOS[[#This Row],[Placa Tracto]]),"")</f>
        <v/>
      </c>
      <c r="K861" s="2" t="str">
        <f>IFERROR(IF(MARÍTIMOS[[#This Row],[Placa Carreta]]="","",MARÍTIMOS[[#This Row],[Placa Carreta]]),"")</f>
        <v/>
      </c>
      <c r="L861" s="44" t="str">
        <f>IFERROR(IF(MARÍTIMOS[[#This Row],[Conductor]]="","",MARÍTIMOS[[#This Row],[Conductor]]),"")</f>
        <v/>
      </c>
      <c r="M861" s="2" t="str">
        <f>IFERROR(IF(MARÍTIMOS[[#This Row],[Licencia]]="","",MARÍTIMOS[[#This Row],[Licencia]]),"")</f>
        <v/>
      </c>
      <c r="N861" s="2" t="str">
        <f>IFERROR(IF(MARÍTIMOS[[#This Row],[Número de Contacto]]="","",MARÍTIMOS[[#This Row],[Número de Contacto]]),"")</f>
        <v/>
      </c>
      <c r="O861" s="10" t="str">
        <f>IFERROR(IF(MARÍTIMOS[[#This Row],[Booking|AWB|CRT]]="","",MARÍTIMOS[[#This Row],[Booking|AWB|CRT]]),"")</f>
        <v/>
      </c>
      <c r="P861" s="2" t="str">
        <f>IFERROR(IF(MARÍTIMOS[[#This Row],[Contenedor]]="","",MARÍTIMOS[[#This Row],[Contenedor]]),"")</f>
        <v/>
      </c>
      <c r="Q861" s="2" t="str">
        <f>IFERROR(IF(MARÍTIMOS[[#This Row],[Puerto de Retiro]]="","",MARÍTIMOS[[#This Row],[Puerto de Retiro]]),"")</f>
        <v/>
      </c>
      <c r="R861" s="2" t="str">
        <f>IFERROR(IF(MARÍTIMOS[[#This Row],[Almacén de Retiro]]="","",MARÍTIMOS[[#This Row],[Almacén de Retiro]]),"")</f>
        <v/>
      </c>
      <c r="S861" s="11" t="str">
        <f>IFERROR(IF(MARÍTIMOS[[#This Row],[Etapa Retiro - Cita]]="","",MARÍTIMOS[[#This Row],[Etapa Retiro - Cita]]),"")</f>
        <v/>
      </c>
      <c r="T861" s="11" t="str">
        <f>IFERROR(IF(MARÍTIMOS[[#This Row],[Etapa Retiro - Llegada]]="","",MARÍTIMOS[[#This Row],[Etapa Retiro - Llegada]]),"")</f>
        <v/>
      </c>
      <c r="U861" s="11" t="str">
        <f>IFERROR(IF(MARÍTIMOS[[#This Row],[Etapa Retiro - Ingreso]]="","",MARÍTIMOS[[#This Row],[Etapa Retiro - Ingreso]]),"")</f>
        <v/>
      </c>
      <c r="V861" s="11" t="str">
        <f>IFERROR(IF(MARÍTIMOS[[#This Row],[Etapa Retiro - Atención]]="","",MARÍTIMOS[[#This Row],[Etapa Retiro - Atención]]),"")</f>
        <v/>
      </c>
      <c r="W861" s="11" t="str">
        <f>IFERROR(IF(MARÍTIMOS[[#This Row],[Etapa Retiro - Atención]]="","",MARÍTIMOS[[#This Row],[Etapa Retiro - Atención]]),"")</f>
        <v/>
      </c>
      <c r="X861" s="11" t="str">
        <f>IFERROR(IF(MARÍTIMOS[[#This Row],[Etapa Retiro - Inicio de Ruta]]="","",MARÍTIMOS[[#This Row],[Etapa Retiro - Inicio de Ruta]]),"")</f>
        <v/>
      </c>
      <c r="Y861" s="11" t="str">
        <f>IFERROR(IF(MARÍTIMOS[[#This Row],[Hora de Posicionamiento]]="","",MARÍTIMOS[[#This Row],[Fecha de Carga]]+MARÍTIMOS[[#This Row],[Hora de Posicionamiento]]),"")</f>
        <v/>
      </c>
      <c r="Z861" s="11" t="str">
        <f>IFERROR(IF(MARÍTIMOS[[#This Row],[Etapa Despacho - Llegada]]="","",MARÍTIMOS[[#This Row],[Etapa Despacho - Llegada]]),"")</f>
        <v/>
      </c>
      <c r="AA861" s="11" t="str">
        <f>IFERROR(IF(MARÍTIMOS[[#This Row],[Etapa Despacho - Registro]]="","",MARÍTIMOS[[#This Row],[Etapa Despacho - Registro]]),"")</f>
        <v/>
      </c>
      <c r="AB861" s="11" t="str">
        <f>IFERROR(IF(MARÍTIMOS[[#This Row],[Inspección Externa]]="","",MARÍTIMOS[[#This Row],[Inspección Externa]]),"")</f>
        <v/>
      </c>
      <c r="AC861" s="11" t="str">
        <f>IFERROR(IF(MARÍTIMOS[[#This Row],[Etapa Despacho - Inicio de Carga]]="","",MARÍTIMOS[[#This Row],[Etapa Despacho - Inicio de Carga]]),"")</f>
        <v/>
      </c>
      <c r="AD861" s="11" t="str">
        <f>IFERROR(IF(MARÍTIMOS[[#This Row],[Etapa Despacho - Mitad de Carga]]="","",MARÍTIMOS[[#This Row],[Etapa Despacho - Mitad de Carga]]),"")</f>
        <v/>
      </c>
      <c r="AE861" s="11" t="str">
        <f>IFERROR(IF(MARÍTIMOS[[#This Row],[Etapa Despacho - Fin de Carga]]="","",MARÍTIMOS[[#This Row],[Etapa Despacho - Fin de Carga]]),"")</f>
        <v/>
      </c>
      <c r="AF861" s="2" t="str">
        <f>IFERROR(IF(MARÍTIMOS[[#This Row],[Puerto de Embarque]]="","",MARÍTIMOS[[#This Row],[Puerto de Embarque]]),"")</f>
        <v/>
      </c>
      <c r="AG861" s="2" t="str">
        <f>IFERROR(IF(MARÍTIMOS[[#This Row],[Almacén de Ingreso]]="","",MARÍTIMOS[[#This Row],[Almacén de Ingreso]]),"")</f>
        <v/>
      </c>
      <c r="AH861" s="11" t="str">
        <f>IFERROR(IF(MARÍTIMOS[[#This Row],[Etapa Ingreso - Cita]]="","",MARÍTIMOS[[#This Row],[Etapa Ingreso - Cita]]),"")</f>
        <v/>
      </c>
      <c r="AI861" s="11" t="str">
        <f>IFERROR(IF(MARÍTIMOS[[#This Row],[Etapa Ingreso - Llegada]]="","",MARÍTIMOS[[#This Row],[Etapa Ingreso - Llegada]]),"")</f>
        <v/>
      </c>
      <c r="AJ861" s="11" t="str">
        <f>IFERROR(IF(MARÍTIMOS[[#This Row],[Etapa Ingreso - Ingeso]]="","",MARÍTIMOS[[#This Row],[Etapa Ingreso - Ingeso]]),"")</f>
        <v/>
      </c>
      <c r="AK861" s="11" t="str">
        <f>IFERROR(IF(MARÍTIMOS[[#This Row],[Etapa Ingreso - Atención]]="","",MARÍTIMOS[[#This Row],[Etapa Ingreso - Atención]]),"")</f>
        <v/>
      </c>
      <c r="AL861" s="11" t="str">
        <f>IFERROR(IF(MARÍTIMOS[[#This Row],[Etapa Ingreso - Salida]]="","",MARÍTIMOS[[#This Row],[Etapa Ingreso - Salida]]),"")</f>
        <v/>
      </c>
      <c r="AM861" s="2" t="str">
        <f>IFERROR(IF(MARÍTIMOS[[#This Row],[FCL]]="","",MARÍTIMOS[[#This Row],[FCL]]),"")</f>
        <v/>
      </c>
      <c r="AN8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1" s="4" t="str" cm="1">
        <f t="array" ref="AO8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1" s="5" t="str">
        <f>IFERROR(OLDBD[[#This Row],[Llegada a packing]]-OLDBD[[#This Row],[Inicio de Ruta]],"")</f>
        <v/>
      </c>
      <c r="AQ861" s="6" t="str">
        <f>IFERROR(OLDBD[[#This Row],[Inicio de Ruta]]-OLDBD[[#This Row],[Salida de almacén de retiro]],"")</f>
        <v/>
      </c>
      <c r="AR8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1" s="8" t="str" cm="1">
        <f t="array" ref="AS8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1" s="9" t="str">
        <f>IFERROR(OLDBD[[#This Row],[Ingreso Packing]]-OLDBD[[#This Row],[Registro en Packing]],"")</f>
        <v/>
      </c>
      <c r="AV861" s="9" t="str">
        <f>IFERROR(OLDBD[[#This Row],[Ingreso Packing]]-OLDBD[[#This Row],[Llegada a packing]],"")</f>
        <v/>
      </c>
      <c r="AW8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1" s="5" t="str">
        <f>IFERROR(OLDBD[[#This Row],[Llegada Almacén de Ingreso]]-OLDBD[[#This Row],[Salida Packing]],"")</f>
        <v/>
      </c>
      <c r="AY861" s="4" t="str" cm="1">
        <f t="array" ref="AY8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1" s="43" t="s">
        <v>173</v>
      </c>
      <c r="BB861" s="47" t="str">
        <f>IFERROR(IF(MARÍTIMOS[[#This Row],[Estatus]]="","",MARÍTIMOS[[#This Row],[Estatus]]),"")</f>
        <v/>
      </c>
      <c r="BC861" s="43"/>
      <c r="BD861" s="46" t="str">
        <f>IFERROR(OLDBD[[#This Row],[Salida de almacén de retiro]]-OLDBD[[#This Row],[Ingreso Almacén de retiro]],"")</f>
        <v/>
      </c>
      <c r="BE861" s="46" t="str">
        <f>IFERROR(OLDBD[[#This Row],[Fin de Carga]]-OLDBD[[#This Row],[Inicio de Carga]],"")</f>
        <v/>
      </c>
    </row>
    <row r="862" spans="1:57" customFormat="1" hidden="1">
      <c r="A862" s="1"/>
      <c r="B862" s="1" t="str">
        <f>IFERROR(IF(MARÍTIMOS[[#This Row],[PP]]="","",MARÍTIMOS[[#This Row],[PP]]),"")</f>
        <v/>
      </c>
      <c r="C862" s="1" t="str">
        <f>IFERROR(IF(MARÍTIMOS[[#This Row],[Sede]]="","",MARÍTIMOS[[#This Row],[Sede]]),"")</f>
        <v/>
      </c>
      <c r="D862" s="1" t="str">
        <f>IFERROR(IF(MARÍTIMOS[[#This Row],[Instruction]]="","",MARÍTIMOS[[#This Row],[Instruction]]),"")</f>
        <v/>
      </c>
      <c r="E862" s="1"/>
      <c r="F862" s="2" t="str">
        <f>IFERROR(IF(MARÍTIMOS[[#This Row],[Transportista]]="","",MARÍTIMOS[[#This Row],[Transportista]]),"")</f>
        <v/>
      </c>
      <c r="G862" s="2" t="str">
        <f>IFERROR(IF(MARÍTIMOS[[#This Row],[Tercero]]="","",MARÍTIMOS[[#This Row],[Tercero]]),"")</f>
        <v/>
      </c>
      <c r="H862" s="2" t="str">
        <f>IFERROR(IF(MARÍTIMOS[[#This Row],[Razón Social]]="","",MARÍTIMOS[[#This Row],[Razón Social]]),"")</f>
        <v/>
      </c>
      <c r="I862" s="2" t="str">
        <f>IFERROR(IF(MARÍTIMOS[[#This Row],[RUC]]="","",MARÍTIMOS[[#This Row],[RUC]]),"")</f>
        <v/>
      </c>
      <c r="J862" s="2" t="str">
        <f>IFERROR(IF(MARÍTIMOS[[#This Row],[Placa Tracto]]="","",MARÍTIMOS[[#This Row],[Placa Tracto]]),"")</f>
        <v/>
      </c>
      <c r="K862" s="2" t="str">
        <f>IFERROR(IF(MARÍTIMOS[[#This Row],[Placa Carreta]]="","",MARÍTIMOS[[#This Row],[Placa Carreta]]),"")</f>
        <v/>
      </c>
      <c r="L862" s="44" t="str">
        <f>IFERROR(IF(MARÍTIMOS[[#This Row],[Conductor]]="","",MARÍTIMOS[[#This Row],[Conductor]]),"")</f>
        <v/>
      </c>
      <c r="M862" s="2" t="str">
        <f>IFERROR(IF(MARÍTIMOS[[#This Row],[Licencia]]="","",MARÍTIMOS[[#This Row],[Licencia]]),"")</f>
        <v/>
      </c>
      <c r="N862" s="2" t="str">
        <f>IFERROR(IF(MARÍTIMOS[[#This Row],[Número de Contacto]]="","",MARÍTIMOS[[#This Row],[Número de Contacto]]),"")</f>
        <v/>
      </c>
      <c r="O862" s="10" t="str">
        <f>IFERROR(IF(MARÍTIMOS[[#This Row],[Booking|AWB|CRT]]="","",MARÍTIMOS[[#This Row],[Booking|AWB|CRT]]),"")</f>
        <v/>
      </c>
      <c r="P862" s="2" t="str">
        <f>IFERROR(IF(MARÍTIMOS[[#This Row],[Contenedor]]="","",MARÍTIMOS[[#This Row],[Contenedor]]),"")</f>
        <v/>
      </c>
      <c r="Q862" s="2" t="str">
        <f>IFERROR(IF(MARÍTIMOS[[#This Row],[Puerto de Retiro]]="","",MARÍTIMOS[[#This Row],[Puerto de Retiro]]),"")</f>
        <v/>
      </c>
      <c r="R862" s="2" t="str">
        <f>IFERROR(IF(MARÍTIMOS[[#This Row],[Almacén de Retiro]]="","",MARÍTIMOS[[#This Row],[Almacén de Retiro]]),"")</f>
        <v/>
      </c>
      <c r="S862" s="11" t="str">
        <f>IFERROR(IF(MARÍTIMOS[[#This Row],[Etapa Retiro - Cita]]="","",MARÍTIMOS[[#This Row],[Etapa Retiro - Cita]]),"")</f>
        <v/>
      </c>
      <c r="T862" s="11" t="str">
        <f>IFERROR(IF(MARÍTIMOS[[#This Row],[Etapa Retiro - Llegada]]="","",MARÍTIMOS[[#This Row],[Etapa Retiro - Llegada]]),"")</f>
        <v/>
      </c>
      <c r="U862" s="11" t="str">
        <f>IFERROR(IF(MARÍTIMOS[[#This Row],[Etapa Retiro - Ingreso]]="","",MARÍTIMOS[[#This Row],[Etapa Retiro - Ingreso]]),"")</f>
        <v/>
      </c>
      <c r="V862" s="11" t="str">
        <f>IFERROR(IF(MARÍTIMOS[[#This Row],[Etapa Retiro - Atención]]="","",MARÍTIMOS[[#This Row],[Etapa Retiro - Atención]]),"")</f>
        <v/>
      </c>
      <c r="W862" s="11" t="str">
        <f>IFERROR(IF(MARÍTIMOS[[#This Row],[Etapa Retiro - Atención]]="","",MARÍTIMOS[[#This Row],[Etapa Retiro - Atención]]),"")</f>
        <v/>
      </c>
      <c r="X862" s="11" t="str">
        <f>IFERROR(IF(MARÍTIMOS[[#This Row],[Etapa Retiro - Inicio de Ruta]]="","",MARÍTIMOS[[#This Row],[Etapa Retiro - Inicio de Ruta]]),"")</f>
        <v/>
      </c>
      <c r="Y862" s="11" t="str">
        <f>IFERROR(IF(MARÍTIMOS[[#This Row],[Hora de Posicionamiento]]="","",MARÍTIMOS[[#This Row],[Fecha de Carga]]+MARÍTIMOS[[#This Row],[Hora de Posicionamiento]]),"")</f>
        <v/>
      </c>
      <c r="Z862" s="11" t="str">
        <f>IFERROR(IF(MARÍTIMOS[[#This Row],[Etapa Despacho - Llegada]]="","",MARÍTIMOS[[#This Row],[Etapa Despacho - Llegada]]),"")</f>
        <v/>
      </c>
      <c r="AA862" s="11" t="str">
        <f>IFERROR(IF(MARÍTIMOS[[#This Row],[Etapa Despacho - Registro]]="","",MARÍTIMOS[[#This Row],[Etapa Despacho - Registro]]),"")</f>
        <v/>
      </c>
      <c r="AB862" s="11" t="str">
        <f>IFERROR(IF(MARÍTIMOS[[#This Row],[Inspección Externa]]="","",MARÍTIMOS[[#This Row],[Inspección Externa]]),"")</f>
        <v/>
      </c>
      <c r="AC862" s="11" t="str">
        <f>IFERROR(IF(MARÍTIMOS[[#This Row],[Etapa Despacho - Inicio de Carga]]="","",MARÍTIMOS[[#This Row],[Etapa Despacho - Inicio de Carga]]),"")</f>
        <v/>
      </c>
      <c r="AD862" s="11" t="str">
        <f>IFERROR(IF(MARÍTIMOS[[#This Row],[Etapa Despacho - Mitad de Carga]]="","",MARÍTIMOS[[#This Row],[Etapa Despacho - Mitad de Carga]]),"")</f>
        <v/>
      </c>
      <c r="AE862" s="11" t="str">
        <f>IFERROR(IF(MARÍTIMOS[[#This Row],[Etapa Despacho - Fin de Carga]]="","",MARÍTIMOS[[#This Row],[Etapa Despacho - Fin de Carga]]),"")</f>
        <v/>
      </c>
      <c r="AF862" s="2" t="str">
        <f>IFERROR(IF(MARÍTIMOS[[#This Row],[Puerto de Embarque]]="","",MARÍTIMOS[[#This Row],[Puerto de Embarque]]),"")</f>
        <v/>
      </c>
      <c r="AG862" s="2" t="str">
        <f>IFERROR(IF(MARÍTIMOS[[#This Row],[Almacén de Ingreso]]="","",MARÍTIMOS[[#This Row],[Almacén de Ingreso]]),"")</f>
        <v/>
      </c>
      <c r="AH862" s="11" t="str">
        <f>IFERROR(IF(MARÍTIMOS[[#This Row],[Etapa Ingreso - Cita]]="","",MARÍTIMOS[[#This Row],[Etapa Ingreso - Cita]]),"")</f>
        <v/>
      </c>
      <c r="AI862" s="11" t="str">
        <f>IFERROR(IF(MARÍTIMOS[[#This Row],[Etapa Ingreso - Llegada]]="","",MARÍTIMOS[[#This Row],[Etapa Ingreso - Llegada]]),"")</f>
        <v/>
      </c>
      <c r="AJ862" s="11" t="str">
        <f>IFERROR(IF(MARÍTIMOS[[#This Row],[Etapa Ingreso - Ingeso]]="","",MARÍTIMOS[[#This Row],[Etapa Ingreso - Ingeso]]),"")</f>
        <v/>
      </c>
      <c r="AK862" s="11" t="str">
        <f>IFERROR(IF(MARÍTIMOS[[#This Row],[Etapa Ingreso - Atención]]="","",MARÍTIMOS[[#This Row],[Etapa Ingreso - Atención]]),"")</f>
        <v/>
      </c>
      <c r="AL862" s="11" t="str">
        <f>IFERROR(IF(MARÍTIMOS[[#This Row],[Etapa Ingreso - Salida]]="","",MARÍTIMOS[[#This Row],[Etapa Ingreso - Salida]]),"")</f>
        <v/>
      </c>
      <c r="AM862" s="2" t="str">
        <f>IFERROR(IF(MARÍTIMOS[[#This Row],[FCL]]="","",MARÍTIMOS[[#This Row],[FCL]]),"")</f>
        <v/>
      </c>
      <c r="AN8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2" s="4" t="str" cm="1">
        <f t="array" ref="AO8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2" s="5" t="str">
        <f>IFERROR(OLDBD[[#This Row],[Llegada a packing]]-OLDBD[[#This Row],[Inicio de Ruta]],"")</f>
        <v/>
      </c>
      <c r="AQ862" s="6" t="str">
        <f>IFERROR(OLDBD[[#This Row],[Inicio de Ruta]]-OLDBD[[#This Row],[Salida de almacén de retiro]],"")</f>
        <v/>
      </c>
      <c r="AR8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2" s="8" t="str" cm="1">
        <f t="array" ref="AS8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2" s="9" t="str">
        <f>IFERROR(OLDBD[[#This Row],[Ingreso Packing]]-OLDBD[[#This Row],[Registro en Packing]],"")</f>
        <v/>
      </c>
      <c r="AV862" s="9" t="str">
        <f>IFERROR(OLDBD[[#This Row],[Ingreso Packing]]-OLDBD[[#This Row],[Llegada a packing]],"")</f>
        <v/>
      </c>
      <c r="AW8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2" s="5" t="str">
        <f>IFERROR(OLDBD[[#This Row],[Llegada Almacén de Ingreso]]-OLDBD[[#This Row],[Salida Packing]],"")</f>
        <v/>
      </c>
      <c r="AY862" s="4" t="str" cm="1">
        <f t="array" ref="AY8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2" s="43" t="s">
        <v>173</v>
      </c>
      <c r="BB862" s="47" t="str">
        <f>IFERROR(IF(MARÍTIMOS[[#This Row],[Estatus]]="","",MARÍTIMOS[[#This Row],[Estatus]]),"")</f>
        <v/>
      </c>
      <c r="BC862" s="43"/>
      <c r="BD862" s="46" t="str">
        <f>IFERROR(OLDBD[[#This Row],[Salida de almacén de retiro]]-OLDBD[[#This Row],[Ingreso Almacén de retiro]],"")</f>
        <v/>
      </c>
      <c r="BE862" s="46" t="str">
        <f>IFERROR(OLDBD[[#This Row],[Fin de Carga]]-OLDBD[[#This Row],[Inicio de Carga]],"")</f>
        <v/>
      </c>
    </row>
    <row r="863" spans="1:57" customFormat="1" hidden="1">
      <c r="A863" s="1"/>
      <c r="B863" s="1" t="str">
        <f>IFERROR(IF(MARÍTIMOS[[#This Row],[PP]]="","",MARÍTIMOS[[#This Row],[PP]]),"")</f>
        <v/>
      </c>
      <c r="C863" s="1" t="str">
        <f>IFERROR(IF(MARÍTIMOS[[#This Row],[Sede]]="","",MARÍTIMOS[[#This Row],[Sede]]),"")</f>
        <v/>
      </c>
      <c r="D863" s="1" t="str">
        <f>IFERROR(IF(MARÍTIMOS[[#This Row],[Instruction]]="","",MARÍTIMOS[[#This Row],[Instruction]]),"")</f>
        <v/>
      </c>
      <c r="E863" s="1"/>
      <c r="F863" s="2" t="str">
        <f>IFERROR(IF(MARÍTIMOS[[#This Row],[Transportista]]="","",MARÍTIMOS[[#This Row],[Transportista]]),"")</f>
        <v/>
      </c>
      <c r="G863" s="2" t="str">
        <f>IFERROR(IF(MARÍTIMOS[[#This Row],[Tercero]]="","",MARÍTIMOS[[#This Row],[Tercero]]),"")</f>
        <v/>
      </c>
      <c r="H863" s="2" t="str">
        <f>IFERROR(IF(MARÍTIMOS[[#This Row],[Razón Social]]="","",MARÍTIMOS[[#This Row],[Razón Social]]),"")</f>
        <v/>
      </c>
      <c r="I863" s="2" t="str">
        <f>IFERROR(IF(MARÍTIMOS[[#This Row],[RUC]]="","",MARÍTIMOS[[#This Row],[RUC]]),"")</f>
        <v/>
      </c>
      <c r="J863" s="2" t="str">
        <f>IFERROR(IF(MARÍTIMOS[[#This Row],[Placa Tracto]]="","",MARÍTIMOS[[#This Row],[Placa Tracto]]),"")</f>
        <v/>
      </c>
      <c r="K863" s="2" t="str">
        <f>IFERROR(IF(MARÍTIMOS[[#This Row],[Placa Carreta]]="","",MARÍTIMOS[[#This Row],[Placa Carreta]]),"")</f>
        <v/>
      </c>
      <c r="L863" s="44" t="str">
        <f>IFERROR(IF(MARÍTIMOS[[#This Row],[Conductor]]="","",MARÍTIMOS[[#This Row],[Conductor]]),"")</f>
        <v/>
      </c>
      <c r="M863" s="2" t="str">
        <f>IFERROR(IF(MARÍTIMOS[[#This Row],[Licencia]]="","",MARÍTIMOS[[#This Row],[Licencia]]),"")</f>
        <v/>
      </c>
      <c r="N863" s="2" t="str">
        <f>IFERROR(IF(MARÍTIMOS[[#This Row],[Número de Contacto]]="","",MARÍTIMOS[[#This Row],[Número de Contacto]]),"")</f>
        <v/>
      </c>
      <c r="O863" s="10" t="str">
        <f>IFERROR(IF(MARÍTIMOS[[#This Row],[Booking|AWB|CRT]]="","",MARÍTIMOS[[#This Row],[Booking|AWB|CRT]]),"")</f>
        <v/>
      </c>
      <c r="P863" s="2" t="str">
        <f>IFERROR(IF(MARÍTIMOS[[#This Row],[Contenedor]]="","",MARÍTIMOS[[#This Row],[Contenedor]]),"")</f>
        <v/>
      </c>
      <c r="Q863" s="2" t="str">
        <f>IFERROR(IF(MARÍTIMOS[[#This Row],[Puerto de Retiro]]="","",MARÍTIMOS[[#This Row],[Puerto de Retiro]]),"")</f>
        <v/>
      </c>
      <c r="R863" s="2" t="str">
        <f>IFERROR(IF(MARÍTIMOS[[#This Row],[Almacén de Retiro]]="","",MARÍTIMOS[[#This Row],[Almacén de Retiro]]),"")</f>
        <v/>
      </c>
      <c r="S863" s="11" t="str">
        <f>IFERROR(IF(MARÍTIMOS[[#This Row],[Etapa Retiro - Cita]]="","",MARÍTIMOS[[#This Row],[Etapa Retiro - Cita]]),"")</f>
        <v/>
      </c>
      <c r="T863" s="11" t="str">
        <f>IFERROR(IF(MARÍTIMOS[[#This Row],[Etapa Retiro - Llegada]]="","",MARÍTIMOS[[#This Row],[Etapa Retiro - Llegada]]),"")</f>
        <v/>
      </c>
      <c r="U863" s="11" t="str">
        <f>IFERROR(IF(MARÍTIMOS[[#This Row],[Etapa Retiro - Ingreso]]="","",MARÍTIMOS[[#This Row],[Etapa Retiro - Ingreso]]),"")</f>
        <v/>
      </c>
      <c r="V863" s="11" t="str">
        <f>IFERROR(IF(MARÍTIMOS[[#This Row],[Etapa Retiro - Atención]]="","",MARÍTIMOS[[#This Row],[Etapa Retiro - Atención]]),"")</f>
        <v/>
      </c>
      <c r="W863" s="11" t="str">
        <f>IFERROR(IF(MARÍTIMOS[[#This Row],[Etapa Retiro - Atención]]="","",MARÍTIMOS[[#This Row],[Etapa Retiro - Atención]]),"")</f>
        <v/>
      </c>
      <c r="X863" s="11" t="str">
        <f>IFERROR(IF(MARÍTIMOS[[#This Row],[Etapa Retiro - Inicio de Ruta]]="","",MARÍTIMOS[[#This Row],[Etapa Retiro - Inicio de Ruta]]),"")</f>
        <v/>
      </c>
      <c r="Y863" s="11" t="str">
        <f>IFERROR(IF(MARÍTIMOS[[#This Row],[Hora de Posicionamiento]]="","",MARÍTIMOS[[#This Row],[Fecha de Carga]]+MARÍTIMOS[[#This Row],[Hora de Posicionamiento]]),"")</f>
        <v/>
      </c>
      <c r="Z863" s="11" t="str">
        <f>IFERROR(IF(MARÍTIMOS[[#This Row],[Etapa Despacho - Llegada]]="","",MARÍTIMOS[[#This Row],[Etapa Despacho - Llegada]]),"")</f>
        <v/>
      </c>
      <c r="AA863" s="11" t="str">
        <f>IFERROR(IF(MARÍTIMOS[[#This Row],[Etapa Despacho - Registro]]="","",MARÍTIMOS[[#This Row],[Etapa Despacho - Registro]]),"")</f>
        <v/>
      </c>
      <c r="AB863" s="11" t="str">
        <f>IFERROR(IF(MARÍTIMOS[[#This Row],[Inspección Externa]]="","",MARÍTIMOS[[#This Row],[Inspección Externa]]),"")</f>
        <v/>
      </c>
      <c r="AC863" s="11" t="str">
        <f>IFERROR(IF(MARÍTIMOS[[#This Row],[Etapa Despacho - Inicio de Carga]]="","",MARÍTIMOS[[#This Row],[Etapa Despacho - Inicio de Carga]]),"")</f>
        <v/>
      </c>
      <c r="AD863" s="11" t="str">
        <f>IFERROR(IF(MARÍTIMOS[[#This Row],[Etapa Despacho - Mitad de Carga]]="","",MARÍTIMOS[[#This Row],[Etapa Despacho - Mitad de Carga]]),"")</f>
        <v/>
      </c>
      <c r="AE863" s="11" t="str">
        <f>IFERROR(IF(MARÍTIMOS[[#This Row],[Etapa Despacho - Fin de Carga]]="","",MARÍTIMOS[[#This Row],[Etapa Despacho - Fin de Carga]]),"")</f>
        <v/>
      </c>
      <c r="AF863" s="2" t="str">
        <f>IFERROR(IF(MARÍTIMOS[[#This Row],[Puerto de Embarque]]="","",MARÍTIMOS[[#This Row],[Puerto de Embarque]]),"")</f>
        <v/>
      </c>
      <c r="AG863" s="2" t="str">
        <f>IFERROR(IF(MARÍTIMOS[[#This Row],[Almacén de Ingreso]]="","",MARÍTIMOS[[#This Row],[Almacén de Ingreso]]),"")</f>
        <v/>
      </c>
      <c r="AH863" s="11" t="str">
        <f>IFERROR(IF(MARÍTIMOS[[#This Row],[Etapa Ingreso - Cita]]="","",MARÍTIMOS[[#This Row],[Etapa Ingreso - Cita]]),"")</f>
        <v/>
      </c>
      <c r="AI863" s="11" t="str">
        <f>IFERROR(IF(MARÍTIMOS[[#This Row],[Etapa Ingreso - Llegada]]="","",MARÍTIMOS[[#This Row],[Etapa Ingreso - Llegada]]),"")</f>
        <v/>
      </c>
      <c r="AJ863" s="11" t="str">
        <f>IFERROR(IF(MARÍTIMOS[[#This Row],[Etapa Ingreso - Ingeso]]="","",MARÍTIMOS[[#This Row],[Etapa Ingreso - Ingeso]]),"")</f>
        <v/>
      </c>
      <c r="AK863" s="11" t="str">
        <f>IFERROR(IF(MARÍTIMOS[[#This Row],[Etapa Ingreso - Atención]]="","",MARÍTIMOS[[#This Row],[Etapa Ingreso - Atención]]),"")</f>
        <v/>
      </c>
      <c r="AL863" s="11" t="str">
        <f>IFERROR(IF(MARÍTIMOS[[#This Row],[Etapa Ingreso - Salida]]="","",MARÍTIMOS[[#This Row],[Etapa Ingreso - Salida]]),"")</f>
        <v/>
      </c>
      <c r="AM863" s="2" t="str">
        <f>IFERROR(IF(MARÍTIMOS[[#This Row],[FCL]]="","",MARÍTIMOS[[#This Row],[FCL]]),"")</f>
        <v/>
      </c>
      <c r="AN8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3" s="4" t="str" cm="1">
        <f t="array" ref="AO8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3" s="5" t="str">
        <f>IFERROR(OLDBD[[#This Row],[Llegada a packing]]-OLDBD[[#This Row],[Inicio de Ruta]],"")</f>
        <v/>
      </c>
      <c r="AQ863" s="6" t="str">
        <f>IFERROR(OLDBD[[#This Row],[Inicio de Ruta]]-OLDBD[[#This Row],[Salida de almacén de retiro]],"")</f>
        <v/>
      </c>
      <c r="AR8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3" s="8" t="str" cm="1">
        <f t="array" ref="AS8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3" s="9" t="str">
        <f>IFERROR(OLDBD[[#This Row],[Ingreso Packing]]-OLDBD[[#This Row],[Registro en Packing]],"")</f>
        <v/>
      </c>
      <c r="AV863" s="9" t="str">
        <f>IFERROR(OLDBD[[#This Row],[Ingreso Packing]]-OLDBD[[#This Row],[Llegada a packing]],"")</f>
        <v/>
      </c>
      <c r="AW8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3" s="5" t="str">
        <f>IFERROR(OLDBD[[#This Row],[Llegada Almacén de Ingreso]]-OLDBD[[#This Row],[Salida Packing]],"")</f>
        <v/>
      </c>
      <c r="AY863" s="4" t="str" cm="1">
        <f t="array" ref="AY8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3" s="43" t="s">
        <v>173</v>
      </c>
      <c r="BB863" s="47" t="str">
        <f>IFERROR(IF(MARÍTIMOS[[#This Row],[Estatus]]="","",MARÍTIMOS[[#This Row],[Estatus]]),"")</f>
        <v/>
      </c>
      <c r="BC863" s="43"/>
      <c r="BD863" s="46" t="str">
        <f>IFERROR(OLDBD[[#This Row],[Salida de almacén de retiro]]-OLDBD[[#This Row],[Ingreso Almacén de retiro]],"")</f>
        <v/>
      </c>
      <c r="BE863" s="46" t="str">
        <f>IFERROR(OLDBD[[#This Row],[Fin de Carga]]-OLDBD[[#This Row],[Inicio de Carga]],"")</f>
        <v/>
      </c>
    </row>
    <row r="864" spans="1:57" customFormat="1" hidden="1">
      <c r="A864" s="1"/>
      <c r="B864" s="1" t="str">
        <f>IFERROR(IF(MARÍTIMOS[[#This Row],[PP]]="","",MARÍTIMOS[[#This Row],[PP]]),"")</f>
        <v/>
      </c>
      <c r="C864" s="1" t="str">
        <f>IFERROR(IF(MARÍTIMOS[[#This Row],[Sede]]="","",MARÍTIMOS[[#This Row],[Sede]]),"")</f>
        <v/>
      </c>
      <c r="D864" s="1" t="str">
        <f>IFERROR(IF(MARÍTIMOS[[#This Row],[Instruction]]="","",MARÍTIMOS[[#This Row],[Instruction]]),"")</f>
        <v/>
      </c>
      <c r="E864" s="1"/>
      <c r="F864" s="2" t="str">
        <f>IFERROR(IF(MARÍTIMOS[[#This Row],[Transportista]]="","",MARÍTIMOS[[#This Row],[Transportista]]),"")</f>
        <v/>
      </c>
      <c r="G864" s="2" t="str">
        <f>IFERROR(IF(MARÍTIMOS[[#This Row],[Tercero]]="","",MARÍTIMOS[[#This Row],[Tercero]]),"")</f>
        <v/>
      </c>
      <c r="H864" s="2" t="str">
        <f>IFERROR(IF(MARÍTIMOS[[#This Row],[Razón Social]]="","",MARÍTIMOS[[#This Row],[Razón Social]]),"")</f>
        <v/>
      </c>
      <c r="I864" s="2" t="str">
        <f>IFERROR(IF(MARÍTIMOS[[#This Row],[RUC]]="","",MARÍTIMOS[[#This Row],[RUC]]),"")</f>
        <v/>
      </c>
      <c r="J864" s="2" t="str">
        <f>IFERROR(IF(MARÍTIMOS[[#This Row],[Placa Tracto]]="","",MARÍTIMOS[[#This Row],[Placa Tracto]]),"")</f>
        <v/>
      </c>
      <c r="K864" s="2" t="str">
        <f>IFERROR(IF(MARÍTIMOS[[#This Row],[Placa Carreta]]="","",MARÍTIMOS[[#This Row],[Placa Carreta]]),"")</f>
        <v/>
      </c>
      <c r="L864" s="44" t="str">
        <f>IFERROR(IF(MARÍTIMOS[[#This Row],[Conductor]]="","",MARÍTIMOS[[#This Row],[Conductor]]),"")</f>
        <v/>
      </c>
      <c r="M864" s="2" t="str">
        <f>IFERROR(IF(MARÍTIMOS[[#This Row],[Licencia]]="","",MARÍTIMOS[[#This Row],[Licencia]]),"")</f>
        <v/>
      </c>
      <c r="N864" s="2" t="str">
        <f>IFERROR(IF(MARÍTIMOS[[#This Row],[Número de Contacto]]="","",MARÍTIMOS[[#This Row],[Número de Contacto]]),"")</f>
        <v/>
      </c>
      <c r="O864" s="10" t="str">
        <f>IFERROR(IF(MARÍTIMOS[[#This Row],[Booking|AWB|CRT]]="","",MARÍTIMOS[[#This Row],[Booking|AWB|CRT]]),"")</f>
        <v/>
      </c>
      <c r="P864" s="2" t="str">
        <f>IFERROR(IF(MARÍTIMOS[[#This Row],[Contenedor]]="","",MARÍTIMOS[[#This Row],[Contenedor]]),"")</f>
        <v/>
      </c>
      <c r="Q864" s="2" t="str">
        <f>IFERROR(IF(MARÍTIMOS[[#This Row],[Puerto de Retiro]]="","",MARÍTIMOS[[#This Row],[Puerto de Retiro]]),"")</f>
        <v/>
      </c>
      <c r="R864" s="2" t="str">
        <f>IFERROR(IF(MARÍTIMOS[[#This Row],[Almacén de Retiro]]="","",MARÍTIMOS[[#This Row],[Almacén de Retiro]]),"")</f>
        <v/>
      </c>
      <c r="S864" s="11" t="str">
        <f>IFERROR(IF(MARÍTIMOS[[#This Row],[Etapa Retiro - Cita]]="","",MARÍTIMOS[[#This Row],[Etapa Retiro - Cita]]),"")</f>
        <v/>
      </c>
      <c r="T864" s="11" t="str">
        <f>IFERROR(IF(MARÍTIMOS[[#This Row],[Etapa Retiro - Llegada]]="","",MARÍTIMOS[[#This Row],[Etapa Retiro - Llegada]]),"")</f>
        <v/>
      </c>
      <c r="U864" s="11" t="str">
        <f>IFERROR(IF(MARÍTIMOS[[#This Row],[Etapa Retiro - Ingreso]]="","",MARÍTIMOS[[#This Row],[Etapa Retiro - Ingreso]]),"")</f>
        <v/>
      </c>
      <c r="V864" s="11" t="str">
        <f>IFERROR(IF(MARÍTIMOS[[#This Row],[Etapa Retiro - Atención]]="","",MARÍTIMOS[[#This Row],[Etapa Retiro - Atención]]),"")</f>
        <v/>
      </c>
      <c r="W864" s="11" t="str">
        <f>IFERROR(IF(MARÍTIMOS[[#This Row],[Etapa Retiro - Atención]]="","",MARÍTIMOS[[#This Row],[Etapa Retiro - Atención]]),"")</f>
        <v/>
      </c>
      <c r="X864" s="11" t="str">
        <f>IFERROR(IF(MARÍTIMOS[[#This Row],[Etapa Retiro - Inicio de Ruta]]="","",MARÍTIMOS[[#This Row],[Etapa Retiro - Inicio de Ruta]]),"")</f>
        <v/>
      </c>
      <c r="Y864" s="11" t="str">
        <f>IFERROR(IF(MARÍTIMOS[[#This Row],[Hora de Posicionamiento]]="","",MARÍTIMOS[[#This Row],[Fecha de Carga]]+MARÍTIMOS[[#This Row],[Hora de Posicionamiento]]),"")</f>
        <v/>
      </c>
      <c r="Z864" s="11" t="str">
        <f>IFERROR(IF(MARÍTIMOS[[#This Row],[Etapa Despacho - Llegada]]="","",MARÍTIMOS[[#This Row],[Etapa Despacho - Llegada]]),"")</f>
        <v/>
      </c>
      <c r="AA864" s="11" t="str">
        <f>IFERROR(IF(MARÍTIMOS[[#This Row],[Etapa Despacho - Registro]]="","",MARÍTIMOS[[#This Row],[Etapa Despacho - Registro]]),"")</f>
        <v/>
      </c>
      <c r="AB864" s="11" t="str">
        <f>IFERROR(IF(MARÍTIMOS[[#This Row],[Inspección Externa]]="","",MARÍTIMOS[[#This Row],[Inspección Externa]]),"")</f>
        <v/>
      </c>
      <c r="AC864" s="11" t="str">
        <f>IFERROR(IF(MARÍTIMOS[[#This Row],[Etapa Despacho - Inicio de Carga]]="","",MARÍTIMOS[[#This Row],[Etapa Despacho - Inicio de Carga]]),"")</f>
        <v/>
      </c>
      <c r="AD864" s="11" t="str">
        <f>IFERROR(IF(MARÍTIMOS[[#This Row],[Etapa Despacho - Mitad de Carga]]="","",MARÍTIMOS[[#This Row],[Etapa Despacho - Mitad de Carga]]),"")</f>
        <v/>
      </c>
      <c r="AE864" s="11" t="str">
        <f>IFERROR(IF(MARÍTIMOS[[#This Row],[Etapa Despacho - Fin de Carga]]="","",MARÍTIMOS[[#This Row],[Etapa Despacho - Fin de Carga]]),"")</f>
        <v/>
      </c>
      <c r="AF864" s="2" t="str">
        <f>IFERROR(IF(MARÍTIMOS[[#This Row],[Puerto de Embarque]]="","",MARÍTIMOS[[#This Row],[Puerto de Embarque]]),"")</f>
        <v/>
      </c>
      <c r="AG864" s="2" t="str">
        <f>IFERROR(IF(MARÍTIMOS[[#This Row],[Almacén de Ingreso]]="","",MARÍTIMOS[[#This Row],[Almacén de Ingreso]]),"")</f>
        <v/>
      </c>
      <c r="AH864" s="11" t="str">
        <f>IFERROR(IF(MARÍTIMOS[[#This Row],[Etapa Ingreso - Cita]]="","",MARÍTIMOS[[#This Row],[Etapa Ingreso - Cita]]),"")</f>
        <v/>
      </c>
      <c r="AI864" s="11" t="str">
        <f>IFERROR(IF(MARÍTIMOS[[#This Row],[Etapa Ingreso - Llegada]]="","",MARÍTIMOS[[#This Row],[Etapa Ingreso - Llegada]]),"")</f>
        <v/>
      </c>
      <c r="AJ864" s="11" t="str">
        <f>IFERROR(IF(MARÍTIMOS[[#This Row],[Etapa Ingreso - Ingeso]]="","",MARÍTIMOS[[#This Row],[Etapa Ingreso - Ingeso]]),"")</f>
        <v/>
      </c>
      <c r="AK864" s="11" t="str">
        <f>IFERROR(IF(MARÍTIMOS[[#This Row],[Etapa Ingreso - Atención]]="","",MARÍTIMOS[[#This Row],[Etapa Ingreso - Atención]]),"")</f>
        <v/>
      </c>
      <c r="AL864" s="11" t="str">
        <f>IFERROR(IF(MARÍTIMOS[[#This Row],[Etapa Ingreso - Salida]]="","",MARÍTIMOS[[#This Row],[Etapa Ingreso - Salida]]),"")</f>
        <v/>
      </c>
      <c r="AM864" s="2" t="str">
        <f>IFERROR(IF(MARÍTIMOS[[#This Row],[FCL]]="","",MARÍTIMOS[[#This Row],[FCL]]),"")</f>
        <v/>
      </c>
      <c r="AN8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4" s="4" t="str" cm="1">
        <f t="array" ref="AO8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4" s="5" t="str">
        <f>IFERROR(OLDBD[[#This Row],[Llegada a packing]]-OLDBD[[#This Row],[Inicio de Ruta]],"")</f>
        <v/>
      </c>
      <c r="AQ864" s="6" t="str">
        <f>IFERROR(OLDBD[[#This Row],[Inicio de Ruta]]-OLDBD[[#This Row],[Salida de almacén de retiro]],"")</f>
        <v/>
      </c>
      <c r="AR8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4" s="8" t="str" cm="1">
        <f t="array" ref="AS8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4" s="9" t="str">
        <f>IFERROR(OLDBD[[#This Row],[Ingreso Packing]]-OLDBD[[#This Row],[Registro en Packing]],"")</f>
        <v/>
      </c>
      <c r="AV864" s="9" t="str">
        <f>IFERROR(OLDBD[[#This Row],[Ingreso Packing]]-OLDBD[[#This Row],[Llegada a packing]],"")</f>
        <v/>
      </c>
      <c r="AW8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4" s="5" t="str">
        <f>IFERROR(OLDBD[[#This Row],[Llegada Almacén de Ingreso]]-OLDBD[[#This Row],[Salida Packing]],"")</f>
        <v/>
      </c>
      <c r="AY864" s="4" t="str" cm="1">
        <f t="array" ref="AY8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4" s="43" t="s">
        <v>173</v>
      </c>
      <c r="BB864" s="47" t="str">
        <f>IFERROR(IF(MARÍTIMOS[[#This Row],[Estatus]]="","",MARÍTIMOS[[#This Row],[Estatus]]),"")</f>
        <v/>
      </c>
      <c r="BC864" s="43"/>
      <c r="BD864" s="46" t="str">
        <f>IFERROR(OLDBD[[#This Row],[Salida de almacén de retiro]]-OLDBD[[#This Row],[Ingreso Almacén de retiro]],"")</f>
        <v/>
      </c>
      <c r="BE864" s="46" t="str">
        <f>IFERROR(OLDBD[[#This Row],[Fin de Carga]]-OLDBD[[#This Row],[Inicio de Carga]],"")</f>
        <v/>
      </c>
    </row>
    <row r="865" spans="1:57" customFormat="1" hidden="1">
      <c r="A865" s="1"/>
      <c r="B865" s="1" t="str">
        <f>IFERROR(IF(MARÍTIMOS[[#This Row],[PP]]="","",MARÍTIMOS[[#This Row],[PP]]),"")</f>
        <v/>
      </c>
      <c r="C865" s="1" t="str">
        <f>IFERROR(IF(MARÍTIMOS[[#This Row],[Sede]]="","",MARÍTIMOS[[#This Row],[Sede]]),"")</f>
        <v/>
      </c>
      <c r="D865" s="1" t="str">
        <f>IFERROR(IF(MARÍTIMOS[[#This Row],[Instruction]]="","",MARÍTIMOS[[#This Row],[Instruction]]),"")</f>
        <v/>
      </c>
      <c r="E865" s="1"/>
      <c r="F865" s="2" t="str">
        <f>IFERROR(IF(MARÍTIMOS[[#This Row],[Transportista]]="","",MARÍTIMOS[[#This Row],[Transportista]]),"")</f>
        <v/>
      </c>
      <c r="G865" s="2" t="str">
        <f>IFERROR(IF(MARÍTIMOS[[#This Row],[Tercero]]="","",MARÍTIMOS[[#This Row],[Tercero]]),"")</f>
        <v/>
      </c>
      <c r="H865" s="2" t="str">
        <f>IFERROR(IF(MARÍTIMOS[[#This Row],[Razón Social]]="","",MARÍTIMOS[[#This Row],[Razón Social]]),"")</f>
        <v/>
      </c>
      <c r="I865" s="2" t="str">
        <f>IFERROR(IF(MARÍTIMOS[[#This Row],[RUC]]="","",MARÍTIMOS[[#This Row],[RUC]]),"")</f>
        <v/>
      </c>
      <c r="J865" s="2" t="str">
        <f>IFERROR(IF(MARÍTIMOS[[#This Row],[Placa Tracto]]="","",MARÍTIMOS[[#This Row],[Placa Tracto]]),"")</f>
        <v/>
      </c>
      <c r="K865" s="2" t="str">
        <f>IFERROR(IF(MARÍTIMOS[[#This Row],[Placa Carreta]]="","",MARÍTIMOS[[#This Row],[Placa Carreta]]),"")</f>
        <v/>
      </c>
      <c r="L865" s="44" t="str">
        <f>IFERROR(IF(MARÍTIMOS[[#This Row],[Conductor]]="","",MARÍTIMOS[[#This Row],[Conductor]]),"")</f>
        <v/>
      </c>
      <c r="M865" s="2" t="str">
        <f>IFERROR(IF(MARÍTIMOS[[#This Row],[Licencia]]="","",MARÍTIMOS[[#This Row],[Licencia]]),"")</f>
        <v/>
      </c>
      <c r="N865" s="2" t="str">
        <f>IFERROR(IF(MARÍTIMOS[[#This Row],[Número de Contacto]]="","",MARÍTIMOS[[#This Row],[Número de Contacto]]),"")</f>
        <v/>
      </c>
      <c r="O865" s="10" t="str">
        <f>IFERROR(IF(MARÍTIMOS[[#This Row],[Booking|AWB|CRT]]="","",MARÍTIMOS[[#This Row],[Booking|AWB|CRT]]),"")</f>
        <v/>
      </c>
      <c r="P865" s="2" t="str">
        <f>IFERROR(IF(MARÍTIMOS[[#This Row],[Contenedor]]="","",MARÍTIMOS[[#This Row],[Contenedor]]),"")</f>
        <v/>
      </c>
      <c r="Q865" s="2" t="str">
        <f>IFERROR(IF(MARÍTIMOS[[#This Row],[Puerto de Retiro]]="","",MARÍTIMOS[[#This Row],[Puerto de Retiro]]),"")</f>
        <v/>
      </c>
      <c r="R865" s="2" t="str">
        <f>IFERROR(IF(MARÍTIMOS[[#This Row],[Almacén de Retiro]]="","",MARÍTIMOS[[#This Row],[Almacén de Retiro]]),"")</f>
        <v/>
      </c>
      <c r="S865" s="11" t="str">
        <f>IFERROR(IF(MARÍTIMOS[[#This Row],[Etapa Retiro - Cita]]="","",MARÍTIMOS[[#This Row],[Etapa Retiro - Cita]]),"")</f>
        <v/>
      </c>
      <c r="T865" s="11" t="str">
        <f>IFERROR(IF(MARÍTIMOS[[#This Row],[Etapa Retiro - Llegada]]="","",MARÍTIMOS[[#This Row],[Etapa Retiro - Llegada]]),"")</f>
        <v/>
      </c>
      <c r="U865" s="11" t="str">
        <f>IFERROR(IF(MARÍTIMOS[[#This Row],[Etapa Retiro - Ingreso]]="","",MARÍTIMOS[[#This Row],[Etapa Retiro - Ingreso]]),"")</f>
        <v/>
      </c>
      <c r="V865" s="11" t="str">
        <f>IFERROR(IF(MARÍTIMOS[[#This Row],[Etapa Retiro - Atención]]="","",MARÍTIMOS[[#This Row],[Etapa Retiro - Atención]]),"")</f>
        <v/>
      </c>
      <c r="W865" s="11" t="str">
        <f>IFERROR(IF(MARÍTIMOS[[#This Row],[Etapa Retiro - Atención]]="","",MARÍTIMOS[[#This Row],[Etapa Retiro - Atención]]),"")</f>
        <v/>
      </c>
      <c r="X865" s="11" t="str">
        <f>IFERROR(IF(MARÍTIMOS[[#This Row],[Etapa Retiro - Inicio de Ruta]]="","",MARÍTIMOS[[#This Row],[Etapa Retiro - Inicio de Ruta]]),"")</f>
        <v/>
      </c>
      <c r="Y865" s="11" t="str">
        <f>IFERROR(IF(MARÍTIMOS[[#This Row],[Hora de Posicionamiento]]="","",MARÍTIMOS[[#This Row],[Fecha de Carga]]+MARÍTIMOS[[#This Row],[Hora de Posicionamiento]]),"")</f>
        <v/>
      </c>
      <c r="Z865" s="11" t="str">
        <f>IFERROR(IF(MARÍTIMOS[[#This Row],[Etapa Despacho - Llegada]]="","",MARÍTIMOS[[#This Row],[Etapa Despacho - Llegada]]),"")</f>
        <v/>
      </c>
      <c r="AA865" s="11" t="str">
        <f>IFERROR(IF(MARÍTIMOS[[#This Row],[Etapa Despacho - Registro]]="","",MARÍTIMOS[[#This Row],[Etapa Despacho - Registro]]),"")</f>
        <v/>
      </c>
      <c r="AB865" s="11" t="str">
        <f>IFERROR(IF(MARÍTIMOS[[#This Row],[Inspección Externa]]="","",MARÍTIMOS[[#This Row],[Inspección Externa]]),"")</f>
        <v/>
      </c>
      <c r="AC865" s="11" t="str">
        <f>IFERROR(IF(MARÍTIMOS[[#This Row],[Etapa Despacho - Inicio de Carga]]="","",MARÍTIMOS[[#This Row],[Etapa Despacho - Inicio de Carga]]),"")</f>
        <v/>
      </c>
      <c r="AD865" s="11" t="str">
        <f>IFERROR(IF(MARÍTIMOS[[#This Row],[Etapa Despacho - Mitad de Carga]]="","",MARÍTIMOS[[#This Row],[Etapa Despacho - Mitad de Carga]]),"")</f>
        <v/>
      </c>
      <c r="AE865" s="11" t="str">
        <f>IFERROR(IF(MARÍTIMOS[[#This Row],[Etapa Despacho - Fin de Carga]]="","",MARÍTIMOS[[#This Row],[Etapa Despacho - Fin de Carga]]),"")</f>
        <v/>
      </c>
      <c r="AF865" s="2" t="str">
        <f>IFERROR(IF(MARÍTIMOS[[#This Row],[Puerto de Embarque]]="","",MARÍTIMOS[[#This Row],[Puerto de Embarque]]),"")</f>
        <v/>
      </c>
      <c r="AG865" s="2" t="str">
        <f>IFERROR(IF(MARÍTIMOS[[#This Row],[Almacén de Ingreso]]="","",MARÍTIMOS[[#This Row],[Almacén de Ingreso]]),"")</f>
        <v/>
      </c>
      <c r="AH865" s="11" t="str">
        <f>IFERROR(IF(MARÍTIMOS[[#This Row],[Etapa Ingreso - Cita]]="","",MARÍTIMOS[[#This Row],[Etapa Ingreso - Cita]]),"")</f>
        <v/>
      </c>
      <c r="AI865" s="11" t="str">
        <f>IFERROR(IF(MARÍTIMOS[[#This Row],[Etapa Ingreso - Llegada]]="","",MARÍTIMOS[[#This Row],[Etapa Ingreso - Llegada]]),"")</f>
        <v/>
      </c>
      <c r="AJ865" s="11" t="str">
        <f>IFERROR(IF(MARÍTIMOS[[#This Row],[Etapa Ingreso - Ingeso]]="","",MARÍTIMOS[[#This Row],[Etapa Ingreso - Ingeso]]),"")</f>
        <v/>
      </c>
      <c r="AK865" s="11" t="str">
        <f>IFERROR(IF(MARÍTIMOS[[#This Row],[Etapa Ingreso - Atención]]="","",MARÍTIMOS[[#This Row],[Etapa Ingreso - Atención]]),"")</f>
        <v/>
      </c>
      <c r="AL865" s="11" t="str">
        <f>IFERROR(IF(MARÍTIMOS[[#This Row],[Etapa Ingreso - Salida]]="","",MARÍTIMOS[[#This Row],[Etapa Ingreso - Salida]]),"")</f>
        <v/>
      </c>
      <c r="AM865" s="2" t="str">
        <f>IFERROR(IF(MARÍTIMOS[[#This Row],[FCL]]="","",MARÍTIMOS[[#This Row],[FCL]]),"")</f>
        <v/>
      </c>
      <c r="AN8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5" s="4" t="str" cm="1">
        <f t="array" ref="AO8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5" s="5" t="str">
        <f>IFERROR(OLDBD[[#This Row],[Llegada a packing]]-OLDBD[[#This Row],[Inicio de Ruta]],"")</f>
        <v/>
      </c>
      <c r="AQ865" s="6" t="str">
        <f>IFERROR(OLDBD[[#This Row],[Inicio de Ruta]]-OLDBD[[#This Row],[Salida de almacén de retiro]],"")</f>
        <v/>
      </c>
      <c r="AR8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5" s="8" t="str" cm="1">
        <f t="array" ref="AS8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5" s="9" t="str">
        <f>IFERROR(OLDBD[[#This Row],[Ingreso Packing]]-OLDBD[[#This Row],[Registro en Packing]],"")</f>
        <v/>
      </c>
      <c r="AV865" s="9" t="str">
        <f>IFERROR(OLDBD[[#This Row],[Ingreso Packing]]-OLDBD[[#This Row],[Llegada a packing]],"")</f>
        <v/>
      </c>
      <c r="AW8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5" s="5" t="str">
        <f>IFERROR(OLDBD[[#This Row],[Llegada Almacén de Ingreso]]-OLDBD[[#This Row],[Salida Packing]],"")</f>
        <v/>
      </c>
      <c r="AY865" s="4" t="str" cm="1">
        <f t="array" ref="AY8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5" s="43" t="s">
        <v>173</v>
      </c>
      <c r="BB865" s="47" t="str">
        <f>IFERROR(IF(MARÍTIMOS[[#This Row],[Estatus]]="","",MARÍTIMOS[[#This Row],[Estatus]]),"")</f>
        <v/>
      </c>
      <c r="BC865" s="43"/>
      <c r="BD865" s="46" t="str">
        <f>IFERROR(OLDBD[[#This Row],[Salida de almacén de retiro]]-OLDBD[[#This Row],[Ingreso Almacén de retiro]],"")</f>
        <v/>
      </c>
      <c r="BE865" s="46" t="str">
        <f>IFERROR(OLDBD[[#This Row],[Fin de Carga]]-OLDBD[[#This Row],[Inicio de Carga]],"")</f>
        <v/>
      </c>
    </row>
    <row r="866" spans="1:57" customFormat="1" hidden="1">
      <c r="A866" s="1"/>
      <c r="B866" s="1" t="str">
        <f>IFERROR(IF(MARÍTIMOS[[#This Row],[PP]]="","",MARÍTIMOS[[#This Row],[PP]]),"")</f>
        <v/>
      </c>
      <c r="C866" s="1" t="str">
        <f>IFERROR(IF(MARÍTIMOS[[#This Row],[Sede]]="","",MARÍTIMOS[[#This Row],[Sede]]),"")</f>
        <v/>
      </c>
      <c r="D866" s="1" t="str">
        <f>IFERROR(IF(MARÍTIMOS[[#This Row],[Instruction]]="","",MARÍTIMOS[[#This Row],[Instruction]]),"")</f>
        <v/>
      </c>
      <c r="E866" s="1"/>
      <c r="F866" s="2" t="str">
        <f>IFERROR(IF(MARÍTIMOS[[#This Row],[Transportista]]="","",MARÍTIMOS[[#This Row],[Transportista]]),"")</f>
        <v/>
      </c>
      <c r="G866" s="2" t="str">
        <f>IFERROR(IF(MARÍTIMOS[[#This Row],[Tercero]]="","",MARÍTIMOS[[#This Row],[Tercero]]),"")</f>
        <v/>
      </c>
      <c r="H866" s="2" t="str">
        <f>IFERROR(IF(MARÍTIMOS[[#This Row],[Razón Social]]="","",MARÍTIMOS[[#This Row],[Razón Social]]),"")</f>
        <v/>
      </c>
      <c r="I866" s="2" t="str">
        <f>IFERROR(IF(MARÍTIMOS[[#This Row],[RUC]]="","",MARÍTIMOS[[#This Row],[RUC]]),"")</f>
        <v/>
      </c>
      <c r="J866" s="2" t="str">
        <f>IFERROR(IF(MARÍTIMOS[[#This Row],[Placa Tracto]]="","",MARÍTIMOS[[#This Row],[Placa Tracto]]),"")</f>
        <v/>
      </c>
      <c r="K866" s="2" t="str">
        <f>IFERROR(IF(MARÍTIMOS[[#This Row],[Placa Carreta]]="","",MARÍTIMOS[[#This Row],[Placa Carreta]]),"")</f>
        <v/>
      </c>
      <c r="L866" s="44" t="str">
        <f>IFERROR(IF(MARÍTIMOS[[#This Row],[Conductor]]="","",MARÍTIMOS[[#This Row],[Conductor]]),"")</f>
        <v/>
      </c>
      <c r="M866" s="2" t="str">
        <f>IFERROR(IF(MARÍTIMOS[[#This Row],[Licencia]]="","",MARÍTIMOS[[#This Row],[Licencia]]),"")</f>
        <v/>
      </c>
      <c r="N866" s="2" t="str">
        <f>IFERROR(IF(MARÍTIMOS[[#This Row],[Número de Contacto]]="","",MARÍTIMOS[[#This Row],[Número de Contacto]]),"")</f>
        <v/>
      </c>
      <c r="O866" s="10" t="str">
        <f>IFERROR(IF(MARÍTIMOS[[#This Row],[Booking|AWB|CRT]]="","",MARÍTIMOS[[#This Row],[Booking|AWB|CRT]]),"")</f>
        <v/>
      </c>
      <c r="P866" s="2" t="str">
        <f>IFERROR(IF(MARÍTIMOS[[#This Row],[Contenedor]]="","",MARÍTIMOS[[#This Row],[Contenedor]]),"")</f>
        <v/>
      </c>
      <c r="Q866" s="2" t="str">
        <f>IFERROR(IF(MARÍTIMOS[[#This Row],[Puerto de Retiro]]="","",MARÍTIMOS[[#This Row],[Puerto de Retiro]]),"")</f>
        <v/>
      </c>
      <c r="R866" s="2" t="str">
        <f>IFERROR(IF(MARÍTIMOS[[#This Row],[Almacén de Retiro]]="","",MARÍTIMOS[[#This Row],[Almacén de Retiro]]),"")</f>
        <v/>
      </c>
      <c r="S866" s="11" t="str">
        <f>IFERROR(IF(MARÍTIMOS[[#This Row],[Etapa Retiro - Cita]]="","",MARÍTIMOS[[#This Row],[Etapa Retiro - Cita]]),"")</f>
        <v/>
      </c>
      <c r="T866" s="11" t="str">
        <f>IFERROR(IF(MARÍTIMOS[[#This Row],[Etapa Retiro - Llegada]]="","",MARÍTIMOS[[#This Row],[Etapa Retiro - Llegada]]),"")</f>
        <v/>
      </c>
      <c r="U866" s="11" t="str">
        <f>IFERROR(IF(MARÍTIMOS[[#This Row],[Etapa Retiro - Ingreso]]="","",MARÍTIMOS[[#This Row],[Etapa Retiro - Ingreso]]),"")</f>
        <v/>
      </c>
      <c r="V866" s="11" t="str">
        <f>IFERROR(IF(MARÍTIMOS[[#This Row],[Etapa Retiro - Atención]]="","",MARÍTIMOS[[#This Row],[Etapa Retiro - Atención]]),"")</f>
        <v/>
      </c>
      <c r="W866" s="11" t="str">
        <f>IFERROR(IF(MARÍTIMOS[[#This Row],[Etapa Retiro - Atención]]="","",MARÍTIMOS[[#This Row],[Etapa Retiro - Atención]]),"")</f>
        <v/>
      </c>
      <c r="X866" s="11" t="str">
        <f>IFERROR(IF(MARÍTIMOS[[#This Row],[Etapa Retiro - Inicio de Ruta]]="","",MARÍTIMOS[[#This Row],[Etapa Retiro - Inicio de Ruta]]),"")</f>
        <v/>
      </c>
      <c r="Y866" s="11" t="str">
        <f>IFERROR(IF(MARÍTIMOS[[#This Row],[Hora de Posicionamiento]]="","",MARÍTIMOS[[#This Row],[Fecha de Carga]]+MARÍTIMOS[[#This Row],[Hora de Posicionamiento]]),"")</f>
        <v/>
      </c>
      <c r="Z866" s="11" t="str">
        <f>IFERROR(IF(MARÍTIMOS[[#This Row],[Etapa Despacho - Llegada]]="","",MARÍTIMOS[[#This Row],[Etapa Despacho - Llegada]]),"")</f>
        <v/>
      </c>
      <c r="AA866" s="11" t="str">
        <f>IFERROR(IF(MARÍTIMOS[[#This Row],[Etapa Despacho - Registro]]="","",MARÍTIMOS[[#This Row],[Etapa Despacho - Registro]]),"")</f>
        <v/>
      </c>
      <c r="AB866" s="11" t="str">
        <f>IFERROR(IF(MARÍTIMOS[[#This Row],[Inspección Externa]]="","",MARÍTIMOS[[#This Row],[Inspección Externa]]),"")</f>
        <v/>
      </c>
      <c r="AC866" s="11" t="str">
        <f>IFERROR(IF(MARÍTIMOS[[#This Row],[Etapa Despacho - Inicio de Carga]]="","",MARÍTIMOS[[#This Row],[Etapa Despacho - Inicio de Carga]]),"")</f>
        <v/>
      </c>
      <c r="AD866" s="11" t="str">
        <f>IFERROR(IF(MARÍTIMOS[[#This Row],[Etapa Despacho - Mitad de Carga]]="","",MARÍTIMOS[[#This Row],[Etapa Despacho - Mitad de Carga]]),"")</f>
        <v/>
      </c>
      <c r="AE866" s="11" t="str">
        <f>IFERROR(IF(MARÍTIMOS[[#This Row],[Etapa Despacho - Fin de Carga]]="","",MARÍTIMOS[[#This Row],[Etapa Despacho - Fin de Carga]]),"")</f>
        <v/>
      </c>
      <c r="AF866" s="2" t="str">
        <f>IFERROR(IF(MARÍTIMOS[[#This Row],[Puerto de Embarque]]="","",MARÍTIMOS[[#This Row],[Puerto de Embarque]]),"")</f>
        <v/>
      </c>
      <c r="AG866" s="2" t="str">
        <f>IFERROR(IF(MARÍTIMOS[[#This Row],[Almacén de Ingreso]]="","",MARÍTIMOS[[#This Row],[Almacén de Ingreso]]),"")</f>
        <v/>
      </c>
      <c r="AH866" s="11" t="str">
        <f>IFERROR(IF(MARÍTIMOS[[#This Row],[Etapa Ingreso - Cita]]="","",MARÍTIMOS[[#This Row],[Etapa Ingreso - Cita]]),"")</f>
        <v/>
      </c>
      <c r="AI866" s="11" t="str">
        <f>IFERROR(IF(MARÍTIMOS[[#This Row],[Etapa Ingreso - Llegada]]="","",MARÍTIMOS[[#This Row],[Etapa Ingreso - Llegada]]),"")</f>
        <v/>
      </c>
      <c r="AJ866" s="11" t="str">
        <f>IFERROR(IF(MARÍTIMOS[[#This Row],[Etapa Ingreso - Ingeso]]="","",MARÍTIMOS[[#This Row],[Etapa Ingreso - Ingeso]]),"")</f>
        <v/>
      </c>
      <c r="AK866" s="11" t="str">
        <f>IFERROR(IF(MARÍTIMOS[[#This Row],[Etapa Ingreso - Atención]]="","",MARÍTIMOS[[#This Row],[Etapa Ingreso - Atención]]),"")</f>
        <v/>
      </c>
      <c r="AL866" s="11" t="str">
        <f>IFERROR(IF(MARÍTIMOS[[#This Row],[Etapa Ingreso - Salida]]="","",MARÍTIMOS[[#This Row],[Etapa Ingreso - Salida]]),"")</f>
        <v/>
      </c>
      <c r="AM866" s="2" t="str">
        <f>IFERROR(IF(MARÍTIMOS[[#This Row],[FCL]]="","",MARÍTIMOS[[#This Row],[FCL]]),"")</f>
        <v/>
      </c>
      <c r="AN8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6" s="4" t="str" cm="1">
        <f t="array" ref="AO8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6" s="5" t="str">
        <f>IFERROR(OLDBD[[#This Row],[Llegada a packing]]-OLDBD[[#This Row],[Inicio de Ruta]],"")</f>
        <v/>
      </c>
      <c r="AQ866" s="6" t="str">
        <f>IFERROR(OLDBD[[#This Row],[Inicio de Ruta]]-OLDBD[[#This Row],[Salida de almacén de retiro]],"")</f>
        <v/>
      </c>
      <c r="AR8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6" s="8" t="str" cm="1">
        <f t="array" ref="AS8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6" s="9" t="str">
        <f>IFERROR(OLDBD[[#This Row],[Ingreso Packing]]-OLDBD[[#This Row],[Registro en Packing]],"")</f>
        <v/>
      </c>
      <c r="AV866" s="9" t="str">
        <f>IFERROR(OLDBD[[#This Row],[Ingreso Packing]]-OLDBD[[#This Row],[Llegada a packing]],"")</f>
        <v/>
      </c>
      <c r="AW8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6" s="5" t="str">
        <f>IFERROR(OLDBD[[#This Row],[Llegada Almacén de Ingreso]]-OLDBD[[#This Row],[Salida Packing]],"")</f>
        <v/>
      </c>
      <c r="AY866" s="4" t="str" cm="1">
        <f t="array" ref="AY8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6" s="43" t="s">
        <v>173</v>
      </c>
      <c r="BB866" s="47" t="str">
        <f>IFERROR(IF(MARÍTIMOS[[#This Row],[Estatus]]="","",MARÍTIMOS[[#This Row],[Estatus]]),"")</f>
        <v/>
      </c>
      <c r="BC866" s="43"/>
      <c r="BD866" s="46" t="str">
        <f>IFERROR(OLDBD[[#This Row],[Salida de almacén de retiro]]-OLDBD[[#This Row],[Ingreso Almacén de retiro]],"")</f>
        <v/>
      </c>
      <c r="BE866" s="46" t="str">
        <f>IFERROR(OLDBD[[#This Row],[Fin de Carga]]-OLDBD[[#This Row],[Inicio de Carga]],"")</f>
        <v/>
      </c>
    </row>
    <row r="867" spans="1:57" customFormat="1" hidden="1">
      <c r="A867" s="1"/>
      <c r="B867" s="1" t="str">
        <f>IFERROR(IF(MARÍTIMOS[[#This Row],[PP]]="","",MARÍTIMOS[[#This Row],[PP]]),"")</f>
        <v/>
      </c>
      <c r="C867" s="1" t="str">
        <f>IFERROR(IF(MARÍTIMOS[[#This Row],[Sede]]="","",MARÍTIMOS[[#This Row],[Sede]]),"")</f>
        <v/>
      </c>
      <c r="D867" s="1" t="str">
        <f>IFERROR(IF(MARÍTIMOS[[#This Row],[Instruction]]="","",MARÍTIMOS[[#This Row],[Instruction]]),"")</f>
        <v/>
      </c>
      <c r="E867" s="1"/>
      <c r="F867" s="2" t="str">
        <f>IFERROR(IF(MARÍTIMOS[[#This Row],[Transportista]]="","",MARÍTIMOS[[#This Row],[Transportista]]),"")</f>
        <v/>
      </c>
      <c r="G867" s="2" t="str">
        <f>IFERROR(IF(MARÍTIMOS[[#This Row],[Tercero]]="","",MARÍTIMOS[[#This Row],[Tercero]]),"")</f>
        <v/>
      </c>
      <c r="H867" s="2" t="str">
        <f>IFERROR(IF(MARÍTIMOS[[#This Row],[Razón Social]]="","",MARÍTIMOS[[#This Row],[Razón Social]]),"")</f>
        <v/>
      </c>
      <c r="I867" s="2" t="str">
        <f>IFERROR(IF(MARÍTIMOS[[#This Row],[RUC]]="","",MARÍTIMOS[[#This Row],[RUC]]),"")</f>
        <v/>
      </c>
      <c r="J867" s="2" t="str">
        <f>IFERROR(IF(MARÍTIMOS[[#This Row],[Placa Tracto]]="","",MARÍTIMOS[[#This Row],[Placa Tracto]]),"")</f>
        <v/>
      </c>
      <c r="K867" s="2" t="str">
        <f>IFERROR(IF(MARÍTIMOS[[#This Row],[Placa Carreta]]="","",MARÍTIMOS[[#This Row],[Placa Carreta]]),"")</f>
        <v/>
      </c>
      <c r="L867" s="44" t="str">
        <f>IFERROR(IF(MARÍTIMOS[[#This Row],[Conductor]]="","",MARÍTIMOS[[#This Row],[Conductor]]),"")</f>
        <v/>
      </c>
      <c r="M867" s="2" t="str">
        <f>IFERROR(IF(MARÍTIMOS[[#This Row],[Licencia]]="","",MARÍTIMOS[[#This Row],[Licencia]]),"")</f>
        <v/>
      </c>
      <c r="N867" s="2" t="str">
        <f>IFERROR(IF(MARÍTIMOS[[#This Row],[Número de Contacto]]="","",MARÍTIMOS[[#This Row],[Número de Contacto]]),"")</f>
        <v/>
      </c>
      <c r="O867" s="10" t="str">
        <f>IFERROR(IF(MARÍTIMOS[[#This Row],[Booking|AWB|CRT]]="","",MARÍTIMOS[[#This Row],[Booking|AWB|CRT]]),"")</f>
        <v/>
      </c>
      <c r="P867" s="2" t="str">
        <f>IFERROR(IF(MARÍTIMOS[[#This Row],[Contenedor]]="","",MARÍTIMOS[[#This Row],[Contenedor]]),"")</f>
        <v/>
      </c>
      <c r="Q867" s="2" t="str">
        <f>IFERROR(IF(MARÍTIMOS[[#This Row],[Puerto de Retiro]]="","",MARÍTIMOS[[#This Row],[Puerto de Retiro]]),"")</f>
        <v/>
      </c>
      <c r="R867" s="2" t="str">
        <f>IFERROR(IF(MARÍTIMOS[[#This Row],[Almacén de Retiro]]="","",MARÍTIMOS[[#This Row],[Almacén de Retiro]]),"")</f>
        <v/>
      </c>
      <c r="S867" s="11" t="str">
        <f>IFERROR(IF(MARÍTIMOS[[#This Row],[Etapa Retiro - Cita]]="","",MARÍTIMOS[[#This Row],[Etapa Retiro - Cita]]),"")</f>
        <v/>
      </c>
      <c r="T867" s="11" t="str">
        <f>IFERROR(IF(MARÍTIMOS[[#This Row],[Etapa Retiro - Llegada]]="","",MARÍTIMOS[[#This Row],[Etapa Retiro - Llegada]]),"")</f>
        <v/>
      </c>
      <c r="U867" s="11" t="str">
        <f>IFERROR(IF(MARÍTIMOS[[#This Row],[Etapa Retiro - Ingreso]]="","",MARÍTIMOS[[#This Row],[Etapa Retiro - Ingreso]]),"")</f>
        <v/>
      </c>
      <c r="V867" s="11" t="str">
        <f>IFERROR(IF(MARÍTIMOS[[#This Row],[Etapa Retiro - Atención]]="","",MARÍTIMOS[[#This Row],[Etapa Retiro - Atención]]),"")</f>
        <v/>
      </c>
      <c r="W867" s="11" t="str">
        <f>IFERROR(IF(MARÍTIMOS[[#This Row],[Etapa Retiro - Atención]]="","",MARÍTIMOS[[#This Row],[Etapa Retiro - Atención]]),"")</f>
        <v/>
      </c>
      <c r="X867" s="11" t="str">
        <f>IFERROR(IF(MARÍTIMOS[[#This Row],[Etapa Retiro - Inicio de Ruta]]="","",MARÍTIMOS[[#This Row],[Etapa Retiro - Inicio de Ruta]]),"")</f>
        <v/>
      </c>
      <c r="Y867" s="11" t="str">
        <f>IFERROR(IF(MARÍTIMOS[[#This Row],[Hora de Posicionamiento]]="","",MARÍTIMOS[[#This Row],[Fecha de Carga]]+MARÍTIMOS[[#This Row],[Hora de Posicionamiento]]),"")</f>
        <v/>
      </c>
      <c r="Z867" s="11" t="str">
        <f>IFERROR(IF(MARÍTIMOS[[#This Row],[Etapa Despacho - Llegada]]="","",MARÍTIMOS[[#This Row],[Etapa Despacho - Llegada]]),"")</f>
        <v/>
      </c>
      <c r="AA867" s="11" t="str">
        <f>IFERROR(IF(MARÍTIMOS[[#This Row],[Etapa Despacho - Registro]]="","",MARÍTIMOS[[#This Row],[Etapa Despacho - Registro]]),"")</f>
        <v/>
      </c>
      <c r="AB867" s="11" t="str">
        <f>IFERROR(IF(MARÍTIMOS[[#This Row],[Inspección Externa]]="","",MARÍTIMOS[[#This Row],[Inspección Externa]]),"")</f>
        <v/>
      </c>
      <c r="AC867" s="11" t="str">
        <f>IFERROR(IF(MARÍTIMOS[[#This Row],[Etapa Despacho - Inicio de Carga]]="","",MARÍTIMOS[[#This Row],[Etapa Despacho - Inicio de Carga]]),"")</f>
        <v/>
      </c>
      <c r="AD867" s="11" t="str">
        <f>IFERROR(IF(MARÍTIMOS[[#This Row],[Etapa Despacho - Mitad de Carga]]="","",MARÍTIMOS[[#This Row],[Etapa Despacho - Mitad de Carga]]),"")</f>
        <v/>
      </c>
      <c r="AE867" s="11" t="str">
        <f>IFERROR(IF(MARÍTIMOS[[#This Row],[Etapa Despacho - Fin de Carga]]="","",MARÍTIMOS[[#This Row],[Etapa Despacho - Fin de Carga]]),"")</f>
        <v/>
      </c>
      <c r="AF867" s="2" t="str">
        <f>IFERROR(IF(MARÍTIMOS[[#This Row],[Puerto de Embarque]]="","",MARÍTIMOS[[#This Row],[Puerto de Embarque]]),"")</f>
        <v/>
      </c>
      <c r="AG867" s="2" t="str">
        <f>IFERROR(IF(MARÍTIMOS[[#This Row],[Almacén de Ingreso]]="","",MARÍTIMOS[[#This Row],[Almacén de Ingreso]]),"")</f>
        <v/>
      </c>
      <c r="AH867" s="11" t="str">
        <f>IFERROR(IF(MARÍTIMOS[[#This Row],[Etapa Ingreso - Cita]]="","",MARÍTIMOS[[#This Row],[Etapa Ingreso - Cita]]),"")</f>
        <v/>
      </c>
      <c r="AI867" s="11" t="str">
        <f>IFERROR(IF(MARÍTIMOS[[#This Row],[Etapa Ingreso - Llegada]]="","",MARÍTIMOS[[#This Row],[Etapa Ingreso - Llegada]]),"")</f>
        <v/>
      </c>
      <c r="AJ867" s="11" t="str">
        <f>IFERROR(IF(MARÍTIMOS[[#This Row],[Etapa Ingreso - Ingeso]]="","",MARÍTIMOS[[#This Row],[Etapa Ingreso - Ingeso]]),"")</f>
        <v/>
      </c>
      <c r="AK867" s="11" t="str">
        <f>IFERROR(IF(MARÍTIMOS[[#This Row],[Etapa Ingreso - Atención]]="","",MARÍTIMOS[[#This Row],[Etapa Ingreso - Atención]]),"")</f>
        <v/>
      </c>
      <c r="AL867" s="11" t="str">
        <f>IFERROR(IF(MARÍTIMOS[[#This Row],[Etapa Ingreso - Salida]]="","",MARÍTIMOS[[#This Row],[Etapa Ingreso - Salida]]),"")</f>
        <v/>
      </c>
      <c r="AM867" s="2" t="str">
        <f>IFERROR(IF(MARÍTIMOS[[#This Row],[FCL]]="","",MARÍTIMOS[[#This Row],[FCL]]),"")</f>
        <v/>
      </c>
      <c r="AN8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7" s="4" t="str" cm="1">
        <f t="array" ref="AO8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7" s="5" t="str">
        <f>IFERROR(OLDBD[[#This Row],[Llegada a packing]]-OLDBD[[#This Row],[Inicio de Ruta]],"")</f>
        <v/>
      </c>
      <c r="AQ867" s="6" t="str">
        <f>IFERROR(OLDBD[[#This Row],[Inicio de Ruta]]-OLDBD[[#This Row],[Salida de almacén de retiro]],"")</f>
        <v/>
      </c>
      <c r="AR8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7" s="8" t="str" cm="1">
        <f t="array" ref="AS8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7" s="9" t="str">
        <f>IFERROR(OLDBD[[#This Row],[Ingreso Packing]]-OLDBD[[#This Row],[Registro en Packing]],"")</f>
        <v/>
      </c>
      <c r="AV867" s="9" t="str">
        <f>IFERROR(OLDBD[[#This Row],[Ingreso Packing]]-OLDBD[[#This Row],[Llegada a packing]],"")</f>
        <v/>
      </c>
      <c r="AW8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7" s="5" t="str">
        <f>IFERROR(OLDBD[[#This Row],[Llegada Almacén de Ingreso]]-OLDBD[[#This Row],[Salida Packing]],"")</f>
        <v/>
      </c>
      <c r="AY867" s="4" t="str" cm="1">
        <f t="array" ref="AY8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7" s="43" t="s">
        <v>173</v>
      </c>
      <c r="BB867" s="47" t="str">
        <f>IFERROR(IF(MARÍTIMOS[[#This Row],[Estatus]]="","",MARÍTIMOS[[#This Row],[Estatus]]),"")</f>
        <v/>
      </c>
      <c r="BC867" s="43"/>
      <c r="BD867" s="46" t="str">
        <f>IFERROR(OLDBD[[#This Row],[Salida de almacén de retiro]]-OLDBD[[#This Row],[Ingreso Almacén de retiro]],"")</f>
        <v/>
      </c>
      <c r="BE867" s="46" t="str">
        <f>IFERROR(OLDBD[[#This Row],[Fin de Carga]]-OLDBD[[#This Row],[Inicio de Carga]],"")</f>
        <v/>
      </c>
    </row>
    <row r="868" spans="1:57" customFormat="1" hidden="1">
      <c r="A868" s="1"/>
      <c r="B868" s="1" t="str">
        <f>IFERROR(IF(MARÍTIMOS[[#This Row],[PP]]="","",MARÍTIMOS[[#This Row],[PP]]),"")</f>
        <v/>
      </c>
      <c r="C868" s="1" t="str">
        <f>IFERROR(IF(MARÍTIMOS[[#This Row],[Sede]]="","",MARÍTIMOS[[#This Row],[Sede]]),"")</f>
        <v/>
      </c>
      <c r="D868" s="1" t="str">
        <f>IFERROR(IF(MARÍTIMOS[[#This Row],[Instruction]]="","",MARÍTIMOS[[#This Row],[Instruction]]),"")</f>
        <v/>
      </c>
      <c r="E868" s="1"/>
      <c r="F868" s="2" t="str">
        <f>IFERROR(IF(MARÍTIMOS[[#This Row],[Transportista]]="","",MARÍTIMOS[[#This Row],[Transportista]]),"")</f>
        <v/>
      </c>
      <c r="G868" s="2" t="str">
        <f>IFERROR(IF(MARÍTIMOS[[#This Row],[Tercero]]="","",MARÍTIMOS[[#This Row],[Tercero]]),"")</f>
        <v/>
      </c>
      <c r="H868" s="2" t="str">
        <f>IFERROR(IF(MARÍTIMOS[[#This Row],[Razón Social]]="","",MARÍTIMOS[[#This Row],[Razón Social]]),"")</f>
        <v/>
      </c>
      <c r="I868" s="2" t="str">
        <f>IFERROR(IF(MARÍTIMOS[[#This Row],[RUC]]="","",MARÍTIMOS[[#This Row],[RUC]]),"")</f>
        <v/>
      </c>
      <c r="J868" s="2" t="str">
        <f>IFERROR(IF(MARÍTIMOS[[#This Row],[Placa Tracto]]="","",MARÍTIMOS[[#This Row],[Placa Tracto]]),"")</f>
        <v/>
      </c>
      <c r="K868" s="2" t="str">
        <f>IFERROR(IF(MARÍTIMOS[[#This Row],[Placa Carreta]]="","",MARÍTIMOS[[#This Row],[Placa Carreta]]),"")</f>
        <v/>
      </c>
      <c r="L868" s="44" t="str">
        <f>IFERROR(IF(MARÍTIMOS[[#This Row],[Conductor]]="","",MARÍTIMOS[[#This Row],[Conductor]]),"")</f>
        <v/>
      </c>
      <c r="M868" s="2" t="str">
        <f>IFERROR(IF(MARÍTIMOS[[#This Row],[Licencia]]="","",MARÍTIMOS[[#This Row],[Licencia]]),"")</f>
        <v/>
      </c>
      <c r="N868" s="2" t="str">
        <f>IFERROR(IF(MARÍTIMOS[[#This Row],[Número de Contacto]]="","",MARÍTIMOS[[#This Row],[Número de Contacto]]),"")</f>
        <v/>
      </c>
      <c r="O868" s="10" t="str">
        <f>IFERROR(IF(MARÍTIMOS[[#This Row],[Booking|AWB|CRT]]="","",MARÍTIMOS[[#This Row],[Booking|AWB|CRT]]),"")</f>
        <v/>
      </c>
      <c r="P868" s="2" t="str">
        <f>IFERROR(IF(MARÍTIMOS[[#This Row],[Contenedor]]="","",MARÍTIMOS[[#This Row],[Contenedor]]),"")</f>
        <v/>
      </c>
      <c r="Q868" s="2" t="str">
        <f>IFERROR(IF(MARÍTIMOS[[#This Row],[Puerto de Retiro]]="","",MARÍTIMOS[[#This Row],[Puerto de Retiro]]),"")</f>
        <v/>
      </c>
      <c r="R868" s="2" t="str">
        <f>IFERROR(IF(MARÍTIMOS[[#This Row],[Almacén de Retiro]]="","",MARÍTIMOS[[#This Row],[Almacén de Retiro]]),"")</f>
        <v/>
      </c>
      <c r="S868" s="11" t="str">
        <f>IFERROR(IF(MARÍTIMOS[[#This Row],[Etapa Retiro - Cita]]="","",MARÍTIMOS[[#This Row],[Etapa Retiro - Cita]]),"")</f>
        <v/>
      </c>
      <c r="T868" s="11" t="str">
        <f>IFERROR(IF(MARÍTIMOS[[#This Row],[Etapa Retiro - Llegada]]="","",MARÍTIMOS[[#This Row],[Etapa Retiro - Llegada]]),"")</f>
        <v/>
      </c>
      <c r="U868" s="11" t="str">
        <f>IFERROR(IF(MARÍTIMOS[[#This Row],[Etapa Retiro - Ingreso]]="","",MARÍTIMOS[[#This Row],[Etapa Retiro - Ingreso]]),"")</f>
        <v/>
      </c>
      <c r="V868" s="11" t="str">
        <f>IFERROR(IF(MARÍTIMOS[[#This Row],[Etapa Retiro - Atención]]="","",MARÍTIMOS[[#This Row],[Etapa Retiro - Atención]]),"")</f>
        <v/>
      </c>
      <c r="W868" s="11" t="str">
        <f>IFERROR(IF(MARÍTIMOS[[#This Row],[Etapa Retiro - Atención]]="","",MARÍTIMOS[[#This Row],[Etapa Retiro - Atención]]),"")</f>
        <v/>
      </c>
      <c r="X868" s="11" t="str">
        <f>IFERROR(IF(MARÍTIMOS[[#This Row],[Etapa Retiro - Inicio de Ruta]]="","",MARÍTIMOS[[#This Row],[Etapa Retiro - Inicio de Ruta]]),"")</f>
        <v/>
      </c>
      <c r="Y868" s="11" t="str">
        <f>IFERROR(IF(MARÍTIMOS[[#This Row],[Hora de Posicionamiento]]="","",MARÍTIMOS[[#This Row],[Fecha de Carga]]+MARÍTIMOS[[#This Row],[Hora de Posicionamiento]]),"")</f>
        <v/>
      </c>
      <c r="Z868" s="11" t="str">
        <f>IFERROR(IF(MARÍTIMOS[[#This Row],[Etapa Despacho - Llegada]]="","",MARÍTIMOS[[#This Row],[Etapa Despacho - Llegada]]),"")</f>
        <v/>
      </c>
      <c r="AA868" s="11" t="str">
        <f>IFERROR(IF(MARÍTIMOS[[#This Row],[Etapa Despacho - Registro]]="","",MARÍTIMOS[[#This Row],[Etapa Despacho - Registro]]),"")</f>
        <v/>
      </c>
      <c r="AB868" s="11" t="str">
        <f>IFERROR(IF(MARÍTIMOS[[#This Row],[Inspección Externa]]="","",MARÍTIMOS[[#This Row],[Inspección Externa]]),"")</f>
        <v/>
      </c>
      <c r="AC868" s="11" t="str">
        <f>IFERROR(IF(MARÍTIMOS[[#This Row],[Etapa Despacho - Inicio de Carga]]="","",MARÍTIMOS[[#This Row],[Etapa Despacho - Inicio de Carga]]),"")</f>
        <v/>
      </c>
      <c r="AD868" s="11" t="str">
        <f>IFERROR(IF(MARÍTIMOS[[#This Row],[Etapa Despacho - Mitad de Carga]]="","",MARÍTIMOS[[#This Row],[Etapa Despacho - Mitad de Carga]]),"")</f>
        <v/>
      </c>
      <c r="AE868" s="11" t="str">
        <f>IFERROR(IF(MARÍTIMOS[[#This Row],[Etapa Despacho - Fin de Carga]]="","",MARÍTIMOS[[#This Row],[Etapa Despacho - Fin de Carga]]),"")</f>
        <v/>
      </c>
      <c r="AF868" s="2" t="str">
        <f>IFERROR(IF(MARÍTIMOS[[#This Row],[Puerto de Embarque]]="","",MARÍTIMOS[[#This Row],[Puerto de Embarque]]),"")</f>
        <v/>
      </c>
      <c r="AG868" s="2" t="str">
        <f>IFERROR(IF(MARÍTIMOS[[#This Row],[Almacén de Ingreso]]="","",MARÍTIMOS[[#This Row],[Almacén de Ingreso]]),"")</f>
        <v/>
      </c>
      <c r="AH868" s="11" t="str">
        <f>IFERROR(IF(MARÍTIMOS[[#This Row],[Etapa Ingreso - Cita]]="","",MARÍTIMOS[[#This Row],[Etapa Ingreso - Cita]]),"")</f>
        <v/>
      </c>
      <c r="AI868" s="11" t="str">
        <f>IFERROR(IF(MARÍTIMOS[[#This Row],[Etapa Ingreso - Llegada]]="","",MARÍTIMOS[[#This Row],[Etapa Ingreso - Llegada]]),"")</f>
        <v/>
      </c>
      <c r="AJ868" s="11" t="str">
        <f>IFERROR(IF(MARÍTIMOS[[#This Row],[Etapa Ingreso - Ingeso]]="","",MARÍTIMOS[[#This Row],[Etapa Ingreso - Ingeso]]),"")</f>
        <v/>
      </c>
      <c r="AK868" s="11" t="str">
        <f>IFERROR(IF(MARÍTIMOS[[#This Row],[Etapa Ingreso - Atención]]="","",MARÍTIMOS[[#This Row],[Etapa Ingreso - Atención]]),"")</f>
        <v/>
      </c>
      <c r="AL868" s="11" t="str">
        <f>IFERROR(IF(MARÍTIMOS[[#This Row],[Etapa Ingreso - Salida]]="","",MARÍTIMOS[[#This Row],[Etapa Ingreso - Salida]]),"")</f>
        <v/>
      </c>
      <c r="AM868" s="2" t="str">
        <f>IFERROR(IF(MARÍTIMOS[[#This Row],[FCL]]="","",MARÍTIMOS[[#This Row],[FCL]]),"")</f>
        <v/>
      </c>
      <c r="AN8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8" s="4" t="str" cm="1">
        <f t="array" ref="AO8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8" s="5" t="str">
        <f>IFERROR(OLDBD[[#This Row],[Llegada a packing]]-OLDBD[[#This Row],[Inicio de Ruta]],"")</f>
        <v/>
      </c>
      <c r="AQ868" s="6" t="str">
        <f>IFERROR(OLDBD[[#This Row],[Inicio de Ruta]]-OLDBD[[#This Row],[Salida de almacén de retiro]],"")</f>
        <v/>
      </c>
      <c r="AR8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8" s="8" t="str" cm="1">
        <f t="array" ref="AS8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8" s="9" t="str">
        <f>IFERROR(OLDBD[[#This Row],[Ingreso Packing]]-OLDBD[[#This Row],[Registro en Packing]],"")</f>
        <v/>
      </c>
      <c r="AV868" s="9" t="str">
        <f>IFERROR(OLDBD[[#This Row],[Ingreso Packing]]-OLDBD[[#This Row],[Llegada a packing]],"")</f>
        <v/>
      </c>
      <c r="AW8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8" s="5" t="str">
        <f>IFERROR(OLDBD[[#This Row],[Llegada Almacén de Ingreso]]-OLDBD[[#This Row],[Salida Packing]],"")</f>
        <v/>
      </c>
      <c r="AY868" s="4" t="str" cm="1">
        <f t="array" ref="AY8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8" s="43" t="s">
        <v>173</v>
      </c>
      <c r="BB868" s="47" t="str">
        <f>IFERROR(IF(MARÍTIMOS[[#This Row],[Estatus]]="","",MARÍTIMOS[[#This Row],[Estatus]]),"")</f>
        <v/>
      </c>
      <c r="BC868" s="43"/>
      <c r="BD868" s="46" t="str">
        <f>IFERROR(OLDBD[[#This Row],[Salida de almacén de retiro]]-OLDBD[[#This Row],[Ingreso Almacén de retiro]],"")</f>
        <v/>
      </c>
      <c r="BE868" s="46" t="str">
        <f>IFERROR(OLDBD[[#This Row],[Fin de Carga]]-OLDBD[[#This Row],[Inicio de Carga]],"")</f>
        <v/>
      </c>
    </row>
    <row r="869" spans="1:57" customFormat="1" hidden="1">
      <c r="A869" s="1"/>
      <c r="B869" s="1" t="str">
        <f>IFERROR(IF(MARÍTIMOS[[#This Row],[PP]]="","",MARÍTIMOS[[#This Row],[PP]]),"")</f>
        <v/>
      </c>
      <c r="C869" s="1" t="str">
        <f>IFERROR(IF(MARÍTIMOS[[#This Row],[Sede]]="","",MARÍTIMOS[[#This Row],[Sede]]),"")</f>
        <v/>
      </c>
      <c r="D869" s="1" t="str">
        <f>IFERROR(IF(MARÍTIMOS[[#This Row],[Instruction]]="","",MARÍTIMOS[[#This Row],[Instruction]]),"")</f>
        <v/>
      </c>
      <c r="E869" s="1"/>
      <c r="F869" s="2" t="str">
        <f>IFERROR(IF(MARÍTIMOS[[#This Row],[Transportista]]="","",MARÍTIMOS[[#This Row],[Transportista]]),"")</f>
        <v/>
      </c>
      <c r="G869" s="2" t="str">
        <f>IFERROR(IF(MARÍTIMOS[[#This Row],[Tercero]]="","",MARÍTIMOS[[#This Row],[Tercero]]),"")</f>
        <v/>
      </c>
      <c r="H869" s="2" t="str">
        <f>IFERROR(IF(MARÍTIMOS[[#This Row],[Razón Social]]="","",MARÍTIMOS[[#This Row],[Razón Social]]),"")</f>
        <v/>
      </c>
      <c r="I869" s="2" t="str">
        <f>IFERROR(IF(MARÍTIMOS[[#This Row],[RUC]]="","",MARÍTIMOS[[#This Row],[RUC]]),"")</f>
        <v/>
      </c>
      <c r="J869" s="2" t="str">
        <f>IFERROR(IF(MARÍTIMOS[[#This Row],[Placa Tracto]]="","",MARÍTIMOS[[#This Row],[Placa Tracto]]),"")</f>
        <v/>
      </c>
      <c r="K869" s="2" t="str">
        <f>IFERROR(IF(MARÍTIMOS[[#This Row],[Placa Carreta]]="","",MARÍTIMOS[[#This Row],[Placa Carreta]]),"")</f>
        <v/>
      </c>
      <c r="L869" s="44" t="str">
        <f>IFERROR(IF(MARÍTIMOS[[#This Row],[Conductor]]="","",MARÍTIMOS[[#This Row],[Conductor]]),"")</f>
        <v/>
      </c>
      <c r="M869" s="2" t="str">
        <f>IFERROR(IF(MARÍTIMOS[[#This Row],[Licencia]]="","",MARÍTIMOS[[#This Row],[Licencia]]),"")</f>
        <v/>
      </c>
      <c r="N869" s="2" t="str">
        <f>IFERROR(IF(MARÍTIMOS[[#This Row],[Número de Contacto]]="","",MARÍTIMOS[[#This Row],[Número de Contacto]]),"")</f>
        <v/>
      </c>
      <c r="O869" s="10" t="str">
        <f>IFERROR(IF(MARÍTIMOS[[#This Row],[Booking|AWB|CRT]]="","",MARÍTIMOS[[#This Row],[Booking|AWB|CRT]]),"")</f>
        <v/>
      </c>
      <c r="P869" s="2" t="str">
        <f>IFERROR(IF(MARÍTIMOS[[#This Row],[Contenedor]]="","",MARÍTIMOS[[#This Row],[Contenedor]]),"")</f>
        <v/>
      </c>
      <c r="Q869" s="2" t="str">
        <f>IFERROR(IF(MARÍTIMOS[[#This Row],[Puerto de Retiro]]="","",MARÍTIMOS[[#This Row],[Puerto de Retiro]]),"")</f>
        <v/>
      </c>
      <c r="R869" s="2" t="str">
        <f>IFERROR(IF(MARÍTIMOS[[#This Row],[Almacén de Retiro]]="","",MARÍTIMOS[[#This Row],[Almacén de Retiro]]),"")</f>
        <v/>
      </c>
      <c r="S869" s="11" t="str">
        <f>IFERROR(IF(MARÍTIMOS[[#This Row],[Etapa Retiro - Cita]]="","",MARÍTIMOS[[#This Row],[Etapa Retiro - Cita]]),"")</f>
        <v/>
      </c>
      <c r="T869" s="11" t="str">
        <f>IFERROR(IF(MARÍTIMOS[[#This Row],[Etapa Retiro - Llegada]]="","",MARÍTIMOS[[#This Row],[Etapa Retiro - Llegada]]),"")</f>
        <v/>
      </c>
      <c r="U869" s="11" t="str">
        <f>IFERROR(IF(MARÍTIMOS[[#This Row],[Etapa Retiro - Ingreso]]="","",MARÍTIMOS[[#This Row],[Etapa Retiro - Ingreso]]),"")</f>
        <v/>
      </c>
      <c r="V869" s="11" t="str">
        <f>IFERROR(IF(MARÍTIMOS[[#This Row],[Etapa Retiro - Atención]]="","",MARÍTIMOS[[#This Row],[Etapa Retiro - Atención]]),"")</f>
        <v/>
      </c>
      <c r="W869" s="11" t="str">
        <f>IFERROR(IF(MARÍTIMOS[[#This Row],[Etapa Retiro - Atención]]="","",MARÍTIMOS[[#This Row],[Etapa Retiro - Atención]]),"")</f>
        <v/>
      </c>
      <c r="X869" s="11" t="str">
        <f>IFERROR(IF(MARÍTIMOS[[#This Row],[Etapa Retiro - Inicio de Ruta]]="","",MARÍTIMOS[[#This Row],[Etapa Retiro - Inicio de Ruta]]),"")</f>
        <v/>
      </c>
      <c r="Y869" s="11" t="str">
        <f>IFERROR(IF(MARÍTIMOS[[#This Row],[Hora de Posicionamiento]]="","",MARÍTIMOS[[#This Row],[Fecha de Carga]]+MARÍTIMOS[[#This Row],[Hora de Posicionamiento]]),"")</f>
        <v/>
      </c>
      <c r="Z869" s="11" t="str">
        <f>IFERROR(IF(MARÍTIMOS[[#This Row],[Etapa Despacho - Llegada]]="","",MARÍTIMOS[[#This Row],[Etapa Despacho - Llegada]]),"")</f>
        <v/>
      </c>
      <c r="AA869" s="11" t="str">
        <f>IFERROR(IF(MARÍTIMOS[[#This Row],[Etapa Despacho - Registro]]="","",MARÍTIMOS[[#This Row],[Etapa Despacho - Registro]]),"")</f>
        <v/>
      </c>
      <c r="AB869" s="11" t="str">
        <f>IFERROR(IF(MARÍTIMOS[[#This Row],[Inspección Externa]]="","",MARÍTIMOS[[#This Row],[Inspección Externa]]),"")</f>
        <v/>
      </c>
      <c r="AC869" s="11" t="str">
        <f>IFERROR(IF(MARÍTIMOS[[#This Row],[Etapa Despacho - Inicio de Carga]]="","",MARÍTIMOS[[#This Row],[Etapa Despacho - Inicio de Carga]]),"")</f>
        <v/>
      </c>
      <c r="AD869" s="11" t="str">
        <f>IFERROR(IF(MARÍTIMOS[[#This Row],[Etapa Despacho - Mitad de Carga]]="","",MARÍTIMOS[[#This Row],[Etapa Despacho - Mitad de Carga]]),"")</f>
        <v/>
      </c>
      <c r="AE869" s="11" t="str">
        <f>IFERROR(IF(MARÍTIMOS[[#This Row],[Etapa Despacho - Fin de Carga]]="","",MARÍTIMOS[[#This Row],[Etapa Despacho - Fin de Carga]]),"")</f>
        <v/>
      </c>
      <c r="AF869" s="2" t="str">
        <f>IFERROR(IF(MARÍTIMOS[[#This Row],[Puerto de Embarque]]="","",MARÍTIMOS[[#This Row],[Puerto de Embarque]]),"")</f>
        <v/>
      </c>
      <c r="AG869" s="2" t="str">
        <f>IFERROR(IF(MARÍTIMOS[[#This Row],[Almacén de Ingreso]]="","",MARÍTIMOS[[#This Row],[Almacén de Ingreso]]),"")</f>
        <v/>
      </c>
      <c r="AH869" s="11" t="str">
        <f>IFERROR(IF(MARÍTIMOS[[#This Row],[Etapa Ingreso - Cita]]="","",MARÍTIMOS[[#This Row],[Etapa Ingreso - Cita]]),"")</f>
        <v/>
      </c>
      <c r="AI869" s="11" t="str">
        <f>IFERROR(IF(MARÍTIMOS[[#This Row],[Etapa Ingreso - Llegada]]="","",MARÍTIMOS[[#This Row],[Etapa Ingreso - Llegada]]),"")</f>
        <v/>
      </c>
      <c r="AJ869" s="11" t="str">
        <f>IFERROR(IF(MARÍTIMOS[[#This Row],[Etapa Ingreso - Ingeso]]="","",MARÍTIMOS[[#This Row],[Etapa Ingreso - Ingeso]]),"")</f>
        <v/>
      </c>
      <c r="AK869" s="11" t="str">
        <f>IFERROR(IF(MARÍTIMOS[[#This Row],[Etapa Ingreso - Atención]]="","",MARÍTIMOS[[#This Row],[Etapa Ingreso - Atención]]),"")</f>
        <v/>
      </c>
      <c r="AL869" s="11" t="str">
        <f>IFERROR(IF(MARÍTIMOS[[#This Row],[Etapa Ingreso - Salida]]="","",MARÍTIMOS[[#This Row],[Etapa Ingreso - Salida]]),"")</f>
        <v/>
      </c>
      <c r="AM869" s="2" t="str">
        <f>IFERROR(IF(MARÍTIMOS[[#This Row],[FCL]]="","",MARÍTIMOS[[#This Row],[FCL]]),"")</f>
        <v/>
      </c>
      <c r="AN8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69" s="4" t="str" cm="1">
        <f t="array" ref="AO8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69" s="5" t="str">
        <f>IFERROR(OLDBD[[#This Row],[Llegada a packing]]-OLDBD[[#This Row],[Inicio de Ruta]],"")</f>
        <v/>
      </c>
      <c r="AQ869" s="6" t="str">
        <f>IFERROR(OLDBD[[#This Row],[Inicio de Ruta]]-OLDBD[[#This Row],[Salida de almacén de retiro]],"")</f>
        <v/>
      </c>
      <c r="AR8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69" s="8" t="str" cm="1">
        <f t="array" ref="AS8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69" s="9" t="str">
        <f>IFERROR(OLDBD[[#This Row],[Ingreso Packing]]-OLDBD[[#This Row],[Registro en Packing]],"")</f>
        <v/>
      </c>
      <c r="AV869" s="9" t="str">
        <f>IFERROR(OLDBD[[#This Row],[Ingreso Packing]]-OLDBD[[#This Row],[Llegada a packing]],"")</f>
        <v/>
      </c>
      <c r="AW8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69" s="5" t="str">
        <f>IFERROR(OLDBD[[#This Row],[Llegada Almacén de Ingreso]]-OLDBD[[#This Row],[Salida Packing]],"")</f>
        <v/>
      </c>
      <c r="AY869" s="4" t="str" cm="1">
        <f t="array" ref="AY8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69" s="43" t="s">
        <v>173</v>
      </c>
      <c r="BB869" s="47" t="str">
        <f>IFERROR(IF(MARÍTIMOS[[#This Row],[Estatus]]="","",MARÍTIMOS[[#This Row],[Estatus]]),"")</f>
        <v/>
      </c>
      <c r="BC869" s="43"/>
      <c r="BD869" s="46" t="str">
        <f>IFERROR(OLDBD[[#This Row],[Salida de almacén de retiro]]-OLDBD[[#This Row],[Ingreso Almacén de retiro]],"")</f>
        <v/>
      </c>
      <c r="BE869" s="46" t="str">
        <f>IFERROR(OLDBD[[#This Row],[Fin de Carga]]-OLDBD[[#This Row],[Inicio de Carga]],"")</f>
        <v/>
      </c>
    </row>
    <row r="870" spans="1:57" customFormat="1" hidden="1">
      <c r="A870" s="1"/>
      <c r="B870" s="1" t="str">
        <f>IFERROR(IF(MARÍTIMOS[[#This Row],[PP]]="","",MARÍTIMOS[[#This Row],[PP]]),"")</f>
        <v/>
      </c>
      <c r="C870" s="1" t="str">
        <f>IFERROR(IF(MARÍTIMOS[[#This Row],[Sede]]="","",MARÍTIMOS[[#This Row],[Sede]]),"")</f>
        <v/>
      </c>
      <c r="D870" s="1" t="str">
        <f>IFERROR(IF(MARÍTIMOS[[#This Row],[Instruction]]="","",MARÍTIMOS[[#This Row],[Instruction]]),"")</f>
        <v/>
      </c>
      <c r="E870" s="1"/>
      <c r="F870" s="2" t="str">
        <f>IFERROR(IF(MARÍTIMOS[[#This Row],[Transportista]]="","",MARÍTIMOS[[#This Row],[Transportista]]),"")</f>
        <v/>
      </c>
      <c r="G870" s="2" t="str">
        <f>IFERROR(IF(MARÍTIMOS[[#This Row],[Tercero]]="","",MARÍTIMOS[[#This Row],[Tercero]]),"")</f>
        <v/>
      </c>
      <c r="H870" s="2" t="str">
        <f>IFERROR(IF(MARÍTIMOS[[#This Row],[Razón Social]]="","",MARÍTIMOS[[#This Row],[Razón Social]]),"")</f>
        <v/>
      </c>
      <c r="I870" s="2" t="str">
        <f>IFERROR(IF(MARÍTIMOS[[#This Row],[RUC]]="","",MARÍTIMOS[[#This Row],[RUC]]),"")</f>
        <v/>
      </c>
      <c r="J870" s="2" t="str">
        <f>IFERROR(IF(MARÍTIMOS[[#This Row],[Placa Tracto]]="","",MARÍTIMOS[[#This Row],[Placa Tracto]]),"")</f>
        <v/>
      </c>
      <c r="K870" s="2" t="str">
        <f>IFERROR(IF(MARÍTIMOS[[#This Row],[Placa Carreta]]="","",MARÍTIMOS[[#This Row],[Placa Carreta]]),"")</f>
        <v/>
      </c>
      <c r="L870" s="44" t="str">
        <f>IFERROR(IF(MARÍTIMOS[[#This Row],[Conductor]]="","",MARÍTIMOS[[#This Row],[Conductor]]),"")</f>
        <v/>
      </c>
      <c r="M870" s="2" t="str">
        <f>IFERROR(IF(MARÍTIMOS[[#This Row],[Licencia]]="","",MARÍTIMOS[[#This Row],[Licencia]]),"")</f>
        <v/>
      </c>
      <c r="N870" s="2" t="str">
        <f>IFERROR(IF(MARÍTIMOS[[#This Row],[Número de Contacto]]="","",MARÍTIMOS[[#This Row],[Número de Contacto]]),"")</f>
        <v/>
      </c>
      <c r="O870" s="10" t="str">
        <f>IFERROR(IF(MARÍTIMOS[[#This Row],[Booking|AWB|CRT]]="","",MARÍTIMOS[[#This Row],[Booking|AWB|CRT]]),"")</f>
        <v/>
      </c>
      <c r="P870" s="2" t="str">
        <f>IFERROR(IF(MARÍTIMOS[[#This Row],[Contenedor]]="","",MARÍTIMOS[[#This Row],[Contenedor]]),"")</f>
        <v/>
      </c>
      <c r="Q870" s="2" t="str">
        <f>IFERROR(IF(MARÍTIMOS[[#This Row],[Puerto de Retiro]]="","",MARÍTIMOS[[#This Row],[Puerto de Retiro]]),"")</f>
        <v/>
      </c>
      <c r="R870" s="2" t="str">
        <f>IFERROR(IF(MARÍTIMOS[[#This Row],[Almacén de Retiro]]="","",MARÍTIMOS[[#This Row],[Almacén de Retiro]]),"")</f>
        <v/>
      </c>
      <c r="S870" s="11" t="str">
        <f>IFERROR(IF(MARÍTIMOS[[#This Row],[Etapa Retiro - Cita]]="","",MARÍTIMOS[[#This Row],[Etapa Retiro - Cita]]),"")</f>
        <v/>
      </c>
      <c r="T870" s="11" t="str">
        <f>IFERROR(IF(MARÍTIMOS[[#This Row],[Etapa Retiro - Llegada]]="","",MARÍTIMOS[[#This Row],[Etapa Retiro - Llegada]]),"")</f>
        <v/>
      </c>
      <c r="U870" s="11" t="str">
        <f>IFERROR(IF(MARÍTIMOS[[#This Row],[Etapa Retiro - Ingreso]]="","",MARÍTIMOS[[#This Row],[Etapa Retiro - Ingreso]]),"")</f>
        <v/>
      </c>
      <c r="V870" s="11" t="str">
        <f>IFERROR(IF(MARÍTIMOS[[#This Row],[Etapa Retiro - Atención]]="","",MARÍTIMOS[[#This Row],[Etapa Retiro - Atención]]),"")</f>
        <v/>
      </c>
      <c r="W870" s="11" t="str">
        <f>IFERROR(IF(MARÍTIMOS[[#This Row],[Etapa Retiro - Atención]]="","",MARÍTIMOS[[#This Row],[Etapa Retiro - Atención]]),"")</f>
        <v/>
      </c>
      <c r="X870" s="11" t="str">
        <f>IFERROR(IF(MARÍTIMOS[[#This Row],[Etapa Retiro - Inicio de Ruta]]="","",MARÍTIMOS[[#This Row],[Etapa Retiro - Inicio de Ruta]]),"")</f>
        <v/>
      </c>
      <c r="Y870" s="11" t="str">
        <f>IFERROR(IF(MARÍTIMOS[[#This Row],[Hora de Posicionamiento]]="","",MARÍTIMOS[[#This Row],[Fecha de Carga]]+MARÍTIMOS[[#This Row],[Hora de Posicionamiento]]),"")</f>
        <v/>
      </c>
      <c r="Z870" s="11" t="str">
        <f>IFERROR(IF(MARÍTIMOS[[#This Row],[Etapa Despacho - Llegada]]="","",MARÍTIMOS[[#This Row],[Etapa Despacho - Llegada]]),"")</f>
        <v/>
      </c>
      <c r="AA870" s="11" t="str">
        <f>IFERROR(IF(MARÍTIMOS[[#This Row],[Etapa Despacho - Registro]]="","",MARÍTIMOS[[#This Row],[Etapa Despacho - Registro]]),"")</f>
        <v/>
      </c>
      <c r="AB870" s="11" t="str">
        <f>IFERROR(IF(MARÍTIMOS[[#This Row],[Inspección Externa]]="","",MARÍTIMOS[[#This Row],[Inspección Externa]]),"")</f>
        <v/>
      </c>
      <c r="AC870" s="11" t="str">
        <f>IFERROR(IF(MARÍTIMOS[[#This Row],[Etapa Despacho - Inicio de Carga]]="","",MARÍTIMOS[[#This Row],[Etapa Despacho - Inicio de Carga]]),"")</f>
        <v/>
      </c>
      <c r="AD870" s="11" t="str">
        <f>IFERROR(IF(MARÍTIMOS[[#This Row],[Etapa Despacho - Mitad de Carga]]="","",MARÍTIMOS[[#This Row],[Etapa Despacho - Mitad de Carga]]),"")</f>
        <v/>
      </c>
      <c r="AE870" s="11" t="str">
        <f>IFERROR(IF(MARÍTIMOS[[#This Row],[Etapa Despacho - Fin de Carga]]="","",MARÍTIMOS[[#This Row],[Etapa Despacho - Fin de Carga]]),"")</f>
        <v/>
      </c>
      <c r="AF870" s="2" t="str">
        <f>IFERROR(IF(MARÍTIMOS[[#This Row],[Puerto de Embarque]]="","",MARÍTIMOS[[#This Row],[Puerto de Embarque]]),"")</f>
        <v/>
      </c>
      <c r="AG870" s="2" t="str">
        <f>IFERROR(IF(MARÍTIMOS[[#This Row],[Almacén de Ingreso]]="","",MARÍTIMOS[[#This Row],[Almacén de Ingreso]]),"")</f>
        <v/>
      </c>
      <c r="AH870" s="11" t="str">
        <f>IFERROR(IF(MARÍTIMOS[[#This Row],[Etapa Ingreso - Cita]]="","",MARÍTIMOS[[#This Row],[Etapa Ingreso - Cita]]),"")</f>
        <v/>
      </c>
      <c r="AI870" s="11" t="str">
        <f>IFERROR(IF(MARÍTIMOS[[#This Row],[Etapa Ingreso - Llegada]]="","",MARÍTIMOS[[#This Row],[Etapa Ingreso - Llegada]]),"")</f>
        <v/>
      </c>
      <c r="AJ870" s="11" t="str">
        <f>IFERROR(IF(MARÍTIMOS[[#This Row],[Etapa Ingreso - Ingeso]]="","",MARÍTIMOS[[#This Row],[Etapa Ingreso - Ingeso]]),"")</f>
        <v/>
      </c>
      <c r="AK870" s="11" t="str">
        <f>IFERROR(IF(MARÍTIMOS[[#This Row],[Etapa Ingreso - Atención]]="","",MARÍTIMOS[[#This Row],[Etapa Ingreso - Atención]]),"")</f>
        <v/>
      </c>
      <c r="AL870" s="11" t="str">
        <f>IFERROR(IF(MARÍTIMOS[[#This Row],[Etapa Ingreso - Salida]]="","",MARÍTIMOS[[#This Row],[Etapa Ingreso - Salida]]),"")</f>
        <v/>
      </c>
      <c r="AM870" s="2" t="str">
        <f>IFERROR(IF(MARÍTIMOS[[#This Row],[FCL]]="","",MARÍTIMOS[[#This Row],[FCL]]),"")</f>
        <v/>
      </c>
      <c r="AN8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0" s="4" t="str" cm="1">
        <f t="array" ref="AO8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0" s="5" t="str">
        <f>IFERROR(OLDBD[[#This Row],[Llegada a packing]]-OLDBD[[#This Row],[Inicio de Ruta]],"")</f>
        <v/>
      </c>
      <c r="AQ870" s="6" t="str">
        <f>IFERROR(OLDBD[[#This Row],[Inicio de Ruta]]-OLDBD[[#This Row],[Salida de almacén de retiro]],"")</f>
        <v/>
      </c>
      <c r="AR8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0" s="8" t="str" cm="1">
        <f t="array" ref="AS8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0" s="9" t="str">
        <f>IFERROR(OLDBD[[#This Row],[Ingreso Packing]]-OLDBD[[#This Row],[Registro en Packing]],"")</f>
        <v/>
      </c>
      <c r="AV870" s="9" t="str">
        <f>IFERROR(OLDBD[[#This Row],[Ingreso Packing]]-OLDBD[[#This Row],[Llegada a packing]],"")</f>
        <v/>
      </c>
      <c r="AW8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0" s="5" t="str">
        <f>IFERROR(OLDBD[[#This Row],[Llegada Almacén de Ingreso]]-OLDBD[[#This Row],[Salida Packing]],"")</f>
        <v/>
      </c>
      <c r="AY870" s="4" t="str" cm="1">
        <f t="array" ref="AY8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0" s="43" t="s">
        <v>173</v>
      </c>
      <c r="BB870" s="47" t="str">
        <f>IFERROR(IF(MARÍTIMOS[[#This Row],[Estatus]]="","",MARÍTIMOS[[#This Row],[Estatus]]),"")</f>
        <v/>
      </c>
      <c r="BC870" s="43"/>
      <c r="BD870" s="46" t="str">
        <f>IFERROR(OLDBD[[#This Row],[Salida de almacén de retiro]]-OLDBD[[#This Row],[Ingreso Almacén de retiro]],"")</f>
        <v/>
      </c>
      <c r="BE870" s="46" t="str">
        <f>IFERROR(OLDBD[[#This Row],[Fin de Carga]]-OLDBD[[#This Row],[Inicio de Carga]],"")</f>
        <v/>
      </c>
    </row>
    <row r="871" spans="1:57" customFormat="1" hidden="1">
      <c r="A871" s="1"/>
      <c r="B871" s="1" t="str">
        <f>IFERROR(IF(MARÍTIMOS[[#This Row],[PP]]="","",MARÍTIMOS[[#This Row],[PP]]),"")</f>
        <v/>
      </c>
      <c r="C871" s="1" t="str">
        <f>IFERROR(IF(MARÍTIMOS[[#This Row],[Sede]]="","",MARÍTIMOS[[#This Row],[Sede]]),"")</f>
        <v/>
      </c>
      <c r="D871" s="1" t="str">
        <f>IFERROR(IF(MARÍTIMOS[[#This Row],[Instruction]]="","",MARÍTIMOS[[#This Row],[Instruction]]),"")</f>
        <v/>
      </c>
      <c r="E871" s="1"/>
      <c r="F871" s="2" t="str">
        <f>IFERROR(IF(MARÍTIMOS[[#This Row],[Transportista]]="","",MARÍTIMOS[[#This Row],[Transportista]]),"")</f>
        <v/>
      </c>
      <c r="G871" s="2" t="str">
        <f>IFERROR(IF(MARÍTIMOS[[#This Row],[Tercero]]="","",MARÍTIMOS[[#This Row],[Tercero]]),"")</f>
        <v/>
      </c>
      <c r="H871" s="2" t="str">
        <f>IFERROR(IF(MARÍTIMOS[[#This Row],[Razón Social]]="","",MARÍTIMOS[[#This Row],[Razón Social]]),"")</f>
        <v/>
      </c>
      <c r="I871" s="2" t="str">
        <f>IFERROR(IF(MARÍTIMOS[[#This Row],[RUC]]="","",MARÍTIMOS[[#This Row],[RUC]]),"")</f>
        <v/>
      </c>
      <c r="J871" s="2" t="str">
        <f>IFERROR(IF(MARÍTIMOS[[#This Row],[Placa Tracto]]="","",MARÍTIMOS[[#This Row],[Placa Tracto]]),"")</f>
        <v/>
      </c>
      <c r="K871" s="2" t="str">
        <f>IFERROR(IF(MARÍTIMOS[[#This Row],[Placa Carreta]]="","",MARÍTIMOS[[#This Row],[Placa Carreta]]),"")</f>
        <v/>
      </c>
      <c r="L871" s="44" t="str">
        <f>IFERROR(IF(MARÍTIMOS[[#This Row],[Conductor]]="","",MARÍTIMOS[[#This Row],[Conductor]]),"")</f>
        <v/>
      </c>
      <c r="M871" s="2" t="str">
        <f>IFERROR(IF(MARÍTIMOS[[#This Row],[Licencia]]="","",MARÍTIMOS[[#This Row],[Licencia]]),"")</f>
        <v/>
      </c>
      <c r="N871" s="2" t="str">
        <f>IFERROR(IF(MARÍTIMOS[[#This Row],[Número de Contacto]]="","",MARÍTIMOS[[#This Row],[Número de Contacto]]),"")</f>
        <v/>
      </c>
      <c r="O871" s="10" t="str">
        <f>IFERROR(IF(MARÍTIMOS[[#This Row],[Booking|AWB|CRT]]="","",MARÍTIMOS[[#This Row],[Booking|AWB|CRT]]),"")</f>
        <v/>
      </c>
      <c r="P871" s="2" t="str">
        <f>IFERROR(IF(MARÍTIMOS[[#This Row],[Contenedor]]="","",MARÍTIMOS[[#This Row],[Contenedor]]),"")</f>
        <v/>
      </c>
      <c r="Q871" s="2" t="str">
        <f>IFERROR(IF(MARÍTIMOS[[#This Row],[Puerto de Retiro]]="","",MARÍTIMOS[[#This Row],[Puerto de Retiro]]),"")</f>
        <v/>
      </c>
      <c r="R871" s="2" t="str">
        <f>IFERROR(IF(MARÍTIMOS[[#This Row],[Almacén de Retiro]]="","",MARÍTIMOS[[#This Row],[Almacén de Retiro]]),"")</f>
        <v/>
      </c>
      <c r="S871" s="11" t="str">
        <f>IFERROR(IF(MARÍTIMOS[[#This Row],[Etapa Retiro - Cita]]="","",MARÍTIMOS[[#This Row],[Etapa Retiro - Cita]]),"")</f>
        <v/>
      </c>
      <c r="T871" s="11" t="str">
        <f>IFERROR(IF(MARÍTIMOS[[#This Row],[Etapa Retiro - Llegada]]="","",MARÍTIMOS[[#This Row],[Etapa Retiro - Llegada]]),"")</f>
        <v/>
      </c>
      <c r="U871" s="11" t="str">
        <f>IFERROR(IF(MARÍTIMOS[[#This Row],[Etapa Retiro - Ingreso]]="","",MARÍTIMOS[[#This Row],[Etapa Retiro - Ingreso]]),"")</f>
        <v/>
      </c>
      <c r="V871" s="11" t="str">
        <f>IFERROR(IF(MARÍTIMOS[[#This Row],[Etapa Retiro - Atención]]="","",MARÍTIMOS[[#This Row],[Etapa Retiro - Atención]]),"")</f>
        <v/>
      </c>
      <c r="W871" s="11" t="str">
        <f>IFERROR(IF(MARÍTIMOS[[#This Row],[Etapa Retiro - Atención]]="","",MARÍTIMOS[[#This Row],[Etapa Retiro - Atención]]),"")</f>
        <v/>
      </c>
      <c r="X871" s="11" t="str">
        <f>IFERROR(IF(MARÍTIMOS[[#This Row],[Etapa Retiro - Inicio de Ruta]]="","",MARÍTIMOS[[#This Row],[Etapa Retiro - Inicio de Ruta]]),"")</f>
        <v/>
      </c>
      <c r="Y871" s="11" t="str">
        <f>IFERROR(IF(MARÍTIMOS[[#This Row],[Hora de Posicionamiento]]="","",MARÍTIMOS[[#This Row],[Fecha de Carga]]+MARÍTIMOS[[#This Row],[Hora de Posicionamiento]]),"")</f>
        <v/>
      </c>
      <c r="Z871" s="11" t="str">
        <f>IFERROR(IF(MARÍTIMOS[[#This Row],[Etapa Despacho - Llegada]]="","",MARÍTIMOS[[#This Row],[Etapa Despacho - Llegada]]),"")</f>
        <v/>
      </c>
      <c r="AA871" s="11" t="str">
        <f>IFERROR(IF(MARÍTIMOS[[#This Row],[Etapa Despacho - Registro]]="","",MARÍTIMOS[[#This Row],[Etapa Despacho - Registro]]),"")</f>
        <v/>
      </c>
      <c r="AB871" s="11" t="str">
        <f>IFERROR(IF(MARÍTIMOS[[#This Row],[Inspección Externa]]="","",MARÍTIMOS[[#This Row],[Inspección Externa]]),"")</f>
        <v/>
      </c>
      <c r="AC871" s="11" t="str">
        <f>IFERROR(IF(MARÍTIMOS[[#This Row],[Etapa Despacho - Inicio de Carga]]="","",MARÍTIMOS[[#This Row],[Etapa Despacho - Inicio de Carga]]),"")</f>
        <v/>
      </c>
      <c r="AD871" s="11" t="str">
        <f>IFERROR(IF(MARÍTIMOS[[#This Row],[Etapa Despacho - Mitad de Carga]]="","",MARÍTIMOS[[#This Row],[Etapa Despacho - Mitad de Carga]]),"")</f>
        <v/>
      </c>
      <c r="AE871" s="11" t="str">
        <f>IFERROR(IF(MARÍTIMOS[[#This Row],[Etapa Despacho - Fin de Carga]]="","",MARÍTIMOS[[#This Row],[Etapa Despacho - Fin de Carga]]),"")</f>
        <v/>
      </c>
      <c r="AF871" s="2" t="str">
        <f>IFERROR(IF(MARÍTIMOS[[#This Row],[Puerto de Embarque]]="","",MARÍTIMOS[[#This Row],[Puerto de Embarque]]),"")</f>
        <v/>
      </c>
      <c r="AG871" s="2" t="str">
        <f>IFERROR(IF(MARÍTIMOS[[#This Row],[Almacén de Ingreso]]="","",MARÍTIMOS[[#This Row],[Almacén de Ingreso]]),"")</f>
        <v/>
      </c>
      <c r="AH871" s="11" t="str">
        <f>IFERROR(IF(MARÍTIMOS[[#This Row],[Etapa Ingreso - Cita]]="","",MARÍTIMOS[[#This Row],[Etapa Ingreso - Cita]]),"")</f>
        <v/>
      </c>
      <c r="AI871" s="11" t="str">
        <f>IFERROR(IF(MARÍTIMOS[[#This Row],[Etapa Ingreso - Llegada]]="","",MARÍTIMOS[[#This Row],[Etapa Ingreso - Llegada]]),"")</f>
        <v/>
      </c>
      <c r="AJ871" s="11" t="str">
        <f>IFERROR(IF(MARÍTIMOS[[#This Row],[Etapa Ingreso - Ingeso]]="","",MARÍTIMOS[[#This Row],[Etapa Ingreso - Ingeso]]),"")</f>
        <v/>
      </c>
      <c r="AK871" s="11" t="str">
        <f>IFERROR(IF(MARÍTIMOS[[#This Row],[Etapa Ingreso - Atención]]="","",MARÍTIMOS[[#This Row],[Etapa Ingreso - Atención]]),"")</f>
        <v/>
      </c>
      <c r="AL871" s="11" t="str">
        <f>IFERROR(IF(MARÍTIMOS[[#This Row],[Etapa Ingreso - Salida]]="","",MARÍTIMOS[[#This Row],[Etapa Ingreso - Salida]]),"")</f>
        <v/>
      </c>
      <c r="AM871" s="2" t="str">
        <f>IFERROR(IF(MARÍTIMOS[[#This Row],[FCL]]="","",MARÍTIMOS[[#This Row],[FCL]]),"")</f>
        <v/>
      </c>
      <c r="AN8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1" s="4" t="str" cm="1">
        <f t="array" ref="AO8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1" s="5" t="str">
        <f>IFERROR(OLDBD[[#This Row],[Llegada a packing]]-OLDBD[[#This Row],[Inicio de Ruta]],"")</f>
        <v/>
      </c>
      <c r="AQ871" s="6" t="str">
        <f>IFERROR(OLDBD[[#This Row],[Inicio de Ruta]]-OLDBD[[#This Row],[Salida de almacén de retiro]],"")</f>
        <v/>
      </c>
      <c r="AR8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1" s="8" t="str" cm="1">
        <f t="array" ref="AS8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1" s="9" t="str">
        <f>IFERROR(OLDBD[[#This Row],[Ingreso Packing]]-OLDBD[[#This Row],[Registro en Packing]],"")</f>
        <v/>
      </c>
      <c r="AV871" s="9" t="str">
        <f>IFERROR(OLDBD[[#This Row],[Ingreso Packing]]-OLDBD[[#This Row],[Llegada a packing]],"")</f>
        <v/>
      </c>
      <c r="AW8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1" s="5" t="str">
        <f>IFERROR(OLDBD[[#This Row],[Llegada Almacén de Ingreso]]-OLDBD[[#This Row],[Salida Packing]],"")</f>
        <v/>
      </c>
      <c r="AY871" s="4" t="str" cm="1">
        <f t="array" ref="AY8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1" s="43" t="s">
        <v>173</v>
      </c>
      <c r="BB871" s="47" t="str">
        <f>IFERROR(IF(MARÍTIMOS[[#This Row],[Estatus]]="","",MARÍTIMOS[[#This Row],[Estatus]]),"")</f>
        <v/>
      </c>
      <c r="BC871" s="43"/>
      <c r="BD871" s="46" t="str">
        <f>IFERROR(OLDBD[[#This Row],[Salida de almacén de retiro]]-OLDBD[[#This Row],[Ingreso Almacén de retiro]],"")</f>
        <v/>
      </c>
      <c r="BE871" s="46" t="str">
        <f>IFERROR(OLDBD[[#This Row],[Fin de Carga]]-OLDBD[[#This Row],[Inicio de Carga]],"")</f>
        <v/>
      </c>
    </row>
    <row r="872" spans="1:57" customFormat="1" hidden="1">
      <c r="A872" s="1"/>
      <c r="B872" s="1" t="str">
        <f>IFERROR(IF(MARÍTIMOS[[#This Row],[PP]]="","",MARÍTIMOS[[#This Row],[PP]]),"")</f>
        <v/>
      </c>
      <c r="C872" s="1" t="str">
        <f>IFERROR(IF(MARÍTIMOS[[#This Row],[Sede]]="","",MARÍTIMOS[[#This Row],[Sede]]),"")</f>
        <v/>
      </c>
      <c r="D872" s="1" t="str">
        <f>IFERROR(IF(MARÍTIMOS[[#This Row],[Instruction]]="","",MARÍTIMOS[[#This Row],[Instruction]]),"")</f>
        <v/>
      </c>
      <c r="E872" s="1"/>
      <c r="F872" s="2" t="str">
        <f>IFERROR(IF(MARÍTIMOS[[#This Row],[Transportista]]="","",MARÍTIMOS[[#This Row],[Transportista]]),"")</f>
        <v/>
      </c>
      <c r="G872" s="2" t="str">
        <f>IFERROR(IF(MARÍTIMOS[[#This Row],[Tercero]]="","",MARÍTIMOS[[#This Row],[Tercero]]),"")</f>
        <v/>
      </c>
      <c r="H872" s="2" t="str">
        <f>IFERROR(IF(MARÍTIMOS[[#This Row],[Razón Social]]="","",MARÍTIMOS[[#This Row],[Razón Social]]),"")</f>
        <v/>
      </c>
      <c r="I872" s="2" t="str">
        <f>IFERROR(IF(MARÍTIMOS[[#This Row],[RUC]]="","",MARÍTIMOS[[#This Row],[RUC]]),"")</f>
        <v/>
      </c>
      <c r="J872" s="2" t="str">
        <f>IFERROR(IF(MARÍTIMOS[[#This Row],[Placa Tracto]]="","",MARÍTIMOS[[#This Row],[Placa Tracto]]),"")</f>
        <v/>
      </c>
      <c r="K872" s="2" t="str">
        <f>IFERROR(IF(MARÍTIMOS[[#This Row],[Placa Carreta]]="","",MARÍTIMOS[[#This Row],[Placa Carreta]]),"")</f>
        <v/>
      </c>
      <c r="L872" s="44" t="str">
        <f>IFERROR(IF(MARÍTIMOS[[#This Row],[Conductor]]="","",MARÍTIMOS[[#This Row],[Conductor]]),"")</f>
        <v/>
      </c>
      <c r="M872" s="2" t="str">
        <f>IFERROR(IF(MARÍTIMOS[[#This Row],[Licencia]]="","",MARÍTIMOS[[#This Row],[Licencia]]),"")</f>
        <v/>
      </c>
      <c r="N872" s="2" t="str">
        <f>IFERROR(IF(MARÍTIMOS[[#This Row],[Número de Contacto]]="","",MARÍTIMOS[[#This Row],[Número de Contacto]]),"")</f>
        <v/>
      </c>
      <c r="O872" s="10" t="str">
        <f>IFERROR(IF(MARÍTIMOS[[#This Row],[Booking|AWB|CRT]]="","",MARÍTIMOS[[#This Row],[Booking|AWB|CRT]]),"")</f>
        <v/>
      </c>
      <c r="P872" s="2" t="str">
        <f>IFERROR(IF(MARÍTIMOS[[#This Row],[Contenedor]]="","",MARÍTIMOS[[#This Row],[Contenedor]]),"")</f>
        <v/>
      </c>
      <c r="Q872" s="2" t="str">
        <f>IFERROR(IF(MARÍTIMOS[[#This Row],[Puerto de Retiro]]="","",MARÍTIMOS[[#This Row],[Puerto de Retiro]]),"")</f>
        <v/>
      </c>
      <c r="R872" s="2" t="str">
        <f>IFERROR(IF(MARÍTIMOS[[#This Row],[Almacén de Retiro]]="","",MARÍTIMOS[[#This Row],[Almacén de Retiro]]),"")</f>
        <v/>
      </c>
      <c r="S872" s="11" t="str">
        <f>IFERROR(IF(MARÍTIMOS[[#This Row],[Etapa Retiro - Cita]]="","",MARÍTIMOS[[#This Row],[Etapa Retiro - Cita]]),"")</f>
        <v/>
      </c>
      <c r="T872" s="11" t="str">
        <f>IFERROR(IF(MARÍTIMOS[[#This Row],[Etapa Retiro - Llegada]]="","",MARÍTIMOS[[#This Row],[Etapa Retiro - Llegada]]),"")</f>
        <v/>
      </c>
      <c r="U872" s="11" t="str">
        <f>IFERROR(IF(MARÍTIMOS[[#This Row],[Etapa Retiro - Ingreso]]="","",MARÍTIMOS[[#This Row],[Etapa Retiro - Ingreso]]),"")</f>
        <v/>
      </c>
      <c r="V872" s="11" t="str">
        <f>IFERROR(IF(MARÍTIMOS[[#This Row],[Etapa Retiro - Atención]]="","",MARÍTIMOS[[#This Row],[Etapa Retiro - Atención]]),"")</f>
        <v/>
      </c>
      <c r="W872" s="11" t="str">
        <f>IFERROR(IF(MARÍTIMOS[[#This Row],[Etapa Retiro - Atención]]="","",MARÍTIMOS[[#This Row],[Etapa Retiro - Atención]]),"")</f>
        <v/>
      </c>
      <c r="X872" s="11" t="str">
        <f>IFERROR(IF(MARÍTIMOS[[#This Row],[Etapa Retiro - Inicio de Ruta]]="","",MARÍTIMOS[[#This Row],[Etapa Retiro - Inicio de Ruta]]),"")</f>
        <v/>
      </c>
      <c r="Y872" s="11" t="str">
        <f>IFERROR(IF(MARÍTIMOS[[#This Row],[Hora de Posicionamiento]]="","",MARÍTIMOS[[#This Row],[Fecha de Carga]]+MARÍTIMOS[[#This Row],[Hora de Posicionamiento]]),"")</f>
        <v/>
      </c>
      <c r="Z872" s="11" t="str">
        <f>IFERROR(IF(MARÍTIMOS[[#This Row],[Etapa Despacho - Llegada]]="","",MARÍTIMOS[[#This Row],[Etapa Despacho - Llegada]]),"")</f>
        <v/>
      </c>
      <c r="AA872" s="11" t="str">
        <f>IFERROR(IF(MARÍTIMOS[[#This Row],[Etapa Despacho - Registro]]="","",MARÍTIMOS[[#This Row],[Etapa Despacho - Registro]]),"")</f>
        <v/>
      </c>
      <c r="AB872" s="11" t="str">
        <f>IFERROR(IF(MARÍTIMOS[[#This Row],[Inspección Externa]]="","",MARÍTIMOS[[#This Row],[Inspección Externa]]),"")</f>
        <v/>
      </c>
      <c r="AC872" s="11" t="str">
        <f>IFERROR(IF(MARÍTIMOS[[#This Row],[Etapa Despacho - Inicio de Carga]]="","",MARÍTIMOS[[#This Row],[Etapa Despacho - Inicio de Carga]]),"")</f>
        <v/>
      </c>
      <c r="AD872" s="11" t="str">
        <f>IFERROR(IF(MARÍTIMOS[[#This Row],[Etapa Despacho - Mitad de Carga]]="","",MARÍTIMOS[[#This Row],[Etapa Despacho - Mitad de Carga]]),"")</f>
        <v/>
      </c>
      <c r="AE872" s="11" t="str">
        <f>IFERROR(IF(MARÍTIMOS[[#This Row],[Etapa Despacho - Fin de Carga]]="","",MARÍTIMOS[[#This Row],[Etapa Despacho - Fin de Carga]]),"")</f>
        <v/>
      </c>
      <c r="AF872" s="2" t="str">
        <f>IFERROR(IF(MARÍTIMOS[[#This Row],[Puerto de Embarque]]="","",MARÍTIMOS[[#This Row],[Puerto de Embarque]]),"")</f>
        <v/>
      </c>
      <c r="AG872" s="2" t="str">
        <f>IFERROR(IF(MARÍTIMOS[[#This Row],[Almacén de Ingreso]]="","",MARÍTIMOS[[#This Row],[Almacén de Ingreso]]),"")</f>
        <v/>
      </c>
      <c r="AH872" s="11" t="str">
        <f>IFERROR(IF(MARÍTIMOS[[#This Row],[Etapa Ingreso - Cita]]="","",MARÍTIMOS[[#This Row],[Etapa Ingreso - Cita]]),"")</f>
        <v/>
      </c>
      <c r="AI872" s="11" t="str">
        <f>IFERROR(IF(MARÍTIMOS[[#This Row],[Etapa Ingreso - Llegada]]="","",MARÍTIMOS[[#This Row],[Etapa Ingreso - Llegada]]),"")</f>
        <v/>
      </c>
      <c r="AJ872" s="11" t="str">
        <f>IFERROR(IF(MARÍTIMOS[[#This Row],[Etapa Ingreso - Ingeso]]="","",MARÍTIMOS[[#This Row],[Etapa Ingreso - Ingeso]]),"")</f>
        <v/>
      </c>
      <c r="AK872" s="11" t="str">
        <f>IFERROR(IF(MARÍTIMOS[[#This Row],[Etapa Ingreso - Atención]]="","",MARÍTIMOS[[#This Row],[Etapa Ingreso - Atención]]),"")</f>
        <v/>
      </c>
      <c r="AL872" s="11" t="str">
        <f>IFERROR(IF(MARÍTIMOS[[#This Row],[Etapa Ingreso - Salida]]="","",MARÍTIMOS[[#This Row],[Etapa Ingreso - Salida]]),"")</f>
        <v/>
      </c>
      <c r="AM872" s="2" t="str">
        <f>IFERROR(IF(MARÍTIMOS[[#This Row],[FCL]]="","",MARÍTIMOS[[#This Row],[FCL]]),"")</f>
        <v/>
      </c>
      <c r="AN8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2" s="4" t="str" cm="1">
        <f t="array" ref="AO8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2" s="5" t="str">
        <f>IFERROR(OLDBD[[#This Row],[Llegada a packing]]-OLDBD[[#This Row],[Inicio de Ruta]],"")</f>
        <v/>
      </c>
      <c r="AQ872" s="6" t="str">
        <f>IFERROR(OLDBD[[#This Row],[Inicio de Ruta]]-OLDBD[[#This Row],[Salida de almacén de retiro]],"")</f>
        <v/>
      </c>
      <c r="AR8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2" s="8" t="str" cm="1">
        <f t="array" ref="AS8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2" s="9" t="str">
        <f>IFERROR(OLDBD[[#This Row],[Ingreso Packing]]-OLDBD[[#This Row],[Registro en Packing]],"")</f>
        <v/>
      </c>
      <c r="AV872" s="9" t="str">
        <f>IFERROR(OLDBD[[#This Row],[Ingreso Packing]]-OLDBD[[#This Row],[Llegada a packing]],"")</f>
        <v/>
      </c>
      <c r="AW8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2" s="5" t="str">
        <f>IFERROR(OLDBD[[#This Row],[Llegada Almacén de Ingreso]]-OLDBD[[#This Row],[Salida Packing]],"")</f>
        <v/>
      </c>
      <c r="AY872" s="4" t="str" cm="1">
        <f t="array" ref="AY8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2" s="43" t="s">
        <v>173</v>
      </c>
      <c r="BB872" s="47" t="str">
        <f>IFERROR(IF(MARÍTIMOS[[#This Row],[Estatus]]="","",MARÍTIMOS[[#This Row],[Estatus]]),"")</f>
        <v/>
      </c>
      <c r="BC872" s="43"/>
      <c r="BD872" s="46" t="str">
        <f>IFERROR(OLDBD[[#This Row],[Salida de almacén de retiro]]-OLDBD[[#This Row],[Ingreso Almacén de retiro]],"")</f>
        <v/>
      </c>
      <c r="BE872" s="46" t="str">
        <f>IFERROR(OLDBD[[#This Row],[Fin de Carga]]-OLDBD[[#This Row],[Inicio de Carga]],"")</f>
        <v/>
      </c>
    </row>
    <row r="873" spans="1:57" customFormat="1" hidden="1">
      <c r="A873" s="1"/>
      <c r="B873" s="1" t="str">
        <f>IFERROR(IF(MARÍTIMOS[[#This Row],[PP]]="","",MARÍTIMOS[[#This Row],[PP]]),"")</f>
        <v/>
      </c>
      <c r="C873" s="1" t="str">
        <f>IFERROR(IF(MARÍTIMOS[[#This Row],[Sede]]="","",MARÍTIMOS[[#This Row],[Sede]]),"")</f>
        <v/>
      </c>
      <c r="D873" s="1" t="str">
        <f>IFERROR(IF(MARÍTIMOS[[#This Row],[Instruction]]="","",MARÍTIMOS[[#This Row],[Instruction]]),"")</f>
        <v/>
      </c>
      <c r="E873" s="1"/>
      <c r="F873" s="2" t="str">
        <f>IFERROR(IF(MARÍTIMOS[[#This Row],[Transportista]]="","",MARÍTIMOS[[#This Row],[Transportista]]),"")</f>
        <v/>
      </c>
      <c r="G873" s="2" t="str">
        <f>IFERROR(IF(MARÍTIMOS[[#This Row],[Tercero]]="","",MARÍTIMOS[[#This Row],[Tercero]]),"")</f>
        <v/>
      </c>
      <c r="H873" s="2" t="str">
        <f>IFERROR(IF(MARÍTIMOS[[#This Row],[Razón Social]]="","",MARÍTIMOS[[#This Row],[Razón Social]]),"")</f>
        <v/>
      </c>
      <c r="I873" s="2" t="str">
        <f>IFERROR(IF(MARÍTIMOS[[#This Row],[RUC]]="","",MARÍTIMOS[[#This Row],[RUC]]),"")</f>
        <v/>
      </c>
      <c r="J873" s="2" t="str">
        <f>IFERROR(IF(MARÍTIMOS[[#This Row],[Placa Tracto]]="","",MARÍTIMOS[[#This Row],[Placa Tracto]]),"")</f>
        <v/>
      </c>
      <c r="K873" s="2" t="str">
        <f>IFERROR(IF(MARÍTIMOS[[#This Row],[Placa Carreta]]="","",MARÍTIMOS[[#This Row],[Placa Carreta]]),"")</f>
        <v/>
      </c>
      <c r="L873" s="44" t="str">
        <f>IFERROR(IF(MARÍTIMOS[[#This Row],[Conductor]]="","",MARÍTIMOS[[#This Row],[Conductor]]),"")</f>
        <v/>
      </c>
      <c r="M873" s="2" t="str">
        <f>IFERROR(IF(MARÍTIMOS[[#This Row],[Licencia]]="","",MARÍTIMOS[[#This Row],[Licencia]]),"")</f>
        <v/>
      </c>
      <c r="N873" s="2" t="str">
        <f>IFERROR(IF(MARÍTIMOS[[#This Row],[Número de Contacto]]="","",MARÍTIMOS[[#This Row],[Número de Contacto]]),"")</f>
        <v/>
      </c>
      <c r="O873" s="10" t="str">
        <f>IFERROR(IF(MARÍTIMOS[[#This Row],[Booking|AWB|CRT]]="","",MARÍTIMOS[[#This Row],[Booking|AWB|CRT]]),"")</f>
        <v/>
      </c>
      <c r="P873" s="2" t="str">
        <f>IFERROR(IF(MARÍTIMOS[[#This Row],[Contenedor]]="","",MARÍTIMOS[[#This Row],[Contenedor]]),"")</f>
        <v/>
      </c>
      <c r="Q873" s="2" t="str">
        <f>IFERROR(IF(MARÍTIMOS[[#This Row],[Puerto de Retiro]]="","",MARÍTIMOS[[#This Row],[Puerto de Retiro]]),"")</f>
        <v/>
      </c>
      <c r="R873" s="2" t="str">
        <f>IFERROR(IF(MARÍTIMOS[[#This Row],[Almacén de Retiro]]="","",MARÍTIMOS[[#This Row],[Almacén de Retiro]]),"")</f>
        <v/>
      </c>
      <c r="S873" s="11" t="str">
        <f>IFERROR(IF(MARÍTIMOS[[#This Row],[Etapa Retiro - Cita]]="","",MARÍTIMOS[[#This Row],[Etapa Retiro - Cita]]),"")</f>
        <v/>
      </c>
      <c r="T873" s="11" t="str">
        <f>IFERROR(IF(MARÍTIMOS[[#This Row],[Etapa Retiro - Llegada]]="","",MARÍTIMOS[[#This Row],[Etapa Retiro - Llegada]]),"")</f>
        <v/>
      </c>
      <c r="U873" s="11" t="str">
        <f>IFERROR(IF(MARÍTIMOS[[#This Row],[Etapa Retiro - Ingreso]]="","",MARÍTIMOS[[#This Row],[Etapa Retiro - Ingreso]]),"")</f>
        <v/>
      </c>
      <c r="V873" s="11" t="str">
        <f>IFERROR(IF(MARÍTIMOS[[#This Row],[Etapa Retiro - Atención]]="","",MARÍTIMOS[[#This Row],[Etapa Retiro - Atención]]),"")</f>
        <v/>
      </c>
      <c r="W873" s="11" t="str">
        <f>IFERROR(IF(MARÍTIMOS[[#This Row],[Etapa Retiro - Atención]]="","",MARÍTIMOS[[#This Row],[Etapa Retiro - Atención]]),"")</f>
        <v/>
      </c>
      <c r="X873" s="11" t="str">
        <f>IFERROR(IF(MARÍTIMOS[[#This Row],[Etapa Retiro - Inicio de Ruta]]="","",MARÍTIMOS[[#This Row],[Etapa Retiro - Inicio de Ruta]]),"")</f>
        <v/>
      </c>
      <c r="Y873" s="11" t="str">
        <f>IFERROR(IF(MARÍTIMOS[[#This Row],[Hora de Posicionamiento]]="","",MARÍTIMOS[[#This Row],[Fecha de Carga]]+MARÍTIMOS[[#This Row],[Hora de Posicionamiento]]),"")</f>
        <v/>
      </c>
      <c r="Z873" s="11" t="str">
        <f>IFERROR(IF(MARÍTIMOS[[#This Row],[Etapa Despacho - Llegada]]="","",MARÍTIMOS[[#This Row],[Etapa Despacho - Llegada]]),"")</f>
        <v/>
      </c>
      <c r="AA873" s="11" t="str">
        <f>IFERROR(IF(MARÍTIMOS[[#This Row],[Etapa Despacho - Registro]]="","",MARÍTIMOS[[#This Row],[Etapa Despacho - Registro]]),"")</f>
        <v/>
      </c>
      <c r="AB873" s="11" t="str">
        <f>IFERROR(IF(MARÍTIMOS[[#This Row],[Inspección Externa]]="","",MARÍTIMOS[[#This Row],[Inspección Externa]]),"")</f>
        <v/>
      </c>
      <c r="AC873" s="11" t="str">
        <f>IFERROR(IF(MARÍTIMOS[[#This Row],[Etapa Despacho - Inicio de Carga]]="","",MARÍTIMOS[[#This Row],[Etapa Despacho - Inicio de Carga]]),"")</f>
        <v/>
      </c>
      <c r="AD873" s="11" t="str">
        <f>IFERROR(IF(MARÍTIMOS[[#This Row],[Etapa Despacho - Mitad de Carga]]="","",MARÍTIMOS[[#This Row],[Etapa Despacho - Mitad de Carga]]),"")</f>
        <v/>
      </c>
      <c r="AE873" s="11" t="str">
        <f>IFERROR(IF(MARÍTIMOS[[#This Row],[Etapa Despacho - Fin de Carga]]="","",MARÍTIMOS[[#This Row],[Etapa Despacho - Fin de Carga]]),"")</f>
        <v/>
      </c>
      <c r="AF873" s="2" t="str">
        <f>IFERROR(IF(MARÍTIMOS[[#This Row],[Puerto de Embarque]]="","",MARÍTIMOS[[#This Row],[Puerto de Embarque]]),"")</f>
        <v/>
      </c>
      <c r="AG873" s="2" t="str">
        <f>IFERROR(IF(MARÍTIMOS[[#This Row],[Almacén de Ingreso]]="","",MARÍTIMOS[[#This Row],[Almacén de Ingreso]]),"")</f>
        <v/>
      </c>
      <c r="AH873" s="11" t="str">
        <f>IFERROR(IF(MARÍTIMOS[[#This Row],[Etapa Ingreso - Cita]]="","",MARÍTIMOS[[#This Row],[Etapa Ingreso - Cita]]),"")</f>
        <v/>
      </c>
      <c r="AI873" s="11" t="str">
        <f>IFERROR(IF(MARÍTIMOS[[#This Row],[Etapa Ingreso - Llegada]]="","",MARÍTIMOS[[#This Row],[Etapa Ingreso - Llegada]]),"")</f>
        <v/>
      </c>
      <c r="AJ873" s="11" t="str">
        <f>IFERROR(IF(MARÍTIMOS[[#This Row],[Etapa Ingreso - Ingeso]]="","",MARÍTIMOS[[#This Row],[Etapa Ingreso - Ingeso]]),"")</f>
        <v/>
      </c>
      <c r="AK873" s="11" t="str">
        <f>IFERROR(IF(MARÍTIMOS[[#This Row],[Etapa Ingreso - Atención]]="","",MARÍTIMOS[[#This Row],[Etapa Ingreso - Atención]]),"")</f>
        <v/>
      </c>
      <c r="AL873" s="11" t="str">
        <f>IFERROR(IF(MARÍTIMOS[[#This Row],[Etapa Ingreso - Salida]]="","",MARÍTIMOS[[#This Row],[Etapa Ingreso - Salida]]),"")</f>
        <v/>
      </c>
      <c r="AM873" s="2" t="str">
        <f>IFERROR(IF(MARÍTIMOS[[#This Row],[FCL]]="","",MARÍTIMOS[[#This Row],[FCL]]),"")</f>
        <v/>
      </c>
      <c r="AN8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3" s="4" t="str" cm="1">
        <f t="array" ref="AO8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3" s="5" t="str">
        <f>IFERROR(OLDBD[[#This Row],[Llegada a packing]]-OLDBD[[#This Row],[Inicio de Ruta]],"")</f>
        <v/>
      </c>
      <c r="AQ873" s="6" t="str">
        <f>IFERROR(OLDBD[[#This Row],[Inicio de Ruta]]-OLDBD[[#This Row],[Salida de almacén de retiro]],"")</f>
        <v/>
      </c>
      <c r="AR8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3" s="8" t="str" cm="1">
        <f t="array" ref="AS8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3" s="9" t="str">
        <f>IFERROR(OLDBD[[#This Row],[Ingreso Packing]]-OLDBD[[#This Row],[Registro en Packing]],"")</f>
        <v/>
      </c>
      <c r="AV873" s="9" t="str">
        <f>IFERROR(OLDBD[[#This Row],[Ingreso Packing]]-OLDBD[[#This Row],[Llegada a packing]],"")</f>
        <v/>
      </c>
      <c r="AW8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3" s="5" t="str">
        <f>IFERROR(OLDBD[[#This Row],[Llegada Almacén de Ingreso]]-OLDBD[[#This Row],[Salida Packing]],"")</f>
        <v/>
      </c>
      <c r="AY873" s="4" t="str" cm="1">
        <f t="array" ref="AY8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3" s="43" t="s">
        <v>173</v>
      </c>
      <c r="BB873" s="47" t="str">
        <f>IFERROR(IF(MARÍTIMOS[[#This Row],[Estatus]]="","",MARÍTIMOS[[#This Row],[Estatus]]),"")</f>
        <v/>
      </c>
      <c r="BC873" s="43"/>
      <c r="BD873" s="46" t="str">
        <f>IFERROR(OLDBD[[#This Row],[Salida de almacén de retiro]]-OLDBD[[#This Row],[Ingreso Almacén de retiro]],"")</f>
        <v/>
      </c>
      <c r="BE873" s="46" t="str">
        <f>IFERROR(OLDBD[[#This Row],[Fin de Carga]]-OLDBD[[#This Row],[Inicio de Carga]],"")</f>
        <v/>
      </c>
    </row>
    <row r="874" spans="1:57" customFormat="1" hidden="1">
      <c r="A874" s="1"/>
      <c r="B874" s="1" t="str">
        <f>IFERROR(IF(MARÍTIMOS[[#This Row],[PP]]="","",MARÍTIMOS[[#This Row],[PP]]),"")</f>
        <v/>
      </c>
      <c r="C874" s="1" t="str">
        <f>IFERROR(IF(MARÍTIMOS[[#This Row],[Sede]]="","",MARÍTIMOS[[#This Row],[Sede]]),"")</f>
        <v/>
      </c>
      <c r="D874" s="1" t="str">
        <f>IFERROR(IF(MARÍTIMOS[[#This Row],[Instruction]]="","",MARÍTIMOS[[#This Row],[Instruction]]),"")</f>
        <v/>
      </c>
      <c r="E874" s="1"/>
      <c r="F874" s="2" t="str">
        <f>IFERROR(IF(MARÍTIMOS[[#This Row],[Transportista]]="","",MARÍTIMOS[[#This Row],[Transportista]]),"")</f>
        <v/>
      </c>
      <c r="G874" s="2" t="str">
        <f>IFERROR(IF(MARÍTIMOS[[#This Row],[Tercero]]="","",MARÍTIMOS[[#This Row],[Tercero]]),"")</f>
        <v/>
      </c>
      <c r="H874" s="2" t="str">
        <f>IFERROR(IF(MARÍTIMOS[[#This Row],[Razón Social]]="","",MARÍTIMOS[[#This Row],[Razón Social]]),"")</f>
        <v/>
      </c>
      <c r="I874" s="2" t="str">
        <f>IFERROR(IF(MARÍTIMOS[[#This Row],[RUC]]="","",MARÍTIMOS[[#This Row],[RUC]]),"")</f>
        <v/>
      </c>
      <c r="J874" s="2" t="str">
        <f>IFERROR(IF(MARÍTIMOS[[#This Row],[Placa Tracto]]="","",MARÍTIMOS[[#This Row],[Placa Tracto]]),"")</f>
        <v/>
      </c>
      <c r="K874" s="2" t="str">
        <f>IFERROR(IF(MARÍTIMOS[[#This Row],[Placa Carreta]]="","",MARÍTIMOS[[#This Row],[Placa Carreta]]),"")</f>
        <v/>
      </c>
      <c r="L874" s="44" t="str">
        <f>IFERROR(IF(MARÍTIMOS[[#This Row],[Conductor]]="","",MARÍTIMOS[[#This Row],[Conductor]]),"")</f>
        <v/>
      </c>
      <c r="M874" s="2" t="str">
        <f>IFERROR(IF(MARÍTIMOS[[#This Row],[Licencia]]="","",MARÍTIMOS[[#This Row],[Licencia]]),"")</f>
        <v/>
      </c>
      <c r="N874" s="2" t="str">
        <f>IFERROR(IF(MARÍTIMOS[[#This Row],[Número de Contacto]]="","",MARÍTIMOS[[#This Row],[Número de Contacto]]),"")</f>
        <v/>
      </c>
      <c r="O874" s="10" t="str">
        <f>IFERROR(IF(MARÍTIMOS[[#This Row],[Booking|AWB|CRT]]="","",MARÍTIMOS[[#This Row],[Booking|AWB|CRT]]),"")</f>
        <v/>
      </c>
      <c r="P874" s="2" t="str">
        <f>IFERROR(IF(MARÍTIMOS[[#This Row],[Contenedor]]="","",MARÍTIMOS[[#This Row],[Contenedor]]),"")</f>
        <v/>
      </c>
      <c r="Q874" s="2" t="str">
        <f>IFERROR(IF(MARÍTIMOS[[#This Row],[Puerto de Retiro]]="","",MARÍTIMOS[[#This Row],[Puerto de Retiro]]),"")</f>
        <v/>
      </c>
      <c r="R874" s="2" t="str">
        <f>IFERROR(IF(MARÍTIMOS[[#This Row],[Almacén de Retiro]]="","",MARÍTIMOS[[#This Row],[Almacén de Retiro]]),"")</f>
        <v/>
      </c>
      <c r="S874" s="11" t="str">
        <f>IFERROR(IF(MARÍTIMOS[[#This Row],[Etapa Retiro - Cita]]="","",MARÍTIMOS[[#This Row],[Etapa Retiro - Cita]]),"")</f>
        <v/>
      </c>
      <c r="T874" s="11" t="str">
        <f>IFERROR(IF(MARÍTIMOS[[#This Row],[Etapa Retiro - Llegada]]="","",MARÍTIMOS[[#This Row],[Etapa Retiro - Llegada]]),"")</f>
        <v/>
      </c>
      <c r="U874" s="11" t="str">
        <f>IFERROR(IF(MARÍTIMOS[[#This Row],[Etapa Retiro - Ingreso]]="","",MARÍTIMOS[[#This Row],[Etapa Retiro - Ingreso]]),"")</f>
        <v/>
      </c>
      <c r="V874" s="11" t="str">
        <f>IFERROR(IF(MARÍTIMOS[[#This Row],[Etapa Retiro - Atención]]="","",MARÍTIMOS[[#This Row],[Etapa Retiro - Atención]]),"")</f>
        <v/>
      </c>
      <c r="W874" s="11" t="str">
        <f>IFERROR(IF(MARÍTIMOS[[#This Row],[Etapa Retiro - Atención]]="","",MARÍTIMOS[[#This Row],[Etapa Retiro - Atención]]),"")</f>
        <v/>
      </c>
      <c r="X874" s="11" t="str">
        <f>IFERROR(IF(MARÍTIMOS[[#This Row],[Etapa Retiro - Inicio de Ruta]]="","",MARÍTIMOS[[#This Row],[Etapa Retiro - Inicio de Ruta]]),"")</f>
        <v/>
      </c>
      <c r="Y874" s="11" t="str">
        <f>IFERROR(IF(MARÍTIMOS[[#This Row],[Hora de Posicionamiento]]="","",MARÍTIMOS[[#This Row],[Fecha de Carga]]+MARÍTIMOS[[#This Row],[Hora de Posicionamiento]]),"")</f>
        <v/>
      </c>
      <c r="Z874" s="11" t="str">
        <f>IFERROR(IF(MARÍTIMOS[[#This Row],[Etapa Despacho - Llegada]]="","",MARÍTIMOS[[#This Row],[Etapa Despacho - Llegada]]),"")</f>
        <v/>
      </c>
      <c r="AA874" s="11" t="str">
        <f>IFERROR(IF(MARÍTIMOS[[#This Row],[Etapa Despacho - Registro]]="","",MARÍTIMOS[[#This Row],[Etapa Despacho - Registro]]),"")</f>
        <v/>
      </c>
      <c r="AB874" s="11" t="str">
        <f>IFERROR(IF(MARÍTIMOS[[#This Row],[Inspección Externa]]="","",MARÍTIMOS[[#This Row],[Inspección Externa]]),"")</f>
        <v/>
      </c>
      <c r="AC874" s="11" t="str">
        <f>IFERROR(IF(MARÍTIMOS[[#This Row],[Etapa Despacho - Inicio de Carga]]="","",MARÍTIMOS[[#This Row],[Etapa Despacho - Inicio de Carga]]),"")</f>
        <v/>
      </c>
      <c r="AD874" s="11" t="str">
        <f>IFERROR(IF(MARÍTIMOS[[#This Row],[Etapa Despacho - Mitad de Carga]]="","",MARÍTIMOS[[#This Row],[Etapa Despacho - Mitad de Carga]]),"")</f>
        <v/>
      </c>
      <c r="AE874" s="11" t="str">
        <f>IFERROR(IF(MARÍTIMOS[[#This Row],[Etapa Despacho - Fin de Carga]]="","",MARÍTIMOS[[#This Row],[Etapa Despacho - Fin de Carga]]),"")</f>
        <v/>
      </c>
      <c r="AF874" s="2" t="str">
        <f>IFERROR(IF(MARÍTIMOS[[#This Row],[Puerto de Embarque]]="","",MARÍTIMOS[[#This Row],[Puerto de Embarque]]),"")</f>
        <v/>
      </c>
      <c r="AG874" s="2" t="str">
        <f>IFERROR(IF(MARÍTIMOS[[#This Row],[Almacén de Ingreso]]="","",MARÍTIMOS[[#This Row],[Almacén de Ingreso]]),"")</f>
        <v/>
      </c>
      <c r="AH874" s="11" t="str">
        <f>IFERROR(IF(MARÍTIMOS[[#This Row],[Etapa Ingreso - Cita]]="","",MARÍTIMOS[[#This Row],[Etapa Ingreso - Cita]]),"")</f>
        <v/>
      </c>
      <c r="AI874" s="11" t="str">
        <f>IFERROR(IF(MARÍTIMOS[[#This Row],[Etapa Ingreso - Llegada]]="","",MARÍTIMOS[[#This Row],[Etapa Ingreso - Llegada]]),"")</f>
        <v/>
      </c>
      <c r="AJ874" s="11" t="str">
        <f>IFERROR(IF(MARÍTIMOS[[#This Row],[Etapa Ingreso - Ingeso]]="","",MARÍTIMOS[[#This Row],[Etapa Ingreso - Ingeso]]),"")</f>
        <v/>
      </c>
      <c r="AK874" s="11" t="str">
        <f>IFERROR(IF(MARÍTIMOS[[#This Row],[Etapa Ingreso - Atención]]="","",MARÍTIMOS[[#This Row],[Etapa Ingreso - Atención]]),"")</f>
        <v/>
      </c>
      <c r="AL874" s="11" t="str">
        <f>IFERROR(IF(MARÍTIMOS[[#This Row],[Etapa Ingreso - Salida]]="","",MARÍTIMOS[[#This Row],[Etapa Ingreso - Salida]]),"")</f>
        <v/>
      </c>
      <c r="AM874" s="2" t="str">
        <f>IFERROR(IF(MARÍTIMOS[[#This Row],[FCL]]="","",MARÍTIMOS[[#This Row],[FCL]]),"")</f>
        <v/>
      </c>
      <c r="AN8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4" s="4" t="str" cm="1">
        <f t="array" ref="AO8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4" s="5" t="str">
        <f>IFERROR(OLDBD[[#This Row],[Llegada a packing]]-OLDBD[[#This Row],[Inicio de Ruta]],"")</f>
        <v/>
      </c>
      <c r="AQ874" s="6" t="str">
        <f>IFERROR(OLDBD[[#This Row],[Inicio de Ruta]]-OLDBD[[#This Row],[Salida de almacén de retiro]],"")</f>
        <v/>
      </c>
      <c r="AR8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4" s="8" t="str" cm="1">
        <f t="array" ref="AS8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4" s="9" t="str">
        <f>IFERROR(OLDBD[[#This Row],[Ingreso Packing]]-OLDBD[[#This Row],[Registro en Packing]],"")</f>
        <v/>
      </c>
      <c r="AV874" s="9" t="str">
        <f>IFERROR(OLDBD[[#This Row],[Ingreso Packing]]-OLDBD[[#This Row],[Llegada a packing]],"")</f>
        <v/>
      </c>
      <c r="AW8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4" s="5" t="str">
        <f>IFERROR(OLDBD[[#This Row],[Llegada Almacén de Ingreso]]-OLDBD[[#This Row],[Salida Packing]],"")</f>
        <v/>
      </c>
      <c r="AY874" s="4" t="str" cm="1">
        <f t="array" ref="AY8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4" s="43" t="s">
        <v>173</v>
      </c>
      <c r="BB874" s="47" t="str">
        <f>IFERROR(IF(MARÍTIMOS[[#This Row],[Estatus]]="","",MARÍTIMOS[[#This Row],[Estatus]]),"")</f>
        <v/>
      </c>
      <c r="BC874" s="43"/>
      <c r="BD874" s="46" t="str">
        <f>IFERROR(OLDBD[[#This Row],[Salida de almacén de retiro]]-OLDBD[[#This Row],[Ingreso Almacén de retiro]],"")</f>
        <v/>
      </c>
      <c r="BE874" s="46" t="str">
        <f>IFERROR(OLDBD[[#This Row],[Fin de Carga]]-OLDBD[[#This Row],[Inicio de Carga]],"")</f>
        <v/>
      </c>
    </row>
    <row r="875" spans="1:57" customFormat="1" hidden="1">
      <c r="A875" s="1"/>
      <c r="B875" s="1" t="str">
        <f>IFERROR(IF(MARÍTIMOS[[#This Row],[PP]]="","",MARÍTIMOS[[#This Row],[PP]]),"")</f>
        <v/>
      </c>
      <c r="C875" s="1" t="str">
        <f>IFERROR(IF(MARÍTIMOS[[#This Row],[Sede]]="","",MARÍTIMOS[[#This Row],[Sede]]),"")</f>
        <v/>
      </c>
      <c r="D875" s="1" t="str">
        <f>IFERROR(IF(MARÍTIMOS[[#This Row],[Instruction]]="","",MARÍTIMOS[[#This Row],[Instruction]]),"")</f>
        <v/>
      </c>
      <c r="E875" s="1"/>
      <c r="F875" s="2" t="str">
        <f>IFERROR(IF(MARÍTIMOS[[#This Row],[Transportista]]="","",MARÍTIMOS[[#This Row],[Transportista]]),"")</f>
        <v/>
      </c>
      <c r="G875" s="2" t="str">
        <f>IFERROR(IF(MARÍTIMOS[[#This Row],[Tercero]]="","",MARÍTIMOS[[#This Row],[Tercero]]),"")</f>
        <v/>
      </c>
      <c r="H875" s="2" t="str">
        <f>IFERROR(IF(MARÍTIMOS[[#This Row],[Razón Social]]="","",MARÍTIMOS[[#This Row],[Razón Social]]),"")</f>
        <v/>
      </c>
      <c r="I875" s="2" t="str">
        <f>IFERROR(IF(MARÍTIMOS[[#This Row],[RUC]]="","",MARÍTIMOS[[#This Row],[RUC]]),"")</f>
        <v/>
      </c>
      <c r="J875" s="2" t="str">
        <f>IFERROR(IF(MARÍTIMOS[[#This Row],[Placa Tracto]]="","",MARÍTIMOS[[#This Row],[Placa Tracto]]),"")</f>
        <v/>
      </c>
      <c r="K875" s="2" t="str">
        <f>IFERROR(IF(MARÍTIMOS[[#This Row],[Placa Carreta]]="","",MARÍTIMOS[[#This Row],[Placa Carreta]]),"")</f>
        <v/>
      </c>
      <c r="L875" s="44" t="str">
        <f>IFERROR(IF(MARÍTIMOS[[#This Row],[Conductor]]="","",MARÍTIMOS[[#This Row],[Conductor]]),"")</f>
        <v/>
      </c>
      <c r="M875" s="2" t="str">
        <f>IFERROR(IF(MARÍTIMOS[[#This Row],[Licencia]]="","",MARÍTIMOS[[#This Row],[Licencia]]),"")</f>
        <v/>
      </c>
      <c r="N875" s="2" t="str">
        <f>IFERROR(IF(MARÍTIMOS[[#This Row],[Número de Contacto]]="","",MARÍTIMOS[[#This Row],[Número de Contacto]]),"")</f>
        <v/>
      </c>
      <c r="O875" s="10" t="str">
        <f>IFERROR(IF(MARÍTIMOS[[#This Row],[Booking|AWB|CRT]]="","",MARÍTIMOS[[#This Row],[Booking|AWB|CRT]]),"")</f>
        <v/>
      </c>
      <c r="P875" s="2" t="str">
        <f>IFERROR(IF(MARÍTIMOS[[#This Row],[Contenedor]]="","",MARÍTIMOS[[#This Row],[Contenedor]]),"")</f>
        <v/>
      </c>
      <c r="Q875" s="2" t="str">
        <f>IFERROR(IF(MARÍTIMOS[[#This Row],[Puerto de Retiro]]="","",MARÍTIMOS[[#This Row],[Puerto de Retiro]]),"")</f>
        <v/>
      </c>
      <c r="R875" s="2" t="str">
        <f>IFERROR(IF(MARÍTIMOS[[#This Row],[Almacén de Retiro]]="","",MARÍTIMOS[[#This Row],[Almacén de Retiro]]),"")</f>
        <v/>
      </c>
      <c r="S875" s="11" t="str">
        <f>IFERROR(IF(MARÍTIMOS[[#This Row],[Etapa Retiro - Cita]]="","",MARÍTIMOS[[#This Row],[Etapa Retiro - Cita]]),"")</f>
        <v/>
      </c>
      <c r="T875" s="11" t="str">
        <f>IFERROR(IF(MARÍTIMOS[[#This Row],[Etapa Retiro - Llegada]]="","",MARÍTIMOS[[#This Row],[Etapa Retiro - Llegada]]),"")</f>
        <v/>
      </c>
      <c r="U875" s="11" t="str">
        <f>IFERROR(IF(MARÍTIMOS[[#This Row],[Etapa Retiro - Ingreso]]="","",MARÍTIMOS[[#This Row],[Etapa Retiro - Ingreso]]),"")</f>
        <v/>
      </c>
      <c r="V875" s="11" t="str">
        <f>IFERROR(IF(MARÍTIMOS[[#This Row],[Etapa Retiro - Atención]]="","",MARÍTIMOS[[#This Row],[Etapa Retiro - Atención]]),"")</f>
        <v/>
      </c>
      <c r="W875" s="11" t="str">
        <f>IFERROR(IF(MARÍTIMOS[[#This Row],[Etapa Retiro - Atención]]="","",MARÍTIMOS[[#This Row],[Etapa Retiro - Atención]]),"")</f>
        <v/>
      </c>
      <c r="X875" s="11" t="str">
        <f>IFERROR(IF(MARÍTIMOS[[#This Row],[Etapa Retiro - Inicio de Ruta]]="","",MARÍTIMOS[[#This Row],[Etapa Retiro - Inicio de Ruta]]),"")</f>
        <v/>
      </c>
      <c r="Y875" s="11" t="str">
        <f>IFERROR(IF(MARÍTIMOS[[#This Row],[Hora de Posicionamiento]]="","",MARÍTIMOS[[#This Row],[Fecha de Carga]]+MARÍTIMOS[[#This Row],[Hora de Posicionamiento]]),"")</f>
        <v/>
      </c>
      <c r="Z875" s="11" t="str">
        <f>IFERROR(IF(MARÍTIMOS[[#This Row],[Etapa Despacho - Llegada]]="","",MARÍTIMOS[[#This Row],[Etapa Despacho - Llegada]]),"")</f>
        <v/>
      </c>
      <c r="AA875" s="11" t="str">
        <f>IFERROR(IF(MARÍTIMOS[[#This Row],[Etapa Despacho - Registro]]="","",MARÍTIMOS[[#This Row],[Etapa Despacho - Registro]]),"")</f>
        <v/>
      </c>
      <c r="AB875" s="11" t="str">
        <f>IFERROR(IF(MARÍTIMOS[[#This Row],[Inspección Externa]]="","",MARÍTIMOS[[#This Row],[Inspección Externa]]),"")</f>
        <v/>
      </c>
      <c r="AC875" s="11" t="str">
        <f>IFERROR(IF(MARÍTIMOS[[#This Row],[Etapa Despacho - Inicio de Carga]]="","",MARÍTIMOS[[#This Row],[Etapa Despacho - Inicio de Carga]]),"")</f>
        <v/>
      </c>
      <c r="AD875" s="11" t="str">
        <f>IFERROR(IF(MARÍTIMOS[[#This Row],[Etapa Despacho - Mitad de Carga]]="","",MARÍTIMOS[[#This Row],[Etapa Despacho - Mitad de Carga]]),"")</f>
        <v/>
      </c>
      <c r="AE875" s="11" t="str">
        <f>IFERROR(IF(MARÍTIMOS[[#This Row],[Etapa Despacho - Fin de Carga]]="","",MARÍTIMOS[[#This Row],[Etapa Despacho - Fin de Carga]]),"")</f>
        <v/>
      </c>
      <c r="AF875" s="2" t="str">
        <f>IFERROR(IF(MARÍTIMOS[[#This Row],[Puerto de Embarque]]="","",MARÍTIMOS[[#This Row],[Puerto de Embarque]]),"")</f>
        <v/>
      </c>
      <c r="AG875" s="2" t="str">
        <f>IFERROR(IF(MARÍTIMOS[[#This Row],[Almacén de Ingreso]]="","",MARÍTIMOS[[#This Row],[Almacén de Ingreso]]),"")</f>
        <v/>
      </c>
      <c r="AH875" s="11" t="str">
        <f>IFERROR(IF(MARÍTIMOS[[#This Row],[Etapa Ingreso - Cita]]="","",MARÍTIMOS[[#This Row],[Etapa Ingreso - Cita]]),"")</f>
        <v/>
      </c>
      <c r="AI875" s="11" t="str">
        <f>IFERROR(IF(MARÍTIMOS[[#This Row],[Etapa Ingreso - Llegada]]="","",MARÍTIMOS[[#This Row],[Etapa Ingreso - Llegada]]),"")</f>
        <v/>
      </c>
      <c r="AJ875" s="11" t="str">
        <f>IFERROR(IF(MARÍTIMOS[[#This Row],[Etapa Ingreso - Ingeso]]="","",MARÍTIMOS[[#This Row],[Etapa Ingreso - Ingeso]]),"")</f>
        <v/>
      </c>
      <c r="AK875" s="11" t="str">
        <f>IFERROR(IF(MARÍTIMOS[[#This Row],[Etapa Ingreso - Atención]]="","",MARÍTIMOS[[#This Row],[Etapa Ingreso - Atención]]),"")</f>
        <v/>
      </c>
      <c r="AL875" s="11" t="str">
        <f>IFERROR(IF(MARÍTIMOS[[#This Row],[Etapa Ingreso - Salida]]="","",MARÍTIMOS[[#This Row],[Etapa Ingreso - Salida]]),"")</f>
        <v/>
      </c>
      <c r="AM875" s="2" t="str">
        <f>IFERROR(IF(MARÍTIMOS[[#This Row],[FCL]]="","",MARÍTIMOS[[#This Row],[FCL]]),"")</f>
        <v/>
      </c>
      <c r="AN8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5" s="4" t="str" cm="1">
        <f t="array" ref="AO8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5" s="5" t="str">
        <f>IFERROR(OLDBD[[#This Row],[Llegada a packing]]-OLDBD[[#This Row],[Inicio de Ruta]],"")</f>
        <v/>
      </c>
      <c r="AQ875" s="6" t="str">
        <f>IFERROR(OLDBD[[#This Row],[Inicio de Ruta]]-OLDBD[[#This Row],[Salida de almacén de retiro]],"")</f>
        <v/>
      </c>
      <c r="AR8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5" s="8" t="str" cm="1">
        <f t="array" ref="AS8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5" s="9" t="str">
        <f>IFERROR(OLDBD[[#This Row],[Ingreso Packing]]-OLDBD[[#This Row],[Registro en Packing]],"")</f>
        <v/>
      </c>
      <c r="AV875" s="9" t="str">
        <f>IFERROR(OLDBD[[#This Row],[Ingreso Packing]]-OLDBD[[#This Row],[Llegada a packing]],"")</f>
        <v/>
      </c>
      <c r="AW8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5" s="5" t="str">
        <f>IFERROR(OLDBD[[#This Row],[Llegada Almacén de Ingreso]]-OLDBD[[#This Row],[Salida Packing]],"")</f>
        <v/>
      </c>
      <c r="AY875" s="4" t="str" cm="1">
        <f t="array" ref="AY8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5" s="43" t="s">
        <v>173</v>
      </c>
      <c r="BB875" s="47" t="str">
        <f>IFERROR(IF(MARÍTIMOS[[#This Row],[Estatus]]="","",MARÍTIMOS[[#This Row],[Estatus]]),"")</f>
        <v/>
      </c>
      <c r="BC875" s="43"/>
      <c r="BD875" s="46" t="str">
        <f>IFERROR(OLDBD[[#This Row],[Salida de almacén de retiro]]-OLDBD[[#This Row],[Ingreso Almacén de retiro]],"")</f>
        <v/>
      </c>
      <c r="BE875" s="46" t="str">
        <f>IFERROR(OLDBD[[#This Row],[Fin de Carga]]-OLDBD[[#This Row],[Inicio de Carga]],"")</f>
        <v/>
      </c>
    </row>
    <row r="876" spans="1:57" customFormat="1" hidden="1">
      <c r="A876" s="1"/>
      <c r="B876" s="1" t="str">
        <f>IFERROR(IF(MARÍTIMOS[[#This Row],[PP]]="","",MARÍTIMOS[[#This Row],[PP]]),"")</f>
        <v/>
      </c>
      <c r="C876" s="1" t="str">
        <f>IFERROR(IF(MARÍTIMOS[[#This Row],[Sede]]="","",MARÍTIMOS[[#This Row],[Sede]]),"")</f>
        <v/>
      </c>
      <c r="D876" s="1" t="str">
        <f>IFERROR(IF(MARÍTIMOS[[#This Row],[Instruction]]="","",MARÍTIMOS[[#This Row],[Instruction]]),"")</f>
        <v/>
      </c>
      <c r="E876" s="1"/>
      <c r="F876" s="2" t="str">
        <f>IFERROR(IF(MARÍTIMOS[[#This Row],[Transportista]]="","",MARÍTIMOS[[#This Row],[Transportista]]),"")</f>
        <v/>
      </c>
      <c r="G876" s="2" t="str">
        <f>IFERROR(IF(MARÍTIMOS[[#This Row],[Tercero]]="","",MARÍTIMOS[[#This Row],[Tercero]]),"")</f>
        <v/>
      </c>
      <c r="H876" s="2" t="str">
        <f>IFERROR(IF(MARÍTIMOS[[#This Row],[Razón Social]]="","",MARÍTIMOS[[#This Row],[Razón Social]]),"")</f>
        <v/>
      </c>
      <c r="I876" s="2" t="str">
        <f>IFERROR(IF(MARÍTIMOS[[#This Row],[RUC]]="","",MARÍTIMOS[[#This Row],[RUC]]),"")</f>
        <v/>
      </c>
      <c r="J876" s="2" t="str">
        <f>IFERROR(IF(MARÍTIMOS[[#This Row],[Placa Tracto]]="","",MARÍTIMOS[[#This Row],[Placa Tracto]]),"")</f>
        <v/>
      </c>
      <c r="K876" s="2" t="str">
        <f>IFERROR(IF(MARÍTIMOS[[#This Row],[Placa Carreta]]="","",MARÍTIMOS[[#This Row],[Placa Carreta]]),"")</f>
        <v/>
      </c>
      <c r="L876" s="44" t="str">
        <f>IFERROR(IF(MARÍTIMOS[[#This Row],[Conductor]]="","",MARÍTIMOS[[#This Row],[Conductor]]),"")</f>
        <v/>
      </c>
      <c r="M876" s="2" t="str">
        <f>IFERROR(IF(MARÍTIMOS[[#This Row],[Licencia]]="","",MARÍTIMOS[[#This Row],[Licencia]]),"")</f>
        <v/>
      </c>
      <c r="N876" s="2" t="str">
        <f>IFERROR(IF(MARÍTIMOS[[#This Row],[Número de Contacto]]="","",MARÍTIMOS[[#This Row],[Número de Contacto]]),"")</f>
        <v/>
      </c>
      <c r="O876" s="10" t="str">
        <f>IFERROR(IF(MARÍTIMOS[[#This Row],[Booking|AWB|CRT]]="","",MARÍTIMOS[[#This Row],[Booking|AWB|CRT]]),"")</f>
        <v/>
      </c>
      <c r="P876" s="2" t="str">
        <f>IFERROR(IF(MARÍTIMOS[[#This Row],[Contenedor]]="","",MARÍTIMOS[[#This Row],[Contenedor]]),"")</f>
        <v/>
      </c>
      <c r="Q876" s="2" t="str">
        <f>IFERROR(IF(MARÍTIMOS[[#This Row],[Puerto de Retiro]]="","",MARÍTIMOS[[#This Row],[Puerto de Retiro]]),"")</f>
        <v/>
      </c>
      <c r="R876" s="2" t="str">
        <f>IFERROR(IF(MARÍTIMOS[[#This Row],[Almacén de Retiro]]="","",MARÍTIMOS[[#This Row],[Almacén de Retiro]]),"")</f>
        <v/>
      </c>
      <c r="S876" s="11" t="str">
        <f>IFERROR(IF(MARÍTIMOS[[#This Row],[Etapa Retiro - Cita]]="","",MARÍTIMOS[[#This Row],[Etapa Retiro - Cita]]),"")</f>
        <v/>
      </c>
      <c r="T876" s="11" t="str">
        <f>IFERROR(IF(MARÍTIMOS[[#This Row],[Etapa Retiro - Llegada]]="","",MARÍTIMOS[[#This Row],[Etapa Retiro - Llegada]]),"")</f>
        <v/>
      </c>
      <c r="U876" s="11" t="str">
        <f>IFERROR(IF(MARÍTIMOS[[#This Row],[Etapa Retiro - Ingreso]]="","",MARÍTIMOS[[#This Row],[Etapa Retiro - Ingreso]]),"")</f>
        <v/>
      </c>
      <c r="V876" s="11" t="str">
        <f>IFERROR(IF(MARÍTIMOS[[#This Row],[Etapa Retiro - Atención]]="","",MARÍTIMOS[[#This Row],[Etapa Retiro - Atención]]),"")</f>
        <v/>
      </c>
      <c r="W876" s="11" t="str">
        <f>IFERROR(IF(MARÍTIMOS[[#This Row],[Etapa Retiro - Atención]]="","",MARÍTIMOS[[#This Row],[Etapa Retiro - Atención]]),"")</f>
        <v/>
      </c>
      <c r="X876" s="11" t="str">
        <f>IFERROR(IF(MARÍTIMOS[[#This Row],[Etapa Retiro - Inicio de Ruta]]="","",MARÍTIMOS[[#This Row],[Etapa Retiro - Inicio de Ruta]]),"")</f>
        <v/>
      </c>
      <c r="Y876" s="11" t="str">
        <f>IFERROR(IF(MARÍTIMOS[[#This Row],[Hora de Posicionamiento]]="","",MARÍTIMOS[[#This Row],[Fecha de Carga]]+MARÍTIMOS[[#This Row],[Hora de Posicionamiento]]),"")</f>
        <v/>
      </c>
      <c r="Z876" s="11" t="str">
        <f>IFERROR(IF(MARÍTIMOS[[#This Row],[Etapa Despacho - Llegada]]="","",MARÍTIMOS[[#This Row],[Etapa Despacho - Llegada]]),"")</f>
        <v/>
      </c>
      <c r="AA876" s="11" t="str">
        <f>IFERROR(IF(MARÍTIMOS[[#This Row],[Etapa Despacho - Registro]]="","",MARÍTIMOS[[#This Row],[Etapa Despacho - Registro]]),"")</f>
        <v/>
      </c>
      <c r="AB876" s="11" t="str">
        <f>IFERROR(IF(MARÍTIMOS[[#This Row],[Inspección Externa]]="","",MARÍTIMOS[[#This Row],[Inspección Externa]]),"")</f>
        <v/>
      </c>
      <c r="AC876" s="11" t="str">
        <f>IFERROR(IF(MARÍTIMOS[[#This Row],[Etapa Despacho - Inicio de Carga]]="","",MARÍTIMOS[[#This Row],[Etapa Despacho - Inicio de Carga]]),"")</f>
        <v/>
      </c>
      <c r="AD876" s="11" t="str">
        <f>IFERROR(IF(MARÍTIMOS[[#This Row],[Etapa Despacho - Mitad de Carga]]="","",MARÍTIMOS[[#This Row],[Etapa Despacho - Mitad de Carga]]),"")</f>
        <v/>
      </c>
      <c r="AE876" s="11" t="str">
        <f>IFERROR(IF(MARÍTIMOS[[#This Row],[Etapa Despacho - Fin de Carga]]="","",MARÍTIMOS[[#This Row],[Etapa Despacho - Fin de Carga]]),"")</f>
        <v/>
      </c>
      <c r="AF876" s="2" t="str">
        <f>IFERROR(IF(MARÍTIMOS[[#This Row],[Puerto de Embarque]]="","",MARÍTIMOS[[#This Row],[Puerto de Embarque]]),"")</f>
        <v/>
      </c>
      <c r="AG876" s="2" t="str">
        <f>IFERROR(IF(MARÍTIMOS[[#This Row],[Almacén de Ingreso]]="","",MARÍTIMOS[[#This Row],[Almacén de Ingreso]]),"")</f>
        <v/>
      </c>
      <c r="AH876" s="11" t="str">
        <f>IFERROR(IF(MARÍTIMOS[[#This Row],[Etapa Ingreso - Cita]]="","",MARÍTIMOS[[#This Row],[Etapa Ingreso - Cita]]),"")</f>
        <v/>
      </c>
      <c r="AI876" s="11" t="str">
        <f>IFERROR(IF(MARÍTIMOS[[#This Row],[Etapa Ingreso - Llegada]]="","",MARÍTIMOS[[#This Row],[Etapa Ingreso - Llegada]]),"")</f>
        <v/>
      </c>
      <c r="AJ876" s="11" t="str">
        <f>IFERROR(IF(MARÍTIMOS[[#This Row],[Etapa Ingreso - Ingeso]]="","",MARÍTIMOS[[#This Row],[Etapa Ingreso - Ingeso]]),"")</f>
        <v/>
      </c>
      <c r="AK876" s="11" t="str">
        <f>IFERROR(IF(MARÍTIMOS[[#This Row],[Etapa Ingreso - Atención]]="","",MARÍTIMOS[[#This Row],[Etapa Ingreso - Atención]]),"")</f>
        <v/>
      </c>
      <c r="AL876" s="11" t="str">
        <f>IFERROR(IF(MARÍTIMOS[[#This Row],[Etapa Ingreso - Salida]]="","",MARÍTIMOS[[#This Row],[Etapa Ingreso - Salida]]),"")</f>
        <v/>
      </c>
      <c r="AM876" s="2" t="str">
        <f>IFERROR(IF(MARÍTIMOS[[#This Row],[FCL]]="","",MARÍTIMOS[[#This Row],[FCL]]),"")</f>
        <v/>
      </c>
      <c r="AN8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6" s="4" t="str" cm="1">
        <f t="array" ref="AO8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6" s="5" t="str">
        <f>IFERROR(OLDBD[[#This Row],[Llegada a packing]]-OLDBD[[#This Row],[Inicio de Ruta]],"")</f>
        <v/>
      </c>
      <c r="AQ876" s="6" t="str">
        <f>IFERROR(OLDBD[[#This Row],[Inicio de Ruta]]-OLDBD[[#This Row],[Salida de almacén de retiro]],"")</f>
        <v/>
      </c>
      <c r="AR8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6" s="8" t="str" cm="1">
        <f t="array" ref="AS8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6" s="9" t="str">
        <f>IFERROR(OLDBD[[#This Row],[Ingreso Packing]]-OLDBD[[#This Row],[Registro en Packing]],"")</f>
        <v/>
      </c>
      <c r="AV876" s="9" t="str">
        <f>IFERROR(OLDBD[[#This Row],[Ingreso Packing]]-OLDBD[[#This Row],[Llegada a packing]],"")</f>
        <v/>
      </c>
      <c r="AW8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6" s="5" t="str">
        <f>IFERROR(OLDBD[[#This Row],[Llegada Almacén de Ingreso]]-OLDBD[[#This Row],[Salida Packing]],"")</f>
        <v/>
      </c>
      <c r="AY876" s="4" t="str" cm="1">
        <f t="array" ref="AY8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6" s="43" t="s">
        <v>173</v>
      </c>
      <c r="BB876" s="47" t="str">
        <f>IFERROR(IF(MARÍTIMOS[[#This Row],[Estatus]]="","",MARÍTIMOS[[#This Row],[Estatus]]),"")</f>
        <v/>
      </c>
      <c r="BC876" s="43"/>
      <c r="BD876" s="46" t="str">
        <f>IFERROR(OLDBD[[#This Row],[Salida de almacén de retiro]]-OLDBD[[#This Row],[Ingreso Almacén de retiro]],"")</f>
        <v/>
      </c>
      <c r="BE876" s="46" t="str">
        <f>IFERROR(OLDBD[[#This Row],[Fin de Carga]]-OLDBD[[#This Row],[Inicio de Carga]],"")</f>
        <v/>
      </c>
    </row>
    <row r="877" spans="1:57" customFormat="1" hidden="1">
      <c r="A877" s="1"/>
      <c r="B877" s="1" t="str">
        <f>IFERROR(IF(MARÍTIMOS[[#This Row],[PP]]="","",MARÍTIMOS[[#This Row],[PP]]),"")</f>
        <v/>
      </c>
      <c r="C877" s="1" t="str">
        <f>IFERROR(IF(MARÍTIMOS[[#This Row],[Sede]]="","",MARÍTIMOS[[#This Row],[Sede]]),"")</f>
        <v/>
      </c>
      <c r="D877" s="1" t="str">
        <f>IFERROR(IF(MARÍTIMOS[[#This Row],[Instruction]]="","",MARÍTIMOS[[#This Row],[Instruction]]),"")</f>
        <v/>
      </c>
      <c r="E877" s="1"/>
      <c r="F877" s="2" t="str">
        <f>IFERROR(IF(MARÍTIMOS[[#This Row],[Transportista]]="","",MARÍTIMOS[[#This Row],[Transportista]]),"")</f>
        <v/>
      </c>
      <c r="G877" s="2" t="str">
        <f>IFERROR(IF(MARÍTIMOS[[#This Row],[Tercero]]="","",MARÍTIMOS[[#This Row],[Tercero]]),"")</f>
        <v/>
      </c>
      <c r="H877" s="2" t="str">
        <f>IFERROR(IF(MARÍTIMOS[[#This Row],[Razón Social]]="","",MARÍTIMOS[[#This Row],[Razón Social]]),"")</f>
        <v/>
      </c>
      <c r="I877" s="2" t="str">
        <f>IFERROR(IF(MARÍTIMOS[[#This Row],[RUC]]="","",MARÍTIMOS[[#This Row],[RUC]]),"")</f>
        <v/>
      </c>
      <c r="J877" s="2" t="str">
        <f>IFERROR(IF(MARÍTIMOS[[#This Row],[Placa Tracto]]="","",MARÍTIMOS[[#This Row],[Placa Tracto]]),"")</f>
        <v/>
      </c>
      <c r="K877" s="2" t="str">
        <f>IFERROR(IF(MARÍTIMOS[[#This Row],[Placa Carreta]]="","",MARÍTIMOS[[#This Row],[Placa Carreta]]),"")</f>
        <v/>
      </c>
      <c r="L877" s="44" t="str">
        <f>IFERROR(IF(MARÍTIMOS[[#This Row],[Conductor]]="","",MARÍTIMOS[[#This Row],[Conductor]]),"")</f>
        <v/>
      </c>
      <c r="M877" s="2" t="str">
        <f>IFERROR(IF(MARÍTIMOS[[#This Row],[Licencia]]="","",MARÍTIMOS[[#This Row],[Licencia]]),"")</f>
        <v/>
      </c>
      <c r="N877" s="2" t="str">
        <f>IFERROR(IF(MARÍTIMOS[[#This Row],[Número de Contacto]]="","",MARÍTIMOS[[#This Row],[Número de Contacto]]),"")</f>
        <v/>
      </c>
      <c r="O877" s="10" t="str">
        <f>IFERROR(IF(MARÍTIMOS[[#This Row],[Booking|AWB|CRT]]="","",MARÍTIMOS[[#This Row],[Booking|AWB|CRT]]),"")</f>
        <v/>
      </c>
      <c r="P877" s="2" t="str">
        <f>IFERROR(IF(MARÍTIMOS[[#This Row],[Contenedor]]="","",MARÍTIMOS[[#This Row],[Contenedor]]),"")</f>
        <v/>
      </c>
      <c r="Q877" s="2" t="str">
        <f>IFERROR(IF(MARÍTIMOS[[#This Row],[Puerto de Retiro]]="","",MARÍTIMOS[[#This Row],[Puerto de Retiro]]),"")</f>
        <v/>
      </c>
      <c r="R877" s="2" t="str">
        <f>IFERROR(IF(MARÍTIMOS[[#This Row],[Almacén de Retiro]]="","",MARÍTIMOS[[#This Row],[Almacén de Retiro]]),"")</f>
        <v/>
      </c>
      <c r="S877" s="11" t="str">
        <f>IFERROR(IF(MARÍTIMOS[[#This Row],[Etapa Retiro - Cita]]="","",MARÍTIMOS[[#This Row],[Etapa Retiro - Cita]]),"")</f>
        <v/>
      </c>
      <c r="T877" s="11" t="str">
        <f>IFERROR(IF(MARÍTIMOS[[#This Row],[Etapa Retiro - Llegada]]="","",MARÍTIMOS[[#This Row],[Etapa Retiro - Llegada]]),"")</f>
        <v/>
      </c>
      <c r="U877" s="11" t="str">
        <f>IFERROR(IF(MARÍTIMOS[[#This Row],[Etapa Retiro - Ingreso]]="","",MARÍTIMOS[[#This Row],[Etapa Retiro - Ingreso]]),"")</f>
        <v/>
      </c>
      <c r="V877" s="11" t="str">
        <f>IFERROR(IF(MARÍTIMOS[[#This Row],[Etapa Retiro - Atención]]="","",MARÍTIMOS[[#This Row],[Etapa Retiro - Atención]]),"")</f>
        <v/>
      </c>
      <c r="W877" s="11" t="str">
        <f>IFERROR(IF(MARÍTIMOS[[#This Row],[Etapa Retiro - Atención]]="","",MARÍTIMOS[[#This Row],[Etapa Retiro - Atención]]),"")</f>
        <v/>
      </c>
      <c r="X877" s="11" t="str">
        <f>IFERROR(IF(MARÍTIMOS[[#This Row],[Etapa Retiro - Inicio de Ruta]]="","",MARÍTIMOS[[#This Row],[Etapa Retiro - Inicio de Ruta]]),"")</f>
        <v/>
      </c>
      <c r="Y877" s="11" t="str">
        <f>IFERROR(IF(MARÍTIMOS[[#This Row],[Hora de Posicionamiento]]="","",MARÍTIMOS[[#This Row],[Fecha de Carga]]+MARÍTIMOS[[#This Row],[Hora de Posicionamiento]]),"")</f>
        <v/>
      </c>
      <c r="Z877" s="11" t="str">
        <f>IFERROR(IF(MARÍTIMOS[[#This Row],[Etapa Despacho - Llegada]]="","",MARÍTIMOS[[#This Row],[Etapa Despacho - Llegada]]),"")</f>
        <v/>
      </c>
      <c r="AA877" s="11" t="str">
        <f>IFERROR(IF(MARÍTIMOS[[#This Row],[Etapa Despacho - Registro]]="","",MARÍTIMOS[[#This Row],[Etapa Despacho - Registro]]),"")</f>
        <v/>
      </c>
      <c r="AB877" s="11" t="str">
        <f>IFERROR(IF(MARÍTIMOS[[#This Row],[Inspección Externa]]="","",MARÍTIMOS[[#This Row],[Inspección Externa]]),"")</f>
        <v/>
      </c>
      <c r="AC877" s="11" t="str">
        <f>IFERROR(IF(MARÍTIMOS[[#This Row],[Etapa Despacho - Inicio de Carga]]="","",MARÍTIMOS[[#This Row],[Etapa Despacho - Inicio de Carga]]),"")</f>
        <v/>
      </c>
      <c r="AD877" s="11" t="str">
        <f>IFERROR(IF(MARÍTIMOS[[#This Row],[Etapa Despacho - Mitad de Carga]]="","",MARÍTIMOS[[#This Row],[Etapa Despacho - Mitad de Carga]]),"")</f>
        <v/>
      </c>
      <c r="AE877" s="11" t="str">
        <f>IFERROR(IF(MARÍTIMOS[[#This Row],[Etapa Despacho - Fin de Carga]]="","",MARÍTIMOS[[#This Row],[Etapa Despacho - Fin de Carga]]),"")</f>
        <v/>
      </c>
      <c r="AF877" s="2" t="str">
        <f>IFERROR(IF(MARÍTIMOS[[#This Row],[Puerto de Embarque]]="","",MARÍTIMOS[[#This Row],[Puerto de Embarque]]),"")</f>
        <v/>
      </c>
      <c r="AG877" s="2" t="str">
        <f>IFERROR(IF(MARÍTIMOS[[#This Row],[Almacén de Ingreso]]="","",MARÍTIMOS[[#This Row],[Almacén de Ingreso]]),"")</f>
        <v/>
      </c>
      <c r="AH877" s="11" t="str">
        <f>IFERROR(IF(MARÍTIMOS[[#This Row],[Etapa Ingreso - Cita]]="","",MARÍTIMOS[[#This Row],[Etapa Ingreso - Cita]]),"")</f>
        <v/>
      </c>
      <c r="AI877" s="11" t="str">
        <f>IFERROR(IF(MARÍTIMOS[[#This Row],[Etapa Ingreso - Llegada]]="","",MARÍTIMOS[[#This Row],[Etapa Ingreso - Llegada]]),"")</f>
        <v/>
      </c>
      <c r="AJ877" s="11" t="str">
        <f>IFERROR(IF(MARÍTIMOS[[#This Row],[Etapa Ingreso - Ingeso]]="","",MARÍTIMOS[[#This Row],[Etapa Ingreso - Ingeso]]),"")</f>
        <v/>
      </c>
      <c r="AK877" s="11" t="str">
        <f>IFERROR(IF(MARÍTIMOS[[#This Row],[Etapa Ingreso - Atención]]="","",MARÍTIMOS[[#This Row],[Etapa Ingreso - Atención]]),"")</f>
        <v/>
      </c>
      <c r="AL877" s="11" t="str">
        <f>IFERROR(IF(MARÍTIMOS[[#This Row],[Etapa Ingreso - Salida]]="","",MARÍTIMOS[[#This Row],[Etapa Ingreso - Salida]]),"")</f>
        <v/>
      </c>
      <c r="AM877" s="2" t="str">
        <f>IFERROR(IF(MARÍTIMOS[[#This Row],[FCL]]="","",MARÍTIMOS[[#This Row],[FCL]]),"")</f>
        <v/>
      </c>
      <c r="AN8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7" s="4" t="str" cm="1">
        <f t="array" ref="AO8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7" s="5" t="str">
        <f>IFERROR(OLDBD[[#This Row],[Llegada a packing]]-OLDBD[[#This Row],[Inicio de Ruta]],"")</f>
        <v/>
      </c>
      <c r="AQ877" s="6" t="str">
        <f>IFERROR(OLDBD[[#This Row],[Inicio de Ruta]]-OLDBD[[#This Row],[Salida de almacén de retiro]],"")</f>
        <v/>
      </c>
      <c r="AR8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7" s="8" t="str" cm="1">
        <f t="array" ref="AS8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7" s="9" t="str">
        <f>IFERROR(OLDBD[[#This Row],[Ingreso Packing]]-OLDBD[[#This Row],[Registro en Packing]],"")</f>
        <v/>
      </c>
      <c r="AV877" s="9" t="str">
        <f>IFERROR(OLDBD[[#This Row],[Ingreso Packing]]-OLDBD[[#This Row],[Llegada a packing]],"")</f>
        <v/>
      </c>
      <c r="AW8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7" s="5" t="str">
        <f>IFERROR(OLDBD[[#This Row],[Llegada Almacén de Ingreso]]-OLDBD[[#This Row],[Salida Packing]],"")</f>
        <v/>
      </c>
      <c r="AY877" s="4" t="str" cm="1">
        <f t="array" ref="AY8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7" s="43" t="s">
        <v>173</v>
      </c>
      <c r="BB877" s="47" t="str">
        <f>IFERROR(IF(MARÍTIMOS[[#This Row],[Estatus]]="","",MARÍTIMOS[[#This Row],[Estatus]]),"")</f>
        <v/>
      </c>
      <c r="BC877" s="43"/>
      <c r="BD877" s="46" t="str">
        <f>IFERROR(OLDBD[[#This Row],[Salida de almacén de retiro]]-OLDBD[[#This Row],[Ingreso Almacén de retiro]],"")</f>
        <v/>
      </c>
      <c r="BE877" s="46" t="str">
        <f>IFERROR(OLDBD[[#This Row],[Fin de Carga]]-OLDBD[[#This Row],[Inicio de Carga]],"")</f>
        <v/>
      </c>
    </row>
    <row r="878" spans="1:57" customFormat="1" hidden="1">
      <c r="A878" s="1"/>
      <c r="B878" s="1" t="str">
        <f>IFERROR(IF(MARÍTIMOS[[#This Row],[PP]]="","",MARÍTIMOS[[#This Row],[PP]]),"")</f>
        <v/>
      </c>
      <c r="C878" s="1" t="str">
        <f>IFERROR(IF(MARÍTIMOS[[#This Row],[Sede]]="","",MARÍTIMOS[[#This Row],[Sede]]),"")</f>
        <v/>
      </c>
      <c r="D878" s="1" t="str">
        <f>IFERROR(IF(MARÍTIMOS[[#This Row],[Instruction]]="","",MARÍTIMOS[[#This Row],[Instruction]]),"")</f>
        <v/>
      </c>
      <c r="E878" s="1"/>
      <c r="F878" s="2" t="str">
        <f>IFERROR(IF(MARÍTIMOS[[#This Row],[Transportista]]="","",MARÍTIMOS[[#This Row],[Transportista]]),"")</f>
        <v/>
      </c>
      <c r="G878" s="2" t="str">
        <f>IFERROR(IF(MARÍTIMOS[[#This Row],[Tercero]]="","",MARÍTIMOS[[#This Row],[Tercero]]),"")</f>
        <v/>
      </c>
      <c r="H878" s="2" t="str">
        <f>IFERROR(IF(MARÍTIMOS[[#This Row],[Razón Social]]="","",MARÍTIMOS[[#This Row],[Razón Social]]),"")</f>
        <v/>
      </c>
      <c r="I878" s="2" t="str">
        <f>IFERROR(IF(MARÍTIMOS[[#This Row],[RUC]]="","",MARÍTIMOS[[#This Row],[RUC]]),"")</f>
        <v/>
      </c>
      <c r="J878" s="2" t="str">
        <f>IFERROR(IF(MARÍTIMOS[[#This Row],[Placa Tracto]]="","",MARÍTIMOS[[#This Row],[Placa Tracto]]),"")</f>
        <v/>
      </c>
      <c r="K878" s="2" t="str">
        <f>IFERROR(IF(MARÍTIMOS[[#This Row],[Placa Carreta]]="","",MARÍTIMOS[[#This Row],[Placa Carreta]]),"")</f>
        <v/>
      </c>
      <c r="L878" s="44" t="str">
        <f>IFERROR(IF(MARÍTIMOS[[#This Row],[Conductor]]="","",MARÍTIMOS[[#This Row],[Conductor]]),"")</f>
        <v/>
      </c>
      <c r="M878" s="2" t="str">
        <f>IFERROR(IF(MARÍTIMOS[[#This Row],[Licencia]]="","",MARÍTIMOS[[#This Row],[Licencia]]),"")</f>
        <v/>
      </c>
      <c r="N878" s="2" t="str">
        <f>IFERROR(IF(MARÍTIMOS[[#This Row],[Número de Contacto]]="","",MARÍTIMOS[[#This Row],[Número de Contacto]]),"")</f>
        <v/>
      </c>
      <c r="O878" s="10" t="str">
        <f>IFERROR(IF(MARÍTIMOS[[#This Row],[Booking|AWB|CRT]]="","",MARÍTIMOS[[#This Row],[Booking|AWB|CRT]]),"")</f>
        <v/>
      </c>
      <c r="P878" s="2" t="str">
        <f>IFERROR(IF(MARÍTIMOS[[#This Row],[Contenedor]]="","",MARÍTIMOS[[#This Row],[Contenedor]]),"")</f>
        <v/>
      </c>
      <c r="Q878" s="2" t="str">
        <f>IFERROR(IF(MARÍTIMOS[[#This Row],[Puerto de Retiro]]="","",MARÍTIMOS[[#This Row],[Puerto de Retiro]]),"")</f>
        <v/>
      </c>
      <c r="R878" s="2" t="str">
        <f>IFERROR(IF(MARÍTIMOS[[#This Row],[Almacén de Retiro]]="","",MARÍTIMOS[[#This Row],[Almacén de Retiro]]),"")</f>
        <v/>
      </c>
      <c r="S878" s="11" t="str">
        <f>IFERROR(IF(MARÍTIMOS[[#This Row],[Etapa Retiro - Cita]]="","",MARÍTIMOS[[#This Row],[Etapa Retiro - Cita]]),"")</f>
        <v/>
      </c>
      <c r="T878" s="11" t="str">
        <f>IFERROR(IF(MARÍTIMOS[[#This Row],[Etapa Retiro - Llegada]]="","",MARÍTIMOS[[#This Row],[Etapa Retiro - Llegada]]),"")</f>
        <v/>
      </c>
      <c r="U878" s="11" t="str">
        <f>IFERROR(IF(MARÍTIMOS[[#This Row],[Etapa Retiro - Ingreso]]="","",MARÍTIMOS[[#This Row],[Etapa Retiro - Ingreso]]),"")</f>
        <v/>
      </c>
      <c r="V878" s="11" t="str">
        <f>IFERROR(IF(MARÍTIMOS[[#This Row],[Etapa Retiro - Atención]]="","",MARÍTIMOS[[#This Row],[Etapa Retiro - Atención]]),"")</f>
        <v/>
      </c>
      <c r="W878" s="11" t="str">
        <f>IFERROR(IF(MARÍTIMOS[[#This Row],[Etapa Retiro - Atención]]="","",MARÍTIMOS[[#This Row],[Etapa Retiro - Atención]]),"")</f>
        <v/>
      </c>
      <c r="X878" s="11" t="str">
        <f>IFERROR(IF(MARÍTIMOS[[#This Row],[Etapa Retiro - Inicio de Ruta]]="","",MARÍTIMOS[[#This Row],[Etapa Retiro - Inicio de Ruta]]),"")</f>
        <v/>
      </c>
      <c r="Y878" s="11" t="str">
        <f>IFERROR(IF(MARÍTIMOS[[#This Row],[Hora de Posicionamiento]]="","",MARÍTIMOS[[#This Row],[Fecha de Carga]]+MARÍTIMOS[[#This Row],[Hora de Posicionamiento]]),"")</f>
        <v/>
      </c>
      <c r="Z878" s="11" t="str">
        <f>IFERROR(IF(MARÍTIMOS[[#This Row],[Etapa Despacho - Llegada]]="","",MARÍTIMOS[[#This Row],[Etapa Despacho - Llegada]]),"")</f>
        <v/>
      </c>
      <c r="AA878" s="11" t="str">
        <f>IFERROR(IF(MARÍTIMOS[[#This Row],[Etapa Despacho - Registro]]="","",MARÍTIMOS[[#This Row],[Etapa Despacho - Registro]]),"")</f>
        <v/>
      </c>
      <c r="AB878" s="11" t="str">
        <f>IFERROR(IF(MARÍTIMOS[[#This Row],[Inspección Externa]]="","",MARÍTIMOS[[#This Row],[Inspección Externa]]),"")</f>
        <v/>
      </c>
      <c r="AC878" s="11" t="str">
        <f>IFERROR(IF(MARÍTIMOS[[#This Row],[Etapa Despacho - Inicio de Carga]]="","",MARÍTIMOS[[#This Row],[Etapa Despacho - Inicio de Carga]]),"")</f>
        <v/>
      </c>
      <c r="AD878" s="11" t="str">
        <f>IFERROR(IF(MARÍTIMOS[[#This Row],[Etapa Despacho - Mitad de Carga]]="","",MARÍTIMOS[[#This Row],[Etapa Despacho - Mitad de Carga]]),"")</f>
        <v/>
      </c>
      <c r="AE878" s="11" t="str">
        <f>IFERROR(IF(MARÍTIMOS[[#This Row],[Etapa Despacho - Fin de Carga]]="","",MARÍTIMOS[[#This Row],[Etapa Despacho - Fin de Carga]]),"")</f>
        <v/>
      </c>
      <c r="AF878" s="2" t="str">
        <f>IFERROR(IF(MARÍTIMOS[[#This Row],[Puerto de Embarque]]="","",MARÍTIMOS[[#This Row],[Puerto de Embarque]]),"")</f>
        <v/>
      </c>
      <c r="AG878" s="2" t="str">
        <f>IFERROR(IF(MARÍTIMOS[[#This Row],[Almacén de Ingreso]]="","",MARÍTIMOS[[#This Row],[Almacén de Ingreso]]),"")</f>
        <v/>
      </c>
      <c r="AH878" s="11" t="str">
        <f>IFERROR(IF(MARÍTIMOS[[#This Row],[Etapa Ingreso - Cita]]="","",MARÍTIMOS[[#This Row],[Etapa Ingreso - Cita]]),"")</f>
        <v/>
      </c>
      <c r="AI878" s="11" t="str">
        <f>IFERROR(IF(MARÍTIMOS[[#This Row],[Etapa Ingreso - Llegada]]="","",MARÍTIMOS[[#This Row],[Etapa Ingreso - Llegada]]),"")</f>
        <v/>
      </c>
      <c r="AJ878" s="11" t="str">
        <f>IFERROR(IF(MARÍTIMOS[[#This Row],[Etapa Ingreso - Ingeso]]="","",MARÍTIMOS[[#This Row],[Etapa Ingreso - Ingeso]]),"")</f>
        <v/>
      </c>
      <c r="AK878" s="11" t="str">
        <f>IFERROR(IF(MARÍTIMOS[[#This Row],[Etapa Ingreso - Atención]]="","",MARÍTIMOS[[#This Row],[Etapa Ingreso - Atención]]),"")</f>
        <v/>
      </c>
      <c r="AL878" s="11" t="str">
        <f>IFERROR(IF(MARÍTIMOS[[#This Row],[Etapa Ingreso - Salida]]="","",MARÍTIMOS[[#This Row],[Etapa Ingreso - Salida]]),"")</f>
        <v/>
      </c>
      <c r="AM878" s="2" t="str">
        <f>IFERROR(IF(MARÍTIMOS[[#This Row],[FCL]]="","",MARÍTIMOS[[#This Row],[FCL]]),"")</f>
        <v/>
      </c>
      <c r="AN8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8" s="4" t="str" cm="1">
        <f t="array" ref="AO8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8" s="5" t="str">
        <f>IFERROR(OLDBD[[#This Row],[Llegada a packing]]-OLDBD[[#This Row],[Inicio de Ruta]],"")</f>
        <v/>
      </c>
      <c r="AQ878" s="6" t="str">
        <f>IFERROR(OLDBD[[#This Row],[Inicio de Ruta]]-OLDBD[[#This Row],[Salida de almacén de retiro]],"")</f>
        <v/>
      </c>
      <c r="AR8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8" s="8" t="str" cm="1">
        <f t="array" ref="AS8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8" s="9" t="str">
        <f>IFERROR(OLDBD[[#This Row],[Ingreso Packing]]-OLDBD[[#This Row],[Registro en Packing]],"")</f>
        <v/>
      </c>
      <c r="AV878" s="9" t="str">
        <f>IFERROR(OLDBD[[#This Row],[Ingreso Packing]]-OLDBD[[#This Row],[Llegada a packing]],"")</f>
        <v/>
      </c>
      <c r="AW8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8" s="5" t="str">
        <f>IFERROR(OLDBD[[#This Row],[Llegada Almacén de Ingreso]]-OLDBD[[#This Row],[Salida Packing]],"")</f>
        <v/>
      </c>
      <c r="AY878" s="4" t="str" cm="1">
        <f t="array" ref="AY8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8" s="43" t="s">
        <v>173</v>
      </c>
      <c r="BB878" s="47" t="str">
        <f>IFERROR(IF(MARÍTIMOS[[#This Row],[Estatus]]="","",MARÍTIMOS[[#This Row],[Estatus]]),"")</f>
        <v/>
      </c>
      <c r="BC878" s="43"/>
      <c r="BD878" s="46" t="str">
        <f>IFERROR(OLDBD[[#This Row],[Salida de almacén de retiro]]-OLDBD[[#This Row],[Ingreso Almacén de retiro]],"")</f>
        <v/>
      </c>
      <c r="BE878" s="46" t="str">
        <f>IFERROR(OLDBD[[#This Row],[Fin de Carga]]-OLDBD[[#This Row],[Inicio de Carga]],"")</f>
        <v/>
      </c>
    </row>
    <row r="879" spans="1:57" customFormat="1" hidden="1">
      <c r="A879" s="1"/>
      <c r="B879" s="1" t="str">
        <f>IFERROR(IF(MARÍTIMOS[[#This Row],[PP]]="","",MARÍTIMOS[[#This Row],[PP]]),"")</f>
        <v/>
      </c>
      <c r="C879" s="1" t="str">
        <f>IFERROR(IF(MARÍTIMOS[[#This Row],[Sede]]="","",MARÍTIMOS[[#This Row],[Sede]]),"")</f>
        <v/>
      </c>
      <c r="D879" s="1" t="str">
        <f>IFERROR(IF(MARÍTIMOS[[#This Row],[Instruction]]="","",MARÍTIMOS[[#This Row],[Instruction]]),"")</f>
        <v/>
      </c>
      <c r="E879" s="1"/>
      <c r="F879" s="2" t="str">
        <f>IFERROR(IF(MARÍTIMOS[[#This Row],[Transportista]]="","",MARÍTIMOS[[#This Row],[Transportista]]),"")</f>
        <v/>
      </c>
      <c r="G879" s="2" t="str">
        <f>IFERROR(IF(MARÍTIMOS[[#This Row],[Tercero]]="","",MARÍTIMOS[[#This Row],[Tercero]]),"")</f>
        <v/>
      </c>
      <c r="H879" s="2" t="str">
        <f>IFERROR(IF(MARÍTIMOS[[#This Row],[Razón Social]]="","",MARÍTIMOS[[#This Row],[Razón Social]]),"")</f>
        <v/>
      </c>
      <c r="I879" s="2" t="str">
        <f>IFERROR(IF(MARÍTIMOS[[#This Row],[RUC]]="","",MARÍTIMOS[[#This Row],[RUC]]),"")</f>
        <v/>
      </c>
      <c r="J879" s="2" t="str">
        <f>IFERROR(IF(MARÍTIMOS[[#This Row],[Placa Tracto]]="","",MARÍTIMOS[[#This Row],[Placa Tracto]]),"")</f>
        <v/>
      </c>
      <c r="K879" s="2" t="str">
        <f>IFERROR(IF(MARÍTIMOS[[#This Row],[Placa Carreta]]="","",MARÍTIMOS[[#This Row],[Placa Carreta]]),"")</f>
        <v/>
      </c>
      <c r="L879" s="44" t="str">
        <f>IFERROR(IF(MARÍTIMOS[[#This Row],[Conductor]]="","",MARÍTIMOS[[#This Row],[Conductor]]),"")</f>
        <v/>
      </c>
      <c r="M879" s="2" t="str">
        <f>IFERROR(IF(MARÍTIMOS[[#This Row],[Licencia]]="","",MARÍTIMOS[[#This Row],[Licencia]]),"")</f>
        <v/>
      </c>
      <c r="N879" s="2" t="str">
        <f>IFERROR(IF(MARÍTIMOS[[#This Row],[Número de Contacto]]="","",MARÍTIMOS[[#This Row],[Número de Contacto]]),"")</f>
        <v/>
      </c>
      <c r="O879" s="10" t="str">
        <f>IFERROR(IF(MARÍTIMOS[[#This Row],[Booking|AWB|CRT]]="","",MARÍTIMOS[[#This Row],[Booking|AWB|CRT]]),"")</f>
        <v/>
      </c>
      <c r="P879" s="2" t="str">
        <f>IFERROR(IF(MARÍTIMOS[[#This Row],[Contenedor]]="","",MARÍTIMOS[[#This Row],[Contenedor]]),"")</f>
        <v/>
      </c>
      <c r="Q879" s="2" t="str">
        <f>IFERROR(IF(MARÍTIMOS[[#This Row],[Puerto de Retiro]]="","",MARÍTIMOS[[#This Row],[Puerto de Retiro]]),"")</f>
        <v/>
      </c>
      <c r="R879" s="2" t="str">
        <f>IFERROR(IF(MARÍTIMOS[[#This Row],[Almacén de Retiro]]="","",MARÍTIMOS[[#This Row],[Almacén de Retiro]]),"")</f>
        <v/>
      </c>
      <c r="S879" s="11" t="str">
        <f>IFERROR(IF(MARÍTIMOS[[#This Row],[Etapa Retiro - Cita]]="","",MARÍTIMOS[[#This Row],[Etapa Retiro - Cita]]),"")</f>
        <v/>
      </c>
      <c r="T879" s="11" t="str">
        <f>IFERROR(IF(MARÍTIMOS[[#This Row],[Etapa Retiro - Llegada]]="","",MARÍTIMOS[[#This Row],[Etapa Retiro - Llegada]]),"")</f>
        <v/>
      </c>
      <c r="U879" s="11" t="str">
        <f>IFERROR(IF(MARÍTIMOS[[#This Row],[Etapa Retiro - Ingreso]]="","",MARÍTIMOS[[#This Row],[Etapa Retiro - Ingreso]]),"")</f>
        <v/>
      </c>
      <c r="V879" s="11" t="str">
        <f>IFERROR(IF(MARÍTIMOS[[#This Row],[Etapa Retiro - Atención]]="","",MARÍTIMOS[[#This Row],[Etapa Retiro - Atención]]),"")</f>
        <v/>
      </c>
      <c r="W879" s="11" t="str">
        <f>IFERROR(IF(MARÍTIMOS[[#This Row],[Etapa Retiro - Atención]]="","",MARÍTIMOS[[#This Row],[Etapa Retiro - Atención]]),"")</f>
        <v/>
      </c>
      <c r="X879" s="11" t="str">
        <f>IFERROR(IF(MARÍTIMOS[[#This Row],[Etapa Retiro - Inicio de Ruta]]="","",MARÍTIMOS[[#This Row],[Etapa Retiro - Inicio de Ruta]]),"")</f>
        <v/>
      </c>
      <c r="Y879" s="11" t="str">
        <f>IFERROR(IF(MARÍTIMOS[[#This Row],[Hora de Posicionamiento]]="","",MARÍTIMOS[[#This Row],[Fecha de Carga]]+MARÍTIMOS[[#This Row],[Hora de Posicionamiento]]),"")</f>
        <v/>
      </c>
      <c r="Z879" s="11" t="str">
        <f>IFERROR(IF(MARÍTIMOS[[#This Row],[Etapa Despacho - Llegada]]="","",MARÍTIMOS[[#This Row],[Etapa Despacho - Llegada]]),"")</f>
        <v/>
      </c>
      <c r="AA879" s="11" t="str">
        <f>IFERROR(IF(MARÍTIMOS[[#This Row],[Etapa Despacho - Registro]]="","",MARÍTIMOS[[#This Row],[Etapa Despacho - Registro]]),"")</f>
        <v/>
      </c>
      <c r="AB879" s="11" t="str">
        <f>IFERROR(IF(MARÍTIMOS[[#This Row],[Inspección Externa]]="","",MARÍTIMOS[[#This Row],[Inspección Externa]]),"")</f>
        <v/>
      </c>
      <c r="AC879" s="11" t="str">
        <f>IFERROR(IF(MARÍTIMOS[[#This Row],[Etapa Despacho - Inicio de Carga]]="","",MARÍTIMOS[[#This Row],[Etapa Despacho - Inicio de Carga]]),"")</f>
        <v/>
      </c>
      <c r="AD879" s="11" t="str">
        <f>IFERROR(IF(MARÍTIMOS[[#This Row],[Etapa Despacho - Mitad de Carga]]="","",MARÍTIMOS[[#This Row],[Etapa Despacho - Mitad de Carga]]),"")</f>
        <v/>
      </c>
      <c r="AE879" s="11" t="str">
        <f>IFERROR(IF(MARÍTIMOS[[#This Row],[Etapa Despacho - Fin de Carga]]="","",MARÍTIMOS[[#This Row],[Etapa Despacho - Fin de Carga]]),"")</f>
        <v/>
      </c>
      <c r="AF879" s="2" t="str">
        <f>IFERROR(IF(MARÍTIMOS[[#This Row],[Puerto de Embarque]]="","",MARÍTIMOS[[#This Row],[Puerto de Embarque]]),"")</f>
        <v/>
      </c>
      <c r="AG879" s="2" t="str">
        <f>IFERROR(IF(MARÍTIMOS[[#This Row],[Almacén de Ingreso]]="","",MARÍTIMOS[[#This Row],[Almacén de Ingreso]]),"")</f>
        <v/>
      </c>
      <c r="AH879" s="11" t="str">
        <f>IFERROR(IF(MARÍTIMOS[[#This Row],[Etapa Ingreso - Cita]]="","",MARÍTIMOS[[#This Row],[Etapa Ingreso - Cita]]),"")</f>
        <v/>
      </c>
      <c r="AI879" s="11" t="str">
        <f>IFERROR(IF(MARÍTIMOS[[#This Row],[Etapa Ingreso - Llegada]]="","",MARÍTIMOS[[#This Row],[Etapa Ingreso - Llegada]]),"")</f>
        <v/>
      </c>
      <c r="AJ879" s="11" t="str">
        <f>IFERROR(IF(MARÍTIMOS[[#This Row],[Etapa Ingreso - Ingeso]]="","",MARÍTIMOS[[#This Row],[Etapa Ingreso - Ingeso]]),"")</f>
        <v/>
      </c>
      <c r="AK879" s="11" t="str">
        <f>IFERROR(IF(MARÍTIMOS[[#This Row],[Etapa Ingreso - Atención]]="","",MARÍTIMOS[[#This Row],[Etapa Ingreso - Atención]]),"")</f>
        <v/>
      </c>
      <c r="AL879" s="11" t="str">
        <f>IFERROR(IF(MARÍTIMOS[[#This Row],[Etapa Ingreso - Salida]]="","",MARÍTIMOS[[#This Row],[Etapa Ingreso - Salida]]),"")</f>
        <v/>
      </c>
      <c r="AM879" s="2" t="str">
        <f>IFERROR(IF(MARÍTIMOS[[#This Row],[FCL]]="","",MARÍTIMOS[[#This Row],[FCL]]),"")</f>
        <v/>
      </c>
      <c r="AN8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79" s="4" t="str" cm="1">
        <f t="array" ref="AO8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79" s="5" t="str">
        <f>IFERROR(OLDBD[[#This Row],[Llegada a packing]]-OLDBD[[#This Row],[Inicio de Ruta]],"")</f>
        <v/>
      </c>
      <c r="AQ879" s="6" t="str">
        <f>IFERROR(OLDBD[[#This Row],[Inicio de Ruta]]-OLDBD[[#This Row],[Salida de almacén de retiro]],"")</f>
        <v/>
      </c>
      <c r="AR8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79" s="8" t="str" cm="1">
        <f t="array" ref="AS8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79" s="9" t="str">
        <f>IFERROR(OLDBD[[#This Row],[Ingreso Packing]]-OLDBD[[#This Row],[Registro en Packing]],"")</f>
        <v/>
      </c>
      <c r="AV879" s="9" t="str">
        <f>IFERROR(OLDBD[[#This Row],[Ingreso Packing]]-OLDBD[[#This Row],[Llegada a packing]],"")</f>
        <v/>
      </c>
      <c r="AW8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79" s="5" t="str">
        <f>IFERROR(OLDBD[[#This Row],[Llegada Almacén de Ingreso]]-OLDBD[[#This Row],[Salida Packing]],"")</f>
        <v/>
      </c>
      <c r="AY879" s="4" t="str" cm="1">
        <f t="array" ref="AY8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79" s="43" t="s">
        <v>173</v>
      </c>
      <c r="BB879" s="47" t="str">
        <f>IFERROR(IF(MARÍTIMOS[[#This Row],[Estatus]]="","",MARÍTIMOS[[#This Row],[Estatus]]),"")</f>
        <v/>
      </c>
      <c r="BC879" s="43"/>
      <c r="BD879" s="46" t="str">
        <f>IFERROR(OLDBD[[#This Row],[Salida de almacén de retiro]]-OLDBD[[#This Row],[Ingreso Almacén de retiro]],"")</f>
        <v/>
      </c>
      <c r="BE879" s="46" t="str">
        <f>IFERROR(OLDBD[[#This Row],[Fin de Carga]]-OLDBD[[#This Row],[Inicio de Carga]],"")</f>
        <v/>
      </c>
    </row>
    <row r="880" spans="1:57" customFormat="1" hidden="1">
      <c r="A880" s="1"/>
      <c r="B880" s="1" t="str">
        <f>IFERROR(IF(MARÍTIMOS[[#This Row],[PP]]="","",MARÍTIMOS[[#This Row],[PP]]),"")</f>
        <v/>
      </c>
      <c r="C880" s="1" t="str">
        <f>IFERROR(IF(MARÍTIMOS[[#This Row],[Sede]]="","",MARÍTIMOS[[#This Row],[Sede]]),"")</f>
        <v/>
      </c>
      <c r="D880" s="1" t="str">
        <f>IFERROR(IF(MARÍTIMOS[[#This Row],[Instruction]]="","",MARÍTIMOS[[#This Row],[Instruction]]),"")</f>
        <v/>
      </c>
      <c r="E880" s="1"/>
      <c r="F880" s="2" t="str">
        <f>IFERROR(IF(MARÍTIMOS[[#This Row],[Transportista]]="","",MARÍTIMOS[[#This Row],[Transportista]]),"")</f>
        <v/>
      </c>
      <c r="G880" s="2" t="str">
        <f>IFERROR(IF(MARÍTIMOS[[#This Row],[Tercero]]="","",MARÍTIMOS[[#This Row],[Tercero]]),"")</f>
        <v/>
      </c>
      <c r="H880" s="2" t="str">
        <f>IFERROR(IF(MARÍTIMOS[[#This Row],[Razón Social]]="","",MARÍTIMOS[[#This Row],[Razón Social]]),"")</f>
        <v/>
      </c>
      <c r="I880" s="2" t="str">
        <f>IFERROR(IF(MARÍTIMOS[[#This Row],[RUC]]="","",MARÍTIMOS[[#This Row],[RUC]]),"")</f>
        <v/>
      </c>
      <c r="J880" s="2" t="str">
        <f>IFERROR(IF(MARÍTIMOS[[#This Row],[Placa Tracto]]="","",MARÍTIMOS[[#This Row],[Placa Tracto]]),"")</f>
        <v/>
      </c>
      <c r="K880" s="2" t="str">
        <f>IFERROR(IF(MARÍTIMOS[[#This Row],[Placa Carreta]]="","",MARÍTIMOS[[#This Row],[Placa Carreta]]),"")</f>
        <v/>
      </c>
      <c r="L880" s="44" t="str">
        <f>IFERROR(IF(MARÍTIMOS[[#This Row],[Conductor]]="","",MARÍTIMOS[[#This Row],[Conductor]]),"")</f>
        <v/>
      </c>
      <c r="M880" s="2" t="str">
        <f>IFERROR(IF(MARÍTIMOS[[#This Row],[Licencia]]="","",MARÍTIMOS[[#This Row],[Licencia]]),"")</f>
        <v/>
      </c>
      <c r="N880" s="2" t="str">
        <f>IFERROR(IF(MARÍTIMOS[[#This Row],[Número de Contacto]]="","",MARÍTIMOS[[#This Row],[Número de Contacto]]),"")</f>
        <v/>
      </c>
      <c r="O880" s="10" t="str">
        <f>IFERROR(IF(MARÍTIMOS[[#This Row],[Booking|AWB|CRT]]="","",MARÍTIMOS[[#This Row],[Booking|AWB|CRT]]),"")</f>
        <v/>
      </c>
      <c r="P880" s="2" t="str">
        <f>IFERROR(IF(MARÍTIMOS[[#This Row],[Contenedor]]="","",MARÍTIMOS[[#This Row],[Contenedor]]),"")</f>
        <v/>
      </c>
      <c r="Q880" s="2" t="str">
        <f>IFERROR(IF(MARÍTIMOS[[#This Row],[Puerto de Retiro]]="","",MARÍTIMOS[[#This Row],[Puerto de Retiro]]),"")</f>
        <v/>
      </c>
      <c r="R880" s="2" t="str">
        <f>IFERROR(IF(MARÍTIMOS[[#This Row],[Almacén de Retiro]]="","",MARÍTIMOS[[#This Row],[Almacén de Retiro]]),"")</f>
        <v/>
      </c>
      <c r="S880" s="11" t="str">
        <f>IFERROR(IF(MARÍTIMOS[[#This Row],[Etapa Retiro - Cita]]="","",MARÍTIMOS[[#This Row],[Etapa Retiro - Cita]]),"")</f>
        <v/>
      </c>
      <c r="T880" s="11" t="str">
        <f>IFERROR(IF(MARÍTIMOS[[#This Row],[Etapa Retiro - Llegada]]="","",MARÍTIMOS[[#This Row],[Etapa Retiro - Llegada]]),"")</f>
        <v/>
      </c>
      <c r="U880" s="11" t="str">
        <f>IFERROR(IF(MARÍTIMOS[[#This Row],[Etapa Retiro - Ingreso]]="","",MARÍTIMOS[[#This Row],[Etapa Retiro - Ingreso]]),"")</f>
        <v/>
      </c>
      <c r="V880" s="11" t="str">
        <f>IFERROR(IF(MARÍTIMOS[[#This Row],[Etapa Retiro - Atención]]="","",MARÍTIMOS[[#This Row],[Etapa Retiro - Atención]]),"")</f>
        <v/>
      </c>
      <c r="W880" s="11" t="str">
        <f>IFERROR(IF(MARÍTIMOS[[#This Row],[Etapa Retiro - Atención]]="","",MARÍTIMOS[[#This Row],[Etapa Retiro - Atención]]),"")</f>
        <v/>
      </c>
      <c r="X880" s="11" t="str">
        <f>IFERROR(IF(MARÍTIMOS[[#This Row],[Etapa Retiro - Inicio de Ruta]]="","",MARÍTIMOS[[#This Row],[Etapa Retiro - Inicio de Ruta]]),"")</f>
        <v/>
      </c>
      <c r="Y880" s="11" t="str">
        <f>IFERROR(IF(MARÍTIMOS[[#This Row],[Hora de Posicionamiento]]="","",MARÍTIMOS[[#This Row],[Fecha de Carga]]+MARÍTIMOS[[#This Row],[Hora de Posicionamiento]]),"")</f>
        <v/>
      </c>
      <c r="Z880" s="11" t="str">
        <f>IFERROR(IF(MARÍTIMOS[[#This Row],[Etapa Despacho - Llegada]]="","",MARÍTIMOS[[#This Row],[Etapa Despacho - Llegada]]),"")</f>
        <v/>
      </c>
      <c r="AA880" s="11" t="str">
        <f>IFERROR(IF(MARÍTIMOS[[#This Row],[Etapa Despacho - Registro]]="","",MARÍTIMOS[[#This Row],[Etapa Despacho - Registro]]),"")</f>
        <v/>
      </c>
      <c r="AB880" s="11" t="str">
        <f>IFERROR(IF(MARÍTIMOS[[#This Row],[Inspección Externa]]="","",MARÍTIMOS[[#This Row],[Inspección Externa]]),"")</f>
        <v/>
      </c>
      <c r="AC880" s="11" t="str">
        <f>IFERROR(IF(MARÍTIMOS[[#This Row],[Etapa Despacho - Inicio de Carga]]="","",MARÍTIMOS[[#This Row],[Etapa Despacho - Inicio de Carga]]),"")</f>
        <v/>
      </c>
      <c r="AD880" s="11" t="str">
        <f>IFERROR(IF(MARÍTIMOS[[#This Row],[Etapa Despacho - Mitad de Carga]]="","",MARÍTIMOS[[#This Row],[Etapa Despacho - Mitad de Carga]]),"")</f>
        <v/>
      </c>
      <c r="AE880" s="11" t="str">
        <f>IFERROR(IF(MARÍTIMOS[[#This Row],[Etapa Despacho - Fin de Carga]]="","",MARÍTIMOS[[#This Row],[Etapa Despacho - Fin de Carga]]),"")</f>
        <v/>
      </c>
      <c r="AF880" s="2" t="str">
        <f>IFERROR(IF(MARÍTIMOS[[#This Row],[Puerto de Embarque]]="","",MARÍTIMOS[[#This Row],[Puerto de Embarque]]),"")</f>
        <v/>
      </c>
      <c r="AG880" s="2" t="str">
        <f>IFERROR(IF(MARÍTIMOS[[#This Row],[Almacén de Ingreso]]="","",MARÍTIMOS[[#This Row],[Almacén de Ingreso]]),"")</f>
        <v/>
      </c>
      <c r="AH880" s="11" t="str">
        <f>IFERROR(IF(MARÍTIMOS[[#This Row],[Etapa Ingreso - Cita]]="","",MARÍTIMOS[[#This Row],[Etapa Ingreso - Cita]]),"")</f>
        <v/>
      </c>
      <c r="AI880" s="11" t="str">
        <f>IFERROR(IF(MARÍTIMOS[[#This Row],[Etapa Ingreso - Llegada]]="","",MARÍTIMOS[[#This Row],[Etapa Ingreso - Llegada]]),"")</f>
        <v/>
      </c>
      <c r="AJ880" s="11" t="str">
        <f>IFERROR(IF(MARÍTIMOS[[#This Row],[Etapa Ingreso - Ingeso]]="","",MARÍTIMOS[[#This Row],[Etapa Ingreso - Ingeso]]),"")</f>
        <v/>
      </c>
      <c r="AK880" s="11" t="str">
        <f>IFERROR(IF(MARÍTIMOS[[#This Row],[Etapa Ingreso - Atención]]="","",MARÍTIMOS[[#This Row],[Etapa Ingreso - Atención]]),"")</f>
        <v/>
      </c>
      <c r="AL880" s="11" t="str">
        <f>IFERROR(IF(MARÍTIMOS[[#This Row],[Etapa Ingreso - Salida]]="","",MARÍTIMOS[[#This Row],[Etapa Ingreso - Salida]]),"")</f>
        <v/>
      </c>
      <c r="AM880" s="2" t="str">
        <f>IFERROR(IF(MARÍTIMOS[[#This Row],[FCL]]="","",MARÍTIMOS[[#This Row],[FCL]]),"")</f>
        <v/>
      </c>
      <c r="AN8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0" s="4" t="str" cm="1">
        <f t="array" ref="AO8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0" s="5" t="str">
        <f>IFERROR(OLDBD[[#This Row],[Llegada a packing]]-OLDBD[[#This Row],[Inicio de Ruta]],"")</f>
        <v/>
      </c>
      <c r="AQ880" s="6" t="str">
        <f>IFERROR(OLDBD[[#This Row],[Inicio de Ruta]]-OLDBD[[#This Row],[Salida de almacén de retiro]],"")</f>
        <v/>
      </c>
      <c r="AR8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0" s="8" t="str" cm="1">
        <f t="array" ref="AS8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0" s="9" t="str">
        <f>IFERROR(OLDBD[[#This Row],[Ingreso Packing]]-OLDBD[[#This Row],[Registro en Packing]],"")</f>
        <v/>
      </c>
      <c r="AV880" s="9" t="str">
        <f>IFERROR(OLDBD[[#This Row],[Ingreso Packing]]-OLDBD[[#This Row],[Llegada a packing]],"")</f>
        <v/>
      </c>
      <c r="AW8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0" s="5" t="str">
        <f>IFERROR(OLDBD[[#This Row],[Llegada Almacén de Ingreso]]-OLDBD[[#This Row],[Salida Packing]],"")</f>
        <v/>
      </c>
      <c r="AY880" s="4" t="str" cm="1">
        <f t="array" ref="AY8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0" s="43" t="s">
        <v>173</v>
      </c>
      <c r="BB880" s="47" t="str">
        <f>IFERROR(IF(MARÍTIMOS[[#This Row],[Estatus]]="","",MARÍTIMOS[[#This Row],[Estatus]]),"")</f>
        <v/>
      </c>
      <c r="BC880" s="43"/>
      <c r="BD880" s="46" t="str">
        <f>IFERROR(OLDBD[[#This Row],[Salida de almacén de retiro]]-OLDBD[[#This Row],[Ingreso Almacén de retiro]],"")</f>
        <v/>
      </c>
      <c r="BE880" s="46" t="str">
        <f>IFERROR(OLDBD[[#This Row],[Fin de Carga]]-OLDBD[[#This Row],[Inicio de Carga]],"")</f>
        <v/>
      </c>
    </row>
    <row r="881" spans="1:57" customFormat="1" hidden="1">
      <c r="A881" s="1"/>
      <c r="B881" s="1" t="str">
        <f>IFERROR(IF(MARÍTIMOS[[#This Row],[PP]]="","",MARÍTIMOS[[#This Row],[PP]]),"")</f>
        <v/>
      </c>
      <c r="C881" s="1" t="str">
        <f>IFERROR(IF(MARÍTIMOS[[#This Row],[Sede]]="","",MARÍTIMOS[[#This Row],[Sede]]),"")</f>
        <v/>
      </c>
      <c r="D881" s="1" t="str">
        <f>IFERROR(IF(MARÍTIMOS[[#This Row],[Instruction]]="","",MARÍTIMOS[[#This Row],[Instruction]]),"")</f>
        <v/>
      </c>
      <c r="E881" s="1"/>
      <c r="F881" s="2" t="str">
        <f>IFERROR(IF(MARÍTIMOS[[#This Row],[Transportista]]="","",MARÍTIMOS[[#This Row],[Transportista]]),"")</f>
        <v/>
      </c>
      <c r="G881" s="2" t="str">
        <f>IFERROR(IF(MARÍTIMOS[[#This Row],[Tercero]]="","",MARÍTIMOS[[#This Row],[Tercero]]),"")</f>
        <v/>
      </c>
      <c r="H881" s="2" t="str">
        <f>IFERROR(IF(MARÍTIMOS[[#This Row],[Razón Social]]="","",MARÍTIMOS[[#This Row],[Razón Social]]),"")</f>
        <v/>
      </c>
      <c r="I881" s="2" t="str">
        <f>IFERROR(IF(MARÍTIMOS[[#This Row],[RUC]]="","",MARÍTIMOS[[#This Row],[RUC]]),"")</f>
        <v/>
      </c>
      <c r="J881" s="2" t="str">
        <f>IFERROR(IF(MARÍTIMOS[[#This Row],[Placa Tracto]]="","",MARÍTIMOS[[#This Row],[Placa Tracto]]),"")</f>
        <v/>
      </c>
      <c r="K881" s="2" t="str">
        <f>IFERROR(IF(MARÍTIMOS[[#This Row],[Placa Carreta]]="","",MARÍTIMOS[[#This Row],[Placa Carreta]]),"")</f>
        <v/>
      </c>
      <c r="L881" s="44" t="str">
        <f>IFERROR(IF(MARÍTIMOS[[#This Row],[Conductor]]="","",MARÍTIMOS[[#This Row],[Conductor]]),"")</f>
        <v/>
      </c>
      <c r="M881" s="2" t="str">
        <f>IFERROR(IF(MARÍTIMOS[[#This Row],[Licencia]]="","",MARÍTIMOS[[#This Row],[Licencia]]),"")</f>
        <v/>
      </c>
      <c r="N881" s="2" t="str">
        <f>IFERROR(IF(MARÍTIMOS[[#This Row],[Número de Contacto]]="","",MARÍTIMOS[[#This Row],[Número de Contacto]]),"")</f>
        <v/>
      </c>
      <c r="O881" s="10" t="str">
        <f>IFERROR(IF(MARÍTIMOS[[#This Row],[Booking|AWB|CRT]]="","",MARÍTIMOS[[#This Row],[Booking|AWB|CRT]]),"")</f>
        <v/>
      </c>
      <c r="P881" s="2" t="str">
        <f>IFERROR(IF(MARÍTIMOS[[#This Row],[Contenedor]]="","",MARÍTIMOS[[#This Row],[Contenedor]]),"")</f>
        <v/>
      </c>
      <c r="Q881" s="2" t="str">
        <f>IFERROR(IF(MARÍTIMOS[[#This Row],[Puerto de Retiro]]="","",MARÍTIMOS[[#This Row],[Puerto de Retiro]]),"")</f>
        <v/>
      </c>
      <c r="R881" s="2" t="str">
        <f>IFERROR(IF(MARÍTIMOS[[#This Row],[Almacén de Retiro]]="","",MARÍTIMOS[[#This Row],[Almacén de Retiro]]),"")</f>
        <v/>
      </c>
      <c r="S881" s="11" t="str">
        <f>IFERROR(IF(MARÍTIMOS[[#This Row],[Etapa Retiro - Cita]]="","",MARÍTIMOS[[#This Row],[Etapa Retiro - Cita]]),"")</f>
        <v/>
      </c>
      <c r="T881" s="11" t="str">
        <f>IFERROR(IF(MARÍTIMOS[[#This Row],[Etapa Retiro - Llegada]]="","",MARÍTIMOS[[#This Row],[Etapa Retiro - Llegada]]),"")</f>
        <v/>
      </c>
      <c r="U881" s="11" t="str">
        <f>IFERROR(IF(MARÍTIMOS[[#This Row],[Etapa Retiro - Ingreso]]="","",MARÍTIMOS[[#This Row],[Etapa Retiro - Ingreso]]),"")</f>
        <v/>
      </c>
      <c r="V881" s="11" t="str">
        <f>IFERROR(IF(MARÍTIMOS[[#This Row],[Etapa Retiro - Atención]]="","",MARÍTIMOS[[#This Row],[Etapa Retiro - Atención]]),"")</f>
        <v/>
      </c>
      <c r="W881" s="11" t="str">
        <f>IFERROR(IF(MARÍTIMOS[[#This Row],[Etapa Retiro - Atención]]="","",MARÍTIMOS[[#This Row],[Etapa Retiro - Atención]]),"")</f>
        <v/>
      </c>
      <c r="X881" s="11" t="str">
        <f>IFERROR(IF(MARÍTIMOS[[#This Row],[Etapa Retiro - Inicio de Ruta]]="","",MARÍTIMOS[[#This Row],[Etapa Retiro - Inicio de Ruta]]),"")</f>
        <v/>
      </c>
      <c r="Y881" s="11" t="str">
        <f>IFERROR(IF(MARÍTIMOS[[#This Row],[Hora de Posicionamiento]]="","",MARÍTIMOS[[#This Row],[Fecha de Carga]]+MARÍTIMOS[[#This Row],[Hora de Posicionamiento]]),"")</f>
        <v/>
      </c>
      <c r="Z881" s="11" t="str">
        <f>IFERROR(IF(MARÍTIMOS[[#This Row],[Etapa Despacho - Llegada]]="","",MARÍTIMOS[[#This Row],[Etapa Despacho - Llegada]]),"")</f>
        <v/>
      </c>
      <c r="AA881" s="11" t="str">
        <f>IFERROR(IF(MARÍTIMOS[[#This Row],[Etapa Despacho - Registro]]="","",MARÍTIMOS[[#This Row],[Etapa Despacho - Registro]]),"")</f>
        <v/>
      </c>
      <c r="AB881" s="11" t="str">
        <f>IFERROR(IF(MARÍTIMOS[[#This Row],[Inspección Externa]]="","",MARÍTIMOS[[#This Row],[Inspección Externa]]),"")</f>
        <v/>
      </c>
      <c r="AC881" s="11" t="str">
        <f>IFERROR(IF(MARÍTIMOS[[#This Row],[Etapa Despacho - Inicio de Carga]]="","",MARÍTIMOS[[#This Row],[Etapa Despacho - Inicio de Carga]]),"")</f>
        <v/>
      </c>
      <c r="AD881" s="11" t="str">
        <f>IFERROR(IF(MARÍTIMOS[[#This Row],[Etapa Despacho - Mitad de Carga]]="","",MARÍTIMOS[[#This Row],[Etapa Despacho - Mitad de Carga]]),"")</f>
        <v/>
      </c>
      <c r="AE881" s="11" t="str">
        <f>IFERROR(IF(MARÍTIMOS[[#This Row],[Etapa Despacho - Fin de Carga]]="","",MARÍTIMOS[[#This Row],[Etapa Despacho - Fin de Carga]]),"")</f>
        <v/>
      </c>
      <c r="AF881" s="2" t="str">
        <f>IFERROR(IF(MARÍTIMOS[[#This Row],[Puerto de Embarque]]="","",MARÍTIMOS[[#This Row],[Puerto de Embarque]]),"")</f>
        <v/>
      </c>
      <c r="AG881" s="2" t="str">
        <f>IFERROR(IF(MARÍTIMOS[[#This Row],[Almacén de Ingreso]]="","",MARÍTIMOS[[#This Row],[Almacén de Ingreso]]),"")</f>
        <v/>
      </c>
      <c r="AH881" s="11" t="str">
        <f>IFERROR(IF(MARÍTIMOS[[#This Row],[Etapa Ingreso - Cita]]="","",MARÍTIMOS[[#This Row],[Etapa Ingreso - Cita]]),"")</f>
        <v/>
      </c>
      <c r="AI881" s="11" t="str">
        <f>IFERROR(IF(MARÍTIMOS[[#This Row],[Etapa Ingreso - Llegada]]="","",MARÍTIMOS[[#This Row],[Etapa Ingreso - Llegada]]),"")</f>
        <v/>
      </c>
      <c r="AJ881" s="11" t="str">
        <f>IFERROR(IF(MARÍTIMOS[[#This Row],[Etapa Ingreso - Ingeso]]="","",MARÍTIMOS[[#This Row],[Etapa Ingreso - Ingeso]]),"")</f>
        <v/>
      </c>
      <c r="AK881" s="11" t="str">
        <f>IFERROR(IF(MARÍTIMOS[[#This Row],[Etapa Ingreso - Atención]]="","",MARÍTIMOS[[#This Row],[Etapa Ingreso - Atención]]),"")</f>
        <v/>
      </c>
      <c r="AL881" s="11" t="str">
        <f>IFERROR(IF(MARÍTIMOS[[#This Row],[Etapa Ingreso - Salida]]="","",MARÍTIMOS[[#This Row],[Etapa Ingreso - Salida]]),"")</f>
        <v/>
      </c>
      <c r="AM881" s="2" t="str">
        <f>IFERROR(IF(MARÍTIMOS[[#This Row],[FCL]]="","",MARÍTIMOS[[#This Row],[FCL]]),"")</f>
        <v/>
      </c>
      <c r="AN8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1" s="4" t="str" cm="1">
        <f t="array" ref="AO8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1" s="5" t="str">
        <f>IFERROR(OLDBD[[#This Row],[Llegada a packing]]-OLDBD[[#This Row],[Inicio de Ruta]],"")</f>
        <v/>
      </c>
      <c r="AQ881" s="6" t="str">
        <f>IFERROR(OLDBD[[#This Row],[Inicio de Ruta]]-OLDBD[[#This Row],[Salida de almacén de retiro]],"")</f>
        <v/>
      </c>
      <c r="AR8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1" s="8" t="str" cm="1">
        <f t="array" ref="AS8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1" s="9" t="str">
        <f>IFERROR(OLDBD[[#This Row],[Ingreso Packing]]-OLDBD[[#This Row],[Registro en Packing]],"")</f>
        <v/>
      </c>
      <c r="AV881" s="9" t="str">
        <f>IFERROR(OLDBD[[#This Row],[Ingreso Packing]]-OLDBD[[#This Row],[Llegada a packing]],"")</f>
        <v/>
      </c>
      <c r="AW8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1" s="5" t="str">
        <f>IFERROR(OLDBD[[#This Row],[Llegada Almacén de Ingreso]]-OLDBD[[#This Row],[Salida Packing]],"")</f>
        <v/>
      </c>
      <c r="AY881" s="4" t="str" cm="1">
        <f t="array" ref="AY8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1" s="43" t="s">
        <v>173</v>
      </c>
      <c r="BB881" s="47" t="str">
        <f>IFERROR(IF(MARÍTIMOS[[#This Row],[Estatus]]="","",MARÍTIMOS[[#This Row],[Estatus]]),"")</f>
        <v/>
      </c>
      <c r="BC881" s="43"/>
      <c r="BD881" s="46" t="str">
        <f>IFERROR(OLDBD[[#This Row],[Salida de almacén de retiro]]-OLDBD[[#This Row],[Ingreso Almacén de retiro]],"")</f>
        <v/>
      </c>
      <c r="BE881" s="46" t="str">
        <f>IFERROR(OLDBD[[#This Row],[Fin de Carga]]-OLDBD[[#This Row],[Inicio de Carga]],"")</f>
        <v/>
      </c>
    </row>
    <row r="882" spans="1:57" customFormat="1" hidden="1">
      <c r="A882" s="1"/>
      <c r="B882" s="1" t="str">
        <f>IFERROR(IF(MARÍTIMOS[[#This Row],[PP]]="","",MARÍTIMOS[[#This Row],[PP]]),"")</f>
        <v/>
      </c>
      <c r="C882" s="1" t="str">
        <f>IFERROR(IF(MARÍTIMOS[[#This Row],[Sede]]="","",MARÍTIMOS[[#This Row],[Sede]]),"")</f>
        <v/>
      </c>
      <c r="D882" s="1" t="str">
        <f>IFERROR(IF(MARÍTIMOS[[#This Row],[Instruction]]="","",MARÍTIMOS[[#This Row],[Instruction]]),"")</f>
        <v/>
      </c>
      <c r="E882" s="1"/>
      <c r="F882" s="2" t="str">
        <f>IFERROR(IF(MARÍTIMOS[[#This Row],[Transportista]]="","",MARÍTIMOS[[#This Row],[Transportista]]),"")</f>
        <v/>
      </c>
      <c r="G882" s="2" t="str">
        <f>IFERROR(IF(MARÍTIMOS[[#This Row],[Tercero]]="","",MARÍTIMOS[[#This Row],[Tercero]]),"")</f>
        <v/>
      </c>
      <c r="H882" s="2" t="str">
        <f>IFERROR(IF(MARÍTIMOS[[#This Row],[Razón Social]]="","",MARÍTIMOS[[#This Row],[Razón Social]]),"")</f>
        <v/>
      </c>
      <c r="I882" s="2" t="str">
        <f>IFERROR(IF(MARÍTIMOS[[#This Row],[RUC]]="","",MARÍTIMOS[[#This Row],[RUC]]),"")</f>
        <v/>
      </c>
      <c r="J882" s="2" t="str">
        <f>IFERROR(IF(MARÍTIMOS[[#This Row],[Placa Tracto]]="","",MARÍTIMOS[[#This Row],[Placa Tracto]]),"")</f>
        <v/>
      </c>
      <c r="K882" s="2" t="str">
        <f>IFERROR(IF(MARÍTIMOS[[#This Row],[Placa Carreta]]="","",MARÍTIMOS[[#This Row],[Placa Carreta]]),"")</f>
        <v/>
      </c>
      <c r="L882" s="44" t="str">
        <f>IFERROR(IF(MARÍTIMOS[[#This Row],[Conductor]]="","",MARÍTIMOS[[#This Row],[Conductor]]),"")</f>
        <v/>
      </c>
      <c r="M882" s="2" t="str">
        <f>IFERROR(IF(MARÍTIMOS[[#This Row],[Licencia]]="","",MARÍTIMOS[[#This Row],[Licencia]]),"")</f>
        <v/>
      </c>
      <c r="N882" s="2" t="str">
        <f>IFERROR(IF(MARÍTIMOS[[#This Row],[Número de Contacto]]="","",MARÍTIMOS[[#This Row],[Número de Contacto]]),"")</f>
        <v/>
      </c>
      <c r="O882" s="10" t="str">
        <f>IFERROR(IF(MARÍTIMOS[[#This Row],[Booking|AWB|CRT]]="","",MARÍTIMOS[[#This Row],[Booking|AWB|CRT]]),"")</f>
        <v/>
      </c>
      <c r="P882" s="2" t="str">
        <f>IFERROR(IF(MARÍTIMOS[[#This Row],[Contenedor]]="","",MARÍTIMOS[[#This Row],[Contenedor]]),"")</f>
        <v/>
      </c>
      <c r="Q882" s="2" t="str">
        <f>IFERROR(IF(MARÍTIMOS[[#This Row],[Puerto de Retiro]]="","",MARÍTIMOS[[#This Row],[Puerto de Retiro]]),"")</f>
        <v/>
      </c>
      <c r="R882" s="2" t="str">
        <f>IFERROR(IF(MARÍTIMOS[[#This Row],[Almacén de Retiro]]="","",MARÍTIMOS[[#This Row],[Almacén de Retiro]]),"")</f>
        <v/>
      </c>
      <c r="S882" s="11" t="str">
        <f>IFERROR(IF(MARÍTIMOS[[#This Row],[Etapa Retiro - Cita]]="","",MARÍTIMOS[[#This Row],[Etapa Retiro - Cita]]),"")</f>
        <v/>
      </c>
      <c r="T882" s="11" t="str">
        <f>IFERROR(IF(MARÍTIMOS[[#This Row],[Etapa Retiro - Llegada]]="","",MARÍTIMOS[[#This Row],[Etapa Retiro - Llegada]]),"")</f>
        <v/>
      </c>
      <c r="U882" s="11" t="str">
        <f>IFERROR(IF(MARÍTIMOS[[#This Row],[Etapa Retiro - Ingreso]]="","",MARÍTIMOS[[#This Row],[Etapa Retiro - Ingreso]]),"")</f>
        <v/>
      </c>
      <c r="V882" s="11" t="str">
        <f>IFERROR(IF(MARÍTIMOS[[#This Row],[Etapa Retiro - Atención]]="","",MARÍTIMOS[[#This Row],[Etapa Retiro - Atención]]),"")</f>
        <v/>
      </c>
      <c r="W882" s="11" t="str">
        <f>IFERROR(IF(MARÍTIMOS[[#This Row],[Etapa Retiro - Atención]]="","",MARÍTIMOS[[#This Row],[Etapa Retiro - Atención]]),"")</f>
        <v/>
      </c>
      <c r="X882" s="11" t="str">
        <f>IFERROR(IF(MARÍTIMOS[[#This Row],[Etapa Retiro - Inicio de Ruta]]="","",MARÍTIMOS[[#This Row],[Etapa Retiro - Inicio de Ruta]]),"")</f>
        <v/>
      </c>
      <c r="Y882" s="11" t="str">
        <f>IFERROR(IF(MARÍTIMOS[[#This Row],[Hora de Posicionamiento]]="","",MARÍTIMOS[[#This Row],[Fecha de Carga]]+MARÍTIMOS[[#This Row],[Hora de Posicionamiento]]),"")</f>
        <v/>
      </c>
      <c r="Z882" s="11" t="str">
        <f>IFERROR(IF(MARÍTIMOS[[#This Row],[Etapa Despacho - Llegada]]="","",MARÍTIMOS[[#This Row],[Etapa Despacho - Llegada]]),"")</f>
        <v/>
      </c>
      <c r="AA882" s="11" t="str">
        <f>IFERROR(IF(MARÍTIMOS[[#This Row],[Etapa Despacho - Registro]]="","",MARÍTIMOS[[#This Row],[Etapa Despacho - Registro]]),"")</f>
        <v/>
      </c>
      <c r="AB882" s="11" t="str">
        <f>IFERROR(IF(MARÍTIMOS[[#This Row],[Inspección Externa]]="","",MARÍTIMOS[[#This Row],[Inspección Externa]]),"")</f>
        <v/>
      </c>
      <c r="AC882" s="11" t="str">
        <f>IFERROR(IF(MARÍTIMOS[[#This Row],[Etapa Despacho - Inicio de Carga]]="","",MARÍTIMOS[[#This Row],[Etapa Despacho - Inicio de Carga]]),"")</f>
        <v/>
      </c>
      <c r="AD882" s="11" t="str">
        <f>IFERROR(IF(MARÍTIMOS[[#This Row],[Etapa Despacho - Mitad de Carga]]="","",MARÍTIMOS[[#This Row],[Etapa Despacho - Mitad de Carga]]),"")</f>
        <v/>
      </c>
      <c r="AE882" s="11" t="str">
        <f>IFERROR(IF(MARÍTIMOS[[#This Row],[Etapa Despacho - Fin de Carga]]="","",MARÍTIMOS[[#This Row],[Etapa Despacho - Fin de Carga]]),"")</f>
        <v/>
      </c>
      <c r="AF882" s="2" t="str">
        <f>IFERROR(IF(MARÍTIMOS[[#This Row],[Puerto de Embarque]]="","",MARÍTIMOS[[#This Row],[Puerto de Embarque]]),"")</f>
        <v/>
      </c>
      <c r="AG882" s="2" t="str">
        <f>IFERROR(IF(MARÍTIMOS[[#This Row],[Almacén de Ingreso]]="","",MARÍTIMOS[[#This Row],[Almacén de Ingreso]]),"")</f>
        <v/>
      </c>
      <c r="AH882" s="11" t="str">
        <f>IFERROR(IF(MARÍTIMOS[[#This Row],[Etapa Ingreso - Cita]]="","",MARÍTIMOS[[#This Row],[Etapa Ingreso - Cita]]),"")</f>
        <v/>
      </c>
      <c r="AI882" s="11" t="str">
        <f>IFERROR(IF(MARÍTIMOS[[#This Row],[Etapa Ingreso - Llegada]]="","",MARÍTIMOS[[#This Row],[Etapa Ingreso - Llegada]]),"")</f>
        <v/>
      </c>
      <c r="AJ882" s="11" t="str">
        <f>IFERROR(IF(MARÍTIMOS[[#This Row],[Etapa Ingreso - Ingeso]]="","",MARÍTIMOS[[#This Row],[Etapa Ingreso - Ingeso]]),"")</f>
        <v/>
      </c>
      <c r="AK882" s="11" t="str">
        <f>IFERROR(IF(MARÍTIMOS[[#This Row],[Etapa Ingreso - Atención]]="","",MARÍTIMOS[[#This Row],[Etapa Ingreso - Atención]]),"")</f>
        <v/>
      </c>
      <c r="AL882" s="11" t="str">
        <f>IFERROR(IF(MARÍTIMOS[[#This Row],[Etapa Ingreso - Salida]]="","",MARÍTIMOS[[#This Row],[Etapa Ingreso - Salida]]),"")</f>
        <v/>
      </c>
      <c r="AM882" s="2" t="str">
        <f>IFERROR(IF(MARÍTIMOS[[#This Row],[FCL]]="","",MARÍTIMOS[[#This Row],[FCL]]),"")</f>
        <v/>
      </c>
      <c r="AN8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2" s="4" t="str" cm="1">
        <f t="array" ref="AO8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2" s="5" t="str">
        <f>IFERROR(OLDBD[[#This Row],[Llegada a packing]]-OLDBD[[#This Row],[Inicio de Ruta]],"")</f>
        <v/>
      </c>
      <c r="AQ882" s="6" t="str">
        <f>IFERROR(OLDBD[[#This Row],[Inicio de Ruta]]-OLDBD[[#This Row],[Salida de almacén de retiro]],"")</f>
        <v/>
      </c>
      <c r="AR8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2" s="8" t="str" cm="1">
        <f t="array" ref="AS8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2" s="9" t="str">
        <f>IFERROR(OLDBD[[#This Row],[Ingreso Packing]]-OLDBD[[#This Row],[Registro en Packing]],"")</f>
        <v/>
      </c>
      <c r="AV882" s="9" t="str">
        <f>IFERROR(OLDBD[[#This Row],[Ingreso Packing]]-OLDBD[[#This Row],[Llegada a packing]],"")</f>
        <v/>
      </c>
      <c r="AW8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2" s="5" t="str">
        <f>IFERROR(OLDBD[[#This Row],[Llegada Almacén de Ingreso]]-OLDBD[[#This Row],[Salida Packing]],"")</f>
        <v/>
      </c>
      <c r="AY882" s="4" t="str" cm="1">
        <f t="array" ref="AY8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2" s="43" t="s">
        <v>173</v>
      </c>
      <c r="BB882" s="47" t="str">
        <f>IFERROR(IF(MARÍTIMOS[[#This Row],[Estatus]]="","",MARÍTIMOS[[#This Row],[Estatus]]),"")</f>
        <v/>
      </c>
      <c r="BC882" s="43"/>
      <c r="BD882" s="46" t="str">
        <f>IFERROR(OLDBD[[#This Row],[Salida de almacén de retiro]]-OLDBD[[#This Row],[Ingreso Almacén de retiro]],"")</f>
        <v/>
      </c>
      <c r="BE882" s="46" t="str">
        <f>IFERROR(OLDBD[[#This Row],[Fin de Carga]]-OLDBD[[#This Row],[Inicio de Carga]],"")</f>
        <v/>
      </c>
    </row>
    <row r="883" spans="1:57" customFormat="1" hidden="1">
      <c r="A883" s="1"/>
      <c r="B883" s="1" t="str">
        <f>IFERROR(IF(MARÍTIMOS[[#This Row],[PP]]="","",MARÍTIMOS[[#This Row],[PP]]),"")</f>
        <v/>
      </c>
      <c r="C883" s="1" t="str">
        <f>IFERROR(IF(MARÍTIMOS[[#This Row],[Sede]]="","",MARÍTIMOS[[#This Row],[Sede]]),"")</f>
        <v/>
      </c>
      <c r="D883" s="1" t="str">
        <f>IFERROR(IF(MARÍTIMOS[[#This Row],[Instruction]]="","",MARÍTIMOS[[#This Row],[Instruction]]),"")</f>
        <v/>
      </c>
      <c r="E883" s="1"/>
      <c r="F883" s="2" t="str">
        <f>IFERROR(IF(MARÍTIMOS[[#This Row],[Transportista]]="","",MARÍTIMOS[[#This Row],[Transportista]]),"")</f>
        <v/>
      </c>
      <c r="G883" s="2" t="str">
        <f>IFERROR(IF(MARÍTIMOS[[#This Row],[Tercero]]="","",MARÍTIMOS[[#This Row],[Tercero]]),"")</f>
        <v/>
      </c>
      <c r="H883" s="2" t="str">
        <f>IFERROR(IF(MARÍTIMOS[[#This Row],[Razón Social]]="","",MARÍTIMOS[[#This Row],[Razón Social]]),"")</f>
        <v/>
      </c>
      <c r="I883" s="2" t="str">
        <f>IFERROR(IF(MARÍTIMOS[[#This Row],[RUC]]="","",MARÍTIMOS[[#This Row],[RUC]]),"")</f>
        <v/>
      </c>
      <c r="J883" s="2" t="str">
        <f>IFERROR(IF(MARÍTIMOS[[#This Row],[Placa Tracto]]="","",MARÍTIMOS[[#This Row],[Placa Tracto]]),"")</f>
        <v/>
      </c>
      <c r="K883" s="2" t="str">
        <f>IFERROR(IF(MARÍTIMOS[[#This Row],[Placa Carreta]]="","",MARÍTIMOS[[#This Row],[Placa Carreta]]),"")</f>
        <v/>
      </c>
      <c r="L883" s="44" t="str">
        <f>IFERROR(IF(MARÍTIMOS[[#This Row],[Conductor]]="","",MARÍTIMOS[[#This Row],[Conductor]]),"")</f>
        <v/>
      </c>
      <c r="M883" s="2" t="str">
        <f>IFERROR(IF(MARÍTIMOS[[#This Row],[Licencia]]="","",MARÍTIMOS[[#This Row],[Licencia]]),"")</f>
        <v/>
      </c>
      <c r="N883" s="2" t="str">
        <f>IFERROR(IF(MARÍTIMOS[[#This Row],[Número de Contacto]]="","",MARÍTIMOS[[#This Row],[Número de Contacto]]),"")</f>
        <v/>
      </c>
      <c r="O883" s="10" t="str">
        <f>IFERROR(IF(MARÍTIMOS[[#This Row],[Booking|AWB|CRT]]="","",MARÍTIMOS[[#This Row],[Booking|AWB|CRT]]),"")</f>
        <v/>
      </c>
      <c r="P883" s="2" t="str">
        <f>IFERROR(IF(MARÍTIMOS[[#This Row],[Contenedor]]="","",MARÍTIMOS[[#This Row],[Contenedor]]),"")</f>
        <v/>
      </c>
      <c r="Q883" s="2" t="str">
        <f>IFERROR(IF(MARÍTIMOS[[#This Row],[Puerto de Retiro]]="","",MARÍTIMOS[[#This Row],[Puerto de Retiro]]),"")</f>
        <v/>
      </c>
      <c r="R883" s="2" t="str">
        <f>IFERROR(IF(MARÍTIMOS[[#This Row],[Almacén de Retiro]]="","",MARÍTIMOS[[#This Row],[Almacén de Retiro]]),"")</f>
        <v/>
      </c>
      <c r="S883" s="11" t="str">
        <f>IFERROR(IF(MARÍTIMOS[[#This Row],[Etapa Retiro - Cita]]="","",MARÍTIMOS[[#This Row],[Etapa Retiro - Cita]]),"")</f>
        <v/>
      </c>
      <c r="T883" s="11" t="str">
        <f>IFERROR(IF(MARÍTIMOS[[#This Row],[Etapa Retiro - Llegada]]="","",MARÍTIMOS[[#This Row],[Etapa Retiro - Llegada]]),"")</f>
        <v/>
      </c>
      <c r="U883" s="11" t="str">
        <f>IFERROR(IF(MARÍTIMOS[[#This Row],[Etapa Retiro - Ingreso]]="","",MARÍTIMOS[[#This Row],[Etapa Retiro - Ingreso]]),"")</f>
        <v/>
      </c>
      <c r="V883" s="11" t="str">
        <f>IFERROR(IF(MARÍTIMOS[[#This Row],[Etapa Retiro - Atención]]="","",MARÍTIMOS[[#This Row],[Etapa Retiro - Atención]]),"")</f>
        <v/>
      </c>
      <c r="W883" s="11" t="str">
        <f>IFERROR(IF(MARÍTIMOS[[#This Row],[Etapa Retiro - Atención]]="","",MARÍTIMOS[[#This Row],[Etapa Retiro - Atención]]),"")</f>
        <v/>
      </c>
      <c r="X883" s="11" t="str">
        <f>IFERROR(IF(MARÍTIMOS[[#This Row],[Etapa Retiro - Inicio de Ruta]]="","",MARÍTIMOS[[#This Row],[Etapa Retiro - Inicio de Ruta]]),"")</f>
        <v/>
      </c>
      <c r="Y883" s="11" t="str">
        <f>IFERROR(IF(MARÍTIMOS[[#This Row],[Hora de Posicionamiento]]="","",MARÍTIMOS[[#This Row],[Fecha de Carga]]+MARÍTIMOS[[#This Row],[Hora de Posicionamiento]]),"")</f>
        <v/>
      </c>
      <c r="Z883" s="11" t="str">
        <f>IFERROR(IF(MARÍTIMOS[[#This Row],[Etapa Despacho - Llegada]]="","",MARÍTIMOS[[#This Row],[Etapa Despacho - Llegada]]),"")</f>
        <v/>
      </c>
      <c r="AA883" s="11" t="str">
        <f>IFERROR(IF(MARÍTIMOS[[#This Row],[Etapa Despacho - Registro]]="","",MARÍTIMOS[[#This Row],[Etapa Despacho - Registro]]),"")</f>
        <v/>
      </c>
      <c r="AB883" s="11" t="str">
        <f>IFERROR(IF(MARÍTIMOS[[#This Row],[Inspección Externa]]="","",MARÍTIMOS[[#This Row],[Inspección Externa]]),"")</f>
        <v/>
      </c>
      <c r="AC883" s="11" t="str">
        <f>IFERROR(IF(MARÍTIMOS[[#This Row],[Etapa Despacho - Inicio de Carga]]="","",MARÍTIMOS[[#This Row],[Etapa Despacho - Inicio de Carga]]),"")</f>
        <v/>
      </c>
      <c r="AD883" s="11" t="str">
        <f>IFERROR(IF(MARÍTIMOS[[#This Row],[Etapa Despacho - Mitad de Carga]]="","",MARÍTIMOS[[#This Row],[Etapa Despacho - Mitad de Carga]]),"")</f>
        <v/>
      </c>
      <c r="AE883" s="11" t="str">
        <f>IFERROR(IF(MARÍTIMOS[[#This Row],[Etapa Despacho - Fin de Carga]]="","",MARÍTIMOS[[#This Row],[Etapa Despacho - Fin de Carga]]),"")</f>
        <v/>
      </c>
      <c r="AF883" s="2" t="str">
        <f>IFERROR(IF(MARÍTIMOS[[#This Row],[Puerto de Embarque]]="","",MARÍTIMOS[[#This Row],[Puerto de Embarque]]),"")</f>
        <v/>
      </c>
      <c r="AG883" s="2" t="str">
        <f>IFERROR(IF(MARÍTIMOS[[#This Row],[Almacén de Ingreso]]="","",MARÍTIMOS[[#This Row],[Almacén de Ingreso]]),"")</f>
        <v/>
      </c>
      <c r="AH883" s="11" t="str">
        <f>IFERROR(IF(MARÍTIMOS[[#This Row],[Etapa Ingreso - Cita]]="","",MARÍTIMOS[[#This Row],[Etapa Ingreso - Cita]]),"")</f>
        <v/>
      </c>
      <c r="AI883" s="11" t="str">
        <f>IFERROR(IF(MARÍTIMOS[[#This Row],[Etapa Ingreso - Llegada]]="","",MARÍTIMOS[[#This Row],[Etapa Ingreso - Llegada]]),"")</f>
        <v/>
      </c>
      <c r="AJ883" s="11" t="str">
        <f>IFERROR(IF(MARÍTIMOS[[#This Row],[Etapa Ingreso - Ingeso]]="","",MARÍTIMOS[[#This Row],[Etapa Ingreso - Ingeso]]),"")</f>
        <v/>
      </c>
      <c r="AK883" s="11" t="str">
        <f>IFERROR(IF(MARÍTIMOS[[#This Row],[Etapa Ingreso - Atención]]="","",MARÍTIMOS[[#This Row],[Etapa Ingreso - Atención]]),"")</f>
        <v/>
      </c>
      <c r="AL883" s="11" t="str">
        <f>IFERROR(IF(MARÍTIMOS[[#This Row],[Etapa Ingreso - Salida]]="","",MARÍTIMOS[[#This Row],[Etapa Ingreso - Salida]]),"")</f>
        <v/>
      </c>
      <c r="AM883" s="2" t="str">
        <f>IFERROR(IF(MARÍTIMOS[[#This Row],[FCL]]="","",MARÍTIMOS[[#This Row],[FCL]]),"")</f>
        <v/>
      </c>
      <c r="AN8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3" s="4" t="str" cm="1">
        <f t="array" ref="AO8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3" s="5" t="str">
        <f>IFERROR(OLDBD[[#This Row],[Llegada a packing]]-OLDBD[[#This Row],[Inicio de Ruta]],"")</f>
        <v/>
      </c>
      <c r="AQ883" s="6" t="str">
        <f>IFERROR(OLDBD[[#This Row],[Inicio de Ruta]]-OLDBD[[#This Row],[Salida de almacén de retiro]],"")</f>
        <v/>
      </c>
      <c r="AR8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3" s="8" t="str" cm="1">
        <f t="array" ref="AS8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3" s="9" t="str">
        <f>IFERROR(OLDBD[[#This Row],[Ingreso Packing]]-OLDBD[[#This Row],[Registro en Packing]],"")</f>
        <v/>
      </c>
      <c r="AV883" s="9" t="str">
        <f>IFERROR(OLDBD[[#This Row],[Ingreso Packing]]-OLDBD[[#This Row],[Llegada a packing]],"")</f>
        <v/>
      </c>
      <c r="AW8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3" s="5" t="str">
        <f>IFERROR(OLDBD[[#This Row],[Llegada Almacén de Ingreso]]-OLDBD[[#This Row],[Salida Packing]],"")</f>
        <v/>
      </c>
      <c r="AY883" s="4" t="str" cm="1">
        <f t="array" ref="AY8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3" s="43" t="s">
        <v>173</v>
      </c>
      <c r="BB883" s="47" t="str">
        <f>IFERROR(IF(MARÍTIMOS[[#This Row],[Estatus]]="","",MARÍTIMOS[[#This Row],[Estatus]]),"")</f>
        <v/>
      </c>
      <c r="BC883" s="43"/>
      <c r="BD883" s="46" t="str">
        <f>IFERROR(OLDBD[[#This Row],[Salida de almacén de retiro]]-OLDBD[[#This Row],[Ingreso Almacén de retiro]],"")</f>
        <v/>
      </c>
      <c r="BE883" s="46" t="str">
        <f>IFERROR(OLDBD[[#This Row],[Fin de Carga]]-OLDBD[[#This Row],[Inicio de Carga]],"")</f>
        <v/>
      </c>
    </row>
    <row r="884" spans="1:57" customFormat="1" hidden="1">
      <c r="A884" s="1"/>
      <c r="B884" s="1" t="str">
        <f>IFERROR(IF(MARÍTIMOS[[#This Row],[PP]]="","",MARÍTIMOS[[#This Row],[PP]]),"")</f>
        <v/>
      </c>
      <c r="C884" s="1" t="str">
        <f>IFERROR(IF(MARÍTIMOS[[#This Row],[Sede]]="","",MARÍTIMOS[[#This Row],[Sede]]),"")</f>
        <v/>
      </c>
      <c r="D884" s="1" t="str">
        <f>IFERROR(IF(MARÍTIMOS[[#This Row],[Instruction]]="","",MARÍTIMOS[[#This Row],[Instruction]]),"")</f>
        <v/>
      </c>
      <c r="E884" s="1"/>
      <c r="F884" s="2" t="str">
        <f>IFERROR(IF(MARÍTIMOS[[#This Row],[Transportista]]="","",MARÍTIMOS[[#This Row],[Transportista]]),"")</f>
        <v/>
      </c>
      <c r="G884" s="2" t="str">
        <f>IFERROR(IF(MARÍTIMOS[[#This Row],[Tercero]]="","",MARÍTIMOS[[#This Row],[Tercero]]),"")</f>
        <v/>
      </c>
      <c r="H884" s="2" t="str">
        <f>IFERROR(IF(MARÍTIMOS[[#This Row],[Razón Social]]="","",MARÍTIMOS[[#This Row],[Razón Social]]),"")</f>
        <v/>
      </c>
      <c r="I884" s="2" t="str">
        <f>IFERROR(IF(MARÍTIMOS[[#This Row],[RUC]]="","",MARÍTIMOS[[#This Row],[RUC]]),"")</f>
        <v/>
      </c>
      <c r="J884" s="2" t="str">
        <f>IFERROR(IF(MARÍTIMOS[[#This Row],[Placa Tracto]]="","",MARÍTIMOS[[#This Row],[Placa Tracto]]),"")</f>
        <v/>
      </c>
      <c r="K884" s="2" t="str">
        <f>IFERROR(IF(MARÍTIMOS[[#This Row],[Placa Carreta]]="","",MARÍTIMOS[[#This Row],[Placa Carreta]]),"")</f>
        <v/>
      </c>
      <c r="L884" s="44" t="str">
        <f>IFERROR(IF(MARÍTIMOS[[#This Row],[Conductor]]="","",MARÍTIMOS[[#This Row],[Conductor]]),"")</f>
        <v/>
      </c>
      <c r="M884" s="2" t="str">
        <f>IFERROR(IF(MARÍTIMOS[[#This Row],[Licencia]]="","",MARÍTIMOS[[#This Row],[Licencia]]),"")</f>
        <v/>
      </c>
      <c r="N884" s="2" t="str">
        <f>IFERROR(IF(MARÍTIMOS[[#This Row],[Número de Contacto]]="","",MARÍTIMOS[[#This Row],[Número de Contacto]]),"")</f>
        <v/>
      </c>
      <c r="O884" s="10" t="str">
        <f>IFERROR(IF(MARÍTIMOS[[#This Row],[Booking|AWB|CRT]]="","",MARÍTIMOS[[#This Row],[Booking|AWB|CRT]]),"")</f>
        <v/>
      </c>
      <c r="P884" s="2" t="str">
        <f>IFERROR(IF(MARÍTIMOS[[#This Row],[Contenedor]]="","",MARÍTIMOS[[#This Row],[Contenedor]]),"")</f>
        <v/>
      </c>
      <c r="Q884" s="2" t="str">
        <f>IFERROR(IF(MARÍTIMOS[[#This Row],[Puerto de Retiro]]="","",MARÍTIMOS[[#This Row],[Puerto de Retiro]]),"")</f>
        <v/>
      </c>
      <c r="R884" s="2" t="str">
        <f>IFERROR(IF(MARÍTIMOS[[#This Row],[Almacén de Retiro]]="","",MARÍTIMOS[[#This Row],[Almacén de Retiro]]),"")</f>
        <v/>
      </c>
      <c r="S884" s="11" t="str">
        <f>IFERROR(IF(MARÍTIMOS[[#This Row],[Etapa Retiro - Cita]]="","",MARÍTIMOS[[#This Row],[Etapa Retiro - Cita]]),"")</f>
        <v/>
      </c>
      <c r="T884" s="11" t="str">
        <f>IFERROR(IF(MARÍTIMOS[[#This Row],[Etapa Retiro - Llegada]]="","",MARÍTIMOS[[#This Row],[Etapa Retiro - Llegada]]),"")</f>
        <v/>
      </c>
      <c r="U884" s="11" t="str">
        <f>IFERROR(IF(MARÍTIMOS[[#This Row],[Etapa Retiro - Ingreso]]="","",MARÍTIMOS[[#This Row],[Etapa Retiro - Ingreso]]),"")</f>
        <v/>
      </c>
      <c r="V884" s="11" t="str">
        <f>IFERROR(IF(MARÍTIMOS[[#This Row],[Etapa Retiro - Atención]]="","",MARÍTIMOS[[#This Row],[Etapa Retiro - Atención]]),"")</f>
        <v/>
      </c>
      <c r="W884" s="11" t="str">
        <f>IFERROR(IF(MARÍTIMOS[[#This Row],[Etapa Retiro - Atención]]="","",MARÍTIMOS[[#This Row],[Etapa Retiro - Atención]]),"")</f>
        <v/>
      </c>
      <c r="X884" s="11" t="str">
        <f>IFERROR(IF(MARÍTIMOS[[#This Row],[Etapa Retiro - Inicio de Ruta]]="","",MARÍTIMOS[[#This Row],[Etapa Retiro - Inicio de Ruta]]),"")</f>
        <v/>
      </c>
      <c r="Y884" s="11" t="str">
        <f>IFERROR(IF(MARÍTIMOS[[#This Row],[Hora de Posicionamiento]]="","",MARÍTIMOS[[#This Row],[Fecha de Carga]]+MARÍTIMOS[[#This Row],[Hora de Posicionamiento]]),"")</f>
        <v/>
      </c>
      <c r="Z884" s="11" t="str">
        <f>IFERROR(IF(MARÍTIMOS[[#This Row],[Etapa Despacho - Llegada]]="","",MARÍTIMOS[[#This Row],[Etapa Despacho - Llegada]]),"")</f>
        <v/>
      </c>
      <c r="AA884" s="11" t="str">
        <f>IFERROR(IF(MARÍTIMOS[[#This Row],[Etapa Despacho - Registro]]="","",MARÍTIMOS[[#This Row],[Etapa Despacho - Registro]]),"")</f>
        <v/>
      </c>
      <c r="AB884" s="11" t="str">
        <f>IFERROR(IF(MARÍTIMOS[[#This Row],[Inspección Externa]]="","",MARÍTIMOS[[#This Row],[Inspección Externa]]),"")</f>
        <v/>
      </c>
      <c r="AC884" s="11" t="str">
        <f>IFERROR(IF(MARÍTIMOS[[#This Row],[Etapa Despacho - Inicio de Carga]]="","",MARÍTIMOS[[#This Row],[Etapa Despacho - Inicio de Carga]]),"")</f>
        <v/>
      </c>
      <c r="AD884" s="11" t="str">
        <f>IFERROR(IF(MARÍTIMOS[[#This Row],[Etapa Despacho - Mitad de Carga]]="","",MARÍTIMOS[[#This Row],[Etapa Despacho - Mitad de Carga]]),"")</f>
        <v/>
      </c>
      <c r="AE884" s="11" t="str">
        <f>IFERROR(IF(MARÍTIMOS[[#This Row],[Etapa Despacho - Fin de Carga]]="","",MARÍTIMOS[[#This Row],[Etapa Despacho - Fin de Carga]]),"")</f>
        <v/>
      </c>
      <c r="AF884" s="2" t="str">
        <f>IFERROR(IF(MARÍTIMOS[[#This Row],[Puerto de Embarque]]="","",MARÍTIMOS[[#This Row],[Puerto de Embarque]]),"")</f>
        <v/>
      </c>
      <c r="AG884" s="2" t="str">
        <f>IFERROR(IF(MARÍTIMOS[[#This Row],[Almacén de Ingreso]]="","",MARÍTIMOS[[#This Row],[Almacén de Ingreso]]),"")</f>
        <v/>
      </c>
      <c r="AH884" s="11" t="str">
        <f>IFERROR(IF(MARÍTIMOS[[#This Row],[Etapa Ingreso - Cita]]="","",MARÍTIMOS[[#This Row],[Etapa Ingreso - Cita]]),"")</f>
        <v/>
      </c>
      <c r="AI884" s="11" t="str">
        <f>IFERROR(IF(MARÍTIMOS[[#This Row],[Etapa Ingreso - Llegada]]="","",MARÍTIMOS[[#This Row],[Etapa Ingreso - Llegada]]),"")</f>
        <v/>
      </c>
      <c r="AJ884" s="11" t="str">
        <f>IFERROR(IF(MARÍTIMOS[[#This Row],[Etapa Ingreso - Ingeso]]="","",MARÍTIMOS[[#This Row],[Etapa Ingreso - Ingeso]]),"")</f>
        <v/>
      </c>
      <c r="AK884" s="11" t="str">
        <f>IFERROR(IF(MARÍTIMOS[[#This Row],[Etapa Ingreso - Atención]]="","",MARÍTIMOS[[#This Row],[Etapa Ingreso - Atención]]),"")</f>
        <v/>
      </c>
      <c r="AL884" s="11" t="str">
        <f>IFERROR(IF(MARÍTIMOS[[#This Row],[Etapa Ingreso - Salida]]="","",MARÍTIMOS[[#This Row],[Etapa Ingreso - Salida]]),"")</f>
        <v/>
      </c>
      <c r="AM884" s="2" t="str">
        <f>IFERROR(IF(MARÍTIMOS[[#This Row],[FCL]]="","",MARÍTIMOS[[#This Row],[FCL]]),"")</f>
        <v/>
      </c>
      <c r="AN8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4" s="4" t="str" cm="1">
        <f t="array" ref="AO8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4" s="5" t="str">
        <f>IFERROR(OLDBD[[#This Row],[Llegada a packing]]-OLDBD[[#This Row],[Inicio de Ruta]],"")</f>
        <v/>
      </c>
      <c r="AQ884" s="6" t="str">
        <f>IFERROR(OLDBD[[#This Row],[Inicio de Ruta]]-OLDBD[[#This Row],[Salida de almacén de retiro]],"")</f>
        <v/>
      </c>
      <c r="AR8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4" s="8" t="str" cm="1">
        <f t="array" ref="AS8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4" s="9" t="str">
        <f>IFERROR(OLDBD[[#This Row],[Ingreso Packing]]-OLDBD[[#This Row],[Registro en Packing]],"")</f>
        <v/>
      </c>
      <c r="AV884" s="9" t="str">
        <f>IFERROR(OLDBD[[#This Row],[Ingreso Packing]]-OLDBD[[#This Row],[Llegada a packing]],"")</f>
        <v/>
      </c>
      <c r="AW8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4" s="5" t="str">
        <f>IFERROR(OLDBD[[#This Row],[Llegada Almacén de Ingreso]]-OLDBD[[#This Row],[Salida Packing]],"")</f>
        <v/>
      </c>
      <c r="AY884" s="4" t="str" cm="1">
        <f t="array" ref="AY8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4" s="43" t="s">
        <v>173</v>
      </c>
      <c r="BB884" s="47" t="str">
        <f>IFERROR(IF(MARÍTIMOS[[#This Row],[Estatus]]="","",MARÍTIMOS[[#This Row],[Estatus]]),"")</f>
        <v/>
      </c>
      <c r="BC884" s="43"/>
      <c r="BD884" s="46" t="str">
        <f>IFERROR(OLDBD[[#This Row],[Salida de almacén de retiro]]-OLDBD[[#This Row],[Ingreso Almacén de retiro]],"")</f>
        <v/>
      </c>
      <c r="BE884" s="46" t="str">
        <f>IFERROR(OLDBD[[#This Row],[Fin de Carga]]-OLDBD[[#This Row],[Inicio de Carga]],"")</f>
        <v/>
      </c>
    </row>
    <row r="885" spans="1:57" customFormat="1" hidden="1">
      <c r="A885" s="1"/>
      <c r="B885" s="1" t="str">
        <f>IFERROR(IF(MARÍTIMOS[[#This Row],[PP]]="","",MARÍTIMOS[[#This Row],[PP]]),"")</f>
        <v/>
      </c>
      <c r="C885" s="1" t="str">
        <f>IFERROR(IF(MARÍTIMOS[[#This Row],[Sede]]="","",MARÍTIMOS[[#This Row],[Sede]]),"")</f>
        <v/>
      </c>
      <c r="D885" s="1" t="str">
        <f>IFERROR(IF(MARÍTIMOS[[#This Row],[Instruction]]="","",MARÍTIMOS[[#This Row],[Instruction]]),"")</f>
        <v/>
      </c>
      <c r="E885" s="1"/>
      <c r="F885" s="2" t="str">
        <f>IFERROR(IF(MARÍTIMOS[[#This Row],[Transportista]]="","",MARÍTIMOS[[#This Row],[Transportista]]),"")</f>
        <v/>
      </c>
      <c r="G885" s="2" t="str">
        <f>IFERROR(IF(MARÍTIMOS[[#This Row],[Tercero]]="","",MARÍTIMOS[[#This Row],[Tercero]]),"")</f>
        <v/>
      </c>
      <c r="H885" s="2" t="str">
        <f>IFERROR(IF(MARÍTIMOS[[#This Row],[Razón Social]]="","",MARÍTIMOS[[#This Row],[Razón Social]]),"")</f>
        <v/>
      </c>
      <c r="I885" s="2" t="str">
        <f>IFERROR(IF(MARÍTIMOS[[#This Row],[RUC]]="","",MARÍTIMOS[[#This Row],[RUC]]),"")</f>
        <v/>
      </c>
      <c r="J885" s="2" t="str">
        <f>IFERROR(IF(MARÍTIMOS[[#This Row],[Placa Tracto]]="","",MARÍTIMOS[[#This Row],[Placa Tracto]]),"")</f>
        <v/>
      </c>
      <c r="K885" s="2" t="str">
        <f>IFERROR(IF(MARÍTIMOS[[#This Row],[Placa Carreta]]="","",MARÍTIMOS[[#This Row],[Placa Carreta]]),"")</f>
        <v/>
      </c>
      <c r="L885" s="44" t="str">
        <f>IFERROR(IF(MARÍTIMOS[[#This Row],[Conductor]]="","",MARÍTIMOS[[#This Row],[Conductor]]),"")</f>
        <v/>
      </c>
      <c r="M885" s="2" t="str">
        <f>IFERROR(IF(MARÍTIMOS[[#This Row],[Licencia]]="","",MARÍTIMOS[[#This Row],[Licencia]]),"")</f>
        <v/>
      </c>
      <c r="N885" s="2" t="str">
        <f>IFERROR(IF(MARÍTIMOS[[#This Row],[Número de Contacto]]="","",MARÍTIMOS[[#This Row],[Número de Contacto]]),"")</f>
        <v/>
      </c>
      <c r="O885" s="10" t="str">
        <f>IFERROR(IF(MARÍTIMOS[[#This Row],[Booking|AWB|CRT]]="","",MARÍTIMOS[[#This Row],[Booking|AWB|CRT]]),"")</f>
        <v/>
      </c>
      <c r="P885" s="2" t="str">
        <f>IFERROR(IF(MARÍTIMOS[[#This Row],[Contenedor]]="","",MARÍTIMOS[[#This Row],[Contenedor]]),"")</f>
        <v/>
      </c>
      <c r="Q885" s="2" t="str">
        <f>IFERROR(IF(MARÍTIMOS[[#This Row],[Puerto de Retiro]]="","",MARÍTIMOS[[#This Row],[Puerto de Retiro]]),"")</f>
        <v/>
      </c>
      <c r="R885" s="2" t="str">
        <f>IFERROR(IF(MARÍTIMOS[[#This Row],[Almacén de Retiro]]="","",MARÍTIMOS[[#This Row],[Almacén de Retiro]]),"")</f>
        <v/>
      </c>
      <c r="S885" s="11" t="str">
        <f>IFERROR(IF(MARÍTIMOS[[#This Row],[Etapa Retiro - Cita]]="","",MARÍTIMOS[[#This Row],[Etapa Retiro - Cita]]),"")</f>
        <v/>
      </c>
      <c r="T885" s="11" t="str">
        <f>IFERROR(IF(MARÍTIMOS[[#This Row],[Etapa Retiro - Llegada]]="","",MARÍTIMOS[[#This Row],[Etapa Retiro - Llegada]]),"")</f>
        <v/>
      </c>
      <c r="U885" s="11" t="str">
        <f>IFERROR(IF(MARÍTIMOS[[#This Row],[Etapa Retiro - Ingreso]]="","",MARÍTIMOS[[#This Row],[Etapa Retiro - Ingreso]]),"")</f>
        <v/>
      </c>
      <c r="V885" s="11" t="str">
        <f>IFERROR(IF(MARÍTIMOS[[#This Row],[Etapa Retiro - Atención]]="","",MARÍTIMOS[[#This Row],[Etapa Retiro - Atención]]),"")</f>
        <v/>
      </c>
      <c r="W885" s="11" t="str">
        <f>IFERROR(IF(MARÍTIMOS[[#This Row],[Etapa Retiro - Atención]]="","",MARÍTIMOS[[#This Row],[Etapa Retiro - Atención]]),"")</f>
        <v/>
      </c>
      <c r="X885" s="11" t="str">
        <f>IFERROR(IF(MARÍTIMOS[[#This Row],[Etapa Retiro - Inicio de Ruta]]="","",MARÍTIMOS[[#This Row],[Etapa Retiro - Inicio de Ruta]]),"")</f>
        <v/>
      </c>
      <c r="Y885" s="11" t="str">
        <f>IFERROR(IF(MARÍTIMOS[[#This Row],[Hora de Posicionamiento]]="","",MARÍTIMOS[[#This Row],[Fecha de Carga]]+MARÍTIMOS[[#This Row],[Hora de Posicionamiento]]),"")</f>
        <v/>
      </c>
      <c r="Z885" s="11" t="str">
        <f>IFERROR(IF(MARÍTIMOS[[#This Row],[Etapa Despacho - Llegada]]="","",MARÍTIMOS[[#This Row],[Etapa Despacho - Llegada]]),"")</f>
        <v/>
      </c>
      <c r="AA885" s="11" t="str">
        <f>IFERROR(IF(MARÍTIMOS[[#This Row],[Etapa Despacho - Registro]]="","",MARÍTIMOS[[#This Row],[Etapa Despacho - Registro]]),"")</f>
        <v/>
      </c>
      <c r="AB885" s="11" t="str">
        <f>IFERROR(IF(MARÍTIMOS[[#This Row],[Inspección Externa]]="","",MARÍTIMOS[[#This Row],[Inspección Externa]]),"")</f>
        <v/>
      </c>
      <c r="AC885" s="11" t="str">
        <f>IFERROR(IF(MARÍTIMOS[[#This Row],[Etapa Despacho - Inicio de Carga]]="","",MARÍTIMOS[[#This Row],[Etapa Despacho - Inicio de Carga]]),"")</f>
        <v/>
      </c>
      <c r="AD885" s="11" t="str">
        <f>IFERROR(IF(MARÍTIMOS[[#This Row],[Etapa Despacho - Mitad de Carga]]="","",MARÍTIMOS[[#This Row],[Etapa Despacho - Mitad de Carga]]),"")</f>
        <v/>
      </c>
      <c r="AE885" s="11" t="str">
        <f>IFERROR(IF(MARÍTIMOS[[#This Row],[Etapa Despacho - Fin de Carga]]="","",MARÍTIMOS[[#This Row],[Etapa Despacho - Fin de Carga]]),"")</f>
        <v/>
      </c>
      <c r="AF885" s="2" t="str">
        <f>IFERROR(IF(MARÍTIMOS[[#This Row],[Puerto de Embarque]]="","",MARÍTIMOS[[#This Row],[Puerto de Embarque]]),"")</f>
        <v/>
      </c>
      <c r="AG885" s="2" t="str">
        <f>IFERROR(IF(MARÍTIMOS[[#This Row],[Almacén de Ingreso]]="","",MARÍTIMOS[[#This Row],[Almacén de Ingreso]]),"")</f>
        <v/>
      </c>
      <c r="AH885" s="11" t="str">
        <f>IFERROR(IF(MARÍTIMOS[[#This Row],[Etapa Ingreso - Cita]]="","",MARÍTIMOS[[#This Row],[Etapa Ingreso - Cita]]),"")</f>
        <v/>
      </c>
      <c r="AI885" s="11" t="str">
        <f>IFERROR(IF(MARÍTIMOS[[#This Row],[Etapa Ingreso - Llegada]]="","",MARÍTIMOS[[#This Row],[Etapa Ingreso - Llegada]]),"")</f>
        <v/>
      </c>
      <c r="AJ885" s="11" t="str">
        <f>IFERROR(IF(MARÍTIMOS[[#This Row],[Etapa Ingreso - Ingeso]]="","",MARÍTIMOS[[#This Row],[Etapa Ingreso - Ingeso]]),"")</f>
        <v/>
      </c>
      <c r="AK885" s="11" t="str">
        <f>IFERROR(IF(MARÍTIMOS[[#This Row],[Etapa Ingreso - Atención]]="","",MARÍTIMOS[[#This Row],[Etapa Ingreso - Atención]]),"")</f>
        <v/>
      </c>
      <c r="AL885" s="11" t="str">
        <f>IFERROR(IF(MARÍTIMOS[[#This Row],[Etapa Ingreso - Salida]]="","",MARÍTIMOS[[#This Row],[Etapa Ingreso - Salida]]),"")</f>
        <v/>
      </c>
      <c r="AM885" s="2" t="str">
        <f>IFERROR(IF(MARÍTIMOS[[#This Row],[FCL]]="","",MARÍTIMOS[[#This Row],[FCL]]),"")</f>
        <v/>
      </c>
      <c r="AN8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5" s="4" t="str" cm="1">
        <f t="array" ref="AO8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5" s="5" t="str">
        <f>IFERROR(OLDBD[[#This Row],[Llegada a packing]]-OLDBD[[#This Row],[Inicio de Ruta]],"")</f>
        <v/>
      </c>
      <c r="AQ885" s="6" t="str">
        <f>IFERROR(OLDBD[[#This Row],[Inicio de Ruta]]-OLDBD[[#This Row],[Salida de almacén de retiro]],"")</f>
        <v/>
      </c>
      <c r="AR8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5" s="8" t="str" cm="1">
        <f t="array" ref="AS8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5" s="9" t="str">
        <f>IFERROR(OLDBD[[#This Row],[Ingreso Packing]]-OLDBD[[#This Row],[Registro en Packing]],"")</f>
        <v/>
      </c>
      <c r="AV885" s="9" t="str">
        <f>IFERROR(OLDBD[[#This Row],[Ingreso Packing]]-OLDBD[[#This Row],[Llegada a packing]],"")</f>
        <v/>
      </c>
      <c r="AW8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5" s="5" t="str">
        <f>IFERROR(OLDBD[[#This Row],[Llegada Almacén de Ingreso]]-OLDBD[[#This Row],[Salida Packing]],"")</f>
        <v/>
      </c>
      <c r="AY885" s="4" t="str" cm="1">
        <f t="array" ref="AY8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5" s="43" t="s">
        <v>173</v>
      </c>
      <c r="BB885" s="47" t="str">
        <f>IFERROR(IF(MARÍTIMOS[[#This Row],[Estatus]]="","",MARÍTIMOS[[#This Row],[Estatus]]),"")</f>
        <v/>
      </c>
      <c r="BC885" s="43"/>
      <c r="BD885" s="46" t="str">
        <f>IFERROR(OLDBD[[#This Row],[Salida de almacén de retiro]]-OLDBD[[#This Row],[Ingreso Almacén de retiro]],"")</f>
        <v/>
      </c>
      <c r="BE885" s="46" t="str">
        <f>IFERROR(OLDBD[[#This Row],[Fin de Carga]]-OLDBD[[#This Row],[Inicio de Carga]],"")</f>
        <v/>
      </c>
    </row>
    <row r="886" spans="1:57" customFormat="1" hidden="1">
      <c r="A886" s="1"/>
      <c r="B886" s="1" t="str">
        <f>IFERROR(IF(MARÍTIMOS[[#This Row],[PP]]="","",MARÍTIMOS[[#This Row],[PP]]),"")</f>
        <v/>
      </c>
      <c r="C886" s="1" t="str">
        <f>IFERROR(IF(MARÍTIMOS[[#This Row],[Sede]]="","",MARÍTIMOS[[#This Row],[Sede]]),"")</f>
        <v/>
      </c>
      <c r="D886" s="1" t="str">
        <f>IFERROR(IF(MARÍTIMOS[[#This Row],[Instruction]]="","",MARÍTIMOS[[#This Row],[Instruction]]),"")</f>
        <v/>
      </c>
      <c r="E886" s="1"/>
      <c r="F886" s="2" t="str">
        <f>IFERROR(IF(MARÍTIMOS[[#This Row],[Transportista]]="","",MARÍTIMOS[[#This Row],[Transportista]]),"")</f>
        <v/>
      </c>
      <c r="G886" s="2" t="str">
        <f>IFERROR(IF(MARÍTIMOS[[#This Row],[Tercero]]="","",MARÍTIMOS[[#This Row],[Tercero]]),"")</f>
        <v/>
      </c>
      <c r="H886" s="2" t="str">
        <f>IFERROR(IF(MARÍTIMOS[[#This Row],[Razón Social]]="","",MARÍTIMOS[[#This Row],[Razón Social]]),"")</f>
        <v/>
      </c>
      <c r="I886" s="2" t="str">
        <f>IFERROR(IF(MARÍTIMOS[[#This Row],[RUC]]="","",MARÍTIMOS[[#This Row],[RUC]]),"")</f>
        <v/>
      </c>
      <c r="J886" s="2" t="str">
        <f>IFERROR(IF(MARÍTIMOS[[#This Row],[Placa Tracto]]="","",MARÍTIMOS[[#This Row],[Placa Tracto]]),"")</f>
        <v/>
      </c>
      <c r="K886" s="2" t="str">
        <f>IFERROR(IF(MARÍTIMOS[[#This Row],[Placa Carreta]]="","",MARÍTIMOS[[#This Row],[Placa Carreta]]),"")</f>
        <v/>
      </c>
      <c r="L886" s="44" t="str">
        <f>IFERROR(IF(MARÍTIMOS[[#This Row],[Conductor]]="","",MARÍTIMOS[[#This Row],[Conductor]]),"")</f>
        <v/>
      </c>
      <c r="M886" s="2" t="str">
        <f>IFERROR(IF(MARÍTIMOS[[#This Row],[Licencia]]="","",MARÍTIMOS[[#This Row],[Licencia]]),"")</f>
        <v/>
      </c>
      <c r="N886" s="2" t="str">
        <f>IFERROR(IF(MARÍTIMOS[[#This Row],[Número de Contacto]]="","",MARÍTIMOS[[#This Row],[Número de Contacto]]),"")</f>
        <v/>
      </c>
      <c r="O886" s="10" t="str">
        <f>IFERROR(IF(MARÍTIMOS[[#This Row],[Booking|AWB|CRT]]="","",MARÍTIMOS[[#This Row],[Booking|AWB|CRT]]),"")</f>
        <v/>
      </c>
      <c r="P886" s="2" t="str">
        <f>IFERROR(IF(MARÍTIMOS[[#This Row],[Contenedor]]="","",MARÍTIMOS[[#This Row],[Contenedor]]),"")</f>
        <v/>
      </c>
      <c r="Q886" s="2" t="str">
        <f>IFERROR(IF(MARÍTIMOS[[#This Row],[Puerto de Retiro]]="","",MARÍTIMOS[[#This Row],[Puerto de Retiro]]),"")</f>
        <v/>
      </c>
      <c r="R886" s="2" t="str">
        <f>IFERROR(IF(MARÍTIMOS[[#This Row],[Almacén de Retiro]]="","",MARÍTIMOS[[#This Row],[Almacén de Retiro]]),"")</f>
        <v/>
      </c>
      <c r="S886" s="11" t="str">
        <f>IFERROR(IF(MARÍTIMOS[[#This Row],[Etapa Retiro - Cita]]="","",MARÍTIMOS[[#This Row],[Etapa Retiro - Cita]]),"")</f>
        <v/>
      </c>
      <c r="T886" s="11" t="str">
        <f>IFERROR(IF(MARÍTIMOS[[#This Row],[Etapa Retiro - Llegada]]="","",MARÍTIMOS[[#This Row],[Etapa Retiro - Llegada]]),"")</f>
        <v/>
      </c>
      <c r="U886" s="11" t="str">
        <f>IFERROR(IF(MARÍTIMOS[[#This Row],[Etapa Retiro - Ingreso]]="","",MARÍTIMOS[[#This Row],[Etapa Retiro - Ingreso]]),"")</f>
        <v/>
      </c>
      <c r="V886" s="11" t="str">
        <f>IFERROR(IF(MARÍTIMOS[[#This Row],[Etapa Retiro - Atención]]="","",MARÍTIMOS[[#This Row],[Etapa Retiro - Atención]]),"")</f>
        <v/>
      </c>
      <c r="W886" s="11" t="str">
        <f>IFERROR(IF(MARÍTIMOS[[#This Row],[Etapa Retiro - Atención]]="","",MARÍTIMOS[[#This Row],[Etapa Retiro - Atención]]),"")</f>
        <v/>
      </c>
      <c r="X886" s="11" t="str">
        <f>IFERROR(IF(MARÍTIMOS[[#This Row],[Etapa Retiro - Inicio de Ruta]]="","",MARÍTIMOS[[#This Row],[Etapa Retiro - Inicio de Ruta]]),"")</f>
        <v/>
      </c>
      <c r="Y886" s="11" t="str">
        <f>IFERROR(IF(MARÍTIMOS[[#This Row],[Hora de Posicionamiento]]="","",MARÍTIMOS[[#This Row],[Fecha de Carga]]+MARÍTIMOS[[#This Row],[Hora de Posicionamiento]]),"")</f>
        <v/>
      </c>
      <c r="Z886" s="11" t="str">
        <f>IFERROR(IF(MARÍTIMOS[[#This Row],[Etapa Despacho - Llegada]]="","",MARÍTIMOS[[#This Row],[Etapa Despacho - Llegada]]),"")</f>
        <v/>
      </c>
      <c r="AA886" s="11" t="str">
        <f>IFERROR(IF(MARÍTIMOS[[#This Row],[Etapa Despacho - Registro]]="","",MARÍTIMOS[[#This Row],[Etapa Despacho - Registro]]),"")</f>
        <v/>
      </c>
      <c r="AB886" s="11" t="str">
        <f>IFERROR(IF(MARÍTIMOS[[#This Row],[Inspección Externa]]="","",MARÍTIMOS[[#This Row],[Inspección Externa]]),"")</f>
        <v/>
      </c>
      <c r="AC886" s="11" t="str">
        <f>IFERROR(IF(MARÍTIMOS[[#This Row],[Etapa Despacho - Inicio de Carga]]="","",MARÍTIMOS[[#This Row],[Etapa Despacho - Inicio de Carga]]),"")</f>
        <v/>
      </c>
      <c r="AD886" s="11" t="str">
        <f>IFERROR(IF(MARÍTIMOS[[#This Row],[Etapa Despacho - Mitad de Carga]]="","",MARÍTIMOS[[#This Row],[Etapa Despacho - Mitad de Carga]]),"")</f>
        <v/>
      </c>
      <c r="AE886" s="11" t="str">
        <f>IFERROR(IF(MARÍTIMOS[[#This Row],[Etapa Despacho - Fin de Carga]]="","",MARÍTIMOS[[#This Row],[Etapa Despacho - Fin de Carga]]),"")</f>
        <v/>
      </c>
      <c r="AF886" s="2" t="str">
        <f>IFERROR(IF(MARÍTIMOS[[#This Row],[Puerto de Embarque]]="","",MARÍTIMOS[[#This Row],[Puerto de Embarque]]),"")</f>
        <v/>
      </c>
      <c r="AG886" s="2" t="str">
        <f>IFERROR(IF(MARÍTIMOS[[#This Row],[Almacén de Ingreso]]="","",MARÍTIMOS[[#This Row],[Almacén de Ingreso]]),"")</f>
        <v/>
      </c>
      <c r="AH886" s="11" t="str">
        <f>IFERROR(IF(MARÍTIMOS[[#This Row],[Etapa Ingreso - Cita]]="","",MARÍTIMOS[[#This Row],[Etapa Ingreso - Cita]]),"")</f>
        <v/>
      </c>
      <c r="AI886" s="11" t="str">
        <f>IFERROR(IF(MARÍTIMOS[[#This Row],[Etapa Ingreso - Llegada]]="","",MARÍTIMOS[[#This Row],[Etapa Ingreso - Llegada]]),"")</f>
        <v/>
      </c>
      <c r="AJ886" s="11" t="str">
        <f>IFERROR(IF(MARÍTIMOS[[#This Row],[Etapa Ingreso - Ingeso]]="","",MARÍTIMOS[[#This Row],[Etapa Ingreso - Ingeso]]),"")</f>
        <v/>
      </c>
      <c r="AK886" s="11" t="str">
        <f>IFERROR(IF(MARÍTIMOS[[#This Row],[Etapa Ingreso - Atención]]="","",MARÍTIMOS[[#This Row],[Etapa Ingreso - Atención]]),"")</f>
        <v/>
      </c>
      <c r="AL886" s="11" t="str">
        <f>IFERROR(IF(MARÍTIMOS[[#This Row],[Etapa Ingreso - Salida]]="","",MARÍTIMOS[[#This Row],[Etapa Ingreso - Salida]]),"")</f>
        <v/>
      </c>
      <c r="AM886" s="2" t="str">
        <f>IFERROR(IF(MARÍTIMOS[[#This Row],[FCL]]="","",MARÍTIMOS[[#This Row],[FCL]]),"")</f>
        <v/>
      </c>
      <c r="AN8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6" s="4" t="str" cm="1">
        <f t="array" ref="AO8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6" s="5" t="str">
        <f>IFERROR(OLDBD[[#This Row],[Llegada a packing]]-OLDBD[[#This Row],[Inicio de Ruta]],"")</f>
        <v/>
      </c>
      <c r="AQ886" s="6" t="str">
        <f>IFERROR(OLDBD[[#This Row],[Inicio de Ruta]]-OLDBD[[#This Row],[Salida de almacén de retiro]],"")</f>
        <v/>
      </c>
      <c r="AR8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6" s="8" t="str" cm="1">
        <f t="array" ref="AS8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6" s="9" t="str">
        <f>IFERROR(OLDBD[[#This Row],[Ingreso Packing]]-OLDBD[[#This Row],[Registro en Packing]],"")</f>
        <v/>
      </c>
      <c r="AV886" s="9" t="str">
        <f>IFERROR(OLDBD[[#This Row],[Ingreso Packing]]-OLDBD[[#This Row],[Llegada a packing]],"")</f>
        <v/>
      </c>
      <c r="AW8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6" s="5" t="str">
        <f>IFERROR(OLDBD[[#This Row],[Llegada Almacén de Ingreso]]-OLDBD[[#This Row],[Salida Packing]],"")</f>
        <v/>
      </c>
      <c r="AY886" s="4" t="str" cm="1">
        <f t="array" ref="AY8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6" s="43" t="s">
        <v>173</v>
      </c>
      <c r="BB886" s="47" t="str">
        <f>IFERROR(IF(MARÍTIMOS[[#This Row],[Estatus]]="","",MARÍTIMOS[[#This Row],[Estatus]]),"")</f>
        <v/>
      </c>
      <c r="BC886" s="43"/>
      <c r="BD886" s="46" t="str">
        <f>IFERROR(OLDBD[[#This Row],[Salida de almacén de retiro]]-OLDBD[[#This Row],[Ingreso Almacén de retiro]],"")</f>
        <v/>
      </c>
      <c r="BE886" s="46" t="str">
        <f>IFERROR(OLDBD[[#This Row],[Fin de Carga]]-OLDBD[[#This Row],[Inicio de Carga]],"")</f>
        <v/>
      </c>
    </row>
    <row r="887" spans="1:57" customFormat="1" hidden="1">
      <c r="A887" s="1"/>
      <c r="B887" s="1" t="str">
        <f>IFERROR(IF(MARÍTIMOS[[#This Row],[PP]]="","",MARÍTIMOS[[#This Row],[PP]]),"")</f>
        <v/>
      </c>
      <c r="C887" s="1" t="str">
        <f>IFERROR(IF(MARÍTIMOS[[#This Row],[Sede]]="","",MARÍTIMOS[[#This Row],[Sede]]),"")</f>
        <v/>
      </c>
      <c r="D887" s="1" t="str">
        <f>IFERROR(IF(MARÍTIMOS[[#This Row],[Instruction]]="","",MARÍTIMOS[[#This Row],[Instruction]]),"")</f>
        <v/>
      </c>
      <c r="E887" s="1"/>
      <c r="F887" s="2" t="str">
        <f>IFERROR(IF(MARÍTIMOS[[#This Row],[Transportista]]="","",MARÍTIMOS[[#This Row],[Transportista]]),"")</f>
        <v/>
      </c>
      <c r="G887" s="2" t="str">
        <f>IFERROR(IF(MARÍTIMOS[[#This Row],[Tercero]]="","",MARÍTIMOS[[#This Row],[Tercero]]),"")</f>
        <v/>
      </c>
      <c r="H887" s="2" t="str">
        <f>IFERROR(IF(MARÍTIMOS[[#This Row],[Razón Social]]="","",MARÍTIMOS[[#This Row],[Razón Social]]),"")</f>
        <v/>
      </c>
      <c r="I887" s="2" t="str">
        <f>IFERROR(IF(MARÍTIMOS[[#This Row],[RUC]]="","",MARÍTIMOS[[#This Row],[RUC]]),"")</f>
        <v/>
      </c>
      <c r="J887" s="2" t="str">
        <f>IFERROR(IF(MARÍTIMOS[[#This Row],[Placa Tracto]]="","",MARÍTIMOS[[#This Row],[Placa Tracto]]),"")</f>
        <v/>
      </c>
      <c r="K887" s="2" t="str">
        <f>IFERROR(IF(MARÍTIMOS[[#This Row],[Placa Carreta]]="","",MARÍTIMOS[[#This Row],[Placa Carreta]]),"")</f>
        <v/>
      </c>
      <c r="L887" s="44" t="str">
        <f>IFERROR(IF(MARÍTIMOS[[#This Row],[Conductor]]="","",MARÍTIMOS[[#This Row],[Conductor]]),"")</f>
        <v/>
      </c>
      <c r="M887" s="2" t="str">
        <f>IFERROR(IF(MARÍTIMOS[[#This Row],[Licencia]]="","",MARÍTIMOS[[#This Row],[Licencia]]),"")</f>
        <v/>
      </c>
      <c r="N887" s="2" t="str">
        <f>IFERROR(IF(MARÍTIMOS[[#This Row],[Número de Contacto]]="","",MARÍTIMOS[[#This Row],[Número de Contacto]]),"")</f>
        <v/>
      </c>
      <c r="O887" s="10" t="str">
        <f>IFERROR(IF(MARÍTIMOS[[#This Row],[Booking|AWB|CRT]]="","",MARÍTIMOS[[#This Row],[Booking|AWB|CRT]]),"")</f>
        <v/>
      </c>
      <c r="P887" s="2" t="str">
        <f>IFERROR(IF(MARÍTIMOS[[#This Row],[Contenedor]]="","",MARÍTIMOS[[#This Row],[Contenedor]]),"")</f>
        <v/>
      </c>
      <c r="Q887" s="2" t="str">
        <f>IFERROR(IF(MARÍTIMOS[[#This Row],[Puerto de Retiro]]="","",MARÍTIMOS[[#This Row],[Puerto de Retiro]]),"")</f>
        <v/>
      </c>
      <c r="R887" s="2" t="str">
        <f>IFERROR(IF(MARÍTIMOS[[#This Row],[Almacén de Retiro]]="","",MARÍTIMOS[[#This Row],[Almacén de Retiro]]),"")</f>
        <v/>
      </c>
      <c r="S887" s="11" t="str">
        <f>IFERROR(IF(MARÍTIMOS[[#This Row],[Etapa Retiro - Cita]]="","",MARÍTIMOS[[#This Row],[Etapa Retiro - Cita]]),"")</f>
        <v/>
      </c>
      <c r="T887" s="11" t="str">
        <f>IFERROR(IF(MARÍTIMOS[[#This Row],[Etapa Retiro - Llegada]]="","",MARÍTIMOS[[#This Row],[Etapa Retiro - Llegada]]),"")</f>
        <v/>
      </c>
      <c r="U887" s="11" t="str">
        <f>IFERROR(IF(MARÍTIMOS[[#This Row],[Etapa Retiro - Ingreso]]="","",MARÍTIMOS[[#This Row],[Etapa Retiro - Ingreso]]),"")</f>
        <v/>
      </c>
      <c r="V887" s="11" t="str">
        <f>IFERROR(IF(MARÍTIMOS[[#This Row],[Etapa Retiro - Atención]]="","",MARÍTIMOS[[#This Row],[Etapa Retiro - Atención]]),"")</f>
        <v/>
      </c>
      <c r="W887" s="11" t="str">
        <f>IFERROR(IF(MARÍTIMOS[[#This Row],[Etapa Retiro - Atención]]="","",MARÍTIMOS[[#This Row],[Etapa Retiro - Atención]]),"")</f>
        <v/>
      </c>
      <c r="X887" s="11" t="str">
        <f>IFERROR(IF(MARÍTIMOS[[#This Row],[Etapa Retiro - Inicio de Ruta]]="","",MARÍTIMOS[[#This Row],[Etapa Retiro - Inicio de Ruta]]),"")</f>
        <v/>
      </c>
      <c r="Y887" s="11" t="str">
        <f>IFERROR(IF(MARÍTIMOS[[#This Row],[Hora de Posicionamiento]]="","",MARÍTIMOS[[#This Row],[Fecha de Carga]]+MARÍTIMOS[[#This Row],[Hora de Posicionamiento]]),"")</f>
        <v/>
      </c>
      <c r="Z887" s="11" t="str">
        <f>IFERROR(IF(MARÍTIMOS[[#This Row],[Etapa Despacho - Llegada]]="","",MARÍTIMOS[[#This Row],[Etapa Despacho - Llegada]]),"")</f>
        <v/>
      </c>
      <c r="AA887" s="11" t="str">
        <f>IFERROR(IF(MARÍTIMOS[[#This Row],[Etapa Despacho - Registro]]="","",MARÍTIMOS[[#This Row],[Etapa Despacho - Registro]]),"")</f>
        <v/>
      </c>
      <c r="AB887" s="11" t="str">
        <f>IFERROR(IF(MARÍTIMOS[[#This Row],[Inspección Externa]]="","",MARÍTIMOS[[#This Row],[Inspección Externa]]),"")</f>
        <v/>
      </c>
      <c r="AC887" s="11" t="str">
        <f>IFERROR(IF(MARÍTIMOS[[#This Row],[Etapa Despacho - Inicio de Carga]]="","",MARÍTIMOS[[#This Row],[Etapa Despacho - Inicio de Carga]]),"")</f>
        <v/>
      </c>
      <c r="AD887" s="11" t="str">
        <f>IFERROR(IF(MARÍTIMOS[[#This Row],[Etapa Despacho - Mitad de Carga]]="","",MARÍTIMOS[[#This Row],[Etapa Despacho - Mitad de Carga]]),"")</f>
        <v/>
      </c>
      <c r="AE887" s="11" t="str">
        <f>IFERROR(IF(MARÍTIMOS[[#This Row],[Etapa Despacho - Fin de Carga]]="","",MARÍTIMOS[[#This Row],[Etapa Despacho - Fin de Carga]]),"")</f>
        <v/>
      </c>
      <c r="AF887" s="2" t="str">
        <f>IFERROR(IF(MARÍTIMOS[[#This Row],[Puerto de Embarque]]="","",MARÍTIMOS[[#This Row],[Puerto de Embarque]]),"")</f>
        <v/>
      </c>
      <c r="AG887" s="2" t="str">
        <f>IFERROR(IF(MARÍTIMOS[[#This Row],[Almacén de Ingreso]]="","",MARÍTIMOS[[#This Row],[Almacén de Ingreso]]),"")</f>
        <v/>
      </c>
      <c r="AH887" s="11" t="str">
        <f>IFERROR(IF(MARÍTIMOS[[#This Row],[Etapa Ingreso - Cita]]="","",MARÍTIMOS[[#This Row],[Etapa Ingreso - Cita]]),"")</f>
        <v/>
      </c>
      <c r="AI887" s="11" t="str">
        <f>IFERROR(IF(MARÍTIMOS[[#This Row],[Etapa Ingreso - Llegada]]="","",MARÍTIMOS[[#This Row],[Etapa Ingreso - Llegada]]),"")</f>
        <v/>
      </c>
      <c r="AJ887" s="11" t="str">
        <f>IFERROR(IF(MARÍTIMOS[[#This Row],[Etapa Ingreso - Ingeso]]="","",MARÍTIMOS[[#This Row],[Etapa Ingreso - Ingeso]]),"")</f>
        <v/>
      </c>
      <c r="AK887" s="11" t="str">
        <f>IFERROR(IF(MARÍTIMOS[[#This Row],[Etapa Ingreso - Atención]]="","",MARÍTIMOS[[#This Row],[Etapa Ingreso - Atención]]),"")</f>
        <v/>
      </c>
      <c r="AL887" s="11" t="str">
        <f>IFERROR(IF(MARÍTIMOS[[#This Row],[Etapa Ingreso - Salida]]="","",MARÍTIMOS[[#This Row],[Etapa Ingreso - Salida]]),"")</f>
        <v/>
      </c>
      <c r="AM887" s="2" t="str">
        <f>IFERROR(IF(MARÍTIMOS[[#This Row],[FCL]]="","",MARÍTIMOS[[#This Row],[FCL]]),"")</f>
        <v/>
      </c>
      <c r="AN8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7" s="4" t="str" cm="1">
        <f t="array" ref="AO8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7" s="5" t="str">
        <f>IFERROR(OLDBD[[#This Row],[Llegada a packing]]-OLDBD[[#This Row],[Inicio de Ruta]],"")</f>
        <v/>
      </c>
      <c r="AQ887" s="6" t="str">
        <f>IFERROR(OLDBD[[#This Row],[Inicio de Ruta]]-OLDBD[[#This Row],[Salida de almacén de retiro]],"")</f>
        <v/>
      </c>
      <c r="AR8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7" s="8" t="str" cm="1">
        <f t="array" ref="AS8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7" s="9" t="str">
        <f>IFERROR(OLDBD[[#This Row],[Ingreso Packing]]-OLDBD[[#This Row],[Registro en Packing]],"")</f>
        <v/>
      </c>
      <c r="AV887" s="9" t="str">
        <f>IFERROR(OLDBD[[#This Row],[Ingreso Packing]]-OLDBD[[#This Row],[Llegada a packing]],"")</f>
        <v/>
      </c>
      <c r="AW8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7" s="5" t="str">
        <f>IFERROR(OLDBD[[#This Row],[Llegada Almacén de Ingreso]]-OLDBD[[#This Row],[Salida Packing]],"")</f>
        <v/>
      </c>
      <c r="AY887" s="4" t="str" cm="1">
        <f t="array" ref="AY8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7" s="43" t="s">
        <v>173</v>
      </c>
      <c r="BB887" s="47" t="str">
        <f>IFERROR(IF(MARÍTIMOS[[#This Row],[Estatus]]="","",MARÍTIMOS[[#This Row],[Estatus]]),"")</f>
        <v/>
      </c>
      <c r="BC887" s="43"/>
      <c r="BD887" s="46" t="str">
        <f>IFERROR(OLDBD[[#This Row],[Salida de almacén de retiro]]-OLDBD[[#This Row],[Ingreso Almacén de retiro]],"")</f>
        <v/>
      </c>
      <c r="BE887" s="46" t="str">
        <f>IFERROR(OLDBD[[#This Row],[Fin de Carga]]-OLDBD[[#This Row],[Inicio de Carga]],"")</f>
        <v/>
      </c>
    </row>
    <row r="888" spans="1:57" customFormat="1" hidden="1">
      <c r="A888" s="1"/>
      <c r="B888" s="1" t="str">
        <f>IFERROR(IF(MARÍTIMOS[[#This Row],[PP]]="","",MARÍTIMOS[[#This Row],[PP]]),"")</f>
        <v/>
      </c>
      <c r="C888" s="1" t="str">
        <f>IFERROR(IF(MARÍTIMOS[[#This Row],[Sede]]="","",MARÍTIMOS[[#This Row],[Sede]]),"")</f>
        <v/>
      </c>
      <c r="D888" s="1" t="str">
        <f>IFERROR(IF(MARÍTIMOS[[#This Row],[Instruction]]="","",MARÍTIMOS[[#This Row],[Instruction]]),"")</f>
        <v/>
      </c>
      <c r="E888" s="1"/>
      <c r="F888" s="2" t="str">
        <f>IFERROR(IF(MARÍTIMOS[[#This Row],[Transportista]]="","",MARÍTIMOS[[#This Row],[Transportista]]),"")</f>
        <v/>
      </c>
      <c r="G888" s="2" t="str">
        <f>IFERROR(IF(MARÍTIMOS[[#This Row],[Tercero]]="","",MARÍTIMOS[[#This Row],[Tercero]]),"")</f>
        <v/>
      </c>
      <c r="H888" s="2" t="str">
        <f>IFERROR(IF(MARÍTIMOS[[#This Row],[Razón Social]]="","",MARÍTIMOS[[#This Row],[Razón Social]]),"")</f>
        <v/>
      </c>
      <c r="I888" s="2" t="str">
        <f>IFERROR(IF(MARÍTIMOS[[#This Row],[RUC]]="","",MARÍTIMOS[[#This Row],[RUC]]),"")</f>
        <v/>
      </c>
      <c r="J888" s="2" t="str">
        <f>IFERROR(IF(MARÍTIMOS[[#This Row],[Placa Tracto]]="","",MARÍTIMOS[[#This Row],[Placa Tracto]]),"")</f>
        <v/>
      </c>
      <c r="K888" s="2" t="str">
        <f>IFERROR(IF(MARÍTIMOS[[#This Row],[Placa Carreta]]="","",MARÍTIMOS[[#This Row],[Placa Carreta]]),"")</f>
        <v/>
      </c>
      <c r="L888" s="44" t="str">
        <f>IFERROR(IF(MARÍTIMOS[[#This Row],[Conductor]]="","",MARÍTIMOS[[#This Row],[Conductor]]),"")</f>
        <v/>
      </c>
      <c r="M888" s="2" t="str">
        <f>IFERROR(IF(MARÍTIMOS[[#This Row],[Licencia]]="","",MARÍTIMOS[[#This Row],[Licencia]]),"")</f>
        <v/>
      </c>
      <c r="N888" s="2" t="str">
        <f>IFERROR(IF(MARÍTIMOS[[#This Row],[Número de Contacto]]="","",MARÍTIMOS[[#This Row],[Número de Contacto]]),"")</f>
        <v/>
      </c>
      <c r="O888" s="10" t="str">
        <f>IFERROR(IF(MARÍTIMOS[[#This Row],[Booking|AWB|CRT]]="","",MARÍTIMOS[[#This Row],[Booking|AWB|CRT]]),"")</f>
        <v/>
      </c>
      <c r="P888" s="2" t="str">
        <f>IFERROR(IF(MARÍTIMOS[[#This Row],[Contenedor]]="","",MARÍTIMOS[[#This Row],[Contenedor]]),"")</f>
        <v/>
      </c>
      <c r="Q888" s="2" t="str">
        <f>IFERROR(IF(MARÍTIMOS[[#This Row],[Puerto de Retiro]]="","",MARÍTIMOS[[#This Row],[Puerto de Retiro]]),"")</f>
        <v/>
      </c>
      <c r="R888" s="2" t="str">
        <f>IFERROR(IF(MARÍTIMOS[[#This Row],[Almacén de Retiro]]="","",MARÍTIMOS[[#This Row],[Almacén de Retiro]]),"")</f>
        <v/>
      </c>
      <c r="S888" s="11" t="str">
        <f>IFERROR(IF(MARÍTIMOS[[#This Row],[Etapa Retiro - Cita]]="","",MARÍTIMOS[[#This Row],[Etapa Retiro - Cita]]),"")</f>
        <v/>
      </c>
      <c r="T888" s="11" t="str">
        <f>IFERROR(IF(MARÍTIMOS[[#This Row],[Etapa Retiro - Llegada]]="","",MARÍTIMOS[[#This Row],[Etapa Retiro - Llegada]]),"")</f>
        <v/>
      </c>
      <c r="U888" s="11" t="str">
        <f>IFERROR(IF(MARÍTIMOS[[#This Row],[Etapa Retiro - Ingreso]]="","",MARÍTIMOS[[#This Row],[Etapa Retiro - Ingreso]]),"")</f>
        <v/>
      </c>
      <c r="V888" s="11" t="str">
        <f>IFERROR(IF(MARÍTIMOS[[#This Row],[Etapa Retiro - Atención]]="","",MARÍTIMOS[[#This Row],[Etapa Retiro - Atención]]),"")</f>
        <v/>
      </c>
      <c r="W888" s="11" t="str">
        <f>IFERROR(IF(MARÍTIMOS[[#This Row],[Etapa Retiro - Atención]]="","",MARÍTIMOS[[#This Row],[Etapa Retiro - Atención]]),"")</f>
        <v/>
      </c>
      <c r="X888" s="11" t="str">
        <f>IFERROR(IF(MARÍTIMOS[[#This Row],[Etapa Retiro - Inicio de Ruta]]="","",MARÍTIMOS[[#This Row],[Etapa Retiro - Inicio de Ruta]]),"")</f>
        <v/>
      </c>
      <c r="Y888" s="11" t="str">
        <f>IFERROR(IF(MARÍTIMOS[[#This Row],[Hora de Posicionamiento]]="","",MARÍTIMOS[[#This Row],[Fecha de Carga]]+MARÍTIMOS[[#This Row],[Hora de Posicionamiento]]),"")</f>
        <v/>
      </c>
      <c r="Z888" s="11" t="str">
        <f>IFERROR(IF(MARÍTIMOS[[#This Row],[Etapa Despacho - Llegada]]="","",MARÍTIMOS[[#This Row],[Etapa Despacho - Llegada]]),"")</f>
        <v/>
      </c>
      <c r="AA888" s="11" t="str">
        <f>IFERROR(IF(MARÍTIMOS[[#This Row],[Etapa Despacho - Registro]]="","",MARÍTIMOS[[#This Row],[Etapa Despacho - Registro]]),"")</f>
        <v/>
      </c>
      <c r="AB888" s="11" t="str">
        <f>IFERROR(IF(MARÍTIMOS[[#This Row],[Inspección Externa]]="","",MARÍTIMOS[[#This Row],[Inspección Externa]]),"")</f>
        <v/>
      </c>
      <c r="AC888" s="11" t="str">
        <f>IFERROR(IF(MARÍTIMOS[[#This Row],[Etapa Despacho - Inicio de Carga]]="","",MARÍTIMOS[[#This Row],[Etapa Despacho - Inicio de Carga]]),"")</f>
        <v/>
      </c>
      <c r="AD888" s="11" t="str">
        <f>IFERROR(IF(MARÍTIMOS[[#This Row],[Etapa Despacho - Mitad de Carga]]="","",MARÍTIMOS[[#This Row],[Etapa Despacho - Mitad de Carga]]),"")</f>
        <v/>
      </c>
      <c r="AE888" s="11" t="str">
        <f>IFERROR(IF(MARÍTIMOS[[#This Row],[Etapa Despacho - Fin de Carga]]="","",MARÍTIMOS[[#This Row],[Etapa Despacho - Fin de Carga]]),"")</f>
        <v/>
      </c>
      <c r="AF888" s="2" t="str">
        <f>IFERROR(IF(MARÍTIMOS[[#This Row],[Puerto de Embarque]]="","",MARÍTIMOS[[#This Row],[Puerto de Embarque]]),"")</f>
        <v/>
      </c>
      <c r="AG888" s="2" t="str">
        <f>IFERROR(IF(MARÍTIMOS[[#This Row],[Almacén de Ingreso]]="","",MARÍTIMOS[[#This Row],[Almacén de Ingreso]]),"")</f>
        <v/>
      </c>
      <c r="AH888" s="11" t="str">
        <f>IFERROR(IF(MARÍTIMOS[[#This Row],[Etapa Ingreso - Cita]]="","",MARÍTIMOS[[#This Row],[Etapa Ingreso - Cita]]),"")</f>
        <v/>
      </c>
      <c r="AI888" s="11" t="str">
        <f>IFERROR(IF(MARÍTIMOS[[#This Row],[Etapa Ingreso - Llegada]]="","",MARÍTIMOS[[#This Row],[Etapa Ingreso - Llegada]]),"")</f>
        <v/>
      </c>
      <c r="AJ888" s="11" t="str">
        <f>IFERROR(IF(MARÍTIMOS[[#This Row],[Etapa Ingreso - Ingeso]]="","",MARÍTIMOS[[#This Row],[Etapa Ingreso - Ingeso]]),"")</f>
        <v/>
      </c>
      <c r="AK888" s="11" t="str">
        <f>IFERROR(IF(MARÍTIMOS[[#This Row],[Etapa Ingreso - Atención]]="","",MARÍTIMOS[[#This Row],[Etapa Ingreso - Atención]]),"")</f>
        <v/>
      </c>
      <c r="AL888" s="11" t="str">
        <f>IFERROR(IF(MARÍTIMOS[[#This Row],[Etapa Ingreso - Salida]]="","",MARÍTIMOS[[#This Row],[Etapa Ingreso - Salida]]),"")</f>
        <v/>
      </c>
      <c r="AM888" s="2" t="str">
        <f>IFERROR(IF(MARÍTIMOS[[#This Row],[FCL]]="","",MARÍTIMOS[[#This Row],[FCL]]),"")</f>
        <v/>
      </c>
      <c r="AN8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8" s="4" t="str" cm="1">
        <f t="array" ref="AO8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8" s="5" t="str">
        <f>IFERROR(OLDBD[[#This Row],[Llegada a packing]]-OLDBD[[#This Row],[Inicio de Ruta]],"")</f>
        <v/>
      </c>
      <c r="AQ888" s="6" t="str">
        <f>IFERROR(OLDBD[[#This Row],[Inicio de Ruta]]-OLDBD[[#This Row],[Salida de almacén de retiro]],"")</f>
        <v/>
      </c>
      <c r="AR8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8" s="8" t="str" cm="1">
        <f t="array" ref="AS8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8" s="9" t="str">
        <f>IFERROR(OLDBD[[#This Row],[Ingreso Packing]]-OLDBD[[#This Row],[Registro en Packing]],"")</f>
        <v/>
      </c>
      <c r="AV888" s="9" t="str">
        <f>IFERROR(OLDBD[[#This Row],[Ingreso Packing]]-OLDBD[[#This Row],[Llegada a packing]],"")</f>
        <v/>
      </c>
      <c r="AW8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8" s="5" t="str">
        <f>IFERROR(OLDBD[[#This Row],[Llegada Almacén de Ingreso]]-OLDBD[[#This Row],[Salida Packing]],"")</f>
        <v/>
      </c>
      <c r="AY888" s="4" t="str" cm="1">
        <f t="array" ref="AY8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8" s="43" t="s">
        <v>173</v>
      </c>
      <c r="BB888" s="47" t="str">
        <f>IFERROR(IF(MARÍTIMOS[[#This Row],[Estatus]]="","",MARÍTIMOS[[#This Row],[Estatus]]),"")</f>
        <v/>
      </c>
      <c r="BC888" s="43"/>
      <c r="BD888" s="46" t="str">
        <f>IFERROR(OLDBD[[#This Row],[Salida de almacén de retiro]]-OLDBD[[#This Row],[Ingreso Almacén de retiro]],"")</f>
        <v/>
      </c>
      <c r="BE888" s="46" t="str">
        <f>IFERROR(OLDBD[[#This Row],[Fin de Carga]]-OLDBD[[#This Row],[Inicio de Carga]],"")</f>
        <v/>
      </c>
    </row>
    <row r="889" spans="1:57" customFormat="1" hidden="1">
      <c r="A889" s="1"/>
      <c r="B889" s="1" t="str">
        <f>IFERROR(IF(MARÍTIMOS[[#This Row],[PP]]="","",MARÍTIMOS[[#This Row],[PP]]),"")</f>
        <v/>
      </c>
      <c r="C889" s="1" t="str">
        <f>IFERROR(IF(MARÍTIMOS[[#This Row],[Sede]]="","",MARÍTIMOS[[#This Row],[Sede]]),"")</f>
        <v/>
      </c>
      <c r="D889" s="1" t="str">
        <f>IFERROR(IF(MARÍTIMOS[[#This Row],[Instruction]]="","",MARÍTIMOS[[#This Row],[Instruction]]),"")</f>
        <v/>
      </c>
      <c r="E889" s="1"/>
      <c r="F889" s="2" t="str">
        <f>IFERROR(IF(MARÍTIMOS[[#This Row],[Transportista]]="","",MARÍTIMOS[[#This Row],[Transportista]]),"")</f>
        <v/>
      </c>
      <c r="G889" s="2" t="str">
        <f>IFERROR(IF(MARÍTIMOS[[#This Row],[Tercero]]="","",MARÍTIMOS[[#This Row],[Tercero]]),"")</f>
        <v/>
      </c>
      <c r="H889" s="2" t="str">
        <f>IFERROR(IF(MARÍTIMOS[[#This Row],[Razón Social]]="","",MARÍTIMOS[[#This Row],[Razón Social]]),"")</f>
        <v/>
      </c>
      <c r="I889" s="2" t="str">
        <f>IFERROR(IF(MARÍTIMOS[[#This Row],[RUC]]="","",MARÍTIMOS[[#This Row],[RUC]]),"")</f>
        <v/>
      </c>
      <c r="J889" s="2" t="str">
        <f>IFERROR(IF(MARÍTIMOS[[#This Row],[Placa Tracto]]="","",MARÍTIMOS[[#This Row],[Placa Tracto]]),"")</f>
        <v/>
      </c>
      <c r="K889" s="2" t="str">
        <f>IFERROR(IF(MARÍTIMOS[[#This Row],[Placa Carreta]]="","",MARÍTIMOS[[#This Row],[Placa Carreta]]),"")</f>
        <v/>
      </c>
      <c r="L889" s="44" t="str">
        <f>IFERROR(IF(MARÍTIMOS[[#This Row],[Conductor]]="","",MARÍTIMOS[[#This Row],[Conductor]]),"")</f>
        <v/>
      </c>
      <c r="M889" s="2" t="str">
        <f>IFERROR(IF(MARÍTIMOS[[#This Row],[Licencia]]="","",MARÍTIMOS[[#This Row],[Licencia]]),"")</f>
        <v/>
      </c>
      <c r="N889" s="2" t="str">
        <f>IFERROR(IF(MARÍTIMOS[[#This Row],[Número de Contacto]]="","",MARÍTIMOS[[#This Row],[Número de Contacto]]),"")</f>
        <v/>
      </c>
      <c r="O889" s="10" t="str">
        <f>IFERROR(IF(MARÍTIMOS[[#This Row],[Booking|AWB|CRT]]="","",MARÍTIMOS[[#This Row],[Booking|AWB|CRT]]),"")</f>
        <v/>
      </c>
      <c r="P889" s="2" t="str">
        <f>IFERROR(IF(MARÍTIMOS[[#This Row],[Contenedor]]="","",MARÍTIMOS[[#This Row],[Contenedor]]),"")</f>
        <v/>
      </c>
      <c r="Q889" s="2" t="str">
        <f>IFERROR(IF(MARÍTIMOS[[#This Row],[Puerto de Retiro]]="","",MARÍTIMOS[[#This Row],[Puerto de Retiro]]),"")</f>
        <v/>
      </c>
      <c r="R889" s="2" t="str">
        <f>IFERROR(IF(MARÍTIMOS[[#This Row],[Almacén de Retiro]]="","",MARÍTIMOS[[#This Row],[Almacén de Retiro]]),"")</f>
        <v/>
      </c>
      <c r="S889" s="11" t="str">
        <f>IFERROR(IF(MARÍTIMOS[[#This Row],[Etapa Retiro - Cita]]="","",MARÍTIMOS[[#This Row],[Etapa Retiro - Cita]]),"")</f>
        <v/>
      </c>
      <c r="T889" s="11" t="str">
        <f>IFERROR(IF(MARÍTIMOS[[#This Row],[Etapa Retiro - Llegada]]="","",MARÍTIMOS[[#This Row],[Etapa Retiro - Llegada]]),"")</f>
        <v/>
      </c>
      <c r="U889" s="11" t="str">
        <f>IFERROR(IF(MARÍTIMOS[[#This Row],[Etapa Retiro - Ingreso]]="","",MARÍTIMOS[[#This Row],[Etapa Retiro - Ingreso]]),"")</f>
        <v/>
      </c>
      <c r="V889" s="11" t="str">
        <f>IFERROR(IF(MARÍTIMOS[[#This Row],[Etapa Retiro - Atención]]="","",MARÍTIMOS[[#This Row],[Etapa Retiro - Atención]]),"")</f>
        <v/>
      </c>
      <c r="W889" s="11" t="str">
        <f>IFERROR(IF(MARÍTIMOS[[#This Row],[Etapa Retiro - Atención]]="","",MARÍTIMOS[[#This Row],[Etapa Retiro - Atención]]),"")</f>
        <v/>
      </c>
      <c r="X889" s="11" t="str">
        <f>IFERROR(IF(MARÍTIMOS[[#This Row],[Etapa Retiro - Inicio de Ruta]]="","",MARÍTIMOS[[#This Row],[Etapa Retiro - Inicio de Ruta]]),"")</f>
        <v/>
      </c>
      <c r="Y889" s="11" t="str">
        <f>IFERROR(IF(MARÍTIMOS[[#This Row],[Hora de Posicionamiento]]="","",MARÍTIMOS[[#This Row],[Fecha de Carga]]+MARÍTIMOS[[#This Row],[Hora de Posicionamiento]]),"")</f>
        <v/>
      </c>
      <c r="Z889" s="11" t="str">
        <f>IFERROR(IF(MARÍTIMOS[[#This Row],[Etapa Despacho - Llegada]]="","",MARÍTIMOS[[#This Row],[Etapa Despacho - Llegada]]),"")</f>
        <v/>
      </c>
      <c r="AA889" s="11" t="str">
        <f>IFERROR(IF(MARÍTIMOS[[#This Row],[Etapa Despacho - Registro]]="","",MARÍTIMOS[[#This Row],[Etapa Despacho - Registro]]),"")</f>
        <v/>
      </c>
      <c r="AB889" s="11" t="str">
        <f>IFERROR(IF(MARÍTIMOS[[#This Row],[Inspección Externa]]="","",MARÍTIMOS[[#This Row],[Inspección Externa]]),"")</f>
        <v/>
      </c>
      <c r="AC889" s="11" t="str">
        <f>IFERROR(IF(MARÍTIMOS[[#This Row],[Etapa Despacho - Inicio de Carga]]="","",MARÍTIMOS[[#This Row],[Etapa Despacho - Inicio de Carga]]),"")</f>
        <v/>
      </c>
      <c r="AD889" s="11" t="str">
        <f>IFERROR(IF(MARÍTIMOS[[#This Row],[Etapa Despacho - Mitad de Carga]]="","",MARÍTIMOS[[#This Row],[Etapa Despacho - Mitad de Carga]]),"")</f>
        <v/>
      </c>
      <c r="AE889" s="11" t="str">
        <f>IFERROR(IF(MARÍTIMOS[[#This Row],[Etapa Despacho - Fin de Carga]]="","",MARÍTIMOS[[#This Row],[Etapa Despacho - Fin de Carga]]),"")</f>
        <v/>
      </c>
      <c r="AF889" s="2" t="str">
        <f>IFERROR(IF(MARÍTIMOS[[#This Row],[Puerto de Embarque]]="","",MARÍTIMOS[[#This Row],[Puerto de Embarque]]),"")</f>
        <v/>
      </c>
      <c r="AG889" s="2" t="str">
        <f>IFERROR(IF(MARÍTIMOS[[#This Row],[Almacén de Ingreso]]="","",MARÍTIMOS[[#This Row],[Almacén de Ingreso]]),"")</f>
        <v/>
      </c>
      <c r="AH889" s="11" t="str">
        <f>IFERROR(IF(MARÍTIMOS[[#This Row],[Etapa Ingreso - Cita]]="","",MARÍTIMOS[[#This Row],[Etapa Ingreso - Cita]]),"")</f>
        <v/>
      </c>
      <c r="AI889" s="11" t="str">
        <f>IFERROR(IF(MARÍTIMOS[[#This Row],[Etapa Ingreso - Llegada]]="","",MARÍTIMOS[[#This Row],[Etapa Ingreso - Llegada]]),"")</f>
        <v/>
      </c>
      <c r="AJ889" s="11" t="str">
        <f>IFERROR(IF(MARÍTIMOS[[#This Row],[Etapa Ingreso - Ingeso]]="","",MARÍTIMOS[[#This Row],[Etapa Ingreso - Ingeso]]),"")</f>
        <v/>
      </c>
      <c r="AK889" s="11" t="str">
        <f>IFERROR(IF(MARÍTIMOS[[#This Row],[Etapa Ingreso - Atención]]="","",MARÍTIMOS[[#This Row],[Etapa Ingreso - Atención]]),"")</f>
        <v/>
      </c>
      <c r="AL889" s="11" t="str">
        <f>IFERROR(IF(MARÍTIMOS[[#This Row],[Etapa Ingreso - Salida]]="","",MARÍTIMOS[[#This Row],[Etapa Ingreso - Salida]]),"")</f>
        <v/>
      </c>
      <c r="AM889" s="2" t="str">
        <f>IFERROR(IF(MARÍTIMOS[[#This Row],[FCL]]="","",MARÍTIMOS[[#This Row],[FCL]]),"")</f>
        <v/>
      </c>
      <c r="AN8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89" s="4" t="str" cm="1">
        <f t="array" ref="AO8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89" s="5" t="str">
        <f>IFERROR(OLDBD[[#This Row],[Llegada a packing]]-OLDBD[[#This Row],[Inicio de Ruta]],"")</f>
        <v/>
      </c>
      <c r="AQ889" s="6" t="str">
        <f>IFERROR(OLDBD[[#This Row],[Inicio de Ruta]]-OLDBD[[#This Row],[Salida de almacén de retiro]],"")</f>
        <v/>
      </c>
      <c r="AR8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89" s="8" t="str" cm="1">
        <f t="array" ref="AS8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89" s="9" t="str">
        <f>IFERROR(OLDBD[[#This Row],[Ingreso Packing]]-OLDBD[[#This Row],[Registro en Packing]],"")</f>
        <v/>
      </c>
      <c r="AV889" s="9" t="str">
        <f>IFERROR(OLDBD[[#This Row],[Ingreso Packing]]-OLDBD[[#This Row],[Llegada a packing]],"")</f>
        <v/>
      </c>
      <c r="AW8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89" s="5" t="str">
        <f>IFERROR(OLDBD[[#This Row],[Llegada Almacén de Ingreso]]-OLDBD[[#This Row],[Salida Packing]],"")</f>
        <v/>
      </c>
      <c r="AY889" s="4" t="str" cm="1">
        <f t="array" ref="AY8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89" s="43" t="s">
        <v>173</v>
      </c>
      <c r="BB889" s="47" t="str">
        <f>IFERROR(IF(MARÍTIMOS[[#This Row],[Estatus]]="","",MARÍTIMOS[[#This Row],[Estatus]]),"")</f>
        <v/>
      </c>
      <c r="BC889" s="43"/>
      <c r="BD889" s="46" t="str">
        <f>IFERROR(OLDBD[[#This Row],[Salida de almacén de retiro]]-OLDBD[[#This Row],[Ingreso Almacén de retiro]],"")</f>
        <v/>
      </c>
      <c r="BE889" s="46" t="str">
        <f>IFERROR(OLDBD[[#This Row],[Fin de Carga]]-OLDBD[[#This Row],[Inicio de Carga]],"")</f>
        <v/>
      </c>
    </row>
    <row r="890" spans="1:57" customFormat="1" hidden="1">
      <c r="A890" s="1"/>
      <c r="B890" s="1" t="str">
        <f>IFERROR(IF(MARÍTIMOS[[#This Row],[PP]]="","",MARÍTIMOS[[#This Row],[PP]]),"")</f>
        <v/>
      </c>
      <c r="C890" s="1" t="str">
        <f>IFERROR(IF(MARÍTIMOS[[#This Row],[Sede]]="","",MARÍTIMOS[[#This Row],[Sede]]),"")</f>
        <v/>
      </c>
      <c r="D890" s="1" t="str">
        <f>IFERROR(IF(MARÍTIMOS[[#This Row],[Instruction]]="","",MARÍTIMOS[[#This Row],[Instruction]]),"")</f>
        <v/>
      </c>
      <c r="E890" s="1"/>
      <c r="F890" s="2" t="str">
        <f>IFERROR(IF(MARÍTIMOS[[#This Row],[Transportista]]="","",MARÍTIMOS[[#This Row],[Transportista]]),"")</f>
        <v/>
      </c>
      <c r="G890" s="2" t="str">
        <f>IFERROR(IF(MARÍTIMOS[[#This Row],[Tercero]]="","",MARÍTIMOS[[#This Row],[Tercero]]),"")</f>
        <v/>
      </c>
      <c r="H890" s="2" t="str">
        <f>IFERROR(IF(MARÍTIMOS[[#This Row],[Razón Social]]="","",MARÍTIMOS[[#This Row],[Razón Social]]),"")</f>
        <v/>
      </c>
      <c r="I890" s="2" t="str">
        <f>IFERROR(IF(MARÍTIMOS[[#This Row],[RUC]]="","",MARÍTIMOS[[#This Row],[RUC]]),"")</f>
        <v/>
      </c>
      <c r="J890" s="2" t="str">
        <f>IFERROR(IF(MARÍTIMOS[[#This Row],[Placa Tracto]]="","",MARÍTIMOS[[#This Row],[Placa Tracto]]),"")</f>
        <v/>
      </c>
      <c r="K890" s="2" t="str">
        <f>IFERROR(IF(MARÍTIMOS[[#This Row],[Placa Carreta]]="","",MARÍTIMOS[[#This Row],[Placa Carreta]]),"")</f>
        <v/>
      </c>
      <c r="L890" s="44" t="str">
        <f>IFERROR(IF(MARÍTIMOS[[#This Row],[Conductor]]="","",MARÍTIMOS[[#This Row],[Conductor]]),"")</f>
        <v/>
      </c>
      <c r="M890" s="2" t="str">
        <f>IFERROR(IF(MARÍTIMOS[[#This Row],[Licencia]]="","",MARÍTIMOS[[#This Row],[Licencia]]),"")</f>
        <v/>
      </c>
      <c r="N890" s="2" t="str">
        <f>IFERROR(IF(MARÍTIMOS[[#This Row],[Número de Contacto]]="","",MARÍTIMOS[[#This Row],[Número de Contacto]]),"")</f>
        <v/>
      </c>
      <c r="O890" s="10" t="str">
        <f>IFERROR(IF(MARÍTIMOS[[#This Row],[Booking|AWB|CRT]]="","",MARÍTIMOS[[#This Row],[Booking|AWB|CRT]]),"")</f>
        <v/>
      </c>
      <c r="P890" s="2" t="str">
        <f>IFERROR(IF(MARÍTIMOS[[#This Row],[Contenedor]]="","",MARÍTIMOS[[#This Row],[Contenedor]]),"")</f>
        <v/>
      </c>
      <c r="Q890" s="2" t="str">
        <f>IFERROR(IF(MARÍTIMOS[[#This Row],[Puerto de Retiro]]="","",MARÍTIMOS[[#This Row],[Puerto de Retiro]]),"")</f>
        <v/>
      </c>
      <c r="R890" s="2" t="str">
        <f>IFERROR(IF(MARÍTIMOS[[#This Row],[Almacén de Retiro]]="","",MARÍTIMOS[[#This Row],[Almacén de Retiro]]),"")</f>
        <v/>
      </c>
      <c r="S890" s="11" t="str">
        <f>IFERROR(IF(MARÍTIMOS[[#This Row],[Etapa Retiro - Cita]]="","",MARÍTIMOS[[#This Row],[Etapa Retiro - Cita]]),"")</f>
        <v/>
      </c>
      <c r="T890" s="11" t="str">
        <f>IFERROR(IF(MARÍTIMOS[[#This Row],[Etapa Retiro - Llegada]]="","",MARÍTIMOS[[#This Row],[Etapa Retiro - Llegada]]),"")</f>
        <v/>
      </c>
      <c r="U890" s="11" t="str">
        <f>IFERROR(IF(MARÍTIMOS[[#This Row],[Etapa Retiro - Ingreso]]="","",MARÍTIMOS[[#This Row],[Etapa Retiro - Ingreso]]),"")</f>
        <v/>
      </c>
      <c r="V890" s="11" t="str">
        <f>IFERROR(IF(MARÍTIMOS[[#This Row],[Etapa Retiro - Atención]]="","",MARÍTIMOS[[#This Row],[Etapa Retiro - Atención]]),"")</f>
        <v/>
      </c>
      <c r="W890" s="11" t="str">
        <f>IFERROR(IF(MARÍTIMOS[[#This Row],[Etapa Retiro - Atención]]="","",MARÍTIMOS[[#This Row],[Etapa Retiro - Atención]]),"")</f>
        <v/>
      </c>
      <c r="X890" s="11" t="str">
        <f>IFERROR(IF(MARÍTIMOS[[#This Row],[Etapa Retiro - Inicio de Ruta]]="","",MARÍTIMOS[[#This Row],[Etapa Retiro - Inicio de Ruta]]),"")</f>
        <v/>
      </c>
      <c r="Y890" s="11" t="str">
        <f>IFERROR(IF(MARÍTIMOS[[#This Row],[Hora de Posicionamiento]]="","",MARÍTIMOS[[#This Row],[Fecha de Carga]]+MARÍTIMOS[[#This Row],[Hora de Posicionamiento]]),"")</f>
        <v/>
      </c>
      <c r="Z890" s="11" t="str">
        <f>IFERROR(IF(MARÍTIMOS[[#This Row],[Etapa Despacho - Llegada]]="","",MARÍTIMOS[[#This Row],[Etapa Despacho - Llegada]]),"")</f>
        <v/>
      </c>
      <c r="AA890" s="11" t="str">
        <f>IFERROR(IF(MARÍTIMOS[[#This Row],[Etapa Despacho - Registro]]="","",MARÍTIMOS[[#This Row],[Etapa Despacho - Registro]]),"")</f>
        <v/>
      </c>
      <c r="AB890" s="11" t="str">
        <f>IFERROR(IF(MARÍTIMOS[[#This Row],[Inspección Externa]]="","",MARÍTIMOS[[#This Row],[Inspección Externa]]),"")</f>
        <v/>
      </c>
      <c r="AC890" s="11" t="str">
        <f>IFERROR(IF(MARÍTIMOS[[#This Row],[Etapa Despacho - Inicio de Carga]]="","",MARÍTIMOS[[#This Row],[Etapa Despacho - Inicio de Carga]]),"")</f>
        <v/>
      </c>
      <c r="AD890" s="11" t="str">
        <f>IFERROR(IF(MARÍTIMOS[[#This Row],[Etapa Despacho - Mitad de Carga]]="","",MARÍTIMOS[[#This Row],[Etapa Despacho - Mitad de Carga]]),"")</f>
        <v/>
      </c>
      <c r="AE890" s="11" t="str">
        <f>IFERROR(IF(MARÍTIMOS[[#This Row],[Etapa Despacho - Fin de Carga]]="","",MARÍTIMOS[[#This Row],[Etapa Despacho - Fin de Carga]]),"")</f>
        <v/>
      </c>
      <c r="AF890" s="2" t="str">
        <f>IFERROR(IF(MARÍTIMOS[[#This Row],[Puerto de Embarque]]="","",MARÍTIMOS[[#This Row],[Puerto de Embarque]]),"")</f>
        <v/>
      </c>
      <c r="AG890" s="2" t="str">
        <f>IFERROR(IF(MARÍTIMOS[[#This Row],[Almacén de Ingreso]]="","",MARÍTIMOS[[#This Row],[Almacén de Ingreso]]),"")</f>
        <v/>
      </c>
      <c r="AH890" s="11" t="str">
        <f>IFERROR(IF(MARÍTIMOS[[#This Row],[Etapa Ingreso - Cita]]="","",MARÍTIMOS[[#This Row],[Etapa Ingreso - Cita]]),"")</f>
        <v/>
      </c>
      <c r="AI890" s="11" t="str">
        <f>IFERROR(IF(MARÍTIMOS[[#This Row],[Etapa Ingreso - Llegada]]="","",MARÍTIMOS[[#This Row],[Etapa Ingreso - Llegada]]),"")</f>
        <v/>
      </c>
      <c r="AJ890" s="11" t="str">
        <f>IFERROR(IF(MARÍTIMOS[[#This Row],[Etapa Ingreso - Ingeso]]="","",MARÍTIMOS[[#This Row],[Etapa Ingreso - Ingeso]]),"")</f>
        <v/>
      </c>
      <c r="AK890" s="11" t="str">
        <f>IFERROR(IF(MARÍTIMOS[[#This Row],[Etapa Ingreso - Atención]]="","",MARÍTIMOS[[#This Row],[Etapa Ingreso - Atención]]),"")</f>
        <v/>
      </c>
      <c r="AL890" s="11" t="str">
        <f>IFERROR(IF(MARÍTIMOS[[#This Row],[Etapa Ingreso - Salida]]="","",MARÍTIMOS[[#This Row],[Etapa Ingreso - Salida]]),"")</f>
        <v/>
      </c>
      <c r="AM890" s="2" t="str">
        <f>IFERROR(IF(MARÍTIMOS[[#This Row],[FCL]]="","",MARÍTIMOS[[#This Row],[FCL]]),"")</f>
        <v/>
      </c>
      <c r="AN8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0" s="4" t="str" cm="1">
        <f t="array" ref="AO8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0" s="5" t="str">
        <f>IFERROR(OLDBD[[#This Row],[Llegada a packing]]-OLDBD[[#This Row],[Inicio de Ruta]],"")</f>
        <v/>
      </c>
      <c r="AQ890" s="6" t="str">
        <f>IFERROR(OLDBD[[#This Row],[Inicio de Ruta]]-OLDBD[[#This Row],[Salida de almacén de retiro]],"")</f>
        <v/>
      </c>
      <c r="AR8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0" s="8" t="str" cm="1">
        <f t="array" ref="AS8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0" s="9" t="str">
        <f>IFERROR(OLDBD[[#This Row],[Ingreso Packing]]-OLDBD[[#This Row],[Registro en Packing]],"")</f>
        <v/>
      </c>
      <c r="AV890" s="9" t="str">
        <f>IFERROR(OLDBD[[#This Row],[Ingreso Packing]]-OLDBD[[#This Row],[Llegada a packing]],"")</f>
        <v/>
      </c>
      <c r="AW8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0" s="5" t="str">
        <f>IFERROR(OLDBD[[#This Row],[Llegada Almacén de Ingreso]]-OLDBD[[#This Row],[Salida Packing]],"")</f>
        <v/>
      </c>
      <c r="AY890" s="4" t="str" cm="1">
        <f t="array" ref="AY8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0" s="43" t="s">
        <v>173</v>
      </c>
      <c r="BB890" s="47" t="str">
        <f>IFERROR(IF(MARÍTIMOS[[#This Row],[Estatus]]="","",MARÍTIMOS[[#This Row],[Estatus]]),"")</f>
        <v/>
      </c>
      <c r="BC890" s="43"/>
      <c r="BD890" s="46" t="str">
        <f>IFERROR(OLDBD[[#This Row],[Salida de almacén de retiro]]-OLDBD[[#This Row],[Ingreso Almacén de retiro]],"")</f>
        <v/>
      </c>
      <c r="BE890" s="46" t="str">
        <f>IFERROR(OLDBD[[#This Row],[Fin de Carga]]-OLDBD[[#This Row],[Inicio de Carga]],"")</f>
        <v/>
      </c>
    </row>
    <row r="891" spans="1:57" customFormat="1" hidden="1">
      <c r="A891" s="1"/>
      <c r="B891" s="1" t="str">
        <f>IFERROR(IF(MARÍTIMOS[[#This Row],[PP]]="","",MARÍTIMOS[[#This Row],[PP]]),"")</f>
        <v/>
      </c>
      <c r="C891" s="1" t="str">
        <f>IFERROR(IF(MARÍTIMOS[[#This Row],[Sede]]="","",MARÍTIMOS[[#This Row],[Sede]]),"")</f>
        <v/>
      </c>
      <c r="D891" s="1" t="str">
        <f>IFERROR(IF(MARÍTIMOS[[#This Row],[Instruction]]="","",MARÍTIMOS[[#This Row],[Instruction]]),"")</f>
        <v/>
      </c>
      <c r="E891" s="1"/>
      <c r="F891" s="2" t="str">
        <f>IFERROR(IF(MARÍTIMOS[[#This Row],[Transportista]]="","",MARÍTIMOS[[#This Row],[Transportista]]),"")</f>
        <v/>
      </c>
      <c r="G891" s="2" t="str">
        <f>IFERROR(IF(MARÍTIMOS[[#This Row],[Tercero]]="","",MARÍTIMOS[[#This Row],[Tercero]]),"")</f>
        <v/>
      </c>
      <c r="H891" s="2" t="str">
        <f>IFERROR(IF(MARÍTIMOS[[#This Row],[Razón Social]]="","",MARÍTIMOS[[#This Row],[Razón Social]]),"")</f>
        <v/>
      </c>
      <c r="I891" s="2" t="str">
        <f>IFERROR(IF(MARÍTIMOS[[#This Row],[RUC]]="","",MARÍTIMOS[[#This Row],[RUC]]),"")</f>
        <v/>
      </c>
      <c r="J891" s="2" t="str">
        <f>IFERROR(IF(MARÍTIMOS[[#This Row],[Placa Tracto]]="","",MARÍTIMOS[[#This Row],[Placa Tracto]]),"")</f>
        <v/>
      </c>
      <c r="K891" s="2" t="str">
        <f>IFERROR(IF(MARÍTIMOS[[#This Row],[Placa Carreta]]="","",MARÍTIMOS[[#This Row],[Placa Carreta]]),"")</f>
        <v/>
      </c>
      <c r="L891" s="44" t="str">
        <f>IFERROR(IF(MARÍTIMOS[[#This Row],[Conductor]]="","",MARÍTIMOS[[#This Row],[Conductor]]),"")</f>
        <v/>
      </c>
      <c r="M891" s="2" t="str">
        <f>IFERROR(IF(MARÍTIMOS[[#This Row],[Licencia]]="","",MARÍTIMOS[[#This Row],[Licencia]]),"")</f>
        <v/>
      </c>
      <c r="N891" s="2" t="str">
        <f>IFERROR(IF(MARÍTIMOS[[#This Row],[Número de Contacto]]="","",MARÍTIMOS[[#This Row],[Número de Contacto]]),"")</f>
        <v/>
      </c>
      <c r="O891" s="10" t="str">
        <f>IFERROR(IF(MARÍTIMOS[[#This Row],[Booking|AWB|CRT]]="","",MARÍTIMOS[[#This Row],[Booking|AWB|CRT]]),"")</f>
        <v/>
      </c>
      <c r="P891" s="2" t="str">
        <f>IFERROR(IF(MARÍTIMOS[[#This Row],[Contenedor]]="","",MARÍTIMOS[[#This Row],[Contenedor]]),"")</f>
        <v/>
      </c>
      <c r="Q891" s="2" t="str">
        <f>IFERROR(IF(MARÍTIMOS[[#This Row],[Puerto de Retiro]]="","",MARÍTIMOS[[#This Row],[Puerto de Retiro]]),"")</f>
        <v/>
      </c>
      <c r="R891" s="2" t="str">
        <f>IFERROR(IF(MARÍTIMOS[[#This Row],[Almacén de Retiro]]="","",MARÍTIMOS[[#This Row],[Almacén de Retiro]]),"")</f>
        <v/>
      </c>
      <c r="S891" s="11" t="str">
        <f>IFERROR(IF(MARÍTIMOS[[#This Row],[Etapa Retiro - Cita]]="","",MARÍTIMOS[[#This Row],[Etapa Retiro - Cita]]),"")</f>
        <v/>
      </c>
      <c r="T891" s="11" t="str">
        <f>IFERROR(IF(MARÍTIMOS[[#This Row],[Etapa Retiro - Llegada]]="","",MARÍTIMOS[[#This Row],[Etapa Retiro - Llegada]]),"")</f>
        <v/>
      </c>
      <c r="U891" s="11" t="str">
        <f>IFERROR(IF(MARÍTIMOS[[#This Row],[Etapa Retiro - Ingreso]]="","",MARÍTIMOS[[#This Row],[Etapa Retiro - Ingreso]]),"")</f>
        <v/>
      </c>
      <c r="V891" s="11" t="str">
        <f>IFERROR(IF(MARÍTIMOS[[#This Row],[Etapa Retiro - Atención]]="","",MARÍTIMOS[[#This Row],[Etapa Retiro - Atención]]),"")</f>
        <v/>
      </c>
      <c r="W891" s="11" t="str">
        <f>IFERROR(IF(MARÍTIMOS[[#This Row],[Etapa Retiro - Atención]]="","",MARÍTIMOS[[#This Row],[Etapa Retiro - Atención]]),"")</f>
        <v/>
      </c>
      <c r="X891" s="11" t="str">
        <f>IFERROR(IF(MARÍTIMOS[[#This Row],[Etapa Retiro - Inicio de Ruta]]="","",MARÍTIMOS[[#This Row],[Etapa Retiro - Inicio de Ruta]]),"")</f>
        <v/>
      </c>
      <c r="Y891" s="11" t="str">
        <f>IFERROR(IF(MARÍTIMOS[[#This Row],[Hora de Posicionamiento]]="","",MARÍTIMOS[[#This Row],[Fecha de Carga]]+MARÍTIMOS[[#This Row],[Hora de Posicionamiento]]),"")</f>
        <v/>
      </c>
      <c r="Z891" s="11" t="str">
        <f>IFERROR(IF(MARÍTIMOS[[#This Row],[Etapa Despacho - Llegada]]="","",MARÍTIMOS[[#This Row],[Etapa Despacho - Llegada]]),"")</f>
        <v/>
      </c>
      <c r="AA891" s="11" t="str">
        <f>IFERROR(IF(MARÍTIMOS[[#This Row],[Etapa Despacho - Registro]]="","",MARÍTIMOS[[#This Row],[Etapa Despacho - Registro]]),"")</f>
        <v/>
      </c>
      <c r="AB891" s="11" t="str">
        <f>IFERROR(IF(MARÍTIMOS[[#This Row],[Inspección Externa]]="","",MARÍTIMOS[[#This Row],[Inspección Externa]]),"")</f>
        <v/>
      </c>
      <c r="AC891" s="11" t="str">
        <f>IFERROR(IF(MARÍTIMOS[[#This Row],[Etapa Despacho - Inicio de Carga]]="","",MARÍTIMOS[[#This Row],[Etapa Despacho - Inicio de Carga]]),"")</f>
        <v/>
      </c>
      <c r="AD891" s="11" t="str">
        <f>IFERROR(IF(MARÍTIMOS[[#This Row],[Etapa Despacho - Mitad de Carga]]="","",MARÍTIMOS[[#This Row],[Etapa Despacho - Mitad de Carga]]),"")</f>
        <v/>
      </c>
      <c r="AE891" s="11" t="str">
        <f>IFERROR(IF(MARÍTIMOS[[#This Row],[Etapa Despacho - Fin de Carga]]="","",MARÍTIMOS[[#This Row],[Etapa Despacho - Fin de Carga]]),"")</f>
        <v/>
      </c>
      <c r="AF891" s="2" t="str">
        <f>IFERROR(IF(MARÍTIMOS[[#This Row],[Puerto de Embarque]]="","",MARÍTIMOS[[#This Row],[Puerto de Embarque]]),"")</f>
        <v/>
      </c>
      <c r="AG891" s="2" t="str">
        <f>IFERROR(IF(MARÍTIMOS[[#This Row],[Almacén de Ingreso]]="","",MARÍTIMOS[[#This Row],[Almacén de Ingreso]]),"")</f>
        <v/>
      </c>
      <c r="AH891" s="11" t="str">
        <f>IFERROR(IF(MARÍTIMOS[[#This Row],[Etapa Ingreso - Cita]]="","",MARÍTIMOS[[#This Row],[Etapa Ingreso - Cita]]),"")</f>
        <v/>
      </c>
      <c r="AI891" s="11" t="str">
        <f>IFERROR(IF(MARÍTIMOS[[#This Row],[Etapa Ingreso - Llegada]]="","",MARÍTIMOS[[#This Row],[Etapa Ingreso - Llegada]]),"")</f>
        <v/>
      </c>
      <c r="AJ891" s="11" t="str">
        <f>IFERROR(IF(MARÍTIMOS[[#This Row],[Etapa Ingreso - Ingeso]]="","",MARÍTIMOS[[#This Row],[Etapa Ingreso - Ingeso]]),"")</f>
        <v/>
      </c>
      <c r="AK891" s="11" t="str">
        <f>IFERROR(IF(MARÍTIMOS[[#This Row],[Etapa Ingreso - Atención]]="","",MARÍTIMOS[[#This Row],[Etapa Ingreso - Atención]]),"")</f>
        <v/>
      </c>
      <c r="AL891" s="11" t="str">
        <f>IFERROR(IF(MARÍTIMOS[[#This Row],[Etapa Ingreso - Salida]]="","",MARÍTIMOS[[#This Row],[Etapa Ingreso - Salida]]),"")</f>
        <v/>
      </c>
      <c r="AM891" s="2" t="str">
        <f>IFERROR(IF(MARÍTIMOS[[#This Row],[FCL]]="","",MARÍTIMOS[[#This Row],[FCL]]),"")</f>
        <v/>
      </c>
      <c r="AN8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1" s="4" t="str" cm="1">
        <f t="array" ref="AO8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1" s="5" t="str">
        <f>IFERROR(OLDBD[[#This Row],[Llegada a packing]]-OLDBD[[#This Row],[Inicio de Ruta]],"")</f>
        <v/>
      </c>
      <c r="AQ891" s="6" t="str">
        <f>IFERROR(OLDBD[[#This Row],[Inicio de Ruta]]-OLDBD[[#This Row],[Salida de almacén de retiro]],"")</f>
        <v/>
      </c>
      <c r="AR8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1" s="8" t="str" cm="1">
        <f t="array" ref="AS8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1" s="9" t="str">
        <f>IFERROR(OLDBD[[#This Row],[Ingreso Packing]]-OLDBD[[#This Row],[Registro en Packing]],"")</f>
        <v/>
      </c>
      <c r="AV891" s="9" t="str">
        <f>IFERROR(OLDBD[[#This Row],[Ingreso Packing]]-OLDBD[[#This Row],[Llegada a packing]],"")</f>
        <v/>
      </c>
      <c r="AW8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1" s="5" t="str">
        <f>IFERROR(OLDBD[[#This Row],[Llegada Almacén de Ingreso]]-OLDBD[[#This Row],[Salida Packing]],"")</f>
        <v/>
      </c>
      <c r="AY891" s="4" t="str" cm="1">
        <f t="array" ref="AY8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1" s="43" t="s">
        <v>173</v>
      </c>
      <c r="BB891" s="47" t="str">
        <f>IFERROR(IF(MARÍTIMOS[[#This Row],[Estatus]]="","",MARÍTIMOS[[#This Row],[Estatus]]),"")</f>
        <v/>
      </c>
      <c r="BC891" s="43"/>
      <c r="BD891" s="46" t="str">
        <f>IFERROR(OLDBD[[#This Row],[Salida de almacén de retiro]]-OLDBD[[#This Row],[Ingreso Almacén de retiro]],"")</f>
        <v/>
      </c>
      <c r="BE891" s="46" t="str">
        <f>IFERROR(OLDBD[[#This Row],[Fin de Carga]]-OLDBD[[#This Row],[Inicio de Carga]],"")</f>
        <v/>
      </c>
    </row>
    <row r="892" spans="1:57" customFormat="1" hidden="1">
      <c r="A892" s="1"/>
      <c r="B892" s="1" t="str">
        <f>IFERROR(IF(MARÍTIMOS[[#This Row],[PP]]="","",MARÍTIMOS[[#This Row],[PP]]),"")</f>
        <v/>
      </c>
      <c r="C892" s="1" t="str">
        <f>IFERROR(IF(MARÍTIMOS[[#This Row],[Sede]]="","",MARÍTIMOS[[#This Row],[Sede]]),"")</f>
        <v/>
      </c>
      <c r="D892" s="1" t="str">
        <f>IFERROR(IF(MARÍTIMOS[[#This Row],[Instruction]]="","",MARÍTIMOS[[#This Row],[Instruction]]),"")</f>
        <v/>
      </c>
      <c r="E892" s="1"/>
      <c r="F892" s="2" t="str">
        <f>IFERROR(IF(MARÍTIMOS[[#This Row],[Transportista]]="","",MARÍTIMOS[[#This Row],[Transportista]]),"")</f>
        <v/>
      </c>
      <c r="G892" s="2" t="str">
        <f>IFERROR(IF(MARÍTIMOS[[#This Row],[Tercero]]="","",MARÍTIMOS[[#This Row],[Tercero]]),"")</f>
        <v/>
      </c>
      <c r="H892" s="2" t="str">
        <f>IFERROR(IF(MARÍTIMOS[[#This Row],[Razón Social]]="","",MARÍTIMOS[[#This Row],[Razón Social]]),"")</f>
        <v/>
      </c>
      <c r="I892" s="2" t="str">
        <f>IFERROR(IF(MARÍTIMOS[[#This Row],[RUC]]="","",MARÍTIMOS[[#This Row],[RUC]]),"")</f>
        <v/>
      </c>
      <c r="J892" s="2" t="str">
        <f>IFERROR(IF(MARÍTIMOS[[#This Row],[Placa Tracto]]="","",MARÍTIMOS[[#This Row],[Placa Tracto]]),"")</f>
        <v/>
      </c>
      <c r="K892" s="2" t="str">
        <f>IFERROR(IF(MARÍTIMOS[[#This Row],[Placa Carreta]]="","",MARÍTIMOS[[#This Row],[Placa Carreta]]),"")</f>
        <v/>
      </c>
      <c r="L892" s="44" t="str">
        <f>IFERROR(IF(MARÍTIMOS[[#This Row],[Conductor]]="","",MARÍTIMOS[[#This Row],[Conductor]]),"")</f>
        <v/>
      </c>
      <c r="M892" s="2" t="str">
        <f>IFERROR(IF(MARÍTIMOS[[#This Row],[Licencia]]="","",MARÍTIMOS[[#This Row],[Licencia]]),"")</f>
        <v/>
      </c>
      <c r="N892" s="2" t="str">
        <f>IFERROR(IF(MARÍTIMOS[[#This Row],[Número de Contacto]]="","",MARÍTIMOS[[#This Row],[Número de Contacto]]),"")</f>
        <v/>
      </c>
      <c r="O892" s="10" t="str">
        <f>IFERROR(IF(MARÍTIMOS[[#This Row],[Booking|AWB|CRT]]="","",MARÍTIMOS[[#This Row],[Booking|AWB|CRT]]),"")</f>
        <v/>
      </c>
      <c r="P892" s="2" t="str">
        <f>IFERROR(IF(MARÍTIMOS[[#This Row],[Contenedor]]="","",MARÍTIMOS[[#This Row],[Contenedor]]),"")</f>
        <v/>
      </c>
      <c r="Q892" s="2" t="str">
        <f>IFERROR(IF(MARÍTIMOS[[#This Row],[Puerto de Retiro]]="","",MARÍTIMOS[[#This Row],[Puerto de Retiro]]),"")</f>
        <v/>
      </c>
      <c r="R892" s="2" t="str">
        <f>IFERROR(IF(MARÍTIMOS[[#This Row],[Almacén de Retiro]]="","",MARÍTIMOS[[#This Row],[Almacén de Retiro]]),"")</f>
        <v/>
      </c>
      <c r="S892" s="11" t="str">
        <f>IFERROR(IF(MARÍTIMOS[[#This Row],[Etapa Retiro - Cita]]="","",MARÍTIMOS[[#This Row],[Etapa Retiro - Cita]]),"")</f>
        <v/>
      </c>
      <c r="T892" s="11" t="str">
        <f>IFERROR(IF(MARÍTIMOS[[#This Row],[Etapa Retiro - Llegada]]="","",MARÍTIMOS[[#This Row],[Etapa Retiro - Llegada]]),"")</f>
        <v/>
      </c>
      <c r="U892" s="11" t="str">
        <f>IFERROR(IF(MARÍTIMOS[[#This Row],[Etapa Retiro - Ingreso]]="","",MARÍTIMOS[[#This Row],[Etapa Retiro - Ingreso]]),"")</f>
        <v/>
      </c>
      <c r="V892" s="11" t="str">
        <f>IFERROR(IF(MARÍTIMOS[[#This Row],[Etapa Retiro - Atención]]="","",MARÍTIMOS[[#This Row],[Etapa Retiro - Atención]]),"")</f>
        <v/>
      </c>
      <c r="W892" s="11" t="str">
        <f>IFERROR(IF(MARÍTIMOS[[#This Row],[Etapa Retiro - Atención]]="","",MARÍTIMOS[[#This Row],[Etapa Retiro - Atención]]),"")</f>
        <v/>
      </c>
      <c r="X892" s="11" t="str">
        <f>IFERROR(IF(MARÍTIMOS[[#This Row],[Etapa Retiro - Inicio de Ruta]]="","",MARÍTIMOS[[#This Row],[Etapa Retiro - Inicio de Ruta]]),"")</f>
        <v/>
      </c>
      <c r="Y892" s="11" t="str">
        <f>IFERROR(IF(MARÍTIMOS[[#This Row],[Hora de Posicionamiento]]="","",MARÍTIMOS[[#This Row],[Fecha de Carga]]+MARÍTIMOS[[#This Row],[Hora de Posicionamiento]]),"")</f>
        <v/>
      </c>
      <c r="Z892" s="11" t="str">
        <f>IFERROR(IF(MARÍTIMOS[[#This Row],[Etapa Despacho - Llegada]]="","",MARÍTIMOS[[#This Row],[Etapa Despacho - Llegada]]),"")</f>
        <v/>
      </c>
      <c r="AA892" s="11" t="str">
        <f>IFERROR(IF(MARÍTIMOS[[#This Row],[Etapa Despacho - Registro]]="","",MARÍTIMOS[[#This Row],[Etapa Despacho - Registro]]),"")</f>
        <v/>
      </c>
      <c r="AB892" s="11" t="str">
        <f>IFERROR(IF(MARÍTIMOS[[#This Row],[Inspección Externa]]="","",MARÍTIMOS[[#This Row],[Inspección Externa]]),"")</f>
        <v/>
      </c>
      <c r="AC892" s="11" t="str">
        <f>IFERROR(IF(MARÍTIMOS[[#This Row],[Etapa Despacho - Inicio de Carga]]="","",MARÍTIMOS[[#This Row],[Etapa Despacho - Inicio de Carga]]),"")</f>
        <v/>
      </c>
      <c r="AD892" s="11" t="str">
        <f>IFERROR(IF(MARÍTIMOS[[#This Row],[Etapa Despacho - Mitad de Carga]]="","",MARÍTIMOS[[#This Row],[Etapa Despacho - Mitad de Carga]]),"")</f>
        <v/>
      </c>
      <c r="AE892" s="11" t="str">
        <f>IFERROR(IF(MARÍTIMOS[[#This Row],[Etapa Despacho - Fin de Carga]]="","",MARÍTIMOS[[#This Row],[Etapa Despacho - Fin de Carga]]),"")</f>
        <v/>
      </c>
      <c r="AF892" s="2" t="str">
        <f>IFERROR(IF(MARÍTIMOS[[#This Row],[Puerto de Embarque]]="","",MARÍTIMOS[[#This Row],[Puerto de Embarque]]),"")</f>
        <v/>
      </c>
      <c r="AG892" s="2" t="str">
        <f>IFERROR(IF(MARÍTIMOS[[#This Row],[Almacén de Ingreso]]="","",MARÍTIMOS[[#This Row],[Almacén de Ingreso]]),"")</f>
        <v/>
      </c>
      <c r="AH892" s="11" t="str">
        <f>IFERROR(IF(MARÍTIMOS[[#This Row],[Etapa Ingreso - Cita]]="","",MARÍTIMOS[[#This Row],[Etapa Ingreso - Cita]]),"")</f>
        <v/>
      </c>
      <c r="AI892" s="11" t="str">
        <f>IFERROR(IF(MARÍTIMOS[[#This Row],[Etapa Ingreso - Llegada]]="","",MARÍTIMOS[[#This Row],[Etapa Ingreso - Llegada]]),"")</f>
        <v/>
      </c>
      <c r="AJ892" s="11" t="str">
        <f>IFERROR(IF(MARÍTIMOS[[#This Row],[Etapa Ingreso - Ingeso]]="","",MARÍTIMOS[[#This Row],[Etapa Ingreso - Ingeso]]),"")</f>
        <v/>
      </c>
      <c r="AK892" s="11" t="str">
        <f>IFERROR(IF(MARÍTIMOS[[#This Row],[Etapa Ingreso - Atención]]="","",MARÍTIMOS[[#This Row],[Etapa Ingreso - Atención]]),"")</f>
        <v/>
      </c>
      <c r="AL892" s="11" t="str">
        <f>IFERROR(IF(MARÍTIMOS[[#This Row],[Etapa Ingreso - Salida]]="","",MARÍTIMOS[[#This Row],[Etapa Ingreso - Salida]]),"")</f>
        <v/>
      </c>
      <c r="AM892" s="2" t="str">
        <f>IFERROR(IF(MARÍTIMOS[[#This Row],[FCL]]="","",MARÍTIMOS[[#This Row],[FCL]]),"")</f>
        <v/>
      </c>
      <c r="AN8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2" s="4" t="str" cm="1">
        <f t="array" ref="AO8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2" s="5" t="str">
        <f>IFERROR(OLDBD[[#This Row],[Llegada a packing]]-OLDBD[[#This Row],[Inicio de Ruta]],"")</f>
        <v/>
      </c>
      <c r="AQ892" s="6" t="str">
        <f>IFERROR(OLDBD[[#This Row],[Inicio de Ruta]]-OLDBD[[#This Row],[Salida de almacén de retiro]],"")</f>
        <v/>
      </c>
      <c r="AR8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2" s="8" t="str" cm="1">
        <f t="array" ref="AS8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2" s="9" t="str">
        <f>IFERROR(OLDBD[[#This Row],[Ingreso Packing]]-OLDBD[[#This Row],[Registro en Packing]],"")</f>
        <v/>
      </c>
      <c r="AV892" s="9" t="str">
        <f>IFERROR(OLDBD[[#This Row],[Ingreso Packing]]-OLDBD[[#This Row],[Llegada a packing]],"")</f>
        <v/>
      </c>
      <c r="AW8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2" s="5" t="str">
        <f>IFERROR(OLDBD[[#This Row],[Llegada Almacén de Ingreso]]-OLDBD[[#This Row],[Salida Packing]],"")</f>
        <v/>
      </c>
      <c r="AY892" s="4" t="str" cm="1">
        <f t="array" ref="AY8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2" s="43" t="s">
        <v>173</v>
      </c>
      <c r="BB892" s="47" t="str">
        <f>IFERROR(IF(MARÍTIMOS[[#This Row],[Estatus]]="","",MARÍTIMOS[[#This Row],[Estatus]]),"")</f>
        <v/>
      </c>
      <c r="BC892" s="43"/>
      <c r="BD892" s="46" t="str">
        <f>IFERROR(OLDBD[[#This Row],[Salida de almacén de retiro]]-OLDBD[[#This Row],[Ingreso Almacén de retiro]],"")</f>
        <v/>
      </c>
      <c r="BE892" s="46" t="str">
        <f>IFERROR(OLDBD[[#This Row],[Fin de Carga]]-OLDBD[[#This Row],[Inicio de Carga]],"")</f>
        <v/>
      </c>
    </row>
    <row r="893" spans="1:57" customFormat="1" hidden="1">
      <c r="A893" s="1"/>
      <c r="B893" s="1" t="str">
        <f>IFERROR(IF(MARÍTIMOS[[#This Row],[PP]]="","",MARÍTIMOS[[#This Row],[PP]]),"")</f>
        <v/>
      </c>
      <c r="C893" s="1" t="str">
        <f>IFERROR(IF(MARÍTIMOS[[#This Row],[Sede]]="","",MARÍTIMOS[[#This Row],[Sede]]),"")</f>
        <v/>
      </c>
      <c r="D893" s="1" t="str">
        <f>IFERROR(IF(MARÍTIMOS[[#This Row],[Instruction]]="","",MARÍTIMOS[[#This Row],[Instruction]]),"")</f>
        <v/>
      </c>
      <c r="E893" s="1"/>
      <c r="F893" s="2" t="str">
        <f>IFERROR(IF(MARÍTIMOS[[#This Row],[Transportista]]="","",MARÍTIMOS[[#This Row],[Transportista]]),"")</f>
        <v/>
      </c>
      <c r="G893" s="2" t="str">
        <f>IFERROR(IF(MARÍTIMOS[[#This Row],[Tercero]]="","",MARÍTIMOS[[#This Row],[Tercero]]),"")</f>
        <v/>
      </c>
      <c r="H893" s="2" t="str">
        <f>IFERROR(IF(MARÍTIMOS[[#This Row],[Razón Social]]="","",MARÍTIMOS[[#This Row],[Razón Social]]),"")</f>
        <v/>
      </c>
      <c r="I893" s="2" t="str">
        <f>IFERROR(IF(MARÍTIMOS[[#This Row],[RUC]]="","",MARÍTIMOS[[#This Row],[RUC]]),"")</f>
        <v/>
      </c>
      <c r="J893" s="2" t="str">
        <f>IFERROR(IF(MARÍTIMOS[[#This Row],[Placa Tracto]]="","",MARÍTIMOS[[#This Row],[Placa Tracto]]),"")</f>
        <v/>
      </c>
      <c r="K893" s="2" t="str">
        <f>IFERROR(IF(MARÍTIMOS[[#This Row],[Placa Carreta]]="","",MARÍTIMOS[[#This Row],[Placa Carreta]]),"")</f>
        <v/>
      </c>
      <c r="L893" s="44" t="str">
        <f>IFERROR(IF(MARÍTIMOS[[#This Row],[Conductor]]="","",MARÍTIMOS[[#This Row],[Conductor]]),"")</f>
        <v/>
      </c>
      <c r="M893" s="2" t="str">
        <f>IFERROR(IF(MARÍTIMOS[[#This Row],[Licencia]]="","",MARÍTIMOS[[#This Row],[Licencia]]),"")</f>
        <v/>
      </c>
      <c r="N893" s="2" t="str">
        <f>IFERROR(IF(MARÍTIMOS[[#This Row],[Número de Contacto]]="","",MARÍTIMOS[[#This Row],[Número de Contacto]]),"")</f>
        <v/>
      </c>
      <c r="O893" s="10" t="str">
        <f>IFERROR(IF(MARÍTIMOS[[#This Row],[Booking|AWB|CRT]]="","",MARÍTIMOS[[#This Row],[Booking|AWB|CRT]]),"")</f>
        <v/>
      </c>
      <c r="P893" s="2" t="str">
        <f>IFERROR(IF(MARÍTIMOS[[#This Row],[Contenedor]]="","",MARÍTIMOS[[#This Row],[Contenedor]]),"")</f>
        <v/>
      </c>
      <c r="Q893" s="2" t="str">
        <f>IFERROR(IF(MARÍTIMOS[[#This Row],[Puerto de Retiro]]="","",MARÍTIMOS[[#This Row],[Puerto de Retiro]]),"")</f>
        <v/>
      </c>
      <c r="R893" s="2" t="str">
        <f>IFERROR(IF(MARÍTIMOS[[#This Row],[Almacén de Retiro]]="","",MARÍTIMOS[[#This Row],[Almacén de Retiro]]),"")</f>
        <v/>
      </c>
      <c r="S893" s="11" t="str">
        <f>IFERROR(IF(MARÍTIMOS[[#This Row],[Etapa Retiro - Cita]]="","",MARÍTIMOS[[#This Row],[Etapa Retiro - Cita]]),"")</f>
        <v/>
      </c>
      <c r="T893" s="11" t="str">
        <f>IFERROR(IF(MARÍTIMOS[[#This Row],[Etapa Retiro - Llegada]]="","",MARÍTIMOS[[#This Row],[Etapa Retiro - Llegada]]),"")</f>
        <v/>
      </c>
      <c r="U893" s="11" t="str">
        <f>IFERROR(IF(MARÍTIMOS[[#This Row],[Etapa Retiro - Ingreso]]="","",MARÍTIMOS[[#This Row],[Etapa Retiro - Ingreso]]),"")</f>
        <v/>
      </c>
      <c r="V893" s="11" t="str">
        <f>IFERROR(IF(MARÍTIMOS[[#This Row],[Etapa Retiro - Atención]]="","",MARÍTIMOS[[#This Row],[Etapa Retiro - Atención]]),"")</f>
        <v/>
      </c>
      <c r="W893" s="11" t="str">
        <f>IFERROR(IF(MARÍTIMOS[[#This Row],[Etapa Retiro - Atención]]="","",MARÍTIMOS[[#This Row],[Etapa Retiro - Atención]]),"")</f>
        <v/>
      </c>
      <c r="X893" s="11" t="str">
        <f>IFERROR(IF(MARÍTIMOS[[#This Row],[Etapa Retiro - Inicio de Ruta]]="","",MARÍTIMOS[[#This Row],[Etapa Retiro - Inicio de Ruta]]),"")</f>
        <v/>
      </c>
      <c r="Y893" s="11" t="str">
        <f>IFERROR(IF(MARÍTIMOS[[#This Row],[Hora de Posicionamiento]]="","",MARÍTIMOS[[#This Row],[Fecha de Carga]]+MARÍTIMOS[[#This Row],[Hora de Posicionamiento]]),"")</f>
        <v/>
      </c>
      <c r="Z893" s="11" t="str">
        <f>IFERROR(IF(MARÍTIMOS[[#This Row],[Etapa Despacho - Llegada]]="","",MARÍTIMOS[[#This Row],[Etapa Despacho - Llegada]]),"")</f>
        <v/>
      </c>
      <c r="AA893" s="11" t="str">
        <f>IFERROR(IF(MARÍTIMOS[[#This Row],[Etapa Despacho - Registro]]="","",MARÍTIMOS[[#This Row],[Etapa Despacho - Registro]]),"")</f>
        <v/>
      </c>
      <c r="AB893" s="11" t="str">
        <f>IFERROR(IF(MARÍTIMOS[[#This Row],[Inspección Externa]]="","",MARÍTIMOS[[#This Row],[Inspección Externa]]),"")</f>
        <v/>
      </c>
      <c r="AC893" s="11" t="str">
        <f>IFERROR(IF(MARÍTIMOS[[#This Row],[Etapa Despacho - Inicio de Carga]]="","",MARÍTIMOS[[#This Row],[Etapa Despacho - Inicio de Carga]]),"")</f>
        <v/>
      </c>
      <c r="AD893" s="11" t="str">
        <f>IFERROR(IF(MARÍTIMOS[[#This Row],[Etapa Despacho - Mitad de Carga]]="","",MARÍTIMOS[[#This Row],[Etapa Despacho - Mitad de Carga]]),"")</f>
        <v/>
      </c>
      <c r="AE893" s="11" t="str">
        <f>IFERROR(IF(MARÍTIMOS[[#This Row],[Etapa Despacho - Fin de Carga]]="","",MARÍTIMOS[[#This Row],[Etapa Despacho - Fin de Carga]]),"")</f>
        <v/>
      </c>
      <c r="AF893" s="2" t="str">
        <f>IFERROR(IF(MARÍTIMOS[[#This Row],[Puerto de Embarque]]="","",MARÍTIMOS[[#This Row],[Puerto de Embarque]]),"")</f>
        <v/>
      </c>
      <c r="AG893" s="2" t="str">
        <f>IFERROR(IF(MARÍTIMOS[[#This Row],[Almacén de Ingreso]]="","",MARÍTIMOS[[#This Row],[Almacén de Ingreso]]),"")</f>
        <v/>
      </c>
      <c r="AH893" s="11" t="str">
        <f>IFERROR(IF(MARÍTIMOS[[#This Row],[Etapa Ingreso - Cita]]="","",MARÍTIMOS[[#This Row],[Etapa Ingreso - Cita]]),"")</f>
        <v/>
      </c>
      <c r="AI893" s="11" t="str">
        <f>IFERROR(IF(MARÍTIMOS[[#This Row],[Etapa Ingreso - Llegada]]="","",MARÍTIMOS[[#This Row],[Etapa Ingreso - Llegada]]),"")</f>
        <v/>
      </c>
      <c r="AJ893" s="11" t="str">
        <f>IFERROR(IF(MARÍTIMOS[[#This Row],[Etapa Ingreso - Ingeso]]="","",MARÍTIMOS[[#This Row],[Etapa Ingreso - Ingeso]]),"")</f>
        <v/>
      </c>
      <c r="AK893" s="11" t="str">
        <f>IFERROR(IF(MARÍTIMOS[[#This Row],[Etapa Ingreso - Atención]]="","",MARÍTIMOS[[#This Row],[Etapa Ingreso - Atención]]),"")</f>
        <v/>
      </c>
      <c r="AL893" s="11" t="str">
        <f>IFERROR(IF(MARÍTIMOS[[#This Row],[Etapa Ingreso - Salida]]="","",MARÍTIMOS[[#This Row],[Etapa Ingreso - Salida]]),"")</f>
        <v/>
      </c>
      <c r="AM893" s="2" t="str">
        <f>IFERROR(IF(MARÍTIMOS[[#This Row],[FCL]]="","",MARÍTIMOS[[#This Row],[FCL]]),"")</f>
        <v/>
      </c>
      <c r="AN8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3" s="4" t="str" cm="1">
        <f t="array" ref="AO8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3" s="5" t="str">
        <f>IFERROR(OLDBD[[#This Row],[Llegada a packing]]-OLDBD[[#This Row],[Inicio de Ruta]],"")</f>
        <v/>
      </c>
      <c r="AQ893" s="6" t="str">
        <f>IFERROR(OLDBD[[#This Row],[Inicio de Ruta]]-OLDBD[[#This Row],[Salida de almacén de retiro]],"")</f>
        <v/>
      </c>
      <c r="AR8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3" s="8" t="str" cm="1">
        <f t="array" ref="AS8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3" s="9" t="str">
        <f>IFERROR(OLDBD[[#This Row],[Ingreso Packing]]-OLDBD[[#This Row],[Registro en Packing]],"")</f>
        <v/>
      </c>
      <c r="AV893" s="9" t="str">
        <f>IFERROR(OLDBD[[#This Row],[Ingreso Packing]]-OLDBD[[#This Row],[Llegada a packing]],"")</f>
        <v/>
      </c>
      <c r="AW8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3" s="5" t="str">
        <f>IFERROR(OLDBD[[#This Row],[Llegada Almacén de Ingreso]]-OLDBD[[#This Row],[Salida Packing]],"")</f>
        <v/>
      </c>
      <c r="AY893" s="4" t="str" cm="1">
        <f t="array" ref="AY8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3" s="43" t="s">
        <v>173</v>
      </c>
      <c r="BB893" s="47" t="str">
        <f>IFERROR(IF(MARÍTIMOS[[#This Row],[Estatus]]="","",MARÍTIMOS[[#This Row],[Estatus]]),"")</f>
        <v/>
      </c>
      <c r="BC893" s="43"/>
      <c r="BD893" s="46" t="str">
        <f>IFERROR(OLDBD[[#This Row],[Salida de almacén de retiro]]-OLDBD[[#This Row],[Ingreso Almacén de retiro]],"")</f>
        <v/>
      </c>
      <c r="BE893" s="46" t="str">
        <f>IFERROR(OLDBD[[#This Row],[Fin de Carga]]-OLDBD[[#This Row],[Inicio de Carga]],"")</f>
        <v/>
      </c>
    </row>
    <row r="894" spans="1:57" customFormat="1" hidden="1">
      <c r="A894" s="1"/>
      <c r="B894" s="1" t="str">
        <f>IFERROR(IF(MARÍTIMOS[[#This Row],[PP]]="","",MARÍTIMOS[[#This Row],[PP]]),"")</f>
        <v/>
      </c>
      <c r="C894" s="1" t="str">
        <f>IFERROR(IF(MARÍTIMOS[[#This Row],[Sede]]="","",MARÍTIMOS[[#This Row],[Sede]]),"")</f>
        <v/>
      </c>
      <c r="D894" s="1" t="str">
        <f>IFERROR(IF(MARÍTIMOS[[#This Row],[Instruction]]="","",MARÍTIMOS[[#This Row],[Instruction]]),"")</f>
        <v/>
      </c>
      <c r="E894" s="1"/>
      <c r="F894" s="2" t="str">
        <f>IFERROR(IF(MARÍTIMOS[[#This Row],[Transportista]]="","",MARÍTIMOS[[#This Row],[Transportista]]),"")</f>
        <v/>
      </c>
      <c r="G894" s="2" t="str">
        <f>IFERROR(IF(MARÍTIMOS[[#This Row],[Tercero]]="","",MARÍTIMOS[[#This Row],[Tercero]]),"")</f>
        <v/>
      </c>
      <c r="H894" s="2" t="str">
        <f>IFERROR(IF(MARÍTIMOS[[#This Row],[Razón Social]]="","",MARÍTIMOS[[#This Row],[Razón Social]]),"")</f>
        <v/>
      </c>
      <c r="I894" s="2" t="str">
        <f>IFERROR(IF(MARÍTIMOS[[#This Row],[RUC]]="","",MARÍTIMOS[[#This Row],[RUC]]),"")</f>
        <v/>
      </c>
      <c r="J894" s="2" t="str">
        <f>IFERROR(IF(MARÍTIMOS[[#This Row],[Placa Tracto]]="","",MARÍTIMOS[[#This Row],[Placa Tracto]]),"")</f>
        <v/>
      </c>
      <c r="K894" s="2" t="str">
        <f>IFERROR(IF(MARÍTIMOS[[#This Row],[Placa Carreta]]="","",MARÍTIMOS[[#This Row],[Placa Carreta]]),"")</f>
        <v/>
      </c>
      <c r="L894" s="44" t="str">
        <f>IFERROR(IF(MARÍTIMOS[[#This Row],[Conductor]]="","",MARÍTIMOS[[#This Row],[Conductor]]),"")</f>
        <v/>
      </c>
      <c r="M894" s="2" t="str">
        <f>IFERROR(IF(MARÍTIMOS[[#This Row],[Licencia]]="","",MARÍTIMOS[[#This Row],[Licencia]]),"")</f>
        <v/>
      </c>
      <c r="N894" s="2" t="str">
        <f>IFERROR(IF(MARÍTIMOS[[#This Row],[Número de Contacto]]="","",MARÍTIMOS[[#This Row],[Número de Contacto]]),"")</f>
        <v/>
      </c>
      <c r="O894" s="10" t="str">
        <f>IFERROR(IF(MARÍTIMOS[[#This Row],[Booking|AWB|CRT]]="","",MARÍTIMOS[[#This Row],[Booking|AWB|CRT]]),"")</f>
        <v/>
      </c>
      <c r="P894" s="2" t="str">
        <f>IFERROR(IF(MARÍTIMOS[[#This Row],[Contenedor]]="","",MARÍTIMOS[[#This Row],[Contenedor]]),"")</f>
        <v/>
      </c>
      <c r="Q894" s="2" t="str">
        <f>IFERROR(IF(MARÍTIMOS[[#This Row],[Puerto de Retiro]]="","",MARÍTIMOS[[#This Row],[Puerto de Retiro]]),"")</f>
        <v/>
      </c>
      <c r="R894" s="2" t="str">
        <f>IFERROR(IF(MARÍTIMOS[[#This Row],[Almacén de Retiro]]="","",MARÍTIMOS[[#This Row],[Almacén de Retiro]]),"")</f>
        <v/>
      </c>
      <c r="S894" s="11" t="str">
        <f>IFERROR(IF(MARÍTIMOS[[#This Row],[Etapa Retiro - Cita]]="","",MARÍTIMOS[[#This Row],[Etapa Retiro - Cita]]),"")</f>
        <v/>
      </c>
      <c r="T894" s="11" t="str">
        <f>IFERROR(IF(MARÍTIMOS[[#This Row],[Etapa Retiro - Llegada]]="","",MARÍTIMOS[[#This Row],[Etapa Retiro - Llegada]]),"")</f>
        <v/>
      </c>
      <c r="U894" s="11" t="str">
        <f>IFERROR(IF(MARÍTIMOS[[#This Row],[Etapa Retiro - Ingreso]]="","",MARÍTIMOS[[#This Row],[Etapa Retiro - Ingreso]]),"")</f>
        <v/>
      </c>
      <c r="V894" s="11" t="str">
        <f>IFERROR(IF(MARÍTIMOS[[#This Row],[Etapa Retiro - Atención]]="","",MARÍTIMOS[[#This Row],[Etapa Retiro - Atención]]),"")</f>
        <v/>
      </c>
      <c r="W894" s="11" t="str">
        <f>IFERROR(IF(MARÍTIMOS[[#This Row],[Etapa Retiro - Atención]]="","",MARÍTIMOS[[#This Row],[Etapa Retiro - Atención]]),"")</f>
        <v/>
      </c>
      <c r="X894" s="11" t="str">
        <f>IFERROR(IF(MARÍTIMOS[[#This Row],[Etapa Retiro - Inicio de Ruta]]="","",MARÍTIMOS[[#This Row],[Etapa Retiro - Inicio de Ruta]]),"")</f>
        <v/>
      </c>
      <c r="Y894" s="11" t="str">
        <f>IFERROR(IF(MARÍTIMOS[[#This Row],[Hora de Posicionamiento]]="","",MARÍTIMOS[[#This Row],[Fecha de Carga]]+MARÍTIMOS[[#This Row],[Hora de Posicionamiento]]),"")</f>
        <v/>
      </c>
      <c r="Z894" s="11" t="str">
        <f>IFERROR(IF(MARÍTIMOS[[#This Row],[Etapa Despacho - Llegada]]="","",MARÍTIMOS[[#This Row],[Etapa Despacho - Llegada]]),"")</f>
        <v/>
      </c>
      <c r="AA894" s="11" t="str">
        <f>IFERROR(IF(MARÍTIMOS[[#This Row],[Etapa Despacho - Registro]]="","",MARÍTIMOS[[#This Row],[Etapa Despacho - Registro]]),"")</f>
        <v/>
      </c>
      <c r="AB894" s="11" t="str">
        <f>IFERROR(IF(MARÍTIMOS[[#This Row],[Inspección Externa]]="","",MARÍTIMOS[[#This Row],[Inspección Externa]]),"")</f>
        <v/>
      </c>
      <c r="AC894" s="11" t="str">
        <f>IFERROR(IF(MARÍTIMOS[[#This Row],[Etapa Despacho - Inicio de Carga]]="","",MARÍTIMOS[[#This Row],[Etapa Despacho - Inicio de Carga]]),"")</f>
        <v/>
      </c>
      <c r="AD894" s="11" t="str">
        <f>IFERROR(IF(MARÍTIMOS[[#This Row],[Etapa Despacho - Mitad de Carga]]="","",MARÍTIMOS[[#This Row],[Etapa Despacho - Mitad de Carga]]),"")</f>
        <v/>
      </c>
      <c r="AE894" s="11" t="str">
        <f>IFERROR(IF(MARÍTIMOS[[#This Row],[Etapa Despacho - Fin de Carga]]="","",MARÍTIMOS[[#This Row],[Etapa Despacho - Fin de Carga]]),"")</f>
        <v/>
      </c>
      <c r="AF894" s="2" t="str">
        <f>IFERROR(IF(MARÍTIMOS[[#This Row],[Puerto de Embarque]]="","",MARÍTIMOS[[#This Row],[Puerto de Embarque]]),"")</f>
        <v/>
      </c>
      <c r="AG894" s="2" t="str">
        <f>IFERROR(IF(MARÍTIMOS[[#This Row],[Almacén de Ingreso]]="","",MARÍTIMOS[[#This Row],[Almacén de Ingreso]]),"")</f>
        <v/>
      </c>
      <c r="AH894" s="11" t="str">
        <f>IFERROR(IF(MARÍTIMOS[[#This Row],[Etapa Ingreso - Cita]]="","",MARÍTIMOS[[#This Row],[Etapa Ingreso - Cita]]),"")</f>
        <v/>
      </c>
      <c r="AI894" s="11" t="str">
        <f>IFERROR(IF(MARÍTIMOS[[#This Row],[Etapa Ingreso - Llegada]]="","",MARÍTIMOS[[#This Row],[Etapa Ingreso - Llegada]]),"")</f>
        <v/>
      </c>
      <c r="AJ894" s="11" t="str">
        <f>IFERROR(IF(MARÍTIMOS[[#This Row],[Etapa Ingreso - Ingeso]]="","",MARÍTIMOS[[#This Row],[Etapa Ingreso - Ingeso]]),"")</f>
        <v/>
      </c>
      <c r="AK894" s="11" t="str">
        <f>IFERROR(IF(MARÍTIMOS[[#This Row],[Etapa Ingreso - Atención]]="","",MARÍTIMOS[[#This Row],[Etapa Ingreso - Atención]]),"")</f>
        <v/>
      </c>
      <c r="AL894" s="11" t="str">
        <f>IFERROR(IF(MARÍTIMOS[[#This Row],[Etapa Ingreso - Salida]]="","",MARÍTIMOS[[#This Row],[Etapa Ingreso - Salida]]),"")</f>
        <v/>
      </c>
      <c r="AM894" s="2" t="str">
        <f>IFERROR(IF(MARÍTIMOS[[#This Row],[FCL]]="","",MARÍTIMOS[[#This Row],[FCL]]),"")</f>
        <v/>
      </c>
      <c r="AN8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4" s="4" t="str" cm="1">
        <f t="array" ref="AO8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4" s="5" t="str">
        <f>IFERROR(OLDBD[[#This Row],[Llegada a packing]]-OLDBD[[#This Row],[Inicio de Ruta]],"")</f>
        <v/>
      </c>
      <c r="AQ894" s="6" t="str">
        <f>IFERROR(OLDBD[[#This Row],[Inicio de Ruta]]-OLDBD[[#This Row],[Salida de almacén de retiro]],"")</f>
        <v/>
      </c>
      <c r="AR8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4" s="8" t="str" cm="1">
        <f t="array" ref="AS8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4" s="9" t="str">
        <f>IFERROR(OLDBD[[#This Row],[Ingreso Packing]]-OLDBD[[#This Row],[Registro en Packing]],"")</f>
        <v/>
      </c>
      <c r="AV894" s="9" t="str">
        <f>IFERROR(OLDBD[[#This Row],[Ingreso Packing]]-OLDBD[[#This Row],[Llegada a packing]],"")</f>
        <v/>
      </c>
      <c r="AW8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4" s="5" t="str">
        <f>IFERROR(OLDBD[[#This Row],[Llegada Almacén de Ingreso]]-OLDBD[[#This Row],[Salida Packing]],"")</f>
        <v/>
      </c>
      <c r="AY894" s="4" t="str" cm="1">
        <f t="array" ref="AY8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4" s="43" t="s">
        <v>173</v>
      </c>
      <c r="BB894" s="47" t="str">
        <f>IFERROR(IF(MARÍTIMOS[[#This Row],[Estatus]]="","",MARÍTIMOS[[#This Row],[Estatus]]),"")</f>
        <v/>
      </c>
      <c r="BC894" s="43"/>
      <c r="BD894" s="46" t="str">
        <f>IFERROR(OLDBD[[#This Row],[Salida de almacén de retiro]]-OLDBD[[#This Row],[Ingreso Almacén de retiro]],"")</f>
        <v/>
      </c>
      <c r="BE894" s="46" t="str">
        <f>IFERROR(OLDBD[[#This Row],[Fin de Carga]]-OLDBD[[#This Row],[Inicio de Carga]],"")</f>
        <v/>
      </c>
    </row>
    <row r="895" spans="1:57" customFormat="1" hidden="1">
      <c r="A895" s="1"/>
      <c r="B895" s="1" t="str">
        <f>IFERROR(IF(MARÍTIMOS[[#This Row],[PP]]="","",MARÍTIMOS[[#This Row],[PP]]),"")</f>
        <v/>
      </c>
      <c r="C895" s="1" t="str">
        <f>IFERROR(IF(MARÍTIMOS[[#This Row],[Sede]]="","",MARÍTIMOS[[#This Row],[Sede]]),"")</f>
        <v/>
      </c>
      <c r="D895" s="1" t="str">
        <f>IFERROR(IF(MARÍTIMOS[[#This Row],[Instruction]]="","",MARÍTIMOS[[#This Row],[Instruction]]),"")</f>
        <v/>
      </c>
      <c r="E895" s="1"/>
      <c r="F895" s="2" t="str">
        <f>IFERROR(IF(MARÍTIMOS[[#This Row],[Transportista]]="","",MARÍTIMOS[[#This Row],[Transportista]]),"")</f>
        <v/>
      </c>
      <c r="G895" s="2" t="str">
        <f>IFERROR(IF(MARÍTIMOS[[#This Row],[Tercero]]="","",MARÍTIMOS[[#This Row],[Tercero]]),"")</f>
        <v/>
      </c>
      <c r="H895" s="2" t="str">
        <f>IFERROR(IF(MARÍTIMOS[[#This Row],[Razón Social]]="","",MARÍTIMOS[[#This Row],[Razón Social]]),"")</f>
        <v/>
      </c>
      <c r="I895" s="2" t="str">
        <f>IFERROR(IF(MARÍTIMOS[[#This Row],[RUC]]="","",MARÍTIMOS[[#This Row],[RUC]]),"")</f>
        <v/>
      </c>
      <c r="J895" s="2" t="str">
        <f>IFERROR(IF(MARÍTIMOS[[#This Row],[Placa Tracto]]="","",MARÍTIMOS[[#This Row],[Placa Tracto]]),"")</f>
        <v/>
      </c>
      <c r="K895" s="2" t="str">
        <f>IFERROR(IF(MARÍTIMOS[[#This Row],[Placa Carreta]]="","",MARÍTIMOS[[#This Row],[Placa Carreta]]),"")</f>
        <v/>
      </c>
      <c r="L895" s="44" t="str">
        <f>IFERROR(IF(MARÍTIMOS[[#This Row],[Conductor]]="","",MARÍTIMOS[[#This Row],[Conductor]]),"")</f>
        <v/>
      </c>
      <c r="M895" s="2" t="str">
        <f>IFERROR(IF(MARÍTIMOS[[#This Row],[Licencia]]="","",MARÍTIMOS[[#This Row],[Licencia]]),"")</f>
        <v/>
      </c>
      <c r="N895" s="2" t="str">
        <f>IFERROR(IF(MARÍTIMOS[[#This Row],[Número de Contacto]]="","",MARÍTIMOS[[#This Row],[Número de Contacto]]),"")</f>
        <v/>
      </c>
      <c r="O895" s="10" t="str">
        <f>IFERROR(IF(MARÍTIMOS[[#This Row],[Booking|AWB|CRT]]="","",MARÍTIMOS[[#This Row],[Booking|AWB|CRT]]),"")</f>
        <v/>
      </c>
      <c r="P895" s="2" t="str">
        <f>IFERROR(IF(MARÍTIMOS[[#This Row],[Contenedor]]="","",MARÍTIMOS[[#This Row],[Contenedor]]),"")</f>
        <v/>
      </c>
      <c r="Q895" s="2" t="str">
        <f>IFERROR(IF(MARÍTIMOS[[#This Row],[Puerto de Retiro]]="","",MARÍTIMOS[[#This Row],[Puerto de Retiro]]),"")</f>
        <v/>
      </c>
      <c r="R895" s="2" t="str">
        <f>IFERROR(IF(MARÍTIMOS[[#This Row],[Almacén de Retiro]]="","",MARÍTIMOS[[#This Row],[Almacén de Retiro]]),"")</f>
        <v/>
      </c>
      <c r="S895" s="11" t="str">
        <f>IFERROR(IF(MARÍTIMOS[[#This Row],[Etapa Retiro - Cita]]="","",MARÍTIMOS[[#This Row],[Etapa Retiro - Cita]]),"")</f>
        <v/>
      </c>
      <c r="T895" s="11" t="str">
        <f>IFERROR(IF(MARÍTIMOS[[#This Row],[Etapa Retiro - Llegada]]="","",MARÍTIMOS[[#This Row],[Etapa Retiro - Llegada]]),"")</f>
        <v/>
      </c>
      <c r="U895" s="11" t="str">
        <f>IFERROR(IF(MARÍTIMOS[[#This Row],[Etapa Retiro - Ingreso]]="","",MARÍTIMOS[[#This Row],[Etapa Retiro - Ingreso]]),"")</f>
        <v/>
      </c>
      <c r="V895" s="11" t="str">
        <f>IFERROR(IF(MARÍTIMOS[[#This Row],[Etapa Retiro - Atención]]="","",MARÍTIMOS[[#This Row],[Etapa Retiro - Atención]]),"")</f>
        <v/>
      </c>
      <c r="W895" s="11" t="str">
        <f>IFERROR(IF(MARÍTIMOS[[#This Row],[Etapa Retiro - Atención]]="","",MARÍTIMOS[[#This Row],[Etapa Retiro - Atención]]),"")</f>
        <v/>
      </c>
      <c r="X895" s="11" t="str">
        <f>IFERROR(IF(MARÍTIMOS[[#This Row],[Etapa Retiro - Inicio de Ruta]]="","",MARÍTIMOS[[#This Row],[Etapa Retiro - Inicio de Ruta]]),"")</f>
        <v/>
      </c>
      <c r="Y895" s="11" t="str">
        <f>IFERROR(IF(MARÍTIMOS[[#This Row],[Hora de Posicionamiento]]="","",MARÍTIMOS[[#This Row],[Fecha de Carga]]+MARÍTIMOS[[#This Row],[Hora de Posicionamiento]]),"")</f>
        <v/>
      </c>
      <c r="Z895" s="11" t="str">
        <f>IFERROR(IF(MARÍTIMOS[[#This Row],[Etapa Despacho - Llegada]]="","",MARÍTIMOS[[#This Row],[Etapa Despacho - Llegada]]),"")</f>
        <v/>
      </c>
      <c r="AA895" s="11" t="str">
        <f>IFERROR(IF(MARÍTIMOS[[#This Row],[Etapa Despacho - Registro]]="","",MARÍTIMOS[[#This Row],[Etapa Despacho - Registro]]),"")</f>
        <v/>
      </c>
      <c r="AB895" s="11" t="str">
        <f>IFERROR(IF(MARÍTIMOS[[#This Row],[Inspección Externa]]="","",MARÍTIMOS[[#This Row],[Inspección Externa]]),"")</f>
        <v/>
      </c>
      <c r="AC895" s="11" t="str">
        <f>IFERROR(IF(MARÍTIMOS[[#This Row],[Etapa Despacho - Inicio de Carga]]="","",MARÍTIMOS[[#This Row],[Etapa Despacho - Inicio de Carga]]),"")</f>
        <v/>
      </c>
      <c r="AD895" s="11" t="str">
        <f>IFERROR(IF(MARÍTIMOS[[#This Row],[Etapa Despacho - Mitad de Carga]]="","",MARÍTIMOS[[#This Row],[Etapa Despacho - Mitad de Carga]]),"")</f>
        <v/>
      </c>
      <c r="AE895" s="11" t="str">
        <f>IFERROR(IF(MARÍTIMOS[[#This Row],[Etapa Despacho - Fin de Carga]]="","",MARÍTIMOS[[#This Row],[Etapa Despacho - Fin de Carga]]),"")</f>
        <v/>
      </c>
      <c r="AF895" s="2" t="str">
        <f>IFERROR(IF(MARÍTIMOS[[#This Row],[Puerto de Embarque]]="","",MARÍTIMOS[[#This Row],[Puerto de Embarque]]),"")</f>
        <v/>
      </c>
      <c r="AG895" s="2" t="str">
        <f>IFERROR(IF(MARÍTIMOS[[#This Row],[Almacén de Ingreso]]="","",MARÍTIMOS[[#This Row],[Almacén de Ingreso]]),"")</f>
        <v/>
      </c>
      <c r="AH895" s="11" t="str">
        <f>IFERROR(IF(MARÍTIMOS[[#This Row],[Etapa Ingreso - Cita]]="","",MARÍTIMOS[[#This Row],[Etapa Ingreso - Cita]]),"")</f>
        <v/>
      </c>
      <c r="AI895" s="11" t="str">
        <f>IFERROR(IF(MARÍTIMOS[[#This Row],[Etapa Ingreso - Llegada]]="","",MARÍTIMOS[[#This Row],[Etapa Ingreso - Llegada]]),"")</f>
        <v/>
      </c>
      <c r="AJ895" s="11" t="str">
        <f>IFERROR(IF(MARÍTIMOS[[#This Row],[Etapa Ingreso - Ingeso]]="","",MARÍTIMOS[[#This Row],[Etapa Ingreso - Ingeso]]),"")</f>
        <v/>
      </c>
      <c r="AK895" s="11" t="str">
        <f>IFERROR(IF(MARÍTIMOS[[#This Row],[Etapa Ingreso - Atención]]="","",MARÍTIMOS[[#This Row],[Etapa Ingreso - Atención]]),"")</f>
        <v/>
      </c>
      <c r="AL895" s="11" t="str">
        <f>IFERROR(IF(MARÍTIMOS[[#This Row],[Etapa Ingreso - Salida]]="","",MARÍTIMOS[[#This Row],[Etapa Ingreso - Salida]]),"")</f>
        <v/>
      </c>
      <c r="AM895" s="2" t="str">
        <f>IFERROR(IF(MARÍTIMOS[[#This Row],[FCL]]="","",MARÍTIMOS[[#This Row],[FCL]]),"")</f>
        <v/>
      </c>
      <c r="AN8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5" s="4" t="str" cm="1">
        <f t="array" ref="AO8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5" s="5" t="str">
        <f>IFERROR(OLDBD[[#This Row],[Llegada a packing]]-OLDBD[[#This Row],[Inicio de Ruta]],"")</f>
        <v/>
      </c>
      <c r="AQ895" s="6" t="str">
        <f>IFERROR(OLDBD[[#This Row],[Inicio de Ruta]]-OLDBD[[#This Row],[Salida de almacén de retiro]],"")</f>
        <v/>
      </c>
      <c r="AR8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5" s="8" t="str" cm="1">
        <f t="array" ref="AS8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5" s="9" t="str">
        <f>IFERROR(OLDBD[[#This Row],[Ingreso Packing]]-OLDBD[[#This Row],[Registro en Packing]],"")</f>
        <v/>
      </c>
      <c r="AV895" s="9" t="str">
        <f>IFERROR(OLDBD[[#This Row],[Ingreso Packing]]-OLDBD[[#This Row],[Llegada a packing]],"")</f>
        <v/>
      </c>
      <c r="AW8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5" s="5" t="str">
        <f>IFERROR(OLDBD[[#This Row],[Llegada Almacén de Ingreso]]-OLDBD[[#This Row],[Salida Packing]],"")</f>
        <v/>
      </c>
      <c r="AY895" s="4" t="str" cm="1">
        <f t="array" ref="AY8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5" s="43" t="s">
        <v>173</v>
      </c>
      <c r="BB895" s="47" t="str">
        <f>IFERROR(IF(MARÍTIMOS[[#This Row],[Estatus]]="","",MARÍTIMOS[[#This Row],[Estatus]]),"")</f>
        <v/>
      </c>
      <c r="BC895" s="43"/>
      <c r="BD895" s="46" t="str">
        <f>IFERROR(OLDBD[[#This Row],[Salida de almacén de retiro]]-OLDBD[[#This Row],[Ingreso Almacén de retiro]],"")</f>
        <v/>
      </c>
      <c r="BE895" s="46" t="str">
        <f>IFERROR(OLDBD[[#This Row],[Fin de Carga]]-OLDBD[[#This Row],[Inicio de Carga]],"")</f>
        <v/>
      </c>
    </row>
    <row r="896" spans="1:57" customFormat="1" hidden="1">
      <c r="A896" s="1"/>
      <c r="B896" s="1" t="str">
        <f>IFERROR(IF(MARÍTIMOS[[#This Row],[PP]]="","",MARÍTIMOS[[#This Row],[PP]]),"")</f>
        <v/>
      </c>
      <c r="C896" s="1" t="str">
        <f>IFERROR(IF(MARÍTIMOS[[#This Row],[Sede]]="","",MARÍTIMOS[[#This Row],[Sede]]),"")</f>
        <v/>
      </c>
      <c r="D896" s="1" t="str">
        <f>IFERROR(IF(MARÍTIMOS[[#This Row],[Instruction]]="","",MARÍTIMOS[[#This Row],[Instruction]]),"")</f>
        <v/>
      </c>
      <c r="E896" s="1"/>
      <c r="F896" s="2" t="str">
        <f>IFERROR(IF(MARÍTIMOS[[#This Row],[Transportista]]="","",MARÍTIMOS[[#This Row],[Transportista]]),"")</f>
        <v/>
      </c>
      <c r="G896" s="2" t="str">
        <f>IFERROR(IF(MARÍTIMOS[[#This Row],[Tercero]]="","",MARÍTIMOS[[#This Row],[Tercero]]),"")</f>
        <v/>
      </c>
      <c r="H896" s="2" t="str">
        <f>IFERROR(IF(MARÍTIMOS[[#This Row],[Razón Social]]="","",MARÍTIMOS[[#This Row],[Razón Social]]),"")</f>
        <v/>
      </c>
      <c r="I896" s="2" t="str">
        <f>IFERROR(IF(MARÍTIMOS[[#This Row],[RUC]]="","",MARÍTIMOS[[#This Row],[RUC]]),"")</f>
        <v/>
      </c>
      <c r="J896" s="2" t="str">
        <f>IFERROR(IF(MARÍTIMOS[[#This Row],[Placa Tracto]]="","",MARÍTIMOS[[#This Row],[Placa Tracto]]),"")</f>
        <v/>
      </c>
      <c r="K896" s="2" t="str">
        <f>IFERROR(IF(MARÍTIMOS[[#This Row],[Placa Carreta]]="","",MARÍTIMOS[[#This Row],[Placa Carreta]]),"")</f>
        <v/>
      </c>
      <c r="L896" s="44" t="str">
        <f>IFERROR(IF(MARÍTIMOS[[#This Row],[Conductor]]="","",MARÍTIMOS[[#This Row],[Conductor]]),"")</f>
        <v/>
      </c>
      <c r="M896" s="2" t="str">
        <f>IFERROR(IF(MARÍTIMOS[[#This Row],[Licencia]]="","",MARÍTIMOS[[#This Row],[Licencia]]),"")</f>
        <v/>
      </c>
      <c r="N896" s="2" t="str">
        <f>IFERROR(IF(MARÍTIMOS[[#This Row],[Número de Contacto]]="","",MARÍTIMOS[[#This Row],[Número de Contacto]]),"")</f>
        <v/>
      </c>
      <c r="O896" s="10" t="str">
        <f>IFERROR(IF(MARÍTIMOS[[#This Row],[Booking|AWB|CRT]]="","",MARÍTIMOS[[#This Row],[Booking|AWB|CRT]]),"")</f>
        <v/>
      </c>
      <c r="P896" s="2" t="str">
        <f>IFERROR(IF(MARÍTIMOS[[#This Row],[Contenedor]]="","",MARÍTIMOS[[#This Row],[Contenedor]]),"")</f>
        <v/>
      </c>
      <c r="Q896" s="2" t="str">
        <f>IFERROR(IF(MARÍTIMOS[[#This Row],[Puerto de Retiro]]="","",MARÍTIMOS[[#This Row],[Puerto de Retiro]]),"")</f>
        <v/>
      </c>
      <c r="R896" s="2" t="str">
        <f>IFERROR(IF(MARÍTIMOS[[#This Row],[Almacén de Retiro]]="","",MARÍTIMOS[[#This Row],[Almacén de Retiro]]),"")</f>
        <v/>
      </c>
      <c r="S896" s="11" t="str">
        <f>IFERROR(IF(MARÍTIMOS[[#This Row],[Etapa Retiro - Cita]]="","",MARÍTIMOS[[#This Row],[Etapa Retiro - Cita]]),"")</f>
        <v/>
      </c>
      <c r="T896" s="11" t="str">
        <f>IFERROR(IF(MARÍTIMOS[[#This Row],[Etapa Retiro - Llegada]]="","",MARÍTIMOS[[#This Row],[Etapa Retiro - Llegada]]),"")</f>
        <v/>
      </c>
      <c r="U896" s="11" t="str">
        <f>IFERROR(IF(MARÍTIMOS[[#This Row],[Etapa Retiro - Ingreso]]="","",MARÍTIMOS[[#This Row],[Etapa Retiro - Ingreso]]),"")</f>
        <v/>
      </c>
      <c r="V896" s="11" t="str">
        <f>IFERROR(IF(MARÍTIMOS[[#This Row],[Etapa Retiro - Atención]]="","",MARÍTIMOS[[#This Row],[Etapa Retiro - Atención]]),"")</f>
        <v/>
      </c>
      <c r="W896" s="11" t="str">
        <f>IFERROR(IF(MARÍTIMOS[[#This Row],[Etapa Retiro - Atención]]="","",MARÍTIMOS[[#This Row],[Etapa Retiro - Atención]]),"")</f>
        <v/>
      </c>
      <c r="X896" s="11" t="str">
        <f>IFERROR(IF(MARÍTIMOS[[#This Row],[Etapa Retiro - Inicio de Ruta]]="","",MARÍTIMOS[[#This Row],[Etapa Retiro - Inicio de Ruta]]),"")</f>
        <v/>
      </c>
      <c r="Y896" s="11" t="str">
        <f>IFERROR(IF(MARÍTIMOS[[#This Row],[Hora de Posicionamiento]]="","",MARÍTIMOS[[#This Row],[Fecha de Carga]]+MARÍTIMOS[[#This Row],[Hora de Posicionamiento]]),"")</f>
        <v/>
      </c>
      <c r="Z896" s="11" t="str">
        <f>IFERROR(IF(MARÍTIMOS[[#This Row],[Etapa Despacho - Llegada]]="","",MARÍTIMOS[[#This Row],[Etapa Despacho - Llegada]]),"")</f>
        <v/>
      </c>
      <c r="AA896" s="11" t="str">
        <f>IFERROR(IF(MARÍTIMOS[[#This Row],[Etapa Despacho - Registro]]="","",MARÍTIMOS[[#This Row],[Etapa Despacho - Registro]]),"")</f>
        <v/>
      </c>
      <c r="AB896" s="11" t="str">
        <f>IFERROR(IF(MARÍTIMOS[[#This Row],[Inspección Externa]]="","",MARÍTIMOS[[#This Row],[Inspección Externa]]),"")</f>
        <v/>
      </c>
      <c r="AC896" s="11" t="str">
        <f>IFERROR(IF(MARÍTIMOS[[#This Row],[Etapa Despacho - Inicio de Carga]]="","",MARÍTIMOS[[#This Row],[Etapa Despacho - Inicio de Carga]]),"")</f>
        <v/>
      </c>
      <c r="AD896" s="11" t="str">
        <f>IFERROR(IF(MARÍTIMOS[[#This Row],[Etapa Despacho - Mitad de Carga]]="","",MARÍTIMOS[[#This Row],[Etapa Despacho - Mitad de Carga]]),"")</f>
        <v/>
      </c>
      <c r="AE896" s="11" t="str">
        <f>IFERROR(IF(MARÍTIMOS[[#This Row],[Etapa Despacho - Fin de Carga]]="","",MARÍTIMOS[[#This Row],[Etapa Despacho - Fin de Carga]]),"")</f>
        <v/>
      </c>
      <c r="AF896" s="2" t="str">
        <f>IFERROR(IF(MARÍTIMOS[[#This Row],[Puerto de Embarque]]="","",MARÍTIMOS[[#This Row],[Puerto de Embarque]]),"")</f>
        <v/>
      </c>
      <c r="AG896" s="2" t="str">
        <f>IFERROR(IF(MARÍTIMOS[[#This Row],[Almacén de Ingreso]]="","",MARÍTIMOS[[#This Row],[Almacén de Ingreso]]),"")</f>
        <v/>
      </c>
      <c r="AH896" s="11" t="str">
        <f>IFERROR(IF(MARÍTIMOS[[#This Row],[Etapa Ingreso - Cita]]="","",MARÍTIMOS[[#This Row],[Etapa Ingreso - Cita]]),"")</f>
        <v/>
      </c>
      <c r="AI896" s="11" t="str">
        <f>IFERROR(IF(MARÍTIMOS[[#This Row],[Etapa Ingreso - Llegada]]="","",MARÍTIMOS[[#This Row],[Etapa Ingreso - Llegada]]),"")</f>
        <v/>
      </c>
      <c r="AJ896" s="11" t="str">
        <f>IFERROR(IF(MARÍTIMOS[[#This Row],[Etapa Ingreso - Ingeso]]="","",MARÍTIMOS[[#This Row],[Etapa Ingreso - Ingeso]]),"")</f>
        <v/>
      </c>
      <c r="AK896" s="11" t="str">
        <f>IFERROR(IF(MARÍTIMOS[[#This Row],[Etapa Ingreso - Atención]]="","",MARÍTIMOS[[#This Row],[Etapa Ingreso - Atención]]),"")</f>
        <v/>
      </c>
      <c r="AL896" s="11" t="str">
        <f>IFERROR(IF(MARÍTIMOS[[#This Row],[Etapa Ingreso - Salida]]="","",MARÍTIMOS[[#This Row],[Etapa Ingreso - Salida]]),"")</f>
        <v/>
      </c>
      <c r="AM896" s="2" t="str">
        <f>IFERROR(IF(MARÍTIMOS[[#This Row],[FCL]]="","",MARÍTIMOS[[#This Row],[FCL]]),"")</f>
        <v/>
      </c>
      <c r="AN8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6" s="4" t="str" cm="1">
        <f t="array" ref="AO8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6" s="5" t="str">
        <f>IFERROR(OLDBD[[#This Row],[Llegada a packing]]-OLDBD[[#This Row],[Inicio de Ruta]],"")</f>
        <v/>
      </c>
      <c r="AQ896" s="6" t="str">
        <f>IFERROR(OLDBD[[#This Row],[Inicio de Ruta]]-OLDBD[[#This Row],[Salida de almacén de retiro]],"")</f>
        <v/>
      </c>
      <c r="AR8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6" s="8" t="str" cm="1">
        <f t="array" ref="AS8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6" s="9" t="str">
        <f>IFERROR(OLDBD[[#This Row],[Ingreso Packing]]-OLDBD[[#This Row],[Registro en Packing]],"")</f>
        <v/>
      </c>
      <c r="AV896" s="9" t="str">
        <f>IFERROR(OLDBD[[#This Row],[Ingreso Packing]]-OLDBD[[#This Row],[Llegada a packing]],"")</f>
        <v/>
      </c>
      <c r="AW8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6" s="5" t="str">
        <f>IFERROR(OLDBD[[#This Row],[Llegada Almacén de Ingreso]]-OLDBD[[#This Row],[Salida Packing]],"")</f>
        <v/>
      </c>
      <c r="AY896" s="4" t="str" cm="1">
        <f t="array" ref="AY8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6" s="43" t="s">
        <v>173</v>
      </c>
      <c r="BB896" s="47" t="str">
        <f>IFERROR(IF(MARÍTIMOS[[#This Row],[Estatus]]="","",MARÍTIMOS[[#This Row],[Estatus]]),"")</f>
        <v/>
      </c>
      <c r="BC896" s="43"/>
      <c r="BD896" s="46" t="str">
        <f>IFERROR(OLDBD[[#This Row],[Salida de almacén de retiro]]-OLDBD[[#This Row],[Ingreso Almacén de retiro]],"")</f>
        <v/>
      </c>
      <c r="BE896" s="46" t="str">
        <f>IFERROR(OLDBD[[#This Row],[Fin de Carga]]-OLDBD[[#This Row],[Inicio de Carga]],"")</f>
        <v/>
      </c>
    </row>
    <row r="897" spans="1:57" customFormat="1" hidden="1">
      <c r="A897" s="1"/>
      <c r="B897" s="1" t="str">
        <f>IFERROR(IF(MARÍTIMOS[[#This Row],[PP]]="","",MARÍTIMOS[[#This Row],[PP]]),"")</f>
        <v/>
      </c>
      <c r="C897" s="1" t="str">
        <f>IFERROR(IF(MARÍTIMOS[[#This Row],[Sede]]="","",MARÍTIMOS[[#This Row],[Sede]]),"")</f>
        <v/>
      </c>
      <c r="D897" s="1" t="str">
        <f>IFERROR(IF(MARÍTIMOS[[#This Row],[Instruction]]="","",MARÍTIMOS[[#This Row],[Instruction]]),"")</f>
        <v/>
      </c>
      <c r="E897" s="1"/>
      <c r="F897" s="2" t="str">
        <f>IFERROR(IF(MARÍTIMOS[[#This Row],[Transportista]]="","",MARÍTIMOS[[#This Row],[Transportista]]),"")</f>
        <v/>
      </c>
      <c r="G897" s="2" t="str">
        <f>IFERROR(IF(MARÍTIMOS[[#This Row],[Tercero]]="","",MARÍTIMOS[[#This Row],[Tercero]]),"")</f>
        <v/>
      </c>
      <c r="H897" s="2" t="str">
        <f>IFERROR(IF(MARÍTIMOS[[#This Row],[Razón Social]]="","",MARÍTIMOS[[#This Row],[Razón Social]]),"")</f>
        <v/>
      </c>
      <c r="I897" s="2" t="str">
        <f>IFERROR(IF(MARÍTIMOS[[#This Row],[RUC]]="","",MARÍTIMOS[[#This Row],[RUC]]),"")</f>
        <v/>
      </c>
      <c r="J897" s="2" t="str">
        <f>IFERROR(IF(MARÍTIMOS[[#This Row],[Placa Tracto]]="","",MARÍTIMOS[[#This Row],[Placa Tracto]]),"")</f>
        <v/>
      </c>
      <c r="K897" s="2" t="str">
        <f>IFERROR(IF(MARÍTIMOS[[#This Row],[Placa Carreta]]="","",MARÍTIMOS[[#This Row],[Placa Carreta]]),"")</f>
        <v/>
      </c>
      <c r="L897" s="44" t="str">
        <f>IFERROR(IF(MARÍTIMOS[[#This Row],[Conductor]]="","",MARÍTIMOS[[#This Row],[Conductor]]),"")</f>
        <v/>
      </c>
      <c r="M897" s="2" t="str">
        <f>IFERROR(IF(MARÍTIMOS[[#This Row],[Licencia]]="","",MARÍTIMOS[[#This Row],[Licencia]]),"")</f>
        <v/>
      </c>
      <c r="N897" s="2" t="str">
        <f>IFERROR(IF(MARÍTIMOS[[#This Row],[Número de Contacto]]="","",MARÍTIMOS[[#This Row],[Número de Contacto]]),"")</f>
        <v/>
      </c>
      <c r="O897" s="10" t="str">
        <f>IFERROR(IF(MARÍTIMOS[[#This Row],[Booking|AWB|CRT]]="","",MARÍTIMOS[[#This Row],[Booking|AWB|CRT]]),"")</f>
        <v/>
      </c>
      <c r="P897" s="2" t="str">
        <f>IFERROR(IF(MARÍTIMOS[[#This Row],[Contenedor]]="","",MARÍTIMOS[[#This Row],[Contenedor]]),"")</f>
        <v/>
      </c>
      <c r="Q897" s="2" t="str">
        <f>IFERROR(IF(MARÍTIMOS[[#This Row],[Puerto de Retiro]]="","",MARÍTIMOS[[#This Row],[Puerto de Retiro]]),"")</f>
        <v/>
      </c>
      <c r="R897" s="2" t="str">
        <f>IFERROR(IF(MARÍTIMOS[[#This Row],[Almacén de Retiro]]="","",MARÍTIMOS[[#This Row],[Almacén de Retiro]]),"")</f>
        <v/>
      </c>
      <c r="S897" s="11" t="str">
        <f>IFERROR(IF(MARÍTIMOS[[#This Row],[Etapa Retiro - Cita]]="","",MARÍTIMOS[[#This Row],[Etapa Retiro - Cita]]),"")</f>
        <v/>
      </c>
      <c r="T897" s="11" t="str">
        <f>IFERROR(IF(MARÍTIMOS[[#This Row],[Etapa Retiro - Llegada]]="","",MARÍTIMOS[[#This Row],[Etapa Retiro - Llegada]]),"")</f>
        <v/>
      </c>
      <c r="U897" s="11" t="str">
        <f>IFERROR(IF(MARÍTIMOS[[#This Row],[Etapa Retiro - Ingreso]]="","",MARÍTIMOS[[#This Row],[Etapa Retiro - Ingreso]]),"")</f>
        <v/>
      </c>
      <c r="V897" s="11" t="str">
        <f>IFERROR(IF(MARÍTIMOS[[#This Row],[Etapa Retiro - Atención]]="","",MARÍTIMOS[[#This Row],[Etapa Retiro - Atención]]),"")</f>
        <v/>
      </c>
      <c r="W897" s="11" t="str">
        <f>IFERROR(IF(MARÍTIMOS[[#This Row],[Etapa Retiro - Atención]]="","",MARÍTIMOS[[#This Row],[Etapa Retiro - Atención]]),"")</f>
        <v/>
      </c>
      <c r="X897" s="11" t="str">
        <f>IFERROR(IF(MARÍTIMOS[[#This Row],[Etapa Retiro - Inicio de Ruta]]="","",MARÍTIMOS[[#This Row],[Etapa Retiro - Inicio de Ruta]]),"")</f>
        <v/>
      </c>
      <c r="Y897" s="11" t="str">
        <f>IFERROR(IF(MARÍTIMOS[[#This Row],[Hora de Posicionamiento]]="","",MARÍTIMOS[[#This Row],[Fecha de Carga]]+MARÍTIMOS[[#This Row],[Hora de Posicionamiento]]),"")</f>
        <v/>
      </c>
      <c r="Z897" s="11" t="str">
        <f>IFERROR(IF(MARÍTIMOS[[#This Row],[Etapa Despacho - Llegada]]="","",MARÍTIMOS[[#This Row],[Etapa Despacho - Llegada]]),"")</f>
        <v/>
      </c>
      <c r="AA897" s="11" t="str">
        <f>IFERROR(IF(MARÍTIMOS[[#This Row],[Etapa Despacho - Registro]]="","",MARÍTIMOS[[#This Row],[Etapa Despacho - Registro]]),"")</f>
        <v/>
      </c>
      <c r="AB897" s="11" t="str">
        <f>IFERROR(IF(MARÍTIMOS[[#This Row],[Inspección Externa]]="","",MARÍTIMOS[[#This Row],[Inspección Externa]]),"")</f>
        <v/>
      </c>
      <c r="AC897" s="11" t="str">
        <f>IFERROR(IF(MARÍTIMOS[[#This Row],[Etapa Despacho - Inicio de Carga]]="","",MARÍTIMOS[[#This Row],[Etapa Despacho - Inicio de Carga]]),"")</f>
        <v/>
      </c>
      <c r="AD897" s="11" t="str">
        <f>IFERROR(IF(MARÍTIMOS[[#This Row],[Etapa Despacho - Mitad de Carga]]="","",MARÍTIMOS[[#This Row],[Etapa Despacho - Mitad de Carga]]),"")</f>
        <v/>
      </c>
      <c r="AE897" s="11" t="str">
        <f>IFERROR(IF(MARÍTIMOS[[#This Row],[Etapa Despacho - Fin de Carga]]="","",MARÍTIMOS[[#This Row],[Etapa Despacho - Fin de Carga]]),"")</f>
        <v/>
      </c>
      <c r="AF897" s="2" t="str">
        <f>IFERROR(IF(MARÍTIMOS[[#This Row],[Puerto de Embarque]]="","",MARÍTIMOS[[#This Row],[Puerto de Embarque]]),"")</f>
        <v/>
      </c>
      <c r="AG897" s="2" t="str">
        <f>IFERROR(IF(MARÍTIMOS[[#This Row],[Almacén de Ingreso]]="","",MARÍTIMOS[[#This Row],[Almacén de Ingreso]]),"")</f>
        <v/>
      </c>
      <c r="AH897" s="11" t="str">
        <f>IFERROR(IF(MARÍTIMOS[[#This Row],[Etapa Ingreso - Cita]]="","",MARÍTIMOS[[#This Row],[Etapa Ingreso - Cita]]),"")</f>
        <v/>
      </c>
      <c r="AI897" s="11" t="str">
        <f>IFERROR(IF(MARÍTIMOS[[#This Row],[Etapa Ingreso - Llegada]]="","",MARÍTIMOS[[#This Row],[Etapa Ingreso - Llegada]]),"")</f>
        <v/>
      </c>
      <c r="AJ897" s="11" t="str">
        <f>IFERROR(IF(MARÍTIMOS[[#This Row],[Etapa Ingreso - Ingeso]]="","",MARÍTIMOS[[#This Row],[Etapa Ingreso - Ingeso]]),"")</f>
        <v/>
      </c>
      <c r="AK897" s="11" t="str">
        <f>IFERROR(IF(MARÍTIMOS[[#This Row],[Etapa Ingreso - Atención]]="","",MARÍTIMOS[[#This Row],[Etapa Ingreso - Atención]]),"")</f>
        <v/>
      </c>
      <c r="AL897" s="11" t="str">
        <f>IFERROR(IF(MARÍTIMOS[[#This Row],[Etapa Ingreso - Salida]]="","",MARÍTIMOS[[#This Row],[Etapa Ingreso - Salida]]),"")</f>
        <v/>
      </c>
      <c r="AM897" s="2" t="str">
        <f>IFERROR(IF(MARÍTIMOS[[#This Row],[FCL]]="","",MARÍTIMOS[[#This Row],[FCL]]),"")</f>
        <v/>
      </c>
      <c r="AN8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7" s="4" t="str" cm="1">
        <f t="array" ref="AO8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7" s="5" t="str">
        <f>IFERROR(OLDBD[[#This Row],[Llegada a packing]]-OLDBD[[#This Row],[Inicio de Ruta]],"")</f>
        <v/>
      </c>
      <c r="AQ897" s="6" t="str">
        <f>IFERROR(OLDBD[[#This Row],[Inicio de Ruta]]-OLDBD[[#This Row],[Salida de almacén de retiro]],"")</f>
        <v/>
      </c>
      <c r="AR8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7" s="8" t="str" cm="1">
        <f t="array" ref="AS8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7" s="9" t="str">
        <f>IFERROR(OLDBD[[#This Row],[Ingreso Packing]]-OLDBD[[#This Row],[Registro en Packing]],"")</f>
        <v/>
      </c>
      <c r="AV897" s="9" t="str">
        <f>IFERROR(OLDBD[[#This Row],[Ingreso Packing]]-OLDBD[[#This Row],[Llegada a packing]],"")</f>
        <v/>
      </c>
      <c r="AW8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7" s="5" t="str">
        <f>IFERROR(OLDBD[[#This Row],[Llegada Almacén de Ingreso]]-OLDBD[[#This Row],[Salida Packing]],"")</f>
        <v/>
      </c>
      <c r="AY897" s="4" t="str" cm="1">
        <f t="array" ref="AY8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7" s="43" t="s">
        <v>173</v>
      </c>
      <c r="BB897" s="47" t="str">
        <f>IFERROR(IF(MARÍTIMOS[[#This Row],[Estatus]]="","",MARÍTIMOS[[#This Row],[Estatus]]),"")</f>
        <v/>
      </c>
      <c r="BC897" s="43"/>
      <c r="BD897" s="46" t="str">
        <f>IFERROR(OLDBD[[#This Row],[Salida de almacén de retiro]]-OLDBD[[#This Row],[Ingreso Almacén de retiro]],"")</f>
        <v/>
      </c>
      <c r="BE897" s="46" t="str">
        <f>IFERROR(OLDBD[[#This Row],[Fin de Carga]]-OLDBD[[#This Row],[Inicio de Carga]],"")</f>
        <v/>
      </c>
    </row>
    <row r="898" spans="1:57" customFormat="1" hidden="1">
      <c r="A898" s="1"/>
      <c r="B898" s="1" t="str">
        <f>IFERROR(IF(MARÍTIMOS[[#This Row],[PP]]="","",MARÍTIMOS[[#This Row],[PP]]),"")</f>
        <v/>
      </c>
      <c r="C898" s="1" t="str">
        <f>IFERROR(IF(MARÍTIMOS[[#This Row],[Sede]]="","",MARÍTIMOS[[#This Row],[Sede]]),"")</f>
        <v/>
      </c>
      <c r="D898" s="1" t="str">
        <f>IFERROR(IF(MARÍTIMOS[[#This Row],[Instruction]]="","",MARÍTIMOS[[#This Row],[Instruction]]),"")</f>
        <v/>
      </c>
      <c r="E898" s="1"/>
      <c r="F898" s="2" t="str">
        <f>IFERROR(IF(MARÍTIMOS[[#This Row],[Transportista]]="","",MARÍTIMOS[[#This Row],[Transportista]]),"")</f>
        <v/>
      </c>
      <c r="G898" s="2" t="str">
        <f>IFERROR(IF(MARÍTIMOS[[#This Row],[Tercero]]="","",MARÍTIMOS[[#This Row],[Tercero]]),"")</f>
        <v/>
      </c>
      <c r="H898" s="2" t="str">
        <f>IFERROR(IF(MARÍTIMOS[[#This Row],[Razón Social]]="","",MARÍTIMOS[[#This Row],[Razón Social]]),"")</f>
        <v/>
      </c>
      <c r="I898" s="2" t="str">
        <f>IFERROR(IF(MARÍTIMOS[[#This Row],[RUC]]="","",MARÍTIMOS[[#This Row],[RUC]]),"")</f>
        <v/>
      </c>
      <c r="J898" s="2" t="str">
        <f>IFERROR(IF(MARÍTIMOS[[#This Row],[Placa Tracto]]="","",MARÍTIMOS[[#This Row],[Placa Tracto]]),"")</f>
        <v/>
      </c>
      <c r="K898" s="2" t="str">
        <f>IFERROR(IF(MARÍTIMOS[[#This Row],[Placa Carreta]]="","",MARÍTIMOS[[#This Row],[Placa Carreta]]),"")</f>
        <v/>
      </c>
      <c r="L898" s="44" t="str">
        <f>IFERROR(IF(MARÍTIMOS[[#This Row],[Conductor]]="","",MARÍTIMOS[[#This Row],[Conductor]]),"")</f>
        <v/>
      </c>
      <c r="M898" s="2" t="str">
        <f>IFERROR(IF(MARÍTIMOS[[#This Row],[Licencia]]="","",MARÍTIMOS[[#This Row],[Licencia]]),"")</f>
        <v/>
      </c>
      <c r="N898" s="2" t="str">
        <f>IFERROR(IF(MARÍTIMOS[[#This Row],[Número de Contacto]]="","",MARÍTIMOS[[#This Row],[Número de Contacto]]),"")</f>
        <v/>
      </c>
      <c r="O898" s="10" t="str">
        <f>IFERROR(IF(MARÍTIMOS[[#This Row],[Booking|AWB|CRT]]="","",MARÍTIMOS[[#This Row],[Booking|AWB|CRT]]),"")</f>
        <v/>
      </c>
      <c r="P898" s="2" t="str">
        <f>IFERROR(IF(MARÍTIMOS[[#This Row],[Contenedor]]="","",MARÍTIMOS[[#This Row],[Contenedor]]),"")</f>
        <v/>
      </c>
      <c r="Q898" s="2" t="str">
        <f>IFERROR(IF(MARÍTIMOS[[#This Row],[Puerto de Retiro]]="","",MARÍTIMOS[[#This Row],[Puerto de Retiro]]),"")</f>
        <v/>
      </c>
      <c r="R898" s="2" t="str">
        <f>IFERROR(IF(MARÍTIMOS[[#This Row],[Almacén de Retiro]]="","",MARÍTIMOS[[#This Row],[Almacén de Retiro]]),"")</f>
        <v/>
      </c>
      <c r="S898" s="11" t="str">
        <f>IFERROR(IF(MARÍTIMOS[[#This Row],[Etapa Retiro - Cita]]="","",MARÍTIMOS[[#This Row],[Etapa Retiro - Cita]]),"")</f>
        <v/>
      </c>
      <c r="T898" s="11" t="str">
        <f>IFERROR(IF(MARÍTIMOS[[#This Row],[Etapa Retiro - Llegada]]="","",MARÍTIMOS[[#This Row],[Etapa Retiro - Llegada]]),"")</f>
        <v/>
      </c>
      <c r="U898" s="11" t="str">
        <f>IFERROR(IF(MARÍTIMOS[[#This Row],[Etapa Retiro - Ingreso]]="","",MARÍTIMOS[[#This Row],[Etapa Retiro - Ingreso]]),"")</f>
        <v/>
      </c>
      <c r="V898" s="11" t="str">
        <f>IFERROR(IF(MARÍTIMOS[[#This Row],[Etapa Retiro - Atención]]="","",MARÍTIMOS[[#This Row],[Etapa Retiro - Atención]]),"")</f>
        <v/>
      </c>
      <c r="W898" s="11" t="str">
        <f>IFERROR(IF(MARÍTIMOS[[#This Row],[Etapa Retiro - Atención]]="","",MARÍTIMOS[[#This Row],[Etapa Retiro - Atención]]),"")</f>
        <v/>
      </c>
      <c r="X898" s="11" t="str">
        <f>IFERROR(IF(MARÍTIMOS[[#This Row],[Etapa Retiro - Inicio de Ruta]]="","",MARÍTIMOS[[#This Row],[Etapa Retiro - Inicio de Ruta]]),"")</f>
        <v/>
      </c>
      <c r="Y898" s="11" t="str">
        <f>IFERROR(IF(MARÍTIMOS[[#This Row],[Hora de Posicionamiento]]="","",MARÍTIMOS[[#This Row],[Fecha de Carga]]+MARÍTIMOS[[#This Row],[Hora de Posicionamiento]]),"")</f>
        <v/>
      </c>
      <c r="Z898" s="11" t="str">
        <f>IFERROR(IF(MARÍTIMOS[[#This Row],[Etapa Despacho - Llegada]]="","",MARÍTIMOS[[#This Row],[Etapa Despacho - Llegada]]),"")</f>
        <v/>
      </c>
      <c r="AA898" s="11" t="str">
        <f>IFERROR(IF(MARÍTIMOS[[#This Row],[Etapa Despacho - Registro]]="","",MARÍTIMOS[[#This Row],[Etapa Despacho - Registro]]),"")</f>
        <v/>
      </c>
      <c r="AB898" s="11" t="str">
        <f>IFERROR(IF(MARÍTIMOS[[#This Row],[Inspección Externa]]="","",MARÍTIMOS[[#This Row],[Inspección Externa]]),"")</f>
        <v/>
      </c>
      <c r="AC898" s="11" t="str">
        <f>IFERROR(IF(MARÍTIMOS[[#This Row],[Etapa Despacho - Inicio de Carga]]="","",MARÍTIMOS[[#This Row],[Etapa Despacho - Inicio de Carga]]),"")</f>
        <v/>
      </c>
      <c r="AD898" s="11" t="str">
        <f>IFERROR(IF(MARÍTIMOS[[#This Row],[Etapa Despacho - Mitad de Carga]]="","",MARÍTIMOS[[#This Row],[Etapa Despacho - Mitad de Carga]]),"")</f>
        <v/>
      </c>
      <c r="AE898" s="11" t="str">
        <f>IFERROR(IF(MARÍTIMOS[[#This Row],[Etapa Despacho - Fin de Carga]]="","",MARÍTIMOS[[#This Row],[Etapa Despacho - Fin de Carga]]),"")</f>
        <v/>
      </c>
      <c r="AF898" s="2" t="str">
        <f>IFERROR(IF(MARÍTIMOS[[#This Row],[Puerto de Embarque]]="","",MARÍTIMOS[[#This Row],[Puerto de Embarque]]),"")</f>
        <v/>
      </c>
      <c r="AG898" s="2" t="str">
        <f>IFERROR(IF(MARÍTIMOS[[#This Row],[Almacén de Ingreso]]="","",MARÍTIMOS[[#This Row],[Almacén de Ingreso]]),"")</f>
        <v/>
      </c>
      <c r="AH898" s="11" t="str">
        <f>IFERROR(IF(MARÍTIMOS[[#This Row],[Etapa Ingreso - Cita]]="","",MARÍTIMOS[[#This Row],[Etapa Ingreso - Cita]]),"")</f>
        <v/>
      </c>
      <c r="AI898" s="11" t="str">
        <f>IFERROR(IF(MARÍTIMOS[[#This Row],[Etapa Ingreso - Llegada]]="","",MARÍTIMOS[[#This Row],[Etapa Ingreso - Llegada]]),"")</f>
        <v/>
      </c>
      <c r="AJ898" s="11" t="str">
        <f>IFERROR(IF(MARÍTIMOS[[#This Row],[Etapa Ingreso - Ingeso]]="","",MARÍTIMOS[[#This Row],[Etapa Ingreso - Ingeso]]),"")</f>
        <v/>
      </c>
      <c r="AK898" s="11" t="str">
        <f>IFERROR(IF(MARÍTIMOS[[#This Row],[Etapa Ingreso - Atención]]="","",MARÍTIMOS[[#This Row],[Etapa Ingreso - Atención]]),"")</f>
        <v/>
      </c>
      <c r="AL898" s="11" t="str">
        <f>IFERROR(IF(MARÍTIMOS[[#This Row],[Etapa Ingreso - Salida]]="","",MARÍTIMOS[[#This Row],[Etapa Ingreso - Salida]]),"")</f>
        <v/>
      </c>
      <c r="AM898" s="2" t="str">
        <f>IFERROR(IF(MARÍTIMOS[[#This Row],[FCL]]="","",MARÍTIMOS[[#This Row],[FCL]]),"")</f>
        <v/>
      </c>
      <c r="AN8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8" s="4" t="str" cm="1">
        <f t="array" ref="AO8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8" s="5" t="str">
        <f>IFERROR(OLDBD[[#This Row],[Llegada a packing]]-OLDBD[[#This Row],[Inicio de Ruta]],"")</f>
        <v/>
      </c>
      <c r="AQ898" s="6" t="str">
        <f>IFERROR(OLDBD[[#This Row],[Inicio de Ruta]]-OLDBD[[#This Row],[Salida de almacén de retiro]],"")</f>
        <v/>
      </c>
      <c r="AR8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8" s="8" t="str" cm="1">
        <f t="array" ref="AS8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8" s="9" t="str">
        <f>IFERROR(OLDBD[[#This Row],[Ingreso Packing]]-OLDBD[[#This Row],[Registro en Packing]],"")</f>
        <v/>
      </c>
      <c r="AV898" s="9" t="str">
        <f>IFERROR(OLDBD[[#This Row],[Ingreso Packing]]-OLDBD[[#This Row],[Llegada a packing]],"")</f>
        <v/>
      </c>
      <c r="AW8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8" s="5" t="str">
        <f>IFERROR(OLDBD[[#This Row],[Llegada Almacén de Ingreso]]-OLDBD[[#This Row],[Salida Packing]],"")</f>
        <v/>
      </c>
      <c r="AY898" s="4" t="str" cm="1">
        <f t="array" ref="AY8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8" s="43" t="s">
        <v>173</v>
      </c>
      <c r="BB898" s="47" t="str">
        <f>IFERROR(IF(MARÍTIMOS[[#This Row],[Estatus]]="","",MARÍTIMOS[[#This Row],[Estatus]]),"")</f>
        <v/>
      </c>
      <c r="BC898" s="43"/>
      <c r="BD898" s="46" t="str">
        <f>IFERROR(OLDBD[[#This Row],[Salida de almacén de retiro]]-OLDBD[[#This Row],[Ingreso Almacén de retiro]],"")</f>
        <v/>
      </c>
      <c r="BE898" s="46" t="str">
        <f>IFERROR(OLDBD[[#This Row],[Fin de Carga]]-OLDBD[[#This Row],[Inicio de Carga]],"")</f>
        <v/>
      </c>
    </row>
    <row r="899" spans="1:57" customFormat="1" hidden="1">
      <c r="A899" s="1"/>
      <c r="B899" s="1" t="str">
        <f>IFERROR(IF(MARÍTIMOS[[#This Row],[PP]]="","",MARÍTIMOS[[#This Row],[PP]]),"")</f>
        <v/>
      </c>
      <c r="C899" s="1" t="str">
        <f>IFERROR(IF(MARÍTIMOS[[#This Row],[Sede]]="","",MARÍTIMOS[[#This Row],[Sede]]),"")</f>
        <v/>
      </c>
      <c r="D899" s="1" t="str">
        <f>IFERROR(IF(MARÍTIMOS[[#This Row],[Instruction]]="","",MARÍTIMOS[[#This Row],[Instruction]]),"")</f>
        <v/>
      </c>
      <c r="E899" s="1"/>
      <c r="F899" s="2" t="str">
        <f>IFERROR(IF(MARÍTIMOS[[#This Row],[Transportista]]="","",MARÍTIMOS[[#This Row],[Transportista]]),"")</f>
        <v/>
      </c>
      <c r="G899" s="2" t="str">
        <f>IFERROR(IF(MARÍTIMOS[[#This Row],[Tercero]]="","",MARÍTIMOS[[#This Row],[Tercero]]),"")</f>
        <v/>
      </c>
      <c r="H899" s="2" t="str">
        <f>IFERROR(IF(MARÍTIMOS[[#This Row],[Razón Social]]="","",MARÍTIMOS[[#This Row],[Razón Social]]),"")</f>
        <v/>
      </c>
      <c r="I899" s="2" t="str">
        <f>IFERROR(IF(MARÍTIMOS[[#This Row],[RUC]]="","",MARÍTIMOS[[#This Row],[RUC]]),"")</f>
        <v/>
      </c>
      <c r="J899" s="2" t="str">
        <f>IFERROR(IF(MARÍTIMOS[[#This Row],[Placa Tracto]]="","",MARÍTIMOS[[#This Row],[Placa Tracto]]),"")</f>
        <v/>
      </c>
      <c r="K899" s="2" t="str">
        <f>IFERROR(IF(MARÍTIMOS[[#This Row],[Placa Carreta]]="","",MARÍTIMOS[[#This Row],[Placa Carreta]]),"")</f>
        <v/>
      </c>
      <c r="L899" s="44" t="str">
        <f>IFERROR(IF(MARÍTIMOS[[#This Row],[Conductor]]="","",MARÍTIMOS[[#This Row],[Conductor]]),"")</f>
        <v/>
      </c>
      <c r="M899" s="2" t="str">
        <f>IFERROR(IF(MARÍTIMOS[[#This Row],[Licencia]]="","",MARÍTIMOS[[#This Row],[Licencia]]),"")</f>
        <v/>
      </c>
      <c r="N899" s="2" t="str">
        <f>IFERROR(IF(MARÍTIMOS[[#This Row],[Número de Contacto]]="","",MARÍTIMOS[[#This Row],[Número de Contacto]]),"")</f>
        <v/>
      </c>
      <c r="O899" s="10" t="str">
        <f>IFERROR(IF(MARÍTIMOS[[#This Row],[Booking|AWB|CRT]]="","",MARÍTIMOS[[#This Row],[Booking|AWB|CRT]]),"")</f>
        <v/>
      </c>
      <c r="P899" s="2" t="str">
        <f>IFERROR(IF(MARÍTIMOS[[#This Row],[Contenedor]]="","",MARÍTIMOS[[#This Row],[Contenedor]]),"")</f>
        <v/>
      </c>
      <c r="Q899" s="2" t="str">
        <f>IFERROR(IF(MARÍTIMOS[[#This Row],[Puerto de Retiro]]="","",MARÍTIMOS[[#This Row],[Puerto de Retiro]]),"")</f>
        <v/>
      </c>
      <c r="R899" s="2" t="str">
        <f>IFERROR(IF(MARÍTIMOS[[#This Row],[Almacén de Retiro]]="","",MARÍTIMOS[[#This Row],[Almacén de Retiro]]),"")</f>
        <v/>
      </c>
      <c r="S899" s="11" t="str">
        <f>IFERROR(IF(MARÍTIMOS[[#This Row],[Etapa Retiro - Cita]]="","",MARÍTIMOS[[#This Row],[Etapa Retiro - Cita]]),"")</f>
        <v/>
      </c>
      <c r="T899" s="11" t="str">
        <f>IFERROR(IF(MARÍTIMOS[[#This Row],[Etapa Retiro - Llegada]]="","",MARÍTIMOS[[#This Row],[Etapa Retiro - Llegada]]),"")</f>
        <v/>
      </c>
      <c r="U899" s="11" t="str">
        <f>IFERROR(IF(MARÍTIMOS[[#This Row],[Etapa Retiro - Ingreso]]="","",MARÍTIMOS[[#This Row],[Etapa Retiro - Ingreso]]),"")</f>
        <v/>
      </c>
      <c r="V899" s="11" t="str">
        <f>IFERROR(IF(MARÍTIMOS[[#This Row],[Etapa Retiro - Atención]]="","",MARÍTIMOS[[#This Row],[Etapa Retiro - Atención]]),"")</f>
        <v/>
      </c>
      <c r="W899" s="11" t="str">
        <f>IFERROR(IF(MARÍTIMOS[[#This Row],[Etapa Retiro - Atención]]="","",MARÍTIMOS[[#This Row],[Etapa Retiro - Atención]]),"")</f>
        <v/>
      </c>
      <c r="X899" s="11" t="str">
        <f>IFERROR(IF(MARÍTIMOS[[#This Row],[Etapa Retiro - Inicio de Ruta]]="","",MARÍTIMOS[[#This Row],[Etapa Retiro - Inicio de Ruta]]),"")</f>
        <v/>
      </c>
      <c r="Y899" s="11" t="str">
        <f>IFERROR(IF(MARÍTIMOS[[#This Row],[Hora de Posicionamiento]]="","",MARÍTIMOS[[#This Row],[Fecha de Carga]]+MARÍTIMOS[[#This Row],[Hora de Posicionamiento]]),"")</f>
        <v/>
      </c>
      <c r="Z899" s="11" t="str">
        <f>IFERROR(IF(MARÍTIMOS[[#This Row],[Etapa Despacho - Llegada]]="","",MARÍTIMOS[[#This Row],[Etapa Despacho - Llegada]]),"")</f>
        <v/>
      </c>
      <c r="AA899" s="11" t="str">
        <f>IFERROR(IF(MARÍTIMOS[[#This Row],[Etapa Despacho - Registro]]="","",MARÍTIMOS[[#This Row],[Etapa Despacho - Registro]]),"")</f>
        <v/>
      </c>
      <c r="AB899" s="11" t="str">
        <f>IFERROR(IF(MARÍTIMOS[[#This Row],[Inspección Externa]]="","",MARÍTIMOS[[#This Row],[Inspección Externa]]),"")</f>
        <v/>
      </c>
      <c r="AC899" s="11" t="str">
        <f>IFERROR(IF(MARÍTIMOS[[#This Row],[Etapa Despacho - Inicio de Carga]]="","",MARÍTIMOS[[#This Row],[Etapa Despacho - Inicio de Carga]]),"")</f>
        <v/>
      </c>
      <c r="AD899" s="11" t="str">
        <f>IFERROR(IF(MARÍTIMOS[[#This Row],[Etapa Despacho - Mitad de Carga]]="","",MARÍTIMOS[[#This Row],[Etapa Despacho - Mitad de Carga]]),"")</f>
        <v/>
      </c>
      <c r="AE899" s="11" t="str">
        <f>IFERROR(IF(MARÍTIMOS[[#This Row],[Etapa Despacho - Fin de Carga]]="","",MARÍTIMOS[[#This Row],[Etapa Despacho - Fin de Carga]]),"")</f>
        <v/>
      </c>
      <c r="AF899" s="2" t="str">
        <f>IFERROR(IF(MARÍTIMOS[[#This Row],[Puerto de Embarque]]="","",MARÍTIMOS[[#This Row],[Puerto de Embarque]]),"")</f>
        <v/>
      </c>
      <c r="AG899" s="2" t="str">
        <f>IFERROR(IF(MARÍTIMOS[[#This Row],[Almacén de Ingreso]]="","",MARÍTIMOS[[#This Row],[Almacén de Ingreso]]),"")</f>
        <v/>
      </c>
      <c r="AH899" s="11" t="str">
        <f>IFERROR(IF(MARÍTIMOS[[#This Row],[Etapa Ingreso - Cita]]="","",MARÍTIMOS[[#This Row],[Etapa Ingreso - Cita]]),"")</f>
        <v/>
      </c>
      <c r="AI899" s="11" t="str">
        <f>IFERROR(IF(MARÍTIMOS[[#This Row],[Etapa Ingreso - Llegada]]="","",MARÍTIMOS[[#This Row],[Etapa Ingreso - Llegada]]),"")</f>
        <v/>
      </c>
      <c r="AJ899" s="11" t="str">
        <f>IFERROR(IF(MARÍTIMOS[[#This Row],[Etapa Ingreso - Ingeso]]="","",MARÍTIMOS[[#This Row],[Etapa Ingreso - Ingeso]]),"")</f>
        <v/>
      </c>
      <c r="AK899" s="11" t="str">
        <f>IFERROR(IF(MARÍTIMOS[[#This Row],[Etapa Ingreso - Atención]]="","",MARÍTIMOS[[#This Row],[Etapa Ingreso - Atención]]),"")</f>
        <v/>
      </c>
      <c r="AL899" s="11" t="str">
        <f>IFERROR(IF(MARÍTIMOS[[#This Row],[Etapa Ingreso - Salida]]="","",MARÍTIMOS[[#This Row],[Etapa Ingreso - Salida]]),"")</f>
        <v/>
      </c>
      <c r="AM899" s="2" t="str">
        <f>IFERROR(IF(MARÍTIMOS[[#This Row],[FCL]]="","",MARÍTIMOS[[#This Row],[FCL]]),"")</f>
        <v/>
      </c>
      <c r="AN8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899" s="4" t="str" cm="1">
        <f t="array" ref="AO8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899" s="5" t="str">
        <f>IFERROR(OLDBD[[#This Row],[Llegada a packing]]-OLDBD[[#This Row],[Inicio de Ruta]],"")</f>
        <v/>
      </c>
      <c r="AQ899" s="6" t="str">
        <f>IFERROR(OLDBD[[#This Row],[Inicio de Ruta]]-OLDBD[[#This Row],[Salida de almacén de retiro]],"")</f>
        <v/>
      </c>
      <c r="AR8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899" s="8" t="str" cm="1">
        <f t="array" ref="AS8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8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899" s="9" t="str">
        <f>IFERROR(OLDBD[[#This Row],[Ingreso Packing]]-OLDBD[[#This Row],[Registro en Packing]],"")</f>
        <v/>
      </c>
      <c r="AV899" s="9" t="str">
        <f>IFERROR(OLDBD[[#This Row],[Ingreso Packing]]-OLDBD[[#This Row],[Llegada a packing]],"")</f>
        <v/>
      </c>
      <c r="AW8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899" s="5" t="str">
        <f>IFERROR(OLDBD[[#This Row],[Llegada Almacén de Ingreso]]-OLDBD[[#This Row],[Salida Packing]],"")</f>
        <v/>
      </c>
      <c r="AY899" s="4" t="str" cm="1">
        <f t="array" ref="AY8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8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899" s="43" t="s">
        <v>173</v>
      </c>
      <c r="BB899" s="47" t="str">
        <f>IFERROR(IF(MARÍTIMOS[[#This Row],[Estatus]]="","",MARÍTIMOS[[#This Row],[Estatus]]),"")</f>
        <v/>
      </c>
      <c r="BC899" s="43"/>
      <c r="BD899" s="46" t="str">
        <f>IFERROR(OLDBD[[#This Row],[Salida de almacén de retiro]]-OLDBD[[#This Row],[Ingreso Almacén de retiro]],"")</f>
        <v/>
      </c>
      <c r="BE899" s="46" t="str">
        <f>IFERROR(OLDBD[[#This Row],[Fin de Carga]]-OLDBD[[#This Row],[Inicio de Carga]],"")</f>
        <v/>
      </c>
    </row>
    <row r="900" spans="1:57" customFormat="1" hidden="1">
      <c r="A900" s="1"/>
      <c r="B900" s="1" t="str">
        <f>IFERROR(IF(MARÍTIMOS[[#This Row],[PP]]="","",MARÍTIMOS[[#This Row],[PP]]),"")</f>
        <v/>
      </c>
      <c r="C900" s="1" t="str">
        <f>IFERROR(IF(MARÍTIMOS[[#This Row],[Sede]]="","",MARÍTIMOS[[#This Row],[Sede]]),"")</f>
        <v/>
      </c>
      <c r="D900" s="1" t="str">
        <f>IFERROR(IF(MARÍTIMOS[[#This Row],[Instruction]]="","",MARÍTIMOS[[#This Row],[Instruction]]),"")</f>
        <v/>
      </c>
      <c r="E900" s="1"/>
      <c r="F900" s="2" t="str">
        <f>IFERROR(IF(MARÍTIMOS[[#This Row],[Transportista]]="","",MARÍTIMOS[[#This Row],[Transportista]]),"")</f>
        <v/>
      </c>
      <c r="G900" s="2" t="str">
        <f>IFERROR(IF(MARÍTIMOS[[#This Row],[Tercero]]="","",MARÍTIMOS[[#This Row],[Tercero]]),"")</f>
        <v/>
      </c>
      <c r="H900" s="2" t="str">
        <f>IFERROR(IF(MARÍTIMOS[[#This Row],[Razón Social]]="","",MARÍTIMOS[[#This Row],[Razón Social]]),"")</f>
        <v/>
      </c>
      <c r="I900" s="2" t="str">
        <f>IFERROR(IF(MARÍTIMOS[[#This Row],[RUC]]="","",MARÍTIMOS[[#This Row],[RUC]]),"")</f>
        <v/>
      </c>
      <c r="J900" s="2" t="str">
        <f>IFERROR(IF(MARÍTIMOS[[#This Row],[Placa Tracto]]="","",MARÍTIMOS[[#This Row],[Placa Tracto]]),"")</f>
        <v/>
      </c>
      <c r="K900" s="2" t="str">
        <f>IFERROR(IF(MARÍTIMOS[[#This Row],[Placa Carreta]]="","",MARÍTIMOS[[#This Row],[Placa Carreta]]),"")</f>
        <v/>
      </c>
      <c r="L900" s="44" t="str">
        <f>IFERROR(IF(MARÍTIMOS[[#This Row],[Conductor]]="","",MARÍTIMOS[[#This Row],[Conductor]]),"")</f>
        <v/>
      </c>
      <c r="M900" s="2" t="str">
        <f>IFERROR(IF(MARÍTIMOS[[#This Row],[Licencia]]="","",MARÍTIMOS[[#This Row],[Licencia]]),"")</f>
        <v/>
      </c>
      <c r="N900" s="2" t="str">
        <f>IFERROR(IF(MARÍTIMOS[[#This Row],[Número de Contacto]]="","",MARÍTIMOS[[#This Row],[Número de Contacto]]),"")</f>
        <v/>
      </c>
      <c r="O900" s="10" t="str">
        <f>IFERROR(IF(MARÍTIMOS[[#This Row],[Booking|AWB|CRT]]="","",MARÍTIMOS[[#This Row],[Booking|AWB|CRT]]),"")</f>
        <v/>
      </c>
      <c r="P900" s="2" t="str">
        <f>IFERROR(IF(MARÍTIMOS[[#This Row],[Contenedor]]="","",MARÍTIMOS[[#This Row],[Contenedor]]),"")</f>
        <v/>
      </c>
      <c r="Q900" s="2" t="str">
        <f>IFERROR(IF(MARÍTIMOS[[#This Row],[Puerto de Retiro]]="","",MARÍTIMOS[[#This Row],[Puerto de Retiro]]),"")</f>
        <v/>
      </c>
      <c r="R900" s="2" t="str">
        <f>IFERROR(IF(MARÍTIMOS[[#This Row],[Almacén de Retiro]]="","",MARÍTIMOS[[#This Row],[Almacén de Retiro]]),"")</f>
        <v/>
      </c>
      <c r="S900" s="11" t="str">
        <f>IFERROR(IF(MARÍTIMOS[[#This Row],[Etapa Retiro - Cita]]="","",MARÍTIMOS[[#This Row],[Etapa Retiro - Cita]]),"")</f>
        <v/>
      </c>
      <c r="T900" s="11" t="str">
        <f>IFERROR(IF(MARÍTIMOS[[#This Row],[Etapa Retiro - Llegada]]="","",MARÍTIMOS[[#This Row],[Etapa Retiro - Llegada]]),"")</f>
        <v/>
      </c>
      <c r="U900" s="11" t="str">
        <f>IFERROR(IF(MARÍTIMOS[[#This Row],[Etapa Retiro - Ingreso]]="","",MARÍTIMOS[[#This Row],[Etapa Retiro - Ingreso]]),"")</f>
        <v/>
      </c>
      <c r="V900" s="11" t="str">
        <f>IFERROR(IF(MARÍTIMOS[[#This Row],[Etapa Retiro - Atención]]="","",MARÍTIMOS[[#This Row],[Etapa Retiro - Atención]]),"")</f>
        <v/>
      </c>
      <c r="W900" s="11" t="str">
        <f>IFERROR(IF(MARÍTIMOS[[#This Row],[Etapa Retiro - Atención]]="","",MARÍTIMOS[[#This Row],[Etapa Retiro - Atención]]),"")</f>
        <v/>
      </c>
      <c r="X900" s="11" t="str">
        <f>IFERROR(IF(MARÍTIMOS[[#This Row],[Etapa Retiro - Inicio de Ruta]]="","",MARÍTIMOS[[#This Row],[Etapa Retiro - Inicio de Ruta]]),"")</f>
        <v/>
      </c>
      <c r="Y900" s="11" t="str">
        <f>IFERROR(IF(MARÍTIMOS[[#This Row],[Hora de Posicionamiento]]="","",MARÍTIMOS[[#This Row],[Fecha de Carga]]+MARÍTIMOS[[#This Row],[Hora de Posicionamiento]]),"")</f>
        <v/>
      </c>
      <c r="Z900" s="11" t="str">
        <f>IFERROR(IF(MARÍTIMOS[[#This Row],[Etapa Despacho - Llegada]]="","",MARÍTIMOS[[#This Row],[Etapa Despacho - Llegada]]),"")</f>
        <v/>
      </c>
      <c r="AA900" s="11" t="str">
        <f>IFERROR(IF(MARÍTIMOS[[#This Row],[Etapa Despacho - Registro]]="","",MARÍTIMOS[[#This Row],[Etapa Despacho - Registro]]),"")</f>
        <v/>
      </c>
      <c r="AB900" s="11" t="str">
        <f>IFERROR(IF(MARÍTIMOS[[#This Row],[Inspección Externa]]="","",MARÍTIMOS[[#This Row],[Inspección Externa]]),"")</f>
        <v/>
      </c>
      <c r="AC900" s="11" t="str">
        <f>IFERROR(IF(MARÍTIMOS[[#This Row],[Etapa Despacho - Inicio de Carga]]="","",MARÍTIMOS[[#This Row],[Etapa Despacho - Inicio de Carga]]),"")</f>
        <v/>
      </c>
      <c r="AD900" s="11" t="str">
        <f>IFERROR(IF(MARÍTIMOS[[#This Row],[Etapa Despacho - Mitad de Carga]]="","",MARÍTIMOS[[#This Row],[Etapa Despacho - Mitad de Carga]]),"")</f>
        <v/>
      </c>
      <c r="AE900" s="11" t="str">
        <f>IFERROR(IF(MARÍTIMOS[[#This Row],[Etapa Despacho - Fin de Carga]]="","",MARÍTIMOS[[#This Row],[Etapa Despacho - Fin de Carga]]),"")</f>
        <v/>
      </c>
      <c r="AF900" s="2" t="str">
        <f>IFERROR(IF(MARÍTIMOS[[#This Row],[Puerto de Embarque]]="","",MARÍTIMOS[[#This Row],[Puerto de Embarque]]),"")</f>
        <v/>
      </c>
      <c r="AG900" s="2" t="str">
        <f>IFERROR(IF(MARÍTIMOS[[#This Row],[Almacén de Ingreso]]="","",MARÍTIMOS[[#This Row],[Almacén de Ingreso]]),"")</f>
        <v/>
      </c>
      <c r="AH900" s="11" t="str">
        <f>IFERROR(IF(MARÍTIMOS[[#This Row],[Etapa Ingreso - Cita]]="","",MARÍTIMOS[[#This Row],[Etapa Ingreso - Cita]]),"")</f>
        <v/>
      </c>
      <c r="AI900" s="11" t="str">
        <f>IFERROR(IF(MARÍTIMOS[[#This Row],[Etapa Ingreso - Llegada]]="","",MARÍTIMOS[[#This Row],[Etapa Ingreso - Llegada]]),"")</f>
        <v/>
      </c>
      <c r="AJ900" s="11" t="str">
        <f>IFERROR(IF(MARÍTIMOS[[#This Row],[Etapa Ingreso - Ingeso]]="","",MARÍTIMOS[[#This Row],[Etapa Ingreso - Ingeso]]),"")</f>
        <v/>
      </c>
      <c r="AK900" s="11" t="str">
        <f>IFERROR(IF(MARÍTIMOS[[#This Row],[Etapa Ingreso - Atención]]="","",MARÍTIMOS[[#This Row],[Etapa Ingreso - Atención]]),"")</f>
        <v/>
      </c>
      <c r="AL900" s="11" t="str">
        <f>IFERROR(IF(MARÍTIMOS[[#This Row],[Etapa Ingreso - Salida]]="","",MARÍTIMOS[[#This Row],[Etapa Ingreso - Salida]]),"")</f>
        <v/>
      </c>
      <c r="AM900" s="2" t="str">
        <f>IFERROR(IF(MARÍTIMOS[[#This Row],[FCL]]="","",MARÍTIMOS[[#This Row],[FCL]]),"")</f>
        <v/>
      </c>
      <c r="AN9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0" s="4" t="str" cm="1">
        <f t="array" ref="AO9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0" s="5" t="str">
        <f>IFERROR(OLDBD[[#This Row],[Llegada a packing]]-OLDBD[[#This Row],[Inicio de Ruta]],"")</f>
        <v/>
      </c>
      <c r="AQ900" s="6" t="str">
        <f>IFERROR(OLDBD[[#This Row],[Inicio de Ruta]]-OLDBD[[#This Row],[Salida de almacén de retiro]],"")</f>
        <v/>
      </c>
      <c r="AR9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0" s="8" t="str" cm="1">
        <f t="array" ref="AS9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0" s="9" t="str">
        <f>IFERROR(OLDBD[[#This Row],[Ingreso Packing]]-OLDBD[[#This Row],[Registro en Packing]],"")</f>
        <v/>
      </c>
      <c r="AV900" s="9" t="str">
        <f>IFERROR(OLDBD[[#This Row],[Ingreso Packing]]-OLDBD[[#This Row],[Llegada a packing]],"")</f>
        <v/>
      </c>
      <c r="AW9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0" s="5" t="str">
        <f>IFERROR(OLDBD[[#This Row],[Llegada Almacén de Ingreso]]-OLDBD[[#This Row],[Salida Packing]],"")</f>
        <v/>
      </c>
      <c r="AY900" s="4" t="str" cm="1">
        <f t="array" ref="AY9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0" s="43" t="s">
        <v>173</v>
      </c>
      <c r="BB900" s="47" t="str">
        <f>IFERROR(IF(MARÍTIMOS[[#This Row],[Estatus]]="","",MARÍTIMOS[[#This Row],[Estatus]]),"")</f>
        <v/>
      </c>
      <c r="BC900" s="43"/>
      <c r="BD900" s="46" t="str">
        <f>IFERROR(OLDBD[[#This Row],[Salida de almacén de retiro]]-OLDBD[[#This Row],[Ingreso Almacén de retiro]],"")</f>
        <v/>
      </c>
      <c r="BE900" s="46" t="str">
        <f>IFERROR(OLDBD[[#This Row],[Fin de Carga]]-OLDBD[[#This Row],[Inicio de Carga]],"")</f>
        <v/>
      </c>
    </row>
    <row r="901" spans="1:57" customFormat="1" hidden="1">
      <c r="A901" s="1"/>
      <c r="B901" s="1" t="str">
        <f>IFERROR(IF(MARÍTIMOS[[#This Row],[PP]]="","",MARÍTIMOS[[#This Row],[PP]]),"")</f>
        <v/>
      </c>
      <c r="C901" s="1" t="str">
        <f>IFERROR(IF(MARÍTIMOS[[#This Row],[Sede]]="","",MARÍTIMOS[[#This Row],[Sede]]),"")</f>
        <v/>
      </c>
      <c r="D901" s="1" t="str">
        <f>IFERROR(IF(MARÍTIMOS[[#This Row],[Instruction]]="","",MARÍTIMOS[[#This Row],[Instruction]]),"")</f>
        <v/>
      </c>
      <c r="E901" s="1"/>
      <c r="F901" s="2" t="str">
        <f>IFERROR(IF(MARÍTIMOS[[#This Row],[Transportista]]="","",MARÍTIMOS[[#This Row],[Transportista]]),"")</f>
        <v/>
      </c>
      <c r="G901" s="2" t="str">
        <f>IFERROR(IF(MARÍTIMOS[[#This Row],[Tercero]]="","",MARÍTIMOS[[#This Row],[Tercero]]),"")</f>
        <v/>
      </c>
      <c r="H901" s="2" t="str">
        <f>IFERROR(IF(MARÍTIMOS[[#This Row],[Razón Social]]="","",MARÍTIMOS[[#This Row],[Razón Social]]),"")</f>
        <v/>
      </c>
      <c r="I901" s="2" t="str">
        <f>IFERROR(IF(MARÍTIMOS[[#This Row],[RUC]]="","",MARÍTIMOS[[#This Row],[RUC]]),"")</f>
        <v/>
      </c>
      <c r="J901" s="2" t="str">
        <f>IFERROR(IF(MARÍTIMOS[[#This Row],[Placa Tracto]]="","",MARÍTIMOS[[#This Row],[Placa Tracto]]),"")</f>
        <v/>
      </c>
      <c r="K901" s="2" t="str">
        <f>IFERROR(IF(MARÍTIMOS[[#This Row],[Placa Carreta]]="","",MARÍTIMOS[[#This Row],[Placa Carreta]]),"")</f>
        <v/>
      </c>
      <c r="L901" s="44" t="str">
        <f>IFERROR(IF(MARÍTIMOS[[#This Row],[Conductor]]="","",MARÍTIMOS[[#This Row],[Conductor]]),"")</f>
        <v/>
      </c>
      <c r="M901" s="2" t="str">
        <f>IFERROR(IF(MARÍTIMOS[[#This Row],[Licencia]]="","",MARÍTIMOS[[#This Row],[Licencia]]),"")</f>
        <v/>
      </c>
      <c r="N901" s="2" t="str">
        <f>IFERROR(IF(MARÍTIMOS[[#This Row],[Número de Contacto]]="","",MARÍTIMOS[[#This Row],[Número de Contacto]]),"")</f>
        <v/>
      </c>
      <c r="O901" s="10" t="str">
        <f>IFERROR(IF(MARÍTIMOS[[#This Row],[Booking|AWB|CRT]]="","",MARÍTIMOS[[#This Row],[Booking|AWB|CRT]]),"")</f>
        <v/>
      </c>
      <c r="P901" s="2" t="str">
        <f>IFERROR(IF(MARÍTIMOS[[#This Row],[Contenedor]]="","",MARÍTIMOS[[#This Row],[Contenedor]]),"")</f>
        <v/>
      </c>
      <c r="Q901" s="2" t="str">
        <f>IFERROR(IF(MARÍTIMOS[[#This Row],[Puerto de Retiro]]="","",MARÍTIMOS[[#This Row],[Puerto de Retiro]]),"")</f>
        <v/>
      </c>
      <c r="R901" s="2" t="str">
        <f>IFERROR(IF(MARÍTIMOS[[#This Row],[Almacén de Retiro]]="","",MARÍTIMOS[[#This Row],[Almacén de Retiro]]),"")</f>
        <v/>
      </c>
      <c r="S901" s="11" t="str">
        <f>IFERROR(IF(MARÍTIMOS[[#This Row],[Etapa Retiro - Cita]]="","",MARÍTIMOS[[#This Row],[Etapa Retiro - Cita]]),"")</f>
        <v/>
      </c>
      <c r="T901" s="11" t="str">
        <f>IFERROR(IF(MARÍTIMOS[[#This Row],[Etapa Retiro - Llegada]]="","",MARÍTIMOS[[#This Row],[Etapa Retiro - Llegada]]),"")</f>
        <v/>
      </c>
      <c r="U901" s="11" t="str">
        <f>IFERROR(IF(MARÍTIMOS[[#This Row],[Etapa Retiro - Ingreso]]="","",MARÍTIMOS[[#This Row],[Etapa Retiro - Ingreso]]),"")</f>
        <v/>
      </c>
      <c r="V901" s="11" t="str">
        <f>IFERROR(IF(MARÍTIMOS[[#This Row],[Etapa Retiro - Atención]]="","",MARÍTIMOS[[#This Row],[Etapa Retiro - Atención]]),"")</f>
        <v/>
      </c>
      <c r="W901" s="11" t="str">
        <f>IFERROR(IF(MARÍTIMOS[[#This Row],[Etapa Retiro - Atención]]="","",MARÍTIMOS[[#This Row],[Etapa Retiro - Atención]]),"")</f>
        <v/>
      </c>
      <c r="X901" s="11" t="str">
        <f>IFERROR(IF(MARÍTIMOS[[#This Row],[Etapa Retiro - Inicio de Ruta]]="","",MARÍTIMOS[[#This Row],[Etapa Retiro - Inicio de Ruta]]),"")</f>
        <v/>
      </c>
      <c r="Y901" s="11" t="str">
        <f>IFERROR(IF(MARÍTIMOS[[#This Row],[Hora de Posicionamiento]]="","",MARÍTIMOS[[#This Row],[Fecha de Carga]]+MARÍTIMOS[[#This Row],[Hora de Posicionamiento]]),"")</f>
        <v/>
      </c>
      <c r="Z901" s="11" t="str">
        <f>IFERROR(IF(MARÍTIMOS[[#This Row],[Etapa Despacho - Llegada]]="","",MARÍTIMOS[[#This Row],[Etapa Despacho - Llegada]]),"")</f>
        <v/>
      </c>
      <c r="AA901" s="11" t="str">
        <f>IFERROR(IF(MARÍTIMOS[[#This Row],[Etapa Despacho - Registro]]="","",MARÍTIMOS[[#This Row],[Etapa Despacho - Registro]]),"")</f>
        <v/>
      </c>
      <c r="AB901" s="11" t="str">
        <f>IFERROR(IF(MARÍTIMOS[[#This Row],[Inspección Externa]]="","",MARÍTIMOS[[#This Row],[Inspección Externa]]),"")</f>
        <v/>
      </c>
      <c r="AC901" s="11" t="str">
        <f>IFERROR(IF(MARÍTIMOS[[#This Row],[Etapa Despacho - Inicio de Carga]]="","",MARÍTIMOS[[#This Row],[Etapa Despacho - Inicio de Carga]]),"")</f>
        <v/>
      </c>
      <c r="AD901" s="11" t="str">
        <f>IFERROR(IF(MARÍTIMOS[[#This Row],[Etapa Despacho - Mitad de Carga]]="","",MARÍTIMOS[[#This Row],[Etapa Despacho - Mitad de Carga]]),"")</f>
        <v/>
      </c>
      <c r="AE901" s="11" t="str">
        <f>IFERROR(IF(MARÍTIMOS[[#This Row],[Etapa Despacho - Fin de Carga]]="","",MARÍTIMOS[[#This Row],[Etapa Despacho - Fin de Carga]]),"")</f>
        <v/>
      </c>
      <c r="AF901" s="2" t="str">
        <f>IFERROR(IF(MARÍTIMOS[[#This Row],[Puerto de Embarque]]="","",MARÍTIMOS[[#This Row],[Puerto de Embarque]]),"")</f>
        <v/>
      </c>
      <c r="AG901" s="2" t="str">
        <f>IFERROR(IF(MARÍTIMOS[[#This Row],[Almacén de Ingreso]]="","",MARÍTIMOS[[#This Row],[Almacén de Ingreso]]),"")</f>
        <v/>
      </c>
      <c r="AH901" s="11" t="str">
        <f>IFERROR(IF(MARÍTIMOS[[#This Row],[Etapa Ingreso - Cita]]="","",MARÍTIMOS[[#This Row],[Etapa Ingreso - Cita]]),"")</f>
        <v/>
      </c>
      <c r="AI901" s="11" t="str">
        <f>IFERROR(IF(MARÍTIMOS[[#This Row],[Etapa Ingreso - Llegada]]="","",MARÍTIMOS[[#This Row],[Etapa Ingreso - Llegada]]),"")</f>
        <v/>
      </c>
      <c r="AJ901" s="11" t="str">
        <f>IFERROR(IF(MARÍTIMOS[[#This Row],[Etapa Ingreso - Ingeso]]="","",MARÍTIMOS[[#This Row],[Etapa Ingreso - Ingeso]]),"")</f>
        <v/>
      </c>
      <c r="AK901" s="11" t="str">
        <f>IFERROR(IF(MARÍTIMOS[[#This Row],[Etapa Ingreso - Atención]]="","",MARÍTIMOS[[#This Row],[Etapa Ingreso - Atención]]),"")</f>
        <v/>
      </c>
      <c r="AL901" s="11" t="str">
        <f>IFERROR(IF(MARÍTIMOS[[#This Row],[Etapa Ingreso - Salida]]="","",MARÍTIMOS[[#This Row],[Etapa Ingreso - Salida]]),"")</f>
        <v/>
      </c>
      <c r="AM901" s="2" t="str">
        <f>IFERROR(IF(MARÍTIMOS[[#This Row],[FCL]]="","",MARÍTIMOS[[#This Row],[FCL]]),"")</f>
        <v/>
      </c>
      <c r="AN9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1" s="4" t="str" cm="1">
        <f t="array" ref="AO9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1" s="5" t="str">
        <f>IFERROR(OLDBD[[#This Row],[Llegada a packing]]-OLDBD[[#This Row],[Inicio de Ruta]],"")</f>
        <v/>
      </c>
      <c r="AQ901" s="6" t="str">
        <f>IFERROR(OLDBD[[#This Row],[Inicio de Ruta]]-OLDBD[[#This Row],[Salida de almacén de retiro]],"")</f>
        <v/>
      </c>
      <c r="AR9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1" s="8" t="str" cm="1">
        <f t="array" ref="AS9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1" s="9" t="str">
        <f>IFERROR(OLDBD[[#This Row],[Ingreso Packing]]-OLDBD[[#This Row],[Registro en Packing]],"")</f>
        <v/>
      </c>
      <c r="AV901" s="9" t="str">
        <f>IFERROR(OLDBD[[#This Row],[Ingreso Packing]]-OLDBD[[#This Row],[Llegada a packing]],"")</f>
        <v/>
      </c>
      <c r="AW9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1" s="5" t="str">
        <f>IFERROR(OLDBD[[#This Row],[Llegada Almacén de Ingreso]]-OLDBD[[#This Row],[Salida Packing]],"")</f>
        <v/>
      </c>
      <c r="AY901" s="4" t="str" cm="1">
        <f t="array" ref="AY9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1" s="43" t="s">
        <v>173</v>
      </c>
      <c r="BB901" s="47" t="str">
        <f>IFERROR(IF(MARÍTIMOS[[#This Row],[Estatus]]="","",MARÍTIMOS[[#This Row],[Estatus]]),"")</f>
        <v/>
      </c>
      <c r="BC901" s="43"/>
      <c r="BD901" s="46" t="str">
        <f>IFERROR(OLDBD[[#This Row],[Salida de almacén de retiro]]-OLDBD[[#This Row],[Ingreso Almacén de retiro]],"")</f>
        <v/>
      </c>
      <c r="BE901" s="46" t="str">
        <f>IFERROR(OLDBD[[#This Row],[Fin de Carga]]-OLDBD[[#This Row],[Inicio de Carga]],"")</f>
        <v/>
      </c>
    </row>
    <row r="902" spans="1:57" customFormat="1" hidden="1">
      <c r="A902" s="1"/>
      <c r="B902" s="1" t="str">
        <f>IFERROR(IF(MARÍTIMOS[[#This Row],[PP]]="","",MARÍTIMOS[[#This Row],[PP]]),"")</f>
        <v/>
      </c>
      <c r="C902" s="1" t="str">
        <f>IFERROR(IF(MARÍTIMOS[[#This Row],[Sede]]="","",MARÍTIMOS[[#This Row],[Sede]]),"")</f>
        <v/>
      </c>
      <c r="D902" s="1" t="str">
        <f>IFERROR(IF(MARÍTIMOS[[#This Row],[Instruction]]="","",MARÍTIMOS[[#This Row],[Instruction]]),"")</f>
        <v/>
      </c>
      <c r="E902" s="1"/>
      <c r="F902" s="2" t="str">
        <f>IFERROR(IF(MARÍTIMOS[[#This Row],[Transportista]]="","",MARÍTIMOS[[#This Row],[Transportista]]),"")</f>
        <v/>
      </c>
      <c r="G902" s="2" t="str">
        <f>IFERROR(IF(MARÍTIMOS[[#This Row],[Tercero]]="","",MARÍTIMOS[[#This Row],[Tercero]]),"")</f>
        <v/>
      </c>
      <c r="H902" s="2" t="str">
        <f>IFERROR(IF(MARÍTIMOS[[#This Row],[Razón Social]]="","",MARÍTIMOS[[#This Row],[Razón Social]]),"")</f>
        <v/>
      </c>
      <c r="I902" s="2" t="str">
        <f>IFERROR(IF(MARÍTIMOS[[#This Row],[RUC]]="","",MARÍTIMOS[[#This Row],[RUC]]),"")</f>
        <v/>
      </c>
      <c r="J902" s="2" t="str">
        <f>IFERROR(IF(MARÍTIMOS[[#This Row],[Placa Tracto]]="","",MARÍTIMOS[[#This Row],[Placa Tracto]]),"")</f>
        <v/>
      </c>
      <c r="K902" s="2" t="str">
        <f>IFERROR(IF(MARÍTIMOS[[#This Row],[Placa Carreta]]="","",MARÍTIMOS[[#This Row],[Placa Carreta]]),"")</f>
        <v/>
      </c>
      <c r="L902" s="44" t="str">
        <f>IFERROR(IF(MARÍTIMOS[[#This Row],[Conductor]]="","",MARÍTIMOS[[#This Row],[Conductor]]),"")</f>
        <v/>
      </c>
      <c r="M902" s="2" t="str">
        <f>IFERROR(IF(MARÍTIMOS[[#This Row],[Licencia]]="","",MARÍTIMOS[[#This Row],[Licencia]]),"")</f>
        <v/>
      </c>
      <c r="N902" s="2" t="str">
        <f>IFERROR(IF(MARÍTIMOS[[#This Row],[Número de Contacto]]="","",MARÍTIMOS[[#This Row],[Número de Contacto]]),"")</f>
        <v/>
      </c>
      <c r="O902" s="10" t="str">
        <f>IFERROR(IF(MARÍTIMOS[[#This Row],[Booking|AWB|CRT]]="","",MARÍTIMOS[[#This Row],[Booking|AWB|CRT]]),"")</f>
        <v/>
      </c>
      <c r="P902" s="2" t="str">
        <f>IFERROR(IF(MARÍTIMOS[[#This Row],[Contenedor]]="","",MARÍTIMOS[[#This Row],[Contenedor]]),"")</f>
        <v/>
      </c>
      <c r="Q902" s="2" t="str">
        <f>IFERROR(IF(MARÍTIMOS[[#This Row],[Puerto de Retiro]]="","",MARÍTIMOS[[#This Row],[Puerto de Retiro]]),"")</f>
        <v/>
      </c>
      <c r="R902" s="2" t="str">
        <f>IFERROR(IF(MARÍTIMOS[[#This Row],[Almacén de Retiro]]="","",MARÍTIMOS[[#This Row],[Almacén de Retiro]]),"")</f>
        <v/>
      </c>
      <c r="S902" s="11" t="str">
        <f>IFERROR(IF(MARÍTIMOS[[#This Row],[Etapa Retiro - Cita]]="","",MARÍTIMOS[[#This Row],[Etapa Retiro - Cita]]),"")</f>
        <v/>
      </c>
      <c r="T902" s="11" t="str">
        <f>IFERROR(IF(MARÍTIMOS[[#This Row],[Etapa Retiro - Llegada]]="","",MARÍTIMOS[[#This Row],[Etapa Retiro - Llegada]]),"")</f>
        <v/>
      </c>
      <c r="U902" s="11" t="str">
        <f>IFERROR(IF(MARÍTIMOS[[#This Row],[Etapa Retiro - Ingreso]]="","",MARÍTIMOS[[#This Row],[Etapa Retiro - Ingreso]]),"")</f>
        <v/>
      </c>
      <c r="V902" s="11" t="str">
        <f>IFERROR(IF(MARÍTIMOS[[#This Row],[Etapa Retiro - Atención]]="","",MARÍTIMOS[[#This Row],[Etapa Retiro - Atención]]),"")</f>
        <v/>
      </c>
      <c r="W902" s="11" t="str">
        <f>IFERROR(IF(MARÍTIMOS[[#This Row],[Etapa Retiro - Atención]]="","",MARÍTIMOS[[#This Row],[Etapa Retiro - Atención]]),"")</f>
        <v/>
      </c>
      <c r="X902" s="11" t="str">
        <f>IFERROR(IF(MARÍTIMOS[[#This Row],[Etapa Retiro - Inicio de Ruta]]="","",MARÍTIMOS[[#This Row],[Etapa Retiro - Inicio de Ruta]]),"")</f>
        <v/>
      </c>
      <c r="Y902" s="11" t="str">
        <f>IFERROR(IF(MARÍTIMOS[[#This Row],[Hora de Posicionamiento]]="","",MARÍTIMOS[[#This Row],[Fecha de Carga]]+MARÍTIMOS[[#This Row],[Hora de Posicionamiento]]),"")</f>
        <v/>
      </c>
      <c r="Z902" s="11" t="str">
        <f>IFERROR(IF(MARÍTIMOS[[#This Row],[Etapa Despacho - Llegada]]="","",MARÍTIMOS[[#This Row],[Etapa Despacho - Llegada]]),"")</f>
        <v/>
      </c>
      <c r="AA902" s="11" t="str">
        <f>IFERROR(IF(MARÍTIMOS[[#This Row],[Etapa Despacho - Registro]]="","",MARÍTIMOS[[#This Row],[Etapa Despacho - Registro]]),"")</f>
        <v/>
      </c>
      <c r="AB902" s="11" t="str">
        <f>IFERROR(IF(MARÍTIMOS[[#This Row],[Inspección Externa]]="","",MARÍTIMOS[[#This Row],[Inspección Externa]]),"")</f>
        <v/>
      </c>
      <c r="AC902" s="11" t="str">
        <f>IFERROR(IF(MARÍTIMOS[[#This Row],[Etapa Despacho - Inicio de Carga]]="","",MARÍTIMOS[[#This Row],[Etapa Despacho - Inicio de Carga]]),"")</f>
        <v/>
      </c>
      <c r="AD902" s="11" t="str">
        <f>IFERROR(IF(MARÍTIMOS[[#This Row],[Etapa Despacho - Mitad de Carga]]="","",MARÍTIMOS[[#This Row],[Etapa Despacho - Mitad de Carga]]),"")</f>
        <v/>
      </c>
      <c r="AE902" s="11" t="str">
        <f>IFERROR(IF(MARÍTIMOS[[#This Row],[Etapa Despacho - Fin de Carga]]="","",MARÍTIMOS[[#This Row],[Etapa Despacho - Fin de Carga]]),"")</f>
        <v/>
      </c>
      <c r="AF902" s="2" t="str">
        <f>IFERROR(IF(MARÍTIMOS[[#This Row],[Puerto de Embarque]]="","",MARÍTIMOS[[#This Row],[Puerto de Embarque]]),"")</f>
        <v/>
      </c>
      <c r="AG902" s="2" t="str">
        <f>IFERROR(IF(MARÍTIMOS[[#This Row],[Almacén de Ingreso]]="","",MARÍTIMOS[[#This Row],[Almacén de Ingreso]]),"")</f>
        <v/>
      </c>
      <c r="AH902" s="11" t="str">
        <f>IFERROR(IF(MARÍTIMOS[[#This Row],[Etapa Ingreso - Cita]]="","",MARÍTIMOS[[#This Row],[Etapa Ingreso - Cita]]),"")</f>
        <v/>
      </c>
      <c r="AI902" s="11" t="str">
        <f>IFERROR(IF(MARÍTIMOS[[#This Row],[Etapa Ingreso - Llegada]]="","",MARÍTIMOS[[#This Row],[Etapa Ingreso - Llegada]]),"")</f>
        <v/>
      </c>
      <c r="AJ902" s="11" t="str">
        <f>IFERROR(IF(MARÍTIMOS[[#This Row],[Etapa Ingreso - Ingeso]]="","",MARÍTIMOS[[#This Row],[Etapa Ingreso - Ingeso]]),"")</f>
        <v/>
      </c>
      <c r="AK902" s="11" t="str">
        <f>IFERROR(IF(MARÍTIMOS[[#This Row],[Etapa Ingreso - Atención]]="","",MARÍTIMOS[[#This Row],[Etapa Ingreso - Atención]]),"")</f>
        <v/>
      </c>
      <c r="AL902" s="11" t="str">
        <f>IFERROR(IF(MARÍTIMOS[[#This Row],[Etapa Ingreso - Salida]]="","",MARÍTIMOS[[#This Row],[Etapa Ingreso - Salida]]),"")</f>
        <v/>
      </c>
      <c r="AM902" s="2" t="str">
        <f>IFERROR(IF(MARÍTIMOS[[#This Row],[FCL]]="","",MARÍTIMOS[[#This Row],[FCL]]),"")</f>
        <v/>
      </c>
      <c r="AN9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2" s="4" t="str" cm="1">
        <f t="array" ref="AO9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2" s="5" t="str">
        <f>IFERROR(OLDBD[[#This Row],[Llegada a packing]]-OLDBD[[#This Row],[Inicio de Ruta]],"")</f>
        <v/>
      </c>
      <c r="AQ902" s="6" t="str">
        <f>IFERROR(OLDBD[[#This Row],[Inicio de Ruta]]-OLDBD[[#This Row],[Salida de almacén de retiro]],"")</f>
        <v/>
      </c>
      <c r="AR9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2" s="8" t="str" cm="1">
        <f t="array" ref="AS9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2" s="9" t="str">
        <f>IFERROR(OLDBD[[#This Row],[Ingreso Packing]]-OLDBD[[#This Row],[Registro en Packing]],"")</f>
        <v/>
      </c>
      <c r="AV902" s="9" t="str">
        <f>IFERROR(OLDBD[[#This Row],[Ingreso Packing]]-OLDBD[[#This Row],[Llegada a packing]],"")</f>
        <v/>
      </c>
      <c r="AW9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2" s="5" t="str">
        <f>IFERROR(OLDBD[[#This Row],[Llegada Almacén de Ingreso]]-OLDBD[[#This Row],[Salida Packing]],"")</f>
        <v/>
      </c>
      <c r="AY902" s="4" t="str" cm="1">
        <f t="array" ref="AY9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2" s="43" t="s">
        <v>173</v>
      </c>
      <c r="BB902" s="47" t="str">
        <f>IFERROR(IF(MARÍTIMOS[[#This Row],[Estatus]]="","",MARÍTIMOS[[#This Row],[Estatus]]),"")</f>
        <v/>
      </c>
      <c r="BC902" s="43"/>
      <c r="BD902" s="46" t="str">
        <f>IFERROR(OLDBD[[#This Row],[Salida de almacén de retiro]]-OLDBD[[#This Row],[Ingreso Almacén de retiro]],"")</f>
        <v/>
      </c>
      <c r="BE902" s="46" t="str">
        <f>IFERROR(OLDBD[[#This Row],[Fin de Carga]]-OLDBD[[#This Row],[Inicio de Carga]],"")</f>
        <v/>
      </c>
    </row>
    <row r="903" spans="1:57" customFormat="1" hidden="1">
      <c r="A903" s="1"/>
      <c r="B903" s="1" t="str">
        <f>IFERROR(IF(MARÍTIMOS[[#This Row],[PP]]="","",MARÍTIMOS[[#This Row],[PP]]),"")</f>
        <v/>
      </c>
      <c r="C903" s="1" t="str">
        <f>IFERROR(IF(MARÍTIMOS[[#This Row],[Sede]]="","",MARÍTIMOS[[#This Row],[Sede]]),"")</f>
        <v/>
      </c>
      <c r="D903" s="1" t="str">
        <f>IFERROR(IF(MARÍTIMOS[[#This Row],[Instruction]]="","",MARÍTIMOS[[#This Row],[Instruction]]),"")</f>
        <v/>
      </c>
      <c r="E903" s="1"/>
      <c r="F903" s="2" t="str">
        <f>IFERROR(IF(MARÍTIMOS[[#This Row],[Transportista]]="","",MARÍTIMOS[[#This Row],[Transportista]]),"")</f>
        <v/>
      </c>
      <c r="G903" s="2" t="str">
        <f>IFERROR(IF(MARÍTIMOS[[#This Row],[Tercero]]="","",MARÍTIMOS[[#This Row],[Tercero]]),"")</f>
        <v/>
      </c>
      <c r="H903" s="2" t="str">
        <f>IFERROR(IF(MARÍTIMOS[[#This Row],[Razón Social]]="","",MARÍTIMOS[[#This Row],[Razón Social]]),"")</f>
        <v/>
      </c>
      <c r="I903" s="2" t="str">
        <f>IFERROR(IF(MARÍTIMOS[[#This Row],[RUC]]="","",MARÍTIMOS[[#This Row],[RUC]]),"")</f>
        <v/>
      </c>
      <c r="J903" s="2" t="str">
        <f>IFERROR(IF(MARÍTIMOS[[#This Row],[Placa Tracto]]="","",MARÍTIMOS[[#This Row],[Placa Tracto]]),"")</f>
        <v/>
      </c>
      <c r="K903" s="2" t="str">
        <f>IFERROR(IF(MARÍTIMOS[[#This Row],[Placa Carreta]]="","",MARÍTIMOS[[#This Row],[Placa Carreta]]),"")</f>
        <v/>
      </c>
      <c r="L903" s="44" t="str">
        <f>IFERROR(IF(MARÍTIMOS[[#This Row],[Conductor]]="","",MARÍTIMOS[[#This Row],[Conductor]]),"")</f>
        <v/>
      </c>
      <c r="M903" s="2" t="str">
        <f>IFERROR(IF(MARÍTIMOS[[#This Row],[Licencia]]="","",MARÍTIMOS[[#This Row],[Licencia]]),"")</f>
        <v/>
      </c>
      <c r="N903" s="2" t="str">
        <f>IFERROR(IF(MARÍTIMOS[[#This Row],[Número de Contacto]]="","",MARÍTIMOS[[#This Row],[Número de Contacto]]),"")</f>
        <v/>
      </c>
      <c r="O903" s="10" t="str">
        <f>IFERROR(IF(MARÍTIMOS[[#This Row],[Booking|AWB|CRT]]="","",MARÍTIMOS[[#This Row],[Booking|AWB|CRT]]),"")</f>
        <v/>
      </c>
      <c r="P903" s="2" t="str">
        <f>IFERROR(IF(MARÍTIMOS[[#This Row],[Contenedor]]="","",MARÍTIMOS[[#This Row],[Contenedor]]),"")</f>
        <v/>
      </c>
      <c r="Q903" s="2" t="str">
        <f>IFERROR(IF(MARÍTIMOS[[#This Row],[Puerto de Retiro]]="","",MARÍTIMOS[[#This Row],[Puerto de Retiro]]),"")</f>
        <v/>
      </c>
      <c r="R903" s="2" t="str">
        <f>IFERROR(IF(MARÍTIMOS[[#This Row],[Almacén de Retiro]]="","",MARÍTIMOS[[#This Row],[Almacén de Retiro]]),"")</f>
        <v/>
      </c>
      <c r="S903" s="11" t="str">
        <f>IFERROR(IF(MARÍTIMOS[[#This Row],[Etapa Retiro - Cita]]="","",MARÍTIMOS[[#This Row],[Etapa Retiro - Cita]]),"")</f>
        <v/>
      </c>
      <c r="T903" s="11" t="str">
        <f>IFERROR(IF(MARÍTIMOS[[#This Row],[Etapa Retiro - Llegada]]="","",MARÍTIMOS[[#This Row],[Etapa Retiro - Llegada]]),"")</f>
        <v/>
      </c>
      <c r="U903" s="11" t="str">
        <f>IFERROR(IF(MARÍTIMOS[[#This Row],[Etapa Retiro - Ingreso]]="","",MARÍTIMOS[[#This Row],[Etapa Retiro - Ingreso]]),"")</f>
        <v/>
      </c>
      <c r="V903" s="11" t="str">
        <f>IFERROR(IF(MARÍTIMOS[[#This Row],[Etapa Retiro - Atención]]="","",MARÍTIMOS[[#This Row],[Etapa Retiro - Atención]]),"")</f>
        <v/>
      </c>
      <c r="W903" s="11" t="str">
        <f>IFERROR(IF(MARÍTIMOS[[#This Row],[Etapa Retiro - Atención]]="","",MARÍTIMOS[[#This Row],[Etapa Retiro - Atención]]),"")</f>
        <v/>
      </c>
      <c r="X903" s="11" t="str">
        <f>IFERROR(IF(MARÍTIMOS[[#This Row],[Etapa Retiro - Inicio de Ruta]]="","",MARÍTIMOS[[#This Row],[Etapa Retiro - Inicio de Ruta]]),"")</f>
        <v/>
      </c>
      <c r="Y903" s="11" t="str">
        <f>IFERROR(IF(MARÍTIMOS[[#This Row],[Hora de Posicionamiento]]="","",MARÍTIMOS[[#This Row],[Fecha de Carga]]+MARÍTIMOS[[#This Row],[Hora de Posicionamiento]]),"")</f>
        <v/>
      </c>
      <c r="Z903" s="11" t="str">
        <f>IFERROR(IF(MARÍTIMOS[[#This Row],[Etapa Despacho - Llegada]]="","",MARÍTIMOS[[#This Row],[Etapa Despacho - Llegada]]),"")</f>
        <v/>
      </c>
      <c r="AA903" s="11" t="str">
        <f>IFERROR(IF(MARÍTIMOS[[#This Row],[Etapa Despacho - Registro]]="","",MARÍTIMOS[[#This Row],[Etapa Despacho - Registro]]),"")</f>
        <v/>
      </c>
      <c r="AB903" s="11" t="str">
        <f>IFERROR(IF(MARÍTIMOS[[#This Row],[Inspección Externa]]="","",MARÍTIMOS[[#This Row],[Inspección Externa]]),"")</f>
        <v/>
      </c>
      <c r="AC903" s="11" t="str">
        <f>IFERROR(IF(MARÍTIMOS[[#This Row],[Etapa Despacho - Inicio de Carga]]="","",MARÍTIMOS[[#This Row],[Etapa Despacho - Inicio de Carga]]),"")</f>
        <v/>
      </c>
      <c r="AD903" s="11" t="str">
        <f>IFERROR(IF(MARÍTIMOS[[#This Row],[Etapa Despacho - Mitad de Carga]]="","",MARÍTIMOS[[#This Row],[Etapa Despacho - Mitad de Carga]]),"")</f>
        <v/>
      </c>
      <c r="AE903" s="11" t="str">
        <f>IFERROR(IF(MARÍTIMOS[[#This Row],[Etapa Despacho - Fin de Carga]]="","",MARÍTIMOS[[#This Row],[Etapa Despacho - Fin de Carga]]),"")</f>
        <v/>
      </c>
      <c r="AF903" s="2" t="str">
        <f>IFERROR(IF(MARÍTIMOS[[#This Row],[Puerto de Embarque]]="","",MARÍTIMOS[[#This Row],[Puerto de Embarque]]),"")</f>
        <v/>
      </c>
      <c r="AG903" s="2" t="str">
        <f>IFERROR(IF(MARÍTIMOS[[#This Row],[Almacén de Ingreso]]="","",MARÍTIMOS[[#This Row],[Almacén de Ingreso]]),"")</f>
        <v/>
      </c>
      <c r="AH903" s="11" t="str">
        <f>IFERROR(IF(MARÍTIMOS[[#This Row],[Etapa Ingreso - Cita]]="","",MARÍTIMOS[[#This Row],[Etapa Ingreso - Cita]]),"")</f>
        <v/>
      </c>
      <c r="AI903" s="11" t="str">
        <f>IFERROR(IF(MARÍTIMOS[[#This Row],[Etapa Ingreso - Llegada]]="","",MARÍTIMOS[[#This Row],[Etapa Ingreso - Llegada]]),"")</f>
        <v/>
      </c>
      <c r="AJ903" s="11" t="str">
        <f>IFERROR(IF(MARÍTIMOS[[#This Row],[Etapa Ingreso - Ingeso]]="","",MARÍTIMOS[[#This Row],[Etapa Ingreso - Ingeso]]),"")</f>
        <v/>
      </c>
      <c r="AK903" s="11" t="str">
        <f>IFERROR(IF(MARÍTIMOS[[#This Row],[Etapa Ingreso - Atención]]="","",MARÍTIMOS[[#This Row],[Etapa Ingreso - Atención]]),"")</f>
        <v/>
      </c>
      <c r="AL903" s="11" t="str">
        <f>IFERROR(IF(MARÍTIMOS[[#This Row],[Etapa Ingreso - Salida]]="","",MARÍTIMOS[[#This Row],[Etapa Ingreso - Salida]]),"")</f>
        <v/>
      </c>
      <c r="AM903" s="2" t="str">
        <f>IFERROR(IF(MARÍTIMOS[[#This Row],[FCL]]="","",MARÍTIMOS[[#This Row],[FCL]]),"")</f>
        <v/>
      </c>
      <c r="AN9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3" s="4" t="str" cm="1">
        <f t="array" ref="AO9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3" s="5" t="str">
        <f>IFERROR(OLDBD[[#This Row],[Llegada a packing]]-OLDBD[[#This Row],[Inicio de Ruta]],"")</f>
        <v/>
      </c>
      <c r="AQ903" s="6" t="str">
        <f>IFERROR(OLDBD[[#This Row],[Inicio de Ruta]]-OLDBD[[#This Row],[Salida de almacén de retiro]],"")</f>
        <v/>
      </c>
      <c r="AR9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3" s="8" t="str" cm="1">
        <f t="array" ref="AS9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3" s="9" t="str">
        <f>IFERROR(OLDBD[[#This Row],[Ingreso Packing]]-OLDBD[[#This Row],[Registro en Packing]],"")</f>
        <v/>
      </c>
      <c r="AV903" s="9" t="str">
        <f>IFERROR(OLDBD[[#This Row],[Ingreso Packing]]-OLDBD[[#This Row],[Llegada a packing]],"")</f>
        <v/>
      </c>
      <c r="AW9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3" s="5" t="str">
        <f>IFERROR(OLDBD[[#This Row],[Llegada Almacén de Ingreso]]-OLDBD[[#This Row],[Salida Packing]],"")</f>
        <v/>
      </c>
      <c r="AY903" s="4" t="str" cm="1">
        <f t="array" ref="AY9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3" s="43" t="s">
        <v>173</v>
      </c>
      <c r="BB903" s="47" t="str">
        <f>IFERROR(IF(MARÍTIMOS[[#This Row],[Estatus]]="","",MARÍTIMOS[[#This Row],[Estatus]]),"")</f>
        <v/>
      </c>
      <c r="BC903" s="43"/>
      <c r="BD903" s="46" t="str">
        <f>IFERROR(OLDBD[[#This Row],[Salida de almacén de retiro]]-OLDBD[[#This Row],[Ingreso Almacén de retiro]],"")</f>
        <v/>
      </c>
      <c r="BE903" s="46" t="str">
        <f>IFERROR(OLDBD[[#This Row],[Fin de Carga]]-OLDBD[[#This Row],[Inicio de Carga]],"")</f>
        <v/>
      </c>
    </row>
    <row r="904" spans="1:57" customFormat="1" hidden="1">
      <c r="A904" s="1"/>
      <c r="B904" s="1" t="str">
        <f>IFERROR(IF(MARÍTIMOS[[#This Row],[PP]]="","",MARÍTIMOS[[#This Row],[PP]]),"")</f>
        <v/>
      </c>
      <c r="C904" s="1" t="str">
        <f>IFERROR(IF(MARÍTIMOS[[#This Row],[Sede]]="","",MARÍTIMOS[[#This Row],[Sede]]),"")</f>
        <v/>
      </c>
      <c r="D904" s="1" t="str">
        <f>IFERROR(IF(MARÍTIMOS[[#This Row],[Instruction]]="","",MARÍTIMOS[[#This Row],[Instruction]]),"")</f>
        <v/>
      </c>
      <c r="E904" s="1"/>
      <c r="F904" s="2" t="str">
        <f>IFERROR(IF(MARÍTIMOS[[#This Row],[Transportista]]="","",MARÍTIMOS[[#This Row],[Transportista]]),"")</f>
        <v/>
      </c>
      <c r="G904" s="2" t="str">
        <f>IFERROR(IF(MARÍTIMOS[[#This Row],[Tercero]]="","",MARÍTIMOS[[#This Row],[Tercero]]),"")</f>
        <v/>
      </c>
      <c r="H904" s="2" t="str">
        <f>IFERROR(IF(MARÍTIMOS[[#This Row],[Razón Social]]="","",MARÍTIMOS[[#This Row],[Razón Social]]),"")</f>
        <v/>
      </c>
      <c r="I904" s="2" t="str">
        <f>IFERROR(IF(MARÍTIMOS[[#This Row],[RUC]]="","",MARÍTIMOS[[#This Row],[RUC]]),"")</f>
        <v/>
      </c>
      <c r="J904" s="2" t="str">
        <f>IFERROR(IF(MARÍTIMOS[[#This Row],[Placa Tracto]]="","",MARÍTIMOS[[#This Row],[Placa Tracto]]),"")</f>
        <v/>
      </c>
      <c r="K904" s="2" t="str">
        <f>IFERROR(IF(MARÍTIMOS[[#This Row],[Placa Carreta]]="","",MARÍTIMOS[[#This Row],[Placa Carreta]]),"")</f>
        <v/>
      </c>
      <c r="L904" s="44" t="str">
        <f>IFERROR(IF(MARÍTIMOS[[#This Row],[Conductor]]="","",MARÍTIMOS[[#This Row],[Conductor]]),"")</f>
        <v/>
      </c>
      <c r="M904" s="2" t="str">
        <f>IFERROR(IF(MARÍTIMOS[[#This Row],[Licencia]]="","",MARÍTIMOS[[#This Row],[Licencia]]),"")</f>
        <v/>
      </c>
      <c r="N904" s="2" t="str">
        <f>IFERROR(IF(MARÍTIMOS[[#This Row],[Número de Contacto]]="","",MARÍTIMOS[[#This Row],[Número de Contacto]]),"")</f>
        <v/>
      </c>
      <c r="O904" s="10" t="str">
        <f>IFERROR(IF(MARÍTIMOS[[#This Row],[Booking|AWB|CRT]]="","",MARÍTIMOS[[#This Row],[Booking|AWB|CRT]]),"")</f>
        <v/>
      </c>
      <c r="P904" s="2" t="str">
        <f>IFERROR(IF(MARÍTIMOS[[#This Row],[Contenedor]]="","",MARÍTIMOS[[#This Row],[Contenedor]]),"")</f>
        <v/>
      </c>
      <c r="Q904" s="2" t="str">
        <f>IFERROR(IF(MARÍTIMOS[[#This Row],[Puerto de Retiro]]="","",MARÍTIMOS[[#This Row],[Puerto de Retiro]]),"")</f>
        <v/>
      </c>
      <c r="R904" s="2" t="str">
        <f>IFERROR(IF(MARÍTIMOS[[#This Row],[Almacén de Retiro]]="","",MARÍTIMOS[[#This Row],[Almacén de Retiro]]),"")</f>
        <v/>
      </c>
      <c r="S904" s="11" t="str">
        <f>IFERROR(IF(MARÍTIMOS[[#This Row],[Etapa Retiro - Cita]]="","",MARÍTIMOS[[#This Row],[Etapa Retiro - Cita]]),"")</f>
        <v/>
      </c>
      <c r="T904" s="11" t="str">
        <f>IFERROR(IF(MARÍTIMOS[[#This Row],[Etapa Retiro - Llegada]]="","",MARÍTIMOS[[#This Row],[Etapa Retiro - Llegada]]),"")</f>
        <v/>
      </c>
      <c r="U904" s="11" t="str">
        <f>IFERROR(IF(MARÍTIMOS[[#This Row],[Etapa Retiro - Ingreso]]="","",MARÍTIMOS[[#This Row],[Etapa Retiro - Ingreso]]),"")</f>
        <v/>
      </c>
      <c r="V904" s="11" t="str">
        <f>IFERROR(IF(MARÍTIMOS[[#This Row],[Etapa Retiro - Atención]]="","",MARÍTIMOS[[#This Row],[Etapa Retiro - Atención]]),"")</f>
        <v/>
      </c>
      <c r="W904" s="11" t="str">
        <f>IFERROR(IF(MARÍTIMOS[[#This Row],[Etapa Retiro - Atención]]="","",MARÍTIMOS[[#This Row],[Etapa Retiro - Atención]]),"")</f>
        <v/>
      </c>
      <c r="X904" s="11" t="str">
        <f>IFERROR(IF(MARÍTIMOS[[#This Row],[Etapa Retiro - Inicio de Ruta]]="","",MARÍTIMOS[[#This Row],[Etapa Retiro - Inicio de Ruta]]),"")</f>
        <v/>
      </c>
      <c r="Y904" s="11" t="str">
        <f>IFERROR(IF(MARÍTIMOS[[#This Row],[Hora de Posicionamiento]]="","",MARÍTIMOS[[#This Row],[Fecha de Carga]]+MARÍTIMOS[[#This Row],[Hora de Posicionamiento]]),"")</f>
        <v/>
      </c>
      <c r="Z904" s="11" t="str">
        <f>IFERROR(IF(MARÍTIMOS[[#This Row],[Etapa Despacho - Llegada]]="","",MARÍTIMOS[[#This Row],[Etapa Despacho - Llegada]]),"")</f>
        <v/>
      </c>
      <c r="AA904" s="11" t="str">
        <f>IFERROR(IF(MARÍTIMOS[[#This Row],[Etapa Despacho - Registro]]="","",MARÍTIMOS[[#This Row],[Etapa Despacho - Registro]]),"")</f>
        <v/>
      </c>
      <c r="AB904" s="11" t="str">
        <f>IFERROR(IF(MARÍTIMOS[[#This Row],[Inspección Externa]]="","",MARÍTIMOS[[#This Row],[Inspección Externa]]),"")</f>
        <v/>
      </c>
      <c r="AC904" s="11" t="str">
        <f>IFERROR(IF(MARÍTIMOS[[#This Row],[Etapa Despacho - Inicio de Carga]]="","",MARÍTIMOS[[#This Row],[Etapa Despacho - Inicio de Carga]]),"")</f>
        <v/>
      </c>
      <c r="AD904" s="11" t="str">
        <f>IFERROR(IF(MARÍTIMOS[[#This Row],[Etapa Despacho - Mitad de Carga]]="","",MARÍTIMOS[[#This Row],[Etapa Despacho - Mitad de Carga]]),"")</f>
        <v/>
      </c>
      <c r="AE904" s="11" t="str">
        <f>IFERROR(IF(MARÍTIMOS[[#This Row],[Etapa Despacho - Fin de Carga]]="","",MARÍTIMOS[[#This Row],[Etapa Despacho - Fin de Carga]]),"")</f>
        <v/>
      </c>
      <c r="AF904" s="2" t="str">
        <f>IFERROR(IF(MARÍTIMOS[[#This Row],[Puerto de Embarque]]="","",MARÍTIMOS[[#This Row],[Puerto de Embarque]]),"")</f>
        <v/>
      </c>
      <c r="AG904" s="2" t="str">
        <f>IFERROR(IF(MARÍTIMOS[[#This Row],[Almacén de Ingreso]]="","",MARÍTIMOS[[#This Row],[Almacén de Ingreso]]),"")</f>
        <v/>
      </c>
      <c r="AH904" s="11" t="str">
        <f>IFERROR(IF(MARÍTIMOS[[#This Row],[Etapa Ingreso - Cita]]="","",MARÍTIMOS[[#This Row],[Etapa Ingreso - Cita]]),"")</f>
        <v/>
      </c>
      <c r="AI904" s="11" t="str">
        <f>IFERROR(IF(MARÍTIMOS[[#This Row],[Etapa Ingreso - Llegada]]="","",MARÍTIMOS[[#This Row],[Etapa Ingreso - Llegada]]),"")</f>
        <v/>
      </c>
      <c r="AJ904" s="11" t="str">
        <f>IFERROR(IF(MARÍTIMOS[[#This Row],[Etapa Ingreso - Ingeso]]="","",MARÍTIMOS[[#This Row],[Etapa Ingreso - Ingeso]]),"")</f>
        <v/>
      </c>
      <c r="AK904" s="11" t="str">
        <f>IFERROR(IF(MARÍTIMOS[[#This Row],[Etapa Ingreso - Atención]]="","",MARÍTIMOS[[#This Row],[Etapa Ingreso - Atención]]),"")</f>
        <v/>
      </c>
      <c r="AL904" s="11" t="str">
        <f>IFERROR(IF(MARÍTIMOS[[#This Row],[Etapa Ingreso - Salida]]="","",MARÍTIMOS[[#This Row],[Etapa Ingreso - Salida]]),"")</f>
        <v/>
      </c>
      <c r="AM904" s="2" t="str">
        <f>IFERROR(IF(MARÍTIMOS[[#This Row],[FCL]]="","",MARÍTIMOS[[#This Row],[FCL]]),"")</f>
        <v/>
      </c>
      <c r="AN9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4" s="4" t="str" cm="1">
        <f t="array" ref="AO9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4" s="5" t="str">
        <f>IFERROR(OLDBD[[#This Row],[Llegada a packing]]-OLDBD[[#This Row],[Inicio de Ruta]],"")</f>
        <v/>
      </c>
      <c r="AQ904" s="6" t="str">
        <f>IFERROR(OLDBD[[#This Row],[Inicio de Ruta]]-OLDBD[[#This Row],[Salida de almacén de retiro]],"")</f>
        <v/>
      </c>
      <c r="AR9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4" s="8" t="str" cm="1">
        <f t="array" ref="AS9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4" s="9" t="str">
        <f>IFERROR(OLDBD[[#This Row],[Ingreso Packing]]-OLDBD[[#This Row],[Registro en Packing]],"")</f>
        <v/>
      </c>
      <c r="AV904" s="9" t="str">
        <f>IFERROR(OLDBD[[#This Row],[Ingreso Packing]]-OLDBD[[#This Row],[Llegada a packing]],"")</f>
        <v/>
      </c>
      <c r="AW9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4" s="5" t="str">
        <f>IFERROR(OLDBD[[#This Row],[Llegada Almacén de Ingreso]]-OLDBD[[#This Row],[Salida Packing]],"")</f>
        <v/>
      </c>
      <c r="AY904" s="4" t="str" cm="1">
        <f t="array" ref="AY9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4" s="43" t="s">
        <v>173</v>
      </c>
      <c r="BB904" s="47" t="str">
        <f>IFERROR(IF(MARÍTIMOS[[#This Row],[Estatus]]="","",MARÍTIMOS[[#This Row],[Estatus]]),"")</f>
        <v/>
      </c>
      <c r="BC904" s="43"/>
      <c r="BD904" s="46" t="str">
        <f>IFERROR(OLDBD[[#This Row],[Salida de almacén de retiro]]-OLDBD[[#This Row],[Ingreso Almacén de retiro]],"")</f>
        <v/>
      </c>
      <c r="BE904" s="46" t="str">
        <f>IFERROR(OLDBD[[#This Row],[Fin de Carga]]-OLDBD[[#This Row],[Inicio de Carga]],"")</f>
        <v/>
      </c>
    </row>
    <row r="905" spans="1:57" customFormat="1" hidden="1">
      <c r="A905" s="1"/>
      <c r="B905" s="1" t="str">
        <f>IFERROR(IF(MARÍTIMOS[[#This Row],[PP]]="","",MARÍTIMOS[[#This Row],[PP]]),"")</f>
        <v/>
      </c>
      <c r="C905" s="1" t="str">
        <f>IFERROR(IF(MARÍTIMOS[[#This Row],[Sede]]="","",MARÍTIMOS[[#This Row],[Sede]]),"")</f>
        <v/>
      </c>
      <c r="D905" s="1" t="str">
        <f>IFERROR(IF(MARÍTIMOS[[#This Row],[Instruction]]="","",MARÍTIMOS[[#This Row],[Instruction]]),"")</f>
        <v/>
      </c>
      <c r="E905" s="1"/>
      <c r="F905" s="2" t="str">
        <f>IFERROR(IF(MARÍTIMOS[[#This Row],[Transportista]]="","",MARÍTIMOS[[#This Row],[Transportista]]),"")</f>
        <v/>
      </c>
      <c r="G905" s="2" t="str">
        <f>IFERROR(IF(MARÍTIMOS[[#This Row],[Tercero]]="","",MARÍTIMOS[[#This Row],[Tercero]]),"")</f>
        <v/>
      </c>
      <c r="H905" s="2" t="str">
        <f>IFERROR(IF(MARÍTIMOS[[#This Row],[Razón Social]]="","",MARÍTIMOS[[#This Row],[Razón Social]]),"")</f>
        <v/>
      </c>
      <c r="I905" s="2" t="str">
        <f>IFERROR(IF(MARÍTIMOS[[#This Row],[RUC]]="","",MARÍTIMOS[[#This Row],[RUC]]),"")</f>
        <v/>
      </c>
      <c r="J905" s="2" t="str">
        <f>IFERROR(IF(MARÍTIMOS[[#This Row],[Placa Tracto]]="","",MARÍTIMOS[[#This Row],[Placa Tracto]]),"")</f>
        <v/>
      </c>
      <c r="K905" s="2" t="str">
        <f>IFERROR(IF(MARÍTIMOS[[#This Row],[Placa Carreta]]="","",MARÍTIMOS[[#This Row],[Placa Carreta]]),"")</f>
        <v/>
      </c>
      <c r="L905" s="44" t="str">
        <f>IFERROR(IF(MARÍTIMOS[[#This Row],[Conductor]]="","",MARÍTIMOS[[#This Row],[Conductor]]),"")</f>
        <v/>
      </c>
      <c r="M905" s="2" t="str">
        <f>IFERROR(IF(MARÍTIMOS[[#This Row],[Licencia]]="","",MARÍTIMOS[[#This Row],[Licencia]]),"")</f>
        <v/>
      </c>
      <c r="N905" s="2" t="str">
        <f>IFERROR(IF(MARÍTIMOS[[#This Row],[Número de Contacto]]="","",MARÍTIMOS[[#This Row],[Número de Contacto]]),"")</f>
        <v/>
      </c>
      <c r="O905" s="10" t="str">
        <f>IFERROR(IF(MARÍTIMOS[[#This Row],[Booking|AWB|CRT]]="","",MARÍTIMOS[[#This Row],[Booking|AWB|CRT]]),"")</f>
        <v/>
      </c>
      <c r="P905" s="2" t="str">
        <f>IFERROR(IF(MARÍTIMOS[[#This Row],[Contenedor]]="","",MARÍTIMOS[[#This Row],[Contenedor]]),"")</f>
        <v/>
      </c>
      <c r="Q905" s="2" t="str">
        <f>IFERROR(IF(MARÍTIMOS[[#This Row],[Puerto de Retiro]]="","",MARÍTIMOS[[#This Row],[Puerto de Retiro]]),"")</f>
        <v/>
      </c>
      <c r="R905" s="2" t="str">
        <f>IFERROR(IF(MARÍTIMOS[[#This Row],[Almacén de Retiro]]="","",MARÍTIMOS[[#This Row],[Almacén de Retiro]]),"")</f>
        <v/>
      </c>
      <c r="S905" s="11" t="str">
        <f>IFERROR(IF(MARÍTIMOS[[#This Row],[Etapa Retiro - Cita]]="","",MARÍTIMOS[[#This Row],[Etapa Retiro - Cita]]),"")</f>
        <v/>
      </c>
      <c r="T905" s="11" t="str">
        <f>IFERROR(IF(MARÍTIMOS[[#This Row],[Etapa Retiro - Llegada]]="","",MARÍTIMOS[[#This Row],[Etapa Retiro - Llegada]]),"")</f>
        <v/>
      </c>
      <c r="U905" s="11" t="str">
        <f>IFERROR(IF(MARÍTIMOS[[#This Row],[Etapa Retiro - Ingreso]]="","",MARÍTIMOS[[#This Row],[Etapa Retiro - Ingreso]]),"")</f>
        <v/>
      </c>
      <c r="V905" s="11" t="str">
        <f>IFERROR(IF(MARÍTIMOS[[#This Row],[Etapa Retiro - Atención]]="","",MARÍTIMOS[[#This Row],[Etapa Retiro - Atención]]),"")</f>
        <v/>
      </c>
      <c r="W905" s="11" t="str">
        <f>IFERROR(IF(MARÍTIMOS[[#This Row],[Etapa Retiro - Atención]]="","",MARÍTIMOS[[#This Row],[Etapa Retiro - Atención]]),"")</f>
        <v/>
      </c>
      <c r="X905" s="11" t="str">
        <f>IFERROR(IF(MARÍTIMOS[[#This Row],[Etapa Retiro - Inicio de Ruta]]="","",MARÍTIMOS[[#This Row],[Etapa Retiro - Inicio de Ruta]]),"")</f>
        <v/>
      </c>
      <c r="Y905" s="11" t="str">
        <f>IFERROR(IF(MARÍTIMOS[[#This Row],[Hora de Posicionamiento]]="","",MARÍTIMOS[[#This Row],[Fecha de Carga]]+MARÍTIMOS[[#This Row],[Hora de Posicionamiento]]),"")</f>
        <v/>
      </c>
      <c r="Z905" s="11" t="str">
        <f>IFERROR(IF(MARÍTIMOS[[#This Row],[Etapa Despacho - Llegada]]="","",MARÍTIMOS[[#This Row],[Etapa Despacho - Llegada]]),"")</f>
        <v/>
      </c>
      <c r="AA905" s="11" t="str">
        <f>IFERROR(IF(MARÍTIMOS[[#This Row],[Etapa Despacho - Registro]]="","",MARÍTIMOS[[#This Row],[Etapa Despacho - Registro]]),"")</f>
        <v/>
      </c>
      <c r="AB905" s="11" t="str">
        <f>IFERROR(IF(MARÍTIMOS[[#This Row],[Inspección Externa]]="","",MARÍTIMOS[[#This Row],[Inspección Externa]]),"")</f>
        <v/>
      </c>
      <c r="AC905" s="11" t="str">
        <f>IFERROR(IF(MARÍTIMOS[[#This Row],[Etapa Despacho - Inicio de Carga]]="","",MARÍTIMOS[[#This Row],[Etapa Despacho - Inicio de Carga]]),"")</f>
        <v/>
      </c>
      <c r="AD905" s="11" t="str">
        <f>IFERROR(IF(MARÍTIMOS[[#This Row],[Etapa Despacho - Mitad de Carga]]="","",MARÍTIMOS[[#This Row],[Etapa Despacho - Mitad de Carga]]),"")</f>
        <v/>
      </c>
      <c r="AE905" s="11" t="str">
        <f>IFERROR(IF(MARÍTIMOS[[#This Row],[Etapa Despacho - Fin de Carga]]="","",MARÍTIMOS[[#This Row],[Etapa Despacho - Fin de Carga]]),"")</f>
        <v/>
      </c>
      <c r="AF905" s="2" t="str">
        <f>IFERROR(IF(MARÍTIMOS[[#This Row],[Puerto de Embarque]]="","",MARÍTIMOS[[#This Row],[Puerto de Embarque]]),"")</f>
        <v/>
      </c>
      <c r="AG905" s="2" t="str">
        <f>IFERROR(IF(MARÍTIMOS[[#This Row],[Almacén de Ingreso]]="","",MARÍTIMOS[[#This Row],[Almacén de Ingreso]]),"")</f>
        <v/>
      </c>
      <c r="AH905" s="11" t="str">
        <f>IFERROR(IF(MARÍTIMOS[[#This Row],[Etapa Ingreso - Cita]]="","",MARÍTIMOS[[#This Row],[Etapa Ingreso - Cita]]),"")</f>
        <v/>
      </c>
      <c r="AI905" s="11" t="str">
        <f>IFERROR(IF(MARÍTIMOS[[#This Row],[Etapa Ingreso - Llegada]]="","",MARÍTIMOS[[#This Row],[Etapa Ingreso - Llegada]]),"")</f>
        <v/>
      </c>
      <c r="AJ905" s="11" t="str">
        <f>IFERROR(IF(MARÍTIMOS[[#This Row],[Etapa Ingreso - Ingeso]]="","",MARÍTIMOS[[#This Row],[Etapa Ingreso - Ingeso]]),"")</f>
        <v/>
      </c>
      <c r="AK905" s="11" t="str">
        <f>IFERROR(IF(MARÍTIMOS[[#This Row],[Etapa Ingreso - Atención]]="","",MARÍTIMOS[[#This Row],[Etapa Ingreso - Atención]]),"")</f>
        <v/>
      </c>
      <c r="AL905" s="11" t="str">
        <f>IFERROR(IF(MARÍTIMOS[[#This Row],[Etapa Ingreso - Salida]]="","",MARÍTIMOS[[#This Row],[Etapa Ingreso - Salida]]),"")</f>
        <v/>
      </c>
      <c r="AM905" s="2" t="str">
        <f>IFERROR(IF(MARÍTIMOS[[#This Row],[FCL]]="","",MARÍTIMOS[[#This Row],[FCL]]),"")</f>
        <v/>
      </c>
      <c r="AN9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5" s="4" t="str" cm="1">
        <f t="array" ref="AO9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5" s="5" t="str">
        <f>IFERROR(OLDBD[[#This Row],[Llegada a packing]]-OLDBD[[#This Row],[Inicio de Ruta]],"")</f>
        <v/>
      </c>
      <c r="AQ905" s="6" t="str">
        <f>IFERROR(OLDBD[[#This Row],[Inicio de Ruta]]-OLDBD[[#This Row],[Salida de almacén de retiro]],"")</f>
        <v/>
      </c>
      <c r="AR9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5" s="8" t="str" cm="1">
        <f t="array" ref="AS9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5" s="9" t="str">
        <f>IFERROR(OLDBD[[#This Row],[Ingreso Packing]]-OLDBD[[#This Row],[Registro en Packing]],"")</f>
        <v/>
      </c>
      <c r="AV905" s="9" t="str">
        <f>IFERROR(OLDBD[[#This Row],[Ingreso Packing]]-OLDBD[[#This Row],[Llegada a packing]],"")</f>
        <v/>
      </c>
      <c r="AW9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5" s="5" t="str">
        <f>IFERROR(OLDBD[[#This Row],[Llegada Almacén de Ingreso]]-OLDBD[[#This Row],[Salida Packing]],"")</f>
        <v/>
      </c>
      <c r="AY905" s="4" t="str" cm="1">
        <f t="array" ref="AY9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5" s="43" t="s">
        <v>173</v>
      </c>
      <c r="BB905" s="47" t="str">
        <f>IFERROR(IF(MARÍTIMOS[[#This Row],[Estatus]]="","",MARÍTIMOS[[#This Row],[Estatus]]),"")</f>
        <v/>
      </c>
      <c r="BC905" s="43"/>
      <c r="BD905" s="46" t="str">
        <f>IFERROR(OLDBD[[#This Row],[Salida de almacén de retiro]]-OLDBD[[#This Row],[Ingreso Almacén de retiro]],"")</f>
        <v/>
      </c>
      <c r="BE905" s="46" t="str">
        <f>IFERROR(OLDBD[[#This Row],[Fin de Carga]]-OLDBD[[#This Row],[Inicio de Carga]],"")</f>
        <v/>
      </c>
    </row>
    <row r="906" spans="1:57" customFormat="1" hidden="1">
      <c r="A906" s="1"/>
      <c r="B906" s="1" t="str">
        <f>IFERROR(IF(MARÍTIMOS[[#This Row],[PP]]="","",MARÍTIMOS[[#This Row],[PP]]),"")</f>
        <v/>
      </c>
      <c r="C906" s="1" t="str">
        <f>IFERROR(IF(MARÍTIMOS[[#This Row],[Sede]]="","",MARÍTIMOS[[#This Row],[Sede]]),"")</f>
        <v/>
      </c>
      <c r="D906" s="1" t="str">
        <f>IFERROR(IF(MARÍTIMOS[[#This Row],[Instruction]]="","",MARÍTIMOS[[#This Row],[Instruction]]),"")</f>
        <v/>
      </c>
      <c r="E906" s="1"/>
      <c r="F906" s="2" t="str">
        <f>IFERROR(IF(MARÍTIMOS[[#This Row],[Transportista]]="","",MARÍTIMOS[[#This Row],[Transportista]]),"")</f>
        <v/>
      </c>
      <c r="G906" s="2" t="str">
        <f>IFERROR(IF(MARÍTIMOS[[#This Row],[Tercero]]="","",MARÍTIMOS[[#This Row],[Tercero]]),"")</f>
        <v/>
      </c>
      <c r="H906" s="2" t="str">
        <f>IFERROR(IF(MARÍTIMOS[[#This Row],[Razón Social]]="","",MARÍTIMOS[[#This Row],[Razón Social]]),"")</f>
        <v/>
      </c>
      <c r="I906" s="2" t="str">
        <f>IFERROR(IF(MARÍTIMOS[[#This Row],[RUC]]="","",MARÍTIMOS[[#This Row],[RUC]]),"")</f>
        <v/>
      </c>
      <c r="J906" s="2" t="str">
        <f>IFERROR(IF(MARÍTIMOS[[#This Row],[Placa Tracto]]="","",MARÍTIMOS[[#This Row],[Placa Tracto]]),"")</f>
        <v/>
      </c>
      <c r="K906" s="2" t="str">
        <f>IFERROR(IF(MARÍTIMOS[[#This Row],[Placa Carreta]]="","",MARÍTIMOS[[#This Row],[Placa Carreta]]),"")</f>
        <v/>
      </c>
      <c r="L906" s="44" t="str">
        <f>IFERROR(IF(MARÍTIMOS[[#This Row],[Conductor]]="","",MARÍTIMOS[[#This Row],[Conductor]]),"")</f>
        <v/>
      </c>
      <c r="M906" s="2" t="str">
        <f>IFERROR(IF(MARÍTIMOS[[#This Row],[Licencia]]="","",MARÍTIMOS[[#This Row],[Licencia]]),"")</f>
        <v/>
      </c>
      <c r="N906" s="2" t="str">
        <f>IFERROR(IF(MARÍTIMOS[[#This Row],[Número de Contacto]]="","",MARÍTIMOS[[#This Row],[Número de Contacto]]),"")</f>
        <v/>
      </c>
      <c r="O906" s="10" t="str">
        <f>IFERROR(IF(MARÍTIMOS[[#This Row],[Booking|AWB|CRT]]="","",MARÍTIMOS[[#This Row],[Booking|AWB|CRT]]),"")</f>
        <v/>
      </c>
      <c r="P906" s="2" t="str">
        <f>IFERROR(IF(MARÍTIMOS[[#This Row],[Contenedor]]="","",MARÍTIMOS[[#This Row],[Contenedor]]),"")</f>
        <v/>
      </c>
      <c r="Q906" s="2" t="str">
        <f>IFERROR(IF(MARÍTIMOS[[#This Row],[Puerto de Retiro]]="","",MARÍTIMOS[[#This Row],[Puerto de Retiro]]),"")</f>
        <v/>
      </c>
      <c r="R906" s="2" t="str">
        <f>IFERROR(IF(MARÍTIMOS[[#This Row],[Almacén de Retiro]]="","",MARÍTIMOS[[#This Row],[Almacén de Retiro]]),"")</f>
        <v/>
      </c>
      <c r="S906" s="11" t="str">
        <f>IFERROR(IF(MARÍTIMOS[[#This Row],[Etapa Retiro - Cita]]="","",MARÍTIMOS[[#This Row],[Etapa Retiro - Cita]]),"")</f>
        <v/>
      </c>
      <c r="T906" s="11" t="str">
        <f>IFERROR(IF(MARÍTIMOS[[#This Row],[Etapa Retiro - Llegada]]="","",MARÍTIMOS[[#This Row],[Etapa Retiro - Llegada]]),"")</f>
        <v/>
      </c>
      <c r="U906" s="11" t="str">
        <f>IFERROR(IF(MARÍTIMOS[[#This Row],[Etapa Retiro - Ingreso]]="","",MARÍTIMOS[[#This Row],[Etapa Retiro - Ingreso]]),"")</f>
        <v/>
      </c>
      <c r="V906" s="11" t="str">
        <f>IFERROR(IF(MARÍTIMOS[[#This Row],[Etapa Retiro - Atención]]="","",MARÍTIMOS[[#This Row],[Etapa Retiro - Atención]]),"")</f>
        <v/>
      </c>
      <c r="W906" s="11" t="str">
        <f>IFERROR(IF(MARÍTIMOS[[#This Row],[Etapa Retiro - Atención]]="","",MARÍTIMOS[[#This Row],[Etapa Retiro - Atención]]),"")</f>
        <v/>
      </c>
      <c r="X906" s="11" t="str">
        <f>IFERROR(IF(MARÍTIMOS[[#This Row],[Etapa Retiro - Inicio de Ruta]]="","",MARÍTIMOS[[#This Row],[Etapa Retiro - Inicio de Ruta]]),"")</f>
        <v/>
      </c>
      <c r="Y906" s="11" t="str">
        <f>IFERROR(IF(MARÍTIMOS[[#This Row],[Hora de Posicionamiento]]="","",MARÍTIMOS[[#This Row],[Fecha de Carga]]+MARÍTIMOS[[#This Row],[Hora de Posicionamiento]]),"")</f>
        <v/>
      </c>
      <c r="Z906" s="11" t="str">
        <f>IFERROR(IF(MARÍTIMOS[[#This Row],[Etapa Despacho - Llegada]]="","",MARÍTIMOS[[#This Row],[Etapa Despacho - Llegada]]),"")</f>
        <v/>
      </c>
      <c r="AA906" s="11" t="str">
        <f>IFERROR(IF(MARÍTIMOS[[#This Row],[Etapa Despacho - Registro]]="","",MARÍTIMOS[[#This Row],[Etapa Despacho - Registro]]),"")</f>
        <v/>
      </c>
      <c r="AB906" s="11" t="str">
        <f>IFERROR(IF(MARÍTIMOS[[#This Row],[Inspección Externa]]="","",MARÍTIMOS[[#This Row],[Inspección Externa]]),"")</f>
        <v/>
      </c>
      <c r="AC906" s="11" t="str">
        <f>IFERROR(IF(MARÍTIMOS[[#This Row],[Etapa Despacho - Inicio de Carga]]="","",MARÍTIMOS[[#This Row],[Etapa Despacho - Inicio de Carga]]),"")</f>
        <v/>
      </c>
      <c r="AD906" s="11" t="str">
        <f>IFERROR(IF(MARÍTIMOS[[#This Row],[Etapa Despacho - Mitad de Carga]]="","",MARÍTIMOS[[#This Row],[Etapa Despacho - Mitad de Carga]]),"")</f>
        <v/>
      </c>
      <c r="AE906" s="11" t="str">
        <f>IFERROR(IF(MARÍTIMOS[[#This Row],[Etapa Despacho - Fin de Carga]]="","",MARÍTIMOS[[#This Row],[Etapa Despacho - Fin de Carga]]),"")</f>
        <v/>
      </c>
      <c r="AF906" s="2" t="str">
        <f>IFERROR(IF(MARÍTIMOS[[#This Row],[Puerto de Embarque]]="","",MARÍTIMOS[[#This Row],[Puerto de Embarque]]),"")</f>
        <v/>
      </c>
      <c r="AG906" s="2" t="str">
        <f>IFERROR(IF(MARÍTIMOS[[#This Row],[Almacén de Ingreso]]="","",MARÍTIMOS[[#This Row],[Almacén de Ingreso]]),"")</f>
        <v/>
      </c>
      <c r="AH906" s="11" t="str">
        <f>IFERROR(IF(MARÍTIMOS[[#This Row],[Etapa Ingreso - Cita]]="","",MARÍTIMOS[[#This Row],[Etapa Ingreso - Cita]]),"")</f>
        <v/>
      </c>
      <c r="AI906" s="11" t="str">
        <f>IFERROR(IF(MARÍTIMOS[[#This Row],[Etapa Ingreso - Llegada]]="","",MARÍTIMOS[[#This Row],[Etapa Ingreso - Llegada]]),"")</f>
        <v/>
      </c>
      <c r="AJ906" s="11" t="str">
        <f>IFERROR(IF(MARÍTIMOS[[#This Row],[Etapa Ingreso - Ingeso]]="","",MARÍTIMOS[[#This Row],[Etapa Ingreso - Ingeso]]),"")</f>
        <v/>
      </c>
      <c r="AK906" s="11" t="str">
        <f>IFERROR(IF(MARÍTIMOS[[#This Row],[Etapa Ingreso - Atención]]="","",MARÍTIMOS[[#This Row],[Etapa Ingreso - Atención]]),"")</f>
        <v/>
      </c>
      <c r="AL906" s="11" t="str">
        <f>IFERROR(IF(MARÍTIMOS[[#This Row],[Etapa Ingreso - Salida]]="","",MARÍTIMOS[[#This Row],[Etapa Ingreso - Salida]]),"")</f>
        <v/>
      </c>
      <c r="AM906" s="2" t="str">
        <f>IFERROR(IF(MARÍTIMOS[[#This Row],[FCL]]="","",MARÍTIMOS[[#This Row],[FCL]]),"")</f>
        <v/>
      </c>
      <c r="AN9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6" s="4" t="str" cm="1">
        <f t="array" ref="AO9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6" s="5" t="str">
        <f>IFERROR(OLDBD[[#This Row],[Llegada a packing]]-OLDBD[[#This Row],[Inicio de Ruta]],"")</f>
        <v/>
      </c>
      <c r="AQ906" s="6" t="str">
        <f>IFERROR(OLDBD[[#This Row],[Inicio de Ruta]]-OLDBD[[#This Row],[Salida de almacén de retiro]],"")</f>
        <v/>
      </c>
      <c r="AR9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6" s="8" t="str" cm="1">
        <f t="array" ref="AS9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6" s="9" t="str">
        <f>IFERROR(OLDBD[[#This Row],[Ingreso Packing]]-OLDBD[[#This Row],[Registro en Packing]],"")</f>
        <v/>
      </c>
      <c r="AV906" s="9" t="str">
        <f>IFERROR(OLDBD[[#This Row],[Ingreso Packing]]-OLDBD[[#This Row],[Llegada a packing]],"")</f>
        <v/>
      </c>
      <c r="AW9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6" s="5" t="str">
        <f>IFERROR(OLDBD[[#This Row],[Llegada Almacén de Ingreso]]-OLDBD[[#This Row],[Salida Packing]],"")</f>
        <v/>
      </c>
      <c r="AY906" s="4" t="str" cm="1">
        <f t="array" ref="AY9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6" s="43" t="s">
        <v>173</v>
      </c>
      <c r="BB906" s="47" t="str">
        <f>IFERROR(IF(MARÍTIMOS[[#This Row],[Estatus]]="","",MARÍTIMOS[[#This Row],[Estatus]]),"")</f>
        <v/>
      </c>
      <c r="BC906" s="43"/>
      <c r="BD906" s="46" t="str">
        <f>IFERROR(OLDBD[[#This Row],[Salida de almacén de retiro]]-OLDBD[[#This Row],[Ingreso Almacén de retiro]],"")</f>
        <v/>
      </c>
      <c r="BE906" s="46" t="str">
        <f>IFERROR(OLDBD[[#This Row],[Fin de Carga]]-OLDBD[[#This Row],[Inicio de Carga]],"")</f>
        <v/>
      </c>
    </row>
    <row r="907" spans="1:57" customFormat="1" hidden="1">
      <c r="A907" s="1"/>
      <c r="B907" s="1" t="str">
        <f>IFERROR(IF(MARÍTIMOS[[#This Row],[PP]]="","",MARÍTIMOS[[#This Row],[PP]]),"")</f>
        <v/>
      </c>
      <c r="C907" s="1" t="str">
        <f>IFERROR(IF(MARÍTIMOS[[#This Row],[Sede]]="","",MARÍTIMOS[[#This Row],[Sede]]),"")</f>
        <v/>
      </c>
      <c r="D907" s="1" t="str">
        <f>IFERROR(IF(MARÍTIMOS[[#This Row],[Instruction]]="","",MARÍTIMOS[[#This Row],[Instruction]]),"")</f>
        <v/>
      </c>
      <c r="E907" s="1"/>
      <c r="F907" s="2" t="str">
        <f>IFERROR(IF(MARÍTIMOS[[#This Row],[Transportista]]="","",MARÍTIMOS[[#This Row],[Transportista]]),"")</f>
        <v/>
      </c>
      <c r="G907" s="2" t="str">
        <f>IFERROR(IF(MARÍTIMOS[[#This Row],[Tercero]]="","",MARÍTIMOS[[#This Row],[Tercero]]),"")</f>
        <v/>
      </c>
      <c r="H907" s="2" t="str">
        <f>IFERROR(IF(MARÍTIMOS[[#This Row],[Razón Social]]="","",MARÍTIMOS[[#This Row],[Razón Social]]),"")</f>
        <v/>
      </c>
      <c r="I907" s="2" t="str">
        <f>IFERROR(IF(MARÍTIMOS[[#This Row],[RUC]]="","",MARÍTIMOS[[#This Row],[RUC]]),"")</f>
        <v/>
      </c>
      <c r="J907" s="2" t="str">
        <f>IFERROR(IF(MARÍTIMOS[[#This Row],[Placa Tracto]]="","",MARÍTIMOS[[#This Row],[Placa Tracto]]),"")</f>
        <v/>
      </c>
      <c r="K907" s="2" t="str">
        <f>IFERROR(IF(MARÍTIMOS[[#This Row],[Placa Carreta]]="","",MARÍTIMOS[[#This Row],[Placa Carreta]]),"")</f>
        <v/>
      </c>
      <c r="L907" s="44" t="str">
        <f>IFERROR(IF(MARÍTIMOS[[#This Row],[Conductor]]="","",MARÍTIMOS[[#This Row],[Conductor]]),"")</f>
        <v/>
      </c>
      <c r="M907" s="2" t="str">
        <f>IFERROR(IF(MARÍTIMOS[[#This Row],[Licencia]]="","",MARÍTIMOS[[#This Row],[Licencia]]),"")</f>
        <v/>
      </c>
      <c r="N907" s="2" t="str">
        <f>IFERROR(IF(MARÍTIMOS[[#This Row],[Número de Contacto]]="","",MARÍTIMOS[[#This Row],[Número de Contacto]]),"")</f>
        <v/>
      </c>
      <c r="O907" s="10" t="str">
        <f>IFERROR(IF(MARÍTIMOS[[#This Row],[Booking|AWB|CRT]]="","",MARÍTIMOS[[#This Row],[Booking|AWB|CRT]]),"")</f>
        <v/>
      </c>
      <c r="P907" s="2" t="str">
        <f>IFERROR(IF(MARÍTIMOS[[#This Row],[Contenedor]]="","",MARÍTIMOS[[#This Row],[Contenedor]]),"")</f>
        <v/>
      </c>
      <c r="Q907" s="2" t="str">
        <f>IFERROR(IF(MARÍTIMOS[[#This Row],[Puerto de Retiro]]="","",MARÍTIMOS[[#This Row],[Puerto de Retiro]]),"")</f>
        <v/>
      </c>
      <c r="R907" s="2" t="str">
        <f>IFERROR(IF(MARÍTIMOS[[#This Row],[Almacén de Retiro]]="","",MARÍTIMOS[[#This Row],[Almacén de Retiro]]),"")</f>
        <v/>
      </c>
      <c r="S907" s="11" t="str">
        <f>IFERROR(IF(MARÍTIMOS[[#This Row],[Etapa Retiro - Cita]]="","",MARÍTIMOS[[#This Row],[Etapa Retiro - Cita]]),"")</f>
        <v/>
      </c>
      <c r="T907" s="11" t="str">
        <f>IFERROR(IF(MARÍTIMOS[[#This Row],[Etapa Retiro - Llegada]]="","",MARÍTIMOS[[#This Row],[Etapa Retiro - Llegada]]),"")</f>
        <v/>
      </c>
      <c r="U907" s="11" t="str">
        <f>IFERROR(IF(MARÍTIMOS[[#This Row],[Etapa Retiro - Ingreso]]="","",MARÍTIMOS[[#This Row],[Etapa Retiro - Ingreso]]),"")</f>
        <v/>
      </c>
      <c r="V907" s="11" t="str">
        <f>IFERROR(IF(MARÍTIMOS[[#This Row],[Etapa Retiro - Atención]]="","",MARÍTIMOS[[#This Row],[Etapa Retiro - Atención]]),"")</f>
        <v/>
      </c>
      <c r="W907" s="11" t="str">
        <f>IFERROR(IF(MARÍTIMOS[[#This Row],[Etapa Retiro - Atención]]="","",MARÍTIMOS[[#This Row],[Etapa Retiro - Atención]]),"")</f>
        <v/>
      </c>
      <c r="X907" s="11" t="str">
        <f>IFERROR(IF(MARÍTIMOS[[#This Row],[Etapa Retiro - Inicio de Ruta]]="","",MARÍTIMOS[[#This Row],[Etapa Retiro - Inicio de Ruta]]),"")</f>
        <v/>
      </c>
      <c r="Y907" s="11" t="str">
        <f>IFERROR(IF(MARÍTIMOS[[#This Row],[Hora de Posicionamiento]]="","",MARÍTIMOS[[#This Row],[Fecha de Carga]]+MARÍTIMOS[[#This Row],[Hora de Posicionamiento]]),"")</f>
        <v/>
      </c>
      <c r="Z907" s="11" t="str">
        <f>IFERROR(IF(MARÍTIMOS[[#This Row],[Etapa Despacho - Llegada]]="","",MARÍTIMOS[[#This Row],[Etapa Despacho - Llegada]]),"")</f>
        <v/>
      </c>
      <c r="AA907" s="11" t="str">
        <f>IFERROR(IF(MARÍTIMOS[[#This Row],[Etapa Despacho - Registro]]="","",MARÍTIMOS[[#This Row],[Etapa Despacho - Registro]]),"")</f>
        <v/>
      </c>
      <c r="AB907" s="11" t="str">
        <f>IFERROR(IF(MARÍTIMOS[[#This Row],[Inspección Externa]]="","",MARÍTIMOS[[#This Row],[Inspección Externa]]),"")</f>
        <v/>
      </c>
      <c r="AC907" s="11" t="str">
        <f>IFERROR(IF(MARÍTIMOS[[#This Row],[Etapa Despacho - Inicio de Carga]]="","",MARÍTIMOS[[#This Row],[Etapa Despacho - Inicio de Carga]]),"")</f>
        <v/>
      </c>
      <c r="AD907" s="11" t="str">
        <f>IFERROR(IF(MARÍTIMOS[[#This Row],[Etapa Despacho - Mitad de Carga]]="","",MARÍTIMOS[[#This Row],[Etapa Despacho - Mitad de Carga]]),"")</f>
        <v/>
      </c>
      <c r="AE907" s="11" t="str">
        <f>IFERROR(IF(MARÍTIMOS[[#This Row],[Etapa Despacho - Fin de Carga]]="","",MARÍTIMOS[[#This Row],[Etapa Despacho - Fin de Carga]]),"")</f>
        <v/>
      </c>
      <c r="AF907" s="2" t="str">
        <f>IFERROR(IF(MARÍTIMOS[[#This Row],[Puerto de Embarque]]="","",MARÍTIMOS[[#This Row],[Puerto de Embarque]]),"")</f>
        <v/>
      </c>
      <c r="AG907" s="2" t="str">
        <f>IFERROR(IF(MARÍTIMOS[[#This Row],[Almacén de Ingreso]]="","",MARÍTIMOS[[#This Row],[Almacén de Ingreso]]),"")</f>
        <v/>
      </c>
      <c r="AH907" s="11" t="str">
        <f>IFERROR(IF(MARÍTIMOS[[#This Row],[Etapa Ingreso - Cita]]="","",MARÍTIMOS[[#This Row],[Etapa Ingreso - Cita]]),"")</f>
        <v/>
      </c>
      <c r="AI907" s="11" t="str">
        <f>IFERROR(IF(MARÍTIMOS[[#This Row],[Etapa Ingreso - Llegada]]="","",MARÍTIMOS[[#This Row],[Etapa Ingreso - Llegada]]),"")</f>
        <v/>
      </c>
      <c r="AJ907" s="11" t="str">
        <f>IFERROR(IF(MARÍTIMOS[[#This Row],[Etapa Ingreso - Ingeso]]="","",MARÍTIMOS[[#This Row],[Etapa Ingreso - Ingeso]]),"")</f>
        <v/>
      </c>
      <c r="AK907" s="11" t="str">
        <f>IFERROR(IF(MARÍTIMOS[[#This Row],[Etapa Ingreso - Atención]]="","",MARÍTIMOS[[#This Row],[Etapa Ingreso - Atención]]),"")</f>
        <v/>
      </c>
      <c r="AL907" s="11" t="str">
        <f>IFERROR(IF(MARÍTIMOS[[#This Row],[Etapa Ingreso - Salida]]="","",MARÍTIMOS[[#This Row],[Etapa Ingreso - Salida]]),"")</f>
        <v/>
      </c>
      <c r="AM907" s="2" t="str">
        <f>IFERROR(IF(MARÍTIMOS[[#This Row],[FCL]]="","",MARÍTIMOS[[#This Row],[FCL]]),"")</f>
        <v/>
      </c>
      <c r="AN9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7" s="4" t="str" cm="1">
        <f t="array" ref="AO9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7" s="5" t="str">
        <f>IFERROR(OLDBD[[#This Row],[Llegada a packing]]-OLDBD[[#This Row],[Inicio de Ruta]],"")</f>
        <v/>
      </c>
      <c r="AQ907" s="6" t="str">
        <f>IFERROR(OLDBD[[#This Row],[Inicio de Ruta]]-OLDBD[[#This Row],[Salida de almacén de retiro]],"")</f>
        <v/>
      </c>
      <c r="AR9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7" s="8" t="str" cm="1">
        <f t="array" ref="AS9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7" s="9" t="str">
        <f>IFERROR(OLDBD[[#This Row],[Ingreso Packing]]-OLDBD[[#This Row],[Registro en Packing]],"")</f>
        <v/>
      </c>
      <c r="AV907" s="9" t="str">
        <f>IFERROR(OLDBD[[#This Row],[Ingreso Packing]]-OLDBD[[#This Row],[Llegada a packing]],"")</f>
        <v/>
      </c>
      <c r="AW9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7" s="5" t="str">
        <f>IFERROR(OLDBD[[#This Row],[Llegada Almacén de Ingreso]]-OLDBD[[#This Row],[Salida Packing]],"")</f>
        <v/>
      </c>
      <c r="AY907" s="4" t="str" cm="1">
        <f t="array" ref="AY9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7" s="43" t="s">
        <v>173</v>
      </c>
      <c r="BB907" s="47" t="str">
        <f>IFERROR(IF(MARÍTIMOS[[#This Row],[Estatus]]="","",MARÍTIMOS[[#This Row],[Estatus]]),"")</f>
        <v/>
      </c>
      <c r="BC907" s="43"/>
      <c r="BD907" s="46" t="str">
        <f>IFERROR(OLDBD[[#This Row],[Salida de almacén de retiro]]-OLDBD[[#This Row],[Ingreso Almacén de retiro]],"")</f>
        <v/>
      </c>
      <c r="BE907" s="46" t="str">
        <f>IFERROR(OLDBD[[#This Row],[Fin de Carga]]-OLDBD[[#This Row],[Inicio de Carga]],"")</f>
        <v/>
      </c>
    </row>
    <row r="908" spans="1:57" customFormat="1" hidden="1">
      <c r="A908" s="1"/>
      <c r="B908" s="1" t="str">
        <f>IFERROR(IF(MARÍTIMOS[[#This Row],[PP]]="","",MARÍTIMOS[[#This Row],[PP]]),"")</f>
        <v/>
      </c>
      <c r="C908" s="1" t="str">
        <f>IFERROR(IF(MARÍTIMOS[[#This Row],[Sede]]="","",MARÍTIMOS[[#This Row],[Sede]]),"")</f>
        <v/>
      </c>
      <c r="D908" s="1" t="str">
        <f>IFERROR(IF(MARÍTIMOS[[#This Row],[Instruction]]="","",MARÍTIMOS[[#This Row],[Instruction]]),"")</f>
        <v/>
      </c>
      <c r="E908" s="1"/>
      <c r="F908" s="2" t="str">
        <f>IFERROR(IF(MARÍTIMOS[[#This Row],[Transportista]]="","",MARÍTIMOS[[#This Row],[Transportista]]),"")</f>
        <v/>
      </c>
      <c r="G908" s="2" t="str">
        <f>IFERROR(IF(MARÍTIMOS[[#This Row],[Tercero]]="","",MARÍTIMOS[[#This Row],[Tercero]]),"")</f>
        <v/>
      </c>
      <c r="H908" s="2" t="str">
        <f>IFERROR(IF(MARÍTIMOS[[#This Row],[Razón Social]]="","",MARÍTIMOS[[#This Row],[Razón Social]]),"")</f>
        <v/>
      </c>
      <c r="I908" s="2" t="str">
        <f>IFERROR(IF(MARÍTIMOS[[#This Row],[RUC]]="","",MARÍTIMOS[[#This Row],[RUC]]),"")</f>
        <v/>
      </c>
      <c r="J908" s="2" t="str">
        <f>IFERROR(IF(MARÍTIMOS[[#This Row],[Placa Tracto]]="","",MARÍTIMOS[[#This Row],[Placa Tracto]]),"")</f>
        <v/>
      </c>
      <c r="K908" s="2" t="str">
        <f>IFERROR(IF(MARÍTIMOS[[#This Row],[Placa Carreta]]="","",MARÍTIMOS[[#This Row],[Placa Carreta]]),"")</f>
        <v/>
      </c>
      <c r="L908" s="44" t="str">
        <f>IFERROR(IF(MARÍTIMOS[[#This Row],[Conductor]]="","",MARÍTIMOS[[#This Row],[Conductor]]),"")</f>
        <v/>
      </c>
      <c r="M908" s="2" t="str">
        <f>IFERROR(IF(MARÍTIMOS[[#This Row],[Licencia]]="","",MARÍTIMOS[[#This Row],[Licencia]]),"")</f>
        <v/>
      </c>
      <c r="N908" s="2" t="str">
        <f>IFERROR(IF(MARÍTIMOS[[#This Row],[Número de Contacto]]="","",MARÍTIMOS[[#This Row],[Número de Contacto]]),"")</f>
        <v/>
      </c>
      <c r="O908" s="10" t="str">
        <f>IFERROR(IF(MARÍTIMOS[[#This Row],[Booking|AWB|CRT]]="","",MARÍTIMOS[[#This Row],[Booking|AWB|CRT]]),"")</f>
        <v/>
      </c>
      <c r="P908" s="2" t="str">
        <f>IFERROR(IF(MARÍTIMOS[[#This Row],[Contenedor]]="","",MARÍTIMOS[[#This Row],[Contenedor]]),"")</f>
        <v/>
      </c>
      <c r="Q908" s="2" t="str">
        <f>IFERROR(IF(MARÍTIMOS[[#This Row],[Puerto de Retiro]]="","",MARÍTIMOS[[#This Row],[Puerto de Retiro]]),"")</f>
        <v/>
      </c>
      <c r="R908" s="2" t="str">
        <f>IFERROR(IF(MARÍTIMOS[[#This Row],[Almacén de Retiro]]="","",MARÍTIMOS[[#This Row],[Almacén de Retiro]]),"")</f>
        <v/>
      </c>
      <c r="S908" s="11" t="str">
        <f>IFERROR(IF(MARÍTIMOS[[#This Row],[Etapa Retiro - Cita]]="","",MARÍTIMOS[[#This Row],[Etapa Retiro - Cita]]),"")</f>
        <v/>
      </c>
      <c r="T908" s="11" t="str">
        <f>IFERROR(IF(MARÍTIMOS[[#This Row],[Etapa Retiro - Llegada]]="","",MARÍTIMOS[[#This Row],[Etapa Retiro - Llegada]]),"")</f>
        <v/>
      </c>
      <c r="U908" s="11" t="str">
        <f>IFERROR(IF(MARÍTIMOS[[#This Row],[Etapa Retiro - Ingreso]]="","",MARÍTIMOS[[#This Row],[Etapa Retiro - Ingreso]]),"")</f>
        <v/>
      </c>
      <c r="V908" s="11" t="str">
        <f>IFERROR(IF(MARÍTIMOS[[#This Row],[Etapa Retiro - Atención]]="","",MARÍTIMOS[[#This Row],[Etapa Retiro - Atención]]),"")</f>
        <v/>
      </c>
      <c r="W908" s="11" t="str">
        <f>IFERROR(IF(MARÍTIMOS[[#This Row],[Etapa Retiro - Atención]]="","",MARÍTIMOS[[#This Row],[Etapa Retiro - Atención]]),"")</f>
        <v/>
      </c>
      <c r="X908" s="11" t="str">
        <f>IFERROR(IF(MARÍTIMOS[[#This Row],[Etapa Retiro - Inicio de Ruta]]="","",MARÍTIMOS[[#This Row],[Etapa Retiro - Inicio de Ruta]]),"")</f>
        <v/>
      </c>
      <c r="Y908" s="11" t="str">
        <f>IFERROR(IF(MARÍTIMOS[[#This Row],[Hora de Posicionamiento]]="","",MARÍTIMOS[[#This Row],[Fecha de Carga]]+MARÍTIMOS[[#This Row],[Hora de Posicionamiento]]),"")</f>
        <v/>
      </c>
      <c r="Z908" s="11" t="str">
        <f>IFERROR(IF(MARÍTIMOS[[#This Row],[Etapa Despacho - Llegada]]="","",MARÍTIMOS[[#This Row],[Etapa Despacho - Llegada]]),"")</f>
        <v/>
      </c>
      <c r="AA908" s="11" t="str">
        <f>IFERROR(IF(MARÍTIMOS[[#This Row],[Etapa Despacho - Registro]]="","",MARÍTIMOS[[#This Row],[Etapa Despacho - Registro]]),"")</f>
        <v/>
      </c>
      <c r="AB908" s="11" t="str">
        <f>IFERROR(IF(MARÍTIMOS[[#This Row],[Inspección Externa]]="","",MARÍTIMOS[[#This Row],[Inspección Externa]]),"")</f>
        <v/>
      </c>
      <c r="AC908" s="11" t="str">
        <f>IFERROR(IF(MARÍTIMOS[[#This Row],[Etapa Despacho - Inicio de Carga]]="","",MARÍTIMOS[[#This Row],[Etapa Despacho - Inicio de Carga]]),"")</f>
        <v/>
      </c>
      <c r="AD908" s="11" t="str">
        <f>IFERROR(IF(MARÍTIMOS[[#This Row],[Etapa Despacho - Mitad de Carga]]="","",MARÍTIMOS[[#This Row],[Etapa Despacho - Mitad de Carga]]),"")</f>
        <v/>
      </c>
      <c r="AE908" s="11" t="str">
        <f>IFERROR(IF(MARÍTIMOS[[#This Row],[Etapa Despacho - Fin de Carga]]="","",MARÍTIMOS[[#This Row],[Etapa Despacho - Fin de Carga]]),"")</f>
        <v/>
      </c>
      <c r="AF908" s="2" t="str">
        <f>IFERROR(IF(MARÍTIMOS[[#This Row],[Puerto de Embarque]]="","",MARÍTIMOS[[#This Row],[Puerto de Embarque]]),"")</f>
        <v/>
      </c>
      <c r="AG908" s="2" t="str">
        <f>IFERROR(IF(MARÍTIMOS[[#This Row],[Almacén de Ingreso]]="","",MARÍTIMOS[[#This Row],[Almacén de Ingreso]]),"")</f>
        <v/>
      </c>
      <c r="AH908" s="11" t="str">
        <f>IFERROR(IF(MARÍTIMOS[[#This Row],[Etapa Ingreso - Cita]]="","",MARÍTIMOS[[#This Row],[Etapa Ingreso - Cita]]),"")</f>
        <v/>
      </c>
      <c r="AI908" s="11" t="str">
        <f>IFERROR(IF(MARÍTIMOS[[#This Row],[Etapa Ingreso - Llegada]]="","",MARÍTIMOS[[#This Row],[Etapa Ingreso - Llegada]]),"")</f>
        <v/>
      </c>
      <c r="AJ908" s="11" t="str">
        <f>IFERROR(IF(MARÍTIMOS[[#This Row],[Etapa Ingreso - Ingeso]]="","",MARÍTIMOS[[#This Row],[Etapa Ingreso - Ingeso]]),"")</f>
        <v/>
      </c>
      <c r="AK908" s="11" t="str">
        <f>IFERROR(IF(MARÍTIMOS[[#This Row],[Etapa Ingreso - Atención]]="","",MARÍTIMOS[[#This Row],[Etapa Ingreso - Atención]]),"")</f>
        <v/>
      </c>
      <c r="AL908" s="11" t="str">
        <f>IFERROR(IF(MARÍTIMOS[[#This Row],[Etapa Ingreso - Salida]]="","",MARÍTIMOS[[#This Row],[Etapa Ingreso - Salida]]),"")</f>
        <v/>
      </c>
      <c r="AM908" s="2" t="str">
        <f>IFERROR(IF(MARÍTIMOS[[#This Row],[FCL]]="","",MARÍTIMOS[[#This Row],[FCL]]),"")</f>
        <v/>
      </c>
      <c r="AN9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8" s="4" t="str" cm="1">
        <f t="array" ref="AO9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8" s="5" t="str">
        <f>IFERROR(OLDBD[[#This Row],[Llegada a packing]]-OLDBD[[#This Row],[Inicio de Ruta]],"")</f>
        <v/>
      </c>
      <c r="AQ908" s="6" t="str">
        <f>IFERROR(OLDBD[[#This Row],[Inicio de Ruta]]-OLDBD[[#This Row],[Salida de almacén de retiro]],"")</f>
        <v/>
      </c>
      <c r="AR9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8" s="8" t="str" cm="1">
        <f t="array" ref="AS9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8" s="9" t="str">
        <f>IFERROR(OLDBD[[#This Row],[Ingreso Packing]]-OLDBD[[#This Row],[Registro en Packing]],"")</f>
        <v/>
      </c>
      <c r="AV908" s="9" t="str">
        <f>IFERROR(OLDBD[[#This Row],[Ingreso Packing]]-OLDBD[[#This Row],[Llegada a packing]],"")</f>
        <v/>
      </c>
      <c r="AW9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8" s="5" t="str">
        <f>IFERROR(OLDBD[[#This Row],[Llegada Almacén de Ingreso]]-OLDBD[[#This Row],[Salida Packing]],"")</f>
        <v/>
      </c>
      <c r="AY908" s="4" t="str" cm="1">
        <f t="array" ref="AY9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8" s="43" t="s">
        <v>173</v>
      </c>
      <c r="BB908" s="47" t="str">
        <f>IFERROR(IF(MARÍTIMOS[[#This Row],[Estatus]]="","",MARÍTIMOS[[#This Row],[Estatus]]),"")</f>
        <v/>
      </c>
      <c r="BC908" s="43"/>
      <c r="BD908" s="46" t="str">
        <f>IFERROR(OLDBD[[#This Row],[Salida de almacén de retiro]]-OLDBD[[#This Row],[Ingreso Almacén de retiro]],"")</f>
        <v/>
      </c>
      <c r="BE908" s="46" t="str">
        <f>IFERROR(OLDBD[[#This Row],[Fin de Carga]]-OLDBD[[#This Row],[Inicio de Carga]],"")</f>
        <v/>
      </c>
    </row>
    <row r="909" spans="1:57" customFormat="1" hidden="1">
      <c r="A909" s="1"/>
      <c r="B909" s="1" t="str">
        <f>IFERROR(IF(MARÍTIMOS[[#This Row],[PP]]="","",MARÍTIMOS[[#This Row],[PP]]),"")</f>
        <v/>
      </c>
      <c r="C909" s="1" t="str">
        <f>IFERROR(IF(MARÍTIMOS[[#This Row],[Sede]]="","",MARÍTIMOS[[#This Row],[Sede]]),"")</f>
        <v/>
      </c>
      <c r="D909" s="1" t="str">
        <f>IFERROR(IF(MARÍTIMOS[[#This Row],[Instruction]]="","",MARÍTIMOS[[#This Row],[Instruction]]),"")</f>
        <v/>
      </c>
      <c r="E909" s="1"/>
      <c r="F909" s="2" t="str">
        <f>IFERROR(IF(MARÍTIMOS[[#This Row],[Transportista]]="","",MARÍTIMOS[[#This Row],[Transportista]]),"")</f>
        <v/>
      </c>
      <c r="G909" s="2" t="str">
        <f>IFERROR(IF(MARÍTIMOS[[#This Row],[Tercero]]="","",MARÍTIMOS[[#This Row],[Tercero]]),"")</f>
        <v/>
      </c>
      <c r="H909" s="2" t="str">
        <f>IFERROR(IF(MARÍTIMOS[[#This Row],[Razón Social]]="","",MARÍTIMOS[[#This Row],[Razón Social]]),"")</f>
        <v/>
      </c>
      <c r="I909" s="2" t="str">
        <f>IFERROR(IF(MARÍTIMOS[[#This Row],[RUC]]="","",MARÍTIMOS[[#This Row],[RUC]]),"")</f>
        <v/>
      </c>
      <c r="J909" s="2" t="str">
        <f>IFERROR(IF(MARÍTIMOS[[#This Row],[Placa Tracto]]="","",MARÍTIMOS[[#This Row],[Placa Tracto]]),"")</f>
        <v/>
      </c>
      <c r="K909" s="2" t="str">
        <f>IFERROR(IF(MARÍTIMOS[[#This Row],[Placa Carreta]]="","",MARÍTIMOS[[#This Row],[Placa Carreta]]),"")</f>
        <v/>
      </c>
      <c r="L909" s="44" t="str">
        <f>IFERROR(IF(MARÍTIMOS[[#This Row],[Conductor]]="","",MARÍTIMOS[[#This Row],[Conductor]]),"")</f>
        <v/>
      </c>
      <c r="M909" s="2" t="str">
        <f>IFERROR(IF(MARÍTIMOS[[#This Row],[Licencia]]="","",MARÍTIMOS[[#This Row],[Licencia]]),"")</f>
        <v/>
      </c>
      <c r="N909" s="2" t="str">
        <f>IFERROR(IF(MARÍTIMOS[[#This Row],[Número de Contacto]]="","",MARÍTIMOS[[#This Row],[Número de Contacto]]),"")</f>
        <v/>
      </c>
      <c r="O909" s="10" t="str">
        <f>IFERROR(IF(MARÍTIMOS[[#This Row],[Booking|AWB|CRT]]="","",MARÍTIMOS[[#This Row],[Booking|AWB|CRT]]),"")</f>
        <v/>
      </c>
      <c r="P909" s="2" t="str">
        <f>IFERROR(IF(MARÍTIMOS[[#This Row],[Contenedor]]="","",MARÍTIMOS[[#This Row],[Contenedor]]),"")</f>
        <v/>
      </c>
      <c r="Q909" s="2" t="str">
        <f>IFERROR(IF(MARÍTIMOS[[#This Row],[Puerto de Retiro]]="","",MARÍTIMOS[[#This Row],[Puerto de Retiro]]),"")</f>
        <v/>
      </c>
      <c r="R909" s="2" t="str">
        <f>IFERROR(IF(MARÍTIMOS[[#This Row],[Almacén de Retiro]]="","",MARÍTIMOS[[#This Row],[Almacén de Retiro]]),"")</f>
        <v/>
      </c>
      <c r="S909" s="11" t="str">
        <f>IFERROR(IF(MARÍTIMOS[[#This Row],[Etapa Retiro - Cita]]="","",MARÍTIMOS[[#This Row],[Etapa Retiro - Cita]]),"")</f>
        <v/>
      </c>
      <c r="T909" s="11" t="str">
        <f>IFERROR(IF(MARÍTIMOS[[#This Row],[Etapa Retiro - Llegada]]="","",MARÍTIMOS[[#This Row],[Etapa Retiro - Llegada]]),"")</f>
        <v/>
      </c>
      <c r="U909" s="11" t="str">
        <f>IFERROR(IF(MARÍTIMOS[[#This Row],[Etapa Retiro - Ingreso]]="","",MARÍTIMOS[[#This Row],[Etapa Retiro - Ingreso]]),"")</f>
        <v/>
      </c>
      <c r="V909" s="11" t="str">
        <f>IFERROR(IF(MARÍTIMOS[[#This Row],[Etapa Retiro - Atención]]="","",MARÍTIMOS[[#This Row],[Etapa Retiro - Atención]]),"")</f>
        <v/>
      </c>
      <c r="W909" s="11" t="str">
        <f>IFERROR(IF(MARÍTIMOS[[#This Row],[Etapa Retiro - Atención]]="","",MARÍTIMOS[[#This Row],[Etapa Retiro - Atención]]),"")</f>
        <v/>
      </c>
      <c r="X909" s="11" t="str">
        <f>IFERROR(IF(MARÍTIMOS[[#This Row],[Etapa Retiro - Inicio de Ruta]]="","",MARÍTIMOS[[#This Row],[Etapa Retiro - Inicio de Ruta]]),"")</f>
        <v/>
      </c>
      <c r="Y909" s="11" t="str">
        <f>IFERROR(IF(MARÍTIMOS[[#This Row],[Hora de Posicionamiento]]="","",MARÍTIMOS[[#This Row],[Fecha de Carga]]+MARÍTIMOS[[#This Row],[Hora de Posicionamiento]]),"")</f>
        <v/>
      </c>
      <c r="Z909" s="11" t="str">
        <f>IFERROR(IF(MARÍTIMOS[[#This Row],[Etapa Despacho - Llegada]]="","",MARÍTIMOS[[#This Row],[Etapa Despacho - Llegada]]),"")</f>
        <v/>
      </c>
      <c r="AA909" s="11" t="str">
        <f>IFERROR(IF(MARÍTIMOS[[#This Row],[Etapa Despacho - Registro]]="","",MARÍTIMOS[[#This Row],[Etapa Despacho - Registro]]),"")</f>
        <v/>
      </c>
      <c r="AB909" s="11" t="str">
        <f>IFERROR(IF(MARÍTIMOS[[#This Row],[Inspección Externa]]="","",MARÍTIMOS[[#This Row],[Inspección Externa]]),"")</f>
        <v/>
      </c>
      <c r="AC909" s="11" t="str">
        <f>IFERROR(IF(MARÍTIMOS[[#This Row],[Etapa Despacho - Inicio de Carga]]="","",MARÍTIMOS[[#This Row],[Etapa Despacho - Inicio de Carga]]),"")</f>
        <v/>
      </c>
      <c r="AD909" s="11" t="str">
        <f>IFERROR(IF(MARÍTIMOS[[#This Row],[Etapa Despacho - Mitad de Carga]]="","",MARÍTIMOS[[#This Row],[Etapa Despacho - Mitad de Carga]]),"")</f>
        <v/>
      </c>
      <c r="AE909" s="11" t="str">
        <f>IFERROR(IF(MARÍTIMOS[[#This Row],[Etapa Despacho - Fin de Carga]]="","",MARÍTIMOS[[#This Row],[Etapa Despacho - Fin de Carga]]),"")</f>
        <v/>
      </c>
      <c r="AF909" s="2" t="str">
        <f>IFERROR(IF(MARÍTIMOS[[#This Row],[Puerto de Embarque]]="","",MARÍTIMOS[[#This Row],[Puerto de Embarque]]),"")</f>
        <v/>
      </c>
      <c r="AG909" s="2" t="str">
        <f>IFERROR(IF(MARÍTIMOS[[#This Row],[Almacén de Ingreso]]="","",MARÍTIMOS[[#This Row],[Almacén de Ingreso]]),"")</f>
        <v/>
      </c>
      <c r="AH909" s="11" t="str">
        <f>IFERROR(IF(MARÍTIMOS[[#This Row],[Etapa Ingreso - Cita]]="","",MARÍTIMOS[[#This Row],[Etapa Ingreso - Cita]]),"")</f>
        <v/>
      </c>
      <c r="AI909" s="11" t="str">
        <f>IFERROR(IF(MARÍTIMOS[[#This Row],[Etapa Ingreso - Llegada]]="","",MARÍTIMOS[[#This Row],[Etapa Ingreso - Llegada]]),"")</f>
        <v/>
      </c>
      <c r="AJ909" s="11" t="str">
        <f>IFERROR(IF(MARÍTIMOS[[#This Row],[Etapa Ingreso - Ingeso]]="","",MARÍTIMOS[[#This Row],[Etapa Ingreso - Ingeso]]),"")</f>
        <v/>
      </c>
      <c r="AK909" s="11" t="str">
        <f>IFERROR(IF(MARÍTIMOS[[#This Row],[Etapa Ingreso - Atención]]="","",MARÍTIMOS[[#This Row],[Etapa Ingreso - Atención]]),"")</f>
        <v/>
      </c>
      <c r="AL909" s="11" t="str">
        <f>IFERROR(IF(MARÍTIMOS[[#This Row],[Etapa Ingreso - Salida]]="","",MARÍTIMOS[[#This Row],[Etapa Ingreso - Salida]]),"")</f>
        <v/>
      </c>
      <c r="AM909" s="2" t="str">
        <f>IFERROR(IF(MARÍTIMOS[[#This Row],[FCL]]="","",MARÍTIMOS[[#This Row],[FCL]]),"")</f>
        <v/>
      </c>
      <c r="AN9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09" s="4" t="str" cm="1">
        <f t="array" ref="AO9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09" s="5" t="str">
        <f>IFERROR(OLDBD[[#This Row],[Llegada a packing]]-OLDBD[[#This Row],[Inicio de Ruta]],"")</f>
        <v/>
      </c>
      <c r="AQ909" s="6" t="str">
        <f>IFERROR(OLDBD[[#This Row],[Inicio de Ruta]]-OLDBD[[#This Row],[Salida de almacén de retiro]],"")</f>
        <v/>
      </c>
      <c r="AR9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09" s="8" t="str" cm="1">
        <f t="array" ref="AS9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09" s="9" t="str">
        <f>IFERROR(OLDBD[[#This Row],[Ingreso Packing]]-OLDBD[[#This Row],[Registro en Packing]],"")</f>
        <v/>
      </c>
      <c r="AV909" s="9" t="str">
        <f>IFERROR(OLDBD[[#This Row],[Ingreso Packing]]-OLDBD[[#This Row],[Llegada a packing]],"")</f>
        <v/>
      </c>
      <c r="AW9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09" s="5" t="str">
        <f>IFERROR(OLDBD[[#This Row],[Llegada Almacén de Ingreso]]-OLDBD[[#This Row],[Salida Packing]],"")</f>
        <v/>
      </c>
      <c r="AY909" s="4" t="str" cm="1">
        <f t="array" ref="AY9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09" s="43" t="s">
        <v>173</v>
      </c>
      <c r="BB909" s="47" t="str">
        <f>IFERROR(IF(MARÍTIMOS[[#This Row],[Estatus]]="","",MARÍTIMOS[[#This Row],[Estatus]]),"")</f>
        <v/>
      </c>
      <c r="BC909" s="43"/>
      <c r="BD909" s="46" t="str">
        <f>IFERROR(OLDBD[[#This Row],[Salida de almacén de retiro]]-OLDBD[[#This Row],[Ingreso Almacén de retiro]],"")</f>
        <v/>
      </c>
      <c r="BE909" s="46" t="str">
        <f>IFERROR(OLDBD[[#This Row],[Fin de Carga]]-OLDBD[[#This Row],[Inicio de Carga]],"")</f>
        <v/>
      </c>
    </row>
    <row r="910" spans="1:57" customFormat="1" hidden="1">
      <c r="A910" s="1"/>
      <c r="B910" s="1" t="str">
        <f>IFERROR(IF(MARÍTIMOS[[#This Row],[PP]]="","",MARÍTIMOS[[#This Row],[PP]]),"")</f>
        <v/>
      </c>
      <c r="C910" s="1" t="str">
        <f>IFERROR(IF(MARÍTIMOS[[#This Row],[Sede]]="","",MARÍTIMOS[[#This Row],[Sede]]),"")</f>
        <v/>
      </c>
      <c r="D910" s="1" t="str">
        <f>IFERROR(IF(MARÍTIMOS[[#This Row],[Instruction]]="","",MARÍTIMOS[[#This Row],[Instruction]]),"")</f>
        <v/>
      </c>
      <c r="E910" s="1"/>
      <c r="F910" s="2" t="str">
        <f>IFERROR(IF(MARÍTIMOS[[#This Row],[Transportista]]="","",MARÍTIMOS[[#This Row],[Transportista]]),"")</f>
        <v/>
      </c>
      <c r="G910" s="2" t="str">
        <f>IFERROR(IF(MARÍTIMOS[[#This Row],[Tercero]]="","",MARÍTIMOS[[#This Row],[Tercero]]),"")</f>
        <v/>
      </c>
      <c r="H910" s="2" t="str">
        <f>IFERROR(IF(MARÍTIMOS[[#This Row],[Razón Social]]="","",MARÍTIMOS[[#This Row],[Razón Social]]),"")</f>
        <v/>
      </c>
      <c r="I910" s="2" t="str">
        <f>IFERROR(IF(MARÍTIMOS[[#This Row],[RUC]]="","",MARÍTIMOS[[#This Row],[RUC]]),"")</f>
        <v/>
      </c>
      <c r="J910" s="2" t="str">
        <f>IFERROR(IF(MARÍTIMOS[[#This Row],[Placa Tracto]]="","",MARÍTIMOS[[#This Row],[Placa Tracto]]),"")</f>
        <v/>
      </c>
      <c r="K910" s="2" t="str">
        <f>IFERROR(IF(MARÍTIMOS[[#This Row],[Placa Carreta]]="","",MARÍTIMOS[[#This Row],[Placa Carreta]]),"")</f>
        <v/>
      </c>
      <c r="L910" s="44" t="str">
        <f>IFERROR(IF(MARÍTIMOS[[#This Row],[Conductor]]="","",MARÍTIMOS[[#This Row],[Conductor]]),"")</f>
        <v/>
      </c>
      <c r="M910" s="2" t="str">
        <f>IFERROR(IF(MARÍTIMOS[[#This Row],[Licencia]]="","",MARÍTIMOS[[#This Row],[Licencia]]),"")</f>
        <v/>
      </c>
      <c r="N910" s="2" t="str">
        <f>IFERROR(IF(MARÍTIMOS[[#This Row],[Número de Contacto]]="","",MARÍTIMOS[[#This Row],[Número de Contacto]]),"")</f>
        <v/>
      </c>
      <c r="O910" s="10" t="str">
        <f>IFERROR(IF(MARÍTIMOS[[#This Row],[Booking|AWB|CRT]]="","",MARÍTIMOS[[#This Row],[Booking|AWB|CRT]]),"")</f>
        <v/>
      </c>
      <c r="P910" s="2" t="str">
        <f>IFERROR(IF(MARÍTIMOS[[#This Row],[Contenedor]]="","",MARÍTIMOS[[#This Row],[Contenedor]]),"")</f>
        <v/>
      </c>
      <c r="Q910" s="2" t="str">
        <f>IFERROR(IF(MARÍTIMOS[[#This Row],[Puerto de Retiro]]="","",MARÍTIMOS[[#This Row],[Puerto de Retiro]]),"")</f>
        <v/>
      </c>
      <c r="R910" s="2" t="str">
        <f>IFERROR(IF(MARÍTIMOS[[#This Row],[Almacén de Retiro]]="","",MARÍTIMOS[[#This Row],[Almacén de Retiro]]),"")</f>
        <v/>
      </c>
      <c r="S910" s="11" t="str">
        <f>IFERROR(IF(MARÍTIMOS[[#This Row],[Etapa Retiro - Cita]]="","",MARÍTIMOS[[#This Row],[Etapa Retiro - Cita]]),"")</f>
        <v/>
      </c>
      <c r="T910" s="11" t="str">
        <f>IFERROR(IF(MARÍTIMOS[[#This Row],[Etapa Retiro - Llegada]]="","",MARÍTIMOS[[#This Row],[Etapa Retiro - Llegada]]),"")</f>
        <v/>
      </c>
      <c r="U910" s="11" t="str">
        <f>IFERROR(IF(MARÍTIMOS[[#This Row],[Etapa Retiro - Ingreso]]="","",MARÍTIMOS[[#This Row],[Etapa Retiro - Ingreso]]),"")</f>
        <v/>
      </c>
      <c r="V910" s="11" t="str">
        <f>IFERROR(IF(MARÍTIMOS[[#This Row],[Etapa Retiro - Atención]]="","",MARÍTIMOS[[#This Row],[Etapa Retiro - Atención]]),"")</f>
        <v/>
      </c>
      <c r="W910" s="11" t="str">
        <f>IFERROR(IF(MARÍTIMOS[[#This Row],[Etapa Retiro - Atención]]="","",MARÍTIMOS[[#This Row],[Etapa Retiro - Atención]]),"")</f>
        <v/>
      </c>
      <c r="X910" s="11" t="str">
        <f>IFERROR(IF(MARÍTIMOS[[#This Row],[Etapa Retiro - Inicio de Ruta]]="","",MARÍTIMOS[[#This Row],[Etapa Retiro - Inicio de Ruta]]),"")</f>
        <v/>
      </c>
      <c r="Y910" s="11" t="str">
        <f>IFERROR(IF(MARÍTIMOS[[#This Row],[Hora de Posicionamiento]]="","",MARÍTIMOS[[#This Row],[Fecha de Carga]]+MARÍTIMOS[[#This Row],[Hora de Posicionamiento]]),"")</f>
        <v/>
      </c>
      <c r="Z910" s="11" t="str">
        <f>IFERROR(IF(MARÍTIMOS[[#This Row],[Etapa Despacho - Llegada]]="","",MARÍTIMOS[[#This Row],[Etapa Despacho - Llegada]]),"")</f>
        <v/>
      </c>
      <c r="AA910" s="11" t="str">
        <f>IFERROR(IF(MARÍTIMOS[[#This Row],[Etapa Despacho - Registro]]="","",MARÍTIMOS[[#This Row],[Etapa Despacho - Registro]]),"")</f>
        <v/>
      </c>
      <c r="AB910" s="11" t="str">
        <f>IFERROR(IF(MARÍTIMOS[[#This Row],[Inspección Externa]]="","",MARÍTIMOS[[#This Row],[Inspección Externa]]),"")</f>
        <v/>
      </c>
      <c r="AC910" s="11" t="str">
        <f>IFERROR(IF(MARÍTIMOS[[#This Row],[Etapa Despacho - Inicio de Carga]]="","",MARÍTIMOS[[#This Row],[Etapa Despacho - Inicio de Carga]]),"")</f>
        <v/>
      </c>
      <c r="AD910" s="11" t="str">
        <f>IFERROR(IF(MARÍTIMOS[[#This Row],[Etapa Despacho - Mitad de Carga]]="","",MARÍTIMOS[[#This Row],[Etapa Despacho - Mitad de Carga]]),"")</f>
        <v/>
      </c>
      <c r="AE910" s="11" t="str">
        <f>IFERROR(IF(MARÍTIMOS[[#This Row],[Etapa Despacho - Fin de Carga]]="","",MARÍTIMOS[[#This Row],[Etapa Despacho - Fin de Carga]]),"")</f>
        <v/>
      </c>
      <c r="AF910" s="2" t="str">
        <f>IFERROR(IF(MARÍTIMOS[[#This Row],[Puerto de Embarque]]="","",MARÍTIMOS[[#This Row],[Puerto de Embarque]]),"")</f>
        <v/>
      </c>
      <c r="AG910" s="2" t="str">
        <f>IFERROR(IF(MARÍTIMOS[[#This Row],[Almacén de Ingreso]]="","",MARÍTIMOS[[#This Row],[Almacén de Ingreso]]),"")</f>
        <v/>
      </c>
      <c r="AH910" s="11" t="str">
        <f>IFERROR(IF(MARÍTIMOS[[#This Row],[Etapa Ingreso - Cita]]="","",MARÍTIMOS[[#This Row],[Etapa Ingreso - Cita]]),"")</f>
        <v/>
      </c>
      <c r="AI910" s="11" t="str">
        <f>IFERROR(IF(MARÍTIMOS[[#This Row],[Etapa Ingreso - Llegada]]="","",MARÍTIMOS[[#This Row],[Etapa Ingreso - Llegada]]),"")</f>
        <v/>
      </c>
      <c r="AJ910" s="11" t="str">
        <f>IFERROR(IF(MARÍTIMOS[[#This Row],[Etapa Ingreso - Ingeso]]="","",MARÍTIMOS[[#This Row],[Etapa Ingreso - Ingeso]]),"")</f>
        <v/>
      </c>
      <c r="AK910" s="11" t="str">
        <f>IFERROR(IF(MARÍTIMOS[[#This Row],[Etapa Ingreso - Atención]]="","",MARÍTIMOS[[#This Row],[Etapa Ingreso - Atención]]),"")</f>
        <v/>
      </c>
      <c r="AL910" s="11" t="str">
        <f>IFERROR(IF(MARÍTIMOS[[#This Row],[Etapa Ingreso - Salida]]="","",MARÍTIMOS[[#This Row],[Etapa Ingreso - Salida]]),"")</f>
        <v/>
      </c>
      <c r="AM910" s="2" t="str">
        <f>IFERROR(IF(MARÍTIMOS[[#This Row],[FCL]]="","",MARÍTIMOS[[#This Row],[FCL]]),"")</f>
        <v/>
      </c>
      <c r="AN9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0" s="4" t="str" cm="1">
        <f t="array" ref="AO9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0" s="5" t="str">
        <f>IFERROR(OLDBD[[#This Row],[Llegada a packing]]-OLDBD[[#This Row],[Inicio de Ruta]],"")</f>
        <v/>
      </c>
      <c r="AQ910" s="6" t="str">
        <f>IFERROR(OLDBD[[#This Row],[Inicio de Ruta]]-OLDBD[[#This Row],[Salida de almacén de retiro]],"")</f>
        <v/>
      </c>
      <c r="AR9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0" s="8" t="str" cm="1">
        <f t="array" ref="AS9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0" s="9" t="str">
        <f>IFERROR(OLDBD[[#This Row],[Ingreso Packing]]-OLDBD[[#This Row],[Registro en Packing]],"")</f>
        <v/>
      </c>
      <c r="AV910" s="9" t="str">
        <f>IFERROR(OLDBD[[#This Row],[Ingreso Packing]]-OLDBD[[#This Row],[Llegada a packing]],"")</f>
        <v/>
      </c>
      <c r="AW9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0" s="5" t="str">
        <f>IFERROR(OLDBD[[#This Row],[Llegada Almacén de Ingreso]]-OLDBD[[#This Row],[Salida Packing]],"")</f>
        <v/>
      </c>
      <c r="AY910" s="4" t="str" cm="1">
        <f t="array" ref="AY9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0" s="43" t="s">
        <v>173</v>
      </c>
      <c r="BB910" s="47" t="str">
        <f>IFERROR(IF(MARÍTIMOS[[#This Row],[Estatus]]="","",MARÍTIMOS[[#This Row],[Estatus]]),"")</f>
        <v/>
      </c>
      <c r="BC910" s="43"/>
      <c r="BD910" s="46" t="str">
        <f>IFERROR(OLDBD[[#This Row],[Salida de almacén de retiro]]-OLDBD[[#This Row],[Ingreso Almacén de retiro]],"")</f>
        <v/>
      </c>
      <c r="BE910" s="46" t="str">
        <f>IFERROR(OLDBD[[#This Row],[Fin de Carga]]-OLDBD[[#This Row],[Inicio de Carga]],"")</f>
        <v/>
      </c>
    </row>
    <row r="911" spans="1:57" customFormat="1" hidden="1">
      <c r="A911" s="1"/>
      <c r="B911" s="1" t="str">
        <f>IFERROR(IF(MARÍTIMOS[[#This Row],[PP]]="","",MARÍTIMOS[[#This Row],[PP]]),"")</f>
        <v/>
      </c>
      <c r="C911" s="1" t="str">
        <f>IFERROR(IF(MARÍTIMOS[[#This Row],[Sede]]="","",MARÍTIMOS[[#This Row],[Sede]]),"")</f>
        <v/>
      </c>
      <c r="D911" s="1" t="str">
        <f>IFERROR(IF(MARÍTIMOS[[#This Row],[Instruction]]="","",MARÍTIMOS[[#This Row],[Instruction]]),"")</f>
        <v/>
      </c>
      <c r="E911" s="1"/>
      <c r="F911" s="2" t="str">
        <f>IFERROR(IF(MARÍTIMOS[[#This Row],[Transportista]]="","",MARÍTIMOS[[#This Row],[Transportista]]),"")</f>
        <v/>
      </c>
      <c r="G911" s="2" t="str">
        <f>IFERROR(IF(MARÍTIMOS[[#This Row],[Tercero]]="","",MARÍTIMOS[[#This Row],[Tercero]]),"")</f>
        <v/>
      </c>
      <c r="H911" s="2" t="str">
        <f>IFERROR(IF(MARÍTIMOS[[#This Row],[Razón Social]]="","",MARÍTIMOS[[#This Row],[Razón Social]]),"")</f>
        <v/>
      </c>
      <c r="I911" s="2" t="str">
        <f>IFERROR(IF(MARÍTIMOS[[#This Row],[RUC]]="","",MARÍTIMOS[[#This Row],[RUC]]),"")</f>
        <v/>
      </c>
      <c r="J911" s="2" t="str">
        <f>IFERROR(IF(MARÍTIMOS[[#This Row],[Placa Tracto]]="","",MARÍTIMOS[[#This Row],[Placa Tracto]]),"")</f>
        <v/>
      </c>
      <c r="K911" s="2" t="str">
        <f>IFERROR(IF(MARÍTIMOS[[#This Row],[Placa Carreta]]="","",MARÍTIMOS[[#This Row],[Placa Carreta]]),"")</f>
        <v/>
      </c>
      <c r="L911" s="44" t="str">
        <f>IFERROR(IF(MARÍTIMOS[[#This Row],[Conductor]]="","",MARÍTIMOS[[#This Row],[Conductor]]),"")</f>
        <v/>
      </c>
      <c r="M911" s="2" t="str">
        <f>IFERROR(IF(MARÍTIMOS[[#This Row],[Licencia]]="","",MARÍTIMOS[[#This Row],[Licencia]]),"")</f>
        <v/>
      </c>
      <c r="N911" s="2" t="str">
        <f>IFERROR(IF(MARÍTIMOS[[#This Row],[Número de Contacto]]="","",MARÍTIMOS[[#This Row],[Número de Contacto]]),"")</f>
        <v/>
      </c>
      <c r="O911" s="10" t="str">
        <f>IFERROR(IF(MARÍTIMOS[[#This Row],[Booking|AWB|CRT]]="","",MARÍTIMOS[[#This Row],[Booking|AWB|CRT]]),"")</f>
        <v/>
      </c>
      <c r="P911" s="2" t="str">
        <f>IFERROR(IF(MARÍTIMOS[[#This Row],[Contenedor]]="","",MARÍTIMOS[[#This Row],[Contenedor]]),"")</f>
        <v/>
      </c>
      <c r="Q911" s="2" t="str">
        <f>IFERROR(IF(MARÍTIMOS[[#This Row],[Puerto de Retiro]]="","",MARÍTIMOS[[#This Row],[Puerto de Retiro]]),"")</f>
        <v/>
      </c>
      <c r="R911" s="2" t="str">
        <f>IFERROR(IF(MARÍTIMOS[[#This Row],[Almacén de Retiro]]="","",MARÍTIMOS[[#This Row],[Almacén de Retiro]]),"")</f>
        <v/>
      </c>
      <c r="S911" s="11" t="str">
        <f>IFERROR(IF(MARÍTIMOS[[#This Row],[Etapa Retiro - Cita]]="","",MARÍTIMOS[[#This Row],[Etapa Retiro - Cita]]),"")</f>
        <v/>
      </c>
      <c r="T911" s="11" t="str">
        <f>IFERROR(IF(MARÍTIMOS[[#This Row],[Etapa Retiro - Llegada]]="","",MARÍTIMOS[[#This Row],[Etapa Retiro - Llegada]]),"")</f>
        <v/>
      </c>
      <c r="U911" s="11" t="str">
        <f>IFERROR(IF(MARÍTIMOS[[#This Row],[Etapa Retiro - Ingreso]]="","",MARÍTIMOS[[#This Row],[Etapa Retiro - Ingreso]]),"")</f>
        <v/>
      </c>
      <c r="V911" s="11" t="str">
        <f>IFERROR(IF(MARÍTIMOS[[#This Row],[Etapa Retiro - Atención]]="","",MARÍTIMOS[[#This Row],[Etapa Retiro - Atención]]),"")</f>
        <v/>
      </c>
      <c r="W911" s="11" t="str">
        <f>IFERROR(IF(MARÍTIMOS[[#This Row],[Etapa Retiro - Atención]]="","",MARÍTIMOS[[#This Row],[Etapa Retiro - Atención]]),"")</f>
        <v/>
      </c>
      <c r="X911" s="11" t="str">
        <f>IFERROR(IF(MARÍTIMOS[[#This Row],[Etapa Retiro - Inicio de Ruta]]="","",MARÍTIMOS[[#This Row],[Etapa Retiro - Inicio de Ruta]]),"")</f>
        <v/>
      </c>
      <c r="Y911" s="11" t="str">
        <f>IFERROR(IF(MARÍTIMOS[[#This Row],[Hora de Posicionamiento]]="","",MARÍTIMOS[[#This Row],[Fecha de Carga]]+MARÍTIMOS[[#This Row],[Hora de Posicionamiento]]),"")</f>
        <v/>
      </c>
      <c r="Z911" s="11" t="str">
        <f>IFERROR(IF(MARÍTIMOS[[#This Row],[Etapa Despacho - Llegada]]="","",MARÍTIMOS[[#This Row],[Etapa Despacho - Llegada]]),"")</f>
        <v/>
      </c>
      <c r="AA911" s="11" t="str">
        <f>IFERROR(IF(MARÍTIMOS[[#This Row],[Etapa Despacho - Registro]]="","",MARÍTIMOS[[#This Row],[Etapa Despacho - Registro]]),"")</f>
        <v/>
      </c>
      <c r="AB911" s="11" t="str">
        <f>IFERROR(IF(MARÍTIMOS[[#This Row],[Inspección Externa]]="","",MARÍTIMOS[[#This Row],[Inspección Externa]]),"")</f>
        <v/>
      </c>
      <c r="AC911" s="11" t="str">
        <f>IFERROR(IF(MARÍTIMOS[[#This Row],[Etapa Despacho - Inicio de Carga]]="","",MARÍTIMOS[[#This Row],[Etapa Despacho - Inicio de Carga]]),"")</f>
        <v/>
      </c>
      <c r="AD911" s="11" t="str">
        <f>IFERROR(IF(MARÍTIMOS[[#This Row],[Etapa Despacho - Mitad de Carga]]="","",MARÍTIMOS[[#This Row],[Etapa Despacho - Mitad de Carga]]),"")</f>
        <v/>
      </c>
      <c r="AE911" s="11" t="str">
        <f>IFERROR(IF(MARÍTIMOS[[#This Row],[Etapa Despacho - Fin de Carga]]="","",MARÍTIMOS[[#This Row],[Etapa Despacho - Fin de Carga]]),"")</f>
        <v/>
      </c>
      <c r="AF911" s="2" t="str">
        <f>IFERROR(IF(MARÍTIMOS[[#This Row],[Puerto de Embarque]]="","",MARÍTIMOS[[#This Row],[Puerto de Embarque]]),"")</f>
        <v/>
      </c>
      <c r="AG911" s="2" t="str">
        <f>IFERROR(IF(MARÍTIMOS[[#This Row],[Almacén de Ingreso]]="","",MARÍTIMOS[[#This Row],[Almacén de Ingreso]]),"")</f>
        <v/>
      </c>
      <c r="AH911" s="11" t="str">
        <f>IFERROR(IF(MARÍTIMOS[[#This Row],[Etapa Ingreso - Cita]]="","",MARÍTIMOS[[#This Row],[Etapa Ingreso - Cita]]),"")</f>
        <v/>
      </c>
      <c r="AI911" s="11" t="str">
        <f>IFERROR(IF(MARÍTIMOS[[#This Row],[Etapa Ingreso - Llegada]]="","",MARÍTIMOS[[#This Row],[Etapa Ingreso - Llegada]]),"")</f>
        <v/>
      </c>
      <c r="AJ911" s="11" t="str">
        <f>IFERROR(IF(MARÍTIMOS[[#This Row],[Etapa Ingreso - Ingeso]]="","",MARÍTIMOS[[#This Row],[Etapa Ingreso - Ingeso]]),"")</f>
        <v/>
      </c>
      <c r="AK911" s="11" t="str">
        <f>IFERROR(IF(MARÍTIMOS[[#This Row],[Etapa Ingreso - Atención]]="","",MARÍTIMOS[[#This Row],[Etapa Ingreso - Atención]]),"")</f>
        <v/>
      </c>
      <c r="AL911" s="11" t="str">
        <f>IFERROR(IF(MARÍTIMOS[[#This Row],[Etapa Ingreso - Salida]]="","",MARÍTIMOS[[#This Row],[Etapa Ingreso - Salida]]),"")</f>
        <v/>
      </c>
      <c r="AM911" s="2" t="str">
        <f>IFERROR(IF(MARÍTIMOS[[#This Row],[FCL]]="","",MARÍTIMOS[[#This Row],[FCL]]),"")</f>
        <v/>
      </c>
      <c r="AN9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1" s="4" t="str" cm="1">
        <f t="array" ref="AO9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1" s="5" t="str">
        <f>IFERROR(OLDBD[[#This Row],[Llegada a packing]]-OLDBD[[#This Row],[Inicio de Ruta]],"")</f>
        <v/>
      </c>
      <c r="AQ911" s="6" t="str">
        <f>IFERROR(OLDBD[[#This Row],[Inicio de Ruta]]-OLDBD[[#This Row],[Salida de almacén de retiro]],"")</f>
        <v/>
      </c>
      <c r="AR9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1" s="8" t="str" cm="1">
        <f t="array" ref="AS9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1" s="9" t="str">
        <f>IFERROR(OLDBD[[#This Row],[Ingreso Packing]]-OLDBD[[#This Row],[Registro en Packing]],"")</f>
        <v/>
      </c>
      <c r="AV911" s="9" t="str">
        <f>IFERROR(OLDBD[[#This Row],[Ingreso Packing]]-OLDBD[[#This Row],[Llegada a packing]],"")</f>
        <v/>
      </c>
      <c r="AW9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1" s="5" t="str">
        <f>IFERROR(OLDBD[[#This Row],[Llegada Almacén de Ingreso]]-OLDBD[[#This Row],[Salida Packing]],"")</f>
        <v/>
      </c>
      <c r="AY911" s="4" t="str" cm="1">
        <f t="array" ref="AY9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1" s="43" t="s">
        <v>173</v>
      </c>
      <c r="BB911" s="47" t="str">
        <f>IFERROR(IF(MARÍTIMOS[[#This Row],[Estatus]]="","",MARÍTIMOS[[#This Row],[Estatus]]),"")</f>
        <v/>
      </c>
      <c r="BC911" s="43"/>
      <c r="BD911" s="46" t="str">
        <f>IFERROR(OLDBD[[#This Row],[Salida de almacén de retiro]]-OLDBD[[#This Row],[Ingreso Almacén de retiro]],"")</f>
        <v/>
      </c>
      <c r="BE911" s="46" t="str">
        <f>IFERROR(OLDBD[[#This Row],[Fin de Carga]]-OLDBD[[#This Row],[Inicio de Carga]],"")</f>
        <v/>
      </c>
    </row>
    <row r="912" spans="1:57" customFormat="1" hidden="1">
      <c r="A912" s="1"/>
      <c r="B912" s="1" t="str">
        <f>IFERROR(IF(MARÍTIMOS[[#This Row],[PP]]="","",MARÍTIMOS[[#This Row],[PP]]),"")</f>
        <v/>
      </c>
      <c r="C912" s="1" t="str">
        <f>IFERROR(IF(MARÍTIMOS[[#This Row],[Sede]]="","",MARÍTIMOS[[#This Row],[Sede]]),"")</f>
        <v/>
      </c>
      <c r="D912" s="1" t="str">
        <f>IFERROR(IF(MARÍTIMOS[[#This Row],[Instruction]]="","",MARÍTIMOS[[#This Row],[Instruction]]),"")</f>
        <v/>
      </c>
      <c r="E912" s="1"/>
      <c r="F912" s="2" t="str">
        <f>IFERROR(IF(MARÍTIMOS[[#This Row],[Transportista]]="","",MARÍTIMOS[[#This Row],[Transportista]]),"")</f>
        <v/>
      </c>
      <c r="G912" s="2" t="str">
        <f>IFERROR(IF(MARÍTIMOS[[#This Row],[Tercero]]="","",MARÍTIMOS[[#This Row],[Tercero]]),"")</f>
        <v/>
      </c>
      <c r="H912" s="2" t="str">
        <f>IFERROR(IF(MARÍTIMOS[[#This Row],[Razón Social]]="","",MARÍTIMOS[[#This Row],[Razón Social]]),"")</f>
        <v/>
      </c>
      <c r="I912" s="2" t="str">
        <f>IFERROR(IF(MARÍTIMOS[[#This Row],[RUC]]="","",MARÍTIMOS[[#This Row],[RUC]]),"")</f>
        <v/>
      </c>
      <c r="J912" s="2" t="str">
        <f>IFERROR(IF(MARÍTIMOS[[#This Row],[Placa Tracto]]="","",MARÍTIMOS[[#This Row],[Placa Tracto]]),"")</f>
        <v/>
      </c>
      <c r="K912" s="2" t="str">
        <f>IFERROR(IF(MARÍTIMOS[[#This Row],[Placa Carreta]]="","",MARÍTIMOS[[#This Row],[Placa Carreta]]),"")</f>
        <v/>
      </c>
      <c r="L912" s="44" t="str">
        <f>IFERROR(IF(MARÍTIMOS[[#This Row],[Conductor]]="","",MARÍTIMOS[[#This Row],[Conductor]]),"")</f>
        <v/>
      </c>
      <c r="M912" s="2" t="str">
        <f>IFERROR(IF(MARÍTIMOS[[#This Row],[Licencia]]="","",MARÍTIMOS[[#This Row],[Licencia]]),"")</f>
        <v/>
      </c>
      <c r="N912" s="2" t="str">
        <f>IFERROR(IF(MARÍTIMOS[[#This Row],[Número de Contacto]]="","",MARÍTIMOS[[#This Row],[Número de Contacto]]),"")</f>
        <v/>
      </c>
      <c r="O912" s="10" t="str">
        <f>IFERROR(IF(MARÍTIMOS[[#This Row],[Booking|AWB|CRT]]="","",MARÍTIMOS[[#This Row],[Booking|AWB|CRT]]),"")</f>
        <v/>
      </c>
      <c r="P912" s="2" t="str">
        <f>IFERROR(IF(MARÍTIMOS[[#This Row],[Contenedor]]="","",MARÍTIMOS[[#This Row],[Contenedor]]),"")</f>
        <v/>
      </c>
      <c r="Q912" s="2" t="str">
        <f>IFERROR(IF(MARÍTIMOS[[#This Row],[Puerto de Retiro]]="","",MARÍTIMOS[[#This Row],[Puerto de Retiro]]),"")</f>
        <v/>
      </c>
      <c r="R912" s="2" t="str">
        <f>IFERROR(IF(MARÍTIMOS[[#This Row],[Almacén de Retiro]]="","",MARÍTIMOS[[#This Row],[Almacén de Retiro]]),"")</f>
        <v/>
      </c>
      <c r="S912" s="11" t="str">
        <f>IFERROR(IF(MARÍTIMOS[[#This Row],[Etapa Retiro - Cita]]="","",MARÍTIMOS[[#This Row],[Etapa Retiro - Cita]]),"")</f>
        <v/>
      </c>
      <c r="T912" s="11" t="str">
        <f>IFERROR(IF(MARÍTIMOS[[#This Row],[Etapa Retiro - Llegada]]="","",MARÍTIMOS[[#This Row],[Etapa Retiro - Llegada]]),"")</f>
        <v/>
      </c>
      <c r="U912" s="11" t="str">
        <f>IFERROR(IF(MARÍTIMOS[[#This Row],[Etapa Retiro - Ingreso]]="","",MARÍTIMOS[[#This Row],[Etapa Retiro - Ingreso]]),"")</f>
        <v/>
      </c>
      <c r="V912" s="11" t="str">
        <f>IFERROR(IF(MARÍTIMOS[[#This Row],[Etapa Retiro - Atención]]="","",MARÍTIMOS[[#This Row],[Etapa Retiro - Atención]]),"")</f>
        <v/>
      </c>
      <c r="W912" s="11" t="str">
        <f>IFERROR(IF(MARÍTIMOS[[#This Row],[Etapa Retiro - Atención]]="","",MARÍTIMOS[[#This Row],[Etapa Retiro - Atención]]),"")</f>
        <v/>
      </c>
      <c r="X912" s="11" t="str">
        <f>IFERROR(IF(MARÍTIMOS[[#This Row],[Etapa Retiro - Inicio de Ruta]]="","",MARÍTIMOS[[#This Row],[Etapa Retiro - Inicio de Ruta]]),"")</f>
        <v/>
      </c>
      <c r="Y912" s="11" t="str">
        <f>IFERROR(IF(MARÍTIMOS[[#This Row],[Hora de Posicionamiento]]="","",MARÍTIMOS[[#This Row],[Fecha de Carga]]+MARÍTIMOS[[#This Row],[Hora de Posicionamiento]]),"")</f>
        <v/>
      </c>
      <c r="Z912" s="11" t="str">
        <f>IFERROR(IF(MARÍTIMOS[[#This Row],[Etapa Despacho - Llegada]]="","",MARÍTIMOS[[#This Row],[Etapa Despacho - Llegada]]),"")</f>
        <v/>
      </c>
      <c r="AA912" s="11" t="str">
        <f>IFERROR(IF(MARÍTIMOS[[#This Row],[Etapa Despacho - Registro]]="","",MARÍTIMOS[[#This Row],[Etapa Despacho - Registro]]),"")</f>
        <v/>
      </c>
      <c r="AB912" s="11" t="str">
        <f>IFERROR(IF(MARÍTIMOS[[#This Row],[Inspección Externa]]="","",MARÍTIMOS[[#This Row],[Inspección Externa]]),"")</f>
        <v/>
      </c>
      <c r="AC912" s="11" t="str">
        <f>IFERROR(IF(MARÍTIMOS[[#This Row],[Etapa Despacho - Inicio de Carga]]="","",MARÍTIMOS[[#This Row],[Etapa Despacho - Inicio de Carga]]),"")</f>
        <v/>
      </c>
      <c r="AD912" s="11" t="str">
        <f>IFERROR(IF(MARÍTIMOS[[#This Row],[Etapa Despacho - Mitad de Carga]]="","",MARÍTIMOS[[#This Row],[Etapa Despacho - Mitad de Carga]]),"")</f>
        <v/>
      </c>
      <c r="AE912" s="11" t="str">
        <f>IFERROR(IF(MARÍTIMOS[[#This Row],[Etapa Despacho - Fin de Carga]]="","",MARÍTIMOS[[#This Row],[Etapa Despacho - Fin de Carga]]),"")</f>
        <v/>
      </c>
      <c r="AF912" s="2" t="str">
        <f>IFERROR(IF(MARÍTIMOS[[#This Row],[Puerto de Embarque]]="","",MARÍTIMOS[[#This Row],[Puerto de Embarque]]),"")</f>
        <v/>
      </c>
      <c r="AG912" s="2" t="str">
        <f>IFERROR(IF(MARÍTIMOS[[#This Row],[Almacén de Ingreso]]="","",MARÍTIMOS[[#This Row],[Almacén de Ingreso]]),"")</f>
        <v/>
      </c>
      <c r="AH912" s="11" t="str">
        <f>IFERROR(IF(MARÍTIMOS[[#This Row],[Etapa Ingreso - Cita]]="","",MARÍTIMOS[[#This Row],[Etapa Ingreso - Cita]]),"")</f>
        <v/>
      </c>
      <c r="AI912" s="11" t="str">
        <f>IFERROR(IF(MARÍTIMOS[[#This Row],[Etapa Ingreso - Llegada]]="","",MARÍTIMOS[[#This Row],[Etapa Ingreso - Llegada]]),"")</f>
        <v/>
      </c>
      <c r="AJ912" s="11" t="str">
        <f>IFERROR(IF(MARÍTIMOS[[#This Row],[Etapa Ingreso - Ingeso]]="","",MARÍTIMOS[[#This Row],[Etapa Ingreso - Ingeso]]),"")</f>
        <v/>
      </c>
      <c r="AK912" s="11" t="str">
        <f>IFERROR(IF(MARÍTIMOS[[#This Row],[Etapa Ingreso - Atención]]="","",MARÍTIMOS[[#This Row],[Etapa Ingreso - Atención]]),"")</f>
        <v/>
      </c>
      <c r="AL912" s="11" t="str">
        <f>IFERROR(IF(MARÍTIMOS[[#This Row],[Etapa Ingreso - Salida]]="","",MARÍTIMOS[[#This Row],[Etapa Ingreso - Salida]]),"")</f>
        <v/>
      </c>
      <c r="AM912" s="2" t="str">
        <f>IFERROR(IF(MARÍTIMOS[[#This Row],[FCL]]="","",MARÍTIMOS[[#This Row],[FCL]]),"")</f>
        <v/>
      </c>
      <c r="AN9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2" s="4" t="str" cm="1">
        <f t="array" ref="AO9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2" s="5" t="str">
        <f>IFERROR(OLDBD[[#This Row],[Llegada a packing]]-OLDBD[[#This Row],[Inicio de Ruta]],"")</f>
        <v/>
      </c>
      <c r="AQ912" s="6" t="str">
        <f>IFERROR(OLDBD[[#This Row],[Inicio de Ruta]]-OLDBD[[#This Row],[Salida de almacén de retiro]],"")</f>
        <v/>
      </c>
      <c r="AR9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2" s="8" t="str" cm="1">
        <f t="array" ref="AS9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2" s="9" t="str">
        <f>IFERROR(OLDBD[[#This Row],[Ingreso Packing]]-OLDBD[[#This Row],[Registro en Packing]],"")</f>
        <v/>
      </c>
      <c r="AV912" s="9" t="str">
        <f>IFERROR(OLDBD[[#This Row],[Ingreso Packing]]-OLDBD[[#This Row],[Llegada a packing]],"")</f>
        <v/>
      </c>
      <c r="AW9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2" s="5" t="str">
        <f>IFERROR(OLDBD[[#This Row],[Llegada Almacén de Ingreso]]-OLDBD[[#This Row],[Salida Packing]],"")</f>
        <v/>
      </c>
      <c r="AY912" s="4" t="str" cm="1">
        <f t="array" ref="AY9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2" s="43" t="s">
        <v>173</v>
      </c>
      <c r="BB912" s="47" t="str">
        <f>IFERROR(IF(MARÍTIMOS[[#This Row],[Estatus]]="","",MARÍTIMOS[[#This Row],[Estatus]]),"")</f>
        <v/>
      </c>
      <c r="BC912" s="43"/>
      <c r="BD912" s="46" t="str">
        <f>IFERROR(OLDBD[[#This Row],[Salida de almacén de retiro]]-OLDBD[[#This Row],[Ingreso Almacén de retiro]],"")</f>
        <v/>
      </c>
      <c r="BE912" s="46" t="str">
        <f>IFERROR(OLDBD[[#This Row],[Fin de Carga]]-OLDBD[[#This Row],[Inicio de Carga]],"")</f>
        <v/>
      </c>
    </row>
    <row r="913" spans="1:57" customFormat="1" hidden="1">
      <c r="A913" s="1"/>
      <c r="B913" s="1" t="str">
        <f>IFERROR(IF(MARÍTIMOS[[#This Row],[PP]]="","",MARÍTIMOS[[#This Row],[PP]]),"")</f>
        <v/>
      </c>
      <c r="C913" s="1" t="str">
        <f>IFERROR(IF(MARÍTIMOS[[#This Row],[Sede]]="","",MARÍTIMOS[[#This Row],[Sede]]),"")</f>
        <v/>
      </c>
      <c r="D913" s="1" t="str">
        <f>IFERROR(IF(MARÍTIMOS[[#This Row],[Instruction]]="","",MARÍTIMOS[[#This Row],[Instruction]]),"")</f>
        <v/>
      </c>
      <c r="E913" s="1"/>
      <c r="F913" s="2" t="str">
        <f>IFERROR(IF(MARÍTIMOS[[#This Row],[Transportista]]="","",MARÍTIMOS[[#This Row],[Transportista]]),"")</f>
        <v/>
      </c>
      <c r="G913" s="2" t="str">
        <f>IFERROR(IF(MARÍTIMOS[[#This Row],[Tercero]]="","",MARÍTIMOS[[#This Row],[Tercero]]),"")</f>
        <v/>
      </c>
      <c r="H913" s="2" t="str">
        <f>IFERROR(IF(MARÍTIMOS[[#This Row],[Razón Social]]="","",MARÍTIMOS[[#This Row],[Razón Social]]),"")</f>
        <v/>
      </c>
      <c r="I913" s="2" t="str">
        <f>IFERROR(IF(MARÍTIMOS[[#This Row],[RUC]]="","",MARÍTIMOS[[#This Row],[RUC]]),"")</f>
        <v/>
      </c>
      <c r="J913" s="2" t="str">
        <f>IFERROR(IF(MARÍTIMOS[[#This Row],[Placa Tracto]]="","",MARÍTIMOS[[#This Row],[Placa Tracto]]),"")</f>
        <v/>
      </c>
      <c r="K913" s="2" t="str">
        <f>IFERROR(IF(MARÍTIMOS[[#This Row],[Placa Carreta]]="","",MARÍTIMOS[[#This Row],[Placa Carreta]]),"")</f>
        <v/>
      </c>
      <c r="L913" s="44" t="str">
        <f>IFERROR(IF(MARÍTIMOS[[#This Row],[Conductor]]="","",MARÍTIMOS[[#This Row],[Conductor]]),"")</f>
        <v/>
      </c>
      <c r="M913" s="2" t="str">
        <f>IFERROR(IF(MARÍTIMOS[[#This Row],[Licencia]]="","",MARÍTIMOS[[#This Row],[Licencia]]),"")</f>
        <v/>
      </c>
      <c r="N913" s="2" t="str">
        <f>IFERROR(IF(MARÍTIMOS[[#This Row],[Número de Contacto]]="","",MARÍTIMOS[[#This Row],[Número de Contacto]]),"")</f>
        <v/>
      </c>
      <c r="O913" s="10" t="str">
        <f>IFERROR(IF(MARÍTIMOS[[#This Row],[Booking|AWB|CRT]]="","",MARÍTIMOS[[#This Row],[Booking|AWB|CRT]]),"")</f>
        <v/>
      </c>
      <c r="P913" s="2" t="str">
        <f>IFERROR(IF(MARÍTIMOS[[#This Row],[Contenedor]]="","",MARÍTIMOS[[#This Row],[Contenedor]]),"")</f>
        <v/>
      </c>
      <c r="Q913" s="2" t="str">
        <f>IFERROR(IF(MARÍTIMOS[[#This Row],[Puerto de Retiro]]="","",MARÍTIMOS[[#This Row],[Puerto de Retiro]]),"")</f>
        <v/>
      </c>
      <c r="R913" s="2" t="str">
        <f>IFERROR(IF(MARÍTIMOS[[#This Row],[Almacén de Retiro]]="","",MARÍTIMOS[[#This Row],[Almacén de Retiro]]),"")</f>
        <v/>
      </c>
      <c r="S913" s="11" t="str">
        <f>IFERROR(IF(MARÍTIMOS[[#This Row],[Etapa Retiro - Cita]]="","",MARÍTIMOS[[#This Row],[Etapa Retiro - Cita]]),"")</f>
        <v/>
      </c>
      <c r="T913" s="11" t="str">
        <f>IFERROR(IF(MARÍTIMOS[[#This Row],[Etapa Retiro - Llegada]]="","",MARÍTIMOS[[#This Row],[Etapa Retiro - Llegada]]),"")</f>
        <v/>
      </c>
      <c r="U913" s="11" t="str">
        <f>IFERROR(IF(MARÍTIMOS[[#This Row],[Etapa Retiro - Ingreso]]="","",MARÍTIMOS[[#This Row],[Etapa Retiro - Ingreso]]),"")</f>
        <v/>
      </c>
      <c r="V913" s="11" t="str">
        <f>IFERROR(IF(MARÍTIMOS[[#This Row],[Etapa Retiro - Atención]]="","",MARÍTIMOS[[#This Row],[Etapa Retiro - Atención]]),"")</f>
        <v/>
      </c>
      <c r="W913" s="11" t="str">
        <f>IFERROR(IF(MARÍTIMOS[[#This Row],[Etapa Retiro - Atención]]="","",MARÍTIMOS[[#This Row],[Etapa Retiro - Atención]]),"")</f>
        <v/>
      </c>
      <c r="X913" s="11" t="str">
        <f>IFERROR(IF(MARÍTIMOS[[#This Row],[Etapa Retiro - Inicio de Ruta]]="","",MARÍTIMOS[[#This Row],[Etapa Retiro - Inicio de Ruta]]),"")</f>
        <v/>
      </c>
      <c r="Y913" s="11" t="str">
        <f>IFERROR(IF(MARÍTIMOS[[#This Row],[Hora de Posicionamiento]]="","",MARÍTIMOS[[#This Row],[Fecha de Carga]]+MARÍTIMOS[[#This Row],[Hora de Posicionamiento]]),"")</f>
        <v/>
      </c>
      <c r="Z913" s="11" t="str">
        <f>IFERROR(IF(MARÍTIMOS[[#This Row],[Etapa Despacho - Llegada]]="","",MARÍTIMOS[[#This Row],[Etapa Despacho - Llegada]]),"")</f>
        <v/>
      </c>
      <c r="AA913" s="11" t="str">
        <f>IFERROR(IF(MARÍTIMOS[[#This Row],[Etapa Despacho - Registro]]="","",MARÍTIMOS[[#This Row],[Etapa Despacho - Registro]]),"")</f>
        <v/>
      </c>
      <c r="AB913" s="11" t="str">
        <f>IFERROR(IF(MARÍTIMOS[[#This Row],[Inspección Externa]]="","",MARÍTIMOS[[#This Row],[Inspección Externa]]),"")</f>
        <v/>
      </c>
      <c r="AC913" s="11" t="str">
        <f>IFERROR(IF(MARÍTIMOS[[#This Row],[Etapa Despacho - Inicio de Carga]]="","",MARÍTIMOS[[#This Row],[Etapa Despacho - Inicio de Carga]]),"")</f>
        <v/>
      </c>
      <c r="AD913" s="11" t="str">
        <f>IFERROR(IF(MARÍTIMOS[[#This Row],[Etapa Despacho - Mitad de Carga]]="","",MARÍTIMOS[[#This Row],[Etapa Despacho - Mitad de Carga]]),"")</f>
        <v/>
      </c>
      <c r="AE913" s="11" t="str">
        <f>IFERROR(IF(MARÍTIMOS[[#This Row],[Etapa Despacho - Fin de Carga]]="","",MARÍTIMOS[[#This Row],[Etapa Despacho - Fin de Carga]]),"")</f>
        <v/>
      </c>
      <c r="AF913" s="2" t="str">
        <f>IFERROR(IF(MARÍTIMOS[[#This Row],[Puerto de Embarque]]="","",MARÍTIMOS[[#This Row],[Puerto de Embarque]]),"")</f>
        <v/>
      </c>
      <c r="AG913" s="2" t="str">
        <f>IFERROR(IF(MARÍTIMOS[[#This Row],[Almacén de Ingreso]]="","",MARÍTIMOS[[#This Row],[Almacén de Ingreso]]),"")</f>
        <v/>
      </c>
      <c r="AH913" s="11" t="str">
        <f>IFERROR(IF(MARÍTIMOS[[#This Row],[Etapa Ingreso - Cita]]="","",MARÍTIMOS[[#This Row],[Etapa Ingreso - Cita]]),"")</f>
        <v/>
      </c>
      <c r="AI913" s="11" t="str">
        <f>IFERROR(IF(MARÍTIMOS[[#This Row],[Etapa Ingreso - Llegada]]="","",MARÍTIMOS[[#This Row],[Etapa Ingreso - Llegada]]),"")</f>
        <v/>
      </c>
      <c r="AJ913" s="11" t="str">
        <f>IFERROR(IF(MARÍTIMOS[[#This Row],[Etapa Ingreso - Ingeso]]="","",MARÍTIMOS[[#This Row],[Etapa Ingreso - Ingeso]]),"")</f>
        <v/>
      </c>
      <c r="AK913" s="11" t="str">
        <f>IFERROR(IF(MARÍTIMOS[[#This Row],[Etapa Ingreso - Atención]]="","",MARÍTIMOS[[#This Row],[Etapa Ingreso - Atención]]),"")</f>
        <v/>
      </c>
      <c r="AL913" s="11" t="str">
        <f>IFERROR(IF(MARÍTIMOS[[#This Row],[Etapa Ingreso - Salida]]="","",MARÍTIMOS[[#This Row],[Etapa Ingreso - Salida]]),"")</f>
        <v/>
      </c>
      <c r="AM913" s="2" t="str">
        <f>IFERROR(IF(MARÍTIMOS[[#This Row],[FCL]]="","",MARÍTIMOS[[#This Row],[FCL]]),"")</f>
        <v/>
      </c>
      <c r="AN9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3" s="4" t="str" cm="1">
        <f t="array" ref="AO9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3" s="5" t="str">
        <f>IFERROR(OLDBD[[#This Row],[Llegada a packing]]-OLDBD[[#This Row],[Inicio de Ruta]],"")</f>
        <v/>
      </c>
      <c r="AQ913" s="6" t="str">
        <f>IFERROR(OLDBD[[#This Row],[Inicio de Ruta]]-OLDBD[[#This Row],[Salida de almacén de retiro]],"")</f>
        <v/>
      </c>
      <c r="AR9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3" s="8" t="str" cm="1">
        <f t="array" ref="AS9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3" s="9" t="str">
        <f>IFERROR(OLDBD[[#This Row],[Ingreso Packing]]-OLDBD[[#This Row],[Registro en Packing]],"")</f>
        <v/>
      </c>
      <c r="AV913" s="9" t="str">
        <f>IFERROR(OLDBD[[#This Row],[Ingreso Packing]]-OLDBD[[#This Row],[Llegada a packing]],"")</f>
        <v/>
      </c>
      <c r="AW9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3" s="5" t="str">
        <f>IFERROR(OLDBD[[#This Row],[Llegada Almacén de Ingreso]]-OLDBD[[#This Row],[Salida Packing]],"")</f>
        <v/>
      </c>
      <c r="AY913" s="4" t="str" cm="1">
        <f t="array" ref="AY9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3" s="43" t="s">
        <v>173</v>
      </c>
      <c r="BB913" s="47" t="str">
        <f>IFERROR(IF(MARÍTIMOS[[#This Row],[Estatus]]="","",MARÍTIMOS[[#This Row],[Estatus]]),"")</f>
        <v/>
      </c>
      <c r="BC913" s="43"/>
      <c r="BD913" s="46" t="str">
        <f>IFERROR(OLDBD[[#This Row],[Salida de almacén de retiro]]-OLDBD[[#This Row],[Ingreso Almacén de retiro]],"")</f>
        <v/>
      </c>
      <c r="BE913" s="46" t="str">
        <f>IFERROR(OLDBD[[#This Row],[Fin de Carga]]-OLDBD[[#This Row],[Inicio de Carga]],"")</f>
        <v/>
      </c>
    </row>
    <row r="914" spans="1:57" customFormat="1" hidden="1">
      <c r="A914" s="1"/>
      <c r="B914" s="1" t="str">
        <f>IFERROR(IF(MARÍTIMOS[[#This Row],[PP]]="","",MARÍTIMOS[[#This Row],[PP]]),"")</f>
        <v/>
      </c>
      <c r="C914" s="1" t="str">
        <f>IFERROR(IF(MARÍTIMOS[[#This Row],[Sede]]="","",MARÍTIMOS[[#This Row],[Sede]]),"")</f>
        <v/>
      </c>
      <c r="D914" s="1" t="str">
        <f>IFERROR(IF(MARÍTIMOS[[#This Row],[Instruction]]="","",MARÍTIMOS[[#This Row],[Instruction]]),"")</f>
        <v/>
      </c>
      <c r="E914" s="1"/>
      <c r="F914" s="2" t="str">
        <f>IFERROR(IF(MARÍTIMOS[[#This Row],[Transportista]]="","",MARÍTIMOS[[#This Row],[Transportista]]),"")</f>
        <v/>
      </c>
      <c r="G914" s="2" t="str">
        <f>IFERROR(IF(MARÍTIMOS[[#This Row],[Tercero]]="","",MARÍTIMOS[[#This Row],[Tercero]]),"")</f>
        <v/>
      </c>
      <c r="H914" s="2" t="str">
        <f>IFERROR(IF(MARÍTIMOS[[#This Row],[Razón Social]]="","",MARÍTIMOS[[#This Row],[Razón Social]]),"")</f>
        <v/>
      </c>
      <c r="I914" s="2" t="str">
        <f>IFERROR(IF(MARÍTIMOS[[#This Row],[RUC]]="","",MARÍTIMOS[[#This Row],[RUC]]),"")</f>
        <v/>
      </c>
      <c r="J914" s="2" t="str">
        <f>IFERROR(IF(MARÍTIMOS[[#This Row],[Placa Tracto]]="","",MARÍTIMOS[[#This Row],[Placa Tracto]]),"")</f>
        <v/>
      </c>
      <c r="K914" s="2" t="str">
        <f>IFERROR(IF(MARÍTIMOS[[#This Row],[Placa Carreta]]="","",MARÍTIMOS[[#This Row],[Placa Carreta]]),"")</f>
        <v/>
      </c>
      <c r="L914" s="44" t="str">
        <f>IFERROR(IF(MARÍTIMOS[[#This Row],[Conductor]]="","",MARÍTIMOS[[#This Row],[Conductor]]),"")</f>
        <v/>
      </c>
      <c r="M914" s="2" t="str">
        <f>IFERROR(IF(MARÍTIMOS[[#This Row],[Licencia]]="","",MARÍTIMOS[[#This Row],[Licencia]]),"")</f>
        <v/>
      </c>
      <c r="N914" s="2" t="str">
        <f>IFERROR(IF(MARÍTIMOS[[#This Row],[Número de Contacto]]="","",MARÍTIMOS[[#This Row],[Número de Contacto]]),"")</f>
        <v/>
      </c>
      <c r="O914" s="10" t="str">
        <f>IFERROR(IF(MARÍTIMOS[[#This Row],[Booking|AWB|CRT]]="","",MARÍTIMOS[[#This Row],[Booking|AWB|CRT]]),"")</f>
        <v/>
      </c>
      <c r="P914" s="2" t="str">
        <f>IFERROR(IF(MARÍTIMOS[[#This Row],[Contenedor]]="","",MARÍTIMOS[[#This Row],[Contenedor]]),"")</f>
        <v/>
      </c>
      <c r="Q914" s="2" t="str">
        <f>IFERROR(IF(MARÍTIMOS[[#This Row],[Puerto de Retiro]]="","",MARÍTIMOS[[#This Row],[Puerto de Retiro]]),"")</f>
        <v/>
      </c>
      <c r="R914" s="2" t="str">
        <f>IFERROR(IF(MARÍTIMOS[[#This Row],[Almacén de Retiro]]="","",MARÍTIMOS[[#This Row],[Almacén de Retiro]]),"")</f>
        <v/>
      </c>
      <c r="S914" s="11" t="str">
        <f>IFERROR(IF(MARÍTIMOS[[#This Row],[Etapa Retiro - Cita]]="","",MARÍTIMOS[[#This Row],[Etapa Retiro - Cita]]),"")</f>
        <v/>
      </c>
      <c r="T914" s="11" t="str">
        <f>IFERROR(IF(MARÍTIMOS[[#This Row],[Etapa Retiro - Llegada]]="","",MARÍTIMOS[[#This Row],[Etapa Retiro - Llegada]]),"")</f>
        <v/>
      </c>
      <c r="U914" s="11" t="str">
        <f>IFERROR(IF(MARÍTIMOS[[#This Row],[Etapa Retiro - Ingreso]]="","",MARÍTIMOS[[#This Row],[Etapa Retiro - Ingreso]]),"")</f>
        <v/>
      </c>
      <c r="V914" s="11" t="str">
        <f>IFERROR(IF(MARÍTIMOS[[#This Row],[Etapa Retiro - Atención]]="","",MARÍTIMOS[[#This Row],[Etapa Retiro - Atención]]),"")</f>
        <v/>
      </c>
      <c r="W914" s="11" t="str">
        <f>IFERROR(IF(MARÍTIMOS[[#This Row],[Etapa Retiro - Atención]]="","",MARÍTIMOS[[#This Row],[Etapa Retiro - Atención]]),"")</f>
        <v/>
      </c>
      <c r="X914" s="11" t="str">
        <f>IFERROR(IF(MARÍTIMOS[[#This Row],[Etapa Retiro - Inicio de Ruta]]="","",MARÍTIMOS[[#This Row],[Etapa Retiro - Inicio de Ruta]]),"")</f>
        <v/>
      </c>
      <c r="Y914" s="11" t="str">
        <f>IFERROR(IF(MARÍTIMOS[[#This Row],[Hora de Posicionamiento]]="","",MARÍTIMOS[[#This Row],[Fecha de Carga]]+MARÍTIMOS[[#This Row],[Hora de Posicionamiento]]),"")</f>
        <v/>
      </c>
      <c r="Z914" s="11" t="str">
        <f>IFERROR(IF(MARÍTIMOS[[#This Row],[Etapa Despacho - Llegada]]="","",MARÍTIMOS[[#This Row],[Etapa Despacho - Llegada]]),"")</f>
        <v/>
      </c>
      <c r="AA914" s="11" t="str">
        <f>IFERROR(IF(MARÍTIMOS[[#This Row],[Etapa Despacho - Registro]]="","",MARÍTIMOS[[#This Row],[Etapa Despacho - Registro]]),"")</f>
        <v/>
      </c>
      <c r="AB914" s="11" t="str">
        <f>IFERROR(IF(MARÍTIMOS[[#This Row],[Inspección Externa]]="","",MARÍTIMOS[[#This Row],[Inspección Externa]]),"")</f>
        <v/>
      </c>
      <c r="AC914" s="11" t="str">
        <f>IFERROR(IF(MARÍTIMOS[[#This Row],[Etapa Despacho - Inicio de Carga]]="","",MARÍTIMOS[[#This Row],[Etapa Despacho - Inicio de Carga]]),"")</f>
        <v/>
      </c>
      <c r="AD914" s="11" t="str">
        <f>IFERROR(IF(MARÍTIMOS[[#This Row],[Etapa Despacho - Mitad de Carga]]="","",MARÍTIMOS[[#This Row],[Etapa Despacho - Mitad de Carga]]),"")</f>
        <v/>
      </c>
      <c r="AE914" s="11" t="str">
        <f>IFERROR(IF(MARÍTIMOS[[#This Row],[Etapa Despacho - Fin de Carga]]="","",MARÍTIMOS[[#This Row],[Etapa Despacho - Fin de Carga]]),"")</f>
        <v/>
      </c>
      <c r="AF914" s="2" t="str">
        <f>IFERROR(IF(MARÍTIMOS[[#This Row],[Puerto de Embarque]]="","",MARÍTIMOS[[#This Row],[Puerto de Embarque]]),"")</f>
        <v/>
      </c>
      <c r="AG914" s="2" t="str">
        <f>IFERROR(IF(MARÍTIMOS[[#This Row],[Almacén de Ingreso]]="","",MARÍTIMOS[[#This Row],[Almacén de Ingreso]]),"")</f>
        <v/>
      </c>
      <c r="AH914" s="11" t="str">
        <f>IFERROR(IF(MARÍTIMOS[[#This Row],[Etapa Ingreso - Cita]]="","",MARÍTIMOS[[#This Row],[Etapa Ingreso - Cita]]),"")</f>
        <v/>
      </c>
      <c r="AI914" s="11" t="str">
        <f>IFERROR(IF(MARÍTIMOS[[#This Row],[Etapa Ingreso - Llegada]]="","",MARÍTIMOS[[#This Row],[Etapa Ingreso - Llegada]]),"")</f>
        <v/>
      </c>
      <c r="AJ914" s="11" t="str">
        <f>IFERROR(IF(MARÍTIMOS[[#This Row],[Etapa Ingreso - Ingeso]]="","",MARÍTIMOS[[#This Row],[Etapa Ingreso - Ingeso]]),"")</f>
        <v/>
      </c>
      <c r="AK914" s="11" t="str">
        <f>IFERROR(IF(MARÍTIMOS[[#This Row],[Etapa Ingreso - Atención]]="","",MARÍTIMOS[[#This Row],[Etapa Ingreso - Atención]]),"")</f>
        <v/>
      </c>
      <c r="AL914" s="11" t="str">
        <f>IFERROR(IF(MARÍTIMOS[[#This Row],[Etapa Ingreso - Salida]]="","",MARÍTIMOS[[#This Row],[Etapa Ingreso - Salida]]),"")</f>
        <v/>
      </c>
      <c r="AM914" s="2" t="str">
        <f>IFERROR(IF(MARÍTIMOS[[#This Row],[FCL]]="","",MARÍTIMOS[[#This Row],[FCL]]),"")</f>
        <v/>
      </c>
      <c r="AN9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4" s="4" t="str" cm="1">
        <f t="array" ref="AO9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4" s="5" t="str">
        <f>IFERROR(OLDBD[[#This Row],[Llegada a packing]]-OLDBD[[#This Row],[Inicio de Ruta]],"")</f>
        <v/>
      </c>
      <c r="AQ914" s="6" t="str">
        <f>IFERROR(OLDBD[[#This Row],[Inicio de Ruta]]-OLDBD[[#This Row],[Salida de almacén de retiro]],"")</f>
        <v/>
      </c>
      <c r="AR9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4" s="8" t="str" cm="1">
        <f t="array" ref="AS9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4" s="9" t="str">
        <f>IFERROR(OLDBD[[#This Row],[Ingreso Packing]]-OLDBD[[#This Row],[Registro en Packing]],"")</f>
        <v/>
      </c>
      <c r="AV914" s="9" t="str">
        <f>IFERROR(OLDBD[[#This Row],[Ingreso Packing]]-OLDBD[[#This Row],[Llegada a packing]],"")</f>
        <v/>
      </c>
      <c r="AW9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4" s="5" t="str">
        <f>IFERROR(OLDBD[[#This Row],[Llegada Almacén de Ingreso]]-OLDBD[[#This Row],[Salida Packing]],"")</f>
        <v/>
      </c>
      <c r="AY914" s="4" t="str" cm="1">
        <f t="array" ref="AY9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4" s="43" t="s">
        <v>173</v>
      </c>
      <c r="BB914" s="47" t="str">
        <f>IFERROR(IF(MARÍTIMOS[[#This Row],[Estatus]]="","",MARÍTIMOS[[#This Row],[Estatus]]),"")</f>
        <v/>
      </c>
      <c r="BC914" s="43"/>
      <c r="BD914" s="46" t="str">
        <f>IFERROR(OLDBD[[#This Row],[Salida de almacén de retiro]]-OLDBD[[#This Row],[Ingreso Almacén de retiro]],"")</f>
        <v/>
      </c>
      <c r="BE914" s="46" t="str">
        <f>IFERROR(OLDBD[[#This Row],[Fin de Carga]]-OLDBD[[#This Row],[Inicio de Carga]],"")</f>
        <v/>
      </c>
    </row>
    <row r="915" spans="1:57" customFormat="1" hidden="1">
      <c r="A915" s="1"/>
      <c r="B915" s="1" t="str">
        <f>IFERROR(IF(MARÍTIMOS[[#This Row],[PP]]="","",MARÍTIMOS[[#This Row],[PP]]),"")</f>
        <v/>
      </c>
      <c r="C915" s="1" t="str">
        <f>IFERROR(IF(MARÍTIMOS[[#This Row],[Sede]]="","",MARÍTIMOS[[#This Row],[Sede]]),"")</f>
        <v/>
      </c>
      <c r="D915" s="1" t="str">
        <f>IFERROR(IF(MARÍTIMOS[[#This Row],[Instruction]]="","",MARÍTIMOS[[#This Row],[Instruction]]),"")</f>
        <v/>
      </c>
      <c r="E915" s="1"/>
      <c r="F915" s="2" t="str">
        <f>IFERROR(IF(MARÍTIMOS[[#This Row],[Transportista]]="","",MARÍTIMOS[[#This Row],[Transportista]]),"")</f>
        <v/>
      </c>
      <c r="G915" s="2" t="str">
        <f>IFERROR(IF(MARÍTIMOS[[#This Row],[Tercero]]="","",MARÍTIMOS[[#This Row],[Tercero]]),"")</f>
        <v/>
      </c>
      <c r="H915" s="2" t="str">
        <f>IFERROR(IF(MARÍTIMOS[[#This Row],[Razón Social]]="","",MARÍTIMOS[[#This Row],[Razón Social]]),"")</f>
        <v/>
      </c>
      <c r="I915" s="2" t="str">
        <f>IFERROR(IF(MARÍTIMOS[[#This Row],[RUC]]="","",MARÍTIMOS[[#This Row],[RUC]]),"")</f>
        <v/>
      </c>
      <c r="J915" s="2" t="str">
        <f>IFERROR(IF(MARÍTIMOS[[#This Row],[Placa Tracto]]="","",MARÍTIMOS[[#This Row],[Placa Tracto]]),"")</f>
        <v/>
      </c>
      <c r="K915" s="2" t="str">
        <f>IFERROR(IF(MARÍTIMOS[[#This Row],[Placa Carreta]]="","",MARÍTIMOS[[#This Row],[Placa Carreta]]),"")</f>
        <v/>
      </c>
      <c r="L915" s="44" t="str">
        <f>IFERROR(IF(MARÍTIMOS[[#This Row],[Conductor]]="","",MARÍTIMOS[[#This Row],[Conductor]]),"")</f>
        <v/>
      </c>
      <c r="M915" s="2" t="str">
        <f>IFERROR(IF(MARÍTIMOS[[#This Row],[Licencia]]="","",MARÍTIMOS[[#This Row],[Licencia]]),"")</f>
        <v/>
      </c>
      <c r="N915" s="2" t="str">
        <f>IFERROR(IF(MARÍTIMOS[[#This Row],[Número de Contacto]]="","",MARÍTIMOS[[#This Row],[Número de Contacto]]),"")</f>
        <v/>
      </c>
      <c r="O915" s="10" t="str">
        <f>IFERROR(IF(MARÍTIMOS[[#This Row],[Booking|AWB|CRT]]="","",MARÍTIMOS[[#This Row],[Booking|AWB|CRT]]),"")</f>
        <v/>
      </c>
      <c r="P915" s="2" t="str">
        <f>IFERROR(IF(MARÍTIMOS[[#This Row],[Contenedor]]="","",MARÍTIMOS[[#This Row],[Contenedor]]),"")</f>
        <v/>
      </c>
      <c r="Q915" s="2" t="str">
        <f>IFERROR(IF(MARÍTIMOS[[#This Row],[Puerto de Retiro]]="","",MARÍTIMOS[[#This Row],[Puerto de Retiro]]),"")</f>
        <v/>
      </c>
      <c r="R915" s="2" t="str">
        <f>IFERROR(IF(MARÍTIMOS[[#This Row],[Almacén de Retiro]]="","",MARÍTIMOS[[#This Row],[Almacén de Retiro]]),"")</f>
        <v/>
      </c>
      <c r="S915" s="11" t="str">
        <f>IFERROR(IF(MARÍTIMOS[[#This Row],[Etapa Retiro - Cita]]="","",MARÍTIMOS[[#This Row],[Etapa Retiro - Cita]]),"")</f>
        <v/>
      </c>
      <c r="T915" s="11" t="str">
        <f>IFERROR(IF(MARÍTIMOS[[#This Row],[Etapa Retiro - Llegada]]="","",MARÍTIMOS[[#This Row],[Etapa Retiro - Llegada]]),"")</f>
        <v/>
      </c>
      <c r="U915" s="11" t="str">
        <f>IFERROR(IF(MARÍTIMOS[[#This Row],[Etapa Retiro - Ingreso]]="","",MARÍTIMOS[[#This Row],[Etapa Retiro - Ingreso]]),"")</f>
        <v/>
      </c>
      <c r="V915" s="11" t="str">
        <f>IFERROR(IF(MARÍTIMOS[[#This Row],[Etapa Retiro - Atención]]="","",MARÍTIMOS[[#This Row],[Etapa Retiro - Atención]]),"")</f>
        <v/>
      </c>
      <c r="W915" s="11" t="str">
        <f>IFERROR(IF(MARÍTIMOS[[#This Row],[Etapa Retiro - Atención]]="","",MARÍTIMOS[[#This Row],[Etapa Retiro - Atención]]),"")</f>
        <v/>
      </c>
      <c r="X915" s="11" t="str">
        <f>IFERROR(IF(MARÍTIMOS[[#This Row],[Etapa Retiro - Inicio de Ruta]]="","",MARÍTIMOS[[#This Row],[Etapa Retiro - Inicio de Ruta]]),"")</f>
        <v/>
      </c>
      <c r="Y915" s="11" t="str">
        <f>IFERROR(IF(MARÍTIMOS[[#This Row],[Hora de Posicionamiento]]="","",MARÍTIMOS[[#This Row],[Fecha de Carga]]+MARÍTIMOS[[#This Row],[Hora de Posicionamiento]]),"")</f>
        <v/>
      </c>
      <c r="Z915" s="11" t="str">
        <f>IFERROR(IF(MARÍTIMOS[[#This Row],[Etapa Despacho - Llegada]]="","",MARÍTIMOS[[#This Row],[Etapa Despacho - Llegada]]),"")</f>
        <v/>
      </c>
      <c r="AA915" s="11" t="str">
        <f>IFERROR(IF(MARÍTIMOS[[#This Row],[Etapa Despacho - Registro]]="","",MARÍTIMOS[[#This Row],[Etapa Despacho - Registro]]),"")</f>
        <v/>
      </c>
      <c r="AB915" s="11" t="str">
        <f>IFERROR(IF(MARÍTIMOS[[#This Row],[Inspección Externa]]="","",MARÍTIMOS[[#This Row],[Inspección Externa]]),"")</f>
        <v/>
      </c>
      <c r="AC915" s="11" t="str">
        <f>IFERROR(IF(MARÍTIMOS[[#This Row],[Etapa Despacho - Inicio de Carga]]="","",MARÍTIMOS[[#This Row],[Etapa Despacho - Inicio de Carga]]),"")</f>
        <v/>
      </c>
      <c r="AD915" s="11" t="str">
        <f>IFERROR(IF(MARÍTIMOS[[#This Row],[Etapa Despacho - Mitad de Carga]]="","",MARÍTIMOS[[#This Row],[Etapa Despacho - Mitad de Carga]]),"")</f>
        <v/>
      </c>
      <c r="AE915" s="11" t="str">
        <f>IFERROR(IF(MARÍTIMOS[[#This Row],[Etapa Despacho - Fin de Carga]]="","",MARÍTIMOS[[#This Row],[Etapa Despacho - Fin de Carga]]),"")</f>
        <v/>
      </c>
      <c r="AF915" s="2" t="str">
        <f>IFERROR(IF(MARÍTIMOS[[#This Row],[Puerto de Embarque]]="","",MARÍTIMOS[[#This Row],[Puerto de Embarque]]),"")</f>
        <v/>
      </c>
      <c r="AG915" s="2" t="str">
        <f>IFERROR(IF(MARÍTIMOS[[#This Row],[Almacén de Ingreso]]="","",MARÍTIMOS[[#This Row],[Almacén de Ingreso]]),"")</f>
        <v/>
      </c>
      <c r="AH915" s="11" t="str">
        <f>IFERROR(IF(MARÍTIMOS[[#This Row],[Etapa Ingreso - Cita]]="","",MARÍTIMOS[[#This Row],[Etapa Ingreso - Cita]]),"")</f>
        <v/>
      </c>
      <c r="AI915" s="11" t="str">
        <f>IFERROR(IF(MARÍTIMOS[[#This Row],[Etapa Ingreso - Llegada]]="","",MARÍTIMOS[[#This Row],[Etapa Ingreso - Llegada]]),"")</f>
        <v/>
      </c>
      <c r="AJ915" s="11" t="str">
        <f>IFERROR(IF(MARÍTIMOS[[#This Row],[Etapa Ingreso - Ingeso]]="","",MARÍTIMOS[[#This Row],[Etapa Ingreso - Ingeso]]),"")</f>
        <v/>
      </c>
      <c r="AK915" s="11" t="str">
        <f>IFERROR(IF(MARÍTIMOS[[#This Row],[Etapa Ingreso - Atención]]="","",MARÍTIMOS[[#This Row],[Etapa Ingreso - Atención]]),"")</f>
        <v/>
      </c>
      <c r="AL915" s="11" t="str">
        <f>IFERROR(IF(MARÍTIMOS[[#This Row],[Etapa Ingreso - Salida]]="","",MARÍTIMOS[[#This Row],[Etapa Ingreso - Salida]]),"")</f>
        <v/>
      </c>
      <c r="AM915" s="2" t="str">
        <f>IFERROR(IF(MARÍTIMOS[[#This Row],[FCL]]="","",MARÍTIMOS[[#This Row],[FCL]]),"")</f>
        <v/>
      </c>
      <c r="AN9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5" s="4" t="str" cm="1">
        <f t="array" ref="AO9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5" s="5" t="str">
        <f>IFERROR(OLDBD[[#This Row],[Llegada a packing]]-OLDBD[[#This Row],[Inicio de Ruta]],"")</f>
        <v/>
      </c>
      <c r="AQ915" s="6" t="str">
        <f>IFERROR(OLDBD[[#This Row],[Inicio de Ruta]]-OLDBD[[#This Row],[Salida de almacén de retiro]],"")</f>
        <v/>
      </c>
      <c r="AR9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5" s="8" t="str" cm="1">
        <f t="array" ref="AS9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5" s="9" t="str">
        <f>IFERROR(OLDBD[[#This Row],[Ingreso Packing]]-OLDBD[[#This Row],[Registro en Packing]],"")</f>
        <v/>
      </c>
      <c r="AV915" s="9" t="str">
        <f>IFERROR(OLDBD[[#This Row],[Ingreso Packing]]-OLDBD[[#This Row],[Llegada a packing]],"")</f>
        <v/>
      </c>
      <c r="AW9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5" s="5" t="str">
        <f>IFERROR(OLDBD[[#This Row],[Llegada Almacén de Ingreso]]-OLDBD[[#This Row],[Salida Packing]],"")</f>
        <v/>
      </c>
      <c r="AY915" s="4" t="str" cm="1">
        <f t="array" ref="AY9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5" s="43" t="s">
        <v>173</v>
      </c>
      <c r="BB915" s="47" t="str">
        <f>IFERROR(IF(MARÍTIMOS[[#This Row],[Estatus]]="","",MARÍTIMOS[[#This Row],[Estatus]]),"")</f>
        <v/>
      </c>
      <c r="BC915" s="43"/>
      <c r="BD915" s="46" t="str">
        <f>IFERROR(OLDBD[[#This Row],[Salida de almacén de retiro]]-OLDBD[[#This Row],[Ingreso Almacén de retiro]],"")</f>
        <v/>
      </c>
      <c r="BE915" s="46" t="str">
        <f>IFERROR(OLDBD[[#This Row],[Fin de Carga]]-OLDBD[[#This Row],[Inicio de Carga]],"")</f>
        <v/>
      </c>
    </row>
    <row r="916" spans="1:57" customFormat="1" hidden="1">
      <c r="A916" s="1"/>
      <c r="B916" s="1" t="str">
        <f>IFERROR(IF(MARÍTIMOS[[#This Row],[PP]]="","",MARÍTIMOS[[#This Row],[PP]]),"")</f>
        <v/>
      </c>
      <c r="C916" s="1" t="str">
        <f>IFERROR(IF(MARÍTIMOS[[#This Row],[Sede]]="","",MARÍTIMOS[[#This Row],[Sede]]),"")</f>
        <v/>
      </c>
      <c r="D916" s="1" t="str">
        <f>IFERROR(IF(MARÍTIMOS[[#This Row],[Instruction]]="","",MARÍTIMOS[[#This Row],[Instruction]]),"")</f>
        <v/>
      </c>
      <c r="E916" s="1"/>
      <c r="F916" s="2" t="str">
        <f>IFERROR(IF(MARÍTIMOS[[#This Row],[Transportista]]="","",MARÍTIMOS[[#This Row],[Transportista]]),"")</f>
        <v/>
      </c>
      <c r="G916" s="2" t="str">
        <f>IFERROR(IF(MARÍTIMOS[[#This Row],[Tercero]]="","",MARÍTIMOS[[#This Row],[Tercero]]),"")</f>
        <v/>
      </c>
      <c r="H916" s="2" t="str">
        <f>IFERROR(IF(MARÍTIMOS[[#This Row],[Razón Social]]="","",MARÍTIMOS[[#This Row],[Razón Social]]),"")</f>
        <v/>
      </c>
      <c r="I916" s="2" t="str">
        <f>IFERROR(IF(MARÍTIMOS[[#This Row],[RUC]]="","",MARÍTIMOS[[#This Row],[RUC]]),"")</f>
        <v/>
      </c>
      <c r="J916" s="2" t="str">
        <f>IFERROR(IF(MARÍTIMOS[[#This Row],[Placa Tracto]]="","",MARÍTIMOS[[#This Row],[Placa Tracto]]),"")</f>
        <v/>
      </c>
      <c r="K916" s="2" t="str">
        <f>IFERROR(IF(MARÍTIMOS[[#This Row],[Placa Carreta]]="","",MARÍTIMOS[[#This Row],[Placa Carreta]]),"")</f>
        <v/>
      </c>
      <c r="L916" s="44" t="str">
        <f>IFERROR(IF(MARÍTIMOS[[#This Row],[Conductor]]="","",MARÍTIMOS[[#This Row],[Conductor]]),"")</f>
        <v/>
      </c>
      <c r="M916" s="2" t="str">
        <f>IFERROR(IF(MARÍTIMOS[[#This Row],[Licencia]]="","",MARÍTIMOS[[#This Row],[Licencia]]),"")</f>
        <v/>
      </c>
      <c r="N916" s="2" t="str">
        <f>IFERROR(IF(MARÍTIMOS[[#This Row],[Número de Contacto]]="","",MARÍTIMOS[[#This Row],[Número de Contacto]]),"")</f>
        <v/>
      </c>
      <c r="O916" s="10" t="str">
        <f>IFERROR(IF(MARÍTIMOS[[#This Row],[Booking|AWB|CRT]]="","",MARÍTIMOS[[#This Row],[Booking|AWB|CRT]]),"")</f>
        <v/>
      </c>
      <c r="P916" s="2" t="str">
        <f>IFERROR(IF(MARÍTIMOS[[#This Row],[Contenedor]]="","",MARÍTIMOS[[#This Row],[Contenedor]]),"")</f>
        <v/>
      </c>
      <c r="Q916" s="2" t="str">
        <f>IFERROR(IF(MARÍTIMOS[[#This Row],[Puerto de Retiro]]="","",MARÍTIMOS[[#This Row],[Puerto de Retiro]]),"")</f>
        <v/>
      </c>
      <c r="R916" s="2" t="str">
        <f>IFERROR(IF(MARÍTIMOS[[#This Row],[Almacén de Retiro]]="","",MARÍTIMOS[[#This Row],[Almacén de Retiro]]),"")</f>
        <v/>
      </c>
      <c r="S916" s="11" t="str">
        <f>IFERROR(IF(MARÍTIMOS[[#This Row],[Etapa Retiro - Cita]]="","",MARÍTIMOS[[#This Row],[Etapa Retiro - Cita]]),"")</f>
        <v/>
      </c>
      <c r="T916" s="11" t="str">
        <f>IFERROR(IF(MARÍTIMOS[[#This Row],[Etapa Retiro - Llegada]]="","",MARÍTIMOS[[#This Row],[Etapa Retiro - Llegada]]),"")</f>
        <v/>
      </c>
      <c r="U916" s="11" t="str">
        <f>IFERROR(IF(MARÍTIMOS[[#This Row],[Etapa Retiro - Ingreso]]="","",MARÍTIMOS[[#This Row],[Etapa Retiro - Ingreso]]),"")</f>
        <v/>
      </c>
      <c r="V916" s="11" t="str">
        <f>IFERROR(IF(MARÍTIMOS[[#This Row],[Etapa Retiro - Atención]]="","",MARÍTIMOS[[#This Row],[Etapa Retiro - Atención]]),"")</f>
        <v/>
      </c>
      <c r="W916" s="11" t="str">
        <f>IFERROR(IF(MARÍTIMOS[[#This Row],[Etapa Retiro - Atención]]="","",MARÍTIMOS[[#This Row],[Etapa Retiro - Atención]]),"")</f>
        <v/>
      </c>
      <c r="X916" s="11" t="str">
        <f>IFERROR(IF(MARÍTIMOS[[#This Row],[Etapa Retiro - Inicio de Ruta]]="","",MARÍTIMOS[[#This Row],[Etapa Retiro - Inicio de Ruta]]),"")</f>
        <v/>
      </c>
      <c r="Y916" s="11" t="str">
        <f>IFERROR(IF(MARÍTIMOS[[#This Row],[Hora de Posicionamiento]]="","",MARÍTIMOS[[#This Row],[Fecha de Carga]]+MARÍTIMOS[[#This Row],[Hora de Posicionamiento]]),"")</f>
        <v/>
      </c>
      <c r="Z916" s="11" t="str">
        <f>IFERROR(IF(MARÍTIMOS[[#This Row],[Etapa Despacho - Llegada]]="","",MARÍTIMOS[[#This Row],[Etapa Despacho - Llegada]]),"")</f>
        <v/>
      </c>
      <c r="AA916" s="11" t="str">
        <f>IFERROR(IF(MARÍTIMOS[[#This Row],[Etapa Despacho - Registro]]="","",MARÍTIMOS[[#This Row],[Etapa Despacho - Registro]]),"")</f>
        <v/>
      </c>
      <c r="AB916" s="11" t="str">
        <f>IFERROR(IF(MARÍTIMOS[[#This Row],[Inspección Externa]]="","",MARÍTIMOS[[#This Row],[Inspección Externa]]),"")</f>
        <v/>
      </c>
      <c r="AC916" s="11" t="str">
        <f>IFERROR(IF(MARÍTIMOS[[#This Row],[Etapa Despacho - Inicio de Carga]]="","",MARÍTIMOS[[#This Row],[Etapa Despacho - Inicio de Carga]]),"")</f>
        <v/>
      </c>
      <c r="AD916" s="11" t="str">
        <f>IFERROR(IF(MARÍTIMOS[[#This Row],[Etapa Despacho - Mitad de Carga]]="","",MARÍTIMOS[[#This Row],[Etapa Despacho - Mitad de Carga]]),"")</f>
        <v/>
      </c>
      <c r="AE916" s="11" t="str">
        <f>IFERROR(IF(MARÍTIMOS[[#This Row],[Etapa Despacho - Fin de Carga]]="","",MARÍTIMOS[[#This Row],[Etapa Despacho - Fin de Carga]]),"")</f>
        <v/>
      </c>
      <c r="AF916" s="2" t="str">
        <f>IFERROR(IF(MARÍTIMOS[[#This Row],[Puerto de Embarque]]="","",MARÍTIMOS[[#This Row],[Puerto de Embarque]]),"")</f>
        <v/>
      </c>
      <c r="AG916" s="2" t="str">
        <f>IFERROR(IF(MARÍTIMOS[[#This Row],[Almacén de Ingreso]]="","",MARÍTIMOS[[#This Row],[Almacén de Ingreso]]),"")</f>
        <v/>
      </c>
      <c r="AH916" s="11" t="str">
        <f>IFERROR(IF(MARÍTIMOS[[#This Row],[Etapa Ingreso - Cita]]="","",MARÍTIMOS[[#This Row],[Etapa Ingreso - Cita]]),"")</f>
        <v/>
      </c>
      <c r="AI916" s="11" t="str">
        <f>IFERROR(IF(MARÍTIMOS[[#This Row],[Etapa Ingreso - Llegada]]="","",MARÍTIMOS[[#This Row],[Etapa Ingreso - Llegada]]),"")</f>
        <v/>
      </c>
      <c r="AJ916" s="11" t="str">
        <f>IFERROR(IF(MARÍTIMOS[[#This Row],[Etapa Ingreso - Ingeso]]="","",MARÍTIMOS[[#This Row],[Etapa Ingreso - Ingeso]]),"")</f>
        <v/>
      </c>
      <c r="AK916" s="11" t="str">
        <f>IFERROR(IF(MARÍTIMOS[[#This Row],[Etapa Ingreso - Atención]]="","",MARÍTIMOS[[#This Row],[Etapa Ingreso - Atención]]),"")</f>
        <v/>
      </c>
      <c r="AL916" s="11" t="str">
        <f>IFERROR(IF(MARÍTIMOS[[#This Row],[Etapa Ingreso - Salida]]="","",MARÍTIMOS[[#This Row],[Etapa Ingreso - Salida]]),"")</f>
        <v/>
      </c>
      <c r="AM916" s="2" t="str">
        <f>IFERROR(IF(MARÍTIMOS[[#This Row],[FCL]]="","",MARÍTIMOS[[#This Row],[FCL]]),"")</f>
        <v/>
      </c>
      <c r="AN9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6" s="4" t="str" cm="1">
        <f t="array" ref="AO9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6" s="5" t="str">
        <f>IFERROR(OLDBD[[#This Row],[Llegada a packing]]-OLDBD[[#This Row],[Inicio de Ruta]],"")</f>
        <v/>
      </c>
      <c r="AQ916" s="6" t="str">
        <f>IFERROR(OLDBD[[#This Row],[Inicio de Ruta]]-OLDBD[[#This Row],[Salida de almacén de retiro]],"")</f>
        <v/>
      </c>
      <c r="AR9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6" s="8" t="str" cm="1">
        <f t="array" ref="AS9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6" s="9" t="str">
        <f>IFERROR(OLDBD[[#This Row],[Ingreso Packing]]-OLDBD[[#This Row],[Registro en Packing]],"")</f>
        <v/>
      </c>
      <c r="AV916" s="9" t="str">
        <f>IFERROR(OLDBD[[#This Row],[Ingreso Packing]]-OLDBD[[#This Row],[Llegada a packing]],"")</f>
        <v/>
      </c>
      <c r="AW9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6" s="5" t="str">
        <f>IFERROR(OLDBD[[#This Row],[Llegada Almacén de Ingreso]]-OLDBD[[#This Row],[Salida Packing]],"")</f>
        <v/>
      </c>
      <c r="AY916" s="4" t="str" cm="1">
        <f t="array" ref="AY9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6" s="43" t="s">
        <v>173</v>
      </c>
      <c r="BB916" s="47" t="str">
        <f>IFERROR(IF(MARÍTIMOS[[#This Row],[Estatus]]="","",MARÍTIMOS[[#This Row],[Estatus]]),"")</f>
        <v/>
      </c>
      <c r="BC916" s="43"/>
      <c r="BD916" s="46" t="str">
        <f>IFERROR(OLDBD[[#This Row],[Salida de almacén de retiro]]-OLDBD[[#This Row],[Ingreso Almacén de retiro]],"")</f>
        <v/>
      </c>
      <c r="BE916" s="46" t="str">
        <f>IFERROR(OLDBD[[#This Row],[Fin de Carga]]-OLDBD[[#This Row],[Inicio de Carga]],"")</f>
        <v/>
      </c>
    </row>
    <row r="917" spans="1:57" customFormat="1" hidden="1">
      <c r="A917" s="1"/>
      <c r="B917" s="1" t="str">
        <f>IFERROR(IF(MARÍTIMOS[[#This Row],[PP]]="","",MARÍTIMOS[[#This Row],[PP]]),"")</f>
        <v/>
      </c>
      <c r="C917" s="1" t="str">
        <f>IFERROR(IF(MARÍTIMOS[[#This Row],[Sede]]="","",MARÍTIMOS[[#This Row],[Sede]]),"")</f>
        <v/>
      </c>
      <c r="D917" s="1" t="str">
        <f>IFERROR(IF(MARÍTIMOS[[#This Row],[Instruction]]="","",MARÍTIMOS[[#This Row],[Instruction]]),"")</f>
        <v/>
      </c>
      <c r="E917" s="1"/>
      <c r="F917" s="2" t="str">
        <f>IFERROR(IF(MARÍTIMOS[[#This Row],[Transportista]]="","",MARÍTIMOS[[#This Row],[Transportista]]),"")</f>
        <v/>
      </c>
      <c r="G917" s="2" t="str">
        <f>IFERROR(IF(MARÍTIMOS[[#This Row],[Tercero]]="","",MARÍTIMOS[[#This Row],[Tercero]]),"")</f>
        <v/>
      </c>
      <c r="H917" s="2" t="str">
        <f>IFERROR(IF(MARÍTIMOS[[#This Row],[Razón Social]]="","",MARÍTIMOS[[#This Row],[Razón Social]]),"")</f>
        <v/>
      </c>
      <c r="I917" s="2" t="str">
        <f>IFERROR(IF(MARÍTIMOS[[#This Row],[RUC]]="","",MARÍTIMOS[[#This Row],[RUC]]),"")</f>
        <v/>
      </c>
      <c r="J917" s="2" t="str">
        <f>IFERROR(IF(MARÍTIMOS[[#This Row],[Placa Tracto]]="","",MARÍTIMOS[[#This Row],[Placa Tracto]]),"")</f>
        <v/>
      </c>
      <c r="K917" s="2" t="str">
        <f>IFERROR(IF(MARÍTIMOS[[#This Row],[Placa Carreta]]="","",MARÍTIMOS[[#This Row],[Placa Carreta]]),"")</f>
        <v/>
      </c>
      <c r="L917" s="44" t="str">
        <f>IFERROR(IF(MARÍTIMOS[[#This Row],[Conductor]]="","",MARÍTIMOS[[#This Row],[Conductor]]),"")</f>
        <v/>
      </c>
      <c r="M917" s="2" t="str">
        <f>IFERROR(IF(MARÍTIMOS[[#This Row],[Licencia]]="","",MARÍTIMOS[[#This Row],[Licencia]]),"")</f>
        <v/>
      </c>
      <c r="N917" s="2" t="str">
        <f>IFERROR(IF(MARÍTIMOS[[#This Row],[Número de Contacto]]="","",MARÍTIMOS[[#This Row],[Número de Contacto]]),"")</f>
        <v/>
      </c>
      <c r="O917" s="10" t="str">
        <f>IFERROR(IF(MARÍTIMOS[[#This Row],[Booking|AWB|CRT]]="","",MARÍTIMOS[[#This Row],[Booking|AWB|CRT]]),"")</f>
        <v/>
      </c>
      <c r="P917" s="2" t="str">
        <f>IFERROR(IF(MARÍTIMOS[[#This Row],[Contenedor]]="","",MARÍTIMOS[[#This Row],[Contenedor]]),"")</f>
        <v/>
      </c>
      <c r="Q917" s="2" t="str">
        <f>IFERROR(IF(MARÍTIMOS[[#This Row],[Puerto de Retiro]]="","",MARÍTIMOS[[#This Row],[Puerto de Retiro]]),"")</f>
        <v/>
      </c>
      <c r="R917" s="2" t="str">
        <f>IFERROR(IF(MARÍTIMOS[[#This Row],[Almacén de Retiro]]="","",MARÍTIMOS[[#This Row],[Almacén de Retiro]]),"")</f>
        <v/>
      </c>
      <c r="S917" s="11" t="str">
        <f>IFERROR(IF(MARÍTIMOS[[#This Row],[Etapa Retiro - Cita]]="","",MARÍTIMOS[[#This Row],[Etapa Retiro - Cita]]),"")</f>
        <v/>
      </c>
      <c r="T917" s="11" t="str">
        <f>IFERROR(IF(MARÍTIMOS[[#This Row],[Etapa Retiro - Llegada]]="","",MARÍTIMOS[[#This Row],[Etapa Retiro - Llegada]]),"")</f>
        <v/>
      </c>
      <c r="U917" s="11" t="str">
        <f>IFERROR(IF(MARÍTIMOS[[#This Row],[Etapa Retiro - Ingreso]]="","",MARÍTIMOS[[#This Row],[Etapa Retiro - Ingreso]]),"")</f>
        <v/>
      </c>
      <c r="V917" s="11" t="str">
        <f>IFERROR(IF(MARÍTIMOS[[#This Row],[Etapa Retiro - Atención]]="","",MARÍTIMOS[[#This Row],[Etapa Retiro - Atención]]),"")</f>
        <v/>
      </c>
      <c r="W917" s="11" t="str">
        <f>IFERROR(IF(MARÍTIMOS[[#This Row],[Etapa Retiro - Atención]]="","",MARÍTIMOS[[#This Row],[Etapa Retiro - Atención]]),"")</f>
        <v/>
      </c>
      <c r="X917" s="11" t="str">
        <f>IFERROR(IF(MARÍTIMOS[[#This Row],[Etapa Retiro - Inicio de Ruta]]="","",MARÍTIMOS[[#This Row],[Etapa Retiro - Inicio de Ruta]]),"")</f>
        <v/>
      </c>
      <c r="Y917" s="11" t="str">
        <f>IFERROR(IF(MARÍTIMOS[[#This Row],[Hora de Posicionamiento]]="","",MARÍTIMOS[[#This Row],[Fecha de Carga]]+MARÍTIMOS[[#This Row],[Hora de Posicionamiento]]),"")</f>
        <v/>
      </c>
      <c r="Z917" s="11" t="str">
        <f>IFERROR(IF(MARÍTIMOS[[#This Row],[Etapa Despacho - Llegada]]="","",MARÍTIMOS[[#This Row],[Etapa Despacho - Llegada]]),"")</f>
        <v/>
      </c>
      <c r="AA917" s="11" t="str">
        <f>IFERROR(IF(MARÍTIMOS[[#This Row],[Etapa Despacho - Registro]]="","",MARÍTIMOS[[#This Row],[Etapa Despacho - Registro]]),"")</f>
        <v/>
      </c>
      <c r="AB917" s="11" t="str">
        <f>IFERROR(IF(MARÍTIMOS[[#This Row],[Inspección Externa]]="","",MARÍTIMOS[[#This Row],[Inspección Externa]]),"")</f>
        <v/>
      </c>
      <c r="AC917" s="11" t="str">
        <f>IFERROR(IF(MARÍTIMOS[[#This Row],[Etapa Despacho - Inicio de Carga]]="","",MARÍTIMOS[[#This Row],[Etapa Despacho - Inicio de Carga]]),"")</f>
        <v/>
      </c>
      <c r="AD917" s="11" t="str">
        <f>IFERROR(IF(MARÍTIMOS[[#This Row],[Etapa Despacho - Mitad de Carga]]="","",MARÍTIMOS[[#This Row],[Etapa Despacho - Mitad de Carga]]),"")</f>
        <v/>
      </c>
      <c r="AE917" s="11" t="str">
        <f>IFERROR(IF(MARÍTIMOS[[#This Row],[Etapa Despacho - Fin de Carga]]="","",MARÍTIMOS[[#This Row],[Etapa Despacho - Fin de Carga]]),"")</f>
        <v/>
      </c>
      <c r="AF917" s="2" t="str">
        <f>IFERROR(IF(MARÍTIMOS[[#This Row],[Puerto de Embarque]]="","",MARÍTIMOS[[#This Row],[Puerto de Embarque]]),"")</f>
        <v/>
      </c>
      <c r="AG917" s="2" t="str">
        <f>IFERROR(IF(MARÍTIMOS[[#This Row],[Almacén de Ingreso]]="","",MARÍTIMOS[[#This Row],[Almacén de Ingreso]]),"")</f>
        <v/>
      </c>
      <c r="AH917" s="11" t="str">
        <f>IFERROR(IF(MARÍTIMOS[[#This Row],[Etapa Ingreso - Cita]]="","",MARÍTIMOS[[#This Row],[Etapa Ingreso - Cita]]),"")</f>
        <v/>
      </c>
      <c r="AI917" s="11" t="str">
        <f>IFERROR(IF(MARÍTIMOS[[#This Row],[Etapa Ingreso - Llegada]]="","",MARÍTIMOS[[#This Row],[Etapa Ingreso - Llegada]]),"")</f>
        <v/>
      </c>
      <c r="AJ917" s="11" t="str">
        <f>IFERROR(IF(MARÍTIMOS[[#This Row],[Etapa Ingreso - Ingeso]]="","",MARÍTIMOS[[#This Row],[Etapa Ingreso - Ingeso]]),"")</f>
        <v/>
      </c>
      <c r="AK917" s="11" t="str">
        <f>IFERROR(IF(MARÍTIMOS[[#This Row],[Etapa Ingreso - Atención]]="","",MARÍTIMOS[[#This Row],[Etapa Ingreso - Atención]]),"")</f>
        <v/>
      </c>
      <c r="AL917" s="11" t="str">
        <f>IFERROR(IF(MARÍTIMOS[[#This Row],[Etapa Ingreso - Salida]]="","",MARÍTIMOS[[#This Row],[Etapa Ingreso - Salida]]),"")</f>
        <v/>
      </c>
      <c r="AM917" s="2" t="str">
        <f>IFERROR(IF(MARÍTIMOS[[#This Row],[FCL]]="","",MARÍTIMOS[[#This Row],[FCL]]),"")</f>
        <v/>
      </c>
      <c r="AN9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7" s="4" t="str" cm="1">
        <f t="array" ref="AO9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7" s="5" t="str">
        <f>IFERROR(OLDBD[[#This Row],[Llegada a packing]]-OLDBD[[#This Row],[Inicio de Ruta]],"")</f>
        <v/>
      </c>
      <c r="AQ917" s="6" t="str">
        <f>IFERROR(OLDBD[[#This Row],[Inicio de Ruta]]-OLDBD[[#This Row],[Salida de almacén de retiro]],"")</f>
        <v/>
      </c>
      <c r="AR9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7" s="8" t="str" cm="1">
        <f t="array" ref="AS9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7" s="9" t="str">
        <f>IFERROR(OLDBD[[#This Row],[Ingreso Packing]]-OLDBD[[#This Row],[Registro en Packing]],"")</f>
        <v/>
      </c>
      <c r="AV917" s="9" t="str">
        <f>IFERROR(OLDBD[[#This Row],[Ingreso Packing]]-OLDBD[[#This Row],[Llegada a packing]],"")</f>
        <v/>
      </c>
      <c r="AW9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7" s="5" t="str">
        <f>IFERROR(OLDBD[[#This Row],[Llegada Almacén de Ingreso]]-OLDBD[[#This Row],[Salida Packing]],"")</f>
        <v/>
      </c>
      <c r="AY917" s="4" t="str" cm="1">
        <f t="array" ref="AY9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7" s="43" t="s">
        <v>173</v>
      </c>
      <c r="BB917" s="47" t="str">
        <f>IFERROR(IF(MARÍTIMOS[[#This Row],[Estatus]]="","",MARÍTIMOS[[#This Row],[Estatus]]),"")</f>
        <v/>
      </c>
      <c r="BC917" s="43"/>
      <c r="BD917" s="46" t="str">
        <f>IFERROR(OLDBD[[#This Row],[Salida de almacén de retiro]]-OLDBD[[#This Row],[Ingreso Almacén de retiro]],"")</f>
        <v/>
      </c>
      <c r="BE917" s="46" t="str">
        <f>IFERROR(OLDBD[[#This Row],[Fin de Carga]]-OLDBD[[#This Row],[Inicio de Carga]],"")</f>
        <v/>
      </c>
    </row>
    <row r="918" spans="1:57" customFormat="1" hidden="1">
      <c r="A918" s="1"/>
      <c r="B918" s="1" t="str">
        <f>IFERROR(IF(MARÍTIMOS[[#This Row],[PP]]="","",MARÍTIMOS[[#This Row],[PP]]),"")</f>
        <v/>
      </c>
      <c r="C918" s="1" t="str">
        <f>IFERROR(IF(MARÍTIMOS[[#This Row],[Sede]]="","",MARÍTIMOS[[#This Row],[Sede]]),"")</f>
        <v/>
      </c>
      <c r="D918" s="1" t="str">
        <f>IFERROR(IF(MARÍTIMOS[[#This Row],[Instruction]]="","",MARÍTIMOS[[#This Row],[Instruction]]),"")</f>
        <v/>
      </c>
      <c r="E918" s="1"/>
      <c r="F918" s="2" t="str">
        <f>IFERROR(IF(MARÍTIMOS[[#This Row],[Transportista]]="","",MARÍTIMOS[[#This Row],[Transportista]]),"")</f>
        <v/>
      </c>
      <c r="G918" s="2" t="str">
        <f>IFERROR(IF(MARÍTIMOS[[#This Row],[Tercero]]="","",MARÍTIMOS[[#This Row],[Tercero]]),"")</f>
        <v/>
      </c>
      <c r="H918" s="2" t="str">
        <f>IFERROR(IF(MARÍTIMOS[[#This Row],[Razón Social]]="","",MARÍTIMOS[[#This Row],[Razón Social]]),"")</f>
        <v/>
      </c>
      <c r="I918" s="2" t="str">
        <f>IFERROR(IF(MARÍTIMOS[[#This Row],[RUC]]="","",MARÍTIMOS[[#This Row],[RUC]]),"")</f>
        <v/>
      </c>
      <c r="J918" s="2" t="str">
        <f>IFERROR(IF(MARÍTIMOS[[#This Row],[Placa Tracto]]="","",MARÍTIMOS[[#This Row],[Placa Tracto]]),"")</f>
        <v/>
      </c>
      <c r="K918" s="2" t="str">
        <f>IFERROR(IF(MARÍTIMOS[[#This Row],[Placa Carreta]]="","",MARÍTIMOS[[#This Row],[Placa Carreta]]),"")</f>
        <v/>
      </c>
      <c r="L918" s="44" t="str">
        <f>IFERROR(IF(MARÍTIMOS[[#This Row],[Conductor]]="","",MARÍTIMOS[[#This Row],[Conductor]]),"")</f>
        <v/>
      </c>
      <c r="M918" s="2" t="str">
        <f>IFERROR(IF(MARÍTIMOS[[#This Row],[Licencia]]="","",MARÍTIMOS[[#This Row],[Licencia]]),"")</f>
        <v/>
      </c>
      <c r="N918" s="2" t="str">
        <f>IFERROR(IF(MARÍTIMOS[[#This Row],[Número de Contacto]]="","",MARÍTIMOS[[#This Row],[Número de Contacto]]),"")</f>
        <v/>
      </c>
      <c r="O918" s="10" t="str">
        <f>IFERROR(IF(MARÍTIMOS[[#This Row],[Booking|AWB|CRT]]="","",MARÍTIMOS[[#This Row],[Booking|AWB|CRT]]),"")</f>
        <v/>
      </c>
      <c r="P918" s="2" t="str">
        <f>IFERROR(IF(MARÍTIMOS[[#This Row],[Contenedor]]="","",MARÍTIMOS[[#This Row],[Contenedor]]),"")</f>
        <v/>
      </c>
      <c r="Q918" s="2" t="str">
        <f>IFERROR(IF(MARÍTIMOS[[#This Row],[Puerto de Retiro]]="","",MARÍTIMOS[[#This Row],[Puerto de Retiro]]),"")</f>
        <v/>
      </c>
      <c r="R918" s="2" t="str">
        <f>IFERROR(IF(MARÍTIMOS[[#This Row],[Almacén de Retiro]]="","",MARÍTIMOS[[#This Row],[Almacén de Retiro]]),"")</f>
        <v/>
      </c>
      <c r="S918" s="11" t="str">
        <f>IFERROR(IF(MARÍTIMOS[[#This Row],[Etapa Retiro - Cita]]="","",MARÍTIMOS[[#This Row],[Etapa Retiro - Cita]]),"")</f>
        <v/>
      </c>
      <c r="T918" s="11" t="str">
        <f>IFERROR(IF(MARÍTIMOS[[#This Row],[Etapa Retiro - Llegada]]="","",MARÍTIMOS[[#This Row],[Etapa Retiro - Llegada]]),"")</f>
        <v/>
      </c>
      <c r="U918" s="11" t="str">
        <f>IFERROR(IF(MARÍTIMOS[[#This Row],[Etapa Retiro - Ingreso]]="","",MARÍTIMOS[[#This Row],[Etapa Retiro - Ingreso]]),"")</f>
        <v/>
      </c>
      <c r="V918" s="11" t="str">
        <f>IFERROR(IF(MARÍTIMOS[[#This Row],[Etapa Retiro - Atención]]="","",MARÍTIMOS[[#This Row],[Etapa Retiro - Atención]]),"")</f>
        <v/>
      </c>
      <c r="W918" s="11" t="str">
        <f>IFERROR(IF(MARÍTIMOS[[#This Row],[Etapa Retiro - Atención]]="","",MARÍTIMOS[[#This Row],[Etapa Retiro - Atención]]),"")</f>
        <v/>
      </c>
      <c r="X918" s="11" t="str">
        <f>IFERROR(IF(MARÍTIMOS[[#This Row],[Etapa Retiro - Inicio de Ruta]]="","",MARÍTIMOS[[#This Row],[Etapa Retiro - Inicio de Ruta]]),"")</f>
        <v/>
      </c>
      <c r="Y918" s="11" t="str">
        <f>IFERROR(IF(MARÍTIMOS[[#This Row],[Hora de Posicionamiento]]="","",MARÍTIMOS[[#This Row],[Fecha de Carga]]+MARÍTIMOS[[#This Row],[Hora de Posicionamiento]]),"")</f>
        <v/>
      </c>
      <c r="Z918" s="11" t="str">
        <f>IFERROR(IF(MARÍTIMOS[[#This Row],[Etapa Despacho - Llegada]]="","",MARÍTIMOS[[#This Row],[Etapa Despacho - Llegada]]),"")</f>
        <v/>
      </c>
      <c r="AA918" s="11" t="str">
        <f>IFERROR(IF(MARÍTIMOS[[#This Row],[Etapa Despacho - Registro]]="","",MARÍTIMOS[[#This Row],[Etapa Despacho - Registro]]),"")</f>
        <v/>
      </c>
      <c r="AB918" s="11" t="str">
        <f>IFERROR(IF(MARÍTIMOS[[#This Row],[Inspección Externa]]="","",MARÍTIMOS[[#This Row],[Inspección Externa]]),"")</f>
        <v/>
      </c>
      <c r="AC918" s="11" t="str">
        <f>IFERROR(IF(MARÍTIMOS[[#This Row],[Etapa Despacho - Inicio de Carga]]="","",MARÍTIMOS[[#This Row],[Etapa Despacho - Inicio de Carga]]),"")</f>
        <v/>
      </c>
      <c r="AD918" s="11" t="str">
        <f>IFERROR(IF(MARÍTIMOS[[#This Row],[Etapa Despacho - Mitad de Carga]]="","",MARÍTIMOS[[#This Row],[Etapa Despacho - Mitad de Carga]]),"")</f>
        <v/>
      </c>
      <c r="AE918" s="11" t="str">
        <f>IFERROR(IF(MARÍTIMOS[[#This Row],[Etapa Despacho - Fin de Carga]]="","",MARÍTIMOS[[#This Row],[Etapa Despacho - Fin de Carga]]),"")</f>
        <v/>
      </c>
      <c r="AF918" s="2" t="str">
        <f>IFERROR(IF(MARÍTIMOS[[#This Row],[Puerto de Embarque]]="","",MARÍTIMOS[[#This Row],[Puerto de Embarque]]),"")</f>
        <v/>
      </c>
      <c r="AG918" s="2" t="str">
        <f>IFERROR(IF(MARÍTIMOS[[#This Row],[Almacén de Ingreso]]="","",MARÍTIMOS[[#This Row],[Almacén de Ingreso]]),"")</f>
        <v/>
      </c>
      <c r="AH918" s="11" t="str">
        <f>IFERROR(IF(MARÍTIMOS[[#This Row],[Etapa Ingreso - Cita]]="","",MARÍTIMOS[[#This Row],[Etapa Ingreso - Cita]]),"")</f>
        <v/>
      </c>
      <c r="AI918" s="11" t="str">
        <f>IFERROR(IF(MARÍTIMOS[[#This Row],[Etapa Ingreso - Llegada]]="","",MARÍTIMOS[[#This Row],[Etapa Ingreso - Llegada]]),"")</f>
        <v/>
      </c>
      <c r="AJ918" s="11" t="str">
        <f>IFERROR(IF(MARÍTIMOS[[#This Row],[Etapa Ingreso - Ingeso]]="","",MARÍTIMOS[[#This Row],[Etapa Ingreso - Ingeso]]),"")</f>
        <v/>
      </c>
      <c r="AK918" s="11" t="str">
        <f>IFERROR(IF(MARÍTIMOS[[#This Row],[Etapa Ingreso - Atención]]="","",MARÍTIMOS[[#This Row],[Etapa Ingreso - Atención]]),"")</f>
        <v/>
      </c>
      <c r="AL918" s="11" t="str">
        <f>IFERROR(IF(MARÍTIMOS[[#This Row],[Etapa Ingreso - Salida]]="","",MARÍTIMOS[[#This Row],[Etapa Ingreso - Salida]]),"")</f>
        <v/>
      </c>
      <c r="AM918" s="2" t="str">
        <f>IFERROR(IF(MARÍTIMOS[[#This Row],[FCL]]="","",MARÍTIMOS[[#This Row],[FCL]]),"")</f>
        <v/>
      </c>
      <c r="AN9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8" s="4" t="str" cm="1">
        <f t="array" ref="AO9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8" s="5" t="str">
        <f>IFERROR(OLDBD[[#This Row],[Llegada a packing]]-OLDBD[[#This Row],[Inicio de Ruta]],"")</f>
        <v/>
      </c>
      <c r="AQ918" s="6" t="str">
        <f>IFERROR(OLDBD[[#This Row],[Inicio de Ruta]]-OLDBD[[#This Row],[Salida de almacén de retiro]],"")</f>
        <v/>
      </c>
      <c r="AR9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8" s="8" t="str" cm="1">
        <f t="array" ref="AS9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8" s="9" t="str">
        <f>IFERROR(OLDBD[[#This Row],[Ingreso Packing]]-OLDBD[[#This Row],[Registro en Packing]],"")</f>
        <v/>
      </c>
      <c r="AV918" s="9" t="str">
        <f>IFERROR(OLDBD[[#This Row],[Ingreso Packing]]-OLDBD[[#This Row],[Llegada a packing]],"")</f>
        <v/>
      </c>
      <c r="AW9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8" s="5" t="str">
        <f>IFERROR(OLDBD[[#This Row],[Llegada Almacén de Ingreso]]-OLDBD[[#This Row],[Salida Packing]],"")</f>
        <v/>
      </c>
      <c r="AY918" s="4" t="str" cm="1">
        <f t="array" ref="AY9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8" s="43" t="s">
        <v>173</v>
      </c>
      <c r="BB918" s="47" t="str">
        <f>IFERROR(IF(MARÍTIMOS[[#This Row],[Estatus]]="","",MARÍTIMOS[[#This Row],[Estatus]]),"")</f>
        <v/>
      </c>
      <c r="BC918" s="43"/>
      <c r="BD918" s="46" t="str">
        <f>IFERROR(OLDBD[[#This Row],[Salida de almacén de retiro]]-OLDBD[[#This Row],[Ingreso Almacén de retiro]],"")</f>
        <v/>
      </c>
      <c r="BE918" s="46" t="str">
        <f>IFERROR(OLDBD[[#This Row],[Fin de Carga]]-OLDBD[[#This Row],[Inicio de Carga]],"")</f>
        <v/>
      </c>
    </row>
    <row r="919" spans="1:57" customFormat="1" hidden="1">
      <c r="A919" s="1"/>
      <c r="B919" s="1" t="str">
        <f>IFERROR(IF(MARÍTIMOS[[#This Row],[PP]]="","",MARÍTIMOS[[#This Row],[PP]]),"")</f>
        <v/>
      </c>
      <c r="C919" s="1" t="str">
        <f>IFERROR(IF(MARÍTIMOS[[#This Row],[Sede]]="","",MARÍTIMOS[[#This Row],[Sede]]),"")</f>
        <v/>
      </c>
      <c r="D919" s="1" t="str">
        <f>IFERROR(IF(MARÍTIMOS[[#This Row],[Instruction]]="","",MARÍTIMOS[[#This Row],[Instruction]]),"")</f>
        <v/>
      </c>
      <c r="E919" s="1"/>
      <c r="F919" s="2" t="str">
        <f>IFERROR(IF(MARÍTIMOS[[#This Row],[Transportista]]="","",MARÍTIMOS[[#This Row],[Transportista]]),"")</f>
        <v/>
      </c>
      <c r="G919" s="2" t="str">
        <f>IFERROR(IF(MARÍTIMOS[[#This Row],[Tercero]]="","",MARÍTIMOS[[#This Row],[Tercero]]),"")</f>
        <v/>
      </c>
      <c r="H919" s="2" t="str">
        <f>IFERROR(IF(MARÍTIMOS[[#This Row],[Razón Social]]="","",MARÍTIMOS[[#This Row],[Razón Social]]),"")</f>
        <v/>
      </c>
      <c r="I919" s="2" t="str">
        <f>IFERROR(IF(MARÍTIMOS[[#This Row],[RUC]]="","",MARÍTIMOS[[#This Row],[RUC]]),"")</f>
        <v/>
      </c>
      <c r="J919" s="2" t="str">
        <f>IFERROR(IF(MARÍTIMOS[[#This Row],[Placa Tracto]]="","",MARÍTIMOS[[#This Row],[Placa Tracto]]),"")</f>
        <v/>
      </c>
      <c r="K919" s="2" t="str">
        <f>IFERROR(IF(MARÍTIMOS[[#This Row],[Placa Carreta]]="","",MARÍTIMOS[[#This Row],[Placa Carreta]]),"")</f>
        <v/>
      </c>
      <c r="L919" s="44" t="str">
        <f>IFERROR(IF(MARÍTIMOS[[#This Row],[Conductor]]="","",MARÍTIMOS[[#This Row],[Conductor]]),"")</f>
        <v/>
      </c>
      <c r="M919" s="2" t="str">
        <f>IFERROR(IF(MARÍTIMOS[[#This Row],[Licencia]]="","",MARÍTIMOS[[#This Row],[Licencia]]),"")</f>
        <v/>
      </c>
      <c r="N919" s="2" t="str">
        <f>IFERROR(IF(MARÍTIMOS[[#This Row],[Número de Contacto]]="","",MARÍTIMOS[[#This Row],[Número de Contacto]]),"")</f>
        <v/>
      </c>
      <c r="O919" s="10" t="str">
        <f>IFERROR(IF(MARÍTIMOS[[#This Row],[Booking|AWB|CRT]]="","",MARÍTIMOS[[#This Row],[Booking|AWB|CRT]]),"")</f>
        <v/>
      </c>
      <c r="P919" s="2" t="str">
        <f>IFERROR(IF(MARÍTIMOS[[#This Row],[Contenedor]]="","",MARÍTIMOS[[#This Row],[Contenedor]]),"")</f>
        <v/>
      </c>
      <c r="Q919" s="2" t="str">
        <f>IFERROR(IF(MARÍTIMOS[[#This Row],[Puerto de Retiro]]="","",MARÍTIMOS[[#This Row],[Puerto de Retiro]]),"")</f>
        <v/>
      </c>
      <c r="R919" s="2" t="str">
        <f>IFERROR(IF(MARÍTIMOS[[#This Row],[Almacén de Retiro]]="","",MARÍTIMOS[[#This Row],[Almacén de Retiro]]),"")</f>
        <v/>
      </c>
      <c r="S919" s="11" t="str">
        <f>IFERROR(IF(MARÍTIMOS[[#This Row],[Etapa Retiro - Cita]]="","",MARÍTIMOS[[#This Row],[Etapa Retiro - Cita]]),"")</f>
        <v/>
      </c>
      <c r="T919" s="11" t="str">
        <f>IFERROR(IF(MARÍTIMOS[[#This Row],[Etapa Retiro - Llegada]]="","",MARÍTIMOS[[#This Row],[Etapa Retiro - Llegada]]),"")</f>
        <v/>
      </c>
      <c r="U919" s="11" t="str">
        <f>IFERROR(IF(MARÍTIMOS[[#This Row],[Etapa Retiro - Ingreso]]="","",MARÍTIMOS[[#This Row],[Etapa Retiro - Ingreso]]),"")</f>
        <v/>
      </c>
      <c r="V919" s="11" t="str">
        <f>IFERROR(IF(MARÍTIMOS[[#This Row],[Etapa Retiro - Atención]]="","",MARÍTIMOS[[#This Row],[Etapa Retiro - Atención]]),"")</f>
        <v/>
      </c>
      <c r="W919" s="11" t="str">
        <f>IFERROR(IF(MARÍTIMOS[[#This Row],[Etapa Retiro - Atención]]="","",MARÍTIMOS[[#This Row],[Etapa Retiro - Atención]]),"")</f>
        <v/>
      </c>
      <c r="X919" s="11" t="str">
        <f>IFERROR(IF(MARÍTIMOS[[#This Row],[Etapa Retiro - Inicio de Ruta]]="","",MARÍTIMOS[[#This Row],[Etapa Retiro - Inicio de Ruta]]),"")</f>
        <v/>
      </c>
      <c r="Y919" s="11" t="str">
        <f>IFERROR(IF(MARÍTIMOS[[#This Row],[Hora de Posicionamiento]]="","",MARÍTIMOS[[#This Row],[Fecha de Carga]]+MARÍTIMOS[[#This Row],[Hora de Posicionamiento]]),"")</f>
        <v/>
      </c>
      <c r="Z919" s="11" t="str">
        <f>IFERROR(IF(MARÍTIMOS[[#This Row],[Etapa Despacho - Llegada]]="","",MARÍTIMOS[[#This Row],[Etapa Despacho - Llegada]]),"")</f>
        <v/>
      </c>
      <c r="AA919" s="11" t="str">
        <f>IFERROR(IF(MARÍTIMOS[[#This Row],[Etapa Despacho - Registro]]="","",MARÍTIMOS[[#This Row],[Etapa Despacho - Registro]]),"")</f>
        <v/>
      </c>
      <c r="AB919" s="11" t="str">
        <f>IFERROR(IF(MARÍTIMOS[[#This Row],[Inspección Externa]]="","",MARÍTIMOS[[#This Row],[Inspección Externa]]),"")</f>
        <v/>
      </c>
      <c r="AC919" s="11" t="str">
        <f>IFERROR(IF(MARÍTIMOS[[#This Row],[Etapa Despacho - Inicio de Carga]]="","",MARÍTIMOS[[#This Row],[Etapa Despacho - Inicio de Carga]]),"")</f>
        <v/>
      </c>
      <c r="AD919" s="11" t="str">
        <f>IFERROR(IF(MARÍTIMOS[[#This Row],[Etapa Despacho - Mitad de Carga]]="","",MARÍTIMOS[[#This Row],[Etapa Despacho - Mitad de Carga]]),"")</f>
        <v/>
      </c>
      <c r="AE919" s="11" t="str">
        <f>IFERROR(IF(MARÍTIMOS[[#This Row],[Etapa Despacho - Fin de Carga]]="","",MARÍTIMOS[[#This Row],[Etapa Despacho - Fin de Carga]]),"")</f>
        <v/>
      </c>
      <c r="AF919" s="2" t="str">
        <f>IFERROR(IF(MARÍTIMOS[[#This Row],[Puerto de Embarque]]="","",MARÍTIMOS[[#This Row],[Puerto de Embarque]]),"")</f>
        <v/>
      </c>
      <c r="AG919" s="2" t="str">
        <f>IFERROR(IF(MARÍTIMOS[[#This Row],[Almacén de Ingreso]]="","",MARÍTIMOS[[#This Row],[Almacén de Ingreso]]),"")</f>
        <v/>
      </c>
      <c r="AH919" s="11" t="str">
        <f>IFERROR(IF(MARÍTIMOS[[#This Row],[Etapa Ingreso - Cita]]="","",MARÍTIMOS[[#This Row],[Etapa Ingreso - Cita]]),"")</f>
        <v/>
      </c>
      <c r="AI919" s="11" t="str">
        <f>IFERROR(IF(MARÍTIMOS[[#This Row],[Etapa Ingreso - Llegada]]="","",MARÍTIMOS[[#This Row],[Etapa Ingreso - Llegada]]),"")</f>
        <v/>
      </c>
      <c r="AJ919" s="11" t="str">
        <f>IFERROR(IF(MARÍTIMOS[[#This Row],[Etapa Ingreso - Ingeso]]="","",MARÍTIMOS[[#This Row],[Etapa Ingreso - Ingeso]]),"")</f>
        <v/>
      </c>
      <c r="AK919" s="11" t="str">
        <f>IFERROR(IF(MARÍTIMOS[[#This Row],[Etapa Ingreso - Atención]]="","",MARÍTIMOS[[#This Row],[Etapa Ingreso - Atención]]),"")</f>
        <v/>
      </c>
      <c r="AL919" s="11" t="str">
        <f>IFERROR(IF(MARÍTIMOS[[#This Row],[Etapa Ingreso - Salida]]="","",MARÍTIMOS[[#This Row],[Etapa Ingreso - Salida]]),"")</f>
        <v/>
      </c>
      <c r="AM919" s="2" t="str">
        <f>IFERROR(IF(MARÍTIMOS[[#This Row],[FCL]]="","",MARÍTIMOS[[#This Row],[FCL]]),"")</f>
        <v/>
      </c>
      <c r="AN9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19" s="4" t="str" cm="1">
        <f t="array" ref="AO9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19" s="5" t="str">
        <f>IFERROR(OLDBD[[#This Row],[Llegada a packing]]-OLDBD[[#This Row],[Inicio de Ruta]],"")</f>
        <v/>
      </c>
      <c r="AQ919" s="6" t="str">
        <f>IFERROR(OLDBD[[#This Row],[Inicio de Ruta]]-OLDBD[[#This Row],[Salida de almacén de retiro]],"")</f>
        <v/>
      </c>
      <c r="AR9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19" s="8" t="str" cm="1">
        <f t="array" ref="AS9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19" s="9" t="str">
        <f>IFERROR(OLDBD[[#This Row],[Ingreso Packing]]-OLDBD[[#This Row],[Registro en Packing]],"")</f>
        <v/>
      </c>
      <c r="AV919" s="9" t="str">
        <f>IFERROR(OLDBD[[#This Row],[Ingreso Packing]]-OLDBD[[#This Row],[Llegada a packing]],"")</f>
        <v/>
      </c>
      <c r="AW9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19" s="5" t="str">
        <f>IFERROR(OLDBD[[#This Row],[Llegada Almacén de Ingreso]]-OLDBD[[#This Row],[Salida Packing]],"")</f>
        <v/>
      </c>
      <c r="AY919" s="4" t="str" cm="1">
        <f t="array" ref="AY9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19" s="43" t="s">
        <v>173</v>
      </c>
      <c r="BB919" s="47" t="str">
        <f>IFERROR(IF(MARÍTIMOS[[#This Row],[Estatus]]="","",MARÍTIMOS[[#This Row],[Estatus]]),"")</f>
        <v/>
      </c>
      <c r="BC919" s="43"/>
      <c r="BD919" s="46" t="str">
        <f>IFERROR(OLDBD[[#This Row],[Salida de almacén de retiro]]-OLDBD[[#This Row],[Ingreso Almacén de retiro]],"")</f>
        <v/>
      </c>
      <c r="BE919" s="46" t="str">
        <f>IFERROR(OLDBD[[#This Row],[Fin de Carga]]-OLDBD[[#This Row],[Inicio de Carga]],"")</f>
        <v/>
      </c>
    </row>
    <row r="920" spans="1:57" customFormat="1" hidden="1">
      <c r="A920" s="1"/>
      <c r="B920" s="1" t="str">
        <f>IFERROR(IF(MARÍTIMOS[[#This Row],[PP]]="","",MARÍTIMOS[[#This Row],[PP]]),"")</f>
        <v/>
      </c>
      <c r="C920" s="1" t="str">
        <f>IFERROR(IF(MARÍTIMOS[[#This Row],[Sede]]="","",MARÍTIMOS[[#This Row],[Sede]]),"")</f>
        <v/>
      </c>
      <c r="D920" s="1" t="str">
        <f>IFERROR(IF(MARÍTIMOS[[#This Row],[Instruction]]="","",MARÍTIMOS[[#This Row],[Instruction]]),"")</f>
        <v/>
      </c>
      <c r="E920" s="1"/>
      <c r="F920" s="2" t="str">
        <f>IFERROR(IF(MARÍTIMOS[[#This Row],[Transportista]]="","",MARÍTIMOS[[#This Row],[Transportista]]),"")</f>
        <v/>
      </c>
      <c r="G920" s="2" t="str">
        <f>IFERROR(IF(MARÍTIMOS[[#This Row],[Tercero]]="","",MARÍTIMOS[[#This Row],[Tercero]]),"")</f>
        <v/>
      </c>
      <c r="H920" s="2" t="str">
        <f>IFERROR(IF(MARÍTIMOS[[#This Row],[Razón Social]]="","",MARÍTIMOS[[#This Row],[Razón Social]]),"")</f>
        <v/>
      </c>
      <c r="I920" s="2" t="str">
        <f>IFERROR(IF(MARÍTIMOS[[#This Row],[RUC]]="","",MARÍTIMOS[[#This Row],[RUC]]),"")</f>
        <v/>
      </c>
      <c r="J920" s="2" t="str">
        <f>IFERROR(IF(MARÍTIMOS[[#This Row],[Placa Tracto]]="","",MARÍTIMOS[[#This Row],[Placa Tracto]]),"")</f>
        <v/>
      </c>
      <c r="K920" s="2" t="str">
        <f>IFERROR(IF(MARÍTIMOS[[#This Row],[Placa Carreta]]="","",MARÍTIMOS[[#This Row],[Placa Carreta]]),"")</f>
        <v/>
      </c>
      <c r="L920" s="44" t="str">
        <f>IFERROR(IF(MARÍTIMOS[[#This Row],[Conductor]]="","",MARÍTIMOS[[#This Row],[Conductor]]),"")</f>
        <v/>
      </c>
      <c r="M920" s="2" t="str">
        <f>IFERROR(IF(MARÍTIMOS[[#This Row],[Licencia]]="","",MARÍTIMOS[[#This Row],[Licencia]]),"")</f>
        <v/>
      </c>
      <c r="N920" s="2" t="str">
        <f>IFERROR(IF(MARÍTIMOS[[#This Row],[Número de Contacto]]="","",MARÍTIMOS[[#This Row],[Número de Contacto]]),"")</f>
        <v/>
      </c>
      <c r="O920" s="10" t="str">
        <f>IFERROR(IF(MARÍTIMOS[[#This Row],[Booking|AWB|CRT]]="","",MARÍTIMOS[[#This Row],[Booking|AWB|CRT]]),"")</f>
        <v/>
      </c>
      <c r="P920" s="2" t="str">
        <f>IFERROR(IF(MARÍTIMOS[[#This Row],[Contenedor]]="","",MARÍTIMOS[[#This Row],[Contenedor]]),"")</f>
        <v/>
      </c>
      <c r="Q920" s="2" t="str">
        <f>IFERROR(IF(MARÍTIMOS[[#This Row],[Puerto de Retiro]]="","",MARÍTIMOS[[#This Row],[Puerto de Retiro]]),"")</f>
        <v/>
      </c>
      <c r="R920" s="2" t="str">
        <f>IFERROR(IF(MARÍTIMOS[[#This Row],[Almacén de Retiro]]="","",MARÍTIMOS[[#This Row],[Almacén de Retiro]]),"")</f>
        <v/>
      </c>
      <c r="S920" s="11" t="str">
        <f>IFERROR(IF(MARÍTIMOS[[#This Row],[Etapa Retiro - Cita]]="","",MARÍTIMOS[[#This Row],[Etapa Retiro - Cita]]),"")</f>
        <v/>
      </c>
      <c r="T920" s="11" t="str">
        <f>IFERROR(IF(MARÍTIMOS[[#This Row],[Etapa Retiro - Llegada]]="","",MARÍTIMOS[[#This Row],[Etapa Retiro - Llegada]]),"")</f>
        <v/>
      </c>
      <c r="U920" s="11" t="str">
        <f>IFERROR(IF(MARÍTIMOS[[#This Row],[Etapa Retiro - Ingreso]]="","",MARÍTIMOS[[#This Row],[Etapa Retiro - Ingreso]]),"")</f>
        <v/>
      </c>
      <c r="V920" s="11" t="str">
        <f>IFERROR(IF(MARÍTIMOS[[#This Row],[Etapa Retiro - Atención]]="","",MARÍTIMOS[[#This Row],[Etapa Retiro - Atención]]),"")</f>
        <v/>
      </c>
      <c r="W920" s="11" t="str">
        <f>IFERROR(IF(MARÍTIMOS[[#This Row],[Etapa Retiro - Atención]]="","",MARÍTIMOS[[#This Row],[Etapa Retiro - Atención]]),"")</f>
        <v/>
      </c>
      <c r="X920" s="11" t="str">
        <f>IFERROR(IF(MARÍTIMOS[[#This Row],[Etapa Retiro - Inicio de Ruta]]="","",MARÍTIMOS[[#This Row],[Etapa Retiro - Inicio de Ruta]]),"")</f>
        <v/>
      </c>
      <c r="Y920" s="11" t="str">
        <f>IFERROR(IF(MARÍTIMOS[[#This Row],[Hora de Posicionamiento]]="","",MARÍTIMOS[[#This Row],[Fecha de Carga]]+MARÍTIMOS[[#This Row],[Hora de Posicionamiento]]),"")</f>
        <v/>
      </c>
      <c r="Z920" s="11" t="str">
        <f>IFERROR(IF(MARÍTIMOS[[#This Row],[Etapa Despacho - Llegada]]="","",MARÍTIMOS[[#This Row],[Etapa Despacho - Llegada]]),"")</f>
        <v/>
      </c>
      <c r="AA920" s="11" t="str">
        <f>IFERROR(IF(MARÍTIMOS[[#This Row],[Etapa Despacho - Registro]]="","",MARÍTIMOS[[#This Row],[Etapa Despacho - Registro]]),"")</f>
        <v/>
      </c>
      <c r="AB920" s="11" t="str">
        <f>IFERROR(IF(MARÍTIMOS[[#This Row],[Inspección Externa]]="","",MARÍTIMOS[[#This Row],[Inspección Externa]]),"")</f>
        <v/>
      </c>
      <c r="AC920" s="11" t="str">
        <f>IFERROR(IF(MARÍTIMOS[[#This Row],[Etapa Despacho - Inicio de Carga]]="","",MARÍTIMOS[[#This Row],[Etapa Despacho - Inicio de Carga]]),"")</f>
        <v/>
      </c>
      <c r="AD920" s="11" t="str">
        <f>IFERROR(IF(MARÍTIMOS[[#This Row],[Etapa Despacho - Mitad de Carga]]="","",MARÍTIMOS[[#This Row],[Etapa Despacho - Mitad de Carga]]),"")</f>
        <v/>
      </c>
      <c r="AE920" s="11" t="str">
        <f>IFERROR(IF(MARÍTIMOS[[#This Row],[Etapa Despacho - Fin de Carga]]="","",MARÍTIMOS[[#This Row],[Etapa Despacho - Fin de Carga]]),"")</f>
        <v/>
      </c>
      <c r="AF920" s="2" t="str">
        <f>IFERROR(IF(MARÍTIMOS[[#This Row],[Puerto de Embarque]]="","",MARÍTIMOS[[#This Row],[Puerto de Embarque]]),"")</f>
        <v/>
      </c>
      <c r="AG920" s="2" t="str">
        <f>IFERROR(IF(MARÍTIMOS[[#This Row],[Almacén de Ingreso]]="","",MARÍTIMOS[[#This Row],[Almacén de Ingreso]]),"")</f>
        <v/>
      </c>
      <c r="AH920" s="11" t="str">
        <f>IFERROR(IF(MARÍTIMOS[[#This Row],[Etapa Ingreso - Cita]]="","",MARÍTIMOS[[#This Row],[Etapa Ingreso - Cita]]),"")</f>
        <v/>
      </c>
      <c r="AI920" s="11" t="str">
        <f>IFERROR(IF(MARÍTIMOS[[#This Row],[Etapa Ingreso - Llegada]]="","",MARÍTIMOS[[#This Row],[Etapa Ingreso - Llegada]]),"")</f>
        <v/>
      </c>
      <c r="AJ920" s="11" t="str">
        <f>IFERROR(IF(MARÍTIMOS[[#This Row],[Etapa Ingreso - Ingeso]]="","",MARÍTIMOS[[#This Row],[Etapa Ingreso - Ingeso]]),"")</f>
        <v/>
      </c>
      <c r="AK920" s="11" t="str">
        <f>IFERROR(IF(MARÍTIMOS[[#This Row],[Etapa Ingreso - Atención]]="","",MARÍTIMOS[[#This Row],[Etapa Ingreso - Atención]]),"")</f>
        <v/>
      </c>
      <c r="AL920" s="11" t="str">
        <f>IFERROR(IF(MARÍTIMOS[[#This Row],[Etapa Ingreso - Salida]]="","",MARÍTIMOS[[#This Row],[Etapa Ingreso - Salida]]),"")</f>
        <v/>
      </c>
      <c r="AM920" s="2" t="str">
        <f>IFERROR(IF(MARÍTIMOS[[#This Row],[FCL]]="","",MARÍTIMOS[[#This Row],[FCL]]),"")</f>
        <v/>
      </c>
      <c r="AN9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0" s="4" t="str" cm="1">
        <f t="array" ref="AO9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0" s="5" t="str">
        <f>IFERROR(OLDBD[[#This Row],[Llegada a packing]]-OLDBD[[#This Row],[Inicio de Ruta]],"")</f>
        <v/>
      </c>
      <c r="AQ920" s="6" t="str">
        <f>IFERROR(OLDBD[[#This Row],[Inicio de Ruta]]-OLDBD[[#This Row],[Salida de almacén de retiro]],"")</f>
        <v/>
      </c>
      <c r="AR9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0" s="8" t="str" cm="1">
        <f t="array" ref="AS9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0" s="9" t="str">
        <f>IFERROR(OLDBD[[#This Row],[Ingreso Packing]]-OLDBD[[#This Row],[Registro en Packing]],"")</f>
        <v/>
      </c>
      <c r="AV920" s="9" t="str">
        <f>IFERROR(OLDBD[[#This Row],[Ingreso Packing]]-OLDBD[[#This Row],[Llegada a packing]],"")</f>
        <v/>
      </c>
      <c r="AW9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0" s="5" t="str">
        <f>IFERROR(OLDBD[[#This Row],[Llegada Almacén de Ingreso]]-OLDBD[[#This Row],[Salida Packing]],"")</f>
        <v/>
      </c>
      <c r="AY920" s="4" t="str" cm="1">
        <f t="array" ref="AY9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0" s="43" t="s">
        <v>173</v>
      </c>
      <c r="BB920" s="47" t="str">
        <f>IFERROR(IF(MARÍTIMOS[[#This Row],[Estatus]]="","",MARÍTIMOS[[#This Row],[Estatus]]),"")</f>
        <v/>
      </c>
      <c r="BC920" s="43"/>
      <c r="BD920" s="46" t="str">
        <f>IFERROR(OLDBD[[#This Row],[Salida de almacén de retiro]]-OLDBD[[#This Row],[Ingreso Almacén de retiro]],"")</f>
        <v/>
      </c>
      <c r="BE920" s="46" t="str">
        <f>IFERROR(OLDBD[[#This Row],[Fin de Carga]]-OLDBD[[#This Row],[Inicio de Carga]],"")</f>
        <v/>
      </c>
    </row>
    <row r="921" spans="1:57" customFormat="1" hidden="1">
      <c r="A921" s="1"/>
      <c r="B921" s="1" t="str">
        <f>IFERROR(IF(MARÍTIMOS[[#This Row],[PP]]="","",MARÍTIMOS[[#This Row],[PP]]),"")</f>
        <v/>
      </c>
      <c r="C921" s="1" t="str">
        <f>IFERROR(IF(MARÍTIMOS[[#This Row],[Sede]]="","",MARÍTIMOS[[#This Row],[Sede]]),"")</f>
        <v/>
      </c>
      <c r="D921" s="1" t="str">
        <f>IFERROR(IF(MARÍTIMOS[[#This Row],[Instruction]]="","",MARÍTIMOS[[#This Row],[Instruction]]),"")</f>
        <v/>
      </c>
      <c r="E921" s="1"/>
      <c r="F921" s="2" t="str">
        <f>IFERROR(IF(MARÍTIMOS[[#This Row],[Transportista]]="","",MARÍTIMOS[[#This Row],[Transportista]]),"")</f>
        <v/>
      </c>
      <c r="G921" s="2" t="str">
        <f>IFERROR(IF(MARÍTIMOS[[#This Row],[Tercero]]="","",MARÍTIMOS[[#This Row],[Tercero]]),"")</f>
        <v/>
      </c>
      <c r="H921" s="2" t="str">
        <f>IFERROR(IF(MARÍTIMOS[[#This Row],[Razón Social]]="","",MARÍTIMOS[[#This Row],[Razón Social]]),"")</f>
        <v/>
      </c>
      <c r="I921" s="2" t="str">
        <f>IFERROR(IF(MARÍTIMOS[[#This Row],[RUC]]="","",MARÍTIMOS[[#This Row],[RUC]]),"")</f>
        <v/>
      </c>
      <c r="J921" s="2" t="str">
        <f>IFERROR(IF(MARÍTIMOS[[#This Row],[Placa Tracto]]="","",MARÍTIMOS[[#This Row],[Placa Tracto]]),"")</f>
        <v/>
      </c>
      <c r="K921" s="2" t="str">
        <f>IFERROR(IF(MARÍTIMOS[[#This Row],[Placa Carreta]]="","",MARÍTIMOS[[#This Row],[Placa Carreta]]),"")</f>
        <v/>
      </c>
      <c r="L921" s="44" t="str">
        <f>IFERROR(IF(MARÍTIMOS[[#This Row],[Conductor]]="","",MARÍTIMOS[[#This Row],[Conductor]]),"")</f>
        <v/>
      </c>
      <c r="M921" s="2" t="str">
        <f>IFERROR(IF(MARÍTIMOS[[#This Row],[Licencia]]="","",MARÍTIMOS[[#This Row],[Licencia]]),"")</f>
        <v/>
      </c>
      <c r="N921" s="2" t="str">
        <f>IFERROR(IF(MARÍTIMOS[[#This Row],[Número de Contacto]]="","",MARÍTIMOS[[#This Row],[Número de Contacto]]),"")</f>
        <v/>
      </c>
      <c r="O921" s="10" t="str">
        <f>IFERROR(IF(MARÍTIMOS[[#This Row],[Booking|AWB|CRT]]="","",MARÍTIMOS[[#This Row],[Booking|AWB|CRT]]),"")</f>
        <v/>
      </c>
      <c r="P921" s="2" t="str">
        <f>IFERROR(IF(MARÍTIMOS[[#This Row],[Contenedor]]="","",MARÍTIMOS[[#This Row],[Contenedor]]),"")</f>
        <v/>
      </c>
      <c r="Q921" s="2" t="str">
        <f>IFERROR(IF(MARÍTIMOS[[#This Row],[Puerto de Retiro]]="","",MARÍTIMOS[[#This Row],[Puerto de Retiro]]),"")</f>
        <v/>
      </c>
      <c r="R921" s="2" t="str">
        <f>IFERROR(IF(MARÍTIMOS[[#This Row],[Almacén de Retiro]]="","",MARÍTIMOS[[#This Row],[Almacén de Retiro]]),"")</f>
        <v/>
      </c>
      <c r="S921" s="11" t="str">
        <f>IFERROR(IF(MARÍTIMOS[[#This Row],[Etapa Retiro - Cita]]="","",MARÍTIMOS[[#This Row],[Etapa Retiro - Cita]]),"")</f>
        <v/>
      </c>
      <c r="T921" s="11" t="str">
        <f>IFERROR(IF(MARÍTIMOS[[#This Row],[Etapa Retiro - Llegada]]="","",MARÍTIMOS[[#This Row],[Etapa Retiro - Llegada]]),"")</f>
        <v/>
      </c>
      <c r="U921" s="11" t="str">
        <f>IFERROR(IF(MARÍTIMOS[[#This Row],[Etapa Retiro - Ingreso]]="","",MARÍTIMOS[[#This Row],[Etapa Retiro - Ingreso]]),"")</f>
        <v/>
      </c>
      <c r="V921" s="11" t="str">
        <f>IFERROR(IF(MARÍTIMOS[[#This Row],[Etapa Retiro - Atención]]="","",MARÍTIMOS[[#This Row],[Etapa Retiro - Atención]]),"")</f>
        <v/>
      </c>
      <c r="W921" s="11" t="str">
        <f>IFERROR(IF(MARÍTIMOS[[#This Row],[Etapa Retiro - Atención]]="","",MARÍTIMOS[[#This Row],[Etapa Retiro - Atención]]),"")</f>
        <v/>
      </c>
      <c r="X921" s="11" t="str">
        <f>IFERROR(IF(MARÍTIMOS[[#This Row],[Etapa Retiro - Inicio de Ruta]]="","",MARÍTIMOS[[#This Row],[Etapa Retiro - Inicio de Ruta]]),"")</f>
        <v/>
      </c>
      <c r="Y921" s="11" t="str">
        <f>IFERROR(IF(MARÍTIMOS[[#This Row],[Hora de Posicionamiento]]="","",MARÍTIMOS[[#This Row],[Fecha de Carga]]+MARÍTIMOS[[#This Row],[Hora de Posicionamiento]]),"")</f>
        <v/>
      </c>
      <c r="Z921" s="11" t="str">
        <f>IFERROR(IF(MARÍTIMOS[[#This Row],[Etapa Despacho - Llegada]]="","",MARÍTIMOS[[#This Row],[Etapa Despacho - Llegada]]),"")</f>
        <v/>
      </c>
      <c r="AA921" s="11" t="str">
        <f>IFERROR(IF(MARÍTIMOS[[#This Row],[Etapa Despacho - Registro]]="","",MARÍTIMOS[[#This Row],[Etapa Despacho - Registro]]),"")</f>
        <v/>
      </c>
      <c r="AB921" s="11" t="str">
        <f>IFERROR(IF(MARÍTIMOS[[#This Row],[Inspección Externa]]="","",MARÍTIMOS[[#This Row],[Inspección Externa]]),"")</f>
        <v/>
      </c>
      <c r="AC921" s="11" t="str">
        <f>IFERROR(IF(MARÍTIMOS[[#This Row],[Etapa Despacho - Inicio de Carga]]="","",MARÍTIMOS[[#This Row],[Etapa Despacho - Inicio de Carga]]),"")</f>
        <v/>
      </c>
      <c r="AD921" s="11" t="str">
        <f>IFERROR(IF(MARÍTIMOS[[#This Row],[Etapa Despacho - Mitad de Carga]]="","",MARÍTIMOS[[#This Row],[Etapa Despacho - Mitad de Carga]]),"")</f>
        <v/>
      </c>
      <c r="AE921" s="11" t="str">
        <f>IFERROR(IF(MARÍTIMOS[[#This Row],[Etapa Despacho - Fin de Carga]]="","",MARÍTIMOS[[#This Row],[Etapa Despacho - Fin de Carga]]),"")</f>
        <v/>
      </c>
      <c r="AF921" s="2" t="str">
        <f>IFERROR(IF(MARÍTIMOS[[#This Row],[Puerto de Embarque]]="","",MARÍTIMOS[[#This Row],[Puerto de Embarque]]),"")</f>
        <v/>
      </c>
      <c r="AG921" s="2" t="str">
        <f>IFERROR(IF(MARÍTIMOS[[#This Row],[Almacén de Ingreso]]="","",MARÍTIMOS[[#This Row],[Almacén de Ingreso]]),"")</f>
        <v/>
      </c>
      <c r="AH921" s="11" t="str">
        <f>IFERROR(IF(MARÍTIMOS[[#This Row],[Etapa Ingreso - Cita]]="","",MARÍTIMOS[[#This Row],[Etapa Ingreso - Cita]]),"")</f>
        <v/>
      </c>
      <c r="AI921" s="11" t="str">
        <f>IFERROR(IF(MARÍTIMOS[[#This Row],[Etapa Ingreso - Llegada]]="","",MARÍTIMOS[[#This Row],[Etapa Ingreso - Llegada]]),"")</f>
        <v/>
      </c>
      <c r="AJ921" s="11" t="str">
        <f>IFERROR(IF(MARÍTIMOS[[#This Row],[Etapa Ingreso - Ingeso]]="","",MARÍTIMOS[[#This Row],[Etapa Ingreso - Ingeso]]),"")</f>
        <v/>
      </c>
      <c r="AK921" s="11" t="str">
        <f>IFERROR(IF(MARÍTIMOS[[#This Row],[Etapa Ingreso - Atención]]="","",MARÍTIMOS[[#This Row],[Etapa Ingreso - Atención]]),"")</f>
        <v/>
      </c>
      <c r="AL921" s="11" t="str">
        <f>IFERROR(IF(MARÍTIMOS[[#This Row],[Etapa Ingreso - Salida]]="","",MARÍTIMOS[[#This Row],[Etapa Ingreso - Salida]]),"")</f>
        <v/>
      </c>
      <c r="AM921" s="2" t="str">
        <f>IFERROR(IF(MARÍTIMOS[[#This Row],[FCL]]="","",MARÍTIMOS[[#This Row],[FCL]]),"")</f>
        <v/>
      </c>
      <c r="AN9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1" s="4" t="str" cm="1">
        <f t="array" ref="AO9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1" s="5" t="str">
        <f>IFERROR(OLDBD[[#This Row],[Llegada a packing]]-OLDBD[[#This Row],[Inicio de Ruta]],"")</f>
        <v/>
      </c>
      <c r="AQ921" s="6" t="str">
        <f>IFERROR(OLDBD[[#This Row],[Inicio de Ruta]]-OLDBD[[#This Row],[Salida de almacén de retiro]],"")</f>
        <v/>
      </c>
      <c r="AR9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1" s="8" t="str" cm="1">
        <f t="array" ref="AS9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1" s="9" t="str">
        <f>IFERROR(OLDBD[[#This Row],[Ingreso Packing]]-OLDBD[[#This Row],[Registro en Packing]],"")</f>
        <v/>
      </c>
      <c r="AV921" s="9" t="str">
        <f>IFERROR(OLDBD[[#This Row],[Ingreso Packing]]-OLDBD[[#This Row],[Llegada a packing]],"")</f>
        <v/>
      </c>
      <c r="AW9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1" s="5" t="str">
        <f>IFERROR(OLDBD[[#This Row],[Llegada Almacén de Ingreso]]-OLDBD[[#This Row],[Salida Packing]],"")</f>
        <v/>
      </c>
      <c r="AY921" s="4" t="str" cm="1">
        <f t="array" ref="AY9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1" s="43" t="s">
        <v>173</v>
      </c>
      <c r="BB921" s="47" t="str">
        <f>IFERROR(IF(MARÍTIMOS[[#This Row],[Estatus]]="","",MARÍTIMOS[[#This Row],[Estatus]]),"")</f>
        <v/>
      </c>
      <c r="BC921" s="43"/>
      <c r="BD921" s="46" t="str">
        <f>IFERROR(OLDBD[[#This Row],[Salida de almacén de retiro]]-OLDBD[[#This Row],[Ingreso Almacén de retiro]],"")</f>
        <v/>
      </c>
      <c r="BE921" s="46" t="str">
        <f>IFERROR(OLDBD[[#This Row],[Fin de Carga]]-OLDBD[[#This Row],[Inicio de Carga]],"")</f>
        <v/>
      </c>
    </row>
    <row r="922" spans="1:57" customFormat="1" hidden="1">
      <c r="A922" s="1"/>
      <c r="B922" s="1" t="str">
        <f>IFERROR(IF(MARÍTIMOS[[#This Row],[PP]]="","",MARÍTIMOS[[#This Row],[PP]]),"")</f>
        <v/>
      </c>
      <c r="C922" s="1" t="str">
        <f>IFERROR(IF(MARÍTIMOS[[#This Row],[Sede]]="","",MARÍTIMOS[[#This Row],[Sede]]),"")</f>
        <v/>
      </c>
      <c r="D922" s="1" t="str">
        <f>IFERROR(IF(MARÍTIMOS[[#This Row],[Instruction]]="","",MARÍTIMOS[[#This Row],[Instruction]]),"")</f>
        <v/>
      </c>
      <c r="E922" s="1"/>
      <c r="F922" s="2" t="str">
        <f>IFERROR(IF(MARÍTIMOS[[#This Row],[Transportista]]="","",MARÍTIMOS[[#This Row],[Transportista]]),"")</f>
        <v/>
      </c>
      <c r="G922" s="2" t="str">
        <f>IFERROR(IF(MARÍTIMOS[[#This Row],[Tercero]]="","",MARÍTIMOS[[#This Row],[Tercero]]),"")</f>
        <v/>
      </c>
      <c r="H922" s="2" t="str">
        <f>IFERROR(IF(MARÍTIMOS[[#This Row],[Razón Social]]="","",MARÍTIMOS[[#This Row],[Razón Social]]),"")</f>
        <v/>
      </c>
      <c r="I922" s="2" t="str">
        <f>IFERROR(IF(MARÍTIMOS[[#This Row],[RUC]]="","",MARÍTIMOS[[#This Row],[RUC]]),"")</f>
        <v/>
      </c>
      <c r="J922" s="2" t="str">
        <f>IFERROR(IF(MARÍTIMOS[[#This Row],[Placa Tracto]]="","",MARÍTIMOS[[#This Row],[Placa Tracto]]),"")</f>
        <v/>
      </c>
      <c r="K922" s="2" t="str">
        <f>IFERROR(IF(MARÍTIMOS[[#This Row],[Placa Carreta]]="","",MARÍTIMOS[[#This Row],[Placa Carreta]]),"")</f>
        <v/>
      </c>
      <c r="L922" s="44" t="str">
        <f>IFERROR(IF(MARÍTIMOS[[#This Row],[Conductor]]="","",MARÍTIMOS[[#This Row],[Conductor]]),"")</f>
        <v/>
      </c>
      <c r="M922" s="2" t="str">
        <f>IFERROR(IF(MARÍTIMOS[[#This Row],[Licencia]]="","",MARÍTIMOS[[#This Row],[Licencia]]),"")</f>
        <v/>
      </c>
      <c r="N922" s="2" t="str">
        <f>IFERROR(IF(MARÍTIMOS[[#This Row],[Número de Contacto]]="","",MARÍTIMOS[[#This Row],[Número de Contacto]]),"")</f>
        <v/>
      </c>
      <c r="O922" s="10" t="str">
        <f>IFERROR(IF(MARÍTIMOS[[#This Row],[Booking|AWB|CRT]]="","",MARÍTIMOS[[#This Row],[Booking|AWB|CRT]]),"")</f>
        <v/>
      </c>
      <c r="P922" s="2" t="str">
        <f>IFERROR(IF(MARÍTIMOS[[#This Row],[Contenedor]]="","",MARÍTIMOS[[#This Row],[Contenedor]]),"")</f>
        <v/>
      </c>
      <c r="Q922" s="2" t="str">
        <f>IFERROR(IF(MARÍTIMOS[[#This Row],[Puerto de Retiro]]="","",MARÍTIMOS[[#This Row],[Puerto de Retiro]]),"")</f>
        <v/>
      </c>
      <c r="R922" s="2" t="str">
        <f>IFERROR(IF(MARÍTIMOS[[#This Row],[Almacén de Retiro]]="","",MARÍTIMOS[[#This Row],[Almacén de Retiro]]),"")</f>
        <v/>
      </c>
      <c r="S922" s="11" t="str">
        <f>IFERROR(IF(MARÍTIMOS[[#This Row],[Etapa Retiro - Cita]]="","",MARÍTIMOS[[#This Row],[Etapa Retiro - Cita]]),"")</f>
        <v/>
      </c>
      <c r="T922" s="11" t="str">
        <f>IFERROR(IF(MARÍTIMOS[[#This Row],[Etapa Retiro - Llegada]]="","",MARÍTIMOS[[#This Row],[Etapa Retiro - Llegada]]),"")</f>
        <v/>
      </c>
      <c r="U922" s="11" t="str">
        <f>IFERROR(IF(MARÍTIMOS[[#This Row],[Etapa Retiro - Ingreso]]="","",MARÍTIMOS[[#This Row],[Etapa Retiro - Ingreso]]),"")</f>
        <v/>
      </c>
      <c r="V922" s="11" t="str">
        <f>IFERROR(IF(MARÍTIMOS[[#This Row],[Etapa Retiro - Atención]]="","",MARÍTIMOS[[#This Row],[Etapa Retiro - Atención]]),"")</f>
        <v/>
      </c>
      <c r="W922" s="11" t="str">
        <f>IFERROR(IF(MARÍTIMOS[[#This Row],[Etapa Retiro - Atención]]="","",MARÍTIMOS[[#This Row],[Etapa Retiro - Atención]]),"")</f>
        <v/>
      </c>
      <c r="X922" s="11" t="str">
        <f>IFERROR(IF(MARÍTIMOS[[#This Row],[Etapa Retiro - Inicio de Ruta]]="","",MARÍTIMOS[[#This Row],[Etapa Retiro - Inicio de Ruta]]),"")</f>
        <v/>
      </c>
      <c r="Y922" s="11" t="str">
        <f>IFERROR(IF(MARÍTIMOS[[#This Row],[Hora de Posicionamiento]]="","",MARÍTIMOS[[#This Row],[Fecha de Carga]]+MARÍTIMOS[[#This Row],[Hora de Posicionamiento]]),"")</f>
        <v/>
      </c>
      <c r="Z922" s="11" t="str">
        <f>IFERROR(IF(MARÍTIMOS[[#This Row],[Etapa Despacho - Llegada]]="","",MARÍTIMOS[[#This Row],[Etapa Despacho - Llegada]]),"")</f>
        <v/>
      </c>
      <c r="AA922" s="11" t="str">
        <f>IFERROR(IF(MARÍTIMOS[[#This Row],[Etapa Despacho - Registro]]="","",MARÍTIMOS[[#This Row],[Etapa Despacho - Registro]]),"")</f>
        <v/>
      </c>
      <c r="AB922" s="11" t="str">
        <f>IFERROR(IF(MARÍTIMOS[[#This Row],[Inspección Externa]]="","",MARÍTIMOS[[#This Row],[Inspección Externa]]),"")</f>
        <v/>
      </c>
      <c r="AC922" s="11" t="str">
        <f>IFERROR(IF(MARÍTIMOS[[#This Row],[Etapa Despacho - Inicio de Carga]]="","",MARÍTIMOS[[#This Row],[Etapa Despacho - Inicio de Carga]]),"")</f>
        <v/>
      </c>
      <c r="AD922" s="11" t="str">
        <f>IFERROR(IF(MARÍTIMOS[[#This Row],[Etapa Despacho - Mitad de Carga]]="","",MARÍTIMOS[[#This Row],[Etapa Despacho - Mitad de Carga]]),"")</f>
        <v/>
      </c>
      <c r="AE922" s="11" t="str">
        <f>IFERROR(IF(MARÍTIMOS[[#This Row],[Etapa Despacho - Fin de Carga]]="","",MARÍTIMOS[[#This Row],[Etapa Despacho - Fin de Carga]]),"")</f>
        <v/>
      </c>
      <c r="AF922" s="2" t="str">
        <f>IFERROR(IF(MARÍTIMOS[[#This Row],[Puerto de Embarque]]="","",MARÍTIMOS[[#This Row],[Puerto de Embarque]]),"")</f>
        <v/>
      </c>
      <c r="AG922" s="2" t="str">
        <f>IFERROR(IF(MARÍTIMOS[[#This Row],[Almacén de Ingreso]]="","",MARÍTIMOS[[#This Row],[Almacén de Ingreso]]),"")</f>
        <v/>
      </c>
      <c r="AH922" s="11" t="str">
        <f>IFERROR(IF(MARÍTIMOS[[#This Row],[Etapa Ingreso - Cita]]="","",MARÍTIMOS[[#This Row],[Etapa Ingreso - Cita]]),"")</f>
        <v/>
      </c>
      <c r="AI922" s="11" t="str">
        <f>IFERROR(IF(MARÍTIMOS[[#This Row],[Etapa Ingreso - Llegada]]="","",MARÍTIMOS[[#This Row],[Etapa Ingreso - Llegada]]),"")</f>
        <v/>
      </c>
      <c r="AJ922" s="11" t="str">
        <f>IFERROR(IF(MARÍTIMOS[[#This Row],[Etapa Ingreso - Ingeso]]="","",MARÍTIMOS[[#This Row],[Etapa Ingreso - Ingeso]]),"")</f>
        <v/>
      </c>
      <c r="AK922" s="11" t="str">
        <f>IFERROR(IF(MARÍTIMOS[[#This Row],[Etapa Ingreso - Atención]]="","",MARÍTIMOS[[#This Row],[Etapa Ingreso - Atención]]),"")</f>
        <v/>
      </c>
      <c r="AL922" s="11" t="str">
        <f>IFERROR(IF(MARÍTIMOS[[#This Row],[Etapa Ingreso - Salida]]="","",MARÍTIMOS[[#This Row],[Etapa Ingreso - Salida]]),"")</f>
        <v/>
      </c>
      <c r="AM922" s="2" t="str">
        <f>IFERROR(IF(MARÍTIMOS[[#This Row],[FCL]]="","",MARÍTIMOS[[#This Row],[FCL]]),"")</f>
        <v/>
      </c>
      <c r="AN9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2" s="4" t="str" cm="1">
        <f t="array" ref="AO9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2" s="5" t="str">
        <f>IFERROR(OLDBD[[#This Row],[Llegada a packing]]-OLDBD[[#This Row],[Inicio de Ruta]],"")</f>
        <v/>
      </c>
      <c r="AQ922" s="6" t="str">
        <f>IFERROR(OLDBD[[#This Row],[Inicio de Ruta]]-OLDBD[[#This Row],[Salida de almacén de retiro]],"")</f>
        <v/>
      </c>
      <c r="AR9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2" s="8" t="str" cm="1">
        <f t="array" ref="AS9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2" s="9" t="str">
        <f>IFERROR(OLDBD[[#This Row],[Ingreso Packing]]-OLDBD[[#This Row],[Registro en Packing]],"")</f>
        <v/>
      </c>
      <c r="AV922" s="9" t="str">
        <f>IFERROR(OLDBD[[#This Row],[Ingreso Packing]]-OLDBD[[#This Row],[Llegada a packing]],"")</f>
        <v/>
      </c>
      <c r="AW9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2" s="5" t="str">
        <f>IFERROR(OLDBD[[#This Row],[Llegada Almacén de Ingreso]]-OLDBD[[#This Row],[Salida Packing]],"")</f>
        <v/>
      </c>
      <c r="AY922" s="4" t="str" cm="1">
        <f t="array" ref="AY9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2" s="43" t="s">
        <v>173</v>
      </c>
      <c r="BB922" s="47" t="str">
        <f>IFERROR(IF(MARÍTIMOS[[#This Row],[Estatus]]="","",MARÍTIMOS[[#This Row],[Estatus]]),"")</f>
        <v/>
      </c>
      <c r="BC922" s="43"/>
      <c r="BD922" s="46" t="str">
        <f>IFERROR(OLDBD[[#This Row],[Salida de almacén de retiro]]-OLDBD[[#This Row],[Ingreso Almacén de retiro]],"")</f>
        <v/>
      </c>
      <c r="BE922" s="46" t="str">
        <f>IFERROR(OLDBD[[#This Row],[Fin de Carga]]-OLDBD[[#This Row],[Inicio de Carga]],"")</f>
        <v/>
      </c>
    </row>
    <row r="923" spans="1:57" customFormat="1" hidden="1">
      <c r="A923" s="1"/>
      <c r="B923" s="1" t="str">
        <f>IFERROR(IF(MARÍTIMOS[[#This Row],[PP]]="","",MARÍTIMOS[[#This Row],[PP]]),"")</f>
        <v/>
      </c>
      <c r="C923" s="1" t="str">
        <f>IFERROR(IF(MARÍTIMOS[[#This Row],[Sede]]="","",MARÍTIMOS[[#This Row],[Sede]]),"")</f>
        <v/>
      </c>
      <c r="D923" s="1" t="str">
        <f>IFERROR(IF(MARÍTIMOS[[#This Row],[Instruction]]="","",MARÍTIMOS[[#This Row],[Instruction]]),"")</f>
        <v/>
      </c>
      <c r="E923" s="1"/>
      <c r="F923" s="2" t="str">
        <f>IFERROR(IF(MARÍTIMOS[[#This Row],[Transportista]]="","",MARÍTIMOS[[#This Row],[Transportista]]),"")</f>
        <v/>
      </c>
      <c r="G923" s="2" t="str">
        <f>IFERROR(IF(MARÍTIMOS[[#This Row],[Tercero]]="","",MARÍTIMOS[[#This Row],[Tercero]]),"")</f>
        <v/>
      </c>
      <c r="H923" s="2" t="str">
        <f>IFERROR(IF(MARÍTIMOS[[#This Row],[Razón Social]]="","",MARÍTIMOS[[#This Row],[Razón Social]]),"")</f>
        <v/>
      </c>
      <c r="I923" s="2" t="str">
        <f>IFERROR(IF(MARÍTIMOS[[#This Row],[RUC]]="","",MARÍTIMOS[[#This Row],[RUC]]),"")</f>
        <v/>
      </c>
      <c r="J923" s="2" t="str">
        <f>IFERROR(IF(MARÍTIMOS[[#This Row],[Placa Tracto]]="","",MARÍTIMOS[[#This Row],[Placa Tracto]]),"")</f>
        <v/>
      </c>
      <c r="K923" s="2" t="str">
        <f>IFERROR(IF(MARÍTIMOS[[#This Row],[Placa Carreta]]="","",MARÍTIMOS[[#This Row],[Placa Carreta]]),"")</f>
        <v/>
      </c>
      <c r="L923" s="44" t="str">
        <f>IFERROR(IF(MARÍTIMOS[[#This Row],[Conductor]]="","",MARÍTIMOS[[#This Row],[Conductor]]),"")</f>
        <v/>
      </c>
      <c r="M923" s="2" t="str">
        <f>IFERROR(IF(MARÍTIMOS[[#This Row],[Licencia]]="","",MARÍTIMOS[[#This Row],[Licencia]]),"")</f>
        <v/>
      </c>
      <c r="N923" s="2" t="str">
        <f>IFERROR(IF(MARÍTIMOS[[#This Row],[Número de Contacto]]="","",MARÍTIMOS[[#This Row],[Número de Contacto]]),"")</f>
        <v/>
      </c>
      <c r="O923" s="10" t="str">
        <f>IFERROR(IF(MARÍTIMOS[[#This Row],[Booking|AWB|CRT]]="","",MARÍTIMOS[[#This Row],[Booking|AWB|CRT]]),"")</f>
        <v/>
      </c>
      <c r="P923" s="2" t="str">
        <f>IFERROR(IF(MARÍTIMOS[[#This Row],[Contenedor]]="","",MARÍTIMOS[[#This Row],[Contenedor]]),"")</f>
        <v/>
      </c>
      <c r="Q923" s="2" t="str">
        <f>IFERROR(IF(MARÍTIMOS[[#This Row],[Puerto de Retiro]]="","",MARÍTIMOS[[#This Row],[Puerto de Retiro]]),"")</f>
        <v/>
      </c>
      <c r="R923" s="2" t="str">
        <f>IFERROR(IF(MARÍTIMOS[[#This Row],[Almacén de Retiro]]="","",MARÍTIMOS[[#This Row],[Almacén de Retiro]]),"")</f>
        <v/>
      </c>
      <c r="S923" s="11" t="str">
        <f>IFERROR(IF(MARÍTIMOS[[#This Row],[Etapa Retiro - Cita]]="","",MARÍTIMOS[[#This Row],[Etapa Retiro - Cita]]),"")</f>
        <v/>
      </c>
      <c r="T923" s="11" t="str">
        <f>IFERROR(IF(MARÍTIMOS[[#This Row],[Etapa Retiro - Llegada]]="","",MARÍTIMOS[[#This Row],[Etapa Retiro - Llegada]]),"")</f>
        <v/>
      </c>
      <c r="U923" s="11" t="str">
        <f>IFERROR(IF(MARÍTIMOS[[#This Row],[Etapa Retiro - Ingreso]]="","",MARÍTIMOS[[#This Row],[Etapa Retiro - Ingreso]]),"")</f>
        <v/>
      </c>
      <c r="V923" s="11" t="str">
        <f>IFERROR(IF(MARÍTIMOS[[#This Row],[Etapa Retiro - Atención]]="","",MARÍTIMOS[[#This Row],[Etapa Retiro - Atención]]),"")</f>
        <v/>
      </c>
      <c r="W923" s="11" t="str">
        <f>IFERROR(IF(MARÍTIMOS[[#This Row],[Etapa Retiro - Atención]]="","",MARÍTIMOS[[#This Row],[Etapa Retiro - Atención]]),"")</f>
        <v/>
      </c>
      <c r="X923" s="11" t="str">
        <f>IFERROR(IF(MARÍTIMOS[[#This Row],[Etapa Retiro - Inicio de Ruta]]="","",MARÍTIMOS[[#This Row],[Etapa Retiro - Inicio de Ruta]]),"")</f>
        <v/>
      </c>
      <c r="Y923" s="11" t="str">
        <f>IFERROR(IF(MARÍTIMOS[[#This Row],[Hora de Posicionamiento]]="","",MARÍTIMOS[[#This Row],[Fecha de Carga]]+MARÍTIMOS[[#This Row],[Hora de Posicionamiento]]),"")</f>
        <v/>
      </c>
      <c r="Z923" s="11" t="str">
        <f>IFERROR(IF(MARÍTIMOS[[#This Row],[Etapa Despacho - Llegada]]="","",MARÍTIMOS[[#This Row],[Etapa Despacho - Llegada]]),"")</f>
        <v/>
      </c>
      <c r="AA923" s="11" t="str">
        <f>IFERROR(IF(MARÍTIMOS[[#This Row],[Etapa Despacho - Registro]]="","",MARÍTIMOS[[#This Row],[Etapa Despacho - Registro]]),"")</f>
        <v/>
      </c>
      <c r="AB923" s="11" t="str">
        <f>IFERROR(IF(MARÍTIMOS[[#This Row],[Inspección Externa]]="","",MARÍTIMOS[[#This Row],[Inspección Externa]]),"")</f>
        <v/>
      </c>
      <c r="AC923" s="11" t="str">
        <f>IFERROR(IF(MARÍTIMOS[[#This Row],[Etapa Despacho - Inicio de Carga]]="","",MARÍTIMOS[[#This Row],[Etapa Despacho - Inicio de Carga]]),"")</f>
        <v/>
      </c>
      <c r="AD923" s="11" t="str">
        <f>IFERROR(IF(MARÍTIMOS[[#This Row],[Etapa Despacho - Mitad de Carga]]="","",MARÍTIMOS[[#This Row],[Etapa Despacho - Mitad de Carga]]),"")</f>
        <v/>
      </c>
      <c r="AE923" s="11" t="str">
        <f>IFERROR(IF(MARÍTIMOS[[#This Row],[Etapa Despacho - Fin de Carga]]="","",MARÍTIMOS[[#This Row],[Etapa Despacho - Fin de Carga]]),"")</f>
        <v/>
      </c>
      <c r="AF923" s="2" t="str">
        <f>IFERROR(IF(MARÍTIMOS[[#This Row],[Puerto de Embarque]]="","",MARÍTIMOS[[#This Row],[Puerto de Embarque]]),"")</f>
        <v/>
      </c>
      <c r="AG923" s="2" t="str">
        <f>IFERROR(IF(MARÍTIMOS[[#This Row],[Almacén de Ingreso]]="","",MARÍTIMOS[[#This Row],[Almacén de Ingreso]]),"")</f>
        <v/>
      </c>
      <c r="AH923" s="11" t="str">
        <f>IFERROR(IF(MARÍTIMOS[[#This Row],[Etapa Ingreso - Cita]]="","",MARÍTIMOS[[#This Row],[Etapa Ingreso - Cita]]),"")</f>
        <v/>
      </c>
      <c r="AI923" s="11" t="str">
        <f>IFERROR(IF(MARÍTIMOS[[#This Row],[Etapa Ingreso - Llegada]]="","",MARÍTIMOS[[#This Row],[Etapa Ingreso - Llegada]]),"")</f>
        <v/>
      </c>
      <c r="AJ923" s="11" t="str">
        <f>IFERROR(IF(MARÍTIMOS[[#This Row],[Etapa Ingreso - Ingeso]]="","",MARÍTIMOS[[#This Row],[Etapa Ingreso - Ingeso]]),"")</f>
        <v/>
      </c>
      <c r="AK923" s="11" t="str">
        <f>IFERROR(IF(MARÍTIMOS[[#This Row],[Etapa Ingreso - Atención]]="","",MARÍTIMOS[[#This Row],[Etapa Ingreso - Atención]]),"")</f>
        <v/>
      </c>
      <c r="AL923" s="11" t="str">
        <f>IFERROR(IF(MARÍTIMOS[[#This Row],[Etapa Ingreso - Salida]]="","",MARÍTIMOS[[#This Row],[Etapa Ingreso - Salida]]),"")</f>
        <v/>
      </c>
      <c r="AM923" s="2" t="str">
        <f>IFERROR(IF(MARÍTIMOS[[#This Row],[FCL]]="","",MARÍTIMOS[[#This Row],[FCL]]),"")</f>
        <v/>
      </c>
      <c r="AN9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3" s="4" t="str" cm="1">
        <f t="array" ref="AO9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3" s="5" t="str">
        <f>IFERROR(OLDBD[[#This Row],[Llegada a packing]]-OLDBD[[#This Row],[Inicio de Ruta]],"")</f>
        <v/>
      </c>
      <c r="AQ923" s="6" t="str">
        <f>IFERROR(OLDBD[[#This Row],[Inicio de Ruta]]-OLDBD[[#This Row],[Salida de almacén de retiro]],"")</f>
        <v/>
      </c>
      <c r="AR9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3" s="8" t="str" cm="1">
        <f t="array" ref="AS9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3" s="9" t="str">
        <f>IFERROR(OLDBD[[#This Row],[Ingreso Packing]]-OLDBD[[#This Row],[Registro en Packing]],"")</f>
        <v/>
      </c>
      <c r="AV923" s="9" t="str">
        <f>IFERROR(OLDBD[[#This Row],[Ingreso Packing]]-OLDBD[[#This Row],[Llegada a packing]],"")</f>
        <v/>
      </c>
      <c r="AW9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3" s="5" t="str">
        <f>IFERROR(OLDBD[[#This Row],[Llegada Almacén de Ingreso]]-OLDBD[[#This Row],[Salida Packing]],"")</f>
        <v/>
      </c>
      <c r="AY923" s="4" t="str" cm="1">
        <f t="array" ref="AY9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3" s="43" t="s">
        <v>173</v>
      </c>
      <c r="BB923" s="47" t="str">
        <f>IFERROR(IF(MARÍTIMOS[[#This Row],[Estatus]]="","",MARÍTIMOS[[#This Row],[Estatus]]),"")</f>
        <v/>
      </c>
      <c r="BC923" s="43"/>
      <c r="BD923" s="46" t="str">
        <f>IFERROR(OLDBD[[#This Row],[Salida de almacén de retiro]]-OLDBD[[#This Row],[Ingreso Almacén de retiro]],"")</f>
        <v/>
      </c>
      <c r="BE923" s="46" t="str">
        <f>IFERROR(OLDBD[[#This Row],[Fin de Carga]]-OLDBD[[#This Row],[Inicio de Carga]],"")</f>
        <v/>
      </c>
    </row>
    <row r="924" spans="1:57" customFormat="1" hidden="1">
      <c r="A924" s="1"/>
      <c r="B924" s="1" t="str">
        <f>IFERROR(IF(MARÍTIMOS[[#This Row],[PP]]="","",MARÍTIMOS[[#This Row],[PP]]),"")</f>
        <v/>
      </c>
      <c r="C924" s="1" t="str">
        <f>IFERROR(IF(MARÍTIMOS[[#This Row],[Sede]]="","",MARÍTIMOS[[#This Row],[Sede]]),"")</f>
        <v/>
      </c>
      <c r="D924" s="1" t="str">
        <f>IFERROR(IF(MARÍTIMOS[[#This Row],[Instruction]]="","",MARÍTIMOS[[#This Row],[Instruction]]),"")</f>
        <v/>
      </c>
      <c r="E924" s="1"/>
      <c r="F924" s="2" t="str">
        <f>IFERROR(IF(MARÍTIMOS[[#This Row],[Transportista]]="","",MARÍTIMOS[[#This Row],[Transportista]]),"")</f>
        <v/>
      </c>
      <c r="G924" s="2" t="str">
        <f>IFERROR(IF(MARÍTIMOS[[#This Row],[Tercero]]="","",MARÍTIMOS[[#This Row],[Tercero]]),"")</f>
        <v/>
      </c>
      <c r="H924" s="2" t="str">
        <f>IFERROR(IF(MARÍTIMOS[[#This Row],[Razón Social]]="","",MARÍTIMOS[[#This Row],[Razón Social]]),"")</f>
        <v/>
      </c>
      <c r="I924" s="2" t="str">
        <f>IFERROR(IF(MARÍTIMOS[[#This Row],[RUC]]="","",MARÍTIMOS[[#This Row],[RUC]]),"")</f>
        <v/>
      </c>
      <c r="J924" s="2" t="str">
        <f>IFERROR(IF(MARÍTIMOS[[#This Row],[Placa Tracto]]="","",MARÍTIMOS[[#This Row],[Placa Tracto]]),"")</f>
        <v/>
      </c>
      <c r="K924" s="2" t="str">
        <f>IFERROR(IF(MARÍTIMOS[[#This Row],[Placa Carreta]]="","",MARÍTIMOS[[#This Row],[Placa Carreta]]),"")</f>
        <v/>
      </c>
      <c r="L924" s="44" t="str">
        <f>IFERROR(IF(MARÍTIMOS[[#This Row],[Conductor]]="","",MARÍTIMOS[[#This Row],[Conductor]]),"")</f>
        <v/>
      </c>
      <c r="M924" s="2" t="str">
        <f>IFERROR(IF(MARÍTIMOS[[#This Row],[Licencia]]="","",MARÍTIMOS[[#This Row],[Licencia]]),"")</f>
        <v/>
      </c>
      <c r="N924" s="2" t="str">
        <f>IFERROR(IF(MARÍTIMOS[[#This Row],[Número de Contacto]]="","",MARÍTIMOS[[#This Row],[Número de Contacto]]),"")</f>
        <v/>
      </c>
      <c r="O924" s="10" t="str">
        <f>IFERROR(IF(MARÍTIMOS[[#This Row],[Booking|AWB|CRT]]="","",MARÍTIMOS[[#This Row],[Booking|AWB|CRT]]),"")</f>
        <v/>
      </c>
      <c r="P924" s="2" t="str">
        <f>IFERROR(IF(MARÍTIMOS[[#This Row],[Contenedor]]="","",MARÍTIMOS[[#This Row],[Contenedor]]),"")</f>
        <v/>
      </c>
      <c r="Q924" s="2" t="str">
        <f>IFERROR(IF(MARÍTIMOS[[#This Row],[Puerto de Retiro]]="","",MARÍTIMOS[[#This Row],[Puerto de Retiro]]),"")</f>
        <v/>
      </c>
      <c r="R924" s="2" t="str">
        <f>IFERROR(IF(MARÍTIMOS[[#This Row],[Almacén de Retiro]]="","",MARÍTIMOS[[#This Row],[Almacén de Retiro]]),"")</f>
        <v/>
      </c>
      <c r="S924" s="11" t="str">
        <f>IFERROR(IF(MARÍTIMOS[[#This Row],[Etapa Retiro - Cita]]="","",MARÍTIMOS[[#This Row],[Etapa Retiro - Cita]]),"")</f>
        <v/>
      </c>
      <c r="T924" s="11" t="str">
        <f>IFERROR(IF(MARÍTIMOS[[#This Row],[Etapa Retiro - Llegada]]="","",MARÍTIMOS[[#This Row],[Etapa Retiro - Llegada]]),"")</f>
        <v/>
      </c>
      <c r="U924" s="11" t="str">
        <f>IFERROR(IF(MARÍTIMOS[[#This Row],[Etapa Retiro - Ingreso]]="","",MARÍTIMOS[[#This Row],[Etapa Retiro - Ingreso]]),"")</f>
        <v/>
      </c>
      <c r="V924" s="11" t="str">
        <f>IFERROR(IF(MARÍTIMOS[[#This Row],[Etapa Retiro - Atención]]="","",MARÍTIMOS[[#This Row],[Etapa Retiro - Atención]]),"")</f>
        <v/>
      </c>
      <c r="W924" s="11" t="str">
        <f>IFERROR(IF(MARÍTIMOS[[#This Row],[Etapa Retiro - Atención]]="","",MARÍTIMOS[[#This Row],[Etapa Retiro - Atención]]),"")</f>
        <v/>
      </c>
      <c r="X924" s="11" t="str">
        <f>IFERROR(IF(MARÍTIMOS[[#This Row],[Etapa Retiro - Inicio de Ruta]]="","",MARÍTIMOS[[#This Row],[Etapa Retiro - Inicio de Ruta]]),"")</f>
        <v/>
      </c>
      <c r="Y924" s="11" t="str">
        <f>IFERROR(IF(MARÍTIMOS[[#This Row],[Hora de Posicionamiento]]="","",MARÍTIMOS[[#This Row],[Fecha de Carga]]+MARÍTIMOS[[#This Row],[Hora de Posicionamiento]]),"")</f>
        <v/>
      </c>
      <c r="Z924" s="11" t="str">
        <f>IFERROR(IF(MARÍTIMOS[[#This Row],[Etapa Despacho - Llegada]]="","",MARÍTIMOS[[#This Row],[Etapa Despacho - Llegada]]),"")</f>
        <v/>
      </c>
      <c r="AA924" s="11" t="str">
        <f>IFERROR(IF(MARÍTIMOS[[#This Row],[Etapa Despacho - Registro]]="","",MARÍTIMOS[[#This Row],[Etapa Despacho - Registro]]),"")</f>
        <v/>
      </c>
      <c r="AB924" s="11" t="str">
        <f>IFERROR(IF(MARÍTIMOS[[#This Row],[Inspección Externa]]="","",MARÍTIMOS[[#This Row],[Inspección Externa]]),"")</f>
        <v/>
      </c>
      <c r="AC924" s="11" t="str">
        <f>IFERROR(IF(MARÍTIMOS[[#This Row],[Etapa Despacho - Inicio de Carga]]="","",MARÍTIMOS[[#This Row],[Etapa Despacho - Inicio de Carga]]),"")</f>
        <v/>
      </c>
      <c r="AD924" s="11" t="str">
        <f>IFERROR(IF(MARÍTIMOS[[#This Row],[Etapa Despacho - Mitad de Carga]]="","",MARÍTIMOS[[#This Row],[Etapa Despacho - Mitad de Carga]]),"")</f>
        <v/>
      </c>
      <c r="AE924" s="11" t="str">
        <f>IFERROR(IF(MARÍTIMOS[[#This Row],[Etapa Despacho - Fin de Carga]]="","",MARÍTIMOS[[#This Row],[Etapa Despacho - Fin de Carga]]),"")</f>
        <v/>
      </c>
      <c r="AF924" s="2" t="str">
        <f>IFERROR(IF(MARÍTIMOS[[#This Row],[Puerto de Embarque]]="","",MARÍTIMOS[[#This Row],[Puerto de Embarque]]),"")</f>
        <v/>
      </c>
      <c r="AG924" s="2" t="str">
        <f>IFERROR(IF(MARÍTIMOS[[#This Row],[Almacén de Ingreso]]="","",MARÍTIMOS[[#This Row],[Almacén de Ingreso]]),"")</f>
        <v/>
      </c>
      <c r="AH924" s="11" t="str">
        <f>IFERROR(IF(MARÍTIMOS[[#This Row],[Etapa Ingreso - Cita]]="","",MARÍTIMOS[[#This Row],[Etapa Ingreso - Cita]]),"")</f>
        <v/>
      </c>
      <c r="AI924" s="11" t="str">
        <f>IFERROR(IF(MARÍTIMOS[[#This Row],[Etapa Ingreso - Llegada]]="","",MARÍTIMOS[[#This Row],[Etapa Ingreso - Llegada]]),"")</f>
        <v/>
      </c>
      <c r="AJ924" s="11" t="str">
        <f>IFERROR(IF(MARÍTIMOS[[#This Row],[Etapa Ingreso - Ingeso]]="","",MARÍTIMOS[[#This Row],[Etapa Ingreso - Ingeso]]),"")</f>
        <v/>
      </c>
      <c r="AK924" s="11" t="str">
        <f>IFERROR(IF(MARÍTIMOS[[#This Row],[Etapa Ingreso - Atención]]="","",MARÍTIMOS[[#This Row],[Etapa Ingreso - Atención]]),"")</f>
        <v/>
      </c>
      <c r="AL924" s="11" t="str">
        <f>IFERROR(IF(MARÍTIMOS[[#This Row],[Etapa Ingreso - Salida]]="","",MARÍTIMOS[[#This Row],[Etapa Ingreso - Salida]]),"")</f>
        <v/>
      </c>
      <c r="AM924" s="2" t="str">
        <f>IFERROR(IF(MARÍTIMOS[[#This Row],[FCL]]="","",MARÍTIMOS[[#This Row],[FCL]]),"")</f>
        <v/>
      </c>
      <c r="AN9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4" s="4" t="str" cm="1">
        <f t="array" ref="AO9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4" s="5" t="str">
        <f>IFERROR(OLDBD[[#This Row],[Llegada a packing]]-OLDBD[[#This Row],[Inicio de Ruta]],"")</f>
        <v/>
      </c>
      <c r="AQ924" s="6" t="str">
        <f>IFERROR(OLDBD[[#This Row],[Inicio de Ruta]]-OLDBD[[#This Row],[Salida de almacén de retiro]],"")</f>
        <v/>
      </c>
      <c r="AR9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4" s="8" t="str" cm="1">
        <f t="array" ref="AS9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4" s="9" t="str">
        <f>IFERROR(OLDBD[[#This Row],[Ingreso Packing]]-OLDBD[[#This Row],[Registro en Packing]],"")</f>
        <v/>
      </c>
      <c r="AV924" s="9" t="str">
        <f>IFERROR(OLDBD[[#This Row],[Ingreso Packing]]-OLDBD[[#This Row],[Llegada a packing]],"")</f>
        <v/>
      </c>
      <c r="AW9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4" s="5" t="str">
        <f>IFERROR(OLDBD[[#This Row],[Llegada Almacén de Ingreso]]-OLDBD[[#This Row],[Salida Packing]],"")</f>
        <v/>
      </c>
      <c r="AY924" s="4" t="str" cm="1">
        <f t="array" ref="AY9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4" s="43" t="s">
        <v>173</v>
      </c>
      <c r="BB924" s="47" t="str">
        <f>IFERROR(IF(MARÍTIMOS[[#This Row],[Estatus]]="","",MARÍTIMOS[[#This Row],[Estatus]]),"")</f>
        <v/>
      </c>
      <c r="BC924" s="43"/>
      <c r="BD924" s="46" t="str">
        <f>IFERROR(OLDBD[[#This Row],[Salida de almacén de retiro]]-OLDBD[[#This Row],[Ingreso Almacén de retiro]],"")</f>
        <v/>
      </c>
      <c r="BE924" s="46" t="str">
        <f>IFERROR(OLDBD[[#This Row],[Fin de Carga]]-OLDBD[[#This Row],[Inicio de Carga]],"")</f>
        <v/>
      </c>
    </row>
    <row r="925" spans="1:57" customFormat="1" hidden="1">
      <c r="A925" s="1"/>
      <c r="B925" s="1" t="str">
        <f>IFERROR(IF(MARÍTIMOS[[#This Row],[PP]]="","",MARÍTIMOS[[#This Row],[PP]]),"")</f>
        <v/>
      </c>
      <c r="C925" s="1" t="str">
        <f>IFERROR(IF(MARÍTIMOS[[#This Row],[Sede]]="","",MARÍTIMOS[[#This Row],[Sede]]),"")</f>
        <v/>
      </c>
      <c r="D925" s="1" t="str">
        <f>IFERROR(IF(MARÍTIMOS[[#This Row],[Instruction]]="","",MARÍTIMOS[[#This Row],[Instruction]]),"")</f>
        <v/>
      </c>
      <c r="E925" s="1"/>
      <c r="F925" s="2" t="str">
        <f>IFERROR(IF(MARÍTIMOS[[#This Row],[Transportista]]="","",MARÍTIMOS[[#This Row],[Transportista]]),"")</f>
        <v/>
      </c>
      <c r="G925" s="2" t="str">
        <f>IFERROR(IF(MARÍTIMOS[[#This Row],[Tercero]]="","",MARÍTIMOS[[#This Row],[Tercero]]),"")</f>
        <v/>
      </c>
      <c r="H925" s="2" t="str">
        <f>IFERROR(IF(MARÍTIMOS[[#This Row],[Razón Social]]="","",MARÍTIMOS[[#This Row],[Razón Social]]),"")</f>
        <v/>
      </c>
      <c r="I925" s="2" t="str">
        <f>IFERROR(IF(MARÍTIMOS[[#This Row],[RUC]]="","",MARÍTIMOS[[#This Row],[RUC]]),"")</f>
        <v/>
      </c>
      <c r="J925" s="2" t="str">
        <f>IFERROR(IF(MARÍTIMOS[[#This Row],[Placa Tracto]]="","",MARÍTIMOS[[#This Row],[Placa Tracto]]),"")</f>
        <v/>
      </c>
      <c r="K925" s="2" t="str">
        <f>IFERROR(IF(MARÍTIMOS[[#This Row],[Placa Carreta]]="","",MARÍTIMOS[[#This Row],[Placa Carreta]]),"")</f>
        <v/>
      </c>
      <c r="L925" s="44" t="str">
        <f>IFERROR(IF(MARÍTIMOS[[#This Row],[Conductor]]="","",MARÍTIMOS[[#This Row],[Conductor]]),"")</f>
        <v/>
      </c>
      <c r="M925" s="2" t="str">
        <f>IFERROR(IF(MARÍTIMOS[[#This Row],[Licencia]]="","",MARÍTIMOS[[#This Row],[Licencia]]),"")</f>
        <v/>
      </c>
      <c r="N925" s="2" t="str">
        <f>IFERROR(IF(MARÍTIMOS[[#This Row],[Número de Contacto]]="","",MARÍTIMOS[[#This Row],[Número de Contacto]]),"")</f>
        <v/>
      </c>
      <c r="O925" s="10" t="str">
        <f>IFERROR(IF(MARÍTIMOS[[#This Row],[Booking|AWB|CRT]]="","",MARÍTIMOS[[#This Row],[Booking|AWB|CRT]]),"")</f>
        <v/>
      </c>
      <c r="P925" s="2" t="str">
        <f>IFERROR(IF(MARÍTIMOS[[#This Row],[Contenedor]]="","",MARÍTIMOS[[#This Row],[Contenedor]]),"")</f>
        <v/>
      </c>
      <c r="Q925" s="2" t="str">
        <f>IFERROR(IF(MARÍTIMOS[[#This Row],[Puerto de Retiro]]="","",MARÍTIMOS[[#This Row],[Puerto de Retiro]]),"")</f>
        <v/>
      </c>
      <c r="R925" s="2" t="str">
        <f>IFERROR(IF(MARÍTIMOS[[#This Row],[Almacén de Retiro]]="","",MARÍTIMOS[[#This Row],[Almacén de Retiro]]),"")</f>
        <v/>
      </c>
      <c r="S925" s="11" t="str">
        <f>IFERROR(IF(MARÍTIMOS[[#This Row],[Etapa Retiro - Cita]]="","",MARÍTIMOS[[#This Row],[Etapa Retiro - Cita]]),"")</f>
        <v/>
      </c>
      <c r="T925" s="11" t="str">
        <f>IFERROR(IF(MARÍTIMOS[[#This Row],[Etapa Retiro - Llegada]]="","",MARÍTIMOS[[#This Row],[Etapa Retiro - Llegada]]),"")</f>
        <v/>
      </c>
      <c r="U925" s="11" t="str">
        <f>IFERROR(IF(MARÍTIMOS[[#This Row],[Etapa Retiro - Ingreso]]="","",MARÍTIMOS[[#This Row],[Etapa Retiro - Ingreso]]),"")</f>
        <v/>
      </c>
      <c r="V925" s="11" t="str">
        <f>IFERROR(IF(MARÍTIMOS[[#This Row],[Etapa Retiro - Atención]]="","",MARÍTIMOS[[#This Row],[Etapa Retiro - Atención]]),"")</f>
        <v/>
      </c>
      <c r="W925" s="11" t="str">
        <f>IFERROR(IF(MARÍTIMOS[[#This Row],[Etapa Retiro - Atención]]="","",MARÍTIMOS[[#This Row],[Etapa Retiro - Atención]]),"")</f>
        <v/>
      </c>
      <c r="X925" s="11" t="str">
        <f>IFERROR(IF(MARÍTIMOS[[#This Row],[Etapa Retiro - Inicio de Ruta]]="","",MARÍTIMOS[[#This Row],[Etapa Retiro - Inicio de Ruta]]),"")</f>
        <v/>
      </c>
      <c r="Y925" s="11" t="str">
        <f>IFERROR(IF(MARÍTIMOS[[#This Row],[Hora de Posicionamiento]]="","",MARÍTIMOS[[#This Row],[Fecha de Carga]]+MARÍTIMOS[[#This Row],[Hora de Posicionamiento]]),"")</f>
        <v/>
      </c>
      <c r="Z925" s="11" t="str">
        <f>IFERROR(IF(MARÍTIMOS[[#This Row],[Etapa Despacho - Llegada]]="","",MARÍTIMOS[[#This Row],[Etapa Despacho - Llegada]]),"")</f>
        <v/>
      </c>
      <c r="AA925" s="11" t="str">
        <f>IFERROR(IF(MARÍTIMOS[[#This Row],[Etapa Despacho - Registro]]="","",MARÍTIMOS[[#This Row],[Etapa Despacho - Registro]]),"")</f>
        <v/>
      </c>
      <c r="AB925" s="11" t="str">
        <f>IFERROR(IF(MARÍTIMOS[[#This Row],[Inspección Externa]]="","",MARÍTIMOS[[#This Row],[Inspección Externa]]),"")</f>
        <v/>
      </c>
      <c r="AC925" s="11" t="str">
        <f>IFERROR(IF(MARÍTIMOS[[#This Row],[Etapa Despacho - Inicio de Carga]]="","",MARÍTIMOS[[#This Row],[Etapa Despacho - Inicio de Carga]]),"")</f>
        <v/>
      </c>
      <c r="AD925" s="11" t="str">
        <f>IFERROR(IF(MARÍTIMOS[[#This Row],[Etapa Despacho - Mitad de Carga]]="","",MARÍTIMOS[[#This Row],[Etapa Despacho - Mitad de Carga]]),"")</f>
        <v/>
      </c>
      <c r="AE925" s="11" t="str">
        <f>IFERROR(IF(MARÍTIMOS[[#This Row],[Etapa Despacho - Fin de Carga]]="","",MARÍTIMOS[[#This Row],[Etapa Despacho - Fin de Carga]]),"")</f>
        <v/>
      </c>
      <c r="AF925" s="2" t="str">
        <f>IFERROR(IF(MARÍTIMOS[[#This Row],[Puerto de Embarque]]="","",MARÍTIMOS[[#This Row],[Puerto de Embarque]]),"")</f>
        <v/>
      </c>
      <c r="AG925" s="2" t="str">
        <f>IFERROR(IF(MARÍTIMOS[[#This Row],[Almacén de Ingreso]]="","",MARÍTIMOS[[#This Row],[Almacén de Ingreso]]),"")</f>
        <v/>
      </c>
      <c r="AH925" s="11" t="str">
        <f>IFERROR(IF(MARÍTIMOS[[#This Row],[Etapa Ingreso - Cita]]="","",MARÍTIMOS[[#This Row],[Etapa Ingreso - Cita]]),"")</f>
        <v/>
      </c>
      <c r="AI925" s="11" t="str">
        <f>IFERROR(IF(MARÍTIMOS[[#This Row],[Etapa Ingreso - Llegada]]="","",MARÍTIMOS[[#This Row],[Etapa Ingreso - Llegada]]),"")</f>
        <v/>
      </c>
      <c r="AJ925" s="11" t="str">
        <f>IFERROR(IF(MARÍTIMOS[[#This Row],[Etapa Ingreso - Ingeso]]="","",MARÍTIMOS[[#This Row],[Etapa Ingreso - Ingeso]]),"")</f>
        <v/>
      </c>
      <c r="AK925" s="11" t="str">
        <f>IFERROR(IF(MARÍTIMOS[[#This Row],[Etapa Ingreso - Atención]]="","",MARÍTIMOS[[#This Row],[Etapa Ingreso - Atención]]),"")</f>
        <v/>
      </c>
      <c r="AL925" s="11" t="str">
        <f>IFERROR(IF(MARÍTIMOS[[#This Row],[Etapa Ingreso - Salida]]="","",MARÍTIMOS[[#This Row],[Etapa Ingreso - Salida]]),"")</f>
        <v/>
      </c>
      <c r="AM925" s="2" t="str">
        <f>IFERROR(IF(MARÍTIMOS[[#This Row],[FCL]]="","",MARÍTIMOS[[#This Row],[FCL]]),"")</f>
        <v/>
      </c>
      <c r="AN9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5" s="4" t="str" cm="1">
        <f t="array" ref="AO9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5" s="5" t="str">
        <f>IFERROR(OLDBD[[#This Row],[Llegada a packing]]-OLDBD[[#This Row],[Inicio de Ruta]],"")</f>
        <v/>
      </c>
      <c r="AQ925" s="6" t="str">
        <f>IFERROR(OLDBD[[#This Row],[Inicio de Ruta]]-OLDBD[[#This Row],[Salida de almacén de retiro]],"")</f>
        <v/>
      </c>
      <c r="AR9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5" s="8" t="str" cm="1">
        <f t="array" ref="AS9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5" s="9" t="str">
        <f>IFERROR(OLDBD[[#This Row],[Ingreso Packing]]-OLDBD[[#This Row],[Registro en Packing]],"")</f>
        <v/>
      </c>
      <c r="AV925" s="9" t="str">
        <f>IFERROR(OLDBD[[#This Row],[Ingreso Packing]]-OLDBD[[#This Row],[Llegada a packing]],"")</f>
        <v/>
      </c>
      <c r="AW9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5" s="5" t="str">
        <f>IFERROR(OLDBD[[#This Row],[Llegada Almacén de Ingreso]]-OLDBD[[#This Row],[Salida Packing]],"")</f>
        <v/>
      </c>
      <c r="AY925" s="4" t="str" cm="1">
        <f t="array" ref="AY9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5" s="43" t="s">
        <v>173</v>
      </c>
      <c r="BB925" s="47" t="str">
        <f>IFERROR(IF(MARÍTIMOS[[#This Row],[Estatus]]="","",MARÍTIMOS[[#This Row],[Estatus]]),"")</f>
        <v/>
      </c>
      <c r="BC925" s="43"/>
      <c r="BD925" s="46" t="str">
        <f>IFERROR(OLDBD[[#This Row],[Salida de almacén de retiro]]-OLDBD[[#This Row],[Ingreso Almacén de retiro]],"")</f>
        <v/>
      </c>
      <c r="BE925" s="46" t="str">
        <f>IFERROR(OLDBD[[#This Row],[Fin de Carga]]-OLDBD[[#This Row],[Inicio de Carga]],"")</f>
        <v/>
      </c>
    </row>
    <row r="926" spans="1:57" customFormat="1" hidden="1">
      <c r="A926" s="1"/>
      <c r="B926" s="1" t="str">
        <f>IFERROR(IF(MARÍTIMOS[[#This Row],[PP]]="","",MARÍTIMOS[[#This Row],[PP]]),"")</f>
        <v/>
      </c>
      <c r="C926" s="1" t="str">
        <f>IFERROR(IF(MARÍTIMOS[[#This Row],[Sede]]="","",MARÍTIMOS[[#This Row],[Sede]]),"")</f>
        <v/>
      </c>
      <c r="D926" s="1" t="str">
        <f>IFERROR(IF(MARÍTIMOS[[#This Row],[Instruction]]="","",MARÍTIMOS[[#This Row],[Instruction]]),"")</f>
        <v/>
      </c>
      <c r="E926" s="1"/>
      <c r="F926" s="2" t="str">
        <f>IFERROR(IF(MARÍTIMOS[[#This Row],[Transportista]]="","",MARÍTIMOS[[#This Row],[Transportista]]),"")</f>
        <v/>
      </c>
      <c r="G926" s="2" t="str">
        <f>IFERROR(IF(MARÍTIMOS[[#This Row],[Tercero]]="","",MARÍTIMOS[[#This Row],[Tercero]]),"")</f>
        <v/>
      </c>
      <c r="H926" s="2" t="str">
        <f>IFERROR(IF(MARÍTIMOS[[#This Row],[Razón Social]]="","",MARÍTIMOS[[#This Row],[Razón Social]]),"")</f>
        <v/>
      </c>
      <c r="I926" s="2" t="str">
        <f>IFERROR(IF(MARÍTIMOS[[#This Row],[RUC]]="","",MARÍTIMOS[[#This Row],[RUC]]),"")</f>
        <v/>
      </c>
      <c r="J926" s="2" t="str">
        <f>IFERROR(IF(MARÍTIMOS[[#This Row],[Placa Tracto]]="","",MARÍTIMOS[[#This Row],[Placa Tracto]]),"")</f>
        <v/>
      </c>
      <c r="K926" s="2" t="str">
        <f>IFERROR(IF(MARÍTIMOS[[#This Row],[Placa Carreta]]="","",MARÍTIMOS[[#This Row],[Placa Carreta]]),"")</f>
        <v/>
      </c>
      <c r="L926" s="44" t="str">
        <f>IFERROR(IF(MARÍTIMOS[[#This Row],[Conductor]]="","",MARÍTIMOS[[#This Row],[Conductor]]),"")</f>
        <v/>
      </c>
      <c r="M926" s="2" t="str">
        <f>IFERROR(IF(MARÍTIMOS[[#This Row],[Licencia]]="","",MARÍTIMOS[[#This Row],[Licencia]]),"")</f>
        <v/>
      </c>
      <c r="N926" s="2" t="str">
        <f>IFERROR(IF(MARÍTIMOS[[#This Row],[Número de Contacto]]="","",MARÍTIMOS[[#This Row],[Número de Contacto]]),"")</f>
        <v/>
      </c>
      <c r="O926" s="10" t="str">
        <f>IFERROR(IF(MARÍTIMOS[[#This Row],[Booking|AWB|CRT]]="","",MARÍTIMOS[[#This Row],[Booking|AWB|CRT]]),"")</f>
        <v/>
      </c>
      <c r="P926" s="2" t="str">
        <f>IFERROR(IF(MARÍTIMOS[[#This Row],[Contenedor]]="","",MARÍTIMOS[[#This Row],[Contenedor]]),"")</f>
        <v/>
      </c>
      <c r="Q926" s="2" t="str">
        <f>IFERROR(IF(MARÍTIMOS[[#This Row],[Puerto de Retiro]]="","",MARÍTIMOS[[#This Row],[Puerto de Retiro]]),"")</f>
        <v/>
      </c>
      <c r="R926" s="2" t="str">
        <f>IFERROR(IF(MARÍTIMOS[[#This Row],[Almacén de Retiro]]="","",MARÍTIMOS[[#This Row],[Almacén de Retiro]]),"")</f>
        <v/>
      </c>
      <c r="S926" s="11" t="str">
        <f>IFERROR(IF(MARÍTIMOS[[#This Row],[Etapa Retiro - Cita]]="","",MARÍTIMOS[[#This Row],[Etapa Retiro - Cita]]),"")</f>
        <v/>
      </c>
      <c r="T926" s="11" t="str">
        <f>IFERROR(IF(MARÍTIMOS[[#This Row],[Etapa Retiro - Llegada]]="","",MARÍTIMOS[[#This Row],[Etapa Retiro - Llegada]]),"")</f>
        <v/>
      </c>
      <c r="U926" s="11" t="str">
        <f>IFERROR(IF(MARÍTIMOS[[#This Row],[Etapa Retiro - Ingreso]]="","",MARÍTIMOS[[#This Row],[Etapa Retiro - Ingreso]]),"")</f>
        <v/>
      </c>
      <c r="V926" s="11" t="str">
        <f>IFERROR(IF(MARÍTIMOS[[#This Row],[Etapa Retiro - Atención]]="","",MARÍTIMOS[[#This Row],[Etapa Retiro - Atención]]),"")</f>
        <v/>
      </c>
      <c r="W926" s="11" t="str">
        <f>IFERROR(IF(MARÍTIMOS[[#This Row],[Etapa Retiro - Atención]]="","",MARÍTIMOS[[#This Row],[Etapa Retiro - Atención]]),"")</f>
        <v/>
      </c>
      <c r="X926" s="11" t="str">
        <f>IFERROR(IF(MARÍTIMOS[[#This Row],[Etapa Retiro - Inicio de Ruta]]="","",MARÍTIMOS[[#This Row],[Etapa Retiro - Inicio de Ruta]]),"")</f>
        <v/>
      </c>
      <c r="Y926" s="11" t="str">
        <f>IFERROR(IF(MARÍTIMOS[[#This Row],[Hora de Posicionamiento]]="","",MARÍTIMOS[[#This Row],[Fecha de Carga]]+MARÍTIMOS[[#This Row],[Hora de Posicionamiento]]),"")</f>
        <v/>
      </c>
      <c r="Z926" s="11" t="str">
        <f>IFERROR(IF(MARÍTIMOS[[#This Row],[Etapa Despacho - Llegada]]="","",MARÍTIMOS[[#This Row],[Etapa Despacho - Llegada]]),"")</f>
        <v/>
      </c>
      <c r="AA926" s="11" t="str">
        <f>IFERROR(IF(MARÍTIMOS[[#This Row],[Etapa Despacho - Registro]]="","",MARÍTIMOS[[#This Row],[Etapa Despacho - Registro]]),"")</f>
        <v/>
      </c>
      <c r="AB926" s="11" t="str">
        <f>IFERROR(IF(MARÍTIMOS[[#This Row],[Inspección Externa]]="","",MARÍTIMOS[[#This Row],[Inspección Externa]]),"")</f>
        <v/>
      </c>
      <c r="AC926" s="11" t="str">
        <f>IFERROR(IF(MARÍTIMOS[[#This Row],[Etapa Despacho - Inicio de Carga]]="","",MARÍTIMOS[[#This Row],[Etapa Despacho - Inicio de Carga]]),"")</f>
        <v/>
      </c>
      <c r="AD926" s="11" t="str">
        <f>IFERROR(IF(MARÍTIMOS[[#This Row],[Etapa Despacho - Mitad de Carga]]="","",MARÍTIMOS[[#This Row],[Etapa Despacho - Mitad de Carga]]),"")</f>
        <v/>
      </c>
      <c r="AE926" s="11" t="str">
        <f>IFERROR(IF(MARÍTIMOS[[#This Row],[Etapa Despacho - Fin de Carga]]="","",MARÍTIMOS[[#This Row],[Etapa Despacho - Fin de Carga]]),"")</f>
        <v/>
      </c>
      <c r="AF926" s="2" t="str">
        <f>IFERROR(IF(MARÍTIMOS[[#This Row],[Puerto de Embarque]]="","",MARÍTIMOS[[#This Row],[Puerto de Embarque]]),"")</f>
        <v/>
      </c>
      <c r="AG926" s="2" t="str">
        <f>IFERROR(IF(MARÍTIMOS[[#This Row],[Almacén de Ingreso]]="","",MARÍTIMOS[[#This Row],[Almacén de Ingreso]]),"")</f>
        <v/>
      </c>
      <c r="AH926" s="11" t="str">
        <f>IFERROR(IF(MARÍTIMOS[[#This Row],[Etapa Ingreso - Cita]]="","",MARÍTIMOS[[#This Row],[Etapa Ingreso - Cita]]),"")</f>
        <v/>
      </c>
      <c r="AI926" s="11" t="str">
        <f>IFERROR(IF(MARÍTIMOS[[#This Row],[Etapa Ingreso - Llegada]]="","",MARÍTIMOS[[#This Row],[Etapa Ingreso - Llegada]]),"")</f>
        <v/>
      </c>
      <c r="AJ926" s="11" t="str">
        <f>IFERROR(IF(MARÍTIMOS[[#This Row],[Etapa Ingreso - Ingeso]]="","",MARÍTIMOS[[#This Row],[Etapa Ingreso - Ingeso]]),"")</f>
        <v/>
      </c>
      <c r="AK926" s="11" t="str">
        <f>IFERROR(IF(MARÍTIMOS[[#This Row],[Etapa Ingreso - Atención]]="","",MARÍTIMOS[[#This Row],[Etapa Ingreso - Atención]]),"")</f>
        <v/>
      </c>
      <c r="AL926" s="11" t="str">
        <f>IFERROR(IF(MARÍTIMOS[[#This Row],[Etapa Ingreso - Salida]]="","",MARÍTIMOS[[#This Row],[Etapa Ingreso - Salida]]),"")</f>
        <v/>
      </c>
      <c r="AM926" s="2" t="str">
        <f>IFERROR(IF(MARÍTIMOS[[#This Row],[FCL]]="","",MARÍTIMOS[[#This Row],[FCL]]),"")</f>
        <v/>
      </c>
      <c r="AN9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6" s="4" t="str" cm="1">
        <f t="array" ref="AO9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6" s="5" t="str">
        <f>IFERROR(OLDBD[[#This Row],[Llegada a packing]]-OLDBD[[#This Row],[Inicio de Ruta]],"")</f>
        <v/>
      </c>
      <c r="AQ926" s="6" t="str">
        <f>IFERROR(OLDBD[[#This Row],[Inicio de Ruta]]-OLDBD[[#This Row],[Salida de almacén de retiro]],"")</f>
        <v/>
      </c>
      <c r="AR9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6" s="8" t="str" cm="1">
        <f t="array" ref="AS9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6" s="9" t="str">
        <f>IFERROR(OLDBD[[#This Row],[Ingreso Packing]]-OLDBD[[#This Row],[Registro en Packing]],"")</f>
        <v/>
      </c>
      <c r="AV926" s="9" t="str">
        <f>IFERROR(OLDBD[[#This Row],[Ingreso Packing]]-OLDBD[[#This Row],[Llegada a packing]],"")</f>
        <v/>
      </c>
      <c r="AW9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6" s="5" t="str">
        <f>IFERROR(OLDBD[[#This Row],[Llegada Almacén de Ingreso]]-OLDBD[[#This Row],[Salida Packing]],"")</f>
        <v/>
      </c>
      <c r="AY926" s="4" t="str" cm="1">
        <f t="array" ref="AY9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6" s="43" t="s">
        <v>173</v>
      </c>
      <c r="BB926" s="47" t="str">
        <f>IFERROR(IF(MARÍTIMOS[[#This Row],[Estatus]]="","",MARÍTIMOS[[#This Row],[Estatus]]),"")</f>
        <v/>
      </c>
      <c r="BC926" s="43"/>
      <c r="BD926" s="46" t="str">
        <f>IFERROR(OLDBD[[#This Row],[Salida de almacén de retiro]]-OLDBD[[#This Row],[Ingreso Almacén de retiro]],"")</f>
        <v/>
      </c>
      <c r="BE926" s="46" t="str">
        <f>IFERROR(OLDBD[[#This Row],[Fin de Carga]]-OLDBD[[#This Row],[Inicio de Carga]],"")</f>
        <v/>
      </c>
    </row>
    <row r="927" spans="1:57" customFormat="1" hidden="1">
      <c r="A927" s="1"/>
      <c r="B927" s="1" t="str">
        <f>IFERROR(IF(MARÍTIMOS[[#This Row],[PP]]="","",MARÍTIMOS[[#This Row],[PP]]),"")</f>
        <v/>
      </c>
      <c r="C927" s="1" t="str">
        <f>IFERROR(IF(MARÍTIMOS[[#This Row],[Sede]]="","",MARÍTIMOS[[#This Row],[Sede]]),"")</f>
        <v/>
      </c>
      <c r="D927" s="1" t="str">
        <f>IFERROR(IF(MARÍTIMOS[[#This Row],[Instruction]]="","",MARÍTIMOS[[#This Row],[Instruction]]),"")</f>
        <v/>
      </c>
      <c r="E927" s="1"/>
      <c r="F927" s="2" t="str">
        <f>IFERROR(IF(MARÍTIMOS[[#This Row],[Transportista]]="","",MARÍTIMOS[[#This Row],[Transportista]]),"")</f>
        <v/>
      </c>
      <c r="G927" s="2" t="str">
        <f>IFERROR(IF(MARÍTIMOS[[#This Row],[Tercero]]="","",MARÍTIMOS[[#This Row],[Tercero]]),"")</f>
        <v/>
      </c>
      <c r="H927" s="2" t="str">
        <f>IFERROR(IF(MARÍTIMOS[[#This Row],[Razón Social]]="","",MARÍTIMOS[[#This Row],[Razón Social]]),"")</f>
        <v/>
      </c>
      <c r="I927" s="2" t="str">
        <f>IFERROR(IF(MARÍTIMOS[[#This Row],[RUC]]="","",MARÍTIMOS[[#This Row],[RUC]]),"")</f>
        <v/>
      </c>
      <c r="J927" s="2" t="str">
        <f>IFERROR(IF(MARÍTIMOS[[#This Row],[Placa Tracto]]="","",MARÍTIMOS[[#This Row],[Placa Tracto]]),"")</f>
        <v/>
      </c>
      <c r="K927" s="2" t="str">
        <f>IFERROR(IF(MARÍTIMOS[[#This Row],[Placa Carreta]]="","",MARÍTIMOS[[#This Row],[Placa Carreta]]),"")</f>
        <v/>
      </c>
      <c r="L927" s="44" t="str">
        <f>IFERROR(IF(MARÍTIMOS[[#This Row],[Conductor]]="","",MARÍTIMOS[[#This Row],[Conductor]]),"")</f>
        <v/>
      </c>
      <c r="M927" s="2" t="str">
        <f>IFERROR(IF(MARÍTIMOS[[#This Row],[Licencia]]="","",MARÍTIMOS[[#This Row],[Licencia]]),"")</f>
        <v/>
      </c>
      <c r="N927" s="2" t="str">
        <f>IFERROR(IF(MARÍTIMOS[[#This Row],[Número de Contacto]]="","",MARÍTIMOS[[#This Row],[Número de Contacto]]),"")</f>
        <v/>
      </c>
      <c r="O927" s="10" t="str">
        <f>IFERROR(IF(MARÍTIMOS[[#This Row],[Booking|AWB|CRT]]="","",MARÍTIMOS[[#This Row],[Booking|AWB|CRT]]),"")</f>
        <v/>
      </c>
      <c r="P927" s="2" t="str">
        <f>IFERROR(IF(MARÍTIMOS[[#This Row],[Contenedor]]="","",MARÍTIMOS[[#This Row],[Contenedor]]),"")</f>
        <v/>
      </c>
      <c r="Q927" s="2" t="str">
        <f>IFERROR(IF(MARÍTIMOS[[#This Row],[Puerto de Retiro]]="","",MARÍTIMOS[[#This Row],[Puerto de Retiro]]),"")</f>
        <v/>
      </c>
      <c r="R927" s="2" t="str">
        <f>IFERROR(IF(MARÍTIMOS[[#This Row],[Almacén de Retiro]]="","",MARÍTIMOS[[#This Row],[Almacén de Retiro]]),"")</f>
        <v/>
      </c>
      <c r="S927" s="11" t="str">
        <f>IFERROR(IF(MARÍTIMOS[[#This Row],[Etapa Retiro - Cita]]="","",MARÍTIMOS[[#This Row],[Etapa Retiro - Cita]]),"")</f>
        <v/>
      </c>
      <c r="T927" s="11" t="str">
        <f>IFERROR(IF(MARÍTIMOS[[#This Row],[Etapa Retiro - Llegada]]="","",MARÍTIMOS[[#This Row],[Etapa Retiro - Llegada]]),"")</f>
        <v/>
      </c>
      <c r="U927" s="11" t="str">
        <f>IFERROR(IF(MARÍTIMOS[[#This Row],[Etapa Retiro - Ingreso]]="","",MARÍTIMOS[[#This Row],[Etapa Retiro - Ingreso]]),"")</f>
        <v/>
      </c>
      <c r="V927" s="11" t="str">
        <f>IFERROR(IF(MARÍTIMOS[[#This Row],[Etapa Retiro - Atención]]="","",MARÍTIMOS[[#This Row],[Etapa Retiro - Atención]]),"")</f>
        <v/>
      </c>
      <c r="W927" s="11" t="str">
        <f>IFERROR(IF(MARÍTIMOS[[#This Row],[Etapa Retiro - Atención]]="","",MARÍTIMOS[[#This Row],[Etapa Retiro - Atención]]),"")</f>
        <v/>
      </c>
      <c r="X927" s="11" t="str">
        <f>IFERROR(IF(MARÍTIMOS[[#This Row],[Etapa Retiro - Inicio de Ruta]]="","",MARÍTIMOS[[#This Row],[Etapa Retiro - Inicio de Ruta]]),"")</f>
        <v/>
      </c>
      <c r="Y927" s="11" t="str">
        <f>IFERROR(IF(MARÍTIMOS[[#This Row],[Hora de Posicionamiento]]="","",MARÍTIMOS[[#This Row],[Fecha de Carga]]+MARÍTIMOS[[#This Row],[Hora de Posicionamiento]]),"")</f>
        <v/>
      </c>
      <c r="Z927" s="11" t="str">
        <f>IFERROR(IF(MARÍTIMOS[[#This Row],[Etapa Despacho - Llegada]]="","",MARÍTIMOS[[#This Row],[Etapa Despacho - Llegada]]),"")</f>
        <v/>
      </c>
      <c r="AA927" s="11" t="str">
        <f>IFERROR(IF(MARÍTIMOS[[#This Row],[Etapa Despacho - Registro]]="","",MARÍTIMOS[[#This Row],[Etapa Despacho - Registro]]),"")</f>
        <v/>
      </c>
      <c r="AB927" s="11" t="str">
        <f>IFERROR(IF(MARÍTIMOS[[#This Row],[Inspección Externa]]="","",MARÍTIMOS[[#This Row],[Inspección Externa]]),"")</f>
        <v/>
      </c>
      <c r="AC927" s="11" t="str">
        <f>IFERROR(IF(MARÍTIMOS[[#This Row],[Etapa Despacho - Inicio de Carga]]="","",MARÍTIMOS[[#This Row],[Etapa Despacho - Inicio de Carga]]),"")</f>
        <v/>
      </c>
      <c r="AD927" s="11" t="str">
        <f>IFERROR(IF(MARÍTIMOS[[#This Row],[Etapa Despacho - Mitad de Carga]]="","",MARÍTIMOS[[#This Row],[Etapa Despacho - Mitad de Carga]]),"")</f>
        <v/>
      </c>
      <c r="AE927" s="11" t="str">
        <f>IFERROR(IF(MARÍTIMOS[[#This Row],[Etapa Despacho - Fin de Carga]]="","",MARÍTIMOS[[#This Row],[Etapa Despacho - Fin de Carga]]),"")</f>
        <v/>
      </c>
      <c r="AF927" s="2" t="str">
        <f>IFERROR(IF(MARÍTIMOS[[#This Row],[Puerto de Embarque]]="","",MARÍTIMOS[[#This Row],[Puerto de Embarque]]),"")</f>
        <v/>
      </c>
      <c r="AG927" s="2" t="str">
        <f>IFERROR(IF(MARÍTIMOS[[#This Row],[Almacén de Ingreso]]="","",MARÍTIMOS[[#This Row],[Almacén de Ingreso]]),"")</f>
        <v/>
      </c>
      <c r="AH927" s="11" t="str">
        <f>IFERROR(IF(MARÍTIMOS[[#This Row],[Etapa Ingreso - Cita]]="","",MARÍTIMOS[[#This Row],[Etapa Ingreso - Cita]]),"")</f>
        <v/>
      </c>
      <c r="AI927" s="11" t="str">
        <f>IFERROR(IF(MARÍTIMOS[[#This Row],[Etapa Ingreso - Llegada]]="","",MARÍTIMOS[[#This Row],[Etapa Ingreso - Llegada]]),"")</f>
        <v/>
      </c>
      <c r="AJ927" s="11" t="str">
        <f>IFERROR(IF(MARÍTIMOS[[#This Row],[Etapa Ingreso - Ingeso]]="","",MARÍTIMOS[[#This Row],[Etapa Ingreso - Ingeso]]),"")</f>
        <v/>
      </c>
      <c r="AK927" s="11" t="str">
        <f>IFERROR(IF(MARÍTIMOS[[#This Row],[Etapa Ingreso - Atención]]="","",MARÍTIMOS[[#This Row],[Etapa Ingreso - Atención]]),"")</f>
        <v/>
      </c>
      <c r="AL927" s="11" t="str">
        <f>IFERROR(IF(MARÍTIMOS[[#This Row],[Etapa Ingreso - Salida]]="","",MARÍTIMOS[[#This Row],[Etapa Ingreso - Salida]]),"")</f>
        <v/>
      </c>
      <c r="AM927" s="2" t="str">
        <f>IFERROR(IF(MARÍTIMOS[[#This Row],[FCL]]="","",MARÍTIMOS[[#This Row],[FCL]]),"")</f>
        <v/>
      </c>
      <c r="AN9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7" s="4" t="str" cm="1">
        <f t="array" ref="AO9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7" s="5" t="str">
        <f>IFERROR(OLDBD[[#This Row],[Llegada a packing]]-OLDBD[[#This Row],[Inicio de Ruta]],"")</f>
        <v/>
      </c>
      <c r="AQ927" s="6" t="str">
        <f>IFERROR(OLDBD[[#This Row],[Inicio de Ruta]]-OLDBD[[#This Row],[Salida de almacén de retiro]],"")</f>
        <v/>
      </c>
      <c r="AR9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7" s="8" t="str" cm="1">
        <f t="array" ref="AS9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7" s="9" t="str">
        <f>IFERROR(OLDBD[[#This Row],[Ingreso Packing]]-OLDBD[[#This Row],[Registro en Packing]],"")</f>
        <v/>
      </c>
      <c r="AV927" s="9" t="str">
        <f>IFERROR(OLDBD[[#This Row],[Ingreso Packing]]-OLDBD[[#This Row],[Llegada a packing]],"")</f>
        <v/>
      </c>
      <c r="AW9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7" s="5" t="str">
        <f>IFERROR(OLDBD[[#This Row],[Llegada Almacén de Ingreso]]-OLDBD[[#This Row],[Salida Packing]],"")</f>
        <v/>
      </c>
      <c r="AY927" s="4" t="str" cm="1">
        <f t="array" ref="AY9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7" s="43" t="s">
        <v>173</v>
      </c>
      <c r="BB927" s="47" t="str">
        <f>IFERROR(IF(MARÍTIMOS[[#This Row],[Estatus]]="","",MARÍTIMOS[[#This Row],[Estatus]]),"")</f>
        <v/>
      </c>
      <c r="BC927" s="43"/>
      <c r="BD927" s="46" t="str">
        <f>IFERROR(OLDBD[[#This Row],[Salida de almacén de retiro]]-OLDBD[[#This Row],[Ingreso Almacén de retiro]],"")</f>
        <v/>
      </c>
      <c r="BE927" s="46" t="str">
        <f>IFERROR(OLDBD[[#This Row],[Fin de Carga]]-OLDBD[[#This Row],[Inicio de Carga]],"")</f>
        <v/>
      </c>
    </row>
    <row r="928" spans="1:57" customFormat="1" hidden="1">
      <c r="A928" s="1"/>
      <c r="B928" s="1" t="str">
        <f>IFERROR(IF(MARÍTIMOS[[#This Row],[PP]]="","",MARÍTIMOS[[#This Row],[PP]]),"")</f>
        <v/>
      </c>
      <c r="C928" s="1" t="str">
        <f>IFERROR(IF(MARÍTIMOS[[#This Row],[Sede]]="","",MARÍTIMOS[[#This Row],[Sede]]),"")</f>
        <v/>
      </c>
      <c r="D928" s="1" t="str">
        <f>IFERROR(IF(MARÍTIMOS[[#This Row],[Instruction]]="","",MARÍTIMOS[[#This Row],[Instruction]]),"")</f>
        <v/>
      </c>
      <c r="E928" s="1"/>
      <c r="F928" s="2" t="str">
        <f>IFERROR(IF(MARÍTIMOS[[#This Row],[Transportista]]="","",MARÍTIMOS[[#This Row],[Transportista]]),"")</f>
        <v/>
      </c>
      <c r="G928" s="2" t="str">
        <f>IFERROR(IF(MARÍTIMOS[[#This Row],[Tercero]]="","",MARÍTIMOS[[#This Row],[Tercero]]),"")</f>
        <v/>
      </c>
      <c r="H928" s="2" t="str">
        <f>IFERROR(IF(MARÍTIMOS[[#This Row],[Razón Social]]="","",MARÍTIMOS[[#This Row],[Razón Social]]),"")</f>
        <v/>
      </c>
      <c r="I928" s="2" t="str">
        <f>IFERROR(IF(MARÍTIMOS[[#This Row],[RUC]]="","",MARÍTIMOS[[#This Row],[RUC]]),"")</f>
        <v/>
      </c>
      <c r="J928" s="2" t="str">
        <f>IFERROR(IF(MARÍTIMOS[[#This Row],[Placa Tracto]]="","",MARÍTIMOS[[#This Row],[Placa Tracto]]),"")</f>
        <v/>
      </c>
      <c r="K928" s="2" t="str">
        <f>IFERROR(IF(MARÍTIMOS[[#This Row],[Placa Carreta]]="","",MARÍTIMOS[[#This Row],[Placa Carreta]]),"")</f>
        <v/>
      </c>
      <c r="L928" s="44" t="str">
        <f>IFERROR(IF(MARÍTIMOS[[#This Row],[Conductor]]="","",MARÍTIMOS[[#This Row],[Conductor]]),"")</f>
        <v/>
      </c>
      <c r="M928" s="2" t="str">
        <f>IFERROR(IF(MARÍTIMOS[[#This Row],[Licencia]]="","",MARÍTIMOS[[#This Row],[Licencia]]),"")</f>
        <v/>
      </c>
      <c r="N928" s="2" t="str">
        <f>IFERROR(IF(MARÍTIMOS[[#This Row],[Número de Contacto]]="","",MARÍTIMOS[[#This Row],[Número de Contacto]]),"")</f>
        <v/>
      </c>
      <c r="O928" s="10" t="str">
        <f>IFERROR(IF(MARÍTIMOS[[#This Row],[Booking|AWB|CRT]]="","",MARÍTIMOS[[#This Row],[Booking|AWB|CRT]]),"")</f>
        <v/>
      </c>
      <c r="P928" s="2" t="str">
        <f>IFERROR(IF(MARÍTIMOS[[#This Row],[Contenedor]]="","",MARÍTIMOS[[#This Row],[Contenedor]]),"")</f>
        <v/>
      </c>
      <c r="Q928" s="2" t="str">
        <f>IFERROR(IF(MARÍTIMOS[[#This Row],[Puerto de Retiro]]="","",MARÍTIMOS[[#This Row],[Puerto de Retiro]]),"")</f>
        <v/>
      </c>
      <c r="R928" s="2" t="str">
        <f>IFERROR(IF(MARÍTIMOS[[#This Row],[Almacén de Retiro]]="","",MARÍTIMOS[[#This Row],[Almacén de Retiro]]),"")</f>
        <v/>
      </c>
      <c r="S928" s="11" t="str">
        <f>IFERROR(IF(MARÍTIMOS[[#This Row],[Etapa Retiro - Cita]]="","",MARÍTIMOS[[#This Row],[Etapa Retiro - Cita]]),"")</f>
        <v/>
      </c>
      <c r="T928" s="11" t="str">
        <f>IFERROR(IF(MARÍTIMOS[[#This Row],[Etapa Retiro - Llegada]]="","",MARÍTIMOS[[#This Row],[Etapa Retiro - Llegada]]),"")</f>
        <v/>
      </c>
      <c r="U928" s="11" t="str">
        <f>IFERROR(IF(MARÍTIMOS[[#This Row],[Etapa Retiro - Ingreso]]="","",MARÍTIMOS[[#This Row],[Etapa Retiro - Ingreso]]),"")</f>
        <v/>
      </c>
      <c r="V928" s="11" t="str">
        <f>IFERROR(IF(MARÍTIMOS[[#This Row],[Etapa Retiro - Atención]]="","",MARÍTIMOS[[#This Row],[Etapa Retiro - Atención]]),"")</f>
        <v/>
      </c>
      <c r="W928" s="11" t="str">
        <f>IFERROR(IF(MARÍTIMOS[[#This Row],[Etapa Retiro - Atención]]="","",MARÍTIMOS[[#This Row],[Etapa Retiro - Atención]]),"")</f>
        <v/>
      </c>
      <c r="X928" s="11" t="str">
        <f>IFERROR(IF(MARÍTIMOS[[#This Row],[Etapa Retiro - Inicio de Ruta]]="","",MARÍTIMOS[[#This Row],[Etapa Retiro - Inicio de Ruta]]),"")</f>
        <v/>
      </c>
      <c r="Y928" s="11" t="str">
        <f>IFERROR(IF(MARÍTIMOS[[#This Row],[Hora de Posicionamiento]]="","",MARÍTIMOS[[#This Row],[Fecha de Carga]]+MARÍTIMOS[[#This Row],[Hora de Posicionamiento]]),"")</f>
        <v/>
      </c>
      <c r="Z928" s="11" t="str">
        <f>IFERROR(IF(MARÍTIMOS[[#This Row],[Etapa Despacho - Llegada]]="","",MARÍTIMOS[[#This Row],[Etapa Despacho - Llegada]]),"")</f>
        <v/>
      </c>
      <c r="AA928" s="11" t="str">
        <f>IFERROR(IF(MARÍTIMOS[[#This Row],[Etapa Despacho - Registro]]="","",MARÍTIMOS[[#This Row],[Etapa Despacho - Registro]]),"")</f>
        <v/>
      </c>
      <c r="AB928" s="11" t="str">
        <f>IFERROR(IF(MARÍTIMOS[[#This Row],[Inspección Externa]]="","",MARÍTIMOS[[#This Row],[Inspección Externa]]),"")</f>
        <v/>
      </c>
      <c r="AC928" s="11" t="str">
        <f>IFERROR(IF(MARÍTIMOS[[#This Row],[Etapa Despacho - Inicio de Carga]]="","",MARÍTIMOS[[#This Row],[Etapa Despacho - Inicio de Carga]]),"")</f>
        <v/>
      </c>
      <c r="AD928" s="11" t="str">
        <f>IFERROR(IF(MARÍTIMOS[[#This Row],[Etapa Despacho - Mitad de Carga]]="","",MARÍTIMOS[[#This Row],[Etapa Despacho - Mitad de Carga]]),"")</f>
        <v/>
      </c>
      <c r="AE928" s="11" t="str">
        <f>IFERROR(IF(MARÍTIMOS[[#This Row],[Etapa Despacho - Fin de Carga]]="","",MARÍTIMOS[[#This Row],[Etapa Despacho - Fin de Carga]]),"")</f>
        <v/>
      </c>
      <c r="AF928" s="2" t="str">
        <f>IFERROR(IF(MARÍTIMOS[[#This Row],[Puerto de Embarque]]="","",MARÍTIMOS[[#This Row],[Puerto de Embarque]]),"")</f>
        <v/>
      </c>
      <c r="AG928" s="2" t="str">
        <f>IFERROR(IF(MARÍTIMOS[[#This Row],[Almacén de Ingreso]]="","",MARÍTIMOS[[#This Row],[Almacén de Ingreso]]),"")</f>
        <v/>
      </c>
      <c r="AH928" s="11" t="str">
        <f>IFERROR(IF(MARÍTIMOS[[#This Row],[Etapa Ingreso - Cita]]="","",MARÍTIMOS[[#This Row],[Etapa Ingreso - Cita]]),"")</f>
        <v/>
      </c>
      <c r="AI928" s="11" t="str">
        <f>IFERROR(IF(MARÍTIMOS[[#This Row],[Etapa Ingreso - Llegada]]="","",MARÍTIMOS[[#This Row],[Etapa Ingreso - Llegada]]),"")</f>
        <v/>
      </c>
      <c r="AJ928" s="11" t="str">
        <f>IFERROR(IF(MARÍTIMOS[[#This Row],[Etapa Ingreso - Ingeso]]="","",MARÍTIMOS[[#This Row],[Etapa Ingreso - Ingeso]]),"")</f>
        <v/>
      </c>
      <c r="AK928" s="11" t="str">
        <f>IFERROR(IF(MARÍTIMOS[[#This Row],[Etapa Ingreso - Atención]]="","",MARÍTIMOS[[#This Row],[Etapa Ingreso - Atención]]),"")</f>
        <v/>
      </c>
      <c r="AL928" s="11" t="str">
        <f>IFERROR(IF(MARÍTIMOS[[#This Row],[Etapa Ingreso - Salida]]="","",MARÍTIMOS[[#This Row],[Etapa Ingreso - Salida]]),"")</f>
        <v/>
      </c>
      <c r="AM928" s="2" t="str">
        <f>IFERROR(IF(MARÍTIMOS[[#This Row],[FCL]]="","",MARÍTIMOS[[#This Row],[FCL]]),"")</f>
        <v/>
      </c>
      <c r="AN9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8" s="4" t="str" cm="1">
        <f t="array" ref="AO9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8" s="5" t="str">
        <f>IFERROR(OLDBD[[#This Row],[Llegada a packing]]-OLDBD[[#This Row],[Inicio de Ruta]],"")</f>
        <v/>
      </c>
      <c r="AQ928" s="6" t="str">
        <f>IFERROR(OLDBD[[#This Row],[Inicio de Ruta]]-OLDBD[[#This Row],[Salida de almacén de retiro]],"")</f>
        <v/>
      </c>
      <c r="AR9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8" s="8" t="str" cm="1">
        <f t="array" ref="AS9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8" s="9" t="str">
        <f>IFERROR(OLDBD[[#This Row],[Ingreso Packing]]-OLDBD[[#This Row],[Registro en Packing]],"")</f>
        <v/>
      </c>
      <c r="AV928" s="9" t="str">
        <f>IFERROR(OLDBD[[#This Row],[Ingreso Packing]]-OLDBD[[#This Row],[Llegada a packing]],"")</f>
        <v/>
      </c>
      <c r="AW9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8" s="5" t="str">
        <f>IFERROR(OLDBD[[#This Row],[Llegada Almacén de Ingreso]]-OLDBD[[#This Row],[Salida Packing]],"")</f>
        <v/>
      </c>
      <c r="AY928" s="4" t="str" cm="1">
        <f t="array" ref="AY9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8" s="43" t="s">
        <v>173</v>
      </c>
      <c r="BB928" s="47" t="str">
        <f>IFERROR(IF(MARÍTIMOS[[#This Row],[Estatus]]="","",MARÍTIMOS[[#This Row],[Estatus]]),"")</f>
        <v/>
      </c>
      <c r="BC928" s="43"/>
      <c r="BD928" s="46" t="str">
        <f>IFERROR(OLDBD[[#This Row],[Salida de almacén de retiro]]-OLDBD[[#This Row],[Ingreso Almacén de retiro]],"")</f>
        <v/>
      </c>
      <c r="BE928" s="46" t="str">
        <f>IFERROR(OLDBD[[#This Row],[Fin de Carga]]-OLDBD[[#This Row],[Inicio de Carga]],"")</f>
        <v/>
      </c>
    </row>
    <row r="929" spans="1:57" customFormat="1" hidden="1">
      <c r="A929" s="1"/>
      <c r="B929" s="1" t="str">
        <f>IFERROR(IF(MARÍTIMOS[[#This Row],[PP]]="","",MARÍTIMOS[[#This Row],[PP]]),"")</f>
        <v/>
      </c>
      <c r="C929" s="1" t="str">
        <f>IFERROR(IF(MARÍTIMOS[[#This Row],[Sede]]="","",MARÍTIMOS[[#This Row],[Sede]]),"")</f>
        <v/>
      </c>
      <c r="D929" s="1" t="str">
        <f>IFERROR(IF(MARÍTIMOS[[#This Row],[Instruction]]="","",MARÍTIMOS[[#This Row],[Instruction]]),"")</f>
        <v/>
      </c>
      <c r="E929" s="1"/>
      <c r="F929" s="2" t="str">
        <f>IFERROR(IF(MARÍTIMOS[[#This Row],[Transportista]]="","",MARÍTIMOS[[#This Row],[Transportista]]),"")</f>
        <v/>
      </c>
      <c r="G929" s="2" t="str">
        <f>IFERROR(IF(MARÍTIMOS[[#This Row],[Tercero]]="","",MARÍTIMOS[[#This Row],[Tercero]]),"")</f>
        <v/>
      </c>
      <c r="H929" s="2" t="str">
        <f>IFERROR(IF(MARÍTIMOS[[#This Row],[Razón Social]]="","",MARÍTIMOS[[#This Row],[Razón Social]]),"")</f>
        <v/>
      </c>
      <c r="I929" s="2" t="str">
        <f>IFERROR(IF(MARÍTIMOS[[#This Row],[RUC]]="","",MARÍTIMOS[[#This Row],[RUC]]),"")</f>
        <v/>
      </c>
      <c r="J929" s="2" t="str">
        <f>IFERROR(IF(MARÍTIMOS[[#This Row],[Placa Tracto]]="","",MARÍTIMOS[[#This Row],[Placa Tracto]]),"")</f>
        <v/>
      </c>
      <c r="K929" s="2" t="str">
        <f>IFERROR(IF(MARÍTIMOS[[#This Row],[Placa Carreta]]="","",MARÍTIMOS[[#This Row],[Placa Carreta]]),"")</f>
        <v/>
      </c>
      <c r="L929" s="44" t="str">
        <f>IFERROR(IF(MARÍTIMOS[[#This Row],[Conductor]]="","",MARÍTIMOS[[#This Row],[Conductor]]),"")</f>
        <v/>
      </c>
      <c r="M929" s="2" t="str">
        <f>IFERROR(IF(MARÍTIMOS[[#This Row],[Licencia]]="","",MARÍTIMOS[[#This Row],[Licencia]]),"")</f>
        <v/>
      </c>
      <c r="N929" s="2" t="str">
        <f>IFERROR(IF(MARÍTIMOS[[#This Row],[Número de Contacto]]="","",MARÍTIMOS[[#This Row],[Número de Contacto]]),"")</f>
        <v/>
      </c>
      <c r="O929" s="10" t="str">
        <f>IFERROR(IF(MARÍTIMOS[[#This Row],[Booking|AWB|CRT]]="","",MARÍTIMOS[[#This Row],[Booking|AWB|CRT]]),"")</f>
        <v/>
      </c>
      <c r="P929" s="2" t="str">
        <f>IFERROR(IF(MARÍTIMOS[[#This Row],[Contenedor]]="","",MARÍTIMOS[[#This Row],[Contenedor]]),"")</f>
        <v/>
      </c>
      <c r="Q929" s="2" t="str">
        <f>IFERROR(IF(MARÍTIMOS[[#This Row],[Puerto de Retiro]]="","",MARÍTIMOS[[#This Row],[Puerto de Retiro]]),"")</f>
        <v/>
      </c>
      <c r="R929" s="2" t="str">
        <f>IFERROR(IF(MARÍTIMOS[[#This Row],[Almacén de Retiro]]="","",MARÍTIMOS[[#This Row],[Almacén de Retiro]]),"")</f>
        <v/>
      </c>
      <c r="S929" s="11" t="str">
        <f>IFERROR(IF(MARÍTIMOS[[#This Row],[Etapa Retiro - Cita]]="","",MARÍTIMOS[[#This Row],[Etapa Retiro - Cita]]),"")</f>
        <v/>
      </c>
      <c r="T929" s="11" t="str">
        <f>IFERROR(IF(MARÍTIMOS[[#This Row],[Etapa Retiro - Llegada]]="","",MARÍTIMOS[[#This Row],[Etapa Retiro - Llegada]]),"")</f>
        <v/>
      </c>
      <c r="U929" s="11" t="str">
        <f>IFERROR(IF(MARÍTIMOS[[#This Row],[Etapa Retiro - Ingreso]]="","",MARÍTIMOS[[#This Row],[Etapa Retiro - Ingreso]]),"")</f>
        <v/>
      </c>
      <c r="V929" s="11" t="str">
        <f>IFERROR(IF(MARÍTIMOS[[#This Row],[Etapa Retiro - Atención]]="","",MARÍTIMOS[[#This Row],[Etapa Retiro - Atención]]),"")</f>
        <v/>
      </c>
      <c r="W929" s="11" t="str">
        <f>IFERROR(IF(MARÍTIMOS[[#This Row],[Etapa Retiro - Atención]]="","",MARÍTIMOS[[#This Row],[Etapa Retiro - Atención]]),"")</f>
        <v/>
      </c>
      <c r="X929" s="11" t="str">
        <f>IFERROR(IF(MARÍTIMOS[[#This Row],[Etapa Retiro - Inicio de Ruta]]="","",MARÍTIMOS[[#This Row],[Etapa Retiro - Inicio de Ruta]]),"")</f>
        <v/>
      </c>
      <c r="Y929" s="11" t="str">
        <f>IFERROR(IF(MARÍTIMOS[[#This Row],[Hora de Posicionamiento]]="","",MARÍTIMOS[[#This Row],[Fecha de Carga]]+MARÍTIMOS[[#This Row],[Hora de Posicionamiento]]),"")</f>
        <v/>
      </c>
      <c r="Z929" s="11" t="str">
        <f>IFERROR(IF(MARÍTIMOS[[#This Row],[Etapa Despacho - Llegada]]="","",MARÍTIMOS[[#This Row],[Etapa Despacho - Llegada]]),"")</f>
        <v/>
      </c>
      <c r="AA929" s="11" t="str">
        <f>IFERROR(IF(MARÍTIMOS[[#This Row],[Etapa Despacho - Registro]]="","",MARÍTIMOS[[#This Row],[Etapa Despacho - Registro]]),"")</f>
        <v/>
      </c>
      <c r="AB929" s="11" t="str">
        <f>IFERROR(IF(MARÍTIMOS[[#This Row],[Inspección Externa]]="","",MARÍTIMOS[[#This Row],[Inspección Externa]]),"")</f>
        <v/>
      </c>
      <c r="AC929" s="11" t="str">
        <f>IFERROR(IF(MARÍTIMOS[[#This Row],[Etapa Despacho - Inicio de Carga]]="","",MARÍTIMOS[[#This Row],[Etapa Despacho - Inicio de Carga]]),"")</f>
        <v/>
      </c>
      <c r="AD929" s="11" t="str">
        <f>IFERROR(IF(MARÍTIMOS[[#This Row],[Etapa Despacho - Mitad de Carga]]="","",MARÍTIMOS[[#This Row],[Etapa Despacho - Mitad de Carga]]),"")</f>
        <v/>
      </c>
      <c r="AE929" s="11" t="str">
        <f>IFERROR(IF(MARÍTIMOS[[#This Row],[Etapa Despacho - Fin de Carga]]="","",MARÍTIMOS[[#This Row],[Etapa Despacho - Fin de Carga]]),"")</f>
        <v/>
      </c>
      <c r="AF929" s="2" t="str">
        <f>IFERROR(IF(MARÍTIMOS[[#This Row],[Puerto de Embarque]]="","",MARÍTIMOS[[#This Row],[Puerto de Embarque]]),"")</f>
        <v/>
      </c>
      <c r="AG929" s="2" t="str">
        <f>IFERROR(IF(MARÍTIMOS[[#This Row],[Almacén de Ingreso]]="","",MARÍTIMOS[[#This Row],[Almacén de Ingreso]]),"")</f>
        <v/>
      </c>
      <c r="AH929" s="11" t="str">
        <f>IFERROR(IF(MARÍTIMOS[[#This Row],[Etapa Ingreso - Cita]]="","",MARÍTIMOS[[#This Row],[Etapa Ingreso - Cita]]),"")</f>
        <v/>
      </c>
      <c r="AI929" s="11" t="str">
        <f>IFERROR(IF(MARÍTIMOS[[#This Row],[Etapa Ingreso - Llegada]]="","",MARÍTIMOS[[#This Row],[Etapa Ingreso - Llegada]]),"")</f>
        <v/>
      </c>
      <c r="AJ929" s="11" t="str">
        <f>IFERROR(IF(MARÍTIMOS[[#This Row],[Etapa Ingreso - Ingeso]]="","",MARÍTIMOS[[#This Row],[Etapa Ingreso - Ingeso]]),"")</f>
        <v/>
      </c>
      <c r="AK929" s="11" t="str">
        <f>IFERROR(IF(MARÍTIMOS[[#This Row],[Etapa Ingreso - Atención]]="","",MARÍTIMOS[[#This Row],[Etapa Ingreso - Atención]]),"")</f>
        <v/>
      </c>
      <c r="AL929" s="11" t="str">
        <f>IFERROR(IF(MARÍTIMOS[[#This Row],[Etapa Ingreso - Salida]]="","",MARÍTIMOS[[#This Row],[Etapa Ingreso - Salida]]),"")</f>
        <v/>
      </c>
      <c r="AM929" s="2" t="str">
        <f>IFERROR(IF(MARÍTIMOS[[#This Row],[FCL]]="","",MARÍTIMOS[[#This Row],[FCL]]),"")</f>
        <v/>
      </c>
      <c r="AN9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29" s="4" t="str" cm="1">
        <f t="array" ref="AO9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29" s="5" t="str">
        <f>IFERROR(OLDBD[[#This Row],[Llegada a packing]]-OLDBD[[#This Row],[Inicio de Ruta]],"")</f>
        <v/>
      </c>
      <c r="AQ929" s="6" t="str">
        <f>IFERROR(OLDBD[[#This Row],[Inicio de Ruta]]-OLDBD[[#This Row],[Salida de almacén de retiro]],"")</f>
        <v/>
      </c>
      <c r="AR9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29" s="8" t="str" cm="1">
        <f t="array" ref="AS9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29" s="9" t="str">
        <f>IFERROR(OLDBD[[#This Row],[Ingreso Packing]]-OLDBD[[#This Row],[Registro en Packing]],"")</f>
        <v/>
      </c>
      <c r="AV929" s="9" t="str">
        <f>IFERROR(OLDBD[[#This Row],[Ingreso Packing]]-OLDBD[[#This Row],[Llegada a packing]],"")</f>
        <v/>
      </c>
      <c r="AW9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29" s="5" t="str">
        <f>IFERROR(OLDBD[[#This Row],[Llegada Almacén de Ingreso]]-OLDBD[[#This Row],[Salida Packing]],"")</f>
        <v/>
      </c>
      <c r="AY929" s="4" t="str" cm="1">
        <f t="array" ref="AY9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29" s="43" t="s">
        <v>173</v>
      </c>
      <c r="BB929" s="47" t="str">
        <f>IFERROR(IF(MARÍTIMOS[[#This Row],[Estatus]]="","",MARÍTIMOS[[#This Row],[Estatus]]),"")</f>
        <v/>
      </c>
      <c r="BC929" s="43"/>
      <c r="BD929" s="46" t="str">
        <f>IFERROR(OLDBD[[#This Row],[Salida de almacén de retiro]]-OLDBD[[#This Row],[Ingreso Almacén de retiro]],"")</f>
        <v/>
      </c>
      <c r="BE929" s="46" t="str">
        <f>IFERROR(OLDBD[[#This Row],[Fin de Carga]]-OLDBD[[#This Row],[Inicio de Carga]],"")</f>
        <v/>
      </c>
    </row>
    <row r="930" spans="1:57" customFormat="1" hidden="1">
      <c r="A930" s="1"/>
      <c r="B930" s="1" t="str">
        <f>IFERROR(IF(MARÍTIMOS[[#This Row],[PP]]="","",MARÍTIMOS[[#This Row],[PP]]),"")</f>
        <v/>
      </c>
      <c r="C930" s="1" t="str">
        <f>IFERROR(IF(MARÍTIMOS[[#This Row],[Sede]]="","",MARÍTIMOS[[#This Row],[Sede]]),"")</f>
        <v/>
      </c>
      <c r="D930" s="1" t="str">
        <f>IFERROR(IF(MARÍTIMOS[[#This Row],[Instruction]]="","",MARÍTIMOS[[#This Row],[Instruction]]),"")</f>
        <v/>
      </c>
      <c r="E930" s="1"/>
      <c r="F930" s="2" t="str">
        <f>IFERROR(IF(MARÍTIMOS[[#This Row],[Transportista]]="","",MARÍTIMOS[[#This Row],[Transportista]]),"")</f>
        <v/>
      </c>
      <c r="G930" s="2" t="str">
        <f>IFERROR(IF(MARÍTIMOS[[#This Row],[Tercero]]="","",MARÍTIMOS[[#This Row],[Tercero]]),"")</f>
        <v/>
      </c>
      <c r="H930" s="2" t="str">
        <f>IFERROR(IF(MARÍTIMOS[[#This Row],[Razón Social]]="","",MARÍTIMOS[[#This Row],[Razón Social]]),"")</f>
        <v/>
      </c>
      <c r="I930" s="2" t="str">
        <f>IFERROR(IF(MARÍTIMOS[[#This Row],[RUC]]="","",MARÍTIMOS[[#This Row],[RUC]]),"")</f>
        <v/>
      </c>
      <c r="J930" s="2" t="str">
        <f>IFERROR(IF(MARÍTIMOS[[#This Row],[Placa Tracto]]="","",MARÍTIMOS[[#This Row],[Placa Tracto]]),"")</f>
        <v/>
      </c>
      <c r="K930" s="2" t="str">
        <f>IFERROR(IF(MARÍTIMOS[[#This Row],[Placa Carreta]]="","",MARÍTIMOS[[#This Row],[Placa Carreta]]),"")</f>
        <v/>
      </c>
      <c r="L930" s="44" t="str">
        <f>IFERROR(IF(MARÍTIMOS[[#This Row],[Conductor]]="","",MARÍTIMOS[[#This Row],[Conductor]]),"")</f>
        <v/>
      </c>
      <c r="M930" s="2" t="str">
        <f>IFERROR(IF(MARÍTIMOS[[#This Row],[Licencia]]="","",MARÍTIMOS[[#This Row],[Licencia]]),"")</f>
        <v/>
      </c>
      <c r="N930" s="2" t="str">
        <f>IFERROR(IF(MARÍTIMOS[[#This Row],[Número de Contacto]]="","",MARÍTIMOS[[#This Row],[Número de Contacto]]),"")</f>
        <v/>
      </c>
      <c r="O930" s="10" t="str">
        <f>IFERROR(IF(MARÍTIMOS[[#This Row],[Booking|AWB|CRT]]="","",MARÍTIMOS[[#This Row],[Booking|AWB|CRT]]),"")</f>
        <v/>
      </c>
      <c r="P930" s="2" t="str">
        <f>IFERROR(IF(MARÍTIMOS[[#This Row],[Contenedor]]="","",MARÍTIMOS[[#This Row],[Contenedor]]),"")</f>
        <v/>
      </c>
      <c r="Q930" s="2" t="str">
        <f>IFERROR(IF(MARÍTIMOS[[#This Row],[Puerto de Retiro]]="","",MARÍTIMOS[[#This Row],[Puerto de Retiro]]),"")</f>
        <v/>
      </c>
      <c r="R930" s="2" t="str">
        <f>IFERROR(IF(MARÍTIMOS[[#This Row],[Almacén de Retiro]]="","",MARÍTIMOS[[#This Row],[Almacén de Retiro]]),"")</f>
        <v/>
      </c>
      <c r="S930" s="11" t="str">
        <f>IFERROR(IF(MARÍTIMOS[[#This Row],[Etapa Retiro - Cita]]="","",MARÍTIMOS[[#This Row],[Etapa Retiro - Cita]]),"")</f>
        <v/>
      </c>
      <c r="T930" s="11" t="str">
        <f>IFERROR(IF(MARÍTIMOS[[#This Row],[Etapa Retiro - Llegada]]="","",MARÍTIMOS[[#This Row],[Etapa Retiro - Llegada]]),"")</f>
        <v/>
      </c>
      <c r="U930" s="11" t="str">
        <f>IFERROR(IF(MARÍTIMOS[[#This Row],[Etapa Retiro - Ingreso]]="","",MARÍTIMOS[[#This Row],[Etapa Retiro - Ingreso]]),"")</f>
        <v/>
      </c>
      <c r="V930" s="11" t="str">
        <f>IFERROR(IF(MARÍTIMOS[[#This Row],[Etapa Retiro - Atención]]="","",MARÍTIMOS[[#This Row],[Etapa Retiro - Atención]]),"")</f>
        <v/>
      </c>
      <c r="W930" s="11" t="str">
        <f>IFERROR(IF(MARÍTIMOS[[#This Row],[Etapa Retiro - Atención]]="","",MARÍTIMOS[[#This Row],[Etapa Retiro - Atención]]),"")</f>
        <v/>
      </c>
      <c r="X930" s="11" t="str">
        <f>IFERROR(IF(MARÍTIMOS[[#This Row],[Etapa Retiro - Inicio de Ruta]]="","",MARÍTIMOS[[#This Row],[Etapa Retiro - Inicio de Ruta]]),"")</f>
        <v/>
      </c>
      <c r="Y930" s="11" t="str">
        <f>IFERROR(IF(MARÍTIMOS[[#This Row],[Hora de Posicionamiento]]="","",MARÍTIMOS[[#This Row],[Fecha de Carga]]+MARÍTIMOS[[#This Row],[Hora de Posicionamiento]]),"")</f>
        <v/>
      </c>
      <c r="Z930" s="11" t="str">
        <f>IFERROR(IF(MARÍTIMOS[[#This Row],[Etapa Despacho - Llegada]]="","",MARÍTIMOS[[#This Row],[Etapa Despacho - Llegada]]),"")</f>
        <v/>
      </c>
      <c r="AA930" s="11" t="str">
        <f>IFERROR(IF(MARÍTIMOS[[#This Row],[Etapa Despacho - Registro]]="","",MARÍTIMOS[[#This Row],[Etapa Despacho - Registro]]),"")</f>
        <v/>
      </c>
      <c r="AB930" s="11" t="str">
        <f>IFERROR(IF(MARÍTIMOS[[#This Row],[Inspección Externa]]="","",MARÍTIMOS[[#This Row],[Inspección Externa]]),"")</f>
        <v/>
      </c>
      <c r="AC930" s="11" t="str">
        <f>IFERROR(IF(MARÍTIMOS[[#This Row],[Etapa Despacho - Inicio de Carga]]="","",MARÍTIMOS[[#This Row],[Etapa Despacho - Inicio de Carga]]),"")</f>
        <v/>
      </c>
      <c r="AD930" s="11" t="str">
        <f>IFERROR(IF(MARÍTIMOS[[#This Row],[Etapa Despacho - Mitad de Carga]]="","",MARÍTIMOS[[#This Row],[Etapa Despacho - Mitad de Carga]]),"")</f>
        <v/>
      </c>
      <c r="AE930" s="11" t="str">
        <f>IFERROR(IF(MARÍTIMOS[[#This Row],[Etapa Despacho - Fin de Carga]]="","",MARÍTIMOS[[#This Row],[Etapa Despacho - Fin de Carga]]),"")</f>
        <v/>
      </c>
      <c r="AF930" s="2" t="str">
        <f>IFERROR(IF(MARÍTIMOS[[#This Row],[Puerto de Embarque]]="","",MARÍTIMOS[[#This Row],[Puerto de Embarque]]),"")</f>
        <v/>
      </c>
      <c r="AG930" s="2" t="str">
        <f>IFERROR(IF(MARÍTIMOS[[#This Row],[Almacén de Ingreso]]="","",MARÍTIMOS[[#This Row],[Almacén de Ingreso]]),"")</f>
        <v/>
      </c>
      <c r="AH930" s="11" t="str">
        <f>IFERROR(IF(MARÍTIMOS[[#This Row],[Etapa Ingreso - Cita]]="","",MARÍTIMOS[[#This Row],[Etapa Ingreso - Cita]]),"")</f>
        <v/>
      </c>
      <c r="AI930" s="11" t="str">
        <f>IFERROR(IF(MARÍTIMOS[[#This Row],[Etapa Ingreso - Llegada]]="","",MARÍTIMOS[[#This Row],[Etapa Ingreso - Llegada]]),"")</f>
        <v/>
      </c>
      <c r="AJ930" s="11" t="str">
        <f>IFERROR(IF(MARÍTIMOS[[#This Row],[Etapa Ingreso - Ingeso]]="","",MARÍTIMOS[[#This Row],[Etapa Ingreso - Ingeso]]),"")</f>
        <v/>
      </c>
      <c r="AK930" s="11" t="str">
        <f>IFERROR(IF(MARÍTIMOS[[#This Row],[Etapa Ingreso - Atención]]="","",MARÍTIMOS[[#This Row],[Etapa Ingreso - Atención]]),"")</f>
        <v/>
      </c>
      <c r="AL930" s="11" t="str">
        <f>IFERROR(IF(MARÍTIMOS[[#This Row],[Etapa Ingreso - Salida]]="","",MARÍTIMOS[[#This Row],[Etapa Ingreso - Salida]]),"")</f>
        <v/>
      </c>
      <c r="AM930" s="2" t="str">
        <f>IFERROR(IF(MARÍTIMOS[[#This Row],[FCL]]="","",MARÍTIMOS[[#This Row],[FCL]]),"")</f>
        <v/>
      </c>
      <c r="AN9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0" s="4" t="str" cm="1">
        <f t="array" ref="AO9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0" s="5" t="str">
        <f>IFERROR(OLDBD[[#This Row],[Llegada a packing]]-OLDBD[[#This Row],[Inicio de Ruta]],"")</f>
        <v/>
      </c>
      <c r="AQ930" s="6" t="str">
        <f>IFERROR(OLDBD[[#This Row],[Inicio de Ruta]]-OLDBD[[#This Row],[Salida de almacén de retiro]],"")</f>
        <v/>
      </c>
      <c r="AR9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0" s="8" t="str" cm="1">
        <f t="array" ref="AS9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0" s="9" t="str">
        <f>IFERROR(OLDBD[[#This Row],[Ingreso Packing]]-OLDBD[[#This Row],[Registro en Packing]],"")</f>
        <v/>
      </c>
      <c r="AV930" s="9" t="str">
        <f>IFERROR(OLDBD[[#This Row],[Ingreso Packing]]-OLDBD[[#This Row],[Llegada a packing]],"")</f>
        <v/>
      </c>
      <c r="AW9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0" s="5" t="str">
        <f>IFERROR(OLDBD[[#This Row],[Llegada Almacén de Ingreso]]-OLDBD[[#This Row],[Salida Packing]],"")</f>
        <v/>
      </c>
      <c r="AY930" s="4" t="str" cm="1">
        <f t="array" ref="AY9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0" s="43" t="s">
        <v>173</v>
      </c>
      <c r="BB930" s="47" t="str">
        <f>IFERROR(IF(MARÍTIMOS[[#This Row],[Estatus]]="","",MARÍTIMOS[[#This Row],[Estatus]]),"")</f>
        <v/>
      </c>
      <c r="BC930" s="43"/>
      <c r="BD930" s="46" t="str">
        <f>IFERROR(OLDBD[[#This Row],[Salida de almacén de retiro]]-OLDBD[[#This Row],[Ingreso Almacén de retiro]],"")</f>
        <v/>
      </c>
      <c r="BE930" s="46" t="str">
        <f>IFERROR(OLDBD[[#This Row],[Fin de Carga]]-OLDBD[[#This Row],[Inicio de Carga]],"")</f>
        <v/>
      </c>
    </row>
    <row r="931" spans="1:57" customFormat="1" hidden="1">
      <c r="A931" s="1"/>
      <c r="B931" s="1" t="str">
        <f>IFERROR(IF(MARÍTIMOS[[#This Row],[PP]]="","",MARÍTIMOS[[#This Row],[PP]]),"")</f>
        <v/>
      </c>
      <c r="C931" s="1" t="str">
        <f>IFERROR(IF(MARÍTIMOS[[#This Row],[Sede]]="","",MARÍTIMOS[[#This Row],[Sede]]),"")</f>
        <v/>
      </c>
      <c r="D931" s="1" t="str">
        <f>IFERROR(IF(MARÍTIMOS[[#This Row],[Instruction]]="","",MARÍTIMOS[[#This Row],[Instruction]]),"")</f>
        <v/>
      </c>
      <c r="E931" s="1"/>
      <c r="F931" s="2" t="str">
        <f>IFERROR(IF(MARÍTIMOS[[#This Row],[Transportista]]="","",MARÍTIMOS[[#This Row],[Transportista]]),"")</f>
        <v/>
      </c>
      <c r="G931" s="2" t="str">
        <f>IFERROR(IF(MARÍTIMOS[[#This Row],[Tercero]]="","",MARÍTIMOS[[#This Row],[Tercero]]),"")</f>
        <v/>
      </c>
      <c r="H931" s="2" t="str">
        <f>IFERROR(IF(MARÍTIMOS[[#This Row],[Razón Social]]="","",MARÍTIMOS[[#This Row],[Razón Social]]),"")</f>
        <v/>
      </c>
      <c r="I931" s="2" t="str">
        <f>IFERROR(IF(MARÍTIMOS[[#This Row],[RUC]]="","",MARÍTIMOS[[#This Row],[RUC]]),"")</f>
        <v/>
      </c>
      <c r="J931" s="2" t="str">
        <f>IFERROR(IF(MARÍTIMOS[[#This Row],[Placa Tracto]]="","",MARÍTIMOS[[#This Row],[Placa Tracto]]),"")</f>
        <v/>
      </c>
      <c r="K931" s="2" t="str">
        <f>IFERROR(IF(MARÍTIMOS[[#This Row],[Placa Carreta]]="","",MARÍTIMOS[[#This Row],[Placa Carreta]]),"")</f>
        <v/>
      </c>
      <c r="L931" s="44" t="str">
        <f>IFERROR(IF(MARÍTIMOS[[#This Row],[Conductor]]="","",MARÍTIMOS[[#This Row],[Conductor]]),"")</f>
        <v/>
      </c>
      <c r="M931" s="2" t="str">
        <f>IFERROR(IF(MARÍTIMOS[[#This Row],[Licencia]]="","",MARÍTIMOS[[#This Row],[Licencia]]),"")</f>
        <v/>
      </c>
      <c r="N931" s="2" t="str">
        <f>IFERROR(IF(MARÍTIMOS[[#This Row],[Número de Contacto]]="","",MARÍTIMOS[[#This Row],[Número de Contacto]]),"")</f>
        <v/>
      </c>
      <c r="O931" s="10" t="str">
        <f>IFERROR(IF(MARÍTIMOS[[#This Row],[Booking|AWB|CRT]]="","",MARÍTIMOS[[#This Row],[Booking|AWB|CRT]]),"")</f>
        <v/>
      </c>
      <c r="P931" s="2" t="str">
        <f>IFERROR(IF(MARÍTIMOS[[#This Row],[Contenedor]]="","",MARÍTIMOS[[#This Row],[Contenedor]]),"")</f>
        <v/>
      </c>
      <c r="Q931" s="2" t="str">
        <f>IFERROR(IF(MARÍTIMOS[[#This Row],[Puerto de Retiro]]="","",MARÍTIMOS[[#This Row],[Puerto de Retiro]]),"")</f>
        <v/>
      </c>
      <c r="R931" s="2" t="str">
        <f>IFERROR(IF(MARÍTIMOS[[#This Row],[Almacén de Retiro]]="","",MARÍTIMOS[[#This Row],[Almacén de Retiro]]),"")</f>
        <v/>
      </c>
      <c r="S931" s="11" t="str">
        <f>IFERROR(IF(MARÍTIMOS[[#This Row],[Etapa Retiro - Cita]]="","",MARÍTIMOS[[#This Row],[Etapa Retiro - Cita]]),"")</f>
        <v/>
      </c>
      <c r="T931" s="11" t="str">
        <f>IFERROR(IF(MARÍTIMOS[[#This Row],[Etapa Retiro - Llegada]]="","",MARÍTIMOS[[#This Row],[Etapa Retiro - Llegada]]),"")</f>
        <v/>
      </c>
      <c r="U931" s="11" t="str">
        <f>IFERROR(IF(MARÍTIMOS[[#This Row],[Etapa Retiro - Ingreso]]="","",MARÍTIMOS[[#This Row],[Etapa Retiro - Ingreso]]),"")</f>
        <v/>
      </c>
      <c r="V931" s="11" t="str">
        <f>IFERROR(IF(MARÍTIMOS[[#This Row],[Etapa Retiro - Atención]]="","",MARÍTIMOS[[#This Row],[Etapa Retiro - Atención]]),"")</f>
        <v/>
      </c>
      <c r="W931" s="11" t="str">
        <f>IFERROR(IF(MARÍTIMOS[[#This Row],[Etapa Retiro - Atención]]="","",MARÍTIMOS[[#This Row],[Etapa Retiro - Atención]]),"")</f>
        <v/>
      </c>
      <c r="X931" s="11" t="str">
        <f>IFERROR(IF(MARÍTIMOS[[#This Row],[Etapa Retiro - Inicio de Ruta]]="","",MARÍTIMOS[[#This Row],[Etapa Retiro - Inicio de Ruta]]),"")</f>
        <v/>
      </c>
      <c r="Y931" s="11" t="str">
        <f>IFERROR(IF(MARÍTIMOS[[#This Row],[Hora de Posicionamiento]]="","",MARÍTIMOS[[#This Row],[Fecha de Carga]]+MARÍTIMOS[[#This Row],[Hora de Posicionamiento]]),"")</f>
        <v/>
      </c>
      <c r="Z931" s="11" t="str">
        <f>IFERROR(IF(MARÍTIMOS[[#This Row],[Etapa Despacho - Llegada]]="","",MARÍTIMOS[[#This Row],[Etapa Despacho - Llegada]]),"")</f>
        <v/>
      </c>
      <c r="AA931" s="11" t="str">
        <f>IFERROR(IF(MARÍTIMOS[[#This Row],[Etapa Despacho - Registro]]="","",MARÍTIMOS[[#This Row],[Etapa Despacho - Registro]]),"")</f>
        <v/>
      </c>
      <c r="AB931" s="11" t="str">
        <f>IFERROR(IF(MARÍTIMOS[[#This Row],[Inspección Externa]]="","",MARÍTIMOS[[#This Row],[Inspección Externa]]),"")</f>
        <v/>
      </c>
      <c r="AC931" s="11" t="str">
        <f>IFERROR(IF(MARÍTIMOS[[#This Row],[Etapa Despacho - Inicio de Carga]]="","",MARÍTIMOS[[#This Row],[Etapa Despacho - Inicio de Carga]]),"")</f>
        <v/>
      </c>
      <c r="AD931" s="11" t="str">
        <f>IFERROR(IF(MARÍTIMOS[[#This Row],[Etapa Despacho - Mitad de Carga]]="","",MARÍTIMOS[[#This Row],[Etapa Despacho - Mitad de Carga]]),"")</f>
        <v/>
      </c>
      <c r="AE931" s="11" t="str">
        <f>IFERROR(IF(MARÍTIMOS[[#This Row],[Etapa Despacho - Fin de Carga]]="","",MARÍTIMOS[[#This Row],[Etapa Despacho - Fin de Carga]]),"")</f>
        <v/>
      </c>
      <c r="AF931" s="2" t="str">
        <f>IFERROR(IF(MARÍTIMOS[[#This Row],[Puerto de Embarque]]="","",MARÍTIMOS[[#This Row],[Puerto de Embarque]]),"")</f>
        <v/>
      </c>
      <c r="AG931" s="2" t="str">
        <f>IFERROR(IF(MARÍTIMOS[[#This Row],[Almacén de Ingreso]]="","",MARÍTIMOS[[#This Row],[Almacén de Ingreso]]),"")</f>
        <v/>
      </c>
      <c r="AH931" s="11" t="str">
        <f>IFERROR(IF(MARÍTIMOS[[#This Row],[Etapa Ingreso - Cita]]="","",MARÍTIMOS[[#This Row],[Etapa Ingreso - Cita]]),"")</f>
        <v/>
      </c>
      <c r="AI931" s="11" t="str">
        <f>IFERROR(IF(MARÍTIMOS[[#This Row],[Etapa Ingreso - Llegada]]="","",MARÍTIMOS[[#This Row],[Etapa Ingreso - Llegada]]),"")</f>
        <v/>
      </c>
      <c r="AJ931" s="11" t="str">
        <f>IFERROR(IF(MARÍTIMOS[[#This Row],[Etapa Ingreso - Ingeso]]="","",MARÍTIMOS[[#This Row],[Etapa Ingreso - Ingeso]]),"")</f>
        <v/>
      </c>
      <c r="AK931" s="11" t="str">
        <f>IFERROR(IF(MARÍTIMOS[[#This Row],[Etapa Ingreso - Atención]]="","",MARÍTIMOS[[#This Row],[Etapa Ingreso - Atención]]),"")</f>
        <v/>
      </c>
      <c r="AL931" s="11" t="str">
        <f>IFERROR(IF(MARÍTIMOS[[#This Row],[Etapa Ingreso - Salida]]="","",MARÍTIMOS[[#This Row],[Etapa Ingreso - Salida]]),"")</f>
        <v/>
      </c>
      <c r="AM931" s="2" t="str">
        <f>IFERROR(IF(MARÍTIMOS[[#This Row],[FCL]]="","",MARÍTIMOS[[#This Row],[FCL]]),"")</f>
        <v/>
      </c>
      <c r="AN9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1" s="4" t="str" cm="1">
        <f t="array" ref="AO9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1" s="5" t="str">
        <f>IFERROR(OLDBD[[#This Row],[Llegada a packing]]-OLDBD[[#This Row],[Inicio de Ruta]],"")</f>
        <v/>
      </c>
      <c r="AQ931" s="6" t="str">
        <f>IFERROR(OLDBD[[#This Row],[Inicio de Ruta]]-OLDBD[[#This Row],[Salida de almacén de retiro]],"")</f>
        <v/>
      </c>
      <c r="AR9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1" s="8" t="str" cm="1">
        <f t="array" ref="AS9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1" s="9" t="str">
        <f>IFERROR(OLDBD[[#This Row],[Ingreso Packing]]-OLDBD[[#This Row],[Registro en Packing]],"")</f>
        <v/>
      </c>
      <c r="AV931" s="9" t="str">
        <f>IFERROR(OLDBD[[#This Row],[Ingreso Packing]]-OLDBD[[#This Row],[Llegada a packing]],"")</f>
        <v/>
      </c>
      <c r="AW9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1" s="5" t="str">
        <f>IFERROR(OLDBD[[#This Row],[Llegada Almacén de Ingreso]]-OLDBD[[#This Row],[Salida Packing]],"")</f>
        <v/>
      </c>
      <c r="AY931" s="4" t="str" cm="1">
        <f t="array" ref="AY9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1" s="43" t="s">
        <v>173</v>
      </c>
      <c r="BB931" s="47" t="str">
        <f>IFERROR(IF(MARÍTIMOS[[#This Row],[Estatus]]="","",MARÍTIMOS[[#This Row],[Estatus]]),"")</f>
        <v/>
      </c>
      <c r="BC931" s="43"/>
      <c r="BD931" s="46" t="str">
        <f>IFERROR(OLDBD[[#This Row],[Salida de almacén de retiro]]-OLDBD[[#This Row],[Ingreso Almacén de retiro]],"")</f>
        <v/>
      </c>
      <c r="BE931" s="46" t="str">
        <f>IFERROR(OLDBD[[#This Row],[Fin de Carga]]-OLDBD[[#This Row],[Inicio de Carga]],"")</f>
        <v/>
      </c>
    </row>
    <row r="932" spans="1:57" customFormat="1" hidden="1">
      <c r="A932" s="1"/>
      <c r="B932" s="1" t="str">
        <f>IFERROR(IF(MARÍTIMOS[[#This Row],[PP]]="","",MARÍTIMOS[[#This Row],[PP]]),"")</f>
        <v/>
      </c>
      <c r="C932" s="1" t="str">
        <f>IFERROR(IF(MARÍTIMOS[[#This Row],[Sede]]="","",MARÍTIMOS[[#This Row],[Sede]]),"")</f>
        <v/>
      </c>
      <c r="D932" s="1" t="str">
        <f>IFERROR(IF(MARÍTIMOS[[#This Row],[Instruction]]="","",MARÍTIMOS[[#This Row],[Instruction]]),"")</f>
        <v/>
      </c>
      <c r="E932" s="1"/>
      <c r="F932" s="2" t="str">
        <f>IFERROR(IF(MARÍTIMOS[[#This Row],[Transportista]]="","",MARÍTIMOS[[#This Row],[Transportista]]),"")</f>
        <v/>
      </c>
      <c r="G932" s="2" t="str">
        <f>IFERROR(IF(MARÍTIMOS[[#This Row],[Tercero]]="","",MARÍTIMOS[[#This Row],[Tercero]]),"")</f>
        <v/>
      </c>
      <c r="H932" s="2" t="str">
        <f>IFERROR(IF(MARÍTIMOS[[#This Row],[Razón Social]]="","",MARÍTIMOS[[#This Row],[Razón Social]]),"")</f>
        <v/>
      </c>
      <c r="I932" s="2" t="str">
        <f>IFERROR(IF(MARÍTIMOS[[#This Row],[RUC]]="","",MARÍTIMOS[[#This Row],[RUC]]),"")</f>
        <v/>
      </c>
      <c r="J932" s="2" t="str">
        <f>IFERROR(IF(MARÍTIMOS[[#This Row],[Placa Tracto]]="","",MARÍTIMOS[[#This Row],[Placa Tracto]]),"")</f>
        <v/>
      </c>
      <c r="K932" s="2" t="str">
        <f>IFERROR(IF(MARÍTIMOS[[#This Row],[Placa Carreta]]="","",MARÍTIMOS[[#This Row],[Placa Carreta]]),"")</f>
        <v/>
      </c>
      <c r="L932" s="44" t="str">
        <f>IFERROR(IF(MARÍTIMOS[[#This Row],[Conductor]]="","",MARÍTIMOS[[#This Row],[Conductor]]),"")</f>
        <v/>
      </c>
      <c r="M932" s="2" t="str">
        <f>IFERROR(IF(MARÍTIMOS[[#This Row],[Licencia]]="","",MARÍTIMOS[[#This Row],[Licencia]]),"")</f>
        <v/>
      </c>
      <c r="N932" s="2" t="str">
        <f>IFERROR(IF(MARÍTIMOS[[#This Row],[Número de Contacto]]="","",MARÍTIMOS[[#This Row],[Número de Contacto]]),"")</f>
        <v/>
      </c>
      <c r="O932" s="10" t="str">
        <f>IFERROR(IF(MARÍTIMOS[[#This Row],[Booking|AWB|CRT]]="","",MARÍTIMOS[[#This Row],[Booking|AWB|CRT]]),"")</f>
        <v/>
      </c>
      <c r="P932" s="2" t="str">
        <f>IFERROR(IF(MARÍTIMOS[[#This Row],[Contenedor]]="","",MARÍTIMOS[[#This Row],[Contenedor]]),"")</f>
        <v/>
      </c>
      <c r="Q932" s="2" t="str">
        <f>IFERROR(IF(MARÍTIMOS[[#This Row],[Puerto de Retiro]]="","",MARÍTIMOS[[#This Row],[Puerto de Retiro]]),"")</f>
        <v/>
      </c>
      <c r="R932" s="2" t="str">
        <f>IFERROR(IF(MARÍTIMOS[[#This Row],[Almacén de Retiro]]="","",MARÍTIMOS[[#This Row],[Almacén de Retiro]]),"")</f>
        <v/>
      </c>
      <c r="S932" s="11" t="str">
        <f>IFERROR(IF(MARÍTIMOS[[#This Row],[Etapa Retiro - Cita]]="","",MARÍTIMOS[[#This Row],[Etapa Retiro - Cita]]),"")</f>
        <v/>
      </c>
      <c r="T932" s="11" t="str">
        <f>IFERROR(IF(MARÍTIMOS[[#This Row],[Etapa Retiro - Llegada]]="","",MARÍTIMOS[[#This Row],[Etapa Retiro - Llegada]]),"")</f>
        <v/>
      </c>
      <c r="U932" s="11" t="str">
        <f>IFERROR(IF(MARÍTIMOS[[#This Row],[Etapa Retiro - Ingreso]]="","",MARÍTIMOS[[#This Row],[Etapa Retiro - Ingreso]]),"")</f>
        <v/>
      </c>
      <c r="V932" s="11" t="str">
        <f>IFERROR(IF(MARÍTIMOS[[#This Row],[Etapa Retiro - Atención]]="","",MARÍTIMOS[[#This Row],[Etapa Retiro - Atención]]),"")</f>
        <v/>
      </c>
      <c r="W932" s="11" t="str">
        <f>IFERROR(IF(MARÍTIMOS[[#This Row],[Etapa Retiro - Atención]]="","",MARÍTIMOS[[#This Row],[Etapa Retiro - Atención]]),"")</f>
        <v/>
      </c>
      <c r="X932" s="11" t="str">
        <f>IFERROR(IF(MARÍTIMOS[[#This Row],[Etapa Retiro - Inicio de Ruta]]="","",MARÍTIMOS[[#This Row],[Etapa Retiro - Inicio de Ruta]]),"")</f>
        <v/>
      </c>
      <c r="Y932" s="11" t="str">
        <f>IFERROR(IF(MARÍTIMOS[[#This Row],[Hora de Posicionamiento]]="","",MARÍTIMOS[[#This Row],[Fecha de Carga]]+MARÍTIMOS[[#This Row],[Hora de Posicionamiento]]),"")</f>
        <v/>
      </c>
      <c r="Z932" s="11" t="str">
        <f>IFERROR(IF(MARÍTIMOS[[#This Row],[Etapa Despacho - Llegada]]="","",MARÍTIMOS[[#This Row],[Etapa Despacho - Llegada]]),"")</f>
        <v/>
      </c>
      <c r="AA932" s="11" t="str">
        <f>IFERROR(IF(MARÍTIMOS[[#This Row],[Etapa Despacho - Registro]]="","",MARÍTIMOS[[#This Row],[Etapa Despacho - Registro]]),"")</f>
        <v/>
      </c>
      <c r="AB932" s="11" t="str">
        <f>IFERROR(IF(MARÍTIMOS[[#This Row],[Inspección Externa]]="","",MARÍTIMOS[[#This Row],[Inspección Externa]]),"")</f>
        <v/>
      </c>
      <c r="AC932" s="11" t="str">
        <f>IFERROR(IF(MARÍTIMOS[[#This Row],[Etapa Despacho - Inicio de Carga]]="","",MARÍTIMOS[[#This Row],[Etapa Despacho - Inicio de Carga]]),"")</f>
        <v/>
      </c>
      <c r="AD932" s="11" t="str">
        <f>IFERROR(IF(MARÍTIMOS[[#This Row],[Etapa Despacho - Mitad de Carga]]="","",MARÍTIMOS[[#This Row],[Etapa Despacho - Mitad de Carga]]),"")</f>
        <v/>
      </c>
      <c r="AE932" s="11" t="str">
        <f>IFERROR(IF(MARÍTIMOS[[#This Row],[Etapa Despacho - Fin de Carga]]="","",MARÍTIMOS[[#This Row],[Etapa Despacho - Fin de Carga]]),"")</f>
        <v/>
      </c>
      <c r="AF932" s="2" t="str">
        <f>IFERROR(IF(MARÍTIMOS[[#This Row],[Puerto de Embarque]]="","",MARÍTIMOS[[#This Row],[Puerto de Embarque]]),"")</f>
        <v/>
      </c>
      <c r="AG932" s="2" t="str">
        <f>IFERROR(IF(MARÍTIMOS[[#This Row],[Almacén de Ingreso]]="","",MARÍTIMOS[[#This Row],[Almacén de Ingreso]]),"")</f>
        <v/>
      </c>
      <c r="AH932" s="11" t="str">
        <f>IFERROR(IF(MARÍTIMOS[[#This Row],[Etapa Ingreso - Cita]]="","",MARÍTIMOS[[#This Row],[Etapa Ingreso - Cita]]),"")</f>
        <v/>
      </c>
      <c r="AI932" s="11" t="str">
        <f>IFERROR(IF(MARÍTIMOS[[#This Row],[Etapa Ingreso - Llegada]]="","",MARÍTIMOS[[#This Row],[Etapa Ingreso - Llegada]]),"")</f>
        <v/>
      </c>
      <c r="AJ932" s="11" t="str">
        <f>IFERROR(IF(MARÍTIMOS[[#This Row],[Etapa Ingreso - Ingeso]]="","",MARÍTIMOS[[#This Row],[Etapa Ingreso - Ingeso]]),"")</f>
        <v/>
      </c>
      <c r="AK932" s="11" t="str">
        <f>IFERROR(IF(MARÍTIMOS[[#This Row],[Etapa Ingreso - Atención]]="","",MARÍTIMOS[[#This Row],[Etapa Ingreso - Atención]]),"")</f>
        <v/>
      </c>
      <c r="AL932" s="11" t="str">
        <f>IFERROR(IF(MARÍTIMOS[[#This Row],[Etapa Ingreso - Salida]]="","",MARÍTIMOS[[#This Row],[Etapa Ingreso - Salida]]),"")</f>
        <v/>
      </c>
      <c r="AM932" s="2" t="str">
        <f>IFERROR(IF(MARÍTIMOS[[#This Row],[FCL]]="","",MARÍTIMOS[[#This Row],[FCL]]),"")</f>
        <v/>
      </c>
      <c r="AN9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2" s="4" t="str" cm="1">
        <f t="array" ref="AO9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2" s="5" t="str">
        <f>IFERROR(OLDBD[[#This Row],[Llegada a packing]]-OLDBD[[#This Row],[Inicio de Ruta]],"")</f>
        <v/>
      </c>
      <c r="AQ932" s="6" t="str">
        <f>IFERROR(OLDBD[[#This Row],[Inicio de Ruta]]-OLDBD[[#This Row],[Salida de almacén de retiro]],"")</f>
        <v/>
      </c>
      <c r="AR9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2" s="8" t="str" cm="1">
        <f t="array" ref="AS9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2" s="9" t="str">
        <f>IFERROR(OLDBD[[#This Row],[Ingreso Packing]]-OLDBD[[#This Row],[Registro en Packing]],"")</f>
        <v/>
      </c>
      <c r="AV932" s="9" t="str">
        <f>IFERROR(OLDBD[[#This Row],[Ingreso Packing]]-OLDBD[[#This Row],[Llegada a packing]],"")</f>
        <v/>
      </c>
      <c r="AW9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2" s="5" t="str">
        <f>IFERROR(OLDBD[[#This Row],[Llegada Almacén de Ingreso]]-OLDBD[[#This Row],[Salida Packing]],"")</f>
        <v/>
      </c>
      <c r="AY932" s="4" t="str" cm="1">
        <f t="array" ref="AY9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2" s="43" t="s">
        <v>173</v>
      </c>
      <c r="BB932" s="47" t="str">
        <f>IFERROR(IF(MARÍTIMOS[[#This Row],[Estatus]]="","",MARÍTIMOS[[#This Row],[Estatus]]),"")</f>
        <v/>
      </c>
      <c r="BC932" s="43"/>
      <c r="BD932" s="46" t="str">
        <f>IFERROR(OLDBD[[#This Row],[Salida de almacén de retiro]]-OLDBD[[#This Row],[Ingreso Almacén de retiro]],"")</f>
        <v/>
      </c>
      <c r="BE932" s="46" t="str">
        <f>IFERROR(OLDBD[[#This Row],[Fin de Carga]]-OLDBD[[#This Row],[Inicio de Carga]],"")</f>
        <v/>
      </c>
    </row>
    <row r="933" spans="1:57" customFormat="1" hidden="1">
      <c r="A933" s="1"/>
      <c r="B933" s="1" t="str">
        <f>IFERROR(IF(MARÍTIMOS[[#This Row],[PP]]="","",MARÍTIMOS[[#This Row],[PP]]),"")</f>
        <v/>
      </c>
      <c r="C933" s="1" t="str">
        <f>IFERROR(IF(MARÍTIMOS[[#This Row],[Sede]]="","",MARÍTIMOS[[#This Row],[Sede]]),"")</f>
        <v/>
      </c>
      <c r="D933" s="1" t="str">
        <f>IFERROR(IF(MARÍTIMOS[[#This Row],[Instruction]]="","",MARÍTIMOS[[#This Row],[Instruction]]),"")</f>
        <v/>
      </c>
      <c r="E933" s="1"/>
      <c r="F933" s="2" t="str">
        <f>IFERROR(IF(MARÍTIMOS[[#This Row],[Transportista]]="","",MARÍTIMOS[[#This Row],[Transportista]]),"")</f>
        <v/>
      </c>
      <c r="G933" s="2" t="str">
        <f>IFERROR(IF(MARÍTIMOS[[#This Row],[Tercero]]="","",MARÍTIMOS[[#This Row],[Tercero]]),"")</f>
        <v/>
      </c>
      <c r="H933" s="2" t="str">
        <f>IFERROR(IF(MARÍTIMOS[[#This Row],[Razón Social]]="","",MARÍTIMOS[[#This Row],[Razón Social]]),"")</f>
        <v/>
      </c>
      <c r="I933" s="2" t="str">
        <f>IFERROR(IF(MARÍTIMOS[[#This Row],[RUC]]="","",MARÍTIMOS[[#This Row],[RUC]]),"")</f>
        <v/>
      </c>
      <c r="J933" s="2" t="str">
        <f>IFERROR(IF(MARÍTIMOS[[#This Row],[Placa Tracto]]="","",MARÍTIMOS[[#This Row],[Placa Tracto]]),"")</f>
        <v/>
      </c>
      <c r="K933" s="2" t="str">
        <f>IFERROR(IF(MARÍTIMOS[[#This Row],[Placa Carreta]]="","",MARÍTIMOS[[#This Row],[Placa Carreta]]),"")</f>
        <v/>
      </c>
      <c r="L933" s="44" t="str">
        <f>IFERROR(IF(MARÍTIMOS[[#This Row],[Conductor]]="","",MARÍTIMOS[[#This Row],[Conductor]]),"")</f>
        <v/>
      </c>
      <c r="M933" s="2" t="str">
        <f>IFERROR(IF(MARÍTIMOS[[#This Row],[Licencia]]="","",MARÍTIMOS[[#This Row],[Licencia]]),"")</f>
        <v/>
      </c>
      <c r="N933" s="2" t="str">
        <f>IFERROR(IF(MARÍTIMOS[[#This Row],[Número de Contacto]]="","",MARÍTIMOS[[#This Row],[Número de Contacto]]),"")</f>
        <v/>
      </c>
      <c r="O933" s="10" t="str">
        <f>IFERROR(IF(MARÍTIMOS[[#This Row],[Booking|AWB|CRT]]="","",MARÍTIMOS[[#This Row],[Booking|AWB|CRT]]),"")</f>
        <v/>
      </c>
      <c r="P933" s="2" t="str">
        <f>IFERROR(IF(MARÍTIMOS[[#This Row],[Contenedor]]="","",MARÍTIMOS[[#This Row],[Contenedor]]),"")</f>
        <v/>
      </c>
      <c r="Q933" s="2" t="str">
        <f>IFERROR(IF(MARÍTIMOS[[#This Row],[Puerto de Retiro]]="","",MARÍTIMOS[[#This Row],[Puerto de Retiro]]),"")</f>
        <v/>
      </c>
      <c r="R933" s="2" t="str">
        <f>IFERROR(IF(MARÍTIMOS[[#This Row],[Almacén de Retiro]]="","",MARÍTIMOS[[#This Row],[Almacén de Retiro]]),"")</f>
        <v/>
      </c>
      <c r="S933" s="11" t="str">
        <f>IFERROR(IF(MARÍTIMOS[[#This Row],[Etapa Retiro - Cita]]="","",MARÍTIMOS[[#This Row],[Etapa Retiro - Cita]]),"")</f>
        <v/>
      </c>
      <c r="T933" s="11" t="str">
        <f>IFERROR(IF(MARÍTIMOS[[#This Row],[Etapa Retiro - Llegada]]="","",MARÍTIMOS[[#This Row],[Etapa Retiro - Llegada]]),"")</f>
        <v/>
      </c>
      <c r="U933" s="11" t="str">
        <f>IFERROR(IF(MARÍTIMOS[[#This Row],[Etapa Retiro - Ingreso]]="","",MARÍTIMOS[[#This Row],[Etapa Retiro - Ingreso]]),"")</f>
        <v/>
      </c>
      <c r="V933" s="11" t="str">
        <f>IFERROR(IF(MARÍTIMOS[[#This Row],[Etapa Retiro - Atención]]="","",MARÍTIMOS[[#This Row],[Etapa Retiro - Atención]]),"")</f>
        <v/>
      </c>
      <c r="W933" s="11" t="str">
        <f>IFERROR(IF(MARÍTIMOS[[#This Row],[Etapa Retiro - Atención]]="","",MARÍTIMOS[[#This Row],[Etapa Retiro - Atención]]),"")</f>
        <v/>
      </c>
      <c r="X933" s="11" t="str">
        <f>IFERROR(IF(MARÍTIMOS[[#This Row],[Etapa Retiro - Inicio de Ruta]]="","",MARÍTIMOS[[#This Row],[Etapa Retiro - Inicio de Ruta]]),"")</f>
        <v/>
      </c>
      <c r="Y933" s="11" t="str">
        <f>IFERROR(IF(MARÍTIMOS[[#This Row],[Hora de Posicionamiento]]="","",MARÍTIMOS[[#This Row],[Fecha de Carga]]+MARÍTIMOS[[#This Row],[Hora de Posicionamiento]]),"")</f>
        <v/>
      </c>
      <c r="Z933" s="11" t="str">
        <f>IFERROR(IF(MARÍTIMOS[[#This Row],[Etapa Despacho - Llegada]]="","",MARÍTIMOS[[#This Row],[Etapa Despacho - Llegada]]),"")</f>
        <v/>
      </c>
      <c r="AA933" s="11" t="str">
        <f>IFERROR(IF(MARÍTIMOS[[#This Row],[Etapa Despacho - Registro]]="","",MARÍTIMOS[[#This Row],[Etapa Despacho - Registro]]),"")</f>
        <v/>
      </c>
      <c r="AB933" s="11" t="str">
        <f>IFERROR(IF(MARÍTIMOS[[#This Row],[Inspección Externa]]="","",MARÍTIMOS[[#This Row],[Inspección Externa]]),"")</f>
        <v/>
      </c>
      <c r="AC933" s="11" t="str">
        <f>IFERROR(IF(MARÍTIMOS[[#This Row],[Etapa Despacho - Inicio de Carga]]="","",MARÍTIMOS[[#This Row],[Etapa Despacho - Inicio de Carga]]),"")</f>
        <v/>
      </c>
      <c r="AD933" s="11" t="str">
        <f>IFERROR(IF(MARÍTIMOS[[#This Row],[Etapa Despacho - Mitad de Carga]]="","",MARÍTIMOS[[#This Row],[Etapa Despacho - Mitad de Carga]]),"")</f>
        <v/>
      </c>
      <c r="AE933" s="11" t="str">
        <f>IFERROR(IF(MARÍTIMOS[[#This Row],[Etapa Despacho - Fin de Carga]]="","",MARÍTIMOS[[#This Row],[Etapa Despacho - Fin de Carga]]),"")</f>
        <v/>
      </c>
      <c r="AF933" s="2" t="str">
        <f>IFERROR(IF(MARÍTIMOS[[#This Row],[Puerto de Embarque]]="","",MARÍTIMOS[[#This Row],[Puerto de Embarque]]),"")</f>
        <v/>
      </c>
      <c r="AG933" s="2" t="str">
        <f>IFERROR(IF(MARÍTIMOS[[#This Row],[Almacén de Ingreso]]="","",MARÍTIMOS[[#This Row],[Almacén de Ingreso]]),"")</f>
        <v/>
      </c>
      <c r="AH933" s="11" t="str">
        <f>IFERROR(IF(MARÍTIMOS[[#This Row],[Etapa Ingreso - Cita]]="","",MARÍTIMOS[[#This Row],[Etapa Ingreso - Cita]]),"")</f>
        <v/>
      </c>
      <c r="AI933" s="11" t="str">
        <f>IFERROR(IF(MARÍTIMOS[[#This Row],[Etapa Ingreso - Llegada]]="","",MARÍTIMOS[[#This Row],[Etapa Ingreso - Llegada]]),"")</f>
        <v/>
      </c>
      <c r="AJ933" s="11" t="str">
        <f>IFERROR(IF(MARÍTIMOS[[#This Row],[Etapa Ingreso - Ingeso]]="","",MARÍTIMOS[[#This Row],[Etapa Ingreso - Ingeso]]),"")</f>
        <v/>
      </c>
      <c r="AK933" s="11" t="str">
        <f>IFERROR(IF(MARÍTIMOS[[#This Row],[Etapa Ingreso - Atención]]="","",MARÍTIMOS[[#This Row],[Etapa Ingreso - Atención]]),"")</f>
        <v/>
      </c>
      <c r="AL933" s="11" t="str">
        <f>IFERROR(IF(MARÍTIMOS[[#This Row],[Etapa Ingreso - Salida]]="","",MARÍTIMOS[[#This Row],[Etapa Ingreso - Salida]]),"")</f>
        <v/>
      </c>
      <c r="AM933" s="2" t="str">
        <f>IFERROR(IF(MARÍTIMOS[[#This Row],[FCL]]="","",MARÍTIMOS[[#This Row],[FCL]]),"")</f>
        <v/>
      </c>
      <c r="AN9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3" s="4" t="str" cm="1">
        <f t="array" ref="AO9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3" s="5" t="str">
        <f>IFERROR(OLDBD[[#This Row],[Llegada a packing]]-OLDBD[[#This Row],[Inicio de Ruta]],"")</f>
        <v/>
      </c>
      <c r="AQ933" s="6" t="str">
        <f>IFERROR(OLDBD[[#This Row],[Inicio de Ruta]]-OLDBD[[#This Row],[Salida de almacén de retiro]],"")</f>
        <v/>
      </c>
      <c r="AR9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3" s="8" t="str" cm="1">
        <f t="array" ref="AS9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3" s="9" t="str">
        <f>IFERROR(OLDBD[[#This Row],[Ingreso Packing]]-OLDBD[[#This Row],[Registro en Packing]],"")</f>
        <v/>
      </c>
      <c r="AV933" s="9" t="str">
        <f>IFERROR(OLDBD[[#This Row],[Ingreso Packing]]-OLDBD[[#This Row],[Llegada a packing]],"")</f>
        <v/>
      </c>
      <c r="AW9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3" s="5" t="str">
        <f>IFERROR(OLDBD[[#This Row],[Llegada Almacén de Ingreso]]-OLDBD[[#This Row],[Salida Packing]],"")</f>
        <v/>
      </c>
      <c r="AY933" s="4" t="str" cm="1">
        <f t="array" ref="AY9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3" s="43" t="s">
        <v>173</v>
      </c>
      <c r="BB933" s="47" t="str">
        <f>IFERROR(IF(MARÍTIMOS[[#This Row],[Estatus]]="","",MARÍTIMOS[[#This Row],[Estatus]]),"")</f>
        <v/>
      </c>
      <c r="BC933" s="43"/>
      <c r="BD933" s="46" t="str">
        <f>IFERROR(OLDBD[[#This Row],[Salida de almacén de retiro]]-OLDBD[[#This Row],[Ingreso Almacén de retiro]],"")</f>
        <v/>
      </c>
      <c r="BE933" s="46" t="str">
        <f>IFERROR(OLDBD[[#This Row],[Fin de Carga]]-OLDBD[[#This Row],[Inicio de Carga]],"")</f>
        <v/>
      </c>
    </row>
    <row r="934" spans="1:57" customFormat="1" hidden="1">
      <c r="A934" s="1"/>
      <c r="B934" s="1" t="str">
        <f>IFERROR(IF(MARÍTIMOS[[#This Row],[PP]]="","",MARÍTIMOS[[#This Row],[PP]]),"")</f>
        <v/>
      </c>
      <c r="C934" s="1" t="str">
        <f>IFERROR(IF(MARÍTIMOS[[#This Row],[Sede]]="","",MARÍTIMOS[[#This Row],[Sede]]),"")</f>
        <v/>
      </c>
      <c r="D934" s="1" t="str">
        <f>IFERROR(IF(MARÍTIMOS[[#This Row],[Instruction]]="","",MARÍTIMOS[[#This Row],[Instruction]]),"")</f>
        <v/>
      </c>
      <c r="E934" s="1"/>
      <c r="F934" s="2" t="str">
        <f>IFERROR(IF(MARÍTIMOS[[#This Row],[Transportista]]="","",MARÍTIMOS[[#This Row],[Transportista]]),"")</f>
        <v/>
      </c>
      <c r="G934" s="2" t="str">
        <f>IFERROR(IF(MARÍTIMOS[[#This Row],[Tercero]]="","",MARÍTIMOS[[#This Row],[Tercero]]),"")</f>
        <v/>
      </c>
      <c r="H934" s="2" t="str">
        <f>IFERROR(IF(MARÍTIMOS[[#This Row],[Razón Social]]="","",MARÍTIMOS[[#This Row],[Razón Social]]),"")</f>
        <v/>
      </c>
      <c r="I934" s="2" t="str">
        <f>IFERROR(IF(MARÍTIMOS[[#This Row],[RUC]]="","",MARÍTIMOS[[#This Row],[RUC]]),"")</f>
        <v/>
      </c>
      <c r="J934" s="2" t="str">
        <f>IFERROR(IF(MARÍTIMOS[[#This Row],[Placa Tracto]]="","",MARÍTIMOS[[#This Row],[Placa Tracto]]),"")</f>
        <v/>
      </c>
      <c r="K934" s="2" t="str">
        <f>IFERROR(IF(MARÍTIMOS[[#This Row],[Placa Carreta]]="","",MARÍTIMOS[[#This Row],[Placa Carreta]]),"")</f>
        <v/>
      </c>
      <c r="L934" s="44" t="str">
        <f>IFERROR(IF(MARÍTIMOS[[#This Row],[Conductor]]="","",MARÍTIMOS[[#This Row],[Conductor]]),"")</f>
        <v/>
      </c>
      <c r="M934" s="2" t="str">
        <f>IFERROR(IF(MARÍTIMOS[[#This Row],[Licencia]]="","",MARÍTIMOS[[#This Row],[Licencia]]),"")</f>
        <v/>
      </c>
      <c r="N934" s="2" t="str">
        <f>IFERROR(IF(MARÍTIMOS[[#This Row],[Número de Contacto]]="","",MARÍTIMOS[[#This Row],[Número de Contacto]]),"")</f>
        <v/>
      </c>
      <c r="O934" s="10" t="str">
        <f>IFERROR(IF(MARÍTIMOS[[#This Row],[Booking|AWB|CRT]]="","",MARÍTIMOS[[#This Row],[Booking|AWB|CRT]]),"")</f>
        <v/>
      </c>
      <c r="P934" s="2" t="str">
        <f>IFERROR(IF(MARÍTIMOS[[#This Row],[Contenedor]]="","",MARÍTIMOS[[#This Row],[Contenedor]]),"")</f>
        <v/>
      </c>
      <c r="Q934" s="2" t="str">
        <f>IFERROR(IF(MARÍTIMOS[[#This Row],[Puerto de Retiro]]="","",MARÍTIMOS[[#This Row],[Puerto de Retiro]]),"")</f>
        <v/>
      </c>
      <c r="R934" s="2" t="str">
        <f>IFERROR(IF(MARÍTIMOS[[#This Row],[Almacén de Retiro]]="","",MARÍTIMOS[[#This Row],[Almacén de Retiro]]),"")</f>
        <v/>
      </c>
      <c r="S934" s="11" t="str">
        <f>IFERROR(IF(MARÍTIMOS[[#This Row],[Etapa Retiro - Cita]]="","",MARÍTIMOS[[#This Row],[Etapa Retiro - Cita]]),"")</f>
        <v/>
      </c>
      <c r="T934" s="11" t="str">
        <f>IFERROR(IF(MARÍTIMOS[[#This Row],[Etapa Retiro - Llegada]]="","",MARÍTIMOS[[#This Row],[Etapa Retiro - Llegada]]),"")</f>
        <v/>
      </c>
      <c r="U934" s="11" t="str">
        <f>IFERROR(IF(MARÍTIMOS[[#This Row],[Etapa Retiro - Ingreso]]="","",MARÍTIMOS[[#This Row],[Etapa Retiro - Ingreso]]),"")</f>
        <v/>
      </c>
      <c r="V934" s="11" t="str">
        <f>IFERROR(IF(MARÍTIMOS[[#This Row],[Etapa Retiro - Atención]]="","",MARÍTIMOS[[#This Row],[Etapa Retiro - Atención]]),"")</f>
        <v/>
      </c>
      <c r="W934" s="11" t="str">
        <f>IFERROR(IF(MARÍTIMOS[[#This Row],[Etapa Retiro - Atención]]="","",MARÍTIMOS[[#This Row],[Etapa Retiro - Atención]]),"")</f>
        <v/>
      </c>
      <c r="X934" s="11" t="str">
        <f>IFERROR(IF(MARÍTIMOS[[#This Row],[Etapa Retiro - Inicio de Ruta]]="","",MARÍTIMOS[[#This Row],[Etapa Retiro - Inicio de Ruta]]),"")</f>
        <v/>
      </c>
      <c r="Y934" s="11" t="str">
        <f>IFERROR(IF(MARÍTIMOS[[#This Row],[Hora de Posicionamiento]]="","",MARÍTIMOS[[#This Row],[Fecha de Carga]]+MARÍTIMOS[[#This Row],[Hora de Posicionamiento]]),"")</f>
        <v/>
      </c>
      <c r="Z934" s="11" t="str">
        <f>IFERROR(IF(MARÍTIMOS[[#This Row],[Etapa Despacho - Llegada]]="","",MARÍTIMOS[[#This Row],[Etapa Despacho - Llegada]]),"")</f>
        <v/>
      </c>
      <c r="AA934" s="11" t="str">
        <f>IFERROR(IF(MARÍTIMOS[[#This Row],[Etapa Despacho - Registro]]="","",MARÍTIMOS[[#This Row],[Etapa Despacho - Registro]]),"")</f>
        <v/>
      </c>
      <c r="AB934" s="11" t="str">
        <f>IFERROR(IF(MARÍTIMOS[[#This Row],[Inspección Externa]]="","",MARÍTIMOS[[#This Row],[Inspección Externa]]),"")</f>
        <v/>
      </c>
      <c r="AC934" s="11" t="str">
        <f>IFERROR(IF(MARÍTIMOS[[#This Row],[Etapa Despacho - Inicio de Carga]]="","",MARÍTIMOS[[#This Row],[Etapa Despacho - Inicio de Carga]]),"")</f>
        <v/>
      </c>
      <c r="AD934" s="11" t="str">
        <f>IFERROR(IF(MARÍTIMOS[[#This Row],[Etapa Despacho - Mitad de Carga]]="","",MARÍTIMOS[[#This Row],[Etapa Despacho - Mitad de Carga]]),"")</f>
        <v/>
      </c>
      <c r="AE934" s="11" t="str">
        <f>IFERROR(IF(MARÍTIMOS[[#This Row],[Etapa Despacho - Fin de Carga]]="","",MARÍTIMOS[[#This Row],[Etapa Despacho - Fin de Carga]]),"")</f>
        <v/>
      </c>
      <c r="AF934" s="2" t="str">
        <f>IFERROR(IF(MARÍTIMOS[[#This Row],[Puerto de Embarque]]="","",MARÍTIMOS[[#This Row],[Puerto de Embarque]]),"")</f>
        <v/>
      </c>
      <c r="AG934" s="2" t="str">
        <f>IFERROR(IF(MARÍTIMOS[[#This Row],[Almacén de Ingreso]]="","",MARÍTIMOS[[#This Row],[Almacén de Ingreso]]),"")</f>
        <v/>
      </c>
      <c r="AH934" s="11" t="str">
        <f>IFERROR(IF(MARÍTIMOS[[#This Row],[Etapa Ingreso - Cita]]="","",MARÍTIMOS[[#This Row],[Etapa Ingreso - Cita]]),"")</f>
        <v/>
      </c>
      <c r="AI934" s="11" t="str">
        <f>IFERROR(IF(MARÍTIMOS[[#This Row],[Etapa Ingreso - Llegada]]="","",MARÍTIMOS[[#This Row],[Etapa Ingreso - Llegada]]),"")</f>
        <v/>
      </c>
      <c r="AJ934" s="11" t="str">
        <f>IFERROR(IF(MARÍTIMOS[[#This Row],[Etapa Ingreso - Ingeso]]="","",MARÍTIMOS[[#This Row],[Etapa Ingreso - Ingeso]]),"")</f>
        <v/>
      </c>
      <c r="AK934" s="11" t="str">
        <f>IFERROR(IF(MARÍTIMOS[[#This Row],[Etapa Ingreso - Atención]]="","",MARÍTIMOS[[#This Row],[Etapa Ingreso - Atención]]),"")</f>
        <v/>
      </c>
      <c r="AL934" s="11" t="str">
        <f>IFERROR(IF(MARÍTIMOS[[#This Row],[Etapa Ingreso - Salida]]="","",MARÍTIMOS[[#This Row],[Etapa Ingreso - Salida]]),"")</f>
        <v/>
      </c>
      <c r="AM934" s="2" t="str">
        <f>IFERROR(IF(MARÍTIMOS[[#This Row],[FCL]]="","",MARÍTIMOS[[#This Row],[FCL]]),"")</f>
        <v/>
      </c>
      <c r="AN9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4" s="4" t="str" cm="1">
        <f t="array" ref="AO9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4" s="5" t="str">
        <f>IFERROR(OLDBD[[#This Row],[Llegada a packing]]-OLDBD[[#This Row],[Inicio de Ruta]],"")</f>
        <v/>
      </c>
      <c r="AQ934" s="6" t="str">
        <f>IFERROR(OLDBD[[#This Row],[Inicio de Ruta]]-OLDBD[[#This Row],[Salida de almacén de retiro]],"")</f>
        <v/>
      </c>
      <c r="AR9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4" s="8" t="str" cm="1">
        <f t="array" ref="AS9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4" s="9" t="str">
        <f>IFERROR(OLDBD[[#This Row],[Ingreso Packing]]-OLDBD[[#This Row],[Registro en Packing]],"")</f>
        <v/>
      </c>
      <c r="AV934" s="9" t="str">
        <f>IFERROR(OLDBD[[#This Row],[Ingreso Packing]]-OLDBD[[#This Row],[Llegada a packing]],"")</f>
        <v/>
      </c>
      <c r="AW9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4" s="5" t="str">
        <f>IFERROR(OLDBD[[#This Row],[Llegada Almacén de Ingreso]]-OLDBD[[#This Row],[Salida Packing]],"")</f>
        <v/>
      </c>
      <c r="AY934" s="4" t="str" cm="1">
        <f t="array" ref="AY9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4" s="43" t="s">
        <v>173</v>
      </c>
      <c r="BB934" s="47" t="str">
        <f>IFERROR(IF(MARÍTIMOS[[#This Row],[Estatus]]="","",MARÍTIMOS[[#This Row],[Estatus]]),"")</f>
        <v/>
      </c>
      <c r="BC934" s="43"/>
      <c r="BD934" s="46" t="str">
        <f>IFERROR(OLDBD[[#This Row],[Salida de almacén de retiro]]-OLDBD[[#This Row],[Ingreso Almacén de retiro]],"")</f>
        <v/>
      </c>
      <c r="BE934" s="46" t="str">
        <f>IFERROR(OLDBD[[#This Row],[Fin de Carga]]-OLDBD[[#This Row],[Inicio de Carga]],"")</f>
        <v/>
      </c>
    </row>
    <row r="935" spans="1:57" customFormat="1" hidden="1">
      <c r="A935" s="1"/>
      <c r="B935" s="1" t="str">
        <f>IFERROR(IF(MARÍTIMOS[[#This Row],[PP]]="","",MARÍTIMOS[[#This Row],[PP]]),"")</f>
        <v/>
      </c>
      <c r="C935" s="1" t="str">
        <f>IFERROR(IF(MARÍTIMOS[[#This Row],[Sede]]="","",MARÍTIMOS[[#This Row],[Sede]]),"")</f>
        <v/>
      </c>
      <c r="D935" s="1" t="str">
        <f>IFERROR(IF(MARÍTIMOS[[#This Row],[Instruction]]="","",MARÍTIMOS[[#This Row],[Instruction]]),"")</f>
        <v/>
      </c>
      <c r="E935" s="1"/>
      <c r="F935" s="2" t="str">
        <f>IFERROR(IF(MARÍTIMOS[[#This Row],[Transportista]]="","",MARÍTIMOS[[#This Row],[Transportista]]),"")</f>
        <v/>
      </c>
      <c r="G935" s="2" t="str">
        <f>IFERROR(IF(MARÍTIMOS[[#This Row],[Tercero]]="","",MARÍTIMOS[[#This Row],[Tercero]]),"")</f>
        <v/>
      </c>
      <c r="H935" s="2" t="str">
        <f>IFERROR(IF(MARÍTIMOS[[#This Row],[Razón Social]]="","",MARÍTIMOS[[#This Row],[Razón Social]]),"")</f>
        <v/>
      </c>
      <c r="I935" s="2" t="str">
        <f>IFERROR(IF(MARÍTIMOS[[#This Row],[RUC]]="","",MARÍTIMOS[[#This Row],[RUC]]),"")</f>
        <v/>
      </c>
      <c r="J935" s="2" t="str">
        <f>IFERROR(IF(MARÍTIMOS[[#This Row],[Placa Tracto]]="","",MARÍTIMOS[[#This Row],[Placa Tracto]]),"")</f>
        <v/>
      </c>
      <c r="K935" s="2" t="str">
        <f>IFERROR(IF(MARÍTIMOS[[#This Row],[Placa Carreta]]="","",MARÍTIMOS[[#This Row],[Placa Carreta]]),"")</f>
        <v/>
      </c>
      <c r="L935" s="44" t="str">
        <f>IFERROR(IF(MARÍTIMOS[[#This Row],[Conductor]]="","",MARÍTIMOS[[#This Row],[Conductor]]),"")</f>
        <v/>
      </c>
      <c r="M935" s="2" t="str">
        <f>IFERROR(IF(MARÍTIMOS[[#This Row],[Licencia]]="","",MARÍTIMOS[[#This Row],[Licencia]]),"")</f>
        <v/>
      </c>
      <c r="N935" s="2" t="str">
        <f>IFERROR(IF(MARÍTIMOS[[#This Row],[Número de Contacto]]="","",MARÍTIMOS[[#This Row],[Número de Contacto]]),"")</f>
        <v/>
      </c>
      <c r="O935" s="10" t="str">
        <f>IFERROR(IF(MARÍTIMOS[[#This Row],[Booking|AWB|CRT]]="","",MARÍTIMOS[[#This Row],[Booking|AWB|CRT]]),"")</f>
        <v/>
      </c>
      <c r="P935" s="2" t="str">
        <f>IFERROR(IF(MARÍTIMOS[[#This Row],[Contenedor]]="","",MARÍTIMOS[[#This Row],[Contenedor]]),"")</f>
        <v/>
      </c>
      <c r="Q935" s="2" t="str">
        <f>IFERROR(IF(MARÍTIMOS[[#This Row],[Puerto de Retiro]]="","",MARÍTIMOS[[#This Row],[Puerto de Retiro]]),"")</f>
        <v/>
      </c>
      <c r="R935" s="2" t="str">
        <f>IFERROR(IF(MARÍTIMOS[[#This Row],[Almacén de Retiro]]="","",MARÍTIMOS[[#This Row],[Almacén de Retiro]]),"")</f>
        <v/>
      </c>
      <c r="S935" s="11" t="str">
        <f>IFERROR(IF(MARÍTIMOS[[#This Row],[Etapa Retiro - Cita]]="","",MARÍTIMOS[[#This Row],[Etapa Retiro - Cita]]),"")</f>
        <v/>
      </c>
      <c r="T935" s="11" t="str">
        <f>IFERROR(IF(MARÍTIMOS[[#This Row],[Etapa Retiro - Llegada]]="","",MARÍTIMOS[[#This Row],[Etapa Retiro - Llegada]]),"")</f>
        <v/>
      </c>
      <c r="U935" s="11" t="str">
        <f>IFERROR(IF(MARÍTIMOS[[#This Row],[Etapa Retiro - Ingreso]]="","",MARÍTIMOS[[#This Row],[Etapa Retiro - Ingreso]]),"")</f>
        <v/>
      </c>
      <c r="V935" s="11" t="str">
        <f>IFERROR(IF(MARÍTIMOS[[#This Row],[Etapa Retiro - Atención]]="","",MARÍTIMOS[[#This Row],[Etapa Retiro - Atención]]),"")</f>
        <v/>
      </c>
      <c r="W935" s="11" t="str">
        <f>IFERROR(IF(MARÍTIMOS[[#This Row],[Etapa Retiro - Atención]]="","",MARÍTIMOS[[#This Row],[Etapa Retiro - Atención]]),"")</f>
        <v/>
      </c>
      <c r="X935" s="11" t="str">
        <f>IFERROR(IF(MARÍTIMOS[[#This Row],[Etapa Retiro - Inicio de Ruta]]="","",MARÍTIMOS[[#This Row],[Etapa Retiro - Inicio de Ruta]]),"")</f>
        <v/>
      </c>
      <c r="Y935" s="11" t="str">
        <f>IFERROR(IF(MARÍTIMOS[[#This Row],[Hora de Posicionamiento]]="","",MARÍTIMOS[[#This Row],[Fecha de Carga]]+MARÍTIMOS[[#This Row],[Hora de Posicionamiento]]),"")</f>
        <v/>
      </c>
      <c r="Z935" s="11" t="str">
        <f>IFERROR(IF(MARÍTIMOS[[#This Row],[Etapa Despacho - Llegada]]="","",MARÍTIMOS[[#This Row],[Etapa Despacho - Llegada]]),"")</f>
        <v/>
      </c>
      <c r="AA935" s="11" t="str">
        <f>IFERROR(IF(MARÍTIMOS[[#This Row],[Etapa Despacho - Registro]]="","",MARÍTIMOS[[#This Row],[Etapa Despacho - Registro]]),"")</f>
        <v/>
      </c>
      <c r="AB935" s="11" t="str">
        <f>IFERROR(IF(MARÍTIMOS[[#This Row],[Inspección Externa]]="","",MARÍTIMOS[[#This Row],[Inspección Externa]]),"")</f>
        <v/>
      </c>
      <c r="AC935" s="11" t="str">
        <f>IFERROR(IF(MARÍTIMOS[[#This Row],[Etapa Despacho - Inicio de Carga]]="","",MARÍTIMOS[[#This Row],[Etapa Despacho - Inicio de Carga]]),"")</f>
        <v/>
      </c>
      <c r="AD935" s="11" t="str">
        <f>IFERROR(IF(MARÍTIMOS[[#This Row],[Etapa Despacho - Mitad de Carga]]="","",MARÍTIMOS[[#This Row],[Etapa Despacho - Mitad de Carga]]),"")</f>
        <v/>
      </c>
      <c r="AE935" s="11" t="str">
        <f>IFERROR(IF(MARÍTIMOS[[#This Row],[Etapa Despacho - Fin de Carga]]="","",MARÍTIMOS[[#This Row],[Etapa Despacho - Fin de Carga]]),"")</f>
        <v/>
      </c>
      <c r="AF935" s="2" t="str">
        <f>IFERROR(IF(MARÍTIMOS[[#This Row],[Puerto de Embarque]]="","",MARÍTIMOS[[#This Row],[Puerto de Embarque]]),"")</f>
        <v/>
      </c>
      <c r="AG935" s="2" t="str">
        <f>IFERROR(IF(MARÍTIMOS[[#This Row],[Almacén de Ingreso]]="","",MARÍTIMOS[[#This Row],[Almacén de Ingreso]]),"")</f>
        <v/>
      </c>
      <c r="AH935" s="11" t="str">
        <f>IFERROR(IF(MARÍTIMOS[[#This Row],[Etapa Ingreso - Cita]]="","",MARÍTIMOS[[#This Row],[Etapa Ingreso - Cita]]),"")</f>
        <v/>
      </c>
      <c r="AI935" s="11" t="str">
        <f>IFERROR(IF(MARÍTIMOS[[#This Row],[Etapa Ingreso - Llegada]]="","",MARÍTIMOS[[#This Row],[Etapa Ingreso - Llegada]]),"")</f>
        <v/>
      </c>
      <c r="AJ935" s="11" t="str">
        <f>IFERROR(IF(MARÍTIMOS[[#This Row],[Etapa Ingreso - Ingeso]]="","",MARÍTIMOS[[#This Row],[Etapa Ingreso - Ingeso]]),"")</f>
        <v/>
      </c>
      <c r="AK935" s="11" t="str">
        <f>IFERROR(IF(MARÍTIMOS[[#This Row],[Etapa Ingreso - Atención]]="","",MARÍTIMOS[[#This Row],[Etapa Ingreso - Atención]]),"")</f>
        <v/>
      </c>
      <c r="AL935" s="11" t="str">
        <f>IFERROR(IF(MARÍTIMOS[[#This Row],[Etapa Ingreso - Salida]]="","",MARÍTIMOS[[#This Row],[Etapa Ingreso - Salida]]),"")</f>
        <v/>
      </c>
      <c r="AM935" s="2" t="str">
        <f>IFERROR(IF(MARÍTIMOS[[#This Row],[FCL]]="","",MARÍTIMOS[[#This Row],[FCL]]),"")</f>
        <v/>
      </c>
      <c r="AN9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5" s="4" t="str" cm="1">
        <f t="array" ref="AO9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5" s="5" t="str">
        <f>IFERROR(OLDBD[[#This Row],[Llegada a packing]]-OLDBD[[#This Row],[Inicio de Ruta]],"")</f>
        <v/>
      </c>
      <c r="AQ935" s="6" t="str">
        <f>IFERROR(OLDBD[[#This Row],[Inicio de Ruta]]-OLDBD[[#This Row],[Salida de almacén de retiro]],"")</f>
        <v/>
      </c>
      <c r="AR9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5" s="8" t="str" cm="1">
        <f t="array" ref="AS9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5" s="9" t="str">
        <f>IFERROR(OLDBD[[#This Row],[Ingreso Packing]]-OLDBD[[#This Row],[Registro en Packing]],"")</f>
        <v/>
      </c>
      <c r="AV935" s="9" t="str">
        <f>IFERROR(OLDBD[[#This Row],[Ingreso Packing]]-OLDBD[[#This Row],[Llegada a packing]],"")</f>
        <v/>
      </c>
      <c r="AW9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5" s="5" t="str">
        <f>IFERROR(OLDBD[[#This Row],[Llegada Almacén de Ingreso]]-OLDBD[[#This Row],[Salida Packing]],"")</f>
        <v/>
      </c>
      <c r="AY935" s="4" t="str" cm="1">
        <f t="array" ref="AY9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5" s="43" t="s">
        <v>173</v>
      </c>
      <c r="BB935" s="47" t="str">
        <f>IFERROR(IF(MARÍTIMOS[[#This Row],[Estatus]]="","",MARÍTIMOS[[#This Row],[Estatus]]),"")</f>
        <v/>
      </c>
      <c r="BC935" s="43"/>
      <c r="BD935" s="46" t="str">
        <f>IFERROR(OLDBD[[#This Row],[Salida de almacén de retiro]]-OLDBD[[#This Row],[Ingreso Almacén de retiro]],"")</f>
        <v/>
      </c>
      <c r="BE935" s="46" t="str">
        <f>IFERROR(OLDBD[[#This Row],[Fin de Carga]]-OLDBD[[#This Row],[Inicio de Carga]],"")</f>
        <v/>
      </c>
    </row>
    <row r="936" spans="1:57" customFormat="1" hidden="1">
      <c r="A936" s="1"/>
      <c r="B936" s="1" t="str">
        <f>IFERROR(IF(MARÍTIMOS[[#This Row],[PP]]="","",MARÍTIMOS[[#This Row],[PP]]),"")</f>
        <v/>
      </c>
      <c r="C936" s="1" t="str">
        <f>IFERROR(IF(MARÍTIMOS[[#This Row],[Sede]]="","",MARÍTIMOS[[#This Row],[Sede]]),"")</f>
        <v/>
      </c>
      <c r="D936" s="1" t="str">
        <f>IFERROR(IF(MARÍTIMOS[[#This Row],[Instruction]]="","",MARÍTIMOS[[#This Row],[Instruction]]),"")</f>
        <v/>
      </c>
      <c r="E936" s="1"/>
      <c r="F936" s="2" t="str">
        <f>IFERROR(IF(MARÍTIMOS[[#This Row],[Transportista]]="","",MARÍTIMOS[[#This Row],[Transportista]]),"")</f>
        <v/>
      </c>
      <c r="G936" s="2" t="str">
        <f>IFERROR(IF(MARÍTIMOS[[#This Row],[Tercero]]="","",MARÍTIMOS[[#This Row],[Tercero]]),"")</f>
        <v/>
      </c>
      <c r="H936" s="2" t="str">
        <f>IFERROR(IF(MARÍTIMOS[[#This Row],[Razón Social]]="","",MARÍTIMOS[[#This Row],[Razón Social]]),"")</f>
        <v/>
      </c>
      <c r="I936" s="2" t="str">
        <f>IFERROR(IF(MARÍTIMOS[[#This Row],[RUC]]="","",MARÍTIMOS[[#This Row],[RUC]]),"")</f>
        <v/>
      </c>
      <c r="J936" s="2" t="str">
        <f>IFERROR(IF(MARÍTIMOS[[#This Row],[Placa Tracto]]="","",MARÍTIMOS[[#This Row],[Placa Tracto]]),"")</f>
        <v/>
      </c>
      <c r="K936" s="2" t="str">
        <f>IFERROR(IF(MARÍTIMOS[[#This Row],[Placa Carreta]]="","",MARÍTIMOS[[#This Row],[Placa Carreta]]),"")</f>
        <v/>
      </c>
      <c r="L936" s="44" t="str">
        <f>IFERROR(IF(MARÍTIMOS[[#This Row],[Conductor]]="","",MARÍTIMOS[[#This Row],[Conductor]]),"")</f>
        <v/>
      </c>
      <c r="M936" s="2" t="str">
        <f>IFERROR(IF(MARÍTIMOS[[#This Row],[Licencia]]="","",MARÍTIMOS[[#This Row],[Licencia]]),"")</f>
        <v/>
      </c>
      <c r="N936" s="2" t="str">
        <f>IFERROR(IF(MARÍTIMOS[[#This Row],[Número de Contacto]]="","",MARÍTIMOS[[#This Row],[Número de Contacto]]),"")</f>
        <v/>
      </c>
      <c r="O936" s="10" t="str">
        <f>IFERROR(IF(MARÍTIMOS[[#This Row],[Booking|AWB|CRT]]="","",MARÍTIMOS[[#This Row],[Booking|AWB|CRT]]),"")</f>
        <v/>
      </c>
      <c r="P936" s="2" t="str">
        <f>IFERROR(IF(MARÍTIMOS[[#This Row],[Contenedor]]="","",MARÍTIMOS[[#This Row],[Contenedor]]),"")</f>
        <v/>
      </c>
      <c r="Q936" s="2" t="str">
        <f>IFERROR(IF(MARÍTIMOS[[#This Row],[Puerto de Retiro]]="","",MARÍTIMOS[[#This Row],[Puerto de Retiro]]),"")</f>
        <v/>
      </c>
      <c r="R936" s="2" t="str">
        <f>IFERROR(IF(MARÍTIMOS[[#This Row],[Almacén de Retiro]]="","",MARÍTIMOS[[#This Row],[Almacén de Retiro]]),"")</f>
        <v/>
      </c>
      <c r="S936" s="11" t="str">
        <f>IFERROR(IF(MARÍTIMOS[[#This Row],[Etapa Retiro - Cita]]="","",MARÍTIMOS[[#This Row],[Etapa Retiro - Cita]]),"")</f>
        <v/>
      </c>
      <c r="T936" s="11" t="str">
        <f>IFERROR(IF(MARÍTIMOS[[#This Row],[Etapa Retiro - Llegada]]="","",MARÍTIMOS[[#This Row],[Etapa Retiro - Llegada]]),"")</f>
        <v/>
      </c>
      <c r="U936" s="11" t="str">
        <f>IFERROR(IF(MARÍTIMOS[[#This Row],[Etapa Retiro - Ingreso]]="","",MARÍTIMOS[[#This Row],[Etapa Retiro - Ingreso]]),"")</f>
        <v/>
      </c>
      <c r="V936" s="11" t="str">
        <f>IFERROR(IF(MARÍTIMOS[[#This Row],[Etapa Retiro - Atención]]="","",MARÍTIMOS[[#This Row],[Etapa Retiro - Atención]]),"")</f>
        <v/>
      </c>
      <c r="W936" s="11" t="str">
        <f>IFERROR(IF(MARÍTIMOS[[#This Row],[Etapa Retiro - Atención]]="","",MARÍTIMOS[[#This Row],[Etapa Retiro - Atención]]),"")</f>
        <v/>
      </c>
      <c r="X936" s="11" t="str">
        <f>IFERROR(IF(MARÍTIMOS[[#This Row],[Etapa Retiro - Inicio de Ruta]]="","",MARÍTIMOS[[#This Row],[Etapa Retiro - Inicio de Ruta]]),"")</f>
        <v/>
      </c>
      <c r="Y936" s="11" t="str">
        <f>IFERROR(IF(MARÍTIMOS[[#This Row],[Hora de Posicionamiento]]="","",MARÍTIMOS[[#This Row],[Fecha de Carga]]+MARÍTIMOS[[#This Row],[Hora de Posicionamiento]]),"")</f>
        <v/>
      </c>
      <c r="Z936" s="11" t="str">
        <f>IFERROR(IF(MARÍTIMOS[[#This Row],[Etapa Despacho - Llegada]]="","",MARÍTIMOS[[#This Row],[Etapa Despacho - Llegada]]),"")</f>
        <v/>
      </c>
      <c r="AA936" s="11" t="str">
        <f>IFERROR(IF(MARÍTIMOS[[#This Row],[Etapa Despacho - Registro]]="","",MARÍTIMOS[[#This Row],[Etapa Despacho - Registro]]),"")</f>
        <v/>
      </c>
      <c r="AB936" s="11" t="str">
        <f>IFERROR(IF(MARÍTIMOS[[#This Row],[Inspección Externa]]="","",MARÍTIMOS[[#This Row],[Inspección Externa]]),"")</f>
        <v/>
      </c>
      <c r="AC936" s="11" t="str">
        <f>IFERROR(IF(MARÍTIMOS[[#This Row],[Etapa Despacho - Inicio de Carga]]="","",MARÍTIMOS[[#This Row],[Etapa Despacho - Inicio de Carga]]),"")</f>
        <v/>
      </c>
      <c r="AD936" s="11" t="str">
        <f>IFERROR(IF(MARÍTIMOS[[#This Row],[Etapa Despacho - Mitad de Carga]]="","",MARÍTIMOS[[#This Row],[Etapa Despacho - Mitad de Carga]]),"")</f>
        <v/>
      </c>
      <c r="AE936" s="11" t="str">
        <f>IFERROR(IF(MARÍTIMOS[[#This Row],[Etapa Despacho - Fin de Carga]]="","",MARÍTIMOS[[#This Row],[Etapa Despacho - Fin de Carga]]),"")</f>
        <v/>
      </c>
      <c r="AF936" s="2" t="str">
        <f>IFERROR(IF(MARÍTIMOS[[#This Row],[Puerto de Embarque]]="","",MARÍTIMOS[[#This Row],[Puerto de Embarque]]),"")</f>
        <v/>
      </c>
      <c r="AG936" s="2" t="str">
        <f>IFERROR(IF(MARÍTIMOS[[#This Row],[Almacén de Ingreso]]="","",MARÍTIMOS[[#This Row],[Almacén de Ingreso]]),"")</f>
        <v/>
      </c>
      <c r="AH936" s="11" t="str">
        <f>IFERROR(IF(MARÍTIMOS[[#This Row],[Etapa Ingreso - Cita]]="","",MARÍTIMOS[[#This Row],[Etapa Ingreso - Cita]]),"")</f>
        <v/>
      </c>
      <c r="AI936" s="11" t="str">
        <f>IFERROR(IF(MARÍTIMOS[[#This Row],[Etapa Ingreso - Llegada]]="","",MARÍTIMOS[[#This Row],[Etapa Ingreso - Llegada]]),"")</f>
        <v/>
      </c>
      <c r="AJ936" s="11" t="str">
        <f>IFERROR(IF(MARÍTIMOS[[#This Row],[Etapa Ingreso - Ingeso]]="","",MARÍTIMOS[[#This Row],[Etapa Ingreso - Ingeso]]),"")</f>
        <v/>
      </c>
      <c r="AK936" s="11" t="str">
        <f>IFERROR(IF(MARÍTIMOS[[#This Row],[Etapa Ingreso - Atención]]="","",MARÍTIMOS[[#This Row],[Etapa Ingreso - Atención]]),"")</f>
        <v/>
      </c>
      <c r="AL936" s="11" t="str">
        <f>IFERROR(IF(MARÍTIMOS[[#This Row],[Etapa Ingreso - Salida]]="","",MARÍTIMOS[[#This Row],[Etapa Ingreso - Salida]]),"")</f>
        <v/>
      </c>
      <c r="AM936" s="2" t="str">
        <f>IFERROR(IF(MARÍTIMOS[[#This Row],[FCL]]="","",MARÍTIMOS[[#This Row],[FCL]]),"")</f>
        <v/>
      </c>
      <c r="AN9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6" s="4" t="str" cm="1">
        <f t="array" ref="AO9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6" s="5" t="str">
        <f>IFERROR(OLDBD[[#This Row],[Llegada a packing]]-OLDBD[[#This Row],[Inicio de Ruta]],"")</f>
        <v/>
      </c>
      <c r="AQ936" s="6" t="str">
        <f>IFERROR(OLDBD[[#This Row],[Inicio de Ruta]]-OLDBD[[#This Row],[Salida de almacén de retiro]],"")</f>
        <v/>
      </c>
      <c r="AR9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6" s="8" t="str" cm="1">
        <f t="array" ref="AS9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6" s="9" t="str">
        <f>IFERROR(OLDBD[[#This Row],[Ingreso Packing]]-OLDBD[[#This Row],[Registro en Packing]],"")</f>
        <v/>
      </c>
      <c r="AV936" s="9" t="str">
        <f>IFERROR(OLDBD[[#This Row],[Ingreso Packing]]-OLDBD[[#This Row],[Llegada a packing]],"")</f>
        <v/>
      </c>
      <c r="AW9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6" s="5" t="str">
        <f>IFERROR(OLDBD[[#This Row],[Llegada Almacén de Ingreso]]-OLDBD[[#This Row],[Salida Packing]],"")</f>
        <v/>
      </c>
      <c r="AY936" s="4" t="str" cm="1">
        <f t="array" ref="AY9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6" s="43" t="s">
        <v>173</v>
      </c>
      <c r="BB936" s="47" t="str">
        <f>IFERROR(IF(MARÍTIMOS[[#This Row],[Estatus]]="","",MARÍTIMOS[[#This Row],[Estatus]]),"")</f>
        <v/>
      </c>
      <c r="BC936" s="43"/>
      <c r="BD936" s="46" t="str">
        <f>IFERROR(OLDBD[[#This Row],[Salida de almacén de retiro]]-OLDBD[[#This Row],[Ingreso Almacén de retiro]],"")</f>
        <v/>
      </c>
      <c r="BE936" s="46" t="str">
        <f>IFERROR(OLDBD[[#This Row],[Fin de Carga]]-OLDBD[[#This Row],[Inicio de Carga]],"")</f>
        <v/>
      </c>
    </row>
    <row r="937" spans="1:57" customFormat="1" hidden="1">
      <c r="A937" s="1"/>
      <c r="B937" s="1" t="str">
        <f>IFERROR(IF(MARÍTIMOS[[#This Row],[PP]]="","",MARÍTIMOS[[#This Row],[PP]]),"")</f>
        <v/>
      </c>
      <c r="C937" s="1" t="str">
        <f>IFERROR(IF(MARÍTIMOS[[#This Row],[Sede]]="","",MARÍTIMOS[[#This Row],[Sede]]),"")</f>
        <v/>
      </c>
      <c r="D937" s="1" t="str">
        <f>IFERROR(IF(MARÍTIMOS[[#This Row],[Instruction]]="","",MARÍTIMOS[[#This Row],[Instruction]]),"")</f>
        <v/>
      </c>
      <c r="E937" s="1"/>
      <c r="F937" s="2" t="str">
        <f>IFERROR(IF(MARÍTIMOS[[#This Row],[Transportista]]="","",MARÍTIMOS[[#This Row],[Transportista]]),"")</f>
        <v/>
      </c>
      <c r="G937" s="2" t="str">
        <f>IFERROR(IF(MARÍTIMOS[[#This Row],[Tercero]]="","",MARÍTIMOS[[#This Row],[Tercero]]),"")</f>
        <v/>
      </c>
      <c r="H937" s="2" t="str">
        <f>IFERROR(IF(MARÍTIMOS[[#This Row],[Razón Social]]="","",MARÍTIMOS[[#This Row],[Razón Social]]),"")</f>
        <v/>
      </c>
      <c r="I937" s="2" t="str">
        <f>IFERROR(IF(MARÍTIMOS[[#This Row],[RUC]]="","",MARÍTIMOS[[#This Row],[RUC]]),"")</f>
        <v/>
      </c>
      <c r="J937" s="2" t="str">
        <f>IFERROR(IF(MARÍTIMOS[[#This Row],[Placa Tracto]]="","",MARÍTIMOS[[#This Row],[Placa Tracto]]),"")</f>
        <v/>
      </c>
      <c r="K937" s="2" t="str">
        <f>IFERROR(IF(MARÍTIMOS[[#This Row],[Placa Carreta]]="","",MARÍTIMOS[[#This Row],[Placa Carreta]]),"")</f>
        <v/>
      </c>
      <c r="L937" s="44" t="str">
        <f>IFERROR(IF(MARÍTIMOS[[#This Row],[Conductor]]="","",MARÍTIMOS[[#This Row],[Conductor]]),"")</f>
        <v/>
      </c>
      <c r="M937" s="2" t="str">
        <f>IFERROR(IF(MARÍTIMOS[[#This Row],[Licencia]]="","",MARÍTIMOS[[#This Row],[Licencia]]),"")</f>
        <v/>
      </c>
      <c r="N937" s="2" t="str">
        <f>IFERROR(IF(MARÍTIMOS[[#This Row],[Número de Contacto]]="","",MARÍTIMOS[[#This Row],[Número de Contacto]]),"")</f>
        <v/>
      </c>
      <c r="O937" s="10" t="str">
        <f>IFERROR(IF(MARÍTIMOS[[#This Row],[Booking|AWB|CRT]]="","",MARÍTIMOS[[#This Row],[Booking|AWB|CRT]]),"")</f>
        <v/>
      </c>
      <c r="P937" s="2" t="str">
        <f>IFERROR(IF(MARÍTIMOS[[#This Row],[Contenedor]]="","",MARÍTIMOS[[#This Row],[Contenedor]]),"")</f>
        <v/>
      </c>
      <c r="Q937" s="2" t="str">
        <f>IFERROR(IF(MARÍTIMOS[[#This Row],[Puerto de Retiro]]="","",MARÍTIMOS[[#This Row],[Puerto de Retiro]]),"")</f>
        <v/>
      </c>
      <c r="R937" s="2" t="str">
        <f>IFERROR(IF(MARÍTIMOS[[#This Row],[Almacén de Retiro]]="","",MARÍTIMOS[[#This Row],[Almacén de Retiro]]),"")</f>
        <v/>
      </c>
      <c r="S937" s="11" t="str">
        <f>IFERROR(IF(MARÍTIMOS[[#This Row],[Etapa Retiro - Cita]]="","",MARÍTIMOS[[#This Row],[Etapa Retiro - Cita]]),"")</f>
        <v/>
      </c>
      <c r="T937" s="11" t="str">
        <f>IFERROR(IF(MARÍTIMOS[[#This Row],[Etapa Retiro - Llegada]]="","",MARÍTIMOS[[#This Row],[Etapa Retiro - Llegada]]),"")</f>
        <v/>
      </c>
      <c r="U937" s="11" t="str">
        <f>IFERROR(IF(MARÍTIMOS[[#This Row],[Etapa Retiro - Ingreso]]="","",MARÍTIMOS[[#This Row],[Etapa Retiro - Ingreso]]),"")</f>
        <v/>
      </c>
      <c r="V937" s="11" t="str">
        <f>IFERROR(IF(MARÍTIMOS[[#This Row],[Etapa Retiro - Atención]]="","",MARÍTIMOS[[#This Row],[Etapa Retiro - Atención]]),"")</f>
        <v/>
      </c>
      <c r="W937" s="11" t="str">
        <f>IFERROR(IF(MARÍTIMOS[[#This Row],[Etapa Retiro - Atención]]="","",MARÍTIMOS[[#This Row],[Etapa Retiro - Atención]]),"")</f>
        <v/>
      </c>
      <c r="X937" s="11" t="str">
        <f>IFERROR(IF(MARÍTIMOS[[#This Row],[Etapa Retiro - Inicio de Ruta]]="","",MARÍTIMOS[[#This Row],[Etapa Retiro - Inicio de Ruta]]),"")</f>
        <v/>
      </c>
      <c r="Y937" s="11" t="str">
        <f>IFERROR(IF(MARÍTIMOS[[#This Row],[Hora de Posicionamiento]]="","",MARÍTIMOS[[#This Row],[Fecha de Carga]]+MARÍTIMOS[[#This Row],[Hora de Posicionamiento]]),"")</f>
        <v/>
      </c>
      <c r="Z937" s="11" t="str">
        <f>IFERROR(IF(MARÍTIMOS[[#This Row],[Etapa Despacho - Llegada]]="","",MARÍTIMOS[[#This Row],[Etapa Despacho - Llegada]]),"")</f>
        <v/>
      </c>
      <c r="AA937" s="11" t="str">
        <f>IFERROR(IF(MARÍTIMOS[[#This Row],[Etapa Despacho - Registro]]="","",MARÍTIMOS[[#This Row],[Etapa Despacho - Registro]]),"")</f>
        <v/>
      </c>
      <c r="AB937" s="11" t="str">
        <f>IFERROR(IF(MARÍTIMOS[[#This Row],[Inspección Externa]]="","",MARÍTIMOS[[#This Row],[Inspección Externa]]),"")</f>
        <v/>
      </c>
      <c r="AC937" s="11" t="str">
        <f>IFERROR(IF(MARÍTIMOS[[#This Row],[Etapa Despacho - Inicio de Carga]]="","",MARÍTIMOS[[#This Row],[Etapa Despacho - Inicio de Carga]]),"")</f>
        <v/>
      </c>
      <c r="AD937" s="11" t="str">
        <f>IFERROR(IF(MARÍTIMOS[[#This Row],[Etapa Despacho - Mitad de Carga]]="","",MARÍTIMOS[[#This Row],[Etapa Despacho - Mitad de Carga]]),"")</f>
        <v/>
      </c>
      <c r="AE937" s="11" t="str">
        <f>IFERROR(IF(MARÍTIMOS[[#This Row],[Etapa Despacho - Fin de Carga]]="","",MARÍTIMOS[[#This Row],[Etapa Despacho - Fin de Carga]]),"")</f>
        <v/>
      </c>
      <c r="AF937" s="2" t="str">
        <f>IFERROR(IF(MARÍTIMOS[[#This Row],[Puerto de Embarque]]="","",MARÍTIMOS[[#This Row],[Puerto de Embarque]]),"")</f>
        <v/>
      </c>
      <c r="AG937" s="2" t="str">
        <f>IFERROR(IF(MARÍTIMOS[[#This Row],[Almacén de Ingreso]]="","",MARÍTIMOS[[#This Row],[Almacén de Ingreso]]),"")</f>
        <v/>
      </c>
      <c r="AH937" s="11" t="str">
        <f>IFERROR(IF(MARÍTIMOS[[#This Row],[Etapa Ingreso - Cita]]="","",MARÍTIMOS[[#This Row],[Etapa Ingreso - Cita]]),"")</f>
        <v/>
      </c>
      <c r="AI937" s="11" t="str">
        <f>IFERROR(IF(MARÍTIMOS[[#This Row],[Etapa Ingreso - Llegada]]="","",MARÍTIMOS[[#This Row],[Etapa Ingreso - Llegada]]),"")</f>
        <v/>
      </c>
      <c r="AJ937" s="11" t="str">
        <f>IFERROR(IF(MARÍTIMOS[[#This Row],[Etapa Ingreso - Ingeso]]="","",MARÍTIMOS[[#This Row],[Etapa Ingreso - Ingeso]]),"")</f>
        <v/>
      </c>
      <c r="AK937" s="11" t="str">
        <f>IFERROR(IF(MARÍTIMOS[[#This Row],[Etapa Ingreso - Atención]]="","",MARÍTIMOS[[#This Row],[Etapa Ingreso - Atención]]),"")</f>
        <v/>
      </c>
      <c r="AL937" s="11" t="str">
        <f>IFERROR(IF(MARÍTIMOS[[#This Row],[Etapa Ingreso - Salida]]="","",MARÍTIMOS[[#This Row],[Etapa Ingreso - Salida]]),"")</f>
        <v/>
      </c>
      <c r="AM937" s="2" t="str">
        <f>IFERROR(IF(MARÍTIMOS[[#This Row],[FCL]]="","",MARÍTIMOS[[#This Row],[FCL]]),"")</f>
        <v/>
      </c>
      <c r="AN9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7" s="4" t="str" cm="1">
        <f t="array" ref="AO9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7" s="5" t="str">
        <f>IFERROR(OLDBD[[#This Row],[Llegada a packing]]-OLDBD[[#This Row],[Inicio de Ruta]],"")</f>
        <v/>
      </c>
      <c r="AQ937" s="6" t="str">
        <f>IFERROR(OLDBD[[#This Row],[Inicio de Ruta]]-OLDBD[[#This Row],[Salida de almacén de retiro]],"")</f>
        <v/>
      </c>
      <c r="AR9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7" s="8" t="str" cm="1">
        <f t="array" ref="AS9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7" s="9" t="str">
        <f>IFERROR(OLDBD[[#This Row],[Ingreso Packing]]-OLDBD[[#This Row],[Registro en Packing]],"")</f>
        <v/>
      </c>
      <c r="AV937" s="9" t="str">
        <f>IFERROR(OLDBD[[#This Row],[Ingreso Packing]]-OLDBD[[#This Row],[Llegada a packing]],"")</f>
        <v/>
      </c>
      <c r="AW9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7" s="5" t="str">
        <f>IFERROR(OLDBD[[#This Row],[Llegada Almacén de Ingreso]]-OLDBD[[#This Row],[Salida Packing]],"")</f>
        <v/>
      </c>
      <c r="AY937" s="4" t="str" cm="1">
        <f t="array" ref="AY9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7" s="43" t="s">
        <v>173</v>
      </c>
      <c r="BB937" s="47" t="str">
        <f>IFERROR(IF(MARÍTIMOS[[#This Row],[Estatus]]="","",MARÍTIMOS[[#This Row],[Estatus]]),"")</f>
        <v/>
      </c>
      <c r="BC937" s="43"/>
      <c r="BD937" s="46" t="str">
        <f>IFERROR(OLDBD[[#This Row],[Salida de almacén de retiro]]-OLDBD[[#This Row],[Ingreso Almacén de retiro]],"")</f>
        <v/>
      </c>
      <c r="BE937" s="46" t="str">
        <f>IFERROR(OLDBD[[#This Row],[Fin de Carga]]-OLDBD[[#This Row],[Inicio de Carga]],"")</f>
        <v/>
      </c>
    </row>
    <row r="938" spans="1:57" customFormat="1" hidden="1">
      <c r="A938" s="1"/>
      <c r="B938" s="1" t="str">
        <f>IFERROR(IF(MARÍTIMOS[[#This Row],[PP]]="","",MARÍTIMOS[[#This Row],[PP]]),"")</f>
        <v/>
      </c>
      <c r="C938" s="1" t="str">
        <f>IFERROR(IF(MARÍTIMOS[[#This Row],[Sede]]="","",MARÍTIMOS[[#This Row],[Sede]]),"")</f>
        <v/>
      </c>
      <c r="D938" s="1" t="str">
        <f>IFERROR(IF(MARÍTIMOS[[#This Row],[Instruction]]="","",MARÍTIMOS[[#This Row],[Instruction]]),"")</f>
        <v/>
      </c>
      <c r="E938" s="1"/>
      <c r="F938" s="2" t="str">
        <f>IFERROR(IF(MARÍTIMOS[[#This Row],[Transportista]]="","",MARÍTIMOS[[#This Row],[Transportista]]),"")</f>
        <v/>
      </c>
      <c r="G938" s="2" t="str">
        <f>IFERROR(IF(MARÍTIMOS[[#This Row],[Tercero]]="","",MARÍTIMOS[[#This Row],[Tercero]]),"")</f>
        <v/>
      </c>
      <c r="H938" s="2" t="str">
        <f>IFERROR(IF(MARÍTIMOS[[#This Row],[Razón Social]]="","",MARÍTIMOS[[#This Row],[Razón Social]]),"")</f>
        <v/>
      </c>
      <c r="I938" s="2" t="str">
        <f>IFERROR(IF(MARÍTIMOS[[#This Row],[RUC]]="","",MARÍTIMOS[[#This Row],[RUC]]),"")</f>
        <v/>
      </c>
      <c r="J938" s="2" t="str">
        <f>IFERROR(IF(MARÍTIMOS[[#This Row],[Placa Tracto]]="","",MARÍTIMOS[[#This Row],[Placa Tracto]]),"")</f>
        <v/>
      </c>
      <c r="K938" s="2" t="str">
        <f>IFERROR(IF(MARÍTIMOS[[#This Row],[Placa Carreta]]="","",MARÍTIMOS[[#This Row],[Placa Carreta]]),"")</f>
        <v/>
      </c>
      <c r="L938" s="44" t="str">
        <f>IFERROR(IF(MARÍTIMOS[[#This Row],[Conductor]]="","",MARÍTIMOS[[#This Row],[Conductor]]),"")</f>
        <v/>
      </c>
      <c r="M938" s="2" t="str">
        <f>IFERROR(IF(MARÍTIMOS[[#This Row],[Licencia]]="","",MARÍTIMOS[[#This Row],[Licencia]]),"")</f>
        <v/>
      </c>
      <c r="N938" s="2" t="str">
        <f>IFERROR(IF(MARÍTIMOS[[#This Row],[Número de Contacto]]="","",MARÍTIMOS[[#This Row],[Número de Contacto]]),"")</f>
        <v/>
      </c>
      <c r="O938" s="10" t="str">
        <f>IFERROR(IF(MARÍTIMOS[[#This Row],[Booking|AWB|CRT]]="","",MARÍTIMOS[[#This Row],[Booking|AWB|CRT]]),"")</f>
        <v/>
      </c>
      <c r="P938" s="2" t="str">
        <f>IFERROR(IF(MARÍTIMOS[[#This Row],[Contenedor]]="","",MARÍTIMOS[[#This Row],[Contenedor]]),"")</f>
        <v/>
      </c>
      <c r="Q938" s="2" t="str">
        <f>IFERROR(IF(MARÍTIMOS[[#This Row],[Puerto de Retiro]]="","",MARÍTIMOS[[#This Row],[Puerto de Retiro]]),"")</f>
        <v/>
      </c>
      <c r="R938" s="2" t="str">
        <f>IFERROR(IF(MARÍTIMOS[[#This Row],[Almacén de Retiro]]="","",MARÍTIMOS[[#This Row],[Almacén de Retiro]]),"")</f>
        <v/>
      </c>
      <c r="S938" s="11" t="str">
        <f>IFERROR(IF(MARÍTIMOS[[#This Row],[Etapa Retiro - Cita]]="","",MARÍTIMOS[[#This Row],[Etapa Retiro - Cita]]),"")</f>
        <v/>
      </c>
      <c r="T938" s="11" t="str">
        <f>IFERROR(IF(MARÍTIMOS[[#This Row],[Etapa Retiro - Llegada]]="","",MARÍTIMOS[[#This Row],[Etapa Retiro - Llegada]]),"")</f>
        <v/>
      </c>
      <c r="U938" s="11" t="str">
        <f>IFERROR(IF(MARÍTIMOS[[#This Row],[Etapa Retiro - Ingreso]]="","",MARÍTIMOS[[#This Row],[Etapa Retiro - Ingreso]]),"")</f>
        <v/>
      </c>
      <c r="V938" s="11" t="str">
        <f>IFERROR(IF(MARÍTIMOS[[#This Row],[Etapa Retiro - Atención]]="","",MARÍTIMOS[[#This Row],[Etapa Retiro - Atención]]),"")</f>
        <v/>
      </c>
      <c r="W938" s="11" t="str">
        <f>IFERROR(IF(MARÍTIMOS[[#This Row],[Etapa Retiro - Atención]]="","",MARÍTIMOS[[#This Row],[Etapa Retiro - Atención]]),"")</f>
        <v/>
      </c>
      <c r="X938" s="11" t="str">
        <f>IFERROR(IF(MARÍTIMOS[[#This Row],[Etapa Retiro - Inicio de Ruta]]="","",MARÍTIMOS[[#This Row],[Etapa Retiro - Inicio de Ruta]]),"")</f>
        <v/>
      </c>
      <c r="Y938" s="11" t="str">
        <f>IFERROR(IF(MARÍTIMOS[[#This Row],[Hora de Posicionamiento]]="","",MARÍTIMOS[[#This Row],[Fecha de Carga]]+MARÍTIMOS[[#This Row],[Hora de Posicionamiento]]),"")</f>
        <v/>
      </c>
      <c r="Z938" s="11" t="str">
        <f>IFERROR(IF(MARÍTIMOS[[#This Row],[Etapa Despacho - Llegada]]="","",MARÍTIMOS[[#This Row],[Etapa Despacho - Llegada]]),"")</f>
        <v/>
      </c>
      <c r="AA938" s="11" t="str">
        <f>IFERROR(IF(MARÍTIMOS[[#This Row],[Etapa Despacho - Registro]]="","",MARÍTIMOS[[#This Row],[Etapa Despacho - Registro]]),"")</f>
        <v/>
      </c>
      <c r="AB938" s="11" t="str">
        <f>IFERROR(IF(MARÍTIMOS[[#This Row],[Inspección Externa]]="","",MARÍTIMOS[[#This Row],[Inspección Externa]]),"")</f>
        <v/>
      </c>
      <c r="AC938" s="11" t="str">
        <f>IFERROR(IF(MARÍTIMOS[[#This Row],[Etapa Despacho - Inicio de Carga]]="","",MARÍTIMOS[[#This Row],[Etapa Despacho - Inicio de Carga]]),"")</f>
        <v/>
      </c>
      <c r="AD938" s="11" t="str">
        <f>IFERROR(IF(MARÍTIMOS[[#This Row],[Etapa Despacho - Mitad de Carga]]="","",MARÍTIMOS[[#This Row],[Etapa Despacho - Mitad de Carga]]),"")</f>
        <v/>
      </c>
      <c r="AE938" s="11" t="str">
        <f>IFERROR(IF(MARÍTIMOS[[#This Row],[Etapa Despacho - Fin de Carga]]="","",MARÍTIMOS[[#This Row],[Etapa Despacho - Fin de Carga]]),"")</f>
        <v/>
      </c>
      <c r="AF938" s="2" t="str">
        <f>IFERROR(IF(MARÍTIMOS[[#This Row],[Puerto de Embarque]]="","",MARÍTIMOS[[#This Row],[Puerto de Embarque]]),"")</f>
        <v/>
      </c>
      <c r="AG938" s="2" t="str">
        <f>IFERROR(IF(MARÍTIMOS[[#This Row],[Almacén de Ingreso]]="","",MARÍTIMOS[[#This Row],[Almacén de Ingreso]]),"")</f>
        <v/>
      </c>
      <c r="AH938" s="11" t="str">
        <f>IFERROR(IF(MARÍTIMOS[[#This Row],[Etapa Ingreso - Cita]]="","",MARÍTIMOS[[#This Row],[Etapa Ingreso - Cita]]),"")</f>
        <v/>
      </c>
      <c r="AI938" s="11" t="str">
        <f>IFERROR(IF(MARÍTIMOS[[#This Row],[Etapa Ingreso - Llegada]]="","",MARÍTIMOS[[#This Row],[Etapa Ingreso - Llegada]]),"")</f>
        <v/>
      </c>
      <c r="AJ938" s="11" t="str">
        <f>IFERROR(IF(MARÍTIMOS[[#This Row],[Etapa Ingreso - Ingeso]]="","",MARÍTIMOS[[#This Row],[Etapa Ingreso - Ingeso]]),"")</f>
        <v/>
      </c>
      <c r="AK938" s="11" t="str">
        <f>IFERROR(IF(MARÍTIMOS[[#This Row],[Etapa Ingreso - Atención]]="","",MARÍTIMOS[[#This Row],[Etapa Ingreso - Atención]]),"")</f>
        <v/>
      </c>
      <c r="AL938" s="11" t="str">
        <f>IFERROR(IF(MARÍTIMOS[[#This Row],[Etapa Ingreso - Salida]]="","",MARÍTIMOS[[#This Row],[Etapa Ingreso - Salida]]),"")</f>
        <v/>
      </c>
      <c r="AM938" s="2" t="str">
        <f>IFERROR(IF(MARÍTIMOS[[#This Row],[FCL]]="","",MARÍTIMOS[[#This Row],[FCL]]),"")</f>
        <v/>
      </c>
      <c r="AN9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8" s="4" t="str" cm="1">
        <f t="array" ref="AO9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8" s="5" t="str">
        <f>IFERROR(OLDBD[[#This Row],[Llegada a packing]]-OLDBD[[#This Row],[Inicio de Ruta]],"")</f>
        <v/>
      </c>
      <c r="AQ938" s="6" t="str">
        <f>IFERROR(OLDBD[[#This Row],[Inicio de Ruta]]-OLDBD[[#This Row],[Salida de almacén de retiro]],"")</f>
        <v/>
      </c>
      <c r="AR9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8" s="8" t="str" cm="1">
        <f t="array" ref="AS9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8" s="9" t="str">
        <f>IFERROR(OLDBD[[#This Row],[Ingreso Packing]]-OLDBD[[#This Row],[Registro en Packing]],"")</f>
        <v/>
      </c>
      <c r="AV938" s="9" t="str">
        <f>IFERROR(OLDBD[[#This Row],[Ingreso Packing]]-OLDBD[[#This Row],[Llegada a packing]],"")</f>
        <v/>
      </c>
      <c r="AW9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8" s="5" t="str">
        <f>IFERROR(OLDBD[[#This Row],[Llegada Almacén de Ingreso]]-OLDBD[[#This Row],[Salida Packing]],"")</f>
        <v/>
      </c>
      <c r="AY938" s="4" t="str" cm="1">
        <f t="array" ref="AY9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8" s="43" t="s">
        <v>173</v>
      </c>
      <c r="BB938" s="47" t="str">
        <f>IFERROR(IF(MARÍTIMOS[[#This Row],[Estatus]]="","",MARÍTIMOS[[#This Row],[Estatus]]),"")</f>
        <v/>
      </c>
      <c r="BC938" s="43"/>
      <c r="BD938" s="46" t="str">
        <f>IFERROR(OLDBD[[#This Row],[Salida de almacén de retiro]]-OLDBD[[#This Row],[Ingreso Almacén de retiro]],"")</f>
        <v/>
      </c>
      <c r="BE938" s="46" t="str">
        <f>IFERROR(OLDBD[[#This Row],[Fin de Carga]]-OLDBD[[#This Row],[Inicio de Carga]],"")</f>
        <v/>
      </c>
    </row>
    <row r="939" spans="1:57" customFormat="1" hidden="1">
      <c r="A939" s="1"/>
      <c r="B939" s="1" t="str">
        <f>IFERROR(IF(MARÍTIMOS[[#This Row],[PP]]="","",MARÍTIMOS[[#This Row],[PP]]),"")</f>
        <v/>
      </c>
      <c r="C939" s="1" t="str">
        <f>IFERROR(IF(MARÍTIMOS[[#This Row],[Sede]]="","",MARÍTIMOS[[#This Row],[Sede]]),"")</f>
        <v/>
      </c>
      <c r="D939" s="1" t="str">
        <f>IFERROR(IF(MARÍTIMOS[[#This Row],[Instruction]]="","",MARÍTIMOS[[#This Row],[Instruction]]),"")</f>
        <v/>
      </c>
      <c r="E939" s="1"/>
      <c r="F939" s="2" t="str">
        <f>IFERROR(IF(MARÍTIMOS[[#This Row],[Transportista]]="","",MARÍTIMOS[[#This Row],[Transportista]]),"")</f>
        <v/>
      </c>
      <c r="G939" s="2" t="str">
        <f>IFERROR(IF(MARÍTIMOS[[#This Row],[Tercero]]="","",MARÍTIMOS[[#This Row],[Tercero]]),"")</f>
        <v/>
      </c>
      <c r="H939" s="2" t="str">
        <f>IFERROR(IF(MARÍTIMOS[[#This Row],[Razón Social]]="","",MARÍTIMOS[[#This Row],[Razón Social]]),"")</f>
        <v/>
      </c>
      <c r="I939" s="2" t="str">
        <f>IFERROR(IF(MARÍTIMOS[[#This Row],[RUC]]="","",MARÍTIMOS[[#This Row],[RUC]]),"")</f>
        <v/>
      </c>
      <c r="J939" s="2" t="str">
        <f>IFERROR(IF(MARÍTIMOS[[#This Row],[Placa Tracto]]="","",MARÍTIMOS[[#This Row],[Placa Tracto]]),"")</f>
        <v/>
      </c>
      <c r="K939" s="2" t="str">
        <f>IFERROR(IF(MARÍTIMOS[[#This Row],[Placa Carreta]]="","",MARÍTIMOS[[#This Row],[Placa Carreta]]),"")</f>
        <v/>
      </c>
      <c r="L939" s="44" t="str">
        <f>IFERROR(IF(MARÍTIMOS[[#This Row],[Conductor]]="","",MARÍTIMOS[[#This Row],[Conductor]]),"")</f>
        <v/>
      </c>
      <c r="M939" s="2" t="str">
        <f>IFERROR(IF(MARÍTIMOS[[#This Row],[Licencia]]="","",MARÍTIMOS[[#This Row],[Licencia]]),"")</f>
        <v/>
      </c>
      <c r="N939" s="2" t="str">
        <f>IFERROR(IF(MARÍTIMOS[[#This Row],[Número de Contacto]]="","",MARÍTIMOS[[#This Row],[Número de Contacto]]),"")</f>
        <v/>
      </c>
      <c r="O939" s="10" t="str">
        <f>IFERROR(IF(MARÍTIMOS[[#This Row],[Booking|AWB|CRT]]="","",MARÍTIMOS[[#This Row],[Booking|AWB|CRT]]),"")</f>
        <v/>
      </c>
      <c r="P939" s="2" t="str">
        <f>IFERROR(IF(MARÍTIMOS[[#This Row],[Contenedor]]="","",MARÍTIMOS[[#This Row],[Contenedor]]),"")</f>
        <v/>
      </c>
      <c r="Q939" s="2" t="str">
        <f>IFERROR(IF(MARÍTIMOS[[#This Row],[Puerto de Retiro]]="","",MARÍTIMOS[[#This Row],[Puerto de Retiro]]),"")</f>
        <v/>
      </c>
      <c r="R939" s="2" t="str">
        <f>IFERROR(IF(MARÍTIMOS[[#This Row],[Almacén de Retiro]]="","",MARÍTIMOS[[#This Row],[Almacén de Retiro]]),"")</f>
        <v/>
      </c>
      <c r="S939" s="11" t="str">
        <f>IFERROR(IF(MARÍTIMOS[[#This Row],[Etapa Retiro - Cita]]="","",MARÍTIMOS[[#This Row],[Etapa Retiro - Cita]]),"")</f>
        <v/>
      </c>
      <c r="T939" s="11" t="str">
        <f>IFERROR(IF(MARÍTIMOS[[#This Row],[Etapa Retiro - Llegada]]="","",MARÍTIMOS[[#This Row],[Etapa Retiro - Llegada]]),"")</f>
        <v/>
      </c>
      <c r="U939" s="11" t="str">
        <f>IFERROR(IF(MARÍTIMOS[[#This Row],[Etapa Retiro - Ingreso]]="","",MARÍTIMOS[[#This Row],[Etapa Retiro - Ingreso]]),"")</f>
        <v/>
      </c>
      <c r="V939" s="11" t="str">
        <f>IFERROR(IF(MARÍTIMOS[[#This Row],[Etapa Retiro - Atención]]="","",MARÍTIMOS[[#This Row],[Etapa Retiro - Atención]]),"")</f>
        <v/>
      </c>
      <c r="W939" s="11" t="str">
        <f>IFERROR(IF(MARÍTIMOS[[#This Row],[Etapa Retiro - Atención]]="","",MARÍTIMOS[[#This Row],[Etapa Retiro - Atención]]),"")</f>
        <v/>
      </c>
      <c r="X939" s="11" t="str">
        <f>IFERROR(IF(MARÍTIMOS[[#This Row],[Etapa Retiro - Inicio de Ruta]]="","",MARÍTIMOS[[#This Row],[Etapa Retiro - Inicio de Ruta]]),"")</f>
        <v/>
      </c>
      <c r="Y939" s="11" t="str">
        <f>IFERROR(IF(MARÍTIMOS[[#This Row],[Hora de Posicionamiento]]="","",MARÍTIMOS[[#This Row],[Fecha de Carga]]+MARÍTIMOS[[#This Row],[Hora de Posicionamiento]]),"")</f>
        <v/>
      </c>
      <c r="Z939" s="11" t="str">
        <f>IFERROR(IF(MARÍTIMOS[[#This Row],[Etapa Despacho - Llegada]]="","",MARÍTIMOS[[#This Row],[Etapa Despacho - Llegada]]),"")</f>
        <v/>
      </c>
      <c r="AA939" s="11" t="str">
        <f>IFERROR(IF(MARÍTIMOS[[#This Row],[Etapa Despacho - Registro]]="","",MARÍTIMOS[[#This Row],[Etapa Despacho - Registro]]),"")</f>
        <v/>
      </c>
      <c r="AB939" s="11" t="str">
        <f>IFERROR(IF(MARÍTIMOS[[#This Row],[Inspección Externa]]="","",MARÍTIMOS[[#This Row],[Inspección Externa]]),"")</f>
        <v/>
      </c>
      <c r="AC939" s="11" t="str">
        <f>IFERROR(IF(MARÍTIMOS[[#This Row],[Etapa Despacho - Inicio de Carga]]="","",MARÍTIMOS[[#This Row],[Etapa Despacho - Inicio de Carga]]),"")</f>
        <v/>
      </c>
      <c r="AD939" s="11" t="str">
        <f>IFERROR(IF(MARÍTIMOS[[#This Row],[Etapa Despacho - Mitad de Carga]]="","",MARÍTIMOS[[#This Row],[Etapa Despacho - Mitad de Carga]]),"")</f>
        <v/>
      </c>
      <c r="AE939" s="11" t="str">
        <f>IFERROR(IF(MARÍTIMOS[[#This Row],[Etapa Despacho - Fin de Carga]]="","",MARÍTIMOS[[#This Row],[Etapa Despacho - Fin de Carga]]),"")</f>
        <v/>
      </c>
      <c r="AF939" s="2" t="str">
        <f>IFERROR(IF(MARÍTIMOS[[#This Row],[Puerto de Embarque]]="","",MARÍTIMOS[[#This Row],[Puerto de Embarque]]),"")</f>
        <v/>
      </c>
      <c r="AG939" s="2" t="str">
        <f>IFERROR(IF(MARÍTIMOS[[#This Row],[Almacén de Ingreso]]="","",MARÍTIMOS[[#This Row],[Almacén de Ingreso]]),"")</f>
        <v/>
      </c>
      <c r="AH939" s="11" t="str">
        <f>IFERROR(IF(MARÍTIMOS[[#This Row],[Etapa Ingreso - Cita]]="","",MARÍTIMOS[[#This Row],[Etapa Ingreso - Cita]]),"")</f>
        <v/>
      </c>
      <c r="AI939" s="11" t="str">
        <f>IFERROR(IF(MARÍTIMOS[[#This Row],[Etapa Ingreso - Llegada]]="","",MARÍTIMOS[[#This Row],[Etapa Ingreso - Llegada]]),"")</f>
        <v/>
      </c>
      <c r="AJ939" s="11" t="str">
        <f>IFERROR(IF(MARÍTIMOS[[#This Row],[Etapa Ingreso - Ingeso]]="","",MARÍTIMOS[[#This Row],[Etapa Ingreso - Ingeso]]),"")</f>
        <v/>
      </c>
      <c r="AK939" s="11" t="str">
        <f>IFERROR(IF(MARÍTIMOS[[#This Row],[Etapa Ingreso - Atención]]="","",MARÍTIMOS[[#This Row],[Etapa Ingreso - Atención]]),"")</f>
        <v/>
      </c>
      <c r="AL939" s="11" t="str">
        <f>IFERROR(IF(MARÍTIMOS[[#This Row],[Etapa Ingreso - Salida]]="","",MARÍTIMOS[[#This Row],[Etapa Ingreso - Salida]]),"")</f>
        <v/>
      </c>
      <c r="AM939" s="2" t="str">
        <f>IFERROR(IF(MARÍTIMOS[[#This Row],[FCL]]="","",MARÍTIMOS[[#This Row],[FCL]]),"")</f>
        <v/>
      </c>
      <c r="AN9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39" s="4" t="str" cm="1">
        <f t="array" ref="AO9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39" s="5" t="str">
        <f>IFERROR(OLDBD[[#This Row],[Llegada a packing]]-OLDBD[[#This Row],[Inicio de Ruta]],"")</f>
        <v/>
      </c>
      <c r="AQ939" s="6" t="str">
        <f>IFERROR(OLDBD[[#This Row],[Inicio de Ruta]]-OLDBD[[#This Row],[Salida de almacén de retiro]],"")</f>
        <v/>
      </c>
      <c r="AR9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39" s="8" t="str" cm="1">
        <f t="array" ref="AS9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39" s="9" t="str">
        <f>IFERROR(OLDBD[[#This Row],[Ingreso Packing]]-OLDBD[[#This Row],[Registro en Packing]],"")</f>
        <v/>
      </c>
      <c r="AV939" s="9" t="str">
        <f>IFERROR(OLDBD[[#This Row],[Ingreso Packing]]-OLDBD[[#This Row],[Llegada a packing]],"")</f>
        <v/>
      </c>
      <c r="AW9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39" s="5" t="str">
        <f>IFERROR(OLDBD[[#This Row],[Llegada Almacén de Ingreso]]-OLDBD[[#This Row],[Salida Packing]],"")</f>
        <v/>
      </c>
      <c r="AY939" s="4" t="str" cm="1">
        <f t="array" ref="AY9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39" s="43" t="s">
        <v>173</v>
      </c>
      <c r="BB939" s="47" t="str">
        <f>IFERROR(IF(MARÍTIMOS[[#This Row],[Estatus]]="","",MARÍTIMOS[[#This Row],[Estatus]]),"")</f>
        <v/>
      </c>
      <c r="BC939" s="43"/>
      <c r="BD939" s="46" t="str">
        <f>IFERROR(OLDBD[[#This Row],[Salida de almacén de retiro]]-OLDBD[[#This Row],[Ingreso Almacén de retiro]],"")</f>
        <v/>
      </c>
      <c r="BE939" s="46" t="str">
        <f>IFERROR(OLDBD[[#This Row],[Fin de Carga]]-OLDBD[[#This Row],[Inicio de Carga]],"")</f>
        <v/>
      </c>
    </row>
    <row r="940" spans="1:57" customFormat="1" hidden="1">
      <c r="A940" s="1"/>
      <c r="B940" s="1" t="str">
        <f>IFERROR(IF(MARÍTIMOS[[#This Row],[PP]]="","",MARÍTIMOS[[#This Row],[PP]]),"")</f>
        <v/>
      </c>
      <c r="C940" s="1" t="str">
        <f>IFERROR(IF(MARÍTIMOS[[#This Row],[Sede]]="","",MARÍTIMOS[[#This Row],[Sede]]),"")</f>
        <v/>
      </c>
      <c r="D940" s="1" t="str">
        <f>IFERROR(IF(MARÍTIMOS[[#This Row],[Instruction]]="","",MARÍTIMOS[[#This Row],[Instruction]]),"")</f>
        <v/>
      </c>
      <c r="E940" s="1"/>
      <c r="F940" s="2" t="str">
        <f>IFERROR(IF(MARÍTIMOS[[#This Row],[Transportista]]="","",MARÍTIMOS[[#This Row],[Transportista]]),"")</f>
        <v/>
      </c>
      <c r="G940" s="2" t="str">
        <f>IFERROR(IF(MARÍTIMOS[[#This Row],[Tercero]]="","",MARÍTIMOS[[#This Row],[Tercero]]),"")</f>
        <v/>
      </c>
      <c r="H940" s="2" t="str">
        <f>IFERROR(IF(MARÍTIMOS[[#This Row],[Razón Social]]="","",MARÍTIMOS[[#This Row],[Razón Social]]),"")</f>
        <v/>
      </c>
      <c r="I940" s="2" t="str">
        <f>IFERROR(IF(MARÍTIMOS[[#This Row],[RUC]]="","",MARÍTIMOS[[#This Row],[RUC]]),"")</f>
        <v/>
      </c>
      <c r="J940" s="2" t="str">
        <f>IFERROR(IF(MARÍTIMOS[[#This Row],[Placa Tracto]]="","",MARÍTIMOS[[#This Row],[Placa Tracto]]),"")</f>
        <v/>
      </c>
      <c r="K940" s="2" t="str">
        <f>IFERROR(IF(MARÍTIMOS[[#This Row],[Placa Carreta]]="","",MARÍTIMOS[[#This Row],[Placa Carreta]]),"")</f>
        <v/>
      </c>
      <c r="L940" s="44" t="str">
        <f>IFERROR(IF(MARÍTIMOS[[#This Row],[Conductor]]="","",MARÍTIMOS[[#This Row],[Conductor]]),"")</f>
        <v/>
      </c>
      <c r="M940" s="2" t="str">
        <f>IFERROR(IF(MARÍTIMOS[[#This Row],[Licencia]]="","",MARÍTIMOS[[#This Row],[Licencia]]),"")</f>
        <v/>
      </c>
      <c r="N940" s="2" t="str">
        <f>IFERROR(IF(MARÍTIMOS[[#This Row],[Número de Contacto]]="","",MARÍTIMOS[[#This Row],[Número de Contacto]]),"")</f>
        <v/>
      </c>
      <c r="O940" s="10" t="str">
        <f>IFERROR(IF(MARÍTIMOS[[#This Row],[Booking|AWB|CRT]]="","",MARÍTIMOS[[#This Row],[Booking|AWB|CRT]]),"")</f>
        <v/>
      </c>
      <c r="P940" s="2" t="str">
        <f>IFERROR(IF(MARÍTIMOS[[#This Row],[Contenedor]]="","",MARÍTIMOS[[#This Row],[Contenedor]]),"")</f>
        <v/>
      </c>
      <c r="Q940" s="2" t="str">
        <f>IFERROR(IF(MARÍTIMOS[[#This Row],[Puerto de Retiro]]="","",MARÍTIMOS[[#This Row],[Puerto de Retiro]]),"")</f>
        <v/>
      </c>
      <c r="R940" s="2" t="str">
        <f>IFERROR(IF(MARÍTIMOS[[#This Row],[Almacén de Retiro]]="","",MARÍTIMOS[[#This Row],[Almacén de Retiro]]),"")</f>
        <v/>
      </c>
      <c r="S940" s="11" t="str">
        <f>IFERROR(IF(MARÍTIMOS[[#This Row],[Etapa Retiro - Cita]]="","",MARÍTIMOS[[#This Row],[Etapa Retiro - Cita]]),"")</f>
        <v/>
      </c>
      <c r="T940" s="11" t="str">
        <f>IFERROR(IF(MARÍTIMOS[[#This Row],[Etapa Retiro - Llegada]]="","",MARÍTIMOS[[#This Row],[Etapa Retiro - Llegada]]),"")</f>
        <v/>
      </c>
      <c r="U940" s="11" t="str">
        <f>IFERROR(IF(MARÍTIMOS[[#This Row],[Etapa Retiro - Ingreso]]="","",MARÍTIMOS[[#This Row],[Etapa Retiro - Ingreso]]),"")</f>
        <v/>
      </c>
      <c r="V940" s="11" t="str">
        <f>IFERROR(IF(MARÍTIMOS[[#This Row],[Etapa Retiro - Atención]]="","",MARÍTIMOS[[#This Row],[Etapa Retiro - Atención]]),"")</f>
        <v/>
      </c>
      <c r="W940" s="11" t="str">
        <f>IFERROR(IF(MARÍTIMOS[[#This Row],[Etapa Retiro - Atención]]="","",MARÍTIMOS[[#This Row],[Etapa Retiro - Atención]]),"")</f>
        <v/>
      </c>
      <c r="X940" s="11" t="str">
        <f>IFERROR(IF(MARÍTIMOS[[#This Row],[Etapa Retiro - Inicio de Ruta]]="","",MARÍTIMOS[[#This Row],[Etapa Retiro - Inicio de Ruta]]),"")</f>
        <v/>
      </c>
      <c r="Y940" s="11" t="str">
        <f>IFERROR(IF(MARÍTIMOS[[#This Row],[Hora de Posicionamiento]]="","",MARÍTIMOS[[#This Row],[Fecha de Carga]]+MARÍTIMOS[[#This Row],[Hora de Posicionamiento]]),"")</f>
        <v/>
      </c>
      <c r="Z940" s="11" t="str">
        <f>IFERROR(IF(MARÍTIMOS[[#This Row],[Etapa Despacho - Llegada]]="","",MARÍTIMOS[[#This Row],[Etapa Despacho - Llegada]]),"")</f>
        <v/>
      </c>
      <c r="AA940" s="11" t="str">
        <f>IFERROR(IF(MARÍTIMOS[[#This Row],[Etapa Despacho - Registro]]="","",MARÍTIMOS[[#This Row],[Etapa Despacho - Registro]]),"")</f>
        <v/>
      </c>
      <c r="AB940" s="11" t="str">
        <f>IFERROR(IF(MARÍTIMOS[[#This Row],[Inspección Externa]]="","",MARÍTIMOS[[#This Row],[Inspección Externa]]),"")</f>
        <v/>
      </c>
      <c r="AC940" s="11" t="str">
        <f>IFERROR(IF(MARÍTIMOS[[#This Row],[Etapa Despacho - Inicio de Carga]]="","",MARÍTIMOS[[#This Row],[Etapa Despacho - Inicio de Carga]]),"")</f>
        <v/>
      </c>
      <c r="AD940" s="11" t="str">
        <f>IFERROR(IF(MARÍTIMOS[[#This Row],[Etapa Despacho - Mitad de Carga]]="","",MARÍTIMOS[[#This Row],[Etapa Despacho - Mitad de Carga]]),"")</f>
        <v/>
      </c>
      <c r="AE940" s="11" t="str">
        <f>IFERROR(IF(MARÍTIMOS[[#This Row],[Etapa Despacho - Fin de Carga]]="","",MARÍTIMOS[[#This Row],[Etapa Despacho - Fin de Carga]]),"")</f>
        <v/>
      </c>
      <c r="AF940" s="2" t="str">
        <f>IFERROR(IF(MARÍTIMOS[[#This Row],[Puerto de Embarque]]="","",MARÍTIMOS[[#This Row],[Puerto de Embarque]]),"")</f>
        <v/>
      </c>
      <c r="AG940" s="2" t="str">
        <f>IFERROR(IF(MARÍTIMOS[[#This Row],[Almacén de Ingreso]]="","",MARÍTIMOS[[#This Row],[Almacén de Ingreso]]),"")</f>
        <v/>
      </c>
      <c r="AH940" s="11" t="str">
        <f>IFERROR(IF(MARÍTIMOS[[#This Row],[Etapa Ingreso - Cita]]="","",MARÍTIMOS[[#This Row],[Etapa Ingreso - Cita]]),"")</f>
        <v/>
      </c>
      <c r="AI940" s="11" t="str">
        <f>IFERROR(IF(MARÍTIMOS[[#This Row],[Etapa Ingreso - Llegada]]="","",MARÍTIMOS[[#This Row],[Etapa Ingreso - Llegada]]),"")</f>
        <v/>
      </c>
      <c r="AJ940" s="11" t="str">
        <f>IFERROR(IF(MARÍTIMOS[[#This Row],[Etapa Ingreso - Ingeso]]="","",MARÍTIMOS[[#This Row],[Etapa Ingreso - Ingeso]]),"")</f>
        <v/>
      </c>
      <c r="AK940" s="11" t="str">
        <f>IFERROR(IF(MARÍTIMOS[[#This Row],[Etapa Ingreso - Atención]]="","",MARÍTIMOS[[#This Row],[Etapa Ingreso - Atención]]),"")</f>
        <v/>
      </c>
      <c r="AL940" s="11" t="str">
        <f>IFERROR(IF(MARÍTIMOS[[#This Row],[Etapa Ingreso - Salida]]="","",MARÍTIMOS[[#This Row],[Etapa Ingreso - Salida]]),"")</f>
        <v/>
      </c>
      <c r="AM940" s="2" t="str">
        <f>IFERROR(IF(MARÍTIMOS[[#This Row],[FCL]]="","",MARÍTIMOS[[#This Row],[FCL]]),"")</f>
        <v/>
      </c>
      <c r="AN9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0" s="4" t="str" cm="1">
        <f t="array" ref="AO9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0" s="5" t="str">
        <f>IFERROR(OLDBD[[#This Row],[Llegada a packing]]-OLDBD[[#This Row],[Inicio de Ruta]],"")</f>
        <v/>
      </c>
      <c r="AQ940" s="6" t="str">
        <f>IFERROR(OLDBD[[#This Row],[Inicio de Ruta]]-OLDBD[[#This Row],[Salida de almacén de retiro]],"")</f>
        <v/>
      </c>
      <c r="AR9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0" s="8" t="str" cm="1">
        <f t="array" ref="AS9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0" s="9" t="str">
        <f>IFERROR(OLDBD[[#This Row],[Ingreso Packing]]-OLDBD[[#This Row],[Registro en Packing]],"")</f>
        <v/>
      </c>
      <c r="AV940" s="9" t="str">
        <f>IFERROR(OLDBD[[#This Row],[Ingreso Packing]]-OLDBD[[#This Row],[Llegada a packing]],"")</f>
        <v/>
      </c>
      <c r="AW9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0" s="5" t="str">
        <f>IFERROR(OLDBD[[#This Row],[Llegada Almacén de Ingreso]]-OLDBD[[#This Row],[Salida Packing]],"")</f>
        <v/>
      </c>
      <c r="AY940" s="4" t="str" cm="1">
        <f t="array" ref="AY9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0" s="43" t="s">
        <v>173</v>
      </c>
      <c r="BB940" s="47" t="str">
        <f>IFERROR(IF(MARÍTIMOS[[#This Row],[Estatus]]="","",MARÍTIMOS[[#This Row],[Estatus]]),"")</f>
        <v/>
      </c>
      <c r="BC940" s="43"/>
      <c r="BD940" s="46" t="str">
        <f>IFERROR(OLDBD[[#This Row],[Salida de almacén de retiro]]-OLDBD[[#This Row],[Ingreso Almacén de retiro]],"")</f>
        <v/>
      </c>
      <c r="BE940" s="46" t="str">
        <f>IFERROR(OLDBD[[#This Row],[Fin de Carga]]-OLDBD[[#This Row],[Inicio de Carga]],"")</f>
        <v/>
      </c>
    </row>
    <row r="941" spans="1:57" customFormat="1" hidden="1">
      <c r="A941" s="1"/>
      <c r="B941" s="1" t="str">
        <f>IFERROR(IF(MARÍTIMOS[[#This Row],[PP]]="","",MARÍTIMOS[[#This Row],[PP]]),"")</f>
        <v/>
      </c>
      <c r="C941" s="1" t="str">
        <f>IFERROR(IF(MARÍTIMOS[[#This Row],[Sede]]="","",MARÍTIMOS[[#This Row],[Sede]]),"")</f>
        <v/>
      </c>
      <c r="D941" s="1" t="str">
        <f>IFERROR(IF(MARÍTIMOS[[#This Row],[Instruction]]="","",MARÍTIMOS[[#This Row],[Instruction]]),"")</f>
        <v/>
      </c>
      <c r="E941" s="1"/>
      <c r="F941" s="2" t="str">
        <f>IFERROR(IF(MARÍTIMOS[[#This Row],[Transportista]]="","",MARÍTIMOS[[#This Row],[Transportista]]),"")</f>
        <v/>
      </c>
      <c r="G941" s="2" t="str">
        <f>IFERROR(IF(MARÍTIMOS[[#This Row],[Tercero]]="","",MARÍTIMOS[[#This Row],[Tercero]]),"")</f>
        <v/>
      </c>
      <c r="H941" s="2" t="str">
        <f>IFERROR(IF(MARÍTIMOS[[#This Row],[Razón Social]]="","",MARÍTIMOS[[#This Row],[Razón Social]]),"")</f>
        <v/>
      </c>
      <c r="I941" s="2" t="str">
        <f>IFERROR(IF(MARÍTIMOS[[#This Row],[RUC]]="","",MARÍTIMOS[[#This Row],[RUC]]),"")</f>
        <v/>
      </c>
      <c r="J941" s="2" t="str">
        <f>IFERROR(IF(MARÍTIMOS[[#This Row],[Placa Tracto]]="","",MARÍTIMOS[[#This Row],[Placa Tracto]]),"")</f>
        <v/>
      </c>
      <c r="K941" s="2" t="str">
        <f>IFERROR(IF(MARÍTIMOS[[#This Row],[Placa Carreta]]="","",MARÍTIMOS[[#This Row],[Placa Carreta]]),"")</f>
        <v/>
      </c>
      <c r="L941" s="44" t="str">
        <f>IFERROR(IF(MARÍTIMOS[[#This Row],[Conductor]]="","",MARÍTIMOS[[#This Row],[Conductor]]),"")</f>
        <v/>
      </c>
      <c r="M941" s="2" t="str">
        <f>IFERROR(IF(MARÍTIMOS[[#This Row],[Licencia]]="","",MARÍTIMOS[[#This Row],[Licencia]]),"")</f>
        <v/>
      </c>
      <c r="N941" s="2" t="str">
        <f>IFERROR(IF(MARÍTIMOS[[#This Row],[Número de Contacto]]="","",MARÍTIMOS[[#This Row],[Número de Contacto]]),"")</f>
        <v/>
      </c>
      <c r="O941" s="10" t="str">
        <f>IFERROR(IF(MARÍTIMOS[[#This Row],[Booking|AWB|CRT]]="","",MARÍTIMOS[[#This Row],[Booking|AWB|CRT]]),"")</f>
        <v/>
      </c>
      <c r="P941" s="2" t="str">
        <f>IFERROR(IF(MARÍTIMOS[[#This Row],[Contenedor]]="","",MARÍTIMOS[[#This Row],[Contenedor]]),"")</f>
        <v/>
      </c>
      <c r="Q941" s="2" t="str">
        <f>IFERROR(IF(MARÍTIMOS[[#This Row],[Puerto de Retiro]]="","",MARÍTIMOS[[#This Row],[Puerto de Retiro]]),"")</f>
        <v/>
      </c>
      <c r="R941" s="2" t="str">
        <f>IFERROR(IF(MARÍTIMOS[[#This Row],[Almacén de Retiro]]="","",MARÍTIMOS[[#This Row],[Almacén de Retiro]]),"")</f>
        <v/>
      </c>
      <c r="S941" s="11" t="str">
        <f>IFERROR(IF(MARÍTIMOS[[#This Row],[Etapa Retiro - Cita]]="","",MARÍTIMOS[[#This Row],[Etapa Retiro - Cita]]),"")</f>
        <v/>
      </c>
      <c r="T941" s="11" t="str">
        <f>IFERROR(IF(MARÍTIMOS[[#This Row],[Etapa Retiro - Llegada]]="","",MARÍTIMOS[[#This Row],[Etapa Retiro - Llegada]]),"")</f>
        <v/>
      </c>
      <c r="U941" s="11" t="str">
        <f>IFERROR(IF(MARÍTIMOS[[#This Row],[Etapa Retiro - Ingreso]]="","",MARÍTIMOS[[#This Row],[Etapa Retiro - Ingreso]]),"")</f>
        <v/>
      </c>
      <c r="V941" s="11" t="str">
        <f>IFERROR(IF(MARÍTIMOS[[#This Row],[Etapa Retiro - Atención]]="","",MARÍTIMOS[[#This Row],[Etapa Retiro - Atención]]),"")</f>
        <v/>
      </c>
      <c r="W941" s="11" t="str">
        <f>IFERROR(IF(MARÍTIMOS[[#This Row],[Etapa Retiro - Atención]]="","",MARÍTIMOS[[#This Row],[Etapa Retiro - Atención]]),"")</f>
        <v/>
      </c>
      <c r="X941" s="11" t="str">
        <f>IFERROR(IF(MARÍTIMOS[[#This Row],[Etapa Retiro - Inicio de Ruta]]="","",MARÍTIMOS[[#This Row],[Etapa Retiro - Inicio de Ruta]]),"")</f>
        <v/>
      </c>
      <c r="Y941" s="11" t="str">
        <f>IFERROR(IF(MARÍTIMOS[[#This Row],[Hora de Posicionamiento]]="","",MARÍTIMOS[[#This Row],[Fecha de Carga]]+MARÍTIMOS[[#This Row],[Hora de Posicionamiento]]),"")</f>
        <v/>
      </c>
      <c r="Z941" s="11" t="str">
        <f>IFERROR(IF(MARÍTIMOS[[#This Row],[Etapa Despacho - Llegada]]="","",MARÍTIMOS[[#This Row],[Etapa Despacho - Llegada]]),"")</f>
        <v/>
      </c>
      <c r="AA941" s="11" t="str">
        <f>IFERROR(IF(MARÍTIMOS[[#This Row],[Etapa Despacho - Registro]]="","",MARÍTIMOS[[#This Row],[Etapa Despacho - Registro]]),"")</f>
        <v/>
      </c>
      <c r="AB941" s="11" t="str">
        <f>IFERROR(IF(MARÍTIMOS[[#This Row],[Inspección Externa]]="","",MARÍTIMOS[[#This Row],[Inspección Externa]]),"")</f>
        <v/>
      </c>
      <c r="AC941" s="11" t="str">
        <f>IFERROR(IF(MARÍTIMOS[[#This Row],[Etapa Despacho - Inicio de Carga]]="","",MARÍTIMOS[[#This Row],[Etapa Despacho - Inicio de Carga]]),"")</f>
        <v/>
      </c>
      <c r="AD941" s="11" t="str">
        <f>IFERROR(IF(MARÍTIMOS[[#This Row],[Etapa Despacho - Mitad de Carga]]="","",MARÍTIMOS[[#This Row],[Etapa Despacho - Mitad de Carga]]),"")</f>
        <v/>
      </c>
      <c r="AE941" s="11" t="str">
        <f>IFERROR(IF(MARÍTIMOS[[#This Row],[Etapa Despacho - Fin de Carga]]="","",MARÍTIMOS[[#This Row],[Etapa Despacho - Fin de Carga]]),"")</f>
        <v/>
      </c>
      <c r="AF941" s="2" t="str">
        <f>IFERROR(IF(MARÍTIMOS[[#This Row],[Puerto de Embarque]]="","",MARÍTIMOS[[#This Row],[Puerto de Embarque]]),"")</f>
        <v/>
      </c>
      <c r="AG941" s="2" t="str">
        <f>IFERROR(IF(MARÍTIMOS[[#This Row],[Almacén de Ingreso]]="","",MARÍTIMOS[[#This Row],[Almacén de Ingreso]]),"")</f>
        <v/>
      </c>
      <c r="AH941" s="11" t="str">
        <f>IFERROR(IF(MARÍTIMOS[[#This Row],[Etapa Ingreso - Cita]]="","",MARÍTIMOS[[#This Row],[Etapa Ingreso - Cita]]),"")</f>
        <v/>
      </c>
      <c r="AI941" s="11" t="str">
        <f>IFERROR(IF(MARÍTIMOS[[#This Row],[Etapa Ingreso - Llegada]]="","",MARÍTIMOS[[#This Row],[Etapa Ingreso - Llegada]]),"")</f>
        <v/>
      </c>
      <c r="AJ941" s="11" t="str">
        <f>IFERROR(IF(MARÍTIMOS[[#This Row],[Etapa Ingreso - Ingeso]]="","",MARÍTIMOS[[#This Row],[Etapa Ingreso - Ingeso]]),"")</f>
        <v/>
      </c>
      <c r="AK941" s="11" t="str">
        <f>IFERROR(IF(MARÍTIMOS[[#This Row],[Etapa Ingreso - Atención]]="","",MARÍTIMOS[[#This Row],[Etapa Ingreso - Atención]]),"")</f>
        <v/>
      </c>
      <c r="AL941" s="11" t="str">
        <f>IFERROR(IF(MARÍTIMOS[[#This Row],[Etapa Ingreso - Salida]]="","",MARÍTIMOS[[#This Row],[Etapa Ingreso - Salida]]),"")</f>
        <v/>
      </c>
      <c r="AM941" s="2" t="str">
        <f>IFERROR(IF(MARÍTIMOS[[#This Row],[FCL]]="","",MARÍTIMOS[[#This Row],[FCL]]),"")</f>
        <v/>
      </c>
      <c r="AN9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1" s="4" t="str" cm="1">
        <f t="array" ref="AO9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1" s="5" t="str">
        <f>IFERROR(OLDBD[[#This Row],[Llegada a packing]]-OLDBD[[#This Row],[Inicio de Ruta]],"")</f>
        <v/>
      </c>
      <c r="AQ941" s="6" t="str">
        <f>IFERROR(OLDBD[[#This Row],[Inicio de Ruta]]-OLDBD[[#This Row],[Salida de almacén de retiro]],"")</f>
        <v/>
      </c>
      <c r="AR9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1" s="8" t="str" cm="1">
        <f t="array" ref="AS9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1" s="9" t="str">
        <f>IFERROR(OLDBD[[#This Row],[Ingreso Packing]]-OLDBD[[#This Row],[Registro en Packing]],"")</f>
        <v/>
      </c>
      <c r="AV941" s="9" t="str">
        <f>IFERROR(OLDBD[[#This Row],[Ingreso Packing]]-OLDBD[[#This Row],[Llegada a packing]],"")</f>
        <v/>
      </c>
      <c r="AW9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1" s="5" t="str">
        <f>IFERROR(OLDBD[[#This Row],[Llegada Almacén de Ingreso]]-OLDBD[[#This Row],[Salida Packing]],"")</f>
        <v/>
      </c>
      <c r="AY941" s="4" t="str" cm="1">
        <f t="array" ref="AY9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1" s="43" t="s">
        <v>173</v>
      </c>
      <c r="BB941" s="47" t="str">
        <f>IFERROR(IF(MARÍTIMOS[[#This Row],[Estatus]]="","",MARÍTIMOS[[#This Row],[Estatus]]),"")</f>
        <v/>
      </c>
      <c r="BC941" s="43"/>
      <c r="BD941" s="46" t="str">
        <f>IFERROR(OLDBD[[#This Row],[Salida de almacén de retiro]]-OLDBD[[#This Row],[Ingreso Almacén de retiro]],"")</f>
        <v/>
      </c>
      <c r="BE941" s="46" t="str">
        <f>IFERROR(OLDBD[[#This Row],[Fin de Carga]]-OLDBD[[#This Row],[Inicio de Carga]],"")</f>
        <v/>
      </c>
    </row>
    <row r="942" spans="1:57" customFormat="1" hidden="1">
      <c r="A942" s="1"/>
      <c r="B942" s="1" t="str">
        <f>IFERROR(IF(MARÍTIMOS[[#This Row],[PP]]="","",MARÍTIMOS[[#This Row],[PP]]),"")</f>
        <v/>
      </c>
      <c r="C942" s="1" t="str">
        <f>IFERROR(IF(MARÍTIMOS[[#This Row],[Sede]]="","",MARÍTIMOS[[#This Row],[Sede]]),"")</f>
        <v/>
      </c>
      <c r="D942" s="1" t="str">
        <f>IFERROR(IF(MARÍTIMOS[[#This Row],[Instruction]]="","",MARÍTIMOS[[#This Row],[Instruction]]),"")</f>
        <v/>
      </c>
      <c r="E942" s="1"/>
      <c r="F942" s="2" t="str">
        <f>IFERROR(IF(MARÍTIMOS[[#This Row],[Transportista]]="","",MARÍTIMOS[[#This Row],[Transportista]]),"")</f>
        <v/>
      </c>
      <c r="G942" s="2" t="str">
        <f>IFERROR(IF(MARÍTIMOS[[#This Row],[Tercero]]="","",MARÍTIMOS[[#This Row],[Tercero]]),"")</f>
        <v/>
      </c>
      <c r="H942" s="2" t="str">
        <f>IFERROR(IF(MARÍTIMOS[[#This Row],[Razón Social]]="","",MARÍTIMOS[[#This Row],[Razón Social]]),"")</f>
        <v/>
      </c>
      <c r="I942" s="2" t="str">
        <f>IFERROR(IF(MARÍTIMOS[[#This Row],[RUC]]="","",MARÍTIMOS[[#This Row],[RUC]]),"")</f>
        <v/>
      </c>
      <c r="J942" s="2" t="str">
        <f>IFERROR(IF(MARÍTIMOS[[#This Row],[Placa Tracto]]="","",MARÍTIMOS[[#This Row],[Placa Tracto]]),"")</f>
        <v/>
      </c>
      <c r="K942" s="2" t="str">
        <f>IFERROR(IF(MARÍTIMOS[[#This Row],[Placa Carreta]]="","",MARÍTIMOS[[#This Row],[Placa Carreta]]),"")</f>
        <v/>
      </c>
      <c r="L942" s="44" t="str">
        <f>IFERROR(IF(MARÍTIMOS[[#This Row],[Conductor]]="","",MARÍTIMOS[[#This Row],[Conductor]]),"")</f>
        <v/>
      </c>
      <c r="M942" s="2" t="str">
        <f>IFERROR(IF(MARÍTIMOS[[#This Row],[Licencia]]="","",MARÍTIMOS[[#This Row],[Licencia]]),"")</f>
        <v/>
      </c>
      <c r="N942" s="2" t="str">
        <f>IFERROR(IF(MARÍTIMOS[[#This Row],[Número de Contacto]]="","",MARÍTIMOS[[#This Row],[Número de Contacto]]),"")</f>
        <v/>
      </c>
      <c r="O942" s="10" t="str">
        <f>IFERROR(IF(MARÍTIMOS[[#This Row],[Booking|AWB|CRT]]="","",MARÍTIMOS[[#This Row],[Booking|AWB|CRT]]),"")</f>
        <v/>
      </c>
      <c r="P942" s="2" t="str">
        <f>IFERROR(IF(MARÍTIMOS[[#This Row],[Contenedor]]="","",MARÍTIMOS[[#This Row],[Contenedor]]),"")</f>
        <v/>
      </c>
      <c r="Q942" s="2" t="str">
        <f>IFERROR(IF(MARÍTIMOS[[#This Row],[Puerto de Retiro]]="","",MARÍTIMOS[[#This Row],[Puerto de Retiro]]),"")</f>
        <v/>
      </c>
      <c r="R942" s="2" t="str">
        <f>IFERROR(IF(MARÍTIMOS[[#This Row],[Almacén de Retiro]]="","",MARÍTIMOS[[#This Row],[Almacén de Retiro]]),"")</f>
        <v/>
      </c>
      <c r="S942" s="11" t="str">
        <f>IFERROR(IF(MARÍTIMOS[[#This Row],[Etapa Retiro - Cita]]="","",MARÍTIMOS[[#This Row],[Etapa Retiro - Cita]]),"")</f>
        <v/>
      </c>
      <c r="T942" s="11" t="str">
        <f>IFERROR(IF(MARÍTIMOS[[#This Row],[Etapa Retiro - Llegada]]="","",MARÍTIMOS[[#This Row],[Etapa Retiro - Llegada]]),"")</f>
        <v/>
      </c>
      <c r="U942" s="11" t="str">
        <f>IFERROR(IF(MARÍTIMOS[[#This Row],[Etapa Retiro - Ingreso]]="","",MARÍTIMOS[[#This Row],[Etapa Retiro - Ingreso]]),"")</f>
        <v/>
      </c>
      <c r="V942" s="11" t="str">
        <f>IFERROR(IF(MARÍTIMOS[[#This Row],[Etapa Retiro - Atención]]="","",MARÍTIMOS[[#This Row],[Etapa Retiro - Atención]]),"")</f>
        <v/>
      </c>
      <c r="W942" s="11" t="str">
        <f>IFERROR(IF(MARÍTIMOS[[#This Row],[Etapa Retiro - Atención]]="","",MARÍTIMOS[[#This Row],[Etapa Retiro - Atención]]),"")</f>
        <v/>
      </c>
      <c r="X942" s="11" t="str">
        <f>IFERROR(IF(MARÍTIMOS[[#This Row],[Etapa Retiro - Inicio de Ruta]]="","",MARÍTIMOS[[#This Row],[Etapa Retiro - Inicio de Ruta]]),"")</f>
        <v/>
      </c>
      <c r="Y942" s="11" t="str">
        <f>IFERROR(IF(MARÍTIMOS[[#This Row],[Hora de Posicionamiento]]="","",MARÍTIMOS[[#This Row],[Fecha de Carga]]+MARÍTIMOS[[#This Row],[Hora de Posicionamiento]]),"")</f>
        <v/>
      </c>
      <c r="Z942" s="11" t="str">
        <f>IFERROR(IF(MARÍTIMOS[[#This Row],[Etapa Despacho - Llegada]]="","",MARÍTIMOS[[#This Row],[Etapa Despacho - Llegada]]),"")</f>
        <v/>
      </c>
      <c r="AA942" s="11" t="str">
        <f>IFERROR(IF(MARÍTIMOS[[#This Row],[Etapa Despacho - Registro]]="","",MARÍTIMOS[[#This Row],[Etapa Despacho - Registro]]),"")</f>
        <v/>
      </c>
      <c r="AB942" s="11" t="str">
        <f>IFERROR(IF(MARÍTIMOS[[#This Row],[Inspección Externa]]="","",MARÍTIMOS[[#This Row],[Inspección Externa]]),"")</f>
        <v/>
      </c>
      <c r="AC942" s="11" t="str">
        <f>IFERROR(IF(MARÍTIMOS[[#This Row],[Etapa Despacho - Inicio de Carga]]="","",MARÍTIMOS[[#This Row],[Etapa Despacho - Inicio de Carga]]),"")</f>
        <v/>
      </c>
      <c r="AD942" s="11" t="str">
        <f>IFERROR(IF(MARÍTIMOS[[#This Row],[Etapa Despacho - Mitad de Carga]]="","",MARÍTIMOS[[#This Row],[Etapa Despacho - Mitad de Carga]]),"")</f>
        <v/>
      </c>
      <c r="AE942" s="11" t="str">
        <f>IFERROR(IF(MARÍTIMOS[[#This Row],[Etapa Despacho - Fin de Carga]]="","",MARÍTIMOS[[#This Row],[Etapa Despacho - Fin de Carga]]),"")</f>
        <v/>
      </c>
      <c r="AF942" s="2" t="str">
        <f>IFERROR(IF(MARÍTIMOS[[#This Row],[Puerto de Embarque]]="","",MARÍTIMOS[[#This Row],[Puerto de Embarque]]),"")</f>
        <v/>
      </c>
      <c r="AG942" s="2" t="str">
        <f>IFERROR(IF(MARÍTIMOS[[#This Row],[Almacén de Ingreso]]="","",MARÍTIMOS[[#This Row],[Almacén de Ingreso]]),"")</f>
        <v/>
      </c>
      <c r="AH942" s="11" t="str">
        <f>IFERROR(IF(MARÍTIMOS[[#This Row],[Etapa Ingreso - Cita]]="","",MARÍTIMOS[[#This Row],[Etapa Ingreso - Cita]]),"")</f>
        <v/>
      </c>
      <c r="AI942" s="11" t="str">
        <f>IFERROR(IF(MARÍTIMOS[[#This Row],[Etapa Ingreso - Llegada]]="","",MARÍTIMOS[[#This Row],[Etapa Ingreso - Llegada]]),"")</f>
        <v/>
      </c>
      <c r="AJ942" s="11" t="str">
        <f>IFERROR(IF(MARÍTIMOS[[#This Row],[Etapa Ingreso - Ingeso]]="","",MARÍTIMOS[[#This Row],[Etapa Ingreso - Ingeso]]),"")</f>
        <v/>
      </c>
      <c r="AK942" s="11" t="str">
        <f>IFERROR(IF(MARÍTIMOS[[#This Row],[Etapa Ingreso - Atención]]="","",MARÍTIMOS[[#This Row],[Etapa Ingreso - Atención]]),"")</f>
        <v/>
      </c>
      <c r="AL942" s="11" t="str">
        <f>IFERROR(IF(MARÍTIMOS[[#This Row],[Etapa Ingreso - Salida]]="","",MARÍTIMOS[[#This Row],[Etapa Ingreso - Salida]]),"")</f>
        <v/>
      </c>
      <c r="AM942" s="2" t="str">
        <f>IFERROR(IF(MARÍTIMOS[[#This Row],[FCL]]="","",MARÍTIMOS[[#This Row],[FCL]]),"")</f>
        <v/>
      </c>
      <c r="AN9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2" s="4" t="str" cm="1">
        <f t="array" ref="AO9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2" s="5" t="str">
        <f>IFERROR(OLDBD[[#This Row],[Llegada a packing]]-OLDBD[[#This Row],[Inicio de Ruta]],"")</f>
        <v/>
      </c>
      <c r="AQ942" s="6" t="str">
        <f>IFERROR(OLDBD[[#This Row],[Inicio de Ruta]]-OLDBD[[#This Row],[Salida de almacén de retiro]],"")</f>
        <v/>
      </c>
      <c r="AR9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2" s="8" t="str" cm="1">
        <f t="array" ref="AS9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2" s="9" t="str">
        <f>IFERROR(OLDBD[[#This Row],[Ingreso Packing]]-OLDBD[[#This Row],[Registro en Packing]],"")</f>
        <v/>
      </c>
      <c r="AV942" s="9" t="str">
        <f>IFERROR(OLDBD[[#This Row],[Ingreso Packing]]-OLDBD[[#This Row],[Llegada a packing]],"")</f>
        <v/>
      </c>
      <c r="AW9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2" s="5" t="str">
        <f>IFERROR(OLDBD[[#This Row],[Llegada Almacén de Ingreso]]-OLDBD[[#This Row],[Salida Packing]],"")</f>
        <v/>
      </c>
      <c r="AY942" s="4" t="str" cm="1">
        <f t="array" ref="AY9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2" s="43" t="s">
        <v>173</v>
      </c>
      <c r="BB942" s="47" t="str">
        <f>IFERROR(IF(MARÍTIMOS[[#This Row],[Estatus]]="","",MARÍTIMOS[[#This Row],[Estatus]]),"")</f>
        <v/>
      </c>
      <c r="BC942" s="43"/>
      <c r="BD942" s="46" t="str">
        <f>IFERROR(OLDBD[[#This Row],[Salida de almacén de retiro]]-OLDBD[[#This Row],[Ingreso Almacén de retiro]],"")</f>
        <v/>
      </c>
      <c r="BE942" s="46" t="str">
        <f>IFERROR(OLDBD[[#This Row],[Fin de Carga]]-OLDBD[[#This Row],[Inicio de Carga]],"")</f>
        <v/>
      </c>
    </row>
    <row r="943" spans="1:57" customFormat="1" hidden="1">
      <c r="A943" s="1"/>
      <c r="B943" s="1" t="str">
        <f>IFERROR(IF(MARÍTIMOS[[#This Row],[PP]]="","",MARÍTIMOS[[#This Row],[PP]]),"")</f>
        <v/>
      </c>
      <c r="C943" s="1" t="str">
        <f>IFERROR(IF(MARÍTIMOS[[#This Row],[Sede]]="","",MARÍTIMOS[[#This Row],[Sede]]),"")</f>
        <v/>
      </c>
      <c r="D943" s="1" t="str">
        <f>IFERROR(IF(MARÍTIMOS[[#This Row],[Instruction]]="","",MARÍTIMOS[[#This Row],[Instruction]]),"")</f>
        <v/>
      </c>
      <c r="E943" s="1"/>
      <c r="F943" s="2" t="str">
        <f>IFERROR(IF(MARÍTIMOS[[#This Row],[Transportista]]="","",MARÍTIMOS[[#This Row],[Transportista]]),"")</f>
        <v/>
      </c>
      <c r="G943" s="2" t="str">
        <f>IFERROR(IF(MARÍTIMOS[[#This Row],[Tercero]]="","",MARÍTIMOS[[#This Row],[Tercero]]),"")</f>
        <v/>
      </c>
      <c r="H943" s="2" t="str">
        <f>IFERROR(IF(MARÍTIMOS[[#This Row],[Razón Social]]="","",MARÍTIMOS[[#This Row],[Razón Social]]),"")</f>
        <v/>
      </c>
      <c r="I943" s="2" t="str">
        <f>IFERROR(IF(MARÍTIMOS[[#This Row],[RUC]]="","",MARÍTIMOS[[#This Row],[RUC]]),"")</f>
        <v/>
      </c>
      <c r="J943" s="2" t="str">
        <f>IFERROR(IF(MARÍTIMOS[[#This Row],[Placa Tracto]]="","",MARÍTIMOS[[#This Row],[Placa Tracto]]),"")</f>
        <v/>
      </c>
      <c r="K943" s="2" t="str">
        <f>IFERROR(IF(MARÍTIMOS[[#This Row],[Placa Carreta]]="","",MARÍTIMOS[[#This Row],[Placa Carreta]]),"")</f>
        <v/>
      </c>
      <c r="L943" s="44" t="str">
        <f>IFERROR(IF(MARÍTIMOS[[#This Row],[Conductor]]="","",MARÍTIMOS[[#This Row],[Conductor]]),"")</f>
        <v/>
      </c>
      <c r="M943" s="2" t="str">
        <f>IFERROR(IF(MARÍTIMOS[[#This Row],[Licencia]]="","",MARÍTIMOS[[#This Row],[Licencia]]),"")</f>
        <v/>
      </c>
      <c r="N943" s="2" t="str">
        <f>IFERROR(IF(MARÍTIMOS[[#This Row],[Número de Contacto]]="","",MARÍTIMOS[[#This Row],[Número de Contacto]]),"")</f>
        <v/>
      </c>
      <c r="O943" s="10" t="str">
        <f>IFERROR(IF(MARÍTIMOS[[#This Row],[Booking|AWB|CRT]]="","",MARÍTIMOS[[#This Row],[Booking|AWB|CRT]]),"")</f>
        <v/>
      </c>
      <c r="P943" s="2" t="str">
        <f>IFERROR(IF(MARÍTIMOS[[#This Row],[Contenedor]]="","",MARÍTIMOS[[#This Row],[Contenedor]]),"")</f>
        <v/>
      </c>
      <c r="Q943" s="2" t="str">
        <f>IFERROR(IF(MARÍTIMOS[[#This Row],[Puerto de Retiro]]="","",MARÍTIMOS[[#This Row],[Puerto de Retiro]]),"")</f>
        <v/>
      </c>
      <c r="R943" s="2" t="str">
        <f>IFERROR(IF(MARÍTIMOS[[#This Row],[Almacén de Retiro]]="","",MARÍTIMOS[[#This Row],[Almacén de Retiro]]),"")</f>
        <v/>
      </c>
      <c r="S943" s="11" t="str">
        <f>IFERROR(IF(MARÍTIMOS[[#This Row],[Etapa Retiro - Cita]]="","",MARÍTIMOS[[#This Row],[Etapa Retiro - Cita]]),"")</f>
        <v/>
      </c>
      <c r="T943" s="11" t="str">
        <f>IFERROR(IF(MARÍTIMOS[[#This Row],[Etapa Retiro - Llegada]]="","",MARÍTIMOS[[#This Row],[Etapa Retiro - Llegada]]),"")</f>
        <v/>
      </c>
      <c r="U943" s="11" t="str">
        <f>IFERROR(IF(MARÍTIMOS[[#This Row],[Etapa Retiro - Ingreso]]="","",MARÍTIMOS[[#This Row],[Etapa Retiro - Ingreso]]),"")</f>
        <v/>
      </c>
      <c r="V943" s="11" t="str">
        <f>IFERROR(IF(MARÍTIMOS[[#This Row],[Etapa Retiro - Atención]]="","",MARÍTIMOS[[#This Row],[Etapa Retiro - Atención]]),"")</f>
        <v/>
      </c>
      <c r="W943" s="11" t="str">
        <f>IFERROR(IF(MARÍTIMOS[[#This Row],[Etapa Retiro - Atención]]="","",MARÍTIMOS[[#This Row],[Etapa Retiro - Atención]]),"")</f>
        <v/>
      </c>
      <c r="X943" s="11" t="str">
        <f>IFERROR(IF(MARÍTIMOS[[#This Row],[Etapa Retiro - Inicio de Ruta]]="","",MARÍTIMOS[[#This Row],[Etapa Retiro - Inicio de Ruta]]),"")</f>
        <v/>
      </c>
      <c r="Y943" s="11" t="str">
        <f>IFERROR(IF(MARÍTIMOS[[#This Row],[Hora de Posicionamiento]]="","",MARÍTIMOS[[#This Row],[Fecha de Carga]]+MARÍTIMOS[[#This Row],[Hora de Posicionamiento]]),"")</f>
        <v/>
      </c>
      <c r="Z943" s="11" t="str">
        <f>IFERROR(IF(MARÍTIMOS[[#This Row],[Etapa Despacho - Llegada]]="","",MARÍTIMOS[[#This Row],[Etapa Despacho - Llegada]]),"")</f>
        <v/>
      </c>
      <c r="AA943" s="11" t="str">
        <f>IFERROR(IF(MARÍTIMOS[[#This Row],[Etapa Despacho - Registro]]="","",MARÍTIMOS[[#This Row],[Etapa Despacho - Registro]]),"")</f>
        <v/>
      </c>
      <c r="AB943" s="11" t="str">
        <f>IFERROR(IF(MARÍTIMOS[[#This Row],[Inspección Externa]]="","",MARÍTIMOS[[#This Row],[Inspección Externa]]),"")</f>
        <v/>
      </c>
      <c r="AC943" s="11" t="str">
        <f>IFERROR(IF(MARÍTIMOS[[#This Row],[Etapa Despacho - Inicio de Carga]]="","",MARÍTIMOS[[#This Row],[Etapa Despacho - Inicio de Carga]]),"")</f>
        <v/>
      </c>
      <c r="AD943" s="11" t="str">
        <f>IFERROR(IF(MARÍTIMOS[[#This Row],[Etapa Despacho - Mitad de Carga]]="","",MARÍTIMOS[[#This Row],[Etapa Despacho - Mitad de Carga]]),"")</f>
        <v/>
      </c>
      <c r="AE943" s="11" t="str">
        <f>IFERROR(IF(MARÍTIMOS[[#This Row],[Etapa Despacho - Fin de Carga]]="","",MARÍTIMOS[[#This Row],[Etapa Despacho - Fin de Carga]]),"")</f>
        <v/>
      </c>
      <c r="AF943" s="2" t="str">
        <f>IFERROR(IF(MARÍTIMOS[[#This Row],[Puerto de Embarque]]="","",MARÍTIMOS[[#This Row],[Puerto de Embarque]]),"")</f>
        <v/>
      </c>
      <c r="AG943" s="2" t="str">
        <f>IFERROR(IF(MARÍTIMOS[[#This Row],[Almacén de Ingreso]]="","",MARÍTIMOS[[#This Row],[Almacén de Ingreso]]),"")</f>
        <v/>
      </c>
      <c r="AH943" s="11" t="str">
        <f>IFERROR(IF(MARÍTIMOS[[#This Row],[Etapa Ingreso - Cita]]="","",MARÍTIMOS[[#This Row],[Etapa Ingreso - Cita]]),"")</f>
        <v/>
      </c>
      <c r="AI943" s="11" t="str">
        <f>IFERROR(IF(MARÍTIMOS[[#This Row],[Etapa Ingreso - Llegada]]="","",MARÍTIMOS[[#This Row],[Etapa Ingreso - Llegada]]),"")</f>
        <v/>
      </c>
      <c r="AJ943" s="11" t="str">
        <f>IFERROR(IF(MARÍTIMOS[[#This Row],[Etapa Ingreso - Ingeso]]="","",MARÍTIMOS[[#This Row],[Etapa Ingreso - Ingeso]]),"")</f>
        <v/>
      </c>
      <c r="AK943" s="11" t="str">
        <f>IFERROR(IF(MARÍTIMOS[[#This Row],[Etapa Ingreso - Atención]]="","",MARÍTIMOS[[#This Row],[Etapa Ingreso - Atención]]),"")</f>
        <v/>
      </c>
      <c r="AL943" s="11" t="str">
        <f>IFERROR(IF(MARÍTIMOS[[#This Row],[Etapa Ingreso - Salida]]="","",MARÍTIMOS[[#This Row],[Etapa Ingreso - Salida]]),"")</f>
        <v/>
      </c>
      <c r="AM943" s="2" t="str">
        <f>IFERROR(IF(MARÍTIMOS[[#This Row],[FCL]]="","",MARÍTIMOS[[#This Row],[FCL]]),"")</f>
        <v/>
      </c>
      <c r="AN9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3" s="4" t="str" cm="1">
        <f t="array" ref="AO9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3" s="5" t="str">
        <f>IFERROR(OLDBD[[#This Row],[Llegada a packing]]-OLDBD[[#This Row],[Inicio de Ruta]],"")</f>
        <v/>
      </c>
      <c r="AQ943" s="6" t="str">
        <f>IFERROR(OLDBD[[#This Row],[Inicio de Ruta]]-OLDBD[[#This Row],[Salida de almacén de retiro]],"")</f>
        <v/>
      </c>
      <c r="AR9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3" s="8" t="str" cm="1">
        <f t="array" ref="AS9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3" s="9" t="str">
        <f>IFERROR(OLDBD[[#This Row],[Ingreso Packing]]-OLDBD[[#This Row],[Registro en Packing]],"")</f>
        <v/>
      </c>
      <c r="AV943" s="9" t="str">
        <f>IFERROR(OLDBD[[#This Row],[Ingreso Packing]]-OLDBD[[#This Row],[Llegada a packing]],"")</f>
        <v/>
      </c>
      <c r="AW9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3" s="5" t="str">
        <f>IFERROR(OLDBD[[#This Row],[Llegada Almacén de Ingreso]]-OLDBD[[#This Row],[Salida Packing]],"")</f>
        <v/>
      </c>
      <c r="AY943" s="4" t="str" cm="1">
        <f t="array" ref="AY9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3" s="43" t="s">
        <v>173</v>
      </c>
      <c r="BB943" s="47" t="str">
        <f>IFERROR(IF(MARÍTIMOS[[#This Row],[Estatus]]="","",MARÍTIMOS[[#This Row],[Estatus]]),"")</f>
        <v/>
      </c>
      <c r="BC943" s="43"/>
      <c r="BD943" s="46" t="str">
        <f>IFERROR(OLDBD[[#This Row],[Salida de almacén de retiro]]-OLDBD[[#This Row],[Ingreso Almacén de retiro]],"")</f>
        <v/>
      </c>
      <c r="BE943" s="46" t="str">
        <f>IFERROR(OLDBD[[#This Row],[Fin de Carga]]-OLDBD[[#This Row],[Inicio de Carga]],"")</f>
        <v/>
      </c>
    </row>
    <row r="944" spans="1:57" customFormat="1" hidden="1">
      <c r="A944" s="1"/>
      <c r="B944" s="1" t="str">
        <f>IFERROR(IF(MARÍTIMOS[[#This Row],[PP]]="","",MARÍTIMOS[[#This Row],[PP]]),"")</f>
        <v/>
      </c>
      <c r="C944" s="1" t="str">
        <f>IFERROR(IF(MARÍTIMOS[[#This Row],[Sede]]="","",MARÍTIMOS[[#This Row],[Sede]]),"")</f>
        <v/>
      </c>
      <c r="D944" s="1" t="str">
        <f>IFERROR(IF(MARÍTIMOS[[#This Row],[Instruction]]="","",MARÍTIMOS[[#This Row],[Instruction]]),"")</f>
        <v/>
      </c>
      <c r="E944" s="1"/>
      <c r="F944" s="2" t="str">
        <f>IFERROR(IF(MARÍTIMOS[[#This Row],[Transportista]]="","",MARÍTIMOS[[#This Row],[Transportista]]),"")</f>
        <v/>
      </c>
      <c r="G944" s="2" t="str">
        <f>IFERROR(IF(MARÍTIMOS[[#This Row],[Tercero]]="","",MARÍTIMOS[[#This Row],[Tercero]]),"")</f>
        <v/>
      </c>
      <c r="H944" s="2" t="str">
        <f>IFERROR(IF(MARÍTIMOS[[#This Row],[Razón Social]]="","",MARÍTIMOS[[#This Row],[Razón Social]]),"")</f>
        <v/>
      </c>
      <c r="I944" s="2" t="str">
        <f>IFERROR(IF(MARÍTIMOS[[#This Row],[RUC]]="","",MARÍTIMOS[[#This Row],[RUC]]),"")</f>
        <v/>
      </c>
      <c r="J944" s="2" t="str">
        <f>IFERROR(IF(MARÍTIMOS[[#This Row],[Placa Tracto]]="","",MARÍTIMOS[[#This Row],[Placa Tracto]]),"")</f>
        <v/>
      </c>
      <c r="K944" s="2" t="str">
        <f>IFERROR(IF(MARÍTIMOS[[#This Row],[Placa Carreta]]="","",MARÍTIMOS[[#This Row],[Placa Carreta]]),"")</f>
        <v/>
      </c>
      <c r="L944" s="44" t="str">
        <f>IFERROR(IF(MARÍTIMOS[[#This Row],[Conductor]]="","",MARÍTIMOS[[#This Row],[Conductor]]),"")</f>
        <v/>
      </c>
      <c r="M944" s="2" t="str">
        <f>IFERROR(IF(MARÍTIMOS[[#This Row],[Licencia]]="","",MARÍTIMOS[[#This Row],[Licencia]]),"")</f>
        <v/>
      </c>
      <c r="N944" s="2" t="str">
        <f>IFERROR(IF(MARÍTIMOS[[#This Row],[Número de Contacto]]="","",MARÍTIMOS[[#This Row],[Número de Contacto]]),"")</f>
        <v/>
      </c>
      <c r="O944" s="10" t="str">
        <f>IFERROR(IF(MARÍTIMOS[[#This Row],[Booking|AWB|CRT]]="","",MARÍTIMOS[[#This Row],[Booking|AWB|CRT]]),"")</f>
        <v/>
      </c>
      <c r="P944" s="2" t="str">
        <f>IFERROR(IF(MARÍTIMOS[[#This Row],[Contenedor]]="","",MARÍTIMOS[[#This Row],[Contenedor]]),"")</f>
        <v/>
      </c>
      <c r="Q944" s="2" t="str">
        <f>IFERROR(IF(MARÍTIMOS[[#This Row],[Puerto de Retiro]]="","",MARÍTIMOS[[#This Row],[Puerto de Retiro]]),"")</f>
        <v/>
      </c>
      <c r="R944" s="2" t="str">
        <f>IFERROR(IF(MARÍTIMOS[[#This Row],[Almacén de Retiro]]="","",MARÍTIMOS[[#This Row],[Almacén de Retiro]]),"")</f>
        <v/>
      </c>
      <c r="S944" s="11" t="str">
        <f>IFERROR(IF(MARÍTIMOS[[#This Row],[Etapa Retiro - Cita]]="","",MARÍTIMOS[[#This Row],[Etapa Retiro - Cita]]),"")</f>
        <v/>
      </c>
      <c r="T944" s="11" t="str">
        <f>IFERROR(IF(MARÍTIMOS[[#This Row],[Etapa Retiro - Llegada]]="","",MARÍTIMOS[[#This Row],[Etapa Retiro - Llegada]]),"")</f>
        <v/>
      </c>
      <c r="U944" s="11" t="str">
        <f>IFERROR(IF(MARÍTIMOS[[#This Row],[Etapa Retiro - Ingreso]]="","",MARÍTIMOS[[#This Row],[Etapa Retiro - Ingreso]]),"")</f>
        <v/>
      </c>
      <c r="V944" s="11" t="str">
        <f>IFERROR(IF(MARÍTIMOS[[#This Row],[Etapa Retiro - Atención]]="","",MARÍTIMOS[[#This Row],[Etapa Retiro - Atención]]),"")</f>
        <v/>
      </c>
      <c r="W944" s="11" t="str">
        <f>IFERROR(IF(MARÍTIMOS[[#This Row],[Etapa Retiro - Atención]]="","",MARÍTIMOS[[#This Row],[Etapa Retiro - Atención]]),"")</f>
        <v/>
      </c>
      <c r="X944" s="11" t="str">
        <f>IFERROR(IF(MARÍTIMOS[[#This Row],[Etapa Retiro - Inicio de Ruta]]="","",MARÍTIMOS[[#This Row],[Etapa Retiro - Inicio de Ruta]]),"")</f>
        <v/>
      </c>
      <c r="Y944" s="11" t="str">
        <f>IFERROR(IF(MARÍTIMOS[[#This Row],[Hora de Posicionamiento]]="","",MARÍTIMOS[[#This Row],[Fecha de Carga]]+MARÍTIMOS[[#This Row],[Hora de Posicionamiento]]),"")</f>
        <v/>
      </c>
      <c r="Z944" s="11" t="str">
        <f>IFERROR(IF(MARÍTIMOS[[#This Row],[Etapa Despacho - Llegada]]="","",MARÍTIMOS[[#This Row],[Etapa Despacho - Llegada]]),"")</f>
        <v/>
      </c>
      <c r="AA944" s="11" t="str">
        <f>IFERROR(IF(MARÍTIMOS[[#This Row],[Etapa Despacho - Registro]]="","",MARÍTIMOS[[#This Row],[Etapa Despacho - Registro]]),"")</f>
        <v/>
      </c>
      <c r="AB944" s="11" t="str">
        <f>IFERROR(IF(MARÍTIMOS[[#This Row],[Inspección Externa]]="","",MARÍTIMOS[[#This Row],[Inspección Externa]]),"")</f>
        <v/>
      </c>
      <c r="AC944" s="11" t="str">
        <f>IFERROR(IF(MARÍTIMOS[[#This Row],[Etapa Despacho - Inicio de Carga]]="","",MARÍTIMOS[[#This Row],[Etapa Despacho - Inicio de Carga]]),"")</f>
        <v/>
      </c>
      <c r="AD944" s="11" t="str">
        <f>IFERROR(IF(MARÍTIMOS[[#This Row],[Etapa Despacho - Mitad de Carga]]="","",MARÍTIMOS[[#This Row],[Etapa Despacho - Mitad de Carga]]),"")</f>
        <v/>
      </c>
      <c r="AE944" s="11" t="str">
        <f>IFERROR(IF(MARÍTIMOS[[#This Row],[Etapa Despacho - Fin de Carga]]="","",MARÍTIMOS[[#This Row],[Etapa Despacho - Fin de Carga]]),"")</f>
        <v/>
      </c>
      <c r="AF944" s="2" t="str">
        <f>IFERROR(IF(MARÍTIMOS[[#This Row],[Puerto de Embarque]]="","",MARÍTIMOS[[#This Row],[Puerto de Embarque]]),"")</f>
        <v/>
      </c>
      <c r="AG944" s="2" t="str">
        <f>IFERROR(IF(MARÍTIMOS[[#This Row],[Almacén de Ingreso]]="","",MARÍTIMOS[[#This Row],[Almacén de Ingreso]]),"")</f>
        <v/>
      </c>
      <c r="AH944" s="11" t="str">
        <f>IFERROR(IF(MARÍTIMOS[[#This Row],[Etapa Ingreso - Cita]]="","",MARÍTIMOS[[#This Row],[Etapa Ingreso - Cita]]),"")</f>
        <v/>
      </c>
      <c r="AI944" s="11" t="str">
        <f>IFERROR(IF(MARÍTIMOS[[#This Row],[Etapa Ingreso - Llegada]]="","",MARÍTIMOS[[#This Row],[Etapa Ingreso - Llegada]]),"")</f>
        <v/>
      </c>
      <c r="AJ944" s="11" t="str">
        <f>IFERROR(IF(MARÍTIMOS[[#This Row],[Etapa Ingreso - Ingeso]]="","",MARÍTIMOS[[#This Row],[Etapa Ingreso - Ingeso]]),"")</f>
        <v/>
      </c>
      <c r="AK944" s="11" t="str">
        <f>IFERROR(IF(MARÍTIMOS[[#This Row],[Etapa Ingreso - Atención]]="","",MARÍTIMOS[[#This Row],[Etapa Ingreso - Atención]]),"")</f>
        <v/>
      </c>
      <c r="AL944" s="11" t="str">
        <f>IFERROR(IF(MARÍTIMOS[[#This Row],[Etapa Ingreso - Salida]]="","",MARÍTIMOS[[#This Row],[Etapa Ingreso - Salida]]),"")</f>
        <v/>
      </c>
      <c r="AM944" s="2" t="str">
        <f>IFERROR(IF(MARÍTIMOS[[#This Row],[FCL]]="","",MARÍTIMOS[[#This Row],[FCL]]),"")</f>
        <v/>
      </c>
      <c r="AN9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4" s="4" t="str" cm="1">
        <f t="array" ref="AO9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4" s="5" t="str">
        <f>IFERROR(OLDBD[[#This Row],[Llegada a packing]]-OLDBD[[#This Row],[Inicio de Ruta]],"")</f>
        <v/>
      </c>
      <c r="AQ944" s="6" t="str">
        <f>IFERROR(OLDBD[[#This Row],[Inicio de Ruta]]-OLDBD[[#This Row],[Salida de almacén de retiro]],"")</f>
        <v/>
      </c>
      <c r="AR9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4" s="8" t="str" cm="1">
        <f t="array" ref="AS9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4" s="9" t="str">
        <f>IFERROR(OLDBD[[#This Row],[Ingreso Packing]]-OLDBD[[#This Row],[Registro en Packing]],"")</f>
        <v/>
      </c>
      <c r="AV944" s="9" t="str">
        <f>IFERROR(OLDBD[[#This Row],[Ingreso Packing]]-OLDBD[[#This Row],[Llegada a packing]],"")</f>
        <v/>
      </c>
      <c r="AW9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4" s="5" t="str">
        <f>IFERROR(OLDBD[[#This Row],[Llegada Almacén de Ingreso]]-OLDBD[[#This Row],[Salida Packing]],"")</f>
        <v/>
      </c>
      <c r="AY944" s="4" t="str" cm="1">
        <f t="array" ref="AY9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4" s="43" t="s">
        <v>173</v>
      </c>
      <c r="BB944" s="47" t="str">
        <f>IFERROR(IF(MARÍTIMOS[[#This Row],[Estatus]]="","",MARÍTIMOS[[#This Row],[Estatus]]),"")</f>
        <v/>
      </c>
      <c r="BC944" s="43"/>
      <c r="BD944" s="46" t="str">
        <f>IFERROR(OLDBD[[#This Row],[Salida de almacén de retiro]]-OLDBD[[#This Row],[Ingreso Almacén de retiro]],"")</f>
        <v/>
      </c>
      <c r="BE944" s="46" t="str">
        <f>IFERROR(OLDBD[[#This Row],[Fin de Carga]]-OLDBD[[#This Row],[Inicio de Carga]],"")</f>
        <v/>
      </c>
    </row>
    <row r="945" spans="1:57" customFormat="1" hidden="1">
      <c r="A945" s="1"/>
      <c r="B945" s="1" t="str">
        <f>IFERROR(IF(MARÍTIMOS[[#This Row],[PP]]="","",MARÍTIMOS[[#This Row],[PP]]),"")</f>
        <v/>
      </c>
      <c r="C945" s="1" t="str">
        <f>IFERROR(IF(MARÍTIMOS[[#This Row],[Sede]]="","",MARÍTIMOS[[#This Row],[Sede]]),"")</f>
        <v/>
      </c>
      <c r="D945" s="1" t="str">
        <f>IFERROR(IF(MARÍTIMOS[[#This Row],[Instruction]]="","",MARÍTIMOS[[#This Row],[Instruction]]),"")</f>
        <v/>
      </c>
      <c r="E945" s="1"/>
      <c r="F945" s="2" t="str">
        <f>IFERROR(IF(MARÍTIMOS[[#This Row],[Transportista]]="","",MARÍTIMOS[[#This Row],[Transportista]]),"")</f>
        <v/>
      </c>
      <c r="G945" s="2" t="str">
        <f>IFERROR(IF(MARÍTIMOS[[#This Row],[Tercero]]="","",MARÍTIMOS[[#This Row],[Tercero]]),"")</f>
        <v/>
      </c>
      <c r="H945" s="2" t="str">
        <f>IFERROR(IF(MARÍTIMOS[[#This Row],[Razón Social]]="","",MARÍTIMOS[[#This Row],[Razón Social]]),"")</f>
        <v/>
      </c>
      <c r="I945" s="2" t="str">
        <f>IFERROR(IF(MARÍTIMOS[[#This Row],[RUC]]="","",MARÍTIMOS[[#This Row],[RUC]]),"")</f>
        <v/>
      </c>
      <c r="J945" s="2" t="str">
        <f>IFERROR(IF(MARÍTIMOS[[#This Row],[Placa Tracto]]="","",MARÍTIMOS[[#This Row],[Placa Tracto]]),"")</f>
        <v/>
      </c>
      <c r="K945" s="2" t="str">
        <f>IFERROR(IF(MARÍTIMOS[[#This Row],[Placa Carreta]]="","",MARÍTIMOS[[#This Row],[Placa Carreta]]),"")</f>
        <v/>
      </c>
      <c r="L945" s="44" t="str">
        <f>IFERROR(IF(MARÍTIMOS[[#This Row],[Conductor]]="","",MARÍTIMOS[[#This Row],[Conductor]]),"")</f>
        <v/>
      </c>
      <c r="M945" s="2" t="str">
        <f>IFERROR(IF(MARÍTIMOS[[#This Row],[Licencia]]="","",MARÍTIMOS[[#This Row],[Licencia]]),"")</f>
        <v/>
      </c>
      <c r="N945" s="2" t="str">
        <f>IFERROR(IF(MARÍTIMOS[[#This Row],[Número de Contacto]]="","",MARÍTIMOS[[#This Row],[Número de Contacto]]),"")</f>
        <v/>
      </c>
      <c r="O945" s="10" t="str">
        <f>IFERROR(IF(MARÍTIMOS[[#This Row],[Booking|AWB|CRT]]="","",MARÍTIMOS[[#This Row],[Booking|AWB|CRT]]),"")</f>
        <v/>
      </c>
      <c r="P945" s="2" t="str">
        <f>IFERROR(IF(MARÍTIMOS[[#This Row],[Contenedor]]="","",MARÍTIMOS[[#This Row],[Contenedor]]),"")</f>
        <v/>
      </c>
      <c r="Q945" s="2" t="str">
        <f>IFERROR(IF(MARÍTIMOS[[#This Row],[Puerto de Retiro]]="","",MARÍTIMOS[[#This Row],[Puerto de Retiro]]),"")</f>
        <v/>
      </c>
      <c r="R945" s="2" t="str">
        <f>IFERROR(IF(MARÍTIMOS[[#This Row],[Almacén de Retiro]]="","",MARÍTIMOS[[#This Row],[Almacén de Retiro]]),"")</f>
        <v/>
      </c>
      <c r="S945" s="11" t="str">
        <f>IFERROR(IF(MARÍTIMOS[[#This Row],[Etapa Retiro - Cita]]="","",MARÍTIMOS[[#This Row],[Etapa Retiro - Cita]]),"")</f>
        <v/>
      </c>
      <c r="T945" s="11" t="str">
        <f>IFERROR(IF(MARÍTIMOS[[#This Row],[Etapa Retiro - Llegada]]="","",MARÍTIMOS[[#This Row],[Etapa Retiro - Llegada]]),"")</f>
        <v/>
      </c>
      <c r="U945" s="11" t="str">
        <f>IFERROR(IF(MARÍTIMOS[[#This Row],[Etapa Retiro - Ingreso]]="","",MARÍTIMOS[[#This Row],[Etapa Retiro - Ingreso]]),"")</f>
        <v/>
      </c>
      <c r="V945" s="11" t="str">
        <f>IFERROR(IF(MARÍTIMOS[[#This Row],[Etapa Retiro - Atención]]="","",MARÍTIMOS[[#This Row],[Etapa Retiro - Atención]]),"")</f>
        <v/>
      </c>
      <c r="W945" s="11" t="str">
        <f>IFERROR(IF(MARÍTIMOS[[#This Row],[Etapa Retiro - Atención]]="","",MARÍTIMOS[[#This Row],[Etapa Retiro - Atención]]),"")</f>
        <v/>
      </c>
      <c r="X945" s="11" t="str">
        <f>IFERROR(IF(MARÍTIMOS[[#This Row],[Etapa Retiro - Inicio de Ruta]]="","",MARÍTIMOS[[#This Row],[Etapa Retiro - Inicio de Ruta]]),"")</f>
        <v/>
      </c>
      <c r="Y945" s="11" t="str">
        <f>IFERROR(IF(MARÍTIMOS[[#This Row],[Hora de Posicionamiento]]="","",MARÍTIMOS[[#This Row],[Fecha de Carga]]+MARÍTIMOS[[#This Row],[Hora de Posicionamiento]]),"")</f>
        <v/>
      </c>
      <c r="Z945" s="11" t="str">
        <f>IFERROR(IF(MARÍTIMOS[[#This Row],[Etapa Despacho - Llegada]]="","",MARÍTIMOS[[#This Row],[Etapa Despacho - Llegada]]),"")</f>
        <v/>
      </c>
      <c r="AA945" s="11" t="str">
        <f>IFERROR(IF(MARÍTIMOS[[#This Row],[Etapa Despacho - Registro]]="","",MARÍTIMOS[[#This Row],[Etapa Despacho - Registro]]),"")</f>
        <v/>
      </c>
      <c r="AB945" s="11" t="str">
        <f>IFERROR(IF(MARÍTIMOS[[#This Row],[Inspección Externa]]="","",MARÍTIMOS[[#This Row],[Inspección Externa]]),"")</f>
        <v/>
      </c>
      <c r="AC945" s="11" t="str">
        <f>IFERROR(IF(MARÍTIMOS[[#This Row],[Etapa Despacho - Inicio de Carga]]="","",MARÍTIMOS[[#This Row],[Etapa Despacho - Inicio de Carga]]),"")</f>
        <v/>
      </c>
      <c r="AD945" s="11" t="str">
        <f>IFERROR(IF(MARÍTIMOS[[#This Row],[Etapa Despacho - Mitad de Carga]]="","",MARÍTIMOS[[#This Row],[Etapa Despacho - Mitad de Carga]]),"")</f>
        <v/>
      </c>
      <c r="AE945" s="11" t="str">
        <f>IFERROR(IF(MARÍTIMOS[[#This Row],[Etapa Despacho - Fin de Carga]]="","",MARÍTIMOS[[#This Row],[Etapa Despacho - Fin de Carga]]),"")</f>
        <v/>
      </c>
      <c r="AF945" s="2" t="str">
        <f>IFERROR(IF(MARÍTIMOS[[#This Row],[Puerto de Embarque]]="","",MARÍTIMOS[[#This Row],[Puerto de Embarque]]),"")</f>
        <v/>
      </c>
      <c r="AG945" s="2" t="str">
        <f>IFERROR(IF(MARÍTIMOS[[#This Row],[Almacén de Ingreso]]="","",MARÍTIMOS[[#This Row],[Almacén de Ingreso]]),"")</f>
        <v/>
      </c>
      <c r="AH945" s="11" t="str">
        <f>IFERROR(IF(MARÍTIMOS[[#This Row],[Etapa Ingreso - Cita]]="","",MARÍTIMOS[[#This Row],[Etapa Ingreso - Cita]]),"")</f>
        <v/>
      </c>
      <c r="AI945" s="11" t="str">
        <f>IFERROR(IF(MARÍTIMOS[[#This Row],[Etapa Ingreso - Llegada]]="","",MARÍTIMOS[[#This Row],[Etapa Ingreso - Llegada]]),"")</f>
        <v/>
      </c>
      <c r="AJ945" s="11" t="str">
        <f>IFERROR(IF(MARÍTIMOS[[#This Row],[Etapa Ingreso - Ingeso]]="","",MARÍTIMOS[[#This Row],[Etapa Ingreso - Ingeso]]),"")</f>
        <v/>
      </c>
      <c r="AK945" s="11" t="str">
        <f>IFERROR(IF(MARÍTIMOS[[#This Row],[Etapa Ingreso - Atención]]="","",MARÍTIMOS[[#This Row],[Etapa Ingreso - Atención]]),"")</f>
        <v/>
      </c>
      <c r="AL945" s="11" t="str">
        <f>IFERROR(IF(MARÍTIMOS[[#This Row],[Etapa Ingreso - Salida]]="","",MARÍTIMOS[[#This Row],[Etapa Ingreso - Salida]]),"")</f>
        <v/>
      </c>
      <c r="AM945" s="2" t="str">
        <f>IFERROR(IF(MARÍTIMOS[[#This Row],[FCL]]="","",MARÍTIMOS[[#This Row],[FCL]]),"")</f>
        <v/>
      </c>
      <c r="AN9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5" s="4" t="str" cm="1">
        <f t="array" ref="AO9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5" s="5" t="str">
        <f>IFERROR(OLDBD[[#This Row],[Llegada a packing]]-OLDBD[[#This Row],[Inicio de Ruta]],"")</f>
        <v/>
      </c>
      <c r="AQ945" s="6" t="str">
        <f>IFERROR(OLDBD[[#This Row],[Inicio de Ruta]]-OLDBD[[#This Row],[Salida de almacén de retiro]],"")</f>
        <v/>
      </c>
      <c r="AR9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5" s="8" t="str" cm="1">
        <f t="array" ref="AS9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5" s="9" t="str">
        <f>IFERROR(OLDBD[[#This Row],[Ingreso Packing]]-OLDBD[[#This Row],[Registro en Packing]],"")</f>
        <v/>
      </c>
      <c r="AV945" s="9" t="str">
        <f>IFERROR(OLDBD[[#This Row],[Ingreso Packing]]-OLDBD[[#This Row],[Llegada a packing]],"")</f>
        <v/>
      </c>
      <c r="AW9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5" s="5" t="str">
        <f>IFERROR(OLDBD[[#This Row],[Llegada Almacén de Ingreso]]-OLDBD[[#This Row],[Salida Packing]],"")</f>
        <v/>
      </c>
      <c r="AY945" s="4" t="str" cm="1">
        <f t="array" ref="AY9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5" s="43" t="s">
        <v>173</v>
      </c>
      <c r="BB945" s="47" t="str">
        <f>IFERROR(IF(MARÍTIMOS[[#This Row],[Estatus]]="","",MARÍTIMOS[[#This Row],[Estatus]]),"")</f>
        <v/>
      </c>
      <c r="BC945" s="43"/>
      <c r="BD945" s="46" t="str">
        <f>IFERROR(OLDBD[[#This Row],[Salida de almacén de retiro]]-OLDBD[[#This Row],[Ingreso Almacén de retiro]],"")</f>
        <v/>
      </c>
      <c r="BE945" s="46" t="str">
        <f>IFERROR(OLDBD[[#This Row],[Fin de Carga]]-OLDBD[[#This Row],[Inicio de Carga]],"")</f>
        <v/>
      </c>
    </row>
    <row r="946" spans="1:57" customFormat="1" hidden="1">
      <c r="A946" s="1"/>
      <c r="B946" s="1" t="str">
        <f>IFERROR(IF(MARÍTIMOS[[#This Row],[PP]]="","",MARÍTIMOS[[#This Row],[PP]]),"")</f>
        <v/>
      </c>
      <c r="C946" s="1" t="str">
        <f>IFERROR(IF(MARÍTIMOS[[#This Row],[Sede]]="","",MARÍTIMOS[[#This Row],[Sede]]),"")</f>
        <v/>
      </c>
      <c r="D946" s="1" t="str">
        <f>IFERROR(IF(MARÍTIMOS[[#This Row],[Instruction]]="","",MARÍTIMOS[[#This Row],[Instruction]]),"")</f>
        <v/>
      </c>
      <c r="E946" s="1"/>
      <c r="F946" s="2" t="str">
        <f>IFERROR(IF(MARÍTIMOS[[#This Row],[Transportista]]="","",MARÍTIMOS[[#This Row],[Transportista]]),"")</f>
        <v/>
      </c>
      <c r="G946" s="2" t="str">
        <f>IFERROR(IF(MARÍTIMOS[[#This Row],[Tercero]]="","",MARÍTIMOS[[#This Row],[Tercero]]),"")</f>
        <v/>
      </c>
      <c r="H946" s="2" t="str">
        <f>IFERROR(IF(MARÍTIMOS[[#This Row],[Razón Social]]="","",MARÍTIMOS[[#This Row],[Razón Social]]),"")</f>
        <v/>
      </c>
      <c r="I946" s="2" t="str">
        <f>IFERROR(IF(MARÍTIMOS[[#This Row],[RUC]]="","",MARÍTIMOS[[#This Row],[RUC]]),"")</f>
        <v/>
      </c>
      <c r="J946" s="2" t="str">
        <f>IFERROR(IF(MARÍTIMOS[[#This Row],[Placa Tracto]]="","",MARÍTIMOS[[#This Row],[Placa Tracto]]),"")</f>
        <v/>
      </c>
      <c r="K946" s="2" t="str">
        <f>IFERROR(IF(MARÍTIMOS[[#This Row],[Placa Carreta]]="","",MARÍTIMOS[[#This Row],[Placa Carreta]]),"")</f>
        <v/>
      </c>
      <c r="L946" s="44" t="str">
        <f>IFERROR(IF(MARÍTIMOS[[#This Row],[Conductor]]="","",MARÍTIMOS[[#This Row],[Conductor]]),"")</f>
        <v/>
      </c>
      <c r="M946" s="2" t="str">
        <f>IFERROR(IF(MARÍTIMOS[[#This Row],[Licencia]]="","",MARÍTIMOS[[#This Row],[Licencia]]),"")</f>
        <v/>
      </c>
      <c r="N946" s="2" t="str">
        <f>IFERROR(IF(MARÍTIMOS[[#This Row],[Número de Contacto]]="","",MARÍTIMOS[[#This Row],[Número de Contacto]]),"")</f>
        <v/>
      </c>
      <c r="O946" s="10" t="str">
        <f>IFERROR(IF(MARÍTIMOS[[#This Row],[Booking|AWB|CRT]]="","",MARÍTIMOS[[#This Row],[Booking|AWB|CRT]]),"")</f>
        <v/>
      </c>
      <c r="P946" s="2" t="str">
        <f>IFERROR(IF(MARÍTIMOS[[#This Row],[Contenedor]]="","",MARÍTIMOS[[#This Row],[Contenedor]]),"")</f>
        <v/>
      </c>
      <c r="Q946" s="2" t="str">
        <f>IFERROR(IF(MARÍTIMOS[[#This Row],[Puerto de Retiro]]="","",MARÍTIMOS[[#This Row],[Puerto de Retiro]]),"")</f>
        <v/>
      </c>
      <c r="R946" s="2" t="str">
        <f>IFERROR(IF(MARÍTIMOS[[#This Row],[Almacén de Retiro]]="","",MARÍTIMOS[[#This Row],[Almacén de Retiro]]),"")</f>
        <v/>
      </c>
      <c r="S946" s="11" t="str">
        <f>IFERROR(IF(MARÍTIMOS[[#This Row],[Etapa Retiro - Cita]]="","",MARÍTIMOS[[#This Row],[Etapa Retiro - Cita]]),"")</f>
        <v/>
      </c>
      <c r="T946" s="11" t="str">
        <f>IFERROR(IF(MARÍTIMOS[[#This Row],[Etapa Retiro - Llegada]]="","",MARÍTIMOS[[#This Row],[Etapa Retiro - Llegada]]),"")</f>
        <v/>
      </c>
      <c r="U946" s="11" t="str">
        <f>IFERROR(IF(MARÍTIMOS[[#This Row],[Etapa Retiro - Ingreso]]="","",MARÍTIMOS[[#This Row],[Etapa Retiro - Ingreso]]),"")</f>
        <v/>
      </c>
      <c r="V946" s="11" t="str">
        <f>IFERROR(IF(MARÍTIMOS[[#This Row],[Etapa Retiro - Atención]]="","",MARÍTIMOS[[#This Row],[Etapa Retiro - Atención]]),"")</f>
        <v/>
      </c>
      <c r="W946" s="11" t="str">
        <f>IFERROR(IF(MARÍTIMOS[[#This Row],[Etapa Retiro - Atención]]="","",MARÍTIMOS[[#This Row],[Etapa Retiro - Atención]]),"")</f>
        <v/>
      </c>
      <c r="X946" s="11" t="str">
        <f>IFERROR(IF(MARÍTIMOS[[#This Row],[Etapa Retiro - Inicio de Ruta]]="","",MARÍTIMOS[[#This Row],[Etapa Retiro - Inicio de Ruta]]),"")</f>
        <v/>
      </c>
      <c r="Y946" s="11" t="str">
        <f>IFERROR(IF(MARÍTIMOS[[#This Row],[Hora de Posicionamiento]]="","",MARÍTIMOS[[#This Row],[Fecha de Carga]]+MARÍTIMOS[[#This Row],[Hora de Posicionamiento]]),"")</f>
        <v/>
      </c>
      <c r="Z946" s="11" t="str">
        <f>IFERROR(IF(MARÍTIMOS[[#This Row],[Etapa Despacho - Llegada]]="","",MARÍTIMOS[[#This Row],[Etapa Despacho - Llegada]]),"")</f>
        <v/>
      </c>
      <c r="AA946" s="11" t="str">
        <f>IFERROR(IF(MARÍTIMOS[[#This Row],[Etapa Despacho - Registro]]="","",MARÍTIMOS[[#This Row],[Etapa Despacho - Registro]]),"")</f>
        <v/>
      </c>
      <c r="AB946" s="11" t="str">
        <f>IFERROR(IF(MARÍTIMOS[[#This Row],[Inspección Externa]]="","",MARÍTIMOS[[#This Row],[Inspección Externa]]),"")</f>
        <v/>
      </c>
      <c r="AC946" s="11" t="str">
        <f>IFERROR(IF(MARÍTIMOS[[#This Row],[Etapa Despacho - Inicio de Carga]]="","",MARÍTIMOS[[#This Row],[Etapa Despacho - Inicio de Carga]]),"")</f>
        <v/>
      </c>
      <c r="AD946" s="11" t="str">
        <f>IFERROR(IF(MARÍTIMOS[[#This Row],[Etapa Despacho - Mitad de Carga]]="","",MARÍTIMOS[[#This Row],[Etapa Despacho - Mitad de Carga]]),"")</f>
        <v/>
      </c>
      <c r="AE946" s="11" t="str">
        <f>IFERROR(IF(MARÍTIMOS[[#This Row],[Etapa Despacho - Fin de Carga]]="","",MARÍTIMOS[[#This Row],[Etapa Despacho - Fin de Carga]]),"")</f>
        <v/>
      </c>
      <c r="AF946" s="2" t="str">
        <f>IFERROR(IF(MARÍTIMOS[[#This Row],[Puerto de Embarque]]="","",MARÍTIMOS[[#This Row],[Puerto de Embarque]]),"")</f>
        <v/>
      </c>
      <c r="AG946" s="2" t="str">
        <f>IFERROR(IF(MARÍTIMOS[[#This Row],[Almacén de Ingreso]]="","",MARÍTIMOS[[#This Row],[Almacén de Ingreso]]),"")</f>
        <v/>
      </c>
      <c r="AH946" s="11" t="str">
        <f>IFERROR(IF(MARÍTIMOS[[#This Row],[Etapa Ingreso - Cita]]="","",MARÍTIMOS[[#This Row],[Etapa Ingreso - Cita]]),"")</f>
        <v/>
      </c>
      <c r="AI946" s="11" t="str">
        <f>IFERROR(IF(MARÍTIMOS[[#This Row],[Etapa Ingreso - Llegada]]="","",MARÍTIMOS[[#This Row],[Etapa Ingreso - Llegada]]),"")</f>
        <v/>
      </c>
      <c r="AJ946" s="11" t="str">
        <f>IFERROR(IF(MARÍTIMOS[[#This Row],[Etapa Ingreso - Ingeso]]="","",MARÍTIMOS[[#This Row],[Etapa Ingreso - Ingeso]]),"")</f>
        <v/>
      </c>
      <c r="AK946" s="11" t="str">
        <f>IFERROR(IF(MARÍTIMOS[[#This Row],[Etapa Ingreso - Atención]]="","",MARÍTIMOS[[#This Row],[Etapa Ingreso - Atención]]),"")</f>
        <v/>
      </c>
      <c r="AL946" s="11" t="str">
        <f>IFERROR(IF(MARÍTIMOS[[#This Row],[Etapa Ingreso - Salida]]="","",MARÍTIMOS[[#This Row],[Etapa Ingreso - Salida]]),"")</f>
        <v/>
      </c>
      <c r="AM946" s="2" t="str">
        <f>IFERROR(IF(MARÍTIMOS[[#This Row],[FCL]]="","",MARÍTIMOS[[#This Row],[FCL]]),"")</f>
        <v/>
      </c>
      <c r="AN9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6" s="4" t="str" cm="1">
        <f t="array" ref="AO9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6" s="5" t="str">
        <f>IFERROR(OLDBD[[#This Row],[Llegada a packing]]-OLDBD[[#This Row],[Inicio de Ruta]],"")</f>
        <v/>
      </c>
      <c r="AQ946" s="6" t="str">
        <f>IFERROR(OLDBD[[#This Row],[Inicio de Ruta]]-OLDBD[[#This Row],[Salida de almacén de retiro]],"")</f>
        <v/>
      </c>
      <c r="AR9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6" s="8" t="str" cm="1">
        <f t="array" ref="AS9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6" s="9" t="str">
        <f>IFERROR(OLDBD[[#This Row],[Ingreso Packing]]-OLDBD[[#This Row],[Registro en Packing]],"")</f>
        <v/>
      </c>
      <c r="AV946" s="9" t="str">
        <f>IFERROR(OLDBD[[#This Row],[Ingreso Packing]]-OLDBD[[#This Row],[Llegada a packing]],"")</f>
        <v/>
      </c>
      <c r="AW9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6" s="5" t="str">
        <f>IFERROR(OLDBD[[#This Row],[Llegada Almacén de Ingreso]]-OLDBD[[#This Row],[Salida Packing]],"")</f>
        <v/>
      </c>
      <c r="AY946" s="4" t="str" cm="1">
        <f t="array" ref="AY9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6" s="43" t="s">
        <v>173</v>
      </c>
      <c r="BB946" s="47" t="str">
        <f>IFERROR(IF(MARÍTIMOS[[#This Row],[Estatus]]="","",MARÍTIMOS[[#This Row],[Estatus]]),"")</f>
        <v/>
      </c>
      <c r="BC946" s="43"/>
      <c r="BD946" s="46" t="str">
        <f>IFERROR(OLDBD[[#This Row],[Salida de almacén de retiro]]-OLDBD[[#This Row],[Ingreso Almacén de retiro]],"")</f>
        <v/>
      </c>
      <c r="BE946" s="46" t="str">
        <f>IFERROR(OLDBD[[#This Row],[Fin de Carga]]-OLDBD[[#This Row],[Inicio de Carga]],"")</f>
        <v/>
      </c>
    </row>
    <row r="947" spans="1:57" customFormat="1" hidden="1">
      <c r="A947" s="1"/>
      <c r="B947" s="1" t="str">
        <f>IFERROR(IF(MARÍTIMOS[[#This Row],[PP]]="","",MARÍTIMOS[[#This Row],[PP]]),"")</f>
        <v/>
      </c>
      <c r="C947" s="1" t="str">
        <f>IFERROR(IF(MARÍTIMOS[[#This Row],[Sede]]="","",MARÍTIMOS[[#This Row],[Sede]]),"")</f>
        <v/>
      </c>
      <c r="D947" s="1" t="str">
        <f>IFERROR(IF(MARÍTIMOS[[#This Row],[Instruction]]="","",MARÍTIMOS[[#This Row],[Instruction]]),"")</f>
        <v/>
      </c>
      <c r="E947" s="1"/>
      <c r="F947" s="2" t="str">
        <f>IFERROR(IF(MARÍTIMOS[[#This Row],[Transportista]]="","",MARÍTIMOS[[#This Row],[Transportista]]),"")</f>
        <v/>
      </c>
      <c r="G947" s="2" t="str">
        <f>IFERROR(IF(MARÍTIMOS[[#This Row],[Tercero]]="","",MARÍTIMOS[[#This Row],[Tercero]]),"")</f>
        <v/>
      </c>
      <c r="H947" s="2" t="str">
        <f>IFERROR(IF(MARÍTIMOS[[#This Row],[Razón Social]]="","",MARÍTIMOS[[#This Row],[Razón Social]]),"")</f>
        <v/>
      </c>
      <c r="I947" s="2" t="str">
        <f>IFERROR(IF(MARÍTIMOS[[#This Row],[RUC]]="","",MARÍTIMOS[[#This Row],[RUC]]),"")</f>
        <v/>
      </c>
      <c r="J947" s="2" t="str">
        <f>IFERROR(IF(MARÍTIMOS[[#This Row],[Placa Tracto]]="","",MARÍTIMOS[[#This Row],[Placa Tracto]]),"")</f>
        <v/>
      </c>
      <c r="K947" s="2" t="str">
        <f>IFERROR(IF(MARÍTIMOS[[#This Row],[Placa Carreta]]="","",MARÍTIMOS[[#This Row],[Placa Carreta]]),"")</f>
        <v/>
      </c>
      <c r="L947" s="44" t="str">
        <f>IFERROR(IF(MARÍTIMOS[[#This Row],[Conductor]]="","",MARÍTIMOS[[#This Row],[Conductor]]),"")</f>
        <v/>
      </c>
      <c r="M947" s="2" t="str">
        <f>IFERROR(IF(MARÍTIMOS[[#This Row],[Licencia]]="","",MARÍTIMOS[[#This Row],[Licencia]]),"")</f>
        <v/>
      </c>
      <c r="N947" s="2" t="str">
        <f>IFERROR(IF(MARÍTIMOS[[#This Row],[Número de Contacto]]="","",MARÍTIMOS[[#This Row],[Número de Contacto]]),"")</f>
        <v/>
      </c>
      <c r="O947" s="10" t="str">
        <f>IFERROR(IF(MARÍTIMOS[[#This Row],[Booking|AWB|CRT]]="","",MARÍTIMOS[[#This Row],[Booking|AWB|CRT]]),"")</f>
        <v/>
      </c>
      <c r="P947" s="2" t="str">
        <f>IFERROR(IF(MARÍTIMOS[[#This Row],[Contenedor]]="","",MARÍTIMOS[[#This Row],[Contenedor]]),"")</f>
        <v/>
      </c>
      <c r="Q947" s="2" t="str">
        <f>IFERROR(IF(MARÍTIMOS[[#This Row],[Puerto de Retiro]]="","",MARÍTIMOS[[#This Row],[Puerto de Retiro]]),"")</f>
        <v/>
      </c>
      <c r="R947" s="2" t="str">
        <f>IFERROR(IF(MARÍTIMOS[[#This Row],[Almacén de Retiro]]="","",MARÍTIMOS[[#This Row],[Almacén de Retiro]]),"")</f>
        <v/>
      </c>
      <c r="S947" s="11" t="str">
        <f>IFERROR(IF(MARÍTIMOS[[#This Row],[Etapa Retiro - Cita]]="","",MARÍTIMOS[[#This Row],[Etapa Retiro - Cita]]),"")</f>
        <v/>
      </c>
      <c r="T947" s="11" t="str">
        <f>IFERROR(IF(MARÍTIMOS[[#This Row],[Etapa Retiro - Llegada]]="","",MARÍTIMOS[[#This Row],[Etapa Retiro - Llegada]]),"")</f>
        <v/>
      </c>
      <c r="U947" s="11" t="str">
        <f>IFERROR(IF(MARÍTIMOS[[#This Row],[Etapa Retiro - Ingreso]]="","",MARÍTIMOS[[#This Row],[Etapa Retiro - Ingreso]]),"")</f>
        <v/>
      </c>
      <c r="V947" s="11" t="str">
        <f>IFERROR(IF(MARÍTIMOS[[#This Row],[Etapa Retiro - Atención]]="","",MARÍTIMOS[[#This Row],[Etapa Retiro - Atención]]),"")</f>
        <v/>
      </c>
      <c r="W947" s="11" t="str">
        <f>IFERROR(IF(MARÍTIMOS[[#This Row],[Etapa Retiro - Atención]]="","",MARÍTIMOS[[#This Row],[Etapa Retiro - Atención]]),"")</f>
        <v/>
      </c>
      <c r="X947" s="11" t="str">
        <f>IFERROR(IF(MARÍTIMOS[[#This Row],[Etapa Retiro - Inicio de Ruta]]="","",MARÍTIMOS[[#This Row],[Etapa Retiro - Inicio de Ruta]]),"")</f>
        <v/>
      </c>
      <c r="Y947" s="11" t="str">
        <f>IFERROR(IF(MARÍTIMOS[[#This Row],[Hora de Posicionamiento]]="","",MARÍTIMOS[[#This Row],[Fecha de Carga]]+MARÍTIMOS[[#This Row],[Hora de Posicionamiento]]),"")</f>
        <v/>
      </c>
      <c r="Z947" s="11" t="str">
        <f>IFERROR(IF(MARÍTIMOS[[#This Row],[Etapa Despacho - Llegada]]="","",MARÍTIMOS[[#This Row],[Etapa Despacho - Llegada]]),"")</f>
        <v/>
      </c>
      <c r="AA947" s="11" t="str">
        <f>IFERROR(IF(MARÍTIMOS[[#This Row],[Etapa Despacho - Registro]]="","",MARÍTIMOS[[#This Row],[Etapa Despacho - Registro]]),"")</f>
        <v/>
      </c>
      <c r="AB947" s="11" t="str">
        <f>IFERROR(IF(MARÍTIMOS[[#This Row],[Inspección Externa]]="","",MARÍTIMOS[[#This Row],[Inspección Externa]]),"")</f>
        <v/>
      </c>
      <c r="AC947" s="11" t="str">
        <f>IFERROR(IF(MARÍTIMOS[[#This Row],[Etapa Despacho - Inicio de Carga]]="","",MARÍTIMOS[[#This Row],[Etapa Despacho - Inicio de Carga]]),"")</f>
        <v/>
      </c>
      <c r="AD947" s="11" t="str">
        <f>IFERROR(IF(MARÍTIMOS[[#This Row],[Etapa Despacho - Mitad de Carga]]="","",MARÍTIMOS[[#This Row],[Etapa Despacho - Mitad de Carga]]),"")</f>
        <v/>
      </c>
      <c r="AE947" s="11" t="str">
        <f>IFERROR(IF(MARÍTIMOS[[#This Row],[Etapa Despacho - Fin de Carga]]="","",MARÍTIMOS[[#This Row],[Etapa Despacho - Fin de Carga]]),"")</f>
        <v/>
      </c>
      <c r="AF947" s="2" t="str">
        <f>IFERROR(IF(MARÍTIMOS[[#This Row],[Puerto de Embarque]]="","",MARÍTIMOS[[#This Row],[Puerto de Embarque]]),"")</f>
        <v/>
      </c>
      <c r="AG947" s="2" t="str">
        <f>IFERROR(IF(MARÍTIMOS[[#This Row],[Almacén de Ingreso]]="","",MARÍTIMOS[[#This Row],[Almacén de Ingreso]]),"")</f>
        <v/>
      </c>
      <c r="AH947" s="11" t="str">
        <f>IFERROR(IF(MARÍTIMOS[[#This Row],[Etapa Ingreso - Cita]]="","",MARÍTIMOS[[#This Row],[Etapa Ingreso - Cita]]),"")</f>
        <v/>
      </c>
      <c r="AI947" s="11" t="str">
        <f>IFERROR(IF(MARÍTIMOS[[#This Row],[Etapa Ingreso - Llegada]]="","",MARÍTIMOS[[#This Row],[Etapa Ingreso - Llegada]]),"")</f>
        <v/>
      </c>
      <c r="AJ947" s="11" t="str">
        <f>IFERROR(IF(MARÍTIMOS[[#This Row],[Etapa Ingreso - Ingeso]]="","",MARÍTIMOS[[#This Row],[Etapa Ingreso - Ingeso]]),"")</f>
        <v/>
      </c>
      <c r="AK947" s="11" t="str">
        <f>IFERROR(IF(MARÍTIMOS[[#This Row],[Etapa Ingreso - Atención]]="","",MARÍTIMOS[[#This Row],[Etapa Ingreso - Atención]]),"")</f>
        <v/>
      </c>
      <c r="AL947" s="11" t="str">
        <f>IFERROR(IF(MARÍTIMOS[[#This Row],[Etapa Ingreso - Salida]]="","",MARÍTIMOS[[#This Row],[Etapa Ingreso - Salida]]),"")</f>
        <v/>
      </c>
      <c r="AM947" s="2" t="str">
        <f>IFERROR(IF(MARÍTIMOS[[#This Row],[FCL]]="","",MARÍTIMOS[[#This Row],[FCL]]),"")</f>
        <v/>
      </c>
      <c r="AN9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7" s="4" t="str" cm="1">
        <f t="array" ref="AO9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7" s="5" t="str">
        <f>IFERROR(OLDBD[[#This Row],[Llegada a packing]]-OLDBD[[#This Row],[Inicio de Ruta]],"")</f>
        <v/>
      </c>
      <c r="AQ947" s="6" t="str">
        <f>IFERROR(OLDBD[[#This Row],[Inicio de Ruta]]-OLDBD[[#This Row],[Salida de almacén de retiro]],"")</f>
        <v/>
      </c>
      <c r="AR9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7" s="8" t="str" cm="1">
        <f t="array" ref="AS9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7" s="9" t="str">
        <f>IFERROR(OLDBD[[#This Row],[Ingreso Packing]]-OLDBD[[#This Row],[Registro en Packing]],"")</f>
        <v/>
      </c>
      <c r="AV947" s="9" t="str">
        <f>IFERROR(OLDBD[[#This Row],[Ingreso Packing]]-OLDBD[[#This Row],[Llegada a packing]],"")</f>
        <v/>
      </c>
      <c r="AW9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7" s="5" t="str">
        <f>IFERROR(OLDBD[[#This Row],[Llegada Almacén de Ingreso]]-OLDBD[[#This Row],[Salida Packing]],"")</f>
        <v/>
      </c>
      <c r="AY947" s="4" t="str" cm="1">
        <f t="array" ref="AY9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7" s="43" t="s">
        <v>173</v>
      </c>
      <c r="BB947" s="47" t="str">
        <f>IFERROR(IF(MARÍTIMOS[[#This Row],[Estatus]]="","",MARÍTIMOS[[#This Row],[Estatus]]),"")</f>
        <v/>
      </c>
      <c r="BC947" s="43"/>
      <c r="BD947" s="46" t="str">
        <f>IFERROR(OLDBD[[#This Row],[Salida de almacén de retiro]]-OLDBD[[#This Row],[Ingreso Almacén de retiro]],"")</f>
        <v/>
      </c>
      <c r="BE947" s="46" t="str">
        <f>IFERROR(OLDBD[[#This Row],[Fin de Carga]]-OLDBD[[#This Row],[Inicio de Carga]],"")</f>
        <v/>
      </c>
    </row>
    <row r="948" spans="1:57" customFormat="1" hidden="1">
      <c r="A948" s="1"/>
      <c r="B948" s="1" t="str">
        <f>IFERROR(IF(MARÍTIMOS[[#This Row],[PP]]="","",MARÍTIMOS[[#This Row],[PP]]),"")</f>
        <v/>
      </c>
      <c r="C948" s="1" t="str">
        <f>IFERROR(IF(MARÍTIMOS[[#This Row],[Sede]]="","",MARÍTIMOS[[#This Row],[Sede]]),"")</f>
        <v/>
      </c>
      <c r="D948" s="1" t="str">
        <f>IFERROR(IF(MARÍTIMOS[[#This Row],[Instruction]]="","",MARÍTIMOS[[#This Row],[Instruction]]),"")</f>
        <v/>
      </c>
      <c r="E948" s="1"/>
      <c r="F948" s="2" t="str">
        <f>IFERROR(IF(MARÍTIMOS[[#This Row],[Transportista]]="","",MARÍTIMOS[[#This Row],[Transportista]]),"")</f>
        <v/>
      </c>
      <c r="G948" s="2" t="str">
        <f>IFERROR(IF(MARÍTIMOS[[#This Row],[Tercero]]="","",MARÍTIMOS[[#This Row],[Tercero]]),"")</f>
        <v/>
      </c>
      <c r="H948" s="2" t="str">
        <f>IFERROR(IF(MARÍTIMOS[[#This Row],[Razón Social]]="","",MARÍTIMOS[[#This Row],[Razón Social]]),"")</f>
        <v/>
      </c>
      <c r="I948" s="2" t="str">
        <f>IFERROR(IF(MARÍTIMOS[[#This Row],[RUC]]="","",MARÍTIMOS[[#This Row],[RUC]]),"")</f>
        <v/>
      </c>
      <c r="J948" s="2" t="str">
        <f>IFERROR(IF(MARÍTIMOS[[#This Row],[Placa Tracto]]="","",MARÍTIMOS[[#This Row],[Placa Tracto]]),"")</f>
        <v/>
      </c>
      <c r="K948" s="2" t="str">
        <f>IFERROR(IF(MARÍTIMOS[[#This Row],[Placa Carreta]]="","",MARÍTIMOS[[#This Row],[Placa Carreta]]),"")</f>
        <v/>
      </c>
      <c r="L948" s="44" t="str">
        <f>IFERROR(IF(MARÍTIMOS[[#This Row],[Conductor]]="","",MARÍTIMOS[[#This Row],[Conductor]]),"")</f>
        <v/>
      </c>
      <c r="M948" s="2" t="str">
        <f>IFERROR(IF(MARÍTIMOS[[#This Row],[Licencia]]="","",MARÍTIMOS[[#This Row],[Licencia]]),"")</f>
        <v/>
      </c>
      <c r="N948" s="2" t="str">
        <f>IFERROR(IF(MARÍTIMOS[[#This Row],[Número de Contacto]]="","",MARÍTIMOS[[#This Row],[Número de Contacto]]),"")</f>
        <v/>
      </c>
      <c r="O948" s="10" t="str">
        <f>IFERROR(IF(MARÍTIMOS[[#This Row],[Booking|AWB|CRT]]="","",MARÍTIMOS[[#This Row],[Booking|AWB|CRT]]),"")</f>
        <v/>
      </c>
      <c r="P948" s="2" t="str">
        <f>IFERROR(IF(MARÍTIMOS[[#This Row],[Contenedor]]="","",MARÍTIMOS[[#This Row],[Contenedor]]),"")</f>
        <v/>
      </c>
      <c r="Q948" s="2" t="str">
        <f>IFERROR(IF(MARÍTIMOS[[#This Row],[Puerto de Retiro]]="","",MARÍTIMOS[[#This Row],[Puerto de Retiro]]),"")</f>
        <v/>
      </c>
      <c r="R948" s="2" t="str">
        <f>IFERROR(IF(MARÍTIMOS[[#This Row],[Almacén de Retiro]]="","",MARÍTIMOS[[#This Row],[Almacén de Retiro]]),"")</f>
        <v/>
      </c>
      <c r="S948" s="11" t="str">
        <f>IFERROR(IF(MARÍTIMOS[[#This Row],[Etapa Retiro - Cita]]="","",MARÍTIMOS[[#This Row],[Etapa Retiro - Cita]]),"")</f>
        <v/>
      </c>
      <c r="T948" s="11" t="str">
        <f>IFERROR(IF(MARÍTIMOS[[#This Row],[Etapa Retiro - Llegada]]="","",MARÍTIMOS[[#This Row],[Etapa Retiro - Llegada]]),"")</f>
        <v/>
      </c>
      <c r="U948" s="11" t="str">
        <f>IFERROR(IF(MARÍTIMOS[[#This Row],[Etapa Retiro - Ingreso]]="","",MARÍTIMOS[[#This Row],[Etapa Retiro - Ingreso]]),"")</f>
        <v/>
      </c>
      <c r="V948" s="11" t="str">
        <f>IFERROR(IF(MARÍTIMOS[[#This Row],[Etapa Retiro - Atención]]="","",MARÍTIMOS[[#This Row],[Etapa Retiro - Atención]]),"")</f>
        <v/>
      </c>
      <c r="W948" s="11" t="str">
        <f>IFERROR(IF(MARÍTIMOS[[#This Row],[Etapa Retiro - Atención]]="","",MARÍTIMOS[[#This Row],[Etapa Retiro - Atención]]),"")</f>
        <v/>
      </c>
      <c r="X948" s="11" t="str">
        <f>IFERROR(IF(MARÍTIMOS[[#This Row],[Etapa Retiro - Inicio de Ruta]]="","",MARÍTIMOS[[#This Row],[Etapa Retiro - Inicio de Ruta]]),"")</f>
        <v/>
      </c>
      <c r="Y948" s="11" t="str">
        <f>IFERROR(IF(MARÍTIMOS[[#This Row],[Hora de Posicionamiento]]="","",MARÍTIMOS[[#This Row],[Fecha de Carga]]+MARÍTIMOS[[#This Row],[Hora de Posicionamiento]]),"")</f>
        <v/>
      </c>
      <c r="Z948" s="11" t="str">
        <f>IFERROR(IF(MARÍTIMOS[[#This Row],[Etapa Despacho - Llegada]]="","",MARÍTIMOS[[#This Row],[Etapa Despacho - Llegada]]),"")</f>
        <v/>
      </c>
      <c r="AA948" s="11" t="str">
        <f>IFERROR(IF(MARÍTIMOS[[#This Row],[Etapa Despacho - Registro]]="","",MARÍTIMOS[[#This Row],[Etapa Despacho - Registro]]),"")</f>
        <v/>
      </c>
      <c r="AB948" s="11" t="str">
        <f>IFERROR(IF(MARÍTIMOS[[#This Row],[Inspección Externa]]="","",MARÍTIMOS[[#This Row],[Inspección Externa]]),"")</f>
        <v/>
      </c>
      <c r="AC948" s="11" t="str">
        <f>IFERROR(IF(MARÍTIMOS[[#This Row],[Etapa Despacho - Inicio de Carga]]="","",MARÍTIMOS[[#This Row],[Etapa Despacho - Inicio de Carga]]),"")</f>
        <v/>
      </c>
      <c r="AD948" s="11" t="str">
        <f>IFERROR(IF(MARÍTIMOS[[#This Row],[Etapa Despacho - Mitad de Carga]]="","",MARÍTIMOS[[#This Row],[Etapa Despacho - Mitad de Carga]]),"")</f>
        <v/>
      </c>
      <c r="AE948" s="11" t="str">
        <f>IFERROR(IF(MARÍTIMOS[[#This Row],[Etapa Despacho - Fin de Carga]]="","",MARÍTIMOS[[#This Row],[Etapa Despacho - Fin de Carga]]),"")</f>
        <v/>
      </c>
      <c r="AF948" s="2" t="str">
        <f>IFERROR(IF(MARÍTIMOS[[#This Row],[Puerto de Embarque]]="","",MARÍTIMOS[[#This Row],[Puerto de Embarque]]),"")</f>
        <v/>
      </c>
      <c r="AG948" s="2" t="str">
        <f>IFERROR(IF(MARÍTIMOS[[#This Row],[Almacén de Ingreso]]="","",MARÍTIMOS[[#This Row],[Almacén de Ingreso]]),"")</f>
        <v/>
      </c>
      <c r="AH948" s="11" t="str">
        <f>IFERROR(IF(MARÍTIMOS[[#This Row],[Etapa Ingreso - Cita]]="","",MARÍTIMOS[[#This Row],[Etapa Ingreso - Cita]]),"")</f>
        <v/>
      </c>
      <c r="AI948" s="11" t="str">
        <f>IFERROR(IF(MARÍTIMOS[[#This Row],[Etapa Ingreso - Llegada]]="","",MARÍTIMOS[[#This Row],[Etapa Ingreso - Llegada]]),"")</f>
        <v/>
      </c>
      <c r="AJ948" s="11" t="str">
        <f>IFERROR(IF(MARÍTIMOS[[#This Row],[Etapa Ingreso - Ingeso]]="","",MARÍTIMOS[[#This Row],[Etapa Ingreso - Ingeso]]),"")</f>
        <v/>
      </c>
      <c r="AK948" s="11" t="str">
        <f>IFERROR(IF(MARÍTIMOS[[#This Row],[Etapa Ingreso - Atención]]="","",MARÍTIMOS[[#This Row],[Etapa Ingreso - Atención]]),"")</f>
        <v/>
      </c>
      <c r="AL948" s="11" t="str">
        <f>IFERROR(IF(MARÍTIMOS[[#This Row],[Etapa Ingreso - Salida]]="","",MARÍTIMOS[[#This Row],[Etapa Ingreso - Salida]]),"")</f>
        <v/>
      </c>
      <c r="AM948" s="2" t="str">
        <f>IFERROR(IF(MARÍTIMOS[[#This Row],[FCL]]="","",MARÍTIMOS[[#This Row],[FCL]]),"")</f>
        <v/>
      </c>
      <c r="AN9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8" s="4" t="str" cm="1">
        <f t="array" ref="AO9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8" s="5" t="str">
        <f>IFERROR(OLDBD[[#This Row],[Llegada a packing]]-OLDBD[[#This Row],[Inicio de Ruta]],"")</f>
        <v/>
      </c>
      <c r="AQ948" s="6" t="str">
        <f>IFERROR(OLDBD[[#This Row],[Inicio de Ruta]]-OLDBD[[#This Row],[Salida de almacén de retiro]],"")</f>
        <v/>
      </c>
      <c r="AR9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8" s="8" t="str" cm="1">
        <f t="array" ref="AS9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8" s="9" t="str">
        <f>IFERROR(OLDBD[[#This Row],[Ingreso Packing]]-OLDBD[[#This Row],[Registro en Packing]],"")</f>
        <v/>
      </c>
      <c r="AV948" s="9" t="str">
        <f>IFERROR(OLDBD[[#This Row],[Ingreso Packing]]-OLDBD[[#This Row],[Llegada a packing]],"")</f>
        <v/>
      </c>
      <c r="AW9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8" s="5" t="str">
        <f>IFERROR(OLDBD[[#This Row],[Llegada Almacén de Ingreso]]-OLDBD[[#This Row],[Salida Packing]],"")</f>
        <v/>
      </c>
      <c r="AY948" s="4" t="str" cm="1">
        <f t="array" ref="AY9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8" s="43" t="s">
        <v>173</v>
      </c>
      <c r="BB948" s="47" t="str">
        <f>IFERROR(IF(MARÍTIMOS[[#This Row],[Estatus]]="","",MARÍTIMOS[[#This Row],[Estatus]]),"")</f>
        <v/>
      </c>
      <c r="BC948" s="43"/>
      <c r="BD948" s="46" t="str">
        <f>IFERROR(OLDBD[[#This Row],[Salida de almacén de retiro]]-OLDBD[[#This Row],[Ingreso Almacén de retiro]],"")</f>
        <v/>
      </c>
      <c r="BE948" s="46" t="str">
        <f>IFERROR(OLDBD[[#This Row],[Fin de Carga]]-OLDBD[[#This Row],[Inicio de Carga]],"")</f>
        <v/>
      </c>
    </row>
    <row r="949" spans="1:57" customFormat="1" hidden="1">
      <c r="A949" s="1"/>
      <c r="B949" s="1" t="str">
        <f>IFERROR(IF(MARÍTIMOS[[#This Row],[PP]]="","",MARÍTIMOS[[#This Row],[PP]]),"")</f>
        <v/>
      </c>
      <c r="C949" s="1" t="str">
        <f>IFERROR(IF(MARÍTIMOS[[#This Row],[Sede]]="","",MARÍTIMOS[[#This Row],[Sede]]),"")</f>
        <v/>
      </c>
      <c r="D949" s="1" t="str">
        <f>IFERROR(IF(MARÍTIMOS[[#This Row],[Instruction]]="","",MARÍTIMOS[[#This Row],[Instruction]]),"")</f>
        <v/>
      </c>
      <c r="E949" s="1"/>
      <c r="F949" s="2" t="str">
        <f>IFERROR(IF(MARÍTIMOS[[#This Row],[Transportista]]="","",MARÍTIMOS[[#This Row],[Transportista]]),"")</f>
        <v/>
      </c>
      <c r="G949" s="2" t="str">
        <f>IFERROR(IF(MARÍTIMOS[[#This Row],[Tercero]]="","",MARÍTIMOS[[#This Row],[Tercero]]),"")</f>
        <v/>
      </c>
      <c r="H949" s="2" t="str">
        <f>IFERROR(IF(MARÍTIMOS[[#This Row],[Razón Social]]="","",MARÍTIMOS[[#This Row],[Razón Social]]),"")</f>
        <v/>
      </c>
      <c r="I949" s="2" t="str">
        <f>IFERROR(IF(MARÍTIMOS[[#This Row],[RUC]]="","",MARÍTIMOS[[#This Row],[RUC]]),"")</f>
        <v/>
      </c>
      <c r="J949" s="2" t="str">
        <f>IFERROR(IF(MARÍTIMOS[[#This Row],[Placa Tracto]]="","",MARÍTIMOS[[#This Row],[Placa Tracto]]),"")</f>
        <v/>
      </c>
      <c r="K949" s="2" t="str">
        <f>IFERROR(IF(MARÍTIMOS[[#This Row],[Placa Carreta]]="","",MARÍTIMOS[[#This Row],[Placa Carreta]]),"")</f>
        <v/>
      </c>
      <c r="L949" s="44" t="str">
        <f>IFERROR(IF(MARÍTIMOS[[#This Row],[Conductor]]="","",MARÍTIMOS[[#This Row],[Conductor]]),"")</f>
        <v/>
      </c>
      <c r="M949" s="2" t="str">
        <f>IFERROR(IF(MARÍTIMOS[[#This Row],[Licencia]]="","",MARÍTIMOS[[#This Row],[Licencia]]),"")</f>
        <v/>
      </c>
      <c r="N949" s="2" t="str">
        <f>IFERROR(IF(MARÍTIMOS[[#This Row],[Número de Contacto]]="","",MARÍTIMOS[[#This Row],[Número de Contacto]]),"")</f>
        <v/>
      </c>
      <c r="O949" s="10" t="str">
        <f>IFERROR(IF(MARÍTIMOS[[#This Row],[Booking|AWB|CRT]]="","",MARÍTIMOS[[#This Row],[Booking|AWB|CRT]]),"")</f>
        <v/>
      </c>
      <c r="P949" s="2" t="str">
        <f>IFERROR(IF(MARÍTIMOS[[#This Row],[Contenedor]]="","",MARÍTIMOS[[#This Row],[Contenedor]]),"")</f>
        <v/>
      </c>
      <c r="Q949" s="2" t="str">
        <f>IFERROR(IF(MARÍTIMOS[[#This Row],[Puerto de Retiro]]="","",MARÍTIMOS[[#This Row],[Puerto de Retiro]]),"")</f>
        <v/>
      </c>
      <c r="R949" s="2" t="str">
        <f>IFERROR(IF(MARÍTIMOS[[#This Row],[Almacén de Retiro]]="","",MARÍTIMOS[[#This Row],[Almacén de Retiro]]),"")</f>
        <v/>
      </c>
      <c r="S949" s="11" t="str">
        <f>IFERROR(IF(MARÍTIMOS[[#This Row],[Etapa Retiro - Cita]]="","",MARÍTIMOS[[#This Row],[Etapa Retiro - Cita]]),"")</f>
        <v/>
      </c>
      <c r="T949" s="11" t="str">
        <f>IFERROR(IF(MARÍTIMOS[[#This Row],[Etapa Retiro - Llegada]]="","",MARÍTIMOS[[#This Row],[Etapa Retiro - Llegada]]),"")</f>
        <v/>
      </c>
      <c r="U949" s="11" t="str">
        <f>IFERROR(IF(MARÍTIMOS[[#This Row],[Etapa Retiro - Ingreso]]="","",MARÍTIMOS[[#This Row],[Etapa Retiro - Ingreso]]),"")</f>
        <v/>
      </c>
      <c r="V949" s="11" t="str">
        <f>IFERROR(IF(MARÍTIMOS[[#This Row],[Etapa Retiro - Atención]]="","",MARÍTIMOS[[#This Row],[Etapa Retiro - Atención]]),"")</f>
        <v/>
      </c>
      <c r="W949" s="11" t="str">
        <f>IFERROR(IF(MARÍTIMOS[[#This Row],[Etapa Retiro - Atención]]="","",MARÍTIMOS[[#This Row],[Etapa Retiro - Atención]]),"")</f>
        <v/>
      </c>
      <c r="X949" s="11" t="str">
        <f>IFERROR(IF(MARÍTIMOS[[#This Row],[Etapa Retiro - Inicio de Ruta]]="","",MARÍTIMOS[[#This Row],[Etapa Retiro - Inicio de Ruta]]),"")</f>
        <v/>
      </c>
      <c r="Y949" s="11" t="str">
        <f>IFERROR(IF(MARÍTIMOS[[#This Row],[Hora de Posicionamiento]]="","",MARÍTIMOS[[#This Row],[Fecha de Carga]]+MARÍTIMOS[[#This Row],[Hora de Posicionamiento]]),"")</f>
        <v/>
      </c>
      <c r="Z949" s="11" t="str">
        <f>IFERROR(IF(MARÍTIMOS[[#This Row],[Etapa Despacho - Llegada]]="","",MARÍTIMOS[[#This Row],[Etapa Despacho - Llegada]]),"")</f>
        <v/>
      </c>
      <c r="AA949" s="11" t="str">
        <f>IFERROR(IF(MARÍTIMOS[[#This Row],[Etapa Despacho - Registro]]="","",MARÍTIMOS[[#This Row],[Etapa Despacho - Registro]]),"")</f>
        <v/>
      </c>
      <c r="AB949" s="11" t="str">
        <f>IFERROR(IF(MARÍTIMOS[[#This Row],[Inspección Externa]]="","",MARÍTIMOS[[#This Row],[Inspección Externa]]),"")</f>
        <v/>
      </c>
      <c r="AC949" s="11" t="str">
        <f>IFERROR(IF(MARÍTIMOS[[#This Row],[Etapa Despacho - Inicio de Carga]]="","",MARÍTIMOS[[#This Row],[Etapa Despacho - Inicio de Carga]]),"")</f>
        <v/>
      </c>
      <c r="AD949" s="11" t="str">
        <f>IFERROR(IF(MARÍTIMOS[[#This Row],[Etapa Despacho - Mitad de Carga]]="","",MARÍTIMOS[[#This Row],[Etapa Despacho - Mitad de Carga]]),"")</f>
        <v/>
      </c>
      <c r="AE949" s="11" t="str">
        <f>IFERROR(IF(MARÍTIMOS[[#This Row],[Etapa Despacho - Fin de Carga]]="","",MARÍTIMOS[[#This Row],[Etapa Despacho - Fin de Carga]]),"")</f>
        <v/>
      </c>
      <c r="AF949" s="2" t="str">
        <f>IFERROR(IF(MARÍTIMOS[[#This Row],[Puerto de Embarque]]="","",MARÍTIMOS[[#This Row],[Puerto de Embarque]]),"")</f>
        <v/>
      </c>
      <c r="AG949" s="2" t="str">
        <f>IFERROR(IF(MARÍTIMOS[[#This Row],[Almacén de Ingreso]]="","",MARÍTIMOS[[#This Row],[Almacén de Ingreso]]),"")</f>
        <v/>
      </c>
      <c r="AH949" s="11" t="str">
        <f>IFERROR(IF(MARÍTIMOS[[#This Row],[Etapa Ingreso - Cita]]="","",MARÍTIMOS[[#This Row],[Etapa Ingreso - Cita]]),"")</f>
        <v/>
      </c>
      <c r="AI949" s="11" t="str">
        <f>IFERROR(IF(MARÍTIMOS[[#This Row],[Etapa Ingreso - Llegada]]="","",MARÍTIMOS[[#This Row],[Etapa Ingreso - Llegada]]),"")</f>
        <v/>
      </c>
      <c r="AJ949" s="11" t="str">
        <f>IFERROR(IF(MARÍTIMOS[[#This Row],[Etapa Ingreso - Ingeso]]="","",MARÍTIMOS[[#This Row],[Etapa Ingreso - Ingeso]]),"")</f>
        <v/>
      </c>
      <c r="AK949" s="11" t="str">
        <f>IFERROR(IF(MARÍTIMOS[[#This Row],[Etapa Ingreso - Atención]]="","",MARÍTIMOS[[#This Row],[Etapa Ingreso - Atención]]),"")</f>
        <v/>
      </c>
      <c r="AL949" s="11" t="str">
        <f>IFERROR(IF(MARÍTIMOS[[#This Row],[Etapa Ingreso - Salida]]="","",MARÍTIMOS[[#This Row],[Etapa Ingreso - Salida]]),"")</f>
        <v/>
      </c>
      <c r="AM949" s="2" t="str">
        <f>IFERROR(IF(MARÍTIMOS[[#This Row],[FCL]]="","",MARÍTIMOS[[#This Row],[FCL]]),"")</f>
        <v/>
      </c>
      <c r="AN9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49" s="4" t="str" cm="1">
        <f t="array" ref="AO9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49" s="5" t="str">
        <f>IFERROR(OLDBD[[#This Row],[Llegada a packing]]-OLDBD[[#This Row],[Inicio de Ruta]],"")</f>
        <v/>
      </c>
      <c r="AQ949" s="6" t="str">
        <f>IFERROR(OLDBD[[#This Row],[Inicio de Ruta]]-OLDBD[[#This Row],[Salida de almacén de retiro]],"")</f>
        <v/>
      </c>
      <c r="AR9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49" s="8" t="str" cm="1">
        <f t="array" ref="AS9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49" s="9" t="str">
        <f>IFERROR(OLDBD[[#This Row],[Ingreso Packing]]-OLDBD[[#This Row],[Registro en Packing]],"")</f>
        <v/>
      </c>
      <c r="AV949" s="9" t="str">
        <f>IFERROR(OLDBD[[#This Row],[Ingreso Packing]]-OLDBD[[#This Row],[Llegada a packing]],"")</f>
        <v/>
      </c>
      <c r="AW9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49" s="5" t="str">
        <f>IFERROR(OLDBD[[#This Row],[Llegada Almacén de Ingreso]]-OLDBD[[#This Row],[Salida Packing]],"")</f>
        <v/>
      </c>
      <c r="AY949" s="4" t="str" cm="1">
        <f t="array" ref="AY9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49" s="43" t="s">
        <v>173</v>
      </c>
      <c r="BB949" s="47" t="str">
        <f>IFERROR(IF(MARÍTIMOS[[#This Row],[Estatus]]="","",MARÍTIMOS[[#This Row],[Estatus]]),"")</f>
        <v/>
      </c>
      <c r="BC949" s="43"/>
      <c r="BD949" s="46" t="str">
        <f>IFERROR(OLDBD[[#This Row],[Salida de almacén de retiro]]-OLDBD[[#This Row],[Ingreso Almacén de retiro]],"")</f>
        <v/>
      </c>
      <c r="BE949" s="46" t="str">
        <f>IFERROR(OLDBD[[#This Row],[Fin de Carga]]-OLDBD[[#This Row],[Inicio de Carga]],"")</f>
        <v/>
      </c>
    </row>
    <row r="950" spans="1:57" customFormat="1" hidden="1">
      <c r="A950" s="1"/>
      <c r="B950" s="1" t="str">
        <f>IFERROR(IF(MARÍTIMOS[[#This Row],[PP]]="","",MARÍTIMOS[[#This Row],[PP]]),"")</f>
        <v/>
      </c>
      <c r="C950" s="1" t="str">
        <f>IFERROR(IF(MARÍTIMOS[[#This Row],[Sede]]="","",MARÍTIMOS[[#This Row],[Sede]]),"")</f>
        <v/>
      </c>
      <c r="D950" s="1" t="str">
        <f>IFERROR(IF(MARÍTIMOS[[#This Row],[Instruction]]="","",MARÍTIMOS[[#This Row],[Instruction]]),"")</f>
        <v/>
      </c>
      <c r="E950" s="1"/>
      <c r="F950" s="2" t="str">
        <f>IFERROR(IF(MARÍTIMOS[[#This Row],[Transportista]]="","",MARÍTIMOS[[#This Row],[Transportista]]),"")</f>
        <v/>
      </c>
      <c r="G950" s="2" t="str">
        <f>IFERROR(IF(MARÍTIMOS[[#This Row],[Tercero]]="","",MARÍTIMOS[[#This Row],[Tercero]]),"")</f>
        <v/>
      </c>
      <c r="H950" s="2" t="str">
        <f>IFERROR(IF(MARÍTIMOS[[#This Row],[Razón Social]]="","",MARÍTIMOS[[#This Row],[Razón Social]]),"")</f>
        <v/>
      </c>
      <c r="I950" s="2" t="str">
        <f>IFERROR(IF(MARÍTIMOS[[#This Row],[RUC]]="","",MARÍTIMOS[[#This Row],[RUC]]),"")</f>
        <v/>
      </c>
      <c r="J950" s="2" t="str">
        <f>IFERROR(IF(MARÍTIMOS[[#This Row],[Placa Tracto]]="","",MARÍTIMOS[[#This Row],[Placa Tracto]]),"")</f>
        <v/>
      </c>
      <c r="K950" s="2" t="str">
        <f>IFERROR(IF(MARÍTIMOS[[#This Row],[Placa Carreta]]="","",MARÍTIMOS[[#This Row],[Placa Carreta]]),"")</f>
        <v/>
      </c>
      <c r="L950" s="44" t="str">
        <f>IFERROR(IF(MARÍTIMOS[[#This Row],[Conductor]]="","",MARÍTIMOS[[#This Row],[Conductor]]),"")</f>
        <v/>
      </c>
      <c r="M950" s="2" t="str">
        <f>IFERROR(IF(MARÍTIMOS[[#This Row],[Licencia]]="","",MARÍTIMOS[[#This Row],[Licencia]]),"")</f>
        <v/>
      </c>
      <c r="N950" s="2" t="str">
        <f>IFERROR(IF(MARÍTIMOS[[#This Row],[Número de Contacto]]="","",MARÍTIMOS[[#This Row],[Número de Contacto]]),"")</f>
        <v/>
      </c>
      <c r="O950" s="10" t="str">
        <f>IFERROR(IF(MARÍTIMOS[[#This Row],[Booking|AWB|CRT]]="","",MARÍTIMOS[[#This Row],[Booking|AWB|CRT]]),"")</f>
        <v/>
      </c>
      <c r="P950" s="2" t="str">
        <f>IFERROR(IF(MARÍTIMOS[[#This Row],[Contenedor]]="","",MARÍTIMOS[[#This Row],[Contenedor]]),"")</f>
        <v/>
      </c>
      <c r="Q950" s="2" t="str">
        <f>IFERROR(IF(MARÍTIMOS[[#This Row],[Puerto de Retiro]]="","",MARÍTIMOS[[#This Row],[Puerto de Retiro]]),"")</f>
        <v/>
      </c>
      <c r="R950" s="2" t="str">
        <f>IFERROR(IF(MARÍTIMOS[[#This Row],[Almacén de Retiro]]="","",MARÍTIMOS[[#This Row],[Almacén de Retiro]]),"")</f>
        <v/>
      </c>
      <c r="S950" s="11" t="str">
        <f>IFERROR(IF(MARÍTIMOS[[#This Row],[Etapa Retiro - Cita]]="","",MARÍTIMOS[[#This Row],[Etapa Retiro - Cita]]),"")</f>
        <v/>
      </c>
      <c r="T950" s="11" t="str">
        <f>IFERROR(IF(MARÍTIMOS[[#This Row],[Etapa Retiro - Llegada]]="","",MARÍTIMOS[[#This Row],[Etapa Retiro - Llegada]]),"")</f>
        <v/>
      </c>
      <c r="U950" s="11" t="str">
        <f>IFERROR(IF(MARÍTIMOS[[#This Row],[Etapa Retiro - Ingreso]]="","",MARÍTIMOS[[#This Row],[Etapa Retiro - Ingreso]]),"")</f>
        <v/>
      </c>
      <c r="V950" s="11" t="str">
        <f>IFERROR(IF(MARÍTIMOS[[#This Row],[Etapa Retiro - Atención]]="","",MARÍTIMOS[[#This Row],[Etapa Retiro - Atención]]),"")</f>
        <v/>
      </c>
      <c r="W950" s="11" t="str">
        <f>IFERROR(IF(MARÍTIMOS[[#This Row],[Etapa Retiro - Atención]]="","",MARÍTIMOS[[#This Row],[Etapa Retiro - Atención]]),"")</f>
        <v/>
      </c>
      <c r="X950" s="11" t="str">
        <f>IFERROR(IF(MARÍTIMOS[[#This Row],[Etapa Retiro - Inicio de Ruta]]="","",MARÍTIMOS[[#This Row],[Etapa Retiro - Inicio de Ruta]]),"")</f>
        <v/>
      </c>
      <c r="Y950" s="11" t="str">
        <f>IFERROR(IF(MARÍTIMOS[[#This Row],[Hora de Posicionamiento]]="","",MARÍTIMOS[[#This Row],[Fecha de Carga]]+MARÍTIMOS[[#This Row],[Hora de Posicionamiento]]),"")</f>
        <v/>
      </c>
      <c r="Z950" s="11" t="str">
        <f>IFERROR(IF(MARÍTIMOS[[#This Row],[Etapa Despacho - Llegada]]="","",MARÍTIMOS[[#This Row],[Etapa Despacho - Llegada]]),"")</f>
        <v/>
      </c>
      <c r="AA950" s="11" t="str">
        <f>IFERROR(IF(MARÍTIMOS[[#This Row],[Etapa Despacho - Registro]]="","",MARÍTIMOS[[#This Row],[Etapa Despacho - Registro]]),"")</f>
        <v/>
      </c>
      <c r="AB950" s="11" t="str">
        <f>IFERROR(IF(MARÍTIMOS[[#This Row],[Inspección Externa]]="","",MARÍTIMOS[[#This Row],[Inspección Externa]]),"")</f>
        <v/>
      </c>
      <c r="AC950" s="11" t="str">
        <f>IFERROR(IF(MARÍTIMOS[[#This Row],[Etapa Despacho - Inicio de Carga]]="","",MARÍTIMOS[[#This Row],[Etapa Despacho - Inicio de Carga]]),"")</f>
        <v/>
      </c>
      <c r="AD950" s="11" t="str">
        <f>IFERROR(IF(MARÍTIMOS[[#This Row],[Etapa Despacho - Mitad de Carga]]="","",MARÍTIMOS[[#This Row],[Etapa Despacho - Mitad de Carga]]),"")</f>
        <v/>
      </c>
      <c r="AE950" s="11" t="str">
        <f>IFERROR(IF(MARÍTIMOS[[#This Row],[Etapa Despacho - Fin de Carga]]="","",MARÍTIMOS[[#This Row],[Etapa Despacho - Fin de Carga]]),"")</f>
        <v/>
      </c>
      <c r="AF950" s="2" t="str">
        <f>IFERROR(IF(MARÍTIMOS[[#This Row],[Puerto de Embarque]]="","",MARÍTIMOS[[#This Row],[Puerto de Embarque]]),"")</f>
        <v/>
      </c>
      <c r="AG950" s="2" t="str">
        <f>IFERROR(IF(MARÍTIMOS[[#This Row],[Almacén de Ingreso]]="","",MARÍTIMOS[[#This Row],[Almacén de Ingreso]]),"")</f>
        <v/>
      </c>
      <c r="AH950" s="11" t="str">
        <f>IFERROR(IF(MARÍTIMOS[[#This Row],[Etapa Ingreso - Cita]]="","",MARÍTIMOS[[#This Row],[Etapa Ingreso - Cita]]),"")</f>
        <v/>
      </c>
      <c r="AI950" s="11" t="str">
        <f>IFERROR(IF(MARÍTIMOS[[#This Row],[Etapa Ingreso - Llegada]]="","",MARÍTIMOS[[#This Row],[Etapa Ingreso - Llegada]]),"")</f>
        <v/>
      </c>
      <c r="AJ950" s="11" t="str">
        <f>IFERROR(IF(MARÍTIMOS[[#This Row],[Etapa Ingreso - Ingeso]]="","",MARÍTIMOS[[#This Row],[Etapa Ingreso - Ingeso]]),"")</f>
        <v/>
      </c>
      <c r="AK950" s="11" t="str">
        <f>IFERROR(IF(MARÍTIMOS[[#This Row],[Etapa Ingreso - Atención]]="","",MARÍTIMOS[[#This Row],[Etapa Ingreso - Atención]]),"")</f>
        <v/>
      </c>
      <c r="AL950" s="11" t="str">
        <f>IFERROR(IF(MARÍTIMOS[[#This Row],[Etapa Ingreso - Salida]]="","",MARÍTIMOS[[#This Row],[Etapa Ingreso - Salida]]),"")</f>
        <v/>
      </c>
      <c r="AM950" s="2" t="str">
        <f>IFERROR(IF(MARÍTIMOS[[#This Row],[FCL]]="","",MARÍTIMOS[[#This Row],[FCL]]),"")</f>
        <v/>
      </c>
      <c r="AN9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0" s="4" t="str" cm="1">
        <f t="array" ref="AO9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0" s="5" t="str">
        <f>IFERROR(OLDBD[[#This Row],[Llegada a packing]]-OLDBD[[#This Row],[Inicio de Ruta]],"")</f>
        <v/>
      </c>
      <c r="AQ950" s="6" t="str">
        <f>IFERROR(OLDBD[[#This Row],[Inicio de Ruta]]-OLDBD[[#This Row],[Salida de almacén de retiro]],"")</f>
        <v/>
      </c>
      <c r="AR9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0" s="8" t="str" cm="1">
        <f t="array" ref="AS9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0" s="9" t="str">
        <f>IFERROR(OLDBD[[#This Row],[Ingreso Packing]]-OLDBD[[#This Row],[Registro en Packing]],"")</f>
        <v/>
      </c>
      <c r="AV950" s="9" t="str">
        <f>IFERROR(OLDBD[[#This Row],[Ingreso Packing]]-OLDBD[[#This Row],[Llegada a packing]],"")</f>
        <v/>
      </c>
      <c r="AW9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0" s="5" t="str">
        <f>IFERROR(OLDBD[[#This Row],[Llegada Almacén de Ingreso]]-OLDBD[[#This Row],[Salida Packing]],"")</f>
        <v/>
      </c>
      <c r="AY950" s="4" t="str" cm="1">
        <f t="array" ref="AY9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0" s="43" t="s">
        <v>173</v>
      </c>
      <c r="BB950" s="47" t="str">
        <f>IFERROR(IF(MARÍTIMOS[[#This Row],[Estatus]]="","",MARÍTIMOS[[#This Row],[Estatus]]),"")</f>
        <v/>
      </c>
      <c r="BC950" s="43"/>
      <c r="BD950" s="46" t="str">
        <f>IFERROR(OLDBD[[#This Row],[Salida de almacén de retiro]]-OLDBD[[#This Row],[Ingreso Almacén de retiro]],"")</f>
        <v/>
      </c>
      <c r="BE950" s="46" t="str">
        <f>IFERROR(OLDBD[[#This Row],[Fin de Carga]]-OLDBD[[#This Row],[Inicio de Carga]],"")</f>
        <v/>
      </c>
    </row>
    <row r="951" spans="1:57" customFormat="1" hidden="1">
      <c r="A951" s="1"/>
      <c r="B951" s="1" t="str">
        <f>IFERROR(IF(MARÍTIMOS[[#This Row],[PP]]="","",MARÍTIMOS[[#This Row],[PP]]),"")</f>
        <v/>
      </c>
      <c r="C951" s="1" t="str">
        <f>IFERROR(IF(MARÍTIMOS[[#This Row],[Sede]]="","",MARÍTIMOS[[#This Row],[Sede]]),"")</f>
        <v/>
      </c>
      <c r="D951" s="1" t="str">
        <f>IFERROR(IF(MARÍTIMOS[[#This Row],[Instruction]]="","",MARÍTIMOS[[#This Row],[Instruction]]),"")</f>
        <v/>
      </c>
      <c r="E951" s="1"/>
      <c r="F951" s="2" t="str">
        <f>IFERROR(IF(MARÍTIMOS[[#This Row],[Transportista]]="","",MARÍTIMOS[[#This Row],[Transportista]]),"")</f>
        <v/>
      </c>
      <c r="G951" s="2" t="str">
        <f>IFERROR(IF(MARÍTIMOS[[#This Row],[Tercero]]="","",MARÍTIMOS[[#This Row],[Tercero]]),"")</f>
        <v/>
      </c>
      <c r="H951" s="2" t="str">
        <f>IFERROR(IF(MARÍTIMOS[[#This Row],[Razón Social]]="","",MARÍTIMOS[[#This Row],[Razón Social]]),"")</f>
        <v/>
      </c>
      <c r="I951" s="2" t="str">
        <f>IFERROR(IF(MARÍTIMOS[[#This Row],[RUC]]="","",MARÍTIMOS[[#This Row],[RUC]]),"")</f>
        <v/>
      </c>
      <c r="J951" s="2" t="str">
        <f>IFERROR(IF(MARÍTIMOS[[#This Row],[Placa Tracto]]="","",MARÍTIMOS[[#This Row],[Placa Tracto]]),"")</f>
        <v/>
      </c>
      <c r="K951" s="2" t="str">
        <f>IFERROR(IF(MARÍTIMOS[[#This Row],[Placa Carreta]]="","",MARÍTIMOS[[#This Row],[Placa Carreta]]),"")</f>
        <v/>
      </c>
      <c r="L951" s="44" t="str">
        <f>IFERROR(IF(MARÍTIMOS[[#This Row],[Conductor]]="","",MARÍTIMOS[[#This Row],[Conductor]]),"")</f>
        <v/>
      </c>
      <c r="M951" s="2" t="str">
        <f>IFERROR(IF(MARÍTIMOS[[#This Row],[Licencia]]="","",MARÍTIMOS[[#This Row],[Licencia]]),"")</f>
        <v/>
      </c>
      <c r="N951" s="2" t="str">
        <f>IFERROR(IF(MARÍTIMOS[[#This Row],[Número de Contacto]]="","",MARÍTIMOS[[#This Row],[Número de Contacto]]),"")</f>
        <v/>
      </c>
      <c r="O951" s="10" t="str">
        <f>IFERROR(IF(MARÍTIMOS[[#This Row],[Booking|AWB|CRT]]="","",MARÍTIMOS[[#This Row],[Booking|AWB|CRT]]),"")</f>
        <v/>
      </c>
      <c r="P951" s="2" t="str">
        <f>IFERROR(IF(MARÍTIMOS[[#This Row],[Contenedor]]="","",MARÍTIMOS[[#This Row],[Contenedor]]),"")</f>
        <v/>
      </c>
      <c r="Q951" s="2" t="str">
        <f>IFERROR(IF(MARÍTIMOS[[#This Row],[Puerto de Retiro]]="","",MARÍTIMOS[[#This Row],[Puerto de Retiro]]),"")</f>
        <v/>
      </c>
      <c r="R951" s="2" t="str">
        <f>IFERROR(IF(MARÍTIMOS[[#This Row],[Almacén de Retiro]]="","",MARÍTIMOS[[#This Row],[Almacén de Retiro]]),"")</f>
        <v/>
      </c>
      <c r="S951" s="11" t="str">
        <f>IFERROR(IF(MARÍTIMOS[[#This Row],[Etapa Retiro - Cita]]="","",MARÍTIMOS[[#This Row],[Etapa Retiro - Cita]]),"")</f>
        <v/>
      </c>
      <c r="T951" s="11" t="str">
        <f>IFERROR(IF(MARÍTIMOS[[#This Row],[Etapa Retiro - Llegada]]="","",MARÍTIMOS[[#This Row],[Etapa Retiro - Llegada]]),"")</f>
        <v/>
      </c>
      <c r="U951" s="11" t="str">
        <f>IFERROR(IF(MARÍTIMOS[[#This Row],[Etapa Retiro - Ingreso]]="","",MARÍTIMOS[[#This Row],[Etapa Retiro - Ingreso]]),"")</f>
        <v/>
      </c>
      <c r="V951" s="11" t="str">
        <f>IFERROR(IF(MARÍTIMOS[[#This Row],[Etapa Retiro - Atención]]="","",MARÍTIMOS[[#This Row],[Etapa Retiro - Atención]]),"")</f>
        <v/>
      </c>
      <c r="W951" s="11" t="str">
        <f>IFERROR(IF(MARÍTIMOS[[#This Row],[Etapa Retiro - Atención]]="","",MARÍTIMOS[[#This Row],[Etapa Retiro - Atención]]),"")</f>
        <v/>
      </c>
      <c r="X951" s="11" t="str">
        <f>IFERROR(IF(MARÍTIMOS[[#This Row],[Etapa Retiro - Inicio de Ruta]]="","",MARÍTIMOS[[#This Row],[Etapa Retiro - Inicio de Ruta]]),"")</f>
        <v/>
      </c>
      <c r="Y951" s="11" t="str">
        <f>IFERROR(IF(MARÍTIMOS[[#This Row],[Hora de Posicionamiento]]="","",MARÍTIMOS[[#This Row],[Fecha de Carga]]+MARÍTIMOS[[#This Row],[Hora de Posicionamiento]]),"")</f>
        <v/>
      </c>
      <c r="Z951" s="11" t="str">
        <f>IFERROR(IF(MARÍTIMOS[[#This Row],[Etapa Despacho - Llegada]]="","",MARÍTIMOS[[#This Row],[Etapa Despacho - Llegada]]),"")</f>
        <v/>
      </c>
      <c r="AA951" s="11" t="str">
        <f>IFERROR(IF(MARÍTIMOS[[#This Row],[Etapa Despacho - Registro]]="","",MARÍTIMOS[[#This Row],[Etapa Despacho - Registro]]),"")</f>
        <v/>
      </c>
      <c r="AB951" s="11" t="str">
        <f>IFERROR(IF(MARÍTIMOS[[#This Row],[Inspección Externa]]="","",MARÍTIMOS[[#This Row],[Inspección Externa]]),"")</f>
        <v/>
      </c>
      <c r="AC951" s="11" t="str">
        <f>IFERROR(IF(MARÍTIMOS[[#This Row],[Etapa Despacho - Inicio de Carga]]="","",MARÍTIMOS[[#This Row],[Etapa Despacho - Inicio de Carga]]),"")</f>
        <v/>
      </c>
      <c r="AD951" s="11" t="str">
        <f>IFERROR(IF(MARÍTIMOS[[#This Row],[Etapa Despacho - Mitad de Carga]]="","",MARÍTIMOS[[#This Row],[Etapa Despacho - Mitad de Carga]]),"")</f>
        <v/>
      </c>
      <c r="AE951" s="11" t="str">
        <f>IFERROR(IF(MARÍTIMOS[[#This Row],[Etapa Despacho - Fin de Carga]]="","",MARÍTIMOS[[#This Row],[Etapa Despacho - Fin de Carga]]),"")</f>
        <v/>
      </c>
      <c r="AF951" s="2" t="str">
        <f>IFERROR(IF(MARÍTIMOS[[#This Row],[Puerto de Embarque]]="","",MARÍTIMOS[[#This Row],[Puerto de Embarque]]),"")</f>
        <v/>
      </c>
      <c r="AG951" s="2" t="str">
        <f>IFERROR(IF(MARÍTIMOS[[#This Row],[Almacén de Ingreso]]="","",MARÍTIMOS[[#This Row],[Almacén de Ingreso]]),"")</f>
        <v/>
      </c>
      <c r="AH951" s="11" t="str">
        <f>IFERROR(IF(MARÍTIMOS[[#This Row],[Etapa Ingreso - Cita]]="","",MARÍTIMOS[[#This Row],[Etapa Ingreso - Cita]]),"")</f>
        <v/>
      </c>
      <c r="AI951" s="11" t="str">
        <f>IFERROR(IF(MARÍTIMOS[[#This Row],[Etapa Ingreso - Llegada]]="","",MARÍTIMOS[[#This Row],[Etapa Ingreso - Llegada]]),"")</f>
        <v/>
      </c>
      <c r="AJ951" s="11" t="str">
        <f>IFERROR(IF(MARÍTIMOS[[#This Row],[Etapa Ingreso - Ingeso]]="","",MARÍTIMOS[[#This Row],[Etapa Ingreso - Ingeso]]),"")</f>
        <v/>
      </c>
      <c r="AK951" s="11" t="str">
        <f>IFERROR(IF(MARÍTIMOS[[#This Row],[Etapa Ingreso - Atención]]="","",MARÍTIMOS[[#This Row],[Etapa Ingreso - Atención]]),"")</f>
        <v/>
      </c>
      <c r="AL951" s="11" t="str">
        <f>IFERROR(IF(MARÍTIMOS[[#This Row],[Etapa Ingreso - Salida]]="","",MARÍTIMOS[[#This Row],[Etapa Ingreso - Salida]]),"")</f>
        <v/>
      </c>
      <c r="AM951" s="2" t="str">
        <f>IFERROR(IF(MARÍTIMOS[[#This Row],[FCL]]="","",MARÍTIMOS[[#This Row],[FCL]]),"")</f>
        <v/>
      </c>
      <c r="AN9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1" s="4" t="str" cm="1">
        <f t="array" ref="AO9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1" s="5" t="str">
        <f>IFERROR(OLDBD[[#This Row],[Llegada a packing]]-OLDBD[[#This Row],[Inicio de Ruta]],"")</f>
        <v/>
      </c>
      <c r="AQ951" s="6" t="str">
        <f>IFERROR(OLDBD[[#This Row],[Inicio de Ruta]]-OLDBD[[#This Row],[Salida de almacén de retiro]],"")</f>
        <v/>
      </c>
      <c r="AR9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1" s="8" t="str" cm="1">
        <f t="array" ref="AS9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1" s="9" t="str">
        <f>IFERROR(OLDBD[[#This Row],[Ingreso Packing]]-OLDBD[[#This Row],[Registro en Packing]],"")</f>
        <v/>
      </c>
      <c r="AV951" s="9" t="str">
        <f>IFERROR(OLDBD[[#This Row],[Ingreso Packing]]-OLDBD[[#This Row],[Llegada a packing]],"")</f>
        <v/>
      </c>
      <c r="AW9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1" s="5" t="str">
        <f>IFERROR(OLDBD[[#This Row],[Llegada Almacén de Ingreso]]-OLDBD[[#This Row],[Salida Packing]],"")</f>
        <v/>
      </c>
      <c r="AY951" s="4" t="str" cm="1">
        <f t="array" ref="AY9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1" s="43" t="s">
        <v>173</v>
      </c>
      <c r="BB951" s="47" t="str">
        <f>IFERROR(IF(MARÍTIMOS[[#This Row],[Estatus]]="","",MARÍTIMOS[[#This Row],[Estatus]]),"")</f>
        <v/>
      </c>
      <c r="BC951" s="43"/>
      <c r="BD951" s="46" t="str">
        <f>IFERROR(OLDBD[[#This Row],[Salida de almacén de retiro]]-OLDBD[[#This Row],[Ingreso Almacén de retiro]],"")</f>
        <v/>
      </c>
      <c r="BE951" s="46" t="str">
        <f>IFERROR(OLDBD[[#This Row],[Fin de Carga]]-OLDBD[[#This Row],[Inicio de Carga]],"")</f>
        <v/>
      </c>
    </row>
    <row r="952" spans="1:57" customFormat="1" hidden="1">
      <c r="A952" s="1"/>
      <c r="B952" s="1" t="str">
        <f>IFERROR(IF(MARÍTIMOS[[#This Row],[PP]]="","",MARÍTIMOS[[#This Row],[PP]]),"")</f>
        <v/>
      </c>
      <c r="C952" s="1" t="str">
        <f>IFERROR(IF(MARÍTIMOS[[#This Row],[Sede]]="","",MARÍTIMOS[[#This Row],[Sede]]),"")</f>
        <v/>
      </c>
      <c r="D952" s="1" t="str">
        <f>IFERROR(IF(MARÍTIMOS[[#This Row],[Instruction]]="","",MARÍTIMOS[[#This Row],[Instruction]]),"")</f>
        <v/>
      </c>
      <c r="E952" s="1"/>
      <c r="F952" s="2" t="str">
        <f>IFERROR(IF(MARÍTIMOS[[#This Row],[Transportista]]="","",MARÍTIMOS[[#This Row],[Transportista]]),"")</f>
        <v/>
      </c>
      <c r="G952" s="2" t="str">
        <f>IFERROR(IF(MARÍTIMOS[[#This Row],[Tercero]]="","",MARÍTIMOS[[#This Row],[Tercero]]),"")</f>
        <v/>
      </c>
      <c r="H952" s="2" t="str">
        <f>IFERROR(IF(MARÍTIMOS[[#This Row],[Razón Social]]="","",MARÍTIMOS[[#This Row],[Razón Social]]),"")</f>
        <v/>
      </c>
      <c r="I952" s="2" t="str">
        <f>IFERROR(IF(MARÍTIMOS[[#This Row],[RUC]]="","",MARÍTIMOS[[#This Row],[RUC]]),"")</f>
        <v/>
      </c>
      <c r="J952" s="2" t="str">
        <f>IFERROR(IF(MARÍTIMOS[[#This Row],[Placa Tracto]]="","",MARÍTIMOS[[#This Row],[Placa Tracto]]),"")</f>
        <v/>
      </c>
      <c r="K952" s="2" t="str">
        <f>IFERROR(IF(MARÍTIMOS[[#This Row],[Placa Carreta]]="","",MARÍTIMOS[[#This Row],[Placa Carreta]]),"")</f>
        <v/>
      </c>
      <c r="L952" s="44" t="str">
        <f>IFERROR(IF(MARÍTIMOS[[#This Row],[Conductor]]="","",MARÍTIMOS[[#This Row],[Conductor]]),"")</f>
        <v/>
      </c>
      <c r="M952" s="2" t="str">
        <f>IFERROR(IF(MARÍTIMOS[[#This Row],[Licencia]]="","",MARÍTIMOS[[#This Row],[Licencia]]),"")</f>
        <v/>
      </c>
      <c r="N952" s="2" t="str">
        <f>IFERROR(IF(MARÍTIMOS[[#This Row],[Número de Contacto]]="","",MARÍTIMOS[[#This Row],[Número de Contacto]]),"")</f>
        <v/>
      </c>
      <c r="O952" s="10" t="str">
        <f>IFERROR(IF(MARÍTIMOS[[#This Row],[Booking|AWB|CRT]]="","",MARÍTIMOS[[#This Row],[Booking|AWB|CRT]]),"")</f>
        <v/>
      </c>
      <c r="P952" s="2" t="str">
        <f>IFERROR(IF(MARÍTIMOS[[#This Row],[Contenedor]]="","",MARÍTIMOS[[#This Row],[Contenedor]]),"")</f>
        <v/>
      </c>
      <c r="Q952" s="2" t="str">
        <f>IFERROR(IF(MARÍTIMOS[[#This Row],[Puerto de Retiro]]="","",MARÍTIMOS[[#This Row],[Puerto de Retiro]]),"")</f>
        <v/>
      </c>
      <c r="R952" s="2" t="str">
        <f>IFERROR(IF(MARÍTIMOS[[#This Row],[Almacén de Retiro]]="","",MARÍTIMOS[[#This Row],[Almacén de Retiro]]),"")</f>
        <v/>
      </c>
      <c r="S952" s="11" t="str">
        <f>IFERROR(IF(MARÍTIMOS[[#This Row],[Etapa Retiro - Cita]]="","",MARÍTIMOS[[#This Row],[Etapa Retiro - Cita]]),"")</f>
        <v/>
      </c>
      <c r="T952" s="11" t="str">
        <f>IFERROR(IF(MARÍTIMOS[[#This Row],[Etapa Retiro - Llegada]]="","",MARÍTIMOS[[#This Row],[Etapa Retiro - Llegada]]),"")</f>
        <v/>
      </c>
      <c r="U952" s="11" t="str">
        <f>IFERROR(IF(MARÍTIMOS[[#This Row],[Etapa Retiro - Ingreso]]="","",MARÍTIMOS[[#This Row],[Etapa Retiro - Ingreso]]),"")</f>
        <v/>
      </c>
      <c r="V952" s="11" t="str">
        <f>IFERROR(IF(MARÍTIMOS[[#This Row],[Etapa Retiro - Atención]]="","",MARÍTIMOS[[#This Row],[Etapa Retiro - Atención]]),"")</f>
        <v/>
      </c>
      <c r="W952" s="11" t="str">
        <f>IFERROR(IF(MARÍTIMOS[[#This Row],[Etapa Retiro - Atención]]="","",MARÍTIMOS[[#This Row],[Etapa Retiro - Atención]]),"")</f>
        <v/>
      </c>
      <c r="X952" s="11" t="str">
        <f>IFERROR(IF(MARÍTIMOS[[#This Row],[Etapa Retiro - Inicio de Ruta]]="","",MARÍTIMOS[[#This Row],[Etapa Retiro - Inicio de Ruta]]),"")</f>
        <v/>
      </c>
      <c r="Y952" s="11" t="str">
        <f>IFERROR(IF(MARÍTIMOS[[#This Row],[Hora de Posicionamiento]]="","",MARÍTIMOS[[#This Row],[Fecha de Carga]]+MARÍTIMOS[[#This Row],[Hora de Posicionamiento]]),"")</f>
        <v/>
      </c>
      <c r="Z952" s="11" t="str">
        <f>IFERROR(IF(MARÍTIMOS[[#This Row],[Etapa Despacho - Llegada]]="","",MARÍTIMOS[[#This Row],[Etapa Despacho - Llegada]]),"")</f>
        <v/>
      </c>
      <c r="AA952" s="11" t="str">
        <f>IFERROR(IF(MARÍTIMOS[[#This Row],[Etapa Despacho - Registro]]="","",MARÍTIMOS[[#This Row],[Etapa Despacho - Registro]]),"")</f>
        <v/>
      </c>
      <c r="AB952" s="11" t="str">
        <f>IFERROR(IF(MARÍTIMOS[[#This Row],[Inspección Externa]]="","",MARÍTIMOS[[#This Row],[Inspección Externa]]),"")</f>
        <v/>
      </c>
      <c r="AC952" s="11" t="str">
        <f>IFERROR(IF(MARÍTIMOS[[#This Row],[Etapa Despacho - Inicio de Carga]]="","",MARÍTIMOS[[#This Row],[Etapa Despacho - Inicio de Carga]]),"")</f>
        <v/>
      </c>
      <c r="AD952" s="11" t="str">
        <f>IFERROR(IF(MARÍTIMOS[[#This Row],[Etapa Despacho - Mitad de Carga]]="","",MARÍTIMOS[[#This Row],[Etapa Despacho - Mitad de Carga]]),"")</f>
        <v/>
      </c>
      <c r="AE952" s="11" t="str">
        <f>IFERROR(IF(MARÍTIMOS[[#This Row],[Etapa Despacho - Fin de Carga]]="","",MARÍTIMOS[[#This Row],[Etapa Despacho - Fin de Carga]]),"")</f>
        <v/>
      </c>
      <c r="AF952" s="2" t="str">
        <f>IFERROR(IF(MARÍTIMOS[[#This Row],[Puerto de Embarque]]="","",MARÍTIMOS[[#This Row],[Puerto de Embarque]]),"")</f>
        <v/>
      </c>
      <c r="AG952" s="2" t="str">
        <f>IFERROR(IF(MARÍTIMOS[[#This Row],[Almacén de Ingreso]]="","",MARÍTIMOS[[#This Row],[Almacén de Ingreso]]),"")</f>
        <v/>
      </c>
      <c r="AH952" s="11" t="str">
        <f>IFERROR(IF(MARÍTIMOS[[#This Row],[Etapa Ingreso - Cita]]="","",MARÍTIMOS[[#This Row],[Etapa Ingreso - Cita]]),"")</f>
        <v/>
      </c>
      <c r="AI952" s="11" t="str">
        <f>IFERROR(IF(MARÍTIMOS[[#This Row],[Etapa Ingreso - Llegada]]="","",MARÍTIMOS[[#This Row],[Etapa Ingreso - Llegada]]),"")</f>
        <v/>
      </c>
      <c r="AJ952" s="11" t="str">
        <f>IFERROR(IF(MARÍTIMOS[[#This Row],[Etapa Ingreso - Ingeso]]="","",MARÍTIMOS[[#This Row],[Etapa Ingreso - Ingeso]]),"")</f>
        <v/>
      </c>
      <c r="AK952" s="11" t="str">
        <f>IFERROR(IF(MARÍTIMOS[[#This Row],[Etapa Ingreso - Atención]]="","",MARÍTIMOS[[#This Row],[Etapa Ingreso - Atención]]),"")</f>
        <v/>
      </c>
      <c r="AL952" s="11" t="str">
        <f>IFERROR(IF(MARÍTIMOS[[#This Row],[Etapa Ingreso - Salida]]="","",MARÍTIMOS[[#This Row],[Etapa Ingreso - Salida]]),"")</f>
        <v/>
      </c>
      <c r="AM952" s="2" t="str">
        <f>IFERROR(IF(MARÍTIMOS[[#This Row],[FCL]]="","",MARÍTIMOS[[#This Row],[FCL]]),"")</f>
        <v/>
      </c>
      <c r="AN9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2" s="4" t="str" cm="1">
        <f t="array" ref="AO9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2" s="5" t="str">
        <f>IFERROR(OLDBD[[#This Row],[Llegada a packing]]-OLDBD[[#This Row],[Inicio de Ruta]],"")</f>
        <v/>
      </c>
      <c r="AQ952" s="6" t="str">
        <f>IFERROR(OLDBD[[#This Row],[Inicio de Ruta]]-OLDBD[[#This Row],[Salida de almacén de retiro]],"")</f>
        <v/>
      </c>
      <c r="AR9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2" s="8" t="str" cm="1">
        <f t="array" ref="AS9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2" s="9" t="str">
        <f>IFERROR(OLDBD[[#This Row],[Ingreso Packing]]-OLDBD[[#This Row],[Registro en Packing]],"")</f>
        <v/>
      </c>
      <c r="AV952" s="9" t="str">
        <f>IFERROR(OLDBD[[#This Row],[Ingreso Packing]]-OLDBD[[#This Row],[Llegada a packing]],"")</f>
        <v/>
      </c>
      <c r="AW9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2" s="5" t="str">
        <f>IFERROR(OLDBD[[#This Row],[Llegada Almacén de Ingreso]]-OLDBD[[#This Row],[Salida Packing]],"")</f>
        <v/>
      </c>
      <c r="AY952" s="4" t="str" cm="1">
        <f t="array" ref="AY9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2" s="43" t="s">
        <v>173</v>
      </c>
      <c r="BB952" s="47" t="str">
        <f>IFERROR(IF(MARÍTIMOS[[#This Row],[Estatus]]="","",MARÍTIMOS[[#This Row],[Estatus]]),"")</f>
        <v/>
      </c>
      <c r="BC952" s="43"/>
      <c r="BD952" s="46" t="str">
        <f>IFERROR(OLDBD[[#This Row],[Salida de almacén de retiro]]-OLDBD[[#This Row],[Ingreso Almacén de retiro]],"")</f>
        <v/>
      </c>
      <c r="BE952" s="46" t="str">
        <f>IFERROR(OLDBD[[#This Row],[Fin de Carga]]-OLDBD[[#This Row],[Inicio de Carga]],"")</f>
        <v/>
      </c>
    </row>
    <row r="953" spans="1:57" customFormat="1" hidden="1">
      <c r="A953" s="1"/>
      <c r="B953" s="1" t="str">
        <f>IFERROR(IF(MARÍTIMOS[[#This Row],[PP]]="","",MARÍTIMOS[[#This Row],[PP]]),"")</f>
        <v/>
      </c>
      <c r="C953" s="1" t="str">
        <f>IFERROR(IF(MARÍTIMOS[[#This Row],[Sede]]="","",MARÍTIMOS[[#This Row],[Sede]]),"")</f>
        <v/>
      </c>
      <c r="D953" s="1" t="str">
        <f>IFERROR(IF(MARÍTIMOS[[#This Row],[Instruction]]="","",MARÍTIMOS[[#This Row],[Instruction]]),"")</f>
        <v/>
      </c>
      <c r="E953" s="1"/>
      <c r="F953" s="2" t="str">
        <f>IFERROR(IF(MARÍTIMOS[[#This Row],[Transportista]]="","",MARÍTIMOS[[#This Row],[Transportista]]),"")</f>
        <v/>
      </c>
      <c r="G953" s="2" t="str">
        <f>IFERROR(IF(MARÍTIMOS[[#This Row],[Tercero]]="","",MARÍTIMOS[[#This Row],[Tercero]]),"")</f>
        <v/>
      </c>
      <c r="H953" s="2" t="str">
        <f>IFERROR(IF(MARÍTIMOS[[#This Row],[Razón Social]]="","",MARÍTIMOS[[#This Row],[Razón Social]]),"")</f>
        <v/>
      </c>
      <c r="I953" s="2" t="str">
        <f>IFERROR(IF(MARÍTIMOS[[#This Row],[RUC]]="","",MARÍTIMOS[[#This Row],[RUC]]),"")</f>
        <v/>
      </c>
      <c r="J953" s="2" t="str">
        <f>IFERROR(IF(MARÍTIMOS[[#This Row],[Placa Tracto]]="","",MARÍTIMOS[[#This Row],[Placa Tracto]]),"")</f>
        <v/>
      </c>
      <c r="K953" s="2" t="str">
        <f>IFERROR(IF(MARÍTIMOS[[#This Row],[Placa Carreta]]="","",MARÍTIMOS[[#This Row],[Placa Carreta]]),"")</f>
        <v/>
      </c>
      <c r="L953" s="44" t="str">
        <f>IFERROR(IF(MARÍTIMOS[[#This Row],[Conductor]]="","",MARÍTIMOS[[#This Row],[Conductor]]),"")</f>
        <v/>
      </c>
      <c r="M953" s="2" t="str">
        <f>IFERROR(IF(MARÍTIMOS[[#This Row],[Licencia]]="","",MARÍTIMOS[[#This Row],[Licencia]]),"")</f>
        <v/>
      </c>
      <c r="N953" s="2" t="str">
        <f>IFERROR(IF(MARÍTIMOS[[#This Row],[Número de Contacto]]="","",MARÍTIMOS[[#This Row],[Número de Contacto]]),"")</f>
        <v/>
      </c>
      <c r="O953" s="10" t="str">
        <f>IFERROR(IF(MARÍTIMOS[[#This Row],[Booking|AWB|CRT]]="","",MARÍTIMOS[[#This Row],[Booking|AWB|CRT]]),"")</f>
        <v/>
      </c>
      <c r="P953" s="2" t="str">
        <f>IFERROR(IF(MARÍTIMOS[[#This Row],[Contenedor]]="","",MARÍTIMOS[[#This Row],[Contenedor]]),"")</f>
        <v/>
      </c>
      <c r="Q953" s="2" t="str">
        <f>IFERROR(IF(MARÍTIMOS[[#This Row],[Puerto de Retiro]]="","",MARÍTIMOS[[#This Row],[Puerto de Retiro]]),"")</f>
        <v/>
      </c>
      <c r="R953" s="2" t="str">
        <f>IFERROR(IF(MARÍTIMOS[[#This Row],[Almacén de Retiro]]="","",MARÍTIMOS[[#This Row],[Almacén de Retiro]]),"")</f>
        <v/>
      </c>
      <c r="S953" s="11" t="str">
        <f>IFERROR(IF(MARÍTIMOS[[#This Row],[Etapa Retiro - Cita]]="","",MARÍTIMOS[[#This Row],[Etapa Retiro - Cita]]),"")</f>
        <v/>
      </c>
      <c r="T953" s="11" t="str">
        <f>IFERROR(IF(MARÍTIMOS[[#This Row],[Etapa Retiro - Llegada]]="","",MARÍTIMOS[[#This Row],[Etapa Retiro - Llegada]]),"")</f>
        <v/>
      </c>
      <c r="U953" s="11" t="str">
        <f>IFERROR(IF(MARÍTIMOS[[#This Row],[Etapa Retiro - Ingreso]]="","",MARÍTIMOS[[#This Row],[Etapa Retiro - Ingreso]]),"")</f>
        <v/>
      </c>
      <c r="V953" s="11" t="str">
        <f>IFERROR(IF(MARÍTIMOS[[#This Row],[Etapa Retiro - Atención]]="","",MARÍTIMOS[[#This Row],[Etapa Retiro - Atención]]),"")</f>
        <v/>
      </c>
      <c r="W953" s="11" t="str">
        <f>IFERROR(IF(MARÍTIMOS[[#This Row],[Etapa Retiro - Atención]]="","",MARÍTIMOS[[#This Row],[Etapa Retiro - Atención]]),"")</f>
        <v/>
      </c>
      <c r="X953" s="11" t="str">
        <f>IFERROR(IF(MARÍTIMOS[[#This Row],[Etapa Retiro - Inicio de Ruta]]="","",MARÍTIMOS[[#This Row],[Etapa Retiro - Inicio de Ruta]]),"")</f>
        <v/>
      </c>
      <c r="Y953" s="11" t="str">
        <f>IFERROR(IF(MARÍTIMOS[[#This Row],[Hora de Posicionamiento]]="","",MARÍTIMOS[[#This Row],[Fecha de Carga]]+MARÍTIMOS[[#This Row],[Hora de Posicionamiento]]),"")</f>
        <v/>
      </c>
      <c r="Z953" s="11" t="str">
        <f>IFERROR(IF(MARÍTIMOS[[#This Row],[Etapa Despacho - Llegada]]="","",MARÍTIMOS[[#This Row],[Etapa Despacho - Llegada]]),"")</f>
        <v/>
      </c>
      <c r="AA953" s="11" t="str">
        <f>IFERROR(IF(MARÍTIMOS[[#This Row],[Etapa Despacho - Registro]]="","",MARÍTIMOS[[#This Row],[Etapa Despacho - Registro]]),"")</f>
        <v/>
      </c>
      <c r="AB953" s="11" t="str">
        <f>IFERROR(IF(MARÍTIMOS[[#This Row],[Inspección Externa]]="","",MARÍTIMOS[[#This Row],[Inspección Externa]]),"")</f>
        <v/>
      </c>
      <c r="AC953" s="11" t="str">
        <f>IFERROR(IF(MARÍTIMOS[[#This Row],[Etapa Despacho - Inicio de Carga]]="","",MARÍTIMOS[[#This Row],[Etapa Despacho - Inicio de Carga]]),"")</f>
        <v/>
      </c>
      <c r="AD953" s="11" t="str">
        <f>IFERROR(IF(MARÍTIMOS[[#This Row],[Etapa Despacho - Mitad de Carga]]="","",MARÍTIMOS[[#This Row],[Etapa Despacho - Mitad de Carga]]),"")</f>
        <v/>
      </c>
      <c r="AE953" s="11" t="str">
        <f>IFERROR(IF(MARÍTIMOS[[#This Row],[Etapa Despacho - Fin de Carga]]="","",MARÍTIMOS[[#This Row],[Etapa Despacho - Fin de Carga]]),"")</f>
        <v/>
      </c>
      <c r="AF953" s="2" t="str">
        <f>IFERROR(IF(MARÍTIMOS[[#This Row],[Puerto de Embarque]]="","",MARÍTIMOS[[#This Row],[Puerto de Embarque]]),"")</f>
        <v/>
      </c>
      <c r="AG953" s="2" t="str">
        <f>IFERROR(IF(MARÍTIMOS[[#This Row],[Almacén de Ingreso]]="","",MARÍTIMOS[[#This Row],[Almacén de Ingreso]]),"")</f>
        <v/>
      </c>
      <c r="AH953" s="11" t="str">
        <f>IFERROR(IF(MARÍTIMOS[[#This Row],[Etapa Ingreso - Cita]]="","",MARÍTIMOS[[#This Row],[Etapa Ingreso - Cita]]),"")</f>
        <v/>
      </c>
      <c r="AI953" s="11" t="str">
        <f>IFERROR(IF(MARÍTIMOS[[#This Row],[Etapa Ingreso - Llegada]]="","",MARÍTIMOS[[#This Row],[Etapa Ingreso - Llegada]]),"")</f>
        <v/>
      </c>
      <c r="AJ953" s="11" t="str">
        <f>IFERROR(IF(MARÍTIMOS[[#This Row],[Etapa Ingreso - Ingeso]]="","",MARÍTIMOS[[#This Row],[Etapa Ingreso - Ingeso]]),"")</f>
        <v/>
      </c>
      <c r="AK953" s="11" t="str">
        <f>IFERROR(IF(MARÍTIMOS[[#This Row],[Etapa Ingreso - Atención]]="","",MARÍTIMOS[[#This Row],[Etapa Ingreso - Atención]]),"")</f>
        <v/>
      </c>
      <c r="AL953" s="11" t="str">
        <f>IFERROR(IF(MARÍTIMOS[[#This Row],[Etapa Ingreso - Salida]]="","",MARÍTIMOS[[#This Row],[Etapa Ingreso - Salida]]),"")</f>
        <v/>
      </c>
      <c r="AM953" s="2" t="str">
        <f>IFERROR(IF(MARÍTIMOS[[#This Row],[FCL]]="","",MARÍTIMOS[[#This Row],[FCL]]),"")</f>
        <v/>
      </c>
      <c r="AN9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3" s="4" t="str" cm="1">
        <f t="array" ref="AO9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3" s="5" t="str">
        <f>IFERROR(OLDBD[[#This Row],[Llegada a packing]]-OLDBD[[#This Row],[Inicio de Ruta]],"")</f>
        <v/>
      </c>
      <c r="AQ953" s="6" t="str">
        <f>IFERROR(OLDBD[[#This Row],[Inicio de Ruta]]-OLDBD[[#This Row],[Salida de almacén de retiro]],"")</f>
        <v/>
      </c>
      <c r="AR9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3" s="8" t="str" cm="1">
        <f t="array" ref="AS9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3" s="9" t="str">
        <f>IFERROR(OLDBD[[#This Row],[Ingreso Packing]]-OLDBD[[#This Row],[Registro en Packing]],"")</f>
        <v/>
      </c>
      <c r="AV953" s="9" t="str">
        <f>IFERROR(OLDBD[[#This Row],[Ingreso Packing]]-OLDBD[[#This Row],[Llegada a packing]],"")</f>
        <v/>
      </c>
      <c r="AW9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3" s="5" t="str">
        <f>IFERROR(OLDBD[[#This Row],[Llegada Almacén de Ingreso]]-OLDBD[[#This Row],[Salida Packing]],"")</f>
        <v/>
      </c>
      <c r="AY953" s="4" t="str" cm="1">
        <f t="array" ref="AY9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3" s="43" t="s">
        <v>173</v>
      </c>
      <c r="BB953" s="47" t="str">
        <f>IFERROR(IF(MARÍTIMOS[[#This Row],[Estatus]]="","",MARÍTIMOS[[#This Row],[Estatus]]),"")</f>
        <v/>
      </c>
      <c r="BC953" s="43"/>
      <c r="BD953" s="46" t="str">
        <f>IFERROR(OLDBD[[#This Row],[Salida de almacén de retiro]]-OLDBD[[#This Row],[Ingreso Almacén de retiro]],"")</f>
        <v/>
      </c>
      <c r="BE953" s="46" t="str">
        <f>IFERROR(OLDBD[[#This Row],[Fin de Carga]]-OLDBD[[#This Row],[Inicio de Carga]],"")</f>
        <v/>
      </c>
    </row>
    <row r="954" spans="1:57" customFormat="1" hidden="1">
      <c r="A954" s="1"/>
      <c r="B954" s="1" t="str">
        <f>IFERROR(IF(MARÍTIMOS[[#This Row],[PP]]="","",MARÍTIMOS[[#This Row],[PP]]),"")</f>
        <v/>
      </c>
      <c r="C954" s="1" t="str">
        <f>IFERROR(IF(MARÍTIMOS[[#This Row],[Sede]]="","",MARÍTIMOS[[#This Row],[Sede]]),"")</f>
        <v/>
      </c>
      <c r="D954" s="1" t="str">
        <f>IFERROR(IF(MARÍTIMOS[[#This Row],[Instruction]]="","",MARÍTIMOS[[#This Row],[Instruction]]),"")</f>
        <v/>
      </c>
      <c r="E954" s="1"/>
      <c r="F954" s="2" t="str">
        <f>IFERROR(IF(MARÍTIMOS[[#This Row],[Transportista]]="","",MARÍTIMOS[[#This Row],[Transportista]]),"")</f>
        <v/>
      </c>
      <c r="G954" s="2" t="str">
        <f>IFERROR(IF(MARÍTIMOS[[#This Row],[Tercero]]="","",MARÍTIMOS[[#This Row],[Tercero]]),"")</f>
        <v/>
      </c>
      <c r="H954" s="2" t="str">
        <f>IFERROR(IF(MARÍTIMOS[[#This Row],[Razón Social]]="","",MARÍTIMOS[[#This Row],[Razón Social]]),"")</f>
        <v/>
      </c>
      <c r="I954" s="2" t="str">
        <f>IFERROR(IF(MARÍTIMOS[[#This Row],[RUC]]="","",MARÍTIMOS[[#This Row],[RUC]]),"")</f>
        <v/>
      </c>
      <c r="J954" s="2" t="str">
        <f>IFERROR(IF(MARÍTIMOS[[#This Row],[Placa Tracto]]="","",MARÍTIMOS[[#This Row],[Placa Tracto]]),"")</f>
        <v/>
      </c>
      <c r="K954" s="2" t="str">
        <f>IFERROR(IF(MARÍTIMOS[[#This Row],[Placa Carreta]]="","",MARÍTIMOS[[#This Row],[Placa Carreta]]),"")</f>
        <v/>
      </c>
      <c r="L954" s="44" t="str">
        <f>IFERROR(IF(MARÍTIMOS[[#This Row],[Conductor]]="","",MARÍTIMOS[[#This Row],[Conductor]]),"")</f>
        <v/>
      </c>
      <c r="M954" s="2" t="str">
        <f>IFERROR(IF(MARÍTIMOS[[#This Row],[Licencia]]="","",MARÍTIMOS[[#This Row],[Licencia]]),"")</f>
        <v/>
      </c>
      <c r="N954" s="2" t="str">
        <f>IFERROR(IF(MARÍTIMOS[[#This Row],[Número de Contacto]]="","",MARÍTIMOS[[#This Row],[Número de Contacto]]),"")</f>
        <v/>
      </c>
      <c r="O954" s="10" t="str">
        <f>IFERROR(IF(MARÍTIMOS[[#This Row],[Booking|AWB|CRT]]="","",MARÍTIMOS[[#This Row],[Booking|AWB|CRT]]),"")</f>
        <v/>
      </c>
      <c r="P954" s="2" t="str">
        <f>IFERROR(IF(MARÍTIMOS[[#This Row],[Contenedor]]="","",MARÍTIMOS[[#This Row],[Contenedor]]),"")</f>
        <v/>
      </c>
      <c r="Q954" s="2" t="str">
        <f>IFERROR(IF(MARÍTIMOS[[#This Row],[Puerto de Retiro]]="","",MARÍTIMOS[[#This Row],[Puerto de Retiro]]),"")</f>
        <v/>
      </c>
      <c r="R954" s="2" t="str">
        <f>IFERROR(IF(MARÍTIMOS[[#This Row],[Almacén de Retiro]]="","",MARÍTIMOS[[#This Row],[Almacén de Retiro]]),"")</f>
        <v/>
      </c>
      <c r="S954" s="11" t="str">
        <f>IFERROR(IF(MARÍTIMOS[[#This Row],[Etapa Retiro - Cita]]="","",MARÍTIMOS[[#This Row],[Etapa Retiro - Cita]]),"")</f>
        <v/>
      </c>
      <c r="T954" s="11" t="str">
        <f>IFERROR(IF(MARÍTIMOS[[#This Row],[Etapa Retiro - Llegada]]="","",MARÍTIMOS[[#This Row],[Etapa Retiro - Llegada]]),"")</f>
        <v/>
      </c>
      <c r="U954" s="11" t="str">
        <f>IFERROR(IF(MARÍTIMOS[[#This Row],[Etapa Retiro - Ingreso]]="","",MARÍTIMOS[[#This Row],[Etapa Retiro - Ingreso]]),"")</f>
        <v/>
      </c>
      <c r="V954" s="11" t="str">
        <f>IFERROR(IF(MARÍTIMOS[[#This Row],[Etapa Retiro - Atención]]="","",MARÍTIMOS[[#This Row],[Etapa Retiro - Atención]]),"")</f>
        <v/>
      </c>
      <c r="W954" s="11" t="str">
        <f>IFERROR(IF(MARÍTIMOS[[#This Row],[Etapa Retiro - Atención]]="","",MARÍTIMOS[[#This Row],[Etapa Retiro - Atención]]),"")</f>
        <v/>
      </c>
      <c r="X954" s="11" t="str">
        <f>IFERROR(IF(MARÍTIMOS[[#This Row],[Etapa Retiro - Inicio de Ruta]]="","",MARÍTIMOS[[#This Row],[Etapa Retiro - Inicio de Ruta]]),"")</f>
        <v/>
      </c>
      <c r="Y954" s="11" t="str">
        <f>IFERROR(IF(MARÍTIMOS[[#This Row],[Hora de Posicionamiento]]="","",MARÍTIMOS[[#This Row],[Fecha de Carga]]+MARÍTIMOS[[#This Row],[Hora de Posicionamiento]]),"")</f>
        <v/>
      </c>
      <c r="Z954" s="11" t="str">
        <f>IFERROR(IF(MARÍTIMOS[[#This Row],[Etapa Despacho - Llegada]]="","",MARÍTIMOS[[#This Row],[Etapa Despacho - Llegada]]),"")</f>
        <v/>
      </c>
      <c r="AA954" s="11" t="str">
        <f>IFERROR(IF(MARÍTIMOS[[#This Row],[Etapa Despacho - Registro]]="","",MARÍTIMOS[[#This Row],[Etapa Despacho - Registro]]),"")</f>
        <v/>
      </c>
      <c r="AB954" s="11" t="str">
        <f>IFERROR(IF(MARÍTIMOS[[#This Row],[Inspección Externa]]="","",MARÍTIMOS[[#This Row],[Inspección Externa]]),"")</f>
        <v/>
      </c>
      <c r="AC954" s="11" t="str">
        <f>IFERROR(IF(MARÍTIMOS[[#This Row],[Etapa Despacho - Inicio de Carga]]="","",MARÍTIMOS[[#This Row],[Etapa Despacho - Inicio de Carga]]),"")</f>
        <v/>
      </c>
      <c r="AD954" s="11" t="str">
        <f>IFERROR(IF(MARÍTIMOS[[#This Row],[Etapa Despacho - Mitad de Carga]]="","",MARÍTIMOS[[#This Row],[Etapa Despacho - Mitad de Carga]]),"")</f>
        <v/>
      </c>
      <c r="AE954" s="11" t="str">
        <f>IFERROR(IF(MARÍTIMOS[[#This Row],[Etapa Despacho - Fin de Carga]]="","",MARÍTIMOS[[#This Row],[Etapa Despacho - Fin de Carga]]),"")</f>
        <v/>
      </c>
      <c r="AF954" s="2" t="str">
        <f>IFERROR(IF(MARÍTIMOS[[#This Row],[Puerto de Embarque]]="","",MARÍTIMOS[[#This Row],[Puerto de Embarque]]),"")</f>
        <v/>
      </c>
      <c r="AG954" s="2" t="str">
        <f>IFERROR(IF(MARÍTIMOS[[#This Row],[Almacén de Ingreso]]="","",MARÍTIMOS[[#This Row],[Almacén de Ingreso]]),"")</f>
        <v/>
      </c>
      <c r="AH954" s="11" t="str">
        <f>IFERROR(IF(MARÍTIMOS[[#This Row],[Etapa Ingreso - Cita]]="","",MARÍTIMOS[[#This Row],[Etapa Ingreso - Cita]]),"")</f>
        <v/>
      </c>
      <c r="AI954" s="11" t="str">
        <f>IFERROR(IF(MARÍTIMOS[[#This Row],[Etapa Ingreso - Llegada]]="","",MARÍTIMOS[[#This Row],[Etapa Ingreso - Llegada]]),"")</f>
        <v/>
      </c>
      <c r="AJ954" s="11" t="str">
        <f>IFERROR(IF(MARÍTIMOS[[#This Row],[Etapa Ingreso - Ingeso]]="","",MARÍTIMOS[[#This Row],[Etapa Ingreso - Ingeso]]),"")</f>
        <v/>
      </c>
      <c r="AK954" s="11" t="str">
        <f>IFERROR(IF(MARÍTIMOS[[#This Row],[Etapa Ingreso - Atención]]="","",MARÍTIMOS[[#This Row],[Etapa Ingreso - Atención]]),"")</f>
        <v/>
      </c>
      <c r="AL954" s="11" t="str">
        <f>IFERROR(IF(MARÍTIMOS[[#This Row],[Etapa Ingreso - Salida]]="","",MARÍTIMOS[[#This Row],[Etapa Ingreso - Salida]]),"")</f>
        <v/>
      </c>
      <c r="AM954" s="2" t="str">
        <f>IFERROR(IF(MARÍTIMOS[[#This Row],[FCL]]="","",MARÍTIMOS[[#This Row],[FCL]]),"")</f>
        <v/>
      </c>
      <c r="AN9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4" s="4" t="str" cm="1">
        <f t="array" ref="AO9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4" s="5" t="str">
        <f>IFERROR(OLDBD[[#This Row],[Llegada a packing]]-OLDBD[[#This Row],[Inicio de Ruta]],"")</f>
        <v/>
      </c>
      <c r="AQ954" s="6" t="str">
        <f>IFERROR(OLDBD[[#This Row],[Inicio de Ruta]]-OLDBD[[#This Row],[Salida de almacén de retiro]],"")</f>
        <v/>
      </c>
      <c r="AR9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4" s="8" t="str" cm="1">
        <f t="array" ref="AS9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4" s="9" t="str">
        <f>IFERROR(OLDBD[[#This Row],[Ingreso Packing]]-OLDBD[[#This Row],[Registro en Packing]],"")</f>
        <v/>
      </c>
      <c r="AV954" s="9" t="str">
        <f>IFERROR(OLDBD[[#This Row],[Ingreso Packing]]-OLDBD[[#This Row],[Llegada a packing]],"")</f>
        <v/>
      </c>
      <c r="AW9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4" s="5" t="str">
        <f>IFERROR(OLDBD[[#This Row],[Llegada Almacén de Ingreso]]-OLDBD[[#This Row],[Salida Packing]],"")</f>
        <v/>
      </c>
      <c r="AY954" s="4" t="str" cm="1">
        <f t="array" ref="AY9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4" s="43" t="s">
        <v>173</v>
      </c>
      <c r="BB954" s="47" t="str">
        <f>IFERROR(IF(MARÍTIMOS[[#This Row],[Estatus]]="","",MARÍTIMOS[[#This Row],[Estatus]]),"")</f>
        <v/>
      </c>
      <c r="BC954" s="43"/>
      <c r="BD954" s="46" t="str">
        <f>IFERROR(OLDBD[[#This Row],[Salida de almacén de retiro]]-OLDBD[[#This Row],[Ingreso Almacén de retiro]],"")</f>
        <v/>
      </c>
      <c r="BE954" s="46" t="str">
        <f>IFERROR(OLDBD[[#This Row],[Fin de Carga]]-OLDBD[[#This Row],[Inicio de Carga]],"")</f>
        <v/>
      </c>
    </row>
    <row r="955" spans="1:57" customFormat="1" hidden="1">
      <c r="A955" s="1"/>
      <c r="B955" s="1" t="str">
        <f>IFERROR(IF(MARÍTIMOS[[#This Row],[PP]]="","",MARÍTIMOS[[#This Row],[PP]]),"")</f>
        <v/>
      </c>
      <c r="C955" s="1" t="str">
        <f>IFERROR(IF(MARÍTIMOS[[#This Row],[Sede]]="","",MARÍTIMOS[[#This Row],[Sede]]),"")</f>
        <v/>
      </c>
      <c r="D955" s="1" t="str">
        <f>IFERROR(IF(MARÍTIMOS[[#This Row],[Instruction]]="","",MARÍTIMOS[[#This Row],[Instruction]]),"")</f>
        <v/>
      </c>
      <c r="E955" s="1"/>
      <c r="F955" s="2" t="str">
        <f>IFERROR(IF(MARÍTIMOS[[#This Row],[Transportista]]="","",MARÍTIMOS[[#This Row],[Transportista]]),"")</f>
        <v/>
      </c>
      <c r="G955" s="2" t="str">
        <f>IFERROR(IF(MARÍTIMOS[[#This Row],[Tercero]]="","",MARÍTIMOS[[#This Row],[Tercero]]),"")</f>
        <v/>
      </c>
      <c r="H955" s="2" t="str">
        <f>IFERROR(IF(MARÍTIMOS[[#This Row],[Razón Social]]="","",MARÍTIMOS[[#This Row],[Razón Social]]),"")</f>
        <v/>
      </c>
      <c r="I955" s="2" t="str">
        <f>IFERROR(IF(MARÍTIMOS[[#This Row],[RUC]]="","",MARÍTIMOS[[#This Row],[RUC]]),"")</f>
        <v/>
      </c>
      <c r="J955" s="2" t="str">
        <f>IFERROR(IF(MARÍTIMOS[[#This Row],[Placa Tracto]]="","",MARÍTIMOS[[#This Row],[Placa Tracto]]),"")</f>
        <v/>
      </c>
      <c r="K955" s="2" t="str">
        <f>IFERROR(IF(MARÍTIMOS[[#This Row],[Placa Carreta]]="","",MARÍTIMOS[[#This Row],[Placa Carreta]]),"")</f>
        <v/>
      </c>
      <c r="L955" s="44" t="str">
        <f>IFERROR(IF(MARÍTIMOS[[#This Row],[Conductor]]="","",MARÍTIMOS[[#This Row],[Conductor]]),"")</f>
        <v/>
      </c>
      <c r="M955" s="2" t="str">
        <f>IFERROR(IF(MARÍTIMOS[[#This Row],[Licencia]]="","",MARÍTIMOS[[#This Row],[Licencia]]),"")</f>
        <v/>
      </c>
      <c r="N955" s="2" t="str">
        <f>IFERROR(IF(MARÍTIMOS[[#This Row],[Número de Contacto]]="","",MARÍTIMOS[[#This Row],[Número de Contacto]]),"")</f>
        <v/>
      </c>
      <c r="O955" s="10" t="str">
        <f>IFERROR(IF(MARÍTIMOS[[#This Row],[Booking|AWB|CRT]]="","",MARÍTIMOS[[#This Row],[Booking|AWB|CRT]]),"")</f>
        <v/>
      </c>
      <c r="P955" s="2" t="str">
        <f>IFERROR(IF(MARÍTIMOS[[#This Row],[Contenedor]]="","",MARÍTIMOS[[#This Row],[Contenedor]]),"")</f>
        <v/>
      </c>
      <c r="Q955" s="2" t="str">
        <f>IFERROR(IF(MARÍTIMOS[[#This Row],[Puerto de Retiro]]="","",MARÍTIMOS[[#This Row],[Puerto de Retiro]]),"")</f>
        <v/>
      </c>
      <c r="R955" s="2" t="str">
        <f>IFERROR(IF(MARÍTIMOS[[#This Row],[Almacén de Retiro]]="","",MARÍTIMOS[[#This Row],[Almacén de Retiro]]),"")</f>
        <v/>
      </c>
      <c r="S955" s="11" t="str">
        <f>IFERROR(IF(MARÍTIMOS[[#This Row],[Etapa Retiro - Cita]]="","",MARÍTIMOS[[#This Row],[Etapa Retiro - Cita]]),"")</f>
        <v/>
      </c>
      <c r="T955" s="11" t="str">
        <f>IFERROR(IF(MARÍTIMOS[[#This Row],[Etapa Retiro - Llegada]]="","",MARÍTIMOS[[#This Row],[Etapa Retiro - Llegada]]),"")</f>
        <v/>
      </c>
      <c r="U955" s="11" t="str">
        <f>IFERROR(IF(MARÍTIMOS[[#This Row],[Etapa Retiro - Ingreso]]="","",MARÍTIMOS[[#This Row],[Etapa Retiro - Ingreso]]),"")</f>
        <v/>
      </c>
      <c r="V955" s="11" t="str">
        <f>IFERROR(IF(MARÍTIMOS[[#This Row],[Etapa Retiro - Atención]]="","",MARÍTIMOS[[#This Row],[Etapa Retiro - Atención]]),"")</f>
        <v/>
      </c>
      <c r="W955" s="11" t="str">
        <f>IFERROR(IF(MARÍTIMOS[[#This Row],[Etapa Retiro - Atención]]="","",MARÍTIMOS[[#This Row],[Etapa Retiro - Atención]]),"")</f>
        <v/>
      </c>
      <c r="X955" s="11" t="str">
        <f>IFERROR(IF(MARÍTIMOS[[#This Row],[Etapa Retiro - Inicio de Ruta]]="","",MARÍTIMOS[[#This Row],[Etapa Retiro - Inicio de Ruta]]),"")</f>
        <v/>
      </c>
      <c r="Y955" s="11" t="str">
        <f>IFERROR(IF(MARÍTIMOS[[#This Row],[Hora de Posicionamiento]]="","",MARÍTIMOS[[#This Row],[Fecha de Carga]]+MARÍTIMOS[[#This Row],[Hora de Posicionamiento]]),"")</f>
        <v/>
      </c>
      <c r="Z955" s="11" t="str">
        <f>IFERROR(IF(MARÍTIMOS[[#This Row],[Etapa Despacho - Llegada]]="","",MARÍTIMOS[[#This Row],[Etapa Despacho - Llegada]]),"")</f>
        <v/>
      </c>
      <c r="AA955" s="11" t="str">
        <f>IFERROR(IF(MARÍTIMOS[[#This Row],[Etapa Despacho - Registro]]="","",MARÍTIMOS[[#This Row],[Etapa Despacho - Registro]]),"")</f>
        <v/>
      </c>
      <c r="AB955" s="11" t="str">
        <f>IFERROR(IF(MARÍTIMOS[[#This Row],[Inspección Externa]]="","",MARÍTIMOS[[#This Row],[Inspección Externa]]),"")</f>
        <v/>
      </c>
      <c r="AC955" s="11" t="str">
        <f>IFERROR(IF(MARÍTIMOS[[#This Row],[Etapa Despacho - Inicio de Carga]]="","",MARÍTIMOS[[#This Row],[Etapa Despacho - Inicio de Carga]]),"")</f>
        <v/>
      </c>
      <c r="AD955" s="11" t="str">
        <f>IFERROR(IF(MARÍTIMOS[[#This Row],[Etapa Despacho - Mitad de Carga]]="","",MARÍTIMOS[[#This Row],[Etapa Despacho - Mitad de Carga]]),"")</f>
        <v/>
      </c>
      <c r="AE955" s="11" t="str">
        <f>IFERROR(IF(MARÍTIMOS[[#This Row],[Etapa Despacho - Fin de Carga]]="","",MARÍTIMOS[[#This Row],[Etapa Despacho - Fin de Carga]]),"")</f>
        <v/>
      </c>
      <c r="AF955" s="2" t="str">
        <f>IFERROR(IF(MARÍTIMOS[[#This Row],[Puerto de Embarque]]="","",MARÍTIMOS[[#This Row],[Puerto de Embarque]]),"")</f>
        <v/>
      </c>
      <c r="AG955" s="2" t="str">
        <f>IFERROR(IF(MARÍTIMOS[[#This Row],[Almacén de Ingreso]]="","",MARÍTIMOS[[#This Row],[Almacén de Ingreso]]),"")</f>
        <v/>
      </c>
      <c r="AH955" s="11" t="str">
        <f>IFERROR(IF(MARÍTIMOS[[#This Row],[Etapa Ingreso - Cita]]="","",MARÍTIMOS[[#This Row],[Etapa Ingreso - Cita]]),"")</f>
        <v/>
      </c>
      <c r="AI955" s="11" t="str">
        <f>IFERROR(IF(MARÍTIMOS[[#This Row],[Etapa Ingreso - Llegada]]="","",MARÍTIMOS[[#This Row],[Etapa Ingreso - Llegada]]),"")</f>
        <v/>
      </c>
      <c r="AJ955" s="11" t="str">
        <f>IFERROR(IF(MARÍTIMOS[[#This Row],[Etapa Ingreso - Ingeso]]="","",MARÍTIMOS[[#This Row],[Etapa Ingreso - Ingeso]]),"")</f>
        <v/>
      </c>
      <c r="AK955" s="11" t="str">
        <f>IFERROR(IF(MARÍTIMOS[[#This Row],[Etapa Ingreso - Atención]]="","",MARÍTIMOS[[#This Row],[Etapa Ingreso - Atención]]),"")</f>
        <v/>
      </c>
      <c r="AL955" s="11" t="str">
        <f>IFERROR(IF(MARÍTIMOS[[#This Row],[Etapa Ingreso - Salida]]="","",MARÍTIMOS[[#This Row],[Etapa Ingreso - Salida]]),"")</f>
        <v/>
      </c>
      <c r="AM955" s="2" t="str">
        <f>IFERROR(IF(MARÍTIMOS[[#This Row],[FCL]]="","",MARÍTIMOS[[#This Row],[FCL]]),"")</f>
        <v/>
      </c>
      <c r="AN9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5" s="4" t="str" cm="1">
        <f t="array" ref="AO9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5" s="5" t="str">
        <f>IFERROR(OLDBD[[#This Row],[Llegada a packing]]-OLDBD[[#This Row],[Inicio de Ruta]],"")</f>
        <v/>
      </c>
      <c r="AQ955" s="6" t="str">
        <f>IFERROR(OLDBD[[#This Row],[Inicio de Ruta]]-OLDBD[[#This Row],[Salida de almacén de retiro]],"")</f>
        <v/>
      </c>
      <c r="AR9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5" s="8" t="str" cm="1">
        <f t="array" ref="AS9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5" s="9" t="str">
        <f>IFERROR(OLDBD[[#This Row],[Ingreso Packing]]-OLDBD[[#This Row],[Registro en Packing]],"")</f>
        <v/>
      </c>
      <c r="AV955" s="9" t="str">
        <f>IFERROR(OLDBD[[#This Row],[Ingreso Packing]]-OLDBD[[#This Row],[Llegada a packing]],"")</f>
        <v/>
      </c>
      <c r="AW9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5" s="5" t="str">
        <f>IFERROR(OLDBD[[#This Row],[Llegada Almacén de Ingreso]]-OLDBD[[#This Row],[Salida Packing]],"")</f>
        <v/>
      </c>
      <c r="AY955" s="4" t="str" cm="1">
        <f t="array" ref="AY9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5" s="43" t="s">
        <v>173</v>
      </c>
      <c r="BB955" s="47" t="str">
        <f>IFERROR(IF(MARÍTIMOS[[#This Row],[Estatus]]="","",MARÍTIMOS[[#This Row],[Estatus]]),"")</f>
        <v/>
      </c>
      <c r="BC955" s="43"/>
      <c r="BD955" s="46" t="str">
        <f>IFERROR(OLDBD[[#This Row],[Salida de almacén de retiro]]-OLDBD[[#This Row],[Ingreso Almacén de retiro]],"")</f>
        <v/>
      </c>
      <c r="BE955" s="46" t="str">
        <f>IFERROR(OLDBD[[#This Row],[Fin de Carga]]-OLDBD[[#This Row],[Inicio de Carga]],"")</f>
        <v/>
      </c>
    </row>
    <row r="956" spans="1:57" customFormat="1" hidden="1">
      <c r="A956" s="1"/>
      <c r="B956" s="1" t="str">
        <f>IFERROR(IF(MARÍTIMOS[[#This Row],[PP]]="","",MARÍTIMOS[[#This Row],[PP]]),"")</f>
        <v/>
      </c>
      <c r="C956" s="1" t="str">
        <f>IFERROR(IF(MARÍTIMOS[[#This Row],[Sede]]="","",MARÍTIMOS[[#This Row],[Sede]]),"")</f>
        <v/>
      </c>
      <c r="D956" s="1" t="str">
        <f>IFERROR(IF(MARÍTIMOS[[#This Row],[Instruction]]="","",MARÍTIMOS[[#This Row],[Instruction]]),"")</f>
        <v/>
      </c>
      <c r="E956" s="1"/>
      <c r="F956" s="2" t="str">
        <f>IFERROR(IF(MARÍTIMOS[[#This Row],[Transportista]]="","",MARÍTIMOS[[#This Row],[Transportista]]),"")</f>
        <v/>
      </c>
      <c r="G956" s="2" t="str">
        <f>IFERROR(IF(MARÍTIMOS[[#This Row],[Tercero]]="","",MARÍTIMOS[[#This Row],[Tercero]]),"")</f>
        <v/>
      </c>
      <c r="H956" s="2" t="str">
        <f>IFERROR(IF(MARÍTIMOS[[#This Row],[Razón Social]]="","",MARÍTIMOS[[#This Row],[Razón Social]]),"")</f>
        <v/>
      </c>
      <c r="I956" s="2" t="str">
        <f>IFERROR(IF(MARÍTIMOS[[#This Row],[RUC]]="","",MARÍTIMOS[[#This Row],[RUC]]),"")</f>
        <v/>
      </c>
      <c r="J956" s="2" t="str">
        <f>IFERROR(IF(MARÍTIMOS[[#This Row],[Placa Tracto]]="","",MARÍTIMOS[[#This Row],[Placa Tracto]]),"")</f>
        <v/>
      </c>
      <c r="K956" s="2" t="str">
        <f>IFERROR(IF(MARÍTIMOS[[#This Row],[Placa Carreta]]="","",MARÍTIMOS[[#This Row],[Placa Carreta]]),"")</f>
        <v/>
      </c>
      <c r="L956" s="44" t="str">
        <f>IFERROR(IF(MARÍTIMOS[[#This Row],[Conductor]]="","",MARÍTIMOS[[#This Row],[Conductor]]),"")</f>
        <v/>
      </c>
      <c r="M956" s="2" t="str">
        <f>IFERROR(IF(MARÍTIMOS[[#This Row],[Licencia]]="","",MARÍTIMOS[[#This Row],[Licencia]]),"")</f>
        <v/>
      </c>
      <c r="N956" s="2" t="str">
        <f>IFERROR(IF(MARÍTIMOS[[#This Row],[Número de Contacto]]="","",MARÍTIMOS[[#This Row],[Número de Contacto]]),"")</f>
        <v/>
      </c>
      <c r="O956" s="10" t="str">
        <f>IFERROR(IF(MARÍTIMOS[[#This Row],[Booking|AWB|CRT]]="","",MARÍTIMOS[[#This Row],[Booking|AWB|CRT]]),"")</f>
        <v/>
      </c>
      <c r="P956" s="2" t="str">
        <f>IFERROR(IF(MARÍTIMOS[[#This Row],[Contenedor]]="","",MARÍTIMOS[[#This Row],[Contenedor]]),"")</f>
        <v/>
      </c>
      <c r="Q956" s="2" t="str">
        <f>IFERROR(IF(MARÍTIMOS[[#This Row],[Puerto de Retiro]]="","",MARÍTIMOS[[#This Row],[Puerto de Retiro]]),"")</f>
        <v/>
      </c>
      <c r="R956" s="2" t="str">
        <f>IFERROR(IF(MARÍTIMOS[[#This Row],[Almacén de Retiro]]="","",MARÍTIMOS[[#This Row],[Almacén de Retiro]]),"")</f>
        <v/>
      </c>
      <c r="S956" s="11" t="str">
        <f>IFERROR(IF(MARÍTIMOS[[#This Row],[Etapa Retiro - Cita]]="","",MARÍTIMOS[[#This Row],[Etapa Retiro - Cita]]),"")</f>
        <v/>
      </c>
      <c r="T956" s="11" t="str">
        <f>IFERROR(IF(MARÍTIMOS[[#This Row],[Etapa Retiro - Llegada]]="","",MARÍTIMOS[[#This Row],[Etapa Retiro - Llegada]]),"")</f>
        <v/>
      </c>
      <c r="U956" s="11" t="str">
        <f>IFERROR(IF(MARÍTIMOS[[#This Row],[Etapa Retiro - Ingreso]]="","",MARÍTIMOS[[#This Row],[Etapa Retiro - Ingreso]]),"")</f>
        <v/>
      </c>
      <c r="V956" s="11" t="str">
        <f>IFERROR(IF(MARÍTIMOS[[#This Row],[Etapa Retiro - Atención]]="","",MARÍTIMOS[[#This Row],[Etapa Retiro - Atención]]),"")</f>
        <v/>
      </c>
      <c r="W956" s="11" t="str">
        <f>IFERROR(IF(MARÍTIMOS[[#This Row],[Etapa Retiro - Atención]]="","",MARÍTIMOS[[#This Row],[Etapa Retiro - Atención]]),"")</f>
        <v/>
      </c>
      <c r="X956" s="11" t="str">
        <f>IFERROR(IF(MARÍTIMOS[[#This Row],[Etapa Retiro - Inicio de Ruta]]="","",MARÍTIMOS[[#This Row],[Etapa Retiro - Inicio de Ruta]]),"")</f>
        <v/>
      </c>
      <c r="Y956" s="11" t="str">
        <f>IFERROR(IF(MARÍTIMOS[[#This Row],[Hora de Posicionamiento]]="","",MARÍTIMOS[[#This Row],[Fecha de Carga]]+MARÍTIMOS[[#This Row],[Hora de Posicionamiento]]),"")</f>
        <v/>
      </c>
      <c r="Z956" s="11" t="str">
        <f>IFERROR(IF(MARÍTIMOS[[#This Row],[Etapa Despacho - Llegada]]="","",MARÍTIMOS[[#This Row],[Etapa Despacho - Llegada]]),"")</f>
        <v/>
      </c>
      <c r="AA956" s="11" t="str">
        <f>IFERROR(IF(MARÍTIMOS[[#This Row],[Etapa Despacho - Registro]]="","",MARÍTIMOS[[#This Row],[Etapa Despacho - Registro]]),"")</f>
        <v/>
      </c>
      <c r="AB956" s="11" t="str">
        <f>IFERROR(IF(MARÍTIMOS[[#This Row],[Inspección Externa]]="","",MARÍTIMOS[[#This Row],[Inspección Externa]]),"")</f>
        <v/>
      </c>
      <c r="AC956" s="11" t="str">
        <f>IFERROR(IF(MARÍTIMOS[[#This Row],[Etapa Despacho - Inicio de Carga]]="","",MARÍTIMOS[[#This Row],[Etapa Despacho - Inicio de Carga]]),"")</f>
        <v/>
      </c>
      <c r="AD956" s="11" t="str">
        <f>IFERROR(IF(MARÍTIMOS[[#This Row],[Etapa Despacho - Mitad de Carga]]="","",MARÍTIMOS[[#This Row],[Etapa Despacho - Mitad de Carga]]),"")</f>
        <v/>
      </c>
      <c r="AE956" s="11" t="str">
        <f>IFERROR(IF(MARÍTIMOS[[#This Row],[Etapa Despacho - Fin de Carga]]="","",MARÍTIMOS[[#This Row],[Etapa Despacho - Fin de Carga]]),"")</f>
        <v/>
      </c>
      <c r="AF956" s="2" t="str">
        <f>IFERROR(IF(MARÍTIMOS[[#This Row],[Puerto de Embarque]]="","",MARÍTIMOS[[#This Row],[Puerto de Embarque]]),"")</f>
        <v/>
      </c>
      <c r="AG956" s="2" t="str">
        <f>IFERROR(IF(MARÍTIMOS[[#This Row],[Almacén de Ingreso]]="","",MARÍTIMOS[[#This Row],[Almacén de Ingreso]]),"")</f>
        <v/>
      </c>
      <c r="AH956" s="11" t="str">
        <f>IFERROR(IF(MARÍTIMOS[[#This Row],[Etapa Ingreso - Cita]]="","",MARÍTIMOS[[#This Row],[Etapa Ingreso - Cita]]),"")</f>
        <v/>
      </c>
      <c r="AI956" s="11" t="str">
        <f>IFERROR(IF(MARÍTIMOS[[#This Row],[Etapa Ingreso - Llegada]]="","",MARÍTIMOS[[#This Row],[Etapa Ingreso - Llegada]]),"")</f>
        <v/>
      </c>
      <c r="AJ956" s="11" t="str">
        <f>IFERROR(IF(MARÍTIMOS[[#This Row],[Etapa Ingreso - Ingeso]]="","",MARÍTIMOS[[#This Row],[Etapa Ingreso - Ingeso]]),"")</f>
        <v/>
      </c>
      <c r="AK956" s="11" t="str">
        <f>IFERROR(IF(MARÍTIMOS[[#This Row],[Etapa Ingreso - Atención]]="","",MARÍTIMOS[[#This Row],[Etapa Ingreso - Atención]]),"")</f>
        <v/>
      </c>
      <c r="AL956" s="11" t="str">
        <f>IFERROR(IF(MARÍTIMOS[[#This Row],[Etapa Ingreso - Salida]]="","",MARÍTIMOS[[#This Row],[Etapa Ingreso - Salida]]),"")</f>
        <v/>
      </c>
      <c r="AM956" s="2" t="str">
        <f>IFERROR(IF(MARÍTIMOS[[#This Row],[FCL]]="","",MARÍTIMOS[[#This Row],[FCL]]),"")</f>
        <v/>
      </c>
      <c r="AN9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6" s="4" t="str" cm="1">
        <f t="array" ref="AO9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6" s="5" t="str">
        <f>IFERROR(OLDBD[[#This Row],[Llegada a packing]]-OLDBD[[#This Row],[Inicio de Ruta]],"")</f>
        <v/>
      </c>
      <c r="AQ956" s="6" t="str">
        <f>IFERROR(OLDBD[[#This Row],[Inicio de Ruta]]-OLDBD[[#This Row],[Salida de almacén de retiro]],"")</f>
        <v/>
      </c>
      <c r="AR9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6" s="8" t="str" cm="1">
        <f t="array" ref="AS9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6" s="9" t="str">
        <f>IFERROR(OLDBD[[#This Row],[Ingreso Packing]]-OLDBD[[#This Row],[Registro en Packing]],"")</f>
        <v/>
      </c>
      <c r="AV956" s="9" t="str">
        <f>IFERROR(OLDBD[[#This Row],[Ingreso Packing]]-OLDBD[[#This Row],[Llegada a packing]],"")</f>
        <v/>
      </c>
      <c r="AW9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6" s="5" t="str">
        <f>IFERROR(OLDBD[[#This Row],[Llegada Almacén de Ingreso]]-OLDBD[[#This Row],[Salida Packing]],"")</f>
        <v/>
      </c>
      <c r="AY956" s="4" t="str" cm="1">
        <f t="array" ref="AY9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6" s="43" t="s">
        <v>173</v>
      </c>
      <c r="BB956" s="47" t="str">
        <f>IFERROR(IF(MARÍTIMOS[[#This Row],[Estatus]]="","",MARÍTIMOS[[#This Row],[Estatus]]),"")</f>
        <v/>
      </c>
      <c r="BC956" s="43"/>
      <c r="BD956" s="46" t="str">
        <f>IFERROR(OLDBD[[#This Row],[Salida de almacén de retiro]]-OLDBD[[#This Row],[Ingreso Almacén de retiro]],"")</f>
        <v/>
      </c>
      <c r="BE956" s="46" t="str">
        <f>IFERROR(OLDBD[[#This Row],[Fin de Carga]]-OLDBD[[#This Row],[Inicio de Carga]],"")</f>
        <v/>
      </c>
    </row>
    <row r="957" spans="1:57" customFormat="1" hidden="1">
      <c r="A957" s="1"/>
      <c r="B957" s="1" t="str">
        <f>IFERROR(IF(MARÍTIMOS[[#This Row],[PP]]="","",MARÍTIMOS[[#This Row],[PP]]),"")</f>
        <v/>
      </c>
      <c r="C957" s="1" t="str">
        <f>IFERROR(IF(MARÍTIMOS[[#This Row],[Sede]]="","",MARÍTIMOS[[#This Row],[Sede]]),"")</f>
        <v/>
      </c>
      <c r="D957" s="1" t="str">
        <f>IFERROR(IF(MARÍTIMOS[[#This Row],[Instruction]]="","",MARÍTIMOS[[#This Row],[Instruction]]),"")</f>
        <v/>
      </c>
      <c r="E957" s="1"/>
      <c r="F957" s="2" t="str">
        <f>IFERROR(IF(MARÍTIMOS[[#This Row],[Transportista]]="","",MARÍTIMOS[[#This Row],[Transportista]]),"")</f>
        <v/>
      </c>
      <c r="G957" s="2" t="str">
        <f>IFERROR(IF(MARÍTIMOS[[#This Row],[Tercero]]="","",MARÍTIMOS[[#This Row],[Tercero]]),"")</f>
        <v/>
      </c>
      <c r="H957" s="2" t="str">
        <f>IFERROR(IF(MARÍTIMOS[[#This Row],[Razón Social]]="","",MARÍTIMOS[[#This Row],[Razón Social]]),"")</f>
        <v/>
      </c>
      <c r="I957" s="2" t="str">
        <f>IFERROR(IF(MARÍTIMOS[[#This Row],[RUC]]="","",MARÍTIMOS[[#This Row],[RUC]]),"")</f>
        <v/>
      </c>
      <c r="J957" s="2" t="str">
        <f>IFERROR(IF(MARÍTIMOS[[#This Row],[Placa Tracto]]="","",MARÍTIMOS[[#This Row],[Placa Tracto]]),"")</f>
        <v/>
      </c>
      <c r="K957" s="2" t="str">
        <f>IFERROR(IF(MARÍTIMOS[[#This Row],[Placa Carreta]]="","",MARÍTIMOS[[#This Row],[Placa Carreta]]),"")</f>
        <v/>
      </c>
      <c r="L957" s="44" t="str">
        <f>IFERROR(IF(MARÍTIMOS[[#This Row],[Conductor]]="","",MARÍTIMOS[[#This Row],[Conductor]]),"")</f>
        <v/>
      </c>
      <c r="M957" s="2" t="str">
        <f>IFERROR(IF(MARÍTIMOS[[#This Row],[Licencia]]="","",MARÍTIMOS[[#This Row],[Licencia]]),"")</f>
        <v/>
      </c>
      <c r="N957" s="2" t="str">
        <f>IFERROR(IF(MARÍTIMOS[[#This Row],[Número de Contacto]]="","",MARÍTIMOS[[#This Row],[Número de Contacto]]),"")</f>
        <v/>
      </c>
      <c r="O957" s="10" t="str">
        <f>IFERROR(IF(MARÍTIMOS[[#This Row],[Booking|AWB|CRT]]="","",MARÍTIMOS[[#This Row],[Booking|AWB|CRT]]),"")</f>
        <v/>
      </c>
      <c r="P957" s="2" t="str">
        <f>IFERROR(IF(MARÍTIMOS[[#This Row],[Contenedor]]="","",MARÍTIMOS[[#This Row],[Contenedor]]),"")</f>
        <v/>
      </c>
      <c r="Q957" s="2" t="str">
        <f>IFERROR(IF(MARÍTIMOS[[#This Row],[Puerto de Retiro]]="","",MARÍTIMOS[[#This Row],[Puerto de Retiro]]),"")</f>
        <v/>
      </c>
      <c r="R957" s="2" t="str">
        <f>IFERROR(IF(MARÍTIMOS[[#This Row],[Almacén de Retiro]]="","",MARÍTIMOS[[#This Row],[Almacén de Retiro]]),"")</f>
        <v/>
      </c>
      <c r="S957" s="11" t="str">
        <f>IFERROR(IF(MARÍTIMOS[[#This Row],[Etapa Retiro - Cita]]="","",MARÍTIMOS[[#This Row],[Etapa Retiro - Cita]]),"")</f>
        <v/>
      </c>
      <c r="T957" s="11" t="str">
        <f>IFERROR(IF(MARÍTIMOS[[#This Row],[Etapa Retiro - Llegada]]="","",MARÍTIMOS[[#This Row],[Etapa Retiro - Llegada]]),"")</f>
        <v/>
      </c>
      <c r="U957" s="11" t="str">
        <f>IFERROR(IF(MARÍTIMOS[[#This Row],[Etapa Retiro - Ingreso]]="","",MARÍTIMOS[[#This Row],[Etapa Retiro - Ingreso]]),"")</f>
        <v/>
      </c>
      <c r="V957" s="11" t="str">
        <f>IFERROR(IF(MARÍTIMOS[[#This Row],[Etapa Retiro - Atención]]="","",MARÍTIMOS[[#This Row],[Etapa Retiro - Atención]]),"")</f>
        <v/>
      </c>
      <c r="W957" s="11" t="str">
        <f>IFERROR(IF(MARÍTIMOS[[#This Row],[Etapa Retiro - Atención]]="","",MARÍTIMOS[[#This Row],[Etapa Retiro - Atención]]),"")</f>
        <v/>
      </c>
      <c r="X957" s="11" t="str">
        <f>IFERROR(IF(MARÍTIMOS[[#This Row],[Etapa Retiro - Inicio de Ruta]]="","",MARÍTIMOS[[#This Row],[Etapa Retiro - Inicio de Ruta]]),"")</f>
        <v/>
      </c>
      <c r="Y957" s="11" t="str">
        <f>IFERROR(IF(MARÍTIMOS[[#This Row],[Hora de Posicionamiento]]="","",MARÍTIMOS[[#This Row],[Fecha de Carga]]+MARÍTIMOS[[#This Row],[Hora de Posicionamiento]]),"")</f>
        <v/>
      </c>
      <c r="Z957" s="11" t="str">
        <f>IFERROR(IF(MARÍTIMOS[[#This Row],[Etapa Despacho - Llegada]]="","",MARÍTIMOS[[#This Row],[Etapa Despacho - Llegada]]),"")</f>
        <v/>
      </c>
      <c r="AA957" s="11" t="str">
        <f>IFERROR(IF(MARÍTIMOS[[#This Row],[Etapa Despacho - Registro]]="","",MARÍTIMOS[[#This Row],[Etapa Despacho - Registro]]),"")</f>
        <v/>
      </c>
      <c r="AB957" s="11" t="str">
        <f>IFERROR(IF(MARÍTIMOS[[#This Row],[Inspección Externa]]="","",MARÍTIMOS[[#This Row],[Inspección Externa]]),"")</f>
        <v/>
      </c>
      <c r="AC957" s="11" t="str">
        <f>IFERROR(IF(MARÍTIMOS[[#This Row],[Etapa Despacho - Inicio de Carga]]="","",MARÍTIMOS[[#This Row],[Etapa Despacho - Inicio de Carga]]),"")</f>
        <v/>
      </c>
      <c r="AD957" s="11" t="str">
        <f>IFERROR(IF(MARÍTIMOS[[#This Row],[Etapa Despacho - Mitad de Carga]]="","",MARÍTIMOS[[#This Row],[Etapa Despacho - Mitad de Carga]]),"")</f>
        <v/>
      </c>
      <c r="AE957" s="11" t="str">
        <f>IFERROR(IF(MARÍTIMOS[[#This Row],[Etapa Despacho - Fin de Carga]]="","",MARÍTIMOS[[#This Row],[Etapa Despacho - Fin de Carga]]),"")</f>
        <v/>
      </c>
      <c r="AF957" s="2" t="str">
        <f>IFERROR(IF(MARÍTIMOS[[#This Row],[Puerto de Embarque]]="","",MARÍTIMOS[[#This Row],[Puerto de Embarque]]),"")</f>
        <v/>
      </c>
      <c r="AG957" s="2" t="str">
        <f>IFERROR(IF(MARÍTIMOS[[#This Row],[Almacén de Ingreso]]="","",MARÍTIMOS[[#This Row],[Almacén de Ingreso]]),"")</f>
        <v/>
      </c>
      <c r="AH957" s="11" t="str">
        <f>IFERROR(IF(MARÍTIMOS[[#This Row],[Etapa Ingreso - Cita]]="","",MARÍTIMOS[[#This Row],[Etapa Ingreso - Cita]]),"")</f>
        <v/>
      </c>
      <c r="AI957" s="11" t="str">
        <f>IFERROR(IF(MARÍTIMOS[[#This Row],[Etapa Ingreso - Llegada]]="","",MARÍTIMOS[[#This Row],[Etapa Ingreso - Llegada]]),"")</f>
        <v/>
      </c>
      <c r="AJ957" s="11" t="str">
        <f>IFERROR(IF(MARÍTIMOS[[#This Row],[Etapa Ingreso - Ingeso]]="","",MARÍTIMOS[[#This Row],[Etapa Ingreso - Ingeso]]),"")</f>
        <v/>
      </c>
      <c r="AK957" s="11" t="str">
        <f>IFERROR(IF(MARÍTIMOS[[#This Row],[Etapa Ingreso - Atención]]="","",MARÍTIMOS[[#This Row],[Etapa Ingreso - Atención]]),"")</f>
        <v/>
      </c>
      <c r="AL957" s="11" t="str">
        <f>IFERROR(IF(MARÍTIMOS[[#This Row],[Etapa Ingreso - Salida]]="","",MARÍTIMOS[[#This Row],[Etapa Ingreso - Salida]]),"")</f>
        <v/>
      </c>
      <c r="AM957" s="2" t="str">
        <f>IFERROR(IF(MARÍTIMOS[[#This Row],[FCL]]="","",MARÍTIMOS[[#This Row],[FCL]]),"")</f>
        <v/>
      </c>
      <c r="AN9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7" s="4" t="str" cm="1">
        <f t="array" ref="AO9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7" s="5" t="str">
        <f>IFERROR(OLDBD[[#This Row],[Llegada a packing]]-OLDBD[[#This Row],[Inicio de Ruta]],"")</f>
        <v/>
      </c>
      <c r="AQ957" s="6" t="str">
        <f>IFERROR(OLDBD[[#This Row],[Inicio de Ruta]]-OLDBD[[#This Row],[Salida de almacén de retiro]],"")</f>
        <v/>
      </c>
      <c r="AR9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7" s="8" t="str" cm="1">
        <f t="array" ref="AS9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7" s="9" t="str">
        <f>IFERROR(OLDBD[[#This Row],[Ingreso Packing]]-OLDBD[[#This Row],[Registro en Packing]],"")</f>
        <v/>
      </c>
      <c r="AV957" s="9" t="str">
        <f>IFERROR(OLDBD[[#This Row],[Ingreso Packing]]-OLDBD[[#This Row],[Llegada a packing]],"")</f>
        <v/>
      </c>
      <c r="AW9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7" s="5" t="str">
        <f>IFERROR(OLDBD[[#This Row],[Llegada Almacén de Ingreso]]-OLDBD[[#This Row],[Salida Packing]],"")</f>
        <v/>
      </c>
      <c r="AY957" s="4" t="str" cm="1">
        <f t="array" ref="AY9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7" s="43" t="s">
        <v>173</v>
      </c>
      <c r="BB957" s="47" t="str">
        <f>IFERROR(IF(MARÍTIMOS[[#This Row],[Estatus]]="","",MARÍTIMOS[[#This Row],[Estatus]]),"")</f>
        <v/>
      </c>
      <c r="BC957" s="43"/>
      <c r="BD957" s="46" t="str">
        <f>IFERROR(OLDBD[[#This Row],[Salida de almacén de retiro]]-OLDBD[[#This Row],[Ingreso Almacén de retiro]],"")</f>
        <v/>
      </c>
      <c r="BE957" s="46" t="str">
        <f>IFERROR(OLDBD[[#This Row],[Fin de Carga]]-OLDBD[[#This Row],[Inicio de Carga]],"")</f>
        <v/>
      </c>
    </row>
    <row r="958" spans="1:57" customFormat="1" hidden="1">
      <c r="A958" s="1"/>
      <c r="B958" s="1" t="str">
        <f>IFERROR(IF(MARÍTIMOS[[#This Row],[PP]]="","",MARÍTIMOS[[#This Row],[PP]]),"")</f>
        <v/>
      </c>
      <c r="C958" s="1" t="str">
        <f>IFERROR(IF(MARÍTIMOS[[#This Row],[Sede]]="","",MARÍTIMOS[[#This Row],[Sede]]),"")</f>
        <v/>
      </c>
      <c r="D958" s="1" t="str">
        <f>IFERROR(IF(MARÍTIMOS[[#This Row],[Instruction]]="","",MARÍTIMOS[[#This Row],[Instruction]]),"")</f>
        <v/>
      </c>
      <c r="E958" s="1"/>
      <c r="F958" s="2" t="str">
        <f>IFERROR(IF(MARÍTIMOS[[#This Row],[Transportista]]="","",MARÍTIMOS[[#This Row],[Transportista]]),"")</f>
        <v/>
      </c>
      <c r="G958" s="2" t="str">
        <f>IFERROR(IF(MARÍTIMOS[[#This Row],[Tercero]]="","",MARÍTIMOS[[#This Row],[Tercero]]),"")</f>
        <v/>
      </c>
      <c r="H958" s="2" t="str">
        <f>IFERROR(IF(MARÍTIMOS[[#This Row],[Razón Social]]="","",MARÍTIMOS[[#This Row],[Razón Social]]),"")</f>
        <v/>
      </c>
      <c r="I958" s="2" t="str">
        <f>IFERROR(IF(MARÍTIMOS[[#This Row],[RUC]]="","",MARÍTIMOS[[#This Row],[RUC]]),"")</f>
        <v/>
      </c>
      <c r="J958" s="2" t="str">
        <f>IFERROR(IF(MARÍTIMOS[[#This Row],[Placa Tracto]]="","",MARÍTIMOS[[#This Row],[Placa Tracto]]),"")</f>
        <v/>
      </c>
      <c r="K958" s="2" t="str">
        <f>IFERROR(IF(MARÍTIMOS[[#This Row],[Placa Carreta]]="","",MARÍTIMOS[[#This Row],[Placa Carreta]]),"")</f>
        <v/>
      </c>
      <c r="L958" s="44" t="str">
        <f>IFERROR(IF(MARÍTIMOS[[#This Row],[Conductor]]="","",MARÍTIMOS[[#This Row],[Conductor]]),"")</f>
        <v/>
      </c>
      <c r="M958" s="2" t="str">
        <f>IFERROR(IF(MARÍTIMOS[[#This Row],[Licencia]]="","",MARÍTIMOS[[#This Row],[Licencia]]),"")</f>
        <v/>
      </c>
      <c r="N958" s="2" t="str">
        <f>IFERROR(IF(MARÍTIMOS[[#This Row],[Número de Contacto]]="","",MARÍTIMOS[[#This Row],[Número de Contacto]]),"")</f>
        <v/>
      </c>
      <c r="O958" s="10" t="str">
        <f>IFERROR(IF(MARÍTIMOS[[#This Row],[Booking|AWB|CRT]]="","",MARÍTIMOS[[#This Row],[Booking|AWB|CRT]]),"")</f>
        <v/>
      </c>
      <c r="P958" s="2" t="str">
        <f>IFERROR(IF(MARÍTIMOS[[#This Row],[Contenedor]]="","",MARÍTIMOS[[#This Row],[Contenedor]]),"")</f>
        <v/>
      </c>
      <c r="Q958" s="2" t="str">
        <f>IFERROR(IF(MARÍTIMOS[[#This Row],[Puerto de Retiro]]="","",MARÍTIMOS[[#This Row],[Puerto de Retiro]]),"")</f>
        <v/>
      </c>
      <c r="R958" s="2" t="str">
        <f>IFERROR(IF(MARÍTIMOS[[#This Row],[Almacén de Retiro]]="","",MARÍTIMOS[[#This Row],[Almacén de Retiro]]),"")</f>
        <v/>
      </c>
      <c r="S958" s="11" t="str">
        <f>IFERROR(IF(MARÍTIMOS[[#This Row],[Etapa Retiro - Cita]]="","",MARÍTIMOS[[#This Row],[Etapa Retiro - Cita]]),"")</f>
        <v/>
      </c>
      <c r="T958" s="11" t="str">
        <f>IFERROR(IF(MARÍTIMOS[[#This Row],[Etapa Retiro - Llegada]]="","",MARÍTIMOS[[#This Row],[Etapa Retiro - Llegada]]),"")</f>
        <v/>
      </c>
      <c r="U958" s="11" t="str">
        <f>IFERROR(IF(MARÍTIMOS[[#This Row],[Etapa Retiro - Ingreso]]="","",MARÍTIMOS[[#This Row],[Etapa Retiro - Ingreso]]),"")</f>
        <v/>
      </c>
      <c r="V958" s="11" t="str">
        <f>IFERROR(IF(MARÍTIMOS[[#This Row],[Etapa Retiro - Atención]]="","",MARÍTIMOS[[#This Row],[Etapa Retiro - Atención]]),"")</f>
        <v/>
      </c>
      <c r="W958" s="11" t="str">
        <f>IFERROR(IF(MARÍTIMOS[[#This Row],[Etapa Retiro - Atención]]="","",MARÍTIMOS[[#This Row],[Etapa Retiro - Atención]]),"")</f>
        <v/>
      </c>
      <c r="X958" s="11" t="str">
        <f>IFERROR(IF(MARÍTIMOS[[#This Row],[Etapa Retiro - Inicio de Ruta]]="","",MARÍTIMOS[[#This Row],[Etapa Retiro - Inicio de Ruta]]),"")</f>
        <v/>
      </c>
      <c r="Y958" s="11" t="str">
        <f>IFERROR(IF(MARÍTIMOS[[#This Row],[Hora de Posicionamiento]]="","",MARÍTIMOS[[#This Row],[Fecha de Carga]]+MARÍTIMOS[[#This Row],[Hora de Posicionamiento]]),"")</f>
        <v/>
      </c>
      <c r="Z958" s="11" t="str">
        <f>IFERROR(IF(MARÍTIMOS[[#This Row],[Etapa Despacho - Llegada]]="","",MARÍTIMOS[[#This Row],[Etapa Despacho - Llegada]]),"")</f>
        <v/>
      </c>
      <c r="AA958" s="11" t="str">
        <f>IFERROR(IF(MARÍTIMOS[[#This Row],[Etapa Despacho - Registro]]="","",MARÍTIMOS[[#This Row],[Etapa Despacho - Registro]]),"")</f>
        <v/>
      </c>
      <c r="AB958" s="11" t="str">
        <f>IFERROR(IF(MARÍTIMOS[[#This Row],[Inspección Externa]]="","",MARÍTIMOS[[#This Row],[Inspección Externa]]),"")</f>
        <v/>
      </c>
      <c r="AC958" s="11" t="str">
        <f>IFERROR(IF(MARÍTIMOS[[#This Row],[Etapa Despacho - Inicio de Carga]]="","",MARÍTIMOS[[#This Row],[Etapa Despacho - Inicio de Carga]]),"")</f>
        <v/>
      </c>
      <c r="AD958" s="11" t="str">
        <f>IFERROR(IF(MARÍTIMOS[[#This Row],[Etapa Despacho - Mitad de Carga]]="","",MARÍTIMOS[[#This Row],[Etapa Despacho - Mitad de Carga]]),"")</f>
        <v/>
      </c>
      <c r="AE958" s="11" t="str">
        <f>IFERROR(IF(MARÍTIMOS[[#This Row],[Etapa Despacho - Fin de Carga]]="","",MARÍTIMOS[[#This Row],[Etapa Despacho - Fin de Carga]]),"")</f>
        <v/>
      </c>
      <c r="AF958" s="2" t="str">
        <f>IFERROR(IF(MARÍTIMOS[[#This Row],[Puerto de Embarque]]="","",MARÍTIMOS[[#This Row],[Puerto de Embarque]]),"")</f>
        <v/>
      </c>
      <c r="AG958" s="2" t="str">
        <f>IFERROR(IF(MARÍTIMOS[[#This Row],[Almacén de Ingreso]]="","",MARÍTIMOS[[#This Row],[Almacén de Ingreso]]),"")</f>
        <v/>
      </c>
      <c r="AH958" s="11" t="str">
        <f>IFERROR(IF(MARÍTIMOS[[#This Row],[Etapa Ingreso - Cita]]="","",MARÍTIMOS[[#This Row],[Etapa Ingreso - Cita]]),"")</f>
        <v/>
      </c>
      <c r="AI958" s="11" t="str">
        <f>IFERROR(IF(MARÍTIMOS[[#This Row],[Etapa Ingreso - Llegada]]="","",MARÍTIMOS[[#This Row],[Etapa Ingreso - Llegada]]),"")</f>
        <v/>
      </c>
      <c r="AJ958" s="11" t="str">
        <f>IFERROR(IF(MARÍTIMOS[[#This Row],[Etapa Ingreso - Ingeso]]="","",MARÍTIMOS[[#This Row],[Etapa Ingreso - Ingeso]]),"")</f>
        <v/>
      </c>
      <c r="AK958" s="11" t="str">
        <f>IFERROR(IF(MARÍTIMOS[[#This Row],[Etapa Ingreso - Atención]]="","",MARÍTIMOS[[#This Row],[Etapa Ingreso - Atención]]),"")</f>
        <v/>
      </c>
      <c r="AL958" s="11" t="str">
        <f>IFERROR(IF(MARÍTIMOS[[#This Row],[Etapa Ingreso - Salida]]="","",MARÍTIMOS[[#This Row],[Etapa Ingreso - Salida]]),"")</f>
        <v/>
      </c>
      <c r="AM958" s="2" t="str">
        <f>IFERROR(IF(MARÍTIMOS[[#This Row],[FCL]]="","",MARÍTIMOS[[#This Row],[FCL]]),"")</f>
        <v/>
      </c>
      <c r="AN9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8" s="4" t="str" cm="1">
        <f t="array" ref="AO9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8" s="5" t="str">
        <f>IFERROR(OLDBD[[#This Row],[Llegada a packing]]-OLDBD[[#This Row],[Inicio de Ruta]],"")</f>
        <v/>
      </c>
      <c r="AQ958" s="6" t="str">
        <f>IFERROR(OLDBD[[#This Row],[Inicio de Ruta]]-OLDBD[[#This Row],[Salida de almacén de retiro]],"")</f>
        <v/>
      </c>
      <c r="AR9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8" s="8" t="str" cm="1">
        <f t="array" ref="AS9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8" s="9" t="str">
        <f>IFERROR(OLDBD[[#This Row],[Ingreso Packing]]-OLDBD[[#This Row],[Registro en Packing]],"")</f>
        <v/>
      </c>
      <c r="AV958" s="9" t="str">
        <f>IFERROR(OLDBD[[#This Row],[Ingreso Packing]]-OLDBD[[#This Row],[Llegada a packing]],"")</f>
        <v/>
      </c>
      <c r="AW9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8" s="5" t="str">
        <f>IFERROR(OLDBD[[#This Row],[Llegada Almacén de Ingreso]]-OLDBD[[#This Row],[Salida Packing]],"")</f>
        <v/>
      </c>
      <c r="AY958" s="4" t="str" cm="1">
        <f t="array" ref="AY9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8" s="43" t="s">
        <v>173</v>
      </c>
      <c r="BB958" s="47" t="str">
        <f>IFERROR(IF(MARÍTIMOS[[#This Row],[Estatus]]="","",MARÍTIMOS[[#This Row],[Estatus]]),"")</f>
        <v/>
      </c>
      <c r="BC958" s="43"/>
      <c r="BD958" s="46" t="str">
        <f>IFERROR(OLDBD[[#This Row],[Salida de almacén de retiro]]-OLDBD[[#This Row],[Ingreso Almacén de retiro]],"")</f>
        <v/>
      </c>
      <c r="BE958" s="46" t="str">
        <f>IFERROR(OLDBD[[#This Row],[Fin de Carga]]-OLDBD[[#This Row],[Inicio de Carga]],"")</f>
        <v/>
      </c>
    </row>
    <row r="959" spans="1:57" customFormat="1" hidden="1">
      <c r="A959" s="1"/>
      <c r="B959" s="1" t="str">
        <f>IFERROR(IF(MARÍTIMOS[[#This Row],[PP]]="","",MARÍTIMOS[[#This Row],[PP]]),"")</f>
        <v/>
      </c>
      <c r="C959" s="1" t="str">
        <f>IFERROR(IF(MARÍTIMOS[[#This Row],[Sede]]="","",MARÍTIMOS[[#This Row],[Sede]]),"")</f>
        <v/>
      </c>
      <c r="D959" s="1" t="str">
        <f>IFERROR(IF(MARÍTIMOS[[#This Row],[Instruction]]="","",MARÍTIMOS[[#This Row],[Instruction]]),"")</f>
        <v/>
      </c>
      <c r="E959" s="1"/>
      <c r="F959" s="2" t="str">
        <f>IFERROR(IF(MARÍTIMOS[[#This Row],[Transportista]]="","",MARÍTIMOS[[#This Row],[Transportista]]),"")</f>
        <v/>
      </c>
      <c r="G959" s="2" t="str">
        <f>IFERROR(IF(MARÍTIMOS[[#This Row],[Tercero]]="","",MARÍTIMOS[[#This Row],[Tercero]]),"")</f>
        <v/>
      </c>
      <c r="H959" s="2" t="str">
        <f>IFERROR(IF(MARÍTIMOS[[#This Row],[Razón Social]]="","",MARÍTIMOS[[#This Row],[Razón Social]]),"")</f>
        <v/>
      </c>
      <c r="I959" s="2" t="str">
        <f>IFERROR(IF(MARÍTIMOS[[#This Row],[RUC]]="","",MARÍTIMOS[[#This Row],[RUC]]),"")</f>
        <v/>
      </c>
      <c r="J959" s="2" t="str">
        <f>IFERROR(IF(MARÍTIMOS[[#This Row],[Placa Tracto]]="","",MARÍTIMOS[[#This Row],[Placa Tracto]]),"")</f>
        <v/>
      </c>
      <c r="K959" s="2" t="str">
        <f>IFERROR(IF(MARÍTIMOS[[#This Row],[Placa Carreta]]="","",MARÍTIMOS[[#This Row],[Placa Carreta]]),"")</f>
        <v/>
      </c>
      <c r="L959" s="44" t="str">
        <f>IFERROR(IF(MARÍTIMOS[[#This Row],[Conductor]]="","",MARÍTIMOS[[#This Row],[Conductor]]),"")</f>
        <v/>
      </c>
      <c r="M959" s="2" t="str">
        <f>IFERROR(IF(MARÍTIMOS[[#This Row],[Licencia]]="","",MARÍTIMOS[[#This Row],[Licencia]]),"")</f>
        <v/>
      </c>
      <c r="N959" s="2" t="str">
        <f>IFERROR(IF(MARÍTIMOS[[#This Row],[Número de Contacto]]="","",MARÍTIMOS[[#This Row],[Número de Contacto]]),"")</f>
        <v/>
      </c>
      <c r="O959" s="10" t="str">
        <f>IFERROR(IF(MARÍTIMOS[[#This Row],[Booking|AWB|CRT]]="","",MARÍTIMOS[[#This Row],[Booking|AWB|CRT]]),"")</f>
        <v/>
      </c>
      <c r="P959" s="2" t="str">
        <f>IFERROR(IF(MARÍTIMOS[[#This Row],[Contenedor]]="","",MARÍTIMOS[[#This Row],[Contenedor]]),"")</f>
        <v/>
      </c>
      <c r="Q959" s="2" t="str">
        <f>IFERROR(IF(MARÍTIMOS[[#This Row],[Puerto de Retiro]]="","",MARÍTIMOS[[#This Row],[Puerto de Retiro]]),"")</f>
        <v/>
      </c>
      <c r="R959" s="2" t="str">
        <f>IFERROR(IF(MARÍTIMOS[[#This Row],[Almacén de Retiro]]="","",MARÍTIMOS[[#This Row],[Almacén de Retiro]]),"")</f>
        <v/>
      </c>
      <c r="S959" s="11" t="str">
        <f>IFERROR(IF(MARÍTIMOS[[#This Row],[Etapa Retiro - Cita]]="","",MARÍTIMOS[[#This Row],[Etapa Retiro - Cita]]),"")</f>
        <v/>
      </c>
      <c r="T959" s="11" t="str">
        <f>IFERROR(IF(MARÍTIMOS[[#This Row],[Etapa Retiro - Llegada]]="","",MARÍTIMOS[[#This Row],[Etapa Retiro - Llegada]]),"")</f>
        <v/>
      </c>
      <c r="U959" s="11" t="str">
        <f>IFERROR(IF(MARÍTIMOS[[#This Row],[Etapa Retiro - Ingreso]]="","",MARÍTIMOS[[#This Row],[Etapa Retiro - Ingreso]]),"")</f>
        <v/>
      </c>
      <c r="V959" s="11" t="str">
        <f>IFERROR(IF(MARÍTIMOS[[#This Row],[Etapa Retiro - Atención]]="","",MARÍTIMOS[[#This Row],[Etapa Retiro - Atención]]),"")</f>
        <v/>
      </c>
      <c r="W959" s="11" t="str">
        <f>IFERROR(IF(MARÍTIMOS[[#This Row],[Etapa Retiro - Atención]]="","",MARÍTIMOS[[#This Row],[Etapa Retiro - Atención]]),"")</f>
        <v/>
      </c>
      <c r="X959" s="11" t="str">
        <f>IFERROR(IF(MARÍTIMOS[[#This Row],[Etapa Retiro - Inicio de Ruta]]="","",MARÍTIMOS[[#This Row],[Etapa Retiro - Inicio de Ruta]]),"")</f>
        <v/>
      </c>
      <c r="Y959" s="11" t="str">
        <f>IFERROR(IF(MARÍTIMOS[[#This Row],[Hora de Posicionamiento]]="","",MARÍTIMOS[[#This Row],[Fecha de Carga]]+MARÍTIMOS[[#This Row],[Hora de Posicionamiento]]),"")</f>
        <v/>
      </c>
      <c r="Z959" s="11" t="str">
        <f>IFERROR(IF(MARÍTIMOS[[#This Row],[Etapa Despacho - Llegada]]="","",MARÍTIMOS[[#This Row],[Etapa Despacho - Llegada]]),"")</f>
        <v/>
      </c>
      <c r="AA959" s="11" t="str">
        <f>IFERROR(IF(MARÍTIMOS[[#This Row],[Etapa Despacho - Registro]]="","",MARÍTIMOS[[#This Row],[Etapa Despacho - Registro]]),"")</f>
        <v/>
      </c>
      <c r="AB959" s="11" t="str">
        <f>IFERROR(IF(MARÍTIMOS[[#This Row],[Inspección Externa]]="","",MARÍTIMOS[[#This Row],[Inspección Externa]]),"")</f>
        <v/>
      </c>
      <c r="AC959" s="11" t="str">
        <f>IFERROR(IF(MARÍTIMOS[[#This Row],[Etapa Despacho - Inicio de Carga]]="","",MARÍTIMOS[[#This Row],[Etapa Despacho - Inicio de Carga]]),"")</f>
        <v/>
      </c>
      <c r="AD959" s="11" t="str">
        <f>IFERROR(IF(MARÍTIMOS[[#This Row],[Etapa Despacho - Mitad de Carga]]="","",MARÍTIMOS[[#This Row],[Etapa Despacho - Mitad de Carga]]),"")</f>
        <v/>
      </c>
      <c r="AE959" s="11" t="str">
        <f>IFERROR(IF(MARÍTIMOS[[#This Row],[Etapa Despacho - Fin de Carga]]="","",MARÍTIMOS[[#This Row],[Etapa Despacho - Fin de Carga]]),"")</f>
        <v/>
      </c>
      <c r="AF959" s="2" t="str">
        <f>IFERROR(IF(MARÍTIMOS[[#This Row],[Puerto de Embarque]]="","",MARÍTIMOS[[#This Row],[Puerto de Embarque]]),"")</f>
        <v/>
      </c>
      <c r="AG959" s="2" t="str">
        <f>IFERROR(IF(MARÍTIMOS[[#This Row],[Almacén de Ingreso]]="","",MARÍTIMOS[[#This Row],[Almacén de Ingreso]]),"")</f>
        <v/>
      </c>
      <c r="AH959" s="11" t="str">
        <f>IFERROR(IF(MARÍTIMOS[[#This Row],[Etapa Ingreso - Cita]]="","",MARÍTIMOS[[#This Row],[Etapa Ingreso - Cita]]),"")</f>
        <v/>
      </c>
      <c r="AI959" s="11" t="str">
        <f>IFERROR(IF(MARÍTIMOS[[#This Row],[Etapa Ingreso - Llegada]]="","",MARÍTIMOS[[#This Row],[Etapa Ingreso - Llegada]]),"")</f>
        <v/>
      </c>
      <c r="AJ959" s="11" t="str">
        <f>IFERROR(IF(MARÍTIMOS[[#This Row],[Etapa Ingreso - Ingeso]]="","",MARÍTIMOS[[#This Row],[Etapa Ingreso - Ingeso]]),"")</f>
        <v/>
      </c>
      <c r="AK959" s="11" t="str">
        <f>IFERROR(IF(MARÍTIMOS[[#This Row],[Etapa Ingreso - Atención]]="","",MARÍTIMOS[[#This Row],[Etapa Ingreso - Atención]]),"")</f>
        <v/>
      </c>
      <c r="AL959" s="11" t="str">
        <f>IFERROR(IF(MARÍTIMOS[[#This Row],[Etapa Ingreso - Salida]]="","",MARÍTIMOS[[#This Row],[Etapa Ingreso - Salida]]),"")</f>
        <v/>
      </c>
      <c r="AM959" s="2" t="str">
        <f>IFERROR(IF(MARÍTIMOS[[#This Row],[FCL]]="","",MARÍTIMOS[[#This Row],[FCL]]),"")</f>
        <v/>
      </c>
      <c r="AN9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59" s="4" t="str" cm="1">
        <f t="array" ref="AO9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59" s="5" t="str">
        <f>IFERROR(OLDBD[[#This Row],[Llegada a packing]]-OLDBD[[#This Row],[Inicio de Ruta]],"")</f>
        <v/>
      </c>
      <c r="AQ959" s="6" t="str">
        <f>IFERROR(OLDBD[[#This Row],[Inicio de Ruta]]-OLDBD[[#This Row],[Salida de almacén de retiro]],"")</f>
        <v/>
      </c>
      <c r="AR9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59" s="8" t="str" cm="1">
        <f t="array" ref="AS9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59" s="9" t="str">
        <f>IFERROR(OLDBD[[#This Row],[Ingreso Packing]]-OLDBD[[#This Row],[Registro en Packing]],"")</f>
        <v/>
      </c>
      <c r="AV959" s="9" t="str">
        <f>IFERROR(OLDBD[[#This Row],[Ingreso Packing]]-OLDBD[[#This Row],[Llegada a packing]],"")</f>
        <v/>
      </c>
      <c r="AW9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59" s="5" t="str">
        <f>IFERROR(OLDBD[[#This Row],[Llegada Almacén de Ingreso]]-OLDBD[[#This Row],[Salida Packing]],"")</f>
        <v/>
      </c>
      <c r="AY959" s="4" t="str" cm="1">
        <f t="array" ref="AY9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59" s="43" t="s">
        <v>173</v>
      </c>
      <c r="BB959" s="47" t="str">
        <f>IFERROR(IF(MARÍTIMOS[[#This Row],[Estatus]]="","",MARÍTIMOS[[#This Row],[Estatus]]),"")</f>
        <v/>
      </c>
      <c r="BC959" s="43"/>
      <c r="BD959" s="46" t="str">
        <f>IFERROR(OLDBD[[#This Row],[Salida de almacén de retiro]]-OLDBD[[#This Row],[Ingreso Almacén de retiro]],"")</f>
        <v/>
      </c>
      <c r="BE959" s="46" t="str">
        <f>IFERROR(OLDBD[[#This Row],[Fin de Carga]]-OLDBD[[#This Row],[Inicio de Carga]],"")</f>
        <v/>
      </c>
    </row>
    <row r="960" spans="1:57" customFormat="1" hidden="1">
      <c r="A960" s="1"/>
      <c r="B960" s="1" t="str">
        <f>IFERROR(IF(MARÍTIMOS[[#This Row],[PP]]="","",MARÍTIMOS[[#This Row],[PP]]),"")</f>
        <v/>
      </c>
      <c r="C960" s="1" t="str">
        <f>IFERROR(IF(MARÍTIMOS[[#This Row],[Sede]]="","",MARÍTIMOS[[#This Row],[Sede]]),"")</f>
        <v/>
      </c>
      <c r="D960" s="1" t="str">
        <f>IFERROR(IF(MARÍTIMOS[[#This Row],[Instruction]]="","",MARÍTIMOS[[#This Row],[Instruction]]),"")</f>
        <v/>
      </c>
      <c r="E960" s="1"/>
      <c r="F960" s="2" t="str">
        <f>IFERROR(IF(MARÍTIMOS[[#This Row],[Transportista]]="","",MARÍTIMOS[[#This Row],[Transportista]]),"")</f>
        <v/>
      </c>
      <c r="G960" s="2" t="str">
        <f>IFERROR(IF(MARÍTIMOS[[#This Row],[Tercero]]="","",MARÍTIMOS[[#This Row],[Tercero]]),"")</f>
        <v/>
      </c>
      <c r="H960" s="2" t="str">
        <f>IFERROR(IF(MARÍTIMOS[[#This Row],[Razón Social]]="","",MARÍTIMOS[[#This Row],[Razón Social]]),"")</f>
        <v/>
      </c>
      <c r="I960" s="2" t="str">
        <f>IFERROR(IF(MARÍTIMOS[[#This Row],[RUC]]="","",MARÍTIMOS[[#This Row],[RUC]]),"")</f>
        <v/>
      </c>
      <c r="J960" s="2" t="str">
        <f>IFERROR(IF(MARÍTIMOS[[#This Row],[Placa Tracto]]="","",MARÍTIMOS[[#This Row],[Placa Tracto]]),"")</f>
        <v/>
      </c>
      <c r="K960" s="2" t="str">
        <f>IFERROR(IF(MARÍTIMOS[[#This Row],[Placa Carreta]]="","",MARÍTIMOS[[#This Row],[Placa Carreta]]),"")</f>
        <v/>
      </c>
      <c r="L960" s="44" t="str">
        <f>IFERROR(IF(MARÍTIMOS[[#This Row],[Conductor]]="","",MARÍTIMOS[[#This Row],[Conductor]]),"")</f>
        <v/>
      </c>
      <c r="M960" s="2" t="str">
        <f>IFERROR(IF(MARÍTIMOS[[#This Row],[Licencia]]="","",MARÍTIMOS[[#This Row],[Licencia]]),"")</f>
        <v/>
      </c>
      <c r="N960" s="2" t="str">
        <f>IFERROR(IF(MARÍTIMOS[[#This Row],[Número de Contacto]]="","",MARÍTIMOS[[#This Row],[Número de Contacto]]),"")</f>
        <v/>
      </c>
      <c r="O960" s="10" t="str">
        <f>IFERROR(IF(MARÍTIMOS[[#This Row],[Booking|AWB|CRT]]="","",MARÍTIMOS[[#This Row],[Booking|AWB|CRT]]),"")</f>
        <v/>
      </c>
      <c r="P960" s="2" t="str">
        <f>IFERROR(IF(MARÍTIMOS[[#This Row],[Contenedor]]="","",MARÍTIMOS[[#This Row],[Contenedor]]),"")</f>
        <v/>
      </c>
      <c r="Q960" s="2" t="str">
        <f>IFERROR(IF(MARÍTIMOS[[#This Row],[Puerto de Retiro]]="","",MARÍTIMOS[[#This Row],[Puerto de Retiro]]),"")</f>
        <v/>
      </c>
      <c r="R960" s="2" t="str">
        <f>IFERROR(IF(MARÍTIMOS[[#This Row],[Almacén de Retiro]]="","",MARÍTIMOS[[#This Row],[Almacén de Retiro]]),"")</f>
        <v/>
      </c>
      <c r="S960" s="11" t="str">
        <f>IFERROR(IF(MARÍTIMOS[[#This Row],[Etapa Retiro - Cita]]="","",MARÍTIMOS[[#This Row],[Etapa Retiro - Cita]]),"")</f>
        <v/>
      </c>
      <c r="T960" s="11" t="str">
        <f>IFERROR(IF(MARÍTIMOS[[#This Row],[Etapa Retiro - Llegada]]="","",MARÍTIMOS[[#This Row],[Etapa Retiro - Llegada]]),"")</f>
        <v/>
      </c>
      <c r="U960" s="11" t="str">
        <f>IFERROR(IF(MARÍTIMOS[[#This Row],[Etapa Retiro - Ingreso]]="","",MARÍTIMOS[[#This Row],[Etapa Retiro - Ingreso]]),"")</f>
        <v/>
      </c>
      <c r="V960" s="11" t="str">
        <f>IFERROR(IF(MARÍTIMOS[[#This Row],[Etapa Retiro - Atención]]="","",MARÍTIMOS[[#This Row],[Etapa Retiro - Atención]]),"")</f>
        <v/>
      </c>
      <c r="W960" s="11" t="str">
        <f>IFERROR(IF(MARÍTIMOS[[#This Row],[Etapa Retiro - Atención]]="","",MARÍTIMOS[[#This Row],[Etapa Retiro - Atención]]),"")</f>
        <v/>
      </c>
      <c r="X960" s="11" t="str">
        <f>IFERROR(IF(MARÍTIMOS[[#This Row],[Etapa Retiro - Inicio de Ruta]]="","",MARÍTIMOS[[#This Row],[Etapa Retiro - Inicio de Ruta]]),"")</f>
        <v/>
      </c>
      <c r="Y960" s="11" t="str">
        <f>IFERROR(IF(MARÍTIMOS[[#This Row],[Hora de Posicionamiento]]="","",MARÍTIMOS[[#This Row],[Fecha de Carga]]+MARÍTIMOS[[#This Row],[Hora de Posicionamiento]]),"")</f>
        <v/>
      </c>
      <c r="Z960" s="11" t="str">
        <f>IFERROR(IF(MARÍTIMOS[[#This Row],[Etapa Despacho - Llegada]]="","",MARÍTIMOS[[#This Row],[Etapa Despacho - Llegada]]),"")</f>
        <v/>
      </c>
      <c r="AA960" s="11" t="str">
        <f>IFERROR(IF(MARÍTIMOS[[#This Row],[Etapa Despacho - Registro]]="","",MARÍTIMOS[[#This Row],[Etapa Despacho - Registro]]),"")</f>
        <v/>
      </c>
      <c r="AB960" s="11" t="str">
        <f>IFERROR(IF(MARÍTIMOS[[#This Row],[Inspección Externa]]="","",MARÍTIMOS[[#This Row],[Inspección Externa]]),"")</f>
        <v/>
      </c>
      <c r="AC960" s="11" t="str">
        <f>IFERROR(IF(MARÍTIMOS[[#This Row],[Etapa Despacho - Inicio de Carga]]="","",MARÍTIMOS[[#This Row],[Etapa Despacho - Inicio de Carga]]),"")</f>
        <v/>
      </c>
      <c r="AD960" s="11" t="str">
        <f>IFERROR(IF(MARÍTIMOS[[#This Row],[Etapa Despacho - Mitad de Carga]]="","",MARÍTIMOS[[#This Row],[Etapa Despacho - Mitad de Carga]]),"")</f>
        <v/>
      </c>
      <c r="AE960" s="11" t="str">
        <f>IFERROR(IF(MARÍTIMOS[[#This Row],[Etapa Despacho - Fin de Carga]]="","",MARÍTIMOS[[#This Row],[Etapa Despacho - Fin de Carga]]),"")</f>
        <v/>
      </c>
      <c r="AF960" s="2" t="str">
        <f>IFERROR(IF(MARÍTIMOS[[#This Row],[Puerto de Embarque]]="","",MARÍTIMOS[[#This Row],[Puerto de Embarque]]),"")</f>
        <v/>
      </c>
      <c r="AG960" s="2" t="str">
        <f>IFERROR(IF(MARÍTIMOS[[#This Row],[Almacén de Ingreso]]="","",MARÍTIMOS[[#This Row],[Almacén de Ingreso]]),"")</f>
        <v/>
      </c>
      <c r="AH960" s="11" t="str">
        <f>IFERROR(IF(MARÍTIMOS[[#This Row],[Etapa Ingreso - Cita]]="","",MARÍTIMOS[[#This Row],[Etapa Ingreso - Cita]]),"")</f>
        <v/>
      </c>
      <c r="AI960" s="11" t="str">
        <f>IFERROR(IF(MARÍTIMOS[[#This Row],[Etapa Ingreso - Llegada]]="","",MARÍTIMOS[[#This Row],[Etapa Ingreso - Llegada]]),"")</f>
        <v/>
      </c>
      <c r="AJ960" s="11" t="str">
        <f>IFERROR(IF(MARÍTIMOS[[#This Row],[Etapa Ingreso - Ingeso]]="","",MARÍTIMOS[[#This Row],[Etapa Ingreso - Ingeso]]),"")</f>
        <v/>
      </c>
      <c r="AK960" s="11" t="str">
        <f>IFERROR(IF(MARÍTIMOS[[#This Row],[Etapa Ingreso - Atención]]="","",MARÍTIMOS[[#This Row],[Etapa Ingreso - Atención]]),"")</f>
        <v/>
      </c>
      <c r="AL960" s="11" t="str">
        <f>IFERROR(IF(MARÍTIMOS[[#This Row],[Etapa Ingreso - Salida]]="","",MARÍTIMOS[[#This Row],[Etapa Ingreso - Salida]]),"")</f>
        <v/>
      </c>
      <c r="AM960" s="2" t="str">
        <f>IFERROR(IF(MARÍTIMOS[[#This Row],[FCL]]="","",MARÍTIMOS[[#This Row],[FCL]]),"")</f>
        <v/>
      </c>
      <c r="AN9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0" s="4" t="str" cm="1">
        <f t="array" ref="AO9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0" s="5" t="str">
        <f>IFERROR(OLDBD[[#This Row],[Llegada a packing]]-OLDBD[[#This Row],[Inicio de Ruta]],"")</f>
        <v/>
      </c>
      <c r="AQ960" s="6" t="str">
        <f>IFERROR(OLDBD[[#This Row],[Inicio de Ruta]]-OLDBD[[#This Row],[Salida de almacén de retiro]],"")</f>
        <v/>
      </c>
      <c r="AR9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0" s="8" t="str" cm="1">
        <f t="array" ref="AS9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0" s="9" t="str">
        <f>IFERROR(OLDBD[[#This Row],[Ingreso Packing]]-OLDBD[[#This Row],[Registro en Packing]],"")</f>
        <v/>
      </c>
      <c r="AV960" s="9" t="str">
        <f>IFERROR(OLDBD[[#This Row],[Ingreso Packing]]-OLDBD[[#This Row],[Llegada a packing]],"")</f>
        <v/>
      </c>
      <c r="AW9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0" s="5" t="str">
        <f>IFERROR(OLDBD[[#This Row],[Llegada Almacén de Ingreso]]-OLDBD[[#This Row],[Salida Packing]],"")</f>
        <v/>
      </c>
      <c r="AY960" s="4" t="str" cm="1">
        <f t="array" ref="AY9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0" s="43" t="s">
        <v>173</v>
      </c>
      <c r="BB960" s="47" t="str">
        <f>IFERROR(IF(MARÍTIMOS[[#This Row],[Estatus]]="","",MARÍTIMOS[[#This Row],[Estatus]]),"")</f>
        <v/>
      </c>
      <c r="BC960" s="43"/>
      <c r="BD960" s="46" t="str">
        <f>IFERROR(OLDBD[[#This Row],[Salida de almacén de retiro]]-OLDBD[[#This Row],[Ingreso Almacén de retiro]],"")</f>
        <v/>
      </c>
      <c r="BE960" s="46" t="str">
        <f>IFERROR(OLDBD[[#This Row],[Fin de Carga]]-OLDBD[[#This Row],[Inicio de Carga]],"")</f>
        <v/>
      </c>
    </row>
    <row r="961" spans="1:57" customFormat="1" hidden="1">
      <c r="A961" s="1"/>
      <c r="B961" s="1" t="str">
        <f>IFERROR(IF(MARÍTIMOS[[#This Row],[PP]]="","",MARÍTIMOS[[#This Row],[PP]]),"")</f>
        <v/>
      </c>
      <c r="C961" s="1" t="str">
        <f>IFERROR(IF(MARÍTIMOS[[#This Row],[Sede]]="","",MARÍTIMOS[[#This Row],[Sede]]),"")</f>
        <v/>
      </c>
      <c r="D961" s="1" t="str">
        <f>IFERROR(IF(MARÍTIMOS[[#This Row],[Instruction]]="","",MARÍTIMOS[[#This Row],[Instruction]]),"")</f>
        <v/>
      </c>
      <c r="E961" s="1"/>
      <c r="F961" s="2" t="str">
        <f>IFERROR(IF(MARÍTIMOS[[#This Row],[Transportista]]="","",MARÍTIMOS[[#This Row],[Transportista]]),"")</f>
        <v/>
      </c>
      <c r="G961" s="2" t="str">
        <f>IFERROR(IF(MARÍTIMOS[[#This Row],[Tercero]]="","",MARÍTIMOS[[#This Row],[Tercero]]),"")</f>
        <v/>
      </c>
      <c r="H961" s="2" t="str">
        <f>IFERROR(IF(MARÍTIMOS[[#This Row],[Razón Social]]="","",MARÍTIMOS[[#This Row],[Razón Social]]),"")</f>
        <v/>
      </c>
      <c r="I961" s="2" t="str">
        <f>IFERROR(IF(MARÍTIMOS[[#This Row],[RUC]]="","",MARÍTIMOS[[#This Row],[RUC]]),"")</f>
        <v/>
      </c>
      <c r="J961" s="2" t="str">
        <f>IFERROR(IF(MARÍTIMOS[[#This Row],[Placa Tracto]]="","",MARÍTIMOS[[#This Row],[Placa Tracto]]),"")</f>
        <v/>
      </c>
      <c r="K961" s="2" t="str">
        <f>IFERROR(IF(MARÍTIMOS[[#This Row],[Placa Carreta]]="","",MARÍTIMOS[[#This Row],[Placa Carreta]]),"")</f>
        <v/>
      </c>
      <c r="L961" s="44" t="str">
        <f>IFERROR(IF(MARÍTIMOS[[#This Row],[Conductor]]="","",MARÍTIMOS[[#This Row],[Conductor]]),"")</f>
        <v/>
      </c>
      <c r="M961" s="2" t="str">
        <f>IFERROR(IF(MARÍTIMOS[[#This Row],[Licencia]]="","",MARÍTIMOS[[#This Row],[Licencia]]),"")</f>
        <v/>
      </c>
      <c r="N961" s="2" t="str">
        <f>IFERROR(IF(MARÍTIMOS[[#This Row],[Número de Contacto]]="","",MARÍTIMOS[[#This Row],[Número de Contacto]]),"")</f>
        <v/>
      </c>
      <c r="O961" s="10" t="str">
        <f>IFERROR(IF(MARÍTIMOS[[#This Row],[Booking|AWB|CRT]]="","",MARÍTIMOS[[#This Row],[Booking|AWB|CRT]]),"")</f>
        <v/>
      </c>
      <c r="P961" s="2" t="str">
        <f>IFERROR(IF(MARÍTIMOS[[#This Row],[Contenedor]]="","",MARÍTIMOS[[#This Row],[Contenedor]]),"")</f>
        <v/>
      </c>
      <c r="Q961" s="2" t="str">
        <f>IFERROR(IF(MARÍTIMOS[[#This Row],[Puerto de Retiro]]="","",MARÍTIMOS[[#This Row],[Puerto de Retiro]]),"")</f>
        <v/>
      </c>
      <c r="R961" s="2" t="str">
        <f>IFERROR(IF(MARÍTIMOS[[#This Row],[Almacén de Retiro]]="","",MARÍTIMOS[[#This Row],[Almacén de Retiro]]),"")</f>
        <v/>
      </c>
      <c r="S961" s="11" t="str">
        <f>IFERROR(IF(MARÍTIMOS[[#This Row],[Etapa Retiro - Cita]]="","",MARÍTIMOS[[#This Row],[Etapa Retiro - Cita]]),"")</f>
        <v/>
      </c>
      <c r="T961" s="11" t="str">
        <f>IFERROR(IF(MARÍTIMOS[[#This Row],[Etapa Retiro - Llegada]]="","",MARÍTIMOS[[#This Row],[Etapa Retiro - Llegada]]),"")</f>
        <v/>
      </c>
      <c r="U961" s="11" t="str">
        <f>IFERROR(IF(MARÍTIMOS[[#This Row],[Etapa Retiro - Ingreso]]="","",MARÍTIMOS[[#This Row],[Etapa Retiro - Ingreso]]),"")</f>
        <v/>
      </c>
      <c r="V961" s="11" t="str">
        <f>IFERROR(IF(MARÍTIMOS[[#This Row],[Etapa Retiro - Atención]]="","",MARÍTIMOS[[#This Row],[Etapa Retiro - Atención]]),"")</f>
        <v/>
      </c>
      <c r="W961" s="11" t="str">
        <f>IFERROR(IF(MARÍTIMOS[[#This Row],[Etapa Retiro - Atención]]="","",MARÍTIMOS[[#This Row],[Etapa Retiro - Atención]]),"")</f>
        <v/>
      </c>
      <c r="X961" s="11" t="str">
        <f>IFERROR(IF(MARÍTIMOS[[#This Row],[Etapa Retiro - Inicio de Ruta]]="","",MARÍTIMOS[[#This Row],[Etapa Retiro - Inicio de Ruta]]),"")</f>
        <v/>
      </c>
      <c r="Y961" s="11" t="str">
        <f>IFERROR(IF(MARÍTIMOS[[#This Row],[Hora de Posicionamiento]]="","",MARÍTIMOS[[#This Row],[Fecha de Carga]]+MARÍTIMOS[[#This Row],[Hora de Posicionamiento]]),"")</f>
        <v/>
      </c>
      <c r="Z961" s="11" t="str">
        <f>IFERROR(IF(MARÍTIMOS[[#This Row],[Etapa Despacho - Llegada]]="","",MARÍTIMOS[[#This Row],[Etapa Despacho - Llegada]]),"")</f>
        <v/>
      </c>
      <c r="AA961" s="11" t="str">
        <f>IFERROR(IF(MARÍTIMOS[[#This Row],[Etapa Despacho - Registro]]="","",MARÍTIMOS[[#This Row],[Etapa Despacho - Registro]]),"")</f>
        <v/>
      </c>
      <c r="AB961" s="11" t="str">
        <f>IFERROR(IF(MARÍTIMOS[[#This Row],[Inspección Externa]]="","",MARÍTIMOS[[#This Row],[Inspección Externa]]),"")</f>
        <v/>
      </c>
      <c r="AC961" s="11" t="str">
        <f>IFERROR(IF(MARÍTIMOS[[#This Row],[Etapa Despacho - Inicio de Carga]]="","",MARÍTIMOS[[#This Row],[Etapa Despacho - Inicio de Carga]]),"")</f>
        <v/>
      </c>
      <c r="AD961" s="11" t="str">
        <f>IFERROR(IF(MARÍTIMOS[[#This Row],[Etapa Despacho - Mitad de Carga]]="","",MARÍTIMOS[[#This Row],[Etapa Despacho - Mitad de Carga]]),"")</f>
        <v/>
      </c>
      <c r="AE961" s="11" t="str">
        <f>IFERROR(IF(MARÍTIMOS[[#This Row],[Etapa Despacho - Fin de Carga]]="","",MARÍTIMOS[[#This Row],[Etapa Despacho - Fin de Carga]]),"")</f>
        <v/>
      </c>
      <c r="AF961" s="2" t="str">
        <f>IFERROR(IF(MARÍTIMOS[[#This Row],[Puerto de Embarque]]="","",MARÍTIMOS[[#This Row],[Puerto de Embarque]]),"")</f>
        <v/>
      </c>
      <c r="AG961" s="2" t="str">
        <f>IFERROR(IF(MARÍTIMOS[[#This Row],[Almacén de Ingreso]]="","",MARÍTIMOS[[#This Row],[Almacén de Ingreso]]),"")</f>
        <v/>
      </c>
      <c r="AH961" s="11" t="str">
        <f>IFERROR(IF(MARÍTIMOS[[#This Row],[Etapa Ingreso - Cita]]="","",MARÍTIMOS[[#This Row],[Etapa Ingreso - Cita]]),"")</f>
        <v/>
      </c>
      <c r="AI961" s="11" t="str">
        <f>IFERROR(IF(MARÍTIMOS[[#This Row],[Etapa Ingreso - Llegada]]="","",MARÍTIMOS[[#This Row],[Etapa Ingreso - Llegada]]),"")</f>
        <v/>
      </c>
      <c r="AJ961" s="11" t="str">
        <f>IFERROR(IF(MARÍTIMOS[[#This Row],[Etapa Ingreso - Ingeso]]="","",MARÍTIMOS[[#This Row],[Etapa Ingreso - Ingeso]]),"")</f>
        <v/>
      </c>
      <c r="AK961" s="11" t="str">
        <f>IFERROR(IF(MARÍTIMOS[[#This Row],[Etapa Ingreso - Atención]]="","",MARÍTIMOS[[#This Row],[Etapa Ingreso - Atención]]),"")</f>
        <v/>
      </c>
      <c r="AL961" s="11" t="str">
        <f>IFERROR(IF(MARÍTIMOS[[#This Row],[Etapa Ingreso - Salida]]="","",MARÍTIMOS[[#This Row],[Etapa Ingreso - Salida]]),"")</f>
        <v/>
      </c>
      <c r="AM961" s="2" t="str">
        <f>IFERROR(IF(MARÍTIMOS[[#This Row],[FCL]]="","",MARÍTIMOS[[#This Row],[FCL]]),"")</f>
        <v/>
      </c>
      <c r="AN9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1" s="4" t="str" cm="1">
        <f t="array" ref="AO9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1" s="5" t="str">
        <f>IFERROR(OLDBD[[#This Row],[Llegada a packing]]-OLDBD[[#This Row],[Inicio de Ruta]],"")</f>
        <v/>
      </c>
      <c r="AQ961" s="6" t="str">
        <f>IFERROR(OLDBD[[#This Row],[Inicio de Ruta]]-OLDBD[[#This Row],[Salida de almacén de retiro]],"")</f>
        <v/>
      </c>
      <c r="AR9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1" s="8" t="str" cm="1">
        <f t="array" ref="AS9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1" s="9" t="str">
        <f>IFERROR(OLDBD[[#This Row],[Ingreso Packing]]-OLDBD[[#This Row],[Registro en Packing]],"")</f>
        <v/>
      </c>
      <c r="AV961" s="9" t="str">
        <f>IFERROR(OLDBD[[#This Row],[Ingreso Packing]]-OLDBD[[#This Row],[Llegada a packing]],"")</f>
        <v/>
      </c>
      <c r="AW9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1" s="5" t="str">
        <f>IFERROR(OLDBD[[#This Row],[Llegada Almacén de Ingreso]]-OLDBD[[#This Row],[Salida Packing]],"")</f>
        <v/>
      </c>
      <c r="AY961" s="4" t="str" cm="1">
        <f t="array" ref="AY9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1" s="43" t="s">
        <v>173</v>
      </c>
      <c r="BB961" s="47" t="str">
        <f>IFERROR(IF(MARÍTIMOS[[#This Row],[Estatus]]="","",MARÍTIMOS[[#This Row],[Estatus]]),"")</f>
        <v/>
      </c>
      <c r="BC961" s="43"/>
      <c r="BD961" s="46" t="str">
        <f>IFERROR(OLDBD[[#This Row],[Salida de almacén de retiro]]-OLDBD[[#This Row],[Ingreso Almacén de retiro]],"")</f>
        <v/>
      </c>
      <c r="BE961" s="46" t="str">
        <f>IFERROR(OLDBD[[#This Row],[Fin de Carga]]-OLDBD[[#This Row],[Inicio de Carga]],"")</f>
        <v/>
      </c>
    </row>
    <row r="962" spans="1:57" customFormat="1" hidden="1">
      <c r="A962" s="1"/>
      <c r="B962" s="1" t="str">
        <f>IFERROR(IF(MARÍTIMOS[[#This Row],[PP]]="","",MARÍTIMOS[[#This Row],[PP]]),"")</f>
        <v/>
      </c>
      <c r="C962" s="1" t="str">
        <f>IFERROR(IF(MARÍTIMOS[[#This Row],[Sede]]="","",MARÍTIMOS[[#This Row],[Sede]]),"")</f>
        <v/>
      </c>
      <c r="D962" s="1" t="str">
        <f>IFERROR(IF(MARÍTIMOS[[#This Row],[Instruction]]="","",MARÍTIMOS[[#This Row],[Instruction]]),"")</f>
        <v/>
      </c>
      <c r="E962" s="1"/>
      <c r="F962" s="2" t="str">
        <f>IFERROR(IF(MARÍTIMOS[[#This Row],[Transportista]]="","",MARÍTIMOS[[#This Row],[Transportista]]),"")</f>
        <v/>
      </c>
      <c r="G962" s="2" t="str">
        <f>IFERROR(IF(MARÍTIMOS[[#This Row],[Tercero]]="","",MARÍTIMOS[[#This Row],[Tercero]]),"")</f>
        <v/>
      </c>
      <c r="H962" s="2" t="str">
        <f>IFERROR(IF(MARÍTIMOS[[#This Row],[Razón Social]]="","",MARÍTIMOS[[#This Row],[Razón Social]]),"")</f>
        <v/>
      </c>
      <c r="I962" s="2" t="str">
        <f>IFERROR(IF(MARÍTIMOS[[#This Row],[RUC]]="","",MARÍTIMOS[[#This Row],[RUC]]),"")</f>
        <v/>
      </c>
      <c r="J962" s="2" t="str">
        <f>IFERROR(IF(MARÍTIMOS[[#This Row],[Placa Tracto]]="","",MARÍTIMOS[[#This Row],[Placa Tracto]]),"")</f>
        <v/>
      </c>
      <c r="K962" s="2" t="str">
        <f>IFERROR(IF(MARÍTIMOS[[#This Row],[Placa Carreta]]="","",MARÍTIMOS[[#This Row],[Placa Carreta]]),"")</f>
        <v/>
      </c>
      <c r="L962" s="44" t="str">
        <f>IFERROR(IF(MARÍTIMOS[[#This Row],[Conductor]]="","",MARÍTIMOS[[#This Row],[Conductor]]),"")</f>
        <v/>
      </c>
      <c r="M962" s="2" t="str">
        <f>IFERROR(IF(MARÍTIMOS[[#This Row],[Licencia]]="","",MARÍTIMOS[[#This Row],[Licencia]]),"")</f>
        <v/>
      </c>
      <c r="N962" s="2" t="str">
        <f>IFERROR(IF(MARÍTIMOS[[#This Row],[Número de Contacto]]="","",MARÍTIMOS[[#This Row],[Número de Contacto]]),"")</f>
        <v/>
      </c>
      <c r="O962" s="10" t="str">
        <f>IFERROR(IF(MARÍTIMOS[[#This Row],[Booking|AWB|CRT]]="","",MARÍTIMOS[[#This Row],[Booking|AWB|CRT]]),"")</f>
        <v/>
      </c>
      <c r="P962" s="2" t="str">
        <f>IFERROR(IF(MARÍTIMOS[[#This Row],[Contenedor]]="","",MARÍTIMOS[[#This Row],[Contenedor]]),"")</f>
        <v/>
      </c>
      <c r="Q962" s="2" t="str">
        <f>IFERROR(IF(MARÍTIMOS[[#This Row],[Puerto de Retiro]]="","",MARÍTIMOS[[#This Row],[Puerto de Retiro]]),"")</f>
        <v/>
      </c>
      <c r="R962" s="2" t="str">
        <f>IFERROR(IF(MARÍTIMOS[[#This Row],[Almacén de Retiro]]="","",MARÍTIMOS[[#This Row],[Almacén de Retiro]]),"")</f>
        <v/>
      </c>
      <c r="S962" s="11" t="str">
        <f>IFERROR(IF(MARÍTIMOS[[#This Row],[Etapa Retiro - Cita]]="","",MARÍTIMOS[[#This Row],[Etapa Retiro - Cita]]),"")</f>
        <v/>
      </c>
      <c r="T962" s="11" t="str">
        <f>IFERROR(IF(MARÍTIMOS[[#This Row],[Etapa Retiro - Llegada]]="","",MARÍTIMOS[[#This Row],[Etapa Retiro - Llegada]]),"")</f>
        <v/>
      </c>
      <c r="U962" s="11" t="str">
        <f>IFERROR(IF(MARÍTIMOS[[#This Row],[Etapa Retiro - Ingreso]]="","",MARÍTIMOS[[#This Row],[Etapa Retiro - Ingreso]]),"")</f>
        <v/>
      </c>
      <c r="V962" s="11" t="str">
        <f>IFERROR(IF(MARÍTIMOS[[#This Row],[Etapa Retiro - Atención]]="","",MARÍTIMOS[[#This Row],[Etapa Retiro - Atención]]),"")</f>
        <v/>
      </c>
      <c r="W962" s="11" t="str">
        <f>IFERROR(IF(MARÍTIMOS[[#This Row],[Etapa Retiro - Atención]]="","",MARÍTIMOS[[#This Row],[Etapa Retiro - Atención]]),"")</f>
        <v/>
      </c>
      <c r="X962" s="11" t="str">
        <f>IFERROR(IF(MARÍTIMOS[[#This Row],[Etapa Retiro - Inicio de Ruta]]="","",MARÍTIMOS[[#This Row],[Etapa Retiro - Inicio de Ruta]]),"")</f>
        <v/>
      </c>
      <c r="Y962" s="11" t="str">
        <f>IFERROR(IF(MARÍTIMOS[[#This Row],[Hora de Posicionamiento]]="","",MARÍTIMOS[[#This Row],[Fecha de Carga]]+MARÍTIMOS[[#This Row],[Hora de Posicionamiento]]),"")</f>
        <v/>
      </c>
      <c r="Z962" s="11" t="str">
        <f>IFERROR(IF(MARÍTIMOS[[#This Row],[Etapa Despacho - Llegada]]="","",MARÍTIMOS[[#This Row],[Etapa Despacho - Llegada]]),"")</f>
        <v/>
      </c>
      <c r="AA962" s="11" t="str">
        <f>IFERROR(IF(MARÍTIMOS[[#This Row],[Etapa Despacho - Registro]]="","",MARÍTIMOS[[#This Row],[Etapa Despacho - Registro]]),"")</f>
        <v/>
      </c>
      <c r="AB962" s="11" t="str">
        <f>IFERROR(IF(MARÍTIMOS[[#This Row],[Inspección Externa]]="","",MARÍTIMOS[[#This Row],[Inspección Externa]]),"")</f>
        <v/>
      </c>
      <c r="AC962" s="11" t="str">
        <f>IFERROR(IF(MARÍTIMOS[[#This Row],[Etapa Despacho - Inicio de Carga]]="","",MARÍTIMOS[[#This Row],[Etapa Despacho - Inicio de Carga]]),"")</f>
        <v/>
      </c>
      <c r="AD962" s="11" t="str">
        <f>IFERROR(IF(MARÍTIMOS[[#This Row],[Etapa Despacho - Mitad de Carga]]="","",MARÍTIMOS[[#This Row],[Etapa Despacho - Mitad de Carga]]),"")</f>
        <v/>
      </c>
      <c r="AE962" s="11" t="str">
        <f>IFERROR(IF(MARÍTIMOS[[#This Row],[Etapa Despacho - Fin de Carga]]="","",MARÍTIMOS[[#This Row],[Etapa Despacho - Fin de Carga]]),"")</f>
        <v/>
      </c>
      <c r="AF962" s="2" t="str">
        <f>IFERROR(IF(MARÍTIMOS[[#This Row],[Puerto de Embarque]]="","",MARÍTIMOS[[#This Row],[Puerto de Embarque]]),"")</f>
        <v/>
      </c>
      <c r="AG962" s="2" t="str">
        <f>IFERROR(IF(MARÍTIMOS[[#This Row],[Almacén de Ingreso]]="","",MARÍTIMOS[[#This Row],[Almacén de Ingreso]]),"")</f>
        <v/>
      </c>
      <c r="AH962" s="11" t="str">
        <f>IFERROR(IF(MARÍTIMOS[[#This Row],[Etapa Ingreso - Cita]]="","",MARÍTIMOS[[#This Row],[Etapa Ingreso - Cita]]),"")</f>
        <v/>
      </c>
      <c r="AI962" s="11" t="str">
        <f>IFERROR(IF(MARÍTIMOS[[#This Row],[Etapa Ingreso - Llegada]]="","",MARÍTIMOS[[#This Row],[Etapa Ingreso - Llegada]]),"")</f>
        <v/>
      </c>
      <c r="AJ962" s="11" t="str">
        <f>IFERROR(IF(MARÍTIMOS[[#This Row],[Etapa Ingreso - Ingeso]]="","",MARÍTIMOS[[#This Row],[Etapa Ingreso - Ingeso]]),"")</f>
        <v/>
      </c>
      <c r="AK962" s="11" t="str">
        <f>IFERROR(IF(MARÍTIMOS[[#This Row],[Etapa Ingreso - Atención]]="","",MARÍTIMOS[[#This Row],[Etapa Ingreso - Atención]]),"")</f>
        <v/>
      </c>
      <c r="AL962" s="11" t="str">
        <f>IFERROR(IF(MARÍTIMOS[[#This Row],[Etapa Ingreso - Salida]]="","",MARÍTIMOS[[#This Row],[Etapa Ingreso - Salida]]),"")</f>
        <v/>
      </c>
      <c r="AM962" s="2" t="str">
        <f>IFERROR(IF(MARÍTIMOS[[#This Row],[FCL]]="","",MARÍTIMOS[[#This Row],[FCL]]),"")</f>
        <v/>
      </c>
      <c r="AN9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2" s="4" t="str" cm="1">
        <f t="array" ref="AO9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2" s="5" t="str">
        <f>IFERROR(OLDBD[[#This Row],[Llegada a packing]]-OLDBD[[#This Row],[Inicio de Ruta]],"")</f>
        <v/>
      </c>
      <c r="AQ962" s="6" t="str">
        <f>IFERROR(OLDBD[[#This Row],[Inicio de Ruta]]-OLDBD[[#This Row],[Salida de almacén de retiro]],"")</f>
        <v/>
      </c>
      <c r="AR9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2" s="8" t="str" cm="1">
        <f t="array" ref="AS9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2" s="9" t="str">
        <f>IFERROR(OLDBD[[#This Row],[Ingreso Packing]]-OLDBD[[#This Row],[Registro en Packing]],"")</f>
        <v/>
      </c>
      <c r="AV962" s="9" t="str">
        <f>IFERROR(OLDBD[[#This Row],[Ingreso Packing]]-OLDBD[[#This Row],[Llegada a packing]],"")</f>
        <v/>
      </c>
      <c r="AW9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2" s="5" t="str">
        <f>IFERROR(OLDBD[[#This Row],[Llegada Almacén de Ingreso]]-OLDBD[[#This Row],[Salida Packing]],"")</f>
        <v/>
      </c>
      <c r="AY962" s="4" t="str" cm="1">
        <f t="array" ref="AY9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2" s="43" t="s">
        <v>173</v>
      </c>
      <c r="BB962" s="47" t="str">
        <f>IFERROR(IF(MARÍTIMOS[[#This Row],[Estatus]]="","",MARÍTIMOS[[#This Row],[Estatus]]),"")</f>
        <v/>
      </c>
      <c r="BC962" s="43"/>
      <c r="BD962" s="46" t="str">
        <f>IFERROR(OLDBD[[#This Row],[Salida de almacén de retiro]]-OLDBD[[#This Row],[Ingreso Almacén de retiro]],"")</f>
        <v/>
      </c>
      <c r="BE962" s="46" t="str">
        <f>IFERROR(OLDBD[[#This Row],[Fin de Carga]]-OLDBD[[#This Row],[Inicio de Carga]],"")</f>
        <v/>
      </c>
    </row>
    <row r="963" spans="1:57" customFormat="1" hidden="1">
      <c r="A963" s="1"/>
      <c r="B963" s="1" t="str">
        <f>IFERROR(IF(MARÍTIMOS[[#This Row],[PP]]="","",MARÍTIMOS[[#This Row],[PP]]),"")</f>
        <v/>
      </c>
      <c r="C963" s="1" t="str">
        <f>IFERROR(IF(MARÍTIMOS[[#This Row],[Sede]]="","",MARÍTIMOS[[#This Row],[Sede]]),"")</f>
        <v/>
      </c>
      <c r="D963" s="1" t="str">
        <f>IFERROR(IF(MARÍTIMOS[[#This Row],[Instruction]]="","",MARÍTIMOS[[#This Row],[Instruction]]),"")</f>
        <v/>
      </c>
      <c r="E963" s="1"/>
      <c r="F963" s="2" t="str">
        <f>IFERROR(IF(MARÍTIMOS[[#This Row],[Transportista]]="","",MARÍTIMOS[[#This Row],[Transportista]]),"")</f>
        <v/>
      </c>
      <c r="G963" s="2" t="str">
        <f>IFERROR(IF(MARÍTIMOS[[#This Row],[Tercero]]="","",MARÍTIMOS[[#This Row],[Tercero]]),"")</f>
        <v/>
      </c>
      <c r="H963" s="2" t="str">
        <f>IFERROR(IF(MARÍTIMOS[[#This Row],[Razón Social]]="","",MARÍTIMOS[[#This Row],[Razón Social]]),"")</f>
        <v/>
      </c>
      <c r="I963" s="2" t="str">
        <f>IFERROR(IF(MARÍTIMOS[[#This Row],[RUC]]="","",MARÍTIMOS[[#This Row],[RUC]]),"")</f>
        <v/>
      </c>
      <c r="J963" s="2" t="str">
        <f>IFERROR(IF(MARÍTIMOS[[#This Row],[Placa Tracto]]="","",MARÍTIMOS[[#This Row],[Placa Tracto]]),"")</f>
        <v/>
      </c>
      <c r="K963" s="2" t="str">
        <f>IFERROR(IF(MARÍTIMOS[[#This Row],[Placa Carreta]]="","",MARÍTIMOS[[#This Row],[Placa Carreta]]),"")</f>
        <v/>
      </c>
      <c r="L963" s="44" t="str">
        <f>IFERROR(IF(MARÍTIMOS[[#This Row],[Conductor]]="","",MARÍTIMOS[[#This Row],[Conductor]]),"")</f>
        <v/>
      </c>
      <c r="M963" s="2" t="str">
        <f>IFERROR(IF(MARÍTIMOS[[#This Row],[Licencia]]="","",MARÍTIMOS[[#This Row],[Licencia]]),"")</f>
        <v/>
      </c>
      <c r="N963" s="2" t="str">
        <f>IFERROR(IF(MARÍTIMOS[[#This Row],[Número de Contacto]]="","",MARÍTIMOS[[#This Row],[Número de Contacto]]),"")</f>
        <v/>
      </c>
      <c r="O963" s="10" t="str">
        <f>IFERROR(IF(MARÍTIMOS[[#This Row],[Booking|AWB|CRT]]="","",MARÍTIMOS[[#This Row],[Booking|AWB|CRT]]),"")</f>
        <v/>
      </c>
      <c r="P963" s="2" t="str">
        <f>IFERROR(IF(MARÍTIMOS[[#This Row],[Contenedor]]="","",MARÍTIMOS[[#This Row],[Contenedor]]),"")</f>
        <v/>
      </c>
      <c r="Q963" s="2" t="str">
        <f>IFERROR(IF(MARÍTIMOS[[#This Row],[Puerto de Retiro]]="","",MARÍTIMOS[[#This Row],[Puerto de Retiro]]),"")</f>
        <v/>
      </c>
      <c r="R963" s="2" t="str">
        <f>IFERROR(IF(MARÍTIMOS[[#This Row],[Almacén de Retiro]]="","",MARÍTIMOS[[#This Row],[Almacén de Retiro]]),"")</f>
        <v/>
      </c>
      <c r="S963" s="11" t="str">
        <f>IFERROR(IF(MARÍTIMOS[[#This Row],[Etapa Retiro - Cita]]="","",MARÍTIMOS[[#This Row],[Etapa Retiro - Cita]]),"")</f>
        <v/>
      </c>
      <c r="T963" s="11" t="str">
        <f>IFERROR(IF(MARÍTIMOS[[#This Row],[Etapa Retiro - Llegada]]="","",MARÍTIMOS[[#This Row],[Etapa Retiro - Llegada]]),"")</f>
        <v/>
      </c>
      <c r="U963" s="11" t="str">
        <f>IFERROR(IF(MARÍTIMOS[[#This Row],[Etapa Retiro - Ingreso]]="","",MARÍTIMOS[[#This Row],[Etapa Retiro - Ingreso]]),"")</f>
        <v/>
      </c>
      <c r="V963" s="11" t="str">
        <f>IFERROR(IF(MARÍTIMOS[[#This Row],[Etapa Retiro - Atención]]="","",MARÍTIMOS[[#This Row],[Etapa Retiro - Atención]]),"")</f>
        <v/>
      </c>
      <c r="W963" s="11" t="str">
        <f>IFERROR(IF(MARÍTIMOS[[#This Row],[Etapa Retiro - Atención]]="","",MARÍTIMOS[[#This Row],[Etapa Retiro - Atención]]),"")</f>
        <v/>
      </c>
      <c r="X963" s="11" t="str">
        <f>IFERROR(IF(MARÍTIMOS[[#This Row],[Etapa Retiro - Inicio de Ruta]]="","",MARÍTIMOS[[#This Row],[Etapa Retiro - Inicio de Ruta]]),"")</f>
        <v/>
      </c>
      <c r="Y963" s="11" t="str">
        <f>IFERROR(IF(MARÍTIMOS[[#This Row],[Hora de Posicionamiento]]="","",MARÍTIMOS[[#This Row],[Fecha de Carga]]+MARÍTIMOS[[#This Row],[Hora de Posicionamiento]]),"")</f>
        <v/>
      </c>
      <c r="Z963" s="11" t="str">
        <f>IFERROR(IF(MARÍTIMOS[[#This Row],[Etapa Despacho - Llegada]]="","",MARÍTIMOS[[#This Row],[Etapa Despacho - Llegada]]),"")</f>
        <v/>
      </c>
      <c r="AA963" s="11" t="str">
        <f>IFERROR(IF(MARÍTIMOS[[#This Row],[Etapa Despacho - Registro]]="","",MARÍTIMOS[[#This Row],[Etapa Despacho - Registro]]),"")</f>
        <v/>
      </c>
      <c r="AB963" s="11" t="str">
        <f>IFERROR(IF(MARÍTIMOS[[#This Row],[Inspección Externa]]="","",MARÍTIMOS[[#This Row],[Inspección Externa]]),"")</f>
        <v/>
      </c>
      <c r="AC963" s="11" t="str">
        <f>IFERROR(IF(MARÍTIMOS[[#This Row],[Etapa Despacho - Inicio de Carga]]="","",MARÍTIMOS[[#This Row],[Etapa Despacho - Inicio de Carga]]),"")</f>
        <v/>
      </c>
      <c r="AD963" s="11" t="str">
        <f>IFERROR(IF(MARÍTIMOS[[#This Row],[Etapa Despacho - Mitad de Carga]]="","",MARÍTIMOS[[#This Row],[Etapa Despacho - Mitad de Carga]]),"")</f>
        <v/>
      </c>
      <c r="AE963" s="11" t="str">
        <f>IFERROR(IF(MARÍTIMOS[[#This Row],[Etapa Despacho - Fin de Carga]]="","",MARÍTIMOS[[#This Row],[Etapa Despacho - Fin de Carga]]),"")</f>
        <v/>
      </c>
      <c r="AF963" s="2" t="str">
        <f>IFERROR(IF(MARÍTIMOS[[#This Row],[Puerto de Embarque]]="","",MARÍTIMOS[[#This Row],[Puerto de Embarque]]),"")</f>
        <v/>
      </c>
      <c r="AG963" s="2" t="str">
        <f>IFERROR(IF(MARÍTIMOS[[#This Row],[Almacén de Ingreso]]="","",MARÍTIMOS[[#This Row],[Almacén de Ingreso]]),"")</f>
        <v/>
      </c>
      <c r="AH963" s="11" t="str">
        <f>IFERROR(IF(MARÍTIMOS[[#This Row],[Etapa Ingreso - Cita]]="","",MARÍTIMOS[[#This Row],[Etapa Ingreso - Cita]]),"")</f>
        <v/>
      </c>
      <c r="AI963" s="11" t="str">
        <f>IFERROR(IF(MARÍTIMOS[[#This Row],[Etapa Ingreso - Llegada]]="","",MARÍTIMOS[[#This Row],[Etapa Ingreso - Llegada]]),"")</f>
        <v/>
      </c>
      <c r="AJ963" s="11" t="str">
        <f>IFERROR(IF(MARÍTIMOS[[#This Row],[Etapa Ingreso - Ingeso]]="","",MARÍTIMOS[[#This Row],[Etapa Ingreso - Ingeso]]),"")</f>
        <v/>
      </c>
      <c r="AK963" s="11" t="str">
        <f>IFERROR(IF(MARÍTIMOS[[#This Row],[Etapa Ingreso - Atención]]="","",MARÍTIMOS[[#This Row],[Etapa Ingreso - Atención]]),"")</f>
        <v/>
      </c>
      <c r="AL963" s="11" t="str">
        <f>IFERROR(IF(MARÍTIMOS[[#This Row],[Etapa Ingreso - Salida]]="","",MARÍTIMOS[[#This Row],[Etapa Ingreso - Salida]]),"")</f>
        <v/>
      </c>
      <c r="AM963" s="2" t="str">
        <f>IFERROR(IF(MARÍTIMOS[[#This Row],[FCL]]="","",MARÍTIMOS[[#This Row],[FCL]]),"")</f>
        <v/>
      </c>
      <c r="AN9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3" s="4" t="str" cm="1">
        <f t="array" ref="AO9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3" s="5" t="str">
        <f>IFERROR(OLDBD[[#This Row],[Llegada a packing]]-OLDBD[[#This Row],[Inicio de Ruta]],"")</f>
        <v/>
      </c>
      <c r="AQ963" s="6" t="str">
        <f>IFERROR(OLDBD[[#This Row],[Inicio de Ruta]]-OLDBD[[#This Row],[Salida de almacén de retiro]],"")</f>
        <v/>
      </c>
      <c r="AR9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3" s="8" t="str" cm="1">
        <f t="array" ref="AS9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3" s="9" t="str">
        <f>IFERROR(OLDBD[[#This Row],[Ingreso Packing]]-OLDBD[[#This Row],[Registro en Packing]],"")</f>
        <v/>
      </c>
      <c r="AV963" s="9" t="str">
        <f>IFERROR(OLDBD[[#This Row],[Ingreso Packing]]-OLDBD[[#This Row],[Llegada a packing]],"")</f>
        <v/>
      </c>
      <c r="AW9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3" s="5" t="str">
        <f>IFERROR(OLDBD[[#This Row],[Llegada Almacén de Ingreso]]-OLDBD[[#This Row],[Salida Packing]],"")</f>
        <v/>
      </c>
      <c r="AY963" s="4" t="str" cm="1">
        <f t="array" ref="AY9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3" s="43" t="s">
        <v>173</v>
      </c>
      <c r="BB963" s="47" t="str">
        <f>IFERROR(IF(MARÍTIMOS[[#This Row],[Estatus]]="","",MARÍTIMOS[[#This Row],[Estatus]]),"")</f>
        <v/>
      </c>
      <c r="BC963" s="43"/>
      <c r="BD963" s="46" t="str">
        <f>IFERROR(OLDBD[[#This Row],[Salida de almacén de retiro]]-OLDBD[[#This Row],[Ingreso Almacén de retiro]],"")</f>
        <v/>
      </c>
      <c r="BE963" s="46" t="str">
        <f>IFERROR(OLDBD[[#This Row],[Fin de Carga]]-OLDBD[[#This Row],[Inicio de Carga]],"")</f>
        <v/>
      </c>
    </row>
    <row r="964" spans="1:57" customFormat="1" hidden="1">
      <c r="A964" s="1"/>
      <c r="B964" s="1" t="str">
        <f>IFERROR(IF(MARÍTIMOS[[#This Row],[PP]]="","",MARÍTIMOS[[#This Row],[PP]]),"")</f>
        <v/>
      </c>
      <c r="C964" s="1" t="str">
        <f>IFERROR(IF(MARÍTIMOS[[#This Row],[Sede]]="","",MARÍTIMOS[[#This Row],[Sede]]),"")</f>
        <v/>
      </c>
      <c r="D964" s="1" t="str">
        <f>IFERROR(IF(MARÍTIMOS[[#This Row],[Instruction]]="","",MARÍTIMOS[[#This Row],[Instruction]]),"")</f>
        <v/>
      </c>
      <c r="E964" s="1"/>
      <c r="F964" s="2" t="str">
        <f>IFERROR(IF(MARÍTIMOS[[#This Row],[Transportista]]="","",MARÍTIMOS[[#This Row],[Transportista]]),"")</f>
        <v/>
      </c>
      <c r="G964" s="2" t="str">
        <f>IFERROR(IF(MARÍTIMOS[[#This Row],[Tercero]]="","",MARÍTIMOS[[#This Row],[Tercero]]),"")</f>
        <v/>
      </c>
      <c r="H964" s="2" t="str">
        <f>IFERROR(IF(MARÍTIMOS[[#This Row],[Razón Social]]="","",MARÍTIMOS[[#This Row],[Razón Social]]),"")</f>
        <v/>
      </c>
      <c r="I964" s="2" t="str">
        <f>IFERROR(IF(MARÍTIMOS[[#This Row],[RUC]]="","",MARÍTIMOS[[#This Row],[RUC]]),"")</f>
        <v/>
      </c>
      <c r="J964" s="2" t="str">
        <f>IFERROR(IF(MARÍTIMOS[[#This Row],[Placa Tracto]]="","",MARÍTIMOS[[#This Row],[Placa Tracto]]),"")</f>
        <v/>
      </c>
      <c r="K964" s="2" t="str">
        <f>IFERROR(IF(MARÍTIMOS[[#This Row],[Placa Carreta]]="","",MARÍTIMOS[[#This Row],[Placa Carreta]]),"")</f>
        <v/>
      </c>
      <c r="L964" s="44" t="str">
        <f>IFERROR(IF(MARÍTIMOS[[#This Row],[Conductor]]="","",MARÍTIMOS[[#This Row],[Conductor]]),"")</f>
        <v/>
      </c>
      <c r="M964" s="2" t="str">
        <f>IFERROR(IF(MARÍTIMOS[[#This Row],[Licencia]]="","",MARÍTIMOS[[#This Row],[Licencia]]),"")</f>
        <v/>
      </c>
      <c r="N964" s="2" t="str">
        <f>IFERROR(IF(MARÍTIMOS[[#This Row],[Número de Contacto]]="","",MARÍTIMOS[[#This Row],[Número de Contacto]]),"")</f>
        <v/>
      </c>
      <c r="O964" s="10" t="str">
        <f>IFERROR(IF(MARÍTIMOS[[#This Row],[Booking|AWB|CRT]]="","",MARÍTIMOS[[#This Row],[Booking|AWB|CRT]]),"")</f>
        <v/>
      </c>
      <c r="P964" s="2" t="str">
        <f>IFERROR(IF(MARÍTIMOS[[#This Row],[Contenedor]]="","",MARÍTIMOS[[#This Row],[Contenedor]]),"")</f>
        <v/>
      </c>
      <c r="Q964" s="2" t="str">
        <f>IFERROR(IF(MARÍTIMOS[[#This Row],[Puerto de Retiro]]="","",MARÍTIMOS[[#This Row],[Puerto de Retiro]]),"")</f>
        <v/>
      </c>
      <c r="R964" s="2" t="str">
        <f>IFERROR(IF(MARÍTIMOS[[#This Row],[Almacén de Retiro]]="","",MARÍTIMOS[[#This Row],[Almacén de Retiro]]),"")</f>
        <v/>
      </c>
      <c r="S964" s="11" t="str">
        <f>IFERROR(IF(MARÍTIMOS[[#This Row],[Etapa Retiro - Cita]]="","",MARÍTIMOS[[#This Row],[Etapa Retiro - Cita]]),"")</f>
        <v/>
      </c>
      <c r="T964" s="11" t="str">
        <f>IFERROR(IF(MARÍTIMOS[[#This Row],[Etapa Retiro - Llegada]]="","",MARÍTIMOS[[#This Row],[Etapa Retiro - Llegada]]),"")</f>
        <v/>
      </c>
      <c r="U964" s="11" t="str">
        <f>IFERROR(IF(MARÍTIMOS[[#This Row],[Etapa Retiro - Ingreso]]="","",MARÍTIMOS[[#This Row],[Etapa Retiro - Ingreso]]),"")</f>
        <v/>
      </c>
      <c r="V964" s="11" t="str">
        <f>IFERROR(IF(MARÍTIMOS[[#This Row],[Etapa Retiro - Atención]]="","",MARÍTIMOS[[#This Row],[Etapa Retiro - Atención]]),"")</f>
        <v/>
      </c>
      <c r="W964" s="11" t="str">
        <f>IFERROR(IF(MARÍTIMOS[[#This Row],[Etapa Retiro - Atención]]="","",MARÍTIMOS[[#This Row],[Etapa Retiro - Atención]]),"")</f>
        <v/>
      </c>
      <c r="X964" s="11" t="str">
        <f>IFERROR(IF(MARÍTIMOS[[#This Row],[Etapa Retiro - Inicio de Ruta]]="","",MARÍTIMOS[[#This Row],[Etapa Retiro - Inicio de Ruta]]),"")</f>
        <v/>
      </c>
      <c r="Y964" s="11" t="str">
        <f>IFERROR(IF(MARÍTIMOS[[#This Row],[Hora de Posicionamiento]]="","",MARÍTIMOS[[#This Row],[Fecha de Carga]]+MARÍTIMOS[[#This Row],[Hora de Posicionamiento]]),"")</f>
        <v/>
      </c>
      <c r="Z964" s="11" t="str">
        <f>IFERROR(IF(MARÍTIMOS[[#This Row],[Etapa Despacho - Llegada]]="","",MARÍTIMOS[[#This Row],[Etapa Despacho - Llegada]]),"")</f>
        <v/>
      </c>
      <c r="AA964" s="11" t="str">
        <f>IFERROR(IF(MARÍTIMOS[[#This Row],[Etapa Despacho - Registro]]="","",MARÍTIMOS[[#This Row],[Etapa Despacho - Registro]]),"")</f>
        <v/>
      </c>
      <c r="AB964" s="11" t="str">
        <f>IFERROR(IF(MARÍTIMOS[[#This Row],[Inspección Externa]]="","",MARÍTIMOS[[#This Row],[Inspección Externa]]),"")</f>
        <v/>
      </c>
      <c r="AC964" s="11" t="str">
        <f>IFERROR(IF(MARÍTIMOS[[#This Row],[Etapa Despacho - Inicio de Carga]]="","",MARÍTIMOS[[#This Row],[Etapa Despacho - Inicio de Carga]]),"")</f>
        <v/>
      </c>
      <c r="AD964" s="11" t="str">
        <f>IFERROR(IF(MARÍTIMOS[[#This Row],[Etapa Despacho - Mitad de Carga]]="","",MARÍTIMOS[[#This Row],[Etapa Despacho - Mitad de Carga]]),"")</f>
        <v/>
      </c>
      <c r="AE964" s="11" t="str">
        <f>IFERROR(IF(MARÍTIMOS[[#This Row],[Etapa Despacho - Fin de Carga]]="","",MARÍTIMOS[[#This Row],[Etapa Despacho - Fin de Carga]]),"")</f>
        <v/>
      </c>
      <c r="AF964" s="2" t="str">
        <f>IFERROR(IF(MARÍTIMOS[[#This Row],[Puerto de Embarque]]="","",MARÍTIMOS[[#This Row],[Puerto de Embarque]]),"")</f>
        <v/>
      </c>
      <c r="AG964" s="2" t="str">
        <f>IFERROR(IF(MARÍTIMOS[[#This Row],[Almacén de Ingreso]]="","",MARÍTIMOS[[#This Row],[Almacén de Ingreso]]),"")</f>
        <v/>
      </c>
      <c r="AH964" s="11" t="str">
        <f>IFERROR(IF(MARÍTIMOS[[#This Row],[Etapa Ingreso - Cita]]="","",MARÍTIMOS[[#This Row],[Etapa Ingreso - Cita]]),"")</f>
        <v/>
      </c>
      <c r="AI964" s="11" t="str">
        <f>IFERROR(IF(MARÍTIMOS[[#This Row],[Etapa Ingreso - Llegada]]="","",MARÍTIMOS[[#This Row],[Etapa Ingreso - Llegada]]),"")</f>
        <v/>
      </c>
      <c r="AJ964" s="11" t="str">
        <f>IFERROR(IF(MARÍTIMOS[[#This Row],[Etapa Ingreso - Ingeso]]="","",MARÍTIMOS[[#This Row],[Etapa Ingreso - Ingeso]]),"")</f>
        <v/>
      </c>
      <c r="AK964" s="11" t="str">
        <f>IFERROR(IF(MARÍTIMOS[[#This Row],[Etapa Ingreso - Atención]]="","",MARÍTIMOS[[#This Row],[Etapa Ingreso - Atención]]),"")</f>
        <v/>
      </c>
      <c r="AL964" s="11" t="str">
        <f>IFERROR(IF(MARÍTIMOS[[#This Row],[Etapa Ingreso - Salida]]="","",MARÍTIMOS[[#This Row],[Etapa Ingreso - Salida]]),"")</f>
        <v/>
      </c>
      <c r="AM964" s="2" t="str">
        <f>IFERROR(IF(MARÍTIMOS[[#This Row],[FCL]]="","",MARÍTIMOS[[#This Row],[FCL]]),"")</f>
        <v/>
      </c>
      <c r="AN9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4" s="4" t="str" cm="1">
        <f t="array" ref="AO9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4" s="5" t="str">
        <f>IFERROR(OLDBD[[#This Row],[Llegada a packing]]-OLDBD[[#This Row],[Inicio de Ruta]],"")</f>
        <v/>
      </c>
      <c r="AQ964" s="6" t="str">
        <f>IFERROR(OLDBD[[#This Row],[Inicio de Ruta]]-OLDBD[[#This Row],[Salida de almacén de retiro]],"")</f>
        <v/>
      </c>
      <c r="AR9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4" s="8" t="str" cm="1">
        <f t="array" ref="AS9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4" s="9" t="str">
        <f>IFERROR(OLDBD[[#This Row],[Ingreso Packing]]-OLDBD[[#This Row],[Registro en Packing]],"")</f>
        <v/>
      </c>
      <c r="AV964" s="9" t="str">
        <f>IFERROR(OLDBD[[#This Row],[Ingreso Packing]]-OLDBD[[#This Row],[Llegada a packing]],"")</f>
        <v/>
      </c>
      <c r="AW9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4" s="5" t="str">
        <f>IFERROR(OLDBD[[#This Row],[Llegada Almacén de Ingreso]]-OLDBD[[#This Row],[Salida Packing]],"")</f>
        <v/>
      </c>
      <c r="AY964" s="4" t="str" cm="1">
        <f t="array" ref="AY9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4" s="43" t="s">
        <v>173</v>
      </c>
      <c r="BB964" s="47" t="str">
        <f>IFERROR(IF(MARÍTIMOS[[#This Row],[Estatus]]="","",MARÍTIMOS[[#This Row],[Estatus]]),"")</f>
        <v/>
      </c>
      <c r="BC964" s="43"/>
      <c r="BD964" s="46" t="str">
        <f>IFERROR(OLDBD[[#This Row],[Salida de almacén de retiro]]-OLDBD[[#This Row],[Ingreso Almacén de retiro]],"")</f>
        <v/>
      </c>
      <c r="BE964" s="46" t="str">
        <f>IFERROR(OLDBD[[#This Row],[Fin de Carga]]-OLDBD[[#This Row],[Inicio de Carga]],"")</f>
        <v/>
      </c>
    </row>
    <row r="965" spans="1:57" customFormat="1" hidden="1">
      <c r="A965" s="1"/>
      <c r="B965" s="1" t="str">
        <f>IFERROR(IF(MARÍTIMOS[[#This Row],[PP]]="","",MARÍTIMOS[[#This Row],[PP]]),"")</f>
        <v/>
      </c>
      <c r="C965" s="1" t="str">
        <f>IFERROR(IF(MARÍTIMOS[[#This Row],[Sede]]="","",MARÍTIMOS[[#This Row],[Sede]]),"")</f>
        <v/>
      </c>
      <c r="D965" s="1" t="str">
        <f>IFERROR(IF(MARÍTIMOS[[#This Row],[Instruction]]="","",MARÍTIMOS[[#This Row],[Instruction]]),"")</f>
        <v/>
      </c>
      <c r="E965" s="1"/>
      <c r="F965" s="2" t="str">
        <f>IFERROR(IF(MARÍTIMOS[[#This Row],[Transportista]]="","",MARÍTIMOS[[#This Row],[Transportista]]),"")</f>
        <v/>
      </c>
      <c r="G965" s="2" t="str">
        <f>IFERROR(IF(MARÍTIMOS[[#This Row],[Tercero]]="","",MARÍTIMOS[[#This Row],[Tercero]]),"")</f>
        <v/>
      </c>
      <c r="H965" s="2" t="str">
        <f>IFERROR(IF(MARÍTIMOS[[#This Row],[Razón Social]]="","",MARÍTIMOS[[#This Row],[Razón Social]]),"")</f>
        <v/>
      </c>
      <c r="I965" s="2" t="str">
        <f>IFERROR(IF(MARÍTIMOS[[#This Row],[RUC]]="","",MARÍTIMOS[[#This Row],[RUC]]),"")</f>
        <v/>
      </c>
      <c r="J965" s="2" t="str">
        <f>IFERROR(IF(MARÍTIMOS[[#This Row],[Placa Tracto]]="","",MARÍTIMOS[[#This Row],[Placa Tracto]]),"")</f>
        <v/>
      </c>
      <c r="K965" s="2" t="str">
        <f>IFERROR(IF(MARÍTIMOS[[#This Row],[Placa Carreta]]="","",MARÍTIMOS[[#This Row],[Placa Carreta]]),"")</f>
        <v/>
      </c>
      <c r="L965" s="44" t="str">
        <f>IFERROR(IF(MARÍTIMOS[[#This Row],[Conductor]]="","",MARÍTIMOS[[#This Row],[Conductor]]),"")</f>
        <v/>
      </c>
      <c r="M965" s="2" t="str">
        <f>IFERROR(IF(MARÍTIMOS[[#This Row],[Licencia]]="","",MARÍTIMOS[[#This Row],[Licencia]]),"")</f>
        <v/>
      </c>
      <c r="N965" s="2" t="str">
        <f>IFERROR(IF(MARÍTIMOS[[#This Row],[Número de Contacto]]="","",MARÍTIMOS[[#This Row],[Número de Contacto]]),"")</f>
        <v/>
      </c>
      <c r="O965" s="10" t="str">
        <f>IFERROR(IF(MARÍTIMOS[[#This Row],[Booking|AWB|CRT]]="","",MARÍTIMOS[[#This Row],[Booking|AWB|CRT]]),"")</f>
        <v/>
      </c>
      <c r="P965" s="2" t="str">
        <f>IFERROR(IF(MARÍTIMOS[[#This Row],[Contenedor]]="","",MARÍTIMOS[[#This Row],[Contenedor]]),"")</f>
        <v/>
      </c>
      <c r="Q965" s="2" t="str">
        <f>IFERROR(IF(MARÍTIMOS[[#This Row],[Puerto de Retiro]]="","",MARÍTIMOS[[#This Row],[Puerto de Retiro]]),"")</f>
        <v/>
      </c>
      <c r="R965" s="2" t="str">
        <f>IFERROR(IF(MARÍTIMOS[[#This Row],[Almacén de Retiro]]="","",MARÍTIMOS[[#This Row],[Almacén de Retiro]]),"")</f>
        <v/>
      </c>
      <c r="S965" s="11" t="str">
        <f>IFERROR(IF(MARÍTIMOS[[#This Row],[Etapa Retiro - Cita]]="","",MARÍTIMOS[[#This Row],[Etapa Retiro - Cita]]),"")</f>
        <v/>
      </c>
      <c r="T965" s="11" t="str">
        <f>IFERROR(IF(MARÍTIMOS[[#This Row],[Etapa Retiro - Llegada]]="","",MARÍTIMOS[[#This Row],[Etapa Retiro - Llegada]]),"")</f>
        <v/>
      </c>
      <c r="U965" s="11" t="str">
        <f>IFERROR(IF(MARÍTIMOS[[#This Row],[Etapa Retiro - Ingreso]]="","",MARÍTIMOS[[#This Row],[Etapa Retiro - Ingreso]]),"")</f>
        <v/>
      </c>
      <c r="V965" s="11" t="str">
        <f>IFERROR(IF(MARÍTIMOS[[#This Row],[Etapa Retiro - Atención]]="","",MARÍTIMOS[[#This Row],[Etapa Retiro - Atención]]),"")</f>
        <v/>
      </c>
      <c r="W965" s="11" t="str">
        <f>IFERROR(IF(MARÍTIMOS[[#This Row],[Etapa Retiro - Atención]]="","",MARÍTIMOS[[#This Row],[Etapa Retiro - Atención]]),"")</f>
        <v/>
      </c>
      <c r="X965" s="11" t="str">
        <f>IFERROR(IF(MARÍTIMOS[[#This Row],[Etapa Retiro - Inicio de Ruta]]="","",MARÍTIMOS[[#This Row],[Etapa Retiro - Inicio de Ruta]]),"")</f>
        <v/>
      </c>
      <c r="Y965" s="11" t="str">
        <f>IFERROR(IF(MARÍTIMOS[[#This Row],[Hora de Posicionamiento]]="","",MARÍTIMOS[[#This Row],[Fecha de Carga]]+MARÍTIMOS[[#This Row],[Hora de Posicionamiento]]),"")</f>
        <v/>
      </c>
      <c r="Z965" s="11" t="str">
        <f>IFERROR(IF(MARÍTIMOS[[#This Row],[Etapa Despacho - Llegada]]="","",MARÍTIMOS[[#This Row],[Etapa Despacho - Llegada]]),"")</f>
        <v/>
      </c>
      <c r="AA965" s="11" t="str">
        <f>IFERROR(IF(MARÍTIMOS[[#This Row],[Etapa Despacho - Registro]]="","",MARÍTIMOS[[#This Row],[Etapa Despacho - Registro]]),"")</f>
        <v/>
      </c>
      <c r="AB965" s="11" t="str">
        <f>IFERROR(IF(MARÍTIMOS[[#This Row],[Inspección Externa]]="","",MARÍTIMOS[[#This Row],[Inspección Externa]]),"")</f>
        <v/>
      </c>
      <c r="AC965" s="11" t="str">
        <f>IFERROR(IF(MARÍTIMOS[[#This Row],[Etapa Despacho - Inicio de Carga]]="","",MARÍTIMOS[[#This Row],[Etapa Despacho - Inicio de Carga]]),"")</f>
        <v/>
      </c>
      <c r="AD965" s="11" t="str">
        <f>IFERROR(IF(MARÍTIMOS[[#This Row],[Etapa Despacho - Mitad de Carga]]="","",MARÍTIMOS[[#This Row],[Etapa Despacho - Mitad de Carga]]),"")</f>
        <v/>
      </c>
      <c r="AE965" s="11" t="str">
        <f>IFERROR(IF(MARÍTIMOS[[#This Row],[Etapa Despacho - Fin de Carga]]="","",MARÍTIMOS[[#This Row],[Etapa Despacho - Fin de Carga]]),"")</f>
        <v/>
      </c>
      <c r="AF965" s="2" t="str">
        <f>IFERROR(IF(MARÍTIMOS[[#This Row],[Puerto de Embarque]]="","",MARÍTIMOS[[#This Row],[Puerto de Embarque]]),"")</f>
        <v/>
      </c>
      <c r="AG965" s="2" t="str">
        <f>IFERROR(IF(MARÍTIMOS[[#This Row],[Almacén de Ingreso]]="","",MARÍTIMOS[[#This Row],[Almacén de Ingreso]]),"")</f>
        <v/>
      </c>
      <c r="AH965" s="11" t="str">
        <f>IFERROR(IF(MARÍTIMOS[[#This Row],[Etapa Ingreso - Cita]]="","",MARÍTIMOS[[#This Row],[Etapa Ingreso - Cita]]),"")</f>
        <v/>
      </c>
      <c r="AI965" s="11" t="str">
        <f>IFERROR(IF(MARÍTIMOS[[#This Row],[Etapa Ingreso - Llegada]]="","",MARÍTIMOS[[#This Row],[Etapa Ingreso - Llegada]]),"")</f>
        <v/>
      </c>
      <c r="AJ965" s="11" t="str">
        <f>IFERROR(IF(MARÍTIMOS[[#This Row],[Etapa Ingreso - Ingeso]]="","",MARÍTIMOS[[#This Row],[Etapa Ingreso - Ingeso]]),"")</f>
        <v/>
      </c>
      <c r="AK965" s="11" t="str">
        <f>IFERROR(IF(MARÍTIMOS[[#This Row],[Etapa Ingreso - Atención]]="","",MARÍTIMOS[[#This Row],[Etapa Ingreso - Atención]]),"")</f>
        <v/>
      </c>
      <c r="AL965" s="11" t="str">
        <f>IFERROR(IF(MARÍTIMOS[[#This Row],[Etapa Ingreso - Salida]]="","",MARÍTIMOS[[#This Row],[Etapa Ingreso - Salida]]),"")</f>
        <v/>
      </c>
      <c r="AM965" s="2" t="str">
        <f>IFERROR(IF(MARÍTIMOS[[#This Row],[FCL]]="","",MARÍTIMOS[[#This Row],[FCL]]),"")</f>
        <v/>
      </c>
      <c r="AN9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5" s="4" t="str" cm="1">
        <f t="array" ref="AO9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5" s="5" t="str">
        <f>IFERROR(OLDBD[[#This Row],[Llegada a packing]]-OLDBD[[#This Row],[Inicio de Ruta]],"")</f>
        <v/>
      </c>
      <c r="AQ965" s="6" t="str">
        <f>IFERROR(OLDBD[[#This Row],[Inicio de Ruta]]-OLDBD[[#This Row],[Salida de almacén de retiro]],"")</f>
        <v/>
      </c>
      <c r="AR9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5" s="8" t="str" cm="1">
        <f t="array" ref="AS9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5" s="9" t="str">
        <f>IFERROR(OLDBD[[#This Row],[Ingreso Packing]]-OLDBD[[#This Row],[Registro en Packing]],"")</f>
        <v/>
      </c>
      <c r="AV965" s="9" t="str">
        <f>IFERROR(OLDBD[[#This Row],[Ingreso Packing]]-OLDBD[[#This Row],[Llegada a packing]],"")</f>
        <v/>
      </c>
      <c r="AW9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5" s="5" t="str">
        <f>IFERROR(OLDBD[[#This Row],[Llegada Almacén de Ingreso]]-OLDBD[[#This Row],[Salida Packing]],"")</f>
        <v/>
      </c>
      <c r="AY965" s="4" t="str" cm="1">
        <f t="array" ref="AY9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5" s="43" t="s">
        <v>173</v>
      </c>
      <c r="BB965" s="47" t="str">
        <f>IFERROR(IF(MARÍTIMOS[[#This Row],[Estatus]]="","",MARÍTIMOS[[#This Row],[Estatus]]),"")</f>
        <v/>
      </c>
      <c r="BC965" s="43"/>
      <c r="BD965" s="46" t="str">
        <f>IFERROR(OLDBD[[#This Row],[Salida de almacén de retiro]]-OLDBD[[#This Row],[Ingreso Almacén de retiro]],"")</f>
        <v/>
      </c>
      <c r="BE965" s="46" t="str">
        <f>IFERROR(OLDBD[[#This Row],[Fin de Carga]]-OLDBD[[#This Row],[Inicio de Carga]],"")</f>
        <v/>
      </c>
    </row>
    <row r="966" spans="1:57" customFormat="1" hidden="1">
      <c r="A966" s="1"/>
      <c r="B966" s="1" t="str">
        <f>IFERROR(IF(MARÍTIMOS[[#This Row],[PP]]="","",MARÍTIMOS[[#This Row],[PP]]),"")</f>
        <v/>
      </c>
      <c r="C966" s="1" t="str">
        <f>IFERROR(IF(MARÍTIMOS[[#This Row],[Sede]]="","",MARÍTIMOS[[#This Row],[Sede]]),"")</f>
        <v/>
      </c>
      <c r="D966" s="1" t="str">
        <f>IFERROR(IF(MARÍTIMOS[[#This Row],[Instruction]]="","",MARÍTIMOS[[#This Row],[Instruction]]),"")</f>
        <v/>
      </c>
      <c r="E966" s="1"/>
      <c r="F966" s="2" t="str">
        <f>IFERROR(IF(MARÍTIMOS[[#This Row],[Transportista]]="","",MARÍTIMOS[[#This Row],[Transportista]]),"")</f>
        <v/>
      </c>
      <c r="G966" s="2" t="str">
        <f>IFERROR(IF(MARÍTIMOS[[#This Row],[Tercero]]="","",MARÍTIMOS[[#This Row],[Tercero]]),"")</f>
        <v/>
      </c>
      <c r="H966" s="2" t="str">
        <f>IFERROR(IF(MARÍTIMOS[[#This Row],[Razón Social]]="","",MARÍTIMOS[[#This Row],[Razón Social]]),"")</f>
        <v/>
      </c>
      <c r="I966" s="2" t="str">
        <f>IFERROR(IF(MARÍTIMOS[[#This Row],[RUC]]="","",MARÍTIMOS[[#This Row],[RUC]]),"")</f>
        <v/>
      </c>
      <c r="J966" s="2" t="str">
        <f>IFERROR(IF(MARÍTIMOS[[#This Row],[Placa Tracto]]="","",MARÍTIMOS[[#This Row],[Placa Tracto]]),"")</f>
        <v/>
      </c>
      <c r="K966" s="2" t="str">
        <f>IFERROR(IF(MARÍTIMOS[[#This Row],[Placa Carreta]]="","",MARÍTIMOS[[#This Row],[Placa Carreta]]),"")</f>
        <v/>
      </c>
      <c r="L966" s="44" t="str">
        <f>IFERROR(IF(MARÍTIMOS[[#This Row],[Conductor]]="","",MARÍTIMOS[[#This Row],[Conductor]]),"")</f>
        <v/>
      </c>
      <c r="M966" s="2" t="str">
        <f>IFERROR(IF(MARÍTIMOS[[#This Row],[Licencia]]="","",MARÍTIMOS[[#This Row],[Licencia]]),"")</f>
        <v/>
      </c>
      <c r="N966" s="2" t="str">
        <f>IFERROR(IF(MARÍTIMOS[[#This Row],[Número de Contacto]]="","",MARÍTIMOS[[#This Row],[Número de Contacto]]),"")</f>
        <v/>
      </c>
      <c r="O966" s="10" t="str">
        <f>IFERROR(IF(MARÍTIMOS[[#This Row],[Booking|AWB|CRT]]="","",MARÍTIMOS[[#This Row],[Booking|AWB|CRT]]),"")</f>
        <v/>
      </c>
      <c r="P966" s="2" t="str">
        <f>IFERROR(IF(MARÍTIMOS[[#This Row],[Contenedor]]="","",MARÍTIMOS[[#This Row],[Contenedor]]),"")</f>
        <v/>
      </c>
      <c r="Q966" s="2" t="str">
        <f>IFERROR(IF(MARÍTIMOS[[#This Row],[Puerto de Retiro]]="","",MARÍTIMOS[[#This Row],[Puerto de Retiro]]),"")</f>
        <v/>
      </c>
      <c r="R966" s="2" t="str">
        <f>IFERROR(IF(MARÍTIMOS[[#This Row],[Almacén de Retiro]]="","",MARÍTIMOS[[#This Row],[Almacén de Retiro]]),"")</f>
        <v/>
      </c>
      <c r="S966" s="11" t="str">
        <f>IFERROR(IF(MARÍTIMOS[[#This Row],[Etapa Retiro - Cita]]="","",MARÍTIMOS[[#This Row],[Etapa Retiro - Cita]]),"")</f>
        <v/>
      </c>
      <c r="T966" s="11" t="str">
        <f>IFERROR(IF(MARÍTIMOS[[#This Row],[Etapa Retiro - Llegada]]="","",MARÍTIMOS[[#This Row],[Etapa Retiro - Llegada]]),"")</f>
        <v/>
      </c>
      <c r="U966" s="11" t="str">
        <f>IFERROR(IF(MARÍTIMOS[[#This Row],[Etapa Retiro - Ingreso]]="","",MARÍTIMOS[[#This Row],[Etapa Retiro - Ingreso]]),"")</f>
        <v/>
      </c>
      <c r="V966" s="11" t="str">
        <f>IFERROR(IF(MARÍTIMOS[[#This Row],[Etapa Retiro - Atención]]="","",MARÍTIMOS[[#This Row],[Etapa Retiro - Atención]]),"")</f>
        <v/>
      </c>
      <c r="W966" s="11" t="str">
        <f>IFERROR(IF(MARÍTIMOS[[#This Row],[Etapa Retiro - Atención]]="","",MARÍTIMOS[[#This Row],[Etapa Retiro - Atención]]),"")</f>
        <v/>
      </c>
      <c r="X966" s="11" t="str">
        <f>IFERROR(IF(MARÍTIMOS[[#This Row],[Etapa Retiro - Inicio de Ruta]]="","",MARÍTIMOS[[#This Row],[Etapa Retiro - Inicio de Ruta]]),"")</f>
        <v/>
      </c>
      <c r="Y966" s="11" t="str">
        <f>IFERROR(IF(MARÍTIMOS[[#This Row],[Hora de Posicionamiento]]="","",MARÍTIMOS[[#This Row],[Fecha de Carga]]+MARÍTIMOS[[#This Row],[Hora de Posicionamiento]]),"")</f>
        <v/>
      </c>
      <c r="Z966" s="11" t="str">
        <f>IFERROR(IF(MARÍTIMOS[[#This Row],[Etapa Despacho - Llegada]]="","",MARÍTIMOS[[#This Row],[Etapa Despacho - Llegada]]),"")</f>
        <v/>
      </c>
      <c r="AA966" s="11" t="str">
        <f>IFERROR(IF(MARÍTIMOS[[#This Row],[Etapa Despacho - Registro]]="","",MARÍTIMOS[[#This Row],[Etapa Despacho - Registro]]),"")</f>
        <v/>
      </c>
      <c r="AB966" s="11" t="str">
        <f>IFERROR(IF(MARÍTIMOS[[#This Row],[Inspección Externa]]="","",MARÍTIMOS[[#This Row],[Inspección Externa]]),"")</f>
        <v/>
      </c>
      <c r="AC966" s="11" t="str">
        <f>IFERROR(IF(MARÍTIMOS[[#This Row],[Etapa Despacho - Inicio de Carga]]="","",MARÍTIMOS[[#This Row],[Etapa Despacho - Inicio de Carga]]),"")</f>
        <v/>
      </c>
      <c r="AD966" s="11" t="str">
        <f>IFERROR(IF(MARÍTIMOS[[#This Row],[Etapa Despacho - Mitad de Carga]]="","",MARÍTIMOS[[#This Row],[Etapa Despacho - Mitad de Carga]]),"")</f>
        <v/>
      </c>
      <c r="AE966" s="11" t="str">
        <f>IFERROR(IF(MARÍTIMOS[[#This Row],[Etapa Despacho - Fin de Carga]]="","",MARÍTIMOS[[#This Row],[Etapa Despacho - Fin de Carga]]),"")</f>
        <v/>
      </c>
      <c r="AF966" s="2" t="str">
        <f>IFERROR(IF(MARÍTIMOS[[#This Row],[Puerto de Embarque]]="","",MARÍTIMOS[[#This Row],[Puerto de Embarque]]),"")</f>
        <v/>
      </c>
      <c r="AG966" s="2" t="str">
        <f>IFERROR(IF(MARÍTIMOS[[#This Row],[Almacén de Ingreso]]="","",MARÍTIMOS[[#This Row],[Almacén de Ingreso]]),"")</f>
        <v/>
      </c>
      <c r="AH966" s="11" t="str">
        <f>IFERROR(IF(MARÍTIMOS[[#This Row],[Etapa Ingreso - Cita]]="","",MARÍTIMOS[[#This Row],[Etapa Ingreso - Cita]]),"")</f>
        <v/>
      </c>
      <c r="AI966" s="11" t="str">
        <f>IFERROR(IF(MARÍTIMOS[[#This Row],[Etapa Ingreso - Llegada]]="","",MARÍTIMOS[[#This Row],[Etapa Ingreso - Llegada]]),"")</f>
        <v/>
      </c>
      <c r="AJ966" s="11" t="str">
        <f>IFERROR(IF(MARÍTIMOS[[#This Row],[Etapa Ingreso - Ingeso]]="","",MARÍTIMOS[[#This Row],[Etapa Ingreso - Ingeso]]),"")</f>
        <v/>
      </c>
      <c r="AK966" s="11" t="str">
        <f>IFERROR(IF(MARÍTIMOS[[#This Row],[Etapa Ingreso - Atención]]="","",MARÍTIMOS[[#This Row],[Etapa Ingreso - Atención]]),"")</f>
        <v/>
      </c>
      <c r="AL966" s="11" t="str">
        <f>IFERROR(IF(MARÍTIMOS[[#This Row],[Etapa Ingreso - Salida]]="","",MARÍTIMOS[[#This Row],[Etapa Ingreso - Salida]]),"")</f>
        <v/>
      </c>
      <c r="AM966" s="2" t="str">
        <f>IFERROR(IF(MARÍTIMOS[[#This Row],[FCL]]="","",MARÍTIMOS[[#This Row],[FCL]]),"")</f>
        <v/>
      </c>
      <c r="AN9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6" s="4" t="str" cm="1">
        <f t="array" ref="AO9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6" s="5" t="str">
        <f>IFERROR(OLDBD[[#This Row],[Llegada a packing]]-OLDBD[[#This Row],[Inicio de Ruta]],"")</f>
        <v/>
      </c>
      <c r="AQ966" s="6" t="str">
        <f>IFERROR(OLDBD[[#This Row],[Inicio de Ruta]]-OLDBD[[#This Row],[Salida de almacén de retiro]],"")</f>
        <v/>
      </c>
      <c r="AR9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6" s="8" t="str" cm="1">
        <f t="array" ref="AS9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6" s="9" t="str">
        <f>IFERROR(OLDBD[[#This Row],[Ingreso Packing]]-OLDBD[[#This Row],[Registro en Packing]],"")</f>
        <v/>
      </c>
      <c r="AV966" s="9" t="str">
        <f>IFERROR(OLDBD[[#This Row],[Ingreso Packing]]-OLDBD[[#This Row],[Llegada a packing]],"")</f>
        <v/>
      </c>
      <c r="AW9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6" s="5" t="str">
        <f>IFERROR(OLDBD[[#This Row],[Llegada Almacén de Ingreso]]-OLDBD[[#This Row],[Salida Packing]],"")</f>
        <v/>
      </c>
      <c r="AY966" s="4" t="str" cm="1">
        <f t="array" ref="AY9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6" s="43" t="s">
        <v>173</v>
      </c>
      <c r="BB966" s="47" t="str">
        <f>IFERROR(IF(MARÍTIMOS[[#This Row],[Estatus]]="","",MARÍTIMOS[[#This Row],[Estatus]]),"")</f>
        <v/>
      </c>
      <c r="BC966" s="43"/>
      <c r="BD966" s="46" t="str">
        <f>IFERROR(OLDBD[[#This Row],[Salida de almacén de retiro]]-OLDBD[[#This Row],[Ingreso Almacén de retiro]],"")</f>
        <v/>
      </c>
      <c r="BE966" s="46" t="str">
        <f>IFERROR(OLDBD[[#This Row],[Fin de Carga]]-OLDBD[[#This Row],[Inicio de Carga]],"")</f>
        <v/>
      </c>
    </row>
    <row r="967" spans="1:57" customFormat="1" hidden="1">
      <c r="A967" s="1"/>
      <c r="B967" s="1" t="str">
        <f>IFERROR(IF(MARÍTIMOS[[#This Row],[PP]]="","",MARÍTIMOS[[#This Row],[PP]]),"")</f>
        <v/>
      </c>
      <c r="C967" s="1" t="str">
        <f>IFERROR(IF(MARÍTIMOS[[#This Row],[Sede]]="","",MARÍTIMOS[[#This Row],[Sede]]),"")</f>
        <v/>
      </c>
      <c r="D967" s="1" t="str">
        <f>IFERROR(IF(MARÍTIMOS[[#This Row],[Instruction]]="","",MARÍTIMOS[[#This Row],[Instruction]]),"")</f>
        <v/>
      </c>
      <c r="E967" s="1"/>
      <c r="F967" s="2" t="str">
        <f>IFERROR(IF(MARÍTIMOS[[#This Row],[Transportista]]="","",MARÍTIMOS[[#This Row],[Transportista]]),"")</f>
        <v/>
      </c>
      <c r="G967" s="2" t="str">
        <f>IFERROR(IF(MARÍTIMOS[[#This Row],[Tercero]]="","",MARÍTIMOS[[#This Row],[Tercero]]),"")</f>
        <v/>
      </c>
      <c r="H967" s="2" t="str">
        <f>IFERROR(IF(MARÍTIMOS[[#This Row],[Razón Social]]="","",MARÍTIMOS[[#This Row],[Razón Social]]),"")</f>
        <v/>
      </c>
      <c r="I967" s="2" t="str">
        <f>IFERROR(IF(MARÍTIMOS[[#This Row],[RUC]]="","",MARÍTIMOS[[#This Row],[RUC]]),"")</f>
        <v/>
      </c>
      <c r="J967" s="2" t="str">
        <f>IFERROR(IF(MARÍTIMOS[[#This Row],[Placa Tracto]]="","",MARÍTIMOS[[#This Row],[Placa Tracto]]),"")</f>
        <v/>
      </c>
      <c r="K967" s="2" t="str">
        <f>IFERROR(IF(MARÍTIMOS[[#This Row],[Placa Carreta]]="","",MARÍTIMOS[[#This Row],[Placa Carreta]]),"")</f>
        <v/>
      </c>
      <c r="L967" s="44" t="str">
        <f>IFERROR(IF(MARÍTIMOS[[#This Row],[Conductor]]="","",MARÍTIMOS[[#This Row],[Conductor]]),"")</f>
        <v/>
      </c>
      <c r="M967" s="2" t="str">
        <f>IFERROR(IF(MARÍTIMOS[[#This Row],[Licencia]]="","",MARÍTIMOS[[#This Row],[Licencia]]),"")</f>
        <v/>
      </c>
      <c r="N967" s="2" t="str">
        <f>IFERROR(IF(MARÍTIMOS[[#This Row],[Número de Contacto]]="","",MARÍTIMOS[[#This Row],[Número de Contacto]]),"")</f>
        <v/>
      </c>
      <c r="O967" s="10" t="str">
        <f>IFERROR(IF(MARÍTIMOS[[#This Row],[Booking|AWB|CRT]]="","",MARÍTIMOS[[#This Row],[Booking|AWB|CRT]]),"")</f>
        <v/>
      </c>
      <c r="P967" s="2" t="str">
        <f>IFERROR(IF(MARÍTIMOS[[#This Row],[Contenedor]]="","",MARÍTIMOS[[#This Row],[Contenedor]]),"")</f>
        <v/>
      </c>
      <c r="Q967" s="2" t="str">
        <f>IFERROR(IF(MARÍTIMOS[[#This Row],[Puerto de Retiro]]="","",MARÍTIMOS[[#This Row],[Puerto de Retiro]]),"")</f>
        <v/>
      </c>
      <c r="R967" s="2" t="str">
        <f>IFERROR(IF(MARÍTIMOS[[#This Row],[Almacén de Retiro]]="","",MARÍTIMOS[[#This Row],[Almacén de Retiro]]),"")</f>
        <v/>
      </c>
      <c r="S967" s="11" t="str">
        <f>IFERROR(IF(MARÍTIMOS[[#This Row],[Etapa Retiro - Cita]]="","",MARÍTIMOS[[#This Row],[Etapa Retiro - Cita]]),"")</f>
        <v/>
      </c>
      <c r="T967" s="11" t="str">
        <f>IFERROR(IF(MARÍTIMOS[[#This Row],[Etapa Retiro - Llegada]]="","",MARÍTIMOS[[#This Row],[Etapa Retiro - Llegada]]),"")</f>
        <v/>
      </c>
      <c r="U967" s="11" t="str">
        <f>IFERROR(IF(MARÍTIMOS[[#This Row],[Etapa Retiro - Ingreso]]="","",MARÍTIMOS[[#This Row],[Etapa Retiro - Ingreso]]),"")</f>
        <v/>
      </c>
      <c r="V967" s="11" t="str">
        <f>IFERROR(IF(MARÍTIMOS[[#This Row],[Etapa Retiro - Atención]]="","",MARÍTIMOS[[#This Row],[Etapa Retiro - Atención]]),"")</f>
        <v/>
      </c>
      <c r="W967" s="11" t="str">
        <f>IFERROR(IF(MARÍTIMOS[[#This Row],[Etapa Retiro - Atención]]="","",MARÍTIMOS[[#This Row],[Etapa Retiro - Atención]]),"")</f>
        <v/>
      </c>
      <c r="X967" s="11" t="str">
        <f>IFERROR(IF(MARÍTIMOS[[#This Row],[Etapa Retiro - Inicio de Ruta]]="","",MARÍTIMOS[[#This Row],[Etapa Retiro - Inicio de Ruta]]),"")</f>
        <v/>
      </c>
      <c r="Y967" s="11" t="str">
        <f>IFERROR(IF(MARÍTIMOS[[#This Row],[Hora de Posicionamiento]]="","",MARÍTIMOS[[#This Row],[Fecha de Carga]]+MARÍTIMOS[[#This Row],[Hora de Posicionamiento]]),"")</f>
        <v/>
      </c>
      <c r="Z967" s="11" t="str">
        <f>IFERROR(IF(MARÍTIMOS[[#This Row],[Etapa Despacho - Llegada]]="","",MARÍTIMOS[[#This Row],[Etapa Despacho - Llegada]]),"")</f>
        <v/>
      </c>
      <c r="AA967" s="11" t="str">
        <f>IFERROR(IF(MARÍTIMOS[[#This Row],[Etapa Despacho - Registro]]="","",MARÍTIMOS[[#This Row],[Etapa Despacho - Registro]]),"")</f>
        <v/>
      </c>
      <c r="AB967" s="11" t="str">
        <f>IFERROR(IF(MARÍTIMOS[[#This Row],[Inspección Externa]]="","",MARÍTIMOS[[#This Row],[Inspección Externa]]),"")</f>
        <v/>
      </c>
      <c r="AC967" s="11" t="str">
        <f>IFERROR(IF(MARÍTIMOS[[#This Row],[Etapa Despacho - Inicio de Carga]]="","",MARÍTIMOS[[#This Row],[Etapa Despacho - Inicio de Carga]]),"")</f>
        <v/>
      </c>
      <c r="AD967" s="11" t="str">
        <f>IFERROR(IF(MARÍTIMOS[[#This Row],[Etapa Despacho - Mitad de Carga]]="","",MARÍTIMOS[[#This Row],[Etapa Despacho - Mitad de Carga]]),"")</f>
        <v/>
      </c>
      <c r="AE967" s="11" t="str">
        <f>IFERROR(IF(MARÍTIMOS[[#This Row],[Etapa Despacho - Fin de Carga]]="","",MARÍTIMOS[[#This Row],[Etapa Despacho - Fin de Carga]]),"")</f>
        <v/>
      </c>
      <c r="AF967" s="2" t="str">
        <f>IFERROR(IF(MARÍTIMOS[[#This Row],[Puerto de Embarque]]="","",MARÍTIMOS[[#This Row],[Puerto de Embarque]]),"")</f>
        <v/>
      </c>
      <c r="AG967" s="2" t="str">
        <f>IFERROR(IF(MARÍTIMOS[[#This Row],[Almacén de Ingreso]]="","",MARÍTIMOS[[#This Row],[Almacén de Ingreso]]),"")</f>
        <v/>
      </c>
      <c r="AH967" s="11" t="str">
        <f>IFERROR(IF(MARÍTIMOS[[#This Row],[Etapa Ingreso - Cita]]="","",MARÍTIMOS[[#This Row],[Etapa Ingreso - Cita]]),"")</f>
        <v/>
      </c>
      <c r="AI967" s="11" t="str">
        <f>IFERROR(IF(MARÍTIMOS[[#This Row],[Etapa Ingreso - Llegada]]="","",MARÍTIMOS[[#This Row],[Etapa Ingreso - Llegada]]),"")</f>
        <v/>
      </c>
      <c r="AJ967" s="11" t="str">
        <f>IFERROR(IF(MARÍTIMOS[[#This Row],[Etapa Ingreso - Ingeso]]="","",MARÍTIMOS[[#This Row],[Etapa Ingreso - Ingeso]]),"")</f>
        <v/>
      </c>
      <c r="AK967" s="11" t="str">
        <f>IFERROR(IF(MARÍTIMOS[[#This Row],[Etapa Ingreso - Atención]]="","",MARÍTIMOS[[#This Row],[Etapa Ingreso - Atención]]),"")</f>
        <v/>
      </c>
      <c r="AL967" s="11" t="str">
        <f>IFERROR(IF(MARÍTIMOS[[#This Row],[Etapa Ingreso - Salida]]="","",MARÍTIMOS[[#This Row],[Etapa Ingreso - Salida]]),"")</f>
        <v/>
      </c>
      <c r="AM967" s="2" t="str">
        <f>IFERROR(IF(MARÍTIMOS[[#This Row],[FCL]]="","",MARÍTIMOS[[#This Row],[FCL]]),"")</f>
        <v/>
      </c>
      <c r="AN9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7" s="4" t="str" cm="1">
        <f t="array" ref="AO9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7" s="5" t="str">
        <f>IFERROR(OLDBD[[#This Row],[Llegada a packing]]-OLDBD[[#This Row],[Inicio de Ruta]],"")</f>
        <v/>
      </c>
      <c r="AQ967" s="6" t="str">
        <f>IFERROR(OLDBD[[#This Row],[Inicio de Ruta]]-OLDBD[[#This Row],[Salida de almacén de retiro]],"")</f>
        <v/>
      </c>
      <c r="AR9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7" s="8" t="str" cm="1">
        <f t="array" ref="AS9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7" s="9" t="str">
        <f>IFERROR(OLDBD[[#This Row],[Ingreso Packing]]-OLDBD[[#This Row],[Registro en Packing]],"")</f>
        <v/>
      </c>
      <c r="AV967" s="9" t="str">
        <f>IFERROR(OLDBD[[#This Row],[Ingreso Packing]]-OLDBD[[#This Row],[Llegada a packing]],"")</f>
        <v/>
      </c>
      <c r="AW9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7" s="5" t="str">
        <f>IFERROR(OLDBD[[#This Row],[Llegada Almacén de Ingreso]]-OLDBD[[#This Row],[Salida Packing]],"")</f>
        <v/>
      </c>
      <c r="AY967" s="4" t="str" cm="1">
        <f t="array" ref="AY9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7" s="43" t="s">
        <v>173</v>
      </c>
      <c r="BB967" s="47" t="str">
        <f>IFERROR(IF(MARÍTIMOS[[#This Row],[Estatus]]="","",MARÍTIMOS[[#This Row],[Estatus]]),"")</f>
        <v/>
      </c>
      <c r="BC967" s="43"/>
      <c r="BD967" s="46" t="str">
        <f>IFERROR(OLDBD[[#This Row],[Salida de almacén de retiro]]-OLDBD[[#This Row],[Ingreso Almacén de retiro]],"")</f>
        <v/>
      </c>
      <c r="BE967" s="46" t="str">
        <f>IFERROR(OLDBD[[#This Row],[Fin de Carga]]-OLDBD[[#This Row],[Inicio de Carga]],"")</f>
        <v/>
      </c>
    </row>
    <row r="968" spans="1:57" customFormat="1" hidden="1">
      <c r="A968" s="1"/>
      <c r="B968" s="1" t="str">
        <f>IFERROR(IF(MARÍTIMOS[[#This Row],[PP]]="","",MARÍTIMOS[[#This Row],[PP]]),"")</f>
        <v/>
      </c>
      <c r="C968" s="1" t="str">
        <f>IFERROR(IF(MARÍTIMOS[[#This Row],[Sede]]="","",MARÍTIMOS[[#This Row],[Sede]]),"")</f>
        <v/>
      </c>
      <c r="D968" s="1" t="str">
        <f>IFERROR(IF(MARÍTIMOS[[#This Row],[Instruction]]="","",MARÍTIMOS[[#This Row],[Instruction]]),"")</f>
        <v/>
      </c>
      <c r="E968" s="1"/>
      <c r="F968" s="2" t="str">
        <f>IFERROR(IF(MARÍTIMOS[[#This Row],[Transportista]]="","",MARÍTIMOS[[#This Row],[Transportista]]),"")</f>
        <v/>
      </c>
      <c r="G968" s="2" t="str">
        <f>IFERROR(IF(MARÍTIMOS[[#This Row],[Tercero]]="","",MARÍTIMOS[[#This Row],[Tercero]]),"")</f>
        <v/>
      </c>
      <c r="H968" s="2" t="str">
        <f>IFERROR(IF(MARÍTIMOS[[#This Row],[Razón Social]]="","",MARÍTIMOS[[#This Row],[Razón Social]]),"")</f>
        <v/>
      </c>
      <c r="I968" s="2" t="str">
        <f>IFERROR(IF(MARÍTIMOS[[#This Row],[RUC]]="","",MARÍTIMOS[[#This Row],[RUC]]),"")</f>
        <v/>
      </c>
      <c r="J968" s="2" t="str">
        <f>IFERROR(IF(MARÍTIMOS[[#This Row],[Placa Tracto]]="","",MARÍTIMOS[[#This Row],[Placa Tracto]]),"")</f>
        <v/>
      </c>
      <c r="K968" s="2" t="str">
        <f>IFERROR(IF(MARÍTIMOS[[#This Row],[Placa Carreta]]="","",MARÍTIMOS[[#This Row],[Placa Carreta]]),"")</f>
        <v/>
      </c>
      <c r="L968" s="44" t="str">
        <f>IFERROR(IF(MARÍTIMOS[[#This Row],[Conductor]]="","",MARÍTIMOS[[#This Row],[Conductor]]),"")</f>
        <v/>
      </c>
      <c r="M968" s="2" t="str">
        <f>IFERROR(IF(MARÍTIMOS[[#This Row],[Licencia]]="","",MARÍTIMOS[[#This Row],[Licencia]]),"")</f>
        <v/>
      </c>
      <c r="N968" s="2" t="str">
        <f>IFERROR(IF(MARÍTIMOS[[#This Row],[Número de Contacto]]="","",MARÍTIMOS[[#This Row],[Número de Contacto]]),"")</f>
        <v/>
      </c>
      <c r="O968" s="10" t="str">
        <f>IFERROR(IF(MARÍTIMOS[[#This Row],[Booking|AWB|CRT]]="","",MARÍTIMOS[[#This Row],[Booking|AWB|CRT]]),"")</f>
        <v/>
      </c>
      <c r="P968" s="2" t="str">
        <f>IFERROR(IF(MARÍTIMOS[[#This Row],[Contenedor]]="","",MARÍTIMOS[[#This Row],[Contenedor]]),"")</f>
        <v/>
      </c>
      <c r="Q968" s="2" t="str">
        <f>IFERROR(IF(MARÍTIMOS[[#This Row],[Puerto de Retiro]]="","",MARÍTIMOS[[#This Row],[Puerto de Retiro]]),"")</f>
        <v/>
      </c>
      <c r="R968" s="2" t="str">
        <f>IFERROR(IF(MARÍTIMOS[[#This Row],[Almacén de Retiro]]="","",MARÍTIMOS[[#This Row],[Almacén de Retiro]]),"")</f>
        <v/>
      </c>
      <c r="S968" s="11" t="str">
        <f>IFERROR(IF(MARÍTIMOS[[#This Row],[Etapa Retiro - Cita]]="","",MARÍTIMOS[[#This Row],[Etapa Retiro - Cita]]),"")</f>
        <v/>
      </c>
      <c r="T968" s="11" t="str">
        <f>IFERROR(IF(MARÍTIMOS[[#This Row],[Etapa Retiro - Llegada]]="","",MARÍTIMOS[[#This Row],[Etapa Retiro - Llegada]]),"")</f>
        <v/>
      </c>
      <c r="U968" s="11" t="str">
        <f>IFERROR(IF(MARÍTIMOS[[#This Row],[Etapa Retiro - Ingreso]]="","",MARÍTIMOS[[#This Row],[Etapa Retiro - Ingreso]]),"")</f>
        <v/>
      </c>
      <c r="V968" s="11" t="str">
        <f>IFERROR(IF(MARÍTIMOS[[#This Row],[Etapa Retiro - Atención]]="","",MARÍTIMOS[[#This Row],[Etapa Retiro - Atención]]),"")</f>
        <v/>
      </c>
      <c r="W968" s="11" t="str">
        <f>IFERROR(IF(MARÍTIMOS[[#This Row],[Etapa Retiro - Atención]]="","",MARÍTIMOS[[#This Row],[Etapa Retiro - Atención]]),"")</f>
        <v/>
      </c>
      <c r="X968" s="11" t="str">
        <f>IFERROR(IF(MARÍTIMOS[[#This Row],[Etapa Retiro - Inicio de Ruta]]="","",MARÍTIMOS[[#This Row],[Etapa Retiro - Inicio de Ruta]]),"")</f>
        <v/>
      </c>
      <c r="Y968" s="11" t="str">
        <f>IFERROR(IF(MARÍTIMOS[[#This Row],[Hora de Posicionamiento]]="","",MARÍTIMOS[[#This Row],[Fecha de Carga]]+MARÍTIMOS[[#This Row],[Hora de Posicionamiento]]),"")</f>
        <v/>
      </c>
      <c r="Z968" s="11" t="str">
        <f>IFERROR(IF(MARÍTIMOS[[#This Row],[Etapa Despacho - Llegada]]="","",MARÍTIMOS[[#This Row],[Etapa Despacho - Llegada]]),"")</f>
        <v/>
      </c>
      <c r="AA968" s="11" t="str">
        <f>IFERROR(IF(MARÍTIMOS[[#This Row],[Etapa Despacho - Registro]]="","",MARÍTIMOS[[#This Row],[Etapa Despacho - Registro]]),"")</f>
        <v/>
      </c>
      <c r="AB968" s="11" t="str">
        <f>IFERROR(IF(MARÍTIMOS[[#This Row],[Inspección Externa]]="","",MARÍTIMOS[[#This Row],[Inspección Externa]]),"")</f>
        <v/>
      </c>
      <c r="AC968" s="11" t="str">
        <f>IFERROR(IF(MARÍTIMOS[[#This Row],[Etapa Despacho - Inicio de Carga]]="","",MARÍTIMOS[[#This Row],[Etapa Despacho - Inicio de Carga]]),"")</f>
        <v/>
      </c>
      <c r="AD968" s="11" t="str">
        <f>IFERROR(IF(MARÍTIMOS[[#This Row],[Etapa Despacho - Mitad de Carga]]="","",MARÍTIMOS[[#This Row],[Etapa Despacho - Mitad de Carga]]),"")</f>
        <v/>
      </c>
      <c r="AE968" s="11" t="str">
        <f>IFERROR(IF(MARÍTIMOS[[#This Row],[Etapa Despacho - Fin de Carga]]="","",MARÍTIMOS[[#This Row],[Etapa Despacho - Fin de Carga]]),"")</f>
        <v/>
      </c>
      <c r="AF968" s="2" t="str">
        <f>IFERROR(IF(MARÍTIMOS[[#This Row],[Puerto de Embarque]]="","",MARÍTIMOS[[#This Row],[Puerto de Embarque]]),"")</f>
        <v/>
      </c>
      <c r="AG968" s="2" t="str">
        <f>IFERROR(IF(MARÍTIMOS[[#This Row],[Almacén de Ingreso]]="","",MARÍTIMOS[[#This Row],[Almacén de Ingreso]]),"")</f>
        <v/>
      </c>
      <c r="AH968" s="11" t="str">
        <f>IFERROR(IF(MARÍTIMOS[[#This Row],[Etapa Ingreso - Cita]]="","",MARÍTIMOS[[#This Row],[Etapa Ingreso - Cita]]),"")</f>
        <v/>
      </c>
      <c r="AI968" s="11" t="str">
        <f>IFERROR(IF(MARÍTIMOS[[#This Row],[Etapa Ingreso - Llegada]]="","",MARÍTIMOS[[#This Row],[Etapa Ingreso - Llegada]]),"")</f>
        <v/>
      </c>
      <c r="AJ968" s="11" t="str">
        <f>IFERROR(IF(MARÍTIMOS[[#This Row],[Etapa Ingreso - Ingeso]]="","",MARÍTIMOS[[#This Row],[Etapa Ingreso - Ingeso]]),"")</f>
        <v/>
      </c>
      <c r="AK968" s="11" t="str">
        <f>IFERROR(IF(MARÍTIMOS[[#This Row],[Etapa Ingreso - Atención]]="","",MARÍTIMOS[[#This Row],[Etapa Ingreso - Atención]]),"")</f>
        <v/>
      </c>
      <c r="AL968" s="11" t="str">
        <f>IFERROR(IF(MARÍTIMOS[[#This Row],[Etapa Ingreso - Salida]]="","",MARÍTIMOS[[#This Row],[Etapa Ingreso - Salida]]),"")</f>
        <v/>
      </c>
      <c r="AM968" s="2" t="str">
        <f>IFERROR(IF(MARÍTIMOS[[#This Row],[FCL]]="","",MARÍTIMOS[[#This Row],[FCL]]),"")</f>
        <v/>
      </c>
      <c r="AN9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8" s="4" t="str" cm="1">
        <f t="array" ref="AO9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8" s="5" t="str">
        <f>IFERROR(OLDBD[[#This Row],[Llegada a packing]]-OLDBD[[#This Row],[Inicio de Ruta]],"")</f>
        <v/>
      </c>
      <c r="AQ968" s="6" t="str">
        <f>IFERROR(OLDBD[[#This Row],[Inicio de Ruta]]-OLDBD[[#This Row],[Salida de almacén de retiro]],"")</f>
        <v/>
      </c>
      <c r="AR9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8" s="8" t="str" cm="1">
        <f t="array" ref="AS9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8" s="9" t="str">
        <f>IFERROR(OLDBD[[#This Row],[Ingreso Packing]]-OLDBD[[#This Row],[Registro en Packing]],"")</f>
        <v/>
      </c>
      <c r="AV968" s="9" t="str">
        <f>IFERROR(OLDBD[[#This Row],[Ingreso Packing]]-OLDBD[[#This Row],[Llegada a packing]],"")</f>
        <v/>
      </c>
      <c r="AW9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8" s="5" t="str">
        <f>IFERROR(OLDBD[[#This Row],[Llegada Almacén de Ingreso]]-OLDBD[[#This Row],[Salida Packing]],"")</f>
        <v/>
      </c>
      <c r="AY968" s="4" t="str" cm="1">
        <f t="array" ref="AY9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8" s="43" t="s">
        <v>173</v>
      </c>
      <c r="BB968" s="47" t="str">
        <f>IFERROR(IF(MARÍTIMOS[[#This Row],[Estatus]]="","",MARÍTIMOS[[#This Row],[Estatus]]),"")</f>
        <v/>
      </c>
      <c r="BC968" s="43"/>
      <c r="BD968" s="46" t="str">
        <f>IFERROR(OLDBD[[#This Row],[Salida de almacén de retiro]]-OLDBD[[#This Row],[Ingreso Almacén de retiro]],"")</f>
        <v/>
      </c>
      <c r="BE968" s="46" t="str">
        <f>IFERROR(OLDBD[[#This Row],[Fin de Carga]]-OLDBD[[#This Row],[Inicio de Carga]],"")</f>
        <v/>
      </c>
    </row>
    <row r="969" spans="1:57" customFormat="1" hidden="1">
      <c r="A969" s="1"/>
      <c r="B969" s="1" t="str">
        <f>IFERROR(IF(MARÍTIMOS[[#This Row],[PP]]="","",MARÍTIMOS[[#This Row],[PP]]),"")</f>
        <v/>
      </c>
      <c r="C969" s="1" t="str">
        <f>IFERROR(IF(MARÍTIMOS[[#This Row],[Sede]]="","",MARÍTIMOS[[#This Row],[Sede]]),"")</f>
        <v/>
      </c>
      <c r="D969" s="1" t="str">
        <f>IFERROR(IF(MARÍTIMOS[[#This Row],[Instruction]]="","",MARÍTIMOS[[#This Row],[Instruction]]),"")</f>
        <v/>
      </c>
      <c r="E969" s="1"/>
      <c r="F969" s="2" t="str">
        <f>IFERROR(IF(MARÍTIMOS[[#This Row],[Transportista]]="","",MARÍTIMOS[[#This Row],[Transportista]]),"")</f>
        <v/>
      </c>
      <c r="G969" s="2" t="str">
        <f>IFERROR(IF(MARÍTIMOS[[#This Row],[Tercero]]="","",MARÍTIMOS[[#This Row],[Tercero]]),"")</f>
        <v/>
      </c>
      <c r="H969" s="2" t="str">
        <f>IFERROR(IF(MARÍTIMOS[[#This Row],[Razón Social]]="","",MARÍTIMOS[[#This Row],[Razón Social]]),"")</f>
        <v/>
      </c>
      <c r="I969" s="2" t="str">
        <f>IFERROR(IF(MARÍTIMOS[[#This Row],[RUC]]="","",MARÍTIMOS[[#This Row],[RUC]]),"")</f>
        <v/>
      </c>
      <c r="J969" s="2" t="str">
        <f>IFERROR(IF(MARÍTIMOS[[#This Row],[Placa Tracto]]="","",MARÍTIMOS[[#This Row],[Placa Tracto]]),"")</f>
        <v/>
      </c>
      <c r="K969" s="2" t="str">
        <f>IFERROR(IF(MARÍTIMOS[[#This Row],[Placa Carreta]]="","",MARÍTIMOS[[#This Row],[Placa Carreta]]),"")</f>
        <v/>
      </c>
      <c r="L969" s="44" t="str">
        <f>IFERROR(IF(MARÍTIMOS[[#This Row],[Conductor]]="","",MARÍTIMOS[[#This Row],[Conductor]]),"")</f>
        <v/>
      </c>
      <c r="M969" s="2" t="str">
        <f>IFERROR(IF(MARÍTIMOS[[#This Row],[Licencia]]="","",MARÍTIMOS[[#This Row],[Licencia]]),"")</f>
        <v/>
      </c>
      <c r="N969" s="2" t="str">
        <f>IFERROR(IF(MARÍTIMOS[[#This Row],[Número de Contacto]]="","",MARÍTIMOS[[#This Row],[Número de Contacto]]),"")</f>
        <v/>
      </c>
      <c r="O969" s="10" t="str">
        <f>IFERROR(IF(MARÍTIMOS[[#This Row],[Booking|AWB|CRT]]="","",MARÍTIMOS[[#This Row],[Booking|AWB|CRT]]),"")</f>
        <v/>
      </c>
      <c r="P969" s="2" t="str">
        <f>IFERROR(IF(MARÍTIMOS[[#This Row],[Contenedor]]="","",MARÍTIMOS[[#This Row],[Contenedor]]),"")</f>
        <v/>
      </c>
      <c r="Q969" s="2" t="str">
        <f>IFERROR(IF(MARÍTIMOS[[#This Row],[Puerto de Retiro]]="","",MARÍTIMOS[[#This Row],[Puerto de Retiro]]),"")</f>
        <v/>
      </c>
      <c r="R969" s="2" t="str">
        <f>IFERROR(IF(MARÍTIMOS[[#This Row],[Almacén de Retiro]]="","",MARÍTIMOS[[#This Row],[Almacén de Retiro]]),"")</f>
        <v/>
      </c>
      <c r="S969" s="11" t="str">
        <f>IFERROR(IF(MARÍTIMOS[[#This Row],[Etapa Retiro - Cita]]="","",MARÍTIMOS[[#This Row],[Etapa Retiro - Cita]]),"")</f>
        <v/>
      </c>
      <c r="T969" s="11" t="str">
        <f>IFERROR(IF(MARÍTIMOS[[#This Row],[Etapa Retiro - Llegada]]="","",MARÍTIMOS[[#This Row],[Etapa Retiro - Llegada]]),"")</f>
        <v/>
      </c>
      <c r="U969" s="11" t="str">
        <f>IFERROR(IF(MARÍTIMOS[[#This Row],[Etapa Retiro - Ingreso]]="","",MARÍTIMOS[[#This Row],[Etapa Retiro - Ingreso]]),"")</f>
        <v/>
      </c>
      <c r="V969" s="11" t="str">
        <f>IFERROR(IF(MARÍTIMOS[[#This Row],[Etapa Retiro - Atención]]="","",MARÍTIMOS[[#This Row],[Etapa Retiro - Atención]]),"")</f>
        <v/>
      </c>
      <c r="W969" s="11" t="str">
        <f>IFERROR(IF(MARÍTIMOS[[#This Row],[Etapa Retiro - Atención]]="","",MARÍTIMOS[[#This Row],[Etapa Retiro - Atención]]),"")</f>
        <v/>
      </c>
      <c r="X969" s="11" t="str">
        <f>IFERROR(IF(MARÍTIMOS[[#This Row],[Etapa Retiro - Inicio de Ruta]]="","",MARÍTIMOS[[#This Row],[Etapa Retiro - Inicio de Ruta]]),"")</f>
        <v/>
      </c>
      <c r="Y969" s="11" t="str">
        <f>IFERROR(IF(MARÍTIMOS[[#This Row],[Hora de Posicionamiento]]="","",MARÍTIMOS[[#This Row],[Fecha de Carga]]+MARÍTIMOS[[#This Row],[Hora de Posicionamiento]]),"")</f>
        <v/>
      </c>
      <c r="Z969" s="11" t="str">
        <f>IFERROR(IF(MARÍTIMOS[[#This Row],[Etapa Despacho - Llegada]]="","",MARÍTIMOS[[#This Row],[Etapa Despacho - Llegada]]),"")</f>
        <v/>
      </c>
      <c r="AA969" s="11" t="str">
        <f>IFERROR(IF(MARÍTIMOS[[#This Row],[Etapa Despacho - Registro]]="","",MARÍTIMOS[[#This Row],[Etapa Despacho - Registro]]),"")</f>
        <v/>
      </c>
      <c r="AB969" s="11" t="str">
        <f>IFERROR(IF(MARÍTIMOS[[#This Row],[Inspección Externa]]="","",MARÍTIMOS[[#This Row],[Inspección Externa]]),"")</f>
        <v/>
      </c>
      <c r="AC969" s="11" t="str">
        <f>IFERROR(IF(MARÍTIMOS[[#This Row],[Etapa Despacho - Inicio de Carga]]="","",MARÍTIMOS[[#This Row],[Etapa Despacho - Inicio de Carga]]),"")</f>
        <v/>
      </c>
      <c r="AD969" s="11" t="str">
        <f>IFERROR(IF(MARÍTIMOS[[#This Row],[Etapa Despacho - Mitad de Carga]]="","",MARÍTIMOS[[#This Row],[Etapa Despacho - Mitad de Carga]]),"")</f>
        <v/>
      </c>
      <c r="AE969" s="11" t="str">
        <f>IFERROR(IF(MARÍTIMOS[[#This Row],[Etapa Despacho - Fin de Carga]]="","",MARÍTIMOS[[#This Row],[Etapa Despacho - Fin de Carga]]),"")</f>
        <v/>
      </c>
      <c r="AF969" s="2" t="str">
        <f>IFERROR(IF(MARÍTIMOS[[#This Row],[Puerto de Embarque]]="","",MARÍTIMOS[[#This Row],[Puerto de Embarque]]),"")</f>
        <v/>
      </c>
      <c r="AG969" s="2" t="str">
        <f>IFERROR(IF(MARÍTIMOS[[#This Row],[Almacén de Ingreso]]="","",MARÍTIMOS[[#This Row],[Almacén de Ingreso]]),"")</f>
        <v/>
      </c>
      <c r="AH969" s="11" t="str">
        <f>IFERROR(IF(MARÍTIMOS[[#This Row],[Etapa Ingreso - Cita]]="","",MARÍTIMOS[[#This Row],[Etapa Ingreso - Cita]]),"")</f>
        <v/>
      </c>
      <c r="AI969" s="11" t="str">
        <f>IFERROR(IF(MARÍTIMOS[[#This Row],[Etapa Ingreso - Llegada]]="","",MARÍTIMOS[[#This Row],[Etapa Ingreso - Llegada]]),"")</f>
        <v/>
      </c>
      <c r="AJ969" s="11" t="str">
        <f>IFERROR(IF(MARÍTIMOS[[#This Row],[Etapa Ingreso - Ingeso]]="","",MARÍTIMOS[[#This Row],[Etapa Ingreso - Ingeso]]),"")</f>
        <v/>
      </c>
      <c r="AK969" s="11" t="str">
        <f>IFERROR(IF(MARÍTIMOS[[#This Row],[Etapa Ingreso - Atención]]="","",MARÍTIMOS[[#This Row],[Etapa Ingreso - Atención]]),"")</f>
        <v/>
      </c>
      <c r="AL969" s="11" t="str">
        <f>IFERROR(IF(MARÍTIMOS[[#This Row],[Etapa Ingreso - Salida]]="","",MARÍTIMOS[[#This Row],[Etapa Ingreso - Salida]]),"")</f>
        <v/>
      </c>
      <c r="AM969" s="2" t="str">
        <f>IFERROR(IF(MARÍTIMOS[[#This Row],[FCL]]="","",MARÍTIMOS[[#This Row],[FCL]]),"")</f>
        <v/>
      </c>
      <c r="AN9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69" s="4" t="str" cm="1">
        <f t="array" ref="AO9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69" s="5" t="str">
        <f>IFERROR(OLDBD[[#This Row],[Llegada a packing]]-OLDBD[[#This Row],[Inicio de Ruta]],"")</f>
        <v/>
      </c>
      <c r="AQ969" s="6" t="str">
        <f>IFERROR(OLDBD[[#This Row],[Inicio de Ruta]]-OLDBD[[#This Row],[Salida de almacén de retiro]],"")</f>
        <v/>
      </c>
      <c r="AR9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69" s="8" t="str" cm="1">
        <f t="array" ref="AS9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69" s="9" t="str">
        <f>IFERROR(OLDBD[[#This Row],[Ingreso Packing]]-OLDBD[[#This Row],[Registro en Packing]],"")</f>
        <v/>
      </c>
      <c r="AV969" s="9" t="str">
        <f>IFERROR(OLDBD[[#This Row],[Ingreso Packing]]-OLDBD[[#This Row],[Llegada a packing]],"")</f>
        <v/>
      </c>
      <c r="AW9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69" s="5" t="str">
        <f>IFERROR(OLDBD[[#This Row],[Llegada Almacén de Ingreso]]-OLDBD[[#This Row],[Salida Packing]],"")</f>
        <v/>
      </c>
      <c r="AY969" s="4" t="str" cm="1">
        <f t="array" ref="AY9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69" s="43" t="s">
        <v>173</v>
      </c>
      <c r="BB969" s="47" t="str">
        <f>IFERROR(IF(MARÍTIMOS[[#This Row],[Estatus]]="","",MARÍTIMOS[[#This Row],[Estatus]]),"")</f>
        <v/>
      </c>
      <c r="BC969" s="43"/>
      <c r="BD969" s="46" t="str">
        <f>IFERROR(OLDBD[[#This Row],[Salida de almacén de retiro]]-OLDBD[[#This Row],[Ingreso Almacén de retiro]],"")</f>
        <v/>
      </c>
      <c r="BE969" s="46" t="str">
        <f>IFERROR(OLDBD[[#This Row],[Fin de Carga]]-OLDBD[[#This Row],[Inicio de Carga]],"")</f>
        <v/>
      </c>
    </row>
    <row r="970" spans="1:57" customFormat="1" hidden="1">
      <c r="A970" s="1"/>
      <c r="B970" s="1" t="str">
        <f>IFERROR(IF(MARÍTIMOS[[#This Row],[PP]]="","",MARÍTIMOS[[#This Row],[PP]]),"")</f>
        <v/>
      </c>
      <c r="C970" s="1" t="str">
        <f>IFERROR(IF(MARÍTIMOS[[#This Row],[Sede]]="","",MARÍTIMOS[[#This Row],[Sede]]),"")</f>
        <v/>
      </c>
      <c r="D970" s="1" t="str">
        <f>IFERROR(IF(MARÍTIMOS[[#This Row],[Instruction]]="","",MARÍTIMOS[[#This Row],[Instruction]]),"")</f>
        <v/>
      </c>
      <c r="E970" s="1"/>
      <c r="F970" s="2" t="str">
        <f>IFERROR(IF(MARÍTIMOS[[#This Row],[Transportista]]="","",MARÍTIMOS[[#This Row],[Transportista]]),"")</f>
        <v/>
      </c>
      <c r="G970" s="2" t="str">
        <f>IFERROR(IF(MARÍTIMOS[[#This Row],[Tercero]]="","",MARÍTIMOS[[#This Row],[Tercero]]),"")</f>
        <v/>
      </c>
      <c r="H970" s="2" t="str">
        <f>IFERROR(IF(MARÍTIMOS[[#This Row],[Razón Social]]="","",MARÍTIMOS[[#This Row],[Razón Social]]),"")</f>
        <v/>
      </c>
      <c r="I970" s="2" t="str">
        <f>IFERROR(IF(MARÍTIMOS[[#This Row],[RUC]]="","",MARÍTIMOS[[#This Row],[RUC]]),"")</f>
        <v/>
      </c>
      <c r="J970" s="2" t="str">
        <f>IFERROR(IF(MARÍTIMOS[[#This Row],[Placa Tracto]]="","",MARÍTIMOS[[#This Row],[Placa Tracto]]),"")</f>
        <v/>
      </c>
      <c r="K970" s="2" t="str">
        <f>IFERROR(IF(MARÍTIMOS[[#This Row],[Placa Carreta]]="","",MARÍTIMOS[[#This Row],[Placa Carreta]]),"")</f>
        <v/>
      </c>
      <c r="L970" s="44" t="str">
        <f>IFERROR(IF(MARÍTIMOS[[#This Row],[Conductor]]="","",MARÍTIMOS[[#This Row],[Conductor]]),"")</f>
        <v/>
      </c>
      <c r="M970" s="2" t="str">
        <f>IFERROR(IF(MARÍTIMOS[[#This Row],[Licencia]]="","",MARÍTIMOS[[#This Row],[Licencia]]),"")</f>
        <v/>
      </c>
      <c r="N970" s="2" t="str">
        <f>IFERROR(IF(MARÍTIMOS[[#This Row],[Número de Contacto]]="","",MARÍTIMOS[[#This Row],[Número de Contacto]]),"")</f>
        <v/>
      </c>
      <c r="O970" s="10" t="str">
        <f>IFERROR(IF(MARÍTIMOS[[#This Row],[Booking|AWB|CRT]]="","",MARÍTIMOS[[#This Row],[Booking|AWB|CRT]]),"")</f>
        <v/>
      </c>
      <c r="P970" s="2" t="str">
        <f>IFERROR(IF(MARÍTIMOS[[#This Row],[Contenedor]]="","",MARÍTIMOS[[#This Row],[Contenedor]]),"")</f>
        <v/>
      </c>
      <c r="Q970" s="2" t="str">
        <f>IFERROR(IF(MARÍTIMOS[[#This Row],[Puerto de Retiro]]="","",MARÍTIMOS[[#This Row],[Puerto de Retiro]]),"")</f>
        <v/>
      </c>
      <c r="R970" s="2" t="str">
        <f>IFERROR(IF(MARÍTIMOS[[#This Row],[Almacén de Retiro]]="","",MARÍTIMOS[[#This Row],[Almacén de Retiro]]),"")</f>
        <v/>
      </c>
      <c r="S970" s="11" t="str">
        <f>IFERROR(IF(MARÍTIMOS[[#This Row],[Etapa Retiro - Cita]]="","",MARÍTIMOS[[#This Row],[Etapa Retiro - Cita]]),"")</f>
        <v/>
      </c>
      <c r="T970" s="11" t="str">
        <f>IFERROR(IF(MARÍTIMOS[[#This Row],[Etapa Retiro - Llegada]]="","",MARÍTIMOS[[#This Row],[Etapa Retiro - Llegada]]),"")</f>
        <v/>
      </c>
      <c r="U970" s="11" t="str">
        <f>IFERROR(IF(MARÍTIMOS[[#This Row],[Etapa Retiro - Ingreso]]="","",MARÍTIMOS[[#This Row],[Etapa Retiro - Ingreso]]),"")</f>
        <v/>
      </c>
      <c r="V970" s="11" t="str">
        <f>IFERROR(IF(MARÍTIMOS[[#This Row],[Etapa Retiro - Atención]]="","",MARÍTIMOS[[#This Row],[Etapa Retiro - Atención]]),"")</f>
        <v/>
      </c>
      <c r="W970" s="11" t="str">
        <f>IFERROR(IF(MARÍTIMOS[[#This Row],[Etapa Retiro - Atención]]="","",MARÍTIMOS[[#This Row],[Etapa Retiro - Atención]]),"")</f>
        <v/>
      </c>
      <c r="X970" s="11" t="str">
        <f>IFERROR(IF(MARÍTIMOS[[#This Row],[Etapa Retiro - Inicio de Ruta]]="","",MARÍTIMOS[[#This Row],[Etapa Retiro - Inicio de Ruta]]),"")</f>
        <v/>
      </c>
      <c r="Y970" s="11" t="str">
        <f>IFERROR(IF(MARÍTIMOS[[#This Row],[Hora de Posicionamiento]]="","",MARÍTIMOS[[#This Row],[Fecha de Carga]]+MARÍTIMOS[[#This Row],[Hora de Posicionamiento]]),"")</f>
        <v/>
      </c>
      <c r="Z970" s="11" t="str">
        <f>IFERROR(IF(MARÍTIMOS[[#This Row],[Etapa Despacho - Llegada]]="","",MARÍTIMOS[[#This Row],[Etapa Despacho - Llegada]]),"")</f>
        <v/>
      </c>
      <c r="AA970" s="11" t="str">
        <f>IFERROR(IF(MARÍTIMOS[[#This Row],[Etapa Despacho - Registro]]="","",MARÍTIMOS[[#This Row],[Etapa Despacho - Registro]]),"")</f>
        <v/>
      </c>
      <c r="AB970" s="11" t="str">
        <f>IFERROR(IF(MARÍTIMOS[[#This Row],[Inspección Externa]]="","",MARÍTIMOS[[#This Row],[Inspección Externa]]),"")</f>
        <v/>
      </c>
      <c r="AC970" s="11" t="str">
        <f>IFERROR(IF(MARÍTIMOS[[#This Row],[Etapa Despacho - Inicio de Carga]]="","",MARÍTIMOS[[#This Row],[Etapa Despacho - Inicio de Carga]]),"")</f>
        <v/>
      </c>
      <c r="AD970" s="11" t="str">
        <f>IFERROR(IF(MARÍTIMOS[[#This Row],[Etapa Despacho - Mitad de Carga]]="","",MARÍTIMOS[[#This Row],[Etapa Despacho - Mitad de Carga]]),"")</f>
        <v/>
      </c>
      <c r="AE970" s="11" t="str">
        <f>IFERROR(IF(MARÍTIMOS[[#This Row],[Etapa Despacho - Fin de Carga]]="","",MARÍTIMOS[[#This Row],[Etapa Despacho - Fin de Carga]]),"")</f>
        <v/>
      </c>
      <c r="AF970" s="2" t="str">
        <f>IFERROR(IF(MARÍTIMOS[[#This Row],[Puerto de Embarque]]="","",MARÍTIMOS[[#This Row],[Puerto de Embarque]]),"")</f>
        <v/>
      </c>
      <c r="AG970" s="2" t="str">
        <f>IFERROR(IF(MARÍTIMOS[[#This Row],[Almacén de Ingreso]]="","",MARÍTIMOS[[#This Row],[Almacén de Ingreso]]),"")</f>
        <v/>
      </c>
      <c r="AH970" s="11" t="str">
        <f>IFERROR(IF(MARÍTIMOS[[#This Row],[Etapa Ingreso - Cita]]="","",MARÍTIMOS[[#This Row],[Etapa Ingreso - Cita]]),"")</f>
        <v/>
      </c>
      <c r="AI970" s="11" t="str">
        <f>IFERROR(IF(MARÍTIMOS[[#This Row],[Etapa Ingreso - Llegada]]="","",MARÍTIMOS[[#This Row],[Etapa Ingreso - Llegada]]),"")</f>
        <v/>
      </c>
      <c r="AJ970" s="11" t="str">
        <f>IFERROR(IF(MARÍTIMOS[[#This Row],[Etapa Ingreso - Ingeso]]="","",MARÍTIMOS[[#This Row],[Etapa Ingreso - Ingeso]]),"")</f>
        <v/>
      </c>
      <c r="AK970" s="11" t="str">
        <f>IFERROR(IF(MARÍTIMOS[[#This Row],[Etapa Ingreso - Atención]]="","",MARÍTIMOS[[#This Row],[Etapa Ingreso - Atención]]),"")</f>
        <v/>
      </c>
      <c r="AL970" s="11" t="str">
        <f>IFERROR(IF(MARÍTIMOS[[#This Row],[Etapa Ingreso - Salida]]="","",MARÍTIMOS[[#This Row],[Etapa Ingreso - Salida]]),"")</f>
        <v/>
      </c>
      <c r="AM970" s="2" t="str">
        <f>IFERROR(IF(MARÍTIMOS[[#This Row],[FCL]]="","",MARÍTIMOS[[#This Row],[FCL]]),"")</f>
        <v/>
      </c>
      <c r="AN9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0" s="4" t="str" cm="1">
        <f t="array" ref="AO9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0" s="5" t="str">
        <f>IFERROR(OLDBD[[#This Row],[Llegada a packing]]-OLDBD[[#This Row],[Inicio de Ruta]],"")</f>
        <v/>
      </c>
      <c r="AQ970" s="6" t="str">
        <f>IFERROR(OLDBD[[#This Row],[Inicio de Ruta]]-OLDBD[[#This Row],[Salida de almacén de retiro]],"")</f>
        <v/>
      </c>
      <c r="AR9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0" s="8" t="str" cm="1">
        <f t="array" ref="AS9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0" s="9" t="str">
        <f>IFERROR(OLDBD[[#This Row],[Ingreso Packing]]-OLDBD[[#This Row],[Registro en Packing]],"")</f>
        <v/>
      </c>
      <c r="AV970" s="9" t="str">
        <f>IFERROR(OLDBD[[#This Row],[Ingreso Packing]]-OLDBD[[#This Row],[Llegada a packing]],"")</f>
        <v/>
      </c>
      <c r="AW9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0" s="5" t="str">
        <f>IFERROR(OLDBD[[#This Row],[Llegada Almacén de Ingreso]]-OLDBD[[#This Row],[Salida Packing]],"")</f>
        <v/>
      </c>
      <c r="AY970" s="4" t="str" cm="1">
        <f t="array" ref="AY9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0" s="43" t="s">
        <v>173</v>
      </c>
      <c r="BB970" s="47" t="str">
        <f>IFERROR(IF(MARÍTIMOS[[#This Row],[Estatus]]="","",MARÍTIMOS[[#This Row],[Estatus]]),"")</f>
        <v/>
      </c>
      <c r="BC970" s="43"/>
      <c r="BD970" s="46" t="str">
        <f>IFERROR(OLDBD[[#This Row],[Salida de almacén de retiro]]-OLDBD[[#This Row],[Ingreso Almacén de retiro]],"")</f>
        <v/>
      </c>
      <c r="BE970" s="46" t="str">
        <f>IFERROR(OLDBD[[#This Row],[Fin de Carga]]-OLDBD[[#This Row],[Inicio de Carga]],"")</f>
        <v/>
      </c>
    </row>
    <row r="971" spans="1:57" customFormat="1" hidden="1">
      <c r="A971" s="1"/>
      <c r="B971" s="1" t="str">
        <f>IFERROR(IF(MARÍTIMOS[[#This Row],[PP]]="","",MARÍTIMOS[[#This Row],[PP]]),"")</f>
        <v/>
      </c>
      <c r="C971" s="1" t="str">
        <f>IFERROR(IF(MARÍTIMOS[[#This Row],[Sede]]="","",MARÍTIMOS[[#This Row],[Sede]]),"")</f>
        <v/>
      </c>
      <c r="D971" s="1" t="str">
        <f>IFERROR(IF(MARÍTIMOS[[#This Row],[Instruction]]="","",MARÍTIMOS[[#This Row],[Instruction]]),"")</f>
        <v/>
      </c>
      <c r="E971" s="1"/>
      <c r="F971" s="2" t="str">
        <f>IFERROR(IF(MARÍTIMOS[[#This Row],[Transportista]]="","",MARÍTIMOS[[#This Row],[Transportista]]),"")</f>
        <v/>
      </c>
      <c r="G971" s="2" t="str">
        <f>IFERROR(IF(MARÍTIMOS[[#This Row],[Tercero]]="","",MARÍTIMOS[[#This Row],[Tercero]]),"")</f>
        <v/>
      </c>
      <c r="H971" s="2" t="str">
        <f>IFERROR(IF(MARÍTIMOS[[#This Row],[Razón Social]]="","",MARÍTIMOS[[#This Row],[Razón Social]]),"")</f>
        <v/>
      </c>
      <c r="I971" s="2" t="str">
        <f>IFERROR(IF(MARÍTIMOS[[#This Row],[RUC]]="","",MARÍTIMOS[[#This Row],[RUC]]),"")</f>
        <v/>
      </c>
      <c r="J971" s="2" t="str">
        <f>IFERROR(IF(MARÍTIMOS[[#This Row],[Placa Tracto]]="","",MARÍTIMOS[[#This Row],[Placa Tracto]]),"")</f>
        <v/>
      </c>
      <c r="K971" s="2" t="str">
        <f>IFERROR(IF(MARÍTIMOS[[#This Row],[Placa Carreta]]="","",MARÍTIMOS[[#This Row],[Placa Carreta]]),"")</f>
        <v/>
      </c>
      <c r="L971" s="44" t="str">
        <f>IFERROR(IF(MARÍTIMOS[[#This Row],[Conductor]]="","",MARÍTIMOS[[#This Row],[Conductor]]),"")</f>
        <v/>
      </c>
      <c r="M971" s="2" t="str">
        <f>IFERROR(IF(MARÍTIMOS[[#This Row],[Licencia]]="","",MARÍTIMOS[[#This Row],[Licencia]]),"")</f>
        <v/>
      </c>
      <c r="N971" s="2" t="str">
        <f>IFERROR(IF(MARÍTIMOS[[#This Row],[Número de Contacto]]="","",MARÍTIMOS[[#This Row],[Número de Contacto]]),"")</f>
        <v/>
      </c>
      <c r="O971" s="10" t="str">
        <f>IFERROR(IF(MARÍTIMOS[[#This Row],[Booking|AWB|CRT]]="","",MARÍTIMOS[[#This Row],[Booking|AWB|CRT]]),"")</f>
        <v/>
      </c>
      <c r="P971" s="2" t="str">
        <f>IFERROR(IF(MARÍTIMOS[[#This Row],[Contenedor]]="","",MARÍTIMOS[[#This Row],[Contenedor]]),"")</f>
        <v/>
      </c>
      <c r="Q971" s="2" t="str">
        <f>IFERROR(IF(MARÍTIMOS[[#This Row],[Puerto de Retiro]]="","",MARÍTIMOS[[#This Row],[Puerto de Retiro]]),"")</f>
        <v/>
      </c>
      <c r="R971" s="2" t="str">
        <f>IFERROR(IF(MARÍTIMOS[[#This Row],[Almacén de Retiro]]="","",MARÍTIMOS[[#This Row],[Almacén de Retiro]]),"")</f>
        <v/>
      </c>
      <c r="S971" s="11" t="str">
        <f>IFERROR(IF(MARÍTIMOS[[#This Row],[Etapa Retiro - Cita]]="","",MARÍTIMOS[[#This Row],[Etapa Retiro - Cita]]),"")</f>
        <v/>
      </c>
      <c r="T971" s="11" t="str">
        <f>IFERROR(IF(MARÍTIMOS[[#This Row],[Etapa Retiro - Llegada]]="","",MARÍTIMOS[[#This Row],[Etapa Retiro - Llegada]]),"")</f>
        <v/>
      </c>
      <c r="U971" s="11" t="str">
        <f>IFERROR(IF(MARÍTIMOS[[#This Row],[Etapa Retiro - Ingreso]]="","",MARÍTIMOS[[#This Row],[Etapa Retiro - Ingreso]]),"")</f>
        <v/>
      </c>
      <c r="V971" s="11" t="str">
        <f>IFERROR(IF(MARÍTIMOS[[#This Row],[Etapa Retiro - Atención]]="","",MARÍTIMOS[[#This Row],[Etapa Retiro - Atención]]),"")</f>
        <v/>
      </c>
      <c r="W971" s="11" t="str">
        <f>IFERROR(IF(MARÍTIMOS[[#This Row],[Etapa Retiro - Atención]]="","",MARÍTIMOS[[#This Row],[Etapa Retiro - Atención]]),"")</f>
        <v/>
      </c>
      <c r="X971" s="11" t="str">
        <f>IFERROR(IF(MARÍTIMOS[[#This Row],[Etapa Retiro - Inicio de Ruta]]="","",MARÍTIMOS[[#This Row],[Etapa Retiro - Inicio de Ruta]]),"")</f>
        <v/>
      </c>
      <c r="Y971" s="11" t="str">
        <f>IFERROR(IF(MARÍTIMOS[[#This Row],[Hora de Posicionamiento]]="","",MARÍTIMOS[[#This Row],[Fecha de Carga]]+MARÍTIMOS[[#This Row],[Hora de Posicionamiento]]),"")</f>
        <v/>
      </c>
      <c r="Z971" s="11" t="str">
        <f>IFERROR(IF(MARÍTIMOS[[#This Row],[Etapa Despacho - Llegada]]="","",MARÍTIMOS[[#This Row],[Etapa Despacho - Llegada]]),"")</f>
        <v/>
      </c>
      <c r="AA971" s="11" t="str">
        <f>IFERROR(IF(MARÍTIMOS[[#This Row],[Etapa Despacho - Registro]]="","",MARÍTIMOS[[#This Row],[Etapa Despacho - Registro]]),"")</f>
        <v/>
      </c>
      <c r="AB971" s="11" t="str">
        <f>IFERROR(IF(MARÍTIMOS[[#This Row],[Inspección Externa]]="","",MARÍTIMOS[[#This Row],[Inspección Externa]]),"")</f>
        <v/>
      </c>
      <c r="AC971" s="11" t="str">
        <f>IFERROR(IF(MARÍTIMOS[[#This Row],[Etapa Despacho - Inicio de Carga]]="","",MARÍTIMOS[[#This Row],[Etapa Despacho - Inicio de Carga]]),"")</f>
        <v/>
      </c>
      <c r="AD971" s="11" t="str">
        <f>IFERROR(IF(MARÍTIMOS[[#This Row],[Etapa Despacho - Mitad de Carga]]="","",MARÍTIMOS[[#This Row],[Etapa Despacho - Mitad de Carga]]),"")</f>
        <v/>
      </c>
      <c r="AE971" s="11" t="str">
        <f>IFERROR(IF(MARÍTIMOS[[#This Row],[Etapa Despacho - Fin de Carga]]="","",MARÍTIMOS[[#This Row],[Etapa Despacho - Fin de Carga]]),"")</f>
        <v/>
      </c>
      <c r="AF971" s="2" t="str">
        <f>IFERROR(IF(MARÍTIMOS[[#This Row],[Puerto de Embarque]]="","",MARÍTIMOS[[#This Row],[Puerto de Embarque]]),"")</f>
        <v/>
      </c>
      <c r="AG971" s="2" t="str">
        <f>IFERROR(IF(MARÍTIMOS[[#This Row],[Almacén de Ingreso]]="","",MARÍTIMOS[[#This Row],[Almacén de Ingreso]]),"")</f>
        <v/>
      </c>
      <c r="AH971" s="11" t="str">
        <f>IFERROR(IF(MARÍTIMOS[[#This Row],[Etapa Ingreso - Cita]]="","",MARÍTIMOS[[#This Row],[Etapa Ingreso - Cita]]),"")</f>
        <v/>
      </c>
      <c r="AI971" s="11" t="str">
        <f>IFERROR(IF(MARÍTIMOS[[#This Row],[Etapa Ingreso - Llegada]]="","",MARÍTIMOS[[#This Row],[Etapa Ingreso - Llegada]]),"")</f>
        <v/>
      </c>
      <c r="AJ971" s="11" t="str">
        <f>IFERROR(IF(MARÍTIMOS[[#This Row],[Etapa Ingreso - Ingeso]]="","",MARÍTIMOS[[#This Row],[Etapa Ingreso - Ingeso]]),"")</f>
        <v/>
      </c>
      <c r="AK971" s="11" t="str">
        <f>IFERROR(IF(MARÍTIMOS[[#This Row],[Etapa Ingreso - Atención]]="","",MARÍTIMOS[[#This Row],[Etapa Ingreso - Atención]]),"")</f>
        <v/>
      </c>
      <c r="AL971" s="11" t="str">
        <f>IFERROR(IF(MARÍTIMOS[[#This Row],[Etapa Ingreso - Salida]]="","",MARÍTIMOS[[#This Row],[Etapa Ingreso - Salida]]),"")</f>
        <v/>
      </c>
      <c r="AM971" s="2" t="str">
        <f>IFERROR(IF(MARÍTIMOS[[#This Row],[FCL]]="","",MARÍTIMOS[[#This Row],[FCL]]),"")</f>
        <v/>
      </c>
      <c r="AN9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1" s="4" t="str" cm="1">
        <f t="array" ref="AO9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1" s="5" t="str">
        <f>IFERROR(OLDBD[[#This Row],[Llegada a packing]]-OLDBD[[#This Row],[Inicio de Ruta]],"")</f>
        <v/>
      </c>
      <c r="AQ971" s="6" t="str">
        <f>IFERROR(OLDBD[[#This Row],[Inicio de Ruta]]-OLDBD[[#This Row],[Salida de almacén de retiro]],"")</f>
        <v/>
      </c>
      <c r="AR9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1" s="8" t="str" cm="1">
        <f t="array" ref="AS9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1" s="9" t="str">
        <f>IFERROR(OLDBD[[#This Row],[Ingreso Packing]]-OLDBD[[#This Row],[Registro en Packing]],"")</f>
        <v/>
      </c>
      <c r="AV971" s="9" t="str">
        <f>IFERROR(OLDBD[[#This Row],[Ingreso Packing]]-OLDBD[[#This Row],[Llegada a packing]],"")</f>
        <v/>
      </c>
      <c r="AW9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1" s="5" t="str">
        <f>IFERROR(OLDBD[[#This Row],[Llegada Almacén de Ingreso]]-OLDBD[[#This Row],[Salida Packing]],"")</f>
        <v/>
      </c>
      <c r="AY971" s="4" t="str" cm="1">
        <f t="array" ref="AY9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1" s="43" t="s">
        <v>173</v>
      </c>
      <c r="BB971" s="47" t="str">
        <f>IFERROR(IF(MARÍTIMOS[[#This Row],[Estatus]]="","",MARÍTIMOS[[#This Row],[Estatus]]),"")</f>
        <v/>
      </c>
      <c r="BC971" s="43"/>
      <c r="BD971" s="46" t="str">
        <f>IFERROR(OLDBD[[#This Row],[Salida de almacén de retiro]]-OLDBD[[#This Row],[Ingreso Almacén de retiro]],"")</f>
        <v/>
      </c>
      <c r="BE971" s="46" t="str">
        <f>IFERROR(OLDBD[[#This Row],[Fin de Carga]]-OLDBD[[#This Row],[Inicio de Carga]],"")</f>
        <v/>
      </c>
    </row>
    <row r="972" spans="1:57" customFormat="1" hidden="1">
      <c r="A972" s="1"/>
      <c r="B972" s="1" t="str">
        <f>IFERROR(IF(MARÍTIMOS[[#This Row],[PP]]="","",MARÍTIMOS[[#This Row],[PP]]),"")</f>
        <v/>
      </c>
      <c r="C972" s="1" t="str">
        <f>IFERROR(IF(MARÍTIMOS[[#This Row],[Sede]]="","",MARÍTIMOS[[#This Row],[Sede]]),"")</f>
        <v/>
      </c>
      <c r="D972" s="1" t="str">
        <f>IFERROR(IF(MARÍTIMOS[[#This Row],[Instruction]]="","",MARÍTIMOS[[#This Row],[Instruction]]),"")</f>
        <v/>
      </c>
      <c r="E972" s="1"/>
      <c r="F972" s="2" t="str">
        <f>IFERROR(IF(MARÍTIMOS[[#This Row],[Transportista]]="","",MARÍTIMOS[[#This Row],[Transportista]]),"")</f>
        <v/>
      </c>
      <c r="G972" s="2" t="str">
        <f>IFERROR(IF(MARÍTIMOS[[#This Row],[Tercero]]="","",MARÍTIMOS[[#This Row],[Tercero]]),"")</f>
        <v/>
      </c>
      <c r="H972" s="2" t="str">
        <f>IFERROR(IF(MARÍTIMOS[[#This Row],[Razón Social]]="","",MARÍTIMOS[[#This Row],[Razón Social]]),"")</f>
        <v/>
      </c>
      <c r="I972" s="2" t="str">
        <f>IFERROR(IF(MARÍTIMOS[[#This Row],[RUC]]="","",MARÍTIMOS[[#This Row],[RUC]]),"")</f>
        <v/>
      </c>
      <c r="J972" s="2" t="str">
        <f>IFERROR(IF(MARÍTIMOS[[#This Row],[Placa Tracto]]="","",MARÍTIMOS[[#This Row],[Placa Tracto]]),"")</f>
        <v/>
      </c>
      <c r="K972" s="2" t="str">
        <f>IFERROR(IF(MARÍTIMOS[[#This Row],[Placa Carreta]]="","",MARÍTIMOS[[#This Row],[Placa Carreta]]),"")</f>
        <v/>
      </c>
      <c r="L972" s="44" t="str">
        <f>IFERROR(IF(MARÍTIMOS[[#This Row],[Conductor]]="","",MARÍTIMOS[[#This Row],[Conductor]]),"")</f>
        <v/>
      </c>
      <c r="M972" s="2" t="str">
        <f>IFERROR(IF(MARÍTIMOS[[#This Row],[Licencia]]="","",MARÍTIMOS[[#This Row],[Licencia]]),"")</f>
        <v/>
      </c>
      <c r="N972" s="2" t="str">
        <f>IFERROR(IF(MARÍTIMOS[[#This Row],[Número de Contacto]]="","",MARÍTIMOS[[#This Row],[Número de Contacto]]),"")</f>
        <v/>
      </c>
      <c r="O972" s="10" t="str">
        <f>IFERROR(IF(MARÍTIMOS[[#This Row],[Booking|AWB|CRT]]="","",MARÍTIMOS[[#This Row],[Booking|AWB|CRT]]),"")</f>
        <v/>
      </c>
      <c r="P972" s="2" t="str">
        <f>IFERROR(IF(MARÍTIMOS[[#This Row],[Contenedor]]="","",MARÍTIMOS[[#This Row],[Contenedor]]),"")</f>
        <v/>
      </c>
      <c r="Q972" s="2" t="str">
        <f>IFERROR(IF(MARÍTIMOS[[#This Row],[Puerto de Retiro]]="","",MARÍTIMOS[[#This Row],[Puerto de Retiro]]),"")</f>
        <v/>
      </c>
      <c r="R972" s="2" t="str">
        <f>IFERROR(IF(MARÍTIMOS[[#This Row],[Almacén de Retiro]]="","",MARÍTIMOS[[#This Row],[Almacén de Retiro]]),"")</f>
        <v/>
      </c>
      <c r="S972" s="11" t="str">
        <f>IFERROR(IF(MARÍTIMOS[[#This Row],[Etapa Retiro - Cita]]="","",MARÍTIMOS[[#This Row],[Etapa Retiro - Cita]]),"")</f>
        <v/>
      </c>
      <c r="T972" s="11" t="str">
        <f>IFERROR(IF(MARÍTIMOS[[#This Row],[Etapa Retiro - Llegada]]="","",MARÍTIMOS[[#This Row],[Etapa Retiro - Llegada]]),"")</f>
        <v/>
      </c>
      <c r="U972" s="11" t="str">
        <f>IFERROR(IF(MARÍTIMOS[[#This Row],[Etapa Retiro - Ingreso]]="","",MARÍTIMOS[[#This Row],[Etapa Retiro - Ingreso]]),"")</f>
        <v/>
      </c>
      <c r="V972" s="11" t="str">
        <f>IFERROR(IF(MARÍTIMOS[[#This Row],[Etapa Retiro - Atención]]="","",MARÍTIMOS[[#This Row],[Etapa Retiro - Atención]]),"")</f>
        <v/>
      </c>
      <c r="W972" s="11" t="str">
        <f>IFERROR(IF(MARÍTIMOS[[#This Row],[Etapa Retiro - Atención]]="","",MARÍTIMOS[[#This Row],[Etapa Retiro - Atención]]),"")</f>
        <v/>
      </c>
      <c r="X972" s="11" t="str">
        <f>IFERROR(IF(MARÍTIMOS[[#This Row],[Etapa Retiro - Inicio de Ruta]]="","",MARÍTIMOS[[#This Row],[Etapa Retiro - Inicio de Ruta]]),"")</f>
        <v/>
      </c>
      <c r="Y972" s="11" t="str">
        <f>IFERROR(IF(MARÍTIMOS[[#This Row],[Hora de Posicionamiento]]="","",MARÍTIMOS[[#This Row],[Fecha de Carga]]+MARÍTIMOS[[#This Row],[Hora de Posicionamiento]]),"")</f>
        <v/>
      </c>
      <c r="Z972" s="11" t="str">
        <f>IFERROR(IF(MARÍTIMOS[[#This Row],[Etapa Despacho - Llegada]]="","",MARÍTIMOS[[#This Row],[Etapa Despacho - Llegada]]),"")</f>
        <v/>
      </c>
      <c r="AA972" s="11" t="str">
        <f>IFERROR(IF(MARÍTIMOS[[#This Row],[Etapa Despacho - Registro]]="","",MARÍTIMOS[[#This Row],[Etapa Despacho - Registro]]),"")</f>
        <v/>
      </c>
      <c r="AB972" s="11" t="str">
        <f>IFERROR(IF(MARÍTIMOS[[#This Row],[Inspección Externa]]="","",MARÍTIMOS[[#This Row],[Inspección Externa]]),"")</f>
        <v/>
      </c>
      <c r="AC972" s="11" t="str">
        <f>IFERROR(IF(MARÍTIMOS[[#This Row],[Etapa Despacho - Inicio de Carga]]="","",MARÍTIMOS[[#This Row],[Etapa Despacho - Inicio de Carga]]),"")</f>
        <v/>
      </c>
      <c r="AD972" s="11" t="str">
        <f>IFERROR(IF(MARÍTIMOS[[#This Row],[Etapa Despacho - Mitad de Carga]]="","",MARÍTIMOS[[#This Row],[Etapa Despacho - Mitad de Carga]]),"")</f>
        <v/>
      </c>
      <c r="AE972" s="11" t="str">
        <f>IFERROR(IF(MARÍTIMOS[[#This Row],[Etapa Despacho - Fin de Carga]]="","",MARÍTIMOS[[#This Row],[Etapa Despacho - Fin de Carga]]),"")</f>
        <v/>
      </c>
      <c r="AF972" s="2" t="str">
        <f>IFERROR(IF(MARÍTIMOS[[#This Row],[Puerto de Embarque]]="","",MARÍTIMOS[[#This Row],[Puerto de Embarque]]),"")</f>
        <v/>
      </c>
      <c r="AG972" s="2" t="str">
        <f>IFERROR(IF(MARÍTIMOS[[#This Row],[Almacén de Ingreso]]="","",MARÍTIMOS[[#This Row],[Almacén de Ingreso]]),"")</f>
        <v/>
      </c>
      <c r="AH972" s="11" t="str">
        <f>IFERROR(IF(MARÍTIMOS[[#This Row],[Etapa Ingreso - Cita]]="","",MARÍTIMOS[[#This Row],[Etapa Ingreso - Cita]]),"")</f>
        <v/>
      </c>
      <c r="AI972" s="11" t="str">
        <f>IFERROR(IF(MARÍTIMOS[[#This Row],[Etapa Ingreso - Llegada]]="","",MARÍTIMOS[[#This Row],[Etapa Ingreso - Llegada]]),"")</f>
        <v/>
      </c>
      <c r="AJ972" s="11" t="str">
        <f>IFERROR(IF(MARÍTIMOS[[#This Row],[Etapa Ingreso - Ingeso]]="","",MARÍTIMOS[[#This Row],[Etapa Ingreso - Ingeso]]),"")</f>
        <v/>
      </c>
      <c r="AK972" s="11" t="str">
        <f>IFERROR(IF(MARÍTIMOS[[#This Row],[Etapa Ingreso - Atención]]="","",MARÍTIMOS[[#This Row],[Etapa Ingreso - Atención]]),"")</f>
        <v/>
      </c>
      <c r="AL972" s="11" t="str">
        <f>IFERROR(IF(MARÍTIMOS[[#This Row],[Etapa Ingreso - Salida]]="","",MARÍTIMOS[[#This Row],[Etapa Ingreso - Salida]]),"")</f>
        <v/>
      </c>
      <c r="AM972" s="2" t="str">
        <f>IFERROR(IF(MARÍTIMOS[[#This Row],[FCL]]="","",MARÍTIMOS[[#This Row],[FCL]]),"")</f>
        <v/>
      </c>
      <c r="AN9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2" s="4" t="str" cm="1">
        <f t="array" ref="AO9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2" s="5" t="str">
        <f>IFERROR(OLDBD[[#This Row],[Llegada a packing]]-OLDBD[[#This Row],[Inicio de Ruta]],"")</f>
        <v/>
      </c>
      <c r="AQ972" s="6" t="str">
        <f>IFERROR(OLDBD[[#This Row],[Inicio de Ruta]]-OLDBD[[#This Row],[Salida de almacén de retiro]],"")</f>
        <v/>
      </c>
      <c r="AR9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2" s="8" t="str" cm="1">
        <f t="array" ref="AS9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2" s="9" t="str">
        <f>IFERROR(OLDBD[[#This Row],[Ingreso Packing]]-OLDBD[[#This Row],[Registro en Packing]],"")</f>
        <v/>
      </c>
      <c r="AV972" s="9" t="str">
        <f>IFERROR(OLDBD[[#This Row],[Ingreso Packing]]-OLDBD[[#This Row],[Llegada a packing]],"")</f>
        <v/>
      </c>
      <c r="AW9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2" s="5" t="str">
        <f>IFERROR(OLDBD[[#This Row],[Llegada Almacén de Ingreso]]-OLDBD[[#This Row],[Salida Packing]],"")</f>
        <v/>
      </c>
      <c r="AY972" s="4" t="str" cm="1">
        <f t="array" ref="AY9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2" s="43" t="s">
        <v>173</v>
      </c>
      <c r="BB972" s="47" t="str">
        <f>IFERROR(IF(MARÍTIMOS[[#This Row],[Estatus]]="","",MARÍTIMOS[[#This Row],[Estatus]]),"")</f>
        <v/>
      </c>
      <c r="BC972" s="43"/>
      <c r="BD972" s="46" t="str">
        <f>IFERROR(OLDBD[[#This Row],[Salida de almacén de retiro]]-OLDBD[[#This Row],[Ingreso Almacén de retiro]],"")</f>
        <v/>
      </c>
      <c r="BE972" s="46" t="str">
        <f>IFERROR(OLDBD[[#This Row],[Fin de Carga]]-OLDBD[[#This Row],[Inicio de Carga]],"")</f>
        <v/>
      </c>
    </row>
    <row r="973" spans="1:57" customFormat="1" hidden="1">
      <c r="A973" s="1"/>
      <c r="B973" s="1" t="str">
        <f>IFERROR(IF(MARÍTIMOS[[#This Row],[PP]]="","",MARÍTIMOS[[#This Row],[PP]]),"")</f>
        <v/>
      </c>
      <c r="C973" s="1" t="str">
        <f>IFERROR(IF(MARÍTIMOS[[#This Row],[Sede]]="","",MARÍTIMOS[[#This Row],[Sede]]),"")</f>
        <v/>
      </c>
      <c r="D973" s="1" t="str">
        <f>IFERROR(IF(MARÍTIMOS[[#This Row],[Instruction]]="","",MARÍTIMOS[[#This Row],[Instruction]]),"")</f>
        <v/>
      </c>
      <c r="E973" s="1"/>
      <c r="F973" s="2" t="str">
        <f>IFERROR(IF(MARÍTIMOS[[#This Row],[Transportista]]="","",MARÍTIMOS[[#This Row],[Transportista]]),"")</f>
        <v/>
      </c>
      <c r="G973" s="2" t="str">
        <f>IFERROR(IF(MARÍTIMOS[[#This Row],[Tercero]]="","",MARÍTIMOS[[#This Row],[Tercero]]),"")</f>
        <v/>
      </c>
      <c r="H973" s="2" t="str">
        <f>IFERROR(IF(MARÍTIMOS[[#This Row],[Razón Social]]="","",MARÍTIMOS[[#This Row],[Razón Social]]),"")</f>
        <v/>
      </c>
      <c r="I973" s="2" t="str">
        <f>IFERROR(IF(MARÍTIMOS[[#This Row],[RUC]]="","",MARÍTIMOS[[#This Row],[RUC]]),"")</f>
        <v/>
      </c>
      <c r="J973" s="2" t="str">
        <f>IFERROR(IF(MARÍTIMOS[[#This Row],[Placa Tracto]]="","",MARÍTIMOS[[#This Row],[Placa Tracto]]),"")</f>
        <v/>
      </c>
      <c r="K973" s="2" t="str">
        <f>IFERROR(IF(MARÍTIMOS[[#This Row],[Placa Carreta]]="","",MARÍTIMOS[[#This Row],[Placa Carreta]]),"")</f>
        <v/>
      </c>
      <c r="L973" s="44" t="str">
        <f>IFERROR(IF(MARÍTIMOS[[#This Row],[Conductor]]="","",MARÍTIMOS[[#This Row],[Conductor]]),"")</f>
        <v/>
      </c>
      <c r="M973" s="2" t="str">
        <f>IFERROR(IF(MARÍTIMOS[[#This Row],[Licencia]]="","",MARÍTIMOS[[#This Row],[Licencia]]),"")</f>
        <v/>
      </c>
      <c r="N973" s="2" t="str">
        <f>IFERROR(IF(MARÍTIMOS[[#This Row],[Número de Contacto]]="","",MARÍTIMOS[[#This Row],[Número de Contacto]]),"")</f>
        <v/>
      </c>
      <c r="O973" s="10" t="str">
        <f>IFERROR(IF(MARÍTIMOS[[#This Row],[Booking|AWB|CRT]]="","",MARÍTIMOS[[#This Row],[Booking|AWB|CRT]]),"")</f>
        <v/>
      </c>
      <c r="P973" s="2" t="str">
        <f>IFERROR(IF(MARÍTIMOS[[#This Row],[Contenedor]]="","",MARÍTIMOS[[#This Row],[Contenedor]]),"")</f>
        <v/>
      </c>
      <c r="Q973" s="2" t="str">
        <f>IFERROR(IF(MARÍTIMOS[[#This Row],[Puerto de Retiro]]="","",MARÍTIMOS[[#This Row],[Puerto de Retiro]]),"")</f>
        <v/>
      </c>
      <c r="R973" s="2" t="str">
        <f>IFERROR(IF(MARÍTIMOS[[#This Row],[Almacén de Retiro]]="","",MARÍTIMOS[[#This Row],[Almacén de Retiro]]),"")</f>
        <v/>
      </c>
      <c r="S973" s="11" t="str">
        <f>IFERROR(IF(MARÍTIMOS[[#This Row],[Etapa Retiro - Cita]]="","",MARÍTIMOS[[#This Row],[Etapa Retiro - Cita]]),"")</f>
        <v/>
      </c>
      <c r="T973" s="11" t="str">
        <f>IFERROR(IF(MARÍTIMOS[[#This Row],[Etapa Retiro - Llegada]]="","",MARÍTIMOS[[#This Row],[Etapa Retiro - Llegada]]),"")</f>
        <v/>
      </c>
      <c r="U973" s="11" t="str">
        <f>IFERROR(IF(MARÍTIMOS[[#This Row],[Etapa Retiro - Ingreso]]="","",MARÍTIMOS[[#This Row],[Etapa Retiro - Ingreso]]),"")</f>
        <v/>
      </c>
      <c r="V973" s="11" t="str">
        <f>IFERROR(IF(MARÍTIMOS[[#This Row],[Etapa Retiro - Atención]]="","",MARÍTIMOS[[#This Row],[Etapa Retiro - Atención]]),"")</f>
        <v/>
      </c>
      <c r="W973" s="11" t="str">
        <f>IFERROR(IF(MARÍTIMOS[[#This Row],[Etapa Retiro - Atención]]="","",MARÍTIMOS[[#This Row],[Etapa Retiro - Atención]]),"")</f>
        <v/>
      </c>
      <c r="X973" s="11" t="str">
        <f>IFERROR(IF(MARÍTIMOS[[#This Row],[Etapa Retiro - Inicio de Ruta]]="","",MARÍTIMOS[[#This Row],[Etapa Retiro - Inicio de Ruta]]),"")</f>
        <v/>
      </c>
      <c r="Y973" s="11" t="str">
        <f>IFERROR(IF(MARÍTIMOS[[#This Row],[Hora de Posicionamiento]]="","",MARÍTIMOS[[#This Row],[Fecha de Carga]]+MARÍTIMOS[[#This Row],[Hora de Posicionamiento]]),"")</f>
        <v/>
      </c>
      <c r="Z973" s="11" t="str">
        <f>IFERROR(IF(MARÍTIMOS[[#This Row],[Etapa Despacho - Llegada]]="","",MARÍTIMOS[[#This Row],[Etapa Despacho - Llegada]]),"")</f>
        <v/>
      </c>
      <c r="AA973" s="11" t="str">
        <f>IFERROR(IF(MARÍTIMOS[[#This Row],[Etapa Despacho - Registro]]="","",MARÍTIMOS[[#This Row],[Etapa Despacho - Registro]]),"")</f>
        <v/>
      </c>
      <c r="AB973" s="11" t="str">
        <f>IFERROR(IF(MARÍTIMOS[[#This Row],[Inspección Externa]]="","",MARÍTIMOS[[#This Row],[Inspección Externa]]),"")</f>
        <v/>
      </c>
      <c r="AC973" s="11" t="str">
        <f>IFERROR(IF(MARÍTIMOS[[#This Row],[Etapa Despacho - Inicio de Carga]]="","",MARÍTIMOS[[#This Row],[Etapa Despacho - Inicio de Carga]]),"")</f>
        <v/>
      </c>
      <c r="AD973" s="11" t="str">
        <f>IFERROR(IF(MARÍTIMOS[[#This Row],[Etapa Despacho - Mitad de Carga]]="","",MARÍTIMOS[[#This Row],[Etapa Despacho - Mitad de Carga]]),"")</f>
        <v/>
      </c>
      <c r="AE973" s="11" t="str">
        <f>IFERROR(IF(MARÍTIMOS[[#This Row],[Etapa Despacho - Fin de Carga]]="","",MARÍTIMOS[[#This Row],[Etapa Despacho - Fin de Carga]]),"")</f>
        <v/>
      </c>
      <c r="AF973" s="2" t="str">
        <f>IFERROR(IF(MARÍTIMOS[[#This Row],[Puerto de Embarque]]="","",MARÍTIMOS[[#This Row],[Puerto de Embarque]]),"")</f>
        <v/>
      </c>
      <c r="AG973" s="2" t="str">
        <f>IFERROR(IF(MARÍTIMOS[[#This Row],[Almacén de Ingreso]]="","",MARÍTIMOS[[#This Row],[Almacén de Ingreso]]),"")</f>
        <v/>
      </c>
      <c r="AH973" s="11" t="str">
        <f>IFERROR(IF(MARÍTIMOS[[#This Row],[Etapa Ingreso - Cita]]="","",MARÍTIMOS[[#This Row],[Etapa Ingreso - Cita]]),"")</f>
        <v/>
      </c>
      <c r="AI973" s="11" t="str">
        <f>IFERROR(IF(MARÍTIMOS[[#This Row],[Etapa Ingreso - Llegada]]="","",MARÍTIMOS[[#This Row],[Etapa Ingreso - Llegada]]),"")</f>
        <v/>
      </c>
      <c r="AJ973" s="11" t="str">
        <f>IFERROR(IF(MARÍTIMOS[[#This Row],[Etapa Ingreso - Ingeso]]="","",MARÍTIMOS[[#This Row],[Etapa Ingreso - Ingeso]]),"")</f>
        <v/>
      </c>
      <c r="AK973" s="11" t="str">
        <f>IFERROR(IF(MARÍTIMOS[[#This Row],[Etapa Ingreso - Atención]]="","",MARÍTIMOS[[#This Row],[Etapa Ingreso - Atención]]),"")</f>
        <v/>
      </c>
      <c r="AL973" s="11" t="str">
        <f>IFERROR(IF(MARÍTIMOS[[#This Row],[Etapa Ingreso - Salida]]="","",MARÍTIMOS[[#This Row],[Etapa Ingreso - Salida]]),"")</f>
        <v/>
      </c>
      <c r="AM973" s="2" t="str">
        <f>IFERROR(IF(MARÍTIMOS[[#This Row],[FCL]]="","",MARÍTIMOS[[#This Row],[FCL]]),"")</f>
        <v/>
      </c>
      <c r="AN9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3" s="4" t="str" cm="1">
        <f t="array" ref="AO9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3" s="5" t="str">
        <f>IFERROR(OLDBD[[#This Row],[Llegada a packing]]-OLDBD[[#This Row],[Inicio de Ruta]],"")</f>
        <v/>
      </c>
      <c r="AQ973" s="6" t="str">
        <f>IFERROR(OLDBD[[#This Row],[Inicio de Ruta]]-OLDBD[[#This Row],[Salida de almacén de retiro]],"")</f>
        <v/>
      </c>
      <c r="AR9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3" s="8" t="str" cm="1">
        <f t="array" ref="AS9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3" s="9" t="str">
        <f>IFERROR(OLDBD[[#This Row],[Ingreso Packing]]-OLDBD[[#This Row],[Registro en Packing]],"")</f>
        <v/>
      </c>
      <c r="AV973" s="9" t="str">
        <f>IFERROR(OLDBD[[#This Row],[Ingreso Packing]]-OLDBD[[#This Row],[Llegada a packing]],"")</f>
        <v/>
      </c>
      <c r="AW9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3" s="5" t="str">
        <f>IFERROR(OLDBD[[#This Row],[Llegada Almacén de Ingreso]]-OLDBD[[#This Row],[Salida Packing]],"")</f>
        <v/>
      </c>
      <c r="AY973" s="4" t="str" cm="1">
        <f t="array" ref="AY9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3" s="43" t="s">
        <v>173</v>
      </c>
      <c r="BB973" s="47" t="str">
        <f>IFERROR(IF(MARÍTIMOS[[#This Row],[Estatus]]="","",MARÍTIMOS[[#This Row],[Estatus]]),"")</f>
        <v/>
      </c>
      <c r="BC973" s="43"/>
      <c r="BD973" s="46" t="str">
        <f>IFERROR(OLDBD[[#This Row],[Salida de almacén de retiro]]-OLDBD[[#This Row],[Ingreso Almacén de retiro]],"")</f>
        <v/>
      </c>
      <c r="BE973" s="46" t="str">
        <f>IFERROR(OLDBD[[#This Row],[Fin de Carga]]-OLDBD[[#This Row],[Inicio de Carga]],"")</f>
        <v/>
      </c>
    </row>
    <row r="974" spans="1:57" customFormat="1" hidden="1">
      <c r="A974" s="1"/>
      <c r="B974" s="1" t="str">
        <f>IFERROR(IF(MARÍTIMOS[[#This Row],[PP]]="","",MARÍTIMOS[[#This Row],[PP]]),"")</f>
        <v/>
      </c>
      <c r="C974" s="1" t="str">
        <f>IFERROR(IF(MARÍTIMOS[[#This Row],[Sede]]="","",MARÍTIMOS[[#This Row],[Sede]]),"")</f>
        <v/>
      </c>
      <c r="D974" s="1" t="str">
        <f>IFERROR(IF(MARÍTIMOS[[#This Row],[Instruction]]="","",MARÍTIMOS[[#This Row],[Instruction]]),"")</f>
        <v/>
      </c>
      <c r="E974" s="1"/>
      <c r="F974" s="2" t="str">
        <f>IFERROR(IF(MARÍTIMOS[[#This Row],[Transportista]]="","",MARÍTIMOS[[#This Row],[Transportista]]),"")</f>
        <v/>
      </c>
      <c r="G974" s="2" t="str">
        <f>IFERROR(IF(MARÍTIMOS[[#This Row],[Tercero]]="","",MARÍTIMOS[[#This Row],[Tercero]]),"")</f>
        <v/>
      </c>
      <c r="H974" s="2" t="str">
        <f>IFERROR(IF(MARÍTIMOS[[#This Row],[Razón Social]]="","",MARÍTIMOS[[#This Row],[Razón Social]]),"")</f>
        <v/>
      </c>
      <c r="I974" s="2" t="str">
        <f>IFERROR(IF(MARÍTIMOS[[#This Row],[RUC]]="","",MARÍTIMOS[[#This Row],[RUC]]),"")</f>
        <v/>
      </c>
      <c r="J974" s="2" t="str">
        <f>IFERROR(IF(MARÍTIMOS[[#This Row],[Placa Tracto]]="","",MARÍTIMOS[[#This Row],[Placa Tracto]]),"")</f>
        <v/>
      </c>
      <c r="K974" s="2" t="str">
        <f>IFERROR(IF(MARÍTIMOS[[#This Row],[Placa Carreta]]="","",MARÍTIMOS[[#This Row],[Placa Carreta]]),"")</f>
        <v/>
      </c>
      <c r="L974" s="44" t="str">
        <f>IFERROR(IF(MARÍTIMOS[[#This Row],[Conductor]]="","",MARÍTIMOS[[#This Row],[Conductor]]),"")</f>
        <v/>
      </c>
      <c r="M974" s="2" t="str">
        <f>IFERROR(IF(MARÍTIMOS[[#This Row],[Licencia]]="","",MARÍTIMOS[[#This Row],[Licencia]]),"")</f>
        <v/>
      </c>
      <c r="N974" s="2" t="str">
        <f>IFERROR(IF(MARÍTIMOS[[#This Row],[Número de Contacto]]="","",MARÍTIMOS[[#This Row],[Número de Contacto]]),"")</f>
        <v/>
      </c>
      <c r="O974" s="10" t="str">
        <f>IFERROR(IF(MARÍTIMOS[[#This Row],[Booking|AWB|CRT]]="","",MARÍTIMOS[[#This Row],[Booking|AWB|CRT]]),"")</f>
        <v/>
      </c>
      <c r="P974" s="2" t="str">
        <f>IFERROR(IF(MARÍTIMOS[[#This Row],[Contenedor]]="","",MARÍTIMOS[[#This Row],[Contenedor]]),"")</f>
        <v/>
      </c>
      <c r="Q974" s="2" t="str">
        <f>IFERROR(IF(MARÍTIMOS[[#This Row],[Puerto de Retiro]]="","",MARÍTIMOS[[#This Row],[Puerto de Retiro]]),"")</f>
        <v/>
      </c>
      <c r="R974" s="2" t="str">
        <f>IFERROR(IF(MARÍTIMOS[[#This Row],[Almacén de Retiro]]="","",MARÍTIMOS[[#This Row],[Almacén de Retiro]]),"")</f>
        <v/>
      </c>
      <c r="S974" s="11" t="str">
        <f>IFERROR(IF(MARÍTIMOS[[#This Row],[Etapa Retiro - Cita]]="","",MARÍTIMOS[[#This Row],[Etapa Retiro - Cita]]),"")</f>
        <v/>
      </c>
      <c r="T974" s="11" t="str">
        <f>IFERROR(IF(MARÍTIMOS[[#This Row],[Etapa Retiro - Llegada]]="","",MARÍTIMOS[[#This Row],[Etapa Retiro - Llegada]]),"")</f>
        <v/>
      </c>
      <c r="U974" s="11" t="str">
        <f>IFERROR(IF(MARÍTIMOS[[#This Row],[Etapa Retiro - Ingreso]]="","",MARÍTIMOS[[#This Row],[Etapa Retiro - Ingreso]]),"")</f>
        <v/>
      </c>
      <c r="V974" s="11" t="str">
        <f>IFERROR(IF(MARÍTIMOS[[#This Row],[Etapa Retiro - Atención]]="","",MARÍTIMOS[[#This Row],[Etapa Retiro - Atención]]),"")</f>
        <v/>
      </c>
      <c r="W974" s="11" t="str">
        <f>IFERROR(IF(MARÍTIMOS[[#This Row],[Etapa Retiro - Atención]]="","",MARÍTIMOS[[#This Row],[Etapa Retiro - Atención]]),"")</f>
        <v/>
      </c>
      <c r="X974" s="11" t="str">
        <f>IFERROR(IF(MARÍTIMOS[[#This Row],[Etapa Retiro - Inicio de Ruta]]="","",MARÍTIMOS[[#This Row],[Etapa Retiro - Inicio de Ruta]]),"")</f>
        <v/>
      </c>
      <c r="Y974" s="11" t="str">
        <f>IFERROR(IF(MARÍTIMOS[[#This Row],[Hora de Posicionamiento]]="","",MARÍTIMOS[[#This Row],[Fecha de Carga]]+MARÍTIMOS[[#This Row],[Hora de Posicionamiento]]),"")</f>
        <v/>
      </c>
      <c r="Z974" s="11" t="str">
        <f>IFERROR(IF(MARÍTIMOS[[#This Row],[Etapa Despacho - Llegada]]="","",MARÍTIMOS[[#This Row],[Etapa Despacho - Llegada]]),"")</f>
        <v/>
      </c>
      <c r="AA974" s="11" t="str">
        <f>IFERROR(IF(MARÍTIMOS[[#This Row],[Etapa Despacho - Registro]]="","",MARÍTIMOS[[#This Row],[Etapa Despacho - Registro]]),"")</f>
        <v/>
      </c>
      <c r="AB974" s="11" t="str">
        <f>IFERROR(IF(MARÍTIMOS[[#This Row],[Inspección Externa]]="","",MARÍTIMOS[[#This Row],[Inspección Externa]]),"")</f>
        <v/>
      </c>
      <c r="AC974" s="11" t="str">
        <f>IFERROR(IF(MARÍTIMOS[[#This Row],[Etapa Despacho - Inicio de Carga]]="","",MARÍTIMOS[[#This Row],[Etapa Despacho - Inicio de Carga]]),"")</f>
        <v/>
      </c>
      <c r="AD974" s="11" t="str">
        <f>IFERROR(IF(MARÍTIMOS[[#This Row],[Etapa Despacho - Mitad de Carga]]="","",MARÍTIMOS[[#This Row],[Etapa Despacho - Mitad de Carga]]),"")</f>
        <v/>
      </c>
      <c r="AE974" s="11" t="str">
        <f>IFERROR(IF(MARÍTIMOS[[#This Row],[Etapa Despacho - Fin de Carga]]="","",MARÍTIMOS[[#This Row],[Etapa Despacho - Fin de Carga]]),"")</f>
        <v/>
      </c>
      <c r="AF974" s="2" t="str">
        <f>IFERROR(IF(MARÍTIMOS[[#This Row],[Puerto de Embarque]]="","",MARÍTIMOS[[#This Row],[Puerto de Embarque]]),"")</f>
        <v/>
      </c>
      <c r="AG974" s="2" t="str">
        <f>IFERROR(IF(MARÍTIMOS[[#This Row],[Almacén de Ingreso]]="","",MARÍTIMOS[[#This Row],[Almacén de Ingreso]]),"")</f>
        <v/>
      </c>
      <c r="AH974" s="11" t="str">
        <f>IFERROR(IF(MARÍTIMOS[[#This Row],[Etapa Ingreso - Cita]]="","",MARÍTIMOS[[#This Row],[Etapa Ingreso - Cita]]),"")</f>
        <v/>
      </c>
      <c r="AI974" s="11" t="str">
        <f>IFERROR(IF(MARÍTIMOS[[#This Row],[Etapa Ingreso - Llegada]]="","",MARÍTIMOS[[#This Row],[Etapa Ingreso - Llegada]]),"")</f>
        <v/>
      </c>
      <c r="AJ974" s="11" t="str">
        <f>IFERROR(IF(MARÍTIMOS[[#This Row],[Etapa Ingreso - Ingeso]]="","",MARÍTIMOS[[#This Row],[Etapa Ingreso - Ingeso]]),"")</f>
        <v/>
      </c>
      <c r="AK974" s="11" t="str">
        <f>IFERROR(IF(MARÍTIMOS[[#This Row],[Etapa Ingreso - Atención]]="","",MARÍTIMOS[[#This Row],[Etapa Ingreso - Atención]]),"")</f>
        <v/>
      </c>
      <c r="AL974" s="11" t="str">
        <f>IFERROR(IF(MARÍTIMOS[[#This Row],[Etapa Ingreso - Salida]]="","",MARÍTIMOS[[#This Row],[Etapa Ingreso - Salida]]),"")</f>
        <v/>
      </c>
      <c r="AM974" s="2" t="str">
        <f>IFERROR(IF(MARÍTIMOS[[#This Row],[FCL]]="","",MARÍTIMOS[[#This Row],[FCL]]),"")</f>
        <v/>
      </c>
      <c r="AN9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4" s="4" t="str" cm="1">
        <f t="array" ref="AO9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4" s="5" t="str">
        <f>IFERROR(OLDBD[[#This Row],[Llegada a packing]]-OLDBD[[#This Row],[Inicio de Ruta]],"")</f>
        <v/>
      </c>
      <c r="AQ974" s="6" t="str">
        <f>IFERROR(OLDBD[[#This Row],[Inicio de Ruta]]-OLDBD[[#This Row],[Salida de almacén de retiro]],"")</f>
        <v/>
      </c>
      <c r="AR9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4" s="8" t="str" cm="1">
        <f t="array" ref="AS9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4" s="9" t="str">
        <f>IFERROR(OLDBD[[#This Row],[Ingreso Packing]]-OLDBD[[#This Row],[Registro en Packing]],"")</f>
        <v/>
      </c>
      <c r="AV974" s="9" t="str">
        <f>IFERROR(OLDBD[[#This Row],[Ingreso Packing]]-OLDBD[[#This Row],[Llegada a packing]],"")</f>
        <v/>
      </c>
      <c r="AW9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4" s="5" t="str">
        <f>IFERROR(OLDBD[[#This Row],[Llegada Almacén de Ingreso]]-OLDBD[[#This Row],[Salida Packing]],"")</f>
        <v/>
      </c>
      <c r="AY974" s="4" t="str" cm="1">
        <f t="array" ref="AY9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4" s="43" t="s">
        <v>173</v>
      </c>
      <c r="BB974" s="47" t="str">
        <f>IFERROR(IF(MARÍTIMOS[[#This Row],[Estatus]]="","",MARÍTIMOS[[#This Row],[Estatus]]),"")</f>
        <v/>
      </c>
      <c r="BC974" s="43"/>
      <c r="BD974" s="46" t="str">
        <f>IFERROR(OLDBD[[#This Row],[Salida de almacén de retiro]]-OLDBD[[#This Row],[Ingreso Almacén de retiro]],"")</f>
        <v/>
      </c>
      <c r="BE974" s="46" t="str">
        <f>IFERROR(OLDBD[[#This Row],[Fin de Carga]]-OLDBD[[#This Row],[Inicio de Carga]],"")</f>
        <v/>
      </c>
    </row>
    <row r="975" spans="1:57" customFormat="1" hidden="1">
      <c r="A975" s="1"/>
      <c r="B975" s="1" t="str">
        <f>IFERROR(IF(MARÍTIMOS[[#This Row],[PP]]="","",MARÍTIMOS[[#This Row],[PP]]),"")</f>
        <v/>
      </c>
      <c r="C975" s="1" t="str">
        <f>IFERROR(IF(MARÍTIMOS[[#This Row],[Sede]]="","",MARÍTIMOS[[#This Row],[Sede]]),"")</f>
        <v/>
      </c>
      <c r="D975" s="1" t="str">
        <f>IFERROR(IF(MARÍTIMOS[[#This Row],[Instruction]]="","",MARÍTIMOS[[#This Row],[Instruction]]),"")</f>
        <v/>
      </c>
      <c r="E975" s="1"/>
      <c r="F975" s="2" t="str">
        <f>IFERROR(IF(MARÍTIMOS[[#This Row],[Transportista]]="","",MARÍTIMOS[[#This Row],[Transportista]]),"")</f>
        <v/>
      </c>
      <c r="G975" s="2" t="str">
        <f>IFERROR(IF(MARÍTIMOS[[#This Row],[Tercero]]="","",MARÍTIMOS[[#This Row],[Tercero]]),"")</f>
        <v/>
      </c>
      <c r="H975" s="2" t="str">
        <f>IFERROR(IF(MARÍTIMOS[[#This Row],[Razón Social]]="","",MARÍTIMOS[[#This Row],[Razón Social]]),"")</f>
        <v/>
      </c>
      <c r="I975" s="2" t="str">
        <f>IFERROR(IF(MARÍTIMOS[[#This Row],[RUC]]="","",MARÍTIMOS[[#This Row],[RUC]]),"")</f>
        <v/>
      </c>
      <c r="J975" s="2" t="str">
        <f>IFERROR(IF(MARÍTIMOS[[#This Row],[Placa Tracto]]="","",MARÍTIMOS[[#This Row],[Placa Tracto]]),"")</f>
        <v/>
      </c>
      <c r="K975" s="2" t="str">
        <f>IFERROR(IF(MARÍTIMOS[[#This Row],[Placa Carreta]]="","",MARÍTIMOS[[#This Row],[Placa Carreta]]),"")</f>
        <v/>
      </c>
      <c r="L975" s="44" t="str">
        <f>IFERROR(IF(MARÍTIMOS[[#This Row],[Conductor]]="","",MARÍTIMOS[[#This Row],[Conductor]]),"")</f>
        <v/>
      </c>
      <c r="M975" s="2" t="str">
        <f>IFERROR(IF(MARÍTIMOS[[#This Row],[Licencia]]="","",MARÍTIMOS[[#This Row],[Licencia]]),"")</f>
        <v/>
      </c>
      <c r="N975" s="2" t="str">
        <f>IFERROR(IF(MARÍTIMOS[[#This Row],[Número de Contacto]]="","",MARÍTIMOS[[#This Row],[Número de Contacto]]),"")</f>
        <v/>
      </c>
      <c r="O975" s="10" t="str">
        <f>IFERROR(IF(MARÍTIMOS[[#This Row],[Booking|AWB|CRT]]="","",MARÍTIMOS[[#This Row],[Booking|AWB|CRT]]),"")</f>
        <v/>
      </c>
      <c r="P975" s="2" t="str">
        <f>IFERROR(IF(MARÍTIMOS[[#This Row],[Contenedor]]="","",MARÍTIMOS[[#This Row],[Contenedor]]),"")</f>
        <v/>
      </c>
      <c r="Q975" s="2" t="str">
        <f>IFERROR(IF(MARÍTIMOS[[#This Row],[Puerto de Retiro]]="","",MARÍTIMOS[[#This Row],[Puerto de Retiro]]),"")</f>
        <v/>
      </c>
      <c r="R975" s="2" t="str">
        <f>IFERROR(IF(MARÍTIMOS[[#This Row],[Almacén de Retiro]]="","",MARÍTIMOS[[#This Row],[Almacén de Retiro]]),"")</f>
        <v/>
      </c>
      <c r="S975" s="11" t="str">
        <f>IFERROR(IF(MARÍTIMOS[[#This Row],[Etapa Retiro - Cita]]="","",MARÍTIMOS[[#This Row],[Etapa Retiro - Cita]]),"")</f>
        <v/>
      </c>
      <c r="T975" s="11" t="str">
        <f>IFERROR(IF(MARÍTIMOS[[#This Row],[Etapa Retiro - Llegada]]="","",MARÍTIMOS[[#This Row],[Etapa Retiro - Llegada]]),"")</f>
        <v/>
      </c>
      <c r="U975" s="11" t="str">
        <f>IFERROR(IF(MARÍTIMOS[[#This Row],[Etapa Retiro - Ingreso]]="","",MARÍTIMOS[[#This Row],[Etapa Retiro - Ingreso]]),"")</f>
        <v/>
      </c>
      <c r="V975" s="11" t="str">
        <f>IFERROR(IF(MARÍTIMOS[[#This Row],[Etapa Retiro - Atención]]="","",MARÍTIMOS[[#This Row],[Etapa Retiro - Atención]]),"")</f>
        <v/>
      </c>
      <c r="W975" s="11" t="str">
        <f>IFERROR(IF(MARÍTIMOS[[#This Row],[Etapa Retiro - Atención]]="","",MARÍTIMOS[[#This Row],[Etapa Retiro - Atención]]),"")</f>
        <v/>
      </c>
      <c r="X975" s="11" t="str">
        <f>IFERROR(IF(MARÍTIMOS[[#This Row],[Etapa Retiro - Inicio de Ruta]]="","",MARÍTIMOS[[#This Row],[Etapa Retiro - Inicio de Ruta]]),"")</f>
        <v/>
      </c>
      <c r="Y975" s="11" t="str">
        <f>IFERROR(IF(MARÍTIMOS[[#This Row],[Hora de Posicionamiento]]="","",MARÍTIMOS[[#This Row],[Fecha de Carga]]+MARÍTIMOS[[#This Row],[Hora de Posicionamiento]]),"")</f>
        <v/>
      </c>
      <c r="Z975" s="11" t="str">
        <f>IFERROR(IF(MARÍTIMOS[[#This Row],[Etapa Despacho - Llegada]]="","",MARÍTIMOS[[#This Row],[Etapa Despacho - Llegada]]),"")</f>
        <v/>
      </c>
      <c r="AA975" s="11" t="str">
        <f>IFERROR(IF(MARÍTIMOS[[#This Row],[Etapa Despacho - Registro]]="","",MARÍTIMOS[[#This Row],[Etapa Despacho - Registro]]),"")</f>
        <v/>
      </c>
      <c r="AB975" s="11" t="str">
        <f>IFERROR(IF(MARÍTIMOS[[#This Row],[Inspección Externa]]="","",MARÍTIMOS[[#This Row],[Inspección Externa]]),"")</f>
        <v/>
      </c>
      <c r="AC975" s="11" t="str">
        <f>IFERROR(IF(MARÍTIMOS[[#This Row],[Etapa Despacho - Inicio de Carga]]="","",MARÍTIMOS[[#This Row],[Etapa Despacho - Inicio de Carga]]),"")</f>
        <v/>
      </c>
      <c r="AD975" s="11" t="str">
        <f>IFERROR(IF(MARÍTIMOS[[#This Row],[Etapa Despacho - Mitad de Carga]]="","",MARÍTIMOS[[#This Row],[Etapa Despacho - Mitad de Carga]]),"")</f>
        <v/>
      </c>
      <c r="AE975" s="11" t="str">
        <f>IFERROR(IF(MARÍTIMOS[[#This Row],[Etapa Despacho - Fin de Carga]]="","",MARÍTIMOS[[#This Row],[Etapa Despacho - Fin de Carga]]),"")</f>
        <v/>
      </c>
      <c r="AF975" s="2" t="str">
        <f>IFERROR(IF(MARÍTIMOS[[#This Row],[Puerto de Embarque]]="","",MARÍTIMOS[[#This Row],[Puerto de Embarque]]),"")</f>
        <v/>
      </c>
      <c r="AG975" s="2" t="str">
        <f>IFERROR(IF(MARÍTIMOS[[#This Row],[Almacén de Ingreso]]="","",MARÍTIMOS[[#This Row],[Almacén de Ingreso]]),"")</f>
        <v/>
      </c>
      <c r="AH975" s="11" t="str">
        <f>IFERROR(IF(MARÍTIMOS[[#This Row],[Etapa Ingreso - Cita]]="","",MARÍTIMOS[[#This Row],[Etapa Ingreso - Cita]]),"")</f>
        <v/>
      </c>
      <c r="AI975" s="11" t="str">
        <f>IFERROR(IF(MARÍTIMOS[[#This Row],[Etapa Ingreso - Llegada]]="","",MARÍTIMOS[[#This Row],[Etapa Ingreso - Llegada]]),"")</f>
        <v/>
      </c>
      <c r="AJ975" s="11" t="str">
        <f>IFERROR(IF(MARÍTIMOS[[#This Row],[Etapa Ingreso - Ingeso]]="","",MARÍTIMOS[[#This Row],[Etapa Ingreso - Ingeso]]),"")</f>
        <v/>
      </c>
      <c r="AK975" s="11" t="str">
        <f>IFERROR(IF(MARÍTIMOS[[#This Row],[Etapa Ingreso - Atención]]="","",MARÍTIMOS[[#This Row],[Etapa Ingreso - Atención]]),"")</f>
        <v/>
      </c>
      <c r="AL975" s="11" t="str">
        <f>IFERROR(IF(MARÍTIMOS[[#This Row],[Etapa Ingreso - Salida]]="","",MARÍTIMOS[[#This Row],[Etapa Ingreso - Salida]]),"")</f>
        <v/>
      </c>
      <c r="AM975" s="2" t="str">
        <f>IFERROR(IF(MARÍTIMOS[[#This Row],[FCL]]="","",MARÍTIMOS[[#This Row],[FCL]]),"")</f>
        <v/>
      </c>
      <c r="AN9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5" s="4" t="str" cm="1">
        <f t="array" ref="AO9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5" s="5" t="str">
        <f>IFERROR(OLDBD[[#This Row],[Llegada a packing]]-OLDBD[[#This Row],[Inicio de Ruta]],"")</f>
        <v/>
      </c>
      <c r="AQ975" s="6" t="str">
        <f>IFERROR(OLDBD[[#This Row],[Inicio de Ruta]]-OLDBD[[#This Row],[Salida de almacén de retiro]],"")</f>
        <v/>
      </c>
      <c r="AR9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5" s="8" t="str" cm="1">
        <f t="array" ref="AS9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5" s="9" t="str">
        <f>IFERROR(OLDBD[[#This Row],[Ingreso Packing]]-OLDBD[[#This Row],[Registro en Packing]],"")</f>
        <v/>
      </c>
      <c r="AV975" s="9" t="str">
        <f>IFERROR(OLDBD[[#This Row],[Ingreso Packing]]-OLDBD[[#This Row],[Llegada a packing]],"")</f>
        <v/>
      </c>
      <c r="AW9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5" s="5" t="str">
        <f>IFERROR(OLDBD[[#This Row],[Llegada Almacén de Ingreso]]-OLDBD[[#This Row],[Salida Packing]],"")</f>
        <v/>
      </c>
      <c r="AY975" s="4" t="str" cm="1">
        <f t="array" ref="AY9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5" s="43" t="s">
        <v>173</v>
      </c>
      <c r="BB975" s="47" t="str">
        <f>IFERROR(IF(MARÍTIMOS[[#This Row],[Estatus]]="","",MARÍTIMOS[[#This Row],[Estatus]]),"")</f>
        <v/>
      </c>
      <c r="BC975" s="43"/>
      <c r="BD975" s="46" t="str">
        <f>IFERROR(OLDBD[[#This Row],[Salida de almacén de retiro]]-OLDBD[[#This Row],[Ingreso Almacén de retiro]],"")</f>
        <v/>
      </c>
      <c r="BE975" s="46" t="str">
        <f>IFERROR(OLDBD[[#This Row],[Fin de Carga]]-OLDBD[[#This Row],[Inicio de Carga]],"")</f>
        <v/>
      </c>
    </row>
    <row r="976" spans="1:57" customFormat="1" hidden="1">
      <c r="A976" s="1"/>
      <c r="B976" s="1" t="str">
        <f>IFERROR(IF(MARÍTIMOS[[#This Row],[PP]]="","",MARÍTIMOS[[#This Row],[PP]]),"")</f>
        <v/>
      </c>
      <c r="C976" s="1" t="str">
        <f>IFERROR(IF(MARÍTIMOS[[#This Row],[Sede]]="","",MARÍTIMOS[[#This Row],[Sede]]),"")</f>
        <v/>
      </c>
      <c r="D976" s="1" t="str">
        <f>IFERROR(IF(MARÍTIMOS[[#This Row],[Instruction]]="","",MARÍTIMOS[[#This Row],[Instruction]]),"")</f>
        <v/>
      </c>
      <c r="E976" s="1"/>
      <c r="F976" s="2" t="str">
        <f>IFERROR(IF(MARÍTIMOS[[#This Row],[Transportista]]="","",MARÍTIMOS[[#This Row],[Transportista]]),"")</f>
        <v/>
      </c>
      <c r="G976" s="2" t="str">
        <f>IFERROR(IF(MARÍTIMOS[[#This Row],[Tercero]]="","",MARÍTIMOS[[#This Row],[Tercero]]),"")</f>
        <v/>
      </c>
      <c r="H976" s="2" t="str">
        <f>IFERROR(IF(MARÍTIMOS[[#This Row],[Razón Social]]="","",MARÍTIMOS[[#This Row],[Razón Social]]),"")</f>
        <v/>
      </c>
      <c r="I976" s="2" t="str">
        <f>IFERROR(IF(MARÍTIMOS[[#This Row],[RUC]]="","",MARÍTIMOS[[#This Row],[RUC]]),"")</f>
        <v/>
      </c>
      <c r="J976" s="2" t="str">
        <f>IFERROR(IF(MARÍTIMOS[[#This Row],[Placa Tracto]]="","",MARÍTIMOS[[#This Row],[Placa Tracto]]),"")</f>
        <v/>
      </c>
      <c r="K976" s="2" t="str">
        <f>IFERROR(IF(MARÍTIMOS[[#This Row],[Placa Carreta]]="","",MARÍTIMOS[[#This Row],[Placa Carreta]]),"")</f>
        <v/>
      </c>
      <c r="L976" s="44" t="str">
        <f>IFERROR(IF(MARÍTIMOS[[#This Row],[Conductor]]="","",MARÍTIMOS[[#This Row],[Conductor]]),"")</f>
        <v/>
      </c>
      <c r="M976" s="2" t="str">
        <f>IFERROR(IF(MARÍTIMOS[[#This Row],[Licencia]]="","",MARÍTIMOS[[#This Row],[Licencia]]),"")</f>
        <v/>
      </c>
      <c r="N976" s="2" t="str">
        <f>IFERROR(IF(MARÍTIMOS[[#This Row],[Número de Contacto]]="","",MARÍTIMOS[[#This Row],[Número de Contacto]]),"")</f>
        <v/>
      </c>
      <c r="O976" s="10" t="str">
        <f>IFERROR(IF(MARÍTIMOS[[#This Row],[Booking|AWB|CRT]]="","",MARÍTIMOS[[#This Row],[Booking|AWB|CRT]]),"")</f>
        <v/>
      </c>
      <c r="P976" s="2" t="str">
        <f>IFERROR(IF(MARÍTIMOS[[#This Row],[Contenedor]]="","",MARÍTIMOS[[#This Row],[Contenedor]]),"")</f>
        <v/>
      </c>
      <c r="Q976" s="2" t="str">
        <f>IFERROR(IF(MARÍTIMOS[[#This Row],[Puerto de Retiro]]="","",MARÍTIMOS[[#This Row],[Puerto de Retiro]]),"")</f>
        <v/>
      </c>
      <c r="R976" s="2" t="str">
        <f>IFERROR(IF(MARÍTIMOS[[#This Row],[Almacén de Retiro]]="","",MARÍTIMOS[[#This Row],[Almacén de Retiro]]),"")</f>
        <v/>
      </c>
      <c r="S976" s="11" t="str">
        <f>IFERROR(IF(MARÍTIMOS[[#This Row],[Etapa Retiro - Cita]]="","",MARÍTIMOS[[#This Row],[Etapa Retiro - Cita]]),"")</f>
        <v/>
      </c>
      <c r="T976" s="11" t="str">
        <f>IFERROR(IF(MARÍTIMOS[[#This Row],[Etapa Retiro - Llegada]]="","",MARÍTIMOS[[#This Row],[Etapa Retiro - Llegada]]),"")</f>
        <v/>
      </c>
      <c r="U976" s="11" t="str">
        <f>IFERROR(IF(MARÍTIMOS[[#This Row],[Etapa Retiro - Ingreso]]="","",MARÍTIMOS[[#This Row],[Etapa Retiro - Ingreso]]),"")</f>
        <v/>
      </c>
      <c r="V976" s="11" t="str">
        <f>IFERROR(IF(MARÍTIMOS[[#This Row],[Etapa Retiro - Atención]]="","",MARÍTIMOS[[#This Row],[Etapa Retiro - Atención]]),"")</f>
        <v/>
      </c>
      <c r="W976" s="11" t="str">
        <f>IFERROR(IF(MARÍTIMOS[[#This Row],[Etapa Retiro - Atención]]="","",MARÍTIMOS[[#This Row],[Etapa Retiro - Atención]]),"")</f>
        <v/>
      </c>
      <c r="X976" s="11" t="str">
        <f>IFERROR(IF(MARÍTIMOS[[#This Row],[Etapa Retiro - Inicio de Ruta]]="","",MARÍTIMOS[[#This Row],[Etapa Retiro - Inicio de Ruta]]),"")</f>
        <v/>
      </c>
      <c r="Y976" s="11" t="str">
        <f>IFERROR(IF(MARÍTIMOS[[#This Row],[Hora de Posicionamiento]]="","",MARÍTIMOS[[#This Row],[Fecha de Carga]]+MARÍTIMOS[[#This Row],[Hora de Posicionamiento]]),"")</f>
        <v/>
      </c>
      <c r="Z976" s="11" t="str">
        <f>IFERROR(IF(MARÍTIMOS[[#This Row],[Etapa Despacho - Llegada]]="","",MARÍTIMOS[[#This Row],[Etapa Despacho - Llegada]]),"")</f>
        <v/>
      </c>
      <c r="AA976" s="11" t="str">
        <f>IFERROR(IF(MARÍTIMOS[[#This Row],[Etapa Despacho - Registro]]="","",MARÍTIMOS[[#This Row],[Etapa Despacho - Registro]]),"")</f>
        <v/>
      </c>
      <c r="AB976" s="11" t="str">
        <f>IFERROR(IF(MARÍTIMOS[[#This Row],[Inspección Externa]]="","",MARÍTIMOS[[#This Row],[Inspección Externa]]),"")</f>
        <v/>
      </c>
      <c r="AC976" s="11" t="str">
        <f>IFERROR(IF(MARÍTIMOS[[#This Row],[Etapa Despacho - Inicio de Carga]]="","",MARÍTIMOS[[#This Row],[Etapa Despacho - Inicio de Carga]]),"")</f>
        <v/>
      </c>
      <c r="AD976" s="11" t="str">
        <f>IFERROR(IF(MARÍTIMOS[[#This Row],[Etapa Despacho - Mitad de Carga]]="","",MARÍTIMOS[[#This Row],[Etapa Despacho - Mitad de Carga]]),"")</f>
        <v/>
      </c>
      <c r="AE976" s="11" t="str">
        <f>IFERROR(IF(MARÍTIMOS[[#This Row],[Etapa Despacho - Fin de Carga]]="","",MARÍTIMOS[[#This Row],[Etapa Despacho - Fin de Carga]]),"")</f>
        <v/>
      </c>
      <c r="AF976" s="2" t="str">
        <f>IFERROR(IF(MARÍTIMOS[[#This Row],[Puerto de Embarque]]="","",MARÍTIMOS[[#This Row],[Puerto de Embarque]]),"")</f>
        <v/>
      </c>
      <c r="AG976" s="2" t="str">
        <f>IFERROR(IF(MARÍTIMOS[[#This Row],[Almacén de Ingreso]]="","",MARÍTIMOS[[#This Row],[Almacén de Ingreso]]),"")</f>
        <v/>
      </c>
      <c r="AH976" s="11" t="str">
        <f>IFERROR(IF(MARÍTIMOS[[#This Row],[Etapa Ingreso - Cita]]="","",MARÍTIMOS[[#This Row],[Etapa Ingreso - Cita]]),"")</f>
        <v/>
      </c>
      <c r="AI976" s="11" t="str">
        <f>IFERROR(IF(MARÍTIMOS[[#This Row],[Etapa Ingreso - Llegada]]="","",MARÍTIMOS[[#This Row],[Etapa Ingreso - Llegada]]),"")</f>
        <v/>
      </c>
      <c r="AJ976" s="11" t="str">
        <f>IFERROR(IF(MARÍTIMOS[[#This Row],[Etapa Ingreso - Ingeso]]="","",MARÍTIMOS[[#This Row],[Etapa Ingreso - Ingeso]]),"")</f>
        <v/>
      </c>
      <c r="AK976" s="11" t="str">
        <f>IFERROR(IF(MARÍTIMOS[[#This Row],[Etapa Ingreso - Atención]]="","",MARÍTIMOS[[#This Row],[Etapa Ingreso - Atención]]),"")</f>
        <v/>
      </c>
      <c r="AL976" s="11" t="str">
        <f>IFERROR(IF(MARÍTIMOS[[#This Row],[Etapa Ingreso - Salida]]="","",MARÍTIMOS[[#This Row],[Etapa Ingreso - Salida]]),"")</f>
        <v/>
      </c>
      <c r="AM976" s="2" t="str">
        <f>IFERROR(IF(MARÍTIMOS[[#This Row],[FCL]]="","",MARÍTIMOS[[#This Row],[FCL]]),"")</f>
        <v/>
      </c>
      <c r="AN9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6" s="4" t="str" cm="1">
        <f t="array" ref="AO9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6" s="5" t="str">
        <f>IFERROR(OLDBD[[#This Row],[Llegada a packing]]-OLDBD[[#This Row],[Inicio de Ruta]],"")</f>
        <v/>
      </c>
      <c r="AQ976" s="6" t="str">
        <f>IFERROR(OLDBD[[#This Row],[Inicio de Ruta]]-OLDBD[[#This Row],[Salida de almacén de retiro]],"")</f>
        <v/>
      </c>
      <c r="AR9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6" s="8" t="str" cm="1">
        <f t="array" ref="AS9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6" s="9" t="str">
        <f>IFERROR(OLDBD[[#This Row],[Ingreso Packing]]-OLDBD[[#This Row],[Registro en Packing]],"")</f>
        <v/>
      </c>
      <c r="AV976" s="9" t="str">
        <f>IFERROR(OLDBD[[#This Row],[Ingreso Packing]]-OLDBD[[#This Row],[Llegada a packing]],"")</f>
        <v/>
      </c>
      <c r="AW9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6" s="5" t="str">
        <f>IFERROR(OLDBD[[#This Row],[Llegada Almacén de Ingreso]]-OLDBD[[#This Row],[Salida Packing]],"")</f>
        <v/>
      </c>
      <c r="AY976" s="4" t="str" cm="1">
        <f t="array" ref="AY9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6" s="43" t="s">
        <v>173</v>
      </c>
      <c r="BB976" s="47" t="str">
        <f>IFERROR(IF(MARÍTIMOS[[#This Row],[Estatus]]="","",MARÍTIMOS[[#This Row],[Estatus]]),"")</f>
        <v/>
      </c>
      <c r="BC976" s="43"/>
      <c r="BD976" s="46" t="str">
        <f>IFERROR(OLDBD[[#This Row],[Salida de almacén de retiro]]-OLDBD[[#This Row],[Ingreso Almacén de retiro]],"")</f>
        <v/>
      </c>
      <c r="BE976" s="46" t="str">
        <f>IFERROR(OLDBD[[#This Row],[Fin de Carga]]-OLDBD[[#This Row],[Inicio de Carga]],"")</f>
        <v/>
      </c>
    </row>
    <row r="977" spans="1:57" customFormat="1" hidden="1">
      <c r="A977" s="1"/>
      <c r="B977" s="1" t="str">
        <f>IFERROR(IF(MARÍTIMOS[[#This Row],[PP]]="","",MARÍTIMOS[[#This Row],[PP]]),"")</f>
        <v/>
      </c>
      <c r="C977" s="1" t="str">
        <f>IFERROR(IF(MARÍTIMOS[[#This Row],[Sede]]="","",MARÍTIMOS[[#This Row],[Sede]]),"")</f>
        <v/>
      </c>
      <c r="D977" s="1" t="str">
        <f>IFERROR(IF(MARÍTIMOS[[#This Row],[Instruction]]="","",MARÍTIMOS[[#This Row],[Instruction]]),"")</f>
        <v/>
      </c>
      <c r="E977" s="1"/>
      <c r="F977" s="2" t="str">
        <f>IFERROR(IF(MARÍTIMOS[[#This Row],[Transportista]]="","",MARÍTIMOS[[#This Row],[Transportista]]),"")</f>
        <v/>
      </c>
      <c r="G977" s="2" t="str">
        <f>IFERROR(IF(MARÍTIMOS[[#This Row],[Tercero]]="","",MARÍTIMOS[[#This Row],[Tercero]]),"")</f>
        <v/>
      </c>
      <c r="H977" s="2" t="str">
        <f>IFERROR(IF(MARÍTIMOS[[#This Row],[Razón Social]]="","",MARÍTIMOS[[#This Row],[Razón Social]]),"")</f>
        <v/>
      </c>
      <c r="I977" s="2" t="str">
        <f>IFERROR(IF(MARÍTIMOS[[#This Row],[RUC]]="","",MARÍTIMOS[[#This Row],[RUC]]),"")</f>
        <v/>
      </c>
      <c r="J977" s="2" t="str">
        <f>IFERROR(IF(MARÍTIMOS[[#This Row],[Placa Tracto]]="","",MARÍTIMOS[[#This Row],[Placa Tracto]]),"")</f>
        <v/>
      </c>
      <c r="K977" s="2" t="str">
        <f>IFERROR(IF(MARÍTIMOS[[#This Row],[Placa Carreta]]="","",MARÍTIMOS[[#This Row],[Placa Carreta]]),"")</f>
        <v/>
      </c>
      <c r="L977" s="44" t="str">
        <f>IFERROR(IF(MARÍTIMOS[[#This Row],[Conductor]]="","",MARÍTIMOS[[#This Row],[Conductor]]),"")</f>
        <v/>
      </c>
      <c r="M977" s="2" t="str">
        <f>IFERROR(IF(MARÍTIMOS[[#This Row],[Licencia]]="","",MARÍTIMOS[[#This Row],[Licencia]]),"")</f>
        <v/>
      </c>
      <c r="N977" s="2" t="str">
        <f>IFERROR(IF(MARÍTIMOS[[#This Row],[Número de Contacto]]="","",MARÍTIMOS[[#This Row],[Número de Contacto]]),"")</f>
        <v/>
      </c>
      <c r="O977" s="10" t="str">
        <f>IFERROR(IF(MARÍTIMOS[[#This Row],[Booking|AWB|CRT]]="","",MARÍTIMOS[[#This Row],[Booking|AWB|CRT]]),"")</f>
        <v/>
      </c>
      <c r="P977" s="2" t="str">
        <f>IFERROR(IF(MARÍTIMOS[[#This Row],[Contenedor]]="","",MARÍTIMOS[[#This Row],[Contenedor]]),"")</f>
        <v/>
      </c>
      <c r="Q977" s="2" t="str">
        <f>IFERROR(IF(MARÍTIMOS[[#This Row],[Puerto de Retiro]]="","",MARÍTIMOS[[#This Row],[Puerto de Retiro]]),"")</f>
        <v/>
      </c>
      <c r="R977" s="2" t="str">
        <f>IFERROR(IF(MARÍTIMOS[[#This Row],[Almacén de Retiro]]="","",MARÍTIMOS[[#This Row],[Almacén de Retiro]]),"")</f>
        <v/>
      </c>
      <c r="S977" s="11" t="str">
        <f>IFERROR(IF(MARÍTIMOS[[#This Row],[Etapa Retiro - Cita]]="","",MARÍTIMOS[[#This Row],[Etapa Retiro - Cita]]),"")</f>
        <v/>
      </c>
      <c r="T977" s="11" t="str">
        <f>IFERROR(IF(MARÍTIMOS[[#This Row],[Etapa Retiro - Llegada]]="","",MARÍTIMOS[[#This Row],[Etapa Retiro - Llegada]]),"")</f>
        <v/>
      </c>
      <c r="U977" s="11" t="str">
        <f>IFERROR(IF(MARÍTIMOS[[#This Row],[Etapa Retiro - Ingreso]]="","",MARÍTIMOS[[#This Row],[Etapa Retiro - Ingreso]]),"")</f>
        <v/>
      </c>
      <c r="V977" s="11" t="str">
        <f>IFERROR(IF(MARÍTIMOS[[#This Row],[Etapa Retiro - Atención]]="","",MARÍTIMOS[[#This Row],[Etapa Retiro - Atención]]),"")</f>
        <v/>
      </c>
      <c r="W977" s="11" t="str">
        <f>IFERROR(IF(MARÍTIMOS[[#This Row],[Etapa Retiro - Atención]]="","",MARÍTIMOS[[#This Row],[Etapa Retiro - Atención]]),"")</f>
        <v/>
      </c>
      <c r="X977" s="11" t="str">
        <f>IFERROR(IF(MARÍTIMOS[[#This Row],[Etapa Retiro - Inicio de Ruta]]="","",MARÍTIMOS[[#This Row],[Etapa Retiro - Inicio de Ruta]]),"")</f>
        <v/>
      </c>
      <c r="Y977" s="11" t="str">
        <f>IFERROR(IF(MARÍTIMOS[[#This Row],[Hora de Posicionamiento]]="","",MARÍTIMOS[[#This Row],[Fecha de Carga]]+MARÍTIMOS[[#This Row],[Hora de Posicionamiento]]),"")</f>
        <v/>
      </c>
      <c r="Z977" s="11" t="str">
        <f>IFERROR(IF(MARÍTIMOS[[#This Row],[Etapa Despacho - Llegada]]="","",MARÍTIMOS[[#This Row],[Etapa Despacho - Llegada]]),"")</f>
        <v/>
      </c>
      <c r="AA977" s="11" t="str">
        <f>IFERROR(IF(MARÍTIMOS[[#This Row],[Etapa Despacho - Registro]]="","",MARÍTIMOS[[#This Row],[Etapa Despacho - Registro]]),"")</f>
        <v/>
      </c>
      <c r="AB977" s="11" t="str">
        <f>IFERROR(IF(MARÍTIMOS[[#This Row],[Inspección Externa]]="","",MARÍTIMOS[[#This Row],[Inspección Externa]]),"")</f>
        <v/>
      </c>
      <c r="AC977" s="11" t="str">
        <f>IFERROR(IF(MARÍTIMOS[[#This Row],[Etapa Despacho - Inicio de Carga]]="","",MARÍTIMOS[[#This Row],[Etapa Despacho - Inicio de Carga]]),"")</f>
        <v/>
      </c>
      <c r="AD977" s="11" t="str">
        <f>IFERROR(IF(MARÍTIMOS[[#This Row],[Etapa Despacho - Mitad de Carga]]="","",MARÍTIMOS[[#This Row],[Etapa Despacho - Mitad de Carga]]),"")</f>
        <v/>
      </c>
      <c r="AE977" s="11" t="str">
        <f>IFERROR(IF(MARÍTIMOS[[#This Row],[Etapa Despacho - Fin de Carga]]="","",MARÍTIMOS[[#This Row],[Etapa Despacho - Fin de Carga]]),"")</f>
        <v/>
      </c>
      <c r="AF977" s="2" t="str">
        <f>IFERROR(IF(MARÍTIMOS[[#This Row],[Puerto de Embarque]]="","",MARÍTIMOS[[#This Row],[Puerto de Embarque]]),"")</f>
        <v/>
      </c>
      <c r="AG977" s="2" t="str">
        <f>IFERROR(IF(MARÍTIMOS[[#This Row],[Almacén de Ingreso]]="","",MARÍTIMOS[[#This Row],[Almacén de Ingreso]]),"")</f>
        <v/>
      </c>
      <c r="AH977" s="11" t="str">
        <f>IFERROR(IF(MARÍTIMOS[[#This Row],[Etapa Ingreso - Cita]]="","",MARÍTIMOS[[#This Row],[Etapa Ingreso - Cita]]),"")</f>
        <v/>
      </c>
      <c r="AI977" s="11" t="str">
        <f>IFERROR(IF(MARÍTIMOS[[#This Row],[Etapa Ingreso - Llegada]]="","",MARÍTIMOS[[#This Row],[Etapa Ingreso - Llegada]]),"")</f>
        <v/>
      </c>
      <c r="AJ977" s="11" t="str">
        <f>IFERROR(IF(MARÍTIMOS[[#This Row],[Etapa Ingreso - Ingeso]]="","",MARÍTIMOS[[#This Row],[Etapa Ingreso - Ingeso]]),"")</f>
        <v/>
      </c>
      <c r="AK977" s="11" t="str">
        <f>IFERROR(IF(MARÍTIMOS[[#This Row],[Etapa Ingreso - Atención]]="","",MARÍTIMOS[[#This Row],[Etapa Ingreso - Atención]]),"")</f>
        <v/>
      </c>
      <c r="AL977" s="11" t="str">
        <f>IFERROR(IF(MARÍTIMOS[[#This Row],[Etapa Ingreso - Salida]]="","",MARÍTIMOS[[#This Row],[Etapa Ingreso - Salida]]),"")</f>
        <v/>
      </c>
      <c r="AM977" s="2" t="str">
        <f>IFERROR(IF(MARÍTIMOS[[#This Row],[FCL]]="","",MARÍTIMOS[[#This Row],[FCL]]),"")</f>
        <v/>
      </c>
      <c r="AN9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7" s="4" t="str" cm="1">
        <f t="array" ref="AO9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7" s="5" t="str">
        <f>IFERROR(OLDBD[[#This Row],[Llegada a packing]]-OLDBD[[#This Row],[Inicio de Ruta]],"")</f>
        <v/>
      </c>
      <c r="AQ977" s="6" t="str">
        <f>IFERROR(OLDBD[[#This Row],[Inicio de Ruta]]-OLDBD[[#This Row],[Salida de almacén de retiro]],"")</f>
        <v/>
      </c>
      <c r="AR9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7" s="8" t="str" cm="1">
        <f t="array" ref="AS9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7" s="9" t="str">
        <f>IFERROR(OLDBD[[#This Row],[Ingreso Packing]]-OLDBD[[#This Row],[Registro en Packing]],"")</f>
        <v/>
      </c>
      <c r="AV977" s="9" t="str">
        <f>IFERROR(OLDBD[[#This Row],[Ingreso Packing]]-OLDBD[[#This Row],[Llegada a packing]],"")</f>
        <v/>
      </c>
      <c r="AW9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7" s="5" t="str">
        <f>IFERROR(OLDBD[[#This Row],[Llegada Almacén de Ingreso]]-OLDBD[[#This Row],[Salida Packing]],"")</f>
        <v/>
      </c>
      <c r="AY977" s="4" t="str" cm="1">
        <f t="array" ref="AY9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7" s="43" t="s">
        <v>173</v>
      </c>
      <c r="BB977" s="47" t="str">
        <f>IFERROR(IF(MARÍTIMOS[[#This Row],[Estatus]]="","",MARÍTIMOS[[#This Row],[Estatus]]),"")</f>
        <v/>
      </c>
      <c r="BC977" s="43"/>
      <c r="BD977" s="46" t="str">
        <f>IFERROR(OLDBD[[#This Row],[Salida de almacén de retiro]]-OLDBD[[#This Row],[Ingreso Almacén de retiro]],"")</f>
        <v/>
      </c>
      <c r="BE977" s="46" t="str">
        <f>IFERROR(OLDBD[[#This Row],[Fin de Carga]]-OLDBD[[#This Row],[Inicio de Carga]],"")</f>
        <v/>
      </c>
    </row>
    <row r="978" spans="1:57" customFormat="1" hidden="1">
      <c r="A978" s="1"/>
      <c r="B978" s="1" t="str">
        <f>IFERROR(IF(MARÍTIMOS[[#This Row],[PP]]="","",MARÍTIMOS[[#This Row],[PP]]),"")</f>
        <v/>
      </c>
      <c r="C978" s="1" t="str">
        <f>IFERROR(IF(MARÍTIMOS[[#This Row],[Sede]]="","",MARÍTIMOS[[#This Row],[Sede]]),"")</f>
        <v/>
      </c>
      <c r="D978" s="1" t="str">
        <f>IFERROR(IF(MARÍTIMOS[[#This Row],[Instruction]]="","",MARÍTIMOS[[#This Row],[Instruction]]),"")</f>
        <v/>
      </c>
      <c r="E978" s="1"/>
      <c r="F978" s="2" t="str">
        <f>IFERROR(IF(MARÍTIMOS[[#This Row],[Transportista]]="","",MARÍTIMOS[[#This Row],[Transportista]]),"")</f>
        <v/>
      </c>
      <c r="G978" s="2" t="str">
        <f>IFERROR(IF(MARÍTIMOS[[#This Row],[Tercero]]="","",MARÍTIMOS[[#This Row],[Tercero]]),"")</f>
        <v/>
      </c>
      <c r="H978" s="2" t="str">
        <f>IFERROR(IF(MARÍTIMOS[[#This Row],[Razón Social]]="","",MARÍTIMOS[[#This Row],[Razón Social]]),"")</f>
        <v/>
      </c>
      <c r="I978" s="2" t="str">
        <f>IFERROR(IF(MARÍTIMOS[[#This Row],[RUC]]="","",MARÍTIMOS[[#This Row],[RUC]]),"")</f>
        <v/>
      </c>
      <c r="J978" s="2" t="str">
        <f>IFERROR(IF(MARÍTIMOS[[#This Row],[Placa Tracto]]="","",MARÍTIMOS[[#This Row],[Placa Tracto]]),"")</f>
        <v/>
      </c>
      <c r="K978" s="2" t="str">
        <f>IFERROR(IF(MARÍTIMOS[[#This Row],[Placa Carreta]]="","",MARÍTIMOS[[#This Row],[Placa Carreta]]),"")</f>
        <v/>
      </c>
      <c r="L978" s="44" t="str">
        <f>IFERROR(IF(MARÍTIMOS[[#This Row],[Conductor]]="","",MARÍTIMOS[[#This Row],[Conductor]]),"")</f>
        <v/>
      </c>
      <c r="M978" s="2" t="str">
        <f>IFERROR(IF(MARÍTIMOS[[#This Row],[Licencia]]="","",MARÍTIMOS[[#This Row],[Licencia]]),"")</f>
        <v/>
      </c>
      <c r="N978" s="2" t="str">
        <f>IFERROR(IF(MARÍTIMOS[[#This Row],[Número de Contacto]]="","",MARÍTIMOS[[#This Row],[Número de Contacto]]),"")</f>
        <v/>
      </c>
      <c r="O978" s="10" t="str">
        <f>IFERROR(IF(MARÍTIMOS[[#This Row],[Booking|AWB|CRT]]="","",MARÍTIMOS[[#This Row],[Booking|AWB|CRT]]),"")</f>
        <v/>
      </c>
      <c r="P978" s="2" t="str">
        <f>IFERROR(IF(MARÍTIMOS[[#This Row],[Contenedor]]="","",MARÍTIMOS[[#This Row],[Contenedor]]),"")</f>
        <v/>
      </c>
      <c r="Q978" s="2" t="str">
        <f>IFERROR(IF(MARÍTIMOS[[#This Row],[Puerto de Retiro]]="","",MARÍTIMOS[[#This Row],[Puerto de Retiro]]),"")</f>
        <v/>
      </c>
      <c r="R978" s="2" t="str">
        <f>IFERROR(IF(MARÍTIMOS[[#This Row],[Almacén de Retiro]]="","",MARÍTIMOS[[#This Row],[Almacén de Retiro]]),"")</f>
        <v/>
      </c>
      <c r="S978" s="11" t="str">
        <f>IFERROR(IF(MARÍTIMOS[[#This Row],[Etapa Retiro - Cita]]="","",MARÍTIMOS[[#This Row],[Etapa Retiro - Cita]]),"")</f>
        <v/>
      </c>
      <c r="T978" s="11" t="str">
        <f>IFERROR(IF(MARÍTIMOS[[#This Row],[Etapa Retiro - Llegada]]="","",MARÍTIMOS[[#This Row],[Etapa Retiro - Llegada]]),"")</f>
        <v/>
      </c>
      <c r="U978" s="11" t="str">
        <f>IFERROR(IF(MARÍTIMOS[[#This Row],[Etapa Retiro - Ingreso]]="","",MARÍTIMOS[[#This Row],[Etapa Retiro - Ingreso]]),"")</f>
        <v/>
      </c>
      <c r="V978" s="11" t="str">
        <f>IFERROR(IF(MARÍTIMOS[[#This Row],[Etapa Retiro - Atención]]="","",MARÍTIMOS[[#This Row],[Etapa Retiro - Atención]]),"")</f>
        <v/>
      </c>
      <c r="W978" s="11" t="str">
        <f>IFERROR(IF(MARÍTIMOS[[#This Row],[Etapa Retiro - Atención]]="","",MARÍTIMOS[[#This Row],[Etapa Retiro - Atención]]),"")</f>
        <v/>
      </c>
      <c r="X978" s="11" t="str">
        <f>IFERROR(IF(MARÍTIMOS[[#This Row],[Etapa Retiro - Inicio de Ruta]]="","",MARÍTIMOS[[#This Row],[Etapa Retiro - Inicio de Ruta]]),"")</f>
        <v/>
      </c>
      <c r="Y978" s="11" t="str">
        <f>IFERROR(IF(MARÍTIMOS[[#This Row],[Hora de Posicionamiento]]="","",MARÍTIMOS[[#This Row],[Fecha de Carga]]+MARÍTIMOS[[#This Row],[Hora de Posicionamiento]]),"")</f>
        <v/>
      </c>
      <c r="Z978" s="11" t="str">
        <f>IFERROR(IF(MARÍTIMOS[[#This Row],[Etapa Despacho - Llegada]]="","",MARÍTIMOS[[#This Row],[Etapa Despacho - Llegada]]),"")</f>
        <v/>
      </c>
      <c r="AA978" s="11" t="str">
        <f>IFERROR(IF(MARÍTIMOS[[#This Row],[Etapa Despacho - Registro]]="","",MARÍTIMOS[[#This Row],[Etapa Despacho - Registro]]),"")</f>
        <v/>
      </c>
      <c r="AB978" s="11" t="str">
        <f>IFERROR(IF(MARÍTIMOS[[#This Row],[Inspección Externa]]="","",MARÍTIMOS[[#This Row],[Inspección Externa]]),"")</f>
        <v/>
      </c>
      <c r="AC978" s="11" t="str">
        <f>IFERROR(IF(MARÍTIMOS[[#This Row],[Etapa Despacho - Inicio de Carga]]="","",MARÍTIMOS[[#This Row],[Etapa Despacho - Inicio de Carga]]),"")</f>
        <v/>
      </c>
      <c r="AD978" s="11" t="str">
        <f>IFERROR(IF(MARÍTIMOS[[#This Row],[Etapa Despacho - Mitad de Carga]]="","",MARÍTIMOS[[#This Row],[Etapa Despacho - Mitad de Carga]]),"")</f>
        <v/>
      </c>
      <c r="AE978" s="11" t="str">
        <f>IFERROR(IF(MARÍTIMOS[[#This Row],[Etapa Despacho - Fin de Carga]]="","",MARÍTIMOS[[#This Row],[Etapa Despacho - Fin de Carga]]),"")</f>
        <v/>
      </c>
      <c r="AF978" s="2" t="str">
        <f>IFERROR(IF(MARÍTIMOS[[#This Row],[Puerto de Embarque]]="","",MARÍTIMOS[[#This Row],[Puerto de Embarque]]),"")</f>
        <v/>
      </c>
      <c r="AG978" s="2" t="str">
        <f>IFERROR(IF(MARÍTIMOS[[#This Row],[Almacén de Ingreso]]="","",MARÍTIMOS[[#This Row],[Almacén de Ingreso]]),"")</f>
        <v/>
      </c>
      <c r="AH978" s="11" t="str">
        <f>IFERROR(IF(MARÍTIMOS[[#This Row],[Etapa Ingreso - Cita]]="","",MARÍTIMOS[[#This Row],[Etapa Ingreso - Cita]]),"")</f>
        <v/>
      </c>
      <c r="AI978" s="11" t="str">
        <f>IFERROR(IF(MARÍTIMOS[[#This Row],[Etapa Ingreso - Llegada]]="","",MARÍTIMOS[[#This Row],[Etapa Ingreso - Llegada]]),"")</f>
        <v/>
      </c>
      <c r="AJ978" s="11" t="str">
        <f>IFERROR(IF(MARÍTIMOS[[#This Row],[Etapa Ingreso - Ingeso]]="","",MARÍTIMOS[[#This Row],[Etapa Ingreso - Ingeso]]),"")</f>
        <v/>
      </c>
      <c r="AK978" s="11" t="str">
        <f>IFERROR(IF(MARÍTIMOS[[#This Row],[Etapa Ingreso - Atención]]="","",MARÍTIMOS[[#This Row],[Etapa Ingreso - Atención]]),"")</f>
        <v/>
      </c>
      <c r="AL978" s="11" t="str">
        <f>IFERROR(IF(MARÍTIMOS[[#This Row],[Etapa Ingreso - Salida]]="","",MARÍTIMOS[[#This Row],[Etapa Ingreso - Salida]]),"")</f>
        <v/>
      </c>
      <c r="AM978" s="2" t="str">
        <f>IFERROR(IF(MARÍTIMOS[[#This Row],[FCL]]="","",MARÍTIMOS[[#This Row],[FCL]]),"")</f>
        <v/>
      </c>
      <c r="AN9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8" s="4" t="str" cm="1">
        <f t="array" ref="AO9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8" s="5" t="str">
        <f>IFERROR(OLDBD[[#This Row],[Llegada a packing]]-OLDBD[[#This Row],[Inicio de Ruta]],"")</f>
        <v/>
      </c>
      <c r="AQ978" s="6" t="str">
        <f>IFERROR(OLDBD[[#This Row],[Inicio de Ruta]]-OLDBD[[#This Row],[Salida de almacén de retiro]],"")</f>
        <v/>
      </c>
      <c r="AR9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8" s="8" t="str" cm="1">
        <f t="array" ref="AS9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8" s="9" t="str">
        <f>IFERROR(OLDBD[[#This Row],[Ingreso Packing]]-OLDBD[[#This Row],[Registro en Packing]],"")</f>
        <v/>
      </c>
      <c r="AV978" s="9" t="str">
        <f>IFERROR(OLDBD[[#This Row],[Ingreso Packing]]-OLDBD[[#This Row],[Llegada a packing]],"")</f>
        <v/>
      </c>
      <c r="AW9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8" s="5" t="str">
        <f>IFERROR(OLDBD[[#This Row],[Llegada Almacén de Ingreso]]-OLDBD[[#This Row],[Salida Packing]],"")</f>
        <v/>
      </c>
      <c r="AY978" s="4" t="str" cm="1">
        <f t="array" ref="AY9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8" s="43" t="s">
        <v>173</v>
      </c>
      <c r="BB978" s="47" t="str">
        <f>IFERROR(IF(MARÍTIMOS[[#This Row],[Estatus]]="","",MARÍTIMOS[[#This Row],[Estatus]]),"")</f>
        <v/>
      </c>
      <c r="BC978" s="43"/>
      <c r="BD978" s="46" t="str">
        <f>IFERROR(OLDBD[[#This Row],[Salida de almacén de retiro]]-OLDBD[[#This Row],[Ingreso Almacén de retiro]],"")</f>
        <v/>
      </c>
      <c r="BE978" s="46" t="str">
        <f>IFERROR(OLDBD[[#This Row],[Fin de Carga]]-OLDBD[[#This Row],[Inicio de Carga]],"")</f>
        <v/>
      </c>
    </row>
    <row r="979" spans="1:57" customFormat="1" hidden="1">
      <c r="A979" s="1"/>
      <c r="B979" s="1" t="str">
        <f>IFERROR(IF(MARÍTIMOS[[#This Row],[PP]]="","",MARÍTIMOS[[#This Row],[PP]]),"")</f>
        <v/>
      </c>
      <c r="C979" s="1" t="str">
        <f>IFERROR(IF(MARÍTIMOS[[#This Row],[Sede]]="","",MARÍTIMOS[[#This Row],[Sede]]),"")</f>
        <v/>
      </c>
      <c r="D979" s="1" t="str">
        <f>IFERROR(IF(MARÍTIMOS[[#This Row],[Instruction]]="","",MARÍTIMOS[[#This Row],[Instruction]]),"")</f>
        <v/>
      </c>
      <c r="E979" s="1"/>
      <c r="F979" s="2" t="str">
        <f>IFERROR(IF(MARÍTIMOS[[#This Row],[Transportista]]="","",MARÍTIMOS[[#This Row],[Transportista]]),"")</f>
        <v/>
      </c>
      <c r="G979" s="2" t="str">
        <f>IFERROR(IF(MARÍTIMOS[[#This Row],[Tercero]]="","",MARÍTIMOS[[#This Row],[Tercero]]),"")</f>
        <v/>
      </c>
      <c r="H979" s="2" t="str">
        <f>IFERROR(IF(MARÍTIMOS[[#This Row],[Razón Social]]="","",MARÍTIMOS[[#This Row],[Razón Social]]),"")</f>
        <v/>
      </c>
      <c r="I979" s="2" t="str">
        <f>IFERROR(IF(MARÍTIMOS[[#This Row],[RUC]]="","",MARÍTIMOS[[#This Row],[RUC]]),"")</f>
        <v/>
      </c>
      <c r="J979" s="2" t="str">
        <f>IFERROR(IF(MARÍTIMOS[[#This Row],[Placa Tracto]]="","",MARÍTIMOS[[#This Row],[Placa Tracto]]),"")</f>
        <v/>
      </c>
      <c r="K979" s="2" t="str">
        <f>IFERROR(IF(MARÍTIMOS[[#This Row],[Placa Carreta]]="","",MARÍTIMOS[[#This Row],[Placa Carreta]]),"")</f>
        <v/>
      </c>
      <c r="L979" s="44" t="str">
        <f>IFERROR(IF(MARÍTIMOS[[#This Row],[Conductor]]="","",MARÍTIMOS[[#This Row],[Conductor]]),"")</f>
        <v/>
      </c>
      <c r="M979" s="2" t="str">
        <f>IFERROR(IF(MARÍTIMOS[[#This Row],[Licencia]]="","",MARÍTIMOS[[#This Row],[Licencia]]),"")</f>
        <v/>
      </c>
      <c r="N979" s="2" t="str">
        <f>IFERROR(IF(MARÍTIMOS[[#This Row],[Número de Contacto]]="","",MARÍTIMOS[[#This Row],[Número de Contacto]]),"")</f>
        <v/>
      </c>
      <c r="O979" s="10" t="str">
        <f>IFERROR(IF(MARÍTIMOS[[#This Row],[Booking|AWB|CRT]]="","",MARÍTIMOS[[#This Row],[Booking|AWB|CRT]]),"")</f>
        <v/>
      </c>
      <c r="P979" s="2" t="str">
        <f>IFERROR(IF(MARÍTIMOS[[#This Row],[Contenedor]]="","",MARÍTIMOS[[#This Row],[Contenedor]]),"")</f>
        <v/>
      </c>
      <c r="Q979" s="2" t="str">
        <f>IFERROR(IF(MARÍTIMOS[[#This Row],[Puerto de Retiro]]="","",MARÍTIMOS[[#This Row],[Puerto de Retiro]]),"")</f>
        <v/>
      </c>
      <c r="R979" s="2" t="str">
        <f>IFERROR(IF(MARÍTIMOS[[#This Row],[Almacén de Retiro]]="","",MARÍTIMOS[[#This Row],[Almacén de Retiro]]),"")</f>
        <v/>
      </c>
      <c r="S979" s="11" t="str">
        <f>IFERROR(IF(MARÍTIMOS[[#This Row],[Etapa Retiro - Cita]]="","",MARÍTIMOS[[#This Row],[Etapa Retiro - Cita]]),"")</f>
        <v/>
      </c>
      <c r="T979" s="11" t="str">
        <f>IFERROR(IF(MARÍTIMOS[[#This Row],[Etapa Retiro - Llegada]]="","",MARÍTIMOS[[#This Row],[Etapa Retiro - Llegada]]),"")</f>
        <v/>
      </c>
      <c r="U979" s="11" t="str">
        <f>IFERROR(IF(MARÍTIMOS[[#This Row],[Etapa Retiro - Ingreso]]="","",MARÍTIMOS[[#This Row],[Etapa Retiro - Ingreso]]),"")</f>
        <v/>
      </c>
      <c r="V979" s="11" t="str">
        <f>IFERROR(IF(MARÍTIMOS[[#This Row],[Etapa Retiro - Atención]]="","",MARÍTIMOS[[#This Row],[Etapa Retiro - Atención]]),"")</f>
        <v/>
      </c>
      <c r="W979" s="11" t="str">
        <f>IFERROR(IF(MARÍTIMOS[[#This Row],[Etapa Retiro - Atención]]="","",MARÍTIMOS[[#This Row],[Etapa Retiro - Atención]]),"")</f>
        <v/>
      </c>
      <c r="X979" s="11" t="str">
        <f>IFERROR(IF(MARÍTIMOS[[#This Row],[Etapa Retiro - Inicio de Ruta]]="","",MARÍTIMOS[[#This Row],[Etapa Retiro - Inicio de Ruta]]),"")</f>
        <v/>
      </c>
      <c r="Y979" s="11" t="str">
        <f>IFERROR(IF(MARÍTIMOS[[#This Row],[Hora de Posicionamiento]]="","",MARÍTIMOS[[#This Row],[Fecha de Carga]]+MARÍTIMOS[[#This Row],[Hora de Posicionamiento]]),"")</f>
        <v/>
      </c>
      <c r="Z979" s="11" t="str">
        <f>IFERROR(IF(MARÍTIMOS[[#This Row],[Etapa Despacho - Llegada]]="","",MARÍTIMOS[[#This Row],[Etapa Despacho - Llegada]]),"")</f>
        <v/>
      </c>
      <c r="AA979" s="11" t="str">
        <f>IFERROR(IF(MARÍTIMOS[[#This Row],[Etapa Despacho - Registro]]="","",MARÍTIMOS[[#This Row],[Etapa Despacho - Registro]]),"")</f>
        <v/>
      </c>
      <c r="AB979" s="11" t="str">
        <f>IFERROR(IF(MARÍTIMOS[[#This Row],[Inspección Externa]]="","",MARÍTIMOS[[#This Row],[Inspección Externa]]),"")</f>
        <v/>
      </c>
      <c r="AC979" s="11" t="str">
        <f>IFERROR(IF(MARÍTIMOS[[#This Row],[Etapa Despacho - Inicio de Carga]]="","",MARÍTIMOS[[#This Row],[Etapa Despacho - Inicio de Carga]]),"")</f>
        <v/>
      </c>
      <c r="AD979" s="11" t="str">
        <f>IFERROR(IF(MARÍTIMOS[[#This Row],[Etapa Despacho - Mitad de Carga]]="","",MARÍTIMOS[[#This Row],[Etapa Despacho - Mitad de Carga]]),"")</f>
        <v/>
      </c>
      <c r="AE979" s="11" t="str">
        <f>IFERROR(IF(MARÍTIMOS[[#This Row],[Etapa Despacho - Fin de Carga]]="","",MARÍTIMOS[[#This Row],[Etapa Despacho - Fin de Carga]]),"")</f>
        <v/>
      </c>
      <c r="AF979" s="2" t="str">
        <f>IFERROR(IF(MARÍTIMOS[[#This Row],[Puerto de Embarque]]="","",MARÍTIMOS[[#This Row],[Puerto de Embarque]]),"")</f>
        <v/>
      </c>
      <c r="AG979" s="2" t="str">
        <f>IFERROR(IF(MARÍTIMOS[[#This Row],[Almacén de Ingreso]]="","",MARÍTIMOS[[#This Row],[Almacén de Ingreso]]),"")</f>
        <v/>
      </c>
      <c r="AH979" s="11" t="str">
        <f>IFERROR(IF(MARÍTIMOS[[#This Row],[Etapa Ingreso - Cita]]="","",MARÍTIMOS[[#This Row],[Etapa Ingreso - Cita]]),"")</f>
        <v/>
      </c>
      <c r="AI979" s="11" t="str">
        <f>IFERROR(IF(MARÍTIMOS[[#This Row],[Etapa Ingreso - Llegada]]="","",MARÍTIMOS[[#This Row],[Etapa Ingreso - Llegada]]),"")</f>
        <v/>
      </c>
      <c r="AJ979" s="11" t="str">
        <f>IFERROR(IF(MARÍTIMOS[[#This Row],[Etapa Ingreso - Ingeso]]="","",MARÍTIMOS[[#This Row],[Etapa Ingreso - Ingeso]]),"")</f>
        <v/>
      </c>
      <c r="AK979" s="11" t="str">
        <f>IFERROR(IF(MARÍTIMOS[[#This Row],[Etapa Ingreso - Atención]]="","",MARÍTIMOS[[#This Row],[Etapa Ingreso - Atención]]),"")</f>
        <v/>
      </c>
      <c r="AL979" s="11" t="str">
        <f>IFERROR(IF(MARÍTIMOS[[#This Row],[Etapa Ingreso - Salida]]="","",MARÍTIMOS[[#This Row],[Etapa Ingreso - Salida]]),"")</f>
        <v/>
      </c>
      <c r="AM979" s="2" t="str">
        <f>IFERROR(IF(MARÍTIMOS[[#This Row],[FCL]]="","",MARÍTIMOS[[#This Row],[FCL]]),"")</f>
        <v/>
      </c>
      <c r="AN9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79" s="4" t="str" cm="1">
        <f t="array" ref="AO9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79" s="5" t="str">
        <f>IFERROR(OLDBD[[#This Row],[Llegada a packing]]-OLDBD[[#This Row],[Inicio de Ruta]],"")</f>
        <v/>
      </c>
      <c r="AQ979" s="6" t="str">
        <f>IFERROR(OLDBD[[#This Row],[Inicio de Ruta]]-OLDBD[[#This Row],[Salida de almacén de retiro]],"")</f>
        <v/>
      </c>
      <c r="AR9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79" s="8" t="str" cm="1">
        <f t="array" ref="AS9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79" s="9" t="str">
        <f>IFERROR(OLDBD[[#This Row],[Ingreso Packing]]-OLDBD[[#This Row],[Registro en Packing]],"")</f>
        <v/>
      </c>
      <c r="AV979" s="9" t="str">
        <f>IFERROR(OLDBD[[#This Row],[Ingreso Packing]]-OLDBD[[#This Row],[Llegada a packing]],"")</f>
        <v/>
      </c>
      <c r="AW9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79" s="5" t="str">
        <f>IFERROR(OLDBD[[#This Row],[Llegada Almacén de Ingreso]]-OLDBD[[#This Row],[Salida Packing]],"")</f>
        <v/>
      </c>
      <c r="AY979" s="4" t="str" cm="1">
        <f t="array" ref="AY9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79" s="43" t="s">
        <v>173</v>
      </c>
      <c r="BB979" s="47" t="str">
        <f>IFERROR(IF(MARÍTIMOS[[#This Row],[Estatus]]="","",MARÍTIMOS[[#This Row],[Estatus]]),"")</f>
        <v/>
      </c>
      <c r="BC979" s="43"/>
      <c r="BD979" s="46" t="str">
        <f>IFERROR(OLDBD[[#This Row],[Salida de almacén de retiro]]-OLDBD[[#This Row],[Ingreso Almacén de retiro]],"")</f>
        <v/>
      </c>
      <c r="BE979" s="46" t="str">
        <f>IFERROR(OLDBD[[#This Row],[Fin de Carga]]-OLDBD[[#This Row],[Inicio de Carga]],"")</f>
        <v/>
      </c>
    </row>
    <row r="980" spans="1:57" customFormat="1" hidden="1">
      <c r="A980" s="1"/>
      <c r="B980" s="1" t="str">
        <f>IFERROR(IF(MARÍTIMOS[[#This Row],[PP]]="","",MARÍTIMOS[[#This Row],[PP]]),"")</f>
        <v/>
      </c>
      <c r="C980" s="1" t="str">
        <f>IFERROR(IF(MARÍTIMOS[[#This Row],[Sede]]="","",MARÍTIMOS[[#This Row],[Sede]]),"")</f>
        <v/>
      </c>
      <c r="D980" s="1" t="str">
        <f>IFERROR(IF(MARÍTIMOS[[#This Row],[Instruction]]="","",MARÍTIMOS[[#This Row],[Instruction]]),"")</f>
        <v/>
      </c>
      <c r="E980" s="1"/>
      <c r="F980" s="2" t="str">
        <f>IFERROR(IF(MARÍTIMOS[[#This Row],[Transportista]]="","",MARÍTIMOS[[#This Row],[Transportista]]),"")</f>
        <v/>
      </c>
      <c r="G980" s="2" t="str">
        <f>IFERROR(IF(MARÍTIMOS[[#This Row],[Tercero]]="","",MARÍTIMOS[[#This Row],[Tercero]]),"")</f>
        <v/>
      </c>
      <c r="H980" s="2" t="str">
        <f>IFERROR(IF(MARÍTIMOS[[#This Row],[Razón Social]]="","",MARÍTIMOS[[#This Row],[Razón Social]]),"")</f>
        <v/>
      </c>
      <c r="I980" s="2" t="str">
        <f>IFERROR(IF(MARÍTIMOS[[#This Row],[RUC]]="","",MARÍTIMOS[[#This Row],[RUC]]),"")</f>
        <v/>
      </c>
      <c r="J980" s="2" t="str">
        <f>IFERROR(IF(MARÍTIMOS[[#This Row],[Placa Tracto]]="","",MARÍTIMOS[[#This Row],[Placa Tracto]]),"")</f>
        <v/>
      </c>
      <c r="K980" s="2" t="str">
        <f>IFERROR(IF(MARÍTIMOS[[#This Row],[Placa Carreta]]="","",MARÍTIMOS[[#This Row],[Placa Carreta]]),"")</f>
        <v/>
      </c>
      <c r="L980" s="44" t="str">
        <f>IFERROR(IF(MARÍTIMOS[[#This Row],[Conductor]]="","",MARÍTIMOS[[#This Row],[Conductor]]),"")</f>
        <v/>
      </c>
      <c r="M980" s="2" t="str">
        <f>IFERROR(IF(MARÍTIMOS[[#This Row],[Licencia]]="","",MARÍTIMOS[[#This Row],[Licencia]]),"")</f>
        <v/>
      </c>
      <c r="N980" s="2" t="str">
        <f>IFERROR(IF(MARÍTIMOS[[#This Row],[Número de Contacto]]="","",MARÍTIMOS[[#This Row],[Número de Contacto]]),"")</f>
        <v/>
      </c>
      <c r="O980" s="10" t="str">
        <f>IFERROR(IF(MARÍTIMOS[[#This Row],[Booking|AWB|CRT]]="","",MARÍTIMOS[[#This Row],[Booking|AWB|CRT]]),"")</f>
        <v/>
      </c>
      <c r="P980" s="2" t="str">
        <f>IFERROR(IF(MARÍTIMOS[[#This Row],[Contenedor]]="","",MARÍTIMOS[[#This Row],[Contenedor]]),"")</f>
        <v/>
      </c>
      <c r="Q980" s="2" t="str">
        <f>IFERROR(IF(MARÍTIMOS[[#This Row],[Puerto de Retiro]]="","",MARÍTIMOS[[#This Row],[Puerto de Retiro]]),"")</f>
        <v/>
      </c>
      <c r="R980" s="2" t="str">
        <f>IFERROR(IF(MARÍTIMOS[[#This Row],[Almacén de Retiro]]="","",MARÍTIMOS[[#This Row],[Almacén de Retiro]]),"")</f>
        <v/>
      </c>
      <c r="S980" s="11" t="str">
        <f>IFERROR(IF(MARÍTIMOS[[#This Row],[Etapa Retiro - Cita]]="","",MARÍTIMOS[[#This Row],[Etapa Retiro - Cita]]),"")</f>
        <v/>
      </c>
      <c r="T980" s="11" t="str">
        <f>IFERROR(IF(MARÍTIMOS[[#This Row],[Etapa Retiro - Llegada]]="","",MARÍTIMOS[[#This Row],[Etapa Retiro - Llegada]]),"")</f>
        <v/>
      </c>
      <c r="U980" s="11" t="str">
        <f>IFERROR(IF(MARÍTIMOS[[#This Row],[Etapa Retiro - Ingreso]]="","",MARÍTIMOS[[#This Row],[Etapa Retiro - Ingreso]]),"")</f>
        <v/>
      </c>
      <c r="V980" s="11" t="str">
        <f>IFERROR(IF(MARÍTIMOS[[#This Row],[Etapa Retiro - Atención]]="","",MARÍTIMOS[[#This Row],[Etapa Retiro - Atención]]),"")</f>
        <v/>
      </c>
      <c r="W980" s="11" t="str">
        <f>IFERROR(IF(MARÍTIMOS[[#This Row],[Etapa Retiro - Atención]]="","",MARÍTIMOS[[#This Row],[Etapa Retiro - Atención]]),"")</f>
        <v/>
      </c>
      <c r="X980" s="11" t="str">
        <f>IFERROR(IF(MARÍTIMOS[[#This Row],[Etapa Retiro - Inicio de Ruta]]="","",MARÍTIMOS[[#This Row],[Etapa Retiro - Inicio de Ruta]]),"")</f>
        <v/>
      </c>
      <c r="Y980" s="11" t="str">
        <f>IFERROR(IF(MARÍTIMOS[[#This Row],[Hora de Posicionamiento]]="","",MARÍTIMOS[[#This Row],[Fecha de Carga]]+MARÍTIMOS[[#This Row],[Hora de Posicionamiento]]),"")</f>
        <v/>
      </c>
      <c r="Z980" s="11" t="str">
        <f>IFERROR(IF(MARÍTIMOS[[#This Row],[Etapa Despacho - Llegada]]="","",MARÍTIMOS[[#This Row],[Etapa Despacho - Llegada]]),"")</f>
        <v/>
      </c>
      <c r="AA980" s="11" t="str">
        <f>IFERROR(IF(MARÍTIMOS[[#This Row],[Etapa Despacho - Registro]]="","",MARÍTIMOS[[#This Row],[Etapa Despacho - Registro]]),"")</f>
        <v/>
      </c>
      <c r="AB980" s="11" t="str">
        <f>IFERROR(IF(MARÍTIMOS[[#This Row],[Inspección Externa]]="","",MARÍTIMOS[[#This Row],[Inspección Externa]]),"")</f>
        <v/>
      </c>
      <c r="AC980" s="11" t="str">
        <f>IFERROR(IF(MARÍTIMOS[[#This Row],[Etapa Despacho - Inicio de Carga]]="","",MARÍTIMOS[[#This Row],[Etapa Despacho - Inicio de Carga]]),"")</f>
        <v/>
      </c>
      <c r="AD980" s="11" t="str">
        <f>IFERROR(IF(MARÍTIMOS[[#This Row],[Etapa Despacho - Mitad de Carga]]="","",MARÍTIMOS[[#This Row],[Etapa Despacho - Mitad de Carga]]),"")</f>
        <v/>
      </c>
      <c r="AE980" s="11" t="str">
        <f>IFERROR(IF(MARÍTIMOS[[#This Row],[Etapa Despacho - Fin de Carga]]="","",MARÍTIMOS[[#This Row],[Etapa Despacho - Fin de Carga]]),"")</f>
        <v/>
      </c>
      <c r="AF980" s="2" t="str">
        <f>IFERROR(IF(MARÍTIMOS[[#This Row],[Puerto de Embarque]]="","",MARÍTIMOS[[#This Row],[Puerto de Embarque]]),"")</f>
        <v/>
      </c>
      <c r="AG980" s="2" t="str">
        <f>IFERROR(IF(MARÍTIMOS[[#This Row],[Almacén de Ingreso]]="","",MARÍTIMOS[[#This Row],[Almacén de Ingreso]]),"")</f>
        <v/>
      </c>
      <c r="AH980" s="11" t="str">
        <f>IFERROR(IF(MARÍTIMOS[[#This Row],[Etapa Ingreso - Cita]]="","",MARÍTIMOS[[#This Row],[Etapa Ingreso - Cita]]),"")</f>
        <v/>
      </c>
      <c r="AI980" s="11" t="str">
        <f>IFERROR(IF(MARÍTIMOS[[#This Row],[Etapa Ingreso - Llegada]]="","",MARÍTIMOS[[#This Row],[Etapa Ingreso - Llegada]]),"")</f>
        <v/>
      </c>
      <c r="AJ980" s="11" t="str">
        <f>IFERROR(IF(MARÍTIMOS[[#This Row],[Etapa Ingreso - Ingeso]]="","",MARÍTIMOS[[#This Row],[Etapa Ingreso - Ingeso]]),"")</f>
        <v/>
      </c>
      <c r="AK980" s="11" t="str">
        <f>IFERROR(IF(MARÍTIMOS[[#This Row],[Etapa Ingreso - Atención]]="","",MARÍTIMOS[[#This Row],[Etapa Ingreso - Atención]]),"")</f>
        <v/>
      </c>
      <c r="AL980" s="11" t="str">
        <f>IFERROR(IF(MARÍTIMOS[[#This Row],[Etapa Ingreso - Salida]]="","",MARÍTIMOS[[#This Row],[Etapa Ingreso - Salida]]),"")</f>
        <v/>
      </c>
      <c r="AM980" s="2" t="str">
        <f>IFERROR(IF(MARÍTIMOS[[#This Row],[FCL]]="","",MARÍTIMOS[[#This Row],[FCL]]),"")</f>
        <v/>
      </c>
      <c r="AN9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0" s="4" t="str" cm="1">
        <f t="array" ref="AO9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0" s="5" t="str">
        <f>IFERROR(OLDBD[[#This Row],[Llegada a packing]]-OLDBD[[#This Row],[Inicio de Ruta]],"")</f>
        <v/>
      </c>
      <c r="AQ980" s="6" t="str">
        <f>IFERROR(OLDBD[[#This Row],[Inicio de Ruta]]-OLDBD[[#This Row],[Salida de almacén de retiro]],"")</f>
        <v/>
      </c>
      <c r="AR9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0" s="8" t="str" cm="1">
        <f t="array" ref="AS9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0" s="9" t="str">
        <f>IFERROR(OLDBD[[#This Row],[Ingreso Packing]]-OLDBD[[#This Row],[Registro en Packing]],"")</f>
        <v/>
      </c>
      <c r="AV980" s="9" t="str">
        <f>IFERROR(OLDBD[[#This Row],[Ingreso Packing]]-OLDBD[[#This Row],[Llegada a packing]],"")</f>
        <v/>
      </c>
      <c r="AW9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0" s="5" t="str">
        <f>IFERROR(OLDBD[[#This Row],[Llegada Almacén de Ingreso]]-OLDBD[[#This Row],[Salida Packing]],"")</f>
        <v/>
      </c>
      <c r="AY980" s="4" t="str" cm="1">
        <f t="array" ref="AY9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0" s="43" t="s">
        <v>173</v>
      </c>
      <c r="BB980" s="47" t="str">
        <f>IFERROR(IF(MARÍTIMOS[[#This Row],[Estatus]]="","",MARÍTIMOS[[#This Row],[Estatus]]),"")</f>
        <v/>
      </c>
      <c r="BC980" s="43"/>
      <c r="BD980" s="46" t="str">
        <f>IFERROR(OLDBD[[#This Row],[Salida de almacén de retiro]]-OLDBD[[#This Row],[Ingreso Almacén de retiro]],"")</f>
        <v/>
      </c>
      <c r="BE980" s="46" t="str">
        <f>IFERROR(OLDBD[[#This Row],[Fin de Carga]]-OLDBD[[#This Row],[Inicio de Carga]],"")</f>
        <v/>
      </c>
    </row>
    <row r="981" spans="1:57" customFormat="1" hidden="1">
      <c r="A981" s="1"/>
      <c r="B981" s="1" t="str">
        <f>IFERROR(IF(MARÍTIMOS[[#This Row],[PP]]="","",MARÍTIMOS[[#This Row],[PP]]),"")</f>
        <v/>
      </c>
      <c r="C981" s="1" t="str">
        <f>IFERROR(IF(MARÍTIMOS[[#This Row],[Sede]]="","",MARÍTIMOS[[#This Row],[Sede]]),"")</f>
        <v/>
      </c>
      <c r="D981" s="1" t="str">
        <f>IFERROR(IF(MARÍTIMOS[[#This Row],[Instruction]]="","",MARÍTIMOS[[#This Row],[Instruction]]),"")</f>
        <v/>
      </c>
      <c r="E981" s="1"/>
      <c r="F981" s="2" t="str">
        <f>IFERROR(IF(MARÍTIMOS[[#This Row],[Transportista]]="","",MARÍTIMOS[[#This Row],[Transportista]]),"")</f>
        <v/>
      </c>
      <c r="G981" s="2" t="str">
        <f>IFERROR(IF(MARÍTIMOS[[#This Row],[Tercero]]="","",MARÍTIMOS[[#This Row],[Tercero]]),"")</f>
        <v/>
      </c>
      <c r="H981" s="2" t="str">
        <f>IFERROR(IF(MARÍTIMOS[[#This Row],[Razón Social]]="","",MARÍTIMOS[[#This Row],[Razón Social]]),"")</f>
        <v/>
      </c>
      <c r="I981" s="2" t="str">
        <f>IFERROR(IF(MARÍTIMOS[[#This Row],[RUC]]="","",MARÍTIMOS[[#This Row],[RUC]]),"")</f>
        <v/>
      </c>
      <c r="J981" s="2" t="str">
        <f>IFERROR(IF(MARÍTIMOS[[#This Row],[Placa Tracto]]="","",MARÍTIMOS[[#This Row],[Placa Tracto]]),"")</f>
        <v/>
      </c>
      <c r="K981" s="2" t="str">
        <f>IFERROR(IF(MARÍTIMOS[[#This Row],[Placa Carreta]]="","",MARÍTIMOS[[#This Row],[Placa Carreta]]),"")</f>
        <v/>
      </c>
      <c r="L981" s="44" t="str">
        <f>IFERROR(IF(MARÍTIMOS[[#This Row],[Conductor]]="","",MARÍTIMOS[[#This Row],[Conductor]]),"")</f>
        <v/>
      </c>
      <c r="M981" s="2" t="str">
        <f>IFERROR(IF(MARÍTIMOS[[#This Row],[Licencia]]="","",MARÍTIMOS[[#This Row],[Licencia]]),"")</f>
        <v/>
      </c>
      <c r="N981" s="2" t="str">
        <f>IFERROR(IF(MARÍTIMOS[[#This Row],[Número de Contacto]]="","",MARÍTIMOS[[#This Row],[Número de Contacto]]),"")</f>
        <v/>
      </c>
      <c r="O981" s="10" t="str">
        <f>IFERROR(IF(MARÍTIMOS[[#This Row],[Booking|AWB|CRT]]="","",MARÍTIMOS[[#This Row],[Booking|AWB|CRT]]),"")</f>
        <v/>
      </c>
      <c r="P981" s="2" t="str">
        <f>IFERROR(IF(MARÍTIMOS[[#This Row],[Contenedor]]="","",MARÍTIMOS[[#This Row],[Contenedor]]),"")</f>
        <v/>
      </c>
      <c r="Q981" s="2" t="str">
        <f>IFERROR(IF(MARÍTIMOS[[#This Row],[Puerto de Retiro]]="","",MARÍTIMOS[[#This Row],[Puerto de Retiro]]),"")</f>
        <v/>
      </c>
      <c r="R981" s="2" t="str">
        <f>IFERROR(IF(MARÍTIMOS[[#This Row],[Almacén de Retiro]]="","",MARÍTIMOS[[#This Row],[Almacén de Retiro]]),"")</f>
        <v/>
      </c>
      <c r="S981" s="11" t="str">
        <f>IFERROR(IF(MARÍTIMOS[[#This Row],[Etapa Retiro - Cita]]="","",MARÍTIMOS[[#This Row],[Etapa Retiro - Cita]]),"")</f>
        <v/>
      </c>
      <c r="T981" s="11" t="str">
        <f>IFERROR(IF(MARÍTIMOS[[#This Row],[Etapa Retiro - Llegada]]="","",MARÍTIMOS[[#This Row],[Etapa Retiro - Llegada]]),"")</f>
        <v/>
      </c>
      <c r="U981" s="11" t="str">
        <f>IFERROR(IF(MARÍTIMOS[[#This Row],[Etapa Retiro - Ingreso]]="","",MARÍTIMOS[[#This Row],[Etapa Retiro - Ingreso]]),"")</f>
        <v/>
      </c>
      <c r="V981" s="11" t="str">
        <f>IFERROR(IF(MARÍTIMOS[[#This Row],[Etapa Retiro - Atención]]="","",MARÍTIMOS[[#This Row],[Etapa Retiro - Atención]]),"")</f>
        <v/>
      </c>
      <c r="W981" s="11" t="str">
        <f>IFERROR(IF(MARÍTIMOS[[#This Row],[Etapa Retiro - Atención]]="","",MARÍTIMOS[[#This Row],[Etapa Retiro - Atención]]),"")</f>
        <v/>
      </c>
      <c r="X981" s="11" t="str">
        <f>IFERROR(IF(MARÍTIMOS[[#This Row],[Etapa Retiro - Inicio de Ruta]]="","",MARÍTIMOS[[#This Row],[Etapa Retiro - Inicio de Ruta]]),"")</f>
        <v/>
      </c>
      <c r="Y981" s="11" t="str">
        <f>IFERROR(IF(MARÍTIMOS[[#This Row],[Hora de Posicionamiento]]="","",MARÍTIMOS[[#This Row],[Fecha de Carga]]+MARÍTIMOS[[#This Row],[Hora de Posicionamiento]]),"")</f>
        <v/>
      </c>
      <c r="Z981" s="11" t="str">
        <f>IFERROR(IF(MARÍTIMOS[[#This Row],[Etapa Despacho - Llegada]]="","",MARÍTIMOS[[#This Row],[Etapa Despacho - Llegada]]),"")</f>
        <v/>
      </c>
      <c r="AA981" s="11" t="str">
        <f>IFERROR(IF(MARÍTIMOS[[#This Row],[Etapa Despacho - Registro]]="","",MARÍTIMOS[[#This Row],[Etapa Despacho - Registro]]),"")</f>
        <v/>
      </c>
      <c r="AB981" s="11" t="str">
        <f>IFERROR(IF(MARÍTIMOS[[#This Row],[Inspección Externa]]="","",MARÍTIMOS[[#This Row],[Inspección Externa]]),"")</f>
        <v/>
      </c>
      <c r="AC981" s="11" t="str">
        <f>IFERROR(IF(MARÍTIMOS[[#This Row],[Etapa Despacho - Inicio de Carga]]="","",MARÍTIMOS[[#This Row],[Etapa Despacho - Inicio de Carga]]),"")</f>
        <v/>
      </c>
      <c r="AD981" s="11" t="str">
        <f>IFERROR(IF(MARÍTIMOS[[#This Row],[Etapa Despacho - Mitad de Carga]]="","",MARÍTIMOS[[#This Row],[Etapa Despacho - Mitad de Carga]]),"")</f>
        <v/>
      </c>
      <c r="AE981" s="11" t="str">
        <f>IFERROR(IF(MARÍTIMOS[[#This Row],[Etapa Despacho - Fin de Carga]]="","",MARÍTIMOS[[#This Row],[Etapa Despacho - Fin de Carga]]),"")</f>
        <v/>
      </c>
      <c r="AF981" s="2" t="str">
        <f>IFERROR(IF(MARÍTIMOS[[#This Row],[Puerto de Embarque]]="","",MARÍTIMOS[[#This Row],[Puerto de Embarque]]),"")</f>
        <v/>
      </c>
      <c r="AG981" s="2" t="str">
        <f>IFERROR(IF(MARÍTIMOS[[#This Row],[Almacén de Ingreso]]="","",MARÍTIMOS[[#This Row],[Almacén de Ingreso]]),"")</f>
        <v/>
      </c>
      <c r="AH981" s="11" t="str">
        <f>IFERROR(IF(MARÍTIMOS[[#This Row],[Etapa Ingreso - Cita]]="","",MARÍTIMOS[[#This Row],[Etapa Ingreso - Cita]]),"")</f>
        <v/>
      </c>
      <c r="AI981" s="11" t="str">
        <f>IFERROR(IF(MARÍTIMOS[[#This Row],[Etapa Ingreso - Llegada]]="","",MARÍTIMOS[[#This Row],[Etapa Ingreso - Llegada]]),"")</f>
        <v/>
      </c>
      <c r="AJ981" s="11" t="str">
        <f>IFERROR(IF(MARÍTIMOS[[#This Row],[Etapa Ingreso - Ingeso]]="","",MARÍTIMOS[[#This Row],[Etapa Ingreso - Ingeso]]),"")</f>
        <v/>
      </c>
      <c r="AK981" s="11" t="str">
        <f>IFERROR(IF(MARÍTIMOS[[#This Row],[Etapa Ingreso - Atención]]="","",MARÍTIMOS[[#This Row],[Etapa Ingreso - Atención]]),"")</f>
        <v/>
      </c>
      <c r="AL981" s="11" t="str">
        <f>IFERROR(IF(MARÍTIMOS[[#This Row],[Etapa Ingreso - Salida]]="","",MARÍTIMOS[[#This Row],[Etapa Ingreso - Salida]]),"")</f>
        <v/>
      </c>
      <c r="AM981" s="2" t="str">
        <f>IFERROR(IF(MARÍTIMOS[[#This Row],[FCL]]="","",MARÍTIMOS[[#This Row],[FCL]]),"")</f>
        <v/>
      </c>
      <c r="AN9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1" s="4" t="str" cm="1">
        <f t="array" ref="AO9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1" s="5" t="str">
        <f>IFERROR(OLDBD[[#This Row],[Llegada a packing]]-OLDBD[[#This Row],[Inicio de Ruta]],"")</f>
        <v/>
      </c>
      <c r="AQ981" s="6" t="str">
        <f>IFERROR(OLDBD[[#This Row],[Inicio de Ruta]]-OLDBD[[#This Row],[Salida de almacén de retiro]],"")</f>
        <v/>
      </c>
      <c r="AR9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1" s="8" t="str" cm="1">
        <f t="array" ref="AS9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1" s="9" t="str">
        <f>IFERROR(OLDBD[[#This Row],[Ingreso Packing]]-OLDBD[[#This Row],[Registro en Packing]],"")</f>
        <v/>
      </c>
      <c r="AV981" s="9" t="str">
        <f>IFERROR(OLDBD[[#This Row],[Ingreso Packing]]-OLDBD[[#This Row],[Llegada a packing]],"")</f>
        <v/>
      </c>
      <c r="AW9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1" s="5" t="str">
        <f>IFERROR(OLDBD[[#This Row],[Llegada Almacén de Ingreso]]-OLDBD[[#This Row],[Salida Packing]],"")</f>
        <v/>
      </c>
      <c r="AY981" s="4" t="str" cm="1">
        <f t="array" ref="AY9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1" s="43" t="s">
        <v>173</v>
      </c>
      <c r="BB981" s="47" t="str">
        <f>IFERROR(IF(MARÍTIMOS[[#This Row],[Estatus]]="","",MARÍTIMOS[[#This Row],[Estatus]]),"")</f>
        <v/>
      </c>
      <c r="BC981" s="43"/>
      <c r="BD981" s="46" t="str">
        <f>IFERROR(OLDBD[[#This Row],[Salida de almacén de retiro]]-OLDBD[[#This Row],[Ingreso Almacén de retiro]],"")</f>
        <v/>
      </c>
      <c r="BE981" s="46" t="str">
        <f>IFERROR(OLDBD[[#This Row],[Fin de Carga]]-OLDBD[[#This Row],[Inicio de Carga]],"")</f>
        <v/>
      </c>
    </row>
    <row r="982" spans="1:57" customFormat="1" hidden="1">
      <c r="A982" s="1"/>
      <c r="B982" s="1" t="str">
        <f>IFERROR(IF(MARÍTIMOS[[#This Row],[PP]]="","",MARÍTIMOS[[#This Row],[PP]]),"")</f>
        <v/>
      </c>
      <c r="C982" s="1" t="str">
        <f>IFERROR(IF(MARÍTIMOS[[#This Row],[Sede]]="","",MARÍTIMOS[[#This Row],[Sede]]),"")</f>
        <v/>
      </c>
      <c r="D982" s="1" t="str">
        <f>IFERROR(IF(MARÍTIMOS[[#This Row],[Instruction]]="","",MARÍTIMOS[[#This Row],[Instruction]]),"")</f>
        <v/>
      </c>
      <c r="E982" s="1"/>
      <c r="F982" s="2" t="str">
        <f>IFERROR(IF(MARÍTIMOS[[#This Row],[Transportista]]="","",MARÍTIMOS[[#This Row],[Transportista]]),"")</f>
        <v/>
      </c>
      <c r="G982" s="2" t="str">
        <f>IFERROR(IF(MARÍTIMOS[[#This Row],[Tercero]]="","",MARÍTIMOS[[#This Row],[Tercero]]),"")</f>
        <v/>
      </c>
      <c r="H982" s="2" t="str">
        <f>IFERROR(IF(MARÍTIMOS[[#This Row],[Razón Social]]="","",MARÍTIMOS[[#This Row],[Razón Social]]),"")</f>
        <v/>
      </c>
      <c r="I982" s="2" t="str">
        <f>IFERROR(IF(MARÍTIMOS[[#This Row],[RUC]]="","",MARÍTIMOS[[#This Row],[RUC]]),"")</f>
        <v/>
      </c>
      <c r="J982" s="2" t="str">
        <f>IFERROR(IF(MARÍTIMOS[[#This Row],[Placa Tracto]]="","",MARÍTIMOS[[#This Row],[Placa Tracto]]),"")</f>
        <v/>
      </c>
      <c r="K982" s="2" t="str">
        <f>IFERROR(IF(MARÍTIMOS[[#This Row],[Placa Carreta]]="","",MARÍTIMOS[[#This Row],[Placa Carreta]]),"")</f>
        <v/>
      </c>
      <c r="L982" s="44" t="str">
        <f>IFERROR(IF(MARÍTIMOS[[#This Row],[Conductor]]="","",MARÍTIMOS[[#This Row],[Conductor]]),"")</f>
        <v/>
      </c>
      <c r="M982" s="2" t="str">
        <f>IFERROR(IF(MARÍTIMOS[[#This Row],[Licencia]]="","",MARÍTIMOS[[#This Row],[Licencia]]),"")</f>
        <v/>
      </c>
      <c r="N982" s="2" t="str">
        <f>IFERROR(IF(MARÍTIMOS[[#This Row],[Número de Contacto]]="","",MARÍTIMOS[[#This Row],[Número de Contacto]]),"")</f>
        <v/>
      </c>
      <c r="O982" s="10" t="str">
        <f>IFERROR(IF(MARÍTIMOS[[#This Row],[Booking|AWB|CRT]]="","",MARÍTIMOS[[#This Row],[Booking|AWB|CRT]]),"")</f>
        <v/>
      </c>
      <c r="P982" s="2" t="str">
        <f>IFERROR(IF(MARÍTIMOS[[#This Row],[Contenedor]]="","",MARÍTIMOS[[#This Row],[Contenedor]]),"")</f>
        <v/>
      </c>
      <c r="Q982" s="2" t="str">
        <f>IFERROR(IF(MARÍTIMOS[[#This Row],[Puerto de Retiro]]="","",MARÍTIMOS[[#This Row],[Puerto de Retiro]]),"")</f>
        <v/>
      </c>
      <c r="R982" s="2" t="str">
        <f>IFERROR(IF(MARÍTIMOS[[#This Row],[Almacén de Retiro]]="","",MARÍTIMOS[[#This Row],[Almacén de Retiro]]),"")</f>
        <v/>
      </c>
      <c r="S982" s="11" t="str">
        <f>IFERROR(IF(MARÍTIMOS[[#This Row],[Etapa Retiro - Cita]]="","",MARÍTIMOS[[#This Row],[Etapa Retiro - Cita]]),"")</f>
        <v/>
      </c>
      <c r="T982" s="11" t="str">
        <f>IFERROR(IF(MARÍTIMOS[[#This Row],[Etapa Retiro - Llegada]]="","",MARÍTIMOS[[#This Row],[Etapa Retiro - Llegada]]),"")</f>
        <v/>
      </c>
      <c r="U982" s="11" t="str">
        <f>IFERROR(IF(MARÍTIMOS[[#This Row],[Etapa Retiro - Ingreso]]="","",MARÍTIMOS[[#This Row],[Etapa Retiro - Ingreso]]),"")</f>
        <v/>
      </c>
      <c r="V982" s="11" t="str">
        <f>IFERROR(IF(MARÍTIMOS[[#This Row],[Etapa Retiro - Atención]]="","",MARÍTIMOS[[#This Row],[Etapa Retiro - Atención]]),"")</f>
        <v/>
      </c>
      <c r="W982" s="11" t="str">
        <f>IFERROR(IF(MARÍTIMOS[[#This Row],[Etapa Retiro - Atención]]="","",MARÍTIMOS[[#This Row],[Etapa Retiro - Atención]]),"")</f>
        <v/>
      </c>
      <c r="X982" s="11" t="str">
        <f>IFERROR(IF(MARÍTIMOS[[#This Row],[Etapa Retiro - Inicio de Ruta]]="","",MARÍTIMOS[[#This Row],[Etapa Retiro - Inicio de Ruta]]),"")</f>
        <v/>
      </c>
      <c r="Y982" s="11" t="str">
        <f>IFERROR(IF(MARÍTIMOS[[#This Row],[Hora de Posicionamiento]]="","",MARÍTIMOS[[#This Row],[Fecha de Carga]]+MARÍTIMOS[[#This Row],[Hora de Posicionamiento]]),"")</f>
        <v/>
      </c>
      <c r="Z982" s="11" t="str">
        <f>IFERROR(IF(MARÍTIMOS[[#This Row],[Etapa Despacho - Llegada]]="","",MARÍTIMOS[[#This Row],[Etapa Despacho - Llegada]]),"")</f>
        <v/>
      </c>
      <c r="AA982" s="11" t="str">
        <f>IFERROR(IF(MARÍTIMOS[[#This Row],[Etapa Despacho - Registro]]="","",MARÍTIMOS[[#This Row],[Etapa Despacho - Registro]]),"")</f>
        <v/>
      </c>
      <c r="AB982" s="11" t="str">
        <f>IFERROR(IF(MARÍTIMOS[[#This Row],[Inspección Externa]]="","",MARÍTIMOS[[#This Row],[Inspección Externa]]),"")</f>
        <v/>
      </c>
      <c r="AC982" s="11" t="str">
        <f>IFERROR(IF(MARÍTIMOS[[#This Row],[Etapa Despacho - Inicio de Carga]]="","",MARÍTIMOS[[#This Row],[Etapa Despacho - Inicio de Carga]]),"")</f>
        <v/>
      </c>
      <c r="AD982" s="11" t="str">
        <f>IFERROR(IF(MARÍTIMOS[[#This Row],[Etapa Despacho - Mitad de Carga]]="","",MARÍTIMOS[[#This Row],[Etapa Despacho - Mitad de Carga]]),"")</f>
        <v/>
      </c>
      <c r="AE982" s="11" t="str">
        <f>IFERROR(IF(MARÍTIMOS[[#This Row],[Etapa Despacho - Fin de Carga]]="","",MARÍTIMOS[[#This Row],[Etapa Despacho - Fin de Carga]]),"")</f>
        <v/>
      </c>
      <c r="AF982" s="2" t="str">
        <f>IFERROR(IF(MARÍTIMOS[[#This Row],[Puerto de Embarque]]="","",MARÍTIMOS[[#This Row],[Puerto de Embarque]]),"")</f>
        <v/>
      </c>
      <c r="AG982" s="2" t="str">
        <f>IFERROR(IF(MARÍTIMOS[[#This Row],[Almacén de Ingreso]]="","",MARÍTIMOS[[#This Row],[Almacén de Ingreso]]),"")</f>
        <v/>
      </c>
      <c r="AH982" s="11" t="str">
        <f>IFERROR(IF(MARÍTIMOS[[#This Row],[Etapa Ingreso - Cita]]="","",MARÍTIMOS[[#This Row],[Etapa Ingreso - Cita]]),"")</f>
        <v/>
      </c>
      <c r="AI982" s="11" t="str">
        <f>IFERROR(IF(MARÍTIMOS[[#This Row],[Etapa Ingreso - Llegada]]="","",MARÍTIMOS[[#This Row],[Etapa Ingreso - Llegada]]),"")</f>
        <v/>
      </c>
      <c r="AJ982" s="11" t="str">
        <f>IFERROR(IF(MARÍTIMOS[[#This Row],[Etapa Ingreso - Ingeso]]="","",MARÍTIMOS[[#This Row],[Etapa Ingreso - Ingeso]]),"")</f>
        <v/>
      </c>
      <c r="AK982" s="11" t="str">
        <f>IFERROR(IF(MARÍTIMOS[[#This Row],[Etapa Ingreso - Atención]]="","",MARÍTIMOS[[#This Row],[Etapa Ingreso - Atención]]),"")</f>
        <v/>
      </c>
      <c r="AL982" s="11" t="str">
        <f>IFERROR(IF(MARÍTIMOS[[#This Row],[Etapa Ingreso - Salida]]="","",MARÍTIMOS[[#This Row],[Etapa Ingreso - Salida]]),"")</f>
        <v/>
      </c>
      <c r="AM982" s="2" t="str">
        <f>IFERROR(IF(MARÍTIMOS[[#This Row],[FCL]]="","",MARÍTIMOS[[#This Row],[FCL]]),"")</f>
        <v/>
      </c>
      <c r="AN9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2" s="4" t="str" cm="1">
        <f t="array" ref="AO9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2" s="5" t="str">
        <f>IFERROR(OLDBD[[#This Row],[Llegada a packing]]-OLDBD[[#This Row],[Inicio de Ruta]],"")</f>
        <v/>
      </c>
      <c r="AQ982" s="6" t="str">
        <f>IFERROR(OLDBD[[#This Row],[Inicio de Ruta]]-OLDBD[[#This Row],[Salida de almacén de retiro]],"")</f>
        <v/>
      </c>
      <c r="AR9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2" s="8" t="str" cm="1">
        <f t="array" ref="AS9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2" s="9" t="str">
        <f>IFERROR(OLDBD[[#This Row],[Ingreso Packing]]-OLDBD[[#This Row],[Registro en Packing]],"")</f>
        <v/>
      </c>
      <c r="AV982" s="9" t="str">
        <f>IFERROR(OLDBD[[#This Row],[Ingreso Packing]]-OLDBD[[#This Row],[Llegada a packing]],"")</f>
        <v/>
      </c>
      <c r="AW9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2" s="5" t="str">
        <f>IFERROR(OLDBD[[#This Row],[Llegada Almacén de Ingreso]]-OLDBD[[#This Row],[Salida Packing]],"")</f>
        <v/>
      </c>
      <c r="AY982" s="4" t="str" cm="1">
        <f t="array" ref="AY9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2" s="43" t="s">
        <v>173</v>
      </c>
      <c r="BB982" s="47" t="str">
        <f>IFERROR(IF(MARÍTIMOS[[#This Row],[Estatus]]="","",MARÍTIMOS[[#This Row],[Estatus]]),"")</f>
        <v/>
      </c>
      <c r="BC982" s="43"/>
      <c r="BD982" s="46" t="str">
        <f>IFERROR(OLDBD[[#This Row],[Salida de almacén de retiro]]-OLDBD[[#This Row],[Ingreso Almacén de retiro]],"")</f>
        <v/>
      </c>
      <c r="BE982" s="46" t="str">
        <f>IFERROR(OLDBD[[#This Row],[Fin de Carga]]-OLDBD[[#This Row],[Inicio de Carga]],"")</f>
        <v/>
      </c>
    </row>
    <row r="983" spans="1:57" customFormat="1" hidden="1">
      <c r="A983" s="1"/>
      <c r="B983" s="1" t="str">
        <f>IFERROR(IF(MARÍTIMOS[[#This Row],[PP]]="","",MARÍTIMOS[[#This Row],[PP]]),"")</f>
        <v/>
      </c>
      <c r="C983" s="1" t="str">
        <f>IFERROR(IF(MARÍTIMOS[[#This Row],[Sede]]="","",MARÍTIMOS[[#This Row],[Sede]]),"")</f>
        <v/>
      </c>
      <c r="D983" s="1" t="str">
        <f>IFERROR(IF(MARÍTIMOS[[#This Row],[Instruction]]="","",MARÍTIMOS[[#This Row],[Instruction]]),"")</f>
        <v/>
      </c>
      <c r="E983" s="1"/>
      <c r="F983" s="2" t="str">
        <f>IFERROR(IF(MARÍTIMOS[[#This Row],[Transportista]]="","",MARÍTIMOS[[#This Row],[Transportista]]),"")</f>
        <v/>
      </c>
      <c r="G983" s="2" t="str">
        <f>IFERROR(IF(MARÍTIMOS[[#This Row],[Tercero]]="","",MARÍTIMOS[[#This Row],[Tercero]]),"")</f>
        <v/>
      </c>
      <c r="H983" s="2" t="str">
        <f>IFERROR(IF(MARÍTIMOS[[#This Row],[Razón Social]]="","",MARÍTIMOS[[#This Row],[Razón Social]]),"")</f>
        <v/>
      </c>
      <c r="I983" s="2" t="str">
        <f>IFERROR(IF(MARÍTIMOS[[#This Row],[RUC]]="","",MARÍTIMOS[[#This Row],[RUC]]),"")</f>
        <v/>
      </c>
      <c r="J983" s="2" t="str">
        <f>IFERROR(IF(MARÍTIMOS[[#This Row],[Placa Tracto]]="","",MARÍTIMOS[[#This Row],[Placa Tracto]]),"")</f>
        <v/>
      </c>
      <c r="K983" s="2" t="str">
        <f>IFERROR(IF(MARÍTIMOS[[#This Row],[Placa Carreta]]="","",MARÍTIMOS[[#This Row],[Placa Carreta]]),"")</f>
        <v/>
      </c>
      <c r="L983" s="44" t="str">
        <f>IFERROR(IF(MARÍTIMOS[[#This Row],[Conductor]]="","",MARÍTIMOS[[#This Row],[Conductor]]),"")</f>
        <v/>
      </c>
      <c r="M983" s="2" t="str">
        <f>IFERROR(IF(MARÍTIMOS[[#This Row],[Licencia]]="","",MARÍTIMOS[[#This Row],[Licencia]]),"")</f>
        <v/>
      </c>
      <c r="N983" s="2" t="str">
        <f>IFERROR(IF(MARÍTIMOS[[#This Row],[Número de Contacto]]="","",MARÍTIMOS[[#This Row],[Número de Contacto]]),"")</f>
        <v/>
      </c>
      <c r="O983" s="10" t="str">
        <f>IFERROR(IF(MARÍTIMOS[[#This Row],[Booking|AWB|CRT]]="","",MARÍTIMOS[[#This Row],[Booking|AWB|CRT]]),"")</f>
        <v/>
      </c>
      <c r="P983" s="2" t="str">
        <f>IFERROR(IF(MARÍTIMOS[[#This Row],[Contenedor]]="","",MARÍTIMOS[[#This Row],[Contenedor]]),"")</f>
        <v/>
      </c>
      <c r="Q983" s="2" t="str">
        <f>IFERROR(IF(MARÍTIMOS[[#This Row],[Puerto de Retiro]]="","",MARÍTIMOS[[#This Row],[Puerto de Retiro]]),"")</f>
        <v/>
      </c>
      <c r="R983" s="2" t="str">
        <f>IFERROR(IF(MARÍTIMOS[[#This Row],[Almacén de Retiro]]="","",MARÍTIMOS[[#This Row],[Almacén de Retiro]]),"")</f>
        <v/>
      </c>
      <c r="S983" s="11" t="str">
        <f>IFERROR(IF(MARÍTIMOS[[#This Row],[Etapa Retiro - Cita]]="","",MARÍTIMOS[[#This Row],[Etapa Retiro - Cita]]),"")</f>
        <v/>
      </c>
      <c r="T983" s="11" t="str">
        <f>IFERROR(IF(MARÍTIMOS[[#This Row],[Etapa Retiro - Llegada]]="","",MARÍTIMOS[[#This Row],[Etapa Retiro - Llegada]]),"")</f>
        <v/>
      </c>
      <c r="U983" s="11" t="str">
        <f>IFERROR(IF(MARÍTIMOS[[#This Row],[Etapa Retiro - Ingreso]]="","",MARÍTIMOS[[#This Row],[Etapa Retiro - Ingreso]]),"")</f>
        <v/>
      </c>
      <c r="V983" s="11" t="str">
        <f>IFERROR(IF(MARÍTIMOS[[#This Row],[Etapa Retiro - Atención]]="","",MARÍTIMOS[[#This Row],[Etapa Retiro - Atención]]),"")</f>
        <v/>
      </c>
      <c r="W983" s="11" t="str">
        <f>IFERROR(IF(MARÍTIMOS[[#This Row],[Etapa Retiro - Atención]]="","",MARÍTIMOS[[#This Row],[Etapa Retiro - Atención]]),"")</f>
        <v/>
      </c>
      <c r="X983" s="11" t="str">
        <f>IFERROR(IF(MARÍTIMOS[[#This Row],[Etapa Retiro - Inicio de Ruta]]="","",MARÍTIMOS[[#This Row],[Etapa Retiro - Inicio de Ruta]]),"")</f>
        <v/>
      </c>
      <c r="Y983" s="11" t="str">
        <f>IFERROR(IF(MARÍTIMOS[[#This Row],[Hora de Posicionamiento]]="","",MARÍTIMOS[[#This Row],[Fecha de Carga]]+MARÍTIMOS[[#This Row],[Hora de Posicionamiento]]),"")</f>
        <v/>
      </c>
      <c r="Z983" s="11" t="str">
        <f>IFERROR(IF(MARÍTIMOS[[#This Row],[Etapa Despacho - Llegada]]="","",MARÍTIMOS[[#This Row],[Etapa Despacho - Llegada]]),"")</f>
        <v/>
      </c>
      <c r="AA983" s="11" t="str">
        <f>IFERROR(IF(MARÍTIMOS[[#This Row],[Etapa Despacho - Registro]]="","",MARÍTIMOS[[#This Row],[Etapa Despacho - Registro]]),"")</f>
        <v/>
      </c>
      <c r="AB983" s="11" t="str">
        <f>IFERROR(IF(MARÍTIMOS[[#This Row],[Inspección Externa]]="","",MARÍTIMOS[[#This Row],[Inspección Externa]]),"")</f>
        <v/>
      </c>
      <c r="AC983" s="11" t="str">
        <f>IFERROR(IF(MARÍTIMOS[[#This Row],[Etapa Despacho - Inicio de Carga]]="","",MARÍTIMOS[[#This Row],[Etapa Despacho - Inicio de Carga]]),"")</f>
        <v/>
      </c>
      <c r="AD983" s="11" t="str">
        <f>IFERROR(IF(MARÍTIMOS[[#This Row],[Etapa Despacho - Mitad de Carga]]="","",MARÍTIMOS[[#This Row],[Etapa Despacho - Mitad de Carga]]),"")</f>
        <v/>
      </c>
      <c r="AE983" s="11" t="str">
        <f>IFERROR(IF(MARÍTIMOS[[#This Row],[Etapa Despacho - Fin de Carga]]="","",MARÍTIMOS[[#This Row],[Etapa Despacho - Fin de Carga]]),"")</f>
        <v/>
      </c>
      <c r="AF983" s="2" t="str">
        <f>IFERROR(IF(MARÍTIMOS[[#This Row],[Puerto de Embarque]]="","",MARÍTIMOS[[#This Row],[Puerto de Embarque]]),"")</f>
        <v/>
      </c>
      <c r="AG983" s="2" t="str">
        <f>IFERROR(IF(MARÍTIMOS[[#This Row],[Almacén de Ingreso]]="","",MARÍTIMOS[[#This Row],[Almacén de Ingreso]]),"")</f>
        <v/>
      </c>
      <c r="AH983" s="11" t="str">
        <f>IFERROR(IF(MARÍTIMOS[[#This Row],[Etapa Ingreso - Cita]]="","",MARÍTIMOS[[#This Row],[Etapa Ingreso - Cita]]),"")</f>
        <v/>
      </c>
      <c r="AI983" s="11" t="str">
        <f>IFERROR(IF(MARÍTIMOS[[#This Row],[Etapa Ingreso - Llegada]]="","",MARÍTIMOS[[#This Row],[Etapa Ingreso - Llegada]]),"")</f>
        <v/>
      </c>
      <c r="AJ983" s="11" t="str">
        <f>IFERROR(IF(MARÍTIMOS[[#This Row],[Etapa Ingreso - Ingeso]]="","",MARÍTIMOS[[#This Row],[Etapa Ingreso - Ingeso]]),"")</f>
        <v/>
      </c>
      <c r="AK983" s="11" t="str">
        <f>IFERROR(IF(MARÍTIMOS[[#This Row],[Etapa Ingreso - Atención]]="","",MARÍTIMOS[[#This Row],[Etapa Ingreso - Atención]]),"")</f>
        <v/>
      </c>
      <c r="AL983" s="11" t="str">
        <f>IFERROR(IF(MARÍTIMOS[[#This Row],[Etapa Ingreso - Salida]]="","",MARÍTIMOS[[#This Row],[Etapa Ingreso - Salida]]),"")</f>
        <v/>
      </c>
      <c r="AM983" s="2" t="str">
        <f>IFERROR(IF(MARÍTIMOS[[#This Row],[FCL]]="","",MARÍTIMOS[[#This Row],[FCL]]),"")</f>
        <v/>
      </c>
      <c r="AN9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3" s="4" t="str" cm="1">
        <f t="array" ref="AO9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3" s="5" t="str">
        <f>IFERROR(OLDBD[[#This Row],[Llegada a packing]]-OLDBD[[#This Row],[Inicio de Ruta]],"")</f>
        <v/>
      </c>
      <c r="AQ983" s="6" t="str">
        <f>IFERROR(OLDBD[[#This Row],[Inicio de Ruta]]-OLDBD[[#This Row],[Salida de almacén de retiro]],"")</f>
        <v/>
      </c>
      <c r="AR9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3" s="8" t="str" cm="1">
        <f t="array" ref="AS9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3" s="9" t="str">
        <f>IFERROR(OLDBD[[#This Row],[Ingreso Packing]]-OLDBD[[#This Row],[Registro en Packing]],"")</f>
        <v/>
      </c>
      <c r="AV983" s="9" t="str">
        <f>IFERROR(OLDBD[[#This Row],[Ingreso Packing]]-OLDBD[[#This Row],[Llegada a packing]],"")</f>
        <v/>
      </c>
      <c r="AW9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3" s="5" t="str">
        <f>IFERROR(OLDBD[[#This Row],[Llegada Almacén de Ingreso]]-OLDBD[[#This Row],[Salida Packing]],"")</f>
        <v/>
      </c>
      <c r="AY983" s="4" t="str" cm="1">
        <f t="array" ref="AY9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3" s="43" t="s">
        <v>173</v>
      </c>
      <c r="BB983" s="47" t="str">
        <f>IFERROR(IF(MARÍTIMOS[[#This Row],[Estatus]]="","",MARÍTIMOS[[#This Row],[Estatus]]),"")</f>
        <v/>
      </c>
      <c r="BC983" s="43"/>
      <c r="BD983" s="46" t="str">
        <f>IFERROR(OLDBD[[#This Row],[Salida de almacén de retiro]]-OLDBD[[#This Row],[Ingreso Almacén de retiro]],"")</f>
        <v/>
      </c>
      <c r="BE983" s="46" t="str">
        <f>IFERROR(OLDBD[[#This Row],[Fin de Carga]]-OLDBD[[#This Row],[Inicio de Carga]],"")</f>
        <v/>
      </c>
    </row>
    <row r="984" spans="1:57" customFormat="1" hidden="1">
      <c r="A984" s="1"/>
      <c r="B984" s="1" t="str">
        <f>IFERROR(IF(MARÍTIMOS[[#This Row],[PP]]="","",MARÍTIMOS[[#This Row],[PP]]),"")</f>
        <v/>
      </c>
      <c r="C984" s="1" t="str">
        <f>IFERROR(IF(MARÍTIMOS[[#This Row],[Sede]]="","",MARÍTIMOS[[#This Row],[Sede]]),"")</f>
        <v/>
      </c>
      <c r="D984" s="1" t="str">
        <f>IFERROR(IF(MARÍTIMOS[[#This Row],[Instruction]]="","",MARÍTIMOS[[#This Row],[Instruction]]),"")</f>
        <v/>
      </c>
      <c r="E984" s="1"/>
      <c r="F984" s="2" t="str">
        <f>IFERROR(IF(MARÍTIMOS[[#This Row],[Transportista]]="","",MARÍTIMOS[[#This Row],[Transportista]]),"")</f>
        <v/>
      </c>
      <c r="G984" s="2" t="str">
        <f>IFERROR(IF(MARÍTIMOS[[#This Row],[Tercero]]="","",MARÍTIMOS[[#This Row],[Tercero]]),"")</f>
        <v/>
      </c>
      <c r="H984" s="2" t="str">
        <f>IFERROR(IF(MARÍTIMOS[[#This Row],[Razón Social]]="","",MARÍTIMOS[[#This Row],[Razón Social]]),"")</f>
        <v/>
      </c>
      <c r="I984" s="2" t="str">
        <f>IFERROR(IF(MARÍTIMOS[[#This Row],[RUC]]="","",MARÍTIMOS[[#This Row],[RUC]]),"")</f>
        <v/>
      </c>
      <c r="J984" s="2" t="str">
        <f>IFERROR(IF(MARÍTIMOS[[#This Row],[Placa Tracto]]="","",MARÍTIMOS[[#This Row],[Placa Tracto]]),"")</f>
        <v/>
      </c>
      <c r="K984" s="2" t="str">
        <f>IFERROR(IF(MARÍTIMOS[[#This Row],[Placa Carreta]]="","",MARÍTIMOS[[#This Row],[Placa Carreta]]),"")</f>
        <v/>
      </c>
      <c r="L984" s="44" t="str">
        <f>IFERROR(IF(MARÍTIMOS[[#This Row],[Conductor]]="","",MARÍTIMOS[[#This Row],[Conductor]]),"")</f>
        <v/>
      </c>
      <c r="M984" s="2" t="str">
        <f>IFERROR(IF(MARÍTIMOS[[#This Row],[Licencia]]="","",MARÍTIMOS[[#This Row],[Licencia]]),"")</f>
        <v/>
      </c>
      <c r="N984" s="2" t="str">
        <f>IFERROR(IF(MARÍTIMOS[[#This Row],[Número de Contacto]]="","",MARÍTIMOS[[#This Row],[Número de Contacto]]),"")</f>
        <v/>
      </c>
      <c r="O984" s="10" t="str">
        <f>IFERROR(IF(MARÍTIMOS[[#This Row],[Booking|AWB|CRT]]="","",MARÍTIMOS[[#This Row],[Booking|AWB|CRT]]),"")</f>
        <v/>
      </c>
      <c r="P984" s="2" t="str">
        <f>IFERROR(IF(MARÍTIMOS[[#This Row],[Contenedor]]="","",MARÍTIMOS[[#This Row],[Contenedor]]),"")</f>
        <v/>
      </c>
      <c r="Q984" s="2" t="str">
        <f>IFERROR(IF(MARÍTIMOS[[#This Row],[Puerto de Retiro]]="","",MARÍTIMOS[[#This Row],[Puerto de Retiro]]),"")</f>
        <v/>
      </c>
      <c r="R984" s="2" t="str">
        <f>IFERROR(IF(MARÍTIMOS[[#This Row],[Almacén de Retiro]]="","",MARÍTIMOS[[#This Row],[Almacén de Retiro]]),"")</f>
        <v/>
      </c>
      <c r="S984" s="11" t="str">
        <f>IFERROR(IF(MARÍTIMOS[[#This Row],[Etapa Retiro - Cita]]="","",MARÍTIMOS[[#This Row],[Etapa Retiro - Cita]]),"")</f>
        <v/>
      </c>
      <c r="T984" s="11" t="str">
        <f>IFERROR(IF(MARÍTIMOS[[#This Row],[Etapa Retiro - Llegada]]="","",MARÍTIMOS[[#This Row],[Etapa Retiro - Llegada]]),"")</f>
        <v/>
      </c>
      <c r="U984" s="11" t="str">
        <f>IFERROR(IF(MARÍTIMOS[[#This Row],[Etapa Retiro - Ingreso]]="","",MARÍTIMOS[[#This Row],[Etapa Retiro - Ingreso]]),"")</f>
        <v/>
      </c>
      <c r="V984" s="11" t="str">
        <f>IFERROR(IF(MARÍTIMOS[[#This Row],[Etapa Retiro - Atención]]="","",MARÍTIMOS[[#This Row],[Etapa Retiro - Atención]]),"")</f>
        <v/>
      </c>
      <c r="W984" s="11" t="str">
        <f>IFERROR(IF(MARÍTIMOS[[#This Row],[Etapa Retiro - Atención]]="","",MARÍTIMOS[[#This Row],[Etapa Retiro - Atención]]),"")</f>
        <v/>
      </c>
      <c r="X984" s="11" t="str">
        <f>IFERROR(IF(MARÍTIMOS[[#This Row],[Etapa Retiro - Inicio de Ruta]]="","",MARÍTIMOS[[#This Row],[Etapa Retiro - Inicio de Ruta]]),"")</f>
        <v/>
      </c>
      <c r="Y984" s="11" t="str">
        <f>IFERROR(IF(MARÍTIMOS[[#This Row],[Hora de Posicionamiento]]="","",MARÍTIMOS[[#This Row],[Fecha de Carga]]+MARÍTIMOS[[#This Row],[Hora de Posicionamiento]]),"")</f>
        <v/>
      </c>
      <c r="Z984" s="11" t="str">
        <f>IFERROR(IF(MARÍTIMOS[[#This Row],[Etapa Despacho - Llegada]]="","",MARÍTIMOS[[#This Row],[Etapa Despacho - Llegada]]),"")</f>
        <v/>
      </c>
      <c r="AA984" s="11" t="str">
        <f>IFERROR(IF(MARÍTIMOS[[#This Row],[Etapa Despacho - Registro]]="","",MARÍTIMOS[[#This Row],[Etapa Despacho - Registro]]),"")</f>
        <v/>
      </c>
      <c r="AB984" s="11" t="str">
        <f>IFERROR(IF(MARÍTIMOS[[#This Row],[Inspección Externa]]="","",MARÍTIMOS[[#This Row],[Inspección Externa]]),"")</f>
        <v/>
      </c>
      <c r="AC984" s="11" t="str">
        <f>IFERROR(IF(MARÍTIMOS[[#This Row],[Etapa Despacho - Inicio de Carga]]="","",MARÍTIMOS[[#This Row],[Etapa Despacho - Inicio de Carga]]),"")</f>
        <v/>
      </c>
      <c r="AD984" s="11" t="str">
        <f>IFERROR(IF(MARÍTIMOS[[#This Row],[Etapa Despacho - Mitad de Carga]]="","",MARÍTIMOS[[#This Row],[Etapa Despacho - Mitad de Carga]]),"")</f>
        <v/>
      </c>
      <c r="AE984" s="11" t="str">
        <f>IFERROR(IF(MARÍTIMOS[[#This Row],[Etapa Despacho - Fin de Carga]]="","",MARÍTIMOS[[#This Row],[Etapa Despacho - Fin de Carga]]),"")</f>
        <v/>
      </c>
      <c r="AF984" s="2" t="str">
        <f>IFERROR(IF(MARÍTIMOS[[#This Row],[Puerto de Embarque]]="","",MARÍTIMOS[[#This Row],[Puerto de Embarque]]),"")</f>
        <v/>
      </c>
      <c r="AG984" s="2" t="str">
        <f>IFERROR(IF(MARÍTIMOS[[#This Row],[Almacén de Ingreso]]="","",MARÍTIMOS[[#This Row],[Almacén de Ingreso]]),"")</f>
        <v/>
      </c>
      <c r="AH984" s="11" t="str">
        <f>IFERROR(IF(MARÍTIMOS[[#This Row],[Etapa Ingreso - Cita]]="","",MARÍTIMOS[[#This Row],[Etapa Ingreso - Cita]]),"")</f>
        <v/>
      </c>
      <c r="AI984" s="11" t="str">
        <f>IFERROR(IF(MARÍTIMOS[[#This Row],[Etapa Ingreso - Llegada]]="","",MARÍTIMOS[[#This Row],[Etapa Ingreso - Llegada]]),"")</f>
        <v/>
      </c>
      <c r="AJ984" s="11" t="str">
        <f>IFERROR(IF(MARÍTIMOS[[#This Row],[Etapa Ingreso - Ingeso]]="","",MARÍTIMOS[[#This Row],[Etapa Ingreso - Ingeso]]),"")</f>
        <v/>
      </c>
      <c r="AK984" s="11" t="str">
        <f>IFERROR(IF(MARÍTIMOS[[#This Row],[Etapa Ingreso - Atención]]="","",MARÍTIMOS[[#This Row],[Etapa Ingreso - Atención]]),"")</f>
        <v/>
      </c>
      <c r="AL984" s="11" t="str">
        <f>IFERROR(IF(MARÍTIMOS[[#This Row],[Etapa Ingreso - Salida]]="","",MARÍTIMOS[[#This Row],[Etapa Ingreso - Salida]]),"")</f>
        <v/>
      </c>
      <c r="AM984" s="2" t="str">
        <f>IFERROR(IF(MARÍTIMOS[[#This Row],[FCL]]="","",MARÍTIMOS[[#This Row],[FCL]]),"")</f>
        <v/>
      </c>
      <c r="AN9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4" s="4" t="str" cm="1">
        <f t="array" ref="AO9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4" s="5" t="str">
        <f>IFERROR(OLDBD[[#This Row],[Llegada a packing]]-OLDBD[[#This Row],[Inicio de Ruta]],"")</f>
        <v/>
      </c>
      <c r="AQ984" s="6" t="str">
        <f>IFERROR(OLDBD[[#This Row],[Inicio de Ruta]]-OLDBD[[#This Row],[Salida de almacén de retiro]],"")</f>
        <v/>
      </c>
      <c r="AR9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4" s="8" t="str" cm="1">
        <f t="array" ref="AS9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4" s="9" t="str">
        <f>IFERROR(OLDBD[[#This Row],[Ingreso Packing]]-OLDBD[[#This Row],[Registro en Packing]],"")</f>
        <v/>
      </c>
      <c r="AV984" s="9" t="str">
        <f>IFERROR(OLDBD[[#This Row],[Ingreso Packing]]-OLDBD[[#This Row],[Llegada a packing]],"")</f>
        <v/>
      </c>
      <c r="AW9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4" s="5" t="str">
        <f>IFERROR(OLDBD[[#This Row],[Llegada Almacén de Ingreso]]-OLDBD[[#This Row],[Salida Packing]],"")</f>
        <v/>
      </c>
      <c r="AY984" s="4" t="str" cm="1">
        <f t="array" ref="AY9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4" s="43" t="s">
        <v>173</v>
      </c>
      <c r="BB984" s="47" t="str">
        <f>IFERROR(IF(MARÍTIMOS[[#This Row],[Estatus]]="","",MARÍTIMOS[[#This Row],[Estatus]]),"")</f>
        <v/>
      </c>
      <c r="BC984" s="43"/>
      <c r="BD984" s="46" t="str">
        <f>IFERROR(OLDBD[[#This Row],[Salida de almacén de retiro]]-OLDBD[[#This Row],[Ingreso Almacén de retiro]],"")</f>
        <v/>
      </c>
      <c r="BE984" s="46" t="str">
        <f>IFERROR(OLDBD[[#This Row],[Fin de Carga]]-OLDBD[[#This Row],[Inicio de Carga]],"")</f>
        <v/>
      </c>
    </row>
    <row r="985" spans="1:57" customFormat="1" hidden="1">
      <c r="A985" s="1"/>
      <c r="B985" s="1" t="str">
        <f>IFERROR(IF(MARÍTIMOS[[#This Row],[PP]]="","",MARÍTIMOS[[#This Row],[PP]]),"")</f>
        <v/>
      </c>
      <c r="C985" s="1" t="str">
        <f>IFERROR(IF(MARÍTIMOS[[#This Row],[Sede]]="","",MARÍTIMOS[[#This Row],[Sede]]),"")</f>
        <v/>
      </c>
      <c r="D985" s="1" t="str">
        <f>IFERROR(IF(MARÍTIMOS[[#This Row],[Instruction]]="","",MARÍTIMOS[[#This Row],[Instruction]]),"")</f>
        <v/>
      </c>
      <c r="E985" s="1"/>
      <c r="F985" s="2" t="str">
        <f>IFERROR(IF(MARÍTIMOS[[#This Row],[Transportista]]="","",MARÍTIMOS[[#This Row],[Transportista]]),"")</f>
        <v/>
      </c>
      <c r="G985" s="2" t="str">
        <f>IFERROR(IF(MARÍTIMOS[[#This Row],[Tercero]]="","",MARÍTIMOS[[#This Row],[Tercero]]),"")</f>
        <v/>
      </c>
      <c r="H985" s="2" t="str">
        <f>IFERROR(IF(MARÍTIMOS[[#This Row],[Razón Social]]="","",MARÍTIMOS[[#This Row],[Razón Social]]),"")</f>
        <v/>
      </c>
      <c r="I985" s="2" t="str">
        <f>IFERROR(IF(MARÍTIMOS[[#This Row],[RUC]]="","",MARÍTIMOS[[#This Row],[RUC]]),"")</f>
        <v/>
      </c>
      <c r="J985" s="2" t="str">
        <f>IFERROR(IF(MARÍTIMOS[[#This Row],[Placa Tracto]]="","",MARÍTIMOS[[#This Row],[Placa Tracto]]),"")</f>
        <v/>
      </c>
      <c r="K985" s="2" t="str">
        <f>IFERROR(IF(MARÍTIMOS[[#This Row],[Placa Carreta]]="","",MARÍTIMOS[[#This Row],[Placa Carreta]]),"")</f>
        <v/>
      </c>
      <c r="L985" s="44" t="str">
        <f>IFERROR(IF(MARÍTIMOS[[#This Row],[Conductor]]="","",MARÍTIMOS[[#This Row],[Conductor]]),"")</f>
        <v/>
      </c>
      <c r="M985" s="2" t="str">
        <f>IFERROR(IF(MARÍTIMOS[[#This Row],[Licencia]]="","",MARÍTIMOS[[#This Row],[Licencia]]),"")</f>
        <v/>
      </c>
      <c r="N985" s="2" t="str">
        <f>IFERROR(IF(MARÍTIMOS[[#This Row],[Número de Contacto]]="","",MARÍTIMOS[[#This Row],[Número de Contacto]]),"")</f>
        <v/>
      </c>
      <c r="O985" s="10" t="str">
        <f>IFERROR(IF(MARÍTIMOS[[#This Row],[Booking|AWB|CRT]]="","",MARÍTIMOS[[#This Row],[Booking|AWB|CRT]]),"")</f>
        <v/>
      </c>
      <c r="P985" s="2" t="str">
        <f>IFERROR(IF(MARÍTIMOS[[#This Row],[Contenedor]]="","",MARÍTIMOS[[#This Row],[Contenedor]]),"")</f>
        <v/>
      </c>
      <c r="Q985" s="2" t="str">
        <f>IFERROR(IF(MARÍTIMOS[[#This Row],[Puerto de Retiro]]="","",MARÍTIMOS[[#This Row],[Puerto de Retiro]]),"")</f>
        <v/>
      </c>
      <c r="R985" s="2" t="str">
        <f>IFERROR(IF(MARÍTIMOS[[#This Row],[Almacén de Retiro]]="","",MARÍTIMOS[[#This Row],[Almacén de Retiro]]),"")</f>
        <v/>
      </c>
      <c r="S985" s="11" t="str">
        <f>IFERROR(IF(MARÍTIMOS[[#This Row],[Etapa Retiro - Cita]]="","",MARÍTIMOS[[#This Row],[Etapa Retiro - Cita]]),"")</f>
        <v/>
      </c>
      <c r="T985" s="11" t="str">
        <f>IFERROR(IF(MARÍTIMOS[[#This Row],[Etapa Retiro - Llegada]]="","",MARÍTIMOS[[#This Row],[Etapa Retiro - Llegada]]),"")</f>
        <v/>
      </c>
      <c r="U985" s="11" t="str">
        <f>IFERROR(IF(MARÍTIMOS[[#This Row],[Etapa Retiro - Ingreso]]="","",MARÍTIMOS[[#This Row],[Etapa Retiro - Ingreso]]),"")</f>
        <v/>
      </c>
      <c r="V985" s="11" t="str">
        <f>IFERROR(IF(MARÍTIMOS[[#This Row],[Etapa Retiro - Atención]]="","",MARÍTIMOS[[#This Row],[Etapa Retiro - Atención]]),"")</f>
        <v/>
      </c>
      <c r="W985" s="11" t="str">
        <f>IFERROR(IF(MARÍTIMOS[[#This Row],[Etapa Retiro - Atención]]="","",MARÍTIMOS[[#This Row],[Etapa Retiro - Atención]]),"")</f>
        <v/>
      </c>
      <c r="X985" s="11" t="str">
        <f>IFERROR(IF(MARÍTIMOS[[#This Row],[Etapa Retiro - Inicio de Ruta]]="","",MARÍTIMOS[[#This Row],[Etapa Retiro - Inicio de Ruta]]),"")</f>
        <v/>
      </c>
      <c r="Y985" s="11" t="str">
        <f>IFERROR(IF(MARÍTIMOS[[#This Row],[Hora de Posicionamiento]]="","",MARÍTIMOS[[#This Row],[Fecha de Carga]]+MARÍTIMOS[[#This Row],[Hora de Posicionamiento]]),"")</f>
        <v/>
      </c>
      <c r="Z985" s="11" t="str">
        <f>IFERROR(IF(MARÍTIMOS[[#This Row],[Etapa Despacho - Llegada]]="","",MARÍTIMOS[[#This Row],[Etapa Despacho - Llegada]]),"")</f>
        <v/>
      </c>
      <c r="AA985" s="11" t="str">
        <f>IFERROR(IF(MARÍTIMOS[[#This Row],[Etapa Despacho - Registro]]="","",MARÍTIMOS[[#This Row],[Etapa Despacho - Registro]]),"")</f>
        <v/>
      </c>
      <c r="AB985" s="11" t="str">
        <f>IFERROR(IF(MARÍTIMOS[[#This Row],[Inspección Externa]]="","",MARÍTIMOS[[#This Row],[Inspección Externa]]),"")</f>
        <v/>
      </c>
      <c r="AC985" s="11" t="str">
        <f>IFERROR(IF(MARÍTIMOS[[#This Row],[Etapa Despacho - Inicio de Carga]]="","",MARÍTIMOS[[#This Row],[Etapa Despacho - Inicio de Carga]]),"")</f>
        <v/>
      </c>
      <c r="AD985" s="11" t="str">
        <f>IFERROR(IF(MARÍTIMOS[[#This Row],[Etapa Despacho - Mitad de Carga]]="","",MARÍTIMOS[[#This Row],[Etapa Despacho - Mitad de Carga]]),"")</f>
        <v/>
      </c>
      <c r="AE985" s="11" t="str">
        <f>IFERROR(IF(MARÍTIMOS[[#This Row],[Etapa Despacho - Fin de Carga]]="","",MARÍTIMOS[[#This Row],[Etapa Despacho - Fin de Carga]]),"")</f>
        <v/>
      </c>
      <c r="AF985" s="2" t="str">
        <f>IFERROR(IF(MARÍTIMOS[[#This Row],[Puerto de Embarque]]="","",MARÍTIMOS[[#This Row],[Puerto de Embarque]]),"")</f>
        <v/>
      </c>
      <c r="AG985" s="2" t="str">
        <f>IFERROR(IF(MARÍTIMOS[[#This Row],[Almacén de Ingreso]]="","",MARÍTIMOS[[#This Row],[Almacén de Ingreso]]),"")</f>
        <v/>
      </c>
      <c r="AH985" s="11" t="str">
        <f>IFERROR(IF(MARÍTIMOS[[#This Row],[Etapa Ingreso - Cita]]="","",MARÍTIMOS[[#This Row],[Etapa Ingreso - Cita]]),"")</f>
        <v/>
      </c>
      <c r="AI985" s="11" t="str">
        <f>IFERROR(IF(MARÍTIMOS[[#This Row],[Etapa Ingreso - Llegada]]="","",MARÍTIMOS[[#This Row],[Etapa Ingreso - Llegada]]),"")</f>
        <v/>
      </c>
      <c r="AJ985" s="11" t="str">
        <f>IFERROR(IF(MARÍTIMOS[[#This Row],[Etapa Ingreso - Ingeso]]="","",MARÍTIMOS[[#This Row],[Etapa Ingreso - Ingeso]]),"")</f>
        <v/>
      </c>
      <c r="AK985" s="11" t="str">
        <f>IFERROR(IF(MARÍTIMOS[[#This Row],[Etapa Ingreso - Atención]]="","",MARÍTIMOS[[#This Row],[Etapa Ingreso - Atención]]),"")</f>
        <v/>
      </c>
      <c r="AL985" s="11" t="str">
        <f>IFERROR(IF(MARÍTIMOS[[#This Row],[Etapa Ingreso - Salida]]="","",MARÍTIMOS[[#This Row],[Etapa Ingreso - Salida]]),"")</f>
        <v/>
      </c>
      <c r="AM985" s="2" t="str">
        <f>IFERROR(IF(MARÍTIMOS[[#This Row],[FCL]]="","",MARÍTIMOS[[#This Row],[FCL]]),"")</f>
        <v/>
      </c>
      <c r="AN9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5" s="4" t="str" cm="1">
        <f t="array" ref="AO9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5" s="5" t="str">
        <f>IFERROR(OLDBD[[#This Row],[Llegada a packing]]-OLDBD[[#This Row],[Inicio de Ruta]],"")</f>
        <v/>
      </c>
      <c r="AQ985" s="6" t="str">
        <f>IFERROR(OLDBD[[#This Row],[Inicio de Ruta]]-OLDBD[[#This Row],[Salida de almacén de retiro]],"")</f>
        <v/>
      </c>
      <c r="AR9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5" s="8" t="str" cm="1">
        <f t="array" ref="AS9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5" s="9" t="str">
        <f>IFERROR(OLDBD[[#This Row],[Ingreso Packing]]-OLDBD[[#This Row],[Registro en Packing]],"")</f>
        <v/>
      </c>
      <c r="AV985" s="9" t="str">
        <f>IFERROR(OLDBD[[#This Row],[Ingreso Packing]]-OLDBD[[#This Row],[Llegada a packing]],"")</f>
        <v/>
      </c>
      <c r="AW9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5" s="5" t="str">
        <f>IFERROR(OLDBD[[#This Row],[Llegada Almacén de Ingreso]]-OLDBD[[#This Row],[Salida Packing]],"")</f>
        <v/>
      </c>
      <c r="AY985" s="4" t="str" cm="1">
        <f t="array" ref="AY9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5" s="43" t="s">
        <v>173</v>
      </c>
      <c r="BB985" s="47" t="str">
        <f>IFERROR(IF(MARÍTIMOS[[#This Row],[Estatus]]="","",MARÍTIMOS[[#This Row],[Estatus]]),"")</f>
        <v/>
      </c>
      <c r="BC985" s="43"/>
      <c r="BD985" s="46" t="str">
        <f>IFERROR(OLDBD[[#This Row],[Salida de almacén de retiro]]-OLDBD[[#This Row],[Ingreso Almacén de retiro]],"")</f>
        <v/>
      </c>
      <c r="BE985" s="46" t="str">
        <f>IFERROR(OLDBD[[#This Row],[Fin de Carga]]-OLDBD[[#This Row],[Inicio de Carga]],"")</f>
        <v/>
      </c>
    </row>
    <row r="986" spans="1:57" customFormat="1" hidden="1">
      <c r="A986" s="1"/>
      <c r="B986" s="1" t="str">
        <f>IFERROR(IF(MARÍTIMOS[[#This Row],[PP]]="","",MARÍTIMOS[[#This Row],[PP]]),"")</f>
        <v/>
      </c>
      <c r="C986" s="1" t="str">
        <f>IFERROR(IF(MARÍTIMOS[[#This Row],[Sede]]="","",MARÍTIMOS[[#This Row],[Sede]]),"")</f>
        <v/>
      </c>
      <c r="D986" s="1" t="str">
        <f>IFERROR(IF(MARÍTIMOS[[#This Row],[Instruction]]="","",MARÍTIMOS[[#This Row],[Instruction]]),"")</f>
        <v/>
      </c>
      <c r="E986" s="1"/>
      <c r="F986" s="2" t="str">
        <f>IFERROR(IF(MARÍTIMOS[[#This Row],[Transportista]]="","",MARÍTIMOS[[#This Row],[Transportista]]),"")</f>
        <v/>
      </c>
      <c r="G986" s="2" t="str">
        <f>IFERROR(IF(MARÍTIMOS[[#This Row],[Tercero]]="","",MARÍTIMOS[[#This Row],[Tercero]]),"")</f>
        <v/>
      </c>
      <c r="H986" s="2" t="str">
        <f>IFERROR(IF(MARÍTIMOS[[#This Row],[Razón Social]]="","",MARÍTIMOS[[#This Row],[Razón Social]]),"")</f>
        <v/>
      </c>
      <c r="I986" s="2" t="str">
        <f>IFERROR(IF(MARÍTIMOS[[#This Row],[RUC]]="","",MARÍTIMOS[[#This Row],[RUC]]),"")</f>
        <v/>
      </c>
      <c r="J986" s="2" t="str">
        <f>IFERROR(IF(MARÍTIMOS[[#This Row],[Placa Tracto]]="","",MARÍTIMOS[[#This Row],[Placa Tracto]]),"")</f>
        <v/>
      </c>
      <c r="K986" s="2" t="str">
        <f>IFERROR(IF(MARÍTIMOS[[#This Row],[Placa Carreta]]="","",MARÍTIMOS[[#This Row],[Placa Carreta]]),"")</f>
        <v/>
      </c>
      <c r="L986" s="44" t="str">
        <f>IFERROR(IF(MARÍTIMOS[[#This Row],[Conductor]]="","",MARÍTIMOS[[#This Row],[Conductor]]),"")</f>
        <v/>
      </c>
      <c r="M986" s="2" t="str">
        <f>IFERROR(IF(MARÍTIMOS[[#This Row],[Licencia]]="","",MARÍTIMOS[[#This Row],[Licencia]]),"")</f>
        <v/>
      </c>
      <c r="N986" s="2" t="str">
        <f>IFERROR(IF(MARÍTIMOS[[#This Row],[Número de Contacto]]="","",MARÍTIMOS[[#This Row],[Número de Contacto]]),"")</f>
        <v/>
      </c>
      <c r="O986" s="10" t="str">
        <f>IFERROR(IF(MARÍTIMOS[[#This Row],[Booking|AWB|CRT]]="","",MARÍTIMOS[[#This Row],[Booking|AWB|CRT]]),"")</f>
        <v/>
      </c>
      <c r="P986" s="2" t="str">
        <f>IFERROR(IF(MARÍTIMOS[[#This Row],[Contenedor]]="","",MARÍTIMOS[[#This Row],[Contenedor]]),"")</f>
        <v/>
      </c>
      <c r="Q986" s="2" t="str">
        <f>IFERROR(IF(MARÍTIMOS[[#This Row],[Puerto de Retiro]]="","",MARÍTIMOS[[#This Row],[Puerto de Retiro]]),"")</f>
        <v/>
      </c>
      <c r="R986" s="2" t="str">
        <f>IFERROR(IF(MARÍTIMOS[[#This Row],[Almacén de Retiro]]="","",MARÍTIMOS[[#This Row],[Almacén de Retiro]]),"")</f>
        <v/>
      </c>
      <c r="S986" s="11" t="str">
        <f>IFERROR(IF(MARÍTIMOS[[#This Row],[Etapa Retiro - Cita]]="","",MARÍTIMOS[[#This Row],[Etapa Retiro - Cita]]),"")</f>
        <v/>
      </c>
      <c r="T986" s="11" t="str">
        <f>IFERROR(IF(MARÍTIMOS[[#This Row],[Etapa Retiro - Llegada]]="","",MARÍTIMOS[[#This Row],[Etapa Retiro - Llegada]]),"")</f>
        <v/>
      </c>
      <c r="U986" s="11" t="str">
        <f>IFERROR(IF(MARÍTIMOS[[#This Row],[Etapa Retiro - Ingreso]]="","",MARÍTIMOS[[#This Row],[Etapa Retiro - Ingreso]]),"")</f>
        <v/>
      </c>
      <c r="V986" s="11" t="str">
        <f>IFERROR(IF(MARÍTIMOS[[#This Row],[Etapa Retiro - Atención]]="","",MARÍTIMOS[[#This Row],[Etapa Retiro - Atención]]),"")</f>
        <v/>
      </c>
      <c r="W986" s="11" t="str">
        <f>IFERROR(IF(MARÍTIMOS[[#This Row],[Etapa Retiro - Atención]]="","",MARÍTIMOS[[#This Row],[Etapa Retiro - Atención]]),"")</f>
        <v/>
      </c>
      <c r="X986" s="11" t="str">
        <f>IFERROR(IF(MARÍTIMOS[[#This Row],[Etapa Retiro - Inicio de Ruta]]="","",MARÍTIMOS[[#This Row],[Etapa Retiro - Inicio de Ruta]]),"")</f>
        <v/>
      </c>
      <c r="Y986" s="11" t="str">
        <f>IFERROR(IF(MARÍTIMOS[[#This Row],[Hora de Posicionamiento]]="","",MARÍTIMOS[[#This Row],[Fecha de Carga]]+MARÍTIMOS[[#This Row],[Hora de Posicionamiento]]),"")</f>
        <v/>
      </c>
      <c r="Z986" s="11" t="str">
        <f>IFERROR(IF(MARÍTIMOS[[#This Row],[Etapa Despacho - Llegada]]="","",MARÍTIMOS[[#This Row],[Etapa Despacho - Llegada]]),"")</f>
        <v/>
      </c>
      <c r="AA986" s="11" t="str">
        <f>IFERROR(IF(MARÍTIMOS[[#This Row],[Etapa Despacho - Registro]]="","",MARÍTIMOS[[#This Row],[Etapa Despacho - Registro]]),"")</f>
        <v/>
      </c>
      <c r="AB986" s="11" t="str">
        <f>IFERROR(IF(MARÍTIMOS[[#This Row],[Inspección Externa]]="","",MARÍTIMOS[[#This Row],[Inspección Externa]]),"")</f>
        <v/>
      </c>
      <c r="AC986" s="11" t="str">
        <f>IFERROR(IF(MARÍTIMOS[[#This Row],[Etapa Despacho - Inicio de Carga]]="","",MARÍTIMOS[[#This Row],[Etapa Despacho - Inicio de Carga]]),"")</f>
        <v/>
      </c>
      <c r="AD986" s="11" t="str">
        <f>IFERROR(IF(MARÍTIMOS[[#This Row],[Etapa Despacho - Mitad de Carga]]="","",MARÍTIMOS[[#This Row],[Etapa Despacho - Mitad de Carga]]),"")</f>
        <v/>
      </c>
      <c r="AE986" s="11" t="str">
        <f>IFERROR(IF(MARÍTIMOS[[#This Row],[Etapa Despacho - Fin de Carga]]="","",MARÍTIMOS[[#This Row],[Etapa Despacho - Fin de Carga]]),"")</f>
        <v/>
      </c>
      <c r="AF986" s="2" t="str">
        <f>IFERROR(IF(MARÍTIMOS[[#This Row],[Puerto de Embarque]]="","",MARÍTIMOS[[#This Row],[Puerto de Embarque]]),"")</f>
        <v/>
      </c>
      <c r="AG986" s="2" t="str">
        <f>IFERROR(IF(MARÍTIMOS[[#This Row],[Almacén de Ingreso]]="","",MARÍTIMOS[[#This Row],[Almacén de Ingreso]]),"")</f>
        <v/>
      </c>
      <c r="AH986" s="11" t="str">
        <f>IFERROR(IF(MARÍTIMOS[[#This Row],[Etapa Ingreso - Cita]]="","",MARÍTIMOS[[#This Row],[Etapa Ingreso - Cita]]),"")</f>
        <v/>
      </c>
      <c r="AI986" s="11" t="str">
        <f>IFERROR(IF(MARÍTIMOS[[#This Row],[Etapa Ingreso - Llegada]]="","",MARÍTIMOS[[#This Row],[Etapa Ingreso - Llegada]]),"")</f>
        <v/>
      </c>
      <c r="AJ986" s="11" t="str">
        <f>IFERROR(IF(MARÍTIMOS[[#This Row],[Etapa Ingreso - Ingeso]]="","",MARÍTIMOS[[#This Row],[Etapa Ingreso - Ingeso]]),"")</f>
        <v/>
      </c>
      <c r="AK986" s="11" t="str">
        <f>IFERROR(IF(MARÍTIMOS[[#This Row],[Etapa Ingreso - Atención]]="","",MARÍTIMOS[[#This Row],[Etapa Ingreso - Atención]]),"")</f>
        <v/>
      </c>
      <c r="AL986" s="11" t="str">
        <f>IFERROR(IF(MARÍTIMOS[[#This Row],[Etapa Ingreso - Salida]]="","",MARÍTIMOS[[#This Row],[Etapa Ingreso - Salida]]),"")</f>
        <v/>
      </c>
      <c r="AM986" s="2" t="str">
        <f>IFERROR(IF(MARÍTIMOS[[#This Row],[FCL]]="","",MARÍTIMOS[[#This Row],[FCL]]),"")</f>
        <v/>
      </c>
      <c r="AN9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6" s="4" t="str" cm="1">
        <f t="array" ref="AO9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6" s="5" t="str">
        <f>IFERROR(OLDBD[[#This Row],[Llegada a packing]]-OLDBD[[#This Row],[Inicio de Ruta]],"")</f>
        <v/>
      </c>
      <c r="AQ986" s="6" t="str">
        <f>IFERROR(OLDBD[[#This Row],[Inicio de Ruta]]-OLDBD[[#This Row],[Salida de almacén de retiro]],"")</f>
        <v/>
      </c>
      <c r="AR9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6" s="8" t="str" cm="1">
        <f t="array" ref="AS9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6" s="9" t="str">
        <f>IFERROR(OLDBD[[#This Row],[Ingreso Packing]]-OLDBD[[#This Row],[Registro en Packing]],"")</f>
        <v/>
      </c>
      <c r="AV986" s="9" t="str">
        <f>IFERROR(OLDBD[[#This Row],[Ingreso Packing]]-OLDBD[[#This Row],[Llegada a packing]],"")</f>
        <v/>
      </c>
      <c r="AW9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6" s="5" t="str">
        <f>IFERROR(OLDBD[[#This Row],[Llegada Almacén de Ingreso]]-OLDBD[[#This Row],[Salida Packing]],"")</f>
        <v/>
      </c>
      <c r="AY986" s="4" t="str" cm="1">
        <f t="array" ref="AY9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6" s="43" t="s">
        <v>173</v>
      </c>
      <c r="BB986" s="47" t="str">
        <f>IFERROR(IF(MARÍTIMOS[[#This Row],[Estatus]]="","",MARÍTIMOS[[#This Row],[Estatus]]),"")</f>
        <v/>
      </c>
      <c r="BC986" s="43"/>
      <c r="BD986" s="46" t="str">
        <f>IFERROR(OLDBD[[#This Row],[Salida de almacén de retiro]]-OLDBD[[#This Row],[Ingreso Almacén de retiro]],"")</f>
        <v/>
      </c>
      <c r="BE986" s="46" t="str">
        <f>IFERROR(OLDBD[[#This Row],[Fin de Carga]]-OLDBD[[#This Row],[Inicio de Carga]],"")</f>
        <v/>
      </c>
    </row>
    <row r="987" spans="1:57" customFormat="1" hidden="1">
      <c r="A987" s="1"/>
      <c r="B987" s="1" t="str">
        <f>IFERROR(IF(MARÍTIMOS[[#This Row],[PP]]="","",MARÍTIMOS[[#This Row],[PP]]),"")</f>
        <v/>
      </c>
      <c r="C987" s="1" t="str">
        <f>IFERROR(IF(MARÍTIMOS[[#This Row],[Sede]]="","",MARÍTIMOS[[#This Row],[Sede]]),"")</f>
        <v/>
      </c>
      <c r="D987" s="1" t="str">
        <f>IFERROR(IF(MARÍTIMOS[[#This Row],[Instruction]]="","",MARÍTIMOS[[#This Row],[Instruction]]),"")</f>
        <v/>
      </c>
      <c r="E987" s="1"/>
      <c r="F987" s="2" t="str">
        <f>IFERROR(IF(MARÍTIMOS[[#This Row],[Transportista]]="","",MARÍTIMOS[[#This Row],[Transportista]]),"")</f>
        <v/>
      </c>
      <c r="G987" s="2" t="str">
        <f>IFERROR(IF(MARÍTIMOS[[#This Row],[Tercero]]="","",MARÍTIMOS[[#This Row],[Tercero]]),"")</f>
        <v/>
      </c>
      <c r="H987" s="2" t="str">
        <f>IFERROR(IF(MARÍTIMOS[[#This Row],[Razón Social]]="","",MARÍTIMOS[[#This Row],[Razón Social]]),"")</f>
        <v/>
      </c>
      <c r="I987" s="2" t="str">
        <f>IFERROR(IF(MARÍTIMOS[[#This Row],[RUC]]="","",MARÍTIMOS[[#This Row],[RUC]]),"")</f>
        <v/>
      </c>
      <c r="J987" s="2" t="str">
        <f>IFERROR(IF(MARÍTIMOS[[#This Row],[Placa Tracto]]="","",MARÍTIMOS[[#This Row],[Placa Tracto]]),"")</f>
        <v/>
      </c>
      <c r="K987" s="2" t="str">
        <f>IFERROR(IF(MARÍTIMOS[[#This Row],[Placa Carreta]]="","",MARÍTIMOS[[#This Row],[Placa Carreta]]),"")</f>
        <v/>
      </c>
      <c r="L987" s="44" t="str">
        <f>IFERROR(IF(MARÍTIMOS[[#This Row],[Conductor]]="","",MARÍTIMOS[[#This Row],[Conductor]]),"")</f>
        <v/>
      </c>
      <c r="M987" s="2" t="str">
        <f>IFERROR(IF(MARÍTIMOS[[#This Row],[Licencia]]="","",MARÍTIMOS[[#This Row],[Licencia]]),"")</f>
        <v/>
      </c>
      <c r="N987" s="2" t="str">
        <f>IFERROR(IF(MARÍTIMOS[[#This Row],[Número de Contacto]]="","",MARÍTIMOS[[#This Row],[Número de Contacto]]),"")</f>
        <v/>
      </c>
      <c r="O987" s="10" t="str">
        <f>IFERROR(IF(MARÍTIMOS[[#This Row],[Booking|AWB|CRT]]="","",MARÍTIMOS[[#This Row],[Booking|AWB|CRT]]),"")</f>
        <v/>
      </c>
      <c r="P987" s="2" t="str">
        <f>IFERROR(IF(MARÍTIMOS[[#This Row],[Contenedor]]="","",MARÍTIMOS[[#This Row],[Contenedor]]),"")</f>
        <v/>
      </c>
      <c r="Q987" s="2" t="str">
        <f>IFERROR(IF(MARÍTIMOS[[#This Row],[Puerto de Retiro]]="","",MARÍTIMOS[[#This Row],[Puerto de Retiro]]),"")</f>
        <v/>
      </c>
      <c r="R987" s="2" t="str">
        <f>IFERROR(IF(MARÍTIMOS[[#This Row],[Almacén de Retiro]]="","",MARÍTIMOS[[#This Row],[Almacén de Retiro]]),"")</f>
        <v/>
      </c>
      <c r="S987" s="11" t="str">
        <f>IFERROR(IF(MARÍTIMOS[[#This Row],[Etapa Retiro - Cita]]="","",MARÍTIMOS[[#This Row],[Etapa Retiro - Cita]]),"")</f>
        <v/>
      </c>
      <c r="T987" s="11" t="str">
        <f>IFERROR(IF(MARÍTIMOS[[#This Row],[Etapa Retiro - Llegada]]="","",MARÍTIMOS[[#This Row],[Etapa Retiro - Llegada]]),"")</f>
        <v/>
      </c>
      <c r="U987" s="11" t="str">
        <f>IFERROR(IF(MARÍTIMOS[[#This Row],[Etapa Retiro - Ingreso]]="","",MARÍTIMOS[[#This Row],[Etapa Retiro - Ingreso]]),"")</f>
        <v/>
      </c>
      <c r="V987" s="11" t="str">
        <f>IFERROR(IF(MARÍTIMOS[[#This Row],[Etapa Retiro - Atención]]="","",MARÍTIMOS[[#This Row],[Etapa Retiro - Atención]]),"")</f>
        <v/>
      </c>
      <c r="W987" s="11" t="str">
        <f>IFERROR(IF(MARÍTIMOS[[#This Row],[Etapa Retiro - Atención]]="","",MARÍTIMOS[[#This Row],[Etapa Retiro - Atención]]),"")</f>
        <v/>
      </c>
      <c r="X987" s="11" t="str">
        <f>IFERROR(IF(MARÍTIMOS[[#This Row],[Etapa Retiro - Inicio de Ruta]]="","",MARÍTIMOS[[#This Row],[Etapa Retiro - Inicio de Ruta]]),"")</f>
        <v/>
      </c>
      <c r="Y987" s="11" t="str">
        <f>IFERROR(IF(MARÍTIMOS[[#This Row],[Hora de Posicionamiento]]="","",MARÍTIMOS[[#This Row],[Fecha de Carga]]+MARÍTIMOS[[#This Row],[Hora de Posicionamiento]]),"")</f>
        <v/>
      </c>
      <c r="Z987" s="11" t="str">
        <f>IFERROR(IF(MARÍTIMOS[[#This Row],[Etapa Despacho - Llegada]]="","",MARÍTIMOS[[#This Row],[Etapa Despacho - Llegada]]),"")</f>
        <v/>
      </c>
      <c r="AA987" s="11" t="str">
        <f>IFERROR(IF(MARÍTIMOS[[#This Row],[Etapa Despacho - Registro]]="","",MARÍTIMOS[[#This Row],[Etapa Despacho - Registro]]),"")</f>
        <v/>
      </c>
      <c r="AB987" s="11" t="str">
        <f>IFERROR(IF(MARÍTIMOS[[#This Row],[Inspección Externa]]="","",MARÍTIMOS[[#This Row],[Inspección Externa]]),"")</f>
        <v/>
      </c>
      <c r="AC987" s="11" t="str">
        <f>IFERROR(IF(MARÍTIMOS[[#This Row],[Etapa Despacho - Inicio de Carga]]="","",MARÍTIMOS[[#This Row],[Etapa Despacho - Inicio de Carga]]),"")</f>
        <v/>
      </c>
      <c r="AD987" s="11" t="str">
        <f>IFERROR(IF(MARÍTIMOS[[#This Row],[Etapa Despacho - Mitad de Carga]]="","",MARÍTIMOS[[#This Row],[Etapa Despacho - Mitad de Carga]]),"")</f>
        <v/>
      </c>
      <c r="AE987" s="11" t="str">
        <f>IFERROR(IF(MARÍTIMOS[[#This Row],[Etapa Despacho - Fin de Carga]]="","",MARÍTIMOS[[#This Row],[Etapa Despacho - Fin de Carga]]),"")</f>
        <v/>
      </c>
      <c r="AF987" s="2" t="str">
        <f>IFERROR(IF(MARÍTIMOS[[#This Row],[Puerto de Embarque]]="","",MARÍTIMOS[[#This Row],[Puerto de Embarque]]),"")</f>
        <v/>
      </c>
      <c r="AG987" s="2" t="str">
        <f>IFERROR(IF(MARÍTIMOS[[#This Row],[Almacén de Ingreso]]="","",MARÍTIMOS[[#This Row],[Almacén de Ingreso]]),"")</f>
        <v/>
      </c>
      <c r="AH987" s="11" t="str">
        <f>IFERROR(IF(MARÍTIMOS[[#This Row],[Etapa Ingreso - Cita]]="","",MARÍTIMOS[[#This Row],[Etapa Ingreso - Cita]]),"")</f>
        <v/>
      </c>
      <c r="AI987" s="11" t="str">
        <f>IFERROR(IF(MARÍTIMOS[[#This Row],[Etapa Ingreso - Llegada]]="","",MARÍTIMOS[[#This Row],[Etapa Ingreso - Llegada]]),"")</f>
        <v/>
      </c>
      <c r="AJ987" s="11" t="str">
        <f>IFERROR(IF(MARÍTIMOS[[#This Row],[Etapa Ingreso - Ingeso]]="","",MARÍTIMOS[[#This Row],[Etapa Ingreso - Ingeso]]),"")</f>
        <v/>
      </c>
      <c r="AK987" s="11" t="str">
        <f>IFERROR(IF(MARÍTIMOS[[#This Row],[Etapa Ingreso - Atención]]="","",MARÍTIMOS[[#This Row],[Etapa Ingreso - Atención]]),"")</f>
        <v/>
      </c>
      <c r="AL987" s="11" t="str">
        <f>IFERROR(IF(MARÍTIMOS[[#This Row],[Etapa Ingreso - Salida]]="","",MARÍTIMOS[[#This Row],[Etapa Ingreso - Salida]]),"")</f>
        <v/>
      </c>
      <c r="AM987" s="2" t="str">
        <f>IFERROR(IF(MARÍTIMOS[[#This Row],[FCL]]="","",MARÍTIMOS[[#This Row],[FCL]]),"")</f>
        <v/>
      </c>
      <c r="AN9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7" s="4" t="str" cm="1">
        <f t="array" ref="AO9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7" s="5" t="str">
        <f>IFERROR(OLDBD[[#This Row],[Llegada a packing]]-OLDBD[[#This Row],[Inicio de Ruta]],"")</f>
        <v/>
      </c>
      <c r="AQ987" s="6" t="str">
        <f>IFERROR(OLDBD[[#This Row],[Inicio de Ruta]]-OLDBD[[#This Row],[Salida de almacén de retiro]],"")</f>
        <v/>
      </c>
      <c r="AR9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7" s="8" t="str" cm="1">
        <f t="array" ref="AS9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7" s="9" t="str">
        <f>IFERROR(OLDBD[[#This Row],[Ingreso Packing]]-OLDBD[[#This Row],[Registro en Packing]],"")</f>
        <v/>
      </c>
      <c r="AV987" s="9" t="str">
        <f>IFERROR(OLDBD[[#This Row],[Ingreso Packing]]-OLDBD[[#This Row],[Llegada a packing]],"")</f>
        <v/>
      </c>
      <c r="AW9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7" s="5" t="str">
        <f>IFERROR(OLDBD[[#This Row],[Llegada Almacén de Ingreso]]-OLDBD[[#This Row],[Salida Packing]],"")</f>
        <v/>
      </c>
      <c r="AY987" s="4" t="str" cm="1">
        <f t="array" ref="AY9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7" s="43" t="s">
        <v>173</v>
      </c>
      <c r="BB987" s="47" t="str">
        <f>IFERROR(IF(MARÍTIMOS[[#This Row],[Estatus]]="","",MARÍTIMOS[[#This Row],[Estatus]]),"")</f>
        <v/>
      </c>
      <c r="BC987" s="43"/>
      <c r="BD987" s="46" t="str">
        <f>IFERROR(OLDBD[[#This Row],[Salida de almacén de retiro]]-OLDBD[[#This Row],[Ingreso Almacén de retiro]],"")</f>
        <v/>
      </c>
      <c r="BE987" s="46" t="str">
        <f>IFERROR(OLDBD[[#This Row],[Fin de Carga]]-OLDBD[[#This Row],[Inicio de Carga]],"")</f>
        <v/>
      </c>
    </row>
    <row r="988" spans="1:57" customFormat="1" hidden="1">
      <c r="A988" s="1"/>
      <c r="B988" s="1" t="str">
        <f>IFERROR(IF(MARÍTIMOS[[#This Row],[PP]]="","",MARÍTIMOS[[#This Row],[PP]]),"")</f>
        <v/>
      </c>
      <c r="C988" s="1" t="str">
        <f>IFERROR(IF(MARÍTIMOS[[#This Row],[Sede]]="","",MARÍTIMOS[[#This Row],[Sede]]),"")</f>
        <v/>
      </c>
      <c r="D988" s="1" t="str">
        <f>IFERROR(IF(MARÍTIMOS[[#This Row],[Instruction]]="","",MARÍTIMOS[[#This Row],[Instruction]]),"")</f>
        <v/>
      </c>
      <c r="E988" s="1"/>
      <c r="F988" s="2" t="str">
        <f>IFERROR(IF(MARÍTIMOS[[#This Row],[Transportista]]="","",MARÍTIMOS[[#This Row],[Transportista]]),"")</f>
        <v/>
      </c>
      <c r="G988" s="2" t="str">
        <f>IFERROR(IF(MARÍTIMOS[[#This Row],[Tercero]]="","",MARÍTIMOS[[#This Row],[Tercero]]),"")</f>
        <v/>
      </c>
      <c r="H988" s="2" t="str">
        <f>IFERROR(IF(MARÍTIMOS[[#This Row],[Razón Social]]="","",MARÍTIMOS[[#This Row],[Razón Social]]),"")</f>
        <v/>
      </c>
      <c r="I988" s="2" t="str">
        <f>IFERROR(IF(MARÍTIMOS[[#This Row],[RUC]]="","",MARÍTIMOS[[#This Row],[RUC]]),"")</f>
        <v/>
      </c>
      <c r="J988" s="2" t="str">
        <f>IFERROR(IF(MARÍTIMOS[[#This Row],[Placa Tracto]]="","",MARÍTIMOS[[#This Row],[Placa Tracto]]),"")</f>
        <v/>
      </c>
      <c r="K988" s="2" t="str">
        <f>IFERROR(IF(MARÍTIMOS[[#This Row],[Placa Carreta]]="","",MARÍTIMOS[[#This Row],[Placa Carreta]]),"")</f>
        <v/>
      </c>
      <c r="L988" s="44" t="str">
        <f>IFERROR(IF(MARÍTIMOS[[#This Row],[Conductor]]="","",MARÍTIMOS[[#This Row],[Conductor]]),"")</f>
        <v/>
      </c>
      <c r="M988" s="2" t="str">
        <f>IFERROR(IF(MARÍTIMOS[[#This Row],[Licencia]]="","",MARÍTIMOS[[#This Row],[Licencia]]),"")</f>
        <v/>
      </c>
      <c r="N988" s="2" t="str">
        <f>IFERROR(IF(MARÍTIMOS[[#This Row],[Número de Contacto]]="","",MARÍTIMOS[[#This Row],[Número de Contacto]]),"")</f>
        <v/>
      </c>
      <c r="O988" s="10" t="str">
        <f>IFERROR(IF(MARÍTIMOS[[#This Row],[Booking|AWB|CRT]]="","",MARÍTIMOS[[#This Row],[Booking|AWB|CRT]]),"")</f>
        <v/>
      </c>
      <c r="P988" s="2" t="str">
        <f>IFERROR(IF(MARÍTIMOS[[#This Row],[Contenedor]]="","",MARÍTIMOS[[#This Row],[Contenedor]]),"")</f>
        <v/>
      </c>
      <c r="Q988" s="2" t="str">
        <f>IFERROR(IF(MARÍTIMOS[[#This Row],[Puerto de Retiro]]="","",MARÍTIMOS[[#This Row],[Puerto de Retiro]]),"")</f>
        <v/>
      </c>
      <c r="R988" s="2" t="str">
        <f>IFERROR(IF(MARÍTIMOS[[#This Row],[Almacén de Retiro]]="","",MARÍTIMOS[[#This Row],[Almacén de Retiro]]),"")</f>
        <v/>
      </c>
      <c r="S988" s="11" t="str">
        <f>IFERROR(IF(MARÍTIMOS[[#This Row],[Etapa Retiro - Cita]]="","",MARÍTIMOS[[#This Row],[Etapa Retiro - Cita]]),"")</f>
        <v/>
      </c>
      <c r="T988" s="11" t="str">
        <f>IFERROR(IF(MARÍTIMOS[[#This Row],[Etapa Retiro - Llegada]]="","",MARÍTIMOS[[#This Row],[Etapa Retiro - Llegada]]),"")</f>
        <v/>
      </c>
      <c r="U988" s="11" t="str">
        <f>IFERROR(IF(MARÍTIMOS[[#This Row],[Etapa Retiro - Ingreso]]="","",MARÍTIMOS[[#This Row],[Etapa Retiro - Ingreso]]),"")</f>
        <v/>
      </c>
      <c r="V988" s="11" t="str">
        <f>IFERROR(IF(MARÍTIMOS[[#This Row],[Etapa Retiro - Atención]]="","",MARÍTIMOS[[#This Row],[Etapa Retiro - Atención]]),"")</f>
        <v/>
      </c>
      <c r="W988" s="11" t="str">
        <f>IFERROR(IF(MARÍTIMOS[[#This Row],[Etapa Retiro - Atención]]="","",MARÍTIMOS[[#This Row],[Etapa Retiro - Atención]]),"")</f>
        <v/>
      </c>
      <c r="X988" s="11" t="str">
        <f>IFERROR(IF(MARÍTIMOS[[#This Row],[Etapa Retiro - Inicio de Ruta]]="","",MARÍTIMOS[[#This Row],[Etapa Retiro - Inicio de Ruta]]),"")</f>
        <v/>
      </c>
      <c r="Y988" s="11" t="str">
        <f>IFERROR(IF(MARÍTIMOS[[#This Row],[Hora de Posicionamiento]]="","",MARÍTIMOS[[#This Row],[Fecha de Carga]]+MARÍTIMOS[[#This Row],[Hora de Posicionamiento]]),"")</f>
        <v/>
      </c>
      <c r="Z988" s="11" t="str">
        <f>IFERROR(IF(MARÍTIMOS[[#This Row],[Etapa Despacho - Llegada]]="","",MARÍTIMOS[[#This Row],[Etapa Despacho - Llegada]]),"")</f>
        <v/>
      </c>
      <c r="AA988" s="11" t="str">
        <f>IFERROR(IF(MARÍTIMOS[[#This Row],[Etapa Despacho - Registro]]="","",MARÍTIMOS[[#This Row],[Etapa Despacho - Registro]]),"")</f>
        <v/>
      </c>
      <c r="AB988" s="11" t="str">
        <f>IFERROR(IF(MARÍTIMOS[[#This Row],[Inspección Externa]]="","",MARÍTIMOS[[#This Row],[Inspección Externa]]),"")</f>
        <v/>
      </c>
      <c r="AC988" s="11" t="str">
        <f>IFERROR(IF(MARÍTIMOS[[#This Row],[Etapa Despacho - Inicio de Carga]]="","",MARÍTIMOS[[#This Row],[Etapa Despacho - Inicio de Carga]]),"")</f>
        <v/>
      </c>
      <c r="AD988" s="11" t="str">
        <f>IFERROR(IF(MARÍTIMOS[[#This Row],[Etapa Despacho - Mitad de Carga]]="","",MARÍTIMOS[[#This Row],[Etapa Despacho - Mitad de Carga]]),"")</f>
        <v/>
      </c>
      <c r="AE988" s="11" t="str">
        <f>IFERROR(IF(MARÍTIMOS[[#This Row],[Etapa Despacho - Fin de Carga]]="","",MARÍTIMOS[[#This Row],[Etapa Despacho - Fin de Carga]]),"")</f>
        <v/>
      </c>
      <c r="AF988" s="2" t="str">
        <f>IFERROR(IF(MARÍTIMOS[[#This Row],[Puerto de Embarque]]="","",MARÍTIMOS[[#This Row],[Puerto de Embarque]]),"")</f>
        <v/>
      </c>
      <c r="AG988" s="2" t="str">
        <f>IFERROR(IF(MARÍTIMOS[[#This Row],[Almacén de Ingreso]]="","",MARÍTIMOS[[#This Row],[Almacén de Ingreso]]),"")</f>
        <v/>
      </c>
      <c r="AH988" s="11" t="str">
        <f>IFERROR(IF(MARÍTIMOS[[#This Row],[Etapa Ingreso - Cita]]="","",MARÍTIMOS[[#This Row],[Etapa Ingreso - Cita]]),"")</f>
        <v/>
      </c>
      <c r="AI988" s="11" t="str">
        <f>IFERROR(IF(MARÍTIMOS[[#This Row],[Etapa Ingreso - Llegada]]="","",MARÍTIMOS[[#This Row],[Etapa Ingreso - Llegada]]),"")</f>
        <v/>
      </c>
      <c r="AJ988" s="11" t="str">
        <f>IFERROR(IF(MARÍTIMOS[[#This Row],[Etapa Ingreso - Ingeso]]="","",MARÍTIMOS[[#This Row],[Etapa Ingreso - Ingeso]]),"")</f>
        <v/>
      </c>
      <c r="AK988" s="11" t="str">
        <f>IFERROR(IF(MARÍTIMOS[[#This Row],[Etapa Ingreso - Atención]]="","",MARÍTIMOS[[#This Row],[Etapa Ingreso - Atención]]),"")</f>
        <v/>
      </c>
      <c r="AL988" s="11" t="str">
        <f>IFERROR(IF(MARÍTIMOS[[#This Row],[Etapa Ingreso - Salida]]="","",MARÍTIMOS[[#This Row],[Etapa Ingreso - Salida]]),"")</f>
        <v/>
      </c>
      <c r="AM988" s="2" t="str">
        <f>IFERROR(IF(MARÍTIMOS[[#This Row],[FCL]]="","",MARÍTIMOS[[#This Row],[FCL]]),"")</f>
        <v/>
      </c>
      <c r="AN9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8" s="4" t="str" cm="1">
        <f t="array" ref="AO9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8" s="5" t="str">
        <f>IFERROR(OLDBD[[#This Row],[Llegada a packing]]-OLDBD[[#This Row],[Inicio de Ruta]],"")</f>
        <v/>
      </c>
      <c r="AQ988" s="6" t="str">
        <f>IFERROR(OLDBD[[#This Row],[Inicio de Ruta]]-OLDBD[[#This Row],[Salida de almacén de retiro]],"")</f>
        <v/>
      </c>
      <c r="AR9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8" s="8" t="str" cm="1">
        <f t="array" ref="AS9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8" s="9" t="str">
        <f>IFERROR(OLDBD[[#This Row],[Ingreso Packing]]-OLDBD[[#This Row],[Registro en Packing]],"")</f>
        <v/>
      </c>
      <c r="AV988" s="9" t="str">
        <f>IFERROR(OLDBD[[#This Row],[Ingreso Packing]]-OLDBD[[#This Row],[Llegada a packing]],"")</f>
        <v/>
      </c>
      <c r="AW9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8" s="5" t="str">
        <f>IFERROR(OLDBD[[#This Row],[Llegada Almacén de Ingreso]]-OLDBD[[#This Row],[Salida Packing]],"")</f>
        <v/>
      </c>
      <c r="AY988" s="4" t="str" cm="1">
        <f t="array" ref="AY9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8" s="43" t="s">
        <v>173</v>
      </c>
      <c r="BB988" s="47" t="str">
        <f>IFERROR(IF(MARÍTIMOS[[#This Row],[Estatus]]="","",MARÍTIMOS[[#This Row],[Estatus]]),"")</f>
        <v/>
      </c>
      <c r="BC988" s="43"/>
      <c r="BD988" s="46" t="str">
        <f>IFERROR(OLDBD[[#This Row],[Salida de almacén de retiro]]-OLDBD[[#This Row],[Ingreso Almacén de retiro]],"")</f>
        <v/>
      </c>
      <c r="BE988" s="46" t="str">
        <f>IFERROR(OLDBD[[#This Row],[Fin de Carga]]-OLDBD[[#This Row],[Inicio de Carga]],"")</f>
        <v/>
      </c>
    </row>
    <row r="989" spans="1:57" customFormat="1" hidden="1">
      <c r="A989" s="1"/>
      <c r="B989" s="1" t="str">
        <f>IFERROR(IF(MARÍTIMOS[[#This Row],[PP]]="","",MARÍTIMOS[[#This Row],[PP]]),"")</f>
        <v/>
      </c>
      <c r="C989" s="1" t="str">
        <f>IFERROR(IF(MARÍTIMOS[[#This Row],[Sede]]="","",MARÍTIMOS[[#This Row],[Sede]]),"")</f>
        <v/>
      </c>
      <c r="D989" s="1" t="str">
        <f>IFERROR(IF(MARÍTIMOS[[#This Row],[Instruction]]="","",MARÍTIMOS[[#This Row],[Instruction]]),"")</f>
        <v/>
      </c>
      <c r="E989" s="1"/>
      <c r="F989" s="2" t="str">
        <f>IFERROR(IF(MARÍTIMOS[[#This Row],[Transportista]]="","",MARÍTIMOS[[#This Row],[Transportista]]),"")</f>
        <v/>
      </c>
      <c r="G989" s="2" t="str">
        <f>IFERROR(IF(MARÍTIMOS[[#This Row],[Tercero]]="","",MARÍTIMOS[[#This Row],[Tercero]]),"")</f>
        <v/>
      </c>
      <c r="H989" s="2" t="str">
        <f>IFERROR(IF(MARÍTIMOS[[#This Row],[Razón Social]]="","",MARÍTIMOS[[#This Row],[Razón Social]]),"")</f>
        <v/>
      </c>
      <c r="I989" s="2" t="str">
        <f>IFERROR(IF(MARÍTIMOS[[#This Row],[RUC]]="","",MARÍTIMOS[[#This Row],[RUC]]),"")</f>
        <v/>
      </c>
      <c r="J989" s="2" t="str">
        <f>IFERROR(IF(MARÍTIMOS[[#This Row],[Placa Tracto]]="","",MARÍTIMOS[[#This Row],[Placa Tracto]]),"")</f>
        <v/>
      </c>
      <c r="K989" s="2" t="str">
        <f>IFERROR(IF(MARÍTIMOS[[#This Row],[Placa Carreta]]="","",MARÍTIMOS[[#This Row],[Placa Carreta]]),"")</f>
        <v/>
      </c>
      <c r="L989" s="44" t="str">
        <f>IFERROR(IF(MARÍTIMOS[[#This Row],[Conductor]]="","",MARÍTIMOS[[#This Row],[Conductor]]),"")</f>
        <v/>
      </c>
      <c r="M989" s="2" t="str">
        <f>IFERROR(IF(MARÍTIMOS[[#This Row],[Licencia]]="","",MARÍTIMOS[[#This Row],[Licencia]]),"")</f>
        <v/>
      </c>
      <c r="N989" s="2" t="str">
        <f>IFERROR(IF(MARÍTIMOS[[#This Row],[Número de Contacto]]="","",MARÍTIMOS[[#This Row],[Número de Contacto]]),"")</f>
        <v/>
      </c>
      <c r="O989" s="10" t="str">
        <f>IFERROR(IF(MARÍTIMOS[[#This Row],[Booking|AWB|CRT]]="","",MARÍTIMOS[[#This Row],[Booking|AWB|CRT]]),"")</f>
        <v/>
      </c>
      <c r="P989" s="2" t="str">
        <f>IFERROR(IF(MARÍTIMOS[[#This Row],[Contenedor]]="","",MARÍTIMOS[[#This Row],[Contenedor]]),"")</f>
        <v/>
      </c>
      <c r="Q989" s="2" t="str">
        <f>IFERROR(IF(MARÍTIMOS[[#This Row],[Puerto de Retiro]]="","",MARÍTIMOS[[#This Row],[Puerto de Retiro]]),"")</f>
        <v/>
      </c>
      <c r="R989" s="2" t="str">
        <f>IFERROR(IF(MARÍTIMOS[[#This Row],[Almacén de Retiro]]="","",MARÍTIMOS[[#This Row],[Almacén de Retiro]]),"")</f>
        <v/>
      </c>
      <c r="S989" s="11" t="str">
        <f>IFERROR(IF(MARÍTIMOS[[#This Row],[Etapa Retiro - Cita]]="","",MARÍTIMOS[[#This Row],[Etapa Retiro - Cita]]),"")</f>
        <v/>
      </c>
      <c r="T989" s="11" t="str">
        <f>IFERROR(IF(MARÍTIMOS[[#This Row],[Etapa Retiro - Llegada]]="","",MARÍTIMOS[[#This Row],[Etapa Retiro - Llegada]]),"")</f>
        <v/>
      </c>
      <c r="U989" s="11" t="str">
        <f>IFERROR(IF(MARÍTIMOS[[#This Row],[Etapa Retiro - Ingreso]]="","",MARÍTIMOS[[#This Row],[Etapa Retiro - Ingreso]]),"")</f>
        <v/>
      </c>
      <c r="V989" s="11" t="str">
        <f>IFERROR(IF(MARÍTIMOS[[#This Row],[Etapa Retiro - Atención]]="","",MARÍTIMOS[[#This Row],[Etapa Retiro - Atención]]),"")</f>
        <v/>
      </c>
      <c r="W989" s="11" t="str">
        <f>IFERROR(IF(MARÍTIMOS[[#This Row],[Etapa Retiro - Atención]]="","",MARÍTIMOS[[#This Row],[Etapa Retiro - Atención]]),"")</f>
        <v/>
      </c>
      <c r="X989" s="11" t="str">
        <f>IFERROR(IF(MARÍTIMOS[[#This Row],[Etapa Retiro - Inicio de Ruta]]="","",MARÍTIMOS[[#This Row],[Etapa Retiro - Inicio de Ruta]]),"")</f>
        <v/>
      </c>
      <c r="Y989" s="11" t="str">
        <f>IFERROR(IF(MARÍTIMOS[[#This Row],[Hora de Posicionamiento]]="","",MARÍTIMOS[[#This Row],[Fecha de Carga]]+MARÍTIMOS[[#This Row],[Hora de Posicionamiento]]),"")</f>
        <v/>
      </c>
      <c r="Z989" s="11" t="str">
        <f>IFERROR(IF(MARÍTIMOS[[#This Row],[Etapa Despacho - Llegada]]="","",MARÍTIMOS[[#This Row],[Etapa Despacho - Llegada]]),"")</f>
        <v/>
      </c>
      <c r="AA989" s="11" t="str">
        <f>IFERROR(IF(MARÍTIMOS[[#This Row],[Etapa Despacho - Registro]]="","",MARÍTIMOS[[#This Row],[Etapa Despacho - Registro]]),"")</f>
        <v/>
      </c>
      <c r="AB989" s="11" t="str">
        <f>IFERROR(IF(MARÍTIMOS[[#This Row],[Inspección Externa]]="","",MARÍTIMOS[[#This Row],[Inspección Externa]]),"")</f>
        <v/>
      </c>
      <c r="AC989" s="11" t="str">
        <f>IFERROR(IF(MARÍTIMOS[[#This Row],[Etapa Despacho - Inicio de Carga]]="","",MARÍTIMOS[[#This Row],[Etapa Despacho - Inicio de Carga]]),"")</f>
        <v/>
      </c>
      <c r="AD989" s="11" t="str">
        <f>IFERROR(IF(MARÍTIMOS[[#This Row],[Etapa Despacho - Mitad de Carga]]="","",MARÍTIMOS[[#This Row],[Etapa Despacho - Mitad de Carga]]),"")</f>
        <v/>
      </c>
      <c r="AE989" s="11" t="str">
        <f>IFERROR(IF(MARÍTIMOS[[#This Row],[Etapa Despacho - Fin de Carga]]="","",MARÍTIMOS[[#This Row],[Etapa Despacho - Fin de Carga]]),"")</f>
        <v/>
      </c>
      <c r="AF989" s="2" t="str">
        <f>IFERROR(IF(MARÍTIMOS[[#This Row],[Puerto de Embarque]]="","",MARÍTIMOS[[#This Row],[Puerto de Embarque]]),"")</f>
        <v/>
      </c>
      <c r="AG989" s="2" t="str">
        <f>IFERROR(IF(MARÍTIMOS[[#This Row],[Almacén de Ingreso]]="","",MARÍTIMOS[[#This Row],[Almacén de Ingreso]]),"")</f>
        <v/>
      </c>
      <c r="AH989" s="11" t="str">
        <f>IFERROR(IF(MARÍTIMOS[[#This Row],[Etapa Ingreso - Cita]]="","",MARÍTIMOS[[#This Row],[Etapa Ingreso - Cita]]),"")</f>
        <v/>
      </c>
      <c r="AI989" s="11" t="str">
        <f>IFERROR(IF(MARÍTIMOS[[#This Row],[Etapa Ingreso - Llegada]]="","",MARÍTIMOS[[#This Row],[Etapa Ingreso - Llegada]]),"")</f>
        <v/>
      </c>
      <c r="AJ989" s="11" t="str">
        <f>IFERROR(IF(MARÍTIMOS[[#This Row],[Etapa Ingreso - Ingeso]]="","",MARÍTIMOS[[#This Row],[Etapa Ingreso - Ingeso]]),"")</f>
        <v/>
      </c>
      <c r="AK989" s="11" t="str">
        <f>IFERROR(IF(MARÍTIMOS[[#This Row],[Etapa Ingreso - Atención]]="","",MARÍTIMOS[[#This Row],[Etapa Ingreso - Atención]]),"")</f>
        <v/>
      </c>
      <c r="AL989" s="11" t="str">
        <f>IFERROR(IF(MARÍTIMOS[[#This Row],[Etapa Ingreso - Salida]]="","",MARÍTIMOS[[#This Row],[Etapa Ingreso - Salida]]),"")</f>
        <v/>
      </c>
      <c r="AM989" s="2" t="str">
        <f>IFERROR(IF(MARÍTIMOS[[#This Row],[FCL]]="","",MARÍTIMOS[[#This Row],[FCL]]),"")</f>
        <v/>
      </c>
      <c r="AN9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89" s="4" t="str" cm="1">
        <f t="array" ref="AO9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89" s="5" t="str">
        <f>IFERROR(OLDBD[[#This Row],[Llegada a packing]]-OLDBD[[#This Row],[Inicio de Ruta]],"")</f>
        <v/>
      </c>
      <c r="AQ989" s="6" t="str">
        <f>IFERROR(OLDBD[[#This Row],[Inicio de Ruta]]-OLDBD[[#This Row],[Salida de almacén de retiro]],"")</f>
        <v/>
      </c>
      <c r="AR9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89" s="8" t="str" cm="1">
        <f t="array" ref="AS9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89" s="9" t="str">
        <f>IFERROR(OLDBD[[#This Row],[Ingreso Packing]]-OLDBD[[#This Row],[Registro en Packing]],"")</f>
        <v/>
      </c>
      <c r="AV989" s="9" t="str">
        <f>IFERROR(OLDBD[[#This Row],[Ingreso Packing]]-OLDBD[[#This Row],[Llegada a packing]],"")</f>
        <v/>
      </c>
      <c r="AW9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89" s="5" t="str">
        <f>IFERROR(OLDBD[[#This Row],[Llegada Almacén de Ingreso]]-OLDBD[[#This Row],[Salida Packing]],"")</f>
        <v/>
      </c>
      <c r="AY989" s="4" t="str" cm="1">
        <f t="array" ref="AY9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89" s="43" t="s">
        <v>173</v>
      </c>
      <c r="BB989" s="47" t="str">
        <f>IFERROR(IF(MARÍTIMOS[[#This Row],[Estatus]]="","",MARÍTIMOS[[#This Row],[Estatus]]),"")</f>
        <v/>
      </c>
      <c r="BC989" s="43"/>
      <c r="BD989" s="46" t="str">
        <f>IFERROR(OLDBD[[#This Row],[Salida de almacén de retiro]]-OLDBD[[#This Row],[Ingreso Almacén de retiro]],"")</f>
        <v/>
      </c>
      <c r="BE989" s="46" t="str">
        <f>IFERROR(OLDBD[[#This Row],[Fin de Carga]]-OLDBD[[#This Row],[Inicio de Carga]],"")</f>
        <v/>
      </c>
    </row>
    <row r="990" spans="1:57" customFormat="1" hidden="1">
      <c r="A990" s="1"/>
      <c r="B990" s="1" t="str">
        <f>IFERROR(IF(MARÍTIMOS[[#This Row],[PP]]="","",MARÍTIMOS[[#This Row],[PP]]),"")</f>
        <v/>
      </c>
      <c r="C990" s="1" t="str">
        <f>IFERROR(IF(MARÍTIMOS[[#This Row],[Sede]]="","",MARÍTIMOS[[#This Row],[Sede]]),"")</f>
        <v/>
      </c>
      <c r="D990" s="1" t="str">
        <f>IFERROR(IF(MARÍTIMOS[[#This Row],[Instruction]]="","",MARÍTIMOS[[#This Row],[Instruction]]),"")</f>
        <v/>
      </c>
      <c r="E990" s="1"/>
      <c r="F990" s="2" t="str">
        <f>IFERROR(IF(MARÍTIMOS[[#This Row],[Transportista]]="","",MARÍTIMOS[[#This Row],[Transportista]]),"")</f>
        <v/>
      </c>
      <c r="G990" s="2" t="str">
        <f>IFERROR(IF(MARÍTIMOS[[#This Row],[Tercero]]="","",MARÍTIMOS[[#This Row],[Tercero]]),"")</f>
        <v/>
      </c>
      <c r="H990" s="2" t="str">
        <f>IFERROR(IF(MARÍTIMOS[[#This Row],[Razón Social]]="","",MARÍTIMOS[[#This Row],[Razón Social]]),"")</f>
        <v/>
      </c>
      <c r="I990" s="2" t="str">
        <f>IFERROR(IF(MARÍTIMOS[[#This Row],[RUC]]="","",MARÍTIMOS[[#This Row],[RUC]]),"")</f>
        <v/>
      </c>
      <c r="J990" s="2" t="str">
        <f>IFERROR(IF(MARÍTIMOS[[#This Row],[Placa Tracto]]="","",MARÍTIMOS[[#This Row],[Placa Tracto]]),"")</f>
        <v/>
      </c>
      <c r="K990" s="2" t="str">
        <f>IFERROR(IF(MARÍTIMOS[[#This Row],[Placa Carreta]]="","",MARÍTIMOS[[#This Row],[Placa Carreta]]),"")</f>
        <v/>
      </c>
      <c r="L990" s="44" t="str">
        <f>IFERROR(IF(MARÍTIMOS[[#This Row],[Conductor]]="","",MARÍTIMOS[[#This Row],[Conductor]]),"")</f>
        <v/>
      </c>
      <c r="M990" s="2" t="str">
        <f>IFERROR(IF(MARÍTIMOS[[#This Row],[Licencia]]="","",MARÍTIMOS[[#This Row],[Licencia]]),"")</f>
        <v/>
      </c>
      <c r="N990" s="2" t="str">
        <f>IFERROR(IF(MARÍTIMOS[[#This Row],[Número de Contacto]]="","",MARÍTIMOS[[#This Row],[Número de Contacto]]),"")</f>
        <v/>
      </c>
      <c r="O990" s="10" t="str">
        <f>IFERROR(IF(MARÍTIMOS[[#This Row],[Booking|AWB|CRT]]="","",MARÍTIMOS[[#This Row],[Booking|AWB|CRT]]),"")</f>
        <v/>
      </c>
      <c r="P990" s="2" t="str">
        <f>IFERROR(IF(MARÍTIMOS[[#This Row],[Contenedor]]="","",MARÍTIMOS[[#This Row],[Contenedor]]),"")</f>
        <v/>
      </c>
      <c r="Q990" s="2" t="str">
        <f>IFERROR(IF(MARÍTIMOS[[#This Row],[Puerto de Retiro]]="","",MARÍTIMOS[[#This Row],[Puerto de Retiro]]),"")</f>
        <v/>
      </c>
      <c r="R990" s="2" t="str">
        <f>IFERROR(IF(MARÍTIMOS[[#This Row],[Almacén de Retiro]]="","",MARÍTIMOS[[#This Row],[Almacén de Retiro]]),"")</f>
        <v/>
      </c>
      <c r="S990" s="11" t="str">
        <f>IFERROR(IF(MARÍTIMOS[[#This Row],[Etapa Retiro - Cita]]="","",MARÍTIMOS[[#This Row],[Etapa Retiro - Cita]]),"")</f>
        <v/>
      </c>
      <c r="T990" s="11" t="str">
        <f>IFERROR(IF(MARÍTIMOS[[#This Row],[Etapa Retiro - Llegada]]="","",MARÍTIMOS[[#This Row],[Etapa Retiro - Llegada]]),"")</f>
        <v/>
      </c>
      <c r="U990" s="11" t="str">
        <f>IFERROR(IF(MARÍTIMOS[[#This Row],[Etapa Retiro - Ingreso]]="","",MARÍTIMOS[[#This Row],[Etapa Retiro - Ingreso]]),"")</f>
        <v/>
      </c>
      <c r="V990" s="11" t="str">
        <f>IFERROR(IF(MARÍTIMOS[[#This Row],[Etapa Retiro - Atención]]="","",MARÍTIMOS[[#This Row],[Etapa Retiro - Atención]]),"")</f>
        <v/>
      </c>
      <c r="W990" s="11" t="str">
        <f>IFERROR(IF(MARÍTIMOS[[#This Row],[Etapa Retiro - Atención]]="","",MARÍTIMOS[[#This Row],[Etapa Retiro - Atención]]),"")</f>
        <v/>
      </c>
      <c r="X990" s="11" t="str">
        <f>IFERROR(IF(MARÍTIMOS[[#This Row],[Etapa Retiro - Inicio de Ruta]]="","",MARÍTIMOS[[#This Row],[Etapa Retiro - Inicio de Ruta]]),"")</f>
        <v/>
      </c>
      <c r="Y990" s="11" t="str">
        <f>IFERROR(IF(MARÍTIMOS[[#This Row],[Hora de Posicionamiento]]="","",MARÍTIMOS[[#This Row],[Fecha de Carga]]+MARÍTIMOS[[#This Row],[Hora de Posicionamiento]]),"")</f>
        <v/>
      </c>
      <c r="Z990" s="11" t="str">
        <f>IFERROR(IF(MARÍTIMOS[[#This Row],[Etapa Despacho - Llegada]]="","",MARÍTIMOS[[#This Row],[Etapa Despacho - Llegada]]),"")</f>
        <v/>
      </c>
      <c r="AA990" s="11" t="str">
        <f>IFERROR(IF(MARÍTIMOS[[#This Row],[Etapa Despacho - Registro]]="","",MARÍTIMOS[[#This Row],[Etapa Despacho - Registro]]),"")</f>
        <v/>
      </c>
      <c r="AB990" s="11" t="str">
        <f>IFERROR(IF(MARÍTIMOS[[#This Row],[Inspección Externa]]="","",MARÍTIMOS[[#This Row],[Inspección Externa]]),"")</f>
        <v/>
      </c>
      <c r="AC990" s="11" t="str">
        <f>IFERROR(IF(MARÍTIMOS[[#This Row],[Etapa Despacho - Inicio de Carga]]="","",MARÍTIMOS[[#This Row],[Etapa Despacho - Inicio de Carga]]),"")</f>
        <v/>
      </c>
      <c r="AD990" s="11" t="str">
        <f>IFERROR(IF(MARÍTIMOS[[#This Row],[Etapa Despacho - Mitad de Carga]]="","",MARÍTIMOS[[#This Row],[Etapa Despacho - Mitad de Carga]]),"")</f>
        <v/>
      </c>
      <c r="AE990" s="11" t="str">
        <f>IFERROR(IF(MARÍTIMOS[[#This Row],[Etapa Despacho - Fin de Carga]]="","",MARÍTIMOS[[#This Row],[Etapa Despacho - Fin de Carga]]),"")</f>
        <v/>
      </c>
      <c r="AF990" s="2" t="str">
        <f>IFERROR(IF(MARÍTIMOS[[#This Row],[Puerto de Embarque]]="","",MARÍTIMOS[[#This Row],[Puerto de Embarque]]),"")</f>
        <v/>
      </c>
      <c r="AG990" s="2" t="str">
        <f>IFERROR(IF(MARÍTIMOS[[#This Row],[Almacén de Ingreso]]="","",MARÍTIMOS[[#This Row],[Almacén de Ingreso]]),"")</f>
        <v/>
      </c>
      <c r="AH990" s="11" t="str">
        <f>IFERROR(IF(MARÍTIMOS[[#This Row],[Etapa Ingreso - Cita]]="","",MARÍTIMOS[[#This Row],[Etapa Ingreso - Cita]]),"")</f>
        <v/>
      </c>
      <c r="AI990" s="11" t="str">
        <f>IFERROR(IF(MARÍTIMOS[[#This Row],[Etapa Ingreso - Llegada]]="","",MARÍTIMOS[[#This Row],[Etapa Ingreso - Llegada]]),"")</f>
        <v/>
      </c>
      <c r="AJ990" s="11" t="str">
        <f>IFERROR(IF(MARÍTIMOS[[#This Row],[Etapa Ingreso - Ingeso]]="","",MARÍTIMOS[[#This Row],[Etapa Ingreso - Ingeso]]),"")</f>
        <v/>
      </c>
      <c r="AK990" s="11" t="str">
        <f>IFERROR(IF(MARÍTIMOS[[#This Row],[Etapa Ingreso - Atención]]="","",MARÍTIMOS[[#This Row],[Etapa Ingreso - Atención]]),"")</f>
        <v/>
      </c>
      <c r="AL990" s="11" t="str">
        <f>IFERROR(IF(MARÍTIMOS[[#This Row],[Etapa Ingreso - Salida]]="","",MARÍTIMOS[[#This Row],[Etapa Ingreso - Salida]]),"")</f>
        <v/>
      </c>
      <c r="AM990" s="2" t="str">
        <f>IFERROR(IF(MARÍTIMOS[[#This Row],[FCL]]="","",MARÍTIMOS[[#This Row],[FCL]]),"")</f>
        <v/>
      </c>
      <c r="AN9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0" s="4" t="str" cm="1">
        <f t="array" ref="AO9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0" s="5" t="str">
        <f>IFERROR(OLDBD[[#This Row],[Llegada a packing]]-OLDBD[[#This Row],[Inicio de Ruta]],"")</f>
        <v/>
      </c>
      <c r="AQ990" s="6" t="str">
        <f>IFERROR(OLDBD[[#This Row],[Inicio de Ruta]]-OLDBD[[#This Row],[Salida de almacén de retiro]],"")</f>
        <v/>
      </c>
      <c r="AR9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0" s="8" t="str" cm="1">
        <f t="array" ref="AS9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0" s="9" t="str">
        <f>IFERROR(OLDBD[[#This Row],[Ingreso Packing]]-OLDBD[[#This Row],[Registro en Packing]],"")</f>
        <v/>
      </c>
      <c r="AV990" s="9" t="str">
        <f>IFERROR(OLDBD[[#This Row],[Ingreso Packing]]-OLDBD[[#This Row],[Llegada a packing]],"")</f>
        <v/>
      </c>
      <c r="AW9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0" s="5" t="str">
        <f>IFERROR(OLDBD[[#This Row],[Llegada Almacén de Ingreso]]-OLDBD[[#This Row],[Salida Packing]],"")</f>
        <v/>
      </c>
      <c r="AY990" s="4" t="str" cm="1">
        <f t="array" ref="AY9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0" s="43" t="s">
        <v>173</v>
      </c>
      <c r="BB990" s="47" t="str">
        <f>IFERROR(IF(MARÍTIMOS[[#This Row],[Estatus]]="","",MARÍTIMOS[[#This Row],[Estatus]]),"")</f>
        <v/>
      </c>
      <c r="BC990" s="43"/>
      <c r="BD990" s="46" t="str">
        <f>IFERROR(OLDBD[[#This Row],[Salida de almacén de retiro]]-OLDBD[[#This Row],[Ingreso Almacén de retiro]],"")</f>
        <v/>
      </c>
      <c r="BE990" s="46" t="str">
        <f>IFERROR(OLDBD[[#This Row],[Fin de Carga]]-OLDBD[[#This Row],[Inicio de Carga]],"")</f>
        <v/>
      </c>
    </row>
    <row r="991" spans="1:57" customFormat="1" hidden="1">
      <c r="A991" s="1"/>
      <c r="B991" s="1" t="str">
        <f>IFERROR(IF(MARÍTIMOS[[#This Row],[PP]]="","",MARÍTIMOS[[#This Row],[PP]]),"")</f>
        <v/>
      </c>
      <c r="C991" s="1" t="str">
        <f>IFERROR(IF(MARÍTIMOS[[#This Row],[Sede]]="","",MARÍTIMOS[[#This Row],[Sede]]),"")</f>
        <v/>
      </c>
      <c r="D991" s="1" t="str">
        <f>IFERROR(IF(MARÍTIMOS[[#This Row],[Instruction]]="","",MARÍTIMOS[[#This Row],[Instruction]]),"")</f>
        <v/>
      </c>
      <c r="E991" s="1"/>
      <c r="F991" s="2" t="str">
        <f>IFERROR(IF(MARÍTIMOS[[#This Row],[Transportista]]="","",MARÍTIMOS[[#This Row],[Transportista]]),"")</f>
        <v/>
      </c>
      <c r="G991" s="2" t="str">
        <f>IFERROR(IF(MARÍTIMOS[[#This Row],[Tercero]]="","",MARÍTIMOS[[#This Row],[Tercero]]),"")</f>
        <v/>
      </c>
      <c r="H991" s="2" t="str">
        <f>IFERROR(IF(MARÍTIMOS[[#This Row],[Razón Social]]="","",MARÍTIMOS[[#This Row],[Razón Social]]),"")</f>
        <v/>
      </c>
      <c r="I991" s="2" t="str">
        <f>IFERROR(IF(MARÍTIMOS[[#This Row],[RUC]]="","",MARÍTIMOS[[#This Row],[RUC]]),"")</f>
        <v/>
      </c>
      <c r="J991" s="2" t="str">
        <f>IFERROR(IF(MARÍTIMOS[[#This Row],[Placa Tracto]]="","",MARÍTIMOS[[#This Row],[Placa Tracto]]),"")</f>
        <v/>
      </c>
      <c r="K991" s="2" t="str">
        <f>IFERROR(IF(MARÍTIMOS[[#This Row],[Placa Carreta]]="","",MARÍTIMOS[[#This Row],[Placa Carreta]]),"")</f>
        <v/>
      </c>
      <c r="L991" s="44" t="str">
        <f>IFERROR(IF(MARÍTIMOS[[#This Row],[Conductor]]="","",MARÍTIMOS[[#This Row],[Conductor]]),"")</f>
        <v/>
      </c>
      <c r="M991" s="2" t="str">
        <f>IFERROR(IF(MARÍTIMOS[[#This Row],[Licencia]]="","",MARÍTIMOS[[#This Row],[Licencia]]),"")</f>
        <v/>
      </c>
      <c r="N991" s="2" t="str">
        <f>IFERROR(IF(MARÍTIMOS[[#This Row],[Número de Contacto]]="","",MARÍTIMOS[[#This Row],[Número de Contacto]]),"")</f>
        <v/>
      </c>
      <c r="O991" s="10" t="str">
        <f>IFERROR(IF(MARÍTIMOS[[#This Row],[Booking|AWB|CRT]]="","",MARÍTIMOS[[#This Row],[Booking|AWB|CRT]]),"")</f>
        <v/>
      </c>
      <c r="P991" s="2" t="str">
        <f>IFERROR(IF(MARÍTIMOS[[#This Row],[Contenedor]]="","",MARÍTIMOS[[#This Row],[Contenedor]]),"")</f>
        <v/>
      </c>
      <c r="Q991" s="2" t="str">
        <f>IFERROR(IF(MARÍTIMOS[[#This Row],[Puerto de Retiro]]="","",MARÍTIMOS[[#This Row],[Puerto de Retiro]]),"")</f>
        <v/>
      </c>
      <c r="R991" s="2" t="str">
        <f>IFERROR(IF(MARÍTIMOS[[#This Row],[Almacén de Retiro]]="","",MARÍTIMOS[[#This Row],[Almacén de Retiro]]),"")</f>
        <v/>
      </c>
      <c r="S991" s="11" t="str">
        <f>IFERROR(IF(MARÍTIMOS[[#This Row],[Etapa Retiro - Cita]]="","",MARÍTIMOS[[#This Row],[Etapa Retiro - Cita]]),"")</f>
        <v/>
      </c>
      <c r="T991" s="11" t="str">
        <f>IFERROR(IF(MARÍTIMOS[[#This Row],[Etapa Retiro - Llegada]]="","",MARÍTIMOS[[#This Row],[Etapa Retiro - Llegada]]),"")</f>
        <v/>
      </c>
      <c r="U991" s="11" t="str">
        <f>IFERROR(IF(MARÍTIMOS[[#This Row],[Etapa Retiro - Ingreso]]="","",MARÍTIMOS[[#This Row],[Etapa Retiro - Ingreso]]),"")</f>
        <v/>
      </c>
      <c r="V991" s="11" t="str">
        <f>IFERROR(IF(MARÍTIMOS[[#This Row],[Etapa Retiro - Atención]]="","",MARÍTIMOS[[#This Row],[Etapa Retiro - Atención]]),"")</f>
        <v/>
      </c>
      <c r="W991" s="11" t="str">
        <f>IFERROR(IF(MARÍTIMOS[[#This Row],[Etapa Retiro - Atención]]="","",MARÍTIMOS[[#This Row],[Etapa Retiro - Atención]]),"")</f>
        <v/>
      </c>
      <c r="X991" s="11" t="str">
        <f>IFERROR(IF(MARÍTIMOS[[#This Row],[Etapa Retiro - Inicio de Ruta]]="","",MARÍTIMOS[[#This Row],[Etapa Retiro - Inicio de Ruta]]),"")</f>
        <v/>
      </c>
      <c r="Y991" s="11" t="str">
        <f>IFERROR(IF(MARÍTIMOS[[#This Row],[Hora de Posicionamiento]]="","",MARÍTIMOS[[#This Row],[Fecha de Carga]]+MARÍTIMOS[[#This Row],[Hora de Posicionamiento]]),"")</f>
        <v/>
      </c>
      <c r="Z991" s="11" t="str">
        <f>IFERROR(IF(MARÍTIMOS[[#This Row],[Etapa Despacho - Llegada]]="","",MARÍTIMOS[[#This Row],[Etapa Despacho - Llegada]]),"")</f>
        <v/>
      </c>
      <c r="AA991" s="11" t="str">
        <f>IFERROR(IF(MARÍTIMOS[[#This Row],[Etapa Despacho - Registro]]="","",MARÍTIMOS[[#This Row],[Etapa Despacho - Registro]]),"")</f>
        <v/>
      </c>
      <c r="AB991" s="11" t="str">
        <f>IFERROR(IF(MARÍTIMOS[[#This Row],[Inspección Externa]]="","",MARÍTIMOS[[#This Row],[Inspección Externa]]),"")</f>
        <v/>
      </c>
      <c r="AC991" s="11" t="str">
        <f>IFERROR(IF(MARÍTIMOS[[#This Row],[Etapa Despacho - Inicio de Carga]]="","",MARÍTIMOS[[#This Row],[Etapa Despacho - Inicio de Carga]]),"")</f>
        <v/>
      </c>
      <c r="AD991" s="11" t="str">
        <f>IFERROR(IF(MARÍTIMOS[[#This Row],[Etapa Despacho - Mitad de Carga]]="","",MARÍTIMOS[[#This Row],[Etapa Despacho - Mitad de Carga]]),"")</f>
        <v/>
      </c>
      <c r="AE991" s="11" t="str">
        <f>IFERROR(IF(MARÍTIMOS[[#This Row],[Etapa Despacho - Fin de Carga]]="","",MARÍTIMOS[[#This Row],[Etapa Despacho - Fin de Carga]]),"")</f>
        <v/>
      </c>
      <c r="AF991" s="2" t="str">
        <f>IFERROR(IF(MARÍTIMOS[[#This Row],[Puerto de Embarque]]="","",MARÍTIMOS[[#This Row],[Puerto de Embarque]]),"")</f>
        <v/>
      </c>
      <c r="AG991" s="2" t="str">
        <f>IFERROR(IF(MARÍTIMOS[[#This Row],[Almacén de Ingreso]]="","",MARÍTIMOS[[#This Row],[Almacén de Ingreso]]),"")</f>
        <v/>
      </c>
      <c r="AH991" s="11" t="str">
        <f>IFERROR(IF(MARÍTIMOS[[#This Row],[Etapa Ingreso - Cita]]="","",MARÍTIMOS[[#This Row],[Etapa Ingreso - Cita]]),"")</f>
        <v/>
      </c>
      <c r="AI991" s="11" t="str">
        <f>IFERROR(IF(MARÍTIMOS[[#This Row],[Etapa Ingreso - Llegada]]="","",MARÍTIMOS[[#This Row],[Etapa Ingreso - Llegada]]),"")</f>
        <v/>
      </c>
      <c r="AJ991" s="11" t="str">
        <f>IFERROR(IF(MARÍTIMOS[[#This Row],[Etapa Ingreso - Ingeso]]="","",MARÍTIMOS[[#This Row],[Etapa Ingreso - Ingeso]]),"")</f>
        <v/>
      </c>
      <c r="AK991" s="11" t="str">
        <f>IFERROR(IF(MARÍTIMOS[[#This Row],[Etapa Ingreso - Atención]]="","",MARÍTIMOS[[#This Row],[Etapa Ingreso - Atención]]),"")</f>
        <v/>
      </c>
      <c r="AL991" s="11" t="str">
        <f>IFERROR(IF(MARÍTIMOS[[#This Row],[Etapa Ingreso - Salida]]="","",MARÍTIMOS[[#This Row],[Etapa Ingreso - Salida]]),"")</f>
        <v/>
      </c>
      <c r="AM991" s="2" t="str">
        <f>IFERROR(IF(MARÍTIMOS[[#This Row],[FCL]]="","",MARÍTIMOS[[#This Row],[FCL]]),"")</f>
        <v/>
      </c>
      <c r="AN9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1" s="4" t="str" cm="1">
        <f t="array" ref="AO9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1" s="5" t="str">
        <f>IFERROR(OLDBD[[#This Row],[Llegada a packing]]-OLDBD[[#This Row],[Inicio de Ruta]],"")</f>
        <v/>
      </c>
      <c r="AQ991" s="6" t="str">
        <f>IFERROR(OLDBD[[#This Row],[Inicio de Ruta]]-OLDBD[[#This Row],[Salida de almacén de retiro]],"")</f>
        <v/>
      </c>
      <c r="AR9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1" s="8" t="str" cm="1">
        <f t="array" ref="AS9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1" s="9" t="str">
        <f>IFERROR(OLDBD[[#This Row],[Ingreso Packing]]-OLDBD[[#This Row],[Registro en Packing]],"")</f>
        <v/>
      </c>
      <c r="AV991" s="9" t="str">
        <f>IFERROR(OLDBD[[#This Row],[Ingreso Packing]]-OLDBD[[#This Row],[Llegada a packing]],"")</f>
        <v/>
      </c>
      <c r="AW9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1" s="5" t="str">
        <f>IFERROR(OLDBD[[#This Row],[Llegada Almacén de Ingreso]]-OLDBD[[#This Row],[Salida Packing]],"")</f>
        <v/>
      </c>
      <c r="AY991" s="4" t="str" cm="1">
        <f t="array" ref="AY9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1" s="43" t="s">
        <v>173</v>
      </c>
      <c r="BB991" s="47" t="str">
        <f>IFERROR(IF(MARÍTIMOS[[#This Row],[Estatus]]="","",MARÍTIMOS[[#This Row],[Estatus]]),"")</f>
        <v/>
      </c>
      <c r="BC991" s="43"/>
      <c r="BD991" s="46" t="str">
        <f>IFERROR(OLDBD[[#This Row],[Salida de almacén de retiro]]-OLDBD[[#This Row],[Ingreso Almacén de retiro]],"")</f>
        <v/>
      </c>
      <c r="BE991" s="46" t="str">
        <f>IFERROR(OLDBD[[#This Row],[Fin de Carga]]-OLDBD[[#This Row],[Inicio de Carga]],"")</f>
        <v/>
      </c>
    </row>
    <row r="992" spans="1:57" customFormat="1" hidden="1">
      <c r="A992" s="1"/>
      <c r="B992" s="1" t="str">
        <f>IFERROR(IF(MARÍTIMOS[[#This Row],[PP]]="","",MARÍTIMOS[[#This Row],[PP]]),"")</f>
        <v/>
      </c>
      <c r="C992" s="1" t="str">
        <f>IFERROR(IF(MARÍTIMOS[[#This Row],[Sede]]="","",MARÍTIMOS[[#This Row],[Sede]]),"")</f>
        <v/>
      </c>
      <c r="D992" s="1" t="str">
        <f>IFERROR(IF(MARÍTIMOS[[#This Row],[Instruction]]="","",MARÍTIMOS[[#This Row],[Instruction]]),"")</f>
        <v/>
      </c>
      <c r="E992" s="1"/>
      <c r="F992" s="2" t="str">
        <f>IFERROR(IF(MARÍTIMOS[[#This Row],[Transportista]]="","",MARÍTIMOS[[#This Row],[Transportista]]),"")</f>
        <v/>
      </c>
      <c r="G992" s="2" t="str">
        <f>IFERROR(IF(MARÍTIMOS[[#This Row],[Tercero]]="","",MARÍTIMOS[[#This Row],[Tercero]]),"")</f>
        <v/>
      </c>
      <c r="H992" s="2" t="str">
        <f>IFERROR(IF(MARÍTIMOS[[#This Row],[Razón Social]]="","",MARÍTIMOS[[#This Row],[Razón Social]]),"")</f>
        <v/>
      </c>
      <c r="I992" s="2" t="str">
        <f>IFERROR(IF(MARÍTIMOS[[#This Row],[RUC]]="","",MARÍTIMOS[[#This Row],[RUC]]),"")</f>
        <v/>
      </c>
      <c r="J992" s="2" t="str">
        <f>IFERROR(IF(MARÍTIMOS[[#This Row],[Placa Tracto]]="","",MARÍTIMOS[[#This Row],[Placa Tracto]]),"")</f>
        <v/>
      </c>
      <c r="K992" s="2" t="str">
        <f>IFERROR(IF(MARÍTIMOS[[#This Row],[Placa Carreta]]="","",MARÍTIMOS[[#This Row],[Placa Carreta]]),"")</f>
        <v/>
      </c>
      <c r="L992" s="44" t="str">
        <f>IFERROR(IF(MARÍTIMOS[[#This Row],[Conductor]]="","",MARÍTIMOS[[#This Row],[Conductor]]),"")</f>
        <v/>
      </c>
      <c r="M992" s="2" t="str">
        <f>IFERROR(IF(MARÍTIMOS[[#This Row],[Licencia]]="","",MARÍTIMOS[[#This Row],[Licencia]]),"")</f>
        <v/>
      </c>
      <c r="N992" s="2" t="str">
        <f>IFERROR(IF(MARÍTIMOS[[#This Row],[Número de Contacto]]="","",MARÍTIMOS[[#This Row],[Número de Contacto]]),"")</f>
        <v/>
      </c>
      <c r="O992" s="10" t="str">
        <f>IFERROR(IF(MARÍTIMOS[[#This Row],[Booking|AWB|CRT]]="","",MARÍTIMOS[[#This Row],[Booking|AWB|CRT]]),"")</f>
        <v/>
      </c>
      <c r="P992" s="2" t="str">
        <f>IFERROR(IF(MARÍTIMOS[[#This Row],[Contenedor]]="","",MARÍTIMOS[[#This Row],[Contenedor]]),"")</f>
        <v/>
      </c>
      <c r="Q992" s="2" t="str">
        <f>IFERROR(IF(MARÍTIMOS[[#This Row],[Puerto de Retiro]]="","",MARÍTIMOS[[#This Row],[Puerto de Retiro]]),"")</f>
        <v/>
      </c>
      <c r="R992" s="2" t="str">
        <f>IFERROR(IF(MARÍTIMOS[[#This Row],[Almacén de Retiro]]="","",MARÍTIMOS[[#This Row],[Almacén de Retiro]]),"")</f>
        <v/>
      </c>
      <c r="S992" s="11" t="str">
        <f>IFERROR(IF(MARÍTIMOS[[#This Row],[Etapa Retiro - Cita]]="","",MARÍTIMOS[[#This Row],[Etapa Retiro - Cita]]),"")</f>
        <v/>
      </c>
      <c r="T992" s="11" t="str">
        <f>IFERROR(IF(MARÍTIMOS[[#This Row],[Etapa Retiro - Llegada]]="","",MARÍTIMOS[[#This Row],[Etapa Retiro - Llegada]]),"")</f>
        <v/>
      </c>
      <c r="U992" s="11" t="str">
        <f>IFERROR(IF(MARÍTIMOS[[#This Row],[Etapa Retiro - Ingreso]]="","",MARÍTIMOS[[#This Row],[Etapa Retiro - Ingreso]]),"")</f>
        <v/>
      </c>
      <c r="V992" s="11" t="str">
        <f>IFERROR(IF(MARÍTIMOS[[#This Row],[Etapa Retiro - Atención]]="","",MARÍTIMOS[[#This Row],[Etapa Retiro - Atención]]),"")</f>
        <v/>
      </c>
      <c r="W992" s="11" t="str">
        <f>IFERROR(IF(MARÍTIMOS[[#This Row],[Etapa Retiro - Atención]]="","",MARÍTIMOS[[#This Row],[Etapa Retiro - Atención]]),"")</f>
        <v/>
      </c>
      <c r="X992" s="11" t="str">
        <f>IFERROR(IF(MARÍTIMOS[[#This Row],[Etapa Retiro - Inicio de Ruta]]="","",MARÍTIMOS[[#This Row],[Etapa Retiro - Inicio de Ruta]]),"")</f>
        <v/>
      </c>
      <c r="Y992" s="11" t="str">
        <f>IFERROR(IF(MARÍTIMOS[[#This Row],[Hora de Posicionamiento]]="","",MARÍTIMOS[[#This Row],[Fecha de Carga]]+MARÍTIMOS[[#This Row],[Hora de Posicionamiento]]),"")</f>
        <v/>
      </c>
      <c r="Z992" s="11" t="str">
        <f>IFERROR(IF(MARÍTIMOS[[#This Row],[Etapa Despacho - Llegada]]="","",MARÍTIMOS[[#This Row],[Etapa Despacho - Llegada]]),"")</f>
        <v/>
      </c>
      <c r="AA992" s="11" t="str">
        <f>IFERROR(IF(MARÍTIMOS[[#This Row],[Etapa Despacho - Registro]]="","",MARÍTIMOS[[#This Row],[Etapa Despacho - Registro]]),"")</f>
        <v/>
      </c>
      <c r="AB992" s="11" t="str">
        <f>IFERROR(IF(MARÍTIMOS[[#This Row],[Inspección Externa]]="","",MARÍTIMOS[[#This Row],[Inspección Externa]]),"")</f>
        <v/>
      </c>
      <c r="AC992" s="11" t="str">
        <f>IFERROR(IF(MARÍTIMOS[[#This Row],[Etapa Despacho - Inicio de Carga]]="","",MARÍTIMOS[[#This Row],[Etapa Despacho - Inicio de Carga]]),"")</f>
        <v/>
      </c>
      <c r="AD992" s="11" t="str">
        <f>IFERROR(IF(MARÍTIMOS[[#This Row],[Etapa Despacho - Mitad de Carga]]="","",MARÍTIMOS[[#This Row],[Etapa Despacho - Mitad de Carga]]),"")</f>
        <v/>
      </c>
      <c r="AE992" s="11" t="str">
        <f>IFERROR(IF(MARÍTIMOS[[#This Row],[Etapa Despacho - Fin de Carga]]="","",MARÍTIMOS[[#This Row],[Etapa Despacho - Fin de Carga]]),"")</f>
        <v/>
      </c>
      <c r="AF992" s="2" t="str">
        <f>IFERROR(IF(MARÍTIMOS[[#This Row],[Puerto de Embarque]]="","",MARÍTIMOS[[#This Row],[Puerto de Embarque]]),"")</f>
        <v/>
      </c>
      <c r="AG992" s="2" t="str">
        <f>IFERROR(IF(MARÍTIMOS[[#This Row],[Almacén de Ingreso]]="","",MARÍTIMOS[[#This Row],[Almacén de Ingreso]]),"")</f>
        <v/>
      </c>
      <c r="AH992" s="11" t="str">
        <f>IFERROR(IF(MARÍTIMOS[[#This Row],[Etapa Ingreso - Cita]]="","",MARÍTIMOS[[#This Row],[Etapa Ingreso - Cita]]),"")</f>
        <v/>
      </c>
      <c r="AI992" s="11" t="str">
        <f>IFERROR(IF(MARÍTIMOS[[#This Row],[Etapa Ingreso - Llegada]]="","",MARÍTIMOS[[#This Row],[Etapa Ingreso - Llegada]]),"")</f>
        <v/>
      </c>
      <c r="AJ992" s="11" t="str">
        <f>IFERROR(IF(MARÍTIMOS[[#This Row],[Etapa Ingreso - Ingeso]]="","",MARÍTIMOS[[#This Row],[Etapa Ingreso - Ingeso]]),"")</f>
        <v/>
      </c>
      <c r="AK992" s="11" t="str">
        <f>IFERROR(IF(MARÍTIMOS[[#This Row],[Etapa Ingreso - Atención]]="","",MARÍTIMOS[[#This Row],[Etapa Ingreso - Atención]]),"")</f>
        <v/>
      </c>
      <c r="AL992" s="11" t="str">
        <f>IFERROR(IF(MARÍTIMOS[[#This Row],[Etapa Ingreso - Salida]]="","",MARÍTIMOS[[#This Row],[Etapa Ingreso - Salida]]),"")</f>
        <v/>
      </c>
      <c r="AM992" s="2" t="str">
        <f>IFERROR(IF(MARÍTIMOS[[#This Row],[FCL]]="","",MARÍTIMOS[[#This Row],[FCL]]),"")</f>
        <v/>
      </c>
      <c r="AN9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2" s="4" t="str" cm="1">
        <f t="array" ref="AO9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2" s="5" t="str">
        <f>IFERROR(OLDBD[[#This Row],[Llegada a packing]]-OLDBD[[#This Row],[Inicio de Ruta]],"")</f>
        <v/>
      </c>
      <c r="AQ992" s="6" t="str">
        <f>IFERROR(OLDBD[[#This Row],[Inicio de Ruta]]-OLDBD[[#This Row],[Salida de almacén de retiro]],"")</f>
        <v/>
      </c>
      <c r="AR9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2" s="8" t="str" cm="1">
        <f t="array" ref="AS9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2" s="9" t="str">
        <f>IFERROR(OLDBD[[#This Row],[Ingreso Packing]]-OLDBD[[#This Row],[Registro en Packing]],"")</f>
        <v/>
      </c>
      <c r="AV992" s="9" t="str">
        <f>IFERROR(OLDBD[[#This Row],[Ingreso Packing]]-OLDBD[[#This Row],[Llegada a packing]],"")</f>
        <v/>
      </c>
      <c r="AW9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2" s="5" t="str">
        <f>IFERROR(OLDBD[[#This Row],[Llegada Almacén de Ingreso]]-OLDBD[[#This Row],[Salida Packing]],"")</f>
        <v/>
      </c>
      <c r="AY992" s="4" t="str" cm="1">
        <f t="array" ref="AY9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2" s="43" t="s">
        <v>173</v>
      </c>
      <c r="BB992" s="47" t="str">
        <f>IFERROR(IF(MARÍTIMOS[[#This Row],[Estatus]]="","",MARÍTIMOS[[#This Row],[Estatus]]),"")</f>
        <v/>
      </c>
      <c r="BC992" s="43"/>
      <c r="BD992" s="46" t="str">
        <f>IFERROR(OLDBD[[#This Row],[Salida de almacén de retiro]]-OLDBD[[#This Row],[Ingreso Almacén de retiro]],"")</f>
        <v/>
      </c>
      <c r="BE992" s="46" t="str">
        <f>IFERROR(OLDBD[[#This Row],[Fin de Carga]]-OLDBD[[#This Row],[Inicio de Carga]],"")</f>
        <v/>
      </c>
    </row>
    <row r="993" spans="1:57" customFormat="1" hidden="1">
      <c r="A993" s="1"/>
      <c r="B993" s="1" t="str">
        <f>IFERROR(IF(MARÍTIMOS[[#This Row],[PP]]="","",MARÍTIMOS[[#This Row],[PP]]),"")</f>
        <v/>
      </c>
      <c r="C993" s="1" t="str">
        <f>IFERROR(IF(MARÍTIMOS[[#This Row],[Sede]]="","",MARÍTIMOS[[#This Row],[Sede]]),"")</f>
        <v/>
      </c>
      <c r="D993" s="1" t="str">
        <f>IFERROR(IF(MARÍTIMOS[[#This Row],[Instruction]]="","",MARÍTIMOS[[#This Row],[Instruction]]),"")</f>
        <v/>
      </c>
      <c r="E993" s="1"/>
      <c r="F993" s="2" t="str">
        <f>IFERROR(IF(MARÍTIMOS[[#This Row],[Transportista]]="","",MARÍTIMOS[[#This Row],[Transportista]]),"")</f>
        <v/>
      </c>
      <c r="G993" s="2" t="str">
        <f>IFERROR(IF(MARÍTIMOS[[#This Row],[Tercero]]="","",MARÍTIMOS[[#This Row],[Tercero]]),"")</f>
        <v/>
      </c>
      <c r="H993" s="2" t="str">
        <f>IFERROR(IF(MARÍTIMOS[[#This Row],[Razón Social]]="","",MARÍTIMOS[[#This Row],[Razón Social]]),"")</f>
        <v/>
      </c>
      <c r="I993" s="2" t="str">
        <f>IFERROR(IF(MARÍTIMOS[[#This Row],[RUC]]="","",MARÍTIMOS[[#This Row],[RUC]]),"")</f>
        <v/>
      </c>
      <c r="J993" s="2" t="str">
        <f>IFERROR(IF(MARÍTIMOS[[#This Row],[Placa Tracto]]="","",MARÍTIMOS[[#This Row],[Placa Tracto]]),"")</f>
        <v/>
      </c>
      <c r="K993" s="2" t="str">
        <f>IFERROR(IF(MARÍTIMOS[[#This Row],[Placa Carreta]]="","",MARÍTIMOS[[#This Row],[Placa Carreta]]),"")</f>
        <v/>
      </c>
      <c r="L993" s="44" t="str">
        <f>IFERROR(IF(MARÍTIMOS[[#This Row],[Conductor]]="","",MARÍTIMOS[[#This Row],[Conductor]]),"")</f>
        <v/>
      </c>
      <c r="M993" s="2" t="str">
        <f>IFERROR(IF(MARÍTIMOS[[#This Row],[Licencia]]="","",MARÍTIMOS[[#This Row],[Licencia]]),"")</f>
        <v/>
      </c>
      <c r="N993" s="2" t="str">
        <f>IFERROR(IF(MARÍTIMOS[[#This Row],[Número de Contacto]]="","",MARÍTIMOS[[#This Row],[Número de Contacto]]),"")</f>
        <v/>
      </c>
      <c r="O993" s="10" t="str">
        <f>IFERROR(IF(MARÍTIMOS[[#This Row],[Booking|AWB|CRT]]="","",MARÍTIMOS[[#This Row],[Booking|AWB|CRT]]),"")</f>
        <v/>
      </c>
      <c r="P993" s="2" t="str">
        <f>IFERROR(IF(MARÍTIMOS[[#This Row],[Contenedor]]="","",MARÍTIMOS[[#This Row],[Contenedor]]),"")</f>
        <v/>
      </c>
      <c r="Q993" s="2" t="str">
        <f>IFERROR(IF(MARÍTIMOS[[#This Row],[Puerto de Retiro]]="","",MARÍTIMOS[[#This Row],[Puerto de Retiro]]),"")</f>
        <v/>
      </c>
      <c r="R993" s="2" t="str">
        <f>IFERROR(IF(MARÍTIMOS[[#This Row],[Almacén de Retiro]]="","",MARÍTIMOS[[#This Row],[Almacén de Retiro]]),"")</f>
        <v/>
      </c>
      <c r="S993" s="11" t="str">
        <f>IFERROR(IF(MARÍTIMOS[[#This Row],[Etapa Retiro - Cita]]="","",MARÍTIMOS[[#This Row],[Etapa Retiro - Cita]]),"")</f>
        <v/>
      </c>
      <c r="T993" s="11" t="str">
        <f>IFERROR(IF(MARÍTIMOS[[#This Row],[Etapa Retiro - Llegada]]="","",MARÍTIMOS[[#This Row],[Etapa Retiro - Llegada]]),"")</f>
        <v/>
      </c>
      <c r="U993" s="11" t="str">
        <f>IFERROR(IF(MARÍTIMOS[[#This Row],[Etapa Retiro - Ingreso]]="","",MARÍTIMOS[[#This Row],[Etapa Retiro - Ingreso]]),"")</f>
        <v/>
      </c>
      <c r="V993" s="11" t="str">
        <f>IFERROR(IF(MARÍTIMOS[[#This Row],[Etapa Retiro - Atención]]="","",MARÍTIMOS[[#This Row],[Etapa Retiro - Atención]]),"")</f>
        <v/>
      </c>
      <c r="W993" s="11" t="str">
        <f>IFERROR(IF(MARÍTIMOS[[#This Row],[Etapa Retiro - Atención]]="","",MARÍTIMOS[[#This Row],[Etapa Retiro - Atención]]),"")</f>
        <v/>
      </c>
      <c r="X993" s="11" t="str">
        <f>IFERROR(IF(MARÍTIMOS[[#This Row],[Etapa Retiro - Inicio de Ruta]]="","",MARÍTIMOS[[#This Row],[Etapa Retiro - Inicio de Ruta]]),"")</f>
        <v/>
      </c>
      <c r="Y993" s="11" t="str">
        <f>IFERROR(IF(MARÍTIMOS[[#This Row],[Hora de Posicionamiento]]="","",MARÍTIMOS[[#This Row],[Fecha de Carga]]+MARÍTIMOS[[#This Row],[Hora de Posicionamiento]]),"")</f>
        <v/>
      </c>
      <c r="Z993" s="11" t="str">
        <f>IFERROR(IF(MARÍTIMOS[[#This Row],[Etapa Despacho - Llegada]]="","",MARÍTIMOS[[#This Row],[Etapa Despacho - Llegada]]),"")</f>
        <v/>
      </c>
      <c r="AA993" s="11" t="str">
        <f>IFERROR(IF(MARÍTIMOS[[#This Row],[Etapa Despacho - Registro]]="","",MARÍTIMOS[[#This Row],[Etapa Despacho - Registro]]),"")</f>
        <v/>
      </c>
      <c r="AB993" s="11" t="str">
        <f>IFERROR(IF(MARÍTIMOS[[#This Row],[Inspección Externa]]="","",MARÍTIMOS[[#This Row],[Inspección Externa]]),"")</f>
        <v/>
      </c>
      <c r="AC993" s="11" t="str">
        <f>IFERROR(IF(MARÍTIMOS[[#This Row],[Etapa Despacho - Inicio de Carga]]="","",MARÍTIMOS[[#This Row],[Etapa Despacho - Inicio de Carga]]),"")</f>
        <v/>
      </c>
      <c r="AD993" s="11" t="str">
        <f>IFERROR(IF(MARÍTIMOS[[#This Row],[Etapa Despacho - Mitad de Carga]]="","",MARÍTIMOS[[#This Row],[Etapa Despacho - Mitad de Carga]]),"")</f>
        <v/>
      </c>
      <c r="AE993" s="11" t="str">
        <f>IFERROR(IF(MARÍTIMOS[[#This Row],[Etapa Despacho - Fin de Carga]]="","",MARÍTIMOS[[#This Row],[Etapa Despacho - Fin de Carga]]),"")</f>
        <v/>
      </c>
      <c r="AF993" s="2" t="str">
        <f>IFERROR(IF(MARÍTIMOS[[#This Row],[Puerto de Embarque]]="","",MARÍTIMOS[[#This Row],[Puerto de Embarque]]),"")</f>
        <v/>
      </c>
      <c r="AG993" s="2" t="str">
        <f>IFERROR(IF(MARÍTIMOS[[#This Row],[Almacén de Ingreso]]="","",MARÍTIMOS[[#This Row],[Almacén de Ingreso]]),"")</f>
        <v/>
      </c>
      <c r="AH993" s="11" t="str">
        <f>IFERROR(IF(MARÍTIMOS[[#This Row],[Etapa Ingreso - Cita]]="","",MARÍTIMOS[[#This Row],[Etapa Ingreso - Cita]]),"")</f>
        <v/>
      </c>
      <c r="AI993" s="11" t="str">
        <f>IFERROR(IF(MARÍTIMOS[[#This Row],[Etapa Ingreso - Llegada]]="","",MARÍTIMOS[[#This Row],[Etapa Ingreso - Llegada]]),"")</f>
        <v/>
      </c>
      <c r="AJ993" s="11" t="str">
        <f>IFERROR(IF(MARÍTIMOS[[#This Row],[Etapa Ingreso - Ingeso]]="","",MARÍTIMOS[[#This Row],[Etapa Ingreso - Ingeso]]),"")</f>
        <v/>
      </c>
      <c r="AK993" s="11" t="str">
        <f>IFERROR(IF(MARÍTIMOS[[#This Row],[Etapa Ingreso - Atención]]="","",MARÍTIMOS[[#This Row],[Etapa Ingreso - Atención]]),"")</f>
        <v/>
      </c>
      <c r="AL993" s="11" t="str">
        <f>IFERROR(IF(MARÍTIMOS[[#This Row],[Etapa Ingreso - Salida]]="","",MARÍTIMOS[[#This Row],[Etapa Ingreso - Salida]]),"")</f>
        <v/>
      </c>
      <c r="AM993" s="2" t="str">
        <f>IFERROR(IF(MARÍTIMOS[[#This Row],[FCL]]="","",MARÍTIMOS[[#This Row],[FCL]]),"")</f>
        <v/>
      </c>
      <c r="AN9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3" s="4" t="str" cm="1">
        <f t="array" ref="AO9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3" s="5" t="str">
        <f>IFERROR(OLDBD[[#This Row],[Llegada a packing]]-OLDBD[[#This Row],[Inicio de Ruta]],"")</f>
        <v/>
      </c>
      <c r="AQ993" s="6" t="str">
        <f>IFERROR(OLDBD[[#This Row],[Inicio de Ruta]]-OLDBD[[#This Row],[Salida de almacén de retiro]],"")</f>
        <v/>
      </c>
      <c r="AR9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3" s="8" t="str" cm="1">
        <f t="array" ref="AS9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3" s="9" t="str">
        <f>IFERROR(OLDBD[[#This Row],[Ingreso Packing]]-OLDBD[[#This Row],[Registro en Packing]],"")</f>
        <v/>
      </c>
      <c r="AV993" s="9" t="str">
        <f>IFERROR(OLDBD[[#This Row],[Ingreso Packing]]-OLDBD[[#This Row],[Llegada a packing]],"")</f>
        <v/>
      </c>
      <c r="AW9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3" s="5" t="str">
        <f>IFERROR(OLDBD[[#This Row],[Llegada Almacén de Ingreso]]-OLDBD[[#This Row],[Salida Packing]],"")</f>
        <v/>
      </c>
      <c r="AY993" s="4" t="str" cm="1">
        <f t="array" ref="AY9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3" s="43" t="s">
        <v>173</v>
      </c>
      <c r="BB993" s="47" t="str">
        <f>IFERROR(IF(MARÍTIMOS[[#This Row],[Estatus]]="","",MARÍTIMOS[[#This Row],[Estatus]]),"")</f>
        <v/>
      </c>
      <c r="BC993" s="43"/>
      <c r="BD993" s="46" t="str">
        <f>IFERROR(OLDBD[[#This Row],[Salida de almacén de retiro]]-OLDBD[[#This Row],[Ingreso Almacén de retiro]],"")</f>
        <v/>
      </c>
      <c r="BE993" s="46" t="str">
        <f>IFERROR(OLDBD[[#This Row],[Fin de Carga]]-OLDBD[[#This Row],[Inicio de Carga]],"")</f>
        <v/>
      </c>
    </row>
    <row r="994" spans="1:57" customFormat="1" hidden="1">
      <c r="A994" s="1"/>
      <c r="B994" s="1" t="str">
        <f>IFERROR(IF(MARÍTIMOS[[#This Row],[PP]]="","",MARÍTIMOS[[#This Row],[PP]]),"")</f>
        <v/>
      </c>
      <c r="C994" s="1" t="str">
        <f>IFERROR(IF(MARÍTIMOS[[#This Row],[Sede]]="","",MARÍTIMOS[[#This Row],[Sede]]),"")</f>
        <v/>
      </c>
      <c r="D994" s="1" t="str">
        <f>IFERROR(IF(MARÍTIMOS[[#This Row],[Instruction]]="","",MARÍTIMOS[[#This Row],[Instruction]]),"")</f>
        <v/>
      </c>
      <c r="E994" s="1"/>
      <c r="F994" s="2" t="str">
        <f>IFERROR(IF(MARÍTIMOS[[#This Row],[Transportista]]="","",MARÍTIMOS[[#This Row],[Transportista]]),"")</f>
        <v/>
      </c>
      <c r="G994" s="2" t="str">
        <f>IFERROR(IF(MARÍTIMOS[[#This Row],[Tercero]]="","",MARÍTIMOS[[#This Row],[Tercero]]),"")</f>
        <v/>
      </c>
      <c r="H994" s="2" t="str">
        <f>IFERROR(IF(MARÍTIMOS[[#This Row],[Razón Social]]="","",MARÍTIMOS[[#This Row],[Razón Social]]),"")</f>
        <v/>
      </c>
      <c r="I994" s="2" t="str">
        <f>IFERROR(IF(MARÍTIMOS[[#This Row],[RUC]]="","",MARÍTIMOS[[#This Row],[RUC]]),"")</f>
        <v/>
      </c>
      <c r="J994" s="2" t="str">
        <f>IFERROR(IF(MARÍTIMOS[[#This Row],[Placa Tracto]]="","",MARÍTIMOS[[#This Row],[Placa Tracto]]),"")</f>
        <v/>
      </c>
      <c r="K994" s="2" t="str">
        <f>IFERROR(IF(MARÍTIMOS[[#This Row],[Placa Carreta]]="","",MARÍTIMOS[[#This Row],[Placa Carreta]]),"")</f>
        <v/>
      </c>
      <c r="L994" s="44" t="str">
        <f>IFERROR(IF(MARÍTIMOS[[#This Row],[Conductor]]="","",MARÍTIMOS[[#This Row],[Conductor]]),"")</f>
        <v/>
      </c>
      <c r="M994" s="2" t="str">
        <f>IFERROR(IF(MARÍTIMOS[[#This Row],[Licencia]]="","",MARÍTIMOS[[#This Row],[Licencia]]),"")</f>
        <v/>
      </c>
      <c r="N994" s="2" t="str">
        <f>IFERROR(IF(MARÍTIMOS[[#This Row],[Número de Contacto]]="","",MARÍTIMOS[[#This Row],[Número de Contacto]]),"")</f>
        <v/>
      </c>
      <c r="O994" s="10" t="str">
        <f>IFERROR(IF(MARÍTIMOS[[#This Row],[Booking|AWB|CRT]]="","",MARÍTIMOS[[#This Row],[Booking|AWB|CRT]]),"")</f>
        <v/>
      </c>
      <c r="P994" s="2" t="str">
        <f>IFERROR(IF(MARÍTIMOS[[#This Row],[Contenedor]]="","",MARÍTIMOS[[#This Row],[Contenedor]]),"")</f>
        <v/>
      </c>
      <c r="Q994" s="2" t="str">
        <f>IFERROR(IF(MARÍTIMOS[[#This Row],[Puerto de Retiro]]="","",MARÍTIMOS[[#This Row],[Puerto de Retiro]]),"")</f>
        <v/>
      </c>
      <c r="R994" s="2" t="str">
        <f>IFERROR(IF(MARÍTIMOS[[#This Row],[Almacén de Retiro]]="","",MARÍTIMOS[[#This Row],[Almacén de Retiro]]),"")</f>
        <v/>
      </c>
      <c r="S994" s="11" t="str">
        <f>IFERROR(IF(MARÍTIMOS[[#This Row],[Etapa Retiro - Cita]]="","",MARÍTIMOS[[#This Row],[Etapa Retiro - Cita]]),"")</f>
        <v/>
      </c>
      <c r="T994" s="11" t="str">
        <f>IFERROR(IF(MARÍTIMOS[[#This Row],[Etapa Retiro - Llegada]]="","",MARÍTIMOS[[#This Row],[Etapa Retiro - Llegada]]),"")</f>
        <v/>
      </c>
      <c r="U994" s="11" t="str">
        <f>IFERROR(IF(MARÍTIMOS[[#This Row],[Etapa Retiro - Ingreso]]="","",MARÍTIMOS[[#This Row],[Etapa Retiro - Ingreso]]),"")</f>
        <v/>
      </c>
      <c r="V994" s="11" t="str">
        <f>IFERROR(IF(MARÍTIMOS[[#This Row],[Etapa Retiro - Atención]]="","",MARÍTIMOS[[#This Row],[Etapa Retiro - Atención]]),"")</f>
        <v/>
      </c>
      <c r="W994" s="11" t="str">
        <f>IFERROR(IF(MARÍTIMOS[[#This Row],[Etapa Retiro - Atención]]="","",MARÍTIMOS[[#This Row],[Etapa Retiro - Atención]]),"")</f>
        <v/>
      </c>
      <c r="X994" s="11" t="str">
        <f>IFERROR(IF(MARÍTIMOS[[#This Row],[Etapa Retiro - Inicio de Ruta]]="","",MARÍTIMOS[[#This Row],[Etapa Retiro - Inicio de Ruta]]),"")</f>
        <v/>
      </c>
      <c r="Y994" s="11" t="str">
        <f>IFERROR(IF(MARÍTIMOS[[#This Row],[Hora de Posicionamiento]]="","",MARÍTIMOS[[#This Row],[Fecha de Carga]]+MARÍTIMOS[[#This Row],[Hora de Posicionamiento]]),"")</f>
        <v/>
      </c>
      <c r="Z994" s="11" t="str">
        <f>IFERROR(IF(MARÍTIMOS[[#This Row],[Etapa Despacho - Llegada]]="","",MARÍTIMOS[[#This Row],[Etapa Despacho - Llegada]]),"")</f>
        <v/>
      </c>
      <c r="AA994" s="11" t="str">
        <f>IFERROR(IF(MARÍTIMOS[[#This Row],[Etapa Despacho - Registro]]="","",MARÍTIMOS[[#This Row],[Etapa Despacho - Registro]]),"")</f>
        <v/>
      </c>
      <c r="AB994" s="11" t="str">
        <f>IFERROR(IF(MARÍTIMOS[[#This Row],[Inspección Externa]]="","",MARÍTIMOS[[#This Row],[Inspección Externa]]),"")</f>
        <v/>
      </c>
      <c r="AC994" s="11" t="str">
        <f>IFERROR(IF(MARÍTIMOS[[#This Row],[Etapa Despacho - Inicio de Carga]]="","",MARÍTIMOS[[#This Row],[Etapa Despacho - Inicio de Carga]]),"")</f>
        <v/>
      </c>
      <c r="AD994" s="11" t="str">
        <f>IFERROR(IF(MARÍTIMOS[[#This Row],[Etapa Despacho - Mitad de Carga]]="","",MARÍTIMOS[[#This Row],[Etapa Despacho - Mitad de Carga]]),"")</f>
        <v/>
      </c>
      <c r="AE994" s="11" t="str">
        <f>IFERROR(IF(MARÍTIMOS[[#This Row],[Etapa Despacho - Fin de Carga]]="","",MARÍTIMOS[[#This Row],[Etapa Despacho - Fin de Carga]]),"")</f>
        <v/>
      </c>
      <c r="AF994" s="2" t="str">
        <f>IFERROR(IF(MARÍTIMOS[[#This Row],[Puerto de Embarque]]="","",MARÍTIMOS[[#This Row],[Puerto de Embarque]]),"")</f>
        <v/>
      </c>
      <c r="AG994" s="2" t="str">
        <f>IFERROR(IF(MARÍTIMOS[[#This Row],[Almacén de Ingreso]]="","",MARÍTIMOS[[#This Row],[Almacén de Ingreso]]),"")</f>
        <v/>
      </c>
      <c r="AH994" s="11" t="str">
        <f>IFERROR(IF(MARÍTIMOS[[#This Row],[Etapa Ingreso - Cita]]="","",MARÍTIMOS[[#This Row],[Etapa Ingreso - Cita]]),"")</f>
        <v/>
      </c>
      <c r="AI994" s="11" t="str">
        <f>IFERROR(IF(MARÍTIMOS[[#This Row],[Etapa Ingreso - Llegada]]="","",MARÍTIMOS[[#This Row],[Etapa Ingreso - Llegada]]),"")</f>
        <v/>
      </c>
      <c r="AJ994" s="11" t="str">
        <f>IFERROR(IF(MARÍTIMOS[[#This Row],[Etapa Ingreso - Ingeso]]="","",MARÍTIMOS[[#This Row],[Etapa Ingreso - Ingeso]]),"")</f>
        <v/>
      </c>
      <c r="AK994" s="11" t="str">
        <f>IFERROR(IF(MARÍTIMOS[[#This Row],[Etapa Ingreso - Atención]]="","",MARÍTIMOS[[#This Row],[Etapa Ingreso - Atención]]),"")</f>
        <v/>
      </c>
      <c r="AL994" s="11" t="str">
        <f>IFERROR(IF(MARÍTIMOS[[#This Row],[Etapa Ingreso - Salida]]="","",MARÍTIMOS[[#This Row],[Etapa Ingreso - Salida]]),"")</f>
        <v/>
      </c>
      <c r="AM994" s="2" t="str">
        <f>IFERROR(IF(MARÍTIMOS[[#This Row],[FCL]]="","",MARÍTIMOS[[#This Row],[FCL]]),"")</f>
        <v/>
      </c>
      <c r="AN9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4" s="4" t="str" cm="1">
        <f t="array" ref="AO9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4" s="5" t="str">
        <f>IFERROR(OLDBD[[#This Row],[Llegada a packing]]-OLDBD[[#This Row],[Inicio de Ruta]],"")</f>
        <v/>
      </c>
      <c r="AQ994" s="6" t="str">
        <f>IFERROR(OLDBD[[#This Row],[Inicio de Ruta]]-OLDBD[[#This Row],[Salida de almacén de retiro]],"")</f>
        <v/>
      </c>
      <c r="AR9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4" s="8" t="str" cm="1">
        <f t="array" ref="AS9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4" s="9" t="str">
        <f>IFERROR(OLDBD[[#This Row],[Ingreso Packing]]-OLDBD[[#This Row],[Registro en Packing]],"")</f>
        <v/>
      </c>
      <c r="AV994" s="9" t="str">
        <f>IFERROR(OLDBD[[#This Row],[Ingreso Packing]]-OLDBD[[#This Row],[Llegada a packing]],"")</f>
        <v/>
      </c>
      <c r="AW9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4" s="5" t="str">
        <f>IFERROR(OLDBD[[#This Row],[Llegada Almacén de Ingreso]]-OLDBD[[#This Row],[Salida Packing]],"")</f>
        <v/>
      </c>
      <c r="AY994" s="4" t="str" cm="1">
        <f t="array" ref="AY9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4" s="43" t="s">
        <v>173</v>
      </c>
      <c r="BB994" s="47" t="str">
        <f>IFERROR(IF(MARÍTIMOS[[#This Row],[Estatus]]="","",MARÍTIMOS[[#This Row],[Estatus]]),"")</f>
        <v/>
      </c>
      <c r="BC994" s="43"/>
      <c r="BD994" s="46" t="str">
        <f>IFERROR(OLDBD[[#This Row],[Salida de almacén de retiro]]-OLDBD[[#This Row],[Ingreso Almacén de retiro]],"")</f>
        <v/>
      </c>
      <c r="BE994" s="46" t="str">
        <f>IFERROR(OLDBD[[#This Row],[Fin de Carga]]-OLDBD[[#This Row],[Inicio de Carga]],"")</f>
        <v/>
      </c>
    </row>
    <row r="995" spans="1:57" customFormat="1" hidden="1">
      <c r="A995" s="1"/>
      <c r="B995" s="1" t="str">
        <f>IFERROR(IF(MARÍTIMOS[[#This Row],[PP]]="","",MARÍTIMOS[[#This Row],[PP]]),"")</f>
        <v/>
      </c>
      <c r="C995" s="1" t="str">
        <f>IFERROR(IF(MARÍTIMOS[[#This Row],[Sede]]="","",MARÍTIMOS[[#This Row],[Sede]]),"")</f>
        <v/>
      </c>
      <c r="D995" s="1" t="str">
        <f>IFERROR(IF(MARÍTIMOS[[#This Row],[Instruction]]="","",MARÍTIMOS[[#This Row],[Instruction]]),"")</f>
        <v/>
      </c>
      <c r="E995" s="1"/>
      <c r="F995" s="2" t="str">
        <f>IFERROR(IF(MARÍTIMOS[[#This Row],[Transportista]]="","",MARÍTIMOS[[#This Row],[Transportista]]),"")</f>
        <v/>
      </c>
      <c r="G995" s="2" t="str">
        <f>IFERROR(IF(MARÍTIMOS[[#This Row],[Tercero]]="","",MARÍTIMOS[[#This Row],[Tercero]]),"")</f>
        <v/>
      </c>
      <c r="H995" s="2" t="str">
        <f>IFERROR(IF(MARÍTIMOS[[#This Row],[Razón Social]]="","",MARÍTIMOS[[#This Row],[Razón Social]]),"")</f>
        <v/>
      </c>
      <c r="I995" s="2" t="str">
        <f>IFERROR(IF(MARÍTIMOS[[#This Row],[RUC]]="","",MARÍTIMOS[[#This Row],[RUC]]),"")</f>
        <v/>
      </c>
      <c r="J995" s="2" t="str">
        <f>IFERROR(IF(MARÍTIMOS[[#This Row],[Placa Tracto]]="","",MARÍTIMOS[[#This Row],[Placa Tracto]]),"")</f>
        <v/>
      </c>
      <c r="K995" s="2" t="str">
        <f>IFERROR(IF(MARÍTIMOS[[#This Row],[Placa Carreta]]="","",MARÍTIMOS[[#This Row],[Placa Carreta]]),"")</f>
        <v/>
      </c>
      <c r="L995" s="44" t="str">
        <f>IFERROR(IF(MARÍTIMOS[[#This Row],[Conductor]]="","",MARÍTIMOS[[#This Row],[Conductor]]),"")</f>
        <v/>
      </c>
      <c r="M995" s="2" t="str">
        <f>IFERROR(IF(MARÍTIMOS[[#This Row],[Licencia]]="","",MARÍTIMOS[[#This Row],[Licencia]]),"")</f>
        <v/>
      </c>
      <c r="N995" s="2" t="str">
        <f>IFERROR(IF(MARÍTIMOS[[#This Row],[Número de Contacto]]="","",MARÍTIMOS[[#This Row],[Número de Contacto]]),"")</f>
        <v/>
      </c>
      <c r="O995" s="10" t="str">
        <f>IFERROR(IF(MARÍTIMOS[[#This Row],[Booking|AWB|CRT]]="","",MARÍTIMOS[[#This Row],[Booking|AWB|CRT]]),"")</f>
        <v/>
      </c>
      <c r="P995" s="2" t="str">
        <f>IFERROR(IF(MARÍTIMOS[[#This Row],[Contenedor]]="","",MARÍTIMOS[[#This Row],[Contenedor]]),"")</f>
        <v/>
      </c>
      <c r="Q995" s="2" t="str">
        <f>IFERROR(IF(MARÍTIMOS[[#This Row],[Puerto de Retiro]]="","",MARÍTIMOS[[#This Row],[Puerto de Retiro]]),"")</f>
        <v/>
      </c>
      <c r="R995" s="2" t="str">
        <f>IFERROR(IF(MARÍTIMOS[[#This Row],[Almacén de Retiro]]="","",MARÍTIMOS[[#This Row],[Almacén de Retiro]]),"")</f>
        <v/>
      </c>
      <c r="S995" s="11" t="str">
        <f>IFERROR(IF(MARÍTIMOS[[#This Row],[Etapa Retiro - Cita]]="","",MARÍTIMOS[[#This Row],[Etapa Retiro - Cita]]),"")</f>
        <v/>
      </c>
      <c r="T995" s="11" t="str">
        <f>IFERROR(IF(MARÍTIMOS[[#This Row],[Etapa Retiro - Llegada]]="","",MARÍTIMOS[[#This Row],[Etapa Retiro - Llegada]]),"")</f>
        <v/>
      </c>
      <c r="U995" s="11" t="str">
        <f>IFERROR(IF(MARÍTIMOS[[#This Row],[Etapa Retiro - Ingreso]]="","",MARÍTIMOS[[#This Row],[Etapa Retiro - Ingreso]]),"")</f>
        <v/>
      </c>
      <c r="V995" s="11" t="str">
        <f>IFERROR(IF(MARÍTIMOS[[#This Row],[Etapa Retiro - Atención]]="","",MARÍTIMOS[[#This Row],[Etapa Retiro - Atención]]),"")</f>
        <v/>
      </c>
      <c r="W995" s="11" t="str">
        <f>IFERROR(IF(MARÍTIMOS[[#This Row],[Etapa Retiro - Atención]]="","",MARÍTIMOS[[#This Row],[Etapa Retiro - Atención]]),"")</f>
        <v/>
      </c>
      <c r="X995" s="11" t="str">
        <f>IFERROR(IF(MARÍTIMOS[[#This Row],[Etapa Retiro - Inicio de Ruta]]="","",MARÍTIMOS[[#This Row],[Etapa Retiro - Inicio de Ruta]]),"")</f>
        <v/>
      </c>
      <c r="Y995" s="11" t="str">
        <f>IFERROR(IF(MARÍTIMOS[[#This Row],[Hora de Posicionamiento]]="","",MARÍTIMOS[[#This Row],[Fecha de Carga]]+MARÍTIMOS[[#This Row],[Hora de Posicionamiento]]),"")</f>
        <v/>
      </c>
      <c r="Z995" s="11" t="str">
        <f>IFERROR(IF(MARÍTIMOS[[#This Row],[Etapa Despacho - Llegada]]="","",MARÍTIMOS[[#This Row],[Etapa Despacho - Llegada]]),"")</f>
        <v/>
      </c>
      <c r="AA995" s="11" t="str">
        <f>IFERROR(IF(MARÍTIMOS[[#This Row],[Etapa Despacho - Registro]]="","",MARÍTIMOS[[#This Row],[Etapa Despacho - Registro]]),"")</f>
        <v/>
      </c>
      <c r="AB995" s="11" t="str">
        <f>IFERROR(IF(MARÍTIMOS[[#This Row],[Inspección Externa]]="","",MARÍTIMOS[[#This Row],[Inspección Externa]]),"")</f>
        <v/>
      </c>
      <c r="AC995" s="11" t="str">
        <f>IFERROR(IF(MARÍTIMOS[[#This Row],[Etapa Despacho - Inicio de Carga]]="","",MARÍTIMOS[[#This Row],[Etapa Despacho - Inicio de Carga]]),"")</f>
        <v/>
      </c>
      <c r="AD995" s="11" t="str">
        <f>IFERROR(IF(MARÍTIMOS[[#This Row],[Etapa Despacho - Mitad de Carga]]="","",MARÍTIMOS[[#This Row],[Etapa Despacho - Mitad de Carga]]),"")</f>
        <v/>
      </c>
      <c r="AE995" s="11" t="str">
        <f>IFERROR(IF(MARÍTIMOS[[#This Row],[Etapa Despacho - Fin de Carga]]="","",MARÍTIMOS[[#This Row],[Etapa Despacho - Fin de Carga]]),"")</f>
        <v/>
      </c>
      <c r="AF995" s="2" t="str">
        <f>IFERROR(IF(MARÍTIMOS[[#This Row],[Puerto de Embarque]]="","",MARÍTIMOS[[#This Row],[Puerto de Embarque]]),"")</f>
        <v/>
      </c>
      <c r="AG995" s="2" t="str">
        <f>IFERROR(IF(MARÍTIMOS[[#This Row],[Almacén de Ingreso]]="","",MARÍTIMOS[[#This Row],[Almacén de Ingreso]]),"")</f>
        <v/>
      </c>
      <c r="AH995" s="11" t="str">
        <f>IFERROR(IF(MARÍTIMOS[[#This Row],[Etapa Ingreso - Cita]]="","",MARÍTIMOS[[#This Row],[Etapa Ingreso - Cita]]),"")</f>
        <v/>
      </c>
      <c r="AI995" s="11" t="str">
        <f>IFERROR(IF(MARÍTIMOS[[#This Row],[Etapa Ingreso - Llegada]]="","",MARÍTIMOS[[#This Row],[Etapa Ingreso - Llegada]]),"")</f>
        <v/>
      </c>
      <c r="AJ995" s="11" t="str">
        <f>IFERROR(IF(MARÍTIMOS[[#This Row],[Etapa Ingreso - Ingeso]]="","",MARÍTIMOS[[#This Row],[Etapa Ingreso - Ingeso]]),"")</f>
        <v/>
      </c>
      <c r="AK995" s="11" t="str">
        <f>IFERROR(IF(MARÍTIMOS[[#This Row],[Etapa Ingreso - Atención]]="","",MARÍTIMOS[[#This Row],[Etapa Ingreso - Atención]]),"")</f>
        <v/>
      </c>
      <c r="AL995" s="11" t="str">
        <f>IFERROR(IF(MARÍTIMOS[[#This Row],[Etapa Ingreso - Salida]]="","",MARÍTIMOS[[#This Row],[Etapa Ingreso - Salida]]),"")</f>
        <v/>
      </c>
      <c r="AM995" s="2" t="str">
        <f>IFERROR(IF(MARÍTIMOS[[#This Row],[FCL]]="","",MARÍTIMOS[[#This Row],[FCL]]),"")</f>
        <v/>
      </c>
      <c r="AN9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5" s="4" t="str" cm="1">
        <f t="array" ref="AO9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5" s="5" t="str">
        <f>IFERROR(OLDBD[[#This Row],[Llegada a packing]]-OLDBD[[#This Row],[Inicio de Ruta]],"")</f>
        <v/>
      </c>
      <c r="AQ995" s="6" t="str">
        <f>IFERROR(OLDBD[[#This Row],[Inicio de Ruta]]-OLDBD[[#This Row],[Salida de almacén de retiro]],"")</f>
        <v/>
      </c>
      <c r="AR9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5" s="8" t="str" cm="1">
        <f t="array" ref="AS9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5" s="9" t="str">
        <f>IFERROR(OLDBD[[#This Row],[Ingreso Packing]]-OLDBD[[#This Row],[Registro en Packing]],"")</f>
        <v/>
      </c>
      <c r="AV995" s="9" t="str">
        <f>IFERROR(OLDBD[[#This Row],[Ingreso Packing]]-OLDBD[[#This Row],[Llegada a packing]],"")</f>
        <v/>
      </c>
      <c r="AW9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5" s="5" t="str">
        <f>IFERROR(OLDBD[[#This Row],[Llegada Almacén de Ingreso]]-OLDBD[[#This Row],[Salida Packing]],"")</f>
        <v/>
      </c>
      <c r="AY995" s="4" t="str" cm="1">
        <f t="array" ref="AY9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5" s="43" t="s">
        <v>173</v>
      </c>
      <c r="BB995" s="47" t="str">
        <f>IFERROR(IF(MARÍTIMOS[[#This Row],[Estatus]]="","",MARÍTIMOS[[#This Row],[Estatus]]),"")</f>
        <v/>
      </c>
      <c r="BC995" s="43"/>
      <c r="BD995" s="46" t="str">
        <f>IFERROR(OLDBD[[#This Row],[Salida de almacén de retiro]]-OLDBD[[#This Row],[Ingreso Almacén de retiro]],"")</f>
        <v/>
      </c>
      <c r="BE995" s="46" t="str">
        <f>IFERROR(OLDBD[[#This Row],[Fin de Carga]]-OLDBD[[#This Row],[Inicio de Carga]],"")</f>
        <v/>
      </c>
    </row>
    <row r="996" spans="1:57" customFormat="1" hidden="1">
      <c r="A996" s="1"/>
      <c r="B996" s="1" t="str">
        <f>IFERROR(IF(MARÍTIMOS[[#This Row],[PP]]="","",MARÍTIMOS[[#This Row],[PP]]),"")</f>
        <v/>
      </c>
      <c r="C996" s="1" t="str">
        <f>IFERROR(IF(MARÍTIMOS[[#This Row],[Sede]]="","",MARÍTIMOS[[#This Row],[Sede]]),"")</f>
        <v/>
      </c>
      <c r="D996" s="1" t="str">
        <f>IFERROR(IF(MARÍTIMOS[[#This Row],[Instruction]]="","",MARÍTIMOS[[#This Row],[Instruction]]),"")</f>
        <v/>
      </c>
      <c r="E996" s="1"/>
      <c r="F996" s="2" t="str">
        <f>IFERROR(IF(MARÍTIMOS[[#This Row],[Transportista]]="","",MARÍTIMOS[[#This Row],[Transportista]]),"")</f>
        <v/>
      </c>
      <c r="G996" s="2" t="str">
        <f>IFERROR(IF(MARÍTIMOS[[#This Row],[Tercero]]="","",MARÍTIMOS[[#This Row],[Tercero]]),"")</f>
        <v/>
      </c>
      <c r="H996" s="2" t="str">
        <f>IFERROR(IF(MARÍTIMOS[[#This Row],[Razón Social]]="","",MARÍTIMOS[[#This Row],[Razón Social]]),"")</f>
        <v/>
      </c>
      <c r="I996" s="2" t="str">
        <f>IFERROR(IF(MARÍTIMOS[[#This Row],[RUC]]="","",MARÍTIMOS[[#This Row],[RUC]]),"")</f>
        <v/>
      </c>
      <c r="J996" s="2" t="str">
        <f>IFERROR(IF(MARÍTIMOS[[#This Row],[Placa Tracto]]="","",MARÍTIMOS[[#This Row],[Placa Tracto]]),"")</f>
        <v/>
      </c>
      <c r="K996" s="2" t="str">
        <f>IFERROR(IF(MARÍTIMOS[[#This Row],[Placa Carreta]]="","",MARÍTIMOS[[#This Row],[Placa Carreta]]),"")</f>
        <v/>
      </c>
      <c r="L996" s="44" t="str">
        <f>IFERROR(IF(MARÍTIMOS[[#This Row],[Conductor]]="","",MARÍTIMOS[[#This Row],[Conductor]]),"")</f>
        <v/>
      </c>
      <c r="M996" s="2" t="str">
        <f>IFERROR(IF(MARÍTIMOS[[#This Row],[Licencia]]="","",MARÍTIMOS[[#This Row],[Licencia]]),"")</f>
        <v/>
      </c>
      <c r="N996" s="2" t="str">
        <f>IFERROR(IF(MARÍTIMOS[[#This Row],[Número de Contacto]]="","",MARÍTIMOS[[#This Row],[Número de Contacto]]),"")</f>
        <v/>
      </c>
      <c r="O996" s="10" t="str">
        <f>IFERROR(IF(MARÍTIMOS[[#This Row],[Booking|AWB|CRT]]="","",MARÍTIMOS[[#This Row],[Booking|AWB|CRT]]),"")</f>
        <v/>
      </c>
      <c r="P996" s="2" t="str">
        <f>IFERROR(IF(MARÍTIMOS[[#This Row],[Contenedor]]="","",MARÍTIMOS[[#This Row],[Contenedor]]),"")</f>
        <v/>
      </c>
      <c r="Q996" s="2" t="str">
        <f>IFERROR(IF(MARÍTIMOS[[#This Row],[Puerto de Retiro]]="","",MARÍTIMOS[[#This Row],[Puerto de Retiro]]),"")</f>
        <v/>
      </c>
      <c r="R996" s="2" t="str">
        <f>IFERROR(IF(MARÍTIMOS[[#This Row],[Almacén de Retiro]]="","",MARÍTIMOS[[#This Row],[Almacén de Retiro]]),"")</f>
        <v/>
      </c>
      <c r="S996" s="11" t="str">
        <f>IFERROR(IF(MARÍTIMOS[[#This Row],[Etapa Retiro - Cita]]="","",MARÍTIMOS[[#This Row],[Etapa Retiro - Cita]]),"")</f>
        <v/>
      </c>
      <c r="T996" s="11" t="str">
        <f>IFERROR(IF(MARÍTIMOS[[#This Row],[Etapa Retiro - Llegada]]="","",MARÍTIMOS[[#This Row],[Etapa Retiro - Llegada]]),"")</f>
        <v/>
      </c>
      <c r="U996" s="11" t="str">
        <f>IFERROR(IF(MARÍTIMOS[[#This Row],[Etapa Retiro - Ingreso]]="","",MARÍTIMOS[[#This Row],[Etapa Retiro - Ingreso]]),"")</f>
        <v/>
      </c>
      <c r="V996" s="11" t="str">
        <f>IFERROR(IF(MARÍTIMOS[[#This Row],[Etapa Retiro - Atención]]="","",MARÍTIMOS[[#This Row],[Etapa Retiro - Atención]]),"")</f>
        <v/>
      </c>
      <c r="W996" s="11" t="str">
        <f>IFERROR(IF(MARÍTIMOS[[#This Row],[Etapa Retiro - Atención]]="","",MARÍTIMOS[[#This Row],[Etapa Retiro - Atención]]),"")</f>
        <v/>
      </c>
      <c r="X996" s="11" t="str">
        <f>IFERROR(IF(MARÍTIMOS[[#This Row],[Etapa Retiro - Inicio de Ruta]]="","",MARÍTIMOS[[#This Row],[Etapa Retiro - Inicio de Ruta]]),"")</f>
        <v/>
      </c>
      <c r="Y996" s="11" t="str">
        <f>IFERROR(IF(MARÍTIMOS[[#This Row],[Hora de Posicionamiento]]="","",MARÍTIMOS[[#This Row],[Fecha de Carga]]+MARÍTIMOS[[#This Row],[Hora de Posicionamiento]]),"")</f>
        <v/>
      </c>
      <c r="Z996" s="11" t="str">
        <f>IFERROR(IF(MARÍTIMOS[[#This Row],[Etapa Despacho - Llegada]]="","",MARÍTIMOS[[#This Row],[Etapa Despacho - Llegada]]),"")</f>
        <v/>
      </c>
      <c r="AA996" s="11" t="str">
        <f>IFERROR(IF(MARÍTIMOS[[#This Row],[Etapa Despacho - Registro]]="","",MARÍTIMOS[[#This Row],[Etapa Despacho - Registro]]),"")</f>
        <v/>
      </c>
      <c r="AB996" s="11" t="str">
        <f>IFERROR(IF(MARÍTIMOS[[#This Row],[Inspección Externa]]="","",MARÍTIMOS[[#This Row],[Inspección Externa]]),"")</f>
        <v/>
      </c>
      <c r="AC996" s="11" t="str">
        <f>IFERROR(IF(MARÍTIMOS[[#This Row],[Etapa Despacho - Inicio de Carga]]="","",MARÍTIMOS[[#This Row],[Etapa Despacho - Inicio de Carga]]),"")</f>
        <v/>
      </c>
      <c r="AD996" s="11" t="str">
        <f>IFERROR(IF(MARÍTIMOS[[#This Row],[Etapa Despacho - Mitad de Carga]]="","",MARÍTIMOS[[#This Row],[Etapa Despacho - Mitad de Carga]]),"")</f>
        <v/>
      </c>
      <c r="AE996" s="11" t="str">
        <f>IFERROR(IF(MARÍTIMOS[[#This Row],[Etapa Despacho - Fin de Carga]]="","",MARÍTIMOS[[#This Row],[Etapa Despacho - Fin de Carga]]),"")</f>
        <v/>
      </c>
      <c r="AF996" s="2" t="str">
        <f>IFERROR(IF(MARÍTIMOS[[#This Row],[Puerto de Embarque]]="","",MARÍTIMOS[[#This Row],[Puerto de Embarque]]),"")</f>
        <v/>
      </c>
      <c r="AG996" s="2" t="str">
        <f>IFERROR(IF(MARÍTIMOS[[#This Row],[Almacén de Ingreso]]="","",MARÍTIMOS[[#This Row],[Almacén de Ingreso]]),"")</f>
        <v/>
      </c>
      <c r="AH996" s="11" t="str">
        <f>IFERROR(IF(MARÍTIMOS[[#This Row],[Etapa Ingreso - Cita]]="","",MARÍTIMOS[[#This Row],[Etapa Ingreso - Cita]]),"")</f>
        <v/>
      </c>
      <c r="AI996" s="11" t="str">
        <f>IFERROR(IF(MARÍTIMOS[[#This Row],[Etapa Ingreso - Llegada]]="","",MARÍTIMOS[[#This Row],[Etapa Ingreso - Llegada]]),"")</f>
        <v/>
      </c>
      <c r="AJ996" s="11" t="str">
        <f>IFERROR(IF(MARÍTIMOS[[#This Row],[Etapa Ingreso - Ingeso]]="","",MARÍTIMOS[[#This Row],[Etapa Ingreso - Ingeso]]),"")</f>
        <v/>
      </c>
      <c r="AK996" s="11" t="str">
        <f>IFERROR(IF(MARÍTIMOS[[#This Row],[Etapa Ingreso - Atención]]="","",MARÍTIMOS[[#This Row],[Etapa Ingreso - Atención]]),"")</f>
        <v/>
      </c>
      <c r="AL996" s="11" t="str">
        <f>IFERROR(IF(MARÍTIMOS[[#This Row],[Etapa Ingreso - Salida]]="","",MARÍTIMOS[[#This Row],[Etapa Ingreso - Salida]]),"")</f>
        <v/>
      </c>
      <c r="AM996" s="2" t="str">
        <f>IFERROR(IF(MARÍTIMOS[[#This Row],[FCL]]="","",MARÍTIMOS[[#This Row],[FCL]]),"")</f>
        <v/>
      </c>
      <c r="AN9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6" s="4" t="str" cm="1">
        <f t="array" ref="AO9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6" s="5" t="str">
        <f>IFERROR(OLDBD[[#This Row],[Llegada a packing]]-OLDBD[[#This Row],[Inicio de Ruta]],"")</f>
        <v/>
      </c>
      <c r="AQ996" s="6" t="str">
        <f>IFERROR(OLDBD[[#This Row],[Inicio de Ruta]]-OLDBD[[#This Row],[Salida de almacén de retiro]],"")</f>
        <v/>
      </c>
      <c r="AR9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6" s="8" t="str" cm="1">
        <f t="array" ref="AS9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6" s="9" t="str">
        <f>IFERROR(OLDBD[[#This Row],[Ingreso Packing]]-OLDBD[[#This Row],[Registro en Packing]],"")</f>
        <v/>
      </c>
      <c r="AV996" s="9" t="str">
        <f>IFERROR(OLDBD[[#This Row],[Ingreso Packing]]-OLDBD[[#This Row],[Llegada a packing]],"")</f>
        <v/>
      </c>
      <c r="AW9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6" s="5" t="str">
        <f>IFERROR(OLDBD[[#This Row],[Llegada Almacén de Ingreso]]-OLDBD[[#This Row],[Salida Packing]],"")</f>
        <v/>
      </c>
      <c r="AY996" s="4" t="str" cm="1">
        <f t="array" ref="AY9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6" s="43" t="s">
        <v>173</v>
      </c>
      <c r="BB996" s="47" t="str">
        <f>IFERROR(IF(MARÍTIMOS[[#This Row],[Estatus]]="","",MARÍTIMOS[[#This Row],[Estatus]]),"")</f>
        <v/>
      </c>
      <c r="BC996" s="43"/>
      <c r="BD996" s="46" t="str">
        <f>IFERROR(OLDBD[[#This Row],[Salida de almacén de retiro]]-OLDBD[[#This Row],[Ingreso Almacén de retiro]],"")</f>
        <v/>
      </c>
      <c r="BE996" s="46" t="str">
        <f>IFERROR(OLDBD[[#This Row],[Fin de Carga]]-OLDBD[[#This Row],[Inicio de Carga]],"")</f>
        <v/>
      </c>
    </row>
    <row r="997" spans="1:57" customFormat="1" hidden="1">
      <c r="A997" s="1"/>
      <c r="B997" s="1" t="str">
        <f>IFERROR(IF(MARÍTIMOS[[#This Row],[PP]]="","",MARÍTIMOS[[#This Row],[PP]]),"")</f>
        <v/>
      </c>
      <c r="C997" s="1" t="str">
        <f>IFERROR(IF(MARÍTIMOS[[#This Row],[Sede]]="","",MARÍTIMOS[[#This Row],[Sede]]),"")</f>
        <v/>
      </c>
      <c r="D997" s="1" t="str">
        <f>IFERROR(IF(MARÍTIMOS[[#This Row],[Instruction]]="","",MARÍTIMOS[[#This Row],[Instruction]]),"")</f>
        <v/>
      </c>
      <c r="E997" s="1"/>
      <c r="F997" s="2" t="str">
        <f>IFERROR(IF(MARÍTIMOS[[#This Row],[Transportista]]="","",MARÍTIMOS[[#This Row],[Transportista]]),"")</f>
        <v/>
      </c>
      <c r="G997" s="2" t="str">
        <f>IFERROR(IF(MARÍTIMOS[[#This Row],[Tercero]]="","",MARÍTIMOS[[#This Row],[Tercero]]),"")</f>
        <v/>
      </c>
      <c r="H997" s="2" t="str">
        <f>IFERROR(IF(MARÍTIMOS[[#This Row],[Razón Social]]="","",MARÍTIMOS[[#This Row],[Razón Social]]),"")</f>
        <v/>
      </c>
      <c r="I997" s="2" t="str">
        <f>IFERROR(IF(MARÍTIMOS[[#This Row],[RUC]]="","",MARÍTIMOS[[#This Row],[RUC]]),"")</f>
        <v/>
      </c>
      <c r="J997" s="2" t="str">
        <f>IFERROR(IF(MARÍTIMOS[[#This Row],[Placa Tracto]]="","",MARÍTIMOS[[#This Row],[Placa Tracto]]),"")</f>
        <v/>
      </c>
      <c r="K997" s="2" t="str">
        <f>IFERROR(IF(MARÍTIMOS[[#This Row],[Placa Carreta]]="","",MARÍTIMOS[[#This Row],[Placa Carreta]]),"")</f>
        <v/>
      </c>
      <c r="L997" s="44" t="str">
        <f>IFERROR(IF(MARÍTIMOS[[#This Row],[Conductor]]="","",MARÍTIMOS[[#This Row],[Conductor]]),"")</f>
        <v/>
      </c>
      <c r="M997" s="2" t="str">
        <f>IFERROR(IF(MARÍTIMOS[[#This Row],[Licencia]]="","",MARÍTIMOS[[#This Row],[Licencia]]),"")</f>
        <v/>
      </c>
      <c r="N997" s="2" t="str">
        <f>IFERROR(IF(MARÍTIMOS[[#This Row],[Número de Contacto]]="","",MARÍTIMOS[[#This Row],[Número de Contacto]]),"")</f>
        <v/>
      </c>
      <c r="O997" s="10" t="str">
        <f>IFERROR(IF(MARÍTIMOS[[#This Row],[Booking|AWB|CRT]]="","",MARÍTIMOS[[#This Row],[Booking|AWB|CRT]]),"")</f>
        <v/>
      </c>
      <c r="P997" s="2" t="str">
        <f>IFERROR(IF(MARÍTIMOS[[#This Row],[Contenedor]]="","",MARÍTIMOS[[#This Row],[Contenedor]]),"")</f>
        <v/>
      </c>
      <c r="Q997" s="2" t="str">
        <f>IFERROR(IF(MARÍTIMOS[[#This Row],[Puerto de Retiro]]="","",MARÍTIMOS[[#This Row],[Puerto de Retiro]]),"")</f>
        <v/>
      </c>
      <c r="R997" s="2" t="str">
        <f>IFERROR(IF(MARÍTIMOS[[#This Row],[Almacén de Retiro]]="","",MARÍTIMOS[[#This Row],[Almacén de Retiro]]),"")</f>
        <v/>
      </c>
      <c r="S997" s="11" t="str">
        <f>IFERROR(IF(MARÍTIMOS[[#This Row],[Etapa Retiro - Cita]]="","",MARÍTIMOS[[#This Row],[Etapa Retiro - Cita]]),"")</f>
        <v/>
      </c>
      <c r="T997" s="11" t="str">
        <f>IFERROR(IF(MARÍTIMOS[[#This Row],[Etapa Retiro - Llegada]]="","",MARÍTIMOS[[#This Row],[Etapa Retiro - Llegada]]),"")</f>
        <v/>
      </c>
      <c r="U997" s="11" t="str">
        <f>IFERROR(IF(MARÍTIMOS[[#This Row],[Etapa Retiro - Ingreso]]="","",MARÍTIMOS[[#This Row],[Etapa Retiro - Ingreso]]),"")</f>
        <v/>
      </c>
      <c r="V997" s="11" t="str">
        <f>IFERROR(IF(MARÍTIMOS[[#This Row],[Etapa Retiro - Atención]]="","",MARÍTIMOS[[#This Row],[Etapa Retiro - Atención]]),"")</f>
        <v/>
      </c>
      <c r="W997" s="11" t="str">
        <f>IFERROR(IF(MARÍTIMOS[[#This Row],[Etapa Retiro - Atención]]="","",MARÍTIMOS[[#This Row],[Etapa Retiro - Atención]]),"")</f>
        <v/>
      </c>
      <c r="X997" s="11" t="str">
        <f>IFERROR(IF(MARÍTIMOS[[#This Row],[Etapa Retiro - Inicio de Ruta]]="","",MARÍTIMOS[[#This Row],[Etapa Retiro - Inicio de Ruta]]),"")</f>
        <v/>
      </c>
      <c r="Y997" s="11" t="str">
        <f>IFERROR(IF(MARÍTIMOS[[#This Row],[Hora de Posicionamiento]]="","",MARÍTIMOS[[#This Row],[Fecha de Carga]]+MARÍTIMOS[[#This Row],[Hora de Posicionamiento]]),"")</f>
        <v/>
      </c>
      <c r="Z997" s="11" t="str">
        <f>IFERROR(IF(MARÍTIMOS[[#This Row],[Etapa Despacho - Llegada]]="","",MARÍTIMOS[[#This Row],[Etapa Despacho - Llegada]]),"")</f>
        <v/>
      </c>
      <c r="AA997" s="11" t="str">
        <f>IFERROR(IF(MARÍTIMOS[[#This Row],[Etapa Despacho - Registro]]="","",MARÍTIMOS[[#This Row],[Etapa Despacho - Registro]]),"")</f>
        <v/>
      </c>
      <c r="AB997" s="11" t="str">
        <f>IFERROR(IF(MARÍTIMOS[[#This Row],[Inspección Externa]]="","",MARÍTIMOS[[#This Row],[Inspección Externa]]),"")</f>
        <v/>
      </c>
      <c r="AC997" s="11" t="str">
        <f>IFERROR(IF(MARÍTIMOS[[#This Row],[Etapa Despacho - Inicio de Carga]]="","",MARÍTIMOS[[#This Row],[Etapa Despacho - Inicio de Carga]]),"")</f>
        <v/>
      </c>
      <c r="AD997" s="11" t="str">
        <f>IFERROR(IF(MARÍTIMOS[[#This Row],[Etapa Despacho - Mitad de Carga]]="","",MARÍTIMOS[[#This Row],[Etapa Despacho - Mitad de Carga]]),"")</f>
        <v/>
      </c>
      <c r="AE997" s="11" t="str">
        <f>IFERROR(IF(MARÍTIMOS[[#This Row],[Etapa Despacho - Fin de Carga]]="","",MARÍTIMOS[[#This Row],[Etapa Despacho - Fin de Carga]]),"")</f>
        <v/>
      </c>
      <c r="AF997" s="2" t="str">
        <f>IFERROR(IF(MARÍTIMOS[[#This Row],[Puerto de Embarque]]="","",MARÍTIMOS[[#This Row],[Puerto de Embarque]]),"")</f>
        <v/>
      </c>
      <c r="AG997" s="2" t="str">
        <f>IFERROR(IF(MARÍTIMOS[[#This Row],[Almacén de Ingreso]]="","",MARÍTIMOS[[#This Row],[Almacén de Ingreso]]),"")</f>
        <v/>
      </c>
      <c r="AH997" s="11" t="str">
        <f>IFERROR(IF(MARÍTIMOS[[#This Row],[Etapa Ingreso - Cita]]="","",MARÍTIMOS[[#This Row],[Etapa Ingreso - Cita]]),"")</f>
        <v/>
      </c>
      <c r="AI997" s="11" t="str">
        <f>IFERROR(IF(MARÍTIMOS[[#This Row],[Etapa Ingreso - Llegada]]="","",MARÍTIMOS[[#This Row],[Etapa Ingreso - Llegada]]),"")</f>
        <v/>
      </c>
      <c r="AJ997" s="11" t="str">
        <f>IFERROR(IF(MARÍTIMOS[[#This Row],[Etapa Ingreso - Ingeso]]="","",MARÍTIMOS[[#This Row],[Etapa Ingreso - Ingeso]]),"")</f>
        <v/>
      </c>
      <c r="AK997" s="11" t="str">
        <f>IFERROR(IF(MARÍTIMOS[[#This Row],[Etapa Ingreso - Atención]]="","",MARÍTIMOS[[#This Row],[Etapa Ingreso - Atención]]),"")</f>
        <v/>
      </c>
      <c r="AL997" s="11" t="str">
        <f>IFERROR(IF(MARÍTIMOS[[#This Row],[Etapa Ingreso - Salida]]="","",MARÍTIMOS[[#This Row],[Etapa Ingreso - Salida]]),"")</f>
        <v/>
      </c>
      <c r="AM997" s="2" t="str">
        <f>IFERROR(IF(MARÍTIMOS[[#This Row],[FCL]]="","",MARÍTIMOS[[#This Row],[FCL]]),"")</f>
        <v/>
      </c>
      <c r="AN9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7" s="4" t="str" cm="1">
        <f t="array" ref="AO9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7" s="5" t="str">
        <f>IFERROR(OLDBD[[#This Row],[Llegada a packing]]-OLDBD[[#This Row],[Inicio de Ruta]],"")</f>
        <v/>
      </c>
      <c r="AQ997" s="6" t="str">
        <f>IFERROR(OLDBD[[#This Row],[Inicio de Ruta]]-OLDBD[[#This Row],[Salida de almacén de retiro]],"")</f>
        <v/>
      </c>
      <c r="AR9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7" s="8" t="str" cm="1">
        <f t="array" ref="AS9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7" s="9" t="str">
        <f>IFERROR(OLDBD[[#This Row],[Ingreso Packing]]-OLDBD[[#This Row],[Registro en Packing]],"")</f>
        <v/>
      </c>
      <c r="AV997" s="9" t="str">
        <f>IFERROR(OLDBD[[#This Row],[Ingreso Packing]]-OLDBD[[#This Row],[Llegada a packing]],"")</f>
        <v/>
      </c>
      <c r="AW9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7" s="5" t="str">
        <f>IFERROR(OLDBD[[#This Row],[Llegada Almacén de Ingreso]]-OLDBD[[#This Row],[Salida Packing]],"")</f>
        <v/>
      </c>
      <c r="AY997" s="4" t="str" cm="1">
        <f t="array" ref="AY9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7" s="43" t="s">
        <v>173</v>
      </c>
      <c r="BB997" s="47" t="str">
        <f>IFERROR(IF(MARÍTIMOS[[#This Row],[Estatus]]="","",MARÍTIMOS[[#This Row],[Estatus]]),"")</f>
        <v/>
      </c>
      <c r="BC997" s="43"/>
      <c r="BD997" s="46" t="str">
        <f>IFERROR(OLDBD[[#This Row],[Salida de almacén de retiro]]-OLDBD[[#This Row],[Ingreso Almacén de retiro]],"")</f>
        <v/>
      </c>
      <c r="BE997" s="46" t="str">
        <f>IFERROR(OLDBD[[#This Row],[Fin de Carga]]-OLDBD[[#This Row],[Inicio de Carga]],"")</f>
        <v/>
      </c>
    </row>
    <row r="998" spans="1:57" customFormat="1" hidden="1">
      <c r="A998" s="1"/>
      <c r="B998" s="1" t="str">
        <f>IFERROR(IF(MARÍTIMOS[[#This Row],[PP]]="","",MARÍTIMOS[[#This Row],[PP]]),"")</f>
        <v/>
      </c>
      <c r="C998" s="1" t="str">
        <f>IFERROR(IF(MARÍTIMOS[[#This Row],[Sede]]="","",MARÍTIMOS[[#This Row],[Sede]]),"")</f>
        <v/>
      </c>
      <c r="D998" s="1" t="str">
        <f>IFERROR(IF(MARÍTIMOS[[#This Row],[Instruction]]="","",MARÍTIMOS[[#This Row],[Instruction]]),"")</f>
        <v/>
      </c>
      <c r="E998" s="1"/>
      <c r="F998" s="2" t="str">
        <f>IFERROR(IF(MARÍTIMOS[[#This Row],[Transportista]]="","",MARÍTIMOS[[#This Row],[Transportista]]),"")</f>
        <v/>
      </c>
      <c r="G998" s="2" t="str">
        <f>IFERROR(IF(MARÍTIMOS[[#This Row],[Tercero]]="","",MARÍTIMOS[[#This Row],[Tercero]]),"")</f>
        <v/>
      </c>
      <c r="H998" s="2" t="str">
        <f>IFERROR(IF(MARÍTIMOS[[#This Row],[Razón Social]]="","",MARÍTIMOS[[#This Row],[Razón Social]]),"")</f>
        <v/>
      </c>
      <c r="I998" s="2" t="str">
        <f>IFERROR(IF(MARÍTIMOS[[#This Row],[RUC]]="","",MARÍTIMOS[[#This Row],[RUC]]),"")</f>
        <v/>
      </c>
      <c r="J998" s="2" t="str">
        <f>IFERROR(IF(MARÍTIMOS[[#This Row],[Placa Tracto]]="","",MARÍTIMOS[[#This Row],[Placa Tracto]]),"")</f>
        <v/>
      </c>
      <c r="K998" s="2" t="str">
        <f>IFERROR(IF(MARÍTIMOS[[#This Row],[Placa Carreta]]="","",MARÍTIMOS[[#This Row],[Placa Carreta]]),"")</f>
        <v/>
      </c>
      <c r="L998" s="44" t="str">
        <f>IFERROR(IF(MARÍTIMOS[[#This Row],[Conductor]]="","",MARÍTIMOS[[#This Row],[Conductor]]),"")</f>
        <v/>
      </c>
      <c r="M998" s="2" t="str">
        <f>IFERROR(IF(MARÍTIMOS[[#This Row],[Licencia]]="","",MARÍTIMOS[[#This Row],[Licencia]]),"")</f>
        <v/>
      </c>
      <c r="N998" s="2" t="str">
        <f>IFERROR(IF(MARÍTIMOS[[#This Row],[Número de Contacto]]="","",MARÍTIMOS[[#This Row],[Número de Contacto]]),"")</f>
        <v/>
      </c>
      <c r="O998" s="10" t="str">
        <f>IFERROR(IF(MARÍTIMOS[[#This Row],[Booking|AWB|CRT]]="","",MARÍTIMOS[[#This Row],[Booking|AWB|CRT]]),"")</f>
        <v/>
      </c>
      <c r="P998" s="2" t="str">
        <f>IFERROR(IF(MARÍTIMOS[[#This Row],[Contenedor]]="","",MARÍTIMOS[[#This Row],[Contenedor]]),"")</f>
        <v/>
      </c>
      <c r="Q998" s="2" t="str">
        <f>IFERROR(IF(MARÍTIMOS[[#This Row],[Puerto de Retiro]]="","",MARÍTIMOS[[#This Row],[Puerto de Retiro]]),"")</f>
        <v/>
      </c>
      <c r="R998" s="2" t="str">
        <f>IFERROR(IF(MARÍTIMOS[[#This Row],[Almacén de Retiro]]="","",MARÍTIMOS[[#This Row],[Almacén de Retiro]]),"")</f>
        <v/>
      </c>
      <c r="S998" s="11" t="str">
        <f>IFERROR(IF(MARÍTIMOS[[#This Row],[Etapa Retiro - Cita]]="","",MARÍTIMOS[[#This Row],[Etapa Retiro - Cita]]),"")</f>
        <v/>
      </c>
      <c r="T998" s="11" t="str">
        <f>IFERROR(IF(MARÍTIMOS[[#This Row],[Etapa Retiro - Llegada]]="","",MARÍTIMOS[[#This Row],[Etapa Retiro - Llegada]]),"")</f>
        <v/>
      </c>
      <c r="U998" s="11" t="str">
        <f>IFERROR(IF(MARÍTIMOS[[#This Row],[Etapa Retiro - Ingreso]]="","",MARÍTIMOS[[#This Row],[Etapa Retiro - Ingreso]]),"")</f>
        <v/>
      </c>
      <c r="V998" s="11" t="str">
        <f>IFERROR(IF(MARÍTIMOS[[#This Row],[Etapa Retiro - Atención]]="","",MARÍTIMOS[[#This Row],[Etapa Retiro - Atención]]),"")</f>
        <v/>
      </c>
      <c r="W998" s="11" t="str">
        <f>IFERROR(IF(MARÍTIMOS[[#This Row],[Etapa Retiro - Atención]]="","",MARÍTIMOS[[#This Row],[Etapa Retiro - Atención]]),"")</f>
        <v/>
      </c>
      <c r="X998" s="11" t="str">
        <f>IFERROR(IF(MARÍTIMOS[[#This Row],[Etapa Retiro - Inicio de Ruta]]="","",MARÍTIMOS[[#This Row],[Etapa Retiro - Inicio de Ruta]]),"")</f>
        <v/>
      </c>
      <c r="Y998" s="11" t="str">
        <f>IFERROR(IF(MARÍTIMOS[[#This Row],[Hora de Posicionamiento]]="","",MARÍTIMOS[[#This Row],[Fecha de Carga]]+MARÍTIMOS[[#This Row],[Hora de Posicionamiento]]),"")</f>
        <v/>
      </c>
      <c r="Z998" s="11" t="str">
        <f>IFERROR(IF(MARÍTIMOS[[#This Row],[Etapa Despacho - Llegada]]="","",MARÍTIMOS[[#This Row],[Etapa Despacho - Llegada]]),"")</f>
        <v/>
      </c>
      <c r="AA998" s="11" t="str">
        <f>IFERROR(IF(MARÍTIMOS[[#This Row],[Etapa Despacho - Registro]]="","",MARÍTIMOS[[#This Row],[Etapa Despacho - Registro]]),"")</f>
        <v/>
      </c>
      <c r="AB998" s="11" t="str">
        <f>IFERROR(IF(MARÍTIMOS[[#This Row],[Inspección Externa]]="","",MARÍTIMOS[[#This Row],[Inspección Externa]]),"")</f>
        <v/>
      </c>
      <c r="AC998" s="11" t="str">
        <f>IFERROR(IF(MARÍTIMOS[[#This Row],[Etapa Despacho - Inicio de Carga]]="","",MARÍTIMOS[[#This Row],[Etapa Despacho - Inicio de Carga]]),"")</f>
        <v/>
      </c>
      <c r="AD998" s="11" t="str">
        <f>IFERROR(IF(MARÍTIMOS[[#This Row],[Etapa Despacho - Mitad de Carga]]="","",MARÍTIMOS[[#This Row],[Etapa Despacho - Mitad de Carga]]),"")</f>
        <v/>
      </c>
      <c r="AE998" s="11" t="str">
        <f>IFERROR(IF(MARÍTIMOS[[#This Row],[Etapa Despacho - Fin de Carga]]="","",MARÍTIMOS[[#This Row],[Etapa Despacho - Fin de Carga]]),"")</f>
        <v/>
      </c>
      <c r="AF998" s="2" t="str">
        <f>IFERROR(IF(MARÍTIMOS[[#This Row],[Puerto de Embarque]]="","",MARÍTIMOS[[#This Row],[Puerto de Embarque]]),"")</f>
        <v/>
      </c>
      <c r="AG998" s="2" t="str">
        <f>IFERROR(IF(MARÍTIMOS[[#This Row],[Almacén de Ingreso]]="","",MARÍTIMOS[[#This Row],[Almacén de Ingreso]]),"")</f>
        <v/>
      </c>
      <c r="AH998" s="11" t="str">
        <f>IFERROR(IF(MARÍTIMOS[[#This Row],[Etapa Ingreso - Cita]]="","",MARÍTIMOS[[#This Row],[Etapa Ingreso - Cita]]),"")</f>
        <v/>
      </c>
      <c r="AI998" s="11" t="str">
        <f>IFERROR(IF(MARÍTIMOS[[#This Row],[Etapa Ingreso - Llegada]]="","",MARÍTIMOS[[#This Row],[Etapa Ingreso - Llegada]]),"")</f>
        <v/>
      </c>
      <c r="AJ998" s="11" t="str">
        <f>IFERROR(IF(MARÍTIMOS[[#This Row],[Etapa Ingreso - Ingeso]]="","",MARÍTIMOS[[#This Row],[Etapa Ingreso - Ingeso]]),"")</f>
        <v/>
      </c>
      <c r="AK998" s="11" t="str">
        <f>IFERROR(IF(MARÍTIMOS[[#This Row],[Etapa Ingreso - Atención]]="","",MARÍTIMOS[[#This Row],[Etapa Ingreso - Atención]]),"")</f>
        <v/>
      </c>
      <c r="AL998" s="11" t="str">
        <f>IFERROR(IF(MARÍTIMOS[[#This Row],[Etapa Ingreso - Salida]]="","",MARÍTIMOS[[#This Row],[Etapa Ingreso - Salida]]),"")</f>
        <v/>
      </c>
      <c r="AM998" s="2" t="str">
        <f>IFERROR(IF(MARÍTIMOS[[#This Row],[FCL]]="","",MARÍTIMOS[[#This Row],[FCL]]),"")</f>
        <v/>
      </c>
      <c r="AN9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8" s="4" t="str" cm="1">
        <f t="array" ref="AO9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8" s="5" t="str">
        <f>IFERROR(OLDBD[[#This Row],[Llegada a packing]]-OLDBD[[#This Row],[Inicio de Ruta]],"")</f>
        <v/>
      </c>
      <c r="AQ998" s="6" t="str">
        <f>IFERROR(OLDBD[[#This Row],[Inicio de Ruta]]-OLDBD[[#This Row],[Salida de almacén de retiro]],"")</f>
        <v/>
      </c>
      <c r="AR9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8" s="8" t="str" cm="1">
        <f t="array" ref="AS9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8" s="9" t="str">
        <f>IFERROR(OLDBD[[#This Row],[Ingreso Packing]]-OLDBD[[#This Row],[Registro en Packing]],"")</f>
        <v/>
      </c>
      <c r="AV998" s="9" t="str">
        <f>IFERROR(OLDBD[[#This Row],[Ingreso Packing]]-OLDBD[[#This Row],[Llegada a packing]],"")</f>
        <v/>
      </c>
      <c r="AW9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8" s="5" t="str">
        <f>IFERROR(OLDBD[[#This Row],[Llegada Almacén de Ingreso]]-OLDBD[[#This Row],[Salida Packing]],"")</f>
        <v/>
      </c>
      <c r="AY998" s="4" t="str" cm="1">
        <f t="array" ref="AY9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8" s="43" t="s">
        <v>173</v>
      </c>
      <c r="BB998" s="47" t="str">
        <f>IFERROR(IF(MARÍTIMOS[[#This Row],[Estatus]]="","",MARÍTIMOS[[#This Row],[Estatus]]),"")</f>
        <v/>
      </c>
      <c r="BC998" s="43"/>
      <c r="BD998" s="46" t="str">
        <f>IFERROR(OLDBD[[#This Row],[Salida de almacén de retiro]]-OLDBD[[#This Row],[Ingreso Almacén de retiro]],"")</f>
        <v/>
      </c>
      <c r="BE998" s="46" t="str">
        <f>IFERROR(OLDBD[[#This Row],[Fin de Carga]]-OLDBD[[#This Row],[Inicio de Carga]],"")</f>
        <v/>
      </c>
    </row>
    <row r="999" spans="1:57" customFormat="1" hidden="1">
      <c r="A999" s="1"/>
      <c r="B999" s="1" t="str">
        <f>IFERROR(IF(MARÍTIMOS[[#This Row],[PP]]="","",MARÍTIMOS[[#This Row],[PP]]),"")</f>
        <v/>
      </c>
      <c r="C999" s="1" t="str">
        <f>IFERROR(IF(MARÍTIMOS[[#This Row],[Sede]]="","",MARÍTIMOS[[#This Row],[Sede]]),"")</f>
        <v/>
      </c>
      <c r="D999" s="1" t="str">
        <f>IFERROR(IF(MARÍTIMOS[[#This Row],[Instruction]]="","",MARÍTIMOS[[#This Row],[Instruction]]),"")</f>
        <v/>
      </c>
      <c r="E999" s="1"/>
      <c r="F999" s="2" t="str">
        <f>IFERROR(IF(MARÍTIMOS[[#This Row],[Transportista]]="","",MARÍTIMOS[[#This Row],[Transportista]]),"")</f>
        <v/>
      </c>
      <c r="G999" s="2" t="str">
        <f>IFERROR(IF(MARÍTIMOS[[#This Row],[Tercero]]="","",MARÍTIMOS[[#This Row],[Tercero]]),"")</f>
        <v/>
      </c>
      <c r="H999" s="2" t="str">
        <f>IFERROR(IF(MARÍTIMOS[[#This Row],[Razón Social]]="","",MARÍTIMOS[[#This Row],[Razón Social]]),"")</f>
        <v/>
      </c>
      <c r="I999" s="2" t="str">
        <f>IFERROR(IF(MARÍTIMOS[[#This Row],[RUC]]="","",MARÍTIMOS[[#This Row],[RUC]]),"")</f>
        <v/>
      </c>
      <c r="J999" s="2" t="str">
        <f>IFERROR(IF(MARÍTIMOS[[#This Row],[Placa Tracto]]="","",MARÍTIMOS[[#This Row],[Placa Tracto]]),"")</f>
        <v/>
      </c>
      <c r="K999" s="2" t="str">
        <f>IFERROR(IF(MARÍTIMOS[[#This Row],[Placa Carreta]]="","",MARÍTIMOS[[#This Row],[Placa Carreta]]),"")</f>
        <v/>
      </c>
      <c r="L999" s="44" t="str">
        <f>IFERROR(IF(MARÍTIMOS[[#This Row],[Conductor]]="","",MARÍTIMOS[[#This Row],[Conductor]]),"")</f>
        <v/>
      </c>
      <c r="M999" s="2" t="str">
        <f>IFERROR(IF(MARÍTIMOS[[#This Row],[Licencia]]="","",MARÍTIMOS[[#This Row],[Licencia]]),"")</f>
        <v/>
      </c>
      <c r="N999" s="2" t="str">
        <f>IFERROR(IF(MARÍTIMOS[[#This Row],[Número de Contacto]]="","",MARÍTIMOS[[#This Row],[Número de Contacto]]),"")</f>
        <v/>
      </c>
      <c r="O999" s="10" t="str">
        <f>IFERROR(IF(MARÍTIMOS[[#This Row],[Booking|AWB|CRT]]="","",MARÍTIMOS[[#This Row],[Booking|AWB|CRT]]),"")</f>
        <v/>
      </c>
      <c r="P999" s="2" t="str">
        <f>IFERROR(IF(MARÍTIMOS[[#This Row],[Contenedor]]="","",MARÍTIMOS[[#This Row],[Contenedor]]),"")</f>
        <v/>
      </c>
      <c r="Q999" s="2" t="str">
        <f>IFERROR(IF(MARÍTIMOS[[#This Row],[Puerto de Retiro]]="","",MARÍTIMOS[[#This Row],[Puerto de Retiro]]),"")</f>
        <v/>
      </c>
      <c r="R999" s="2" t="str">
        <f>IFERROR(IF(MARÍTIMOS[[#This Row],[Almacén de Retiro]]="","",MARÍTIMOS[[#This Row],[Almacén de Retiro]]),"")</f>
        <v/>
      </c>
      <c r="S999" s="11" t="str">
        <f>IFERROR(IF(MARÍTIMOS[[#This Row],[Etapa Retiro - Cita]]="","",MARÍTIMOS[[#This Row],[Etapa Retiro - Cita]]),"")</f>
        <v/>
      </c>
      <c r="T999" s="11" t="str">
        <f>IFERROR(IF(MARÍTIMOS[[#This Row],[Etapa Retiro - Llegada]]="","",MARÍTIMOS[[#This Row],[Etapa Retiro - Llegada]]),"")</f>
        <v/>
      </c>
      <c r="U999" s="11" t="str">
        <f>IFERROR(IF(MARÍTIMOS[[#This Row],[Etapa Retiro - Ingreso]]="","",MARÍTIMOS[[#This Row],[Etapa Retiro - Ingreso]]),"")</f>
        <v/>
      </c>
      <c r="V999" s="11" t="str">
        <f>IFERROR(IF(MARÍTIMOS[[#This Row],[Etapa Retiro - Atención]]="","",MARÍTIMOS[[#This Row],[Etapa Retiro - Atención]]),"")</f>
        <v/>
      </c>
      <c r="W999" s="11" t="str">
        <f>IFERROR(IF(MARÍTIMOS[[#This Row],[Etapa Retiro - Atención]]="","",MARÍTIMOS[[#This Row],[Etapa Retiro - Atención]]),"")</f>
        <v/>
      </c>
      <c r="X999" s="11" t="str">
        <f>IFERROR(IF(MARÍTIMOS[[#This Row],[Etapa Retiro - Inicio de Ruta]]="","",MARÍTIMOS[[#This Row],[Etapa Retiro - Inicio de Ruta]]),"")</f>
        <v/>
      </c>
      <c r="Y999" s="11" t="str">
        <f>IFERROR(IF(MARÍTIMOS[[#This Row],[Hora de Posicionamiento]]="","",MARÍTIMOS[[#This Row],[Fecha de Carga]]+MARÍTIMOS[[#This Row],[Hora de Posicionamiento]]),"")</f>
        <v/>
      </c>
      <c r="Z999" s="11" t="str">
        <f>IFERROR(IF(MARÍTIMOS[[#This Row],[Etapa Despacho - Llegada]]="","",MARÍTIMOS[[#This Row],[Etapa Despacho - Llegada]]),"")</f>
        <v/>
      </c>
      <c r="AA999" s="11" t="str">
        <f>IFERROR(IF(MARÍTIMOS[[#This Row],[Etapa Despacho - Registro]]="","",MARÍTIMOS[[#This Row],[Etapa Despacho - Registro]]),"")</f>
        <v/>
      </c>
      <c r="AB999" s="11" t="str">
        <f>IFERROR(IF(MARÍTIMOS[[#This Row],[Inspección Externa]]="","",MARÍTIMOS[[#This Row],[Inspección Externa]]),"")</f>
        <v/>
      </c>
      <c r="AC999" s="11" t="str">
        <f>IFERROR(IF(MARÍTIMOS[[#This Row],[Etapa Despacho - Inicio de Carga]]="","",MARÍTIMOS[[#This Row],[Etapa Despacho - Inicio de Carga]]),"")</f>
        <v/>
      </c>
      <c r="AD999" s="11" t="str">
        <f>IFERROR(IF(MARÍTIMOS[[#This Row],[Etapa Despacho - Mitad de Carga]]="","",MARÍTIMOS[[#This Row],[Etapa Despacho - Mitad de Carga]]),"")</f>
        <v/>
      </c>
      <c r="AE999" s="11" t="str">
        <f>IFERROR(IF(MARÍTIMOS[[#This Row],[Etapa Despacho - Fin de Carga]]="","",MARÍTIMOS[[#This Row],[Etapa Despacho - Fin de Carga]]),"")</f>
        <v/>
      </c>
      <c r="AF999" s="2" t="str">
        <f>IFERROR(IF(MARÍTIMOS[[#This Row],[Puerto de Embarque]]="","",MARÍTIMOS[[#This Row],[Puerto de Embarque]]),"")</f>
        <v/>
      </c>
      <c r="AG999" s="2" t="str">
        <f>IFERROR(IF(MARÍTIMOS[[#This Row],[Almacén de Ingreso]]="","",MARÍTIMOS[[#This Row],[Almacén de Ingreso]]),"")</f>
        <v/>
      </c>
      <c r="AH999" s="11" t="str">
        <f>IFERROR(IF(MARÍTIMOS[[#This Row],[Etapa Ingreso - Cita]]="","",MARÍTIMOS[[#This Row],[Etapa Ingreso - Cita]]),"")</f>
        <v/>
      </c>
      <c r="AI999" s="11" t="str">
        <f>IFERROR(IF(MARÍTIMOS[[#This Row],[Etapa Ingreso - Llegada]]="","",MARÍTIMOS[[#This Row],[Etapa Ingreso - Llegada]]),"")</f>
        <v/>
      </c>
      <c r="AJ999" s="11" t="str">
        <f>IFERROR(IF(MARÍTIMOS[[#This Row],[Etapa Ingreso - Ingeso]]="","",MARÍTIMOS[[#This Row],[Etapa Ingreso - Ingeso]]),"")</f>
        <v/>
      </c>
      <c r="AK999" s="11" t="str">
        <f>IFERROR(IF(MARÍTIMOS[[#This Row],[Etapa Ingreso - Atención]]="","",MARÍTIMOS[[#This Row],[Etapa Ingreso - Atención]]),"")</f>
        <v/>
      </c>
      <c r="AL999" s="11" t="str">
        <f>IFERROR(IF(MARÍTIMOS[[#This Row],[Etapa Ingreso - Salida]]="","",MARÍTIMOS[[#This Row],[Etapa Ingreso - Salida]]),"")</f>
        <v/>
      </c>
      <c r="AM999" s="2" t="str">
        <f>IFERROR(IF(MARÍTIMOS[[#This Row],[FCL]]="","",MARÍTIMOS[[#This Row],[FCL]]),"")</f>
        <v/>
      </c>
      <c r="AN9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999" s="4" t="str" cm="1">
        <f t="array" ref="AO9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999" s="5" t="str">
        <f>IFERROR(OLDBD[[#This Row],[Llegada a packing]]-OLDBD[[#This Row],[Inicio de Ruta]],"")</f>
        <v/>
      </c>
      <c r="AQ999" s="6" t="str">
        <f>IFERROR(OLDBD[[#This Row],[Inicio de Ruta]]-OLDBD[[#This Row],[Salida de almacén de retiro]],"")</f>
        <v/>
      </c>
      <c r="AR9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999" s="8" t="str" cm="1">
        <f t="array" ref="AS9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9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999" s="9" t="str">
        <f>IFERROR(OLDBD[[#This Row],[Ingreso Packing]]-OLDBD[[#This Row],[Registro en Packing]],"")</f>
        <v/>
      </c>
      <c r="AV999" s="9" t="str">
        <f>IFERROR(OLDBD[[#This Row],[Ingreso Packing]]-OLDBD[[#This Row],[Llegada a packing]],"")</f>
        <v/>
      </c>
      <c r="AW9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999" s="5" t="str">
        <f>IFERROR(OLDBD[[#This Row],[Llegada Almacén de Ingreso]]-OLDBD[[#This Row],[Salida Packing]],"")</f>
        <v/>
      </c>
      <c r="AY999" s="4" t="str" cm="1">
        <f t="array" ref="AY9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9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999" s="43" t="s">
        <v>173</v>
      </c>
      <c r="BB999" s="47" t="str">
        <f>IFERROR(IF(MARÍTIMOS[[#This Row],[Estatus]]="","",MARÍTIMOS[[#This Row],[Estatus]]),"")</f>
        <v/>
      </c>
      <c r="BC999" s="43"/>
      <c r="BD999" s="46" t="str">
        <f>IFERROR(OLDBD[[#This Row],[Salida de almacén de retiro]]-OLDBD[[#This Row],[Ingreso Almacén de retiro]],"")</f>
        <v/>
      </c>
      <c r="BE999" s="46" t="str">
        <f>IFERROR(OLDBD[[#This Row],[Fin de Carga]]-OLDBD[[#This Row],[Inicio de Carga]],"")</f>
        <v/>
      </c>
    </row>
    <row r="1000" spans="1:57" customFormat="1" hidden="1">
      <c r="A1000" s="1"/>
      <c r="B1000" s="1" t="str">
        <f>IFERROR(IF(MARÍTIMOS[[#This Row],[PP]]="","",MARÍTIMOS[[#This Row],[PP]]),"")</f>
        <v/>
      </c>
      <c r="C1000" s="1" t="str">
        <f>IFERROR(IF(MARÍTIMOS[[#This Row],[Sede]]="","",MARÍTIMOS[[#This Row],[Sede]]),"")</f>
        <v/>
      </c>
      <c r="D1000" s="1" t="str">
        <f>IFERROR(IF(MARÍTIMOS[[#This Row],[Instruction]]="","",MARÍTIMOS[[#This Row],[Instruction]]),"")</f>
        <v/>
      </c>
      <c r="E1000" s="1"/>
      <c r="F1000" s="2" t="str">
        <f>IFERROR(IF(MARÍTIMOS[[#This Row],[Transportista]]="","",MARÍTIMOS[[#This Row],[Transportista]]),"")</f>
        <v/>
      </c>
      <c r="G1000" s="2" t="str">
        <f>IFERROR(IF(MARÍTIMOS[[#This Row],[Tercero]]="","",MARÍTIMOS[[#This Row],[Tercero]]),"")</f>
        <v/>
      </c>
      <c r="H1000" s="2" t="str">
        <f>IFERROR(IF(MARÍTIMOS[[#This Row],[Razón Social]]="","",MARÍTIMOS[[#This Row],[Razón Social]]),"")</f>
        <v/>
      </c>
      <c r="I1000" s="2" t="str">
        <f>IFERROR(IF(MARÍTIMOS[[#This Row],[RUC]]="","",MARÍTIMOS[[#This Row],[RUC]]),"")</f>
        <v/>
      </c>
      <c r="J1000" s="2" t="str">
        <f>IFERROR(IF(MARÍTIMOS[[#This Row],[Placa Tracto]]="","",MARÍTIMOS[[#This Row],[Placa Tracto]]),"")</f>
        <v/>
      </c>
      <c r="K1000" s="2" t="str">
        <f>IFERROR(IF(MARÍTIMOS[[#This Row],[Placa Carreta]]="","",MARÍTIMOS[[#This Row],[Placa Carreta]]),"")</f>
        <v/>
      </c>
      <c r="L1000" s="44" t="str">
        <f>IFERROR(IF(MARÍTIMOS[[#This Row],[Conductor]]="","",MARÍTIMOS[[#This Row],[Conductor]]),"")</f>
        <v/>
      </c>
      <c r="M1000" s="2" t="str">
        <f>IFERROR(IF(MARÍTIMOS[[#This Row],[Licencia]]="","",MARÍTIMOS[[#This Row],[Licencia]]),"")</f>
        <v/>
      </c>
      <c r="N1000" s="2" t="str">
        <f>IFERROR(IF(MARÍTIMOS[[#This Row],[Número de Contacto]]="","",MARÍTIMOS[[#This Row],[Número de Contacto]]),"")</f>
        <v/>
      </c>
      <c r="O1000" s="10" t="str">
        <f>IFERROR(IF(MARÍTIMOS[[#This Row],[Booking|AWB|CRT]]="","",MARÍTIMOS[[#This Row],[Booking|AWB|CRT]]),"")</f>
        <v/>
      </c>
      <c r="P1000" s="2" t="str">
        <f>IFERROR(IF(MARÍTIMOS[[#This Row],[Contenedor]]="","",MARÍTIMOS[[#This Row],[Contenedor]]),"")</f>
        <v/>
      </c>
      <c r="Q1000" s="2" t="str">
        <f>IFERROR(IF(MARÍTIMOS[[#This Row],[Puerto de Retiro]]="","",MARÍTIMOS[[#This Row],[Puerto de Retiro]]),"")</f>
        <v/>
      </c>
      <c r="R1000" s="2" t="str">
        <f>IFERROR(IF(MARÍTIMOS[[#This Row],[Almacén de Retiro]]="","",MARÍTIMOS[[#This Row],[Almacén de Retiro]]),"")</f>
        <v/>
      </c>
      <c r="S1000" s="11" t="str">
        <f>IFERROR(IF(MARÍTIMOS[[#This Row],[Etapa Retiro - Cita]]="","",MARÍTIMOS[[#This Row],[Etapa Retiro - Cita]]),"")</f>
        <v/>
      </c>
      <c r="T1000" s="11" t="str">
        <f>IFERROR(IF(MARÍTIMOS[[#This Row],[Etapa Retiro - Llegada]]="","",MARÍTIMOS[[#This Row],[Etapa Retiro - Llegada]]),"")</f>
        <v/>
      </c>
      <c r="U1000" s="11" t="str">
        <f>IFERROR(IF(MARÍTIMOS[[#This Row],[Etapa Retiro - Ingreso]]="","",MARÍTIMOS[[#This Row],[Etapa Retiro - Ingreso]]),"")</f>
        <v/>
      </c>
      <c r="V1000" s="11" t="str">
        <f>IFERROR(IF(MARÍTIMOS[[#This Row],[Etapa Retiro - Atención]]="","",MARÍTIMOS[[#This Row],[Etapa Retiro - Atención]]),"")</f>
        <v/>
      </c>
      <c r="W1000" s="11" t="str">
        <f>IFERROR(IF(MARÍTIMOS[[#This Row],[Etapa Retiro - Atención]]="","",MARÍTIMOS[[#This Row],[Etapa Retiro - Atención]]),"")</f>
        <v/>
      </c>
      <c r="X1000" s="11" t="str">
        <f>IFERROR(IF(MARÍTIMOS[[#This Row],[Etapa Retiro - Inicio de Ruta]]="","",MARÍTIMOS[[#This Row],[Etapa Retiro - Inicio de Ruta]]),"")</f>
        <v/>
      </c>
      <c r="Y1000" s="11" t="str">
        <f>IFERROR(IF(MARÍTIMOS[[#This Row],[Hora de Posicionamiento]]="","",MARÍTIMOS[[#This Row],[Fecha de Carga]]+MARÍTIMOS[[#This Row],[Hora de Posicionamiento]]),"")</f>
        <v/>
      </c>
      <c r="Z1000" s="11" t="str">
        <f>IFERROR(IF(MARÍTIMOS[[#This Row],[Etapa Despacho - Llegada]]="","",MARÍTIMOS[[#This Row],[Etapa Despacho - Llegada]]),"")</f>
        <v/>
      </c>
      <c r="AA1000" s="11" t="str">
        <f>IFERROR(IF(MARÍTIMOS[[#This Row],[Etapa Despacho - Registro]]="","",MARÍTIMOS[[#This Row],[Etapa Despacho - Registro]]),"")</f>
        <v/>
      </c>
      <c r="AB1000" s="11" t="str">
        <f>IFERROR(IF(MARÍTIMOS[[#This Row],[Inspección Externa]]="","",MARÍTIMOS[[#This Row],[Inspección Externa]]),"")</f>
        <v/>
      </c>
      <c r="AC1000" s="11" t="str">
        <f>IFERROR(IF(MARÍTIMOS[[#This Row],[Etapa Despacho - Inicio de Carga]]="","",MARÍTIMOS[[#This Row],[Etapa Despacho - Inicio de Carga]]),"")</f>
        <v/>
      </c>
      <c r="AD1000" s="11" t="str">
        <f>IFERROR(IF(MARÍTIMOS[[#This Row],[Etapa Despacho - Mitad de Carga]]="","",MARÍTIMOS[[#This Row],[Etapa Despacho - Mitad de Carga]]),"")</f>
        <v/>
      </c>
      <c r="AE1000" s="11" t="str">
        <f>IFERROR(IF(MARÍTIMOS[[#This Row],[Etapa Despacho - Fin de Carga]]="","",MARÍTIMOS[[#This Row],[Etapa Despacho - Fin de Carga]]),"")</f>
        <v/>
      </c>
      <c r="AF1000" s="2" t="str">
        <f>IFERROR(IF(MARÍTIMOS[[#This Row],[Puerto de Embarque]]="","",MARÍTIMOS[[#This Row],[Puerto de Embarque]]),"")</f>
        <v/>
      </c>
      <c r="AG1000" s="2" t="str">
        <f>IFERROR(IF(MARÍTIMOS[[#This Row],[Almacén de Ingreso]]="","",MARÍTIMOS[[#This Row],[Almacén de Ingreso]]),"")</f>
        <v/>
      </c>
      <c r="AH1000" s="11" t="str">
        <f>IFERROR(IF(MARÍTIMOS[[#This Row],[Etapa Ingreso - Cita]]="","",MARÍTIMOS[[#This Row],[Etapa Ingreso - Cita]]),"")</f>
        <v/>
      </c>
      <c r="AI1000" s="11" t="str">
        <f>IFERROR(IF(MARÍTIMOS[[#This Row],[Etapa Ingreso - Llegada]]="","",MARÍTIMOS[[#This Row],[Etapa Ingreso - Llegada]]),"")</f>
        <v/>
      </c>
      <c r="AJ1000" s="11" t="str">
        <f>IFERROR(IF(MARÍTIMOS[[#This Row],[Etapa Ingreso - Ingeso]]="","",MARÍTIMOS[[#This Row],[Etapa Ingreso - Ingeso]]),"")</f>
        <v/>
      </c>
      <c r="AK1000" s="11" t="str">
        <f>IFERROR(IF(MARÍTIMOS[[#This Row],[Etapa Ingreso - Atención]]="","",MARÍTIMOS[[#This Row],[Etapa Ingreso - Atención]]),"")</f>
        <v/>
      </c>
      <c r="AL1000" s="11" t="str">
        <f>IFERROR(IF(MARÍTIMOS[[#This Row],[Etapa Ingreso - Salida]]="","",MARÍTIMOS[[#This Row],[Etapa Ingreso - Salida]]),"")</f>
        <v/>
      </c>
      <c r="AM1000" s="2" t="str">
        <f>IFERROR(IF(MARÍTIMOS[[#This Row],[FCL]]="","",MARÍTIMOS[[#This Row],[FCL]]),"")</f>
        <v/>
      </c>
      <c r="AN100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0" s="4" t="str" cm="1">
        <f t="array" ref="AO100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0" s="5" t="str">
        <f>IFERROR(OLDBD[[#This Row],[Llegada a packing]]-OLDBD[[#This Row],[Inicio de Ruta]],"")</f>
        <v/>
      </c>
      <c r="AQ1000" s="6" t="str">
        <f>IFERROR(OLDBD[[#This Row],[Inicio de Ruta]]-OLDBD[[#This Row],[Salida de almacén de retiro]],"")</f>
        <v/>
      </c>
      <c r="AR100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0" s="8" t="str" cm="1">
        <f t="array" ref="AS100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0" s="9" t="str">
        <f>IFERROR(OLDBD[[#This Row],[Ingreso Packing]]-OLDBD[[#This Row],[Registro en Packing]],"")</f>
        <v/>
      </c>
      <c r="AV1000" s="9" t="str">
        <f>IFERROR(OLDBD[[#This Row],[Ingreso Packing]]-OLDBD[[#This Row],[Llegada a packing]],"")</f>
        <v/>
      </c>
      <c r="AW100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0" s="5" t="str">
        <f>IFERROR(OLDBD[[#This Row],[Llegada Almacén de Ingreso]]-OLDBD[[#This Row],[Salida Packing]],"")</f>
        <v/>
      </c>
      <c r="AY1000" s="4" t="str" cm="1">
        <f t="array" ref="AY100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0" s="43" t="s">
        <v>173</v>
      </c>
      <c r="BB1000" s="47" t="str">
        <f>IFERROR(IF(MARÍTIMOS[[#This Row],[Estatus]]="","",MARÍTIMOS[[#This Row],[Estatus]]),"")</f>
        <v/>
      </c>
      <c r="BC1000" s="43"/>
      <c r="BD1000" s="46" t="str">
        <f>IFERROR(OLDBD[[#This Row],[Salida de almacén de retiro]]-OLDBD[[#This Row],[Ingreso Almacén de retiro]],"")</f>
        <v/>
      </c>
      <c r="BE1000" s="46" t="str">
        <f>IFERROR(OLDBD[[#This Row],[Fin de Carga]]-OLDBD[[#This Row],[Inicio de Carga]],"")</f>
        <v/>
      </c>
    </row>
    <row r="1001" spans="1:57" customFormat="1" hidden="1">
      <c r="A1001" s="1"/>
      <c r="B1001" s="1" t="str">
        <f>IFERROR(IF(MARÍTIMOS[[#This Row],[PP]]="","",MARÍTIMOS[[#This Row],[PP]]),"")</f>
        <v/>
      </c>
      <c r="C1001" s="1" t="str">
        <f>IFERROR(IF(MARÍTIMOS[[#This Row],[Sede]]="","",MARÍTIMOS[[#This Row],[Sede]]),"")</f>
        <v/>
      </c>
      <c r="D1001" s="1" t="str">
        <f>IFERROR(IF(MARÍTIMOS[[#This Row],[Instruction]]="","",MARÍTIMOS[[#This Row],[Instruction]]),"")</f>
        <v/>
      </c>
      <c r="E1001" s="1"/>
      <c r="F1001" s="2" t="str">
        <f>IFERROR(IF(MARÍTIMOS[[#This Row],[Transportista]]="","",MARÍTIMOS[[#This Row],[Transportista]]),"")</f>
        <v/>
      </c>
      <c r="G1001" s="2" t="str">
        <f>IFERROR(IF(MARÍTIMOS[[#This Row],[Tercero]]="","",MARÍTIMOS[[#This Row],[Tercero]]),"")</f>
        <v/>
      </c>
      <c r="H1001" s="2" t="str">
        <f>IFERROR(IF(MARÍTIMOS[[#This Row],[Razón Social]]="","",MARÍTIMOS[[#This Row],[Razón Social]]),"")</f>
        <v/>
      </c>
      <c r="I1001" s="2" t="str">
        <f>IFERROR(IF(MARÍTIMOS[[#This Row],[RUC]]="","",MARÍTIMOS[[#This Row],[RUC]]),"")</f>
        <v/>
      </c>
      <c r="J1001" s="2" t="str">
        <f>IFERROR(IF(MARÍTIMOS[[#This Row],[Placa Tracto]]="","",MARÍTIMOS[[#This Row],[Placa Tracto]]),"")</f>
        <v/>
      </c>
      <c r="K1001" s="2" t="str">
        <f>IFERROR(IF(MARÍTIMOS[[#This Row],[Placa Carreta]]="","",MARÍTIMOS[[#This Row],[Placa Carreta]]),"")</f>
        <v/>
      </c>
      <c r="L1001" s="44" t="str">
        <f>IFERROR(IF(MARÍTIMOS[[#This Row],[Conductor]]="","",MARÍTIMOS[[#This Row],[Conductor]]),"")</f>
        <v/>
      </c>
      <c r="M1001" s="2" t="str">
        <f>IFERROR(IF(MARÍTIMOS[[#This Row],[Licencia]]="","",MARÍTIMOS[[#This Row],[Licencia]]),"")</f>
        <v/>
      </c>
      <c r="N1001" s="2" t="str">
        <f>IFERROR(IF(MARÍTIMOS[[#This Row],[Número de Contacto]]="","",MARÍTIMOS[[#This Row],[Número de Contacto]]),"")</f>
        <v/>
      </c>
      <c r="O1001" s="10" t="str">
        <f>IFERROR(IF(MARÍTIMOS[[#This Row],[Booking|AWB|CRT]]="","",MARÍTIMOS[[#This Row],[Booking|AWB|CRT]]),"")</f>
        <v/>
      </c>
      <c r="P1001" s="2" t="str">
        <f>IFERROR(IF(MARÍTIMOS[[#This Row],[Contenedor]]="","",MARÍTIMOS[[#This Row],[Contenedor]]),"")</f>
        <v/>
      </c>
      <c r="Q1001" s="2" t="str">
        <f>IFERROR(IF(MARÍTIMOS[[#This Row],[Puerto de Retiro]]="","",MARÍTIMOS[[#This Row],[Puerto de Retiro]]),"")</f>
        <v/>
      </c>
      <c r="R1001" s="2" t="str">
        <f>IFERROR(IF(MARÍTIMOS[[#This Row],[Almacén de Retiro]]="","",MARÍTIMOS[[#This Row],[Almacén de Retiro]]),"")</f>
        <v/>
      </c>
      <c r="S1001" s="11" t="str">
        <f>IFERROR(IF(MARÍTIMOS[[#This Row],[Etapa Retiro - Cita]]="","",MARÍTIMOS[[#This Row],[Etapa Retiro - Cita]]),"")</f>
        <v/>
      </c>
      <c r="T1001" s="11" t="str">
        <f>IFERROR(IF(MARÍTIMOS[[#This Row],[Etapa Retiro - Llegada]]="","",MARÍTIMOS[[#This Row],[Etapa Retiro - Llegada]]),"")</f>
        <v/>
      </c>
      <c r="U1001" s="11" t="str">
        <f>IFERROR(IF(MARÍTIMOS[[#This Row],[Etapa Retiro - Ingreso]]="","",MARÍTIMOS[[#This Row],[Etapa Retiro - Ingreso]]),"")</f>
        <v/>
      </c>
      <c r="V1001" s="11" t="str">
        <f>IFERROR(IF(MARÍTIMOS[[#This Row],[Etapa Retiro - Atención]]="","",MARÍTIMOS[[#This Row],[Etapa Retiro - Atención]]),"")</f>
        <v/>
      </c>
      <c r="W1001" s="11" t="str">
        <f>IFERROR(IF(MARÍTIMOS[[#This Row],[Etapa Retiro - Atención]]="","",MARÍTIMOS[[#This Row],[Etapa Retiro - Atención]]),"")</f>
        <v/>
      </c>
      <c r="X1001" s="11" t="str">
        <f>IFERROR(IF(MARÍTIMOS[[#This Row],[Etapa Retiro - Inicio de Ruta]]="","",MARÍTIMOS[[#This Row],[Etapa Retiro - Inicio de Ruta]]),"")</f>
        <v/>
      </c>
      <c r="Y1001" s="11" t="str">
        <f>IFERROR(IF(MARÍTIMOS[[#This Row],[Hora de Posicionamiento]]="","",MARÍTIMOS[[#This Row],[Fecha de Carga]]+MARÍTIMOS[[#This Row],[Hora de Posicionamiento]]),"")</f>
        <v/>
      </c>
      <c r="Z1001" s="11" t="str">
        <f>IFERROR(IF(MARÍTIMOS[[#This Row],[Etapa Despacho - Llegada]]="","",MARÍTIMOS[[#This Row],[Etapa Despacho - Llegada]]),"")</f>
        <v/>
      </c>
      <c r="AA1001" s="11" t="str">
        <f>IFERROR(IF(MARÍTIMOS[[#This Row],[Etapa Despacho - Registro]]="","",MARÍTIMOS[[#This Row],[Etapa Despacho - Registro]]),"")</f>
        <v/>
      </c>
      <c r="AB1001" s="11" t="str">
        <f>IFERROR(IF(MARÍTIMOS[[#This Row],[Inspección Externa]]="","",MARÍTIMOS[[#This Row],[Inspección Externa]]),"")</f>
        <v/>
      </c>
      <c r="AC1001" s="11" t="str">
        <f>IFERROR(IF(MARÍTIMOS[[#This Row],[Etapa Despacho - Inicio de Carga]]="","",MARÍTIMOS[[#This Row],[Etapa Despacho - Inicio de Carga]]),"")</f>
        <v/>
      </c>
      <c r="AD1001" s="11" t="str">
        <f>IFERROR(IF(MARÍTIMOS[[#This Row],[Etapa Despacho - Mitad de Carga]]="","",MARÍTIMOS[[#This Row],[Etapa Despacho - Mitad de Carga]]),"")</f>
        <v/>
      </c>
      <c r="AE1001" s="11" t="str">
        <f>IFERROR(IF(MARÍTIMOS[[#This Row],[Etapa Despacho - Fin de Carga]]="","",MARÍTIMOS[[#This Row],[Etapa Despacho - Fin de Carga]]),"")</f>
        <v/>
      </c>
      <c r="AF1001" s="2" t="str">
        <f>IFERROR(IF(MARÍTIMOS[[#This Row],[Puerto de Embarque]]="","",MARÍTIMOS[[#This Row],[Puerto de Embarque]]),"")</f>
        <v/>
      </c>
      <c r="AG1001" s="2" t="str">
        <f>IFERROR(IF(MARÍTIMOS[[#This Row],[Almacén de Ingreso]]="","",MARÍTIMOS[[#This Row],[Almacén de Ingreso]]),"")</f>
        <v/>
      </c>
      <c r="AH1001" s="11" t="str">
        <f>IFERROR(IF(MARÍTIMOS[[#This Row],[Etapa Ingreso - Cita]]="","",MARÍTIMOS[[#This Row],[Etapa Ingreso - Cita]]),"")</f>
        <v/>
      </c>
      <c r="AI1001" s="11" t="str">
        <f>IFERROR(IF(MARÍTIMOS[[#This Row],[Etapa Ingreso - Llegada]]="","",MARÍTIMOS[[#This Row],[Etapa Ingreso - Llegada]]),"")</f>
        <v/>
      </c>
      <c r="AJ1001" s="11" t="str">
        <f>IFERROR(IF(MARÍTIMOS[[#This Row],[Etapa Ingreso - Ingeso]]="","",MARÍTIMOS[[#This Row],[Etapa Ingreso - Ingeso]]),"")</f>
        <v/>
      </c>
      <c r="AK1001" s="11" t="str">
        <f>IFERROR(IF(MARÍTIMOS[[#This Row],[Etapa Ingreso - Atención]]="","",MARÍTIMOS[[#This Row],[Etapa Ingreso - Atención]]),"")</f>
        <v/>
      </c>
      <c r="AL1001" s="11" t="str">
        <f>IFERROR(IF(MARÍTIMOS[[#This Row],[Etapa Ingreso - Salida]]="","",MARÍTIMOS[[#This Row],[Etapa Ingreso - Salida]]),"")</f>
        <v/>
      </c>
      <c r="AM1001" s="2" t="str">
        <f>IFERROR(IF(MARÍTIMOS[[#This Row],[FCL]]="","",MARÍTIMOS[[#This Row],[FCL]]),"")</f>
        <v/>
      </c>
      <c r="AN100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1" s="4" t="str" cm="1">
        <f t="array" ref="AO100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1" s="5" t="str">
        <f>IFERROR(OLDBD[[#This Row],[Llegada a packing]]-OLDBD[[#This Row],[Inicio de Ruta]],"")</f>
        <v/>
      </c>
      <c r="AQ1001" s="6" t="str">
        <f>IFERROR(OLDBD[[#This Row],[Inicio de Ruta]]-OLDBD[[#This Row],[Salida de almacén de retiro]],"")</f>
        <v/>
      </c>
      <c r="AR100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1" s="8" t="str" cm="1">
        <f t="array" ref="AS100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1" s="9" t="str">
        <f>IFERROR(OLDBD[[#This Row],[Ingreso Packing]]-OLDBD[[#This Row],[Registro en Packing]],"")</f>
        <v/>
      </c>
      <c r="AV1001" s="9" t="str">
        <f>IFERROR(OLDBD[[#This Row],[Ingreso Packing]]-OLDBD[[#This Row],[Llegada a packing]],"")</f>
        <v/>
      </c>
      <c r="AW100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1" s="5" t="str">
        <f>IFERROR(OLDBD[[#This Row],[Llegada Almacén de Ingreso]]-OLDBD[[#This Row],[Salida Packing]],"")</f>
        <v/>
      </c>
      <c r="AY1001" s="4" t="str" cm="1">
        <f t="array" ref="AY100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1" s="43" t="s">
        <v>173</v>
      </c>
      <c r="BB1001" s="47" t="str">
        <f>IFERROR(IF(MARÍTIMOS[[#This Row],[Estatus]]="","",MARÍTIMOS[[#This Row],[Estatus]]),"")</f>
        <v/>
      </c>
      <c r="BC1001" s="43"/>
      <c r="BD1001" s="46" t="str">
        <f>IFERROR(OLDBD[[#This Row],[Salida de almacén de retiro]]-OLDBD[[#This Row],[Ingreso Almacén de retiro]],"")</f>
        <v/>
      </c>
      <c r="BE1001" s="46" t="str">
        <f>IFERROR(OLDBD[[#This Row],[Fin de Carga]]-OLDBD[[#This Row],[Inicio de Carga]],"")</f>
        <v/>
      </c>
    </row>
    <row r="1002" spans="1:57" customFormat="1" hidden="1">
      <c r="A1002" s="1"/>
      <c r="B1002" s="1" t="str">
        <f>IFERROR(IF(MARÍTIMOS[[#This Row],[PP]]="","",MARÍTIMOS[[#This Row],[PP]]),"")</f>
        <v/>
      </c>
      <c r="C1002" s="1" t="str">
        <f>IFERROR(IF(MARÍTIMOS[[#This Row],[Sede]]="","",MARÍTIMOS[[#This Row],[Sede]]),"")</f>
        <v/>
      </c>
      <c r="D1002" s="1" t="str">
        <f>IFERROR(IF(MARÍTIMOS[[#This Row],[Instruction]]="","",MARÍTIMOS[[#This Row],[Instruction]]),"")</f>
        <v/>
      </c>
      <c r="E1002" s="1"/>
      <c r="F1002" s="2" t="str">
        <f>IFERROR(IF(MARÍTIMOS[[#This Row],[Transportista]]="","",MARÍTIMOS[[#This Row],[Transportista]]),"")</f>
        <v/>
      </c>
      <c r="G1002" s="2" t="str">
        <f>IFERROR(IF(MARÍTIMOS[[#This Row],[Tercero]]="","",MARÍTIMOS[[#This Row],[Tercero]]),"")</f>
        <v/>
      </c>
      <c r="H1002" s="2" t="str">
        <f>IFERROR(IF(MARÍTIMOS[[#This Row],[Razón Social]]="","",MARÍTIMOS[[#This Row],[Razón Social]]),"")</f>
        <v/>
      </c>
      <c r="I1002" s="2" t="str">
        <f>IFERROR(IF(MARÍTIMOS[[#This Row],[RUC]]="","",MARÍTIMOS[[#This Row],[RUC]]),"")</f>
        <v/>
      </c>
      <c r="J1002" s="2" t="str">
        <f>IFERROR(IF(MARÍTIMOS[[#This Row],[Placa Tracto]]="","",MARÍTIMOS[[#This Row],[Placa Tracto]]),"")</f>
        <v/>
      </c>
      <c r="K1002" s="2" t="str">
        <f>IFERROR(IF(MARÍTIMOS[[#This Row],[Placa Carreta]]="","",MARÍTIMOS[[#This Row],[Placa Carreta]]),"")</f>
        <v/>
      </c>
      <c r="L1002" s="44" t="str">
        <f>IFERROR(IF(MARÍTIMOS[[#This Row],[Conductor]]="","",MARÍTIMOS[[#This Row],[Conductor]]),"")</f>
        <v/>
      </c>
      <c r="M1002" s="2" t="str">
        <f>IFERROR(IF(MARÍTIMOS[[#This Row],[Licencia]]="","",MARÍTIMOS[[#This Row],[Licencia]]),"")</f>
        <v/>
      </c>
      <c r="N1002" s="2" t="str">
        <f>IFERROR(IF(MARÍTIMOS[[#This Row],[Número de Contacto]]="","",MARÍTIMOS[[#This Row],[Número de Contacto]]),"")</f>
        <v/>
      </c>
      <c r="O1002" s="10" t="str">
        <f>IFERROR(IF(MARÍTIMOS[[#This Row],[Booking|AWB|CRT]]="","",MARÍTIMOS[[#This Row],[Booking|AWB|CRT]]),"")</f>
        <v/>
      </c>
      <c r="P1002" s="2" t="str">
        <f>IFERROR(IF(MARÍTIMOS[[#This Row],[Contenedor]]="","",MARÍTIMOS[[#This Row],[Contenedor]]),"")</f>
        <v/>
      </c>
      <c r="Q1002" s="2" t="str">
        <f>IFERROR(IF(MARÍTIMOS[[#This Row],[Puerto de Retiro]]="","",MARÍTIMOS[[#This Row],[Puerto de Retiro]]),"")</f>
        <v/>
      </c>
      <c r="R1002" s="2" t="str">
        <f>IFERROR(IF(MARÍTIMOS[[#This Row],[Almacén de Retiro]]="","",MARÍTIMOS[[#This Row],[Almacén de Retiro]]),"")</f>
        <v/>
      </c>
      <c r="S1002" s="11" t="str">
        <f>IFERROR(IF(MARÍTIMOS[[#This Row],[Etapa Retiro - Cita]]="","",MARÍTIMOS[[#This Row],[Etapa Retiro - Cita]]),"")</f>
        <v/>
      </c>
      <c r="T1002" s="11" t="str">
        <f>IFERROR(IF(MARÍTIMOS[[#This Row],[Etapa Retiro - Llegada]]="","",MARÍTIMOS[[#This Row],[Etapa Retiro - Llegada]]),"")</f>
        <v/>
      </c>
      <c r="U1002" s="11" t="str">
        <f>IFERROR(IF(MARÍTIMOS[[#This Row],[Etapa Retiro - Ingreso]]="","",MARÍTIMOS[[#This Row],[Etapa Retiro - Ingreso]]),"")</f>
        <v/>
      </c>
      <c r="V1002" s="11" t="str">
        <f>IFERROR(IF(MARÍTIMOS[[#This Row],[Etapa Retiro - Atención]]="","",MARÍTIMOS[[#This Row],[Etapa Retiro - Atención]]),"")</f>
        <v/>
      </c>
      <c r="W1002" s="11" t="str">
        <f>IFERROR(IF(MARÍTIMOS[[#This Row],[Etapa Retiro - Atención]]="","",MARÍTIMOS[[#This Row],[Etapa Retiro - Atención]]),"")</f>
        <v/>
      </c>
      <c r="X1002" s="11" t="str">
        <f>IFERROR(IF(MARÍTIMOS[[#This Row],[Etapa Retiro - Inicio de Ruta]]="","",MARÍTIMOS[[#This Row],[Etapa Retiro - Inicio de Ruta]]),"")</f>
        <v/>
      </c>
      <c r="Y1002" s="11" t="str">
        <f>IFERROR(IF(MARÍTIMOS[[#This Row],[Hora de Posicionamiento]]="","",MARÍTIMOS[[#This Row],[Fecha de Carga]]+MARÍTIMOS[[#This Row],[Hora de Posicionamiento]]),"")</f>
        <v/>
      </c>
      <c r="Z1002" s="11" t="str">
        <f>IFERROR(IF(MARÍTIMOS[[#This Row],[Etapa Despacho - Llegada]]="","",MARÍTIMOS[[#This Row],[Etapa Despacho - Llegada]]),"")</f>
        <v/>
      </c>
      <c r="AA1002" s="11" t="str">
        <f>IFERROR(IF(MARÍTIMOS[[#This Row],[Etapa Despacho - Registro]]="","",MARÍTIMOS[[#This Row],[Etapa Despacho - Registro]]),"")</f>
        <v/>
      </c>
      <c r="AB1002" s="11" t="str">
        <f>IFERROR(IF(MARÍTIMOS[[#This Row],[Inspección Externa]]="","",MARÍTIMOS[[#This Row],[Inspección Externa]]),"")</f>
        <v/>
      </c>
      <c r="AC1002" s="11" t="str">
        <f>IFERROR(IF(MARÍTIMOS[[#This Row],[Etapa Despacho - Inicio de Carga]]="","",MARÍTIMOS[[#This Row],[Etapa Despacho - Inicio de Carga]]),"")</f>
        <v/>
      </c>
      <c r="AD1002" s="11" t="str">
        <f>IFERROR(IF(MARÍTIMOS[[#This Row],[Etapa Despacho - Mitad de Carga]]="","",MARÍTIMOS[[#This Row],[Etapa Despacho - Mitad de Carga]]),"")</f>
        <v/>
      </c>
      <c r="AE1002" s="11" t="str">
        <f>IFERROR(IF(MARÍTIMOS[[#This Row],[Etapa Despacho - Fin de Carga]]="","",MARÍTIMOS[[#This Row],[Etapa Despacho - Fin de Carga]]),"")</f>
        <v/>
      </c>
      <c r="AF1002" s="2" t="str">
        <f>IFERROR(IF(MARÍTIMOS[[#This Row],[Puerto de Embarque]]="","",MARÍTIMOS[[#This Row],[Puerto de Embarque]]),"")</f>
        <v/>
      </c>
      <c r="AG1002" s="2" t="str">
        <f>IFERROR(IF(MARÍTIMOS[[#This Row],[Almacén de Ingreso]]="","",MARÍTIMOS[[#This Row],[Almacén de Ingreso]]),"")</f>
        <v/>
      </c>
      <c r="AH1002" s="11" t="str">
        <f>IFERROR(IF(MARÍTIMOS[[#This Row],[Etapa Ingreso - Cita]]="","",MARÍTIMOS[[#This Row],[Etapa Ingreso - Cita]]),"")</f>
        <v/>
      </c>
      <c r="AI1002" s="11" t="str">
        <f>IFERROR(IF(MARÍTIMOS[[#This Row],[Etapa Ingreso - Llegada]]="","",MARÍTIMOS[[#This Row],[Etapa Ingreso - Llegada]]),"")</f>
        <v/>
      </c>
      <c r="AJ1002" s="11" t="str">
        <f>IFERROR(IF(MARÍTIMOS[[#This Row],[Etapa Ingreso - Ingeso]]="","",MARÍTIMOS[[#This Row],[Etapa Ingreso - Ingeso]]),"")</f>
        <v/>
      </c>
      <c r="AK1002" s="11" t="str">
        <f>IFERROR(IF(MARÍTIMOS[[#This Row],[Etapa Ingreso - Atención]]="","",MARÍTIMOS[[#This Row],[Etapa Ingreso - Atención]]),"")</f>
        <v/>
      </c>
      <c r="AL1002" s="11" t="str">
        <f>IFERROR(IF(MARÍTIMOS[[#This Row],[Etapa Ingreso - Salida]]="","",MARÍTIMOS[[#This Row],[Etapa Ingreso - Salida]]),"")</f>
        <v/>
      </c>
      <c r="AM1002" s="2" t="str">
        <f>IFERROR(IF(MARÍTIMOS[[#This Row],[FCL]]="","",MARÍTIMOS[[#This Row],[FCL]]),"")</f>
        <v/>
      </c>
      <c r="AN100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2" s="4" t="str" cm="1">
        <f t="array" ref="AO100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2" s="5" t="str">
        <f>IFERROR(OLDBD[[#This Row],[Llegada a packing]]-OLDBD[[#This Row],[Inicio de Ruta]],"")</f>
        <v/>
      </c>
      <c r="AQ1002" s="6" t="str">
        <f>IFERROR(OLDBD[[#This Row],[Inicio de Ruta]]-OLDBD[[#This Row],[Salida de almacén de retiro]],"")</f>
        <v/>
      </c>
      <c r="AR100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2" s="8" t="str" cm="1">
        <f t="array" ref="AS100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2" s="9" t="str">
        <f>IFERROR(OLDBD[[#This Row],[Ingreso Packing]]-OLDBD[[#This Row],[Registro en Packing]],"")</f>
        <v/>
      </c>
      <c r="AV1002" s="9" t="str">
        <f>IFERROR(OLDBD[[#This Row],[Ingreso Packing]]-OLDBD[[#This Row],[Llegada a packing]],"")</f>
        <v/>
      </c>
      <c r="AW100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2" s="5" t="str">
        <f>IFERROR(OLDBD[[#This Row],[Llegada Almacén de Ingreso]]-OLDBD[[#This Row],[Salida Packing]],"")</f>
        <v/>
      </c>
      <c r="AY1002" s="4" t="str" cm="1">
        <f t="array" ref="AY100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2" s="43" t="s">
        <v>173</v>
      </c>
      <c r="BB1002" s="47" t="str">
        <f>IFERROR(IF(MARÍTIMOS[[#This Row],[Estatus]]="","",MARÍTIMOS[[#This Row],[Estatus]]),"")</f>
        <v/>
      </c>
      <c r="BC1002" s="43"/>
      <c r="BD1002" s="46" t="str">
        <f>IFERROR(OLDBD[[#This Row],[Salida de almacén de retiro]]-OLDBD[[#This Row],[Ingreso Almacén de retiro]],"")</f>
        <v/>
      </c>
      <c r="BE1002" s="46" t="str">
        <f>IFERROR(OLDBD[[#This Row],[Fin de Carga]]-OLDBD[[#This Row],[Inicio de Carga]],"")</f>
        <v/>
      </c>
    </row>
    <row r="1003" spans="1:57" customFormat="1" hidden="1">
      <c r="A1003" s="1"/>
      <c r="B1003" s="1" t="str">
        <f>IFERROR(IF(MARÍTIMOS[[#This Row],[PP]]="","",MARÍTIMOS[[#This Row],[PP]]),"")</f>
        <v/>
      </c>
      <c r="C1003" s="1" t="str">
        <f>IFERROR(IF(MARÍTIMOS[[#This Row],[Sede]]="","",MARÍTIMOS[[#This Row],[Sede]]),"")</f>
        <v/>
      </c>
      <c r="D1003" s="1" t="str">
        <f>IFERROR(IF(MARÍTIMOS[[#This Row],[Instruction]]="","",MARÍTIMOS[[#This Row],[Instruction]]),"")</f>
        <v/>
      </c>
      <c r="E1003" s="1"/>
      <c r="F1003" s="2" t="str">
        <f>IFERROR(IF(MARÍTIMOS[[#This Row],[Transportista]]="","",MARÍTIMOS[[#This Row],[Transportista]]),"")</f>
        <v/>
      </c>
      <c r="G1003" s="2" t="str">
        <f>IFERROR(IF(MARÍTIMOS[[#This Row],[Tercero]]="","",MARÍTIMOS[[#This Row],[Tercero]]),"")</f>
        <v/>
      </c>
      <c r="H1003" s="2" t="str">
        <f>IFERROR(IF(MARÍTIMOS[[#This Row],[Razón Social]]="","",MARÍTIMOS[[#This Row],[Razón Social]]),"")</f>
        <v/>
      </c>
      <c r="I1003" s="2" t="str">
        <f>IFERROR(IF(MARÍTIMOS[[#This Row],[RUC]]="","",MARÍTIMOS[[#This Row],[RUC]]),"")</f>
        <v/>
      </c>
      <c r="J1003" s="2" t="str">
        <f>IFERROR(IF(MARÍTIMOS[[#This Row],[Placa Tracto]]="","",MARÍTIMOS[[#This Row],[Placa Tracto]]),"")</f>
        <v/>
      </c>
      <c r="K1003" s="2" t="str">
        <f>IFERROR(IF(MARÍTIMOS[[#This Row],[Placa Carreta]]="","",MARÍTIMOS[[#This Row],[Placa Carreta]]),"")</f>
        <v/>
      </c>
      <c r="L1003" s="44" t="str">
        <f>IFERROR(IF(MARÍTIMOS[[#This Row],[Conductor]]="","",MARÍTIMOS[[#This Row],[Conductor]]),"")</f>
        <v/>
      </c>
      <c r="M1003" s="2" t="str">
        <f>IFERROR(IF(MARÍTIMOS[[#This Row],[Licencia]]="","",MARÍTIMOS[[#This Row],[Licencia]]),"")</f>
        <v/>
      </c>
      <c r="N1003" s="2" t="str">
        <f>IFERROR(IF(MARÍTIMOS[[#This Row],[Número de Contacto]]="","",MARÍTIMOS[[#This Row],[Número de Contacto]]),"")</f>
        <v/>
      </c>
      <c r="O1003" s="10" t="str">
        <f>IFERROR(IF(MARÍTIMOS[[#This Row],[Booking|AWB|CRT]]="","",MARÍTIMOS[[#This Row],[Booking|AWB|CRT]]),"")</f>
        <v/>
      </c>
      <c r="P1003" s="2" t="str">
        <f>IFERROR(IF(MARÍTIMOS[[#This Row],[Contenedor]]="","",MARÍTIMOS[[#This Row],[Contenedor]]),"")</f>
        <v/>
      </c>
      <c r="Q1003" s="2" t="str">
        <f>IFERROR(IF(MARÍTIMOS[[#This Row],[Puerto de Retiro]]="","",MARÍTIMOS[[#This Row],[Puerto de Retiro]]),"")</f>
        <v/>
      </c>
      <c r="R1003" s="2" t="str">
        <f>IFERROR(IF(MARÍTIMOS[[#This Row],[Almacén de Retiro]]="","",MARÍTIMOS[[#This Row],[Almacén de Retiro]]),"")</f>
        <v/>
      </c>
      <c r="S1003" s="11" t="str">
        <f>IFERROR(IF(MARÍTIMOS[[#This Row],[Etapa Retiro - Cita]]="","",MARÍTIMOS[[#This Row],[Etapa Retiro - Cita]]),"")</f>
        <v/>
      </c>
      <c r="T1003" s="11" t="str">
        <f>IFERROR(IF(MARÍTIMOS[[#This Row],[Etapa Retiro - Llegada]]="","",MARÍTIMOS[[#This Row],[Etapa Retiro - Llegada]]),"")</f>
        <v/>
      </c>
      <c r="U1003" s="11" t="str">
        <f>IFERROR(IF(MARÍTIMOS[[#This Row],[Etapa Retiro - Ingreso]]="","",MARÍTIMOS[[#This Row],[Etapa Retiro - Ingreso]]),"")</f>
        <v/>
      </c>
      <c r="V1003" s="11" t="str">
        <f>IFERROR(IF(MARÍTIMOS[[#This Row],[Etapa Retiro - Atención]]="","",MARÍTIMOS[[#This Row],[Etapa Retiro - Atención]]),"")</f>
        <v/>
      </c>
      <c r="W1003" s="11" t="str">
        <f>IFERROR(IF(MARÍTIMOS[[#This Row],[Etapa Retiro - Atención]]="","",MARÍTIMOS[[#This Row],[Etapa Retiro - Atención]]),"")</f>
        <v/>
      </c>
      <c r="X1003" s="11" t="str">
        <f>IFERROR(IF(MARÍTIMOS[[#This Row],[Etapa Retiro - Inicio de Ruta]]="","",MARÍTIMOS[[#This Row],[Etapa Retiro - Inicio de Ruta]]),"")</f>
        <v/>
      </c>
      <c r="Y1003" s="11" t="str">
        <f>IFERROR(IF(MARÍTIMOS[[#This Row],[Hora de Posicionamiento]]="","",MARÍTIMOS[[#This Row],[Fecha de Carga]]+MARÍTIMOS[[#This Row],[Hora de Posicionamiento]]),"")</f>
        <v/>
      </c>
      <c r="Z1003" s="11" t="str">
        <f>IFERROR(IF(MARÍTIMOS[[#This Row],[Etapa Despacho - Llegada]]="","",MARÍTIMOS[[#This Row],[Etapa Despacho - Llegada]]),"")</f>
        <v/>
      </c>
      <c r="AA1003" s="11" t="str">
        <f>IFERROR(IF(MARÍTIMOS[[#This Row],[Etapa Despacho - Registro]]="","",MARÍTIMOS[[#This Row],[Etapa Despacho - Registro]]),"")</f>
        <v/>
      </c>
      <c r="AB1003" s="11" t="str">
        <f>IFERROR(IF(MARÍTIMOS[[#This Row],[Inspección Externa]]="","",MARÍTIMOS[[#This Row],[Inspección Externa]]),"")</f>
        <v/>
      </c>
      <c r="AC1003" s="11" t="str">
        <f>IFERROR(IF(MARÍTIMOS[[#This Row],[Etapa Despacho - Inicio de Carga]]="","",MARÍTIMOS[[#This Row],[Etapa Despacho - Inicio de Carga]]),"")</f>
        <v/>
      </c>
      <c r="AD1003" s="11" t="str">
        <f>IFERROR(IF(MARÍTIMOS[[#This Row],[Etapa Despacho - Mitad de Carga]]="","",MARÍTIMOS[[#This Row],[Etapa Despacho - Mitad de Carga]]),"")</f>
        <v/>
      </c>
      <c r="AE1003" s="11" t="str">
        <f>IFERROR(IF(MARÍTIMOS[[#This Row],[Etapa Despacho - Fin de Carga]]="","",MARÍTIMOS[[#This Row],[Etapa Despacho - Fin de Carga]]),"")</f>
        <v/>
      </c>
      <c r="AF1003" s="2" t="str">
        <f>IFERROR(IF(MARÍTIMOS[[#This Row],[Puerto de Embarque]]="","",MARÍTIMOS[[#This Row],[Puerto de Embarque]]),"")</f>
        <v/>
      </c>
      <c r="AG1003" s="2" t="str">
        <f>IFERROR(IF(MARÍTIMOS[[#This Row],[Almacén de Ingreso]]="","",MARÍTIMOS[[#This Row],[Almacén de Ingreso]]),"")</f>
        <v/>
      </c>
      <c r="AH1003" s="11" t="str">
        <f>IFERROR(IF(MARÍTIMOS[[#This Row],[Etapa Ingreso - Cita]]="","",MARÍTIMOS[[#This Row],[Etapa Ingreso - Cita]]),"")</f>
        <v/>
      </c>
      <c r="AI1003" s="11" t="str">
        <f>IFERROR(IF(MARÍTIMOS[[#This Row],[Etapa Ingreso - Llegada]]="","",MARÍTIMOS[[#This Row],[Etapa Ingreso - Llegada]]),"")</f>
        <v/>
      </c>
      <c r="AJ1003" s="11" t="str">
        <f>IFERROR(IF(MARÍTIMOS[[#This Row],[Etapa Ingreso - Ingeso]]="","",MARÍTIMOS[[#This Row],[Etapa Ingreso - Ingeso]]),"")</f>
        <v/>
      </c>
      <c r="AK1003" s="11" t="str">
        <f>IFERROR(IF(MARÍTIMOS[[#This Row],[Etapa Ingreso - Atención]]="","",MARÍTIMOS[[#This Row],[Etapa Ingreso - Atención]]),"")</f>
        <v/>
      </c>
      <c r="AL1003" s="11" t="str">
        <f>IFERROR(IF(MARÍTIMOS[[#This Row],[Etapa Ingreso - Salida]]="","",MARÍTIMOS[[#This Row],[Etapa Ingreso - Salida]]),"")</f>
        <v/>
      </c>
      <c r="AM1003" s="2" t="str">
        <f>IFERROR(IF(MARÍTIMOS[[#This Row],[FCL]]="","",MARÍTIMOS[[#This Row],[FCL]]),"")</f>
        <v/>
      </c>
      <c r="AN100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3" s="4" t="str" cm="1">
        <f t="array" ref="AO100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3" s="5" t="str">
        <f>IFERROR(OLDBD[[#This Row],[Llegada a packing]]-OLDBD[[#This Row],[Inicio de Ruta]],"")</f>
        <v/>
      </c>
      <c r="AQ1003" s="6" t="str">
        <f>IFERROR(OLDBD[[#This Row],[Inicio de Ruta]]-OLDBD[[#This Row],[Salida de almacén de retiro]],"")</f>
        <v/>
      </c>
      <c r="AR100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3" s="8" t="str" cm="1">
        <f t="array" ref="AS100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3" s="9" t="str">
        <f>IFERROR(OLDBD[[#This Row],[Ingreso Packing]]-OLDBD[[#This Row],[Registro en Packing]],"")</f>
        <v/>
      </c>
      <c r="AV1003" s="9" t="str">
        <f>IFERROR(OLDBD[[#This Row],[Ingreso Packing]]-OLDBD[[#This Row],[Llegada a packing]],"")</f>
        <v/>
      </c>
      <c r="AW100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3" s="5" t="str">
        <f>IFERROR(OLDBD[[#This Row],[Llegada Almacén de Ingreso]]-OLDBD[[#This Row],[Salida Packing]],"")</f>
        <v/>
      </c>
      <c r="AY1003" s="4" t="str" cm="1">
        <f t="array" ref="AY100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3" s="43" t="s">
        <v>173</v>
      </c>
      <c r="BB1003" s="47" t="str">
        <f>IFERROR(IF(MARÍTIMOS[[#This Row],[Estatus]]="","",MARÍTIMOS[[#This Row],[Estatus]]),"")</f>
        <v/>
      </c>
      <c r="BC1003" s="43"/>
      <c r="BD1003" s="46" t="str">
        <f>IFERROR(OLDBD[[#This Row],[Salida de almacén de retiro]]-OLDBD[[#This Row],[Ingreso Almacén de retiro]],"")</f>
        <v/>
      </c>
      <c r="BE1003" s="46" t="str">
        <f>IFERROR(OLDBD[[#This Row],[Fin de Carga]]-OLDBD[[#This Row],[Inicio de Carga]],"")</f>
        <v/>
      </c>
    </row>
    <row r="1004" spans="1:57" customFormat="1" hidden="1">
      <c r="A1004" s="1"/>
      <c r="B1004" s="1" t="str">
        <f>IFERROR(IF(MARÍTIMOS[[#This Row],[PP]]="","",MARÍTIMOS[[#This Row],[PP]]),"")</f>
        <v/>
      </c>
      <c r="C1004" s="1" t="str">
        <f>IFERROR(IF(MARÍTIMOS[[#This Row],[Sede]]="","",MARÍTIMOS[[#This Row],[Sede]]),"")</f>
        <v/>
      </c>
      <c r="D1004" s="1" t="str">
        <f>IFERROR(IF(MARÍTIMOS[[#This Row],[Instruction]]="","",MARÍTIMOS[[#This Row],[Instruction]]),"")</f>
        <v/>
      </c>
      <c r="E1004" s="1"/>
      <c r="F1004" s="2" t="str">
        <f>IFERROR(IF(MARÍTIMOS[[#This Row],[Transportista]]="","",MARÍTIMOS[[#This Row],[Transportista]]),"")</f>
        <v/>
      </c>
      <c r="G1004" s="2" t="str">
        <f>IFERROR(IF(MARÍTIMOS[[#This Row],[Tercero]]="","",MARÍTIMOS[[#This Row],[Tercero]]),"")</f>
        <v/>
      </c>
      <c r="H1004" s="2" t="str">
        <f>IFERROR(IF(MARÍTIMOS[[#This Row],[Razón Social]]="","",MARÍTIMOS[[#This Row],[Razón Social]]),"")</f>
        <v/>
      </c>
      <c r="I1004" s="2" t="str">
        <f>IFERROR(IF(MARÍTIMOS[[#This Row],[RUC]]="","",MARÍTIMOS[[#This Row],[RUC]]),"")</f>
        <v/>
      </c>
      <c r="J1004" s="2" t="str">
        <f>IFERROR(IF(MARÍTIMOS[[#This Row],[Placa Tracto]]="","",MARÍTIMOS[[#This Row],[Placa Tracto]]),"")</f>
        <v/>
      </c>
      <c r="K1004" s="2" t="str">
        <f>IFERROR(IF(MARÍTIMOS[[#This Row],[Placa Carreta]]="","",MARÍTIMOS[[#This Row],[Placa Carreta]]),"")</f>
        <v/>
      </c>
      <c r="L1004" s="44" t="str">
        <f>IFERROR(IF(MARÍTIMOS[[#This Row],[Conductor]]="","",MARÍTIMOS[[#This Row],[Conductor]]),"")</f>
        <v/>
      </c>
      <c r="M1004" s="2" t="str">
        <f>IFERROR(IF(MARÍTIMOS[[#This Row],[Licencia]]="","",MARÍTIMOS[[#This Row],[Licencia]]),"")</f>
        <v/>
      </c>
      <c r="N1004" s="2" t="str">
        <f>IFERROR(IF(MARÍTIMOS[[#This Row],[Número de Contacto]]="","",MARÍTIMOS[[#This Row],[Número de Contacto]]),"")</f>
        <v/>
      </c>
      <c r="O1004" s="10" t="str">
        <f>IFERROR(IF(MARÍTIMOS[[#This Row],[Booking|AWB|CRT]]="","",MARÍTIMOS[[#This Row],[Booking|AWB|CRT]]),"")</f>
        <v/>
      </c>
      <c r="P1004" s="2" t="str">
        <f>IFERROR(IF(MARÍTIMOS[[#This Row],[Contenedor]]="","",MARÍTIMOS[[#This Row],[Contenedor]]),"")</f>
        <v/>
      </c>
      <c r="Q1004" s="2" t="str">
        <f>IFERROR(IF(MARÍTIMOS[[#This Row],[Puerto de Retiro]]="","",MARÍTIMOS[[#This Row],[Puerto de Retiro]]),"")</f>
        <v/>
      </c>
      <c r="R1004" s="2" t="str">
        <f>IFERROR(IF(MARÍTIMOS[[#This Row],[Almacén de Retiro]]="","",MARÍTIMOS[[#This Row],[Almacén de Retiro]]),"")</f>
        <v/>
      </c>
      <c r="S1004" s="11" t="str">
        <f>IFERROR(IF(MARÍTIMOS[[#This Row],[Etapa Retiro - Cita]]="","",MARÍTIMOS[[#This Row],[Etapa Retiro - Cita]]),"")</f>
        <v/>
      </c>
      <c r="T1004" s="11" t="str">
        <f>IFERROR(IF(MARÍTIMOS[[#This Row],[Etapa Retiro - Llegada]]="","",MARÍTIMOS[[#This Row],[Etapa Retiro - Llegada]]),"")</f>
        <v/>
      </c>
      <c r="U1004" s="11" t="str">
        <f>IFERROR(IF(MARÍTIMOS[[#This Row],[Etapa Retiro - Ingreso]]="","",MARÍTIMOS[[#This Row],[Etapa Retiro - Ingreso]]),"")</f>
        <v/>
      </c>
      <c r="V1004" s="11" t="str">
        <f>IFERROR(IF(MARÍTIMOS[[#This Row],[Etapa Retiro - Atención]]="","",MARÍTIMOS[[#This Row],[Etapa Retiro - Atención]]),"")</f>
        <v/>
      </c>
      <c r="W1004" s="11" t="str">
        <f>IFERROR(IF(MARÍTIMOS[[#This Row],[Etapa Retiro - Atención]]="","",MARÍTIMOS[[#This Row],[Etapa Retiro - Atención]]),"")</f>
        <v/>
      </c>
      <c r="X1004" s="11" t="str">
        <f>IFERROR(IF(MARÍTIMOS[[#This Row],[Etapa Retiro - Inicio de Ruta]]="","",MARÍTIMOS[[#This Row],[Etapa Retiro - Inicio de Ruta]]),"")</f>
        <v/>
      </c>
      <c r="Y1004" s="11" t="str">
        <f>IFERROR(IF(MARÍTIMOS[[#This Row],[Hora de Posicionamiento]]="","",MARÍTIMOS[[#This Row],[Fecha de Carga]]+MARÍTIMOS[[#This Row],[Hora de Posicionamiento]]),"")</f>
        <v/>
      </c>
      <c r="Z1004" s="11" t="str">
        <f>IFERROR(IF(MARÍTIMOS[[#This Row],[Etapa Despacho - Llegada]]="","",MARÍTIMOS[[#This Row],[Etapa Despacho - Llegada]]),"")</f>
        <v/>
      </c>
      <c r="AA1004" s="11" t="str">
        <f>IFERROR(IF(MARÍTIMOS[[#This Row],[Etapa Despacho - Registro]]="","",MARÍTIMOS[[#This Row],[Etapa Despacho - Registro]]),"")</f>
        <v/>
      </c>
      <c r="AB1004" s="11" t="str">
        <f>IFERROR(IF(MARÍTIMOS[[#This Row],[Inspección Externa]]="","",MARÍTIMOS[[#This Row],[Inspección Externa]]),"")</f>
        <v/>
      </c>
      <c r="AC1004" s="11" t="str">
        <f>IFERROR(IF(MARÍTIMOS[[#This Row],[Etapa Despacho - Inicio de Carga]]="","",MARÍTIMOS[[#This Row],[Etapa Despacho - Inicio de Carga]]),"")</f>
        <v/>
      </c>
      <c r="AD1004" s="11" t="str">
        <f>IFERROR(IF(MARÍTIMOS[[#This Row],[Etapa Despacho - Mitad de Carga]]="","",MARÍTIMOS[[#This Row],[Etapa Despacho - Mitad de Carga]]),"")</f>
        <v/>
      </c>
      <c r="AE1004" s="11" t="str">
        <f>IFERROR(IF(MARÍTIMOS[[#This Row],[Etapa Despacho - Fin de Carga]]="","",MARÍTIMOS[[#This Row],[Etapa Despacho - Fin de Carga]]),"")</f>
        <v/>
      </c>
      <c r="AF1004" s="2" t="str">
        <f>IFERROR(IF(MARÍTIMOS[[#This Row],[Puerto de Embarque]]="","",MARÍTIMOS[[#This Row],[Puerto de Embarque]]),"")</f>
        <v/>
      </c>
      <c r="AG1004" s="2" t="str">
        <f>IFERROR(IF(MARÍTIMOS[[#This Row],[Almacén de Ingreso]]="","",MARÍTIMOS[[#This Row],[Almacén de Ingreso]]),"")</f>
        <v/>
      </c>
      <c r="AH1004" s="11" t="str">
        <f>IFERROR(IF(MARÍTIMOS[[#This Row],[Etapa Ingreso - Cita]]="","",MARÍTIMOS[[#This Row],[Etapa Ingreso - Cita]]),"")</f>
        <v/>
      </c>
      <c r="AI1004" s="11" t="str">
        <f>IFERROR(IF(MARÍTIMOS[[#This Row],[Etapa Ingreso - Llegada]]="","",MARÍTIMOS[[#This Row],[Etapa Ingreso - Llegada]]),"")</f>
        <v/>
      </c>
      <c r="AJ1004" s="11" t="str">
        <f>IFERROR(IF(MARÍTIMOS[[#This Row],[Etapa Ingreso - Ingeso]]="","",MARÍTIMOS[[#This Row],[Etapa Ingreso - Ingeso]]),"")</f>
        <v/>
      </c>
      <c r="AK1004" s="11" t="str">
        <f>IFERROR(IF(MARÍTIMOS[[#This Row],[Etapa Ingreso - Atención]]="","",MARÍTIMOS[[#This Row],[Etapa Ingreso - Atención]]),"")</f>
        <v/>
      </c>
      <c r="AL1004" s="11" t="str">
        <f>IFERROR(IF(MARÍTIMOS[[#This Row],[Etapa Ingreso - Salida]]="","",MARÍTIMOS[[#This Row],[Etapa Ingreso - Salida]]),"")</f>
        <v/>
      </c>
      <c r="AM1004" s="2" t="str">
        <f>IFERROR(IF(MARÍTIMOS[[#This Row],[FCL]]="","",MARÍTIMOS[[#This Row],[FCL]]),"")</f>
        <v/>
      </c>
      <c r="AN100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4" s="4" t="str" cm="1">
        <f t="array" ref="AO100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4" s="5" t="str">
        <f>IFERROR(OLDBD[[#This Row],[Llegada a packing]]-OLDBD[[#This Row],[Inicio de Ruta]],"")</f>
        <v/>
      </c>
      <c r="AQ1004" s="6" t="str">
        <f>IFERROR(OLDBD[[#This Row],[Inicio de Ruta]]-OLDBD[[#This Row],[Salida de almacén de retiro]],"")</f>
        <v/>
      </c>
      <c r="AR100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4" s="8" t="str" cm="1">
        <f t="array" ref="AS100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4" s="9" t="str">
        <f>IFERROR(OLDBD[[#This Row],[Ingreso Packing]]-OLDBD[[#This Row],[Registro en Packing]],"")</f>
        <v/>
      </c>
      <c r="AV1004" s="9" t="str">
        <f>IFERROR(OLDBD[[#This Row],[Ingreso Packing]]-OLDBD[[#This Row],[Llegada a packing]],"")</f>
        <v/>
      </c>
      <c r="AW100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4" s="5" t="str">
        <f>IFERROR(OLDBD[[#This Row],[Llegada Almacén de Ingreso]]-OLDBD[[#This Row],[Salida Packing]],"")</f>
        <v/>
      </c>
      <c r="AY1004" s="4" t="str" cm="1">
        <f t="array" ref="AY100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4" s="43" t="s">
        <v>173</v>
      </c>
      <c r="BB1004" s="47" t="str">
        <f>IFERROR(IF(MARÍTIMOS[[#This Row],[Estatus]]="","",MARÍTIMOS[[#This Row],[Estatus]]),"")</f>
        <v/>
      </c>
      <c r="BC1004" s="43"/>
      <c r="BD1004" s="46" t="str">
        <f>IFERROR(OLDBD[[#This Row],[Salida de almacén de retiro]]-OLDBD[[#This Row],[Ingreso Almacén de retiro]],"")</f>
        <v/>
      </c>
      <c r="BE1004" s="46" t="str">
        <f>IFERROR(OLDBD[[#This Row],[Fin de Carga]]-OLDBD[[#This Row],[Inicio de Carga]],"")</f>
        <v/>
      </c>
    </row>
    <row r="1005" spans="1:57" customFormat="1" hidden="1">
      <c r="A1005" s="1"/>
      <c r="B1005" s="1" t="str">
        <f>IFERROR(IF(MARÍTIMOS[[#This Row],[PP]]="","",MARÍTIMOS[[#This Row],[PP]]),"")</f>
        <v/>
      </c>
      <c r="C1005" s="1" t="str">
        <f>IFERROR(IF(MARÍTIMOS[[#This Row],[Sede]]="","",MARÍTIMOS[[#This Row],[Sede]]),"")</f>
        <v/>
      </c>
      <c r="D1005" s="1" t="str">
        <f>IFERROR(IF(MARÍTIMOS[[#This Row],[Instruction]]="","",MARÍTIMOS[[#This Row],[Instruction]]),"")</f>
        <v/>
      </c>
      <c r="E1005" s="1"/>
      <c r="F1005" s="2" t="str">
        <f>IFERROR(IF(MARÍTIMOS[[#This Row],[Transportista]]="","",MARÍTIMOS[[#This Row],[Transportista]]),"")</f>
        <v/>
      </c>
      <c r="G1005" s="2" t="str">
        <f>IFERROR(IF(MARÍTIMOS[[#This Row],[Tercero]]="","",MARÍTIMOS[[#This Row],[Tercero]]),"")</f>
        <v/>
      </c>
      <c r="H1005" s="2" t="str">
        <f>IFERROR(IF(MARÍTIMOS[[#This Row],[Razón Social]]="","",MARÍTIMOS[[#This Row],[Razón Social]]),"")</f>
        <v/>
      </c>
      <c r="I1005" s="2" t="str">
        <f>IFERROR(IF(MARÍTIMOS[[#This Row],[RUC]]="","",MARÍTIMOS[[#This Row],[RUC]]),"")</f>
        <v/>
      </c>
      <c r="J1005" s="2" t="str">
        <f>IFERROR(IF(MARÍTIMOS[[#This Row],[Placa Tracto]]="","",MARÍTIMOS[[#This Row],[Placa Tracto]]),"")</f>
        <v/>
      </c>
      <c r="K1005" s="2" t="str">
        <f>IFERROR(IF(MARÍTIMOS[[#This Row],[Placa Carreta]]="","",MARÍTIMOS[[#This Row],[Placa Carreta]]),"")</f>
        <v/>
      </c>
      <c r="L1005" s="44" t="str">
        <f>IFERROR(IF(MARÍTIMOS[[#This Row],[Conductor]]="","",MARÍTIMOS[[#This Row],[Conductor]]),"")</f>
        <v/>
      </c>
      <c r="M1005" s="2" t="str">
        <f>IFERROR(IF(MARÍTIMOS[[#This Row],[Licencia]]="","",MARÍTIMOS[[#This Row],[Licencia]]),"")</f>
        <v/>
      </c>
      <c r="N1005" s="2" t="str">
        <f>IFERROR(IF(MARÍTIMOS[[#This Row],[Número de Contacto]]="","",MARÍTIMOS[[#This Row],[Número de Contacto]]),"")</f>
        <v/>
      </c>
      <c r="O1005" s="10" t="str">
        <f>IFERROR(IF(MARÍTIMOS[[#This Row],[Booking|AWB|CRT]]="","",MARÍTIMOS[[#This Row],[Booking|AWB|CRT]]),"")</f>
        <v/>
      </c>
      <c r="P1005" s="2" t="str">
        <f>IFERROR(IF(MARÍTIMOS[[#This Row],[Contenedor]]="","",MARÍTIMOS[[#This Row],[Contenedor]]),"")</f>
        <v/>
      </c>
      <c r="Q1005" s="2" t="str">
        <f>IFERROR(IF(MARÍTIMOS[[#This Row],[Puerto de Retiro]]="","",MARÍTIMOS[[#This Row],[Puerto de Retiro]]),"")</f>
        <v/>
      </c>
      <c r="R1005" s="2" t="str">
        <f>IFERROR(IF(MARÍTIMOS[[#This Row],[Almacén de Retiro]]="","",MARÍTIMOS[[#This Row],[Almacén de Retiro]]),"")</f>
        <v/>
      </c>
      <c r="S1005" s="11" t="str">
        <f>IFERROR(IF(MARÍTIMOS[[#This Row],[Etapa Retiro - Cita]]="","",MARÍTIMOS[[#This Row],[Etapa Retiro - Cita]]),"")</f>
        <v/>
      </c>
      <c r="T1005" s="11" t="str">
        <f>IFERROR(IF(MARÍTIMOS[[#This Row],[Etapa Retiro - Llegada]]="","",MARÍTIMOS[[#This Row],[Etapa Retiro - Llegada]]),"")</f>
        <v/>
      </c>
      <c r="U1005" s="11" t="str">
        <f>IFERROR(IF(MARÍTIMOS[[#This Row],[Etapa Retiro - Ingreso]]="","",MARÍTIMOS[[#This Row],[Etapa Retiro - Ingreso]]),"")</f>
        <v/>
      </c>
      <c r="V1005" s="11" t="str">
        <f>IFERROR(IF(MARÍTIMOS[[#This Row],[Etapa Retiro - Atención]]="","",MARÍTIMOS[[#This Row],[Etapa Retiro - Atención]]),"")</f>
        <v/>
      </c>
      <c r="W1005" s="11" t="str">
        <f>IFERROR(IF(MARÍTIMOS[[#This Row],[Etapa Retiro - Atención]]="","",MARÍTIMOS[[#This Row],[Etapa Retiro - Atención]]),"")</f>
        <v/>
      </c>
      <c r="X1005" s="11" t="str">
        <f>IFERROR(IF(MARÍTIMOS[[#This Row],[Etapa Retiro - Inicio de Ruta]]="","",MARÍTIMOS[[#This Row],[Etapa Retiro - Inicio de Ruta]]),"")</f>
        <v/>
      </c>
      <c r="Y1005" s="11" t="str">
        <f>IFERROR(IF(MARÍTIMOS[[#This Row],[Hora de Posicionamiento]]="","",MARÍTIMOS[[#This Row],[Fecha de Carga]]+MARÍTIMOS[[#This Row],[Hora de Posicionamiento]]),"")</f>
        <v/>
      </c>
      <c r="Z1005" s="11" t="str">
        <f>IFERROR(IF(MARÍTIMOS[[#This Row],[Etapa Despacho - Llegada]]="","",MARÍTIMOS[[#This Row],[Etapa Despacho - Llegada]]),"")</f>
        <v/>
      </c>
      <c r="AA1005" s="11" t="str">
        <f>IFERROR(IF(MARÍTIMOS[[#This Row],[Etapa Despacho - Registro]]="","",MARÍTIMOS[[#This Row],[Etapa Despacho - Registro]]),"")</f>
        <v/>
      </c>
      <c r="AB1005" s="11" t="str">
        <f>IFERROR(IF(MARÍTIMOS[[#This Row],[Inspección Externa]]="","",MARÍTIMOS[[#This Row],[Inspección Externa]]),"")</f>
        <v/>
      </c>
      <c r="AC1005" s="11" t="str">
        <f>IFERROR(IF(MARÍTIMOS[[#This Row],[Etapa Despacho - Inicio de Carga]]="","",MARÍTIMOS[[#This Row],[Etapa Despacho - Inicio de Carga]]),"")</f>
        <v/>
      </c>
      <c r="AD1005" s="11" t="str">
        <f>IFERROR(IF(MARÍTIMOS[[#This Row],[Etapa Despacho - Mitad de Carga]]="","",MARÍTIMOS[[#This Row],[Etapa Despacho - Mitad de Carga]]),"")</f>
        <v/>
      </c>
      <c r="AE1005" s="11" t="str">
        <f>IFERROR(IF(MARÍTIMOS[[#This Row],[Etapa Despacho - Fin de Carga]]="","",MARÍTIMOS[[#This Row],[Etapa Despacho - Fin de Carga]]),"")</f>
        <v/>
      </c>
      <c r="AF1005" s="2" t="str">
        <f>IFERROR(IF(MARÍTIMOS[[#This Row],[Puerto de Embarque]]="","",MARÍTIMOS[[#This Row],[Puerto de Embarque]]),"")</f>
        <v/>
      </c>
      <c r="AG1005" s="2" t="str">
        <f>IFERROR(IF(MARÍTIMOS[[#This Row],[Almacén de Ingreso]]="","",MARÍTIMOS[[#This Row],[Almacén de Ingreso]]),"")</f>
        <v/>
      </c>
      <c r="AH1005" s="11" t="str">
        <f>IFERROR(IF(MARÍTIMOS[[#This Row],[Etapa Ingreso - Cita]]="","",MARÍTIMOS[[#This Row],[Etapa Ingreso - Cita]]),"")</f>
        <v/>
      </c>
      <c r="AI1005" s="11" t="str">
        <f>IFERROR(IF(MARÍTIMOS[[#This Row],[Etapa Ingreso - Llegada]]="","",MARÍTIMOS[[#This Row],[Etapa Ingreso - Llegada]]),"")</f>
        <v/>
      </c>
      <c r="AJ1005" s="11" t="str">
        <f>IFERROR(IF(MARÍTIMOS[[#This Row],[Etapa Ingreso - Ingeso]]="","",MARÍTIMOS[[#This Row],[Etapa Ingreso - Ingeso]]),"")</f>
        <v/>
      </c>
      <c r="AK1005" s="11" t="str">
        <f>IFERROR(IF(MARÍTIMOS[[#This Row],[Etapa Ingreso - Atención]]="","",MARÍTIMOS[[#This Row],[Etapa Ingreso - Atención]]),"")</f>
        <v/>
      </c>
      <c r="AL1005" s="11" t="str">
        <f>IFERROR(IF(MARÍTIMOS[[#This Row],[Etapa Ingreso - Salida]]="","",MARÍTIMOS[[#This Row],[Etapa Ingreso - Salida]]),"")</f>
        <v/>
      </c>
      <c r="AM1005" s="2" t="str">
        <f>IFERROR(IF(MARÍTIMOS[[#This Row],[FCL]]="","",MARÍTIMOS[[#This Row],[FCL]]),"")</f>
        <v/>
      </c>
      <c r="AN100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5" s="4" t="str" cm="1">
        <f t="array" ref="AO100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5" s="5" t="str">
        <f>IFERROR(OLDBD[[#This Row],[Llegada a packing]]-OLDBD[[#This Row],[Inicio de Ruta]],"")</f>
        <v/>
      </c>
      <c r="AQ1005" s="6" t="str">
        <f>IFERROR(OLDBD[[#This Row],[Inicio de Ruta]]-OLDBD[[#This Row],[Salida de almacén de retiro]],"")</f>
        <v/>
      </c>
      <c r="AR100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5" s="8" t="str" cm="1">
        <f t="array" ref="AS100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5" s="9" t="str">
        <f>IFERROR(OLDBD[[#This Row],[Ingreso Packing]]-OLDBD[[#This Row],[Registro en Packing]],"")</f>
        <v/>
      </c>
      <c r="AV1005" s="9" t="str">
        <f>IFERROR(OLDBD[[#This Row],[Ingreso Packing]]-OLDBD[[#This Row],[Llegada a packing]],"")</f>
        <v/>
      </c>
      <c r="AW100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5" s="5" t="str">
        <f>IFERROR(OLDBD[[#This Row],[Llegada Almacén de Ingreso]]-OLDBD[[#This Row],[Salida Packing]],"")</f>
        <v/>
      </c>
      <c r="AY1005" s="4" t="str" cm="1">
        <f t="array" ref="AY100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5" s="43" t="s">
        <v>173</v>
      </c>
      <c r="BB1005" s="47" t="str">
        <f>IFERROR(IF(MARÍTIMOS[[#This Row],[Estatus]]="","",MARÍTIMOS[[#This Row],[Estatus]]),"")</f>
        <v/>
      </c>
      <c r="BC1005" s="43"/>
      <c r="BD1005" s="46" t="str">
        <f>IFERROR(OLDBD[[#This Row],[Salida de almacén de retiro]]-OLDBD[[#This Row],[Ingreso Almacén de retiro]],"")</f>
        <v/>
      </c>
      <c r="BE1005" s="46" t="str">
        <f>IFERROR(OLDBD[[#This Row],[Fin de Carga]]-OLDBD[[#This Row],[Inicio de Carga]],"")</f>
        <v/>
      </c>
    </row>
    <row r="1006" spans="1:57" customFormat="1" hidden="1">
      <c r="A1006" s="1"/>
      <c r="B1006" s="1" t="str">
        <f>IFERROR(IF(MARÍTIMOS[[#This Row],[PP]]="","",MARÍTIMOS[[#This Row],[PP]]),"")</f>
        <v/>
      </c>
      <c r="C1006" s="1" t="str">
        <f>IFERROR(IF(MARÍTIMOS[[#This Row],[Sede]]="","",MARÍTIMOS[[#This Row],[Sede]]),"")</f>
        <v/>
      </c>
      <c r="D1006" s="1" t="str">
        <f>IFERROR(IF(MARÍTIMOS[[#This Row],[Instruction]]="","",MARÍTIMOS[[#This Row],[Instruction]]),"")</f>
        <v/>
      </c>
      <c r="E1006" s="1"/>
      <c r="F1006" s="2" t="str">
        <f>IFERROR(IF(MARÍTIMOS[[#This Row],[Transportista]]="","",MARÍTIMOS[[#This Row],[Transportista]]),"")</f>
        <v/>
      </c>
      <c r="G1006" s="2" t="str">
        <f>IFERROR(IF(MARÍTIMOS[[#This Row],[Tercero]]="","",MARÍTIMOS[[#This Row],[Tercero]]),"")</f>
        <v/>
      </c>
      <c r="H1006" s="2" t="str">
        <f>IFERROR(IF(MARÍTIMOS[[#This Row],[Razón Social]]="","",MARÍTIMOS[[#This Row],[Razón Social]]),"")</f>
        <v/>
      </c>
      <c r="I1006" s="2" t="str">
        <f>IFERROR(IF(MARÍTIMOS[[#This Row],[RUC]]="","",MARÍTIMOS[[#This Row],[RUC]]),"")</f>
        <v/>
      </c>
      <c r="J1006" s="2" t="str">
        <f>IFERROR(IF(MARÍTIMOS[[#This Row],[Placa Tracto]]="","",MARÍTIMOS[[#This Row],[Placa Tracto]]),"")</f>
        <v/>
      </c>
      <c r="K1006" s="2" t="str">
        <f>IFERROR(IF(MARÍTIMOS[[#This Row],[Placa Carreta]]="","",MARÍTIMOS[[#This Row],[Placa Carreta]]),"")</f>
        <v/>
      </c>
      <c r="L1006" s="44" t="str">
        <f>IFERROR(IF(MARÍTIMOS[[#This Row],[Conductor]]="","",MARÍTIMOS[[#This Row],[Conductor]]),"")</f>
        <v/>
      </c>
      <c r="M1006" s="2" t="str">
        <f>IFERROR(IF(MARÍTIMOS[[#This Row],[Licencia]]="","",MARÍTIMOS[[#This Row],[Licencia]]),"")</f>
        <v/>
      </c>
      <c r="N1006" s="2" t="str">
        <f>IFERROR(IF(MARÍTIMOS[[#This Row],[Número de Contacto]]="","",MARÍTIMOS[[#This Row],[Número de Contacto]]),"")</f>
        <v/>
      </c>
      <c r="O1006" s="10" t="str">
        <f>IFERROR(IF(MARÍTIMOS[[#This Row],[Booking|AWB|CRT]]="","",MARÍTIMOS[[#This Row],[Booking|AWB|CRT]]),"")</f>
        <v/>
      </c>
      <c r="P1006" s="2" t="str">
        <f>IFERROR(IF(MARÍTIMOS[[#This Row],[Contenedor]]="","",MARÍTIMOS[[#This Row],[Contenedor]]),"")</f>
        <v/>
      </c>
      <c r="Q1006" s="2" t="str">
        <f>IFERROR(IF(MARÍTIMOS[[#This Row],[Puerto de Retiro]]="","",MARÍTIMOS[[#This Row],[Puerto de Retiro]]),"")</f>
        <v/>
      </c>
      <c r="R1006" s="2" t="str">
        <f>IFERROR(IF(MARÍTIMOS[[#This Row],[Almacén de Retiro]]="","",MARÍTIMOS[[#This Row],[Almacén de Retiro]]),"")</f>
        <v/>
      </c>
      <c r="S1006" s="11" t="str">
        <f>IFERROR(IF(MARÍTIMOS[[#This Row],[Etapa Retiro - Cita]]="","",MARÍTIMOS[[#This Row],[Etapa Retiro - Cita]]),"")</f>
        <v/>
      </c>
      <c r="T1006" s="11" t="str">
        <f>IFERROR(IF(MARÍTIMOS[[#This Row],[Etapa Retiro - Llegada]]="","",MARÍTIMOS[[#This Row],[Etapa Retiro - Llegada]]),"")</f>
        <v/>
      </c>
      <c r="U1006" s="11" t="str">
        <f>IFERROR(IF(MARÍTIMOS[[#This Row],[Etapa Retiro - Ingreso]]="","",MARÍTIMOS[[#This Row],[Etapa Retiro - Ingreso]]),"")</f>
        <v/>
      </c>
      <c r="V1006" s="11" t="str">
        <f>IFERROR(IF(MARÍTIMOS[[#This Row],[Etapa Retiro - Atención]]="","",MARÍTIMOS[[#This Row],[Etapa Retiro - Atención]]),"")</f>
        <v/>
      </c>
      <c r="W1006" s="11" t="str">
        <f>IFERROR(IF(MARÍTIMOS[[#This Row],[Etapa Retiro - Atención]]="","",MARÍTIMOS[[#This Row],[Etapa Retiro - Atención]]),"")</f>
        <v/>
      </c>
      <c r="X1006" s="11" t="str">
        <f>IFERROR(IF(MARÍTIMOS[[#This Row],[Etapa Retiro - Inicio de Ruta]]="","",MARÍTIMOS[[#This Row],[Etapa Retiro - Inicio de Ruta]]),"")</f>
        <v/>
      </c>
      <c r="Y1006" s="11" t="str">
        <f>IFERROR(IF(MARÍTIMOS[[#This Row],[Hora de Posicionamiento]]="","",MARÍTIMOS[[#This Row],[Fecha de Carga]]+MARÍTIMOS[[#This Row],[Hora de Posicionamiento]]),"")</f>
        <v/>
      </c>
      <c r="Z1006" s="11" t="str">
        <f>IFERROR(IF(MARÍTIMOS[[#This Row],[Etapa Despacho - Llegada]]="","",MARÍTIMOS[[#This Row],[Etapa Despacho - Llegada]]),"")</f>
        <v/>
      </c>
      <c r="AA1006" s="11" t="str">
        <f>IFERROR(IF(MARÍTIMOS[[#This Row],[Etapa Despacho - Registro]]="","",MARÍTIMOS[[#This Row],[Etapa Despacho - Registro]]),"")</f>
        <v/>
      </c>
      <c r="AB1006" s="11" t="str">
        <f>IFERROR(IF(MARÍTIMOS[[#This Row],[Inspección Externa]]="","",MARÍTIMOS[[#This Row],[Inspección Externa]]),"")</f>
        <v/>
      </c>
      <c r="AC1006" s="11" t="str">
        <f>IFERROR(IF(MARÍTIMOS[[#This Row],[Etapa Despacho - Inicio de Carga]]="","",MARÍTIMOS[[#This Row],[Etapa Despacho - Inicio de Carga]]),"")</f>
        <v/>
      </c>
      <c r="AD1006" s="11" t="str">
        <f>IFERROR(IF(MARÍTIMOS[[#This Row],[Etapa Despacho - Mitad de Carga]]="","",MARÍTIMOS[[#This Row],[Etapa Despacho - Mitad de Carga]]),"")</f>
        <v/>
      </c>
      <c r="AE1006" s="11" t="str">
        <f>IFERROR(IF(MARÍTIMOS[[#This Row],[Etapa Despacho - Fin de Carga]]="","",MARÍTIMOS[[#This Row],[Etapa Despacho - Fin de Carga]]),"")</f>
        <v/>
      </c>
      <c r="AF1006" s="2" t="str">
        <f>IFERROR(IF(MARÍTIMOS[[#This Row],[Puerto de Embarque]]="","",MARÍTIMOS[[#This Row],[Puerto de Embarque]]),"")</f>
        <v/>
      </c>
      <c r="AG1006" s="2" t="str">
        <f>IFERROR(IF(MARÍTIMOS[[#This Row],[Almacén de Ingreso]]="","",MARÍTIMOS[[#This Row],[Almacén de Ingreso]]),"")</f>
        <v/>
      </c>
      <c r="AH1006" s="11" t="str">
        <f>IFERROR(IF(MARÍTIMOS[[#This Row],[Etapa Ingreso - Cita]]="","",MARÍTIMOS[[#This Row],[Etapa Ingreso - Cita]]),"")</f>
        <v/>
      </c>
      <c r="AI1006" s="11" t="str">
        <f>IFERROR(IF(MARÍTIMOS[[#This Row],[Etapa Ingreso - Llegada]]="","",MARÍTIMOS[[#This Row],[Etapa Ingreso - Llegada]]),"")</f>
        <v/>
      </c>
      <c r="AJ1006" s="11" t="str">
        <f>IFERROR(IF(MARÍTIMOS[[#This Row],[Etapa Ingreso - Ingeso]]="","",MARÍTIMOS[[#This Row],[Etapa Ingreso - Ingeso]]),"")</f>
        <v/>
      </c>
      <c r="AK1006" s="11" t="str">
        <f>IFERROR(IF(MARÍTIMOS[[#This Row],[Etapa Ingreso - Atención]]="","",MARÍTIMOS[[#This Row],[Etapa Ingreso - Atención]]),"")</f>
        <v/>
      </c>
      <c r="AL1006" s="11" t="str">
        <f>IFERROR(IF(MARÍTIMOS[[#This Row],[Etapa Ingreso - Salida]]="","",MARÍTIMOS[[#This Row],[Etapa Ingreso - Salida]]),"")</f>
        <v/>
      </c>
      <c r="AM1006" s="2" t="str">
        <f>IFERROR(IF(MARÍTIMOS[[#This Row],[FCL]]="","",MARÍTIMOS[[#This Row],[FCL]]),"")</f>
        <v/>
      </c>
      <c r="AN100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6" s="4" t="str" cm="1">
        <f t="array" ref="AO100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6" s="5" t="str">
        <f>IFERROR(OLDBD[[#This Row],[Llegada a packing]]-OLDBD[[#This Row],[Inicio de Ruta]],"")</f>
        <v/>
      </c>
      <c r="AQ1006" s="6" t="str">
        <f>IFERROR(OLDBD[[#This Row],[Inicio de Ruta]]-OLDBD[[#This Row],[Salida de almacén de retiro]],"")</f>
        <v/>
      </c>
      <c r="AR100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6" s="8" t="str" cm="1">
        <f t="array" ref="AS100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6" s="9" t="str">
        <f>IFERROR(OLDBD[[#This Row],[Ingreso Packing]]-OLDBD[[#This Row],[Registro en Packing]],"")</f>
        <v/>
      </c>
      <c r="AV1006" s="9" t="str">
        <f>IFERROR(OLDBD[[#This Row],[Ingreso Packing]]-OLDBD[[#This Row],[Llegada a packing]],"")</f>
        <v/>
      </c>
      <c r="AW100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6" s="5" t="str">
        <f>IFERROR(OLDBD[[#This Row],[Llegada Almacén de Ingreso]]-OLDBD[[#This Row],[Salida Packing]],"")</f>
        <v/>
      </c>
      <c r="AY1006" s="4" t="str" cm="1">
        <f t="array" ref="AY100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6" s="43" t="s">
        <v>173</v>
      </c>
      <c r="BB1006" s="47" t="str">
        <f>IFERROR(IF(MARÍTIMOS[[#This Row],[Estatus]]="","",MARÍTIMOS[[#This Row],[Estatus]]),"")</f>
        <v/>
      </c>
      <c r="BC1006" s="43"/>
      <c r="BD1006" s="46" t="str">
        <f>IFERROR(OLDBD[[#This Row],[Salida de almacén de retiro]]-OLDBD[[#This Row],[Ingreso Almacén de retiro]],"")</f>
        <v/>
      </c>
      <c r="BE1006" s="46" t="str">
        <f>IFERROR(OLDBD[[#This Row],[Fin de Carga]]-OLDBD[[#This Row],[Inicio de Carga]],"")</f>
        <v/>
      </c>
    </row>
    <row r="1007" spans="1:57" customFormat="1" hidden="1">
      <c r="A1007" s="1"/>
      <c r="B1007" s="1" t="str">
        <f>IFERROR(IF(MARÍTIMOS[[#This Row],[PP]]="","",MARÍTIMOS[[#This Row],[PP]]),"")</f>
        <v/>
      </c>
      <c r="C1007" s="1" t="str">
        <f>IFERROR(IF(MARÍTIMOS[[#This Row],[Sede]]="","",MARÍTIMOS[[#This Row],[Sede]]),"")</f>
        <v/>
      </c>
      <c r="D1007" s="1" t="str">
        <f>IFERROR(IF(MARÍTIMOS[[#This Row],[Instruction]]="","",MARÍTIMOS[[#This Row],[Instruction]]),"")</f>
        <v/>
      </c>
      <c r="E1007" s="1"/>
      <c r="F1007" s="2" t="str">
        <f>IFERROR(IF(MARÍTIMOS[[#This Row],[Transportista]]="","",MARÍTIMOS[[#This Row],[Transportista]]),"")</f>
        <v/>
      </c>
      <c r="G1007" s="2" t="str">
        <f>IFERROR(IF(MARÍTIMOS[[#This Row],[Tercero]]="","",MARÍTIMOS[[#This Row],[Tercero]]),"")</f>
        <v/>
      </c>
      <c r="H1007" s="2" t="str">
        <f>IFERROR(IF(MARÍTIMOS[[#This Row],[Razón Social]]="","",MARÍTIMOS[[#This Row],[Razón Social]]),"")</f>
        <v/>
      </c>
      <c r="I1007" s="2" t="str">
        <f>IFERROR(IF(MARÍTIMOS[[#This Row],[RUC]]="","",MARÍTIMOS[[#This Row],[RUC]]),"")</f>
        <v/>
      </c>
      <c r="J1007" s="2" t="str">
        <f>IFERROR(IF(MARÍTIMOS[[#This Row],[Placa Tracto]]="","",MARÍTIMOS[[#This Row],[Placa Tracto]]),"")</f>
        <v/>
      </c>
      <c r="K1007" s="2" t="str">
        <f>IFERROR(IF(MARÍTIMOS[[#This Row],[Placa Carreta]]="","",MARÍTIMOS[[#This Row],[Placa Carreta]]),"")</f>
        <v/>
      </c>
      <c r="L1007" s="44" t="str">
        <f>IFERROR(IF(MARÍTIMOS[[#This Row],[Conductor]]="","",MARÍTIMOS[[#This Row],[Conductor]]),"")</f>
        <v/>
      </c>
      <c r="M1007" s="2" t="str">
        <f>IFERROR(IF(MARÍTIMOS[[#This Row],[Licencia]]="","",MARÍTIMOS[[#This Row],[Licencia]]),"")</f>
        <v/>
      </c>
      <c r="N1007" s="2" t="str">
        <f>IFERROR(IF(MARÍTIMOS[[#This Row],[Número de Contacto]]="","",MARÍTIMOS[[#This Row],[Número de Contacto]]),"")</f>
        <v/>
      </c>
      <c r="O1007" s="10" t="str">
        <f>IFERROR(IF(MARÍTIMOS[[#This Row],[Booking|AWB|CRT]]="","",MARÍTIMOS[[#This Row],[Booking|AWB|CRT]]),"")</f>
        <v/>
      </c>
      <c r="P1007" s="2" t="str">
        <f>IFERROR(IF(MARÍTIMOS[[#This Row],[Contenedor]]="","",MARÍTIMOS[[#This Row],[Contenedor]]),"")</f>
        <v/>
      </c>
      <c r="Q1007" s="2" t="str">
        <f>IFERROR(IF(MARÍTIMOS[[#This Row],[Puerto de Retiro]]="","",MARÍTIMOS[[#This Row],[Puerto de Retiro]]),"")</f>
        <v/>
      </c>
      <c r="R1007" s="2" t="str">
        <f>IFERROR(IF(MARÍTIMOS[[#This Row],[Almacén de Retiro]]="","",MARÍTIMOS[[#This Row],[Almacén de Retiro]]),"")</f>
        <v/>
      </c>
      <c r="S1007" s="11" t="str">
        <f>IFERROR(IF(MARÍTIMOS[[#This Row],[Etapa Retiro - Cita]]="","",MARÍTIMOS[[#This Row],[Etapa Retiro - Cita]]),"")</f>
        <v/>
      </c>
      <c r="T1007" s="11" t="str">
        <f>IFERROR(IF(MARÍTIMOS[[#This Row],[Etapa Retiro - Llegada]]="","",MARÍTIMOS[[#This Row],[Etapa Retiro - Llegada]]),"")</f>
        <v/>
      </c>
      <c r="U1007" s="11" t="str">
        <f>IFERROR(IF(MARÍTIMOS[[#This Row],[Etapa Retiro - Ingreso]]="","",MARÍTIMOS[[#This Row],[Etapa Retiro - Ingreso]]),"")</f>
        <v/>
      </c>
      <c r="V1007" s="11" t="str">
        <f>IFERROR(IF(MARÍTIMOS[[#This Row],[Etapa Retiro - Atención]]="","",MARÍTIMOS[[#This Row],[Etapa Retiro - Atención]]),"")</f>
        <v/>
      </c>
      <c r="W1007" s="11" t="str">
        <f>IFERROR(IF(MARÍTIMOS[[#This Row],[Etapa Retiro - Atención]]="","",MARÍTIMOS[[#This Row],[Etapa Retiro - Atención]]),"")</f>
        <v/>
      </c>
      <c r="X1007" s="11" t="str">
        <f>IFERROR(IF(MARÍTIMOS[[#This Row],[Etapa Retiro - Inicio de Ruta]]="","",MARÍTIMOS[[#This Row],[Etapa Retiro - Inicio de Ruta]]),"")</f>
        <v/>
      </c>
      <c r="Y1007" s="11" t="str">
        <f>IFERROR(IF(MARÍTIMOS[[#This Row],[Hora de Posicionamiento]]="","",MARÍTIMOS[[#This Row],[Fecha de Carga]]+MARÍTIMOS[[#This Row],[Hora de Posicionamiento]]),"")</f>
        <v/>
      </c>
      <c r="Z1007" s="11" t="str">
        <f>IFERROR(IF(MARÍTIMOS[[#This Row],[Etapa Despacho - Llegada]]="","",MARÍTIMOS[[#This Row],[Etapa Despacho - Llegada]]),"")</f>
        <v/>
      </c>
      <c r="AA1007" s="11" t="str">
        <f>IFERROR(IF(MARÍTIMOS[[#This Row],[Etapa Despacho - Registro]]="","",MARÍTIMOS[[#This Row],[Etapa Despacho - Registro]]),"")</f>
        <v/>
      </c>
      <c r="AB1007" s="11" t="str">
        <f>IFERROR(IF(MARÍTIMOS[[#This Row],[Inspección Externa]]="","",MARÍTIMOS[[#This Row],[Inspección Externa]]),"")</f>
        <v/>
      </c>
      <c r="AC1007" s="11" t="str">
        <f>IFERROR(IF(MARÍTIMOS[[#This Row],[Etapa Despacho - Inicio de Carga]]="","",MARÍTIMOS[[#This Row],[Etapa Despacho - Inicio de Carga]]),"")</f>
        <v/>
      </c>
      <c r="AD1007" s="11" t="str">
        <f>IFERROR(IF(MARÍTIMOS[[#This Row],[Etapa Despacho - Mitad de Carga]]="","",MARÍTIMOS[[#This Row],[Etapa Despacho - Mitad de Carga]]),"")</f>
        <v/>
      </c>
      <c r="AE1007" s="11" t="str">
        <f>IFERROR(IF(MARÍTIMOS[[#This Row],[Etapa Despacho - Fin de Carga]]="","",MARÍTIMOS[[#This Row],[Etapa Despacho - Fin de Carga]]),"")</f>
        <v/>
      </c>
      <c r="AF1007" s="2" t="str">
        <f>IFERROR(IF(MARÍTIMOS[[#This Row],[Puerto de Embarque]]="","",MARÍTIMOS[[#This Row],[Puerto de Embarque]]),"")</f>
        <v/>
      </c>
      <c r="AG1007" s="2" t="str">
        <f>IFERROR(IF(MARÍTIMOS[[#This Row],[Almacén de Ingreso]]="","",MARÍTIMOS[[#This Row],[Almacén de Ingreso]]),"")</f>
        <v/>
      </c>
      <c r="AH1007" s="11" t="str">
        <f>IFERROR(IF(MARÍTIMOS[[#This Row],[Etapa Ingreso - Cita]]="","",MARÍTIMOS[[#This Row],[Etapa Ingreso - Cita]]),"")</f>
        <v/>
      </c>
      <c r="AI1007" s="11" t="str">
        <f>IFERROR(IF(MARÍTIMOS[[#This Row],[Etapa Ingreso - Llegada]]="","",MARÍTIMOS[[#This Row],[Etapa Ingreso - Llegada]]),"")</f>
        <v/>
      </c>
      <c r="AJ1007" s="11" t="str">
        <f>IFERROR(IF(MARÍTIMOS[[#This Row],[Etapa Ingreso - Ingeso]]="","",MARÍTIMOS[[#This Row],[Etapa Ingreso - Ingeso]]),"")</f>
        <v/>
      </c>
      <c r="AK1007" s="11" t="str">
        <f>IFERROR(IF(MARÍTIMOS[[#This Row],[Etapa Ingreso - Atención]]="","",MARÍTIMOS[[#This Row],[Etapa Ingreso - Atención]]),"")</f>
        <v/>
      </c>
      <c r="AL1007" s="11" t="str">
        <f>IFERROR(IF(MARÍTIMOS[[#This Row],[Etapa Ingreso - Salida]]="","",MARÍTIMOS[[#This Row],[Etapa Ingreso - Salida]]),"")</f>
        <v/>
      </c>
      <c r="AM1007" s="2" t="str">
        <f>IFERROR(IF(MARÍTIMOS[[#This Row],[FCL]]="","",MARÍTIMOS[[#This Row],[FCL]]),"")</f>
        <v/>
      </c>
      <c r="AN100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7" s="4" t="str" cm="1">
        <f t="array" ref="AO100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7" s="5" t="str">
        <f>IFERROR(OLDBD[[#This Row],[Llegada a packing]]-OLDBD[[#This Row],[Inicio de Ruta]],"")</f>
        <v/>
      </c>
      <c r="AQ1007" s="6" t="str">
        <f>IFERROR(OLDBD[[#This Row],[Inicio de Ruta]]-OLDBD[[#This Row],[Salida de almacén de retiro]],"")</f>
        <v/>
      </c>
      <c r="AR100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7" s="8" t="str" cm="1">
        <f t="array" ref="AS100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7" s="9" t="str">
        <f>IFERROR(OLDBD[[#This Row],[Ingreso Packing]]-OLDBD[[#This Row],[Registro en Packing]],"")</f>
        <v/>
      </c>
      <c r="AV1007" s="9" t="str">
        <f>IFERROR(OLDBD[[#This Row],[Ingreso Packing]]-OLDBD[[#This Row],[Llegada a packing]],"")</f>
        <v/>
      </c>
      <c r="AW100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7" s="5" t="str">
        <f>IFERROR(OLDBD[[#This Row],[Llegada Almacén de Ingreso]]-OLDBD[[#This Row],[Salida Packing]],"")</f>
        <v/>
      </c>
      <c r="AY1007" s="4" t="str" cm="1">
        <f t="array" ref="AY100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7" s="43" t="s">
        <v>173</v>
      </c>
      <c r="BB1007" s="47" t="str">
        <f>IFERROR(IF(MARÍTIMOS[[#This Row],[Estatus]]="","",MARÍTIMOS[[#This Row],[Estatus]]),"")</f>
        <v/>
      </c>
      <c r="BC1007" s="43"/>
      <c r="BD1007" s="46" t="str">
        <f>IFERROR(OLDBD[[#This Row],[Salida de almacén de retiro]]-OLDBD[[#This Row],[Ingreso Almacén de retiro]],"")</f>
        <v/>
      </c>
      <c r="BE1007" s="46" t="str">
        <f>IFERROR(OLDBD[[#This Row],[Fin de Carga]]-OLDBD[[#This Row],[Inicio de Carga]],"")</f>
        <v/>
      </c>
    </row>
    <row r="1008" spans="1:57" customFormat="1" hidden="1">
      <c r="A1008" s="1"/>
      <c r="B1008" s="1" t="str">
        <f>IFERROR(IF(MARÍTIMOS[[#This Row],[PP]]="","",MARÍTIMOS[[#This Row],[PP]]),"")</f>
        <v/>
      </c>
      <c r="C1008" s="1" t="str">
        <f>IFERROR(IF(MARÍTIMOS[[#This Row],[Sede]]="","",MARÍTIMOS[[#This Row],[Sede]]),"")</f>
        <v/>
      </c>
      <c r="D1008" s="1" t="str">
        <f>IFERROR(IF(MARÍTIMOS[[#This Row],[Instruction]]="","",MARÍTIMOS[[#This Row],[Instruction]]),"")</f>
        <v/>
      </c>
      <c r="E1008" s="1"/>
      <c r="F1008" s="2" t="str">
        <f>IFERROR(IF(MARÍTIMOS[[#This Row],[Transportista]]="","",MARÍTIMOS[[#This Row],[Transportista]]),"")</f>
        <v/>
      </c>
      <c r="G1008" s="2" t="str">
        <f>IFERROR(IF(MARÍTIMOS[[#This Row],[Tercero]]="","",MARÍTIMOS[[#This Row],[Tercero]]),"")</f>
        <v/>
      </c>
      <c r="H1008" s="2" t="str">
        <f>IFERROR(IF(MARÍTIMOS[[#This Row],[Razón Social]]="","",MARÍTIMOS[[#This Row],[Razón Social]]),"")</f>
        <v/>
      </c>
      <c r="I1008" s="2" t="str">
        <f>IFERROR(IF(MARÍTIMOS[[#This Row],[RUC]]="","",MARÍTIMOS[[#This Row],[RUC]]),"")</f>
        <v/>
      </c>
      <c r="J1008" s="2" t="str">
        <f>IFERROR(IF(MARÍTIMOS[[#This Row],[Placa Tracto]]="","",MARÍTIMOS[[#This Row],[Placa Tracto]]),"")</f>
        <v/>
      </c>
      <c r="K1008" s="2" t="str">
        <f>IFERROR(IF(MARÍTIMOS[[#This Row],[Placa Carreta]]="","",MARÍTIMOS[[#This Row],[Placa Carreta]]),"")</f>
        <v/>
      </c>
      <c r="L1008" s="44" t="str">
        <f>IFERROR(IF(MARÍTIMOS[[#This Row],[Conductor]]="","",MARÍTIMOS[[#This Row],[Conductor]]),"")</f>
        <v/>
      </c>
      <c r="M1008" s="2" t="str">
        <f>IFERROR(IF(MARÍTIMOS[[#This Row],[Licencia]]="","",MARÍTIMOS[[#This Row],[Licencia]]),"")</f>
        <v/>
      </c>
      <c r="N1008" s="2" t="str">
        <f>IFERROR(IF(MARÍTIMOS[[#This Row],[Número de Contacto]]="","",MARÍTIMOS[[#This Row],[Número de Contacto]]),"")</f>
        <v/>
      </c>
      <c r="O1008" s="10" t="str">
        <f>IFERROR(IF(MARÍTIMOS[[#This Row],[Booking|AWB|CRT]]="","",MARÍTIMOS[[#This Row],[Booking|AWB|CRT]]),"")</f>
        <v/>
      </c>
      <c r="P1008" s="2" t="str">
        <f>IFERROR(IF(MARÍTIMOS[[#This Row],[Contenedor]]="","",MARÍTIMOS[[#This Row],[Contenedor]]),"")</f>
        <v/>
      </c>
      <c r="Q1008" s="2" t="str">
        <f>IFERROR(IF(MARÍTIMOS[[#This Row],[Puerto de Retiro]]="","",MARÍTIMOS[[#This Row],[Puerto de Retiro]]),"")</f>
        <v/>
      </c>
      <c r="R1008" s="2" t="str">
        <f>IFERROR(IF(MARÍTIMOS[[#This Row],[Almacén de Retiro]]="","",MARÍTIMOS[[#This Row],[Almacén de Retiro]]),"")</f>
        <v/>
      </c>
      <c r="S1008" s="11" t="str">
        <f>IFERROR(IF(MARÍTIMOS[[#This Row],[Etapa Retiro - Cita]]="","",MARÍTIMOS[[#This Row],[Etapa Retiro - Cita]]),"")</f>
        <v/>
      </c>
      <c r="T1008" s="11" t="str">
        <f>IFERROR(IF(MARÍTIMOS[[#This Row],[Etapa Retiro - Llegada]]="","",MARÍTIMOS[[#This Row],[Etapa Retiro - Llegada]]),"")</f>
        <v/>
      </c>
      <c r="U1008" s="11" t="str">
        <f>IFERROR(IF(MARÍTIMOS[[#This Row],[Etapa Retiro - Ingreso]]="","",MARÍTIMOS[[#This Row],[Etapa Retiro - Ingreso]]),"")</f>
        <v/>
      </c>
      <c r="V1008" s="11" t="str">
        <f>IFERROR(IF(MARÍTIMOS[[#This Row],[Etapa Retiro - Atención]]="","",MARÍTIMOS[[#This Row],[Etapa Retiro - Atención]]),"")</f>
        <v/>
      </c>
      <c r="W1008" s="11" t="str">
        <f>IFERROR(IF(MARÍTIMOS[[#This Row],[Etapa Retiro - Atención]]="","",MARÍTIMOS[[#This Row],[Etapa Retiro - Atención]]),"")</f>
        <v/>
      </c>
      <c r="X1008" s="11" t="str">
        <f>IFERROR(IF(MARÍTIMOS[[#This Row],[Etapa Retiro - Inicio de Ruta]]="","",MARÍTIMOS[[#This Row],[Etapa Retiro - Inicio de Ruta]]),"")</f>
        <v/>
      </c>
      <c r="Y1008" s="11" t="str">
        <f>IFERROR(IF(MARÍTIMOS[[#This Row],[Hora de Posicionamiento]]="","",MARÍTIMOS[[#This Row],[Fecha de Carga]]+MARÍTIMOS[[#This Row],[Hora de Posicionamiento]]),"")</f>
        <v/>
      </c>
      <c r="Z1008" s="11" t="str">
        <f>IFERROR(IF(MARÍTIMOS[[#This Row],[Etapa Despacho - Llegada]]="","",MARÍTIMOS[[#This Row],[Etapa Despacho - Llegada]]),"")</f>
        <v/>
      </c>
      <c r="AA1008" s="11" t="str">
        <f>IFERROR(IF(MARÍTIMOS[[#This Row],[Etapa Despacho - Registro]]="","",MARÍTIMOS[[#This Row],[Etapa Despacho - Registro]]),"")</f>
        <v/>
      </c>
      <c r="AB1008" s="11" t="str">
        <f>IFERROR(IF(MARÍTIMOS[[#This Row],[Inspección Externa]]="","",MARÍTIMOS[[#This Row],[Inspección Externa]]),"")</f>
        <v/>
      </c>
      <c r="AC1008" s="11" t="str">
        <f>IFERROR(IF(MARÍTIMOS[[#This Row],[Etapa Despacho - Inicio de Carga]]="","",MARÍTIMOS[[#This Row],[Etapa Despacho - Inicio de Carga]]),"")</f>
        <v/>
      </c>
      <c r="AD1008" s="11" t="str">
        <f>IFERROR(IF(MARÍTIMOS[[#This Row],[Etapa Despacho - Mitad de Carga]]="","",MARÍTIMOS[[#This Row],[Etapa Despacho - Mitad de Carga]]),"")</f>
        <v/>
      </c>
      <c r="AE1008" s="11" t="str">
        <f>IFERROR(IF(MARÍTIMOS[[#This Row],[Etapa Despacho - Fin de Carga]]="","",MARÍTIMOS[[#This Row],[Etapa Despacho - Fin de Carga]]),"")</f>
        <v/>
      </c>
      <c r="AF1008" s="2" t="str">
        <f>IFERROR(IF(MARÍTIMOS[[#This Row],[Puerto de Embarque]]="","",MARÍTIMOS[[#This Row],[Puerto de Embarque]]),"")</f>
        <v/>
      </c>
      <c r="AG1008" s="2" t="str">
        <f>IFERROR(IF(MARÍTIMOS[[#This Row],[Almacén de Ingreso]]="","",MARÍTIMOS[[#This Row],[Almacén de Ingreso]]),"")</f>
        <v/>
      </c>
      <c r="AH1008" s="11" t="str">
        <f>IFERROR(IF(MARÍTIMOS[[#This Row],[Etapa Ingreso - Cita]]="","",MARÍTIMOS[[#This Row],[Etapa Ingreso - Cita]]),"")</f>
        <v/>
      </c>
      <c r="AI1008" s="11" t="str">
        <f>IFERROR(IF(MARÍTIMOS[[#This Row],[Etapa Ingreso - Llegada]]="","",MARÍTIMOS[[#This Row],[Etapa Ingreso - Llegada]]),"")</f>
        <v/>
      </c>
      <c r="AJ1008" s="11" t="str">
        <f>IFERROR(IF(MARÍTIMOS[[#This Row],[Etapa Ingreso - Ingeso]]="","",MARÍTIMOS[[#This Row],[Etapa Ingreso - Ingeso]]),"")</f>
        <v/>
      </c>
      <c r="AK1008" s="11" t="str">
        <f>IFERROR(IF(MARÍTIMOS[[#This Row],[Etapa Ingreso - Atención]]="","",MARÍTIMOS[[#This Row],[Etapa Ingreso - Atención]]),"")</f>
        <v/>
      </c>
      <c r="AL1008" s="11" t="str">
        <f>IFERROR(IF(MARÍTIMOS[[#This Row],[Etapa Ingreso - Salida]]="","",MARÍTIMOS[[#This Row],[Etapa Ingreso - Salida]]),"")</f>
        <v/>
      </c>
      <c r="AM1008" s="2" t="str">
        <f>IFERROR(IF(MARÍTIMOS[[#This Row],[FCL]]="","",MARÍTIMOS[[#This Row],[FCL]]),"")</f>
        <v/>
      </c>
      <c r="AN100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8" s="4" t="str" cm="1">
        <f t="array" ref="AO100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8" s="5" t="str">
        <f>IFERROR(OLDBD[[#This Row],[Llegada a packing]]-OLDBD[[#This Row],[Inicio de Ruta]],"")</f>
        <v/>
      </c>
      <c r="AQ1008" s="6" t="str">
        <f>IFERROR(OLDBD[[#This Row],[Inicio de Ruta]]-OLDBD[[#This Row],[Salida de almacén de retiro]],"")</f>
        <v/>
      </c>
      <c r="AR100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8" s="8" t="str" cm="1">
        <f t="array" ref="AS100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8" s="9" t="str">
        <f>IFERROR(OLDBD[[#This Row],[Ingreso Packing]]-OLDBD[[#This Row],[Registro en Packing]],"")</f>
        <v/>
      </c>
      <c r="AV1008" s="9" t="str">
        <f>IFERROR(OLDBD[[#This Row],[Ingreso Packing]]-OLDBD[[#This Row],[Llegada a packing]],"")</f>
        <v/>
      </c>
      <c r="AW100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8" s="5" t="str">
        <f>IFERROR(OLDBD[[#This Row],[Llegada Almacén de Ingreso]]-OLDBD[[#This Row],[Salida Packing]],"")</f>
        <v/>
      </c>
      <c r="AY1008" s="4" t="str" cm="1">
        <f t="array" ref="AY100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8" s="43" t="s">
        <v>173</v>
      </c>
      <c r="BB1008" s="47" t="str">
        <f>IFERROR(IF(MARÍTIMOS[[#This Row],[Estatus]]="","",MARÍTIMOS[[#This Row],[Estatus]]),"")</f>
        <v/>
      </c>
      <c r="BC1008" s="43"/>
      <c r="BD1008" s="46" t="str">
        <f>IFERROR(OLDBD[[#This Row],[Salida de almacén de retiro]]-OLDBD[[#This Row],[Ingreso Almacén de retiro]],"")</f>
        <v/>
      </c>
      <c r="BE1008" s="46" t="str">
        <f>IFERROR(OLDBD[[#This Row],[Fin de Carga]]-OLDBD[[#This Row],[Inicio de Carga]],"")</f>
        <v/>
      </c>
    </row>
    <row r="1009" spans="1:57" customFormat="1" hidden="1">
      <c r="A1009" s="1"/>
      <c r="B1009" s="1" t="str">
        <f>IFERROR(IF(MARÍTIMOS[[#This Row],[PP]]="","",MARÍTIMOS[[#This Row],[PP]]),"")</f>
        <v/>
      </c>
      <c r="C1009" s="1" t="str">
        <f>IFERROR(IF(MARÍTIMOS[[#This Row],[Sede]]="","",MARÍTIMOS[[#This Row],[Sede]]),"")</f>
        <v/>
      </c>
      <c r="D1009" s="1" t="str">
        <f>IFERROR(IF(MARÍTIMOS[[#This Row],[Instruction]]="","",MARÍTIMOS[[#This Row],[Instruction]]),"")</f>
        <v/>
      </c>
      <c r="E1009" s="1"/>
      <c r="F1009" s="2" t="str">
        <f>IFERROR(IF(MARÍTIMOS[[#This Row],[Transportista]]="","",MARÍTIMOS[[#This Row],[Transportista]]),"")</f>
        <v/>
      </c>
      <c r="G1009" s="2" t="str">
        <f>IFERROR(IF(MARÍTIMOS[[#This Row],[Tercero]]="","",MARÍTIMOS[[#This Row],[Tercero]]),"")</f>
        <v/>
      </c>
      <c r="H1009" s="2" t="str">
        <f>IFERROR(IF(MARÍTIMOS[[#This Row],[Razón Social]]="","",MARÍTIMOS[[#This Row],[Razón Social]]),"")</f>
        <v/>
      </c>
      <c r="I1009" s="2" t="str">
        <f>IFERROR(IF(MARÍTIMOS[[#This Row],[RUC]]="","",MARÍTIMOS[[#This Row],[RUC]]),"")</f>
        <v/>
      </c>
      <c r="J1009" s="2" t="str">
        <f>IFERROR(IF(MARÍTIMOS[[#This Row],[Placa Tracto]]="","",MARÍTIMOS[[#This Row],[Placa Tracto]]),"")</f>
        <v/>
      </c>
      <c r="K1009" s="2" t="str">
        <f>IFERROR(IF(MARÍTIMOS[[#This Row],[Placa Carreta]]="","",MARÍTIMOS[[#This Row],[Placa Carreta]]),"")</f>
        <v/>
      </c>
      <c r="L1009" s="44" t="str">
        <f>IFERROR(IF(MARÍTIMOS[[#This Row],[Conductor]]="","",MARÍTIMOS[[#This Row],[Conductor]]),"")</f>
        <v/>
      </c>
      <c r="M1009" s="2" t="str">
        <f>IFERROR(IF(MARÍTIMOS[[#This Row],[Licencia]]="","",MARÍTIMOS[[#This Row],[Licencia]]),"")</f>
        <v/>
      </c>
      <c r="N1009" s="2" t="str">
        <f>IFERROR(IF(MARÍTIMOS[[#This Row],[Número de Contacto]]="","",MARÍTIMOS[[#This Row],[Número de Contacto]]),"")</f>
        <v/>
      </c>
      <c r="O1009" s="10" t="str">
        <f>IFERROR(IF(MARÍTIMOS[[#This Row],[Booking|AWB|CRT]]="","",MARÍTIMOS[[#This Row],[Booking|AWB|CRT]]),"")</f>
        <v/>
      </c>
      <c r="P1009" s="2" t="str">
        <f>IFERROR(IF(MARÍTIMOS[[#This Row],[Contenedor]]="","",MARÍTIMOS[[#This Row],[Contenedor]]),"")</f>
        <v/>
      </c>
      <c r="Q1009" s="2" t="str">
        <f>IFERROR(IF(MARÍTIMOS[[#This Row],[Puerto de Retiro]]="","",MARÍTIMOS[[#This Row],[Puerto de Retiro]]),"")</f>
        <v/>
      </c>
      <c r="R1009" s="2" t="str">
        <f>IFERROR(IF(MARÍTIMOS[[#This Row],[Almacén de Retiro]]="","",MARÍTIMOS[[#This Row],[Almacén de Retiro]]),"")</f>
        <v/>
      </c>
      <c r="S1009" s="11" t="str">
        <f>IFERROR(IF(MARÍTIMOS[[#This Row],[Etapa Retiro - Cita]]="","",MARÍTIMOS[[#This Row],[Etapa Retiro - Cita]]),"")</f>
        <v/>
      </c>
      <c r="T1009" s="11" t="str">
        <f>IFERROR(IF(MARÍTIMOS[[#This Row],[Etapa Retiro - Llegada]]="","",MARÍTIMOS[[#This Row],[Etapa Retiro - Llegada]]),"")</f>
        <v/>
      </c>
      <c r="U1009" s="11" t="str">
        <f>IFERROR(IF(MARÍTIMOS[[#This Row],[Etapa Retiro - Ingreso]]="","",MARÍTIMOS[[#This Row],[Etapa Retiro - Ingreso]]),"")</f>
        <v/>
      </c>
      <c r="V1009" s="11" t="str">
        <f>IFERROR(IF(MARÍTIMOS[[#This Row],[Etapa Retiro - Atención]]="","",MARÍTIMOS[[#This Row],[Etapa Retiro - Atención]]),"")</f>
        <v/>
      </c>
      <c r="W1009" s="11" t="str">
        <f>IFERROR(IF(MARÍTIMOS[[#This Row],[Etapa Retiro - Atención]]="","",MARÍTIMOS[[#This Row],[Etapa Retiro - Atención]]),"")</f>
        <v/>
      </c>
      <c r="X1009" s="11" t="str">
        <f>IFERROR(IF(MARÍTIMOS[[#This Row],[Etapa Retiro - Inicio de Ruta]]="","",MARÍTIMOS[[#This Row],[Etapa Retiro - Inicio de Ruta]]),"")</f>
        <v/>
      </c>
      <c r="Y1009" s="11" t="str">
        <f>IFERROR(IF(MARÍTIMOS[[#This Row],[Hora de Posicionamiento]]="","",MARÍTIMOS[[#This Row],[Fecha de Carga]]+MARÍTIMOS[[#This Row],[Hora de Posicionamiento]]),"")</f>
        <v/>
      </c>
      <c r="Z1009" s="11" t="str">
        <f>IFERROR(IF(MARÍTIMOS[[#This Row],[Etapa Despacho - Llegada]]="","",MARÍTIMOS[[#This Row],[Etapa Despacho - Llegada]]),"")</f>
        <v/>
      </c>
      <c r="AA1009" s="11" t="str">
        <f>IFERROR(IF(MARÍTIMOS[[#This Row],[Etapa Despacho - Registro]]="","",MARÍTIMOS[[#This Row],[Etapa Despacho - Registro]]),"")</f>
        <v/>
      </c>
      <c r="AB1009" s="11" t="str">
        <f>IFERROR(IF(MARÍTIMOS[[#This Row],[Inspección Externa]]="","",MARÍTIMOS[[#This Row],[Inspección Externa]]),"")</f>
        <v/>
      </c>
      <c r="AC1009" s="11" t="str">
        <f>IFERROR(IF(MARÍTIMOS[[#This Row],[Etapa Despacho - Inicio de Carga]]="","",MARÍTIMOS[[#This Row],[Etapa Despacho - Inicio de Carga]]),"")</f>
        <v/>
      </c>
      <c r="AD1009" s="11" t="str">
        <f>IFERROR(IF(MARÍTIMOS[[#This Row],[Etapa Despacho - Mitad de Carga]]="","",MARÍTIMOS[[#This Row],[Etapa Despacho - Mitad de Carga]]),"")</f>
        <v/>
      </c>
      <c r="AE1009" s="11" t="str">
        <f>IFERROR(IF(MARÍTIMOS[[#This Row],[Etapa Despacho - Fin de Carga]]="","",MARÍTIMOS[[#This Row],[Etapa Despacho - Fin de Carga]]),"")</f>
        <v/>
      </c>
      <c r="AF1009" s="2" t="str">
        <f>IFERROR(IF(MARÍTIMOS[[#This Row],[Puerto de Embarque]]="","",MARÍTIMOS[[#This Row],[Puerto de Embarque]]),"")</f>
        <v/>
      </c>
      <c r="AG1009" s="2" t="str">
        <f>IFERROR(IF(MARÍTIMOS[[#This Row],[Almacén de Ingreso]]="","",MARÍTIMOS[[#This Row],[Almacén de Ingreso]]),"")</f>
        <v/>
      </c>
      <c r="AH1009" s="11" t="str">
        <f>IFERROR(IF(MARÍTIMOS[[#This Row],[Etapa Ingreso - Cita]]="","",MARÍTIMOS[[#This Row],[Etapa Ingreso - Cita]]),"")</f>
        <v/>
      </c>
      <c r="AI1009" s="11" t="str">
        <f>IFERROR(IF(MARÍTIMOS[[#This Row],[Etapa Ingreso - Llegada]]="","",MARÍTIMOS[[#This Row],[Etapa Ingreso - Llegada]]),"")</f>
        <v/>
      </c>
      <c r="AJ1009" s="11" t="str">
        <f>IFERROR(IF(MARÍTIMOS[[#This Row],[Etapa Ingreso - Ingeso]]="","",MARÍTIMOS[[#This Row],[Etapa Ingreso - Ingeso]]),"")</f>
        <v/>
      </c>
      <c r="AK1009" s="11" t="str">
        <f>IFERROR(IF(MARÍTIMOS[[#This Row],[Etapa Ingreso - Atención]]="","",MARÍTIMOS[[#This Row],[Etapa Ingreso - Atención]]),"")</f>
        <v/>
      </c>
      <c r="AL1009" s="11" t="str">
        <f>IFERROR(IF(MARÍTIMOS[[#This Row],[Etapa Ingreso - Salida]]="","",MARÍTIMOS[[#This Row],[Etapa Ingreso - Salida]]),"")</f>
        <v/>
      </c>
      <c r="AM1009" s="2" t="str">
        <f>IFERROR(IF(MARÍTIMOS[[#This Row],[FCL]]="","",MARÍTIMOS[[#This Row],[FCL]]),"")</f>
        <v/>
      </c>
      <c r="AN100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09" s="4" t="str" cm="1">
        <f t="array" ref="AO100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09" s="5" t="str">
        <f>IFERROR(OLDBD[[#This Row],[Llegada a packing]]-OLDBD[[#This Row],[Inicio de Ruta]],"")</f>
        <v/>
      </c>
      <c r="AQ1009" s="6" t="str">
        <f>IFERROR(OLDBD[[#This Row],[Inicio de Ruta]]-OLDBD[[#This Row],[Salida de almacén de retiro]],"")</f>
        <v/>
      </c>
      <c r="AR100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09" s="8" t="str" cm="1">
        <f t="array" ref="AS100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0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09" s="9" t="str">
        <f>IFERROR(OLDBD[[#This Row],[Ingreso Packing]]-OLDBD[[#This Row],[Registro en Packing]],"")</f>
        <v/>
      </c>
      <c r="AV1009" s="9" t="str">
        <f>IFERROR(OLDBD[[#This Row],[Ingreso Packing]]-OLDBD[[#This Row],[Llegada a packing]],"")</f>
        <v/>
      </c>
      <c r="AW100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09" s="5" t="str">
        <f>IFERROR(OLDBD[[#This Row],[Llegada Almacén de Ingreso]]-OLDBD[[#This Row],[Salida Packing]],"")</f>
        <v/>
      </c>
      <c r="AY1009" s="4" t="str" cm="1">
        <f t="array" ref="AY100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0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09" s="43" t="s">
        <v>173</v>
      </c>
      <c r="BB1009" s="47" t="str">
        <f>IFERROR(IF(MARÍTIMOS[[#This Row],[Estatus]]="","",MARÍTIMOS[[#This Row],[Estatus]]),"")</f>
        <v/>
      </c>
      <c r="BC1009" s="43"/>
      <c r="BD1009" s="46" t="str">
        <f>IFERROR(OLDBD[[#This Row],[Salida de almacén de retiro]]-OLDBD[[#This Row],[Ingreso Almacén de retiro]],"")</f>
        <v/>
      </c>
      <c r="BE1009" s="46" t="str">
        <f>IFERROR(OLDBD[[#This Row],[Fin de Carga]]-OLDBD[[#This Row],[Inicio de Carga]],"")</f>
        <v/>
      </c>
    </row>
    <row r="1010" spans="1:57" customFormat="1" hidden="1">
      <c r="A1010" s="1"/>
      <c r="B1010" s="1" t="str">
        <f>IFERROR(IF(MARÍTIMOS[[#This Row],[PP]]="","",MARÍTIMOS[[#This Row],[PP]]),"")</f>
        <v/>
      </c>
      <c r="C1010" s="1" t="str">
        <f>IFERROR(IF(MARÍTIMOS[[#This Row],[Sede]]="","",MARÍTIMOS[[#This Row],[Sede]]),"")</f>
        <v/>
      </c>
      <c r="D1010" s="1" t="str">
        <f>IFERROR(IF(MARÍTIMOS[[#This Row],[Instruction]]="","",MARÍTIMOS[[#This Row],[Instruction]]),"")</f>
        <v/>
      </c>
      <c r="E1010" s="1"/>
      <c r="F1010" s="2" t="str">
        <f>IFERROR(IF(MARÍTIMOS[[#This Row],[Transportista]]="","",MARÍTIMOS[[#This Row],[Transportista]]),"")</f>
        <v/>
      </c>
      <c r="G1010" s="2" t="str">
        <f>IFERROR(IF(MARÍTIMOS[[#This Row],[Tercero]]="","",MARÍTIMOS[[#This Row],[Tercero]]),"")</f>
        <v/>
      </c>
      <c r="H1010" s="2" t="str">
        <f>IFERROR(IF(MARÍTIMOS[[#This Row],[Razón Social]]="","",MARÍTIMOS[[#This Row],[Razón Social]]),"")</f>
        <v/>
      </c>
      <c r="I1010" s="2" t="str">
        <f>IFERROR(IF(MARÍTIMOS[[#This Row],[RUC]]="","",MARÍTIMOS[[#This Row],[RUC]]),"")</f>
        <v/>
      </c>
      <c r="J1010" s="2" t="str">
        <f>IFERROR(IF(MARÍTIMOS[[#This Row],[Placa Tracto]]="","",MARÍTIMOS[[#This Row],[Placa Tracto]]),"")</f>
        <v/>
      </c>
      <c r="K1010" s="2" t="str">
        <f>IFERROR(IF(MARÍTIMOS[[#This Row],[Placa Carreta]]="","",MARÍTIMOS[[#This Row],[Placa Carreta]]),"")</f>
        <v/>
      </c>
      <c r="L1010" s="44" t="str">
        <f>IFERROR(IF(MARÍTIMOS[[#This Row],[Conductor]]="","",MARÍTIMOS[[#This Row],[Conductor]]),"")</f>
        <v/>
      </c>
      <c r="M1010" s="2" t="str">
        <f>IFERROR(IF(MARÍTIMOS[[#This Row],[Licencia]]="","",MARÍTIMOS[[#This Row],[Licencia]]),"")</f>
        <v/>
      </c>
      <c r="N1010" s="2" t="str">
        <f>IFERROR(IF(MARÍTIMOS[[#This Row],[Número de Contacto]]="","",MARÍTIMOS[[#This Row],[Número de Contacto]]),"")</f>
        <v/>
      </c>
      <c r="O1010" s="10" t="str">
        <f>IFERROR(IF(MARÍTIMOS[[#This Row],[Booking|AWB|CRT]]="","",MARÍTIMOS[[#This Row],[Booking|AWB|CRT]]),"")</f>
        <v/>
      </c>
      <c r="P1010" s="2" t="str">
        <f>IFERROR(IF(MARÍTIMOS[[#This Row],[Contenedor]]="","",MARÍTIMOS[[#This Row],[Contenedor]]),"")</f>
        <v/>
      </c>
      <c r="Q1010" s="2" t="str">
        <f>IFERROR(IF(MARÍTIMOS[[#This Row],[Puerto de Retiro]]="","",MARÍTIMOS[[#This Row],[Puerto de Retiro]]),"")</f>
        <v/>
      </c>
      <c r="R1010" s="2" t="str">
        <f>IFERROR(IF(MARÍTIMOS[[#This Row],[Almacén de Retiro]]="","",MARÍTIMOS[[#This Row],[Almacén de Retiro]]),"")</f>
        <v/>
      </c>
      <c r="S1010" s="11" t="str">
        <f>IFERROR(IF(MARÍTIMOS[[#This Row],[Etapa Retiro - Cita]]="","",MARÍTIMOS[[#This Row],[Etapa Retiro - Cita]]),"")</f>
        <v/>
      </c>
      <c r="T1010" s="11" t="str">
        <f>IFERROR(IF(MARÍTIMOS[[#This Row],[Etapa Retiro - Llegada]]="","",MARÍTIMOS[[#This Row],[Etapa Retiro - Llegada]]),"")</f>
        <v/>
      </c>
      <c r="U1010" s="11" t="str">
        <f>IFERROR(IF(MARÍTIMOS[[#This Row],[Etapa Retiro - Ingreso]]="","",MARÍTIMOS[[#This Row],[Etapa Retiro - Ingreso]]),"")</f>
        <v/>
      </c>
      <c r="V1010" s="11" t="str">
        <f>IFERROR(IF(MARÍTIMOS[[#This Row],[Etapa Retiro - Atención]]="","",MARÍTIMOS[[#This Row],[Etapa Retiro - Atención]]),"")</f>
        <v/>
      </c>
      <c r="W1010" s="11" t="str">
        <f>IFERROR(IF(MARÍTIMOS[[#This Row],[Etapa Retiro - Atención]]="","",MARÍTIMOS[[#This Row],[Etapa Retiro - Atención]]),"")</f>
        <v/>
      </c>
      <c r="X1010" s="11" t="str">
        <f>IFERROR(IF(MARÍTIMOS[[#This Row],[Etapa Retiro - Inicio de Ruta]]="","",MARÍTIMOS[[#This Row],[Etapa Retiro - Inicio de Ruta]]),"")</f>
        <v/>
      </c>
      <c r="Y1010" s="11" t="str">
        <f>IFERROR(IF(MARÍTIMOS[[#This Row],[Hora de Posicionamiento]]="","",MARÍTIMOS[[#This Row],[Fecha de Carga]]+MARÍTIMOS[[#This Row],[Hora de Posicionamiento]]),"")</f>
        <v/>
      </c>
      <c r="Z1010" s="11" t="str">
        <f>IFERROR(IF(MARÍTIMOS[[#This Row],[Etapa Despacho - Llegada]]="","",MARÍTIMOS[[#This Row],[Etapa Despacho - Llegada]]),"")</f>
        <v/>
      </c>
      <c r="AA1010" s="11" t="str">
        <f>IFERROR(IF(MARÍTIMOS[[#This Row],[Etapa Despacho - Registro]]="","",MARÍTIMOS[[#This Row],[Etapa Despacho - Registro]]),"")</f>
        <v/>
      </c>
      <c r="AB1010" s="11" t="str">
        <f>IFERROR(IF(MARÍTIMOS[[#This Row],[Inspección Externa]]="","",MARÍTIMOS[[#This Row],[Inspección Externa]]),"")</f>
        <v/>
      </c>
      <c r="AC1010" s="11" t="str">
        <f>IFERROR(IF(MARÍTIMOS[[#This Row],[Etapa Despacho - Inicio de Carga]]="","",MARÍTIMOS[[#This Row],[Etapa Despacho - Inicio de Carga]]),"")</f>
        <v/>
      </c>
      <c r="AD1010" s="11" t="str">
        <f>IFERROR(IF(MARÍTIMOS[[#This Row],[Etapa Despacho - Mitad de Carga]]="","",MARÍTIMOS[[#This Row],[Etapa Despacho - Mitad de Carga]]),"")</f>
        <v/>
      </c>
      <c r="AE1010" s="11" t="str">
        <f>IFERROR(IF(MARÍTIMOS[[#This Row],[Etapa Despacho - Fin de Carga]]="","",MARÍTIMOS[[#This Row],[Etapa Despacho - Fin de Carga]]),"")</f>
        <v/>
      </c>
      <c r="AF1010" s="2" t="str">
        <f>IFERROR(IF(MARÍTIMOS[[#This Row],[Puerto de Embarque]]="","",MARÍTIMOS[[#This Row],[Puerto de Embarque]]),"")</f>
        <v/>
      </c>
      <c r="AG1010" s="2" t="str">
        <f>IFERROR(IF(MARÍTIMOS[[#This Row],[Almacén de Ingreso]]="","",MARÍTIMOS[[#This Row],[Almacén de Ingreso]]),"")</f>
        <v/>
      </c>
      <c r="AH1010" s="11" t="str">
        <f>IFERROR(IF(MARÍTIMOS[[#This Row],[Etapa Ingreso - Cita]]="","",MARÍTIMOS[[#This Row],[Etapa Ingreso - Cita]]),"")</f>
        <v/>
      </c>
      <c r="AI1010" s="11" t="str">
        <f>IFERROR(IF(MARÍTIMOS[[#This Row],[Etapa Ingreso - Llegada]]="","",MARÍTIMOS[[#This Row],[Etapa Ingreso - Llegada]]),"")</f>
        <v/>
      </c>
      <c r="AJ1010" s="11" t="str">
        <f>IFERROR(IF(MARÍTIMOS[[#This Row],[Etapa Ingreso - Ingeso]]="","",MARÍTIMOS[[#This Row],[Etapa Ingreso - Ingeso]]),"")</f>
        <v/>
      </c>
      <c r="AK1010" s="11" t="str">
        <f>IFERROR(IF(MARÍTIMOS[[#This Row],[Etapa Ingreso - Atención]]="","",MARÍTIMOS[[#This Row],[Etapa Ingreso - Atención]]),"")</f>
        <v/>
      </c>
      <c r="AL1010" s="11" t="str">
        <f>IFERROR(IF(MARÍTIMOS[[#This Row],[Etapa Ingreso - Salida]]="","",MARÍTIMOS[[#This Row],[Etapa Ingreso - Salida]]),"")</f>
        <v/>
      </c>
      <c r="AM1010" s="2" t="str">
        <f>IFERROR(IF(MARÍTIMOS[[#This Row],[FCL]]="","",MARÍTIMOS[[#This Row],[FCL]]),"")</f>
        <v/>
      </c>
      <c r="AN101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0" s="4" t="str" cm="1">
        <f t="array" ref="AO101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0" s="5" t="str">
        <f>IFERROR(OLDBD[[#This Row],[Llegada a packing]]-OLDBD[[#This Row],[Inicio de Ruta]],"")</f>
        <v/>
      </c>
      <c r="AQ1010" s="6" t="str">
        <f>IFERROR(OLDBD[[#This Row],[Inicio de Ruta]]-OLDBD[[#This Row],[Salida de almacén de retiro]],"")</f>
        <v/>
      </c>
      <c r="AR101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0" s="8" t="str" cm="1">
        <f t="array" ref="AS101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0" s="9" t="str">
        <f>IFERROR(OLDBD[[#This Row],[Ingreso Packing]]-OLDBD[[#This Row],[Registro en Packing]],"")</f>
        <v/>
      </c>
      <c r="AV1010" s="9" t="str">
        <f>IFERROR(OLDBD[[#This Row],[Ingreso Packing]]-OLDBD[[#This Row],[Llegada a packing]],"")</f>
        <v/>
      </c>
      <c r="AW101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0" s="5" t="str">
        <f>IFERROR(OLDBD[[#This Row],[Llegada Almacén de Ingreso]]-OLDBD[[#This Row],[Salida Packing]],"")</f>
        <v/>
      </c>
      <c r="AY1010" s="4" t="str" cm="1">
        <f t="array" ref="AY101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0" s="43" t="s">
        <v>173</v>
      </c>
      <c r="BB1010" s="47" t="str">
        <f>IFERROR(IF(MARÍTIMOS[[#This Row],[Estatus]]="","",MARÍTIMOS[[#This Row],[Estatus]]),"")</f>
        <v/>
      </c>
      <c r="BC1010" s="43"/>
      <c r="BD1010" s="46" t="str">
        <f>IFERROR(OLDBD[[#This Row],[Salida de almacén de retiro]]-OLDBD[[#This Row],[Ingreso Almacén de retiro]],"")</f>
        <v/>
      </c>
      <c r="BE1010" s="46" t="str">
        <f>IFERROR(OLDBD[[#This Row],[Fin de Carga]]-OLDBD[[#This Row],[Inicio de Carga]],"")</f>
        <v/>
      </c>
    </row>
    <row r="1011" spans="1:57" customFormat="1" hidden="1">
      <c r="A1011" s="1"/>
      <c r="B1011" s="1" t="str">
        <f>IFERROR(IF(MARÍTIMOS[[#This Row],[PP]]="","",MARÍTIMOS[[#This Row],[PP]]),"")</f>
        <v/>
      </c>
      <c r="C1011" s="1" t="str">
        <f>IFERROR(IF(MARÍTIMOS[[#This Row],[Sede]]="","",MARÍTIMOS[[#This Row],[Sede]]),"")</f>
        <v/>
      </c>
      <c r="D1011" s="1" t="str">
        <f>IFERROR(IF(MARÍTIMOS[[#This Row],[Instruction]]="","",MARÍTIMOS[[#This Row],[Instruction]]),"")</f>
        <v/>
      </c>
      <c r="E1011" s="1"/>
      <c r="F1011" s="2" t="str">
        <f>IFERROR(IF(MARÍTIMOS[[#This Row],[Transportista]]="","",MARÍTIMOS[[#This Row],[Transportista]]),"")</f>
        <v/>
      </c>
      <c r="G1011" s="2" t="str">
        <f>IFERROR(IF(MARÍTIMOS[[#This Row],[Tercero]]="","",MARÍTIMOS[[#This Row],[Tercero]]),"")</f>
        <v/>
      </c>
      <c r="H1011" s="2" t="str">
        <f>IFERROR(IF(MARÍTIMOS[[#This Row],[Razón Social]]="","",MARÍTIMOS[[#This Row],[Razón Social]]),"")</f>
        <v/>
      </c>
      <c r="I1011" s="2" t="str">
        <f>IFERROR(IF(MARÍTIMOS[[#This Row],[RUC]]="","",MARÍTIMOS[[#This Row],[RUC]]),"")</f>
        <v/>
      </c>
      <c r="J1011" s="2" t="str">
        <f>IFERROR(IF(MARÍTIMOS[[#This Row],[Placa Tracto]]="","",MARÍTIMOS[[#This Row],[Placa Tracto]]),"")</f>
        <v/>
      </c>
      <c r="K1011" s="2" t="str">
        <f>IFERROR(IF(MARÍTIMOS[[#This Row],[Placa Carreta]]="","",MARÍTIMOS[[#This Row],[Placa Carreta]]),"")</f>
        <v/>
      </c>
      <c r="L1011" s="44" t="str">
        <f>IFERROR(IF(MARÍTIMOS[[#This Row],[Conductor]]="","",MARÍTIMOS[[#This Row],[Conductor]]),"")</f>
        <v/>
      </c>
      <c r="M1011" s="2" t="str">
        <f>IFERROR(IF(MARÍTIMOS[[#This Row],[Licencia]]="","",MARÍTIMOS[[#This Row],[Licencia]]),"")</f>
        <v/>
      </c>
      <c r="N1011" s="2" t="str">
        <f>IFERROR(IF(MARÍTIMOS[[#This Row],[Número de Contacto]]="","",MARÍTIMOS[[#This Row],[Número de Contacto]]),"")</f>
        <v/>
      </c>
      <c r="O1011" s="10" t="str">
        <f>IFERROR(IF(MARÍTIMOS[[#This Row],[Booking|AWB|CRT]]="","",MARÍTIMOS[[#This Row],[Booking|AWB|CRT]]),"")</f>
        <v/>
      </c>
      <c r="P1011" s="2" t="str">
        <f>IFERROR(IF(MARÍTIMOS[[#This Row],[Contenedor]]="","",MARÍTIMOS[[#This Row],[Contenedor]]),"")</f>
        <v/>
      </c>
      <c r="Q1011" s="2" t="str">
        <f>IFERROR(IF(MARÍTIMOS[[#This Row],[Puerto de Retiro]]="","",MARÍTIMOS[[#This Row],[Puerto de Retiro]]),"")</f>
        <v/>
      </c>
      <c r="R1011" s="2" t="str">
        <f>IFERROR(IF(MARÍTIMOS[[#This Row],[Almacén de Retiro]]="","",MARÍTIMOS[[#This Row],[Almacén de Retiro]]),"")</f>
        <v/>
      </c>
      <c r="S1011" s="11" t="str">
        <f>IFERROR(IF(MARÍTIMOS[[#This Row],[Etapa Retiro - Cita]]="","",MARÍTIMOS[[#This Row],[Etapa Retiro - Cita]]),"")</f>
        <v/>
      </c>
      <c r="T1011" s="11" t="str">
        <f>IFERROR(IF(MARÍTIMOS[[#This Row],[Etapa Retiro - Llegada]]="","",MARÍTIMOS[[#This Row],[Etapa Retiro - Llegada]]),"")</f>
        <v/>
      </c>
      <c r="U1011" s="11" t="str">
        <f>IFERROR(IF(MARÍTIMOS[[#This Row],[Etapa Retiro - Ingreso]]="","",MARÍTIMOS[[#This Row],[Etapa Retiro - Ingreso]]),"")</f>
        <v/>
      </c>
      <c r="V1011" s="11" t="str">
        <f>IFERROR(IF(MARÍTIMOS[[#This Row],[Etapa Retiro - Atención]]="","",MARÍTIMOS[[#This Row],[Etapa Retiro - Atención]]),"")</f>
        <v/>
      </c>
      <c r="W1011" s="11" t="str">
        <f>IFERROR(IF(MARÍTIMOS[[#This Row],[Etapa Retiro - Atención]]="","",MARÍTIMOS[[#This Row],[Etapa Retiro - Atención]]),"")</f>
        <v/>
      </c>
      <c r="X1011" s="11" t="str">
        <f>IFERROR(IF(MARÍTIMOS[[#This Row],[Etapa Retiro - Inicio de Ruta]]="","",MARÍTIMOS[[#This Row],[Etapa Retiro - Inicio de Ruta]]),"")</f>
        <v/>
      </c>
      <c r="Y1011" s="11" t="str">
        <f>IFERROR(IF(MARÍTIMOS[[#This Row],[Hora de Posicionamiento]]="","",MARÍTIMOS[[#This Row],[Fecha de Carga]]+MARÍTIMOS[[#This Row],[Hora de Posicionamiento]]),"")</f>
        <v/>
      </c>
      <c r="Z1011" s="11" t="str">
        <f>IFERROR(IF(MARÍTIMOS[[#This Row],[Etapa Despacho - Llegada]]="","",MARÍTIMOS[[#This Row],[Etapa Despacho - Llegada]]),"")</f>
        <v/>
      </c>
      <c r="AA1011" s="11" t="str">
        <f>IFERROR(IF(MARÍTIMOS[[#This Row],[Etapa Despacho - Registro]]="","",MARÍTIMOS[[#This Row],[Etapa Despacho - Registro]]),"")</f>
        <v/>
      </c>
      <c r="AB1011" s="11" t="str">
        <f>IFERROR(IF(MARÍTIMOS[[#This Row],[Inspección Externa]]="","",MARÍTIMOS[[#This Row],[Inspección Externa]]),"")</f>
        <v/>
      </c>
      <c r="AC1011" s="11" t="str">
        <f>IFERROR(IF(MARÍTIMOS[[#This Row],[Etapa Despacho - Inicio de Carga]]="","",MARÍTIMOS[[#This Row],[Etapa Despacho - Inicio de Carga]]),"")</f>
        <v/>
      </c>
      <c r="AD1011" s="11" t="str">
        <f>IFERROR(IF(MARÍTIMOS[[#This Row],[Etapa Despacho - Mitad de Carga]]="","",MARÍTIMOS[[#This Row],[Etapa Despacho - Mitad de Carga]]),"")</f>
        <v/>
      </c>
      <c r="AE1011" s="11" t="str">
        <f>IFERROR(IF(MARÍTIMOS[[#This Row],[Etapa Despacho - Fin de Carga]]="","",MARÍTIMOS[[#This Row],[Etapa Despacho - Fin de Carga]]),"")</f>
        <v/>
      </c>
      <c r="AF1011" s="2" t="str">
        <f>IFERROR(IF(MARÍTIMOS[[#This Row],[Puerto de Embarque]]="","",MARÍTIMOS[[#This Row],[Puerto de Embarque]]),"")</f>
        <v/>
      </c>
      <c r="AG1011" s="2" t="str">
        <f>IFERROR(IF(MARÍTIMOS[[#This Row],[Almacén de Ingreso]]="","",MARÍTIMOS[[#This Row],[Almacén de Ingreso]]),"")</f>
        <v/>
      </c>
      <c r="AH1011" s="11" t="str">
        <f>IFERROR(IF(MARÍTIMOS[[#This Row],[Etapa Ingreso - Cita]]="","",MARÍTIMOS[[#This Row],[Etapa Ingreso - Cita]]),"")</f>
        <v/>
      </c>
      <c r="AI1011" s="11" t="str">
        <f>IFERROR(IF(MARÍTIMOS[[#This Row],[Etapa Ingreso - Llegada]]="","",MARÍTIMOS[[#This Row],[Etapa Ingreso - Llegada]]),"")</f>
        <v/>
      </c>
      <c r="AJ1011" s="11" t="str">
        <f>IFERROR(IF(MARÍTIMOS[[#This Row],[Etapa Ingreso - Ingeso]]="","",MARÍTIMOS[[#This Row],[Etapa Ingreso - Ingeso]]),"")</f>
        <v/>
      </c>
      <c r="AK1011" s="11" t="str">
        <f>IFERROR(IF(MARÍTIMOS[[#This Row],[Etapa Ingreso - Atención]]="","",MARÍTIMOS[[#This Row],[Etapa Ingreso - Atención]]),"")</f>
        <v/>
      </c>
      <c r="AL1011" s="11" t="str">
        <f>IFERROR(IF(MARÍTIMOS[[#This Row],[Etapa Ingreso - Salida]]="","",MARÍTIMOS[[#This Row],[Etapa Ingreso - Salida]]),"")</f>
        <v/>
      </c>
      <c r="AM1011" s="2" t="str">
        <f>IFERROR(IF(MARÍTIMOS[[#This Row],[FCL]]="","",MARÍTIMOS[[#This Row],[FCL]]),"")</f>
        <v/>
      </c>
      <c r="AN101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1" s="4" t="str" cm="1">
        <f t="array" ref="AO101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1" s="5" t="str">
        <f>IFERROR(OLDBD[[#This Row],[Llegada a packing]]-OLDBD[[#This Row],[Inicio de Ruta]],"")</f>
        <v/>
      </c>
      <c r="AQ1011" s="6" t="str">
        <f>IFERROR(OLDBD[[#This Row],[Inicio de Ruta]]-OLDBD[[#This Row],[Salida de almacén de retiro]],"")</f>
        <v/>
      </c>
      <c r="AR101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1" s="8" t="str" cm="1">
        <f t="array" ref="AS101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1" s="9" t="str">
        <f>IFERROR(OLDBD[[#This Row],[Ingreso Packing]]-OLDBD[[#This Row],[Registro en Packing]],"")</f>
        <v/>
      </c>
      <c r="AV1011" s="9" t="str">
        <f>IFERROR(OLDBD[[#This Row],[Ingreso Packing]]-OLDBD[[#This Row],[Llegada a packing]],"")</f>
        <v/>
      </c>
      <c r="AW101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1" s="5" t="str">
        <f>IFERROR(OLDBD[[#This Row],[Llegada Almacén de Ingreso]]-OLDBD[[#This Row],[Salida Packing]],"")</f>
        <v/>
      </c>
      <c r="AY1011" s="4" t="str" cm="1">
        <f t="array" ref="AY101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1" s="43" t="s">
        <v>173</v>
      </c>
      <c r="BB1011" s="47" t="str">
        <f>IFERROR(IF(MARÍTIMOS[[#This Row],[Estatus]]="","",MARÍTIMOS[[#This Row],[Estatus]]),"")</f>
        <v/>
      </c>
      <c r="BC1011" s="43"/>
      <c r="BD1011" s="46" t="str">
        <f>IFERROR(OLDBD[[#This Row],[Salida de almacén de retiro]]-OLDBD[[#This Row],[Ingreso Almacén de retiro]],"")</f>
        <v/>
      </c>
      <c r="BE1011" s="46" t="str">
        <f>IFERROR(OLDBD[[#This Row],[Fin de Carga]]-OLDBD[[#This Row],[Inicio de Carga]],"")</f>
        <v/>
      </c>
    </row>
    <row r="1012" spans="1:57" customFormat="1" hidden="1">
      <c r="A1012" s="1"/>
      <c r="B1012" s="1" t="str">
        <f>IFERROR(IF(MARÍTIMOS[[#This Row],[PP]]="","",MARÍTIMOS[[#This Row],[PP]]),"")</f>
        <v/>
      </c>
      <c r="C1012" s="1" t="str">
        <f>IFERROR(IF(MARÍTIMOS[[#This Row],[Sede]]="","",MARÍTIMOS[[#This Row],[Sede]]),"")</f>
        <v/>
      </c>
      <c r="D1012" s="1" t="str">
        <f>IFERROR(IF(MARÍTIMOS[[#This Row],[Instruction]]="","",MARÍTIMOS[[#This Row],[Instruction]]),"")</f>
        <v/>
      </c>
      <c r="E1012" s="1"/>
      <c r="F1012" s="2" t="str">
        <f>IFERROR(IF(MARÍTIMOS[[#This Row],[Transportista]]="","",MARÍTIMOS[[#This Row],[Transportista]]),"")</f>
        <v/>
      </c>
      <c r="G1012" s="2" t="str">
        <f>IFERROR(IF(MARÍTIMOS[[#This Row],[Tercero]]="","",MARÍTIMOS[[#This Row],[Tercero]]),"")</f>
        <v/>
      </c>
      <c r="H1012" s="2" t="str">
        <f>IFERROR(IF(MARÍTIMOS[[#This Row],[Razón Social]]="","",MARÍTIMOS[[#This Row],[Razón Social]]),"")</f>
        <v/>
      </c>
      <c r="I1012" s="2" t="str">
        <f>IFERROR(IF(MARÍTIMOS[[#This Row],[RUC]]="","",MARÍTIMOS[[#This Row],[RUC]]),"")</f>
        <v/>
      </c>
      <c r="J1012" s="2" t="str">
        <f>IFERROR(IF(MARÍTIMOS[[#This Row],[Placa Tracto]]="","",MARÍTIMOS[[#This Row],[Placa Tracto]]),"")</f>
        <v/>
      </c>
      <c r="K1012" s="2" t="str">
        <f>IFERROR(IF(MARÍTIMOS[[#This Row],[Placa Carreta]]="","",MARÍTIMOS[[#This Row],[Placa Carreta]]),"")</f>
        <v/>
      </c>
      <c r="L1012" s="44" t="str">
        <f>IFERROR(IF(MARÍTIMOS[[#This Row],[Conductor]]="","",MARÍTIMOS[[#This Row],[Conductor]]),"")</f>
        <v/>
      </c>
      <c r="M1012" s="2" t="str">
        <f>IFERROR(IF(MARÍTIMOS[[#This Row],[Licencia]]="","",MARÍTIMOS[[#This Row],[Licencia]]),"")</f>
        <v/>
      </c>
      <c r="N1012" s="2" t="str">
        <f>IFERROR(IF(MARÍTIMOS[[#This Row],[Número de Contacto]]="","",MARÍTIMOS[[#This Row],[Número de Contacto]]),"")</f>
        <v/>
      </c>
      <c r="O1012" s="10" t="str">
        <f>IFERROR(IF(MARÍTIMOS[[#This Row],[Booking|AWB|CRT]]="","",MARÍTIMOS[[#This Row],[Booking|AWB|CRT]]),"")</f>
        <v/>
      </c>
      <c r="P1012" s="2" t="str">
        <f>IFERROR(IF(MARÍTIMOS[[#This Row],[Contenedor]]="","",MARÍTIMOS[[#This Row],[Contenedor]]),"")</f>
        <v/>
      </c>
      <c r="Q1012" s="2" t="str">
        <f>IFERROR(IF(MARÍTIMOS[[#This Row],[Puerto de Retiro]]="","",MARÍTIMOS[[#This Row],[Puerto de Retiro]]),"")</f>
        <v/>
      </c>
      <c r="R1012" s="2" t="str">
        <f>IFERROR(IF(MARÍTIMOS[[#This Row],[Almacén de Retiro]]="","",MARÍTIMOS[[#This Row],[Almacén de Retiro]]),"")</f>
        <v/>
      </c>
      <c r="S1012" s="11" t="str">
        <f>IFERROR(IF(MARÍTIMOS[[#This Row],[Etapa Retiro - Cita]]="","",MARÍTIMOS[[#This Row],[Etapa Retiro - Cita]]),"")</f>
        <v/>
      </c>
      <c r="T1012" s="11" t="str">
        <f>IFERROR(IF(MARÍTIMOS[[#This Row],[Etapa Retiro - Llegada]]="","",MARÍTIMOS[[#This Row],[Etapa Retiro - Llegada]]),"")</f>
        <v/>
      </c>
      <c r="U1012" s="11" t="str">
        <f>IFERROR(IF(MARÍTIMOS[[#This Row],[Etapa Retiro - Ingreso]]="","",MARÍTIMOS[[#This Row],[Etapa Retiro - Ingreso]]),"")</f>
        <v/>
      </c>
      <c r="V1012" s="11" t="str">
        <f>IFERROR(IF(MARÍTIMOS[[#This Row],[Etapa Retiro - Atención]]="","",MARÍTIMOS[[#This Row],[Etapa Retiro - Atención]]),"")</f>
        <v/>
      </c>
      <c r="W1012" s="11" t="str">
        <f>IFERROR(IF(MARÍTIMOS[[#This Row],[Etapa Retiro - Atención]]="","",MARÍTIMOS[[#This Row],[Etapa Retiro - Atención]]),"")</f>
        <v/>
      </c>
      <c r="X1012" s="11" t="str">
        <f>IFERROR(IF(MARÍTIMOS[[#This Row],[Etapa Retiro - Inicio de Ruta]]="","",MARÍTIMOS[[#This Row],[Etapa Retiro - Inicio de Ruta]]),"")</f>
        <v/>
      </c>
      <c r="Y1012" s="11" t="str">
        <f>IFERROR(IF(MARÍTIMOS[[#This Row],[Hora de Posicionamiento]]="","",MARÍTIMOS[[#This Row],[Fecha de Carga]]+MARÍTIMOS[[#This Row],[Hora de Posicionamiento]]),"")</f>
        <v/>
      </c>
      <c r="Z1012" s="11" t="str">
        <f>IFERROR(IF(MARÍTIMOS[[#This Row],[Etapa Despacho - Llegada]]="","",MARÍTIMOS[[#This Row],[Etapa Despacho - Llegada]]),"")</f>
        <v/>
      </c>
      <c r="AA1012" s="11" t="str">
        <f>IFERROR(IF(MARÍTIMOS[[#This Row],[Etapa Despacho - Registro]]="","",MARÍTIMOS[[#This Row],[Etapa Despacho - Registro]]),"")</f>
        <v/>
      </c>
      <c r="AB1012" s="11" t="str">
        <f>IFERROR(IF(MARÍTIMOS[[#This Row],[Inspección Externa]]="","",MARÍTIMOS[[#This Row],[Inspección Externa]]),"")</f>
        <v/>
      </c>
      <c r="AC1012" s="11" t="str">
        <f>IFERROR(IF(MARÍTIMOS[[#This Row],[Etapa Despacho - Inicio de Carga]]="","",MARÍTIMOS[[#This Row],[Etapa Despacho - Inicio de Carga]]),"")</f>
        <v/>
      </c>
      <c r="AD1012" s="11" t="str">
        <f>IFERROR(IF(MARÍTIMOS[[#This Row],[Etapa Despacho - Mitad de Carga]]="","",MARÍTIMOS[[#This Row],[Etapa Despacho - Mitad de Carga]]),"")</f>
        <v/>
      </c>
      <c r="AE1012" s="11" t="str">
        <f>IFERROR(IF(MARÍTIMOS[[#This Row],[Etapa Despacho - Fin de Carga]]="","",MARÍTIMOS[[#This Row],[Etapa Despacho - Fin de Carga]]),"")</f>
        <v/>
      </c>
      <c r="AF1012" s="2" t="str">
        <f>IFERROR(IF(MARÍTIMOS[[#This Row],[Puerto de Embarque]]="","",MARÍTIMOS[[#This Row],[Puerto de Embarque]]),"")</f>
        <v/>
      </c>
      <c r="AG1012" s="2" t="str">
        <f>IFERROR(IF(MARÍTIMOS[[#This Row],[Almacén de Ingreso]]="","",MARÍTIMOS[[#This Row],[Almacén de Ingreso]]),"")</f>
        <v/>
      </c>
      <c r="AH1012" s="11" t="str">
        <f>IFERROR(IF(MARÍTIMOS[[#This Row],[Etapa Ingreso - Cita]]="","",MARÍTIMOS[[#This Row],[Etapa Ingreso - Cita]]),"")</f>
        <v/>
      </c>
      <c r="AI1012" s="11" t="str">
        <f>IFERROR(IF(MARÍTIMOS[[#This Row],[Etapa Ingreso - Llegada]]="","",MARÍTIMOS[[#This Row],[Etapa Ingreso - Llegada]]),"")</f>
        <v/>
      </c>
      <c r="AJ1012" s="11" t="str">
        <f>IFERROR(IF(MARÍTIMOS[[#This Row],[Etapa Ingreso - Ingeso]]="","",MARÍTIMOS[[#This Row],[Etapa Ingreso - Ingeso]]),"")</f>
        <v/>
      </c>
      <c r="AK1012" s="11" t="str">
        <f>IFERROR(IF(MARÍTIMOS[[#This Row],[Etapa Ingreso - Atención]]="","",MARÍTIMOS[[#This Row],[Etapa Ingreso - Atención]]),"")</f>
        <v/>
      </c>
      <c r="AL1012" s="11" t="str">
        <f>IFERROR(IF(MARÍTIMOS[[#This Row],[Etapa Ingreso - Salida]]="","",MARÍTIMOS[[#This Row],[Etapa Ingreso - Salida]]),"")</f>
        <v/>
      </c>
      <c r="AM1012" s="2" t="str">
        <f>IFERROR(IF(MARÍTIMOS[[#This Row],[FCL]]="","",MARÍTIMOS[[#This Row],[FCL]]),"")</f>
        <v/>
      </c>
      <c r="AN101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2" s="4" t="str" cm="1">
        <f t="array" ref="AO101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2" s="5" t="str">
        <f>IFERROR(OLDBD[[#This Row],[Llegada a packing]]-OLDBD[[#This Row],[Inicio de Ruta]],"")</f>
        <v/>
      </c>
      <c r="AQ1012" s="6" t="str">
        <f>IFERROR(OLDBD[[#This Row],[Inicio de Ruta]]-OLDBD[[#This Row],[Salida de almacén de retiro]],"")</f>
        <v/>
      </c>
      <c r="AR101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2" s="8" t="str" cm="1">
        <f t="array" ref="AS101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2" s="9" t="str">
        <f>IFERROR(OLDBD[[#This Row],[Ingreso Packing]]-OLDBD[[#This Row],[Registro en Packing]],"")</f>
        <v/>
      </c>
      <c r="AV1012" s="9" t="str">
        <f>IFERROR(OLDBD[[#This Row],[Ingreso Packing]]-OLDBD[[#This Row],[Llegada a packing]],"")</f>
        <v/>
      </c>
      <c r="AW101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2" s="5" t="str">
        <f>IFERROR(OLDBD[[#This Row],[Llegada Almacén de Ingreso]]-OLDBD[[#This Row],[Salida Packing]],"")</f>
        <v/>
      </c>
      <c r="AY1012" s="4" t="str" cm="1">
        <f t="array" ref="AY101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2" s="43" t="s">
        <v>173</v>
      </c>
      <c r="BB1012" s="47" t="str">
        <f>IFERROR(IF(MARÍTIMOS[[#This Row],[Estatus]]="","",MARÍTIMOS[[#This Row],[Estatus]]),"")</f>
        <v/>
      </c>
      <c r="BC1012" s="43"/>
      <c r="BD1012" s="46" t="str">
        <f>IFERROR(OLDBD[[#This Row],[Salida de almacén de retiro]]-OLDBD[[#This Row],[Ingreso Almacén de retiro]],"")</f>
        <v/>
      </c>
      <c r="BE1012" s="46" t="str">
        <f>IFERROR(OLDBD[[#This Row],[Fin de Carga]]-OLDBD[[#This Row],[Inicio de Carga]],"")</f>
        <v/>
      </c>
    </row>
    <row r="1013" spans="1:57" customFormat="1" hidden="1">
      <c r="A1013" s="1"/>
      <c r="B1013" s="1" t="str">
        <f>IFERROR(IF(MARÍTIMOS[[#This Row],[PP]]="","",MARÍTIMOS[[#This Row],[PP]]),"")</f>
        <v/>
      </c>
      <c r="C1013" s="1" t="str">
        <f>IFERROR(IF(MARÍTIMOS[[#This Row],[Sede]]="","",MARÍTIMOS[[#This Row],[Sede]]),"")</f>
        <v/>
      </c>
      <c r="D1013" s="1" t="str">
        <f>IFERROR(IF(MARÍTIMOS[[#This Row],[Instruction]]="","",MARÍTIMOS[[#This Row],[Instruction]]),"")</f>
        <v/>
      </c>
      <c r="E1013" s="1"/>
      <c r="F1013" s="2" t="str">
        <f>IFERROR(IF(MARÍTIMOS[[#This Row],[Transportista]]="","",MARÍTIMOS[[#This Row],[Transportista]]),"")</f>
        <v/>
      </c>
      <c r="G1013" s="2" t="str">
        <f>IFERROR(IF(MARÍTIMOS[[#This Row],[Tercero]]="","",MARÍTIMOS[[#This Row],[Tercero]]),"")</f>
        <v/>
      </c>
      <c r="H1013" s="2" t="str">
        <f>IFERROR(IF(MARÍTIMOS[[#This Row],[Razón Social]]="","",MARÍTIMOS[[#This Row],[Razón Social]]),"")</f>
        <v/>
      </c>
      <c r="I1013" s="2" t="str">
        <f>IFERROR(IF(MARÍTIMOS[[#This Row],[RUC]]="","",MARÍTIMOS[[#This Row],[RUC]]),"")</f>
        <v/>
      </c>
      <c r="J1013" s="2" t="str">
        <f>IFERROR(IF(MARÍTIMOS[[#This Row],[Placa Tracto]]="","",MARÍTIMOS[[#This Row],[Placa Tracto]]),"")</f>
        <v/>
      </c>
      <c r="K1013" s="2" t="str">
        <f>IFERROR(IF(MARÍTIMOS[[#This Row],[Placa Carreta]]="","",MARÍTIMOS[[#This Row],[Placa Carreta]]),"")</f>
        <v/>
      </c>
      <c r="L1013" s="44" t="str">
        <f>IFERROR(IF(MARÍTIMOS[[#This Row],[Conductor]]="","",MARÍTIMOS[[#This Row],[Conductor]]),"")</f>
        <v/>
      </c>
      <c r="M1013" s="2" t="str">
        <f>IFERROR(IF(MARÍTIMOS[[#This Row],[Licencia]]="","",MARÍTIMOS[[#This Row],[Licencia]]),"")</f>
        <v/>
      </c>
      <c r="N1013" s="2" t="str">
        <f>IFERROR(IF(MARÍTIMOS[[#This Row],[Número de Contacto]]="","",MARÍTIMOS[[#This Row],[Número de Contacto]]),"")</f>
        <v/>
      </c>
      <c r="O1013" s="10" t="str">
        <f>IFERROR(IF(MARÍTIMOS[[#This Row],[Booking|AWB|CRT]]="","",MARÍTIMOS[[#This Row],[Booking|AWB|CRT]]),"")</f>
        <v/>
      </c>
      <c r="P1013" s="2" t="str">
        <f>IFERROR(IF(MARÍTIMOS[[#This Row],[Contenedor]]="","",MARÍTIMOS[[#This Row],[Contenedor]]),"")</f>
        <v/>
      </c>
      <c r="Q1013" s="2" t="str">
        <f>IFERROR(IF(MARÍTIMOS[[#This Row],[Puerto de Retiro]]="","",MARÍTIMOS[[#This Row],[Puerto de Retiro]]),"")</f>
        <v/>
      </c>
      <c r="R1013" s="2" t="str">
        <f>IFERROR(IF(MARÍTIMOS[[#This Row],[Almacén de Retiro]]="","",MARÍTIMOS[[#This Row],[Almacén de Retiro]]),"")</f>
        <v/>
      </c>
      <c r="S1013" s="11" t="str">
        <f>IFERROR(IF(MARÍTIMOS[[#This Row],[Etapa Retiro - Cita]]="","",MARÍTIMOS[[#This Row],[Etapa Retiro - Cita]]),"")</f>
        <v/>
      </c>
      <c r="T1013" s="11" t="str">
        <f>IFERROR(IF(MARÍTIMOS[[#This Row],[Etapa Retiro - Llegada]]="","",MARÍTIMOS[[#This Row],[Etapa Retiro - Llegada]]),"")</f>
        <v/>
      </c>
      <c r="U1013" s="11" t="str">
        <f>IFERROR(IF(MARÍTIMOS[[#This Row],[Etapa Retiro - Ingreso]]="","",MARÍTIMOS[[#This Row],[Etapa Retiro - Ingreso]]),"")</f>
        <v/>
      </c>
      <c r="V1013" s="11" t="str">
        <f>IFERROR(IF(MARÍTIMOS[[#This Row],[Etapa Retiro - Atención]]="","",MARÍTIMOS[[#This Row],[Etapa Retiro - Atención]]),"")</f>
        <v/>
      </c>
      <c r="W1013" s="11" t="str">
        <f>IFERROR(IF(MARÍTIMOS[[#This Row],[Etapa Retiro - Atención]]="","",MARÍTIMOS[[#This Row],[Etapa Retiro - Atención]]),"")</f>
        <v/>
      </c>
      <c r="X1013" s="11" t="str">
        <f>IFERROR(IF(MARÍTIMOS[[#This Row],[Etapa Retiro - Inicio de Ruta]]="","",MARÍTIMOS[[#This Row],[Etapa Retiro - Inicio de Ruta]]),"")</f>
        <v/>
      </c>
      <c r="Y1013" s="11" t="str">
        <f>IFERROR(IF(MARÍTIMOS[[#This Row],[Hora de Posicionamiento]]="","",MARÍTIMOS[[#This Row],[Fecha de Carga]]+MARÍTIMOS[[#This Row],[Hora de Posicionamiento]]),"")</f>
        <v/>
      </c>
      <c r="Z1013" s="11" t="str">
        <f>IFERROR(IF(MARÍTIMOS[[#This Row],[Etapa Despacho - Llegada]]="","",MARÍTIMOS[[#This Row],[Etapa Despacho - Llegada]]),"")</f>
        <v/>
      </c>
      <c r="AA1013" s="11" t="str">
        <f>IFERROR(IF(MARÍTIMOS[[#This Row],[Etapa Despacho - Registro]]="","",MARÍTIMOS[[#This Row],[Etapa Despacho - Registro]]),"")</f>
        <v/>
      </c>
      <c r="AB1013" s="11" t="str">
        <f>IFERROR(IF(MARÍTIMOS[[#This Row],[Inspección Externa]]="","",MARÍTIMOS[[#This Row],[Inspección Externa]]),"")</f>
        <v/>
      </c>
      <c r="AC1013" s="11" t="str">
        <f>IFERROR(IF(MARÍTIMOS[[#This Row],[Etapa Despacho - Inicio de Carga]]="","",MARÍTIMOS[[#This Row],[Etapa Despacho - Inicio de Carga]]),"")</f>
        <v/>
      </c>
      <c r="AD1013" s="11" t="str">
        <f>IFERROR(IF(MARÍTIMOS[[#This Row],[Etapa Despacho - Mitad de Carga]]="","",MARÍTIMOS[[#This Row],[Etapa Despacho - Mitad de Carga]]),"")</f>
        <v/>
      </c>
      <c r="AE1013" s="11" t="str">
        <f>IFERROR(IF(MARÍTIMOS[[#This Row],[Etapa Despacho - Fin de Carga]]="","",MARÍTIMOS[[#This Row],[Etapa Despacho - Fin de Carga]]),"")</f>
        <v/>
      </c>
      <c r="AF1013" s="2" t="str">
        <f>IFERROR(IF(MARÍTIMOS[[#This Row],[Puerto de Embarque]]="","",MARÍTIMOS[[#This Row],[Puerto de Embarque]]),"")</f>
        <v/>
      </c>
      <c r="AG1013" s="2" t="str">
        <f>IFERROR(IF(MARÍTIMOS[[#This Row],[Almacén de Ingreso]]="","",MARÍTIMOS[[#This Row],[Almacén de Ingreso]]),"")</f>
        <v/>
      </c>
      <c r="AH1013" s="11" t="str">
        <f>IFERROR(IF(MARÍTIMOS[[#This Row],[Etapa Ingreso - Cita]]="","",MARÍTIMOS[[#This Row],[Etapa Ingreso - Cita]]),"")</f>
        <v/>
      </c>
      <c r="AI1013" s="11" t="str">
        <f>IFERROR(IF(MARÍTIMOS[[#This Row],[Etapa Ingreso - Llegada]]="","",MARÍTIMOS[[#This Row],[Etapa Ingreso - Llegada]]),"")</f>
        <v/>
      </c>
      <c r="AJ1013" s="11" t="str">
        <f>IFERROR(IF(MARÍTIMOS[[#This Row],[Etapa Ingreso - Ingeso]]="","",MARÍTIMOS[[#This Row],[Etapa Ingreso - Ingeso]]),"")</f>
        <v/>
      </c>
      <c r="AK1013" s="11" t="str">
        <f>IFERROR(IF(MARÍTIMOS[[#This Row],[Etapa Ingreso - Atención]]="","",MARÍTIMOS[[#This Row],[Etapa Ingreso - Atención]]),"")</f>
        <v/>
      </c>
      <c r="AL1013" s="11" t="str">
        <f>IFERROR(IF(MARÍTIMOS[[#This Row],[Etapa Ingreso - Salida]]="","",MARÍTIMOS[[#This Row],[Etapa Ingreso - Salida]]),"")</f>
        <v/>
      </c>
      <c r="AM1013" s="2" t="str">
        <f>IFERROR(IF(MARÍTIMOS[[#This Row],[FCL]]="","",MARÍTIMOS[[#This Row],[FCL]]),"")</f>
        <v/>
      </c>
      <c r="AN101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3" s="4" t="str" cm="1">
        <f t="array" ref="AO101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3" s="5" t="str">
        <f>IFERROR(OLDBD[[#This Row],[Llegada a packing]]-OLDBD[[#This Row],[Inicio de Ruta]],"")</f>
        <v/>
      </c>
      <c r="AQ1013" s="6" t="str">
        <f>IFERROR(OLDBD[[#This Row],[Inicio de Ruta]]-OLDBD[[#This Row],[Salida de almacén de retiro]],"")</f>
        <v/>
      </c>
      <c r="AR101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3" s="8" t="str" cm="1">
        <f t="array" ref="AS101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3" s="9" t="str">
        <f>IFERROR(OLDBD[[#This Row],[Ingreso Packing]]-OLDBD[[#This Row],[Registro en Packing]],"")</f>
        <v/>
      </c>
      <c r="AV1013" s="9" t="str">
        <f>IFERROR(OLDBD[[#This Row],[Ingreso Packing]]-OLDBD[[#This Row],[Llegada a packing]],"")</f>
        <v/>
      </c>
      <c r="AW101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3" s="5" t="str">
        <f>IFERROR(OLDBD[[#This Row],[Llegada Almacén de Ingreso]]-OLDBD[[#This Row],[Salida Packing]],"")</f>
        <v/>
      </c>
      <c r="AY1013" s="4" t="str" cm="1">
        <f t="array" ref="AY101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3" s="43" t="s">
        <v>173</v>
      </c>
      <c r="BB1013" s="47" t="str">
        <f>IFERROR(IF(MARÍTIMOS[[#This Row],[Estatus]]="","",MARÍTIMOS[[#This Row],[Estatus]]),"")</f>
        <v/>
      </c>
      <c r="BC1013" s="43"/>
      <c r="BD1013" s="46" t="str">
        <f>IFERROR(OLDBD[[#This Row],[Salida de almacén de retiro]]-OLDBD[[#This Row],[Ingreso Almacén de retiro]],"")</f>
        <v/>
      </c>
      <c r="BE1013" s="46" t="str">
        <f>IFERROR(OLDBD[[#This Row],[Fin de Carga]]-OLDBD[[#This Row],[Inicio de Carga]],"")</f>
        <v/>
      </c>
    </row>
    <row r="1014" spans="1:57" customFormat="1" hidden="1">
      <c r="A1014" s="1"/>
      <c r="B1014" s="1" t="str">
        <f>IFERROR(IF(MARÍTIMOS[[#This Row],[PP]]="","",MARÍTIMOS[[#This Row],[PP]]),"")</f>
        <v/>
      </c>
      <c r="C1014" s="1" t="str">
        <f>IFERROR(IF(MARÍTIMOS[[#This Row],[Sede]]="","",MARÍTIMOS[[#This Row],[Sede]]),"")</f>
        <v/>
      </c>
      <c r="D1014" s="1" t="str">
        <f>IFERROR(IF(MARÍTIMOS[[#This Row],[Instruction]]="","",MARÍTIMOS[[#This Row],[Instruction]]),"")</f>
        <v/>
      </c>
      <c r="E1014" s="1"/>
      <c r="F1014" s="2" t="str">
        <f>IFERROR(IF(MARÍTIMOS[[#This Row],[Transportista]]="","",MARÍTIMOS[[#This Row],[Transportista]]),"")</f>
        <v/>
      </c>
      <c r="G1014" s="2" t="str">
        <f>IFERROR(IF(MARÍTIMOS[[#This Row],[Tercero]]="","",MARÍTIMOS[[#This Row],[Tercero]]),"")</f>
        <v/>
      </c>
      <c r="H1014" s="2" t="str">
        <f>IFERROR(IF(MARÍTIMOS[[#This Row],[Razón Social]]="","",MARÍTIMOS[[#This Row],[Razón Social]]),"")</f>
        <v/>
      </c>
      <c r="I1014" s="2" t="str">
        <f>IFERROR(IF(MARÍTIMOS[[#This Row],[RUC]]="","",MARÍTIMOS[[#This Row],[RUC]]),"")</f>
        <v/>
      </c>
      <c r="J1014" s="2" t="str">
        <f>IFERROR(IF(MARÍTIMOS[[#This Row],[Placa Tracto]]="","",MARÍTIMOS[[#This Row],[Placa Tracto]]),"")</f>
        <v/>
      </c>
      <c r="K1014" s="2" t="str">
        <f>IFERROR(IF(MARÍTIMOS[[#This Row],[Placa Carreta]]="","",MARÍTIMOS[[#This Row],[Placa Carreta]]),"")</f>
        <v/>
      </c>
      <c r="L1014" s="44" t="str">
        <f>IFERROR(IF(MARÍTIMOS[[#This Row],[Conductor]]="","",MARÍTIMOS[[#This Row],[Conductor]]),"")</f>
        <v/>
      </c>
      <c r="M1014" s="2" t="str">
        <f>IFERROR(IF(MARÍTIMOS[[#This Row],[Licencia]]="","",MARÍTIMOS[[#This Row],[Licencia]]),"")</f>
        <v/>
      </c>
      <c r="N1014" s="2" t="str">
        <f>IFERROR(IF(MARÍTIMOS[[#This Row],[Número de Contacto]]="","",MARÍTIMOS[[#This Row],[Número de Contacto]]),"")</f>
        <v/>
      </c>
      <c r="O1014" s="10" t="str">
        <f>IFERROR(IF(MARÍTIMOS[[#This Row],[Booking|AWB|CRT]]="","",MARÍTIMOS[[#This Row],[Booking|AWB|CRT]]),"")</f>
        <v/>
      </c>
      <c r="P1014" s="2" t="str">
        <f>IFERROR(IF(MARÍTIMOS[[#This Row],[Contenedor]]="","",MARÍTIMOS[[#This Row],[Contenedor]]),"")</f>
        <v/>
      </c>
      <c r="Q1014" s="2" t="str">
        <f>IFERROR(IF(MARÍTIMOS[[#This Row],[Puerto de Retiro]]="","",MARÍTIMOS[[#This Row],[Puerto de Retiro]]),"")</f>
        <v/>
      </c>
      <c r="R1014" s="2" t="str">
        <f>IFERROR(IF(MARÍTIMOS[[#This Row],[Almacén de Retiro]]="","",MARÍTIMOS[[#This Row],[Almacén de Retiro]]),"")</f>
        <v/>
      </c>
      <c r="S1014" s="11" t="str">
        <f>IFERROR(IF(MARÍTIMOS[[#This Row],[Etapa Retiro - Cita]]="","",MARÍTIMOS[[#This Row],[Etapa Retiro - Cita]]),"")</f>
        <v/>
      </c>
      <c r="T1014" s="11" t="str">
        <f>IFERROR(IF(MARÍTIMOS[[#This Row],[Etapa Retiro - Llegada]]="","",MARÍTIMOS[[#This Row],[Etapa Retiro - Llegada]]),"")</f>
        <v/>
      </c>
      <c r="U1014" s="11" t="str">
        <f>IFERROR(IF(MARÍTIMOS[[#This Row],[Etapa Retiro - Ingreso]]="","",MARÍTIMOS[[#This Row],[Etapa Retiro - Ingreso]]),"")</f>
        <v/>
      </c>
      <c r="V1014" s="11" t="str">
        <f>IFERROR(IF(MARÍTIMOS[[#This Row],[Etapa Retiro - Atención]]="","",MARÍTIMOS[[#This Row],[Etapa Retiro - Atención]]),"")</f>
        <v/>
      </c>
      <c r="W1014" s="11" t="str">
        <f>IFERROR(IF(MARÍTIMOS[[#This Row],[Etapa Retiro - Atención]]="","",MARÍTIMOS[[#This Row],[Etapa Retiro - Atención]]),"")</f>
        <v/>
      </c>
      <c r="X1014" s="11" t="str">
        <f>IFERROR(IF(MARÍTIMOS[[#This Row],[Etapa Retiro - Inicio de Ruta]]="","",MARÍTIMOS[[#This Row],[Etapa Retiro - Inicio de Ruta]]),"")</f>
        <v/>
      </c>
      <c r="Y1014" s="11" t="str">
        <f>IFERROR(IF(MARÍTIMOS[[#This Row],[Hora de Posicionamiento]]="","",MARÍTIMOS[[#This Row],[Fecha de Carga]]+MARÍTIMOS[[#This Row],[Hora de Posicionamiento]]),"")</f>
        <v/>
      </c>
      <c r="Z1014" s="11" t="str">
        <f>IFERROR(IF(MARÍTIMOS[[#This Row],[Etapa Despacho - Llegada]]="","",MARÍTIMOS[[#This Row],[Etapa Despacho - Llegada]]),"")</f>
        <v/>
      </c>
      <c r="AA1014" s="11" t="str">
        <f>IFERROR(IF(MARÍTIMOS[[#This Row],[Etapa Despacho - Registro]]="","",MARÍTIMOS[[#This Row],[Etapa Despacho - Registro]]),"")</f>
        <v/>
      </c>
      <c r="AB1014" s="11" t="str">
        <f>IFERROR(IF(MARÍTIMOS[[#This Row],[Inspección Externa]]="","",MARÍTIMOS[[#This Row],[Inspección Externa]]),"")</f>
        <v/>
      </c>
      <c r="AC1014" s="11" t="str">
        <f>IFERROR(IF(MARÍTIMOS[[#This Row],[Etapa Despacho - Inicio de Carga]]="","",MARÍTIMOS[[#This Row],[Etapa Despacho - Inicio de Carga]]),"")</f>
        <v/>
      </c>
      <c r="AD1014" s="11" t="str">
        <f>IFERROR(IF(MARÍTIMOS[[#This Row],[Etapa Despacho - Mitad de Carga]]="","",MARÍTIMOS[[#This Row],[Etapa Despacho - Mitad de Carga]]),"")</f>
        <v/>
      </c>
      <c r="AE1014" s="11" t="str">
        <f>IFERROR(IF(MARÍTIMOS[[#This Row],[Etapa Despacho - Fin de Carga]]="","",MARÍTIMOS[[#This Row],[Etapa Despacho - Fin de Carga]]),"")</f>
        <v/>
      </c>
      <c r="AF1014" s="2" t="str">
        <f>IFERROR(IF(MARÍTIMOS[[#This Row],[Puerto de Embarque]]="","",MARÍTIMOS[[#This Row],[Puerto de Embarque]]),"")</f>
        <v/>
      </c>
      <c r="AG1014" s="2" t="str">
        <f>IFERROR(IF(MARÍTIMOS[[#This Row],[Almacén de Ingreso]]="","",MARÍTIMOS[[#This Row],[Almacén de Ingreso]]),"")</f>
        <v/>
      </c>
      <c r="AH1014" s="11" t="str">
        <f>IFERROR(IF(MARÍTIMOS[[#This Row],[Etapa Ingreso - Cita]]="","",MARÍTIMOS[[#This Row],[Etapa Ingreso - Cita]]),"")</f>
        <v/>
      </c>
      <c r="AI1014" s="11" t="str">
        <f>IFERROR(IF(MARÍTIMOS[[#This Row],[Etapa Ingreso - Llegada]]="","",MARÍTIMOS[[#This Row],[Etapa Ingreso - Llegada]]),"")</f>
        <v/>
      </c>
      <c r="AJ1014" s="11" t="str">
        <f>IFERROR(IF(MARÍTIMOS[[#This Row],[Etapa Ingreso - Ingeso]]="","",MARÍTIMOS[[#This Row],[Etapa Ingreso - Ingeso]]),"")</f>
        <v/>
      </c>
      <c r="AK1014" s="11" t="str">
        <f>IFERROR(IF(MARÍTIMOS[[#This Row],[Etapa Ingreso - Atención]]="","",MARÍTIMOS[[#This Row],[Etapa Ingreso - Atención]]),"")</f>
        <v/>
      </c>
      <c r="AL1014" s="11" t="str">
        <f>IFERROR(IF(MARÍTIMOS[[#This Row],[Etapa Ingreso - Salida]]="","",MARÍTIMOS[[#This Row],[Etapa Ingreso - Salida]]),"")</f>
        <v/>
      </c>
      <c r="AM1014" s="2" t="str">
        <f>IFERROR(IF(MARÍTIMOS[[#This Row],[FCL]]="","",MARÍTIMOS[[#This Row],[FCL]]),"")</f>
        <v/>
      </c>
      <c r="AN101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4" s="4" t="str" cm="1">
        <f t="array" ref="AO101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4" s="5" t="str">
        <f>IFERROR(OLDBD[[#This Row],[Llegada a packing]]-OLDBD[[#This Row],[Inicio de Ruta]],"")</f>
        <v/>
      </c>
      <c r="AQ1014" s="6" t="str">
        <f>IFERROR(OLDBD[[#This Row],[Inicio de Ruta]]-OLDBD[[#This Row],[Salida de almacén de retiro]],"")</f>
        <v/>
      </c>
      <c r="AR101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4" s="8" t="str" cm="1">
        <f t="array" ref="AS101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4" s="9" t="str">
        <f>IFERROR(OLDBD[[#This Row],[Ingreso Packing]]-OLDBD[[#This Row],[Registro en Packing]],"")</f>
        <v/>
      </c>
      <c r="AV1014" s="9" t="str">
        <f>IFERROR(OLDBD[[#This Row],[Ingreso Packing]]-OLDBD[[#This Row],[Llegada a packing]],"")</f>
        <v/>
      </c>
      <c r="AW101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4" s="5" t="str">
        <f>IFERROR(OLDBD[[#This Row],[Llegada Almacén de Ingreso]]-OLDBD[[#This Row],[Salida Packing]],"")</f>
        <v/>
      </c>
      <c r="AY1014" s="4" t="str" cm="1">
        <f t="array" ref="AY101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4" s="43" t="s">
        <v>173</v>
      </c>
      <c r="BB1014" s="47" t="str">
        <f>IFERROR(IF(MARÍTIMOS[[#This Row],[Estatus]]="","",MARÍTIMOS[[#This Row],[Estatus]]),"")</f>
        <v/>
      </c>
      <c r="BC1014" s="43"/>
      <c r="BD1014" s="46" t="str">
        <f>IFERROR(OLDBD[[#This Row],[Salida de almacén de retiro]]-OLDBD[[#This Row],[Ingreso Almacén de retiro]],"")</f>
        <v/>
      </c>
      <c r="BE1014" s="46" t="str">
        <f>IFERROR(OLDBD[[#This Row],[Fin de Carga]]-OLDBD[[#This Row],[Inicio de Carga]],"")</f>
        <v/>
      </c>
    </row>
    <row r="1015" spans="1:57" customFormat="1" hidden="1">
      <c r="A1015" s="1"/>
      <c r="B1015" s="1" t="str">
        <f>IFERROR(IF(MARÍTIMOS[[#This Row],[PP]]="","",MARÍTIMOS[[#This Row],[PP]]),"")</f>
        <v/>
      </c>
      <c r="C1015" s="1" t="str">
        <f>IFERROR(IF(MARÍTIMOS[[#This Row],[Sede]]="","",MARÍTIMOS[[#This Row],[Sede]]),"")</f>
        <v/>
      </c>
      <c r="D1015" s="1" t="str">
        <f>IFERROR(IF(MARÍTIMOS[[#This Row],[Instruction]]="","",MARÍTIMOS[[#This Row],[Instruction]]),"")</f>
        <v/>
      </c>
      <c r="E1015" s="1"/>
      <c r="F1015" s="2" t="str">
        <f>IFERROR(IF(MARÍTIMOS[[#This Row],[Transportista]]="","",MARÍTIMOS[[#This Row],[Transportista]]),"")</f>
        <v/>
      </c>
      <c r="G1015" s="2" t="str">
        <f>IFERROR(IF(MARÍTIMOS[[#This Row],[Tercero]]="","",MARÍTIMOS[[#This Row],[Tercero]]),"")</f>
        <v/>
      </c>
      <c r="H1015" s="2" t="str">
        <f>IFERROR(IF(MARÍTIMOS[[#This Row],[Razón Social]]="","",MARÍTIMOS[[#This Row],[Razón Social]]),"")</f>
        <v/>
      </c>
      <c r="I1015" s="2" t="str">
        <f>IFERROR(IF(MARÍTIMOS[[#This Row],[RUC]]="","",MARÍTIMOS[[#This Row],[RUC]]),"")</f>
        <v/>
      </c>
      <c r="J1015" s="2" t="str">
        <f>IFERROR(IF(MARÍTIMOS[[#This Row],[Placa Tracto]]="","",MARÍTIMOS[[#This Row],[Placa Tracto]]),"")</f>
        <v/>
      </c>
      <c r="K1015" s="2" t="str">
        <f>IFERROR(IF(MARÍTIMOS[[#This Row],[Placa Carreta]]="","",MARÍTIMOS[[#This Row],[Placa Carreta]]),"")</f>
        <v/>
      </c>
      <c r="L1015" s="44" t="str">
        <f>IFERROR(IF(MARÍTIMOS[[#This Row],[Conductor]]="","",MARÍTIMOS[[#This Row],[Conductor]]),"")</f>
        <v/>
      </c>
      <c r="M1015" s="2" t="str">
        <f>IFERROR(IF(MARÍTIMOS[[#This Row],[Licencia]]="","",MARÍTIMOS[[#This Row],[Licencia]]),"")</f>
        <v/>
      </c>
      <c r="N1015" s="2" t="str">
        <f>IFERROR(IF(MARÍTIMOS[[#This Row],[Número de Contacto]]="","",MARÍTIMOS[[#This Row],[Número de Contacto]]),"")</f>
        <v/>
      </c>
      <c r="O1015" s="10" t="str">
        <f>IFERROR(IF(MARÍTIMOS[[#This Row],[Booking|AWB|CRT]]="","",MARÍTIMOS[[#This Row],[Booking|AWB|CRT]]),"")</f>
        <v/>
      </c>
      <c r="P1015" s="2" t="str">
        <f>IFERROR(IF(MARÍTIMOS[[#This Row],[Contenedor]]="","",MARÍTIMOS[[#This Row],[Contenedor]]),"")</f>
        <v/>
      </c>
      <c r="Q1015" s="2" t="str">
        <f>IFERROR(IF(MARÍTIMOS[[#This Row],[Puerto de Retiro]]="","",MARÍTIMOS[[#This Row],[Puerto de Retiro]]),"")</f>
        <v/>
      </c>
      <c r="R1015" s="2" t="str">
        <f>IFERROR(IF(MARÍTIMOS[[#This Row],[Almacén de Retiro]]="","",MARÍTIMOS[[#This Row],[Almacén de Retiro]]),"")</f>
        <v/>
      </c>
      <c r="S1015" s="11" t="str">
        <f>IFERROR(IF(MARÍTIMOS[[#This Row],[Etapa Retiro - Cita]]="","",MARÍTIMOS[[#This Row],[Etapa Retiro - Cita]]),"")</f>
        <v/>
      </c>
      <c r="T1015" s="11" t="str">
        <f>IFERROR(IF(MARÍTIMOS[[#This Row],[Etapa Retiro - Llegada]]="","",MARÍTIMOS[[#This Row],[Etapa Retiro - Llegada]]),"")</f>
        <v/>
      </c>
      <c r="U1015" s="11" t="str">
        <f>IFERROR(IF(MARÍTIMOS[[#This Row],[Etapa Retiro - Ingreso]]="","",MARÍTIMOS[[#This Row],[Etapa Retiro - Ingreso]]),"")</f>
        <v/>
      </c>
      <c r="V1015" s="11" t="str">
        <f>IFERROR(IF(MARÍTIMOS[[#This Row],[Etapa Retiro - Atención]]="","",MARÍTIMOS[[#This Row],[Etapa Retiro - Atención]]),"")</f>
        <v/>
      </c>
      <c r="W1015" s="11" t="str">
        <f>IFERROR(IF(MARÍTIMOS[[#This Row],[Etapa Retiro - Atención]]="","",MARÍTIMOS[[#This Row],[Etapa Retiro - Atención]]),"")</f>
        <v/>
      </c>
      <c r="X1015" s="11" t="str">
        <f>IFERROR(IF(MARÍTIMOS[[#This Row],[Etapa Retiro - Inicio de Ruta]]="","",MARÍTIMOS[[#This Row],[Etapa Retiro - Inicio de Ruta]]),"")</f>
        <v/>
      </c>
      <c r="Y1015" s="11" t="str">
        <f>IFERROR(IF(MARÍTIMOS[[#This Row],[Hora de Posicionamiento]]="","",MARÍTIMOS[[#This Row],[Fecha de Carga]]+MARÍTIMOS[[#This Row],[Hora de Posicionamiento]]),"")</f>
        <v/>
      </c>
      <c r="Z1015" s="11" t="str">
        <f>IFERROR(IF(MARÍTIMOS[[#This Row],[Etapa Despacho - Llegada]]="","",MARÍTIMOS[[#This Row],[Etapa Despacho - Llegada]]),"")</f>
        <v/>
      </c>
      <c r="AA1015" s="11" t="str">
        <f>IFERROR(IF(MARÍTIMOS[[#This Row],[Etapa Despacho - Registro]]="","",MARÍTIMOS[[#This Row],[Etapa Despacho - Registro]]),"")</f>
        <v/>
      </c>
      <c r="AB1015" s="11" t="str">
        <f>IFERROR(IF(MARÍTIMOS[[#This Row],[Inspección Externa]]="","",MARÍTIMOS[[#This Row],[Inspección Externa]]),"")</f>
        <v/>
      </c>
      <c r="AC1015" s="11" t="str">
        <f>IFERROR(IF(MARÍTIMOS[[#This Row],[Etapa Despacho - Inicio de Carga]]="","",MARÍTIMOS[[#This Row],[Etapa Despacho - Inicio de Carga]]),"")</f>
        <v/>
      </c>
      <c r="AD1015" s="11" t="str">
        <f>IFERROR(IF(MARÍTIMOS[[#This Row],[Etapa Despacho - Mitad de Carga]]="","",MARÍTIMOS[[#This Row],[Etapa Despacho - Mitad de Carga]]),"")</f>
        <v/>
      </c>
      <c r="AE1015" s="11" t="str">
        <f>IFERROR(IF(MARÍTIMOS[[#This Row],[Etapa Despacho - Fin de Carga]]="","",MARÍTIMOS[[#This Row],[Etapa Despacho - Fin de Carga]]),"")</f>
        <v/>
      </c>
      <c r="AF1015" s="2" t="str">
        <f>IFERROR(IF(MARÍTIMOS[[#This Row],[Puerto de Embarque]]="","",MARÍTIMOS[[#This Row],[Puerto de Embarque]]),"")</f>
        <v/>
      </c>
      <c r="AG1015" s="2" t="str">
        <f>IFERROR(IF(MARÍTIMOS[[#This Row],[Almacén de Ingreso]]="","",MARÍTIMOS[[#This Row],[Almacén de Ingreso]]),"")</f>
        <v/>
      </c>
      <c r="AH1015" s="11" t="str">
        <f>IFERROR(IF(MARÍTIMOS[[#This Row],[Etapa Ingreso - Cita]]="","",MARÍTIMOS[[#This Row],[Etapa Ingreso - Cita]]),"")</f>
        <v/>
      </c>
      <c r="AI1015" s="11" t="str">
        <f>IFERROR(IF(MARÍTIMOS[[#This Row],[Etapa Ingreso - Llegada]]="","",MARÍTIMOS[[#This Row],[Etapa Ingreso - Llegada]]),"")</f>
        <v/>
      </c>
      <c r="AJ1015" s="11" t="str">
        <f>IFERROR(IF(MARÍTIMOS[[#This Row],[Etapa Ingreso - Ingeso]]="","",MARÍTIMOS[[#This Row],[Etapa Ingreso - Ingeso]]),"")</f>
        <v/>
      </c>
      <c r="AK1015" s="11" t="str">
        <f>IFERROR(IF(MARÍTIMOS[[#This Row],[Etapa Ingreso - Atención]]="","",MARÍTIMOS[[#This Row],[Etapa Ingreso - Atención]]),"")</f>
        <v/>
      </c>
      <c r="AL1015" s="11" t="str">
        <f>IFERROR(IF(MARÍTIMOS[[#This Row],[Etapa Ingreso - Salida]]="","",MARÍTIMOS[[#This Row],[Etapa Ingreso - Salida]]),"")</f>
        <v/>
      </c>
      <c r="AM1015" s="2" t="str">
        <f>IFERROR(IF(MARÍTIMOS[[#This Row],[FCL]]="","",MARÍTIMOS[[#This Row],[FCL]]),"")</f>
        <v/>
      </c>
      <c r="AN101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5" s="4" t="str" cm="1">
        <f t="array" ref="AO101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5" s="5" t="str">
        <f>IFERROR(OLDBD[[#This Row],[Llegada a packing]]-OLDBD[[#This Row],[Inicio de Ruta]],"")</f>
        <v/>
      </c>
      <c r="AQ1015" s="6" t="str">
        <f>IFERROR(OLDBD[[#This Row],[Inicio de Ruta]]-OLDBD[[#This Row],[Salida de almacén de retiro]],"")</f>
        <v/>
      </c>
      <c r="AR101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5" s="8" t="str" cm="1">
        <f t="array" ref="AS101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5" s="9" t="str">
        <f>IFERROR(OLDBD[[#This Row],[Ingreso Packing]]-OLDBD[[#This Row],[Registro en Packing]],"")</f>
        <v/>
      </c>
      <c r="AV1015" s="9" t="str">
        <f>IFERROR(OLDBD[[#This Row],[Ingreso Packing]]-OLDBD[[#This Row],[Llegada a packing]],"")</f>
        <v/>
      </c>
      <c r="AW101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5" s="5" t="str">
        <f>IFERROR(OLDBD[[#This Row],[Llegada Almacén de Ingreso]]-OLDBD[[#This Row],[Salida Packing]],"")</f>
        <v/>
      </c>
      <c r="AY1015" s="4" t="str" cm="1">
        <f t="array" ref="AY101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5" s="43" t="s">
        <v>173</v>
      </c>
      <c r="BB1015" s="47" t="str">
        <f>IFERROR(IF(MARÍTIMOS[[#This Row],[Estatus]]="","",MARÍTIMOS[[#This Row],[Estatus]]),"")</f>
        <v/>
      </c>
      <c r="BC1015" s="43"/>
      <c r="BD1015" s="46" t="str">
        <f>IFERROR(OLDBD[[#This Row],[Salida de almacén de retiro]]-OLDBD[[#This Row],[Ingreso Almacén de retiro]],"")</f>
        <v/>
      </c>
      <c r="BE1015" s="46" t="str">
        <f>IFERROR(OLDBD[[#This Row],[Fin de Carga]]-OLDBD[[#This Row],[Inicio de Carga]],"")</f>
        <v/>
      </c>
    </row>
    <row r="1016" spans="1:57" customFormat="1" hidden="1">
      <c r="A1016" s="1"/>
      <c r="B1016" s="1" t="str">
        <f>IFERROR(IF(MARÍTIMOS[[#This Row],[PP]]="","",MARÍTIMOS[[#This Row],[PP]]),"")</f>
        <v/>
      </c>
      <c r="C1016" s="1" t="str">
        <f>IFERROR(IF(MARÍTIMOS[[#This Row],[Sede]]="","",MARÍTIMOS[[#This Row],[Sede]]),"")</f>
        <v/>
      </c>
      <c r="D1016" s="1" t="str">
        <f>IFERROR(IF(MARÍTIMOS[[#This Row],[Instruction]]="","",MARÍTIMOS[[#This Row],[Instruction]]),"")</f>
        <v/>
      </c>
      <c r="E1016" s="1"/>
      <c r="F1016" s="2" t="str">
        <f>IFERROR(IF(MARÍTIMOS[[#This Row],[Transportista]]="","",MARÍTIMOS[[#This Row],[Transportista]]),"")</f>
        <v/>
      </c>
      <c r="G1016" s="2" t="str">
        <f>IFERROR(IF(MARÍTIMOS[[#This Row],[Tercero]]="","",MARÍTIMOS[[#This Row],[Tercero]]),"")</f>
        <v/>
      </c>
      <c r="H1016" s="2" t="str">
        <f>IFERROR(IF(MARÍTIMOS[[#This Row],[Razón Social]]="","",MARÍTIMOS[[#This Row],[Razón Social]]),"")</f>
        <v/>
      </c>
      <c r="I1016" s="2" t="str">
        <f>IFERROR(IF(MARÍTIMOS[[#This Row],[RUC]]="","",MARÍTIMOS[[#This Row],[RUC]]),"")</f>
        <v/>
      </c>
      <c r="J1016" s="2" t="str">
        <f>IFERROR(IF(MARÍTIMOS[[#This Row],[Placa Tracto]]="","",MARÍTIMOS[[#This Row],[Placa Tracto]]),"")</f>
        <v/>
      </c>
      <c r="K1016" s="2" t="str">
        <f>IFERROR(IF(MARÍTIMOS[[#This Row],[Placa Carreta]]="","",MARÍTIMOS[[#This Row],[Placa Carreta]]),"")</f>
        <v/>
      </c>
      <c r="L1016" s="44" t="str">
        <f>IFERROR(IF(MARÍTIMOS[[#This Row],[Conductor]]="","",MARÍTIMOS[[#This Row],[Conductor]]),"")</f>
        <v/>
      </c>
      <c r="M1016" s="2" t="str">
        <f>IFERROR(IF(MARÍTIMOS[[#This Row],[Licencia]]="","",MARÍTIMOS[[#This Row],[Licencia]]),"")</f>
        <v/>
      </c>
      <c r="N1016" s="2" t="str">
        <f>IFERROR(IF(MARÍTIMOS[[#This Row],[Número de Contacto]]="","",MARÍTIMOS[[#This Row],[Número de Contacto]]),"")</f>
        <v/>
      </c>
      <c r="O1016" s="10" t="str">
        <f>IFERROR(IF(MARÍTIMOS[[#This Row],[Booking|AWB|CRT]]="","",MARÍTIMOS[[#This Row],[Booking|AWB|CRT]]),"")</f>
        <v/>
      </c>
      <c r="P1016" s="2" t="str">
        <f>IFERROR(IF(MARÍTIMOS[[#This Row],[Contenedor]]="","",MARÍTIMOS[[#This Row],[Contenedor]]),"")</f>
        <v/>
      </c>
      <c r="Q1016" s="2" t="str">
        <f>IFERROR(IF(MARÍTIMOS[[#This Row],[Puerto de Retiro]]="","",MARÍTIMOS[[#This Row],[Puerto de Retiro]]),"")</f>
        <v/>
      </c>
      <c r="R1016" s="2" t="str">
        <f>IFERROR(IF(MARÍTIMOS[[#This Row],[Almacén de Retiro]]="","",MARÍTIMOS[[#This Row],[Almacén de Retiro]]),"")</f>
        <v/>
      </c>
      <c r="S1016" s="11" t="str">
        <f>IFERROR(IF(MARÍTIMOS[[#This Row],[Etapa Retiro - Cita]]="","",MARÍTIMOS[[#This Row],[Etapa Retiro - Cita]]),"")</f>
        <v/>
      </c>
      <c r="T1016" s="11" t="str">
        <f>IFERROR(IF(MARÍTIMOS[[#This Row],[Etapa Retiro - Llegada]]="","",MARÍTIMOS[[#This Row],[Etapa Retiro - Llegada]]),"")</f>
        <v/>
      </c>
      <c r="U1016" s="11" t="str">
        <f>IFERROR(IF(MARÍTIMOS[[#This Row],[Etapa Retiro - Ingreso]]="","",MARÍTIMOS[[#This Row],[Etapa Retiro - Ingreso]]),"")</f>
        <v/>
      </c>
      <c r="V1016" s="11" t="str">
        <f>IFERROR(IF(MARÍTIMOS[[#This Row],[Etapa Retiro - Atención]]="","",MARÍTIMOS[[#This Row],[Etapa Retiro - Atención]]),"")</f>
        <v/>
      </c>
      <c r="W1016" s="11" t="str">
        <f>IFERROR(IF(MARÍTIMOS[[#This Row],[Etapa Retiro - Atención]]="","",MARÍTIMOS[[#This Row],[Etapa Retiro - Atención]]),"")</f>
        <v/>
      </c>
      <c r="X1016" s="11" t="str">
        <f>IFERROR(IF(MARÍTIMOS[[#This Row],[Etapa Retiro - Inicio de Ruta]]="","",MARÍTIMOS[[#This Row],[Etapa Retiro - Inicio de Ruta]]),"")</f>
        <v/>
      </c>
      <c r="Y1016" s="11" t="str">
        <f>IFERROR(IF(MARÍTIMOS[[#This Row],[Hora de Posicionamiento]]="","",MARÍTIMOS[[#This Row],[Fecha de Carga]]+MARÍTIMOS[[#This Row],[Hora de Posicionamiento]]),"")</f>
        <v/>
      </c>
      <c r="Z1016" s="11" t="str">
        <f>IFERROR(IF(MARÍTIMOS[[#This Row],[Etapa Despacho - Llegada]]="","",MARÍTIMOS[[#This Row],[Etapa Despacho - Llegada]]),"")</f>
        <v/>
      </c>
      <c r="AA1016" s="11" t="str">
        <f>IFERROR(IF(MARÍTIMOS[[#This Row],[Etapa Despacho - Registro]]="","",MARÍTIMOS[[#This Row],[Etapa Despacho - Registro]]),"")</f>
        <v/>
      </c>
      <c r="AB1016" s="11" t="str">
        <f>IFERROR(IF(MARÍTIMOS[[#This Row],[Inspección Externa]]="","",MARÍTIMOS[[#This Row],[Inspección Externa]]),"")</f>
        <v/>
      </c>
      <c r="AC1016" s="11" t="str">
        <f>IFERROR(IF(MARÍTIMOS[[#This Row],[Etapa Despacho - Inicio de Carga]]="","",MARÍTIMOS[[#This Row],[Etapa Despacho - Inicio de Carga]]),"")</f>
        <v/>
      </c>
      <c r="AD1016" s="11" t="str">
        <f>IFERROR(IF(MARÍTIMOS[[#This Row],[Etapa Despacho - Mitad de Carga]]="","",MARÍTIMOS[[#This Row],[Etapa Despacho - Mitad de Carga]]),"")</f>
        <v/>
      </c>
      <c r="AE1016" s="11" t="str">
        <f>IFERROR(IF(MARÍTIMOS[[#This Row],[Etapa Despacho - Fin de Carga]]="","",MARÍTIMOS[[#This Row],[Etapa Despacho - Fin de Carga]]),"")</f>
        <v/>
      </c>
      <c r="AF1016" s="2" t="str">
        <f>IFERROR(IF(MARÍTIMOS[[#This Row],[Puerto de Embarque]]="","",MARÍTIMOS[[#This Row],[Puerto de Embarque]]),"")</f>
        <v/>
      </c>
      <c r="AG1016" s="2" t="str">
        <f>IFERROR(IF(MARÍTIMOS[[#This Row],[Almacén de Ingreso]]="","",MARÍTIMOS[[#This Row],[Almacén de Ingreso]]),"")</f>
        <v/>
      </c>
      <c r="AH1016" s="11" t="str">
        <f>IFERROR(IF(MARÍTIMOS[[#This Row],[Etapa Ingreso - Cita]]="","",MARÍTIMOS[[#This Row],[Etapa Ingreso - Cita]]),"")</f>
        <v/>
      </c>
      <c r="AI1016" s="11" t="str">
        <f>IFERROR(IF(MARÍTIMOS[[#This Row],[Etapa Ingreso - Llegada]]="","",MARÍTIMOS[[#This Row],[Etapa Ingreso - Llegada]]),"")</f>
        <v/>
      </c>
      <c r="AJ1016" s="11" t="str">
        <f>IFERROR(IF(MARÍTIMOS[[#This Row],[Etapa Ingreso - Ingeso]]="","",MARÍTIMOS[[#This Row],[Etapa Ingreso - Ingeso]]),"")</f>
        <v/>
      </c>
      <c r="AK1016" s="11" t="str">
        <f>IFERROR(IF(MARÍTIMOS[[#This Row],[Etapa Ingreso - Atención]]="","",MARÍTIMOS[[#This Row],[Etapa Ingreso - Atención]]),"")</f>
        <v/>
      </c>
      <c r="AL1016" s="11" t="str">
        <f>IFERROR(IF(MARÍTIMOS[[#This Row],[Etapa Ingreso - Salida]]="","",MARÍTIMOS[[#This Row],[Etapa Ingreso - Salida]]),"")</f>
        <v/>
      </c>
      <c r="AM1016" s="2" t="str">
        <f>IFERROR(IF(MARÍTIMOS[[#This Row],[FCL]]="","",MARÍTIMOS[[#This Row],[FCL]]),"")</f>
        <v/>
      </c>
      <c r="AN101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6" s="4" t="str" cm="1">
        <f t="array" ref="AO101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6" s="5" t="str">
        <f>IFERROR(OLDBD[[#This Row],[Llegada a packing]]-OLDBD[[#This Row],[Inicio de Ruta]],"")</f>
        <v/>
      </c>
      <c r="AQ1016" s="6" t="str">
        <f>IFERROR(OLDBD[[#This Row],[Inicio de Ruta]]-OLDBD[[#This Row],[Salida de almacén de retiro]],"")</f>
        <v/>
      </c>
      <c r="AR101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6" s="8" t="str" cm="1">
        <f t="array" ref="AS101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6" s="9" t="str">
        <f>IFERROR(OLDBD[[#This Row],[Ingreso Packing]]-OLDBD[[#This Row],[Registro en Packing]],"")</f>
        <v/>
      </c>
      <c r="AV1016" s="9" t="str">
        <f>IFERROR(OLDBD[[#This Row],[Ingreso Packing]]-OLDBD[[#This Row],[Llegada a packing]],"")</f>
        <v/>
      </c>
      <c r="AW101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6" s="5" t="str">
        <f>IFERROR(OLDBD[[#This Row],[Llegada Almacén de Ingreso]]-OLDBD[[#This Row],[Salida Packing]],"")</f>
        <v/>
      </c>
      <c r="AY1016" s="4" t="str" cm="1">
        <f t="array" ref="AY101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6" s="43" t="s">
        <v>173</v>
      </c>
      <c r="BB1016" s="47" t="str">
        <f>IFERROR(IF(MARÍTIMOS[[#This Row],[Estatus]]="","",MARÍTIMOS[[#This Row],[Estatus]]),"")</f>
        <v/>
      </c>
      <c r="BC1016" s="43"/>
      <c r="BD1016" s="46" t="str">
        <f>IFERROR(OLDBD[[#This Row],[Salida de almacén de retiro]]-OLDBD[[#This Row],[Ingreso Almacén de retiro]],"")</f>
        <v/>
      </c>
      <c r="BE1016" s="46" t="str">
        <f>IFERROR(OLDBD[[#This Row],[Fin de Carga]]-OLDBD[[#This Row],[Inicio de Carga]],"")</f>
        <v/>
      </c>
    </row>
    <row r="1017" spans="1:57" customFormat="1" hidden="1">
      <c r="A1017" s="1"/>
      <c r="B1017" s="1" t="str">
        <f>IFERROR(IF(MARÍTIMOS[[#This Row],[PP]]="","",MARÍTIMOS[[#This Row],[PP]]),"")</f>
        <v/>
      </c>
      <c r="C1017" s="1" t="str">
        <f>IFERROR(IF(MARÍTIMOS[[#This Row],[Sede]]="","",MARÍTIMOS[[#This Row],[Sede]]),"")</f>
        <v/>
      </c>
      <c r="D1017" s="1" t="str">
        <f>IFERROR(IF(MARÍTIMOS[[#This Row],[Instruction]]="","",MARÍTIMOS[[#This Row],[Instruction]]),"")</f>
        <v/>
      </c>
      <c r="E1017" s="1"/>
      <c r="F1017" s="2" t="str">
        <f>IFERROR(IF(MARÍTIMOS[[#This Row],[Transportista]]="","",MARÍTIMOS[[#This Row],[Transportista]]),"")</f>
        <v/>
      </c>
      <c r="G1017" s="2" t="str">
        <f>IFERROR(IF(MARÍTIMOS[[#This Row],[Tercero]]="","",MARÍTIMOS[[#This Row],[Tercero]]),"")</f>
        <v/>
      </c>
      <c r="H1017" s="2" t="str">
        <f>IFERROR(IF(MARÍTIMOS[[#This Row],[Razón Social]]="","",MARÍTIMOS[[#This Row],[Razón Social]]),"")</f>
        <v/>
      </c>
      <c r="I1017" s="2" t="str">
        <f>IFERROR(IF(MARÍTIMOS[[#This Row],[RUC]]="","",MARÍTIMOS[[#This Row],[RUC]]),"")</f>
        <v/>
      </c>
      <c r="J1017" s="2" t="str">
        <f>IFERROR(IF(MARÍTIMOS[[#This Row],[Placa Tracto]]="","",MARÍTIMOS[[#This Row],[Placa Tracto]]),"")</f>
        <v/>
      </c>
      <c r="K1017" s="2" t="str">
        <f>IFERROR(IF(MARÍTIMOS[[#This Row],[Placa Carreta]]="","",MARÍTIMOS[[#This Row],[Placa Carreta]]),"")</f>
        <v/>
      </c>
      <c r="L1017" s="44" t="str">
        <f>IFERROR(IF(MARÍTIMOS[[#This Row],[Conductor]]="","",MARÍTIMOS[[#This Row],[Conductor]]),"")</f>
        <v/>
      </c>
      <c r="M1017" s="2" t="str">
        <f>IFERROR(IF(MARÍTIMOS[[#This Row],[Licencia]]="","",MARÍTIMOS[[#This Row],[Licencia]]),"")</f>
        <v/>
      </c>
      <c r="N1017" s="2" t="str">
        <f>IFERROR(IF(MARÍTIMOS[[#This Row],[Número de Contacto]]="","",MARÍTIMOS[[#This Row],[Número de Contacto]]),"")</f>
        <v/>
      </c>
      <c r="O1017" s="10" t="str">
        <f>IFERROR(IF(MARÍTIMOS[[#This Row],[Booking|AWB|CRT]]="","",MARÍTIMOS[[#This Row],[Booking|AWB|CRT]]),"")</f>
        <v/>
      </c>
      <c r="P1017" s="2" t="str">
        <f>IFERROR(IF(MARÍTIMOS[[#This Row],[Contenedor]]="","",MARÍTIMOS[[#This Row],[Contenedor]]),"")</f>
        <v/>
      </c>
      <c r="Q1017" s="2" t="str">
        <f>IFERROR(IF(MARÍTIMOS[[#This Row],[Puerto de Retiro]]="","",MARÍTIMOS[[#This Row],[Puerto de Retiro]]),"")</f>
        <v/>
      </c>
      <c r="R1017" s="2" t="str">
        <f>IFERROR(IF(MARÍTIMOS[[#This Row],[Almacén de Retiro]]="","",MARÍTIMOS[[#This Row],[Almacén de Retiro]]),"")</f>
        <v/>
      </c>
      <c r="S1017" s="11" t="str">
        <f>IFERROR(IF(MARÍTIMOS[[#This Row],[Etapa Retiro - Cita]]="","",MARÍTIMOS[[#This Row],[Etapa Retiro - Cita]]),"")</f>
        <v/>
      </c>
      <c r="T1017" s="11" t="str">
        <f>IFERROR(IF(MARÍTIMOS[[#This Row],[Etapa Retiro - Llegada]]="","",MARÍTIMOS[[#This Row],[Etapa Retiro - Llegada]]),"")</f>
        <v/>
      </c>
      <c r="U1017" s="11" t="str">
        <f>IFERROR(IF(MARÍTIMOS[[#This Row],[Etapa Retiro - Ingreso]]="","",MARÍTIMOS[[#This Row],[Etapa Retiro - Ingreso]]),"")</f>
        <v/>
      </c>
      <c r="V1017" s="11" t="str">
        <f>IFERROR(IF(MARÍTIMOS[[#This Row],[Etapa Retiro - Atención]]="","",MARÍTIMOS[[#This Row],[Etapa Retiro - Atención]]),"")</f>
        <v/>
      </c>
      <c r="W1017" s="11" t="str">
        <f>IFERROR(IF(MARÍTIMOS[[#This Row],[Etapa Retiro - Atención]]="","",MARÍTIMOS[[#This Row],[Etapa Retiro - Atención]]),"")</f>
        <v/>
      </c>
      <c r="X1017" s="11" t="str">
        <f>IFERROR(IF(MARÍTIMOS[[#This Row],[Etapa Retiro - Inicio de Ruta]]="","",MARÍTIMOS[[#This Row],[Etapa Retiro - Inicio de Ruta]]),"")</f>
        <v/>
      </c>
      <c r="Y1017" s="11" t="str">
        <f>IFERROR(IF(MARÍTIMOS[[#This Row],[Hora de Posicionamiento]]="","",MARÍTIMOS[[#This Row],[Fecha de Carga]]+MARÍTIMOS[[#This Row],[Hora de Posicionamiento]]),"")</f>
        <v/>
      </c>
      <c r="Z1017" s="11" t="str">
        <f>IFERROR(IF(MARÍTIMOS[[#This Row],[Etapa Despacho - Llegada]]="","",MARÍTIMOS[[#This Row],[Etapa Despacho - Llegada]]),"")</f>
        <v/>
      </c>
      <c r="AA1017" s="11" t="str">
        <f>IFERROR(IF(MARÍTIMOS[[#This Row],[Etapa Despacho - Registro]]="","",MARÍTIMOS[[#This Row],[Etapa Despacho - Registro]]),"")</f>
        <v/>
      </c>
      <c r="AB1017" s="11" t="str">
        <f>IFERROR(IF(MARÍTIMOS[[#This Row],[Inspección Externa]]="","",MARÍTIMOS[[#This Row],[Inspección Externa]]),"")</f>
        <v/>
      </c>
      <c r="AC1017" s="11" t="str">
        <f>IFERROR(IF(MARÍTIMOS[[#This Row],[Etapa Despacho - Inicio de Carga]]="","",MARÍTIMOS[[#This Row],[Etapa Despacho - Inicio de Carga]]),"")</f>
        <v/>
      </c>
      <c r="AD1017" s="11" t="str">
        <f>IFERROR(IF(MARÍTIMOS[[#This Row],[Etapa Despacho - Mitad de Carga]]="","",MARÍTIMOS[[#This Row],[Etapa Despacho - Mitad de Carga]]),"")</f>
        <v/>
      </c>
      <c r="AE1017" s="11" t="str">
        <f>IFERROR(IF(MARÍTIMOS[[#This Row],[Etapa Despacho - Fin de Carga]]="","",MARÍTIMOS[[#This Row],[Etapa Despacho - Fin de Carga]]),"")</f>
        <v/>
      </c>
      <c r="AF1017" s="2" t="str">
        <f>IFERROR(IF(MARÍTIMOS[[#This Row],[Puerto de Embarque]]="","",MARÍTIMOS[[#This Row],[Puerto de Embarque]]),"")</f>
        <v/>
      </c>
      <c r="AG1017" s="2" t="str">
        <f>IFERROR(IF(MARÍTIMOS[[#This Row],[Almacén de Ingreso]]="","",MARÍTIMOS[[#This Row],[Almacén de Ingreso]]),"")</f>
        <v/>
      </c>
      <c r="AH1017" s="11" t="str">
        <f>IFERROR(IF(MARÍTIMOS[[#This Row],[Etapa Ingreso - Cita]]="","",MARÍTIMOS[[#This Row],[Etapa Ingreso - Cita]]),"")</f>
        <v/>
      </c>
      <c r="AI1017" s="11" t="str">
        <f>IFERROR(IF(MARÍTIMOS[[#This Row],[Etapa Ingreso - Llegada]]="","",MARÍTIMOS[[#This Row],[Etapa Ingreso - Llegada]]),"")</f>
        <v/>
      </c>
      <c r="AJ1017" s="11" t="str">
        <f>IFERROR(IF(MARÍTIMOS[[#This Row],[Etapa Ingreso - Ingeso]]="","",MARÍTIMOS[[#This Row],[Etapa Ingreso - Ingeso]]),"")</f>
        <v/>
      </c>
      <c r="AK1017" s="11" t="str">
        <f>IFERROR(IF(MARÍTIMOS[[#This Row],[Etapa Ingreso - Atención]]="","",MARÍTIMOS[[#This Row],[Etapa Ingreso - Atención]]),"")</f>
        <v/>
      </c>
      <c r="AL1017" s="11" t="str">
        <f>IFERROR(IF(MARÍTIMOS[[#This Row],[Etapa Ingreso - Salida]]="","",MARÍTIMOS[[#This Row],[Etapa Ingreso - Salida]]),"")</f>
        <v/>
      </c>
      <c r="AM1017" s="2" t="str">
        <f>IFERROR(IF(MARÍTIMOS[[#This Row],[FCL]]="","",MARÍTIMOS[[#This Row],[FCL]]),"")</f>
        <v/>
      </c>
      <c r="AN101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7" s="4" t="str" cm="1">
        <f t="array" ref="AO101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7" s="5" t="str">
        <f>IFERROR(OLDBD[[#This Row],[Llegada a packing]]-OLDBD[[#This Row],[Inicio de Ruta]],"")</f>
        <v/>
      </c>
      <c r="AQ1017" s="6" t="str">
        <f>IFERROR(OLDBD[[#This Row],[Inicio de Ruta]]-OLDBD[[#This Row],[Salida de almacén de retiro]],"")</f>
        <v/>
      </c>
      <c r="AR101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7" s="8" t="str" cm="1">
        <f t="array" ref="AS101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7" s="9" t="str">
        <f>IFERROR(OLDBD[[#This Row],[Ingreso Packing]]-OLDBD[[#This Row],[Registro en Packing]],"")</f>
        <v/>
      </c>
      <c r="AV1017" s="9" t="str">
        <f>IFERROR(OLDBD[[#This Row],[Ingreso Packing]]-OLDBD[[#This Row],[Llegada a packing]],"")</f>
        <v/>
      </c>
      <c r="AW101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7" s="5" t="str">
        <f>IFERROR(OLDBD[[#This Row],[Llegada Almacén de Ingreso]]-OLDBD[[#This Row],[Salida Packing]],"")</f>
        <v/>
      </c>
      <c r="AY1017" s="4" t="str" cm="1">
        <f t="array" ref="AY101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7" s="43" t="s">
        <v>173</v>
      </c>
      <c r="BB1017" s="47" t="str">
        <f>IFERROR(IF(MARÍTIMOS[[#This Row],[Estatus]]="","",MARÍTIMOS[[#This Row],[Estatus]]),"")</f>
        <v/>
      </c>
      <c r="BC1017" s="43"/>
      <c r="BD1017" s="46" t="str">
        <f>IFERROR(OLDBD[[#This Row],[Salida de almacén de retiro]]-OLDBD[[#This Row],[Ingreso Almacén de retiro]],"")</f>
        <v/>
      </c>
      <c r="BE1017" s="46" t="str">
        <f>IFERROR(OLDBD[[#This Row],[Fin de Carga]]-OLDBD[[#This Row],[Inicio de Carga]],"")</f>
        <v/>
      </c>
    </row>
    <row r="1018" spans="1:57" customFormat="1" hidden="1">
      <c r="A1018" s="1"/>
      <c r="B1018" s="1" t="str">
        <f>IFERROR(IF(MARÍTIMOS[[#This Row],[PP]]="","",MARÍTIMOS[[#This Row],[PP]]),"")</f>
        <v/>
      </c>
      <c r="C1018" s="1" t="str">
        <f>IFERROR(IF(MARÍTIMOS[[#This Row],[Sede]]="","",MARÍTIMOS[[#This Row],[Sede]]),"")</f>
        <v/>
      </c>
      <c r="D1018" s="1" t="str">
        <f>IFERROR(IF(MARÍTIMOS[[#This Row],[Instruction]]="","",MARÍTIMOS[[#This Row],[Instruction]]),"")</f>
        <v/>
      </c>
      <c r="E1018" s="1"/>
      <c r="F1018" s="2" t="str">
        <f>IFERROR(IF(MARÍTIMOS[[#This Row],[Transportista]]="","",MARÍTIMOS[[#This Row],[Transportista]]),"")</f>
        <v/>
      </c>
      <c r="G1018" s="2" t="str">
        <f>IFERROR(IF(MARÍTIMOS[[#This Row],[Tercero]]="","",MARÍTIMOS[[#This Row],[Tercero]]),"")</f>
        <v/>
      </c>
      <c r="H1018" s="2" t="str">
        <f>IFERROR(IF(MARÍTIMOS[[#This Row],[Razón Social]]="","",MARÍTIMOS[[#This Row],[Razón Social]]),"")</f>
        <v/>
      </c>
      <c r="I1018" s="2" t="str">
        <f>IFERROR(IF(MARÍTIMOS[[#This Row],[RUC]]="","",MARÍTIMOS[[#This Row],[RUC]]),"")</f>
        <v/>
      </c>
      <c r="J1018" s="2" t="str">
        <f>IFERROR(IF(MARÍTIMOS[[#This Row],[Placa Tracto]]="","",MARÍTIMOS[[#This Row],[Placa Tracto]]),"")</f>
        <v/>
      </c>
      <c r="K1018" s="2" t="str">
        <f>IFERROR(IF(MARÍTIMOS[[#This Row],[Placa Carreta]]="","",MARÍTIMOS[[#This Row],[Placa Carreta]]),"")</f>
        <v/>
      </c>
      <c r="L1018" s="44" t="str">
        <f>IFERROR(IF(MARÍTIMOS[[#This Row],[Conductor]]="","",MARÍTIMOS[[#This Row],[Conductor]]),"")</f>
        <v/>
      </c>
      <c r="M1018" s="2" t="str">
        <f>IFERROR(IF(MARÍTIMOS[[#This Row],[Licencia]]="","",MARÍTIMOS[[#This Row],[Licencia]]),"")</f>
        <v/>
      </c>
      <c r="N1018" s="2" t="str">
        <f>IFERROR(IF(MARÍTIMOS[[#This Row],[Número de Contacto]]="","",MARÍTIMOS[[#This Row],[Número de Contacto]]),"")</f>
        <v/>
      </c>
      <c r="O1018" s="10" t="str">
        <f>IFERROR(IF(MARÍTIMOS[[#This Row],[Booking|AWB|CRT]]="","",MARÍTIMOS[[#This Row],[Booking|AWB|CRT]]),"")</f>
        <v/>
      </c>
      <c r="P1018" s="2" t="str">
        <f>IFERROR(IF(MARÍTIMOS[[#This Row],[Contenedor]]="","",MARÍTIMOS[[#This Row],[Contenedor]]),"")</f>
        <v/>
      </c>
      <c r="Q1018" s="2" t="str">
        <f>IFERROR(IF(MARÍTIMOS[[#This Row],[Puerto de Retiro]]="","",MARÍTIMOS[[#This Row],[Puerto de Retiro]]),"")</f>
        <v/>
      </c>
      <c r="R1018" s="2" t="str">
        <f>IFERROR(IF(MARÍTIMOS[[#This Row],[Almacén de Retiro]]="","",MARÍTIMOS[[#This Row],[Almacén de Retiro]]),"")</f>
        <v/>
      </c>
      <c r="S1018" s="11" t="str">
        <f>IFERROR(IF(MARÍTIMOS[[#This Row],[Etapa Retiro - Cita]]="","",MARÍTIMOS[[#This Row],[Etapa Retiro - Cita]]),"")</f>
        <v/>
      </c>
      <c r="T1018" s="11" t="str">
        <f>IFERROR(IF(MARÍTIMOS[[#This Row],[Etapa Retiro - Llegada]]="","",MARÍTIMOS[[#This Row],[Etapa Retiro - Llegada]]),"")</f>
        <v/>
      </c>
      <c r="U1018" s="11" t="str">
        <f>IFERROR(IF(MARÍTIMOS[[#This Row],[Etapa Retiro - Ingreso]]="","",MARÍTIMOS[[#This Row],[Etapa Retiro - Ingreso]]),"")</f>
        <v/>
      </c>
      <c r="V1018" s="11" t="str">
        <f>IFERROR(IF(MARÍTIMOS[[#This Row],[Etapa Retiro - Atención]]="","",MARÍTIMOS[[#This Row],[Etapa Retiro - Atención]]),"")</f>
        <v/>
      </c>
      <c r="W1018" s="11" t="str">
        <f>IFERROR(IF(MARÍTIMOS[[#This Row],[Etapa Retiro - Atención]]="","",MARÍTIMOS[[#This Row],[Etapa Retiro - Atención]]),"")</f>
        <v/>
      </c>
      <c r="X1018" s="11" t="str">
        <f>IFERROR(IF(MARÍTIMOS[[#This Row],[Etapa Retiro - Inicio de Ruta]]="","",MARÍTIMOS[[#This Row],[Etapa Retiro - Inicio de Ruta]]),"")</f>
        <v/>
      </c>
      <c r="Y1018" s="11" t="str">
        <f>IFERROR(IF(MARÍTIMOS[[#This Row],[Hora de Posicionamiento]]="","",MARÍTIMOS[[#This Row],[Fecha de Carga]]+MARÍTIMOS[[#This Row],[Hora de Posicionamiento]]),"")</f>
        <v/>
      </c>
      <c r="Z1018" s="11" t="str">
        <f>IFERROR(IF(MARÍTIMOS[[#This Row],[Etapa Despacho - Llegada]]="","",MARÍTIMOS[[#This Row],[Etapa Despacho - Llegada]]),"")</f>
        <v/>
      </c>
      <c r="AA1018" s="11" t="str">
        <f>IFERROR(IF(MARÍTIMOS[[#This Row],[Etapa Despacho - Registro]]="","",MARÍTIMOS[[#This Row],[Etapa Despacho - Registro]]),"")</f>
        <v/>
      </c>
      <c r="AB1018" s="11" t="str">
        <f>IFERROR(IF(MARÍTIMOS[[#This Row],[Inspección Externa]]="","",MARÍTIMOS[[#This Row],[Inspección Externa]]),"")</f>
        <v/>
      </c>
      <c r="AC1018" s="11" t="str">
        <f>IFERROR(IF(MARÍTIMOS[[#This Row],[Etapa Despacho - Inicio de Carga]]="","",MARÍTIMOS[[#This Row],[Etapa Despacho - Inicio de Carga]]),"")</f>
        <v/>
      </c>
      <c r="AD1018" s="11" t="str">
        <f>IFERROR(IF(MARÍTIMOS[[#This Row],[Etapa Despacho - Mitad de Carga]]="","",MARÍTIMOS[[#This Row],[Etapa Despacho - Mitad de Carga]]),"")</f>
        <v/>
      </c>
      <c r="AE1018" s="11" t="str">
        <f>IFERROR(IF(MARÍTIMOS[[#This Row],[Etapa Despacho - Fin de Carga]]="","",MARÍTIMOS[[#This Row],[Etapa Despacho - Fin de Carga]]),"")</f>
        <v/>
      </c>
      <c r="AF1018" s="2" t="str">
        <f>IFERROR(IF(MARÍTIMOS[[#This Row],[Puerto de Embarque]]="","",MARÍTIMOS[[#This Row],[Puerto de Embarque]]),"")</f>
        <v/>
      </c>
      <c r="AG1018" s="2" t="str">
        <f>IFERROR(IF(MARÍTIMOS[[#This Row],[Almacén de Ingreso]]="","",MARÍTIMOS[[#This Row],[Almacén de Ingreso]]),"")</f>
        <v/>
      </c>
      <c r="AH1018" s="11" t="str">
        <f>IFERROR(IF(MARÍTIMOS[[#This Row],[Etapa Ingreso - Cita]]="","",MARÍTIMOS[[#This Row],[Etapa Ingreso - Cita]]),"")</f>
        <v/>
      </c>
      <c r="AI1018" s="11" t="str">
        <f>IFERROR(IF(MARÍTIMOS[[#This Row],[Etapa Ingreso - Llegada]]="","",MARÍTIMOS[[#This Row],[Etapa Ingreso - Llegada]]),"")</f>
        <v/>
      </c>
      <c r="AJ1018" s="11" t="str">
        <f>IFERROR(IF(MARÍTIMOS[[#This Row],[Etapa Ingreso - Ingeso]]="","",MARÍTIMOS[[#This Row],[Etapa Ingreso - Ingeso]]),"")</f>
        <v/>
      </c>
      <c r="AK1018" s="11" t="str">
        <f>IFERROR(IF(MARÍTIMOS[[#This Row],[Etapa Ingreso - Atención]]="","",MARÍTIMOS[[#This Row],[Etapa Ingreso - Atención]]),"")</f>
        <v/>
      </c>
      <c r="AL1018" s="11" t="str">
        <f>IFERROR(IF(MARÍTIMOS[[#This Row],[Etapa Ingreso - Salida]]="","",MARÍTIMOS[[#This Row],[Etapa Ingreso - Salida]]),"")</f>
        <v/>
      </c>
      <c r="AM1018" s="2" t="str">
        <f>IFERROR(IF(MARÍTIMOS[[#This Row],[FCL]]="","",MARÍTIMOS[[#This Row],[FCL]]),"")</f>
        <v/>
      </c>
      <c r="AN101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8" s="4" t="str" cm="1">
        <f t="array" ref="AO101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8" s="5" t="str">
        <f>IFERROR(OLDBD[[#This Row],[Llegada a packing]]-OLDBD[[#This Row],[Inicio de Ruta]],"")</f>
        <v/>
      </c>
      <c r="AQ1018" s="6" t="str">
        <f>IFERROR(OLDBD[[#This Row],[Inicio de Ruta]]-OLDBD[[#This Row],[Salida de almacén de retiro]],"")</f>
        <v/>
      </c>
      <c r="AR101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8" s="8" t="str" cm="1">
        <f t="array" ref="AS101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8" s="9" t="str">
        <f>IFERROR(OLDBD[[#This Row],[Ingreso Packing]]-OLDBD[[#This Row],[Registro en Packing]],"")</f>
        <v/>
      </c>
      <c r="AV1018" s="9" t="str">
        <f>IFERROR(OLDBD[[#This Row],[Ingreso Packing]]-OLDBD[[#This Row],[Llegada a packing]],"")</f>
        <v/>
      </c>
      <c r="AW101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8" s="5" t="str">
        <f>IFERROR(OLDBD[[#This Row],[Llegada Almacén de Ingreso]]-OLDBD[[#This Row],[Salida Packing]],"")</f>
        <v/>
      </c>
      <c r="AY1018" s="4" t="str" cm="1">
        <f t="array" ref="AY101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8" s="43" t="s">
        <v>173</v>
      </c>
      <c r="BB1018" s="47" t="str">
        <f>IFERROR(IF(MARÍTIMOS[[#This Row],[Estatus]]="","",MARÍTIMOS[[#This Row],[Estatus]]),"")</f>
        <v/>
      </c>
      <c r="BC1018" s="43"/>
      <c r="BD1018" s="46" t="str">
        <f>IFERROR(OLDBD[[#This Row],[Salida de almacén de retiro]]-OLDBD[[#This Row],[Ingreso Almacén de retiro]],"")</f>
        <v/>
      </c>
      <c r="BE1018" s="46" t="str">
        <f>IFERROR(OLDBD[[#This Row],[Fin de Carga]]-OLDBD[[#This Row],[Inicio de Carga]],"")</f>
        <v/>
      </c>
    </row>
    <row r="1019" spans="1:57" customFormat="1" hidden="1">
      <c r="A1019" s="1"/>
      <c r="B1019" s="1" t="str">
        <f>IFERROR(IF(MARÍTIMOS[[#This Row],[PP]]="","",MARÍTIMOS[[#This Row],[PP]]),"")</f>
        <v/>
      </c>
      <c r="C1019" s="1" t="str">
        <f>IFERROR(IF(MARÍTIMOS[[#This Row],[Sede]]="","",MARÍTIMOS[[#This Row],[Sede]]),"")</f>
        <v/>
      </c>
      <c r="D1019" s="1" t="str">
        <f>IFERROR(IF(MARÍTIMOS[[#This Row],[Instruction]]="","",MARÍTIMOS[[#This Row],[Instruction]]),"")</f>
        <v/>
      </c>
      <c r="E1019" s="1"/>
      <c r="F1019" s="2" t="str">
        <f>IFERROR(IF(MARÍTIMOS[[#This Row],[Transportista]]="","",MARÍTIMOS[[#This Row],[Transportista]]),"")</f>
        <v/>
      </c>
      <c r="G1019" s="2" t="str">
        <f>IFERROR(IF(MARÍTIMOS[[#This Row],[Tercero]]="","",MARÍTIMOS[[#This Row],[Tercero]]),"")</f>
        <v/>
      </c>
      <c r="H1019" s="2" t="str">
        <f>IFERROR(IF(MARÍTIMOS[[#This Row],[Razón Social]]="","",MARÍTIMOS[[#This Row],[Razón Social]]),"")</f>
        <v/>
      </c>
      <c r="I1019" s="2" t="str">
        <f>IFERROR(IF(MARÍTIMOS[[#This Row],[RUC]]="","",MARÍTIMOS[[#This Row],[RUC]]),"")</f>
        <v/>
      </c>
      <c r="J1019" s="2" t="str">
        <f>IFERROR(IF(MARÍTIMOS[[#This Row],[Placa Tracto]]="","",MARÍTIMOS[[#This Row],[Placa Tracto]]),"")</f>
        <v/>
      </c>
      <c r="K1019" s="2" t="str">
        <f>IFERROR(IF(MARÍTIMOS[[#This Row],[Placa Carreta]]="","",MARÍTIMOS[[#This Row],[Placa Carreta]]),"")</f>
        <v/>
      </c>
      <c r="L1019" s="44" t="str">
        <f>IFERROR(IF(MARÍTIMOS[[#This Row],[Conductor]]="","",MARÍTIMOS[[#This Row],[Conductor]]),"")</f>
        <v/>
      </c>
      <c r="M1019" s="2" t="str">
        <f>IFERROR(IF(MARÍTIMOS[[#This Row],[Licencia]]="","",MARÍTIMOS[[#This Row],[Licencia]]),"")</f>
        <v/>
      </c>
      <c r="N1019" s="2" t="str">
        <f>IFERROR(IF(MARÍTIMOS[[#This Row],[Número de Contacto]]="","",MARÍTIMOS[[#This Row],[Número de Contacto]]),"")</f>
        <v/>
      </c>
      <c r="O1019" s="10" t="str">
        <f>IFERROR(IF(MARÍTIMOS[[#This Row],[Booking|AWB|CRT]]="","",MARÍTIMOS[[#This Row],[Booking|AWB|CRT]]),"")</f>
        <v/>
      </c>
      <c r="P1019" s="2" t="str">
        <f>IFERROR(IF(MARÍTIMOS[[#This Row],[Contenedor]]="","",MARÍTIMOS[[#This Row],[Contenedor]]),"")</f>
        <v/>
      </c>
      <c r="Q1019" s="2" t="str">
        <f>IFERROR(IF(MARÍTIMOS[[#This Row],[Puerto de Retiro]]="","",MARÍTIMOS[[#This Row],[Puerto de Retiro]]),"")</f>
        <v/>
      </c>
      <c r="R1019" s="2" t="str">
        <f>IFERROR(IF(MARÍTIMOS[[#This Row],[Almacén de Retiro]]="","",MARÍTIMOS[[#This Row],[Almacén de Retiro]]),"")</f>
        <v/>
      </c>
      <c r="S1019" s="11" t="str">
        <f>IFERROR(IF(MARÍTIMOS[[#This Row],[Etapa Retiro - Cita]]="","",MARÍTIMOS[[#This Row],[Etapa Retiro - Cita]]),"")</f>
        <v/>
      </c>
      <c r="T1019" s="11" t="str">
        <f>IFERROR(IF(MARÍTIMOS[[#This Row],[Etapa Retiro - Llegada]]="","",MARÍTIMOS[[#This Row],[Etapa Retiro - Llegada]]),"")</f>
        <v/>
      </c>
      <c r="U1019" s="11" t="str">
        <f>IFERROR(IF(MARÍTIMOS[[#This Row],[Etapa Retiro - Ingreso]]="","",MARÍTIMOS[[#This Row],[Etapa Retiro - Ingreso]]),"")</f>
        <v/>
      </c>
      <c r="V1019" s="11" t="str">
        <f>IFERROR(IF(MARÍTIMOS[[#This Row],[Etapa Retiro - Atención]]="","",MARÍTIMOS[[#This Row],[Etapa Retiro - Atención]]),"")</f>
        <v/>
      </c>
      <c r="W1019" s="11" t="str">
        <f>IFERROR(IF(MARÍTIMOS[[#This Row],[Etapa Retiro - Atención]]="","",MARÍTIMOS[[#This Row],[Etapa Retiro - Atención]]),"")</f>
        <v/>
      </c>
      <c r="X1019" s="11" t="str">
        <f>IFERROR(IF(MARÍTIMOS[[#This Row],[Etapa Retiro - Inicio de Ruta]]="","",MARÍTIMOS[[#This Row],[Etapa Retiro - Inicio de Ruta]]),"")</f>
        <v/>
      </c>
      <c r="Y1019" s="11" t="str">
        <f>IFERROR(IF(MARÍTIMOS[[#This Row],[Hora de Posicionamiento]]="","",MARÍTIMOS[[#This Row],[Fecha de Carga]]+MARÍTIMOS[[#This Row],[Hora de Posicionamiento]]),"")</f>
        <v/>
      </c>
      <c r="Z1019" s="11" t="str">
        <f>IFERROR(IF(MARÍTIMOS[[#This Row],[Etapa Despacho - Llegada]]="","",MARÍTIMOS[[#This Row],[Etapa Despacho - Llegada]]),"")</f>
        <v/>
      </c>
      <c r="AA1019" s="11" t="str">
        <f>IFERROR(IF(MARÍTIMOS[[#This Row],[Etapa Despacho - Registro]]="","",MARÍTIMOS[[#This Row],[Etapa Despacho - Registro]]),"")</f>
        <v/>
      </c>
      <c r="AB1019" s="11" t="str">
        <f>IFERROR(IF(MARÍTIMOS[[#This Row],[Inspección Externa]]="","",MARÍTIMOS[[#This Row],[Inspección Externa]]),"")</f>
        <v/>
      </c>
      <c r="AC1019" s="11" t="str">
        <f>IFERROR(IF(MARÍTIMOS[[#This Row],[Etapa Despacho - Inicio de Carga]]="","",MARÍTIMOS[[#This Row],[Etapa Despacho - Inicio de Carga]]),"")</f>
        <v/>
      </c>
      <c r="AD1019" s="11" t="str">
        <f>IFERROR(IF(MARÍTIMOS[[#This Row],[Etapa Despacho - Mitad de Carga]]="","",MARÍTIMOS[[#This Row],[Etapa Despacho - Mitad de Carga]]),"")</f>
        <v/>
      </c>
      <c r="AE1019" s="11" t="str">
        <f>IFERROR(IF(MARÍTIMOS[[#This Row],[Etapa Despacho - Fin de Carga]]="","",MARÍTIMOS[[#This Row],[Etapa Despacho - Fin de Carga]]),"")</f>
        <v/>
      </c>
      <c r="AF1019" s="2" t="str">
        <f>IFERROR(IF(MARÍTIMOS[[#This Row],[Puerto de Embarque]]="","",MARÍTIMOS[[#This Row],[Puerto de Embarque]]),"")</f>
        <v/>
      </c>
      <c r="AG1019" s="2" t="str">
        <f>IFERROR(IF(MARÍTIMOS[[#This Row],[Almacén de Ingreso]]="","",MARÍTIMOS[[#This Row],[Almacén de Ingreso]]),"")</f>
        <v/>
      </c>
      <c r="AH1019" s="11" t="str">
        <f>IFERROR(IF(MARÍTIMOS[[#This Row],[Etapa Ingreso - Cita]]="","",MARÍTIMOS[[#This Row],[Etapa Ingreso - Cita]]),"")</f>
        <v/>
      </c>
      <c r="AI1019" s="11" t="str">
        <f>IFERROR(IF(MARÍTIMOS[[#This Row],[Etapa Ingreso - Llegada]]="","",MARÍTIMOS[[#This Row],[Etapa Ingreso - Llegada]]),"")</f>
        <v/>
      </c>
      <c r="AJ1019" s="11" t="str">
        <f>IFERROR(IF(MARÍTIMOS[[#This Row],[Etapa Ingreso - Ingeso]]="","",MARÍTIMOS[[#This Row],[Etapa Ingreso - Ingeso]]),"")</f>
        <v/>
      </c>
      <c r="AK1019" s="11" t="str">
        <f>IFERROR(IF(MARÍTIMOS[[#This Row],[Etapa Ingreso - Atención]]="","",MARÍTIMOS[[#This Row],[Etapa Ingreso - Atención]]),"")</f>
        <v/>
      </c>
      <c r="AL1019" s="11" t="str">
        <f>IFERROR(IF(MARÍTIMOS[[#This Row],[Etapa Ingreso - Salida]]="","",MARÍTIMOS[[#This Row],[Etapa Ingreso - Salida]]),"")</f>
        <v/>
      </c>
      <c r="AM1019" s="2" t="str">
        <f>IFERROR(IF(MARÍTIMOS[[#This Row],[FCL]]="","",MARÍTIMOS[[#This Row],[FCL]]),"")</f>
        <v/>
      </c>
      <c r="AN101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19" s="4" t="str" cm="1">
        <f t="array" ref="AO101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19" s="5" t="str">
        <f>IFERROR(OLDBD[[#This Row],[Llegada a packing]]-OLDBD[[#This Row],[Inicio de Ruta]],"")</f>
        <v/>
      </c>
      <c r="AQ1019" s="6" t="str">
        <f>IFERROR(OLDBD[[#This Row],[Inicio de Ruta]]-OLDBD[[#This Row],[Salida de almacén de retiro]],"")</f>
        <v/>
      </c>
      <c r="AR101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19" s="8" t="str" cm="1">
        <f t="array" ref="AS101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1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19" s="9" t="str">
        <f>IFERROR(OLDBD[[#This Row],[Ingreso Packing]]-OLDBD[[#This Row],[Registro en Packing]],"")</f>
        <v/>
      </c>
      <c r="AV1019" s="9" t="str">
        <f>IFERROR(OLDBD[[#This Row],[Ingreso Packing]]-OLDBD[[#This Row],[Llegada a packing]],"")</f>
        <v/>
      </c>
      <c r="AW101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19" s="5" t="str">
        <f>IFERROR(OLDBD[[#This Row],[Llegada Almacén de Ingreso]]-OLDBD[[#This Row],[Salida Packing]],"")</f>
        <v/>
      </c>
      <c r="AY1019" s="4" t="str" cm="1">
        <f t="array" ref="AY101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1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19" s="43" t="s">
        <v>173</v>
      </c>
      <c r="BB1019" s="47" t="str">
        <f>IFERROR(IF(MARÍTIMOS[[#This Row],[Estatus]]="","",MARÍTIMOS[[#This Row],[Estatus]]),"")</f>
        <v/>
      </c>
      <c r="BC1019" s="43"/>
      <c r="BD1019" s="46" t="str">
        <f>IFERROR(OLDBD[[#This Row],[Salida de almacén de retiro]]-OLDBD[[#This Row],[Ingreso Almacén de retiro]],"")</f>
        <v/>
      </c>
      <c r="BE1019" s="46" t="str">
        <f>IFERROR(OLDBD[[#This Row],[Fin de Carga]]-OLDBD[[#This Row],[Inicio de Carga]],"")</f>
        <v/>
      </c>
    </row>
    <row r="1020" spans="1:57" customFormat="1" hidden="1">
      <c r="A1020" s="1"/>
      <c r="B1020" s="1" t="str">
        <f>IFERROR(IF(MARÍTIMOS[[#This Row],[PP]]="","",MARÍTIMOS[[#This Row],[PP]]),"")</f>
        <v/>
      </c>
      <c r="C1020" s="1" t="str">
        <f>IFERROR(IF(MARÍTIMOS[[#This Row],[Sede]]="","",MARÍTIMOS[[#This Row],[Sede]]),"")</f>
        <v/>
      </c>
      <c r="D1020" s="1" t="str">
        <f>IFERROR(IF(MARÍTIMOS[[#This Row],[Instruction]]="","",MARÍTIMOS[[#This Row],[Instruction]]),"")</f>
        <v/>
      </c>
      <c r="E1020" s="1"/>
      <c r="F1020" s="2" t="str">
        <f>IFERROR(IF(MARÍTIMOS[[#This Row],[Transportista]]="","",MARÍTIMOS[[#This Row],[Transportista]]),"")</f>
        <v/>
      </c>
      <c r="G1020" s="2" t="str">
        <f>IFERROR(IF(MARÍTIMOS[[#This Row],[Tercero]]="","",MARÍTIMOS[[#This Row],[Tercero]]),"")</f>
        <v/>
      </c>
      <c r="H1020" s="2" t="str">
        <f>IFERROR(IF(MARÍTIMOS[[#This Row],[Razón Social]]="","",MARÍTIMOS[[#This Row],[Razón Social]]),"")</f>
        <v/>
      </c>
      <c r="I1020" s="2" t="str">
        <f>IFERROR(IF(MARÍTIMOS[[#This Row],[RUC]]="","",MARÍTIMOS[[#This Row],[RUC]]),"")</f>
        <v/>
      </c>
      <c r="J1020" s="2" t="str">
        <f>IFERROR(IF(MARÍTIMOS[[#This Row],[Placa Tracto]]="","",MARÍTIMOS[[#This Row],[Placa Tracto]]),"")</f>
        <v/>
      </c>
      <c r="K1020" s="2" t="str">
        <f>IFERROR(IF(MARÍTIMOS[[#This Row],[Placa Carreta]]="","",MARÍTIMOS[[#This Row],[Placa Carreta]]),"")</f>
        <v/>
      </c>
      <c r="L1020" s="44" t="str">
        <f>IFERROR(IF(MARÍTIMOS[[#This Row],[Conductor]]="","",MARÍTIMOS[[#This Row],[Conductor]]),"")</f>
        <v/>
      </c>
      <c r="M1020" s="2" t="str">
        <f>IFERROR(IF(MARÍTIMOS[[#This Row],[Licencia]]="","",MARÍTIMOS[[#This Row],[Licencia]]),"")</f>
        <v/>
      </c>
      <c r="N1020" s="2" t="str">
        <f>IFERROR(IF(MARÍTIMOS[[#This Row],[Número de Contacto]]="","",MARÍTIMOS[[#This Row],[Número de Contacto]]),"")</f>
        <v/>
      </c>
      <c r="O1020" s="10" t="str">
        <f>IFERROR(IF(MARÍTIMOS[[#This Row],[Booking|AWB|CRT]]="","",MARÍTIMOS[[#This Row],[Booking|AWB|CRT]]),"")</f>
        <v/>
      </c>
      <c r="P1020" s="2" t="str">
        <f>IFERROR(IF(MARÍTIMOS[[#This Row],[Contenedor]]="","",MARÍTIMOS[[#This Row],[Contenedor]]),"")</f>
        <v/>
      </c>
      <c r="Q1020" s="2" t="str">
        <f>IFERROR(IF(MARÍTIMOS[[#This Row],[Puerto de Retiro]]="","",MARÍTIMOS[[#This Row],[Puerto de Retiro]]),"")</f>
        <v/>
      </c>
      <c r="R1020" s="2" t="str">
        <f>IFERROR(IF(MARÍTIMOS[[#This Row],[Almacén de Retiro]]="","",MARÍTIMOS[[#This Row],[Almacén de Retiro]]),"")</f>
        <v/>
      </c>
      <c r="S1020" s="11" t="str">
        <f>IFERROR(IF(MARÍTIMOS[[#This Row],[Etapa Retiro - Cita]]="","",MARÍTIMOS[[#This Row],[Etapa Retiro - Cita]]),"")</f>
        <v/>
      </c>
      <c r="T1020" s="11" t="str">
        <f>IFERROR(IF(MARÍTIMOS[[#This Row],[Etapa Retiro - Llegada]]="","",MARÍTIMOS[[#This Row],[Etapa Retiro - Llegada]]),"")</f>
        <v/>
      </c>
      <c r="U1020" s="11" t="str">
        <f>IFERROR(IF(MARÍTIMOS[[#This Row],[Etapa Retiro - Ingreso]]="","",MARÍTIMOS[[#This Row],[Etapa Retiro - Ingreso]]),"")</f>
        <v/>
      </c>
      <c r="V1020" s="11" t="str">
        <f>IFERROR(IF(MARÍTIMOS[[#This Row],[Etapa Retiro - Atención]]="","",MARÍTIMOS[[#This Row],[Etapa Retiro - Atención]]),"")</f>
        <v/>
      </c>
      <c r="W1020" s="11" t="str">
        <f>IFERROR(IF(MARÍTIMOS[[#This Row],[Etapa Retiro - Atención]]="","",MARÍTIMOS[[#This Row],[Etapa Retiro - Atención]]),"")</f>
        <v/>
      </c>
      <c r="X1020" s="11" t="str">
        <f>IFERROR(IF(MARÍTIMOS[[#This Row],[Etapa Retiro - Inicio de Ruta]]="","",MARÍTIMOS[[#This Row],[Etapa Retiro - Inicio de Ruta]]),"")</f>
        <v/>
      </c>
      <c r="Y1020" s="11" t="str">
        <f>IFERROR(IF(MARÍTIMOS[[#This Row],[Hora de Posicionamiento]]="","",MARÍTIMOS[[#This Row],[Fecha de Carga]]+MARÍTIMOS[[#This Row],[Hora de Posicionamiento]]),"")</f>
        <v/>
      </c>
      <c r="Z1020" s="11" t="str">
        <f>IFERROR(IF(MARÍTIMOS[[#This Row],[Etapa Despacho - Llegada]]="","",MARÍTIMOS[[#This Row],[Etapa Despacho - Llegada]]),"")</f>
        <v/>
      </c>
      <c r="AA1020" s="11" t="str">
        <f>IFERROR(IF(MARÍTIMOS[[#This Row],[Etapa Despacho - Registro]]="","",MARÍTIMOS[[#This Row],[Etapa Despacho - Registro]]),"")</f>
        <v/>
      </c>
      <c r="AB1020" s="11" t="str">
        <f>IFERROR(IF(MARÍTIMOS[[#This Row],[Inspección Externa]]="","",MARÍTIMOS[[#This Row],[Inspección Externa]]),"")</f>
        <v/>
      </c>
      <c r="AC1020" s="11" t="str">
        <f>IFERROR(IF(MARÍTIMOS[[#This Row],[Etapa Despacho - Inicio de Carga]]="","",MARÍTIMOS[[#This Row],[Etapa Despacho - Inicio de Carga]]),"")</f>
        <v/>
      </c>
      <c r="AD1020" s="11" t="str">
        <f>IFERROR(IF(MARÍTIMOS[[#This Row],[Etapa Despacho - Mitad de Carga]]="","",MARÍTIMOS[[#This Row],[Etapa Despacho - Mitad de Carga]]),"")</f>
        <v/>
      </c>
      <c r="AE1020" s="11" t="str">
        <f>IFERROR(IF(MARÍTIMOS[[#This Row],[Etapa Despacho - Fin de Carga]]="","",MARÍTIMOS[[#This Row],[Etapa Despacho - Fin de Carga]]),"")</f>
        <v/>
      </c>
      <c r="AF1020" s="2" t="str">
        <f>IFERROR(IF(MARÍTIMOS[[#This Row],[Puerto de Embarque]]="","",MARÍTIMOS[[#This Row],[Puerto de Embarque]]),"")</f>
        <v/>
      </c>
      <c r="AG1020" s="2" t="str">
        <f>IFERROR(IF(MARÍTIMOS[[#This Row],[Almacén de Ingreso]]="","",MARÍTIMOS[[#This Row],[Almacén de Ingreso]]),"")</f>
        <v/>
      </c>
      <c r="AH1020" s="11" t="str">
        <f>IFERROR(IF(MARÍTIMOS[[#This Row],[Etapa Ingreso - Cita]]="","",MARÍTIMOS[[#This Row],[Etapa Ingreso - Cita]]),"")</f>
        <v/>
      </c>
      <c r="AI1020" s="11" t="str">
        <f>IFERROR(IF(MARÍTIMOS[[#This Row],[Etapa Ingreso - Llegada]]="","",MARÍTIMOS[[#This Row],[Etapa Ingreso - Llegada]]),"")</f>
        <v/>
      </c>
      <c r="AJ1020" s="11" t="str">
        <f>IFERROR(IF(MARÍTIMOS[[#This Row],[Etapa Ingreso - Ingeso]]="","",MARÍTIMOS[[#This Row],[Etapa Ingreso - Ingeso]]),"")</f>
        <v/>
      </c>
      <c r="AK1020" s="11" t="str">
        <f>IFERROR(IF(MARÍTIMOS[[#This Row],[Etapa Ingreso - Atención]]="","",MARÍTIMOS[[#This Row],[Etapa Ingreso - Atención]]),"")</f>
        <v/>
      </c>
      <c r="AL1020" s="11" t="str">
        <f>IFERROR(IF(MARÍTIMOS[[#This Row],[Etapa Ingreso - Salida]]="","",MARÍTIMOS[[#This Row],[Etapa Ingreso - Salida]]),"")</f>
        <v/>
      </c>
      <c r="AM1020" s="2" t="str">
        <f>IFERROR(IF(MARÍTIMOS[[#This Row],[FCL]]="","",MARÍTIMOS[[#This Row],[FCL]]),"")</f>
        <v/>
      </c>
      <c r="AN102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0" s="4" t="str" cm="1">
        <f t="array" ref="AO102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0" s="5" t="str">
        <f>IFERROR(OLDBD[[#This Row],[Llegada a packing]]-OLDBD[[#This Row],[Inicio de Ruta]],"")</f>
        <v/>
      </c>
      <c r="AQ1020" s="6" t="str">
        <f>IFERROR(OLDBD[[#This Row],[Inicio de Ruta]]-OLDBD[[#This Row],[Salida de almacén de retiro]],"")</f>
        <v/>
      </c>
      <c r="AR102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0" s="8" t="str" cm="1">
        <f t="array" ref="AS102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0" s="9" t="str">
        <f>IFERROR(OLDBD[[#This Row],[Ingreso Packing]]-OLDBD[[#This Row],[Registro en Packing]],"")</f>
        <v/>
      </c>
      <c r="AV1020" s="9" t="str">
        <f>IFERROR(OLDBD[[#This Row],[Ingreso Packing]]-OLDBD[[#This Row],[Llegada a packing]],"")</f>
        <v/>
      </c>
      <c r="AW102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0" s="5" t="str">
        <f>IFERROR(OLDBD[[#This Row],[Llegada Almacén de Ingreso]]-OLDBD[[#This Row],[Salida Packing]],"")</f>
        <v/>
      </c>
      <c r="AY1020" s="4" t="str" cm="1">
        <f t="array" ref="AY102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0" s="43" t="s">
        <v>173</v>
      </c>
      <c r="BB1020" s="47" t="str">
        <f>IFERROR(IF(MARÍTIMOS[[#This Row],[Estatus]]="","",MARÍTIMOS[[#This Row],[Estatus]]),"")</f>
        <v/>
      </c>
      <c r="BC1020" s="43"/>
      <c r="BD1020" s="46" t="str">
        <f>IFERROR(OLDBD[[#This Row],[Salida de almacén de retiro]]-OLDBD[[#This Row],[Ingreso Almacén de retiro]],"")</f>
        <v/>
      </c>
      <c r="BE1020" s="46" t="str">
        <f>IFERROR(OLDBD[[#This Row],[Fin de Carga]]-OLDBD[[#This Row],[Inicio de Carga]],"")</f>
        <v/>
      </c>
    </row>
    <row r="1021" spans="1:57" customFormat="1" hidden="1">
      <c r="A1021" s="1"/>
      <c r="B1021" s="1" t="str">
        <f>IFERROR(IF(MARÍTIMOS[[#This Row],[PP]]="","",MARÍTIMOS[[#This Row],[PP]]),"")</f>
        <v/>
      </c>
      <c r="C1021" s="1" t="str">
        <f>IFERROR(IF(MARÍTIMOS[[#This Row],[Sede]]="","",MARÍTIMOS[[#This Row],[Sede]]),"")</f>
        <v/>
      </c>
      <c r="D1021" s="1" t="str">
        <f>IFERROR(IF(MARÍTIMOS[[#This Row],[Instruction]]="","",MARÍTIMOS[[#This Row],[Instruction]]),"")</f>
        <v/>
      </c>
      <c r="E1021" s="1"/>
      <c r="F1021" s="2" t="str">
        <f>IFERROR(IF(MARÍTIMOS[[#This Row],[Transportista]]="","",MARÍTIMOS[[#This Row],[Transportista]]),"")</f>
        <v/>
      </c>
      <c r="G1021" s="2" t="str">
        <f>IFERROR(IF(MARÍTIMOS[[#This Row],[Tercero]]="","",MARÍTIMOS[[#This Row],[Tercero]]),"")</f>
        <v/>
      </c>
      <c r="H1021" s="2" t="str">
        <f>IFERROR(IF(MARÍTIMOS[[#This Row],[Razón Social]]="","",MARÍTIMOS[[#This Row],[Razón Social]]),"")</f>
        <v/>
      </c>
      <c r="I1021" s="2" t="str">
        <f>IFERROR(IF(MARÍTIMOS[[#This Row],[RUC]]="","",MARÍTIMOS[[#This Row],[RUC]]),"")</f>
        <v/>
      </c>
      <c r="J1021" s="2" t="str">
        <f>IFERROR(IF(MARÍTIMOS[[#This Row],[Placa Tracto]]="","",MARÍTIMOS[[#This Row],[Placa Tracto]]),"")</f>
        <v/>
      </c>
      <c r="K1021" s="2" t="str">
        <f>IFERROR(IF(MARÍTIMOS[[#This Row],[Placa Carreta]]="","",MARÍTIMOS[[#This Row],[Placa Carreta]]),"")</f>
        <v/>
      </c>
      <c r="L1021" s="44" t="str">
        <f>IFERROR(IF(MARÍTIMOS[[#This Row],[Conductor]]="","",MARÍTIMOS[[#This Row],[Conductor]]),"")</f>
        <v/>
      </c>
      <c r="M1021" s="2" t="str">
        <f>IFERROR(IF(MARÍTIMOS[[#This Row],[Licencia]]="","",MARÍTIMOS[[#This Row],[Licencia]]),"")</f>
        <v/>
      </c>
      <c r="N1021" s="2" t="str">
        <f>IFERROR(IF(MARÍTIMOS[[#This Row],[Número de Contacto]]="","",MARÍTIMOS[[#This Row],[Número de Contacto]]),"")</f>
        <v/>
      </c>
      <c r="O1021" s="10" t="str">
        <f>IFERROR(IF(MARÍTIMOS[[#This Row],[Booking|AWB|CRT]]="","",MARÍTIMOS[[#This Row],[Booking|AWB|CRT]]),"")</f>
        <v/>
      </c>
      <c r="P1021" s="2" t="str">
        <f>IFERROR(IF(MARÍTIMOS[[#This Row],[Contenedor]]="","",MARÍTIMOS[[#This Row],[Contenedor]]),"")</f>
        <v/>
      </c>
      <c r="Q1021" s="2" t="str">
        <f>IFERROR(IF(MARÍTIMOS[[#This Row],[Puerto de Retiro]]="","",MARÍTIMOS[[#This Row],[Puerto de Retiro]]),"")</f>
        <v/>
      </c>
      <c r="R1021" s="2" t="str">
        <f>IFERROR(IF(MARÍTIMOS[[#This Row],[Almacén de Retiro]]="","",MARÍTIMOS[[#This Row],[Almacén de Retiro]]),"")</f>
        <v/>
      </c>
      <c r="S1021" s="11" t="str">
        <f>IFERROR(IF(MARÍTIMOS[[#This Row],[Etapa Retiro - Cita]]="","",MARÍTIMOS[[#This Row],[Etapa Retiro - Cita]]),"")</f>
        <v/>
      </c>
      <c r="T1021" s="11" t="str">
        <f>IFERROR(IF(MARÍTIMOS[[#This Row],[Etapa Retiro - Llegada]]="","",MARÍTIMOS[[#This Row],[Etapa Retiro - Llegada]]),"")</f>
        <v/>
      </c>
      <c r="U1021" s="11" t="str">
        <f>IFERROR(IF(MARÍTIMOS[[#This Row],[Etapa Retiro - Ingreso]]="","",MARÍTIMOS[[#This Row],[Etapa Retiro - Ingreso]]),"")</f>
        <v/>
      </c>
      <c r="V1021" s="11" t="str">
        <f>IFERROR(IF(MARÍTIMOS[[#This Row],[Etapa Retiro - Atención]]="","",MARÍTIMOS[[#This Row],[Etapa Retiro - Atención]]),"")</f>
        <v/>
      </c>
      <c r="W1021" s="11" t="str">
        <f>IFERROR(IF(MARÍTIMOS[[#This Row],[Etapa Retiro - Atención]]="","",MARÍTIMOS[[#This Row],[Etapa Retiro - Atención]]),"")</f>
        <v/>
      </c>
      <c r="X1021" s="11" t="str">
        <f>IFERROR(IF(MARÍTIMOS[[#This Row],[Etapa Retiro - Inicio de Ruta]]="","",MARÍTIMOS[[#This Row],[Etapa Retiro - Inicio de Ruta]]),"")</f>
        <v/>
      </c>
      <c r="Y1021" s="11" t="str">
        <f>IFERROR(IF(MARÍTIMOS[[#This Row],[Hora de Posicionamiento]]="","",MARÍTIMOS[[#This Row],[Fecha de Carga]]+MARÍTIMOS[[#This Row],[Hora de Posicionamiento]]),"")</f>
        <v/>
      </c>
      <c r="Z1021" s="11" t="str">
        <f>IFERROR(IF(MARÍTIMOS[[#This Row],[Etapa Despacho - Llegada]]="","",MARÍTIMOS[[#This Row],[Etapa Despacho - Llegada]]),"")</f>
        <v/>
      </c>
      <c r="AA1021" s="11" t="str">
        <f>IFERROR(IF(MARÍTIMOS[[#This Row],[Etapa Despacho - Registro]]="","",MARÍTIMOS[[#This Row],[Etapa Despacho - Registro]]),"")</f>
        <v/>
      </c>
      <c r="AB1021" s="11" t="str">
        <f>IFERROR(IF(MARÍTIMOS[[#This Row],[Inspección Externa]]="","",MARÍTIMOS[[#This Row],[Inspección Externa]]),"")</f>
        <v/>
      </c>
      <c r="AC1021" s="11" t="str">
        <f>IFERROR(IF(MARÍTIMOS[[#This Row],[Etapa Despacho - Inicio de Carga]]="","",MARÍTIMOS[[#This Row],[Etapa Despacho - Inicio de Carga]]),"")</f>
        <v/>
      </c>
      <c r="AD1021" s="11" t="str">
        <f>IFERROR(IF(MARÍTIMOS[[#This Row],[Etapa Despacho - Mitad de Carga]]="","",MARÍTIMOS[[#This Row],[Etapa Despacho - Mitad de Carga]]),"")</f>
        <v/>
      </c>
      <c r="AE1021" s="11" t="str">
        <f>IFERROR(IF(MARÍTIMOS[[#This Row],[Etapa Despacho - Fin de Carga]]="","",MARÍTIMOS[[#This Row],[Etapa Despacho - Fin de Carga]]),"")</f>
        <v/>
      </c>
      <c r="AF1021" s="2" t="str">
        <f>IFERROR(IF(MARÍTIMOS[[#This Row],[Puerto de Embarque]]="","",MARÍTIMOS[[#This Row],[Puerto de Embarque]]),"")</f>
        <v/>
      </c>
      <c r="AG1021" s="2" t="str">
        <f>IFERROR(IF(MARÍTIMOS[[#This Row],[Almacén de Ingreso]]="","",MARÍTIMOS[[#This Row],[Almacén de Ingreso]]),"")</f>
        <v/>
      </c>
      <c r="AH1021" s="11" t="str">
        <f>IFERROR(IF(MARÍTIMOS[[#This Row],[Etapa Ingreso - Cita]]="","",MARÍTIMOS[[#This Row],[Etapa Ingreso - Cita]]),"")</f>
        <v/>
      </c>
      <c r="AI1021" s="11" t="str">
        <f>IFERROR(IF(MARÍTIMOS[[#This Row],[Etapa Ingreso - Llegada]]="","",MARÍTIMOS[[#This Row],[Etapa Ingreso - Llegada]]),"")</f>
        <v/>
      </c>
      <c r="AJ1021" s="11" t="str">
        <f>IFERROR(IF(MARÍTIMOS[[#This Row],[Etapa Ingreso - Ingeso]]="","",MARÍTIMOS[[#This Row],[Etapa Ingreso - Ingeso]]),"")</f>
        <v/>
      </c>
      <c r="AK1021" s="11" t="str">
        <f>IFERROR(IF(MARÍTIMOS[[#This Row],[Etapa Ingreso - Atención]]="","",MARÍTIMOS[[#This Row],[Etapa Ingreso - Atención]]),"")</f>
        <v/>
      </c>
      <c r="AL1021" s="11" t="str">
        <f>IFERROR(IF(MARÍTIMOS[[#This Row],[Etapa Ingreso - Salida]]="","",MARÍTIMOS[[#This Row],[Etapa Ingreso - Salida]]),"")</f>
        <v/>
      </c>
      <c r="AM1021" s="2" t="str">
        <f>IFERROR(IF(MARÍTIMOS[[#This Row],[FCL]]="","",MARÍTIMOS[[#This Row],[FCL]]),"")</f>
        <v/>
      </c>
      <c r="AN102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1" s="4" t="str" cm="1">
        <f t="array" ref="AO102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1" s="5" t="str">
        <f>IFERROR(OLDBD[[#This Row],[Llegada a packing]]-OLDBD[[#This Row],[Inicio de Ruta]],"")</f>
        <v/>
      </c>
      <c r="AQ1021" s="6" t="str">
        <f>IFERROR(OLDBD[[#This Row],[Inicio de Ruta]]-OLDBD[[#This Row],[Salida de almacén de retiro]],"")</f>
        <v/>
      </c>
      <c r="AR102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1" s="8" t="str" cm="1">
        <f t="array" ref="AS102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1" s="9" t="str">
        <f>IFERROR(OLDBD[[#This Row],[Ingreso Packing]]-OLDBD[[#This Row],[Registro en Packing]],"")</f>
        <v/>
      </c>
      <c r="AV1021" s="9" t="str">
        <f>IFERROR(OLDBD[[#This Row],[Ingreso Packing]]-OLDBD[[#This Row],[Llegada a packing]],"")</f>
        <v/>
      </c>
      <c r="AW102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1" s="5" t="str">
        <f>IFERROR(OLDBD[[#This Row],[Llegada Almacén de Ingreso]]-OLDBD[[#This Row],[Salida Packing]],"")</f>
        <v/>
      </c>
      <c r="AY1021" s="4" t="str" cm="1">
        <f t="array" ref="AY102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1" s="43" t="s">
        <v>173</v>
      </c>
      <c r="BB1021" s="47" t="str">
        <f>IFERROR(IF(MARÍTIMOS[[#This Row],[Estatus]]="","",MARÍTIMOS[[#This Row],[Estatus]]),"")</f>
        <v/>
      </c>
      <c r="BC1021" s="43"/>
      <c r="BD1021" s="46" t="str">
        <f>IFERROR(OLDBD[[#This Row],[Salida de almacén de retiro]]-OLDBD[[#This Row],[Ingreso Almacén de retiro]],"")</f>
        <v/>
      </c>
      <c r="BE1021" s="46" t="str">
        <f>IFERROR(OLDBD[[#This Row],[Fin de Carga]]-OLDBD[[#This Row],[Inicio de Carga]],"")</f>
        <v/>
      </c>
    </row>
    <row r="1022" spans="1:57" customFormat="1" hidden="1">
      <c r="A1022" s="1"/>
      <c r="B1022" s="1" t="str">
        <f>IFERROR(IF(MARÍTIMOS[[#This Row],[PP]]="","",MARÍTIMOS[[#This Row],[PP]]),"")</f>
        <v/>
      </c>
      <c r="C1022" s="1" t="str">
        <f>IFERROR(IF(MARÍTIMOS[[#This Row],[Sede]]="","",MARÍTIMOS[[#This Row],[Sede]]),"")</f>
        <v/>
      </c>
      <c r="D1022" s="1" t="str">
        <f>IFERROR(IF(MARÍTIMOS[[#This Row],[Instruction]]="","",MARÍTIMOS[[#This Row],[Instruction]]),"")</f>
        <v/>
      </c>
      <c r="E1022" s="1"/>
      <c r="F1022" s="2" t="str">
        <f>IFERROR(IF(MARÍTIMOS[[#This Row],[Transportista]]="","",MARÍTIMOS[[#This Row],[Transportista]]),"")</f>
        <v/>
      </c>
      <c r="G1022" s="2" t="str">
        <f>IFERROR(IF(MARÍTIMOS[[#This Row],[Tercero]]="","",MARÍTIMOS[[#This Row],[Tercero]]),"")</f>
        <v/>
      </c>
      <c r="H1022" s="2" t="str">
        <f>IFERROR(IF(MARÍTIMOS[[#This Row],[Razón Social]]="","",MARÍTIMOS[[#This Row],[Razón Social]]),"")</f>
        <v/>
      </c>
      <c r="I1022" s="2" t="str">
        <f>IFERROR(IF(MARÍTIMOS[[#This Row],[RUC]]="","",MARÍTIMOS[[#This Row],[RUC]]),"")</f>
        <v/>
      </c>
      <c r="J1022" s="2" t="str">
        <f>IFERROR(IF(MARÍTIMOS[[#This Row],[Placa Tracto]]="","",MARÍTIMOS[[#This Row],[Placa Tracto]]),"")</f>
        <v/>
      </c>
      <c r="K1022" s="2" t="str">
        <f>IFERROR(IF(MARÍTIMOS[[#This Row],[Placa Carreta]]="","",MARÍTIMOS[[#This Row],[Placa Carreta]]),"")</f>
        <v/>
      </c>
      <c r="L1022" s="44" t="str">
        <f>IFERROR(IF(MARÍTIMOS[[#This Row],[Conductor]]="","",MARÍTIMOS[[#This Row],[Conductor]]),"")</f>
        <v/>
      </c>
      <c r="M1022" s="2" t="str">
        <f>IFERROR(IF(MARÍTIMOS[[#This Row],[Licencia]]="","",MARÍTIMOS[[#This Row],[Licencia]]),"")</f>
        <v/>
      </c>
      <c r="N1022" s="2" t="str">
        <f>IFERROR(IF(MARÍTIMOS[[#This Row],[Número de Contacto]]="","",MARÍTIMOS[[#This Row],[Número de Contacto]]),"")</f>
        <v/>
      </c>
      <c r="O1022" s="10" t="str">
        <f>IFERROR(IF(MARÍTIMOS[[#This Row],[Booking|AWB|CRT]]="","",MARÍTIMOS[[#This Row],[Booking|AWB|CRT]]),"")</f>
        <v/>
      </c>
      <c r="P1022" s="2" t="str">
        <f>IFERROR(IF(MARÍTIMOS[[#This Row],[Contenedor]]="","",MARÍTIMOS[[#This Row],[Contenedor]]),"")</f>
        <v/>
      </c>
      <c r="Q1022" s="2" t="str">
        <f>IFERROR(IF(MARÍTIMOS[[#This Row],[Puerto de Retiro]]="","",MARÍTIMOS[[#This Row],[Puerto de Retiro]]),"")</f>
        <v/>
      </c>
      <c r="R1022" s="2" t="str">
        <f>IFERROR(IF(MARÍTIMOS[[#This Row],[Almacén de Retiro]]="","",MARÍTIMOS[[#This Row],[Almacén de Retiro]]),"")</f>
        <v/>
      </c>
      <c r="S1022" s="11" t="str">
        <f>IFERROR(IF(MARÍTIMOS[[#This Row],[Etapa Retiro - Cita]]="","",MARÍTIMOS[[#This Row],[Etapa Retiro - Cita]]),"")</f>
        <v/>
      </c>
      <c r="T1022" s="11" t="str">
        <f>IFERROR(IF(MARÍTIMOS[[#This Row],[Etapa Retiro - Llegada]]="","",MARÍTIMOS[[#This Row],[Etapa Retiro - Llegada]]),"")</f>
        <v/>
      </c>
      <c r="U1022" s="11" t="str">
        <f>IFERROR(IF(MARÍTIMOS[[#This Row],[Etapa Retiro - Ingreso]]="","",MARÍTIMOS[[#This Row],[Etapa Retiro - Ingreso]]),"")</f>
        <v/>
      </c>
      <c r="V1022" s="11" t="str">
        <f>IFERROR(IF(MARÍTIMOS[[#This Row],[Etapa Retiro - Atención]]="","",MARÍTIMOS[[#This Row],[Etapa Retiro - Atención]]),"")</f>
        <v/>
      </c>
      <c r="W1022" s="11" t="str">
        <f>IFERROR(IF(MARÍTIMOS[[#This Row],[Etapa Retiro - Atención]]="","",MARÍTIMOS[[#This Row],[Etapa Retiro - Atención]]),"")</f>
        <v/>
      </c>
      <c r="X1022" s="11" t="str">
        <f>IFERROR(IF(MARÍTIMOS[[#This Row],[Etapa Retiro - Inicio de Ruta]]="","",MARÍTIMOS[[#This Row],[Etapa Retiro - Inicio de Ruta]]),"")</f>
        <v/>
      </c>
      <c r="Y1022" s="11" t="str">
        <f>IFERROR(IF(MARÍTIMOS[[#This Row],[Hora de Posicionamiento]]="","",MARÍTIMOS[[#This Row],[Fecha de Carga]]+MARÍTIMOS[[#This Row],[Hora de Posicionamiento]]),"")</f>
        <v/>
      </c>
      <c r="Z1022" s="11" t="str">
        <f>IFERROR(IF(MARÍTIMOS[[#This Row],[Etapa Despacho - Llegada]]="","",MARÍTIMOS[[#This Row],[Etapa Despacho - Llegada]]),"")</f>
        <v/>
      </c>
      <c r="AA1022" s="11" t="str">
        <f>IFERROR(IF(MARÍTIMOS[[#This Row],[Etapa Despacho - Registro]]="","",MARÍTIMOS[[#This Row],[Etapa Despacho - Registro]]),"")</f>
        <v/>
      </c>
      <c r="AB1022" s="11" t="str">
        <f>IFERROR(IF(MARÍTIMOS[[#This Row],[Inspección Externa]]="","",MARÍTIMOS[[#This Row],[Inspección Externa]]),"")</f>
        <v/>
      </c>
      <c r="AC1022" s="11" t="str">
        <f>IFERROR(IF(MARÍTIMOS[[#This Row],[Etapa Despacho - Inicio de Carga]]="","",MARÍTIMOS[[#This Row],[Etapa Despacho - Inicio de Carga]]),"")</f>
        <v/>
      </c>
      <c r="AD1022" s="11" t="str">
        <f>IFERROR(IF(MARÍTIMOS[[#This Row],[Etapa Despacho - Mitad de Carga]]="","",MARÍTIMOS[[#This Row],[Etapa Despacho - Mitad de Carga]]),"")</f>
        <v/>
      </c>
      <c r="AE1022" s="11" t="str">
        <f>IFERROR(IF(MARÍTIMOS[[#This Row],[Etapa Despacho - Fin de Carga]]="","",MARÍTIMOS[[#This Row],[Etapa Despacho - Fin de Carga]]),"")</f>
        <v/>
      </c>
      <c r="AF1022" s="2" t="str">
        <f>IFERROR(IF(MARÍTIMOS[[#This Row],[Puerto de Embarque]]="","",MARÍTIMOS[[#This Row],[Puerto de Embarque]]),"")</f>
        <v/>
      </c>
      <c r="AG1022" s="2" t="str">
        <f>IFERROR(IF(MARÍTIMOS[[#This Row],[Almacén de Ingreso]]="","",MARÍTIMOS[[#This Row],[Almacén de Ingreso]]),"")</f>
        <v/>
      </c>
      <c r="AH1022" s="11" t="str">
        <f>IFERROR(IF(MARÍTIMOS[[#This Row],[Etapa Ingreso - Cita]]="","",MARÍTIMOS[[#This Row],[Etapa Ingreso - Cita]]),"")</f>
        <v/>
      </c>
      <c r="AI1022" s="11" t="str">
        <f>IFERROR(IF(MARÍTIMOS[[#This Row],[Etapa Ingreso - Llegada]]="","",MARÍTIMOS[[#This Row],[Etapa Ingreso - Llegada]]),"")</f>
        <v/>
      </c>
      <c r="AJ1022" s="11" t="str">
        <f>IFERROR(IF(MARÍTIMOS[[#This Row],[Etapa Ingreso - Ingeso]]="","",MARÍTIMOS[[#This Row],[Etapa Ingreso - Ingeso]]),"")</f>
        <v/>
      </c>
      <c r="AK1022" s="11" t="str">
        <f>IFERROR(IF(MARÍTIMOS[[#This Row],[Etapa Ingreso - Atención]]="","",MARÍTIMOS[[#This Row],[Etapa Ingreso - Atención]]),"")</f>
        <v/>
      </c>
      <c r="AL1022" s="11" t="str">
        <f>IFERROR(IF(MARÍTIMOS[[#This Row],[Etapa Ingreso - Salida]]="","",MARÍTIMOS[[#This Row],[Etapa Ingreso - Salida]]),"")</f>
        <v/>
      </c>
      <c r="AM1022" s="2" t="str">
        <f>IFERROR(IF(MARÍTIMOS[[#This Row],[FCL]]="","",MARÍTIMOS[[#This Row],[FCL]]),"")</f>
        <v/>
      </c>
      <c r="AN102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2" s="4" t="str" cm="1">
        <f t="array" ref="AO102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2" s="5" t="str">
        <f>IFERROR(OLDBD[[#This Row],[Llegada a packing]]-OLDBD[[#This Row],[Inicio de Ruta]],"")</f>
        <v/>
      </c>
      <c r="AQ1022" s="6" t="str">
        <f>IFERROR(OLDBD[[#This Row],[Inicio de Ruta]]-OLDBD[[#This Row],[Salida de almacén de retiro]],"")</f>
        <v/>
      </c>
      <c r="AR102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2" s="8" t="str" cm="1">
        <f t="array" ref="AS102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2" s="9" t="str">
        <f>IFERROR(OLDBD[[#This Row],[Ingreso Packing]]-OLDBD[[#This Row],[Registro en Packing]],"")</f>
        <v/>
      </c>
      <c r="AV1022" s="9" t="str">
        <f>IFERROR(OLDBD[[#This Row],[Ingreso Packing]]-OLDBD[[#This Row],[Llegada a packing]],"")</f>
        <v/>
      </c>
      <c r="AW102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2" s="5" t="str">
        <f>IFERROR(OLDBD[[#This Row],[Llegada Almacén de Ingreso]]-OLDBD[[#This Row],[Salida Packing]],"")</f>
        <v/>
      </c>
      <c r="AY1022" s="4" t="str" cm="1">
        <f t="array" ref="AY102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2" s="43" t="s">
        <v>173</v>
      </c>
      <c r="BB1022" s="47" t="str">
        <f>IFERROR(IF(MARÍTIMOS[[#This Row],[Estatus]]="","",MARÍTIMOS[[#This Row],[Estatus]]),"")</f>
        <v/>
      </c>
      <c r="BC1022" s="43"/>
      <c r="BD1022" s="46" t="str">
        <f>IFERROR(OLDBD[[#This Row],[Salida de almacén de retiro]]-OLDBD[[#This Row],[Ingreso Almacén de retiro]],"")</f>
        <v/>
      </c>
      <c r="BE1022" s="46" t="str">
        <f>IFERROR(OLDBD[[#This Row],[Fin de Carga]]-OLDBD[[#This Row],[Inicio de Carga]],"")</f>
        <v/>
      </c>
    </row>
    <row r="1023" spans="1:57" customFormat="1" hidden="1">
      <c r="A1023" s="1"/>
      <c r="B1023" s="1" t="str">
        <f>IFERROR(IF(MARÍTIMOS[[#This Row],[PP]]="","",MARÍTIMOS[[#This Row],[PP]]),"")</f>
        <v/>
      </c>
      <c r="C1023" s="1" t="str">
        <f>IFERROR(IF(MARÍTIMOS[[#This Row],[Sede]]="","",MARÍTIMOS[[#This Row],[Sede]]),"")</f>
        <v/>
      </c>
      <c r="D1023" s="1" t="str">
        <f>IFERROR(IF(MARÍTIMOS[[#This Row],[Instruction]]="","",MARÍTIMOS[[#This Row],[Instruction]]),"")</f>
        <v/>
      </c>
      <c r="E1023" s="1"/>
      <c r="F1023" s="2" t="str">
        <f>IFERROR(IF(MARÍTIMOS[[#This Row],[Transportista]]="","",MARÍTIMOS[[#This Row],[Transportista]]),"")</f>
        <v/>
      </c>
      <c r="G1023" s="2" t="str">
        <f>IFERROR(IF(MARÍTIMOS[[#This Row],[Tercero]]="","",MARÍTIMOS[[#This Row],[Tercero]]),"")</f>
        <v/>
      </c>
      <c r="H1023" s="2" t="str">
        <f>IFERROR(IF(MARÍTIMOS[[#This Row],[Razón Social]]="","",MARÍTIMOS[[#This Row],[Razón Social]]),"")</f>
        <v/>
      </c>
      <c r="I1023" s="2" t="str">
        <f>IFERROR(IF(MARÍTIMOS[[#This Row],[RUC]]="","",MARÍTIMOS[[#This Row],[RUC]]),"")</f>
        <v/>
      </c>
      <c r="J1023" s="2" t="str">
        <f>IFERROR(IF(MARÍTIMOS[[#This Row],[Placa Tracto]]="","",MARÍTIMOS[[#This Row],[Placa Tracto]]),"")</f>
        <v/>
      </c>
      <c r="K1023" s="2" t="str">
        <f>IFERROR(IF(MARÍTIMOS[[#This Row],[Placa Carreta]]="","",MARÍTIMOS[[#This Row],[Placa Carreta]]),"")</f>
        <v/>
      </c>
      <c r="L1023" s="44" t="str">
        <f>IFERROR(IF(MARÍTIMOS[[#This Row],[Conductor]]="","",MARÍTIMOS[[#This Row],[Conductor]]),"")</f>
        <v/>
      </c>
      <c r="M1023" s="2" t="str">
        <f>IFERROR(IF(MARÍTIMOS[[#This Row],[Licencia]]="","",MARÍTIMOS[[#This Row],[Licencia]]),"")</f>
        <v/>
      </c>
      <c r="N1023" s="2" t="str">
        <f>IFERROR(IF(MARÍTIMOS[[#This Row],[Número de Contacto]]="","",MARÍTIMOS[[#This Row],[Número de Contacto]]),"")</f>
        <v/>
      </c>
      <c r="O1023" s="10" t="str">
        <f>IFERROR(IF(MARÍTIMOS[[#This Row],[Booking|AWB|CRT]]="","",MARÍTIMOS[[#This Row],[Booking|AWB|CRT]]),"")</f>
        <v/>
      </c>
      <c r="P1023" s="2" t="str">
        <f>IFERROR(IF(MARÍTIMOS[[#This Row],[Contenedor]]="","",MARÍTIMOS[[#This Row],[Contenedor]]),"")</f>
        <v/>
      </c>
      <c r="Q1023" s="2" t="str">
        <f>IFERROR(IF(MARÍTIMOS[[#This Row],[Puerto de Retiro]]="","",MARÍTIMOS[[#This Row],[Puerto de Retiro]]),"")</f>
        <v/>
      </c>
      <c r="R1023" s="2" t="str">
        <f>IFERROR(IF(MARÍTIMOS[[#This Row],[Almacén de Retiro]]="","",MARÍTIMOS[[#This Row],[Almacén de Retiro]]),"")</f>
        <v/>
      </c>
      <c r="S1023" s="11" t="str">
        <f>IFERROR(IF(MARÍTIMOS[[#This Row],[Etapa Retiro - Cita]]="","",MARÍTIMOS[[#This Row],[Etapa Retiro - Cita]]),"")</f>
        <v/>
      </c>
      <c r="T1023" s="11" t="str">
        <f>IFERROR(IF(MARÍTIMOS[[#This Row],[Etapa Retiro - Llegada]]="","",MARÍTIMOS[[#This Row],[Etapa Retiro - Llegada]]),"")</f>
        <v/>
      </c>
      <c r="U1023" s="11" t="str">
        <f>IFERROR(IF(MARÍTIMOS[[#This Row],[Etapa Retiro - Ingreso]]="","",MARÍTIMOS[[#This Row],[Etapa Retiro - Ingreso]]),"")</f>
        <v/>
      </c>
      <c r="V1023" s="11" t="str">
        <f>IFERROR(IF(MARÍTIMOS[[#This Row],[Etapa Retiro - Atención]]="","",MARÍTIMOS[[#This Row],[Etapa Retiro - Atención]]),"")</f>
        <v/>
      </c>
      <c r="W1023" s="11" t="str">
        <f>IFERROR(IF(MARÍTIMOS[[#This Row],[Etapa Retiro - Atención]]="","",MARÍTIMOS[[#This Row],[Etapa Retiro - Atención]]),"")</f>
        <v/>
      </c>
      <c r="X1023" s="11" t="str">
        <f>IFERROR(IF(MARÍTIMOS[[#This Row],[Etapa Retiro - Inicio de Ruta]]="","",MARÍTIMOS[[#This Row],[Etapa Retiro - Inicio de Ruta]]),"")</f>
        <v/>
      </c>
      <c r="Y1023" s="11" t="str">
        <f>IFERROR(IF(MARÍTIMOS[[#This Row],[Hora de Posicionamiento]]="","",MARÍTIMOS[[#This Row],[Fecha de Carga]]+MARÍTIMOS[[#This Row],[Hora de Posicionamiento]]),"")</f>
        <v/>
      </c>
      <c r="Z1023" s="11" t="str">
        <f>IFERROR(IF(MARÍTIMOS[[#This Row],[Etapa Despacho - Llegada]]="","",MARÍTIMOS[[#This Row],[Etapa Despacho - Llegada]]),"")</f>
        <v/>
      </c>
      <c r="AA1023" s="11" t="str">
        <f>IFERROR(IF(MARÍTIMOS[[#This Row],[Etapa Despacho - Registro]]="","",MARÍTIMOS[[#This Row],[Etapa Despacho - Registro]]),"")</f>
        <v/>
      </c>
      <c r="AB1023" s="11" t="str">
        <f>IFERROR(IF(MARÍTIMOS[[#This Row],[Inspección Externa]]="","",MARÍTIMOS[[#This Row],[Inspección Externa]]),"")</f>
        <v/>
      </c>
      <c r="AC1023" s="11" t="str">
        <f>IFERROR(IF(MARÍTIMOS[[#This Row],[Etapa Despacho - Inicio de Carga]]="","",MARÍTIMOS[[#This Row],[Etapa Despacho - Inicio de Carga]]),"")</f>
        <v/>
      </c>
      <c r="AD1023" s="11" t="str">
        <f>IFERROR(IF(MARÍTIMOS[[#This Row],[Etapa Despacho - Mitad de Carga]]="","",MARÍTIMOS[[#This Row],[Etapa Despacho - Mitad de Carga]]),"")</f>
        <v/>
      </c>
      <c r="AE1023" s="11" t="str">
        <f>IFERROR(IF(MARÍTIMOS[[#This Row],[Etapa Despacho - Fin de Carga]]="","",MARÍTIMOS[[#This Row],[Etapa Despacho - Fin de Carga]]),"")</f>
        <v/>
      </c>
      <c r="AF1023" s="2" t="str">
        <f>IFERROR(IF(MARÍTIMOS[[#This Row],[Puerto de Embarque]]="","",MARÍTIMOS[[#This Row],[Puerto de Embarque]]),"")</f>
        <v/>
      </c>
      <c r="AG1023" s="2" t="str">
        <f>IFERROR(IF(MARÍTIMOS[[#This Row],[Almacén de Ingreso]]="","",MARÍTIMOS[[#This Row],[Almacén de Ingreso]]),"")</f>
        <v/>
      </c>
      <c r="AH1023" s="11" t="str">
        <f>IFERROR(IF(MARÍTIMOS[[#This Row],[Etapa Ingreso - Cita]]="","",MARÍTIMOS[[#This Row],[Etapa Ingreso - Cita]]),"")</f>
        <v/>
      </c>
      <c r="AI1023" s="11" t="str">
        <f>IFERROR(IF(MARÍTIMOS[[#This Row],[Etapa Ingreso - Llegada]]="","",MARÍTIMOS[[#This Row],[Etapa Ingreso - Llegada]]),"")</f>
        <v/>
      </c>
      <c r="AJ1023" s="11" t="str">
        <f>IFERROR(IF(MARÍTIMOS[[#This Row],[Etapa Ingreso - Ingeso]]="","",MARÍTIMOS[[#This Row],[Etapa Ingreso - Ingeso]]),"")</f>
        <v/>
      </c>
      <c r="AK1023" s="11" t="str">
        <f>IFERROR(IF(MARÍTIMOS[[#This Row],[Etapa Ingreso - Atención]]="","",MARÍTIMOS[[#This Row],[Etapa Ingreso - Atención]]),"")</f>
        <v/>
      </c>
      <c r="AL1023" s="11" t="str">
        <f>IFERROR(IF(MARÍTIMOS[[#This Row],[Etapa Ingreso - Salida]]="","",MARÍTIMOS[[#This Row],[Etapa Ingreso - Salida]]),"")</f>
        <v/>
      </c>
      <c r="AM1023" s="2" t="str">
        <f>IFERROR(IF(MARÍTIMOS[[#This Row],[FCL]]="","",MARÍTIMOS[[#This Row],[FCL]]),"")</f>
        <v/>
      </c>
      <c r="AN102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3" s="4" t="str" cm="1">
        <f t="array" ref="AO102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3" s="5" t="str">
        <f>IFERROR(OLDBD[[#This Row],[Llegada a packing]]-OLDBD[[#This Row],[Inicio de Ruta]],"")</f>
        <v/>
      </c>
      <c r="AQ1023" s="6" t="str">
        <f>IFERROR(OLDBD[[#This Row],[Inicio de Ruta]]-OLDBD[[#This Row],[Salida de almacén de retiro]],"")</f>
        <v/>
      </c>
      <c r="AR102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3" s="8" t="str" cm="1">
        <f t="array" ref="AS102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3" s="9" t="str">
        <f>IFERROR(OLDBD[[#This Row],[Ingreso Packing]]-OLDBD[[#This Row],[Registro en Packing]],"")</f>
        <v/>
      </c>
      <c r="AV1023" s="9" t="str">
        <f>IFERROR(OLDBD[[#This Row],[Ingreso Packing]]-OLDBD[[#This Row],[Llegada a packing]],"")</f>
        <v/>
      </c>
      <c r="AW102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3" s="5" t="str">
        <f>IFERROR(OLDBD[[#This Row],[Llegada Almacén de Ingreso]]-OLDBD[[#This Row],[Salida Packing]],"")</f>
        <v/>
      </c>
      <c r="AY1023" s="4" t="str" cm="1">
        <f t="array" ref="AY102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3" s="43" t="s">
        <v>173</v>
      </c>
      <c r="BB1023" s="47" t="str">
        <f>IFERROR(IF(MARÍTIMOS[[#This Row],[Estatus]]="","",MARÍTIMOS[[#This Row],[Estatus]]),"")</f>
        <v/>
      </c>
      <c r="BC1023" s="43"/>
      <c r="BD1023" s="46" t="str">
        <f>IFERROR(OLDBD[[#This Row],[Salida de almacén de retiro]]-OLDBD[[#This Row],[Ingreso Almacén de retiro]],"")</f>
        <v/>
      </c>
      <c r="BE1023" s="46" t="str">
        <f>IFERROR(OLDBD[[#This Row],[Fin de Carga]]-OLDBD[[#This Row],[Inicio de Carga]],"")</f>
        <v/>
      </c>
    </row>
    <row r="1024" spans="1:57" customFormat="1" hidden="1">
      <c r="A1024" s="1"/>
      <c r="B1024" s="1" t="str">
        <f>IFERROR(IF(MARÍTIMOS[[#This Row],[PP]]="","",MARÍTIMOS[[#This Row],[PP]]),"")</f>
        <v/>
      </c>
      <c r="C1024" s="1" t="str">
        <f>IFERROR(IF(MARÍTIMOS[[#This Row],[Sede]]="","",MARÍTIMOS[[#This Row],[Sede]]),"")</f>
        <v/>
      </c>
      <c r="D1024" s="1" t="str">
        <f>IFERROR(IF(MARÍTIMOS[[#This Row],[Instruction]]="","",MARÍTIMOS[[#This Row],[Instruction]]),"")</f>
        <v/>
      </c>
      <c r="E1024" s="1"/>
      <c r="F1024" s="2" t="str">
        <f>IFERROR(IF(MARÍTIMOS[[#This Row],[Transportista]]="","",MARÍTIMOS[[#This Row],[Transportista]]),"")</f>
        <v/>
      </c>
      <c r="G1024" s="2" t="str">
        <f>IFERROR(IF(MARÍTIMOS[[#This Row],[Tercero]]="","",MARÍTIMOS[[#This Row],[Tercero]]),"")</f>
        <v/>
      </c>
      <c r="H1024" s="2" t="str">
        <f>IFERROR(IF(MARÍTIMOS[[#This Row],[Razón Social]]="","",MARÍTIMOS[[#This Row],[Razón Social]]),"")</f>
        <v/>
      </c>
      <c r="I1024" s="2" t="str">
        <f>IFERROR(IF(MARÍTIMOS[[#This Row],[RUC]]="","",MARÍTIMOS[[#This Row],[RUC]]),"")</f>
        <v/>
      </c>
      <c r="J1024" s="2" t="str">
        <f>IFERROR(IF(MARÍTIMOS[[#This Row],[Placa Tracto]]="","",MARÍTIMOS[[#This Row],[Placa Tracto]]),"")</f>
        <v/>
      </c>
      <c r="K1024" s="2" t="str">
        <f>IFERROR(IF(MARÍTIMOS[[#This Row],[Placa Carreta]]="","",MARÍTIMOS[[#This Row],[Placa Carreta]]),"")</f>
        <v/>
      </c>
      <c r="L1024" s="44" t="str">
        <f>IFERROR(IF(MARÍTIMOS[[#This Row],[Conductor]]="","",MARÍTIMOS[[#This Row],[Conductor]]),"")</f>
        <v/>
      </c>
      <c r="M1024" s="2" t="str">
        <f>IFERROR(IF(MARÍTIMOS[[#This Row],[Licencia]]="","",MARÍTIMOS[[#This Row],[Licencia]]),"")</f>
        <v/>
      </c>
      <c r="N1024" s="2" t="str">
        <f>IFERROR(IF(MARÍTIMOS[[#This Row],[Número de Contacto]]="","",MARÍTIMOS[[#This Row],[Número de Contacto]]),"")</f>
        <v/>
      </c>
      <c r="O1024" s="10" t="str">
        <f>IFERROR(IF(MARÍTIMOS[[#This Row],[Booking|AWB|CRT]]="","",MARÍTIMOS[[#This Row],[Booking|AWB|CRT]]),"")</f>
        <v/>
      </c>
      <c r="P1024" s="2" t="str">
        <f>IFERROR(IF(MARÍTIMOS[[#This Row],[Contenedor]]="","",MARÍTIMOS[[#This Row],[Contenedor]]),"")</f>
        <v/>
      </c>
      <c r="Q1024" s="2" t="str">
        <f>IFERROR(IF(MARÍTIMOS[[#This Row],[Puerto de Retiro]]="","",MARÍTIMOS[[#This Row],[Puerto de Retiro]]),"")</f>
        <v/>
      </c>
      <c r="R1024" s="2" t="str">
        <f>IFERROR(IF(MARÍTIMOS[[#This Row],[Almacén de Retiro]]="","",MARÍTIMOS[[#This Row],[Almacén de Retiro]]),"")</f>
        <v/>
      </c>
      <c r="S1024" s="11" t="str">
        <f>IFERROR(IF(MARÍTIMOS[[#This Row],[Etapa Retiro - Cita]]="","",MARÍTIMOS[[#This Row],[Etapa Retiro - Cita]]),"")</f>
        <v/>
      </c>
      <c r="T1024" s="11" t="str">
        <f>IFERROR(IF(MARÍTIMOS[[#This Row],[Etapa Retiro - Llegada]]="","",MARÍTIMOS[[#This Row],[Etapa Retiro - Llegada]]),"")</f>
        <v/>
      </c>
      <c r="U1024" s="11" t="str">
        <f>IFERROR(IF(MARÍTIMOS[[#This Row],[Etapa Retiro - Ingreso]]="","",MARÍTIMOS[[#This Row],[Etapa Retiro - Ingreso]]),"")</f>
        <v/>
      </c>
      <c r="V1024" s="11" t="str">
        <f>IFERROR(IF(MARÍTIMOS[[#This Row],[Etapa Retiro - Atención]]="","",MARÍTIMOS[[#This Row],[Etapa Retiro - Atención]]),"")</f>
        <v/>
      </c>
      <c r="W1024" s="11" t="str">
        <f>IFERROR(IF(MARÍTIMOS[[#This Row],[Etapa Retiro - Atención]]="","",MARÍTIMOS[[#This Row],[Etapa Retiro - Atención]]),"")</f>
        <v/>
      </c>
      <c r="X1024" s="11" t="str">
        <f>IFERROR(IF(MARÍTIMOS[[#This Row],[Etapa Retiro - Inicio de Ruta]]="","",MARÍTIMOS[[#This Row],[Etapa Retiro - Inicio de Ruta]]),"")</f>
        <v/>
      </c>
      <c r="Y1024" s="11" t="str">
        <f>IFERROR(IF(MARÍTIMOS[[#This Row],[Hora de Posicionamiento]]="","",MARÍTIMOS[[#This Row],[Fecha de Carga]]+MARÍTIMOS[[#This Row],[Hora de Posicionamiento]]),"")</f>
        <v/>
      </c>
      <c r="Z1024" s="11" t="str">
        <f>IFERROR(IF(MARÍTIMOS[[#This Row],[Etapa Despacho - Llegada]]="","",MARÍTIMOS[[#This Row],[Etapa Despacho - Llegada]]),"")</f>
        <v/>
      </c>
      <c r="AA1024" s="11" t="str">
        <f>IFERROR(IF(MARÍTIMOS[[#This Row],[Etapa Despacho - Registro]]="","",MARÍTIMOS[[#This Row],[Etapa Despacho - Registro]]),"")</f>
        <v/>
      </c>
      <c r="AB1024" s="11" t="str">
        <f>IFERROR(IF(MARÍTIMOS[[#This Row],[Inspección Externa]]="","",MARÍTIMOS[[#This Row],[Inspección Externa]]),"")</f>
        <v/>
      </c>
      <c r="AC1024" s="11" t="str">
        <f>IFERROR(IF(MARÍTIMOS[[#This Row],[Etapa Despacho - Inicio de Carga]]="","",MARÍTIMOS[[#This Row],[Etapa Despacho - Inicio de Carga]]),"")</f>
        <v/>
      </c>
      <c r="AD1024" s="11" t="str">
        <f>IFERROR(IF(MARÍTIMOS[[#This Row],[Etapa Despacho - Mitad de Carga]]="","",MARÍTIMOS[[#This Row],[Etapa Despacho - Mitad de Carga]]),"")</f>
        <v/>
      </c>
      <c r="AE1024" s="11" t="str">
        <f>IFERROR(IF(MARÍTIMOS[[#This Row],[Etapa Despacho - Fin de Carga]]="","",MARÍTIMOS[[#This Row],[Etapa Despacho - Fin de Carga]]),"")</f>
        <v/>
      </c>
      <c r="AF1024" s="2" t="str">
        <f>IFERROR(IF(MARÍTIMOS[[#This Row],[Puerto de Embarque]]="","",MARÍTIMOS[[#This Row],[Puerto de Embarque]]),"")</f>
        <v/>
      </c>
      <c r="AG1024" s="2" t="str">
        <f>IFERROR(IF(MARÍTIMOS[[#This Row],[Almacén de Ingreso]]="","",MARÍTIMOS[[#This Row],[Almacén de Ingreso]]),"")</f>
        <v/>
      </c>
      <c r="AH1024" s="11" t="str">
        <f>IFERROR(IF(MARÍTIMOS[[#This Row],[Etapa Ingreso - Cita]]="","",MARÍTIMOS[[#This Row],[Etapa Ingreso - Cita]]),"")</f>
        <v/>
      </c>
      <c r="AI1024" s="11" t="str">
        <f>IFERROR(IF(MARÍTIMOS[[#This Row],[Etapa Ingreso - Llegada]]="","",MARÍTIMOS[[#This Row],[Etapa Ingreso - Llegada]]),"")</f>
        <v/>
      </c>
      <c r="AJ1024" s="11" t="str">
        <f>IFERROR(IF(MARÍTIMOS[[#This Row],[Etapa Ingreso - Ingeso]]="","",MARÍTIMOS[[#This Row],[Etapa Ingreso - Ingeso]]),"")</f>
        <v/>
      </c>
      <c r="AK1024" s="11" t="str">
        <f>IFERROR(IF(MARÍTIMOS[[#This Row],[Etapa Ingreso - Atención]]="","",MARÍTIMOS[[#This Row],[Etapa Ingreso - Atención]]),"")</f>
        <v/>
      </c>
      <c r="AL1024" s="11" t="str">
        <f>IFERROR(IF(MARÍTIMOS[[#This Row],[Etapa Ingreso - Salida]]="","",MARÍTIMOS[[#This Row],[Etapa Ingreso - Salida]]),"")</f>
        <v/>
      </c>
      <c r="AM1024" s="2" t="str">
        <f>IFERROR(IF(MARÍTIMOS[[#This Row],[FCL]]="","",MARÍTIMOS[[#This Row],[FCL]]),"")</f>
        <v/>
      </c>
      <c r="AN102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4" s="4" t="str" cm="1">
        <f t="array" ref="AO102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4" s="5" t="str">
        <f>IFERROR(OLDBD[[#This Row],[Llegada a packing]]-OLDBD[[#This Row],[Inicio de Ruta]],"")</f>
        <v/>
      </c>
      <c r="AQ1024" s="6" t="str">
        <f>IFERROR(OLDBD[[#This Row],[Inicio de Ruta]]-OLDBD[[#This Row],[Salida de almacén de retiro]],"")</f>
        <v/>
      </c>
      <c r="AR102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4" s="8" t="str" cm="1">
        <f t="array" ref="AS102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4" s="9" t="str">
        <f>IFERROR(OLDBD[[#This Row],[Ingreso Packing]]-OLDBD[[#This Row],[Registro en Packing]],"")</f>
        <v/>
      </c>
      <c r="AV1024" s="9" t="str">
        <f>IFERROR(OLDBD[[#This Row],[Ingreso Packing]]-OLDBD[[#This Row],[Llegada a packing]],"")</f>
        <v/>
      </c>
      <c r="AW102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4" s="5" t="str">
        <f>IFERROR(OLDBD[[#This Row],[Llegada Almacén de Ingreso]]-OLDBD[[#This Row],[Salida Packing]],"")</f>
        <v/>
      </c>
      <c r="AY1024" s="4" t="str" cm="1">
        <f t="array" ref="AY102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4" s="43" t="s">
        <v>173</v>
      </c>
      <c r="BB1024" s="47" t="str">
        <f>IFERROR(IF(MARÍTIMOS[[#This Row],[Estatus]]="","",MARÍTIMOS[[#This Row],[Estatus]]),"")</f>
        <v/>
      </c>
      <c r="BC1024" s="43"/>
      <c r="BD1024" s="46" t="str">
        <f>IFERROR(OLDBD[[#This Row],[Salida de almacén de retiro]]-OLDBD[[#This Row],[Ingreso Almacén de retiro]],"")</f>
        <v/>
      </c>
      <c r="BE1024" s="46" t="str">
        <f>IFERROR(OLDBD[[#This Row],[Fin de Carga]]-OLDBD[[#This Row],[Inicio de Carga]],"")</f>
        <v/>
      </c>
    </row>
    <row r="1025" spans="1:57" customFormat="1" hidden="1">
      <c r="A1025" s="1"/>
      <c r="B1025" s="1" t="str">
        <f>IFERROR(IF(MARÍTIMOS[[#This Row],[PP]]="","",MARÍTIMOS[[#This Row],[PP]]),"")</f>
        <v/>
      </c>
      <c r="C1025" s="1" t="str">
        <f>IFERROR(IF(MARÍTIMOS[[#This Row],[Sede]]="","",MARÍTIMOS[[#This Row],[Sede]]),"")</f>
        <v/>
      </c>
      <c r="D1025" s="1" t="str">
        <f>IFERROR(IF(MARÍTIMOS[[#This Row],[Instruction]]="","",MARÍTIMOS[[#This Row],[Instruction]]),"")</f>
        <v/>
      </c>
      <c r="E1025" s="1"/>
      <c r="F1025" s="2" t="str">
        <f>IFERROR(IF(MARÍTIMOS[[#This Row],[Transportista]]="","",MARÍTIMOS[[#This Row],[Transportista]]),"")</f>
        <v/>
      </c>
      <c r="G1025" s="2" t="str">
        <f>IFERROR(IF(MARÍTIMOS[[#This Row],[Tercero]]="","",MARÍTIMOS[[#This Row],[Tercero]]),"")</f>
        <v/>
      </c>
      <c r="H1025" s="2" t="str">
        <f>IFERROR(IF(MARÍTIMOS[[#This Row],[Razón Social]]="","",MARÍTIMOS[[#This Row],[Razón Social]]),"")</f>
        <v/>
      </c>
      <c r="I1025" s="2" t="str">
        <f>IFERROR(IF(MARÍTIMOS[[#This Row],[RUC]]="","",MARÍTIMOS[[#This Row],[RUC]]),"")</f>
        <v/>
      </c>
      <c r="J1025" s="2" t="str">
        <f>IFERROR(IF(MARÍTIMOS[[#This Row],[Placa Tracto]]="","",MARÍTIMOS[[#This Row],[Placa Tracto]]),"")</f>
        <v/>
      </c>
      <c r="K1025" s="2" t="str">
        <f>IFERROR(IF(MARÍTIMOS[[#This Row],[Placa Carreta]]="","",MARÍTIMOS[[#This Row],[Placa Carreta]]),"")</f>
        <v/>
      </c>
      <c r="L1025" s="44" t="str">
        <f>IFERROR(IF(MARÍTIMOS[[#This Row],[Conductor]]="","",MARÍTIMOS[[#This Row],[Conductor]]),"")</f>
        <v/>
      </c>
      <c r="M1025" s="2" t="str">
        <f>IFERROR(IF(MARÍTIMOS[[#This Row],[Licencia]]="","",MARÍTIMOS[[#This Row],[Licencia]]),"")</f>
        <v/>
      </c>
      <c r="N1025" s="2" t="str">
        <f>IFERROR(IF(MARÍTIMOS[[#This Row],[Número de Contacto]]="","",MARÍTIMOS[[#This Row],[Número de Contacto]]),"")</f>
        <v/>
      </c>
      <c r="O1025" s="10" t="str">
        <f>IFERROR(IF(MARÍTIMOS[[#This Row],[Booking|AWB|CRT]]="","",MARÍTIMOS[[#This Row],[Booking|AWB|CRT]]),"")</f>
        <v/>
      </c>
      <c r="P1025" s="2" t="str">
        <f>IFERROR(IF(MARÍTIMOS[[#This Row],[Contenedor]]="","",MARÍTIMOS[[#This Row],[Contenedor]]),"")</f>
        <v/>
      </c>
      <c r="Q1025" s="2" t="str">
        <f>IFERROR(IF(MARÍTIMOS[[#This Row],[Puerto de Retiro]]="","",MARÍTIMOS[[#This Row],[Puerto de Retiro]]),"")</f>
        <v/>
      </c>
      <c r="R1025" s="2" t="str">
        <f>IFERROR(IF(MARÍTIMOS[[#This Row],[Almacén de Retiro]]="","",MARÍTIMOS[[#This Row],[Almacén de Retiro]]),"")</f>
        <v/>
      </c>
      <c r="S1025" s="11" t="str">
        <f>IFERROR(IF(MARÍTIMOS[[#This Row],[Etapa Retiro - Cita]]="","",MARÍTIMOS[[#This Row],[Etapa Retiro - Cita]]),"")</f>
        <v/>
      </c>
      <c r="T1025" s="11" t="str">
        <f>IFERROR(IF(MARÍTIMOS[[#This Row],[Etapa Retiro - Llegada]]="","",MARÍTIMOS[[#This Row],[Etapa Retiro - Llegada]]),"")</f>
        <v/>
      </c>
      <c r="U1025" s="11" t="str">
        <f>IFERROR(IF(MARÍTIMOS[[#This Row],[Etapa Retiro - Ingreso]]="","",MARÍTIMOS[[#This Row],[Etapa Retiro - Ingreso]]),"")</f>
        <v/>
      </c>
      <c r="V1025" s="11" t="str">
        <f>IFERROR(IF(MARÍTIMOS[[#This Row],[Etapa Retiro - Atención]]="","",MARÍTIMOS[[#This Row],[Etapa Retiro - Atención]]),"")</f>
        <v/>
      </c>
      <c r="W1025" s="11" t="str">
        <f>IFERROR(IF(MARÍTIMOS[[#This Row],[Etapa Retiro - Atención]]="","",MARÍTIMOS[[#This Row],[Etapa Retiro - Atención]]),"")</f>
        <v/>
      </c>
      <c r="X1025" s="11" t="str">
        <f>IFERROR(IF(MARÍTIMOS[[#This Row],[Etapa Retiro - Inicio de Ruta]]="","",MARÍTIMOS[[#This Row],[Etapa Retiro - Inicio de Ruta]]),"")</f>
        <v/>
      </c>
      <c r="Y1025" s="11" t="str">
        <f>IFERROR(IF(MARÍTIMOS[[#This Row],[Hora de Posicionamiento]]="","",MARÍTIMOS[[#This Row],[Fecha de Carga]]+MARÍTIMOS[[#This Row],[Hora de Posicionamiento]]),"")</f>
        <v/>
      </c>
      <c r="Z1025" s="11" t="str">
        <f>IFERROR(IF(MARÍTIMOS[[#This Row],[Etapa Despacho - Llegada]]="","",MARÍTIMOS[[#This Row],[Etapa Despacho - Llegada]]),"")</f>
        <v/>
      </c>
      <c r="AA1025" s="11" t="str">
        <f>IFERROR(IF(MARÍTIMOS[[#This Row],[Etapa Despacho - Registro]]="","",MARÍTIMOS[[#This Row],[Etapa Despacho - Registro]]),"")</f>
        <v/>
      </c>
      <c r="AB1025" s="11" t="str">
        <f>IFERROR(IF(MARÍTIMOS[[#This Row],[Inspección Externa]]="","",MARÍTIMOS[[#This Row],[Inspección Externa]]),"")</f>
        <v/>
      </c>
      <c r="AC1025" s="11" t="str">
        <f>IFERROR(IF(MARÍTIMOS[[#This Row],[Etapa Despacho - Inicio de Carga]]="","",MARÍTIMOS[[#This Row],[Etapa Despacho - Inicio de Carga]]),"")</f>
        <v/>
      </c>
      <c r="AD1025" s="11" t="str">
        <f>IFERROR(IF(MARÍTIMOS[[#This Row],[Etapa Despacho - Mitad de Carga]]="","",MARÍTIMOS[[#This Row],[Etapa Despacho - Mitad de Carga]]),"")</f>
        <v/>
      </c>
      <c r="AE1025" s="11" t="str">
        <f>IFERROR(IF(MARÍTIMOS[[#This Row],[Etapa Despacho - Fin de Carga]]="","",MARÍTIMOS[[#This Row],[Etapa Despacho - Fin de Carga]]),"")</f>
        <v/>
      </c>
      <c r="AF1025" s="2" t="str">
        <f>IFERROR(IF(MARÍTIMOS[[#This Row],[Puerto de Embarque]]="","",MARÍTIMOS[[#This Row],[Puerto de Embarque]]),"")</f>
        <v/>
      </c>
      <c r="AG1025" s="2" t="str">
        <f>IFERROR(IF(MARÍTIMOS[[#This Row],[Almacén de Ingreso]]="","",MARÍTIMOS[[#This Row],[Almacén de Ingreso]]),"")</f>
        <v/>
      </c>
      <c r="AH1025" s="11" t="str">
        <f>IFERROR(IF(MARÍTIMOS[[#This Row],[Etapa Ingreso - Cita]]="","",MARÍTIMOS[[#This Row],[Etapa Ingreso - Cita]]),"")</f>
        <v/>
      </c>
      <c r="AI1025" s="11" t="str">
        <f>IFERROR(IF(MARÍTIMOS[[#This Row],[Etapa Ingreso - Llegada]]="","",MARÍTIMOS[[#This Row],[Etapa Ingreso - Llegada]]),"")</f>
        <v/>
      </c>
      <c r="AJ1025" s="11" t="str">
        <f>IFERROR(IF(MARÍTIMOS[[#This Row],[Etapa Ingreso - Ingeso]]="","",MARÍTIMOS[[#This Row],[Etapa Ingreso - Ingeso]]),"")</f>
        <v/>
      </c>
      <c r="AK1025" s="11" t="str">
        <f>IFERROR(IF(MARÍTIMOS[[#This Row],[Etapa Ingreso - Atención]]="","",MARÍTIMOS[[#This Row],[Etapa Ingreso - Atención]]),"")</f>
        <v/>
      </c>
      <c r="AL1025" s="11" t="str">
        <f>IFERROR(IF(MARÍTIMOS[[#This Row],[Etapa Ingreso - Salida]]="","",MARÍTIMOS[[#This Row],[Etapa Ingreso - Salida]]),"")</f>
        <v/>
      </c>
      <c r="AM1025" s="2" t="str">
        <f>IFERROR(IF(MARÍTIMOS[[#This Row],[FCL]]="","",MARÍTIMOS[[#This Row],[FCL]]),"")</f>
        <v/>
      </c>
      <c r="AN102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5" s="4" t="str" cm="1">
        <f t="array" ref="AO102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5" s="5" t="str">
        <f>IFERROR(OLDBD[[#This Row],[Llegada a packing]]-OLDBD[[#This Row],[Inicio de Ruta]],"")</f>
        <v/>
      </c>
      <c r="AQ1025" s="6" t="str">
        <f>IFERROR(OLDBD[[#This Row],[Inicio de Ruta]]-OLDBD[[#This Row],[Salida de almacén de retiro]],"")</f>
        <v/>
      </c>
      <c r="AR102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5" s="8" t="str" cm="1">
        <f t="array" ref="AS102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5" s="9" t="str">
        <f>IFERROR(OLDBD[[#This Row],[Ingreso Packing]]-OLDBD[[#This Row],[Registro en Packing]],"")</f>
        <v/>
      </c>
      <c r="AV1025" s="9" t="str">
        <f>IFERROR(OLDBD[[#This Row],[Ingreso Packing]]-OLDBD[[#This Row],[Llegada a packing]],"")</f>
        <v/>
      </c>
      <c r="AW102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5" s="5" t="str">
        <f>IFERROR(OLDBD[[#This Row],[Llegada Almacén de Ingreso]]-OLDBD[[#This Row],[Salida Packing]],"")</f>
        <v/>
      </c>
      <c r="AY1025" s="4" t="str" cm="1">
        <f t="array" ref="AY102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5" s="43" t="s">
        <v>173</v>
      </c>
      <c r="BB1025" s="47" t="str">
        <f>IFERROR(IF(MARÍTIMOS[[#This Row],[Estatus]]="","",MARÍTIMOS[[#This Row],[Estatus]]),"")</f>
        <v/>
      </c>
      <c r="BC1025" s="43"/>
      <c r="BD1025" s="46" t="str">
        <f>IFERROR(OLDBD[[#This Row],[Salida de almacén de retiro]]-OLDBD[[#This Row],[Ingreso Almacén de retiro]],"")</f>
        <v/>
      </c>
      <c r="BE1025" s="46" t="str">
        <f>IFERROR(OLDBD[[#This Row],[Fin de Carga]]-OLDBD[[#This Row],[Inicio de Carga]],"")</f>
        <v/>
      </c>
    </row>
    <row r="1026" spans="1:57" customFormat="1" hidden="1">
      <c r="A1026" s="1"/>
      <c r="B1026" s="1" t="str">
        <f>IFERROR(IF(MARÍTIMOS[[#This Row],[PP]]="","",MARÍTIMOS[[#This Row],[PP]]),"")</f>
        <v/>
      </c>
      <c r="C1026" s="1" t="str">
        <f>IFERROR(IF(MARÍTIMOS[[#This Row],[Sede]]="","",MARÍTIMOS[[#This Row],[Sede]]),"")</f>
        <v/>
      </c>
      <c r="D1026" s="1" t="str">
        <f>IFERROR(IF(MARÍTIMOS[[#This Row],[Instruction]]="","",MARÍTIMOS[[#This Row],[Instruction]]),"")</f>
        <v/>
      </c>
      <c r="E1026" s="1"/>
      <c r="F1026" s="2" t="str">
        <f>IFERROR(IF(MARÍTIMOS[[#This Row],[Transportista]]="","",MARÍTIMOS[[#This Row],[Transportista]]),"")</f>
        <v/>
      </c>
      <c r="G1026" s="2" t="str">
        <f>IFERROR(IF(MARÍTIMOS[[#This Row],[Tercero]]="","",MARÍTIMOS[[#This Row],[Tercero]]),"")</f>
        <v/>
      </c>
      <c r="H1026" s="2" t="str">
        <f>IFERROR(IF(MARÍTIMOS[[#This Row],[Razón Social]]="","",MARÍTIMOS[[#This Row],[Razón Social]]),"")</f>
        <v/>
      </c>
      <c r="I1026" s="2" t="str">
        <f>IFERROR(IF(MARÍTIMOS[[#This Row],[RUC]]="","",MARÍTIMOS[[#This Row],[RUC]]),"")</f>
        <v/>
      </c>
      <c r="J1026" s="2" t="str">
        <f>IFERROR(IF(MARÍTIMOS[[#This Row],[Placa Tracto]]="","",MARÍTIMOS[[#This Row],[Placa Tracto]]),"")</f>
        <v/>
      </c>
      <c r="K1026" s="2" t="str">
        <f>IFERROR(IF(MARÍTIMOS[[#This Row],[Placa Carreta]]="","",MARÍTIMOS[[#This Row],[Placa Carreta]]),"")</f>
        <v/>
      </c>
      <c r="L1026" s="44" t="str">
        <f>IFERROR(IF(MARÍTIMOS[[#This Row],[Conductor]]="","",MARÍTIMOS[[#This Row],[Conductor]]),"")</f>
        <v/>
      </c>
      <c r="M1026" s="2" t="str">
        <f>IFERROR(IF(MARÍTIMOS[[#This Row],[Licencia]]="","",MARÍTIMOS[[#This Row],[Licencia]]),"")</f>
        <v/>
      </c>
      <c r="N1026" s="2" t="str">
        <f>IFERROR(IF(MARÍTIMOS[[#This Row],[Número de Contacto]]="","",MARÍTIMOS[[#This Row],[Número de Contacto]]),"")</f>
        <v/>
      </c>
      <c r="O1026" s="10" t="str">
        <f>IFERROR(IF(MARÍTIMOS[[#This Row],[Booking|AWB|CRT]]="","",MARÍTIMOS[[#This Row],[Booking|AWB|CRT]]),"")</f>
        <v/>
      </c>
      <c r="P1026" s="2" t="str">
        <f>IFERROR(IF(MARÍTIMOS[[#This Row],[Contenedor]]="","",MARÍTIMOS[[#This Row],[Contenedor]]),"")</f>
        <v/>
      </c>
      <c r="Q1026" s="2" t="str">
        <f>IFERROR(IF(MARÍTIMOS[[#This Row],[Puerto de Retiro]]="","",MARÍTIMOS[[#This Row],[Puerto de Retiro]]),"")</f>
        <v/>
      </c>
      <c r="R1026" s="2" t="str">
        <f>IFERROR(IF(MARÍTIMOS[[#This Row],[Almacén de Retiro]]="","",MARÍTIMOS[[#This Row],[Almacén de Retiro]]),"")</f>
        <v/>
      </c>
      <c r="S1026" s="11" t="str">
        <f>IFERROR(IF(MARÍTIMOS[[#This Row],[Etapa Retiro - Cita]]="","",MARÍTIMOS[[#This Row],[Etapa Retiro - Cita]]),"")</f>
        <v/>
      </c>
      <c r="T1026" s="11" t="str">
        <f>IFERROR(IF(MARÍTIMOS[[#This Row],[Etapa Retiro - Llegada]]="","",MARÍTIMOS[[#This Row],[Etapa Retiro - Llegada]]),"")</f>
        <v/>
      </c>
      <c r="U1026" s="11" t="str">
        <f>IFERROR(IF(MARÍTIMOS[[#This Row],[Etapa Retiro - Ingreso]]="","",MARÍTIMOS[[#This Row],[Etapa Retiro - Ingreso]]),"")</f>
        <v/>
      </c>
      <c r="V1026" s="11" t="str">
        <f>IFERROR(IF(MARÍTIMOS[[#This Row],[Etapa Retiro - Atención]]="","",MARÍTIMOS[[#This Row],[Etapa Retiro - Atención]]),"")</f>
        <v/>
      </c>
      <c r="W1026" s="11" t="str">
        <f>IFERROR(IF(MARÍTIMOS[[#This Row],[Etapa Retiro - Atención]]="","",MARÍTIMOS[[#This Row],[Etapa Retiro - Atención]]),"")</f>
        <v/>
      </c>
      <c r="X1026" s="11" t="str">
        <f>IFERROR(IF(MARÍTIMOS[[#This Row],[Etapa Retiro - Inicio de Ruta]]="","",MARÍTIMOS[[#This Row],[Etapa Retiro - Inicio de Ruta]]),"")</f>
        <v/>
      </c>
      <c r="Y1026" s="11" t="str">
        <f>IFERROR(IF(MARÍTIMOS[[#This Row],[Hora de Posicionamiento]]="","",MARÍTIMOS[[#This Row],[Fecha de Carga]]+MARÍTIMOS[[#This Row],[Hora de Posicionamiento]]),"")</f>
        <v/>
      </c>
      <c r="Z1026" s="11" t="str">
        <f>IFERROR(IF(MARÍTIMOS[[#This Row],[Etapa Despacho - Llegada]]="","",MARÍTIMOS[[#This Row],[Etapa Despacho - Llegada]]),"")</f>
        <v/>
      </c>
      <c r="AA1026" s="11" t="str">
        <f>IFERROR(IF(MARÍTIMOS[[#This Row],[Etapa Despacho - Registro]]="","",MARÍTIMOS[[#This Row],[Etapa Despacho - Registro]]),"")</f>
        <v/>
      </c>
      <c r="AB1026" s="11" t="str">
        <f>IFERROR(IF(MARÍTIMOS[[#This Row],[Inspección Externa]]="","",MARÍTIMOS[[#This Row],[Inspección Externa]]),"")</f>
        <v/>
      </c>
      <c r="AC1026" s="11" t="str">
        <f>IFERROR(IF(MARÍTIMOS[[#This Row],[Etapa Despacho - Inicio de Carga]]="","",MARÍTIMOS[[#This Row],[Etapa Despacho - Inicio de Carga]]),"")</f>
        <v/>
      </c>
      <c r="AD1026" s="11" t="str">
        <f>IFERROR(IF(MARÍTIMOS[[#This Row],[Etapa Despacho - Mitad de Carga]]="","",MARÍTIMOS[[#This Row],[Etapa Despacho - Mitad de Carga]]),"")</f>
        <v/>
      </c>
      <c r="AE1026" s="11" t="str">
        <f>IFERROR(IF(MARÍTIMOS[[#This Row],[Etapa Despacho - Fin de Carga]]="","",MARÍTIMOS[[#This Row],[Etapa Despacho - Fin de Carga]]),"")</f>
        <v/>
      </c>
      <c r="AF1026" s="2" t="str">
        <f>IFERROR(IF(MARÍTIMOS[[#This Row],[Puerto de Embarque]]="","",MARÍTIMOS[[#This Row],[Puerto de Embarque]]),"")</f>
        <v/>
      </c>
      <c r="AG1026" s="2" t="str">
        <f>IFERROR(IF(MARÍTIMOS[[#This Row],[Almacén de Ingreso]]="","",MARÍTIMOS[[#This Row],[Almacén de Ingreso]]),"")</f>
        <v/>
      </c>
      <c r="AH1026" s="11" t="str">
        <f>IFERROR(IF(MARÍTIMOS[[#This Row],[Etapa Ingreso - Cita]]="","",MARÍTIMOS[[#This Row],[Etapa Ingreso - Cita]]),"")</f>
        <v/>
      </c>
      <c r="AI1026" s="11" t="str">
        <f>IFERROR(IF(MARÍTIMOS[[#This Row],[Etapa Ingreso - Llegada]]="","",MARÍTIMOS[[#This Row],[Etapa Ingreso - Llegada]]),"")</f>
        <v/>
      </c>
      <c r="AJ1026" s="11" t="str">
        <f>IFERROR(IF(MARÍTIMOS[[#This Row],[Etapa Ingreso - Ingeso]]="","",MARÍTIMOS[[#This Row],[Etapa Ingreso - Ingeso]]),"")</f>
        <v/>
      </c>
      <c r="AK1026" s="11" t="str">
        <f>IFERROR(IF(MARÍTIMOS[[#This Row],[Etapa Ingreso - Atención]]="","",MARÍTIMOS[[#This Row],[Etapa Ingreso - Atención]]),"")</f>
        <v/>
      </c>
      <c r="AL1026" s="11" t="str">
        <f>IFERROR(IF(MARÍTIMOS[[#This Row],[Etapa Ingreso - Salida]]="","",MARÍTIMOS[[#This Row],[Etapa Ingreso - Salida]]),"")</f>
        <v/>
      </c>
      <c r="AM1026" s="2" t="str">
        <f>IFERROR(IF(MARÍTIMOS[[#This Row],[FCL]]="","",MARÍTIMOS[[#This Row],[FCL]]),"")</f>
        <v/>
      </c>
      <c r="AN102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6" s="4" t="str" cm="1">
        <f t="array" ref="AO102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6" s="5" t="str">
        <f>IFERROR(OLDBD[[#This Row],[Llegada a packing]]-OLDBD[[#This Row],[Inicio de Ruta]],"")</f>
        <v/>
      </c>
      <c r="AQ1026" s="6" t="str">
        <f>IFERROR(OLDBD[[#This Row],[Inicio de Ruta]]-OLDBD[[#This Row],[Salida de almacén de retiro]],"")</f>
        <v/>
      </c>
      <c r="AR102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6" s="8" t="str" cm="1">
        <f t="array" ref="AS102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6" s="9" t="str">
        <f>IFERROR(OLDBD[[#This Row],[Ingreso Packing]]-OLDBD[[#This Row],[Registro en Packing]],"")</f>
        <v/>
      </c>
      <c r="AV1026" s="9" t="str">
        <f>IFERROR(OLDBD[[#This Row],[Ingreso Packing]]-OLDBD[[#This Row],[Llegada a packing]],"")</f>
        <v/>
      </c>
      <c r="AW102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6" s="5" t="str">
        <f>IFERROR(OLDBD[[#This Row],[Llegada Almacén de Ingreso]]-OLDBD[[#This Row],[Salida Packing]],"")</f>
        <v/>
      </c>
      <c r="AY1026" s="4" t="str" cm="1">
        <f t="array" ref="AY102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6" s="43" t="s">
        <v>173</v>
      </c>
      <c r="BB1026" s="47" t="str">
        <f>IFERROR(IF(MARÍTIMOS[[#This Row],[Estatus]]="","",MARÍTIMOS[[#This Row],[Estatus]]),"")</f>
        <v/>
      </c>
      <c r="BC1026" s="43"/>
      <c r="BD1026" s="46" t="str">
        <f>IFERROR(OLDBD[[#This Row],[Salida de almacén de retiro]]-OLDBD[[#This Row],[Ingreso Almacén de retiro]],"")</f>
        <v/>
      </c>
      <c r="BE1026" s="46" t="str">
        <f>IFERROR(OLDBD[[#This Row],[Fin de Carga]]-OLDBD[[#This Row],[Inicio de Carga]],"")</f>
        <v/>
      </c>
    </row>
    <row r="1027" spans="1:57" customFormat="1" hidden="1">
      <c r="A1027" s="1"/>
      <c r="B1027" s="1" t="str">
        <f>IFERROR(IF(MARÍTIMOS[[#This Row],[PP]]="","",MARÍTIMOS[[#This Row],[PP]]),"")</f>
        <v/>
      </c>
      <c r="C1027" s="1" t="str">
        <f>IFERROR(IF(MARÍTIMOS[[#This Row],[Sede]]="","",MARÍTIMOS[[#This Row],[Sede]]),"")</f>
        <v/>
      </c>
      <c r="D1027" s="1" t="str">
        <f>IFERROR(IF(MARÍTIMOS[[#This Row],[Instruction]]="","",MARÍTIMOS[[#This Row],[Instruction]]),"")</f>
        <v/>
      </c>
      <c r="E1027" s="1"/>
      <c r="F1027" s="2" t="str">
        <f>IFERROR(IF(MARÍTIMOS[[#This Row],[Transportista]]="","",MARÍTIMOS[[#This Row],[Transportista]]),"")</f>
        <v/>
      </c>
      <c r="G1027" s="2" t="str">
        <f>IFERROR(IF(MARÍTIMOS[[#This Row],[Tercero]]="","",MARÍTIMOS[[#This Row],[Tercero]]),"")</f>
        <v/>
      </c>
      <c r="H1027" s="2" t="str">
        <f>IFERROR(IF(MARÍTIMOS[[#This Row],[Razón Social]]="","",MARÍTIMOS[[#This Row],[Razón Social]]),"")</f>
        <v/>
      </c>
      <c r="I1027" s="2" t="str">
        <f>IFERROR(IF(MARÍTIMOS[[#This Row],[RUC]]="","",MARÍTIMOS[[#This Row],[RUC]]),"")</f>
        <v/>
      </c>
      <c r="J1027" s="2" t="str">
        <f>IFERROR(IF(MARÍTIMOS[[#This Row],[Placa Tracto]]="","",MARÍTIMOS[[#This Row],[Placa Tracto]]),"")</f>
        <v/>
      </c>
      <c r="K1027" s="2" t="str">
        <f>IFERROR(IF(MARÍTIMOS[[#This Row],[Placa Carreta]]="","",MARÍTIMOS[[#This Row],[Placa Carreta]]),"")</f>
        <v/>
      </c>
      <c r="L1027" s="44" t="str">
        <f>IFERROR(IF(MARÍTIMOS[[#This Row],[Conductor]]="","",MARÍTIMOS[[#This Row],[Conductor]]),"")</f>
        <v/>
      </c>
      <c r="M1027" s="2" t="str">
        <f>IFERROR(IF(MARÍTIMOS[[#This Row],[Licencia]]="","",MARÍTIMOS[[#This Row],[Licencia]]),"")</f>
        <v/>
      </c>
      <c r="N1027" s="2" t="str">
        <f>IFERROR(IF(MARÍTIMOS[[#This Row],[Número de Contacto]]="","",MARÍTIMOS[[#This Row],[Número de Contacto]]),"")</f>
        <v/>
      </c>
      <c r="O1027" s="10" t="str">
        <f>IFERROR(IF(MARÍTIMOS[[#This Row],[Booking|AWB|CRT]]="","",MARÍTIMOS[[#This Row],[Booking|AWB|CRT]]),"")</f>
        <v/>
      </c>
      <c r="P1027" s="2" t="str">
        <f>IFERROR(IF(MARÍTIMOS[[#This Row],[Contenedor]]="","",MARÍTIMOS[[#This Row],[Contenedor]]),"")</f>
        <v/>
      </c>
      <c r="Q1027" s="2" t="str">
        <f>IFERROR(IF(MARÍTIMOS[[#This Row],[Puerto de Retiro]]="","",MARÍTIMOS[[#This Row],[Puerto de Retiro]]),"")</f>
        <v/>
      </c>
      <c r="R1027" s="2" t="str">
        <f>IFERROR(IF(MARÍTIMOS[[#This Row],[Almacén de Retiro]]="","",MARÍTIMOS[[#This Row],[Almacén de Retiro]]),"")</f>
        <v/>
      </c>
      <c r="S1027" s="11" t="str">
        <f>IFERROR(IF(MARÍTIMOS[[#This Row],[Etapa Retiro - Cita]]="","",MARÍTIMOS[[#This Row],[Etapa Retiro - Cita]]),"")</f>
        <v/>
      </c>
      <c r="T1027" s="11" t="str">
        <f>IFERROR(IF(MARÍTIMOS[[#This Row],[Etapa Retiro - Llegada]]="","",MARÍTIMOS[[#This Row],[Etapa Retiro - Llegada]]),"")</f>
        <v/>
      </c>
      <c r="U1027" s="11" t="str">
        <f>IFERROR(IF(MARÍTIMOS[[#This Row],[Etapa Retiro - Ingreso]]="","",MARÍTIMOS[[#This Row],[Etapa Retiro - Ingreso]]),"")</f>
        <v/>
      </c>
      <c r="V1027" s="11" t="str">
        <f>IFERROR(IF(MARÍTIMOS[[#This Row],[Etapa Retiro - Atención]]="","",MARÍTIMOS[[#This Row],[Etapa Retiro - Atención]]),"")</f>
        <v/>
      </c>
      <c r="W1027" s="11" t="str">
        <f>IFERROR(IF(MARÍTIMOS[[#This Row],[Etapa Retiro - Atención]]="","",MARÍTIMOS[[#This Row],[Etapa Retiro - Atención]]),"")</f>
        <v/>
      </c>
      <c r="X1027" s="11" t="str">
        <f>IFERROR(IF(MARÍTIMOS[[#This Row],[Etapa Retiro - Inicio de Ruta]]="","",MARÍTIMOS[[#This Row],[Etapa Retiro - Inicio de Ruta]]),"")</f>
        <v/>
      </c>
      <c r="Y1027" s="11" t="str">
        <f>IFERROR(IF(MARÍTIMOS[[#This Row],[Hora de Posicionamiento]]="","",MARÍTIMOS[[#This Row],[Fecha de Carga]]+MARÍTIMOS[[#This Row],[Hora de Posicionamiento]]),"")</f>
        <v/>
      </c>
      <c r="Z1027" s="11" t="str">
        <f>IFERROR(IF(MARÍTIMOS[[#This Row],[Etapa Despacho - Llegada]]="","",MARÍTIMOS[[#This Row],[Etapa Despacho - Llegada]]),"")</f>
        <v/>
      </c>
      <c r="AA1027" s="11" t="str">
        <f>IFERROR(IF(MARÍTIMOS[[#This Row],[Etapa Despacho - Registro]]="","",MARÍTIMOS[[#This Row],[Etapa Despacho - Registro]]),"")</f>
        <v/>
      </c>
      <c r="AB1027" s="11" t="str">
        <f>IFERROR(IF(MARÍTIMOS[[#This Row],[Inspección Externa]]="","",MARÍTIMOS[[#This Row],[Inspección Externa]]),"")</f>
        <v/>
      </c>
      <c r="AC1027" s="11" t="str">
        <f>IFERROR(IF(MARÍTIMOS[[#This Row],[Etapa Despacho - Inicio de Carga]]="","",MARÍTIMOS[[#This Row],[Etapa Despacho - Inicio de Carga]]),"")</f>
        <v/>
      </c>
      <c r="AD1027" s="11" t="str">
        <f>IFERROR(IF(MARÍTIMOS[[#This Row],[Etapa Despacho - Mitad de Carga]]="","",MARÍTIMOS[[#This Row],[Etapa Despacho - Mitad de Carga]]),"")</f>
        <v/>
      </c>
      <c r="AE1027" s="11" t="str">
        <f>IFERROR(IF(MARÍTIMOS[[#This Row],[Etapa Despacho - Fin de Carga]]="","",MARÍTIMOS[[#This Row],[Etapa Despacho - Fin de Carga]]),"")</f>
        <v/>
      </c>
      <c r="AF1027" s="2" t="str">
        <f>IFERROR(IF(MARÍTIMOS[[#This Row],[Puerto de Embarque]]="","",MARÍTIMOS[[#This Row],[Puerto de Embarque]]),"")</f>
        <v/>
      </c>
      <c r="AG1027" s="2" t="str">
        <f>IFERROR(IF(MARÍTIMOS[[#This Row],[Almacén de Ingreso]]="","",MARÍTIMOS[[#This Row],[Almacén de Ingreso]]),"")</f>
        <v/>
      </c>
      <c r="AH1027" s="11" t="str">
        <f>IFERROR(IF(MARÍTIMOS[[#This Row],[Etapa Ingreso - Cita]]="","",MARÍTIMOS[[#This Row],[Etapa Ingreso - Cita]]),"")</f>
        <v/>
      </c>
      <c r="AI1027" s="11" t="str">
        <f>IFERROR(IF(MARÍTIMOS[[#This Row],[Etapa Ingreso - Llegada]]="","",MARÍTIMOS[[#This Row],[Etapa Ingreso - Llegada]]),"")</f>
        <v/>
      </c>
      <c r="AJ1027" s="11" t="str">
        <f>IFERROR(IF(MARÍTIMOS[[#This Row],[Etapa Ingreso - Ingeso]]="","",MARÍTIMOS[[#This Row],[Etapa Ingreso - Ingeso]]),"")</f>
        <v/>
      </c>
      <c r="AK1027" s="11" t="str">
        <f>IFERROR(IF(MARÍTIMOS[[#This Row],[Etapa Ingreso - Atención]]="","",MARÍTIMOS[[#This Row],[Etapa Ingreso - Atención]]),"")</f>
        <v/>
      </c>
      <c r="AL1027" s="11" t="str">
        <f>IFERROR(IF(MARÍTIMOS[[#This Row],[Etapa Ingreso - Salida]]="","",MARÍTIMOS[[#This Row],[Etapa Ingreso - Salida]]),"")</f>
        <v/>
      </c>
      <c r="AM1027" s="2" t="str">
        <f>IFERROR(IF(MARÍTIMOS[[#This Row],[FCL]]="","",MARÍTIMOS[[#This Row],[FCL]]),"")</f>
        <v/>
      </c>
      <c r="AN102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7" s="4" t="str" cm="1">
        <f t="array" ref="AO102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7" s="5" t="str">
        <f>IFERROR(OLDBD[[#This Row],[Llegada a packing]]-OLDBD[[#This Row],[Inicio de Ruta]],"")</f>
        <v/>
      </c>
      <c r="AQ1027" s="6" t="str">
        <f>IFERROR(OLDBD[[#This Row],[Inicio de Ruta]]-OLDBD[[#This Row],[Salida de almacén de retiro]],"")</f>
        <v/>
      </c>
      <c r="AR102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7" s="8" t="str" cm="1">
        <f t="array" ref="AS102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7" s="9" t="str">
        <f>IFERROR(OLDBD[[#This Row],[Ingreso Packing]]-OLDBD[[#This Row],[Registro en Packing]],"")</f>
        <v/>
      </c>
      <c r="AV1027" s="9" t="str">
        <f>IFERROR(OLDBD[[#This Row],[Ingreso Packing]]-OLDBD[[#This Row],[Llegada a packing]],"")</f>
        <v/>
      </c>
      <c r="AW102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7" s="5" t="str">
        <f>IFERROR(OLDBD[[#This Row],[Llegada Almacén de Ingreso]]-OLDBD[[#This Row],[Salida Packing]],"")</f>
        <v/>
      </c>
      <c r="AY1027" s="4" t="str" cm="1">
        <f t="array" ref="AY102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7" s="43" t="s">
        <v>173</v>
      </c>
      <c r="BB1027" s="47" t="str">
        <f>IFERROR(IF(MARÍTIMOS[[#This Row],[Estatus]]="","",MARÍTIMOS[[#This Row],[Estatus]]),"")</f>
        <v/>
      </c>
      <c r="BC1027" s="43"/>
      <c r="BD1027" s="46" t="str">
        <f>IFERROR(OLDBD[[#This Row],[Salida de almacén de retiro]]-OLDBD[[#This Row],[Ingreso Almacén de retiro]],"")</f>
        <v/>
      </c>
      <c r="BE1027" s="46" t="str">
        <f>IFERROR(OLDBD[[#This Row],[Fin de Carga]]-OLDBD[[#This Row],[Inicio de Carga]],"")</f>
        <v/>
      </c>
    </row>
    <row r="1028" spans="1:57" customFormat="1" hidden="1">
      <c r="A1028" s="1"/>
      <c r="B1028" s="1" t="str">
        <f>IFERROR(IF(MARÍTIMOS[[#This Row],[PP]]="","",MARÍTIMOS[[#This Row],[PP]]),"")</f>
        <v/>
      </c>
      <c r="C1028" s="1" t="str">
        <f>IFERROR(IF(MARÍTIMOS[[#This Row],[Sede]]="","",MARÍTIMOS[[#This Row],[Sede]]),"")</f>
        <v/>
      </c>
      <c r="D1028" s="1" t="str">
        <f>IFERROR(IF(MARÍTIMOS[[#This Row],[Instruction]]="","",MARÍTIMOS[[#This Row],[Instruction]]),"")</f>
        <v/>
      </c>
      <c r="E1028" s="1"/>
      <c r="F1028" s="2" t="str">
        <f>IFERROR(IF(MARÍTIMOS[[#This Row],[Transportista]]="","",MARÍTIMOS[[#This Row],[Transportista]]),"")</f>
        <v/>
      </c>
      <c r="G1028" s="2" t="str">
        <f>IFERROR(IF(MARÍTIMOS[[#This Row],[Tercero]]="","",MARÍTIMOS[[#This Row],[Tercero]]),"")</f>
        <v/>
      </c>
      <c r="H1028" s="2" t="str">
        <f>IFERROR(IF(MARÍTIMOS[[#This Row],[Razón Social]]="","",MARÍTIMOS[[#This Row],[Razón Social]]),"")</f>
        <v/>
      </c>
      <c r="I1028" s="2" t="str">
        <f>IFERROR(IF(MARÍTIMOS[[#This Row],[RUC]]="","",MARÍTIMOS[[#This Row],[RUC]]),"")</f>
        <v/>
      </c>
      <c r="J1028" s="2" t="str">
        <f>IFERROR(IF(MARÍTIMOS[[#This Row],[Placa Tracto]]="","",MARÍTIMOS[[#This Row],[Placa Tracto]]),"")</f>
        <v/>
      </c>
      <c r="K1028" s="2" t="str">
        <f>IFERROR(IF(MARÍTIMOS[[#This Row],[Placa Carreta]]="","",MARÍTIMOS[[#This Row],[Placa Carreta]]),"")</f>
        <v/>
      </c>
      <c r="L1028" s="44" t="str">
        <f>IFERROR(IF(MARÍTIMOS[[#This Row],[Conductor]]="","",MARÍTIMOS[[#This Row],[Conductor]]),"")</f>
        <v/>
      </c>
      <c r="M1028" s="2" t="str">
        <f>IFERROR(IF(MARÍTIMOS[[#This Row],[Licencia]]="","",MARÍTIMOS[[#This Row],[Licencia]]),"")</f>
        <v/>
      </c>
      <c r="N1028" s="2" t="str">
        <f>IFERROR(IF(MARÍTIMOS[[#This Row],[Número de Contacto]]="","",MARÍTIMOS[[#This Row],[Número de Contacto]]),"")</f>
        <v/>
      </c>
      <c r="O1028" s="10" t="str">
        <f>IFERROR(IF(MARÍTIMOS[[#This Row],[Booking|AWB|CRT]]="","",MARÍTIMOS[[#This Row],[Booking|AWB|CRT]]),"")</f>
        <v/>
      </c>
      <c r="P1028" s="2" t="str">
        <f>IFERROR(IF(MARÍTIMOS[[#This Row],[Contenedor]]="","",MARÍTIMOS[[#This Row],[Contenedor]]),"")</f>
        <v/>
      </c>
      <c r="Q1028" s="2" t="str">
        <f>IFERROR(IF(MARÍTIMOS[[#This Row],[Puerto de Retiro]]="","",MARÍTIMOS[[#This Row],[Puerto de Retiro]]),"")</f>
        <v/>
      </c>
      <c r="R1028" s="2" t="str">
        <f>IFERROR(IF(MARÍTIMOS[[#This Row],[Almacén de Retiro]]="","",MARÍTIMOS[[#This Row],[Almacén de Retiro]]),"")</f>
        <v/>
      </c>
      <c r="S1028" s="11" t="str">
        <f>IFERROR(IF(MARÍTIMOS[[#This Row],[Etapa Retiro - Cita]]="","",MARÍTIMOS[[#This Row],[Etapa Retiro - Cita]]),"")</f>
        <v/>
      </c>
      <c r="T1028" s="11" t="str">
        <f>IFERROR(IF(MARÍTIMOS[[#This Row],[Etapa Retiro - Llegada]]="","",MARÍTIMOS[[#This Row],[Etapa Retiro - Llegada]]),"")</f>
        <v/>
      </c>
      <c r="U1028" s="11" t="str">
        <f>IFERROR(IF(MARÍTIMOS[[#This Row],[Etapa Retiro - Ingreso]]="","",MARÍTIMOS[[#This Row],[Etapa Retiro - Ingreso]]),"")</f>
        <v/>
      </c>
      <c r="V1028" s="11" t="str">
        <f>IFERROR(IF(MARÍTIMOS[[#This Row],[Etapa Retiro - Atención]]="","",MARÍTIMOS[[#This Row],[Etapa Retiro - Atención]]),"")</f>
        <v/>
      </c>
      <c r="W1028" s="11" t="str">
        <f>IFERROR(IF(MARÍTIMOS[[#This Row],[Etapa Retiro - Atención]]="","",MARÍTIMOS[[#This Row],[Etapa Retiro - Atención]]),"")</f>
        <v/>
      </c>
      <c r="X1028" s="11" t="str">
        <f>IFERROR(IF(MARÍTIMOS[[#This Row],[Etapa Retiro - Inicio de Ruta]]="","",MARÍTIMOS[[#This Row],[Etapa Retiro - Inicio de Ruta]]),"")</f>
        <v/>
      </c>
      <c r="Y1028" s="11" t="str">
        <f>IFERROR(IF(MARÍTIMOS[[#This Row],[Hora de Posicionamiento]]="","",MARÍTIMOS[[#This Row],[Fecha de Carga]]+MARÍTIMOS[[#This Row],[Hora de Posicionamiento]]),"")</f>
        <v/>
      </c>
      <c r="Z1028" s="11" t="str">
        <f>IFERROR(IF(MARÍTIMOS[[#This Row],[Etapa Despacho - Llegada]]="","",MARÍTIMOS[[#This Row],[Etapa Despacho - Llegada]]),"")</f>
        <v/>
      </c>
      <c r="AA1028" s="11" t="str">
        <f>IFERROR(IF(MARÍTIMOS[[#This Row],[Etapa Despacho - Registro]]="","",MARÍTIMOS[[#This Row],[Etapa Despacho - Registro]]),"")</f>
        <v/>
      </c>
      <c r="AB1028" s="11" t="str">
        <f>IFERROR(IF(MARÍTIMOS[[#This Row],[Inspección Externa]]="","",MARÍTIMOS[[#This Row],[Inspección Externa]]),"")</f>
        <v/>
      </c>
      <c r="AC1028" s="11" t="str">
        <f>IFERROR(IF(MARÍTIMOS[[#This Row],[Etapa Despacho - Inicio de Carga]]="","",MARÍTIMOS[[#This Row],[Etapa Despacho - Inicio de Carga]]),"")</f>
        <v/>
      </c>
      <c r="AD1028" s="11" t="str">
        <f>IFERROR(IF(MARÍTIMOS[[#This Row],[Etapa Despacho - Mitad de Carga]]="","",MARÍTIMOS[[#This Row],[Etapa Despacho - Mitad de Carga]]),"")</f>
        <v/>
      </c>
      <c r="AE1028" s="11" t="str">
        <f>IFERROR(IF(MARÍTIMOS[[#This Row],[Etapa Despacho - Fin de Carga]]="","",MARÍTIMOS[[#This Row],[Etapa Despacho - Fin de Carga]]),"")</f>
        <v/>
      </c>
      <c r="AF1028" s="2" t="str">
        <f>IFERROR(IF(MARÍTIMOS[[#This Row],[Puerto de Embarque]]="","",MARÍTIMOS[[#This Row],[Puerto de Embarque]]),"")</f>
        <v/>
      </c>
      <c r="AG1028" s="2" t="str">
        <f>IFERROR(IF(MARÍTIMOS[[#This Row],[Almacén de Ingreso]]="","",MARÍTIMOS[[#This Row],[Almacén de Ingreso]]),"")</f>
        <v/>
      </c>
      <c r="AH1028" s="11" t="str">
        <f>IFERROR(IF(MARÍTIMOS[[#This Row],[Etapa Ingreso - Cita]]="","",MARÍTIMOS[[#This Row],[Etapa Ingreso - Cita]]),"")</f>
        <v/>
      </c>
      <c r="AI1028" s="11" t="str">
        <f>IFERROR(IF(MARÍTIMOS[[#This Row],[Etapa Ingreso - Llegada]]="","",MARÍTIMOS[[#This Row],[Etapa Ingreso - Llegada]]),"")</f>
        <v/>
      </c>
      <c r="AJ1028" s="11" t="str">
        <f>IFERROR(IF(MARÍTIMOS[[#This Row],[Etapa Ingreso - Ingeso]]="","",MARÍTIMOS[[#This Row],[Etapa Ingreso - Ingeso]]),"")</f>
        <v/>
      </c>
      <c r="AK1028" s="11" t="str">
        <f>IFERROR(IF(MARÍTIMOS[[#This Row],[Etapa Ingreso - Atención]]="","",MARÍTIMOS[[#This Row],[Etapa Ingreso - Atención]]),"")</f>
        <v/>
      </c>
      <c r="AL1028" s="11" t="str">
        <f>IFERROR(IF(MARÍTIMOS[[#This Row],[Etapa Ingreso - Salida]]="","",MARÍTIMOS[[#This Row],[Etapa Ingreso - Salida]]),"")</f>
        <v/>
      </c>
      <c r="AM1028" s="2" t="str">
        <f>IFERROR(IF(MARÍTIMOS[[#This Row],[FCL]]="","",MARÍTIMOS[[#This Row],[FCL]]),"")</f>
        <v/>
      </c>
      <c r="AN102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8" s="4" t="str" cm="1">
        <f t="array" ref="AO102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8" s="5" t="str">
        <f>IFERROR(OLDBD[[#This Row],[Llegada a packing]]-OLDBD[[#This Row],[Inicio de Ruta]],"")</f>
        <v/>
      </c>
      <c r="AQ1028" s="6" t="str">
        <f>IFERROR(OLDBD[[#This Row],[Inicio de Ruta]]-OLDBD[[#This Row],[Salida de almacén de retiro]],"")</f>
        <v/>
      </c>
      <c r="AR102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8" s="8" t="str" cm="1">
        <f t="array" ref="AS102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8" s="9" t="str">
        <f>IFERROR(OLDBD[[#This Row],[Ingreso Packing]]-OLDBD[[#This Row],[Registro en Packing]],"")</f>
        <v/>
      </c>
      <c r="AV1028" s="9" t="str">
        <f>IFERROR(OLDBD[[#This Row],[Ingreso Packing]]-OLDBD[[#This Row],[Llegada a packing]],"")</f>
        <v/>
      </c>
      <c r="AW102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8" s="5" t="str">
        <f>IFERROR(OLDBD[[#This Row],[Llegada Almacén de Ingreso]]-OLDBD[[#This Row],[Salida Packing]],"")</f>
        <v/>
      </c>
      <c r="AY1028" s="4" t="str" cm="1">
        <f t="array" ref="AY102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8" s="43" t="s">
        <v>173</v>
      </c>
      <c r="BB1028" s="47" t="str">
        <f>IFERROR(IF(MARÍTIMOS[[#This Row],[Estatus]]="","",MARÍTIMOS[[#This Row],[Estatus]]),"")</f>
        <v/>
      </c>
      <c r="BC1028" s="43"/>
      <c r="BD1028" s="46" t="str">
        <f>IFERROR(OLDBD[[#This Row],[Salida de almacén de retiro]]-OLDBD[[#This Row],[Ingreso Almacén de retiro]],"")</f>
        <v/>
      </c>
      <c r="BE1028" s="46" t="str">
        <f>IFERROR(OLDBD[[#This Row],[Fin de Carga]]-OLDBD[[#This Row],[Inicio de Carga]],"")</f>
        <v/>
      </c>
    </row>
    <row r="1029" spans="1:57" customFormat="1" hidden="1">
      <c r="A1029" s="1"/>
      <c r="B1029" s="1" t="str">
        <f>IFERROR(IF(MARÍTIMOS[[#This Row],[PP]]="","",MARÍTIMOS[[#This Row],[PP]]),"")</f>
        <v/>
      </c>
      <c r="C1029" s="1" t="str">
        <f>IFERROR(IF(MARÍTIMOS[[#This Row],[Sede]]="","",MARÍTIMOS[[#This Row],[Sede]]),"")</f>
        <v/>
      </c>
      <c r="D1029" s="1" t="str">
        <f>IFERROR(IF(MARÍTIMOS[[#This Row],[Instruction]]="","",MARÍTIMOS[[#This Row],[Instruction]]),"")</f>
        <v/>
      </c>
      <c r="E1029" s="1"/>
      <c r="F1029" s="2" t="str">
        <f>IFERROR(IF(MARÍTIMOS[[#This Row],[Transportista]]="","",MARÍTIMOS[[#This Row],[Transportista]]),"")</f>
        <v/>
      </c>
      <c r="G1029" s="2" t="str">
        <f>IFERROR(IF(MARÍTIMOS[[#This Row],[Tercero]]="","",MARÍTIMOS[[#This Row],[Tercero]]),"")</f>
        <v/>
      </c>
      <c r="H1029" s="2" t="str">
        <f>IFERROR(IF(MARÍTIMOS[[#This Row],[Razón Social]]="","",MARÍTIMOS[[#This Row],[Razón Social]]),"")</f>
        <v/>
      </c>
      <c r="I1029" s="2" t="str">
        <f>IFERROR(IF(MARÍTIMOS[[#This Row],[RUC]]="","",MARÍTIMOS[[#This Row],[RUC]]),"")</f>
        <v/>
      </c>
      <c r="J1029" s="2" t="str">
        <f>IFERROR(IF(MARÍTIMOS[[#This Row],[Placa Tracto]]="","",MARÍTIMOS[[#This Row],[Placa Tracto]]),"")</f>
        <v/>
      </c>
      <c r="K1029" s="2" t="str">
        <f>IFERROR(IF(MARÍTIMOS[[#This Row],[Placa Carreta]]="","",MARÍTIMOS[[#This Row],[Placa Carreta]]),"")</f>
        <v/>
      </c>
      <c r="L1029" s="44" t="str">
        <f>IFERROR(IF(MARÍTIMOS[[#This Row],[Conductor]]="","",MARÍTIMOS[[#This Row],[Conductor]]),"")</f>
        <v/>
      </c>
      <c r="M1029" s="2" t="str">
        <f>IFERROR(IF(MARÍTIMOS[[#This Row],[Licencia]]="","",MARÍTIMOS[[#This Row],[Licencia]]),"")</f>
        <v/>
      </c>
      <c r="N1029" s="2" t="str">
        <f>IFERROR(IF(MARÍTIMOS[[#This Row],[Número de Contacto]]="","",MARÍTIMOS[[#This Row],[Número de Contacto]]),"")</f>
        <v/>
      </c>
      <c r="O1029" s="10" t="str">
        <f>IFERROR(IF(MARÍTIMOS[[#This Row],[Booking|AWB|CRT]]="","",MARÍTIMOS[[#This Row],[Booking|AWB|CRT]]),"")</f>
        <v/>
      </c>
      <c r="P1029" s="2" t="str">
        <f>IFERROR(IF(MARÍTIMOS[[#This Row],[Contenedor]]="","",MARÍTIMOS[[#This Row],[Contenedor]]),"")</f>
        <v/>
      </c>
      <c r="Q1029" s="2" t="str">
        <f>IFERROR(IF(MARÍTIMOS[[#This Row],[Puerto de Retiro]]="","",MARÍTIMOS[[#This Row],[Puerto de Retiro]]),"")</f>
        <v/>
      </c>
      <c r="R1029" s="2" t="str">
        <f>IFERROR(IF(MARÍTIMOS[[#This Row],[Almacén de Retiro]]="","",MARÍTIMOS[[#This Row],[Almacén de Retiro]]),"")</f>
        <v/>
      </c>
      <c r="S1029" s="11" t="str">
        <f>IFERROR(IF(MARÍTIMOS[[#This Row],[Etapa Retiro - Cita]]="","",MARÍTIMOS[[#This Row],[Etapa Retiro - Cita]]),"")</f>
        <v/>
      </c>
      <c r="T1029" s="11" t="str">
        <f>IFERROR(IF(MARÍTIMOS[[#This Row],[Etapa Retiro - Llegada]]="","",MARÍTIMOS[[#This Row],[Etapa Retiro - Llegada]]),"")</f>
        <v/>
      </c>
      <c r="U1029" s="11" t="str">
        <f>IFERROR(IF(MARÍTIMOS[[#This Row],[Etapa Retiro - Ingreso]]="","",MARÍTIMOS[[#This Row],[Etapa Retiro - Ingreso]]),"")</f>
        <v/>
      </c>
      <c r="V1029" s="11" t="str">
        <f>IFERROR(IF(MARÍTIMOS[[#This Row],[Etapa Retiro - Atención]]="","",MARÍTIMOS[[#This Row],[Etapa Retiro - Atención]]),"")</f>
        <v/>
      </c>
      <c r="W1029" s="11" t="str">
        <f>IFERROR(IF(MARÍTIMOS[[#This Row],[Etapa Retiro - Atención]]="","",MARÍTIMOS[[#This Row],[Etapa Retiro - Atención]]),"")</f>
        <v/>
      </c>
      <c r="X1029" s="11" t="str">
        <f>IFERROR(IF(MARÍTIMOS[[#This Row],[Etapa Retiro - Inicio de Ruta]]="","",MARÍTIMOS[[#This Row],[Etapa Retiro - Inicio de Ruta]]),"")</f>
        <v/>
      </c>
      <c r="Y1029" s="11" t="str">
        <f>IFERROR(IF(MARÍTIMOS[[#This Row],[Hora de Posicionamiento]]="","",MARÍTIMOS[[#This Row],[Fecha de Carga]]+MARÍTIMOS[[#This Row],[Hora de Posicionamiento]]),"")</f>
        <v/>
      </c>
      <c r="Z1029" s="11" t="str">
        <f>IFERROR(IF(MARÍTIMOS[[#This Row],[Etapa Despacho - Llegada]]="","",MARÍTIMOS[[#This Row],[Etapa Despacho - Llegada]]),"")</f>
        <v/>
      </c>
      <c r="AA1029" s="11" t="str">
        <f>IFERROR(IF(MARÍTIMOS[[#This Row],[Etapa Despacho - Registro]]="","",MARÍTIMOS[[#This Row],[Etapa Despacho - Registro]]),"")</f>
        <v/>
      </c>
      <c r="AB1029" s="11" t="str">
        <f>IFERROR(IF(MARÍTIMOS[[#This Row],[Inspección Externa]]="","",MARÍTIMOS[[#This Row],[Inspección Externa]]),"")</f>
        <v/>
      </c>
      <c r="AC1029" s="11" t="str">
        <f>IFERROR(IF(MARÍTIMOS[[#This Row],[Etapa Despacho - Inicio de Carga]]="","",MARÍTIMOS[[#This Row],[Etapa Despacho - Inicio de Carga]]),"")</f>
        <v/>
      </c>
      <c r="AD1029" s="11" t="str">
        <f>IFERROR(IF(MARÍTIMOS[[#This Row],[Etapa Despacho - Mitad de Carga]]="","",MARÍTIMOS[[#This Row],[Etapa Despacho - Mitad de Carga]]),"")</f>
        <v/>
      </c>
      <c r="AE1029" s="11" t="str">
        <f>IFERROR(IF(MARÍTIMOS[[#This Row],[Etapa Despacho - Fin de Carga]]="","",MARÍTIMOS[[#This Row],[Etapa Despacho - Fin de Carga]]),"")</f>
        <v/>
      </c>
      <c r="AF1029" s="2" t="str">
        <f>IFERROR(IF(MARÍTIMOS[[#This Row],[Puerto de Embarque]]="","",MARÍTIMOS[[#This Row],[Puerto de Embarque]]),"")</f>
        <v/>
      </c>
      <c r="AG1029" s="2" t="str">
        <f>IFERROR(IF(MARÍTIMOS[[#This Row],[Almacén de Ingreso]]="","",MARÍTIMOS[[#This Row],[Almacén de Ingreso]]),"")</f>
        <v/>
      </c>
      <c r="AH1029" s="11" t="str">
        <f>IFERROR(IF(MARÍTIMOS[[#This Row],[Etapa Ingreso - Cita]]="","",MARÍTIMOS[[#This Row],[Etapa Ingreso - Cita]]),"")</f>
        <v/>
      </c>
      <c r="AI1029" s="11" t="str">
        <f>IFERROR(IF(MARÍTIMOS[[#This Row],[Etapa Ingreso - Llegada]]="","",MARÍTIMOS[[#This Row],[Etapa Ingreso - Llegada]]),"")</f>
        <v/>
      </c>
      <c r="AJ1029" s="11" t="str">
        <f>IFERROR(IF(MARÍTIMOS[[#This Row],[Etapa Ingreso - Ingeso]]="","",MARÍTIMOS[[#This Row],[Etapa Ingreso - Ingeso]]),"")</f>
        <v/>
      </c>
      <c r="AK1029" s="11" t="str">
        <f>IFERROR(IF(MARÍTIMOS[[#This Row],[Etapa Ingreso - Atención]]="","",MARÍTIMOS[[#This Row],[Etapa Ingreso - Atención]]),"")</f>
        <v/>
      </c>
      <c r="AL1029" s="11" t="str">
        <f>IFERROR(IF(MARÍTIMOS[[#This Row],[Etapa Ingreso - Salida]]="","",MARÍTIMOS[[#This Row],[Etapa Ingreso - Salida]]),"")</f>
        <v/>
      </c>
      <c r="AM1029" s="2" t="str">
        <f>IFERROR(IF(MARÍTIMOS[[#This Row],[FCL]]="","",MARÍTIMOS[[#This Row],[FCL]]),"")</f>
        <v/>
      </c>
      <c r="AN102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29" s="4" t="str" cm="1">
        <f t="array" ref="AO102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29" s="5" t="str">
        <f>IFERROR(OLDBD[[#This Row],[Llegada a packing]]-OLDBD[[#This Row],[Inicio de Ruta]],"")</f>
        <v/>
      </c>
      <c r="AQ1029" s="6" t="str">
        <f>IFERROR(OLDBD[[#This Row],[Inicio de Ruta]]-OLDBD[[#This Row],[Salida de almacén de retiro]],"")</f>
        <v/>
      </c>
      <c r="AR102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29" s="8" t="str" cm="1">
        <f t="array" ref="AS102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2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29" s="9" t="str">
        <f>IFERROR(OLDBD[[#This Row],[Ingreso Packing]]-OLDBD[[#This Row],[Registro en Packing]],"")</f>
        <v/>
      </c>
      <c r="AV1029" s="9" t="str">
        <f>IFERROR(OLDBD[[#This Row],[Ingreso Packing]]-OLDBD[[#This Row],[Llegada a packing]],"")</f>
        <v/>
      </c>
      <c r="AW102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29" s="5" t="str">
        <f>IFERROR(OLDBD[[#This Row],[Llegada Almacén de Ingreso]]-OLDBD[[#This Row],[Salida Packing]],"")</f>
        <v/>
      </c>
      <c r="AY1029" s="4" t="str" cm="1">
        <f t="array" ref="AY102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2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29" s="43" t="s">
        <v>173</v>
      </c>
      <c r="BB1029" s="47" t="str">
        <f>IFERROR(IF(MARÍTIMOS[[#This Row],[Estatus]]="","",MARÍTIMOS[[#This Row],[Estatus]]),"")</f>
        <v/>
      </c>
      <c r="BC1029" s="43"/>
      <c r="BD1029" s="46" t="str">
        <f>IFERROR(OLDBD[[#This Row],[Salida de almacén de retiro]]-OLDBD[[#This Row],[Ingreso Almacén de retiro]],"")</f>
        <v/>
      </c>
      <c r="BE1029" s="46" t="str">
        <f>IFERROR(OLDBD[[#This Row],[Fin de Carga]]-OLDBD[[#This Row],[Inicio de Carga]],"")</f>
        <v/>
      </c>
    </row>
    <row r="1030" spans="1:57" customFormat="1" hidden="1">
      <c r="A1030" s="1"/>
      <c r="B1030" s="1" t="str">
        <f>IFERROR(IF(MARÍTIMOS[[#This Row],[PP]]="","",MARÍTIMOS[[#This Row],[PP]]),"")</f>
        <v/>
      </c>
      <c r="C1030" s="1" t="str">
        <f>IFERROR(IF(MARÍTIMOS[[#This Row],[Sede]]="","",MARÍTIMOS[[#This Row],[Sede]]),"")</f>
        <v/>
      </c>
      <c r="D1030" s="1" t="str">
        <f>IFERROR(IF(MARÍTIMOS[[#This Row],[Instruction]]="","",MARÍTIMOS[[#This Row],[Instruction]]),"")</f>
        <v/>
      </c>
      <c r="E1030" s="1"/>
      <c r="F1030" s="2" t="str">
        <f>IFERROR(IF(MARÍTIMOS[[#This Row],[Transportista]]="","",MARÍTIMOS[[#This Row],[Transportista]]),"")</f>
        <v/>
      </c>
      <c r="G1030" s="2" t="str">
        <f>IFERROR(IF(MARÍTIMOS[[#This Row],[Tercero]]="","",MARÍTIMOS[[#This Row],[Tercero]]),"")</f>
        <v/>
      </c>
      <c r="H1030" s="2" t="str">
        <f>IFERROR(IF(MARÍTIMOS[[#This Row],[Razón Social]]="","",MARÍTIMOS[[#This Row],[Razón Social]]),"")</f>
        <v/>
      </c>
      <c r="I1030" s="2" t="str">
        <f>IFERROR(IF(MARÍTIMOS[[#This Row],[RUC]]="","",MARÍTIMOS[[#This Row],[RUC]]),"")</f>
        <v/>
      </c>
      <c r="J1030" s="2" t="str">
        <f>IFERROR(IF(MARÍTIMOS[[#This Row],[Placa Tracto]]="","",MARÍTIMOS[[#This Row],[Placa Tracto]]),"")</f>
        <v/>
      </c>
      <c r="K1030" s="2" t="str">
        <f>IFERROR(IF(MARÍTIMOS[[#This Row],[Placa Carreta]]="","",MARÍTIMOS[[#This Row],[Placa Carreta]]),"")</f>
        <v/>
      </c>
      <c r="L1030" s="44" t="str">
        <f>IFERROR(IF(MARÍTIMOS[[#This Row],[Conductor]]="","",MARÍTIMOS[[#This Row],[Conductor]]),"")</f>
        <v/>
      </c>
      <c r="M1030" s="2" t="str">
        <f>IFERROR(IF(MARÍTIMOS[[#This Row],[Licencia]]="","",MARÍTIMOS[[#This Row],[Licencia]]),"")</f>
        <v/>
      </c>
      <c r="N1030" s="2" t="str">
        <f>IFERROR(IF(MARÍTIMOS[[#This Row],[Número de Contacto]]="","",MARÍTIMOS[[#This Row],[Número de Contacto]]),"")</f>
        <v/>
      </c>
      <c r="O1030" s="10" t="str">
        <f>IFERROR(IF(MARÍTIMOS[[#This Row],[Booking|AWB|CRT]]="","",MARÍTIMOS[[#This Row],[Booking|AWB|CRT]]),"")</f>
        <v/>
      </c>
      <c r="P1030" s="2" t="str">
        <f>IFERROR(IF(MARÍTIMOS[[#This Row],[Contenedor]]="","",MARÍTIMOS[[#This Row],[Contenedor]]),"")</f>
        <v/>
      </c>
      <c r="Q1030" s="2" t="str">
        <f>IFERROR(IF(MARÍTIMOS[[#This Row],[Puerto de Retiro]]="","",MARÍTIMOS[[#This Row],[Puerto de Retiro]]),"")</f>
        <v/>
      </c>
      <c r="R1030" s="2" t="str">
        <f>IFERROR(IF(MARÍTIMOS[[#This Row],[Almacén de Retiro]]="","",MARÍTIMOS[[#This Row],[Almacén de Retiro]]),"")</f>
        <v/>
      </c>
      <c r="S1030" s="11" t="str">
        <f>IFERROR(IF(MARÍTIMOS[[#This Row],[Etapa Retiro - Cita]]="","",MARÍTIMOS[[#This Row],[Etapa Retiro - Cita]]),"")</f>
        <v/>
      </c>
      <c r="T1030" s="11" t="str">
        <f>IFERROR(IF(MARÍTIMOS[[#This Row],[Etapa Retiro - Llegada]]="","",MARÍTIMOS[[#This Row],[Etapa Retiro - Llegada]]),"")</f>
        <v/>
      </c>
      <c r="U1030" s="11" t="str">
        <f>IFERROR(IF(MARÍTIMOS[[#This Row],[Etapa Retiro - Ingreso]]="","",MARÍTIMOS[[#This Row],[Etapa Retiro - Ingreso]]),"")</f>
        <v/>
      </c>
      <c r="V1030" s="11" t="str">
        <f>IFERROR(IF(MARÍTIMOS[[#This Row],[Etapa Retiro - Atención]]="","",MARÍTIMOS[[#This Row],[Etapa Retiro - Atención]]),"")</f>
        <v/>
      </c>
      <c r="W1030" s="11" t="str">
        <f>IFERROR(IF(MARÍTIMOS[[#This Row],[Etapa Retiro - Atención]]="","",MARÍTIMOS[[#This Row],[Etapa Retiro - Atención]]),"")</f>
        <v/>
      </c>
      <c r="X1030" s="11" t="str">
        <f>IFERROR(IF(MARÍTIMOS[[#This Row],[Etapa Retiro - Inicio de Ruta]]="","",MARÍTIMOS[[#This Row],[Etapa Retiro - Inicio de Ruta]]),"")</f>
        <v/>
      </c>
      <c r="Y1030" s="11" t="str">
        <f>IFERROR(IF(MARÍTIMOS[[#This Row],[Hora de Posicionamiento]]="","",MARÍTIMOS[[#This Row],[Fecha de Carga]]+MARÍTIMOS[[#This Row],[Hora de Posicionamiento]]),"")</f>
        <v/>
      </c>
      <c r="Z1030" s="11" t="str">
        <f>IFERROR(IF(MARÍTIMOS[[#This Row],[Etapa Despacho - Llegada]]="","",MARÍTIMOS[[#This Row],[Etapa Despacho - Llegada]]),"")</f>
        <v/>
      </c>
      <c r="AA1030" s="11" t="str">
        <f>IFERROR(IF(MARÍTIMOS[[#This Row],[Etapa Despacho - Registro]]="","",MARÍTIMOS[[#This Row],[Etapa Despacho - Registro]]),"")</f>
        <v/>
      </c>
      <c r="AB1030" s="11" t="str">
        <f>IFERROR(IF(MARÍTIMOS[[#This Row],[Inspección Externa]]="","",MARÍTIMOS[[#This Row],[Inspección Externa]]),"")</f>
        <v/>
      </c>
      <c r="AC1030" s="11" t="str">
        <f>IFERROR(IF(MARÍTIMOS[[#This Row],[Etapa Despacho - Inicio de Carga]]="","",MARÍTIMOS[[#This Row],[Etapa Despacho - Inicio de Carga]]),"")</f>
        <v/>
      </c>
      <c r="AD1030" s="11" t="str">
        <f>IFERROR(IF(MARÍTIMOS[[#This Row],[Etapa Despacho - Mitad de Carga]]="","",MARÍTIMOS[[#This Row],[Etapa Despacho - Mitad de Carga]]),"")</f>
        <v/>
      </c>
      <c r="AE1030" s="11" t="str">
        <f>IFERROR(IF(MARÍTIMOS[[#This Row],[Etapa Despacho - Fin de Carga]]="","",MARÍTIMOS[[#This Row],[Etapa Despacho - Fin de Carga]]),"")</f>
        <v/>
      </c>
      <c r="AF1030" s="2" t="str">
        <f>IFERROR(IF(MARÍTIMOS[[#This Row],[Puerto de Embarque]]="","",MARÍTIMOS[[#This Row],[Puerto de Embarque]]),"")</f>
        <v/>
      </c>
      <c r="AG1030" s="2" t="str">
        <f>IFERROR(IF(MARÍTIMOS[[#This Row],[Almacén de Ingreso]]="","",MARÍTIMOS[[#This Row],[Almacén de Ingreso]]),"")</f>
        <v/>
      </c>
      <c r="AH1030" s="11" t="str">
        <f>IFERROR(IF(MARÍTIMOS[[#This Row],[Etapa Ingreso - Cita]]="","",MARÍTIMOS[[#This Row],[Etapa Ingreso - Cita]]),"")</f>
        <v/>
      </c>
      <c r="AI1030" s="11" t="str">
        <f>IFERROR(IF(MARÍTIMOS[[#This Row],[Etapa Ingreso - Llegada]]="","",MARÍTIMOS[[#This Row],[Etapa Ingreso - Llegada]]),"")</f>
        <v/>
      </c>
      <c r="AJ1030" s="11" t="str">
        <f>IFERROR(IF(MARÍTIMOS[[#This Row],[Etapa Ingreso - Ingeso]]="","",MARÍTIMOS[[#This Row],[Etapa Ingreso - Ingeso]]),"")</f>
        <v/>
      </c>
      <c r="AK1030" s="11" t="str">
        <f>IFERROR(IF(MARÍTIMOS[[#This Row],[Etapa Ingreso - Atención]]="","",MARÍTIMOS[[#This Row],[Etapa Ingreso - Atención]]),"")</f>
        <v/>
      </c>
      <c r="AL1030" s="11" t="str">
        <f>IFERROR(IF(MARÍTIMOS[[#This Row],[Etapa Ingreso - Salida]]="","",MARÍTIMOS[[#This Row],[Etapa Ingreso - Salida]]),"")</f>
        <v/>
      </c>
      <c r="AM1030" s="2" t="str">
        <f>IFERROR(IF(MARÍTIMOS[[#This Row],[FCL]]="","",MARÍTIMOS[[#This Row],[FCL]]),"")</f>
        <v/>
      </c>
      <c r="AN103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0" s="4" t="str" cm="1">
        <f t="array" ref="AO103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0" s="5" t="str">
        <f>IFERROR(OLDBD[[#This Row],[Llegada a packing]]-OLDBD[[#This Row],[Inicio de Ruta]],"")</f>
        <v/>
      </c>
      <c r="AQ1030" s="6" t="str">
        <f>IFERROR(OLDBD[[#This Row],[Inicio de Ruta]]-OLDBD[[#This Row],[Salida de almacén de retiro]],"")</f>
        <v/>
      </c>
      <c r="AR103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0" s="8" t="str" cm="1">
        <f t="array" ref="AS103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0" s="9" t="str">
        <f>IFERROR(OLDBD[[#This Row],[Ingreso Packing]]-OLDBD[[#This Row],[Registro en Packing]],"")</f>
        <v/>
      </c>
      <c r="AV1030" s="9" t="str">
        <f>IFERROR(OLDBD[[#This Row],[Ingreso Packing]]-OLDBD[[#This Row],[Llegada a packing]],"")</f>
        <v/>
      </c>
      <c r="AW103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0" s="5" t="str">
        <f>IFERROR(OLDBD[[#This Row],[Llegada Almacén de Ingreso]]-OLDBD[[#This Row],[Salida Packing]],"")</f>
        <v/>
      </c>
      <c r="AY1030" s="4" t="str" cm="1">
        <f t="array" ref="AY103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0" s="43" t="s">
        <v>173</v>
      </c>
      <c r="BB1030" s="47" t="str">
        <f>IFERROR(IF(MARÍTIMOS[[#This Row],[Estatus]]="","",MARÍTIMOS[[#This Row],[Estatus]]),"")</f>
        <v/>
      </c>
      <c r="BC1030" s="43"/>
      <c r="BD1030" s="46" t="str">
        <f>IFERROR(OLDBD[[#This Row],[Salida de almacén de retiro]]-OLDBD[[#This Row],[Ingreso Almacén de retiro]],"")</f>
        <v/>
      </c>
      <c r="BE1030" s="46" t="str">
        <f>IFERROR(OLDBD[[#This Row],[Fin de Carga]]-OLDBD[[#This Row],[Inicio de Carga]],"")</f>
        <v/>
      </c>
    </row>
    <row r="1031" spans="1:57" customFormat="1" hidden="1">
      <c r="A1031" s="1"/>
      <c r="B1031" s="1" t="str">
        <f>IFERROR(IF(MARÍTIMOS[[#This Row],[PP]]="","",MARÍTIMOS[[#This Row],[PP]]),"")</f>
        <v/>
      </c>
      <c r="C1031" s="1" t="str">
        <f>IFERROR(IF(MARÍTIMOS[[#This Row],[Sede]]="","",MARÍTIMOS[[#This Row],[Sede]]),"")</f>
        <v/>
      </c>
      <c r="D1031" s="1" t="str">
        <f>IFERROR(IF(MARÍTIMOS[[#This Row],[Instruction]]="","",MARÍTIMOS[[#This Row],[Instruction]]),"")</f>
        <v/>
      </c>
      <c r="E1031" s="1"/>
      <c r="F1031" s="2" t="str">
        <f>IFERROR(IF(MARÍTIMOS[[#This Row],[Transportista]]="","",MARÍTIMOS[[#This Row],[Transportista]]),"")</f>
        <v/>
      </c>
      <c r="G1031" s="2" t="str">
        <f>IFERROR(IF(MARÍTIMOS[[#This Row],[Tercero]]="","",MARÍTIMOS[[#This Row],[Tercero]]),"")</f>
        <v/>
      </c>
      <c r="H1031" s="2" t="str">
        <f>IFERROR(IF(MARÍTIMOS[[#This Row],[Razón Social]]="","",MARÍTIMOS[[#This Row],[Razón Social]]),"")</f>
        <v/>
      </c>
      <c r="I1031" s="2" t="str">
        <f>IFERROR(IF(MARÍTIMOS[[#This Row],[RUC]]="","",MARÍTIMOS[[#This Row],[RUC]]),"")</f>
        <v/>
      </c>
      <c r="J1031" s="2" t="str">
        <f>IFERROR(IF(MARÍTIMOS[[#This Row],[Placa Tracto]]="","",MARÍTIMOS[[#This Row],[Placa Tracto]]),"")</f>
        <v/>
      </c>
      <c r="K1031" s="2" t="str">
        <f>IFERROR(IF(MARÍTIMOS[[#This Row],[Placa Carreta]]="","",MARÍTIMOS[[#This Row],[Placa Carreta]]),"")</f>
        <v/>
      </c>
      <c r="L1031" s="44" t="str">
        <f>IFERROR(IF(MARÍTIMOS[[#This Row],[Conductor]]="","",MARÍTIMOS[[#This Row],[Conductor]]),"")</f>
        <v/>
      </c>
      <c r="M1031" s="2" t="str">
        <f>IFERROR(IF(MARÍTIMOS[[#This Row],[Licencia]]="","",MARÍTIMOS[[#This Row],[Licencia]]),"")</f>
        <v/>
      </c>
      <c r="N1031" s="2" t="str">
        <f>IFERROR(IF(MARÍTIMOS[[#This Row],[Número de Contacto]]="","",MARÍTIMOS[[#This Row],[Número de Contacto]]),"")</f>
        <v/>
      </c>
      <c r="O1031" s="10" t="str">
        <f>IFERROR(IF(MARÍTIMOS[[#This Row],[Booking|AWB|CRT]]="","",MARÍTIMOS[[#This Row],[Booking|AWB|CRT]]),"")</f>
        <v/>
      </c>
      <c r="P1031" s="2" t="str">
        <f>IFERROR(IF(MARÍTIMOS[[#This Row],[Contenedor]]="","",MARÍTIMOS[[#This Row],[Contenedor]]),"")</f>
        <v/>
      </c>
      <c r="Q1031" s="2" t="str">
        <f>IFERROR(IF(MARÍTIMOS[[#This Row],[Puerto de Retiro]]="","",MARÍTIMOS[[#This Row],[Puerto de Retiro]]),"")</f>
        <v/>
      </c>
      <c r="R1031" s="2" t="str">
        <f>IFERROR(IF(MARÍTIMOS[[#This Row],[Almacén de Retiro]]="","",MARÍTIMOS[[#This Row],[Almacén de Retiro]]),"")</f>
        <v/>
      </c>
      <c r="S1031" s="11" t="str">
        <f>IFERROR(IF(MARÍTIMOS[[#This Row],[Etapa Retiro - Cita]]="","",MARÍTIMOS[[#This Row],[Etapa Retiro - Cita]]),"")</f>
        <v/>
      </c>
      <c r="T1031" s="11" t="str">
        <f>IFERROR(IF(MARÍTIMOS[[#This Row],[Etapa Retiro - Llegada]]="","",MARÍTIMOS[[#This Row],[Etapa Retiro - Llegada]]),"")</f>
        <v/>
      </c>
      <c r="U1031" s="11" t="str">
        <f>IFERROR(IF(MARÍTIMOS[[#This Row],[Etapa Retiro - Ingreso]]="","",MARÍTIMOS[[#This Row],[Etapa Retiro - Ingreso]]),"")</f>
        <v/>
      </c>
      <c r="V1031" s="11" t="str">
        <f>IFERROR(IF(MARÍTIMOS[[#This Row],[Etapa Retiro - Atención]]="","",MARÍTIMOS[[#This Row],[Etapa Retiro - Atención]]),"")</f>
        <v/>
      </c>
      <c r="W1031" s="11" t="str">
        <f>IFERROR(IF(MARÍTIMOS[[#This Row],[Etapa Retiro - Atención]]="","",MARÍTIMOS[[#This Row],[Etapa Retiro - Atención]]),"")</f>
        <v/>
      </c>
      <c r="X1031" s="11" t="str">
        <f>IFERROR(IF(MARÍTIMOS[[#This Row],[Etapa Retiro - Inicio de Ruta]]="","",MARÍTIMOS[[#This Row],[Etapa Retiro - Inicio de Ruta]]),"")</f>
        <v/>
      </c>
      <c r="Y1031" s="11" t="str">
        <f>IFERROR(IF(MARÍTIMOS[[#This Row],[Hora de Posicionamiento]]="","",MARÍTIMOS[[#This Row],[Fecha de Carga]]+MARÍTIMOS[[#This Row],[Hora de Posicionamiento]]),"")</f>
        <v/>
      </c>
      <c r="Z1031" s="11" t="str">
        <f>IFERROR(IF(MARÍTIMOS[[#This Row],[Etapa Despacho - Llegada]]="","",MARÍTIMOS[[#This Row],[Etapa Despacho - Llegada]]),"")</f>
        <v/>
      </c>
      <c r="AA1031" s="11" t="str">
        <f>IFERROR(IF(MARÍTIMOS[[#This Row],[Etapa Despacho - Registro]]="","",MARÍTIMOS[[#This Row],[Etapa Despacho - Registro]]),"")</f>
        <v/>
      </c>
      <c r="AB1031" s="11" t="str">
        <f>IFERROR(IF(MARÍTIMOS[[#This Row],[Inspección Externa]]="","",MARÍTIMOS[[#This Row],[Inspección Externa]]),"")</f>
        <v/>
      </c>
      <c r="AC1031" s="11" t="str">
        <f>IFERROR(IF(MARÍTIMOS[[#This Row],[Etapa Despacho - Inicio de Carga]]="","",MARÍTIMOS[[#This Row],[Etapa Despacho - Inicio de Carga]]),"")</f>
        <v/>
      </c>
      <c r="AD1031" s="11" t="str">
        <f>IFERROR(IF(MARÍTIMOS[[#This Row],[Etapa Despacho - Mitad de Carga]]="","",MARÍTIMOS[[#This Row],[Etapa Despacho - Mitad de Carga]]),"")</f>
        <v/>
      </c>
      <c r="AE1031" s="11" t="str">
        <f>IFERROR(IF(MARÍTIMOS[[#This Row],[Etapa Despacho - Fin de Carga]]="","",MARÍTIMOS[[#This Row],[Etapa Despacho - Fin de Carga]]),"")</f>
        <v/>
      </c>
      <c r="AF1031" s="2" t="str">
        <f>IFERROR(IF(MARÍTIMOS[[#This Row],[Puerto de Embarque]]="","",MARÍTIMOS[[#This Row],[Puerto de Embarque]]),"")</f>
        <v/>
      </c>
      <c r="AG1031" s="2" t="str">
        <f>IFERROR(IF(MARÍTIMOS[[#This Row],[Almacén de Ingreso]]="","",MARÍTIMOS[[#This Row],[Almacén de Ingreso]]),"")</f>
        <v/>
      </c>
      <c r="AH1031" s="11" t="str">
        <f>IFERROR(IF(MARÍTIMOS[[#This Row],[Etapa Ingreso - Cita]]="","",MARÍTIMOS[[#This Row],[Etapa Ingreso - Cita]]),"")</f>
        <v/>
      </c>
      <c r="AI1031" s="11" t="str">
        <f>IFERROR(IF(MARÍTIMOS[[#This Row],[Etapa Ingreso - Llegada]]="","",MARÍTIMOS[[#This Row],[Etapa Ingreso - Llegada]]),"")</f>
        <v/>
      </c>
      <c r="AJ1031" s="11" t="str">
        <f>IFERROR(IF(MARÍTIMOS[[#This Row],[Etapa Ingreso - Ingeso]]="","",MARÍTIMOS[[#This Row],[Etapa Ingreso - Ingeso]]),"")</f>
        <v/>
      </c>
      <c r="AK1031" s="11" t="str">
        <f>IFERROR(IF(MARÍTIMOS[[#This Row],[Etapa Ingreso - Atención]]="","",MARÍTIMOS[[#This Row],[Etapa Ingreso - Atención]]),"")</f>
        <v/>
      </c>
      <c r="AL1031" s="11" t="str">
        <f>IFERROR(IF(MARÍTIMOS[[#This Row],[Etapa Ingreso - Salida]]="","",MARÍTIMOS[[#This Row],[Etapa Ingreso - Salida]]),"")</f>
        <v/>
      </c>
      <c r="AM1031" s="2" t="str">
        <f>IFERROR(IF(MARÍTIMOS[[#This Row],[FCL]]="","",MARÍTIMOS[[#This Row],[FCL]]),"")</f>
        <v/>
      </c>
      <c r="AN103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1" s="4" t="str" cm="1">
        <f t="array" ref="AO103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1" s="5" t="str">
        <f>IFERROR(OLDBD[[#This Row],[Llegada a packing]]-OLDBD[[#This Row],[Inicio de Ruta]],"")</f>
        <v/>
      </c>
      <c r="AQ1031" s="6" t="str">
        <f>IFERROR(OLDBD[[#This Row],[Inicio de Ruta]]-OLDBD[[#This Row],[Salida de almacén de retiro]],"")</f>
        <v/>
      </c>
      <c r="AR103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1" s="8" t="str" cm="1">
        <f t="array" ref="AS103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1" s="9" t="str">
        <f>IFERROR(OLDBD[[#This Row],[Ingreso Packing]]-OLDBD[[#This Row],[Registro en Packing]],"")</f>
        <v/>
      </c>
      <c r="AV1031" s="9" t="str">
        <f>IFERROR(OLDBD[[#This Row],[Ingreso Packing]]-OLDBD[[#This Row],[Llegada a packing]],"")</f>
        <v/>
      </c>
      <c r="AW103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1" s="5" t="str">
        <f>IFERROR(OLDBD[[#This Row],[Llegada Almacén de Ingreso]]-OLDBD[[#This Row],[Salida Packing]],"")</f>
        <v/>
      </c>
      <c r="AY1031" s="4" t="str" cm="1">
        <f t="array" ref="AY103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1" s="43" t="s">
        <v>173</v>
      </c>
      <c r="BB1031" s="47" t="str">
        <f>IFERROR(IF(MARÍTIMOS[[#This Row],[Estatus]]="","",MARÍTIMOS[[#This Row],[Estatus]]),"")</f>
        <v/>
      </c>
      <c r="BC1031" s="43"/>
      <c r="BD1031" s="46" t="str">
        <f>IFERROR(OLDBD[[#This Row],[Salida de almacén de retiro]]-OLDBD[[#This Row],[Ingreso Almacén de retiro]],"")</f>
        <v/>
      </c>
      <c r="BE1031" s="46" t="str">
        <f>IFERROR(OLDBD[[#This Row],[Fin de Carga]]-OLDBD[[#This Row],[Inicio de Carga]],"")</f>
        <v/>
      </c>
    </row>
    <row r="1032" spans="1:57" customFormat="1" hidden="1">
      <c r="A1032" s="1"/>
      <c r="B1032" s="1" t="str">
        <f>IFERROR(IF(MARÍTIMOS[[#This Row],[PP]]="","",MARÍTIMOS[[#This Row],[PP]]),"")</f>
        <v/>
      </c>
      <c r="C1032" s="1" t="str">
        <f>IFERROR(IF(MARÍTIMOS[[#This Row],[Sede]]="","",MARÍTIMOS[[#This Row],[Sede]]),"")</f>
        <v/>
      </c>
      <c r="D1032" s="1" t="str">
        <f>IFERROR(IF(MARÍTIMOS[[#This Row],[Instruction]]="","",MARÍTIMOS[[#This Row],[Instruction]]),"")</f>
        <v/>
      </c>
      <c r="E1032" s="1"/>
      <c r="F1032" s="2" t="str">
        <f>IFERROR(IF(MARÍTIMOS[[#This Row],[Transportista]]="","",MARÍTIMOS[[#This Row],[Transportista]]),"")</f>
        <v/>
      </c>
      <c r="G1032" s="2" t="str">
        <f>IFERROR(IF(MARÍTIMOS[[#This Row],[Tercero]]="","",MARÍTIMOS[[#This Row],[Tercero]]),"")</f>
        <v/>
      </c>
      <c r="H1032" s="2" t="str">
        <f>IFERROR(IF(MARÍTIMOS[[#This Row],[Razón Social]]="","",MARÍTIMOS[[#This Row],[Razón Social]]),"")</f>
        <v/>
      </c>
      <c r="I1032" s="2" t="str">
        <f>IFERROR(IF(MARÍTIMOS[[#This Row],[RUC]]="","",MARÍTIMOS[[#This Row],[RUC]]),"")</f>
        <v/>
      </c>
      <c r="J1032" s="2" t="str">
        <f>IFERROR(IF(MARÍTIMOS[[#This Row],[Placa Tracto]]="","",MARÍTIMOS[[#This Row],[Placa Tracto]]),"")</f>
        <v/>
      </c>
      <c r="K1032" s="2" t="str">
        <f>IFERROR(IF(MARÍTIMOS[[#This Row],[Placa Carreta]]="","",MARÍTIMOS[[#This Row],[Placa Carreta]]),"")</f>
        <v/>
      </c>
      <c r="L1032" s="44" t="str">
        <f>IFERROR(IF(MARÍTIMOS[[#This Row],[Conductor]]="","",MARÍTIMOS[[#This Row],[Conductor]]),"")</f>
        <v/>
      </c>
      <c r="M1032" s="2" t="str">
        <f>IFERROR(IF(MARÍTIMOS[[#This Row],[Licencia]]="","",MARÍTIMOS[[#This Row],[Licencia]]),"")</f>
        <v/>
      </c>
      <c r="N1032" s="2" t="str">
        <f>IFERROR(IF(MARÍTIMOS[[#This Row],[Número de Contacto]]="","",MARÍTIMOS[[#This Row],[Número de Contacto]]),"")</f>
        <v/>
      </c>
      <c r="O1032" s="10" t="str">
        <f>IFERROR(IF(MARÍTIMOS[[#This Row],[Booking|AWB|CRT]]="","",MARÍTIMOS[[#This Row],[Booking|AWB|CRT]]),"")</f>
        <v/>
      </c>
      <c r="P1032" s="2" t="str">
        <f>IFERROR(IF(MARÍTIMOS[[#This Row],[Contenedor]]="","",MARÍTIMOS[[#This Row],[Contenedor]]),"")</f>
        <v/>
      </c>
      <c r="Q1032" s="2" t="str">
        <f>IFERROR(IF(MARÍTIMOS[[#This Row],[Puerto de Retiro]]="","",MARÍTIMOS[[#This Row],[Puerto de Retiro]]),"")</f>
        <v/>
      </c>
      <c r="R1032" s="2" t="str">
        <f>IFERROR(IF(MARÍTIMOS[[#This Row],[Almacén de Retiro]]="","",MARÍTIMOS[[#This Row],[Almacén de Retiro]]),"")</f>
        <v/>
      </c>
      <c r="S1032" s="11" t="str">
        <f>IFERROR(IF(MARÍTIMOS[[#This Row],[Etapa Retiro - Cita]]="","",MARÍTIMOS[[#This Row],[Etapa Retiro - Cita]]),"")</f>
        <v/>
      </c>
      <c r="T1032" s="11" t="str">
        <f>IFERROR(IF(MARÍTIMOS[[#This Row],[Etapa Retiro - Llegada]]="","",MARÍTIMOS[[#This Row],[Etapa Retiro - Llegada]]),"")</f>
        <v/>
      </c>
      <c r="U1032" s="11" t="str">
        <f>IFERROR(IF(MARÍTIMOS[[#This Row],[Etapa Retiro - Ingreso]]="","",MARÍTIMOS[[#This Row],[Etapa Retiro - Ingreso]]),"")</f>
        <v/>
      </c>
      <c r="V1032" s="11" t="str">
        <f>IFERROR(IF(MARÍTIMOS[[#This Row],[Etapa Retiro - Atención]]="","",MARÍTIMOS[[#This Row],[Etapa Retiro - Atención]]),"")</f>
        <v/>
      </c>
      <c r="W1032" s="11" t="str">
        <f>IFERROR(IF(MARÍTIMOS[[#This Row],[Etapa Retiro - Atención]]="","",MARÍTIMOS[[#This Row],[Etapa Retiro - Atención]]),"")</f>
        <v/>
      </c>
      <c r="X1032" s="11" t="str">
        <f>IFERROR(IF(MARÍTIMOS[[#This Row],[Etapa Retiro - Inicio de Ruta]]="","",MARÍTIMOS[[#This Row],[Etapa Retiro - Inicio de Ruta]]),"")</f>
        <v/>
      </c>
      <c r="Y1032" s="11" t="str">
        <f>IFERROR(IF(MARÍTIMOS[[#This Row],[Hora de Posicionamiento]]="","",MARÍTIMOS[[#This Row],[Fecha de Carga]]+MARÍTIMOS[[#This Row],[Hora de Posicionamiento]]),"")</f>
        <v/>
      </c>
      <c r="Z1032" s="11" t="str">
        <f>IFERROR(IF(MARÍTIMOS[[#This Row],[Etapa Despacho - Llegada]]="","",MARÍTIMOS[[#This Row],[Etapa Despacho - Llegada]]),"")</f>
        <v/>
      </c>
      <c r="AA1032" s="11" t="str">
        <f>IFERROR(IF(MARÍTIMOS[[#This Row],[Etapa Despacho - Registro]]="","",MARÍTIMOS[[#This Row],[Etapa Despacho - Registro]]),"")</f>
        <v/>
      </c>
      <c r="AB1032" s="11" t="str">
        <f>IFERROR(IF(MARÍTIMOS[[#This Row],[Inspección Externa]]="","",MARÍTIMOS[[#This Row],[Inspección Externa]]),"")</f>
        <v/>
      </c>
      <c r="AC1032" s="11" t="str">
        <f>IFERROR(IF(MARÍTIMOS[[#This Row],[Etapa Despacho - Inicio de Carga]]="","",MARÍTIMOS[[#This Row],[Etapa Despacho - Inicio de Carga]]),"")</f>
        <v/>
      </c>
      <c r="AD1032" s="11" t="str">
        <f>IFERROR(IF(MARÍTIMOS[[#This Row],[Etapa Despacho - Mitad de Carga]]="","",MARÍTIMOS[[#This Row],[Etapa Despacho - Mitad de Carga]]),"")</f>
        <v/>
      </c>
      <c r="AE1032" s="11" t="str">
        <f>IFERROR(IF(MARÍTIMOS[[#This Row],[Etapa Despacho - Fin de Carga]]="","",MARÍTIMOS[[#This Row],[Etapa Despacho - Fin de Carga]]),"")</f>
        <v/>
      </c>
      <c r="AF1032" s="2" t="str">
        <f>IFERROR(IF(MARÍTIMOS[[#This Row],[Puerto de Embarque]]="","",MARÍTIMOS[[#This Row],[Puerto de Embarque]]),"")</f>
        <v/>
      </c>
      <c r="AG1032" s="2" t="str">
        <f>IFERROR(IF(MARÍTIMOS[[#This Row],[Almacén de Ingreso]]="","",MARÍTIMOS[[#This Row],[Almacén de Ingreso]]),"")</f>
        <v/>
      </c>
      <c r="AH1032" s="11" t="str">
        <f>IFERROR(IF(MARÍTIMOS[[#This Row],[Etapa Ingreso - Cita]]="","",MARÍTIMOS[[#This Row],[Etapa Ingreso - Cita]]),"")</f>
        <v/>
      </c>
      <c r="AI1032" s="11" t="str">
        <f>IFERROR(IF(MARÍTIMOS[[#This Row],[Etapa Ingreso - Llegada]]="","",MARÍTIMOS[[#This Row],[Etapa Ingreso - Llegada]]),"")</f>
        <v/>
      </c>
      <c r="AJ1032" s="11" t="str">
        <f>IFERROR(IF(MARÍTIMOS[[#This Row],[Etapa Ingreso - Ingeso]]="","",MARÍTIMOS[[#This Row],[Etapa Ingreso - Ingeso]]),"")</f>
        <v/>
      </c>
      <c r="AK1032" s="11" t="str">
        <f>IFERROR(IF(MARÍTIMOS[[#This Row],[Etapa Ingreso - Atención]]="","",MARÍTIMOS[[#This Row],[Etapa Ingreso - Atención]]),"")</f>
        <v/>
      </c>
      <c r="AL1032" s="11" t="str">
        <f>IFERROR(IF(MARÍTIMOS[[#This Row],[Etapa Ingreso - Salida]]="","",MARÍTIMOS[[#This Row],[Etapa Ingreso - Salida]]),"")</f>
        <v/>
      </c>
      <c r="AM1032" s="2" t="str">
        <f>IFERROR(IF(MARÍTIMOS[[#This Row],[FCL]]="","",MARÍTIMOS[[#This Row],[FCL]]),"")</f>
        <v/>
      </c>
      <c r="AN103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2" s="4" t="str" cm="1">
        <f t="array" ref="AO103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2" s="5" t="str">
        <f>IFERROR(OLDBD[[#This Row],[Llegada a packing]]-OLDBD[[#This Row],[Inicio de Ruta]],"")</f>
        <v/>
      </c>
      <c r="AQ1032" s="6" t="str">
        <f>IFERROR(OLDBD[[#This Row],[Inicio de Ruta]]-OLDBD[[#This Row],[Salida de almacén de retiro]],"")</f>
        <v/>
      </c>
      <c r="AR103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2" s="8" t="str" cm="1">
        <f t="array" ref="AS103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2" s="9" t="str">
        <f>IFERROR(OLDBD[[#This Row],[Ingreso Packing]]-OLDBD[[#This Row],[Registro en Packing]],"")</f>
        <v/>
      </c>
      <c r="AV1032" s="9" t="str">
        <f>IFERROR(OLDBD[[#This Row],[Ingreso Packing]]-OLDBD[[#This Row],[Llegada a packing]],"")</f>
        <v/>
      </c>
      <c r="AW103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2" s="5" t="str">
        <f>IFERROR(OLDBD[[#This Row],[Llegada Almacén de Ingreso]]-OLDBD[[#This Row],[Salida Packing]],"")</f>
        <v/>
      </c>
      <c r="AY1032" s="4" t="str" cm="1">
        <f t="array" ref="AY103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2" s="43" t="s">
        <v>173</v>
      </c>
      <c r="BB1032" s="47" t="str">
        <f>IFERROR(IF(MARÍTIMOS[[#This Row],[Estatus]]="","",MARÍTIMOS[[#This Row],[Estatus]]),"")</f>
        <v/>
      </c>
      <c r="BC1032" s="43"/>
      <c r="BD1032" s="46" t="str">
        <f>IFERROR(OLDBD[[#This Row],[Salida de almacén de retiro]]-OLDBD[[#This Row],[Ingreso Almacén de retiro]],"")</f>
        <v/>
      </c>
      <c r="BE1032" s="46" t="str">
        <f>IFERROR(OLDBD[[#This Row],[Fin de Carga]]-OLDBD[[#This Row],[Inicio de Carga]],"")</f>
        <v/>
      </c>
    </row>
    <row r="1033" spans="1:57" customFormat="1" hidden="1">
      <c r="A1033" s="1"/>
      <c r="B1033" s="1" t="str">
        <f>IFERROR(IF(MARÍTIMOS[[#This Row],[PP]]="","",MARÍTIMOS[[#This Row],[PP]]),"")</f>
        <v/>
      </c>
      <c r="C1033" s="1" t="str">
        <f>IFERROR(IF(MARÍTIMOS[[#This Row],[Sede]]="","",MARÍTIMOS[[#This Row],[Sede]]),"")</f>
        <v/>
      </c>
      <c r="D1033" s="1" t="str">
        <f>IFERROR(IF(MARÍTIMOS[[#This Row],[Instruction]]="","",MARÍTIMOS[[#This Row],[Instruction]]),"")</f>
        <v/>
      </c>
      <c r="E1033" s="1"/>
      <c r="F1033" s="2" t="str">
        <f>IFERROR(IF(MARÍTIMOS[[#This Row],[Transportista]]="","",MARÍTIMOS[[#This Row],[Transportista]]),"")</f>
        <v/>
      </c>
      <c r="G1033" s="2" t="str">
        <f>IFERROR(IF(MARÍTIMOS[[#This Row],[Tercero]]="","",MARÍTIMOS[[#This Row],[Tercero]]),"")</f>
        <v/>
      </c>
      <c r="H1033" s="2" t="str">
        <f>IFERROR(IF(MARÍTIMOS[[#This Row],[Razón Social]]="","",MARÍTIMOS[[#This Row],[Razón Social]]),"")</f>
        <v/>
      </c>
      <c r="I1033" s="2" t="str">
        <f>IFERROR(IF(MARÍTIMOS[[#This Row],[RUC]]="","",MARÍTIMOS[[#This Row],[RUC]]),"")</f>
        <v/>
      </c>
      <c r="J1033" s="2" t="str">
        <f>IFERROR(IF(MARÍTIMOS[[#This Row],[Placa Tracto]]="","",MARÍTIMOS[[#This Row],[Placa Tracto]]),"")</f>
        <v/>
      </c>
      <c r="K1033" s="2" t="str">
        <f>IFERROR(IF(MARÍTIMOS[[#This Row],[Placa Carreta]]="","",MARÍTIMOS[[#This Row],[Placa Carreta]]),"")</f>
        <v/>
      </c>
      <c r="L1033" s="44" t="str">
        <f>IFERROR(IF(MARÍTIMOS[[#This Row],[Conductor]]="","",MARÍTIMOS[[#This Row],[Conductor]]),"")</f>
        <v/>
      </c>
      <c r="M1033" s="2" t="str">
        <f>IFERROR(IF(MARÍTIMOS[[#This Row],[Licencia]]="","",MARÍTIMOS[[#This Row],[Licencia]]),"")</f>
        <v/>
      </c>
      <c r="N1033" s="2" t="str">
        <f>IFERROR(IF(MARÍTIMOS[[#This Row],[Número de Contacto]]="","",MARÍTIMOS[[#This Row],[Número de Contacto]]),"")</f>
        <v/>
      </c>
      <c r="O1033" s="10" t="str">
        <f>IFERROR(IF(MARÍTIMOS[[#This Row],[Booking|AWB|CRT]]="","",MARÍTIMOS[[#This Row],[Booking|AWB|CRT]]),"")</f>
        <v/>
      </c>
      <c r="P1033" s="2" t="str">
        <f>IFERROR(IF(MARÍTIMOS[[#This Row],[Contenedor]]="","",MARÍTIMOS[[#This Row],[Contenedor]]),"")</f>
        <v/>
      </c>
      <c r="Q1033" s="2" t="str">
        <f>IFERROR(IF(MARÍTIMOS[[#This Row],[Puerto de Retiro]]="","",MARÍTIMOS[[#This Row],[Puerto de Retiro]]),"")</f>
        <v/>
      </c>
      <c r="R1033" s="2" t="str">
        <f>IFERROR(IF(MARÍTIMOS[[#This Row],[Almacén de Retiro]]="","",MARÍTIMOS[[#This Row],[Almacén de Retiro]]),"")</f>
        <v/>
      </c>
      <c r="S1033" s="11" t="str">
        <f>IFERROR(IF(MARÍTIMOS[[#This Row],[Etapa Retiro - Cita]]="","",MARÍTIMOS[[#This Row],[Etapa Retiro - Cita]]),"")</f>
        <v/>
      </c>
      <c r="T1033" s="11" t="str">
        <f>IFERROR(IF(MARÍTIMOS[[#This Row],[Etapa Retiro - Llegada]]="","",MARÍTIMOS[[#This Row],[Etapa Retiro - Llegada]]),"")</f>
        <v/>
      </c>
      <c r="U1033" s="11" t="str">
        <f>IFERROR(IF(MARÍTIMOS[[#This Row],[Etapa Retiro - Ingreso]]="","",MARÍTIMOS[[#This Row],[Etapa Retiro - Ingreso]]),"")</f>
        <v/>
      </c>
      <c r="V1033" s="11" t="str">
        <f>IFERROR(IF(MARÍTIMOS[[#This Row],[Etapa Retiro - Atención]]="","",MARÍTIMOS[[#This Row],[Etapa Retiro - Atención]]),"")</f>
        <v/>
      </c>
      <c r="W1033" s="11" t="str">
        <f>IFERROR(IF(MARÍTIMOS[[#This Row],[Etapa Retiro - Atención]]="","",MARÍTIMOS[[#This Row],[Etapa Retiro - Atención]]),"")</f>
        <v/>
      </c>
      <c r="X1033" s="11" t="str">
        <f>IFERROR(IF(MARÍTIMOS[[#This Row],[Etapa Retiro - Inicio de Ruta]]="","",MARÍTIMOS[[#This Row],[Etapa Retiro - Inicio de Ruta]]),"")</f>
        <v/>
      </c>
      <c r="Y1033" s="11" t="str">
        <f>IFERROR(IF(MARÍTIMOS[[#This Row],[Hora de Posicionamiento]]="","",MARÍTIMOS[[#This Row],[Fecha de Carga]]+MARÍTIMOS[[#This Row],[Hora de Posicionamiento]]),"")</f>
        <v/>
      </c>
      <c r="Z1033" s="11" t="str">
        <f>IFERROR(IF(MARÍTIMOS[[#This Row],[Etapa Despacho - Llegada]]="","",MARÍTIMOS[[#This Row],[Etapa Despacho - Llegada]]),"")</f>
        <v/>
      </c>
      <c r="AA1033" s="11" t="str">
        <f>IFERROR(IF(MARÍTIMOS[[#This Row],[Etapa Despacho - Registro]]="","",MARÍTIMOS[[#This Row],[Etapa Despacho - Registro]]),"")</f>
        <v/>
      </c>
      <c r="AB1033" s="11" t="str">
        <f>IFERROR(IF(MARÍTIMOS[[#This Row],[Inspección Externa]]="","",MARÍTIMOS[[#This Row],[Inspección Externa]]),"")</f>
        <v/>
      </c>
      <c r="AC1033" s="11" t="str">
        <f>IFERROR(IF(MARÍTIMOS[[#This Row],[Etapa Despacho - Inicio de Carga]]="","",MARÍTIMOS[[#This Row],[Etapa Despacho - Inicio de Carga]]),"")</f>
        <v/>
      </c>
      <c r="AD1033" s="11" t="str">
        <f>IFERROR(IF(MARÍTIMOS[[#This Row],[Etapa Despacho - Mitad de Carga]]="","",MARÍTIMOS[[#This Row],[Etapa Despacho - Mitad de Carga]]),"")</f>
        <v/>
      </c>
      <c r="AE1033" s="11" t="str">
        <f>IFERROR(IF(MARÍTIMOS[[#This Row],[Etapa Despacho - Fin de Carga]]="","",MARÍTIMOS[[#This Row],[Etapa Despacho - Fin de Carga]]),"")</f>
        <v/>
      </c>
      <c r="AF1033" s="2" t="str">
        <f>IFERROR(IF(MARÍTIMOS[[#This Row],[Puerto de Embarque]]="","",MARÍTIMOS[[#This Row],[Puerto de Embarque]]),"")</f>
        <v/>
      </c>
      <c r="AG1033" s="2" t="str">
        <f>IFERROR(IF(MARÍTIMOS[[#This Row],[Almacén de Ingreso]]="","",MARÍTIMOS[[#This Row],[Almacén de Ingreso]]),"")</f>
        <v/>
      </c>
      <c r="AH1033" s="11" t="str">
        <f>IFERROR(IF(MARÍTIMOS[[#This Row],[Etapa Ingreso - Cita]]="","",MARÍTIMOS[[#This Row],[Etapa Ingreso - Cita]]),"")</f>
        <v/>
      </c>
      <c r="AI1033" s="11" t="str">
        <f>IFERROR(IF(MARÍTIMOS[[#This Row],[Etapa Ingreso - Llegada]]="","",MARÍTIMOS[[#This Row],[Etapa Ingreso - Llegada]]),"")</f>
        <v/>
      </c>
      <c r="AJ1033" s="11" t="str">
        <f>IFERROR(IF(MARÍTIMOS[[#This Row],[Etapa Ingreso - Ingeso]]="","",MARÍTIMOS[[#This Row],[Etapa Ingreso - Ingeso]]),"")</f>
        <v/>
      </c>
      <c r="AK1033" s="11" t="str">
        <f>IFERROR(IF(MARÍTIMOS[[#This Row],[Etapa Ingreso - Atención]]="","",MARÍTIMOS[[#This Row],[Etapa Ingreso - Atención]]),"")</f>
        <v/>
      </c>
      <c r="AL1033" s="11" t="str">
        <f>IFERROR(IF(MARÍTIMOS[[#This Row],[Etapa Ingreso - Salida]]="","",MARÍTIMOS[[#This Row],[Etapa Ingreso - Salida]]),"")</f>
        <v/>
      </c>
      <c r="AM1033" s="2" t="str">
        <f>IFERROR(IF(MARÍTIMOS[[#This Row],[FCL]]="","",MARÍTIMOS[[#This Row],[FCL]]),"")</f>
        <v/>
      </c>
      <c r="AN103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3" s="4" t="str" cm="1">
        <f t="array" ref="AO103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3" s="5" t="str">
        <f>IFERROR(OLDBD[[#This Row],[Llegada a packing]]-OLDBD[[#This Row],[Inicio de Ruta]],"")</f>
        <v/>
      </c>
      <c r="AQ1033" s="6" t="str">
        <f>IFERROR(OLDBD[[#This Row],[Inicio de Ruta]]-OLDBD[[#This Row],[Salida de almacén de retiro]],"")</f>
        <v/>
      </c>
      <c r="AR103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3" s="8" t="str" cm="1">
        <f t="array" ref="AS103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3" s="9" t="str">
        <f>IFERROR(OLDBD[[#This Row],[Ingreso Packing]]-OLDBD[[#This Row],[Registro en Packing]],"")</f>
        <v/>
      </c>
      <c r="AV1033" s="9" t="str">
        <f>IFERROR(OLDBD[[#This Row],[Ingreso Packing]]-OLDBD[[#This Row],[Llegada a packing]],"")</f>
        <v/>
      </c>
      <c r="AW103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3" s="5" t="str">
        <f>IFERROR(OLDBD[[#This Row],[Llegada Almacén de Ingreso]]-OLDBD[[#This Row],[Salida Packing]],"")</f>
        <v/>
      </c>
      <c r="AY1033" s="4" t="str" cm="1">
        <f t="array" ref="AY103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3" s="43" t="s">
        <v>173</v>
      </c>
      <c r="BB1033" s="47" t="str">
        <f>IFERROR(IF(MARÍTIMOS[[#This Row],[Estatus]]="","",MARÍTIMOS[[#This Row],[Estatus]]),"")</f>
        <v/>
      </c>
      <c r="BC1033" s="43"/>
      <c r="BD1033" s="46" t="str">
        <f>IFERROR(OLDBD[[#This Row],[Salida de almacén de retiro]]-OLDBD[[#This Row],[Ingreso Almacén de retiro]],"")</f>
        <v/>
      </c>
      <c r="BE1033" s="46" t="str">
        <f>IFERROR(OLDBD[[#This Row],[Fin de Carga]]-OLDBD[[#This Row],[Inicio de Carga]],"")</f>
        <v/>
      </c>
    </row>
    <row r="1034" spans="1:57" customFormat="1" hidden="1">
      <c r="A1034" s="1"/>
      <c r="B1034" s="1" t="str">
        <f>IFERROR(IF(MARÍTIMOS[[#This Row],[PP]]="","",MARÍTIMOS[[#This Row],[PP]]),"")</f>
        <v/>
      </c>
      <c r="C1034" s="1" t="str">
        <f>IFERROR(IF(MARÍTIMOS[[#This Row],[Sede]]="","",MARÍTIMOS[[#This Row],[Sede]]),"")</f>
        <v/>
      </c>
      <c r="D1034" s="1" t="str">
        <f>IFERROR(IF(MARÍTIMOS[[#This Row],[Instruction]]="","",MARÍTIMOS[[#This Row],[Instruction]]),"")</f>
        <v/>
      </c>
      <c r="E1034" s="1"/>
      <c r="F1034" s="2" t="str">
        <f>IFERROR(IF(MARÍTIMOS[[#This Row],[Transportista]]="","",MARÍTIMOS[[#This Row],[Transportista]]),"")</f>
        <v/>
      </c>
      <c r="G1034" s="2" t="str">
        <f>IFERROR(IF(MARÍTIMOS[[#This Row],[Tercero]]="","",MARÍTIMOS[[#This Row],[Tercero]]),"")</f>
        <v/>
      </c>
      <c r="H1034" s="2" t="str">
        <f>IFERROR(IF(MARÍTIMOS[[#This Row],[Razón Social]]="","",MARÍTIMOS[[#This Row],[Razón Social]]),"")</f>
        <v/>
      </c>
      <c r="I1034" s="2" t="str">
        <f>IFERROR(IF(MARÍTIMOS[[#This Row],[RUC]]="","",MARÍTIMOS[[#This Row],[RUC]]),"")</f>
        <v/>
      </c>
      <c r="J1034" s="2" t="str">
        <f>IFERROR(IF(MARÍTIMOS[[#This Row],[Placa Tracto]]="","",MARÍTIMOS[[#This Row],[Placa Tracto]]),"")</f>
        <v/>
      </c>
      <c r="K1034" s="2" t="str">
        <f>IFERROR(IF(MARÍTIMOS[[#This Row],[Placa Carreta]]="","",MARÍTIMOS[[#This Row],[Placa Carreta]]),"")</f>
        <v/>
      </c>
      <c r="L1034" s="44" t="str">
        <f>IFERROR(IF(MARÍTIMOS[[#This Row],[Conductor]]="","",MARÍTIMOS[[#This Row],[Conductor]]),"")</f>
        <v/>
      </c>
      <c r="M1034" s="2" t="str">
        <f>IFERROR(IF(MARÍTIMOS[[#This Row],[Licencia]]="","",MARÍTIMOS[[#This Row],[Licencia]]),"")</f>
        <v/>
      </c>
      <c r="N1034" s="2" t="str">
        <f>IFERROR(IF(MARÍTIMOS[[#This Row],[Número de Contacto]]="","",MARÍTIMOS[[#This Row],[Número de Contacto]]),"")</f>
        <v/>
      </c>
      <c r="O1034" s="10" t="str">
        <f>IFERROR(IF(MARÍTIMOS[[#This Row],[Booking|AWB|CRT]]="","",MARÍTIMOS[[#This Row],[Booking|AWB|CRT]]),"")</f>
        <v/>
      </c>
      <c r="P1034" s="2" t="str">
        <f>IFERROR(IF(MARÍTIMOS[[#This Row],[Contenedor]]="","",MARÍTIMOS[[#This Row],[Contenedor]]),"")</f>
        <v/>
      </c>
      <c r="Q1034" s="2" t="str">
        <f>IFERROR(IF(MARÍTIMOS[[#This Row],[Puerto de Retiro]]="","",MARÍTIMOS[[#This Row],[Puerto de Retiro]]),"")</f>
        <v/>
      </c>
      <c r="R1034" s="2" t="str">
        <f>IFERROR(IF(MARÍTIMOS[[#This Row],[Almacén de Retiro]]="","",MARÍTIMOS[[#This Row],[Almacén de Retiro]]),"")</f>
        <v/>
      </c>
      <c r="S1034" s="11" t="str">
        <f>IFERROR(IF(MARÍTIMOS[[#This Row],[Etapa Retiro - Cita]]="","",MARÍTIMOS[[#This Row],[Etapa Retiro - Cita]]),"")</f>
        <v/>
      </c>
      <c r="T1034" s="11" t="str">
        <f>IFERROR(IF(MARÍTIMOS[[#This Row],[Etapa Retiro - Llegada]]="","",MARÍTIMOS[[#This Row],[Etapa Retiro - Llegada]]),"")</f>
        <v/>
      </c>
      <c r="U1034" s="11" t="str">
        <f>IFERROR(IF(MARÍTIMOS[[#This Row],[Etapa Retiro - Ingreso]]="","",MARÍTIMOS[[#This Row],[Etapa Retiro - Ingreso]]),"")</f>
        <v/>
      </c>
      <c r="V1034" s="11" t="str">
        <f>IFERROR(IF(MARÍTIMOS[[#This Row],[Etapa Retiro - Atención]]="","",MARÍTIMOS[[#This Row],[Etapa Retiro - Atención]]),"")</f>
        <v/>
      </c>
      <c r="W1034" s="11" t="str">
        <f>IFERROR(IF(MARÍTIMOS[[#This Row],[Etapa Retiro - Atención]]="","",MARÍTIMOS[[#This Row],[Etapa Retiro - Atención]]),"")</f>
        <v/>
      </c>
      <c r="X1034" s="11" t="str">
        <f>IFERROR(IF(MARÍTIMOS[[#This Row],[Etapa Retiro - Inicio de Ruta]]="","",MARÍTIMOS[[#This Row],[Etapa Retiro - Inicio de Ruta]]),"")</f>
        <v/>
      </c>
      <c r="Y1034" s="11" t="str">
        <f>IFERROR(IF(MARÍTIMOS[[#This Row],[Hora de Posicionamiento]]="","",MARÍTIMOS[[#This Row],[Fecha de Carga]]+MARÍTIMOS[[#This Row],[Hora de Posicionamiento]]),"")</f>
        <v/>
      </c>
      <c r="Z1034" s="11" t="str">
        <f>IFERROR(IF(MARÍTIMOS[[#This Row],[Etapa Despacho - Llegada]]="","",MARÍTIMOS[[#This Row],[Etapa Despacho - Llegada]]),"")</f>
        <v/>
      </c>
      <c r="AA1034" s="11" t="str">
        <f>IFERROR(IF(MARÍTIMOS[[#This Row],[Etapa Despacho - Registro]]="","",MARÍTIMOS[[#This Row],[Etapa Despacho - Registro]]),"")</f>
        <v/>
      </c>
      <c r="AB1034" s="11" t="str">
        <f>IFERROR(IF(MARÍTIMOS[[#This Row],[Inspección Externa]]="","",MARÍTIMOS[[#This Row],[Inspección Externa]]),"")</f>
        <v/>
      </c>
      <c r="AC1034" s="11" t="str">
        <f>IFERROR(IF(MARÍTIMOS[[#This Row],[Etapa Despacho - Inicio de Carga]]="","",MARÍTIMOS[[#This Row],[Etapa Despacho - Inicio de Carga]]),"")</f>
        <v/>
      </c>
      <c r="AD1034" s="11" t="str">
        <f>IFERROR(IF(MARÍTIMOS[[#This Row],[Etapa Despacho - Mitad de Carga]]="","",MARÍTIMOS[[#This Row],[Etapa Despacho - Mitad de Carga]]),"")</f>
        <v/>
      </c>
      <c r="AE1034" s="11" t="str">
        <f>IFERROR(IF(MARÍTIMOS[[#This Row],[Etapa Despacho - Fin de Carga]]="","",MARÍTIMOS[[#This Row],[Etapa Despacho - Fin de Carga]]),"")</f>
        <v/>
      </c>
      <c r="AF1034" s="2" t="str">
        <f>IFERROR(IF(MARÍTIMOS[[#This Row],[Puerto de Embarque]]="","",MARÍTIMOS[[#This Row],[Puerto de Embarque]]),"")</f>
        <v/>
      </c>
      <c r="AG1034" s="2" t="str">
        <f>IFERROR(IF(MARÍTIMOS[[#This Row],[Almacén de Ingreso]]="","",MARÍTIMOS[[#This Row],[Almacén de Ingreso]]),"")</f>
        <v/>
      </c>
      <c r="AH1034" s="11" t="str">
        <f>IFERROR(IF(MARÍTIMOS[[#This Row],[Etapa Ingreso - Cita]]="","",MARÍTIMOS[[#This Row],[Etapa Ingreso - Cita]]),"")</f>
        <v/>
      </c>
      <c r="AI1034" s="11" t="str">
        <f>IFERROR(IF(MARÍTIMOS[[#This Row],[Etapa Ingreso - Llegada]]="","",MARÍTIMOS[[#This Row],[Etapa Ingreso - Llegada]]),"")</f>
        <v/>
      </c>
      <c r="AJ1034" s="11" t="str">
        <f>IFERROR(IF(MARÍTIMOS[[#This Row],[Etapa Ingreso - Ingeso]]="","",MARÍTIMOS[[#This Row],[Etapa Ingreso - Ingeso]]),"")</f>
        <v/>
      </c>
      <c r="AK1034" s="11" t="str">
        <f>IFERROR(IF(MARÍTIMOS[[#This Row],[Etapa Ingreso - Atención]]="","",MARÍTIMOS[[#This Row],[Etapa Ingreso - Atención]]),"")</f>
        <v/>
      </c>
      <c r="AL1034" s="11" t="str">
        <f>IFERROR(IF(MARÍTIMOS[[#This Row],[Etapa Ingreso - Salida]]="","",MARÍTIMOS[[#This Row],[Etapa Ingreso - Salida]]),"")</f>
        <v/>
      </c>
      <c r="AM1034" s="2" t="str">
        <f>IFERROR(IF(MARÍTIMOS[[#This Row],[FCL]]="","",MARÍTIMOS[[#This Row],[FCL]]),"")</f>
        <v/>
      </c>
      <c r="AN103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4" s="4" t="str" cm="1">
        <f t="array" ref="AO103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4" s="5" t="str">
        <f>IFERROR(OLDBD[[#This Row],[Llegada a packing]]-OLDBD[[#This Row],[Inicio de Ruta]],"")</f>
        <v/>
      </c>
      <c r="AQ1034" s="6" t="str">
        <f>IFERROR(OLDBD[[#This Row],[Inicio de Ruta]]-OLDBD[[#This Row],[Salida de almacén de retiro]],"")</f>
        <v/>
      </c>
      <c r="AR103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4" s="8" t="str" cm="1">
        <f t="array" ref="AS103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4" s="9" t="str">
        <f>IFERROR(OLDBD[[#This Row],[Ingreso Packing]]-OLDBD[[#This Row],[Registro en Packing]],"")</f>
        <v/>
      </c>
      <c r="AV1034" s="9" t="str">
        <f>IFERROR(OLDBD[[#This Row],[Ingreso Packing]]-OLDBD[[#This Row],[Llegada a packing]],"")</f>
        <v/>
      </c>
      <c r="AW103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4" s="5" t="str">
        <f>IFERROR(OLDBD[[#This Row],[Llegada Almacén de Ingreso]]-OLDBD[[#This Row],[Salida Packing]],"")</f>
        <v/>
      </c>
      <c r="AY1034" s="4" t="str" cm="1">
        <f t="array" ref="AY103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4" s="43" t="s">
        <v>173</v>
      </c>
      <c r="BB1034" s="47" t="str">
        <f>IFERROR(IF(MARÍTIMOS[[#This Row],[Estatus]]="","",MARÍTIMOS[[#This Row],[Estatus]]),"")</f>
        <v/>
      </c>
      <c r="BC1034" s="43"/>
      <c r="BD1034" s="46" t="str">
        <f>IFERROR(OLDBD[[#This Row],[Salida de almacén de retiro]]-OLDBD[[#This Row],[Ingreso Almacén de retiro]],"")</f>
        <v/>
      </c>
      <c r="BE1034" s="46" t="str">
        <f>IFERROR(OLDBD[[#This Row],[Fin de Carga]]-OLDBD[[#This Row],[Inicio de Carga]],"")</f>
        <v/>
      </c>
    </row>
    <row r="1035" spans="1:57" customFormat="1" hidden="1">
      <c r="A1035" s="1"/>
      <c r="B1035" s="1" t="str">
        <f>IFERROR(IF(MARÍTIMOS[[#This Row],[PP]]="","",MARÍTIMOS[[#This Row],[PP]]),"")</f>
        <v/>
      </c>
      <c r="C1035" s="1" t="str">
        <f>IFERROR(IF(MARÍTIMOS[[#This Row],[Sede]]="","",MARÍTIMOS[[#This Row],[Sede]]),"")</f>
        <v/>
      </c>
      <c r="D1035" s="1" t="str">
        <f>IFERROR(IF(MARÍTIMOS[[#This Row],[Instruction]]="","",MARÍTIMOS[[#This Row],[Instruction]]),"")</f>
        <v/>
      </c>
      <c r="E1035" s="1"/>
      <c r="F1035" s="2" t="str">
        <f>IFERROR(IF(MARÍTIMOS[[#This Row],[Transportista]]="","",MARÍTIMOS[[#This Row],[Transportista]]),"")</f>
        <v/>
      </c>
      <c r="G1035" s="2" t="str">
        <f>IFERROR(IF(MARÍTIMOS[[#This Row],[Tercero]]="","",MARÍTIMOS[[#This Row],[Tercero]]),"")</f>
        <v/>
      </c>
      <c r="H1035" s="2" t="str">
        <f>IFERROR(IF(MARÍTIMOS[[#This Row],[Razón Social]]="","",MARÍTIMOS[[#This Row],[Razón Social]]),"")</f>
        <v/>
      </c>
      <c r="I1035" s="2" t="str">
        <f>IFERROR(IF(MARÍTIMOS[[#This Row],[RUC]]="","",MARÍTIMOS[[#This Row],[RUC]]),"")</f>
        <v/>
      </c>
      <c r="J1035" s="2" t="str">
        <f>IFERROR(IF(MARÍTIMOS[[#This Row],[Placa Tracto]]="","",MARÍTIMOS[[#This Row],[Placa Tracto]]),"")</f>
        <v/>
      </c>
      <c r="K1035" s="2" t="str">
        <f>IFERROR(IF(MARÍTIMOS[[#This Row],[Placa Carreta]]="","",MARÍTIMOS[[#This Row],[Placa Carreta]]),"")</f>
        <v/>
      </c>
      <c r="L1035" s="44" t="str">
        <f>IFERROR(IF(MARÍTIMOS[[#This Row],[Conductor]]="","",MARÍTIMOS[[#This Row],[Conductor]]),"")</f>
        <v/>
      </c>
      <c r="M1035" s="2" t="str">
        <f>IFERROR(IF(MARÍTIMOS[[#This Row],[Licencia]]="","",MARÍTIMOS[[#This Row],[Licencia]]),"")</f>
        <v/>
      </c>
      <c r="N1035" s="2" t="str">
        <f>IFERROR(IF(MARÍTIMOS[[#This Row],[Número de Contacto]]="","",MARÍTIMOS[[#This Row],[Número de Contacto]]),"")</f>
        <v/>
      </c>
      <c r="O1035" s="10" t="str">
        <f>IFERROR(IF(MARÍTIMOS[[#This Row],[Booking|AWB|CRT]]="","",MARÍTIMOS[[#This Row],[Booking|AWB|CRT]]),"")</f>
        <v/>
      </c>
      <c r="P1035" s="2" t="str">
        <f>IFERROR(IF(MARÍTIMOS[[#This Row],[Contenedor]]="","",MARÍTIMOS[[#This Row],[Contenedor]]),"")</f>
        <v/>
      </c>
      <c r="Q1035" s="2" t="str">
        <f>IFERROR(IF(MARÍTIMOS[[#This Row],[Puerto de Retiro]]="","",MARÍTIMOS[[#This Row],[Puerto de Retiro]]),"")</f>
        <v/>
      </c>
      <c r="R1035" s="2" t="str">
        <f>IFERROR(IF(MARÍTIMOS[[#This Row],[Almacén de Retiro]]="","",MARÍTIMOS[[#This Row],[Almacén de Retiro]]),"")</f>
        <v/>
      </c>
      <c r="S1035" s="11" t="str">
        <f>IFERROR(IF(MARÍTIMOS[[#This Row],[Etapa Retiro - Cita]]="","",MARÍTIMOS[[#This Row],[Etapa Retiro - Cita]]),"")</f>
        <v/>
      </c>
      <c r="T1035" s="11" t="str">
        <f>IFERROR(IF(MARÍTIMOS[[#This Row],[Etapa Retiro - Llegada]]="","",MARÍTIMOS[[#This Row],[Etapa Retiro - Llegada]]),"")</f>
        <v/>
      </c>
      <c r="U1035" s="11" t="str">
        <f>IFERROR(IF(MARÍTIMOS[[#This Row],[Etapa Retiro - Ingreso]]="","",MARÍTIMOS[[#This Row],[Etapa Retiro - Ingreso]]),"")</f>
        <v/>
      </c>
      <c r="V1035" s="11" t="str">
        <f>IFERROR(IF(MARÍTIMOS[[#This Row],[Etapa Retiro - Atención]]="","",MARÍTIMOS[[#This Row],[Etapa Retiro - Atención]]),"")</f>
        <v/>
      </c>
      <c r="W1035" s="11" t="str">
        <f>IFERROR(IF(MARÍTIMOS[[#This Row],[Etapa Retiro - Atención]]="","",MARÍTIMOS[[#This Row],[Etapa Retiro - Atención]]),"")</f>
        <v/>
      </c>
      <c r="X1035" s="11" t="str">
        <f>IFERROR(IF(MARÍTIMOS[[#This Row],[Etapa Retiro - Inicio de Ruta]]="","",MARÍTIMOS[[#This Row],[Etapa Retiro - Inicio de Ruta]]),"")</f>
        <v/>
      </c>
      <c r="Y1035" s="11" t="str">
        <f>IFERROR(IF(MARÍTIMOS[[#This Row],[Hora de Posicionamiento]]="","",MARÍTIMOS[[#This Row],[Fecha de Carga]]+MARÍTIMOS[[#This Row],[Hora de Posicionamiento]]),"")</f>
        <v/>
      </c>
      <c r="Z1035" s="11" t="str">
        <f>IFERROR(IF(MARÍTIMOS[[#This Row],[Etapa Despacho - Llegada]]="","",MARÍTIMOS[[#This Row],[Etapa Despacho - Llegada]]),"")</f>
        <v/>
      </c>
      <c r="AA1035" s="11" t="str">
        <f>IFERROR(IF(MARÍTIMOS[[#This Row],[Etapa Despacho - Registro]]="","",MARÍTIMOS[[#This Row],[Etapa Despacho - Registro]]),"")</f>
        <v/>
      </c>
      <c r="AB1035" s="11" t="str">
        <f>IFERROR(IF(MARÍTIMOS[[#This Row],[Inspección Externa]]="","",MARÍTIMOS[[#This Row],[Inspección Externa]]),"")</f>
        <v/>
      </c>
      <c r="AC1035" s="11" t="str">
        <f>IFERROR(IF(MARÍTIMOS[[#This Row],[Etapa Despacho - Inicio de Carga]]="","",MARÍTIMOS[[#This Row],[Etapa Despacho - Inicio de Carga]]),"")</f>
        <v/>
      </c>
      <c r="AD1035" s="11" t="str">
        <f>IFERROR(IF(MARÍTIMOS[[#This Row],[Etapa Despacho - Mitad de Carga]]="","",MARÍTIMOS[[#This Row],[Etapa Despacho - Mitad de Carga]]),"")</f>
        <v/>
      </c>
      <c r="AE1035" s="11" t="str">
        <f>IFERROR(IF(MARÍTIMOS[[#This Row],[Etapa Despacho - Fin de Carga]]="","",MARÍTIMOS[[#This Row],[Etapa Despacho - Fin de Carga]]),"")</f>
        <v/>
      </c>
      <c r="AF1035" s="2" t="str">
        <f>IFERROR(IF(MARÍTIMOS[[#This Row],[Puerto de Embarque]]="","",MARÍTIMOS[[#This Row],[Puerto de Embarque]]),"")</f>
        <v/>
      </c>
      <c r="AG1035" s="2" t="str">
        <f>IFERROR(IF(MARÍTIMOS[[#This Row],[Almacén de Ingreso]]="","",MARÍTIMOS[[#This Row],[Almacén de Ingreso]]),"")</f>
        <v/>
      </c>
      <c r="AH1035" s="11" t="str">
        <f>IFERROR(IF(MARÍTIMOS[[#This Row],[Etapa Ingreso - Cita]]="","",MARÍTIMOS[[#This Row],[Etapa Ingreso - Cita]]),"")</f>
        <v/>
      </c>
      <c r="AI1035" s="11" t="str">
        <f>IFERROR(IF(MARÍTIMOS[[#This Row],[Etapa Ingreso - Llegada]]="","",MARÍTIMOS[[#This Row],[Etapa Ingreso - Llegada]]),"")</f>
        <v/>
      </c>
      <c r="AJ1035" s="11" t="str">
        <f>IFERROR(IF(MARÍTIMOS[[#This Row],[Etapa Ingreso - Ingeso]]="","",MARÍTIMOS[[#This Row],[Etapa Ingreso - Ingeso]]),"")</f>
        <v/>
      </c>
      <c r="AK1035" s="11" t="str">
        <f>IFERROR(IF(MARÍTIMOS[[#This Row],[Etapa Ingreso - Atención]]="","",MARÍTIMOS[[#This Row],[Etapa Ingreso - Atención]]),"")</f>
        <v/>
      </c>
      <c r="AL1035" s="11" t="str">
        <f>IFERROR(IF(MARÍTIMOS[[#This Row],[Etapa Ingreso - Salida]]="","",MARÍTIMOS[[#This Row],[Etapa Ingreso - Salida]]),"")</f>
        <v/>
      </c>
      <c r="AM1035" s="2" t="str">
        <f>IFERROR(IF(MARÍTIMOS[[#This Row],[FCL]]="","",MARÍTIMOS[[#This Row],[FCL]]),"")</f>
        <v/>
      </c>
      <c r="AN103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5" s="4" t="str" cm="1">
        <f t="array" ref="AO103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5" s="5" t="str">
        <f>IFERROR(OLDBD[[#This Row],[Llegada a packing]]-OLDBD[[#This Row],[Inicio de Ruta]],"")</f>
        <v/>
      </c>
      <c r="AQ1035" s="6" t="str">
        <f>IFERROR(OLDBD[[#This Row],[Inicio de Ruta]]-OLDBD[[#This Row],[Salida de almacén de retiro]],"")</f>
        <v/>
      </c>
      <c r="AR103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5" s="8" t="str" cm="1">
        <f t="array" ref="AS103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5" s="9" t="str">
        <f>IFERROR(OLDBD[[#This Row],[Ingreso Packing]]-OLDBD[[#This Row],[Registro en Packing]],"")</f>
        <v/>
      </c>
      <c r="AV1035" s="9" t="str">
        <f>IFERROR(OLDBD[[#This Row],[Ingreso Packing]]-OLDBD[[#This Row],[Llegada a packing]],"")</f>
        <v/>
      </c>
      <c r="AW103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5" s="5" t="str">
        <f>IFERROR(OLDBD[[#This Row],[Llegada Almacén de Ingreso]]-OLDBD[[#This Row],[Salida Packing]],"")</f>
        <v/>
      </c>
      <c r="AY1035" s="4" t="str" cm="1">
        <f t="array" ref="AY103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5" s="43" t="s">
        <v>173</v>
      </c>
      <c r="BB1035" s="47" t="str">
        <f>IFERROR(IF(MARÍTIMOS[[#This Row],[Estatus]]="","",MARÍTIMOS[[#This Row],[Estatus]]),"")</f>
        <v/>
      </c>
      <c r="BC1035" s="43"/>
      <c r="BD1035" s="46" t="str">
        <f>IFERROR(OLDBD[[#This Row],[Salida de almacén de retiro]]-OLDBD[[#This Row],[Ingreso Almacén de retiro]],"")</f>
        <v/>
      </c>
      <c r="BE1035" s="46" t="str">
        <f>IFERROR(OLDBD[[#This Row],[Fin de Carga]]-OLDBD[[#This Row],[Inicio de Carga]],"")</f>
        <v/>
      </c>
    </row>
    <row r="1036" spans="1:57" customFormat="1" hidden="1">
      <c r="A1036" s="1"/>
      <c r="B1036" s="1" t="str">
        <f>IFERROR(IF(MARÍTIMOS[[#This Row],[PP]]="","",MARÍTIMOS[[#This Row],[PP]]),"")</f>
        <v/>
      </c>
      <c r="C1036" s="1" t="str">
        <f>IFERROR(IF(MARÍTIMOS[[#This Row],[Sede]]="","",MARÍTIMOS[[#This Row],[Sede]]),"")</f>
        <v/>
      </c>
      <c r="D1036" s="1" t="str">
        <f>IFERROR(IF(MARÍTIMOS[[#This Row],[Instruction]]="","",MARÍTIMOS[[#This Row],[Instruction]]),"")</f>
        <v/>
      </c>
      <c r="E1036" s="1"/>
      <c r="F1036" s="2" t="str">
        <f>IFERROR(IF(MARÍTIMOS[[#This Row],[Transportista]]="","",MARÍTIMOS[[#This Row],[Transportista]]),"")</f>
        <v/>
      </c>
      <c r="G1036" s="2" t="str">
        <f>IFERROR(IF(MARÍTIMOS[[#This Row],[Tercero]]="","",MARÍTIMOS[[#This Row],[Tercero]]),"")</f>
        <v/>
      </c>
      <c r="H1036" s="2" t="str">
        <f>IFERROR(IF(MARÍTIMOS[[#This Row],[Razón Social]]="","",MARÍTIMOS[[#This Row],[Razón Social]]),"")</f>
        <v/>
      </c>
      <c r="I1036" s="2" t="str">
        <f>IFERROR(IF(MARÍTIMOS[[#This Row],[RUC]]="","",MARÍTIMOS[[#This Row],[RUC]]),"")</f>
        <v/>
      </c>
      <c r="J1036" s="2" t="str">
        <f>IFERROR(IF(MARÍTIMOS[[#This Row],[Placa Tracto]]="","",MARÍTIMOS[[#This Row],[Placa Tracto]]),"")</f>
        <v/>
      </c>
      <c r="K1036" s="2" t="str">
        <f>IFERROR(IF(MARÍTIMOS[[#This Row],[Placa Carreta]]="","",MARÍTIMOS[[#This Row],[Placa Carreta]]),"")</f>
        <v/>
      </c>
      <c r="L1036" s="44" t="str">
        <f>IFERROR(IF(MARÍTIMOS[[#This Row],[Conductor]]="","",MARÍTIMOS[[#This Row],[Conductor]]),"")</f>
        <v/>
      </c>
      <c r="M1036" s="2" t="str">
        <f>IFERROR(IF(MARÍTIMOS[[#This Row],[Licencia]]="","",MARÍTIMOS[[#This Row],[Licencia]]),"")</f>
        <v/>
      </c>
      <c r="N1036" s="2" t="str">
        <f>IFERROR(IF(MARÍTIMOS[[#This Row],[Número de Contacto]]="","",MARÍTIMOS[[#This Row],[Número de Contacto]]),"")</f>
        <v/>
      </c>
      <c r="O1036" s="10" t="str">
        <f>IFERROR(IF(MARÍTIMOS[[#This Row],[Booking|AWB|CRT]]="","",MARÍTIMOS[[#This Row],[Booking|AWB|CRT]]),"")</f>
        <v/>
      </c>
      <c r="P1036" s="2" t="str">
        <f>IFERROR(IF(MARÍTIMOS[[#This Row],[Contenedor]]="","",MARÍTIMOS[[#This Row],[Contenedor]]),"")</f>
        <v/>
      </c>
      <c r="Q1036" s="2" t="str">
        <f>IFERROR(IF(MARÍTIMOS[[#This Row],[Puerto de Retiro]]="","",MARÍTIMOS[[#This Row],[Puerto de Retiro]]),"")</f>
        <v/>
      </c>
      <c r="R1036" s="2" t="str">
        <f>IFERROR(IF(MARÍTIMOS[[#This Row],[Almacén de Retiro]]="","",MARÍTIMOS[[#This Row],[Almacén de Retiro]]),"")</f>
        <v/>
      </c>
      <c r="S1036" s="11" t="str">
        <f>IFERROR(IF(MARÍTIMOS[[#This Row],[Etapa Retiro - Cita]]="","",MARÍTIMOS[[#This Row],[Etapa Retiro - Cita]]),"")</f>
        <v/>
      </c>
      <c r="T1036" s="11" t="str">
        <f>IFERROR(IF(MARÍTIMOS[[#This Row],[Etapa Retiro - Llegada]]="","",MARÍTIMOS[[#This Row],[Etapa Retiro - Llegada]]),"")</f>
        <v/>
      </c>
      <c r="U1036" s="11" t="str">
        <f>IFERROR(IF(MARÍTIMOS[[#This Row],[Etapa Retiro - Ingreso]]="","",MARÍTIMOS[[#This Row],[Etapa Retiro - Ingreso]]),"")</f>
        <v/>
      </c>
      <c r="V1036" s="11" t="str">
        <f>IFERROR(IF(MARÍTIMOS[[#This Row],[Etapa Retiro - Atención]]="","",MARÍTIMOS[[#This Row],[Etapa Retiro - Atención]]),"")</f>
        <v/>
      </c>
      <c r="W1036" s="11" t="str">
        <f>IFERROR(IF(MARÍTIMOS[[#This Row],[Etapa Retiro - Atención]]="","",MARÍTIMOS[[#This Row],[Etapa Retiro - Atención]]),"")</f>
        <v/>
      </c>
      <c r="X1036" s="11" t="str">
        <f>IFERROR(IF(MARÍTIMOS[[#This Row],[Etapa Retiro - Inicio de Ruta]]="","",MARÍTIMOS[[#This Row],[Etapa Retiro - Inicio de Ruta]]),"")</f>
        <v/>
      </c>
      <c r="Y1036" s="11" t="str">
        <f>IFERROR(IF(MARÍTIMOS[[#This Row],[Hora de Posicionamiento]]="","",MARÍTIMOS[[#This Row],[Fecha de Carga]]+MARÍTIMOS[[#This Row],[Hora de Posicionamiento]]),"")</f>
        <v/>
      </c>
      <c r="Z1036" s="11" t="str">
        <f>IFERROR(IF(MARÍTIMOS[[#This Row],[Etapa Despacho - Llegada]]="","",MARÍTIMOS[[#This Row],[Etapa Despacho - Llegada]]),"")</f>
        <v/>
      </c>
      <c r="AA1036" s="11" t="str">
        <f>IFERROR(IF(MARÍTIMOS[[#This Row],[Etapa Despacho - Registro]]="","",MARÍTIMOS[[#This Row],[Etapa Despacho - Registro]]),"")</f>
        <v/>
      </c>
      <c r="AB1036" s="11" t="str">
        <f>IFERROR(IF(MARÍTIMOS[[#This Row],[Inspección Externa]]="","",MARÍTIMOS[[#This Row],[Inspección Externa]]),"")</f>
        <v/>
      </c>
      <c r="AC1036" s="11" t="str">
        <f>IFERROR(IF(MARÍTIMOS[[#This Row],[Etapa Despacho - Inicio de Carga]]="","",MARÍTIMOS[[#This Row],[Etapa Despacho - Inicio de Carga]]),"")</f>
        <v/>
      </c>
      <c r="AD1036" s="11" t="str">
        <f>IFERROR(IF(MARÍTIMOS[[#This Row],[Etapa Despacho - Mitad de Carga]]="","",MARÍTIMOS[[#This Row],[Etapa Despacho - Mitad de Carga]]),"")</f>
        <v/>
      </c>
      <c r="AE1036" s="11" t="str">
        <f>IFERROR(IF(MARÍTIMOS[[#This Row],[Etapa Despacho - Fin de Carga]]="","",MARÍTIMOS[[#This Row],[Etapa Despacho - Fin de Carga]]),"")</f>
        <v/>
      </c>
      <c r="AF1036" s="2" t="str">
        <f>IFERROR(IF(MARÍTIMOS[[#This Row],[Puerto de Embarque]]="","",MARÍTIMOS[[#This Row],[Puerto de Embarque]]),"")</f>
        <v/>
      </c>
      <c r="AG1036" s="2" t="str">
        <f>IFERROR(IF(MARÍTIMOS[[#This Row],[Almacén de Ingreso]]="","",MARÍTIMOS[[#This Row],[Almacén de Ingreso]]),"")</f>
        <v/>
      </c>
      <c r="AH1036" s="11" t="str">
        <f>IFERROR(IF(MARÍTIMOS[[#This Row],[Etapa Ingreso - Cita]]="","",MARÍTIMOS[[#This Row],[Etapa Ingreso - Cita]]),"")</f>
        <v/>
      </c>
      <c r="AI1036" s="11" t="str">
        <f>IFERROR(IF(MARÍTIMOS[[#This Row],[Etapa Ingreso - Llegada]]="","",MARÍTIMOS[[#This Row],[Etapa Ingreso - Llegada]]),"")</f>
        <v/>
      </c>
      <c r="AJ1036" s="11" t="str">
        <f>IFERROR(IF(MARÍTIMOS[[#This Row],[Etapa Ingreso - Ingeso]]="","",MARÍTIMOS[[#This Row],[Etapa Ingreso - Ingeso]]),"")</f>
        <v/>
      </c>
      <c r="AK1036" s="11" t="str">
        <f>IFERROR(IF(MARÍTIMOS[[#This Row],[Etapa Ingreso - Atención]]="","",MARÍTIMOS[[#This Row],[Etapa Ingreso - Atención]]),"")</f>
        <v/>
      </c>
      <c r="AL1036" s="11" t="str">
        <f>IFERROR(IF(MARÍTIMOS[[#This Row],[Etapa Ingreso - Salida]]="","",MARÍTIMOS[[#This Row],[Etapa Ingreso - Salida]]),"")</f>
        <v/>
      </c>
      <c r="AM1036" s="2" t="str">
        <f>IFERROR(IF(MARÍTIMOS[[#This Row],[FCL]]="","",MARÍTIMOS[[#This Row],[FCL]]),"")</f>
        <v/>
      </c>
      <c r="AN103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6" s="4" t="str" cm="1">
        <f t="array" ref="AO103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6" s="5" t="str">
        <f>IFERROR(OLDBD[[#This Row],[Llegada a packing]]-OLDBD[[#This Row],[Inicio de Ruta]],"")</f>
        <v/>
      </c>
      <c r="AQ1036" s="6" t="str">
        <f>IFERROR(OLDBD[[#This Row],[Inicio de Ruta]]-OLDBD[[#This Row],[Salida de almacén de retiro]],"")</f>
        <v/>
      </c>
      <c r="AR103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6" s="8" t="str" cm="1">
        <f t="array" ref="AS103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6" s="9" t="str">
        <f>IFERROR(OLDBD[[#This Row],[Ingreso Packing]]-OLDBD[[#This Row],[Registro en Packing]],"")</f>
        <v/>
      </c>
      <c r="AV1036" s="9" t="str">
        <f>IFERROR(OLDBD[[#This Row],[Ingreso Packing]]-OLDBD[[#This Row],[Llegada a packing]],"")</f>
        <v/>
      </c>
      <c r="AW103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6" s="5" t="str">
        <f>IFERROR(OLDBD[[#This Row],[Llegada Almacén de Ingreso]]-OLDBD[[#This Row],[Salida Packing]],"")</f>
        <v/>
      </c>
      <c r="AY1036" s="4" t="str" cm="1">
        <f t="array" ref="AY103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6" s="43" t="s">
        <v>173</v>
      </c>
      <c r="BB1036" s="47" t="str">
        <f>IFERROR(IF(MARÍTIMOS[[#This Row],[Estatus]]="","",MARÍTIMOS[[#This Row],[Estatus]]),"")</f>
        <v/>
      </c>
      <c r="BC1036" s="43"/>
      <c r="BD1036" s="46" t="str">
        <f>IFERROR(OLDBD[[#This Row],[Salida de almacén de retiro]]-OLDBD[[#This Row],[Ingreso Almacén de retiro]],"")</f>
        <v/>
      </c>
      <c r="BE1036" s="46" t="str">
        <f>IFERROR(OLDBD[[#This Row],[Fin de Carga]]-OLDBD[[#This Row],[Inicio de Carga]],"")</f>
        <v/>
      </c>
    </row>
    <row r="1037" spans="1:57" customFormat="1" hidden="1">
      <c r="A1037" s="1"/>
      <c r="B1037" s="1" t="str">
        <f>IFERROR(IF(MARÍTIMOS[[#This Row],[PP]]="","",MARÍTIMOS[[#This Row],[PP]]),"")</f>
        <v/>
      </c>
      <c r="C1037" s="1" t="str">
        <f>IFERROR(IF(MARÍTIMOS[[#This Row],[Sede]]="","",MARÍTIMOS[[#This Row],[Sede]]),"")</f>
        <v/>
      </c>
      <c r="D1037" s="1" t="str">
        <f>IFERROR(IF(MARÍTIMOS[[#This Row],[Instruction]]="","",MARÍTIMOS[[#This Row],[Instruction]]),"")</f>
        <v/>
      </c>
      <c r="E1037" s="1"/>
      <c r="F1037" s="2" t="str">
        <f>IFERROR(IF(MARÍTIMOS[[#This Row],[Transportista]]="","",MARÍTIMOS[[#This Row],[Transportista]]),"")</f>
        <v/>
      </c>
      <c r="G1037" s="2" t="str">
        <f>IFERROR(IF(MARÍTIMOS[[#This Row],[Tercero]]="","",MARÍTIMOS[[#This Row],[Tercero]]),"")</f>
        <v/>
      </c>
      <c r="H1037" s="2" t="str">
        <f>IFERROR(IF(MARÍTIMOS[[#This Row],[Razón Social]]="","",MARÍTIMOS[[#This Row],[Razón Social]]),"")</f>
        <v/>
      </c>
      <c r="I1037" s="2" t="str">
        <f>IFERROR(IF(MARÍTIMOS[[#This Row],[RUC]]="","",MARÍTIMOS[[#This Row],[RUC]]),"")</f>
        <v/>
      </c>
      <c r="J1037" s="2" t="str">
        <f>IFERROR(IF(MARÍTIMOS[[#This Row],[Placa Tracto]]="","",MARÍTIMOS[[#This Row],[Placa Tracto]]),"")</f>
        <v/>
      </c>
      <c r="K1037" s="2" t="str">
        <f>IFERROR(IF(MARÍTIMOS[[#This Row],[Placa Carreta]]="","",MARÍTIMOS[[#This Row],[Placa Carreta]]),"")</f>
        <v/>
      </c>
      <c r="L1037" s="44" t="str">
        <f>IFERROR(IF(MARÍTIMOS[[#This Row],[Conductor]]="","",MARÍTIMOS[[#This Row],[Conductor]]),"")</f>
        <v/>
      </c>
      <c r="M1037" s="2" t="str">
        <f>IFERROR(IF(MARÍTIMOS[[#This Row],[Licencia]]="","",MARÍTIMOS[[#This Row],[Licencia]]),"")</f>
        <v/>
      </c>
      <c r="N1037" s="2" t="str">
        <f>IFERROR(IF(MARÍTIMOS[[#This Row],[Número de Contacto]]="","",MARÍTIMOS[[#This Row],[Número de Contacto]]),"")</f>
        <v/>
      </c>
      <c r="O1037" s="10" t="str">
        <f>IFERROR(IF(MARÍTIMOS[[#This Row],[Booking|AWB|CRT]]="","",MARÍTIMOS[[#This Row],[Booking|AWB|CRT]]),"")</f>
        <v/>
      </c>
      <c r="P1037" s="2" t="str">
        <f>IFERROR(IF(MARÍTIMOS[[#This Row],[Contenedor]]="","",MARÍTIMOS[[#This Row],[Contenedor]]),"")</f>
        <v/>
      </c>
      <c r="Q1037" s="2" t="str">
        <f>IFERROR(IF(MARÍTIMOS[[#This Row],[Puerto de Retiro]]="","",MARÍTIMOS[[#This Row],[Puerto de Retiro]]),"")</f>
        <v/>
      </c>
      <c r="R1037" s="2" t="str">
        <f>IFERROR(IF(MARÍTIMOS[[#This Row],[Almacén de Retiro]]="","",MARÍTIMOS[[#This Row],[Almacén de Retiro]]),"")</f>
        <v/>
      </c>
      <c r="S1037" s="11" t="str">
        <f>IFERROR(IF(MARÍTIMOS[[#This Row],[Etapa Retiro - Cita]]="","",MARÍTIMOS[[#This Row],[Etapa Retiro - Cita]]),"")</f>
        <v/>
      </c>
      <c r="T1037" s="11" t="str">
        <f>IFERROR(IF(MARÍTIMOS[[#This Row],[Etapa Retiro - Llegada]]="","",MARÍTIMOS[[#This Row],[Etapa Retiro - Llegada]]),"")</f>
        <v/>
      </c>
      <c r="U1037" s="11" t="str">
        <f>IFERROR(IF(MARÍTIMOS[[#This Row],[Etapa Retiro - Ingreso]]="","",MARÍTIMOS[[#This Row],[Etapa Retiro - Ingreso]]),"")</f>
        <v/>
      </c>
      <c r="V1037" s="11" t="str">
        <f>IFERROR(IF(MARÍTIMOS[[#This Row],[Etapa Retiro - Atención]]="","",MARÍTIMOS[[#This Row],[Etapa Retiro - Atención]]),"")</f>
        <v/>
      </c>
      <c r="W1037" s="11" t="str">
        <f>IFERROR(IF(MARÍTIMOS[[#This Row],[Etapa Retiro - Atención]]="","",MARÍTIMOS[[#This Row],[Etapa Retiro - Atención]]),"")</f>
        <v/>
      </c>
      <c r="X1037" s="11" t="str">
        <f>IFERROR(IF(MARÍTIMOS[[#This Row],[Etapa Retiro - Inicio de Ruta]]="","",MARÍTIMOS[[#This Row],[Etapa Retiro - Inicio de Ruta]]),"")</f>
        <v/>
      </c>
      <c r="Y1037" s="11" t="str">
        <f>IFERROR(IF(MARÍTIMOS[[#This Row],[Hora de Posicionamiento]]="","",MARÍTIMOS[[#This Row],[Fecha de Carga]]+MARÍTIMOS[[#This Row],[Hora de Posicionamiento]]),"")</f>
        <v/>
      </c>
      <c r="Z1037" s="11" t="str">
        <f>IFERROR(IF(MARÍTIMOS[[#This Row],[Etapa Despacho - Llegada]]="","",MARÍTIMOS[[#This Row],[Etapa Despacho - Llegada]]),"")</f>
        <v/>
      </c>
      <c r="AA1037" s="11" t="str">
        <f>IFERROR(IF(MARÍTIMOS[[#This Row],[Etapa Despacho - Registro]]="","",MARÍTIMOS[[#This Row],[Etapa Despacho - Registro]]),"")</f>
        <v/>
      </c>
      <c r="AB1037" s="11" t="str">
        <f>IFERROR(IF(MARÍTIMOS[[#This Row],[Inspección Externa]]="","",MARÍTIMOS[[#This Row],[Inspección Externa]]),"")</f>
        <v/>
      </c>
      <c r="AC1037" s="11" t="str">
        <f>IFERROR(IF(MARÍTIMOS[[#This Row],[Etapa Despacho - Inicio de Carga]]="","",MARÍTIMOS[[#This Row],[Etapa Despacho - Inicio de Carga]]),"")</f>
        <v/>
      </c>
      <c r="AD1037" s="11" t="str">
        <f>IFERROR(IF(MARÍTIMOS[[#This Row],[Etapa Despacho - Mitad de Carga]]="","",MARÍTIMOS[[#This Row],[Etapa Despacho - Mitad de Carga]]),"")</f>
        <v/>
      </c>
      <c r="AE1037" s="11" t="str">
        <f>IFERROR(IF(MARÍTIMOS[[#This Row],[Etapa Despacho - Fin de Carga]]="","",MARÍTIMOS[[#This Row],[Etapa Despacho - Fin de Carga]]),"")</f>
        <v/>
      </c>
      <c r="AF1037" s="2" t="str">
        <f>IFERROR(IF(MARÍTIMOS[[#This Row],[Puerto de Embarque]]="","",MARÍTIMOS[[#This Row],[Puerto de Embarque]]),"")</f>
        <v/>
      </c>
      <c r="AG1037" s="2" t="str">
        <f>IFERROR(IF(MARÍTIMOS[[#This Row],[Almacén de Ingreso]]="","",MARÍTIMOS[[#This Row],[Almacén de Ingreso]]),"")</f>
        <v/>
      </c>
      <c r="AH1037" s="11" t="str">
        <f>IFERROR(IF(MARÍTIMOS[[#This Row],[Etapa Ingreso - Cita]]="","",MARÍTIMOS[[#This Row],[Etapa Ingreso - Cita]]),"")</f>
        <v/>
      </c>
      <c r="AI1037" s="11" t="str">
        <f>IFERROR(IF(MARÍTIMOS[[#This Row],[Etapa Ingreso - Llegada]]="","",MARÍTIMOS[[#This Row],[Etapa Ingreso - Llegada]]),"")</f>
        <v/>
      </c>
      <c r="AJ1037" s="11" t="str">
        <f>IFERROR(IF(MARÍTIMOS[[#This Row],[Etapa Ingreso - Ingeso]]="","",MARÍTIMOS[[#This Row],[Etapa Ingreso - Ingeso]]),"")</f>
        <v/>
      </c>
      <c r="AK1037" s="11" t="str">
        <f>IFERROR(IF(MARÍTIMOS[[#This Row],[Etapa Ingreso - Atención]]="","",MARÍTIMOS[[#This Row],[Etapa Ingreso - Atención]]),"")</f>
        <v/>
      </c>
      <c r="AL1037" s="11" t="str">
        <f>IFERROR(IF(MARÍTIMOS[[#This Row],[Etapa Ingreso - Salida]]="","",MARÍTIMOS[[#This Row],[Etapa Ingreso - Salida]]),"")</f>
        <v/>
      </c>
      <c r="AM1037" s="2" t="str">
        <f>IFERROR(IF(MARÍTIMOS[[#This Row],[FCL]]="","",MARÍTIMOS[[#This Row],[FCL]]),"")</f>
        <v/>
      </c>
      <c r="AN103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7" s="4" t="str" cm="1">
        <f t="array" ref="AO103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7" s="5" t="str">
        <f>IFERROR(OLDBD[[#This Row],[Llegada a packing]]-OLDBD[[#This Row],[Inicio de Ruta]],"")</f>
        <v/>
      </c>
      <c r="AQ1037" s="6" t="str">
        <f>IFERROR(OLDBD[[#This Row],[Inicio de Ruta]]-OLDBD[[#This Row],[Salida de almacén de retiro]],"")</f>
        <v/>
      </c>
      <c r="AR103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7" s="8" t="str" cm="1">
        <f t="array" ref="AS103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7" s="9" t="str">
        <f>IFERROR(OLDBD[[#This Row],[Ingreso Packing]]-OLDBD[[#This Row],[Registro en Packing]],"")</f>
        <v/>
      </c>
      <c r="AV1037" s="9" t="str">
        <f>IFERROR(OLDBD[[#This Row],[Ingreso Packing]]-OLDBD[[#This Row],[Llegada a packing]],"")</f>
        <v/>
      </c>
      <c r="AW103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7" s="5" t="str">
        <f>IFERROR(OLDBD[[#This Row],[Llegada Almacén de Ingreso]]-OLDBD[[#This Row],[Salida Packing]],"")</f>
        <v/>
      </c>
      <c r="AY1037" s="4" t="str" cm="1">
        <f t="array" ref="AY103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7" s="43" t="s">
        <v>173</v>
      </c>
      <c r="BB1037" s="47" t="str">
        <f>IFERROR(IF(MARÍTIMOS[[#This Row],[Estatus]]="","",MARÍTIMOS[[#This Row],[Estatus]]),"")</f>
        <v/>
      </c>
      <c r="BC1037" s="43"/>
      <c r="BD1037" s="46" t="str">
        <f>IFERROR(OLDBD[[#This Row],[Salida de almacén de retiro]]-OLDBD[[#This Row],[Ingreso Almacén de retiro]],"")</f>
        <v/>
      </c>
      <c r="BE1037" s="46" t="str">
        <f>IFERROR(OLDBD[[#This Row],[Fin de Carga]]-OLDBD[[#This Row],[Inicio de Carga]],"")</f>
        <v/>
      </c>
    </row>
    <row r="1038" spans="1:57" customFormat="1" hidden="1">
      <c r="A1038" s="1"/>
      <c r="B1038" s="1" t="str">
        <f>IFERROR(IF(MARÍTIMOS[[#This Row],[PP]]="","",MARÍTIMOS[[#This Row],[PP]]),"")</f>
        <v/>
      </c>
      <c r="C1038" s="1" t="str">
        <f>IFERROR(IF(MARÍTIMOS[[#This Row],[Sede]]="","",MARÍTIMOS[[#This Row],[Sede]]),"")</f>
        <v/>
      </c>
      <c r="D1038" s="1" t="str">
        <f>IFERROR(IF(MARÍTIMOS[[#This Row],[Instruction]]="","",MARÍTIMOS[[#This Row],[Instruction]]),"")</f>
        <v/>
      </c>
      <c r="E1038" s="1"/>
      <c r="F1038" s="2" t="str">
        <f>IFERROR(IF(MARÍTIMOS[[#This Row],[Transportista]]="","",MARÍTIMOS[[#This Row],[Transportista]]),"")</f>
        <v/>
      </c>
      <c r="G1038" s="2" t="str">
        <f>IFERROR(IF(MARÍTIMOS[[#This Row],[Tercero]]="","",MARÍTIMOS[[#This Row],[Tercero]]),"")</f>
        <v/>
      </c>
      <c r="H1038" s="2" t="str">
        <f>IFERROR(IF(MARÍTIMOS[[#This Row],[Razón Social]]="","",MARÍTIMOS[[#This Row],[Razón Social]]),"")</f>
        <v/>
      </c>
      <c r="I1038" s="2" t="str">
        <f>IFERROR(IF(MARÍTIMOS[[#This Row],[RUC]]="","",MARÍTIMOS[[#This Row],[RUC]]),"")</f>
        <v/>
      </c>
      <c r="J1038" s="2" t="str">
        <f>IFERROR(IF(MARÍTIMOS[[#This Row],[Placa Tracto]]="","",MARÍTIMOS[[#This Row],[Placa Tracto]]),"")</f>
        <v/>
      </c>
      <c r="K1038" s="2" t="str">
        <f>IFERROR(IF(MARÍTIMOS[[#This Row],[Placa Carreta]]="","",MARÍTIMOS[[#This Row],[Placa Carreta]]),"")</f>
        <v/>
      </c>
      <c r="L1038" s="44" t="str">
        <f>IFERROR(IF(MARÍTIMOS[[#This Row],[Conductor]]="","",MARÍTIMOS[[#This Row],[Conductor]]),"")</f>
        <v/>
      </c>
      <c r="M1038" s="2" t="str">
        <f>IFERROR(IF(MARÍTIMOS[[#This Row],[Licencia]]="","",MARÍTIMOS[[#This Row],[Licencia]]),"")</f>
        <v/>
      </c>
      <c r="N1038" s="2" t="str">
        <f>IFERROR(IF(MARÍTIMOS[[#This Row],[Número de Contacto]]="","",MARÍTIMOS[[#This Row],[Número de Contacto]]),"")</f>
        <v/>
      </c>
      <c r="O1038" s="10" t="str">
        <f>IFERROR(IF(MARÍTIMOS[[#This Row],[Booking|AWB|CRT]]="","",MARÍTIMOS[[#This Row],[Booking|AWB|CRT]]),"")</f>
        <v/>
      </c>
      <c r="P1038" s="2" t="str">
        <f>IFERROR(IF(MARÍTIMOS[[#This Row],[Contenedor]]="","",MARÍTIMOS[[#This Row],[Contenedor]]),"")</f>
        <v/>
      </c>
      <c r="Q1038" s="2" t="str">
        <f>IFERROR(IF(MARÍTIMOS[[#This Row],[Puerto de Retiro]]="","",MARÍTIMOS[[#This Row],[Puerto de Retiro]]),"")</f>
        <v/>
      </c>
      <c r="R1038" s="2" t="str">
        <f>IFERROR(IF(MARÍTIMOS[[#This Row],[Almacén de Retiro]]="","",MARÍTIMOS[[#This Row],[Almacén de Retiro]]),"")</f>
        <v/>
      </c>
      <c r="S1038" s="11" t="str">
        <f>IFERROR(IF(MARÍTIMOS[[#This Row],[Etapa Retiro - Cita]]="","",MARÍTIMOS[[#This Row],[Etapa Retiro - Cita]]),"")</f>
        <v/>
      </c>
      <c r="T1038" s="11" t="str">
        <f>IFERROR(IF(MARÍTIMOS[[#This Row],[Etapa Retiro - Llegada]]="","",MARÍTIMOS[[#This Row],[Etapa Retiro - Llegada]]),"")</f>
        <v/>
      </c>
      <c r="U1038" s="11" t="str">
        <f>IFERROR(IF(MARÍTIMOS[[#This Row],[Etapa Retiro - Ingreso]]="","",MARÍTIMOS[[#This Row],[Etapa Retiro - Ingreso]]),"")</f>
        <v/>
      </c>
      <c r="V1038" s="11" t="str">
        <f>IFERROR(IF(MARÍTIMOS[[#This Row],[Etapa Retiro - Atención]]="","",MARÍTIMOS[[#This Row],[Etapa Retiro - Atención]]),"")</f>
        <v/>
      </c>
      <c r="W1038" s="11" t="str">
        <f>IFERROR(IF(MARÍTIMOS[[#This Row],[Etapa Retiro - Atención]]="","",MARÍTIMOS[[#This Row],[Etapa Retiro - Atención]]),"")</f>
        <v/>
      </c>
      <c r="X1038" s="11" t="str">
        <f>IFERROR(IF(MARÍTIMOS[[#This Row],[Etapa Retiro - Inicio de Ruta]]="","",MARÍTIMOS[[#This Row],[Etapa Retiro - Inicio de Ruta]]),"")</f>
        <v/>
      </c>
      <c r="Y1038" s="11" t="str">
        <f>IFERROR(IF(MARÍTIMOS[[#This Row],[Hora de Posicionamiento]]="","",MARÍTIMOS[[#This Row],[Fecha de Carga]]+MARÍTIMOS[[#This Row],[Hora de Posicionamiento]]),"")</f>
        <v/>
      </c>
      <c r="Z1038" s="11" t="str">
        <f>IFERROR(IF(MARÍTIMOS[[#This Row],[Etapa Despacho - Llegada]]="","",MARÍTIMOS[[#This Row],[Etapa Despacho - Llegada]]),"")</f>
        <v/>
      </c>
      <c r="AA1038" s="11" t="str">
        <f>IFERROR(IF(MARÍTIMOS[[#This Row],[Etapa Despacho - Registro]]="","",MARÍTIMOS[[#This Row],[Etapa Despacho - Registro]]),"")</f>
        <v/>
      </c>
      <c r="AB1038" s="11" t="str">
        <f>IFERROR(IF(MARÍTIMOS[[#This Row],[Inspección Externa]]="","",MARÍTIMOS[[#This Row],[Inspección Externa]]),"")</f>
        <v/>
      </c>
      <c r="AC1038" s="11" t="str">
        <f>IFERROR(IF(MARÍTIMOS[[#This Row],[Etapa Despacho - Inicio de Carga]]="","",MARÍTIMOS[[#This Row],[Etapa Despacho - Inicio de Carga]]),"")</f>
        <v/>
      </c>
      <c r="AD1038" s="11" t="str">
        <f>IFERROR(IF(MARÍTIMOS[[#This Row],[Etapa Despacho - Mitad de Carga]]="","",MARÍTIMOS[[#This Row],[Etapa Despacho - Mitad de Carga]]),"")</f>
        <v/>
      </c>
      <c r="AE1038" s="11" t="str">
        <f>IFERROR(IF(MARÍTIMOS[[#This Row],[Etapa Despacho - Fin de Carga]]="","",MARÍTIMOS[[#This Row],[Etapa Despacho - Fin de Carga]]),"")</f>
        <v/>
      </c>
      <c r="AF1038" s="2" t="str">
        <f>IFERROR(IF(MARÍTIMOS[[#This Row],[Puerto de Embarque]]="","",MARÍTIMOS[[#This Row],[Puerto de Embarque]]),"")</f>
        <v/>
      </c>
      <c r="AG1038" s="2" t="str">
        <f>IFERROR(IF(MARÍTIMOS[[#This Row],[Almacén de Ingreso]]="","",MARÍTIMOS[[#This Row],[Almacén de Ingreso]]),"")</f>
        <v/>
      </c>
      <c r="AH1038" s="11" t="str">
        <f>IFERROR(IF(MARÍTIMOS[[#This Row],[Etapa Ingreso - Cita]]="","",MARÍTIMOS[[#This Row],[Etapa Ingreso - Cita]]),"")</f>
        <v/>
      </c>
      <c r="AI1038" s="11" t="str">
        <f>IFERROR(IF(MARÍTIMOS[[#This Row],[Etapa Ingreso - Llegada]]="","",MARÍTIMOS[[#This Row],[Etapa Ingreso - Llegada]]),"")</f>
        <v/>
      </c>
      <c r="AJ1038" s="11" t="str">
        <f>IFERROR(IF(MARÍTIMOS[[#This Row],[Etapa Ingreso - Ingeso]]="","",MARÍTIMOS[[#This Row],[Etapa Ingreso - Ingeso]]),"")</f>
        <v/>
      </c>
      <c r="AK1038" s="11" t="str">
        <f>IFERROR(IF(MARÍTIMOS[[#This Row],[Etapa Ingreso - Atención]]="","",MARÍTIMOS[[#This Row],[Etapa Ingreso - Atención]]),"")</f>
        <v/>
      </c>
      <c r="AL1038" s="11" t="str">
        <f>IFERROR(IF(MARÍTIMOS[[#This Row],[Etapa Ingreso - Salida]]="","",MARÍTIMOS[[#This Row],[Etapa Ingreso - Salida]]),"")</f>
        <v/>
      </c>
      <c r="AM1038" s="2" t="str">
        <f>IFERROR(IF(MARÍTIMOS[[#This Row],[FCL]]="","",MARÍTIMOS[[#This Row],[FCL]]),"")</f>
        <v/>
      </c>
      <c r="AN103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8" s="4" t="str" cm="1">
        <f t="array" ref="AO103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8" s="5" t="str">
        <f>IFERROR(OLDBD[[#This Row],[Llegada a packing]]-OLDBD[[#This Row],[Inicio de Ruta]],"")</f>
        <v/>
      </c>
      <c r="AQ1038" s="6" t="str">
        <f>IFERROR(OLDBD[[#This Row],[Inicio de Ruta]]-OLDBD[[#This Row],[Salida de almacén de retiro]],"")</f>
        <v/>
      </c>
      <c r="AR103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8" s="8" t="str" cm="1">
        <f t="array" ref="AS103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8" s="9" t="str">
        <f>IFERROR(OLDBD[[#This Row],[Ingreso Packing]]-OLDBD[[#This Row],[Registro en Packing]],"")</f>
        <v/>
      </c>
      <c r="AV1038" s="9" t="str">
        <f>IFERROR(OLDBD[[#This Row],[Ingreso Packing]]-OLDBD[[#This Row],[Llegada a packing]],"")</f>
        <v/>
      </c>
      <c r="AW103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8" s="5" t="str">
        <f>IFERROR(OLDBD[[#This Row],[Llegada Almacén de Ingreso]]-OLDBD[[#This Row],[Salida Packing]],"")</f>
        <v/>
      </c>
      <c r="AY1038" s="4" t="str" cm="1">
        <f t="array" ref="AY103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8" s="43" t="s">
        <v>173</v>
      </c>
      <c r="BB1038" s="47" t="str">
        <f>IFERROR(IF(MARÍTIMOS[[#This Row],[Estatus]]="","",MARÍTIMOS[[#This Row],[Estatus]]),"")</f>
        <v/>
      </c>
      <c r="BC1038" s="43"/>
      <c r="BD1038" s="46" t="str">
        <f>IFERROR(OLDBD[[#This Row],[Salida de almacén de retiro]]-OLDBD[[#This Row],[Ingreso Almacén de retiro]],"")</f>
        <v/>
      </c>
      <c r="BE1038" s="46" t="str">
        <f>IFERROR(OLDBD[[#This Row],[Fin de Carga]]-OLDBD[[#This Row],[Inicio de Carga]],"")</f>
        <v/>
      </c>
    </row>
    <row r="1039" spans="1:57" customFormat="1" hidden="1">
      <c r="A1039" s="1"/>
      <c r="B1039" s="1" t="str">
        <f>IFERROR(IF(MARÍTIMOS[[#This Row],[PP]]="","",MARÍTIMOS[[#This Row],[PP]]),"")</f>
        <v/>
      </c>
      <c r="C1039" s="1" t="str">
        <f>IFERROR(IF(MARÍTIMOS[[#This Row],[Sede]]="","",MARÍTIMOS[[#This Row],[Sede]]),"")</f>
        <v/>
      </c>
      <c r="D1039" s="1" t="str">
        <f>IFERROR(IF(MARÍTIMOS[[#This Row],[Instruction]]="","",MARÍTIMOS[[#This Row],[Instruction]]),"")</f>
        <v/>
      </c>
      <c r="E1039" s="1"/>
      <c r="F1039" s="2" t="str">
        <f>IFERROR(IF(MARÍTIMOS[[#This Row],[Transportista]]="","",MARÍTIMOS[[#This Row],[Transportista]]),"")</f>
        <v/>
      </c>
      <c r="G1039" s="2" t="str">
        <f>IFERROR(IF(MARÍTIMOS[[#This Row],[Tercero]]="","",MARÍTIMOS[[#This Row],[Tercero]]),"")</f>
        <v/>
      </c>
      <c r="H1039" s="2" t="str">
        <f>IFERROR(IF(MARÍTIMOS[[#This Row],[Razón Social]]="","",MARÍTIMOS[[#This Row],[Razón Social]]),"")</f>
        <v/>
      </c>
      <c r="I1039" s="2" t="str">
        <f>IFERROR(IF(MARÍTIMOS[[#This Row],[RUC]]="","",MARÍTIMOS[[#This Row],[RUC]]),"")</f>
        <v/>
      </c>
      <c r="J1039" s="2" t="str">
        <f>IFERROR(IF(MARÍTIMOS[[#This Row],[Placa Tracto]]="","",MARÍTIMOS[[#This Row],[Placa Tracto]]),"")</f>
        <v/>
      </c>
      <c r="K1039" s="2" t="str">
        <f>IFERROR(IF(MARÍTIMOS[[#This Row],[Placa Carreta]]="","",MARÍTIMOS[[#This Row],[Placa Carreta]]),"")</f>
        <v/>
      </c>
      <c r="L1039" s="44" t="str">
        <f>IFERROR(IF(MARÍTIMOS[[#This Row],[Conductor]]="","",MARÍTIMOS[[#This Row],[Conductor]]),"")</f>
        <v/>
      </c>
      <c r="M1039" s="2" t="str">
        <f>IFERROR(IF(MARÍTIMOS[[#This Row],[Licencia]]="","",MARÍTIMOS[[#This Row],[Licencia]]),"")</f>
        <v/>
      </c>
      <c r="N1039" s="2" t="str">
        <f>IFERROR(IF(MARÍTIMOS[[#This Row],[Número de Contacto]]="","",MARÍTIMOS[[#This Row],[Número de Contacto]]),"")</f>
        <v/>
      </c>
      <c r="O1039" s="10" t="str">
        <f>IFERROR(IF(MARÍTIMOS[[#This Row],[Booking|AWB|CRT]]="","",MARÍTIMOS[[#This Row],[Booking|AWB|CRT]]),"")</f>
        <v/>
      </c>
      <c r="P1039" s="2" t="str">
        <f>IFERROR(IF(MARÍTIMOS[[#This Row],[Contenedor]]="","",MARÍTIMOS[[#This Row],[Contenedor]]),"")</f>
        <v/>
      </c>
      <c r="Q1039" s="2" t="str">
        <f>IFERROR(IF(MARÍTIMOS[[#This Row],[Puerto de Retiro]]="","",MARÍTIMOS[[#This Row],[Puerto de Retiro]]),"")</f>
        <v/>
      </c>
      <c r="R1039" s="2" t="str">
        <f>IFERROR(IF(MARÍTIMOS[[#This Row],[Almacén de Retiro]]="","",MARÍTIMOS[[#This Row],[Almacén de Retiro]]),"")</f>
        <v/>
      </c>
      <c r="S1039" s="11" t="str">
        <f>IFERROR(IF(MARÍTIMOS[[#This Row],[Etapa Retiro - Cita]]="","",MARÍTIMOS[[#This Row],[Etapa Retiro - Cita]]),"")</f>
        <v/>
      </c>
      <c r="T1039" s="11" t="str">
        <f>IFERROR(IF(MARÍTIMOS[[#This Row],[Etapa Retiro - Llegada]]="","",MARÍTIMOS[[#This Row],[Etapa Retiro - Llegada]]),"")</f>
        <v/>
      </c>
      <c r="U1039" s="11" t="str">
        <f>IFERROR(IF(MARÍTIMOS[[#This Row],[Etapa Retiro - Ingreso]]="","",MARÍTIMOS[[#This Row],[Etapa Retiro - Ingreso]]),"")</f>
        <v/>
      </c>
      <c r="V1039" s="11" t="str">
        <f>IFERROR(IF(MARÍTIMOS[[#This Row],[Etapa Retiro - Atención]]="","",MARÍTIMOS[[#This Row],[Etapa Retiro - Atención]]),"")</f>
        <v/>
      </c>
      <c r="W1039" s="11" t="str">
        <f>IFERROR(IF(MARÍTIMOS[[#This Row],[Etapa Retiro - Atención]]="","",MARÍTIMOS[[#This Row],[Etapa Retiro - Atención]]),"")</f>
        <v/>
      </c>
      <c r="X1039" s="11" t="str">
        <f>IFERROR(IF(MARÍTIMOS[[#This Row],[Etapa Retiro - Inicio de Ruta]]="","",MARÍTIMOS[[#This Row],[Etapa Retiro - Inicio de Ruta]]),"")</f>
        <v/>
      </c>
      <c r="Y1039" s="11" t="str">
        <f>IFERROR(IF(MARÍTIMOS[[#This Row],[Hora de Posicionamiento]]="","",MARÍTIMOS[[#This Row],[Fecha de Carga]]+MARÍTIMOS[[#This Row],[Hora de Posicionamiento]]),"")</f>
        <v/>
      </c>
      <c r="Z1039" s="11" t="str">
        <f>IFERROR(IF(MARÍTIMOS[[#This Row],[Etapa Despacho - Llegada]]="","",MARÍTIMOS[[#This Row],[Etapa Despacho - Llegada]]),"")</f>
        <v/>
      </c>
      <c r="AA1039" s="11" t="str">
        <f>IFERROR(IF(MARÍTIMOS[[#This Row],[Etapa Despacho - Registro]]="","",MARÍTIMOS[[#This Row],[Etapa Despacho - Registro]]),"")</f>
        <v/>
      </c>
      <c r="AB1039" s="11" t="str">
        <f>IFERROR(IF(MARÍTIMOS[[#This Row],[Inspección Externa]]="","",MARÍTIMOS[[#This Row],[Inspección Externa]]),"")</f>
        <v/>
      </c>
      <c r="AC1039" s="11" t="str">
        <f>IFERROR(IF(MARÍTIMOS[[#This Row],[Etapa Despacho - Inicio de Carga]]="","",MARÍTIMOS[[#This Row],[Etapa Despacho - Inicio de Carga]]),"")</f>
        <v/>
      </c>
      <c r="AD1039" s="11" t="str">
        <f>IFERROR(IF(MARÍTIMOS[[#This Row],[Etapa Despacho - Mitad de Carga]]="","",MARÍTIMOS[[#This Row],[Etapa Despacho - Mitad de Carga]]),"")</f>
        <v/>
      </c>
      <c r="AE1039" s="11" t="str">
        <f>IFERROR(IF(MARÍTIMOS[[#This Row],[Etapa Despacho - Fin de Carga]]="","",MARÍTIMOS[[#This Row],[Etapa Despacho - Fin de Carga]]),"")</f>
        <v/>
      </c>
      <c r="AF1039" s="2" t="str">
        <f>IFERROR(IF(MARÍTIMOS[[#This Row],[Puerto de Embarque]]="","",MARÍTIMOS[[#This Row],[Puerto de Embarque]]),"")</f>
        <v/>
      </c>
      <c r="AG1039" s="2" t="str">
        <f>IFERROR(IF(MARÍTIMOS[[#This Row],[Almacén de Ingreso]]="","",MARÍTIMOS[[#This Row],[Almacén de Ingreso]]),"")</f>
        <v/>
      </c>
      <c r="AH1039" s="11" t="str">
        <f>IFERROR(IF(MARÍTIMOS[[#This Row],[Etapa Ingreso - Cita]]="","",MARÍTIMOS[[#This Row],[Etapa Ingreso - Cita]]),"")</f>
        <v/>
      </c>
      <c r="AI1039" s="11" t="str">
        <f>IFERROR(IF(MARÍTIMOS[[#This Row],[Etapa Ingreso - Llegada]]="","",MARÍTIMOS[[#This Row],[Etapa Ingreso - Llegada]]),"")</f>
        <v/>
      </c>
      <c r="AJ1039" s="11" t="str">
        <f>IFERROR(IF(MARÍTIMOS[[#This Row],[Etapa Ingreso - Ingeso]]="","",MARÍTIMOS[[#This Row],[Etapa Ingreso - Ingeso]]),"")</f>
        <v/>
      </c>
      <c r="AK1039" s="11" t="str">
        <f>IFERROR(IF(MARÍTIMOS[[#This Row],[Etapa Ingreso - Atención]]="","",MARÍTIMOS[[#This Row],[Etapa Ingreso - Atención]]),"")</f>
        <v/>
      </c>
      <c r="AL1039" s="11" t="str">
        <f>IFERROR(IF(MARÍTIMOS[[#This Row],[Etapa Ingreso - Salida]]="","",MARÍTIMOS[[#This Row],[Etapa Ingreso - Salida]]),"")</f>
        <v/>
      </c>
      <c r="AM1039" s="2" t="str">
        <f>IFERROR(IF(MARÍTIMOS[[#This Row],[FCL]]="","",MARÍTIMOS[[#This Row],[FCL]]),"")</f>
        <v/>
      </c>
      <c r="AN103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39" s="4" t="str" cm="1">
        <f t="array" ref="AO103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39" s="5" t="str">
        <f>IFERROR(OLDBD[[#This Row],[Llegada a packing]]-OLDBD[[#This Row],[Inicio de Ruta]],"")</f>
        <v/>
      </c>
      <c r="AQ1039" s="6" t="str">
        <f>IFERROR(OLDBD[[#This Row],[Inicio de Ruta]]-OLDBD[[#This Row],[Salida de almacén de retiro]],"")</f>
        <v/>
      </c>
      <c r="AR103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39" s="8" t="str" cm="1">
        <f t="array" ref="AS103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3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39" s="9" t="str">
        <f>IFERROR(OLDBD[[#This Row],[Ingreso Packing]]-OLDBD[[#This Row],[Registro en Packing]],"")</f>
        <v/>
      </c>
      <c r="AV1039" s="9" t="str">
        <f>IFERROR(OLDBD[[#This Row],[Ingreso Packing]]-OLDBD[[#This Row],[Llegada a packing]],"")</f>
        <v/>
      </c>
      <c r="AW103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39" s="5" t="str">
        <f>IFERROR(OLDBD[[#This Row],[Llegada Almacén de Ingreso]]-OLDBD[[#This Row],[Salida Packing]],"")</f>
        <v/>
      </c>
      <c r="AY1039" s="4" t="str" cm="1">
        <f t="array" ref="AY103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3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39" s="43" t="s">
        <v>173</v>
      </c>
      <c r="BB1039" s="47" t="str">
        <f>IFERROR(IF(MARÍTIMOS[[#This Row],[Estatus]]="","",MARÍTIMOS[[#This Row],[Estatus]]),"")</f>
        <v/>
      </c>
      <c r="BC1039" s="43"/>
      <c r="BD1039" s="46" t="str">
        <f>IFERROR(OLDBD[[#This Row],[Salida de almacén de retiro]]-OLDBD[[#This Row],[Ingreso Almacén de retiro]],"")</f>
        <v/>
      </c>
      <c r="BE1039" s="46" t="str">
        <f>IFERROR(OLDBD[[#This Row],[Fin de Carga]]-OLDBD[[#This Row],[Inicio de Carga]],"")</f>
        <v/>
      </c>
    </row>
    <row r="1040" spans="1:57" customFormat="1" hidden="1">
      <c r="A1040" s="1"/>
      <c r="B1040" s="1" t="str">
        <f>IFERROR(IF(MARÍTIMOS[[#This Row],[PP]]="","",MARÍTIMOS[[#This Row],[PP]]),"")</f>
        <v/>
      </c>
      <c r="C1040" s="1" t="str">
        <f>IFERROR(IF(MARÍTIMOS[[#This Row],[Sede]]="","",MARÍTIMOS[[#This Row],[Sede]]),"")</f>
        <v/>
      </c>
      <c r="D1040" s="1" t="str">
        <f>IFERROR(IF(MARÍTIMOS[[#This Row],[Instruction]]="","",MARÍTIMOS[[#This Row],[Instruction]]),"")</f>
        <v/>
      </c>
      <c r="E1040" s="1"/>
      <c r="F1040" s="2" t="str">
        <f>IFERROR(IF(MARÍTIMOS[[#This Row],[Transportista]]="","",MARÍTIMOS[[#This Row],[Transportista]]),"")</f>
        <v/>
      </c>
      <c r="G1040" s="2" t="str">
        <f>IFERROR(IF(MARÍTIMOS[[#This Row],[Tercero]]="","",MARÍTIMOS[[#This Row],[Tercero]]),"")</f>
        <v/>
      </c>
      <c r="H1040" s="2" t="str">
        <f>IFERROR(IF(MARÍTIMOS[[#This Row],[Razón Social]]="","",MARÍTIMOS[[#This Row],[Razón Social]]),"")</f>
        <v/>
      </c>
      <c r="I1040" s="2" t="str">
        <f>IFERROR(IF(MARÍTIMOS[[#This Row],[RUC]]="","",MARÍTIMOS[[#This Row],[RUC]]),"")</f>
        <v/>
      </c>
      <c r="J1040" s="2" t="str">
        <f>IFERROR(IF(MARÍTIMOS[[#This Row],[Placa Tracto]]="","",MARÍTIMOS[[#This Row],[Placa Tracto]]),"")</f>
        <v/>
      </c>
      <c r="K1040" s="2" t="str">
        <f>IFERROR(IF(MARÍTIMOS[[#This Row],[Placa Carreta]]="","",MARÍTIMOS[[#This Row],[Placa Carreta]]),"")</f>
        <v/>
      </c>
      <c r="L1040" s="44" t="str">
        <f>IFERROR(IF(MARÍTIMOS[[#This Row],[Conductor]]="","",MARÍTIMOS[[#This Row],[Conductor]]),"")</f>
        <v/>
      </c>
      <c r="M1040" s="2" t="str">
        <f>IFERROR(IF(MARÍTIMOS[[#This Row],[Licencia]]="","",MARÍTIMOS[[#This Row],[Licencia]]),"")</f>
        <v/>
      </c>
      <c r="N1040" s="2" t="str">
        <f>IFERROR(IF(MARÍTIMOS[[#This Row],[Número de Contacto]]="","",MARÍTIMOS[[#This Row],[Número de Contacto]]),"")</f>
        <v/>
      </c>
      <c r="O1040" s="10" t="str">
        <f>IFERROR(IF(MARÍTIMOS[[#This Row],[Booking|AWB|CRT]]="","",MARÍTIMOS[[#This Row],[Booking|AWB|CRT]]),"")</f>
        <v/>
      </c>
      <c r="P1040" s="2" t="str">
        <f>IFERROR(IF(MARÍTIMOS[[#This Row],[Contenedor]]="","",MARÍTIMOS[[#This Row],[Contenedor]]),"")</f>
        <v/>
      </c>
      <c r="Q1040" s="2" t="str">
        <f>IFERROR(IF(MARÍTIMOS[[#This Row],[Puerto de Retiro]]="","",MARÍTIMOS[[#This Row],[Puerto de Retiro]]),"")</f>
        <v/>
      </c>
      <c r="R1040" s="2" t="str">
        <f>IFERROR(IF(MARÍTIMOS[[#This Row],[Almacén de Retiro]]="","",MARÍTIMOS[[#This Row],[Almacén de Retiro]]),"")</f>
        <v/>
      </c>
      <c r="S1040" s="11" t="str">
        <f>IFERROR(IF(MARÍTIMOS[[#This Row],[Etapa Retiro - Cita]]="","",MARÍTIMOS[[#This Row],[Etapa Retiro - Cita]]),"")</f>
        <v/>
      </c>
      <c r="T1040" s="11" t="str">
        <f>IFERROR(IF(MARÍTIMOS[[#This Row],[Etapa Retiro - Llegada]]="","",MARÍTIMOS[[#This Row],[Etapa Retiro - Llegada]]),"")</f>
        <v/>
      </c>
      <c r="U1040" s="11" t="str">
        <f>IFERROR(IF(MARÍTIMOS[[#This Row],[Etapa Retiro - Ingreso]]="","",MARÍTIMOS[[#This Row],[Etapa Retiro - Ingreso]]),"")</f>
        <v/>
      </c>
      <c r="V1040" s="11" t="str">
        <f>IFERROR(IF(MARÍTIMOS[[#This Row],[Etapa Retiro - Atención]]="","",MARÍTIMOS[[#This Row],[Etapa Retiro - Atención]]),"")</f>
        <v/>
      </c>
      <c r="W1040" s="11" t="str">
        <f>IFERROR(IF(MARÍTIMOS[[#This Row],[Etapa Retiro - Atención]]="","",MARÍTIMOS[[#This Row],[Etapa Retiro - Atención]]),"")</f>
        <v/>
      </c>
      <c r="X1040" s="11" t="str">
        <f>IFERROR(IF(MARÍTIMOS[[#This Row],[Etapa Retiro - Inicio de Ruta]]="","",MARÍTIMOS[[#This Row],[Etapa Retiro - Inicio de Ruta]]),"")</f>
        <v/>
      </c>
      <c r="Y1040" s="11" t="str">
        <f>IFERROR(IF(MARÍTIMOS[[#This Row],[Hora de Posicionamiento]]="","",MARÍTIMOS[[#This Row],[Fecha de Carga]]+MARÍTIMOS[[#This Row],[Hora de Posicionamiento]]),"")</f>
        <v/>
      </c>
      <c r="Z1040" s="11" t="str">
        <f>IFERROR(IF(MARÍTIMOS[[#This Row],[Etapa Despacho - Llegada]]="","",MARÍTIMOS[[#This Row],[Etapa Despacho - Llegada]]),"")</f>
        <v/>
      </c>
      <c r="AA1040" s="11" t="str">
        <f>IFERROR(IF(MARÍTIMOS[[#This Row],[Etapa Despacho - Registro]]="","",MARÍTIMOS[[#This Row],[Etapa Despacho - Registro]]),"")</f>
        <v/>
      </c>
      <c r="AB1040" s="11" t="str">
        <f>IFERROR(IF(MARÍTIMOS[[#This Row],[Inspección Externa]]="","",MARÍTIMOS[[#This Row],[Inspección Externa]]),"")</f>
        <v/>
      </c>
      <c r="AC1040" s="11" t="str">
        <f>IFERROR(IF(MARÍTIMOS[[#This Row],[Etapa Despacho - Inicio de Carga]]="","",MARÍTIMOS[[#This Row],[Etapa Despacho - Inicio de Carga]]),"")</f>
        <v/>
      </c>
      <c r="AD1040" s="11" t="str">
        <f>IFERROR(IF(MARÍTIMOS[[#This Row],[Etapa Despacho - Mitad de Carga]]="","",MARÍTIMOS[[#This Row],[Etapa Despacho - Mitad de Carga]]),"")</f>
        <v/>
      </c>
      <c r="AE1040" s="11" t="str">
        <f>IFERROR(IF(MARÍTIMOS[[#This Row],[Etapa Despacho - Fin de Carga]]="","",MARÍTIMOS[[#This Row],[Etapa Despacho - Fin de Carga]]),"")</f>
        <v/>
      </c>
      <c r="AF1040" s="2" t="str">
        <f>IFERROR(IF(MARÍTIMOS[[#This Row],[Puerto de Embarque]]="","",MARÍTIMOS[[#This Row],[Puerto de Embarque]]),"")</f>
        <v/>
      </c>
      <c r="AG1040" s="2" t="str">
        <f>IFERROR(IF(MARÍTIMOS[[#This Row],[Almacén de Ingreso]]="","",MARÍTIMOS[[#This Row],[Almacén de Ingreso]]),"")</f>
        <v/>
      </c>
      <c r="AH1040" s="11" t="str">
        <f>IFERROR(IF(MARÍTIMOS[[#This Row],[Etapa Ingreso - Cita]]="","",MARÍTIMOS[[#This Row],[Etapa Ingreso - Cita]]),"")</f>
        <v/>
      </c>
      <c r="AI1040" s="11" t="str">
        <f>IFERROR(IF(MARÍTIMOS[[#This Row],[Etapa Ingreso - Llegada]]="","",MARÍTIMOS[[#This Row],[Etapa Ingreso - Llegada]]),"")</f>
        <v/>
      </c>
      <c r="AJ1040" s="11" t="str">
        <f>IFERROR(IF(MARÍTIMOS[[#This Row],[Etapa Ingreso - Ingeso]]="","",MARÍTIMOS[[#This Row],[Etapa Ingreso - Ingeso]]),"")</f>
        <v/>
      </c>
      <c r="AK1040" s="11" t="str">
        <f>IFERROR(IF(MARÍTIMOS[[#This Row],[Etapa Ingreso - Atención]]="","",MARÍTIMOS[[#This Row],[Etapa Ingreso - Atención]]),"")</f>
        <v/>
      </c>
      <c r="AL1040" s="11" t="str">
        <f>IFERROR(IF(MARÍTIMOS[[#This Row],[Etapa Ingreso - Salida]]="","",MARÍTIMOS[[#This Row],[Etapa Ingreso - Salida]]),"")</f>
        <v/>
      </c>
      <c r="AM1040" s="2" t="str">
        <f>IFERROR(IF(MARÍTIMOS[[#This Row],[FCL]]="","",MARÍTIMOS[[#This Row],[FCL]]),"")</f>
        <v/>
      </c>
      <c r="AN104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0" s="4" t="str" cm="1">
        <f t="array" ref="AO104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0" s="5" t="str">
        <f>IFERROR(OLDBD[[#This Row],[Llegada a packing]]-OLDBD[[#This Row],[Inicio de Ruta]],"")</f>
        <v/>
      </c>
      <c r="AQ1040" s="6" t="str">
        <f>IFERROR(OLDBD[[#This Row],[Inicio de Ruta]]-OLDBD[[#This Row],[Salida de almacén de retiro]],"")</f>
        <v/>
      </c>
      <c r="AR104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0" s="8" t="str" cm="1">
        <f t="array" ref="AS104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0" s="9" t="str">
        <f>IFERROR(OLDBD[[#This Row],[Ingreso Packing]]-OLDBD[[#This Row],[Registro en Packing]],"")</f>
        <v/>
      </c>
      <c r="AV1040" s="9" t="str">
        <f>IFERROR(OLDBD[[#This Row],[Ingreso Packing]]-OLDBD[[#This Row],[Llegada a packing]],"")</f>
        <v/>
      </c>
      <c r="AW104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0" s="5" t="str">
        <f>IFERROR(OLDBD[[#This Row],[Llegada Almacén de Ingreso]]-OLDBD[[#This Row],[Salida Packing]],"")</f>
        <v/>
      </c>
      <c r="AY1040" s="4" t="str" cm="1">
        <f t="array" ref="AY104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0" s="43" t="s">
        <v>173</v>
      </c>
      <c r="BB1040" s="47" t="str">
        <f>IFERROR(IF(MARÍTIMOS[[#This Row],[Estatus]]="","",MARÍTIMOS[[#This Row],[Estatus]]),"")</f>
        <v/>
      </c>
      <c r="BC1040" s="43"/>
      <c r="BD1040" s="46" t="str">
        <f>IFERROR(OLDBD[[#This Row],[Salida de almacén de retiro]]-OLDBD[[#This Row],[Ingreso Almacén de retiro]],"")</f>
        <v/>
      </c>
      <c r="BE1040" s="46" t="str">
        <f>IFERROR(OLDBD[[#This Row],[Fin de Carga]]-OLDBD[[#This Row],[Inicio de Carga]],"")</f>
        <v/>
      </c>
    </row>
    <row r="1041" spans="1:57" customFormat="1" hidden="1">
      <c r="A1041" s="1"/>
      <c r="B1041" s="1" t="str">
        <f>IFERROR(IF(MARÍTIMOS[[#This Row],[PP]]="","",MARÍTIMOS[[#This Row],[PP]]),"")</f>
        <v/>
      </c>
      <c r="C1041" s="1" t="str">
        <f>IFERROR(IF(MARÍTIMOS[[#This Row],[Sede]]="","",MARÍTIMOS[[#This Row],[Sede]]),"")</f>
        <v/>
      </c>
      <c r="D1041" s="1" t="str">
        <f>IFERROR(IF(MARÍTIMOS[[#This Row],[Instruction]]="","",MARÍTIMOS[[#This Row],[Instruction]]),"")</f>
        <v/>
      </c>
      <c r="E1041" s="1"/>
      <c r="F1041" s="2" t="str">
        <f>IFERROR(IF(MARÍTIMOS[[#This Row],[Transportista]]="","",MARÍTIMOS[[#This Row],[Transportista]]),"")</f>
        <v/>
      </c>
      <c r="G1041" s="2" t="str">
        <f>IFERROR(IF(MARÍTIMOS[[#This Row],[Tercero]]="","",MARÍTIMOS[[#This Row],[Tercero]]),"")</f>
        <v/>
      </c>
      <c r="H1041" s="2" t="str">
        <f>IFERROR(IF(MARÍTIMOS[[#This Row],[Razón Social]]="","",MARÍTIMOS[[#This Row],[Razón Social]]),"")</f>
        <v/>
      </c>
      <c r="I1041" s="2" t="str">
        <f>IFERROR(IF(MARÍTIMOS[[#This Row],[RUC]]="","",MARÍTIMOS[[#This Row],[RUC]]),"")</f>
        <v/>
      </c>
      <c r="J1041" s="2" t="str">
        <f>IFERROR(IF(MARÍTIMOS[[#This Row],[Placa Tracto]]="","",MARÍTIMOS[[#This Row],[Placa Tracto]]),"")</f>
        <v/>
      </c>
      <c r="K1041" s="2" t="str">
        <f>IFERROR(IF(MARÍTIMOS[[#This Row],[Placa Carreta]]="","",MARÍTIMOS[[#This Row],[Placa Carreta]]),"")</f>
        <v/>
      </c>
      <c r="L1041" s="44" t="str">
        <f>IFERROR(IF(MARÍTIMOS[[#This Row],[Conductor]]="","",MARÍTIMOS[[#This Row],[Conductor]]),"")</f>
        <v/>
      </c>
      <c r="M1041" s="2" t="str">
        <f>IFERROR(IF(MARÍTIMOS[[#This Row],[Licencia]]="","",MARÍTIMOS[[#This Row],[Licencia]]),"")</f>
        <v/>
      </c>
      <c r="N1041" s="2" t="str">
        <f>IFERROR(IF(MARÍTIMOS[[#This Row],[Número de Contacto]]="","",MARÍTIMOS[[#This Row],[Número de Contacto]]),"")</f>
        <v/>
      </c>
      <c r="O1041" s="10" t="str">
        <f>IFERROR(IF(MARÍTIMOS[[#This Row],[Booking|AWB|CRT]]="","",MARÍTIMOS[[#This Row],[Booking|AWB|CRT]]),"")</f>
        <v/>
      </c>
      <c r="P1041" s="2" t="str">
        <f>IFERROR(IF(MARÍTIMOS[[#This Row],[Contenedor]]="","",MARÍTIMOS[[#This Row],[Contenedor]]),"")</f>
        <v/>
      </c>
      <c r="Q1041" s="2" t="str">
        <f>IFERROR(IF(MARÍTIMOS[[#This Row],[Puerto de Retiro]]="","",MARÍTIMOS[[#This Row],[Puerto de Retiro]]),"")</f>
        <v/>
      </c>
      <c r="R1041" s="2" t="str">
        <f>IFERROR(IF(MARÍTIMOS[[#This Row],[Almacén de Retiro]]="","",MARÍTIMOS[[#This Row],[Almacén de Retiro]]),"")</f>
        <v/>
      </c>
      <c r="S1041" s="11" t="str">
        <f>IFERROR(IF(MARÍTIMOS[[#This Row],[Etapa Retiro - Cita]]="","",MARÍTIMOS[[#This Row],[Etapa Retiro - Cita]]),"")</f>
        <v/>
      </c>
      <c r="T1041" s="11" t="str">
        <f>IFERROR(IF(MARÍTIMOS[[#This Row],[Etapa Retiro - Llegada]]="","",MARÍTIMOS[[#This Row],[Etapa Retiro - Llegada]]),"")</f>
        <v/>
      </c>
      <c r="U1041" s="11" t="str">
        <f>IFERROR(IF(MARÍTIMOS[[#This Row],[Etapa Retiro - Ingreso]]="","",MARÍTIMOS[[#This Row],[Etapa Retiro - Ingreso]]),"")</f>
        <v/>
      </c>
      <c r="V1041" s="11" t="str">
        <f>IFERROR(IF(MARÍTIMOS[[#This Row],[Etapa Retiro - Atención]]="","",MARÍTIMOS[[#This Row],[Etapa Retiro - Atención]]),"")</f>
        <v/>
      </c>
      <c r="W1041" s="11" t="str">
        <f>IFERROR(IF(MARÍTIMOS[[#This Row],[Etapa Retiro - Atención]]="","",MARÍTIMOS[[#This Row],[Etapa Retiro - Atención]]),"")</f>
        <v/>
      </c>
      <c r="X1041" s="11" t="str">
        <f>IFERROR(IF(MARÍTIMOS[[#This Row],[Etapa Retiro - Inicio de Ruta]]="","",MARÍTIMOS[[#This Row],[Etapa Retiro - Inicio de Ruta]]),"")</f>
        <v/>
      </c>
      <c r="Y1041" s="11" t="str">
        <f>IFERROR(IF(MARÍTIMOS[[#This Row],[Hora de Posicionamiento]]="","",MARÍTIMOS[[#This Row],[Fecha de Carga]]+MARÍTIMOS[[#This Row],[Hora de Posicionamiento]]),"")</f>
        <v/>
      </c>
      <c r="Z1041" s="11" t="str">
        <f>IFERROR(IF(MARÍTIMOS[[#This Row],[Etapa Despacho - Llegada]]="","",MARÍTIMOS[[#This Row],[Etapa Despacho - Llegada]]),"")</f>
        <v/>
      </c>
      <c r="AA1041" s="11" t="str">
        <f>IFERROR(IF(MARÍTIMOS[[#This Row],[Etapa Despacho - Registro]]="","",MARÍTIMOS[[#This Row],[Etapa Despacho - Registro]]),"")</f>
        <v/>
      </c>
      <c r="AB1041" s="11" t="str">
        <f>IFERROR(IF(MARÍTIMOS[[#This Row],[Inspección Externa]]="","",MARÍTIMOS[[#This Row],[Inspección Externa]]),"")</f>
        <v/>
      </c>
      <c r="AC1041" s="11" t="str">
        <f>IFERROR(IF(MARÍTIMOS[[#This Row],[Etapa Despacho - Inicio de Carga]]="","",MARÍTIMOS[[#This Row],[Etapa Despacho - Inicio de Carga]]),"")</f>
        <v/>
      </c>
      <c r="AD1041" s="11" t="str">
        <f>IFERROR(IF(MARÍTIMOS[[#This Row],[Etapa Despacho - Mitad de Carga]]="","",MARÍTIMOS[[#This Row],[Etapa Despacho - Mitad de Carga]]),"")</f>
        <v/>
      </c>
      <c r="AE1041" s="11" t="str">
        <f>IFERROR(IF(MARÍTIMOS[[#This Row],[Etapa Despacho - Fin de Carga]]="","",MARÍTIMOS[[#This Row],[Etapa Despacho - Fin de Carga]]),"")</f>
        <v/>
      </c>
      <c r="AF1041" s="2" t="str">
        <f>IFERROR(IF(MARÍTIMOS[[#This Row],[Puerto de Embarque]]="","",MARÍTIMOS[[#This Row],[Puerto de Embarque]]),"")</f>
        <v/>
      </c>
      <c r="AG1041" s="2" t="str">
        <f>IFERROR(IF(MARÍTIMOS[[#This Row],[Almacén de Ingreso]]="","",MARÍTIMOS[[#This Row],[Almacén de Ingreso]]),"")</f>
        <v/>
      </c>
      <c r="AH1041" s="11" t="str">
        <f>IFERROR(IF(MARÍTIMOS[[#This Row],[Etapa Ingreso - Cita]]="","",MARÍTIMOS[[#This Row],[Etapa Ingreso - Cita]]),"")</f>
        <v/>
      </c>
      <c r="AI1041" s="11" t="str">
        <f>IFERROR(IF(MARÍTIMOS[[#This Row],[Etapa Ingreso - Llegada]]="","",MARÍTIMOS[[#This Row],[Etapa Ingreso - Llegada]]),"")</f>
        <v/>
      </c>
      <c r="AJ1041" s="11" t="str">
        <f>IFERROR(IF(MARÍTIMOS[[#This Row],[Etapa Ingreso - Ingeso]]="","",MARÍTIMOS[[#This Row],[Etapa Ingreso - Ingeso]]),"")</f>
        <v/>
      </c>
      <c r="AK1041" s="11" t="str">
        <f>IFERROR(IF(MARÍTIMOS[[#This Row],[Etapa Ingreso - Atención]]="","",MARÍTIMOS[[#This Row],[Etapa Ingreso - Atención]]),"")</f>
        <v/>
      </c>
      <c r="AL1041" s="11" t="str">
        <f>IFERROR(IF(MARÍTIMOS[[#This Row],[Etapa Ingreso - Salida]]="","",MARÍTIMOS[[#This Row],[Etapa Ingreso - Salida]]),"")</f>
        <v/>
      </c>
      <c r="AM1041" s="2" t="str">
        <f>IFERROR(IF(MARÍTIMOS[[#This Row],[FCL]]="","",MARÍTIMOS[[#This Row],[FCL]]),"")</f>
        <v/>
      </c>
      <c r="AN104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1" s="4" t="str" cm="1">
        <f t="array" ref="AO104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1" s="5" t="str">
        <f>IFERROR(OLDBD[[#This Row],[Llegada a packing]]-OLDBD[[#This Row],[Inicio de Ruta]],"")</f>
        <v/>
      </c>
      <c r="AQ1041" s="6" t="str">
        <f>IFERROR(OLDBD[[#This Row],[Inicio de Ruta]]-OLDBD[[#This Row],[Salida de almacén de retiro]],"")</f>
        <v/>
      </c>
      <c r="AR104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1" s="8" t="str" cm="1">
        <f t="array" ref="AS104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1" s="9" t="str">
        <f>IFERROR(OLDBD[[#This Row],[Ingreso Packing]]-OLDBD[[#This Row],[Registro en Packing]],"")</f>
        <v/>
      </c>
      <c r="AV1041" s="9" t="str">
        <f>IFERROR(OLDBD[[#This Row],[Ingreso Packing]]-OLDBD[[#This Row],[Llegada a packing]],"")</f>
        <v/>
      </c>
      <c r="AW104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1" s="5" t="str">
        <f>IFERROR(OLDBD[[#This Row],[Llegada Almacén de Ingreso]]-OLDBD[[#This Row],[Salida Packing]],"")</f>
        <v/>
      </c>
      <c r="AY1041" s="4" t="str" cm="1">
        <f t="array" ref="AY104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1" s="43" t="s">
        <v>173</v>
      </c>
      <c r="BB1041" s="47" t="str">
        <f>IFERROR(IF(MARÍTIMOS[[#This Row],[Estatus]]="","",MARÍTIMOS[[#This Row],[Estatus]]),"")</f>
        <v/>
      </c>
      <c r="BC1041" s="43"/>
      <c r="BD1041" s="46" t="str">
        <f>IFERROR(OLDBD[[#This Row],[Salida de almacén de retiro]]-OLDBD[[#This Row],[Ingreso Almacén de retiro]],"")</f>
        <v/>
      </c>
      <c r="BE1041" s="46" t="str">
        <f>IFERROR(OLDBD[[#This Row],[Fin de Carga]]-OLDBD[[#This Row],[Inicio de Carga]],"")</f>
        <v/>
      </c>
    </row>
    <row r="1042" spans="1:57" customFormat="1" hidden="1">
      <c r="A1042" s="1"/>
      <c r="B1042" s="1" t="str">
        <f>IFERROR(IF(MARÍTIMOS[[#This Row],[PP]]="","",MARÍTIMOS[[#This Row],[PP]]),"")</f>
        <v/>
      </c>
      <c r="C1042" s="1" t="str">
        <f>IFERROR(IF(MARÍTIMOS[[#This Row],[Sede]]="","",MARÍTIMOS[[#This Row],[Sede]]),"")</f>
        <v/>
      </c>
      <c r="D1042" s="1" t="str">
        <f>IFERROR(IF(MARÍTIMOS[[#This Row],[Instruction]]="","",MARÍTIMOS[[#This Row],[Instruction]]),"")</f>
        <v/>
      </c>
      <c r="E1042" s="1"/>
      <c r="F1042" s="2" t="str">
        <f>IFERROR(IF(MARÍTIMOS[[#This Row],[Transportista]]="","",MARÍTIMOS[[#This Row],[Transportista]]),"")</f>
        <v/>
      </c>
      <c r="G1042" s="2" t="str">
        <f>IFERROR(IF(MARÍTIMOS[[#This Row],[Tercero]]="","",MARÍTIMOS[[#This Row],[Tercero]]),"")</f>
        <v/>
      </c>
      <c r="H1042" s="2" t="str">
        <f>IFERROR(IF(MARÍTIMOS[[#This Row],[Razón Social]]="","",MARÍTIMOS[[#This Row],[Razón Social]]),"")</f>
        <v/>
      </c>
      <c r="I1042" s="2" t="str">
        <f>IFERROR(IF(MARÍTIMOS[[#This Row],[RUC]]="","",MARÍTIMOS[[#This Row],[RUC]]),"")</f>
        <v/>
      </c>
      <c r="J1042" s="2" t="str">
        <f>IFERROR(IF(MARÍTIMOS[[#This Row],[Placa Tracto]]="","",MARÍTIMOS[[#This Row],[Placa Tracto]]),"")</f>
        <v/>
      </c>
      <c r="K1042" s="2" t="str">
        <f>IFERROR(IF(MARÍTIMOS[[#This Row],[Placa Carreta]]="","",MARÍTIMOS[[#This Row],[Placa Carreta]]),"")</f>
        <v/>
      </c>
      <c r="L1042" s="44" t="str">
        <f>IFERROR(IF(MARÍTIMOS[[#This Row],[Conductor]]="","",MARÍTIMOS[[#This Row],[Conductor]]),"")</f>
        <v/>
      </c>
      <c r="M1042" s="2" t="str">
        <f>IFERROR(IF(MARÍTIMOS[[#This Row],[Licencia]]="","",MARÍTIMOS[[#This Row],[Licencia]]),"")</f>
        <v/>
      </c>
      <c r="N1042" s="2" t="str">
        <f>IFERROR(IF(MARÍTIMOS[[#This Row],[Número de Contacto]]="","",MARÍTIMOS[[#This Row],[Número de Contacto]]),"")</f>
        <v/>
      </c>
      <c r="O1042" s="10" t="str">
        <f>IFERROR(IF(MARÍTIMOS[[#This Row],[Booking|AWB|CRT]]="","",MARÍTIMOS[[#This Row],[Booking|AWB|CRT]]),"")</f>
        <v/>
      </c>
      <c r="P1042" s="2" t="str">
        <f>IFERROR(IF(MARÍTIMOS[[#This Row],[Contenedor]]="","",MARÍTIMOS[[#This Row],[Contenedor]]),"")</f>
        <v/>
      </c>
      <c r="Q1042" s="2" t="str">
        <f>IFERROR(IF(MARÍTIMOS[[#This Row],[Puerto de Retiro]]="","",MARÍTIMOS[[#This Row],[Puerto de Retiro]]),"")</f>
        <v/>
      </c>
      <c r="R1042" s="2" t="str">
        <f>IFERROR(IF(MARÍTIMOS[[#This Row],[Almacén de Retiro]]="","",MARÍTIMOS[[#This Row],[Almacén de Retiro]]),"")</f>
        <v/>
      </c>
      <c r="S1042" s="11" t="str">
        <f>IFERROR(IF(MARÍTIMOS[[#This Row],[Etapa Retiro - Cita]]="","",MARÍTIMOS[[#This Row],[Etapa Retiro - Cita]]),"")</f>
        <v/>
      </c>
      <c r="T1042" s="11" t="str">
        <f>IFERROR(IF(MARÍTIMOS[[#This Row],[Etapa Retiro - Llegada]]="","",MARÍTIMOS[[#This Row],[Etapa Retiro - Llegada]]),"")</f>
        <v/>
      </c>
      <c r="U1042" s="11" t="str">
        <f>IFERROR(IF(MARÍTIMOS[[#This Row],[Etapa Retiro - Ingreso]]="","",MARÍTIMOS[[#This Row],[Etapa Retiro - Ingreso]]),"")</f>
        <v/>
      </c>
      <c r="V1042" s="11" t="str">
        <f>IFERROR(IF(MARÍTIMOS[[#This Row],[Etapa Retiro - Atención]]="","",MARÍTIMOS[[#This Row],[Etapa Retiro - Atención]]),"")</f>
        <v/>
      </c>
      <c r="W1042" s="11" t="str">
        <f>IFERROR(IF(MARÍTIMOS[[#This Row],[Etapa Retiro - Atención]]="","",MARÍTIMOS[[#This Row],[Etapa Retiro - Atención]]),"")</f>
        <v/>
      </c>
      <c r="X1042" s="11" t="str">
        <f>IFERROR(IF(MARÍTIMOS[[#This Row],[Etapa Retiro - Inicio de Ruta]]="","",MARÍTIMOS[[#This Row],[Etapa Retiro - Inicio de Ruta]]),"")</f>
        <v/>
      </c>
      <c r="Y1042" s="11" t="str">
        <f>IFERROR(IF(MARÍTIMOS[[#This Row],[Hora de Posicionamiento]]="","",MARÍTIMOS[[#This Row],[Fecha de Carga]]+MARÍTIMOS[[#This Row],[Hora de Posicionamiento]]),"")</f>
        <v/>
      </c>
      <c r="Z1042" s="11" t="str">
        <f>IFERROR(IF(MARÍTIMOS[[#This Row],[Etapa Despacho - Llegada]]="","",MARÍTIMOS[[#This Row],[Etapa Despacho - Llegada]]),"")</f>
        <v/>
      </c>
      <c r="AA1042" s="11" t="str">
        <f>IFERROR(IF(MARÍTIMOS[[#This Row],[Etapa Despacho - Registro]]="","",MARÍTIMOS[[#This Row],[Etapa Despacho - Registro]]),"")</f>
        <v/>
      </c>
      <c r="AB1042" s="11" t="str">
        <f>IFERROR(IF(MARÍTIMOS[[#This Row],[Inspección Externa]]="","",MARÍTIMOS[[#This Row],[Inspección Externa]]),"")</f>
        <v/>
      </c>
      <c r="AC1042" s="11" t="str">
        <f>IFERROR(IF(MARÍTIMOS[[#This Row],[Etapa Despacho - Inicio de Carga]]="","",MARÍTIMOS[[#This Row],[Etapa Despacho - Inicio de Carga]]),"")</f>
        <v/>
      </c>
      <c r="AD1042" s="11" t="str">
        <f>IFERROR(IF(MARÍTIMOS[[#This Row],[Etapa Despacho - Mitad de Carga]]="","",MARÍTIMOS[[#This Row],[Etapa Despacho - Mitad de Carga]]),"")</f>
        <v/>
      </c>
      <c r="AE1042" s="11" t="str">
        <f>IFERROR(IF(MARÍTIMOS[[#This Row],[Etapa Despacho - Fin de Carga]]="","",MARÍTIMOS[[#This Row],[Etapa Despacho - Fin de Carga]]),"")</f>
        <v/>
      </c>
      <c r="AF1042" s="2" t="str">
        <f>IFERROR(IF(MARÍTIMOS[[#This Row],[Puerto de Embarque]]="","",MARÍTIMOS[[#This Row],[Puerto de Embarque]]),"")</f>
        <v/>
      </c>
      <c r="AG1042" s="2" t="str">
        <f>IFERROR(IF(MARÍTIMOS[[#This Row],[Almacén de Ingreso]]="","",MARÍTIMOS[[#This Row],[Almacén de Ingreso]]),"")</f>
        <v/>
      </c>
      <c r="AH1042" s="11" t="str">
        <f>IFERROR(IF(MARÍTIMOS[[#This Row],[Etapa Ingreso - Cita]]="","",MARÍTIMOS[[#This Row],[Etapa Ingreso - Cita]]),"")</f>
        <v/>
      </c>
      <c r="AI1042" s="11" t="str">
        <f>IFERROR(IF(MARÍTIMOS[[#This Row],[Etapa Ingreso - Llegada]]="","",MARÍTIMOS[[#This Row],[Etapa Ingreso - Llegada]]),"")</f>
        <v/>
      </c>
      <c r="AJ1042" s="11" t="str">
        <f>IFERROR(IF(MARÍTIMOS[[#This Row],[Etapa Ingreso - Ingeso]]="","",MARÍTIMOS[[#This Row],[Etapa Ingreso - Ingeso]]),"")</f>
        <v/>
      </c>
      <c r="AK1042" s="11" t="str">
        <f>IFERROR(IF(MARÍTIMOS[[#This Row],[Etapa Ingreso - Atención]]="","",MARÍTIMOS[[#This Row],[Etapa Ingreso - Atención]]),"")</f>
        <v/>
      </c>
      <c r="AL1042" s="11" t="str">
        <f>IFERROR(IF(MARÍTIMOS[[#This Row],[Etapa Ingreso - Salida]]="","",MARÍTIMOS[[#This Row],[Etapa Ingreso - Salida]]),"")</f>
        <v/>
      </c>
      <c r="AM1042" s="2" t="str">
        <f>IFERROR(IF(MARÍTIMOS[[#This Row],[FCL]]="","",MARÍTIMOS[[#This Row],[FCL]]),"")</f>
        <v/>
      </c>
      <c r="AN104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2" s="4" t="str" cm="1">
        <f t="array" ref="AO104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2" s="5" t="str">
        <f>IFERROR(OLDBD[[#This Row],[Llegada a packing]]-OLDBD[[#This Row],[Inicio de Ruta]],"")</f>
        <v/>
      </c>
      <c r="AQ1042" s="6" t="str">
        <f>IFERROR(OLDBD[[#This Row],[Inicio de Ruta]]-OLDBD[[#This Row],[Salida de almacén de retiro]],"")</f>
        <v/>
      </c>
      <c r="AR104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2" s="8" t="str" cm="1">
        <f t="array" ref="AS104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2" s="9" t="str">
        <f>IFERROR(OLDBD[[#This Row],[Ingreso Packing]]-OLDBD[[#This Row],[Registro en Packing]],"")</f>
        <v/>
      </c>
      <c r="AV1042" s="9" t="str">
        <f>IFERROR(OLDBD[[#This Row],[Ingreso Packing]]-OLDBD[[#This Row],[Llegada a packing]],"")</f>
        <v/>
      </c>
      <c r="AW104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2" s="5" t="str">
        <f>IFERROR(OLDBD[[#This Row],[Llegada Almacén de Ingreso]]-OLDBD[[#This Row],[Salida Packing]],"")</f>
        <v/>
      </c>
      <c r="AY1042" s="4" t="str" cm="1">
        <f t="array" ref="AY104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2" s="43" t="s">
        <v>173</v>
      </c>
      <c r="BB1042" s="47" t="str">
        <f>IFERROR(IF(MARÍTIMOS[[#This Row],[Estatus]]="","",MARÍTIMOS[[#This Row],[Estatus]]),"")</f>
        <v/>
      </c>
      <c r="BC1042" s="43"/>
      <c r="BD1042" s="46" t="str">
        <f>IFERROR(OLDBD[[#This Row],[Salida de almacén de retiro]]-OLDBD[[#This Row],[Ingreso Almacén de retiro]],"")</f>
        <v/>
      </c>
      <c r="BE1042" s="46" t="str">
        <f>IFERROR(OLDBD[[#This Row],[Fin de Carga]]-OLDBD[[#This Row],[Inicio de Carga]],"")</f>
        <v/>
      </c>
    </row>
    <row r="1043" spans="1:57" customFormat="1" hidden="1">
      <c r="A1043" s="1"/>
      <c r="B1043" s="1" t="str">
        <f>IFERROR(IF(MARÍTIMOS[[#This Row],[PP]]="","",MARÍTIMOS[[#This Row],[PP]]),"")</f>
        <v/>
      </c>
      <c r="C1043" s="1" t="str">
        <f>IFERROR(IF(MARÍTIMOS[[#This Row],[Sede]]="","",MARÍTIMOS[[#This Row],[Sede]]),"")</f>
        <v/>
      </c>
      <c r="D1043" s="1" t="str">
        <f>IFERROR(IF(MARÍTIMOS[[#This Row],[Instruction]]="","",MARÍTIMOS[[#This Row],[Instruction]]),"")</f>
        <v/>
      </c>
      <c r="E1043" s="1"/>
      <c r="F1043" s="2" t="str">
        <f>IFERROR(IF(MARÍTIMOS[[#This Row],[Transportista]]="","",MARÍTIMOS[[#This Row],[Transportista]]),"")</f>
        <v/>
      </c>
      <c r="G1043" s="2" t="str">
        <f>IFERROR(IF(MARÍTIMOS[[#This Row],[Tercero]]="","",MARÍTIMOS[[#This Row],[Tercero]]),"")</f>
        <v/>
      </c>
      <c r="H1043" s="2" t="str">
        <f>IFERROR(IF(MARÍTIMOS[[#This Row],[Razón Social]]="","",MARÍTIMOS[[#This Row],[Razón Social]]),"")</f>
        <v/>
      </c>
      <c r="I1043" s="2" t="str">
        <f>IFERROR(IF(MARÍTIMOS[[#This Row],[RUC]]="","",MARÍTIMOS[[#This Row],[RUC]]),"")</f>
        <v/>
      </c>
      <c r="J1043" s="2" t="str">
        <f>IFERROR(IF(MARÍTIMOS[[#This Row],[Placa Tracto]]="","",MARÍTIMOS[[#This Row],[Placa Tracto]]),"")</f>
        <v/>
      </c>
      <c r="K1043" s="2" t="str">
        <f>IFERROR(IF(MARÍTIMOS[[#This Row],[Placa Carreta]]="","",MARÍTIMOS[[#This Row],[Placa Carreta]]),"")</f>
        <v/>
      </c>
      <c r="L1043" s="44" t="str">
        <f>IFERROR(IF(MARÍTIMOS[[#This Row],[Conductor]]="","",MARÍTIMOS[[#This Row],[Conductor]]),"")</f>
        <v/>
      </c>
      <c r="M1043" s="2" t="str">
        <f>IFERROR(IF(MARÍTIMOS[[#This Row],[Licencia]]="","",MARÍTIMOS[[#This Row],[Licencia]]),"")</f>
        <v/>
      </c>
      <c r="N1043" s="2" t="str">
        <f>IFERROR(IF(MARÍTIMOS[[#This Row],[Número de Contacto]]="","",MARÍTIMOS[[#This Row],[Número de Contacto]]),"")</f>
        <v/>
      </c>
      <c r="O1043" s="10" t="str">
        <f>IFERROR(IF(MARÍTIMOS[[#This Row],[Booking|AWB|CRT]]="","",MARÍTIMOS[[#This Row],[Booking|AWB|CRT]]),"")</f>
        <v/>
      </c>
      <c r="P1043" s="2" t="str">
        <f>IFERROR(IF(MARÍTIMOS[[#This Row],[Contenedor]]="","",MARÍTIMOS[[#This Row],[Contenedor]]),"")</f>
        <v/>
      </c>
      <c r="Q1043" s="2" t="str">
        <f>IFERROR(IF(MARÍTIMOS[[#This Row],[Puerto de Retiro]]="","",MARÍTIMOS[[#This Row],[Puerto de Retiro]]),"")</f>
        <v/>
      </c>
      <c r="R1043" s="2" t="str">
        <f>IFERROR(IF(MARÍTIMOS[[#This Row],[Almacén de Retiro]]="","",MARÍTIMOS[[#This Row],[Almacén de Retiro]]),"")</f>
        <v/>
      </c>
      <c r="S1043" s="11" t="str">
        <f>IFERROR(IF(MARÍTIMOS[[#This Row],[Etapa Retiro - Cita]]="","",MARÍTIMOS[[#This Row],[Etapa Retiro - Cita]]),"")</f>
        <v/>
      </c>
      <c r="T1043" s="11" t="str">
        <f>IFERROR(IF(MARÍTIMOS[[#This Row],[Etapa Retiro - Llegada]]="","",MARÍTIMOS[[#This Row],[Etapa Retiro - Llegada]]),"")</f>
        <v/>
      </c>
      <c r="U1043" s="11" t="str">
        <f>IFERROR(IF(MARÍTIMOS[[#This Row],[Etapa Retiro - Ingreso]]="","",MARÍTIMOS[[#This Row],[Etapa Retiro - Ingreso]]),"")</f>
        <v/>
      </c>
      <c r="V1043" s="11" t="str">
        <f>IFERROR(IF(MARÍTIMOS[[#This Row],[Etapa Retiro - Atención]]="","",MARÍTIMOS[[#This Row],[Etapa Retiro - Atención]]),"")</f>
        <v/>
      </c>
      <c r="W1043" s="11" t="str">
        <f>IFERROR(IF(MARÍTIMOS[[#This Row],[Etapa Retiro - Atención]]="","",MARÍTIMOS[[#This Row],[Etapa Retiro - Atención]]),"")</f>
        <v/>
      </c>
      <c r="X1043" s="11" t="str">
        <f>IFERROR(IF(MARÍTIMOS[[#This Row],[Etapa Retiro - Inicio de Ruta]]="","",MARÍTIMOS[[#This Row],[Etapa Retiro - Inicio de Ruta]]),"")</f>
        <v/>
      </c>
      <c r="Y1043" s="11" t="str">
        <f>IFERROR(IF(MARÍTIMOS[[#This Row],[Hora de Posicionamiento]]="","",MARÍTIMOS[[#This Row],[Fecha de Carga]]+MARÍTIMOS[[#This Row],[Hora de Posicionamiento]]),"")</f>
        <v/>
      </c>
      <c r="Z1043" s="11" t="str">
        <f>IFERROR(IF(MARÍTIMOS[[#This Row],[Etapa Despacho - Llegada]]="","",MARÍTIMOS[[#This Row],[Etapa Despacho - Llegada]]),"")</f>
        <v/>
      </c>
      <c r="AA1043" s="11" t="str">
        <f>IFERROR(IF(MARÍTIMOS[[#This Row],[Etapa Despacho - Registro]]="","",MARÍTIMOS[[#This Row],[Etapa Despacho - Registro]]),"")</f>
        <v/>
      </c>
      <c r="AB1043" s="11" t="str">
        <f>IFERROR(IF(MARÍTIMOS[[#This Row],[Inspección Externa]]="","",MARÍTIMOS[[#This Row],[Inspección Externa]]),"")</f>
        <v/>
      </c>
      <c r="AC1043" s="11" t="str">
        <f>IFERROR(IF(MARÍTIMOS[[#This Row],[Etapa Despacho - Inicio de Carga]]="","",MARÍTIMOS[[#This Row],[Etapa Despacho - Inicio de Carga]]),"")</f>
        <v/>
      </c>
      <c r="AD1043" s="11" t="str">
        <f>IFERROR(IF(MARÍTIMOS[[#This Row],[Etapa Despacho - Mitad de Carga]]="","",MARÍTIMOS[[#This Row],[Etapa Despacho - Mitad de Carga]]),"")</f>
        <v/>
      </c>
      <c r="AE1043" s="11" t="str">
        <f>IFERROR(IF(MARÍTIMOS[[#This Row],[Etapa Despacho - Fin de Carga]]="","",MARÍTIMOS[[#This Row],[Etapa Despacho - Fin de Carga]]),"")</f>
        <v/>
      </c>
      <c r="AF1043" s="2" t="str">
        <f>IFERROR(IF(MARÍTIMOS[[#This Row],[Puerto de Embarque]]="","",MARÍTIMOS[[#This Row],[Puerto de Embarque]]),"")</f>
        <v/>
      </c>
      <c r="AG1043" s="2" t="str">
        <f>IFERROR(IF(MARÍTIMOS[[#This Row],[Almacén de Ingreso]]="","",MARÍTIMOS[[#This Row],[Almacén de Ingreso]]),"")</f>
        <v/>
      </c>
      <c r="AH1043" s="11" t="str">
        <f>IFERROR(IF(MARÍTIMOS[[#This Row],[Etapa Ingreso - Cita]]="","",MARÍTIMOS[[#This Row],[Etapa Ingreso - Cita]]),"")</f>
        <v/>
      </c>
      <c r="AI1043" s="11" t="str">
        <f>IFERROR(IF(MARÍTIMOS[[#This Row],[Etapa Ingreso - Llegada]]="","",MARÍTIMOS[[#This Row],[Etapa Ingreso - Llegada]]),"")</f>
        <v/>
      </c>
      <c r="AJ1043" s="11" t="str">
        <f>IFERROR(IF(MARÍTIMOS[[#This Row],[Etapa Ingreso - Ingeso]]="","",MARÍTIMOS[[#This Row],[Etapa Ingreso - Ingeso]]),"")</f>
        <v/>
      </c>
      <c r="AK1043" s="11" t="str">
        <f>IFERROR(IF(MARÍTIMOS[[#This Row],[Etapa Ingreso - Atención]]="","",MARÍTIMOS[[#This Row],[Etapa Ingreso - Atención]]),"")</f>
        <v/>
      </c>
      <c r="AL1043" s="11" t="str">
        <f>IFERROR(IF(MARÍTIMOS[[#This Row],[Etapa Ingreso - Salida]]="","",MARÍTIMOS[[#This Row],[Etapa Ingreso - Salida]]),"")</f>
        <v/>
      </c>
      <c r="AM1043" s="2" t="str">
        <f>IFERROR(IF(MARÍTIMOS[[#This Row],[FCL]]="","",MARÍTIMOS[[#This Row],[FCL]]),"")</f>
        <v/>
      </c>
      <c r="AN104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3" s="4" t="str" cm="1">
        <f t="array" ref="AO104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3" s="5" t="str">
        <f>IFERROR(OLDBD[[#This Row],[Llegada a packing]]-OLDBD[[#This Row],[Inicio de Ruta]],"")</f>
        <v/>
      </c>
      <c r="AQ1043" s="6" t="str">
        <f>IFERROR(OLDBD[[#This Row],[Inicio de Ruta]]-OLDBD[[#This Row],[Salida de almacén de retiro]],"")</f>
        <v/>
      </c>
      <c r="AR104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3" s="8" t="str" cm="1">
        <f t="array" ref="AS104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3" s="9" t="str">
        <f>IFERROR(OLDBD[[#This Row],[Ingreso Packing]]-OLDBD[[#This Row],[Registro en Packing]],"")</f>
        <v/>
      </c>
      <c r="AV1043" s="9" t="str">
        <f>IFERROR(OLDBD[[#This Row],[Ingreso Packing]]-OLDBD[[#This Row],[Llegada a packing]],"")</f>
        <v/>
      </c>
      <c r="AW104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3" s="5" t="str">
        <f>IFERROR(OLDBD[[#This Row],[Llegada Almacén de Ingreso]]-OLDBD[[#This Row],[Salida Packing]],"")</f>
        <v/>
      </c>
      <c r="AY1043" s="4" t="str" cm="1">
        <f t="array" ref="AY104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3" s="43" t="s">
        <v>173</v>
      </c>
      <c r="BB1043" s="47" t="str">
        <f>IFERROR(IF(MARÍTIMOS[[#This Row],[Estatus]]="","",MARÍTIMOS[[#This Row],[Estatus]]),"")</f>
        <v/>
      </c>
      <c r="BC1043" s="43"/>
      <c r="BD1043" s="46" t="str">
        <f>IFERROR(OLDBD[[#This Row],[Salida de almacén de retiro]]-OLDBD[[#This Row],[Ingreso Almacén de retiro]],"")</f>
        <v/>
      </c>
      <c r="BE1043" s="46" t="str">
        <f>IFERROR(OLDBD[[#This Row],[Fin de Carga]]-OLDBD[[#This Row],[Inicio de Carga]],"")</f>
        <v/>
      </c>
    </row>
    <row r="1044" spans="1:57" customFormat="1" hidden="1">
      <c r="A1044" s="1"/>
      <c r="B1044" s="1" t="str">
        <f>IFERROR(IF(MARÍTIMOS[[#This Row],[PP]]="","",MARÍTIMOS[[#This Row],[PP]]),"")</f>
        <v/>
      </c>
      <c r="C1044" s="1" t="str">
        <f>IFERROR(IF(MARÍTIMOS[[#This Row],[Sede]]="","",MARÍTIMOS[[#This Row],[Sede]]),"")</f>
        <v/>
      </c>
      <c r="D1044" s="1" t="str">
        <f>IFERROR(IF(MARÍTIMOS[[#This Row],[Instruction]]="","",MARÍTIMOS[[#This Row],[Instruction]]),"")</f>
        <v/>
      </c>
      <c r="E1044" s="1"/>
      <c r="F1044" s="2" t="str">
        <f>IFERROR(IF(MARÍTIMOS[[#This Row],[Transportista]]="","",MARÍTIMOS[[#This Row],[Transportista]]),"")</f>
        <v/>
      </c>
      <c r="G1044" s="2" t="str">
        <f>IFERROR(IF(MARÍTIMOS[[#This Row],[Tercero]]="","",MARÍTIMOS[[#This Row],[Tercero]]),"")</f>
        <v/>
      </c>
      <c r="H1044" s="2" t="str">
        <f>IFERROR(IF(MARÍTIMOS[[#This Row],[Razón Social]]="","",MARÍTIMOS[[#This Row],[Razón Social]]),"")</f>
        <v/>
      </c>
      <c r="I1044" s="2" t="str">
        <f>IFERROR(IF(MARÍTIMOS[[#This Row],[RUC]]="","",MARÍTIMOS[[#This Row],[RUC]]),"")</f>
        <v/>
      </c>
      <c r="J1044" s="2" t="str">
        <f>IFERROR(IF(MARÍTIMOS[[#This Row],[Placa Tracto]]="","",MARÍTIMOS[[#This Row],[Placa Tracto]]),"")</f>
        <v/>
      </c>
      <c r="K1044" s="2" t="str">
        <f>IFERROR(IF(MARÍTIMOS[[#This Row],[Placa Carreta]]="","",MARÍTIMOS[[#This Row],[Placa Carreta]]),"")</f>
        <v/>
      </c>
      <c r="L1044" s="44" t="str">
        <f>IFERROR(IF(MARÍTIMOS[[#This Row],[Conductor]]="","",MARÍTIMOS[[#This Row],[Conductor]]),"")</f>
        <v/>
      </c>
      <c r="M1044" s="2" t="str">
        <f>IFERROR(IF(MARÍTIMOS[[#This Row],[Licencia]]="","",MARÍTIMOS[[#This Row],[Licencia]]),"")</f>
        <v/>
      </c>
      <c r="N1044" s="2" t="str">
        <f>IFERROR(IF(MARÍTIMOS[[#This Row],[Número de Contacto]]="","",MARÍTIMOS[[#This Row],[Número de Contacto]]),"")</f>
        <v/>
      </c>
      <c r="O1044" s="10" t="str">
        <f>IFERROR(IF(MARÍTIMOS[[#This Row],[Booking|AWB|CRT]]="","",MARÍTIMOS[[#This Row],[Booking|AWB|CRT]]),"")</f>
        <v/>
      </c>
      <c r="P1044" s="2" t="str">
        <f>IFERROR(IF(MARÍTIMOS[[#This Row],[Contenedor]]="","",MARÍTIMOS[[#This Row],[Contenedor]]),"")</f>
        <v/>
      </c>
      <c r="Q1044" s="2" t="str">
        <f>IFERROR(IF(MARÍTIMOS[[#This Row],[Puerto de Retiro]]="","",MARÍTIMOS[[#This Row],[Puerto de Retiro]]),"")</f>
        <v/>
      </c>
      <c r="R1044" s="2" t="str">
        <f>IFERROR(IF(MARÍTIMOS[[#This Row],[Almacén de Retiro]]="","",MARÍTIMOS[[#This Row],[Almacén de Retiro]]),"")</f>
        <v/>
      </c>
      <c r="S1044" s="11" t="str">
        <f>IFERROR(IF(MARÍTIMOS[[#This Row],[Etapa Retiro - Cita]]="","",MARÍTIMOS[[#This Row],[Etapa Retiro - Cita]]),"")</f>
        <v/>
      </c>
      <c r="T1044" s="11" t="str">
        <f>IFERROR(IF(MARÍTIMOS[[#This Row],[Etapa Retiro - Llegada]]="","",MARÍTIMOS[[#This Row],[Etapa Retiro - Llegada]]),"")</f>
        <v/>
      </c>
      <c r="U1044" s="11" t="str">
        <f>IFERROR(IF(MARÍTIMOS[[#This Row],[Etapa Retiro - Ingreso]]="","",MARÍTIMOS[[#This Row],[Etapa Retiro - Ingreso]]),"")</f>
        <v/>
      </c>
      <c r="V1044" s="11" t="str">
        <f>IFERROR(IF(MARÍTIMOS[[#This Row],[Etapa Retiro - Atención]]="","",MARÍTIMOS[[#This Row],[Etapa Retiro - Atención]]),"")</f>
        <v/>
      </c>
      <c r="W1044" s="11" t="str">
        <f>IFERROR(IF(MARÍTIMOS[[#This Row],[Etapa Retiro - Atención]]="","",MARÍTIMOS[[#This Row],[Etapa Retiro - Atención]]),"")</f>
        <v/>
      </c>
      <c r="X1044" s="11" t="str">
        <f>IFERROR(IF(MARÍTIMOS[[#This Row],[Etapa Retiro - Inicio de Ruta]]="","",MARÍTIMOS[[#This Row],[Etapa Retiro - Inicio de Ruta]]),"")</f>
        <v/>
      </c>
      <c r="Y1044" s="11" t="str">
        <f>IFERROR(IF(MARÍTIMOS[[#This Row],[Hora de Posicionamiento]]="","",MARÍTIMOS[[#This Row],[Fecha de Carga]]+MARÍTIMOS[[#This Row],[Hora de Posicionamiento]]),"")</f>
        <v/>
      </c>
      <c r="Z1044" s="11" t="str">
        <f>IFERROR(IF(MARÍTIMOS[[#This Row],[Etapa Despacho - Llegada]]="","",MARÍTIMOS[[#This Row],[Etapa Despacho - Llegada]]),"")</f>
        <v/>
      </c>
      <c r="AA1044" s="11" t="str">
        <f>IFERROR(IF(MARÍTIMOS[[#This Row],[Etapa Despacho - Registro]]="","",MARÍTIMOS[[#This Row],[Etapa Despacho - Registro]]),"")</f>
        <v/>
      </c>
      <c r="AB1044" s="11" t="str">
        <f>IFERROR(IF(MARÍTIMOS[[#This Row],[Inspección Externa]]="","",MARÍTIMOS[[#This Row],[Inspección Externa]]),"")</f>
        <v/>
      </c>
      <c r="AC1044" s="11" t="str">
        <f>IFERROR(IF(MARÍTIMOS[[#This Row],[Etapa Despacho - Inicio de Carga]]="","",MARÍTIMOS[[#This Row],[Etapa Despacho - Inicio de Carga]]),"")</f>
        <v/>
      </c>
      <c r="AD1044" s="11" t="str">
        <f>IFERROR(IF(MARÍTIMOS[[#This Row],[Etapa Despacho - Mitad de Carga]]="","",MARÍTIMOS[[#This Row],[Etapa Despacho - Mitad de Carga]]),"")</f>
        <v/>
      </c>
      <c r="AE1044" s="11" t="str">
        <f>IFERROR(IF(MARÍTIMOS[[#This Row],[Etapa Despacho - Fin de Carga]]="","",MARÍTIMOS[[#This Row],[Etapa Despacho - Fin de Carga]]),"")</f>
        <v/>
      </c>
      <c r="AF1044" s="2" t="str">
        <f>IFERROR(IF(MARÍTIMOS[[#This Row],[Puerto de Embarque]]="","",MARÍTIMOS[[#This Row],[Puerto de Embarque]]),"")</f>
        <v/>
      </c>
      <c r="AG1044" s="2" t="str">
        <f>IFERROR(IF(MARÍTIMOS[[#This Row],[Almacén de Ingreso]]="","",MARÍTIMOS[[#This Row],[Almacén de Ingreso]]),"")</f>
        <v/>
      </c>
      <c r="AH1044" s="11" t="str">
        <f>IFERROR(IF(MARÍTIMOS[[#This Row],[Etapa Ingreso - Cita]]="","",MARÍTIMOS[[#This Row],[Etapa Ingreso - Cita]]),"")</f>
        <v/>
      </c>
      <c r="AI1044" s="11" t="str">
        <f>IFERROR(IF(MARÍTIMOS[[#This Row],[Etapa Ingreso - Llegada]]="","",MARÍTIMOS[[#This Row],[Etapa Ingreso - Llegada]]),"")</f>
        <v/>
      </c>
      <c r="AJ1044" s="11" t="str">
        <f>IFERROR(IF(MARÍTIMOS[[#This Row],[Etapa Ingreso - Ingeso]]="","",MARÍTIMOS[[#This Row],[Etapa Ingreso - Ingeso]]),"")</f>
        <v/>
      </c>
      <c r="AK1044" s="11" t="str">
        <f>IFERROR(IF(MARÍTIMOS[[#This Row],[Etapa Ingreso - Atención]]="","",MARÍTIMOS[[#This Row],[Etapa Ingreso - Atención]]),"")</f>
        <v/>
      </c>
      <c r="AL1044" s="11" t="str">
        <f>IFERROR(IF(MARÍTIMOS[[#This Row],[Etapa Ingreso - Salida]]="","",MARÍTIMOS[[#This Row],[Etapa Ingreso - Salida]]),"")</f>
        <v/>
      </c>
      <c r="AM1044" s="2" t="str">
        <f>IFERROR(IF(MARÍTIMOS[[#This Row],[FCL]]="","",MARÍTIMOS[[#This Row],[FCL]]),"")</f>
        <v/>
      </c>
      <c r="AN104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4" s="4" t="str" cm="1">
        <f t="array" ref="AO104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4" s="5" t="str">
        <f>IFERROR(OLDBD[[#This Row],[Llegada a packing]]-OLDBD[[#This Row],[Inicio de Ruta]],"")</f>
        <v/>
      </c>
      <c r="AQ1044" s="6" t="str">
        <f>IFERROR(OLDBD[[#This Row],[Inicio de Ruta]]-OLDBD[[#This Row],[Salida de almacén de retiro]],"")</f>
        <v/>
      </c>
      <c r="AR104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4" s="8" t="str" cm="1">
        <f t="array" ref="AS104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4" s="9" t="str">
        <f>IFERROR(OLDBD[[#This Row],[Ingreso Packing]]-OLDBD[[#This Row],[Registro en Packing]],"")</f>
        <v/>
      </c>
      <c r="AV1044" s="9" t="str">
        <f>IFERROR(OLDBD[[#This Row],[Ingreso Packing]]-OLDBD[[#This Row],[Llegada a packing]],"")</f>
        <v/>
      </c>
      <c r="AW104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4" s="5" t="str">
        <f>IFERROR(OLDBD[[#This Row],[Llegada Almacén de Ingreso]]-OLDBD[[#This Row],[Salida Packing]],"")</f>
        <v/>
      </c>
      <c r="AY1044" s="4" t="str" cm="1">
        <f t="array" ref="AY104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4" s="43" t="s">
        <v>173</v>
      </c>
      <c r="BB1044" s="47" t="str">
        <f>IFERROR(IF(MARÍTIMOS[[#This Row],[Estatus]]="","",MARÍTIMOS[[#This Row],[Estatus]]),"")</f>
        <v/>
      </c>
      <c r="BC1044" s="43"/>
      <c r="BD1044" s="46" t="str">
        <f>IFERROR(OLDBD[[#This Row],[Salida de almacén de retiro]]-OLDBD[[#This Row],[Ingreso Almacén de retiro]],"")</f>
        <v/>
      </c>
      <c r="BE1044" s="46" t="str">
        <f>IFERROR(OLDBD[[#This Row],[Fin de Carga]]-OLDBD[[#This Row],[Inicio de Carga]],"")</f>
        <v/>
      </c>
    </row>
    <row r="1045" spans="1:57" customFormat="1" hidden="1">
      <c r="A1045" s="1"/>
      <c r="B1045" s="1" t="str">
        <f>IFERROR(IF(MARÍTIMOS[[#This Row],[PP]]="","",MARÍTIMOS[[#This Row],[PP]]),"")</f>
        <v/>
      </c>
      <c r="C1045" s="1" t="str">
        <f>IFERROR(IF(MARÍTIMOS[[#This Row],[Sede]]="","",MARÍTIMOS[[#This Row],[Sede]]),"")</f>
        <v/>
      </c>
      <c r="D1045" s="1" t="str">
        <f>IFERROR(IF(MARÍTIMOS[[#This Row],[Instruction]]="","",MARÍTIMOS[[#This Row],[Instruction]]),"")</f>
        <v/>
      </c>
      <c r="E1045" s="1"/>
      <c r="F1045" s="2" t="str">
        <f>IFERROR(IF(MARÍTIMOS[[#This Row],[Transportista]]="","",MARÍTIMOS[[#This Row],[Transportista]]),"")</f>
        <v/>
      </c>
      <c r="G1045" s="2" t="str">
        <f>IFERROR(IF(MARÍTIMOS[[#This Row],[Tercero]]="","",MARÍTIMOS[[#This Row],[Tercero]]),"")</f>
        <v/>
      </c>
      <c r="H1045" s="2" t="str">
        <f>IFERROR(IF(MARÍTIMOS[[#This Row],[Razón Social]]="","",MARÍTIMOS[[#This Row],[Razón Social]]),"")</f>
        <v/>
      </c>
      <c r="I1045" s="2" t="str">
        <f>IFERROR(IF(MARÍTIMOS[[#This Row],[RUC]]="","",MARÍTIMOS[[#This Row],[RUC]]),"")</f>
        <v/>
      </c>
      <c r="J1045" s="2" t="str">
        <f>IFERROR(IF(MARÍTIMOS[[#This Row],[Placa Tracto]]="","",MARÍTIMOS[[#This Row],[Placa Tracto]]),"")</f>
        <v/>
      </c>
      <c r="K1045" s="2" t="str">
        <f>IFERROR(IF(MARÍTIMOS[[#This Row],[Placa Carreta]]="","",MARÍTIMOS[[#This Row],[Placa Carreta]]),"")</f>
        <v/>
      </c>
      <c r="L1045" s="44" t="str">
        <f>IFERROR(IF(MARÍTIMOS[[#This Row],[Conductor]]="","",MARÍTIMOS[[#This Row],[Conductor]]),"")</f>
        <v/>
      </c>
      <c r="M1045" s="2" t="str">
        <f>IFERROR(IF(MARÍTIMOS[[#This Row],[Licencia]]="","",MARÍTIMOS[[#This Row],[Licencia]]),"")</f>
        <v/>
      </c>
      <c r="N1045" s="2" t="str">
        <f>IFERROR(IF(MARÍTIMOS[[#This Row],[Número de Contacto]]="","",MARÍTIMOS[[#This Row],[Número de Contacto]]),"")</f>
        <v/>
      </c>
      <c r="O1045" s="10" t="str">
        <f>IFERROR(IF(MARÍTIMOS[[#This Row],[Booking|AWB|CRT]]="","",MARÍTIMOS[[#This Row],[Booking|AWB|CRT]]),"")</f>
        <v/>
      </c>
      <c r="P1045" s="2" t="str">
        <f>IFERROR(IF(MARÍTIMOS[[#This Row],[Contenedor]]="","",MARÍTIMOS[[#This Row],[Contenedor]]),"")</f>
        <v/>
      </c>
      <c r="Q1045" s="2" t="str">
        <f>IFERROR(IF(MARÍTIMOS[[#This Row],[Puerto de Retiro]]="","",MARÍTIMOS[[#This Row],[Puerto de Retiro]]),"")</f>
        <v/>
      </c>
      <c r="R1045" s="2" t="str">
        <f>IFERROR(IF(MARÍTIMOS[[#This Row],[Almacén de Retiro]]="","",MARÍTIMOS[[#This Row],[Almacén de Retiro]]),"")</f>
        <v/>
      </c>
      <c r="S1045" s="11" t="str">
        <f>IFERROR(IF(MARÍTIMOS[[#This Row],[Etapa Retiro - Cita]]="","",MARÍTIMOS[[#This Row],[Etapa Retiro - Cita]]),"")</f>
        <v/>
      </c>
      <c r="T1045" s="11" t="str">
        <f>IFERROR(IF(MARÍTIMOS[[#This Row],[Etapa Retiro - Llegada]]="","",MARÍTIMOS[[#This Row],[Etapa Retiro - Llegada]]),"")</f>
        <v/>
      </c>
      <c r="U1045" s="11" t="str">
        <f>IFERROR(IF(MARÍTIMOS[[#This Row],[Etapa Retiro - Ingreso]]="","",MARÍTIMOS[[#This Row],[Etapa Retiro - Ingreso]]),"")</f>
        <v/>
      </c>
      <c r="V1045" s="11" t="str">
        <f>IFERROR(IF(MARÍTIMOS[[#This Row],[Etapa Retiro - Atención]]="","",MARÍTIMOS[[#This Row],[Etapa Retiro - Atención]]),"")</f>
        <v/>
      </c>
      <c r="W1045" s="11" t="str">
        <f>IFERROR(IF(MARÍTIMOS[[#This Row],[Etapa Retiro - Atención]]="","",MARÍTIMOS[[#This Row],[Etapa Retiro - Atención]]),"")</f>
        <v/>
      </c>
      <c r="X1045" s="11" t="str">
        <f>IFERROR(IF(MARÍTIMOS[[#This Row],[Etapa Retiro - Inicio de Ruta]]="","",MARÍTIMOS[[#This Row],[Etapa Retiro - Inicio de Ruta]]),"")</f>
        <v/>
      </c>
      <c r="Y1045" s="11" t="str">
        <f>IFERROR(IF(MARÍTIMOS[[#This Row],[Hora de Posicionamiento]]="","",MARÍTIMOS[[#This Row],[Fecha de Carga]]+MARÍTIMOS[[#This Row],[Hora de Posicionamiento]]),"")</f>
        <v/>
      </c>
      <c r="Z1045" s="11" t="str">
        <f>IFERROR(IF(MARÍTIMOS[[#This Row],[Etapa Despacho - Llegada]]="","",MARÍTIMOS[[#This Row],[Etapa Despacho - Llegada]]),"")</f>
        <v/>
      </c>
      <c r="AA1045" s="11" t="str">
        <f>IFERROR(IF(MARÍTIMOS[[#This Row],[Etapa Despacho - Registro]]="","",MARÍTIMOS[[#This Row],[Etapa Despacho - Registro]]),"")</f>
        <v/>
      </c>
      <c r="AB1045" s="11" t="str">
        <f>IFERROR(IF(MARÍTIMOS[[#This Row],[Inspección Externa]]="","",MARÍTIMOS[[#This Row],[Inspección Externa]]),"")</f>
        <v/>
      </c>
      <c r="AC1045" s="11" t="str">
        <f>IFERROR(IF(MARÍTIMOS[[#This Row],[Etapa Despacho - Inicio de Carga]]="","",MARÍTIMOS[[#This Row],[Etapa Despacho - Inicio de Carga]]),"")</f>
        <v/>
      </c>
      <c r="AD1045" s="11" t="str">
        <f>IFERROR(IF(MARÍTIMOS[[#This Row],[Etapa Despacho - Mitad de Carga]]="","",MARÍTIMOS[[#This Row],[Etapa Despacho - Mitad de Carga]]),"")</f>
        <v/>
      </c>
      <c r="AE1045" s="11" t="str">
        <f>IFERROR(IF(MARÍTIMOS[[#This Row],[Etapa Despacho - Fin de Carga]]="","",MARÍTIMOS[[#This Row],[Etapa Despacho - Fin de Carga]]),"")</f>
        <v/>
      </c>
      <c r="AF1045" s="2" t="str">
        <f>IFERROR(IF(MARÍTIMOS[[#This Row],[Puerto de Embarque]]="","",MARÍTIMOS[[#This Row],[Puerto de Embarque]]),"")</f>
        <v/>
      </c>
      <c r="AG1045" s="2" t="str">
        <f>IFERROR(IF(MARÍTIMOS[[#This Row],[Almacén de Ingreso]]="","",MARÍTIMOS[[#This Row],[Almacén de Ingreso]]),"")</f>
        <v/>
      </c>
      <c r="AH1045" s="11" t="str">
        <f>IFERROR(IF(MARÍTIMOS[[#This Row],[Etapa Ingreso - Cita]]="","",MARÍTIMOS[[#This Row],[Etapa Ingreso - Cita]]),"")</f>
        <v/>
      </c>
      <c r="AI1045" s="11" t="str">
        <f>IFERROR(IF(MARÍTIMOS[[#This Row],[Etapa Ingreso - Llegada]]="","",MARÍTIMOS[[#This Row],[Etapa Ingreso - Llegada]]),"")</f>
        <v/>
      </c>
      <c r="AJ1045" s="11" t="str">
        <f>IFERROR(IF(MARÍTIMOS[[#This Row],[Etapa Ingreso - Ingeso]]="","",MARÍTIMOS[[#This Row],[Etapa Ingreso - Ingeso]]),"")</f>
        <v/>
      </c>
      <c r="AK1045" s="11" t="str">
        <f>IFERROR(IF(MARÍTIMOS[[#This Row],[Etapa Ingreso - Atención]]="","",MARÍTIMOS[[#This Row],[Etapa Ingreso - Atención]]),"")</f>
        <v/>
      </c>
      <c r="AL1045" s="11" t="str">
        <f>IFERROR(IF(MARÍTIMOS[[#This Row],[Etapa Ingreso - Salida]]="","",MARÍTIMOS[[#This Row],[Etapa Ingreso - Salida]]),"")</f>
        <v/>
      </c>
      <c r="AM1045" s="2" t="str">
        <f>IFERROR(IF(MARÍTIMOS[[#This Row],[FCL]]="","",MARÍTIMOS[[#This Row],[FCL]]),"")</f>
        <v/>
      </c>
      <c r="AN104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5" s="4" t="str" cm="1">
        <f t="array" ref="AO104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5" s="5" t="str">
        <f>IFERROR(OLDBD[[#This Row],[Llegada a packing]]-OLDBD[[#This Row],[Inicio de Ruta]],"")</f>
        <v/>
      </c>
      <c r="AQ1045" s="6" t="str">
        <f>IFERROR(OLDBD[[#This Row],[Inicio de Ruta]]-OLDBD[[#This Row],[Salida de almacén de retiro]],"")</f>
        <v/>
      </c>
      <c r="AR104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5" s="8" t="str" cm="1">
        <f t="array" ref="AS104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5" s="9" t="str">
        <f>IFERROR(OLDBD[[#This Row],[Ingreso Packing]]-OLDBD[[#This Row],[Registro en Packing]],"")</f>
        <v/>
      </c>
      <c r="AV1045" s="9" t="str">
        <f>IFERROR(OLDBD[[#This Row],[Ingreso Packing]]-OLDBD[[#This Row],[Llegada a packing]],"")</f>
        <v/>
      </c>
      <c r="AW104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5" s="5" t="str">
        <f>IFERROR(OLDBD[[#This Row],[Llegada Almacén de Ingreso]]-OLDBD[[#This Row],[Salida Packing]],"")</f>
        <v/>
      </c>
      <c r="AY1045" s="4" t="str" cm="1">
        <f t="array" ref="AY104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5" s="43" t="s">
        <v>173</v>
      </c>
      <c r="BB1045" s="47" t="str">
        <f>IFERROR(IF(MARÍTIMOS[[#This Row],[Estatus]]="","",MARÍTIMOS[[#This Row],[Estatus]]),"")</f>
        <v/>
      </c>
      <c r="BC1045" s="43"/>
      <c r="BD1045" s="46" t="str">
        <f>IFERROR(OLDBD[[#This Row],[Salida de almacén de retiro]]-OLDBD[[#This Row],[Ingreso Almacén de retiro]],"")</f>
        <v/>
      </c>
      <c r="BE1045" s="46" t="str">
        <f>IFERROR(OLDBD[[#This Row],[Fin de Carga]]-OLDBD[[#This Row],[Inicio de Carga]],"")</f>
        <v/>
      </c>
    </row>
    <row r="1046" spans="1:57" customFormat="1" hidden="1">
      <c r="A1046" s="1"/>
      <c r="B1046" s="1" t="str">
        <f>IFERROR(IF(MARÍTIMOS[[#This Row],[PP]]="","",MARÍTIMOS[[#This Row],[PP]]),"")</f>
        <v/>
      </c>
      <c r="C1046" s="1" t="str">
        <f>IFERROR(IF(MARÍTIMOS[[#This Row],[Sede]]="","",MARÍTIMOS[[#This Row],[Sede]]),"")</f>
        <v/>
      </c>
      <c r="D1046" s="1" t="str">
        <f>IFERROR(IF(MARÍTIMOS[[#This Row],[Instruction]]="","",MARÍTIMOS[[#This Row],[Instruction]]),"")</f>
        <v/>
      </c>
      <c r="E1046" s="1"/>
      <c r="F1046" s="2" t="str">
        <f>IFERROR(IF(MARÍTIMOS[[#This Row],[Transportista]]="","",MARÍTIMOS[[#This Row],[Transportista]]),"")</f>
        <v/>
      </c>
      <c r="G1046" s="2" t="str">
        <f>IFERROR(IF(MARÍTIMOS[[#This Row],[Tercero]]="","",MARÍTIMOS[[#This Row],[Tercero]]),"")</f>
        <v/>
      </c>
      <c r="H1046" s="2" t="str">
        <f>IFERROR(IF(MARÍTIMOS[[#This Row],[Razón Social]]="","",MARÍTIMOS[[#This Row],[Razón Social]]),"")</f>
        <v/>
      </c>
      <c r="I1046" s="2" t="str">
        <f>IFERROR(IF(MARÍTIMOS[[#This Row],[RUC]]="","",MARÍTIMOS[[#This Row],[RUC]]),"")</f>
        <v/>
      </c>
      <c r="J1046" s="2" t="str">
        <f>IFERROR(IF(MARÍTIMOS[[#This Row],[Placa Tracto]]="","",MARÍTIMOS[[#This Row],[Placa Tracto]]),"")</f>
        <v/>
      </c>
      <c r="K1046" s="2" t="str">
        <f>IFERROR(IF(MARÍTIMOS[[#This Row],[Placa Carreta]]="","",MARÍTIMOS[[#This Row],[Placa Carreta]]),"")</f>
        <v/>
      </c>
      <c r="L1046" s="44" t="str">
        <f>IFERROR(IF(MARÍTIMOS[[#This Row],[Conductor]]="","",MARÍTIMOS[[#This Row],[Conductor]]),"")</f>
        <v/>
      </c>
      <c r="M1046" s="2" t="str">
        <f>IFERROR(IF(MARÍTIMOS[[#This Row],[Licencia]]="","",MARÍTIMOS[[#This Row],[Licencia]]),"")</f>
        <v/>
      </c>
      <c r="N1046" s="2" t="str">
        <f>IFERROR(IF(MARÍTIMOS[[#This Row],[Número de Contacto]]="","",MARÍTIMOS[[#This Row],[Número de Contacto]]),"")</f>
        <v/>
      </c>
      <c r="O1046" s="10" t="str">
        <f>IFERROR(IF(MARÍTIMOS[[#This Row],[Booking|AWB|CRT]]="","",MARÍTIMOS[[#This Row],[Booking|AWB|CRT]]),"")</f>
        <v/>
      </c>
      <c r="P1046" s="2" t="str">
        <f>IFERROR(IF(MARÍTIMOS[[#This Row],[Contenedor]]="","",MARÍTIMOS[[#This Row],[Contenedor]]),"")</f>
        <v/>
      </c>
      <c r="Q1046" s="2" t="str">
        <f>IFERROR(IF(MARÍTIMOS[[#This Row],[Puerto de Retiro]]="","",MARÍTIMOS[[#This Row],[Puerto de Retiro]]),"")</f>
        <v/>
      </c>
      <c r="R1046" s="2" t="str">
        <f>IFERROR(IF(MARÍTIMOS[[#This Row],[Almacén de Retiro]]="","",MARÍTIMOS[[#This Row],[Almacén de Retiro]]),"")</f>
        <v/>
      </c>
      <c r="S1046" s="11" t="str">
        <f>IFERROR(IF(MARÍTIMOS[[#This Row],[Etapa Retiro - Cita]]="","",MARÍTIMOS[[#This Row],[Etapa Retiro - Cita]]),"")</f>
        <v/>
      </c>
      <c r="T1046" s="11" t="str">
        <f>IFERROR(IF(MARÍTIMOS[[#This Row],[Etapa Retiro - Llegada]]="","",MARÍTIMOS[[#This Row],[Etapa Retiro - Llegada]]),"")</f>
        <v/>
      </c>
      <c r="U1046" s="11" t="str">
        <f>IFERROR(IF(MARÍTIMOS[[#This Row],[Etapa Retiro - Ingreso]]="","",MARÍTIMOS[[#This Row],[Etapa Retiro - Ingreso]]),"")</f>
        <v/>
      </c>
      <c r="V1046" s="11" t="str">
        <f>IFERROR(IF(MARÍTIMOS[[#This Row],[Etapa Retiro - Atención]]="","",MARÍTIMOS[[#This Row],[Etapa Retiro - Atención]]),"")</f>
        <v/>
      </c>
      <c r="W1046" s="11" t="str">
        <f>IFERROR(IF(MARÍTIMOS[[#This Row],[Etapa Retiro - Atención]]="","",MARÍTIMOS[[#This Row],[Etapa Retiro - Atención]]),"")</f>
        <v/>
      </c>
      <c r="X1046" s="11" t="str">
        <f>IFERROR(IF(MARÍTIMOS[[#This Row],[Etapa Retiro - Inicio de Ruta]]="","",MARÍTIMOS[[#This Row],[Etapa Retiro - Inicio de Ruta]]),"")</f>
        <v/>
      </c>
      <c r="Y1046" s="11" t="str">
        <f>IFERROR(IF(MARÍTIMOS[[#This Row],[Hora de Posicionamiento]]="","",MARÍTIMOS[[#This Row],[Fecha de Carga]]+MARÍTIMOS[[#This Row],[Hora de Posicionamiento]]),"")</f>
        <v/>
      </c>
      <c r="Z1046" s="11" t="str">
        <f>IFERROR(IF(MARÍTIMOS[[#This Row],[Etapa Despacho - Llegada]]="","",MARÍTIMOS[[#This Row],[Etapa Despacho - Llegada]]),"")</f>
        <v/>
      </c>
      <c r="AA1046" s="11" t="str">
        <f>IFERROR(IF(MARÍTIMOS[[#This Row],[Etapa Despacho - Registro]]="","",MARÍTIMOS[[#This Row],[Etapa Despacho - Registro]]),"")</f>
        <v/>
      </c>
      <c r="AB1046" s="11" t="str">
        <f>IFERROR(IF(MARÍTIMOS[[#This Row],[Inspección Externa]]="","",MARÍTIMOS[[#This Row],[Inspección Externa]]),"")</f>
        <v/>
      </c>
      <c r="AC1046" s="11" t="str">
        <f>IFERROR(IF(MARÍTIMOS[[#This Row],[Etapa Despacho - Inicio de Carga]]="","",MARÍTIMOS[[#This Row],[Etapa Despacho - Inicio de Carga]]),"")</f>
        <v/>
      </c>
      <c r="AD1046" s="11" t="str">
        <f>IFERROR(IF(MARÍTIMOS[[#This Row],[Etapa Despacho - Mitad de Carga]]="","",MARÍTIMOS[[#This Row],[Etapa Despacho - Mitad de Carga]]),"")</f>
        <v/>
      </c>
      <c r="AE1046" s="11" t="str">
        <f>IFERROR(IF(MARÍTIMOS[[#This Row],[Etapa Despacho - Fin de Carga]]="","",MARÍTIMOS[[#This Row],[Etapa Despacho - Fin de Carga]]),"")</f>
        <v/>
      </c>
      <c r="AF1046" s="2" t="str">
        <f>IFERROR(IF(MARÍTIMOS[[#This Row],[Puerto de Embarque]]="","",MARÍTIMOS[[#This Row],[Puerto de Embarque]]),"")</f>
        <v/>
      </c>
      <c r="AG1046" s="2" t="str">
        <f>IFERROR(IF(MARÍTIMOS[[#This Row],[Almacén de Ingreso]]="","",MARÍTIMOS[[#This Row],[Almacén de Ingreso]]),"")</f>
        <v/>
      </c>
      <c r="AH1046" s="11" t="str">
        <f>IFERROR(IF(MARÍTIMOS[[#This Row],[Etapa Ingreso - Cita]]="","",MARÍTIMOS[[#This Row],[Etapa Ingreso - Cita]]),"")</f>
        <v/>
      </c>
      <c r="AI1046" s="11" t="str">
        <f>IFERROR(IF(MARÍTIMOS[[#This Row],[Etapa Ingreso - Llegada]]="","",MARÍTIMOS[[#This Row],[Etapa Ingreso - Llegada]]),"")</f>
        <v/>
      </c>
      <c r="AJ1046" s="11" t="str">
        <f>IFERROR(IF(MARÍTIMOS[[#This Row],[Etapa Ingreso - Ingeso]]="","",MARÍTIMOS[[#This Row],[Etapa Ingreso - Ingeso]]),"")</f>
        <v/>
      </c>
      <c r="AK1046" s="11" t="str">
        <f>IFERROR(IF(MARÍTIMOS[[#This Row],[Etapa Ingreso - Atención]]="","",MARÍTIMOS[[#This Row],[Etapa Ingreso - Atención]]),"")</f>
        <v/>
      </c>
      <c r="AL1046" s="11" t="str">
        <f>IFERROR(IF(MARÍTIMOS[[#This Row],[Etapa Ingreso - Salida]]="","",MARÍTIMOS[[#This Row],[Etapa Ingreso - Salida]]),"")</f>
        <v/>
      </c>
      <c r="AM1046" s="2" t="str">
        <f>IFERROR(IF(MARÍTIMOS[[#This Row],[FCL]]="","",MARÍTIMOS[[#This Row],[FCL]]),"")</f>
        <v/>
      </c>
      <c r="AN104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6" s="4" t="str" cm="1">
        <f t="array" ref="AO104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6" s="5" t="str">
        <f>IFERROR(OLDBD[[#This Row],[Llegada a packing]]-OLDBD[[#This Row],[Inicio de Ruta]],"")</f>
        <v/>
      </c>
      <c r="AQ1046" s="6" t="str">
        <f>IFERROR(OLDBD[[#This Row],[Inicio de Ruta]]-OLDBD[[#This Row],[Salida de almacén de retiro]],"")</f>
        <v/>
      </c>
      <c r="AR104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6" s="8" t="str" cm="1">
        <f t="array" ref="AS104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6" s="9" t="str">
        <f>IFERROR(OLDBD[[#This Row],[Ingreso Packing]]-OLDBD[[#This Row],[Registro en Packing]],"")</f>
        <v/>
      </c>
      <c r="AV1046" s="9" t="str">
        <f>IFERROR(OLDBD[[#This Row],[Ingreso Packing]]-OLDBD[[#This Row],[Llegada a packing]],"")</f>
        <v/>
      </c>
      <c r="AW104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6" s="5" t="str">
        <f>IFERROR(OLDBD[[#This Row],[Llegada Almacén de Ingreso]]-OLDBD[[#This Row],[Salida Packing]],"")</f>
        <v/>
      </c>
      <c r="AY1046" s="4" t="str" cm="1">
        <f t="array" ref="AY104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6" s="43" t="s">
        <v>173</v>
      </c>
      <c r="BB1046" s="47" t="str">
        <f>IFERROR(IF(MARÍTIMOS[[#This Row],[Estatus]]="","",MARÍTIMOS[[#This Row],[Estatus]]),"")</f>
        <v/>
      </c>
      <c r="BC1046" s="43"/>
      <c r="BD1046" s="46" t="str">
        <f>IFERROR(OLDBD[[#This Row],[Salida de almacén de retiro]]-OLDBD[[#This Row],[Ingreso Almacén de retiro]],"")</f>
        <v/>
      </c>
      <c r="BE1046" s="46" t="str">
        <f>IFERROR(OLDBD[[#This Row],[Fin de Carga]]-OLDBD[[#This Row],[Inicio de Carga]],"")</f>
        <v/>
      </c>
    </row>
    <row r="1047" spans="1:57" customFormat="1" hidden="1">
      <c r="A1047" s="1"/>
      <c r="B1047" s="1" t="str">
        <f>IFERROR(IF(MARÍTIMOS[[#This Row],[PP]]="","",MARÍTIMOS[[#This Row],[PP]]),"")</f>
        <v/>
      </c>
      <c r="C1047" s="1" t="str">
        <f>IFERROR(IF(MARÍTIMOS[[#This Row],[Sede]]="","",MARÍTIMOS[[#This Row],[Sede]]),"")</f>
        <v/>
      </c>
      <c r="D1047" s="1" t="str">
        <f>IFERROR(IF(MARÍTIMOS[[#This Row],[Instruction]]="","",MARÍTIMOS[[#This Row],[Instruction]]),"")</f>
        <v/>
      </c>
      <c r="E1047" s="1"/>
      <c r="F1047" s="2" t="str">
        <f>IFERROR(IF(MARÍTIMOS[[#This Row],[Transportista]]="","",MARÍTIMOS[[#This Row],[Transportista]]),"")</f>
        <v/>
      </c>
      <c r="G1047" s="2" t="str">
        <f>IFERROR(IF(MARÍTIMOS[[#This Row],[Tercero]]="","",MARÍTIMOS[[#This Row],[Tercero]]),"")</f>
        <v/>
      </c>
      <c r="H1047" s="2" t="str">
        <f>IFERROR(IF(MARÍTIMOS[[#This Row],[Razón Social]]="","",MARÍTIMOS[[#This Row],[Razón Social]]),"")</f>
        <v/>
      </c>
      <c r="I1047" s="2" t="str">
        <f>IFERROR(IF(MARÍTIMOS[[#This Row],[RUC]]="","",MARÍTIMOS[[#This Row],[RUC]]),"")</f>
        <v/>
      </c>
      <c r="J1047" s="2" t="str">
        <f>IFERROR(IF(MARÍTIMOS[[#This Row],[Placa Tracto]]="","",MARÍTIMOS[[#This Row],[Placa Tracto]]),"")</f>
        <v/>
      </c>
      <c r="K1047" s="2" t="str">
        <f>IFERROR(IF(MARÍTIMOS[[#This Row],[Placa Carreta]]="","",MARÍTIMOS[[#This Row],[Placa Carreta]]),"")</f>
        <v/>
      </c>
      <c r="L1047" s="44" t="str">
        <f>IFERROR(IF(MARÍTIMOS[[#This Row],[Conductor]]="","",MARÍTIMOS[[#This Row],[Conductor]]),"")</f>
        <v/>
      </c>
      <c r="M1047" s="2" t="str">
        <f>IFERROR(IF(MARÍTIMOS[[#This Row],[Licencia]]="","",MARÍTIMOS[[#This Row],[Licencia]]),"")</f>
        <v/>
      </c>
      <c r="N1047" s="2" t="str">
        <f>IFERROR(IF(MARÍTIMOS[[#This Row],[Número de Contacto]]="","",MARÍTIMOS[[#This Row],[Número de Contacto]]),"")</f>
        <v/>
      </c>
      <c r="O1047" s="10" t="str">
        <f>IFERROR(IF(MARÍTIMOS[[#This Row],[Booking|AWB|CRT]]="","",MARÍTIMOS[[#This Row],[Booking|AWB|CRT]]),"")</f>
        <v/>
      </c>
      <c r="P1047" s="2" t="str">
        <f>IFERROR(IF(MARÍTIMOS[[#This Row],[Contenedor]]="","",MARÍTIMOS[[#This Row],[Contenedor]]),"")</f>
        <v/>
      </c>
      <c r="Q1047" s="2" t="str">
        <f>IFERROR(IF(MARÍTIMOS[[#This Row],[Puerto de Retiro]]="","",MARÍTIMOS[[#This Row],[Puerto de Retiro]]),"")</f>
        <v/>
      </c>
      <c r="R1047" s="2" t="str">
        <f>IFERROR(IF(MARÍTIMOS[[#This Row],[Almacén de Retiro]]="","",MARÍTIMOS[[#This Row],[Almacén de Retiro]]),"")</f>
        <v/>
      </c>
      <c r="S1047" s="11" t="str">
        <f>IFERROR(IF(MARÍTIMOS[[#This Row],[Etapa Retiro - Cita]]="","",MARÍTIMOS[[#This Row],[Etapa Retiro - Cita]]),"")</f>
        <v/>
      </c>
      <c r="T1047" s="11" t="str">
        <f>IFERROR(IF(MARÍTIMOS[[#This Row],[Etapa Retiro - Llegada]]="","",MARÍTIMOS[[#This Row],[Etapa Retiro - Llegada]]),"")</f>
        <v/>
      </c>
      <c r="U1047" s="11" t="str">
        <f>IFERROR(IF(MARÍTIMOS[[#This Row],[Etapa Retiro - Ingreso]]="","",MARÍTIMOS[[#This Row],[Etapa Retiro - Ingreso]]),"")</f>
        <v/>
      </c>
      <c r="V1047" s="11" t="str">
        <f>IFERROR(IF(MARÍTIMOS[[#This Row],[Etapa Retiro - Atención]]="","",MARÍTIMOS[[#This Row],[Etapa Retiro - Atención]]),"")</f>
        <v/>
      </c>
      <c r="W1047" s="11" t="str">
        <f>IFERROR(IF(MARÍTIMOS[[#This Row],[Etapa Retiro - Atención]]="","",MARÍTIMOS[[#This Row],[Etapa Retiro - Atención]]),"")</f>
        <v/>
      </c>
      <c r="X1047" s="11" t="str">
        <f>IFERROR(IF(MARÍTIMOS[[#This Row],[Etapa Retiro - Inicio de Ruta]]="","",MARÍTIMOS[[#This Row],[Etapa Retiro - Inicio de Ruta]]),"")</f>
        <v/>
      </c>
      <c r="Y1047" s="11" t="str">
        <f>IFERROR(IF(MARÍTIMOS[[#This Row],[Hora de Posicionamiento]]="","",MARÍTIMOS[[#This Row],[Fecha de Carga]]+MARÍTIMOS[[#This Row],[Hora de Posicionamiento]]),"")</f>
        <v/>
      </c>
      <c r="Z1047" s="11" t="str">
        <f>IFERROR(IF(MARÍTIMOS[[#This Row],[Etapa Despacho - Llegada]]="","",MARÍTIMOS[[#This Row],[Etapa Despacho - Llegada]]),"")</f>
        <v/>
      </c>
      <c r="AA1047" s="11" t="str">
        <f>IFERROR(IF(MARÍTIMOS[[#This Row],[Etapa Despacho - Registro]]="","",MARÍTIMOS[[#This Row],[Etapa Despacho - Registro]]),"")</f>
        <v/>
      </c>
      <c r="AB1047" s="11" t="str">
        <f>IFERROR(IF(MARÍTIMOS[[#This Row],[Inspección Externa]]="","",MARÍTIMOS[[#This Row],[Inspección Externa]]),"")</f>
        <v/>
      </c>
      <c r="AC1047" s="11" t="str">
        <f>IFERROR(IF(MARÍTIMOS[[#This Row],[Etapa Despacho - Inicio de Carga]]="","",MARÍTIMOS[[#This Row],[Etapa Despacho - Inicio de Carga]]),"")</f>
        <v/>
      </c>
      <c r="AD1047" s="11" t="str">
        <f>IFERROR(IF(MARÍTIMOS[[#This Row],[Etapa Despacho - Mitad de Carga]]="","",MARÍTIMOS[[#This Row],[Etapa Despacho - Mitad de Carga]]),"")</f>
        <v/>
      </c>
      <c r="AE1047" s="11" t="str">
        <f>IFERROR(IF(MARÍTIMOS[[#This Row],[Etapa Despacho - Fin de Carga]]="","",MARÍTIMOS[[#This Row],[Etapa Despacho - Fin de Carga]]),"")</f>
        <v/>
      </c>
      <c r="AF1047" s="2" t="str">
        <f>IFERROR(IF(MARÍTIMOS[[#This Row],[Puerto de Embarque]]="","",MARÍTIMOS[[#This Row],[Puerto de Embarque]]),"")</f>
        <v/>
      </c>
      <c r="AG1047" s="2" t="str">
        <f>IFERROR(IF(MARÍTIMOS[[#This Row],[Almacén de Ingreso]]="","",MARÍTIMOS[[#This Row],[Almacén de Ingreso]]),"")</f>
        <v/>
      </c>
      <c r="AH1047" s="11" t="str">
        <f>IFERROR(IF(MARÍTIMOS[[#This Row],[Etapa Ingreso - Cita]]="","",MARÍTIMOS[[#This Row],[Etapa Ingreso - Cita]]),"")</f>
        <v/>
      </c>
      <c r="AI1047" s="11" t="str">
        <f>IFERROR(IF(MARÍTIMOS[[#This Row],[Etapa Ingreso - Llegada]]="","",MARÍTIMOS[[#This Row],[Etapa Ingreso - Llegada]]),"")</f>
        <v/>
      </c>
      <c r="AJ1047" s="11" t="str">
        <f>IFERROR(IF(MARÍTIMOS[[#This Row],[Etapa Ingreso - Ingeso]]="","",MARÍTIMOS[[#This Row],[Etapa Ingreso - Ingeso]]),"")</f>
        <v/>
      </c>
      <c r="AK1047" s="11" t="str">
        <f>IFERROR(IF(MARÍTIMOS[[#This Row],[Etapa Ingreso - Atención]]="","",MARÍTIMOS[[#This Row],[Etapa Ingreso - Atención]]),"")</f>
        <v/>
      </c>
      <c r="AL1047" s="11" t="str">
        <f>IFERROR(IF(MARÍTIMOS[[#This Row],[Etapa Ingreso - Salida]]="","",MARÍTIMOS[[#This Row],[Etapa Ingreso - Salida]]),"")</f>
        <v/>
      </c>
      <c r="AM1047" s="2" t="str">
        <f>IFERROR(IF(MARÍTIMOS[[#This Row],[FCL]]="","",MARÍTIMOS[[#This Row],[FCL]]),"")</f>
        <v/>
      </c>
      <c r="AN104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7" s="4" t="str" cm="1">
        <f t="array" ref="AO104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7" s="5" t="str">
        <f>IFERROR(OLDBD[[#This Row],[Llegada a packing]]-OLDBD[[#This Row],[Inicio de Ruta]],"")</f>
        <v/>
      </c>
      <c r="AQ1047" s="6" t="str">
        <f>IFERROR(OLDBD[[#This Row],[Inicio de Ruta]]-OLDBD[[#This Row],[Salida de almacén de retiro]],"")</f>
        <v/>
      </c>
      <c r="AR104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7" s="8" t="str" cm="1">
        <f t="array" ref="AS104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7" s="9" t="str">
        <f>IFERROR(OLDBD[[#This Row],[Ingreso Packing]]-OLDBD[[#This Row],[Registro en Packing]],"")</f>
        <v/>
      </c>
      <c r="AV1047" s="9" t="str">
        <f>IFERROR(OLDBD[[#This Row],[Ingreso Packing]]-OLDBD[[#This Row],[Llegada a packing]],"")</f>
        <v/>
      </c>
      <c r="AW104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7" s="5" t="str">
        <f>IFERROR(OLDBD[[#This Row],[Llegada Almacén de Ingreso]]-OLDBD[[#This Row],[Salida Packing]],"")</f>
        <v/>
      </c>
      <c r="AY1047" s="4" t="str" cm="1">
        <f t="array" ref="AY104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7" s="43" t="s">
        <v>173</v>
      </c>
      <c r="BB1047" s="47" t="str">
        <f>IFERROR(IF(MARÍTIMOS[[#This Row],[Estatus]]="","",MARÍTIMOS[[#This Row],[Estatus]]),"")</f>
        <v/>
      </c>
      <c r="BC1047" s="43"/>
      <c r="BD1047" s="46" t="str">
        <f>IFERROR(OLDBD[[#This Row],[Salida de almacén de retiro]]-OLDBD[[#This Row],[Ingreso Almacén de retiro]],"")</f>
        <v/>
      </c>
      <c r="BE1047" s="46" t="str">
        <f>IFERROR(OLDBD[[#This Row],[Fin de Carga]]-OLDBD[[#This Row],[Inicio de Carga]],"")</f>
        <v/>
      </c>
    </row>
    <row r="1048" spans="1:57" customFormat="1" hidden="1">
      <c r="A1048" s="1"/>
      <c r="B1048" s="1" t="str">
        <f>IFERROR(IF(MARÍTIMOS[[#This Row],[PP]]="","",MARÍTIMOS[[#This Row],[PP]]),"")</f>
        <v/>
      </c>
      <c r="C1048" s="1" t="str">
        <f>IFERROR(IF(MARÍTIMOS[[#This Row],[Sede]]="","",MARÍTIMOS[[#This Row],[Sede]]),"")</f>
        <v/>
      </c>
      <c r="D1048" s="1" t="str">
        <f>IFERROR(IF(MARÍTIMOS[[#This Row],[Instruction]]="","",MARÍTIMOS[[#This Row],[Instruction]]),"")</f>
        <v/>
      </c>
      <c r="E1048" s="1"/>
      <c r="F1048" s="2" t="str">
        <f>IFERROR(IF(MARÍTIMOS[[#This Row],[Transportista]]="","",MARÍTIMOS[[#This Row],[Transportista]]),"")</f>
        <v/>
      </c>
      <c r="G1048" s="2" t="str">
        <f>IFERROR(IF(MARÍTIMOS[[#This Row],[Tercero]]="","",MARÍTIMOS[[#This Row],[Tercero]]),"")</f>
        <v/>
      </c>
      <c r="H1048" s="2" t="str">
        <f>IFERROR(IF(MARÍTIMOS[[#This Row],[Razón Social]]="","",MARÍTIMOS[[#This Row],[Razón Social]]),"")</f>
        <v/>
      </c>
      <c r="I1048" s="2" t="str">
        <f>IFERROR(IF(MARÍTIMOS[[#This Row],[RUC]]="","",MARÍTIMOS[[#This Row],[RUC]]),"")</f>
        <v/>
      </c>
      <c r="J1048" s="2" t="str">
        <f>IFERROR(IF(MARÍTIMOS[[#This Row],[Placa Tracto]]="","",MARÍTIMOS[[#This Row],[Placa Tracto]]),"")</f>
        <v/>
      </c>
      <c r="K1048" s="2" t="str">
        <f>IFERROR(IF(MARÍTIMOS[[#This Row],[Placa Carreta]]="","",MARÍTIMOS[[#This Row],[Placa Carreta]]),"")</f>
        <v/>
      </c>
      <c r="L1048" s="44" t="str">
        <f>IFERROR(IF(MARÍTIMOS[[#This Row],[Conductor]]="","",MARÍTIMOS[[#This Row],[Conductor]]),"")</f>
        <v/>
      </c>
      <c r="M1048" s="2" t="str">
        <f>IFERROR(IF(MARÍTIMOS[[#This Row],[Licencia]]="","",MARÍTIMOS[[#This Row],[Licencia]]),"")</f>
        <v/>
      </c>
      <c r="N1048" s="2" t="str">
        <f>IFERROR(IF(MARÍTIMOS[[#This Row],[Número de Contacto]]="","",MARÍTIMOS[[#This Row],[Número de Contacto]]),"")</f>
        <v/>
      </c>
      <c r="O1048" s="10" t="str">
        <f>IFERROR(IF(MARÍTIMOS[[#This Row],[Booking|AWB|CRT]]="","",MARÍTIMOS[[#This Row],[Booking|AWB|CRT]]),"")</f>
        <v/>
      </c>
      <c r="P1048" s="2" t="str">
        <f>IFERROR(IF(MARÍTIMOS[[#This Row],[Contenedor]]="","",MARÍTIMOS[[#This Row],[Contenedor]]),"")</f>
        <v/>
      </c>
      <c r="Q1048" s="2" t="str">
        <f>IFERROR(IF(MARÍTIMOS[[#This Row],[Puerto de Retiro]]="","",MARÍTIMOS[[#This Row],[Puerto de Retiro]]),"")</f>
        <v/>
      </c>
      <c r="R1048" s="2" t="str">
        <f>IFERROR(IF(MARÍTIMOS[[#This Row],[Almacén de Retiro]]="","",MARÍTIMOS[[#This Row],[Almacén de Retiro]]),"")</f>
        <v/>
      </c>
      <c r="S1048" s="11" t="str">
        <f>IFERROR(IF(MARÍTIMOS[[#This Row],[Etapa Retiro - Cita]]="","",MARÍTIMOS[[#This Row],[Etapa Retiro - Cita]]),"")</f>
        <v/>
      </c>
      <c r="T1048" s="11" t="str">
        <f>IFERROR(IF(MARÍTIMOS[[#This Row],[Etapa Retiro - Llegada]]="","",MARÍTIMOS[[#This Row],[Etapa Retiro - Llegada]]),"")</f>
        <v/>
      </c>
      <c r="U1048" s="11" t="str">
        <f>IFERROR(IF(MARÍTIMOS[[#This Row],[Etapa Retiro - Ingreso]]="","",MARÍTIMOS[[#This Row],[Etapa Retiro - Ingreso]]),"")</f>
        <v/>
      </c>
      <c r="V1048" s="11" t="str">
        <f>IFERROR(IF(MARÍTIMOS[[#This Row],[Etapa Retiro - Atención]]="","",MARÍTIMOS[[#This Row],[Etapa Retiro - Atención]]),"")</f>
        <v/>
      </c>
      <c r="W1048" s="11" t="str">
        <f>IFERROR(IF(MARÍTIMOS[[#This Row],[Etapa Retiro - Atención]]="","",MARÍTIMOS[[#This Row],[Etapa Retiro - Atención]]),"")</f>
        <v/>
      </c>
      <c r="X1048" s="11" t="str">
        <f>IFERROR(IF(MARÍTIMOS[[#This Row],[Etapa Retiro - Inicio de Ruta]]="","",MARÍTIMOS[[#This Row],[Etapa Retiro - Inicio de Ruta]]),"")</f>
        <v/>
      </c>
      <c r="Y1048" s="11" t="str">
        <f>IFERROR(IF(MARÍTIMOS[[#This Row],[Hora de Posicionamiento]]="","",MARÍTIMOS[[#This Row],[Fecha de Carga]]+MARÍTIMOS[[#This Row],[Hora de Posicionamiento]]),"")</f>
        <v/>
      </c>
      <c r="Z1048" s="11" t="str">
        <f>IFERROR(IF(MARÍTIMOS[[#This Row],[Etapa Despacho - Llegada]]="","",MARÍTIMOS[[#This Row],[Etapa Despacho - Llegada]]),"")</f>
        <v/>
      </c>
      <c r="AA1048" s="11" t="str">
        <f>IFERROR(IF(MARÍTIMOS[[#This Row],[Etapa Despacho - Registro]]="","",MARÍTIMOS[[#This Row],[Etapa Despacho - Registro]]),"")</f>
        <v/>
      </c>
      <c r="AB1048" s="11" t="str">
        <f>IFERROR(IF(MARÍTIMOS[[#This Row],[Inspección Externa]]="","",MARÍTIMOS[[#This Row],[Inspección Externa]]),"")</f>
        <v/>
      </c>
      <c r="AC1048" s="11" t="str">
        <f>IFERROR(IF(MARÍTIMOS[[#This Row],[Etapa Despacho - Inicio de Carga]]="","",MARÍTIMOS[[#This Row],[Etapa Despacho - Inicio de Carga]]),"")</f>
        <v/>
      </c>
      <c r="AD1048" s="11" t="str">
        <f>IFERROR(IF(MARÍTIMOS[[#This Row],[Etapa Despacho - Mitad de Carga]]="","",MARÍTIMOS[[#This Row],[Etapa Despacho - Mitad de Carga]]),"")</f>
        <v/>
      </c>
      <c r="AE1048" s="11" t="str">
        <f>IFERROR(IF(MARÍTIMOS[[#This Row],[Etapa Despacho - Fin de Carga]]="","",MARÍTIMOS[[#This Row],[Etapa Despacho - Fin de Carga]]),"")</f>
        <v/>
      </c>
      <c r="AF1048" s="2" t="str">
        <f>IFERROR(IF(MARÍTIMOS[[#This Row],[Puerto de Embarque]]="","",MARÍTIMOS[[#This Row],[Puerto de Embarque]]),"")</f>
        <v/>
      </c>
      <c r="AG1048" s="2" t="str">
        <f>IFERROR(IF(MARÍTIMOS[[#This Row],[Almacén de Ingreso]]="","",MARÍTIMOS[[#This Row],[Almacén de Ingreso]]),"")</f>
        <v/>
      </c>
      <c r="AH1048" s="11" t="str">
        <f>IFERROR(IF(MARÍTIMOS[[#This Row],[Etapa Ingreso - Cita]]="","",MARÍTIMOS[[#This Row],[Etapa Ingreso - Cita]]),"")</f>
        <v/>
      </c>
      <c r="AI1048" s="11" t="str">
        <f>IFERROR(IF(MARÍTIMOS[[#This Row],[Etapa Ingreso - Llegada]]="","",MARÍTIMOS[[#This Row],[Etapa Ingreso - Llegada]]),"")</f>
        <v/>
      </c>
      <c r="AJ1048" s="11" t="str">
        <f>IFERROR(IF(MARÍTIMOS[[#This Row],[Etapa Ingreso - Ingeso]]="","",MARÍTIMOS[[#This Row],[Etapa Ingreso - Ingeso]]),"")</f>
        <v/>
      </c>
      <c r="AK1048" s="11" t="str">
        <f>IFERROR(IF(MARÍTIMOS[[#This Row],[Etapa Ingreso - Atención]]="","",MARÍTIMOS[[#This Row],[Etapa Ingreso - Atención]]),"")</f>
        <v/>
      </c>
      <c r="AL1048" s="11" t="str">
        <f>IFERROR(IF(MARÍTIMOS[[#This Row],[Etapa Ingreso - Salida]]="","",MARÍTIMOS[[#This Row],[Etapa Ingreso - Salida]]),"")</f>
        <v/>
      </c>
      <c r="AM1048" s="2" t="str">
        <f>IFERROR(IF(MARÍTIMOS[[#This Row],[FCL]]="","",MARÍTIMOS[[#This Row],[FCL]]),"")</f>
        <v/>
      </c>
      <c r="AN104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8" s="4" t="str" cm="1">
        <f t="array" ref="AO104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8" s="5" t="str">
        <f>IFERROR(OLDBD[[#This Row],[Llegada a packing]]-OLDBD[[#This Row],[Inicio de Ruta]],"")</f>
        <v/>
      </c>
      <c r="AQ1048" s="6" t="str">
        <f>IFERROR(OLDBD[[#This Row],[Inicio de Ruta]]-OLDBD[[#This Row],[Salida de almacén de retiro]],"")</f>
        <v/>
      </c>
      <c r="AR104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8" s="8" t="str" cm="1">
        <f t="array" ref="AS104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8" s="9" t="str">
        <f>IFERROR(OLDBD[[#This Row],[Ingreso Packing]]-OLDBD[[#This Row],[Registro en Packing]],"")</f>
        <v/>
      </c>
      <c r="AV1048" s="9" t="str">
        <f>IFERROR(OLDBD[[#This Row],[Ingreso Packing]]-OLDBD[[#This Row],[Llegada a packing]],"")</f>
        <v/>
      </c>
      <c r="AW104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8" s="5" t="str">
        <f>IFERROR(OLDBD[[#This Row],[Llegada Almacén de Ingreso]]-OLDBD[[#This Row],[Salida Packing]],"")</f>
        <v/>
      </c>
      <c r="AY1048" s="4" t="str" cm="1">
        <f t="array" ref="AY104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8" s="43" t="s">
        <v>173</v>
      </c>
      <c r="BB1048" s="47" t="str">
        <f>IFERROR(IF(MARÍTIMOS[[#This Row],[Estatus]]="","",MARÍTIMOS[[#This Row],[Estatus]]),"")</f>
        <v/>
      </c>
      <c r="BC1048" s="43"/>
      <c r="BD1048" s="46" t="str">
        <f>IFERROR(OLDBD[[#This Row],[Salida de almacén de retiro]]-OLDBD[[#This Row],[Ingreso Almacén de retiro]],"")</f>
        <v/>
      </c>
      <c r="BE1048" s="46" t="str">
        <f>IFERROR(OLDBD[[#This Row],[Fin de Carga]]-OLDBD[[#This Row],[Inicio de Carga]],"")</f>
        <v/>
      </c>
    </row>
    <row r="1049" spans="1:57" customFormat="1" hidden="1">
      <c r="A1049" s="1"/>
      <c r="B1049" s="1" t="str">
        <f>IFERROR(IF(MARÍTIMOS[[#This Row],[PP]]="","",MARÍTIMOS[[#This Row],[PP]]),"")</f>
        <v/>
      </c>
      <c r="C1049" s="1" t="str">
        <f>IFERROR(IF(MARÍTIMOS[[#This Row],[Sede]]="","",MARÍTIMOS[[#This Row],[Sede]]),"")</f>
        <v/>
      </c>
      <c r="D1049" s="1" t="str">
        <f>IFERROR(IF(MARÍTIMOS[[#This Row],[Instruction]]="","",MARÍTIMOS[[#This Row],[Instruction]]),"")</f>
        <v/>
      </c>
      <c r="E1049" s="1"/>
      <c r="F1049" s="2" t="str">
        <f>IFERROR(IF(MARÍTIMOS[[#This Row],[Transportista]]="","",MARÍTIMOS[[#This Row],[Transportista]]),"")</f>
        <v/>
      </c>
      <c r="G1049" s="2" t="str">
        <f>IFERROR(IF(MARÍTIMOS[[#This Row],[Tercero]]="","",MARÍTIMOS[[#This Row],[Tercero]]),"")</f>
        <v/>
      </c>
      <c r="H1049" s="2" t="str">
        <f>IFERROR(IF(MARÍTIMOS[[#This Row],[Razón Social]]="","",MARÍTIMOS[[#This Row],[Razón Social]]),"")</f>
        <v/>
      </c>
      <c r="I1049" s="2" t="str">
        <f>IFERROR(IF(MARÍTIMOS[[#This Row],[RUC]]="","",MARÍTIMOS[[#This Row],[RUC]]),"")</f>
        <v/>
      </c>
      <c r="J1049" s="2" t="str">
        <f>IFERROR(IF(MARÍTIMOS[[#This Row],[Placa Tracto]]="","",MARÍTIMOS[[#This Row],[Placa Tracto]]),"")</f>
        <v/>
      </c>
      <c r="K1049" s="2" t="str">
        <f>IFERROR(IF(MARÍTIMOS[[#This Row],[Placa Carreta]]="","",MARÍTIMOS[[#This Row],[Placa Carreta]]),"")</f>
        <v/>
      </c>
      <c r="L1049" s="44" t="str">
        <f>IFERROR(IF(MARÍTIMOS[[#This Row],[Conductor]]="","",MARÍTIMOS[[#This Row],[Conductor]]),"")</f>
        <v/>
      </c>
      <c r="M1049" s="2" t="str">
        <f>IFERROR(IF(MARÍTIMOS[[#This Row],[Licencia]]="","",MARÍTIMOS[[#This Row],[Licencia]]),"")</f>
        <v/>
      </c>
      <c r="N1049" s="2" t="str">
        <f>IFERROR(IF(MARÍTIMOS[[#This Row],[Número de Contacto]]="","",MARÍTIMOS[[#This Row],[Número de Contacto]]),"")</f>
        <v/>
      </c>
      <c r="O1049" s="10" t="str">
        <f>IFERROR(IF(MARÍTIMOS[[#This Row],[Booking|AWB|CRT]]="","",MARÍTIMOS[[#This Row],[Booking|AWB|CRT]]),"")</f>
        <v/>
      </c>
      <c r="P1049" s="2" t="str">
        <f>IFERROR(IF(MARÍTIMOS[[#This Row],[Contenedor]]="","",MARÍTIMOS[[#This Row],[Contenedor]]),"")</f>
        <v/>
      </c>
      <c r="Q1049" s="2" t="str">
        <f>IFERROR(IF(MARÍTIMOS[[#This Row],[Puerto de Retiro]]="","",MARÍTIMOS[[#This Row],[Puerto de Retiro]]),"")</f>
        <v/>
      </c>
      <c r="R1049" s="2" t="str">
        <f>IFERROR(IF(MARÍTIMOS[[#This Row],[Almacén de Retiro]]="","",MARÍTIMOS[[#This Row],[Almacén de Retiro]]),"")</f>
        <v/>
      </c>
      <c r="S1049" s="11" t="str">
        <f>IFERROR(IF(MARÍTIMOS[[#This Row],[Etapa Retiro - Cita]]="","",MARÍTIMOS[[#This Row],[Etapa Retiro - Cita]]),"")</f>
        <v/>
      </c>
      <c r="T1049" s="11" t="str">
        <f>IFERROR(IF(MARÍTIMOS[[#This Row],[Etapa Retiro - Llegada]]="","",MARÍTIMOS[[#This Row],[Etapa Retiro - Llegada]]),"")</f>
        <v/>
      </c>
      <c r="U1049" s="11" t="str">
        <f>IFERROR(IF(MARÍTIMOS[[#This Row],[Etapa Retiro - Ingreso]]="","",MARÍTIMOS[[#This Row],[Etapa Retiro - Ingreso]]),"")</f>
        <v/>
      </c>
      <c r="V1049" s="11" t="str">
        <f>IFERROR(IF(MARÍTIMOS[[#This Row],[Etapa Retiro - Atención]]="","",MARÍTIMOS[[#This Row],[Etapa Retiro - Atención]]),"")</f>
        <v/>
      </c>
      <c r="W1049" s="11" t="str">
        <f>IFERROR(IF(MARÍTIMOS[[#This Row],[Etapa Retiro - Atención]]="","",MARÍTIMOS[[#This Row],[Etapa Retiro - Atención]]),"")</f>
        <v/>
      </c>
      <c r="X1049" s="11" t="str">
        <f>IFERROR(IF(MARÍTIMOS[[#This Row],[Etapa Retiro - Inicio de Ruta]]="","",MARÍTIMOS[[#This Row],[Etapa Retiro - Inicio de Ruta]]),"")</f>
        <v/>
      </c>
      <c r="Y1049" s="11" t="str">
        <f>IFERROR(IF(MARÍTIMOS[[#This Row],[Hora de Posicionamiento]]="","",MARÍTIMOS[[#This Row],[Fecha de Carga]]+MARÍTIMOS[[#This Row],[Hora de Posicionamiento]]),"")</f>
        <v/>
      </c>
      <c r="Z1049" s="11" t="str">
        <f>IFERROR(IF(MARÍTIMOS[[#This Row],[Etapa Despacho - Llegada]]="","",MARÍTIMOS[[#This Row],[Etapa Despacho - Llegada]]),"")</f>
        <v/>
      </c>
      <c r="AA1049" s="11" t="str">
        <f>IFERROR(IF(MARÍTIMOS[[#This Row],[Etapa Despacho - Registro]]="","",MARÍTIMOS[[#This Row],[Etapa Despacho - Registro]]),"")</f>
        <v/>
      </c>
      <c r="AB1049" s="11" t="str">
        <f>IFERROR(IF(MARÍTIMOS[[#This Row],[Inspección Externa]]="","",MARÍTIMOS[[#This Row],[Inspección Externa]]),"")</f>
        <v/>
      </c>
      <c r="AC1049" s="11" t="str">
        <f>IFERROR(IF(MARÍTIMOS[[#This Row],[Etapa Despacho - Inicio de Carga]]="","",MARÍTIMOS[[#This Row],[Etapa Despacho - Inicio de Carga]]),"")</f>
        <v/>
      </c>
      <c r="AD1049" s="11" t="str">
        <f>IFERROR(IF(MARÍTIMOS[[#This Row],[Etapa Despacho - Mitad de Carga]]="","",MARÍTIMOS[[#This Row],[Etapa Despacho - Mitad de Carga]]),"")</f>
        <v/>
      </c>
      <c r="AE1049" s="11" t="str">
        <f>IFERROR(IF(MARÍTIMOS[[#This Row],[Etapa Despacho - Fin de Carga]]="","",MARÍTIMOS[[#This Row],[Etapa Despacho - Fin de Carga]]),"")</f>
        <v/>
      </c>
      <c r="AF1049" s="2" t="str">
        <f>IFERROR(IF(MARÍTIMOS[[#This Row],[Puerto de Embarque]]="","",MARÍTIMOS[[#This Row],[Puerto de Embarque]]),"")</f>
        <v/>
      </c>
      <c r="AG1049" s="2" t="str">
        <f>IFERROR(IF(MARÍTIMOS[[#This Row],[Almacén de Ingreso]]="","",MARÍTIMOS[[#This Row],[Almacén de Ingreso]]),"")</f>
        <v/>
      </c>
      <c r="AH1049" s="11" t="str">
        <f>IFERROR(IF(MARÍTIMOS[[#This Row],[Etapa Ingreso - Cita]]="","",MARÍTIMOS[[#This Row],[Etapa Ingreso - Cita]]),"")</f>
        <v/>
      </c>
      <c r="AI1049" s="11" t="str">
        <f>IFERROR(IF(MARÍTIMOS[[#This Row],[Etapa Ingreso - Llegada]]="","",MARÍTIMOS[[#This Row],[Etapa Ingreso - Llegada]]),"")</f>
        <v/>
      </c>
      <c r="AJ1049" s="11" t="str">
        <f>IFERROR(IF(MARÍTIMOS[[#This Row],[Etapa Ingreso - Ingeso]]="","",MARÍTIMOS[[#This Row],[Etapa Ingreso - Ingeso]]),"")</f>
        <v/>
      </c>
      <c r="AK1049" s="11" t="str">
        <f>IFERROR(IF(MARÍTIMOS[[#This Row],[Etapa Ingreso - Atención]]="","",MARÍTIMOS[[#This Row],[Etapa Ingreso - Atención]]),"")</f>
        <v/>
      </c>
      <c r="AL1049" s="11" t="str">
        <f>IFERROR(IF(MARÍTIMOS[[#This Row],[Etapa Ingreso - Salida]]="","",MARÍTIMOS[[#This Row],[Etapa Ingreso - Salida]]),"")</f>
        <v/>
      </c>
      <c r="AM1049" s="2" t="str">
        <f>IFERROR(IF(MARÍTIMOS[[#This Row],[FCL]]="","",MARÍTIMOS[[#This Row],[FCL]]),"")</f>
        <v/>
      </c>
      <c r="AN104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49" s="4" t="str" cm="1">
        <f t="array" ref="AO104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49" s="5" t="str">
        <f>IFERROR(OLDBD[[#This Row],[Llegada a packing]]-OLDBD[[#This Row],[Inicio de Ruta]],"")</f>
        <v/>
      </c>
      <c r="AQ1049" s="6" t="str">
        <f>IFERROR(OLDBD[[#This Row],[Inicio de Ruta]]-OLDBD[[#This Row],[Salida de almacén de retiro]],"")</f>
        <v/>
      </c>
      <c r="AR104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49" s="8" t="str" cm="1">
        <f t="array" ref="AS104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4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49" s="9" t="str">
        <f>IFERROR(OLDBD[[#This Row],[Ingreso Packing]]-OLDBD[[#This Row],[Registro en Packing]],"")</f>
        <v/>
      </c>
      <c r="AV1049" s="9" t="str">
        <f>IFERROR(OLDBD[[#This Row],[Ingreso Packing]]-OLDBD[[#This Row],[Llegada a packing]],"")</f>
        <v/>
      </c>
      <c r="AW104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49" s="5" t="str">
        <f>IFERROR(OLDBD[[#This Row],[Llegada Almacén de Ingreso]]-OLDBD[[#This Row],[Salida Packing]],"")</f>
        <v/>
      </c>
      <c r="AY1049" s="4" t="str" cm="1">
        <f t="array" ref="AY104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4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49" s="43" t="s">
        <v>173</v>
      </c>
      <c r="BB1049" s="47" t="str">
        <f>IFERROR(IF(MARÍTIMOS[[#This Row],[Estatus]]="","",MARÍTIMOS[[#This Row],[Estatus]]),"")</f>
        <v/>
      </c>
      <c r="BC1049" s="43"/>
      <c r="BD1049" s="46" t="str">
        <f>IFERROR(OLDBD[[#This Row],[Salida de almacén de retiro]]-OLDBD[[#This Row],[Ingreso Almacén de retiro]],"")</f>
        <v/>
      </c>
      <c r="BE1049" s="46" t="str">
        <f>IFERROR(OLDBD[[#This Row],[Fin de Carga]]-OLDBD[[#This Row],[Inicio de Carga]],"")</f>
        <v/>
      </c>
    </row>
    <row r="1050" spans="1:57" customFormat="1" hidden="1">
      <c r="A1050" s="1"/>
      <c r="B1050" s="1" t="str">
        <f>IFERROR(IF(MARÍTIMOS[[#This Row],[PP]]="","",MARÍTIMOS[[#This Row],[PP]]),"")</f>
        <v/>
      </c>
      <c r="C1050" s="1" t="str">
        <f>IFERROR(IF(MARÍTIMOS[[#This Row],[Sede]]="","",MARÍTIMOS[[#This Row],[Sede]]),"")</f>
        <v/>
      </c>
      <c r="D1050" s="1" t="str">
        <f>IFERROR(IF(MARÍTIMOS[[#This Row],[Instruction]]="","",MARÍTIMOS[[#This Row],[Instruction]]),"")</f>
        <v/>
      </c>
      <c r="E1050" s="1"/>
      <c r="F1050" s="2" t="str">
        <f>IFERROR(IF(MARÍTIMOS[[#This Row],[Transportista]]="","",MARÍTIMOS[[#This Row],[Transportista]]),"")</f>
        <v/>
      </c>
      <c r="G1050" s="2" t="str">
        <f>IFERROR(IF(MARÍTIMOS[[#This Row],[Tercero]]="","",MARÍTIMOS[[#This Row],[Tercero]]),"")</f>
        <v/>
      </c>
      <c r="H1050" s="2" t="str">
        <f>IFERROR(IF(MARÍTIMOS[[#This Row],[Razón Social]]="","",MARÍTIMOS[[#This Row],[Razón Social]]),"")</f>
        <v/>
      </c>
      <c r="I1050" s="2" t="str">
        <f>IFERROR(IF(MARÍTIMOS[[#This Row],[RUC]]="","",MARÍTIMOS[[#This Row],[RUC]]),"")</f>
        <v/>
      </c>
      <c r="J1050" s="2" t="str">
        <f>IFERROR(IF(MARÍTIMOS[[#This Row],[Placa Tracto]]="","",MARÍTIMOS[[#This Row],[Placa Tracto]]),"")</f>
        <v/>
      </c>
      <c r="K1050" s="2" t="str">
        <f>IFERROR(IF(MARÍTIMOS[[#This Row],[Placa Carreta]]="","",MARÍTIMOS[[#This Row],[Placa Carreta]]),"")</f>
        <v/>
      </c>
      <c r="L1050" s="44" t="str">
        <f>IFERROR(IF(MARÍTIMOS[[#This Row],[Conductor]]="","",MARÍTIMOS[[#This Row],[Conductor]]),"")</f>
        <v/>
      </c>
      <c r="M1050" s="2" t="str">
        <f>IFERROR(IF(MARÍTIMOS[[#This Row],[Licencia]]="","",MARÍTIMOS[[#This Row],[Licencia]]),"")</f>
        <v/>
      </c>
      <c r="N1050" s="2" t="str">
        <f>IFERROR(IF(MARÍTIMOS[[#This Row],[Número de Contacto]]="","",MARÍTIMOS[[#This Row],[Número de Contacto]]),"")</f>
        <v/>
      </c>
      <c r="O1050" s="10" t="str">
        <f>IFERROR(IF(MARÍTIMOS[[#This Row],[Booking|AWB|CRT]]="","",MARÍTIMOS[[#This Row],[Booking|AWB|CRT]]),"")</f>
        <v/>
      </c>
      <c r="P1050" s="2" t="str">
        <f>IFERROR(IF(MARÍTIMOS[[#This Row],[Contenedor]]="","",MARÍTIMOS[[#This Row],[Contenedor]]),"")</f>
        <v/>
      </c>
      <c r="Q1050" s="2" t="str">
        <f>IFERROR(IF(MARÍTIMOS[[#This Row],[Puerto de Retiro]]="","",MARÍTIMOS[[#This Row],[Puerto de Retiro]]),"")</f>
        <v/>
      </c>
      <c r="R1050" s="2" t="str">
        <f>IFERROR(IF(MARÍTIMOS[[#This Row],[Almacén de Retiro]]="","",MARÍTIMOS[[#This Row],[Almacén de Retiro]]),"")</f>
        <v/>
      </c>
      <c r="S1050" s="11" t="str">
        <f>IFERROR(IF(MARÍTIMOS[[#This Row],[Etapa Retiro - Cita]]="","",MARÍTIMOS[[#This Row],[Etapa Retiro - Cita]]),"")</f>
        <v/>
      </c>
      <c r="T1050" s="11" t="str">
        <f>IFERROR(IF(MARÍTIMOS[[#This Row],[Etapa Retiro - Llegada]]="","",MARÍTIMOS[[#This Row],[Etapa Retiro - Llegada]]),"")</f>
        <v/>
      </c>
      <c r="U1050" s="11" t="str">
        <f>IFERROR(IF(MARÍTIMOS[[#This Row],[Etapa Retiro - Ingreso]]="","",MARÍTIMOS[[#This Row],[Etapa Retiro - Ingreso]]),"")</f>
        <v/>
      </c>
      <c r="V1050" s="11" t="str">
        <f>IFERROR(IF(MARÍTIMOS[[#This Row],[Etapa Retiro - Atención]]="","",MARÍTIMOS[[#This Row],[Etapa Retiro - Atención]]),"")</f>
        <v/>
      </c>
      <c r="W1050" s="11" t="str">
        <f>IFERROR(IF(MARÍTIMOS[[#This Row],[Etapa Retiro - Atención]]="","",MARÍTIMOS[[#This Row],[Etapa Retiro - Atención]]),"")</f>
        <v/>
      </c>
      <c r="X1050" s="11" t="str">
        <f>IFERROR(IF(MARÍTIMOS[[#This Row],[Etapa Retiro - Inicio de Ruta]]="","",MARÍTIMOS[[#This Row],[Etapa Retiro - Inicio de Ruta]]),"")</f>
        <v/>
      </c>
      <c r="Y1050" s="11" t="str">
        <f>IFERROR(IF(MARÍTIMOS[[#This Row],[Hora de Posicionamiento]]="","",MARÍTIMOS[[#This Row],[Fecha de Carga]]+MARÍTIMOS[[#This Row],[Hora de Posicionamiento]]),"")</f>
        <v/>
      </c>
      <c r="Z1050" s="11" t="str">
        <f>IFERROR(IF(MARÍTIMOS[[#This Row],[Etapa Despacho - Llegada]]="","",MARÍTIMOS[[#This Row],[Etapa Despacho - Llegada]]),"")</f>
        <v/>
      </c>
      <c r="AA1050" s="11" t="str">
        <f>IFERROR(IF(MARÍTIMOS[[#This Row],[Etapa Despacho - Registro]]="","",MARÍTIMOS[[#This Row],[Etapa Despacho - Registro]]),"")</f>
        <v/>
      </c>
      <c r="AB1050" s="11" t="str">
        <f>IFERROR(IF(MARÍTIMOS[[#This Row],[Inspección Externa]]="","",MARÍTIMOS[[#This Row],[Inspección Externa]]),"")</f>
        <v/>
      </c>
      <c r="AC1050" s="11" t="str">
        <f>IFERROR(IF(MARÍTIMOS[[#This Row],[Etapa Despacho - Inicio de Carga]]="","",MARÍTIMOS[[#This Row],[Etapa Despacho - Inicio de Carga]]),"")</f>
        <v/>
      </c>
      <c r="AD1050" s="11" t="str">
        <f>IFERROR(IF(MARÍTIMOS[[#This Row],[Etapa Despacho - Mitad de Carga]]="","",MARÍTIMOS[[#This Row],[Etapa Despacho - Mitad de Carga]]),"")</f>
        <v/>
      </c>
      <c r="AE1050" s="11" t="str">
        <f>IFERROR(IF(MARÍTIMOS[[#This Row],[Etapa Despacho - Fin de Carga]]="","",MARÍTIMOS[[#This Row],[Etapa Despacho - Fin de Carga]]),"")</f>
        <v/>
      </c>
      <c r="AF1050" s="2" t="str">
        <f>IFERROR(IF(MARÍTIMOS[[#This Row],[Puerto de Embarque]]="","",MARÍTIMOS[[#This Row],[Puerto de Embarque]]),"")</f>
        <v/>
      </c>
      <c r="AG1050" s="2" t="str">
        <f>IFERROR(IF(MARÍTIMOS[[#This Row],[Almacén de Ingreso]]="","",MARÍTIMOS[[#This Row],[Almacén de Ingreso]]),"")</f>
        <v/>
      </c>
      <c r="AH1050" s="11" t="str">
        <f>IFERROR(IF(MARÍTIMOS[[#This Row],[Etapa Ingreso - Cita]]="","",MARÍTIMOS[[#This Row],[Etapa Ingreso - Cita]]),"")</f>
        <v/>
      </c>
      <c r="AI1050" s="11" t="str">
        <f>IFERROR(IF(MARÍTIMOS[[#This Row],[Etapa Ingreso - Llegada]]="","",MARÍTIMOS[[#This Row],[Etapa Ingreso - Llegada]]),"")</f>
        <v/>
      </c>
      <c r="AJ1050" s="11" t="str">
        <f>IFERROR(IF(MARÍTIMOS[[#This Row],[Etapa Ingreso - Ingeso]]="","",MARÍTIMOS[[#This Row],[Etapa Ingreso - Ingeso]]),"")</f>
        <v/>
      </c>
      <c r="AK1050" s="11" t="str">
        <f>IFERROR(IF(MARÍTIMOS[[#This Row],[Etapa Ingreso - Atención]]="","",MARÍTIMOS[[#This Row],[Etapa Ingreso - Atención]]),"")</f>
        <v/>
      </c>
      <c r="AL1050" s="11" t="str">
        <f>IFERROR(IF(MARÍTIMOS[[#This Row],[Etapa Ingreso - Salida]]="","",MARÍTIMOS[[#This Row],[Etapa Ingreso - Salida]]),"")</f>
        <v/>
      </c>
      <c r="AM1050" s="2" t="str">
        <f>IFERROR(IF(MARÍTIMOS[[#This Row],[FCL]]="","",MARÍTIMOS[[#This Row],[FCL]]),"")</f>
        <v/>
      </c>
      <c r="AN105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0" s="4" t="str" cm="1">
        <f t="array" ref="AO105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0" s="5" t="str">
        <f>IFERROR(OLDBD[[#This Row],[Llegada a packing]]-OLDBD[[#This Row],[Inicio de Ruta]],"")</f>
        <v/>
      </c>
      <c r="AQ1050" s="6" t="str">
        <f>IFERROR(OLDBD[[#This Row],[Inicio de Ruta]]-OLDBD[[#This Row],[Salida de almacén de retiro]],"")</f>
        <v/>
      </c>
      <c r="AR105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0" s="8" t="str" cm="1">
        <f t="array" ref="AS105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0" s="9" t="str">
        <f>IFERROR(OLDBD[[#This Row],[Ingreso Packing]]-OLDBD[[#This Row],[Registro en Packing]],"")</f>
        <v/>
      </c>
      <c r="AV1050" s="9" t="str">
        <f>IFERROR(OLDBD[[#This Row],[Ingreso Packing]]-OLDBD[[#This Row],[Llegada a packing]],"")</f>
        <v/>
      </c>
      <c r="AW105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0" s="5" t="str">
        <f>IFERROR(OLDBD[[#This Row],[Llegada Almacén de Ingreso]]-OLDBD[[#This Row],[Salida Packing]],"")</f>
        <v/>
      </c>
      <c r="AY1050" s="4" t="str" cm="1">
        <f t="array" ref="AY105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0" s="43" t="s">
        <v>173</v>
      </c>
      <c r="BB1050" s="47" t="str">
        <f>IFERROR(IF(MARÍTIMOS[[#This Row],[Estatus]]="","",MARÍTIMOS[[#This Row],[Estatus]]),"")</f>
        <v/>
      </c>
      <c r="BC1050" s="43"/>
      <c r="BD1050" s="46" t="str">
        <f>IFERROR(OLDBD[[#This Row],[Salida de almacén de retiro]]-OLDBD[[#This Row],[Ingreso Almacén de retiro]],"")</f>
        <v/>
      </c>
      <c r="BE1050" s="46" t="str">
        <f>IFERROR(OLDBD[[#This Row],[Fin de Carga]]-OLDBD[[#This Row],[Inicio de Carga]],"")</f>
        <v/>
      </c>
    </row>
    <row r="1051" spans="1:57" customFormat="1" hidden="1">
      <c r="A1051" s="1"/>
      <c r="B1051" s="1" t="str">
        <f>IFERROR(IF(MARÍTIMOS[[#This Row],[PP]]="","",MARÍTIMOS[[#This Row],[PP]]),"")</f>
        <v/>
      </c>
      <c r="C1051" s="1" t="str">
        <f>IFERROR(IF(MARÍTIMOS[[#This Row],[Sede]]="","",MARÍTIMOS[[#This Row],[Sede]]),"")</f>
        <v/>
      </c>
      <c r="D1051" s="1" t="str">
        <f>IFERROR(IF(MARÍTIMOS[[#This Row],[Instruction]]="","",MARÍTIMOS[[#This Row],[Instruction]]),"")</f>
        <v/>
      </c>
      <c r="E1051" s="1"/>
      <c r="F1051" s="2" t="str">
        <f>IFERROR(IF(MARÍTIMOS[[#This Row],[Transportista]]="","",MARÍTIMOS[[#This Row],[Transportista]]),"")</f>
        <v/>
      </c>
      <c r="G1051" s="2" t="str">
        <f>IFERROR(IF(MARÍTIMOS[[#This Row],[Tercero]]="","",MARÍTIMOS[[#This Row],[Tercero]]),"")</f>
        <v/>
      </c>
      <c r="H1051" s="2" t="str">
        <f>IFERROR(IF(MARÍTIMOS[[#This Row],[Razón Social]]="","",MARÍTIMOS[[#This Row],[Razón Social]]),"")</f>
        <v/>
      </c>
      <c r="I1051" s="2" t="str">
        <f>IFERROR(IF(MARÍTIMOS[[#This Row],[RUC]]="","",MARÍTIMOS[[#This Row],[RUC]]),"")</f>
        <v/>
      </c>
      <c r="J1051" s="2" t="str">
        <f>IFERROR(IF(MARÍTIMOS[[#This Row],[Placa Tracto]]="","",MARÍTIMOS[[#This Row],[Placa Tracto]]),"")</f>
        <v/>
      </c>
      <c r="K1051" s="2" t="str">
        <f>IFERROR(IF(MARÍTIMOS[[#This Row],[Placa Carreta]]="","",MARÍTIMOS[[#This Row],[Placa Carreta]]),"")</f>
        <v/>
      </c>
      <c r="L1051" s="44" t="str">
        <f>IFERROR(IF(MARÍTIMOS[[#This Row],[Conductor]]="","",MARÍTIMOS[[#This Row],[Conductor]]),"")</f>
        <v/>
      </c>
      <c r="M1051" s="2" t="str">
        <f>IFERROR(IF(MARÍTIMOS[[#This Row],[Licencia]]="","",MARÍTIMOS[[#This Row],[Licencia]]),"")</f>
        <v/>
      </c>
      <c r="N1051" s="2" t="str">
        <f>IFERROR(IF(MARÍTIMOS[[#This Row],[Número de Contacto]]="","",MARÍTIMOS[[#This Row],[Número de Contacto]]),"")</f>
        <v/>
      </c>
      <c r="O1051" s="10" t="str">
        <f>IFERROR(IF(MARÍTIMOS[[#This Row],[Booking|AWB|CRT]]="","",MARÍTIMOS[[#This Row],[Booking|AWB|CRT]]),"")</f>
        <v/>
      </c>
      <c r="P1051" s="2" t="str">
        <f>IFERROR(IF(MARÍTIMOS[[#This Row],[Contenedor]]="","",MARÍTIMOS[[#This Row],[Contenedor]]),"")</f>
        <v/>
      </c>
      <c r="Q1051" s="2" t="str">
        <f>IFERROR(IF(MARÍTIMOS[[#This Row],[Puerto de Retiro]]="","",MARÍTIMOS[[#This Row],[Puerto de Retiro]]),"")</f>
        <v/>
      </c>
      <c r="R1051" s="2" t="str">
        <f>IFERROR(IF(MARÍTIMOS[[#This Row],[Almacén de Retiro]]="","",MARÍTIMOS[[#This Row],[Almacén de Retiro]]),"")</f>
        <v/>
      </c>
      <c r="S1051" s="11" t="str">
        <f>IFERROR(IF(MARÍTIMOS[[#This Row],[Etapa Retiro - Cita]]="","",MARÍTIMOS[[#This Row],[Etapa Retiro - Cita]]),"")</f>
        <v/>
      </c>
      <c r="T1051" s="11" t="str">
        <f>IFERROR(IF(MARÍTIMOS[[#This Row],[Etapa Retiro - Llegada]]="","",MARÍTIMOS[[#This Row],[Etapa Retiro - Llegada]]),"")</f>
        <v/>
      </c>
      <c r="U1051" s="11" t="str">
        <f>IFERROR(IF(MARÍTIMOS[[#This Row],[Etapa Retiro - Ingreso]]="","",MARÍTIMOS[[#This Row],[Etapa Retiro - Ingreso]]),"")</f>
        <v/>
      </c>
      <c r="V1051" s="11" t="str">
        <f>IFERROR(IF(MARÍTIMOS[[#This Row],[Etapa Retiro - Atención]]="","",MARÍTIMOS[[#This Row],[Etapa Retiro - Atención]]),"")</f>
        <v/>
      </c>
      <c r="W1051" s="11" t="str">
        <f>IFERROR(IF(MARÍTIMOS[[#This Row],[Etapa Retiro - Atención]]="","",MARÍTIMOS[[#This Row],[Etapa Retiro - Atención]]),"")</f>
        <v/>
      </c>
      <c r="X1051" s="11" t="str">
        <f>IFERROR(IF(MARÍTIMOS[[#This Row],[Etapa Retiro - Inicio de Ruta]]="","",MARÍTIMOS[[#This Row],[Etapa Retiro - Inicio de Ruta]]),"")</f>
        <v/>
      </c>
      <c r="Y1051" s="11" t="str">
        <f>IFERROR(IF(MARÍTIMOS[[#This Row],[Hora de Posicionamiento]]="","",MARÍTIMOS[[#This Row],[Fecha de Carga]]+MARÍTIMOS[[#This Row],[Hora de Posicionamiento]]),"")</f>
        <v/>
      </c>
      <c r="Z1051" s="11" t="str">
        <f>IFERROR(IF(MARÍTIMOS[[#This Row],[Etapa Despacho - Llegada]]="","",MARÍTIMOS[[#This Row],[Etapa Despacho - Llegada]]),"")</f>
        <v/>
      </c>
      <c r="AA1051" s="11" t="str">
        <f>IFERROR(IF(MARÍTIMOS[[#This Row],[Etapa Despacho - Registro]]="","",MARÍTIMOS[[#This Row],[Etapa Despacho - Registro]]),"")</f>
        <v/>
      </c>
      <c r="AB1051" s="11" t="str">
        <f>IFERROR(IF(MARÍTIMOS[[#This Row],[Inspección Externa]]="","",MARÍTIMOS[[#This Row],[Inspección Externa]]),"")</f>
        <v/>
      </c>
      <c r="AC1051" s="11" t="str">
        <f>IFERROR(IF(MARÍTIMOS[[#This Row],[Etapa Despacho - Inicio de Carga]]="","",MARÍTIMOS[[#This Row],[Etapa Despacho - Inicio de Carga]]),"")</f>
        <v/>
      </c>
      <c r="AD1051" s="11" t="str">
        <f>IFERROR(IF(MARÍTIMOS[[#This Row],[Etapa Despacho - Mitad de Carga]]="","",MARÍTIMOS[[#This Row],[Etapa Despacho - Mitad de Carga]]),"")</f>
        <v/>
      </c>
      <c r="AE1051" s="11" t="str">
        <f>IFERROR(IF(MARÍTIMOS[[#This Row],[Etapa Despacho - Fin de Carga]]="","",MARÍTIMOS[[#This Row],[Etapa Despacho - Fin de Carga]]),"")</f>
        <v/>
      </c>
      <c r="AF1051" s="2" t="str">
        <f>IFERROR(IF(MARÍTIMOS[[#This Row],[Puerto de Embarque]]="","",MARÍTIMOS[[#This Row],[Puerto de Embarque]]),"")</f>
        <v/>
      </c>
      <c r="AG1051" s="2" t="str">
        <f>IFERROR(IF(MARÍTIMOS[[#This Row],[Almacén de Ingreso]]="","",MARÍTIMOS[[#This Row],[Almacén de Ingreso]]),"")</f>
        <v/>
      </c>
      <c r="AH1051" s="11" t="str">
        <f>IFERROR(IF(MARÍTIMOS[[#This Row],[Etapa Ingreso - Cita]]="","",MARÍTIMOS[[#This Row],[Etapa Ingreso - Cita]]),"")</f>
        <v/>
      </c>
      <c r="AI1051" s="11" t="str">
        <f>IFERROR(IF(MARÍTIMOS[[#This Row],[Etapa Ingreso - Llegada]]="","",MARÍTIMOS[[#This Row],[Etapa Ingreso - Llegada]]),"")</f>
        <v/>
      </c>
      <c r="AJ1051" s="11" t="str">
        <f>IFERROR(IF(MARÍTIMOS[[#This Row],[Etapa Ingreso - Ingeso]]="","",MARÍTIMOS[[#This Row],[Etapa Ingreso - Ingeso]]),"")</f>
        <v/>
      </c>
      <c r="AK1051" s="11" t="str">
        <f>IFERROR(IF(MARÍTIMOS[[#This Row],[Etapa Ingreso - Atención]]="","",MARÍTIMOS[[#This Row],[Etapa Ingreso - Atención]]),"")</f>
        <v/>
      </c>
      <c r="AL1051" s="11" t="str">
        <f>IFERROR(IF(MARÍTIMOS[[#This Row],[Etapa Ingreso - Salida]]="","",MARÍTIMOS[[#This Row],[Etapa Ingreso - Salida]]),"")</f>
        <v/>
      </c>
      <c r="AM1051" s="2" t="str">
        <f>IFERROR(IF(MARÍTIMOS[[#This Row],[FCL]]="","",MARÍTIMOS[[#This Row],[FCL]]),"")</f>
        <v/>
      </c>
      <c r="AN105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1" s="4" t="str" cm="1">
        <f t="array" ref="AO105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1" s="5" t="str">
        <f>IFERROR(OLDBD[[#This Row],[Llegada a packing]]-OLDBD[[#This Row],[Inicio de Ruta]],"")</f>
        <v/>
      </c>
      <c r="AQ1051" s="6" t="str">
        <f>IFERROR(OLDBD[[#This Row],[Inicio de Ruta]]-OLDBD[[#This Row],[Salida de almacén de retiro]],"")</f>
        <v/>
      </c>
      <c r="AR105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1" s="8" t="str" cm="1">
        <f t="array" ref="AS105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1" s="9" t="str">
        <f>IFERROR(OLDBD[[#This Row],[Ingreso Packing]]-OLDBD[[#This Row],[Registro en Packing]],"")</f>
        <v/>
      </c>
      <c r="AV1051" s="9" t="str">
        <f>IFERROR(OLDBD[[#This Row],[Ingreso Packing]]-OLDBD[[#This Row],[Llegada a packing]],"")</f>
        <v/>
      </c>
      <c r="AW105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1" s="5" t="str">
        <f>IFERROR(OLDBD[[#This Row],[Llegada Almacén de Ingreso]]-OLDBD[[#This Row],[Salida Packing]],"")</f>
        <v/>
      </c>
      <c r="AY1051" s="4" t="str" cm="1">
        <f t="array" ref="AY105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1" s="43" t="s">
        <v>173</v>
      </c>
      <c r="BB1051" s="47" t="str">
        <f>IFERROR(IF(MARÍTIMOS[[#This Row],[Estatus]]="","",MARÍTIMOS[[#This Row],[Estatus]]),"")</f>
        <v/>
      </c>
      <c r="BC1051" s="43"/>
      <c r="BD1051" s="46" t="str">
        <f>IFERROR(OLDBD[[#This Row],[Salida de almacén de retiro]]-OLDBD[[#This Row],[Ingreso Almacén de retiro]],"")</f>
        <v/>
      </c>
      <c r="BE1051" s="46" t="str">
        <f>IFERROR(OLDBD[[#This Row],[Fin de Carga]]-OLDBD[[#This Row],[Inicio de Carga]],"")</f>
        <v/>
      </c>
    </row>
    <row r="1052" spans="1:57" customFormat="1" hidden="1">
      <c r="A1052" s="1"/>
      <c r="B1052" s="1" t="str">
        <f>IFERROR(IF(MARÍTIMOS[[#This Row],[PP]]="","",MARÍTIMOS[[#This Row],[PP]]),"")</f>
        <v/>
      </c>
      <c r="C1052" s="1" t="str">
        <f>IFERROR(IF(MARÍTIMOS[[#This Row],[Sede]]="","",MARÍTIMOS[[#This Row],[Sede]]),"")</f>
        <v/>
      </c>
      <c r="D1052" s="1" t="str">
        <f>IFERROR(IF(MARÍTIMOS[[#This Row],[Instruction]]="","",MARÍTIMOS[[#This Row],[Instruction]]),"")</f>
        <v/>
      </c>
      <c r="E1052" s="1"/>
      <c r="F1052" s="2" t="str">
        <f>IFERROR(IF(MARÍTIMOS[[#This Row],[Transportista]]="","",MARÍTIMOS[[#This Row],[Transportista]]),"")</f>
        <v/>
      </c>
      <c r="G1052" s="2" t="str">
        <f>IFERROR(IF(MARÍTIMOS[[#This Row],[Tercero]]="","",MARÍTIMOS[[#This Row],[Tercero]]),"")</f>
        <v/>
      </c>
      <c r="H1052" s="2" t="str">
        <f>IFERROR(IF(MARÍTIMOS[[#This Row],[Razón Social]]="","",MARÍTIMOS[[#This Row],[Razón Social]]),"")</f>
        <v/>
      </c>
      <c r="I1052" s="2" t="str">
        <f>IFERROR(IF(MARÍTIMOS[[#This Row],[RUC]]="","",MARÍTIMOS[[#This Row],[RUC]]),"")</f>
        <v/>
      </c>
      <c r="J1052" s="2" t="str">
        <f>IFERROR(IF(MARÍTIMOS[[#This Row],[Placa Tracto]]="","",MARÍTIMOS[[#This Row],[Placa Tracto]]),"")</f>
        <v/>
      </c>
      <c r="K1052" s="2" t="str">
        <f>IFERROR(IF(MARÍTIMOS[[#This Row],[Placa Carreta]]="","",MARÍTIMOS[[#This Row],[Placa Carreta]]),"")</f>
        <v/>
      </c>
      <c r="L1052" s="44" t="str">
        <f>IFERROR(IF(MARÍTIMOS[[#This Row],[Conductor]]="","",MARÍTIMOS[[#This Row],[Conductor]]),"")</f>
        <v/>
      </c>
      <c r="M1052" s="2" t="str">
        <f>IFERROR(IF(MARÍTIMOS[[#This Row],[Licencia]]="","",MARÍTIMOS[[#This Row],[Licencia]]),"")</f>
        <v/>
      </c>
      <c r="N1052" s="2" t="str">
        <f>IFERROR(IF(MARÍTIMOS[[#This Row],[Número de Contacto]]="","",MARÍTIMOS[[#This Row],[Número de Contacto]]),"")</f>
        <v/>
      </c>
      <c r="O1052" s="10" t="str">
        <f>IFERROR(IF(MARÍTIMOS[[#This Row],[Booking|AWB|CRT]]="","",MARÍTIMOS[[#This Row],[Booking|AWB|CRT]]),"")</f>
        <v/>
      </c>
      <c r="P1052" s="2" t="str">
        <f>IFERROR(IF(MARÍTIMOS[[#This Row],[Contenedor]]="","",MARÍTIMOS[[#This Row],[Contenedor]]),"")</f>
        <v/>
      </c>
      <c r="Q1052" s="2" t="str">
        <f>IFERROR(IF(MARÍTIMOS[[#This Row],[Puerto de Retiro]]="","",MARÍTIMOS[[#This Row],[Puerto de Retiro]]),"")</f>
        <v/>
      </c>
      <c r="R1052" s="2" t="str">
        <f>IFERROR(IF(MARÍTIMOS[[#This Row],[Almacén de Retiro]]="","",MARÍTIMOS[[#This Row],[Almacén de Retiro]]),"")</f>
        <v/>
      </c>
      <c r="S1052" s="11" t="str">
        <f>IFERROR(IF(MARÍTIMOS[[#This Row],[Etapa Retiro - Cita]]="","",MARÍTIMOS[[#This Row],[Etapa Retiro - Cita]]),"")</f>
        <v/>
      </c>
      <c r="T1052" s="11" t="str">
        <f>IFERROR(IF(MARÍTIMOS[[#This Row],[Etapa Retiro - Llegada]]="","",MARÍTIMOS[[#This Row],[Etapa Retiro - Llegada]]),"")</f>
        <v/>
      </c>
      <c r="U1052" s="11" t="str">
        <f>IFERROR(IF(MARÍTIMOS[[#This Row],[Etapa Retiro - Ingreso]]="","",MARÍTIMOS[[#This Row],[Etapa Retiro - Ingreso]]),"")</f>
        <v/>
      </c>
      <c r="V1052" s="11" t="str">
        <f>IFERROR(IF(MARÍTIMOS[[#This Row],[Etapa Retiro - Atención]]="","",MARÍTIMOS[[#This Row],[Etapa Retiro - Atención]]),"")</f>
        <v/>
      </c>
      <c r="W1052" s="11" t="str">
        <f>IFERROR(IF(MARÍTIMOS[[#This Row],[Etapa Retiro - Atención]]="","",MARÍTIMOS[[#This Row],[Etapa Retiro - Atención]]),"")</f>
        <v/>
      </c>
      <c r="X1052" s="11" t="str">
        <f>IFERROR(IF(MARÍTIMOS[[#This Row],[Etapa Retiro - Inicio de Ruta]]="","",MARÍTIMOS[[#This Row],[Etapa Retiro - Inicio de Ruta]]),"")</f>
        <v/>
      </c>
      <c r="Y1052" s="11" t="str">
        <f>IFERROR(IF(MARÍTIMOS[[#This Row],[Hora de Posicionamiento]]="","",MARÍTIMOS[[#This Row],[Fecha de Carga]]+MARÍTIMOS[[#This Row],[Hora de Posicionamiento]]),"")</f>
        <v/>
      </c>
      <c r="Z1052" s="11" t="str">
        <f>IFERROR(IF(MARÍTIMOS[[#This Row],[Etapa Despacho - Llegada]]="","",MARÍTIMOS[[#This Row],[Etapa Despacho - Llegada]]),"")</f>
        <v/>
      </c>
      <c r="AA1052" s="11" t="str">
        <f>IFERROR(IF(MARÍTIMOS[[#This Row],[Etapa Despacho - Registro]]="","",MARÍTIMOS[[#This Row],[Etapa Despacho - Registro]]),"")</f>
        <v/>
      </c>
      <c r="AB1052" s="11" t="str">
        <f>IFERROR(IF(MARÍTIMOS[[#This Row],[Inspección Externa]]="","",MARÍTIMOS[[#This Row],[Inspección Externa]]),"")</f>
        <v/>
      </c>
      <c r="AC1052" s="11" t="str">
        <f>IFERROR(IF(MARÍTIMOS[[#This Row],[Etapa Despacho - Inicio de Carga]]="","",MARÍTIMOS[[#This Row],[Etapa Despacho - Inicio de Carga]]),"")</f>
        <v/>
      </c>
      <c r="AD1052" s="11" t="str">
        <f>IFERROR(IF(MARÍTIMOS[[#This Row],[Etapa Despacho - Mitad de Carga]]="","",MARÍTIMOS[[#This Row],[Etapa Despacho - Mitad de Carga]]),"")</f>
        <v/>
      </c>
      <c r="AE1052" s="11" t="str">
        <f>IFERROR(IF(MARÍTIMOS[[#This Row],[Etapa Despacho - Fin de Carga]]="","",MARÍTIMOS[[#This Row],[Etapa Despacho - Fin de Carga]]),"")</f>
        <v/>
      </c>
      <c r="AF1052" s="2" t="str">
        <f>IFERROR(IF(MARÍTIMOS[[#This Row],[Puerto de Embarque]]="","",MARÍTIMOS[[#This Row],[Puerto de Embarque]]),"")</f>
        <v/>
      </c>
      <c r="AG1052" s="2" t="str">
        <f>IFERROR(IF(MARÍTIMOS[[#This Row],[Almacén de Ingreso]]="","",MARÍTIMOS[[#This Row],[Almacén de Ingreso]]),"")</f>
        <v/>
      </c>
      <c r="AH1052" s="11" t="str">
        <f>IFERROR(IF(MARÍTIMOS[[#This Row],[Etapa Ingreso - Cita]]="","",MARÍTIMOS[[#This Row],[Etapa Ingreso - Cita]]),"")</f>
        <v/>
      </c>
      <c r="AI1052" s="11" t="str">
        <f>IFERROR(IF(MARÍTIMOS[[#This Row],[Etapa Ingreso - Llegada]]="","",MARÍTIMOS[[#This Row],[Etapa Ingreso - Llegada]]),"")</f>
        <v/>
      </c>
      <c r="AJ1052" s="11" t="str">
        <f>IFERROR(IF(MARÍTIMOS[[#This Row],[Etapa Ingreso - Ingeso]]="","",MARÍTIMOS[[#This Row],[Etapa Ingreso - Ingeso]]),"")</f>
        <v/>
      </c>
      <c r="AK1052" s="11" t="str">
        <f>IFERROR(IF(MARÍTIMOS[[#This Row],[Etapa Ingreso - Atención]]="","",MARÍTIMOS[[#This Row],[Etapa Ingreso - Atención]]),"")</f>
        <v/>
      </c>
      <c r="AL1052" s="11" t="str">
        <f>IFERROR(IF(MARÍTIMOS[[#This Row],[Etapa Ingreso - Salida]]="","",MARÍTIMOS[[#This Row],[Etapa Ingreso - Salida]]),"")</f>
        <v/>
      </c>
      <c r="AM1052" s="2" t="str">
        <f>IFERROR(IF(MARÍTIMOS[[#This Row],[FCL]]="","",MARÍTIMOS[[#This Row],[FCL]]),"")</f>
        <v/>
      </c>
      <c r="AN105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2" s="4" t="str" cm="1">
        <f t="array" ref="AO105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2" s="5" t="str">
        <f>IFERROR(OLDBD[[#This Row],[Llegada a packing]]-OLDBD[[#This Row],[Inicio de Ruta]],"")</f>
        <v/>
      </c>
      <c r="AQ1052" s="6" t="str">
        <f>IFERROR(OLDBD[[#This Row],[Inicio de Ruta]]-OLDBD[[#This Row],[Salida de almacén de retiro]],"")</f>
        <v/>
      </c>
      <c r="AR105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2" s="8" t="str" cm="1">
        <f t="array" ref="AS105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2" s="9" t="str">
        <f>IFERROR(OLDBD[[#This Row],[Ingreso Packing]]-OLDBD[[#This Row],[Registro en Packing]],"")</f>
        <v/>
      </c>
      <c r="AV1052" s="9" t="str">
        <f>IFERROR(OLDBD[[#This Row],[Ingreso Packing]]-OLDBD[[#This Row],[Llegada a packing]],"")</f>
        <v/>
      </c>
      <c r="AW105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2" s="5" t="str">
        <f>IFERROR(OLDBD[[#This Row],[Llegada Almacén de Ingreso]]-OLDBD[[#This Row],[Salida Packing]],"")</f>
        <v/>
      </c>
      <c r="AY1052" s="4" t="str" cm="1">
        <f t="array" ref="AY105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2" s="43" t="s">
        <v>173</v>
      </c>
      <c r="BB1052" s="47" t="str">
        <f>IFERROR(IF(MARÍTIMOS[[#This Row],[Estatus]]="","",MARÍTIMOS[[#This Row],[Estatus]]),"")</f>
        <v/>
      </c>
      <c r="BC1052" s="43"/>
      <c r="BD1052" s="46" t="str">
        <f>IFERROR(OLDBD[[#This Row],[Salida de almacén de retiro]]-OLDBD[[#This Row],[Ingreso Almacén de retiro]],"")</f>
        <v/>
      </c>
      <c r="BE1052" s="46" t="str">
        <f>IFERROR(OLDBD[[#This Row],[Fin de Carga]]-OLDBD[[#This Row],[Inicio de Carga]],"")</f>
        <v/>
      </c>
    </row>
    <row r="1053" spans="1:57" customFormat="1" hidden="1">
      <c r="A1053" s="1"/>
      <c r="B1053" s="1" t="str">
        <f>IFERROR(IF(MARÍTIMOS[[#This Row],[PP]]="","",MARÍTIMOS[[#This Row],[PP]]),"")</f>
        <v/>
      </c>
      <c r="C1053" s="1" t="str">
        <f>IFERROR(IF(MARÍTIMOS[[#This Row],[Sede]]="","",MARÍTIMOS[[#This Row],[Sede]]),"")</f>
        <v/>
      </c>
      <c r="D1053" s="1" t="str">
        <f>IFERROR(IF(MARÍTIMOS[[#This Row],[Instruction]]="","",MARÍTIMOS[[#This Row],[Instruction]]),"")</f>
        <v/>
      </c>
      <c r="E1053" s="1"/>
      <c r="F1053" s="2" t="str">
        <f>IFERROR(IF(MARÍTIMOS[[#This Row],[Transportista]]="","",MARÍTIMOS[[#This Row],[Transportista]]),"")</f>
        <v/>
      </c>
      <c r="G1053" s="2" t="str">
        <f>IFERROR(IF(MARÍTIMOS[[#This Row],[Tercero]]="","",MARÍTIMOS[[#This Row],[Tercero]]),"")</f>
        <v/>
      </c>
      <c r="H1053" s="2" t="str">
        <f>IFERROR(IF(MARÍTIMOS[[#This Row],[Razón Social]]="","",MARÍTIMOS[[#This Row],[Razón Social]]),"")</f>
        <v/>
      </c>
      <c r="I1053" s="2" t="str">
        <f>IFERROR(IF(MARÍTIMOS[[#This Row],[RUC]]="","",MARÍTIMOS[[#This Row],[RUC]]),"")</f>
        <v/>
      </c>
      <c r="J1053" s="2" t="str">
        <f>IFERROR(IF(MARÍTIMOS[[#This Row],[Placa Tracto]]="","",MARÍTIMOS[[#This Row],[Placa Tracto]]),"")</f>
        <v/>
      </c>
      <c r="K1053" s="2" t="str">
        <f>IFERROR(IF(MARÍTIMOS[[#This Row],[Placa Carreta]]="","",MARÍTIMOS[[#This Row],[Placa Carreta]]),"")</f>
        <v/>
      </c>
      <c r="L1053" s="44" t="str">
        <f>IFERROR(IF(MARÍTIMOS[[#This Row],[Conductor]]="","",MARÍTIMOS[[#This Row],[Conductor]]),"")</f>
        <v/>
      </c>
      <c r="M1053" s="2" t="str">
        <f>IFERROR(IF(MARÍTIMOS[[#This Row],[Licencia]]="","",MARÍTIMOS[[#This Row],[Licencia]]),"")</f>
        <v/>
      </c>
      <c r="N1053" s="2" t="str">
        <f>IFERROR(IF(MARÍTIMOS[[#This Row],[Número de Contacto]]="","",MARÍTIMOS[[#This Row],[Número de Contacto]]),"")</f>
        <v/>
      </c>
      <c r="O1053" s="10" t="str">
        <f>IFERROR(IF(MARÍTIMOS[[#This Row],[Booking|AWB|CRT]]="","",MARÍTIMOS[[#This Row],[Booking|AWB|CRT]]),"")</f>
        <v/>
      </c>
      <c r="P1053" s="2" t="str">
        <f>IFERROR(IF(MARÍTIMOS[[#This Row],[Contenedor]]="","",MARÍTIMOS[[#This Row],[Contenedor]]),"")</f>
        <v/>
      </c>
      <c r="Q1053" s="2" t="str">
        <f>IFERROR(IF(MARÍTIMOS[[#This Row],[Puerto de Retiro]]="","",MARÍTIMOS[[#This Row],[Puerto de Retiro]]),"")</f>
        <v/>
      </c>
      <c r="R1053" s="2" t="str">
        <f>IFERROR(IF(MARÍTIMOS[[#This Row],[Almacén de Retiro]]="","",MARÍTIMOS[[#This Row],[Almacén de Retiro]]),"")</f>
        <v/>
      </c>
      <c r="S1053" s="11" t="str">
        <f>IFERROR(IF(MARÍTIMOS[[#This Row],[Etapa Retiro - Cita]]="","",MARÍTIMOS[[#This Row],[Etapa Retiro - Cita]]),"")</f>
        <v/>
      </c>
      <c r="T1053" s="11" t="str">
        <f>IFERROR(IF(MARÍTIMOS[[#This Row],[Etapa Retiro - Llegada]]="","",MARÍTIMOS[[#This Row],[Etapa Retiro - Llegada]]),"")</f>
        <v/>
      </c>
      <c r="U1053" s="11" t="str">
        <f>IFERROR(IF(MARÍTIMOS[[#This Row],[Etapa Retiro - Ingreso]]="","",MARÍTIMOS[[#This Row],[Etapa Retiro - Ingreso]]),"")</f>
        <v/>
      </c>
      <c r="V1053" s="11" t="str">
        <f>IFERROR(IF(MARÍTIMOS[[#This Row],[Etapa Retiro - Atención]]="","",MARÍTIMOS[[#This Row],[Etapa Retiro - Atención]]),"")</f>
        <v/>
      </c>
      <c r="W1053" s="11" t="str">
        <f>IFERROR(IF(MARÍTIMOS[[#This Row],[Etapa Retiro - Atención]]="","",MARÍTIMOS[[#This Row],[Etapa Retiro - Atención]]),"")</f>
        <v/>
      </c>
      <c r="X1053" s="11" t="str">
        <f>IFERROR(IF(MARÍTIMOS[[#This Row],[Etapa Retiro - Inicio de Ruta]]="","",MARÍTIMOS[[#This Row],[Etapa Retiro - Inicio de Ruta]]),"")</f>
        <v/>
      </c>
      <c r="Y1053" s="11" t="str">
        <f>IFERROR(IF(MARÍTIMOS[[#This Row],[Hora de Posicionamiento]]="","",MARÍTIMOS[[#This Row],[Fecha de Carga]]+MARÍTIMOS[[#This Row],[Hora de Posicionamiento]]),"")</f>
        <v/>
      </c>
      <c r="Z1053" s="11" t="str">
        <f>IFERROR(IF(MARÍTIMOS[[#This Row],[Etapa Despacho - Llegada]]="","",MARÍTIMOS[[#This Row],[Etapa Despacho - Llegada]]),"")</f>
        <v/>
      </c>
      <c r="AA1053" s="11" t="str">
        <f>IFERROR(IF(MARÍTIMOS[[#This Row],[Etapa Despacho - Registro]]="","",MARÍTIMOS[[#This Row],[Etapa Despacho - Registro]]),"")</f>
        <v/>
      </c>
      <c r="AB1053" s="11" t="str">
        <f>IFERROR(IF(MARÍTIMOS[[#This Row],[Inspección Externa]]="","",MARÍTIMOS[[#This Row],[Inspección Externa]]),"")</f>
        <v/>
      </c>
      <c r="AC1053" s="11" t="str">
        <f>IFERROR(IF(MARÍTIMOS[[#This Row],[Etapa Despacho - Inicio de Carga]]="","",MARÍTIMOS[[#This Row],[Etapa Despacho - Inicio de Carga]]),"")</f>
        <v/>
      </c>
      <c r="AD1053" s="11" t="str">
        <f>IFERROR(IF(MARÍTIMOS[[#This Row],[Etapa Despacho - Mitad de Carga]]="","",MARÍTIMOS[[#This Row],[Etapa Despacho - Mitad de Carga]]),"")</f>
        <v/>
      </c>
      <c r="AE1053" s="11" t="str">
        <f>IFERROR(IF(MARÍTIMOS[[#This Row],[Etapa Despacho - Fin de Carga]]="","",MARÍTIMOS[[#This Row],[Etapa Despacho - Fin de Carga]]),"")</f>
        <v/>
      </c>
      <c r="AF1053" s="2" t="str">
        <f>IFERROR(IF(MARÍTIMOS[[#This Row],[Puerto de Embarque]]="","",MARÍTIMOS[[#This Row],[Puerto de Embarque]]),"")</f>
        <v/>
      </c>
      <c r="AG1053" s="2" t="str">
        <f>IFERROR(IF(MARÍTIMOS[[#This Row],[Almacén de Ingreso]]="","",MARÍTIMOS[[#This Row],[Almacén de Ingreso]]),"")</f>
        <v/>
      </c>
      <c r="AH1053" s="11" t="str">
        <f>IFERROR(IF(MARÍTIMOS[[#This Row],[Etapa Ingreso - Cita]]="","",MARÍTIMOS[[#This Row],[Etapa Ingreso - Cita]]),"")</f>
        <v/>
      </c>
      <c r="AI1053" s="11" t="str">
        <f>IFERROR(IF(MARÍTIMOS[[#This Row],[Etapa Ingreso - Llegada]]="","",MARÍTIMOS[[#This Row],[Etapa Ingreso - Llegada]]),"")</f>
        <v/>
      </c>
      <c r="AJ1053" s="11" t="str">
        <f>IFERROR(IF(MARÍTIMOS[[#This Row],[Etapa Ingreso - Ingeso]]="","",MARÍTIMOS[[#This Row],[Etapa Ingreso - Ingeso]]),"")</f>
        <v/>
      </c>
      <c r="AK1053" s="11" t="str">
        <f>IFERROR(IF(MARÍTIMOS[[#This Row],[Etapa Ingreso - Atención]]="","",MARÍTIMOS[[#This Row],[Etapa Ingreso - Atención]]),"")</f>
        <v/>
      </c>
      <c r="AL1053" s="11" t="str">
        <f>IFERROR(IF(MARÍTIMOS[[#This Row],[Etapa Ingreso - Salida]]="","",MARÍTIMOS[[#This Row],[Etapa Ingreso - Salida]]),"")</f>
        <v/>
      </c>
      <c r="AM1053" s="2" t="str">
        <f>IFERROR(IF(MARÍTIMOS[[#This Row],[FCL]]="","",MARÍTIMOS[[#This Row],[FCL]]),"")</f>
        <v/>
      </c>
      <c r="AN105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3" s="4" t="str" cm="1">
        <f t="array" ref="AO105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3" s="5" t="str">
        <f>IFERROR(OLDBD[[#This Row],[Llegada a packing]]-OLDBD[[#This Row],[Inicio de Ruta]],"")</f>
        <v/>
      </c>
      <c r="AQ1053" s="6" t="str">
        <f>IFERROR(OLDBD[[#This Row],[Inicio de Ruta]]-OLDBD[[#This Row],[Salida de almacén de retiro]],"")</f>
        <v/>
      </c>
      <c r="AR105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3" s="8" t="str" cm="1">
        <f t="array" ref="AS105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3" s="9" t="str">
        <f>IFERROR(OLDBD[[#This Row],[Ingreso Packing]]-OLDBD[[#This Row],[Registro en Packing]],"")</f>
        <v/>
      </c>
      <c r="AV1053" s="9" t="str">
        <f>IFERROR(OLDBD[[#This Row],[Ingreso Packing]]-OLDBD[[#This Row],[Llegada a packing]],"")</f>
        <v/>
      </c>
      <c r="AW105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3" s="5" t="str">
        <f>IFERROR(OLDBD[[#This Row],[Llegada Almacén de Ingreso]]-OLDBD[[#This Row],[Salida Packing]],"")</f>
        <v/>
      </c>
      <c r="AY1053" s="4" t="str" cm="1">
        <f t="array" ref="AY105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3" s="43" t="s">
        <v>173</v>
      </c>
      <c r="BB1053" s="47" t="str">
        <f>IFERROR(IF(MARÍTIMOS[[#This Row],[Estatus]]="","",MARÍTIMOS[[#This Row],[Estatus]]),"")</f>
        <v/>
      </c>
      <c r="BC1053" s="43"/>
      <c r="BD1053" s="46" t="str">
        <f>IFERROR(OLDBD[[#This Row],[Salida de almacén de retiro]]-OLDBD[[#This Row],[Ingreso Almacén de retiro]],"")</f>
        <v/>
      </c>
      <c r="BE1053" s="46" t="str">
        <f>IFERROR(OLDBD[[#This Row],[Fin de Carga]]-OLDBD[[#This Row],[Inicio de Carga]],"")</f>
        <v/>
      </c>
    </row>
    <row r="1054" spans="1:57" customFormat="1" hidden="1">
      <c r="A1054" s="1"/>
      <c r="B1054" s="1" t="str">
        <f>IFERROR(IF(MARÍTIMOS[[#This Row],[PP]]="","",MARÍTIMOS[[#This Row],[PP]]),"")</f>
        <v/>
      </c>
      <c r="C1054" s="1" t="str">
        <f>IFERROR(IF(MARÍTIMOS[[#This Row],[Sede]]="","",MARÍTIMOS[[#This Row],[Sede]]),"")</f>
        <v/>
      </c>
      <c r="D1054" s="1" t="str">
        <f>IFERROR(IF(MARÍTIMOS[[#This Row],[Instruction]]="","",MARÍTIMOS[[#This Row],[Instruction]]),"")</f>
        <v/>
      </c>
      <c r="E1054" s="1"/>
      <c r="F1054" s="2" t="str">
        <f>IFERROR(IF(MARÍTIMOS[[#This Row],[Transportista]]="","",MARÍTIMOS[[#This Row],[Transportista]]),"")</f>
        <v/>
      </c>
      <c r="G1054" s="2" t="str">
        <f>IFERROR(IF(MARÍTIMOS[[#This Row],[Tercero]]="","",MARÍTIMOS[[#This Row],[Tercero]]),"")</f>
        <v/>
      </c>
      <c r="H1054" s="2" t="str">
        <f>IFERROR(IF(MARÍTIMOS[[#This Row],[Razón Social]]="","",MARÍTIMOS[[#This Row],[Razón Social]]),"")</f>
        <v/>
      </c>
      <c r="I1054" s="2" t="str">
        <f>IFERROR(IF(MARÍTIMOS[[#This Row],[RUC]]="","",MARÍTIMOS[[#This Row],[RUC]]),"")</f>
        <v/>
      </c>
      <c r="J1054" s="2" t="str">
        <f>IFERROR(IF(MARÍTIMOS[[#This Row],[Placa Tracto]]="","",MARÍTIMOS[[#This Row],[Placa Tracto]]),"")</f>
        <v/>
      </c>
      <c r="K1054" s="2" t="str">
        <f>IFERROR(IF(MARÍTIMOS[[#This Row],[Placa Carreta]]="","",MARÍTIMOS[[#This Row],[Placa Carreta]]),"")</f>
        <v/>
      </c>
      <c r="L1054" s="44" t="str">
        <f>IFERROR(IF(MARÍTIMOS[[#This Row],[Conductor]]="","",MARÍTIMOS[[#This Row],[Conductor]]),"")</f>
        <v/>
      </c>
      <c r="M1054" s="2" t="str">
        <f>IFERROR(IF(MARÍTIMOS[[#This Row],[Licencia]]="","",MARÍTIMOS[[#This Row],[Licencia]]),"")</f>
        <v/>
      </c>
      <c r="N1054" s="2" t="str">
        <f>IFERROR(IF(MARÍTIMOS[[#This Row],[Número de Contacto]]="","",MARÍTIMOS[[#This Row],[Número de Contacto]]),"")</f>
        <v/>
      </c>
      <c r="O1054" s="10" t="str">
        <f>IFERROR(IF(MARÍTIMOS[[#This Row],[Booking|AWB|CRT]]="","",MARÍTIMOS[[#This Row],[Booking|AWB|CRT]]),"")</f>
        <v/>
      </c>
      <c r="P1054" s="2" t="str">
        <f>IFERROR(IF(MARÍTIMOS[[#This Row],[Contenedor]]="","",MARÍTIMOS[[#This Row],[Contenedor]]),"")</f>
        <v/>
      </c>
      <c r="Q1054" s="2" t="str">
        <f>IFERROR(IF(MARÍTIMOS[[#This Row],[Puerto de Retiro]]="","",MARÍTIMOS[[#This Row],[Puerto de Retiro]]),"")</f>
        <v/>
      </c>
      <c r="R1054" s="2" t="str">
        <f>IFERROR(IF(MARÍTIMOS[[#This Row],[Almacén de Retiro]]="","",MARÍTIMOS[[#This Row],[Almacén de Retiro]]),"")</f>
        <v/>
      </c>
      <c r="S1054" s="11" t="str">
        <f>IFERROR(IF(MARÍTIMOS[[#This Row],[Etapa Retiro - Cita]]="","",MARÍTIMOS[[#This Row],[Etapa Retiro - Cita]]),"")</f>
        <v/>
      </c>
      <c r="T1054" s="11" t="str">
        <f>IFERROR(IF(MARÍTIMOS[[#This Row],[Etapa Retiro - Llegada]]="","",MARÍTIMOS[[#This Row],[Etapa Retiro - Llegada]]),"")</f>
        <v/>
      </c>
      <c r="U1054" s="11" t="str">
        <f>IFERROR(IF(MARÍTIMOS[[#This Row],[Etapa Retiro - Ingreso]]="","",MARÍTIMOS[[#This Row],[Etapa Retiro - Ingreso]]),"")</f>
        <v/>
      </c>
      <c r="V1054" s="11" t="str">
        <f>IFERROR(IF(MARÍTIMOS[[#This Row],[Etapa Retiro - Atención]]="","",MARÍTIMOS[[#This Row],[Etapa Retiro - Atención]]),"")</f>
        <v/>
      </c>
      <c r="W1054" s="11" t="str">
        <f>IFERROR(IF(MARÍTIMOS[[#This Row],[Etapa Retiro - Atención]]="","",MARÍTIMOS[[#This Row],[Etapa Retiro - Atención]]),"")</f>
        <v/>
      </c>
      <c r="X1054" s="11" t="str">
        <f>IFERROR(IF(MARÍTIMOS[[#This Row],[Etapa Retiro - Inicio de Ruta]]="","",MARÍTIMOS[[#This Row],[Etapa Retiro - Inicio de Ruta]]),"")</f>
        <v/>
      </c>
      <c r="Y1054" s="11" t="str">
        <f>IFERROR(IF(MARÍTIMOS[[#This Row],[Hora de Posicionamiento]]="","",MARÍTIMOS[[#This Row],[Fecha de Carga]]+MARÍTIMOS[[#This Row],[Hora de Posicionamiento]]),"")</f>
        <v/>
      </c>
      <c r="Z1054" s="11" t="str">
        <f>IFERROR(IF(MARÍTIMOS[[#This Row],[Etapa Despacho - Llegada]]="","",MARÍTIMOS[[#This Row],[Etapa Despacho - Llegada]]),"")</f>
        <v/>
      </c>
      <c r="AA1054" s="11" t="str">
        <f>IFERROR(IF(MARÍTIMOS[[#This Row],[Etapa Despacho - Registro]]="","",MARÍTIMOS[[#This Row],[Etapa Despacho - Registro]]),"")</f>
        <v/>
      </c>
      <c r="AB1054" s="11" t="str">
        <f>IFERROR(IF(MARÍTIMOS[[#This Row],[Inspección Externa]]="","",MARÍTIMOS[[#This Row],[Inspección Externa]]),"")</f>
        <v/>
      </c>
      <c r="AC1054" s="11" t="str">
        <f>IFERROR(IF(MARÍTIMOS[[#This Row],[Etapa Despacho - Inicio de Carga]]="","",MARÍTIMOS[[#This Row],[Etapa Despacho - Inicio de Carga]]),"")</f>
        <v/>
      </c>
      <c r="AD1054" s="11" t="str">
        <f>IFERROR(IF(MARÍTIMOS[[#This Row],[Etapa Despacho - Mitad de Carga]]="","",MARÍTIMOS[[#This Row],[Etapa Despacho - Mitad de Carga]]),"")</f>
        <v/>
      </c>
      <c r="AE1054" s="11" t="str">
        <f>IFERROR(IF(MARÍTIMOS[[#This Row],[Etapa Despacho - Fin de Carga]]="","",MARÍTIMOS[[#This Row],[Etapa Despacho - Fin de Carga]]),"")</f>
        <v/>
      </c>
      <c r="AF1054" s="2" t="str">
        <f>IFERROR(IF(MARÍTIMOS[[#This Row],[Puerto de Embarque]]="","",MARÍTIMOS[[#This Row],[Puerto de Embarque]]),"")</f>
        <v/>
      </c>
      <c r="AG1054" s="2" t="str">
        <f>IFERROR(IF(MARÍTIMOS[[#This Row],[Almacén de Ingreso]]="","",MARÍTIMOS[[#This Row],[Almacén de Ingreso]]),"")</f>
        <v/>
      </c>
      <c r="AH1054" s="11" t="str">
        <f>IFERROR(IF(MARÍTIMOS[[#This Row],[Etapa Ingreso - Cita]]="","",MARÍTIMOS[[#This Row],[Etapa Ingreso - Cita]]),"")</f>
        <v/>
      </c>
      <c r="AI1054" s="11" t="str">
        <f>IFERROR(IF(MARÍTIMOS[[#This Row],[Etapa Ingreso - Llegada]]="","",MARÍTIMOS[[#This Row],[Etapa Ingreso - Llegada]]),"")</f>
        <v/>
      </c>
      <c r="AJ1054" s="11" t="str">
        <f>IFERROR(IF(MARÍTIMOS[[#This Row],[Etapa Ingreso - Ingeso]]="","",MARÍTIMOS[[#This Row],[Etapa Ingreso - Ingeso]]),"")</f>
        <v/>
      </c>
      <c r="AK1054" s="11" t="str">
        <f>IFERROR(IF(MARÍTIMOS[[#This Row],[Etapa Ingreso - Atención]]="","",MARÍTIMOS[[#This Row],[Etapa Ingreso - Atención]]),"")</f>
        <v/>
      </c>
      <c r="AL1054" s="11" t="str">
        <f>IFERROR(IF(MARÍTIMOS[[#This Row],[Etapa Ingreso - Salida]]="","",MARÍTIMOS[[#This Row],[Etapa Ingreso - Salida]]),"")</f>
        <v/>
      </c>
      <c r="AM1054" s="2" t="str">
        <f>IFERROR(IF(MARÍTIMOS[[#This Row],[FCL]]="","",MARÍTIMOS[[#This Row],[FCL]]),"")</f>
        <v/>
      </c>
      <c r="AN105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4" s="4" t="str" cm="1">
        <f t="array" ref="AO105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4" s="5" t="str">
        <f>IFERROR(OLDBD[[#This Row],[Llegada a packing]]-OLDBD[[#This Row],[Inicio de Ruta]],"")</f>
        <v/>
      </c>
      <c r="AQ1054" s="6" t="str">
        <f>IFERROR(OLDBD[[#This Row],[Inicio de Ruta]]-OLDBD[[#This Row],[Salida de almacén de retiro]],"")</f>
        <v/>
      </c>
      <c r="AR105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4" s="8" t="str" cm="1">
        <f t="array" ref="AS105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4" s="9" t="str">
        <f>IFERROR(OLDBD[[#This Row],[Ingreso Packing]]-OLDBD[[#This Row],[Registro en Packing]],"")</f>
        <v/>
      </c>
      <c r="AV1054" s="9" t="str">
        <f>IFERROR(OLDBD[[#This Row],[Ingreso Packing]]-OLDBD[[#This Row],[Llegada a packing]],"")</f>
        <v/>
      </c>
      <c r="AW105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4" s="5" t="str">
        <f>IFERROR(OLDBD[[#This Row],[Llegada Almacén de Ingreso]]-OLDBD[[#This Row],[Salida Packing]],"")</f>
        <v/>
      </c>
      <c r="AY1054" s="4" t="str" cm="1">
        <f t="array" ref="AY105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4" s="43" t="s">
        <v>173</v>
      </c>
      <c r="BB1054" s="47" t="str">
        <f>IFERROR(IF(MARÍTIMOS[[#This Row],[Estatus]]="","",MARÍTIMOS[[#This Row],[Estatus]]),"")</f>
        <v/>
      </c>
      <c r="BC1054" s="43"/>
      <c r="BD1054" s="46" t="str">
        <f>IFERROR(OLDBD[[#This Row],[Salida de almacén de retiro]]-OLDBD[[#This Row],[Ingreso Almacén de retiro]],"")</f>
        <v/>
      </c>
      <c r="BE1054" s="46" t="str">
        <f>IFERROR(OLDBD[[#This Row],[Fin de Carga]]-OLDBD[[#This Row],[Inicio de Carga]],"")</f>
        <v/>
      </c>
    </row>
    <row r="1055" spans="1:57" customFormat="1" hidden="1">
      <c r="A1055" s="1"/>
      <c r="B1055" s="1" t="str">
        <f>IFERROR(IF(MARÍTIMOS[[#This Row],[PP]]="","",MARÍTIMOS[[#This Row],[PP]]),"")</f>
        <v/>
      </c>
      <c r="C1055" s="1" t="str">
        <f>IFERROR(IF(MARÍTIMOS[[#This Row],[Sede]]="","",MARÍTIMOS[[#This Row],[Sede]]),"")</f>
        <v/>
      </c>
      <c r="D1055" s="1" t="str">
        <f>IFERROR(IF(MARÍTIMOS[[#This Row],[Instruction]]="","",MARÍTIMOS[[#This Row],[Instruction]]),"")</f>
        <v/>
      </c>
      <c r="E1055" s="1"/>
      <c r="F1055" s="2" t="str">
        <f>IFERROR(IF(MARÍTIMOS[[#This Row],[Transportista]]="","",MARÍTIMOS[[#This Row],[Transportista]]),"")</f>
        <v/>
      </c>
      <c r="G1055" s="2" t="str">
        <f>IFERROR(IF(MARÍTIMOS[[#This Row],[Tercero]]="","",MARÍTIMOS[[#This Row],[Tercero]]),"")</f>
        <v/>
      </c>
      <c r="H1055" s="2" t="str">
        <f>IFERROR(IF(MARÍTIMOS[[#This Row],[Razón Social]]="","",MARÍTIMOS[[#This Row],[Razón Social]]),"")</f>
        <v/>
      </c>
      <c r="I1055" s="2" t="str">
        <f>IFERROR(IF(MARÍTIMOS[[#This Row],[RUC]]="","",MARÍTIMOS[[#This Row],[RUC]]),"")</f>
        <v/>
      </c>
      <c r="J1055" s="2" t="str">
        <f>IFERROR(IF(MARÍTIMOS[[#This Row],[Placa Tracto]]="","",MARÍTIMOS[[#This Row],[Placa Tracto]]),"")</f>
        <v/>
      </c>
      <c r="K1055" s="2" t="str">
        <f>IFERROR(IF(MARÍTIMOS[[#This Row],[Placa Carreta]]="","",MARÍTIMOS[[#This Row],[Placa Carreta]]),"")</f>
        <v/>
      </c>
      <c r="L1055" s="44" t="str">
        <f>IFERROR(IF(MARÍTIMOS[[#This Row],[Conductor]]="","",MARÍTIMOS[[#This Row],[Conductor]]),"")</f>
        <v/>
      </c>
      <c r="M1055" s="2" t="str">
        <f>IFERROR(IF(MARÍTIMOS[[#This Row],[Licencia]]="","",MARÍTIMOS[[#This Row],[Licencia]]),"")</f>
        <v/>
      </c>
      <c r="N1055" s="2" t="str">
        <f>IFERROR(IF(MARÍTIMOS[[#This Row],[Número de Contacto]]="","",MARÍTIMOS[[#This Row],[Número de Contacto]]),"")</f>
        <v/>
      </c>
      <c r="O1055" s="10" t="str">
        <f>IFERROR(IF(MARÍTIMOS[[#This Row],[Booking|AWB|CRT]]="","",MARÍTIMOS[[#This Row],[Booking|AWB|CRT]]),"")</f>
        <v/>
      </c>
      <c r="P1055" s="2" t="str">
        <f>IFERROR(IF(MARÍTIMOS[[#This Row],[Contenedor]]="","",MARÍTIMOS[[#This Row],[Contenedor]]),"")</f>
        <v/>
      </c>
      <c r="Q1055" s="2" t="str">
        <f>IFERROR(IF(MARÍTIMOS[[#This Row],[Puerto de Retiro]]="","",MARÍTIMOS[[#This Row],[Puerto de Retiro]]),"")</f>
        <v/>
      </c>
      <c r="R1055" s="2" t="str">
        <f>IFERROR(IF(MARÍTIMOS[[#This Row],[Almacén de Retiro]]="","",MARÍTIMOS[[#This Row],[Almacén de Retiro]]),"")</f>
        <v/>
      </c>
      <c r="S1055" s="11" t="str">
        <f>IFERROR(IF(MARÍTIMOS[[#This Row],[Etapa Retiro - Cita]]="","",MARÍTIMOS[[#This Row],[Etapa Retiro - Cita]]),"")</f>
        <v/>
      </c>
      <c r="T1055" s="11" t="str">
        <f>IFERROR(IF(MARÍTIMOS[[#This Row],[Etapa Retiro - Llegada]]="","",MARÍTIMOS[[#This Row],[Etapa Retiro - Llegada]]),"")</f>
        <v/>
      </c>
      <c r="U1055" s="11" t="str">
        <f>IFERROR(IF(MARÍTIMOS[[#This Row],[Etapa Retiro - Ingreso]]="","",MARÍTIMOS[[#This Row],[Etapa Retiro - Ingreso]]),"")</f>
        <v/>
      </c>
      <c r="V1055" s="11" t="str">
        <f>IFERROR(IF(MARÍTIMOS[[#This Row],[Etapa Retiro - Atención]]="","",MARÍTIMOS[[#This Row],[Etapa Retiro - Atención]]),"")</f>
        <v/>
      </c>
      <c r="W1055" s="11" t="str">
        <f>IFERROR(IF(MARÍTIMOS[[#This Row],[Etapa Retiro - Atención]]="","",MARÍTIMOS[[#This Row],[Etapa Retiro - Atención]]),"")</f>
        <v/>
      </c>
      <c r="X1055" s="11" t="str">
        <f>IFERROR(IF(MARÍTIMOS[[#This Row],[Etapa Retiro - Inicio de Ruta]]="","",MARÍTIMOS[[#This Row],[Etapa Retiro - Inicio de Ruta]]),"")</f>
        <v/>
      </c>
      <c r="Y1055" s="11" t="str">
        <f>IFERROR(IF(MARÍTIMOS[[#This Row],[Hora de Posicionamiento]]="","",MARÍTIMOS[[#This Row],[Fecha de Carga]]+MARÍTIMOS[[#This Row],[Hora de Posicionamiento]]),"")</f>
        <v/>
      </c>
      <c r="Z1055" s="11" t="str">
        <f>IFERROR(IF(MARÍTIMOS[[#This Row],[Etapa Despacho - Llegada]]="","",MARÍTIMOS[[#This Row],[Etapa Despacho - Llegada]]),"")</f>
        <v/>
      </c>
      <c r="AA1055" s="11" t="str">
        <f>IFERROR(IF(MARÍTIMOS[[#This Row],[Etapa Despacho - Registro]]="","",MARÍTIMOS[[#This Row],[Etapa Despacho - Registro]]),"")</f>
        <v/>
      </c>
      <c r="AB1055" s="11" t="str">
        <f>IFERROR(IF(MARÍTIMOS[[#This Row],[Inspección Externa]]="","",MARÍTIMOS[[#This Row],[Inspección Externa]]),"")</f>
        <v/>
      </c>
      <c r="AC1055" s="11" t="str">
        <f>IFERROR(IF(MARÍTIMOS[[#This Row],[Etapa Despacho - Inicio de Carga]]="","",MARÍTIMOS[[#This Row],[Etapa Despacho - Inicio de Carga]]),"")</f>
        <v/>
      </c>
      <c r="AD1055" s="11" t="str">
        <f>IFERROR(IF(MARÍTIMOS[[#This Row],[Etapa Despacho - Mitad de Carga]]="","",MARÍTIMOS[[#This Row],[Etapa Despacho - Mitad de Carga]]),"")</f>
        <v/>
      </c>
      <c r="AE1055" s="11" t="str">
        <f>IFERROR(IF(MARÍTIMOS[[#This Row],[Etapa Despacho - Fin de Carga]]="","",MARÍTIMOS[[#This Row],[Etapa Despacho - Fin de Carga]]),"")</f>
        <v/>
      </c>
      <c r="AF1055" s="2" t="str">
        <f>IFERROR(IF(MARÍTIMOS[[#This Row],[Puerto de Embarque]]="","",MARÍTIMOS[[#This Row],[Puerto de Embarque]]),"")</f>
        <v/>
      </c>
      <c r="AG1055" s="2" t="str">
        <f>IFERROR(IF(MARÍTIMOS[[#This Row],[Almacén de Ingreso]]="","",MARÍTIMOS[[#This Row],[Almacén de Ingreso]]),"")</f>
        <v/>
      </c>
      <c r="AH1055" s="11" t="str">
        <f>IFERROR(IF(MARÍTIMOS[[#This Row],[Etapa Ingreso - Cita]]="","",MARÍTIMOS[[#This Row],[Etapa Ingreso - Cita]]),"")</f>
        <v/>
      </c>
      <c r="AI1055" s="11" t="str">
        <f>IFERROR(IF(MARÍTIMOS[[#This Row],[Etapa Ingreso - Llegada]]="","",MARÍTIMOS[[#This Row],[Etapa Ingreso - Llegada]]),"")</f>
        <v/>
      </c>
      <c r="AJ1055" s="11" t="str">
        <f>IFERROR(IF(MARÍTIMOS[[#This Row],[Etapa Ingreso - Ingeso]]="","",MARÍTIMOS[[#This Row],[Etapa Ingreso - Ingeso]]),"")</f>
        <v/>
      </c>
      <c r="AK1055" s="11" t="str">
        <f>IFERROR(IF(MARÍTIMOS[[#This Row],[Etapa Ingreso - Atención]]="","",MARÍTIMOS[[#This Row],[Etapa Ingreso - Atención]]),"")</f>
        <v/>
      </c>
      <c r="AL1055" s="11" t="str">
        <f>IFERROR(IF(MARÍTIMOS[[#This Row],[Etapa Ingreso - Salida]]="","",MARÍTIMOS[[#This Row],[Etapa Ingreso - Salida]]),"")</f>
        <v/>
      </c>
      <c r="AM1055" s="2" t="str">
        <f>IFERROR(IF(MARÍTIMOS[[#This Row],[FCL]]="","",MARÍTIMOS[[#This Row],[FCL]]),"")</f>
        <v/>
      </c>
      <c r="AN105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5" s="4" t="str" cm="1">
        <f t="array" ref="AO105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5" s="5" t="str">
        <f>IFERROR(OLDBD[[#This Row],[Llegada a packing]]-OLDBD[[#This Row],[Inicio de Ruta]],"")</f>
        <v/>
      </c>
      <c r="AQ1055" s="6" t="str">
        <f>IFERROR(OLDBD[[#This Row],[Inicio de Ruta]]-OLDBD[[#This Row],[Salida de almacén de retiro]],"")</f>
        <v/>
      </c>
      <c r="AR105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5" s="8" t="str" cm="1">
        <f t="array" ref="AS105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5" s="9" t="str">
        <f>IFERROR(OLDBD[[#This Row],[Ingreso Packing]]-OLDBD[[#This Row],[Registro en Packing]],"")</f>
        <v/>
      </c>
      <c r="AV1055" s="9" t="str">
        <f>IFERROR(OLDBD[[#This Row],[Ingreso Packing]]-OLDBD[[#This Row],[Llegada a packing]],"")</f>
        <v/>
      </c>
      <c r="AW105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5" s="5" t="str">
        <f>IFERROR(OLDBD[[#This Row],[Llegada Almacén de Ingreso]]-OLDBD[[#This Row],[Salida Packing]],"")</f>
        <v/>
      </c>
      <c r="AY1055" s="4" t="str" cm="1">
        <f t="array" ref="AY105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5" s="43" t="s">
        <v>173</v>
      </c>
      <c r="BB1055" s="47" t="str">
        <f>IFERROR(IF(MARÍTIMOS[[#This Row],[Estatus]]="","",MARÍTIMOS[[#This Row],[Estatus]]),"")</f>
        <v/>
      </c>
      <c r="BC1055" s="43"/>
      <c r="BD1055" s="46" t="str">
        <f>IFERROR(OLDBD[[#This Row],[Salida de almacén de retiro]]-OLDBD[[#This Row],[Ingreso Almacén de retiro]],"")</f>
        <v/>
      </c>
      <c r="BE1055" s="46" t="str">
        <f>IFERROR(OLDBD[[#This Row],[Fin de Carga]]-OLDBD[[#This Row],[Inicio de Carga]],"")</f>
        <v/>
      </c>
    </row>
    <row r="1056" spans="1:57" customFormat="1" hidden="1">
      <c r="A1056" s="1"/>
      <c r="B1056" s="1" t="str">
        <f>IFERROR(IF(MARÍTIMOS[[#This Row],[PP]]="","",MARÍTIMOS[[#This Row],[PP]]),"")</f>
        <v/>
      </c>
      <c r="C1056" s="1" t="str">
        <f>IFERROR(IF(MARÍTIMOS[[#This Row],[Sede]]="","",MARÍTIMOS[[#This Row],[Sede]]),"")</f>
        <v/>
      </c>
      <c r="D1056" s="1" t="str">
        <f>IFERROR(IF(MARÍTIMOS[[#This Row],[Instruction]]="","",MARÍTIMOS[[#This Row],[Instruction]]),"")</f>
        <v/>
      </c>
      <c r="E1056" s="1"/>
      <c r="F1056" s="2" t="str">
        <f>IFERROR(IF(MARÍTIMOS[[#This Row],[Transportista]]="","",MARÍTIMOS[[#This Row],[Transportista]]),"")</f>
        <v/>
      </c>
      <c r="G1056" s="2" t="str">
        <f>IFERROR(IF(MARÍTIMOS[[#This Row],[Tercero]]="","",MARÍTIMOS[[#This Row],[Tercero]]),"")</f>
        <v/>
      </c>
      <c r="H1056" s="2" t="str">
        <f>IFERROR(IF(MARÍTIMOS[[#This Row],[Razón Social]]="","",MARÍTIMOS[[#This Row],[Razón Social]]),"")</f>
        <v/>
      </c>
      <c r="I1056" s="2" t="str">
        <f>IFERROR(IF(MARÍTIMOS[[#This Row],[RUC]]="","",MARÍTIMOS[[#This Row],[RUC]]),"")</f>
        <v/>
      </c>
      <c r="J1056" s="2" t="str">
        <f>IFERROR(IF(MARÍTIMOS[[#This Row],[Placa Tracto]]="","",MARÍTIMOS[[#This Row],[Placa Tracto]]),"")</f>
        <v/>
      </c>
      <c r="K1056" s="2" t="str">
        <f>IFERROR(IF(MARÍTIMOS[[#This Row],[Placa Carreta]]="","",MARÍTIMOS[[#This Row],[Placa Carreta]]),"")</f>
        <v/>
      </c>
      <c r="L1056" s="44" t="str">
        <f>IFERROR(IF(MARÍTIMOS[[#This Row],[Conductor]]="","",MARÍTIMOS[[#This Row],[Conductor]]),"")</f>
        <v/>
      </c>
      <c r="M1056" s="2" t="str">
        <f>IFERROR(IF(MARÍTIMOS[[#This Row],[Licencia]]="","",MARÍTIMOS[[#This Row],[Licencia]]),"")</f>
        <v/>
      </c>
      <c r="N1056" s="2" t="str">
        <f>IFERROR(IF(MARÍTIMOS[[#This Row],[Número de Contacto]]="","",MARÍTIMOS[[#This Row],[Número de Contacto]]),"")</f>
        <v/>
      </c>
      <c r="O1056" s="10" t="str">
        <f>IFERROR(IF(MARÍTIMOS[[#This Row],[Booking|AWB|CRT]]="","",MARÍTIMOS[[#This Row],[Booking|AWB|CRT]]),"")</f>
        <v/>
      </c>
      <c r="P1056" s="2" t="str">
        <f>IFERROR(IF(MARÍTIMOS[[#This Row],[Contenedor]]="","",MARÍTIMOS[[#This Row],[Contenedor]]),"")</f>
        <v/>
      </c>
      <c r="Q1056" s="2" t="str">
        <f>IFERROR(IF(MARÍTIMOS[[#This Row],[Puerto de Retiro]]="","",MARÍTIMOS[[#This Row],[Puerto de Retiro]]),"")</f>
        <v/>
      </c>
      <c r="R1056" s="2" t="str">
        <f>IFERROR(IF(MARÍTIMOS[[#This Row],[Almacén de Retiro]]="","",MARÍTIMOS[[#This Row],[Almacén de Retiro]]),"")</f>
        <v/>
      </c>
      <c r="S1056" s="11" t="str">
        <f>IFERROR(IF(MARÍTIMOS[[#This Row],[Etapa Retiro - Cita]]="","",MARÍTIMOS[[#This Row],[Etapa Retiro - Cita]]),"")</f>
        <v/>
      </c>
      <c r="T1056" s="11" t="str">
        <f>IFERROR(IF(MARÍTIMOS[[#This Row],[Etapa Retiro - Llegada]]="","",MARÍTIMOS[[#This Row],[Etapa Retiro - Llegada]]),"")</f>
        <v/>
      </c>
      <c r="U1056" s="11" t="str">
        <f>IFERROR(IF(MARÍTIMOS[[#This Row],[Etapa Retiro - Ingreso]]="","",MARÍTIMOS[[#This Row],[Etapa Retiro - Ingreso]]),"")</f>
        <v/>
      </c>
      <c r="V1056" s="11" t="str">
        <f>IFERROR(IF(MARÍTIMOS[[#This Row],[Etapa Retiro - Atención]]="","",MARÍTIMOS[[#This Row],[Etapa Retiro - Atención]]),"")</f>
        <v/>
      </c>
      <c r="W1056" s="11" t="str">
        <f>IFERROR(IF(MARÍTIMOS[[#This Row],[Etapa Retiro - Atención]]="","",MARÍTIMOS[[#This Row],[Etapa Retiro - Atención]]),"")</f>
        <v/>
      </c>
      <c r="X1056" s="11" t="str">
        <f>IFERROR(IF(MARÍTIMOS[[#This Row],[Etapa Retiro - Inicio de Ruta]]="","",MARÍTIMOS[[#This Row],[Etapa Retiro - Inicio de Ruta]]),"")</f>
        <v/>
      </c>
      <c r="Y1056" s="11" t="str">
        <f>IFERROR(IF(MARÍTIMOS[[#This Row],[Hora de Posicionamiento]]="","",MARÍTIMOS[[#This Row],[Fecha de Carga]]+MARÍTIMOS[[#This Row],[Hora de Posicionamiento]]),"")</f>
        <v/>
      </c>
      <c r="Z1056" s="11" t="str">
        <f>IFERROR(IF(MARÍTIMOS[[#This Row],[Etapa Despacho - Llegada]]="","",MARÍTIMOS[[#This Row],[Etapa Despacho - Llegada]]),"")</f>
        <v/>
      </c>
      <c r="AA1056" s="11" t="str">
        <f>IFERROR(IF(MARÍTIMOS[[#This Row],[Etapa Despacho - Registro]]="","",MARÍTIMOS[[#This Row],[Etapa Despacho - Registro]]),"")</f>
        <v/>
      </c>
      <c r="AB1056" s="11" t="str">
        <f>IFERROR(IF(MARÍTIMOS[[#This Row],[Inspección Externa]]="","",MARÍTIMOS[[#This Row],[Inspección Externa]]),"")</f>
        <v/>
      </c>
      <c r="AC1056" s="11" t="str">
        <f>IFERROR(IF(MARÍTIMOS[[#This Row],[Etapa Despacho - Inicio de Carga]]="","",MARÍTIMOS[[#This Row],[Etapa Despacho - Inicio de Carga]]),"")</f>
        <v/>
      </c>
      <c r="AD1056" s="11" t="str">
        <f>IFERROR(IF(MARÍTIMOS[[#This Row],[Etapa Despacho - Mitad de Carga]]="","",MARÍTIMOS[[#This Row],[Etapa Despacho - Mitad de Carga]]),"")</f>
        <v/>
      </c>
      <c r="AE1056" s="11" t="str">
        <f>IFERROR(IF(MARÍTIMOS[[#This Row],[Etapa Despacho - Fin de Carga]]="","",MARÍTIMOS[[#This Row],[Etapa Despacho - Fin de Carga]]),"")</f>
        <v/>
      </c>
      <c r="AF1056" s="2" t="str">
        <f>IFERROR(IF(MARÍTIMOS[[#This Row],[Puerto de Embarque]]="","",MARÍTIMOS[[#This Row],[Puerto de Embarque]]),"")</f>
        <v/>
      </c>
      <c r="AG1056" s="2" t="str">
        <f>IFERROR(IF(MARÍTIMOS[[#This Row],[Almacén de Ingreso]]="","",MARÍTIMOS[[#This Row],[Almacén de Ingreso]]),"")</f>
        <v/>
      </c>
      <c r="AH1056" s="11" t="str">
        <f>IFERROR(IF(MARÍTIMOS[[#This Row],[Etapa Ingreso - Cita]]="","",MARÍTIMOS[[#This Row],[Etapa Ingreso - Cita]]),"")</f>
        <v/>
      </c>
      <c r="AI1056" s="11" t="str">
        <f>IFERROR(IF(MARÍTIMOS[[#This Row],[Etapa Ingreso - Llegada]]="","",MARÍTIMOS[[#This Row],[Etapa Ingreso - Llegada]]),"")</f>
        <v/>
      </c>
      <c r="AJ1056" s="11" t="str">
        <f>IFERROR(IF(MARÍTIMOS[[#This Row],[Etapa Ingreso - Ingeso]]="","",MARÍTIMOS[[#This Row],[Etapa Ingreso - Ingeso]]),"")</f>
        <v/>
      </c>
      <c r="AK1056" s="11" t="str">
        <f>IFERROR(IF(MARÍTIMOS[[#This Row],[Etapa Ingreso - Atención]]="","",MARÍTIMOS[[#This Row],[Etapa Ingreso - Atención]]),"")</f>
        <v/>
      </c>
      <c r="AL1056" s="11" t="str">
        <f>IFERROR(IF(MARÍTIMOS[[#This Row],[Etapa Ingreso - Salida]]="","",MARÍTIMOS[[#This Row],[Etapa Ingreso - Salida]]),"")</f>
        <v/>
      </c>
      <c r="AM1056" s="2" t="str">
        <f>IFERROR(IF(MARÍTIMOS[[#This Row],[FCL]]="","",MARÍTIMOS[[#This Row],[FCL]]),"")</f>
        <v/>
      </c>
      <c r="AN105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6" s="4" t="str" cm="1">
        <f t="array" ref="AO105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6" s="5" t="str">
        <f>IFERROR(OLDBD[[#This Row],[Llegada a packing]]-OLDBD[[#This Row],[Inicio de Ruta]],"")</f>
        <v/>
      </c>
      <c r="AQ1056" s="6" t="str">
        <f>IFERROR(OLDBD[[#This Row],[Inicio de Ruta]]-OLDBD[[#This Row],[Salida de almacén de retiro]],"")</f>
        <v/>
      </c>
      <c r="AR105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6" s="8" t="str" cm="1">
        <f t="array" ref="AS105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6" s="9" t="str">
        <f>IFERROR(OLDBD[[#This Row],[Ingreso Packing]]-OLDBD[[#This Row],[Registro en Packing]],"")</f>
        <v/>
      </c>
      <c r="AV1056" s="9" t="str">
        <f>IFERROR(OLDBD[[#This Row],[Ingreso Packing]]-OLDBD[[#This Row],[Llegada a packing]],"")</f>
        <v/>
      </c>
      <c r="AW105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6" s="5" t="str">
        <f>IFERROR(OLDBD[[#This Row],[Llegada Almacén de Ingreso]]-OLDBD[[#This Row],[Salida Packing]],"")</f>
        <v/>
      </c>
      <c r="AY1056" s="4" t="str" cm="1">
        <f t="array" ref="AY105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6" s="43" t="s">
        <v>173</v>
      </c>
      <c r="BB1056" s="47" t="str">
        <f>IFERROR(IF(MARÍTIMOS[[#This Row],[Estatus]]="","",MARÍTIMOS[[#This Row],[Estatus]]),"")</f>
        <v/>
      </c>
      <c r="BC1056" s="43"/>
      <c r="BD1056" s="46" t="str">
        <f>IFERROR(OLDBD[[#This Row],[Salida de almacén de retiro]]-OLDBD[[#This Row],[Ingreso Almacén de retiro]],"")</f>
        <v/>
      </c>
      <c r="BE1056" s="46" t="str">
        <f>IFERROR(OLDBD[[#This Row],[Fin de Carga]]-OLDBD[[#This Row],[Inicio de Carga]],"")</f>
        <v/>
      </c>
    </row>
    <row r="1057" spans="1:57" customFormat="1" hidden="1">
      <c r="A1057" s="1"/>
      <c r="B1057" s="1" t="str">
        <f>IFERROR(IF(MARÍTIMOS[[#This Row],[PP]]="","",MARÍTIMOS[[#This Row],[PP]]),"")</f>
        <v/>
      </c>
      <c r="C1057" s="1" t="str">
        <f>IFERROR(IF(MARÍTIMOS[[#This Row],[Sede]]="","",MARÍTIMOS[[#This Row],[Sede]]),"")</f>
        <v/>
      </c>
      <c r="D1057" s="1" t="str">
        <f>IFERROR(IF(MARÍTIMOS[[#This Row],[Instruction]]="","",MARÍTIMOS[[#This Row],[Instruction]]),"")</f>
        <v/>
      </c>
      <c r="E1057" s="1"/>
      <c r="F1057" s="2" t="str">
        <f>IFERROR(IF(MARÍTIMOS[[#This Row],[Transportista]]="","",MARÍTIMOS[[#This Row],[Transportista]]),"")</f>
        <v/>
      </c>
      <c r="G1057" s="2" t="str">
        <f>IFERROR(IF(MARÍTIMOS[[#This Row],[Tercero]]="","",MARÍTIMOS[[#This Row],[Tercero]]),"")</f>
        <v/>
      </c>
      <c r="H1057" s="2" t="str">
        <f>IFERROR(IF(MARÍTIMOS[[#This Row],[Razón Social]]="","",MARÍTIMOS[[#This Row],[Razón Social]]),"")</f>
        <v/>
      </c>
      <c r="I1057" s="2" t="str">
        <f>IFERROR(IF(MARÍTIMOS[[#This Row],[RUC]]="","",MARÍTIMOS[[#This Row],[RUC]]),"")</f>
        <v/>
      </c>
      <c r="J1057" s="2" t="str">
        <f>IFERROR(IF(MARÍTIMOS[[#This Row],[Placa Tracto]]="","",MARÍTIMOS[[#This Row],[Placa Tracto]]),"")</f>
        <v/>
      </c>
      <c r="K1057" s="2" t="str">
        <f>IFERROR(IF(MARÍTIMOS[[#This Row],[Placa Carreta]]="","",MARÍTIMOS[[#This Row],[Placa Carreta]]),"")</f>
        <v/>
      </c>
      <c r="L1057" s="44" t="str">
        <f>IFERROR(IF(MARÍTIMOS[[#This Row],[Conductor]]="","",MARÍTIMOS[[#This Row],[Conductor]]),"")</f>
        <v/>
      </c>
      <c r="M1057" s="2" t="str">
        <f>IFERROR(IF(MARÍTIMOS[[#This Row],[Licencia]]="","",MARÍTIMOS[[#This Row],[Licencia]]),"")</f>
        <v/>
      </c>
      <c r="N1057" s="2" t="str">
        <f>IFERROR(IF(MARÍTIMOS[[#This Row],[Número de Contacto]]="","",MARÍTIMOS[[#This Row],[Número de Contacto]]),"")</f>
        <v/>
      </c>
      <c r="O1057" s="10" t="str">
        <f>IFERROR(IF(MARÍTIMOS[[#This Row],[Booking|AWB|CRT]]="","",MARÍTIMOS[[#This Row],[Booking|AWB|CRT]]),"")</f>
        <v/>
      </c>
      <c r="P1057" s="2" t="str">
        <f>IFERROR(IF(MARÍTIMOS[[#This Row],[Contenedor]]="","",MARÍTIMOS[[#This Row],[Contenedor]]),"")</f>
        <v/>
      </c>
      <c r="Q1057" s="2" t="str">
        <f>IFERROR(IF(MARÍTIMOS[[#This Row],[Puerto de Retiro]]="","",MARÍTIMOS[[#This Row],[Puerto de Retiro]]),"")</f>
        <v/>
      </c>
      <c r="R1057" s="2" t="str">
        <f>IFERROR(IF(MARÍTIMOS[[#This Row],[Almacén de Retiro]]="","",MARÍTIMOS[[#This Row],[Almacén de Retiro]]),"")</f>
        <v/>
      </c>
      <c r="S1057" s="11" t="str">
        <f>IFERROR(IF(MARÍTIMOS[[#This Row],[Etapa Retiro - Cita]]="","",MARÍTIMOS[[#This Row],[Etapa Retiro - Cita]]),"")</f>
        <v/>
      </c>
      <c r="T1057" s="11" t="str">
        <f>IFERROR(IF(MARÍTIMOS[[#This Row],[Etapa Retiro - Llegada]]="","",MARÍTIMOS[[#This Row],[Etapa Retiro - Llegada]]),"")</f>
        <v/>
      </c>
      <c r="U1057" s="11" t="str">
        <f>IFERROR(IF(MARÍTIMOS[[#This Row],[Etapa Retiro - Ingreso]]="","",MARÍTIMOS[[#This Row],[Etapa Retiro - Ingreso]]),"")</f>
        <v/>
      </c>
      <c r="V1057" s="11" t="str">
        <f>IFERROR(IF(MARÍTIMOS[[#This Row],[Etapa Retiro - Atención]]="","",MARÍTIMOS[[#This Row],[Etapa Retiro - Atención]]),"")</f>
        <v/>
      </c>
      <c r="W1057" s="11" t="str">
        <f>IFERROR(IF(MARÍTIMOS[[#This Row],[Etapa Retiro - Atención]]="","",MARÍTIMOS[[#This Row],[Etapa Retiro - Atención]]),"")</f>
        <v/>
      </c>
      <c r="X1057" s="11" t="str">
        <f>IFERROR(IF(MARÍTIMOS[[#This Row],[Etapa Retiro - Inicio de Ruta]]="","",MARÍTIMOS[[#This Row],[Etapa Retiro - Inicio de Ruta]]),"")</f>
        <v/>
      </c>
      <c r="Y1057" s="11" t="str">
        <f>IFERROR(IF(MARÍTIMOS[[#This Row],[Hora de Posicionamiento]]="","",MARÍTIMOS[[#This Row],[Fecha de Carga]]+MARÍTIMOS[[#This Row],[Hora de Posicionamiento]]),"")</f>
        <v/>
      </c>
      <c r="Z1057" s="11" t="str">
        <f>IFERROR(IF(MARÍTIMOS[[#This Row],[Etapa Despacho - Llegada]]="","",MARÍTIMOS[[#This Row],[Etapa Despacho - Llegada]]),"")</f>
        <v/>
      </c>
      <c r="AA1057" s="11" t="str">
        <f>IFERROR(IF(MARÍTIMOS[[#This Row],[Etapa Despacho - Registro]]="","",MARÍTIMOS[[#This Row],[Etapa Despacho - Registro]]),"")</f>
        <v/>
      </c>
      <c r="AB1057" s="11" t="str">
        <f>IFERROR(IF(MARÍTIMOS[[#This Row],[Inspección Externa]]="","",MARÍTIMOS[[#This Row],[Inspección Externa]]),"")</f>
        <v/>
      </c>
      <c r="AC1057" s="11" t="str">
        <f>IFERROR(IF(MARÍTIMOS[[#This Row],[Etapa Despacho - Inicio de Carga]]="","",MARÍTIMOS[[#This Row],[Etapa Despacho - Inicio de Carga]]),"")</f>
        <v/>
      </c>
      <c r="AD1057" s="11" t="str">
        <f>IFERROR(IF(MARÍTIMOS[[#This Row],[Etapa Despacho - Mitad de Carga]]="","",MARÍTIMOS[[#This Row],[Etapa Despacho - Mitad de Carga]]),"")</f>
        <v/>
      </c>
      <c r="AE1057" s="11" t="str">
        <f>IFERROR(IF(MARÍTIMOS[[#This Row],[Etapa Despacho - Fin de Carga]]="","",MARÍTIMOS[[#This Row],[Etapa Despacho - Fin de Carga]]),"")</f>
        <v/>
      </c>
      <c r="AF1057" s="2" t="str">
        <f>IFERROR(IF(MARÍTIMOS[[#This Row],[Puerto de Embarque]]="","",MARÍTIMOS[[#This Row],[Puerto de Embarque]]),"")</f>
        <v/>
      </c>
      <c r="AG1057" s="2" t="str">
        <f>IFERROR(IF(MARÍTIMOS[[#This Row],[Almacén de Ingreso]]="","",MARÍTIMOS[[#This Row],[Almacén de Ingreso]]),"")</f>
        <v/>
      </c>
      <c r="AH1057" s="11" t="str">
        <f>IFERROR(IF(MARÍTIMOS[[#This Row],[Etapa Ingreso - Cita]]="","",MARÍTIMOS[[#This Row],[Etapa Ingreso - Cita]]),"")</f>
        <v/>
      </c>
      <c r="AI1057" s="11" t="str">
        <f>IFERROR(IF(MARÍTIMOS[[#This Row],[Etapa Ingreso - Llegada]]="","",MARÍTIMOS[[#This Row],[Etapa Ingreso - Llegada]]),"")</f>
        <v/>
      </c>
      <c r="AJ1057" s="11" t="str">
        <f>IFERROR(IF(MARÍTIMOS[[#This Row],[Etapa Ingreso - Ingeso]]="","",MARÍTIMOS[[#This Row],[Etapa Ingreso - Ingeso]]),"")</f>
        <v/>
      </c>
      <c r="AK1057" s="11" t="str">
        <f>IFERROR(IF(MARÍTIMOS[[#This Row],[Etapa Ingreso - Atención]]="","",MARÍTIMOS[[#This Row],[Etapa Ingreso - Atención]]),"")</f>
        <v/>
      </c>
      <c r="AL1057" s="11" t="str">
        <f>IFERROR(IF(MARÍTIMOS[[#This Row],[Etapa Ingreso - Salida]]="","",MARÍTIMOS[[#This Row],[Etapa Ingreso - Salida]]),"")</f>
        <v/>
      </c>
      <c r="AM1057" s="2" t="str">
        <f>IFERROR(IF(MARÍTIMOS[[#This Row],[FCL]]="","",MARÍTIMOS[[#This Row],[FCL]]),"")</f>
        <v/>
      </c>
      <c r="AN105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7" s="4" t="str" cm="1">
        <f t="array" ref="AO105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7" s="5" t="str">
        <f>IFERROR(OLDBD[[#This Row],[Llegada a packing]]-OLDBD[[#This Row],[Inicio de Ruta]],"")</f>
        <v/>
      </c>
      <c r="AQ1057" s="6" t="str">
        <f>IFERROR(OLDBD[[#This Row],[Inicio de Ruta]]-OLDBD[[#This Row],[Salida de almacén de retiro]],"")</f>
        <v/>
      </c>
      <c r="AR105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7" s="8" t="str" cm="1">
        <f t="array" ref="AS105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7" s="9" t="str">
        <f>IFERROR(OLDBD[[#This Row],[Ingreso Packing]]-OLDBD[[#This Row],[Registro en Packing]],"")</f>
        <v/>
      </c>
      <c r="AV1057" s="9" t="str">
        <f>IFERROR(OLDBD[[#This Row],[Ingreso Packing]]-OLDBD[[#This Row],[Llegada a packing]],"")</f>
        <v/>
      </c>
      <c r="AW105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7" s="5" t="str">
        <f>IFERROR(OLDBD[[#This Row],[Llegada Almacén de Ingreso]]-OLDBD[[#This Row],[Salida Packing]],"")</f>
        <v/>
      </c>
      <c r="AY1057" s="4" t="str" cm="1">
        <f t="array" ref="AY105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7" s="43" t="s">
        <v>173</v>
      </c>
      <c r="BB1057" s="47" t="str">
        <f>IFERROR(IF(MARÍTIMOS[[#This Row],[Estatus]]="","",MARÍTIMOS[[#This Row],[Estatus]]),"")</f>
        <v/>
      </c>
      <c r="BC1057" s="43"/>
      <c r="BD1057" s="46" t="str">
        <f>IFERROR(OLDBD[[#This Row],[Salida de almacén de retiro]]-OLDBD[[#This Row],[Ingreso Almacén de retiro]],"")</f>
        <v/>
      </c>
      <c r="BE1057" s="46" t="str">
        <f>IFERROR(OLDBD[[#This Row],[Fin de Carga]]-OLDBD[[#This Row],[Inicio de Carga]],"")</f>
        <v/>
      </c>
    </row>
    <row r="1058" spans="1:57" customFormat="1" hidden="1">
      <c r="A1058" s="1"/>
      <c r="B1058" s="1" t="str">
        <f>IFERROR(IF(MARÍTIMOS[[#This Row],[PP]]="","",MARÍTIMOS[[#This Row],[PP]]),"")</f>
        <v/>
      </c>
      <c r="C1058" s="1" t="str">
        <f>IFERROR(IF(MARÍTIMOS[[#This Row],[Sede]]="","",MARÍTIMOS[[#This Row],[Sede]]),"")</f>
        <v/>
      </c>
      <c r="D1058" s="1" t="str">
        <f>IFERROR(IF(MARÍTIMOS[[#This Row],[Instruction]]="","",MARÍTIMOS[[#This Row],[Instruction]]),"")</f>
        <v/>
      </c>
      <c r="E1058" s="1"/>
      <c r="F1058" s="2" t="str">
        <f>IFERROR(IF(MARÍTIMOS[[#This Row],[Transportista]]="","",MARÍTIMOS[[#This Row],[Transportista]]),"")</f>
        <v/>
      </c>
      <c r="G1058" s="2" t="str">
        <f>IFERROR(IF(MARÍTIMOS[[#This Row],[Tercero]]="","",MARÍTIMOS[[#This Row],[Tercero]]),"")</f>
        <v/>
      </c>
      <c r="H1058" s="2" t="str">
        <f>IFERROR(IF(MARÍTIMOS[[#This Row],[Razón Social]]="","",MARÍTIMOS[[#This Row],[Razón Social]]),"")</f>
        <v/>
      </c>
      <c r="I1058" s="2" t="str">
        <f>IFERROR(IF(MARÍTIMOS[[#This Row],[RUC]]="","",MARÍTIMOS[[#This Row],[RUC]]),"")</f>
        <v/>
      </c>
      <c r="J1058" s="2" t="str">
        <f>IFERROR(IF(MARÍTIMOS[[#This Row],[Placa Tracto]]="","",MARÍTIMOS[[#This Row],[Placa Tracto]]),"")</f>
        <v/>
      </c>
      <c r="K1058" s="2" t="str">
        <f>IFERROR(IF(MARÍTIMOS[[#This Row],[Placa Carreta]]="","",MARÍTIMOS[[#This Row],[Placa Carreta]]),"")</f>
        <v/>
      </c>
      <c r="L1058" s="44" t="str">
        <f>IFERROR(IF(MARÍTIMOS[[#This Row],[Conductor]]="","",MARÍTIMOS[[#This Row],[Conductor]]),"")</f>
        <v/>
      </c>
      <c r="M1058" s="2" t="str">
        <f>IFERROR(IF(MARÍTIMOS[[#This Row],[Licencia]]="","",MARÍTIMOS[[#This Row],[Licencia]]),"")</f>
        <v/>
      </c>
      <c r="N1058" s="2" t="str">
        <f>IFERROR(IF(MARÍTIMOS[[#This Row],[Número de Contacto]]="","",MARÍTIMOS[[#This Row],[Número de Contacto]]),"")</f>
        <v/>
      </c>
      <c r="O1058" s="10" t="str">
        <f>IFERROR(IF(MARÍTIMOS[[#This Row],[Booking|AWB|CRT]]="","",MARÍTIMOS[[#This Row],[Booking|AWB|CRT]]),"")</f>
        <v/>
      </c>
      <c r="P1058" s="2" t="str">
        <f>IFERROR(IF(MARÍTIMOS[[#This Row],[Contenedor]]="","",MARÍTIMOS[[#This Row],[Contenedor]]),"")</f>
        <v/>
      </c>
      <c r="Q1058" s="2" t="str">
        <f>IFERROR(IF(MARÍTIMOS[[#This Row],[Puerto de Retiro]]="","",MARÍTIMOS[[#This Row],[Puerto de Retiro]]),"")</f>
        <v/>
      </c>
      <c r="R1058" s="2" t="str">
        <f>IFERROR(IF(MARÍTIMOS[[#This Row],[Almacén de Retiro]]="","",MARÍTIMOS[[#This Row],[Almacén de Retiro]]),"")</f>
        <v/>
      </c>
      <c r="S1058" s="11" t="str">
        <f>IFERROR(IF(MARÍTIMOS[[#This Row],[Etapa Retiro - Cita]]="","",MARÍTIMOS[[#This Row],[Etapa Retiro - Cita]]),"")</f>
        <v/>
      </c>
      <c r="T1058" s="11" t="str">
        <f>IFERROR(IF(MARÍTIMOS[[#This Row],[Etapa Retiro - Llegada]]="","",MARÍTIMOS[[#This Row],[Etapa Retiro - Llegada]]),"")</f>
        <v/>
      </c>
      <c r="U1058" s="11" t="str">
        <f>IFERROR(IF(MARÍTIMOS[[#This Row],[Etapa Retiro - Ingreso]]="","",MARÍTIMOS[[#This Row],[Etapa Retiro - Ingreso]]),"")</f>
        <v/>
      </c>
      <c r="V1058" s="11" t="str">
        <f>IFERROR(IF(MARÍTIMOS[[#This Row],[Etapa Retiro - Atención]]="","",MARÍTIMOS[[#This Row],[Etapa Retiro - Atención]]),"")</f>
        <v/>
      </c>
      <c r="W1058" s="11" t="str">
        <f>IFERROR(IF(MARÍTIMOS[[#This Row],[Etapa Retiro - Atención]]="","",MARÍTIMOS[[#This Row],[Etapa Retiro - Atención]]),"")</f>
        <v/>
      </c>
      <c r="X1058" s="11" t="str">
        <f>IFERROR(IF(MARÍTIMOS[[#This Row],[Etapa Retiro - Inicio de Ruta]]="","",MARÍTIMOS[[#This Row],[Etapa Retiro - Inicio de Ruta]]),"")</f>
        <v/>
      </c>
      <c r="Y1058" s="11" t="str">
        <f>IFERROR(IF(MARÍTIMOS[[#This Row],[Hora de Posicionamiento]]="","",MARÍTIMOS[[#This Row],[Fecha de Carga]]+MARÍTIMOS[[#This Row],[Hora de Posicionamiento]]),"")</f>
        <v/>
      </c>
      <c r="Z1058" s="11" t="str">
        <f>IFERROR(IF(MARÍTIMOS[[#This Row],[Etapa Despacho - Llegada]]="","",MARÍTIMOS[[#This Row],[Etapa Despacho - Llegada]]),"")</f>
        <v/>
      </c>
      <c r="AA1058" s="11" t="str">
        <f>IFERROR(IF(MARÍTIMOS[[#This Row],[Etapa Despacho - Registro]]="","",MARÍTIMOS[[#This Row],[Etapa Despacho - Registro]]),"")</f>
        <v/>
      </c>
      <c r="AB1058" s="11" t="str">
        <f>IFERROR(IF(MARÍTIMOS[[#This Row],[Inspección Externa]]="","",MARÍTIMOS[[#This Row],[Inspección Externa]]),"")</f>
        <v/>
      </c>
      <c r="AC1058" s="11" t="str">
        <f>IFERROR(IF(MARÍTIMOS[[#This Row],[Etapa Despacho - Inicio de Carga]]="","",MARÍTIMOS[[#This Row],[Etapa Despacho - Inicio de Carga]]),"")</f>
        <v/>
      </c>
      <c r="AD1058" s="11" t="str">
        <f>IFERROR(IF(MARÍTIMOS[[#This Row],[Etapa Despacho - Mitad de Carga]]="","",MARÍTIMOS[[#This Row],[Etapa Despacho - Mitad de Carga]]),"")</f>
        <v/>
      </c>
      <c r="AE1058" s="11" t="str">
        <f>IFERROR(IF(MARÍTIMOS[[#This Row],[Etapa Despacho - Fin de Carga]]="","",MARÍTIMOS[[#This Row],[Etapa Despacho - Fin de Carga]]),"")</f>
        <v/>
      </c>
      <c r="AF1058" s="2" t="str">
        <f>IFERROR(IF(MARÍTIMOS[[#This Row],[Puerto de Embarque]]="","",MARÍTIMOS[[#This Row],[Puerto de Embarque]]),"")</f>
        <v/>
      </c>
      <c r="AG1058" s="2" t="str">
        <f>IFERROR(IF(MARÍTIMOS[[#This Row],[Almacén de Ingreso]]="","",MARÍTIMOS[[#This Row],[Almacén de Ingreso]]),"")</f>
        <v/>
      </c>
      <c r="AH1058" s="11" t="str">
        <f>IFERROR(IF(MARÍTIMOS[[#This Row],[Etapa Ingreso - Cita]]="","",MARÍTIMOS[[#This Row],[Etapa Ingreso - Cita]]),"")</f>
        <v/>
      </c>
      <c r="AI1058" s="11" t="str">
        <f>IFERROR(IF(MARÍTIMOS[[#This Row],[Etapa Ingreso - Llegada]]="","",MARÍTIMOS[[#This Row],[Etapa Ingreso - Llegada]]),"")</f>
        <v/>
      </c>
      <c r="AJ1058" s="11" t="str">
        <f>IFERROR(IF(MARÍTIMOS[[#This Row],[Etapa Ingreso - Ingeso]]="","",MARÍTIMOS[[#This Row],[Etapa Ingreso - Ingeso]]),"")</f>
        <v/>
      </c>
      <c r="AK1058" s="11" t="str">
        <f>IFERROR(IF(MARÍTIMOS[[#This Row],[Etapa Ingreso - Atención]]="","",MARÍTIMOS[[#This Row],[Etapa Ingreso - Atención]]),"")</f>
        <v/>
      </c>
      <c r="AL1058" s="11" t="str">
        <f>IFERROR(IF(MARÍTIMOS[[#This Row],[Etapa Ingreso - Salida]]="","",MARÍTIMOS[[#This Row],[Etapa Ingreso - Salida]]),"")</f>
        <v/>
      </c>
      <c r="AM1058" s="2" t="str">
        <f>IFERROR(IF(MARÍTIMOS[[#This Row],[FCL]]="","",MARÍTIMOS[[#This Row],[FCL]]),"")</f>
        <v/>
      </c>
      <c r="AN105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8" s="4" t="str" cm="1">
        <f t="array" ref="AO105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8" s="5" t="str">
        <f>IFERROR(OLDBD[[#This Row],[Llegada a packing]]-OLDBD[[#This Row],[Inicio de Ruta]],"")</f>
        <v/>
      </c>
      <c r="AQ1058" s="6" t="str">
        <f>IFERROR(OLDBD[[#This Row],[Inicio de Ruta]]-OLDBD[[#This Row],[Salida de almacén de retiro]],"")</f>
        <v/>
      </c>
      <c r="AR105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8" s="8" t="str" cm="1">
        <f t="array" ref="AS105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8" s="9" t="str">
        <f>IFERROR(OLDBD[[#This Row],[Ingreso Packing]]-OLDBD[[#This Row],[Registro en Packing]],"")</f>
        <v/>
      </c>
      <c r="AV1058" s="9" t="str">
        <f>IFERROR(OLDBD[[#This Row],[Ingreso Packing]]-OLDBD[[#This Row],[Llegada a packing]],"")</f>
        <v/>
      </c>
      <c r="AW105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8" s="5" t="str">
        <f>IFERROR(OLDBD[[#This Row],[Llegada Almacén de Ingreso]]-OLDBD[[#This Row],[Salida Packing]],"")</f>
        <v/>
      </c>
      <c r="AY1058" s="4" t="str" cm="1">
        <f t="array" ref="AY105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8" s="43" t="s">
        <v>173</v>
      </c>
      <c r="BB1058" s="47" t="str">
        <f>IFERROR(IF(MARÍTIMOS[[#This Row],[Estatus]]="","",MARÍTIMOS[[#This Row],[Estatus]]),"")</f>
        <v/>
      </c>
      <c r="BC1058" s="43"/>
      <c r="BD1058" s="46" t="str">
        <f>IFERROR(OLDBD[[#This Row],[Salida de almacén de retiro]]-OLDBD[[#This Row],[Ingreso Almacén de retiro]],"")</f>
        <v/>
      </c>
      <c r="BE1058" s="46" t="str">
        <f>IFERROR(OLDBD[[#This Row],[Fin de Carga]]-OLDBD[[#This Row],[Inicio de Carga]],"")</f>
        <v/>
      </c>
    </row>
    <row r="1059" spans="1:57" customFormat="1" hidden="1">
      <c r="A1059" s="1"/>
      <c r="B1059" s="1" t="str">
        <f>IFERROR(IF(MARÍTIMOS[[#This Row],[PP]]="","",MARÍTIMOS[[#This Row],[PP]]),"")</f>
        <v/>
      </c>
      <c r="C1059" s="1" t="str">
        <f>IFERROR(IF(MARÍTIMOS[[#This Row],[Sede]]="","",MARÍTIMOS[[#This Row],[Sede]]),"")</f>
        <v/>
      </c>
      <c r="D1059" s="1" t="str">
        <f>IFERROR(IF(MARÍTIMOS[[#This Row],[Instruction]]="","",MARÍTIMOS[[#This Row],[Instruction]]),"")</f>
        <v/>
      </c>
      <c r="E1059" s="1"/>
      <c r="F1059" s="2" t="str">
        <f>IFERROR(IF(MARÍTIMOS[[#This Row],[Transportista]]="","",MARÍTIMOS[[#This Row],[Transportista]]),"")</f>
        <v/>
      </c>
      <c r="G1059" s="2" t="str">
        <f>IFERROR(IF(MARÍTIMOS[[#This Row],[Tercero]]="","",MARÍTIMOS[[#This Row],[Tercero]]),"")</f>
        <v/>
      </c>
      <c r="H1059" s="2" t="str">
        <f>IFERROR(IF(MARÍTIMOS[[#This Row],[Razón Social]]="","",MARÍTIMOS[[#This Row],[Razón Social]]),"")</f>
        <v/>
      </c>
      <c r="I1059" s="2" t="str">
        <f>IFERROR(IF(MARÍTIMOS[[#This Row],[RUC]]="","",MARÍTIMOS[[#This Row],[RUC]]),"")</f>
        <v/>
      </c>
      <c r="J1059" s="2" t="str">
        <f>IFERROR(IF(MARÍTIMOS[[#This Row],[Placa Tracto]]="","",MARÍTIMOS[[#This Row],[Placa Tracto]]),"")</f>
        <v/>
      </c>
      <c r="K1059" s="2" t="str">
        <f>IFERROR(IF(MARÍTIMOS[[#This Row],[Placa Carreta]]="","",MARÍTIMOS[[#This Row],[Placa Carreta]]),"")</f>
        <v/>
      </c>
      <c r="L1059" s="44" t="str">
        <f>IFERROR(IF(MARÍTIMOS[[#This Row],[Conductor]]="","",MARÍTIMOS[[#This Row],[Conductor]]),"")</f>
        <v/>
      </c>
      <c r="M1059" s="2" t="str">
        <f>IFERROR(IF(MARÍTIMOS[[#This Row],[Licencia]]="","",MARÍTIMOS[[#This Row],[Licencia]]),"")</f>
        <v/>
      </c>
      <c r="N1059" s="2" t="str">
        <f>IFERROR(IF(MARÍTIMOS[[#This Row],[Número de Contacto]]="","",MARÍTIMOS[[#This Row],[Número de Contacto]]),"")</f>
        <v/>
      </c>
      <c r="O1059" s="10" t="str">
        <f>IFERROR(IF(MARÍTIMOS[[#This Row],[Booking|AWB|CRT]]="","",MARÍTIMOS[[#This Row],[Booking|AWB|CRT]]),"")</f>
        <v/>
      </c>
      <c r="P1059" s="2" t="str">
        <f>IFERROR(IF(MARÍTIMOS[[#This Row],[Contenedor]]="","",MARÍTIMOS[[#This Row],[Contenedor]]),"")</f>
        <v/>
      </c>
      <c r="Q1059" s="2" t="str">
        <f>IFERROR(IF(MARÍTIMOS[[#This Row],[Puerto de Retiro]]="","",MARÍTIMOS[[#This Row],[Puerto de Retiro]]),"")</f>
        <v/>
      </c>
      <c r="R1059" s="2" t="str">
        <f>IFERROR(IF(MARÍTIMOS[[#This Row],[Almacén de Retiro]]="","",MARÍTIMOS[[#This Row],[Almacén de Retiro]]),"")</f>
        <v/>
      </c>
      <c r="S1059" s="11" t="str">
        <f>IFERROR(IF(MARÍTIMOS[[#This Row],[Etapa Retiro - Cita]]="","",MARÍTIMOS[[#This Row],[Etapa Retiro - Cita]]),"")</f>
        <v/>
      </c>
      <c r="T1059" s="11" t="str">
        <f>IFERROR(IF(MARÍTIMOS[[#This Row],[Etapa Retiro - Llegada]]="","",MARÍTIMOS[[#This Row],[Etapa Retiro - Llegada]]),"")</f>
        <v/>
      </c>
      <c r="U1059" s="11" t="str">
        <f>IFERROR(IF(MARÍTIMOS[[#This Row],[Etapa Retiro - Ingreso]]="","",MARÍTIMOS[[#This Row],[Etapa Retiro - Ingreso]]),"")</f>
        <v/>
      </c>
      <c r="V1059" s="11" t="str">
        <f>IFERROR(IF(MARÍTIMOS[[#This Row],[Etapa Retiro - Atención]]="","",MARÍTIMOS[[#This Row],[Etapa Retiro - Atención]]),"")</f>
        <v/>
      </c>
      <c r="W1059" s="11" t="str">
        <f>IFERROR(IF(MARÍTIMOS[[#This Row],[Etapa Retiro - Atención]]="","",MARÍTIMOS[[#This Row],[Etapa Retiro - Atención]]),"")</f>
        <v/>
      </c>
      <c r="X1059" s="11" t="str">
        <f>IFERROR(IF(MARÍTIMOS[[#This Row],[Etapa Retiro - Inicio de Ruta]]="","",MARÍTIMOS[[#This Row],[Etapa Retiro - Inicio de Ruta]]),"")</f>
        <v/>
      </c>
      <c r="Y1059" s="11" t="str">
        <f>IFERROR(IF(MARÍTIMOS[[#This Row],[Hora de Posicionamiento]]="","",MARÍTIMOS[[#This Row],[Fecha de Carga]]+MARÍTIMOS[[#This Row],[Hora de Posicionamiento]]),"")</f>
        <v/>
      </c>
      <c r="Z1059" s="11" t="str">
        <f>IFERROR(IF(MARÍTIMOS[[#This Row],[Etapa Despacho - Llegada]]="","",MARÍTIMOS[[#This Row],[Etapa Despacho - Llegada]]),"")</f>
        <v/>
      </c>
      <c r="AA1059" s="11" t="str">
        <f>IFERROR(IF(MARÍTIMOS[[#This Row],[Etapa Despacho - Registro]]="","",MARÍTIMOS[[#This Row],[Etapa Despacho - Registro]]),"")</f>
        <v/>
      </c>
      <c r="AB1059" s="11" t="str">
        <f>IFERROR(IF(MARÍTIMOS[[#This Row],[Inspección Externa]]="","",MARÍTIMOS[[#This Row],[Inspección Externa]]),"")</f>
        <v/>
      </c>
      <c r="AC1059" s="11" t="str">
        <f>IFERROR(IF(MARÍTIMOS[[#This Row],[Etapa Despacho - Inicio de Carga]]="","",MARÍTIMOS[[#This Row],[Etapa Despacho - Inicio de Carga]]),"")</f>
        <v/>
      </c>
      <c r="AD1059" s="11" t="str">
        <f>IFERROR(IF(MARÍTIMOS[[#This Row],[Etapa Despacho - Mitad de Carga]]="","",MARÍTIMOS[[#This Row],[Etapa Despacho - Mitad de Carga]]),"")</f>
        <v/>
      </c>
      <c r="AE1059" s="11" t="str">
        <f>IFERROR(IF(MARÍTIMOS[[#This Row],[Etapa Despacho - Fin de Carga]]="","",MARÍTIMOS[[#This Row],[Etapa Despacho - Fin de Carga]]),"")</f>
        <v/>
      </c>
      <c r="AF1059" s="2" t="str">
        <f>IFERROR(IF(MARÍTIMOS[[#This Row],[Puerto de Embarque]]="","",MARÍTIMOS[[#This Row],[Puerto de Embarque]]),"")</f>
        <v/>
      </c>
      <c r="AG1059" s="2" t="str">
        <f>IFERROR(IF(MARÍTIMOS[[#This Row],[Almacén de Ingreso]]="","",MARÍTIMOS[[#This Row],[Almacén de Ingreso]]),"")</f>
        <v/>
      </c>
      <c r="AH1059" s="11" t="str">
        <f>IFERROR(IF(MARÍTIMOS[[#This Row],[Etapa Ingreso - Cita]]="","",MARÍTIMOS[[#This Row],[Etapa Ingreso - Cita]]),"")</f>
        <v/>
      </c>
      <c r="AI1059" s="11" t="str">
        <f>IFERROR(IF(MARÍTIMOS[[#This Row],[Etapa Ingreso - Llegada]]="","",MARÍTIMOS[[#This Row],[Etapa Ingreso - Llegada]]),"")</f>
        <v/>
      </c>
      <c r="AJ1059" s="11" t="str">
        <f>IFERROR(IF(MARÍTIMOS[[#This Row],[Etapa Ingreso - Ingeso]]="","",MARÍTIMOS[[#This Row],[Etapa Ingreso - Ingeso]]),"")</f>
        <v/>
      </c>
      <c r="AK1059" s="11" t="str">
        <f>IFERROR(IF(MARÍTIMOS[[#This Row],[Etapa Ingreso - Atención]]="","",MARÍTIMOS[[#This Row],[Etapa Ingreso - Atención]]),"")</f>
        <v/>
      </c>
      <c r="AL1059" s="11" t="str">
        <f>IFERROR(IF(MARÍTIMOS[[#This Row],[Etapa Ingreso - Salida]]="","",MARÍTIMOS[[#This Row],[Etapa Ingreso - Salida]]),"")</f>
        <v/>
      </c>
      <c r="AM1059" s="2" t="str">
        <f>IFERROR(IF(MARÍTIMOS[[#This Row],[FCL]]="","",MARÍTIMOS[[#This Row],[FCL]]),"")</f>
        <v/>
      </c>
      <c r="AN105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59" s="4" t="str" cm="1">
        <f t="array" ref="AO105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59" s="5" t="str">
        <f>IFERROR(OLDBD[[#This Row],[Llegada a packing]]-OLDBD[[#This Row],[Inicio de Ruta]],"")</f>
        <v/>
      </c>
      <c r="AQ1059" s="6" t="str">
        <f>IFERROR(OLDBD[[#This Row],[Inicio de Ruta]]-OLDBD[[#This Row],[Salida de almacén de retiro]],"")</f>
        <v/>
      </c>
      <c r="AR105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59" s="8" t="str" cm="1">
        <f t="array" ref="AS105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5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59" s="9" t="str">
        <f>IFERROR(OLDBD[[#This Row],[Ingreso Packing]]-OLDBD[[#This Row],[Registro en Packing]],"")</f>
        <v/>
      </c>
      <c r="AV1059" s="9" t="str">
        <f>IFERROR(OLDBD[[#This Row],[Ingreso Packing]]-OLDBD[[#This Row],[Llegada a packing]],"")</f>
        <v/>
      </c>
      <c r="AW105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59" s="5" t="str">
        <f>IFERROR(OLDBD[[#This Row],[Llegada Almacén de Ingreso]]-OLDBD[[#This Row],[Salida Packing]],"")</f>
        <v/>
      </c>
      <c r="AY1059" s="4" t="str" cm="1">
        <f t="array" ref="AY105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5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59" s="43" t="s">
        <v>173</v>
      </c>
      <c r="BB1059" s="47" t="str">
        <f>IFERROR(IF(MARÍTIMOS[[#This Row],[Estatus]]="","",MARÍTIMOS[[#This Row],[Estatus]]),"")</f>
        <v/>
      </c>
      <c r="BC1059" s="43"/>
      <c r="BD1059" s="46" t="str">
        <f>IFERROR(OLDBD[[#This Row],[Salida de almacén de retiro]]-OLDBD[[#This Row],[Ingreso Almacén de retiro]],"")</f>
        <v/>
      </c>
      <c r="BE1059" s="46" t="str">
        <f>IFERROR(OLDBD[[#This Row],[Fin de Carga]]-OLDBD[[#This Row],[Inicio de Carga]],"")</f>
        <v/>
      </c>
    </row>
    <row r="1060" spans="1:57" customFormat="1" hidden="1">
      <c r="A1060" s="1"/>
      <c r="B1060" s="1" t="str">
        <f>IFERROR(IF(MARÍTIMOS[[#This Row],[PP]]="","",MARÍTIMOS[[#This Row],[PP]]),"")</f>
        <v/>
      </c>
      <c r="C1060" s="1" t="str">
        <f>IFERROR(IF(MARÍTIMOS[[#This Row],[Sede]]="","",MARÍTIMOS[[#This Row],[Sede]]),"")</f>
        <v/>
      </c>
      <c r="D1060" s="1" t="str">
        <f>IFERROR(IF(MARÍTIMOS[[#This Row],[Instruction]]="","",MARÍTIMOS[[#This Row],[Instruction]]),"")</f>
        <v/>
      </c>
      <c r="E1060" s="1"/>
      <c r="F1060" s="2" t="str">
        <f>IFERROR(IF(MARÍTIMOS[[#This Row],[Transportista]]="","",MARÍTIMOS[[#This Row],[Transportista]]),"")</f>
        <v/>
      </c>
      <c r="G1060" s="2" t="str">
        <f>IFERROR(IF(MARÍTIMOS[[#This Row],[Tercero]]="","",MARÍTIMOS[[#This Row],[Tercero]]),"")</f>
        <v/>
      </c>
      <c r="H1060" s="2" t="str">
        <f>IFERROR(IF(MARÍTIMOS[[#This Row],[Razón Social]]="","",MARÍTIMOS[[#This Row],[Razón Social]]),"")</f>
        <v/>
      </c>
      <c r="I1060" s="2" t="str">
        <f>IFERROR(IF(MARÍTIMOS[[#This Row],[RUC]]="","",MARÍTIMOS[[#This Row],[RUC]]),"")</f>
        <v/>
      </c>
      <c r="J1060" s="2" t="str">
        <f>IFERROR(IF(MARÍTIMOS[[#This Row],[Placa Tracto]]="","",MARÍTIMOS[[#This Row],[Placa Tracto]]),"")</f>
        <v/>
      </c>
      <c r="K1060" s="2" t="str">
        <f>IFERROR(IF(MARÍTIMOS[[#This Row],[Placa Carreta]]="","",MARÍTIMOS[[#This Row],[Placa Carreta]]),"")</f>
        <v/>
      </c>
      <c r="L1060" s="44" t="str">
        <f>IFERROR(IF(MARÍTIMOS[[#This Row],[Conductor]]="","",MARÍTIMOS[[#This Row],[Conductor]]),"")</f>
        <v/>
      </c>
      <c r="M1060" s="2" t="str">
        <f>IFERROR(IF(MARÍTIMOS[[#This Row],[Licencia]]="","",MARÍTIMOS[[#This Row],[Licencia]]),"")</f>
        <v/>
      </c>
      <c r="N1060" s="2" t="str">
        <f>IFERROR(IF(MARÍTIMOS[[#This Row],[Número de Contacto]]="","",MARÍTIMOS[[#This Row],[Número de Contacto]]),"")</f>
        <v/>
      </c>
      <c r="O1060" s="10" t="str">
        <f>IFERROR(IF(MARÍTIMOS[[#This Row],[Booking|AWB|CRT]]="","",MARÍTIMOS[[#This Row],[Booking|AWB|CRT]]),"")</f>
        <v/>
      </c>
      <c r="P1060" s="2" t="str">
        <f>IFERROR(IF(MARÍTIMOS[[#This Row],[Contenedor]]="","",MARÍTIMOS[[#This Row],[Contenedor]]),"")</f>
        <v/>
      </c>
      <c r="Q1060" s="2" t="str">
        <f>IFERROR(IF(MARÍTIMOS[[#This Row],[Puerto de Retiro]]="","",MARÍTIMOS[[#This Row],[Puerto de Retiro]]),"")</f>
        <v/>
      </c>
      <c r="R1060" s="2" t="str">
        <f>IFERROR(IF(MARÍTIMOS[[#This Row],[Almacén de Retiro]]="","",MARÍTIMOS[[#This Row],[Almacén de Retiro]]),"")</f>
        <v/>
      </c>
      <c r="S1060" s="11" t="str">
        <f>IFERROR(IF(MARÍTIMOS[[#This Row],[Etapa Retiro - Cita]]="","",MARÍTIMOS[[#This Row],[Etapa Retiro - Cita]]),"")</f>
        <v/>
      </c>
      <c r="T1060" s="11" t="str">
        <f>IFERROR(IF(MARÍTIMOS[[#This Row],[Etapa Retiro - Llegada]]="","",MARÍTIMOS[[#This Row],[Etapa Retiro - Llegada]]),"")</f>
        <v/>
      </c>
      <c r="U1060" s="11" t="str">
        <f>IFERROR(IF(MARÍTIMOS[[#This Row],[Etapa Retiro - Ingreso]]="","",MARÍTIMOS[[#This Row],[Etapa Retiro - Ingreso]]),"")</f>
        <v/>
      </c>
      <c r="V1060" s="11" t="str">
        <f>IFERROR(IF(MARÍTIMOS[[#This Row],[Etapa Retiro - Atención]]="","",MARÍTIMOS[[#This Row],[Etapa Retiro - Atención]]),"")</f>
        <v/>
      </c>
      <c r="W1060" s="11" t="str">
        <f>IFERROR(IF(MARÍTIMOS[[#This Row],[Etapa Retiro - Atención]]="","",MARÍTIMOS[[#This Row],[Etapa Retiro - Atención]]),"")</f>
        <v/>
      </c>
      <c r="X1060" s="11" t="str">
        <f>IFERROR(IF(MARÍTIMOS[[#This Row],[Etapa Retiro - Inicio de Ruta]]="","",MARÍTIMOS[[#This Row],[Etapa Retiro - Inicio de Ruta]]),"")</f>
        <v/>
      </c>
      <c r="Y1060" s="11" t="str">
        <f>IFERROR(IF(MARÍTIMOS[[#This Row],[Hora de Posicionamiento]]="","",MARÍTIMOS[[#This Row],[Fecha de Carga]]+MARÍTIMOS[[#This Row],[Hora de Posicionamiento]]),"")</f>
        <v/>
      </c>
      <c r="Z1060" s="11" t="str">
        <f>IFERROR(IF(MARÍTIMOS[[#This Row],[Etapa Despacho - Llegada]]="","",MARÍTIMOS[[#This Row],[Etapa Despacho - Llegada]]),"")</f>
        <v/>
      </c>
      <c r="AA1060" s="11" t="str">
        <f>IFERROR(IF(MARÍTIMOS[[#This Row],[Etapa Despacho - Registro]]="","",MARÍTIMOS[[#This Row],[Etapa Despacho - Registro]]),"")</f>
        <v/>
      </c>
      <c r="AB1060" s="11" t="str">
        <f>IFERROR(IF(MARÍTIMOS[[#This Row],[Inspección Externa]]="","",MARÍTIMOS[[#This Row],[Inspección Externa]]),"")</f>
        <v/>
      </c>
      <c r="AC1060" s="11" t="str">
        <f>IFERROR(IF(MARÍTIMOS[[#This Row],[Etapa Despacho - Inicio de Carga]]="","",MARÍTIMOS[[#This Row],[Etapa Despacho - Inicio de Carga]]),"")</f>
        <v/>
      </c>
      <c r="AD1060" s="11" t="str">
        <f>IFERROR(IF(MARÍTIMOS[[#This Row],[Etapa Despacho - Mitad de Carga]]="","",MARÍTIMOS[[#This Row],[Etapa Despacho - Mitad de Carga]]),"")</f>
        <v/>
      </c>
      <c r="AE1060" s="11" t="str">
        <f>IFERROR(IF(MARÍTIMOS[[#This Row],[Etapa Despacho - Fin de Carga]]="","",MARÍTIMOS[[#This Row],[Etapa Despacho - Fin de Carga]]),"")</f>
        <v/>
      </c>
      <c r="AF1060" s="2" t="str">
        <f>IFERROR(IF(MARÍTIMOS[[#This Row],[Puerto de Embarque]]="","",MARÍTIMOS[[#This Row],[Puerto de Embarque]]),"")</f>
        <v/>
      </c>
      <c r="AG1060" s="2" t="str">
        <f>IFERROR(IF(MARÍTIMOS[[#This Row],[Almacén de Ingreso]]="","",MARÍTIMOS[[#This Row],[Almacén de Ingreso]]),"")</f>
        <v/>
      </c>
      <c r="AH1060" s="11" t="str">
        <f>IFERROR(IF(MARÍTIMOS[[#This Row],[Etapa Ingreso - Cita]]="","",MARÍTIMOS[[#This Row],[Etapa Ingreso - Cita]]),"")</f>
        <v/>
      </c>
      <c r="AI1060" s="11" t="str">
        <f>IFERROR(IF(MARÍTIMOS[[#This Row],[Etapa Ingreso - Llegada]]="","",MARÍTIMOS[[#This Row],[Etapa Ingreso - Llegada]]),"")</f>
        <v/>
      </c>
      <c r="AJ1060" s="11" t="str">
        <f>IFERROR(IF(MARÍTIMOS[[#This Row],[Etapa Ingreso - Ingeso]]="","",MARÍTIMOS[[#This Row],[Etapa Ingreso - Ingeso]]),"")</f>
        <v/>
      </c>
      <c r="AK1060" s="11" t="str">
        <f>IFERROR(IF(MARÍTIMOS[[#This Row],[Etapa Ingreso - Atención]]="","",MARÍTIMOS[[#This Row],[Etapa Ingreso - Atención]]),"")</f>
        <v/>
      </c>
      <c r="AL1060" s="11" t="str">
        <f>IFERROR(IF(MARÍTIMOS[[#This Row],[Etapa Ingreso - Salida]]="","",MARÍTIMOS[[#This Row],[Etapa Ingreso - Salida]]),"")</f>
        <v/>
      </c>
      <c r="AM1060" s="2" t="str">
        <f>IFERROR(IF(MARÍTIMOS[[#This Row],[FCL]]="","",MARÍTIMOS[[#This Row],[FCL]]),"")</f>
        <v/>
      </c>
      <c r="AN106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0" s="4" t="str" cm="1">
        <f t="array" ref="AO106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0" s="5" t="str">
        <f>IFERROR(OLDBD[[#This Row],[Llegada a packing]]-OLDBD[[#This Row],[Inicio de Ruta]],"")</f>
        <v/>
      </c>
      <c r="AQ1060" s="6" t="str">
        <f>IFERROR(OLDBD[[#This Row],[Inicio de Ruta]]-OLDBD[[#This Row],[Salida de almacén de retiro]],"")</f>
        <v/>
      </c>
      <c r="AR106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0" s="8" t="str" cm="1">
        <f t="array" ref="AS106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0" s="9" t="str">
        <f>IFERROR(OLDBD[[#This Row],[Ingreso Packing]]-OLDBD[[#This Row],[Registro en Packing]],"")</f>
        <v/>
      </c>
      <c r="AV1060" s="9" t="str">
        <f>IFERROR(OLDBD[[#This Row],[Ingreso Packing]]-OLDBD[[#This Row],[Llegada a packing]],"")</f>
        <v/>
      </c>
      <c r="AW106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0" s="5" t="str">
        <f>IFERROR(OLDBD[[#This Row],[Llegada Almacén de Ingreso]]-OLDBD[[#This Row],[Salida Packing]],"")</f>
        <v/>
      </c>
      <c r="AY1060" s="4" t="str" cm="1">
        <f t="array" ref="AY106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0" s="43" t="s">
        <v>173</v>
      </c>
      <c r="BB1060" s="47" t="str">
        <f>IFERROR(IF(MARÍTIMOS[[#This Row],[Estatus]]="","",MARÍTIMOS[[#This Row],[Estatus]]),"")</f>
        <v/>
      </c>
      <c r="BC1060" s="43"/>
      <c r="BD1060" s="46" t="str">
        <f>IFERROR(OLDBD[[#This Row],[Salida de almacén de retiro]]-OLDBD[[#This Row],[Ingreso Almacén de retiro]],"")</f>
        <v/>
      </c>
      <c r="BE1060" s="46" t="str">
        <f>IFERROR(OLDBD[[#This Row],[Fin de Carga]]-OLDBD[[#This Row],[Inicio de Carga]],"")</f>
        <v/>
      </c>
    </row>
    <row r="1061" spans="1:57" customFormat="1" hidden="1">
      <c r="A1061" s="1"/>
      <c r="B1061" s="1" t="str">
        <f>IFERROR(IF(MARÍTIMOS[[#This Row],[PP]]="","",MARÍTIMOS[[#This Row],[PP]]),"")</f>
        <v/>
      </c>
      <c r="C1061" s="1" t="str">
        <f>IFERROR(IF(MARÍTIMOS[[#This Row],[Sede]]="","",MARÍTIMOS[[#This Row],[Sede]]),"")</f>
        <v/>
      </c>
      <c r="D1061" s="1" t="str">
        <f>IFERROR(IF(MARÍTIMOS[[#This Row],[Instruction]]="","",MARÍTIMOS[[#This Row],[Instruction]]),"")</f>
        <v/>
      </c>
      <c r="E1061" s="1"/>
      <c r="F1061" s="2" t="str">
        <f>IFERROR(IF(MARÍTIMOS[[#This Row],[Transportista]]="","",MARÍTIMOS[[#This Row],[Transportista]]),"")</f>
        <v/>
      </c>
      <c r="G1061" s="2" t="str">
        <f>IFERROR(IF(MARÍTIMOS[[#This Row],[Tercero]]="","",MARÍTIMOS[[#This Row],[Tercero]]),"")</f>
        <v/>
      </c>
      <c r="H1061" s="2" t="str">
        <f>IFERROR(IF(MARÍTIMOS[[#This Row],[Razón Social]]="","",MARÍTIMOS[[#This Row],[Razón Social]]),"")</f>
        <v/>
      </c>
      <c r="I1061" s="2" t="str">
        <f>IFERROR(IF(MARÍTIMOS[[#This Row],[RUC]]="","",MARÍTIMOS[[#This Row],[RUC]]),"")</f>
        <v/>
      </c>
      <c r="J1061" s="2" t="str">
        <f>IFERROR(IF(MARÍTIMOS[[#This Row],[Placa Tracto]]="","",MARÍTIMOS[[#This Row],[Placa Tracto]]),"")</f>
        <v/>
      </c>
      <c r="K1061" s="2" t="str">
        <f>IFERROR(IF(MARÍTIMOS[[#This Row],[Placa Carreta]]="","",MARÍTIMOS[[#This Row],[Placa Carreta]]),"")</f>
        <v/>
      </c>
      <c r="L1061" s="44" t="str">
        <f>IFERROR(IF(MARÍTIMOS[[#This Row],[Conductor]]="","",MARÍTIMOS[[#This Row],[Conductor]]),"")</f>
        <v/>
      </c>
      <c r="M1061" s="2" t="str">
        <f>IFERROR(IF(MARÍTIMOS[[#This Row],[Licencia]]="","",MARÍTIMOS[[#This Row],[Licencia]]),"")</f>
        <v/>
      </c>
      <c r="N1061" s="2" t="str">
        <f>IFERROR(IF(MARÍTIMOS[[#This Row],[Número de Contacto]]="","",MARÍTIMOS[[#This Row],[Número de Contacto]]),"")</f>
        <v/>
      </c>
      <c r="O1061" s="10" t="str">
        <f>IFERROR(IF(MARÍTIMOS[[#This Row],[Booking|AWB|CRT]]="","",MARÍTIMOS[[#This Row],[Booking|AWB|CRT]]),"")</f>
        <v/>
      </c>
      <c r="P1061" s="2" t="str">
        <f>IFERROR(IF(MARÍTIMOS[[#This Row],[Contenedor]]="","",MARÍTIMOS[[#This Row],[Contenedor]]),"")</f>
        <v/>
      </c>
      <c r="Q1061" s="2" t="str">
        <f>IFERROR(IF(MARÍTIMOS[[#This Row],[Puerto de Retiro]]="","",MARÍTIMOS[[#This Row],[Puerto de Retiro]]),"")</f>
        <v/>
      </c>
      <c r="R1061" s="2" t="str">
        <f>IFERROR(IF(MARÍTIMOS[[#This Row],[Almacén de Retiro]]="","",MARÍTIMOS[[#This Row],[Almacén de Retiro]]),"")</f>
        <v/>
      </c>
      <c r="S1061" s="11" t="str">
        <f>IFERROR(IF(MARÍTIMOS[[#This Row],[Etapa Retiro - Cita]]="","",MARÍTIMOS[[#This Row],[Etapa Retiro - Cita]]),"")</f>
        <v/>
      </c>
      <c r="T1061" s="11" t="str">
        <f>IFERROR(IF(MARÍTIMOS[[#This Row],[Etapa Retiro - Llegada]]="","",MARÍTIMOS[[#This Row],[Etapa Retiro - Llegada]]),"")</f>
        <v/>
      </c>
      <c r="U1061" s="11" t="str">
        <f>IFERROR(IF(MARÍTIMOS[[#This Row],[Etapa Retiro - Ingreso]]="","",MARÍTIMOS[[#This Row],[Etapa Retiro - Ingreso]]),"")</f>
        <v/>
      </c>
      <c r="V1061" s="11" t="str">
        <f>IFERROR(IF(MARÍTIMOS[[#This Row],[Etapa Retiro - Atención]]="","",MARÍTIMOS[[#This Row],[Etapa Retiro - Atención]]),"")</f>
        <v/>
      </c>
      <c r="W1061" s="11" t="str">
        <f>IFERROR(IF(MARÍTIMOS[[#This Row],[Etapa Retiro - Atención]]="","",MARÍTIMOS[[#This Row],[Etapa Retiro - Atención]]),"")</f>
        <v/>
      </c>
      <c r="X1061" s="11" t="str">
        <f>IFERROR(IF(MARÍTIMOS[[#This Row],[Etapa Retiro - Inicio de Ruta]]="","",MARÍTIMOS[[#This Row],[Etapa Retiro - Inicio de Ruta]]),"")</f>
        <v/>
      </c>
      <c r="Y1061" s="11" t="str">
        <f>IFERROR(IF(MARÍTIMOS[[#This Row],[Hora de Posicionamiento]]="","",MARÍTIMOS[[#This Row],[Fecha de Carga]]+MARÍTIMOS[[#This Row],[Hora de Posicionamiento]]),"")</f>
        <v/>
      </c>
      <c r="Z1061" s="11" t="str">
        <f>IFERROR(IF(MARÍTIMOS[[#This Row],[Etapa Despacho - Llegada]]="","",MARÍTIMOS[[#This Row],[Etapa Despacho - Llegada]]),"")</f>
        <v/>
      </c>
      <c r="AA1061" s="11" t="str">
        <f>IFERROR(IF(MARÍTIMOS[[#This Row],[Etapa Despacho - Registro]]="","",MARÍTIMOS[[#This Row],[Etapa Despacho - Registro]]),"")</f>
        <v/>
      </c>
      <c r="AB1061" s="11" t="str">
        <f>IFERROR(IF(MARÍTIMOS[[#This Row],[Inspección Externa]]="","",MARÍTIMOS[[#This Row],[Inspección Externa]]),"")</f>
        <v/>
      </c>
      <c r="AC1061" s="11" t="str">
        <f>IFERROR(IF(MARÍTIMOS[[#This Row],[Etapa Despacho - Inicio de Carga]]="","",MARÍTIMOS[[#This Row],[Etapa Despacho - Inicio de Carga]]),"")</f>
        <v/>
      </c>
      <c r="AD1061" s="11" t="str">
        <f>IFERROR(IF(MARÍTIMOS[[#This Row],[Etapa Despacho - Mitad de Carga]]="","",MARÍTIMOS[[#This Row],[Etapa Despacho - Mitad de Carga]]),"")</f>
        <v/>
      </c>
      <c r="AE1061" s="11" t="str">
        <f>IFERROR(IF(MARÍTIMOS[[#This Row],[Etapa Despacho - Fin de Carga]]="","",MARÍTIMOS[[#This Row],[Etapa Despacho - Fin de Carga]]),"")</f>
        <v/>
      </c>
      <c r="AF1061" s="2" t="str">
        <f>IFERROR(IF(MARÍTIMOS[[#This Row],[Puerto de Embarque]]="","",MARÍTIMOS[[#This Row],[Puerto de Embarque]]),"")</f>
        <v/>
      </c>
      <c r="AG1061" s="2" t="str">
        <f>IFERROR(IF(MARÍTIMOS[[#This Row],[Almacén de Ingreso]]="","",MARÍTIMOS[[#This Row],[Almacén de Ingreso]]),"")</f>
        <v/>
      </c>
      <c r="AH1061" s="11" t="str">
        <f>IFERROR(IF(MARÍTIMOS[[#This Row],[Etapa Ingreso - Cita]]="","",MARÍTIMOS[[#This Row],[Etapa Ingreso - Cita]]),"")</f>
        <v/>
      </c>
      <c r="AI1061" s="11" t="str">
        <f>IFERROR(IF(MARÍTIMOS[[#This Row],[Etapa Ingreso - Llegada]]="","",MARÍTIMOS[[#This Row],[Etapa Ingreso - Llegada]]),"")</f>
        <v/>
      </c>
      <c r="AJ1061" s="11" t="str">
        <f>IFERROR(IF(MARÍTIMOS[[#This Row],[Etapa Ingreso - Ingeso]]="","",MARÍTIMOS[[#This Row],[Etapa Ingreso - Ingeso]]),"")</f>
        <v/>
      </c>
      <c r="AK1061" s="11" t="str">
        <f>IFERROR(IF(MARÍTIMOS[[#This Row],[Etapa Ingreso - Atención]]="","",MARÍTIMOS[[#This Row],[Etapa Ingreso - Atención]]),"")</f>
        <v/>
      </c>
      <c r="AL1061" s="11" t="str">
        <f>IFERROR(IF(MARÍTIMOS[[#This Row],[Etapa Ingreso - Salida]]="","",MARÍTIMOS[[#This Row],[Etapa Ingreso - Salida]]),"")</f>
        <v/>
      </c>
      <c r="AM1061" s="2" t="str">
        <f>IFERROR(IF(MARÍTIMOS[[#This Row],[FCL]]="","",MARÍTIMOS[[#This Row],[FCL]]),"")</f>
        <v/>
      </c>
      <c r="AN106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1" s="4" t="str" cm="1">
        <f t="array" ref="AO106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1" s="5" t="str">
        <f>IFERROR(OLDBD[[#This Row],[Llegada a packing]]-OLDBD[[#This Row],[Inicio de Ruta]],"")</f>
        <v/>
      </c>
      <c r="AQ1061" s="6" t="str">
        <f>IFERROR(OLDBD[[#This Row],[Inicio de Ruta]]-OLDBD[[#This Row],[Salida de almacén de retiro]],"")</f>
        <v/>
      </c>
      <c r="AR106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1" s="8" t="str" cm="1">
        <f t="array" ref="AS106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1" s="9" t="str">
        <f>IFERROR(OLDBD[[#This Row],[Ingreso Packing]]-OLDBD[[#This Row],[Registro en Packing]],"")</f>
        <v/>
      </c>
      <c r="AV1061" s="9" t="str">
        <f>IFERROR(OLDBD[[#This Row],[Ingreso Packing]]-OLDBD[[#This Row],[Llegada a packing]],"")</f>
        <v/>
      </c>
      <c r="AW106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1" s="5" t="str">
        <f>IFERROR(OLDBD[[#This Row],[Llegada Almacén de Ingreso]]-OLDBD[[#This Row],[Salida Packing]],"")</f>
        <v/>
      </c>
      <c r="AY1061" s="4" t="str" cm="1">
        <f t="array" ref="AY106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1" s="43" t="s">
        <v>173</v>
      </c>
      <c r="BB1061" s="47" t="str">
        <f>IFERROR(IF(MARÍTIMOS[[#This Row],[Estatus]]="","",MARÍTIMOS[[#This Row],[Estatus]]),"")</f>
        <v/>
      </c>
      <c r="BC1061" s="43"/>
      <c r="BD1061" s="46" t="str">
        <f>IFERROR(OLDBD[[#This Row],[Salida de almacén de retiro]]-OLDBD[[#This Row],[Ingreso Almacén de retiro]],"")</f>
        <v/>
      </c>
      <c r="BE1061" s="46" t="str">
        <f>IFERROR(OLDBD[[#This Row],[Fin de Carga]]-OLDBD[[#This Row],[Inicio de Carga]],"")</f>
        <v/>
      </c>
    </row>
    <row r="1062" spans="1:57" customFormat="1" hidden="1">
      <c r="A1062" s="1"/>
      <c r="B1062" s="1" t="str">
        <f>IFERROR(IF(MARÍTIMOS[[#This Row],[PP]]="","",MARÍTIMOS[[#This Row],[PP]]),"")</f>
        <v/>
      </c>
      <c r="C1062" s="1" t="str">
        <f>IFERROR(IF(MARÍTIMOS[[#This Row],[Sede]]="","",MARÍTIMOS[[#This Row],[Sede]]),"")</f>
        <v/>
      </c>
      <c r="D1062" s="1" t="str">
        <f>IFERROR(IF(MARÍTIMOS[[#This Row],[Instruction]]="","",MARÍTIMOS[[#This Row],[Instruction]]),"")</f>
        <v/>
      </c>
      <c r="E1062" s="1"/>
      <c r="F1062" s="2" t="str">
        <f>IFERROR(IF(MARÍTIMOS[[#This Row],[Transportista]]="","",MARÍTIMOS[[#This Row],[Transportista]]),"")</f>
        <v/>
      </c>
      <c r="G1062" s="2" t="str">
        <f>IFERROR(IF(MARÍTIMOS[[#This Row],[Tercero]]="","",MARÍTIMOS[[#This Row],[Tercero]]),"")</f>
        <v/>
      </c>
      <c r="H1062" s="2" t="str">
        <f>IFERROR(IF(MARÍTIMOS[[#This Row],[Razón Social]]="","",MARÍTIMOS[[#This Row],[Razón Social]]),"")</f>
        <v/>
      </c>
      <c r="I1062" s="2" t="str">
        <f>IFERROR(IF(MARÍTIMOS[[#This Row],[RUC]]="","",MARÍTIMOS[[#This Row],[RUC]]),"")</f>
        <v/>
      </c>
      <c r="J1062" s="2" t="str">
        <f>IFERROR(IF(MARÍTIMOS[[#This Row],[Placa Tracto]]="","",MARÍTIMOS[[#This Row],[Placa Tracto]]),"")</f>
        <v/>
      </c>
      <c r="K1062" s="2" t="str">
        <f>IFERROR(IF(MARÍTIMOS[[#This Row],[Placa Carreta]]="","",MARÍTIMOS[[#This Row],[Placa Carreta]]),"")</f>
        <v/>
      </c>
      <c r="L1062" s="44" t="str">
        <f>IFERROR(IF(MARÍTIMOS[[#This Row],[Conductor]]="","",MARÍTIMOS[[#This Row],[Conductor]]),"")</f>
        <v/>
      </c>
      <c r="M1062" s="2" t="str">
        <f>IFERROR(IF(MARÍTIMOS[[#This Row],[Licencia]]="","",MARÍTIMOS[[#This Row],[Licencia]]),"")</f>
        <v/>
      </c>
      <c r="N1062" s="2" t="str">
        <f>IFERROR(IF(MARÍTIMOS[[#This Row],[Número de Contacto]]="","",MARÍTIMOS[[#This Row],[Número de Contacto]]),"")</f>
        <v/>
      </c>
      <c r="O1062" s="10" t="str">
        <f>IFERROR(IF(MARÍTIMOS[[#This Row],[Booking|AWB|CRT]]="","",MARÍTIMOS[[#This Row],[Booking|AWB|CRT]]),"")</f>
        <v/>
      </c>
      <c r="P1062" s="2" t="str">
        <f>IFERROR(IF(MARÍTIMOS[[#This Row],[Contenedor]]="","",MARÍTIMOS[[#This Row],[Contenedor]]),"")</f>
        <v/>
      </c>
      <c r="Q1062" s="2" t="str">
        <f>IFERROR(IF(MARÍTIMOS[[#This Row],[Puerto de Retiro]]="","",MARÍTIMOS[[#This Row],[Puerto de Retiro]]),"")</f>
        <v/>
      </c>
      <c r="R1062" s="2" t="str">
        <f>IFERROR(IF(MARÍTIMOS[[#This Row],[Almacén de Retiro]]="","",MARÍTIMOS[[#This Row],[Almacén de Retiro]]),"")</f>
        <v/>
      </c>
      <c r="S1062" s="11" t="str">
        <f>IFERROR(IF(MARÍTIMOS[[#This Row],[Etapa Retiro - Cita]]="","",MARÍTIMOS[[#This Row],[Etapa Retiro - Cita]]),"")</f>
        <v/>
      </c>
      <c r="T1062" s="11" t="str">
        <f>IFERROR(IF(MARÍTIMOS[[#This Row],[Etapa Retiro - Llegada]]="","",MARÍTIMOS[[#This Row],[Etapa Retiro - Llegada]]),"")</f>
        <v/>
      </c>
      <c r="U1062" s="11" t="str">
        <f>IFERROR(IF(MARÍTIMOS[[#This Row],[Etapa Retiro - Ingreso]]="","",MARÍTIMOS[[#This Row],[Etapa Retiro - Ingreso]]),"")</f>
        <v/>
      </c>
      <c r="V1062" s="11" t="str">
        <f>IFERROR(IF(MARÍTIMOS[[#This Row],[Etapa Retiro - Atención]]="","",MARÍTIMOS[[#This Row],[Etapa Retiro - Atención]]),"")</f>
        <v/>
      </c>
      <c r="W1062" s="11" t="str">
        <f>IFERROR(IF(MARÍTIMOS[[#This Row],[Etapa Retiro - Atención]]="","",MARÍTIMOS[[#This Row],[Etapa Retiro - Atención]]),"")</f>
        <v/>
      </c>
      <c r="X1062" s="11" t="str">
        <f>IFERROR(IF(MARÍTIMOS[[#This Row],[Etapa Retiro - Inicio de Ruta]]="","",MARÍTIMOS[[#This Row],[Etapa Retiro - Inicio de Ruta]]),"")</f>
        <v/>
      </c>
      <c r="Y1062" s="11" t="str">
        <f>IFERROR(IF(MARÍTIMOS[[#This Row],[Hora de Posicionamiento]]="","",MARÍTIMOS[[#This Row],[Fecha de Carga]]+MARÍTIMOS[[#This Row],[Hora de Posicionamiento]]),"")</f>
        <v/>
      </c>
      <c r="Z1062" s="11" t="str">
        <f>IFERROR(IF(MARÍTIMOS[[#This Row],[Etapa Despacho - Llegada]]="","",MARÍTIMOS[[#This Row],[Etapa Despacho - Llegada]]),"")</f>
        <v/>
      </c>
      <c r="AA1062" s="11" t="str">
        <f>IFERROR(IF(MARÍTIMOS[[#This Row],[Etapa Despacho - Registro]]="","",MARÍTIMOS[[#This Row],[Etapa Despacho - Registro]]),"")</f>
        <v/>
      </c>
      <c r="AB1062" s="11" t="str">
        <f>IFERROR(IF(MARÍTIMOS[[#This Row],[Inspección Externa]]="","",MARÍTIMOS[[#This Row],[Inspección Externa]]),"")</f>
        <v/>
      </c>
      <c r="AC1062" s="11" t="str">
        <f>IFERROR(IF(MARÍTIMOS[[#This Row],[Etapa Despacho - Inicio de Carga]]="","",MARÍTIMOS[[#This Row],[Etapa Despacho - Inicio de Carga]]),"")</f>
        <v/>
      </c>
      <c r="AD1062" s="11" t="str">
        <f>IFERROR(IF(MARÍTIMOS[[#This Row],[Etapa Despacho - Mitad de Carga]]="","",MARÍTIMOS[[#This Row],[Etapa Despacho - Mitad de Carga]]),"")</f>
        <v/>
      </c>
      <c r="AE1062" s="11" t="str">
        <f>IFERROR(IF(MARÍTIMOS[[#This Row],[Etapa Despacho - Fin de Carga]]="","",MARÍTIMOS[[#This Row],[Etapa Despacho - Fin de Carga]]),"")</f>
        <v/>
      </c>
      <c r="AF1062" s="2" t="str">
        <f>IFERROR(IF(MARÍTIMOS[[#This Row],[Puerto de Embarque]]="","",MARÍTIMOS[[#This Row],[Puerto de Embarque]]),"")</f>
        <v/>
      </c>
      <c r="AG1062" s="2" t="str">
        <f>IFERROR(IF(MARÍTIMOS[[#This Row],[Almacén de Ingreso]]="","",MARÍTIMOS[[#This Row],[Almacén de Ingreso]]),"")</f>
        <v/>
      </c>
      <c r="AH1062" s="11" t="str">
        <f>IFERROR(IF(MARÍTIMOS[[#This Row],[Etapa Ingreso - Cita]]="","",MARÍTIMOS[[#This Row],[Etapa Ingreso - Cita]]),"")</f>
        <v/>
      </c>
      <c r="AI1062" s="11" t="str">
        <f>IFERROR(IF(MARÍTIMOS[[#This Row],[Etapa Ingreso - Llegada]]="","",MARÍTIMOS[[#This Row],[Etapa Ingreso - Llegada]]),"")</f>
        <v/>
      </c>
      <c r="AJ1062" s="11" t="str">
        <f>IFERROR(IF(MARÍTIMOS[[#This Row],[Etapa Ingreso - Ingeso]]="","",MARÍTIMOS[[#This Row],[Etapa Ingreso - Ingeso]]),"")</f>
        <v/>
      </c>
      <c r="AK1062" s="11" t="str">
        <f>IFERROR(IF(MARÍTIMOS[[#This Row],[Etapa Ingreso - Atención]]="","",MARÍTIMOS[[#This Row],[Etapa Ingreso - Atención]]),"")</f>
        <v/>
      </c>
      <c r="AL1062" s="11" t="str">
        <f>IFERROR(IF(MARÍTIMOS[[#This Row],[Etapa Ingreso - Salida]]="","",MARÍTIMOS[[#This Row],[Etapa Ingreso - Salida]]),"")</f>
        <v/>
      </c>
      <c r="AM1062" s="2" t="str">
        <f>IFERROR(IF(MARÍTIMOS[[#This Row],[FCL]]="","",MARÍTIMOS[[#This Row],[FCL]]),"")</f>
        <v/>
      </c>
      <c r="AN106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2" s="4" t="str" cm="1">
        <f t="array" ref="AO106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2" s="5" t="str">
        <f>IFERROR(OLDBD[[#This Row],[Llegada a packing]]-OLDBD[[#This Row],[Inicio de Ruta]],"")</f>
        <v/>
      </c>
      <c r="AQ1062" s="6" t="str">
        <f>IFERROR(OLDBD[[#This Row],[Inicio de Ruta]]-OLDBD[[#This Row],[Salida de almacén de retiro]],"")</f>
        <v/>
      </c>
      <c r="AR106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2" s="8" t="str" cm="1">
        <f t="array" ref="AS106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2" s="9" t="str">
        <f>IFERROR(OLDBD[[#This Row],[Ingreso Packing]]-OLDBD[[#This Row],[Registro en Packing]],"")</f>
        <v/>
      </c>
      <c r="AV1062" s="9" t="str">
        <f>IFERROR(OLDBD[[#This Row],[Ingreso Packing]]-OLDBD[[#This Row],[Llegada a packing]],"")</f>
        <v/>
      </c>
      <c r="AW106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2" s="5" t="str">
        <f>IFERROR(OLDBD[[#This Row],[Llegada Almacén de Ingreso]]-OLDBD[[#This Row],[Salida Packing]],"")</f>
        <v/>
      </c>
      <c r="AY1062" s="4" t="str" cm="1">
        <f t="array" ref="AY106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2" s="43" t="s">
        <v>173</v>
      </c>
      <c r="BB1062" s="47" t="str">
        <f>IFERROR(IF(MARÍTIMOS[[#This Row],[Estatus]]="","",MARÍTIMOS[[#This Row],[Estatus]]),"")</f>
        <v/>
      </c>
      <c r="BC1062" s="43"/>
      <c r="BD1062" s="46" t="str">
        <f>IFERROR(OLDBD[[#This Row],[Salida de almacén de retiro]]-OLDBD[[#This Row],[Ingreso Almacén de retiro]],"")</f>
        <v/>
      </c>
      <c r="BE1062" s="46" t="str">
        <f>IFERROR(OLDBD[[#This Row],[Fin de Carga]]-OLDBD[[#This Row],[Inicio de Carga]],"")</f>
        <v/>
      </c>
    </row>
    <row r="1063" spans="1:57" customFormat="1" hidden="1">
      <c r="A1063" s="1"/>
      <c r="B1063" s="1" t="str">
        <f>IFERROR(IF(MARÍTIMOS[[#This Row],[PP]]="","",MARÍTIMOS[[#This Row],[PP]]),"")</f>
        <v/>
      </c>
      <c r="C1063" s="1" t="str">
        <f>IFERROR(IF(MARÍTIMOS[[#This Row],[Sede]]="","",MARÍTIMOS[[#This Row],[Sede]]),"")</f>
        <v/>
      </c>
      <c r="D1063" s="1" t="str">
        <f>IFERROR(IF(MARÍTIMOS[[#This Row],[Instruction]]="","",MARÍTIMOS[[#This Row],[Instruction]]),"")</f>
        <v/>
      </c>
      <c r="E1063" s="1"/>
      <c r="F1063" s="2" t="str">
        <f>IFERROR(IF(MARÍTIMOS[[#This Row],[Transportista]]="","",MARÍTIMOS[[#This Row],[Transportista]]),"")</f>
        <v/>
      </c>
      <c r="G1063" s="2" t="str">
        <f>IFERROR(IF(MARÍTIMOS[[#This Row],[Tercero]]="","",MARÍTIMOS[[#This Row],[Tercero]]),"")</f>
        <v/>
      </c>
      <c r="H1063" s="2" t="str">
        <f>IFERROR(IF(MARÍTIMOS[[#This Row],[Razón Social]]="","",MARÍTIMOS[[#This Row],[Razón Social]]),"")</f>
        <v/>
      </c>
      <c r="I1063" s="2" t="str">
        <f>IFERROR(IF(MARÍTIMOS[[#This Row],[RUC]]="","",MARÍTIMOS[[#This Row],[RUC]]),"")</f>
        <v/>
      </c>
      <c r="J1063" s="2" t="str">
        <f>IFERROR(IF(MARÍTIMOS[[#This Row],[Placa Tracto]]="","",MARÍTIMOS[[#This Row],[Placa Tracto]]),"")</f>
        <v/>
      </c>
      <c r="K1063" s="2" t="str">
        <f>IFERROR(IF(MARÍTIMOS[[#This Row],[Placa Carreta]]="","",MARÍTIMOS[[#This Row],[Placa Carreta]]),"")</f>
        <v/>
      </c>
      <c r="L1063" s="44" t="str">
        <f>IFERROR(IF(MARÍTIMOS[[#This Row],[Conductor]]="","",MARÍTIMOS[[#This Row],[Conductor]]),"")</f>
        <v/>
      </c>
      <c r="M1063" s="2" t="str">
        <f>IFERROR(IF(MARÍTIMOS[[#This Row],[Licencia]]="","",MARÍTIMOS[[#This Row],[Licencia]]),"")</f>
        <v/>
      </c>
      <c r="N1063" s="2" t="str">
        <f>IFERROR(IF(MARÍTIMOS[[#This Row],[Número de Contacto]]="","",MARÍTIMOS[[#This Row],[Número de Contacto]]),"")</f>
        <v/>
      </c>
      <c r="O1063" s="10" t="str">
        <f>IFERROR(IF(MARÍTIMOS[[#This Row],[Booking|AWB|CRT]]="","",MARÍTIMOS[[#This Row],[Booking|AWB|CRT]]),"")</f>
        <v/>
      </c>
      <c r="P1063" s="2" t="str">
        <f>IFERROR(IF(MARÍTIMOS[[#This Row],[Contenedor]]="","",MARÍTIMOS[[#This Row],[Contenedor]]),"")</f>
        <v/>
      </c>
      <c r="Q1063" s="2" t="str">
        <f>IFERROR(IF(MARÍTIMOS[[#This Row],[Puerto de Retiro]]="","",MARÍTIMOS[[#This Row],[Puerto de Retiro]]),"")</f>
        <v/>
      </c>
      <c r="R1063" s="2" t="str">
        <f>IFERROR(IF(MARÍTIMOS[[#This Row],[Almacén de Retiro]]="","",MARÍTIMOS[[#This Row],[Almacén de Retiro]]),"")</f>
        <v/>
      </c>
      <c r="S1063" s="11" t="str">
        <f>IFERROR(IF(MARÍTIMOS[[#This Row],[Etapa Retiro - Cita]]="","",MARÍTIMOS[[#This Row],[Etapa Retiro - Cita]]),"")</f>
        <v/>
      </c>
      <c r="T1063" s="11" t="str">
        <f>IFERROR(IF(MARÍTIMOS[[#This Row],[Etapa Retiro - Llegada]]="","",MARÍTIMOS[[#This Row],[Etapa Retiro - Llegada]]),"")</f>
        <v/>
      </c>
      <c r="U1063" s="11" t="str">
        <f>IFERROR(IF(MARÍTIMOS[[#This Row],[Etapa Retiro - Ingreso]]="","",MARÍTIMOS[[#This Row],[Etapa Retiro - Ingreso]]),"")</f>
        <v/>
      </c>
      <c r="V1063" s="11" t="str">
        <f>IFERROR(IF(MARÍTIMOS[[#This Row],[Etapa Retiro - Atención]]="","",MARÍTIMOS[[#This Row],[Etapa Retiro - Atención]]),"")</f>
        <v/>
      </c>
      <c r="W1063" s="11" t="str">
        <f>IFERROR(IF(MARÍTIMOS[[#This Row],[Etapa Retiro - Atención]]="","",MARÍTIMOS[[#This Row],[Etapa Retiro - Atención]]),"")</f>
        <v/>
      </c>
      <c r="X1063" s="11" t="str">
        <f>IFERROR(IF(MARÍTIMOS[[#This Row],[Etapa Retiro - Inicio de Ruta]]="","",MARÍTIMOS[[#This Row],[Etapa Retiro - Inicio de Ruta]]),"")</f>
        <v/>
      </c>
      <c r="Y1063" s="11" t="str">
        <f>IFERROR(IF(MARÍTIMOS[[#This Row],[Hora de Posicionamiento]]="","",MARÍTIMOS[[#This Row],[Fecha de Carga]]+MARÍTIMOS[[#This Row],[Hora de Posicionamiento]]),"")</f>
        <v/>
      </c>
      <c r="Z1063" s="11" t="str">
        <f>IFERROR(IF(MARÍTIMOS[[#This Row],[Etapa Despacho - Llegada]]="","",MARÍTIMOS[[#This Row],[Etapa Despacho - Llegada]]),"")</f>
        <v/>
      </c>
      <c r="AA1063" s="11" t="str">
        <f>IFERROR(IF(MARÍTIMOS[[#This Row],[Etapa Despacho - Registro]]="","",MARÍTIMOS[[#This Row],[Etapa Despacho - Registro]]),"")</f>
        <v/>
      </c>
      <c r="AB1063" s="11" t="str">
        <f>IFERROR(IF(MARÍTIMOS[[#This Row],[Inspección Externa]]="","",MARÍTIMOS[[#This Row],[Inspección Externa]]),"")</f>
        <v/>
      </c>
      <c r="AC1063" s="11" t="str">
        <f>IFERROR(IF(MARÍTIMOS[[#This Row],[Etapa Despacho - Inicio de Carga]]="","",MARÍTIMOS[[#This Row],[Etapa Despacho - Inicio de Carga]]),"")</f>
        <v/>
      </c>
      <c r="AD1063" s="11" t="str">
        <f>IFERROR(IF(MARÍTIMOS[[#This Row],[Etapa Despacho - Mitad de Carga]]="","",MARÍTIMOS[[#This Row],[Etapa Despacho - Mitad de Carga]]),"")</f>
        <v/>
      </c>
      <c r="AE1063" s="11" t="str">
        <f>IFERROR(IF(MARÍTIMOS[[#This Row],[Etapa Despacho - Fin de Carga]]="","",MARÍTIMOS[[#This Row],[Etapa Despacho - Fin de Carga]]),"")</f>
        <v/>
      </c>
      <c r="AF1063" s="2" t="str">
        <f>IFERROR(IF(MARÍTIMOS[[#This Row],[Puerto de Embarque]]="","",MARÍTIMOS[[#This Row],[Puerto de Embarque]]),"")</f>
        <v/>
      </c>
      <c r="AG1063" s="2" t="str">
        <f>IFERROR(IF(MARÍTIMOS[[#This Row],[Almacén de Ingreso]]="","",MARÍTIMOS[[#This Row],[Almacén de Ingreso]]),"")</f>
        <v/>
      </c>
      <c r="AH1063" s="11" t="str">
        <f>IFERROR(IF(MARÍTIMOS[[#This Row],[Etapa Ingreso - Cita]]="","",MARÍTIMOS[[#This Row],[Etapa Ingreso - Cita]]),"")</f>
        <v/>
      </c>
      <c r="AI1063" s="11" t="str">
        <f>IFERROR(IF(MARÍTIMOS[[#This Row],[Etapa Ingreso - Llegada]]="","",MARÍTIMOS[[#This Row],[Etapa Ingreso - Llegada]]),"")</f>
        <v/>
      </c>
      <c r="AJ1063" s="11" t="str">
        <f>IFERROR(IF(MARÍTIMOS[[#This Row],[Etapa Ingreso - Ingeso]]="","",MARÍTIMOS[[#This Row],[Etapa Ingreso - Ingeso]]),"")</f>
        <v/>
      </c>
      <c r="AK1063" s="11" t="str">
        <f>IFERROR(IF(MARÍTIMOS[[#This Row],[Etapa Ingreso - Atención]]="","",MARÍTIMOS[[#This Row],[Etapa Ingreso - Atención]]),"")</f>
        <v/>
      </c>
      <c r="AL1063" s="11" t="str">
        <f>IFERROR(IF(MARÍTIMOS[[#This Row],[Etapa Ingreso - Salida]]="","",MARÍTIMOS[[#This Row],[Etapa Ingreso - Salida]]),"")</f>
        <v/>
      </c>
      <c r="AM1063" s="2" t="str">
        <f>IFERROR(IF(MARÍTIMOS[[#This Row],[FCL]]="","",MARÍTIMOS[[#This Row],[FCL]]),"")</f>
        <v/>
      </c>
      <c r="AN106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3" s="4" t="str" cm="1">
        <f t="array" ref="AO106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3" s="5" t="str">
        <f>IFERROR(OLDBD[[#This Row],[Llegada a packing]]-OLDBD[[#This Row],[Inicio de Ruta]],"")</f>
        <v/>
      </c>
      <c r="AQ1063" s="6" t="str">
        <f>IFERROR(OLDBD[[#This Row],[Inicio de Ruta]]-OLDBD[[#This Row],[Salida de almacén de retiro]],"")</f>
        <v/>
      </c>
      <c r="AR106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3" s="8" t="str" cm="1">
        <f t="array" ref="AS106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3" s="9" t="str">
        <f>IFERROR(OLDBD[[#This Row],[Ingreso Packing]]-OLDBD[[#This Row],[Registro en Packing]],"")</f>
        <v/>
      </c>
      <c r="AV1063" s="9" t="str">
        <f>IFERROR(OLDBD[[#This Row],[Ingreso Packing]]-OLDBD[[#This Row],[Llegada a packing]],"")</f>
        <v/>
      </c>
      <c r="AW106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3" s="5" t="str">
        <f>IFERROR(OLDBD[[#This Row],[Llegada Almacén de Ingreso]]-OLDBD[[#This Row],[Salida Packing]],"")</f>
        <v/>
      </c>
      <c r="AY1063" s="4" t="str" cm="1">
        <f t="array" ref="AY106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3" s="43" t="s">
        <v>173</v>
      </c>
      <c r="BB1063" s="47" t="str">
        <f>IFERROR(IF(MARÍTIMOS[[#This Row],[Estatus]]="","",MARÍTIMOS[[#This Row],[Estatus]]),"")</f>
        <v/>
      </c>
      <c r="BC1063" s="43"/>
      <c r="BD1063" s="46" t="str">
        <f>IFERROR(OLDBD[[#This Row],[Salida de almacén de retiro]]-OLDBD[[#This Row],[Ingreso Almacén de retiro]],"")</f>
        <v/>
      </c>
      <c r="BE1063" s="46" t="str">
        <f>IFERROR(OLDBD[[#This Row],[Fin de Carga]]-OLDBD[[#This Row],[Inicio de Carga]],"")</f>
        <v/>
      </c>
    </row>
    <row r="1064" spans="1:57" customFormat="1" hidden="1">
      <c r="A1064" s="1"/>
      <c r="B1064" s="1" t="str">
        <f>IFERROR(IF(MARÍTIMOS[[#This Row],[PP]]="","",MARÍTIMOS[[#This Row],[PP]]),"")</f>
        <v/>
      </c>
      <c r="C1064" s="1" t="str">
        <f>IFERROR(IF(MARÍTIMOS[[#This Row],[Sede]]="","",MARÍTIMOS[[#This Row],[Sede]]),"")</f>
        <v/>
      </c>
      <c r="D1064" s="1" t="str">
        <f>IFERROR(IF(MARÍTIMOS[[#This Row],[Instruction]]="","",MARÍTIMOS[[#This Row],[Instruction]]),"")</f>
        <v/>
      </c>
      <c r="E1064" s="1"/>
      <c r="F1064" s="2" t="str">
        <f>IFERROR(IF(MARÍTIMOS[[#This Row],[Transportista]]="","",MARÍTIMOS[[#This Row],[Transportista]]),"")</f>
        <v/>
      </c>
      <c r="G1064" s="2" t="str">
        <f>IFERROR(IF(MARÍTIMOS[[#This Row],[Tercero]]="","",MARÍTIMOS[[#This Row],[Tercero]]),"")</f>
        <v/>
      </c>
      <c r="H1064" s="2" t="str">
        <f>IFERROR(IF(MARÍTIMOS[[#This Row],[Razón Social]]="","",MARÍTIMOS[[#This Row],[Razón Social]]),"")</f>
        <v/>
      </c>
      <c r="I1064" s="2" t="str">
        <f>IFERROR(IF(MARÍTIMOS[[#This Row],[RUC]]="","",MARÍTIMOS[[#This Row],[RUC]]),"")</f>
        <v/>
      </c>
      <c r="J1064" s="2" t="str">
        <f>IFERROR(IF(MARÍTIMOS[[#This Row],[Placa Tracto]]="","",MARÍTIMOS[[#This Row],[Placa Tracto]]),"")</f>
        <v/>
      </c>
      <c r="K1064" s="2" t="str">
        <f>IFERROR(IF(MARÍTIMOS[[#This Row],[Placa Carreta]]="","",MARÍTIMOS[[#This Row],[Placa Carreta]]),"")</f>
        <v/>
      </c>
      <c r="L1064" s="44" t="str">
        <f>IFERROR(IF(MARÍTIMOS[[#This Row],[Conductor]]="","",MARÍTIMOS[[#This Row],[Conductor]]),"")</f>
        <v/>
      </c>
      <c r="M1064" s="2" t="str">
        <f>IFERROR(IF(MARÍTIMOS[[#This Row],[Licencia]]="","",MARÍTIMOS[[#This Row],[Licencia]]),"")</f>
        <v/>
      </c>
      <c r="N1064" s="2" t="str">
        <f>IFERROR(IF(MARÍTIMOS[[#This Row],[Número de Contacto]]="","",MARÍTIMOS[[#This Row],[Número de Contacto]]),"")</f>
        <v/>
      </c>
      <c r="O1064" s="10" t="str">
        <f>IFERROR(IF(MARÍTIMOS[[#This Row],[Booking|AWB|CRT]]="","",MARÍTIMOS[[#This Row],[Booking|AWB|CRT]]),"")</f>
        <v/>
      </c>
      <c r="P1064" s="2" t="str">
        <f>IFERROR(IF(MARÍTIMOS[[#This Row],[Contenedor]]="","",MARÍTIMOS[[#This Row],[Contenedor]]),"")</f>
        <v/>
      </c>
      <c r="Q1064" s="2" t="str">
        <f>IFERROR(IF(MARÍTIMOS[[#This Row],[Puerto de Retiro]]="","",MARÍTIMOS[[#This Row],[Puerto de Retiro]]),"")</f>
        <v/>
      </c>
      <c r="R1064" s="2" t="str">
        <f>IFERROR(IF(MARÍTIMOS[[#This Row],[Almacén de Retiro]]="","",MARÍTIMOS[[#This Row],[Almacén de Retiro]]),"")</f>
        <v/>
      </c>
      <c r="S1064" s="11" t="str">
        <f>IFERROR(IF(MARÍTIMOS[[#This Row],[Etapa Retiro - Cita]]="","",MARÍTIMOS[[#This Row],[Etapa Retiro - Cita]]),"")</f>
        <v/>
      </c>
      <c r="T1064" s="11" t="str">
        <f>IFERROR(IF(MARÍTIMOS[[#This Row],[Etapa Retiro - Llegada]]="","",MARÍTIMOS[[#This Row],[Etapa Retiro - Llegada]]),"")</f>
        <v/>
      </c>
      <c r="U1064" s="11" t="str">
        <f>IFERROR(IF(MARÍTIMOS[[#This Row],[Etapa Retiro - Ingreso]]="","",MARÍTIMOS[[#This Row],[Etapa Retiro - Ingreso]]),"")</f>
        <v/>
      </c>
      <c r="V1064" s="11" t="str">
        <f>IFERROR(IF(MARÍTIMOS[[#This Row],[Etapa Retiro - Atención]]="","",MARÍTIMOS[[#This Row],[Etapa Retiro - Atención]]),"")</f>
        <v/>
      </c>
      <c r="W1064" s="11" t="str">
        <f>IFERROR(IF(MARÍTIMOS[[#This Row],[Etapa Retiro - Atención]]="","",MARÍTIMOS[[#This Row],[Etapa Retiro - Atención]]),"")</f>
        <v/>
      </c>
      <c r="X1064" s="11" t="str">
        <f>IFERROR(IF(MARÍTIMOS[[#This Row],[Etapa Retiro - Inicio de Ruta]]="","",MARÍTIMOS[[#This Row],[Etapa Retiro - Inicio de Ruta]]),"")</f>
        <v/>
      </c>
      <c r="Y1064" s="11" t="str">
        <f>IFERROR(IF(MARÍTIMOS[[#This Row],[Hora de Posicionamiento]]="","",MARÍTIMOS[[#This Row],[Fecha de Carga]]+MARÍTIMOS[[#This Row],[Hora de Posicionamiento]]),"")</f>
        <v/>
      </c>
      <c r="Z1064" s="11" t="str">
        <f>IFERROR(IF(MARÍTIMOS[[#This Row],[Etapa Despacho - Llegada]]="","",MARÍTIMOS[[#This Row],[Etapa Despacho - Llegada]]),"")</f>
        <v/>
      </c>
      <c r="AA1064" s="11" t="str">
        <f>IFERROR(IF(MARÍTIMOS[[#This Row],[Etapa Despacho - Registro]]="","",MARÍTIMOS[[#This Row],[Etapa Despacho - Registro]]),"")</f>
        <v/>
      </c>
      <c r="AB1064" s="11" t="str">
        <f>IFERROR(IF(MARÍTIMOS[[#This Row],[Inspección Externa]]="","",MARÍTIMOS[[#This Row],[Inspección Externa]]),"")</f>
        <v/>
      </c>
      <c r="AC1064" s="11" t="str">
        <f>IFERROR(IF(MARÍTIMOS[[#This Row],[Etapa Despacho - Inicio de Carga]]="","",MARÍTIMOS[[#This Row],[Etapa Despacho - Inicio de Carga]]),"")</f>
        <v/>
      </c>
      <c r="AD1064" s="11" t="str">
        <f>IFERROR(IF(MARÍTIMOS[[#This Row],[Etapa Despacho - Mitad de Carga]]="","",MARÍTIMOS[[#This Row],[Etapa Despacho - Mitad de Carga]]),"")</f>
        <v/>
      </c>
      <c r="AE1064" s="11" t="str">
        <f>IFERROR(IF(MARÍTIMOS[[#This Row],[Etapa Despacho - Fin de Carga]]="","",MARÍTIMOS[[#This Row],[Etapa Despacho - Fin de Carga]]),"")</f>
        <v/>
      </c>
      <c r="AF1064" s="2" t="str">
        <f>IFERROR(IF(MARÍTIMOS[[#This Row],[Puerto de Embarque]]="","",MARÍTIMOS[[#This Row],[Puerto de Embarque]]),"")</f>
        <v/>
      </c>
      <c r="AG1064" s="2" t="str">
        <f>IFERROR(IF(MARÍTIMOS[[#This Row],[Almacén de Ingreso]]="","",MARÍTIMOS[[#This Row],[Almacén de Ingreso]]),"")</f>
        <v/>
      </c>
      <c r="AH1064" s="11" t="str">
        <f>IFERROR(IF(MARÍTIMOS[[#This Row],[Etapa Ingreso - Cita]]="","",MARÍTIMOS[[#This Row],[Etapa Ingreso - Cita]]),"")</f>
        <v/>
      </c>
      <c r="AI1064" s="11" t="str">
        <f>IFERROR(IF(MARÍTIMOS[[#This Row],[Etapa Ingreso - Llegada]]="","",MARÍTIMOS[[#This Row],[Etapa Ingreso - Llegada]]),"")</f>
        <v/>
      </c>
      <c r="AJ1064" s="11" t="str">
        <f>IFERROR(IF(MARÍTIMOS[[#This Row],[Etapa Ingreso - Ingeso]]="","",MARÍTIMOS[[#This Row],[Etapa Ingreso - Ingeso]]),"")</f>
        <v/>
      </c>
      <c r="AK1064" s="11" t="str">
        <f>IFERROR(IF(MARÍTIMOS[[#This Row],[Etapa Ingreso - Atención]]="","",MARÍTIMOS[[#This Row],[Etapa Ingreso - Atención]]),"")</f>
        <v/>
      </c>
      <c r="AL1064" s="11" t="str">
        <f>IFERROR(IF(MARÍTIMOS[[#This Row],[Etapa Ingreso - Salida]]="","",MARÍTIMOS[[#This Row],[Etapa Ingreso - Salida]]),"")</f>
        <v/>
      </c>
      <c r="AM1064" s="2" t="str">
        <f>IFERROR(IF(MARÍTIMOS[[#This Row],[FCL]]="","",MARÍTIMOS[[#This Row],[FCL]]),"")</f>
        <v/>
      </c>
      <c r="AN106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4" s="4" t="str" cm="1">
        <f t="array" ref="AO106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4" s="5" t="str">
        <f>IFERROR(OLDBD[[#This Row],[Llegada a packing]]-OLDBD[[#This Row],[Inicio de Ruta]],"")</f>
        <v/>
      </c>
      <c r="AQ1064" s="6" t="str">
        <f>IFERROR(OLDBD[[#This Row],[Inicio de Ruta]]-OLDBD[[#This Row],[Salida de almacén de retiro]],"")</f>
        <v/>
      </c>
      <c r="AR106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4" s="8" t="str" cm="1">
        <f t="array" ref="AS106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4" s="9" t="str">
        <f>IFERROR(OLDBD[[#This Row],[Ingreso Packing]]-OLDBD[[#This Row],[Registro en Packing]],"")</f>
        <v/>
      </c>
      <c r="AV1064" s="9" t="str">
        <f>IFERROR(OLDBD[[#This Row],[Ingreso Packing]]-OLDBD[[#This Row],[Llegada a packing]],"")</f>
        <v/>
      </c>
      <c r="AW106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4" s="5" t="str">
        <f>IFERROR(OLDBD[[#This Row],[Llegada Almacén de Ingreso]]-OLDBD[[#This Row],[Salida Packing]],"")</f>
        <v/>
      </c>
      <c r="AY1064" s="4" t="str" cm="1">
        <f t="array" ref="AY106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4" s="43" t="s">
        <v>173</v>
      </c>
      <c r="BB1064" s="47" t="str">
        <f>IFERROR(IF(MARÍTIMOS[[#This Row],[Estatus]]="","",MARÍTIMOS[[#This Row],[Estatus]]),"")</f>
        <v/>
      </c>
      <c r="BC1064" s="43"/>
      <c r="BD1064" s="46" t="str">
        <f>IFERROR(OLDBD[[#This Row],[Salida de almacén de retiro]]-OLDBD[[#This Row],[Ingreso Almacén de retiro]],"")</f>
        <v/>
      </c>
      <c r="BE1064" s="46" t="str">
        <f>IFERROR(OLDBD[[#This Row],[Fin de Carga]]-OLDBD[[#This Row],[Inicio de Carga]],"")</f>
        <v/>
      </c>
    </row>
    <row r="1065" spans="1:57" customFormat="1" hidden="1">
      <c r="A1065" s="1"/>
      <c r="B1065" s="1" t="str">
        <f>IFERROR(IF(MARÍTIMOS[[#This Row],[PP]]="","",MARÍTIMOS[[#This Row],[PP]]),"")</f>
        <v/>
      </c>
      <c r="C1065" s="1" t="str">
        <f>IFERROR(IF(MARÍTIMOS[[#This Row],[Sede]]="","",MARÍTIMOS[[#This Row],[Sede]]),"")</f>
        <v/>
      </c>
      <c r="D1065" s="1" t="str">
        <f>IFERROR(IF(MARÍTIMOS[[#This Row],[Instruction]]="","",MARÍTIMOS[[#This Row],[Instruction]]),"")</f>
        <v/>
      </c>
      <c r="E1065" s="1"/>
      <c r="F1065" s="2" t="str">
        <f>IFERROR(IF(MARÍTIMOS[[#This Row],[Transportista]]="","",MARÍTIMOS[[#This Row],[Transportista]]),"")</f>
        <v/>
      </c>
      <c r="G1065" s="2" t="str">
        <f>IFERROR(IF(MARÍTIMOS[[#This Row],[Tercero]]="","",MARÍTIMOS[[#This Row],[Tercero]]),"")</f>
        <v/>
      </c>
      <c r="H1065" s="2" t="str">
        <f>IFERROR(IF(MARÍTIMOS[[#This Row],[Razón Social]]="","",MARÍTIMOS[[#This Row],[Razón Social]]),"")</f>
        <v/>
      </c>
      <c r="I1065" s="2" t="str">
        <f>IFERROR(IF(MARÍTIMOS[[#This Row],[RUC]]="","",MARÍTIMOS[[#This Row],[RUC]]),"")</f>
        <v/>
      </c>
      <c r="J1065" s="2" t="str">
        <f>IFERROR(IF(MARÍTIMOS[[#This Row],[Placa Tracto]]="","",MARÍTIMOS[[#This Row],[Placa Tracto]]),"")</f>
        <v/>
      </c>
      <c r="K1065" s="2" t="str">
        <f>IFERROR(IF(MARÍTIMOS[[#This Row],[Placa Carreta]]="","",MARÍTIMOS[[#This Row],[Placa Carreta]]),"")</f>
        <v/>
      </c>
      <c r="L1065" s="44" t="str">
        <f>IFERROR(IF(MARÍTIMOS[[#This Row],[Conductor]]="","",MARÍTIMOS[[#This Row],[Conductor]]),"")</f>
        <v/>
      </c>
      <c r="M1065" s="2" t="str">
        <f>IFERROR(IF(MARÍTIMOS[[#This Row],[Licencia]]="","",MARÍTIMOS[[#This Row],[Licencia]]),"")</f>
        <v/>
      </c>
      <c r="N1065" s="2" t="str">
        <f>IFERROR(IF(MARÍTIMOS[[#This Row],[Número de Contacto]]="","",MARÍTIMOS[[#This Row],[Número de Contacto]]),"")</f>
        <v/>
      </c>
      <c r="O1065" s="10" t="str">
        <f>IFERROR(IF(MARÍTIMOS[[#This Row],[Booking|AWB|CRT]]="","",MARÍTIMOS[[#This Row],[Booking|AWB|CRT]]),"")</f>
        <v/>
      </c>
      <c r="P1065" s="2" t="str">
        <f>IFERROR(IF(MARÍTIMOS[[#This Row],[Contenedor]]="","",MARÍTIMOS[[#This Row],[Contenedor]]),"")</f>
        <v/>
      </c>
      <c r="Q1065" s="2" t="str">
        <f>IFERROR(IF(MARÍTIMOS[[#This Row],[Puerto de Retiro]]="","",MARÍTIMOS[[#This Row],[Puerto de Retiro]]),"")</f>
        <v/>
      </c>
      <c r="R1065" s="2" t="str">
        <f>IFERROR(IF(MARÍTIMOS[[#This Row],[Almacén de Retiro]]="","",MARÍTIMOS[[#This Row],[Almacén de Retiro]]),"")</f>
        <v/>
      </c>
      <c r="S1065" s="11" t="str">
        <f>IFERROR(IF(MARÍTIMOS[[#This Row],[Etapa Retiro - Cita]]="","",MARÍTIMOS[[#This Row],[Etapa Retiro - Cita]]),"")</f>
        <v/>
      </c>
      <c r="T1065" s="11" t="str">
        <f>IFERROR(IF(MARÍTIMOS[[#This Row],[Etapa Retiro - Llegada]]="","",MARÍTIMOS[[#This Row],[Etapa Retiro - Llegada]]),"")</f>
        <v/>
      </c>
      <c r="U1065" s="11" t="str">
        <f>IFERROR(IF(MARÍTIMOS[[#This Row],[Etapa Retiro - Ingreso]]="","",MARÍTIMOS[[#This Row],[Etapa Retiro - Ingreso]]),"")</f>
        <v/>
      </c>
      <c r="V1065" s="11" t="str">
        <f>IFERROR(IF(MARÍTIMOS[[#This Row],[Etapa Retiro - Atención]]="","",MARÍTIMOS[[#This Row],[Etapa Retiro - Atención]]),"")</f>
        <v/>
      </c>
      <c r="W1065" s="11" t="str">
        <f>IFERROR(IF(MARÍTIMOS[[#This Row],[Etapa Retiro - Atención]]="","",MARÍTIMOS[[#This Row],[Etapa Retiro - Atención]]),"")</f>
        <v/>
      </c>
      <c r="X1065" s="11" t="str">
        <f>IFERROR(IF(MARÍTIMOS[[#This Row],[Etapa Retiro - Inicio de Ruta]]="","",MARÍTIMOS[[#This Row],[Etapa Retiro - Inicio de Ruta]]),"")</f>
        <v/>
      </c>
      <c r="Y1065" s="11" t="str">
        <f>IFERROR(IF(MARÍTIMOS[[#This Row],[Hora de Posicionamiento]]="","",MARÍTIMOS[[#This Row],[Fecha de Carga]]+MARÍTIMOS[[#This Row],[Hora de Posicionamiento]]),"")</f>
        <v/>
      </c>
      <c r="Z1065" s="11" t="str">
        <f>IFERROR(IF(MARÍTIMOS[[#This Row],[Etapa Despacho - Llegada]]="","",MARÍTIMOS[[#This Row],[Etapa Despacho - Llegada]]),"")</f>
        <v/>
      </c>
      <c r="AA1065" s="11" t="str">
        <f>IFERROR(IF(MARÍTIMOS[[#This Row],[Etapa Despacho - Registro]]="","",MARÍTIMOS[[#This Row],[Etapa Despacho - Registro]]),"")</f>
        <v/>
      </c>
      <c r="AB1065" s="11" t="str">
        <f>IFERROR(IF(MARÍTIMOS[[#This Row],[Inspección Externa]]="","",MARÍTIMOS[[#This Row],[Inspección Externa]]),"")</f>
        <v/>
      </c>
      <c r="AC1065" s="11" t="str">
        <f>IFERROR(IF(MARÍTIMOS[[#This Row],[Etapa Despacho - Inicio de Carga]]="","",MARÍTIMOS[[#This Row],[Etapa Despacho - Inicio de Carga]]),"")</f>
        <v/>
      </c>
      <c r="AD1065" s="11" t="str">
        <f>IFERROR(IF(MARÍTIMOS[[#This Row],[Etapa Despacho - Mitad de Carga]]="","",MARÍTIMOS[[#This Row],[Etapa Despacho - Mitad de Carga]]),"")</f>
        <v/>
      </c>
      <c r="AE1065" s="11" t="str">
        <f>IFERROR(IF(MARÍTIMOS[[#This Row],[Etapa Despacho - Fin de Carga]]="","",MARÍTIMOS[[#This Row],[Etapa Despacho - Fin de Carga]]),"")</f>
        <v/>
      </c>
      <c r="AF1065" s="2" t="str">
        <f>IFERROR(IF(MARÍTIMOS[[#This Row],[Puerto de Embarque]]="","",MARÍTIMOS[[#This Row],[Puerto de Embarque]]),"")</f>
        <v/>
      </c>
      <c r="AG1065" s="2" t="str">
        <f>IFERROR(IF(MARÍTIMOS[[#This Row],[Almacén de Ingreso]]="","",MARÍTIMOS[[#This Row],[Almacén de Ingreso]]),"")</f>
        <v/>
      </c>
      <c r="AH1065" s="11" t="str">
        <f>IFERROR(IF(MARÍTIMOS[[#This Row],[Etapa Ingreso - Cita]]="","",MARÍTIMOS[[#This Row],[Etapa Ingreso - Cita]]),"")</f>
        <v/>
      </c>
      <c r="AI1065" s="11" t="str">
        <f>IFERROR(IF(MARÍTIMOS[[#This Row],[Etapa Ingreso - Llegada]]="","",MARÍTIMOS[[#This Row],[Etapa Ingreso - Llegada]]),"")</f>
        <v/>
      </c>
      <c r="AJ1065" s="11" t="str">
        <f>IFERROR(IF(MARÍTIMOS[[#This Row],[Etapa Ingreso - Ingeso]]="","",MARÍTIMOS[[#This Row],[Etapa Ingreso - Ingeso]]),"")</f>
        <v/>
      </c>
      <c r="AK1065" s="11" t="str">
        <f>IFERROR(IF(MARÍTIMOS[[#This Row],[Etapa Ingreso - Atención]]="","",MARÍTIMOS[[#This Row],[Etapa Ingreso - Atención]]),"")</f>
        <v/>
      </c>
      <c r="AL1065" s="11" t="str">
        <f>IFERROR(IF(MARÍTIMOS[[#This Row],[Etapa Ingreso - Salida]]="","",MARÍTIMOS[[#This Row],[Etapa Ingreso - Salida]]),"")</f>
        <v/>
      </c>
      <c r="AM1065" s="2" t="str">
        <f>IFERROR(IF(MARÍTIMOS[[#This Row],[FCL]]="","",MARÍTIMOS[[#This Row],[FCL]]),"")</f>
        <v/>
      </c>
      <c r="AN106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5" s="4" t="str" cm="1">
        <f t="array" ref="AO106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5" s="5" t="str">
        <f>IFERROR(OLDBD[[#This Row],[Llegada a packing]]-OLDBD[[#This Row],[Inicio de Ruta]],"")</f>
        <v/>
      </c>
      <c r="AQ1065" s="6" t="str">
        <f>IFERROR(OLDBD[[#This Row],[Inicio de Ruta]]-OLDBD[[#This Row],[Salida de almacén de retiro]],"")</f>
        <v/>
      </c>
      <c r="AR106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5" s="8" t="str" cm="1">
        <f t="array" ref="AS106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5" s="9" t="str">
        <f>IFERROR(OLDBD[[#This Row],[Ingreso Packing]]-OLDBD[[#This Row],[Registro en Packing]],"")</f>
        <v/>
      </c>
      <c r="AV1065" s="9" t="str">
        <f>IFERROR(OLDBD[[#This Row],[Ingreso Packing]]-OLDBD[[#This Row],[Llegada a packing]],"")</f>
        <v/>
      </c>
      <c r="AW106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5" s="5" t="str">
        <f>IFERROR(OLDBD[[#This Row],[Llegada Almacén de Ingreso]]-OLDBD[[#This Row],[Salida Packing]],"")</f>
        <v/>
      </c>
      <c r="AY1065" s="4" t="str" cm="1">
        <f t="array" ref="AY106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5" s="43" t="s">
        <v>173</v>
      </c>
      <c r="BB1065" s="47" t="str">
        <f>IFERROR(IF(MARÍTIMOS[[#This Row],[Estatus]]="","",MARÍTIMOS[[#This Row],[Estatus]]),"")</f>
        <v/>
      </c>
      <c r="BC1065" s="43"/>
      <c r="BD1065" s="46" t="str">
        <f>IFERROR(OLDBD[[#This Row],[Salida de almacén de retiro]]-OLDBD[[#This Row],[Ingreso Almacén de retiro]],"")</f>
        <v/>
      </c>
      <c r="BE1065" s="46" t="str">
        <f>IFERROR(OLDBD[[#This Row],[Fin de Carga]]-OLDBD[[#This Row],[Inicio de Carga]],"")</f>
        <v/>
      </c>
    </row>
    <row r="1066" spans="1:57" customFormat="1" hidden="1">
      <c r="A1066" s="1"/>
      <c r="B1066" s="1" t="str">
        <f>IFERROR(IF(MARÍTIMOS[[#This Row],[PP]]="","",MARÍTIMOS[[#This Row],[PP]]),"")</f>
        <v/>
      </c>
      <c r="C1066" s="1" t="str">
        <f>IFERROR(IF(MARÍTIMOS[[#This Row],[Sede]]="","",MARÍTIMOS[[#This Row],[Sede]]),"")</f>
        <v/>
      </c>
      <c r="D1066" s="1" t="str">
        <f>IFERROR(IF(MARÍTIMOS[[#This Row],[Instruction]]="","",MARÍTIMOS[[#This Row],[Instruction]]),"")</f>
        <v/>
      </c>
      <c r="E1066" s="1"/>
      <c r="F1066" s="2" t="str">
        <f>IFERROR(IF(MARÍTIMOS[[#This Row],[Transportista]]="","",MARÍTIMOS[[#This Row],[Transportista]]),"")</f>
        <v/>
      </c>
      <c r="G1066" s="2" t="str">
        <f>IFERROR(IF(MARÍTIMOS[[#This Row],[Tercero]]="","",MARÍTIMOS[[#This Row],[Tercero]]),"")</f>
        <v/>
      </c>
      <c r="H1066" s="2" t="str">
        <f>IFERROR(IF(MARÍTIMOS[[#This Row],[Razón Social]]="","",MARÍTIMOS[[#This Row],[Razón Social]]),"")</f>
        <v/>
      </c>
      <c r="I1066" s="2" t="str">
        <f>IFERROR(IF(MARÍTIMOS[[#This Row],[RUC]]="","",MARÍTIMOS[[#This Row],[RUC]]),"")</f>
        <v/>
      </c>
      <c r="J1066" s="2" t="str">
        <f>IFERROR(IF(MARÍTIMOS[[#This Row],[Placa Tracto]]="","",MARÍTIMOS[[#This Row],[Placa Tracto]]),"")</f>
        <v/>
      </c>
      <c r="K1066" s="2" t="str">
        <f>IFERROR(IF(MARÍTIMOS[[#This Row],[Placa Carreta]]="","",MARÍTIMOS[[#This Row],[Placa Carreta]]),"")</f>
        <v/>
      </c>
      <c r="L1066" s="44" t="str">
        <f>IFERROR(IF(MARÍTIMOS[[#This Row],[Conductor]]="","",MARÍTIMOS[[#This Row],[Conductor]]),"")</f>
        <v/>
      </c>
      <c r="M1066" s="2" t="str">
        <f>IFERROR(IF(MARÍTIMOS[[#This Row],[Licencia]]="","",MARÍTIMOS[[#This Row],[Licencia]]),"")</f>
        <v/>
      </c>
      <c r="N1066" s="2" t="str">
        <f>IFERROR(IF(MARÍTIMOS[[#This Row],[Número de Contacto]]="","",MARÍTIMOS[[#This Row],[Número de Contacto]]),"")</f>
        <v/>
      </c>
      <c r="O1066" s="10" t="str">
        <f>IFERROR(IF(MARÍTIMOS[[#This Row],[Booking|AWB|CRT]]="","",MARÍTIMOS[[#This Row],[Booking|AWB|CRT]]),"")</f>
        <v/>
      </c>
      <c r="P1066" s="2" t="str">
        <f>IFERROR(IF(MARÍTIMOS[[#This Row],[Contenedor]]="","",MARÍTIMOS[[#This Row],[Contenedor]]),"")</f>
        <v/>
      </c>
      <c r="Q1066" s="2" t="str">
        <f>IFERROR(IF(MARÍTIMOS[[#This Row],[Puerto de Retiro]]="","",MARÍTIMOS[[#This Row],[Puerto de Retiro]]),"")</f>
        <v/>
      </c>
      <c r="R1066" s="2" t="str">
        <f>IFERROR(IF(MARÍTIMOS[[#This Row],[Almacén de Retiro]]="","",MARÍTIMOS[[#This Row],[Almacén de Retiro]]),"")</f>
        <v/>
      </c>
      <c r="S1066" s="11" t="str">
        <f>IFERROR(IF(MARÍTIMOS[[#This Row],[Etapa Retiro - Cita]]="","",MARÍTIMOS[[#This Row],[Etapa Retiro - Cita]]),"")</f>
        <v/>
      </c>
      <c r="T1066" s="11" t="str">
        <f>IFERROR(IF(MARÍTIMOS[[#This Row],[Etapa Retiro - Llegada]]="","",MARÍTIMOS[[#This Row],[Etapa Retiro - Llegada]]),"")</f>
        <v/>
      </c>
      <c r="U1066" s="11" t="str">
        <f>IFERROR(IF(MARÍTIMOS[[#This Row],[Etapa Retiro - Ingreso]]="","",MARÍTIMOS[[#This Row],[Etapa Retiro - Ingreso]]),"")</f>
        <v/>
      </c>
      <c r="V1066" s="11" t="str">
        <f>IFERROR(IF(MARÍTIMOS[[#This Row],[Etapa Retiro - Atención]]="","",MARÍTIMOS[[#This Row],[Etapa Retiro - Atención]]),"")</f>
        <v/>
      </c>
      <c r="W1066" s="11" t="str">
        <f>IFERROR(IF(MARÍTIMOS[[#This Row],[Etapa Retiro - Atención]]="","",MARÍTIMOS[[#This Row],[Etapa Retiro - Atención]]),"")</f>
        <v/>
      </c>
      <c r="X1066" s="11" t="str">
        <f>IFERROR(IF(MARÍTIMOS[[#This Row],[Etapa Retiro - Inicio de Ruta]]="","",MARÍTIMOS[[#This Row],[Etapa Retiro - Inicio de Ruta]]),"")</f>
        <v/>
      </c>
      <c r="Y1066" s="11" t="str">
        <f>IFERROR(IF(MARÍTIMOS[[#This Row],[Hora de Posicionamiento]]="","",MARÍTIMOS[[#This Row],[Fecha de Carga]]+MARÍTIMOS[[#This Row],[Hora de Posicionamiento]]),"")</f>
        <v/>
      </c>
      <c r="Z1066" s="11" t="str">
        <f>IFERROR(IF(MARÍTIMOS[[#This Row],[Etapa Despacho - Llegada]]="","",MARÍTIMOS[[#This Row],[Etapa Despacho - Llegada]]),"")</f>
        <v/>
      </c>
      <c r="AA1066" s="11" t="str">
        <f>IFERROR(IF(MARÍTIMOS[[#This Row],[Etapa Despacho - Registro]]="","",MARÍTIMOS[[#This Row],[Etapa Despacho - Registro]]),"")</f>
        <v/>
      </c>
      <c r="AB1066" s="11" t="str">
        <f>IFERROR(IF(MARÍTIMOS[[#This Row],[Inspección Externa]]="","",MARÍTIMOS[[#This Row],[Inspección Externa]]),"")</f>
        <v/>
      </c>
      <c r="AC1066" s="11" t="str">
        <f>IFERROR(IF(MARÍTIMOS[[#This Row],[Etapa Despacho - Inicio de Carga]]="","",MARÍTIMOS[[#This Row],[Etapa Despacho - Inicio de Carga]]),"")</f>
        <v/>
      </c>
      <c r="AD1066" s="11" t="str">
        <f>IFERROR(IF(MARÍTIMOS[[#This Row],[Etapa Despacho - Mitad de Carga]]="","",MARÍTIMOS[[#This Row],[Etapa Despacho - Mitad de Carga]]),"")</f>
        <v/>
      </c>
      <c r="AE1066" s="11" t="str">
        <f>IFERROR(IF(MARÍTIMOS[[#This Row],[Etapa Despacho - Fin de Carga]]="","",MARÍTIMOS[[#This Row],[Etapa Despacho - Fin de Carga]]),"")</f>
        <v/>
      </c>
      <c r="AF1066" s="2" t="str">
        <f>IFERROR(IF(MARÍTIMOS[[#This Row],[Puerto de Embarque]]="","",MARÍTIMOS[[#This Row],[Puerto de Embarque]]),"")</f>
        <v/>
      </c>
      <c r="AG1066" s="2" t="str">
        <f>IFERROR(IF(MARÍTIMOS[[#This Row],[Almacén de Ingreso]]="","",MARÍTIMOS[[#This Row],[Almacén de Ingreso]]),"")</f>
        <v/>
      </c>
      <c r="AH1066" s="11" t="str">
        <f>IFERROR(IF(MARÍTIMOS[[#This Row],[Etapa Ingreso - Cita]]="","",MARÍTIMOS[[#This Row],[Etapa Ingreso - Cita]]),"")</f>
        <v/>
      </c>
      <c r="AI1066" s="11" t="str">
        <f>IFERROR(IF(MARÍTIMOS[[#This Row],[Etapa Ingreso - Llegada]]="","",MARÍTIMOS[[#This Row],[Etapa Ingreso - Llegada]]),"")</f>
        <v/>
      </c>
      <c r="AJ1066" s="11" t="str">
        <f>IFERROR(IF(MARÍTIMOS[[#This Row],[Etapa Ingreso - Ingeso]]="","",MARÍTIMOS[[#This Row],[Etapa Ingreso - Ingeso]]),"")</f>
        <v/>
      </c>
      <c r="AK1066" s="11" t="str">
        <f>IFERROR(IF(MARÍTIMOS[[#This Row],[Etapa Ingreso - Atención]]="","",MARÍTIMOS[[#This Row],[Etapa Ingreso - Atención]]),"")</f>
        <v/>
      </c>
      <c r="AL1066" s="11" t="str">
        <f>IFERROR(IF(MARÍTIMOS[[#This Row],[Etapa Ingreso - Salida]]="","",MARÍTIMOS[[#This Row],[Etapa Ingreso - Salida]]),"")</f>
        <v/>
      </c>
      <c r="AM1066" s="2" t="str">
        <f>IFERROR(IF(MARÍTIMOS[[#This Row],[FCL]]="","",MARÍTIMOS[[#This Row],[FCL]]),"")</f>
        <v/>
      </c>
      <c r="AN106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6" s="4" t="str" cm="1">
        <f t="array" ref="AO106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6" s="5" t="str">
        <f>IFERROR(OLDBD[[#This Row],[Llegada a packing]]-OLDBD[[#This Row],[Inicio de Ruta]],"")</f>
        <v/>
      </c>
      <c r="AQ1066" s="6" t="str">
        <f>IFERROR(OLDBD[[#This Row],[Inicio de Ruta]]-OLDBD[[#This Row],[Salida de almacén de retiro]],"")</f>
        <v/>
      </c>
      <c r="AR106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6" s="8" t="str" cm="1">
        <f t="array" ref="AS106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6" s="9" t="str">
        <f>IFERROR(OLDBD[[#This Row],[Ingreso Packing]]-OLDBD[[#This Row],[Registro en Packing]],"")</f>
        <v/>
      </c>
      <c r="AV1066" s="9" t="str">
        <f>IFERROR(OLDBD[[#This Row],[Ingreso Packing]]-OLDBD[[#This Row],[Llegada a packing]],"")</f>
        <v/>
      </c>
      <c r="AW106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6" s="5" t="str">
        <f>IFERROR(OLDBD[[#This Row],[Llegada Almacén de Ingreso]]-OLDBD[[#This Row],[Salida Packing]],"")</f>
        <v/>
      </c>
      <c r="AY1066" s="4" t="str" cm="1">
        <f t="array" ref="AY106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6" s="43" t="s">
        <v>173</v>
      </c>
      <c r="BB1066" s="47" t="str">
        <f>IFERROR(IF(MARÍTIMOS[[#This Row],[Estatus]]="","",MARÍTIMOS[[#This Row],[Estatus]]),"")</f>
        <v/>
      </c>
      <c r="BC1066" s="43"/>
      <c r="BD1066" s="46" t="str">
        <f>IFERROR(OLDBD[[#This Row],[Salida de almacén de retiro]]-OLDBD[[#This Row],[Ingreso Almacén de retiro]],"")</f>
        <v/>
      </c>
      <c r="BE1066" s="46" t="str">
        <f>IFERROR(OLDBD[[#This Row],[Fin de Carga]]-OLDBD[[#This Row],[Inicio de Carga]],"")</f>
        <v/>
      </c>
    </row>
    <row r="1067" spans="1:57" customFormat="1" hidden="1">
      <c r="A1067" s="1"/>
      <c r="B1067" s="1" t="str">
        <f>IFERROR(IF(MARÍTIMOS[[#This Row],[PP]]="","",MARÍTIMOS[[#This Row],[PP]]),"")</f>
        <v/>
      </c>
      <c r="C1067" s="1" t="str">
        <f>IFERROR(IF(MARÍTIMOS[[#This Row],[Sede]]="","",MARÍTIMOS[[#This Row],[Sede]]),"")</f>
        <v/>
      </c>
      <c r="D1067" s="1" t="str">
        <f>IFERROR(IF(MARÍTIMOS[[#This Row],[Instruction]]="","",MARÍTIMOS[[#This Row],[Instruction]]),"")</f>
        <v/>
      </c>
      <c r="E1067" s="1"/>
      <c r="F1067" s="2" t="str">
        <f>IFERROR(IF(MARÍTIMOS[[#This Row],[Transportista]]="","",MARÍTIMOS[[#This Row],[Transportista]]),"")</f>
        <v/>
      </c>
      <c r="G1067" s="2" t="str">
        <f>IFERROR(IF(MARÍTIMOS[[#This Row],[Tercero]]="","",MARÍTIMOS[[#This Row],[Tercero]]),"")</f>
        <v/>
      </c>
      <c r="H1067" s="2" t="str">
        <f>IFERROR(IF(MARÍTIMOS[[#This Row],[Razón Social]]="","",MARÍTIMOS[[#This Row],[Razón Social]]),"")</f>
        <v/>
      </c>
      <c r="I1067" s="2" t="str">
        <f>IFERROR(IF(MARÍTIMOS[[#This Row],[RUC]]="","",MARÍTIMOS[[#This Row],[RUC]]),"")</f>
        <v/>
      </c>
      <c r="J1067" s="2" t="str">
        <f>IFERROR(IF(MARÍTIMOS[[#This Row],[Placa Tracto]]="","",MARÍTIMOS[[#This Row],[Placa Tracto]]),"")</f>
        <v/>
      </c>
      <c r="K1067" s="2" t="str">
        <f>IFERROR(IF(MARÍTIMOS[[#This Row],[Placa Carreta]]="","",MARÍTIMOS[[#This Row],[Placa Carreta]]),"")</f>
        <v/>
      </c>
      <c r="L1067" s="44" t="str">
        <f>IFERROR(IF(MARÍTIMOS[[#This Row],[Conductor]]="","",MARÍTIMOS[[#This Row],[Conductor]]),"")</f>
        <v/>
      </c>
      <c r="M1067" s="2" t="str">
        <f>IFERROR(IF(MARÍTIMOS[[#This Row],[Licencia]]="","",MARÍTIMOS[[#This Row],[Licencia]]),"")</f>
        <v/>
      </c>
      <c r="N1067" s="2" t="str">
        <f>IFERROR(IF(MARÍTIMOS[[#This Row],[Número de Contacto]]="","",MARÍTIMOS[[#This Row],[Número de Contacto]]),"")</f>
        <v/>
      </c>
      <c r="O1067" s="10" t="str">
        <f>IFERROR(IF(MARÍTIMOS[[#This Row],[Booking|AWB|CRT]]="","",MARÍTIMOS[[#This Row],[Booking|AWB|CRT]]),"")</f>
        <v/>
      </c>
      <c r="P1067" s="2" t="str">
        <f>IFERROR(IF(MARÍTIMOS[[#This Row],[Contenedor]]="","",MARÍTIMOS[[#This Row],[Contenedor]]),"")</f>
        <v/>
      </c>
      <c r="Q1067" s="2" t="str">
        <f>IFERROR(IF(MARÍTIMOS[[#This Row],[Puerto de Retiro]]="","",MARÍTIMOS[[#This Row],[Puerto de Retiro]]),"")</f>
        <v/>
      </c>
      <c r="R1067" s="2" t="str">
        <f>IFERROR(IF(MARÍTIMOS[[#This Row],[Almacén de Retiro]]="","",MARÍTIMOS[[#This Row],[Almacén de Retiro]]),"")</f>
        <v/>
      </c>
      <c r="S1067" s="11" t="str">
        <f>IFERROR(IF(MARÍTIMOS[[#This Row],[Etapa Retiro - Cita]]="","",MARÍTIMOS[[#This Row],[Etapa Retiro - Cita]]),"")</f>
        <v/>
      </c>
      <c r="T1067" s="11" t="str">
        <f>IFERROR(IF(MARÍTIMOS[[#This Row],[Etapa Retiro - Llegada]]="","",MARÍTIMOS[[#This Row],[Etapa Retiro - Llegada]]),"")</f>
        <v/>
      </c>
      <c r="U1067" s="11" t="str">
        <f>IFERROR(IF(MARÍTIMOS[[#This Row],[Etapa Retiro - Ingreso]]="","",MARÍTIMOS[[#This Row],[Etapa Retiro - Ingreso]]),"")</f>
        <v/>
      </c>
      <c r="V1067" s="11" t="str">
        <f>IFERROR(IF(MARÍTIMOS[[#This Row],[Etapa Retiro - Atención]]="","",MARÍTIMOS[[#This Row],[Etapa Retiro - Atención]]),"")</f>
        <v/>
      </c>
      <c r="W1067" s="11" t="str">
        <f>IFERROR(IF(MARÍTIMOS[[#This Row],[Etapa Retiro - Atención]]="","",MARÍTIMOS[[#This Row],[Etapa Retiro - Atención]]),"")</f>
        <v/>
      </c>
      <c r="X1067" s="11" t="str">
        <f>IFERROR(IF(MARÍTIMOS[[#This Row],[Etapa Retiro - Inicio de Ruta]]="","",MARÍTIMOS[[#This Row],[Etapa Retiro - Inicio de Ruta]]),"")</f>
        <v/>
      </c>
      <c r="Y1067" s="11" t="str">
        <f>IFERROR(IF(MARÍTIMOS[[#This Row],[Hora de Posicionamiento]]="","",MARÍTIMOS[[#This Row],[Fecha de Carga]]+MARÍTIMOS[[#This Row],[Hora de Posicionamiento]]),"")</f>
        <v/>
      </c>
      <c r="Z1067" s="11" t="str">
        <f>IFERROR(IF(MARÍTIMOS[[#This Row],[Etapa Despacho - Llegada]]="","",MARÍTIMOS[[#This Row],[Etapa Despacho - Llegada]]),"")</f>
        <v/>
      </c>
      <c r="AA1067" s="11" t="str">
        <f>IFERROR(IF(MARÍTIMOS[[#This Row],[Etapa Despacho - Registro]]="","",MARÍTIMOS[[#This Row],[Etapa Despacho - Registro]]),"")</f>
        <v/>
      </c>
      <c r="AB1067" s="11" t="str">
        <f>IFERROR(IF(MARÍTIMOS[[#This Row],[Inspección Externa]]="","",MARÍTIMOS[[#This Row],[Inspección Externa]]),"")</f>
        <v/>
      </c>
      <c r="AC1067" s="11" t="str">
        <f>IFERROR(IF(MARÍTIMOS[[#This Row],[Etapa Despacho - Inicio de Carga]]="","",MARÍTIMOS[[#This Row],[Etapa Despacho - Inicio de Carga]]),"")</f>
        <v/>
      </c>
      <c r="AD1067" s="11" t="str">
        <f>IFERROR(IF(MARÍTIMOS[[#This Row],[Etapa Despacho - Mitad de Carga]]="","",MARÍTIMOS[[#This Row],[Etapa Despacho - Mitad de Carga]]),"")</f>
        <v/>
      </c>
      <c r="AE1067" s="11" t="str">
        <f>IFERROR(IF(MARÍTIMOS[[#This Row],[Etapa Despacho - Fin de Carga]]="","",MARÍTIMOS[[#This Row],[Etapa Despacho - Fin de Carga]]),"")</f>
        <v/>
      </c>
      <c r="AF1067" s="2" t="str">
        <f>IFERROR(IF(MARÍTIMOS[[#This Row],[Puerto de Embarque]]="","",MARÍTIMOS[[#This Row],[Puerto de Embarque]]),"")</f>
        <v/>
      </c>
      <c r="AG1067" s="2" t="str">
        <f>IFERROR(IF(MARÍTIMOS[[#This Row],[Almacén de Ingreso]]="","",MARÍTIMOS[[#This Row],[Almacén de Ingreso]]),"")</f>
        <v/>
      </c>
      <c r="AH1067" s="11" t="str">
        <f>IFERROR(IF(MARÍTIMOS[[#This Row],[Etapa Ingreso - Cita]]="","",MARÍTIMOS[[#This Row],[Etapa Ingreso - Cita]]),"")</f>
        <v/>
      </c>
      <c r="AI1067" s="11" t="str">
        <f>IFERROR(IF(MARÍTIMOS[[#This Row],[Etapa Ingreso - Llegada]]="","",MARÍTIMOS[[#This Row],[Etapa Ingreso - Llegada]]),"")</f>
        <v/>
      </c>
      <c r="AJ1067" s="11" t="str">
        <f>IFERROR(IF(MARÍTIMOS[[#This Row],[Etapa Ingreso - Ingeso]]="","",MARÍTIMOS[[#This Row],[Etapa Ingreso - Ingeso]]),"")</f>
        <v/>
      </c>
      <c r="AK1067" s="11" t="str">
        <f>IFERROR(IF(MARÍTIMOS[[#This Row],[Etapa Ingreso - Atención]]="","",MARÍTIMOS[[#This Row],[Etapa Ingreso - Atención]]),"")</f>
        <v/>
      </c>
      <c r="AL1067" s="11" t="str">
        <f>IFERROR(IF(MARÍTIMOS[[#This Row],[Etapa Ingreso - Salida]]="","",MARÍTIMOS[[#This Row],[Etapa Ingreso - Salida]]),"")</f>
        <v/>
      </c>
      <c r="AM1067" s="2" t="str">
        <f>IFERROR(IF(MARÍTIMOS[[#This Row],[FCL]]="","",MARÍTIMOS[[#This Row],[FCL]]),"")</f>
        <v/>
      </c>
      <c r="AN106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7" s="4" t="str" cm="1">
        <f t="array" ref="AO106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7" s="5" t="str">
        <f>IFERROR(OLDBD[[#This Row],[Llegada a packing]]-OLDBD[[#This Row],[Inicio de Ruta]],"")</f>
        <v/>
      </c>
      <c r="AQ1067" s="6" t="str">
        <f>IFERROR(OLDBD[[#This Row],[Inicio de Ruta]]-OLDBD[[#This Row],[Salida de almacén de retiro]],"")</f>
        <v/>
      </c>
      <c r="AR106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7" s="8" t="str" cm="1">
        <f t="array" ref="AS106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7" s="9" t="str">
        <f>IFERROR(OLDBD[[#This Row],[Ingreso Packing]]-OLDBD[[#This Row],[Registro en Packing]],"")</f>
        <v/>
      </c>
      <c r="AV1067" s="9" t="str">
        <f>IFERROR(OLDBD[[#This Row],[Ingreso Packing]]-OLDBD[[#This Row],[Llegada a packing]],"")</f>
        <v/>
      </c>
      <c r="AW106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7" s="5" t="str">
        <f>IFERROR(OLDBD[[#This Row],[Llegada Almacén de Ingreso]]-OLDBD[[#This Row],[Salida Packing]],"")</f>
        <v/>
      </c>
      <c r="AY1067" s="4" t="str" cm="1">
        <f t="array" ref="AY106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7" s="43" t="s">
        <v>173</v>
      </c>
      <c r="BB1067" s="47" t="str">
        <f>IFERROR(IF(MARÍTIMOS[[#This Row],[Estatus]]="","",MARÍTIMOS[[#This Row],[Estatus]]),"")</f>
        <v/>
      </c>
      <c r="BC1067" s="43"/>
      <c r="BD1067" s="46" t="str">
        <f>IFERROR(OLDBD[[#This Row],[Salida de almacén de retiro]]-OLDBD[[#This Row],[Ingreso Almacén de retiro]],"")</f>
        <v/>
      </c>
      <c r="BE1067" s="46" t="str">
        <f>IFERROR(OLDBD[[#This Row],[Fin de Carga]]-OLDBD[[#This Row],[Inicio de Carga]],"")</f>
        <v/>
      </c>
    </row>
    <row r="1068" spans="1:57" customFormat="1" hidden="1">
      <c r="A1068" s="1"/>
      <c r="B1068" s="1" t="str">
        <f>IFERROR(IF(MARÍTIMOS[[#This Row],[PP]]="","",MARÍTIMOS[[#This Row],[PP]]),"")</f>
        <v/>
      </c>
      <c r="C1068" s="1" t="str">
        <f>IFERROR(IF(MARÍTIMOS[[#This Row],[Sede]]="","",MARÍTIMOS[[#This Row],[Sede]]),"")</f>
        <v/>
      </c>
      <c r="D1068" s="1" t="str">
        <f>IFERROR(IF(MARÍTIMOS[[#This Row],[Instruction]]="","",MARÍTIMOS[[#This Row],[Instruction]]),"")</f>
        <v/>
      </c>
      <c r="E1068" s="1"/>
      <c r="F1068" s="2" t="str">
        <f>IFERROR(IF(MARÍTIMOS[[#This Row],[Transportista]]="","",MARÍTIMOS[[#This Row],[Transportista]]),"")</f>
        <v/>
      </c>
      <c r="G1068" s="2" t="str">
        <f>IFERROR(IF(MARÍTIMOS[[#This Row],[Tercero]]="","",MARÍTIMOS[[#This Row],[Tercero]]),"")</f>
        <v/>
      </c>
      <c r="H1068" s="2" t="str">
        <f>IFERROR(IF(MARÍTIMOS[[#This Row],[Razón Social]]="","",MARÍTIMOS[[#This Row],[Razón Social]]),"")</f>
        <v/>
      </c>
      <c r="I1068" s="2" t="str">
        <f>IFERROR(IF(MARÍTIMOS[[#This Row],[RUC]]="","",MARÍTIMOS[[#This Row],[RUC]]),"")</f>
        <v/>
      </c>
      <c r="J1068" s="2" t="str">
        <f>IFERROR(IF(MARÍTIMOS[[#This Row],[Placa Tracto]]="","",MARÍTIMOS[[#This Row],[Placa Tracto]]),"")</f>
        <v/>
      </c>
      <c r="K1068" s="2" t="str">
        <f>IFERROR(IF(MARÍTIMOS[[#This Row],[Placa Carreta]]="","",MARÍTIMOS[[#This Row],[Placa Carreta]]),"")</f>
        <v/>
      </c>
      <c r="L1068" s="44" t="str">
        <f>IFERROR(IF(MARÍTIMOS[[#This Row],[Conductor]]="","",MARÍTIMOS[[#This Row],[Conductor]]),"")</f>
        <v/>
      </c>
      <c r="M1068" s="2" t="str">
        <f>IFERROR(IF(MARÍTIMOS[[#This Row],[Licencia]]="","",MARÍTIMOS[[#This Row],[Licencia]]),"")</f>
        <v/>
      </c>
      <c r="N1068" s="2" t="str">
        <f>IFERROR(IF(MARÍTIMOS[[#This Row],[Número de Contacto]]="","",MARÍTIMOS[[#This Row],[Número de Contacto]]),"")</f>
        <v/>
      </c>
      <c r="O1068" s="10" t="str">
        <f>IFERROR(IF(MARÍTIMOS[[#This Row],[Booking|AWB|CRT]]="","",MARÍTIMOS[[#This Row],[Booking|AWB|CRT]]),"")</f>
        <v/>
      </c>
      <c r="P1068" s="2" t="str">
        <f>IFERROR(IF(MARÍTIMOS[[#This Row],[Contenedor]]="","",MARÍTIMOS[[#This Row],[Contenedor]]),"")</f>
        <v/>
      </c>
      <c r="Q1068" s="2" t="str">
        <f>IFERROR(IF(MARÍTIMOS[[#This Row],[Puerto de Retiro]]="","",MARÍTIMOS[[#This Row],[Puerto de Retiro]]),"")</f>
        <v/>
      </c>
      <c r="R1068" s="2" t="str">
        <f>IFERROR(IF(MARÍTIMOS[[#This Row],[Almacén de Retiro]]="","",MARÍTIMOS[[#This Row],[Almacén de Retiro]]),"")</f>
        <v/>
      </c>
      <c r="S1068" s="11" t="str">
        <f>IFERROR(IF(MARÍTIMOS[[#This Row],[Etapa Retiro - Cita]]="","",MARÍTIMOS[[#This Row],[Etapa Retiro - Cita]]),"")</f>
        <v/>
      </c>
      <c r="T1068" s="11" t="str">
        <f>IFERROR(IF(MARÍTIMOS[[#This Row],[Etapa Retiro - Llegada]]="","",MARÍTIMOS[[#This Row],[Etapa Retiro - Llegada]]),"")</f>
        <v/>
      </c>
      <c r="U1068" s="11" t="str">
        <f>IFERROR(IF(MARÍTIMOS[[#This Row],[Etapa Retiro - Ingreso]]="","",MARÍTIMOS[[#This Row],[Etapa Retiro - Ingreso]]),"")</f>
        <v/>
      </c>
      <c r="V1068" s="11" t="str">
        <f>IFERROR(IF(MARÍTIMOS[[#This Row],[Etapa Retiro - Atención]]="","",MARÍTIMOS[[#This Row],[Etapa Retiro - Atención]]),"")</f>
        <v/>
      </c>
      <c r="W1068" s="11" t="str">
        <f>IFERROR(IF(MARÍTIMOS[[#This Row],[Etapa Retiro - Atención]]="","",MARÍTIMOS[[#This Row],[Etapa Retiro - Atención]]),"")</f>
        <v/>
      </c>
      <c r="X1068" s="11" t="str">
        <f>IFERROR(IF(MARÍTIMOS[[#This Row],[Etapa Retiro - Inicio de Ruta]]="","",MARÍTIMOS[[#This Row],[Etapa Retiro - Inicio de Ruta]]),"")</f>
        <v/>
      </c>
      <c r="Y1068" s="11" t="str">
        <f>IFERROR(IF(MARÍTIMOS[[#This Row],[Hora de Posicionamiento]]="","",MARÍTIMOS[[#This Row],[Fecha de Carga]]+MARÍTIMOS[[#This Row],[Hora de Posicionamiento]]),"")</f>
        <v/>
      </c>
      <c r="Z1068" s="11" t="str">
        <f>IFERROR(IF(MARÍTIMOS[[#This Row],[Etapa Despacho - Llegada]]="","",MARÍTIMOS[[#This Row],[Etapa Despacho - Llegada]]),"")</f>
        <v/>
      </c>
      <c r="AA1068" s="11" t="str">
        <f>IFERROR(IF(MARÍTIMOS[[#This Row],[Etapa Despacho - Registro]]="","",MARÍTIMOS[[#This Row],[Etapa Despacho - Registro]]),"")</f>
        <v/>
      </c>
      <c r="AB1068" s="11" t="str">
        <f>IFERROR(IF(MARÍTIMOS[[#This Row],[Inspección Externa]]="","",MARÍTIMOS[[#This Row],[Inspección Externa]]),"")</f>
        <v/>
      </c>
      <c r="AC1068" s="11" t="str">
        <f>IFERROR(IF(MARÍTIMOS[[#This Row],[Etapa Despacho - Inicio de Carga]]="","",MARÍTIMOS[[#This Row],[Etapa Despacho - Inicio de Carga]]),"")</f>
        <v/>
      </c>
      <c r="AD1068" s="11" t="str">
        <f>IFERROR(IF(MARÍTIMOS[[#This Row],[Etapa Despacho - Mitad de Carga]]="","",MARÍTIMOS[[#This Row],[Etapa Despacho - Mitad de Carga]]),"")</f>
        <v/>
      </c>
      <c r="AE1068" s="11" t="str">
        <f>IFERROR(IF(MARÍTIMOS[[#This Row],[Etapa Despacho - Fin de Carga]]="","",MARÍTIMOS[[#This Row],[Etapa Despacho - Fin de Carga]]),"")</f>
        <v/>
      </c>
      <c r="AF1068" s="2" t="str">
        <f>IFERROR(IF(MARÍTIMOS[[#This Row],[Puerto de Embarque]]="","",MARÍTIMOS[[#This Row],[Puerto de Embarque]]),"")</f>
        <v/>
      </c>
      <c r="AG1068" s="2" t="str">
        <f>IFERROR(IF(MARÍTIMOS[[#This Row],[Almacén de Ingreso]]="","",MARÍTIMOS[[#This Row],[Almacén de Ingreso]]),"")</f>
        <v/>
      </c>
      <c r="AH1068" s="11" t="str">
        <f>IFERROR(IF(MARÍTIMOS[[#This Row],[Etapa Ingreso - Cita]]="","",MARÍTIMOS[[#This Row],[Etapa Ingreso - Cita]]),"")</f>
        <v/>
      </c>
      <c r="AI1068" s="11" t="str">
        <f>IFERROR(IF(MARÍTIMOS[[#This Row],[Etapa Ingreso - Llegada]]="","",MARÍTIMOS[[#This Row],[Etapa Ingreso - Llegada]]),"")</f>
        <v/>
      </c>
      <c r="AJ1068" s="11" t="str">
        <f>IFERROR(IF(MARÍTIMOS[[#This Row],[Etapa Ingreso - Ingeso]]="","",MARÍTIMOS[[#This Row],[Etapa Ingreso - Ingeso]]),"")</f>
        <v/>
      </c>
      <c r="AK1068" s="11" t="str">
        <f>IFERROR(IF(MARÍTIMOS[[#This Row],[Etapa Ingreso - Atención]]="","",MARÍTIMOS[[#This Row],[Etapa Ingreso - Atención]]),"")</f>
        <v/>
      </c>
      <c r="AL1068" s="11" t="str">
        <f>IFERROR(IF(MARÍTIMOS[[#This Row],[Etapa Ingreso - Salida]]="","",MARÍTIMOS[[#This Row],[Etapa Ingreso - Salida]]),"")</f>
        <v/>
      </c>
      <c r="AM1068" s="2" t="str">
        <f>IFERROR(IF(MARÍTIMOS[[#This Row],[FCL]]="","",MARÍTIMOS[[#This Row],[FCL]]),"")</f>
        <v/>
      </c>
      <c r="AN106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8" s="4" t="str" cm="1">
        <f t="array" ref="AO106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8" s="5" t="str">
        <f>IFERROR(OLDBD[[#This Row],[Llegada a packing]]-OLDBD[[#This Row],[Inicio de Ruta]],"")</f>
        <v/>
      </c>
      <c r="AQ1068" s="6" t="str">
        <f>IFERROR(OLDBD[[#This Row],[Inicio de Ruta]]-OLDBD[[#This Row],[Salida de almacén de retiro]],"")</f>
        <v/>
      </c>
      <c r="AR106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8" s="8" t="str" cm="1">
        <f t="array" ref="AS106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8" s="9" t="str">
        <f>IFERROR(OLDBD[[#This Row],[Ingreso Packing]]-OLDBD[[#This Row],[Registro en Packing]],"")</f>
        <v/>
      </c>
      <c r="AV1068" s="9" t="str">
        <f>IFERROR(OLDBD[[#This Row],[Ingreso Packing]]-OLDBD[[#This Row],[Llegada a packing]],"")</f>
        <v/>
      </c>
      <c r="AW106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8" s="5" t="str">
        <f>IFERROR(OLDBD[[#This Row],[Llegada Almacén de Ingreso]]-OLDBD[[#This Row],[Salida Packing]],"")</f>
        <v/>
      </c>
      <c r="AY1068" s="4" t="str" cm="1">
        <f t="array" ref="AY106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8" s="43" t="s">
        <v>173</v>
      </c>
      <c r="BB1068" s="47" t="str">
        <f>IFERROR(IF(MARÍTIMOS[[#This Row],[Estatus]]="","",MARÍTIMOS[[#This Row],[Estatus]]),"")</f>
        <v/>
      </c>
      <c r="BC1068" s="43"/>
      <c r="BD1068" s="46" t="str">
        <f>IFERROR(OLDBD[[#This Row],[Salida de almacén de retiro]]-OLDBD[[#This Row],[Ingreso Almacén de retiro]],"")</f>
        <v/>
      </c>
      <c r="BE1068" s="46" t="str">
        <f>IFERROR(OLDBD[[#This Row],[Fin de Carga]]-OLDBD[[#This Row],[Inicio de Carga]],"")</f>
        <v/>
      </c>
    </row>
    <row r="1069" spans="1:57" customFormat="1" hidden="1">
      <c r="A1069" s="1"/>
      <c r="B1069" s="1" t="str">
        <f>IFERROR(IF(MARÍTIMOS[[#This Row],[PP]]="","",MARÍTIMOS[[#This Row],[PP]]),"")</f>
        <v/>
      </c>
      <c r="C1069" s="1" t="str">
        <f>IFERROR(IF(MARÍTIMOS[[#This Row],[Sede]]="","",MARÍTIMOS[[#This Row],[Sede]]),"")</f>
        <v/>
      </c>
      <c r="D1069" s="1" t="str">
        <f>IFERROR(IF(MARÍTIMOS[[#This Row],[Instruction]]="","",MARÍTIMOS[[#This Row],[Instruction]]),"")</f>
        <v/>
      </c>
      <c r="E1069" s="1"/>
      <c r="F1069" s="2" t="str">
        <f>IFERROR(IF(MARÍTIMOS[[#This Row],[Transportista]]="","",MARÍTIMOS[[#This Row],[Transportista]]),"")</f>
        <v/>
      </c>
      <c r="G1069" s="2" t="str">
        <f>IFERROR(IF(MARÍTIMOS[[#This Row],[Tercero]]="","",MARÍTIMOS[[#This Row],[Tercero]]),"")</f>
        <v/>
      </c>
      <c r="H1069" s="2" t="str">
        <f>IFERROR(IF(MARÍTIMOS[[#This Row],[Razón Social]]="","",MARÍTIMOS[[#This Row],[Razón Social]]),"")</f>
        <v/>
      </c>
      <c r="I1069" s="2" t="str">
        <f>IFERROR(IF(MARÍTIMOS[[#This Row],[RUC]]="","",MARÍTIMOS[[#This Row],[RUC]]),"")</f>
        <v/>
      </c>
      <c r="J1069" s="2" t="str">
        <f>IFERROR(IF(MARÍTIMOS[[#This Row],[Placa Tracto]]="","",MARÍTIMOS[[#This Row],[Placa Tracto]]),"")</f>
        <v/>
      </c>
      <c r="K1069" s="2" t="str">
        <f>IFERROR(IF(MARÍTIMOS[[#This Row],[Placa Carreta]]="","",MARÍTIMOS[[#This Row],[Placa Carreta]]),"")</f>
        <v/>
      </c>
      <c r="L1069" s="44" t="str">
        <f>IFERROR(IF(MARÍTIMOS[[#This Row],[Conductor]]="","",MARÍTIMOS[[#This Row],[Conductor]]),"")</f>
        <v/>
      </c>
      <c r="M1069" s="2" t="str">
        <f>IFERROR(IF(MARÍTIMOS[[#This Row],[Licencia]]="","",MARÍTIMOS[[#This Row],[Licencia]]),"")</f>
        <v/>
      </c>
      <c r="N1069" s="2" t="str">
        <f>IFERROR(IF(MARÍTIMOS[[#This Row],[Número de Contacto]]="","",MARÍTIMOS[[#This Row],[Número de Contacto]]),"")</f>
        <v/>
      </c>
      <c r="O1069" s="10" t="str">
        <f>IFERROR(IF(MARÍTIMOS[[#This Row],[Booking|AWB|CRT]]="","",MARÍTIMOS[[#This Row],[Booking|AWB|CRT]]),"")</f>
        <v/>
      </c>
      <c r="P1069" s="2" t="str">
        <f>IFERROR(IF(MARÍTIMOS[[#This Row],[Contenedor]]="","",MARÍTIMOS[[#This Row],[Contenedor]]),"")</f>
        <v/>
      </c>
      <c r="Q1069" s="2" t="str">
        <f>IFERROR(IF(MARÍTIMOS[[#This Row],[Puerto de Retiro]]="","",MARÍTIMOS[[#This Row],[Puerto de Retiro]]),"")</f>
        <v/>
      </c>
      <c r="R1069" s="2" t="str">
        <f>IFERROR(IF(MARÍTIMOS[[#This Row],[Almacén de Retiro]]="","",MARÍTIMOS[[#This Row],[Almacén de Retiro]]),"")</f>
        <v/>
      </c>
      <c r="S1069" s="11" t="str">
        <f>IFERROR(IF(MARÍTIMOS[[#This Row],[Etapa Retiro - Cita]]="","",MARÍTIMOS[[#This Row],[Etapa Retiro - Cita]]),"")</f>
        <v/>
      </c>
      <c r="T1069" s="11" t="str">
        <f>IFERROR(IF(MARÍTIMOS[[#This Row],[Etapa Retiro - Llegada]]="","",MARÍTIMOS[[#This Row],[Etapa Retiro - Llegada]]),"")</f>
        <v/>
      </c>
      <c r="U1069" s="11" t="str">
        <f>IFERROR(IF(MARÍTIMOS[[#This Row],[Etapa Retiro - Ingreso]]="","",MARÍTIMOS[[#This Row],[Etapa Retiro - Ingreso]]),"")</f>
        <v/>
      </c>
      <c r="V1069" s="11" t="str">
        <f>IFERROR(IF(MARÍTIMOS[[#This Row],[Etapa Retiro - Atención]]="","",MARÍTIMOS[[#This Row],[Etapa Retiro - Atención]]),"")</f>
        <v/>
      </c>
      <c r="W1069" s="11" t="str">
        <f>IFERROR(IF(MARÍTIMOS[[#This Row],[Etapa Retiro - Atención]]="","",MARÍTIMOS[[#This Row],[Etapa Retiro - Atención]]),"")</f>
        <v/>
      </c>
      <c r="X1069" s="11" t="str">
        <f>IFERROR(IF(MARÍTIMOS[[#This Row],[Etapa Retiro - Inicio de Ruta]]="","",MARÍTIMOS[[#This Row],[Etapa Retiro - Inicio de Ruta]]),"")</f>
        <v/>
      </c>
      <c r="Y1069" s="11" t="str">
        <f>IFERROR(IF(MARÍTIMOS[[#This Row],[Hora de Posicionamiento]]="","",MARÍTIMOS[[#This Row],[Fecha de Carga]]+MARÍTIMOS[[#This Row],[Hora de Posicionamiento]]),"")</f>
        <v/>
      </c>
      <c r="Z1069" s="11" t="str">
        <f>IFERROR(IF(MARÍTIMOS[[#This Row],[Etapa Despacho - Llegada]]="","",MARÍTIMOS[[#This Row],[Etapa Despacho - Llegada]]),"")</f>
        <v/>
      </c>
      <c r="AA1069" s="11" t="str">
        <f>IFERROR(IF(MARÍTIMOS[[#This Row],[Etapa Despacho - Registro]]="","",MARÍTIMOS[[#This Row],[Etapa Despacho - Registro]]),"")</f>
        <v/>
      </c>
      <c r="AB1069" s="11" t="str">
        <f>IFERROR(IF(MARÍTIMOS[[#This Row],[Inspección Externa]]="","",MARÍTIMOS[[#This Row],[Inspección Externa]]),"")</f>
        <v/>
      </c>
      <c r="AC1069" s="11" t="str">
        <f>IFERROR(IF(MARÍTIMOS[[#This Row],[Etapa Despacho - Inicio de Carga]]="","",MARÍTIMOS[[#This Row],[Etapa Despacho - Inicio de Carga]]),"")</f>
        <v/>
      </c>
      <c r="AD1069" s="11" t="str">
        <f>IFERROR(IF(MARÍTIMOS[[#This Row],[Etapa Despacho - Mitad de Carga]]="","",MARÍTIMOS[[#This Row],[Etapa Despacho - Mitad de Carga]]),"")</f>
        <v/>
      </c>
      <c r="AE1069" s="11" t="str">
        <f>IFERROR(IF(MARÍTIMOS[[#This Row],[Etapa Despacho - Fin de Carga]]="","",MARÍTIMOS[[#This Row],[Etapa Despacho - Fin de Carga]]),"")</f>
        <v/>
      </c>
      <c r="AF1069" s="2" t="str">
        <f>IFERROR(IF(MARÍTIMOS[[#This Row],[Puerto de Embarque]]="","",MARÍTIMOS[[#This Row],[Puerto de Embarque]]),"")</f>
        <v/>
      </c>
      <c r="AG1069" s="2" t="str">
        <f>IFERROR(IF(MARÍTIMOS[[#This Row],[Almacén de Ingreso]]="","",MARÍTIMOS[[#This Row],[Almacén de Ingreso]]),"")</f>
        <v/>
      </c>
      <c r="AH1069" s="11" t="str">
        <f>IFERROR(IF(MARÍTIMOS[[#This Row],[Etapa Ingreso - Cita]]="","",MARÍTIMOS[[#This Row],[Etapa Ingreso - Cita]]),"")</f>
        <v/>
      </c>
      <c r="AI1069" s="11" t="str">
        <f>IFERROR(IF(MARÍTIMOS[[#This Row],[Etapa Ingreso - Llegada]]="","",MARÍTIMOS[[#This Row],[Etapa Ingreso - Llegada]]),"")</f>
        <v/>
      </c>
      <c r="AJ1069" s="11" t="str">
        <f>IFERROR(IF(MARÍTIMOS[[#This Row],[Etapa Ingreso - Ingeso]]="","",MARÍTIMOS[[#This Row],[Etapa Ingreso - Ingeso]]),"")</f>
        <v/>
      </c>
      <c r="AK1069" s="11" t="str">
        <f>IFERROR(IF(MARÍTIMOS[[#This Row],[Etapa Ingreso - Atención]]="","",MARÍTIMOS[[#This Row],[Etapa Ingreso - Atención]]),"")</f>
        <v/>
      </c>
      <c r="AL1069" s="11" t="str">
        <f>IFERROR(IF(MARÍTIMOS[[#This Row],[Etapa Ingreso - Salida]]="","",MARÍTIMOS[[#This Row],[Etapa Ingreso - Salida]]),"")</f>
        <v/>
      </c>
      <c r="AM1069" s="2" t="str">
        <f>IFERROR(IF(MARÍTIMOS[[#This Row],[FCL]]="","",MARÍTIMOS[[#This Row],[FCL]]),"")</f>
        <v/>
      </c>
      <c r="AN106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69" s="4" t="str" cm="1">
        <f t="array" ref="AO106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69" s="5" t="str">
        <f>IFERROR(OLDBD[[#This Row],[Llegada a packing]]-OLDBD[[#This Row],[Inicio de Ruta]],"")</f>
        <v/>
      </c>
      <c r="AQ1069" s="6" t="str">
        <f>IFERROR(OLDBD[[#This Row],[Inicio de Ruta]]-OLDBD[[#This Row],[Salida de almacén de retiro]],"")</f>
        <v/>
      </c>
      <c r="AR106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69" s="8" t="str" cm="1">
        <f t="array" ref="AS106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6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69" s="9" t="str">
        <f>IFERROR(OLDBD[[#This Row],[Ingreso Packing]]-OLDBD[[#This Row],[Registro en Packing]],"")</f>
        <v/>
      </c>
      <c r="AV1069" s="9" t="str">
        <f>IFERROR(OLDBD[[#This Row],[Ingreso Packing]]-OLDBD[[#This Row],[Llegada a packing]],"")</f>
        <v/>
      </c>
      <c r="AW106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69" s="5" t="str">
        <f>IFERROR(OLDBD[[#This Row],[Llegada Almacén de Ingreso]]-OLDBD[[#This Row],[Salida Packing]],"")</f>
        <v/>
      </c>
      <c r="AY1069" s="4" t="str" cm="1">
        <f t="array" ref="AY106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6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69" s="43" t="s">
        <v>173</v>
      </c>
      <c r="BB1069" s="47" t="str">
        <f>IFERROR(IF(MARÍTIMOS[[#This Row],[Estatus]]="","",MARÍTIMOS[[#This Row],[Estatus]]),"")</f>
        <v/>
      </c>
      <c r="BC1069" s="43"/>
      <c r="BD1069" s="46" t="str">
        <f>IFERROR(OLDBD[[#This Row],[Salida de almacén de retiro]]-OLDBD[[#This Row],[Ingreso Almacén de retiro]],"")</f>
        <v/>
      </c>
      <c r="BE1069" s="46" t="str">
        <f>IFERROR(OLDBD[[#This Row],[Fin de Carga]]-OLDBD[[#This Row],[Inicio de Carga]],"")</f>
        <v/>
      </c>
    </row>
    <row r="1070" spans="1:57" customFormat="1" hidden="1">
      <c r="A1070" s="1"/>
      <c r="B1070" s="1" t="str">
        <f>IFERROR(IF(MARÍTIMOS[[#This Row],[PP]]="","",MARÍTIMOS[[#This Row],[PP]]),"")</f>
        <v/>
      </c>
      <c r="C1070" s="1" t="str">
        <f>IFERROR(IF(MARÍTIMOS[[#This Row],[Sede]]="","",MARÍTIMOS[[#This Row],[Sede]]),"")</f>
        <v/>
      </c>
      <c r="D1070" s="1" t="str">
        <f>IFERROR(IF(MARÍTIMOS[[#This Row],[Instruction]]="","",MARÍTIMOS[[#This Row],[Instruction]]),"")</f>
        <v/>
      </c>
      <c r="E1070" s="1"/>
      <c r="F1070" s="2" t="str">
        <f>IFERROR(IF(MARÍTIMOS[[#This Row],[Transportista]]="","",MARÍTIMOS[[#This Row],[Transportista]]),"")</f>
        <v/>
      </c>
      <c r="G1070" s="2" t="str">
        <f>IFERROR(IF(MARÍTIMOS[[#This Row],[Tercero]]="","",MARÍTIMOS[[#This Row],[Tercero]]),"")</f>
        <v/>
      </c>
      <c r="H1070" s="2" t="str">
        <f>IFERROR(IF(MARÍTIMOS[[#This Row],[Razón Social]]="","",MARÍTIMOS[[#This Row],[Razón Social]]),"")</f>
        <v/>
      </c>
      <c r="I1070" s="2" t="str">
        <f>IFERROR(IF(MARÍTIMOS[[#This Row],[RUC]]="","",MARÍTIMOS[[#This Row],[RUC]]),"")</f>
        <v/>
      </c>
      <c r="J1070" s="2" t="str">
        <f>IFERROR(IF(MARÍTIMOS[[#This Row],[Placa Tracto]]="","",MARÍTIMOS[[#This Row],[Placa Tracto]]),"")</f>
        <v/>
      </c>
      <c r="K1070" s="2" t="str">
        <f>IFERROR(IF(MARÍTIMOS[[#This Row],[Placa Carreta]]="","",MARÍTIMOS[[#This Row],[Placa Carreta]]),"")</f>
        <v/>
      </c>
      <c r="L1070" s="44" t="str">
        <f>IFERROR(IF(MARÍTIMOS[[#This Row],[Conductor]]="","",MARÍTIMOS[[#This Row],[Conductor]]),"")</f>
        <v/>
      </c>
      <c r="M1070" s="2" t="str">
        <f>IFERROR(IF(MARÍTIMOS[[#This Row],[Licencia]]="","",MARÍTIMOS[[#This Row],[Licencia]]),"")</f>
        <v/>
      </c>
      <c r="N1070" s="2" t="str">
        <f>IFERROR(IF(MARÍTIMOS[[#This Row],[Número de Contacto]]="","",MARÍTIMOS[[#This Row],[Número de Contacto]]),"")</f>
        <v/>
      </c>
      <c r="O1070" s="10" t="str">
        <f>IFERROR(IF(MARÍTIMOS[[#This Row],[Booking|AWB|CRT]]="","",MARÍTIMOS[[#This Row],[Booking|AWB|CRT]]),"")</f>
        <v/>
      </c>
      <c r="P1070" s="2" t="str">
        <f>IFERROR(IF(MARÍTIMOS[[#This Row],[Contenedor]]="","",MARÍTIMOS[[#This Row],[Contenedor]]),"")</f>
        <v/>
      </c>
      <c r="Q1070" s="2" t="str">
        <f>IFERROR(IF(MARÍTIMOS[[#This Row],[Puerto de Retiro]]="","",MARÍTIMOS[[#This Row],[Puerto de Retiro]]),"")</f>
        <v/>
      </c>
      <c r="R1070" s="2" t="str">
        <f>IFERROR(IF(MARÍTIMOS[[#This Row],[Almacén de Retiro]]="","",MARÍTIMOS[[#This Row],[Almacén de Retiro]]),"")</f>
        <v/>
      </c>
      <c r="S1070" s="11" t="str">
        <f>IFERROR(IF(MARÍTIMOS[[#This Row],[Etapa Retiro - Cita]]="","",MARÍTIMOS[[#This Row],[Etapa Retiro - Cita]]),"")</f>
        <v/>
      </c>
      <c r="T1070" s="11" t="str">
        <f>IFERROR(IF(MARÍTIMOS[[#This Row],[Etapa Retiro - Llegada]]="","",MARÍTIMOS[[#This Row],[Etapa Retiro - Llegada]]),"")</f>
        <v/>
      </c>
      <c r="U1070" s="11" t="str">
        <f>IFERROR(IF(MARÍTIMOS[[#This Row],[Etapa Retiro - Ingreso]]="","",MARÍTIMOS[[#This Row],[Etapa Retiro - Ingreso]]),"")</f>
        <v/>
      </c>
      <c r="V1070" s="11" t="str">
        <f>IFERROR(IF(MARÍTIMOS[[#This Row],[Etapa Retiro - Atención]]="","",MARÍTIMOS[[#This Row],[Etapa Retiro - Atención]]),"")</f>
        <v/>
      </c>
      <c r="W1070" s="11" t="str">
        <f>IFERROR(IF(MARÍTIMOS[[#This Row],[Etapa Retiro - Atención]]="","",MARÍTIMOS[[#This Row],[Etapa Retiro - Atención]]),"")</f>
        <v/>
      </c>
      <c r="X1070" s="11" t="str">
        <f>IFERROR(IF(MARÍTIMOS[[#This Row],[Etapa Retiro - Inicio de Ruta]]="","",MARÍTIMOS[[#This Row],[Etapa Retiro - Inicio de Ruta]]),"")</f>
        <v/>
      </c>
      <c r="Y1070" s="11" t="str">
        <f>IFERROR(IF(MARÍTIMOS[[#This Row],[Hora de Posicionamiento]]="","",MARÍTIMOS[[#This Row],[Fecha de Carga]]+MARÍTIMOS[[#This Row],[Hora de Posicionamiento]]),"")</f>
        <v/>
      </c>
      <c r="Z1070" s="11" t="str">
        <f>IFERROR(IF(MARÍTIMOS[[#This Row],[Etapa Despacho - Llegada]]="","",MARÍTIMOS[[#This Row],[Etapa Despacho - Llegada]]),"")</f>
        <v/>
      </c>
      <c r="AA1070" s="11" t="str">
        <f>IFERROR(IF(MARÍTIMOS[[#This Row],[Etapa Despacho - Registro]]="","",MARÍTIMOS[[#This Row],[Etapa Despacho - Registro]]),"")</f>
        <v/>
      </c>
      <c r="AB1070" s="11" t="str">
        <f>IFERROR(IF(MARÍTIMOS[[#This Row],[Inspección Externa]]="","",MARÍTIMOS[[#This Row],[Inspección Externa]]),"")</f>
        <v/>
      </c>
      <c r="AC1070" s="11" t="str">
        <f>IFERROR(IF(MARÍTIMOS[[#This Row],[Etapa Despacho - Inicio de Carga]]="","",MARÍTIMOS[[#This Row],[Etapa Despacho - Inicio de Carga]]),"")</f>
        <v/>
      </c>
      <c r="AD1070" s="11" t="str">
        <f>IFERROR(IF(MARÍTIMOS[[#This Row],[Etapa Despacho - Mitad de Carga]]="","",MARÍTIMOS[[#This Row],[Etapa Despacho - Mitad de Carga]]),"")</f>
        <v/>
      </c>
      <c r="AE1070" s="11" t="str">
        <f>IFERROR(IF(MARÍTIMOS[[#This Row],[Etapa Despacho - Fin de Carga]]="","",MARÍTIMOS[[#This Row],[Etapa Despacho - Fin de Carga]]),"")</f>
        <v/>
      </c>
      <c r="AF1070" s="2" t="str">
        <f>IFERROR(IF(MARÍTIMOS[[#This Row],[Puerto de Embarque]]="","",MARÍTIMOS[[#This Row],[Puerto de Embarque]]),"")</f>
        <v/>
      </c>
      <c r="AG1070" s="2" t="str">
        <f>IFERROR(IF(MARÍTIMOS[[#This Row],[Almacén de Ingreso]]="","",MARÍTIMOS[[#This Row],[Almacén de Ingreso]]),"")</f>
        <v/>
      </c>
      <c r="AH1070" s="11" t="str">
        <f>IFERROR(IF(MARÍTIMOS[[#This Row],[Etapa Ingreso - Cita]]="","",MARÍTIMOS[[#This Row],[Etapa Ingreso - Cita]]),"")</f>
        <v/>
      </c>
      <c r="AI1070" s="11" t="str">
        <f>IFERROR(IF(MARÍTIMOS[[#This Row],[Etapa Ingreso - Llegada]]="","",MARÍTIMOS[[#This Row],[Etapa Ingreso - Llegada]]),"")</f>
        <v/>
      </c>
      <c r="AJ1070" s="11" t="str">
        <f>IFERROR(IF(MARÍTIMOS[[#This Row],[Etapa Ingreso - Ingeso]]="","",MARÍTIMOS[[#This Row],[Etapa Ingreso - Ingeso]]),"")</f>
        <v/>
      </c>
      <c r="AK1070" s="11" t="str">
        <f>IFERROR(IF(MARÍTIMOS[[#This Row],[Etapa Ingreso - Atención]]="","",MARÍTIMOS[[#This Row],[Etapa Ingreso - Atención]]),"")</f>
        <v/>
      </c>
      <c r="AL1070" s="11" t="str">
        <f>IFERROR(IF(MARÍTIMOS[[#This Row],[Etapa Ingreso - Salida]]="","",MARÍTIMOS[[#This Row],[Etapa Ingreso - Salida]]),"")</f>
        <v/>
      </c>
      <c r="AM1070" s="2" t="str">
        <f>IFERROR(IF(MARÍTIMOS[[#This Row],[FCL]]="","",MARÍTIMOS[[#This Row],[FCL]]),"")</f>
        <v/>
      </c>
      <c r="AN107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0" s="4" t="str" cm="1">
        <f t="array" ref="AO107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0" s="5" t="str">
        <f>IFERROR(OLDBD[[#This Row],[Llegada a packing]]-OLDBD[[#This Row],[Inicio de Ruta]],"")</f>
        <v/>
      </c>
      <c r="AQ1070" s="6" t="str">
        <f>IFERROR(OLDBD[[#This Row],[Inicio de Ruta]]-OLDBD[[#This Row],[Salida de almacén de retiro]],"")</f>
        <v/>
      </c>
      <c r="AR107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0" s="8" t="str" cm="1">
        <f t="array" ref="AS107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0" s="9" t="str">
        <f>IFERROR(OLDBD[[#This Row],[Ingreso Packing]]-OLDBD[[#This Row],[Registro en Packing]],"")</f>
        <v/>
      </c>
      <c r="AV1070" s="9" t="str">
        <f>IFERROR(OLDBD[[#This Row],[Ingreso Packing]]-OLDBD[[#This Row],[Llegada a packing]],"")</f>
        <v/>
      </c>
      <c r="AW107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0" s="5" t="str">
        <f>IFERROR(OLDBD[[#This Row],[Llegada Almacén de Ingreso]]-OLDBD[[#This Row],[Salida Packing]],"")</f>
        <v/>
      </c>
      <c r="AY1070" s="4" t="str" cm="1">
        <f t="array" ref="AY107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0" s="43" t="s">
        <v>173</v>
      </c>
      <c r="BB1070" s="47" t="str">
        <f>IFERROR(IF(MARÍTIMOS[[#This Row],[Estatus]]="","",MARÍTIMOS[[#This Row],[Estatus]]),"")</f>
        <v/>
      </c>
      <c r="BC1070" s="43"/>
      <c r="BD1070" s="46" t="str">
        <f>IFERROR(OLDBD[[#This Row],[Salida de almacén de retiro]]-OLDBD[[#This Row],[Ingreso Almacén de retiro]],"")</f>
        <v/>
      </c>
      <c r="BE1070" s="46" t="str">
        <f>IFERROR(OLDBD[[#This Row],[Fin de Carga]]-OLDBD[[#This Row],[Inicio de Carga]],"")</f>
        <v/>
      </c>
    </row>
    <row r="1071" spans="1:57" customFormat="1" hidden="1">
      <c r="A1071" s="1"/>
      <c r="B1071" s="1" t="str">
        <f>IFERROR(IF(MARÍTIMOS[[#This Row],[PP]]="","",MARÍTIMOS[[#This Row],[PP]]),"")</f>
        <v/>
      </c>
      <c r="C1071" s="1" t="str">
        <f>IFERROR(IF(MARÍTIMOS[[#This Row],[Sede]]="","",MARÍTIMOS[[#This Row],[Sede]]),"")</f>
        <v/>
      </c>
      <c r="D1071" s="1" t="str">
        <f>IFERROR(IF(MARÍTIMOS[[#This Row],[Instruction]]="","",MARÍTIMOS[[#This Row],[Instruction]]),"")</f>
        <v/>
      </c>
      <c r="E1071" s="1"/>
      <c r="F1071" s="2" t="str">
        <f>IFERROR(IF(MARÍTIMOS[[#This Row],[Transportista]]="","",MARÍTIMOS[[#This Row],[Transportista]]),"")</f>
        <v/>
      </c>
      <c r="G1071" s="2" t="str">
        <f>IFERROR(IF(MARÍTIMOS[[#This Row],[Tercero]]="","",MARÍTIMOS[[#This Row],[Tercero]]),"")</f>
        <v/>
      </c>
      <c r="H1071" s="2" t="str">
        <f>IFERROR(IF(MARÍTIMOS[[#This Row],[Razón Social]]="","",MARÍTIMOS[[#This Row],[Razón Social]]),"")</f>
        <v/>
      </c>
      <c r="I1071" s="2" t="str">
        <f>IFERROR(IF(MARÍTIMOS[[#This Row],[RUC]]="","",MARÍTIMOS[[#This Row],[RUC]]),"")</f>
        <v/>
      </c>
      <c r="J1071" s="2" t="str">
        <f>IFERROR(IF(MARÍTIMOS[[#This Row],[Placa Tracto]]="","",MARÍTIMOS[[#This Row],[Placa Tracto]]),"")</f>
        <v/>
      </c>
      <c r="K1071" s="2" t="str">
        <f>IFERROR(IF(MARÍTIMOS[[#This Row],[Placa Carreta]]="","",MARÍTIMOS[[#This Row],[Placa Carreta]]),"")</f>
        <v/>
      </c>
      <c r="L1071" s="44" t="str">
        <f>IFERROR(IF(MARÍTIMOS[[#This Row],[Conductor]]="","",MARÍTIMOS[[#This Row],[Conductor]]),"")</f>
        <v/>
      </c>
      <c r="M1071" s="2" t="str">
        <f>IFERROR(IF(MARÍTIMOS[[#This Row],[Licencia]]="","",MARÍTIMOS[[#This Row],[Licencia]]),"")</f>
        <v/>
      </c>
      <c r="N1071" s="2" t="str">
        <f>IFERROR(IF(MARÍTIMOS[[#This Row],[Número de Contacto]]="","",MARÍTIMOS[[#This Row],[Número de Contacto]]),"")</f>
        <v/>
      </c>
      <c r="O1071" s="10" t="str">
        <f>IFERROR(IF(MARÍTIMOS[[#This Row],[Booking|AWB|CRT]]="","",MARÍTIMOS[[#This Row],[Booking|AWB|CRT]]),"")</f>
        <v/>
      </c>
      <c r="P1071" s="2" t="str">
        <f>IFERROR(IF(MARÍTIMOS[[#This Row],[Contenedor]]="","",MARÍTIMOS[[#This Row],[Contenedor]]),"")</f>
        <v/>
      </c>
      <c r="Q1071" s="2" t="str">
        <f>IFERROR(IF(MARÍTIMOS[[#This Row],[Puerto de Retiro]]="","",MARÍTIMOS[[#This Row],[Puerto de Retiro]]),"")</f>
        <v/>
      </c>
      <c r="R1071" s="2" t="str">
        <f>IFERROR(IF(MARÍTIMOS[[#This Row],[Almacén de Retiro]]="","",MARÍTIMOS[[#This Row],[Almacén de Retiro]]),"")</f>
        <v/>
      </c>
      <c r="S1071" s="11" t="str">
        <f>IFERROR(IF(MARÍTIMOS[[#This Row],[Etapa Retiro - Cita]]="","",MARÍTIMOS[[#This Row],[Etapa Retiro - Cita]]),"")</f>
        <v/>
      </c>
      <c r="T1071" s="11" t="str">
        <f>IFERROR(IF(MARÍTIMOS[[#This Row],[Etapa Retiro - Llegada]]="","",MARÍTIMOS[[#This Row],[Etapa Retiro - Llegada]]),"")</f>
        <v/>
      </c>
      <c r="U1071" s="11" t="str">
        <f>IFERROR(IF(MARÍTIMOS[[#This Row],[Etapa Retiro - Ingreso]]="","",MARÍTIMOS[[#This Row],[Etapa Retiro - Ingreso]]),"")</f>
        <v/>
      </c>
      <c r="V1071" s="11" t="str">
        <f>IFERROR(IF(MARÍTIMOS[[#This Row],[Etapa Retiro - Atención]]="","",MARÍTIMOS[[#This Row],[Etapa Retiro - Atención]]),"")</f>
        <v/>
      </c>
      <c r="W1071" s="11" t="str">
        <f>IFERROR(IF(MARÍTIMOS[[#This Row],[Etapa Retiro - Atención]]="","",MARÍTIMOS[[#This Row],[Etapa Retiro - Atención]]),"")</f>
        <v/>
      </c>
      <c r="X1071" s="11" t="str">
        <f>IFERROR(IF(MARÍTIMOS[[#This Row],[Etapa Retiro - Inicio de Ruta]]="","",MARÍTIMOS[[#This Row],[Etapa Retiro - Inicio de Ruta]]),"")</f>
        <v/>
      </c>
      <c r="Y1071" s="11" t="str">
        <f>IFERROR(IF(MARÍTIMOS[[#This Row],[Hora de Posicionamiento]]="","",MARÍTIMOS[[#This Row],[Fecha de Carga]]+MARÍTIMOS[[#This Row],[Hora de Posicionamiento]]),"")</f>
        <v/>
      </c>
      <c r="Z1071" s="11" t="str">
        <f>IFERROR(IF(MARÍTIMOS[[#This Row],[Etapa Despacho - Llegada]]="","",MARÍTIMOS[[#This Row],[Etapa Despacho - Llegada]]),"")</f>
        <v/>
      </c>
      <c r="AA1071" s="11" t="str">
        <f>IFERROR(IF(MARÍTIMOS[[#This Row],[Etapa Despacho - Registro]]="","",MARÍTIMOS[[#This Row],[Etapa Despacho - Registro]]),"")</f>
        <v/>
      </c>
      <c r="AB1071" s="11" t="str">
        <f>IFERROR(IF(MARÍTIMOS[[#This Row],[Inspección Externa]]="","",MARÍTIMOS[[#This Row],[Inspección Externa]]),"")</f>
        <v/>
      </c>
      <c r="AC1071" s="11" t="str">
        <f>IFERROR(IF(MARÍTIMOS[[#This Row],[Etapa Despacho - Inicio de Carga]]="","",MARÍTIMOS[[#This Row],[Etapa Despacho - Inicio de Carga]]),"")</f>
        <v/>
      </c>
      <c r="AD1071" s="11" t="str">
        <f>IFERROR(IF(MARÍTIMOS[[#This Row],[Etapa Despacho - Mitad de Carga]]="","",MARÍTIMOS[[#This Row],[Etapa Despacho - Mitad de Carga]]),"")</f>
        <v/>
      </c>
      <c r="AE1071" s="11" t="str">
        <f>IFERROR(IF(MARÍTIMOS[[#This Row],[Etapa Despacho - Fin de Carga]]="","",MARÍTIMOS[[#This Row],[Etapa Despacho - Fin de Carga]]),"")</f>
        <v/>
      </c>
      <c r="AF1071" s="2" t="str">
        <f>IFERROR(IF(MARÍTIMOS[[#This Row],[Puerto de Embarque]]="","",MARÍTIMOS[[#This Row],[Puerto de Embarque]]),"")</f>
        <v/>
      </c>
      <c r="AG1071" s="2" t="str">
        <f>IFERROR(IF(MARÍTIMOS[[#This Row],[Almacén de Ingreso]]="","",MARÍTIMOS[[#This Row],[Almacén de Ingreso]]),"")</f>
        <v/>
      </c>
      <c r="AH1071" s="11" t="str">
        <f>IFERROR(IF(MARÍTIMOS[[#This Row],[Etapa Ingreso - Cita]]="","",MARÍTIMOS[[#This Row],[Etapa Ingreso - Cita]]),"")</f>
        <v/>
      </c>
      <c r="AI1071" s="11" t="str">
        <f>IFERROR(IF(MARÍTIMOS[[#This Row],[Etapa Ingreso - Llegada]]="","",MARÍTIMOS[[#This Row],[Etapa Ingreso - Llegada]]),"")</f>
        <v/>
      </c>
      <c r="AJ1071" s="11" t="str">
        <f>IFERROR(IF(MARÍTIMOS[[#This Row],[Etapa Ingreso - Ingeso]]="","",MARÍTIMOS[[#This Row],[Etapa Ingreso - Ingeso]]),"")</f>
        <v/>
      </c>
      <c r="AK1071" s="11" t="str">
        <f>IFERROR(IF(MARÍTIMOS[[#This Row],[Etapa Ingreso - Atención]]="","",MARÍTIMOS[[#This Row],[Etapa Ingreso - Atención]]),"")</f>
        <v/>
      </c>
      <c r="AL1071" s="11" t="str">
        <f>IFERROR(IF(MARÍTIMOS[[#This Row],[Etapa Ingreso - Salida]]="","",MARÍTIMOS[[#This Row],[Etapa Ingreso - Salida]]),"")</f>
        <v/>
      </c>
      <c r="AM1071" s="2" t="str">
        <f>IFERROR(IF(MARÍTIMOS[[#This Row],[FCL]]="","",MARÍTIMOS[[#This Row],[FCL]]),"")</f>
        <v/>
      </c>
      <c r="AN107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1" s="4" t="str" cm="1">
        <f t="array" ref="AO107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1" s="5" t="str">
        <f>IFERROR(OLDBD[[#This Row],[Llegada a packing]]-OLDBD[[#This Row],[Inicio de Ruta]],"")</f>
        <v/>
      </c>
      <c r="AQ1071" s="6" t="str">
        <f>IFERROR(OLDBD[[#This Row],[Inicio de Ruta]]-OLDBD[[#This Row],[Salida de almacén de retiro]],"")</f>
        <v/>
      </c>
      <c r="AR107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1" s="8" t="str" cm="1">
        <f t="array" ref="AS107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1" s="9" t="str">
        <f>IFERROR(OLDBD[[#This Row],[Ingreso Packing]]-OLDBD[[#This Row],[Registro en Packing]],"")</f>
        <v/>
      </c>
      <c r="AV1071" s="9" t="str">
        <f>IFERROR(OLDBD[[#This Row],[Ingreso Packing]]-OLDBD[[#This Row],[Llegada a packing]],"")</f>
        <v/>
      </c>
      <c r="AW107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1" s="5" t="str">
        <f>IFERROR(OLDBD[[#This Row],[Llegada Almacén de Ingreso]]-OLDBD[[#This Row],[Salida Packing]],"")</f>
        <v/>
      </c>
      <c r="AY1071" s="4" t="str" cm="1">
        <f t="array" ref="AY107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1" s="43" t="s">
        <v>173</v>
      </c>
      <c r="BB1071" s="47" t="str">
        <f>IFERROR(IF(MARÍTIMOS[[#This Row],[Estatus]]="","",MARÍTIMOS[[#This Row],[Estatus]]),"")</f>
        <v/>
      </c>
      <c r="BC1071" s="43"/>
      <c r="BD1071" s="46" t="str">
        <f>IFERROR(OLDBD[[#This Row],[Salida de almacén de retiro]]-OLDBD[[#This Row],[Ingreso Almacén de retiro]],"")</f>
        <v/>
      </c>
      <c r="BE1071" s="46" t="str">
        <f>IFERROR(OLDBD[[#This Row],[Fin de Carga]]-OLDBD[[#This Row],[Inicio de Carga]],"")</f>
        <v/>
      </c>
    </row>
    <row r="1072" spans="1:57" customFormat="1" hidden="1">
      <c r="A1072" s="1"/>
      <c r="B1072" s="1" t="str">
        <f>IFERROR(IF(MARÍTIMOS[[#This Row],[PP]]="","",MARÍTIMOS[[#This Row],[PP]]),"")</f>
        <v/>
      </c>
      <c r="C1072" s="1" t="str">
        <f>IFERROR(IF(MARÍTIMOS[[#This Row],[Sede]]="","",MARÍTIMOS[[#This Row],[Sede]]),"")</f>
        <v/>
      </c>
      <c r="D1072" s="1" t="str">
        <f>IFERROR(IF(MARÍTIMOS[[#This Row],[Instruction]]="","",MARÍTIMOS[[#This Row],[Instruction]]),"")</f>
        <v/>
      </c>
      <c r="E1072" s="1"/>
      <c r="F1072" s="2" t="str">
        <f>IFERROR(IF(MARÍTIMOS[[#This Row],[Transportista]]="","",MARÍTIMOS[[#This Row],[Transportista]]),"")</f>
        <v/>
      </c>
      <c r="G1072" s="2" t="str">
        <f>IFERROR(IF(MARÍTIMOS[[#This Row],[Tercero]]="","",MARÍTIMOS[[#This Row],[Tercero]]),"")</f>
        <v/>
      </c>
      <c r="H1072" s="2" t="str">
        <f>IFERROR(IF(MARÍTIMOS[[#This Row],[Razón Social]]="","",MARÍTIMOS[[#This Row],[Razón Social]]),"")</f>
        <v/>
      </c>
      <c r="I1072" s="2" t="str">
        <f>IFERROR(IF(MARÍTIMOS[[#This Row],[RUC]]="","",MARÍTIMOS[[#This Row],[RUC]]),"")</f>
        <v/>
      </c>
      <c r="J1072" s="2" t="str">
        <f>IFERROR(IF(MARÍTIMOS[[#This Row],[Placa Tracto]]="","",MARÍTIMOS[[#This Row],[Placa Tracto]]),"")</f>
        <v/>
      </c>
      <c r="K1072" s="2" t="str">
        <f>IFERROR(IF(MARÍTIMOS[[#This Row],[Placa Carreta]]="","",MARÍTIMOS[[#This Row],[Placa Carreta]]),"")</f>
        <v/>
      </c>
      <c r="L1072" s="44" t="str">
        <f>IFERROR(IF(MARÍTIMOS[[#This Row],[Conductor]]="","",MARÍTIMOS[[#This Row],[Conductor]]),"")</f>
        <v/>
      </c>
      <c r="M1072" s="2" t="str">
        <f>IFERROR(IF(MARÍTIMOS[[#This Row],[Licencia]]="","",MARÍTIMOS[[#This Row],[Licencia]]),"")</f>
        <v/>
      </c>
      <c r="N1072" s="2" t="str">
        <f>IFERROR(IF(MARÍTIMOS[[#This Row],[Número de Contacto]]="","",MARÍTIMOS[[#This Row],[Número de Contacto]]),"")</f>
        <v/>
      </c>
      <c r="O1072" s="10" t="str">
        <f>IFERROR(IF(MARÍTIMOS[[#This Row],[Booking|AWB|CRT]]="","",MARÍTIMOS[[#This Row],[Booking|AWB|CRT]]),"")</f>
        <v/>
      </c>
      <c r="P1072" s="2" t="str">
        <f>IFERROR(IF(MARÍTIMOS[[#This Row],[Contenedor]]="","",MARÍTIMOS[[#This Row],[Contenedor]]),"")</f>
        <v/>
      </c>
      <c r="Q1072" s="2" t="str">
        <f>IFERROR(IF(MARÍTIMOS[[#This Row],[Puerto de Retiro]]="","",MARÍTIMOS[[#This Row],[Puerto de Retiro]]),"")</f>
        <v/>
      </c>
      <c r="R1072" s="2" t="str">
        <f>IFERROR(IF(MARÍTIMOS[[#This Row],[Almacén de Retiro]]="","",MARÍTIMOS[[#This Row],[Almacén de Retiro]]),"")</f>
        <v/>
      </c>
      <c r="S1072" s="11" t="str">
        <f>IFERROR(IF(MARÍTIMOS[[#This Row],[Etapa Retiro - Cita]]="","",MARÍTIMOS[[#This Row],[Etapa Retiro - Cita]]),"")</f>
        <v/>
      </c>
      <c r="T1072" s="11" t="str">
        <f>IFERROR(IF(MARÍTIMOS[[#This Row],[Etapa Retiro - Llegada]]="","",MARÍTIMOS[[#This Row],[Etapa Retiro - Llegada]]),"")</f>
        <v/>
      </c>
      <c r="U1072" s="11" t="str">
        <f>IFERROR(IF(MARÍTIMOS[[#This Row],[Etapa Retiro - Ingreso]]="","",MARÍTIMOS[[#This Row],[Etapa Retiro - Ingreso]]),"")</f>
        <v/>
      </c>
      <c r="V1072" s="11" t="str">
        <f>IFERROR(IF(MARÍTIMOS[[#This Row],[Etapa Retiro - Atención]]="","",MARÍTIMOS[[#This Row],[Etapa Retiro - Atención]]),"")</f>
        <v/>
      </c>
      <c r="W1072" s="11" t="str">
        <f>IFERROR(IF(MARÍTIMOS[[#This Row],[Etapa Retiro - Atención]]="","",MARÍTIMOS[[#This Row],[Etapa Retiro - Atención]]),"")</f>
        <v/>
      </c>
      <c r="X1072" s="11" t="str">
        <f>IFERROR(IF(MARÍTIMOS[[#This Row],[Etapa Retiro - Inicio de Ruta]]="","",MARÍTIMOS[[#This Row],[Etapa Retiro - Inicio de Ruta]]),"")</f>
        <v/>
      </c>
      <c r="Y1072" s="11" t="str">
        <f>IFERROR(IF(MARÍTIMOS[[#This Row],[Hora de Posicionamiento]]="","",MARÍTIMOS[[#This Row],[Fecha de Carga]]+MARÍTIMOS[[#This Row],[Hora de Posicionamiento]]),"")</f>
        <v/>
      </c>
      <c r="Z1072" s="11" t="str">
        <f>IFERROR(IF(MARÍTIMOS[[#This Row],[Etapa Despacho - Llegada]]="","",MARÍTIMOS[[#This Row],[Etapa Despacho - Llegada]]),"")</f>
        <v/>
      </c>
      <c r="AA1072" s="11" t="str">
        <f>IFERROR(IF(MARÍTIMOS[[#This Row],[Etapa Despacho - Registro]]="","",MARÍTIMOS[[#This Row],[Etapa Despacho - Registro]]),"")</f>
        <v/>
      </c>
      <c r="AB1072" s="11" t="str">
        <f>IFERROR(IF(MARÍTIMOS[[#This Row],[Inspección Externa]]="","",MARÍTIMOS[[#This Row],[Inspección Externa]]),"")</f>
        <v/>
      </c>
      <c r="AC1072" s="11" t="str">
        <f>IFERROR(IF(MARÍTIMOS[[#This Row],[Etapa Despacho - Inicio de Carga]]="","",MARÍTIMOS[[#This Row],[Etapa Despacho - Inicio de Carga]]),"")</f>
        <v/>
      </c>
      <c r="AD1072" s="11" t="str">
        <f>IFERROR(IF(MARÍTIMOS[[#This Row],[Etapa Despacho - Mitad de Carga]]="","",MARÍTIMOS[[#This Row],[Etapa Despacho - Mitad de Carga]]),"")</f>
        <v/>
      </c>
      <c r="AE1072" s="11" t="str">
        <f>IFERROR(IF(MARÍTIMOS[[#This Row],[Etapa Despacho - Fin de Carga]]="","",MARÍTIMOS[[#This Row],[Etapa Despacho - Fin de Carga]]),"")</f>
        <v/>
      </c>
      <c r="AF1072" s="2" t="str">
        <f>IFERROR(IF(MARÍTIMOS[[#This Row],[Puerto de Embarque]]="","",MARÍTIMOS[[#This Row],[Puerto de Embarque]]),"")</f>
        <v/>
      </c>
      <c r="AG1072" s="2" t="str">
        <f>IFERROR(IF(MARÍTIMOS[[#This Row],[Almacén de Ingreso]]="","",MARÍTIMOS[[#This Row],[Almacén de Ingreso]]),"")</f>
        <v/>
      </c>
      <c r="AH1072" s="11" t="str">
        <f>IFERROR(IF(MARÍTIMOS[[#This Row],[Etapa Ingreso - Cita]]="","",MARÍTIMOS[[#This Row],[Etapa Ingreso - Cita]]),"")</f>
        <v/>
      </c>
      <c r="AI1072" s="11" t="str">
        <f>IFERROR(IF(MARÍTIMOS[[#This Row],[Etapa Ingreso - Llegada]]="","",MARÍTIMOS[[#This Row],[Etapa Ingreso - Llegada]]),"")</f>
        <v/>
      </c>
      <c r="AJ1072" s="11" t="str">
        <f>IFERROR(IF(MARÍTIMOS[[#This Row],[Etapa Ingreso - Ingeso]]="","",MARÍTIMOS[[#This Row],[Etapa Ingreso - Ingeso]]),"")</f>
        <v/>
      </c>
      <c r="AK1072" s="11" t="str">
        <f>IFERROR(IF(MARÍTIMOS[[#This Row],[Etapa Ingreso - Atención]]="","",MARÍTIMOS[[#This Row],[Etapa Ingreso - Atención]]),"")</f>
        <v/>
      </c>
      <c r="AL1072" s="11" t="str">
        <f>IFERROR(IF(MARÍTIMOS[[#This Row],[Etapa Ingreso - Salida]]="","",MARÍTIMOS[[#This Row],[Etapa Ingreso - Salida]]),"")</f>
        <v/>
      </c>
      <c r="AM1072" s="2" t="str">
        <f>IFERROR(IF(MARÍTIMOS[[#This Row],[FCL]]="","",MARÍTIMOS[[#This Row],[FCL]]),"")</f>
        <v/>
      </c>
      <c r="AN107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2" s="4" t="str" cm="1">
        <f t="array" ref="AO107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2" s="5" t="str">
        <f>IFERROR(OLDBD[[#This Row],[Llegada a packing]]-OLDBD[[#This Row],[Inicio de Ruta]],"")</f>
        <v/>
      </c>
      <c r="AQ1072" s="6" t="str">
        <f>IFERROR(OLDBD[[#This Row],[Inicio de Ruta]]-OLDBD[[#This Row],[Salida de almacén de retiro]],"")</f>
        <v/>
      </c>
      <c r="AR107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2" s="8" t="str" cm="1">
        <f t="array" ref="AS107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2" s="9" t="str">
        <f>IFERROR(OLDBD[[#This Row],[Ingreso Packing]]-OLDBD[[#This Row],[Registro en Packing]],"")</f>
        <v/>
      </c>
      <c r="AV1072" s="9" t="str">
        <f>IFERROR(OLDBD[[#This Row],[Ingreso Packing]]-OLDBD[[#This Row],[Llegada a packing]],"")</f>
        <v/>
      </c>
      <c r="AW107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2" s="5" t="str">
        <f>IFERROR(OLDBD[[#This Row],[Llegada Almacén de Ingreso]]-OLDBD[[#This Row],[Salida Packing]],"")</f>
        <v/>
      </c>
      <c r="AY1072" s="4" t="str" cm="1">
        <f t="array" ref="AY107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2" s="43" t="s">
        <v>173</v>
      </c>
      <c r="BB1072" s="47" t="str">
        <f>IFERROR(IF(MARÍTIMOS[[#This Row],[Estatus]]="","",MARÍTIMOS[[#This Row],[Estatus]]),"")</f>
        <v/>
      </c>
      <c r="BC1072" s="43"/>
      <c r="BD1072" s="46" t="str">
        <f>IFERROR(OLDBD[[#This Row],[Salida de almacén de retiro]]-OLDBD[[#This Row],[Ingreso Almacén de retiro]],"")</f>
        <v/>
      </c>
      <c r="BE1072" s="46" t="str">
        <f>IFERROR(OLDBD[[#This Row],[Fin de Carga]]-OLDBD[[#This Row],[Inicio de Carga]],"")</f>
        <v/>
      </c>
    </row>
    <row r="1073" spans="1:57" customFormat="1" hidden="1">
      <c r="A1073" s="1"/>
      <c r="B1073" s="1" t="str">
        <f>IFERROR(IF(MARÍTIMOS[[#This Row],[PP]]="","",MARÍTIMOS[[#This Row],[PP]]),"")</f>
        <v/>
      </c>
      <c r="C1073" s="1" t="str">
        <f>IFERROR(IF(MARÍTIMOS[[#This Row],[Sede]]="","",MARÍTIMOS[[#This Row],[Sede]]),"")</f>
        <v/>
      </c>
      <c r="D1073" s="1" t="str">
        <f>IFERROR(IF(MARÍTIMOS[[#This Row],[Instruction]]="","",MARÍTIMOS[[#This Row],[Instruction]]),"")</f>
        <v/>
      </c>
      <c r="E1073" s="1"/>
      <c r="F1073" s="2" t="str">
        <f>IFERROR(IF(MARÍTIMOS[[#This Row],[Transportista]]="","",MARÍTIMOS[[#This Row],[Transportista]]),"")</f>
        <v/>
      </c>
      <c r="G1073" s="2" t="str">
        <f>IFERROR(IF(MARÍTIMOS[[#This Row],[Tercero]]="","",MARÍTIMOS[[#This Row],[Tercero]]),"")</f>
        <v/>
      </c>
      <c r="H1073" s="2" t="str">
        <f>IFERROR(IF(MARÍTIMOS[[#This Row],[Razón Social]]="","",MARÍTIMOS[[#This Row],[Razón Social]]),"")</f>
        <v/>
      </c>
      <c r="I1073" s="2" t="str">
        <f>IFERROR(IF(MARÍTIMOS[[#This Row],[RUC]]="","",MARÍTIMOS[[#This Row],[RUC]]),"")</f>
        <v/>
      </c>
      <c r="J1073" s="2" t="str">
        <f>IFERROR(IF(MARÍTIMOS[[#This Row],[Placa Tracto]]="","",MARÍTIMOS[[#This Row],[Placa Tracto]]),"")</f>
        <v/>
      </c>
      <c r="K1073" s="2" t="str">
        <f>IFERROR(IF(MARÍTIMOS[[#This Row],[Placa Carreta]]="","",MARÍTIMOS[[#This Row],[Placa Carreta]]),"")</f>
        <v/>
      </c>
      <c r="L1073" s="44" t="str">
        <f>IFERROR(IF(MARÍTIMOS[[#This Row],[Conductor]]="","",MARÍTIMOS[[#This Row],[Conductor]]),"")</f>
        <v/>
      </c>
      <c r="M1073" s="2" t="str">
        <f>IFERROR(IF(MARÍTIMOS[[#This Row],[Licencia]]="","",MARÍTIMOS[[#This Row],[Licencia]]),"")</f>
        <v/>
      </c>
      <c r="N1073" s="2" t="str">
        <f>IFERROR(IF(MARÍTIMOS[[#This Row],[Número de Contacto]]="","",MARÍTIMOS[[#This Row],[Número de Contacto]]),"")</f>
        <v/>
      </c>
      <c r="O1073" s="10" t="str">
        <f>IFERROR(IF(MARÍTIMOS[[#This Row],[Booking|AWB|CRT]]="","",MARÍTIMOS[[#This Row],[Booking|AWB|CRT]]),"")</f>
        <v/>
      </c>
      <c r="P1073" s="2" t="str">
        <f>IFERROR(IF(MARÍTIMOS[[#This Row],[Contenedor]]="","",MARÍTIMOS[[#This Row],[Contenedor]]),"")</f>
        <v/>
      </c>
      <c r="Q1073" s="2" t="str">
        <f>IFERROR(IF(MARÍTIMOS[[#This Row],[Puerto de Retiro]]="","",MARÍTIMOS[[#This Row],[Puerto de Retiro]]),"")</f>
        <v/>
      </c>
      <c r="R1073" s="2" t="str">
        <f>IFERROR(IF(MARÍTIMOS[[#This Row],[Almacén de Retiro]]="","",MARÍTIMOS[[#This Row],[Almacén de Retiro]]),"")</f>
        <v/>
      </c>
      <c r="S1073" s="11" t="str">
        <f>IFERROR(IF(MARÍTIMOS[[#This Row],[Etapa Retiro - Cita]]="","",MARÍTIMOS[[#This Row],[Etapa Retiro - Cita]]),"")</f>
        <v/>
      </c>
      <c r="T1073" s="11" t="str">
        <f>IFERROR(IF(MARÍTIMOS[[#This Row],[Etapa Retiro - Llegada]]="","",MARÍTIMOS[[#This Row],[Etapa Retiro - Llegada]]),"")</f>
        <v/>
      </c>
      <c r="U1073" s="11" t="str">
        <f>IFERROR(IF(MARÍTIMOS[[#This Row],[Etapa Retiro - Ingreso]]="","",MARÍTIMOS[[#This Row],[Etapa Retiro - Ingreso]]),"")</f>
        <v/>
      </c>
      <c r="V1073" s="11" t="str">
        <f>IFERROR(IF(MARÍTIMOS[[#This Row],[Etapa Retiro - Atención]]="","",MARÍTIMOS[[#This Row],[Etapa Retiro - Atención]]),"")</f>
        <v/>
      </c>
      <c r="W1073" s="11" t="str">
        <f>IFERROR(IF(MARÍTIMOS[[#This Row],[Etapa Retiro - Atención]]="","",MARÍTIMOS[[#This Row],[Etapa Retiro - Atención]]),"")</f>
        <v/>
      </c>
      <c r="X1073" s="11" t="str">
        <f>IFERROR(IF(MARÍTIMOS[[#This Row],[Etapa Retiro - Inicio de Ruta]]="","",MARÍTIMOS[[#This Row],[Etapa Retiro - Inicio de Ruta]]),"")</f>
        <v/>
      </c>
      <c r="Y1073" s="11" t="str">
        <f>IFERROR(IF(MARÍTIMOS[[#This Row],[Hora de Posicionamiento]]="","",MARÍTIMOS[[#This Row],[Fecha de Carga]]+MARÍTIMOS[[#This Row],[Hora de Posicionamiento]]),"")</f>
        <v/>
      </c>
      <c r="Z1073" s="11" t="str">
        <f>IFERROR(IF(MARÍTIMOS[[#This Row],[Etapa Despacho - Llegada]]="","",MARÍTIMOS[[#This Row],[Etapa Despacho - Llegada]]),"")</f>
        <v/>
      </c>
      <c r="AA1073" s="11" t="str">
        <f>IFERROR(IF(MARÍTIMOS[[#This Row],[Etapa Despacho - Registro]]="","",MARÍTIMOS[[#This Row],[Etapa Despacho - Registro]]),"")</f>
        <v/>
      </c>
      <c r="AB1073" s="11" t="str">
        <f>IFERROR(IF(MARÍTIMOS[[#This Row],[Inspección Externa]]="","",MARÍTIMOS[[#This Row],[Inspección Externa]]),"")</f>
        <v/>
      </c>
      <c r="AC1073" s="11" t="str">
        <f>IFERROR(IF(MARÍTIMOS[[#This Row],[Etapa Despacho - Inicio de Carga]]="","",MARÍTIMOS[[#This Row],[Etapa Despacho - Inicio de Carga]]),"")</f>
        <v/>
      </c>
      <c r="AD1073" s="11" t="str">
        <f>IFERROR(IF(MARÍTIMOS[[#This Row],[Etapa Despacho - Mitad de Carga]]="","",MARÍTIMOS[[#This Row],[Etapa Despacho - Mitad de Carga]]),"")</f>
        <v/>
      </c>
      <c r="AE1073" s="11" t="str">
        <f>IFERROR(IF(MARÍTIMOS[[#This Row],[Etapa Despacho - Fin de Carga]]="","",MARÍTIMOS[[#This Row],[Etapa Despacho - Fin de Carga]]),"")</f>
        <v/>
      </c>
      <c r="AF1073" s="2" t="str">
        <f>IFERROR(IF(MARÍTIMOS[[#This Row],[Puerto de Embarque]]="","",MARÍTIMOS[[#This Row],[Puerto de Embarque]]),"")</f>
        <v/>
      </c>
      <c r="AG1073" s="2" t="str">
        <f>IFERROR(IF(MARÍTIMOS[[#This Row],[Almacén de Ingreso]]="","",MARÍTIMOS[[#This Row],[Almacén de Ingreso]]),"")</f>
        <v/>
      </c>
      <c r="AH1073" s="11" t="str">
        <f>IFERROR(IF(MARÍTIMOS[[#This Row],[Etapa Ingreso - Cita]]="","",MARÍTIMOS[[#This Row],[Etapa Ingreso - Cita]]),"")</f>
        <v/>
      </c>
      <c r="AI1073" s="11" t="str">
        <f>IFERROR(IF(MARÍTIMOS[[#This Row],[Etapa Ingreso - Llegada]]="","",MARÍTIMOS[[#This Row],[Etapa Ingreso - Llegada]]),"")</f>
        <v/>
      </c>
      <c r="AJ1073" s="11" t="str">
        <f>IFERROR(IF(MARÍTIMOS[[#This Row],[Etapa Ingreso - Ingeso]]="","",MARÍTIMOS[[#This Row],[Etapa Ingreso - Ingeso]]),"")</f>
        <v/>
      </c>
      <c r="AK1073" s="11" t="str">
        <f>IFERROR(IF(MARÍTIMOS[[#This Row],[Etapa Ingreso - Atención]]="","",MARÍTIMOS[[#This Row],[Etapa Ingreso - Atención]]),"")</f>
        <v/>
      </c>
      <c r="AL1073" s="11" t="str">
        <f>IFERROR(IF(MARÍTIMOS[[#This Row],[Etapa Ingreso - Salida]]="","",MARÍTIMOS[[#This Row],[Etapa Ingreso - Salida]]),"")</f>
        <v/>
      </c>
      <c r="AM1073" s="2" t="str">
        <f>IFERROR(IF(MARÍTIMOS[[#This Row],[FCL]]="","",MARÍTIMOS[[#This Row],[FCL]]),"")</f>
        <v/>
      </c>
      <c r="AN107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3" s="4" t="str" cm="1">
        <f t="array" ref="AO107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3" s="5" t="str">
        <f>IFERROR(OLDBD[[#This Row],[Llegada a packing]]-OLDBD[[#This Row],[Inicio de Ruta]],"")</f>
        <v/>
      </c>
      <c r="AQ1073" s="6" t="str">
        <f>IFERROR(OLDBD[[#This Row],[Inicio de Ruta]]-OLDBD[[#This Row],[Salida de almacén de retiro]],"")</f>
        <v/>
      </c>
      <c r="AR107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3" s="8" t="str" cm="1">
        <f t="array" ref="AS107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3" s="9" t="str">
        <f>IFERROR(OLDBD[[#This Row],[Ingreso Packing]]-OLDBD[[#This Row],[Registro en Packing]],"")</f>
        <v/>
      </c>
      <c r="AV1073" s="9" t="str">
        <f>IFERROR(OLDBD[[#This Row],[Ingreso Packing]]-OLDBD[[#This Row],[Llegada a packing]],"")</f>
        <v/>
      </c>
      <c r="AW107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3" s="5" t="str">
        <f>IFERROR(OLDBD[[#This Row],[Llegada Almacén de Ingreso]]-OLDBD[[#This Row],[Salida Packing]],"")</f>
        <v/>
      </c>
      <c r="AY1073" s="4" t="str" cm="1">
        <f t="array" ref="AY107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3" s="43" t="s">
        <v>173</v>
      </c>
      <c r="BB1073" s="47" t="str">
        <f>IFERROR(IF(MARÍTIMOS[[#This Row],[Estatus]]="","",MARÍTIMOS[[#This Row],[Estatus]]),"")</f>
        <v/>
      </c>
      <c r="BC1073" s="43"/>
      <c r="BD1073" s="46" t="str">
        <f>IFERROR(OLDBD[[#This Row],[Salida de almacén de retiro]]-OLDBD[[#This Row],[Ingreso Almacén de retiro]],"")</f>
        <v/>
      </c>
      <c r="BE1073" s="46" t="str">
        <f>IFERROR(OLDBD[[#This Row],[Fin de Carga]]-OLDBD[[#This Row],[Inicio de Carga]],"")</f>
        <v/>
      </c>
    </row>
    <row r="1074" spans="1:57" customFormat="1" hidden="1">
      <c r="A1074" s="1"/>
      <c r="B1074" s="1" t="str">
        <f>IFERROR(IF(MARÍTIMOS[[#This Row],[PP]]="","",MARÍTIMOS[[#This Row],[PP]]),"")</f>
        <v/>
      </c>
      <c r="C1074" s="1" t="str">
        <f>IFERROR(IF(MARÍTIMOS[[#This Row],[Sede]]="","",MARÍTIMOS[[#This Row],[Sede]]),"")</f>
        <v/>
      </c>
      <c r="D1074" s="1" t="str">
        <f>IFERROR(IF(MARÍTIMOS[[#This Row],[Instruction]]="","",MARÍTIMOS[[#This Row],[Instruction]]),"")</f>
        <v/>
      </c>
      <c r="E1074" s="1"/>
      <c r="F1074" s="2" t="str">
        <f>IFERROR(IF(MARÍTIMOS[[#This Row],[Transportista]]="","",MARÍTIMOS[[#This Row],[Transportista]]),"")</f>
        <v/>
      </c>
      <c r="G1074" s="2" t="str">
        <f>IFERROR(IF(MARÍTIMOS[[#This Row],[Tercero]]="","",MARÍTIMOS[[#This Row],[Tercero]]),"")</f>
        <v/>
      </c>
      <c r="H1074" s="2" t="str">
        <f>IFERROR(IF(MARÍTIMOS[[#This Row],[Razón Social]]="","",MARÍTIMOS[[#This Row],[Razón Social]]),"")</f>
        <v/>
      </c>
      <c r="I1074" s="2" t="str">
        <f>IFERROR(IF(MARÍTIMOS[[#This Row],[RUC]]="","",MARÍTIMOS[[#This Row],[RUC]]),"")</f>
        <v/>
      </c>
      <c r="J1074" s="2" t="str">
        <f>IFERROR(IF(MARÍTIMOS[[#This Row],[Placa Tracto]]="","",MARÍTIMOS[[#This Row],[Placa Tracto]]),"")</f>
        <v/>
      </c>
      <c r="K1074" s="2" t="str">
        <f>IFERROR(IF(MARÍTIMOS[[#This Row],[Placa Carreta]]="","",MARÍTIMOS[[#This Row],[Placa Carreta]]),"")</f>
        <v/>
      </c>
      <c r="L1074" s="44" t="str">
        <f>IFERROR(IF(MARÍTIMOS[[#This Row],[Conductor]]="","",MARÍTIMOS[[#This Row],[Conductor]]),"")</f>
        <v/>
      </c>
      <c r="M1074" s="2" t="str">
        <f>IFERROR(IF(MARÍTIMOS[[#This Row],[Licencia]]="","",MARÍTIMOS[[#This Row],[Licencia]]),"")</f>
        <v/>
      </c>
      <c r="N1074" s="2" t="str">
        <f>IFERROR(IF(MARÍTIMOS[[#This Row],[Número de Contacto]]="","",MARÍTIMOS[[#This Row],[Número de Contacto]]),"")</f>
        <v/>
      </c>
      <c r="O1074" s="10" t="str">
        <f>IFERROR(IF(MARÍTIMOS[[#This Row],[Booking|AWB|CRT]]="","",MARÍTIMOS[[#This Row],[Booking|AWB|CRT]]),"")</f>
        <v/>
      </c>
      <c r="P1074" s="2" t="str">
        <f>IFERROR(IF(MARÍTIMOS[[#This Row],[Contenedor]]="","",MARÍTIMOS[[#This Row],[Contenedor]]),"")</f>
        <v/>
      </c>
      <c r="Q1074" s="2" t="str">
        <f>IFERROR(IF(MARÍTIMOS[[#This Row],[Puerto de Retiro]]="","",MARÍTIMOS[[#This Row],[Puerto de Retiro]]),"")</f>
        <v/>
      </c>
      <c r="R1074" s="2" t="str">
        <f>IFERROR(IF(MARÍTIMOS[[#This Row],[Almacén de Retiro]]="","",MARÍTIMOS[[#This Row],[Almacén de Retiro]]),"")</f>
        <v/>
      </c>
      <c r="S1074" s="11" t="str">
        <f>IFERROR(IF(MARÍTIMOS[[#This Row],[Etapa Retiro - Cita]]="","",MARÍTIMOS[[#This Row],[Etapa Retiro - Cita]]),"")</f>
        <v/>
      </c>
      <c r="T1074" s="11" t="str">
        <f>IFERROR(IF(MARÍTIMOS[[#This Row],[Etapa Retiro - Llegada]]="","",MARÍTIMOS[[#This Row],[Etapa Retiro - Llegada]]),"")</f>
        <v/>
      </c>
      <c r="U1074" s="11" t="str">
        <f>IFERROR(IF(MARÍTIMOS[[#This Row],[Etapa Retiro - Ingreso]]="","",MARÍTIMOS[[#This Row],[Etapa Retiro - Ingreso]]),"")</f>
        <v/>
      </c>
      <c r="V1074" s="11" t="str">
        <f>IFERROR(IF(MARÍTIMOS[[#This Row],[Etapa Retiro - Atención]]="","",MARÍTIMOS[[#This Row],[Etapa Retiro - Atención]]),"")</f>
        <v/>
      </c>
      <c r="W1074" s="11" t="str">
        <f>IFERROR(IF(MARÍTIMOS[[#This Row],[Etapa Retiro - Atención]]="","",MARÍTIMOS[[#This Row],[Etapa Retiro - Atención]]),"")</f>
        <v/>
      </c>
      <c r="X1074" s="11" t="str">
        <f>IFERROR(IF(MARÍTIMOS[[#This Row],[Etapa Retiro - Inicio de Ruta]]="","",MARÍTIMOS[[#This Row],[Etapa Retiro - Inicio de Ruta]]),"")</f>
        <v/>
      </c>
      <c r="Y1074" s="11" t="str">
        <f>IFERROR(IF(MARÍTIMOS[[#This Row],[Hora de Posicionamiento]]="","",MARÍTIMOS[[#This Row],[Fecha de Carga]]+MARÍTIMOS[[#This Row],[Hora de Posicionamiento]]),"")</f>
        <v/>
      </c>
      <c r="Z1074" s="11" t="str">
        <f>IFERROR(IF(MARÍTIMOS[[#This Row],[Etapa Despacho - Llegada]]="","",MARÍTIMOS[[#This Row],[Etapa Despacho - Llegada]]),"")</f>
        <v/>
      </c>
      <c r="AA1074" s="11" t="str">
        <f>IFERROR(IF(MARÍTIMOS[[#This Row],[Etapa Despacho - Registro]]="","",MARÍTIMOS[[#This Row],[Etapa Despacho - Registro]]),"")</f>
        <v/>
      </c>
      <c r="AB1074" s="11" t="str">
        <f>IFERROR(IF(MARÍTIMOS[[#This Row],[Inspección Externa]]="","",MARÍTIMOS[[#This Row],[Inspección Externa]]),"")</f>
        <v/>
      </c>
      <c r="AC1074" s="11" t="str">
        <f>IFERROR(IF(MARÍTIMOS[[#This Row],[Etapa Despacho - Inicio de Carga]]="","",MARÍTIMOS[[#This Row],[Etapa Despacho - Inicio de Carga]]),"")</f>
        <v/>
      </c>
      <c r="AD1074" s="11" t="str">
        <f>IFERROR(IF(MARÍTIMOS[[#This Row],[Etapa Despacho - Mitad de Carga]]="","",MARÍTIMOS[[#This Row],[Etapa Despacho - Mitad de Carga]]),"")</f>
        <v/>
      </c>
      <c r="AE1074" s="11" t="str">
        <f>IFERROR(IF(MARÍTIMOS[[#This Row],[Etapa Despacho - Fin de Carga]]="","",MARÍTIMOS[[#This Row],[Etapa Despacho - Fin de Carga]]),"")</f>
        <v/>
      </c>
      <c r="AF1074" s="2" t="str">
        <f>IFERROR(IF(MARÍTIMOS[[#This Row],[Puerto de Embarque]]="","",MARÍTIMOS[[#This Row],[Puerto de Embarque]]),"")</f>
        <v/>
      </c>
      <c r="AG1074" s="2" t="str">
        <f>IFERROR(IF(MARÍTIMOS[[#This Row],[Almacén de Ingreso]]="","",MARÍTIMOS[[#This Row],[Almacén de Ingreso]]),"")</f>
        <v/>
      </c>
      <c r="AH1074" s="11" t="str">
        <f>IFERROR(IF(MARÍTIMOS[[#This Row],[Etapa Ingreso - Cita]]="","",MARÍTIMOS[[#This Row],[Etapa Ingreso - Cita]]),"")</f>
        <v/>
      </c>
      <c r="AI1074" s="11" t="str">
        <f>IFERROR(IF(MARÍTIMOS[[#This Row],[Etapa Ingreso - Llegada]]="","",MARÍTIMOS[[#This Row],[Etapa Ingreso - Llegada]]),"")</f>
        <v/>
      </c>
      <c r="AJ1074" s="11" t="str">
        <f>IFERROR(IF(MARÍTIMOS[[#This Row],[Etapa Ingreso - Ingeso]]="","",MARÍTIMOS[[#This Row],[Etapa Ingreso - Ingeso]]),"")</f>
        <v/>
      </c>
      <c r="AK1074" s="11" t="str">
        <f>IFERROR(IF(MARÍTIMOS[[#This Row],[Etapa Ingreso - Atención]]="","",MARÍTIMOS[[#This Row],[Etapa Ingreso - Atención]]),"")</f>
        <v/>
      </c>
      <c r="AL1074" s="11" t="str">
        <f>IFERROR(IF(MARÍTIMOS[[#This Row],[Etapa Ingreso - Salida]]="","",MARÍTIMOS[[#This Row],[Etapa Ingreso - Salida]]),"")</f>
        <v/>
      </c>
      <c r="AM1074" s="2" t="str">
        <f>IFERROR(IF(MARÍTIMOS[[#This Row],[FCL]]="","",MARÍTIMOS[[#This Row],[FCL]]),"")</f>
        <v/>
      </c>
      <c r="AN107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4" s="4" t="str" cm="1">
        <f t="array" ref="AO107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4" s="5" t="str">
        <f>IFERROR(OLDBD[[#This Row],[Llegada a packing]]-OLDBD[[#This Row],[Inicio de Ruta]],"")</f>
        <v/>
      </c>
      <c r="AQ1074" s="6" t="str">
        <f>IFERROR(OLDBD[[#This Row],[Inicio de Ruta]]-OLDBD[[#This Row],[Salida de almacén de retiro]],"")</f>
        <v/>
      </c>
      <c r="AR107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4" s="8" t="str" cm="1">
        <f t="array" ref="AS107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4" s="9" t="str">
        <f>IFERROR(OLDBD[[#This Row],[Ingreso Packing]]-OLDBD[[#This Row],[Registro en Packing]],"")</f>
        <v/>
      </c>
      <c r="AV1074" s="9" t="str">
        <f>IFERROR(OLDBD[[#This Row],[Ingreso Packing]]-OLDBD[[#This Row],[Llegada a packing]],"")</f>
        <v/>
      </c>
      <c r="AW107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4" s="5" t="str">
        <f>IFERROR(OLDBD[[#This Row],[Llegada Almacén de Ingreso]]-OLDBD[[#This Row],[Salida Packing]],"")</f>
        <v/>
      </c>
      <c r="AY1074" s="4" t="str" cm="1">
        <f t="array" ref="AY107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4" s="43" t="s">
        <v>173</v>
      </c>
      <c r="BB1074" s="47" t="str">
        <f>IFERROR(IF(MARÍTIMOS[[#This Row],[Estatus]]="","",MARÍTIMOS[[#This Row],[Estatus]]),"")</f>
        <v/>
      </c>
      <c r="BC1074" s="43"/>
      <c r="BD1074" s="46" t="str">
        <f>IFERROR(OLDBD[[#This Row],[Salida de almacén de retiro]]-OLDBD[[#This Row],[Ingreso Almacén de retiro]],"")</f>
        <v/>
      </c>
      <c r="BE1074" s="46" t="str">
        <f>IFERROR(OLDBD[[#This Row],[Fin de Carga]]-OLDBD[[#This Row],[Inicio de Carga]],"")</f>
        <v/>
      </c>
    </row>
    <row r="1075" spans="1:57" customFormat="1" hidden="1">
      <c r="A1075" s="1"/>
      <c r="B1075" s="1" t="str">
        <f>IFERROR(IF(MARÍTIMOS[[#This Row],[PP]]="","",MARÍTIMOS[[#This Row],[PP]]),"")</f>
        <v/>
      </c>
      <c r="C1075" s="1" t="str">
        <f>IFERROR(IF(MARÍTIMOS[[#This Row],[Sede]]="","",MARÍTIMOS[[#This Row],[Sede]]),"")</f>
        <v/>
      </c>
      <c r="D1075" s="1" t="str">
        <f>IFERROR(IF(MARÍTIMOS[[#This Row],[Instruction]]="","",MARÍTIMOS[[#This Row],[Instruction]]),"")</f>
        <v/>
      </c>
      <c r="E1075" s="1"/>
      <c r="F1075" s="2" t="str">
        <f>IFERROR(IF(MARÍTIMOS[[#This Row],[Transportista]]="","",MARÍTIMOS[[#This Row],[Transportista]]),"")</f>
        <v/>
      </c>
      <c r="G1075" s="2" t="str">
        <f>IFERROR(IF(MARÍTIMOS[[#This Row],[Tercero]]="","",MARÍTIMOS[[#This Row],[Tercero]]),"")</f>
        <v/>
      </c>
      <c r="H1075" s="2" t="str">
        <f>IFERROR(IF(MARÍTIMOS[[#This Row],[Razón Social]]="","",MARÍTIMOS[[#This Row],[Razón Social]]),"")</f>
        <v/>
      </c>
      <c r="I1075" s="2" t="str">
        <f>IFERROR(IF(MARÍTIMOS[[#This Row],[RUC]]="","",MARÍTIMOS[[#This Row],[RUC]]),"")</f>
        <v/>
      </c>
      <c r="J1075" s="2" t="str">
        <f>IFERROR(IF(MARÍTIMOS[[#This Row],[Placa Tracto]]="","",MARÍTIMOS[[#This Row],[Placa Tracto]]),"")</f>
        <v/>
      </c>
      <c r="K1075" s="2" t="str">
        <f>IFERROR(IF(MARÍTIMOS[[#This Row],[Placa Carreta]]="","",MARÍTIMOS[[#This Row],[Placa Carreta]]),"")</f>
        <v/>
      </c>
      <c r="L1075" s="44" t="str">
        <f>IFERROR(IF(MARÍTIMOS[[#This Row],[Conductor]]="","",MARÍTIMOS[[#This Row],[Conductor]]),"")</f>
        <v/>
      </c>
      <c r="M1075" s="2" t="str">
        <f>IFERROR(IF(MARÍTIMOS[[#This Row],[Licencia]]="","",MARÍTIMOS[[#This Row],[Licencia]]),"")</f>
        <v/>
      </c>
      <c r="N1075" s="2" t="str">
        <f>IFERROR(IF(MARÍTIMOS[[#This Row],[Número de Contacto]]="","",MARÍTIMOS[[#This Row],[Número de Contacto]]),"")</f>
        <v/>
      </c>
      <c r="O1075" s="10" t="str">
        <f>IFERROR(IF(MARÍTIMOS[[#This Row],[Booking|AWB|CRT]]="","",MARÍTIMOS[[#This Row],[Booking|AWB|CRT]]),"")</f>
        <v/>
      </c>
      <c r="P1075" s="2" t="str">
        <f>IFERROR(IF(MARÍTIMOS[[#This Row],[Contenedor]]="","",MARÍTIMOS[[#This Row],[Contenedor]]),"")</f>
        <v/>
      </c>
      <c r="Q1075" s="2" t="str">
        <f>IFERROR(IF(MARÍTIMOS[[#This Row],[Puerto de Retiro]]="","",MARÍTIMOS[[#This Row],[Puerto de Retiro]]),"")</f>
        <v/>
      </c>
      <c r="R1075" s="2" t="str">
        <f>IFERROR(IF(MARÍTIMOS[[#This Row],[Almacén de Retiro]]="","",MARÍTIMOS[[#This Row],[Almacén de Retiro]]),"")</f>
        <v/>
      </c>
      <c r="S1075" s="11" t="str">
        <f>IFERROR(IF(MARÍTIMOS[[#This Row],[Etapa Retiro - Cita]]="","",MARÍTIMOS[[#This Row],[Etapa Retiro - Cita]]),"")</f>
        <v/>
      </c>
      <c r="T1075" s="11" t="str">
        <f>IFERROR(IF(MARÍTIMOS[[#This Row],[Etapa Retiro - Llegada]]="","",MARÍTIMOS[[#This Row],[Etapa Retiro - Llegada]]),"")</f>
        <v/>
      </c>
      <c r="U1075" s="11" t="str">
        <f>IFERROR(IF(MARÍTIMOS[[#This Row],[Etapa Retiro - Ingreso]]="","",MARÍTIMOS[[#This Row],[Etapa Retiro - Ingreso]]),"")</f>
        <v/>
      </c>
      <c r="V1075" s="11" t="str">
        <f>IFERROR(IF(MARÍTIMOS[[#This Row],[Etapa Retiro - Atención]]="","",MARÍTIMOS[[#This Row],[Etapa Retiro - Atención]]),"")</f>
        <v/>
      </c>
      <c r="W1075" s="11" t="str">
        <f>IFERROR(IF(MARÍTIMOS[[#This Row],[Etapa Retiro - Atención]]="","",MARÍTIMOS[[#This Row],[Etapa Retiro - Atención]]),"")</f>
        <v/>
      </c>
      <c r="X1075" s="11" t="str">
        <f>IFERROR(IF(MARÍTIMOS[[#This Row],[Etapa Retiro - Inicio de Ruta]]="","",MARÍTIMOS[[#This Row],[Etapa Retiro - Inicio de Ruta]]),"")</f>
        <v/>
      </c>
      <c r="Y1075" s="11" t="str">
        <f>IFERROR(IF(MARÍTIMOS[[#This Row],[Hora de Posicionamiento]]="","",MARÍTIMOS[[#This Row],[Fecha de Carga]]+MARÍTIMOS[[#This Row],[Hora de Posicionamiento]]),"")</f>
        <v/>
      </c>
      <c r="Z1075" s="11" t="str">
        <f>IFERROR(IF(MARÍTIMOS[[#This Row],[Etapa Despacho - Llegada]]="","",MARÍTIMOS[[#This Row],[Etapa Despacho - Llegada]]),"")</f>
        <v/>
      </c>
      <c r="AA1075" s="11" t="str">
        <f>IFERROR(IF(MARÍTIMOS[[#This Row],[Etapa Despacho - Registro]]="","",MARÍTIMOS[[#This Row],[Etapa Despacho - Registro]]),"")</f>
        <v/>
      </c>
      <c r="AB1075" s="11" t="str">
        <f>IFERROR(IF(MARÍTIMOS[[#This Row],[Inspección Externa]]="","",MARÍTIMOS[[#This Row],[Inspección Externa]]),"")</f>
        <v/>
      </c>
      <c r="AC1075" s="11" t="str">
        <f>IFERROR(IF(MARÍTIMOS[[#This Row],[Etapa Despacho - Inicio de Carga]]="","",MARÍTIMOS[[#This Row],[Etapa Despacho - Inicio de Carga]]),"")</f>
        <v/>
      </c>
      <c r="AD1075" s="11" t="str">
        <f>IFERROR(IF(MARÍTIMOS[[#This Row],[Etapa Despacho - Mitad de Carga]]="","",MARÍTIMOS[[#This Row],[Etapa Despacho - Mitad de Carga]]),"")</f>
        <v/>
      </c>
      <c r="AE1075" s="11" t="str">
        <f>IFERROR(IF(MARÍTIMOS[[#This Row],[Etapa Despacho - Fin de Carga]]="","",MARÍTIMOS[[#This Row],[Etapa Despacho - Fin de Carga]]),"")</f>
        <v/>
      </c>
      <c r="AF1075" s="2" t="str">
        <f>IFERROR(IF(MARÍTIMOS[[#This Row],[Puerto de Embarque]]="","",MARÍTIMOS[[#This Row],[Puerto de Embarque]]),"")</f>
        <v/>
      </c>
      <c r="AG1075" s="2" t="str">
        <f>IFERROR(IF(MARÍTIMOS[[#This Row],[Almacén de Ingreso]]="","",MARÍTIMOS[[#This Row],[Almacén de Ingreso]]),"")</f>
        <v/>
      </c>
      <c r="AH1075" s="11" t="str">
        <f>IFERROR(IF(MARÍTIMOS[[#This Row],[Etapa Ingreso - Cita]]="","",MARÍTIMOS[[#This Row],[Etapa Ingreso - Cita]]),"")</f>
        <v/>
      </c>
      <c r="AI1075" s="11" t="str">
        <f>IFERROR(IF(MARÍTIMOS[[#This Row],[Etapa Ingreso - Llegada]]="","",MARÍTIMOS[[#This Row],[Etapa Ingreso - Llegada]]),"")</f>
        <v/>
      </c>
      <c r="AJ1075" s="11" t="str">
        <f>IFERROR(IF(MARÍTIMOS[[#This Row],[Etapa Ingreso - Ingeso]]="","",MARÍTIMOS[[#This Row],[Etapa Ingreso - Ingeso]]),"")</f>
        <v/>
      </c>
      <c r="AK1075" s="11" t="str">
        <f>IFERROR(IF(MARÍTIMOS[[#This Row],[Etapa Ingreso - Atención]]="","",MARÍTIMOS[[#This Row],[Etapa Ingreso - Atención]]),"")</f>
        <v/>
      </c>
      <c r="AL1075" s="11" t="str">
        <f>IFERROR(IF(MARÍTIMOS[[#This Row],[Etapa Ingreso - Salida]]="","",MARÍTIMOS[[#This Row],[Etapa Ingreso - Salida]]),"")</f>
        <v/>
      </c>
      <c r="AM1075" s="2" t="str">
        <f>IFERROR(IF(MARÍTIMOS[[#This Row],[FCL]]="","",MARÍTIMOS[[#This Row],[FCL]]),"")</f>
        <v/>
      </c>
      <c r="AN107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5" s="4" t="str" cm="1">
        <f t="array" ref="AO107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5" s="5" t="str">
        <f>IFERROR(OLDBD[[#This Row],[Llegada a packing]]-OLDBD[[#This Row],[Inicio de Ruta]],"")</f>
        <v/>
      </c>
      <c r="AQ1075" s="6" t="str">
        <f>IFERROR(OLDBD[[#This Row],[Inicio de Ruta]]-OLDBD[[#This Row],[Salida de almacén de retiro]],"")</f>
        <v/>
      </c>
      <c r="AR107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5" s="8" t="str" cm="1">
        <f t="array" ref="AS107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5" s="9" t="str">
        <f>IFERROR(OLDBD[[#This Row],[Ingreso Packing]]-OLDBD[[#This Row],[Registro en Packing]],"")</f>
        <v/>
      </c>
      <c r="AV1075" s="9" t="str">
        <f>IFERROR(OLDBD[[#This Row],[Ingreso Packing]]-OLDBD[[#This Row],[Llegada a packing]],"")</f>
        <v/>
      </c>
      <c r="AW107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5" s="5" t="str">
        <f>IFERROR(OLDBD[[#This Row],[Llegada Almacén de Ingreso]]-OLDBD[[#This Row],[Salida Packing]],"")</f>
        <v/>
      </c>
      <c r="AY1075" s="4" t="str" cm="1">
        <f t="array" ref="AY107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5" s="43" t="s">
        <v>173</v>
      </c>
      <c r="BB1075" s="47" t="str">
        <f>IFERROR(IF(MARÍTIMOS[[#This Row],[Estatus]]="","",MARÍTIMOS[[#This Row],[Estatus]]),"")</f>
        <v/>
      </c>
      <c r="BC1075" s="43"/>
      <c r="BD1075" s="46" t="str">
        <f>IFERROR(OLDBD[[#This Row],[Salida de almacén de retiro]]-OLDBD[[#This Row],[Ingreso Almacén de retiro]],"")</f>
        <v/>
      </c>
      <c r="BE1075" s="46" t="str">
        <f>IFERROR(OLDBD[[#This Row],[Fin de Carga]]-OLDBD[[#This Row],[Inicio de Carga]],"")</f>
        <v/>
      </c>
    </row>
    <row r="1076" spans="1:57" customFormat="1" hidden="1">
      <c r="A1076" s="1"/>
      <c r="B1076" s="1" t="str">
        <f>IFERROR(IF(MARÍTIMOS[[#This Row],[PP]]="","",MARÍTIMOS[[#This Row],[PP]]),"")</f>
        <v/>
      </c>
      <c r="C1076" s="1" t="str">
        <f>IFERROR(IF(MARÍTIMOS[[#This Row],[Sede]]="","",MARÍTIMOS[[#This Row],[Sede]]),"")</f>
        <v/>
      </c>
      <c r="D1076" s="1" t="str">
        <f>IFERROR(IF(MARÍTIMOS[[#This Row],[Instruction]]="","",MARÍTIMOS[[#This Row],[Instruction]]),"")</f>
        <v/>
      </c>
      <c r="E1076" s="1"/>
      <c r="F1076" s="2" t="str">
        <f>IFERROR(IF(MARÍTIMOS[[#This Row],[Transportista]]="","",MARÍTIMOS[[#This Row],[Transportista]]),"")</f>
        <v/>
      </c>
      <c r="G1076" s="2" t="str">
        <f>IFERROR(IF(MARÍTIMOS[[#This Row],[Tercero]]="","",MARÍTIMOS[[#This Row],[Tercero]]),"")</f>
        <v/>
      </c>
      <c r="H1076" s="2" t="str">
        <f>IFERROR(IF(MARÍTIMOS[[#This Row],[Razón Social]]="","",MARÍTIMOS[[#This Row],[Razón Social]]),"")</f>
        <v/>
      </c>
      <c r="I1076" s="2" t="str">
        <f>IFERROR(IF(MARÍTIMOS[[#This Row],[RUC]]="","",MARÍTIMOS[[#This Row],[RUC]]),"")</f>
        <v/>
      </c>
      <c r="J1076" s="2" t="str">
        <f>IFERROR(IF(MARÍTIMOS[[#This Row],[Placa Tracto]]="","",MARÍTIMOS[[#This Row],[Placa Tracto]]),"")</f>
        <v/>
      </c>
      <c r="K1076" s="2" t="str">
        <f>IFERROR(IF(MARÍTIMOS[[#This Row],[Placa Carreta]]="","",MARÍTIMOS[[#This Row],[Placa Carreta]]),"")</f>
        <v/>
      </c>
      <c r="L1076" s="44" t="str">
        <f>IFERROR(IF(MARÍTIMOS[[#This Row],[Conductor]]="","",MARÍTIMOS[[#This Row],[Conductor]]),"")</f>
        <v/>
      </c>
      <c r="M1076" s="2" t="str">
        <f>IFERROR(IF(MARÍTIMOS[[#This Row],[Licencia]]="","",MARÍTIMOS[[#This Row],[Licencia]]),"")</f>
        <v/>
      </c>
      <c r="N1076" s="2" t="str">
        <f>IFERROR(IF(MARÍTIMOS[[#This Row],[Número de Contacto]]="","",MARÍTIMOS[[#This Row],[Número de Contacto]]),"")</f>
        <v/>
      </c>
      <c r="O1076" s="10" t="str">
        <f>IFERROR(IF(MARÍTIMOS[[#This Row],[Booking|AWB|CRT]]="","",MARÍTIMOS[[#This Row],[Booking|AWB|CRT]]),"")</f>
        <v/>
      </c>
      <c r="P1076" s="2" t="str">
        <f>IFERROR(IF(MARÍTIMOS[[#This Row],[Contenedor]]="","",MARÍTIMOS[[#This Row],[Contenedor]]),"")</f>
        <v/>
      </c>
      <c r="Q1076" s="2" t="str">
        <f>IFERROR(IF(MARÍTIMOS[[#This Row],[Puerto de Retiro]]="","",MARÍTIMOS[[#This Row],[Puerto de Retiro]]),"")</f>
        <v/>
      </c>
      <c r="R1076" s="2" t="str">
        <f>IFERROR(IF(MARÍTIMOS[[#This Row],[Almacén de Retiro]]="","",MARÍTIMOS[[#This Row],[Almacén de Retiro]]),"")</f>
        <v/>
      </c>
      <c r="S1076" s="11" t="str">
        <f>IFERROR(IF(MARÍTIMOS[[#This Row],[Etapa Retiro - Cita]]="","",MARÍTIMOS[[#This Row],[Etapa Retiro - Cita]]),"")</f>
        <v/>
      </c>
      <c r="T1076" s="11" t="str">
        <f>IFERROR(IF(MARÍTIMOS[[#This Row],[Etapa Retiro - Llegada]]="","",MARÍTIMOS[[#This Row],[Etapa Retiro - Llegada]]),"")</f>
        <v/>
      </c>
      <c r="U1076" s="11" t="str">
        <f>IFERROR(IF(MARÍTIMOS[[#This Row],[Etapa Retiro - Ingreso]]="","",MARÍTIMOS[[#This Row],[Etapa Retiro - Ingreso]]),"")</f>
        <v/>
      </c>
      <c r="V1076" s="11" t="str">
        <f>IFERROR(IF(MARÍTIMOS[[#This Row],[Etapa Retiro - Atención]]="","",MARÍTIMOS[[#This Row],[Etapa Retiro - Atención]]),"")</f>
        <v/>
      </c>
      <c r="W1076" s="11" t="str">
        <f>IFERROR(IF(MARÍTIMOS[[#This Row],[Etapa Retiro - Atención]]="","",MARÍTIMOS[[#This Row],[Etapa Retiro - Atención]]),"")</f>
        <v/>
      </c>
      <c r="X1076" s="11" t="str">
        <f>IFERROR(IF(MARÍTIMOS[[#This Row],[Etapa Retiro - Inicio de Ruta]]="","",MARÍTIMOS[[#This Row],[Etapa Retiro - Inicio de Ruta]]),"")</f>
        <v/>
      </c>
      <c r="Y1076" s="11" t="str">
        <f>IFERROR(IF(MARÍTIMOS[[#This Row],[Hora de Posicionamiento]]="","",MARÍTIMOS[[#This Row],[Fecha de Carga]]+MARÍTIMOS[[#This Row],[Hora de Posicionamiento]]),"")</f>
        <v/>
      </c>
      <c r="Z1076" s="11" t="str">
        <f>IFERROR(IF(MARÍTIMOS[[#This Row],[Etapa Despacho - Llegada]]="","",MARÍTIMOS[[#This Row],[Etapa Despacho - Llegada]]),"")</f>
        <v/>
      </c>
      <c r="AA1076" s="11" t="str">
        <f>IFERROR(IF(MARÍTIMOS[[#This Row],[Etapa Despacho - Registro]]="","",MARÍTIMOS[[#This Row],[Etapa Despacho - Registro]]),"")</f>
        <v/>
      </c>
      <c r="AB1076" s="11" t="str">
        <f>IFERROR(IF(MARÍTIMOS[[#This Row],[Inspección Externa]]="","",MARÍTIMOS[[#This Row],[Inspección Externa]]),"")</f>
        <v/>
      </c>
      <c r="AC1076" s="11" t="str">
        <f>IFERROR(IF(MARÍTIMOS[[#This Row],[Etapa Despacho - Inicio de Carga]]="","",MARÍTIMOS[[#This Row],[Etapa Despacho - Inicio de Carga]]),"")</f>
        <v/>
      </c>
      <c r="AD1076" s="11" t="str">
        <f>IFERROR(IF(MARÍTIMOS[[#This Row],[Etapa Despacho - Mitad de Carga]]="","",MARÍTIMOS[[#This Row],[Etapa Despacho - Mitad de Carga]]),"")</f>
        <v/>
      </c>
      <c r="AE1076" s="11" t="str">
        <f>IFERROR(IF(MARÍTIMOS[[#This Row],[Etapa Despacho - Fin de Carga]]="","",MARÍTIMOS[[#This Row],[Etapa Despacho - Fin de Carga]]),"")</f>
        <v/>
      </c>
      <c r="AF1076" s="2" t="str">
        <f>IFERROR(IF(MARÍTIMOS[[#This Row],[Puerto de Embarque]]="","",MARÍTIMOS[[#This Row],[Puerto de Embarque]]),"")</f>
        <v/>
      </c>
      <c r="AG1076" s="2" t="str">
        <f>IFERROR(IF(MARÍTIMOS[[#This Row],[Almacén de Ingreso]]="","",MARÍTIMOS[[#This Row],[Almacén de Ingreso]]),"")</f>
        <v/>
      </c>
      <c r="AH1076" s="11" t="str">
        <f>IFERROR(IF(MARÍTIMOS[[#This Row],[Etapa Ingreso - Cita]]="","",MARÍTIMOS[[#This Row],[Etapa Ingreso - Cita]]),"")</f>
        <v/>
      </c>
      <c r="AI1076" s="11" t="str">
        <f>IFERROR(IF(MARÍTIMOS[[#This Row],[Etapa Ingreso - Llegada]]="","",MARÍTIMOS[[#This Row],[Etapa Ingreso - Llegada]]),"")</f>
        <v/>
      </c>
      <c r="AJ1076" s="11" t="str">
        <f>IFERROR(IF(MARÍTIMOS[[#This Row],[Etapa Ingreso - Ingeso]]="","",MARÍTIMOS[[#This Row],[Etapa Ingreso - Ingeso]]),"")</f>
        <v/>
      </c>
      <c r="AK1076" s="11" t="str">
        <f>IFERROR(IF(MARÍTIMOS[[#This Row],[Etapa Ingreso - Atención]]="","",MARÍTIMOS[[#This Row],[Etapa Ingreso - Atención]]),"")</f>
        <v/>
      </c>
      <c r="AL1076" s="11" t="str">
        <f>IFERROR(IF(MARÍTIMOS[[#This Row],[Etapa Ingreso - Salida]]="","",MARÍTIMOS[[#This Row],[Etapa Ingreso - Salida]]),"")</f>
        <v/>
      </c>
      <c r="AM1076" s="2" t="str">
        <f>IFERROR(IF(MARÍTIMOS[[#This Row],[FCL]]="","",MARÍTIMOS[[#This Row],[FCL]]),"")</f>
        <v/>
      </c>
      <c r="AN107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6" s="4" t="str" cm="1">
        <f t="array" ref="AO107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6" s="5" t="str">
        <f>IFERROR(OLDBD[[#This Row],[Llegada a packing]]-OLDBD[[#This Row],[Inicio de Ruta]],"")</f>
        <v/>
      </c>
      <c r="AQ1076" s="6" t="str">
        <f>IFERROR(OLDBD[[#This Row],[Inicio de Ruta]]-OLDBD[[#This Row],[Salida de almacén de retiro]],"")</f>
        <v/>
      </c>
      <c r="AR107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6" s="8" t="str" cm="1">
        <f t="array" ref="AS107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6" s="9" t="str">
        <f>IFERROR(OLDBD[[#This Row],[Ingreso Packing]]-OLDBD[[#This Row],[Registro en Packing]],"")</f>
        <v/>
      </c>
      <c r="AV1076" s="9" t="str">
        <f>IFERROR(OLDBD[[#This Row],[Ingreso Packing]]-OLDBD[[#This Row],[Llegada a packing]],"")</f>
        <v/>
      </c>
      <c r="AW107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6" s="5" t="str">
        <f>IFERROR(OLDBD[[#This Row],[Llegada Almacén de Ingreso]]-OLDBD[[#This Row],[Salida Packing]],"")</f>
        <v/>
      </c>
      <c r="AY1076" s="4" t="str" cm="1">
        <f t="array" ref="AY107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6" s="43" t="s">
        <v>173</v>
      </c>
      <c r="BB1076" s="47" t="str">
        <f>IFERROR(IF(MARÍTIMOS[[#This Row],[Estatus]]="","",MARÍTIMOS[[#This Row],[Estatus]]),"")</f>
        <v/>
      </c>
      <c r="BC1076" s="43"/>
      <c r="BD1076" s="46" t="str">
        <f>IFERROR(OLDBD[[#This Row],[Salida de almacén de retiro]]-OLDBD[[#This Row],[Ingreso Almacén de retiro]],"")</f>
        <v/>
      </c>
      <c r="BE1076" s="46" t="str">
        <f>IFERROR(OLDBD[[#This Row],[Fin de Carga]]-OLDBD[[#This Row],[Inicio de Carga]],"")</f>
        <v/>
      </c>
    </row>
    <row r="1077" spans="1:57" customFormat="1" hidden="1">
      <c r="A1077" s="1"/>
      <c r="B1077" s="1" t="str">
        <f>IFERROR(IF(MARÍTIMOS[[#This Row],[PP]]="","",MARÍTIMOS[[#This Row],[PP]]),"")</f>
        <v/>
      </c>
      <c r="C1077" s="1" t="str">
        <f>IFERROR(IF(MARÍTIMOS[[#This Row],[Sede]]="","",MARÍTIMOS[[#This Row],[Sede]]),"")</f>
        <v/>
      </c>
      <c r="D1077" s="1" t="str">
        <f>IFERROR(IF(MARÍTIMOS[[#This Row],[Instruction]]="","",MARÍTIMOS[[#This Row],[Instruction]]),"")</f>
        <v/>
      </c>
      <c r="E1077" s="1"/>
      <c r="F1077" s="2" t="str">
        <f>IFERROR(IF(MARÍTIMOS[[#This Row],[Transportista]]="","",MARÍTIMOS[[#This Row],[Transportista]]),"")</f>
        <v/>
      </c>
      <c r="G1077" s="2" t="str">
        <f>IFERROR(IF(MARÍTIMOS[[#This Row],[Tercero]]="","",MARÍTIMOS[[#This Row],[Tercero]]),"")</f>
        <v/>
      </c>
      <c r="H1077" s="2" t="str">
        <f>IFERROR(IF(MARÍTIMOS[[#This Row],[Razón Social]]="","",MARÍTIMOS[[#This Row],[Razón Social]]),"")</f>
        <v/>
      </c>
      <c r="I1077" s="2" t="str">
        <f>IFERROR(IF(MARÍTIMOS[[#This Row],[RUC]]="","",MARÍTIMOS[[#This Row],[RUC]]),"")</f>
        <v/>
      </c>
      <c r="J1077" s="2" t="str">
        <f>IFERROR(IF(MARÍTIMOS[[#This Row],[Placa Tracto]]="","",MARÍTIMOS[[#This Row],[Placa Tracto]]),"")</f>
        <v/>
      </c>
      <c r="K1077" s="2" t="str">
        <f>IFERROR(IF(MARÍTIMOS[[#This Row],[Placa Carreta]]="","",MARÍTIMOS[[#This Row],[Placa Carreta]]),"")</f>
        <v/>
      </c>
      <c r="L1077" s="44" t="str">
        <f>IFERROR(IF(MARÍTIMOS[[#This Row],[Conductor]]="","",MARÍTIMOS[[#This Row],[Conductor]]),"")</f>
        <v/>
      </c>
      <c r="M1077" s="2" t="str">
        <f>IFERROR(IF(MARÍTIMOS[[#This Row],[Licencia]]="","",MARÍTIMOS[[#This Row],[Licencia]]),"")</f>
        <v/>
      </c>
      <c r="N1077" s="2" t="str">
        <f>IFERROR(IF(MARÍTIMOS[[#This Row],[Número de Contacto]]="","",MARÍTIMOS[[#This Row],[Número de Contacto]]),"")</f>
        <v/>
      </c>
      <c r="O1077" s="10" t="str">
        <f>IFERROR(IF(MARÍTIMOS[[#This Row],[Booking|AWB|CRT]]="","",MARÍTIMOS[[#This Row],[Booking|AWB|CRT]]),"")</f>
        <v/>
      </c>
      <c r="P1077" s="2" t="str">
        <f>IFERROR(IF(MARÍTIMOS[[#This Row],[Contenedor]]="","",MARÍTIMOS[[#This Row],[Contenedor]]),"")</f>
        <v/>
      </c>
      <c r="Q1077" s="2" t="str">
        <f>IFERROR(IF(MARÍTIMOS[[#This Row],[Puerto de Retiro]]="","",MARÍTIMOS[[#This Row],[Puerto de Retiro]]),"")</f>
        <v/>
      </c>
      <c r="R1077" s="2" t="str">
        <f>IFERROR(IF(MARÍTIMOS[[#This Row],[Almacén de Retiro]]="","",MARÍTIMOS[[#This Row],[Almacén de Retiro]]),"")</f>
        <v/>
      </c>
      <c r="S1077" s="11" t="str">
        <f>IFERROR(IF(MARÍTIMOS[[#This Row],[Etapa Retiro - Cita]]="","",MARÍTIMOS[[#This Row],[Etapa Retiro - Cita]]),"")</f>
        <v/>
      </c>
      <c r="T1077" s="11" t="str">
        <f>IFERROR(IF(MARÍTIMOS[[#This Row],[Etapa Retiro - Llegada]]="","",MARÍTIMOS[[#This Row],[Etapa Retiro - Llegada]]),"")</f>
        <v/>
      </c>
      <c r="U1077" s="11" t="str">
        <f>IFERROR(IF(MARÍTIMOS[[#This Row],[Etapa Retiro - Ingreso]]="","",MARÍTIMOS[[#This Row],[Etapa Retiro - Ingreso]]),"")</f>
        <v/>
      </c>
      <c r="V1077" s="11" t="str">
        <f>IFERROR(IF(MARÍTIMOS[[#This Row],[Etapa Retiro - Atención]]="","",MARÍTIMOS[[#This Row],[Etapa Retiro - Atención]]),"")</f>
        <v/>
      </c>
      <c r="W1077" s="11" t="str">
        <f>IFERROR(IF(MARÍTIMOS[[#This Row],[Etapa Retiro - Atención]]="","",MARÍTIMOS[[#This Row],[Etapa Retiro - Atención]]),"")</f>
        <v/>
      </c>
      <c r="X1077" s="11" t="str">
        <f>IFERROR(IF(MARÍTIMOS[[#This Row],[Etapa Retiro - Inicio de Ruta]]="","",MARÍTIMOS[[#This Row],[Etapa Retiro - Inicio de Ruta]]),"")</f>
        <v/>
      </c>
      <c r="Y1077" s="11" t="str">
        <f>IFERROR(IF(MARÍTIMOS[[#This Row],[Hora de Posicionamiento]]="","",MARÍTIMOS[[#This Row],[Fecha de Carga]]+MARÍTIMOS[[#This Row],[Hora de Posicionamiento]]),"")</f>
        <v/>
      </c>
      <c r="Z1077" s="11" t="str">
        <f>IFERROR(IF(MARÍTIMOS[[#This Row],[Etapa Despacho - Llegada]]="","",MARÍTIMOS[[#This Row],[Etapa Despacho - Llegada]]),"")</f>
        <v/>
      </c>
      <c r="AA1077" s="11" t="str">
        <f>IFERROR(IF(MARÍTIMOS[[#This Row],[Etapa Despacho - Registro]]="","",MARÍTIMOS[[#This Row],[Etapa Despacho - Registro]]),"")</f>
        <v/>
      </c>
      <c r="AB1077" s="11" t="str">
        <f>IFERROR(IF(MARÍTIMOS[[#This Row],[Inspección Externa]]="","",MARÍTIMOS[[#This Row],[Inspección Externa]]),"")</f>
        <v/>
      </c>
      <c r="AC1077" s="11" t="str">
        <f>IFERROR(IF(MARÍTIMOS[[#This Row],[Etapa Despacho - Inicio de Carga]]="","",MARÍTIMOS[[#This Row],[Etapa Despacho - Inicio de Carga]]),"")</f>
        <v/>
      </c>
      <c r="AD1077" s="11" t="str">
        <f>IFERROR(IF(MARÍTIMOS[[#This Row],[Etapa Despacho - Mitad de Carga]]="","",MARÍTIMOS[[#This Row],[Etapa Despacho - Mitad de Carga]]),"")</f>
        <v/>
      </c>
      <c r="AE1077" s="11" t="str">
        <f>IFERROR(IF(MARÍTIMOS[[#This Row],[Etapa Despacho - Fin de Carga]]="","",MARÍTIMOS[[#This Row],[Etapa Despacho - Fin de Carga]]),"")</f>
        <v/>
      </c>
      <c r="AF1077" s="2" t="str">
        <f>IFERROR(IF(MARÍTIMOS[[#This Row],[Puerto de Embarque]]="","",MARÍTIMOS[[#This Row],[Puerto de Embarque]]),"")</f>
        <v/>
      </c>
      <c r="AG1077" s="2" t="str">
        <f>IFERROR(IF(MARÍTIMOS[[#This Row],[Almacén de Ingreso]]="","",MARÍTIMOS[[#This Row],[Almacén de Ingreso]]),"")</f>
        <v/>
      </c>
      <c r="AH1077" s="11" t="str">
        <f>IFERROR(IF(MARÍTIMOS[[#This Row],[Etapa Ingreso - Cita]]="","",MARÍTIMOS[[#This Row],[Etapa Ingreso - Cita]]),"")</f>
        <v/>
      </c>
      <c r="AI1077" s="11" t="str">
        <f>IFERROR(IF(MARÍTIMOS[[#This Row],[Etapa Ingreso - Llegada]]="","",MARÍTIMOS[[#This Row],[Etapa Ingreso - Llegada]]),"")</f>
        <v/>
      </c>
      <c r="AJ1077" s="11" t="str">
        <f>IFERROR(IF(MARÍTIMOS[[#This Row],[Etapa Ingreso - Ingeso]]="","",MARÍTIMOS[[#This Row],[Etapa Ingreso - Ingeso]]),"")</f>
        <v/>
      </c>
      <c r="AK1077" s="11" t="str">
        <f>IFERROR(IF(MARÍTIMOS[[#This Row],[Etapa Ingreso - Atención]]="","",MARÍTIMOS[[#This Row],[Etapa Ingreso - Atención]]),"")</f>
        <v/>
      </c>
      <c r="AL1077" s="11" t="str">
        <f>IFERROR(IF(MARÍTIMOS[[#This Row],[Etapa Ingreso - Salida]]="","",MARÍTIMOS[[#This Row],[Etapa Ingreso - Salida]]),"")</f>
        <v/>
      </c>
      <c r="AM1077" s="2" t="str">
        <f>IFERROR(IF(MARÍTIMOS[[#This Row],[FCL]]="","",MARÍTIMOS[[#This Row],[FCL]]),"")</f>
        <v/>
      </c>
      <c r="AN107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7" s="4" t="str" cm="1">
        <f t="array" ref="AO107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7" s="5" t="str">
        <f>IFERROR(OLDBD[[#This Row],[Llegada a packing]]-OLDBD[[#This Row],[Inicio de Ruta]],"")</f>
        <v/>
      </c>
      <c r="AQ1077" s="6" t="str">
        <f>IFERROR(OLDBD[[#This Row],[Inicio de Ruta]]-OLDBD[[#This Row],[Salida de almacén de retiro]],"")</f>
        <v/>
      </c>
      <c r="AR107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7" s="8" t="str" cm="1">
        <f t="array" ref="AS107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7" s="9" t="str">
        <f>IFERROR(OLDBD[[#This Row],[Ingreso Packing]]-OLDBD[[#This Row],[Registro en Packing]],"")</f>
        <v/>
      </c>
      <c r="AV1077" s="9" t="str">
        <f>IFERROR(OLDBD[[#This Row],[Ingreso Packing]]-OLDBD[[#This Row],[Llegada a packing]],"")</f>
        <v/>
      </c>
      <c r="AW107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7" s="5" t="str">
        <f>IFERROR(OLDBD[[#This Row],[Llegada Almacén de Ingreso]]-OLDBD[[#This Row],[Salida Packing]],"")</f>
        <v/>
      </c>
      <c r="AY1077" s="4" t="str" cm="1">
        <f t="array" ref="AY107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7" s="43" t="s">
        <v>173</v>
      </c>
      <c r="BB1077" s="47" t="str">
        <f>IFERROR(IF(MARÍTIMOS[[#This Row],[Estatus]]="","",MARÍTIMOS[[#This Row],[Estatus]]),"")</f>
        <v/>
      </c>
      <c r="BC1077" s="43"/>
      <c r="BD1077" s="46" t="str">
        <f>IFERROR(OLDBD[[#This Row],[Salida de almacén de retiro]]-OLDBD[[#This Row],[Ingreso Almacén de retiro]],"")</f>
        <v/>
      </c>
      <c r="BE1077" s="46" t="str">
        <f>IFERROR(OLDBD[[#This Row],[Fin de Carga]]-OLDBD[[#This Row],[Inicio de Carga]],"")</f>
        <v/>
      </c>
    </row>
    <row r="1078" spans="1:57" customFormat="1" hidden="1">
      <c r="A1078" s="1"/>
      <c r="B1078" s="1" t="str">
        <f>IFERROR(IF(MARÍTIMOS[[#This Row],[PP]]="","",MARÍTIMOS[[#This Row],[PP]]),"")</f>
        <v/>
      </c>
      <c r="C1078" s="1" t="str">
        <f>IFERROR(IF(MARÍTIMOS[[#This Row],[Sede]]="","",MARÍTIMOS[[#This Row],[Sede]]),"")</f>
        <v/>
      </c>
      <c r="D1078" s="1" t="str">
        <f>IFERROR(IF(MARÍTIMOS[[#This Row],[Instruction]]="","",MARÍTIMOS[[#This Row],[Instruction]]),"")</f>
        <v/>
      </c>
      <c r="E1078" s="1"/>
      <c r="F1078" s="2" t="str">
        <f>IFERROR(IF(MARÍTIMOS[[#This Row],[Transportista]]="","",MARÍTIMOS[[#This Row],[Transportista]]),"")</f>
        <v/>
      </c>
      <c r="G1078" s="2" t="str">
        <f>IFERROR(IF(MARÍTIMOS[[#This Row],[Tercero]]="","",MARÍTIMOS[[#This Row],[Tercero]]),"")</f>
        <v/>
      </c>
      <c r="H1078" s="2" t="str">
        <f>IFERROR(IF(MARÍTIMOS[[#This Row],[Razón Social]]="","",MARÍTIMOS[[#This Row],[Razón Social]]),"")</f>
        <v/>
      </c>
      <c r="I1078" s="2" t="str">
        <f>IFERROR(IF(MARÍTIMOS[[#This Row],[RUC]]="","",MARÍTIMOS[[#This Row],[RUC]]),"")</f>
        <v/>
      </c>
      <c r="J1078" s="2" t="str">
        <f>IFERROR(IF(MARÍTIMOS[[#This Row],[Placa Tracto]]="","",MARÍTIMOS[[#This Row],[Placa Tracto]]),"")</f>
        <v/>
      </c>
      <c r="K1078" s="2" t="str">
        <f>IFERROR(IF(MARÍTIMOS[[#This Row],[Placa Carreta]]="","",MARÍTIMOS[[#This Row],[Placa Carreta]]),"")</f>
        <v/>
      </c>
      <c r="L1078" s="44" t="str">
        <f>IFERROR(IF(MARÍTIMOS[[#This Row],[Conductor]]="","",MARÍTIMOS[[#This Row],[Conductor]]),"")</f>
        <v/>
      </c>
      <c r="M1078" s="2" t="str">
        <f>IFERROR(IF(MARÍTIMOS[[#This Row],[Licencia]]="","",MARÍTIMOS[[#This Row],[Licencia]]),"")</f>
        <v/>
      </c>
      <c r="N1078" s="2" t="str">
        <f>IFERROR(IF(MARÍTIMOS[[#This Row],[Número de Contacto]]="","",MARÍTIMOS[[#This Row],[Número de Contacto]]),"")</f>
        <v/>
      </c>
      <c r="O1078" s="10" t="str">
        <f>IFERROR(IF(MARÍTIMOS[[#This Row],[Booking|AWB|CRT]]="","",MARÍTIMOS[[#This Row],[Booking|AWB|CRT]]),"")</f>
        <v/>
      </c>
      <c r="P1078" s="2" t="str">
        <f>IFERROR(IF(MARÍTIMOS[[#This Row],[Contenedor]]="","",MARÍTIMOS[[#This Row],[Contenedor]]),"")</f>
        <v/>
      </c>
      <c r="Q1078" s="2" t="str">
        <f>IFERROR(IF(MARÍTIMOS[[#This Row],[Puerto de Retiro]]="","",MARÍTIMOS[[#This Row],[Puerto de Retiro]]),"")</f>
        <v/>
      </c>
      <c r="R1078" s="2" t="str">
        <f>IFERROR(IF(MARÍTIMOS[[#This Row],[Almacén de Retiro]]="","",MARÍTIMOS[[#This Row],[Almacén de Retiro]]),"")</f>
        <v/>
      </c>
      <c r="S1078" s="11" t="str">
        <f>IFERROR(IF(MARÍTIMOS[[#This Row],[Etapa Retiro - Cita]]="","",MARÍTIMOS[[#This Row],[Etapa Retiro - Cita]]),"")</f>
        <v/>
      </c>
      <c r="T1078" s="11" t="str">
        <f>IFERROR(IF(MARÍTIMOS[[#This Row],[Etapa Retiro - Llegada]]="","",MARÍTIMOS[[#This Row],[Etapa Retiro - Llegada]]),"")</f>
        <v/>
      </c>
      <c r="U1078" s="11" t="str">
        <f>IFERROR(IF(MARÍTIMOS[[#This Row],[Etapa Retiro - Ingreso]]="","",MARÍTIMOS[[#This Row],[Etapa Retiro - Ingreso]]),"")</f>
        <v/>
      </c>
      <c r="V1078" s="11" t="str">
        <f>IFERROR(IF(MARÍTIMOS[[#This Row],[Etapa Retiro - Atención]]="","",MARÍTIMOS[[#This Row],[Etapa Retiro - Atención]]),"")</f>
        <v/>
      </c>
      <c r="W1078" s="11" t="str">
        <f>IFERROR(IF(MARÍTIMOS[[#This Row],[Etapa Retiro - Atención]]="","",MARÍTIMOS[[#This Row],[Etapa Retiro - Atención]]),"")</f>
        <v/>
      </c>
      <c r="X1078" s="11" t="str">
        <f>IFERROR(IF(MARÍTIMOS[[#This Row],[Etapa Retiro - Inicio de Ruta]]="","",MARÍTIMOS[[#This Row],[Etapa Retiro - Inicio de Ruta]]),"")</f>
        <v/>
      </c>
      <c r="Y1078" s="11" t="str">
        <f>IFERROR(IF(MARÍTIMOS[[#This Row],[Hora de Posicionamiento]]="","",MARÍTIMOS[[#This Row],[Fecha de Carga]]+MARÍTIMOS[[#This Row],[Hora de Posicionamiento]]),"")</f>
        <v/>
      </c>
      <c r="Z1078" s="11" t="str">
        <f>IFERROR(IF(MARÍTIMOS[[#This Row],[Etapa Despacho - Llegada]]="","",MARÍTIMOS[[#This Row],[Etapa Despacho - Llegada]]),"")</f>
        <v/>
      </c>
      <c r="AA1078" s="11" t="str">
        <f>IFERROR(IF(MARÍTIMOS[[#This Row],[Etapa Despacho - Registro]]="","",MARÍTIMOS[[#This Row],[Etapa Despacho - Registro]]),"")</f>
        <v/>
      </c>
      <c r="AB1078" s="11" t="str">
        <f>IFERROR(IF(MARÍTIMOS[[#This Row],[Inspección Externa]]="","",MARÍTIMOS[[#This Row],[Inspección Externa]]),"")</f>
        <v/>
      </c>
      <c r="AC1078" s="11" t="str">
        <f>IFERROR(IF(MARÍTIMOS[[#This Row],[Etapa Despacho - Inicio de Carga]]="","",MARÍTIMOS[[#This Row],[Etapa Despacho - Inicio de Carga]]),"")</f>
        <v/>
      </c>
      <c r="AD1078" s="11" t="str">
        <f>IFERROR(IF(MARÍTIMOS[[#This Row],[Etapa Despacho - Mitad de Carga]]="","",MARÍTIMOS[[#This Row],[Etapa Despacho - Mitad de Carga]]),"")</f>
        <v/>
      </c>
      <c r="AE1078" s="11" t="str">
        <f>IFERROR(IF(MARÍTIMOS[[#This Row],[Etapa Despacho - Fin de Carga]]="","",MARÍTIMOS[[#This Row],[Etapa Despacho - Fin de Carga]]),"")</f>
        <v/>
      </c>
      <c r="AF1078" s="2" t="str">
        <f>IFERROR(IF(MARÍTIMOS[[#This Row],[Puerto de Embarque]]="","",MARÍTIMOS[[#This Row],[Puerto de Embarque]]),"")</f>
        <v/>
      </c>
      <c r="AG1078" s="2" t="str">
        <f>IFERROR(IF(MARÍTIMOS[[#This Row],[Almacén de Ingreso]]="","",MARÍTIMOS[[#This Row],[Almacén de Ingreso]]),"")</f>
        <v/>
      </c>
      <c r="AH1078" s="11" t="str">
        <f>IFERROR(IF(MARÍTIMOS[[#This Row],[Etapa Ingreso - Cita]]="","",MARÍTIMOS[[#This Row],[Etapa Ingreso - Cita]]),"")</f>
        <v/>
      </c>
      <c r="AI1078" s="11" t="str">
        <f>IFERROR(IF(MARÍTIMOS[[#This Row],[Etapa Ingreso - Llegada]]="","",MARÍTIMOS[[#This Row],[Etapa Ingreso - Llegada]]),"")</f>
        <v/>
      </c>
      <c r="AJ1078" s="11" t="str">
        <f>IFERROR(IF(MARÍTIMOS[[#This Row],[Etapa Ingreso - Ingeso]]="","",MARÍTIMOS[[#This Row],[Etapa Ingreso - Ingeso]]),"")</f>
        <v/>
      </c>
      <c r="AK1078" s="11" t="str">
        <f>IFERROR(IF(MARÍTIMOS[[#This Row],[Etapa Ingreso - Atención]]="","",MARÍTIMOS[[#This Row],[Etapa Ingreso - Atención]]),"")</f>
        <v/>
      </c>
      <c r="AL1078" s="11" t="str">
        <f>IFERROR(IF(MARÍTIMOS[[#This Row],[Etapa Ingreso - Salida]]="","",MARÍTIMOS[[#This Row],[Etapa Ingreso - Salida]]),"")</f>
        <v/>
      </c>
      <c r="AM1078" s="2" t="str">
        <f>IFERROR(IF(MARÍTIMOS[[#This Row],[FCL]]="","",MARÍTIMOS[[#This Row],[FCL]]),"")</f>
        <v/>
      </c>
      <c r="AN107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8" s="4" t="str" cm="1">
        <f t="array" ref="AO107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8" s="5" t="str">
        <f>IFERROR(OLDBD[[#This Row],[Llegada a packing]]-OLDBD[[#This Row],[Inicio de Ruta]],"")</f>
        <v/>
      </c>
      <c r="AQ1078" s="6" t="str">
        <f>IFERROR(OLDBD[[#This Row],[Inicio de Ruta]]-OLDBD[[#This Row],[Salida de almacén de retiro]],"")</f>
        <v/>
      </c>
      <c r="AR107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8" s="8" t="str" cm="1">
        <f t="array" ref="AS107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8" s="9" t="str">
        <f>IFERROR(OLDBD[[#This Row],[Ingreso Packing]]-OLDBD[[#This Row],[Registro en Packing]],"")</f>
        <v/>
      </c>
      <c r="AV1078" s="9" t="str">
        <f>IFERROR(OLDBD[[#This Row],[Ingreso Packing]]-OLDBD[[#This Row],[Llegada a packing]],"")</f>
        <v/>
      </c>
      <c r="AW107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8" s="5" t="str">
        <f>IFERROR(OLDBD[[#This Row],[Llegada Almacén de Ingreso]]-OLDBD[[#This Row],[Salida Packing]],"")</f>
        <v/>
      </c>
      <c r="AY1078" s="4" t="str" cm="1">
        <f t="array" ref="AY107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8" s="43" t="s">
        <v>173</v>
      </c>
      <c r="BB1078" s="47" t="str">
        <f>IFERROR(IF(MARÍTIMOS[[#This Row],[Estatus]]="","",MARÍTIMOS[[#This Row],[Estatus]]),"")</f>
        <v/>
      </c>
      <c r="BC1078" s="43"/>
      <c r="BD1078" s="46" t="str">
        <f>IFERROR(OLDBD[[#This Row],[Salida de almacén de retiro]]-OLDBD[[#This Row],[Ingreso Almacén de retiro]],"")</f>
        <v/>
      </c>
      <c r="BE1078" s="46" t="str">
        <f>IFERROR(OLDBD[[#This Row],[Fin de Carga]]-OLDBD[[#This Row],[Inicio de Carga]],"")</f>
        <v/>
      </c>
    </row>
    <row r="1079" spans="1:57" customFormat="1" hidden="1">
      <c r="A1079" s="1"/>
      <c r="B1079" s="1" t="str">
        <f>IFERROR(IF(MARÍTIMOS[[#This Row],[PP]]="","",MARÍTIMOS[[#This Row],[PP]]),"")</f>
        <v/>
      </c>
      <c r="C1079" s="1" t="str">
        <f>IFERROR(IF(MARÍTIMOS[[#This Row],[Sede]]="","",MARÍTIMOS[[#This Row],[Sede]]),"")</f>
        <v/>
      </c>
      <c r="D1079" s="1" t="str">
        <f>IFERROR(IF(MARÍTIMOS[[#This Row],[Instruction]]="","",MARÍTIMOS[[#This Row],[Instruction]]),"")</f>
        <v/>
      </c>
      <c r="E1079" s="1"/>
      <c r="F1079" s="2" t="str">
        <f>IFERROR(IF(MARÍTIMOS[[#This Row],[Transportista]]="","",MARÍTIMOS[[#This Row],[Transportista]]),"")</f>
        <v/>
      </c>
      <c r="G1079" s="2" t="str">
        <f>IFERROR(IF(MARÍTIMOS[[#This Row],[Tercero]]="","",MARÍTIMOS[[#This Row],[Tercero]]),"")</f>
        <v/>
      </c>
      <c r="H1079" s="2" t="str">
        <f>IFERROR(IF(MARÍTIMOS[[#This Row],[Razón Social]]="","",MARÍTIMOS[[#This Row],[Razón Social]]),"")</f>
        <v/>
      </c>
      <c r="I1079" s="2" t="str">
        <f>IFERROR(IF(MARÍTIMOS[[#This Row],[RUC]]="","",MARÍTIMOS[[#This Row],[RUC]]),"")</f>
        <v/>
      </c>
      <c r="J1079" s="2" t="str">
        <f>IFERROR(IF(MARÍTIMOS[[#This Row],[Placa Tracto]]="","",MARÍTIMOS[[#This Row],[Placa Tracto]]),"")</f>
        <v/>
      </c>
      <c r="K1079" s="2" t="str">
        <f>IFERROR(IF(MARÍTIMOS[[#This Row],[Placa Carreta]]="","",MARÍTIMOS[[#This Row],[Placa Carreta]]),"")</f>
        <v/>
      </c>
      <c r="L1079" s="44" t="str">
        <f>IFERROR(IF(MARÍTIMOS[[#This Row],[Conductor]]="","",MARÍTIMOS[[#This Row],[Conductor]]),"")</f>
        <v/>
      </c>
      <c r="M1079" s="2" t="str">
        <f>IFERROR(IF(MARÍTIMOS[[#This Row],[Licencia]]="","",MARÍTIMOS[[#This Row],[Licencia]]),"")</f>
        <v/>
      </c>
      <c r="N1079" s="2" t="str">
        <f>IFERROR(IF(MARÍTIMOS[[#This Row],[Número de Contacto]]="","",MARÍTIMOS[[#This Row],[Número de Contacto]]),"")</f>
        <v/>
      </c>
      <c r="O1079" s="10" t="str">
        <f>IFERROR(IF(MARÍTIMOS[[#This Row],[Booking|AWB|CRT]]="","",MARÍTIMOS[[#This Row],[Booking|AWB|CRT]]),"")</f>
        <v/>
      </c>
      <c r="P1079" s="2" t="str">
        <f>IFERROR(IF(MARÍTIMOS[[#This Row],[Contenedor]]="","",MARÍTIMOS[[#This Row],[Contenedor]]),"")</f>
        <v/>
      </c>
      <c r="Q1079" s="2" t="str">
        <f>IFERROR(IF(MARÍTIMOS[[#This Row],[Puerto de Retiro]]="","",MARÍTIMOS[[#This Row],[Puerto de Retiro]]),"")</f>
        <v/>
      </c>
      <c r="R1079" s="2" t="str">
        <f>IFERROR(IF(MARÍTIMOS[[#This Row],[Almacén de Retiro]]="","",MARÍTIMOS[[#This Row],[Almacén de Retiro]]),"")</f>
        <v/>
      </c>
      <c r="S1079" s="11" t="str">
        <f>IFERROR(IF(MARÍTIMOS[[#This Row],[Etapa Retiro - Cita]]="","",MARÍTIMOS[[#This Row],[Etapa Retiro - Cita]]),"")</f>
        <v/>
      </c>
      <c r="T1079" s="11" t="str">
        <f>IFERROR(IF(MARÍTIMOS[[#This Row],[Etapa Retiro - Llegada]]="","",MARÍTIMOS[[#This Row],[Etapa Retiro - Llegada]]),"")</f>
        <v/>
      </c>
      <c r="U1079" s="11" t="str">
        <f>IFERROR(IF(MARÍTIMOS[[#This Row],[Etapa Retiro - Ingreso]]="","",MARÍTIMOS[[#This Row],[Etapa Retiro - Ingreso]]),"")</f>
        <v/>
      </c>
      <c r="V1079" s="11" t="str">
        <f>IFERROR(IF(MARÍTIMOS[[#This Row],[Etapa Retiro - Atención]]="","",MARÍTIMOS[[#This Row],[Etapa Retiro - Atención]]),"")</f>
        <v/>
      </c>
      <c r="W1079" s="11" t="str">
        <f>IFERROR(IF(MARÍTIMOS[[#This Row],[Etapa Retiro - Atención]]="","",MARÍTIMOS[[#This Row],[Etapa Retiro - Atención]]),"")</f>
        <v/>
      </c>
      <c r="X1079" s="11" t="str">
        <f>IFERROR(IF(MARÍTIMOS[[#This Row],[Etapa Retiro - Inicio de Ruta]]="","",MARÍTIMOS[[#This Row],[Etapa Retiro - Inicio de Ruta]]),"")</f>
        <v/>
      </c>
      <c r="Y1079" s="11" t="str">
        <f>IFERROR(IF(MARÍTIMOS[[#This Row],[Hora de Posicionamiento]]="","",MARÍTIMOS[[#This Row],[Fecha de Carga]]+MARÍTIMOS[[#This Row],[Hora de Posicionamiento]]),"")</f>
        <v/>
      </c>
      <c r="Z1079" s="11" t="str">
        <f>IFERROR(IF(MARÍTIMOS[[#This Row],[Etapa Despacho - Llegada]]="","",MARÍTIMOS[[#This Row],[Etapa Despacho - Llegada]]),"")</f>
        <v/>
      </c>
      <c r="AA1079" s="11" t="str">
        <f>IFERROR(IF(MARÍTIMOS[[#This Row],[Etapa Despacho - Registro]]="","",MARÍTIMOS[[#This Row],[Etapa Despacho - Registro]]),"")</f>
        <v/>
      </c>
      <c r="AB1079" s="11" t="str">
        <f>IFERROR(IF(MARÍTIMOS[[#This Row],[Inspección Externa]]="","",MARÍTIMOS[[#This Row],[Inspección Externa]]),"")</f>
        <v/>
      </c>
      <c r="AC1079" s="11" t="str">
        <f>IFERROR(IF(MARÍTIMOS[[#This Row],[Etapa Despacho - Inicio de Carga]]="","",MARÍTIMOS[[#This Row],[Etapa Despacho - Inicio de Carga]]),"")</f>
        <v/>
      </c>
      <c r="AD1079" s="11" t="str">
        <f>IFERROR(IF(MARÍTIMOS[[#This Row],[Etapa Despacho - Mitad de Carga]]="","",MARÍTIMOS[[#This Row],[Etapa Despacho - Mitad de Carga]]),"")</f>
        <v/>
      </c>
      <c r="AE1079" s="11" t="str">
        <f>IFERROR(IF(MARÍTIMOS[[#This Row],[Etapa Despacho - Fin de Carga]]="","",MARÍTIMOS[[#This Row],[Etapa Despacho - Fin de Carga]]),"")</f>
        <v/>
      </c>
      <c r="AF1079" s="2" t="str">
        <f>IFERROR(IF(MARÍTIMOS[[#This Row],[Puerto de Embarque]]="","",MARÍTIMOS[[#This Row],[Puerto de Embarque]]),"")</f>
        <v/>
      </c>
      <c r="AG1079" s="2" t="str">
        <f>IFERROR(IF(MARÍTIMOS[[#This Row],[Almacén de Ingreso]]="","",MARÍTIMOS[[#This Row],[Almacén de Ingreso]]),"")</f>
        <v/>
      </c>
      <c r="AH1079" s="11" t="str">
        <f>IFERROR(IF(MARÍTIMOS[[#This Row],[Etapa Ingreso - Cita]]="","",MARÍTIMOS[[#This Row],[Etapa Ingreso - Cita]]),"")</f>
        <v/>
      </c>
      <c r="AI1079" s="11" t="str">
        <f>IFERROR(IF(MARÍTIMOS[[#This Row],[Etapa Ingreso - Llegada]]="","",MARÍTIMOS[[#This Row],[Etapa Ingreso - Llegada]]),"")</f>
        <v/>
      </c>
      <c r="AJ1079" s="11" t="str">
        <f>IFERROR(IF(MARÍTIMOS[[#This Row],[Etapa Ingreso - Ingeso]]="","",MARÍTIMOS[[#This Row],[Etapa Ingreso - Ingeso]]),"")</f>
        <v/>
      </c>
      <c r="AK1079" s="11" t="str">
        <f>IFERROR(IF(MARÍTIMOS[[#This Row],[Etapa Ingreso - Atención]]="","",MARÍTIMOS[[#This Row],[Etapa Ingreso - Atención]]),"")</f>
        <v/>
      </c>
      <c r="AL1079" s="11" t="str">
        <f>IFERROR(IF(MARÍTIMOS[[#This Row],[Etapa Ingreso - Salida]]="","",MARÍTIMOS[[#This Row],[Etapa Ingreso - Salida]]),"")</f>
        <v/>
      </c>
      <c r="AM1079" s="2" t="str">
        <f>IFERROR(IF(MARÍTIMOS[[#This Row],[FCL]]="","",MARÍTIMOS[[#This Row],[FCL]]),"")</f>
        <v/>
      </c>
      <c r="AN107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79" s="4" t="str" cm="1">
        <f t="array" ref="AO107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79" s="5" t="str">
        <f>IFERROR(OLDBD[[#This Row],[Llegada a packing]]-OLDBD[[#This Row],[Inicio de Ruta]],"")</f>
        <v/>
      </c>
      <c r="AQ1079" s="6" t="str">
        <f>IFERROR(OLDBD[[#This Row],[Inicio de Ruta]]-OLDBD[[#This Row],[Salida de almacén de retiro]],"")</f>
        <v/>
      </c>
      <c r="AR107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79" s="8" t="str" cm="1">
        <f t="array" ref="AS107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7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79" s="9" t="str">
        <f>IFERROR(OLDBD[[#This Row],[Ingreso Packing]]-OLDBD[[#This Row],[Registro en Packing]],"")</f>
        <v/>
      </c>
      <c r="AV1079" s="9" t="str">
        <f>IFERROR(OLDBD[[#This Row],[Ingreso Packing]]-OLDBD[[#This Row],[Llegada a packing]],"")</f>
        <v/>
      </c>
      <c r="AW107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79" s="5" t="str">
        <f>IFERROR(OLDBD[[#This Row],[Llegada Almacén de Ingreso]]-OLDBD[[#This Row],[Salida Packing]],"")</f>
        <v/>
      </c>
      <c r="AY1079" s="4" t="str" cm="1">
        <f t="array" ref="AY107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7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79" s="43" t="s">
        <v>173</v>
      </c>
      <c r="BB1079" s="47" t="str">
        <f>IFERROR(IF(MARÍTIMOS[[#This Row],[Estatus]]="","",MARÍTIMOS[[#This Row],[Estatus]]),"")</f>
        <v/>
      </c>
      <c r="BC1079" s="43"/>
      <c r="BD1079" s="46" t="str">
        <f>IFERROR(OLDBD[[#This Row],[Salida de almacén de retiro]]-OLDBD[[#This Row],[Ingreso Almacén de retiro]],"")</f>
        <v/>
      </c>
      <c r="BE1079" s="46" t="str">
        <f>IFERROR(OLDBD[[#This Row],[Fin de Carga]]-OLDBD[[#This Row],[Inicio de Carga]],"")</f>
        <v/>
      </c>
    </row>
    <row r="1080" spans="1:57" customFormat="1" hidden="1">
      <c r="A1080" s="1"/>
      <c r="B1080" s="1" t="str">
        <f>IFERROR(IF(MARÍTIMOS[[#This Row],[PP]]="","",MARÍTIMOS[[#This Row],[PP]]),"")</f>
        <v/>
      </c>
      <c r="C1080" s="1" t="str">
        <f>IFERROR(IF(MARÍTIMOS[[#This Row],[Sede]]="","",MARÍTIMOS[[#This Row],[Sede]]),"")</f>
        <v/>
      </c>
      <c r="D1080" s="1" t="str">
        <f>IFERROR(IF(MARÍTIMOS[[#This Row],[Instruction]]="","",MARÍTIMOS[[#This Row],[Instruction]]),"")</f>
        <v/>
      </c>
      <c r="E1080" s="1"/>
      <c r="F1080" s="2" t="str">
        <f>IFERROR(IF(MARÍTIMOS[[#This Row],[Transportista]]="","",MARÍTIMOS[[#This Row],[Transportista]]),"")</f>
        <v/>
      </c>
      <c r="G1080" s="2" t="str">
        <f>IFERROR(IF(MARÍTIMOS[[#This Row],[Tercero]]="","",MARÍTIMOS[[#This Row],[Tercero]]),"")</f>
        <v/>
      </c>
      <c r="H1080" s="2" t="str">
        <f>IFERROR(IF(MARÍTIMOS[[#This Row],[Razón Social]]="","",MARÍTIMOS[[#This Row],[Razón Social]]),"")</f>
        <v/>
      </c>
      <c r="I1080" s="2" t="str">
        <f>IFERROR(IF(MARÍTIMOS[[#This Row],[RUC]]="","",MARÍTIMOS[[#This Row],[RUC]]),"")</f>
        <v/>
      </c>
      <c r="J1080" s="2" t="str">
        <f>IFERROR(IF(MARÍTIMOS[[#This Row],[Placa Tracto]]="","",MARÍTIMOS[[#This Row],[Placa Tracto]]),"")</f>
        <v/>
      </c>
      <c r="K1080" s="2" t="str">
        <f>IFERROR(IF(MARÍTIMOS[[#This Row],[Placa Carreta]]="","",MARÍTIMOS[[#This Row],[Placa Carreta]]),"")</f>
        <v/>
      </c>
      <c r="L1080" s="44" t="str">
        <f>IFERROR(IF(MARÍTIMOS[[#This Row],[Conductor]]="","",MARÍTIMOS[[#This Row],[Conductor]]),"")</f>
        <v/>
      </c>
      <c r="M1080" s="2" t="str">
        <f>IFERROR(IF(MARÍTIMOS[[#This Row],[Licencia]]="","",MARÍTIMOS[[#This Row],[Licencia]]),"")</f>
        <v/>
      </c>
      <c r="N1080" s="2" t="str">
        <f>IFERROR(IF(MARÍTIMOS[[#This Row],[Número de Contacto]]="","",MARÍTIMOS[[#This Row],[Número de Contacto]]),"")</f>
        <v/>
      </c>
      <c r="O1080" s="10" t="str">
        <f>IFERROR(IF(MARÍTIMOS[[#This Row],[Booking|AWB|CRT]]="","",MARÍTIMOS[[#This Row],[Booking|AWB|CRT]]),"")</f>
        <v/>
      </c>
      <c r="P1080" s="2" t="str">
        <f>IFERROR(IF(MARÍTIMOS[[#This Row],[Contenedor]]="","",MARÍTIMOS[[#This Row],[Contenedor]]),"")</f>
        <v/>
      </c>
      <c r="Q1080" s="2" t="str">
        <f>IFERROR(IF(MARÍTIMOS[[#This Row],[Puerto de Retiro]]="","",MARÍTIMOS[[#This Row],[Puerto de Retiro]]),"")</f>
        <v/>
      </c>
      <c r="R1080" s="2" t="str">
        <f>IFERROR(IF(MARÍTIMOS[[#This Row],[Almacén de Retiro]]="","",MARÍTIMOS[[#This Row],[Almacén de Retiro]]),"")</f>
        <v/>
      </c>
      <c r="S1080" s="11" t="str">
        <f>IFERROR(IF(MARÍTIMOS[[#This Row],[Etapa Retiro - Cita]]="","",MARÍTIMOS[[#This Row],[Etapa Retiro - Cita]]),"")</f>
        <v/>
      </c>
      <c r="T1080" s="11" t="str">
        <f>IFERROR(IF(MARÍTIMOS[[#This Row],[Etapa Retiro - Llegada]]="","",MARÍTIMOS[[#This Row],[Etapa Retiro - Llegada]]),"")</f>
        <v/>
      </c>
      <c r="U1080" s="11" t="str">
        <f>IFERROR(IF(MARÍTIMOS[[#This Row],[Etapa Retiro - Ingreso]]="","",MARÍTIMOS[[#This Row],[Etapa Retiro - Ingreso]]),"")</f>
        <v/>
      </c>
      <c r="V1080" s="11" t="str">
        <f>IFERROR(IF(MARÍTIMOS[[#This Row],[Etapa Retiro - Atención]]="","",MARÍTIMOS[[#This Row],[Etapa Retiro - Atención]]),"")</f>
        <v/>
      </c>
      <c r="W1080" s="11" t="str">
        <f>IFERROR(IF(MARÍTIMOS[[#This Row],[Etapa Retiro - Atención]]="","",MARÍTIMOS[[#This Row],[Etapa Retiro - Atención]]),"")</f>
        <v/>
      </c>
      <c r="X1080" s="11" t="str">
        <f>IFERROR(IF(MARÍTIMOS[[#This Row],[Etapa Retiro - Inicio de Ruta]]="","",MARÍTIMOS[[#This Row],[Etapa Retiro - Inicio de Ruta]]),"")</f>
        <v/>
      </c>
      <c r="Y1080" s="11" t="str">
        <f>IFERROR(IF(MARÍTIMOS[[#This Row],[Hora de Posicionamiento]]="","",MARÍTIMOS[[#This Row],[Fecha de Carga]]+MARÍTIMOS[[#This Row],[Hora de Posicionamiento]]),"")</f>
        <v/>
      </c>
      <c r="Z1080" s="11" t="str">
        <f>IFERROR(IF(MARÍTIMOS[[#This Row],[Etapa Despacho - Llegada]]="","",MARÍTIMOS[[#This Row],[Etapa Despacho - Llegada]]),"")</f>
        <v/>
      </c>
      <c r="AA1080" s="11" t="str">
        <f>IFERROR(IF(MARÍTIMOS[[#This Row],[Etapa Despacho - Registro]]="","",MARÍTIMOS[[#This Row],[Etapa Despacho - Registro]]),"")</f>
        <v/>
      </c>
      <c r="AB1080" s="11" t="str">
        <f>IFERROR(IF(MARÍTIMOS[[#This Row],[Inspección Externa]]="","",MARÍTIMOS[[#This Row],[Inspección Externa]]),"")</f>
        <v/>
      </c>
      <c r="AC1080" s="11" t="str">
        <f>IFERROR(IF(MARÍTIMOS[[#This Row],[Etapa Despacho - Inicio de Carga]]="","",MARÍTIMOS[[#This Row],[Etapa Despacho - Inicio de Carga]]),"")</f>
        <v/>
      </c>
      <c r="AD1080" s="11" t="str">
        <f>IFERROR(IF(MARÍTIMOS[[#This Row],[Etapa Despacho - Mitad de Carga]]="","",MARÍTIMOS[[#This Row],[Etapa Despacho - Mitad de Carga]]),"")</f>
        <v/>
      </c>
      <c r="AE1080" s="11" t="str">
        <f>IFERROR(IF(MARÍTIMOS[[#This Row],[Etapa Despacho - Fin de Carga]]="","",MARÍTIMOS[[#This Row],[Etapa Despacho - Fin de Carga]]),"")</f>
        <v/>
      </c>
      <c r="AF1080" s="2" t="str">
        <f>IFERROR(IF(MARÍTIMOS[[#This Row],[Puerto de Embarque]]="","",MARÍTIMOS[[#This Row],[Puerto de Embarque]]),"")</f>
        <v/>
      </c>
      <c r="AG1080" s="2" t="str">
        <f>IFERROR(IF(MARÍTIMOS[[#This Row],[Almacén de Ingreso]]="","",MARÍTIMOS[[#This Row],[Almacén de Ingreso]]),"")</f>
        <v/>
      </c>
      <c r="AH1080" s="11" t="str">
        <f>IFERROR(IF(MARÍTIMOS[[#This Row],[Etapa Ingreso - Cita]]="","",MARÍTIMOS[[#This Row],[Etapa Ingreso - Cita]]),"")</f>
        <v/>
      </c>
      <c r="AI1080" s="11" t="str">
        <f>IFERROR(IF(MARÍTIMOS[[#This Row],[Etapa Ingreso - Llegada]]="","",MARÍTIMOS[[#This Row],[Etapa Ingreso - Llegada]]),"")</f>
        <v/>
      </c>
      <c r="AJ1080" s="11" t="str">
        <f>IFERROR(IF(MARÍTIMOS[[#This Row],[Etapa Ingreso - Ingeso]]="","",MARÍTIMOS[[#This Row],[Etapa Ingreso - Ingeso]]),"")</f>
        <v/>
      </c>
      <c r="AK1080" s="11" t="str">
        <f>IFERROR(IF(MARÍTIMOS[[#This Row],[Etapa Ingreso - Atención]]="","",MARÍTIMOS[[#This Row],[Etapa Ingreso - Atención]]),"")</f>
        <v/>
      </c>
      <c r="AL1080" s="11" t="str">
        <f>IFERROR(IF(MARÍTIMOS[[#This Row],[Etapa Ingreso - Salida]]="","",MARÍTIMOS[[#This Row],[Etapa Ingreso - Salida]]),"")</f>
        <v/>
      </c>
      <c r="AM1080" s="2" t="str">
        <f>IFERROR(IF(MARÍTIMOS[[#This Row],[FCL]]="","",MARÍTIMOS[[#This Row],[FCL]]),"")</f>
        <v/>
      </c>
      <c r="AN108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0" s="4" t="str" cm="1">
        <f t="array" ref="AO108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0" s="5" t="str">
        <f>IFERROR(OLDBD[[#This Row],[Llegada a packing]]-OLDBD[[#This Row],[Inicio de Ruta]],"")</f>
        <v/>
      </c>
      <c r="AQ1080" s="6" t="str">
        <f>IFERROR(OLDBD[[#This Row],[Inicio de Ruta]]-OLDBD[[#This Row],[Salida de almacén de retiro]],"")</f>
        <v/>
      </c>
      <c r="AR108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0" s="8" t="str" cm="1">
        <f t="array" ref="AS108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0" s="9" t="str">
        <f>IFERROR(OLDBD[[#This Row],[Ingreso Packing]]-OLDBD[[#This Row],[Registro en Packing]],"")</f>
        <v/>
      </c>
      <c r="AV1080" s="9" t="str">
        <f>IFERROR(OLDBD[[#This Row],[Ingreso Packing]]-OLDBD[[#This Row],[Llegada a packing]],"")</f>
        <v/>
      </c>
      <c r="AW108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0" s="5" t="str">
        <f>IFERROR(OLDBD[[#This Row],[Llegada Almacén de Ingreso]]-OLDBD[[#This Row],[Salida Packing]],"")</f>
        <v/>
      </c>
      <c r="AY1080" s="4" t="str" cm="1">
        <f t="array" ref="AY108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0" s="43" t="s">
        <v>173</v>
      </c>
      <c r="BB1080" s="47" t="str">
        <f>IFERROR(IF(MARÍTIMOS[[#This Row],[Estatus]]="","",MARÍTIMOS[[#This Row],[Estatus]]),"")</f>
        <v/>
      </c>
      <c r="BC1080" s="43"/>
      <c r="BD1080" s="46" t="str">
        <f>IFERROR(OLDBD[[#This Row],[Salida de almacén de retiro]]-OLDBD[[#This Row],[Ingreso Almacén de retiro]],"")</f>
        <v/>
      </c>
      <c r="BE1080" s="46" t="str">
        <f>IFERROR(OLDBD[[#This Row],[Fin de Carga]]-OLDBD[[#This Row],[Inicio de Carga]],"")</f>
        <v/>
      </c>
    </row>
    <row r="1081" spans="1:57" customFormat="1" hidden="1">
      <c r="A1081" s="1"/>
      <c r="B1081" s="1" t="str">
        <f>IFERROR(IF(MARÍTIMOS[[#This Row],[PP]]="","",MARÍTIMOS[[#This Row],[PP]]),"")</f>
        <v/>
      </c>
      <c r="C1081" s="1" t="str">
        <f>IFERROR(IF(MARÍTIMOS[[#This Row],[Sede]]="","",MARÍTIMOS[[#This Row],[Sede]]),"")</f>
        <v/>
      </c>
      <c r="D1081" s="1" t="str">
        <f>IFERROR(IF(MARÍTIMOS[[#This Row],[Instruction]]="","",MARÍTIMOS[[#This Row],[Instruction]]),"")</f>
        <v/>
      </c>
      <c r="E1081" s="1"/>
      <c r="F1081" s="2" t="str">
        <f>IFERROR(IF(MARÍTIMOS[[#This Row],[Transportista]]="","",MARÍTIMOS[[#This Row],[Transportista]]),"")</f>
        <v/>
      </c>
      <c r="G1081" s="2" t="str">
        <f>IFERROR(IF(MARÍTIMOS[[#This Row],[Tercero]]="","",MARÍTIMOS[[#This Row],[Tercero]]),"")</f>
        <v/>
      </c>
      <c r="H1081" s="2" t="str">
        <f>IFERROR(IF(MARÍTIMOS[[#This Row],[Razón Social]]="","",MARÍTIMOS[[#This Row],[Razón Social]]),"")</f>
        <v/>
      </c>
      <c r="I1081" s="2" t="str">
        <f>IFERROR(IF(MARÍTIMOS[[#This Row],[RUC]]="","",MARÍTIMOS[[#This Row],[RUC]]),"")</f>
        <v/>
      </c>
      <c r="J1081" s="2" t="str">
        <f>IFERROR(IF(MARÍTIMOS[[#This Row],[Placa Tracto]]="","",MARÍTIMOS[[#This Row],[Placa Tracto]]),"")</f>
        <v/>
      </c>
      <c r="K1081" s="2" t="str">
        <f>IFERROR(IF(MARÍTIMOS[[#This Row],[Placa Carreta]]="","",MARÍTIMOS[[#This Row],[Placa Carreta]]),"")</f>
        <v/>
      </c>
      <c r="L1081" s="44" t="str">
        <f>IFERROR(IF(MARÍTIMOS[[#This Row],[Conductor]]="","",MARÍTIMOS[[#This Row],[Conductor]]),"")</f>
        <v/>
      </c>
      <c r="M1081" s="2" t="str">
        <f>IFERROR(IF(MARÍTIMOS[[#This Row],[Licencia]]="","",MARÍTIMOS[[#This Row],[Licencia]]),"")</f>
        <v/>
      </c>
      <c r="N1081" s="2" t="str">
        <f>IFERROR(IF(MARÍTIMOS[[#This Row],[Número de Contacto]]="","",MARÍTIMOS[[#This Row],[Número de Contacto]]),"")</f>
        <v/>
      </c>
      <c r="O1081" s="10" t="str">
        <f>IFERROR(IF(MARÍTIMOS[[#This Row],[Booking|AWB|CRT]]="","",MARÍTIMOS[[#This Row],[Booking|AWB|CRT]]),"")</f>
        <v/>
      </c>
      <c r="P1081" s="2" t="str">
        <f>IFERROR(IF(MARÍTIMOS[[#This Row],[Contenedor]]="","",MARÍTIMOS[[#This Row],[Contenedor]]),"")</f>
        <v/>
      </c>
      <c r="Q1081" s="2" t="str">
        <f>IFERROR(IF(MARÍTIMOS[[#This Row],[Puerto de Retiro]]="","",MARÍTIMOS[[#This Row],[Puerto de Retiro]]),"")</f>
        <v/>
      </c>
      <c r="R1081" s="2" t="str">
        <f>IFERROR(IF(MARÍTIMOS[[#This Row],[Almacén de Retiro]]="","",MARÍTIMOS[[#This Row],[Almacén de Retiro]]),"")</f>
        <v/>
      </c>
      <c r="S1081" s="11" t="str">
        <f>IFERROR(IF(MARÍTIMOS[[#This Row],[Etapa Retiro - Cita]]="","",MARÍTIMOS[[#This Row],[Etapa Retiro - Cita]]),"")</f>
        <v/>
      </c>
      <c r="T1081" s="11" t="str">
        <f>IFERROR(IF(MARÍTIMOS[[#This Row],[Etapa Retiro - Llegada]]="","",MARÍTIMOS[[#This Row],[Etapa Retiro - Llegada]]),"")</f>
        <v/>
      </c>
      <c r="U1081" s="11" t="str">
        <f>IFERROR(IF(MARÍTIMOS[[#This Row],[Etapa Retiro - Ingreso]]="","",MARÍTIMOS[[#This Row],[Etapa Retiro - Ingreso]]),"")</f>
        <v/>
      </c>
      <c r="V1081" s="11" t="str">
        <f>IFERROR(IF(MARÍTIMOS[[#This Row],[Etapa Retiro - Atención]]="","",MARÍTIMOS[[#This Row],[Etapa Retiro - Atención]]),"")</f>
        <v/>
      </c>
      <c r="W1081" s="11" t="str">
        <f>IFERROR(IF(MARÍTIMOS[[#This Row],[Etapa Retiro - Atención]]="","",MARÍTIMOS[[#This Row],[Etapa Retiro - Atención]]),"")</f>
        <v/>
      </c>
      <c r="X1081" s="11" t="str">
        <f>IFERROR(IF(MARÍTIMOS[[#This Row],[Etapa Retiro - Inicio de Ruta]]="","",MARÍTIMOS[[#This Row],[Etapa Retiro - Inicio de Ruta]]),"")</f>
        <v/>
      </c>
      <c r="Y1081" s="11" t="str">
        <f>IFERROR(IF(MARÍTIMOS[[#This Row],[Hora de Posicionamiento]]="","",MARÍTIMOS[[#This Row],[Fecha de Carga]]+MARÍTIMOS[[#This Row],[Hora de Posicionamiento]]),"")</f>
        <v/>
      </c>
      <c r="Z1081" s="11" t="str">
        <f>IFERROR(IF(MARÍTIMOS[[#This Row],[Etapa Despacho - Llegada]]="","",MARÍTIMOS[[#This Row],[Etapa Despacho - Llegada]]),"")</f>
        <v/>
      </c>
      <c r="AA1081" s="11" t="str">
        <f>IFERROR(IF(MARÍTIMOS[[#This Row],[Etapa Despacho - Registro]]="","",MARÍTIMOS[[#This Row],[Etapa Despacho - Registro]]),"")</f>
        <v/>
      </c>
      <c r="AB1081" s="11" t="str">
        <f>IFERROR(IF(MARÍTIMOS[[#This Row],[Inspección Externa]]="","",MARÍTIMOS[[#This Row],[Inspección Externa]]),"")</f>
        <v/>
      </c>
      <c r="AC1081" s="11" t="str">
        <f>IFERROR(IF(MARÍTIMOS[[#This Row],[Etapa Despacho - Inicio de Carga]]="","",MARÍTIMOS[[#This Row],[Etapa Despacho - Inicio de Carga]]),"")</f>
        <v/>
      </c>
      <c r="AD1081" s="11" t="str">
        <f>IFERROR(IF(MARÍTIMOS[[#This Row],[Etapa Despacho - Mitad de Carga]]="","",MARÍTIMOS[[#This Row],[Etapa Despacho - Mitad de Carga]]),"")</f>
        <v/>
      </c>
      <c r="AE1081" s="11" t="str">
        <f>IFERROR(IF(MARÍTIMOS[[#This Row],[Etapa Despacho - Fin de Carga]]="","",MARÍTIMOS[[#This Row],[Etapa Despacho - Fin de Carga]]),"")</f>
        <v/>
      </c>
      <c r="AF1081" s="2" t="str">
        <f>IFERROR(IF(MARÍTIMOS[[#This Row],[Puerto de Embarque]]="","",MARÍTIMOS[[#This Row],[Puerto de Embarque]]),"")</f>
        <v/>
      </c>
      <c r="AG1081" s="2" t="str">
        <f>IFERROR(IF(MARÍTIMOS[[#This Row],[Almacén de Ingreso]]="","",MARÍTIMOS[[#This Row],[Almacén de Ingreso]]),"")</f>
        <v/>
      </c>
      <c r="AH1081" s="11" t="str">
        <f>IFERROR(IF(MARÍTIMOS[[#This Row],[Etapa Ingreso - Cita]]="","",MARÍTIMOS[[#This Row],[Etapa Ingreso - Cita]]),"")</f>
        <v/>
      </c>
      <c r="AI1081" s="11" t="str">
        <f>IFERROR(IF(MARÍTIMOS[[#This Row],[Etapa Ingreso - Llegada]]="","",MARÍTIMOS[[#This Row],[Etapa Ingreso - Llegada]]),"")</f>
        <v/>
      </c>
      <c r="AJ1081" s="11" t="str">
        <f>IFERROR(IF(MARÍTIMOS[[#This Row],[Etapa Ingreso - Ingeso]]="","",MARÍTIMOS[[#This Row],[Etapa Ingreso - Ingeso]]),"")</f>
        <v/>
      </c>
      <c r="AK1081" s="11" t="str">
        <f>IFERROR(IF(MARÍTIMOS[[#This Row],[Etapa Ingreso - Atención]]="","",MARÍTIMOS[[#This Row],[Etapa Ingreso - Atención]]),"")</f>
        <v/>
      </c>
      <c r="AL1081" s="11" t="str">
        <f>IFERROR(IF(MARÍTIMOS[[#This Row],[Etapa Ingreso - Salida]]="","",MARÍTIMOS[[#This Row],[Etapa Ingreso - Salida]]),"")</f>
        <v/>
      </c>
      <c r="AM1081" s="2" t="str">
        <f>IFERROR(IF(MARÍTIMOS[[#This Row],[FCL]]="","",MARÍTIMOS[[#This Row],[FCL]]),"")</f>
        <v/>
      </c>
      <c r="AN108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1" s="4" t="str" cm="1">
        <f t="array" ref="AO108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1" s="5" t="str">
        <f>IFERROR(OLDBD[[#This Row],[Llegada a packing]]-OLDBD[[#This Row],[Inicio de Ruta]],"")</f>
        <v/>
      </c>
      <c r="AQ1081" s="6" t="str">
        <f>IFERROR(OLDBD[[#This Row],[Inicio de Ruta]]-OLDBD[[#This Row],[Salida de almacén de retiro]],"")</f>
        <v/>
      </c>
      <c r="AR108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1" s="8" t="str" cm="1">
        <f t="array" ref="AS108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1" s="9" t="str">
        <f>IFERROR(OLDBD[[#This Row],[Ingreso Packing]]-OLDBD[[#This Row],[Registro en Packing]],"")</f>
        <v/>
      </c>
      <c r="AV1081" s="9" t="str">
        <f>IFERROR(OLDBD[[#This Row],[Ingreso Packing]]-OLDBD[[#This Row],[Llegada a packing]],"")</f>
        <v/>
      </c>
      <c r="AW108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1" s="5" t="str">
        <f>IFERROR(OLDBD[[#This Row],[Llegada Almacén de Ingreso]]-OLDBD[[#This Row],[Salida Packing]],"")</f>
        <v/>
      </c>
      <c r="AY1081" s="4" t="str" cm="1">
        <f t="array" ref="AY108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1" s="43" t="s">
        <v>173</v>
      </c>
      <c r="BB1081" s="47" t="str">
        <f>IFERROR(IF(MARÍTIMOS[[#This Row],[Estatus]]="","",MARÍTIMOS[[#This Row],[Estatus]]),"")</f>
        <v/>
      </c>
      <c r="BC1081" s="43"/>
      <c r="BD1081" s="46" t="str">
        <f>IFERROR(OLDBD[[#This Row],[Salida de almacén de retiro]]-OLDBD[[#This Row],[Ingreso Almacén de retiro]],"")</f>
        <v/>
      </c>
      <c r="BE1081" s="46" t="str">
        <f>IFERROR(OLDBD[[#This Row],[Fin de Carga]]-OLDBD[[#This Row],[Inicio de Carga]],"")</f>
        <v/>
      </c>
    </row>
    <row r="1082" spans="1:57" customFormat="1" hidden="1">
      <c r="A1082" s="1"/>
      <c r="B1082" s="1" t="str">
        <f>IFERROR(IF(MARÍTIMOS[[#This Row],[PP]]="","",MARÍTIMOS[[#This Row],[PP]]),"")</f>
        <v/>
      </c>
      <c r="C1082" s="1" t="str">
        <f>IFERROR(IF(MARÍTIMOS[[#This Row],[Sede]]="","",MARÍTIMOS[[#This Row],[Sede]]),"")</f>
        <v/>
      </c>
      <c r="D1082" s="1" t="str">
        <f>IFERROR(IF(MARÍTIMOS[[#This Row],[Instruction]]="","",MARÍTIMOS[[#This Row],[Instruction]]),"")</f>
        <v/>
      </c>
      <c r="E1082" s="1"/>
      <c r="F1082" s="2" t="str">
        <f>IFERROR(IF(MARÍTIMOS[[#This Row],[Transportista]]="","",MARÍTIMOS[[#This Row],[Transportista]]),"")</f>
        <v/>
      </c>
      <c r="G1082" s="2" t="str">
        <f>IFERROR(IF(MARÍTIMOS[[#This Row],[Tercero]]="","",MARÍTIMOS[[#This Row],[Tercero]]),"")</f>
        <v/>
      </c>
      <c r="H1082" s="2" t="str">
        <f>IFERROR(IF(MARÍTIMOS[[#This Row],[Razón Social]]="","",MARÍTIMOS[[#This Row],[Razón Social]]),"")</f>
        <v/>
      </c>
      <c r="I1082" s="2" t="str">
        <f>IFERROR(IF(MARÍTIMOS[[#This Row],[RUC]]="","",MARÍTIMOS[[#This Row],[RUC]]),"")</f>
        <v/>
      </c>
      <c r="J1082" s="2" t="str">
        <f>IFERROR(IF(MARÍTIMOS[[#This Row],[Placa Tracto]]="","",MARÍTIMOS[[#This Row],[Placa Tracto]]),"")</f>
        <v/>
      </c>
      <c r="K1082" s="2" t="str">
        <f>IFERROR(IF(MARÍTIMOS[[#This Row],[Placa Carreta]]="","",MARÍTIMOS[[#This Row],[Placa Carreta]]),"")</f>
        <v/>
      </c>
      <c r="L1082" s="44" t="str">
        <f>IFERROR(IF(MARÍTIMOS[[#This Row],[Conductor]]="","",MARÍTIMOS[[#This Row],[Conductor]]),"")</f>
        <v/>
      </c>
      <c r="M1082" s="2" t="str">
        <f>IFERROR(IF(MARÍTIMOS[[#This Row],[Licencia]]="","",MARÍTIMOS[[#This Row],[Licencia]]),"")</f>
        <v/>
      </c>
      <c r="N1082" s="2" t="str">
        <f>IFERROR(IF(MARÍTIMOS[[#This Row],[Número de Contacto]]="","",MARÍTIMOS[[#This Row],[Número de Contacto]]),"")</f>
        <v/>
      </c>
      <c r="O1082" s="10" t="str">
        <f>IFERROR(IF(MARÍTIMOS[[#This Row],[Booking|AWB|CRT]]="","",MARÍTIMOS[[#This Row],[Booking|AWB|CRT]]),"")</f>
        <v/>
      </c>
      <c r="P1082" s="2" t="str">
        <f>IFERROR(IF(MARÍTIMOS[[#This Row],[Contenedor]]="","",MARÍTIMOS[[#This Row],[Contenedor]]),"")</f>
        <v/>
      </c>
      <c r="Q1082" s="2" t="str">
        <f>IFERROR(IF(MARÍTIMOS[[#This Row],[Puerto de Retiro]]="","",MARÍTIMOS[[#This Row],[Puerto de Retiro]]),"")</f>
        <v/>
      </c>
      <c r="R1082" s="2" t="str">
        <f>IFERROR(IF(MARÍTIMOS[[#This Row],[Almacén de Retiro]]="","",MARÍTIMOS[[#This Row],[Almacén de Retiro]]),"")</f>
        <v/>
      </c>
      <c r="S1082" s="11" t="str">
        <f>IFERROR(IF(MARÍTIMOS[[#This Row],[Etapa Retiro - Cita]]="","",MARÍTIMOS[[#This Row],[Etapa Retiro - Cita]]),"")</f>
        <v/>
      </c>
      <c r="T1082" s="11" t="str">
        <f>IFERROR(IF(MARÍTIMOS[[#This Row],[Etapa Retiro - Llegada]]="","",MARÍTIMOS[[#This Row],[Etapa Retiro - Llegada]]),"")</f>
        <v/>
      </c>
      <c r="U1082" s="11" t="str">
        <f>IFERROR(IF(MARÍTIMOS[[#This Row],[Etapa Retiro - Ingreso]]="","",MARÍTIMOS[[#This Row],[Etapa Retiro - Ingreso]]),"")</f>
        <v/>
      </c>
      <c r="V1082" s="11" t="str">
        <f>IFERROR(IF(MARÍTIMOS[[#This Row],[Etapa Retiro - Atención]]="","",MARÍTIMOS[[#This Row],[Etapa Retiro - Atención]]),"")</f>
        <v/>
      </c>
      <c r="W1082" s="11" t="str">
        <f>IFERROR(IF(MARÍTIMOS[[#This Row],[Etapa Retiro - Atención]]="","",MARÍTIMOS[[#This Row],[Etapa Retiro - Atención]]),"")</f>
        <v/>
      </c>
      <c r="X1082" s="11" t="str">
        <f>IFERROR(IF(MARÍTIMOS[[#This Row],[Etapa Retiro - Inicio de Ruta]]="","",MARÍTIMOS[[#This Row],[Etapa Retiro - Inicio de Ruta]]),"")</f>
        <v/>
      </c>
      <c r="Y1082" s="11" t="str">
        <f>IFERROR(IF(MARÍTIMOS[[#This Row],[Hora de Posicionamiento]]="","",MARÍTIMOS[[#This Row],[Fecha de Carga]]+MARÍTIMOS[[#This Row],[Hora de Posicionamiento]]),"")</f>
        <v/>
      </c>
      <c r="Z1082" s="11" t="str">
        <f>IFERROR(IF(MARÍTIMOS[[#This Row],[Etapa Despacho - Llegada]]="","",MARÍTIMOS[[#This Row],[Etapa Despacho - Llegada]]),"")</f>
        <v/>
      </c>
      <c r="AA1082" s="11" t="str">
        <f>IFERROR(IF(MARÍTIMOS[[#This Row],[Etapa Despacho - Registro]]="","",MARÍTIMOS[[#This Row],[Etapa Despacho - Registro]]),"")</f>
        <v/>
      </c>
      <c r="AB1082" s="11" t="str">
        <f>IFERROR(IF(MARÍTIMOS[[#This Row],[Inspección Externa]]="","",MARÍTIMOS[[#This Row],[Inspección Externa]]),"")</f>
        <v/>
      </c>
      <c r="AC1082" s="11" t="str">
        <f>IFERROR(IF(MARÍTIMOS[[#This Row],[Etapa Despacho - Inicio de Carga]]="","",MARÍTIMOS[[#This Row],[Etapa Despacho - Inicio de Carga]]),"")</f>
        <v/>
      </c>
      <c r="AD1082" s="11" t="str">
        <f>IFERROR(IF(MARÍTIMOS[[#This Row],[Etapa Despacho - Mitad de Carga]]="","",MARÍTIMOS[[#This Row],[Etapa Despacho - Mitad de Carga]]),"")</f>
        <v/>
      </c>
      <c r="AE1082" s="11" t="str">
        <f>IFERROR(IF(MARÍTIMOS[[#This Row],[Etapa Despacho - Fin de Carga]]="","",MARÍTIMOS[[#This Row],[Etapa Despacho - Fin de Carga]]),"")</f>
        <v/>
      </c>
      <c r="AF1082" s="2" t="str">
        <f>IFERROR(IF(MARÍTIMOS[[#This Row],[Puerto de Embarque]]="","",MARÍTIMOS[[#This Row],[Puerto de Embarque]]),"")</f>
        <v/>
      </c>
      <c r="AG1082" s="2" t="str">
        <f>IFERROR(IF(MARÍTIMOS[[#This Row],[Almacén de Ingreso]]="","",MARÍTIMOS[[#This Row],[Almacén de Ingreso]]),"")</f>
        <v/>
      </c>
      <c r="AH1082" s="11" t="str">
        <f>IFERROR(IF(MARÍTIMOS[[#This Row],[Etapa Ingreso - Cita]]="","",MARÍTIMOS[[#This Row],[Etapa Ingreso - Cita]]),"")</f>
        <v/>
      </c>
      <c r="AI1082" s="11" t="str">
        <f>IFERROR(IF(MARÍTIMOS[[#This Row],[Etapa Ingreso - Llegada]]="","",MARÍTIMOS[[#This Row],[Etapa Ingreso - Llegada]]),"")</f>
        <v/>
      </c>
      <c r="AJ1082" s="11" t="str">
        <f>IFERROR(IF(MARÍTIMOS[[#This Row],[Etapa Ingreso - Ingeso]]="","",MARÍTIMOS[[#This Row],[Etapa Ingreso - Ingeso]]),"")</f>
        <v/>
      </c>
      <c r="AK1082" s="11" t="str">
        <f>IFERROR(IF(MARÍTIMOS[[#This Row],[Etapa Ingreso - Atención]]="","",MARÍTIMOS[[#This Row],[Etapa Ingreso - Atención]]),"")</f>
        <v/>
      </c>
      <c r="AL1082" s="11" t="str">
        <f>IFERROR(IF(MARÍTIMOS[[#This Row],[Etapa Ingreso - Salida]]="","",MARÍTIMOS[[#This Row],[Etapa Ingreso - Salida]]),"")</f>
        <v/>
      </c>
      <c r="AM1082" s="2" t="str">
        <f>IFERROR(IF(MARÍTIMOS[[#This Row],[FCL]]="","",MARÍTIMOS[[#This Row],[FCL]]),"")</f>
        <v/>
      </c>
      <c r="AN108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2" s="4" t="str" cm="1">
        <f t="array" ref="AO108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2" s="5" t="str">
        <f>IFERROR(OLDBD[[#This Row],[Llegada a packing]]-OLDBD[[#This Row],[Inicio de Ruta]],"")</f>
        <v/>
      </c>
      <c r="AQ1082" s="6" t="str">
        <f>IFERROR(OLDBD[[#This Row],[Inicio de Ruta]]-OLDBD[[#This Row],[Salida de almacén de retiro]],"")</f>
        <v/>
      </c>
      <c r="AR108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2" s="8" t="str" cm="1">
        <f t="array" ref="AS108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2" s="9" t="str">
        <f>IFERROR(OLDBD[[#This Row],[Ingreso Packing]]-OLDBD[[#This Row],[Registro en Packing]],"")</f>
        <v/>
      </c>
      <c r="AV1082" s="9" t="str">
        <f>IFERROR(OLDBD[[#This Row],[Ingreso Packing]]-OLDBD[[#This Row],[Llegada a packing]],"")</f>
        <v/>
      </c>
      <c r="AW108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2" s="5" t="str">
        <f>IFERROR(OLDBD[[#This Row],[Llegada Almacén de Ingreso]]-OLDBD[[#This Row],[Salida Packing]],"")</f>
        <v/>
      </c>
      <c r="AY1082" s="4" t="str" cm="1">
        <f t="array" ref="AY108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2" s="43" t="s">
        <v>173</v>
      </c>
      <c r="BB1082" s="47" t="str">
        <f>IFERROR(IF(MARÍTIMOS[[#This Row],[Estatus]]="","",MARÍTIMOS[[#This Row],[Estatus]]),"")</f>
        <v/>
      </c>
      <c r="BC1082" s="43"/>
      <c r="BD1082" s="46" t="str">
        <f>IFERROR(OLDBD[[#This Row],[Salida de almacén de retiro]]-OLDBD[[#This Row],[Ingreso Almacén de retiro]],"")</f>
        <v/>
      </c>
      <c r="BE1082" s="46" t="str">
        <f>IFERROR(OLDBD[[#This Row],[Fin de Carga]]-OLDBD[[#This Row],[Inicio de Carga]],"")</f>
        <v/>
      </c>
    </row>
    <row r="1083" spans="1:57" customFormat="1" hidden="1">
      <c r="A1083" s="1"/>
      <c r="B1083" s="1" t="str">
        <f>IFERROR(IF(MARÍTIMOS[[#This Row],[PP]]="","",MARÍTIMOS[[#This Row],[PP]]),"")</f>
        <v/>
      </c>
      <c r="C1083" s="1" t="str">
        <f>IFERROR(IF(MARÍTIMOS[[#This Row],[Sede]]="","",MARÍTIMOS[[#This Row],[Sede]]),"")</f>
        <v/>
      </c>
      <c r="D1083" s="1" t="str">
        <f>IFERROR(IF(MARÍTIMOS[[#This Row],[Instruction]]="","",MARÍTIMOS[[#This Row],[Instruction]]),"")</f>
        <v/>
      </c>
      <c r="E1083" s="1"/>
      <c r="F1083" s="2" t="str">
        <f>IFERROR(IF(MARÍTIMOS[[#This Row],[Transportista]]="","",MARÍTIMOS[[#This Row],[Transportista]]),"")</f>
        <v/>
      </c>
      <c r="G1083" s="2" t="str">
        <f>IFERROR(IF(MARÍTIMOS[[#This Row],[Tercero]]="","",MARÍTIMOS[[#This Row],[Tercero]]),"")</f>
        <v/>
      </c>
      <c r="H1083" s="2" t="str">
        <f>IFERROR(IF(MARÍTIMOS[[#This Row],[Razón Social]]="","",MARÍTIMOS[[#This Row],[Razón Social]]),"")</f>
        <v/>
      </c>
      <c r="I1083" s="2" t="str">
        <f>IFERROR(IF(MARÍTIMOS[[#This Row],[RUC]]="","",MARÍTIMOS[[#This Row],[RUC]]),"")</f>
        <v/>
      </c>
      <c r="J1083" s="2" t="str">
        <f>IFERROR(IF(MARÍTIMOS[[#This Row],[Placa Tracto]]="","",MARÍTIMOS[[#This Row],[Placa Tracto]]),"")</f>
        <v/>
      </c>
      <c r="K1083" s="2" t="str">
        <f>IFERROR(IF(MARÍTIMOS[[#This Row],[Placa Carreta]]="","",MARÍTIMOS[[#This Row],[Placa Carreta]]),"")</f>
        <v/>
      </c>
      <c r="L1083" s="44" t="str">
        <f>IFERROR(IF(MARÍTIMOS[[#This Row],[Conductor]]="","",MARÍTIMOS[[#This Row],[Conductor]]),"")</f>
        <v/>
      </c>
      <c r="M1083" s="2" t="str">
        <f>IFERROR(IF(MARÍTIMOS[[#This Row],[Licencia]]="","",MARÍTIMOS[[#This Row],[Licencia]]),"")</f>
        <v/>
      </c>
      <c r="N1083" s="2" t="str">
        <f>IFERROR(IF(MARÍTIMOS[[#This Row],[Número de Contacto]]="","",MARÍTIMOS[[#This Row],[Número de Contacto]]),"")</f>
        <v/>
      </c>
      <c r="O1083" s="10" t="str">
        <f>IFERROR(IF(MARÍTIMOS[[#This Row],[Booking|AWB|CRT]]="","",MARÍTIMOS[[#This Row],[Booking|AWB|CRT]]),"")</f>
        <v/>
      </c>
      <c r="P1083" s="2" t="str">
        <f>IFERROR(IF(MARÍTIMOS[[#This Row],[Contenedor]]="","",MARÍTIMOS[[#This Row],[Contenedor]]),"")</f>
        <v/>
      </c>
      <c r="Q1083" s="2" t="str">
        <f>IFERROR(IF(MARÍTIMOS[[#This Row],[Puerto de Retiro]]="","",MARÍTIMOS[[#This Row],[Puerto de Retiro]]),"")</f>
        <v/>
      </c>
      <c r="R1083" s="2" t="str">
        <f>IFERROR(IF(MARÍTIMOS[[#This Row],[Almacén de Retiro]]="","",MARÍTIMOS[[#This Row],[Almacén de Retiro]]),"")</f>
        <v/>
      </c>
      <c r="S1083" s="11" t="str">
        <f>IFERROR(IF(MARÍTIMOS[[#This Row],[Etapa Retiro - Cita]]="","",MARÍTIMOS[[#This Row],[Etapa Retiro - Cita]]),"")</f>
        <v/>
      </c>
      <c r="T1083" s="11" t="str">
        <f>IFERROR(IF(MARÍTIMOS[[#This Row],[Etapa Retiro - Llegada]]="","",MARÍTIMOS[[#This Row],[Etapa Retiro - Llegada]]),"")</f>
        <v/>
      </c>
      <c r="U1083" s="11" t="str">
        <f>IFERROR(IF(MARÍTIMOS[[#This Row],[Etapa Retiro - Ingreso]]="","",MARÍTIMOS[[#This Row],[Etapa Retiro - Ingreso]]),"")</f>
        <v/>
      </c>
      <c r="V1083" s="11" t="str">
        <f>IFERROR(IF(MARÍTIMOS[[#This Row],[Etapa Retiro - Atención]]="","",MARÍTIMOS[[#This Row],[Etapa Retiro - Atención]]),"")</f>
        <v/>
      </c>
      <c r="W1083" s="11" t="str">
        <f>IFERROR(IF(MARÍTIMOS[[#This Row],[Etapa Retiro - Atención]]="","",MARÍTIMOS[[#This Row],[Etapa Retiro - Atención]]),"")</f>
        <v/>
      </c>
      <c r="X1083" s="11" t="str">
        <f>IFERROR(IF(MARÍTIMOS[[#This Row],[Etapa Retiro - Inicio de Ruta]]="","",MARÍTIMOS[[#This Row],[Etapa Retiro - Inicio de Ruta]]),"")</f>
        <v/>
      </c>
      <c r="Y1083" s="11" t="str">
        <f>IFERROR(IF(MARÍTIMOS[[#This Row],[Hora de Posicionamiento]]="","",MARÍTIMOS[[#This Row],[Fecha de Carga]]+MARÍTIMOS[[#This Row],[Hora de Posicionamiento]]),"")</f>
        <v/>
      </c>
      <c r="Z1083" s="11" t="str">
        <f>IFERROR(IF(MARÍTIMOS[[#This Row],[Etapa Despacho - Llegada]]="","",MARÍTIMOS[[#This Row],[Etapa Despacho - Llegada]]),"")</f>
        <v/>
      </c>
      <c r="AA1083" s="11" t="str">
        <f>IFERROR(IF(MARÍTIMOS[[#This Row],[Etapa Despacho - Registro]]="","",MARÍTIMOS[[#This Row],[Etapa Despacho - Registro]]),"")</f>
        <v/>
      </c>
      <c r="AB1083" s="11" t="str">
        <f>IFERROR(IF(MARÍTIMOS[[#This Row],[Inspección Externa]]="","",MARÍTIMOS[[#This Row],[Inspección Externa]]),"")</f>
        <v/>
      </c>
      <c r="AC1083" s="11" t="str">
        <f>IFERROR(IF(MARÍTIMOS[[#This Row],[Etapa Despacho - Inicio de Carga]]="","",MARÍTIMOS[[#This Row],[Etapa Despacho - Inicio de Carga]]),"")</f>
        <v/>
      </c>
      <c r="AD1083" s="11" t="str">
        <f>IFERROR(IF(MARÍTIMOS[[#This Row],[Etapa Despacho - Mitad de Carga]]="","",MARÍTIMOS[[#This Row],[Etapa Despacho - Mitad de Carga]]),"")</f>
        <v/>
      </c>
      <c r="AE1083" s="11" t="str">
        <f>IFERROR(IF(MARÍTIMOS[[#This Row],[Etapa Despacho - Fin de Carga]]="","",MARÍTIMOS[[#This Row],[Etapa Despacho - Fin de Carga]]),"")</f>
        <v/>
      </c>
      <c r="AF1083" s="2" t="str">
        <f>IFERROR(IF(MARÍTIMOS[[#This Row],[Puerto de Embarque]]="","",MARÍTIMOS[[#This Row],[Puerto de Embarque]]),"")</f>
        <v/>
      </c>
      <c r="AG1083" s="2" t="str">
        <f>IFERROR(IF(MARÍTIMOS[[#This Row],[Almacén de Ingreso]]="","",MARÍTIMOS[[#This Row],[Almacén de Ingreso]]),"")</f>
        <v/>
      </c>
      <c r="AH1083" s="11" t="str">
        <f>IFERROR(IF(MARÍTIMOS[[#This Row],[Etapa Ingreso - Cita]]="","",MARÍTIMOS[[#This Row],[Etapa Ingreso - Cita]]),"")</f>
        <v/>
      </c>
      <c r="AI1083" s="11" t="str">
        <f>IFERROR(IF(MARÍTIMOS[[#This Row],[Etapa Ingreso - Llegada]]="","",MARÍTIMOS[[#This Row],[Etapa Ingreso - Llegada]]),"")</f>
        <v/>
      </c>
      <c r="AJ1083" s="11" t="str">
        <f>IFERROR(IF(MARÍTIMOS[[#This Row],[Etapa Ingreso - Ingeso]]="","",MARÍTIMOS[[#This Row],[Etapa Ingreso - Ingeso]]),"")</f>
        <v/>
      </c>
      <c r="AK1083" s="11" t="str">
        <f>IFERROR(IF(MARÍTIMOS[[#This Row],[Etapa Ingreso - Atención]]="","",MARÍTIMOS[[#This Row],[Etapa Ingreso - Atención]]),"")</f>
        <v/>
      </c>
      <c r="AL1083" s="11" t="str">
        <f>IFERROR(IF(MARÍTIMOS[[#This Row],[Etapa Ingreso - Salida]]="","",MARÍTIMOS[[#This Row],[Etapa Ingreso - Salida]]),"")</f>
        <v/>
      </c>
      <c r="AM1083" s="2" t="str">
        <f>IFERROR(IF(MARÍTIMOS[[#This Row],[FCL]]="","",MARÍTIMOS[[#This Row],[FCL]]),"")</f>
        <v/>
      </c>
      <c r="AN108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3" s="4" t="str" cm="1">
        <f t="array" ref="AO108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3" s="5" t="str">
        <f>IFERROR(OLDBD[[#This Row],[Llegada a packing]]-OLDBD[[#This Row],[Inicio de Ruta]],"")</f>
        <v/>
      </c>
      <c r="AQ1083" s="6" t="str">
        <f>IFERROR(OLDBD[[#This Row],[Inicio de Ruta]]-OLDBD[[#This Row],[Salida de almacén de retiro]],"")</f>
        <v/>
      </c>
      <c r="AR108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3" s="8" t="str" cm="1">
        <f t="array" ref="AS108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3" s="9" t="str">
        <f>IFERROR(OLDBD[[#This Row],[Ingreso Packing]]-OLDBD[[#This Row],[Registro en Packing]],"")</f>
        <v/>
      </c>
      <c r="AV1083" s="9" t="str">
        <f>IFERROR(OLDBD[[#This Row],[Ingreso Packing]]-OLDBD[[#This Row],[Llegada a packing]],"")</f>
        <v/>
      </c>
      <c r="AW108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3" s="5" t="str">
        <f>IFERROR(OLDBD[[#This Row],[Llegada Almacén de Ingreso]]-OLDBD[[#This Row],[Salida Packing]],"")</f>
        <v/>
      </c>
      <c r="AY1083" s="4" t="str" cm="1">
        <f t="array" ref="AY108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3" s="43" t="s">
        <v>173</v>
      </c>
      <c r="BB1083" s="47" t="str">
        <f>IFERROR(IF(MARÍTIMOS[[#This Row],[Estatus]]="","",MARÍTIMOS[[#This Row],[Estatus]]),"")</f>
        <v/>
      </c>
      <c r="BC1083" s="43"/>
      <c r="BD1083" s="46" t="str">
        <f>IFERROR(OLDBD[[#This Row],[Salida de almacén de retiro]]-OLDBD[[#This Row],[Ingreso Almacén de retiro]],"")</f>
        <v/>
      </c>
      <c r="BE1083" s="46" t="str">
        <f>IFERROR(OLDBD[[#This Row],[Fin de Carga]]-OLDBD[[#This Row],[Inicio de Carga]],"")</f>
        <v/>
      </c>
    </row>
    <row r="1084" spans="1:57" customFormat="1" hidden="1">
      <c r="A1084" s="1"/>
      <c r="B1084" s="1" t="str">
        <f>IFERROR(IF(MARÍTIMOS[[#This Row],[PP]]="","",MARÍTIMOS[[#This Row],[PP]]),"")</f>
        <v/>
      </c>
      <c r="C1084" s="1" t="str">
        <f>IFERROR(IF(MARÍTIMOS[[#This Row],[Sede]]="","",MARÍTIMOS[[#This Row],[Sede]]),"")</f>
        <v/>
      </c>
      <c r="D1084" s="1" t="str">
        <f>IFERROR(IF(MARÍTIMOS[[#This Row],[Instruction]]="","",MARÍTIMOS[[#This Row],[Instruction]]),"")</f>
        <v/>
      </c>
      <c r="E1084" s="1"/>
      <c r="F1084" s="2" t="str">
        <f>IFERROR(IF(MARÍTIMOS[[#This Row],[Transportista]]="","",MARÍTIMOS[[#This Row],[Transportista]]),"")</f>
        <v/>
      </c>
      <c r="G1084" s="2" t="str">
        <f>IFERROR(IF(MARÍTIMOS[[#This Row],[Tercero]]="","",MARÍTIMOS[[#This Row],[Tercero]]),"")</f>
        <v/>
      </c>
      <c r="H1084" s="2" t="str">
        <f>IFERROR(IF(MARÍTIMOS[[#This Row],[Razón Social]]="","",MARÍTIMOS[[#This Row],[Razón Social]]),"")</f>
        <v/>
      </c>
      <c r="I1084" s="2" t="str">
        <f>IFERROR(IF(MARÍTIMOS[[#This Row],[RUC]]="","",MARÍTIMOS[[#This Row],[RUC]]),"")</f>
        <v/>
      </c>
      <c r="J1084" s="2" t="str">
        <f>IFERROR(IF(MARÍTIMOS[[#This Row],[Placa Tracto]]="","",MARÍTIMOS[[#This Row],[Placa Tracto]]),"")</f>
        <v/>
      </c>
      <c r="K1084" s="2" t="str">
        <f>IFERROR(IF(MARÍTIMOS[[#This Row],[Placa Carreta]]="","",MARÍTIMOS[[#This Row],[Placa Carreta]]),"")</f>
        <v/>
      </c>
      <c r="L1084" s="44" t="str">
        <f>IFERROR(IF(MARÍTIMOS[[#This Row],[Conductor]]="","",MARÍTIMOS[[#This Row],[Conductor]]),"")</f>
        <v/>
      </c>
      <c r="M1084" s="2" t="str">
        <f>IFERROR(IF(MARÍTIMOS[[#This Row],[Licencia]]="","",MARÍTIMOS[[#This Row],[Licencia]]),"")</f>
        <v/>
      </c>
      <c r="N1084" s="2" t="str">
        <f>IFERROR(IF(MARÍTIMOS[[#This Row],[Número de Contacto]]="","",MARÍTIMOS[[#This Row],[Número de Contacto]]),"")</f>
        <v/>
      </c>
      <c r="O1084" s="10" t="str">
        <f>IFERROR(IF(MARÍTIMOS[[#This Row],[Booking|AWB|CRT]]="","",MARÍTIMOS[[#This Row],[Booking|AWB|CRT]]),"")</f>
        <v/>
      </c>
      <c r="P1084" s="2" t="str">
        <f>IFERROR(IF(MARÍTIMOS[[#This Row],[Contenedor]]="","",MARÍTIMOS[[#This Row],[Contenedor]]),"")</f>
        <v/>
      </c>
      <c r="Q1084" s="2" t="str">
        <f>IFERROR(IF(MARÍTIMOS[[#This Row],[Puerto de Retiro]]="","",MARÍTIMOS[[#This Row],[Puerto de Retiro]]),"")</f>
        <v/>
      </c>
      <c r="R1084" s="2" t="str">
        <f>IFERROR(IF(MARÍTIMOS[[#This Row],[Almacén de Retiro]]="","",MARÍTIMOS[[#This Row],[Almacén de Retiro]]),"")</f>
        <v/>
      </c>
      <c r="S1084" s="11" t="str">
        <f>IFERROR(IF(MARÍTIMOS[[#This Row],[Etapa Retiro - Cita]]="","",MARÍTIMOS[[#This Row],[Etapa Retiro - Cita]]),"")</f>
        <v/>
      </c>
      <c r="T1084" s="11" t="str">
        <f>IFERROR(IF(MARÍTIMOS[[#This Row],[Etapa Retiro - Llegada]]="","",MARÍTIMOS[[#This Row],[Etapa Retiro - Llegada]]),"")</f>
        <v/>
      </c>
      <c r="U1084" s="11" t="str">
        <f>IFERROR(IF(MARÍTIMOS[[#This Row],[Etapa Retiro - Ingreso]]="","",MARÍTIMOS[[#This Row],[Etapa Retiro - Ingreso]]),"")</f>
        <v/>
      </c>
      <c r="V1084" s="11" t="str">
        <f>IFERROR(IF(MARÍTIMOS[[#This Row],[Etapa Retiro - Atención]]="","",MARÍTIMOS[[#This Row],[Etapa Retiro - Atención]]),"")</f>
        <v/>
      </c>
      <c r="W1084" s="11" t="str">
        <f>IFERROR(IF(MARÍTIMOS[[#This Row],[Etapa Retiro - Atención]]="","",MARÍTIMOS[[#This Row],[Etapa Retiro - Atención]]),"")</f>
        <v/>
      </c>
      <c r="X1084" s="11" t="str">
        <f>IFERROR(IF(MARÍTIMOS[[#This Row],[Etapa Retiro - Inicio de Ruta]]="","",MARÍTIMOS[[#This Row],[Etapa Retiro - Inicio de Ruta]]),"")</f>
        <v/>
      </c>
      <c r="Y1084" s="11" t="str">
        <f>IFERROR(IF(MARÍTIMOS[[#This Row],[Hora de Posicionamiento]]="","",MARÍTIMOS[[#This Row],[Fecha de Carga]]+MARÍTIMOS[[#This Row],[Hora de Posicionamiento]]),"")</f>
        <v/>
      </c>
      <c r="Z1084" s="11" t="str">
        <f>IFERROR(IF(MARÍTIMOS[[#This Row],[Etapa Despacho - Llegada]]="","",MARÍTIMOS[[#This Row],[Etapa Despacho - Llegada]]),"")</f>
        <v/>
      </c>
      <c r="AA1084" s="11" t="str">
        <f>IFERROR(IF(MARÍTIMOS[[#This Row],[Etapa Despacho - Registro]]="","",MARÍTIMOS[[#This Row],[Etapa Despacho - Registro]]),"")</f>
        <v/>
      </c>
      <c r="AB1084" s="11" t="str">
        <f>IFERROR(IF(MARÍTIMOS[[#This Row],[Inspección Externa]]="","",MARÍTIMOS[[#This Row],[Inspección Externa]]),"")</f>
        <v/>
      </c>
      <c r="AC1084" s="11" t="str">
        <f>IFERROR(IF(MARÍTIMOS[[#This Row],[Etapa Despacho - Inicio de Carga]]="","",MARÍTIMOS[[#This Row],[Etapa Despacho - Inicio de Carga]]),"")</f>
        <v/>
      </c>
      <c r="AD1084" s="11" t="str">
        <f>IFERROR(IF(MARÍTIMOS[[#This Row],[Etapa Despacho - Mitad de Carga]]="","",MARÍTIMOS[[#This Row],[Etapa Despacho - Mitad de Carga]]),"")</f>
        <v/>
      </c>
      <c r="AE1084" s="11" t="str">
        <f>IFERROR(IF(MARÍTIMOS[[#This Row],[Etapa Despacho - Fin de Carga]]="","",MARÍTIMOS[[#This Row],[Etapa Despacho - Fin de Carga]]),"")</f>
        <v/>
      </c>
      <c r="AF1084" s="2" t="str">
        <f>IFERROR(IF(MARÍTIMOS[[#This Row],[Puerto de Embarque]]="","",MARÍTIMOS[[#This Row],[Puerto de Embarque]]),"")</f>
        <v/>
      </c>
      <c r="AG1084" s="2" t="str">
        <f>IFERROR(IF(MARÍTIMOS[[#This Row],[Almacén de Ingreso]]="","",MARÍTIMOS[[#This Row],[Almacén de Ingreso]]),"")</f>
        <v/>
      </c>
      <c r="AH1084" s="11" t="str">
        <f>IFERROR(IF(MARÍTIMOS[[#This Row],[Etapa Ingreso - Cita]]="","",MARÍTIMOS[[#This Row],[Etapa Ingreso - Cita]]),"")</f>
        <v/>
      </c>
      <c r="AI1084" s="11" t="str">
        <f>IFERROR(IF(MARÍTIMOS[[#This Row],[Etapa Ingreso - Llegada]]="","",MARÍTIMOS[[#This Row],[Etapa Ingreso - Llegada]]),"")</f>
        <v/>
      </c>
      <c r="AJ1084" s="11" t="str">
        <f>IFERROR(IF(MARÍTIMOS[[#This Row],[Etapa Ingreso - Ingeso]]="","",MARÍTIMOS[[#This Row],[Etapa Ingreso - Ingeso]]),"")</f>
        <v/>
      </c>
      <c r="AK1084" s="11" t="str">
        <f>IFERROR(IF(MARÍTIMOS[[#This Row],[Etapa Ingreso - Atención]]="","",MARÍTIMOS[[#This Row],[Etapa Ingreso - Atención]]),"")</f>
        <v/>
      </c>
      <c r="AL1084" s="11" t="str">
        <f>IFERROR(IF(MARÍTIMOS[[#This Row],[Etapa Ingreso - Salida]]="","",MARÍTIMOS[[#This Row],[Etapa Ingreso - Salida]]),"")</f>
        <v/>
      </c>
      <c r="AM1084" s="2" t="str">
        <f>IFERROR(IF(MARÍTIMOS[[#This Row],[FCL]]="","",MARÍTIMOS[[#This Row],[FCL]]),"")</f>
        <v/>
      </c>
      <c r="AN108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4" s="4" t="str" cm="1">
        <f t="array" ref="AO108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4" s="5" t="str">
        <f>IFERROR(OLDBD[[#This Row],[Llegada a packing]]-OLDBD[[#This Row],[Inicio de Ruta]],"")</f>
        <v/>
      </c>
      <c r="AQ1084" s="6" t="str">
        <f>IFERROR(OLDBD[[#This Row],[Inicio de Ruta]]-OLDBD[[#This Row],[Salida de almacén de retiro]],"")</f>
        <v/>
      </c>
      <c r="AR108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4" s="8" t="str" cm="1">
        <f t="array" ref="AS108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4" s="9" t="str">
        <f>IFERROR(OLDBD[[#This Row],[Ingreso Packing]]-OLDBD[[#This Row],[Registro en Packing]],"")</f>
        <v/>
      </c>
      <c r="AV1084" s="9" t="str">
        <f>IFERROR(OLDBD[[#This Row],[Ingreso Packing]]-OLDBD[[#This Row],[Llegada a packing]],"")</f>
        <v/>
      </c>
      <c r="AW108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4" s="5" t="str">
        <f>IFERROR(OLDBD[[#This Row],[Llegada Almacén de Ingreso]]-OLDBD[[#This Row],[Salida Packing]],"")</f>
        <v/>
      </c>
      <c r="AY1084" s="4" t="str" cm="1">
        <f t="array" ref="AY108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4" s="43" t="s">
        <v>173</v>
      </c>
      <c r="BB1084" s="47" t="str">
        <f>IFERROR(IF(MARÍTIMOS[[#This Row],[Estatus]]="","",MARÍTIMOS[[#This Row],[Estatus]]),"")</f>
        <v/>
      </c>
      <c r="BC1084" s="43"/>
      <c r="BD1084" s="46" t="str">
        <f>IFERROR(OLDBD[[#This Row],[Salida de almacén de retiro]]-OLDBD[[#This Row],[Ingreso Almacén de retiro]],"")</f>
        <v/>
      </c>
      <c r="BE1084" s="46" t="str">
        <f>IFERROR(OLDBD[[#This Row],[Fin de Carga]]-OLDBD[[#This Row],[Inicio de Carga]],"")</f>
        <v/>
      </c>
    </row>
    <row r="1085" spans="1:57" customFormat="1" hidden="1">
      <c r="A1085" s="1"/>
      <c r="B1085" s="1" t="str">
        <f>IFERROR(IF(MARÍTIMOS[[#This Row],[PP]]="","",MARÍTIMOS[[#This Row],[PP]]),"")</f>
        <v/>
      </c>
      <c r="C1085" s="1" t="str">
        <f>IFERROR(IF(MARÍTIMOS[[#This Row],[Sede]]="","",MARÍTIMOS[[#This Row],[Sede]]),"")</f>
        <v/>
      </c>
      <c r="D1085" s="1" t="str">
        <f>IFERROR(IF(MARÍTIMOS[[#This Row],[Instruction]]="","",MARÍTIMOS[[#This Row],[Instruction]]),"")</f>
        <v/>
      </c>
      <c r="E1085" s="1"/>
      <c r="F1085" s="2" t="str">
        <f>IFERROR(IF(MARÍTIMOS[[#This Row],[Transportista]]="","",MARÍTIMOS[[#This Row],[Transportista]]),"")</f>
        <v/>
      </c>
      <c r="G1085" s="2" t="str">
        <f>IFERROR(IF(MARÍTIMOS[[#This Row],[Tercero]]="","",MARÍTIMOS[[#This Row],[Tercero]]),"")</f>
        <v/>
      </c>
      <c r="H1085" s="2" t="str">
        <f>IFERROR(IF(MARÍTIMOS[[#This Row],[Razón Social]]="","",MARÍTIMOS[[#This Row],[Razón Social]]),"")</f>
        <v/>
      </c>
      <c r="I1085" s="2" t="str">
        <f>IFERROR(IF(MARÍTIMOS[[#This Row],[RUC]]="","",MARÍTIMOS[[#This Row],[RUC]]),"")</f>
        <v/>
      </c>
      <c r="J1085" s="2" t="str">
        <f>IFERROR(IF(MARÍTIMOS[[#This Row],[Placa Tracto]]="","",MARÍTIMOS[[#This Row],[Placa Tracto]]),"")</f>
        <v/>
      </c>
      <c r="K1085" s="2" t="str">
        <f>IFERROR(IF(MARÍTIMOS[[#This Row],[Placa Carreta]]="","",MARÍTIMOS[[#This Row],[Placa Carreta]]),"")</f>
        <v/>
      </c>
      <c r="L1085" s="44" t="str">
        <f>IFERROR(IF(MARÍTIMOS[[#This Row],[Conductor]]="","",MARÍTIMOS[[#This Row],[Conductor]]),"")</f>
        <v/>
      </c>
      <c r="M1085" s="2" t="str">
        <f>IFERROR(IF(MARÍTIMOS[[#This Row],[Licencia]]="","",MARÍTIMOS[[#This Row],[Licencia]]),"")</f>
        <v/>
      </c>
      <c r="N1085" s="2" t="str">
        <f>IFERROR(IF(MARÍTIMOS[[#This Row],[Número de Contacto]]="","",MARÍTIMOS[[#This Row],[Número de Contacto]]),"")</f>
        <v/>
      </c>
      <c r="O1085" s="10" t="str">
        <f>IFERROR(IF(MARÍTIMOS[[#This Row],[Booking|AWB|CRT]]="","",MARÍTIMOS[[#This Row],[Booking|AWB|CRT]]),"")</f>
        <v/>
      </c>
      <c r="P1085" s="2" t="str">
        <f>IFERROR(IF(MARÍTIMOS[[#This Row],[Contenedor]]="","",MARÍTIMOS[[#This Row],[Contenedor]]),"")</f>
        <v/>
      </c>
      <c r="Q1085" s="2" t="str">
        <f>IFERROR(IF(MARÍTIMOS[[#This Row],[Puerto de Retiro]]="","",MARÍTIMOS[[#This Row],[Puerto de Retiro]]),"")</f>
        <v/>
      </c>
      <c r="R1085" s="2" t="str">
        <f>IFERROR(IF(MARÍTIMOS[[#This Row],[Almacén de Retiro]]="","",MARÍTIMOS[[#This Row],[Almacén de Retiro]]),"")</f>
        <v/>
      </c>
      <c r="S1085" s="11" t="str">
        <f>IFERROR(IF(MARÍTIMOS[[#This Row],[Etapa Retiro - Cita]]="","",MARÍTIMOS[[#This Row],[Etapa Retiro - Cita]]),"")</f>
        <v/>
      </c>
      <c r="T1085" s="11" t="str">
        <f>IFERROR(IF(MARÍTIMOS[[#This Row],[Etapa Retiro - Llegada]]="","",MARÍTIMOS[[#This Row],[Etapa Retiro - Llegada]]),"")</f>
        <v/>
      </c>
      <c r="U1085" s="11" t="str">
        <f>IFERROR(IF(MARÍTIMOS[[#This Row],[Etapa Retiro - Ingreso]]="","",MARÍTIMOS[[#This Row],[Etapa Retiro - Ingreso]]),"")</f>
        <v/>
      </c>
      <c r="V1085" s="11" t="str">
        <f>IFERROR(IF(MARÍTIMOS[[#This Row],[Etapa Retiro - Atención]]="","",MARÍTIMOS[[#This Row],[Etapa Retiro - Atención]]),"")</f>
        <v/>
      </c>
      <c r="W1085" s="11" t="str">
        <f>IFERROR(IF(MARÍTIMOS[[#This Row],[Etapa Retiro - Atención]]="","",MARÍTIMOS[[#This Row],[Etapa Retiro - Atención]]),"")</f>
        <v/>
      </c>
      <c r="X1085" s="11" t="str">
        <f>IFERROR(IF(MARÍTIMOS[[#This Row],[Etapa Retiro - Inicio de Ruta]]="","",MARÍTIMOS[[#This Row],[Etapa Retiro - Inicio de Ruta]]),"")</f>
        <v/>
      </c>
      <c r="Y1085" s="11" t="str">
        <f>IFERROR(IF(MARÍTIMOS[[#This Row],[Hora de Posicionamiento]]="","",MARÍTIMOS[[#This Row],[Fecha de Carga]]+MARÍTIMOS[[#This Row],[Hora de Posicionamiento]]),"")</f>
        <v/>
      </c>
      <c r="Z1085" s="11" t="str">
        <f>IFERROR(IF(MARÍTIMOS[[#This Row],[Etapa Despacho - Llegada]]="","",MARÍTIMOS[[#This Row],[Etapa Despacho - Llegada]]),"")</f>
        <v/>
      </c>
      <c r="AA1085" s="11" t="str">
        <f>IFERROR(IF(MARÍTIMOS[[#This Row],[Etapa Despacho - Registro]]="","",MARÍTIMOS[[#This Row],[Etapa Despacho - Registro]]),"")</f>
        <v/>
      </c>
      <c r="AB1085" s="11" t="str">
        <f>IFERROR(IF(MARÍTIMOS[[#This Row],[Inspección Externa]]="","",MARÍTIMOS[[#This Row],[Inspección Externa]]),"")</f>
        <v/>
      </c>
      <c r="AC1085" s="11" t="str">
        <f>IFERROR(IF(MARÍTIMOS[[#This Row],[Etapa Despacho - Inicio de Carga]]="","",MARÍTIMOS[[#This Row],[Etapa Despacho - Inicio de Carga]]),"")</f>
        <v/>
      </c>
      <c r="AD1085" s="11" t="str">
        <f>IFERROR(IF(MARÍTIMOS[[#This Row],[Etapa Despacho - Mitad de Carga]]="","",MARÍTIMOS[[#This Row],[Etapa Despacho - Mitad de Carga]]),"")</f>
        <v/>
      </c>
      <c r="AE1085" s="11" t="str">
        <f>IFERROR(IF(MARÍTIMOS[[#This Row],[Etapa Despacho - Fin de Carga]]="","",MARÍTIMOS[[#This Row],[Etapa Despacho - Fin de Carga]]),"")</f>
        <v/>
      </c>
      <c r="AF1085" s="2" t="str">
        <f>IFERROR(IF(MARÍTIMOS[[#This Row],[Puerto de Embarque]]="","",MARÍTIMOS[[#This Row],[Puerto de Embarque]]),"")</f>
        <v/>
      </c>
      <c r="AG1085" s="2" t="str">
        <f>IFERROR(IF(MARÍTIMOS[[#This Row],[Almacén de Ingreso]]="","",MARÍTIMOS[[#This Row],[Almacén de Ingreso]]),"")</f>
        <v/>
      </c>
      <c r="AH1085" s="11" t="str">
        <f>IFERROR(IF(MARÍTIMOS[[#This Row],[Etapa Ingreso - Cita]]="","",MARÍTIMOS[[#This Row],[Etapa Ingreso - Cita]]),"")</f>
        <v/>
      </c>
      <c r="AI1085" s="11" t="str">
        <f>IFERROR(IF(MARÍTIMOS[[#This Row],[Etapa Ingreso - Llegada]]="","",MARÍTIMOS[[#This Row],[Etapa Ingreso - Llegada]]),"")</f>
        <v/>
      </c>
      <c r="AJ1085" s="11" t="str">
        <f>IFERROR(IF(MARÍTIMOS[[#This Row],[Etapa Ingreso - Ingeso]]="","",MARÍTIMOS[[#This Row],[Etapa Ingreso - Ingeso]]),"")</f>
        <v/>
      </c>
      <c r="AK1085" s="11" t="str">
        <f>IFERROR(IF(MARÍTIMOS[[#This Row],[Etapa Ingreso - Atención]]="","",MARÍTIMOS[[#This Row],[Etapa Ingreso - Atención]]),"")</f>
        <v/>
      </c>
      <c r="AL1085" s="11" t="str">
        <f>IFERROR(IF(MARÍTIMOS[[#This Row],[Etapa Ingreso - Salida]]="","",MARÍTIMOS[[#This Row],[Etapa Ingreso - Salida]]),"")</f>
        <v/>
      </c>
      <c r="AM1085" s="2" t="str">
        <f>IFERROR(IF(MARÍTIMOS[[#This Row],[FCL]]="","",MARÍTIMOS[[#This Row],[FCL]]),"")</f>
        <v/>
      </c>
      <c r="AN108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5" s="4" t="str" cm="1">
        <f t="array" ref="AO108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5" s="5" t="str">
        <f>IFERROR(OLDBD[[#This Row],[Llegada a packing]]-OLDBD[[#This Row],[Inicio de Ruta]],"")</f>
        <v/>
      </c>
      <c r="AQ1085" s="6" t="str">
        <f>IFERROR(OLDBD[[#This Row],[Inicio de Ruta]]-OLDBD[[#This Row],[Salida de almacén de retiro]],"")</f>
        <v/>
      </c>
      <c r="AR108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5" s="8" t="str" cm="1">
        <f t="array" ref="AS108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5" s="9" t="str">
        <f>IFERROR(OLDBD[[#This Row],[Ingreso Packing]]-OLDBD[[#This Row],[Registro en Packing]],"")</f>
        <v/>
      </c>
      <c r="AV1085" s="9" t="str">
        <f>IFERROR(OLDBD[[#This Row],[Ingreso Packing]]-OLDBD[[#This Row],[Llegada a packing]],"")</f>
        <v/>
      </c>
      <c r="AW108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5" s="5" t="str">
        <f>IFERROR(OLDBD[[#This Row],[Llegada Almacén de Ingreso]]-OLDBD[[#This Row],[Salida Packing]],"")</f>
        <v/>
      </c>
      <c r="AY1085" s="4" t="str" cm="1">
        <f t="array" ref="AY108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5" s="43" t="s">
        <v>173</v>
      </c>
      <c r="BB1085" s="47" t="str">
        <f>IFERROR(IF(MARÍTIMOS[[#This Row],[Estatus]]="","",MARÍTIMOS[[#This Row],[Estatus]]),"")</f>
        <v/>
      </c>
      <c r="BC1085" s="43"/>
      <c r="BD1085" s="46" t="str">
        <f>IFERROR(OLDBD[[#This Row],[Salida de almacén de retiro]]-OLDBD[[#This Row],[Ingreso Almacén de retiro]],"")</f>
        <v/>
      </c>
      <c r="BE1085" s="46" t="str">
        <f>IFERROR(OLDBD[[#This Row],[Fin de Carga]]-OLDBD[[#This Row],[Inicio de Carga]],"")</f>
        <v/>
      </c>
    </row>
    <row r="1086" spans="1:57" customFormat="1" hidden="1">
      <c r="A1086" s="1"/>
      <c r="B1086" s="1" t="str">
        <f>IFERROR(IF(MARÍTIMOS[[#This Row],[PP]]="","",MARÍTIMOS[[#This Row],[PP]]),"")</f>
        <v/>
      </c>
      <c r="C1086" s="1" t="str">
        <f>IFERROR(IF(MARÍTIMOS[[#This Row],[Sede]]="","",MARÍTIMOS[[#This Row],[Sede]]),"")</f>
        <v/>
      </c>
      <c r="D1086" s="1" t="str">
        <f>IFERROR(IF(MARÍTIMOS[[#This Row],[Instruction]]="","",MARÍTIMOS[[#This Row],[Instruction]]),"")</f>
        <v/>
      </c>
      <c r="E1086" s="1"/>
      <c r="F1086" s="2" t="str">
        <f>IFERROR(IF(MARÍTIMOS[[#This Row],[Transportista]]="","",MARÍTIMOS[[#This Row],[Transportista]]),"")</f>
        <v/>
      </c>
      <c r="G1086" s="2" t="str">
        <f>IFERROR(IF(MARÍTIMOS[[#This Row],[Tercero]]="","",MARÍTIMOS[[#This Row],[Tercero]]),"")</f>
        <v/>
      </c>
      <c r="H1086" s="2" t="str">
        <f>IFERROR(IF(MARÍTIMOS[[#This Row],[Razón Social]]="","",MARÍTIMOS[[#This Row],[Razón Social]]),"")</f>
        <v/>
      </c>
      <c r="I1086" s="2" t="str">
        <f>IFERROR(IF(MARÍTIMOS[[#This Row],[RUC]]="","",MARÍTIMOS[[#This Row],[RUC]]),"")</f>
        <v/>
      </c>
      <c r="J1086" s="2" t="str">
        <f>IFERROR(IF(MARÍTIMOS[[#This Row],[Placa Tracto]]="","",MARÍTIMOS[[#This Row],[Placa Tracto]]),"")</f>
        <v/>
      </c>
      <c r="K1086" s="2" t="str">
        <f>IFERROR(IF(MARÍTIMOS[[#This Row],[Placa Carreta]]="","",MARÍTIMOS[[#This Row],[Placa Carreta]]),"")</f>
        <v/>
      </c>
      <c r="L1086" s="44" t="str">
        <f>IFERROR(IF(MARÍTIMOS[[#This Row],[Conductor]]="","",MARÍTIMOS[[#This Row],[Conductor]]),"")</f>
        <v/>
      </c>
      <c r="M1086" s="2" t="str">
        <f>IFERROR(IF(MARÍTIMOS[[#This Row],[Licencia]]="","",MARÍTIMOS[[#This Row],[Licencia]]),"")</f>
        <v/>
      </c>
      <c r="N1086" s="2" t="str">
        <f>IFERROR(IF(MARÍTIMOS[[#This Row],[Número de Contacto]]="","",MARÍTIMOS[[#This Row],[Número de Contacto]]),"")</f>
        <v/>
      </c>
      <c r="O1086" s="10" t="str">
        <f>IFERROR(IF(MARÍTIMOS[[#This Row],[Booking|AWB|CRT]]="","",MARÍTIMOS[[#This Row],[Booking|AWB|CRT]]),"")</f>
        <v/>
      </c>
      <c r="P1086" s="2" t="str">
        <f>IFERROR(IF(MARÍTIMOS[[#This Row],[Contenedor]]="","",MARÍTIMOS[[#This Row],[Contenedor]]),"")</f>
        <v/>
      </c>
      <c r="Q1086" s="2" t="str">
        <f>IFERROR(IF(MARÍTIMOS[[#This Row],[Puerto de Retiro]]="","",MARÍTIMOS[[#This Row],[Puerto de Retiro]]),"")</f>
        <v/>
      </c>
      <c r="R1086" s="2" t="str">
        <f>IFERROR(IF(MARÍTIMOS[[#This Row],[Almacén de Retiro]]="","",MARÍTIMOS[[#This Row],[Almacén de Retiro]]),"")</f>
        <v/>
      </c>
      <c r="S1086" s="11" t="str">
        <f>IFERROR(IF(MARÍTIMOS[[#This Row],[Etapa Retiro - Cita]]="","",MARÍTIMOS[[#This Row],[Etapa Retiro - Cita]]),"")</f>
        <v/>
      </c>
      <c r="T1086" s="11" t="str">
        <f>IFERROR(IF(MARÍTIMOS[[#This Row],[Etapa Retiro - Llegada]]="","",MARÍTIMOS[[#This Row],[Etapa Retiro - Llegada]]),"")</f>
        <v/>
      </c>
      <c r="U1086" s="11" t="str">
        <f>IFERROR(IF(MARÍTIMOS[[#This Row],[Etapa Retiro - Ingreso]]="","",MARÍTIMOS[[#This Row],[Etapa Retiro - Ingreso]]),"")</f>
        <v/>
      </c>
      <c r="V1086" s="11" t="str">
        <f>IFERROR(IF(MARÍTIMOS[[#This Row],[Etapa Retiro - Atención]]="","",MARÍTIMOS[[#This Row],[Etapa Retiro - Atención]]),"")</f>
        <v/>
      </c>
      <c r="W1086" s="11" t="str">
        <f>IFERROR(IF(MARÍTIMOS[[#This Row],[Etapa Retiro - Atención]]="","",MARÍTIMOS[[#This Row],[Etapa Retiro - Atención]]),"")</f>
        <v/>
      </c>
      <c r="X1086" s="11" t="str">
        <f>IFERROR(IF(MARÍTIMOS[[#This Row],[Etapa Retiro - Inicio de Ruta]]="","",MARÍTIMOS[[#This Row],[Etapa Retiro - Inicio de Ruta]]),"")</f>
        <v/>
      </c>
      <c r="Y1086" s="11" t="str">
        <f>IFERROR(IF(MARÍTIMOS[[#This Row],[Hora de Posicionamiento]]="","",MARÍTIMOS[[#This Row],[Fecha de Carga]]+MARÍTIMOS[[#This Row],[Hora de Posicionamiento]]),"")</f>
        <v/>
      </c>
      <c r="Z1086" s="11" t="str">
        <f>IFERROR(IF(MARÍTIMOS[[#This Row],[Etapa Despacho - Llegada]]="","",MARÍTIMOS[[#This Row],[Etapa Despacho - Llegada]]),"")</f>
        <v/>
      </c>
      <c r="AA1086" s="11" t="str">
        <f>IFERROR(IF(MARÍTIMOS[[#This Row],[Etapa Despacho - Registro]]="","",MARÍTIMOS[[#This Row],[Etapa Despacho - Registro]]),"")</f>
        <v/>
      </c>
      <c r="AB1086" s="11" t="str">
        <f>IFERROR(IF(MARÍTIMOS[[#This Row],[Inspección Externa]]="","",MARÍTIMOS[[#This Row],[Inspección Externa]]),"")</f>
        <v/>
      </c>
      <c r="AC1086" s="11" t="str">
        <f>IFERROR(IF(MARÍTIMOS[[#This Row],[Etapa Despacho - Inicio de Carga]]="","",MARÍTIMOS[[#This Row],[Etapa Despacho - Inicio de Carga]]),"")</f>
        <v/>
      </c>
      <c r="AD1086" s="11" t="str">
        <f>IFERROR(IF(MARÍTIMOS[[#This Row],[Etapa Despacho - Mitad de Carga]]="","",MARÍTIMOS[[#This Row],[Etapa Despacho - Mitad de Carga]]),"")</f>
        <v/>
      </c>
      <c r="AE1086" s="11" t="str">
        <f>IFERROR(IF(MARÍTIMOS[[#This Row],[Etapa Despacho - Fin de Carga]]="","",MARÍTIMOS[[#This Row],[Etapa Despacho - Fin de Carga]]),"")</f>
        <v/>
      </c>
      <c r="AF1086" s="2" t="str">
        <f>IFERROR(IF(MARÍTIMOS[[#This Row],[Puerto de Embarque]]="","",MARÍTIMOS[[#This Row],[Puerto de Embarque]]),"")</f>
        <v/>
      </c>
      <c r="AG1086" s="2" t="str">
        <f>IFERROR(IF(MARÍTIMOS[[#This Row],[Almacén de Ingreso]]="","",MARÍTIMOS[[#This Row],[Almacén de Ingreso]]),"")</f>
        <v/>
      </c>
      <c r="AH1086" s="11" t="str">
        <f>IFERROR(IF(MARÍTIMOS[[#This Row],[Etapa Ingreso - Cita]]="","",MARÍTIMOS[[#This Row],[Etapa Ingreso - Cita]]),"")</f>
        <v/>
      </c>
      <c r="AI1086" s="11" t="str">
        <f>IFERROR(IF(MARÍTIMOS[[#This Row],[Etapa Ingreso - Llegada]]="","",MARÍTIMOS[[#This Row],[Etapa Ingreso - Llegada]]),"")</f>
        <v/>
      </c>
      <c r="AJ1086" s="11" t="str">
        <f>IFERROR(IF(MARÍTIMOS[[#This Row],[Etapa Ingreso - Ingeso]]="","",MARÍTIMOS[[#This Row],[Etapa Ingreso - Ingeso]]),"")</f>
        <v/>
      </c>
      <c r="AK1086" s="11" t="str">
        <f>IFERROR(IF(MARÍTIMOS[[#This Row],[Etapa Ingreso - Atención]]="","",MARÍTIMOS[[#This Row],[Etapa Ingreso - Atención]]),"")</f>
        <v/>
      </c>
      <c r="AL1086" s="11" t="str">
        <f>IFERROR(IF(MARÍTIMOS[[#This Row],[Etapa Ingreso - Salida]]="","",MARÍTIMOS[[#This Row],[Etapa Ingreso - Salida]]),"")</f>
        <v/>
      </c>
      <c r="AM1086" s="2" t="str">
        <f>IFERROR(IF(MARÍTIMOS[[#This Row],[FCL]]="","",MARÍTIMOS[[#This Row],[FCL]]),"")</f>
        <v/>
      </c>
      <c r="AN108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6" s="4" t="str" cm="1">
        <f t="array" ref="AO108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6" s="5" t="str">
        <f>IFERROR(OLDBD[[#This Row],[Llegada a packing]]-OLDBD[[#This Row],[Inicio de Ruta]],"")</f>
        <v/>
      </c>
      <c r="AQ1086" s="6" t="str">
        <f>IFERROR(OLDBD[[#This Row],[Inicio de Ruta]]-OLDBD[[#This Row],[Salida de almacén de retiro]],"")</f>
        <v/>
      </c>
      <c r="AR108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6" s="8" t="str" cm="1">
        <f t="array" ref="AS108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6" s="9" t="str">
        <f>IFERROR(OLDBD[[#This Row],[Ingreso Packing]]-OLDBD[[#This Row],[Registro en Packing]],"")</f>
        <v/>
      </c>
      <c r="AV1086" s="9" t="str">
        <f>IFERROR(OLDBD[[#This Row],[Ingreso Packing]]-OLDBD[[#This Row],[Llegada a packing]],"")</f>
        <v/>
      </c>
      <c r="AW108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6" s="5" t="str">
        <f>IFERROR(OLDBD[[#This Row],[Llegada Almacén de Ingreso]]-OLDBD[[#This Row],[Salida Packing]],"")</f>
        <v/>
      </c>
      <c r="AY1086" s="4" t="str" cm="1">
        <f t="array" ref="AY108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6" s="43" t="s">
        <v>173</v>
      </c>
      <c r="BB1086" s="47" t="str">
        <f>IFERROR(IF(MARÍTIMOS[[#This Row],[Estatus]]="","",MARÍTIMOS[[#This Row],[Estatus]]),"")</f>
        <v/>
      </c>
      <c r="BC1086" s="43"/>
      <c r="BD1086" s="46" t="str">
        <f>IFERROR(OLDBD[[#This Row],[Salida de almacén de retiro]]-OLDBD[[#This Row],[Ingreso Almacén de retiro]],"")</f>
        <v/>
      </c>
      <c r="BE1086" s="46" t="str">
        <f>IFERROR(OLDBD[[#This Row],[Fin de Carga]]-OLDBD[[#This Row],[Inicio de Carga]],"")</f>
        <v/>
      </c>
    </row>
    <row r="1087" spans="1:57" customFormat="1" hidden="1">
      <c r="A1087" s="1"/>
      <c r="B1087" s="1" t="str">
        <f>IFERROR(IF(MARÍTIMOS[[#This Row],[PP]]="","",MARÍTIMOS[[#This Row],[PP]]),"")</f>
        <v/>
      </c>
      <c r="C1087" s="1" t="str">
        <f>IFERROR(IF(MARÍTIMOS[[#This Row],[Sede]]="","",MARÍTIMOS[[#This Row],[Sede]]),"")</f>
        <v/>
      </c>
      <c r="D1087" s="1" t="str">
        <f>IFERROR(IF(MARÍTIMOS[[#This Row],[Instruction]]="","",MARÍTIMOS[[#This Row],[Instruction]]),"")</f>
        <v/>
      </c>
      <c r="E1087" s="1"/>
      <c r="F1087" s="2" t="str">
        <f>IFERROR(IF(MARÍTIMOS[[#This Row],[Transportista]]="","",MARÍTIMOS[[#This Row],[Transportista]]),"")</f>
        <v/>
      </c>
      <c r="G1087" s="2" t="str">
        <f>IFERROR(IF(MARÍTIMOS[[#This Row],[Tercero]]="","",MARÍTIMOS[[#This Row],[Tercero]]),"")</f>
        <v/>
      </c>
      <c r="H1087" s="2" t="str">
        <f>IFERROR(IF(MARÍTIMOS[[#This Row],[Razón Social]]="","",MARÍTIMOS[[#This Row],[Razón Social]]),"")</f>
        <v/>
      </c>
      <c r="I1087" s="2" t="str">
        <f>IFERROR(IF(MARÍTIMOS[[#This Row],[RUC]]="","",MARÍTIMOS[[#This Row],[RUC]]),"")</f>
        <v/>
      </c>
      <c r="J1087" s="2" t="str">
        <f>IFERROR(IF(MARÍTIMOS[[#This Row],[Placa Tracto]]="","",MARÍTIMOS[[#This Row],[Placa Tracto]]),"")</f>
        <v/>
      </c>
      <c r="K1087" s="2" t="str">
        <f>IFERROR(IF(MARÍTIMOS[[#This Row],[Placa Carreta]]="","",MARÍTIMOS[[#This Row],[Placa Carreta]]),"")</f>
        <v/>
      </c>
      <c r="L1087" s="44" t="str">
        <f>IFERROR(IF(MARÍTIMOS[[#This Row],[Conductor]]="","",MARÍTIMOS[[#This Row],[Conductor]]),"")</f>
        <v/>
      </c>
      <c r="M1087" s="2" t="str">
        <f>IFERROR(IF(MARÍTIMOS[[#This Row],[Licencia]]="","",MARÍTIMOS[[#This Row],[Licencia]]),"")</f>
        <v/>
      </c>
      <c r="N1087" s="2" t="str">
        <f>IFERROR(IF(MARÍTIMOS[[#This Row],[Número de Contacto]]="","",MARÍTIMOS[[#This Row],[Número de Contacto]]),"")</f>
        <v/>
      </c>
      <c r="O1087" s="10" t="str">
        <f>IFERROR(IF(MARÍTIMOS[[#This Row],[Booking|AWB|CRT]]="","",MARÍTIMOS[[#This Row],[Booking|AWB|CRT]]),"")</f>
        <v/>
      </c>
      <c r="P1087" s="2" t="str">
        <f>IFERROR(IF(MARÍTIMOS[[#This Row],[Contenedor]]="","",MARÍTIMOS[[#This Row],[Contenedor]]),"")</f>
        <v/>
      </c>
      <c r="Q1087" s="2" t="str">
        <f>IFERROR(IF(MARÍTIMOS[[#This Row],[Puerto de Retiro]]="","",MARÍTIMOS[[#This Row],[Puerto de Retiro]]),"")</f>
        <v/>
      </c>
      <c r="R1087" s="2" t="str">
        <f>IFERROR(IF(MARÍTIMOS[[#This Row],[Almacén de Retiro]]="","",MARÍTIMOS[[#This Row],[Almacén de Retiro]]),"")</f>
        <v/>
      </c>
      <c r="S1087" s="11" t="str">
        <f>IFERROR(IF(MARÍTIMOS[[#This Row],[Etapa Retiro - Cita]]="","",MARÍTIMOS[[#This Row],[Etapa Retiro - Cita]]),"")</f>
        <v/>
      </c>
      <c r="T1087" s="11" t="str">
        <f>IFERROR(IF(MARÍTIMOS[[#This Row],[Etapa Retiro - Llegada]]="","",MARÍTIMOS[[#This Row],[Etapa Retiro - Llegada]]),"")</f>
        <v/>
      </c>
      <c r="U1087" s="11" t="str">
        <f>IFERROR(IF(MARÍTIMOS[[#This Row],[Etapa Retiro - Ingreso]]="","",MARÍTIMOS[[#This Row],[Etapa Retiro - Ingreso]]),"")</f>
        <v/>
      </c>
      <c r="V1087" s="11" t="str">
        <f>IFERROR(IF(MARÍTIMOS[[#This Row],[Etapa Retiro - Atención]]="","",MARÍTIMOS[[#This Row],[Etapa Retiro - Atención]]),"")</f>
        <v/>
      </c>
      <c r="W1087" s="11" t="str">
        <f>IFERROR(IF(MARÍTIMOS[[#This Row],[Etapa Retiro - Atención]]="","",MARÍTIMOS[[#This Row],[Etapa Retiro - Atención]]),"")</f>
        <v/>
      </c>
      <c r="X1087" s="11" t="str">
        <f>IFERROR(IF(MARÍTIMOS[[#This Row],[Etapa Retiro - Inicio de Ruta]]="","",MARÍTIMOS[[#This Row],[Etapa Retiro - Inicio de Ruta]]),"")</f>
        <v/>
      </c>
      <c r="Y1087" s="11" t="str">
        <f>IFERROR(IF(MARÍTIMOS[[#This Row],[Hora de Posicionamiento]]="","",MARÍTIMOS[[#This Row],[Fecha de Carga]]+MARÍTIMOS[[#This Row],[Hora de Posicionamiento]]),"")</f>
        <v/>
      </c>
      <c r="Z1087" s="11" t="str">
        <f>IFERROR(IF(MARÍTIMOS[[#This Row],[Etapa Despacho - Llegada]]="","",MARÍTIMOS[[#This Row],[Etapa Despacho - Llegada]]),"")</f>
        <v/>
      </c>
      <c r="AA1087" s="11" t="str">
        <f>IFERROR(IF(MARÍTIMOS[[#This Row],[Etapa Despacho - Registro]]="","",MARÍTIMOS[[#This Row],[Etapa Despacho - Registro]]),"")</f>
        <v/>
      </c>
      <c r="AB1087" s="11" t="str">
        <f>IFERROR(IF(MARÍTIMOS[[#This Row],[Inspección Externa]]="","",MARÍTIMOS[[#This Row],[Inspección Externa]]),"")</f>
        <v/>
      </c>
      <c r="AC1087" s="11" t="str">
        <f>IFERROR(IF(MARÍTIMOS[[#This Row],[Etapa Despacho - Inicio de Carga]]="","",MARÍTIMOS[[#This Row],[Etapa Despacho - Inicio de Carga]]),"")</f>
        <v/>
      </c>
      <c r="AD1087" s="11" t="str">
        <f>IFERROR(IF(MARÍTIMOS[[#This Row],[Etapa Despacho - Mitad de Carga]]="","",MARÍTIMOS[[#This Row],[Etapa Despacho - Mitad de Carga]]),"")</f>
        <v/>
      </c>
      <c r="AE1087" s="11" t="str">
        <f>IFERROR(IF(MARÍTIMOS[[#This Row],[Etapa Despacho - Fin de Carga]]="","",MARÍTIMOS[[#This Row],[Etapa Despacho - Fin de Carga]]),"")</f>
        <v/>
      </c>
      <c r="AF1087" s="2" t="str">
        <f>IFERROR(IF(MARÍTIMOS[[#This Row],[Puerto de Embarque]]="","",MARÍTIMOS[[#This Row],[Puerto de Embarque]]),"")</f>
        <v/>
      </c>
      <c r="AG1087" s="2" t="str">
        <f>IFERROR(IF(MARÍTIMOS[[#This Row],[Almacén de Ingreso]]="","",MARÍTIMOS[[#This Row],[Almacén de Ingreso]]),"")</f>
        <v/>
      </c>
      <c r="AH1087" s="11" t="str">
        <f>IFERROR(IF(MARÍTIMOS[[#This Row],[Etapa Ingreso - Cita]]="","",MARÍTIMOS[[#This Row],[Etapa Ingreso - Cita]]),"")</f>
        <v/>
      </c>
      <c r="AI1087" s="11" t="str">
        <f>IFERROR(IF(MARÍTIMOS[[#This Row],[Etapa Ingreso - Llegada]]="","",MARÍTIMOS[[#This Row],[Etapa Ingreso - Llegada]]),"")</f>
        <v/>
      </c>
      <c r="AJ1087" s="11" t="str">
        <f>IFERROR(IF(MARÍTIMOS[[#This Row],[Etapa Ingreso - Ingeso]]="","",MARÍTIMOS[[#This Row],[Etapa Ingreso - Ingeso]]),"")</f>
        <v/>
      </c>
      <c r="AK1087" s="11" t="str">
        <f>IFERROR(IF(MARÍTIMOS[[#This Row],[Etapa Ingreso - Atención]]="","",MARÍTIMOS[[#This Row],[Etapa Ingreso - Atención]]),"")</f>
        <v/>
      </c>
      <c r="AL1087" s="11" t="str">
        <f>IFERROR(IF(MARÍTIMOS[[#This Row],[Etapa Ingreso - Salida]]="","",MARÍTIMOS[[#This Row],[Etapa Ingreso - Salida]]),"")</f>
        <v/>
      </c>
      <c r="AM1087" s="2" t="str">
        <f>IFERROR(IF(MARÍTIMOS[[#This Row],[FCL]]="","",MARÍTIMOS[[#This Row],[FCL]]),"")</f>
        <v/>
      </c>
      <c r="AN108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7" s="4" t="str" cm="1">
        <f t="array" ref="AO108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7" s="5" t="str">
        <f>IFERROR(OLDBD[[#This Row],[Llegada a packing]]-OLDBD[[#This Row],[Inicio de Ruta]],"")</f>
        <v/>
      </c>
      <c r="AQ1087" s="6" t="str">
        <f>IFERROR(OLDBD[[#This Row],[Inicio de Ruta]]-OLDBD[[#This Row],[Salida de almacén de retiro]],"")</f>
        <v/>
      </c>
      <c r="AR108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7" s="8" t="str" cm="1">
        <f t="array" ref="AS108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7" s="9" t="str">
        <f>IFERROR(OLDBD[[#This Row],[Ingreso Packing]]-OLDBD[[#This Row],[Registro en Packing]],"")</f>
        <v/>
      </c>
      <c r="AV1087" s="9" t="str">
        <f>IFERROR(OLDBD[[#This Row],[Ingreso Packing]]-OLDBD[[#This Row],[Llegada a packing]],"")</f>
        <v/>
      </c>
      <c r="AW108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7" s="5" t="str">
        <f>IFERROR(OLDBD[[#This Row],[Llegada Almacén de Ingreso]]-OLDBD[[#This Row],[Salida Packing]],"")</f>
        <v/>
      </c>
      <c r="AY1087" s="4" t="str" cm="1">
        <f t="array" ref="AY108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7" s="43" t="s">
        <v>173</v>
      </c>
      <c r="BB1087" s="47" t="str">
        <f>IFERROR(IF(MARÍTIMOS[[#This Row],[Estatus]]="","",MARÍTIMOS[[#This Row],[Estatus]]),"")</f>
        <v/>
      </c>
      <c r="BC1087" s="43"/>
      <c r="BD1087" s="46" t="str">
        <f>IFERROR(OLDBD[[#This Row],[Salida de almacén de retiro]]-OLDBD[[#This Row],[Ingreso Almacén de retiro]],"")</f>
        <v/>
      </c>
      <c r="BE1087" s="46" t="str">
        <f>IFERROR(OLDBD[[#This Row],[Fin de Carga]]-OLDBD[[#This Row],[Inicio de Carga]],"")</f>
        <v/>
      </c>
    </row>
    <row r="1088" spans="1:57" customFormat="1" hidden="1">
      <c r="A1088" s="1"/>
      <c r="B1088" s="1" t="str">
        <f>IFERROR(IF(MARÍTIMOS[[#This Row],[PP]]="","",MARÍTIMOS[[#This Row],[PP]]),"")</f>
        <v/>
      </c>
      <c r="C1088" s="1" t="str">
        <f>IFERROR(IF(MARÍTIMOS[[#This Row],[Sede]]="","",MARÍTIMOS[[#This Row],[Sede]]),"")</f>
        <v/>
      </c>
      <c r="D1088" s="1" t="str">
        <f>IFERROR(IF(MARÍTIMOS[[#This Row],[Instruction]]="","",MARÍTIMOS[[#This Row],[Instruction]]),"")</f>
        <v/>
      </c>
      <c r="E1088" s="1"/>
      <c r="F1088" s="2" t="str">
        <f>IFERROR(IF(MARÍTIMOS[[#This Row],[Transportista]]="","",MARÍTIMOS[[#This Row],[Transportista]]),"")</f>
        <v/>
      </c>
      <c r="G1088" s="2" t="str">
        <f>IFERROR(IF(MARÍTIMOS[[#This Row],[Tercero]]="","",MARÍTIMOS[[#This Row],[Tercero]]),"")</f>
        <v/>
      </c>
      <c r="H1088" s="2" t="str">
        <f>IFERROR(IF(MARÍTIMOS[[#This Row],[Razón Social]]="","",MARÍTIMOS[[#This Row],[Razón Social]]),"")</f>
        <v/>
      </c>
      <c r="I1088" s="2" t="str">
        <f>IFERROR(IF(MARÍTIMOS[[#This Row],[RUC]]="","",MARÍTIMOS[[#This Row],[RUC]]),"")</f>
        <v/>
      </c>
      <c r="J1088" s="2" t="str">
        <f>IFERROR(IF(MARÍTIMOS[[#This Row],[Placa Tracto]]="","",MARÍTIMOS[[#This Row],[Placa Tracto]]),"")</f>
        <v/>
      </c>
      <c r="K1088" s="2" t="str">
        <f>IFERROR(IF(MARÍTIMOS[[#This Row],[Placa Carreta]]="","",MARÍTIMOS[[#This Row],[Placa Carreta]]),"")</f>
        <v/>
      </c>
      <c r="L1088" s="44" t="str">
        <f>IFERROR(IF(MARÍTIMOS[[#This Row],[Conductor]]="","",MARÍTIMOS[[#This Row],[Conductor]]),"")</f>
        <v/>
      </c>
      <c r="M1088" s="2" t="str">
        <f>IFERROR(IF(MARÍTIMOS[[#This Row],[Licencia]]="","",MARÍTIMOS[[#This Row],[Licencia]]),"")</f>
        <v/>
      </c>
      <c r="N1088" s="2" t="str">
        <f>IFERROR(IF(MARÍTIMOS[[#This Row],[Número de Contacto]]="","",MARÍTIMOS[[#This Row],[Número de Contacto]]),"")</f>
        <v/>
      </c>
      <c r="O1088" s="10" t="str">
        <f>IFERROR(IF(MARÍTIMOS[[#This Row],[Booking|AWB|CRT]]="","",MARÍTIMOS[[#This Row],[Booking|AWB|CRT]]),"")</f>
        <v/>
      </c>
      <c r="P1088" s="2" t="str">
        <f>IFERROR(IF(MARÍTIMOS[[#This Row],[Contenedor]]="","",MARÍTIMOS[[#This Row],[Contenedor]]),"")</f>
        <v/>
      </c>
      <c r="Q1088" s="2" t="str">
        <f>IFERROR(IF(MARÍTIMOS[[#This Row],[Puerto de Retiro]]="","",MARÍTIMOS[[#This Row],[Puerto de Retiro]]),"")</f>
        <v/>
      </c>
      <c r="R1088" s="2" t="str">
        <f>IFERROR(IF(MARÍTIMOS[[#This Row],[Almacén de Retiro]]="","",MARÍTIMOS[[#This Row],[Almacén de Retiro]]),"")</f>
        <v/>
      </c>
      <c r="S1088" s="11" t="str">
        <f>IFERROR(IF(MARÍTIMOS[[#This Row],[Etapa Retiro - Cita]]="","",MARÍTIMOS[[#This Row],[Etapa Retiro - Cita]]),"")</f>
        <v/>
      </c>
      <c r="T1088" s="11" t="str">
        <f>IFERROR(IF(MARÍTIMOS[[#This Row],[Etapa Retiro - Llegada]]="","",MARÍTIMOS[[#This Row],[Etapa Retiro - Llegada]]),"")</f>
        <v/>
      </c>
      <c r="U1088" s="11" t="str">
        <f>IFERROR(IF(MARÍTIMOS[[#This Row],[Etapa Retiro - Ingreso]]="","",MARÍTIMOS[[#This Row],[Etapa Retiro - Ingreso]]),"")</f>
        <v/>
      </c>
      <c r="V1088" s="11" t="str">
        <f>IFERROR(IF(MARÍTIMOS[[#This Row],[Etapa Retiro - Atención]]="","",MARÍTIMOS[[#This Row],[Etapa Retiro - Atención]]),"")</f>
        <v/>
      </c>
      <c r="W1088" s="11" t="str">
        <f>IFERROR(IF(MARÍTIMOS[[#This Row],[Etapa Retiro - Atención]]="","",MARÍTIMOS[[#This Row],[Etapa Retiro - Atención]]),"")</f>
        <v/>
      </c>
      <c r="X1088" s="11" t="str">
        <f>IFERROR(IF(MARÍTIMOS[[#This Row],[Etapa Retiro - Inicio de Ruta]]="","",MARÍTIMOS[[#This Row],[Etapa Retiro - Inicio de Ruta]]),"")</f>
        <v/>
      </c>
      <c r="Y1088" s="11" t="str">
        <f>IFERROR(IF(MARÍTIMOS[[#This Row],[Hora de Posicionamiento]]="","",MARÍTIMOS[[#This Row],[Fecha de Carga]]+MARÍTIMOS[[#This Row],[Hora de Posicionamiento]]),"")</f>
        <v/>
      </c>
      <c r="Z1088" s="11" t="str">
        <f>IFERROR(IF(MARÍTIMOS[[#This Row],[Etapa Despacho - Llegada]]="","",MARÍTIMOS[[#This Row],[Etapa Despacho - Llegada]]),"")</f>
        <v/>
      </c>
      <c r="AA1088" s="11" t="str">
        <f>IFERROR(IF(MARÍTIMOS[[#This Row],[Etapa Despacho - Registro]]="","",MARÍTIMOS[[#This Row],[Etapa Despacho - Registro]]),"")</f>
        <v/>
      </c>
      <c r="AB1088" s="11" t="str">
        <f>IFERROR(IF(MARÍTIMOS[[#This Row],[Inspección Externa]]="","",MARÍTIMOS[[#This Row],[Inspección Externa]]),"")</f>
        <v/>
      </c>
      <c r="AC1088" s="11" t="str">
        <f>IFERROR(IF(MARÍTIMOS[[#This Row],[Etapa Despacho - Inicio de Carga]]="","",MARÍTIMOS[[#This Row],[Etapa Despacho - Inicio de Carga]]),"")</f>
        <v/>
      </c>
      <c r="AD1088" s="11" t="str">
        <f>IFERROR(IF(MARÍTIMOS[[#This Row],[Etapa Despacho - Mitad de Carga]]="","",MARÍTIMOS[[#This Row],[Etapa Despacho - Mitad de Carga]]),"")</f>
        <v/>
      </c>
      <c r="AE1088" s="11" t="str">
        <f>IFERROR(IF(MARÍTIMOS[[#This Row],[Etapa Despacho - Fin de Carga]]="","",MARÍTIMOS[[#This Row],[Etapa Despacho - Fin de Carga]]),"")</f>
        <v/>
      </c>
      <c r="AF1088" s="2" t="str">
        <f>IFERROR(IF(MARÍTIMOS[[#This Row],[Puerto de Embarque]]="","",MARÍTIMOS[[#This Row],[Puerto de Embarque]]),"")</f>
        <v/>
      </c>
      <c r="AG1088" s="2" t="str">
        <f>IFERROR(IF(MARÍTIMOS[[#This Row],[Almacén de Ingreso]]="","",MARÍTIMOS[[#This Row],[Almacén de Ingreso]]),"")</f>
        <v/>
      </c>
      <c r="AH1088" s="11" t="str">
        <f>IFERROR(IF(MARÍTIMOS[[#This Row],[Etapa Ingreso - Cita]]="","",MARÍTIMOS[[#This Row],[Etapa Ingreso - Cita]]),"")</f>
        <v/>
      </c>
      <c r="AI1088" s="11" t="str">
        <f>IFERROR(IF(MARÍTIMOS[[#This Row],[Etapa Ingreso - Llegada]]="","",MARÍTIMOS[[#This Row],[Etapa Ingreso - Llegada]]),"")</f>
        <v/>
      </c>
      <c r="AJ1088" s="11" t="str">
        <f>IFERROR(IF(MARÍTIMOS[[#This Row],[Etapa Ingreso - Ingeso]]="","",MARÍTIMOS[[#This Row],[Etapa Ingreso - Ingeso]]),"")</f>
        <v/>
      </c>
      <c r="AK1088" s="11" t="str">
        <f>IFERROR(IF(MARÍTIMOS[[#This Row],[Etapa Ingreso - Atención]]="","",MARÍTIMOS[[#This Row],[Etapa Ingreso - Atención]]),"")</f>
        <v/>
      </c>
      <c r="AL1088" s="11" t="str">
        <f>IFERROR(IF(MARÍTIMOS[[#This Row],[Etapa Ingreso - Salida]]="","",MARÍTIMOS[[#This Row],[Etapa Ingreso - Salida]]),"")</f>
        <v/>
      </c>
      <c r="AM1088" s="2" t="str">
        <f>IFERROR(IF(MARÍTIMOS[[#This Row],[FCL]]="","",MARÍTIMOS[[#This Row],[FCL]]),"")</f>
        <v/>
      </c>
      <c r="AN108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8" s="4" t="str" cm="1">
        <f t="array" ref="AO108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8" s="5" t="str">
        <f>IFERROR(OLDBD[[#This Row],[Llegada a packing]]-OLDBD[[#This Row],[Inicio de Ruta]],"")</f>
        <v/>
      </c>
      <c r="AQ1088" s="6" t="str">
        <f>IFERROR(OLDBD[[#This Row],[Inicio de Ruta]]-OLDBD[[#This Row],[Salida de almacén de retiro]],"")</f>
        <v/>
      </c>
      <c r="AR108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8" s="8" t="str" cm="1">
        <f t="array" ref="AS108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8" s="9" t="str">
        <f>IFERROR(OLDBD[[#This Row],[Ingreso Packing]]-OLDBD[[#This Row],[Registro en Packing]],"")</f>
        <v/>
      </c>
      <c r="AV1088" s="9" t="str">
        <f>IFERROR(OLDBD[[#This Row],[Ingreso Packing]]-OLDBD[[#This Row],[Llegada a packing]],"")</f>
        <v/>
      </c>
      <c r="AW108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8" s="5" t="str">
        <f>IFERROR(OLDBD[[#This Row],[Llegada Almacén de Ingreso]]-OLDBD[[#This Row],[Salida Packing]],"")</f>
        <v/>
      </c>
      <c r="AY1088" s="4" t="str" cm="1">
        <f t="array" ref="AY108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8" s="43" t="s">
        <v>173</v>
      </c>
      <c r="BB1088" s="47" t="str">
        <f>IFERROR(IF(MARÍTIMOS[[#This Row],[Estatus]]="","",MARÍTIMOS[[#This Row],[Estatus]]),"")</f>
        <v/>
      </c>
      <c r="BC1088" s="43"/>
      <c r="BD1088" s="46" t="str">
        <f>IFERROR(OLDBD[[#This Row],[Salida de almacén de retiro]]-OLDBD[[#This Row],[Ingreso Almacén de retiro]],"")</f>
        <v/>
      </c>
      <c r="BE1088" s="46" t="str">
        <f>IFERROR(OLDBD[[#This Row],[Fin de Carga]]-OLDBD[[#This Row],[Inicio de Carga]],"")</f>
        <v/>
      </c>
    </row>
    <row r="1089" spans="1:57" customFormat="1" hidden="1">
      <c r="A1089" s="1"/>
      <c r="B1089" s="1" t="str">
        <f>IFERROR(IF(MARÍTIMOS[[#This Row],[PP]]="","",MARÍTIMOS[[#This Row],[PP]]),"")</f>
        <v/>
      </c>
      <c r="C1089" s="1" t="str">
        <f>IFERROR(IF(MARÍTIMOS[[#This Row],[Sede]]="","",MARÍTIMOS[[#This Row],[Sede]]),"")</f>
        <v/>
      </c>
      <c r="D1089" s="1" t="str">
        <f>IFERROR(IF(MARÍTIMOS[[#This Row],[Instruction]]="","",MARÍTIMOS[[#This Row],[Instruction]]),"")</f>
        <v/>
      </c>
      <c r="E1089" s="1"/>
      <c r="F1089" s="2" t="str">
        <f>IFERROR(IF(MARÍTIMOS[[#This Row],[Transportista]]="","",MARÍTIMOS[[#This Row],[Transportista]]),"")</f>
        <v/>
      </c>
      <c r="G1089" s="2" t="str">
        <f>IFERROR(IF(MARÍTIMOS[[#This Row],[Tercero]]="","",MARÍTIMOS[[#This Row],[Tercero]]),"")</f>
        <v/>
      </c>
      <c r="H1089" s="2" t="str">
        <f>IFERROR(IF(MARÍTIMOS[[#This Row],[Razón Social]]="","",MARÍTIMOS[[#This Row],[Razón Social]]),"")</f>
        <v/>
      </c>
      <c r="I1089" s="2" t="str">
        <f>IFERROR(IF(MARÍTIMOS[[#This Row],[RUC]]="","",MARÍTIMOS[[#This Row],[RUC]]),"")</f>
        <v/>
      </c>
      <c r="J1089" s="2" t="str">
        <f>IFERROR(IF(MARÍTIMOS[[#This Row],[Placa Tracto]]="","",MARÍTIMOS[[#This Row],[Placa Tracto]]),"")</f>
        <v/>
      </c>
      <c r="K1089" s="2" t="str">
        <f>IFERROR(IF(MARÍTIMOS[[#This Row],[Placa Carreta]]="","",MARÍTIMOS[[#This Row],[Placa Carreta]]),"")</f>
        <v/>
      </c>
      <c r="L1089" s="44" t="str">
        <f>IFERROR(IF(MARÍTIMOS[[#This Row],[Conductor]]="","",MARÍTIMOS[[#This Row],[Conductor]]),"")</f>
        <v/>
      </c>
      <c r="M1089" s="2" t="str">
        <f>IFERROR(IF(MARÍTIMOS[[#This Row],[Licencia]]="","",MARÍTIMOS[[#This Row],[Licencia]]),"")</f>
        <v/>
      </c>
      <c r="N1089" s="2" t="str">
        <f>IFERROR(IF(MARÍTIMOS[[#This Row],[Número de Contacto]]="","",MARÍTIMOS[[#This Row],[Número de Contacto]]),"")</f>
        <v/>
      </c>
      <c r="O1089" s="10" t="str">
        <f>IFERROR(IF(MARÍTIMOS[[#This Row],[Booking|AWB|CRT]]="","",MARÍTIMOS[[#This Row],[Booking|AWB|CRT]]),"")</f>
        <v/>
      </c>
      <c r="P1089" s="2" t="str">
        <f>IFERROR(IF(MARÍTIMOS[[#This Row],[Contenedor]]="","",MARÍTIMOS[[#This Row],[Contenedor]]),"")</f>
        <v/>
      </c>
      <c r="Q1089" s="2" t="str">
        <f>IFERROR(IF(MARÍTIMOS[[#This Row],[Puerto de Retiro]]="","",MARÍTIMOS[[#This Row],[Puerto de Retiro]]),"")</f>
        <v/>
      </c>
      <c r="R1089" s="2" t="str">
        <f>IFERROR(IF(MARÍTIMOS[[#This Row],[Almacén de Retiro]]="","",MARÍTIMOS[[#This Row],[Almacén de Retiro]]),"")</f>
        <v/>
      </c>
      <c r="S1089" s="11" t="str">
        <f>IFERROR(IF(MARÍTIMOS[[#This Row],[Etapa Retiro - Cita]]="","",MARÍTIMOS[[#This Row],[Etapa Retiro - Cita]]),"")</f>
        <v/>
      </c>
      <c r="T1089" s="11" t="str">
        <f>IFERROR(IF(MARÍTIMOS[[#This Row],[Etapa Retiro - Llegada]]="","",MARÍTIMOS[[#This Row],[Etapa Retiro - Llegada]]),"")</f>
        <v/>
      </c>
      <c r="U1089" s="11" t="str">
        <f>IFERROR(IF(MARÍTIMOS[[#This Row],[Etapa Retiro - Ingreso]]="","",MARÍTIMOS[[#This Row],[Etapa Retiro - Ingreso]]),"")</f>
        <v/>
      </c>
      <c r="V1089" s="11" t="str">
        <f>IFERROR(IF(MARÍTIMOS[[#This Row],[Etapa Retiro - Atención]]="","",MARÍTIMOS[[#This Row],[Etapa Retiro - Atención]]),"")</f>
        <v/>
      </c>
      <c r="W1089" s="11" t="str">
        <f>IFERROR(IF(MARÍTIMOS[[#This Row],[Etapa Retiro - Atención]]="","",MARÍTIMOS[[#This Row],[Etapa Retiro - Atención]]),"")</f>
        <v/>
      </c>
      <c r="X1089" s="11" t="str">
        <f>IFERROR(IF(MARÍTIMOS[[#This Row],[Etapa Retiro - Inicio de Ruta]]="","",MARÍTIMOS[[#This Row],[Etapa Retiro - Inicio de Ruta]]),"")</f>
        <v/>
      </c>
      <c r="Y1089" s="11" t="str">
        <f>IFERROR(IF(MARÍTIMOS[[#This Row],[Hora de Posicionamiento]]="","",MARÍTIMOS[[#This Row],[Fecha de Carga]]+MARÍTIMOS[[#This Row],[Hora de Posicionamiento]]),"")</f>
        <v/>
      </c>
      <c r="Z1089" s="11" t="str">
        <f>IFERROR(IF(MARÍTIMOS[[#This Row],[Etapa Despacho - Llegada]]="","",MARÍTIMOS[[#This Row],[Etapa Despacho - Llegada]]),"")</f>
        <v/>
      </c>
      <c r="AA1089" s="11" t="str">
        <f>IFERROR(IF(MARÍTIMOS[[#This Row],[Etapa Despacho - Registro]]="","",MARÍTIMOS[[#This Row],[Etapa Despacho - Registro]]),"")</f>
        <v/>
      </c>
      <c r="AB1089" s="11" t="str">
        <f>IFERROR(IF(MARÍTIMOS[[#This Row],[Inspección Externa]]="","",MARÍTIMOS[[#This Row],[Inspección Externa]]),"")</f>
        <v/>
      </c>
      <c r="AC1089" s="11" t="str">
        <f>IFERROR(IF(MARÍTIMOS[[#This Row],[Etapa Despacho - Inicio de Carga]]="","",MARÍTIMOS[[#This Row],[Etapa Despacho - Inicio de Carga]]),"")</f>
        <v/>
      </c>
      <c r="AD1089" s="11" t="str">
        <f>IFERROR(IF(MARÍTIMOS[[#This Row],[Etapa Despacho - Mitad de Carga]]="","",MARÍTIMOS[[#This Row],[Etapa Despacho - Mitad de Carga]]),"")</f>
        <v/>
      </c>
      <c r="AE1089" s="11" t="str">
        <f>IFERROR(IF(MARÍTIMOS[[#This Row],[Etapa Despacho - Fin de Carga]]="","",MARÍTIMOS[[#This Row],[Etapa Despacho - Fin de Carga]]),"")</f>
        <v/>
      </c>
      <c r="AF1089" s="2" t="str">
        <f>IFERROR(IF(MARÍTIMOS[[#This Row],[Puerto de Embarque]]="","",MARÍTIMOS[[#This Row],[Puerto de Embarque]]),"")</f>
        <v/>
      </c>
      <c r="AG1089" s="2" t="str">
        <f>IFERROR(IF(MARÍTIMOS[[#This Row],[Almacén de Ingreso]]="","",MARÍTIMOS[[#This Row],[Almacén de Ingreso]]),"")</f>
        <v/>
      </c>
      <c r="AH1089" s="11" t="str">
        <f>IFERROR(IF(MARÍTIMOS[[#This Row],[Etapa Ingreso - Cita]]="","",MARÍTIMOS[[#This Row],[Etapa Ingreso - Cita]]),"")</f>
        <v/>
      </c>
      <c r="AI1089" s="11" t="str">
        <f>IFERROR(IF(MARÍTIMOS[[#This Row],[Etapa Ingreso - Llegada]]="","",MARÍTIMOS[[#This Row],[Etapa Ingreso - Llegada]]),"")</f>
        <v/>
      </c>
      <c r="AJ1089" s="11" t="str">
        <f>IFERROR(IF(MARÍTIMOS[[#This Row],[Etapa Ingreso - Ingeso]]="","",MARÍTIMOS[[#This Row],[Etapa Ingreso - Ingeso]]),"")</f>
        <v/>
      </c>
      <c r="AK1089" s="11" t="str">
        <f>IFERROR(IF(MARÍTIMOS[[#This Row],[Etapa Ingreso - Atención]]="","",MARÍTIMOS[[#This Row],[Etapa Ingreso - Atención]]),"")</f>
        <v/>
      </c>
      <c r="AL1089" s="11" t="str">
        <f>IFERROR(IF(MARÍTIMOS[[#This Row],[Etapa Ingreso - Salida]]="","",MARÍTIMOS[[#This Row],[Etapa Ingreso - Salida]]),"")</f>
        <v/>
      </c>
      <c r="AM1089" s="2" t="str">
        <f>IFERROR(IF(MARÍTIMOS[[#This Row],[FCL]]="","",MARÍTIMOS[[#This Row],[FCL]]),"")</f>
        <v/>
      </c>
      <c r="AN108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89" s="4" t="str" cm="1">
        <f t="array" ref="AO108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89" s="5" t="str">
        <f>IFERROR(OLDBD[[#This Row],[Llegada a packing]]-OLDBD[[#This Row],[Inicio de Ruta]],"")</f>
        <v/>
      </c>
      <c r="AQ1089" s="6" t="str">
        <f>IFERROR(OLDBD[[#This Row],[Inicio de Ruta]]-OLDBD[[#This Row],[Salida de almacén de retiro]],"")</f>
        <v/>
      </c>
      <c r="AR108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89" s="8" t="str" cm="1">
        <f t="array" ref="AS108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8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89" s="9" t="str">
        <f>IFERROR(OLDBD[[#This Row],[Ingreso Packing]]-OLDBD[[#This Row],[Registro en Packing]],"")</f>
        <v/>
      </c>
      <c r="AV1089" s="9" t="str">
        <f>IFERROR(OLDBD[[#This Row],[Ingreso Packing]]-OLDBD[[#This Row],[Llegada a packing]],"")</f>
        <v/>
      </c>
      <c r="AW108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89" s="5" t="str">
        <f>IFERROR(OLDBD[[#This Row],[Llegada Almacén de Ingreso]]-OLDBD[[#This Row],[Salida Packing]],"")</f>
        <v/>
      </c>
      <c r="AY1089" s="4" t="str" cm="1">
        <f t="array" ref="AY108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8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89" s="43" t="s">
        <v>173</v>
      </c>
      <c r="BB1089" s="47" t="str">
        <f>IFERROR(IF(MARÍTIMOS[[#This Row],[Estatus]]="","",MARÍTIMOS[[#This Row],[Estatus]]),"")</f>
        <v/>
      </c>
      <c r="BC1089" s="43"/>
      <c r="BD1089" s="46" t="str">
        <f>IFERROR(OLDBD[[#This Row],[Salida de almacén de retiro]]-OLDBD[[#This Row],[Ingreso Almacén de retiro]],"")</f>
        <v/>
      </c>
      <c r="BE1089" s="46" t="str">
        <f>IFERROR(OLDBD[[#This Row],[Fin de Carga]]-OLDBD[[#This Row],[Inicio de Carga]],"")</f>
        <v/>
      </c>
    </row>
    <row r="1090" spans="1:57" customFormat="1" hidden="1">
      <c r="A1090" s="1"/>
      <c r="B1090" s="1" t="str">
        <f>IFERROR(IF(MARÍTIMOS[[#This Row],[PP]]="","",MARÍTIMOS[[#This Row],[PP]]),"")</f>
        <v/>
      </c>
      <c r="C1090" s="1" t="str">
        <f>IFERROR(IF(MARÍTIMOS[[#This Row],[Sede]]="","",MARÍTIMOS[[#This Row],[Sede]]),"")</f>
        <v/>
      </c>
      <c r="D1090" s="1" t="str">
        <f>IFERROR(IF(MARÍTIMOS[[#This Row],[Instruction]]="","",MARÍTIMOS[[#This Row],[Instruction]]),"")</f>
        <v/>
      </c>
      <c r="E1090" s="1"/>
      <c r="F1090" s="2" t="str">
        <f>IFERROR(IF(MARÍTIMOS[[#This Row],[Transportista]]="","",MARÍTIMOS[[#This Row],[Transportista]]),"")</f>
        <v/>
      </c>
      <c r="G1090" s="2" t="str">
        <f>IFERROR(IF(MARÍTIMOS[[#This Row],[Tercero]]="","",MARÍTIMOS[[#This Row],[Tercero]]),"")</f>
        <v/>
      </c>
      <c r="H1090" s="2" t="str">
        <f>IFERROR(IF(MARÍTIMOS[[#This Row],[Razón Social]]="","",MARÍTIMOS[[#This Row],[Razón Social]]),"")</f>
        <v/>
      </c>
      <c r="I1090" s="2" t="str">
        <f>IFERROR(IF(MARÍTIMOS[[#This Row],[RUC]]="","",MARÍTIMOS[[#This Row],[RUC]]),"")</f>
        <v/>
      </c>
      <c r="J1090" s="2" t="str">
        <f>IFERROR(IF(MARÍTIMOS[[#This Row],[Placa Tracto]]="","",MARÍTIMOS[[#This Row],[Placa Tracto]]),"")</f>
        <v/>
      </c>
      <c r="K1090" s="2" t="str">
        <f>IFERROR(IF(MARÍTIMOS[[#This Row],[Placa Carreta]]="","",MARÍTIMOS[[#This Row],[Placa Carreta]]),"")</f>
        <v/>
      </c>
      <c r="L1090" s="44" t="str">
        <f>IFERROR(IF(MARÍTIMOS[[#This Row],[Conductor]]="","",MARÍTIMOS[[#This Row],[Conductor]]),"")</f>
        <v/>
      </c>
      <c r="M1090" s="2" t="str">
        <f>IFERROR(IF(MARÍTIMOS[[#This Row],[Licencia]]="","",MARÍTIMOS[[#This Row],[Licencia]]),"")</f>
        <v/>
      </c>
      <c r="N1090" s="2" t="str">
        <f>IFERROR(IF(MARÍTIMOS[[#This Row],[Número de Contacto]]="","",MARÍTIMOS[[#This Row],[Número de Contacto]]),"")</f>
        <v/>
      </c>
      <c r="O1090" s="10" t="str">
        <f>IFERROR(IF(MARÍTIMOS[[#This Row],[Booking|AWB|CRT]]="","",MARÍTIMOS[[#This Row],[Booking|AWB|CRT]]),"")</f>
        <v/>
      </c>
      <c r="P1090" s="2" t="str">
        <f>IFERROR(IF(MARÍTIMOS[[#This Row],[Contenedor]]="","",MARÍTIMOS[[#This Row],[Contenedor]]),"")</f>
        <v/>
      </c>
      <c r="Q1090" s="2" t="str">
        <f>IFERROR(IF(MARÍTIMOS[[#This Row],[Puerto de Retiro]]="","",MARÍTIMOS[[#This Row],[Puerto de Retiro]]),"")</f>
        <v/>
      </c>
      <c r="R1090" s="2" t="str">
        <f>IFERROR(IF(MARÍTIMOS[[#This Row],[Almacén de Retiro]]="","",MARÍTIMOS[[#This Row],[Almacén de Retiro]]),"")</f>
        <v/>
      </c>
      <c r="S1090" s="11" t="str">
        <f>IFERROR(IF(MARÍTIMOS[[#This Row],[Etapa Retiro - Cita]]="","",MARÍTIMOS[[#This Row],[Etapa Retiro - Cita]]),"")</f>
        <v/>
      </c>
      <c r="T1090" s="11" t="str">
        <f>IFERROR(IF(MARÍTIMOS[[#This Row],[Etapa Retiro - Llegada]]="","",MARÍTIMOS[[#This Row],[Etapa Retiro - Llegada]]),"")</f>
        <v/>
      </c>
      <c r="U1090" s="11" t="str">
        <f>IFERROR(IF(MARÍTIMOS[[#This Row],[Etapa Retiro - Ingreso]]="","",MARÍTIMOS[[#This Row],[Etapa Retiro - Ingreso]]),"")</f>
        <v/>
      </c>
      <c r="V1090" s="11" t="str">
        <f>IFERROR(IF(MARÍTIMOS[[#This Row],[Etapa Retiro - Atención]]="","",MARÍTIMOS[[#This Row],[Etapa Retiro - Atención]]),"")</f>
        <v/>
      </c>
      <c r="W1090" s="11" t="str">
        <f>IFERROR(IF(MARÍTIMOS[[#This Row],[Etapa Retiro - Atención]]="","",MARÍTIMOS[[#This Row],[Etapa Retiro - Atención]]),"")</f>
        <v/>
      </c>
      <c r="X1090" s="11" t="str">
        <f>IFERROR(IF(MARÍTIMOS[[#This Row],[Etapa Retiro - Inicio de Ruta]]="","",MARÍTIMOS[[#This Row],[Etapa Retiro - Inicio de Ruta]]),"")</f>
        <v/>
      </c>
      <c r="Y1090" s="11" t="str">
        <f>IFERROR(IF(MARÍTIMOS[[#This Row],[Hora de Posicionamiento]]="","",MARÍTIMOS[[#This Row],[Fecha de Carga]]+MARÍTIMOS[[#This Row],[Hora de Posicionamiento]]),"")</f>
        <v/>
      </c>
      <c r="Z1090" s="11" t="str">
        <f>IFERROR(IF(MARÍTIMOS[[#This Row],[Etapa Despacho - Llegada]]="","",MARÍTIMOS[[#This Row],[Etapa Despacho - Llegada]]),"")</f>
        <v/>
      </c>
      <c r="AA1090" s="11" t="str">
        <f>IFERROR(IF(MARÍTIMOS[[#This Row],[Etapa Despacho - Registro]]="","",MARÍTIMOS[[#This Row],[Etapa Despacho - Registro]]),"")</f>
        <v/>
      </c>
      <c r="AB1090" s="11" t="str">
        <f>IFERROR(IF(MARÍTIMOS[[#This Row],[Inspección Externa]]="","",MARÍTIMOS[[#This Row],[Inspección Externa]]),"")</f>
        <v/>
      </c>
      <c r="AC1090" s="11" t="str">
        <f>IFERROR(IF(MARÍTIMOS[[#This Row],[Etapa Despacho - Inicio de Carga]]="","",MARÍTIMOS[[#This Row],[Etapa Despacho - Inicio de Carga]]),"")</f>
        <v/>
      </c>
      <c r="AD1090" s="11" t="str">
        <f>IFERROR(IF(MARÍTIMOS[[#This Row],[Etapa Despacho - Mitad de Carga]]="","",MARÍTIMOS[[#This Row],[Etapa Despacho - Mitad de Carga]]),"")</f>
        <v/>
      </c>
      <c r="AE1090" s="11" t="str">
        <f>IFERROR(IF(MARÍTIMOS[[#This Row],[Etapa Despacho - Fin de Carga]]="","",MARÍTIMOS[[#This Row],[Etapa Despacho - Fin de Carga]]),"")</f>
        <v/>
      </c>
      <c r="AF1090" s="2" t="str">
        <f>IFERROR(IF(MARÍTIMOS[[#This Row],[Puerto de Embarque]]="","",MARÍTIMOS[[#This Row],[Puerto de Embarque]]),"")</f>
        <v/>
      </c>
      <c r="AG1090" s="2" t="str">
        <f>IFERROR(IF(MARÍTIMOS[[#This Row],[Almacén de Ingreso]]="","",MARÍTIMOS[[#This Row],[Almacén de Ingreso]]),"")</f>
        <v/>
      </c>
      <c r="AH1090" s="11" t="str">
        <f>IFERROR(IF(MARÍTIMOS[[#This Row],[Etapa Ingreso - Cita]]="","",MARÍTIMOS[[#This Row],[Etapa Ingreso - Cita]]),"")</f>
        <v/>
      </c>
      <c r="AI1090" s="11" t="str">
        <f>IFERROR(IF(MARÍTIMOS[[#This Row],[Etapa Ingreso - Llegada]]="","",MARÍTIMOS[[#This Row],[Etapa Ingreso - Llegada]]),"")</f>
        <v/>
      </c>
      <c r="AJ1090" s="11" t="str">
        <f>IFERROR(IF(MARÍTIMOS[[#This Row],[Etapa Ingreso - Ingeso]]="","",MARÍTIMOS[[#This Row],[Etapa Ingreso - Ingeso]]),"")</f>
        <v/>
      </c>
      <c r="AK1090" s="11" t="str">
        <f>IFERROR(IF(MARÍTIMOS[[#This Row],[Etapa Ingreso - Atención]]="","",MARÍTIMOS[[#This Row],[Etapa Ingreso - Atención]]),"")</f>
        <v/>
      </c>
      <c r="AL1090" s="11" t="str">
        <f>IFERROR(IF(MARÍTIMOS[[#This Row],[Etapa Ingreso - Salida]]="","",MARÍTIMOS[[#This Row],[Etapa Ingreso - Salida]]),"")</f>
        <v/>
      </c>
      <c r="AM1090" s="2" t="str">
        <f>IFERROR(IF(MARÍTIMOS[[#This Row],[FCL]]="","",MARÍTIMOS[[#This Row],[FCL]]),"")</f>
        <v/>
      </c>
      <c r="AN1090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0" s="4" t="str" cm="1">
        <f t="array" ref="AO1090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0" s="5" t="str">
        <f>IFERROR(OLDBD[[#This Row],[Llegada a packing]]-OLDBD[[#This Row],[Inicio de Ruta]],"")</f>
        <v/>
      </c>
      <c r="AQ1090" s="6" t="str">
        <f>IFERROR(OLDBD[[#This Row],[Inicio de Ruta]]-OLDBD[[#This Row],[Salida de almacén de retiro]],"")</f>
        <v/>
      </c>
      <c r="AR1090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0" s="8" t="str" cm="1">
        <f t="array" ref="AS1090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0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0" s="9" t="str">
        <f>IFERROR(OLDBD[[#This Row],[Ingreso Packing]]-OLDBD[[#This Row],[Registro en Packing]],"")</f>
        <v/>
      </c>
      <c r="AV1090" s="9" t="str">
        <f>IFERROR(OLDBD[[#This Row],[Ingreso Packing]]-OLDBD[[#This Row],[Llegada a packing]],"")</f>
        <v/>
      </c>
      <c r="AW1090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0" s="5" t="str">
        <f>IFERROR(OLDBD[[#This Row],[Llegada Almacén de Ingreso]]-OLDBD[[#This Row],[Salida Packing]],"")</f>
        <v/>
      </c>
      <c r="AY1090" s="4" t="str" cm="1">
        <f t="array" ref="AY1090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0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0" s="43" t="s">
        <v>173</v>
      </c>
      <c r="BB1090" s="47" t="str">
        <f>IFERROR(IF(MARÍTIMOS[[#This Row],[Estatus]]="","",MARÍTIMOS[[#This Row],[Estatus]]),"")</f>
        <v/>
      </c>
      <c r="BC1090" s="43"/>
      <c r="BD1090" s="46" t="str">
        <f>IFERROR(OLDBD[[#This Row],[Salida de almacén de retiro]]-OLDBD[[#This Row],[Ingreso Almacén de retiro]],"")</f>
        <v/>
      </c>
      <c r="BE1090" s="46" t="str">
        <f>IFERROR(OLDBD[[#This Row],[Fin de Carga]]-OLDBD[[#This Row],[Inicio de Carga]],"")</f>
        <v/>
      </c>
    </row>
    <row r="1091" spans="1:57" customFormat="1" hidden="1">
      <c r="A1091" s="1"/>
      <c r="B1091" s="1" t="str">
        <f>IFERROR(IF(MARÍTIMOS[[#This Row],[PP]]="","",MARÍTIMOS[[#This Row],[PP]]),"")</f>
        <v/>
      </c>
      <c r="C1091" s="1" t="str">
        <f>IFERROR(IF(MARÍTIMOS[[#This Row],[Sede]]="","",MARÍTIMOS[[#This Row],[Sede]]),"")</f>
        <v/>
      </c>
      <c r="D1091" s="1" t="str">
        <f>IFERROR(IF(MARÍTIMOS[[#This Row],[Instruction]]="","",MARÍTIMOS[[#This Row],[Instruction]]),"")</f>
        <v/>
      </c>
      <c r="E1091" s="1"/>
      <c r="F1091" s="2" t="str">
        <f>IFERROR(IF(MARÍTIMOS[[#This Row],[Transportista]]="","",MARÍTIMOS[[#This Row],[Transportista]]),"")</f>
        <v/>
      </c>
      <c r="G1091" s="2" t="str">
        <f>IFERROR(IF(MARÍTIMOS[[#This Row],[Tercero]]="","",MARÍTIMOS[[#This Row],[Tercero]]),"")</f>
        <v/>
      </c>
      <c r="H1091" s="2" t="str">
        <f>IFERROR(IF(MARÍTIMOS[[#This Row],[Razón Social]]="","",MARÍTIMOS[[#This Row],[Razón Social]]),"")</f>
        <v/>
      </c>
      <c r="I1091" s="2" t="str">
        <f>IFERROR(IF(MARÍTIMOS[[#This Row],[RUC]]="","",MARÍTIMOS[[#This Row],[RUC]]),"")</f>
        <v/>
      </c>
      <c r="J1091" s="2" t="str">
        <f>IFERROR(IF(MARÍTIMOS[[#This Row],[Placa Tracto]]="","",MARÍTIMOS[[#This Row],[Placa Tracto]]),"")</f>
        <v/>
      </c>
      <c r="K1091" s="2" t="str">
        <f>IFERROR(IF(MARÍTIMOS[[#This Row],[Placa Carreta]]="","",MARÍTIMOS[[#This Row],[Placa Carreta]]),"")</f>
        <v/>
      </c>
      <c r="L1091" s="44" t="str">
        <f>IFERROR(IF(MARÍTIMOS[[#This Row],[Conductor]]="","",MARÍTIMOS[[#This Row],[Conductor]]),"")</f>
        <v/>
      </c>
      <c r="M1091" s="2" t="str">
        <f>IFERROR(IF(MARÍTIMOS[[#This Row],[Licencia]]="","",MARÍTIMOS[[#This Row],[Licencia]]),"")</f>
        <v/>
      </c>
      <c r="N1091" s="2" t="str">
        <f>IFERROR(IF(MARÍTIMOS[[#This Row],[Número de Contacto]]="","",MARÍTIMOS[[#This Row],[Número de Contacto]]),"")</f>
        <v/>
      </c>
      <c r="O1091" s="10" t="str">
        <f>IFERROR(IF(MARÍTIMOS[[#This Row],[Booking|AWB|CRT]]="","",MARÍTIMOS[[#This Row],[Booking|AWB|CRT]]),"")</f>
        <v/>
      </c>
      <c r="P1091" s="2" t="str">
        <f>IFERROR(IF(MARÍTIMOS[[#This Row],[Contenedor]]="","",MARÍTIMOS[[#This Row],[Contenedor]]),"")</f>
        <v/>
      </c>
      <c r="Q1091" s="2" t="str">
        <f>IFERROR(IF(MARÍTIMOS[[#This Row],[Puerto de Retiro]]="","",MARÍTIMOS[[#This Row],[Puerto de Retiro]]),"")</f>
        <v/>
      </c>
      <c r="R1091" s="2" t="str">
        <f>IFERROR(IF(MARÍTIMOS[[#This Row],[Almacén de Retiro]]="","",MARÍTIMOS[[#This Row],[Almacén de Retiro]]),"")</f>
        <v/>
      </c>
      <c r="S1091" s="11" t="str">
        <f>IFERROR(IF(MARÍTIMOS[[#This Row],[Etapa Retiro - Cita]]="","",MARÍTIMOS[[#This Row],[Etapa Retiro - Cita]]),"")</f>
        <v/>
      </c>
      <c r="T1091" s="11" t="str">
        <f>IFERROR(IF(MARÍTIMOS[[#This Row],[Etapa Retiro - Llegada]]="","",MARÍTIMOS[[#This Row],[Etapa Retiro - Llegada]]),"")</f>
        <v/>
      </c>
      <c r="U1091" s="11" t="str">
        <f>IFERROR(IF(MARÍTIMOS[[#This Row],[Etapa Retiro - Ingreso]]="","",MARÍTIMOS[[#This Row],[Etapa Retiro - Ingreso]]),"")</f>
        <v/>
      </c>
      <c r="V1091" s="11" t="str">
        <f>IFERROR(IF(MARÍTIMOS[[#This Row],[Etapa Retiro - Atención]]="","",MARÍTIMOS[[#This Row],[Etapa Retiro - Atención]]),"")</f>
        <v/>
      </c>
      <c r="W1091" s="11" t="str">
        <f>IFERROR(IF(MARÍTIMOS[[#This Row],[Etapa Retiro - Atención]]="","",MARÍTIMOS[[#This Row],[Etapa Retiro - Atención]]),"")</f>
        <v/>
      </c>
      <c r="X1091" s="11" t="str">
        <f>IFERROR(IF(MARÍTIMOS[[#This Row],[Etapa Retiro - Inicio de Ruta]]="","",MARÍTIMOS[[#This Row],[Etapa Retiro - Inicio de Ruta]]),"")</f>
        <v/>
      </c>
      <c r="Y1091" s="11" t="str">
        <f>IFERROR(IF(MARÍTIMOS[[#This Row],[Hora de Posicionamiento]]="","",MARÍTIMOS[[#This Row],[Fecha de Carga]]+MARÍTIMOS[[#This Row],[Hora de Posicionamiento]]),"")</f>
        <v/>
      </c>
      <c r="Z1091" s="11" t="str">
        <f>IFERROR(IF(MARÍTIMOS[[#This Row],[Etapa Despacho - Llegada]]="","",MARÍTIMOS[[#This Row],[Etapa Despacho - Llegada]]),"")</f>
        <v/>
      </c>
      <c r="AA1091" s="11" t="str">
        <f>IFERROR(IF(MARÍTIMOS[[#This Row],[Etapa Despacho - Registro]]="","",MARÍTIMOS[[#This Row],[Etapa Despacho - Registro]]),"")</f>
        <v/>
      </c>
      <c r="AB1091" s="11" t="str">
        <f>IFERROR(IF(MARÍTIMOS[[#This Row],[Inspección Externa]]="","",MARÍTIMOS[[#This Row],[Inspección Externa]]),"")</f>
        <v/>
      </c>
      <c r="AC1091" s="11" t="str">
        <f>IFERROR(IF(MARÍTIMOS[[#This Row],[Etapa Despacho - Inicio de Carga]]="","",MARÍTIMOS[[#This Row],[Etapa Despacho - Inicio de Carga]]),"")</f>
        <v/>
      </c>
      <c r="AD1091" s="11" t="str">
        <f>IFERROR(IF(MARÍTIMOS[[#This Row],[Etapa Despacho - Mitad de Carga]]="","",MARÍTIMOS[[#This Row],[Etapa Despacho - Mitad de Carga]]),"")</f>
        <v/>
      </c>
      <c r="AE1091" s="11" t="str">
        <f>IFERROR(IF(MARÍTIMOS[[#This Row],[Etapa Despacho - Fin de Carga]]="","",MARÍTIMOS[[#This Row],[Etapa Despacho - Fin de Carga]]),"")</f>
        <v/>
      </c>
      <c r="AF1091" s="2" t="str">
        <f>IFERROR(IF(MARÍTIMOS[[#This Row],[Puerto de Embarque]]="","",MARÍTIMOS[[#This Row],[Puerto de Embarque]]),"")</f>
        <v/>
      </c>
      <c r="AG1091" s="2" t="str">
        <f>IFERROR(IF(MARÍTIMOS[[#This Row],[Almacén de Ingreso]]="","",MARÍTIMOS[[#This Row],[Almacén de Ingreso]]),"")</f>
        <v/>
      </c>
      <c r="AH1091" s="11" t="str">
        <f>IFERROR(IF(MARÍTIMOS[[#This Row],[Etapa Ingreso - Cita]]="","",MARÍTIMOS[[#This Row],[Etapa Ingreso - Cita]]),"")</f>
        <v/>
      </c>
      <c r="AI1091" s="11" t="str">
        <f>IFERROR(IF(MARÍTIMOS[[#This Row],[Etapa Ingreso - Llegada]]="","",MARÍTIMOS[[#This Row],[Etapa Ingreso - Llegada]]),"")</f>
        <v/>
      </c>
      <c r="AJ1091" s="11" t="str">
        <f>IFERROR(IF(MARÍTIMOS[[#This Row],[Etapa Ingreso - Ingeso]]="","",MARÍTIMOS[[#This Row],[Etapa Ingreso - Ingeso]]),"")</f>
        <v/>
      </c>
      <c r="AK1091" s="11" t="str">
        <f>IFERROR(IF(MARÍTIMOS[[#This Row],[Etapa Ingreso - Atención]]="","",MARÍTIMOS[[#This Row],[Etapa Ingreso - Atención]]),"")</f>
        <v/>
      </c>
      <c r="AL1091" s="11" t="str">
        <f>IFERROR(IF(MARÍTIMOS[[#This Row],[Etapa Ingreso - Salida]]="","",MARÍTIMOS[[#This Row],[Etapa Ingreso - Salida]]),"")</f>
        <v/>
      </c>
      <c r="AM1091" s="2" t="str">
        <f>IFERROR(IF(MARÍTIMOS[[#This Row],[FCL]]="","",MARÍTIMOS[[#This Row],[FCL]]),"")</f>
        <v/>
      </c>
      <c r="AN1091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1" s="4" t="str" cm="1">
        <f t="array" ref="AO1091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1" s="5" t="str">
        <f>IFERROR(OLDBD[[#This Row],[Llegada a packing]]-OLDBD[[#This Row],[Inicio de Ruta]],"")</f>
        <v/>
      </c>
      <c r="AQ1091" s="6" t="str">
        <f>IFERROR(OLDBD[[#This Row],[Inicio de Ruta]]-OLDBD[[#This Row],[Salida de almacén de retiro]],"")</f>
        <v/>
      </c>
      <c r="AR1091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1" s="8" t="str" cm="1">
        <f t="array" ref="AS1091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1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1" s="9" t="str">
        <f>IFERROR(OLDBD[[#This Row],[Ingreso Packing]]-OLDBD[[#This Row],[Registro en Packing]],"")</f>
        <v/>
      </c>
      <c r="AV1091" s="9" t="str">
        <f>IFERROR(OLDBD[[#This Row],[Ingreso Packing]]-OLDBD[[#This Row],[Llegada a packing]],"")</f>
        <v/>
      </c>
      <c r="AW1091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1" s="5" t="str">
        <f>IFERROR(OLDBD[[#This Row],[Llegada Almacén de Ingreso]]-OLDBD[[#This Row],[Salida Packing]],"")</f>
        <v/>
      </c>
      <c r="AY1091" s="4" t="str" cm="1">
        <f t="array" ref="AY1091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1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1" s="43" t="s">
        <v>173</v>
      </c>
      <c r="BB1091" s="47" t="str">
        <f>IFERROR(IF(MARÍTIMOS[[#This Row],[Estatus]]="","",MARÍTIMOS[[#This Row],[Estatus]]),"")</f>
        <v/>
      </c>
      <c r="BC1091" s="43"/>
      <c r="BD1091" s="46" t="str">
        <f>IFERROR(OLDBD[[#This Row],[Salida de almacén de retiro]]-OLDBD[[#This Row],[Ingreso Almacén de retiro]],"")</f>
        <v/>
      </c>
      <c r="BE1091" s="46" t="str">
        <f>IFERROR(OLDBD[[#This Row],[Fin de Carga]]-OLDBD[[#This Row],[Inicio de Carga]],"")</f>
        <v/>
      </c>
    </row>
    <row r="1092" spans="1:57" customFormat="1" hidden="1">
      <c r="A1092" s="1"/>
      <c r="B1092" s="1" t="str">
        <f>IFERROR(IF(MARÍTIMOS[[#This Row],[PP]]="","",MARÍTIMOS[[#This Row],[PP]]),"")</f>
        <v/>
      </c>
      <c r="C1092" s="1" t="str">
        <f>IFERROR(IF(MARÍTIMOS[[#This Row],[Sede]]="","",MARÍTIMOS[[#This Row],[Sede]]),"")</f>
        <v/>
      </c>
      <c r="D1092" s="1" t="str">
        <f>IFERROR(IF(MARÍTIMOS[[#This Row],[Instruction]]="","",MARÍTIMOS[[#This Row],[Instruction]]),"")</f>
        <v/>
      </c>
      <c r="E1092" s="1"/>
      <c r="F1092" s="2" t="str">
        <f>IFERROR(IF(MARÍTIMOS[[#This Row],[Transportista]]="","",MARÍTIMOS[[#This Row],[Transportista]]),"")</f>
        <v/>
      </c>
      <c r="G1092" s="2" t="str">
        <f>IFERROR(IF(MARÍTIMOS[[#This Row],[Tercero]]="","",MARÍTIMOS[[#This Row],[Tercero]]),"")</f>
        <v/>
      </c>
      <c r="H1092" s="2" t="str">
        <f>IFERROR(IF(MARÍTIMOS[[#This Row],[Razón Social]]="","",MARÍTIMOS[[#This Row],[Razón Social]]),"")</f>
        <v/>
      </c>
      <c r="I1092" s="2" t="str">
        <f>IFERROR(IF(MARÍTIMOS[[#This Row],[RUC]]="","",MARÍTIMOS[[#This Row],[RUC]]),"")</f>
        <v/>
      </c>
      <c r="J1092" s="2" t="str">
        <f>IFERROR(IF(MARÍTIMOS[[#This Row],[Placa Tracto]]="","",MARÍTIMOS[[#This Row],[Placa Tracto]]),"")</f>
        <v/>
      </c>
      <c r="K1092" s="2" t="str">
        <f>IFERROR(IF(MARÍTIMOS[[#This Row],[Placa Carreta]]="","",MARÍTIMOS[[#This Row],[Placa Carreta]]),"")</f>
        <v/>
      </c>
      <c r="L1092" s="44" t="str">
        <f>IFERROR(IF(MARÍTIMOS[[#This Row],[Conductor]]="","",MARÍTIMOS[[#This Row],[Conductor]]),"")</f>
        <v/>
      </c>
      <c r="M1092" s="2" t="str">
        <f>IFERROR(IF(MARÍTIMOS[[#This Row],[Licencia]]="","",MARÍTIMOS[[#This Row],[Licencia]]),"")</f>
        <v/>
      </c>
      <c r="N1092" s="2" t="str">
        <f>IFERROR(IF(MARÍTIMOS[[#This Row],[Número de Contacto]]="","",MARÍTIMOS[[#This Row],[Número de Contacto]]),"")</f>
        <v/>
      </c>
      <c r="O1092" s="10" t="str">
        <f>IFERROR(IF(MARÍTIMOS[[#This Row],[Booking|AWB|CRT]]="","",MARÍTIMOS[[#This Row],[Booking|AWB|CRT]]),"")</f>
        <v/>
      </c>
      <c r="P1092" s="2" t="str">
        <f>IFERROR(IF(MARÍTIMOS[[#This Row],[Contenedor]]="","",MARÍTIMOS[[#This Row],[Contenedor]]),"")</f>
        <v/>
      </c>
      <c r="Q1092" s="2" t="str">
        <f>IFERROR(IF(MARÍTIMOS[[#This Row],[Puerto de Retiro]]="","",MARÍTIMOS[[#This Row],[Puerto de Retiro]]),"")</f>
        <v/>
      </c>
      <c r="R1092" s="2" t="str">
        <f>IFERROR(IF(MARÍTIMOS[[#This Row],[Almacén de Retiro]]="","",MARÍTIMOS[[#This Row],[Almacén de Retiro]]),"")</f>
        <v/>
      </c>
      <c r="S1092" s="11" t="str">
        <f>IFERROR(IF(MARÍTIMOS[[#This Row],[Etapa Retiro - Cita]]="","",MARÍTIMOS[[#This Row],[Etapa Retiro - Cita]]),"")</f>
        <v/>
      </c>
      <c r="T1092" s="11" t="str">
        <f>IFERROR(IF(MARÍTIMOS[[#This Row],[Etapa Retiro - Llegada]]="","",MARÍTIMOS[[#This Row],[Etapa Retiro - Llegada]]),"")</f>
        <v/>
      </c>
      <c r="U1092" s="11" t="str">
        <f>IFERROR(IF(MARÍTIMOS[[#This Row],[Etapa Retiro - Ingreso]]="","",MARÍTIMOS[[#This Row],[Etapa Retiro - Ingreso]]),"")</f>
        <v/>
      </c>
      <c r="V1092" s="11" t="str">
        <f>IFERROR(IF(MARÍTIMOS[[#This Row],[Etapa Retiro - Atención]]="","",MARÍTIMOS[[#This Row],[Etapa Retiro - Atención]]),"")</f>
        <v/>
      </c>
      <c r="W1092" s="11" t="str">
        <f>IFERROR(IF(MARÍTIMOS[[#This Row],[Etapa Retiro - Atención]]="","",MARÍTIMOS[[#This Row],[Etapa Retiro - Atención]]),"")</f>
        <v/>
      </c>
      <c r="X1092" s="11" t="str">
        <f>IFERROR(IF(MARÍTIMOS[[#This Row],[Etapa Retiro - Inicio de Ruta]]="","",MARÍTIMOS[[#This Row],[Etapa Retiro - Inicio de Ruta]]),"")</f>
        <v/>
      </c>
      <c r="Y1092" s="11" t="str">
        <f>IFERROR(IF(MARÍTIMOS[[#This Row],[Hora de Posicionamiento]]="","",MARÍTIMOS[[#This Row],[Fecha de Carga]]+MARÍTIMOS[[#This Row],[Hora de Posicionamiento]]),"")</f>
        <v/>
      </c>
      <c r="Z1092" s="11" t="str">
        <f>IFERROR(IF(MARÍTIMOS[[#This Row],[Etapa Despacho - Llegada]]="","",MARÍTIMOS[[#This Row],[Etapa Despacho - Llegada]]),"")</f>
        <v/>
      </c>
      <c r="AA1092" s="11" t="str">
        <f>IFERROR(IF(MARÍTIMOS[[#This Row],[Etapa Despacho - Registro]]="","",MARÍTIMOS[[#This Row],[Etapa Despacho - Registro]]),"")</f>
        <v/>
      </c>
      <c r="AB1092" s="11" t="str">
        <f>IFERROR(IF(MARÍTIMOS[[#This Row],[Inspección Externa]]="","",MARÍTIMOS[[#This Row],[Inspección Externa]]),"")</f>
        <v/>
      </c>
      <c r="AC1092" s="11" t="str">
        <f>IFERROR(IF(MARÍTIMOS[[#This Row],[Etapa Despacho - Inicio de Carga]]="","",MARÍTIMOS[[#This Row],[Etapa Despacho - Inicio de Carga]]),"")</f>
        <v/>
      </c>
      <c r="AD1092" s="11" t="str">
        <f>IFERROR(IF(MARÍTIMOS[[#This Row],[Etapa Despacho - Mitad de Carga]]="","",MARÍTIMOS[[#This Row],[Etapa Despacho - Mitad de Carga]]),"")</f>
        <v/>
      </c>
      <c r="AE1092" s="11" t="str">
        <f>IFERROR(IF(MARÍTIMOS[[#This Row],[Etapa Despacho - Fin de Carga]]="","",MARÍTIMOS[[#This Row],[Etapa Despacho - Fin de Carga]]),"")</f>
        <v/>
      </c>
      <c r="AF1092" s="2" t="str">
        <f>IFERROR(IF(MARÍTIMOS[[#This Row],[Puerto de Embarque]]="","",MARÍTIMOS[[#This Row],[Puerto de Embarque]]),"")</f>
        <v/>
      </c>
      <c r="AG1092" s="2" t="str">
        <f>IFERROR(IF(MARÍTIMOS[[#This Row],[Almacén de Ingreso]]="","",MARÍTIMOS[[#This Row],[Almacén de Ingreso]]),"")</f>
        <v/>
      </c>
      <c r="AH1092" s="11" t="str">
        <f>IFERROR(IF(MARÍTIMOS[[#This Row],[Etapa Ingreso - Cita]]="","",MARÍTIMOS[[#This Row],[Etapa Ingreso - Cita]]),"")</f>
        <v/>
      </c>
      <c r="AI1092" s="11" t="str">
        <f>IFERROR(IF(MARÍTIMOS[[#This Row],[Etapa Ingreso - Llegada]]="","",MARÍTIMOS[[#This Row],[Etapa Ingreso - Llegada]]),"")</f>
        <v/>
      </c>
      <c r="AJ1092" s="11" t="str">
        <f>IFERROR(IF(MARÍTIMOS[[#This Row],[Etapa Ingreso - Ingeso]]="","",MARÍTIMOS[[#This Row],[Etapa Ingreso - Ingeso]]),"")</f>
        <v/>
      </c>
      <c r="AK1092" s="11" t="str">
        <f>IFERROR(IF(MARÍTIMOS[[#This Row],[Etapa Ingreso - Atención]]="","",MARÍTIMOS[[#This Row],[Etapa Ingreso - Atención]]),"")</f>
        <v/>
      </c>
      <c r="AL1092" s="11" t="str">
        <f>IFERROR(IF(MARÍTIMOS[[#This Row],[Etapa Ingreso - Salida]]="","",MARÍTIMOS[[#This Row],[Etapa Ingreso - Salida]]),"")</f>
        <v/>
      </c>
      <c r="AM1092" s="2" t="str">
        <f>IFERROR(IF(MARÍTIMOS[[#This Row],[FCL]]="","",MARÍTIMOS[[#This Row],[FCL]]),"")</f>
        <v/>
      </c>
      <c r="AN1092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2" s="4" t="str" cm="1">
        <f t="array" ref="AO1092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2" s="5" t="str">
        <f>IFERROR(OLDBD[[#This Row],[Llegada a packing]]-OLDBD[[#This Row],[Inicio de Ruta]],"")</f>
        <v/>
      </c>
      <c r="AQ1092" s="6" t="str">
        <f>IFERROR(OLDBD[[#This Row],[Inicio de Ruta]]-OLDBD[[#This Row],[Salida de almacén de retiro]],"")</f>
        <v/>
      </c>
      <c r="AR1092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2" s="8" t="str" cm="1">
        <f t="array" ref="AS1092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2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2" s="9" t="str">
        <f>IFERROR(OLDBD[[#This Row],[Ingreso Packing]]-OLDBD[[#This Row],[Registro en Packing]],"")</f>
        <v/>
      </c>
      <c r="AV1092" s="9" t="str">
        <f>IFERROR(OLDBD[[#This Row],[Ingreso Packing]]-OLDBD[[#This Row],[Llegada a packing]],"")</f>
        <v/>
      </c>
      <c r="AW1092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2" s="5" t="str">
        <f>IFERROR(OLDBD[[#This Row],[Llegada Almacén de Ingreso]]-OLDBD[[#This Row],[Salida Packing]],"")</f>
        <v/>
      </c>
      <c r="AY1092" s="4" t="str" cm="1">
        <f t="array" ref="AY1092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2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2" s="43" t="s">
        <v>173</v>
      </c>
      <c r="BB1092" s="47" t="str">
        <f>IFERROR(IF(MARÍTIMOS[[#This Row],[Estatus]]="","",MARÍTIMOS[[#This Row],[Estatus]]),"")</f>
        <v/>
      </c>
      <c r="BC1092" s="43"/>
      <c r="BD1092" s="46" t="str">
        <f>IFERROR(OLDBD[[#This Row],[Salida de almacén de retiro]]-OLDBD[[#This Row],[Ingreso Almacén de retiro]],"")</f>
        <v/>
      </c>
      <c r="BE1092" s="46" t="str">
        <f>IFERROR(OLDBD[[#This Row],[Fin de Carga]]-OLDBD[[#This Row],[Inicio de Carga]],"")</f>
        <v/>
      </c>
    </row>
    <row r="1093" spans="1:57" customFormat="1" hidden="1">
      <c r="A1093" s="1"/>
      <c r="B1093" s="1" t="str">
        <f>IFERROR(IF(MARÍTIMOS[[#This Row],[PP]]="","",MARÍTIMOS[[#This Row],[PP]]),"")</f>
        <v/>
      </c>
      <c r="C1093" s="1" t="str">
        <f>IFERROR(IF(MARÍTIMOS[[#This Row],[Sede]]="","",MARÍTIMOS[[#This Row],[Sede]]),"")</f>
        <v/>
      </c>
      <c r="D1093" s="1" t="str">
        <f>IFERROR(IF(MARÍTIMOS[[#This Row],[Instruction]]="","",MARÍTIMOS[[#This Row],[Instruction]]),"")</f>
        <v/>
      </c>
      <c r="E1093" s="1"/>
      <c r="F1093" s="2" t="str">
        <f>IFERROR(IF(MARÍTIMOS[[#This Row],[Transportista]]="","",MARÍTIMOS[[#This Row],[Transportista]]),"")</f>
        <v/>
      </c>
      <c r="G1093" s="2" t="str">
        <f>IFERROR(IF(MARÍTIMOS[[#This Row],[Tercero]]="","",MARÍTIMOS[[#This Row],[Tercero]]),"")</f>
        <v/>
      </c>
      <c r="H1093" s="2" t="str">
        <f>IFERROR(IF(MARÍTIMOS[[#This Row],[Razón Social]]="","",MARÍTIMOS[[#This Row],[Razón Social]]),"")</f>
        <v/>
      </c>
      <c r="I1093" s="2" t="str">
        <f>IFERROR(IF(MARÍTIMOS[[#This Row],[RUC]]="","",MARÍTIMOS[[#This Row],[RUC]]),"")</f>
        <v/>
      </c>
      <c r="J1093" s="2" t="str">
        <f>IFERROR(IF(MARÍTIMOS[[#This Row],[Placa Tracto]]="","",MARÍTIMOS[[#This Row],[Placa Tracto]]),"")</f>
        <v/>
      </c>
      <c r="K1093" s="2" t="str">
        <f>IFERROR(IF(MARÍTIMOS[[#This Row],[Placa Carreta]]="","",MARÍTIMOS[[#This Row],[Placa Carreta]]),"")</f>
        <v/>
      </c>
      <c r="L1093" s="44" t="str">
        <f>IFERROR(IF(MARÍTIMOS[[#This Row],[Conductor]]="","",MARÍTIMOS[[#This Row],[Conductor]]),"")</f>
        <v/>
      </c>
      <c r="M1093" s="2" t="str">
        <f>IFERROR(IF(MARÍTIMOS[[#This Row],[Licencia]]="","",MARÍTIMOS[[#This Row],[Licencia]]),"")</f>
        <v/>
      </c>
      <c r="N1093" s="2" t="str">
        <f>IFERROR(IF(MARÍTIMOS[[#This Row],[Número de Contacto]]="","",MARÍTIMOS[[#This Row],[Número de Contacto]]),"")</f>
        <v/>
      </c>
      <c r="O1093" s="10" t="str">
        <f>IFERROR(IF(MARÍTIMOS[[#This Row],[Booking|AWB|CRT]]="","",MARÍTIMOS[[#This Row],[Booking|AWB|CRT]]),"")</f>
        <v/>
      </c>
      <c r="P1093" s="2" t="str">
        <f>IFERROR(IF(MARÍTIMOS[[#This Row],[Contenedor]]="","",MARÍTIMOS[[#This Row],[Contenedor]]),"")</f>
        <v/>
      </c>
      <c r="Q1093" s="2" t="str">
        <f>IFERROR(IF(MARÍTIMOS[[#This Row],[Puerto de Retiro]]="","",MARÍTIMOS[[#This Row],[Puerto de Retiro]]),"")</f>
        <v/>
      </c>
      <c r="R1093" s="2" t="str">
        <f>IFERROR(IF(MARÍTIMOS[[#This Row],[Almacén de Retiro]]="","",MARÍTIMOS[[#This Row],[Almacén de Retiro]]),"")</f>
        <v/>
      </c>
      <c r="S1093" s="11" t="str">
        <f>IFERROR(IF(MARÍTIMOS[[#This Row],[Etapa Retiro - Cita]]="","",MARÍTIMOS[[#This Row],[Etapa Retiro - Cita]]),"")</f>
        <v/>
      </c>
      <c r="T1093" s="11" t="str">
        <f>IFERROR(IF(MARÍTIMOS[[#This Row],[Etapa Retiro - Llegada]]="","",MARÍTIMOS[[#This Row],[Etapa Retiro - Llegada]]),"")</f>
        <v/>
      </c>
      <c r="U1093" s="11" t="str">
        <f>IFERROR(IF(MARÍTIMOS[[#This Row],[Etapa Retiro - Ingreso]]="","",MARÍTIMOS[[#This Row],[Etapa Retiro - Ingreso]]),"")</f>
        <v/>
      </c>
      <c r="V1093" s="11" t="str">
        <f>IFERROR(IF(MARÍTIMOS[[#This Row],[Etapa Retiro - Atención]]="","",MARÍTIMOS[[#This Row],[Etapa Retiro - Atención]]),"")</f>
        <v/>
      </c>
      <c r="W1093" s="11" t="str">
        <f>IFERROR(IF(MARÍTIMOS[[#This Row],[Etapa Retiro - Atención]]="","",MARÍTIMOS[[#This Row],[Etapa Retiro - Atención]]),"")</f>
        <v/>
      </c>
      <c r="X1093" s="11" t="str">
        <f>IFERROR(IF(MARÍTIMOS[[#This Row],[Etapa Retiro - Inicio de Ruta]]="","",MARÍTIMOS[[#This Row],[Etapa Retiro - Inicio de Ruta]]),"")</f>
        <v/>
      </c>
      <c r="Y1093" s="11" t="str">
        <f>IFERROR(IF(MARÍTIMOS[[#This Row],[Hora de Posicionamiento]]="","",MARÍTIMOS[[#This Row],[Fecha de Carga]]+MARÍTIMOS[[#This Row],[Hora de Posicionamiento]]),"")</f>
        <v/>
      </c>
      <c r="Z1093" s="11" t="str">
        <f>IFERROR(IF(MARÍTIMOS[[#This Row],[Etapa Despacho - Llegada]]="","",MARÍTIMOS[[#This Row],[Etapa Despacho - Llegada]]),"")</f>
        <v/>
      </c>
      <c r="AA1093" s="11" t="str">
        <f>IFERROR(IF(MARÍTIMOS[[#This Row],[Etapa Despacho - Registro]]="","",MARÍTIMOS[[#This Row],[Etapa Despacho - Registro]]),"")</f>
        <v/>
      </c>
      <c r="AB1093" s="11" t="str">
        <f>IFERROR(IF(MARÍTIMOS[[#This Row],[Inspección Externa]]="","",MARÍTIMOS[[#This Row],[Inspección Externa]]),"")</f>
        <v/>
      </c>
      <c r="AC1093" s="11" t="str">
        <f>IFERROR(IF(MARÍTIMOS[[#This Row],[Etapa Despacho - Inicio de Carga]]="","",MARÍTIMOS[[#This Row],[Etapa Despacho - Inicio de Carga]]),"")</f>
        <v/>
      </c>
      <c r="AD1093" s="11" t="str">
        <f>IFERROR(IF(MARÍTIMOS[[#This Row],[Etapa Despacho - Mitad de Carga]]="","",MARÍTIMOS[[#This Row],[Etapa Despacho - Mitad de Carga]]),"")</f>
        <v/>
      </c>
      <c r="AE1093" s="11" t="str">
        <f>IFERROR(IF(MARÍTIMOS[[#This Row],[Etapa Despacho - Fin de Carga]]="","",MARÍTIMOS[[#This Row],[Etapa Despacho - Fin de Carga]]),"")</f>
        <v/>
      </c>
      <c r="AF1093" s="2" t="str">
        <f>IFERROR(IF(MARÍTIMOS[[#This Row],[Puerto de Embarque]]="","",MARÍTIMOS[[#This Row],[Puerto de Embarque]]),"")</f>
        <v/>
      </c>
      <c r="AG1093" s="2" t="str">
        <f>IFERROR(IF(MARÍTIMOS[[#This Row],[Almacén de Ingreso]]="","",MARÍTIMOS[[#This Row],[Almacén de Ingreso]]),"")</f>
        <v/>
      </c>
      <c r="AH1093" s="11" t="str">
        <f>IFERROR(IF(MARÍTIMOS[[#This Row],[Etapa Ingreso - Cita]]="","",MARÍTIMOS[[#This Row],[Etapa Ingreso - Cita]]),"")</f>
        <v/>
      </c>
      <c r="AI1093" s="11" t="str">
        <f>IFERROR(IF(MARÍTIMOS[[#This Row],[Etapa Ingreso - Llegada]]="","",MARÍTIMOS[[#This Row],[Etapa Ingreso - Llegada]]),"")</f>
        <v/>
      </c>
      <c r="AJ1093" s="11" t="str">
        <f>IFERROR(IF(MARÍTIMOS[[#This Row],[Etapa Ingreso - Ingeso]]="","",MARÍTIMOS[[#This Row],[Etapa Ingreso - Ingeso]]),"")</f>
        <v/>
      </c>
      <c r="AK1093" s="11" t="str">
        <f>IFERROR(IF(MARÍTIMOS[[#This Row],[Etapa Ingreso - Atención]]="","",MARÍTIMOS[[#This Row],[Etapa Ingreso - Atención]]),"")</f>
        <v/>
      </c>
      <c r="AL1093" s="11" t="str">
        <f>IFERROR(IF(MARÍTIMOS[[#This Row],[Etapa Ingreso - Salida]]="","",MARÍTIMOS[[#This Row],[Etapa Ingreso - Salida]]),"")</f>
        <v/>
      </c>
      <c r="AM1093" s="2" t="str">
        <f>IFERROR(IF(MARÍTIMOS[[#This Row],[FCL]]="","",MARÍTIMOS[[#This Row],[FCL]]),"")</f>
        <v/>
      </c>
      <c r="AN1093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3" s="4" t="str" cm="1">
        <f t="array" ref="AO1093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3" s="5" t="str">
        <f>IFERROR(OLDBD[[#This Row],[Llegada a packing]]-OLDBD[[#This Row],[Inicio de Ruta]],"")</f>
        <v/>
      </c>
      <c r="AQ1093" s="6" t="str">
        <f>IFERROR(OLDBD[[#This Row],[Inicio de Ruta]]-OLDBD[[#This Row],[Salida de almacén de retiro]],"")</f>
        <v/>
      </c>
      <c r="AR1093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3" s="8" t="str" cm="1">
        <f t="array" ref="AS1093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3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3" s="9" t="str">
        <f>IFERROR(OLDBD[[#This Row],[Ingreso Packing]]-OLDBD[[#This Row],[Registro en Packing]],"")</f>
        <v/>
      </c>
      <c r="AV1093" s="9" t="str">
        <f>IFERROR(OLDBD[[#This Row],[Ingreso Packing]]-OLDBD[[#This Row],[Llegada a packing]],"")</f>
        <v/>
      </c>
      <c r="AW1093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3" s="5" t="str">
        <f>IFERROR(OLDBD[[#This Row],[Llegada Almacén de Ingreso]]-OLDBD[[#This Row],[Salida Packing]],"")</f>
        <v/>
      </c>
      <c r="AY1093" s="4" t="str" cm="1">
        <f t="array" ref="AY1093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3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3" s="43" t="s">
        <v>173</v>
      </c>
      <c r="BB1093" s="47" t="str">
        <f>IFERROR(IF(MARÍTIMOS[[#This Row],[Estatus]]="","",MARÍTIMOS[[#This Row],[Estatus]]),"")</f>
        <v/>
      </c>
      <c r="BC1093" s="43"/>
      <c r="BD1093" s="46" t="str">
        <f>IFERROR(OLDBD[[#This Row],[Salida de almacén de retiro]]-OLDBD[[#This Row],[Ingreso Almacén de retiro]],"")</f>
        <v/>
      </c>
      <c r="BE1093" s="46" t="str">
        <f>IFERROR(OLDBD[[#This Row],[Fin de Carga]]-OLDBD[[#This Row],[Inicio de Carga]],"")</f>
        <v/>
      </c>
    </row>
    <row r="1094" spans="1:57" customFormat="1" hidden="1">
      <c r="A1094" s="1"/>
      <c r="B1094" s="1" t="str">
        <f>IFERROR(IF(MARÍTIMOS[[#This Row],[PP]]="","",MARÍTIMOS[[#This Row],[PP]]),"")</f>
        <v/>
      </c>
      <c r="C1094" s="1" t="str">
        <f>IFERROR(IF(MARÍTIMOS[[#This Row],[Sede]]="","",MARÍTIMOS[[#This Row],[Sede]]),"")</f>
        <v/>
      </c>
      <c r="D1094" s="1" t="str">
        <f>IFERROR(IF(MARÍTIMOS[[#This Row],[Instruction]]="","",MARÍTIMOS[[#This Row],[Instruction]]),"")</f>
        <v/>
      </c>
      <c r="E1094" s="1"/>
      <c r="F1094" s="2" t="str">
        <f>IFERROR(IF(MARÍTIMOS[[#This Row],[Transportista]]="","",MARÍTIMOS[[#This Row],[Transportista]]),"")</f>
        <v/>
      </c>
      <c r="G1094" s="2" t="str">
        <f>IFERROR(IF(MARÍTIMOS[[#This Row],[Tercero]]="","",MARÍTIMOS[[#This Row],[Tercero]]),"")</f>
        <v/>
      </c>
      <c r="H1094" s="2" t="str">
        <f>IFERROR(IF(MARÍTIMOS[[#This Row],[Razón Social]]="","",MARÍTIMOS[[#This Row],[Razón Social]]),"")</f>
        <v/>
      </c>
      <c r="I1094" s="2" t="str">
        <f>IFERROR(IF(MARÍTIMOS[[#This Row],[RUC]]="","",MARÍTIMOS[[#This Row],[RUC]]),"")</f>
        <v/>
      </c>
      <c r="J1094" s="2" t="str">
        <f>IFERROR(IF(MARÍTIMOS[[#This Row],[Placa Tracto]]="","",MARÍTIMOS[[#This Row],[Placa Tracto]]),"")</f>
        <v/>
      </c>
      <c r="K1094" s="2" t="str">
        <f>IFERROR(IF(MARÍTIMOS[[#This Row],[Placa Carreta]]="","",MARÍTIMOS[[#This Row],[Placa Carreta]]),"")</f>
        <v/>
      </c>
      <c r="L1094" s="44" t="str">
        <f>IFERROR(IF(MARÍTIMOS[[#This Row],[Conductor]]="","",MARÍTIMOS[[#This Row],[Conductor]]),"")</f>
        <v/>
      </c>
      <c r="M1094" s="2" t="str">
        <f>IFERROR(IF(MARÍTIMOS[[#This Row],[Licencia]]="","",MARÍTIMOS[[#This Row],[Licencia]]),"")</f>
        <v/>
      </c>
      <c r="N1094" s="2" t="str">
        <f>IFERROR(IF(MARÍTIMOS[[#This Row],[Número de Contacto]]="","",MARÍTIMOS[[#This Row],[Número de Contacto]]),"")</f>
        <v/>
      </c>
      <c r="O1094" s="10" t="str">
        <f>IFERROR(IF(MARÍTIMOS[[#This Row],[Booking|AWB|CRT]]="","",MARÍTIMOS[[#This Row],[Booking|AWB|CRT]]),"")</f>
        <v/>
      </c>
      <c r="P1094" s="2" t="str">
        <f>IFERROR(IF(MARÍTIMOS[[#This Row],[Contenedor]]="","",MARÍTIMOS[[#This Row],[Contenedor]]),"")</f>
        <v/>
      </c>
      <c r="Q1094" s="2" t="str">
        <f>IFERROR(IF(MARÍTIMOS[[#This Row],[Puerto de Retiro]]="","",MARÍTIMOS[[#This Row],[Puerto de Retiro]]),"")</f>
        <v/>
      </c>
      <c r="R1094" s="2" t="str">
        <f>IFERROR(IF(MARÍTIMOS[[#This Row],[Almacén de Retiro]]="","",MARÍTIMOS[[#This Row],[Almacén de Retiro]]),"")</f>
        <v/>
      </c>
      <c r="S1094" s="11" t="str">
        <f>IFERROR(IF(MARÍTIMOS[[#This Row],[Etapa Retiro - Cita]]="","",MARÍTIMOS[[#This Row],[Etapa Retiro - Cita]]),"")</f>
        <v/>
      </c>
      <c r="T1094" s="11" t="str">
        <f>IFERROR(IF(MARÍTIMOS[[#This Row],[Etapa Retiro - Llegada]]="","",MARÍTIMOS[[#This Row],[Etapa Retiro - Llegada]]),"")</f>
        <v/>
      </c>
      <c r="U1094" s="11" t="str">
        <f>IFERROR(IF(MARÍTIMOS[[#This Row],[Etapa Retiro - Ingreso]]="","",MARÍTIMOS[[#This Row],[Etapa Retiro - Ingreso]]),"")</f>
        <v/>
      </c>
      <c r="V1094" s="11" t="str">
        <f>IFERROR(IF(MARÍTIMOS[[#This Row],[Etapa Retiro - Atención]]="","",MARÍTIMOS[[#This Row],[Etapa Retiro - Atención]]),"")</f>
        <v/>
      </c>
      <c r="W1094" s="11" t="str">
        <f>IFERROR(IF(MARÍTIMOS[[#This Row],[Etapa Retiro - Atención]]="","",MARÍTIMOS[[#This Row],[Etapa Retiro - Atención]]),"")</f>
        <v/>
      </c>
      <c r="X1094" s="11" t="str">
        <f>IFERROR(IF(MARÍTIMOS[[#This Row],[Etapa Retiro - Inicio de Ruta]]="","",MARÍTIMOS[[#This Row],[Etapa Retiro - Inicio de Ruta]]),"")</f>
        <v/>
      </c>
      <c r="Y1094" s="11" t="str">
        <f>IFERROR(IF(MARÍTIMOS[[#This Row],[Hora de Posicionamiento]]="","",MARÍTIMOS[[#This Row],[Fecha de Carga]]+MARÍTIMOS[[#This Row],[Hora de Posicionamiento]]),"")</f>
        <v/>
      </c>
      <c r="Z1094" s="11" t="str">
        <f>IFERROR(IF(MARÍTIMOS[[#This Row],[Etapa Despacho - Llegada]]="","",MARÍTIMOS[[#This Row],[Etapa Despacho - Llegada]]),"")</f>
        <v/>
      </c>
      <c r="AA1094" s="11" t="str">
        <f>IFERROR(IF(MARÍTIMOS[[#This Row],[Etapa Despacho - Registro]]="","",MARÍTIMOS[[#This Row],[Etapa Despacho - Registro]]),"")</f>
        <v/>
      </c>
      <c r="AB1094" s="11" t="str">
        <f>IFERROR(IF(MARÍTIMOS[[#This Row],[Inspección Externa]]="","",MARÍTIMOS[[#This Row],[Inspección Externa]]),"")</f>
        <v/>
      </c>
      <c r="AC1094" s="11" t="str">
        <f>IFERROR(IF(MARÍTIMOS[[#This Row],[Etapa Despacho - Inicio de Carga]]="","",MARÍTIMOS[[#This Row],[Etapa Despacho - Inicio de Carga]]),"")</f>
        <v/>
      </c>
      <c r="AD1094" s="11" t="str">
        <f>IFERROR(IF(MARÍTIMOS[[#This Row],[Etapa Despacho - Mitad de Carga]]="","",MARÍTIMOS[[#This Row],[Etapa Despacho - Mitad de Carga]]),"")</f>
        <v/>
      </c>
      <c r="AE1094" s="11" t="str">
        <f>IFERROR(IF(MARÍTIMOS[[#This Row],[Etapa Despacho - Fin de Carga]]="","",MARÍTIMOS[[#This Row],[Etapa Despacho - Fin de Carga]]),"")</f>
        <v/>
      </c>
      <c r="AF1094" s="2" t="str">
        <f>IFERROR(IF(MARÍTIMOS[[#This Row],[Puerto de Embarque]]="","",MARÍTIMOS[[#This Row],[Puerto de Embarque]]),"")</f>
        <v/>
      </c>
      <c r="AG1094" s="2" t="str">
        <f>IFERROR(IF(MARÍTIMOS[[#This Row],[Almacén de Ingreso]]="","",MARÍTIMOS[[#This Row],[Almacén de Ingreso]]),"")</f>
        <v/>
      </c>
      <c r="AH1094" s="11" t="str">
        <f>IFERROR(IF(MARÍTIMOS[[#This Row],[Etapa Ingreso - Cita]]="","",MARÍTIMOS[[#This Row],[Etapa Ingreso - Cita]]),"")</f>
        <v/>
      </c>
      <c r="AI1094" s="11" t="str">
        <f>IFERROR(IF(MARÍTIMOS[[#This Row],[Etapa Ingreso - Llegada]]="","",MARÍTIMOS[[#This Row],[Etapa Ingreso - Llegada]]),"")</f>
        <v/>
      </c>
      <c r="AJ1094" s="11" t="str">
        <f>IFERROR(IF(MARÍTIMOS[[#This Row],[Etapa Ingreso - Ingeso]]="","",MARÍTIMOS[[#This Row],[Etapa Ingreso - Ingeso]]),"")</f>
        <v/>
      </c>
      <c r="AK1094" s="11" t="str">
        <f>IFERROR(IF(MARÍTIMOS[[#This Row],[Etapa Ingreso - Atención]]="","",MARÍTIMOS[[#This Row],[Etapa Ingreso - Atención]]),"")</f>
        <v/>
      </c>
      <c r="AL1094" s="11" t="str">
        <f>IFERROR(IF(MARÍTIMOS[[#This Row],[Etapa Ingreso - Salida]]="","",MARÍTIMOS[[#This Row],[Etapa Ingreso - Salida]]),"")</f>
        <v/>
      </c>
      <c r="AM1094" s="2" t="str">
        <f>IFERROR(IF(MARÍTIMOS[[#This Row],[FCL]]="","",MARÍTIMOS[[#This Row],[FCL]]),"")</f>
        <v/>
      </c>
      <c r="AN1094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4" s="4" t="str" cm="1">
        <f t="array" ref="AO1094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4" s="5" t="str">
        <f>IFERROR(OLDBD[[#This Row],[Llegada a packing]]-OLDBD[[#This Row],[Inicio de Ruta]],"")</f>
        <v/>
      </c>
      <c r="AQ1094" s="6" t="str">
        <f>IFERROR(OLDBD[[#This Row],[Inicio de Ruta]]-OLDBD[[#This Row],[Salida de almacén de retiro]],"")</f>
        <v/>
      </c>
      <c r="AR1094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4" s="8" t="str" cm="1">
        <f t="array" ref="AS1094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4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4" s="9" t="str">
        <f>IFERROR(OLDBD[[#This Row],[Ingreso Packing]]-OLDBD[[#This Row],[Registro en Packing]],"")</f>
        <v/>
      </c>
      <c r="AV1094" s="9" t="str">
        <f>IFERROR(OLDBD[[#This Row],[Ingreso Packing]]-OLDBD[[#This Row],[Llegada a packing]],"")</f>
        <v/>
      </c>
      <c r="AW1094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4" s="5" t="str">
        <f>IFERROR(OLDBD[[#This Row],[Llegada Almacén de Ingreso]]-OLDBD[[#This Row],[Salida Packing]],"")</f>
        <v/>
      </c>
      <c r="AY1094" s="4" t="str" cm="1">
        <f t="array" ref="AY1094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4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4" s="43" t="s">
        <v>173</v>
      </c>
      <c r="BB1094" s="47" t="str">
        <f>IFERROR(IF(MARÍTIMOS[[#This Row],[Estatus]]="","",MARÍTIMOS[[#This Row],[Estatus]]),"")</f>
        <v/>
      </c>
      <c r="BC1094" s="43"/>
      <c r="BD1094" s="46" t="str">
        <f>IFERROR(OLDBD[[#This Row],[Salida de almacén de retiro]]-OLDBD[[#This Row],[Ingreso Almacén de retiro]],"")</f>
        <v/>
      </c>
      <c r="BE1094" s="46" t="str">
        <f>IFERROR(OLDBD[[#This Row],[Fin de Carga]]-OLDBD[[#This Row],[Inicio de Carga]],"")</f>
        <v/>
      </c>
    </row>
    <row r="1095" spans="1:57" customFormat="1" hidden="1">
      <c r="A1095" s="1"/>
      <c r="B1095" s="1" t="str">
        <f>IFERROR(IF(MARÍTIMOS[[#This Row],[PP]]="","",MARÍTIMOS[[#This Row],[PP]]),"")</f>
        <v/>
      </c>
      <c r="C1095" s="1" t="str">
        <f>IFERROR(IF(MARÍTIMOS[[#This Row],[Sede]]="","",MARÍTIMOS[[#This Row],[Sede]]),"")</f>
        <v/>
      </c>
      <c r="D1095" s="1" t="str">
        <f>IFERROR(IF(MARÍTIMOS[[#This Row],[Instruction]]="","",MARÍTIMOS[[#This Row],[Instruction]]),"")</f>
        <v/>
      </c>
      <c r="E1095" s="1"/>
      <c r="F1095" s="2" t="str">
        <f>IFERROR(IF(MARÍTIMOS[[#This Row],[Transportista]]="","",MARÍTIMOS[[#This Row],[Transportista]]),"")</f>
        <v/>
      </c>
      <c r="G1095" s="2" t="str">
        <f>IFERROR(IF(MARÍTIMOS[[#This Row],[Tercero]]="","",MARÍTIMOS[[#This Row],[Tercero]]),"")</f>
        <v/>
      </c>
      <c r="H1095" s="2" t="str">
        <f>IFERROR(IF(MARÍTIMOS[[#This Row],[Razón Social]]="","",MARÍTIMOS[[#This Row],[Razón Social]]),"")</f>
        <v/>
      </c>
      <c r="I1095" s="2" t="str">
        <f>IFERROR(IF(MARÍTIMOS[[#This Row],[RUC]]="","",MARÍTIMOS[[#This Row],[RUC]]),"")</f>
        <v/>
      </c>
      <c r="J1095" s="2" t="str">
        <f>IFERROR(IF(MARÍTIMOS[[#This Row],[Placa Tracto]]="","",MARÍTIMOS[[#This Row],[Placa Tracto]]),"")</f>
        <v/>
      </c>
      <c r="K1095" s="2" t="str">
        <f>IFERROR(IF(MARÍTIMOS[[#This Row],[Placa Carreta]]="","",MARÍTIMOS[[#This Row],[Placa Carreta]]),"")</f>
        <v/>
      </c>
      <c r="L1095" s="44" t="str">
        <f>IFERROR(IF(MARÍTIMOS[[#This Row],[Conductor]]="","",MARÍTIMOS[[#This Row],[Conductor]]),"")</f>
        <v/>
      </c>
      <c r="M1095" s="2" t="str">
        <f>IFERROR(IF(MARÍTIMOS[[#This Row],[Licencia]]="","",MARÍTIMOS[[#This Row],[Licencia]]),"")</f>
        <v/>
      </c>
      <c r="N1095" s="2" t="str">
        <f>IFERROR(IF(MARÍTIMOS[[#This Row],[Número de Contacto]]="","",MARÍTIMOS[[#This Row],[Número de Contacto]]),"")</f>
        <v/>
      </c>
      <c r="O1095" s="10" t="str">
        <f>IFERROR(IF(MARÍTIMOS[[#This Row],[Booking|AWB|CRT]]="","",MARÍTIMOS[[#This Row],[Booking|AWB|CRT]]),"")</f>
        <v/>
      </c>
      <c r="P1095" s="2" t="str">
        <f>IFERROR(IF(MARÍTIMOS[[#This Row],[Contenedor]]="","",MARÍTIMOS[[#This Row],[Contenedor]]),"")</f>
        <v/>
      </c>
      <c r="Q1095" s="2" t="str">
        <f>IFERROR(IF(MARÍTIMOS[[#This Row],[Puerto de Retiro]]="","",MARÍTIMOS[[#This Row],[Puerto de Retiro]]),"")</f>
        <v/>
      </c>
      <c r="R1095" s="2" t="str">
        <f>IFERROR(IF(MARÍTIMOS[[#This Row],[Almacén de Retiro]]="","",MARÍTIMOS[[#This Row],[Almacén de Retiro]]),"")</f>
        <v/>
      </c>
      <c r="S1095" s="11" t="str">
        <f>IFERROR(IF(MARÍTIMOS[[#This Row],[Etapa Retiro - Cita]]="","",MARÍTIMOS[[#This Row],[Etapa Retiro - Cita]]),"")</f>
        <v/>
      </c>
      <c r="T1095" s="11" t="str">
        <f>IFERROR(IF(MARÍTIMOS[[#This Row],[Etapa Retiro - Llegada]]="","",MARÍTIMOS[[#This Row],[Etapa Retiro - Llegada]]),"")</f>
        <v/>
      </c>
      <c r="U1095" s="11" t="str">
        <f>IFERROR(IF(MARÍTIMOS[[#This Row],[Etapa Retiro - Ingreso]]="","",MARÍTIMOS[[#This Row],[Etapa Retiro - Ingreso]]),"")</f>
        <v/>
      </c>
      <c r="V1095" s="11" t="str">
        <f>IFERROR(IF(MARÍTIMOS[[#This Row],[Etapa Retiro - Atención]]="","",MARÍTIMOS[[#This Row],[Etapa Retiro - Atención]]),"")</f>
        <v/>
      </c>
      <c r="W1095" s="11" t="str">
        <f>IFERROR(IF(MARÍTIMOS[[#This Row],[Etapa Retiro - Atención]]="","",MARÍTIMOS[[#This Row],[Etapa Retiro - Atención]]),"")</f>
        <v/>
      </c>
      <c r="X1095" s="11" t="str">
        <f>IFERROR(IF(MARÍTIMOS[[#This Row],[Etapa Retiro - Inicio de Ruta]]="","",MARÍTIMOS[[#This Row],[Etapa Retiro - Inicio de Ruta]]),"")</f>
        <v/>
      </c>
      <c r="Y1095" s="11" t="str">
        <f>IFERROR(IF(MARÍTIMOS[[#This Row],[Hora de Posicionamiento]]="","",MARÍTIMOS[[#This Row],[Fecha de Carga]]+MARÍTIMOS[[#This Row],[Hora de Posicionamiento]]),"")</f>
        <v/>
      </c>
      <c r="Z1095" s="11" t="str">
        <f>IFERROR(IF(MARÍTIMOS[[#This Row],[Etapa Despacho - Llegada]]="","",MARÍTIMOS[[#This Row],[Etapa Despacho - Llegada]]),"")</f>
        <v/>
      </c>
      <c r="AA1095" s="11" t="str">
        <f>IFERROR(IF(MARÍTIMOS[[#This Row],[Etapa Despacho - Registro]]="","",MARÍTIMOS[[#This Row],[Etapa Despacho - Registro]]),"")</f>
        <v/>
      </c>
      <c r="AB1095" s="11" t="str">
        <f>IFERROR(IF(MARÍTIMOS[[#This Row],[Inspección Externa]]="","",MARÍTIMOS[[#This Row],[Inspección Externa]]),"")</f>
        <v/>
      </c>
      <c r="AC1095" s="11" t="str">
        <f>IFERROR(IF(MARÍTIMOS[[#This Row],[Etapa Despacho - Inicio de Carga]]="","",MARÍTIMOS[[#This Row],[Etapa Despacho - Inicio de Carga]]),"")</f>
        <v/>
      </c>
      <c r="AD1095" s="11" t="str">
        <f>IFERROR(IF(MARÍTIMOS[[#This Row],[Etapa Despacho - Mitad de Carga]]="","",MARÍTIMOS[[#This Row],[Etapa Despacho - Mitad de Carga]]),"")</f>
        <v/>
      </c>
      <c r="AE1095" s="11" t="str">
        <f>IFERROR(IF(MARÍTIMOS[[#This Row],[Etapa Despacho - Fin de Carga]]="","",MARÍTIMOS[[#This Row],[Etapa Despacho - Fin de Carga]]),"")</f>
        <v/>
      </c>
      <c r="AF1095" s="2" t="str">
        <f>IFERROR(IF(MARÍTIMOS[[#This Row],[Puerto de Embarque]]="","",MARÍTIMOS[[#This Row],[Puerto de Embarque]]),"")</f>
        <v/>
      </c>
      <c r="AG1095" s="2" t="str">
        <f>IFERROR(IF(MARÍTIMOS[[#This Row],[Almacén de Ingreso]]="","",MARÍTIMOS[[#This Row],[Almacén de Ingreso]]),"")</f>
        <v/>
      </c>
      <c r="AH1095" s="11" t="str">
        <f>IFERROR(IF(MARÍTIMOS[[#This Row],[Etapa Ingreso - Cita]]="","",MARÍTIMOS[[#This Row],[Etapa Ingreso - Cita]]),"")</f>
        <v/>
      </c>
      <c r="AI1095" s="11" t="str">
        <f>IFERROR(IF(MARÍTIMOS[[#This Row],[Etapa Ingreso - Llegada]]="","",MARÍTIMOS[[#This Row],[Etapa Ingreso - Llegada]]),"")</f>
        <v/>
      </c>
      <c r="AJ1095" s="11" t="str">
        <f>IFERROR(IF(MARÍTIMOS[[#This Row],[Etapa Ingreso - Ingeso]]="","",MARÍTIMOS[[#This Row],[Etapa Ingreso - Ingeso]]),"")</f>
        <v/>
      </c>
      <c r="AK1095" s="11" t="str">
        <f>IFERROR(IF(MARÍTIMOS[[#This Row],[Etapa Ingreso - Atención]]="","",MARÍTIMOS[[#This Row],[Etapa Ingreso - Atención]]),"")</f>
        <v/>
      </c>
      <c r="AL1095" s="11" t="str">
        <f>IFERROR(IF(MARÍTIMOS[[#This Row],[Etapa Ingreso - Salida]]="","",MARÍTIMOS[[#This Row],[Etapa Ingreso - Salida]]),"")</f>
        <v/>
      </c>
      <c r="AM1095" s="2" t="str">
        <f>IFERROR(IF(MARÍTIMOS[[#This Row],[FCL]]="","",MARÍTIMOS[[#This Row],[FCL]]),"")</f>
        <v/>
      </c>
      <c r="AN1095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5" s="4" t="str" cm="1">
        <f t="array" ref="AO1095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5" s="5" t="str">
        <f>IFERROR(OLDBD[[#This Row],[Llegada a packing]]-OLDBD[[#This Row],[Inicio de Ruta]],"")</f>
        <v/>
      </c>
      <c r="AQ1095" s="6" t="str">
        <f>IFERROR(OLDBD[[#This Row],[Inicio de Ruta]]-OLDBD[[#This Row],[Salida de almacén de retiro]],"")</f>
        <v/>
      </c>
      <c r="AR1095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5" s="8" t="str" cm="1">
        <f t="array" ref="AS1095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5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5" s="9" t="str">
        <f>IFERROR(OLDBD[[#This Row],[Ingreso Packing]]-OLDBD[[#This Row],[Registro en Packing]],"")</f>
        <v/>
      </c>
      <c r="AV1095" s="9" t="str">
        <f>IFERROR(OLDBD[[#This Row],[Ingreso Packing]]-OLDBD[[#This Row],[Llegada a packing]],"")</f>
        <v/>
      </c>
      <c r="AW1095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5" s="5" t="str">
        <f>IFERROR(OLDBD[[#This Row],[Llegada Almacén de Ingreso]]-OLDBD[[#This Row],[Salida Packing]],"")</f>
        <v/>
      </c>
      <c r="AY1095" s="4" t="str" cm="1">
        <f t="array" ref="AY1095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5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5" s="43" t="s">
        <v>173</v>
      </c>
      <c r="BB1095" s="47" t="str">
        <f>IFERROR(IF(MARÍTIMOS[[#This Row],[Estatus]]="","",MARÍTIMOS[[#This Row],[Estatus]]),"")</f>
        <v/>
      </c>
      <c r="BC1095" s="43"/>
      <c r="BD1095" s="46" t="str">
        <f>IFERROR(OLDBD[[#This Row],[Salida de almacén de retiro]]-OLDBD[[#This Row],[Ingreso Almacén de retiro]],"")</f>
        <v/>
      </c>
      <c r="BE1095" s="46" t="str">
        <f>IFERROR(OLDBD[[#This Row],[Fin de Carga]]-OLDBD[[#This Row],[Inicio de Carga]],"")</f>
        <v/>
      </c>
    </row>
    <row r="1096" spans="1:57" customFormat="1" hidden="1">
      <c r="A1096" s="1"/>
      <c r="B1096" s="1" t="str">
        <f>IFERROR(IF(MARÍTIMOS[[#This Row],[PP]]="","",MARÍTIMOS[[#This Row],[PP]]),"")</f>
        <v/>
      </c>
      <c r="C1096" s="1" t="str">
        <f>IFERROR(IF(MARÍTIMOS[[#This Row],[Sede]]="","",MARÍTIMOS[[#This Row],[Sede]]),"")</f>
        <v/>
      </c>
      <c r="D1096" s="1" t="str">
        <f>IFERROR(IF(MARÍTIMOS[[#This Row],[Instruction]]="","",MARÍTIMOS[[#This Row],[Instruction]]),"")</f>
        <v/>
      </c>
      <c r="E1096" s="1"/>
      <c r="F1096" s="2" t="str">
        <f>IFERROR(IF(MARÍTIMOS[[#This Row],[Transportista]]="","",MARÍTIMOS[[#This Row],[Transportista]]),"")</f>
        <v/>
      </c>
      <c r="G1096" s="2" t="str">
        <f>IFERROR(IF(MARÍTIMOS[[#This Row],[Tercero]]="","",MARÍTIMOS[[#This Row],[Tercero]]),"")</f>
        <v/>
      </c>
      <c r="H1096" s="2" t="str">
        <f>IFERROR(IF(MARÍTIMOS[[#This Row],[Razón Social]]="","",MARÍTIMOS[[#This Row],[Razón Social]]),"")</f>
        <v/>
      </c>
      <c r="I1096" s="2" t="str">
        <f>IFERROR(IF(MARÍTIMOS[[#This Row],[RUC]]="","",MARÍTIMOS[[#This Row],[RUC]]),"")</f>
        <v/>
      </c>
      <c r="J1096" s="2" t="str">
        <f>IFERROR(IF(MARÍTIMOS[[#This Row],[Placa Tracto]]="","",MARÍTIMOS[[#This Row],[Placa Tracto]]),"")</f>
        <v/>
      </c>
      <c r="K1096" s="2" t="str">
        <f>IFERROR(IF(MARÍTIMOS[[#This Row],[Placa Carreta]]="","",MARÍTIMOS[[#This Row],[Placa Carreta]]),"")</f>
        <v/>
      </c>
      <c r="L1096" s="44" t="str">
        <f>IFERROR(IF(MARÍTIMOS[[#This Row],[Conductor]]="","",MARÍTIMOS[[#This Row],[Conductor]]),"")</f>
        <v/>
      </c>
      <c r="M1096" s="2" t="str">
        <f>IFERROR(IF(MARÍTIMOS[[#This Row],[Licencia]]="","",MARÍTIMOS[[#This Row],[Licencia]]),"")</f>
        <v/>
      </c>
      <c r="N1096" s="2" t="str">
        <f>IFERROR(IF(MARÍTIMOS[[#This Row],[Número de Contacto]]="","",MARÍTIMOS[[#This Row],[Número de Contacto]]),"")</f>
        <v/>
      </c>
      <c r="O1096" s="10" t="str">
        <f>IFERROR(IF(MARÍTIMOS[[#This Row],[Booking|AWB|CRT]]="","",MARÍTIMOS[[#This Row],[Booking|AWB|CRT]]),"")</f>
        <v/>
      </c>
      <c r="P1096" s="2" t="str">
        <f>IFERROR(IF(MARÍTIMOS[[#This Row],[Contenedor]]="","",MARÍTIMOS[[#This Row],[Contenedor]]),"")</f>
        <v/>
      </c>
      <c r="Q1096" s="2" t="str">
        <f>IFERROR(IF(MARÍTIMOS[[#This Row],[Puerto de Retiro]]="","",MARÍTIMOS[[#This Row],[Puerto de Retiro]]),"")</f>
        <v/>
      </c>
      <c r="R1096" s="2" t="str">
        <f>IFERROR(IF(MARÍTIMOS[[#This Row],[Almacén de Retiro]]="","",MARÍTIMOS[[#This Row],[Almacén de Retiro]]),"")</f>
        <v/>
      </c>
      <c r="S1096" s="11" t="str">
        <f>IFERROR(IF(MARÍTIMOS[[#This Row],[Etapa Retiro - Cita]]="","",MARÍTIMOS[[#This Row],[Etapa Retiro - Cita]]),"")</f>
        <v/>
      </c>
      <c r="T1096" s="11" t="str">
        <f>IFERROR(IF(MARÍTIMOS[[#This Row],[Etapa Retiro - Llegada]]="","",MARÍTIMOS[[#This Row],[Etapa Retiro - Llegada]]),"")</f>
        <v/>
      </c>
      <c r="U1096" s="11" t="str">
        <f>IFERROR(IF(MARÍTIMOS[[#This Row],[Etapa Retiro - Ingreso]]="","",MARÍTIMOS[[#This Row],[Etapa Retiro - Ingreso]]),"")</f>
        <v/>
      </c>
      <c r="V1096" s="11" t="str">
        <f>IFERROR(IF(MARÍTIMOS[[#This Row],[Etapa Retiro - Atención]]="","",MARÍTIMOS[[#This Row],[Etapa Retiro - Atención]]),"")</f>
        <v/>
      </c>
      <c r="W1096" s="11" t="str">
        <f>IFERROR(IF(MARÍTIMOS[[#This Row],[Etapa Retiro - Atención]]="","",MARÍTIMOS[[#This Row],[Etapa Retiro - Atención]]),"")</f>
        <v/>
      </c>
      <c r="X1096" s="11" t="str">
        <f>IFERROR(IF(MARÍTIMOS[[#This Row],[Etapa Retiro - Inicio de Ruta]]="","",MARÍTIMOS[[#This Row],[Etapa Retiro - Inicio de Ruta]]),"")</f>
        <v/>
      </c>
      <c r="Y1096" s="11" t="str">
        <f>IFERROR(IF(MARÍTIMOS[[#This Row],[Hora de Posicionamiento]]="","",MARÍTIMOS[[#This Row],[Fecha de Carga]]+MARÍTIMOS[[#This Row],[Hora de Posicionamiento]]),"")</f>
        <v/>
      </c>
      <c r="Z1096" s="11" t="str">
        <f>IFERROR(IF(MARÍTIMOS[[#This Row],[Etapa Despacho - Llegada]]="","",MARÍTIMOS[[#This Row],[Etapa Despacho - Llegada]]),"")</f>
        <v/>
      </c>
      <c r="AA1096" s="11" t="str">
        <f>IFERROR(IF(MARÍTIMOS[[#This Row],[Etapa Despacho - Registro]]="","",MARÍTIMOS[[#This Row],[Etapa Despacho - Registro]]),"")</f>
        <v/>
      </c>
      <c r="AB1096" s="11" t="str">
        <f>IFERROR(IF(MARÍTIMOS[[#This Row],[Inspección Externa]]="","",MARÍTIMOS[[#This Row],[Inspección Externa]]),"")</f>
        <v/>
      </c>
      <c r="AC1096" s="11" t="str">
        <f>IFERROR(IF(MARÍTIMOS[[#This Row],[Etapa Despacho - Inicio de Carga]]="","",MARÍTIMOS[[#This Row],[Etapa Despacho - Inicio de Carga]]),"")</f>
        <v/>
      </c>
      <c r="AD1096" s="11" t="str">
        <f>IFERROR(IF(MARÍTIMOS[[#This Row],[Etapa Despacho - Mitad de Carga]]="","",MARÍTIMOS[[#This Row],[Etapa Despacho - Mitad de Carga]]),"")</f>
        <v/>
      </c>
      <c r="AE1096" s="11" t="str">
        <f>IFERROR(IF(MARÍTIMOS[[#This Row],[Etapa Despacho - Fin de Carga]]="","",MARÍTIMOS[[#This Row],[Etapa Despacho - Fin de Carga]]),"")</f>
        <v/>
      </c>
      <c r="AF1096" s="2" t="str">
        <f>IFERROR(IF(MARÍTIMOS[[#This Row],[Puerto de Embarque]]="","",MARÍTIMOS[[#This Row],[Puerto de Embarque]]),"")</f>
        <v/>
      </c>
      <c r="AG1096" s="2" t="str">
        <f>IFERROR(IF(MARÍTIMOS[[#This Row],[Almacén de Ingreso]]="","",MARÍTIMOS[[#This Row],[Almacén de Ingreso]]),"")</f>
        <v/>
      </c>
      <c r="AH1096" s="11" t="str">
        <f>IFERROR(IF(MARÍTIMOS[[#This Row],[Etapa Ingreso - Cita]]="","",MARÍTIMOS[[#This Row],[Etapa Ingreso - Cita]]),"")</f>
        <v/>
      </c>
      <c r="AI1096" s="11" t="str">
        <f>IFERROR(IF(MARÍTIMOS[[#This Row],[Etapa Ingreso - Llegada]]="","",MARÍTIMOS[[#This Row],[Etapa Ingreso - Llegada]]),"")</f>
        <v/>
      </c>
      <c r="AJ1096" s="11" t="str">
        <f>IFERROR(IF(MARÍTIMOS[[#This Row],[Etapa Ingreso - Ingeso]]="","",MARÍTIMOS[[#This Row],[Etapa Ingreso - Ingeso]]),"")</f>
        <v/>
      </c>
      <c r="AK1096" s="11" t="str">
        <f>IFERROR(IF(MARÍTIMOS[[#This Row],[Etapa Ingreso - Atención]]="","",MARÍTIMOS[[#This Row],[Etapa Ingreso - Atención]]),"")</f>
        <v/>
      </c>
      <c r="AL1096" s="11" t="str">
        <f>IFERROR(IF(MARÍTIMOS[[#This Row],[Etapa Ingreso - Salida]]="","",MARÍTIMOS[[#This Row],[Etapa Ingreso - Salida]]),"")</f>
        <v/>
      </c>
      <c r="AM1096" s="2" t="str">
        <f>IFERROR(IF(MARÍTIMOS[[#This Row],[FCL]]="","",MARÍTIMOS[[#This Row],[FCL]]),"")</f>
        <v/>
      </c>
      <c r="AN1096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6" s="4" t="str" cm="1">
        <f t="array" ref="AO1096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6" s="5" t="str">
        <f>IFERROR(OLDBD[[#This Row],[Llegada a packing]]-OLDBD[[#This Row],[Inicio de Ruta]],"")</f>
        <v/>
      </c>
      <c r="AQ1096" s="6" t="str">
        <f>IFERROR(OLDBD[[#This Row],[Inicio de Ruta]]-OLDBD[[#This Row],[Salida de almacén de retiro]],"")</f>
        <v/>
      </c>
      <c r="AR1096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6" s="8" t="str" cm="1">
        <f t="array" ref="AS1096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6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6" s="9" t="str">
        <f>IFERROR(OLDBD[[#This Row],[Ingreso Packing]]-OLDBD[[#This Row],[Registro en Packing]],"")</f>
        <v/>
      </c>
      <c r="AV1096" s="9" t="str">
        <f>IFERROR(OLDBD[[#This Row],[Ingreso Packing]]-OLDBD[[#This Row],[Llegada a packing]],"")</f>
        <v/>
      </c>
      <c r="AW1096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6" s="5" t="str">
        <f>IFERROR(OLDBD[[#This Row],[Llegada Almacén de Ingreso]]-OLDBD[[#This Row],[Salida Packing]],"")</f>
        <v/>
      </c>
      <c r="AY1096" s="4" t="str" cm="1">
        <f t="array" ref="AY1096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6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6" s="43" t="s">
        <v>173</v>
      </c>
      <c r="BB1096" s="47" t="str">
        <f>IFERROR(IF(MARÍTIMOS[[#This Row],[Estatus]]="","",MARÍTIMOS[[#This Row],[Estatus]]),"")</f>
        <v/>
      </c>
      <c r="BC1096" s="43"/>
      <c r="BD1096" s="46" t="str">
        <f>IFERROR(OLDBD[[#This Row],[Salida de almacén de retiro]]-OLDBD[[#This Row],[Ingreso Almacén de retiro]],"")</f>
        <v/>
      </c>
      <c r="BE1096" s="46" t="str">
        <f>IFERROR(OLDBD[[#This Row],[Fin de Carga]]-OLDBD[[#This Row],[Inicio de Carga]],"")</f>
        <v/>
      </c>
    </row>
    <row r="1097" spans="1:57" customFormat="1" hidden="1">
      <c r="A1097" s="1"/>
      <c r="B1097" s="1" t="str">
        <f>IFERROR(IF(MARÍTIMOS[[#This Row],[PP]]="","",MARÍTIMOS[[#This Row],[PP]]),"")</f>
        <v/>
      </c>
      <c r="C1097" s="1" t="str">
        <f>IFERROR(IF(MARÍTIMOS[[#This Row],[Sede]]="","",MARÍTIMOS[[#This Row],[Sede]]),"")</f>
        <v/>
      </c>
      <c r="D1097" s="1" t="str">
        <f>IFERROR(IF(MARÍTIMOS[[#This Row],[Instruction]]="","",MARÍTIMOS[[#This Row],[Instruction]]),"")</f>
        <v/>
      </c>
      <c r="E1097" s="1"/>
      <c r="F1097" s="2" t="str">
        <f>IFERROR(IF(MARÍTIMOS[[#This Row],[Transportista]]="","",MARÍTIMOS[[#This Row],[Transportista]]),"")</f>
        <v/>
      </c>
      <c r="G1097" s="2" t="str">
        <f>IFERROR(IF(MARÍTIMOS[[#This Row],[Tercero]]="","",MARÍTIMOS[[#This Row],[Tercero]]),"")</f>
        <v/>
      </c>
      <c r="H1097" s="2" t="str">
        <f>IFERROR(IF(MARÍTIMOS[[#This Row],[Razón Social]]="","",MARÍTIMOS[[#This Row],[Razón Social]]),"")</f>
        <v/>
      </c>
      <c r="I1097" s="2" t="str">
        <f>IFERROR(IF(MARÍTIMOS[[#This Row],[RUC]]="","",MARÍTIMOS[[#This Row],[RUC]]),"")</f>
        <v/>
      </c>
      <c r="J1097" s="2" t="str">
        <f>IFERROR(IF(MARÍTIMOS[[#This Row],[Placa Tracto]]="","",MARÍTIMOS[[#This Row],[Placa Tracto]]),"")</f>
        <v/>
      </c>
      <c r="K1097" s="2" t="str">
        <f>IFERROR(IF(MARÍTIMOS[[#This Row],[Placa Carreta]]="","",MARÍTIMOS[[#This Row],[Placa Carreta]]),"")</f>
        <v/>
      </c>
      <c r="L1097" s="44" t="str">
        <f>IFERROR(IF(MARÍTIMOS[[#This Row],[Conductor]]="","",MARÍTIMOS[[#This Row],[Conductor]]),"")</f>
        <v/>
      </c>
      <c r="M1097" s="2" t="str">
        <f>IFERROR(IF(MARÍTIMOS[[#This Row],[Licencia]]="","",MARÍTIMOS[[#This Row],[Licencia]]),"")</f>
        <v/>
      </c>
      <c r="N1097" s="2" t="str">
        <f>IFERROR(IF(MARÍTIMOS[[#This Row],[Número de Contacto]]="","",MARÍTIMOS[[#This Row],[Número de Contacto]]),"")</f>
        <v/>
      </c>
      <c r="O1097" s="10" t="str">
        <f>IFERROR(IF(MARÍTIMOS[[#This Row],[Booking|AWB|CRT]]="","",MARÍTIMOS[[#This Row],[Booking|AWB|CRT]]),"")</f>
        <v/>
      </c>
      <c r="P1097" s="2" t="str">
        <f>IFERROR(IF(MARÍTIMOS[[#This Row],[Contenedor]]="","",MARÍTIMOS[[#This Row],[Contenedor]]),"")</f>
        <v/>
      </c>
      <c r="Q1097" s="2" t="str">
        <f>IFERROR(IF(MARÍTIMOS[[#This Row],[Puerto de Retiro]]="","",MARÍTIMOS[[#This Row],[Puerto de Retiro]]),"")</f>
        <v/>
      </c>
      <c r="R1097" s="2" t="str">
        <f>IFERROR(IF(MARÍTIMOS[[#This Row],[Almacén de Retiro]]="","",MARÍTIMOS[[#This Row],[Almacén de Retiro]]),"")</f>
        <v/>
      </c>
      <c r="S1097" s="11" t="str">
        <f>IFERROR(IF(MARÍTIMOS[[#This Row],[Etapa Retiro - Cita]]="","",MARÍTIMOS[[#This Row],[Etapa Retiro - Cita]]),"")</f>
        <v/>
      </c>
      <c r="T1097" s="11" t="str">
        <f>IFERROR(IF(MARÍTIMOS[[#This Row],[Etapa Retiro - Llegada]]="","",MARÍTIMOS[[#This Row],[Etapa Retiro - Llegada]]),"")</f>
        <v/>
      </c>
      <c r="U1097" s="11" t="str">
        <f>IFERROR(IF(MARÍTIMOS[[#This Row],[Etapa Retiro - Ingreso]]="","",MARÍTIMOS[[#This Row],[Etapa Retiro - Ingreso]]),"")</f>
        <v/>
      </c>
      <c r="V1097" s="11" t="str">
        <f>IFERROR(IF(MARÍTIMOS[[#This Row],[Etapa Retiro - Atención]]="","",MARÍTIMOS[[#This Row],[Etapa Retiro - Atención]]),"")</f>
        <v/>
      </c>
      <c r="W1097" s="11" t="str">
        <f>IFERROR(IF(MARÍTIMOS[[#This Row],[Etapa Retiro - Atención]]="","",MARÍTIMOS[[#This Row],[Etapa Retiro - Atención]]),"")</f>
        <v/>
      </c>
      <c r="X1097" s="11" t="str">
        <f>IFERROR(IF(MARÍTIMOS[[#This Row],[Etapa Retiro - Inicio de Ruta]]="","",MARÍTIMOS[[#This Row],[Etapa Retiro - Inicio de Ruta]]),"")</f>
        <v/>
      </c>
      <c r="Y1097" s="11" t="str">
        <f>IFERROR(IF(MARÍTIMOS[[#This Row],[Hora de Posicionamiento]]="","",MARÍTIMOS[[#This Row],[Fecha de Carga]]+MARÍTIMOS[[#This Row],[Hora de Posicionamiento]]),"")</f>
        <v/>
      </c>
      <c r="Z1097" s="11" t="str">
        <f>IFERROR(IF(MARÍTIMOS[[#This Row],[Etapa Despacho - Llegada]]="","",MARÍTIMOS[[#This Row],[Etapa Despacho - Llegada]]),"")</f>
        <v/>
      </c>
      <c r="AA1097" s="11" t="str">
        <f>IFERROR(IF(MARÍTIMOS[[#This Row],[Etapa Despacho - Registro]]="","",MARÍTIMOS[[#This Row],[Etapa Despacho - Registro]]),"")</f>
        <v/>
      </c>
      <c r="AB1097" s="11" t="str">
        <f>IFERROR(IF(MARÍTIMOS[[#This Row],[Inspección Externa]]="","",MARÍTIMOS[[#This Row],[Inspección Externa]]),"")</f>
        <v/>
      </c>
      <c r="AC1097" s="11" t="str">
        <f>IFERROR(IF(MARÍTIMOS[[#This Row],[Etapa Despacho - Inicio de Carga]]="","",MARÍTIMOS[[#This Row],[Etapa Despacho - Inicio de Carga]]),"")</f>
        <v/>
      </c>
      <c r="AD1097" s="11" t="str">
        <f>IFERROR(IF(MARÍTIMOS[[#This Row],[Etapa Despacho - Mitad de Carga]]="","",MARÍTIMOS[[#This Row],[Etapa Despacho - Mitad de Carga]]),"")</f>
        <v/>
      </c>
      <c r="AE1097" s="11" t="str">
        <f>IFERROR(IF(MARÍTIMOS[[#This Row],[Etapa Despacho - Fin de Carga]]="","",MARÍTIMOS[[#This Row],[Etapa Despacho - Fin de Carga]]),"")</f>
        <v/>
      </c>
      <c r="AF1097" s="2" t="str">
        <f>IFERROR(IF(MARÍTIMOS[[#This Row],[Puerto de Embarque]]="","",MARÍTIMOS[[#This Row],[Puerto de Embarque]]),"")</f>
        <v/>
      </c>
      <c r="AG1097" s="2" t="str">
        <f>IFERROR(IF(MARÍTIMOS[[#This Row],[Almacén de Ingreso]]="","",MARÍTIMOS[[#This Row],[Almacén de Ingreso]]),"")</f>
        <v/>
      </c>
      <c r="AH1097" s="11" t="str">
        <f>IFERROR(IF(MARÍTIMOS[[#This Row],[Etapa Ingreso - Cita]]="","",MARÍTIMOS[[#This Row],[Etapa Ingreso - Cita]]),"")</f>
        <v/>
      </c>
      <c r="AI1097" s="11" t="str">
        <f>IFERROR(IF(MARÍTIMOS[[#This Row],[Etapa Ingreso - Llegada]]="","",MARÍTIMOS[[#This Row],[Etapa Ingreso - Llegada]]),"")</f>
        <v/>
      </c>
      <c r="AJ1097" s="11" t="str">
        <f>IFERROR(IF(MARÍTIMOS[[#This Row],[Etapa Ingreso - Ingeso]]="","",MARÍTIMOS[[#This Row],[Etapa Ingreso - Ingeso]]),"")</f>
        <v/>
      </c>
      <c r="AK1097" s="11" t="str">
        <f>IFERROR(IF(MARÍTIMOS[[#This Row],[Etapa Ingreso - Atención]]="","",MARÍTIMOS[[#This Row],[Etapa Ingreso - Atención]]),"")</f>
        <v/>
      </c>
      <c r="AL1097" s="11" t="str">
        <f>IFERROR(IF(MARÍTIMOS[[#This Row],[Etapa Ingreso - Salida]]="","",MARÍTIMOS[[#This Row],[Etapa Ingreso - Salida]]),"")</f>
        <v/>
      </c>
      <c r="AM1097" s="2" t="str">
        <f>IFERROR(IF(MARÍTIMOS[[#This Row],[FCL]]="","",MARÍTIMOS[[#This Row],[FCL]]),"")</f>
        <v/>
      </c>
      <c r="AN1097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7" s="4" t="str" cm="1">
        <f t="array" ref="AO1097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7" s="5" t="str">
        <f>IFERROR(OLDBD[[#This Row],[Llegada a packing]]-OLDBD[[#This Row],[Inicio de Ruta]],"")</f>
        <v/>
      </c>
      <c r="AQ1097" s="6" t="str">
        <f>IFERROR(OLDBD[[#This Row],[Inicio de Ruta]]-OLDBD[[#This Row],[Salida de almacén de retiro]],"")</f>
        <v/>
      </c>
      <c r="AR1097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7" s="8" t="str" cm="1">
        <f t="array" ref="AS1097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7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7" s="9" t="str">
        <f>IFERROR(OLDBD[[#This Row],[Ingreso Packing]]-OLDBD[[#This Row],[Registro en Packing]],"")</f>
        <v/>
      </c>
      <c r="AV1097" s="9" t="str">
        <f>IFERROR(OLDBD[[#This Row],[Ingreso Packing]]-OLDBD[[#This Row],[Llegada a packing]],"")</f>
        <v/>
      </c>
      <c r="AW1097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7" s="5" t="str">
        <f>IFERROR(OLDBD[[#This Row],[Llegada Almacén de Ingreso]]-OLDBD[[#This Row],[Salida Packing]],"")</f>
        <v/>
      </c>
      <c r="AY1097" s="4" t="str" cm="1">
        <f t="array" ref="AY1097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7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7" s="43" t="s">
        <v>173</v>
      </c>
      <c r="BB1097" s="47" t="str">
        <f>IFERROR(IF(MARÍTIMOS[[#This Row],[Estatus]]="","",MARÍTIMOS[[#This Row],[Estatus]]),"")</f>
        <v/>
      </c>
      <c r="BC1097" s="43"/>
      <c r="BD1097" s="46" t="str">
        <f>IFERROR(OLDBD[[#This Row],[Salida de almacén de retiro]]-OLDBD[[#This Row],[Ingreso Almacén de retiro]],"")</f>
        <v/>
      </c>
      <c r="BE1097" s="46" t="str">
        <f>IFERROR(OLDBD[[#This Row],[Fin de Carga]]-OLDBD[[#This Row],[Inicio de Carga]],"")</f>
        <v/>
      </c>
    </row>
    <row r="1098" spans="1:57" customFormat="1" hidden="1">
      <c r="A1098" s="1"/>
      <c r="B1098" s="1" t="str">
        <f>IFERROR(IF(MARÍTIMOS[[#This Row],[PP]]="","",MARÍTIMOS[[#This Row],[PP]]),"")</f>
        <v/>
      </c>
      <c r="C1098" s="1" t="str">
        <f>IFERROR(IF(MARÍTIMOS[[#This Row],[Sede]]="","",MARÍTIMOS[[#This Row],[Sede]]),"")</f>
        <v/>
      </c>
      <c r="D1098" s="1" t="str">
        <f>IFERROR(IF(MARÍTIMOS[[#This Row],[Instruction]]="","",MARÍTIMOS[[#This Row],[Instruction]]),"")</f>
        <v/>
      </c>
      <c r="E1098" s="1"/>
      <c r="F1098" s="2" t="str">
        <f>IFERROR(IF(MARÍTIMOS[[#This Row],[Transportista]]="","",MARÍTIMOS[[#This Row],[Transportista]]),"")</f>
        <v/>
      </c>
      <c r="G1098" s="2" t="str">
        <f>IFERROR(IF(MARÍTIMOS[[#This Row],[Tercero]]="","",MARÍTIMOS[[#This Row],[Tercero]]),"")</f>
        <v/>
      </c>
      <c r="H1098" s="2" t="str">
        <f>IFERROR(IF(MARÍTIMOS[[#This Row],[Razón Social]]="","",MARÍTIMOS[[#This Row],[Razón Social]]),"")</f>
        <v/>
      </c>
      <c r="I1098" s="2" t="str">
        <f>IFERROR(IF(MARÍTIMOS[[#This Row],[RUC]]="","",MARÍTIMOS[[#This Row],[RUC]]),"")</f>
        <v/>
      </c>
      <c r="J1098" s="2" t="str">
        <f>IFERROR(IF(MARÍTIMOS[[#This Row],[Placa Tracto]]="","",MARÍTIMOS[[#This Row],[Placa Tracto]]),"")</f>
        <v/>
      </c>
      <c r="K1098" s="2" t="str">
        <f>IFERROR(IF(MARÍTIMOS[[#This Row],[Placa Carreta]]="","",MARÍTIMOS[[#This Row],[Placa Carreta]]),"")</f>
        <v/>
      </c>
      <c r="L1098" s="44" t="str">
        <f>IFERROR(IF(MARÍTIMOS[[#This Row],[Conductor]]="","",MARÍTIMOS[[#This Row],[Conductor]]),"")</f>
        <v/>
      </c>
      <c r="M1098" s="2" t="str">
        <f>IFERROR(IF(MARÍTIMOS[[#This Row],[Licencia]]="","",MARÍTIMOS[[#This Row],[Licencia]]),"")</f>
        <v/>
      </c>
      <c r="N1098" s="2" t="str">
        <f>IFERROR(IF(MARÍTIMOS[[#This Row],[Número de Contacto]]="","",MARÍTIMOS[[#This Row],[Número de Contacto]]),"")</f>
        <v/>
      </c>
      <c r="O1098" s="10" t="str">
        <f>IFERROR(IF(MARÍTIMOS[[#This Row],[Booking|AWB|CRT]]="","",MARÍTIMOS[[#This Row],[Booking|AWB|CRT]]),"")</f>
        <v/>
      </c>
      <c r="P1098" s="2" t="str">
        <f>IFERROR(IF(MARÍTIMOS[[#This Row],[Contenedor]]="","",MARÍTIMOS[[#This Row],[Contenedor]]),"")</f>
        <v/>
      </c>
      <c r="Q1098" s="2" t="str">
        <f>IFERROR(IF(MARÍTIMOS[[#This Row],[Puerto de Retiro]]="","",MARÍTIMOS[[#This Row],[Puerto de Retiro]]),"")</f>
        <v/>
      </c>
      <c r="R1098" s="2" t="str">
        <f>IFERROR(IF(MARÍTIMOS[[#This Row],[Almacén de Retiro]]="","",MARÍTIMOS[[#This Row],[Almacén de Retiro]]),"")</f>
        <v/>
      </c>
      <c r="S1098" s="11" t="str">
        <f>IFERROR(IF(MARÍTIMOS[[#This Row],[Etapa Retiro - Cita]]="","",MARÍTIMOS[[#This Row],[Etapa Retiro - Cita]]),"")</f>
        <v/>
      </c>
      <c r="T1098" s="11" t="str">
        <f>IFERROR(IF(MARÍTIMOS[[#This Row],[Etapa Retiro - Llegada]]="","",MARÍTIMOS[[#This Row],[Etapa Retiro - Llegada]]),"")</f>
        <v/>
      </c>
      <c r="U1098" s="11" t="str">
        <f>IFERROR(IF(MARÍTIMOS[[#This Row],[Etapa Retiro - Ingreso]]="","",MARÍTIMOS[[#This Row],[Etapa Retiro - Ingreso]]),"")</f>
        <v/>
      </c>
      <c r="V1098" s="11" t="str">
        <f>IFERROR(IF(MARÍTIMOS[[#This Row],[Etapa Retiro - Atención]]="","",MARÍTIMOS[[#This Row],[Etapa Retiro - Atención]]),"")</f>
        <v/>
      </c>
      <c r="W1098" s="11" t="str">
        <f>IFERROR(IF(MARÍTIMOS[[#This Row],[Etapa Retiro - Atención]]="","",MARÍTIMOS[[#This Row],[Etapa Retiro - Atención]]),"")</f>
        <v/>
      </c>
      <c r="X1098" s="11" t="str">
        <f>IFERROR(IF(MARÍTIMOS[[#This Row],[Etapa Retiro - Inicio de Ruta]]="","",MARÍTIMOS[[#This Row],[Etapa Retiro - Inicio de Ruta]]),"")</f>
        <v/>
      </c>
      <c r="Y1098" s="11" t="str">
        <f>IFERROR(IF(MARÍTIMOS[[#This Row],[Hora de Posicionamiento]]="","",MARÍTIMOS[[#This Row],[Fecha de Carga]]+MARÍTIMOS[[#This Row],[Hora de Posicionamiento]]),"")</f>
        <v/>
      </c>
      <c r="Z1098" s="11" t="str">
        <f>IFERROR(IF(MARÍTIMOS[[#This Row],[Etapa Despacho - Llegada]]="","",MARÍTIMOS[[#This Row],[Etapa Despacho - Llegada]]),"")</f>
        <v/>
      </c>
      <c r="AA1098" s="11" t="str">
        <f>IFERROR(IF(MARÍTIMOS[[#This Row],[Etapa Despacho - Registro]]="","",MARÍTIMOS[[#This Row],[Etapa Despacho - Registro]]),"")</f>
        <v/>
      </c>
      <c r="AB1098" s="11" t="str">
        <f>IFERROR(IF(MARÍTIMOS[[#This Row],[Inspección Externa]]="","",MARÍTIMOS[[#This Row],[Inspección Externa]]),"")</f>
        <v/>
      </c>
      <c r="AC1098" s="11" t="str">
        <f>IFERROR(IF(MARÍTIMOS[[#This Row],[Etapa Despacho - Inicio de Carga]]="","",MARÍTIMOS[[#This Row],[Etapa Despacho - Inicio de Carga]]),"")</f>
        <v/>
      </c>
      <c r="AD1098" s="11" t="str">
        <f>IFERROR(IF(MARÍTIMOS[[#This Row],[Etapa Despacho - Mitad de Carga]]="","",MARÍTIMOS[[#This Row],[Etapa Despacho - Mitad de Carga]]),"")</f>
        <v/>
      </c>
      <c r="AE1098" s="11" t="str">
        <f>IFERROR(IF(MARÍTIMOS[[#This Row],[Etapa Despacho - Fin de Carga]]="","",MARÍTIMOS[[#This Row],[Etapa Despacho - Fin de Carga]]),"")</f>
        <v/>
      </c>
      <c r="AF1098" s="2" t="str">
        <f>IFERROR(IF(MARÍTIMOS[[#This Row],[Puerto de Embarque]]="","",MARÍTIMOS[[#This Row],[Puerto de Embarque]]),"")</f>
        <v/>
      </c>
      <c r="AG1098" s="2" t="str">
        <f>IFERROR(IF(MARÍTIMOS[[#This Row],[Almacén de Ingreso]]="","",MARÍTIMOS[[#This Row],[Almacén de Ingreso]]),"")</f>
        <v/>
      </c>
      <c r="AH1098" s="11" t="str">
        <f>IFERROR(IF(MARÍTIMOS[[#This Row],[Etapa Ingreso - Cita]]="","",MARÍTIMOS[[#This Row],[Etapa Ingreso - Cita]]),"")</f>
        <v/>
      </c>
      <c r="AI1098" s="11" t="str">
        <f>IFERROR(IF(MARÍTIMOS[[#This Row],[Etapa Ingreso - Llegada]]="","",MARÍTIMOS[[#This Row],[Etapa Ingreso - Llegada]]),"")</f>
        <v/>
      </c>
      <c r="AJ1098" s="11" t="str">
        <f>IFERROR(IF(MARÍTIMOS[[#This Row],[Etapa Ingreso - Ingeso]]="","",MARÍTIMOS[[#This Row],[Etapa Ingreso - Ingeso]]),"")</f>
        <v/>
      </c>
      <c r="AK1098" s="11" t="str">
        <f>IFERROR(IF(MARÍTIMOS[[#This Row],[Etapa Ingreso - Atención]]="","",MARÍTIMOS[[#This Row],[Etapa Ingreso - Atención]]),"")</f>
        <v/>
      </c>
      <c r="AL1098" s="11" t="str">
        <f>IFERROR(IF(MARÍTIMOS[[#This Row],[Etapa Ingreso - Salida]]="","",MARÍTIMOS[[#This Row],[Etapa Ingreso - Salida]]),"")</f>
        <v/>
      </c>
      <c r="AM1098" s="2" t="str">
        <f>IFERROR(IF(MARÍTIMOS[[#This Row],[FCL]]="","",MARÍTIMOS[[#This Row],[FCL]]),"")</f>
        <v/>
      </c>
      <c r="AN1098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8" s="4" t="str" cm="1">
        <f t="array" ref="AO1098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8" s="5" t="str">
        <f>IFERROR(OLDBD[[#This Row],[Llegada a packing]]-OLDBD[[#This Row],[Inicio de Ruta]],"")</f>
        <v/>
      </c>
      <c r="AQ1098" s="6" t="str">
        <f>IFERROR(OLDBD[[#This Row],[Inicio de Ruta]]-OLDBD[[#This Row],[Salida de almacén de retiro]],"")</f>
        <v/>
      </c>
      <c r="AR1098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8" s="8" t="str" cm="1">
        <f t="array" ref="AS1098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8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8" s="9" t="str">
        <f>IFERROR(OLDBD[[#This Row],[Ingreso Packing]]-OLDBD[[#This Row],[Registro en Packing]],"")</f>
        <v/>
      </c>
      <c r="AV1098" s="9" t="str">
        <f>IFERROR(OLDBD[[#This Row],[Ingreso Packing]]-OLDBD[[#This Row],[Llegada a packing]],"")</f>
        <v/>
      </c>
      <c r="AW1098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8" s="5" t="str">
        <f>IFERROR(OLDBD[[#This Row],[Llegada Almacén de Ingreso]]-OLDBD[[#This Row],[Salida Packing]],"")</f>
        <v/>
      </c>
      <c r="AY1098" s="4" t="str" cm="1">
        <f t="array" ref="AY1098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8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8" s="43" t="s">
        <v>173</v>
      </c>
      <c r="BB1098" s="47" t="str">
        <f>IFERROR(IF(MARÍTIMOS[[#This Row],[Estatus]]="","",MARÍTIMOS[[#This Row],[Estatus]]),"")</f>
        <v/>
      </c>
      <c r="BC1098" s="43"/>
      <c r="BD1098" s="46" t="str">
        <f>IFERROR(OLDBD[[#This Row],[Salida de almacén de retiro]]-OLDBD[[#This Row],[Ingreso Almacén de retiro]],"")</f>
        <v/>
      </c>
      <c r="BE1098" s="46" t="str">
        <f>IFERROR(OLDBD[[#This Row],[Fin de Carga]]-OLDBD[[#This Row],[Inicio de Carga]],"")</f>
        <v/>
      </c>
    </row>
    <row r="1099" spans="1:57" customFormat="1" hidden="1">
      <c r="A1099" s="1"/>
      <c r="B1099" s="1" t="str">
        <f>IFERROR(IF(MARÍTIMOS[[#This Row],[PP]]="","",MARÍTIMOS[[#This Row],[PP]]),"")</f>
        <v/>
      </c>
      <c r="C1099" s="1" t="str">
        <f>IFERROR(IF(MARÍTIMOS[[#This Row],[Sede]]="","",MARÍTIMOS[[#This Row],[Sede]]),"")</f>
        <v/>
      </c>
      <c r="D1099" s="1" t="str">
        <f>IFERROR(IF(MARÍTIMOS[[#This Row],[Instruction]]="","",MARÍTIMOS[[#This Row],[Instruction]]),"")</f>
        <v/>
      </c>
      <c r="E1099" s="1"/>
      <c r="F1099" s="2" t="str">
        <f>IFERROR(IF(MARÍTIMOS[[#This Row],[Transportista]]="","",MARÍTIMOS[[#This Row],[Transportista]]),"")</f>
        <v/>
      </c>
      <c r="G1099" s="2" t="str">
        <f>IFERROR(IF(MARÍTIMOS[[#This Row],[Tercero]]="","",MARÍTIMOS[[#This Row],[Tercero]]),"")</f>
        <v/>
      </c>
      <c r="H1099" s="2" t="str">
        <f>IFERROR(IF(MARÍTIMOS[[#This Row],[Razón Social]]="","",MARÍTIMOS[[#This Row],[Razón Social]]),"")</f>
        <v/>
      </c>
      <c r="I1099" s="2" t="str">
        <f>IFERROR(IF(MARÍTIMOS[[#This Row],[RUC]]="","",MARÍTIMOS[[#This Row],[RUC]]),"")</f>
        <v/>
      </c>
      <c r="J1099" s="2" t="str">
        <f>IFERROR(IF(MARÍTIMOS[[#This Row],[Placa Tracto]]="","",MARÍTIMOS[[#This Row],[Placa Tracto]]),"")</f>
        <v/>
      </c>
      <c r="K1099" s="2" t="str">
        <f>IFERROR(IF(MARÍTIMOS[[#This Row],[Placa Carreta]]="","",MARÍTIMOS[[#This Row],[Placa Carreta]]),"")</f>
        <v/>
      </c>
      <c r="L1099" s="44" t="str">
        <f>IFERROR(IF(MARÍTIMOS[[#This Row],[Conductor]]="","",MARÍTIMOS[[#This Row],[Conductor]]),"")</f>
        <v/>
      </c>
      <c r="M1099" s="2" t="str">
        <f>IFERROR(IF(MARÍTIMOS[[#This Row],[Licencia]]="","",MARÍTIMOS[[#This Row],[Licencia]]),"")</f>
        <v/>
      </c>
      <c r="N1099" s="2" t="str">
        <f>IFERROR(IF(MARÍTIMOS[[#This Row],[Número de Contacto]]="","",MARÍTIMOS[[#This Row],[Número de Contacto]]),"")</f>
        <v/>
      </c>
      <c r="O1099" s="10" t="str">
        <f>IFERROR(IF(MARÍTIMOS[[#This Row],[Booking|AWB|CRT]]="","",MARÍTIMOS[[#This Row],[Booking|AWB|CRT]]),"")</f>
        <v/>
      </c>
      <c r="P1099" s="2" t="str">
        <f>IFERROR(IF(MARÍTIMOS[[#This Row],[Contenedor]]="","",MARÍTIMOS[[#This Row],[Contenedor]]),"")</f>
        <v/>
      </c>
      <c r="Q1099" s="2" t="str">
        <f>IFERROR(IF(MARÍTIMOS[[#This Row],[Puerto de Retiro]]="","",MARÍTIMOS[[#This Row],[Puerto de Retiro]]),"")</f>
        <v/>
      </c>
      <c r="R1099" s="2" t="str">
        <f>IFERROR(IF(MARÍTIMOS[[#This Row],[Almacén de Retiro]]="","",MARÍTIMOS[[#This Row],[Almacén de Retiro]]),"")</f>
        <v/>
      </c>
      <c r="S1099" s="11" t="str">
        <f>IFERROR(IF(MARÍTIMOS[[#This Row],[Etapa Retiro - Cita]]="","",MARÍTIMOS[[#This Row],[Etapa Retiro - Cita]]),"")</f>
        <v/>
      </c>
      <c r="T1099" s="11" t="str">
        <f>IFERROR(IF(MARÍTIMOS[[#This Row],[Etapa Retiro - Llegada]]="","",MARÍTIMOS[[#This Row],[Etapa Retiro - Llegada]]),"")</f>
        <v/>
      </c>
      <c r="U1099" s="11" t="str">
        <f>IFERROR(IF(MARÍTIMOS[[#This Row],[Etapa Retiro - Ingreso]]="","",MARÍTIMOS[[#This Row],[Etapa Retiro - Ingreso]]),"")</f>
        <v/>
      </c>
      <c r="V1099" s="11" t="str">
        <f>IFERROR(IF(MARÍTIMOS[[#This Row],[Etapa Retiro - Atención]]="","",MARÍTIMOS[[#This Row],[Etapa Retiro - Atención]]),"")</f>
        <v/>
      </c>
      <c r="W1099" s="11" t="str">
        <f>IFERROR(IF(MARÍTIMOS[[#This Row],[Etapa Retiro - Atención]]="","",MARÍTIMOS[[#This Row],[Etapa Retiro - Atención]]),"")</f>
        <v/>
      </c>
      <c r="X1099" s="11" t="str">
        <f>IFERROR(IF(MARÍTIMOS[[#This Row],[Etapa Retiro - Inicio de Ruta]]="","",MARÍTIMOS[[#This Row],[Etapa Retiro - Inicio de Ruta]]),"")</f>
        <v/>
      </c>
      <c r="Y1099" s="11" t="str">
        <f>IFERROR(IF(MARÍTIMOS[[#This Row],[Hora de Posicionamiento]]="","",MARÍTIMOS[[#This Row],[Fecha de Carga]]+MARÍTIMOS[[#This Row],[Hora de Posicionamiento]]),"")</f>
        <v/>
      </c>
      <c r="Z1099" s="11" t="str">
        <f>IFERROR(IF(MARÍTIMOS[[#This Row],[Etapa Despacho - Llegada]]="","",MARÍTIMOS[[#This Row],[Etapa Despacho - Llegada]]),"")</f>
        <v/>
      </c>
      <c r="AA1099" s="11" t="str">
        <f>IFERROR(IF(MARÍTIMOS[[#This Row],[Etapa Despacho - Registro]]="","",MARÍTIMOS[[#This Row],[Etapa Despacho - Registro]]),"")</f>
        <v/>
      </c>
      <c r="AB1099" s="11" t="str">
        <f>IFERROR(IF(MARÍTIMOS[[#This Row],[Inspección Externa]]="","",MARÍTIMOS[[#This Row],[Inspección Externa]]),"")</f>
        <v/>
      </c>
      <c r="AC1099" s="11" t="str">
        <f>IFERROR(IF(MARÍTIMOS[[#This Row],[Etapa Despacho - Inicio de Carga]]="","",MARÍTIMOS[[#This Row],[Etapa Despacho - Inicio de Carga]]),"")</f>
        <v/>
      </c>
      <c r="AD1099" s="11" t="str">
        <f>IFERROR(IF(MARÍTIMOS[[#This Row],[Etapa Despacho - Mitad de Carga]]="","",MARÍTIMOS[[#This Row],[Etapa Despacho - Mitad de Carga]]),"")</f>
        <v/>
      </c>
      <c r="AE1099" s="11" t="str">
        <f>IFERROR(IF(MARÍTIMOS[[#This Row],[Etapa Despacho - Fin de Carga]]="","",MARÍTIMOS[[#This Row],[Etapa Despacho - Fin de Carga]]),"")</f>
        <v/>
      </c>
      <c r="AF1099" s="2" t="str">
        <f>IFERROR(IF(MARÍTIMOS[[#This Row],[Puerto de Embarque]]="","",MARÍTIMOS[[#This Row],[Puerto de Embarque]]),"")</f>
        <v/>
      </c>
      <c r="AG1099" s="2" t="str">
        <f>IFERROR(IF(MARÍTIMOS[[#This Row],[Almacén de Ingreso]]="","",MARÍTIMOS[[#This Row],[Almacén de Ingreso]]),"")</f>
        <v/>
      </c>
      <c r="AH1099" s="11" t="str">
        <f>IFERROR(IF(MARÍTIMOS[[#This Row],[Etapa Ingreso - Cita]]="","",MARÍTIMOS[[#This Row],[Etapa Ingreso - Cita]]),"")</f>
        <v/>
      </c>
      <c r="AI1099" s="11" t="str">
        <f>IFERROR(IF(MARÍTIMOS[[#This Row],[Etapa Ingreso - Llegada]]="","",MARÍTIMOS[[#This Row],[Etapa Ingreso - Llegada]]),"")</f>
        <v/>
      </c>
      <c r="AJ1099" s="11" t="str">
        <f>IFERROR(IF(MARÍTIMOS[[#This Row],[Etapa Ingreso - Ingeso]]="","",MARÍTIMOS[[#This Row],[Etapa Ingreso - Ingeso]]),"")</f>
        <v/>
      </c>
      <c r="AK1099" s="11" t="str">
        <f>IFERROR(IF(MARÍTIMOS[[#This Row],[Etapa Ingreso - Atención]]="","",MARÍTIMOS[[#This Row],[Etapa Ingreso - Atención]]),"")</f>
        <v/>
      </c>
      <c r="AL1099" s="11" t="str">
        <f>IFERROR(IF(MARÍTIMOS[[#This Row],[Etapa Ingreso - Salida]]="","",MARÍTIMOS[[#This Row],[Etapa Ingreso - Salida]]),"")</f>
        <v/>
      </c>
      <c r="AM1099" s="2" t="str">
        <f>IFERROR(IF(MARÍTIMOS[[#This Row],[FCL]]="","",MARÍTIMOS[[#This Row],[FCL]]),"")</f>
        <v/>
      </c>
      <c r="AN1099" s="3" t="str">
        <f>IFERROR(IF(AND(OLDBD[[#This Row],[Puerto retiro]]="CALLAO",(OLDBD[[#This Row],[Cita de retiro]]-OLDBD[[#This Row],[Llegada a almacén retiro]])&gt;=(1/24)),"ON TIME",IF(AND(OLDBD[[#This Row],[Puerto retiro]]&lt;&gt;"CALLAO",(OLDBD[[#This Row],[Cita de retiro]]-OLDBD[[#This Row],[Llegada a almacén retiro]])&gt;=(0.5/24)),"ON TIME","LATE")),"")</f>
        <v/>
      </c>
      <c r="AO1099" s="4" t="str" cm="1">
        <f t="array" ref="AO1099">IFERROR(_xlfn.IFS(AND(OLDBD[[#This Row],[Puerto retiro]]="CALLAO",(OLDBD[[#This Row],[Salida de almacén de retiro]]-OLDBD[[#This Row],[Ingreso Almacén de retiro]])&lt;=(2/24)),"STANDARD",AND(OLDBD[[#This Row],[Puerto retiro]]="CALLAO",(OLDBD[[#This Row],[Salida de almacén de retiro]]-OLDBD[[#This Row],[Ingreso Almacén de retiro]])&lt;=(4/24)),"HIGH",AND(OLDBD[[#This Row],[Puerto retiro]]="CALLAO",(OLDBD[[#This Row],[Salida de almacén de retiro]]-OLDBD[[#This Row],[Ingreso Almacén de retiro]])&gt;(4/24)),"CRITICAL",AND(OLDBD[[#This Row],[Puerto retiro]]&lt;&gt;"CALLAO",(OLDBD[[#This Row],[Salida de almacén de retiro]]-OLDBD[[#This Row],[Ingreso Almacén de retiro]])&lt;=(1/24)),"STANDARD",AND(OLDBD[[#This Row],[Puerto retiro]]&lt;&gt;"CALLAO",(OLDBD[[#This Row],[Salida de almacén de retiro]]-OLDBD[[#This Row],[Ingreso Almacén de retiro]])&lt;=(2/24)),"HIGH",AND(OLDBD[[#This Row],[Puerto retiro]]&lt;&gt;"CALLAO",(OLDBD[[#This Row],[Salida de almacén de retiro]]-OLDBD[[#This Row],[Ingreso Almacén de retiro]])&gt;(2/24)),"CRITICAL"),"")</f>
        <v/>
      </c>
      <c r="AP1099" s="5" t="str">
        <f>IFERROR(OLDBD[[#This Row],[Llegada a packing]]-OLDBD[[#This Row],[Inicio de Ruta]],"")</f>
        <v/>
      </c>
      <c r="AQ1099" s="6" t="str">
        <f>IFERROR(OLDBD[[#This Row],[Inicio de Ruta]]-OLDBD[[#This Row],[Salida de almacén de retiro]],"")</f>
        <v/>
      </c>
      <c r="AR1099" s="7" t="str">
        <f>IFERROR(IF((OLDBD[[#This Row],[Llegada a packing]]-OLDBD[[#This Row],[Cita - Hora de Posicionamiento]])&lt;=0,"ON TIME",IF((OLDBD[[#This Row],[Llegada a packing]]-OLDBD[[#This Row],[Cita - Hora de Posicionamiento]])&gt;(2/24),"CRITICAL LATE","LATE")),"")</f>
        <v/>
      </c>
      <c r="AS1099" s="8" t="str" cm="1">
        <f t="array" ref="AS1099">IFERROR(IF(OLDBD[[#This Row],[Llegada a packing]]&gt;OLDBD[[#This Row],[Cita - Hora de Posicionamiento]],_xlfn.IFS((OLDBD[[#This Row],[Salida Packing]]-OLDBD[[#This Row],[Llegada a packing]])&lt;=(6/24),"NO DETENTION",(OLDBD[[#This Row],[Salida Packing]]-OLDBD[[#This Row],[Llegada a packing]])&lt;=(8/24),"HIGH DETENTION",(OLDBD[[#This Row],[Salida Packing]]-OLDBD[[#This Row],[Llegada a packing]])&gt;(8/24),"CRITICAL DETENTION"),_xlfn.IFS((OLDBD[[#This Row],[Salida Packing]]-OLDBD[[#This Row],[Ingreso Packing]])&lt;=(6/24),"NO DETENTION",(OLDBD[[#This Row],[Salida Packing]]-OLDBD[[#This Row],[Ingreso Packing]])&lt;=(8/24),"HIGH DETENTION",(OLDBD[[#This Row],[Salida Packing]]-OLDBD[[#This Row],[Ingreso Packing]])&gt;(8/24),"CRITICAL DETENTION")),"")</f>
        <v/>
      </c>
      <c r="AT1099" s="9" t="str">
        <f>IFERROR(IF(AND(OLDBD[[#This Row],[Packing Appointment Compliance]]="ON TIME",OLDBD[[#This Row],[Inicio de Carga]]&lt;=OLDBD[[#This Row],[Cita - Hora de Posicionamiento]]+(2/24)),"ON TRACK",IF((OLDBD[[#This Row],[Inicio de Carga]]-OLDBD[[#This Row],[Llegada a packing]])&lt;=(3/24),"ON TRACK","OFF TRACK")),"")</f>
        <v/>
      </c>
      <c r="AU1099" s="9" t="str">
        <f>IFERROR(OLDBD[[#This Row],[Ingreso Packing]]-OLDBD[[#This Row],[Registro en Packing]],"")</f>
        <v/>
      </c>
      <c r="AV1099" s="9" t="str">
        <f>IFERROR(OLDBD[[#This Row],[Ingreso Packing]]-OLDBD[[#This Row],[Llegada a packing]],"")</f>
        <v/>
      </c>
      <c r="AW1099" s="9" t="str">
        <f>IFERROR(IF(AND(OLDBD[[#This Row],[Detention at Packing]]="NO DETENTION",(OLDBD[[#This Row],[Salida Packing]]-OLDBD[[#This Row],[Fin de Carga]])&lt;=(2/24)),"ON TIME",IF(AND(OLDBD[[#This Row],[Detention at Packing]]="HIGH DETENTION",(OLDBD[[#This Row],[Salida Packing]]-OLDBD[[#This Row],[Fin de Carga]])&lt;=(2/24)),"HIGH DELAY","CRITICAL DELAY")),"")</f>
        <v/>
      </c>
      <c r="AX1099" s="5" t="str">
        <f>IFERROR(OLDBD[[#This Row],[Llegada Almacén de Ingreso]]-OLDBD[[#This Row],[Salida Packing]],"")</f>
        <v/>
      </c>
      <c r="AY1099" s="4" t="str" cm="1">
        <f t="array" ref="AY1099">IFERROR(_xlfn.IFS(AND(OLDBD[[#This Row],[Puerto retiro]]="CALLAO",(OLDBD[[#This Row],[Salida Almacén de Ingreso]]-OLDBD[[#This Row],[Llegada Almacén de Ingreso]])&lt;=(2/24)),"STANDARD",AND(OLDBD[[#This Row],[Puerto retiro]]="CALLAO",(OLDBD[[#This Row],[Salida Almacén de Ingreso]]-OLDBD[[#This Row],[Llegada Almacén de Ingreso]])&lt;=(4/24)),"HIGH",AND(OLDBD[[#This Row],[Puerto retiro]]="CALLAO",(OLDBD[[#This Row],[Salida Almacén de Ingreso]]-OLDBD[[#This Row],[Llegada Almacén de Ingreso]])&gt;(4/24)),"CRITICAL",AND(OLDBD[[#This Row],[Puerto retiro]]&lt;&gt;"CALLAO",(OLDBD[[#This Row],[Salida Almacén de Ingreso]]-OLDBD[[#This Row],[Llegada Almacén de Ingreso]])&lt;=(1/24)),"STANDARD",AND(OLDBD[[#This Row],[Puerto retiro]]&lt;&gt;"CALLAO",(OLDBD[[#This Row],[Salida Almacén de Ingreso]]-OLDBD[[#This Row],[Llegada Almacén de Ingreso]])&lt;=(2/24)),"HIGH",AND(OLDBD[[#This Row],[Puerto retiro]]&lt;&gt;"CALLAO",(OLDBD[[#This Row],[Salida Almacén de Ingreso]]-OLDBD[[#This Row],[Llegada Almacén de Ingreso]])&gt;(2/24)),"CRITICAL"),"")</f>
        <v/>
      </c>
      <c r="AZ1099" s="3" t="str">
        <f>IFERROR(IF(AND(OLDBD[[#This Row],[Puerto ingreso]]="CALLAO",(OLDBD[[#This Row],[Cita de ingreso]]-OLDBD[[#This Row],[Llegada Almacén de Ingreso]])&gt;=(1/24)),"ON TIME",IF(AND(OLDBD[[#This Row],[Puerto ingreso]]&lt;&gt;"CALLAO",(OLDBD[[#This Row],[Cita de ingreso]]-OLDBD[[#This Row],[Llegada Almacén de Ingreso]])&gt;=(0.5/24)),"ON TIME","LATE")),"")</f>
        <v/>
      </c>
      <c r="BA1099" s="43" t="s">
        <v>173</v>
      </c>
      <c r="BB1099" s="47" t="str">
        <f>IFERROR(IF(MARÍTIMOS[[#This Row],[Estatus]]="","",MARÍTIMOS[[#This Row],[Estatus]]),"")</f>
        <v/>
      </c>
      <c r="BC1099" s="43"/>
      <c r="BD1099" s="46" t="str">
        <f>IFERROR(OLDBD[[#This Row],[Salida de almacén de retiro]]-OLDBD[[#This Row],[Ingreso Almacén de retiro]],"")</f>
        <v/>
      </c>
      <c r="BE1099" s="46" t="str">
        <f>IFERROR(OLDBD[[#This Row],[Fin de Carga]]-OLDBD[[#This Row],[Inicio de Carga]],"")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A644-ECEB-478B-8F7A-AF7118B4598E}">
  <dimension ref="A1:H15"/>
  <sheetViews>
    <sheetView showGridLines="0" topLeftCell="A3" zoomScale="70" zoomScaleNormal="70" workbookViewId="0">
      <selection activeCell="D6" sqref="D6"/>
    </sheetView>
  </sheetViews>
  <sheetFormatPr baseColWidth="10" defaultRowHeight="14.5"/>
  <cols>
    <col min="1" max="1" width="18.54296875" bestFit="1" customWidth="1"/>
    <col min="2" max="2" width="37.1796875" customWidth="1"/>
    <col min="3" max="3" width="12.1796875" customWidth="1"/>
    <col min="4" max="4" width="35.54296875" customWidth="1"/>
    <col min="5" max="5" width="54.36328125" customWidth="1"/>
    <col min="6" max="6" width="48.36328125" customWidth="1"/>
    <col min="8" max="8" width="18.08984375" customWidth="1"/>
  </cols>
  <sheetData>
    <row r="1" spans="1:8" ht="14.15" customHeight="1">
      <c r="A1" s="20" t="s">
        <v>85</v>
      </c>
      <c r="B1" s="21" t="s">
        <v>86</v>
      </c>
      <c r="C1" s="22" t="s">
        <v>87</v>
      </c>
      <c r="D1" s="21" t="s">
        <v>88</v>
      </c>
      <c r="E1" s="22" t="s">
        <v>89</v>
      </c>
      <c r="F1" s="22" t="s">
        <v>90</v>
      </c>
    </row>
    <row r="2" spans="1:8" ht="111" customHeight="1">
      <c r="A2" s="23" t="s">
        <v>91</v>
      </c>
      <c r="B2" s="24" t="s">
        <v>37</v>
      </c>
      <c r="C2" s="25" t="s">
        <v>92</v>
      </c>
      <c r="D2" s="26" t="s">
        <v>93</v>
      </c>
      <c r="E2" s="26" t="s">
        <v>94</v>
      </c>
      <c r="F2" s="27" t="s">
        <v>95</v>
      </c>
    </row>
    <row r="3" spans="1:8" ht="118.5" customHeight="1">
      <c r="A3" s="23" t="s">
        <v>91</v>
      </c>
      <c r="B3" s="24" t="s">
        <v>38</v>
      </c>
      <c r="C3" s="25" t="s">
        <v>92</v>
      </c>
      <c r="D3" s="26" t="s">
        <v>96</v>
      </c>
      <c r="E3" s="26" t="s">
        <v>97</v>
      </c>
      <c r="F3" s="27" t="s">
        <v>98</v>
      </c>
      <c r="H3" s="28"/>
    </row>
    <row r="4" spans="1:8" ht="28.5" customHeight="1">
      <c r="A4" s="23" t="s">
        <v>91</v>
      </c>
      <c r="B4" s="24" t="s">
        <v>40</v>
      </c>
      <c r="C4" s="25" t="s">
        <v>56</v>
      </c>
      <c r="D4" s="26" t="s">
        <v>99</v>
      </c>
      <c r="E4" s="29" t="s">
        <v>100</v>
      </c>
      <c r="F4" s="30"/>
    </row>
    <row r="5" spans="1:8" ht="29">
      <c r="A5" s="23" t="s">
        <v>91</v>
      </c>
      <c r="B5" s="24" t="s">
        <v>39</v>
      </c>
      <c r="C5" s="25" t="s">
        <v>56</v>
      </c>
      <c r="D5" s="31" t="s">
        <v>101</v>
      </c>
      <c r="E5" s="29" t="s">
        <v>100</v>
      </c>
      <c r="F5" s="30"/>
    </row>
    <row r="6" spans="1:8" ht="71.5" customHeight="1">
      <c r="A6" s="32" t="s">
        <v>102</v>
      </c>
      <c r="B6" s="33" t="s">
        <v>41</v>
      </c>
      <c r="C6" s="25" t="s">
        <v>92</v>
      </c>
      <c r="D6" s="26" t="s">
        <v>103</v>
      </c>
      <c r="E6" s="34" t="s">
        <v>104</v>
      </c>
      <c r="F6" s="35" t="s">
        <v>105</v>
      </c>
    </row>
    <row r="7" spans="1:8" ht="33.65" customHeight="1">
      <c r="A7" s="32" t="s">
        <v>102</v>
      </c>
      <c r="B7" s="33" t="s">
        <v>43</v>
      </c>
      <c r="C7" s="25" t="s">
        <v>92</v>
      </c>
      <c r="D7" s="26" t="s">
        <v>106</v>
      </c>
      <c r="E7" s="26" t="s">
        <v>107</v>
      </c>
      <c r="F7" s="35" t="s">
        <v>108</v>
      </c>
    </row>
    <row r="8" spans="1:8" ht="43.25" customHeight="1">
      <c r="A8" s="32" t="s">
        <v>102</v>
      </c>
      <c r="B8" s="33" t="s">
        <v>42</v>
      </c>
      <c r="C8" s="25" t="s">
        <v>92</v>
      </c>
      <c r="D8" s="31" t="s">
        <v>109</v>
      </c>
      <c r="E8" s="26" t="s">
        <v>110</v>
      </c>
      <c r="F8" s="35" t="s">
        <v>111</v>
      </c>
    </row>
    <row r="9" spans="1:8" ht="72" customHeight="1">
      <c r="A9" s="32" t="s">
        <v>102</v>
      </c>
      <c r="B9" s="33" t="s">
        <v>46</v>
      </c>
      <c r="C9" s="25" t="s">
        <v>92</v>
      </c>
      <c r="D9" s="36" t="s">
        <v>112</v>
      </c>
      <c r="E9" s="37" t="s">
        <v>113</v>
      </c>
      <c r="F9" s="35" t="s">
        <v>111</v>
      </c>
    </row>
    <row r="10" spans="1:8" hidden="1">
      <c r="A10" s="32" t="s">
        <v>102</v>
      </c>
      <c r="B10" s="33" t="s">
        <v>44</v>
      </c>
      <c r="C10" s="25" t="s">
        <v>56</v>
      </c>
      <c r="D10" s="31" t="s">
        <v>114</v>
      </c>
      <c r="E10" s="26"/>
      <c r="F10" s="30"/>
    </row>
    <row r="11" spans="1:8" hidden="1">
      <c r="A11" s="32" t="s">
        <v>102</v>
      </c>
      <c r="B11" s="33" t="s">
        <v>45</v>
      </c>
      <c r="C11" s="25" t="s">
        <v>56</v>
      </c>
      <c r="D11" s="31" t="s">
        <v>115</v>
      </c>
      <c r="E11" s="26"/>
      <c r="F11" s="30"/>
    </row>
    <row r="12" spans="1:8" ht="115.25" customHeight="1">
      <c r="A12" s="32" t="s">
        <v>116</v>
      </c>
      <c r="B12" s="38" t="s">
        <v>48</v>
      </c>
      <c r="C12" s="25" t="s">
        <v>92</v>
      </c>
      <c r="D12" s="31" t="s">
        <v>117</v>
      </c>
      <c r="E12" s="26" t="s">
        <v>97</v>
      </c>
      <c r="F12" s="27" t="s">
        <v>98</v>
      </c>
    </row>
    <row r="13" spans="1:8" ht="100.75" customHeight="1">
      <c r="A13" s="32" t="s">
        <v>116</v>
      </c>
      <c r="B13" s="38" t="s">
        <v>49</v>
      </c>
      <c r="C13" s="25" t="s">
        <v>92</v>
      </c>
      <c r="D13" s="31" t="s">
        <v>118</v>
      </c>
      <c r="E13" s="26" t="s">
        <v>94</v>
      </c>
      <c r="F13" s="27" t="s">
        <v>95</v>
      </c>
    </row>
    <row r="14" spans="1:8" ht="27.65" hidden="1" customHeight="1">
      <c r="A14" s="32" t="s">
        <v>116</v>
      </c>
      <c r="B14" s="39" t="s">
        <v>47</v>
      </c>
      <c r="C14" s="25" t="s">
        <v>56</v>
      </c>
      <c r="D14" s="36" t="s">
        <v>119</v>
      </c>
      <c r="E14" s="26"/>
      <c r="F14" s="30"/>
    </row>
    <row r="15" spans="1:8">
      <c r="A15" s="32" t="s">
        <v>102</v>
      </c>
      <c r="B15" s="40" t="s">
        <v>52</v>
      </c>
      <c r="C15" s="41"/>
      <c r="D15" s="42"/>
      <c r="E15" s="36"/>
      <c r="F15" s="3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7F6A399AFD204D826F359D0CC3880F" ma:contentTypeVersion="10" ma:contentTypeDescription="Crear nuevo documento." ma:contentTypeScope="" ma:versionID="16064fa32ae94e2a863ce6dce51bda18">
  <xsd:schema xmlns:xsd="http://www.w3.org/2001/XMLSchema" xmlns:xs="http://www.w3.org/2001/XMLSchema" xmlns:p="http://schemas.microsoft.com/office/2006/metadata/properties" xmlns:ns2="a4a0047a-3c90-4111-a8a5-0987c165e277" xmlns:ns3="1240ec2a-ff3e-482c-bd8a-7386c7815cde" targetNamespace="http://schemas.microsoft.com/office/2006/metadata/properties" ma:root="true" ma:fieldsID="563cf1e74725d1217d7fb94a37c8ddb4" ns2:_="" ns3:_="">
    <xsd:import namespace="a4a0047a-3c90-4111-a8a5-0987c165e277"/>
    <xsd:import namespace="1240ec2a-ff3e-482c-bd8a-7386c7815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a0047a-3c90-4111-a8a5-0987c165e2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0ec2a-ff3e-482c-bd8a-7386c7815cd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be7f9e-32ea-4bdb-bb25-600ec29907f9}" ma:internalName="TaxCatchAll" ma:showField="CatchAllData" ma:web="1240ec2a-ff3e-482c-bd8a-7386c7815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40ec2a-ff3e-482c-bd8a-7386c7815cde" xsi:nil="true"/>
    <lcf76f155ced4ddcb4097134ff3c332f xmlns="a4a0047a-3c90-4111-a8a5-0987c165e2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598070-E1E9-4DF2-935A-3C7AB79B9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a0047a-3c90-4111-a8a5-0987c165e277"/>
    <ds:schemaRef ds:uri="1240ec2a-ff3e-482c-bd8a-7386c7815c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486402-DF27-433E-B4B7-30445B05C4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13E379-4590-483E-9A15-F8EEDA6DD13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6E7CF51-FDE6-4609-A481-6DC164B2734F}">
  <ds:schemaRefs>
    <ds:schemaRef ds:uri="http://schemas.microsoft.com/office/2006/metadata/properties"/>
    <ds:schemaRef ds:uri="http://schemas.microsoft.com/office/infopath/2007/PartnerControls"/>
    <ds:schemaRef ds:uri="1240ec2a-ff3e-482c-bd8a-7386c7815cde"/>
    <ds:schemaRef ds:uri="a4a0047a-3c90-4111-a8a5-0987c165e2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MARÍTIMOS</vt:lpstr>
      <vt:lpstr>CONSOLIDADO 2526</vt:lpstr>
      <vt:lpstr>CONDICIONALES</vt:lpstr>
      <vt:lpstr>PRECONSOLIDADO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Eduardo Lopez Alvarez</dc:creator>
  <cp:lastModifiedBy>Erika Alice Rodriguez Quiroz</cp:lastModifiedBy>
  <dcterms:created xsi:type="dcterms:W3CDTF">2015-06-05T18:19:34Z</dcterms:created>
  <dcterms:modified xsi:type="dcterms:W3CDTF">2026-09-29T16:37:49Z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0x010100817F6A399AFD204D826F359D0CC3880F</vt:lpwstr>
  </property>
  <property fmtid="{D5CDD505-2E9C-101B-9397-08002B2CF9AE}" pid="3" name="MediaServiceImageTags">
    <vt:lpwstr/>
  </property>
</Properties>
</file>